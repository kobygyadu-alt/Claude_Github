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9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tables/table18.xml" ContentType="application/vnd.openxmlformats-officedocument.spreadsheetml.table+xml"/>
  <Override PartName="/xl/tables/table20.xml" ContentType="application/vnd.openxmlformats-officedocument.spreadsheetml.table+xml"/>
  <Override PartName="/xl/tables/table16.xml" ContentType="application/vnd.openxmlformats-officedocument.spreadsheetml.table+xml"/>
  <Override PartName="/xl/tables/table24.xml" ContentType="application/vnd.openxmlformats-officedocument.spreadsheetml.table+xml"/>
  <Override PartName="/xl/tables/table12.xml" ContentType="application/vnd.openxmlformats-officedocument.spreadsheetml.table+xml"/>
  <Override PartName="/xl/tables/table19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17.xml" ContentType="application/vnd.openxmlformats-officedocument.spreadsheetml.table+xml"/>
  <Override PartName="/xl/tables/table25.xml" ContentType="application/vnd.openxmlformats-officedocument.spreadsheetml.table+xml"/>
  <Override PartName="/xl/tables/table13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2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15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anding_Page" sheetId="1" state="visible" r:id="rId3"/>
    <sheet name="Controls" sheetId="2" state="visible" r:id="rId4"/>
    <sheet name="QMR_Dashboard" sheetId="3" state="visible" r:id="rId5"/>
    <sheet name="QMR_Report" sheetId="4" state="visible" r:id="rId6"/>
    <sheet name="Slide_Pack" sheetId="5" state="visible" r:id="rId7"/>
    <sheet name="Project_Output" sheetId="6" state="visible" r:id="rId8"/>
    <sheet name="FixedCost_Output" sheetId="7" state="visible" r:id="rId9"/>
    <sheet name="Balance_Sheet" sheetId="8" state="visible" r:id="rId10"/>
    <sheet name="TB_Review" sheetId="9" state="visible" r:id="rId11"/>
    <sheet name="Trial_Balance" sheetId="10" state="visible" r:id="rId12"/>
    <sheet name="Mgmt_Commentary" sheetId="11" state="visible" r:id="rId13"/>
    <sheet name="FC_Budget_Vrs_Actual" sheetId="12" state="visible" r:id="rId14"/>
    <sheet name="Project_Activity" sheetId="13" state="visible" r:id="rId15"/>
    <sheet name="Project_Forecast" sheetId="14" state="visible" r:id="rId16"/>
    <sheet name="Nominal_Activity" sheetId="15" state="visible" r:id="rId17"/>
    <sheet name="PA_TB_Recon" sheetId="16" state="visible" r:id="rId18"/>
    <sheet name="MM_Income" sheetId="17" state="visible" r:id="rId19"/>
    <sheet name="MM_FixedCost" sheetId="18" state="visible" r:id="rId20"/>
    <sheet name="Master_Mappings" sheetId="19" state="visible" r:id="rId21"/>
    <sheet name="QMR_Inputs" sheetId="20" state="visible" r:id="rId22"/>
    <sheet name="Manual_Adjustments" sheetId="21" state="visible" r:id="rId23"/>
    <sheet name="Checks" sheetId="22" state="visible" r:id="rId24"/>
    <sheet name="Instructions" sheetId="23" state="visible" r:id="rId25"/>
    <sheet name="Annual_Summary" sheetId="24" state="visible" r:id="rId26"/>
    <sheet name="Entity_QMR" sheetId="25" state="visible" r:id="rId27"/>
    <sheet name="Consolidation" sheetId="26" state="visible" r:id="rId28"/>
    <sheet name="PowerBI_Export" sheetId="27" state="visible" r:id="rId29"/>
    <sheet name="Sources" sheetId="28" state="visible" r:id="rId30"/>
    <sheet name="Final_Review_Loop" sheetId="29" state="visible" r:id="rId31"/>
    <sheet name="Agent_Workflow" sheetId="30" state="hidden" r:id="rId32"/>
    <sheet name="Backup_Project_Forecast" sheetId="31" state="hidden" r:id="rId33"/>
    <sheet name="Backup_Fixed_Cost_Budget" sheetId="32" state="hidden" r:id="rId34"/>
    <sheet name="Backup_TB_Output" sheetId="33" state="hidden" r:id="rId35"/>
    <sheet name="Backup_Project_Output" sheetId="34" state="hidden" r:id="rId36"/>
    <sheet name="Backup_FixedCost_Output" sheetId="35" state="hidden" r:id="rId37"/>
  </sheets>
  <definedNames>
    <definedName function="false" hidden="false" localSheetId="7" name="_xlnm.Print_Area" vbProcedure="false">Balance_Sheet!$A$1:$H$70</definedName>
    <definedName function="false" hidden="false" localSheetId="0" name="_xlnm.Print_Area" vbProcedure="false">Landing_Page!$A$1:$N$36</definedName>
    <definedName function="false" hidden="false" localSheetId="2" name="_xlnm.Print_Area" vbProcedure="false">QMR_Dashboard!$A$1:$N$39</definedName>
    <definedName function="false" hidden="false" localSheetId="3" name="_xlnm.Print_Area" vbProcedure="false">QMR_Report!$A$1:$I$92</definedName>
    <definedName function="false" hidden="false" localSheetId="4" name="_xlnm.Print_Area" vbProcedure="false">Slide_Pack!$A$1:$H$46</definedName>
    <definedName function="false" hidden="false" localSheetId="8" name="_xlnm.Print_Area" vbProcedure="false">TB_Review!$A$1:$M$31</definedName>
    <definedName function="false" hidden="false" name="FX_Table" vbProcedure="false">Controls!$H$33:$I$36</definedName>
    <definedName function="false" hidden="false" name="MMIncome_Projects" vbProcedure="false">MM_Income!$A$5:$W$204</definedName>
    <definedName function="false" hidden="false" name="Nominal_Map" vbProcedure="false">MM_Income!$Z$5:$AC$60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<sst xmlns="http://schemas.openxmlformats.org/spreadsheetml/2006/main" count="16398" uniqueCount="2655">
  <si>
    <t xml:space="preserve">Quarterly management reporting command centre — select the quarter on Controls; everything below updates live.</t>
  </si>
  <si>
    <t xml:space="preserve">Reporting period end</t>
  </si>
  <si>
    <t xml:space="preserve">Quarter</t>
  </si>
  <si>
    <t xml:space="preserve">Entity</t>
  </si>
  <si>
    <t xml:space="preserve">Approval status</t>
  </si>
  <si>
    <t xml:space="preserve">Source refresh date</t>
  </si>
  <si>
    <t xml:space="preserve">Version</t>
  </si>
  <si>
    <t xml:space="preserve">KEY INDICATORS — SELECTED QUARTER (GHS '000)</t>
  </si>
  <si>
    <t xml:space="preserve">Income forecast FY</t>
  </si>
  <si>
    <t xml:space="preserve">Secured net YTD</t>
  </si>
  <si>
    <t xml:space="preserve">WIP YTD</t>
  </si>
  <si>
    <t xml:space="preserve">Fixed costs YTD</t>
  </si>
  <si>
    <t xml:space="preserve">Surplus FY forecast</t>
  </si>
  <si>
    <t xml:space="preserve">Working capital</t>
  </si>
  <si>
    <t xml:space="preserve">Months cost cover</t>
  </si>
  <si>
    <t xml:space="preserve">Data quality</t>
  </si>
  <si>
    <t xml:space="preserve">ALERTS AND DATA STATUS</t>
  </si>
  <si>
    <t xml:space="preserve">Failed checks</t>
  </si>
  <si>
    <t xml:space="preserve">Review items</t>
  </si>
  <si>
    <t xml:space="preserve">Top issue 1</t>
  </si>
  <si>
    <t xml:space="preserve">Top issue 2</t>
  </si>
  <si>
    <t xml:space="preserve">Top issue 3</t>
  </si>
  <si>
    <t xml:space="preserve">Quarter data loaded</t>
  </si>
  <si>
    <t xml:space="preserve">MANAGEMENT ACTION POINTS (open items from Mgmt_Commentary)</t>
  </si>
  <si>
    <t xml:space="preserve">1.</t>
  </si>
  <si>
    <t xml:space="preserve">2.</t>
  </si>
  <si>
    <t xml:space="preserve">3.</t>
  </si>
  <si>
    <t xml:space="preserve">NAVIGATION</t>
  </si>
  <si>
    <t xml:space="preserve">DASHBOARDS</t>
  </si>
  <si>
    <t xml:space="preserve">REPORTS</t>
  </si>
  <si>
    <t xml:space="preserve">DATA INPUTS</t>
  </si>
  <si>
    <t xml:space="preserve">MAPPINGS &amp; GOVERNANCE</t>
  </si>
  <si>
    <t xml:space="preserve">PCGH Annual QMR — Controls, Reporting Calendar and Assumptions</t>
  </si>
  <si>
    <t xml:space="preserve">Control</t>
  </si>
  <si>
    <t xml:space="preserve">Value</t>
  </si>
  <si>
    <t xml:space="preserve">Units</t>
  </si>
  <si>
    <t xml:space="preserve">Source / Note</t>
  </si>
  <si>
    <t xml:space="preserve">Annual Reporting Calendar</t>
  </si>
  <si>
    <t xml:space="preserve">Date</t>
  </si>
  <si>
    <t xml:space="preserve">Q1 2026 source packs</t>
  </si>
  <si>
    <t xml:space="preserve">Period_End</t>
  </si>
  <si>
    <t xml:space="preserve">Data_Status</t>
  </si>
  <si>
    <t xml:space="preserve">Fiscal year</t>
  </si>
  <si>
    <t xml:space="preserve">Year</t>
  </si>
  <si>
    <t xml:space="preserve">Calendar year</t>
  </si>
  <si>
    <t xml:space="preserve">Q1</t>
  </si>
  <si>
    <t xml:space="preserve">Calendar quarter</t>
  </si>
  <si>
    <t xml:space="preserve">Q2</t>
  </si>
  <si>
    <t xml:space="preserve">Entity ID</t>
  </si>
  <si>
    <t xml:space="preserve">PCGH</t>
  </si>
  <si>
    <t xml:space="preserve">ID</t>
  </si>
  <si>
    <t xml:space="preserve">PC Ghana</t>
  </si>
  <si>
    <t xml:space="preserve">Q3</t>
  </si>
  <si>
    <t xml:space="preserve">Entity name</t>
  </si>
  <si>
    <t xml:space="preserve">Text</t>
  </si>
  <si>
    <t xml:space="preserve">Confirmed pilot entity</t>
  </si>
  <si>
    <t xml:space="preserve">Q4</t>
  </si>
  <si>
    <t xml:space="preserve">Local currency</t>
  </si>
  <si>
    <t xml:space="preserve">GHS</t>
  </si>
  <si>
    <t xml:space="preserve">Currency</t>
  </si>
  <si>
    <t xml:space="preserve">Entity reporting currency</t>
  </si>
  <si>
    <t xml:space="preserve">Group currency</t>
  </si>
  <si>
    <t xml:space="preserve">Consolidation currency</t>
  </si>
  <si>
    <t xml:space="preserve">Elapsed months</t>
  </si>
  <si>
    <t xml:space="preserve">Months</t>
  </si>
  <si>
    <t xml:space="preserve">Formula from reporting date</t>
  </si>
  <si>
    <t xml:space="preserve">Quarterly Management Inputs — update the blue cells as each quarter becomes available</t>
  </si>
  <si>
    <t xml:space="preserve">Materiality threshold</t>
  </si>
  <si>
    <t xml:space="preserve">Default management exception threshold</t>
  </si>
  <si>
    <t xml:space="preserve">Materiality percentage</t>
  </si>
  <si>
    <t xml:space="preserve">%</t>
  </si>
  <si>
    <t xml:space="preserve">Period</t>
  </si>
  <si>
    <t xml:space="preserve">Project_Budget_FY</t>
  </si>
  <si>
    <t xml:space="preserve">Programme_Budget_FY</t>
  </si>
  <si>
    <t xml:space="preserve">Programme_Forecast_FY</t>
  </si>
  <si>
    <t xml:space="preserve">Programme_Secured_FY</t>
  </si>
  <si>
    <t xml:space="preserve">Programme_Actual_YTD</t>
  </si>
  <si>
    <t xml:space="preserve">Other_Budget_FY</t>
  </si>
  <si>
    <t xml:space="preserve">Other_Forecast_FY</t>
  </si>
  <si>
    <t xml:space="preserve">Other_Actual_YTD</t>
  </si>
  <si>
    <t xml:space="preserve">Update_Note</t>
  </si>
  <si>
    <t xml:space="preserve">Programme_Invoicing_YTD</t>
  </si>
  <si>
    <t xml:space="preserve">Programme_Income_YTD</t>
  </si>
  <si>
    <t xml:space="preserve">Default pipeline probability</t>
  </si>
  <si>
    <t xml:space="preserve">Applied where source notes say contract not signed</t>
  </si>
  <si>
    <t xml:space="preserve">2026-Q1</t>
  </si>
  <si>
    <t xml:space="preserve">Pilot data loaded</t>
  </si>
  <si>
    <t xml:space="preserve">Project income budget</t>
  </si>
  <si>
    <t xml:space="preserve">Selected-period value from Quarterly Management Inputs</t>
  </si>
  <si>
    <t xml:space="preserve">2026-Q2</t>
  </si>
  <si>
    <t xml:space="preserve">Awaiting Q2 update</t>
  </si>
  <si>
    <t xml:space="preserve">Programme income budget</t>
  </si>
  <si>
    <t xml:space="preserve">2026-Q3</t>
  </si>
  <si>
    <t xml:space="preserve">Awaiting Q3 update</t>
  </si>
  <si>
    <t xml:space="preserve">Programme forecast</t>
  </si>
  <si>
    <t xml:space="preserve">2026-Q4</t>
  </si>
  <si>
    <t xml:space="preserve">Awaiting Q4 update</t>
  </si>
  <si>
    <t xml:space="preserve">Programme secured</t>
  </si>
  <si>
    <t xml:space="preserve">Programme WIP YTD</t>
  </si>
  <si>
    <t xml:space="preserve">Other income budget</t>
  </si>
  <si>
    <t xml:space="preserve">Other income forecast</t>
  </si>
  <si>
    <t xml:space="preserve">Other income actual YTD</t>
  </si>
  <si>
    <t xml:space="preserve">Draft</t>
  </si>
  <si>
    <t xml:space="preserve">Status</t>
  </si>
  <si>
    <t xml:space="preserve">Finance approver changes to Approved</t>
  </si>
  <si>
    <t xml:space="preserve">Finance approver</t>
  </si>
  <si>
    <t xml:space="preserve">Finance Lead</t>
  </si>
  <si>
    <t xml:space="preserve">Role</t>
  </si>
  <si>
    <t xml:space="preserve">Publication authority</t>
  </si>
  <si>
    <t xml:space="preserve">Workbook version</t>
  </si>
  <si>
    <t xml:space="preserve">v2.5</t>
  </si>
  <si>
    <t xml:space="preserve">v2.5 2026-08-13: (1) Balance_Sheet — Selected Quarter Opening/Closing block (H:K): Opening = prior-quarter TB closing balance, derived automatically from the reporting quarter in Controls (falls back to the selected snapshot’s TB opening column when the prior-quarter TB is not loaded; Q1 uses the Q1 TB opening balances); Closing = the selected quarter’s own TB closing position. Historical Q1-Q4 columns (B:E) are unchanged and stay fixed per quarter. QMR_Report movement column repointed to the new block; opening balance-sheet and continuity checks added (Checks rows 42-43); row-39 continuity formula repaired to compare asset-line TB openings against prior-quarter closing assets (previously it summed the whole TB, which nets to zero). (2) PA_TB_Recon rebuilt — reconciles Project_Activity (actual project accounting activity) against the Trial_Balance by nominal code, YTD to the comparison quarter: PA total vs TB total, variance, RECONCILED/VARIANCE/INFO status with tolerance input, completeness row for unmapped codes, and a Project × Nominal Code × Period drill-down. Projects Forecast is no longer part of this reconciliation. | v2.4 2026-07-27: (1) Balance_Sheet quarter cols rebuilt as period-driven SUMIFS on the account-code mapping implied by the entered formulas (closing balance, natural TB signs); Master_Mappings extended, movement cols repaired. (2) Next-quarter-opening fallback removed — unloaded quarters show "-". (3) Project_Forecast rebuilt on INDEX/MATCH by Project_ID, capacity MM_Income rows 5-204 → PF rows 2-201, S4/S8/S9 repaired. (4) PA_TB_Recon col D re-sourced to Project_Forecast flow-group columns. (5) QMR_Inputs block 6: project income budgets by portfolio and type, wired to QMR_Report S1/S4 and Project_Output. (6) Programme table: Invoicing + YTD columns, wired to QMR_Report and Controls P/Q. Follow-up 2026-07-27: TB snapshot period corrected 2026-Q1→2026-Q2 (openings = 31-Mar = NA YTD-to-Q1 per code; closings = 30-Jun); TBC placeholder IDs uniquified (TBC-01..08); QMR_Inputs Unallocated rows made self-balancing; PA_TB_Recon statuses made Flow_Group-aware.</t>
  </si>
  <si>
    <t xml:space="preserve">Latest source data date</t>
  </si>
  <si>
    <t xml:space="preserve">PCGH average FX to GHS</t>
  </si>
  <si>
    <t xml:space="preserve">Rate</t>
  </si>
  <si>
    <t xml:space="preserve">GHS reporting entity</t>
  </si>
  <si>
    <t xml:space="preserve">PCGH closing FX to GHS</t>
  </si>
  <si>
    <t xml:space="preserve">Publication scope</t>
  </si>
  <si>
    <t xml:space="preserve">Entity QMR</t>
  </si>
  <si>
    <t xml:space="preserve">Scope</t>
  </si>
  <si>
    <t xml:space="preserve">Choose Entity QMR or Consolidated QMR</t>
  </si>
  <si>
    <t xml:space="preserve">Selected period key</t>
  </si>
  <si>
    <t xml:space="preserve">System generated</t>
  </si>
  <si>
    <t xml:space="preserve">Used by all selected-period reports</t>
  </si>
  <si>
    <t xml:space="preserve">Entity and FX Master</t>
  </si>
  <si>
    <t xml:space="preserve">Exchange Rate Control Table (to GHS)</t>
  </si>
  <si>
    <t xml:space="preserve">Rate_to_GHS</t>
  </si>
  <si>
    <t xml:space="preserve">Source</t>
  </si>
  <si>
    <t xml:space="preserve">As_Of</t>
  </si>
  <si>
    <t xml:space="preserve">Entity_ID</t>
  </si>
  <si>
    <t xml:space="preserve">Entity_Name</t>
  </si>
  <si>
    <t xml:space="preserve">Local_Currency</t>
  </si>
  <si>
    <t xml:space="preserve">Average_FX_to_GHS</t>
  </si>
  <si>
    <t xml:space="preserve">Closing_FX_to_GHS</t>
  </si>
  <si>
    <t xml:space="preserve">Reporting currency</t>
  </si>
  <si>
    <t xml:space="preserve">2026-03-31</t>
  </si>
  <si>
    <t xml:space="preserve">Pilot populated</t>
  </si>
  <si>
    <t xml:space="preserve">USD</t>
  </si>
  <si>
    <t xml:space="preserve">Requirements doc §1.3</t>
  </si>
  <si>
    <t xml:space="preserve">PFI</t>
  </si>
  <si>
    <t xml:space="preserve">Proforest Initiative</t>
  </si>
  <si>
    <t xml:space="preserve">TBC</t>
  </si>
  <si>
    <t xml:space="preserve">Awaiting source pack</t>
  </si>
  <si>
    <t xml:space="preserve">GBP</t>
  </si>
  <si>
    <t xml:space="preserve">PFCD</t>
  </si>
  <si>
    <t xml:space="preserve">Proforest Co-develop</t>
  </si>
  <si>
    <t xml:space="preserve">EUR</t>
  </si>
  <si>
    <t xml:space="preserve">PFCM</t>
  </si>
  <si>
    <t xml:space="preserve">Proforest Cameroon</t>
  </si>
  <si>
    <t xml:space="preserve">QUARTERLY UPDATE CHECKLIST — refresh in this order:</t>
  </si>
  <si>
    <t xml:space="preserve">1. Controls!B4 — set the reporting period end (drives FY, quarter and every report).</t>
  </si>
  <si>
    <t xml:space="preserve">2. Paste the quarter's source packs: Project_Activity, Nominal_Activity, Trial_Balance (append rows).</t>
  </si>
  <si>
    <t xml:space="preserve">3. MM_Income — maintain the yellow inputs: Status (E), contract value and inclusive fees/expenses (K:N), Forecast_Class/Probability (U:V); add new or pipeline projects as ordinary rows (Status=Pipeline, Probability&lt;1).</t>
  </si>
  <si>
    <t xml:space="preserve">4. Project_Forecast — enter the quarter's WIP % (yellow V/X/Z/AB) and Management_Review/Comments.</t>
  </si>
  <si>
    <t xml:space="preserve">5. Controls F13:Q17 — update the quarterly management inputs row for the new period (incl. programme invoicing and income YTD).</t>
  </si>
  <si>
    <t xml:space="preserve">6. Checks — clear every FAIL before publishing; FixedCost_Output!B92 is the amount to invoice PIGH this quarter.</t>
  </si>
  <si>
    <t xml:space="preserve">INCOME · FY FORECAST</t>
  </si>
  <si>
    <t xml:space="preserve">FIXED COSTS · YTD</t>
  </si>
  <si>
    <t xml:space="preserve">SURPLUS · FY FORECAST</t>
  </si>
  <si>
    <t xml:space="preserve">SECURED vs BUDGET</t>
  </si>
  <si>
    <t xml:space="preserve">MONTHS OF COST COVER</t>
  </si>
  <si>
    <t xml:space="preserve">DATA QUALITY</t>
  </si>
  <si>
    <t xml:space="preserve">INCOME vs COST BY QUARTER (GHS '000)</t>
  </si>
  <si>
    <t xml:space="preserve">QUARTERLY PROFILE — INCOME vs COST (GHS '000)</t>
  </si>
  <si>
    <t xml:space="preserve">FY</t>
  </si>
  <si>
    <t xml:space="preserve">Income (WIP basis)</t>
  </si>
  <si>
    <t xml:space="preserve">Invoiced</t>
  </si>
  <si>
    <t xml:space="preserve">Fixed costs</t>
  </si>
  <si>
    <t xml:space="preserve">Surplus</t>
  </si>
  <si>
    <t xml:space="preserve">Quarters after the selected one show forecast WIP and zero cost until data is loaded.</t>
  </si>
  <si>
    <t xml:space="preserve">STATUS SUMMARY</t>
  </si>
  <si>
    <t xml:space="preserve">Domain</t>
  </si>
  <si>
    <t xml:space="preserve">Metric</t>
  </si>
  <si>
    <t xml:space="preserve">Target</t>
  </si>
  <si>
    <t xml:space="preserve">Income</t>
  </si>
  <si>
    <t xml:space="preserve">Secured vs annual budget</t>
  </si>
  <si>
    <t xml:space="preserve">≥ 90%</t>
  </si>
  <si>
    <t xml:space="preserve">Costs</t>
  </si>
  <si>
    <t xml:space="preserve">Spend vs YTD budget</t>
  </si>
  <si>
    <t xml:space="preserve">85–110%</t>
  </si>
  <si>
    <t xml:space="preserve">BUDGET vs ACTUAL YTD BY CATEGORY (GHS)</t>
  </si>
  <si>
    <t xml:space="preserve">Liquidity</t>
  </si>
  <si>
    <t xml:space="preserve">Months of core cover</t>
  </si>
  <si>
    <t xml:space="preserve">≥ 3.0</t>
  </si>
  <si>
    <t xml:space="preserve">Working capital (GHS 000)</t>
  </si>
  <si>
    <t xml:space="preserve">&gt; 0</t>
  </si>
  <si>
    <t xml:space="preserve">Balance sheet</t>
  </si>
  <si>
    <t xml:space="preserve">A − L − E</t>
  </si>
  <si>
    <t xml:space="preserve">0</t>
  </si>
  <si>
    <t xml:space="preserve">Checks banner</t>
  </si>
  <si>
    <t xml:space="preserve">PASS</t>
  </si>
  <si>
    <t xml:space="preserve">ENTITY VIEW (GHS '000)</t>
  </si>
  <si>
    <t xml:space="preserve">Income (TOI)</t>
  </si>
  <si>
    <t xml:space="preserve">Surplus YTD</t>
  </si>
  <si>
    <t xml:space="preserve">COMMENTARY — OPEN ITEMS (maintained on Mgmt_Commentary)</t>
  </si>
  <si>
    <t xml:space="preserve">4.</t>
  </si>
  <si>
    <t xml:space="preserve">SECTION 1 — INCOME AND EXPENDITURE</t>
  </si>
  <si>
    <t xml:space="preserve">Line</t>
  </si>
  <si>
    <t xml:space="preserve">Annual Budget</t>
  </si>
  <si>
    <t xml:space="preserve">FY Forecast</t>
  </si>
  <si>
    <t xml:space="preserve">Secured Net</t>
  </si>
  <si>
    <t xml:space="preserve">Invoiced / Actual YTD</t>
  </si>
  <si>
    <t xml:space="preserve">Secured vs Budget</t>
  </si>
  <si>
    <t xml:space="preserve">WIP vs Budget</t>
  </si>
  <si>
    <t xml:space="preserve">Inv&amp;Act vs Budget</t>
  </si>
  <si>
    <t xml:space="preserve">Project Income — External</t>
  </si>
  <si>
    <t xml:space="preserve">   Responsible Sourcing</t>
  </si>
  <si>
    <t xml:space="preserve">   Responsible Production</t>
  </si>
  <si>
    <t xml:space="preserve">   Responsible Finance</t>
  </si>
  <si>
    <t xml:space="preserve">   Collaboration</t>
  </si>
  <si>
    <t xml:space="preserve">   Production Landscape</t>
  </si>
  <si>
    <t xml:space="preserve">   Policy &amp; Regulation</t>
  </si>
  <si>
    <t xml:space="preserve">Subtotal — External Project Income</t>
  </si>
  <si>
    <t xml:space="preserve">Project Income — Internal (via other Proforest entities)</t>
  </si>
  <si>
    <t xml:space="preserve">Subtotal — Internal Project Income</t>
  </si>
  <si>
    <t xml:space="preserve">   Other / unmapped projects</t>
  </si>
  <si>
    <t xml:space="preserve">Total Project Income</t>
  </si>
  <si>
    <t xml:space="preserve">Programme Income (by Portfolio)</t>
  </si>
  <si>
    <t xml:space="preserve">Total Programme Income</t>
  </si>
  <si>
    <t xml:space="preserve">TOTAL OPERATING INCOME</t>
  </si>
  <si>
    <t xml:space="preserve">Expenditure</t>
  </si>
  <si>
    <t xml:space="preserve">   Direct Technical Costs</t>
  </si>
  <si>
    <t xml:space="preserve">   Contribution from Group re Global Roles (Technical)</t>
  </si>
  <si>
    <t xml:space="preserve">   Direct FinOps Costs</t>
  </si>
  <si>
    <t xml:space="preserve">   Contribution from Group re Global Roles (FinOps)</t>
  </si>
  <si>
    <t xml:space="preserve">   Indirect Costs from Group Payroll (Global Roles)</t>
  </si>
  <si>
    <t xml:space="preserve">Total Personnel Costs</t>
  </si>
  <si>
    <t xml:space="preserve">   Recruitment and Benefits</t>
  </si>
  <si>
    <t xml:space="preserve">   Professional Development and Training</t>
  </si>
  <si>
    <t xml:space="preserve">   Business Development and Comms</t>
  </si>
  <si>
    <t xml:space="preserve">   Internal Events and Meetings</t>
  </si>
  <si>
    <t xml:space="preserve">   Professional Services and Governance</t>
  </si>
  <si>
    <t xml:space="preserve">   IT and Data</t>
  </si>
  <si>
    <t xml:space="preserve">   Office Running Costs</t>
  </si>
  <si>
    <t xml:space="preserve">   Financial Charges</t>
  </si>
  <si>
    <t xml:space="preserve">   Foreign Exchange Losses / (Gains)</t>
  </si>
  <si>
    <t xml:space="preserve">TOTAL OPERATING COSTS</t>
  </si>
  <si>
    <t xml:space="preserve">Other Income</t>
  </si>
  <si>
    <t xml:space="preserve">   Cost Recovery from Regions</t>
  </si>
  <si>
    <t xml:space="preserve">   Interest Received</t>
  </si>
  <si>
    <t xml:space="preserve">   Miscellaneous Income (programme contributions to office costs)</t>
  </si>
  <si>
    <t xml:space="preserve">Total Other Income</t>
  </si>
  <si>
    <t xml:space="preserve">Net Result</t>
  </si>
  <si>
    <t xml:space="preserve">Net Deficit / Surplus (before Depreciation and Tax)</t>
  </si>
  <si>
    <t xml:space="preserve">   Depreciation and Amortisation</t>
  </si>
  <si>
    <t xml:space="preserve">   Tax</t>
  </si>
  <si>
    <t xml:space="preserve">Net Deficit / Surplus (after Depreciation and Tax)</t>
  </si>
  <si>
    <t xml:space="preserve">% Surplus (of Total Operating Income)</t>
  </si>
  <si>
    <t xml:space="preserve">Net Fixed Costs + Depreciation + Tax as % of Total Operating Income</t>
  </si>
  <si>
    <t xml:space="preserve">SECTION 2 — BALANCE SHEET</t>
  </si>
  <si>
    <t xml:space="preserve">Summary of the approved Balance Sheet output — full statement, quarters and charts on the Balance_Sheet tab.</t>
  </si>
  <si>
    <t xml:space="preserve">Selected Quarter</t>
  </si>
  <si>
    <t xml:space="preserve">Movement vs Prior</t>
  </si>
  <si>
    <t xml:space="preserve">Total Fixed Assets</t>
  </si>
  <si>
    <t xml:space="preserve">Total Current Assets</t>
  </si>
  <si>
    <t xml:space="preserve">Total Assets</t>
  </si>
  <si>
    <t xml:space="preserve">Total Current Liabilities</t>
  </si>
  <si>
    <t xml:space="preserve">Long Term Liabilities</t>
  </si>
  <si>
    <t xml:space="preserve">Total Liabilities</t>
  </si>
  <si>
    <t xml:space="preserve">Total Assets Less Liabilities</t>
  </si>
  <si>
    <t xml:space="preserve">Total Capital and Reserves</t>
  </si>
  <si>
    <t xml:space="preserve">Current Ratio</t>
  </si>
  <si>
    <t xml:space="preserve">Working Capital</t>
  </si>
  <si>
    <t xml:space="preserve">Months of Core Cost Cover</t>
  </si>
  <si>
    <t xml:space="preserve">Intercompany Net Position</t>
  </si>
  <si>
    <t xml:space="preserve">SECTION 3 — GROUP COSTS</t>
  </si>
  <si>
    <t xml:space="preserve">Group costs by function (source: Group finance pack — entered on QMR_Inputs block 5).</t>
  </si>
  <si>
    <t xml:space="preserve">Function</t>
  </si>
  <si>
    <t xml:space="preserve">Personnel</t>
  </si>
  <si>
    <t xml:space="preserve">Purchases</t>
  </si>
  <si>
    <t xml:space="preserve">Total</t>
  </si>
  <si>
    <t xml:space="preserve">Total Group Costs</t>
  </si>
  <si>
    <t xml:space="preserve">Total Group Budget</t>
  </si>
  <si>
    <t xml:space="preserve">Notes: FY Forecast for cost lines = Annual Budget (no reforecast maintained). Project income budgets by portfolio and type are maintained on QMR_Inputs block 6 (see Section 4); the budget column at subtotal level comes from those inputs. Group contribution and payroll lines are inputs pending a group data feed.</t>
  </si>
  <si>
    <t xml:space="preserve">SECTION 4 — PROJECT INCOME: BUDGET VS ACTUAL</t>
  </si>
  <si>
    <t xml:space="preserve">Budgets entered on QMR_Inputs block 6; forecast and net invoiced YTD from Project_Forecast for the selected period.</t>
  </si>
  <si>
    <t xml:space="preserve">Portfolio</t>
  </si>
  <si>
    <t xml:space="preserve">Annual_Budget</t>
  </si>
  <si>
    <t xml:space="preserve">Net_Forecast</t>
  </si>
  <si>
    <t xml:space="preserve">Net_Invoiced_YTD</t>
  </si>
  <si>
    <t xml:space="preserve">Fcst_vs_Budget</t>
  </si>
  <si>
    <t xml:space="preserve">Inv_vs_Budget_%</t>
  </si>
  <si>
    <t xml:space="preserve">Total by Portfolio</t>
  </si>
  <si>
    <t xml:space="preserve">By Project Type</t>
  </si>
  <si>
    <t xml:space="preserve">Total by Type</t>
  </si>
  <si>
    <t xml:space="preserve">All figures link to QMR_Report / Balance_Sheet. Copy tables and charts into the slide template.</t>
  </si>
  <si>
    <t xml:space="preserve">Slide 1 — Overview (GHS 000)</t>
  </si>
  <si>
    <t xml:space="preserve">Budget (FY)</t>
  </si>
  <si>
    <t xml:space="preserve">Forecast (FY)</t>
  </si>
  <si>
    <t xml:space="preserve">Secured (YTD)</t>
  </si>
  <si>
    <t xml:space="preserve">WIP (YTD)</t>
  </si>
  <si>
    <t xml:space="preserve">Secured vs higher of Budget/Forecast</t>
  </si>
  <si>
    <t xml:space="preserve">WIP vs higher of Budget/Forecast</t>
  </si>
  <si>
    <t xml:space="preserve">TOTAL INCOME</t>
  </si>
  <si>
    <t xml:space="preserve">Fixed Costs</t>
  </si>
  <si>
    <t xml:space="preserve">TOTAL FIXED COSTS (after other income)</t>
  </si>
  <si>
    <t xml:space="preserve">(Deficit)/Surplus (before depreciation and tax)</t>
  </si>
  <si>
    <t xml:space="preserve">(Deficit)/Surplus (after depreciation and tax)</t>
  </si>
  <si>
    <t xml:space="preserve">(Deficit)/Surplus %</t>
  </si>
  <si>
    <t xml:space="preserve">Notes: "Forecast (FY)" for fixed-cost lines = Annual Budget (no separate fixed-cost reforecast is maintained — requirement 2.4 removed Forecast FY). Quarters not yet loaded show "-".</t>
  </si>
  <si>
    <t xml:space="preserve">Slide 2 — Fixed Costs (GHS 000) — chart &amp; pie version</t>
  </si>
  <si>
    <t xml:space="preserve">Cost category</t>
  </si>
  <si>
    <t xml:space="preserve">Actual (YTD)</t>
  </si>
  <si>
    <t xml:space="preserve">Actual vs Budget</t>
  </si>
  <si>
    <t xml:space="preserve">Actual vs Forecast</t>
  </si>
  <si>
    <t xml:space="preserve">% of total Budget</t>
  </si>
  <si>
    <t xml:space="preserve">% of total Actuals</t>
  </si>
  <si>
    <t xml:space="preserve">Direct Technical Costs</t>
  </si>
  <si>
    <t xml:space="preserve">Direct FinOps Costs</t>
  </si>
  <si>
    <t xml:space="preserve">Other Fixed Costs</t>
  </si>
  <si>
    <t xml:space="preserve">TOTAL</t>
  </si>
  <si>
    <t xml:space="preserve">Note: Actual (YTD) reflects nominal activity through the selected quarter end only.</t>
  </si>
  <si>
    <t xml:space="preserve">Slide 3 — Working Capital</t>
  </si>
  <si>
    <t xml:space="preserve">Note</t>
  </si>
  <si>
    <t xml:space="preserve">1 or more is considered good — if below 1, explain</t>
  </si>
  <si>
    <t xml:space="preserve">Total Current Assets ('000)</t>
  </si>
  <si>
    <t xml:space="preserve">Total Current Liabilities ('000)</t>
  </si>
  <si>
    <t xml:space="preserve">Working Capital ('000)</t>
  </si>
  <si>
    <t xml:space="preserve">Total Current Assets less Total Current Liabilities</t>
  </si>
  <si>
    <t xml:space="preserve">Core Costs per Month ('000)</t>
  </si>
  <si>
    <t xml:space="preserve">No. of Months' Cover</t>
  </si>
  <si>
    <t xml:space="preserve">Initial target is 3 months</t>
  </si>
  <si>
    <t xml:space="preserve">Core Fixed Costs ('000)</t>
  </si>
  <si>
    <t xml:space="preserve">Discretionary Fixed Costs ('000)</t>
  </si>
  <si>
    <t xml:space="preserve">Total Fixed Costs ('000)</t>
  </si>
  <si>
    <t xml:space="preserve">Data Set 5 — Balance Sheet extract feeding Working Capital (GHS 000)</t>
  </si>
  <si>
    <t xml:space="preserve">Balance sheet line</t>
  </si>
  <si>
    <t xml:space="preserve">GHS '000</t>
  </si>
  <si>
    <t xml:space="preserve">Note: values show "-" until the selected quarter's trial balance is loaded.</t>
  </si>
  <si>
    <t xml:space="preserve">Gross Forecast (GHS)</t>
  </si>
  <si>
    <t xml:space="preserve">Net Forecast (GHS)</t>
  </si>
  <si>
    <t xml:space="preserve">Secured Net Forecast (GHS)</t>
  </si>
  <si>
    <t xml:space="preserve">WIP YTD (GHS)</t>
  </si>
  <si>
    <t xml:space="preserve">Net Invoiced YTD (GHS)</t>
  </si>
  <si>
    <t xml:space="preserve">Forecast WIP — remaining qtrs</t>
  </si>
  <si>
    <t xml:space="preserve">Management Exceptions</t>
  </si>
  <si>
    <t xml:space="preserve">FY Gross (incl pipeline)</t>
  </si>
  <si>
    <t xml:space="preserve">FY Net (incl pipeline)</t>
  </si>
  <si>
    <t xml:space="preserve">FY Secured Net</t>
  </si>
  <si>
    <t xml:space="preserve">FY Pipeline Net</t>
  </si>
  <si>
    <t xml:space="preserve">FY Weighted Net (× Prob)</t>
  </si>
  <si>
    <t xml:space="preserve">Full-year view from MM_Income (incl pipeline). Row 3 shows the selected reporting period.</t>
  </si>
  <si>
    <t xml:space="preserve">Income by Project Type and Portfolio — selected period</t>
  </si>
  <si>
    <t xml:space="preserve">Project_Type</t>
  </si>
  <si>
    <t xml:space="preserve">Gross_Forecast</t>
  </si>
  <si>
    <t xml:space="preserve">Secured_Net</t>
  </si>
  <si>
    <t xml:space="preserve">WIP_Current_Qtr</t>
  </si>
  <si>
    <t xml:space="preserve">WIP_Cum_YTD</t>
  </si>
  <si>
    <t xml:space="preserve">WIP_Fcst_Remaining</t>
  </si>
  <si>
    <t xml:space="preserve">WIP_Q1</t>
  </si>
  <si>
    <t xml:space="preserve">WIP_Q2</t>
  </si>
  <si>
    <t xml:space="preserve">WIP_Q3</t>
  </si>
  <si>
    <t xml:space="preserve">WIP_Q4</t>
  </si>
  <si>
    <t xml:space="preserve">External</t>
  </si>
  <si>
    <t xml:space="preserve">Responsible Sourcing</t>
  </si>
  <si>
    <t xml:space="preserve">Responsible Production</t>
  </si>
  <si>
    <t xml:space="preserve">Responsible Finance</t>
  </si>
  <si>
    <t xml:space="preserve">Collaboration</t>
  </si>
  <si>
    <t xml:space="preserve">Production Landscape</t>
  </si>
  <si>
    <t xml:space="preserve">Policy &amp; Regulation</t>
  </si>
  <si>
    <t xml:space="preserve">Subtotal — External</t>
  </si>
  <si>
    <t xml:space="preserve">Other</t>
  </si>
  <si>
    <t xml:space="preserve">Internal</t>
  </si>
  <si>
    <t xml:space="preserve">Subtotal — Internal</t>
  </si>
  <si>
    <t xml:space="preserve">Other / Unmapped</t>
  </si>
  <si>
    <t xml:space="preserve">(not in portfolio/type lists)</t>
  </si>
  <si>
    <t xml:space="preserve">TOTAL PROJECT INCOME</t>
  </si>
  <si>
    <t xml:space="preserve">WIP by Quarter — selected period snapshot</t>
  </si>
  <si>
    <t xml:space="preserve">WIP_Value</t>
  </si>
  <si>
    <t xml:space="preserve">Cumulative</t>
  </si>
  <si>
    <t xml:space="preserve">Basis</t>
  </si>
  <si>
    <t xml:space="preserve">Income by Commodity</t>
  </si>
  <si>
    <t xml:space="preserve">Income by Client</t>
  </si>
  <si>
    <t xml:space="preserve">Commodity</t>
  </si>
  <si>
    <t xml:space="preserve">WIP_YTD</t>
  </si>
  <si>
    <t xml:space="preserve">Invoiced_YTD</t>
  </si>
  <si>
    <t xml:space="preserve">Client</t>
  </si>
  <si>
    <t xml:space="preserve">Oil Palm</t>
  </si>
  <si>
    <t xml:space="preserve">Barnsley</t>
  </si>
  <si>
    <t xml:space="preserve">Sugar</t>
  </si>
  <si>
    <t xml:space="preserve">Sucrivoire</t>
  </si>
  <si>
    <t xml:space="preserve">Cocoa</t>
  </si>
  <si>
    <t xml:space="preserve">GVL</t>
  </si>
  <si>
    <t xml:space="preserve">Cashew</t>
  </si>
  <si>
    <t xml:space="preserve">Presco</t>
  </si>
  <si>
    <t xml:space="preserve">Rubber</t>
  </si>
  <si>
    <t xml:space="preserve">BPL</t>
  </si>
  <si>
    <t xml:space="preserve">Soy</t>
  </si>
  <si>
    <t xml:space="preserve">Socfin Group</t>
  </si>
  <si>
    <t xml:space="preserve">Oil Palm &amp; Rubber</t>
  </si>
  <si>
    <t xml:space="preserve">Fauna &amp; Flora</t>
  </si>
  <si>
    <t xml:space="preserve">Multiple (Landscape)</t>
  </si>
  <si>
    <t xml:space="preserve">Cashew Coast</t>
  </si>
  <si>
    <t xml:space="preserve">General Mills</t>
  </si>
  <si>
    <t xml:space="preserve">Other / not listed</t>
  </si>
  <si>
    <t xml:space="preserve">Nestlé (via PCUK)</t>
  </si>
  <si>
    <t xml:space="preserve">Nestlé</t>
  </si>
  <si>
    <t xml:space="preserve">Income by Project Type</t>
  </si>
  <si>
    <t xml:space="preserve">RENL</t>
  </si>
  <si>
    <t xml:space="preserve">Hershey (via PCUK)</t>
  </si>
  <si>
    <t xml:space="preserve">CDC</t>
  </si>
  <si>
    <t xml:space="preserve">Valency</t>
  </si>
  <si>
    <t xml:space="preserve">FGMC</t>
  </si>
  <si>
    <t xml:space="preserve">Rainforest Alliance</t>
  </si>
  <si>
    <t xml:space="preserve">Income Bridge — FY (GHS)</t>
  </si>
  <si>
    <t xml:space="preserve">Gross contract value (GHS)</t>
  </si>
  <si>
    <t xml:space="preserve">−  Inclusive fees for other PF entities</t>
  </si>
  <si>
    <t xml:space="preserve">−  Inclusive subcontractor fees</t>
  </si>
  <si>
    <t xml:space="preserve">−  Inclusive expenses</t>
  </si>
  <si>
    <t xml:space="preserve">=  Net income (recognised PCGH)</t>
  </si>
  <si>
    <t xml:space="preserve">−  Pipeline (unweighted)</t>
  </si>
  <si>
    <t xml:space="preserve">=  Secured net income</t>
  </si>
  <si>
    <t xml:space="preserve">Secured = Net where Forecast_Class = "Secured"</t>
  </si>
  <si>
    <t xml:space="preserve">Projects by Status — contract, net, invoiced, WIP (GHS)</t>
  </si>
  <si>
    <t xml:space="preserve">Contract_Value_FY</t>
  </si>
  <si>
    <t xml:space="preserve">Net_FY</t>
  </si>
  <si>
    <t xml:space="preserve">Totals tie to FY Gross (B6), FY Net (E6), Invoiced YTD (B5) and WIP YTD (K3).</t>
  </si>
  <si>
    <t xml:space="preserve">Annual Budget (GHS)</t>
  </si>
  <si>
    <t xml:space="preserve">Budget YTD (GHS)</t>
  </si>
  <si>
    <t xml:space="preserve">Actual YTD (GHS)</t>
  </si>
  <si>
    <t xml:space="preserve">YTD Variance (GHS)</t>
  </si>
  <si>
    <t xml:space="preserve">Spend vs Budget YTD</t>
  </si>
  <si>
    <t xml:space="preserve">PIGH Cost Share YTD (GHS)</t>
  </si>
  <si>
    <t xml:space="preserve">Spend of Annual Budget</t>
  </si>
  <si>
    <t xml:space="preserve">Material Exceptions</t>
  </si>
  <si>
    <t xml:space="preserve">Fixed Costs by Category — Budget vs Actual YTD</t>
  </si>
  <si>
    <t xml:space="preserve">Category</t>
  </si>
  <si>
    <t xml:space="preserve">QMR_Group</t>
  </si>
  <si>
    <t xml:space="preserve">Budget_YTD</t>
  </si>
  <si>
    <t xml:space="preserve">Actual_YTD</t>
  </si>
  <si>
    <t xml:space="preserve">Variance</t>
  </si>
  <si>
    <t xml:space="preserve">Variance_%</t>
  </si>
  <si>
    <t xml:space="preserve">Spend_vs_Budget_YTD</t>
  </si>
  <si>
    <t xml:space="preserve">PIGH_Share_YTD</t>
  </si>
  <si>
    <t xml:space="preserve">Net_After_PIGH</t>
  </si>
  <si>
    <t xml:space="preserve">Direct technical costs</t>
  </si>
  <si>
    <t xml:space="preserve">Direct support costs</t>
  </si>
  <si>
    <t xml:space="preserve">Recruitment, Benefits</t>
  </si>
  <si>
    <t xml:space="preserve">Professional development and Training</t>
  </si>
  <si>
    <t xml:space="preserve">Business development and Comms</t>
  </si>
  <si>
    <t xml:space="preserve">Internal events and meetings</t>
  </si>
  <si>
    <t xml:space="preserve">Professional services and governance</t>
  </si>
  <si>
    <t xml:space="preserve">IT and Data</t>
  </si>
  <si>
    <t xml:space="preserve">Office Running costs</t>
  </si>
  <si>
    <t xml:space="preserve">Financial Charges</t>
  </si>
  <si>
    <t xml:space="preserve">Foreign Exchange Losses / (Gains)</t>
  </si>
  <si>
    <t xml:space="preserve">Core vs Discretionary</t>
  </si>
  <si>
    <t xml:space="preserve">Cost_Nature</t>
  </si>
  <si>
    <t xml:space="preserve">Core</t>
  </si>
  <si>
    <t xml:space="preserve">Discretionary</t>
  </si>
  <si>
    <t xml:space="preserve">Fixed Costs by Category — Individual Quarters (GHS)</t>
  </si>
  <si>
    <t xml:space="preserve">YTD</t>
  </si>
  <si>
    <t xml:space="preserve">PIGH Cost Share by Quarter (GHS)</t>
  </si>
  <si>
    <t xml:space="preserve">PIGH share of fixed costs</t>
  </si>
  <si>
    <t xml:space="preserve">This quarter to invoice PIGH</t>
  </si>
  <si>
    <t xml:space="preserve">Increment for the reporting quarter only (per Controls!B6) — cumulative YTD sits in the row above; per-line detail on FC_Budget_Vrs_Actual.</t>
  </si>
  <si>
    <t xml:space="preserve">Total Assets (GHS)</t>
  </si>
  <si>
    <t xml:space="preserve">Working Capital (GHS)</t>
  </si>
  <si>
    <t xml:space="preserve">Quarter columns Q1-Q4 (B:E) are each populated only from that quarter's own Trial_Balance rows (closing balances, natural TB signs: assets +, liabilities/equity −); once a quarter's TB is loaded its column is fixed and is never overwritten when a later reporting quarter is selected. The Selected Quarter block (H:K) derives automatically from Controls: Opening = prior-quarter closing balance (falling back to the selected snapshot's TB opening column when no prior-quarter TB is loaded), Closing = the selected quarter's own TB closing position. Opening↔closing continuity is monitored in row 39 and in Checks.</t>
  </si>
  <si>
    <t xml:space="preserve">Balance Sheet Statement (GHS)</t>
  </si>
  <si>
    <t xml:space="preserve">Movement_vs_Prior</t>
  </si>
  <si>
    <t xml:space="preserve">Movement_%</t>
  </si>
  <si>
    <t xml:space="preserve">Opening_Balance</t>
  </si>
  <si>
    <t xml:space="preserve">Closing_Balance</t>
  </si>
  <si>
    <t xml:space="preserve">Movement</t>
  </si>
  <si>
    <t xml:space="preserve">Land and Building</t>
  </si>
  <si>
    <t xml:space="preserve">Furniture, Fixtures and Equipment</t>
  </si>
  <si>
    <t xml:space="preserve">Investments &gt; 3 months</t>
  </si>
  <si>
    <t xml:space="preserve">Intangible Assets</t>
  </si>
  <si>
    <t xml:space="preserve">Trade Debtors</t>
  </si>
  <si>
    <t xml:space="preserve">Cash in Hand and at Bank</t>
  </si>
  <si>
    <t xml:space="preserve">Other Receivables</t>
  </si>
  <si>
    <t xml:space="preserve">Trade Creditors</t>
  </si>
  <si>
    <t xml:space="preserve">Other Creditors</t>
  </si>
  <si>
    <t xml:space="preserve">Loans &gt; 1 year</t>
  </si>
  <si>
    <t xml:space="preserve">Share Capital</t>
  </si>
  <si>
    <t xml:space="preserve">Retained Reserves</t>
  </si>
  <si>
    <t xml:space="preserve">Current P&amp;L</t>
  </si>
  <si>
    <t xml:space="preserve">Opening</t>
  </si>
  <si>
    <t xml:space="preserve">Closing</t>
  </si>
  <si>
    <t xml:space="preserve">Balance Sheet Check (Assets − Liabilities − Capital)</t>
  </si>
  <si>
    <t xml:space="preserve">Ratios and Liquidity</t>
  </si>
  <si>
    <t xml:space="preserve">Core Fixed Costs per Month</t>
  </si>
  <si>
    <t xml:space="preserve">Balance Sheet Check</t>
  </si>
  <si>
    <t xml:space="preserve">Opening ↔ prior Closing continuity (Q2 Opening − Q1 Closing, etc.)</t>
  </si>
  <si>
    <t xml:space="preserve">n/a</t>
  </si>
  <si>
    <t xml:space="preserve">Effective TB Review Period</t>
  </si>
  <si>
    <t xml:space="preserve">(auto-falls back to latest loaded quarter if selected has no TB rows)</t>
  </si>
  <si>
    <t xml:space="preserve">Finance quality-control view: completeness, movements, exceptions and review tracking for the selected quarter.</t>
  </si>
  <si>
    <t xml:space="preserve">TB ROWS · SELECTED QTR</t>
  </si>
  <si>
    <t xml:space="preserve">BALANCE CHECK (Σ CLOSING)</t>
  </si>
  <si>
    <t xml:space="preserve">UNMAPPED ACCOUNTS</t>
  </si>
  <si>
    <t xml:space="preserve">DUPLICATE ACCT-PERIOD</t>
  </si>
  <si>
    <t xml:space="preserve">NO-MOVEMENT BALANCES</t>
  </si>
  <si>
    <t xml:space="preserve">UNEXPECTED SIGN</t>
  </si>
  <si>
    <t xml:space="preserve">LARGEST MOVEMENT (ABS)</t>
  </si>
  <si>
    <t xml:space="preserve">INTERCOMPANY NET</t>
  </si>
  <si>
    <t xml:space="preserve">MOVEMENT BY ACCOUNT (GHS)</t>
  </si>
  <si>
    <t xml:space="preserve">TOP 10 ACCOUNT MOVEMENTS — SELECTED QUARTER (GHS)</t>
  </si>
  <si>
    <t xml:space="preserve">Rank</t>
  </si>
  <si>
    <t xml:space="preserve">Account</t>
  </si>
  <si>
    <t xml:space="preserve">Description</t>
  </si>
  <si>
    <t xml:space="preserve">EXCEPTIONS AND REVIEW STATUS</t>
  </si>
  <si>
    <t xml:space="preserve">Exception</t>
  </si>
  <si>
    <t xml:space="preserve">Count</t>
  </si>
  <si>
    <t xml:space="preserve">Severity</t>
  </si>
  <si>
    <t xml:space="preserve">Accounts not in Master Mapping</t>
  </si>
  <si>
    <t xml:space="preserve">Duplicate account-period rows</t>
  </si>
  <si>
    <t xml:space="preserve">Unexpected sign (asset −ve / liability +ve)</t>
  </si>
  <si>
    <t xml:space="preserve">No movement in quarter (excl. fixed assets &amp; equity)</t>
  </si>
  <si>
    <t xml:space="preserve">Flagged accounts marked reviewed</t>
  </si>
  <si>
    <t xml:space="preserve">INFO</t>
  </si>
  <si>
    <t xml:space="preserve">Work the exceptions: filter the account detail below (row 40 onward), investigate, then mark Reviewed = Yes. Movement = closing less opening for the selected quarter.</t>
  </si>
  <si>
    <t xml:space="preserve">QMR_Line</t>
  </si>
  <si>
    <t xml:space="preserve">Expected_Sign</t>
  </si>
  <si>
    <t xml:space="preserve">Debits</t>
  </si>
  <si>
    <t xml:space="preserve">Credits</t>
  </si>
  <si>
    <t xml:space="preserve">AbsMove</t>
  </si>
  <si>
    <t xml:space="preserve">No_Movement_Flag</t>
  </si>
  <si>
    <t xml:space="preserve">Sign_Flag</t>
  </si>
  <si>
    <t xml:space="preserve">Reviewed</t>
  </si>
  <si>
    <t xml:space="preserve">Debit</t>
  </si>
  <si>
    <t xml:space="preserve">Credit</t>
  </si>
  <si>
    <t xml:space="preserve">Intercompany_Entity</t>
  </si>
  <si>
    <t xml:space="preserve">Source_File</t>
  </si>
  <si>
    <t xml:space="preserve">Source_Note</t>
  </si>
  <si>
    <t xml:space="preserve">PL_Category</t>
  </si>
  <si>
    <t xml:space="preserve">0020</t>
  </si>
  <si>
    <t xml:space="preserve">Buildings</t>
  </si>
  <si>
    <t xml:space="preserve">PCGH_FR_QuarterlyFinanceSummary_NEW_2026_Q1 1.xlsx</t>
  </si>
  <si>
    <t xml:space="preserve">Closing balance reconstructed as opening less cached difference because source external links were broken</t>
  </si>
  <si>
    <t xml:space="preserve">0021</t>
  </si>
  <si>
    <t xml:space="preserve">Buildings - Accum Depreciation</t>
  </si>
  <si>
    <t xml:space="preserve">0030</t>
  </si>
  <si>
    <t xml:space="preserve">Office Equipment</t>
  </si>
  <si>
    <t xml:space="preserve">0031</t>
  </si>
  <si>
    <t xml:space="preserve">Office Equip - Accum Deprec</t>
  </si>
  <si>
    <t xml:space="preserve">0040</t>
  </si>
  <si>
    <t xml:space="preserve">Furniture and Fixtures</t>
  </si>
  <si>
    <t xml:space="preserve">0041</t>
  </si>
  <si>
    <t xml:space="preserve">Furniture/Fixture Depreciation</t>
  </si>
  <si>
    <t xml:space="preserve">0050</t>
  </si>
  <si>
    <t xml:space="preserve">Computer and Accessories</t>
  </si>
  <si>
    <t xml:space="preserve">0051</t>
  </si>
  <si>
    <t xml:space="preserve">Computer and Accesories depreciation</t>
  </si>
  <si>
    <t xml:space="preserve">0060</t>
  </si>
  <si>
    <t xml:space="preserve">Generator set</t>
  </si>
  <si>
    <t xml:space="preserve">0061</t>
  </si>
  <si>
    <t xml:space="preserve">Generator set depreciation</t>
  </si>
  <si>
    <t xml:space="preserve">0070</t>
  </si>
  <si>
    <t xml:space="preserve">Software</t>
  </si>
  <si>
    <t xml:space="preserve">0071</t>
  </si>
  <si>
    <t xml:space="preserve">Software  - Accum Amortization</t>
  </si>
  <si>
    <t xml:space="preserve">1001</t>
  </si>
  <si>
    <t xml:space="preserve">WIP/Accrued Income</t>
  </si>
  <si>
    <t xml:space="preserve">1100</t>
  </si>
  <si>
    <t xml:space="preserve">Debtors Control Account</t>
  </si>
  <si>
    <t xml:space="preserve">1101</t>
  </si>
  <si>
    <t xml:space="preserve">Sundry Debtors</t>
  </si>
  <si>
    <t xml:space="preserve">1103</t>
  </si>
  <si>
    <t xml:space="preserve">Staff Debtors - Loans</t>
  </si>
  <si>
    <t xml:space="preserve">1122</t>
  </si>
  <si>
    <t xml:space="preserve">Staff Account - Kwame Boakye Agyeman</t>
  </si>
  <si>
    <t xml:space="preserve">1123</t>
  </si>
  <si>
    <t xml:space="preserve">Staff Account - Elikplim Dziwornu Agbitor</t>
  </si>
  <si>
    <t xml:space="preserve">1128</t>
  </si>
  <si>
    <t xml:space="preserve">Staff Account - James Parker (BV Rio)</t>
  </si>
  <si>
    <t xml:space="preserve">Closing balance retained from source cache</t>
  </si>
  <si>
    <t xml:space="preserve">1132</t>
  </si>
  <si>
    <t xml:space="preserve">Staff Account - Aristotle Boaitey</t>
  </si>
  <si>
    <t xml:space="preserve">1135</t>
  </si>
  <si>
    <t xml:space="preserve">Staff Account - Augustus Asamoah</t>
  </si>
  <si>
    <t xml:space="preserve">1137</t>
  </si>
  <si>
    <t xml:space="preserve">Staff Account - James Akossah</t>
  </si>
  <si>
    <t xml:space="preserve">1139</t>
  </si>
  <si>
    <t xml:space="preserve">Staff Account - Ebenezer K.O.Y Gyadu</t>
  </si>
  <si>
    <t xml:space="preserve">1142</t>
  </si>
  <si>
    <t xml:space="preserve">Staff Account - Patricia Offei</t>
  </si>
  <si>
    <t xml:space="preserve">1143</t>
  </si>
  <si>
    <t xml:space="preserve">Staff Account - Clement Obeng Manu</t>
  </si>
  <si>
    <t xml:space="preserve">1145</t>
  </si>
  <si>
    <t xml:space="preserve">Staff Account - Kpenahi Daleba Raymond Bernard</t>
  </si>
  <si>
    <t xml:space="preserve">1147</t>
  </si>
  <si>
    <t xml:space="preserve">Staff Account- Fredrick Antwi</t>
  </si>
  <si>
    <t xml:space="preserve">1150</t>
  </si>
  <si>
    <t xml:space="preserve">Staff Account - Kwadwo Baniako</t>
  </si>
  <si>
    <t xml:space="preserve">1151</t>
  </si>
  <si>
    <t xml:space="preserve">Staff Account-Arthur Tchobang</t>
  </si>
  <si>
    <t xml:space="preserve">1157</t>
  </si>
  <si>
    <t xml:space="preserve">Staff Account-Kingsley Severine Fitz-Gerald</t>
  </si>
  <si>
    <t xml:space="preserve">1160</t>
  </si>
  <si>
    <t xml:space="preserve">Staff Account - Tcheregnimin Soro</t>
  </si>
  <si>
    <t xml:space="preserve">1161</t>
  </si>
  <si>
    <t xml:space="preserve">Staff Account - Michael Anim Ofosu</t>
  </si>
  <si>
    <t xml:space="preserve">1162</t>
  </si>
  <si>
    <t xml:space="preserve">Staff Account - Philip Semaha</t>
  </si>
  <si>
    <t xml:space="preserve">1163</t>
  </si>
  <si>
    <t xml:space="preserve">Staff Account - Louis Defo</t>
  </si>
  <si>
    <t xml:space="preserve">1170</t>
  </si>
  <si>
    <t xml:space="preserve">Prepayments</t>
  </si>
  <si>
    <t xml:space="preserve">1180</t>
  </si>
  <si>
    <t xml:space="preserve">INTER COMPANY - PC - Proforest (UK) Ltd</t>
  </si>
  <si>
    <t xml:space="preserve">1181</t>
  </si>
  <si>
    <t xml:space="preserve">INTER COMPANY - PI - Proforest Initiative</t>
  </si>
  <si>
    <t xml:space="preserve">1185</t>
  </si>
  <si>
    <t xml:space="preserve">Intercompany - PIA</t>
  </si>
  <si>
    <t xml:space="preserve">1187</t>
  </si>
  <si>
    <t xml:space="preserve">INTER COMPANY - PICM Proforest Initiative Cameroon</t>
  </si>
  <si>
    <t xml:space="preserve">1188</t>
  </si>
  <si>
    <t xml:space="preserve">INTER COMPANY - PI-Proforest Initiative Cote D'Ivoire</t>
  </si>
  <si>
    <t xml:space="preserve">1189</t>
  </si>
  <si>
    <t xml:space="preserve">INTER COMPANY - PCID - Proforest Indonesia</t>
  </si>
  <si>
    <t xml:space="preserve">1197</t>
  </si>
  <si>
    <t xml:space="preserve">GROUP Recievable payment requests (PIGH)</t>
  </si>
  <si>
    <t xml:space="preserve">1200</t>
  </si>
  <si>
    <t xml:space="preserve">Current Account GHS ECOBANK</t>
  </si>
  <si>
    <t xml:space="preserve">1205</t>
  </si>
  <si>
    <t xml:space="preserve">GBP ECOBANK - 2441000445709</t>
  </si>
  <si>
    <t xml:space="preserve">1209</t>
  </si>
  <si>
    <t xml:space="preserve">USD (FOREX) ECOBANK - 3441000445708</t>
  </si>
  <si>
    <t xml:space="preserve">1210</t>
  </si>
  <si>
    <t xml:space="preserve">USD ECOBANK - 2441000445711</t>
  </si>
  <si>
    <t xml:space="preserve">1230</t>
  </si>
  <si>
    <t xml:space="preserve">Cash Box - GHS</t>
  </si>
  <si>
    <t xml:space="preserve">1240</t>
  </si>
  <si>
    <t xml:space="preserve">Foreign Cash (Held in Ghs)</t>
  </si>
  <si>
    <t xml:space="preserve">2100</t>
  </si>
  <si>
    <t xml:space="preserve">Creditors Control Account</t>
  </si>
  <si>
    <t xml:space="preserve">2101</t>
  </si>
  <si>
    <t xml:space="preserve">Sundry Creditors</t>
  </si>
  <si>
    <t xml:space="preserve">2109</t>
  </si>
  <si>
    <t xml:space="preserve">Accruals</t>
  </si>
  <si>
    <t xml:space="preserve">2110</t>
  </si>
  <si>
    <t xml:space="preserve">Deferred Income</t>
  </si>
  <si>
    <t xml:space="preserve">2111</t>
  </si>
  <si>
    <t xml:space="preserve">Accrued payment request</t>
  </si>
  <si>
    <t xml:space="preserve">2200</t>
  </si>
  <si>
    <t xml:space="preserve">Sales Tax Control Account</t>
  </si>
  <si>
    <t xml:space="preserve">2201</t>
  </si>
  <si>
    <t xml:space="preserve">Purchase Tax Control Account</t>
  </si>
  <si>
    <t xml:space="preserve">2202</t>
  </si>
  <si>
    <t xml:space="preserve">VAT Liability</t>
  </si>
  <si>
    <t xml:space="preserve">2203</t>
  </si>
  <si>
    <t xml:space="preserve">GETFUND/NHIL</t>
  </si>
  <si>
    <t xml:space="preserve">2205</t>
  </si>
  <si>
    <t xml:space="preserve">COVID LEVY</t>
  </si>
  <si>
    <t xml:space="preserve">2210</t>
  </si>
  <si>
    <t xml:space="preserve">IRS (Personal Tax) Control Account</t>
  </si>
  <si>
    <t xml:space="preserve">2211</t>
  </si>
  <si>
    <t xml:space="preserve">SSNIT 1&amp;2 (Social Costs) Control Account</t>
  </si>
  <si>
    <t xml:space="preserve">2215</t>
  </si>
  <si>
    <t xml:space="preserve">Pension Control Account (Tier 3)</t>
  </si>
  <si>
    <t xml:space="preserve">2220</t>
  </si>
  <si>
    <t xml:space="preserve">Net Wages</t>
  </si>
  <si>
    <t xml:space="preserve">2250</t>
  </si>
  <si>
    <t xml:space="preserve">Corporation Tax</t>
  </si>
  <si>
    <t xml:space="preserve">2251</t>
  </si>
  <si>
    <t xml:space="preserve">Withholding Tax</t>
  </si>
  <si>
    <t xml:space="preserve">2252</t>
  </si>
  <si>
    <t xml:space="preserve">Deferred tax</t>
  </si>
  <si>
    <t xml:space="preserve">2253</t>
  </si>
  <si>
    <t xml:space="preserve">Growth and Sustainability Tax</t>
  </si>
  <si>
    <t xml:space="preserve">2301</t>
  </si>
  <si>
    <t xml:space="preserve">Initial Funding from PF Ltd</t>
  </si>
  <si>
    <t xml:space="preserve">3000</t>
  </si>
  <si>
    <t xml:space="preserve">Ordinary Shares</t>
  </si>
  <si>
    <t xml:space="preserve">3100</t>
  </si>
  <si>
    <t xml:space="preserve">Reserves</t>
  </si>
  <si>
    <t xml:space="preserve">3200</t>
  </si>
  <si>
    <t xml:space="preserve">Profit and Loss Account</t>
  </si>
  <si>
    <t xml:space="preserve">4000</t>
  </si>
  <si>
    <t xml:space="preserve">Consultancy (Fees Contract) Income</t>
  </si>
  <si>
    <t xml:space="preserve">4002</t>
  </si>
  <si>
    <t xml:space="preserve">Grant Income</t>
  </si>
  <si>
    <t xml:space="preserve">4050</t>
  </si>
  <si>
    <t xml:space="preserve">Consultancy (PG+PC Contract Fees) Income</t>
  </si>
  <si>
    <t xml:space="preserve">4200</t>
  </si>
  <si>
    <t xml:space="preserve">Recovered Project Expenses</t>
  </si>
  <si>
    <t xml:space="preserve">4903</t>
  </si>
  <si>
    <t xml:space="preserve">Miscellaneous Income</t>
  </si>
  <si>
    <t xml:space="preserve">5000</t>
  </si>
  <si>
    <t xml:space="preserve">Sub Contractors Fees</t>
  </si>
  <si>
    <t xml:space="preserve">5200</t>
  </si>
  <si>
    <t xml:space="preserve">Recoverable Project Expenses</t>
  </si>
  <si>
    <t xml:space="preserve">5250</t>
  </si>
  <si>
    <t xml:space="preserve">Non-recoverable Project Expense</t>
  </si>
  <si>
    <t xml:space="preserve">6000</t>
  </si>
  <si>
    <t xml:space="preserve">Technical - Salaries</t>
  </si>
  <si>
    <t xml:space="preserve">6010</t>
  </si>
  <si>
    <t xml:space="preserve">Technical - Social taxes</t>
  </si>
  <si>
    <t xml:space="preserve">6020</t>
  </si>
  <si>
    <t xml:space="preserve">Technical - Pension</t>
  </si>
  <si>
    <t xml:space="preserve">6030</t>
  </si>
  <si>
    <t xml:space="preserve">Technical - Health and Medical</t>
  </si>
  <si>
    <t xml:space="preserve">6050</t>
  </si>
  <si>
    <t xml:space="preserve">Recruitment Expenses</t>
  </si>
  <si>
    <t xml:space="preserve">7000</t>
  </si>
  <si>
    <t xml:space="preserve">Support - Salaries</t>
  </si>
  <si>
    <t xml:space="preserve">7010</t>
  </si>
  <si>
    <t xml:space="preserve">Support - Social taxes</t>
  </si>
  <si>
    <t xml:space="preserve">7020</t>
  </si>
  <si>
    <t xml:space="preserve">Support - Pension</t>
  </si>
  <si>
    <t xml:space="preserve">7030</t>
  </si>
  <si>
    <t xml:space="preserve">Support - Health and Medical</t>
  </si>
  <si>
    <t xml:space="preserve">7100</t>
  </si>
  <si>
    <t xml:space="preserve">Staff Welfare</t>
  </si>
  <si>
    <t xml:space="preserve">7120</t>
  </si>
  <si>
    <t xml:space="preserve">Staff Training: Training courses</t>
  </si>
  <si>
    <t xml:space="preserve">7123</t>
  </si>
  <si>
    <t xml:space="preserve">Staff Training: Exchange Week - Tech</t>
  </si>
  <si>
    <t xml:space="preserve">7124</t>
  </si>
  <si>
    <t xml:space="preserve">Staff Training: Exchange Week - Support</t>
  </si>
  <si>
    <t xml:space="preserve">7150</t>
  </si>
  <si>
    <t xml:space="preserve">Health and safety</t>
  </si>
  <si>
    <t xml:space="preserve">7210</t>
  </si>
  <si>
    <t xml:space="preserve">Utilities and service charges</t>
  </si>
  <si>
    <t xml:space="preserve">7220</t>
  </si>
  <si>
    <t xml:space="preserve">Local taxes and rates</t>
  </si>
  <si>
    <t xml:space="preserve">7400</t>
  </si>
  <si>
    <t xml:space="preserve">Communications</t>
  </si>
  <si>
    <t xml:space="preserve">7410</t>
  </si>
  <si>
    <t xml:space="preserve">Proforest development</t>
  </si>
  <si>
    <t xml:space="preserve">7420</t>
  </si>
  <si>
    <t xml:space="preserve">Memberships, subscriptions and licences</t>
  </si>
  <si>
    <t xml:space="preserve">7430</t>
  </si>
  <si>
    <t xml:space="preserve">Sponsorship of Students</t>
  </si>
  <si>
    <t xml:space="preserve">7440</t>
  </si>
  <si>
    <t xml:space="preserve">Senior Staff Meetings</t>
  </si>
  <si>
    <t xml:space="preserve">7540</t>
  </si>
  <si>
    <t xml:space="preserve">Stationery</t>
  </si>
  <si>
    <t xml:space="preserve">7550</t>
  </si>
  <si>
    <t xml:space="preserve">Printing and photocopying</t>
  </si>
  <si>
    <t xml:space="preserve">7570</t>
  </si>
  <si>
    <t xml:space="preserve">7580</t>
  </si>
  <si>
    <t xml:space="preserve">Misc Office Costs</t>
  </si>
  <si>
    <t xml:space="preserve">7620</t>
  </si>
  <si>
    <t xml:space="preserve">Accounting and audit fees</t>
  </si>
  <si>
    <t xml:space="preserve">7630</t>
  </si>
  <si>
    <t xml:space="preserve">Insurance</t>
  </si>
  <si>
    <t xml:space="preserve">7650</t>
  </si>
  <si>
    <t xml:space="preserve">Group Associated Fixed costs</t>
  </si>
  <si>
    <t xml:space="preserve">7660</t>
  </si>
  <si>
    <t xml:space="preserve">Pension and Payroll admin Charges</t>
  </si>
  <si>
    <t xml:space="preserve">7700</t>
  </si>
  <si>
    <t xml:space="preserve">IT Computer Software and development</t>
  </si>
  <si>
    <t xml:space="preserve">7710</t>
  </si>
  <si>
    <t xml:space="preserve">IT Equipment &lt;GHS300</t>
  </si>
  <si>
    <t xml:space="preserve">7730</t>
  </si>
  <si>
    <t xml:space="preserve">IT Support - Accounting System</t>
  </si>
  <si>
    <t xml:space="preserve">7740</t>
  </si>
  <si>
    <t xml:space="preserve">IT Support- Websites</t>
  </si>
  <si>
    <t xml:space="preserve">7750</t>
  </si>
  <si>
    <t xml:space="preserve">IT Support - Internet</t>
  </si>
  <si>
    <t xml:space="preserve">7760</t>
  </si>
  <si>
    <t xml:space="preserve">GIS / Data management</t>
  </si>
  <si>
    <t xml:space="preserve">7800</t>
  </si>
  <si>
    <t xml:space="preserve">Office maintenance</t>
  </si>
  <si>
    <t xml:space="preserve">7810</t>
  </si>
  <si>
    <t xml:space="preserve">Office security</t>
  </si>
  <si>
    <t xml:space="preserve">7820</t>
  </si>
  <si>
    <t xml:space="preserve">Cleaning and laundry</t>
  </si>
  <si>
    <t xml:space="preserve">7910</t>
  </si>
  <si>
    <t xml:space="preserve">Bank Charges</t>
  </si>
  <si>
    <t xml:space="preserve">7940</t>
  </si>
  <si>
    <t xml:space="preserve">Exchange Rate Variance</t>
  </si>
  <si>
    <t xml:space="preserve">Management Commentary and Action Log</t>
  </si>
  <si>
    <t xml:space="preserve">One row per issue or insight. Answer: what happened, why, impact, risk, action, owner, deadline. Open items surface on the Landing Page and QMR Dashboard. All cells here are inputs.</t>
  </si>
  <si>
    <t xml:space="preserve">Section</t>
  </si>
  <si>
    <t xml:space="preserve">What happened</t>
  </si>
  <si>
    <t xml:space="preserve">Why it happened</t>
  </si>
  <si>
    <t xml:space="preserve">Financial impact (GHS)</t>
  </si>
  <si>
    <t xml:space="preserve">Risk</t>
  </si>
  <si>
    <t xml:space="preserve">Action required</t>
  </si>
  <si>
    <t xml:space="preserve">Owner</t>
  </si>
  <si>
    <t xml:space="preserve">Deadline</t>
  </si>
  <si>
    <t xml:space="preserve">YTD spend GHS 2.78m is 664k below phased budget (81% of YTD budget)</t>
  </si>
  <si>
    <t xml:space="preserve">Even 1/12 phasing vs actual cost timing; some categories not yet incurred</t>
  </si>
  <si>
    <t xml:space="preserve">Phasing may mask commitments landing later in the year</t>
  </si>
  <si>
    <t xml:space="preserve">Confirm monthly phasing with budget holders; replace even phasing if a profile is approved</t>
  </si>
  <si>
    <t xml:space="preserve">Finance</t>
  </si>
  <si>
    <t xml:space="preserve">2026-08-15</t>
  </si>
  <si>
    <t xml:space="preserve">Open</t>
  </si>
  <si>
    <t xml:space="preserve">Project Income</t>
  </si>
  <si>
    <t xml:space="preserve">PCGH767 (Presco scoping) WIP at 147% of net forecast</t>
  </si>
  <si>
    <t xml:space="preserve">Project invoiced more than the remaining-year forecast held in mapping</t>
  </si>
  <si>
    <t xml:space="preserve">Forecast understated; other projects may be similar</t>
  </si>
  <si>
    <t xml:space="preserve">PM to true-up gross forecast in MM_Income for completed projects</t>
  </si>
  <si>
    <t xml:space="preserve">Project Leads</t>
  </si>
  <si>
    <t xml:space="preserve">2026-07-31</t>
  </si>
  <si>
    <t xml:space="preserve">Executive</t>
  </si>
  <si>
    <t xml:space="preserve">Programme income (GHS 3.34m budget) not yet split by portfolio</t>
  </si>
  <si>
    <t xml:space="preserve">No portfolio allocation received from programme team</t>
  </si>
  <si>
    <t xml:space="preserve">QMR programme rows show Unallocated; portfolio story incomplete</t>
  </si>
  <si>
    <t xml:space="preserve">Provide portfolio split on QMR_Inputs block 1</t>
  </si>
  <si>
    <t xml:space="preserve">One row per fixed-cost line (nominal codes 6000–7950). Budgets from MM_FixedCost; monthly actuals from Nominal_Activity; PIGH cost share at mapped %. Comments are the only inputs on this tab.</t>
  </si>
  <si>
    <t xml:space="preserve">Reporting Qtr</t>
  </si>
  <si>
    <t xml:space="preserve">Nom_Code</t>
  </si>
  <si>
    <t xml:space="preserve">Item</t>
  </si>
  <si>
    <t xml:space="preserve">YTD_Budget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</si>
  <si>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</si>
  <si>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</si>
  <si>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</si>
  <si>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</si>
  <si>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</si>
  <si>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</si>
  <si>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</si>
  <si>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</si>
  <si>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</si>
  <si>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</si>
  <si>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</si>
  <si>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</si>
  <si>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Variance_YTD</t>
  </si>
  <si>
    <t xml:space="preserve">Comments</t>
  </si>
  <si>
    <t xml:space="preserve">Q1_Actual</t>
  </si>
  <si>
    <t xml:space="preserve">Q1_PIGH_Share</t>
  </si>
  <si>
    <t xml:space="preserve">Q2_Actual</t>
  </si>
  <si>
    <t xml:space="preserve">Q2_PIGH_Share</t>
  </si>
  <si>
    <t xml:space="preserve">Q3_Actual</t>
  </si>
  <si>
    <t xml:space="preserve">Q3_PIGH_Share</t>
  </si>
  <si>
    <t xml:space="preserve">Q4_Actual</t>
  </si>
  <si>
    <t xml:space="preserve">Q4_PIGH_Share</t>
  </si>
  <si>
    <t xml:space="preserve">PIGH_Share_ThisQtr</t>
  </si>
  <si>
    <t xml:space="preserve">Project_ID</t>
  </si>
  <si>
    <t xml:space="preserve">Project_Name</t>
  </si>
  <si>
    <t xml:space="preserve">Transaction_ID</t>
  </si>
  <si>
    <t xml:space="preserve">TX_No</t>
  </si>
  <si>
    <t xml:space="preserve">Type</t>
  </si>
  <si>
    <t xml:space="preserve">Account_Item</t>
  </si>
  <si>
    <t xml:space="preserve">Ref_1</t>
  </si>
  <si>
    <t xml:space="preserve">Cost_Code</t>
  </si>
  <si>
    <t xml:space="preserve">Details_Labour</t>
  </si>
  <si>
    <t xml:space="preserve">Details_Expenditure</t>
  </si>
  <si>
    <t xml:space="preserve">Labour_Hours</t>
  </si>
  <si>
    <t xml:space="preserve">Amount_Local</t>
  </si>
  <si>
    <t xml:space="preserve">Amount_GBP</t>
  </si>
  <si>
    <t xml:space="preserve">Record_Key</t>
  </si>
  <si>
    <t xml:space="preserve">Duplicate_Flag</t>
  </si>
  <si>
    <t xml:space="preserve">Flow_Group</t>
  </si>
  <si>
    <t xml:space="preserve">PCGH774</t>
  </si>
  <si>
    <t xml:space="preserve">Evaluation_Deep-Dive_Action Plans by Socfin Group</t>
  </si>
  <si>
    <t xml:space="preserve">SI</t>
  </si>
  <si>
    <t xml:space="preserve">SOCFINCO</t>
  </si>
  <si>
    <t xml:space="preserve">2026005</t>
  </si>
  <si>
    <t xml:space="preserve">First 40% invoice on signing of contract for Independent Eva</t>
  </si>
  <si>
    <t xml:space="preserve">PCGH_Proj_IncandFC_31.03.2026 1.xlsx</t>
  </si>
  <si>
    <t xml:space="preserve">PCGH775</t>
  </si>
  <si>
    <t xml:space="preserve">ESDD of Valency Operations for FMO</t>
  </si>
  <si>
    <t xml:space="preserve">PI</t>
  </si>
  <si>
    <t xml:space="preserve">SATGURU</t>
  </si>
  <si>
    <t xml:space="preserve">TRAVEL</t>
  </si>
  <si>
    <t xml:space="preserve">Flight Ticket for Stephen to Cote D'Ivoire for PCGH775</t>
  </si>
  <si>
    <t xml:space="preserve">Flight Ticket for Stephen, Kwadwo and Joseph</t>
  </si>
  <si>
    <t xml:space="preserve">PCGH772</t>
  </si>
  <si>
    <t xml:space="preserve">Presco Ext III_HCV-HCSA Assessment</t>
  </si>
  <si>
    <t xml:space="preserve">DRALFRED</t>
  </si>
  <si>
    <t xml:space="preserve">SC1991-PCGH772-2025</t>
  </si>
  <si>
    <t xml:space="preserve">LAB2</t>
  </si>
  <si>
    <t xml:space="preserve">Botanical survey of Presco Plc’s Concession in Orhionmwon</t>
  </si>
  <si>
    <t xml:space="preserve">VALENCY</t>
  </si>
  <si>
    <t xml:space="preserve">2026008</t>
  </si>
  <si>
    <t xml:space="preserve">First 40% invoice on contract signing of Environmental and S</t>
  </si>
  <si>
    <t xml:space="preserve">PI26020014</t>
  </si>
  <si>
    <t xml:space="preserve">Flight ticket for Kwadwo to Lagos for PCGH774</t>
  </si>
  <si>
    <t xml:space="preserve">PCGH777</t>
  </si>
  <si>
    <t xml:space="preserve">General_Mills_Cocoa_Land_Use_Change_Emmissions</t>
  </si>
  <si>
    <t xml:space="preserve">NYAMEADO</t>
  </si>
  <si>
    <t xml:space="preserve">INV262602NA04</t>
  </si>
  <si>
    <t xml:space="preserve">SUBSIST</t>
  </si>
  <si>
    <t xml:space="preserve">Hotel Accommodation for staff for 4 nights</t>
  </si>
  <si>
    <t xml:space="preserve">CP</t>
  </si>
  <si>
    <t xml:space="preserve">1260</t>
  </si>
  <si>
    <t xml:space="preserve">JIM-2026-03A</t>
  </si>
  <si>
    <t xml:space="preserve">Meals at Accra Int. Airport</t>
  </si>
  <si>
    <t xml:space="preserve">Meals at Kilimanjaro</t>
  </si>
  <si>
    <t xml:space="preserve">Accra Int Airport to Home</t>
  </si>
  <si>
    <t xml:space="preserve">Meals at Eat Easy restaurant</t>
  </si>
  <si>
    <t xml:space="preserve">Meals at Lime ridge Hotel, Nigeria</t>
  </si>
  <si>
    <t xml:space="preserve">Groceries</t>
  </si>
  <si>
    <t xml:space="preserve">Home to Accra Int. Airport</t>
  </si>
  <si>
    <t xml:space="preserve">KFG-2026-03A</t>
  </si>
  <si>
    <t xml:space="preserve">Data and Airtime</t>
  </si>
  <si>
    <t xml:space="preserve">Transportation to Benin (Sub-consultant and Proforest Team)</t>
  </si>
  <si>
    <t xml:space="preserve">Transportation (Return) for sub-consultant</t>
  </si>
  <si>
    <t xml:space="preserve">SD-2026-03A</t>
  </si>
  <si>
    <t xml:space="preserve">Bolt to airport</t>
  </si>
  <si>
    <t xml:space="preserve">Bolt from airport to home</t>
  </si>
  <si>
    <t xml:space="preserve">Hotel</t>
  </si>
  <si>
    <t xml:space="preserve">Dinner</t>
  </si>
  <si>
    <t xml:space="preserve">Hotel-Day 2</t>
  </si>
  <si>
    <t xml:space="preserve">Hotel in Abidjan-Day 1</t>
  </si>
  <si>
    <t xml:space="preserve">PCGH776</t>
  </si>
  <si>
    <t xml:space="preserve">Deforestation_Risk Assessment_Cashew Coast</t>
  </si>
  <si>
    <t xml:space="preserve">KRISHNA</t>
  </si>
  <si>
    <t xml:space="preserve">INV26030135</t>
  </si>
  <si>
    <t xml:space="preserve">Airticket for Clement</t>
  </si>
  <si>
    <t xml:space="preserve">PCGH778</t>
  </si>
  <si>
    <t xml:space="preserve">Mirror_PCUK111_Nestle_RS_Sugar_A_General Support</t>
  </si>
  <si>
    <t xml:space="preserve">INV26030134</t>
  </si>
  <si>
    <t xml:space="preserve">Airticket for Aristotle Boaitey &amp; Patrcia Offei</t>
  </si>
  <si>
    <t xml:space="preserve">PCGH762</t>
  </si>
  <si>
    <t xml:space="preserve">GVL_HCSA_Restoration_Project</t>
  </si>
  <si>
    <t xml:space="preserve">INV26030232</t>
  </si>
  <si>
    <t xml:space="preserve">Airticket for KBN,JPM, Danquah Emmanuel &amp; Akomatey Peter</t>
  </si>
  <si>
    <t xml:space="preserve">PCGH780</t>
  </si>
  <si>
    <t xml:space="preserve">Mirror_PCUK111_Nestle_RS_Sugar_2026_C_NIG</t>
  </si>
  <si>
    <t xml:space="preserve">INV26030275</t>
  </si>
  <si>
    <t xml:space="preserve">Airticket for 33 Participants (Nestle Sugar Kickoff Meeting)</t>
  </si>
  <si>
    <t xml:space="preserve">PC_GBP</t>
  </si>
  <si>
    <t xml:space="preserve">2026015</t>
  </si>
  <si>
    <t xml:space="preserve">Advance payment for Nestle Nigeria validation workshop under</t>
  </si>
  <si>
    <t xml:space="preserve">Advance payment for Africa Sugar Conference under Mirror_PCU</t>
  </si>
  <si>
    <t xml:space="preserve">CASHEW</t>
  </si>
  <si>
    <t xml:space="preserve">2026007</t>
  </si>
  <si>
    <t xml:space="preserve">First 40% invoice on contract signing for Assessment of defo</t>
  </si>
  <si>
    <t xml:space="preserve">BP</t>
  </si>
  <si>
    <t xml:space="preserve">FXPV330</t>
  </si>
  <si>
    <t xml:space="preserve">MEET-WOR</t>
  </si>
  <si>
    <t xml:space="preserve">Payment of Africa Sugar Conference ticket for Pat</t>
  </si>
  <si>
    <t xml:space="preserve">Payment of Africa Sugar Conference ticket for Aristo</t>
  </si>
  <si>
    <t xml:space="preserve">PCGH767</t>
  </si>
  <si>
    <t xml:space="preserve">Presco_HCV-HCS Scoping Study</t>
  </si>
  <si>
    <t xml:space="preserve">PRESCOPL</t>
  </si>
  <si>
    <t xml:space="preserve">2026006</t>
  </si>
  <si>
    <t xml:space="preserve">50% invoice on contract signing signing for Integrated HCV-H</t>
  </si>
  <si>
    <t xml:space="preserve">Rechargeable Expenses</t>
  </si>
  <si>
    <t xml:space="preserve">PCGH786</t>
  </si>
  <si>
    <t xml:space="preserve">Impact level baseline assessment for FGMC</t>
  </si>
  <si>
    <t xml:space="preserve">2026017</t>
  </si>
  <si>
    <t xml:space="preserve">Milestone 2 - Stakeholder Engagement, Site visit and Data Co</t>
  </si>
  <si>
    <t xml:space="preserve">NIRASUK</t>
  </si>
  <si>
    <t xml:space="preserve">2026016</t>
  </si>
  <si>
    <t xml:space="preserve">Milestone 1 - Desk study, Development of Assessment Framewor</t>
  </si>
  <si>
    <t xml:space="preserve">2026004</t>
  </si>
  <si>
    <t xml:space="preserve">Second Invoice for Year 1 upon completion of  Q2 activities</t>
  </si>
  <si>
    <t xml:space="preserve">PCGH785</t>
  </si>
  <si>
    <t xml:space="preserve">RENL_Ago-Iwoye_HCV-HCSA New Scoping</t>
  </si>
  <si>
    <t xml:space="preserve">PCGH784</t>
  </si>
  <si>
    <t xml:space="preserve">RENL_Erua_HCV-HCSA Assessment</t>
  </si>
  <si>
    <t xml:space="preserve">2026010</t>
  </si>
  <si>
    <t xml:space="preserve">First 40% invoice on contract signing for Full Integrated HC</t>
  </si>
  <si>
    <t xml:space="preserve">2026011</t>
  </si>
  <si>
    <t xml:space="preserve">First 50% invoice for Integrated HCV-HCSA Scoping Study for</t>
  </si>
  <si>
    <t xml:space="preserve">2026012</t>
  </si>
  <si>
    <t xml:space="preserve">First 50% invoice on contract signing for PCUK1127-PCGH777-2</t>
  </si>
  <si>
    <t xml:space="preserve">2026014</t>
  </si>
  <si>
    <t xml:space="preserve">Second 30% invoice on completion of fieldwork for Full Integ</t>
  </si>
  <si>
    <t xml:space="preserve">INV260416338</t>
  </si>
  <si>
    <t xml:space="preserve">2Days car rental to Cape Coast for FGMC</t>
  </si>
  <si>
    <t xml:space="preserve">2Days car rental to Cape Coast for FGMC-Getfund/NHIL</t>
  </si>
  <si>
    <t xml:space="preserve">2Days car rental to Cape Coast for FGMC- Tourism Levy</t>
  </si>
  <si>
    <t xml:space="preserve">BONSI</t>
  </si>
  <si>
    <t xml:space="preserve">SC1316-PCGH786</t>
  </si>
  <si>
    <t xml:space="preserve">8days consultancy fees Support with data gathering</t>
  </si>
  <si>
    <t xml:space="preserve">DANQUAH</t>
  </si>
  <si>
    <t xml:space="preserve">SC1216-2026-PCGH762</t>
  </si>
  <si>
    <t xml:space="preserve">Fauna Survey in Nitrian Community Forest PCGH762</t>
  </si>
  <si>
    <t xml:space="preserve">AYESU</t>
  </si>
  <si>
    <t xml:space="preserve">SC1836-2026-PCGH762</t>
  </si>
  <si>
    <t xml:space="preserve">Invoice for flora survey Nitrian community</t>
  </si>
  <si>
    <t xml:space="preserve">FXPV335</t>
  </si>
  <si>
    <t xml:space="preserve">Final payment to hotel for workshop in Nigeria</t>
  </si>
  <si>
    <t xml:space="preserve">FXPV332</t>
  </si>
  <si>
    <t xml:space="preserve">Initial payment to hotel for Nestle Workshop in Nigeria</t>
  </si>
  <si>
    <t xml:space="preserve">30% invoice on completion of fieldwor for Assessment of defo</t>
  </si>
  <si>
    <t xml:space="preserve">PCGH769</t>
  </si>
  <si>
    <t xml:space="preserve">BPL_HCV-HCSA Assessment &amp; GHG</t>
  </si>
  <si>
    <t xml:space="preserve">HCVNL</t>
  </si>
  <si>
    <t xml:space="preserve">INV-1628</t>
  </si>
  <si>
    <t xml:space="preserve">OTHER</t>
  </si>
  <si>
    <t xml:space="preserve">Resubmission of BPLs HCV-HCSA Assessment Report</t>
  </si>
  <si>
    <t xml:space="preserve">PCGH738</t>
  </si>
  <si>
    <t xml:space="preserve">Barnsley2_integrated_HCV-HCS_assessment</t>
  </si>
  <si>
    <t xml:space="preserve">ADESOJI</t>
  </si>
  <si>
    <t xml:space="preserve">SC1991-PCGH784-2026</t>
  </si>
  <si>
    <t xml:space="preserve">Invoice for Rubber Estate Nigeria Limited Botanical Survey</t>
  </si>
  <si>
    <t xml:space="preserve">INV260417761</t>
  </si>
  <si>
    <t xml:space="preserve">05Days car rental for FGMC data collection</t>
  </si>
  <si>
    <t xml:space="preserve">05Days car rental for FGMC data collection-Tourism Levy</t>
  </si>
  <si>
    <t xml:space="preserve">05Days car rental for FGMC data collection-Getfund/Nhil</t>
  </si>
  <si>
    <t xml:space="preserve">INV260402247</t>
  </si>
  <si>
    <t xml:space="preserve">Flight ticket for Clement and Aristo to Nigeria-sunti</t>
  </si>
  <si>
    <t xml:space="preserve">PCGH779</t>
  </si>
  <si>
    <t xml:space="preserve">Mirror_PCUK111_Nestle_RS_Sugar_2026_B_CIV</t>
  </si>
  <si>
    <t xml:space="preserve">INV26040265</t>
  </si>
  <si>
    <t xml:space="preserve">Flight ticket for Patricia to CIV</t>
  </si>
  <si>
    <t xml:space="preserve">PCGH789</t>
  </si>
  <si>
    <t xml:space="preserve">EHS&amp;S Audit for Valency MSMO Project</t>
  </si>
  <si>
    <t xml:space="preserve">First 50% invoice on contract signing for Environmental, Hea</t>
  </si>
  <si>
    <t xml:space="preserve">BARN</t>
  </si>
  <si>
    <t xml:space="preserve">Second 30% Invoice upon completion of fieldwork for Integrat</t>
  </si>
  <si>
    <t xml:space="preserve">Final 30% invoice on completion and submission of final repo</t>
  </si>
  <si>
    <t xml:space="preserve">PCV2157</t>
  </si>
  <si>
    <t xml:space="preserve">Bolt for KNB to FC</t>
  </si>
  <si>
    <t xml:space="preserve">AB-2026-04A</t>
  </si>
  <si>
    <t xml:space="preserve">Taxi from office to airport to catch a flight to Nigeria for</t>
  </si>
  <si>
    <t xml:space="preserve">Taxi from home to Oxford office and then to Heathrow airport</t>
  </si>
  <si>
    <t xml:space="preserve">AB-2026-05A</t>
  </si>
  <si>
    <t xml:space="preserve">Purchase of Fuel to Forestry Commission</t>
  </si>
  <si>
    <t xml:space="preserve">ArB-2026-06A</t>
  </si>
  <si>
    <t xml:space="preserve">Uber to airport</t>
  </si>
  <si>
    <t xml:space="preserve">Taxi from bus stop to home</t>
  </si>
  <si>
    <t xml:space="preserve">Uber from airport (after Sunti visit)</t>
  </si>
  <si>
    <t xml:space="preserve">Meals at airport</t>
  </si>
  <si>
    <t xml:space="preserve">Uber to airport (before Sunti visit)</t>
  </si>
  <si>
    <t xml:space="preserve">Uber from airport to home (after ASC in Nairobi)</t>
  </si>
  <si>
    <t xml:space="preserve">Uber to airport from Kempinski hotel (after ASC in Nairobi)</t>
  </si>
  <si>
    <t xml:space="preserve">Uber from airport to Kempinski hotel (before ASC in Nairobi)</t>
  </si>
  <si>
    <t xml:space="preserve">Uber to airport (before ASC in Nairobi)</t>
  </si>
  <si>
    <t xml:space="preserve">Bolt from airport to home (after Nigeria workshop)</t>
  </si>
  <si>
    <t xml:space="preserve">Taxi from home to bust station (UK)</t>
  </si>
  <si>
    <t xml:space="preserve">Bus from OXF to Gatwick and from Heathrow to OXF</t>
  </si>
  <si>
    <t xml:space="preserve">COM-2026-05A</t>
  </si>
  <si>
    <t xml:space="preserve">Meals</t>
  </si>
  <si>
    <t xml:space="preserve">Vehicle rental</t>
  </si>
  <si>
    <t xml:space="preserve">Accommodation</t>
  </si>
  <si>
    <t xml:space="preserve">Drinks and snack for stakeholders</t>
  </si>
  <si>
    <t xml:space="preserve">Field guide</t>
  </si>
  <si>
    <t xml:space="preserve">Fuel</t>
  </si>
  <si>
    <t xml:space="preserve">Other food and drinks</t>
  </si>
  <si>
    <t xml:space="preserve">Bolt</t>
  </si>
  <si>
    <t xml:space="preserve">Food and drinks in Abidjan</t>
  </si>
  <si>
    <t xml:space="preserve">Hotel in Abidjan</t>
  </si>
  <si>
    <t xml:space="preserve">Fuel and driver</t>
  </si>
  <si>
    <t xml:space="preserve">Accommodation in Bouake</t>
  </si>
  <si>
    <t xml:space="preserve">Food and drinks at the hotel in Bouake</t>
  </si>
  <si>
    <t xml:space="preserve">Allowance for bikers</t>
  </si>
  <si>
    <t xml:space="preserve">Fuel used for bikes for field work</t>
  </si>
  <si>
    <t xml:space="preserve">One night stay in Abidjan</t>
  </si>
  <si>
    <t xml:space="preserve">Airport meal</t>
  </si>
  <si>
    <t xml:space="preserve">EI-2026-04A</t>
  </si>
  <si>
    <t xml:space="preserve">Payment to photographer for the workshop</t>
  </si>
  <si>
    <t xml:space="preserve">Part Payment to Legend Hotel</t>
  </si>
  <si>
    <t xml:space="preserve">Fuel Reimbursements to Participants who came by road</t>
  </si>
  <si>
    <t xml:space="preserve">Per Diem For Participants</t>
  </si>
  <si>
    <t xml:space="preserve">Hotel Accommodation for Aristotle &amp; Patricia for Africa suga</t>
  </si>
  <si>
    <t xml:space="preserve">JPM-2026-04A</t>
  </si>
  <si>
    <t xml:space="preserve">Lunch for staff at Accra</t>
  </si>
  <si>
    <t xml:space="preserve">Car hiring for staff from hotel to airport</t>
  </si>
  <si>
    <t xml:space="preserve">Accommodation for staff and consultants</t>
  </si>
  <si>
    <t xml:space="preserve">Water and Soft drinks</t>
  </si>
  <si>
    <t xml:space="preserve">Provisions for team</t>
  </si>
  <si>
    <t xml:space="preserve">One night accommodation for 2 staff and 2 consultants sultan</t>
  </si>
  <si>
    <t xml:space="preserve">Fuel for rounds (FC, Mineral commission, OASL, EPA</t>
  </si>
  <si>
    <t xml:space="preserve">Fuel for rounds (FC, Minerals Commission, OASL, EPA</t>
  </si>
  <si>
    <t xml:space="preserve">Bolts from Mineral Commission back to office after distribut</t>
  </si>
  <si>
    <t xml:space="preserve">Bolt to Minerals Commission to distribute letters</t>
  </si>
  <si>
    <t xml:space="preserve">Bolt to FC for distribution of letters</t>
  </si>
  <si>
    <t xml:space="preserve">Taxi for staff from Office to Kotoka Int Airport</t>
  </si>
  <si>
    <t xml:space="preserve">JIM-2026-06A</t>
  </si>
  <si>
    <t xml:space="preserve">meals</t>
  </si>
  <si>
    <t xml:space="preserve">tnt[airport to home]</t>
  </si>
  <si>
    <t xml:space="preserve">meals/snacks</t>
  </si>
  <si>
    <t xml:space="preserve">voice and data credit</t>
  </si>
  <si>
    <t xml:space="preserve">tnt [home to airport]</t>
  </si>
  <si>
    <t xml:space="preserve">sim card+voice/data+exchange rate</t>
  </si>
  <si>
    <t xml:space="preserve">meals at Accra Int Airport</t>
  </si>
  <si>
    <t xml:space="preserve">tnt: office to epa</t>
  </si>
  <si>
    <t xml:space="preserve">tnt: epa to office</t>
  </si>
  <si>
    <t xml:space="preserve">Fuel cost to EPA</t>
  </si>
  <si>
    <t xml:space="preserve">tnt: from Min. Comm to home</t>
  </si>
  <si>
    <t xml:space="preserve">tnt: Home to EPA</t>
  </si>
  <si>
    <t xml:space="preserve">tnt: EPA to offfice</t>
  </si>
  <si>
    <t xml:space="preserve">tnt: OASL to home</t>
  </si>
  <si>
    <t xml:space="preserve">TNT: HOME TO EPA</t>
  </si>
  <si>
    <t xml:space="preserve">TNT: EPA to OASL</t>
  </si>
  <si>
    <t xml:space="preserve">KFG-2026-04A</t>
  </si>
  <si>
    <t xml:space="preserve">PCGH788</t>
  </si>
  <si>
    <t xml:space="preserve">CDC Boa &amp; Mondoni CV-HCS Scoping</t>
  </si>
  <si>
    <t xml:space="preserve">Printing and Delivery of Maps</t>
  </si>
  <si>
    <t xml:space="preserve">KNB-2026-04A</t>
  </si>
  <si>
    <t xml:space="preserve">Group transport SAC verification</t>
  </si>
  <si>
    <t xml:space="preserve">Ground transport</t>
  </si>
  <si>
    <t xml:space="preserve">Lunch at hotel</t>
  </si>
  <si>
    <t xml:space="preserve">Ground transport - Valency audit</t>
  </si>
  <si>
    <t xml:space="preserve">KNB-2026-05A</t>
  </si>
  <si>
    <t xml:space="preserve">Cost of transport for FGMC data collection</t>
  </si>
  <si>
    <t xml:space="preserve">MAO-2026-05A</t>
  </si>
  <si>
    <t xml:space="preserve">Fuel for Vehicle</t>
  </si>
  <si>
    <t xml:space="preserve">Dinner for 3</t>
  </si>
  <si>
    <t xml:space="preserve">Dinner for 2</t>
  </si>
  <si>
    <t xml:space="preserve">Hotel for 2</t>
  </si>
  <si>
    <t xml:space="preserve">Internet for Turbo</t>
  </si>
  <si>
    <t xml:space="preserve">Hotel for driver</t>
  </si>
  <si>
    <t xml:space="preserve">Lunch for 3</t>
  </si>
  <si>
    <t xml:space="preserve">Fuel for vehicle</t>
  </si>
  <si>
    <t xml:space="preserve">Food for 3 people</t>
  </si>
  <si>
    <t xml:space="preserve">Hotel for 1</t>
  </si>
  <si>
    <t xml:space="preserve">Hotel rooms for 3 people</t>
  </si>
  <si>
    <t xml:space="preserve">Dinner for 3 with Water</t>
  </si>
  <si>
    <t xml:space="preserve">Food and drinks for 4 people</t>
  </si>
  <si>
    <t xml:space="preserve">Food and delivery for 1</t>
  </si>
  <si>
    <t xml:space="preserve">Food and drinks for 3</t>
  </si>
  <si>
    <t xml:space="preserve">Dinner and delivery for 1</t>
  </si>
  <si>
    <t xml:space="preserve">SD-2026-04A</t>
  </si>
  <si>
    <t xml:space="preserve">Bolt from home to airport</t>
  </si>
  <si>
    <t xml:space="preserve">Bolt ride from airport to home</t>
  </si>
  <si>
    <t xml:space="preserve">Bolt ride from home to airport</t>
  </si>
  <si>
    <t xml:space="preserve">PCGH793</t>
  </si>
  <si>
    <t xml:space="preserve">PCGH793_HCV-HCSA-Scoping_RENL_Calabar_Concession</t>
  </si>
  <si>
    <t xml:space="preserve">SD-2026-05A</t>
  </si>
  <si>
    <t xml:space="preserve">Bolt from airport to home_RENL Ago-Iwoye fieldwork</t>
  </si>
  <si>
    <t xml:space="preserve">PS-2026-05A</t>
  </si>
  <si>
    <t xml:space="preserve">Airport Taxi home for 2</t>
  </si>
  <si>
    <t xml:space="preserve">Internet Data Subscription</t>
  </si>
  <si>
    <t xml:space="preserve">Snacks &amp; Fruits</t>
  </si>
  <si>
    <t xml:space="preserve">PCGH722</t>
  </si>
  <si>
    <t xml:space="preserve">HCV_HCS_Full_Assessment_Sucrivoire</t>
  </si>
  <si>
    <t xml:space="preserve">INV-1652  Sucrivoire</t>
  </si>
  <si>
    <t xml:space="preserve">Resubmission of HCV HCSA Report for Sucrivoire</t>
  </si>
  <si>
    <t xml:space="preserve">PCGH787</t>
  </si>
  <si>
    <t xml:space="preserve">Mirror_PUCK1184_Hershey_Integrated_DD_Phase2</t>
  </si>
  <si>
    <t xml:space="preserve">First 50% invoice on contract signing of PCUK1184_PCGH787_20</t>
  </si>
  <si>
    <t xml:space="preserve">SUCRI</t>
  </si>
  <si>
    <t xml:space="preserve">Reimbursement of payment made to HCV Network for review of H</t>
  </si>
  <si>
    <t xml:space="preserve">First 50% invoice on contract signing for PCUK1170-PCGH778-2</t>
  </si>
  <si>
    <t xml:space="preserve">First 50% invoice on contract signing of PCUK1170-PCGH779-20</t>
  </si>
  <si>
    <t xml:space="preserve">First 50% invoice on contract signing of PCUK1170-PCGH780-20</t>
  </si>
  <si>
    <t xml:space="preserve">PCGH790</t>
  </si>
  <si>
    <t xml:space="preserve">Mirror_PCUK1207_Nestle Soy 2026</t>
  </si>
  <si>
    <t xml:space="preserve">PC_USD</t>
  </si>
  <si>
    <t xml:space="preserve">First 50% invoice on contract signing for PCUK1207-PCGH790-2</t>
  </si>
  <si>
    <t xml:space="preserve">PCGH783</t>
  </si>
  <si>
    <t xml:space="preserve">Mirror_PCUK111_Nestle_RS_Sugar_2026_F_ZIM</t>
  </si>
  <si>
    <t xml:space="preserve">First 50% invoice on contract signing of PCUK1170-PCGH783-20</t>
  </si>
  <si>
    <t xml:space="preserve">PCGH792</t>
  </si>
  <si>
    <t xml:space="preserve">HCV-HCSA-Scoping_RENL_Isi_Concession</t>
  </si>
  <si>
    <t xml:space="preserve">First 50% invoice on contract signing of Integrated HCV-HCSA</t>
  </si>
  <si>
    <t xml:space="preserve">Final 30% invoice on completion of Full Integrated HCV-HCSA</t>
  </si>
  <si>
    <t xml:space="preserve">Final 50% invoice on completion of Integrated HCV-HCSA Scopi</t>
  </si>
  <si>
    <t xml:space="preserve">Final 50% on completion of Integrated HCV-HCSA Scoping Study</t>
  </si>
  <si>
    <t xml:space="preserve">Final 60% invoice on completion and submission of report for</t>
  </si>
  <si>
    <t xml:space="preserve">Final invoice for Milestone 3 - Analysis and reporting for L</t>
  </si>
  <si>
    <t xml:space="preserve">Reimbursable expenses</t>
  </si>
  <si>
    <t xml:space="preserve">Final 50% invoice on completion of PCUK1127-PCGH777-2026-A_G</t>
  </si>
  <si>
    <t xml:space="preserve">Reimbursable Expenses</t>
  </si>
  <si>
    <t xml:space="preserve">BIASPLA2</t>
  </si>
  <si>
    <t xml:space="preserve">Final 30% invoice on completion and submission of report for</t>
  </si>
  <si>
    <t xml:space="preserve">Third Invoice for Year 1 upon completion of Q3 activities fo</t>
  </si>
  <si>
    <t xml:space="preserve">PC_001</t>
  </si>
  <si>
    <t xml:space="preserve">INV10165</t>
  </si>
  <si>
    <t xml:space="preserve">Cambodia Visa Application for Aristo for Socfin</t>
  </si>
  <si>
    <t xml:space="preserve">INV10188</t>
  </si>
  <si>
    <t xml:space="preserve">Meals for Aristo and Ryan</t>
  </si>
  <si>
    <t xml:space="preserve">Return bus ticket from OXF to Heathrow Airport</t>
  </si>
  <si>
    <t xml:space="preserve">Meals at Airport</t>
  </si>
  <si>
    <t xml:space="preserve">Uber: Oxford Bus station to home</t>
  </si>
  <si>
    <t xml:space="preserve">Uber: Home to Oxford Bus station</t>
  </si>
  <si>
    <t xml:space="preserve">COM-2026-06A</t>
  </si>
  <si>
    <t xml:space="preserve">Accomodation at Golden Tulip</t>
  </si>
  <si>
    <t xml:space="preserve">Transportation to Golden Tulip</t>
  </si>
  <si>
    <t xml:space="preserve">Transportation to the airport</t>
  </si>
  <si>
    <t xml:space="preserve">Lunch at Legend hotel</t>
  </si>
  <si>
    <t xml:space="preserve">Snack at airport</t>
  </si>
  <si>
    <t xml:space="preserve">LD-2026-06A</t>
  </si>
  <si>
    <t xml:space="preserve">Bus from Yaounde to Douala</t>
  </si>
  <si>
    <t xml:space="preserve">Taxi in Yaounde, Douala, Limbe and lunch</t>
  </si>
  <si>
    <t xml:space="preserve">Bus from Douala to Yaounde</t>
  </si>
  <si>
    <t xml:space="preserve">Hotel in Douala</t>
  </si>
  <si>
    <t xml:space="preserve">Taxi in Yaounde  and food in Douala (expenditures without re</t>
  </si>
  <si>
    <t xml:space="preserve">bus to travel from Douala to yaounde</t>
  </si>
  <si>
    <t xml:space="preserve">SORO-2026-06A</t>
  </si>
  <si>
    <t xml:space="preserve">[FOOD] Meals</t>
  </si>
  <si>
    <t xml:space="preserve">Internet Data</t>
  </si>
  <si>
    <t xml:space="preserve">Taxi/Uber/Bolt/Yango</t>
  </si>
  <si>
    <t xml:space="preserve">PO-2026-06A</t>
  </si>
  <si>
    <t xml:space="preserve">Transportation</t>
  </si>
  <si>
    <t xml:space="preserve">Taxi</t>
  </si>
  <si>
    <t xml:space="preserve">Lunch</t>
  </si>
  <si>
    <t xml:space="preserve">Communication</t>
  </si>
  <si>
    <t xml:space="preserve">Laundry</t>
  </si>
  <si>
    <t xml:space="preserve">Medication</t>
  </si>
  <si>
    <t xml:space="preserve">Water</t>
  </si>
  <si>
    <t xml:space="preserve">ATM Fees</t>
  </si>
  <si>
    <t xml:space="preserve">Breakfast</t>
  </si>
  <si>
    <t xml:space="preserve">Ground transport from airport to office</t>
  </si>
  <si>
    <t xml:space="preserve">Data and call credits</t>
  </si>
  <si>
    <t xml:space="preserve">Airport drop-off and city runs</t>
  </si>
  <si>
    <t xml:space="preserve">Food for field team</t>
  </si>
  <si>
    <t xml:space="preserve">Meals during travel</t>
  </si>
  <si>
    <t xml:space="preserve">PM_USD</t>
  </si>
  <si>
    <t xml:space="preserve">PCMY879_PCGH774_INV2026017</t>
  </si>
  <si>
    <t xml:space="preserve">Invoice from Malaysia for work done on Socfin Project</t>
  </si>
  <si>
    <t xml:space="preserve">PCMY879_PCGH774_INV2026035</t>
  </si>
  <si>
    <t xml:space="preserve">Source_Type</t>
  </si>
  <si>
    <t xml:space="preserve">Lead</t>
  </si>
  <si>
    <t xml:space="preserve">Forecast_Class</t>
  </si>
  <si>
    <t xml:space="preserve">Probability</t>
  </si>
  <si>
    <t xml:space="preserve">Subcontractor_Paid_YTD</t>
  </si>
  <si>
    <t xml:space="preserve">Inclusive_Paid_YTD</t>
  </si>
  <si>
    <t xml:space="preserve">NonRecoverable_Paid_YTD</t>
  </si>
  <si>
    <t xml:space="preserve">Net_Invoiced</t>
  </si>
  <si>
    <t xml:space="preserve">Recoverable_Paid_YTD</t>
  </si>
  <si>
    <t xml:space="preserve">Recovered_Expenses_Invoiced_YTD</t>
  </si>
  <si>
    <t xml:space="preserve">WIP_Pct_Q1</t>
  </si>
  <si>
    <t xml:space="preserve">WIP_Val_Q1</t>
  </si>
  <si>
    <t xml:space="preserve">WIP_Pct_Q2</t>
  </si>
  <si>
    <t xml:space="preserve">WIP_Val_Q2</t>
  </si>
  <si>
    <t xml:space="preserve">WIP_Pct_Q3</t>
  </si>
  <si>
    <t xml:space="preserve">WIP_Val_Q3</t>
  </si>
  <si>
    <t xml:space="preserve">WIP_Pct_Q4</t>
  </si>
  <si>
    <t xml:space="preserve">WIP_Val_Q4</t>
  </si>
  <si>
    <t xml:space="preserve">WIP_Cum_Selected</t>
  </si>
  <si>
    <t xml:space="preserve">Management_Review</t>
  </si>
  <si>
    <t xml:space="preserve">Exception_Status</t>
  </si>
  <si>
    <t xml:space="preserve">Added at build: project present in Project_Activity with no forecast row</t>
  </si>
  <si>
    <t xml:space="preserve">Nom_Name</t>
  </si>
  <si>
    <t xml:space="preserve">Ref_2</t>
  </si>
  <si>
    <t xml:space="preserve">Amount</t>
  </si>
  <si>
    <t xml:space="preserve">PCGH_FixCostsvsSpend_31.03.2026.xlsx</t>
  </si>
  <si>
    <t xml:space="preserve">SC</t>
  </si>
  <si>
    <t xml:space="preserve">INV2023051&amp;2024009</t>
  </si>
  <si>
    <t xml:space="preserve">Credit to reduce invoice-Agreed contract amount was 20,000</t>
  </si>
  <si>
    <t xml:space="preserve">PCUK1111-PCGH753-2025-A: Final invoice for Nestle work done</t>
  </si>
  <si>
    <t xml:space="preserve">PCUK1111-PCGH755-2025-C: Final Invoice for Nestle work done</t>
  </si>
  <si>
    <t xml:space="preserve">PCUK1111-PCGH756-2025-D-IAFS 756: Final Invoice for Nestle w</t>
  </si>
  <si>
    <t xml:space="preserve">JC</t>
  </si>
  <si>
    <t xml:space="preserve">NIRAS Q1 2026 INCOME</t>
  </si>
  <si>
    <t xml:space="preserve">Niras-PCGH Prsnl Cost Jan - Mar 2026</t>
  </si>
  <si>
    <t xml:space="preserve">Walmart Q1 2026 Income</t>
  </si>
  <si>
    <t xml:space="preserve">P13N-PCGH Prsnl Cost Jan - Mar 2026</t>
  </si>
  <si>
    <t xml:space="preserve">EFI Q1 2026 Income</t>
  </si>
  <si>
    <t xml:space="preserve">P13Q-PCGH Prsnl Cost Jan - Mar 2026</t>
  </si>
  <si>
    <t xml:space="preserve">FGMC Q1 2026 Income</t>
  </si>
  <si>
    <t xml:space="preserve">P23A-PCGH Prsnl Cost Jan - Mar 2026</t>
  </si>
  <si>
    <t xml:space="preserve">The Companies Q1 2026 Income</t>
  </si>
  <si>
    <t xml:space="preserve">P13P-PCGH Prsnl Cost Jan - Mar 2026</t>
  </si>
  <si>
    <t xml:space="preserve">Final 50% invoice upon signing of contract for PCUK1113-PCGH</t>
  </si>
  <si>
    <t xml:space="preserve">Final invoice upon completion of  PCUK1113-PCGH768-2025_Nest</t>
  </si>
  <si>
    <t xml:space="preserve">Expenses to be treated as non recoverable</t>
  </si>
  <si>
    <t xml:space="preserve">CR</t>
  </si>
  <si>
    <t xml:space="preserve">Credit Interest on Mobile money account</t>
  </si>
  <si>
    <t xml:space="preserve">PIGH</t>
  </si>
  <si>
    <t xml:space="preserve">Q1 Fixed Cost Share to Proforest Initiative Africa for perio</t>
  </si>
  <si>
    <t xml:space="preserve">Q1 COST SHARE TO PIGH - Group Fixed Cost</t>
  </si>
  <si>
    <t xml:space="preserve">KDR-2026-05A</t>
  </si>
  <si>
    <t xml:space="preserve">Bags for nursery in borotou and Zuenoula</t>
  </si>
  <si>
    <t xml:space="preserve">Stump for nestle tree planting</t>
  </si>
  <si>
    <t xml:space="preserve">JD</t>
  </si>
  <si>
    <t xml:space="preserve">SALARY JNL01/01</t>
  </si>
  <si>
    <t xml:space="preserve">Jan-26 Salaries</t>
  </si>
  <si>
    <t xml:space="preserve">SALARY JNL02/02</t>
  </si>
  <si>
    <t xml:space="preserve">Feb-26 Salaries</t>
  </si>
  <si>
    <t xml:space="preserve">SALARY JNL03/03</t>
  </si>
  <si>
    <t xml:space="preserve">Mar-26 Salaries</t>
  </si>
  <si>
    <t xml:space="preserve">SALARY JNL04/04</t>
  </si>
  <si>
    <t xml:space="preserve">April-26 Salaries</t>
  </si>
  <si>
    <t xml:space="preserve">SALARY JNL05/05</t>
  </si>
  <si>
    <t xml:space="preserve">May-26 Salaries</t>
  </si>
  <si>
    <t xml:space="preserve">SALARY JNL06/06</t>
  </si>
  <si>
    <t xml:space="preserve">June-26 Salaries</t>
  </si>
  <si>
    <t xml:space="preserve">Medical Insurance January 2026</t>
  </si>
  <si>
    <t xml:space="preserve">Medical insurance premium- January 2026</t>
  </si>
  <si>
    <t xml:space="preserve">Medical Insurance February2026</t>
  </si>
  <si>
    <t xml:space="preserve">Medical Insurance February 2026</t>
  </si>
  <si>
    <t xml:space="preserve">Medical Insurance March 2026</t>
  </si>
  <si>
    <t xml:space="preserve">Medical insurance premium- March 2026</t>
  </si>
  <si>
    <t xml:space="preserve">Medical Insurance April 2026</t>
  </si>
  <si>
    <t xml:space="preserve"> Medical insurance premium- April 2026</t>
  </si>
  <si>
    <t xml:space="preserve">Medical Insurance May 2026</t>
  </si>
  <si>
    <t xml:space="preserve">Medical Insurance Premium - May</t>
  </si>
  <si>
    <t xml:space="preserve">Medical Insurance June 2026</t>
  </si>
  <si>
    <t xml:space="preserve">Medical Insurance Premium - June</t>
  </si>
  <si>
    <t xml:space="preserve">PCV2126</t>
  </si>
  <si>
    <t xml:space="preserve">Lunch for Interview Panel</t>
  </si>
  <si>
    <t xml:space="preserve">ACACIA</t>
  </si>
  <si>
    <t xml:space="preserve">Medical bill from Acacia for Michael Anim Ofosu</t>
  </si>
  <si>
    <t xml:space="preserve">MESENTIA</t>
  </si>
  <si>
    <t xml:space="preserve">INV00082</t>
  </si>
  <si>
    <t xml:space="preserve">Refill of 15 dispenser bottles and 10packs of bottled water</t>
  </si>
  <si>
    <t xml:space="preserve">Purchase of groceries gor Q1</t>
  </si>
  <si>
    <t xml:space="preserve">PCV2120</t>
  </si>
  <si>
    <t xml:space="preserve">Purchase of Dispenser water</t>
  </si>
  <si>
    <t xml:space="preserve">PCV2125</t>
  </si>
  <si>
    <t xml:space="preserve">Staff welcome lunch for Micheal and Abel</t>
  </si>
  <si>
    <t xml:space="preserve">INV000085</t>
  </si>
  <si>
    <t xml:space="preserve">Special Ice Dispenser, Voltic Minerla Water</t>
  </si>
  <si>
    <t xml:space="preserve">INV0000088</t>
  </si>
  <si>
    <t xml:space="preserve">Supply of Q2 groceries for Office 2026</t>
  </si>
  <si>
    <t xml:space="preserve">PCV2127</t>
  </si>
  <si>
    <t xml:space="preserve">Purchase of disposable dispenser water</t>
  </si>
  <si>
    <t xml:space="preserve">PCV2131</t>
  </si>
  <si>
    <t xml:space="preserve">Lunch for Odoo training</t>
  </si>
  <si>
    <t xml:space="preserve">PCV2133</t>
  </si>
  <si>
    <t xml:space="preserve">Lunch for meetings - Abe</t>
  </si>
  <si>
    <t xml:space="preserve">PCV2135</t>
  </si>
  <si>
    <t xml:space="preserve">PCV2136</t>
  </si>
  <si>
    <t xml:space="preserve">PCV2137</t>
  </si>
  <si>
    <t xml:space="preserve">PCV2138</t>
  </si>
  <si>
    <t xml:space="preserve">Philip's Welcome lunch for staff</t>
  </si>
  <si>
    <t xml:space="preserve">PCV2139</t>
  </si>
  <si>
    <t xml:space="preserve">PCV2140</t>
  </si>
  <si>
    <t xml:space="preserve">PCV2142</t>
  </si>
  <si>
    <t xml:space="preserve">PCV2143</t>
  </si>
  <si>
    <t xml:space="preserve">PCV2146</t>
  </si>
  <si>
    <t xml:space="preserve">PCV2148</t>
  </si>
  <si>
    <t xml:space="preserve">INV000091</t>
  </si>
  <si>
    <t xml:space="preserve">Special Ice Dispenser, Bottle</t>
  </si>
  <si>
    <t xml:space="preserve">PCV2150</t>
  </si>
  <si>
    <t xml:space="preserve">Lunch for meetings Abe</t>
  </si>
  <si>
    <t xml:space="preserve">PCV2152</t>
  </si>
  <si>
    <t xml:space="preserve">PCV2153</t>
  </si>
  <si>
    <t xml:space="preserve">PCV2154</t>
  </si>
  <si>
    <t xml:space="preserve">PCV2161</t>
  </si>
  <si>
    <t xml:space="preserve">PCV2162</t>
  </si>
  <si>
    <t xml:space="preserve">INV000090</t>
  </si>
  <si>
    <t xml:space="preserve">KBA-2026-04A</t>
  </si>
  <si>
    <t xml:space="preserve">Money for Augustus Father's funeral</t>
  </si>
  <si>
    <t xml:space="preserve">PCV2164</t>
  </si>
  <si>
    <t xml:space="preserve">Lunch for Meetings -Abe</t>
  </si>
  <si>
    <t xml:space="preserve">PCV2165</t>
  </si>
  <si>
    <t xml:space="preserve">PCV2166</t>
  </si>
  <si>
    <t xml:space="preserve">PCV2167</t>
  </si>
  <si>
    <t xml:space="preserve">PCV2168</t>
  </si>
  <si>
    <t xml:space="preserve">Purchase of bottle water for Directors office</t>
  </si>
  <si>
    <t xml:space="preserve">PCV2169</t>
  </si>
  <si>
    <t xml:space="preserve">PCV2170</t>
  </si>
  <si>
    <t xml:space="preserve">PCV2173</t>
  </si>
  <si>
    <t xml:space="preserve">PCV2175</t>
  </si>
  <si>
    <t xml:space="preserve">PCV2176</t>
  </si>
  <si>
    <t xml:space="preserve">Durchase of liquid soap</t>
  </si>
  <si>
    <t xml:space="preserve">PCV2180</t>
  </si>
  <si>
    <t xml:space="preserve">Renewal of DSTV subscription</t>
  </si>
  <si>
    <t xml:space="preserve">INV000096</t>
  </si>
  <si>
    <t xml:space="preserve">Refill of Dispenser bottles and 10packs of bottled water</t>
  </si>
  <si>
    <t xml:space="preserve">INV000093</t>
  </si>
  <si>
    <t xml:space="preserve">Supply of groceries for Q3</t>
  </si>
  <si>
    <t xml:space="preserve">RIDGE</t>
  </si>
  <si>
    <t xml:space="preserve">INV4277895</t>
  </si>
  <si>
    <t xml:space="preserve">Accommodation for 3 staff members during RSP training</t>
  </si>
  <si>
    <t xml:space="preserve">Tourism levy for accommodation</t>
  </si>
  <si>
    <t xml:space="preserve">INV260518671</t>
  </si>
  <si>
    <t xml:space="preserve">Car rental to CapeCoast for RSPO training</t>
  </si>
  <si>
    <t xml:space="preserve">Fueling Cost</t>
  </si>
  <si>
    <t xml:space="preserve">1% Tourism levy on car rental</t>
  </si>
  <si>
    <t xml:space="preserve">IRIES</t>
  </si>
  <si>
    <t xml:space="preserve">IC-2026-001</t>
  </si>
  <si>
    <t xml:space="preserve">Snacks and lunch for 1week business skill training and Odoo</t>
  </si>
  <si>
    <t xml:space="preserve">RYNGHT</t>
  </si>
  <si>
    <t xml:space="preserve">Printing of Comms &amp; Project Mgt training materials &amp; plaques</t>
  </si>
  <si>
    <t xml:space="preserve">KBA-2026-06A</t>
  </si>
  <si>
    <t xml:space="preserve">Purchase Office Materials for Comms and PM Training</t>
  </si>
  <si>
    <t xml:space="preserve">Correction of posting</t>
  </si>
  <si>
    <t xml:space="preserve">Taking out of training food cost posted to senior mgt meetin</t>
  </si>
  <si>
    <t xml:space="preserve">ASAP-2026-01A</t>
  </si>
  <si>
    <t xml:space="preserve">US Visa Application Fee for Schwab Award Training</t>
  </si>
  <si>
    <t xml:space="preserve">INV260402240</t>
  </si>
  <si>
    <t xml:space="preserve">Flight ticket for Philip to Induction week</t>
  </si>
  <si>
    <t xml:space="preserve">AA-2026-05A</t>
  </si>
  <si>
    <t xml:space="preserve">Brazil Visa application fee</t>
  </si>
  <si>
    <t xml:space="preserve">Food and Drinks</t>
  </si>
  <si>
    <t xml:space="preserve">Food and drinks for two</t>
  </si>
  <si>
    <t xml:space="preserve">Food and drinks for 2</t>
  </si>
  <si>
    <t xml:space="preserve">Food and drinks for two (Dinner)</t>
  </si>
  <si>
    <t xml:space="preserve">Pack of awake mineral water</t>
  </si>
  <si>
    <t xml:space="preserve">INV26050277</t>
  </si>
  <si>
    <t xml:space="preserve">Flight ticket for Kingsley to Malaysia for Palm Learning jou</t>
  </si>
  <si>
    <t xml:space="preserve">INV26040318</t>
  </si>
  <si>
    <t xml:space="preserve">Additional cost for change in Philip's ticket for induction</t>
  </si>
  <si>
    <t xml:space="preserve">UK Visa Application</t>
  </si>
  <si>
    <t xml:space="preserve">TRAVPADI</t>
  </si>
  <si>
    <t xml:space="preserve">Car Rental to Goaso for Cocoa learning journey</t>
  </si>
  <si>
    <t xml:space="preserve">Vaccination Cost for field travels</t>
  </si>
  <si>
    <t xml:space="preserve">KBA-2026-03A</t>
  </si>
  <si>
    <t xml:space="preserve">Military Boots</t>
  </si>
  <si>
    <t xml:space="preserve">GHFISER</t>
  </si>
  <si>
    <t xml:space="preserve">Servicing and Refilling of Fire Extinguishers</t>
  </si>
  <si>
    <t xml:space="preserve">PV3092</t>
  </si>
  <si>
    <t xml:space="preserve">Purchase of First Aid Items</t>
  </si>
  <si>
    <t xml:space="preserve">First Aid Bags</t>
  </si>
  <si>
    <t xml:space="preserve">Purchase of 2 Security Boots for staff</t>
  </si>
  <si>
    <t xml:space="preserve">PV3065</t>
  </si>
  <si>
    <t xml:space="preserve">Purchase of Fuel for genset</t>
  </si>
  <si>
    <t xml:space="preserve">PCV2114</t>
  </si>
  <si>
    <t xml:space="preserve">Water Sypply for Office</t>
  </si>
  <si>
    <t xml:space="preserve">PCV2123</t>
  </si>
  <si>
    <t xml:space="preserve">Fuel for Genset</t>
  </si>
  <si>
    <t xml:space="preserve">PCV2124</t>
  </si>
  <si>
    <t xml:space="preserve">ECG</t>
  </si>
  <si>
    <t xml:space="preserve">ECG Bill as at Jan 2026</t>
  </si>
  <si>
    <t xml:space="preserve">ECG Bill as at Feb 2026</t>
  </si>
  <si>
    <t xml:space="preserve">GHWATER</t>
  </si>
  <si>
    <t xml:space="preserve">Ghana Water Bill as at Feb 2026</t>
  </si>
  <si>
    <t xml:space="preserve">PCV2128</t>
  </si>
  <si>
    <t xml:space="preserve">Water supply for Office</t>
  </si>
  <si>
    <t xml:space="preserve">Purchase of Fuel for Genset</t>
  </si>
  <si>
    <t xml:space="preserve">BC2603-200194405</t>
  </si>
  <si>
    <t xml:space="preserve">ECG Bill for March 2026</t>
  </si>
  <si>
    <t xml:space="preserve">PV3113</t>
  </si>
  <si>
    <t xml:space="preserve">Purchase of fuel for Genset</t>
  </si>
  <si>
    <t xml:space="preserve">Ghana Water Company bill as at April</t>
  </si>
  <si>
    <t xml:space="preserve">BC2604-200194405</t>
  </si>
  <si>
    <t xml:space="preserve">ECG Bill as at Aprill 2026</t>
  </si>
  <si>
    <t xml:space="preserve">PV3158</t>
  </si>
  <si>
    <t xml:space="preserve">Purchase of fuel for genset</t>
  </si>
  <si>
    <t xml:space="preserve">Fuel for Gen set</t>
  </si>
  <si>
    <t xml:space="preserve">PCV2177</t>
  </si>
  <si>
    <t xml:space="preserve">Water supply for office use</t>
  </si>
  <si>
    <t xml:space="preserve">PCV2179</t>
  </si>
  <si>
    <t xml:space="preserve">PV3172</t>
  </si>
  <si>
    <t xml:space="preserve">PV3184</t>
  </si>
  <si>
    <t xml:space="preserve">BC2605-200194405</t>
  </si>
  <si>
    <t xml:space="preserve">ECG Bill for May 2026</t>
  </si>
  <si>
    <t xml:space="preserve">BC2606-200194405</t>
  </si>
  <si>
    <t xml:space="preserve">ECG Bill for June 2026</t>
  </si>
  <si>
    <t xml:space="preserve">Ghana Water Company bill for May and June 2026</t>
  </si>
  <si>
    <t xml:space="preserve">MOLR</t>
  </si>
  <si>
    <t xml:space="preserve">OASL/GAR/MD/RDN/005</t>
  </si>
  <si>
    <t xml:space="preserve">ADENMUAS</t>
  </si>
  <si>
    <t xml:space="preserve">Business Operating Permit for 2026</t>
  </si>
  <si>
    <t xml:space="preserve">KENTE</t>
  </si>
  <si>
    <t xml:space="preserve">INV0004</t>
  </si>
  <si>
    <t xml:space="preserve">Purchase of kente sash for 15th Anniversary</t>
  </si>
  <si>
    <t xml:space="preserve">NIITEK</t>
  </si>
  <si>
    <t xml:space="preserve">INV0001742</t>
  </si>
  <si>
    <t xml:space="preserve">Rental &amp; Maintenance charges of directional signs for 2026</t>
  </si>
  <si>
    <t xml:space="preserve">PV3171</t>
  </si>
  <si>
    <t xml:space="preserve">BFT Media engagement - Interview with Abe</t>
  </si>
  <si>
    <t xml:space="preserve">Metro Tv Engagement - Interview with Abe</t>
  </si>
  <si>
    <t xml:space="preserve">AB-2026-01A</t>
  </si>
  <si>
    <t xml:space="preserve">Return train fare from London Victoria to HM Passport Office</t>
  </si>
  <si>
    <t xml:space="preserve">Return Tube fare, Oxford-London-Oxford</t>
  </si>
  <si>
    <t xml:space="preserve">INV26026</t>
  </si>
  <si>
    <t xml:space="preserve">Flight ticket for Naana to Ethiopia</t>
  </si>
  <si>
    <t xml:space="preserve">Ab-2026-03A</t>
  </si>
  <si>
    <t xml:space="preserve">Accommodation receipt for late check out</t>
  </si>
  <si>
    <t xml:space="preserve">Lunch at Haile Grand Hotel</t>
  </si>
  <si>
    <t xml:space="preserve">Visa on arrival in Addis Ababa</t>
  </si>
  <si>
    <t xml:space="preserve">Return Tube fare for Oxford-LondonHeathrow Airport-Oxford</t>
  </si>
  <si>
    <t xml:space="preserve">Electronic System for Travel Authorisation (ESTA) fees for U</t>
  </si>
  <si>
    <t xml:space="preserve">Return train fare from Victoria station to Charing Cross (NC</t>
  </si>
  <si>
    <t xml:space="preserve">Return Tube fare for Oxford to London Victoria Train station</t>
  </si>
  <si>
    <t xml:space="preserve">EI-2026-03A</t>
  </si>
  <si>
    <t xml:space="preserve">Accommodation for Naana in Ethiopia</t>
  </si>
  <si>
    <t xml:space="preserve">NNA-2026-03A</t>
  </si>
  <si>
    <t xml:space="preserve">Dinner 2</t>
  </si>
  <si>
    <t xml:space="preserve">Dinner 1</t>
  </si>
  <si>
    <t xml:space="preserve">Snack</t>
  </si>
  <si>
    <t xml:space="preserve">Immigration (Visa on Arrival)</t>
  </si>
  <si>
    <t xml:space="preserve">Kotoka toll</t>
  </si>
  <si>
    <t xml:space="preserve">Taxi- Airport to Adenta</t>
  </si>
  <si>
    <t xml:space="preserve">Taxi from Adenta to Airport</t>
  </si>
  <si>
    <t xml:space="preserve">INV10129</t>
  </si>
  <si>
    <t xml:space="preserve">Abe Flight to Ethiopia</t>
  </si>
  <si>
    <t xml:space="preserve">Abe Flight to Ghana</t>
  </si>
  <si>
    <t xml:space="preserve">Abe Accommodation at Addis Ababa, Ethiopia</t>
  </si>
  <si>
    <t xml:space="preserve">Taxi from Boston airport to Charles Hotel at Harvard Univers</t>
  </si>
  <si>
    <t xml:space="preserve">Return Bus fare from Oxford-Heathrow-Oxford for trip to the</t>
  </si>
  <si>
    <t xml:space="preserve">Lunch on 21st March</t>
  </si>
  <si>
    <t xml:space="preserve">Dinner in Harvard</t>
  </si>
  <si>
    <t xml:space="preserve">Taxi from office to home after trip to Nigeria</t>
  </si>
  <si>
    <t xml:space="preserve">Taxi from Kotoka airport to the office</t>
  </si>
  <si>
    <t xml:space="preserve">Taxi from Dover hotel to Murtala airport to catch flight to</t>
  </si>
  <si>
    <t xml:space="preserve">One night accommodation at Dover Hotel</t>
  </si>
  <si>
    <t xml:space="preserve">Lunch at Dover Hotel</t>
  </si>
  <si>
    <t xml:space="preserve">Taxi from local airport to Dover Hotel</t>
  </si>
  <si>
    <t xml:space="preserve">One night accommodation at Dover hotel</t>
  </si>
  <si>
    <t xml:space="preserve">Taxi from Dover Hotel to Local airport to pick a flight to A</t>
  </si>
  <si>
    <t xml:space="preserve">Taxi from Murtala airport in Nigeria to Dover hotel at Ikeja</t>
  </si>
  <si>
    <t xml:space="preserve">Taxi from home to airport in Accra for flight to Nigeria</t>
  </si>
  <si>
    <t xml:space="preserve">AB-2026-06A</t>
  </si>
  <si>
    <t xml:space="preserve">Taxi from Heathrow airport to Oxford</t>
  </si>
  <si>
    <t xml:space="preserve">Taxi from home to Kotoka airport on 8th June 2026</t>
  </si>
  <si>
    <t xml:space="preserve">Change in Flight for Abe: Accra-London</t>
  </si>
  <si>
    <t xml:space="preserve">AFNA-2026-01A</t>
  </si>
  <si>
    <t xml:space="preserve">Refund for Passed Paper (SCS)</t>
  </si>
  <si>
    <t xml:space="preserve">Subscription Fees for 2026</t>
  </si>
  <si>
    <t xml:space="preserve">ACCA Ethics and Professional Module</t>
  </si>
  <si>
    <t xml:space="preserve">ACCA Annual Subscription Fee for 2025/2026</t>
  </si>
  <si>
    <t xml:space="preserve">Payment of HCV Network ALS renewal fees for Stephen Doso Jnr</t>
  </si>
  <si>
    <t xml:space="preserve">EG-2026-04A</t>
  </si>
  <si>
    <t xml:space="preserve">Claude Max Subscription</t>
  </si>
  <si>
    <t xml:space="preserve">EG-2026-05A</t>
  </si>
  <si>
    <t xml:space="preserve">PCV2118</t>
  </si>
  <si>
    <t xml:space="preserve">January Allowance for Intern</t>
  </si>
  <si>
    <t xml:space="preserve">JONAYA</t>
  </si>
  <si>
    <t xml:space="preserve">JL/2026/01</t>
  </si>
  <si>
    <t xml:space="preserve">Decor for PFAFR Annual Planning meeting</t>
  </si>
  <si>
    <t xml:space="preserve">INV00021</t>
  </si>
  <si>
    <t xml:space="preserve">Snacks for Annual Planning meeting</t>
  </si>
  <si>
    <t xml:space="preserve">PCV2113</t>
  </si>
  <si>
    <t xml:space="preserve">Toffees and Gum for Annual Planning Meeting</t>
  </si>
  <si>
    <t xml:space="preserve">PCV2115</t>
  </si>
  <si>
    <t xml:space="preserve">Annual Planning Meeting Day 1 Lunch</t>
  </si>
  <si>
    <t xml:space="preserve">PCV2116</t>
  </si>
  <si>
    <t xml:space="preserve">Annual Planning Meeting Day 2 Lunch</t>
  </si>
  <si>
    <t xml:space="preserve">PCV2117</t>
  </si>
  <si>
    <t xml:space="preserve">Annual Planning Meeting Day 3 Lunch</t>
  </si>
  <si>
    <t xml:space="preserve">DERJI</t>
  </si>
  <si>
    <t xml:space="preserve">Photography for Annual planning meeting</t>
  </si>
  <si>
    <t xml:space="preserve">Snacks and lunch for 1week staff meeting</t>
  </si>
  <si>
    <t xml:space="preserve">INV00071</t>
  </si>
  <si>
    <t xml:space="preserve">Purchase of stationery</t>
  </si>
  <si>
    <t xml:space="preserve">Batteries for sub consultant</t>
  </si>
  <si>
    <t xml:space="preserve">Batteries for Flora &amp; Fauna Survey in Nitrian for PCGH762</t>
  </si>
  <si>
    <t xml:space="preserve">Purchase of stationery items for office use</t>
  </si>
  <si>
    <t xml:space="preserve">EMPLUS</t>
  </si>
  <si>
    <t xml:space="preserve">Repairs and servicing of printers</t>
  </si>
  <si>
    <t xml:space="preserve">Printing of maps</t>
  </si>
  <si>
    <t xml:space="preserve">INV201511244</t>
  </si>
  <si>
    <t xml:space="preserve">Purchase of 8 toners for printer</t>
  </si>
  <si>
    <t xml:space="preserve">PCV2171</t>
  </si>
  <si>
    <t xml:space="preserve">Purchase of standing desk  for Director</t>
  </si>
  <si>
    <t xml:space="preserve">KBA-2026-01A</t>
  </si>
  <si>
    <t xml:space="preserve">T &amp; T to Alisa Hotel to inspect Hotel rooms for Induction</t>
  </si>
  <si>
    <t xml:space="preserve">PCV2112</t>
  </si>
  <si>
    <t xml:space="preserve">Yango to and From Ecobank</t>
  </si>
  <si>
    <t xml:space="preserve">PCV2122</t>
  </si>
  <si>
    <t xml:space="preserve">Bolt to and from ecobank and forex bureau</t>
  </si>
  <si>
    <t xml:space="preserve">Luggage Overweight payment</t>
  </si>
  <si>
    <t xml:space="preserve">Delivery of maps</t>
  </si>
  <si>
    <t xml:space="preserve">Yango to purchase dispenser water</t>
  </si>
  <si>
    <t xml:space="preserve">PCV2132</t>
  </si>
  <si>
    <t xml:space="preserve">Yango to and from ecobank for cash withdrawal</t>
  </si>
  <si>
    <t xml:space="preserve">Delivery of lunch</t>
  </si>
  <si>
    <t xml:space="preserve">PCV2141</t>
  </si>
  <si>
    <t xml:space="preserve">Bolt to and from repairing Ab's phone</t>
  </si>
  <si>
    <t xml:space="preserve">PCV2144</t>
  </si>
  <si>
    <t xml:space="preserve">Bolt to and from  3 repair shops to fix Ab's phone</t>
  </si>
  <si>
    <t xml:space="preserve">PCV2145</t>
  </si>
  <si>
    <t xml:space="preserve">Yango to GRA and back to office-submission of extension lett</t>
  </si>
  <si>
    <t xml:space="preserve">Delivery of First Aid Kit bags</t>
  </si>
  <si>
    <t xml:space="preserve">PCV2172</t>
  </si>
  <si>
    <t xml:space="preserve">Delivery of microphone</t>
  </si>
  <si>
    <t xml:space="preserve">Delivery of toolkit</t>
  </si>
  <si>
    <t xml:space="preserve">PCV2181</t>
  </si>
  <si>
    <t xml:space="preserve">Delivery of certificates</t>
  </si>
  <si>
    <t xml:space="preserve">PCV2184</t>
  </si>
  <si>
    <t xml:space="preserve">Bolt to pick up dispenser bottles</t>
  </si>
  <si>
    <t xml:space="preserve">Delivery of Field Boots to Office</t>
  </si>
  <si>
    <t xml:space="preserve">Delivery of signed accounts after printing</t>
  </si>
  <si>
    <t xml:space="preserve">Delivery of signed accounts to JNA for signing</t>
  </si>
  <si>
    <t xml:space="preserve">PCV2149</t>
  </si>
  <si>
    <t xml:space="preserve">2days lunch for auditors</t>
  </si>
  <si>
    <t xml:space="preserve">Lunch for Auditors</t>
  </si>
  <si>
    <t xml:space="preserve">PCV2156</t>
  </si>
  <si>
    <t xml:space="preserve">PCV2158</t>
  </si>
  <si>
    <t xml:space="preserve">PCV2159</t>
  </si>
  <si>
    <t xml:space="preserve">PCV2160</t>
  </si>
  <si>
    <t xml:space="preserve">PCV2163</t>
  </si>
  <si>
    <t xml:space="preserve">ENT_GHS</t>
  </si>
  <si>
    <t xml:space="preserve">Premium for professional indemnity insurance Feb 2026-Feb 27</t>
  </si>
  <si>
    <t xml:space="preserve">Insurance premium for Group life cover from 3/02/2026 - 2/02</t>
  </si>
  <si>
    <t xml:space="preserve">INV10123</t>
  </si>
  <si>
    <t xml:space="preserve">Q1 2026 CONTRIBUTION TO GROUP COSTS</t>
  </si>
  <si>
    <t xml:space="preserve">INV10182'</t>
  </si>
  <si>
    <t xml:space="preserve">Q2 2026 Contribution to Group Costs</t>
  </si>
  <si>
    <t xml:space="preserve">NEXTIT</t>
  </si>
  <si>
    <t xml:space="preserve">INV/2026/004</t>
  </si>
  <si>
    <t xml:space="preserve">Payroll Consulting services for January</t>
  </si>
  <si>
    <t xml:space="preserve">INV/2026/00008</t>
  </si>
  <si>
    <t xml:space="preserve">Payroll Consulting services for February</t>
  </si>
  <si>
    <t xml:space="preserve">INV/2026/00010</t>
  </si>
  <si>
    <t xml:space="preserve">Bank charges on salary transfer for express payments</t>
  </si>
  <si>
    <t xml:space="preserve">INV/2026/00014</t>
  </si>
  <si>
    <t xml:space="preserve">Payroll consulting for March</t>
  </si>
  <si>
    <t xml:space="preserve">INV/2026/00015</t>
  </si>
  <si>
    <t xml:space="preserve">Extra Bank Charges - Salary Transfer (other banks)</t>
  </si>
  <si>
    <t xml:space="preserve">INV/2026/00016</t>
  </si>
  <si>
    <t xml:space="preserve">Payroll Consulting services for April</t>
  </si>
  <si>
    <t xml:space="preserve">INV/2026/00018</t>
  </si>
  <si>
    <t xml:space="preserve">Extra Bank charges on instant salary transfer</t>
  </si>
  <si>
    <t xml:space="preserve">INV/2026/00021</t>
  </si>
  <si>
    <t xml:space="preserve">Payroll Consultancy service for May</t>
  </si>
  <si>
    <t xml:space="preserve">Group - Licenses by Allocation - Visio Plan 2 2026</t>
  </si>
  <si>
    <t xml:space="preserve">Windows 11pro licence (5 units)</t>
  </si>
  <si>
    <t xml:space="preserve">Office 365 - Visio Plan 2</t>
  </si>
  <si>
    <t xml:space="preserve">Office 365 - Visio Plan 2 - June 2026</t>
  </si>
  <si>
    <t xml:space="preserve">ROXYAPPS</t>
  </si>
  <si>
    <t xml:space="preserve">INV2334889</t>
  </si>
  <si>
    <t xml:space="preserve"> battery replacement and windows license key and RAM upgrade</t>
  </si>
  <si>
    <t xml:space="preserve">Replacement of Laptop Battery</t>
  </si>
  <si>
    <t xml:space="preserve">Purchase of microphone</t>
  </si>
  <si>
    <t xml:space="preserve">Purchase of laptop toolkit</t>
  </si>
  <si>
    <t xml:space="preserve">Sage License Renewal for January 2026</t>
  </si>
  <si>
    <t xml:space="preserve">Sage License Renewal for February 2026</t>
  </si>
  <si>
    <t xml:space="preserve">Sage License Renewal for March 2026</t>
  </si>
  <si>
    <t xml:space="preserve">Sage License Renewal for April 2026</t>
  </si>
  <si>
    <t xml:space="preserve">Sage License Renewal for May 2026</t>
  </si>
  <si>
    <t xml:space="preserve">Sage License Renewal for June 2026</t>
  </si>
  <si>
    <t xml:space="preserve">Squarespace annual subscription - ASCI website</t>
  </si>
  <si>
    <t xml:space="preserve">PV3075</t>
  </si>
  <si>
    <t xml:space="preserve">Purchase of Internet Data for office</t>
  </si>
  <si>
    <t xml:space="preserve">Internet bundle</t>
  </si>
  <si>
    <t xml:space="preserve">PV3148</t>
  </si>
  <si>
    <t xml:space="preserve">Purchase of Internet Data for office use</t>
  </si>
  <si>
    <t xml:space="preserve">Office Data Top up - Telecel</t>
  </si>
  <si>
    <t xml:space="preserve">ArcGIS Online Service Credits May-Dec 2026 3X</t>
  </si>
  <si>
    <t xml:space="preserve">EARLY</t>
  </si>
  <si>
    <t xml:space="preserve">Servicing of Genset</t>
  </si>
  <si>
    <t xml:space="preserve">DAXENT</t>
  </si>
  <si>
    <t xml:space="preserve">INV0259</t>
  </si>
  <si>
    <t xml:space="preserve">24W Led Panel, 18W Spot Light &amp; 18W Bulb</t>
  </si>
  <si>
    <t xml:space="preserve">INV0254</t>
  </si>
  <si>
    <t xml:space="preserve">AC Units Servicing &amp; Refriferant (Gas)</t>
  </si>
  <si>
    <t xml:space="preserve">PV3108</t>
  </si>
  <si>
    <t xml:space="preserve">Purchase of new battery for genset</t>
  </si>
  <si>
    <t xml:space="preserve">AC and other electrical repairs supervision</t>
  </si>
  <si>
    <t xml:space="preserve">PCV2147</t>
  </si>
  <si>
    <t xml:space="preserve">Repair of Genset Switch sensor</t>
  </si>
  <si>
    <t xml:space="preserve">PCV2151</t>
  </si>
  <si>
    <t xml:space="preserve">Repair of Genset</t>
  </si>
  <si>
    <t xml:space="preserve">PV3147</t>
  </si>
  <si>
    <t xml:space="preserve">Repairs to broken door handles</t>
  </si>
  <si>
    <t xml:space="preserve">Cost of engine and handle for door</t>
  </si>
  <si>
    <t xml:space="preserve">PV3173</t>
  </si>
  <si>
    <t xml:space="preserve">Plumbing Work of Washroom and Kitchen</t>
  </si>
  <si>
    <t xml:space="preserve">INV0257</t>
  </si>
  <si>
    <t xml:space="preserve">Cost of fixing earthwire leakage and repairs to AC</t>
  </si>
  <si>
    <t xml:space="preserve">PV3186</t>
  </si>
  <si>
    <t xml:space="preserve">Electric Fence Repair</t>
  </si>
  <si>
    <t xml:space="preserve">Gate Alternator/battery/Labour for office</t>
  </si>
  <si>
    <t xml:space="preserve">WESTEC</t>
  </si>
  <si>
    <t xml:space="preserve">BILL NO.WS/PRO/02/26</t>
  </si>
  <si>
    <t xml:space="preserve">Cost of Office security services for Feb</t>
  </si>
  <si>
    <t xml:space="preserve">BILL NO.WS/PRO/01/26</t>
  </si>
  <si>
    <t xml:space="preserve">Cost of security services for January</t>
  </si>
  <si>
    <t xml:space="preserve"> BILL NO.WS/PRO/03/26</t>
  </si>
  <si>
    <t xml:space="preserve">Cost of Office security Service for Mar</t>
  </si>
  <si>
    <t xml:space="preserve">BILL NO.WS/PRO/04/26</t>
  </si>
  <si>
    <t xml:space="preserve">Cost of Office security Service for April</t>
  </si>
  <si>
    <t xml:space="preserve">BILL NO.WS/PRO/05/26</t>
  </si>
  <si>
    <t xml:space="preserve">Cost of Office security Service for May</t>
  </si>
  <si>
    <t xml:space="preserve">BILL NO.WS/PRO/06/26</t>
  </si>
  <si>
    <t xml:space="preserve">Office security for June</t>
  </si>
  <si>
    <t xml:space="preserve">PV3058</t>
  </si>
  <si>
    <t xml:space="preserve">Gardner Allwance for Jan</t>
  </si>
  <si>
    <t xml:space="preserve">7.5%WHT charged to Francis on Gardner Allowance for Jan</t>
  </si>
  <si>
    <t xml:space="preserve">PCV2111</t>
  </si>
  <si>
    <t xml:space="preserve">Refuse Collection for January</t>
  </si>
  <si>
    <t xml:space="preserve">PCV2121</t>
  </si>
  <si>
    <t xml:space="preserve">Cleaning of lounge carpet</t>
  </si>
  <si>
    <t xml:space="preserve">CITYXTRA</t>
  </si>
  <si>
    <t xml:space="preserve">CXF1916</t>
  </si>
  <si>
    <t xml:space="preserve">Cleaning and Janitorial Services for January 2026</t>
  </si>
  <si>
    <t xml:space="preserve">CXF1967</t>
  </si>
  <si>
    <t xml:space="preserve">Cleaning and Janitorial Services for February 2026</t>
  </si>
  <si>
    <t xml:space="preserve">CXF2005</t>
  </si>
  <si>
    <t xml:space="preserve">Cleaning and Janitorial Services for March 2026</t>
  </si>
  <si>
    <t xml:space="preserve">PV3073</t>
  </si>
  <si>
    <t xml:space="preserve">Payment of Gardener Allownace for Feb</t>
  </si>
  <si>
    <t xml:space="preserve">Refuse Collection bill</t>
  </si>
  <si>
    <t xml:space="preserve">PCV2129</t>
  </si>
  <si>
    <t xml:space="preserve">PCV2130</t>
  </si>
  <si>
    <t xml:space="preserve">Payment of Gardener Allownace for March</t>
  </si>
  <si>
    <t xml:space="preserve">7.5%WHT charged to Francis for Gardener allowance Feb &amp; Marc</t>
  </si>
  <si>
    <t xml:space="preserve">CXF2040</t>
  </si>
  <si>
    <t xml:space="preserve">CLEANING &amp; JANITORIAL SERVICES FOR APRIL,</t>
  </si>
  <si>
    <t xml:space="preserve">PCV2134</t>
  </si>
  <si>
    <t xml:space="preserve">Refuse Collection</t>
  </si>
  <si>
    <t xml:space="preserve">PV3139</t>
  </si>
  <si>
    <t xml:space="preserve">Gardening Allowance for April</t>
  </si>
  <si>
    <t xml:space="preserve">7.5%WHT carged to Francis on Gardening Allowance</t>
  </si>
  <si>
    <t xml:space="preserve">PCV2155</t>
  </si>
  <si>
    <t xml:space="preserve">CXF2089</t>
  </si>
  <si>
    <t xml:space="preserve">Cleaning and Janitorial Services for May 2026</t>
  </si>
  <si>
    <t xml:space="preserve">PV3147A</t>
  </si>
  <si>
    <t xml:space="preserve">Gardening Allowance for May</t>
  </si>
  <si>
    <t xml:space="preserve">Laundry after 3 weeks trip</t>
  </si>
  <si>
    <t xml:space="preserve">Laundry for 3 weeks trip</t>
  </si>
  <si>
    <t xml:space="preserve">PCV2178</t>
  </si>
  <si>
    <t xml:space="preserve">Refuse collection</t>
  </si>
  <si>
    <t xml:space="preserve">PCV2182</t>
  </si>
  <si>
    <t xml:space="preserve">PCV2183</t>
  </si>
  <si>
    <t xml:space="preserve">Gardening Allowance for June</t>
  </si>
  <si>
    <t xml:space="preserve">CXF2157</t>
  </si>
  <si>
    <t xml:space="preserve">Cleaning and Janitorial Services for June 2026</t>
  </si>
  <si>
    <t xml:space="preserve">PCV2185</t>
  </si>
  <si>
    <t xml:space="preserve">Cash to Gardner to purchase a new plant</t>
  </si>
  <si>
    <t xml:space="preserve">INV2026005</t>
  </si>
  <si>
    <t xml:space="preserve">Bank Charges on funds received</t>
  </si>
  <si>
    <t xml:space="preserve">ank Charges</t>
  </si>
  <si>
    <t xml:space="preserve">Current Account service charge</t>
  </si>
  <si>
    <t xml:space="preserve">Bank Charges on funds received from RENL</t>
  </si>
  <si>
    <t xml:space="preserve">Bank Charges on Sugar conference ticket</t>
  </si>
  <si>
    <t xml:space="preserve">ARIS_BO</t>
  </si>
  <si>
    <t xml:space="preserve">Bank charges on cheque withdrawal</t>
  </si>
  <si>
    <t xml:space="preserve">Bank Charge for printing bank statement</t>
  </si>
  <si>
    <t xml:space="preserve">Bank Charges on funds received from GVL</t>
  </si>
  <si>
    <t xml:space="preserve">Bank Charges on hotel payment PCGH780</t>
  </si>
  <si>
    <t xml:space="preserve">JOPAFRAN</t>
  </si>
  <si>
    <t xml:space="preserve">INV2025053</t>
  </si>
  <si>
    <t xml:space="preserve">Bank Charges on funds received from Jopafran</t>
  </si>
  <si>
    <t xml:space="preserve">ARISEIIP</t>
  </si>
  <si>
    <t xml:space="preserve">Inv2025076</t>
  </si>
  <si>
    <t xml:space="preserve">Bank Charges on funds received from Arise Togo</t>
  </si>
  <si>
    <t xml:space="preserve">Current account service charge</t>
  </si>
  <si>
    <t xml:space="preserve">Bank charges</t>
  </si>
  <si>
    <t xml:space="preserve">Bank charges-New Cheque books</t>
  </si>
  <si>
    <t xml:space="preserve">Bank Charges - current account service charge</t>
  </si>
  <si>
    <t xml:space="preserve">Withdrawal Charges</t>
  </si>
  <si>
    <t xml:space="preserve">Cash withdrawal charge</t>
  </si>
  <si>
    <t xml:space="preserve">FXPV340</t>
  </si>
  <si>
    <t xml:space="preserve">FXPV341</t>
  </si>
  <si>
    <t xml:space="preserve">PCV2174</t>
  </si>
  <si>
    <t xml:space="preserve">Bank Charges for Visa Statement Request</t>
  </si>
  <si>
    <t xml:space="preserve">FXPV342</t>
  </si>
  <si>
    <t xml:space="preserve">Bank Charges for Purchase of Microphone Transfer</t>
  </si>
  <si>
    <t xml:space="preserve">Bank Charges for Bank Confirmation during 2025 Audit</t>
  </si>
  <si>
    <t xml:space="preserve">Current Account Service Charge for June</t>
  </si>
  <si>
    <t xml:space="preserve">Exchange rate variance</t>
  </si>
  <si>
    <t xml:space="preserve">BR</t>
  </si>
  <si>
    <t xml:space="preserve">REVAL</t>
  </si>
  <si>
    <t xml:space="preserve">Currency Reval 0.01 to SI 42969</t>
  </si>
  <si>
    <t xml:space="preserve">Foreign Bank Transfer Revaluation Journal from 43071</t>
  </si>
  <si>
    <t xml:space="preserve">Exchange Rate Variance on GBP to USD transfer</t>
  </si>
  <si>
    <t xml:space="preserve">Foreign Bank Revaluation Journal</t>
  </si>
  <si>
    <t xml:space="preserve">Exchange Rate Difference</t>
  </si>
  <si>
    <t xml:space="preserve">Currency Reval 0.01 to SI 43948</t>
  </si>
  <si>
    <t xml:space="preserve">Bank Recon - Exchange Differen</t>
  </si>
  <si>
    <t xml:space="preserve">PV3157</t>
  </si>
  <si>
    <t xml:space="preserve">Balance of Samuel Ayesu 7.5% WHT due to Exchange Variance</t>
  </si>
  <si>
    <t xml:space="preserve">PV3161</t>
  </si>
  <si>
    <t xml:space="preserve">Balance of Emmanuel Danqua 7.5% WHT due to Exchange Variance</t>
  </si>
  <si>
    <t xml:space="preserve">Leone WriteOff</t>
  </si>
  <si>
    <t xml:space="preserve">Write off of old leone notes due to redenomination-Le33,000</t>
  </si>
  <si>
    <t xml:space="preserve">Reconciles actual Project_Activity transactions (the accounting activity recorded against projects and nominal codes) with the Trial_Balance closing balances for the reporting period. P&amp;L closing balances in this TB are year-to-date movements, so Project Activity is aggregated YTD to the comparison quarter. Projects Forecast is NOT used here — it holds planning data, not actuals.</t>
  </si>
  <si>
    <t xml:space="preserve">TB loaded through quarter:</t>
  </si>
  <si>
    <t xml:space="preserve">Selected quarter:</t>
  </si>
  <si>
    <t xml:space="preserve">Comparison quarter (YTD through):</t>
  </si>
  <si>
    <t xml:space="preserve">Rounding tolerance (GHS):</t>
  </si>
  <si>
    <t xml:space="preserve">Nominal_Description</t>
  </si>
  <si>
    <t xml:space="preserve">Project_Activity_YTD_GHS</t>
  </si>
  <si>
    <t xml:space="preserve">Trial_Balance_YTD_GHS</t>
  </si>
  <si>
    <t xml:space="preserve">Variance_PA_less_TB</t>
  </si>
  <si>
    <t xml:space="preserve">Recon_Status</t>
  </si>
  <si>
    <t xml:space="preserve">PA_Selected_Qtr_GHS</t>
  </si>
  <si>
    <t xml:space="preserve">Completeness — project activity on codes not in map:</t>
  </si>
  <si>
    <t xml:space="preserve">Project-Level Drill-Down — Project × Nominal Code × Reporting Period</t>
  </si>
  <si>
    <t xml:space="preserve">Nominal code to analyse:</t>
  </si>
  <si>
    <t xml:space="preserve">Code YTD total:</t>
  </si>
  <si>
    <t xml:space="preserve">PA_YTD_GHS</t>
  </si>
  <si>
    <t xml:space="preserve">Share_of_Code_%</t>
  </si>
  <si>
    <t xml:space="preserve">Unlisted projects (activity on this code outside MM_Income rows 5-64)</t>
  </si>
  <si>
    <t xml:space="preserve">Notes:</t>
  </si>
  <si>
    <t xml:space="preserve">· Sign convention follows the nominal ledger (Debit − Credit): income is negative, costs are positive. Project Activity totals use Project_Activity Amount_Local (GHS).</t>
  </si>
  <si>
    <t xml:space="preserve">· Project_Activity_YTD_GHS aggregates every Project_Activity transaction for the nominal code across all loaded quarters up to the comparison quarter (Period &gt;= FY-Q1 and &lt;= FY-Qn), matching the TB, whose P&amp;L closing balances are YTD movements.</t>
  </si>
  <si>
    <t xml:space="preserve">· Trial_Balance_YTD_GHS reads the Closing_Balance of the comparison-quarter TB snapshot (Period = FY-Qn). The comparison quarter is the earlier of the selected quarter and the latest loaded TB quarter, so the two sides are always like-for-like.</t>
  </si>
  <si>
    <t xml:space="preserve">· RECONCILED = |variance| within the rounding tolerance (F4). VARIANCE rows need investigation — typically nominal-ledger entries not booked to a project, or project bookings missing from the ledger. INFO rows are structurally not project-booked (entity-level income, overheads carried in fixed costs, balance-sheet codes); their variance is shown for completeness but is not a reconciliation failure.</t>
  </si>
  <si>
    <t xml:space="preserve">· Rows are driven by the MM_Income nominal-code map (Z5:AC24); newly mapped codes appear automatically. The completeness row (27) flags project activity on codes missing from the map. Checks!B39 counts VARIANCE and CHECK rows for the publication gate.</t>
  </si>
  <si>
    <t xml:space="preserve">Master Mapping — Income (Projects)</t>
  </si>
  <si>
    <t xml:space="preserve">Income &amp; Project-Cost Nominal Code Map</t>
  </si>
  <si>
    <t xml:space="preserve">One row per project (A:X); sorted by Project_ID; drives Project_Forecast. Blue = input, yellow = maintain quarterly. Dropdowns on Portfolio/Lead/Status/Source_Type/Commodity/Type/Currency/Forecast_Class (lists at AG:AN). Pipeline projects: Status=Pipeline, Forecast_Class=Pipeline, Probability&lt;1. Nominal code map moved to AB:AE. TBC values need finance confirmation.</t>
  </si>
  <si>
    <t xml:space="preserve">Contract_Currency</t>
  </si>
  <si>
    <t xml:space="preserve">Gross_Contract_Value</t>
  </si>
  <si>
    <t xml:space="preserve">Inclusive Subcontractor Fees</t>
  </si>
  <si>
    <t xml:space="preserve">Inclusive Fees for other PF Entities</t>
  </si>
  <si>
    <t xml:space="preserve">Inclusive Expenses</t>
  </si>
  <si>
    <t xml:space="preserve">FX_Rate</t>
  </si>
  <si>
    <t xml:space="preserve">Net_Income_FY_GHS</t>
  </si>
  <si>
    <t xml:space="preserve">Weighted_Net_GHS</t>
  </si>
  <si>
    <t xml:space="preserve">Line_Item</t>
  </si>
  <si>
    <t xml:space="preserve">Mirror_Entity</t>
  </si>
  <si>
    <t xml:space="preserve">Portfolio_List</t>
  </si>
  <si>
    <t xml:space="preserve">Lead_List</t>
  </si>
  <si>
    <t xml:space="preserve">Status_List</t>
  </si>
  <si>
    <t xml:space="preserve">SourceType_List</t>
  </si>
  <si>
    <t xml:space="preserve">Commodity_List</t>
  </si>
  <si>
    <t xml:space="preserve">ProjectType_List</t>
  </si>
  <si>
    <t xml:space="preserve">Currency_List</t>
  </si>
  <si>
    <t xml:space="preserve">ForecastClass_List</t>
  </si>
  <si>
    <t xml:space="preserve">PCGH693</t>
  </si>
  <si>
    <t xml:space="preserve">Barnsley Integrated HCV-HCS Assessment</t>
  </si>
  <si>
    <t xml:space="preserve">ArB</t>
  </si>
  <si>
    <t xml:space="preserve">Current</t>
  </si>
  <si>
    <t xml:space="preserve">Secured</t>
  </si>
  <si>
    <t xml:space="preserve">External Income</t>
  </si>
  <si>
    <t xml:space="preserve">Invoiced Income</t>
  </si>
  <si>
    <t xml:space="preserve">PO</t>
  </si>
  <si>
    <t xml:space="preserve">Mirror PCGH + PIUK</t>
  </si>
  <si>
    <t xml:space="preserve">PIUK</t>
  </si>
  <si>
    <t xml:space="preserve">Completed</t>
  </si>
  <si>
    <t xml:space="preserve">Pipeline</t>
  </si>
  <si>
    <t xml:space="preserve">SD</t>
  </si>
  <si>
    <t xml:space="preserve">Mirror PCGH + PB</t>
  </si>
  <si>
    <t xml:space="preserve">PB</t>
  </si>
  <si>
    <t xml:space="preserve">Completed/Legacy</t>
  </si>
  <si>
    <t xml:space="preserve">PCGH761</t>
  </si>
  <si>
    <t xml:space="preserve">Participatory Land Use Plan_Wologizi_Wonegizi_Landscape</t>
  </si>
  <si>
    <t xml:space="preserve">ENT</t>
  </si>
  <si>
    <t xml:space="preserve">Forest</t>
  </si>
  <si>
    <t xml:space="preserve">Mirror PCGH + PM</t>
  </si>
  <si>
    <t xml:space="preserve">PM</t>
  </si>
  <si>
    <t xml:space="preserve">KNB</t>
  </si>
  <si>
    <t xml:space="preserve">Mirror PCGH + PCUK</t>
  </si>
  <si>
    <t xml:space="preserve">PCUK</t>
  </si>
  <si>
    <t xml:space="preserve">On Hold</t>
  </si>
  <si>
    <t xml:space="preserve">Presco_HCV_HCS-Scoping</t>
  </si>
  <si>
    <t xml:space="preserve">Training Income</t>
  </si>
  <si>
    <t xml:space="preserve">Abe</t>
  </si>
  <si>
    <t xml:space="preserve">BPL_HCV_HCSA Assessment &amp; GHG</t>
  </si>
  <si>
    <t xml:space="preserve">Recoverable expenses invoiced</t>
  </si>
  <si>
    <t xml:space="preserve">Recovered Expenses</t>
  </si>
  <si>
    <t xml:space="preserve">COM</t>
  </si>
  <si>
    <t xml:space="preserve">Presco Ext III_HCV_HCSA Assessment</t>
  </si>
  <si>
    <t xml:space="preserve">Subcontractor Expenses paid</t>
  </si>
  <si>
    <t xml:space="preserve">Subcontractor</t>
  </si>
  <si>
    <t xml:space="preserve">LD</t>
  </si>
  <si>
    <t xml:space="preserve">Multiple Commodity</t>
  </si>
  <si>
    <t xml:space="preserve">PCGH773</t>
  </si>
  <si>
    <t xml:space="preserve">Basrnsley 1&amp; 2 LUCA &amp; GHG Assessment</t>
  </si>
  <si>
    <t xml:space="preserve">Recoverable expenses paid</t>
  </si>
  <si>
    <t xml:space="preserve">Recoverable</t>
  </si>
  <si>
    <t xml:space="preserve">FA</t>
  </si>
  <si>
    <t xml:space="preserve">Evaluation_Deep-Dive_action Plan by Socfin Group</t>
  </si>
  <si>
    <t xml:space="preserve">Non-Recoverable expenses paid</t>
  </si>
  <si>
    <t xml:space="preserve">Non-Recoverable</t>
  </si>
  <si>
    <t xml:space="preserve">ESDD OF VALENCY OPERATIONS FOR FMO</t>
  </si>
  <si>
    <t xml:space="preserve">Project Inclusive expenses paid</t>
  </si>
  <si>
    <t xml:space="preserve">Project Inclusive</t>
  </si>
  <si>
    <t xml:space="preserve">DEFORESTATION_RISK_ASSESSMENT_CASHEW COAST</t>
  </si>
  <si>
    <t xml:space="preserve">Programme Grant Income</t>
  </si>
  <si>
    <t xml:space="preserve">Programme Income</t>
  </si>
  <si>
    <t xml:space="preserve">GENERAL_MILLS_COCOA_LAND USE CHANGE EMMISSIONS</t>
  </si>
  <si>
    <t xml:space="preserve">Other Income — Miscellaneous</t>
  </si>
  <si>
    <t xml:space="preserve">MIRROR_PCUK111_NESTLE_RS_SUGAR_2026_A_GENERAL_SUPPORT</t>
  </si>
  <si>
    <t xml:space="preserve">Management Fee Income</t>
  </si>
  <si>
    <t xml:space="preserve">Other Income — Cost Recovery</t>
  </si>
  <si>
    <t xml:space="preserve">MIRROR_PCUK111_NESTLE_RS_SUGAR_2026_B_CIV</t>
  </si>
  <si>
    <t xml:space="preserve">GETFUND/NHIL levy on project purchases</t>
  </si>
  <si>
    <t xml:space="preserve">MIRROR_PCUK111_NESTLE_RS_SUGAR_2026_C_NIG</t>
  </si>
  <si>
    <t xml:space="preserve">Health and safety (project-charged)</t>
  </si>
  <si>
    <t xml:space="preserve">Excluded — Overhead (in fixed costs)</t>
  </si>
  <si>
    <t xml:space="preserve">PCGH781</t>
  </si>
  <si>
    <t xml:space="preserve">MIRROR_PCUK111_NESTLE_RS_SUGAR_2026_D_SA</t>
  </si>
  <si>
    <t xml:space="preserve">Misc Office Costs (project-charged)</t>
  </si>
  <si>
    <t xml:space="preserve">PCGH782</t>
  </si>
  <si>
    <t xml:space="preserve">MIRROR_PCUK111_NESTLE_RS_SUGAR_2026_E_CAM</t>
  </si>
  <si>
    <t xml:space="preserve">IT Support - Internet (project-charged)</t>
  </si>
  <si>
    <t xml:space="preserve">MIRROR_PCUK111_NESTLE_RS_SUGAR_2026_F_ZIM</t>
  </si>
  <si>
    <t xml:space="preserve">Cleaning and laundry (project-charged)</t>
  </si>
  <si>
    <t xml:space="preserve">RENL_ERUA_HCV-HCSA ASSESSMENT</t>
  </si>
  <si>
    <t xml:space="preserve">Bank Charges (project-charged)</t>
  </si>
  <si>
    <t xml:space="preserve">RENL_AGO-IWOYE_HCV-HCSA NEW SCOPING</t>
  </si>
  <si>
    <t xml:space="preserve">IMPACT LEVEL BASELINE ASSESSMENT FOR FGMC - REVENUE ASSESSMENT</t>
  </si>
  <si>
    <t xml:space="preserve">MIRROR_PCUK1184_HERSHEY_INTEGRATED_DD_PHASE 2</t>
  </si>
  <si>
    <t xml:space="preserve">CDC_BOA &amp; MONDONI_HCV-HCSA SCOPING</t>
  </si>
  <si>
    <t xml:space="preserve">EHS&amp;S AUDIT FOR VALENCY MSMO PROJECT</t>
  </si>
  <si>
    <t xml:space="preserve">NESTLE SOY</t>
  </si>
  <si>
    <t xml:space="preserve">PCGH791</t>
  </si>
  <si>
    <t xml:space="preserve">RA_AFI_2026</t>
  </si>
  <si>
    <t xml:space="preserve">HCV_HCSA_Scoping Study_RENL_Isi Concession</t>
  </si>
  <si>
    <t xml:space="preserve">HCV_HCSA_Scoping_RENL_Calabar Concession</t>
  </si>
  <si>
    <t xml:space="preserve">TBC-01</t>
  </si>
  <si>
    <t xml:space="preserve">Hershey Nigeria - Scoping Study</t>
  </si>
  <si>
    <t xml:space="preserve">TBC-02</t>
  </si>
  <si>
    <t xml:space="preserve">CDC_BOA &amp; MONDONI_HCV-HCSA Assessment</t>
  </si>
  <si>
    <t xml:space="preserve">TBC-03</t>
  </si>
  <si>
    <t xml:space="preserve">Environmental and Social Compliance Training and Traceability System Design and Deployment for the Palm and Cashew Value Chains In Ghana</t>
  </si>
  <si>
    <t xml:space="preserve">TBC-04</t>
  </si>
  <si>
    <t xml:space="preserve">Integrated HCV-HCSA Scoping Study for Presco Plc's Nsadop Concession in Cross River State Nigeria</t>
  </si>
  <si>
    <t xml:space="preserve">TBC-05</t>
  </si>
  <si>
    <t xml:space="preserve">Bonsucro Chain of Custody Standard Baseline Assessment and Gap Analyses for BUA Foods Plc. Sugar Refineries in Apapa, Lagos and FZE, Port Harcourt, Nigeria</t>
  </si>
  <si>
    <t xml:space="preserve">BUA Foods</t>
  </si>
  <si>
    <t xml:space="preserve">TBC-06</t>
  </si>
  <si>
    <t xml:space="preserve">Integrated HCV-HCSA Scoping Study for Dangote Sugar Refinery's Savannah Sugar Estate Concession in Numan, Adamawa State, Nigeria</t>
  </si>
  <si>
    <t xml:space="preserve">Dangote</t>
  </si>
  <si>
    <t xml:space="preserve">TBC-07</t>
  </si>
  <si>
    <t xml:space="preserve">Bonsucro Chain of Custody Standard Baseline Assessment and Gap Analyses for Dangote Suagr Refinery in Apapa, Lagos State, Nigeria</t>
  </si>
  <si>
    <t xml:space="preserve">TBC-08</t>
  </si>
  <si>
    <t xml:space="preserve">Bonsucro Production Standard Baseline Assessment and Gap Analyses of Dangote's Savannah Sugar Estate Operations in Numan, Adamawa State, Nigeria</t>
  </si>
  <si>
    <t xml:space="preserve">Master Mapping — Fixed Cost (nominal codes 6000–7950)</t>
  </si>
  <si>
    <t xml:space="preserve">Annual budgets here feed FC_Budget_Vrs_Actual. PIGH share % applies 25% cost share to the listed codes. Codes 4000–5250 are excluded by design (project income/cost codes).</t>
  </si>
  <si>
    <t xml:space="preserve">Annual_Budget_GHS</t>
  </si>
  <si>
    <t xml:space="preserve">PIGH_Share_pct</t>
  </si>
  <si>
    <t xml:space="preserve">Support - Recruitment costs</t>
  </si>
  <si>
    <t xml:space="preserve">Staff welfare</t>
  </si>
  <si>
    <t xml:space="preserve">Team building</t>
  </si>
  <si>
    <t xml:space="preserve">Staff Training: Training courses - Group Purchase</t>
  </si>
  <si>
    <t xml:space="preserve">Staff Training: Languages</t>
  </si>
  <si>
    <t xml:space="preserve">Staff Training: Attending conferences and RT's</t>
  </si>
  <si>
    <t xml:space="preserve">Staff miscellaneous travel support</t>
  </si>
  <si>
    <t xml:space="preserve">Staff Training: Group Discretionary Fund</t>
  </si>
  <si>
    <t xml:space="preserve">Rent</t>
  </si>
  <si>
    <t xml:space="preserve">Home office costs</t>
  </si>
  <si>
    <t xml:space="preserve">Sponsorship of students</t>
  </si>
  <si>
    <t xml:space="preserve">Management Meetings</t>
  </si>
  <si>
    <t xml:space="preserve">ExternalComms - Couriers and post</t>
  </si>
  <si>
    <t xml:space="preserve">ExternalComms - Telephone</t>
  </si>
  <si>
    <t xml:space="preserve">ExternalComms - Mobile calls and skype</t>
  </si>
  <si>
    <t xml:space="preserve">ExternalComms - Internet and net meetings</t>
  </si>
  <si>
    <t xml:space="preserve">Books and journals</t>
  </si>
  <si>
    <t xml:space="preserve">Legal: general fees and expenses</t>
  </si>
  <si>
    <t xml:space="preserve">Legal: staff immigration</t>
  </si>
  <si>
    <t xml:space="preserve">Audit fees</t>
  </si>
  <si>
    <t xml:space="preserve">Insurances - Group Purchase</t>
  </si>
  <si>
    <t xml:space="preserve">Governance costs</t>
  </si>
  <si>
    <t xml:space="preserve">IT Comp software and dev - Group purchase</t>
  </si>
  <si>
    <t xml:space="preserve">IT Support</t>
  </si>
  <si>
    <t xml:space="preserve">IT Support - Group purchase</t>
  </si>
  <si>
    <t xml:space="preserve">IT Support - Websites</t>
  </si>
  <si>
    <t xml:space="preserve">IT Support - Websites - Group Purchase</t>
  </si>
  <si>
    <t xml:space="preserve">GIS / Data management - Group Purchase</t>
  </si>
  <si>
    <t xml:space="preserve">Training LMS</t>
  </si>
  <si>
    <t xml:space="preserve">Vehicle Running costs</t>
  </si>
  <si>
    <t xml:space="preserve">Bank Interest Paid</t>
  </si>
  <si>
    <t xml:space="preserve">Mortgage interest payments</t>
  </si>
  <si>
    <t xml:space="preserve">Loan Interest Paid</t>
  </si>
  <si>
    <t xml:space="preserve">Mortgage related costs</t>
  </si>
  <si>
    <t xml:space="preserve">WHT on PCUK loan</t>
  </si>
  <si>
    <t xml:space="preserve">Cash Advance Fees</t>
  </si>
  <si>
    <t xml:space="preserve">Miscellaneous Taxes</t>
  </si>
  <si>
    <t xml:space="preserve">Total Annual Budget</t>
  </si>
  <si>
    <t xml:space="preserve">Master Mappings — Nominal Register &amp; Balance Sheet</t>
  </si>
  <si>
    <t xml:space="preserve">Note: DEP-*/AMRT-* are workbook keys for depreciation accounts exported without nominal codes — keep the same keys when pasting future TBs.</t>
  </si>
  <si>
    <t xml:space="preserve">Project mappings have MOVED to the MM_Income tab (Master Mapping — Income).</t>
  </si>
  <si>
    <t xml:space="preserve">Presentation_Sign</t>
  </si>
  <si>
    <t xml:space="preserve">Excluded — Project/Other</t>
  </si>
  <si>
    <t xml:space="preserve">Excluded</t>
  </si>
  <si>
    <t xml:space="preserve">Responsible production</t>
  </si>
  <si>
    <t xml:space="preserve">1125</t>
  </si>
  <si>
    <t xml:space="preserve">Staff Account - Afua S A Prempeh</t>
  </si>
  <si>
    <t xml:space="preserve">Staff Account- James Parker</t>
  </si>
  <si>
    <t xml:space="preserve">1136</t>
  </si>
  <si>
    <t xml:space="preserve">Staff Account - Abraham Baffoe</t>
  </si>
  <si>
    <t xml:space="preserve">1138</t>
  </si>
  <si>
    <t xml:space="preserve">Staff Account - Stephen Doso</t>
  </si>
  <si>
    <t xml:space="preserve">1141</t>
  </si>
  <si>
    <t xml:space="preserve">Staff Account - Ekow Nyamekye Tawiah</t>
  </si>
  <si>
    <t xml:space="preserve">Staff Account- Kwadwo Nti Baniako</t>
  </si>
  <si>
    <t xml:space="preserve">Proforest UK</t>
  </si>
  <si>
    <t xml:space="preserve">1182</t>
  </si>
  <si>
    <t xml:space="preserve">INTER COMPANY - PB- Proforest (BR)</t>
  </si>
  <si>
    <t xml:space="preserve">Other Proforest Entity</t>
  </si>
  <si>
    <t xml:space="preserve">1184</t>
  </si>
  <si>
    <t xml:space="preserve">INTER COMPANY - PM - Proforest (MY) Sdn Bhd</t>
  </si>
  <si>
    <t xml:space="preserve">INTER COMPANY-PIA- Proforest Initiative Africa (PIGH)</t>
  </si>
  <si>
    <t xml:space="preserve">1186</t>
  </si>
  <si>
    <t xml:space="preserve">INTER COMPANY - PC - Proforest Colombia</t>
  </si>
  <si>
    <t xml:space="preserve">GROUP Receivable payment requests (PIGH)</t>
  </si>
  <si>
    <t xml:space="preserve">4010</t>
  </si>
  <si>
    <t xml:space="preserve">Consultancy (PG+PI Contract Fees) Income</t>
  </si>
  <si>
    <t xml:space="preserve">4905</t>
  </si>
  <si>
    <t xml:space="preserve">Management fee income</t>
  </si>
  <si>
    <t xml:space="preserve">7050</t>
  </si>
  <si>
    <t xml:space="preserve">7119</t>
  </si>
  <si>
    <t xml:space="preserve">7125</t>
  </si>
  <si>
    <t xml:space="preserve">7950</t>
  </si>
  <si>
    <t xml:space="preserve">Office Equipment (expense)</t>
  </si>
  <si>
    <t xml:space="preserve">QMR Manual Inputs</t>
  </si>
  <si>
    <t xml:space="preserve">Structured inputs with no automated source yet. Yellow cells are inputs. Each block carries a tie-out check. Values entered here flow to QMR_Report — nothing is typed on the report itself.</t>
  </si>
  <si>
    <t xml:space="preserve">1. Programme Income by Portfolio (GHS)</t>
  </si>
  <si>
    <t xml:space="preserve">FY_Forecast</t>
  </si>
  <si>
    <t xml:space="preserve">Invoicing</t>
  </si>
  <si>
    <t xml:space="preserve">Unallocated (to classify)</t>
  </si>
  <si>
    <t xml:space="preserve">Tie-out vs Controls</t>
  </si>
  <si>
    <t xml:space="preserve">2. Other Income — items with no nominal-code source (GHS)</t>
  </si>
  <si>
    <t xml:space="preserve">Interest Received</t>
  </si>
  <si>
    <t xml:space="preserve">No nominal code identified in current chart — input until a code is confirmed</t>
  </si>
  <si>
    <t xml:space="preserve">3. Group Contributions &amp; Payroll (GHS) — QMR expenditure input lines</t>
  </si>
  <si>
    <t xml:space="preserve">Contribution from Group re Global Roles (Technical)</t>
  </si>
  <si>
    <t xml:space="preserve">Enter as negative if it reduces cost</t>
  </si>
  <si>
    <t xml:space="preserve">Contribution from Group re Global Roles (FinOps)</t>
  </si>
  <si>
    <t xml:space="preserve">Indirect Costs from Group Payroll (Global Roles)</t>
  </si>
  <si>
    <t xml:space="preserve">4. Depreciation &amp; Tax (GHS)</t>
  </si>
  <si>
    <t xml:space="preserve">Value_YTD</t>
  </si>
  <si>
    <t xml:space="preserve">Depreciation override (leave 0 to use Trial Balance depreciation accounts)</t>
  </si>
  <si>
    <t xml:space="preserve">Tax charge YTD</t>
  </si>
  <si>
    <t xml:space="preserve">5. Group Costs by Function (GHS) — QMR Report Section 3</t>
  </si>
  <si>
    <t xml:space="preserve">FinOps</t>
  </si>
  <si>
    <t xml:space="preserve">Business Development</t>
  </si>
  <si>
    <t xml:space="preserve">Comms</t>
  </si>
  <si>
    <t xml:space="preserve">Data</t>
  </si>
  <si>
    <t xml:space="preserve">IT</t>
  </si>
  <si>
    <t xml:space="preserve">Training</t>
  </si>
  <si>
    <t xml:space="preserve">6. Project Income Budget by Portfolio and Project Type (GHS)</t>
  </si>
  <si>
    <t xml:space="preserve">Total Project Income Budget (by Portfolio)</t>
  </si>
  <si>
    <t xml:space="preserve">Tie-out vs Controls (Project income budget)</t>
  </si>
  <si>
    <t xml:space="preserve">Total Project Income Budget (by Type)</t>
  </si>
  <si>
    <t xml:space="preserve">Controlled Manual Adjustments</t>
  </si>
  <si>
    <t xml:space="preserve">Do not edit source staging data. Record approved corrections here with evidence and approval.</t>
  </si>
  <si>
    <t xml:space="preserve">Workstream</t>
  </si>
  <si>
    <t xml:space="preserve">Target_Metric</t>
  </si>
  <si>
    <t xml:space="preserve">Adjustment_GHS</t>
  </si>
  <si>
    <t xml:space="preserve">Reason</t>
  </si>
  <si>
    <t xml:space="preserve">Approver</t>
  </si>
  <si>
    <t xml:space="preserve">Source_Ref</t>
  </si>
  <si>
    <t xml:space="preserve">Timestamp</t>
  </si>
  <si>
    <t xml:space="preserve">Approval_Status</t>
  </si>
  <si>
    <t xml:space="preserve">Model Checks, Exceptions and Publication Gate</t>
  </si>
  <si>
    <t xml:space="preserve">MODEL VALIDATION STATUS</t>
  </si>
  <si>
    <t xml:space="preserve">PUBLICATION STATUS</t>
  </si>
  <si>
    <t xml:space="preserve">Check</t>
  </si>
  <si>
    <t xml:space="preserve">Actual</t>
  </si>
  <si>
    <t xml:space="preserve">Expected</t>
  </si>
  <si>
    <t xml:space="preserve">Tolerance</t>
  </si>
  <si>
    <t xml:space="preserve">Difference</t>
  </si>
  <si>
    <t xml:space="preserve">Where_to_Fix</t>
  </si>
  <si>
    <t xml:space="preserve">Notes</t>
  </si>
  <si>
    <t xml:space="preserve">Project transaction duplicates</t>
  </si>
  <si>
    <t xml:space="preserve">Project_Activity</t>
  </si>
  <si>
    <t xml:space="preserve">Resolve duplicate record keys</t>
  </si>
  <si>
    <t xml:space="preserve">Nominal transaction duplicates</t>
  </si>
  <si>
    <t xml:space="preserve">Nominal_Activity</t>
  </si>
  <si>
    <t xml:space="preserve">Unmapped nominal activity</t>
  </si>
  <si>
    <t xml:space="preserve">Master_Mappings</t>
  </si>
  <si>
    <t xml:space="preserve">Map every nominal code</t>
  </si>
  <si>
    <t xml:space="preserve">Unmapped fixed-cost budget</t>
  </si>
  <si>
    <t xml:space="preserve">MM_FixedCost</t>
  </si>
  <si>
    <t xml:space="preserve">Every 6000-7950 code must exist in FixedCost_Mapping</t>
  </si>
  <si>
    <t xml:space="preserve">Project forecast exceptions</t>
  </si>
  <si>
    <t xml:space="preserve">Project_Forecast</t>
  </si>
  <si>
    <t xml:space="preserve">Review pipeline, negative income and days</t>
  </si>
  <si>
    <t xml:space="preserve">Fixed-cost source-to-output tie</t>
  </si>
  <si>
    <t xml:space="preserve">FixedCost_Output</t>
  </si>
  <si>
    <t xml:space="preserve">Output actuals must equal mapped nominal activity</t>
  </si>
  <si>
    <t xml:space="preserve">Fixed-cost budget mapping tie</t>
  </si>
  <si>
    <t xml:space="preserve">Category budgets must equal mapping annual budgets</t>
  </si>
  <si>
    <t xml:space="preserve">Balance sheet balances</t>
  </si>
  <si>
    <t xml:space="preserve">Balance_Sheet</t>
  </si>
  <si>
    <t xml:space="preserve">Assets less liabilities must equal capital and reserves</t>
  </si>
  <si>
    <t xml:space="preserve">Entity QMR fixed-cost tie</t>
  </si>
  <si>
    <t xml:space="preserve">Entity_QMR</t>
  </si>
  <si>
    <t xml:space="preserve">QMR must equal feeder output</t>
  </si>
  <si>
    <t xml:space="preserve">Consolidation tie</t>
  </si>
  <si>
    <t xml:space="preserve">Consolidation</t>
  </si>
  <si>
    <t xml:space="preserve">Consolidated equals entities plus eliminations</t>
  </si>
  <si>
    <t xml:space="preserve">Manual adjustment completeness</t>
  </si>
  <si>
    <t xml:space="preserve">Manual_Adjustments</t>
  </si>
  <si>
    <t xml:space="preserve">Every populated adjustment must be approved and sourced</t>
  </si>
  <si>
    <t xml:space="preserve">Source period control</t>
  </si>
  <si>
    <t xml:space="preserve">Controls</t>
  </si>
  <si>
    <t xml:space="preserve">All source dates must be at or before reporting date</t>
  </si>
  <si>
    <t xml:space="preserve">Formula error sweep (report + calc sheets)</t>
  </si>
  <si>
    <t xml:space="preserve">All report tabs</t>
  </si>
  <si>
    <t xml:space="preserve">Live count of error cells across reports and calculations</t>
  </si>
  <si>
    <t xml:space="preserve">Selected-period project forecast present</t>
  </si>
  <si>
    <t xml:space="preserve">&gt;0</t>
  </si>
  <si>
    <t xml:space="preserve">Load at least one selected-period forecast row</t>
  </si>
  <si>
    <t xml:space="preserve">Year-to-date nominal activity present</t>
  </si>
  <si>
    <t xml:space="preserve">Load annual activity through the reporting date</t>
  </si>
  <si>
    <t xml:space="preserve">Selected-period trial balance present</t>
  </si>
  <si>
    <t xml:space="preserve">Trial_Balance</t>
  </si>
  <si>
    <t xml:space="preserve">Load a selected-period trial balance snapshot</t>
  </si>
  <si>
    <t xml:space="preserve">Unmapped trial balance accounts</t>
  </si>
  <si>
    <t xml:space="preserve">Add missing accounts to TB_Mappings</t>
  </si>
  <si>
    <t xml:space="preserve">Unmapped project-activity nominal codes</t>
  </si>
  <si>
    <t xml:space="preserve">MM_Income</t>
  </si>
  <si>
    <t xml:space="preserve">Add code to Income_Code_Map</t>
  </si>
  <si>
    <t xml:space="preserve">Programme income allocation tie</t>
  </si>
  <si>
    <t xml:space="preserve">QMR_Inputs</t>
  </si>
  <si>
    <t xml:space="preserve">Portfolio split must sum to Controls totals</t>
  </si>
  <si>
    <t xml:space="preserve">QMR report income tie</t>
  </si>
  <si>
    <t xml:space="preserve">QMR_Report</t>
  </si>
  <si>
    <t xml:space="preserve">Report project income must equal Project_Output net forecast</t>
  </si>
  <si>
    <t xml:space="preserve">Slide pack tie to QMR report</t>
  </si>
  <si>
    <t xml:space="preserve">Slide_Pack</t>
  </si>
  <si>
    <t xml:space="preserve">Slide totals must tie to QMR report</t>
  </si>
  <si>
    <t xml:space="preserve">WIP percentage over 100%</t>
  </si>
  <si>
    <t xml:space="preserve">Total WIP % per project must not exceed 100%</t>
  </si>
  <si>
    <t xml:space="preserve">Activity projects missing a forecast row</t>
  </si>
  <si>
    <t xml:space="preserve">Project_Forecast / MM_Income</t>
  </si>
  <si>
    <t xml:space="preserve">Add the project to MM_Income and a forecast row, or its actuals are excluded from outputs</t>
  </si>
  <si>
    <t xml:space="preserve">Commodity/Client residual (values not in lists)</t>
  </si>
  <si>
    <t xml:space="preserve">Project_Output</t>
  </si>
  <si>
    <t xml:space="preserve">Add the new commodity/client label to the breakdown lists</t>
  </si>
  <si>
    <t xml:space="preserve">FixedCost mapping rows match FC Budget tab</t>
  </si>
  <si>
    <t xml:space="preserve">FC_Budget_Vrs_Actual mirrors 74 lines — extend both together (TechOps)</t>
  </si>
  <si>
    <t xml:space="preserve">Trial balance duplicate account-period rows</t>
  </si>
  <si>
    <t xml:space="preserve">Each account must appear once per quarter snapshot</t>
  </si>
  <si>
    <t xml:space="preserve">Staging rows missing entity</t>
  </si>
  <si>
    <t xml:space="preserve">Nominal_Activity / Trial_Balance</t>
  </si>
  <si>
    <t xml:space="preserve">Every pasted row must carry the entity code</t>
  </si>
  <si>
    <t xml:space="preserve">Projects with TBC commodity or client</t>
  </si>
  <si>
    <t xml:space="preserve">Confirm commodity/client tags seeded from project names</t>
  </si>
  <si>
    <t xml:space="preserve">Invalid or blank Status values</t>
  </si>
  <si>
    <t xml:space="preserve">Status must come from the dropdown list (AI5:AI9)</t>
  </si>
  <si>
    <t xml:space="preserve">Projects missing Forecast_Class</t>
  </si>
  <si>
    <t xml:space="preserve">Every project needs Secured or Pipeline in column W</t>
  </si>
  <si>
    <t xml:space="preserve">Negative FY net income</t>
  </si>
  <si>
    <t xml:space="preserve">Net (V) below zero — check PF-entity/subcontractor/inclusive deductions</t>
  </si>
  <si>
    <t xml:space="preserve">PA ↔ TB nominal-code reconciliation (Project Activity vs Trial Balance)</t>
  </si>
  <si>
    <t xml:space="preserve">PA_TB_Recon</t>
  </si>
  <si>
    <t xml:space="preserve">Investigate VARIANCE rows on PA_TB_Recon; INFO rows are structurally non-project codes</t>
  </si>
  <si>
    <t xml:space="preserve">Project budgets by portfolio tie to Controls</t>
  </si>
  <si>
    <t xml:space="preserve">Block 6 portfolio budgets must sum to the Controls project income budget</t>
  </si>
  <si>
    <t xml:space="preserve">Project budgets by type tie to Controls</t>
  </si>
  <si>
    <t xml:space="preserve">Block 6 type budgets must sum to the Controls project income budget</t>
  </si>
  <si>
    <t xml:space="preserve">Balance sheet opening balances balance</t>
  </si>
  <si>
    <t xml:space="preserve">Opening assets less liabilities must equal opening capital and reserves</t>
  </si>
  <si>
    <t xml:space="preserve">Balance sheet opening ↔ prior closing continuity</t>
  </si>
  <si>
    <t xml:space="preserve">Loaded-quarter TB opening must equal prior-quarter TB closing (Balance_Sheet row 39)</t>
  </si>
  <si>
    <t xml:space="preserve">Instructions — Quarterly Reporting Routine</t>
  </si>
  <si>
    <t xml:space="preserve">THE QUARTERLY ROUTINE (15-30 minutes once source files are exported)</t>
  </si>
  <si>
    <t xml:space="preserve">1.  Controls: set the Reporting period end (B4) to the quarter-end date. Year, quarter and period key derive automatically.</t>
  </si>
  <si>
    <t xml:space="preserve">2.  Paste source data (values only, append below existing rows - never delete prior quarters):</t>
  </si>
  <si>
    <t xml:space="preserve">      Project Activity Report  -&gt;  Project_Activity, columns C to R. A, B, S, T, U fill themselves.</t>
  </si>
  <si>
    <t xml:space="preserve">      Nominal Activity export  -&gt;  Nominal_Activity, columns A to M + O. N, P, Q, R are formulas.</t>
  </si>
  <si>
    <t xml:space="preserve">      Trial Balance export  -&gt;  Trial_Balance, columns A to H + K, L. One full snapshot per quarter; Period = FY-Qn of the CLOSING balance date (openings belong to the prior quarter).</t>
  </si>
  <si>
    <t xml:space="preserve">3.  Mappings: add new projects in MM_Income (type, commodity, client, currency, contract value, inclusive fees/expenses).</t>
  </si>
  <si>
    <t xml:space="preserve">      Budget changes in MM_FixedCost. FX rate changes on Controls (H33:K36).</t>
  </si>
  <si>
    <t xml:space="preserve">4.  Project_Forecast: rows fill automatically from MM_Income (rows 5-204; up to 200 projects) — no copying needed.</t>
  </si>
  <si>
    <t xml:space="preserve">      Enter WIP % for the current quarter and revise forecast WIP % for remaining quarters (yellow cells).</t>
  </si>
  <si>
    <t xml:space="preserve">5.  QMR_Inputs: programme income split (incl. invoicing and YTD), project income budgets by portfolio and type (block 6), group costs, contributions, interest, depreciation override, tax.</t>
  </si>
  <si>
    <t xml:space="preserve">6.  Checks: resolve every FAIL (red). Resolve or consciously accept every REVIEW (amber).</t>
  </si>
  <si>
    <t xml:space="preserve">7.  Mgmt_Commentary: record what happened, why, impact, action, owner, deadline for each material item.</t>
  </si>
  <si>
    <t xml:space="preserve">8.  Read: QMR_Dashboard -&gt; QMR_Report -&gt; domain dashboards. Copy Slide_Pack tables into the deck.</t>
  </si>
  <si>
    <t xml:space="preserve">9.  Approval: set Controls B23 to Approved after Finance sign-off; archive the quarter snapshot.</t>
  </si>
  <si>
    <t xml:space="preserve">WHERE THINGS LIVE</t>
  </si>
  <si>
    <t xml:space="preserve">Change reporting quarter:  Controls B4          Paste data:  Project_Activity / Nominal_Activity / Trial_Balance</t>
  </si>
  <si>
    <t xml:space="preserve">Project classifications &amp; FX:  MM_Income + Controls          Budgets &amp; PIGH share:  MM_FixedCost</t>
  </si>
  <si>
    <t xml:space="preserve">WIP percentages:  Project_Forecast cols V, X, Z, AB          Manual inputs:  QMR_Inputs</t>
  </si>
  <si>
    <t xml:space="preserve">Read the report:  QMR_Report          Slides:  Slide_Pack          Verify:  Checks (34 controls)</t>
  </si>
  <si>
    <t xml:space="preserve">COLOUR AND EDITING LEGEND</t>
  </si>
  <si>
    <t xml:space="preserve">Yellow fill + blue text  =  input cells (the only cells you type in)</t>
  </si>
  <si>
    <t xml:space="preserve">Green text  =  link from another tab          Black  =  calculation (protected)</t>
  </si>
  <si>
    <t xml:space="preserve">Tab colours:  teal = dashboards / reports,  amber = data inputs,  purple = mappings,  red = controls,  grey = support</t>
  </si>
  <si>
    <t xml:space="preserve">RULES AND CAUTIONS</t>
  </si>
  <si>
    <t xml:space="preserve">Never type numbers on report or dashboard tabs - they are protected (no password).</t>
  </si>
  <si>
    <t xml:space="preserve">Only paste NEW transactions. Duplicates are auto-flagged and turn the Checks banner FAIL until deleted.</t>
  </si>
  <si>
    <t xml:space="preserve">Income is credit-negative in raw data; reports present it positive. TB sign convention: assets +, liabilities/equity -.</t>
  </si>
  <si>
    <t xml:space="preserve">Capacity: forecast 200 rows (MM_Income 5-204), activity 5,000, nominal 3,000, TB 1,000. Checks flag mapping/table drift.</t>
  </si>
  <si>
    <t xml:space="preserve">This file covers FY 2026. For FY 2027 take a copy, clear staging rows, set Controls B4 to 31-Mar-2027.</t>
  </si>
  <si>
    <t xml:space="preserve">RECONCILIATION POINTS (all automated on the Checks tab)</t>
  </si>
  <si>
    <t xml:space="preserve">QMR project income = Project_Output = sum of Project_Forecast net (r27).   Fixed cost actual = nominal activity (r13).</t>
  </si>
  <si>
    <t xml:space="preserve">Budgets = MM_FixedCost (r14).   Balance sheet balances (r15) and fully mapped (r24).   Slides tie to QMR (r28).</t>
  </si>
  <si>
    <t xml:space="preserve">Quarterly snapshots accumulate here as each reporting period is loaded. Blank future periods remain visibly marked as NOT LOADED.</t>
  </si>
  <si>
    <t xml:space="preserve">Quarterly Reporting Overview</t>
  </si>
  <si>
    <t xml:space="preserve">Project_Gross_Forecast</t>
  </si>
  <si>
    <t xml:space="preserve">Project_Net_Forecast</t>
  </si>
  <si>
    <t xml:space="preserve">Project_WIP_YTD</t>
  </si>
  <si>
    <t xml:space="preserve">Fixed_Cost_Budget_Qtr</t>
  </si>
  <si>
    <t xml:space="preserve">Fixed_Cost_Actual_Qtr</t>
  </si>
  <si>
    <t xml:space="preserve">Current_Assets</t>
  </si>
  <si>
    <t xml:space="preserve">Current_Liabilities</t>
  </si>
  <si>
    <t xml:space="preserve">Working_Capital</t>
  </si>
  <si>
    <t xml:space="preserve">TB_Check</t>
  </si>
  <si>
    <t xml:space="preserve">Project Forecast Trend</t>
  </si>
  <si>
    <t xml:space="preserve">Working Capital Trend</t>
  </si>
  <si>
    <t xml:space="preserve">Gross Forecast</t>
  </si>
  <si>
    <t xml:space="preserve">Net Forecast</t>
  </si>
  <si>
    <t xml:space="preserve">Income, Expenditure and Forecast Performance</t>
  </si>
  <si>
    <t xml:space="preserve">Measure</t>
  </si>
  <si>
    <t xml:space="preserve">Budget / Target</t>
  </si>
  <si>
    <t xml:space="preserve">Forecast / Actual</t>
  </si>
  <si>
    <t xml:space="preserve">Budget_FY</t>
  </si>
  <si>
    <t xml:space="preserve">Forecast_FY_Net</t>
  </si>
  <si>
    <t xml:space="preserve">Secured_or_Forecast</t>
  </si>
  <si>
    <t xml:space="preserve">WIP_or_Actual_YTD</t>
  </si>
  <si>
    <t xml:space="preserve">Variance_to_Budget</t>
  </si>
  <si>
    <t xml:space="preserve">Performance_Ratio</t>
  </si>
  <si>
    <t xml:space="preserve">Total Operating Income</t>
  </si>
  <si>
    <t xml:space="preserve">Net Fixed Costs</t>
  </si>
  <si>
    <t xml:space="preserve">Surplus before Depreciation and Tax</t>
  </si>
  <si>
    <t xml:space="preserve">Surplus %</t>
  </si>
  <si>
    <t xml:space="preserve">Balance Sheet and Liquidity — selected quarter-end</t>
  </si>
  <si>
    <t xml:space="preserve">Target / Comparator</t>
  </si>
  <si>
    <t xml:space="preserve">Current Assets</t>
  </si>
  <si>
    <t xml:space="preserve">Current Liabilities</t>
  </si>
  <si>
    <t xml:space="preserve">Management Signals and Actions</t>
  </si>
  <si>
    <t xml:space="preserve">Signal</t>
  </si>
  <si>
    <t xml:space="preserve">Evidence</t>
  </si>
  <si>
    <t xml:space="preserve">Likely Driver</t>
  </si>
  <si>
    <t xml:space="preserve">Implication</t>
  </si>
  <si>
    <t xml:space="preserve">Action</t>
  </si>
  <si>
    <t xml:space="preserve">Due Date</t>
  </si>
  <si>
    <t xml:space="preserve">Project forecast position</t>
  </si>
  <si>
    <t xml:space="preserve">Net forecast versus project budget; see Project_Output for portfolio detail.</t>
  </si>
  <si>
    <t xml:space="preserve">Validate pipeline probabilities and unsigned contracts</t>
  </si>
  <si>
    <t xml:space="preserve">Forecast may change as contract status is updated</t>
  </si>
  <si>
    <t xml:space="preserve">Review all projects flagged REVIEW</t>
  </si>
  <si>
    <t xml:space="preserve">Project Finance</t>
  </si>
  <si>
    <t xml:space="preserve">Fixed-cost variance</t>
  </si>
  <si>
    <t xml:space="preserve">Timing, phasing and cost-category movements</t>
  </si>
  <si>
    <t xml:space="preserve">Run-rate may differ from approved budget</t>
  </si>
  <si>
    <t xml:space="preserve">Investigate material category variances</t>
  </si>
  <si>
    <t xml:space="preserve">Working-capital position</t>
  </si>
  <si>
    <t xml:space="preserve">Receivables, cash and creditor balances</t>
  </si>
  <si>
    <t xml:space="preserve">Liquidity and operating cover</t>
  </si>
  <si>
    <t xml:space="preserve">Review aged debtors and creditor timing</t>
  </si>
  <si>
    <t xml:space="preserve">Publication readiness</t>
  </si>
  <si>
    <t xml:space="preserve">Validation and approval gates</t>
  </si>
  <si>
    <t xml:space="preserve">QMR cannot be published until approved</t>
  </si>
  <si>
    <t xml:space="preserve">Resolve failed checks and obtain approval</t>
  </si>
  <si>
    <t xml:space="preserve">Finance Approver</t>
  </si>
  <si>
    <t xml:space="preserve">Entity_QMR_Output — Standard Interface</t>
  </si>
  <si>
    <t xml:space="preserve">Value_Local</t>
  </si>
  <si>
    <t xml:space="preserve">Translation_Basis</t>
  </si>
  <si>
    <t xml:space="preserve">Value_GHS</t>
  </si>
  <si>
    <t xml:space="preserve">Source_Output</t>
  </si>
  <si>
    <t xml:space="preserve">Project Income Budget</t>
  </si>
  <si>
    <t xml:space="preserve">Project</t>
  </si>
  <si>
    <t xml:space="preserve">Average</t>
  </si>
  <si>
    <t xml:space="preserve">Project Net Forecast</t>
  </si>
  <si>
    <t xml:space="preserve">Project Secured Income</t>
  </si>
  <si>
    <t xml:space="preserve">Project WIP YTD</t>
  </si>
  <si>
    <t xml:space="preserve">Programme Income Budget</t>
  </si>
  <si>
    <t xml:space="preserve">Programme</t>
  </si>
  <si>
    <t xml:space="preserve">Programme Forecast</t>
  </si>
  <si>
    <t xml:space="preserve">QMR</t>
  </si>
  <si>
    <t xml:space="preserve">Fixed Cost Budget</t>
  </si>
  <si>
    <t xml:space="preserve">Fixed Cost Actual YTD</t>
  </si>
  <si>
    <t xml:space="preserve">Surplus before Tax</t>
  </si>
  <si>
    <t xml:space="preserve">Trial Balance</t>
  </si>
  <si>
    <t xml:space="preserve">x</t>
  </si>
  <si>
    <t xml:space="preserve">None</t>
  </si>
  <si>
    <t xml:space="preserve">Months Core Cost Cover</t>
  </si>
  <si>
    <t xml:space="preserve">Total_Income_GHS</t>
  </si>
  <si>
    <t xml:space="preserve">Fixed_Costs_GHS</t>
  </si>
  <si>
    <t xml:space="preserve">Surplus_GHS</t>
  </si>
  <si>
    <t xml:space="preserve">Working_Capital_GHS</t>
  </si>
  <si>
    <t xml:space="preserve">Populated</t>
  </si>
  <si>
    <t xml:space="preserve">Intercompany Eliminations</t>
  </si>
  <si>
    <t xml:space="preserve">From_Entity</t>
  </si>
  <si>
    <t xml:space="preserve">To_Entity</t>
  </si>
  <si>
    <t xml:space="preserve">Amount_GHS</t>
  </si>
  <si>
    <t xml:space="preserve">Evidence_Ref</t>
  </si>
  <si>
    <t xml:space="preserve">Total Income</t>
  </si>
  <si>
    <t xml:space="preserve">Consolidated Management View</t>
  </si>
  <si>
    <t xml:space="preserve">Entities_GHS</t>
  </si>
  <si>
    <t xml:space="preserve">Eliminations_GHS</t>
  </si>
  <si>
    <t xml:space="preserve">Consolidated_GHS</t>
  </si>
  <si>
    <t xml:space="preserve">Entity Packs Received</t>
  </si>
  <si>
    <t xml:space="preserve">Publication Status</t>
  </si>
  <si>
    <t xml:space="preserve">Power BI Ready Export — Long-Format QMR Metrics</t>
  </si>
  <si>
    <t xml:space="preserve">SYSTEM OUTPUT — do not edit. Refreshes from the selected-period report interface.</t>
  </si>
  <si>
    <t xml:space="preserve">Group_Currency</t>
  </si>
  <si>
    <t xml:space="preserve">Source_Interface</t>
  </si>
  <si>
    <t xml:space="preserve">Entity_QMR_Output</t>
  </si>
  <si>
    <t xml:space="preserve">Awaiting entity pack</t>
  </si>
  <si>
    <t xml:space="preserve">Sources, Refresh Log and Audit Notes</t>
  </si>
  <si>
    <t xml:space="preserve">Source_Tab</t>
  </si>
  <si>
    <t xml:space="preserve">Grain</t>
  </si>
  <si>
    <t xml:space="preserve">Period_As_Of</t>
  </si>
  <si>
    <t xml:space="preserve">Source_Name</t>
  </si>
  <si>
    <t xml:space="preserve">Reference</t>
  </si>
  <si>
    <t xml:space="preserve">Refreshed_At</t>
  </si>
  <si>
    <t xml:space="preserve">Project activity</t>
  </si>
  <si>
    <t xml:space="preserve">PROJ_ACT YTD</t>
  </si>
  <si>
    <t xml:space="preserve">Transactions</t>
  </si>
  <si>
    <t xml:space="preserve">Excel source pack</t>
  </si>
  <si>
    <t xml:space="preserve">PROJ_ACT YTD!A1:P53</t>
  </si>
  <si>
    <t xml:space="preserve">Imported into Project_Activity</t>
  </si>
  <si>
    <t xml:space="preserve">Project forecast</t>
  </si>
  <si>
    <t xml:space="preserve">SUMMARY</t>
  </si>
  <si>
    <t xml:space="preserve">Projects</t>
  </si>
  <si>
    <t xml:space="preserve">SUMMARY!A1:AO60</t>
  </si>
  <si>
    <t xml:space="preserve">Clean project-level forecast and actual metrics</t>
  </si>
  <si>
    <t xml:space="preserve">Nominal activity</t>
  </si>
  <si>
    <t xml:space="preserve">NOMACT YTD</t>
  </si>
  <si>
    <t xml:space="preserve">NOMACT YTD!A1:K263</t>
  </si>
  <si>
    <t xml:space="preserve">Imported into Nominal_Activity</t>
  </si>
  <si>
    <t xml:space="preserve">Fixed cost budget</t>
  </si>
  <si>
    <t xml:space="preserve">Costs vs Budget</t>
  </si>
  <si>
    <t xml:space="preserve">Account-month</t>
  </si>
  <si>
    <t xml:space="preserve">2026</t>
  </si>
  <si>
    <t xml:space="preserve">Costs vs Budget!A1:Y97</t>
  </si>
  <si>
    <t xml:space="preserve">Annual budget initially phased evenly; editable by month</t>
  </si>
  <si>
    <t xml:space="preserve">Nominal mappings</t>
  </si>
  <si>
    <t xml:space="preserve">New Classifications</t>
  </si>
  <si>
    <t xml:space="preserve">Account mapping</t>
  </si>
  <si>
    <t xml:space="preserve">New Classifications!A1:C78</t>
  </si>
  <si>
    <t xml:space="preserve">Normalized mapping master</t>
  </si>
  <si>
    <t xml:space="preserve">Trial balance</t>
  </si>
  <si>
    <t xml:space="preserve">Trial Balance PCGH</t>
  </si>
  <si>
    <t xml:space="preserve">Account-period</t>
  </si>
  <si>
    <t xml:space="preserve">Trial Balance PCGH!A1:I139</t>
  </si>
  <si>
    <t xml:space="preserve">Broken external links removed; closing reconstructed from cached difference where required</t>
  </si>
  <si>
    <t xml:space="preserve">QMR assumptions</t>
  </si>
  <si>
    <t xml:space="preserve">Input Data Q1 2026</t>
  </si>
  <si>
    <t xml:space="preserve">Management inputs</t>
  </si>
  <si>
    <t xml:space="preserve">Input Data Q1 2026!A1:X116</t>
  </si>
  <si>
    <t xml:space="preserve">Programme and other-income metrics retained as controlled assumptions</t>
  </si>
  <si>
    <t xml:space="preserve">Design requirements</t>
  </si>
  <si>
    <t xml:space="preserve">n/a (external document)</t>
  </si>
  <si>
    <t xml:space="preserve">Requirements</t>
  </si>
  <si>
    <t xml:space="preserve">2026-07-09</t>
  </si>
  <si>
    <t xml:space="preserve">Word document</t>
  </si>
  <si>
    <t xml:space="preserve">QMR_Design_Findings_Requirements (1).docx</t>
  </si>
  <si>
    <t xml:space="preserve">Sections 1-5</t>
  </si>
  <si>
    <t xml:space="preserve">TechOps</t>
  </si>
  <si>
    <t xml:space="preserve">Basis for 2026 redesign (this build)</t>
  </si>
  <si>
    <t xml:space="preserve">Redesign build</t>
  </si>
  <si>
    <t xml:space="preserve">All tabs</t>
  </si>
  <si>
    <t xml:space="preserve">Workbook build</t>
  </si>
  <si>
    <t xml:space="preserve">Automated build</t>
  </si>
  <si>
    <t xml:space="preserve">PCGH_QMR_2026_Implementation build scripts</t>
  </si>
  <si>
    <t xml:space="preserve">build_phase1-3.py</t>
  </si>
  <si>
    <t xml:space="preserve">Original file preserved; replaced sheets kept as hidden Backup_* tabs</t>
  </si>
  <si>
    <t xml:space="preserve">Workbook review &amp; correction pass (v2.2)</t>
  </si>
  <si>
    <t xml:space="preserve">Repaired MM_Income restructure damage; restored 7 legacy projects; mapped 6 nominal codes; filled Q2 Nominal_Activity entity/period tags.</t>
  </si>
  <si>
    <t xml:space="preserve">PA_TB_Recon reconciliation sheet</t>
  </si>
  <si>
    <t xml:space="preserve">Nominal code + project</t>
  </si>
  <si>
    <t xml:space="preserve">Derived</t>
  </si>
  <si>
    <t xml:space="preserve">Redesign pass 2026-08-13 (v2.5)</t>
  </si>
  <si>
    <t xml:space="preserve">Project_Activity (actuals) vs Trial_Balance by nominal code, YTD to comparison quarter; project-level drill-down; Projects Forecast removed from this reconciliation</t>
  </si>
  <si>
    <t xml:space="preserve">Final Multi-Agent Assurance Loop — Publication Control</t>
  </si>
  <si>
    <t xml:space="preserve">This loop is independent of preparation. It blocks publication until quantitative gates, exception resolution, scope completeness and Finance approval are evidenced.</t>
  </si>
  <si>
    <t xml:space="preserve">FINAL LOOP STATUS</t>
  </si>
  <si>
    <t xml:space="preserve">RUN ID</t>
  </si>
  <si>
    <t xml:space="preserve">MAX AGENT ROUNDS</t>
  </si>
  <si>
    <t xml:space="preserve">A. Objective Final Assurance Gates</t>
  </si>
  <si>
    <t xml:space="preserve">Gate_ID</t>
  </si>
  <si>
    <t xml:space="preserve">Control_Domain</t>
  </si>
  <si>
    <t xml:space="preserve">Test</t>
  </si>
  <si>
    <t xml:space="preserve">Required</t>
  </si>
  <si>
    <t xml:space="preserve">Failure_Action</t>
  </si>
  <si>
    <t xml:space="preserve">G01</t>
  </si>
  <si>
    <t xml:space="preserve">Critical Integrity</t>
  </si>
  <si>
    <t xml:space="preserve">No failed core model checks</t>
  </si>
  <si>
    <t xml:space="preserve">Checks!F8:F20</t>
  </si>
  <si>
    <t xml:space="preserve">Independent Final Validator</t>
  </si>
  <si>
    <t xml:space="preserve">Return to responsible feeder agent</t>
  </si>
  <si>
    <t xml:space="preserve">G02</t>
  </si>
  <si>
    <t xml:space="preserve">Formula Integrity</t>
  </si>
  <si>
    <t xml:space="preserve">No live Excel formula errors</t>
  </si>
  <si>
    <t xml:space="preserve">Checks — Formula error scan</t>
  </si>
  <si>
    <t xml:space="preserve">Model Integrity Agent</t>
  </si>
  <si>
    <t xml:space="preserve">Stop publication and repair formula</t>
  </si>
  <si>
    <t xml:space="preserve">G03</t>
  </si>
  <si>
    <t xml:space="preserve">Data Uniqueness</t>
  </si>
  <si>
    <t xml:space="preserve">No duplicate project or nominal records</t>
  </si>
  <si>
    <t xml:space="preserve">Checks!B8:B9</t>
  </si>
  <si>
    <t xml:space="preserve">Data Intake Agent</t>
  </si>
  <si>
    <t xml:space="preserve">Return to source staging</t>
  </si>
  <si>
    <t xml:space="preserve">G04</t>
  </si>
  <si>
    <t xml:space="preserve">Mapping Completeness</t>
  </si>
  <si>
    <t xml:space="preserve">No unmapped nominal or budget codes</t>
  </si>
  <si>
    <t xml:space="preserve">Checks!B10:B11</t>
  </si>
  <si>
    <t xml:space="preserve">Mapping Agent</t>
  </si>
  <si>
    <t xml:space="preserve">Update Master_Mappings</t>
  </si>
  <si>
    <t xml:space="preserve">G05</t>
  </si>
  <si>
    <t xml:space="preserve">Financial Reconciliation</t>
  </si>
  <si>
    <t xml:space="preserve">Feeder, TB, QMR and consolidation ties pass</t>
  </si>
  <si>
    <t xml:space="preserve">Checks!F13:F17</t>
  </si>
  <si>
    <t xml:space="preserve">Reconciliation Agent</t>
  </si>
  <si>
    <t xml:space="preserve">Return failed tie to model owner</t>
  </si>
  <si>
    <t xml:space="preserve">G06</t>
  </si>
  <si>
    <t xml:space="preserve">All high/material exceptions resolved or formally accepted</t>
  </si>
  <si>
    <t xml:space="preserve">Final Review Exception Log</t>
  </si>
  <si>
    <t xml:space="preserve">Adversarial Challenge Agent</t>
  </si>
  <si>
    <t xml:space="preserve">Assign owner and evidence; rerun</t>
  </si>
  <si>
    <t xml:space="preserve">G07</t>
  </si>
  <si>
    <t xml:space="preserve">Narrative Evidence</t>
  </si>
  <si>
    <t xml:space="preserve">Every management signal has action, owner and status</t>
  </si>
  <si>
    <t xml:space="preserve">Entity_QMR!A26:H30</t>
  </si>
  <si>
    <t xml:space="preserve">Narrative Assurance Agent</t>
  </si>
  <si>
    <t xml:space="preserve">Return unsupported narrative</t>
  </si>
  <si>
    <t xml:space="preserve">G08</t>
  </si>
  <si>
    <t xml:space="preserve">Source Lineage</t>
  </si>
  <si>
    <t xml:space="preserve">Required source evidence logged</t>
  </si>
  <si>
    <t xml:space="preserve">Sources!A4:J100</t>
  </si>
  <si>
    <t xml:space="preserve">Evidence Capture Agent</t>
  </si>
  <si>
    <t xml:space="preserve">Restore source reference or block</t>
  </si>
  <si>
    <t xml:space="preserve">G09</t>
  </si>
  <si>
    <t xml:space="preserve">Reporting Scope</t>
  </si>
  <si>
    <t xml:space="preserve">Required entity packs received for selected scope</t>
  </si>
  <si>
    <t xml:space="preserve">Consolidation!B50</t>
  </si>
  <si>
    <t xml:space="preserve">Scope Completeness Agent</t>
  </si>
  <si>
    <t xml:space="preserve">Request missing entity pack</t>
  </si>
  <si>
    <t xml:space="preserve">G10</t>
  </si>
  <si>
    <t xml:space="preserve">FX Governance</t>
  </si>
  <si>
    <t xml:space="preserve">Required FX rates populated for selected scope</t>
  </si>
  <si>
    <t xml:space="preserve">Controls — Entity and FX Master</t>
  </si>
  <si>
    <t xml:space="preserve">FX Validation Agent</t>
  </si>
  <si>
    <t xml:space="preserve">Obtain approved FX evidence</t>
  </si>
  <si>
    <t xml:space="preserve">G11</t>
  </si>
  <si>
    <t xml:space="preserve">Intercompany</t>
  </si>
  <si>
    <t xml:space="preserve">All posted eliminations independently approved</t>
  </si>
  <si>
    <t xml:space="preserve">Consolidation — Intercompany Eliminations</t>
  </si>
  <si>
    <t xml:space="preserve">Consolidation Challenge Agent</t>
  </si>
  <si>
    <t xml:space="preserve">Return unapproved elimination</t>
  </si>
  <si>
    <t xml:space="preserve">G12</t>
  </si>
  <si>
    <t xml:space="preserve">Approval Identity</t>
  </si>
  <si>
    <t xml:space="preserve">Named Finance Approver present</t>
  </si>
  <si>
    <t xml:space="preserve">Controls!B24</t>
  </si>
  <si>
    <t xml:space="preserve">Final Assurance Orchestrator</t>
  </si>
  <si>
    <t xml:space="preserve">Assign independent approver</t>
  </si>
  <si>
    <t xml:space="preserve">B. Segregated Multi-Agent Review Sequence</t>
  </si>
  <si>
    <t xml:space="preserve">Stage</t>
  </si>
  <si>
    <t xml:space="preserve">Agent</t>
  </si>
  <si>
    <t xml:space="preserve">Segregation</t>
  </si>
  <si>
    <t xml:space="preserve">Responsibility</t>
  </si>
  <si>
    <t xml:space="preserve">Required_Evidence</t>
  </si>
  <si>
    <t xml:space="preserve">Round</t>
  </si>
  <si>
    <t xml:space="preserve">Failure_Route</t>
  </si>
  <si>
    <t xml:space="preserve">Exit_Gate</t>
  </si>
  <si>
    <t xml:space="preserve">Independent of preparers</t>
  </si>
  <si>
    <t xml:space="preserve">Freeze version, scope and run ID</t>
  </si>
  <si>
    <t xml:space="preserve">Run manifest; workbook version</t>
  </si>
  <si>
    <t xml:space="preserve">Stop if inputs change during review</t>
  </si>
  <si>
    <t xml:space="preserve">Immutable review run</t>
  </si>
  <si>
    <t xml:space="preserve">Read-only reviewer</t>
  </si>
  <si>
    <t xml:space="preserve">Confirm source lineage, period and ownership</t>
  </si>
  <si>
    <t xml:space="preserve">Source evidence register</t>
  </si>
  <si>
    <t xml:space="preserve">Return missing evidence</t>
  </si>
  <si>
    <t xml:space="preserve">G08 PASS</t>
  </si>
  <si>
    <t xml:space="preserve">Did not build feeder models</t>
  </si>
  <si>
    <t xml:space="preserve">Scan formulas, mappings, duplicates and controls</t>
  </si>
  <si>
    <t xml:space="preserve">Integrity report</t>
  </si>
  <si>
    <t xml:space="preserve">Return technical defects</t>
  </si>
  <si>
    <t xml:space="preserve">G01-G04 PASS</t>
  </si>
  <si>
    <t xml:space="preserve">Independent numerical reviewer</t>
  </si>
  <si>
    <t xml:space="preserve">Retie feeders, TB, entity QMR and consolidation</t>
  </si>
  <si>
    <t xml:space="preserve">Signed reconciliation matrix</t>
  </si>
  <si>
    <t xml:space="preserve">Return failed tie</t>
  </si>
  <si>
    <t xml:space="preserve">G05 PASS</t>
  </si>
  <si>
    <t xml:space="preserve">Independent of narrative author</t>
  </si>
  <si>
    <t xml:space="preserve">Verify each claim against metrics and actions</t>
  </si>
  <si>
    <t xml:space="preserve">Narrative evidence matrix</t>
  </si>
  <si>
    <t xml:space="preserve">Remove or rewrite unsupported claim</t>
  </si>
  <si>
    <t xml:space="preserve">G07 PASS</t>
  </si>
  <si>
    <t xml:space="preserve">Blind challenger</t>
  </si>
  <si>
    <t xml:space="preserve">Search for contrary evidence, anomalies and bias</t>
  </si>
  <si>
    <t xml:space="preserve">Challenge memo and exception log</t>
  </si>
  <si>
    <t xml:space="preserve">Open/raise exception</t>
  </si>
  <si>
    <t xml:space="preserve">G06 PASS</t>
  </si>
  <si>
    <t xml:space="preserve">Scope &amp; Consolidation Agent</t>
  </si>
  <si>
    <t xml:space="preserve">Independent group reviewer</t>
  </si>
  <si>
    <t xml:space="preserve">Verify pack completeness, FX and eliminations</t>
  </si>
  <si>
    <t xml:space="preserve">Scope/FX/elimination certificate</t>
  </si>
  <si>
    <t xml:space="preserve">Request missing pack or approval</t>
  </si>
  <si>
    <t xml:space="preserve">G09-G11 PASS</t>
  </si>
  <si>
    <t xml:space="preserve">Cannot prepare or approve</t>
  </si>
  <si>
    <t xml:space="preserve">Reperform critical tests and assess evidence sufficiency</t>
  </si>
  <si>
    <t xml:space="preserve">Final validation certificate</t>
  </si>
  <si>
    <t xml:space="preserve">Return to responsible agent</t>
  </si>
  <si>
    <t xml:space="preserve">All gates PASS</t>
  </si>
  <si>
    <t xml:space="preserve">Named publication authority</t>
  </si>
  <si>
    <t xml:space="preserve">Review residual risk and authorize publication</t>
  </si>
  <si>
    <t xml:space="preserve">Dated approval record</t>
  </si>
  <si>
    <t xml:space="preserve">Keep publication blocked</t>
  </si>
  <si>
    <t xml:space="preserve">Controls approval = Approved</t>
  </si>
  <si>
    <t xml:space="preserve">Publication Agent</t>
  </si>
  <si>
    <t xml:space="preserve">Execution-only role</t>
  </si>
  <si>
    <t xml:space="preserve">Archive immutable snapshot and release Power BI feed</t>
  </si>
  <si>
    <t xml:space="preserve">Published file and archive reference</t>
  </si>
  <si>
    <t xml:space="preserve">No release without approval</t>
  </si>
  <si>
    <t xml:space="preserve">Final status APPROVED</t>
  </si>
  <si>
    <t xml:space="preserve">C. Final Review Exception Log — Must Be Resolved or Formally Accepted</t>
  </si>
  <si>
    <t xml:space="preserve">Review_ID</t>
  </si>
  <si>
    <t xml:space="preserve">Issue</t>
  </si>
  <si>
    <t xml:space="preserve">Reviewer</t>
  </si>
  <si>
    <t xml:space="preserve">PRJ-007</t>
  </si>
  <si>
    <t xml:space="preserve">Project Forecast</t>
  </si>
  <si>
    <t xml:space="preserve">High</t>
  </si>
  <si>
    <t xml:space="preserve">PCGH769 — BPL_HCV_HCSA Assessment &amp; GHG requires independent review before publication</t>
  </si>
  <si>
    <t xml:space="preserve">Project_Forecast!C8:AC8</t>
  </si>
  <si>
    <t xml:space="preserve">PRJ-008</t>
  </si>
  <si>
    <t xml:space="preserve">PCGH772 — Presco Ext III_HCV_HCSA Assessment requires independent review before publication</t>
  </si>
  <si>
    <t xml:space="preserve">Project_Forecast!C9:AC9</t>
  </si>
  <si>
    <t xml:space="preserve">PRJ-014</t>
  </si>
  <si>
    <t xml:space="preserve">PCGH778 — MIRROR_PCUK111_NESTLE_RS_SUGAR_2026_A_GENERAL_SUPPORT requires independent review before publication</t>
  </si>
  <si>
    <t xml:space="preserve">Project_Forecast!C15:AC15</t>
  </si>
  <si>
    <t xml:space="preserve">SYS-001</t>
  </si>
  <si>
    <t xml:space="preserve">All 26 project rows have zero planned days; delivery utilization is not decision-reliable</t>
  </si>
  <si>
    <t xml:space="preserve">Project_Forecast!O2:W27</t>
  </si>
  <si>
    <t xml:space="preserve">SYS-002</t>
  </si>
  <si>
    <t xml:space="preserve">Critical</t>
  </si>
  <si>
    <t xml:space="preserve">Trial-balance closing balances rely on reconstructed or cached values; replace with a signed source TB including movements</t>
  </si>
  <si>
    <t xml:space="preserve">Trial_Balance!E2:L131</t>
  </si>
  <si>
    <t xml:space="preserve">Independent Financial Reconciliation Agent</t>
  </si>
  <si>
    <t xml:space="preserve">SYS-003</t>
  </si>
  <si>
    <t xml:space="preserve">QMR Integration</t>
  </si>
  <si>
    <t xml:space="preserve">QMR YTD surplus does not reconcile to TB Current P&amp;L; prepare and approve the GHS 205,231 bridge</t>
  </si>
  <si>
    <t xml:space="preserve">Entity_QMR!E12; TB_Output!B28</t>
  </si>
  <si>
    <t xml:space="preserve">SYS-004</t>
  </si>
  <si>
    <t xml:space="preserve">The 540 budget rows use initial equal phasing rather than an approved monthly profile</t>
  </si>
  <si>
    <t xml:space="preserve">Fixed_Cost_Budget!H2:J541</t>
  </si>
  <si>
    <t xml:space="preserve">Budget Owner</t>
  </si>
  <si>
    <t xml:space="preserve">SYS-005</t>
  </si>
  <si>
    <t xml:space="preserve">Eleven material fixed-cost variances require documented cause, implication, action and owner</t>
  </si>
  <si>
    <t xml:space="preserve">FixedCost_Output!A12:K22</t>
  </si>
  <si>
    <t xml:space="preserve">SYS-006</t>
  </si>
  <si>
    <t xml:space="preserve">Attach independent formula/error scan evidence with run ID, timestamp and candidate hash</t>
  </si>
  <si>
    <t xml:space="preserve">Checks!A20:H20</t>
  </si>
  <si>
    <t xml:space="preserve">SYS-007</t>
  </si>
  <si>
    <t xml:space="preserve">Governance</t>
  </si>
  <si>
    <t xml:space="preserve">Record named approver, UTC approval timestamp and external SHA-256 evidence for the exact publication candidate</t>
  </si>
  <si>
    <t xml:space="preserve">Controls!B23:B25; Final_Review_Loop!E3</t>
  </si>
  <si>
    <t xml:space="preserve">SYS-008</t>
  </si>
  <si>
    <t xml:space="preserve">Manual Adjustments</t>
  </si>
  <si>
    <t xml:space="preserve">Approved manual adjustments are not yet posted through a reconciled output bridge; keep the table unused until integrated</t>
  </si>
  <si>
    <t xml:space="preserve">Manual_Adjustments!A4:K50</t>
  </si>
  <si>
    <t xml:space="preserve">Model Owner</t>
  </si>
  <si>
    <t xml:space="preserve">SYS-009</t>
  </si>
  <si>
    <t xml:space="preserve">GROUP</t>
  </si>
  <si>
    <t xml:space="preserve">Group publication requires four approved entity packs, approved FX and pairwise intercompany matching</t>
  </si>
  <si>
    <t xml:space="preserve">Consolidation!A5:J51</t>
  </si>
  <si>
    <t xml:space="preserve">Group Finance</t>
  </si>
  <si>
    <t xml:space="preserve">SYS-010</t>
  </si>
  <si>
    <t xml:space="preserve">Refresh Architecture</t>
  </si>
  <si>
    <t xml:space="preserve">Medium</t>
  </si>
  <si>
    <t xml:space="preserve">Power Query connections and executable refresh evidence are not present in this local pilot</t>
  </si>
  <si>
    <t xml:space="preserve">Sources; PowerBI_Export</t>
  </si>
  <si>
    <t xml:space="preserve">Systems Owner</t>
  </si>
  <si>
    <t xml:space="preserve">D. Final Evidence Pack and Escalation Protocol</t>
  </si>
  <si>
    <t xml:space="preserve">Evidence_Item</t>
  </si>
  <si>
    <t xml:space="preserve">Result</t>
  </si>
  <si>
    <t xml:space="preserve">Acceptance_Rule</t>
  </si>
  <si>
    <t xml:space="preserve">Run ID</t>
  </si>
  <si>
    <t xml:space="preserve">Unique frozen review run</t>
  </si>
  <si>
    <t xml:space="preserve">Source packs logged</t>
  </si>
  <si>
    <t xml:space="preserve">Must meet G08</t>
  </si>
  <si>
    <t xml:space="preserve">Core checks passed</t>
  </si>
  <si>
    <t xml:space="preserve">No FAIL permitted</t>
  </si>
  <si>
    <t xml:space="preserve">Open final exceptions</t>
  </si>
  <si>
    <t xml:space="preserve">Must equal zero</t>
  </si>
  <si>
    <t xml:space="preserve">Entity packs received</t>
  </si>
  <si>
    <t xml:space="preserve">Driven by publication scope</t>
  </si>
  <si>
    <t xml:space="preserve">Named independent authority</t>
  </si>
  <si>
    <t xml:space="preserve">Must be Approved</t>
  </si>
  <si>
    <t xml:space="preserve">Final loop status</t>
  </si>
  <si>
    <t xml:space="preserve">Must be APPROVED FOR PUBLICATION</t>
  </si>
  <si>
    <t xml:space="preserve">Trigger</t>
  </si>
  <si>
    <t xml:space="preserve">Timebox</t>
  </si>
  <si>
    <t xml:space="preserve">Escalation</t>
  </si>
  <si>
    <t xml:space="preserve">Any gate fails</t>
  </si>
  <si>
    <t xml:space="preserve">Return issue to responsible agent; preserve original evidence</t>
  </si>
  <si>
    <t xml:space="preserve">Same review cycle</t>
  </si>
  <si>
    <t xml:space="preserve">Issue log update</t>
  </si>
  <si>
    <t xml:space="preserve">Same gate fails again</t>
  </si>
  <si>
    <t xml:space="preserve">Assign independent specialist and require root-cause note</t>
  </si>
  <si>
    <t xml:space="preserve">Next controlled rerun</t>
  </si>
  <si>
    <t xml:space="preserve">Root-cause analysis</t>
  </si>
  <si>
    <t xml:space="preserve">Finance Lead notified</t>
  </si>
  <si>
    <t xml:space="preserve">Same gate fails third time</t>
  </si>
  <si>
    <t xml:space="preserve">Stop automated loop and escalate; no publication</t>
  </si>
  <si>
    <t xml:space="preserve">Immediate</t>
  </si>
  <si>
    <t xml:space="preserve">Escalation memo</t>
  </si>
  <si>
    <t xml:space="preserve">Executive sponsor decision</t>
  </si>
  <si>
    <t xml:space="preserve">Override</t>
  </si>
  <si>
    <t xml:space="preserve">Accepted exception</t>
  </si>
  <si>
    <t xml:space="preserve">Require named approver, quantified impact, expiry date and compensating control</t>
  </si>
  <si>
    <t xml:space="preserve">Before publication</t>
  </si>
  <si>
    <t xml:space="preserve">Signed exception acceptance</t>
  </si>
  <si>
    <t xml:space="preserve">Tracked next quarter</t>
  </si>
  <si>
    <t xml:space="preserve">User-Triggered Codex Agent Workflow and Validation Loop</t>
  </si>
  <si>
    <t xml:space="preserve">GOVERNANCE REFERENCE — routine quarter refreshes should be completed from Controls and the primary input tabs.</t>
  </si>
  <si>
    <t xml:space="preserve">Step</t>
  </si>
  <si>
    <t xml:space="preserve">Inputs</t>
  </si>
  <si>
    <t xml:space="preserve">Objective_Gate</t>
  </si>
  <si>
    <t xml:space="preserve">Output</t>
  </si>
  <si>
    <t xml:space="preserve">Orchestrator</t>
  </si>
  <si>
    <t xml:space="preserve">Controls, source files</t>
  </si>
  <si>
    <t xml:space="preserve">Lock entity and reporting period; create run ID</t>
  </si>
  <si>
    <t xml:space="preserve">Required files present; reporting date valid</t>
  </si>
  <si>
    <t xml:space="preserve">Run manifest</t>
  </si>
  <si>
    <t xml:space="preserve">Stop and report missing source</t>
  </si>
  <si>
    <t xml:space="preserve">Preparation Agent — Projects</t>
  </si>
  <si>
    <t xml:space="preserve">Project_Activity and Project_Forecast</t>
  </si>
  <si>
    <t xml:space="preserve">Validate types, IDs, status and probability</t>
  </si>
  <si>
    <t xml:space="preserve">No missing project IDs; no duplicates; pipeline probability populated</t>
  </si>
  <si>
    <t xml:space="preserve">Prepared project pack</t>
  </si>
  <si>
    <t xml:space="preserve">Return to mappings/forecast inputs</t>
  </si>
  <si>
    <t xml:space="preserve">Preparation Agent — Fixed Costs</t>
  </si>
  <si>
    <t xml:space="preserve">Nominal_Activity and Fixed_Cost_Budget</t>
  </si>
  <si>
    <t xml:space="preserve">Validate dates, nominal codes and monthly phasing</t>
  </si>
  <si>
    <t xml:space="preserve">All activity and budget accounts mapped</t>
  </si>
  <si>
    <t xml:space="preserve">Prepared fixed-cost pack</t>
  </si>
  <si>
    <t xml:space="preserve">Return to mappings/budget phasing</t>
  </si>
  <si>
    <t xml:space="preserve">Preparation Agent — Trial Balance</t>
  </si>
  <si>
    <t xml:space="preserve">Validate mapping, sign and intercompany fields</t>
  </si>
  <si>
    <t xml:space="preserve">No unmapped material balances; source notes retained</t>
  </si>
  <si>
    <t xml:space="preserve">Prepared TB pack</t>
  </si>
  <si>
    <t xml:space="preserve">Return to TB mappings</t>
  </si>
  <si>
    <t xml:space="preserve">Three prepared feeder packs</t>
  </si>
  <si>
    <t xml:space="preserve">Tie source totals to outputs</t>
  </si>
  <si>
    <t xml:space="preserve">All quantitative checks within tolerance</t>
  </si>
  <si>
    <t xml:space="preserve">Reconciliation log</t>
  </si>
  <si>
    <t xml:space="preserve">Return failed workstream to preparation</t>
  </si>
  <si>
    <t xml:space="preserve">Analysis Agent</t>
  </si>
  <si>
    <t xml:space="preserve">Validated feeder outputs</t>
  </si>
  <si>
    <t xml:space="preserve">Identify material trends and draft evidence-based narrative</t>
  </si>
  <si>
    <t xml:space="preserve">Every statement cites metric, variance and implication</t>
  </si>
  <si>
    <t xml:space="preserve">Draft narrative and action list</t>
  </si>
  <si>
    <t xml:space="preserve">Return unsupported statements</t>
  </si>
  <si>
    <t xml:space="preserve">Challenge Agent</t>
  </si>
  <si>
    <t xml:space="preserve">Outputs, checks, narrative</t>
  </si>
  <si>
    <t xml:space="preserve">Challenge formulas, anomalies and unsupported claims</t>
  </si>
  <si>
    <t xml:space="preserve">No critical errors; exceptions have owners</t>
  </si>
  <si>
    <t xml:space="preserve">Challenge report</t>
  </si>
  <si>
    <t xml:space="preserve">Return issues to relevant agent</t>
  </si>
  <si>
    <t xml:space="preserve">Entity QMR Agent</t>
  </si>
  <si>
    <t xml:space="preserve">Approved feeder outputs</t>
  </si>
  <si>
    <t xml:space="preserve">Refresh entity QMR and standard output interface</t>
  </si>
  <si>
    <t xml:space="preserve">Entity QMR reconciles exactly to feeders</t>
  </si>
  <si>
    <t xml:space="preserve">Entity QMR pack</t>
  </si>
  <si>
    <t xml:space="preserve">Return to reconciliation</t>
  </si>
  <si>
    <t xml:space="preserve">Consolidation Agent</t>
  </si>
  <si>
    <t xml:space="preserve">Four approved entity packs</t>
  </si>
  <si>
    <t xml:space="preserve">Translate to GHS and post eliminations</t>
  </si>
  <si>
    <t xml:space="preserve">Entities plus approved eliminations equal consolidation</t>
  </si>
  <si>
    <t xml:space="preserve">Consolidated QMR</t>
  </si>
  <si>
    <t xml:space="preserve">Return to entity or elimination owner</t>
  </si>
  <si>
    <t xml:space="preserve">Validation pack and QMR</t>
  </si>
  <si>
    <t xml:space="preserve">Review exceptions and authorize publication</t>
  </si>
  <si>
    <t xml:space="preserve">Checks PASS and approval status Approved</t>
  </si>
  <si>
    <t xml:space="preserve">Published snapshot</t>
  </si>
  <si>
    <t xml:space="preserve">Keep publication status Pending</t>
  </si>
  <si>
    <t xml:space="preserve">Agent Exception Log</t>
  </si>
  <si>
    <t xml:space="preserve">Run_ID</t>
  </si>
  <si>
    <t xml:space="preserve">BACKUP of Project_Forecast (values as at build date 2026-07-09) — original file also preserved unchanged</t>
  </si>
  <si>
    <t xml:space="preserve">External_Subcontractor</t>
  </si>
  <si>
    <t xml:space="preserve">PF_Entity_Cost</t>
  </si>
  <si>
    <t xml:space="preserve">Inclusive_Expenses</t>
  </si>
  <si>
    <t xml:space="preserve">Planned_Days</t>
  </si>
  <si>
    <t xml:space="preserve">Actual_Invoiced</t>
  </si>
  <si>
    <t xml:space="preserve">Recovered_Expenses</t>
  </si>
  <si>
    <t xml:space="preserve">External_Cost_Paid</t>
  </si>
  <si>
    <t xml:space="preserve">PF_Cost_Paid</t>
  </si>
  <si>
    <t xml:space="preserve">Recoverable_Expenses_Paid</t>
  </si>
  <si>
    <t xml:space="preserve">Nonrecoverable_Expenses_Paid</t>
  </si>
  <si>
    <t xml:space="preserve">YTD_Net_Income</t>
  </si>
  <si>
    <t xml:space="preserve">Actual_Days</t>
  </si>
  <si>
    <t xml:space="preserve">Weighted_Forecast</t>
  </si>
  <si>
    <t xml:space="preserve">Actual_Direct_Costs</t>
  </si>
  <si>
    <t xml:space="preserve">OK</t>
  </si>
  <si>
    <t xml:space="preserve">REVIEW</t>
  </si>
  <si>
    <t xml:space="preserve">BACKUP of Fixed_Cost_Budget (values as at build date 2026-07-09) — original file also preserved unchanged</t>
  </si>
  <si>
    <t xml:space="preserve">Fiscal_Year</t>
  </si>
  <si>
    <t xml:space="preserve">Month_Date</t>
  </si>
  <si>
    <t xml:space="preserve">Month</t>
  </si>
  <si>
    <t xml:space="preserve">Budget_Amount</t>
  </si>
  <si>
    <t xml:space="preserve">Annual_Account_Budget</t>
  </si>
  <si>
    <t xml:space="preserve">Phasing_Method</t>
  </si>
  <si>
    <t xml:space="preserve">Initial equal phasing — replace with approved monthly profile</t>
  </si>
  <si>
    <t xml:space="preserve">Sept</t>
  </si>
  <si>
    <t xml:space="preserve">BACKUP of TB_Output (values as at build date 2026-07-09) — original file also preserved unchanged</t>
  </si>
  <si>
    <t xml:space="preserve">Quarter end: 31-Mar-2026 | Closing balances, opening balances and movement analysis</t>
  </si>
  <si>
    <t xml:space="preserve">Current Assets (GHS)</t>
  </si>
  <si>
    <t xml:space="preserve">Current Liabilities (GHS)</t>
  </si>
  <si>
    <t xml:space="preserve">Balance Sheet Statement — selected quarter-end</t>
  </si>
  <si>
    <t xml:space="preserve">Balance_Sheet_Line</t>
  </si>
  <si>
    <t xml:space="preserve">Closing_GHS</t>
  </si>
  <si>
    <t xml:space="preserve">Opening_GHS</t>
  </si>
  <si>
    <t xml:space="preserve">Movement_GHS</t>
  </si>
  <si>
    <t xml:space="preserve">Land and Buildings</t>
  </si>
  <si>
    <t xml:space="preserve">Investments &gt;3 months</t>
  </si>
  <si>
    <t xml:space="preserve">Long-term Liabilities</t>
  </si>
  <si>
    <t xml:space="preserve">BACKUP of Project_Output (values as at build date 2026-07-09) — original file also preserved unchanged</t>
  </si>
  <si>
    <t xml:space="preserve">Selected period: 2026-Q1 | Forecast snapshot and actuals for the selected quarter</t>
  </si>
  <si>
    <t xml:space="preserve">Weighted Forecast (GHS)</t>
  </si>
  <si>
    <t xml:space="preserve">Secured Income (GHS)</t>
  </si>
  <si>
    <t xml:space="preserve">WIP / Net Income YTD</t>
  </si>
  <si>
    <t xml:space="preserve">Invoiced YTD (GHS)</t>
  </si>
  <si>
    <t xml:space="preserve">Direct Costs YTD (GHS)</t>
  </si>
  <si>
    <t xml:space="preserve">Weighted vs Budget</t>
  </si>
  <si>
    <t xml:space="preserve">QMR Output by Portfolio — selected reporting period</t>
  </si>
  <si>
    <t xml:space="preserve">Secured_Income</t>
  </si>
  <si>
    <t xml:space="preserve">Direct_Costs_YTD</t>
  </si>
  <si>
    <t xml:space="preserve">WIP_to_Invoiced</t>
  </si>
  <si>
    <t xml:space="preserve">Day_Utilization</t>
  </si>
  <si>
    <t xml:space="preserve">Exception_Count</t>
  </si>
  <si>
    <t xml:space="preserve">Production Landscapes</t>
  </si>
  <si>
    <t xml:space="preserve">BACKUP of FixedCost_Output (values as at build date 2026-07-09) — original file also preserved unchanged</t>
  </si>
  <si>
    <t xml:space="preserve">Year-to-date through 31-Mar-2026 | Annual budget and run-rate forecast</t>
  </si>
  <si>
    <t xml:space="preserve">Forecast FY (GHS)</t>
  </si>
  <si>
    <t xml:space="preserve">Forecast vs Budget</t>
  </si>
  <si>
    <t xml:space="preserve">QMR Output by Cost Category</t>
  </si>
  <si>
    <t xml:space="preserve">Forecast_FY</t>
  </si>
  <si>
    <t xml:space="preserve">Forecast_Variance</t>
  </si>
  <si>
    <t xml:space="preserve">Spend_%</t>
  </si>
  <si>
    <t xml:space="preserve">QMR Group</t>
  </si>
  <si>
    <t xml:space="preserve">Budget YTD</t>
  </si>
  <si>
    <t xml:space="preserve">Actual YTD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</si>
</sst>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dd\-mmm\-yyyy"/>
    <numFmt numFmtId="166" formatCode="#,##0;\(#,##0\);\-"/>
    <numFmt numFmtId="167" formatCode="0.0"/>
    <numFmt numFmtId="168" formatCode="General"/>
    <numFmt numFmtId="169" formatCode="#,##0;[RED]\(#,##0\);\-"/>
    <numFmt numFmtId="170" formatCode="0.0%;[RED]\(0.0%\);\-"/>
    <numFmt numFmtId="171" formatCode="yyyy\-mm\-dd"/>
    <numFmt numFmtId="172" formatCode="#,##0.0000"/>
    <numFmt numFmtId="173" formatCode="0.0000"/>
    <numFmt numFmtId="174" formatCode="0%"/>
    <numFmt numFmtId="175" formatCode="@"/>
    <numFmt numFmtId="176" formatCode="0.0%;\(0.0%\);\-"/>
    <numFmt numFmtId="177" formatCode="0.00;\(0.00\);\-"/>
    <numFmt numFmtId="178" formatCode="0.0%"/>
    <numFmt numFmtId="179" formatCode="0"/>
    <numFmt numFmtId="180" formatCode="#,##0;\(#,##0\);\-"/>
    <numFmt numFmtId="181" formatCode="#,##0.00"/>
    <numFmt numFmtId="182" formatCode="#,##0.00;\(#,##0.00\);\-"/>
    <numFmt numFmtId="183" formatCode="#,##0.0;[RED]\(#,##0.0\);\-"/>
    <numFmt numFmtId="184" formatCode="m/d/yyyy"/>
    <numFmt numFmtId="185" formatCode="_(* #,##0.00_);_(* \(#,##0.00\);_(* \-??_);_(@_)"/>
    <numFmt numFmtId="186" formatCode="_-* #,##0.00_-;\-* #,##0.00_-;_-* \-??_-;_-@_-"/>
    <numFmt numFmtId="187" formatCode="yyyy\-mm\-dd\ hh:mm"/>
    <numFmt numFmtId="188" formatCode="0.0\x"/>
    <numFmt numFmtId="189" formatCode="yyyy\-mm\-dd\ h:mm:ss"/>
  </numFmts>
  <fonts count="53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6B3B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9"/>
      <color rgb="FF4B565E"/>
      <name val="Calibri"/>
      <family val="0"/>
      <charset val="1"/>
    </font>
    <font>
      <b val="true"/>
      <sz val="12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1F6B3B"/>
      <name val="Calibri"/>
      <family val="0"/>
      <charset val="1"/>
    </font>
    <font>
      <b val="true"/>
      <sz val="14"/>
      <name val="Calibri"/>
      <family val="0"/>
      <charset val="1"/>
    </font>
    <font>
      <sz val="9.5"/>
      <color rgb="FF404040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0"/>
      <color rgb="FF1F6B3B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b val="true"/>
      <sz val="16"/>
      <color rgb="FFFFFFFF"/>
      <name val="Aptos Display"/>
      <family val="2"/>
      <charset val="1"/>
    </font>
    <font>
      <b val="true"/>
      <sz val="11"/>
      <color rgb="FF0000FF"/>
      <name val="Calibri"/>
      <family val="0"/>
      <charset val="1"/>
    </font>
    <font>
      <sz val="11"/>
      <color rgb="FF1D4ED8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3"/>
      <name val="Calibri"/>
      <family val="0"/>
      <charset val="1"/>
    </font>
    <font>
      <sz val="9"/>
      <color rgb="FF4B565E"/>
      <name val="Calibri"/>
      <family val="0"/>
      <charset val="1"/>
    </font>
    <font>
      <b val="true"/>
      <sz val="10"/>
      <color rgb="FF4B565E"/>
      <name val="Calibri"/>
      <family val="0"/>
      <charset val="1"/>
    </font>
    <font>
      <sz val="10"/>
      <color rgb="FF000000"/>
      <name val="Calibri"/>
      <family val="2"/>
    </font>
    <font>
      <b val="true"/>
      <sz val="14"/>
      <color rgb="FF1F6B3B"/>
      <name val="Calibri"/>
      <family val="0"/>
      <charset val="1"/>
    </font>
    <font>
      <b val="true"/>
      <sz val="11"/>
      <color rgb="FF1F6B3B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404040"/>
      <name val="Calibri"/>
      <family val="0"/>
      <charset val="1"/>
    </font>
    <font>
      <b val="true"/>
      <sz val="12"/>
      <color rgb="FF1F6B3B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1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5"/>
      <color rgb="FF1F6B3B"/>
      <name val="Calibri"/>
      <family val="0"/>
      <charset val="1"/>
    </font>
    <font>
      <sz val="11"/>
      <color rgb="FF15803D"/>
      <name val="Calibri"/>
      <family val="0"/>
      <charset val="1"/>
    </font>
    <font>
      <b val="true"/>
      <sz val="18"/>
      <color rgb="FF1F6B3B"/>
      <name val="Calibri"/>
      <family val="0"/>
      <charset val="1"/>
    </font>
    <font>
      <b val="true"/>
      <sz val="12"/>
      <color theme="0"/>
      <name val="Calibri"/>
      <family val="0"/>
      <charset val="1"/>
    </font>
    <font>
      <sz val="12"/>
      <color theme="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color theme="0"/>
      <name val="Calibri"/>
      <family val="0"/>
      <charset val="1"/>
    </font>
    <font>
      <b val="true"/>
      <sz val="11"/>
      <color theme="0"/>
      <name val="Calibri"/>
      <family val="0"/>
      <charset val="1"/>
    </font>
    <font>
      <sz val="11"/>
      <color theme="0"/>
      <name val="Calibri"/>
      <family val="0"/>
      <charset val="1"/>
    </font>
    <font>
      <i val="true"/>
      <sz val="11"/>
      <color rgb="FFC00000"/>
      <name val="Calibri"/>
      <family val="0"/>
      <charset val="1"/>
    </font>
    <font>
      <b val="true"/>
      <sz val="11"/>
      <color rgb="FF16313A"/>
      <name val="Calibri"/>
      <family val="0"/>
      <charset val="1"/>
    </font>
    <font>
      <b val="true"/>
      <sz val="12"/>
      <color rgb="FF164E63"/>
      <name val="Calibri"/>
      <family val="0"/>
      <charset val="1"/>
    </font>
    <font>
      <sz val="10.5"/>
      <color rgb="FF40404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i val="true"/>
      <sz val="11"/>
      <color rgb="FF16313A"/>
      <name val="Calibri"/>
      <family val="0"/>
      <charset val="1"/>
    </font>
    <font>
      <b val="true"/>
      <sz val="12"/>
      <color rgb="FF1D4ED8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EDF5F5"/>
        <bgColor rgb="FFF1F5F9"/>
      </patternFill>
    </fill>
    <fill>
      <patternFill patternType="solid">
        <fgColor rgb="FF318E93"/>
        <bgColor rgb="FF2F8F98"/>
      </patternFill>
    </fill>
    <fill>
      <patternFill patternType="solid">
        <fgColor rgb="FF154E64"/>
        <bgColor rgb="FF0F4C5C"/>
      </patternFill>
    </fill>
    <fill>
      <patternFill patternType="solid">
        <fgColor rgb="FF2F8F98"/>
        <bgColor rgb="FF318E93"/>
      </patternFill>
    </fill>
    <fill>
      <patternFill patternType="solid">
        <fgColor rgb="FF0F766E"/>
        <bgColor rgb="FF156082"/>
      </patternFill>
    </fill>
    <fill>
      <patternFill patternType="solid">
        <fgColor rgb="FFFFF7CC"/>
        <bgColor rgb="FFFEF3C7"/>
      </patternFill>
    </fill>
    <fill>
      <patternFill patternType="solid">
        <fgColor rgb="FF075A8D"/>
        <bgColor rgb="FF156082"/>
      </patternFill>
    </fill>
    <fill>
      <patternFill patternType="solid">
        <fgColor rgb="FFFFFDF0"/>
        <bgColor rgb="FFFFFFFF"/>
      </patternFill>
    </fill>
    <fill>
      <patternFill patternType="solid">
        <fgColor rgb="FF1F6B3B"/>
        <bgColor rgb="FF196B24"/>
      </patternFill>
    </fill>
    <fill>
      <patternFill patternType="solid">
        <fgColor rgb="FFFFF2CC"/>
        <bgColor rgb="FFFEF3C7"/>
      </patternFill>
    </fill>
    <fill>
      <patternFill patternType="solid">
        <fgColor rgb="FFDDEBDD"/>
        <bgColor rgb="FFE7EFE7"/>
      </patternFill>
    </fill>
    <fill>
      <patternFill patternType="solid">
        <fgColor rgb="FFE7EFE7"/>
        <bgColor rgb="FFEAF4DF"/>
      </patternFill>
    </fill>
    <fill>
      <patternFill patternType="solid">
        <fgColor rgb="FFFFFF00"/>
        <bgColor rgb="FFFFC000"/>
      </patternFill>
    </fill>
    <fill>
      <patternFill patternType="solid">
        <fgColor theme="2" tint="-0.1"/>
        <bgColor rgb="FFD1D5DB"/>
      </patternFill>
    </fill>
    <fill>
      <patternFill patternType="solid">
        <fgColor theme="3" tint="0.4999"/>
        <bgColor rgb="FF2F8F98"/>
      </patternFill>
    </fill>
    <fill>
      <patternFill patternType="solid">
        <fgColor theme="3" tint="0.8999"/>
        <bgColor rgb="FFDBEAFE"/>
      </patternFill>
    </fill>
    <fill>
      <patternFill patternType="solid">
        <fgColor rgb="FFFEF3C7"/>
        <bgColor rgb="FFFFF2CC"/>
      </patternFill>
    </fill>
    <fill>
      <patternFill patternType="solid">
        <fgColor rgb="FFEAF4DF"/>
        <bgColor rgb="FFE7EFE7"/>
      </patternFill>
    </fill>
    <fill>
      <patternFill patternType="solid">
        <fgColor rgb="FF0F4C5C"/>
        <bgColor rgb="FF154E64"/>
      </patternFill>
    </fill>
    <fill>
      <patternFill patternType="solid">
        <fgColor rgb="FFECFDF5"/>
        <bgColor rgb="FFEDF5F5"/>
      </patternFill>
    </fill>
    <fill>
      <patternFill patternType="solid">
        <fgColor rgb="FFF1F5F9"/>
        <bgColor rgb="FFEDF5F5"/>
      </patternFill>
    </fill>
    <fill>
      <patternFill patternType="solid">
        <fgColor rgb="FFDBEAFE"/>
        <bgColor rgb="FFDCEAF7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94AAC3"/>
      </left>
      <right/>
      <top style="thin">
        <color rgb="FF94AAC3"/>
      </top>
      <bottom/>
      <diagonal/>
    </border>
    <border diagonalUp="false" diagonalDown="false">
      <left/>
      <right/>
      <top style="thin">
        <color rgb="FF94AAC3"/>
      </top>
      <bottom/>
      <diagonal/>
    </border>
    <border diagonalUp="false" diagonalDown="false">
      <left/>
      <right style="thin">
        <color rgb="FF94AAC3"/>
      </right>
      <top style="thin">
        <color rgb="FF94AAC3"/>
      </top>
      <bottom/>
      <diagonal/>
    </border>
    <border diagonalUp="false" diagonalDown="false">
      <left style="thin">
        <color rgb="FF94AAC3"/>
      </left>
      <right/>
      <top/>
      <bottom/>
      <diagonal/>
    </border>
    <border diagonalUp="false" diagonalDown="false">
      <left/>
      <right style="thin">
        <color rgb="FF94AAC3"/>
      </right>
      <top/>
      <bottom/>
      <diagonal/>
    </border>
    <border diagonalUp="false" diagonalDown="false">
      <left style="thin">
        <color rgb="FF94AAC3"/>
      </left>
      <right style="thin">
        <color rgb="FF94AAC3"/>
      </right>
      <top/>
      <bottom/>
      <diagonal/>
    </border>
    <border diagonalUp="false" diagonalDown="false">
      <left style="thin">
        <color rgb="FF94AAC3"/>
      </left>
      <right/>
      <top/>
      <bottom style="thin">
        <color rgb="FF94AAC3"/>
      </bottom>
      <diagonal/>
    </border>
    <border diagonalUp="false" diagonalDown="false">
      <left/>
      <right/>
      <top/>
      <bottom style="thin">
        <color rgb="FF94AAC3"/>
      </bottom>
      <diagonal/>
    </border>
    <border diagonalUp="false" diagonalDown="false">
      <left/>
      <right style="thin">
        <color rgb="FF94AAC3"/>
      </right>
      <top/>
      <bottom style="thin">
        <color rgb="FF94AAC3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2F8F98"/>
      </left>
      <right/>
      <top style="thin">
        <color rgb="FF2F8F98"/>
      </top>
      <bottom/>
      <diagonal/>
    </border>
    <border diagonalUp="false" diagonalDown="false">
      <left/>
      <right style="thin">
        <color rgb="FF2F8F98"/>
      </right>
      <top style="thin">
        <color rgb="FF2F8F98"/>
      </top>
      <bottom/>
      <diagonal/>
    </border>
    <border diagonalUp="false" diagonalDown="false">
      <left style="thin">
        <color rgb="FF2F8F98"/>
      </left>
      <right/>
      <top/>
      <bottom style="thin">
        <color rgb="FF2F8F98"/>
      </bottom>
      <diagonal/>
    </border>
    <border diagonalUp="false" diagonalDown="false">
      <left/>
      <right style="thin">
        <color rgb="FF2F8F98"/>
      </right>
      <top/>
      <bottom style="thin">
        <color rgb="FF2F8F98"/>
      </bottom>
      <diagonal/>
    </border>
    <border diagonalUp="false" diagonalDown="false">
      <left/>
      <right style="thin">
        <color rgb="FFD1D5DB"/>
      </right>
      <top/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 diagonalUp="false" diagonalDown="false">
      <left style="thin">
        <color rgb="FFD1D5DB"/>
      </left>
      <right/>
      <top/>
      <bottom style="thin">
        <color rgb="FFD1D5DB"/>
      </bottom>
      <diagonal/>
    </border>
    <border diagonalUp="false" diagonalDown="false">
      <left/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/>
      <right style="thin">
        <color rgb="FFD1D5DB"/>
      </right>
      <top style="thin">
        <color rgb="FFD1D5DB"/>
      </top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/>
      <diagonal/>
    </border>
    <border diagonalUp="false" diagonalDown="false">
      <left style="thin">
        <color rgb="FFD1D5DB"/>
      </left>
      <right/>
      <top style="thin">
        <color rgb="FFD1D5DB"/>
      </top>
      <bottom/>
      <diagonal/>
    </border>
    <border diagonalUp="false" diagonalDown="false">
      <left style="thin">
        <color rgb="FF2F8F98"/>
      </left>
      <right/>
      <top style="thin">
        <color rgb="FF2F8F98"/>
      </top>
      <bottom style="thin">
        <color rgb="FF2F8F98"/>
      </bottom>
      <diagonal/>
    </border>
    <border diagonalUp="false" diagonalDown="false">
      <left/>
      <right/>
      <top style="thin">
        <color rgb="FF2F8F98"/>
      </top>
      <bottom style="thin">
        <color rgb="FF2F8F98"/>
      </bottom>
      <diagonal/>
    </border>
    <border diagonalUp="false" diagonalDown="false">
      <left/>
      <right style="thin">
        <color rgb="FF2F8F98"/>
      </right>
      <top style="thin">
        <color rgb="FF2F8F98"/>
      </top>
      <bottom style="thin">
        <color rgb="FF2F8F9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0" fontId="2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8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20" fillId="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9" fontId="20" fillId="9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0" fillId="9" borderId="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20" fillId="9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20" fillId="9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0" fillId="9" borderId="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11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3" fontId="1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" fillId="1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1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" fillId="1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1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1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11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1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1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0" fillId="1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12" fillId="0" borderId="0" xfId="1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3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1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1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0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11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20" fillId="11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6" fillId="1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19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19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19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2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2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1" fillId="1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19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19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19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2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  <sz val="12"/>
      </font>
      <fill>
        <patternFill>
          <bgColor rgb="FFFFC7CE"/>
        </patternFill>
      </fill>
    </dxf>
    <dxf>
      <font>
        <b val="1"/>
        <color rgb="FF9C5700"/>
        <sz val="12"/>
      </font>
    </dxf>
    <dxf>
      <fill>
        <patternFill patternType="solid"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1F6B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475569"/>
      </font>
      <fill>
        <patternFill>
          <bgColor rgb="FFF1F5F9"/>
        </patternFill>
      </fill>
    </dxf>
    <dxf>
      <font>
        <b val="1"/>
        <color rgb="FF991B1B"/>
      </font>
      <fill>
        <patternFill>
          <bgColor rgb="FFFEE2E2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ont>
        <b val="1"/>
        <color rgb="FFB91C1C"/>
      </font>
      <fill>
        <patternFill>
          <bgColor rgb="FFFEE2E2"/>
        </patternFill>
      </fill>
    </dxf>
    <dxf>
      <fill>
        <patternFill patternType="solid">
          <fgColor rgb="FF318E93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ont>
        <b val="1"/>
        <color rgb="FFB91C1C"/>
      </font>
      <fill>
        <patternFill>
          <bgColor rgb="FFFEF3C7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EAF4D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6313A"/>
          <bgColor rgb="FF000000"/>
        </patternFill>
      </fill>
    </dxf>
    <dxf>
      <font>
        <b val="1"/>
        <color rgb="FF16313A"/>
      </font>
      <fill>
        <patternFill>
          <bgColor rgb="FFFEF3C7"/>
        </patternFill>
      </fill>
    </dxf>
    <dxf>
      <font>
        <b val="1"/>
        <color rgb="FF15803D"/>
      </font>
      <fill>
        <patternFill>
          <bgColor rgb="FFEAF4DF"/>
        </patternFill>
      </fill>
    </dxf>
  </dxfs>
  <colors>
    <indexedColors>
      <rgbColor rgb="FF000000"/>
      <rgbColor rgb="FFFFFFFF"/>
      <rgbColor rgb="FFC00000"/>
      <rgbColor rgb="FFDCEAF7"/>
      <rgbColor rgb="FF0000FF"/>
      <rgbColor rgb="FFFFFF00"/>
      <rgbColor rgb="FFEAF4DF"/>
      <rgbColor rgb="FF2F8F98"/>
      <rgbColor rgb="FF9C0006"/>
      <rgbColor rgb="FF0F8522"/>
      <rgbColor rgb="FF16642E"/>
      <rgbColor rgb="FF9C5700"/>
      <rgbColor rgb="FF196B24"/>
      <rgbColor rgb="FF0F766E"/>
      <rgbColor rgb="FFBFBFBF"/>
      <rgbColor rgb="FF808080"/>
      <rgbColor rgb="FF94AAC3"/>
      <rgbColor rgb="FF762D9B"/>
      <rgbColor rgb="FFFFF7CC"/>
      <rgbColor rgb="FFDCFCE7"/>
      <rgbColor rgb="FF475569"/>
      <rgbColor rgb="FFFFF2CC"/>
      <rgbColor rgb="FF075A8D"/>
      <rgbColor rgb="FFD1D5DB"/>
      <rgbColor rgb="FF1F6B3B"/>
      <rgbColor rgb="FFF1F5F9"/>
      <rgbColor rgb="FFFEF3C7"/>
      <rgbColor rgb="FFDBEAFE"/>
      <rgbColor rgb="FFEDF5F5"/>
      <rgbColor rgb="FF991B1B"/>
      <rgbColor rgb="FF156082"/>
      <rgbColor rgb="FFFFFDF0"/>
      <rgbColor rgb="FF0D93CB"/>
      <rgbColor rgb="FFECFDF5"/>
      <rgbColor rgb="FFC6EFCE"/>
      <rgbColor rgb="FFFFEB9C"/>
      <rgbColor rgb="FFD1D1D1"/>
      <rgbColor rgb="FFFEE2E2"/>
      <rgbColor rgb="FFD9D9D9"/>
      <rgbColor rgb="FFFFC6CD"/>
      <rgbColor rgb="FF1D4ED8"/>
      <rgbColor rgb="FF4E95D9"/>
      <rgbColor rgb="FFDDEBDD"/>
      <rgbColor rgb="FFFFC000"/>
      <rgbColor rgb="FFE7EFE7"/>
      <rgbColor rgb="FFE66D2F"/>
      <rgbColor rgb="FF4F575D"/>
      <rgbColor rgb="FF8A8F8F"/>
      <rgbColor rgb="FF16313A"/>
      <rgbColor rgb="FF318E93"/>
      <rgbColor rgb="FF006100"/>
      <rgbColor rgb="FF0F4C5C"/>
      <rgbColor rgb="FF92400E"/>
      <rgbColor rgb="FFB91C1C"/>
      <rgbColor rgb="FF154E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QMR_Dashboard!$A$10</c:f>
              <c:strCache>
                <c:ptCount val="1"/>
                <c:pt idx="0">
                  <c:v>Income (WIP basis)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QMR_Dashboard!$B$9:$E$9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QMR_Dashboard!$B$10:$E$10</c:f>
              <c:numCache>
                <c:formatCode>#,##0;\(#,##0\);\-</c:formatCode>
                <c:ptCount val="4"/>
                <c:pt idx="0">
                  <c:v>4910.79611875</c:v>
                </c:pt>
                <c:pt idx="1">
                  <c:v>2548.4043857</c:v>
                </c:pt>
                <c:pt idx="2">
                  <c:v>2136.14297505</c:v>
                </c:pt>
                <c:pt idx="3">
                  <c:v>1831.1563995</c:v>
                </c:pt>
              </c:numCache>
            </c:numRef>
          </c:val>
        </c:ser>
        <c:ser>
          <c:idx val="1"/>
          <c:order val="1"/>
          <c:tx>
            <c:strRef>
              <c:f>QMR_Dashboard!$A$12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QMR_Dashboard!$B$9:$E$9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QMR_Dashboard!$B$12:$E$12</c:f>
              <c:numCache>
                <c:formatCode>#,##0;\(#,##0\);\-</c:formatCode>
                <c:ptCount val="4"/>
                <c:pt idx="0">
                  <c:v>2779.36133</c:v>
                </c:pt>
                <c:pt idx="1">
                  <c:v>3022.35224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21773685"/>
        <c:axId val="9139763"/>
      </c:barChart>
      <c:lineChart>
        <c:grouping val="standard"/>
        <c:varyColors val="0"/>
        <c:ser>
          <c:idx val="2"/>
          <c:order val="2"/>
          <c:tx>
            <c:strRef>
              <c:f>QMR_Dashboard!$A$13</c:f>
              <c:strCache>
                <c:ptCount val="1"/>
                <c:pt idx="0">
                  <c:v>Surplus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marker>
            <c:symbol val="circle"/>
            <c:size val="6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QMR_Dashboard!$B$9:$E$9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QMR_Dashboard!$B$13:$E$13</c:f>
              <c:numCache>
                <c:formatCode>#,##0;\(#,##0\);\-</c:formatCode>
                <c:ptCount val="4"/>
                <c:pt idx="0">
                  <c:v>2131.43478875</c:v>
                </c:pt>
                <c:pt idx="1">
                  <c:v>-473.9478543</c:v>
                </c:pt>
                <c:pt idx="2">
                  <c:v>2136.14297505</c:v>
                </c:pt>
                <c:pt idx="3">
                  <c:v>1831.1563995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1773685"/>
        <c:axId val="9139763"/>
      </c:lineChart>
      <c:catAx>
        <c:axId val="217736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39763"/>
        <c:auto val="1"/>
        <c:lblAlgn val="ctr"/>
        <c:lblOffset val="100"/>
        <c:noMultiLvlLbl val="0"/>
      </c:catAx>
      <c:valAx>
        <c:axId val="9139763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773685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FixedCost_Output!$D$11</c:f>
              <c:strCache>
                <c:ptCount val="1"/>
                <c:pt idx="0">
                  <c:v>Budget_YTD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FixedCost_Output!$A$12:$A$22</c:f>
              <c:strCache>
                <c:ptCount val="11"/>
                <c:pt idx="0">
                  <c:v>Direct technical costs</c:v>
                </c:pt>
                <c:pt idx="1">
                  <c:v>Direct support costs</c:v>
                </c:pt>
                <c:pt idx="2">
                  <c:v>Recruitment, Benefits</c:v>
                </c:pt>
                <c:pt idx="3">
                  <c:v>Professional development and Training</c:v>
                </c:pt>
                <c:pt idx="4">
                  <c:v>Business development and Comms</c:v>
                </c:pt>
                <c:pt idx="5">
                  <c:v>Internal events and meetings</c:v>
                </c:pt>
                <c:pt idx="6">
                  <c:v>Professional services and governance</c:v>
                </c:pt>
                <c:pt idx="7">
                  <c:v>IT and Data</c:v>
                </c:pt>
                <c:pt idx="8">
                  <c:v>Office Running costs</c:v>
                </c:pt>
                <c:pt idx="9">
                  <c:v>Financial Charges</c:v>
                </c:pt>
                <c:pt idx="10">
                  <c:v>Foreign Exchange Losses / (Gains)</c:v>
                </c:pt>
              </c:strCache>
            </c:strRef>
          </c:cat>
          <c:val>
            <c:numRef>
              <c:f>FixedCost_Output!$D$12:$D$22</c:f>
              <c:numCache>
                <c:formatCode>#,##0;\(#,##0\);\-</c:formatCode>
                <c:ptCount val="11"/>
                <c:pt idx="0">
                  <c:v>3615038.85</c:v>
                </c:pt>
                <c:pt idx="1">
                  <c:v>1161340</c:v>
                </c:pt>
                <c:pt idx="2">
                  <c:v>160750</c:v>
                </c:pt>
                <c:pt idx="3">
                  <c:v>608998.505</c:v>
                </c:pt>
                <c:pt idx="4">
                  <c:v>123684.725</c:v>
                </c:pt>
                <c:pt idx="5">
                  <c:v>219520</c:v>
                </c:pt>
                <c:pt idx="6">
                  <c:v>514280.87</c:v>
                </c:pt>
                <c:pt idx="7">
                  <c:v>211885.25</c:v>
                </c:pt>
                <c:pt idx="8">
                  <c:v>249187.565</c:v>
                </c:pt>
                <c:pt idx="9">
                  <c:v>22500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FixedCost_Output!$E$11</c:f>
              <c:strCache>
                <c:ptCount val="1"/>
                <c:pt idx="0">
                  <c:v>Actual_YTD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FixedCost_Output!$A$12:$A$22</c:f>
              <c:strCache>
                <c:ptCount val="11"/>
                <c:pt idx="0">
                  <c:v>Direct technical costs</c:v>
                </c:pt>
                <c:pt idx="1">
                  <c:v>Direct support costs</c:v>
                </c:pt>
                <c:pt idx="2">
                  <c:v>Recruitment, Benefits</c:v>
                </c:pt>
                <c:pt idx="3">
                  <c:v>Professional development and Training</c:v>
                </c:pt>
                <c:pt idx="4">
                  <c:v>Business development and Comms</c:v>
                </c:pt>
                <c:pt idx="5">
                  <c:v>Internal events and meetings</c:v>
                </c:pt>
                <c:pt idx="6">
                  <c:v>Professional services and governance</c:v>
                </c:pt>
                <c:pt idx="7">
                  <c:v>IT and Data</c:v>
                </c:pt>
                <c:pt idx="8">
                  <c:v>Office Running costs</c:v>
                </c:pt>
                <c:pt idx="9">
                  <c:v>Financial Charges</c:v>
                </c:pt>
                <c:pt idx="10">
                  <c:v>Foreign Exchange Losses / (Gains)</c:v>
                </c:pt>
              </c:strCache>
            </c:strRef>
          </c:cat>
          <c:val>
            <c:numRef>
              <c:f>FixedCost_Output!$E$12:$E$22</c:f>
              <c:numCache>
                <c:formatCode>#,##0;\(#,##0\);\-</c:formatCode>
                <c:ptCount val="11"/>
                <c:pt idx="0">
                  <c:v>3229268.55</c:v>
                </c:pt>
                <c:pt idx="1">
                  <c:v>1287623.65</c:v>
                </c:pt>
                <c:pt idx="2">
                  <c:v>89499.71</c:v>
                </c:pt>
                <c:pt idx="3">
                  <c:v>201138.6</c:v>
                </c:pt>
                <c:pt idx="4">
                  <c:v>99295.87</c:v>
                </c:pt>
                <c:pt idx="5">
                  <c:v>33622.84</c:v>
                </c:pt>
                <c:pt idx="6">
                  <c:v>684241.87</c:v>
                </c:pt>
                <c:pt idx="7">
                  <c:v>71930.54</c:v>
                </c:pt>
                <c:pt idx="8">
                  <c:v>194888.67</c:v>
                </c:pt>
                <c:pt idx="9">
                  <c:v>26331.8</c:v>
                </c:pt>
                <c:pt idx="10">
                  <c:v>-116128.53</c:v>
                </c:pt>
              </c:numCache>
            </c:numRef>
          </c:val>
        </c:ser>
        <c:gapWidth val="150"/>
        <c:overlap val="0"/>
        <c:axId val="46592554"/>
        <c:axId val="51605934"/>
      </c:barChart>
      <c:catAx>
        <c:axId val="465925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605934"/>
        <c:auto val="1"/>
        <c:lblAlgn val="ctr"/>
        <c:lblOffset val="100"/>
        <c:noMultiLvlLbl val="0"/>
      </c:catAx>
      <c:valAx>
        <c:axId val="51605934"/>
        <c:scaling>
          <c:orientation val="minMax"/>
        </c:scaling>
        <c:delete val="1"/>
        <c:axPos val="l"/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592554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Fixed Costs: Budget vs Actual YTD (GHS 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Slide_Pack!$B$18</c:f>
              <c:strCache>
                <c:ptCount val="1"/>
                <c:pt idx="0">
                  <c:v>Budget (FY)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Slide_Pack!$A$19:$A$21</c:f>
              <c:strCache>
                <c:ptCount val="3"/>
                <c:pt idx="0">
                  <c:v>Direct Technical Costs</c:v>
                </c:pt>
                <c:pt idx="1">
                  <c:v>Direct FinOps Costs</c:v>
                </c:pt>
                <c:pt idx="2">
                  <c:v>Other Fixed Costs</c:v>
                </c:pt>
              </c:strCache>
            </c:strRef>
          </c:cat>
          <c:val>
            <c:numRef>
              <c:f>Slide_Pack!$B$19:$B$21</c:f>
              <c:numCache>
                <c:formatCode>#,##0;\(#,##0\);\-</c:formatCode>
                <c:ptCount val="3"/>
                <c:pt idx="0">
                  <c:v>7230.0777</c:v>
                </c:pt>
                <c:pt idx="1">
                  <c:v>2322.68</c:v>
                </c:pt>
                <c:pt idx="2">
                  <c:v>4221.61383</c:v>
                </c:pt>
              </c:numCache>
            </c:numRef>
          </c:val>
        </c:ser>
        <c:ser>
          <c:idx val="1"/>
          <c:order val="1"/>
          <c:tx>
            <c:strRef>
              <c:f>Slide_Pack!$D$18</c:f>
              <c:strCache>
                <c:ptCount val="1"/>
                <c:pt idx="0">
                  <c:v>Actual (YTD)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Slide_Pack!$A$19:$A$21</c:f>
              <c:strCache>
                <c:ptCount val="3"/>
                <c:pt idx="0">
                  <c:v>Direct Technical Costs</c:v>
                </c:pt>
                <c:pt idx="1">
                  <c:v>Direct FinOps Costs</c:v>
                </c:pt>
                <c:pt idx="2">
                  <c:v>Other Fixed Costs</c:v>
                </c:pt>
              </c:strCache>
            </c:strRef>
          </c:cat>
          <c:val>
            <c:numRef>
              <c:f>Slide_Pack!$D$19:$D$21</c:f>
              <c:numCache>
                <c:formatCode>#,##0;\(#,##0\);\-</c:formatCode>
                <c:ptCount val="3"/>
                <c:pt idx="0">
                  <c:v>3229.26855</c:v>
                </c:pt>
                <c:pt idx="1">
                  <c:v>1287.62365</c:v>
                </c:pt>
                <c:pt idx="2">
                  <c:v>1284.82137</c:v>
                </c:pt>
              </c:numCache>
            </c:numRef>
          </c:val>
        </c:ser>
        <c:gapWidth val="150"/>
        <c:overlap val="0"/>
        <c:axId val="30758558"/>
        <c:axId val="15221612"/>
      </c:barChart>
      <c:catAx>
        <c:axId val="307585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221612"/>
        <c:auto val="1"/>
        <c:lblAlgn val="ctr"/>
        <c:lblOffset val="100"/>
        <c:noMultiLvlLbl val="0"/>
      </c:catAx>
      <c:valAx>
        <c:axId val="15221612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758558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% of Total Actuals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Slide_Pack!$A$19:$A$21</c:f>
              <c:strCache>
                <c:ptCount val="3"/>
                <c:pt idx="0">
                  <c:v>Direct Technical Costs</c:v>
                </c:pt>
                <c:pt idx="1">
                  <c:v>Direct FinOps Costs</c:v>
                </c:pt>
                <c:pt idx="2">
                  <c:v>Other Fixed Costs</c:v>
                </c:pt>
              </c:strCache>
            </c:strRef>
          </c:cat>
          <c:val>
            <c:numRef>
              <c:f>Slide_Pack!$D$19:$D$21</c:f>
              <c:numCache>
                <c:formatCode>#,##0;\(#,##0\);\-</c:formatCode>
                <c:ptCount val="3"/>
                <c:pt idx="0">
                  <c:v>3229.26855</c:v>
                </c:pt>
                <c:pt idx="1">
                  <c:v>1287.62365</c:v>
                </c:pt>
                <c:pt idx="2">
                  <c:v>1284.82137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Balance Sheet Extract (GHS 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Slide_Pack!$B$39</c:f>
              <c:strCache>
                <c:ptCount val="1"/>
                <c:pt idx="0">
                  <c:v>GHS '000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02b93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ea72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Slide_Pack!$A$40:$A$45</c:f>
              <c:strCache>
                <c:ptCount val="6"/>
                <c:pt idx="0">
                  <c:v>Total Fixed Assets</c:v>
                </c:pt>
                <c:pt idx="1">
                  <c:v>Total Current Assets</c:v>
                </c:pt>
                <c:pt idx="2">
                  <c:v>Total Current Liabilities</c:v>
                </c:pt>
                <c:pt idx="3">
                  <c:v>Long Term Liabilities</c:v>
                </c:pt>
                <c:pt idx="4">
                  <c:v>Total Assets Less Liabilities</c:v>
                </c:pt>
                <c:pt idx="5">
                  <c:v>Total Capital and Reserves</c:v>
                </c:pt>
              </c:strCache>
            </c:strRef>
          </c:cat>
          <c:val>
            <c:numRef>
              <c:f>Slide_Pack!$B$40:$B$45</c:f>
              <c:numCache>
                <c:formatCode>#,##0;\(#,##0\);\-</c:formatCode>
                <c:ptCount val="6"/>
                <c:pt idx="0">
                  <c:v>2304.26482</c:v>
                </c:pt>
                <c:pt idx="1">
                  <c:v>8953.15648</c:v>
                </c:pt>
                <c:pt idx="2">
                  <c:v>-3241.94862</c:v>
                </c:pt>
                <c:pt idx="3">
                  <c:v>-0.00033</c:v>
                </c:pt>
                <c:pt idx="4">
                  <c:v>8015.47235</c:v>
                </c:pt>
                <c:pt idx="5">
                  <c:v>-8015.47235</c:v>
                </c:pt>
              </c:numCache>
            </c:numRef>
          </c:val>
        </c:ser>
        <c:gapWidth val="150"/>
        <c:overlap val="0"/>
        <c:axId val="70457869"/>
        <c:axId val="97335994"/>
      </c:barChart>
      <c:catAx>
        <c:axId val="704578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335994"/>
        <c:auto val="1"/>
        <c:lblAlgn val="ctr"/>
        <c:lblOffset val="100"/>
        <c:noMultiLvlLbl val="0"/>
      </c:catAx>
      <c:valAx>
        <c:axId val="97335994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45786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Net Forecast by Portfolio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Project_Output!$O$9</c:f>
              <c:strCache>
                <c:ptCount val="1"/>
                <c:pt idx="0">
                  <c:v>Net_Forecast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2557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f642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65f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d8cb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2682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5942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89aa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Project_Output!$N$10:$N$16</c:f>
              <c:strCache>
                <c:ptCount val="7"/>
                <c:pt idx="0">
                  <c:v>Responsible Sourcing</c:v>
                </c:pt>
                <c:pt idx="1">
                  <c:v>Responsible Production</c:v>
                </c:pt>
                <c:pt idx="2">
                  <c:v>Responsible Finance</c:v>
                </c:pt>
                <c:pt idx="3">
                  <c:v>Collaboration</c:v>
                </c:pt>
                <c:pt idx="4">
                  <c:v>Production Landscape</c:v>
                </c:pt>
                <c:pt idx="5">
                  <c:v>Policy &amp; Regulation</c:v>
                </c:pt>
                <c:pt idx="6">
                  <c:v>Other</c:v>
                </c:pt>
              </c:strCache>
            </c:strRef>
          </c:cat>
          <c:val>
            <c:numRef>
              <c:f>Project_Output!$O$10:$O$16</c:f>
              <c:numCache>
                <c:formatCode>General</c:formatCode>
                <c:ptCount val="7"/>
                <c:pt idx="0">
                  <c:v>4090375.05</c:v>
                </c:pt>
                <c:pt idx="1">
                  <c:v>9760078.0305</c:v>
                </c:pt>
                <c:pt idx="2">
                  <c:v>1566964.4365</c:v>
                </c:pt>
                <c:pt idx="3">
                  <c:v>128400</c:v>
                </c:pt>
                <c:pt idx="4">
                  <c:v>0</c:v>
                </c:pt>
                <c:pt idx="5">
                  <c:v>0</c:v>
                </c:pt>
                <c:pt idx="6">
                  <c:v>-3525532.3</c:v>
                </c:pt>
              </c:numCache>
            </c:numRef>
          </c:val>
        </c:ser>
        <c:gapWidth val="150"/>
        <c:overlap val="0"/>
        <c:axId val="56204851"/>
        <c:axId val="88915297"/>
      </c:barChart>
      <c:catAx>
        <c:axId val="562048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915297"/>
        <c:auto val="1"/>
        <c:lblAlgn val="ctr"/>
        <c:lblOffset val="100"/>
        <c:noMultiLvlLbl val="0"/>
      </c:catAx>
      <c:valAx>
        <c:axId val="88915297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620485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Net Forecast by Project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Project_Output!$A$51:$A$52</c:f>
              <c:strCache>
                <c:ptCount val="2"/>
                <c:pt idx="0">
                  <c:v>External</c:v>
                </c:pt>
                <c:pt idx="1">
                  <c:v>Internal</c:v>
                </c:pt>
              </c:strCache>
            </c:strRef>
          </c:cat>
          <c:val>
            <c:numRef>
              <c:f>Project_Output!$B$51:$B$52</c:f>
              <c:numCache>
                <c:formatCode>#,##0;\(#,##0\);\-</c:formatCode>
                <c:ptCount val="2"/>
                <c:pt idx="0">
                  <c:v>10801723.0305</c:v>
                </c:pt>
                <c:pt idx="1">
                  <c:v>4744094.4865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Net Forecast by Client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strRef>
              <c:f>Project_Output!$H$37</c:f>
              <c:strCache>
                <c:ptCount val="1"/>
                <c:pt idx="0">
                  <c:v>Net_Forecast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14f6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15d2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4581d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c83b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42379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08a26"/>
              </a:solidFill>
              <a:ln w="0">
                <a:noFill/>
              </a:ln>
            </c:spPr>
          </c:dPt>
          <c:dPt>
            <c:idx val="6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8"/>
            <c:spPr>
              <a:solidFill>
                <a:srgbClr val="196b24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f9ed5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a02b93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4ea72e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1aeba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0b4a4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a2b2a2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a1c7e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Project_Output!$G$38:$G$53</c:f>
              <c:strCache>
                <c:ptCount val="16"/>
                <c:pt idx="0">
                  <c:v>Barnsley</c:v>
                </c:pt>
                <c:pt idx="1">
                  <c:v>Sucrivoire</c:v>
                </c:pt>
                <c:pt idx="2">
                  <c:v>GVL</c:v>
                </c:pt>
                <c:pt idx="3">
                  <c:v>Presco</c:v>
                </c:pt>
                <c:pt idx="4">
                  <c:v>BPL</c:v>
                </c:pt>
                <c:pt idx="5">
                  <c:v>Socfin Group</c:v>
                </c:pt>
                <c:pt idx="6">
                  <c:v>Fauna &amp; Flora</c:v>
                </c:pt>
                <c:pt idx="7">
                  <c:v>Cashew Coast</c:v>
                </c:pt>
                <c:pt idx="8">
                  <c:v>General Mills</c:v>
                </c:pt>
                <c:pt idx="9">
                  <c:v>Nestlé (via PCUK)</c:v>
                </c:pt>
                <c:pt idx="10">
                  <c:v>Nestlé</c:v>
                </c:pt>
                <c:pt idx="11">
                  <c:v>RENL</c:v>
                </c:pt>
                <c:pt idx="12">
                  <c:v>Hershey (via PCUK)</c:v>
                </c:pt>
                <c:pt idx="13">
                  <c:v>CDC</c:v>
                </c:pt>
                <c:pt idx="14">
                  <c:v>Valency</c:v>
                </c:pt>
                <c:pt idx="15">
                  <c:v>FGMC</c:v>
                </c:pt>
              </c:strCache>
            </c:strRef>
          </c:cat>
          <c:val>
            <c:numRef>
              <c:f>Project_Output!$H$38:$H$53</c:f>
              <c:numCache>
                <c:formatCode>#,##0;\(#,##0\);\-</c:formatCode>
                <c:ptCount val="16"/>
                <c:pt idx="0">
                  <c:v>851741.4</c:v>
                </c:pt>
                <c:pt idx="1">
                  <c:v>44911.9005</c:v>
                </c:pt>
                <c:pt idx="2">
                  <c:v>1141155</c:v>
                </c:pt>
                <c:pt idx="3">
                  <c:v>1441022.5</c:v>
                </c:pt>
                <c:pt idx="4">
                  <c:v>204798</c:v>
                </c:pt>
                <c:pt idx="5">
                  <c:v>1494469</c:v>
                </c:pt>
                <c:pt idx="6">
                  <c:v>322438.08</c:v>
                </c:pt>
                <c:pt idx="7">
                  <c:v>522962.5</c:v>
                </c:pt>
                <c:pt idx="8">
                  <c:v>433630.05</c:v>
                </c:pt>
                <c:pt idx="9">
                  <c:v>3156284.6</c:v>
                </c:pt>
                <c:pt idx="10">
                  <c:v>500460.4</c:v>
                </c:pt>
                <c:pt idx="11">
                  <c:v>1104561</c:v>
                </c:pt>
                <c:pt idx="12">
                  <c:v>653719.4365</c:v>
                </c:pt>
                <c:pt idx="13">
                  <c:v>1416252</c:v>
                </c:pt>
                <c:pt idx="14">
                  <c:v>913245</c:v>
                </c:pt>
                <c:pt idx="15">
                  <c:v>417503.85</c:v>
                </c:pt>
              </c:numCache>
            </c:numRef>
          </c:val>
        </c:ser>
        <c:gapWidth val="150"/>
        <c:overlap val="0"/>
        <c:axId val="9620240"/>
        <c:axId val="36116953"/>
      </c:barChart>
      <c:catAx>
        <c:axId val="9620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116953"/>
        <c:auto val="1"/>
        <c:lblAlgn val="ctr"/>
        <c:lblOffset val="100"/>
        <c:noMultiLvlLbl val="0"/>
      </c:catAx>
      <c:valAx>
        <c:axId val="36116953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2024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Net Forecast by Commodity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Project_Output!$B$37</c:f>
              <c:strCache>
                <c:ptCount val="1"/>
                <c:pt idx="0">
                  <c:v>Net_Forecast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2557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f642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65f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d8cb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2682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5942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89aaa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ea18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889e8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Project_Output!$A$38:$A$46</c:f>
              <c:strCache>
                <c:ptCount val="9"/>
                <c:pt idx="0">
                  <c:v>Oil Palm</c:v>
                </c:pt>
                <c:pt idx="1">
                  <c:v>Sugar</c:v>
                </c:pt>
                <c:pt idx="2">
                  <c:v>Cocoa</c:v>
                </c:pt>
                <c:pt idx="3">
                  <c:v>Cashew</c:v>
                </c:pt>
                <c:pt idx="4">
                  <c:v>Rubber</c:v>
                </c:pt>
                <c:pt idx="5">
                  <c:v>Soy</c:v>
                </c:pt>
                <c:pt idx="6">
                  <c:v>Oil Palm &amp; Rubber</c:v>
                </c:pt>
                <c:pt idx="7">
                  <c:v>Multiple (Landscape)</c:v>
                </c:pt>
                <c:pt idx="8">
                  <c:v>TBC</c:v>
                </c:pt>
              </c:strCache>
            </c:strRef>
          </c:cat>
          <c:val>
            <c:numRef>
              <c:f>Project_Output!$B$38:$B$46</c:f>
              <c:numCache>
                <c:formatCode>#,##0;\(#,##0\);\-</c:formatCode>
                <c:ptCount val="9"/>
                <c:pt idx="0">
                  <c:v>4382580.9</c:v>
                </c:pt>
                <c:pt idx="1">
                  <c:v>3999459.3005</c:v>
                </c:pt>
                <c:pt idx="2">
                  <c:v>1087349.4865</c:v>
                </c:pt>
                <c:pt idx="3">
                  <c:v>522962.5</c:v>
                </c:pt>
                <c:pt idx="4">
                  <c:v>1104561</c:v>
                </c:pt>
                <c:pt idx="5">
                  <c:v>500460.4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79680107"/>
        <c:axId val="55280215"/>
      </c:barChart>
      <c:catAx>
        <c:axId val="796801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280215"/>
        <c:auto val="1"/>
        <c:lblAlgn val="ctr"/>
        <c:lblOffset val="100"/>
        <c:noMultiLvlLbl val="0"/>
      </c:catAx>
      <c:valAx>
        <c:axId val="55280215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68010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WIP by Quarter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Project_Output!$B$29</c:f>
              <c:strCache>
                <c:ptCount val="1"/>
                <c:pt idx="0">
                  <c:v>WIP_Value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Project_Output!$A$30:$A$33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Project_Output!$B$30:$B$33</c:f>
              <c:numCache>
                <c:formatCode>#,##0;\(#,##0\);\-</c:formatCode>
                <c:ptCount val="4"/>
                <c:pt idx="0">
                  <c:v>4910796.11875</c:v>
                </c:pt>
                <c:pt idx="1">
                  <c:v>2548404.3857</c:v>
                </c:pt>
                <c:pt idx="2">
                  <c:v>2136142.97505</c:v>
                </c:pt>
                <c:pt idx="3">
                  <c:v>1831156.3995</c:v>
                </c:pt>
              </c:numCache>
            </c:numRef>
          </c:val>
        </c:ser>
        <c:gapWidth val="150"/>
        <c:overlap val="0"/>
        <c:axId val="3308913"/>
        <c:axId val="96401382"/>
      </c:barChart>
      <c:lineChart>
        <c:grouping val="standard"/>
        <c:varyColors val="0"/>
        <c:ser>
          <c:idx val="1"/>
          <c:order val="1"/>
          <c:tx>
            <c:strRef>
              <c:f>Project_Output!$C$29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Project_Output!$A$30:$A$33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Project_Output!$C$30:$C$33</c:f>
              <c:numCache>
                <c:formatCode>#,##0;\(#,##0\);\-</c:formatCode>
                <c:ptCount val="4"/>
                <c:pt idx="0">
                  <c:v>4910796.11875</c:v>
                </c:pt>
                <c:pt idx="1">
                  <c:v>7459200.50445</c:v>
                </c:pt>
                <c:pt idx="2">
                  <c:v>9595343.4795</c:v>
                </c:pt>
                <c:pt idx="3">
                  <c:v>11426499.879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08913"/>
        <c:axId val="96401382"/>
      </c:lineChart>
      <c:catAx>
        <c:axId val="330891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401382"/>
        <c:auto val="1"/>
        <c:lblAlgn val="ctr"/>
        <c:lblOffset val="100"/>
        <c:noMultiLvlLbl val="0"/>
      </c:catAx>
      <c:valAx>
        <c:axId val="96401382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08913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Budget YTD vs Actual YTD by Category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FixedCost_Output!$D$11</c:f>
              <c:strCache>
                <c:ptCount val="1"/>
                <c:pt idx="0">
                  <c:v>Budget_YTD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FixedCost_Output!$A$12:$A$22</c:f>
              <c:strCache>
                <c:ptCount val="11"/>
                <c:pt idx="0">
                  <c:v>Direct technical costs</c:v>
                </c:pt>
                <c:pt idx="1">
                  <c:v>Direct support costs</c:v>
                </c:pt>
                <c:pt idx="2">
                  <c:v>Recruitment, Benefits</c:v>
                </c:pt>
                <c:pt idx="3">
                  <c:v>Professional development and Training</c:v>
                </c:pt>
                <c:pt idx="4">
                  <c:v>Business development and Comms</c:v>
                </c:pt>
                <c:pt idx="5">
                  <c:v>Internal events and meetings</c:v>
                </c:pt>
                <c:pt idx="6">
                  <c:v>Professional services and governance</c:v>
                </c:pt>
                <c:pt idx="7">
                  <c:v>IT and Data</c:v>
                </c:pt>
                <c:pt idx="8">
                  <c:v>Office Running costs</c:v>
                </c:pt>
                <c:pt idx="9">
                  <c:v>Financial Charges</c:v>
                </c:pt>
                <c:pt idx="10">
                  <c:v>Foreign Exchange Losses / (Gains)</c:v>
                </c:pt>
              </c:strCache>
            </c:strRef>
          </c:cat>
          <c:val>
            <c:numRef>
              <c:f>FixedCost_Output!$D$12:$D$22</c:f>
              <c:numCache>
                <c:formatCode>#,##0;\(#,##0\);\-</c:formatCode>
                <c:ptCount val="11"/>
                <c:pt idx="0">
                  <c:v>3615038.85</c:v>
                </c:pt>
                <c:pt idx="1">
                  <c:v>1161340</c:v>
                </c:pt>
                <c:pt idx="2">
                  <c:v>160750</c:v>
                </c:pt>
                <c:pt idx="3">
                  <c:v>608998.505</c:v>
                </c:pt>
                <c:pt idx="4">
                  <c:v>123684.725</c:v>
                </c:pt>
                <c:pt idx="5">
                  <c:v>219520</c:v>
                </c:pt>
                <c:pt idx="6">
                  <c:v>514280.87</c:v>
                </c:pt>
                <c:pt idx="7">
                  <c:v>211885.25</c:v>
                </c:pt>
                <c:pt idx="8">
                  <c:v>249187.565</c:v>
                </c:pt>
                <c:pt idx="9">
                  <c:v>22500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FixedCost_Output!$E$11</c:f>
              <c:strCache>
                <c:ptCount val="1"/>
                <c:pt idx="0">
                  <c:v>Actual_YTD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FixedCost_Output!$A$12:$A$22</c:f>
              <c:strCache>
                <c:ptCount val="11"/>
                <c:pt idx="0">
                  <c:v>Direct technical costs</c:v>
                </c:pt>
                <c:pt idx="1">
                  <c:v>Direct support costs</c:v>
                </c:pt>
                <c:pt idx="2">
                  <c:v>Recruitment, Benefits</c:v>
                </c:pt>
                <c:pt idx="3">
                  <c:v>Professional development and Training</c:v>
                </c:pt>
                <c:pt idx="4">
                  <c:v>Business development and Comms</c:v>
                </c:pt>
                <c:pt idx="5">
                  <c:v>Internal events and meetings</c:v>
                </c:pt>
                <c:pt idx="6">
                  <c:v>Professional services and governance</c:v>
                </c:pt>
                <c:pt idx="7">
                  <c:v>IT and Data</c:v>
                </c:pt>
                <c:pt idx="8">
                  <c:v>Office Running costs</c:v>
                </c:pt>
                <c:pt idx="9">
                  <c:v>Financial Charges</c:v>
                </c:pt>
                <c:pt idx="10">
                  <c:v>Foreign Exchange Losses / (Gains)</c:v>
                </c:pt>
              </c:strCache>
            </c:strRef>
          </c:cat>
          <c:val>
            <c:numRef>
              <c:f>FixedCost_Output!$E$12:$E$22</c:f>
              <c:numCache>
                <c:formatCode>#,##0;\(#,##0\);\-</c:formatCode>
                <c:ptCount val="11"/>
                <c:pt idx="0">
                  <c:v>3229268.55</c:v>
                </c:pt>
                <c:pt idx="1">
                  <c:v>1287623.65</c:v>
                </c:pt>
                <c:pt idx="2">
                  <c:v>89499.71</c:v>
                </c:pt>
                <c:pt idx="3">
                  <c:v>201138.6</c:v>
                </c:pt>
                <c:pt idx="4">
                  <c:v>99295.87</c:v>
                </c:pt>
                <c:pt idx="5">
                  <c:v>33622.84</c:v>
                </c:pt>
                <c:pt idx="6">
                  <c:v>684241.87</c:v>
                </c:pt>
                <c:pt idx="7">
                  <c:v>71930.54</c:v>
                </c:pt>
                <c:pt idx="8">
                  <c:v>194888.67</c:v>
                </c:pt>
                <c:pt idx="9">
                  <c:v>26331.8</c:v>
                </c:pt>
                <c:pt idx="10">
                  <c:v>-116128.53</c:v>
                </c:pt>
              </c:numCache>
            </c:numRef>
          </c:val>
        </c:ser>
        <c:gapWidth val="150"/>
        <c:overlap val="0"/>
        <c:axId val="30301788"/>
        <c:axId val="82080028"/>
      </c:barChart>
      <c:catAx>
        <c:axId val="303017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080028"/>
        <c:auto val="1"/>
        <c:lblAlgn val="ctr"/>
        <c:lblOffset val="100"/>
        <c:noMultiLvlLbl val="0"/>
      </c:catAx>
      <c:valAx>
        <c:axId val="82080028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301788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Actual YTD by Category (excl. FX)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2557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f642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65f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d8cb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2682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5942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89aaa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ea18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889e8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7bad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FixedCost_Output!$A$12:$A$21</c:f>
              <c:strCache>
                <c:ptCount val="10"/>
                <c:pt idx="0">
                  <c:v>Direct technical costs</c:v>
                </c:pt>
                <c:pt idx="1">
                  <c:v>Direct support costs</c:v>
                </c:pt>
                <c:pt idx="2">
                  <c:v>Recruitment, Benefits</c:v>
                </c:pt>
                <c:pt idx="3">
                  <c:v>Professional development and Training</c:v>
                </c:pt>
                <c:pt idx="4">
                  <c:v>Business development and Comms</c:v>
                </c:pt>
                <c:pt idx="5">
                  <c:v>Internal events and meetings</c:v>
                </c:pt>
                <c:pt idx="6">
                  <c:v>Professional services and governance</c:v>
                </c:pt>
                <c:pt idx="7">
                  <c:v>IT and Data</c:v>
                </c:pt>
                <c:pt idx="8">
                  <c:v>Office Running costs</c:v>
                </c:pt>
                <c:pt idx="9">
                  <c:v>Financial Charges</c:v>
                </c:pt>
              </c:strCache>
            </c:strRef>
          </c:cat>
          <c:val>
            <c:numRef>
              <c:f>FixedCost_Output!$E$12:$E$21</c:f>
              <c:numCache>
                <c:formatCode>#,##0;\(#,##0\);\-</c:formatCode>
                <c:ptCount val="10"/>
                <c:pt idx="0">
                  <c:v>3229268.55</c:v>
                </c:pt>
                <c:pt idx="1">
                  <c:v>1287623.65</c:v>
                </c:pt>
                <c:pt idx="2">
                  <c:v>89499.71</c:v>
                </c:pt>
                <c:pt idx="3">
                  <c:v>201138.6</c:v>
                </c:pt>
                <c:pt idx="4">
                  <c:v>99295.87</c:v>
                </c:pt>
                <c:pt idx="5">
                  <c:v>33622.84</c:v>
                </c:pt>
                <c:pt idx="6">
                  <c:v>684241.87</c:v>
                </c:pt>
                <c:pt idx="7">
                  <c:v>71930.54</c:v>
                </c:pt>
                <c:pt idx="8">
                  <c:v>194888.67</c:v>
                </c:pt>
                <c:pt idx="9">
                  <c:v>26331.8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Fixed Cost Actuals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FC_Budget_Vrs_Actual!$G$5:$R$5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FC_Budget_Vrs_Actual!$G$80:$R$80</c:f>
              <c:numCache>
                <c:formatCode>#,##0;\(#,##0\);\-</c:formatCode>
                <c:ptCount val="12"/>
                <c:pt idx="0">
                  <c:v>808249.14</c:v>
                </c:pt>
                <c:pt idx="1">
                  <c:v>859273.6</c:v>
                </c:pt>
                <c:pt idx="2">
                  <c:v>1111838.59</c:v>
                </c:pt>
                <c:pt idx="3">
                  <c:v>874919.42</c:v>
                </c:pt>
                <c:pt idx="4">
                  <c:v>982475.73</c:v>
                </c:pt>
                <c:pt idx="5">
                  <c:v>1164957.09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713289"/>
        <c:axId val="67802421"/>
      </c:lineChart>
      <c:catAx>
        <c:axId val="2971328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802421"/>
        <c:auto val="1"/>
        <c:lblAlgn val="ctr"/>
        <c:lblOffset val="100"/>
        <c:noMultiLvlLbl val="0"/>
      </c:catAx>
      <c:valAx>
        <c:axId val="67802421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71328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Assets vs Liabilities &amp; Equity by Quarter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Assets"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Balance_Sheet!$B$7:$E$7</c:f>
              <c:multiLvlStrCache>
                <c:ptCount val="1"/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Balance_Sheet!$B$17:$E$17</c:f>
              <c:numCache>
                <c:formatCode>General</c:formatCode>
                <c:ptCount val="4"/>
                <c:pt idx="1">
                  <c:v>11257421.3</c:v>
                </c:pt>
              </c:numCache>
            </c:numRef>
          </c:val>
        </c:ser>
        <c:ser>
          <c:idx val="1"/>
          <c:order val="1"/>
          <c:tx>
            <c:strRef>
              <c:f>"Total Liabilities"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Balance_Sheet!$B$7:$E$7</c:f>
              <c:multiLvlStrCache>
                <c:ptCount val="1"/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Balance_Sheet!$B$23:$E$23</c:f>
              <c:numCache>
                <c:formatCode>#,##0.00;\(#,##0.00\);\-</c:formatCode>
                <c:ptCount val="4"/>
                <c:pt idx="1">
                  <c:v>-3241948.95</c:v>
                </c:pt>
              </c:numCache>
            </c:numRef>
          </c:val>
        </c:ser>
        <c:ser>
          <c:idx val="2"/>
          <c:order val="2"/>
          <c:tx>
            <c:strRef>
              <c:f>"Total Capital and Reserves"</c:f>
              <c:strCache>
                <c:ptCount val="1"/>
                <c:pt idx="0">
                  <c:v>Total Capital and Reserves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Balance_Sheet!$B$7:$E$7</c:f>
              <c:multiLvlStrCache>
                <c:ptCount val="1"/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Balance_Sheet!$B$25:$E$25</c:f>
              <c:numCache>
                <c:formatCode>#,##0.00;\(#,##0.00\);\-</c:formatCode>
                <c:ptCount val="4"/>
                <c:pt idx="1">
                  <c:v>-8015472.35</c:v>
                </c:pt>
              </c:numCache>
            </c:numRef>
          </c:val>
        </c:ser>
        <c:gapWidth val="150"/>
        <c:overlap val="0"/>
        <c:axId val="88665405"/>
        <c:axId val="61070209"/>
      </c:barChart>
      <c:catAx>
        <c:axId val="886654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070209"/>
        <c:auto val="1"/>
        <c:lblAlgn val="ctr"/>
        <c:lblOffset val="100"/>
        <c:noMultiLvlLbl val="0"/>
      </c:catAx>
      <c:valAx>
        <c:axId val="61070209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665405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Working Capital by Quarter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"Working Capital"</c:f>
              <c:strCache>
                <c:ptCount val="1"/>
                <c:pt idx="0">
                  <c:v>Working Capital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Balance_Sheet!$B$7:$E$7</c:f>
              <c:multiLvlStrCache>
                <c:ptCount val="1"/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Balance_Sheet!$C$34:$F$34</c:f>
              <c:numCache>
                <c:formatCode>#,##0.00;\(#,##0.00\);\-</c:formatCode>
                <c:ptCount val="4"/>
                <c:pt idx="1">
                  <c:v>5711207.86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522972"/>
        <c:axId val="35343565"/>
      </c:lineChart>
      <c:catAx>
        <c:axId val="515229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343565"/>
        <c:auto val="1"/>
        <c:lblAlgn val="ctr"/>
        <c:lblOffset val="100"/>
        <c:noMultiLvlLbl val="0"/>
      </c:catAx>
      <c:valAx>
        <c:axId val="35343565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522972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Months of Core Cost Cover (target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"Months Cover"</c:f>
              <c:strCache>
                <c:ptCount val="1"/>
                <c:pt idx="0">
                  <c:v>Months Cover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Balance_Sheet!$B$7:$E$7</c:f>
              <c:multiLvlStrCache>
                <c:ptCount val="1"/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Balance_Sheet!$C$36:$F$36</c:f>
              <c:numCache>
                <c:formatCode>#,##0.00;\(#,##0.00\);\-</c:formatCode>
                <c:ptCount val="4"/>
                <c:pt idx="1">
                  <c:v>5.77377388356544</c:v>
                </c:pt>
              </c:numCache>
            </c:numRef>
          </c:val>
        </c:ser>
        <c:gapWidth val="150"/>
        <c:overlap val="0"/>
        <c:axId val="95593951"/>
        <c:axId val="45483666"/>
      </c:barChart>
      <c:catAx>
        <c:axId val="95593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483666"/>
        <c:auto val="1"/>
        <c:lblAlgn val="ctr"/>
        <c:lblOffset val="100"/>
        <c:noMultiLvlLbl val="0"/>
      </c:catAx>
      <c:valAx>
        <c:axId val="45483666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59395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1"/>
        <c:ser>
          <c:idx val="0"/>
          <c:order val="0"/>
          <c:tx>
            <c:strRef>
              <c:f>TB_Review!$F$10</c:f>
              <c:strCache>
                <c:ptCount val="1"/>
                <c:pt idx="0">
                  <c:v>Movement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2557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f642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65f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d8cb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2682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5942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89aaa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ea18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889e8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7bad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TB_Review!$C$11:$C$20</c:f>
              <c:strCache>
                <c:ptCount val="10"/>
                <c:pt idx="0">
                  <c:v>Consultancy (Fees Contract) Income</c:v>
                </c:pt>
                <c:pt idx="1">
                  <c:v>Consultancy (PG+PC Contract Fees) Income</c:v>
                </c:pt>
                <c:pt idx="2">
                  <c:v>Technical - Salaries</c:v>
                </c:pt>
                <c:pt idx="3">
                  <c:v>INTER COMPANY-PIA- Proforest Initiative Africa (PIGH)</c:v>
                </c:pt>
                <c:pt idx="4">
                  <c:v>Debtors Control Account</c:v>
                </c:pt>
                <c:pt idx="5">
                  <c:v>Recoverable Project Expenses</c:v>
                </c:pt>
                <c:pt idx="6">
                  <c:v>Grant Income</c:v>
                </c:pt>
                <c:pt idx="7">
                  <c:v>Support - Salaries</c:v>
                </c:pt>
                <c:pt idx="8">
                  <c:v>Recovered Project Expenses</c:v>
                </c:pt>
                <c:pt idx="9">
                  <c:v>Sub Contractors Fees</c:v>
                </c:pt>
              </c:strCache>
            </c:strRef>
          </c:cat>
          <c:val>
            <c:numRef>
              <c:f>TB_Review!$F$11:$F$20</c:f>
              <c:numCache>
                <c:formatCode>#,##0;\(#,##0\);\-</c:formatCode>
                <c:ptCount val="10"/>
                <c:pt idx="0">
                  <c:v>-2260770.6</c:v>
                </c:pt>
                <c:pt idx="1">
                  <c:v>-2110139.6</c:v>
                </c:pt>
                <c:pt idx="2">
                  <c:v>1365569.39</c:v>
                </c:pt>
                <c:pt idx="3">
                  <c:v>1180853.75</c:v>
                </c:pt>
                <c:pt idx="4">
                  <c:v>1056494.48</c:v>
                </c:pt>
                <c:pt idx="5">
                  <c:v>816225.52</c:v>
                </c:pt>
                <c:pt idx="6">
                  <c:v>-612932.74</c:v>
                </c:pt>
                <c:pt idx="7">
                  <c:v>537714.27</c:v>
                </c:pt>
                <c:pt idx="8">
                  <c:v>-532493.61</c:v>
                </c:pt>
                <c:pt idx="9">
                  <c:v>466322.22</c:v>
                </c:pt>
              </c:numCache>
            </c:numRef>
          </c:val>
        </c:ser>
        <c:gapWidth val="150"/>
        <c:overlap val="0"/>
        <c:axId val="92508705"/>
        <c:axId val="19451167"/>
      </c:barChart>
      <c:catAx>
        <c:axId val="925087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451167"/>
        <c:auto val="1"/>
        <c:lblAlgn val="ctr"/>
        <c:lblOffset val="100"/>
        <c:noMultiLvlLbl val="0"/>
      </c:catAx>
      <c:valAx>
        <c:axId val="19451167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50870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Project Forecast by Quarter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"Gross Forecast"</c:f>
              <c:strCache>
                <c:ptCount val="1"/>
                <c:pt idx="0">
                  <c:v>Gross Forecast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Annual_Summary!$A$14:$A$17</c:f>
              <c:strCache>
                <c:ptCount val="4"/>
                <c:pt idx="0">
                  <c:v>2026-Q1</c:v>
                </c:pt>
                <c:pt idx="1">
                  <c:v>2026-Q2</c:v>
                </c:pt>
                <c:pt idx="2">
                  <c:v>2026-Q3</c:v>
                </c:pt>
                <c:pt idx="3">
                  <c:v>2026-Q4</c:v>
                </c:pt>
              </c:strCache>
            </c:strRef>
          </c:cat>
          <c:val>
            <c:numRef>
              <c:f>Annual_Summary!$B$14:$B$17</c:f>
              <c:numCache>
                <c:formatCode>#,##0;[RED]\(#,##0\);\-</c:formatCode>
                <c:ptCount val="4"/>
                <c:pt idx="1">
                  <c:v>16502774.617</c:v>
                </c:pt>
              </c:numCache>
            </c:numRef>
          </c:val>
        </c:ser>
        <c:ser>
          <c:idx val="1"/>
          <c:order val="1"/>
          <c:tx>
            <c:strRef>
              <c:f>"Weighted Forecast"</c:f>
              <c:strCache>
                <c:ptCount val="1"/>
                <c:pt idx="0">
                  <c:v>Weighted Forecast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Annual_Summary!$A$14:$A$17</c:f>
              <c:strCache>
                <c:ptCount val="4"/>
                <c:pt idx="0">
                  <c:v>2026-Q1</c:v>
                </c:pt>
                <c:pt idx="1">
                  <c:v>2026-Q2</c:v>
                </c:pt>
                <c:pt idx="2">
                  <c:v>2026-Q3</c:v>
                </c:pt>
                <c:pt idx="3">
                  <c:v>2026-Q4</c:v>
                </c:pt>
              </c:strCache>
            </c:strRef>
          </c:cat>
          <c:val>
            <c:numRef>
              <c:f>Annual_Summary!$C$14:$C$17</c:f>
              <c:numCache>
                <c:formatCode>#,##0;[RED]\(#,##0\);\-</c:formatCode>
                <c:ptCount val="4"/>
                <c:pt idx="1">
                  <c:v>15545817.517</c:v>
                </c:pt>
              </c:numCache>
            </c:numRef>
          </c:val>
        </c:ser>
        <c:ser>
          <c:idx val="2"/>
          <c:order val="2"/>
          <c:tx>
            <c:strRef>
              <c:f>"WIP YTD"</c:f>
              <c:strCache>
                <c:ptCount val="1"/>
                <c:pt idx="0">
                  <c:v>WIP YTD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Annual_Summary!$A$14:$A$17</c:f>
              <c:strCache>
                <c:ptCount val="4"/>
                <c:pt idx="0">
                  <c:v>2026-Q1</c:v>
                </c:pt>
                <c:pt idx="1">
                  <c:v>2026-Q2</c:v>
                </c:pt>
                <c:pt idx="2">
                  <c:v>2026-Q3</c:v>
                </c:pt>
                <c:pt idx="3">
                  <c:v>2026-Q4</c:v>
                </c:pt>
              </c:strCache>
            </c:strRef>
          </c:cat>
          <c:val>
            <c:numRef>
              <c:f>Annual_Summary!$D$14:$D$17</c:f>
              <c:numCache>
                <c:formatCode>#,##0;[RED]\(#,##0\);\-</c:formatCode>
                <c:ptCount val="4"/>
                <c:pt idx="1">
                  <c:v>7459200.50445</c:v>
                </c:pt>
              </c:numCache>
            </c:numRef>
          </c:val>
        </c:ser>
        <c:gapWidth val="150"/>
        <c:overlap val="0"/>
        <c:axId val="1557065"/>
        <c:axId val="55731067"/>
      </c:barChart>
      <c:catAx>
        <c:axId val="155706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731067"/>
        <c:crosses val="autoZero"/>
        <c:auto val="1"/>
        <c:lblAlgn val="ctr"/>
        <c:lblOffset val="100"/>
        <c:noMultiLvlLbl val="0"/>
      </c:catAx>
      <c:valAx>
        <c:axId val="5573106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;[RED]\(#,##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570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Working Capital by Quarter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"Working Capital"</c:f>
              <c:strCache>
                <c:ptCount val="1"/>
                <c:pt idx="0">
                  <c:v>Working Capital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Annual_Summary!$F$14:$F$17</c:f>
              <c:strCache>
                <c:ptCount val="4"/>
                <c:pt idx="0">
                  <c:v>2026-Q1</c:v>
                </c:pt>
                <c:pt idx="1">
                  <c:v>2026-Q2</c:v>
                </c:pt>
                <c:pt idx="2">
                  <c:v>2026-Q3</c:v>
                </c:pt>
                <c:pt idx="3">
                  <c:v>2026-Q4</c:v>
                </c:pt>
              </c:strCache>
            </c:strRef>
          </c:cat>
          <c:val>
            <c:numRef>
              <c:f>Annual_Summary!$G$14:$G$17</c:f>
              <c:numCache>
                <c:formatCode>#,##0;[RED]\(#,##0\);\-</c:formatCode>
                <c:ptCount val="4"/>
                <c:pt idx="1">
                  <c:v>5711207.86</c:v>
                </c:pt>
              </c:numCache>
            </c:numRef>
          </c:val>
        </c:ser>
        <c:gapWidth val="150"/>
        <c:overlap val="0"/>
        <c:axId val="70295612"/>
        <c:axId val="29750943"/>
      </c:barChart>
      <c:catAx>
        <c:axId val="702956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750943"/>
        <c:crosses val="autoZero"/>
        <c:auto val="1"/>
        <c:lblAlgn val="ctr"/>
        <c:lblOffset val="100"/>
        <c:noMultiLvlLbl val="0"/>
      </c:catAx>
      <c:valAx>
        <c:axId val="2975094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;[RED]\(#,##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295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QMR Budget vs Forecast / Actual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"Budget / Target"</c:f>
              <c:strCache>
                <c:ptCount val="1"/>
                <c:pt idx="0">
                  <c:v>Budget / Target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Entity_QMR!$J$4:$J$7</c:f>
              <c:strCache>
                <c:ptCount val="4"/>
                <c:pt idx="0">
                  <c:v>Project Income</c:v>
                </c:pt>
                <c:pt idx="1">
                  <c:v>Programme Income</c:v>
                </c:pt>
                <c:pt idx="2">
                  <c:v>Fixed Costs</c:v>
                </c:pt>
                <c:pt idx="3">
                  <c:v>Surplus</c:v>
                </c:pt>
              </c:strCache>
            </c:strRef>
          </c:cat>
          <c:val>
            <c:numRef>
              <c:f>Entity_QMR!$K$4:$K$7</c:f>
              <c:numCache>
                <c:formatCode>#,##0;[RED]\(#,##0\);\-</c:formatCode>
                <c:ptCount val="4"/>
                <c:pt idx="0">
                  <c:v>9794783.55054101</c:v>
                </c:pt>
                <c:pt idx="1">
                  <c:v>3341189.81272417</c:v>
                </c:pt>
                <c:pt idx="2">
                  <c:v>13774371.53</c:v>
                </c:pt>
                <c:pt idx="3">
                  <c:v>788485.98326518</c:v>
                </c:pt>
              </c:numCache>
            </c:numRef>
          </c:val>
        </c:ser>
        <c:ser>
          <c:idx val="1"/>
          <c:order val="1"/>
          <c:tx>
            <c:strRef>
              <c:f>"Forecast / Actual"</c:f>
              <c:strCache>
                <c:ptCount val="1"/>
                <c:pt idx="0">
                  <c:v>Forecast / Actual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Entity_QMR!$J$4:$J$7</c:f>
              <c:strCache>
                <c:ptCount val="4"/>
                <c:pt idx="0">
                  <c:v>Project Income</c:v>
                </c:pt>
                <c:pt idx="1">
                  <c:v>Programme Income</c:v>
                </c:pt>
                <c:pt idx="2">
                  <c:v>Fixed Costs</c:v>
                </c:pt>
                <c:pt idx="3">
                  <c:v>Surplus</c:v>
                </c:pt>
              </c:strCache>
            </c:strRef>
          </c:cat>
          <c:val>
            <c:numRef>
              <c:f>Entity_QMR!$L$4:$L$7</c:f>
              <c:numCache>
                <c:formatCode>#,##0;[RED]\(#,##0\);\-</c:formatCode>
                <c:ptCount val="4"/>
                <c:pt idx="0">
                  <c:v>15545817.517</c:v>
                </c:pt>
                <c:pt idx="1">
                  <c:v>0</c:v>
                </c:pt>
                <c:pt idx="2">
                  <c:v>13774371.53</c:v>
                </c:pt>
                <c:pt idx="3">
                  <c:v>1771445.987</c:v>
                </c:pt>
              </c:numCache>
            </c:numRef>
          </c:val>
        </c:ser>
        <c:gapWidth val="150"/>
        <c:overlap val="0"/>
        <c:axId val="33615004"/>
        <c:axId val="98593295"/>
      </c:barChart>
      <c:catAx>
        <c:axId val="3361500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593295"/>
        <c:crosses val="autoZero"/>
        <c:auto val="1"/>
        <c:lblAlgn val="ctr"/>
        <c:lblOffset val="100"/>
        <c:noMultiLvlLbl val="0"/>
      </c:catAx>
      <c:valAx>
        <c:axId val="9859329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6150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Entity Contribution to Group Results (GHS)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Income"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Consolidation!$M$23:$M$26</c:f>
              <c:strCache>
                <c:ptCount val="4"/>
                <c:pt idx="0">
                  <c:v>PC Ghana</c:v>
                </c:pt>
                <c:pt idx="1">
                  <c:v>Proforest Initiative</c:v>
                </c:pt>
                <c:pt idx="2">
                  <c:v>Proforest Co-develop</c:v>
                </c:pt>
                <c:pt idx="3">
                  <c:v>Proforest Cameroon</c:v>
                </c:pt>
              </c:strCache>
            </c:strRef>
          </c:cat>
          <c:val>
            <c:numRef>
              <c:f>Consolidation!$N$23:$N$26</c:f>
              <c:numCache>
                <c:formatCode>#,##0;[RED]\(#,##0\);\-</c:formatCode>
                <c:ptCount val="4"/>
                <c:pt idx="0">
                  <c:v>15545817.517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"Fixed Costs"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Consolidation!$M$23:$M$26</c:f>
              <c:strCache>
                <c:ptCount val="4"/>
                <c:pt idx="0">
                  <c:v>PC Ghana</c:v>
                </c:pt>
                <c:pt idx="1">
                  <c:v>Proforest Initiative</c:v>
                </c:pt>
                <c:pt idx="2">
                  <c:v>Proforest Co-develop</c:v>
                </c:pt>
                <c:pt idx="3">
                  <c:v>Proforest Cameroon</c:v>
                </c:pt>
              </c:strCache>
            </c:strRef>
          </c:cat>
          <c:val>
            <c:numRef>
              <c:f>Consolidation!$O$23:$O$26</c:f>
              <c:numCache>
                <c:formatCode>#,##0;[RED]\(#,##0\);\-</c:formatCode>
                <c:ptCount val="4"/>
                <c:pt idx="0">
                  <c:v>5801713.57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"Surplus"</c:f>
              <c:strCache>
                <c:ptCount val="1"/>
                <c:pt idx="0">
                  <c:v>Surplus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Consolidation!$M$23:$M$26</c:f>
              <c:strCache>
                <c:ptCount val="4"/>
                <c:pt idx="0">
                  <c:v>PC Ghana</c:v>
                </c:pt>
                <c:pt idx="1">
                  <c:v>Proforest Initiative</c:v>
                </c:pt>
                <c:pt idx="2">
                  <c:v>Proforest Co-develop</c:v>
                </c:pt>
                <c:pt idx="3">
                  <c:v>Proforest Cameroon</c:v>
                </c:pt>
              </c:strCache>
            </c:strRef>
          </c:cat>
          <c:val>
            <c:numRef>
              <c:f>Consolidation!$P$23:$P$26</c:f>
              <c:numCache>
                <c:formatCode>#,##0;[RED]\(#,##0\);\-</c:formatCode>
                <c:ptCount val="4"/>
                <c:pt idx="0">
                  <c:v>1657486.93445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"Working Capital"</c:f>
              <c:strCache>
                <c:ptCount val="1"/>
                <c:pt idx="0">
                  <c:v>Working Capital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numFmt formatCode="#,##0;[RED]\(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Consolidation!$M$23:$M$26</c:f>
              <c:strCache>
                <c:ptCount val="4"/>
                <c:pt idx="0">
                  <c:v>PC Ghana</c:v>
                </c:pt>
                <c:pt idx="1">
                  <c:v>Proforest Initiative</c:v>
                </c:pt>
                <c:pt idx="2">
                  <c:v>Proforest Co-develop</c:v>
                </c:pt>
                <c:pt idx="3">
                  <c:v>Proforest Cameroon</c:v>
                </c:pt>
              </c:strCache>
            </c:strRef>
          </c:cat>
          <c:val>
            <c:numRef>
              <c:f>Consolidation!$Q$23:$Q$26</c:f>
              <c:numCache>
                <c:formatCode>#,##0;[RED]\(#,##0\);\-</c:formatCode>
                <c:ptCount val="4"/>
                <c:pt idx="0">
                  <c:v>5711207.86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8736076"/>
        <c:axId val="29160012"/>
      </c:barChart>
      <c:catAx>
        <c:axId val="8873607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160012"/>
        <c:crosses val="autoZero"/>
        <c:auto val="1"/>
        <c:lblAlgn val="ctr"/>
        <c:lblOffset val="100"/>
        <c:noMultiLvlLbl val="0"/>
      </c:catAx>
      <c:valAx>
        <c:axId val="2916001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;[RED]\(#,##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7360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0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10</xdr:col>
      <xdr:colOff>943560</xdr:colOff>
      <xdr:row>18</xdr:row>
      <xdr:rowOff>129960</xdr:rowOff>
    </xdr:to>
    <xdr:graphicFrame>
      <xdr:nvGraphicFramePr>
        <xdr:cNvPr id="0" name="Chart 1"/>
        <xdr:cNvGraphicFramePr/>
      </xdr:nvGraphicFramePr>
      <xdr:xfrm>
        <a:off x="11023560" y="1343160"/>
        <a:ext cx="4499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10</xdr:col>
      <xdr:colOff>943560</xdr:colOff>
      <xdr:row>34</xdr:row>
      <xdr:rowOff>153720</xdr:rowOff>
    </xdr:to>
    <xdr:graphicFrame>
      <xdr:nvGraphicFramePr>
        <xdr:cNvPr id="1" name="Chart 2"/>
        <xdr:cNvGraphicFramePr/>
      </xdr:nvGraphicFramePr>
      <xdr:xfrm>
        <a:off x="11023560" y="3933720"/>
        <a:ext cx="44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16</xdr:row>
      <xdr:rowOff>0</xdr:rowOff>
    </xdr:from>
    <xdr:to>
      <xdr:col>15</xdr:col>
      <xdr:colOff>126720</xdr:colOff>
      <xdr:row>33</xdr:row>
      <xdr:rowOff>125280</xdr:rowOff>
    </xdr:to>
    <xdr:graphicFrame>
      <xdr:nvGraphicFramePr>
        <xdr:cNvPr id="2" name="Chart 1"/>
        <xdr:cNvGraphicFramePr/>
      </xdr:nvGraphicFramePr>
      <xdr:xfrm>
        <a:off x="14005080" y="30862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16</xdr:row>
      <xdr:rowOff>0</xdr:rowOff>
    </xdr:from>
    <xdr:to>
      <xdr:col>21</xdr:col>
      <xdr:colOff>564120</xdr:colOff>
      <xdr:row>33</xdr:row>
      <xdr:rowOff>125280</xdr:rowOff>
    </xdr:to>
    <xdr:graphicFrame>
      <xdr:nvGraphicFramePr>
        <xdr:cNvPr id="3" name="Chart 2"/>
        <xdr:cNvGraphicFramePr/>
      </xdr:nvGraphicFramePr>
      <xdr:xfrm>
        <a:off x="20075400" y="308628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36</xdr:row>
      <xdr:rowOff>102960</xdr:rowOff>
    </xdr:from>
    <xdr:to>
      <xdr:col>7</xdr:col>
      <xdr:colOff>1038960</xdr:colOff>
      <xdr:row>55</xdr:row>
      <xdr:rowOff>12600</xdr:rowOff>
    </xdr:to>
    <xdr:graphicFrame>
      <xdr:nvGraphicFramePr>
        <xdr:cNvPr id="4" name="Chart 3"/>
        <xdr:cNvGraphicFramePr/>
      </xdr:nvGraphicFramePr>
      <xdr:xfrm>
        <a:off x="7912080" y="6829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55</xdr:row>
      <xdr:rowOff>167400</xdr:rowOff>
    </xdr:from>
    <xdr:to>
      <xdr:col>3</xdr:col>
      <xdr:colOff>247680</xdr:colOff>
      <xdr:row>72</xdr:row>
      <xdr:rowOff>67680</xdr:rowOff>
    </xdr:to>
    <xdr:graphicFrame>
      <xdr:nvGraphicFramePr>
        <xdr:cNvPr id="5" name="Chart 1"/>
        <xdr:cNvGraphicFramePr/>
      </xdr:nvGraphicFramePr>
      <xdr:xfrm>
        <a:off x="0" y="100011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55</xdr:row>
      <xdr:rowOff>167400</xdr:rowOff>
    </xdr:from>
    <xdr:to>
      <xdr:col>11</xdr:col>
      <xdr:colOff>1173600</xdr:colOff>
      <xdr:row>72</xdr:row>
      <xdr:rowOff>67680</xdr:rowOff>
    </xdr:to>
    <xdr:graphicFrame>
      <xdr:nvGraphicFramePr>
        <xdr:cNvPr id="6" name="Chart 2"/>
        <xdr:cNvGraphicFramePr/>
      </xdr:nvGraphicFramePr>
      <xdr:xfrm>
        <a:off x="14903280" y="100011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72</xdr:row>
      <xdr:rowOff>102960</xdr:rowOff>
    </xdr:from>
    <xdr:to>
      <xdr:col>3</xdr:col>
      <xdr:colOff>247680</xdr:colOff>
      <xdr:row>97</xdr:row>
      <xdr:rowOff>41040</xdr:rowOff>
    </xdr:to>
    <xdr:graphicFrame>
      <xdr:nvGraphicFramePr>
        <xdr:cNvPr id="7" name="Chart 3"/>
        <xdr:cNvGraphicFramePr/>
      </xdr:nvGraphicFramePr>
      <xdr:xfrm>
        <a:off x="0" y="129160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72</xdr:row>
      <xdr:rowOff>102960</xdr:rowOff>
    </xdr:from>
    <xdr:to>
      <xdr:col>13</xdr:col>
      <xdr:colOff>187920</xdr:colOff>
      <xdr:row>97</xdr:row>
      <xdr:rowOff>41040</xdr:rowOff>
    </xdr:to>
    <xdr:graphicFrame>
      <xdr:nvGraphicFramePr>
        <xdr:cNvPr id="8" name="Chart 4"/>
        <xdr:cNvGraphicFramePr/>
      </xdr:nvGraphicFramePr>
      <xdr:xfrm>
        <a:off x="14903280" y="129160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17</xdr:row>
      <xdr:rowOff>141120</xdr:rowOff>
    </xdr:from>
    <xdr:to>
      <xdr:col>18</xdr:col>
      <xdr:colOff>525600</xdr:colOff>
      <xdr:row>34</xdr:row>
      <xdr:rowOff>41400</xdr:rowOff>
    </xdr:to>
    <xdr:graphicFrame>
      <xdr:nvGraphicFramePr>
        <xdr:cNvPr id="9" name="Chart 5"/>
        <xdr:cNvGraphicFramePr/>
      </xdr:nvGraphicFramePr>
      <xdr:xfrm>
        <a:off x="19755000" y="3314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160200</xdr:rowOff>
    </xdr:from>
    <xdr:to>
      <xdr:col>3</xdr:col>
      <xdr:colOff>1154520</xdr:colOff>
      <xdr:row>51</xdr:row>
      <xdr:rowOff>79200</xdr:rowOff>
    </xdr:to>
    <xdr:graphicFrame>
      <xdr:nvGraphicFramePr>
        <xdr:cNvPr id="10" name="Chart 1"/>
        <xdr:cNvGraphicFramePr/>
      </xdr:nvGraphicFramePr>
      <xdr:xfrm>
        <a:off x="0" y="5686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160200</xdr:rowOff>
    </xdr:from>
    <xdr:to>
      <xdr:col>10</xdr:col>
      <xdr:colOff>852840</xdr:colOff>
      <xdr:row>51</xdr:row>
      <xdr:rowOff>79200</xdr:rowOff>
    </xdr:to>
    <xdr:graphicFrame>
      <xdr:nvGraphicFramePr>
        <xdr:cNvPr id="11" name="Chart 2"/>
        <xdr:cNvGraphicFramePr/>
      </xdr:nvGraphicFramePr>
      <xdr:xfrm>
        <a:off x="10401480" y="568656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76320</xdr:rowOff>
    </xdr:from>
    <xdr:to>
      <xdr:col>3</xdr:col>
      <xdr:colOff>1154520</xdr:colOff>
      <xdr:row>68</xdr:row>
      <xdr:rowOff>151560</xdr:rowOff>
    </xdr:to>
    <xdr:graphicFrame>
      <xdr:nvGraphicFramePr>
        <xdr:cNvPr id="12" name="Chart 3"/>
        <xdr:cNvGraphicFramePr/>
      </xdr:nvGraphicFramePr>
      <xdr:xfrm>
        <a:off x="0" y="94582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49320</xdr:rowOff>
    </xdr:from>
    <xdr:to>
      <xdr:col>1</xdr:col>
      <xdr:colOff>327960</xdr:colOff>
      <xdr:row>57</xdr:row>
      <xdr:rowOff>134280</xdr:rowOff>
    </xdr:to>
    <xdr:graphicFrame>
      <xdr:nvGraphicFramePr>
        <xdr:cNvPr id="13" name="Chart 1"/>
        <xdr:cNvGraphicFramePr/>
      </xdr:nvGraphicFramePr>
      <xdr:xfrm>
        <a:off x="0" y="70675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39</xdr:row>
      <xdr:rowOff>49320</xdr:rowOff>
    </xdr:from>
    <xdr:to>
      <xdr:col>13</xdr:col>
      <xdr:colOff>401760</xdr:colOff>
      <xdr:row>57</xdr:row>
      <xdr:rowOff>134280</xdr:rowOff>
    </xdr:to>
    <xdr:graphicFrame>
      <xdr:nvGraphicFramePr>
        <xdr:cNvPr id="14" name="Chart 2"/>
        <xdr:cNvGraphicFramePr/>
      </xdr:nvGraphicFramePr>
      <xdr:xfrm>
        <a:off x="15557400" y="70675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57</xdr:row>
      <xdr:rowOff>152280</xdr:rowOff>
    </xdr:from>
    <xdr:to>
      <xdr:col>0</xdr:col>
      <xdr:colOff>4319640</xdr:colOff>
      <xdr:row>76</xdr:row>
      <xdr:rowOff>62280</xdr:rowOff>
    </xdr:to>
    <xdr:graphicFrame>
      <xdr:nvGraphicFramePr>
        <xdr:cNvPr id="15" name="Chart 3"/>
        <xdr:cNvGraphicFramePr/>
      </xdr:nvGraphicFramePr>
      <xdr:xfrm>
        <a:off x="0" y="103251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</xdr:row>
      <xdr:rowOff>0</xdr:rowOff>
    </xdr:from>
    <xdr:to>
      <xdr:col>10</xdr:col>
      <xdr:colOff>585720</xdr:colOff>
      <xdr:row>26</xdr:row>
      <xdr:rowOff>118080</xdr:rowOff>
    </xdr:to>
    <xdr:graphicFrame>
      <xdr:nvGraphicFramePr>
        <xdr:cNvPr id="16" name="Chart 1"/>
        <xdr:cNvGraphicFramePr/>
      </xdr:nvGraphicFramePr>
      <xdr:xfrm>
        <a:off x="12445920" y="15811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10</xdr:row>
      <xdr:rowOff>82440</xdr:rowOff>
    </xdr:from>
    <xdr:to>
      <xdr:col>15</xdr:col>
      <xdr:colOff>758520</xdr:colOff>
      <xdr:row>26</xdr:row>
      <xdr:rowOff>82080</xdr:rowOff>
    </xdr:to>
    <xdr:graphicFrame>
      <xdr:nvGraphicFramePr>
        <xdr:cNvPr id="17" name="Chart 1"/>
        <xdr:cNvGraphicFramePr/>
      </xdr:nvGraphicFramePr>
      <xdr:xfrm>
        <a:off x="12623760" y="2352600"/>
        <a:ext cx="94359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10</xdr:row>
      <xdr:rowOff>82440</xdr:rowOff>
    </xdr:from>
    <xdr:to>
      <xdr:col>23</xdr:col>
      <xdr:colOff>758520</xdr:colOff>
      <xdr:row>26</xdr:row>
      <xdr:rowOff>82080</xdr:rowOff>
    </xdr:to>
    <xdr:graphicFrame>
      <xdr:nvGraphicFramePr>
        <xdr:cNvPr id="18" name="Chart 2"/>
        <xdr:cNvGraphicFramePr/>
      </xdr:nvGraphicFramePr>
      <xdr:xfrm>
        <a:off x="22060080" y="2352600"/>
        <a:ext cx="60699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7</xdr:row>
      <xdr:rowOff>118080</xdr:rowOff>
    </xdr:from>
    <xdr:to>
      <xdr:col>17</xdr:col>
      <xdr:colOff>758520</xdr:colOff>
      <xdr:row>22</xdr:row>
      <xdr:rowOff>93600</xdr:rowOff>
    </xdr:to>
    <xdr:graphicFrame>
      <xdr:nvGraphicFramePr>
        <xdr:cNvPr id="19" name="Chart 1"/>
        <xdr:cNvGraphicFramePr/>
      </xdr:nvGraphicFramePr>
      <xdr:xfrm>
        <a:off x="16090920" y="1581120"/>
        <a:ext cx="9531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153720</xdr:rowOff>
    </xdr:from>
    <xdr:to>
      <xdr:col>21</xdr:col>
      <xdr:colOff>758520</xdr:colOff>
      <xdr:row>19</xdr:row>
      <xdr:rowOff>88560</xdr:rowOff>
    </xdr:to>
    <xdr:graphicFrame>
      <xdr:nvGraphicFramePr>
        <xdr:cNvPr id="20" name="Chart 1"/>
        <xdr:cNvGraphicFramePr/>
      </xdr:nvGraphicFramePr>
      <xdr:xfrm>
        <a:off x="18361080" y="723960"/>
        <a:ext cx="758772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gent_Exception_Log" displayName="Agent_Exception_Log" ref="A18:H19" headerRowCount="1" totalsRowCount="0" totalsRowShown="0">
  <tableColumns count="8">
    <tableColumn id="1" name="Run_ID"/>
    <tableColumn id="2" name="Entity"/>
    <tableColumn id="3" name="Period"/>
    <tableColumn id="4" name="Agent"/>
    <tableColumn id="5" name="Severity"/>
    <tableColumn id="6" name="Issue"/>
    <tableColumn id="7" name="Owner"/>
    <tableColumn id="8" name="Status"/>
  </tableColumns>
</table>
</file>

<file path=xl/tables/table2.xml><?xml version="1.0" encoding="utf-8"?>
<table xmlns="http://schemas.openxmlformats.org/spreadsheetml/2006/main" id="2" name="Agent_Workflow" displayName="Agent_Workflow" ref="A3:G13" headerRowCount="1" totalsRowCount="0" totalsRowShown="0">
  <tableColumns count="7">
    <tableColumn id="1" name="Step"/>
    <tableColumn id="2" name="Agent"/>
    <tableColumn id="3" name="Inputs"/>
    <tableColumn id="4" name="Action"/>
    <tableColumn id="5" name="Objective_Gate"/>
    <tableColumn id="6" name="Output"/>
    <tableColumn id="7" name="Failure_Route"/>
  </tableColumns>
</table>
</file>

<file path=xl/tables/table3.xml><?xml version="1.0" encoding="utf-8"?>
<table xmlns="http://schemas.openxmlformats.org/spreadsheetml/2006/main" id="3" name="Consolidation_Entity_Summary" displayName="Consolidation_Entity_Summary" ref="A5:J9" headerRowCount="1" totalsRowCount="0" totalsRowShown="0">
  <tableColumns count="10">
    <tableColumn id="1" name="Entity_ID"/>
    <tableColumn id="2" name="Entity_Name"/>
    <tableColumn id="3" name="Local_Currency"/>
    <tableColumn id="4" name="Average_FX_to_GHS"/>
    <tableColumn id="5" name="Closing_FX_to_GHS"/>
    <tableColumn id="6" name="Total_Income_GHS"/>
    <tableColumn id="7" name="Fixed_Costs_GHS"/>
    <tableColumn id="8" name="Surplus_GHS"/>
    <tableColumn id="9" name="Working_Capital_GHS"/>
    <tableColumn id="10" name="Data_Status"/>
  </tableColumns>
</table>
</file>

<file path=xl/tables/table4.xml><?xml version="1.0" encoding="utf-8"?>
<table xmlns="http://schemas.openxmlformats.org/spreadsheetml/2006/main" id="4" name="Entity_Master" displayName="Entity_Master" ref="A33:F37" headerRowCount="1" totalsRowCount="0" totalsRowShown="0">
  <tableColumns count="6">
    <tableColumn id="1" name="Entity_ID"/>
    <tableColumn id="2" name="Entity_Name"/>
    <tableColumn id="3" name="Local_Currency"/>
    <tableColumn id="4" name="Average_FX_to_GHS"/>
    <tableColumn id="5" name="Closing_FX_to_GHS"/>
    <tableColumn id="6" name="Data_Status"/>
  </tableColumns>
</table>
</file>

<file path=xl/tables/table5.xml><?xml version="1.0" encoding="utf-8"?>
<table xmlns="http://schemas.openxmlformats.org/spreadsheetml/2006/main" id="5" name="Entity_QMR_Output" displayName="Entity_QMR_Output" ref="A35:L50" headerRowCount="1" totalsRowCount="0" totalsRowShown="0">
  <tableColumns count="12">
    <tableColumn id="1" name="Entity"/>
    <tableColumn id="2" name="Period_End"/>
    <tableColumn id="3" name="Metric"/>
    <tableColumn id="4" name="Workstream"/>
    <tableColumn id="5" name="Value_Local"/>
    <tableColumn id="6" name="Currency"/>
    <tableColumn id="7" name="Average_FX_to_GHS"/>
    <tableColumn id="8" name="Closing_FX_to_GHS"/>
    <tableColumn id="9" name="Translation_Basis"/>
    <tableColumn id="10" name="Value_GHS"/>
    <tableColumn id="11" name="Approval_Status"/>
    <tableColumn id="12" name="Source_Output"/>
  </tableColumns>
</table>
</file>

<file path=xl/tables/table6.xml><?xml version="1.0" encoding="utf-8"?>
<table xmlns="http://schemas.openxmlformats.org/spreadsheetml/2006/main" id="6" name="Entity_QMR_Summary" displayName="Entity_QMR_Summary" ref="A5:H13" headerRowCount="1" totalsRowCount="0" totalsRowShown="0">
  <tableColumns count="8">
    <tableColumn id="1" name="Metric"/>
    <tableColumn id="2" name="Budget_FY"/>
    <tableColumn id="3" name="Forecast_FY_Net"/>
    <tableColumn id="4" name="Secured_or_Forecast"/>
    <tableColumn id="5" name="WIP_or_Actual_YTD"/>
    <tableColumn id="6" name="Variance_to_Budget"/>
    <tableColumn id="7" name="Performance_Ratio"/>
    <tableColumn id="8" name="Status"/>
  </tableColumns>
</table>
</file>

<file path=xl/tables/table7.xml><?xml version="1.0" encoding="utf-8"?>
<table xmlns="http://schemas.openxmlformats.org/spreadsheetml/2006/main" id="7" name="FC_Budget_Vrs_Actual" displayName="FC_Budget_Vrs_Actual" ref="A5:AG79" headerRowCount="1" totalsRowCount="0" totalsRowShown="0">
  <autoFilter ref="A5:AG79"/>
  <tableColumns count="33">
    <tableColumn id="1" name="Nom_Code"/>
    <tableColumn id="2" name="Item"/>
    <tableColumn id="3" name="Category"/>
    <tableColumn id="4" name="Cost_Nature"/>
    <tableColumn id="5" name="Annual_Budget"/>
    <tableColumn id="6" name="YTD_Budget"/>
    <tableColumn id="7" name="Jan"/>
    <tableColumn id="8" name="Feb"/>
    <tableColumn id="9" name="Mar"/>
    <tableColumn id="10" name="Apr"/>
    <tableColumn id="11" name="May"/>
    <tableColumn id="12" name="Jun"/>
    <tableColumn id="13" name="Jul"/>
    <tableColumn id="14" name="Aug"/>
    <tableColumn id="15" name="Sep"/>
    <tableColumn id="16" name="Oct"/>
    <tableColumn id="17" name="Nov"/>
    <tableColumn id="18" name="Dec"/>
    <tableColumn id="19" name="Actual_YTD"/>
    <tableColumn id="20" name="Variance_YTD"/>
    <tableColumn id="21" name="Variance_%"/>
    <tableColumn id="22" name="PIGH_Share_YTD"/>
    <tableColumn id="23" name="Net_After_PIGH"/>
    <tableColumn id="24" name="Comments"/>
    <tableColumn id="25" name="Q1_Actual"/>
    <tableColumn id="26" name="Q1_PIGH_Share"/>
    <tableColumn id="27" name="Q2_Actual"/>
    <tableColumn id="28" name="Q2_PIGH_Share"/>
    <tableColumn id="29" name="Q3_Actual"/>
    <tableColumn id="30" name="Q3_PIGH_Share"/>
    <tableColumn id="31" name="Q4_Actual"/>
    <tableColumn id="32" name="Q4_PIGH_Share"/>
    <tableColumn id="33" name="PIGH_Share_ThisQtr"/>
  </tableColumns>
</table>
</file>

<file path=xl/tables/table8.xml><?xml version="1.0" encoding="utf-8"?>
<table xmlns="http://schemas.openxmlformats.org/spreadsheetml/2006/main" id="8" name="Final_Agent_Sequence" displayName="Final_Agent_Sequence" ref="A23:I33" headerRowCount="1" totalsRowCount="0" totalsRowShown="0">
  <tableColumns count="9">
    <tableColumn id="1" name="Stage"/>
    <tableColumn id="2" name="Agent"/>
    <tableColumn id="3" name="Segregation"/>
    <tableColumn id="4" name="Responsibility"/>
    <tableColumn id="5" name="Required_Evidence"/>
    <tableColumn id="6" name="Round"/>
    <tableColumn id="7" name="Status"/>
    <tableColumn id="8" name="Failure_Route"/>
    <tableColumn id="9" name="Exit_Gate"/>
  </tableColumns>
</table>
</file>

<file path=xl/tables/table9.xml><?xml version="1.0" encoding="utf-8"?>
<table xmlns="http://schemas.openxmlformats.org/spreadsheetml/2006/main" id="9" name="Final_Assurance_Gates" displayName="Final_Assurance_Gates" ref="A7:J19" headerRowCount="1" totalsRowCount="0" totalsRowShown="0">
  <tableColumns count="10">
    <tableColumn id="1" name="Gate_ID"/>
    <tableColumn id="2" name="Control_Domain"/>
    <tableColumn id="3" name="Test"/>
    <tableColumn id="4" name="Actual"/>
    <tableColumn id="5" name="Required"/>
    <tableColumn id="6" name="Tolerance"/>
    <tableColumn id="7" name="Status"/>
    <tableColumn id="8" name="Evidence"/>
    <tableColumn id="9" name="Owner"/>
    <tableColumn id="10" name="Failure_Action"/>
  </tableColumns>
</table>
</file>

<file path=xl/tables/table10.xml><?xml version="1.0" encoding="utf-8"?>
<table xmlns="http://schemas.openxmlformats.org/spreadsheetml/2006/main" id="10" name="Final_Evidence_Pack" displayName="Final_Evidence_Pack" ref="A56:C64" headerRowCount="1" totalsRowCount="0" totalsRowShown="0">
  <tableColumns count="3">
    <tableColumn id="1" name="Evidence_Item"/>
    <tableColumn id="2" name="Result"/>
    <tableColumn id="3" name="Acceptance_Rule"/>
  </tableColumns>
</table>
</file>

<file path=xl/tables/table11.xml><?xml version="1.0" encoding="utf-8"?>
<table xmlns="http://schemas.openxmlformats.org/spreadsheetml/2006/main" id="11" name="Final_Review_Exception_Log" displayName="Final_Review_Exception_Log" ref="A38:J51" headerRowCount="1" totalsRowCount="0" totalsRowShown="0">
  <tableColumns count="10">
    <tableColumn id="1" name="Review_ID"/>
    <tableColumn id="2" name="Entity"/>
    <tableColumn id="3" name="Period"/>
    <tableColumn id="4" name="Workstream"/>
    <tableColumn id="5" name="Severity"/>
    <tableColumn id="6" name="Issue"/>
    <tableColumn id="7" name="Evidence_Ref"/>
    <tableColumn id="8" name="Owner"/>
    <tableColumn id="9" name="Reviewer"/>
    <tableColumn id="10" name="Status"/>
  </tableColumns>
</table>
</file>

<file path=xl/tables/table12.xml><?xml version="1.0" encoding="utf-8"?>
<table xmlns="http://schemas.openxmlformats.org/spreadsheetml/2006/main" id="12" name="FixedCost_Mapping" displayName="FixedCost_Mapping" ref="A4:G78" headerRowCount="1" totalsRowCount="0" totalsRowShown="0">
  <autoFilter ref="A4:G78"/>
  <tableColumns count="7">
    <tableColumn id="1" name="Nom_Code"/>
    <tableColumn id="2" name="Item"/>
    <tableColumn id="3" name="Category"/>
    <tableColumn id="4" name="QMR_Group"/>
    <tableColumn id="5" name="Cost_Nature"/>
    <tableColumn id="6" name="Annual_Budget_GHS"/>
    <tableColumn id="7" name="PIGH_Share_pct"/>
  </tableColumns>
</table>
</file>

<file path=xl/tables/table13.xml><?xml version="1.0" encoding="utf-8"?>
<table xmlns="http://schemas.openxmlformats.org/spreadsheetml/2006/main" id="13" name="FixedCost_QMR_Output" displayName="FixedCost_QMR_Output" ref="A11:K22" headerRowCount="1" totalsRowCount="0" totalsRowShown="0">
  <autoFilter ref="A11:K22"/>
  <tableColumns count="11">
    <tableColumn id="1" name="Category"/>
    <tableColumn id="2" name="QMR_Group"/>
    <tableColumn id="3" name="Annual_Budget"/>
    <tableColumn id="4" name="Budget_YTD"/>
    <tableColumn id="5" name="Actual_YTD"/>
    <tableColumn id="6" name="Variance"/>
    <tableColumn id="7" name="Variance_%"/>
    <tableColumn id="8" name="Spend_vs_Budget_YTD"/>
    <tableColumn id="9" name="PIGH_Share_YTD"/>
    <tableColumn id="10" name="Net_After_PIGH"/>
    <tableColumn id="11" name="Status"/>
  </tableColumns>
</table>
</file>

<file path=xl/tables/table14.xml><?xml version="1.0" encoding="utf-8"?>
<table xmlns="http://schemas.openxmlformats.org/spreadsheetml/2006/main" id="14" name="FX_Rates" displayName="FX_Rates" ref="H32:K36" headerRowCount="1" totalsRowCount="0" totalsRowShown="0">
  <autoFilter ref="H32:K36"/>
  <tableColumns count="4">
    <tableColumn id="1" name="Currency"/>
    <tableColumn id="2" name="Rate_to_GHS"/>
    <tableColumn id="3" name="Source"/>
    <tableColumn id="4" name="As_Of"/>
  </tableColumns>
</table>
</file>

<file path=xl/tables/table15.xml><?xml version="1.0" encoding="utf-8"?>
<table xmlns="http://schemas.openxmlformats.org/spreadsheetml/2006/main" id="15" name="Intercompany_Eliminations" displayName="Intercompany_Eliminations" ref="A14:G15" headerRowCount="1" totalsRowCount="0" totalsRowShown="0">
  <tableColumns count="7">
    <tableColumn id="1" name="From_Entity"/>
    <tableColumn id="2" name="To_Entity"/>
    <tableColumn id="3" name="Account"/>
    <tableColumn id="4" name="Description"/>
    <tableColumn id="5" name="Amount_GHS"/>
    <tableColumn id="6" name="Evidence_Ref"/>
    <tableColumn id="7" name="Approval_Status"/>
  </tableColumns>
</table>
</file>

<file path=xl/tables/table16.xml><?xml version="1.0" encoding="utf-8"?>
<table xmlns="http://schemas.openxmlformats.org/spreadsheetml/2006/main" id="16" name="Manual_Adjustments" displayName="Manual_Adjustments" ref="A4:K5" headerRowCount="1" totalsRowCount="0" totalsRowShown="0">
  <tableColumns count="11">
    <tableColumn id="1" name="Entity"/>
    <tableColumn id="2" name="Period"/>
    <tableColumn id="3" name="Workstream"/>
    <tableColumn id="4" name="Target_Metric"/>
    <tableColumn id="5" name="Adjustment_GHS"/>
    <tableColumn id="6" name="Reason"/>
    <tableColumn id="7" name="Owner"/>
    <tableColumn id="8" name="Approver"/>
    <tableColumn id="9" name="Source_Ref"/>
    <tableColumn id="10" name="Timestamp"/>
    <tableColumn id="11" name="Approval_Status"/>
  </tableColumns>
</table>
</file>

<file path=xl/tables/table17.xml><?xml version="1.0" encoding="utf-8"?>
<table xmlns="http://schemas.openxmlformats.org/spreadsheetml/2006/main" id="17" name="Mgmt_Commentary" displayName="Mgmt_Commentary" ref="A4:I34" headerRowCount="1" totalsRowCount="0" totalsRowShown="0">
  <autoFilter ref="A4:I34"/>
  <tableColumns count="9">
    <tableColumn id="1" name="Section"/>
    <tableColumn id="2" name="What happened"/>
    <tableColumn id="3" name="Why it happened"/>
    <tableColumn id="4" name="Financial impact (GHS)"/>
    <tableColumn id="5" name="Risk"/>
    <tableColumn id="6" name="Action required"/>
    <tableColumn id="7" name="Owner"/>
    <tableColumn id="8" name="Deadline"/>
    <tableColumn id="9" name="Status"/>
  </tableColumns>
</table>
</file>

<file path=xl/tables/table18.xml><?xml version="1.0" encoding="utf-8"?>
<table xmlns="http://schemas.openxmlformats.org/spreadsheetml/2006/main" id="18" name="Model_Checks" displayName="Model_Checks" ref="A7:H43" headerRowCount="1" totalsRowCount="0" totalsRowShown="0">
  <tableColumns count="8">
    <tableColumn id="1" name="Check"/>
    <tableColumn id="2" name="Actual"/>
    <tableColumn id="3" name="Expected"/>
    <tableColumn id="4" name="Tolerance"/>
    <tableColumn id="5" name="Difference"/>
    <tableColumn id="6" name="Status"/>
    <tableColumn id="7" name="Where_to_Fix"/>
    <tableColumn id="8" name="Notes"/>
  </tableColumns>
</table>
</file>

<file path=xl/tables/table19.xml><?xml version="1.0" encoding="utf-8"?>
<table xmlns="http://schemas.openxmlformats.org/spreadsheetml/2006/main" id="19" name="Nominal_Activity" displayName="Nominal_Activity" ref="A1:R3000" headerRowCount="1" totalsRowCount="0" totalsRowShown="0">
  <autoFilter ref="A1:R3000"/>
  <tableColumns count="18">
    <tableColumn id="1" name="Entity"/>
    <tableColumn id="2" name="Period"/>
    <tableColumn id="3" name="Nom_Code"/>
    <tableColumn id="4" name="Nom_Name"/>
    <tableColumn id="5" name="TX_No"/>
    <tableColumn id="6" name="Type"/>
    <tableColumn id="7" name="Date"/>
    <tableColumn id="8" name="Ref_1"/>
    <tableColumn id="9" name="Ref_2"/>
    <tableColumn id="10" name="Description"/>
    <tableColumn id="11" name="Debit"/>
    <tableColumn id="12" name="Credit"/>
    <tableColumn id="13" name="Amount"/>
    <tableColumn id="14" name="Category"/>
    <tableColumn id="15" name="Source_File"/>
    <tableColumn id="16" name="Record_Key"/>
    <tableColumn id="17" name="Duplicate_Flag"/>
    <tableColumn id="18" name="Flow_Group"/>
  </tableColumns>
</table>
</file>

<file path=xl/tables/table20.xml><?xml version="1.0" encoding="utf-8"?>
<table xmlns="http://schemas.openxmlformats.org/spreadsheetml/2006/main" id="20" name="Nominal_Mappings" displayName="Nominal_Mappings" ref="A3:E85" headerRowCount="1" totalsRowCount="0" totalsRowShown="0">
  <tableColumns count="5">
    <tableColumn id="1" name="Nom_Code"/>
    <tableColumn id="2" name="Nom_Name"/>
    <tableColumn id="3" name="Category"/>
    <tableColumn id="4" name="QMR_Group"/>
    <tableColumn id="5" name="Cost_Nature"/>
  </tableColumns>
</table>
</file>

<file path=xl/tables/table21.xml><?xml version="1.0" encoding="utf-8"?>
<table xmlns="http://schemas.openxmlformats.org/spreadsheetml/2006/main" id="21" name="PowerBI_Export" displayName="PowerBI_Export" ref="A4:L64" headerRowCount="1" totalsRowCount="0" totalsRowShown="0">
  <tableColumns count="12">
    <tableColumn id="1" name="Entity_ID"/>
    <tableColumn id="2" name="Entity_Name"/>
    <tableColumn id="3" name="Period_End"/>
    <tableColumn id="4" name="Period"/>
    <tableColumn id="5" name="Metric"/>
    <tableColumn id="6" name="Workstream"/>
    <tableColumn id="7" name="Value_Local"/>
    <tableColumn id="8" name="Local_Currency"/>
    <tableColumn id="9" name="Group_Currency"/>
    <tableColumn id="10" name="FX_Rate"/>
    <tableColumn id="11" name="Value_GHS"/>
    <tableColumn id="12" name="Source_Interface"/>
  </tableColumns>
</table>
</file>

<file path=xl/tables/table22.xml><?xml version="1.0" encoding="utf-8"?>
<table xmlns="http://schemas.openxmlformats.org/spreadsheetml/2006/main" id="22" name="Project_Activity" displayName="Project_Activity" ref="A1:U2991" headerRowCount="1" totalsRowCount="0" totalsRowShown="0">
  <autoFilter ref="A1:U2991"/>
  <tableColumns count="21">
    <tableColumn id="1" name="Entity"/>
    <tableColumn id="2" name="Period"/>
    <tableColumn id="3" name="Project_ID"/>
    <tableColumn id="4" name="Project_Name"/>
    <tableColumn id="5" name="Transaction_ID"/>
    <tableColumn id="6" name="TX_No"/>
    <tableColumn id="7" name="Type"/>
    <tableColumn id="8" name="Date"/>
    <tableColumn id="9" name="Account_Item"/>
    <tableColumn id="10" name="Ref_1"/>
    <tableColumn id="11" name="Cost_Code"/>
    <tableColumn id="12" name="Nom_Code"/>
    <tableColumn id="13" name="Details_Labour"/>
    <tableColumn id="14" name="Details_Expenditure"/>
    <tableColumn id="15" name="Labour_Hours"/>
    <tableColumn id="16" name="Amount_Local"/>
    <tableColumn id="17" name="Amount_GBP"/>
    <tableColumn id="18" name="Source_File"/>
    <tableColumn id="19" name="Record_Key"/>
    <tableColumn id="20" name="Duplicate_Flag"/>
    <tableColumn id="21" name="Flow_Group"/>
  </tableColumns>
</table>
</file>

<file path=xl/tables/table23.xml><?xml version="1.0" encoding="utf-8"?>
<table xmlns="http://schemas.openxmlformats.org/spreadsheetml/2006/main" id="23" name="Source_Log" displayName="Source_Log" ref="A3:J14" headerRowCount="1" totalsRowCount="0" totalsRowShown="0">
  <tableColumns count="10">
    <tableColumn id="1" name="Item"/>
    <tableColumn id="2" name="Source_Tab"/>
    <tableColumn id="3" name="Grain"/>
    <tableColumn id="4" name="Period_As_Of"/>
    <tableColumn id="5" name="Source_Type"/>
    <tableColumn id="6" name="Source_Name"/>
    <tableColumn id="7" name="Reference"/>
    <tableColumn id="8" name="Owner"/>
    <tableColumn id="9" name="Notes"/>
    <tableColumn id="10" name="Refreshed_At"/>
  </tableColumns>
</table>
</file>

<file path=xl/tables/table24.xml><?xml version="1.0" encoding="utf-8"?>
<table xmlns="http://schemas.openxmlformats.org/spreadsheetml/2006/main" id="24" name="TB_Mappings" displayName="TB_Mappings" ref="N3:S134" headerRowCount="1" totalsRowCount="0" totalsRowShown="0">
  <tableColumns count="6">
    <tableColumn id="1" name="Account"/>
    <tableColumn id="2" name="Description"/>
    <tableColumn id="3" name="QMR_Line"/>
    <tableColumn id="4" name="Intercompany_Entity"/>
    <tableColumn id="5" name="Presentation_Sign"/>
    <tableColumn id="6" name="PL_Category"/>
  </tableColumns>
</table>
</file>

<file path=xl/tables/table25.xml><?xml version="1.0" encoding="utf-8"?>
<table xmlns="http://schemas.openxmlformats.org/spreadsheetml/2006/main" id="25" name="Trial_Balance" displayName="Trial_Balance" ref="A1:M995" headerRowCount="1" totalsRowCount="0" totalsRowShown="0">
  <autoFilter ref="A1:M995"/>
  <tableColumns count="13">
    <tableColumn id="1" name="Entity"/>
    <tableColumn id="2" name="Period"/>
    <tableColumn id="3" name="Account"/>
    <tableColumn id="4" name="Description"/>
    <tableColumn id="5" name="Opening_Balance"/>
    <tableColumn id="6" name="Debit"/>
    <tableColumn id="7" name="Credit"/>
    <tableColumn id="8" name="Closing_Balance"/>
    <tableColumn id="9" name="QMR_Line"/>
    <tableColumn id="10" name="Intercompany_Entity"/>
    <tableColumn id="11" name="Source_File"/>
    <tableColumn id="12" name="Source_Note"/>
    <tableColumn id="13" name="PL_Category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1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0.xml"/><Relationship Id="rId2" Type="http://schemas.openxmlformats.org/officeDocument/2006/relationships/table" Target="../tables/table24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5.xml"/><Relationship Id="rId3" Type="http://schemas.openxmlformats.org/officeDocument/2006/relationships/table" Target="../tables/table6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3.xml"/><Relationship Id="rId3" Type="http://schemas.openxmlformats.org/officeDocument/2006/relationships/table" Target="../tables/table1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<Relationship Id="rId3" Type="http://schemas.openxmlformats.org/officeDocument/2006/relationships/table" Target="../tables/table10.xml"/><Relationship Id="rId4" Type="http://schemas.openxmlformats.org/officeDocument/2006/relationships/table" Target="../tables/table11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7" min="7" style="1" width="4"/>
    <col collapsed="false" customWidth="true" hidden="false" outlineLevel="0" max="8" min="8" style="1" width="16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1" min="11" style="1" width="4"/>
    <col collapsed="false" customWidth="true" hidden="false" outlineLevel="0" max="12" min="12" style="1" width="16"/>
    <col collapsed="false" customWidth="true" hidden="false" outlineLevel="0" max="13" min="13" style="1" width="4"/>
    <col collapsed="false" customWidth="true" hidden="false" outlineLevel="0" max="14" min="14" style="1" width="8"/>
  </cols>
  <sheetData>
    <row r="2" customFormat="false" ht="24.75" hidden="false" customHeight="true" outlineLevel="0" collapsed="false">
      <c r="B2" s="2" t="str">
        <f aca="false">"PCGH Annual QMR — "&amp;Controls!$B$8&amp;" — FY "&amp;Controls!$B$5</f>
        <v>PCGH Annual QMR — PC Ghana — FY 2026</v>
      </c>
    </row>
    <row r="3" customFormat="false" ht="13.5" hidden="false" customHeight="false" outlineLevel="0" collapsed="false">
      <c r="B3" s="3" t="s">
        <v>0</v>
      </c>
    </row>
    <row r="5" customFormat="false" ht="13.5" hidden="false" customHeight="false" outlineLevel="0" collapsed="false">
      <c r="B5" s="4" t="s">
        <v>1</v>
      </c>
      <c r="D5" s="4" t="s">
        <v>2</v>
      </c>
      <c r="F5" s="4" t="s">
        <v>3</v>
      </c>
      <c r="H5" s="4" t="s">
        <v>4</v>
      </c>
      <c r="J5" s="4" t="s">
        <v>5</v>
      </c>
      <c r="L5" s="4" t="s">
        <v>6</v>
      </c>
    </row>
    <row r="6" customFormat="false" ht="15" hidden="false" customHeight="true" outlineLevel="0" collapsed="false">
      <c r="B6" s="5" t="n">
        <f aca="false">Controls!$B$4</f>
        <v>46203</v>
      </c>
      <c r="D6" s="6" t="str">
        <f aca="false">Controls!$B$6</f>
        <v>Q2</v>
      </c>
      <c r="F6" s="6" t="str">
        <f aca="false">Controls!$B$7</f>
        <v>PCGH</v>
      </c>
      <c r="H6" s="6" t="str">
        <f aca="false">Controls!$B$23</f>
        <v>Draft</v>
      </c>
      <c r="J6" s="5" t="n">
        <f aca="false">Controls!$B$26</f>
        <v>46203</v>
      </c>
      <c r="L6" s="6" t="str">
        <f aca="false">Controls!$B$25</f>
        <v>v2.5</v>
      </c>
    </row>
    <row r="8" customFormat="false" ht="13.5" hidden="false" customHeight="false" outlineLevel="0" collapsed="false">
      <c r="B8" s="7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3.5" hidden="false" customHeight="false" outlineLevel="0" collapsed="false">
      <c r="B9" s="4" t="s">
        <v>8</v>
      </c>
      <c r="D9" s="4" t="s">
        <v>9</v>
      </c>
      <c r="F9" s="4" t="s">
        <v>10</v>
      </c>
      <c r="H9" s="4" t="s">
        <v>11</v>
      </c>
      <c r="J9" s="4" t="s">
        <v>12</v>
      </c>
      <c r="L9" s="4" t="s">
        <v>13</v>
      </c>
    </row>
    <row r="10" customFormat="false" ht="19.5" hidden="false" customHeight="true" outlineLevel="0" collapsed="false">
      <c r="B10" s="8" t="n">
        <f aca="false">QMR_Report!$C$29/1000</f>
        <v>18393.380517</v>
      </c>
      <c r="D10" s="8" t="n">
        <f aca="false">QMR_Report!$D$29/1000</f>
        <v>14867.848217</v>
      </c>
      <c r="F10" s="8" t="n">
        <f aca="false">QMR_Report!$E$29/1000</f>
        <v>8798.01850445</v>
      </c>
      <c r="H10" s="8" t="n">
        <f aca="false">QMR_Report!$F$47/1000</f>
        <v>5801.71357</v>
      </c>
      <c r="J10" s="8" t="n">
        <f aca="false">QMR_Report!$C$56/1000</f>
        <v>4619.008987</v>
      </c>
      <c r="L10" s="8" t="n">
        <f aca="false">IFERROR(--INDEX(Balance_Sheet!$C$34:$F$34,1,VALUE(MID(Controls!$B$6,2,1))),0)/1000</f>
        <v>5711.20786</v>
      </c>
    </row>
    <row r="12" customFormat="false" ht="13.5" hidden="false" customHeight="false" outlineLevel="0" collapsed="false">
      <c r="B12" s="4" t="s">
        <v>14</v>
      </c>
      <c r="D12" s="4" t="s">
        <v>15</v>
      </c>
    </row>
    <row r="13" customFormat="false" ht="19.5" hidden="false" customHeight="true" outlineLevel="0" collapsed="false">
      <c r="B13" s="9" t="n">
        <f aca="false">IFERROR(--INDEX(Balance_Sheet!$C$36:$F$36,1,VALUE(MID(Controls!$B$6,2,1))),0)</f>
        <v>5.77377388356544</v>
      </c>
      <c r="D13" s="10" t="str">
        <f aca="false">Checks!$B$3</f>
        <v>PASS WITH REVIEW</v>
      </c>
    </row>
    <row r="15" customFormat="false" ht="13.5" hidden="false" customHeight="false" outlineLevel="0" collapsed="false">
      <c r="B15" s="7" t="s">
        <v>16</v>
      </c>
      <c r="C15" s="7"/>
      <c r="D15" s="7"/>
      <c r="E15" s="7"/>
      <c r="F15" s="7"/>
      <c r="G15" s="7"/>
    </row>
    <row r="16" customFormat="false" ht="15" hidden="false" customHeight="true" outlineLevel="0" collapsed="false">
      <c r="B16" s="4" t="s">
        <v>17</v>
      </c>
      <c r="D16" s="11" t="n">
        <f aca="false">COUNTIF(Checks!$F$8:$F$41,"FAIL")</f>
        <v>0</v>
      </c>
    </row>
    <row r="17" customFormat="false" ht="15" hidden="false" customHeight="true" outlineLevel="0" collapsed="false">
      <c r="B17" s="4" t="s">
        <v>18</v>
      </c>
      <c r="D17" s="11" t="n">
        <f aca="false">COUNTIF(Checks!$F$8:$F$41,"REVIEW")</f>
        <v>5</v>
      </c>
    </row>
    <row r="18" customFormat="false" ht="13.5" hidden="false" customHeight="false" outlineLevel="0" collapsed="false">
      <c r="B18" s="4" t="s">
        <v>19</v>
      </c>
      <c r="D18" s="12" t="str">
        <f aca="false">IFERROR(INDEX(Checks!$A:$A,_xlfn.AGGREGATE(15,6,ROW(Checks!$F$8:$F$41)/((Checks!$F$8:$F$41="FAIL")+(Checks!$F$8:$F$41="REVIEW")&gt;0),1)),"—")</f>
        <v>Project forecast exceptions</v>
      </c>
      <c r="E18" s="12"/>
      <c r="F18" s="12"/>
      <c r="G18" s="12"/>
      <c r="H18" s="12"/>
      <c r="I18" s="12"/>
    </row>
    <row r="19" customFormat="false" ht="13.5" hidden="false" customHeight="false" outlineLevel="0" collapsed="false">
      <c r="B19" s="4" t="s">
        <v>20</v>
      </c>
      <c r="D19" s="12" t="str">
        <f aca="false">IFERROR(INDEX(Checks!$A:$A,_xlfn.AGGREGATE(15,6,ROW(Checks!$F$8:$F$41)/((Checks!$F$8:$F$41="FAIL")+(Checks!$F$8:$F$41="REVIEW")&gt;0),2)),"—")</f>
        <v>Commodity/Client residual (values not in lists)</v>
      </c>
      <c r="E19" s="12"/>
      <c r="F19" s="12"/>
      <c r="G19" s="12"/>
      <c r="H19" s="12"/>
      <c r="I19" s="12"/>
    </row>
    <row r="20" customFormat="false" ht="13.5" hidden="false" customHeight="false" outlineLevel="0" collapsed="false">
      <c r="B20" s="4" t="s">
        <v>21</v>
      </c>
      <c r="D20" s="12" t="str">
        <f aca="false">IFERROR(INDEX(Checks!$A:$A,_xlfn.AGGREGATE(15,6,ROW(Checks!$F$8:$F$41)/((Checks!$F$8:$F$41="FAIL")+(Checks!$F$8:$F$41="REVIEW")&gt;0),3)),"—")</f>
        <v>PA ↔ TB nominal-code reconciliation (Project Activity vs Trial Balance)</v>
      </c>
      <c r="E20" s="12"/>
      <c r="F20" s="12"/>
      <c r="G20" s="12"/>
      <c r="H20" s="12"/>
      <c r="I20" s="12"/>
    </row>
    <row r="21" customFormat="false" ht="13.5" hidden="false" customHeight="false" outlineLevel="0" collapsed="false">
      <c r="B21" s="4" t="s">
        <v>22</v>
      </c>
      <c r="D21" s="13" t="str">
        <f aca="false">Controls!$F$5&amp;": "&amp;Controls!$H$5</f>
        <v>Q1: DATA LOADED</v>
      </c>
      <c r="E21" s="13"/>
      <c r="F21" s="13" t="str">
        <f aca="false">Controls!$F$6&amp;": "&amp;Controls!$H$6</f>
        <v>Q2: DATA LOADED</v>
      </c>
      <c r="G21" s="13"/>
      <c r="H21" s="13" t="str">
        <f aca="false">Controls!$F$7&amp;": "&amp;Controls!$H$7</f>
        <v>Q3: NOT LOADED</v>
      </c>
      <c r="J21" s="13" t="str">
        <f aca="false">Controls!$F$8&amp;": "&amp;Controls!$H$8</f>
        <v>Q4: NOT LOADED</v>
      </c>
    </row>
    <row r="23" customFormat="false" ht="13.5" hidden="false" customHeight="false" outlineLevel="0" collapsed="false">
      <c r="B23" s="7" t="s">
        <v>23</v>
      </c>
      <c r="C23" s="7"/>
      <c r="D23" s="7"/>
      <c r="E23" s="7"/>
      <c r="F23" s="7"/>
      <c r="G23" s="7"/>
      <c r="H23" s="7"/>
      <c r="I23" s="7"/>
      <c r="J23" s="7"/>
      <c r="K23" s="7"/>
    </row>
    <row r="24" customFormat="false" ht="13.5" hidden="false" customHeight="false" outlineLevel="0" collapsed="false">
      <c r="B24" s="14" t="s">
        <v>24</v>
      </c>
      <c r="C24" s="15" t="str">
        <f aca="false">IFERROR(INDEX(Mgmt_Commentary!$F:$F,_xlfn.AGGREGATE(15,6,ROW(Mgmt_Commentary!$I$5:$I$34)/(Mgmt_Commentary!$I$5:$I$34="Open"),1))&amp;"  ["&amp;INDEX(Mgmt_Commentary!$G:$G,_xlfn.AGGREGATE(15,6,ROW(Mgmt_Commentary!$I$5:$I$34)/(Mgmt_Commentary!$I$5:$I$34="Open"),1))&amp;" — due "&amp;INDEX(Mgmt_Commentary!$H:$H,_xlfn.AGGREGATE(15,6,ROW(Mgmt_Commentary!$I$5:$I$34)/(Mgmt_Commentary!$I$5:$I$34="Open"),1))&amp;"]","—")</f>
        <v>Confirm monthly phasing with budget holders; replace even phasing if a profile is approved  [Finance — due 2026-08-15]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customFormat="false" ht="13.5" hidden="false" customHeight="false" outlineLevel="0" collapsed="false">
      <c r="B25" s="14" t="s">
        <v>25</v>
      </c>
      <c r="C25" s="15" t="str">
        <f aca="false">IFERROR(INDEX(Mgmt_Commentary!$F:$F,_xlfn.AGGREGATE(15,6,ROW(Mgmt_Commentary!$I$5:$I$34)/(Mgmt_Commentary!$I$5:$I$34="Open"),2))&amp;"  ["&amp;INDEX(Mgmt_Commentary!$G:$G,_xlfn.AGGREGATE(15,6,ROW(Mgmt_Commentary!$I$5:$I$34)/(Mgmt_Commentary!$I$5:$I$34="Open"),2))&amp;" — due "&amp;INDEX(Mgmt_Commentary!$H:$H,_xlfn.AGGREGATE(15,6,ROW(Mgmt_Commentary!$I$5:$I$34)/(Mgmt_Commentary!$I$5:$I$34="Open"),2))&amp;"]","—")</f>
        <v>PM to true-up gross forecast in MM_Income for completed projects  [Project Leads — due 2026-07-31]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customFormat="false" ht="13.5" hidden="false" customHeight="false" outlineLevel="0" collapsed="false">
      <c r="B26" s="14" t="s">
        <v>26</v>
      </c>
      <c r="C26" s="15" t="str">
        <f aca="false">IFERROR(INDEX(Mgmt_Commentary!$F:$F,_xlfn.AGGREGATE(15,6,ROW(Mgmt_Commentary!$I$5:$I$34)/(Mgmt_Commentary!$I$5:$I$34="Open"),3))&amp;"  ["&amp;INDEX(Mgmt_Commentary!$G:$G,_xlfn.AGGREGATE(15,6,ROW(Mgmt_Commentary!$I$5:$I$34)/(Mgmt_Commentary!$I$5:$I$34="Open"),3))&amp;" — due "&amp;INDEX(Mgmt_Commentary!$H:$H,_xlfn.AGGREGATE(15,6,ROW(Mgmt_Commentary!$I$5:$I$34)/(Mgmt_Commentary!$I$5:$I$34="Open"),3))&amp;"]","—")</f>
        <v>Provide portfolio split on QMR_Inputs block 1  [Finance Lead — due 2026-07-31]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8" customFormat="false" ht="13.5" hidden="false" customHeight="false" outlineLevel="0" collapsed="false">
      <c r="B28" s="7" t="s">
        <v>27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customFormat="false" ht="13.5" hidden="false" customHeight="false" outlineLevel="0" collapsed="false">
      <c r="B29" s="16" t="s">
        <v>28</v>
      </c>
      <c r="E29" s="16" t="s">
        <v>29</v>
      </c>
      <c r="H29" s="16" t="s">
        <v>30</v>
      </c>
      <c r="K29" s="16" t="s">
        <v>31</v>
      </c>
    </row>
    <row r="30" customFormat="false" ht="13.5" hidden="false" customHeight="false" outlineLevel="0" collapsed="false">
      <c r="B30" s="17" t="str">
        <f aca="false">HYPERLINK("#'QMR_Dashboard'!A1","QMR Dashboard")</f>
        <v>QMR Dashboard</v>
      </c>
      <c r="E30" s="17" t="str">
        <f aca="false">HYPERLINK("#'QMR_Report'!A1","QMR Report")</f>
        <v>QMR Report</v>
      </c>
      <c r="H30" s="17" t="str">
        <f aca="false">HYPERLINK("#'Controls'!A1","Controls")</f>
        <v>Controls</v>
      </c>
      <c r="K30" s="17" t="str">
        <f aca="false">HYPERLINK("#'MM_Income'!A1","MM Income")</f>
        <v>MM Income</v>
      </c>
    </row>
    <row r="31" customFormat="false" ht="13.5" hidden="false" customHeight="false" outlineLevel="0" collapsed="false">
      <c r="B31" s="17" t="str">
        <f aca="false">HYPERLINK("#'Project_Output'!A1","Project Income")</f>
        <v>Project Income</v>
      </c>
      <c r="E31" s="17" t="str">
        <f aca="false">HYPERLINK("#'Slide_Pack'!A1","Slide Pack")</f>
        <v>Slide Pack</v>
      </c>
      <c r="H31" s="17" t="str">
        <f aca="false">HYPERLINK("#'Project_Activity'!A1","Project Activity")</f>
        <v>Project Activity</v>
      </c>
      <c r="K31" s="17" t="str">
        <f aca="false">HYPERLINK("#'MM_FixedCost'!A1","MM Fixed Cost")</f>
        <v>MM Fixed Cost</v>
      </c>
    </row>
    <row r="32" customFormat="false" ht="13.5" hidden="false" customHeight="false" outlineLevel="0" collapsed="false">
      <c r="B32" s="17" t="str">
        <f aca="false">HYPERLINK("#'FixedCost_Output'!A1","Fixed Costs")</f>
        <v>Fixed Costs</v>
      </c>
      <c r="E32" s="17" t="str">
        <f aca="false">HYPERLINK("#'FC_Budget_Vrs_Actual'!A1","FC Budget Vrs Actual")</f>
        <v>FC Budget Vrs Actual</v>
      </c>
      <c r="H32" s="17" t="str">
        <f aca="false">HYPERLINK("#'Project_Forecast'!A1","Project Forecast")</f>
        <v>Project Forecast</v>
      </c>
      <c r="K32" s="17" t="str">
        <f aca="false">HYPERLINK("#'Master_Mappings'!A1","Master Mappings")</f>
        <v>Master Mappings</v>
      </c>
    </row>
    <row r="33" customFormat="false" ht="13.5" hidden="false" customHeight="false" outlineLevel="0" collapsed="false">
      <c r="B33" s="17" t="str">
        <f aca="false">HYPERLINK("#'Balance_Sheet'!A1","Balance Sheet")</f>
        <v>Balance Sheet</v>
      </c>
      <c r="E33" s="17" t="str">
        <f aca="false">HYPERLINK("#'Annual_Summary'!A1","Annual Summary")</f>
        <v>Annual Summary</v>
      </c>
      <c r="H33" s="17" t="str">
        <f aca="false">HYPERLINK("#'Nominal_Activity'!A1","Nominal Activity")</f>
        <v>Nominal Activity</v>
      </c>
      <c r="K33" s="17" t="str">
        <f aca="false">HYPERLINK("#'Checks'!A1","Checks &amp; Controls")</f>
        <v>Checks &amp; Controls</v>
      </c>
    </row>
    <row r="34" customFormat="false" ht="13.5" hidden="false" customHeight="false" outlineLevel="0" collapsed="false">
      <c r="B34" s="17" t="str">
        <f aca="false">HYPERLINK("#'TB_Review'!A1","Trial Balance Review")</f>
        <v>Trial Balance Review</v>
      </c>
      <c r="E34" s="17" t="str">
        <f aca="false">HYPERLINK("#'Consolidation'!A1","Consolidation")</f>
        <v>Consolidation</v>
      </c>
      <c r="H34" s="17" t="str">
        <f aca="false">HYPERLINK("#'Trial_Balance'!A1","Trial Balance")</f>
        <v>Trial Balance</v>
      </c>
      <c r="K34" s="17" t="str">
        <f aca="false">HYPERLINK("#'Mgmt_Commentary'!A1","Commentary &amp; Actions")</f>
        <v>Commentary &amp; Actions</v>
      </c>
    </row>
    <row r="35" customFormat="false" ht="13.5" hidden="false" customHeight="false" outlineLevel="0" collapsed="false">
      <c r="H35" s="17" t="str">
        <f aca="false">HYPERLINK("#'QMR_Inputs'!A1","QMR Inputs")</f>
        <v>QMR Inputs</v>
      </c>
      <c r="K35" s="17" t="str">
        <f aca="false">HYPERLINK("#'Instructions'!A1","Instructions")</f>
        <v>Instructions</v>
      </c>
    </row>
  </sheetData>
  <sheetProtection sheet="true" objects="true" scenarios="true"/>
  <mergeCells count="10">
    <mergeCell ref="B8:M8"/>
    <mergeCell ref="B15:G15"/>
    <mergeCell ref="D18:I18"/>
    <mergeCell ref="D19:I19"/>
    <mergeCell ref="D20:I20"/>
    <mergeCell ref="B23:K23"/>
    <mergeCell ref="C24:M24"/>
    <mergeCell ref="C25:M25"/>
    <mergeCell ref="C26:M26"/>
    <mergeCell ref="B28:M28"/>
  </mergeCells>
  <conditionalFormatting sqref="H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"PASS"</formula>
    </cfRule>
    <cfRule type="cellIs" priority="4" operator="equal" aboveAverage="0" equalAverage="0" bottom="0" percent="0" rank="0" text="" dxfId="1">
      <formula>"REVIEW"</formula>
    </cfRule>
    <cfRule type="cellIs" priority="5" operator="equal" aboveAverage="0" equalAverage="0" bottom="0" percent="0" rank="0" text="" dxfId="1">
      <formula>"PASS WITH REVIEW"</formula>
    </cfRule>
    <cfRule type="cellIs" priority="6" operator="equal" aboveAverage="0" equalAverage="0" bottom="0" percent="0" rank="0" text="" dxfId="2">
      <formula>"FAIL"</formula>
    </cfRule>
  </conditionalFormatting>
  <conditionalFormatting sqref="D13">
    <cfRule type="cellIs" priority="7" operator="equal" aboveAverage="0" equalAverage="0" bottom="0" percent="0" rank="0" text="" dxfId="0">
      <formula>"OK"</formula>
    </cfRule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"REVIEW"</formula>
    </cfRule>
    <cfRule type="cellIs" priority="10" operator="equal" aboveAverage="0" equalAverage="0" bottom="0" percent="0" rank="0" text="" dxfId="1">
      <formula>"PASS WITH REVIEW"</formula>
    </cfRule>
    <cfRule type="cellIs" priority="11" operator="equal" aboveAverage="0" equalAverage="0" bottom="0" percent="0" rank="0" text="" dxfId="2">
      <formula>"FAIL"</formula>
    </cfRule>
  </conditionalFormatting>
  <conditionalFormatting sqref="D16">
    <cfRule type="cellIs" priority="12" operator="greaterThan" aboveAverage="0" equalAverage="0" bottom="0" percent="0" rank="0" text="" dxfId="3">
      <formula>0</formula>
    </cfRule>
  </conditionalFormatting>
  <conditionalFormatting sqref="D17">
    <cfRule type="cellIs" priority="13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P14" activeCellId="0" sqref="P14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56"/>
    <col collapsed="false" customWidth="true" hidden="false" outlineLevel="0" max="5" min="5" style="1" width="16"/>
    <col collapsed="false" customWidth="true" hidden="false" outlineLevel="0" max="14" min="6" style="1" width="15"/>
    <col collapsed="false" customWidth="true" hidden="false" outlineLevel="0" max="15" min="15" style="1" width="24"/>
  </cols>
  <sheetData>
    <row r="1" customFormat="false" ht="9.75" hidden="false" customHeight="true" outlineLevel="0" collapsed="false">
      <c r="A1" s="18" t="s">
        <v>32</v>
      </c>
      <c r="B1" s="18"/>
      <c r="C1" s="18"/>
      <c r="D1" s="18"/>
      <c r="E1" s="18"/>
      <c r="F1" s="18"/>
      <c r="G1" s="18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3.5" hidden="false" customHeight="false" outlineLevel="0" collapsed="false">
      <c r="A2" s="20"/>
      <c r="B2" s="20"/>
      <c r="C2" s="20"/>
      <c r="D2" s="20"/>
      <c r="E2" s="20"/>
      <c r="F2" s="20"/>
      <c r="G2" s="20"/>
      <c r="H2" s="20"/>
    </row>
    <row r="3" customFormat="false" ht="13.5" hidden="false" customHeight="false" outlineLevel="0" collapsed="false">
      <c r="A3" s="21" t="s">
        <v>33</v>
      </c>
      <c r="B3" s="21" t="s">
        <v>34</v>
      </c>
      <c r="C3" s="21" t="s">
        <v>35</v>
      </c>
      <c r="D3" s="21" t="s">
        <v>36</v>
      </c>
      <c r="E3" s="20"/>
      <c r="F3" s="22" t="s">
        <v>37</v>
      </c>
      <c r="G3" s="22"/>
      <c r="H3" s="22"/>
      <c r="I3" s="23"/>
      <c r="J3" s="23"/>
      <c r="K3" s="23"/>
      <c r="L3" s="23"/>
      <c r="M3" s="23"/>
      <c r="N3" s="23"/>
      <c r="O3" s="24"/>
    </row>
    <row r="4" customFormat="false" ht="13.5" hidden="false" customHeight="false" outlineLevel="0" collapsed="false">
      <c r="A4" s="20" t="s">
        <v>1</v>
      </c>
      <c r="B4" s="25" t="n">
        <v>46203</v>
      </c>
      <c r="C4" s="20" t="s">
        <v>38</v>
      </c>
      <c r="D4" s="20" t="s">
        <v>39</v>
      </c>
      <c r="E4" s="20"/>
      <c r="F4" s="26" t="s">
        <v>2</v>
      </c>
      <c r="G4" s="27" t="s">
        <v>40</v>
      </c>
      <c r="H4" s="27" t="s">
        <v>41</v>
      </c>
      <c r="O4" s="28"/>
    </row>
    <row r="5" customFormat="false" ht="14.9" hidden="false" customHeight="false" outlineLevel="0" collapsed="false">
      <c r="A5" s="20" t="s">
        <v>42</v>
      </c>
      <c r="B5" s="29" t="n">
        <f aca="false">YEAR(B4)</f>
        <v>2026</v>
      </c>
      <c r="C5" s="20" t="s">
        <v>43</v>
      </c>
      <c r="D5" s="20" t="s">
        <v>44</v>
      </c>
      <c r="E5" s="20"/>
      <c r="F5" s="30" t="s">
        <v>45</v>
      </c>
      <c r="G5" s="31" t="n">
        <v>46112</v>
      </c>
      <c r="H5" s="20" t="str">
        <f aca="false">IF(COUNTIF(Project_Forecast!$B$2:$B$4993,$B$5&amp;"-"&amp;F5)+COUNTIF(Nominal_Activity!$B$2:$B$5000,$B$5&amp;"-"&amp;F5)+COUNTIF(Trial_Balance!$B$2:$B$4995,$B$5&amp;"-"&amp;F5)&gt;0,"DATA LOADED","NOT LOADED")</f>
        <v>DATA LOADED</v>
      </c>
      <c r="O5" s="28"/>
    </row>
    <row r="6" customFormat="false" ht="14.9" hidden="false" customHeight="false" outlineLevel="0" collapsed="false">
      <c r="A6" s="20" t="s">
        <v>2</v>
      </c>
      <c r="B6" s="32" t="str">
        <f aca="false">"Q"&amp;ROUNDUP(MONTH(B4)/3,0)</f>
        <v>Q2</v>
      </c>
      <c r="C6" s="20" t="s">
        <v>2</v>
      </c>
      <c r="D6" s="20" t="s">
        <v>46</v>
      </c>
      <c r="E6" s="20"/>
      <c r="F6" s="30" t="s">
        <v>47</v>
      </c>
      <c r="G6" s="31" t="n">
        <v>46203</v>
      </c>
      <c r="H6" s="20" t="str">
        <f aca="false">IF(COUNTIF(Project_Forecast!$B$2:$B$4993,$B$5&amp;"-"&amp;F6)+COUNTIF(Nominal_Activity!$B$2:$B$5000,$B$5&amp;"-"&amp;F6)+COUNTIF(Trial_Balance!$B$2:$B$4995,$B$5&amp;"-"&amp;F6)&gt;0,"DATA LOADED","NOT LOADED")</f>
        <v>DATA LOADED</v>
      </c>
      <c r="O6" s="28"/>
    </row>
    <row r="7" customFormat="false" ht="14.9" hidden="false" customHeight="false" outlineLevel="0" collapsed="false">
      <c r="A7" s="20" t="s">
        <v>48</v>
      </c>
      <c r="B7" s="33" t="s">
        <v>49</v>
      </c>
      <c r="C7" s="20" t="s">
        <v>50</v>
      </c>
      <c r="D7" s="20" t="s">
        <v>51</v>
      </c>
      <c r="E7" s="20"/>
      <c r="F7" s="30" t="s">
        <v>52</v>
      </c>
      <c r="G7" s="31" t="n">
        <v>46295</v>
      </c>
      <c r="H7" s="20" t="str">
        <f aca="false">IF(COUNTIF(Project_Forecast!$B$2:$B$4993,$B$5&amp;"-"&amp;F7)+COUNTIF(Nominal_Activity!$B$2:$B$5000,$B$5&amp;"-"&amp;F7)+COUNTIF(Trial_Balance!$B$2:$B$4995,$B$5&amp;"-"&amp;F7)&gt;0,"DATA LOADED","NOT LOADED")</f>
        <v>NOT LOADED</v>
      </c>
      <c r="O7" s="28"/>
    </row>
    <row r="8" customFormat="false" ht="14.9" hidden="false" customHeight="false" outlineLevel="0" collapsed="false">
      <c r="A8" s="20" t="s">
        <v>53</v>
      </c>
      <c r="B8" s="29" t="s">
        <v>51</v>
      </c>
      <c r="C8" s="20" t="s">
        <v>54</v>
      </c>
      <c r="D8" s="20" t="s">
        <v>55</v>
      </c>
      <c r="E8" s="20"/>
      <c r="F8" s="30" t="s">
        <v>56</v>
      </c>
      <c r="G8" s="31" t="n">
        <v>46387</v>
      </c>
      <c r="H8" s="20" t="str">
        <f aca="false">IF(COUNTIF(Project_Forecast!$B$2:$B$4993,$B$5&amp;"-"&amp;F8)+COUNTIF(Nominal_Activity!$B$2:$B$5000,$B$5&amp;"-"&amp;F8)+COUNTIF(Trial_Balance!$B$2:$B$4995,$B$5&amp;"-"&amp;F8)&gt;0,"DATA LOADED","NOT LOADED")</f>
        <v>NOT LOADED</v>
      </c>
      <c r="O8" s="28"/>
    </row>
    <row r="9" customFormat="false" ht="13.5" hidden="false" customHeight="false" outlineLevel="0" collapsed="false">
      <c r="A9" s="20" t="s">
        <v>57</v>
      </c>
      <c r="B9" s="29" t="s">
        <v>58</v>
      </c>
      <c r="C9" s="20" t="s">
        <v>59</v>
      </c>
      <c r="D9" s="20" t="s">
        <v>60</v>
      </c>
      <c r="E9" s="20"/>
      <c r="F9" s="30"/>
      <c r="G9" s="20"/>
      <c r="H9" s="20"/>
      <c r="O9" s="28"/>
    </row>
    <row r="10" customFormat="false" ht="13.5" hidden="false" customHeight="false" outlineLevel="0" collapsed="false">
      <c r="A10" s="20" t="s">
        <v>61</v>
      </c>
      <c r="B10" s="29" t="s">
        <v>58</v>
      </c>
      <c r="C10" s="20" t="s">
        <v>59</v>
      </c>
      <c r="D10" s="20" t="s">
        <v>62</v>
      </c>
      <c r="E10" s="20"/>
      <c r="F10" s="30"/>
      <c r="G10" s="20"/>
      <c r="H10" s="20"/>
      <c r="O10" s="28"/>
    </row>
    <row r="11" customFormat="false" ht="14.9" hidden="false" customHeight="true" outlineLevel="0" collapsed="false">
      <c r="A11" s="20" t="s">
        <v>63</v>
      </c>
      <c r="B11" s="34" t="n">
        <f aca="false">MONTH(B4)</f>
        <v>6</v>
      </c>
      <c r="C11" s="20" t="s">
        <v>64</v>
      </c>
      <c r="D11" s="20" t="s">
        <v>65</v>
      </c>
      <c r="E11" s="20"/>
      <c r="F11" s="35" t="s">
        <v>66</v>
      </c>
      <c r="G11" s="35"/>
      <c r="H11" s="35"/>
      <c r="I11" s="35"/>
      <c r="J11" s="35"/>
      <c r="K11" s="35"/>
      <c r="L11" s="35"/>
      <c r="M11" s="35"/>
      <c r="N11" s="35"/>
      <c r="O11" s="35"/>
    </row>
    <row r="12" customFormat="false" ht="13.5" hidden="false" customHeight="false" outlineLevel="0" collapsed="false">
      <c r="A12" s="20" t="s">
        <v>67</v>
      </c>
      <c r="B12" s="36" t="n">
        <v>50000</v>
      </c>
      <c r="C12" s="20" t="s">
        <v>58</v>
      </c>
      <c r="D12" s="20" t="s">
        <v>68</v>
      </c>
      <c r="E12" s="20"/>
      <c r="F12" s="30"/>
      <c r="G12" s="20"/>
      <c r="H12" s="20"/>
      <c r="O12" s="28"/>
    </row>
    <row r="13" customFormat="false" ht="27.75" hidden="false" customHeight="true" outlineLevel="0" collapsed="false">
      <c r="A13" s="20" t="s">
        <v>69</v>
      </c>
      <c r="B13" s="37" t="n">
        <v>0.1</v>
      </c>
      <c r="C13" s="20" t="s">
        <v>70</v>
      </c>
      <c r="D13" s="20" t="s">
        <v>68</v>
      </c>
      <c r="E13" s="20"/>
      <c r="F13" s="38" t="s">
        <v>71</v>
      </c>
      <c r="G13" s="39" t="s">
        <v>72</v>
      </c>
      <c r="H13" s="39" t="s">
        <v>73</v>
      </c>
      <c r="I13" s="40" t="s">
        <v>74</v>
      </c>
      <c r="J13" s="40" t="s">
        <v>75</v>
      </c>
      <c r="K13" s="40" t="s">
        <v>76</v>
      </c>
      <c r="L13" s="40" t="s">
        <v>77</v>
      </c>
      <c r="M13" s="40" t="s">
        <v>78</v>
      </c>
      <c r="N13" s="40" t="s">
        <v>79</v>
      </c>
      <c r="O13" s="41" t="s">
        <v>80</v>
      </c>
      <c r="P13" s="40" t="s">
        <v>81</v>
      </c>
      <c r="Q13" s="40" t="s">
        <v>82</v>
      </c>
    </row>
    <row r="14" customFormat="false" ht="14.9" hidden="false" customHeight="false" outlineLevel="0" collapsed="false">
      <c r="A14" s="20" t="s">
        <v>83</v>
      </c>
      <c r="B14" s="37" t="n">
        <v>0.7</v>
      </c>
      <c r="C14" s="20" t="s">
        <v>70</v>
      </c>
      <c r="D14" s="20" t="s">
        <v>84</v>
      </c>
      <c r="E14" s="20"/>
      <c r="F14" s="42" t="s">
        <v>85</v>
      </c>
      <c r="G14" s="43" t="n">
        <v>9794783.55054101</v>
      </c>
      <c r="H14" s="43" t="n">
        <v>3341189.81272417</v>
      </c>
      <c r="I14" s="44" t="n">
        <v>3341190</v>
      </c>
      <c r="J14" s="44" t="n">
        <v>3341190</v>
      </c>
      <c r="K14" s="44" t="n">
        <v>725884.66</v>
      </c>
      <c r="L14" s="44" t="n">
        <v>1426884.15</v>
      </c>
      <c r="M14" s="44" t="n">
        <v>1426884.15</v>
      </c>
      <c r="N14" s="44" t="n">
        <v>105344.75</v>
      </c>
      <c r="O14" s="45" t="s">
        <v>86</v>
      </c>
      <c r="P14" s="44" t="n">
        <v>0</v>
      </c>
      <c r="Q14" s="44" t="n">
        <v>0</v>
      </c>
    </row>
    <row r="15" customFormat="false" ht="14.9" hidden="false" customHeight="false" outlineLevel="0" collapsed="false">
      <c r="A15" s="20" t="s">
        <v>87</v>
      </c>
      <c r="B15" s="46" t="n">
        <f aca="false">IFERROR(VLOOKUP($B$30,$F$14:$N$17,2,FALSE()),0)</f>
        <v>9794783.55054101</v>
      </c>
      <c r="C15" s="20" t="s">
        <v>58</v>
      </c>
      <c r="D15" s="20" t="s">
        <v>88</v>
      </c>
      <c r="E15" s="20"/>
      <c r="F15" s="42" t="s">
        <v>89</v>
      </c>
      <c r="G15" s="43" t="n">
        <v>9794783.55054101</v>
      </c>
      <c r="H15" s="43" t="n">
        <v>3341189.81272417</v>
      </c>
      <c r="I15" s="44"/>
      <c r="J15" s="44"/>
      <c r="K15" s="44"/>
      <c r="L15" s="44" t="n">
        <v>1426884.15</v>
      </c>
      <c r="M15" s="44"/>
      <c r="N15" s="44"/>
      <c r="O15" s="45" t="s">
        <v>90</v>
      </c>
      <c r="P15" s="44" t="n">
        <v>0</v>
      </c>
      <c r="Q15" s="44" t="n">
        <v>0</v>
      </c>
    </row>
    <row r="16" customFormat="false" ht="14.9" hidden="false" customHeight="false" outlineLevel="0" collapsed="false">
      <c r="A16" s="20" t="s">
        <v>91</v>
      </c>
      <c r="B16" s="46" t="n">
        <f aca="false">IFERROR(VLOOKUP($B$30,$F$14:$N$17,3,FALSE()),0)</f>
        <v>3341189.81272417</v>
      </c>
      <c r="C16" s="20" t="s">
        <v>58</v>
      </c>
      <c r="D16" s="20" t="s">
        <v>88</v>
      </c>
      <c r="E16" s="20"/>
      <c r="F16" s="42" t="s">
        <v>92</v>
      </c>
      <c r="G16" s="43" t="n">
        <v>9794783.55054101</v>
      </c>
      <c r="H16" s="43" t="n">
        <v>3341189.81272417</v>
      </c>
      <c r="I16" s="44"/>
      <c r="J16" s="44"/>
      <c r="K16" s="44"/>
      <c r="L16" s="44" t="n">
        <v>1426884.15</v>
      </c>
      <c r="M16" s="44"/>
      <c r="N16" s="44"/>
      <c r="O16" s="45" t="s">
        <v>93</v>
      </c>
      <c r="P16" s="44" t="n">
        <v>0</v>
      </c>
      <c r="Q16" s="44" t="n">
        <v>0</v>
      </c>
    </row>
    <row r="17" customFormat="false" ht="14.9" hidden="false" customHeight="false" outlineLevel="0" collapsed="false">
      <c r="A17" s="20" t="s">
        <v>94</v>
      </c>
      <c r="B17" s="46" t="n">
        <f aca="false">IFERROR(VLOOKUP($B$30,$F$14:$N$17,4,FALSE()),0)</f>
        <v>0</v>
      </c>
      <c r="C17" s="20" t="s">
        <v>58</v>
      </c>
      <c r="D17" s="20" t="s">
        <v>88</v>
      </c>
      <c r="E17" s="20"/>
      <c r="F17" s="47" t="s">
        <v>95</v>
      </c>
      <c r="G17" s="48" t="n">
        <v>9794783.55054101</v>
      </c>
      <c r="H17" s="48" t="n">
        <v>3341189.81272417</v>
      </c>
      <c r="I17" s="49"/>
      <c r="J17" s="49"/>
      <c r="K17" s="49"/>
      <c r="L17" s="49" t="n">
        <v>1426884.15</v>
      </c>
      <c r="M17" s="49"/>
      <c r="N17" s="49"/>
      <c r="O17" s="50" t="s">
        <v>96</v>
      </c>
      <c r="P17" s="49" t="n">
        <v>0</v>
      </c>
      <c r="Q17" s="49" t="n">
        <v>0</v>
      </c>
    </row>
    <row r="18" customFormat="false" ht="13.5" hidden="false" customHeight="false" outlineLevel="0" collapsed="false">
      <c r="A18" s="20" t="s">
        <v>97</v>
      </c>
      <c r="B18" s="46" t="n">
        <f aca="false">IFERROR(VLOOKUP($B$30,$F$14:$N$17,5,FALSE()),0)</f>
        <v>0</v>
      </c>
      <c r="C18" s="20" t="s">
        <v>58</v>
      </c>
      <c r="D18" s="20" t="s">
        <v>88</v>
      </c>
      <c r="E18" s="20"/>
      <c r="F18" s="20"/>
      <c r="G18" s="20"/>
      <c r="H18" s="20"/>
    </row>
    <row r="19" customFormat="false" ht="13.5" hidden="false" customHeight="false" outlineLevel="0" collapsed="false">
      <c r="A19" s="20" t="s">
        <v>98</v>
      </c>
      <c r="B19" s="46" t="n">
        <f aca="false">IFERROR(VLOOKUP($B$30,$F$14:$N$17,6,FALSE()),0)</f>
        <v>0</v>
      </c>
      <c r="C19" s="20" t="s">
        <v>58</v>
      </c>
      <c r="D19" s="20" t="s">
        <v>88</v>
      </c>
      <c r="E19" s="20"/>
      <c r="F19" s="20"/>
      <c r="G19" s="20"/>
      <c r="H19" s="20"/>
    </row>
    <row r="20" customFormat="false" ht="13.5" hidden="false" customHeight="false" outlineLevel="0" collapsed="false">
      <c r="A20" s="20" t="s">
        <v>99</v>
      </c>
      <c r="B20" s="46" t="n">
        <f aca="false">IFERROR(VLOOKUP($B$30,$F$14:$N$17,7,FALSE()),0)</f>
        <v>1426884.15</v>
      </c>
      <c r="C20" s="20" t="s">
        <v>58</v>
      </c>
      <c r="D20" s="20" t="s">
        <v>88</v>
      </c>
      <c r="E20" s="20"/>
      <c r="F20" s="20"/>
      <c r="G20" s="20"/>
      <c r="H20" s="20"/>
    </row>
    <row r="21" customFormat="false" ht="13.5" hidden="false" customHeight="false" outlineLevel="0" collapsed="false">
      <c r="A21" s="20" t="s">
        <v>100</v>
      </c>
      <c r="B21" s="46" t="n">
        <f aca="false">IFERROR(VLOOKUP($B$30,$F$14:$N$17,8,FALSE()),0)</f>
        <v>0</v>
      </c>
      <c r="C21" s="20" t="s">
        <v>58</v>
      </c>
      <c r="D21" s="20" t="s">
        <v>88</v>
      </c>
      <c r="E21" s="20"/>
      <c r="F21" s="20"/>
      <c r="G21" s="20"/>
      <c r="H21" s="20"/>
    </row>
    <row r="22" customFormat="false" ht="13.5" hidden="false" customHeight="false" outlineLevel="0" collapsed="false">
      <c r="A22" s="20" t="s">
        <v>101</v>
      </c>
      <c r="B22" s="46" t="n">
        <f aca="false">IFERROR(VLOOKUP($B$30,$F$14:$N$17,9,FALSE()),0)</f>
        <v>0</v>
      </c>
      <c r="C22" s="20" t="s">
        <v>58</v>
      </c>
      <c r="D22" s="20" t="s">
        <v>88</v>
      </c>
      <c r="E22" s="20"/>
      <c r="F22" s="20"/>
      <c r="G22" s="20"/>
      <c r="H22" s="20"/>
    </row>
    <row r="23" customFormat="false" ht="13.5" hidden="false" customHeight="false" outlineLevel="0" collapsed="false">
      <c r="A23" s="20" t="s">
        <v>4</v>
      </c>
      <c r="B23" s="51" t="s">
        <v>102</v>
      </c>
      <c r="C23" s="20" t="s">
        <v>103</v>
      </c>
      <c r="D23" s="20" t="s">
        <v>104</v>
      </c>
      <c r="E23" s="20"/>
      <c r="F23" s="20"/>
      <c r="G23" s="20"/>
      <c r="H23" s="20"/>
    </row>
    <row r="24" customFormat="false" ht="13.5" hidden="false" customHeight="false" outlineLevel="0" collapsed="false">
      <c r="A24" s="20" t="s">
        <v>105</v>
      </c>
      <c r="B24" s="51" t="s">
        <v>106</v>
      </c>
      <c r="C24" s="20" t="s">
        <v>107</v>
      </c>
      <c r="D24" s="20" t="s">
        <v>108</v>
      </c>
      <c r="E24" s="20"/>
      <c r="F24" s="20"/>
      <c r="G24" s="20"/>
      <c r="H24" s="20"/>
    </row>
    <row r="25" customFormat="false" ht="13.5" hidden="false" customHeight="false" outlineLevel="0" collapsed="false">
      <c r="A25" s="20" t="s">
        <v>109</v>
      </c>
      <c r="B25" s="29" t="s">
        <v>110</v>
      </c>
      <c r="C25" s="20" t="s">
        <v>6</v>
      </c>
      <c r="D25" s="20" t="s">
        <v>111</v>
      </c>
      <c r="E25" s="20"/>
      <c r="F25" s="20"/>
      <c r="G25" s="20"/>
      <c r="H25" s="20"/>
    </row>
    <row r="26" customFormat="false" ht="13.5" hidden="false" customHeight="false" outlineLevel="0" collapsed="false">
      <c r="A26" s="20" t="s">
        <v>5</v>
      </c>
      <c r="B26" s="52" t="n">
        <v>46203</v>
      </c>
      <c r="C26" s="20" t="s">
        <v>38</v>
      </c>
      <c r="D26" s="20" t="s">
        <v>112</v>
      </c>
      <c r="E26" s="20"/>
      <c r="F26" s="20"/>
      <c r="G26" s="20"/>
      <c r="H26" s="20"/>
    </row>
    <row r="27" customFormat="false" ht="13.5" hidden="false" customHeight="false" outlineLevel="0" collapsed="false">
      <c r="A27" s="20" t="s">
        <v>113</v>
      </c>
      <c r="B27" s="53" t="n">
        <v>1</v>
      </c>
      <c r="C27" s="20" t="s">
        <v>114</v>
      </c>
      <c r="D27" s="20" t="s">
        <v>115</v>
      </c>
      <c r="E27" s="20"/>
      <c r="F27" s="20"/>
      <c r="G27" s="20"/>
      <c r="H27" s="20"/>
    </row>
    <row r="28" customFormat="false" ht="13.5" hidden="false" customHeight="false" outlineLevel="0" collapsed="false">
      <c r="A28" s="20" t="s">
        <v>116</v>
      </c>
      <c r="B28" s="53" t="n">
        <v>1</v>
      </c>
      <c r="C28" s="20" t="s">
        <v>114</v>
      </c>
      <c r="D28" s="20" t="s">
        <v>115</v>
      </c>
      <c r="E28" s="20"/>
      <c r="F28" s="20"/>
      <c r="G28" s="20"/>
      <c r="H28" s="20"/>
    </row>
    <row r="29" customFormat="false" ht="13.5" hidden="false" customHeight="false" outlineLevel="0" collapsed="false">
      <c r="A29" s="20" t="s">
        <v>117</v>
      </c>
      <c r="B29" s="51" t="s">
        <v>118</v>
      </c>
      <c r="C29" s="20" t="s">
        <v>119</v>
      </c>
      <c r="D29" s="20" t="s">
        <v>120</v>
      </c>
      <c r="E29" s="20"/>
      <c r="F29" s="20"/>
      <c r="G29" s="20"/>
      <c r="H29" s="20"/>
    </row>
    <row r="30" customFormat="false" ht="13.5" hidden="false" customHeight="false" outlineLevel="0" collapsed="false">
      <c r="A30" s="20" t="s">
        <v>121</v>
      </c>
      <c r="B30" s="20" t="str">
        <f aca="false">B5&amp;"-"&amp;B6</f>
        <v>2026-Q2</v>
      </c>
      <c r="C30" s="20" t="s">
        <v>122</v>
      </c>
      <c r="D30" s="20" t="s">
        <v>123</v>
      </c>
      <c r="E30" s="20"/>
      <c r="F30" s="20"/>
      <c r="G30" s="20"/>
      <c r="H30" s="20"/>
    </row>
    <row r="31" customFormat="false" ht="13.5" hidden="false" customHeight="false" outlineLevel="0" collapsed="false">
      <c r="A31" s="54" t="s">
        <v>124</v>
      </c>
      <c r="B31" s="54"/>
      <c r="C31" s="54"/>
      <c r="D31" s="54"/>
      <c r="E31" s="54"/>
      <c r="F31" s="54"/>
      <c r="G31" s="20"/>
      <c r="H31" s="55" t="s">
        <v>125</v>
      </c>
    </row>
    <row r="32" customFormat="false" ht="13.5" hidden="false" customHeight="false" outlineLevel="0" collapsed="false">
      <c r="A32" s="20"/>
      <c r="B32" s="20"/>
      <c r="C32" s="20"/>
      <c r="D32" s="20"/>
      <c r="E32" s="20"/>
      <c r="F32" s="20"/>
      <c r="G32" s="20"/>
      <c r="H32" s="56" t="s">
        <v>59</v>
      </c>
      <c r="I32" s="56" t="s">
        <v>126</v>
      </c>
      <c r="J32" s="56" t="s">
        <v>127</v>
      </c>
      <c r="K32" s="56" t="s">
        <v>128</v>
      </c>
    </row>
    <row r="33" customFormat="false" ht="13.5" hidden="false" customHeight="false" outlineLevel="0" collapsed="false">
      <c r="A33" s="20" t="s">
        <v>129</v>
      </c>
      <c r="B33" s="20" t="s">
        <v>130</v>
      </c>
      <c r="C33" s="20" t="s">
        <v>131</v>
      </c>
      <c r="D33" s="20" t="s">
        <v>132</v>
      </c>
      <c r="E33" s="20" t="s">
        <v>133</v>
      </c>
      <c r="F33" s="20" t="s">
        <v>41</v>
      </c>
      <c r="G33" s="20"/>
      <c r="H33" s="57" t="s">
        <v>58</v>
      </c>
      <c r="I33" s="58" t="n">
        <v>1</v>
      </c>
      <c r="J33" s="59" t="s">
        <v>134</v>
      </c>
      <c r="K33" s="59" t="s">
        <v>135</v>
      </c>
    </row>
    <row r="34" customFormat="false" ht="13.5" hidden="false" customHeight="false" outlineLevel="0" collapsed="false">
      <c r="A34" s="60" t="s">
        <v>49</v>
      </c>
      <c r="B34" s="60" t="s">
        <v>51</v>
      </c>
      <c r="C34" s="60" t="s">
        <v>58</v>
      </c>
      <c r="D34" s="61" t="n">
        <v>1</v>
      </c>
      <c r="E34" s="61" t="n">
        <v>1</v>
      </c>
      <c r="F34" s="60" t="s">
        <v>136</v>
      </c>
      <c r="G34" s="20"/>
      <c r="H34" s="57" t="s">
        <v>137</v>
      </c>
      <c r="I34" s="58" t="n">
        <v>10.7</v>
      </c>
      <c r="J34" s="59" t="s">
        <v>138</v>
      </c>
      <c r="K34" s="59" t="s">
        <v>135</v>
      </c>
    </row>
    <row r="35" customFormat="false" ht="13.5" hidden="false" customHeight="false" outlineLevel="0" collapsed="false">
      <c r="A35" s="60" t="s">
        <v>139</v>
      </c>
      <c r="B35" s="60" t="s">
        <v>140</v>
      </c>
      <c r="C35" s="60" t="s">
        <v>141</v>
      </c>
      <c r="D35" s="61"/>
      <c r="E35" s="61"/>
      <c r="F35" s="60" t="s">
        <v>142</v>
      </c>
      <c r="G35" s="20"/>
      <c r="H35" s="57" t="s">
        <v>143</v>
      </c>
      <c r="I35" s="58" t="n">
        <v>14.45</v>
      </c>
      <c r="J35" s="59" t="s">
        <v>138</v>
      </c>
      <c r="K35" s="59" t="s">
        <v>135</v>
      </c>
    </row>
    <row r="36" customFormat="false" ht="13.5" hidden="false" customHeight="false" outlineLevel="0" collapsed="false">
      <c r="A36" s="60" t="s">
        <v>144</v>
      </c>
      <c r="B36" s="60" t="s">
        <v>145</v>
      </c>
      <c r="C36" s="60" t="s">
        <v>141</v>
      </c>
      <c r="D36" s="61"/>
      <c r="E36" s="61"/>
      <c r="F36" s="60" t="s">
        <v>142</v>
      </c>
      <c r="G36" s="20"/>
      <c r="H36" s="57" t="s">
        <v>146</v>
      </c>
      <c r="I36" s="58" t="n">
        <v>10.1215</v>
      </c>
      <c r="J36" s="59" t="s">
        <v>138</v>
      </c>
      <c r="K36" s="59" t="s">
        <v>135</v>
      </c>
    </row>
    <row r="37" customFormat="false" ht="13.5" hidden="false" customHeight="false" outlineLevel="0" collapsed="false">
      <c r="A37" s="60" t="s">
        <v>147</v>
      </c>
      <c r="B37" s="60" t="s">
        <v>148</v>
      </c>
      <c r="C37" s="60" t="s">
        <v>141</v>
      </c>
      <c r="D37" s="61"/>
      <c r="E37" s="61"/>
      <c r="F37" s="60" t="s">
        <v>142</v>
      </c>
      <c r="G37" s="20"/>
      <c r="H37" s="20"/>
    </row>
    <row r="39" customFormat="false" ht="13.5" hidden="false" customHeight="false" outlineLevel="0" collapsed="false">
      <c r="A39" s="14" t="s">
        <v>149</v>
      </c>
    </row>
    <row r="40" customFormat="false" ht="13.5" hidden="false" customHeight="false" outlineLevel="0" collapsed="false">
      <c r="A40" s="1" t="s">
        <v>150</v>
      </c>
    </row>
    <row r="41" customFormat="false" ht="13.5" hidden="false" customHeight="false" outlineLevel="0" collapsed="false">
      <c r="A41" s="1" t="s">
        <v>151</v>
      </c>
    </row>
    <row r="42" customFormat="false" ht="13.5" hidden="false" customHeight="false" outlineLevel="0" collapsed="false">
      <c r="A42" s="1" t="s">
        <v>152</v>
      </c>
    </row>
    <row r="43" customFormat="false" ht="13.5" hidden="false" customHeight="false" outlineLevel="0" collapsed="false">
      <c r="A43" s="1" t="s">
        <v>153</v>
      </c>
    </row>
    <row r="44" customFormat="false" ht="13.5" hidden="false" customHeight="false" outlineLevel="0" collapsed="false">
      <c r="A44" s="1" t="s">
        <v>154</v>
      </c>
    </row>
    <row r="45" customFormat="false" ht="13.5" hidden="false" customHeight="false" outlineLevel="0" collapsed="false">
      <c r="A45" s="1" t="s">
        <v>155</v>
      </c>
    </row>
  </sheetData>
  <mergeCells count="4">
    <mergeCell ref="A1:H1"/>
    <mergeCell ref="F3:H3"/>
    <mergeCell ref="F11:O11"/>
    <mergeCell ref="A31:F31"/>
  </mergeCells>
  <conditionalFormatting sqref="H5:H8">
    <cfRule type="containsText" priority="2" operator="containsText" aboveAverage="0" equalAverage="0" bottom="0" percent="0" rank="0" text="OK" dxfId="11">
      <formula>NOT(ISERROR(SEARCH("OK",H5)))</formula>
    </cfRule>
    <cfRule type="containsText" priority="3" operator="containsText" aboveAverage="0" equalAverage="0" bottom="0" percent="0" rank="0" text="REVIEW" dxfId="12">
      <formula>NOT(ISERROR(SEARCH("REVIEW",H5)))</formula>
    </cfRule>
    <cfRule type="containsText" priority="4" operator="containsText" aboveAverage="0" equalAverage="0" bottom="0" percent="0" rank="0" text="NOT LOADED" dxfId="13">
      <formula>NOT(ISERROR(SEARCH("NOT LOADED",H5)))</formula>
    </cfRule>
    <cfRule type="containsText" priority="5" operator="containsText" aboveAverage="0" equalAverage="0" bottom="0" percent="0" rank="0" text="FAIL" dxfId="14">
      <formula>NOT(ISERROR(SEARCH("FAIL",H5)))</formula>
    </cfRule>
  </conditionalFormatting>
  <dataValidations count="5">
    <dataValidation allowBlank="false" errorStyle="stop" operator="between" showDropDown="false" showErrorMessage="false" showInputMessage="false" sqref="B4" type="list">
      <formula1>$G$5:$G$8</formula1>
      <formula2>0</formula2>
    </dataValidation>
    <dataValidation allowBlank="true" errorStyle="stop" operator="between" showDropDown="false" showErrorMessage="false" showInputMessage="false" sqref="B6" type="list">
      <formula1>"Q1,Q2,Q3,Q4"</formula1>
      <formula2>0</formula2>
    </dataValidation>
    <dataValidation allowBlank="true" errorStyle="stop" operator="between" showDropDown="false" showErrorMessage="false" showInputMessage="false" sqref="B23" type="list">
      <formula1>"Draft,Approved"</formula1>
      <formula2>0</formula2>
    </dataValidation>
    <dataValidation allowBlank="true" errorStyle="stop" operator="between" showDropDown="false" showErrorMessage="false" showInputMessage="false" sqref="B29" type="list">
      <formula1>"Entity QMR,Consolidated QMR"</formula1>
      <formula2>0</formula2>
    </dataValidation>
    <dataValidation allowBlank="true" errorStyle="stop" operator="between" showDropDown="false" showErrorMessage="false" showInputMessage="false" sqref="B7" type="list">
      <formula1>"PCGH,PFI,PFCD,PFCM"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1" min="11" style="1" width="17"/>
    <col collapsed="false" customWidth="true" hidden="false" outlineLevel="0" max="14" min="12" style="1" width="13"/>
  </cols>
  <sheetData>
    <row r="1" customFormat="false" ht="19.5" hidden="false" customHeight="true" outlineLevel="0" collapsed="false">
      <c r="A1" s="62" t="str">
        <f aca="false">"Executive QMR Dashboard — "&amp;Controls!$B$8&amp;" — "&amp;Controls!$B$30</f>
        <v>Executive QMR Dashboard — PC Ghana — 2026-Q2</v>
      </c>
    </row>
    <row r="2" customFormat="false" ht="13.5" hidden="false" customHeight="false" outlineLevel="0" collapsed="false">
      <c r="A2" s="3" t="str">
        <f aca="false">"All values GHS '000 unless stated | Live view of the selected quarter | Detail on the domain dashboards"</f>
        <v>All values GHS '000 unless stated | Live view of the selected quarter | Detail on the domain dashboards</v>
      </c>
    </row>
    <row r="4" customFormat="false" ht="13.5" hidden="false" customHeight="false" outlineLevel="0" collapsed="false">
      <c r="A4" s="4" t="s">
        <v>156</v>
      </c>
      <c r="C4" s="4" t="s">
        <v>157</v>
      </c>
      <c r="E4" s="4" t="s">
        <v>158</v>
      </c>
      <c r="G4" s="4" t="s">
        <v>159</v>
      </c>
      <c r="I4" s="4" t="s">
        <v>160</v>
      </c>
      <c r="K4" s="4" t="s">
        <v>161</v>
      </c>
    </row>
    <row r="5" customFormat="false" ht="18.75" hidden="false" customHeight="true" outlineLevel="0" collapsed="false">
      <c r="A5" s="8" t="n">
        <f aca="false">QMR_Report!$C$29/1000</f>
        <v>18393.380517</v>
      </c>
      <c r="C5" s="8" t="n">
        <f aca="false">QMR_Report!$F$47/1000</f>
        <v>5801.71357</v>
      </c>
      <c r="E5" s="8" t="n">
        <f aca="false">QMR_Report!$C$56/1000</f>
        <v>4619.008987</v>
      </c>
      <c r="G5" s="63" t="n">
        <f aca="false">QMR_Report!$G$29</f>
        <v>4.44986613063011</v>
      </c>
      <c r="I5" s="9" t="n">
        <f aca="false">IFERROR(--INDEX(Balance_Sheet!$C$36:$F$36,1,VALUE(MID(Controls!$B$6,2,1))),0)</f>
        <v>5.77377388356544</v>
      </c>
      <c r="K5" s="64" t="str">
        <f aca="false">Checks!$B$3</f>
        <v>PASS WITH REVIEW</v>
      </c>
    </row>
    <row r="6" customFormat="false" ht="13.5" hidden="false" customHeight="false" outlineLevel="0" collapsed="false">
      <c r="A6" s="65" t="str">
        <f aca="false">"vs budget "&amp;TEXT(QMR_Report!$B$29/1000,"#,##0")</f>
        <v>vs budget 3,341</v>
      </c>
      <c r="C6" s="65" t="str">
        <f aca="false">"vs YTD budget "&amp;TEXT(FixedCost_Output!$E$3/1000,"#,##0")&amp;" ("&amp;TEXT(FixedCost_Output!$B$5,"0%")&amp;")"</f>
        <v>vs YTD budget 6,887 (84%)</v>
      </c>
      <c r="E6" s="65" t="str">
        <f aca="false">"vs budget "&amp;TEXT(QMR_Report!$B$56/1000,"#,##0")</f>
        <v>vs budget -9,006</v>
      </c>
      <c r="G6" s="65" t="str">
        <f aca="false">"WIP YTD "&amp;TEXT(QMR_Report!$E$29/1000,"#,##0")</f>
        <v>WIP YTD 8,798</v>
      </c>
      <c r="I6" s="65" t="str">
        <f aca="false">"target 3.0 | WC "&amp;TEXT(IFERROR(--INDEX(Balance_Sheet!$C$34:$F$34,1,VALUE(MID(Controls!$B$6,2,1))),0)/1000,"#,##0")</f>
        <v>target 3.0 | WC 5,711</v>
      </c>
      <c r="K6" s="1" t="str">
        <f aca="false">"fails "&amp;COUNTIF(Checks!$F$8:$F$41,"FAIL")&amp;" | reviews "&amp;COUNTIF(Checks!$F$8:$F$41,"REVIEW")</f>
        <v>fails 0 | reviews 5</v>
      </c>
    </row>
    <row r="7" customFormat="false" ht="13.5" hidden="false" customHeight="false" outlineLevel="0" collapsed="false">
      <c r="H7" s="66" t="s">
        <v>162</v>
      </c>
    </row>
    <row r="8" customFormat="false" ht="13.5" hidden="false" customHeight="false" outlineLevel="0" collapsed="false">
      <c r="A8" s="7" t="s">
        <v>163</v>
      </c>
      <c r="B8" s="7"/>
      <c r="C8" s="7"/>
      <c r="D8" s="7"/>
      <c r="E8" s="7"/>
      <c r="F8" s="7"/>
    </row>
    <row r="9" customFormat="false" ht="13.5" hidden="false" customHeight="false" outlineLevel="0" collapsed="false">
      <c r="A9" s="56"/>
      <c r="B9" s="56" t="s">
        <v>45</v>
      </c>
      <c r="C9" s="56" t="s">
        <v>47</v>
      </c>
      <c r="D9" s="56" t="s">
        <v>52</v>
      </c>
      <c r="E9" s="56" t="s">
        <v>56</v>
      </c>
      <c r="F9" s="56" t="s">
        <v>164</v>
      </c>
    </row>
    <row r="10" customFormat="false" ht="13.5" hidden="false" customHeight="false" outlineLevel="0" collapsed="false">
      <c r="A10" s="67" t="s">
        <v>165</v>
      </c>
      <c r="B10" s="68" t="n">
        <f aca="false">Project_Output!B30/1000</f>
        <v>4910.79611875</v>
      </c>
      <c r="C10" s="68" t="n">
        <f aca="false">Project_Output!B31/1000</f>
        <v>2548.4043857</v>
      </c>
      <c r="D10" s="68" t="n">
        <f aca="false">Project_Output!B32/1000</f>
        <v>2136.14297505</v>
      </c>
      <c r="E10" s="68" t="n">
        <f aca="false">Project_Output!B33/1000</f>
        <v>1831.1563995</v>
      </c>
      <c r="F10" s="69" t="n">
        <f aca="false">SUM(B10:E10)</f>
        <v>11426.499879</v>
      </c>
    </row>
    <row r="11" customFormat="false" ht="13.5" hidden="false" customHeight="false" outlineLevel="0" collapsed="false">
      <c r="A11" s="67" t="s">
        <v>166</v>
      </c>
      <c r="B11" s="68" t="n">
        <f aca="false">-SUMIFS(Project_Activity!$P$2:$P$2991,Project_Activity!$U$2:$U$2991,"Invoiced Income",Project_Activity!$H$2:$H$2991,"&gt;="&amp;DATE(Controls!$B$5,1,1),Project_Activity!$H$2:$H$2991,"&lt;="&amp;EOMONTH(DATE(Controls!$B$5,3,1),0),Project_Activity!$A$2:$A$2991,Controls!$B$7)/1000</f>
        <v>2701.89365</v>
      </c>
      <c r="C11" s="68" t="n">
        <f aca="false">-SUMIFS(Project_Activity!$P$2:$P$2991,Project_Activity!$U$2:$U$2991,"Invoiced Income",Project_Activity!$H$2:$H$2991,"&gt;="&amp;DATE(Controls!$B$5,4,1),Project_Activity!$H$2:$H$2991,"&lt;="&amp;EOMONTH(DATE(Controls!$B$5,6,1),0),Project_Activity!$A$2:$A$2991,Controls!$B$7)/1000</f>
        <v>4369.62423</v>
      </c>
      <c r="D11" s="68" t="n">
        <f aca="false">-SUMIFS(Project_Activity!$P$2:$P$2991,Project_Activity!$U$2:$U$2991,"Invoiced Income",Project_Activity!$H$2:$H$2991,"&gt;="&amp;DATE(Controls!$B$5,7,1),Project_Activity!$H$2:$H$2991,"&lt;="&amp;EOMONTH(DATE(Controls!$B$5,9,1),0),Project_Activity!$A$2:$A$2991,Controls!$B$7)/1000</f>
        <v>-0</v>
      </c>
      <c r="E11" s="68" t="n">
        <f aca="false">-SUMIFS(Project_Activity!$P$2:$P$2991,Project_Activity!$U$2:$U$2991,"Invoiced Income",Project_Activity!$H$2:$H$2991,"&gt;="&amp;DATE(Controls!$B$5,10,1),Project_Activity!$H$2:$H$2991,"&lt;="&amp;EOMONTH(DATE(Controls!$B$5,12,1),0),Project_Activity!$A$2:$A$2991,Controls!$B$7)/1000</f>
        <v>-0</v>
      </c>
      <c r="F11" s="69" t="n">
        <f aca="false">SUM(B11:E11)</f>
        <v>7071.51788</v>
      </c>
    </row>
    <row r="12" customFormat="false" ht="13.5" hidden="false" customHeight="false" outlineLevel="0" collapsed="false">
      <c r="A12" s="67" t="s">
        <v>167</v>
      </c>
      <c r="B12" s="68" t="n">
        <f aca="false">SUMIFS(Nominal_Activity!$M$2:$M$3000,Nominal_Activity!$N$2:$N$3000,"&lt;&gt;Excluded — Project/Other",Nominal_Activity!$G$2:$G$3000,"&gt;="&amp;DATE(Controls!$B$5,1,1),Nominal_Activity!$G$2:$G$3000,"&lt;="&amp;EOMONTH(DATE(Controls!$B$5,3,1),0),Nominal_Activity!$A$2:$A$3000,Controls!$B$7)/1000</f>
        <v>2779.36133</v>
      </c>
      <c r="C12" s="68" t="n">
        <f aca="false">SUMIFS(Nominal_Activity!$M$2:$M$3000,Nominal_Activity!$N$2:$N$3000,"&lt;&gt;Excluded — Project/Other",Nominal_Activity!$G$2:$G$3000,"&gt;="&amp;DATE(Controls!$B$5,4,1),Nominal_Activity!$G$2:$G$3000,"&lt;="&amp;EOMONTH(DATE(Controls!$B$5,6,1),0),Nominal_Activity!$A$2:$A$3000,Controls!$B$7)/1000</f>
        <v>3022.35224</v>
      </c>
      <c r="D12" s="68" t="n">
        <f aca="false">SUMIFS(Nominal_Activity!$M$2:$M$3000,Nominal_Activity!$N$2:$N$3000,"&lt;&gt;Excluded — Project/Other",Nominal_Activity!$G$2:$G$3000,"&gt;="&amp;DATE(Controls!$B$5,7,1),Nominal_Activity!$G$2:$G$3000,"&lt;="&amp;EOMONTH(DATE(Controls!$B$5,9,1),0),Nominal_Activity!$A$2:$A$3000,Controls!$B$7)/1000</f>
        <v>0</v>
      </c>
      <c r="E12" s="68" t="n">
        <f aca="false">SUMIFS(Nominal_Activity!$M$2:$M$3000,Nominal_Activity!$N$2:$N$3000,"&lt;&gt;Excluded — Project/Other",Nominal_Activity!$G$2:$G$3000,"&gt;="&amp;DATE(Controls!$B$5,10,1),Nominal_Activity!$G$2:$G$3000,"&lt;="&amp;EOMONTH(DATE(Controls!$B$5,12,1),0),Nominal_Activity!$A$2:$A$3000,Controls!$B$7)/1000</f>
        <v>0</v>
      </c>
      <c r="F12" s="69" t="n">
        <f aca="false">SUM(B12:E12)</f>
        <v>5801.71357</v>
      </c>
    </row>
    <row r="13" customFormat="false" ht="13.5" hidden="false" customHeight="false" outlineLevel="0" collapsed="false">
      <c r="A13" s="67" t="s">
        <v>168</v>
      </c>
      <c r="B13" s="68" t="n">
        <f aca="false">B10-B12</f>
        <v>2131.43478875</v>
      </c>
      <c r="C13" s="68" t="n">
        <f aca="false">C10-C12</f>
        <v>-473.9478543</v>
      </c>
      <c r="D13" s="68" t="n">
        <f aca="false">D10-D12</f>
        <v>2136.14297505</v>
      </c>
      <c r="E13" s="68" t="n">
        <f aca="false">E10-E12</f>
        <v>1831.1563995</v>
      </c>
      <c r="F13" s="69" t="n">
        <f aca="false">SUM(B13:E13)</f>
        <v>5624.786309</v>
      </c>
    </row>
    <row r="14" customFormat="false" ht="13.5" hidden="false" customHeight="false" outlineLevel="0" collapsed="false">
      <c r="A14" s="3" t="s">
        <v>169</v>
      </c>
    </row>
    <row r="16" customFormat="false" ht="13.5" hidden="false" customHeight="false" outlineLevel="0" collapsed="false">
      <c r="H16" s="66"/>
    </row>
    <row r="17" customFormat="false" ht="13.5" hidden="false" customHeight="false" outlineLevel="0" collapsed="false">
      <c r="A17" s="7" t="s">
        <v>170</v>
      </c>
      <c r="B17" s="7"/>
      <c r="C17" s="7"/>
      <c r="D17" s="7"/>
      <c r="E17" s="7"/>
      <c r="F17" s="7"/>
    </row>
    <row r="18" customFormat="false" ht="13.5" hidden="false" customHeight="false" outlineLevel="0" collapsed="false">
      <c r="A18" s="56" t="s">
        <v>171</v>
      </c>
      <c r="B18" s="56" t="s">
        <v>172</v>
      </c>
      <c r="C18" s="56" t="s">
        <v>34</v>
      </c>
      <c r="D18" s="56" t="s">
        <v>173</v>
      </c>
      <c r="E18" s="56" t="s">
        <v>103</v>
      </c>
    </row>
    <row r="19" customFormat="false" ht="27.75" hidden="false" customHeight="true" outlineLevel="0" collapsed="false">
      <c r="A19" s="70" t="s">
        <v>174</v>
      </c>
      <c r="B19" s="71" t="s">
        <v>175</v>
      </c>
      <c r="C19" s="72" t="n">
        <f aca="false">QMR_Report!$G$29</f>
        <v>4.44986613063011</v>
      </c>
      <c r="D19" s="67" t="s">
        <v>176</v>
      </c>
      <c r="E19" s="67" t="str">
        <f aca="false">IF(QMR_Report!$G$29&gt;=0.9,"OK",IF(QMR_Report!$G$29&gt;=0.7,"REVIEW","FAIL"))</f>
        <v>OK</v>
      </c>
    </row>
    <row r="20" customFormat="false" ht="27.75" hidden="false" customHeight="true" outlineLevel="0" collapsed="false">
      <c r="A20" s="70" t="s">
        <v>177</v>
      </c>
      <c r="B20" s="71" t="s">
        <v>178</v>
      </c>
      <c r="C20" s="72" t="n">
        <f aca="false">FixedCost_Output!$B$5</f>
        <v>0.842392490628573</v>
      </c>
      <c r="D20" s="67" t="s">
        <v>179</v>
      </c>
      <c r="E20" s="67" t="str">
        <f aca="false">IF(AND(FixedCost_Output!$B$5&gt;=0.85,FixedCost_Output!$B$5&lt;=1.1),"OK","REVIEW")</f>
        <v>REVIEW</v>
      </c>
      <c r="H20" s="66" t="s">
        <v>180</v>
      </c>
    </row>
    <row r="21" customFormat="false" ht="27.75" hidden="false" customHeight="true" outlineLevel="0" collapsed="false">
      <c r="A21" s="70" t="s">
        <v>181</v>
      </c>
      <c r="B21" s="71" t="s">
        <v>182</v>
      </c>
      <c r="C21" s="73" t="n">
        <f aca="false">IFERROR(--INDEX(Balance_Sheet!$C$36:$F$36,1,VALUE(MID(Controls!$B$6,2,1))),0)</f>
        <v>5.77377388356544</v>
      </c>
      <c r="D21" s="67" t="s">
        <v>183</v>
      </c>
      <c r="E21" s="67" t="str">
        <f aca="false">IF(IFERROR(--INDEX(Balance_Sheet!$C$36:$F$36,1,VALUE(MID(Controls!$B$6,2,1))),0)&gt;=3,"OK",IF(IFERROR(--INDEX(Balance_Sheet!$C$36:$F$36,1,VALUE(MID(Controls!$B$6,2,1))),0)&gt;=1.5,"REVIEW","FAIL"))</f>
        <v>OK</v>
      </c>
    </row>
    <row r="22" customFormat="false" ht="27.75" hidden="false" customHeight="true" outlineLevel="0" collapsed="false">
      <c r="A22" s="70" t="s">
        <v>13</v>
      </c>
      <c r="B22" s="71" t="s">
        <v>184</v>
      </c>
      <c r="C22" s="68" t="n">
        <f aca="false">IFERROR(--INDEX(Balance_Sheet!$C$34:$F$34,1,VALUE(MID(Controls!$B$6,2,1))),0)/1000</f>
        <v>5711.20786</v>
      </c>
      <c r="D22" s="67" t="s">
        <v>185</v>
      </c>
      <c r="E22" s="67" t="str">
        <f aca="false">IF(IFERROR(--INDEX(Balance_Sheet!$C$34:$F$34,1,VALUE(MID(Controls!$B$6,2,1))),0)&gt;0,"OK","FAIL")</f>
        <v>OK</v>
      </c>
    </row>
    <row r="23" customFormat="false" ht="14.9" hidden="false" customHeight="false" outlineLevel="0" collapsed="false">
      <c r="A23" s="70" t="s">
        <v>186</v>
      </c>
      <c r="B23" s="71" t="s">
        <v>187</v>
      </c>
      <c r="C23" s="68" t="n">
        <f aca="false">INDEX(Balance_Sheet!$C$30:$F$30,1,VALUE(MID(Controls!$B$6,2,1)))</f>
        <v>0</v>
      </c>
      <c r="D23" s="67" t="s">
        <v>188</v>
      </c>
      <c r="E23" s="67" t="str">
        <f aca="false">IF(ABS(N(INDEX(Balance_Sheet!$C$30:$F$30,1,VALUE(MID(Controls!$B$6,2,1)))))&lt;=1,"OK","FAIL")</f>
        <v>OK</v>
      </c>
    </row>
    <row r="24" customFormat="false" ht="14.9" hidden="false" customHeight="false" outlineLevel="0" collapsed="false">
      <c r="A24" s="70" t="s">
        <v>15</v>
      </c>
      <c r="B24" s="71" t="s">
        <v>189</v>
      </c>
      <c r="C24" s="74" t="str">
        <f aca="false">Checks!$B$3</f>
        <v>PASS WITH REVIEW</v>
      </c>
      <c r="D24" s="67" t="s">
        <v>190</v>
      </c>
      <c r="E24" s="67" t="str">
        <f aca="false">IF(Checks!$B$3="PASS","OK",IF(Checks!$B$3="FAIL","FAIL","REVIEW"))</f>
        <v>REVIEW</v>
      </c>
    </row>
    <row r="27" customFormat="false" ht="13.5" hidden="false" customHeight="false" outlineLevel="0" collapsed="false">
      <c r="A27" s="7" t="s">
        <v>191</v>
      </c>
      <c r="B27" s="7"/>
      <c r="C27" s="7"/>
      <c r="D27" s="7"/>
      <c r="E27" s="7"/>
      <c r="F27" s="7"/>
    </row>
    <row r="28" customFormat="false" ht="13.5" hidden="false" customHeight="false" outlineLevel="0" collapsed="false">
      <c r="A28" s="56" t="s">
        <v>3</v>
      </c>
      <c r="B28" s="56" t="s">
        <v>192</v>
      </c>
      <c r="C28" s="56" t="s">
        <v>167</v>
      </c>
      <c r="D28" s="56" t="s">
        <v>193</v>
      </c>
      <c r="E28" s="56" t="s">
        <v>13</v>
      </c>
      <c r="F28" s="56" t="s">
        <v>103</v>
      </c>
    </row>
    <row r="29" customFormat="false" ht="13.5" hidden="false" customHeight="false" outlineLevel="0" collapsed="false">
      <c r="A29" s="67" t="str">
        <f aca="false">Consolidation!B6</f>
        <v>PC Ghana</v>
      </c>
      <c r="B29" s="68" t="n">
        <f aca="false">IF(Consolidation!F6="","-",Consolidation!F6/1000)</f>
        <v>15545.817517</v>
      </c>
      <c r="C29" s="68" t="n">
        <f aca="false">IF(Consolidation!G6="","-",Consolidation!G6/1000)</f>
        <v>5801.71357</v>
      </c>
      <c r="D29" s="68" t="n">
        <f aca="false">IF(Consolidation!H6="","-",Consolidation!H6/1000)</f>
        <v>1657.48693445</v>
      </c>
      <c r="E29" s="68" t="n">
        <f aca="false">IF(Consolidation!I6="","-",Consolidation!I6/1000)</f>
        <v>5711.20786</v>
      </c>
      <c r="F29" s="67" t="str">
        <f aca="false">Consolidation!J6</f>
        <v>Populated</v>
      </c>
    </row>
    <row r="30" customFormat="false" ht="13.5" hidden="false" customHeight="false" outlineLevel="0" collapsed="false">
      <c r="A30" s="67" t="str">
        <f aca="false">Consolidation!B7</f>
        <v>Proforest Initiative</v>
      </c>
      <c r="B30" s="68" t="str">
        <f aca="false">IF(Consolidation!F7="","-",Consolidation!F7/1000)</f>
        <v>-</v>
      </c>
      <c r="C30" s="68" t="str">
        <f aca="false">IF(Consolidation!G7="","-",Consolidation!G7/1000)</f>
        <v>-</v>
      </c>
      <c r="D30" s="68" t="str">
        <f aca="false">IF(Consolidation!H7="","-",Consolidation!H7/1000)</f>
        <v>-</v>
      </c>
      <c r="E30" s="68" t="str">
        <f aca="false">IF(Consolidation!I7="","-",Consolidation!I7/1000)</f>
        <v>-</v>
      </c>
      <c r="F30" s="67" t="str">
        <f aca="false">Consolidation!J7</f>
        <v>Awaiting source pack</v>
      </c>
    </row>
    <row r="31" customFormat="false" ht="13.5" hidden="false" customHeight="false" outlineLevel="0" collapsed="false">
      <c r="A31" s="67" t="str">
        <f aca="false">Consolidation!B8</f>
        <v>Proforest Co-develop</v>
      </c>
      <c r="B31" s="68" t="str">
        <f aca="false">IF(Consolidation!F8="","-",Consolidation!F8/1000)</f>
        <v>-</v>
      </c>
      <c r="C31" s="68" t="str">
        <f aca="false">IF(Consolidation!G8="","-",Consolidation!G8/1000)</f>
        <v>-</v>
      </c>
      <c r="D31" s="68" t="str">
        <f aca="false">IF(Consolidation!H8="","-",Consolidation!H8/1000)</f>
        <v>-</v>
      </c>
      <c r="E31" s="68" t="str">
        <f aca="false">IF(Consolidation!I8="","-",Consolidation!I8/1000)</f>
        <v>-</v>
      </c>
      <c r="F31" s="67" t="str">
        <f aca="false">Consolidation!J8</f>
        <v>Awaiting source pack</v>
      </c>
    </row>
    <row r="32" customFormat="false" ht="13.5" hidden="false" customHeight="false" outlineLevel="0" collapsed="false">
      <c r="A32" s="67" t="str">
        <f aca="false">Consolidation!B9</f>
        <v>Proforest Cameroon</v>
      </c>
      <c r="B32" s="68" t="str">
        <f aca="false">IF(Consolidation!F9="","-",Consolidation!F9/1000)</f>
        <v>-</v>
      </c>
      <c r="C32" s="68" t="str">
        <f aca="false">IF(Consolidation!G9="","-",Consolidation!G9/1000)</f>
        <v>-</v>
      </c>
      <c r="D32" s="68" t="str">
        <f aca="false">IF(Consolidation!H9="","-",Consolidation!H9/1000)</f>
        <v>-</v>
      </c>
      <c r="E32" s="68" t="str">
        <f aca="false">IF(Consolidation!I9="","-",Consolidation!I9/1000)</f>
        <v>-</v>
      </c>
      <c r="F32" s="67" t="str">
        <f aca="false">Consolidation!J9</f>
        <v>Awaiting source pack</v>
      </c>
    </row>
    <row r="35" customFormat="false" ht="13.5" hidden="false" customHeight="false" outlineLevel="0" collapsed="false">
      <c r="A35" s="7" t="s">
        <v>194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customFormat="false" ht="13.5" hidden="false" customHeight="false" outlineLevel="0" collapsed="false">
      <c r="A36" s="14" t="s">
        <v>24</v>
      </c>
      <c r="B36" s="15" t="str">
        <f aca="false">IFERROR(INDEX(Mgmt_Commentary!$A:$A,_xlfn.AGGREGATE(15,6,ROW(Mgmt_Commentary!$I$5:$I$34)/(Mgmt_Commentary!$I$5:$I$34="Open"),1))&amp;":  "&amp;INDEX(Mgmt_Commentary!$B:$B,_xlfn.AGGREGATE(15,6,ROW(Mgmt_Commentary!$I$5:$I$34)/(Mgmt_Commentary!$I$5:$I$34="Open"),1))&amp;"  →  "&amp;INDEX(Mgmt_Commentary!$F:$F,_xlfn.AGGREGATE(15,6,ROW(Mgmt_Commentary!$I$5:$I$34)/(Mgmt_Commentary!$I$5:$I$34="Open"),1))&amp;"  ["&amp;INDEX(Mgmt_Commentary!$G:$G,_xlfn.AGGREGATE(15,6,ROW(Mgmt_Commentary!$I$5:$I$34)/(Mgmt_Commentary!$I$5:$I$34="Open"),1))&amp;"]","—")</f>
        <v>Fixed Costs:  YTD spend GHS 2.78m is 664k below phased budget (81% of YTD budget)  →  Confirm monthly phasing with budget holders; replace even phasing if a profile is approved  [Finance]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customFormat="false" ht="13.5" hidden="false" customHeight="false" outlineLevel="0" collapsed="false">
      <c r="A37" s="14" t="s">
        <v>25</v>
      </c>
      <c r="B37" s="15" t="str">
        <f aca="false">IFERROR(INDEX(Mgmt_Commentary!$A:$A,_xlfn.AGGREGATE(15,6,ROW(Mgmt_Commentary!$I$5:$I$34)/(Mgmt_Commentary!$I$5:$I$34="Open"),2))&amp;":  "&amp;INDEX(Mgmt_Commentary!$B:$B,_xlfn.AGGREGATE(15,6,ROW(Mgmt_Commentary!$I$5:$I$34)/(Mgmt_Commentary!$I$5:$I$34="Open"),2))&amp;"  →  "&amp;INDEX(Mgmt_Commentary!$F:$F,_xlfn.AGGREGATE(15,6,ROW(Mgmt_Commentary!$I$5:$I$34)/(Mgmt_Commentary!$I$5:$I$34="Open"),2))&amp;"  ["&amp;INDEX(Mgmt_Commentary!$G:$G,_xlfn.AGGREGATE(15,6,ROW(Mgmt_Commentary!$I$5:$I$34)/(Mgmt_Commentary!$I$5:$I$34="Open"),2))&amp;"]","—")</f>
        <v>Project Income:  PCGH767 (Presco scoping) WIP at 147% of net forecast  →  PM to true-up gross forecast in MM_Income for completed projects  [Project Leads]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customFormat="false" ht="13.5" hidden="false" customHeight="false" outlineLevel="0" collapsed="false">
      <c r="A38" s="14" t="s">
        <v>26</v>
      </c>
      <c r="B38" s="15" t="str">
        <f aca="false">IFERROR(INDEX(Mgmt_Commentary!$A:$A,_xlfn.AGGREGATE(15,6,ROW(Mgmt_Commentary!$I$5:$I$34)/(Mgmt_Commentary!$I$5:$I$34="Open"),3))&amp;":  "&amp;INDEX(Mgmt_Commentary!$B:$B,_xlfn.AGGREGATE(15,6,ROW(Mgmt_Commentary!$I$5:$I$34)/(Mgmt_Commentary!$I$5:$I$34="Open"),3))&amp;"  →  "&amp;INDEX(Mgmt_Commentary!$F:$F,_xlfn.AGGREGATE(15,6,ROW(Mgmt_Commentary!$I$5:$I$34)/(Mgmt_Commentary!$I$5:$I$34="Open"),3))&amp;"  ["&amp;INDEX(Mgmt_Commentary!$G:$G,_xlfn.AGGREGATE(15,6,ROW(Mgmt_Commentary!$I$5:$I$34)/(Mgmt_Commentary!$I$5:$I$34="Open"),3))&amp;"]","—")</f>
        <v>Executive:  Programme income (GHS 3.34m budget) not yet split by portfolio  →  Provide portfolio split on QMR_Inputs block 1  [Finance Lead]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customFormat="false" ht="13.5" hidden="false" customHeight="false" outlineLevel="0" collapsed="false">
      <c r="A39" s="14" t="s">
        <v>195</v>
      </c>
      <c r="B39" s="15" t="str">
        <f aca="false">IFERROR(INDEX(Mgmt_Commentary!$A:$A,_xlfn.AGGREGATE(15,6,ROW(Mgmt_Commentary!$I$5:$I$34)/(Mgmt_Commentary!$I$5:$I$34="Open"),4))&amp;":  "&amp;INDEX(Mgmt_Commentary!$B:$B,_xlfn.AGGREGATE(15,6,ROW(Mgmt_Commentary!$I$5:$I$34)/(Mgmt_Commentary!$I$5:$I$34="Open"),4))&amp;"  →  "&amp;INDEX(Mgmt_Commentary!$F:$F,_xlfn.AGGREGATE(15,6,ROW(Mgmt_Commentary!$I$5:$I$34)/(Mgmt_Commentary!$I$5:$I$34="Open"),4))&amp;"  ["&amp;INDEX(Mgmt_Commentary!$G:$G,_xlfn.AGGREGATE(15,6,ROW(Mgmt_Commentary!$I$5:$I$34)/(Mgmt_Commentary!$I$5:$I$34="Open"),4))&amp;"]","—")</f>
        <v>—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</sheetData>
  <sheetProtection sheet="true" objects="true" scenarios="true"/>
  <mergeCells count="8">
    <mergeCell ref="A8:F8"/>
    <mergeCell ref="A17:F17"/>
    <mergeCell ref="A27:F27"/>
    <mergeCell ref="A35:M35"/>
    <mergeCell ref="B36:M36"/>
    <mergeCell ref="B37:M37"/>
    <mergeCell ref="B38:M38"/>
    <mergeCell ref="B39:M39"/>
  </mergeCells>
  <conditionalFormatting sqref="K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"PASS"</formula>
    </cfRule>
    <cfRule type="cellIs" priority="4" operator="equal" aboveAverage="0" equalAverage="0" bottom="0" percent="0" rank="0" text="" dxfId="1">
      <formula>"REVIEW"</formula>
    </cfRule>
    <cfRule type="cellIs" priority="5" operator="equal" aboveAverage="0" equalAverage="0" bottom="0" percent="0" rank="0" text="" dxfId="1">
      <formula>"PASS WITH REVIEW"</formula>
    </cfRule>
    <cfRule type="cellIs" priority="6" operator="equal" aboveAverage="0" equalAverage="0" bottom="0" percent="0" rank="0" text="" dxfId="2">
      <formula>"FAIL"</formula>
    </cfRule>
  </conditionalFormatting>
  <conditionalFormatting sqref="E19:E24">
    <cfRule type="cellIs" priority="7" operator="equal" aboveAverage="0" equalAverage="0" bottom="0" percent="0" rank="0" text="" dxfId="0">
      <formula>"OK"</formula>
    </cfRule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"REVIEW"</formula>
    </cfRule>
    <cfRule type="cellIs" priority="10" operator="equal" aboveAverage="0" equalAverage="0" bottom="0" percent="0" rank="0" text="" dxfId="1">
      <formula>"PASS WITH REVIEW"</formula>
    </cfRule>
    <cfRule type="cellIs" priority="11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3B"/>
    <pageSetUpPr fitToPage="true"/>
  </sheetPr>
  <dimension ref="A1:I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E107" activeCellId="0" sqref="E107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55"/>
    <col collapsed="false" customWidth="true" hidden="false" outlineLevel="0" max="6" min="2" style="1" width="15"/>
    <col collapsed="false" customWidth="true" hidden="false" outlineLevel="0" max="9" min="7" style="1" width="13"/>
  </cols>
  <sheetData>
    <row r="1" customFormat="false" ht="17.25" hidden="false" customHeight="true" outlineLevel="0" collapsed="false">
      <c r="A1" s="75" t="str">
        <f aca="false">"Quarterly Management Report — "&amp;Controls!$B$8&amp;" — "&amp;Controls!$B$30</f>
        <v>Quarterly Management Report — PC Ghana — 2026-Q2</v>
      </c>
    </row>
    <row r="2" customFormat="false" ht="13.5" hidden="false" customHeight="false" outlineLevel="0" collapsed="false">
      <c r="A2" s="3" t="str">
        <f aca="false">"All figures GHS unless stated | Data: staging tabs + master mappings | Inputs live on QMR_Inputs only"</f>
        <v>All figures GHS unless stated | Data: staging tabs + master mappings | Inputs live on QMR_Inputs only</v>
      </c>
    </row>
    <row r="4" customFormat="false" ht="13.5" hidden="false" customHeight="false" outlineLevel="0" collapsed="false">
      <c r="A4" s="76" t="s">
        <v>196</v>
      </c>
    </row>
    <row r="5" customFormat="false" ht="24.75" hidden="false" customHeight="true" outlineLevel="0" collapsed="false">
      <c r="A5" s="56" t="s">
        <v>197</v>
      </c>
      <c r="B5" s="56" t="s">
        <v>198</v>
      </c>
      <c r="C5" s="56" t="s">
        <v>199</v>
      </c>
      <c r="D5" s="56" t="s">
        <v>200</v>
      </c>
      <c r="E5" s="56" t="s">
        <v>10</v>
      </c>
      <c r="F5" s="56" t="s">
        <v>201</v>
      </c>
      <c r="G5" s="56" t="s">
        <v>202</v>
      </c>
      <c r="H5" s="56" t="s">
        <v>203</v>
      </c>
      <c r="I5" s="56" t="s">
        <v>204</v>
      </c>
    </row>
    <row r="6" customFormat="false" ht="13.5" hidden="false" customHeight="false" outlineLevel="0" collapsed="false">
      <c r="A6" s="70" t="s">
        <v>205</v>
      </c>
      <c r="B6" s="68"/>
      <c r="C6" s="68"/>
      <c r="D6" s="68"/>
      <c r="E6" s="68"/>
      <c r="F6" s="68"/>
      <c r="G6" s="77"/>
      <c r="H6" s="77"/>
      <c r="I6" s="77"/>
    </row>
    <row r="7" customFormat="false" ht="13.5" hidden="false" customHeight="false" outlineLevel="0" collapsed="false">
      <c r="A7" s="67" t="s">
        <v>206</v>
      </c>
      <c r="B7" s="68"/>
      <c r="C7" s="68" t="n">
        <f aca="false">SUMIFS(Project_Forecast!$N$2:$N$393,Project_Forecast!$E$2:$E$393,"Responsible Sourcing",Project_Forecast!$G$2:$G$393,"External",Project_Forecast!$B$2:$B$393,Controls!$B$30,Project_Forecast!$A$2:$A$393,Controls!$B$7)</f>
        <v>0</v>
      </c>
      <c r="D7" s="68" t="n">
        <f aca="false">SUMIFS(Project_Forecast!$N$2:$N$393,Project_Forecast!$E$2:$E$393,"Responsible Sourcing",Project_Forecast!$G$2:$G$393,"External",Project_Forecast!$L$2:$L$393,"Secured",Project_Forecast!$B$2:$B$393,Controls!$B$30,Project_Forecast!$A$2:$A$393,Controls!$B$7)</f>
        <v>0</v>
      </c>
      <c r="E7" s="68" t="n">
        <f aca="false">SUMIFS(Project_Forecast!$AD$2:$AD$393,Project_Forecast!$E$2:$E$393,"Responsible Sourcing",Project_Forecast!$G$2:$G$393,"External",Project_Forecast!$B$2:$B$393,Controls!$B$30,Project_Forecast!$A$2:$A$393,Controls!$B$7)</f>
        <v>0</v>
      </c>
      <c r="F7" s="68" t="n">
        <f aca="false">SUMIFS(Project_Forecast!$O$2:$O$393,Project_Forecast!$E$2:$E$393,"Responsible Sourcing",Project_Forecast!$G$2:$G$393,"External",Project_Forecast!$B$2:$B$393,Controls!$B$30,Project_Forecast!$A$2:$A$393,Controls!$B$7)</f>
        <v>0</v>
      </c>
      <c r="G7" s="77"/>
      <c r="H7" s="77"/>
      <c r="I7" s="77"/>
    </row>
    <row r="8" customFormat="false" ht="13.5" hidden="false" customHeight="false" outlineLevel="0" collapsed="false">
      <c r="A8" s="67" t="s">
        <v>207</v>
      </c>
      <c r="B8" s="68"/>
      <c r="C8" s="68" t="n">
        <f aca="false">SUMIFS(Project_Forecast!$N$2:$N$393,Project_Forecast!$E$2:$E$393,"Responsible Production",Project_Forecast!$G$2:$G$393,"External",Project_Forecast!$B$2:$B$393,Controls!$B$30,Project_Forecast!$A$2:$A$393,Controls!$B$7)</f>
        <v>9760078.0305</v>
      </c>
      <c r="D8" s="68" t="n">
        <f aca="false">SUMIFS(Project_Forecast!$N$2:$N$393,Project_Forecast!$E$2:$E$393,"Responsible Production",Project_Forecast!$G$2:$G$393,"External",Project_Forecast!$L$2:$L$393,"Secured",Project_Forecast!$B$2:$B$393,Controls!$B$30,Project_Forecast!$A$2:$A$393,Controls!$B$7)</f>
        <v>6643820.7305</v>
      </c>
      <c r="E8" s="68" t="n">
        <f aca="false">SUMIFS(Project_Forecast!$AD$2:$AD$393,Project_Forecast!$E$2:$E$393,"Responsible Production",Project_Forecast!$G$2:$G$393,"External",Project_Forecast!$B$2:$B$393,Controls!$B$30,Project_Forecast!$A$2:$A$393,Controls!$B$7)</f>
        <v>4656235.41525</v>
      </c>
      <c r="F8" s="68" t="n">
        <f aca="false">SUMIFS(Project_Forecast!$O$2:$O$393,Project_Forecast!$E$2:$E$393,"Responsible Production",Project_Forecast!$G$2:$G$393,"External",Project_Forecast!$B$2:$B$393,Controls!$B$30,Project_Forecast!$A$2:$A$393,Controls!$B$7)</f>
        <v>3852516.13</v>
      </c>
      <c r="G8" s="77"/>
      <c r="H8" s="77"/>
      <c r="I8" s="77"/>
    </row>
    <row r="9" customFormat="false" ht="13.5" hidden="false" customHeight="false" outlineLevel="0" collapsed="false">
      <c r="A9" s="67" t="s">
        <v>208</v>
      </c>
      <c r="B9" s="68"/>
      <c r="C9" s="68" t="n">
        <f aca="false">SUMIFS(Project_Forecast!$N$2:$N$393,Project_Forecast!$E$2:$E$393,"Responsible Finance",Project_Forecast!$G$2:$G$393,"External",Project_Forecast!$B$2:$B$393,Controls!$B$30,Project_Forecast!$A$2:$A$393,Controls!$B$7)</f>
        <v>913245</v>
      </c>
      <c r="D9" s="68" t="n">
        <f aca="false">SUMIFS(Project_Forecast!$N$2:$N$393,Project_Forecast!$E$2:$E$393,"Responsible Finance",Project_Forecast!$G$2:$G$393,"External",Project_Forecast!$L$2:$L$393,"Secured",Project_Forecast!$B$2:$B$393,Controls!$B$30,Project_Forecast!$A$2:$A$393,Controls!$B$7)</f>
        <v>913245</v>
      </c>
      <c r="E9" s="68" t="n">
        <f aca="false">SUMIFS(Project_Forecast!$AD$2:$AD$393,Project_Forecast!$E$2:$E$393,"Responsible Finance",Project_Forecast!$G$2:$G$393,"External",Project_Forecast!$B$2:$B$393,Controls!$B$30,Project_Forecast!$A$2:$A$393,Controls!$B$7)</f>
        <v>696184.8</v>
      </c>
      <c r="F9" s="68" t="n">
        <f aca="false">SUMIFS(Project_Forecast!$O$2:$O$393,Project_Forecast!$E$2:$E$393,"Responsible Finance",Project_Forecast!$G$2:$G$393,"External",Project_Forecast!$B$2:$B$393,Controls!$B$30,Project_Forecast!$A$2:$A$393,Controls!$B$7)</f>
        <v>801822.68</v>
      </c>
      <c r="G9" s="77"/>
      <c r="H9" s="77"/>
      <c r="I9" s="77"/>
    </row>
    <row r="10" customFormat="false" ht="13.5" hidden="false" customHeight="false" outlineLevel="0" collapsed="false">
      <c r="A10" s="67" t="s">
        <v>209</v>
      </c>
      <c r="B10" s="68"/>
      <c r="C10" s="68" t="n">
        <f aca="false">SUMIFS(Project_Forecast!$N$2:$N$393,Project_Forecast!$E$2:$E$393,"Collaboration",Project_Forecast!$G$2:$G$393,"External",Project_Forecast!$B$2:$B$393,Controls!$B$30,Project_Forecast!$A$2:$A$393,Controls!$B$7)</f>
        <v>128400</v>
      </c>
      <c r="D10" s="68" t="n">
        <f aca="false">SUMIFS(Project_Forecast!$N$2:$N$393,Project_Forecast!$E$2:$E$393,"Collaboration",Project_Forecast!$G$2:$G$393,"External",Project_Forecast!$L$2:$L$393,"Secured",Project_Forecast!$B$2:$B$393,Controls!$B$30,Project_Forecast!$A$2:$A$393,Controls!$B$7)</f>
        <v>128400</v>
      </c>
      <c r="E10" s="68" t="n">
        <f aca="false">SUMIFS(Project_Forecast!$AD$2:$AD$393,Project_Forecast!$E$2:$E$393,"Collaboration",Project_Forecast!$G$2:$G$393,"External",Project_Forecast!$B$2:$B$393,Controls!$B$30,Project_Forecast!$A$2:$A$393,Controls!$B$7)</f>
        <v>64200</v>
      </c>
      <c r="F10" s="68" t="n">
        <f aca="false">SUMIFS(Project_Forecast!$O$2:$O$393,Project_Forecast!$E$2:$E$393,"Collaboration",Project_Forecast!$G$2:$G$393,"External",Project_Forecast!$B$2:$B$393,Controls!$B$30,Project_Forecast!$A$2:$A$393,Controls!$B$7)</f>
        <v>0</v>
      </c>
      <c r="G10" s="77"/>
      <c r="H10" s="77"/>
      <c r="I10" s="77"/>
    </row>
    <row r="11" customFormat="false" ht="13.5" hidden="false" customHeight="false" outlineLevel="0" collapsed="false">
      <c r="A11" s="67" t="s">
        <v>210</v>
      </c>
      <c r="B11" s="68"/>
      <c r="C11" s="68" t="n">
        <f aca="false">SUMIFS(Project_Forecast!$N$2:$N$393,Project_Forecast!$E$2:$E$393,"Production Landscape",Project_Forecast!$G$2:$G$393,"External",Project_Forecast!$B$2:$B$393,Controls!$B$30,Project_Forecast!$A$2:$A$393,Controls!$B$7)</f>
        <v>0</v>
      </c>
      <c r="D11" s="68" t="n">
        <f aca="false">SUMIFS(Project_Forecast!$N$2:$N$393,Project_Forecast!$E$2:$E$393,"Production Landscape",Project_Forecast!$G$2:$G$393,"External",Project_Forecast!$L$2:$L$393,"Secured",Project_Forecast!$B$2:$B$393,Controls!$B$30,Project_Forecast!$A$2:$A$393,Controls!$B$7)</f>
        <v>0</v>
      </c>
      <c r="E11" s="68" t="n">
        <f aca="false">SUMIFS(Project_Forecast!$AD$2:$AD$393,Project_Forecast!$E$2:$E$393,"Production Landscape",Project_Forecast!$G$2:$G$393,"External",Project_Forecast!$B$2:$B$393,Controls!$B$30,Project_Forecast!$A$2:$A$393,Controls!$B$7)</f>
        <v>0</v>
      </c>
      <c r="F11" s="68" t="n">
        <f aca="false">SUMIFS(Project_Forecast!$O$2:$O$393,Project_Forecast!$E$2:$E$393,"Production Landscape",Project_Forecast!$G$2:$G$393,"External",Project_Forecast!$B$2:$B$393,Controls!$B$30,Project_Forecast!$A$2:$A$393,Controls!$B$7)</f>
        <v>0</v>
      </c>
      <c r="G11" s="77"/>
      <c r="H11" s="77"/>
      <c r="I11" s="77"/>
    </row>
    <row r="12" customFormat="false" ht="13.5" hidden="false" customHeight="false" outlineLevel="0" collapsed="false">
      <c r="A12" s="67" t="s">
        <v>211</v>
      </c>
      <c r="B12" s="68"/>
      <c r="C12" s="68" t="n">
        <f aca="false">SUMIFS(Project_Forecast!$N$2:$N$393,Project_Forecast!$E$2:$E$393,"Policy &amp; Regulation",Project_Forecast!$G$2:$G$393,"External",Project_Forecast!$B$2:$B$393,Controls!$B$30,Project_Forecast!$A$2:$A$393,Controls!$B$7)</f>
        <v>0</v>
      </c>
      <c r="D12" s="68" t="n">
        <f aca="false">SUMIFS(Project_Forecast!$N$2:$N$393,Project_Forecast!$E$2:$E$393,"Policy &amp; Regulation",Project_Forecast!$G$2:$G$393,"External",Project_Forecast!$L$2:$L$393,"Secured",Project_Forecast!$B$2:$B$393,Controls!$B$30,Project_Forecast!$A$2:$A$393,Controls!$B$7)</f>
        <v>0</v>
      </c>
      <c r="E12" s="68" t="n">
        <f aca="false">SUMIFS(Project_Forecast!$AD$2:$AD$393,Project_Forecast!$E$2:$E$393,"Policy &amp; Regulation",Project_Forecast!$G$2:$G$393,"External",Project_Forecast!$B$2:$B$393,Controls!$B$30,Project_Forecast!$A$2:$A$393,Controls!$B$7)</f>
        <v>0</v>
      </c>
      <c r="F12" s="68" t="n">
        <f aca="false">SUMIFS(Project_Forecast!$O$2:$O$393,Project_Forecast!$E$2:$E$393,"Policy &amp; Regulation",Project_Forecast!$G$2:$G$393,"External",Project_Forecast!$B$2:$B$393,Controls!$B$30,Project_Forecast!$A$2:$A$393,Controls!$B$7)</f>
        <v>0</v>
      </c>
      <c r="G12" s="77"/>
      <c r="H12" s="77"/>
      <c r="I12" s="77"/>
    </row>
    <row r="13" customFormat="false" ht="13.5" hidden="false" customHeight="false" outlineLevel="0" collapsed="false">
      <c r="A13" s="70" t="s">
        <v>212</v>
      </c>
      <c r="B13" s="68" t="n">
        <f aca="false">QMR_Inputs!$B$51</f>
        <v>0</v>
      </c>
      <c r="C13" s="78" t="n">
        <f aca="false">SUM(C7:C12)</f>
        <v>10801723.0305</v>
      </c>
      <c r="D13" s="78" t="n">
        <f aca="false">SUM(D7:D12)</f>
        <v>7685465.7305</v>
      </c>
      <c r="E13" s="78" t="n">
        <f aca="false">SUM(E7:E12)</f>
        <v>5416620.21525</v>
      </c>
      <c r="F13" s="78" t="n">
        <f aca="false">SUM(F7:F12)</f>
        <v>4654338.81</v>
      </c>
      <c r="G13" s="77"/>
      <c r="H13" s="77"/>
      <c r="I13" s="77"/>
    </row>
    <row r="14" customFormat="false" ht="13.5" hidden="false" customHeight="false" outlineLevel="0" collapsed="false">
      <c r="A14" s="70" t="s">
        <v>213</v>
      </c>
      <c r="B14" s="68"/>
      <c r="C14" s="68"/>
      <c r="D14" s="68"/>
      <c r="E14" s="68"/>
      <c r="F14" s="68"/>
      <c r="G14" s="77"/>
      <c r="H14" s="77"/>
      <c r="I14" s="77"/>
    </row>
    <row r="15" customFormat="false" ht="13.5" hidden="false" customHeight="false" outlineLevel="0" collapsed="false">
      <c r="A15" s="67" t="s">
        <v>206</v>
      </c>
      <c r="B15" s="68"/>
      <c r="C15" s="68" t="n">
        <f aca="false">SUMIFS(Project_Forecast!$N$2:$N$393,Project_Forecast!$E$2:$E$393,"Responsible Sourcing",Project_Forecast!$G$2:$G$393,"Internal",Project_Forecast!$B$2:$B$393,Controls!$B$30,Project_Forecast!$A$2:$A$393,Controls!$B$7)</f>
        <v>4090375.05</v>
      </c>
      <c r="D15" s="68" t="n">
        <f aca="false">SUMIFS(Project_Forecast!$N$2:$N$393,Project_Forecast!$E$2:$E$393,"Responsible Sourcing",Project_Forecast!$G$2:$G$393,"Internal",Project_Forecast!$L$2:$L$393,"Secured",Project_Forecast!$B$2:$B$393,Controls!$B$30,Project_Forecast!$A$2:$A$393,Controls!$B$7)</f>
        <v>4090375.05</v>
      </c>
      <c r="E15" s="68" t="n">
        <f aca="false">SUMIFS(Project_Forecast!$AD$2:$AD$393,Project_Forecast!$E$2:$E$393,"Responsible Sourcing",Project_Forecast!$G$2:$G$393,"Internal",Project_Forecast!$B$2:$B$393,Controls!$B$30,Project_Forecast!$A$2:$A$393,Controls!$B$7)</f>
        <v>1847024.74</v>
      </c>
      <c r="F15" s="68" t="n">
        <f aca="false">SUMIFS(Project_Forecast!$O$2:$O$393,Project_Forecast!$E$2:$E$393,"Responsible Sourcing",Project_Forecast!$G$2:$G$393,"Internal",Project_Forecast!$B$2:$B$393,Controls!$B$30,Project_Forecast!$A$2:$A$393,Controls!$B$7)</f>
        <v>2294991.82</v>
      </c>
      <c r="G15" s="77"/>
      <c r="H15" s="77"/>
      <c r="I15" s="77"/>
    </row>
    <row r="16" customFormat="false" ht="13.5" hidden="false" customHeight="false" outlineLevel="0" collapsed="false">
      <c r="A16" s="67" t="s">
        <v>207</v>
      </c>
      <c r="B16" s="68"/>
      <c r="C16" s="68" t="n">
        <f aca="false">SUMIFS(Project_Forecast!$N$2:$N$393,Project_Forecast!$E$2:$E$393,"Responsible Production",Project_Forecast!$G$2:$G$393,"Internal",Project_Forecast!$B$2:$B$393,Controls!$B$30,Project_Forecast!$A$2:$A$393,Controls!$B$7)</f>
        <v>0</v>
      </c>
      <c r="D16" s="68" t="n">
        <f aca="false">SUMIFS(Project_Forecast!$N$2:$N$393,Project_Forecast!$E$2:$E$393,"Responsible Production",Project_Forecast!$G$2:$G$393,"Internal",Project_Forecast!$L$2:$L$393,"Secured",Project_Forecast!$B$2:$B$393,Controls!$B$30,Project_Forecast!$A$2:$A$393,Controls!$B$7)</f>
        <v>0</v>
      </c>
      <c r="E16" s="68" t="n">
        <f aca="false">SUMIFS(Project_Forecast!$AD$2:$AD$393,Project_Forecast!$E$2:$E$393,"Responsible Production",Project_Forecast!$G$2:$G$393,"Internal",Project_Forecast!$B$2:$B$393,Controls!$B$30,Project_Forecast!$A$2:$A$393,Controls!$B$7)</f>
        <v>0</v>
      </c>
      <c r="F16" s="68" t="n">
        <f aca="false">SUMIFS(Project_Forecast!$O$2:$O$393,Project_Forecast!$E$2:$E$393,"Responsible Production",Project_Forecast!$G$2:$G$393,"Internal",Project_Forecast!$B$2:$B$393,Controls!$B$30,Project_Forecast!$A$2:$A$393,Controls!$B$7)</f>
        <v>0</v>
      </c>
      <c r="G16" s="77"/>
      <c r="H16" s="77"/>
      <c r="I16" s="77"/>
    </row>
    <row r="17" customFormat="false" ht="13.5" hidden="false" customHeight="false" outlineLevel="0" collapsed="false">
      <c r="A17" s="67" t="s">
        <v>208</v>
      </c>
      <c r="B17" s="68"/>
      <c r="C17" s="68" t="n">
        <f aca="false">SUMIFS(Project_Forecast!$N$2:$N$393,Project_Forecast!$E$2:$E$393,"Responsible Finance",Project_Forecast!$G$2:$G$393,"Internal",Project_Forecast!$B$2:$B$393,Controls!$B$30,Project_Forecast!$A$2:$A$393,Controls!$B$7)</f>
        <v>653719.4365</v>
      </c>
      <c r="D17" s="68" t="n">
        <f aca="false">SUMIFS(Project_Forecast!$N$2:$N$393,Project_Forecast!$E$2:$E$393,"Responsible Finance",Project_Forecast!$G$2:$G$393,"Internal",Project_Forecast!$L$2:$L$393,"Secured",Project_Forecast!$B$2:$B$393,Controls!$B$30,Project_Forecast!$A$2:$A$393,Controls!$B$7)</f>
        <v>244444.4365</v>
      </c>
      <c r="E17" s="68" t="n">
        <f aca="false">SUMIFS(Project_Forecast!$AD$2:$AD$393,Project_Forecast!$E$2:$E$393,"Responsible Finance",Project_Forecast!$G$2:$G$393,"Internal",Project_Forecast!$B$2:$B$393,Controls!$B$30,Project_Forecast!$A$2:$A$393,Controls!$B$7)</f>
        <v>195555.5492</v>
      </c>
      <c r="F17" s="68" t="n">
        <f aca="false">SUMIFS(Project_Forecast!$O$2:$O$393,Project_Forecast!$E$2:$E$393,"Responsible Finance",Project_Forecast!$G$2:$G$393,"Internal",Project_Forecast!$B$2:$B$393,Controls!$B$30,Project_Forecast!$A$2:$A$393,Controls!$B$7)</f>
        <v>122187.25</v>
      </c>
      <c r="G17" s="77"/>
      <c r="H17" s="77"/>
      <c r="I17" s="77"/>
    </row>
    <row r="18" customFormat="false" ht="13.5" hidden="false" customHeight="false" outlineLevel="0" collapsed="false">
      <c r="A18" s="67" t="s">
        <v>209</v>
      </c>
      <c r="B18" s="68"/>
      <c r="C18" s="68" t="n">
        <f aca="false">SUMIFS(Project_Forecast!$N$2:$N$393,Project_Forecast!$E$2:$E$393,"Collaboration",Project_Forecast!$G$2:$G$393,"Internal",Project_Forecast!$B$2:$B$393,Controls!$B$30,Project_Forecast!$A$2:$A$393,Controls!$B$7)</f>
        <v>0</v>
      </c>
      <c r="D18" s="68" t="n">
        <f aca="false">SUMIFS(Project_Forecast!$N$2:$N$393,Project_Forecast!$E$2:$E$393,"Collaboration",Project_Forecast!$G$2:$G$393,"Internal",Project_Forecast!$L$2:$L$393,"Secured",Project_Forecast!$B$2:$B$393,Controls!$B$30,Project_Forecast!$A$2:$A$393,Controls!$B$7)</f>
        <v>0</v>
      </c>
      <c r="E18" s="68" t="n">
        <f aca="false">SUMIFS(Project_Forecast!$AD$2:$AD$393,Project_Forecast!$E$2:$E$393,"Collaboration",Project_Forecast!$G$2:$G$393,"Internal",Project_Forecast!$B$2:$B$393,Controls!$B$30,Project_Forecast!$A$2:$A$393,Controls!$B$7)</f>
        <v>0</v>
      </c>
      <c r="F18" s="68" t="n">
        <f aca="false">SUMIFS(Project_Forecast!$O$2:$O$393,Project_Forecast!$E$2:$E$393,"Collaboration",Project_Forecast!$G$2:$G$393,"Internal",Project_Forecast!$B$2:$B$393,Controls!$B$30,Project_Forecast!$A$2:$A$393,Controls!$B$7)</f>
        <v>0</v>
      </c>
      <c r="G18" s="77"/>
      <c r="H18" s="77"/>
      <c r="I18" s="77"/>
    </row>
    <row r="19" customFormat="false" ht="13.5" hidden="false" customHeight="false" outlineLevel="0" collapsed="false">
      <c r="A19" s="67" t="s">
        <v>210</v>
      </c>
      <c r="B19" s="68"/>
      <c r="C19" s="68" t="n">
        <f aca="false">SUMIFS(Project_Forecast!$N$2:$N$393,Project_Forecast!$E$2:$E$393,"Production Landscape",Project_Forecast!$G$2:$G$393,"Internal",Project_Forecast!$B$2:$B$393,Controls!$B$30,Project_Forecast!$A$2:$A$393,Controls!$B$7)</f>
        <v>0</v>
      </c>
      <c r="D19" s="68" t="n">
        <f aca="false">SUMIFS(Project_Forecast!$N$2:$N$393,Project_Forecast!$E$2:$E$393,"Production Landscape",Project_Forecast!$G$2:$G$393,"Internal",Project_Forecast!$L$2:$L$393,"Secured",Project_Forecast!$B$2:$B$393,Controls!$B$30,Project_Forecast!$A$2:$A$393,Controls!$B$7)</f>
        <v>0</v>
      </c>
      <c r="E19" s="68" t="n">
        <f aca="false">SUMIFS(Project_Forecast!$AD$2:$AD$393,Project_Forecast!$E$2:$E$393,"Production Landscape",Project_Forecast!$G$2:$G$393,"Internal",Project_Forecast!$B$2:$B$393,Controls!$B$30,Project_Forecast!$A$2:$A$393,Controls!$B$7)</f>
        <v>0</v>
      </c>
      <c r="F19" s="68" t="n">
        <f aca="false">SUMIFS(Project_Forecast!$O$2:$O$393,Project_Forecast!$E$2:$E$393,"Production Landscape",Project_Forecast!$G$2:$G$393,"Internal",Project_Forecast!$B$2:$B$393,Controls!$B$30,Project_Forecast!$A$2:$A$393,Controls!$B$7)</f>
        <v>0</v>
      </c>
      <c r="G19" s="77"/>
      <c r="H19" s="77"/>
      <c r="I19" s="77"/>
    </row>
    <row r="20" customFormat="false" ht="13.5" hidden="false" customHeight="false" outlineLevel="0" collapsed="false">
      <c r="A20" s="67" t="s">
        <v>211</v>
      </c>
      <c r="B20" s="68"/>
      <c r="C20" s="68" t="n">
        <f aca="false">SUMIFS(Project_Forecast!$N$2:$N$393,Project_Forecast!$E$2:$E$393,"Policy &amp; Regulation",Project_Forecast!$G$2:$G$393,"Internal",Project_Forecast!$B$2:$B$393,Controls!$B$30,Project_Forecast!$A$2:$A$393,Controls!$B$7)</f>
        <v>0</v>
      </c>
      <c r="D20" s="68" t="n">
        <f aca="false">SUMIFS(Project_Forecast!$N$2:$N$393,Project_Forecast!$E$2:$E$393,"Policy &amp; Regulation",Project_Forecast!$G$2:$G$393,"Internal",Project_Forecast!$L$2:$L$393,"Secured",Project_Forecast!$B$2:$B$393,Controls!$B$30,Project_Forecast!$A$2:$A$393,Controls!$B$7)</f>
        <v>0</v>
      </c>
      <c r="E20" s="68" t="n">
        <f aca="false">SUMIFS(Project_Forecast!$AD$2:$AD$393,Project_Forecast!$E$2:$E$393,"Policy &amp; Regulation",Project_Forecast!$G$2:$G$393,"Internal",Project_Forecast!$B$2:$B$393,Controls!$B$30,Project_Forecast!$A$2:$A$393,Controls!$B$7)</f>
        <v>0</v>
      </c>
      <c r="F20" s="68" t="n">
        <f aca="false">SUMIFS(Project_Forecast!$O$2:$O$393,Project_Forecast!$E$2:$E$393,"Policy &amp; Regulation",Project_Forecast!$G$2:$G$393,"Internal",Project_Forecast!$B$2:$B$393,Controls!$B$30,Project_Forecast!$A$2:$A$393,Controls!$B$7)</f>
        <v>0</v>
      </c>
      <c r="G20" s="77"/>
      <c r="H20" s="77"/>
      <c r="I20" s="77"/>
    </row>
    <row r="21" customFormat="false" ht="13.5" hidden="false" customHeight="false" outlineLevel="0" collapsed="false">
      <c r="A21" s="70" t="s">
        <v>214</v>
      </c>
      <c r="B21" s="68" t="n">
        <f aca="false">QMR_Inputs!$B$52</f>
        <v>0</v>
      </c>
      <c r="C21" s="78" t="n">
        <f aca="false">SUM(C15:C20)</f>
        <v>4744094.4865</v>
      </c>
      <c r="D21" s="78" t="n">
        <f aca="false">SUM(D15:D20)</f>
        <v>4334819.4865</v>
      </c>
      <c r="E21" s="78" t="n">
        <f aca="false">SUM(E15:E20)</f>
        <v>2042580.2892</v>
      </c>
      <c r="F21" s="78" t="n">
        <f aca="false">SUM(F15:F20)</f>
        <v>2417179.07</v>
      </c>
      <c r="G21" s="77"/>
      <c r="H21" s="77"/>
      <c r="I21" s="77"/>
    </row>
    <row r="22" customFormat="false" ht="13.5" hidden="false" customHeight="false" outlineLevel="0" collapsed="false">
      <c r="A22" s="67" t="s">
        <v>215</v>
      </c>
      <c r="B22" s="68"/>
      <c r="C22" s="68" t="n">
        <f aca="false">SUMIFS(Project_Forecast!$N$2:$N$393,Project_Forecast!$B$2:$B$393,Controls!$B$30,Project_Forecast!$A$2:$A$393,Controls!$B$7)-C13-C21</f>
        <v>0</v>
      </c>
      <c r="D22" s="68" t="n">
        <f aca="false">SUMIFS(Project_Forecast!$N$2:$N$393,Project_Forecast!$L$2:$L$393,"Secured",Project_Forecast!$B$2:$B$393,Controls!$B$30,Project_Forecast!$A$2:$A$393,Controls!$B$7)-D13-D21</f>
        <v>0</v>
      </c>
      <c r="E22" s="68" t="n">
        <f aca="false">SUMIFS(Project_Forecast!$AD$2:$AD$393,Project_Forecast!$B$2:$B$393,Controls!$B$30,Project_Forecast!$A$2:$A$393,Controls!$B$7)-E13-E21</f>
        <v>0</v>
      </c>
      <c r="F22" s="68" t="n">
        <f aca="false">SUMIFS(Project_Forecast!$O$2:$O$393,Project_Forecast!$B$2:$B$393,Controls!$B$30,Project_Forecast!$A$2:$A$393,Controls!$B$7)-F13-F21</f>
        <v>0</v>
      </c>
      <c r="G22" s="77"/>
      <c r="H22" s="77"/>
      <c r="I22" s="77"/>
    </row>
    <row r="23" customFormat="false" ht="13.5" hidden="false" customHeight="false" outlineLevel="0" collapsed="false">
      <c r="A23" s="70" t="s">
        <v>216</v>
      </c>
      <c r="B23" s="79" t="n">
        <f aca="false">B13+B21</f>
        <v>0</v>
      </c>
      <c r="C23" s="78" t="n">
        <f aca="false">C13+C21+C22</f>
        <v>15545817.517</v>
      </c>
      <c r="D23" s="78" t="n">
        <f aca="false">D13+D21+D22</f>
        <v>12020285.217</v>
      </c>
      <c r="E23" s="78" t="n">
        <f aca="false">E13+E21+E22</f>
        <v>7459200.50445</v>
      </c>
      <c r="F23" s="78" t="n">
        <f aca="false">F13+F21+F22</f>
        <v>7071517.88</v>
      </c>
      <c r="G23" s="77" t="n">
        <f aca="false">IFERROR(D23/B23,0)</f>
        <v>0</v>
      </c>
      <c r="H23" s="77" t="n">
        <f aca="false">IFERROR(E23/B23,0)</f>
        <v>0</v>
      </c>
      <c r="I23" s="77" t="n">
        <f aca="false">IFERROR(F23/B23,0)</f>
        <v>0</v>
      </c>
    </row>
    <row r="24" customFormat="false" ht="13.5" hidden="false" customHeight="false" outlineLevel="0" collapsed="false">
      <c r="A24" s="70" t="s">
        <v>217</v>
      </c>
      <c r="B24" s="68"/>
      <c r="C24" s="68"/>
      <c r="D24" s="68"/>
      <c r="E24" s="68"/>
      <c r="F24" s="68"/>
      <c r="G24" s="77"/>
      <c r="H24" s="77"/>
      <c r="I24" s="77"/>
    </row>
    <row r="25" customFormat="false" ht="13.5" hidden="false" customHeight="false" outlineLevel="0" collapsed="false">
      <c r="A25" s="67" t="s">
        <v>210</v>
      </c>
      <c r="B25" s="79" t="n">
        <f aca="false">QMR_Inputs!B6</f>
        <v>2347805</v>
      </c>
      <c r="C25" s="79" t="n">
        <f aca="false">QMR_Inputs!C6</f>
        <v>2347805</v>
      </c>
      <c r="D25" s="79" t="n">
        <f aca="false">QMR_Inputs!D6</f>
        <v>2347805</v>
      </c>
      <c r="E25" s="79" t="n">
        <f aca="false">QMR_Inputs!E6</f>
        <v>945514</v>
      </c>
      <c r="F25" s="68" t="n">
        <f aca="false">QMR_Inputs!G6</f>
        <v>0</v>
      </c>
      <c r="G25" s="77"/>
      <c r="H25" s="77"/>
      <c r="I25" s="77"/>
    </row>
    <row r="26" customFormat="false" ht="13.5" hidden="false" customHeight="false" outlineLevel="0" collapsed="false">
      <c r="A26" s="67" t="s">
        <v>209</v>
      </c>
      <c r="B26" s="79" t="n">
        <f aca="false">QMR_Inputs!B7</f>
        <v>993385</v>
      </c>
      <c r="C26" s="79" t="n">
        <f aca="false">QMR_Inputs!C7</f>
        <v>499758</v>
      </c>
      <c r="D26" s="79" t="n">
        <f aca="false">QMR_Inputs!D7</f>
        <v>499758</v>
      </c>
      <c r="E26" s="79" t="n">
        <f aca="false">QMR_Inputs!E7</f>
        <v>393304</v>
      </c>
      <c r="F26" s="68" t="n">
        <f aca="false">QMR_Inputs!G7</f>
        <v>0</v>
      </c>
      <c r="G26" s="77"/>
      <c r="H26" s="77"/>
      <c r="I26" s="77"/>
    </row>
    <row r="27" customFormat="false" ht="13.5" hidden="false" customHeight="false" outlineLevel="0" collapsed="false">
      <c r="A27" s="67" t="s">
        <v>211</v>
      </c>
      <c r="B27" s="79" t="n">
        <f aca="false">QMR_Inputs!B8</f>
        <v>0</v>
      </c>
      <c r="C27" s="79" t="n">
        <f aca="false">QMR_Inputs!C8</f>
        <v>0</v>
      </c>
      <c r="D27" s="79" t="n">
        <f aca="false">QMR_Inputs!D8</f>
        <v>0</v>
      </c>
      <c r="E27" s="79" t="n">
        <f aca="false">QMR_Inputs!E8</f>
        <v>0</v>
      </c>
      <c r="F27" s="68" t="n">
        <f aca="false">QMR_Inputs!G8</f>
        <v>0</v>
      </c>
      <c r="G27" s="77"/>
      <c r="H27" s="77"/>
      <c r="I27" s="77"/>
    </row>
    <row r="28" customFormat="false" ht="13.5" hidden="false" customHeight="false" outlineLevel="0" collapsed="false">
      <c r="A28" s="70" t="s">
        <v>218</v>
      </c>
      <c r="B28" s="78" t="n">
        <f aca="false">SUM(B25:B27)</f>
        <v>3341190</v>
      </c>
      <c r="C28" s="78" t="n">
        <f aca="false">SUM(C25:C27)</f>
        <v>2847563</v>
      </c>
      <c r="D28" s="78" t="n">
        <f aca="false">SUM(D25:D27)</f>
        <v>2847563</v>
      </c>
      <c r="E28" s="78" t="n">
        <f aca="false">SUM(E25:E27)</f>
        <v>1338818</v>
      </c>
      <c r="F28" s="78" t="n">
        <f aca="false">SUM(F25:F27)</f>
        <v>0</v>
      </c>
      <c r="G28" s="77" t="n">
        <f aca="false">IFERROR(D28/B28,0)</f>
        <v>0.852260122890348</v>
      </c>
      <c r="H28" s="77" t="n">
        <f aca="false">IFERROR(E28/B28,0)</f>
        <v>0.40070094786588</v>
      </c>
      <c r="I28" s="77" t="n">
        <f aca="false">IFERROR(F28/B28,0)</f>
        <v>0</v>
      </c>
    </row>
    <row r="29" customFormat="false" ht="13.5" hidden="false" customHeight="false" outlineLevel="0" collapsed="false">
      <c r="A29" s="70" t="s">
        <v>219</v>
      </c>
      <c r="B29" s="78" t="n">
        <f aca="false">B23+B28</f>
        <v>3341190</v>
      </c>
      <c r="C29" s="78" t="n">
        <f aca="false">C23+C28</f>
        <v>18393380.517</v>
      </c>
      <c r="D29" s="78" t="n">
        <f aca="false">D23+D28</f>
        <v>14867848.217</v>
      </c>
      <c r="E29" s="78" t="n">
        <f aca="false">E23+E28</f>
        <v>8798018.50445</v>
      </c>
      <c r="F29" s="78" t="n">
        <f aca="false">F23+F28</f>
        <v>7071517.88</v>
      </c>
      <c r="G29" s="77" t="n">
        <f aca="false">IFERROR(D29/B29,0)</f>
        <v>4.44986613063011</v>
      </c>
      <c r="H29" s="77" t="n">
        <f aca="false">IFERROR(E29/B29,0)</f>
        <v>2.63319910105382</v>
      </c>
      <c r="I29" s="77" t="n">
        <f aca="false">IFERROR(F29/B29,0)</f>
        <v>2.11646685163071</v>
      </c>
    </row>
    <row r="30" customFormat="false" ht="13.5" hidden="false" customHeight="false" outlineLevel="0" collapsed="false">
      <c r="A30" s="67"/>
      <c r="B30" s="68"/>
      <c r="C30" s="68"/>
      <c r="D30" s="68"/>
      <c r="E30" s="68"/>
      <c r="F30" s="68"/>
      <c r="G30" s="77"/>
      <c r="H30" s="77"/>
      <c r="I30" s="77"/>
    </row>
    <row r="31" customFormat="false" ht="13.5" hidden="false" customHeight="false" outlineLevel="0" collapsed="false">
      <c r="A31" s="70" t="s">
        <v>220</v>
      </c>
      <c r="B31" s="68"/>
      <c r="C31" s="68"/>
      <c r="D31" s="68"/>
      <c r="E31" s="68"/>
      <c r="F31" s="68"/>
      <c r="G31" s="77"/>
      <c r="H31" s="77"/>
      <c r="I31" s="77"/>
    </row>
    <row r="32" customFormat="false" ht="13.5" hidden="false" customHeight="false" outlineLevel="0" collapsed="false">
      <c r="A32" s="67" t="s">
        <v>221</v>
      </c>
      <c r="B32" s="68" t="n">
        <f aca="false">SUMIFS(MM_FixedCost!$F$5:$F$78,MM_FixedCost!$C$5:$C$78,"Direct technical costs")</f>
        <v>7230077.7</v>
      </c>
      <c r="C32" s="68" t="n">
        <f aca="false">B32</f>
        <v>7230077.7</v>
      </c>
      <c r="D32" s="68" t="n">
        <f aca="false">F32</f>
        <v>3229268.55</v>
      </c>
      <c r="E32" s="68" t="n">
        <f aca="false">F32</f>
        <v>3229268.55</v>
      </c>
      <c r="F32" s="68" t="n">
        <f aca="false">SUMIFS(Nominal_Activity!$M$2:$M$3000,Nominal_Activity!$N$2:$N$3000,"Direct technical costs",Nominal_Activity!$G$2:$G$3000,"&gt;="&amp;DATE(Controls!$B$5,1,1),Nominal_Activity!$G$2:$G$3000,"&lt;="&amp;Controls!$B$4,Nominal_Activity!$A$2:$A$3000,Controls!$B$7)</f>
        <v>3229268.55</v>
      </c>
      <c r="G32" s="77"/>
      <c r="H32" s="77"/>
      <c r="I32" s="77"/>
    </row>
    <row r="33" customFormat="false" ht="13.5" hidden="false" customHeight="false" outlineLevel="0" collapsed="false">
      <c r="A33" s="67" t="s">
        <v>222</v>
      </c>
      <c r="B33" s="79" t="n">
        <f aca="false">QMR_Inputs!B19</f>
        <v>0</v>
      </c>
      <c r="C33" s="68" t="n">
        <f aca="false">B33</f>
        <v>0</v>
      </c>
      <c r="D33" s="68" t="n">
        <f aca="false">F33</f>
        <v>0</v>
      </c>
      <c r="E33" s="68" t="n">
        <f aca="false">F33</f>
        <v>0</v>
      </c>
      <c r="F33" s="79" t="n">
        <f aca="false">QMR_Inputs!C19</f>
        <v>0</v>
      </c>
      <c r="G33" s="77"/>
      <c r="H33" s="77"/>
      <c r="I33" s="77"/>
    </row>
    <row r="34" customFormat="false" ht="13.5" hidden="false" customHeight="false" outlineLevel="0" collapsed="false">
      <c r="A34" s="67" t="s">
        <v>223</v>
      </c>
      <c r="B34" s="68" t="n">
        <f aca="false">SUMIFS(MM_FixedCost!$F$5:$F$78,MM_FixedCost!$C$5:$C$78,"Direct support costs")</f>
        <v>2322680</v>
      </c>
      <c r="C34" s="68" t="n">
        <f aca="false">B34</f>
        <v>2322680</v>
      </c>
      <c r="D34" s="68" t="n">
        <f aca="false">F34</f>
        <v>1287623.65</v>
      </c>
      <c r="E34" s="68" t="n">
        <f aca="false">F34</f>
        <v>1287623.65</v>
      </c>
      <c r="F34" s="68" t="n">
        <f aca="false">SUMIFS(Nominal_Activity!$M$2:$M$3000,Nominal_Activity!$N$2:$N$3000,"Direct support costs",Nominal_Activity!$G$2:$G$3000,"&gt;="&amp;DATE(Controls!$B$5,1,1),Nominal_Activity!$G$2:$G$3000,"&lt;="&amp;Controls!$B$4,Nominal_Activity!$A$2:$A$3000,Controls!$B$7)</f>
        <v>1287623.65</v>
      </c>
      <c r="G34" s="77"/>
      <c r="H34" s="77"/>
      <c r="I34" s="77"/>
    </row>
    <row r="35" customFormat="false" ht="13.5" hidden="false" customHeight="false" outlineLevel="0" collapsed="false">
      <c r="A35" s="67" t="s">
        <v>224</v>
      </c>
      <c r="B35" s="79" t="n">
        <f aca="false">QMR_Inputs!B20</f>
        <v>0</v>
      </c>
      <c r="C35" s="68" t="n">
        <f aca="false">B35</f>
        <v>0</v>
      </c>
      <c r="D35" s="68" t="n">
        <f aca="false">F35</f>
        <v>0</v>
      </c>
      <c r="E35" s="68" t="n">
        <f aca="false">F35</f>
        <v>0</v>
      </c>
      <c r="F35" s="79" t="n">
        <f aca="false">QMR_Inputs!C20</f>
        <v>0</v>
      </c>
      <c r="G35" s="77"/>
      <c r="H35" s="77"/>
      <c r="I35" s="77"/>
    </row>
    <row r="36" customFormat="false" ht="13.5" hidden="false" customHeight="false" outlineLevel="0" collapsed="false">
      <c r="A36" s="67" t="s">
        <v>225</v>
      </c>
      <c r="B36" s="79" t="n">
        <f aca="false">QMR_Inputs!B21</f>
        <v>0</v>
      </c>
      <c r="C36" s="68" t="n">
        <f aca="false">B36</f>
        <v>0</v>
      </c>
      <c r="D36" s="68" t="n">
        <f aca="false">F36</f>
        <v>0</v>
      </c>
      <c r="E36" s="68" t="n">
        <f aca="false">F36</f>
        <v>0</v>
      </c>
      <c r="F36" s="79" t="n">
        <f aca="false">QMR_Inputs!C21</f>
        <v>0</v>
      </c>
      <c r="G36" s="77"/>
      <c r="H36" s="77"/>
      <c r="I36" s="77"/>
    </row>
    <row r="37" customFormat="false" ht="13.5" hidden="false" customHeight="false" outlineLevel="0" collapsed="false">
      <c r="A37" s="70" t="s">
        <v>226</v>
      </c>
      <c r="B37" s="78" t="n">
        <f aca="false">SUM(B32:B36)</f>
        <v>9552757.7</v>
      </c>
      <c r="C37" s="78" t="n">
        <f aca="false">SUM(C32:C36)</f>
        <v>9552757.7</v>
      </c>
      <c r="D37" s="78" t="n">
        <f aca="false">SUM(D32:D36)</f>
        <v>4516892.2</v>
      </c>
      <c r="E37" s="78" t="n">
        <f aca="false">SUM(E32:E36)</f>
        <v>4516892.2</v>
      </c>
      <c r="F37" s="78" t="n">
        <f aca="false">SUM(F32:F36)</f>
        <v>4516892.2</v>
      </c>
      <c r="G37" s="77"/>
      <c r="H37" s="77"/>
      <c r="I37" s="77"/>
    </row>
    <row r="38" customFormat="false" ht="13.5" hidden="false" customHeight="false" outlineLevel="0" collapsed="false">
      <c r="A38" s="67" t="s">
        <v>227</v>
      </c>
      <c r="B38" s="68" t="n">
        <f aca="false">SUMIFS(MM_FixedCost!$F$5:$F$78,MM_FixedCost!$C$5:$C$78,"Recruitment, Benefits")</f>
        <v>321500</v>
      </c>
      <c r="C38" s="68" t="n">
        <f aca="false">B38</f>
        <v>321500</v>
      </c>
      <c r="D38" s="68" t="n">
        <f aca="false">F38</f>
        <v>89499.71</v>
      </c>
      <c r="E38" s="68" t="n">
        <f aca="false">F38</f>
        <v>89499.71</v>
      </c>
      <c r="F38" s="68" t="n">
        <f aca="false">SUMIFS(Nominal_Activity!$M$2:$M$3000,Nominal_Activity!$N$2:$N$3000,"Recruitment, Benefits",Nominal_Activity!$G$2:$G$3000,"&gt;="&amp;DATE(Controls!$B$5,1,1),Nominal_Activity!$G$2:$G$3000,"&lt;="&amp;Controls!$B$4,Nominal_Activity!$A$2:$A$3000,Controls!$B$7)</f>
        <v>89499.71</v>
      </c>
      <c r="G38" s="77"/>
      <c r="H38" s="77"/>
      <c r="I38" s="77"/>
    </row>
    <row r="39" customFormat="false" ht="13.5" hidden="false" customHeight="false" outlineLevel="0" collapsed="false">
      <c r="A39" s="67" t="s">
        <v>228</v>
      </c>
      <c r="B39" s="68" t="n">
        <f aca="false">SUMIFS(MM_FixedCost!$F$5:$F$78,MM_FixedCost!$C$5:$C$78,"Professional development and Training")</f>
        <v>1217997.01</v>
      </c>
      <c r="C39" s="68" t="n">
        <f aca="false">B39</f>
        <v>1217997.01</v>
      </c>
      <c r="D39" s="68" t="n">
        <f aca="false">F39</f>
        <v>201138.6</v>
      </c>
      <c r="E39" s="68" t="n">
        <f aca="false">F39</f>
        <v>201138.6</v>
      </c>
      <c r="F39" s="68" t="n">
        <f aca="false">SUMIFS(Nominal_Activity!$M$2:$M$3000,Nominal_Activity!$N$2:$N$3000,"Professional development and Training",Nominal_Activity!$G$2:$G$3000,"&gt;="&amp;DATE(Controls!$B$5,1,1),Nominal_Activity!$G$2:$G$3000,"&lt;="&amp;Controls!$B$4,Nominal_Activity!$A$2:$A$3000,Controls!$B$7)</f>
        <v>201138.6</v>
      </c>
      <c r="G39" s="77"/>
      <c r="H39" s="77"/>
      <c r="I39" s="77"/>
    </row>
    <row r="40" customFormat="false" ht="13.5" hidden="false" customHeight="false" outlineLevel="0" collapsed="false">
      <c r="A40" s="67" t="s">
        <v>229</v>
      </c>
      <c r="B40" s="68" t="n">
        <f aca="false">SUMIFS(MM_FixedCost!$F$5:$F$78,MM_FixedCost!$C$5:$C$78,"Business development and Comms")</f>
        <v>247369.45</v>
      </c>
      <c r="C40" s="68" t="n">
        <f aca="false">B40</f>
        <v>247369.45</v>
      </c>
      <c r="D40" s="68" t="n">
        <f aca="false">F40</f>
        <v>99295.87</v>
      </c>
      <c r="E40" s="68" t="n">
        <f aca="false">F40</f>
        <v>99295.87</v>
      </c>
      <c r="F40" s="68" t="n">
        <f aca="false">SUMIFS(Nominal_Activity!$M$2:$M$3000,Nominal_Activity!$N$2:$N$3000,"Business development and Comms",Nominal_Activity!$G$2:$G$3000,"&gt;="&amp;DATE(Controls!$B$5,1,1),Nominal_Activity!$G$2:$G$3000,"&lt;="&amp;Controls!$B$4,Nominal_Activity!$A$2:$A$3000,Controls!$B$7)</f>
        <v>99295.87</v>
      </c>
      <c r="G40" s="77"/>
      <c r="H40" s="77"/>
      <c r="I40" s="77"/>
    </row>
    <row r="41" customFormat="false" ht="13.5" hidden="false" customHeight="false" outlineLevel="0" collapsed="false">
      <c r="A41" s="67" t="s">
        <v>230</v>
      </c>
      <c r="B41" s="68" t="n">
        <f aca="false">SUMIFS(MM_FixedCost!$F$5:$F$78,MM_FixedCost!$C$5:$C$78,"Internal events and meetings")</f>
        <v>439040</v>
      </c>
      <c r="C41" s="68" t="n">
        <f aca="false">B41</f>
        <v>439040</v>
      </c>
      <c r="D41" s="68" t="n">
        <f aca="false">F41</f>
        <v>33622.84</v>
      </c>
      <c r="E41" s="68" t="n">
        <f aca="false">F41</f>
        <v>33622.84</v>
      </c>
      <c r="F41" s="68" t="n">
        <f aca="false">SUMIFS(Nominal_Activity!$M$2:$M$3000,Nominal_Activity!$N$2:$N$3000,"Internal events and meetings",Nominal_Activity!$G$2:$G$3000,"&gt;="&amp;DATE(Controls!$B$5,1,1),Nominal_Activity!$G$2:$G$3000,"&lt;="&amp;Controls!$B$4,Nominal_Activity!$A$2:$A$3000,Controls!$B$7)</f>
        <v>33622.84</v>
      </c>
      <c r="G41" s="77"/>
      <c r="H41" s="77"/>
      <c r="I41" s="77"/>
    </row>
    <row r="42" customFormat="false" ht="13.5" hidden="false" customHeight="false" outlineLevel="0" collapsed="false">
      <c r="A42" s="67" t="s">
        <v>231</v>
      </c>
      <c r="B42" s="68" t="n">
        <f aca="false">SUMIFS(MM_FixedCost!$F$5:$F$78,MM_FixedCost!$C$5:$C$78,"Professional services and governance")</f>
        <v>1028561.74</v>
      </c>
      <c r="C42" s="68" t="n">
        <f aca="false">B42</f>
        <v>1028561.74</v>
      </c>
      <c r="D42" s="68" t="n">
        <f aca="false">F42</f>
        <v>684241.87</v>
      </c>
      <c r="E42" s="68" t="n">
        <f aca="false">F42</f>
        <v>684241.87</v>
      </c>
      <c r="F42" s="68" t="n">
        <f aca="false">SUMIFS(Nominal_Activity!$M$2:$M$3000,Nominal_Activity!$N$2:$N$3000,"Professional services and governance",Nominal_Activity!$G$2:$G$3000,"&gt;="&amp;DATE(Controls!$B$5,1,1),Nominal_Activity!$G$2:$G$3000,"&lt;="&amp;Controls!$B$4,Nominal_Activity!$A$2:$A$3000,Controls!$B$7)</f>
        <v>684241.87</v>
      </c>
      <c r="G42" s="77"/>
      <c r="H42" s="77"/>
      <c r="I42" s="77"/>
    </row>
    <row r="43" customFormat="false" ht="13.5" hidden="false" customHeight="false" outlineLevel="0" collapsed="false">
      <c r="A43" s="67" t="s">
        <v>232</v>
      </c>
      <c r="B43" s="68" t="n">
        <f aca="false">SUMIFS(MM_FixedCost!$F$5:$F$78,MM_FixedCost!$C$5:$C$78,"IT and Data")</f>
        <v>423770.5</v>
      </c>
      <c r="C43" s="68" t="n">
        <f aca="false">B43</f>
        <v>423770.5</v>
      </c>
      <c r="D43" s="68" t="n">
        <f aca="false">F43</f>
        <v>71930.54</v>
      </c>
      <c r="E43" s="68" t="n">
        <f aca="false">F43</f>
        <v>71930.54</v>
      </c>
      <c r="F43" s="68" t="n">
        <f aca="false">SUMIFS(Nominal_Activity!$M$2:$M$3000,Nominal_Activity!$N$2:$N$3000,"IT and Data",Nominal_Activity!$G$2:$G$3000,"&gt;="&amp;DATE(Controls!$B$5,1,1),Nominal_Activity!$G$2:$G$3000,"&lt;="&amp;Controls!$B$4,Nominal_Activity!$A$2:$A$3000,Controls!$B$7)</f>
        <v>71930.54</v>
      </c>
      <c r="G43" s="77"/>
      <c r="H43" s="77"/>
      <c r="I43" s="77"/>
    </row>
    <row r="44" customFormat="false" ht="13.5" hidden="false" customHeight="false" outlineLevel="0" collapsed="false">
      <c r="A44" s="67" t="s">
        <v>233</v>
      </c>
      <c r="B44" s="68" t="n">
        <f aca="false">SUMIFS(MM_FixedCost!$F$5:$F$78,MM_FixedCost!$C$5:$C$78,"Office Running costs")</f>
        <v>498375.13</v>
      </c>
      <c r="C44" s="68" t="n">
        <f aca="false">B44</f>
        <v>498375.13</v>
      </c>
      <c r="D44" s="68" t="n">
        <f aca="false">F44</f>
        <v>194888.67</v>
      </c>
      <c r="E44" s="68" t="n">
        <f aca="false">F44</f>
        <v>194888.67</v>
      </c>
      <c r="F44" s="68" t="n">
        <f aca="false">SUMIFS(Nominal_Activity!$M$2:$M$3000,Nominal_Activity!$N$2:$N$3000,"Office Running costs",Nominal_Activity!$G$2:$G$3000,"&gt;="&amp;DATE(Controls!$B$5,1,1),Nominal_Activity!$G$2:$G$3000,"&lt;="&amp;Controls!$B$4,Nominal_Activity!$A$2:$A$3000,Controls!$B$7)</f>
        <v>194888.67</v>
      </c>
      <c r="G44" s="77"/>
      <c r="H44" s="77"/>
      <c r="I44" s="77"/>
    </row>
    <row r="45" customFormat="false" ht="13.5" hidden="false" customHeight="false" outlineLevel="0" collapsed="false">
      <c r="A45" s="67" t="s">
        <v>234</v>
      </c>
      <c r="B45" s="68" t="n">
        <f aca="false">SUMIFS(MM_FixedCost!$F$5:$F$78,MM_FixedCost!$C$5:$C$78,"Financial Charges")</f>
        <v>45000</v>
      </c>
      <c r="C45" s="68" t="n">
        <f aca="false">B45</f>
        <v>45000</v>
      </c>
      <c r="D45" s="68" t="n">
        <f aca="false">F45</f>
        <v>26331.8</v>
      </c>
      <c r="E45" s="68" t="n">
        <f aca="false">F45</f>
        <v>26331.8</v>
      </c>
      <c r="F45" s="68" t="n">
        <f aca="false">SUMIFS(Nominal_Activity!$M$2:$M$3000,Nominal_Activity!$N$2:$N$3000,"Financial Charges",Nominal_Activity!$G$2:$G$3000,"&gt;="&amp;DATE(Controls!$B$5,1,1),Nominal_Activity!$G$2:$G$3000,"&lt;="&amp;Controls!$B$4,Nominal_Activity!$A$2:$A$3000,Controls!$B$7)</f>
        <v>26331.8</v>
      </c>
      <c r="G45" s="77"/>
      <c r="H45" s="77"/>
      <c r="I45" s="77"/>
    </row>
    <row r="46" customFormat="false" ht="13.5" hidden="false" customHeight="false" outlineLevel="0" collapsed="false">
      <c r="A46" s="67" t="s">
        <v>235</v>
      </c>
      <c r="B46" s="68" t="n">
        <f aca="false">SUMIFS(MM_FixedCost!$F$5:$F$78,MM_FixedCost!$C$5:$C$78,"Foreign Exchange Losses / (Gains)")</f>
        <v>0</v>
      </c>
      <c r="C46" s="68" t="n">
        <f aca="false">B46</f>
        <v>0</v>
      </c>
      <c r="D46" s="68" t="n">
        <f aca="false">F46</f>
        <v>-116128.53</v>
      </c>
      <c r="E46" s="68" t="n">
        <f aca="false">F46</f>
        <v>-116128.53</v>
      </c>
      <c r="F46" s="68" t="n">
        <f aca="false">SUMIFS(Nominal_Activity!$M$2:$M$3000,Nominal_Activity!$N$2:$N$3000,"Foreign Exchange Losses / (Gains)",Nominal_Activity!$G$2:$G$3000,"&gt;="&amp;DATE(Controls!$B$5,1,1),Nominal_Activity!$G$2:$G$3000,"&lt;="&amp;Controls!$B$4,Nominal_Activity!$A$2:$A$3000,Controls!$B$7)</f>
        <v>-116128.53</v>
      </c>
      <c r="G46" s="77"/>
      <c r="H46" s="77"/>
      <c r="I46" s="77"/>
    </row>
    <row r="47" customFormat="false" ht="13.5" hidden="false" customHeight="false" outlineLevel="0" collapsed="false">
      <c r="A47" s="70" t="s">
        <v>236</v>
      </c>
      <c r="B47" s="78" t="n">
        <f aca="false">B37+SUM(B38:B46)</f>
        <v>13774371.53</v>
      </c>
      <c r="C47" s="78" t="n">
        <f aca="false">C37+SUM(C38:C46)</f>
        <v>13774371.53</v>
      </c>
      <c r="D47" s="78" t="n">
        <f aca="false">D37+SUM(D38:D46)</f>
        <v>5801713.57</v>
      </c>
      <c r="E47" s="78" t="n">
        <f aca="false">E37+SUM(E38:E46)</f>
        <v>5801713.57</v>
      </c>
      <c r="F47" s="78" t="n">
        <f aca="false">F37+SUM(F38:F46)</f>
        <v>5801713.57</v>
      </c>
      <c r="G47" s="77"/>
      <c r="H47" s="77"/>
      <c r="I47" s="77" t="n">
        <f aca="false">IFERROR(F47/B47,0)</f>
        <v>0.421196245314286</v>
      </c>
    </row>
    <row r="48" customFormat="false" ht="13.5" hidden="false" customHeight="false" outlineLevel="0" collapsed="false">
      <c r="A48" s="67"/>
      <c r="B48" s="68"/>
      <c r="C48" s="68"/>
      <c r="D48" s="68"/>
      <c r="E48" s="68"/>
      <c r="F48" s="68"/>
      <c r="G48" s="77"/>
      <c r="H48" s="77"/>
      <c r="I48" s="77"/>
    </row>
    <row r="49" customFormat="false" ht="13.5" hidden="false" customHeight="false" outlineLevel="0" collapsed="false">
      <c r="A49" s="70" t="s">
        <v>237</v>
      </c>
      <c r="B49" s="68"/>
      <c r="C49" s="68"/>
      <c r="D49" s="68"/>
      <c r="E49" s="68"/>
      <c r="F49" s="68"/>
      <c r="G49" s="77"/>
      <c r="H49" s="77"/>
      <c r="I49" s="77"/>
    </row>
    <row r="50" customFormat="false" ht="13.5" hidden="false" customHeight="false" outlineLevel="0" collapsed="false">
      <c r="A50" s="67" t="s">
        <v>238</v>
      </c>
      <c r="B50" s="68"/>
      <c r="C50" s="68"/>
      <c r="D50" s="68" t="n">
        <f aca="false">F50</f>
        <v>-0</v>
      </c>
      <c r="E50" s="68" t="n">
        <f aca="false">F50</f>
        <v>-0</v>
      </c>
      <c r="F50" s="68" t="n">
        <f aca="false">-SUMIFS(Nominal_Activity!$M$2:$M$3000,Nominal_Activity!$R$2:$R$3000,"Other Income — Cost Recovery",Nominal_Activity!$G$2:$G$3000,"&gt;="&amp;DATE(Controls!$B$5,1,1),Nominal_Activity!$G$2:$G$3000,"&lt;="&amp;Controls!$B$4,Nominal_Activity!$A$2:$A$3000,Controls!$B$7)</f>
        <v>-0</v>
      </c>
      <c r="G50" s="77"/>
      <c r="H50" s="77"/>
      <c r="I50" s="77"/>
    </row>
    <row r="51" customFormat="false" ht="13.5" hidden="false" customHeight="false" outlineLevel="0" collapsed="false">
      <c r="A51" s="67" t="s">
        <v>239</v>
      </c>
      <c r="B51" s="68" t="n">
        <f aca="false">QMR_Inputs!B15</f>
        <v>0</v>
      </c>
      <c r="C51" s="68"/>
      <c r="D51" s="68" t="n">
        <f aca="false">F51</f>
        <v>0</v>
      </c>
      <c r="E51" s="68" t="n">
        <f aca="false">F51</f>
        <v>0</v>
      </c>
      <c r="F51" s="68" t="n">
        <f aca="false">QMR_Inputs!C15</f>
        <v>0</v>
      </c>
      <c r="G51" s="77"/>
      <c r="H51" s="77"/>
      <c r="I51" s="77"/>
    </row>
    <row r="52" customFormat="false" ht="13.5" hidden="false" customHeight="false" outlineLevel="0" collapsed="false">
      <c r="A52" s="67" t="s">
        <v>240</v>
      </c>
      <c r="B52" s="68"/>
      <c r="C52" s="68"/>
      <c r="D52" s="68" t="n">
        <f aca="false">F52</f>
        <v>186796.18</v>
      </c>
      <c r="E52" s="68" t="n">
        <f aca="false">F52</f>
        <v>186796.18</v>
      </c>
      <c r="F52" s="68" t="n">
        <f aca="false">-SUMIFS(Nominal_Activity!$M$2:$M$3000,Nominal_Activity!$R$2:$R$3000,"Other Income — Miscellaneous",Nominal_Activity!$G$2:$G$3000,"&gt;="&amp;DATE(Controls!$B$5,1,1),Nominal_Activity!$G$2:$G$3000,"&lt;="&amp;Controls!$B$4,Nominal_Activity!$A$2:$A$3000,Controls!$B$7)</f>
        <v>186796.18</v>
      </c>
      <c r="G52" s="77"/>
      <c r="H52" s="77"/>
      <c r="I52" s="77"/>
    </row>
    <row r="53" customFormat="false" ht="13.5" hidden="false" customHeight="false" outlineLevel="0" collapsed="false">
      <c r="A53" s="70" t="s">
        <v>241</v>
      </c>
      <c r="B53" s="78" t="n">
        <f aca="false">Controls!$B$20</f>
        <v>1426884.15</v>
      </c>
      <c r="C53" s="78" t="n">
        <f aca="false">Controls!$B$21</f>
        <v>0</v>
      </c>
      <c r="D53" s="78" t="n">
        <f aca="false">SUM(D50:D52)</f>
        <v>186796.18</v>
      </c>
      <c r="E53" s="78" t="n">
        <f aca="false">SUM(E50:E52)</f>
        <v>186796.18</v>
      </c>
      <c r="F53" s="78" t="n">
        <f aca="false">SUM(F50:F52)</f>
        <v>186796.18</v>
      </c>
      <c r="G53" s="77"/>
      <c r="H53" s="77"/>
      <c r="I53" s="77"/>
    </row>
    <row r="54" customFormat="false" ht="13.5" hidden="false" customHeight="false" outlineLevel="0" collapsed="false">
      <c r="A54" s="67"/>
      <c r="B54" s="68"/>
      <c r="C54" s="68"/>
      <c r="D54" s="68"/>
      <c r="E54" s="68"/>
      <c r="F54" s="68"/>
      <c r="G54" s="77"/>
      <c r="H54" s="77"/>
      <c r="I54" s="77"/>
    </row>
    <row r="55" customFormat="false" ht="13.5" hidden="false" customHeight="false" outlineLevel="0" collapsed="false">
      <c r="A55" s="70" t="s">
        <v>242</v>
      </c>
      <c r="B55" s="68"/>
      <c r="C55" s="68"/>
      <c r="D55" s="68"/>
      <c r="E55" s="68"/>
      <c r="F55" s="68"/>
      <c r="G55" s="77"/>
      <c r="H55" s="77"/>
      <c r="I55" s="77"/>
    </row>
    <row r="56" customFormat="false" ht="13.5" hidden="false" customHeight="false" outlineLevel="0" collapsed="false">
      <c r="A56" s="70" t="s">
        <v>243</v>
      </c>
      <c r="B56" s="78" t="n">
        <f aca="false">B29-B47+B53</f>
        <v>-9006297.38</v>
      </c>
      <c r="C56" s="78" t="n">
        <f aca="false">C29-C47+C53</f>
        <v>4619008.987</v>
      </c>
      <c r="D56" s="78" t="n">
        <f aca="false">D29-D47+D53</f>
        <v>9252930.827</v>
      </c>
      <c r="E56" s="78" t="n">
        <f aca="false">E29-E47+E53</f>
        <v>3183101.11445</v>
      </c>
      <c r="F56" s="78" t="n">
        <f aca="false">F29-F47+F53</f>
        <v>1456600.49</v>
      </c>
      <c r="G56" s="77"/>
      <c r="H56" s="77"/>
      <c r="I56" s="77"/>
    </row>
    <row r="57" customFormat="false" ht="13.5" hidden="false" customHeight="false" outlineLevel="0" collapsed="false">
      <c r="A57" s="67" t="s">
        <v>244</v>
      </c>
      <c r="B57" s="68" t="n">
        <v>0</v>
      </c>
      <c r="C57" s="68" t="n">
        <v>0</v>
      </c>
      <c r="D57" s="68" t="n">
        <f aca="false">F57</f>
        <v>0</v>
      </c>
      <c r="E57" s="68" t="n">
        <f aca="false">F57</f>
        <v>0</v>
      </c>
      <c r="F57" s="68" t="n">
        <f aca="false">IF(QMR_Inputs!$B$25&lt;&gt;0,QMR_Inputs!$B$25,SUMIFS(Trial_Balance!$H$2:$H$995,Trial_Balance!$M$2:$M$995,"Depreciation",Trial_Balance!$B$2:$B$995,Controls!$B$30,Trial_Balance!$A$2:$A$995,Controls!$B$7)+SUMIFS(Trial_Balance!$H$2:$H$995,Trial_Balance!$M$2:$M$995,"Amortisation",Trial_Balance!$B$2:$B$995,Controls!$B$30,Trial_Balance!$A$2:$A$995,Controls!$B$7))</f>
        <v>0</v>
      </c>
      <c r="G57" s="77"/>
      <c r="H57" s="77"/>
      <c r="I57" s="77"/>
    </row>
    <row r="58" customFormat="false" ht="13.5" hidden="false" customHeight="false" outlineLevel="0" collapsed="false">
      <c r="A58" s="67" t="s">
        <v>245</v>
      </c>
      <c r="B58" s="68" t="n">
        <v>0</v>
      </c>
      <c r="C58" s="68" t="n">
        <v>0</v>
      </c>
      <c r="D58" s="68" t="n">
        <f aca="false">F58</f>
        <v>0</v>
      </c>
      <c r="E58" s="68" t="n">
        <f aca="false">F58</f>
        <v>0</v>
      </c>
      <c r="F58" s="79" t="n">
        <f aca="false">QMR_Inputs!$B$26</f>
        <v>0</v>
      </c>
      <c r="G58" s="77"/>
      <c r="H58" s="77"/>
      <c r="I58" s="77"/>
    </row>
    <row r="59" customFormat="false" ht="13.5" hidden="false" customHeight="false" outlineLevel="0" collapsed="false">
      <c r="A59" s="70" t="s">
        <v>246</v>
      </c>
      <c r="B59" s="78" t="n">
        <f aca="false">B56-B57-B58</f>
        <v>-9006297.38</v>
      </c>
      <c r="C59" s="78" t="n">
        <f aca="false">C56-C57-C58</f>
        <v>4619008.987</v>
      </c>
      <c r="D59" s="78" t="n">
        <f aca="false">D56-D57-D58</f>
        <v>9252930.827</v>
      </c>
      <c r="E59" s="78" t="n">
        <f aca="false">E56-E57-E58</f>
        <v>3183101.11445</v>
      </c>
      <c r="F59" s="78" t="n">
        <f aca="false">F56-F57-F58</f>
        <v>1456600.49</v>
      </c>
      <c r="G59" s="77"/>
      <c r="H59" s="77"/>
      <c r="I59" s="77"/>
    </row>
    <row r="60" customFormat="false" ht="13.5" hidden="false" customHeight="false" outlineLevel="0" collapsed="false">
      <c r="A60" s="67" t="s">
        <v>247</v>
      </c>
      <c r="B60" s="77" t="n">
        <f aca="false">IFERROR(B59/B29,0)</f>
        <v>-2.69553583603447</v>
      </c>
      <c r="C60" s="77" t="n">
        <f aca="false">IFERROR(C59/C29,0)</f>
        <v>0.251123439909858</v>
      </c>
      <c r="D60" s="77" t="n">
        <f aca="false">IFERROR(D59/D29,0)</f>
        <v>0.62234498845772</v>
      </c>
      <c r="E60" s="77" t="n">
        <f aca="false">IFERROR(E59/E29,0)</f>
        <v>0.361797501657902</v>
      </c>
      <c r="F60" s="77" t="n">
        <f aca="false">IFERROR(F59/F29,0)</f>
        <v>0.205981306236901</v>
      </c>
      <c r="G60" s="77"/>
      <c r="H60" s="77"/>
      <c r="I60" s="77"/>
    </row>
    <row r="61" customFormat="false" ht="13.5" hidden="false" customHeight="false" outlineLevel="0" collapsed="false">
      <c r="A61" s="67" t="s">
        <v>248</v>
      </c>
      <c r="B61" s="77" t="n">
        <f aca="false">IFERROR((B47-B53+B57+B58)/B29,0)</f>
        <v>3.69553583603447</v>
      </c>
      <c r="C61" s="77" t="n">
        <f aca="false">IFERROR((C47-C53+C57+C58)/C29,0)</f>
        <v>0.748876560090142</v>
      </c>
      <c r="D61" s="77" t="n">
        <f aca="false">IFERROR((D47-D53+D57+D58)/D29,0)</f>
        <v>0.37765501154228</v>
      </c>
      <c r="E61" s="77" t="n">
        <f aca="false">IFERROR((E47-E53+E57+E58)/E29,0)</f>
        <v>0.638202498342098</v>
      </c>
      <c r="F61" s="77" t="n">
        <f aca="false">IFERROR((F47-F53+F57+F58)/F29,0)</f>
        <v>0.794018693763099</v>
      </c>
      <c r="G61" s="77"/>
      <c r="H61" s="77"/>
      <c r="I61" s="77"/>
    </row>
    <row r="63" customFormat="false" ht="13.5" hidden="false" customHeight="false" outlineLevel="0" collapsed="false">
      <c r="A63" s="76" t="s">
        <v>249</v>
      </c>
    </row>
    <row r="64" customFormat="false" ht="13.5" hidden="false" customHeight="false" outlineLevel="0" collapsed="false">
      <c r="A64" s="3" t="s">
        <v>250</v>
      </c>
    </row>
    <row r="65" customFormat="false" ht="24.75" hidden="false" customHeight="true" outlineLevel="0" collapsed="false">
      <c r="A65" s="56" t="s">
        <v>197</v>
      </c>
      <c r="B65" s="56" t="s">
        <v>251</v>
      </c>
      <c r="C65" s="56" t="s">
        <v>252</v>
      </c>
    </row>
    <row r="66" customFormat="false" ht="13.5" hidden="false" customHeight="false" outlineLevel="0" collapsed="false">
      <c r="A66" s="67" t="s">
        <v>253</v>
      </c>
      <c r="B66" s="79" t="n">
        <f aca="false">INDEX(Balance_Sheet!$B$8:$E$8,1,VALUE(MID(Controls!$B$6,2,1)))</f>
        <v>2304264.82</v>
      </c>
      <c r="C66" s="68" t="n">
        <f aca="false">Balance_Sheet!$J$8</f>
        <v>108944.17</v>
      </c>
    </row>
    <row r="67" customFormat="false" ht="13.5" hidden="false" customHeight="false" outlineLevel="0" collapsed="false">
      <c r="A67" s="67" t="s">
        <v>254</v>
      </c>
      <c r="B67" s="79" t="n">
        <f aca="false">INDEX(Balance_Sheet!$B$13:$E$13,1,VALUE(MID(Controls!$B$6,2,1)))</f>
        <v>8953156.48</v>
      </c>
      <c r="C67" s="68" t="n">
        <f aca="false">Balance_Sheet!$J$13</f>
        <v>1334505.68</v>
      </c>
    </row>
    <row r="68" customFormat="false" ht="13.5" hidden="false" customHeight="false" outlineLevel="0" collapsed="false">
      <c r="A68" s="67" t="s">
        <v>255</v>
      </c>
      <c r="B68" s="79" t="n">
        <f aca="false">INDEX(Balance_Sheet!$B$17:$E$17,1,VALUE(MID(Controls!$B$6,2,1)))</f>
        <v>11257421.3</v>
      </c>
      <c r="C68" s="68" t="n">
        <f aca="false">Balance_Sheet!$J$17</f>
        <v>1443449.85</v>
      </c>
    </row>
    <row r="69" customFormat="false" ht="13.5" hidden="false" customHeight="false" outlineLevel="0" collapsed="false">
      <c r="A69" s="67" t="s">
        <v>256</v>
      </c>
      <c r="B69" s="79" t="n">
        <f aca="false">INDEX(Balance_Sheet!$B$18:$E$18,1,VALUE(MID(Controls!$B$6,2,1)))</f>
        <v>-3241948.62</v>
      </c>
      <c r="C69" s="68" t="n">
        <f aca="false">Balance_Sheet!$J$18</f>
        <v>-85263.1800000002</v>
      </c>
    </row>
    <row r="70" customFormat="false" ht="13.5" hidden="false" customHeight="false" outlineLevel="0" collapsed="false">
      <c r="A70" s="67" t="s">
        <v>257</v>
      </c>
      <c r="B70" s="79" t="n">
        <f aca="false">INDEX(Balance_Sheet!$B$21:$E$21,1,VALUE(MID(Controls!$B$6,2,1)))</f>
        <v>-0.33</v>
      </c>
      <c r="C70" s="68" t="n">
        <f aca="false">Balance_Sheet!$J$21</f>
        <v>0</v>
      </c>
    </row>
    <row r="71" customFormat="false" ht="13.5" hidden="false" customHeight="false" outlineLevel="0" collapsed="false">
      <c r="A71" s="67" t="s">
        <v>258</v>
      </c>
      <c r="B71" s="79" t="n">
        <f aca="false">INDEX(Balance_Sheet!$B$23:$E$23,1,VALUE(MID(Controls!$B$6,2,1)))</f>
        <v>-3241948.95</v>
      </c>
      <c r="C71" s="68" t="n">
        <f aca="false">Balance_Sheet!$J$23</f>
        <v>-85263.1800000002</v>
      </c>
    </row>
    <row r="72" customFormat="false" ht="13.5" hidden="false" customHeight="false" outlineLevel="0" collapsed="false">
      <c r="A72" s="67" t="s">
        <v>259</v>
      </c>
      <c r="B72" s="79" t="n">
        <f aca="false">INDEX(Balance_Sheet!$B$24:$E$24,1,VALUE(MID(Controls!$B$6,2,1)))</f>
        <v>8015472.35</v>
      </c>
      <c r="C72" s="68" t="n">
        <f aca="false">Balance_Sheet!$J$24</f>
        <v>1358186.67</v>
      </c>
    </row>
    <row r="73" customFormat="false" ht="13.5" hidden="false" customHeight="false" outlineLevel="0" collapsed="false">
      <c r="A73" s="67" t="s">
        <v>260</v>
      </c>
      <c r="B73" s="79" t="n">
        <f aca="false">INDEX(Balance_Sheet!$B$25:$E$25,1,VALUE(MID(Controls!$B$6,2,1)))</f>
        <v>-8015472.35</v>
      </c>
      <c r="C73" s="68" t="n">
        <f aca="false">Balance_Sheet!$J$25</f>
        <v>-1358186.67</v>
      </c>
    </row>
    <row r="74" customFormat="false" ht="13.5" hidden="false" customHeight="false" outlineLevel="0" collapsed="false">
      <c r="A74" s="67" t="s">
        <v>261</v>
      </c>
      <c r="B74" s="80" t="n">
        <f aca="false">INDEX(Balance_Sheet!$C$33:$F$33,1,VALUE(MID(Controls!$B$6,2,1)))</f>
        <v>2.76165896793269</v>
      </c>
      <c r="C74" s="67"/>
    </row>
    <row r="75" customFormat="false" ht="13.5" hidden="false" customHeight="false" outlineLevel="0" collapsed="false">
      <c r="A75" s="67" t="s">
        <v>262</v>
      </c>
      <c r="B75" s="79" t="n">
        <f aca="false">INDEX(Balance_Sheet!$C$34:$F$34,1,VALUE(MID(Controls!$B$6,2,1)))</f>
        <v>5711207.86</v>
      </c>
      <c r="C75" s="67"/>
    </row>
    <row r="76" customFormat="false" ht="13.5" hidden="false" customHeight="false" outlineLevel="0" collapsed="false">
      <c r="A76" s="67" t="s">
        <v>263</v>
      </c>
      <c r="B76" s="80" t="n">
        <f aca="false">INDEX(Balance_Sheet!$C$36:$F$36,1,VALUE(MID(Controls!$B$6,2,1)))</f>
        <v>5.77377388356544</v>
      </c>
      <c r="C76" s="67"/>
    </row>
    <row r="77" customFormat="false" ht="13.5" hidden="false" customHeight="false" outlineLevel="0" collapsed="false">
      <c r="A77" s="67" t="s">
        <v>264</v>
      </c>
      <c r="B77" s="79" t="n">
        <f aca="false">INDEX(Balance_Sheet!$C$37:$F$37,1,VALUE(MID(Controls!$B$6,2,1)))</f>
        <v>134284.6</v>
      </c>
      <c r="C77" s="67"/>
    </row>
    <row r="79" customFormat="false" ht="13.5" hidden="false" customHeight="false" outlineLevel="0" collapsed="false">
      <c r="A79" s="76" t="s">
        <v>265</v>
      </c>
    </row>
    <row r="80" customFormat="false" ht="13.5" hidden="false" customHeight="false" outlineLevel="0" collapsed="false">
      <c r="A80" s="3" t="s">
        <v>266</v>
      </c>
    </row>
    <row r="81" customFormat="false" ht="13.5" hidden="false" customHeight="false" outlineLevel="0" collapsed="false">
      <c r="A81" s="56" t="s">
        <v>267</v>
      </c>
      <c r="B81" s="56" t="s">
        <v>268</v>
      </c>
      <c r="C81" s="56" t="s">
        <v>269</v>
      </c>
      <c r="D81" s="56" t="s">
        <v>270</v>
      </c>
    </row>
    <row r="82" customFormat="false" ht="13.5" hidden="false" customHeight="false" outlineLevel="0" collapsed="false">
      <c r="A82" s="67" t="str">
        <f aca="false">QMR_Inputs!A30</f>
        <v>FinOps</v>
      </c>
      <c r="B82" s="79" t="n">
        <f aca="false">QMR_Inputs!B30</f>
        <v>0</v>
      </c>
      <c r="C82" s="79" t="n">
        <f aca="false">QMR_Inputs!C30</f>
        <v>0</v>
      </c>
      <c r="D82" s="79" t="n">
        <f aca="false">QMR_Inputs!D30</f>
        <v>0</v>
      </c>
    </row>
    <row r="83" customFormat="false" ht="13.5" hidden="false" customHeight="false" outlineLevel="0" collapsed="false">
      <c r="A83" s="67" t="str">
        <f aca="false">QMR_Inputs!A31</f>
        <v>Business Development</v>
      </c>
      <c r="B83" s="79" t="n">
        <f aca="false">QMR_Inputs!B31</f>
        <v>0</v>
      </c>
      <c r="C83" s="79" t="n">
        <f aca="false">QMR_Inputs!C31</f>
        <v>0</v>
      </c>
      <c r="D83" s="79" t="n">
        <f aca="false">QMR_Inputs!D31</f>
        <v>0</v>
      </c>
    </row>
    <row r="84" customFormat="false" ht="13.5" hidden="false" customHeight="false" outlineLevel="0" collapsed="false">
      <c r="A84" s="67" t="str">
        <f aca="false">QMR_Inputs!A32</f>
        <v>Comms</v>
      </c>
      <c r="B84" s="79" t="n">
        <f aca="false">QMR_Inputs!B32</f>
        <v>0</v>
      </c>
      <c r="C84" s="79" t="n">
        <f aca="false">QMR_Inputs!C32</f>
        <v>0</v>
      </c>
      <c r="D84" s="79" t="n">
        <f aca="false">QMR_Inputs!D32</f>
        <v>0</v>
      </c>
    </row>
    <row r="85" customFormat="false" ht="13.5" hidden="false" customHeight="false" outlineLevel="0" collapsed="false">
      <c r="A85" s="67" t="str">
        <f aca="false">QMR_Inputs!A33</f>
        <v>Data</v>
      </c>
      <c r="B85" s="79" t="n">
        <f aca="false">QMR_Inputs!B33</f>
        <v>0</v>
      </c>
      <c r="C85" s="79" t="n">
        <f aca="false">QMR_Inputs!C33</f>
        <v>0</v>
      </c>
      <c r="D85" s="79" t="n">
        <f aca="false">QMR_Inputs!D33</f>
        <v>0</v>
      </c>
    </row>
    <row r="86" customFormat="false" ht="13.5" hidden="false" customHeight="false" outlineLevel="0" collapsed="false">
      <c r="A86" s="67" t="str">
        <f aca="false">QMR_Inputs!A34</f>
        <v>IT</v>
      </c>
      <c r="B86" s="79" t="n">
        <f aca="false">QMR_Inputs!B34</f>
        <v>0</v>
      </c>
      <c r="C86" s="79" t="n">
        <f aca="false">QMR_Inputs!C34</f>
        <v>0</v>
      </c>
      <c r="D86" s="79" t="n">
        <f aca="false">QMR_Inputs!D34</f>
        <v>0</v>
      </c>
    </row>
    <row r="87" customFormat="false" ht="13.5" hidden="false" customHeight="false" outlineLevel="0" collapsed="false">
      <c r="A87" s="67" t="str">
        <f aca="false">QMR_Inputs!A35</f>
        <v>Training</v>
      </c>
      <c r="B87" s="79" t="n">
        <f aca="false">QMR_Inputs!B35</f>
        <v>0</v>
      </c>
      <c r="C87" s="79" t="n">
        <f aca="false">QMR_Inputs!C35</f>
        <v>0</v>
      </c>
      <c r="D87" s="79" t="n">
        <f aca="false">QMR_Inputs!D35</f>
        <v>0</v>
      </c>
    </row>
    <row r="88" customFormat="false" ht="13.5" hidden="false" customHeight="false" outlineLevel="0" collapsed="false">
      <c r="A88" s="14" t="s">
        <v>271</v>
      </c>
      <c r="B88" s="81" t="n">
        <f aca="false">QMR_Inputs!B36</f>
        <v>0</v>
      </c>
      <c r="C88" s="81" t="n">
        <f aca="false">QMR_Inputs!C36</f>
        <v>0</v>
      </c>
      <c r="D88" s="81" t="n">
        <f aca="false">QMR_Inputs!D36</f>
        <v>0</v>
      </c>
    </row>
    <row r="89" customFormat="false" ht="13.5" hidden="false" customHeight="false" outlineLevel="0" collapsed="false">
      <c r="A89" s="14" t="s">
        <v>272</v>
      </c>
      <c r="B89" s="82" t="n">
        <f aca="false">QMR_Inputs!B37</f>
        <v>0</v>
      </c>
    </row>
    <row r="91" customFormat="false" ht="13.5" hidden="false" customHeight="false" outlineLevel="0" collapsed="false">
      <c r="A91" s="3" t="s">
        <v>273</v>
      </c>
    </row>
    <row r="93" customFormat="false" ht="13.5" hidden="false" customHeight="false" outlineLevel="0" collapsed="false">
      <c r="A93" s="76" t="s">
        <v>274</v>
      </c>
    </row>
    <row r="94" customFormat="false" ht="13.5" hidden="false" customHeight="false" outlineLevel="0" collapsed="false">
      <c r="A94" s="3" t="s">
        <v>275</v>
      </c>
    </row>
    <row r="95" customFormat="false" ht="24.75" hidden="false" customHeight="true" outlineLevel="0" collapsed="false">
      <c r="A95" s="56" t="s">
        <v>276</v>
      </c>
      <c r="B95" s="56" t="s">
        <v>277</v>
      </c>
      <c r="C95" s="56" t="s">
        <v>278</v>
      </c>
      <c r="D95" s="56" t="s">
        <v>279</v>
      </c>
      <c r="E95" s="1" t="s">
        <v>280</v>
      </c>
      <c r="F95" s="1" t="s">
        <v>281</v>
      </c>
    </row>
    <row r="96" customFormat="false" ht="13.5" hidden="false" customHeight="false" outlineLevel="0" collapsed="false">
      <c r="A96" s="67" t="str">
        <f aca="false">QMR_Inputs!A41</f>
        <v>Responsible Production</v>
      </c>
      <c r="B96" s="79" t="n">
        <f aca="false">QMR_Inputs!B41</f>
        <v>0</v>
      </c>
      <c r="C96" s="79" t="n">
        <f aca="false">SUMIFS(Project_Forecast!$N$2:$N$393,Project_Forecast!$E$2:$E$393,$A96,Project_Forecast!$B$2:$B$393,Controls!$B$30,Project_Forecast!$A$2:$A$393,Controls!$B$7)</f>
        <v>9760078.0305</v>
      </c>
      <c r="D96" s="79" t="n">
        <f aca="false">SUMIFS(Project_Forecast!$S$2:$S$393,Project_Forecast!$E$2:$E$393,$A96,Project_Forecast!$B$2:$B$393,Controls!$B$30,Project_Forecast!$A$2:$A$393,Controls!$B$7)</f>
        <v>3453417.15</v>
      </c>
      <c r="E96" s="79" t="n">
        <f aca="false">C96-B96</f>
        <v>9760078.0305</v>
      </c>
      <c r="F96" s="83" t="str">
        <f aca="false">IFERROR(D96/B96,"-")</f>
        <v>-</v>
      </c>
    </row>
    <row r="97" customFormat="false" ht="13.5" hidden="false" customHeight="false" outlineLevel="0" collapsed="false">
      <c r="A97" s="67" t="str">
        <f aca="false">QMR_Inputs!A42</f>
        <v>Responsible Sourcing</v>
      </c>
      <c r="B97" s="79" t="n">
        <f aca="false">QMR_Inputs!B42</f>
        <v>0</v>
      </c>
      <c r="C97" s="79" t="n">
        <f aca="false">SUMIFS(Project_Forecast!$N$2:$N$393,Project_Forecast!$E$2:$E$393,$A97,Project_Forecast!$B$2:$B$393,Controls!$B$30,Project_Forecast!$A$2:$A$393,Controls!$B$7)</f>
        <v>4090375.05</v>
      </c>
      <c r="D97" s="79" t="n">
        <f aca="false">SUMIFS(Project_Forecast!$S$2:$S$393,Project_Forecast!$E$2:$E$393,$A97,Project_Forecast!$B$2:$B$393,Controls!$B$30,Project_Forecast!$A$2:$A$393,Controls!$B$7)</f>
        <v>2115791.82</v>
      </c>
      <c r="E97" s="79" t="n">
        <f aca="false">C97-B97</f>
        <v>4090375.05</v>
      </c>
      <c r="F97" s="83" t="str">
        <f aca="false">IFERROR(D97/B97,"-")</f>
        <v>-</v>
      </c>
    </row>
    <row r="98" customFormat="false" ht="13.5" hidden="false" customHeight="false" outlineLevel="0" collapsed="false">
      <c r="A98" s="67" t="str">
        <f aca="false">QMR_Inputs!A43</f>
        <v>Responsible Finance</v>
      </c>
      <c r="B98" s="79" t="n">
        <f aca="false">QMR_Inputs!B43</f>
        <v>0</v>
      </c>
      <c r="C98" s="79" t="n">
        <f aca="false">SUMIFS(Project_Forecast!$N$2:$N$393,Project_Forecast!$E$2:$E$393,$A98,Project_Forecast!$B$2:$B$393,Controls!$B$30,Project_Forecast!$A$2:$A$393,Controls!$B$7)</f>
        <v>1566964.4365</v>
      </c>
      <c r="D98" s="79" t="n">
        <f aca="false">SUMIFS(Project_Forecast!$S$2:$S$393,Project_Forecast!$E$2:$E$393,$A98,Project_Forecast!$B$2:$B$393,Controls!$B$30,Project_Forecast!$A$2:$A$393,Controls!$B$7)</f>
        <v>926510.29</v>
      </c>
      <c r="E98" s="79" t="n">
        <f aca="false">C98-B98</f>
        <v>1566964.4365</v>
      </c>
      <c r="F98" s="83" t="str">
        <f aca="false">IFERROR(D98/B98,"-")</f>
        <v>-</v>
      </c>
    </row>
    <row r="99" customFormat="false" ht="13.5" hidden="false" customHeight="false" outlineLevel="0" collapsed="false">
      <c r="A99" s="67" t="str">
        <f aca="false">QMR_Inputs!A44</f>
        <v>Collaboration</v>
      </c>
      <c r="B99" s="79" t="n">
        <f aca="false">QMR_Inputs!B44</f>
        <v>0</v>
      </c>
      <c r="C99" s="79" t="n">
        <f aca="false">SUMIFS(Project_Forecast!$N$2:$N$393,Project_Forecast!$E$2:$E$393,$A99,Project_Forecast!$B$2:$B$393,Controls!$B$30,Project_Forecast!$A$2:$A$393,Controls!$B$7)</f>
        <v>128400</v>
      </c>
      <c r="D99" s="79" t="n">
        <f aca="false">SUMIFS(Project_Forecast!$S$2:$S$393,Project_Forecast!$E$2:$E$393,$A99,Project_Forecast!$B$2:$B$393,Controls!$B$30,Project_Forecast!$A$2:$A$393,Controls!$B$7)</f>
        <v>0</v>
      </c>
      <c r="E99" s="79" t="n">
        <f aca="false">C99-B99</f>
        <v>128400</v>
      </c>
      <c r="F99" s="83" t="str">
        <f aca="false">IFERROR(D99/B99,"-")</f>
        <v>-</v>
      </c>
    </row>
    <row r="100" customFormat="false" ht="13.5" hidden="false" customHeight="false" outlineLevel="0" collapsed="false">
      <c r="A100" s="67" t="str">
        <f aca="false">QMR_Inputs!A45</f>
        <v>Production Landscape</v>
      </c>
      <c r="B100" s="79" t="n">
        <f aca="false">QMR_Inputs!B45</f>
        <v>0</v>
      </c>
      <c r="C100" s="79" t="n">
        <f aca="false">SUMIFS(Project_Forecast!$N$2:$N$393,Project_Forecast!$E$2:$E$393,$A100,Project_Forecast!$B$2:$B$393,Controls!$B$30,Project_Forecast!$A$2:$A$393,Controls!$B$7)</f>
        <v>0</v>
      </c>
      <c r="D100" s="79" t="n">
        <f aca="false">SUMIFS(Project_Forecast!$S$2:$S$393,Project_Forecast!$E$2:$E$393,$A100,Project_Forecast!$B$2:$B$393,Controls!$B$30,Project_Forecast!$A$2:$A$393,Controls!$B$7)</f>
        <v>0</v>
      </c>
      <c r="E100" s="79" t="n">
        <f aca="false">C100-B100</f>
        <v>0</v>
      </c>
      <c r="F100" s="83" t="str">
        <f aca="false">IFERROR(D100/B100,"-")</f>
        <v>-</v>
      </c>
    </row>
    <row r="101" customFormat="false" ht="13.5" hidden="false" customHeight="false" outlineLevel="0" collapsed="false">
      <c r="A101" s="67" t="str">
        <f aca="false">QMR_Inputs!A46</f>
        <v>Policy &amp; Regulation</v>
      </c>
      <c r="B101" s="79" t="n">
        <f aca="false">QMR_Inputs!B46</f>
        <v>0</v>
      </c>
      <c r="C101" s="79" t="n">
        <f aca="false">SUMIFS(Project_Forecast!$N$2:$N$393,Project_Forecast!$E$2:$E$393,$A101,Project_Forecast!$B$2:$B$393,Controls!$B$30,Project_Forecast!$A$2:$A$393,Controls!$B$7)</f>
        <v>0</v>
      </c>
      <c r="D101" s="79" t="n">
        <f aca="false">SUMIFS(Project_Forecast!$S$2:$S$393,Project_Forecast!$E$2:$E$393,$A101,Project_Forecast!$B$2:$B$393,Controls!$B$30,Project_Forecast!$A$2:$A$393,Controls!$B$7)</f>
        <v>0</v>
      </c>
      <c r="E101" s="79" t="n">
        <f aca="false">C101-B101</f>
        <v>0</v>
      </c>
      <c r="F101" s="83" t="str">
        <f aca="false">IFERROR(D101/B101,"-")</f>
        <v>-</v>
      </c>
    </row>
    <row r="102" customFormat="false" ht="13.5" hidden="false" customHeight="false" outlineLevel="0" collapsed="false">
      <c r="A102" s="67" t="str">
        <f aca="false">QMR_Inputs!A47</f>
        <v>Other</v>
      </c>
      <c r="B102" s="79" t="n">
        <f aca="false">QMR_Inputs!B47</f>
        <v>0</v>
      </c>
      <c r="C102" s="79" t="n">
        <f aca="false">SUMIFS(Project_Forecast!$N$2:$N$393,Project_Forecast!$E$2:$E$393,$A102,Project_Forecast!$B$2:$B$393,Controls!$B$30,Project_Forecast!$A$2:$A$393,Controls!$B$7)</f>
        <v>0</v>
      </c>
      <c r="D102" s="79" t="n">
        <f aca="false">SUMIFS(Project_Forecast!$S$2:$S$393,Project_Forecast!$E$2:$E$393,$A102,Project_Forecast!$B$2:$B$393,Controls!$B$30,Project_Forecast!$A$2:$A$393,Controls!$B$7)</f>
        <v>0</v>
      </c>
      <c r="E102" s="79" t="n">
        <f aca="false">C102-B102</f>
        <v>0</v>
      </c>
      <c r="F102" s="83" t="str">
        <f aca="false">IFERROR(D102/B102,"-")</f>
        <v>-</v>
      </c>
    </row>
    <row r="103" customFormat="false" ht="13.5" hidden="false" customHeight="false" outlineLevel="0" collapsed="false">
      <c r="A103" s="14" t="s">
        <v>282</v>
      </c>
      <c r="B103" s="81" t="n">
        <f aca="false">SUM(B96:B102)</f>
        <v>0</v>
      </c>
      <c r="C103" s="81" t="n">
        <f aca="false">SUM(C96:C102)</f>
        <v>15545817.517</v>
      </c>
      <c r="D103" s="81" t="n">
        <f aca="false">SUM(D96:D102)</f>
        <v>6495719.26</v>
      </c>
      <c r="E103" s="81" t="n">
        <f aca="false">C103-B103</f>
        <v>15545817.517</v>
      </c>
      <c r="F103" s="84" t="str">
        <f aca="false">IFERROR(D103/B103,"-")</f>
        <v>-</v>
      </c>
    </row>
    <row r="104" customFormat="false" ht="13.5" hidden="false" customHeight="false" outlineLevel="0" collapsed="false">
      <c r="A104" s="56" t="s">
        <v>283</v>
      </c>
    </row>
    <row r="105" customFormat="false" ht="13.5" hidden="false" customHeight="false" outlineLevel="0" collapsed="false">
      <c r="A105" s="67" t="str">
        <f aca="false">QMR_Inputs!A51</f>
        <v>External</v>
      </c>
      <c r="B105" s="79" t="n">
        <f aca="false">QMR_Inputs!B51</f>
        <v>0</v>
      </c>
      <c r="C105" s="79" t="n">
        <f aca="false">SUMIFS(Project_Forecast!$N$2:$N$393,Project_Forecast!$G$2:$G$393,$A105,Project_Forecast!$B$2:$B$393,Controls!$B$30,Project_Forecast!$A$2:$A$393,Controls!$B$7)</f>
        <v>10801723.0305</v>
      </c>
      <c r="D105" s="79" t="n">
        <f aca="false">SUMIFS(Project_Forecast!$S$2:$S$393,Project_Forecast!$G$2:$G$393,$A105,Project_Forecast!$B$2:$B$393,Controls!$B$30,Project_Forecast!$A$2:$A$393,Controls!$B$7)</f>
        <v>4257740.19</v>
      </c>
      <c r="E105" s="79" t="n">
        <f aca="false">C105-B105</f>
        <v>10801723.0305</v>
      </c>
      <c r="F105" s="83" t="str">
        <f aca="false">IFERROR(D105/B105,"-")</f>
        <v>-</v>
      </c>
    </row>
    <row r="106" customFormat="false" ht="13.5" hidden="false" customHeight="false" outlineLevel="0" collapsed="false">
      <c r="A106" s="67" t="str">
        <f aca="false">QMR_Inputs!A52</f>
        <v>Internal</v>
      </c>
      <c r="B106" s="79" t="n">
        <f aca="false">QMR_Inputs!B52</f>
        <v>0</v>
      </c>
      <c r="C106" s="79" t="n">
        <f aca="false">SUMIFS(Project_Forecast!$N$2:$N$393,Project_Forecast!$G$2:$G$393,$A106,Project_Forecast!$B$2:$B$393,Controls!$B$30,Project_Forecast!$A$2:$A$393,Controls!$B$7)</f>
        <v>4744094.4865</v>
      </c>
      <c r="D106" s="79" t="n">
        <f aca="false">SUMIFS(Project_Forecast!$S$2:$S$393,Project_Forecast!$G$2:$G$393,$A106,Project_Forecast!$B$2:$B$393,Controls!$B$30,Project_Forecast!$A$2:$A$393,Controls!$B$7)</f>
        <v>2237979.07</v>
      </c>
      <c r="E106" s="79" t="n">
        <f aca="false">C106-B106</f>
        <v>4744094.4865</v>
      </c>
      <c r="F106" s="83" t="str">
        <f aca="false">IFERROR(D106/B106,"-")</f>
        <v>-</v>
      </c>
    </row>
    <row r="107" customFormat="false" ht="13.5" hidden="false" customHeight="false" outlineLevel="0" collapsed="false">
      <c r="A107" s="14" t="s">
        <v>284</v>
      </c>
      <c r="B107" s="81" t="n">
        <f aca="false">SUM(B105:B106)</f>
        <v>0</v>
      </c>
      <c r="C107" s="81" t="n">
        <f aca="false">SUM(C105:C106)</f>
        <v>15545817.517</v>
      </c>
      <c r="D107" s="81" t="n">
        <f aca="false">SUM(D105:D106)</f>
        <v>6495719.26</v>
      </c>
      <c r="E107" s="81" t="n">
        <f aca="false">C107-B107</f>
        <v>15545817.517</v>
      </c>
      <c r="F107" s="84" t="str">
        <f aca="false">IFERROR(D107/B107,"-")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B32" activeCellId="0" sqref="B32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5"/>
  </cols>
  <sheetData>
    <row r="1" customFormat="false" ht="17.25" hidden="false" customHeight="true" outlineLevel="0" collapsed="false">
      <c r="A1" s="75" t="str">
        <f aca="false">"QMR Slide Pack — "&amp;Controls!$B$8&amp;" — "&amp;Controls!$B$30&amp;" (GHS 000)"</f>
        <v>QMR Slide Pack — PC Ghana — 2026-Q2 (GHS 000)</v>
      </c>
    </row>
    <row r="2" customFormat="false" ht="13.5" hidden="false" customHeight="false" outlineLevel="0" collapsed="false">
      <c r="A2" s="3" t="s">
        <v>285</v>
      </c>
    </row>
    <row r="4" customFormat="false" ht="13.5" hidden="false" customHeight="false" outlineLevel="0" collapsed="false">
      <c r="A4" s="76" t="s">
        <v>286</v>
      </c>
    </row>
    <row r="5" customFormat="false" ht="36.75" hidden="false" customHeight="true" outlineLevel="0" collapsed="false">
      <c r="A5" s="56" t="s">
        <v>197</v>
      </c>
      <c r="B5" s="56" t="s">
        <v>287</v>
      </c>
      <c r="C5" s="56" t="s">
        <v>288</v>
      </c>
      <c r="D5" s="56" t="s">
        <v>289</v>
      </c>
      <c r="E5" s="56" t="s">
        <v>290</v>
      </c>
      <c r="F5" s="56" t="s">
        <v>291</v>
      </c>
      <c r="G5" s="56" t="s">
        <v>292</v>
      </c>
    </row>
    <row r="6" customFormat="false" ht="13.5" hidden="false" customHeight="false" outlineLevel="0" collapsed="false">
      <c r="A6" s="67" t="s">
        <v>216</v>
      </c>
      <c r="B6" s="68" t="n">
        <f aca="false">QMR_Report!B23/1000</f>
        <v>0</v>
      </c>
      <c r="C6" s="68" t="n">
        <f aca="false">QMR_Report!C23/1000</f>
        <v>15545.817517</v>
      </c>
      <c r="D6" s="68" t="n">
        <f aca="false">QMR_Report!D23/1000</f>
        <v>12020.285217</v>
      </c>
      <c r="E6" s="68" t="n">
        <f aca="false">QMR_Report!E23/1000</f>
        <v>7459.20050445</v>
      </c>
      <c r="F6" s="72" t="n">
        <f aca="false">IFERROR(D6/MAX(B6,C6),0)</f>
        <v>0.773216667689256</v>
      </c>
      <c r="G6" s="72" t="n">
        <f aca="false">IFERROR(E6/MAX(B6,C6),0)</f>
        <v>0.479820408048213</v>
      </c>
    </row>
    <row r="7" customFormat="false" ht="13.5" hidden="false" customHeight="false" outlineLevel="0" collapsed="false">
      <c r="A7" s="67" t="s">
        <v>218</v>
      </c>
      <c r="B7" s="68" t="n">
        <f aca="false">QMR_Report!B28/1000</f>
        <v>3341.19</v>
      </c>
      <c r="C7" s="68" t="n">
        <f aca="false">QMR_Report!C28/1000</f>
        <v>2847.563</v>
      </c>
      <c r="D7" s="68" t="n">
        <f aca="false">QMR_Report!D28/1000</f>
        <v>2847.563</v>
      </c>
      <c r="E7" s="68" t="n">
        <f aca="false">QMR_Report!E28/1000</f>
        <v>1338.818</v>
      </c>
      <c r="F7" s="72" t="n">
        <f aca="false">IFERROR(D7/MAX(B7,C7),0)</f>
        <v>0.852260122890348</v>
      </c>
      <c r="G7" s="72" t="n">
        <f aca="false">IFERROR(E7/MAX(B7,C7),0)</f>
        <v>0.40070094786588</v>
      </c>
    </row>
    <row r="8" customFormat="false" ht="13.5" hidden="false" customHeight="false" outlineLevel="0" collapsed="false">
      <c r="A8" s="67" t="s">
        <v>293</v>
      </c>
      <c r="B8" s="68" t="n">
        <f aca="false">QMR_Report!B29/1000</f>
        <v>3341.19</v>
      </c>
      <c r="C8" s="68" t="n">
        <f aca="false">QMR_Report!C29/1000</f>
        <v>18393.380517</v>
      </c>
      <c r="D8" s="68" t="n">
        <f aca="false">QMR_Report!D29/1000</f>
        <v>14867.848217</v>
      </c>
      <c r="E8" s="68" t="n">
        <f aca="false">QMR_Report!E29/1000</f>
        <v>8798.01850445</v>
      </c>
      <c r="F8" s="72" t="n">
        <f aca="false">IFERROR(D8/MAX(B8,C8),0)</f>
        <v>0.808326028119652</v>
      </c>
      <c r="G8" s="72" t="n">
        <f aca="false">IFERROR(E8/MAX(B8,C8),0)</f>
        <v>0.478325259259355</v>
      </c>
    </row>
    <row r="9" customFormat="false" ht="13.5" hidden="false" customHeight="false" outlineLevel="0" collapsed="false">
      <c r="A9" s="67" t="s">
        <v>294</v>
      </c>
      <c r="B9" s="68" t="n">
        <f aca="false">QMR_Report!B47/1000</f>
        <v>13774.37153</v>
      </c>
      <c r="C9" s="68" t="n">
        <f aca="false">QMR_Report!C47/1000</f>
        <v>13774.37153</v>
      </c>
      <c r="D9" s="68" t="n">
        <f aca="false">QMR_Report!F47/1000</f>
        <v>5801.71357</v>
      </c>
      <c r="E9" s="68" t="n">
        <f aca="false">QMR_Report!F47/1000</f>
        <v>5801.71357</v>
      </c>
      <c r="F9" s="72" t="n">
        <f aca="false">IFERROR(D9/MAX(B9,C9),0)</f>
        <v>0.421196245314286</v>
      </c>
      <c r="G9" s="72" t="n">
        <f aca="false">IFERROR(E9/MAX(B9,C9),0)</f>
        <v>0.421196245314286</v>
      </c>
    </row>
    <row r="10" customFormat="false" ht="13.5" hidden="false" customHeight="false" outlineLevel="0" collapsed="false">
      <c r="A10" s="67" t="s">
        <v>237</v>
      </c>
      <c r="B10" s="68" t="n">
        <f aca="false">QMR_Report!B53/1000</f>
        <v>1426.88415</v>
      </c>
      <c r="C10" s="68" t="n">
        <f aca="false">QMR_Report!C53/1000</f>
        <v>0</v>
      </c>
      <c r="D10" s="68" t="n">
        <f aca="false">QMR_Report!F53/1000</f>
        <v>186.79618</v>
      </c>
      <c r="E10" s="68" t="n">
        <f aca="false">QMR_Report!F53/1000</f>
        <v>186.79618</v>
      </c>
      <c r="F10" s="72" t="n">
        <f aca="false">IFERROR(D10/MAX(B10,C10),0)</f>
        <v>0.130911945444204</v>
      </c>
      <c r="G10" s="72" t="n">
        <f aca="false">IFERROR(E10/MAX(B10,C10),0)</f>
        <v>0.130911945444204</v>
      </c>
    </row>
    <row r="11" customFormat="false" ht="13.5" hidden="false" customHeight="false" outlineLevel="0" collapsed="false">
      <c r="A11" s="70" t="s">
        <v>295</v>
      </c>
      <c r="B11" s="68" t="n">
        <f aca="false">B9-B10</f>
        <v>12347.48738</v>
      </c>
      <c r="C11" s="68" t="n">
        <f aca="false">C9-C10</f>
        <v>13774.37153</v>
      </c>
      <c r="D11" s="68" t="n">
        <f aca="false">D9-D10</f>
        <v>5614.91739</v>
      </c>
      <c r="E11" s="68" t="n">
        <f aca="false">E9-E10</f>
        <v>5614.91739</v>
      </c>
      <c r="F11" s="72" t="n">
        <f aca="false">IFERROR(D11/MAX(B11,C11),0)</f>
        <v>0.407635105367308</v>
      </c>
      <c r="G11" s="72" t="n">
        <f aca="false">IFERROR(E11/MAX(B11,C11),0)</f>
        <v>0.407635105367308</v>
      </c>
    </row>
    <row r="12" customFormat="false" ht="13.5" hidden="false" customHeight="false" outlineLevel="0" collapsed="false">
      <c r="A12" s="70" t="s">
        <v>296</v>
      </c>
      <c r="B12" s="68" t="n">
        <f aca="false">B8-B11</f>
        <v>-9006.29738</v>
      </c>
      <c r="C12" s="68" t="n">
        <f aca="false">C8-C11</f>
        <v>4619.008987</v>
      </c>
      <c r="D12" s="68" t="n">
        <f aca="false">D8-D11</f>
        <v>9252.930827</v>
      </c>
      <c r="E12" s="68" t="n">
        <f aca="false">E8-E11</f>
        <v>3183.10111445</v>
      </c>
      <c r="F12" s="72" t="n">
        <f aca="false">IFERROR(D12/MAX(B12,C12),0)</f>
        <v>2.00322858280682</v>
      </c>
      <c r="G12" s="72" t="n">
        <f aca="false">IFERROR(E12/MAX(B12,C12),0)</f>
        <v>0.689130747181635</v>
      </c>
    </row>
    <row r="13" customFormat="false" ht="13.5" hidden="false" customHeight="false" outlineLevel="0" collapsed="false">
      <c r="A13" s="70" t="s">
        <v>297</v>
      </c>
      <c r="B13" s="68" t="n">
        <f aca="false">B12-(QMR_Report!B57+QMR_Report!B58)/1000</f>
        <v>-9006.29738</v>
      </c>
      <c r="C13" s="68" t="n">
        <f aca="false">C12-(QMR_Report!C57+QMR_Report!C58)/1000</f>
        <v>4619.008987</v>
      </c>
      <c r="D13" s="68" t="n">
        <f aca="false">D12-(QMR_Report!F57+QMR_Report!F58)/1000</f>
        <v>9252.930827</v>
      </c>
      <c r="E13" s="68" t="n">
        <f aca="false">E12-(QMR_Report!F57+QMR_Report!F58)/1000</f>
        <v>3183.10111445</v>
      </c>
      <c r="F13" s="72" t="n">
        <f aca="false">IFERROR(D13/MAX(B13,C13),0)</f>
        <v>2.00322858280682</v>
      </c>
      <c r="G13" s="72" t="n">
        <f aca="false">IFERROR(E13/MAX(B13,C13),0)</f>
        <v>0.689130747181635</v>
      </c>
    </row>
    <row r="14" customFormat="false" ht="13.5" hidden="false" customHeight="false" outlineLevel="0" collapsed="false">
      <c r="A14" s="67" t="s">
        <v>298</v>
      </c>
      <c r="B14" s="72" t="n">
        <f aca="false">IFERROR(B13/B8,0)</f>
        <v>-2.69553583603447</v>
      </c>
      <c r="C14" s="72" t="n">
        <f aca="false">IFERROR(C13/C8,0)</f>
        <v>0.251123439909858</v>
      </c>
      <c r="D14" s="72" t="n">
        <f aca="false">IFERROR(D13/D8,0)</f>
        <v>0.62234498845772</v>
      </c>
      <c r="E14" s="72" t="n">
        <f aca="false">IFERROR(E13/E8,0)</f>
        <v>0.361797501657902</v>
      </c>
      <c r="F14" s="67"/>
      <c r="G14" s="67"/>
    </row>
    <row r="15" customFormat="false" ht="13.5" hidden="false" customHeight="false" outlineLevel="0" collapsed="false">
      <c r="A15" s="3" t="s">
        <v>299</v>
      </c>
    </row>
    <row r="17" customFormat="false" ht="13.5" hidden="false" customHeight="false" outlineLevel="0" collapsed="false">
      <c r="A17" s="76" t="s">
        <v>300</v>
      </c>
    </row>
    <row r="18" customFormat="false" ht="24.75" hidden="false" customHeight="true" outlineLevel="0" collapsed="false">
      <c r="A18" s="56" t="s">
        <v>301</v>
      </c>
      <c r="B18" s="56" t="s">
        <v>287</v>
      </c>
      <c r="C18" s="56" t="s">
        <v>288</v>
      </c>
      <c r="D18" s="56" t="s">
        <v>302</v>
      </c>
      <c r="E18" s="56" t="s">
        <v>303</v>
      </c>
      <c r="F18" s="56" t="s">
        <v>304</v>
      </c>
      <c r="G18" s="56" t="s">
        <v>305</v>
      </c>
      <c r="H18" s="56" t="s">
        <v>306</v>
      </c>
    </row>
    <row r="19" customFormat="false" ht="13.8" hidden="false" customHeight="false" outlineLevel="0" collapsed="false">
      <c r="A19" s="67" t="s">
        <v>307</v>
      </c>
      <c r="B19" s="68" t="n">
        <f aca="false">SUMIFS(FixedCost_Output!$C$12:$C$22,FixedCost_Output!$B$12:$B$22,$A19)/1000</f>
        <v>7230.0777</v>
      </c>
      <c r="C19" s="68" t="n">
        <f aca="false">B19</f>
        <v>7230.0777</v>
      </c>
      <c r="D19" s="68" t="n">
        <f aca="false">SUMIFS(FixedCost_Output!$E$12:$E$22,FixedCost_Output!$B$12:$B$22,$A19)/1000</f>
        <v>3229.26855</v>
      </c>
      <c r="E19" s="72" t="n">
        <f aca="false">IFERROR(D19/B19,0)</f>
        <v>0.44664368544753</v>
      </c>
      <c r="F19" s="72" t="n">
        <f aca="false">IFERROR(D19/C19,0)</f>
        <v>0.44664368544753</v>
      </c>
      <c r="G19" s="72" t="n">
        <f aca="false">IFERROR(B19/B$22,0)</f>
        <v>0.524893472217821</v>
      </c>
      <c r="H19" s="72" t="n">
        <f aca="false">IFERROR(D19/D$22,0)</f>
        <v>0.556605994252833</v>
      </c>
    </row>
    <row r="20" customFormat="false" ht="13.8" hidden="false" customHeight="false" outlineLevel="0" collapsed="false">
      <c r="A20" s="67" t="s">
        <v>308</v>
      </c>
      <c r="B20" s="68" t="n">
        <f aca="false">SUMIFS(FixedCost_Output!$C$12:$C$22,FixedCost_Output!$B$12:$B$22,$A20)/1000</f>
        <v>2322.68</v>
      </c>
      <c r="C20" s="68" t="n">
        <f aca="false">B20</f>
        <v>2322.68</v>
      </c>
      <c r="D20" s="68" t="n">
        <f aca="false">SUMIFS(FixedCost_Output!$E$12:$E$22,FixedCost_Output!$B$12:$B$22,$A20)/1000</f>
        <v>1287.62365</v>
      </c>
      <c r="E20" s="72" t="n">
        <f aca="false">IFERROR(D20/B20,0)</f>
        <v>0.554369801264057</v>
      </c>
      <c r="F20" s="72" t="n">
        <f aca="false">IFERROR(D20/C20,0)</f>
        <v>0.554369801264057</v>
      </c>
      <c r="G20" s="72" t="n">
        <f aca="false">IFERROR(B20/B$22,0)</f>
        <v>0.168623301247632</v>
      </c>
      <c r="H20" s="72" t="n">
        <f aca="false">IFERROR(D20/D$22,0)</f>
        <v>0.221938507384811</v>
      </c>
    </row>
    <row r="21" customFormat="false" ht="13.8" hidden="false" customHeight="false" outlineLevel="0" collapsed="false">
      <c r="A21" s="67" t="s">
        <v>309</v>
      </c>
      <c r="B21" s="68" t="n">
        <f aca="false">SUMIFS(FixedCost_Output!$C$12:$C$22,FixedCost_Output!$B$12:$B$22,$A21)/1000</f>
        <v>4221.61383</v>
      </c>
      <c r="C21" s="68" t="n">
        <f aca="false">B21</f>
        <v>4221.61383</v>
      </c>
      <c r="D21" s="68" t="n">
        <f aca="false">SUMIFS(FixedCost_Output!$E$12:$E$22,FixedCost_Output!$B$12:$B$22,$A21)/1000</f>
        <v>1284.82137</v>
      </c>
      <c r="E21" s="72" t="n">
        <f aca="false">IFERROR(D21/B21,0)</f>
        <v>0.304343651915694</v>
      </c>
      <c r="F21" s="72" t="n">
        <f aca="false">IFERROR(D21/C21,0)</f>
        <v>0.304343651915694</v>
      </c>
      <c r="G21" s="72" t="n">
        <f aca="false">IFERROR(B21/B$22,0)</f>
        <v>0.306483226534547</v>
      </c>
      <c r="H21" s="72" t="n">
        <f aca="false">IFERROR(D21/D$22,0)</f>
        <v>0.221455498362357</v>
      </c>
    </row>
    <row r="22" customFormat="false" ht="13.8" hidden="false" customHeight="false" outlineLevel="0" collapsed="false">
      <c r="A22" s="70" t="s">
        <v>310</v>
      </c>
      <c r="B22" s="78" t="n">
        <f aca="false">SUM(B19:B21)</f>
        <v>13774.37153</v>
      </c>
      <c r="C22" s="78" t="n">
        <f aca="false">SUM(C19:C21)</f>
        <v>13774.37153</v>
      </c>
      <c r="D22" s="78" t="n">
        <f aca="false">SUM(D19:D21)</f>
        <v>5801.71357</v>
      </c>
      <c r="E22" s="72" t="n">
        <f aca="false">IFERROR(D22/B22,0)</f>
        <v>0.421196245314286</v>
      </c>
      <c r="F22" s="72" t="n">
        <f aca="false">IFERROR(D22/C22,0)</f>
        <v>0.421196245314286</v>
      </c>
      <c r="G22" s="72" t="n">
        <f aca="false">IFERROR(B22/B22,0)</f>
        <v>1</v>
      </c>
      <c r="H22" s="72" t="n">
        <f aca="false">IFERROR(D22/D22,0)</f>
        <v>1</v>
      </c>
    </row>
    <row r="23" customFormat="false" ht="13.8" hidden="false" customHeight="false" outlineLevel="0" collapsed="false">
      <c r="A23" s="3" t="s">
        <v>311</v>
      </c>
    </row>
    <row r="24" customFormat="false" ht="13.8" hidden="false" customHeight="false" outlineLevel="0" collapsed="false"/>
    <row r="25" customFormat="false" ht="13.8" hidden="false" customHeight="false" outlineLevel="0" collapsed="false">
      <c r="A25" s="76" t="s">
        <v>312</v>
      </c>
    </row>
    <row r="26" customFormat="false" ht="13.8" hidden="false" customHeight="false" outlineLevel="0" collapsed="false">
      <c r="A26" s="56" t="s">
        <v>172</v>
      </c>
      <c r="B26" s="56" t="s">
        <v>34</v>
      </c>
      <c r="C26" s="56" t="s">
        <v>313</v>
      </c>
    </row>
    <row r="27" customFormat="false" ht="13.8" hidden="false" customHeight="false" outlineLevel="0" collapsed="false">
      <c r="A27" s="67" t="s">
        <v>261</v>
      </c>
      <c r="B27" s="80" t="n">
        <f aca="false">INDEX(Balance_Sheet!$C$33:$F$33,1,VALUE(MID(Controls!$B$6,2,1)))</f>
        <v>2.76165896793269</v>
      </c>
      <c r="C27" s="85" t="s">
        <v>314</v>
      </c>
    </row>
    <row r="28" customFormat="false" ht="13.8" hidden="false" customHeight="false" outlineLevel="0" collapsed="false">
      <c r="A28" s="67" t="s">
        <v>315</v>
      </c>
      <c r="B28" s="79" t="n">
        <f aca="false">IFERROR(INDEX(Balance_Sheet!$B$13:$E$13,1,VALUE(MID(Controls!$B$6,2,1)))/1000,"-")</f>
        <v>8953.15648</v>
      </c>
      <c r="C28" s="85"/>
    </row>
    <row r="29" customFormat="false" ht="13.8" hidden="false" customHeight="false" outlineLevel="0" collapsed="false">
      <c r="A29" s="67" t="s">
        <v>316</v>
      </c>
      <c r="B29" s="79" t="n">
        <f aca="false">IFERROR(INDEX(Balance_Sheet!$B$18:$E$18,1,VALUE(MID(Controls!$B$6,2,1)))/1000,"-")</f>
        <v>-3241.94862</v>
      </c>
      <c r="C29" s="85"/>
    </row>
    <row r="30" customFormat="false" ht="13.8" hidden="false" customHeight="false" outlineLevel="0" collapsed="false">
      <c r="A30" s="67" t="s">
        <v>317</v>
      </c>
      <c r="B30" s="79" t="n">
        <f aca="false">IFERROR(INDEX(Balance_Sheet!$C$34:$F$34,1,VALUE(MID(Controls!$B$6,2,1)))/1000,"-")</f>
        <v>5711.20786</v>
      </c>
      <c r="C30" s="85" t="s">
        <v>318</v>
      </c>
    </row>
    <row r="31" customFormat="false" ht="13.8" hidden="false" customHeight="false" outlineLevel="0" collapsed="false">
      <c r="A31" s="67" t="s">
        <v>319</v>
      </c>
      <c r="B31" s="79" t="n">
        <f aca="false">IFERROR(INDEX(Balance_Sheet!$C$35:$F$35,1,VALUE(MID(Controls!$B$6,2,1)))/1000,"-")</f>
        <v>989.163755833333</v>
      </c>
      <c r="C31" s="85"/>
    </row>
    <row r="32" customFormat="false" ht="13.8" hidden="false" customHeight="false" outlineLevel="0" collapsed="false">
      <c r="A32" s="67" t="s">
        <v>320</v>
      </c>
      <c r="B32" s="80" t="n">
        <f aca="false">INDEX(Balance_Sheet!$C$36:$F$36,1,VALUE(MID(Controls!$B$6,2,1)))</f>
        <v>5.77377388356544</v>
      </c>
      <c r="C32" s="85" t="s">
        <v>321</v>
      </c>
    </row>
    <row r="33" customFormat="false" ht="13.8" hidden="false" customHeight="false" outlineLevel="0" collapsed="false">
      <c r="A33" s="67" t="s">
        <v>322</v>
      </c>
      <c r="B33" s="79" t="n">
        <f aca="false">SUMIFS(MM_FixedCost!$F$5:$F$78,MM_FixedCost!$E$5:$E$78,"Core")/1000</f>
        <v>11869.96507</v>
      </c>
      <c r="C33" s="85"/>
    </row>
    <row r="34" customFormat="false" ht="13.8" hidden="false" customHeight="false" outlineLevel="0" collapsed="false">
      <c r="A34" s="67" t="s">
        <v>323</v>
      </c>
      <c r="B34" s="79" t="n">
        <f aca="false">SUMIFS(MM_FixedCost!$F$5:$F$78,MM_FixedCost!$E$5:$E$78,"Discretionary")/1000</f>
        <v>1904.40646</v>
      </c>
      <c r="C34" s="85"/>
    </row>
    <row r="35" customFormat="false" ht="13.8" hidden="false" customHeight="false" outlineLevel="0" collapsed="false">
      <c r="A35" s="67" t="s">
        <v>324</v>
      </c>
      <c r="B35" s="79" t="n">
        <f aca="false">FixedCost_Output!$B$3/1000</f>
        <v>13774.37153</v>
      </c>
      <c r="C35" s="85"/>
    </row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>
      <c r="A38" s="76" t="s">
        <v>325</v>
      </c>
    </row>
    <row r="39" customFormat="false" ht="13.8" hidden="false" customHeight="false" outlineLevel="0" collapsed="false">
      <c r="A39" s="56" t="s">
        <v>326</v>
      </c>
      <c r="B39" s="56" t="s">
        <v>327</v>
      </c>
    </row>
    <row r="40" customFormat="false" ht="13.8" hidden="false" customHeight="false" outlineLevel="0" collapsed="false">
      <c r="A40" s="67" t="s">
        <v>253</v>
      </c>
      <c r="B40" s="79" t="n">
        <f aca="false">IFERROR(INDEX(Balance_Sheet!$B$8:$E$8,1,VALUE(MID(Controls!$B$6,2,1)))/1000,"-")</f>
        <v>2304.26482</v>
      </c>
    </row>
    <row r="41" customFormat="false" ht="13.8" hidden="false" customHeight="false" outlineLevel="0" collapsed="false">
      <c r="A41" s="67" t="s">
        <v>254</v>
      </c>
      <c r="B41" s="79" t="n">
        <f aca="false">IFERROR(INDEX(Balance_Sheet!$B$13:$E$13,1,VALUE(MID(Controls!$B$6,2,1)))/1000,"-")</f>
        <v>8953.15648</v>
      </c>
    </row>
    <row r="42" customFormat="false" ht="13.8" hidden="false" customHeight="false" outlineLevel="0" collapsed="false">
      <c r="A42" s="67" t="s">
        <v>256</v>
      </c>
      <c r="B42" s="79" t="n">
        <f aca="false">IFERROR(INDEX(Balance_Sheet!$B$18:$E$18,1,VALUE(MID(Controls!$B$6,2,1)))/1000,"-")</f>
        <v>-3241.94862</v>
      </c>
    </row>
    <row r="43" customFormat="false" ht="13.8" hidden="false" customHeight="false" outlineLevel="0" collapsed="false">
      <c r="A43" s="67" t="s">
        <v>257</v>
      </c>
      <c r="B43" s="79" t="n">
        <f aca="false">IFERROR(INDEX(Balance_Sheet!$B$21:$E$21,1,VALUE(MID(Controls!$B$6,2,1)))/1000,"-")</f>
        <v>-0.00033</v>
      </c>
    </row>
    <row r="44" customFormat="false" ht="13.8" hidden="false" customHeight="false" outlineLevel="0" collapsed="false">
      <c r="A44" s="67" t="s">
        <v>259</v>
      </c>
      <c r="B44" s="79" t="n">
        <f aca="false">IFERROR(INDEX(Balance_Sheet!$B$24:$E$24,1,VALUE(MID(Controls!$B$6,2,1)))/1000,"-")</f>
        <v>8015.47235</v>
      </c>
    </row>
    <row r="45" customFormat="false" ht="13.8" hidden="false" customHeight="false" outlineLevel="0" collapsed="false">
      <c r="A45" s="67" t="s">
        <v>260</v>
      </c>
      <c r="B45" s="79" t="n">
        <f aca="false">IFERROR(INDEX(Balance_Sheet!$B$25:$E$25,1,VALUE(MID(Controls!$B$6,2,1)))/1000,"-")</f>
        <v>-8015.47235</v>
      </c>
    </row>
    <row r="46" customFormat="false" ht="13.8" hidden="false" customHeight="false" outlineLevel="0" collapsed="false"/>
    <row r="47" customFormat="false" ht="13.8" hidden="false" customHeight="false" outlineLevel="0" collapsed="false">
      <c r="A47" s="3" t="s">
        <v>328</v>
      </c>
    </row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0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P10" activeCellId="0" sqref="P10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34.64"/>
    <col collapsed="false" customWidth="true" hidden="false" outlineLevel="0" max="7" min="6" style="1" width="14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3" min="10" style="1" width="13.64"/>
  </cols>
  <sheetData>
    <row r="1" customFormat="false" ht="17.25" hidden="false" customHeight="true" outlineLevel="0" collapsed="false">
      <c r="A1" s="75" t="str">
        <f aca="false">"Project Income and Forecast — "&amp;Controls!$B$8</f>
        <v>Project Income and Forecast — PC Ghana</v>
      </c>
    </row>
    <row r="2" customFormat="false" ht="13.5" hidden="false" customHeight="false" outlineLevel="0" collapsed="false">
      <c r="A2" s="3" t="str">
        <f aca="false">"Selected period: "&amp;Controls!$B$30&amp;" | Net income forecast, secured position, WIP and invoicing"</f>
        <v>Selected period: 2026-Q2 | Net income forecast, secured position, WIP and invoicing</v>
      </c>
    </row>
    <row r="3" customFormat="false" ht="15" hidden="false" customHeight="true" outlineLevel="0" collapsed="false">
      <c r="A3" s="86" t="s">
        <v>329</v>
      </c>
      <c r="B3" s="87" t="n">
        <f aca="false">SUM(MM_Income!$P$5:$P$204)</f>
        <v>16502774.617</v>
      </c>
      <c r="D3" s="86" t="s">
        <v>330</v>
      </c>
      <c r="E3" s="87" t="n">
        <f aca="false">SUMIFS(Project_Forecast!$N$2:$N$393,Project_Forecast!$B$2:$B$393,Controls!$B$30,Project_Forecast!$A$2:$A$393,Controls!$B$7)</f>
        <v>15545817.517</v>
      </c>
      <c r="G3" s="86" t="s">
        <v>331</v>
      </c>
      <c r="H3" s="87" t="n">
        <f aca="false">SUMIFS(Project_Forecast!$N$2:$N$393,Project_Forecast!$L$2:$L$393,"Secured",Project_Forecast!$B$2:$B$393,Controls!$B$30,Project_Forecast!$A$2:$A$393,Controls!$B$7)</f>
        <v>12020285.217</v>
      </c>
      <c r="J3" s="86" t="s">
        <v>332</v>
      </c>
      <c r="K3" s="87" t="n">
        <f aca="false">SUMIFS(Project_Forecast!$AD$2:$AD$393,Project_Forecast!$B$2:$B$393,Controls!$B$30,Project_Forecast!$A$2:$A$393,Controls!$B$7)</f>
        <v>7459200.50445</v>
      </c>
    </row>
    <row r="5" customFormat="false" ht="15" hidden="false" customHeight="true" outlineLevel="0" collapsed="false">
      <c r="A5" s="86" t="s">
        <v>333</v>
      </c>
      <c r="B5" s="87" t="n">
        <f aca="false">SUMIFS(Project_Forecast!$S$2:$S$393,Project_Forecast!$B$2:$B$393,Controls!$B$30,Project_Forecast!$A$2:$A$393,Controls!$B$7)</f>
        <v>6495719.26</v>
      </c>
      <c r="D5" s="86" t="s">
        <v>334</v>
      </c>
      <c r="E5" s="87" t="n">
        <f aca="false">SUMIFS(Project_Forecast!$AE$2:$AE$393,Project_Forecast!$B$2:$B$393,Controls!$B$30,Project_Forecast!$A$2:$A$393,Controls!$B$7)</f>
        <v>3967299.37455</v>
      </c>
      <c r="G5" s="86" t="s">
        <v>335</v>
      </c>
      <c r="H5" s="88" t="n">
        <f aca="false">COUNTIFS(Project_Forecast!$AI$2:$AI$393,"REVIEW",Project_Forecast!$B$2:$B$393,Controls!$B$30,Project_Forecast!$A$2:$A$393,Controls!$B$7)</f>
        <v>16</v>
      </c>
      <c r="J5" s="86" t="s">
        <v>202</v>
      </c>
      <c r="K5" s="89" t="n">
        <f aca="false">IFERROR(H3/Controls!$B$15,0)</f>
        <v>1.22721295013569</v>
      </c>
    </row>
    <row r="6" customFormat="false" ht="13.5" hidden="false" customHeight="false" outlineLevel="0" collapsed="false">
      <c r="A6" s="90" t="s">
        <v>336</v>
      </c>
      <c r="B6" s="91" t="n">
        <f aca="false">SUM(MM_Income!$P$5:$P$204)</f>
        <v>16502774.617</v>
      </c>
      <c r="C6" s="92"/>
      <c r="D6" s="90" t="s">
        <v>337</v>
      </c>
      <c r="E6" s="91" t="n">
        <f aca="false">SUM(MM_Income!$T$5:$T$204)</f>
        <v>15545817.517</v>
      </c>
      <c r="F6" s="92"/>
      <c r="G6" s="90" t="s">
        <v>338</v>
      </c>
      <c r="H6" s="91" t="n">
        <f aca="false">SUMIFS(MM_Income!$T$5:$T$204,MM_Income!$U$5:$U$204,"Secured")</f>
        <v>12020285.217</v>
      </c>
      <c r="I6" s="92"/>
      <c r="J6" s="90" t="s">
        <v>339</v>
      </c>
      <c r="K6" s="91" t="n">
        <f aca="false">SUMIFS(MM_Income!$T$5:$T$204,MM_Income!$U$5:$U$204,"Pipeline")</f>
        <v>3525532.3</v>
      </c>
    </row>
    <row r="7" customFormat="false" ht="13.5" hidden="false" customHeight="false" outlineLevel="0" collapsed="false">
      <c r="A7" s="93" t="s">
        <v>340</v>
      </c>
      <c r="B7" s="94" t="n">
        <f aca="false">SUM(MM_Income!$W$5:$W$204)</f>
        <v>15146686.117</v>
      </c>
      <c r="D7" s="95" t="s">
        <v>341</v>
      </c>
    </row>
    <row r="8" customFormat="false" ht="13.5" hidden="false" customHeight="false" outlineLevel="0" collapsed="false">
      <c r="A8" s="96" t="s">
        <v>342</v>
      </c>
    </row>
    <row r="9" customFormat="false" ht="24.75" hidden="false" customHeight="true" outlineLevel="0" collapsed="false">
      <c r="A9" s="56" t="s">
        <v>343</v>
      </c>
      <c r="B9" s="56" t="s">
        <v>276</v>
      </c>
      <c r="C9" s="56" t="s">
        <v>344</v>
      </c>
      <c r="D9" s="56" t="s">
        <v>278</v>
      </c>
      <c r="E9" s="56" t="s">
        <v>345</v>
      </c>
      <c r="F9" s="56" t="s">
        <v>346</v>
      </c>
      <c r="G9" s="56" t="s">
        <v>347</v>
      </c>
      <c r="H9" s="56" t="s">
        <v>348</v>
      </c>
      <c r="I9" s="56" t="s">
        <v>279</v>
      </c>
      <c r="J9" s="93" t="s">
        <v>349</v>
      </c>
      <c r="K9" s="93" t="s">
        <v>350</v>
      </c>
      <c r="L9" s="93" t="s">
        <v>351</v>
      </c>
      <c r="M9" s="93" t="s">
        <v>352</v>
      </c>
      <c r="N9" s="14" t="s">
        <v>276</v>
      </c>
      <c r="O9" s="14" t="s">
        <v>278</v>
      </c>
      <c r="P9" s="14" t="s">
        <v>277</v>
      </c>
      <c r="Q9" s="14" t="s">
        <v>280</v>
      </c>
    </row>
    <row r="10" customFormat="false" ht="13.8" hidden="false" customHeight="false" outlineLevel="0" collapsed="false">
      <c r="A10" s="67" t="s">
        <v>353</v>
      </c>
      <c r="B10" s="67" t="s">
        <v>354</v>
      </c>
      <c r="C10" s="68" t="n">
        <f aca="false">SUMIFS(MM_Income!$P$5:$P$204,MM_Income!$C$5:$C$204,$B10,MM_Income!$G$5:$G$204,$A10)</f>
        <v>0</v>
      </c>
      <c r="D10" s="68" t="n">
        <f aca="false">SUMIFS(Project_Forecast!$N$2:$N$393,Project_Forecast!$E$2:$E$393,$B10,Project_Forecast!$G$2:$G$393,$A10,Project_Forecast!$B$2:$B$393,Controls!$B$30,Project_Forecast!$A$2:$A$393,Controls!$B$7)</f>
        <v>0</v>
      </c>
      <c r="E10" s="68" t="n">
        <f aca="false">SUMIFS(Project_Forecast!$N$2:$N$393,Project_Forecast!$E$2:$E$393,$B10,Project_Forecast!$G$2:$G$393,$A10,Project_Forecast!$L$2:$L$393,"Secured",Project_Forecast!$B$2:$B$393,Controls!$B$30,Project_Forecast!$A$2:$A$393,Controls!$B$7)</f>
        <v>0</v>
      </c>
      <c r="F10" s="68" t="n">
        <f aca="false">CHOOSE(VALUE(MID(Controls!$B$6,2,1)),SUMIFS(Project_Forecast!$W$2:$W$393,Project_Forecast!$E$2:$E$393,$B10,Project_Forecast!$G$2:$G$393,$A10,Project_Forecast!$B$2:$B$393,Controls!$B$30,Project_Forecast!$A$2:$A$393,Controls!$B$7),SUMIFS(Project_Forecast!$Y$2:$Y$393,Project_Forecast!$E$2:$E$393,$B10,Project_Forecast!$G$2:$G$393,$A10,Project_Forecast!$B$2:$B$393,Controls!$B$30,Project_Forecast!$A$2:$A$393,Controls!$B$7),SUMIFS(Project_Forecast!$AA$2:$AA$393,Project_Forecast!$E$2:$E$393,$B10,Project_Forecast!$G$2:$G$393,$A10,Project_Forecast!$B$2:$B$393,Controls!$B$30,Project_Forecast!$A$2:$A$393,Controls!$B$7),SUMIFS(Project_Forecast!$AC$2:$AC$393,Project_Forecast!$E$2:$E$393,$B10,Project_Forecast!$G$2:$G$393,$A10,Project_Forecast!$B$2:$B$393,Controls!$B$30,Project_Forecast!$A$2:$A$393,Controls!$B$7))</f>
        <v>0</v>
      </c>
      <c r="G10" s="68" t="n">
        <f aca="false">SUMIFS(Project_Forecast!$AD$2:$AD$393,Project_Forecast!$E$2:$E$393,$B10,Project_Forecast!$G$2:$G$393,$A10,Project_Forecast!$B$2:$B$393,Controls!$B$30,Project_Forecast!$A$2:$A$393,Controls!$B$7)</f>
        <v>0</v>
      </c>
      <c r="H10" s="68" t="n">
        <f aca="false">SUMIFS(Project_Forecast!$AE$2:$AE$393,Project_Forecast!$E$2:$E$393,$B10,Project_Forecast!$G$2:$G$393,$A10,Project_Forecast!$B$2:$B$393,Controls!$B$30,Project_Forecast!$A$2:$A$393,Controls!$B$7)</f>
        <v>0</v>
      </c>
      <c r="I10" s="68" t="n">
        <f aca="false">SUMIFS(Project_Forecast!$S$2:$S$393,Project_Forecast!$E$2:$E$393,$B10,Project_Forecast!$G$2:$G$393,$A10,Project_Forecast!$B$2:$B$393,Controls!$B$30,Project_Forecast!$A$2:$A$393,Controls!$B$7)</f>
        <v>0</v>
      </c>
      <c r="J10" s="94" t="n">
        <f aca="false">SUMIFS(Project_Forecast!$W$2:$W$393,Project_Forecast!$E$2:$E$393,$B10,Project_Forecast!$G$2:$G$393,$A10,Project_Forecast!$B$2:$B$393,Controls!$B$30,Project_Forecast!$A$2:$A$393,Controls!$B$7)</f>
        <v>0</v>
      </c>
      <c r="K10" s="94" t="n">
        <f aca="false">SUMIFS(Project_Forecast!$Y$2:$Y$393,Project_Forecast!$E$2:$E$393,$B10,Project_Forecast!$G$2:$G$393,$A10,Project_Forecast!$B$2:$B$393,Controls!$B$30,Project_Forecast!$A$2:$A$393,Controls!$B$7)</f>
        <v>0</v>
      </c>
      <c r="L10" s="94" t="n">
        <f aca="false">SUMIFS(Project_Forecast!$AA$2:$AA$393,Project_Forecast!$E$2:$E$393,$B10,Project_Forecast!$G$2:$G$393,$A10,Project_Forecast!$B$2:$B$393,Controls!$B$30,Project_Forecast!$A$2:$A$393,Controls!$B$7)</f>
        <v>0</v>
      </c>
      <c r="M10" s="94" t="n">
        <f aca="false">SUMIFS(Project_Forecast!$AC$2:$AC$393,Project_Forecast!$E$2:$E$393,$B10,Project_Forecast!$G$2:$G$393,$A10,Project_Forecast!$B$2:$B$393,Controls!$B$30,Project_Forecast!$A$2:$A$393,Controls!$B$7)</f>
        <v>0</v>
      </c>
      <c r="N10" s="1" t="s">
        <v>354</v>
      </c>
      <c r="O10" s="1" t="n">
        <f aca="false">SUMIFS(Project_Forecast!$N$2:$N$393,Project_Forecast!$E$2:$E$393,$N10,Project_Forecast!$B$2:$B$393,Controls!$B$30,Project_Forecast!$A$2:$A$393,Controls!$B$7)</f>
        <v>4090375.05</v>
      </c>
      <c r="P10" s="97" t="n">
        <f aca="false">IFERROR(INDEX(QMR_Inputs!$B$41:$B$47,MATCH($N10,QMR_Inputs!$A$41:$A$47,0)),0)</f>
        <v>0</v>
      </c>
      <c r="Q10" s="1" t="n">
        <f aca="false">O10-P10</f>
        <v>4090375.05</v>
      </c>
    </row>
    <row r="11" customFormat="false" ht="13.8" hidden="false" customHeight="false" outlineLevel="0" collapsed="false">
      <c r="A11" s="67" t="s">
        <v>353</v>
      </c>
      <c r="B11" s="67" t="s">
        <v>355</v>
      </c>
      <c r="C11" s="68" t="n">
        <f aca="false">SUMIFS(MM_Income!$P$5:$P$204,MM_Income!$C$5:$C$204,$B11,MM_Income!$G$5:$G$204,$A11)</f>
        <v>10453806.1305</v>
      </c>
      <c r="D11" s="68" t="n">
        <f aca="false">SUMIFS(Project_Forecast!$N$2:$N$393,Project_Forecast!$E$2:$E$393,$B11,Project_Forecast!$G$2:$G$393,$A11,Project_Forecast!$B$2:$B$393,Controls!$B$30,Project_Forecast!$A$2:$A$393,Controls!$B$7)</f>
        <v>9760078.0305</v>
      </c>
      <c r="E11" s="68" t="n">
        <f aca="false">SUMIFS(Project_Forecast!$N$2:$N$393,Project_Forecast!$E$2:$E$393,$B11,Project_Forecast!$G$2:$G$393,$A11,Project_Forecast!$L$2:$L$393,"Secured",Project_Forecast!$B$2:$B$393,Controls!$B$30,Project_Forecast!$A$2:$A$393,Controls!$B$7)</f>
        <v>6643820.7305</v>
      </c>
      <c r="F11" s="68" t="n">
        <f aca="false">CHOOSE(VALUE(MID(Controls!$B$6,2,1)),SUMIFS(Project_Forecast!$W$2:$W$393,Project_Forecast!$E$2:$E$393,$B11,Project_Forecast!$G$2:$G$393,$A11,Project_Forecast!$B$2:$B$393,Controls!$B$30,Project_Forecast!$A$2:$A$393,Controls!$B$7),SUMIFS(Project_Forecast!$Y$2:$Y$393,Project_Forecast!$E$2:$E$393,$B11,Project_Forecast!$G$2:$G$393,$A11,Project_Forecast!$B$2:$B$393,Controls!$B$30,Project_Forecast!$A$2:$A$393,Controls!$B$7),SUMIFS(Project_Forecast!$AA$2:$AA$393,Project_Forecast!$E$2:$E$393,$B11,Project_Forecast!$G$2:$G$393,$A11,Project_Forecast!$B$2:$B$393,Controls!$B$30,Project_Forecast!$A$2:$A$393,Controls!$B$7),SUMIFS(Project_Forecast!$AC$2:$AC$393,Project_Forecast!$E$2:$E$393,$B11,Project_Forecast!$G$2:$G$393,$A11,Project_Forecast!$B$2:$B$393,Controls!$B$30,Project_Forecast!$A$2:$A$393,Controls!$B$7))</f>
        <v>1597445.65</v>
      </c>
      <c r="G11" s="68" t="n">
        <f aca="false">SUMIFS(Project_Forecast!$AD$2:$AD$393,Project_Forecast!$E$2:$E$393,$B11,Project_Forecast!$G$2:$G$393,$A11,Project_Forecast!$B$2:$B$393,Controls!$B$30,Project_Forecast!$A$2:$A$393,Controls!$B$7)</f>
        <v>4656235.41525</v>
      </c>
      <c r="H11" s="68" t="n">
        <f aca="false">SUMIFS(Project_Forecast!$AE$2:$AE$393,Project_Forecast!$E$2:$E$393,$B11,Project_Forecast!$G$2:$G$393,$A11,Project_Forecast!$B$2:$B$393,Controls!$B$30,Project_Forecast!$A$2:$A$393,Controls!$B$7)</f>
        <v>1865512.86725</v>
      </c>
      <c r="I11" s="68" t="n">
        <f aca="false">SUMIFS(Project_Forecast!$S$2:$S$393,Project_Forecast!$E$2:$E$393,$B11,Project_Forecast!$G$2:$G$393,$A11,Project_Forecast!$B$2:$B$393,Controls!$B$30,Project_Forecast!$A$2:$A$393,Controls!$B$7)</f>
        <v>3453417.15</v>
      </c>
      <c r="J11" s="94" t="n">
        <f aca="false">SUMIFS(Project_Forecast!$W$2:$W$393,Project_Forecast!$E$2:$E$393,$B11,Project_Forecast!$G$2:$G$393,$A11,Project_Forecast!$B$2:$B$393,Controls!$B$30,Project_Forecast!$A$2:$A$393,Controls!$B$7)</f>
        <v>3058789.76525</v>
      </c>
      <c r="K11" s="94" t="n">
        <f aca="false">SUMIFS(Project_Forecast!$Y$2:$Y$393,Project_Forecast!$E$2:$E$393,$B11,Project_Forecast!$G$2:$G$393,$A11,Project_Forecast!$B$2:$B$393,Controls!$B$30,Project_Forecast!$A$2:$A$393,Controls!$B$7)</f>
        <v>1597445.65</v>
      </c>
      <c r="L11" s="94" t="n">
        <f aca="false">SUMIFS(Project_Forecast!$AA$2:$AA$393,Project_Forecast!$E$2:$E$393,$B11,Project_Forecast!$G$2:$G$393,$A11,Project_Forecast!$B$2:$B$393,Controls!$B$30,Project_Forecast!$A$2:$A$393,Controls!$B$7)</f>
        <v>977984.14025</v>
      </c>
      <c r="M11" s="94" t="n">
        <f aca="false">SUMIFS(Project_Forecast!$AC$2:$AC$393,Project_Forecast!$E$2:$E$393,$B11,Project_Forecast!$G$2:$G$393,$A11,Project_Forecast!$B$2:$B$393,Controls!$B$30,Project_Forecast!$A$2:$A$393,Controls!$B$7)</f>
        <v>887528.727</v>
      </c>
      <c r="N11" s="1" t="s">
        <v>355</v>
      </c>
      <c r="O11" s="1" t="n">
        <f aca="false">SUMIFS(Project_Forecast!$N$2:$N$393,Project_Forecast!$E$2:$E$393,$N11,Project_Forecast!$B$2:$B$393,Controls!$B$30,Project_Forecast!$A$2:$A$393,Controls!$B$7)</f>
        <v>9760078.0305</v>
      </c>
      <c r="P11" s="97" t="n">
        <f aca="false">IFERROR(INDEX(QMR_Inputs!$B$41:$B$47,MATCH($N11,QMR_Inputs!$A$41:$A$47,0)),0)</f>
        <v>0</v>
      </c>
      <c r="Q11" s="1" t="n">
        <f aca="false">O11-P11</f>
        <v>9760078.0305</v>
      </c>
    </row>
    <row r="12" customFormat="false" ht="13.8" hidden="false" customHeight="false" outlineLevel="0" collapsed="false">
      <c r="A12" s="67" t="s">
        <v>353</v>
      </c>
      <c r="B12" s="67" t="s">
        <v>356</v>
      </c>
      <c r="C12" s="68" t="n">
        <f aca="false">SUMIFS(MM_Income!$P$5:$P$204,MM_Income!$C$5:$C$204,$B12,MM_Income!$G$5:$G$204,$A12)</f>
        <v>913245</v>
      </c>
      <c r="D12" s="68" t="n">
        <f aca="false">SUMIFS(Project_Forecast!$N$2:$N$393,Project_Forecast!$E$2:$E$393,$B12,Project_Forecast!$G$2:$G$393,$A12,Project_Forecast!$B$2:$B$393,Controls!$B$30,Project_Forecast!$A$2:$A$393,Controls!$B$7)</f>
        <v>913245</v>
      </c>
      <c r="E12" s="68" t="n">
        <f aca="false">SUMIFS(Project_Forecast!$N$2:$N$393,Project_Forecast!$E$2:$E$393,$B12,Project_Forecast!$G$2:$G$393,$A12,Project_Forecast!$L$2:$L$393,"Secured",Project_Forecast!$B$2:$B$393,Controls!$B$30,Project_Forecast!$A$2:$A$393,Controls!$B$7)</f>
        <v>913245</v>
      </c>
      <c r="F12" s="68" t="n">
        <f aca="false">CHOOSE(VALUE(MID(Controls!$B$6,2,1)),SUMIFS(Project_Forecast!$W$2:$W$393,Project_Forecast!$E$2:$E$393,$B12,Project_Forecast!$G$2:$G$393,$A12,Project_Forecast!$B$2:$B$393,Controls!$B$30,Project_Forecast!$A$2:$A$393,Controls!$B$7),SUMIFS(Project_Forecast!$Y$2:$Y$393,Project_Forecast!$E$2:$E$393,$B12,Project_Forecast!$G$2:$G$393,$A12,Project_Forecast!$B$2:$B$393,Controls!$B$30,Project_Forecast!$A$2:$A$393,Controls!$B$7),SUMIFS(Project_Forecast!$AA$2:$AA$393,Project_Forecast!$E$2:$E$393,$B12,Project_Forecast!$G$2:$G$393,$A12,Project_Forecast!$B$2:$B$393,Controls!$B$30,Project_Forecast!$A$2:$A$393,Controls!$B$7),SUMIFS(Project_Forecast!$AC$2:$AC$393,Project_Forecast!$E$2:$E$393,$B12,Project_Forecast!$G$2:$G$393,$A12,Project_Forecast!$B$2:$B$393,Controls!$B$30,Project_Forecast!$A$2:$A$393,Controls!$B$7))</f>
        <v>61166.55</v>
      </c>
      <c r="G12" s="68" t="n">
        <f aca="false">SUMIFS(Project_Forecast!$AD$2:$AD$393,Project_Forecast!$E$2:$E$393,$B12,Project_Forecast!$G$2:$G$393,$A12,Project_Forecast!$B$2:$B$393,Controls!$B$30,Project_Forecast!$A$2:$A$393,Controls!$B$7)</f>
        <v>696184.8</v>
      </c>
      <c r="H12" s="68" t="n">
        <f aca="false">SUMIFS(Project_Forecast!$AE$2:$AE$393,Project_Forecast!$E$2:$E$393,$B12,Project_Forecast!$G$2:$G$393,$A12,Project_Forecast!$B$2:$B$393,Controls!$B$30,Project_Forecast!$A$2:$A$393,Controls!$B$7)</f>
        <v>217060.2</v>
      </c>
      <c r="I12" s="68" t="n">
        <f aca="false">SUMIFS(Project_Forecast!$S$2:$S$393,Project_Forecast!$E$2:$E$393,$B12,Project_Forecast!$G$2:$G$393,$A12,Project_Forecast!$B$2:$B$393,Controls!$B$30,Project_Forecast!$A$2:$A$393,Controls!$B$7)</f>
        <v>804323.04</v>
      </c>
      <c r="J12" s="94" t="n">
        <f aca="false">SUMIFS(Project_Forecast!$W$2:$W$393,Project_Forecast!$E$2:$E$393,$B12,Project_Forecast!$G$2:$G$393,$A12,Project_Forecast!$B$2:$B$393,Controls!$B$30,Project_Forecast!$A$2:$A$393,Controls!$B$7)</f>
        <v>635018.25</v>
      </c>
      <c r="K12" s="94" t="n">
        <f aca="false">SUMIFS(Project_Forecast!$Y$2:$Y$393,Project_Forecast!$E$2:$E$393,$B12,Project_Forecast!$G$2:$G$393,$A12,Project_Forecast!$B$2:$B$393,Controls!$B$30,Project_Forecast!$A$2:$A$393,Controls!$B$7)</f>
        <v>61166.55</v>
      </c>
      <c r="L12" s="94" t="n">
        <f aca="false">SUMIFS(Project_Forecast!$AA$2:$AA$393,Project_Forecast!$E$2:$E$393,$B12,Project_Forecast!$G$2:$G$393,$A12,Project_Forecast!$B$2:$B$393,Controls!$B$30,Project_Forecast!$A$2:$A$393,Controls!$B$7)</f>
        <v>124034.4</v>
      </c>
      <c r="M12" s="94" t="n">
        <f aca="false">SUMIFS(Project_Forecast!$AC$2:$AC$393,Project_Forecast!$E$2:$E$393,$B12,Project_Forecast!$G$2:$G$393,$A12,Project_Forecast!$B$2:$B$393,Controls!$B$30,Project_Forecast!$A$2:$A$393,Controls!$B$7)</f>
        <v>93025.8</v>
      </c>
      <c r="N12" s="1" t="s">
        <v>356</v>
      </c>
      <c r="O12" s="1" t="n">
        <f aca="false">SUMIFS(Project_Forecast!$N$2:$N$393,Project_Forecast!$E$2:$E$393,$N12,Project_Forecast!$B$2:$B$393,Controls!$B$30,Project_Forecast!$A$2:$A$393,Controls!$B$7)</f>
        <v>1566964.4365</v>
      </c>
      <c r="P12" s="97" t="n">
        <f aca="false">IFERROR(INDEX(QMR_Inputs!$B$41:$B$47,MATCH($N12,QMR_Inputs!$A$41:$A$47,0)),0)</f>
        <v>0</v>
      </c>
      <c r="Q12" s="1" t="n">
        <f aca="false">O12-P12</f>
        <v>1566964.4365</v>
      </c>
    </row>
    <row r="13" customFormat="false" ht="13.8" hidden="false" customHeight="false" outlineLevel="0" collapsed="false">
      <c r="A13" s="67" t="s">
        <v>353</v>
      </c>
      <c r="B13" s="67" t="s">
        <v>357</v>
      </c>
      <c r="C13" s="68" t="n">
        <f aca="false">SUMIFS(MM_Income!$P$5:$P$204,MM_Income!$C$5:$C$204,$B13,MM_Income!$G$5:$G$204,$A13)</f>
        <v>128400</v>
      </c>
      <c r="D13" s="68" t="n">
        <f aca="false">SUMIFS(Project_Forecast!$N$2:$N$393,Project_Forecast!$E$2:$E$393,$B13,Project_Forecast!$G$2:$G$393,$A13,Project_Forecast!$B$2:$B$393,Controls!$B$30,Project_Forecast!$A$2:$A$393,Controls!$B$7)</f>
        <v>128400</v>
      </c>
      <c r="E13" s="68" t="n">
        <f aca="false">SUMIFS(Project_Forecast!$N$2:$N$393,Project_Forecast!$E$2:$E$393,$B13,Project_Forecast!$G$2:$G$393,$A13,Project_Forecast!$L$2:$L$393,"Secured",Project_Forecast!$B$2:$B$393,Controls!$B$30,Project_Forecast!$A$2:$A$393,Controls!$B$7)</f>
        <v>128400</v>
      </c>
      <c r="F13" s="68" t="n">
        <f aca="false">CHOOSE(VALUE(MID(Controls!$B$6,2,1)),SUMIFS(Project_Forecast!$W$2:$W$393,Project_Forecast!$E$2:$E$393,$B13,Project_Forecast!$G$2:$G$393,$A13,Project_Forecast!$B$2:$B$393,Controls!$B$30,Project_Forecast!$A$2:$A$393,Controls!$B$7),SUMIFS(Project_Forecast!$Y$2:$Y$393,Project_Forecast!$E$2:$E$393,$B13,Project_Forecast!$G$2:$G$393,$A13,Project_Forecast!$B$2:$B$393,Controls!$B$30,Project_Forecast!$A$2:$A$393,Controls!$B$7),SUMIFS(Project_Forecast!$AA$2:$AA$393,Project_Forecast!$E$2:$E$393,$B13,Project_Forecast!$G$2:$G$393,$A13,Project_Forecast!$B$2:$B$393,Controls!$B$30,Project_Forecast!$A$2:$A$393,Controls!$B$7),SUMIFS(Project_Forecast!$AC$2:$AC$393,Project_Forecast!$E$2:$E$393,$B13,Project_Forecast!$G$2:$G$393,$A13,Project_Forecast!$B$2:$B$393,Controls!$B$30,Project_Forecast!$A$2:$A$393,Controls!$B$7))</f>
        <v>64200</v>
      </c>
      <c r="G13" s="68" t="n">
        <f aca="false">SUMIFS(Project_Forecast!$AD$2:$AD$393,Project_Forecast!$E$2:$E$393,$B13,Project_Forecast!$G$2:$G$393,$A13,Project_Forecast!$B$2:$B$393,Controls!$B$30,Project_Forecast!$A$2:$A$393,Controls!$B$7)</f>
        <v>64200</v>
      </c>
      <c r="H13" s="68" t="n">
        <f aca="false">SUMIFS(Project_Forecast!$AE$2:$AE$393,Project_Forecast!$E$2:$E$393,$B13,Project_Forecast!$G$2:$G$393,$A13,Project_Forecast!$B$2:$B$393,Controls!$B$30,Project_Forecast!$A$2:$A$393,Controls!$B$7)</f>
        <v>64200</v>
      </c>
      <c r="I13" s="68" t="n">
        <f aca="false">SUMIFS(Project_Forecast!$S$2:$S$393,Project_Forecast!$E$2:$E$393,$B13,Project_Forecast!$G$2:$G$393,$A13,Project_Forecast!$B$2:$B$393,Controls!$B$30,Project_Forecast!$A$2:$A$393,Controls!$B$7)</f>
        <v>0</v>
      </c>
      <c r="J13" s="94" t="n">
        <f aca="false">SUMIFS(Project_Forecast!$W$2:$W$393,Project_Forecast!$E$2:$E$393,$B13,Project_Forecast!$G$2:$G$393,$A13,Project_Forecast!$B$2:$B$393,Controls!$B$30,Project_Forecast!$A$2:$A$393,Controls!$B$7)</f>
        <v>0</v>
      </c>
      <c r="K13" s="94" t="n">
        <f aca="false">SUMIFS(Project_Forecast!$Y$2:$Y$393,Project_Forecast!$E$2:$E$393,$B13,Project_Forecast!$G$2:$G$393,$A13,Project_Forecast!$B$2:$B$393,Controls!$B$30,Project_Forecast!$A$2:$A$393,Controls!$B$7)</f>
        <v>64200</v>
      </c>
      <c r="L13" s="94" t="n">
        <f aca="false">SUMIFS(Project_Forecast!$AA$2:$AA$393,Project_Forecast!$E$2:$E$393,$B13,Project_Forecast!$G$2:$G$393,$A13,Project_Forecast!$B$2:$B$393,Controls!$B$30,Project_Forecast!$A$2:$A$393,Controls!$B$7)</f>
        <v>32100</v>
      </c>
      <c r="M13" s="94" t="n">
        <f aca="false">SUMIFS(Project_Forecast!$AC$2:$AC$393,Project_Forecast!$E$2:$E$393,$B13,Project_Forecast!$G$2:$G$393,$A13,Project_Forecast!$B$2:$B$393,Controls!$B$30,Project_Forecast!$A$2:$A$393,Controls!$B$7)</f>
        <v>32100</v>
      </c>
      <c r="N13" s="1" t="s">
        <v>357</v>
      </c>
      <c r="O13" s="1" t="n">
        <f aca="false">SUMIFS(Project_Forecast!$N$2:$N$393,Project_Forecast!$E$2:$E$393,$N13,Project_Forecast!$B$2:$B$393,Controls!$B$30,Project_Forecast!$A$2:$A$393,Controls!$B$7)</f>
        <v>128400</v>
      </c>
      <c r="P13" s="97" t="n">
        <f aca="false">IFERROR(INDEX(QMR_Inputs!$B$41:$B$47,MATCH($N13,QMR_Inputs!$A$41:$A$47,0)),0)</f>
        <v>0</v>
      </c>
      <c r="Q13" s="1" t="n">
        <f aca="false">O13-P13</f>
        <v>128400</v>
      </c>
    </row>
    <row r="14" customFormat="false" ht="13.8" hidden="false" customHeight="false" outlineLevel="0" collapsed="false">
      <c r="A14" s="67" t="s">
        <v>353</v>
      </c>
      <c r="B14" s="67" t="s">
        <v>358</v>
      </c>
      <c r="C14" s="68" t="n">
        <f aca="false">SUMIFS(MM_Income!$P$5:$P$204,MM_Income!$C$5:$C$204,$B14,MM_Income!$G$5:$G$204,$A14)</f>
        <v>0</v>
      </c>
      <c r="D14" s="68" t="n">
        <f aca="false">SUMIFS(Project_Forecast!$N$2:$N$393,Project_Forecast!$E$2:$E$393,$B14,Project_Forecast!$G$2:$G$393,$A14,Project_Forecast!$B$2:$B$393,Controls!$B$30,Project_Forecast!$A$2:$A$393,Controls!$B$7)</f>
        <v>0</v>
      </c>
      <c r="E14" s="68" t="n">
        <f aca="false">SUMIFS(Project_Forecast!$N$2:$N$393,Project_Forecast!$E$2:$E$393,$B14,Project_Forecast!$G$2:$G$393,$A14,Project_Forecast!$L$2:$L$393,"Secured",Project_Forecast!$B$2:$B$393,Controls!$B$30,Project_Forecast!$A$2:$A$393,Controls!$B$7)</f>
        <v>0</v>
      </c>
      <c r="F14" s="68" t="n">
        <f aca="false">CHOOSE(VALUE(MID(Controls!$B$6,2,1)),SUMIFS(Project_Forecast!$W$2:$W$393,Project_Forecast!$E$2:$E$393,$B14,Project_Forecast!$G$2:$G$393,$A14,Project_Forecast!$B$2:$B$393,Controls!$B$30,Project_Forecast!$A$2:$A$393,Controls!$B$7),SUMIFS(Project_Forecast!$Y$2:$Y$393,Project_Forecast!$E$2:$E$393,$B14,Project_Forecast!$G$2:$G$393,$A14,Project_Forecast!$B$2:$B$393,Controls!$B$30,Project_Forecast!$A$2:$A$393,Controls!$B$7),SUMIFS(Project_Forecast!$AA$2:$AA$393,Project_Forecast!$E$2:$E$393,$B14,Project_Forecast!$G$2:$G$393,$A14,Project_Forecast!$B$2:$B$393,Controls!$B$30,Project_Forecast!$A$2:$A$393,Controls!$B$7),SUMIFS(Project_Forecast!$AC$2:$AC$393,Project_Forecast!$E$2:$E$393,$B14,Project_Forecast!$G$2:$G$393,$A14,Project_Forecast!$B$2:$B$393,Controls!$B$30,Project_Forecast!$A$2:$A$393,Controls!$B$7))</f>
        <v>0</v>
      </c>
      <c r="G14" s="68" t="n">
        <f aca="false">SUMIFS(Project_Forecast!$AD$2:$AD$393,Project_Forecast!$E$2:$E$393,$B14,Project_Forecast!$G$2:$G$393,$A14,Project_Forecast!$B$2:$B$393,Controls!$B$30,Project_Forecast!$A$2:$A$393,Controls!$B$7)</f>
        <v>0</v>
      </c>
      <c r="H14" s="68" t="n">
        <f aca="false">SUMIFS(Project_Forecast!$AE$2:$AE$393,Project_Forecast!$E$2:$E$393,$B14,Project_Forecast!$G$2:$G$393,$A14,Project_Forecast!$B$2:$B$393,Controls!$B$30,Project_Forecast!$A$2:$A$393,Controls!$B$7)</f>
        <v>0</v>
      </c>
      <c r="I14" s="68" t="n">
        <f aca="false">SUMIFS(Project_Forecast!$S$2:$S$393,Project_Forecast!$E$2:$E$393,$B14,Project_Forecast!$G$2:$G$393,$A14,Project_Forecast!$B$2:$B$393,Controls!$B$30,Project_Forecast!$A$2:$A$393,Controls!$B$7)</f>
        <v>0</v>
      </c>
      <c r="J14" s="94" t="n">
        <f aca="false">SUMIFS(Project_Forecast!$W$2:$W$393,Project_Forecast!$E$2:$E$393,$B14,Project_Forecast!$G$2:$G$393,$A14,Project_Forecast!$B$2:$B$393,Controls!$B$30,Project_Forecast!$A$2:$A$393,Controls!$B$7)</f>
        <v>0</v>
      </c>
      <c r="K14" s="94" t="n">
        <f aca="false">SUMIFS(Project_Forecast!$Y$2:$Y$393,Project_Forecast!$E$2:$E$393,$B14,Project_Forecast!$G$2:$G$393,$A14,Project_Forecast!$B$2:$B$393,Controls!$B$30,Project_Forecast!$A$2:$A$393,Controls!$B$7)</f>
        <v>0</v>
      </c>
      <c r="L14" s="94" t="n">
        <f aca="false">SUMIFS(Project_Forecast!$AA$2:$AA$393,Project_Forecast!$E$2:$E$393,$B14,Project_Forecast!$G$2:$G$393,$A14,Project_Forecast!$B$2:$B$393,Controls!$B$30,Project_Forecast!$A$2:$A$393,Controls!$B$7)</f>
        <v>0</v>
      </c>
      <c r="M14" s="94" t="n">
        <f aca="false">SUMIFS(Project_Forecast!$AC$2:$AC$393,Project_Forecast!$E$2:$E$393,$B14,Project_Forecast!$G$2:$G$393,$A14,Project_Forecast!$B$2:$B$393,Controls!$B$30,Project_Forecast!$A$2:$A$393,Controls!$B$7)</f>
        <v>0</v>
      </c>
      <c r="N14" s="1" t="s">
        <v>358</v>
      </c>
      <c r="O14" s="1" t="n">
        <f aca="false">SUMIFS(Project_Forecast!$N$2:$N$393,Project_Forecast!$E$2:$E$393,$N14,Project_Forecast!$B$2:$B$393,Controls!$B$30,Project_Forecast!$A$2:$A$393,Controls!$B$7)</f>
        <v>0</v>
      </c>
      <c r="P14" s="97" t="n">
        <f aca="false">IFERROR(INDEX(QMR_Inputs!$B$41:$B$47,MATCH($N14,QMR_Inputs!$A$41:$A$47,0)),0)</f>
        <v>0</v>
      </c>
      <c r="Q14" s="1" t="n">
        <f aca="false">O14-P14</f>
        <v>0</v>
      </c>
    </row>
    <row r="15" customFormat="false" ht="13.8" hidden="false" customHeight="false" outlineLevel="0" collapsed="false">
      <c r="A15" s="67" t="s">
        <v>353</v>
      </c>
      <c r="B15" s="67" t="s">
        <v>359</v>
      </c>
      <c r="C15" s="68" t="n">
        <f aca="false">SUMIFS(MM_Income!$P$5:$P$204,MM_Income!$C$5:$C$204,$B15,MM_Income!$G$5:$G$204,$A15)</f>
        <v>0</v>
      </c>
      <c r="D15" s="68" t="n">
        <f aca="false">SUMIFS(Project_Forecast!$N$2:$N$393,Project_Forecast!$E$2:$E$393,$B15,Project_Forecast!$G$2:$G$393,$A15,Project_Forecast!$B$2:$B$393,Controls!$B$30,Project_Forecast!$A$2:$A$393,Controls!$B$7)</f>
        <v>0</v>
      </c>
      <c r="E15" s="68" t="n">
        <f aca="false">SUMIFS(Project_Forecast!$N$2:$N$393,Project_Forecast!$E$2:$E$393,$B15,Project_Forecast!$G$2:$G$393,$A15,Project_Forecast!$L$2:$L$393,"Secured",Project_Forecast!$B$2:$B$393,Controls!$B$30,Project_Forecast!$A$2:$A$393,Controls!$B$7)</f>
        <v>0</v>
      </c>
      <c r="F15" s="68" t="n">
        <f aca="false">CHOOSE(VALUE(MID(Controls!$B$6,2,1)),SUMIFS(Project_Forecast!$W$2:$W$393,Project_Forecast!$E$2:$E$393,$B15,Project_Forecast!$G$2:$G$393,$A15,Project_Forecast!$B$2:$B$393,Controls!$B$30,Project_Forecast!$A$2:$A$393,Controls!$B$7),SUMIFS(Project_Forecast!$Y$2:$Y$393,Project_Forecast!$E$2:$E$393,$B15,Project_Forecast!$G$2:$G$393,$A15,Project_Forecast!$B$2:$B$393,Controls!$B$30,Project_Forecast!$A$2:$A$393,Controls!$B$7),SUMIFS(Project_Forecast!$AA$2:$AA$393,Project_Forecast!$E$2:$E$393,$B15,Project_Forecast!$G$2:$G$393,$A15,Project_Forecast!$B$2:$B$393,Controls!$B$30,Project_Forecast!$A$2:$A$393,Controls!$B$7),SUMIFS(Project_Forecast!$AC$2:$AC$393,Project_Forecast!$E$2:$E$393,$B15,Project_Forecast!$G$2:$G$393,$A15,Project_Forecast!$B$2:$B$393,Controls!$B$30,Project_Forecast!$A$2:$A$393,Controls!$B$7))</f>
        <v>0</v>
      </c>
      <c r="G15" s="68" t="n">
        <f aca="false">SUMIFS(Project_Forecast!$AD$2:$AD$393,Project_Forecast!$E$2:$E$393,$B15,Project_Forecast!$G$2:$G$393,$A15,Project_Forecast!$B$2:$B$393,Controls!$B$30,Project_Forecast!$A$2:$A$393,Controls!$B$7)</f>
        <v>0</v>
      </c>
      <c r="H15" s="68" t="n">
        <f aca="false">SUMIFS(Project_Forecast!$AE$2:$AE$393,Project_Forecast!$E$2:$E$393,$B15,Project_Forecast!$G$2:$G$393,$A15,Project_Forecast!$B$2:$B$393,Controls!$B$30,Project_Forecast!$A$2:$A$393,Controls!$B$7)</f>
        <v>0</v>
      </c>
      <c r="I15" s="68" t="n">
        <f aca="false">SUMIFS(Project_Forecast!$S$2:$S$393,Project_Forecast!$E$2:$E$393,$B15,Project_Forecast!$G$2:$G$393,$A15,Project_Forecast!$B$2:$B$393,Controls!$B$30,Project_Forecast!$A$2:$A$393,Controls!$B$7)</f>
        <v>0</v>
      </c>
      <c r="J15" s="94" t="n">
        <f aca="false">SUMIFS(Project_Forecast!$W$2:$W$393,Project_Forecast!$E$2:$E$393,$B15,Project_Forecast!$G$2:$G$393,$A15,Project_Forecast!$B$2:$B$393,Controls!$B$30,Project_Forecast!$A$2:$A$393,Controls!$B$7)</f>
        <v>0</v>
      </c>
      <c r="K15" s="94" t="n">
        <f aca="false">SUMIFS(Project_Forecast!$Y$2:$Y$393,Project_Forecast!$E$2:$E$393,$B15,Project_Forecast!$G$2:$G$393,$A15,Project_Forecast!$B$2:$B$393,Controls!$B$30,Project_Forecast!$A$2:$A$393,Controls!$B$7)</f>
        <v>0</v>
      </c>
      <c r="L15" s="94" t="n">
        <f aca="false">SUMIFS(Project_Forecast!$AA$2:$AA$393,Project_Forecast!$E$2:$E$393,$B15,Project_Forecast!$G$2:$G$393,$A15,Project_Forecast!$B$2:$B$393,Controls!$B$30,Project_Forecast!$A$2:$A$393,Controls!$B$7)</f>
        <v>0</v>
      </c>
      <c r="M15" s="94" t="n">
        <f aca="false">SUMIFS(Project_Forecast!$AC$2:$AC$393,Project_Forecast!$E$2:$E$393,$B15,Project_Forecast!$G$2:$G$393,$A15,Project_Forecast!$B$2:$B$393,Controls!$B$30,Project_Forecast!$A$2:$A$393,Controls!$B$7)</f>
        <v>0</v>
      </c>
      <c r="N15" s="1" t="s">
        <v>359</v>
      </c>
      <c r="O15" s="1" t="n">
        <f aca="false">SUMIFS(Project_Forecast!$N$2:$N$393,Project_Forecast!$E$2:$E$393,$N15,Project_Forecast!$B$2:$B$393,Controls!$B$30,Project_Forecast!$A$2:$A$393,Controls!$B$7)</f>
        <v>0</v>
      </c>
      <c r="P15" s="97" t="n">
        <f aca="false">IFERROR(INDEX(QMR_Inputs!$B$41:$B$47,MATCH($N15,QMR_Inputs!$A$41:$A$47,0)),0)</f>
        <v>0</v>
      </c>
      <c r="Q15" s="1" t="n">
        <f aca="false">O15-P15</f>
        <v>0</v>
      </c>
    </row>
    <row r="16" customFormat="false" ht="13.8" hidden="false" customHeight="false" outlineLevel="0" collapsed="false">
      <c r="A16" s="67"/>
      <c r="B16" s="70" t="s">
        <v>360</v>
      </c>
      <c r="C16" s="78" t="n">
        <f aca="false">SUM(C10:C15)</f>
        <v>11495451.1305</v>
      </c>
      <c r="D16" s="78" t="n">
        <f aca="false">SUM(D10:D15)</f>
        <v>10801723.0305</v>
      </c>
      <c r="E16" s="78" t="n">
        <f aca="false">SUM(E10:E15)</f>
        <v>7685465.7305</v>
      </c>
      <c r="F16" s="78" t="n">
        <f aca="false">SUM(F10:F15)</f>
        <v>1722812.2</v>
      </c>
      <c r="G16" s="78" t="n">
        <f aca="false">SUM(G10:G15)</f>
        <v>5416620.21525</v>
      </c>
      <c r="H16" s="78" t="n">
        <f aca="false">SUM(H10:H15)</f>
        <v>2146773.06725</v>
      </c>
      <c r="I16" s="78" t="n">
        <f aca="false">SUM(I10:I15)</f>
        <v>4257740.19</v>
      </c>
      <c r="J16" s="98" t="n">
        <f aca="false">SUM(J10:J15)</f>
        <v>3693808.01525</v>
      </c>
      <c r="K16" s="98" t="n">
        <f aca="false">SUM(K10:K15)</f>
        <v>1722812.2</v>
      </c>
      <c r="L16" s="98" t="n">
        <f aca="false">SUM(L10:L15)</f>
        <v>1134118.54025</v>
      </c>
      <c r="M16" s="98" t="n">
        <f aca="false">SUM(M10:M15)</f>
        <v>1012654.527</v>
      </c>
      <c r="N16" s="1" t="s">
        <v>361</v>
      </c>
      <c r="O16" s="1" t="n">
        <f aca="false">E25-SUM(O10:O15)</f>
        <v>-3525532.3</v>
      </c>
      <c r="P16" s="97" t="n">
        <f aca="false">IFERROR(INDEX(QMR_Inputs!$B$41:$B$47,MATCH($N16,QMR_Inputs!$A$41:$A$47,0)),0)</f>
        <v>0</v>
      </c>
      <c r="Q16" s="1" t="n">
        <f aca="false">O16-P16</f>
        <v>-3525532.3</v>
      </c>
    </row>
    <row r="17" customFormat="false" ht="13.8" hidden="false" customHeight="false" outlineLevel="0" collapsed="false">
      <c r="A17" s="67" t="s">
        <v>362</v>
      </c>
      <c r="B17" s="67" t="s">
        <v>354</v>
      </c>
      <c r="C17" s="68" t="n">
        <f aca="false">SUMIFS(MM_Income!$P$5:$P$204,MM_Income!$C$5:$C$204,$B17,MM_Income!$G$5:$G$204,$A17)</f>
        <v>4353604.05</v>
      </c>
      <c r="D17" s="68" t="n">
        <f aca="false">SUMIFS(Project_Forecast!$N$2:$N$393,Project_Forecast!$E$2:$E$393,$B17,Project_Forecast!$G$2:$G$393,$A17,Project_Forecast!$B$2:$B$393,Controls!$B$30,Project_Forecast!$A$2:$A$393,Controls!$B$7)</f>
        <v>4090375.05</v>
      </c>
      <c r="E17" s="68" t="n">
        <f aca="false">SUMIFS(Project_Forecast!$N$2:$N$393,Project_Forecast!$E$2:$E$393,$B17,Project_Forecast!$G$2:$G$393,$A17,Project_Forecast!$L$2:$L$393,"Secured",Project_Forecast!$B$2:$B$393,Controls!$B$30,Project_Forecast!$A$2:$A$393,Controls!$B$7)</f>
        <v>4090375.05</v>
      </c>
      <c r="F17" s="68" t="n">
        <f aca="false">CHOOSE(VALUE(MID(Controls!$B$6,2,1)),SUMIFS(Project_Forecast!$W$2:$W$393,Project_Forecast!$E$2:$E$393,$B17,Project_Forecast!$G$2:$G$393,$A17,Project_Forecast!$B$2:$B$393,Controls!$B$30,Project_Forecast!$A$2:$A$393,Controls!$B$7),SUMIFS(Project_Forecast!$Y$2:$Y$393,Project_Forecast!$E$2:$E$393,$B17,Project_Forecast!$G$2:$G$393,$A17,Project_Forecast!$B$2:$B$393,Controls!$B$30,Project_Forecast!$A$2:$A$393,Controls!$B$7),SUMIFS(Project_Forecast!$AA$2:$AA$393,Project_Forecast!$E$2:$E$393,$B17,Project_Forecast!$G$2:$G$393,$A17,Project_Forecast!$B$2:$B$393,Controls!$B$30,Project_Forecast!$A$2:$A$393,Controls!$B$7),SUMIFS(Project_Forecast!$AC$2:$AC$393,Project_Forecast!$E$2:$E$393,$B17,Project_Forecast!$G$2:$G$393,$A17,Project_Forecast!$B$2:$B$393,Controls!$B$30,Project_Forecast!$A$2:$A$393,Controls!$B$7))</f>
        <v>630036.6365</v>
      </c>
      <c r="G17" s="68" t="n">
        <f aca="false">SUMIFS(Project_Forecast!$AD$2:$AD$393,Project_Forecast!$E$2:$E$393,$B17,Project_Forecast!$G$2:$G$393,$A17,Project_Forecast!$B$2:$B$393,Controls!$B$30,Project_Forecast!$A$2:$A$393,Controls!$B$7)</f>
        <v>1847024.74</v>
      </c>
      <c r="H17" s="68" t="n">
        <f aca="false">SUMIFS(Project_Forecast!$AE$2:$AE$393,Project_Forecast!$E$2:$E$393,$B17,Project_Forecast!$G$2:$G$393,$A17,Project_Forecast!$B$2:$B$393,Controls!$B$30,Project_Forecast!$A$2:$A$393,Controls!$B$7)</f>
        <v>1771637.42</v>
      </c>
      <c r="I17" s="68" t="n">
        <f aca="false">SUMIFS(Project_Forecast!$S$2:$S$393,Project_Forecast!$E$2:$E$393,$B17,Project_Forecast!$G$2:$G$393,$A17,Project_Forecast!$B$2:$B$393,Controls!$B$30,Project_Forecast!$A$2:$A$393,Controls!$B$7)</f>
        <v>2115791.82</v>
      </c>
      <c r="J17" s="94" t="n">
        <f aca="false">SUMIFS(Project_Forecast!$W$2:$W$393,Project_Forecast!$E$2:$E$393,$B17,Project_Forecast!$G$2:$G$393,$A17,Project_Forecast!$B$2:$B$393,Controls!$B$30,Project_Forecast!$A$2:$A$393,Controls!$B$7)</f>
        <v>1216988.1035</v>
      </c>
      <c r="K17" s="94" t="n">
        <f aca="false">SUMIFS(Project_Forecast!$Y$2:$Y$393,Project_Forecast!$E$2:$E$393,$B17,Project_Forecast!$G$2:$G$393,$A17,Project_Forecast!$B$2:$B$393,Controls!$B$30,Project_Forecast!$A$2:$A$393,Controls!$B$7)</f>
        <v>630036.6365</v>
      </c>
      <c r="L17" s="94" t="n">
        <f aca="false">SUMIFS(Project_Forecast!$AA$2:$AA$393,Project_Forecast!$E$2:$E$393,$B17,Project_Forecast!$G$2:$G$393,$A17,Project_Forecast!$B$2:$B$393,Controls!$B$30,Project_Forecast!$A$2:$A$393,Controls!$B$7)</f>
        <v>953135.5475</v>
      </c>
      <c r="M17" s="94" t="n">
        <f aca="false">SUMIFS(Project_Forecast!$AC$2:$AC$393,Project_Forecast!$E$2:$E$393,$B17,Project_Forecast!$G$2:$G$393,$A17,Project_Forecast!$B$2:$B$393,Controls!$B$30,Project_Forecast!$A$2:$A$393,Controls!$B$7)</f>
        <v>818501.8725</v>
      </c>
    </row>
    <row r="18" customFormat="false" ht="13.8" hidden="false" customHeight="false" outlineLevel="0" collapsed="false">
      <c r="A18" s="67" t="s">
        <v>362</v>
      </c>
      <c r="B18" s="67" t="s">
        <v>355</v>
      </c>
      <c r="C18" s="68" t="n">
        <f aca="false">SUMIFS(MM_Income!$P$5:$P$204,MM_Income!$C$5:$C$204,$B18,MM_Income!$G$5:$G$204,$A18)</f>
        <v>0</v>
      </c>
      <c r="D18" s="68" t="n">
        <f aca="false">SUMIFS(Project_Forecast!$N$2:$N$393,Project_Forecast!$E$2:$E$393,$B18,Project_Forecast!$G$2:$G$393,$A18,Project_Forecast!$B$2:$B$393,Controls!$B$30,Project_Forecast!$A$2:$A$393,Controls!$B$7)</f>
        <v>0</v>
      </c>
      <c r="E18" s="68" t="n">
        <f aca="false">SUMIFS(Project_Forecast!$N$2:$N$393,Project_Forecast!$E$2:$E$393,$B18,Project_Forecast!$G$2:$G$393,$A18,Project_Forecast!$L$2:$L$393,"Secured",Project_Forecast!$B$2:$B$393,Controls!$B$30,Project_Forecast!$A$2:$A$393,Controls!$B$7)</f>
        <v>0</v>
      </c>
      <c r="F18" s="68" t="n">
        <f aca="false">CHOOSE(VALUE(MID(Controls!$B$6,2,1)),SUMIFS(Project_Forecast!$W$2:$W$393,Project_Forecast!$E$2:$E$393,$B18,Project_Forecast!$G$2:$G$393,$A18,Project_Forecast!$B$2:$B$393,Controls!$B$30,Project_Forecast!$A$2:$A$393,Controls!$B$7),SUMIFS(Project_Forecast!$Y$2:$Y$393,Project_Forecast!$E$2:$E$393,$B18,Project_Forecast!$G$2:$G$393,$A18,Project_Forecast!$B$2:$B$393,Controls!$B$30,Project_Forecast!$A$2:$A$393,Controls!$B$7),SUMIFS(Project_Forecast!$AA$2:$AA$393,Project_Forecast!$E$2:$E$393,$B18,Project_Forecast!$G$2:$G$393,$A18,Project_Forecast!$B$2:$B$393,Controls!$B$30,Project_Forecast!$A$2:$A$393,Controls!$B$7),SUMIFS(Project_Forecast!$AC$2:$AC$393,Project_Forecast!$E$2:$E$393,$B18,Project_Forecast!$G$2:$G$393,$A18,Project_Forecast!$B$2:$B$393,Controls!$B$30,Project_Forecast!$A$2:$A$393,Controls!$B$7))</f>
        <v>0</v>
      </c>
      <c r="G18" s="68" t="n">
        <f aca="false">SUMIFS(Project_Forecast!$AD$2:$AD$393,Project_Forecast!$E$2:$E$393,$B18,Project_Forecast!$G$2:$G$393,$A18,Project_Forecast!$B$2:$B$393,Controls!$B$30,Project_Forecast!$A$2:$A$393,Controls!$B$7)</f>
        <v>0</v>
      </c>
      <c r="H18" s="68" t="n">
        <f aca="false">SUMIFS(Project_Forecast!$AE$2:$AE$393,Project_Forecast!$E$2:$E$393,$B18,Project_Forecast!$G$2:$G$393,$A18,Project_Forecast!$B$2:$B$393,Controls!$B$30,Project_Forecast!$A$2:$A$393,Controls!$B$7)</f>
        <v>0</v>
      </c>
      <c r="I18" s="68" t="n">
        <f aca="false">SUMIFS(Project_Forecast!$S$2:$S$393,Project_Forecast!$E$2:$E$393,$B18,Project_Forecast!$G$2:$G$393,$A18,Project_Forecast!$B$2:$B$393,Controls!$B$30,Project_Forecast!$A$2:$A$393,Controls!$B$7)</f>
        <v>0</v>
      </c>
      <c r="J18" s="94" t="n">
        <f aca="false">SUMIFS(Project_Forecast!$W$2:$W$393,Project_Forecast!$E$2:$E$393,$B18,Project_Forecast!$G$2:$G$393,$A18,Project_Forecast!$B$2:$B$393,Controls!$B$30,Project_Forecast!$A$2:$A$393,Controls!$B$7)</f>
        <v>0</v>
      </c>
      <c r="K18" s="94" t="n">
        <f aca="false">SUMIFS(Project_Forecast!$Y$2:$Y$393,Project_Forecast!$E$2:$E$393,$B18,Project_Forecast!$G$2:$G$393,$A18,Project_Forecast!$B$2:$B$393,Controls!$B$30,Project_Forecast!$A$2:$A$393,Controls!$B$7)</f>
        <v>0</v>
      </c>
      <c r="L18" s="94" t="n">
        <f aca="false">SUMIFS(Project_Forecast!$AA$2:$AA$393,Project_Forecast!$E$2:$E$393,$B18,Project_Forecast!$G$2:$G$393,$A18,Project_Forecast!$B$2:$B$393,Controls!$B$30,Project_Forecast!$A$2:$A$393,Controls!$B$7)</f>
        <v>0</v>
      </c>
      <c r="M18" s="94" t="n">
        <f aca="false">SUMIFS(Project_Forecast!$AC$2:$AC$393,Project_Forecast!$E$2:$E$393,$B18,Project_Forecast!$G$2:$G$393,$A18,Project_Forecast!$B$2:$B$393,Controls!$B$30,Project_Forecast!$A$2:$A$393,Controls!$B$7)</f>
        <v>0</v>
      </c>
    </row>
    <row r="19" customFormat="false" ht="13.8" hidden="false" customHeight="false" outlineLevel="0" collapsed="false">
      <c r="A19" s="67" t="s">
        <v>362</v>
      </c>
      <c r="B19" s="67" t="s">
        <v>356</v>
      </c>
      <c r="C19" s="68" t="n">
        <f aca="false">SUMIFS(MM_Income!$P$5:$P$204,MM_Income!$C$5:$C$204,$B19,MM_Income!$G$5:$G$204,$A19)</f>
        <v>653719.4365</v>
      </c>
      <c r="D19" s="68" t="n">
        <f aca="false">SUMIFS(Project_Forecast!$N$2:$N$393,Project_Forecast!$E$2:$E$393,$B19,Project_Forecast!$G$2:$G$393,$A19,Project_Forecast!$B$2:$B$393,Controls!$B$30,Project_Forecast!$A$2:$A$393,Controls!$B$7)</f>
        <v>653719.4365</v>
      </c>
      <c r="E19" s="68" t="n">
        <f aca="false">SUMIFS(Project_Forecast!$N$2:$N$393,Project_Forecast!$E$2:$E$393,$B19,Project_Forecast!$G$2:$G$393,$A19,Project_Forecast!$L$2:$L$393,"Secured",Project_Forecast!$B$2:$B$393,Controls!$B$30,Project_Forecast!$A$2:$A$393,Controls!$B$7)</f>
        <v>244444.4365</v>
      </c>
      <c r="F19" s="68" t="n">
        <f aca="false">CHOOSE(VALUE(MID(Controls!$B$6,2,1)),SUMIFS(Project_Forecast!$W$2:$W$393,Project_Forecast!$E$2:$E$393,$B19,Project_Forecast!$G$2:$G$393,$A19,Project_Forecast!$B$2:$B$393,Controls!$B$30,Project_Forecast!$A$2:$A$393,Controls!$B$7),SUMIFS(Project_Forecast!$Y$2:$Y$393,Project_Forecast!$E$2:$E$393,$B19,Project_Forecast!$G$2:$G$393,$A19,Project_Forecast!$B$2:$B$393,Controls!$B$30,Project_Forecast!$A$2:$A$393,Controls!$B$7),SUMIFS(Project_Forecast!$AA$2:$AA$393,Project_Forecast!$E$2:$E$393,$B19,Project_Forecast!$G$2:$G$393,$A19,Project_Forecast!$B$2:$B$393,Controls!$B$30,Project_Forecast!$A$2:$A$393,Controls!$B$7),SUMIFS(Project_Forecast!$AC$2:$AC$393,Project_Forecast!$E$2:$E$393,$B19,Project_Forecast!$G$2:$G$393,$A19,Project_Forecast!$B$2:$B$393,Controls!$B$30,Project_Forecast!$A$2:$A$393,Controls!$B$7))</f>
        <v>195555.5492</v>
      </c>
      <c r="G19" s="68" t="n">
        <f aca="false">SUMIFS(Project_Forecast!$AD$2:$AD$393,Project_Forecast!$E$2:$E$393,$B19,Project_Forecast!$G$2:$G$393,$A19,Project_Forecast!$B$2:$B$393,Controls!$B$30,Project_Forecast!$A$2:$A$393,Controls!$B$7)</f>
        <v>195555.5492</v>
      </c>
      <c r="H19" s="68" t="n">
        <f aca="false">SUMIFS(Project_Forecast!$AE$2:$AE$393,Project_Forecast!$E$2:$E$393,$B19,Project_Forecast!$G$2:$G$393,$A19,Project_Forecast!$B$2:$B$393,Controls!$B$30,Project_Forecast!$A$2:$A$393,Controls!$B$7)</f>
        <v>48888.8873</v>
      </c>
      <c r="I19" s="68" t="n">
        <f aca="false">SUMIFS(Project_Forecast!$S$2:$S$393,Project_Forecast!$E$2:$E$393,$B19,Project_Forecast!$G$2:$G$393,$A19,Project_Forecast!$B$2:$B$393,Controls!$B$30,Project_Forecast!$A$2:$A$393,Controls!$B$7)</f>
        <v>122187.25</v>
      </c>
      <c r="J19" s="94" t="n">
        <f aca="false">SUMIFS(Project_Forecast!$W$2:$W$393,Project_Forecast!$E$2:$E$393,$B19,Project_Forecast!$G$2:$G$393,$A19,Project_Forecast!$B$2:$B$393,Controls!$B$30,Project_Forecast!$A$2:$A$393,Controls!$B$7)</f>
        <v>0</v>
      </c>
      <c r="K19" s="94" t="n">
        <f aca="false">SUMIFS(Project_Forecast!$Y$2:$Y$393,Project_Forecast!$E$2:$E$393,$B19,Project_Forecast!$G$2:$G$393,$A19,Project_Forecast!$B$2:$B$393,Controls!$B$30,Project_Forecast!$A$2:$A$393,Controls!$B$7)</f>
        <v>195555.5492</v>
      </c>
      <c r="L19" s="94" t="n">
        <f aca="false">SUMIFS(Project_Forecast!$AA$2:$AA$393,Project_Forecast!$E$2:$E$393,$B19,Project_Forecast!$G$2:$G$393,$A19,Project_Forecast!$B$2:$B$393,Controls!$B$30,Project_Forecast!$A$2:$A$393,Controls!$B$7)</f>
        <v>48888.8873</v>
      </c>
      <c r="M19" s="94" t="n">
        <f aca="false">SUMIFS(Project_Forecast!$AC$2:$AC$393,Project_Forecast!$E$2:$E$393,$B19,Project_Forecast!$G$2:$G$393,$A19,Project_Forecast!$B$2:$B$393,Controls!$B$30,Project_Forecast!$A$2:$A$393,Controls!$B$7)</f>
        <v>0</v>
      </c>
    </row>
    <row r="20" customFormat="false" ht="13.8" hidden="false" customHeight="false" outlineLevel="0" collapsed="false">
      <c r="A20" s="67" t="s">
        <v>362</v>
      </c>
      <c r="B20" s="67" t="s">
        <v>357</v>
      </c>
      <c r="C20" s="68" t="n">
        <f aca="false">SUMIFS(MM_Income!$P$5:$P$204,MM_Income!$C$5:$C$204,$B20,MM_Income!$G$5:$G$204,$A20)</f>
        <v>0</v>
      </c>
      <c r="D20" s="68" t="n">
        <f aca="false">SUMIFS(Project_Forecast!$N$2:$N$393,Project_Forecast!$E$2:$E$393,$B20,Project_Forecast!$G$2:$G$393,$A20,Project_Forecast!$B$2:$B$393,Controls!$B$30,Project_Forecast!$A$2:$A$393,Controls!$B$7)</f>
        <v>0</v>
      </c>
      <c r="E20" s="68" t="n">
        <f aca="false">SUMIFS(Project_Forecast!$N$2:$N$393,Project_Forecast!$E$2:$E$393,$B20,Project_Forecast!$G$2:$G$393,$A20,Project_Forecast!$L$2:$L$393,"Secured",Project_Forecast!$B$2:$B$393,Controls!$B$30,Project_Forecast!$A$2:$A$393,Controls!$B$7)</f>
        <v>0</v>
      </c>
      <c r="F20" s="68" t="n">
        <f aca="false">CHOOSE(VALUE(MID(Controls!$B$6,2,1)),SUMIFS(Project_Forecast!$W$2:$W$393,Project_Forecast!$E$2:$E$393,$B20,Project_Forecast!$G$2:$G$393,$A20,Project_Forecast!$B$2:$B$393,Controls!$B$30,Project_Forecast!$A$2:$A$393,Controls!$B$7),SUMIFS(Project_Forecast!$Y$2:$Y$393,Project_Forecast!$E$2:$E$393,$B20,Project_Forecast!$G$2:$G$393,$A20,Project_Forecast!$B$2:$B$393,Controls!$B$30,Project_Forecast!$A$2:$A$393,Controls!$B$7),SUMIFS(Project_Forecast!$AA$2:$AA$393,Project_Forecast!$E$2:$E$393,$B20,Project_Forecast!$G$2:$G$393,$A20,Project_Forecast!$B$2:$B$393,Controls!$B$30,Project_Forecast!$A$2:$A$393,Controls!$B$7),SUMIFS(Project_Forecast!$AC$2:$AC$393,Project_Forecast!$E$2:$E$393,$B20,Project_Forecast!$G$2:$G$393,$A20,Project_Forecast!$B$2:$B$393,Controls!$B$30,Project_Forecast!$A$2:$A$393,Controls!$B$7))</f>
        <v>0</v>
      </c>
      <c r="G20" s="68" t="n">
        <f aca="false">SUMIFS(Project_Forecast!$AD$2:$AD$393,Project_Forecast!$E$2:$E$393,$B20,Project_Forecast!$G$2:$G$393,$A20,Project_Forecast!$B$2:$B$393,Controls!$B$30,Project_Forecast!$A$2:$A$393,Controls!$B$7)</f>
        <v>0</v>
      </c>
      <c r="H20" s="68" t="n">
        <f aca="false">SUMIFS(Project_Forecast!$AE$2:$AE$393,Project_Forecast!$E$2:$E$393,$B20,Project_Forecast!$G$2:$G$393,$A20,Project_Forecast!$B$2:$B$393,Controls!$B$30,Project_Forecast!$A$2:$A$393,Controls!$B$7)</f>
        <v>0</v>
      </c>
      <c r="I20" s="68" t="n">
        <f aca="false">SUMIFS(Project_Forecast!$S$2:$S$393,Project_Forecast!$E$2:$E$393,$B20,Project_Forecast!$G$2:$G$393,$A20,Project_Forecast!$B$2:$B$393,Controls!$B$30,Project_Forecast!$A$2:$A$393,Controls!$B$7)</f>
        <v>0</v>
      </c>
      <c r="J20" s="94" t="n">
        <f aca="false">SUMIFS(Project_Forecast!$W$2:$W$393,Project_Forecast!$E$2:$E$393,$B20,Project_Forecast!$G$2:$G$393,$A20,Project_Forecast!$B$2:$B$393,Controls!$B$30,Project_Forecast!$A$2:$A$393,Controls!$B$7)</f>
        <v>0</v>
      </c>
      <c r="K20" s="94" t="n">
        <f aca="false">SUMIFS(Project_Forecast!$Y$2:$Y$393,Project_Forecast!$E$2:$E$393,$B20,Project_Forecast!$G$2:$G$393,$A20,Project_Forecast!$B$2:$B$393,Controls!$B$30,Project_Forecast!$A$2:$A$393,Controls!$B$7)</f>
        <v>0</v>
      </c>
      <c r="L20" s="94" t="n">
        <f aca="false">SUMIFS(Project_Forecast!$AA$2:$AA$393,Project_Forecast!$E$2:$E$393,$B20,Project_Forecast!$G$2:$G$393,$A20,Project_Forecast!$B$2:$B$393,Controls!$B$30,Project_Forecast!$A$2:$A$393,Controls!$B$7)</f>
        <v>0</v>
      </c>
      <c r="M20" s="94" t="n">
        <f aca="false">SUMIFS(Project_Forecast!$AC$2:$AC$393,Project_Forecast!$E$2:$E$393,$B20,Project_Forecast!$G$2:$G$393,$A20,Project_Forecast!$B$2:$B$393,Controls!$B$30,Project_Forecast!$A$2:$A$393,Controls!$B$7)</f>
        <v>0</v>
      </c>
    </row>
    <row r="21" customFormat="false" ht="13.8" hidden="false" customHeight="false" outlineLevel="0" collapsed="false">
      <c r="A21" s="67" t="s">
        <v>362</v>
      </c>
      <c r="B21" s="67" t="s">
        <v>358</v>
      </c>
      <c r="C21" s="68" t="n">
        <f aca="false">SUMIFS(MM_Income!$P$5:$P$204,MM_Income!$C$5:$C$204,$B21,MM_Income!$G$5:$G$204,$A21)</f>
        <v>0</v>
      </c>
      <c r="D21" s="68" t="n">
        <f aca="false">SUMIFS(Project_Forecast!$N$2:$N$393,Project_Forecast!$E$2:$E$393,$B21,Project_Forecast!$G$2:$G$393,$A21,Project_Forecast!$B$2:$B$393,Controls!$B$30,Project_Forecast!$A$2:$A$393,Controls!$B$7)</f>
        <v>0</v>
      </c>
      <c r="E21" s="68" t="n">
        <f aca="false">SUMIFS(Project_Forecast!$N$2:$N$393,Project_Forecast!$E$2:$E$393,$B21,Project_Forecast!$G$2:$G$393,$A21,Project_Forecast!$L$2:$L$393,"Secured",Project_Forecast!$B$2:$B$393,Controls!$B$30,Project_Forecast!$A$2:$A$393,Controls!$B$7)</f>
        <v>0</v>
      </c>
      <c r="F21" s="68" t="n">
        <f aca="false">CHOOSE(VALUE(MID(Controls!$B$6,2,1)),SUMIFS(Project_Forecast!$W$2:$W$393,Project_Forecast!$E$2:$E$393,$B21,Project_Forecast!$G$2:$G$393,$A21,Project_Forecast!$B$2:$B$393,Controls!$B$30,Project_Forecast!$A$2:$A$393,Controls!$B$7),SUMIFS(Project_Forecast!$Y$2:$Y$393,Project_Forecast!$E$2:$E$393,$B21,Project_Forecast!$G$2:$G$393,$A21,Project_Forecast!$B$2:$B$393,Controls!$B$30,Project_Forecast!$A$2:$A$393,Controls!$B$7),SUMIFS(Project_Forecast!$AA$2:$AA$393,Project_Forecast!$E$2:$E$393,$B21,Project_Forecast!$G$2:$G$393,$A21,Project_Forecast!$B$2:$B$393,Controls!$B$30,Project_Forecast!$A$2:$A$393,Controls!$B$7),SUMIFS(Project_Forecast!$AC$2:$AC$393,Project_Forecast!$E$2:$E$393,$B21,Project_Forecast!$G$2:$G$393,$A21,Project_Forecast!$B$2:$B$393,Controls!$B$30,Project_Forecast!$A$2:$A$393,Controls!$B$7))</f>
        <v>0</v>
      </c>
      <c r="G21" s="68" t="n">
        <f aca="false">SUMIFS(Project_Forecast!$AD$2:$AD$393,Project_Forecast!$E$2:$E$393,$B21,Project_Forecast!$G$2:$G$393,$A21,Project_Forecast!$B$2:$B$393,Controls!$B$30,Project_Forecast!$A$2:$A$393,Controls!$B$7)</f>
        <v>0</v>
      </c>
      <c r="H21" s="68" t="n">
        <f aca="false">SUMIFS(Project_Forecast!$AE$2:$AE$393,Project_Forecast!$E$2:$E$393,$B21,Project_Forecast!$G$2:$G$393,$A21,Project_Forecast!$B$2:$B$393,Controls!$B$30,Project_Forecast!$A$2:$A$393,Controls!$B$7)</f>
        <v>0</v>
      </c>
      <c r="I21" s="68" t="n">
        <f aca="false">SUMIFS(Project_Forecast!$S$2:$S$393,Project_Forecast!$E$2:$E$393,$B21,Project_Forecast!$G$2:$G$393,$A21,Project_Forecast!$B$2:$B$393,Controls!$B$30,Project_Forecast!$A$2:$A$393,Controls!$B$7)</f>
        <v>0</v>
      </c>
      <c r="J21" s="94" t="n">
        <f aca="false">SUMIFS(Project_Forecast!$W$2:$W$393,Project_Forecast!$E$2:$E$393,$B21,Project_Forecast!$G$2:$G$393,$A21,Project_Forecast!$B$2:$B$393,Controls!$B$30,Project_Forecast!$A$2:$A$393,Controls!$B$7)</f>
        <v>0</v>
      </c>
      <c r="K21" s="94" t="n">
        <f aca="false">SUMIFS(Project_Forecast!$Y$2:$Y$393,Project_Forecast!$E$2:$E$393,$B21,Project_Forecast!$G$2:$G$393,$A21,Project_Forecast!$B$2:$B$393,Controls!$B$30,Project_Forecast!$A$2:$A$393,Controls!$B$7)</f>
        <v>0</v>
      </c>
      <c r="L21" s="94" t="n">
        <f aca="false">SUMIFS(Project_Forecast!$AA$2:$AA$393,Project_Forecast!$E$2:$E$393,$B21,Project_Forecast!$G$2:$G$393,$A21,Project_Forecast!$B$2:$B$393,Controls!$B$30,Project_Forecast!$A$2:$A$393,Controls!$B$7)</f>
        <v>0</v>
      </c>
      <c r="M21" s="94" t="n">
        <f aca="false">SUMIFS(Project_Forecast!$AC$2:$AC$393,Project_Forecast!$E$2:$E$393,$B21,Project_Forecast!$G$2:$G$393,$A21,Project_Forecast!$B$2:$B$393,Controls!$B$30,Project_Forecast!$A$2:$A$393,Controls!$B$7)</f>
        <v>0</v>
      </c>
    </row>
    <row r="22" customFormat="false" ht="13.8" hidden="false" customHeight="false" outlineLevel="0" collapsed="false">
      <c r="A22" s="67" t="s">
        <v>362</v>
      </c>
      <c r="B22" s="67" t="s">
        <v>359</v>
      </c>
      <c r="C22" s="68" t="n">
        <f aca="false">SUMIFS(MM_Income!$P$5:$P$204,MM_Income!$C$5:$C$204,$B22,MM_Income!$G$5:$G$204,$A22)</f>
        <v>0</v>
      </c>
      <c r="D22" s="68" t="n">
        <f aca="false">SUMIFS(Project_Forecast!$N$2:$N$393,Project_Forecast!$E$2:$E$393,$B22,Project_Forecast!$G$2:$G$393,$A22,Project_Forecast!$B$2:$B$393,Controls!$B$30,Project_Forecast!$A$2:$A$393,Controls!$B$7)</f>
        <v>0</v>
      </c>
      <c r="E22" s="68" t="n">
        <f aca="false">SUMIFS(Project_Forecast!$N$2:$N$393,Project_Forecast!$E$2:$E$393,$B22,Project_Forecast!$G$2:$G$393,$A22,Project_Forecast!$L$2:$L$393,"Secured",Project_Forecast!$B$2:$B$393,Controls!$B$30,Project_Forecast!$A$2:$A$393,Controls!$B$7)</f>
        <v>0</v>
      </c>
      <c r="F22" s="68" t="n">
        <f aca="false">CHOOSE(VALUE(MID(Controls!$B$6,2,1)),SUMIFS(Project_Forecast!$W$2:$W$393,Project_Forecast!$E$2:$E$393,$B22,Project_Forecast!$G$2:$G$393,$A22,Project_Forecast!$B$2:$B$393,Controls!$B$30,Project_Forecast!$A$2:$A$393,Controls!$B$7),SUMIFS(Project_Forecast!$Y$2:$Y$393,Project_Forecast!$E$2:$E$393,$B22,Project_Forecast!$G$2:$G$393,$A22,Project_Forecast!$B$2:$B$393,Controls!$B$30,Project_Forecast!$A$2:$A$393,Controls!$B$7),SUMIFS(Project_Forecast!$AA$2:$AA$393,Project_Forecast!$E$2:$E$393,$B22,Project_Forecast!$G$2:$G$393,$A22,Project_Forecast!$B$2:$B$393,Controls!$B$30,Project_Forecast!$A$2:$A$393,Controls!$B$7),SUMIFS(Project_Forecast!$AC$2:$AC$393,Project_Forecast!$E$2:$E$393,$B22,Project_Forecast!$G$2:$G$393,$A22,Project_Forecast!$B$2:$B$393,Controls!$B$30,Project_Forecast!$A$2:$A$393,Controls!$B$7))</f>
        <v>0</v>
      </c>
      <c r="G22" s="68" t="n">
        <f aca="false">SUMIFS(Project_Forecast!$AD$2:$AD$393,Project_Forecast!$E$2:$E$393,$B22,Project_Forecast!$G$2:$G$393,$A22,Project_Forecast!$B$2:$B$393,Controls!$B$30,Project_Forecast!$A$2:$A$393,Controls!$B$7)</f>
        <v>0</v>
      </c>
      <c r="H22" s="68" t="n">
        <f aca="false">SUMIFS(Project_Forecast!$AE$2:$AE$393,Project_Forecast!$E$2:$E$393,$B22,Project_Forecast!$G$2:$G$393,$A22,Project_Forecast!$B$2:$B$393,Controls!$B$30,Project_Forecast!$A$2:$A$393,Controls!$B$7)</f>
        <v>0</v>
      </c>
      <c r="I22" s="68" t="n">
        <f aca="false">SUMIFS(Project_Forecast!$S$2:$S$393,Project_Forecast!$E$2:$E$393,$B22,Project_Forecast!$G$2:$G$393,$A22,Project_Forecast!$B$2:$B$393,Controls!$B$30,Project_Forecast!$A$2:$A$393,Controls!$B$7)</f>
        <v>0</v>
      </c>
      <c r="J22" s="94" t="n">
        <f aca="false">SUMIFS(Project_Forecast!$W$2:$W$393,Project_Forecast!$E$2:$E$393,$B22,Project_Forecast!$G$2:$G$393,$A22,Project_Forecast!$B$2:$B$393,Controls!$B$30,Project_Forecast!$A$2:$A$393,Controls!$B$7)</f>
        <v>0</v>
      </c>
      <c r="K22" s="94" t="n">
        <f aca="false">SUMIFS(Project_Forecast!$Y$2:$Y$393,Project_Forecast!$E$2:$E$393,$B22,Project_Forecast!$G$2:$G$393,$A22,Project_Forecast!$B$2:$B$393,Controls!$B$30,Project_Forecast!$A$2:$A$393,Controls!$B$7)</f>
        <v>0</v>
      </c>
      <c r="L22" s="94" t="n">
        <f aca="false">SUMIFS(Project_Forecast!$AA$2:$AA$393,Project_Forecast!$E$2:$E$393,$B22,Project_Forecast!$G$2:$G$393,$A22,Project_Forecast!$B$2:$B$393,Controls!$B$30,Project_Forecast!$A$2:$A$393,Controls!$B$7)</f>
        <v>0</v>
      </c>
      <c r="M22" s="94" t="n">
        <f aca="false">SUMIFS(Project_Forecast!$AC$2:$AC$393,Project_Forecast!$E$2:$E$393,$B22,Project_Forecast!$G$2:$G$393,$A22,Project_Forecast!$B$2:$B$393,Controls!$B$30,Project_Forecast!$A$2:$A$393,Controls!$B$7)</f>
        <v>0</v>
      </c>
    </row>
    <row r="23" customFormat="false" ht="13.8" hidden="false" customHeight="false" outlineLevel="0" collapsed="false">
      <c r="A23" s="67"/>
      <c r="B23" s="70" t="s">
        <v>363</v>
      </c>
      <c r="C23" s="78" t="n">
        <f aca="false">SUM(C17:C22)</f>
        <v>5007323.4865</v>
      </c>
      <c r="D23" s="78" t="n">
        <f aca="false">SUM(D17:D22)</f>
        <v>4744094.4865</v>
      </c>
      <c r="E23" s="78" t="n">
        <f aca="false">SUM(E17:E22)</f>
        <v>4334819.4865</v>
      </c>
      <c r="F23" s="78" t="n">
        <f aca="false">SUM(F17:F22)</f>
        <v>825592.1857</v>
      </c>
      <c r="G23" s="78" t="n">
        <f aca="false">SUM(G17:G22)</f>
        <v>2042580.2892</v>
      </c>
      <c r="H23" s="78" t="n">
        <f aca="false">SUM(H17:H22)</f>
        <v>1820526.3073</v>
      </c>
      <c r="I23" s="78" t="n">
        <f aca="false">SUM(I17:I22)</f>
        <v>2237979.07</v>
      </c>
      <c r="J23" s="98" t="n">
        <f aca="false">SUM(J17:J22)</f>
        <v>1216988.1035</v>
      </c>
      <c r="K23" s="98" t="n">
        <f aca="false">SUM(K17:K22)</f>
        <v>825592.1857</v>
      </c>
      <c r="L23" s="98" t="n">
        <f aca="false">SUM(L17:L22)</f>
        <v>1002024.4348</v>
      </c>
      <c r="M23" s="98" t="n">
        <f aca="false">SUM(M17:M22)</f>
        <v>818501.8725</v>
      </c>
    </row>
    <row r="24" customFormat="false" ht="13.8" hidden="false" customHeight="false" outlineLevel="0" collapsed="false">
      <c r="A24" s="67" t="s">
        <v>364</v>
      </c>
      <c r="B24" s="67" t="s">
        <v>365</v>
      </c>
      <c r="C24" s="68" t="n">
        <f aca="false">SUM(MM_Income!$P$5:$P$204)-C16-C23</f>
        <v>0</v>
      </c>
      <c r="D24" s="68" t="n">
        <f aca="false">SUMIFS(Project_Forecast!$N$2:$N$393,Project_Forecast!$B$2:$B$393,Controls!$B$30,Project_Forecast!$A$2:$A$393,Controls!$B$7)-D16-D23</f>
        <v>0</v>
      </c>
      <c r="E24" s="68" t="n">
        <f aca="false">SUMIFS(Project_Forecast!$N$2:$N$393,Project_Forecast!$L$2:$L$393,"Secured",Project_Forecast!$B$2:$B$393,Controls!$B$30,Project_Forecast!$A$2:$A$393,Controls!$B$7)-E16-E23</f>
        <v>0</v>
      </c>
      <c r="F24" s="68" t="n">
        <f aca="false">CHOOSE(VALUE(MID(Controls!$B$6,2,1)),SUMIFS(Project_Forecast!$W$2:$W$393,Project_Forecast!$B$2:$B$393,Controls!$B$30,Project_Forecast!$A$2:$A$393,Controls!$B$7),SUMIFS(Project_Forecast!$Y$2:$Y$393,Project_Forecast!$B$2:$B$393,Controls!$B$30,Project_Forecast!$A$2:$A$393,Controls!$B$7),SUMIFS(Project_Forecast!$AA$2:$AA$393,Project_Forecast!$B$2:$B$393,Controls!$B$30,Project_Forecast!$A$2:$A$393,Controls!$B$7),SUMIFS(Project_Forecast!$AC$2:$AC$393,Project_Forecast!$B$2:$B$393,Controls!$B$30,Project_Forecast!$A$2:$A$393,Controls!$B$7))-F16-F23</f>
        <v>0</v>
      </c>
      <c r="G24" s="68" t="n">
        <f aca="false">SUMIFS(Project_Forecast!$AD$2:$AD$393,Project_Forecast!$B$2:$B$393,Controls!$B$30,Project_Forecast!$A$2:$A$393,Controls!$B$7)-G16-G23</f>
        <v>0</v>
      </c>
      <c r="H24" s="68" t="n">
        <f aca="false">SUMIFS(Project_Forecast!$AE$2:$AE$393,Project_Forecast!$B$2:$B$393,Controls!$B$30,Project_Forecast!$A$2:$A$393,Controls!$B$7)-H16-H23</f>
        <v>0</v>
      </c>
      <c r="I24" s="68" t="n">
        <f aca="false">SUMIFS(Project_Forecast!$O$2:$O$393,Project_Forecast!$B$2:$B$393,Controls!$B$30,Project_Forecast!$A$2:$A$393,Controls!$B$7)-I16-I23</f>
        <v>575798.620000001</v>
      </c>
      <c r="J24" s="94" t="n">
        <f aca="false">SUMIFS(Project_Forecast!$W$2:$W$393,Project_Forecast!$B$2:$B$393,Controls!$B$30,Project_Forecast!$A$2:$A$393,Controls!$B$7)-J16-J23</f>
        <v>0</v>
      </c>
      <c r="K24" s="94" t="n">
        <f aca="false">SUMIFS(Project_Forecast!$Y$2:$Y$393,Project_Forecast!$B$2:$B$393,Controls!$B$30,Project_Forecast!$A$2:$A$393,Controls!$B$7)-K16-K23</f>
        <v>0</v>
      </c>
      <c r="L24" s="94" t="n">
        <f aca="false">SUMIFS(Project_Forecast!$AA$2:$AA$393,Project_Forecast!$B$2:$B$393,Controls!$B$30,Project_Forecast!$A$2:$A$393,Controls!$B$7)-L16-L23</f>
        <v>0</v>
      </c>
      <c r="M24" s="94" t="n">
        <f aca="false">SUMIFS(Project_Forecast!$AC$2:$AC$393,Project_Forecast!$B$2:$B$393,Controls!$B$30,Project_Forecast!$A$2:$A$393,Controls!$B$7)-M16-M23</f>
        <v>0</v>
      </c>
    </row>
    <row r="25" customFormat="false" ht="13.8" hidden="false" customHeight="false" outlineLevel="0" collapsed="false">
      <c r="A25" s="67"/>
      <c r="B25" s="70" t="s">
        <v>366</v>
      </c>
      <c r="C25" s="78" t="n">
        <f aca="false">C16+C23+C24</f>
        <v>16502774.617</v>
      </c>
      <c r="D25" s="78" t="n">
        <f aca="false">D16+D23+D24</f>
        <v>15545817.517</v>
      </c>
      <c r="E25" s="78" t="n">
        <f aca="false">E16+E23+E24</f>
        <v>12020285.217</v>
      </c>
      <c r="F25" s="78" t="n">
        <f aca="false">F16+F23+F24</f>
        <v>2548404.3857</v>
      </c>
      <c r="G25" s="78" t="n">
        <f aca="false">G16+G23+G24</f>
        <v>7459200.50445</v>
      </c>
      <c r="H25" s="78" t="n">
        <f aca="false">H16+H23+H24</f>
        <v>3967299.37455</v>
      </c>
      <c r="I25" s="78" t="n">
        <f aca="false">I16+I23+I24</f>
        <v>7071517.88</v>
      </c>
      <c r="J25" s="98" t="n">
        <f aca="false">J16+J23+J24</f>
        <v>4910796.11875</v>
      </c>
      <c r="K25" s="98" t="n">
        <f aca="false">K16+K23+K24</f>
        <v>2548404.3857</v>
      </c>
      <c r="L25" s="98" t="n">
        <f aca="false">L16+L23+L24</f>
        <v>2136142.97505</v>
      </c>
      <c r="M25" s="98" t="n">
        <f aca="false">M16+M23+M24</f>
        <v>1831156.3995</v>
      </c>
    </row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>
      <c r="A28" s="96" t="s">
        <v>367</v>
      </c>
    </row>
    <row r="29" customFormat="false" ht="13.8" hidden="false" customHeight="false" outlineLevel="0" collapsed="false">
      <c r="A29" s="56" t="s">
        <v>2</v>
      </c>
      <c r="B29" s="56" t="s">
        <v>368</v>
      </c>
      <c r="C29" s="56" t="s">
        <v>369</v>
      </c>
      <c r="D29" s="56" t="s">
        <v>370</v>
      </c>
    </row>
    <row r="30" customFormat="false" ht="13.8" hidden="false" customHeight="false" outlineLevel="0" collapsed="false">
      <c r="A30" s="67" t="s">
        <v>45</v>
      </c>
      <c r="B30" s="68" t="n">
        <f aca="false">SUMIFS(Project_Forecast!$W$2:$W$393,Project_Forecast!$B$2:$B$393,Controls!$B$30,Project_Forecast!$A$2:$A$393,Controls!$B$7)</f>
        <v>4910796.11875</v>
      </c>
      <c r="C30" s="68" t="n">
        <f aca="false">SUM(B30:B30)</f>
        <v>4910796.11875</v>
      </c>
      <c r="D30" s="67" t="str">
        <f aca="false">IF(1&lt;=VALUE(MID(Controls!$B$6,2,1)),"Reported","Forecast")</f>
        <v>Reported</v>
      </c>
    </row>
    <row r="31" customFormat="false" ht="13.8" hidden="false" customHeight="false" outlineLevel="0" collapsed="false">
      <c r="A31" s="67" t="s">
        <v>47</v>
      </c>
      <c r="B31" s="68" t="n">
        <f aca="false">SUMIFS(Project_Forecast!$Y$2:$Y$393,Project_Forecast!$B$2:$B$393,Controls!$B$30,Project_Forecast!$A$2:$A$393,Controls!$B$7)</f>
        <v>2548404.3857</v>
      </c>
      <c r="C31" s="68" t="n">
        <f aca="false">SUM(B30:B31)</f>
        <v>7459200.50445</v>
      </c>
      <c r="D31" s="67" t="str">
        <f aca="false">IF(2&lt;=VALUE(MID(Controls!$B$6,2,1)),"Reported","Forecast")</f>
        <v>Reported</v>
      </c>
    </row>
    <row r="32" customFormat="false" ht="13.8" hidden="false" customHeight="false" outlineLevel="0" collapsed="false">
      <c r="A32" s="67" t="s">
        <v>52</v>
      </c>
      <c r="B32" s="68" t="n">
        <f aca="false">SUMIFS(Project_Forecast!$AA$2:$AA$393,Project_Forecast!$B$2:$B$393,Controls!$B$30,Project_Forecast!$A$2:$A$393,Controls!$B$7)</f>
        <v>2136142.97505</v>
      </c>
      <c r="C32" s="68" t="n">
        <f aca="false">SUM(B30:B32)</f>
        <v>9595343.4795</v>
      </c>
      <c r="D32" s="67" t="str">
        <f aca="false">IF(3&lt;=VALUE(MID(Controls!$B$6,2,1)),"Reported","Forecast")</f>
        <v>Forecast</v>
      </c>
    </row>
    <row r="33" customFormat="false" ht="13.8" hidden="false" customHeight="false" outlineLevel="0" collapsed="false">
      <c r="A33" s="67" t="s">
        <v>56</v>
      </c>
      <c r="B33" s="68" t="n">
        <f aca="false">SUMIFS(Project_Forecast!$AC$2:$AC$393,Project_Forecast!$B$2:$B$393,Controls!$B$30,Project_Forecast!$A$2:$A$393,Controls!$B$7)</f>
        <v>1831156.3995</v>
      </c>
      <c r="C33" s="68" t="n">
        <f aca="false">SUM(B30:B33)</f>
        <v>11426499.879</v>
      </c>
      <c r="D33" s="67" t="str">
        <f aca="false">IF(4&lt;=VALUE(MID(Controls!$B$6,2,1)),"Reported","Forecast")</f>
        <v>Forecast</v>
      </c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>
      <c r="A36" s="96" t="s">
        <v>371</v>
      </c>
      <c r="G36" s="96" t="s">
        <v>372</v>
      </c>
    </row>
    <row r="37" customFormat="false" ht="13.8" hidden="false" customHeight="false" outlineLevel="0" collapsed="false">
      <c r="A37" s="56" t="s">
        <v>373</v>
      </c>
      <c r="B37" s="56" t="s">
        <v>278</v>
      </c>
      <c r="C37" s="56" t="s">
        <v>345</v>
      </c>
      <c r="D37" s="56" t="s">
        <v>374</v>
      </c>
      <c r="E37" s="56" t="s">
        <v>375</v>
      </c>
      <c r="G37" s="56" t="s">
        <v>376</v>
      </c>
      <c r="H37" s="56" t="s">
        <v>278</v>
      </c>
      <c r="I37" s="56" t="s">
        <v>345</v>
      </c>
      <c r="J37" s="56" t="s">
        <v>374</v>
      </c>
      <c r="K37" s="56" t="s">
        <v>375</v>
      </c>
    </row>
    <row r="38" customFormat="false" ht="13.8" hidden="false" customHeight="false" outlineLevel="0" collapsed="false">
      <c r="A38" s="67" t="s">
        <v>377</v>
      </c>
      <c r="B38" s="68" t="n">
        <f aca="false">SUMIFS(Project_Forecast!$N$2:$N$393,Project_Forecast!$H$2:$H$393,$A38,Project_Forecast!$B$2:$B$393,Controls!$B$30,Project_Forecast!$A$2:$A$393,Controls!$B$7)</f>
        <v>4382580.9</v>
      </c>
      <c r="C38" s="68" t="n">
        <f aca="false">SUMIFS(Project_Forecast!$N$2:$N$393,Project_Forecast!$H$2:$H$393,$A38,Project_Forecast!$L$2:$L$393,"Secured",Project_Forecast!$B$2:$B$393,Controls!$B$30,Project_Forecast!$A$2:$A$393,Controls!$B$7)</f>
        <v>3090288.4</v>
      </c>
      <c r="D38" s="68" t="n">
        <f aca="false">SUMIFS(Project_Forecast!$AD$2:$AD$393,Project_Forecast!$H$2:$H$393,$A38,Project_Forecast!$B$2:$B$393,Controls!$B$30,Project_Forecast!$A$2:$A$393,Controls!$B$7)</f>
        <v>2015200.55</v>
      </c>
      <c r="E38" s="68" t="n">
        <f aca="false">SUMIFS(Project_Forecast!$O$2:$O$393,Project_Forecast!$H$2:$H$393,$A38,Project_Forecast!$B$2:$B$393,Controls!$B$30,Project_Forecast!$A$2:$A$393,Controls!$B$7)</f>
        <v>1330085.91</v>
      </c>
      <c r="G38" s="67" t="s">
        <v>378</v>
      </c>
      <c r="H38" s="68" t="n">
        <f aca="false">SUMIFS(Project_Forecast!$N$2:$N$393,Project_Forecast!$I$2:$I$393,$G38,Project_Forecast!$B$2:$B$393,Controls!$B$30,Project_Forecast!$A$2:$A$393,Controls!$B$7)</f>
        <v>851741.4</v>
      </c>
      <c r="I38" s="68" t="n">
        <f aca="false">SUMIFS(Project_Forecast!$N$2:$N$393,Project_Forecast!$I$2:$I$393,$G38,Project_Forecast!$L$2:$L$393,"Secured",Project_Forecast!$B$2:$B$393,Controls!$B$30,Project_Forecast!$A$2:$A$393,Controls!$B$7)</f>
        <v>851741.4</v>
      </c>
      <c r="J38" s="68" t="n">
        <f aca="false">SUMIFS(Project_Forecast!$AD$2:$AD$393,Project_Forecast!$I$2:$I$393,$G38,Project_Forecast!$B$2:$B$393,Controls!$B$30,Project_Forecast!$A$2:$A$393,Controls!$B$7)</f>
        <v>563948.85</v>
      </c>
      <c r="K38" s="68" t="n">
        <f aca="false">SUMIFS(Project_Forecast!$O$2:$O$393,Project_Forecast!$I$2:$I$393,$G38,Project_Forecast!$B$2:$B$393,Controls!$B$30,Project_Forecast!$A$2:$A$393,Controls!$B$7)</f>
        <v>196496.06</v>
      </c>
    </row>
    <row r="39" customFormat="false" ht="13.8" hidden="false" customHeight="false" outlineLevel="0" collapsed="false">
      <c r="A39" s="67" t="s">
        <v>379</v>
      </c>
      <c r="B39" s="68" t="n">
        <f aca="false">SUMIFS(Project_Forecast!$N$2:$N$393,Project_Forecast!$H$2:$H$393,$A39,Project_Forecast!$B$2:$B$393,Controls!$B$30,Project_Forecast!$A$2:$A$393,Controls!$B$7)</f>
        <v>3999459.3005</v>
      </c>
      <c r="C39" s="68" t="n">
        <f aca="false">SUMIFS(Project_Forecast!$N$2:$N$393,Project_Forecast!$H$2:$H$393,$A39,Project_Forecast!$L$2:$L$393,"Secured",Project_Forecast!$B$2:$B$393,Controls!$B$30,Project_Forecast!$A$2:$A$393,Controls!$B$7)</f>
        <v>3201196.5005</v>
      </c>
      <c r="D39" s="68" t="n">
        <f aca="false">SUMIFS(Project_Forecast!$AD$2:$AD$393,Project_Forecast!$H$2:$H$393,$A39,Project_Forecast!$B$2:$B$393,Controls!$B$30,Project_Forecast!$A$2:$A$393,Controls!$B$7)</f>
        <v>1285712.52025</v>
      </c>
      <c r="E39" s="68" t="n">
        <f aca="false">SUMIFS(Project_Forecast!$O$2:$O$393,Project_Forecast!$H$2:$H$393,$A39,Project_Forecast!$B$2:$B$393,Controls!$B$30,Project_Forecast!$A$2:$A$393,Controls!$B$7)</f>
        <v>1389380.85</v>
      </c>
      <c r="G39" s="67" t="s">
        <v>380</v>
      </c>
      <c r="H39" s="68" t="n">
        <f aca="false">SUMIFS(Project_Forecast!$N$2:$N$393,Project_Forecast!$I$2:$I$393,$G39,Project_Forecast!$B$2:$B$393,Controls!$B$30,Project_Forecast!$A$2:$A$393,Controls!$B$7)</f>
        <v>44911.9005</v>
      </c>
      <c r="I39" s="68" t="n">
        <f aca="false">SUMIFS(Project_Forecast!$N$2:$N$393,Project_Forecast!$I$2:$I$393,$G39,Project_Forecast!$L$2:$L$393,"Secured",Project_Forecast!$B$2:$B$393,Controls!$B$30,Project_Forecast!$A$2:$A$393,Controls!$B$7)</f>
        <v>44911.9005</v>
      </c>
      <c r="J39" s="68" t="n">
        <f aca="false">SUMIFS(Project_Forecast!$AD$2:$AD$393,Project_Forecast!$I$2:$I$393,$G39,Project_Forecast!$B$2:$B$393,Controls!$B$30,Project_Forecast!$A$2:$A$393,Controls!$B$7)</f>
        <v>22455.95025</v>
      </c>
      <c r="K39" s="68" t="n">
        <f aca="false">SUMIFS(Project_Forecast!$O$2:$O$393,Project_Forecast!$I$2:$I$393,$G39,Project_Forecast!$B$2:$B$393,Controls!$B$30,Project_Forecast!$A$2:$A$393,Controls!$B$7)</f>
        <v>0</v>
      </c>
    </row>
    <row r="40" customFormat="false" ht="13.8" hidden="false" customHeight="false" outlineLevel="0" collapsed="false">
      <c r="A40" s="67" t="s">
        <v>381</v>
      </c>
      <c r="B40" s="68" t="n">
        <f aca="false">SUMIFS(Project_Forecast!$N$2:$N$393,Project_Forecast!$H$2:$H$393,$A40,Project_Forecast!$B$2:$B$393,Controls!$B$30,Project_Forecast!$A$2:$A$393,Controls!$B$7)</f>
        <v>1087349.4865</v>
      </c>
      <c r="C40" s="68" t="n">
        <f aca="false">SUMIFS(Project_Forecast!$N$2:$N$393,Project_Forecast!$H$2:$H$393,$A40,Project_Forecast!$L$2:$L$393,"Secured",Project_Forecast!$B$2:$B$393,Controls!$B$30,Project_Forecast!$A$2:$A$393,Controls!$B$7)</f>
        <v>678074.4865</v>
      </c>
      <c r="D40" s="68" t="n">
        <f aca="false">SUMIFS(Project_Forecast!$AD$2:$AD$393,Project_Forecast!$H$2:$H$393,$A40,Project_Forecast!$B$2:$B$393,Controls!$B$30,Project_Forecast!$A$2:$A$393,Controls!$B$7)</f>
        <v>629185.5992</v>
      </c>
      <c r="E40" s="68" t="n">
        <f aca="false">SUMIFS(Project_Forecast!$O$2:$O$393,Project_Forecast!$H$2:$H$393,$A40,Project_Forecast!$B$2:$B$393,Controls!$B$30,Project_Forecast!$A$2:$A$393,Controls!$B$7)</f>
        <v>736266.19</v>
      </c>
      <c r="G40" s="67" t="s">
        <v>382</v>
      </c>
      <c r="H40" s="68" t="n">
        <f aca="false">SUMIFS(Project_Forecast!$N$2:$N$393,Project_Forecast!$I$2:$I$393,$G40,Project_Forecast!$B$2:$B$393,Controls!$B$30,Project_Forecast!$A$2:$A$393,Controls!$B$7)</f>
        <v>1141155</v>
      </c>
      <c r="I40" s="68" t="n">
        <f aca="false">SUMIFS(Project_Forecast!$N$2:$N$393,Project_Forecast!$I$2:$I$393,$G40,Project_Forecast!$L$2:$L$393,"Secured",Project_Forecast!$B$2:$B$393,Controls!$B$30,Project_Forecast!$A$2:$A$393,Controls!$B$7)</f>
        <v>1141155</v>
      </c>
      <c r="J40" s="68" t="n">
        <f aca="false">SUMIFS(Project_Forecast!$AD$2:$AD$393,Project_Forecast!$I$2:$I$393,$G40,Project_Forecast!$B$2:$B$393,Controls!$B$30,Project_Forecast!$A$2:$A$393,Controls!$B$7)</f>
        <v>684693</v>
      </c>
      <c r="K40" s="68" t="n">
        <f aca="false">SUMIFS(Project_Forecast!$O$2:$O$393,Project_Forecast!$I$2:$I$393,$G40,Project_Forecast!$B$2:$B$393,Controls!$B$30,Project_Forecast!$A$2:$A$393,Controls!$B$7)</f>
        <v>510225.54</v>
      </c>
    </row>
    <row r="41" customFormat="false" ht="13.8" hidden="false" customHeight="false" outlineLevel="0" collapsed="false">
      <c r="A41" s="67" t="s">
        <v>383</v>
      </c>
      <c r="B41" s="68" t="n">
        <f aca="false">SUMIFS(Project_Forecast!$N$2:$N$393,Project_Forecast!$H$2:$H$393,$A41,Project_Forecast!$B$2:$B$393,Controls!$B$30,Project_Forecast!$A$2:$A$393,Controls!$B$7)</f>
        <v>522962.5</v>
      </c>
      <c r="C41" s="68" t="n">
        <f aca="false">SUMIFS(Project_Forecast!$N$2:$N$393,Project_Forecast!$H$2:$H$393,$A41,Project_Forecast!$L$2:$L$393,"Secured",Project_Forecast!$B$2:$B$393,Controls!$B$30,Project_Forecast!$A$2:$A$393,Controls!$B$7)</f>
        <v>522962.5</v>
      </c>
      <c r="D41" s="68" t="n">
        <f aca="false">SUMIFS(Project_Forecast!$AD$2:$AD$393,Project_Forecast!$H$2:$H$393,$A41,Project_Forecast!$B$2:$B$393,Controls!$B$30,Project_Forecast!$A$2:$A$393,Controls!$B$7)</f>
        <v>496814.375</v>
      </c>
      <c r="E41" s="68" t="n">
        <f aca="false">SUMIFS(Project_Forecast!$O$2:$O$393,Project_Forecast!$H$2:$H$393,$A41,Project_Forecast!$B$2:$B$393,Controls!$B$30,Project_Forecast!$A$2:$A$393,Controls!$B$7)</f>
        <v>536744.58</v>
      </c>
      <c r="G41" s="67" t="s">
        <v>384</v>
      </c>
      <c r="H41" s="68" t="n">
        <f aca="false">SUMIFS(Project_Forecast!$N$2:$N$393,Project_Forecast!$I$2:$I$393,$G41,Project_Forecast!$B$2:$B$393,Controls!$B$30,Project_Forecast!$A$2:$A$393,Controls!$B$7)</f>
        <v>1441022.5</v>
      </c>
      <c r="I41" s="68" t="n">
        <f aca="false">SUMIFS(Project_Forecast!$N$2:$N$393,Project_Forecast!$I$2:$I$393,$G41,Project_Forecast!$L$2:$L$393,"Secured",Project_Forecast!$B$2:$B$393,Controls!$B$30,Project_Forecast!$A$2:$A$393,Controls!$B$7)</f>
        <v>221811</v>
      </c>
      <c r="J41" s="68" t="n">
        <f aca="false">SUMIFS(Project_Forecast!$AD$2:$AD$393,Project_Forecast!$I$2:$I$393,$G41,Project_Forecast!$B$2:$B$393,Controls!$B$30,Project_Forecast!$A$2:$A$393,Controls!$B$7)</f>
        <v>181750.2</v>
      </c>
      <c r="K41" s="68" t="n">
        <f aca="false">SUMIFS(Project_Forecast!$O$2:$O$393,Project_Forecast!$I$2:$I$393,$G41,Project_Forecast!$B$2:$B$393,Controls!$B$30,Project_Forecast!$A$2:$A$393,Controls!$B$7)</f>
        <v>130227.27</v>
      </c>
    </row>
    <row r="42" customFormat="false" ht="13.8" hidden="false" customHeight="false" outlineLevel="0" collapsed="false">
      <c r="A42" s="67" t="s">
        <v>385</v>
      </c>
      <c r="B42" s="68" t="n">
        <f aca="false">SUMIFS(Project_Forecast!$N$2:$N$393,Project_Forecast!$H$2:$H$393,$A42,Project_Forecast!$B$2:$B$393,Controls!$B$30,Project_Forecast!$A$2:$A$393,Controls!$B$7)</f>
        <v>1104561</v>
      </c>
      <c r="C42" s="68" t="n">
        <f aca="false">SUMIFS(Project_Forecast!$N$2:$N$393,Project_Forecast!$H$2:$H$393,$A42,Project_Forecast!$L$2:$L$393,"Secured",Project_Forecast!$B$2:$B$393,Controls!$B$30,Project_Forecast!$A$2:$A$393,Controls!$B$7)</f>
        <v>1104561</v>
      </c>
      <c r="D42" s="68" t="n">
        <f aca="false">SUMIFS(Project_Forecast!$AD$2:$AD$393,Project_Forecast!$H$2:$H$393,$A42,Project_Forecast!$B$2:$B$393,Controls!$B$30,Project_Forecast!$A$2:$A$393,Controls!$B$7)</f>
        <v>858348.65</v>
      </c>
      <c r="E42" s="68" t="n">
        <f aca="false">SUMIFS(Project_Forecast!$O$2:$O$393,Project_Forecast!$H$2:$H$393,$A42,Project_Forecast!$B$2:$B$393,Controls!$B$30,Project_Forecast!$A$2:$A$393,Controls!$B$7)</f>
        <v>1008532.8</v>
      </c>
      <c r="G42" s="67" t="s">
        <v>386</v>
      </c>
      <c r="H42" s="68" t="n">
        <f aca="false">SUMIFS(Project_Forecast!$N$2:$N$393,Project_Forecast!$I$2:$I$393,$G42,Project_Forecast!$B$2:$B$393,Controls!$B$30,Project_Forecast!$A$2:$A$393,Controls!$B$7)</f>
        <v>204798</v>
      </c>
      <c r="I42" s="68" t="n">
        <f aca="false">SUMIFS(Project_Forecast!$N$2:$N$393,Project_Forecast!$I$2:$I$393,$G42,Project_Forecast!$L$2:$L$393,"Secured",Project_Forecast!$B$2:$B$393,Controls!$B$30,Project_Forecast!$A$2:$A$393,Controls!$B$7)</f>
        <v>204798</v>
      </c>
      <c r="J42" s="68" t="n">
        <f aca="false">SUMIFS(Project_Forecast!$AD$2:$AD$393,Project_Forecast!$I$2:$I$393,$G42,Project_Forecast!$B$2:$B$393,Controls!$B$30,Project_Forecast!$A$2:$A$393,Controls!$B$7)</f>
        <v>204798</v>
      </c>
      <c r="K42" s="68" t="n">
        <f aca="false">SUMIFS(Project_Forecast!$O$2:$O$393,Project_Forecast!$I$2:$I$393,$G42,Project_Forecast!$B$2:$B$393,Controls!$B$30,Project_Forecast!$A$2:$A$393,Controls!$B$7)</f>
        <v>217238.33</v>
      </c>
    </row>
    <row r="43" customFormat="false" ht="13.8" hidden="false" customHeight="false" outlineLevel="0" collapsed="false">
      <c r="A43" s="67" t="s">
        <v>387</v>
      </c>
      <c r="B43" s="68" t="n">
        <f aca="false">SUMIFS(Project_Forecast!$N$2:$N$393,Project_Forecast!$H$2:$H$393,$A43,Project_Forecast!$B$2:$B$393,Controls!$B$30,Project_Forecast!$A$2:$A$393,Controls!$B$7)</f>
        <v>500460.4</v>
      </c>
      <c r="C43" s="68" t="n">
        <f aca="false">SUMIFS(Project_Forecast!$N$2:$N$393,Project_Forecast!$H$2:$H$393,$A43,Project_Forecast!$L$2:$L$393,"Secured",Project_Forecast!$B$2:$B$393,Controls!$B$30,Project_Forecast!$A$2:$A$393,Controls!$B$7)</f>
        <v>500460.4</v>
      </c>
      <c r="D43" s="68" t="n">
        <f aca="false">SUMIFS(Project_Forecast!$AD$2:$AD$393,Project_Forecast!$H$2:$H$393,$A43,Project_Forecast!$B$2:$B$393,Controls!$B$30,Project_Forecast!$A$2:$A$393,Controls!$B$7)</f>
        <v>150138.12</v>
      </c>
      <c r="E43" s="68" t="n">
        <f aca="false">SUMIFS(Project_Forecast!$O$2:$O$393,Project_Forecast!$H$2:$H$393,$A43,Project_Forecast!$B$2:$B$393,Controls!$B$30,Project_Forecast!$A$2:$A$393,Controls!$B$7)</f>
        <v>291532.03</v>
      </c>
      <c r="G43" s="67" t="s">
        <v>388</v>
      </c>
      <c r="H43" s="68" t="n">
        <f aca="false">SUMIFS(Project_Forecast!$N$2:$N$393,Project_Forecast!$I$2:$I$393,$G43,Project_Forecast!$B$2:$B$393,Controls!$B$30,Project_Forecast!$A$2:$A$393,Controls!$B$7)</f>
        <v>1494469</v>
      </c>
      <c r="I43" s="68" t="n">
        <f aca="false">SUMIFS(Project_Forecast!$N$2:$N$393,Project_Forecast!$I$2:$I$393,$G43,Project_Forecast!$L$2:$L$393,"Secured",Project_Forecast!$B$2:$B$393,Controls!$B$30,Project_Forecast!$A$2:$A$393,Controls!$B$7)</f>
        <v>1494469</v>
      </c>
      <c r="J43" s="68" t="n">
        <f aca="false">SUMIFS(Project_Forecast!$AD$2:$AD$393,Project_Forecast!$I$2:$I$393,$G43,Project_Forecast!$B$2:$B$393,Controls!$B$30,Project_Forecast!$A$2:$A$393,Controls!$B$7)</f>
        <v>747234.5</v>
      </c>
      <c r="K43" s="68" t="n">
        <f aca="false">SUMIFS(Project_Forecast!$O$2:$O$393,Project_Forecast!$I$2:$I$393,$G43,Project_Forecast!$B$2:$B$393,Controls!$B$30,Project_Forecast!$A$2:$A$393,Controls!$B$7)</f>
        <v>786124.25</v>
      </c>
    </row>
    <row r="44" customFormat="false" ht="13.8" hidden="false" customHeight="false" outlineLevel="0" collapsed="false">
      <c r="A44" s="67" t="s">
        <v>389</v>
      </c>
      <c r="B44" s="68" t="n">
        <f aca="false">SUMIFS(Project_Forecast!$N$2:$N$393,Project_Forecast!$H$2:$H$393,$A44,Project_Forecast!$B$2:$B$393,Controls!$B$30,Project_Forecast!$A$2:$A$393,Controls!$B$7)</f>
        <v>0</v>
      </c>
      <c r="C44" s="68" t="n">
        <f aca="false">SUMIFS(Project_Forecast!$N$2:$N$393,Project_Forecast!$H$2:$H$393,$A44,Project_Forecast!$L$2:$L$393,"Secured",Project_Forecast!$B$2:$B$393,Controls!$B$30,Project_Forecast!$A$2:$A$393,Controls!$B$7)</f>
        <v>0</v>
      </c>
      <c r="D44" s="68" t="n">
        <f aca="false">SUMIFS(Project_Forecast!$AD$2:$AD$393,Project_Forecast!$H$2:$H$393,$A44,Project_Forecast!$B$2:$B$393,Controls!$B$30,Project_Forecast!$A$2:$A$393,Controls!$B$7)</f>
        <v>0</v>
      </c>
      <c r="E44" s="68" t="n">
        <f aca="false">SUMIFS(Project_Forecast!$O$2:$O$393,Project_Forecast!$H$2:$H$393,$A44,Project_Forecast!$B$2:$B$393,Controls!$B$30,Project_Forecast!$A$2:$A$393,Controls!$B$7)</f>
        <v>0</v>
      </c>
      <c r="G44" s="67" t="s">
        <v>390</v>
      </c>
      <c r="H44" s="68" t="n">
        <f aca="false">SUMIFS(Project_Forecast!$N$2:$N$393,Project_Forecast!$I$2:$I$393,$G44,Project_Forecast!$B$2:$B$393,Controls!$B$30,Project_Forecast!$A$2:$A$393,Controls!$B$7)</f>
        <v>322438.08</v>
      </c>
      <c r="I44" s="68" t="n">
        <f aca="false">SUMIFS(Project_Forecast!$N$2:$N$393,Project_Forecast!$I$2:$I$393,$G44,Project_Forecast!$L$2:$L$393,"Secured",Project_Forecast!$B$2:$B$393,Controls!$B$30,Project_Forecast!$A$2:$A$393,Controls!$B$7)</f>
        <v>322438.08</v>
      </c>
      <c r="J44" s="68" t="n">
        <f aca="false">SUMIFS(Project_Forecast!$AD$2:$AD$393,Project_Forecast!$I$2:$I$393,$G44,Project_Forecast!$B$2:$B$393,Controls!$B$30,Project_Forecast!$A$2:$A$393,Controls!$B$7)</f>
        <v>161219.04</v>
      </c>
      <c r="K44" s="68" t="n">
        <f aca="false">SUMIFS(Project_Forecast!$O$2:$O$393,Project_Forecast!$I$2:$I$393,$G44,Project_Forecast!$B$2:$B$393,Controls!$B$30,Project_Forecast!$A$2:$A$393,Controls!$B$7)</f>
        <v>0</v>
      </c>
    </row>
    <row r="45" customFormat="false" ht="13.8" hidden="false" customHeight="false" outlineLevel="0" collapsed="false">
      <c r="A45" s="67" t="s">
        <v>391</v>
      </c>
      <c r="B45" s="68" t="n">
        <f aca="false">SUMIFS(Project_Forecast!$N$2:$N$393,Project_Forecast!$H$2:$H$393,$A45,Project_Forecast!$B$2:$B$393,Controls!$B$30,Project_Forecast!$A$2:$A$393,Controls!$B$7)</f>
        <v>0</v>
      </c>
      <c r="C45" s="68" t="n">
        <f aca="false">SUMIFS(Project_Forecast!$N$2:$N$393,Project_Forecast!$H$2:$H$393,$A45,Project_Forecast!$L$2:$L$393,"Secured",Project_Forecast!$B$2:$B$393,Controls!$B$30,Project_Forecast!$A$2:$A$393,Controls!$B$7)</f>
        <v>0</v>
      </c>
      <c r="D45" s="68" t="n">
        <f aca="false">SUMIFS(Project_Forecast!$AD$2:$AD$393,Project_Forecast!$H$2:$H$393,$A45,Project_Forecast!$B$2:$B$393,Controls!$B$30,Project_Forecast!$A$2:$A$393,Controls!$B$7)</f>
        <v>0</v>
      </c>
      <c r="E45" s="68" t="n">
        <f aca="false">SUMIFS(Project_Forecast!$O$2:$O$393,Project_Forecast!$H$2:$H$393,$A45,Project_Forecast!$B$2:$B$393,Controls!$B$30,Project_Forecast!$A$2:$A$393,Controls!$B$7)</f>
        <v>0</v>
      </c>
      <c r="G45" s="67" t="s">
        <v>392</v>
      </c>
      <c r="H45" s="68" t="n">
        <f aca="false">SUMIFS(Project_Forecast!$N$2:$N$393,Project_Forecast!$I$2:$I$393,$G45,Project_Forecast!$B$2:$B$393,Controls!$B$30,Project_Forecast!$A$2:$A$393,Controls!$B$7)</f>
        <v>522962.5</v>
      </c>
      <c r="I45" s="68" t="n">
        <f aca="false">SUMIFS(Project_Forecast!$N$2:$N$393,Project_Forecast!$I$2:$I$393,$G45,Project_Forecast!$L$2:$L$393,"Secured",Project_Forecast!$B$2:$B$393,Controls!$B$30,Project_Forecast!$A$2:$A$393,Controls!$B$7)</f>
        <v>522962.5</v>
      </c>
      <c r="J45" s="68" t="n">
        <f aca="false">SUMIFS(Project_Forecast!$AD$2:$AD$393,Project_Forecast!$I$2:$I$393,$G45,Project_Forecast!$B$2:$B$393,Controls!$B$30,Project_Forecast!$A$2:$A$393,Controls!$B$7)</f>
        <v>496814.375</v>
      </c>
      <c r="K45" s="68" t="n">
        <f aca="false">SUMIFS(Project_Forecast!$O$2:$O$393,Project_Forecast!$I$2:$I$393,$G45,Project_Forecast!$B$2:$B$393,Controls!$B$30,Project_Forecast!$A$2:$A$393,Controls!$B$7)</f>
        <v>536744.58</v>
      </c>
    </row>
    <row r="46" customFormat="false" ht="13.8" hidden="false" customHeight="false" outlineLevel="0" collapsed="false">
      <c r="A46" s="67" t="s">
        <v>141</v>
      </c>
      <c r="B46" s="68" t="n">
        <f aca="false">SUMIFS(Project_Forecast!$N$2:$N$393,Project_Forecast!$H$2:$H$393,$A46,Project_Forecast!$B$2:$B$393,Controls!$B$30,Project_Forecast!$A$2:$A$393,Controls!$B$7)</f>
        <v>0</v>
      </c>
      <c r="C46" s="68" t="n">
        <f aca="false">SUMIFS(Project_Forecast!$N$2:$N$393,Project_Forecast!$H$2:$H$393,$A46,Project_Forecast!$L$2:$L$393,"Secured",Project_Forecast!$B$2:$B$393,Controls!$B$30,Project_Forecast!$A$2:$A$393,Controls!$B$7)</f>
        <v>0</v>
      </c>
      <c r="D46" s="68" t="n">
        <f aca="false">SUMIFS(Project_Forecast!$AD$2:$AD$393,Project_Forecast!$H$2:$H$393,$A46,Project_Forecast!$B$2:$B$393,Controls!$B$30,Project_Forecast!$A$2:$A$393,Controls!$B$7)</f>
        <v>0</v>
      </c>
      <c r="E46" s="68" t="n">
        <f aca="false">SUMIFS(Project_Forecast!$O$2:$O$393,Project_Forecast!$H$2:$H$393,$A46,Project_Forecast!$B$2:$B$393,Controls!$B$30,Project_Forecast!$A$2:$A$393,Controls!$B$7)</f>
        <v>0</v>
      </c>
      <c r="G46" s="67" t="s">
        <v>393</v>
      </c>
      <c r="H46" s="68" t="n">
        <f aca="false">SUMIFS(Project_Forecast!$N$2:$N$393,Project_Forecast!$I$2:$I$393,$G46,Project_Forecast!$B$2:$B$393,Controls!$B$30,Project_Forecast!$A$2:$A$393,Controls!$B$7)</f>
        <v>433630.05</v>
      </c>
      <c r="I46" s="68" t="n">
        <f aca="false">SUMIFS(Project_Forecast!$N$2:$N$393,Project_Forecast!$I$2:$I$393,$G46,Project_Forecast!$L$2:$L$393,"Secured",Project_Forecast!$B$2:$B$393,Controls!$B$30,Project_Forecast!$A$2:$A$393,Controls!$B$7)</f>
        <v>433630.05</v>
      </c>
      <c r="J46" s="68" t="n">
        <f aca="false">SUMIFS(Project_Forecast!$AD$2:$AD$393,Project_Forecast!$I$2:$I$393,$G46,Project_Forecast!$B$2:$B$393,Controls!$B$30,Project_Forecast!$A$2:$A$393,Controls!$B$7)</f>
        <v>433630.05</v>
      </c>
      <c r="K46" s="68" t="n">
        <f aca="false">SUMIFS(Project_Forecast!$O$2:$O$393,Project_Forecast!$I$2:$I$393,$G46,Project_Forecast!$B$2:$B$393,Controls!$B$30,Project_Forecast!$A$2:$A$393,Controls!$B$7)</f>
        <v>614078.94</v>
      </c>
    </row>
    <row r="47" customFormat="false" ht="13.8" hidden="false" customHeight="false" outlineLevel="0" collapsed="false">
      <c r="A47" s="70" t="s">
        <v>394</v>
      </c>
      <c r="B47" s="78" t="n">
        <f aca="false">$E$3-SUM(B38:B46)</f>
        <v>3948443.93</v>
      </c>
      <c r="C47" s="78" t="n">
        <f aca="false">$H$3-SUM(C38:C46)</f>
        <v>2922741.93</v>
      </c>
      <c r="D47" s="78" t="n">
        <f aca="false">$K$3-SUM(D38:D46)</f>
        <v>2023800.69</v>
      </c>
      <c r="E47" s="78" t="n">
        <f aca="false">$B$5-SUM(E38:E46)</f>
        <v>1203176.9</v>
      </c>
      <c r="G47" s="67" t="s">
        <v>395</v>
      </c>
      <c r="H47" s="68" t="n">
        <f aca="false">SUMIFS(Project_Forecast!$N$2:$N$393,Project_Forecast!$I$2:$I$393,$G47,Project_Forecast!$B$2:$B$393,Controls!$B$30,Project_Forecast!$A$2:$A$393,Controls!$B$7)</f>
        <v>3156284.6</v>
      </c>
      <c r="I47" s="68" t="n">
        <f aca="false">SUMIFS(Project_Forecast!$N$2:$N$393,Project_Forecast!$I$2:$I$393,$G47,Project_Forecast!$L$2:$L$393,"Secured",Project_Forecast!$B$2:$B$393,Controls!$B$30,Project_Forecast!$A$2:$A$393,Controls!$B$7)</f>
        <v>3156284.6</v>
      </c>
      <c r="J47" s="68" t="n">
        <f aca="false">SUMIFS(Project_Forecast!$AD$2:$AD$393,Project_Forecast!$I$2:$I$393,$G47,Project_Forecast!$B$2:$B$393,Controls!$B$30,Project_Forecast!$A$2:$A$393,Controls!$B$7)</f>
        <v>1263256.57</v>
      </c>
      <c r="K47" s="68" t="n">
        <f aca="false">SUMIFS(Project_Forecast!$O$2:$O$393,Project_Forecast!$I$2:$I$393,$G47,Project_Forecast!$B$2:$B$393,Controls!$B$30,Project_Forecast!$A$2:$A$393,Controls!$B$7)</f>
        <v>1389380.85</v>
      </c>
    </row>
    <row r="48" customFormat="false" ht="13.8" hidden="false" customHeight="false" outlineLevel="0" collapsed="false">
      <c r="A48" s="70" t="s">
        <v>310</v>
      </c>
      <c r="B48" s="78" t="n">
        <f aca="false">SUM(B38:B47)</f>
        <v>15545817.517</v>
      </c>
      <c r="C48" s="78" t="n">
        <f aca="false">SUM(C38:C47)</f>
        <v>12020285.217</v>
      </c>
      <c r="D48" s="78" t="n">
        <f aca="false">SUM(D38:D47)</f>
        <v>7459200.50445</v>
      </c>
      <c r="E48" s="78" t="n">
        <f aca="false">SUM(E38:E47)</f>
        <v>6495719.26</v>
      </c>
      <c r="G48" s="67" t="s">
        <v>396</v>
      </c>
      <c r="H48" s="68" t="n">
        <f aca="false">SUMIFS(Project_Forecast!$N$2:$N$393,Project_Forecast!$I$2:$I$393,$G48,Project_Forecast!$B$2:$B$393,Controls!$B$30,Project_Forecast!$A$2:$A$393,Controls!$B$7)</f>
        <v>500460.4</v>
      </c>
      <c r="I48" s="68" t="n">
        <f aca="false">SUMIFS(Project_Forecast!$N$2:$N$393,Project_Forecast!$I$2:$I$393,$G48,Project_Forecast!$L$2:$L$393,"Secured",Project_Forecast!$B$2:$B$393,Controls!$B$30,Project_Forecast!$A$2:$A$393,Controls!$B$7)</f>
        <v>500460.4</v>
      </c>
      <c r="J48" s="68" t="n">
        <f aca="false">SUMIFS(Project_Forecast!$AD$2:$AD$393,Project_Forecast!$I$2:$I$393,$G48,Project_Forecast!$B$2:$B$393,Controls!$B$30,Project_Forecast!$A$2:$A$393,Controls!$B$7)</f>
        <v>150138.12</v>
      </c>
      <c r="K48" s="68" t="n">
        <f aca="false">SUMIFS(Project_Forecast!$O$2:$O$393,Project_Forecast!$I$2:$I$393,$G48,Project_Forecast!$B$2:$B$393,Controls!$B$30,Project_Forecast!$A$2:$A$393,Controls!$B$7)</f>
        <v>291532.03</v>
      </c>
    </row>
    <row r="49" customFormat="false" ht="13.8" hidden="false" customHeight="false" outlineLevel="0" collapsed="false">
      <c r="A49" s="96" t="s">
        <v>397</v>
      </c>
      <c r="G49" s="67" t="s">
        <v>398</v>
      </c>
      <c r="H49" s="68" t="n">
        <f aca="false">SUMIFS(Project_Forecast!$N$2:$N$393,Project_Forecast!$I$2:$I$393,$G49,Project_Forecast!$B$2:$B$393,Controls!$B$30,Project_Forecast!$A$2:$A$393,Controls!$B$7)</f>
        <v>1104561</v>
      </c>
      <c r="I49" s="68" t="n">
        <f aca="false">SUMIFS(Project_Forecast!$N$2:$N$393,Project_Forecast!$I$2:$I$393,$G49,Project_Forecast!$L$2:$L$393,"Secured",Project_Forecast!$B$2:$B$393,Controls!$B$30,Project_Forecast!$A$2:$A$393,Controls!$B$7)</f>
        <v>1104561</v>
      </c>
      <c r="J49" s="68" t="n">
        <f aca="false">SUMIFS(Project_Forecast!$AD$2:$AD$393,Project_Forecast!$I$2:$I$393,$G49,Project_Forecast!$B$2:$B$393,Controls!$B$30,Project_Forecast!$A$2:$A$393,Controls!$B$7)</f>
        <v>858348.65</v>
      </c>
      <c r="K49" s="68" t="n">
        <f aca="false">SUMIFS(Project_Forecast!$O$2:$O$393,Project_Forecast!$I$2:$I$393,$G49,Project_Forecast!$B$2:$B$393,Controls!$B$30,Project_Forecast!$A$2:$A$393,Controls!$B$7)</f>
        <v>1008532.8</v>
      </c>
    </row>
    <row r="50" customFormat="false" ht="13.8" hidden="false" customHeight="false" outlineLevel="0" collapsed="false">
      <c r="A50" s="56" t="s">
        <v>343</v>
      </c>
      <c r="B50" s="56" t="s">
        <v>278</v>
      </c>
      <c r="C50" s="56" t="s">
        <v>345</v>
      </c>
      <c r="D50" s="56" t="s">
        <v>374</v>
      </c>
      <c r="E50" s="56" t="s">
        <v>375</v>
      </c>
      <c r="G50" s="67" t="s">
        <v>399</v>
      </c>
      <c r="H50" s="68" t="n">
        <f aca="false">SUMIFS(Project_Forecast!$N$2:$N$393,Project_Forecast!$I$2:$I$393,$G50,Project_Forecast!$B$2:$B$393,Controls!$B$30,Project_Forecast!$A$2:$A$393,Controls!$B$7)</f>
        <v>653719.4365</v>
      </c>
      <c r="I50" s="68" t="n">
        <f aca="false">SUMIFS(Project_Forecast!$N$2:$N$393,Project_Forecast!$I$2:$I$393,$G50,Project_Forecast!$L$2:$L$393,"Secured",Project_Forecast!$B$2:$B$393,Controls!$B$30,Project_Forecast!$A$2:$A$393,Controls!$B$7)</f>
        <v>244444.4365</v>
      </c>
      <c r="J50" s="68" t="n">
        <f aca="false">SUMIFS(Project_Forecast!$AD$2:$AD$393,Project_Forecast!$I$2:$I$393,$G50,Project_Forecast!$B$2:$B$393,Controls!$B$30,Project_Forecast!$A$2:$A$393,Controls!$B$7)</f>
        <v>195555.5492</v>
      </c>
      <c r="K50" s="68" t="n">
        <f aca="false">SUMIFS(Project_Forecast!$O$2:$O$393,Project_Forecast!$I$2:$I$393,$G50,Project_Forecast!$B$2:$B$393,Controls!$B$30,Project_Forecast!$A$2:$A$393,Controls!$B$7)</f>
        <v>122187.25</v>
      </c>
    </row>
    <row r="51" customFormat="false" ht="13.8" hidden="false" customHeight="false" outlineLevel="0" collapsed="false">
      <c r="A51" s="67" t="s">
        <v>353</v>
      </c>
      <c r="B51" s="68" t="n">
        <f aca="false">SUMIFS(Project_Forecast!$N$2:$N$393,Project_Forecast!$G$2:$G$393,$A51,Project_Forecast!$B$2:$B$393,Controls!$B$30,Project_Forecast!$A$2:$A$393,Controls!$B$7)</f>
        <v>10801723.0305</v>
      </c>
      <c r="C51" s="68" t="n">
        <f aca="false">SUMIFS(Project_Forecast!$N$2:$N$393,Project_Forecast!$G$2:$G$393,$A51,Project_Forecast!$L$2:$L$393,"Secured",Project_Forecast!$B$2:$B$393,Controls!$B$30,Project_Forecast!$A$2:$A$393,Controls!$B$7)</f>
        <v>7685465.7305</v>
      </c>
      <c r="D51" s="68" t="n">
        <f aca="false">SUMIFS(Project_Forecast!$AD$2:$AD$393,Project_Forecast!$G$2:$G$393,$A51,Project_Forecast!$B$2:$B$393,Controls!$B$30,Project_Forecast!$A$2:$A$393,Controls!$B$7)</f>
        <v>5416620.21525</v>
      </c>
      <c r="E51" s="68" t="n">
        <f aca="false">SUMIFS(Project_Forecast!$O$2:$O$393,Project_Forecast!$G$2:$G$393,$A51,Project_Forecast!$B$2:$B$393,Controls!$B$30,Project_Forecast!$A$2:$A$393,Controls!$B$7)</f>
        <v>4654338.81</v>
      </c>
      <c r="G51" s="67" t="s">
        <v>400</v>
      </c>
      <c r="H51" s="68" t="n">
        <f aca="false">SUMIFS(Project_Forecast!$N$2:$N$393,Project_Forecast!$I$2:$I$393,$G51,Project_Forecast!$B$2:$B$393,Controls!$B$30,Project_Forecast!$A$2:$A$393,Controls!$B$7)</f>
        <v>1416252</v>
      </c>
      <c r="I51" s="68" t="n">
        <f aca="false">SUMIFS(Project_Forecast!$N$2:$N$393,Project_Forecast!$I$2:$I$393,$G51,Project_Forecast!$L$2:$L$393,"Secured",Project_Forecast!$B$2:$B$393,Controls!$B$30,Project_Forecast!$A$2:$A$393,Controls!$B$7)</f>
        <v>317469</v>
      </c>
      <c r="J51" s="68" t="n">
        <f aca="false">SUMIFS(Project_Forecast!$AD$2:$AD$393,Project_Forecast!$I$2:$I$393,$G51,Project_Forecast!$B$2:$B$393,Controls!$B$30,Project_Forecast!$A$2:$A$393,Controls!$B$7)</f>
        <v>317469</v>
      </c>
      <c r="K51" s="68" t="n">
        <f aca="false">SUMIFS(Project_Forecast!$O$2:$O$393,Project_Forecast!$I$2:$I$393,$G51,Project_Forecast!$B$2:$B$393,Controls!$B$30,Project_Forecast!$A$2:$A$393,Controls!$B$7)</f>
        <v>0</v>
      </c>
    </row>
    <row r="52" customFormat="false" ht="13.8" hidden="false" customHeight="false" outlineLevel="0" collapsed="false">
      <c r="A52" s="67" t="s">
        <v>362</v>
      </c>
      <c r="B52" s="68" t="n">
        <f aca="false">SUMIFS(Project_Forecast!$N$2:$N$393,Project_Forecast!$G$2:$G$393,$A52,Project_Forecast!$B$2:$B$393,Controls!$B$30,Project_Forecast!$A$2:$A$393,Controls!$B$7)</f>
        <v>4744094.4865</v>
      </c>
      <c r="C52" s="68" t="n">
        <f aca="false">SUMIFS(Project_Forecast!$N$2:$N$393,Project_Forecast!$G$2:$G$393,$A52,Project_Forecast!$L$2:$L$393,"Secured",Project_Forecast!$B$2:$B$393,Controls!$B$30,Project_Forecast!$A$2:$A$393,Controls!$B$7)</f>
        <v>4334819.4865</v>
      </c>
      <c r="D52" s="68" t="n">
        <f aca="false">SUMIFS(Project_Forecast!$AD$2:$AD$393,Project_Forecast!$G$2:$G$393,$A52,Project_Forecast!$B$2:$B$393,Controls!$B$30,Project_Forecast!$A$2:$A$393,Controls!$B$7)</f>
        <v>2042580.2892</v>
      </c>
      <c r="E52" s="68" t="n">
        <f aca="false">SUMIFS(Project_Forecast!$O$2:$O$393,Project_Forecast!$G$2:$G$393,$A52,Project_Forecast!$B$2:$B$393,Controls!$B$30,Project_Forecast!$A$2:$A$393,Controls!$B$7)</f>
        <v>2417179.07</v>
      </c>
      <c r="G52" s="67" t="s">
        <v>401</v>
      </c>
      <c r="H52" s="68" t="n">
        <f aca="false">SUMIFS(Project_Forecast!$N$2:$N$393,Project_Forecast!$I$2:$I$393,$G52,Project_Forecast!$B$2:$B$393,Controls!$B$30,Project_Forecast!$A$2:$A$393,Controls!$B$7)</f>
        <v>913245</v>
      </c>
      <c r="I52" s="68" t="n">
        <f aca="false">SUMIFS(Project_Forecast!$N$2:$N$393,Project_Forecast!$I$2:$I$393,$G52,Project_Forecast!$L$2:$L$393,"Secured",Project_Forecast!$B$2:$B$393,Controls!$B$30,Project_Forecast!$A$2:$A$393,Controls!$B$7)</f>
        <v>913245</v>
      </c>
      <c r="J52" s="68" t="n">
        <f aca="false">SUMIFS(Project_Forecast!$AD$2:$AD$393,Project_Forecast!$I$2:$I$393,$G52,Project_Forecast!$B$2:$B$393,Controls!$B$30,Project_Forecast!$A$2:$A$393,Controls!$B$7)</f>
        <v>696184.8</v>
      </c>
      <c r="K52" s="68" t="n">
        <f aca="false">SUMIFS(Project_Forecast!$O$2:$O$393,Project_Forecast!$I$2:$I$393,$G52,Project_Forecast!$B$2:$B$393,Controls!$B$30,Project_Forecast!$A$2:$A$393,Controls!$B$7)</f>
        <v>801822.68</v>
      </c>
    </row>
    <row r="53" customFormat="false" ht="13.8" hidden="false" customHeight="false" outlineLevel="0" collapsed="false">
      <c r="A53" s="14" t="s">
        <v>310</v>
      </c>
      <c r="B53" s="82" t="n">
        <f aca="false">SUM(B51:B52)</f>
        <v>15545817.517</v>
      </c>
      <c r="C53" s="82" t="n">
        <f aca="false">SUM(C51:C52)</f>
        <v>12020285.217</v>
      </c>
      <c r="D53" s="82" t="n">
        <f aca="false">SUM(D51:D52)</f>
        <v>7459200.50445</v>
      </c>
      <c r="E53" s="82" t="n">
        <f aca="false">SUM(E51:E52)</f>
        <v>7071517.88</v>
      </c>
      <c r="G53" s="67" t="s">
        <v>402</v>
      </c>
      <c r="H53" s="68" t="n">
        <f aca="false">SUMIFS(Project_Forecast!$N$2:$N$393,Project_Forecast!$I$2:$I$393,$G53,Project_Forecast!$B$2:$B$393,Controls!$B$30,Project_Forecast!$A$2:$A$393,Controls!$B$7)</f>
        <v>417503.85</v>
      </c>
      <c r="I53" s="68" t="n">
        <f aca="false">SUMIFS(Project_Forecast!$N$2:$N$393,Project_Forecast!$I$2:$I$393,$G53,Project_Forecast!$L$2:$L$393,"Secured",Project_Forecast!$B$2:$B$393,Controls!$B$30,Project_Forecast!$A$2:$A$393,Controls!$B$7)</f>
        <v>417503.85</v>
      </c>
      <c r="J53" s="68" t="n">
        <f aca="false">SUMIFS(Project_Forecast!$AD$2:$AD$393,Project_Forecast!$I$2:$I$393,$G53,Project_Forecast!$B$2:$B$393,Controls!$B$30,Project_Forecast!$A$2:$A$393,Controls!$B$7)</f>
        <v>417503.85</v>
      </c>
      <c r="K53" s="68" t="n">
        <f aca="false">SUMIFS(Project_Forecast!$O$2:$O$393,Project_Forecast!$I$2:$I$393,$G53,Project_Forecast!$B$2:$B$393,Controls!$B$30,Project_Forecast!$A$2:$A$393,Controls!$B$7)</f>
        <v>466927.3</v>
      </c>
    </row>
    <row r="54" customFormat="false" ht="13.8" hidden="false" customHeight="false" outlineLevel="0" collapsed="false">
      <c r="A54" s="14"/>
      <c r="B54" s="82"/>
      <c r="C54" s="82"/>
      <c r="D54" s="82"/>
      <c r="E54" s="82"/>
      <c r="G54" s="67" t="s">
        <v>403</v>
      </c>
      <c r="H54" s="68" t="n">
        <f aca="false">SUMIFS(Project_Forecast!$N$2:$N$393,Project_Forecast!$I$2:$I$393,$G54,Project_Forecast!$B$2:$B$393,Controls!$B$30,Project_Forecast!$A$2:$A$393,Controls!$B$7)</f>
        <v>128400</v>
      </c>
      <c r="I54" s="68" t="n">
        <f aca="false">SUMIFS(Project_Forecast!$N$2:$N$393,Project_Forecast!$I$2:$I$393,$G54,Project_Forecast!$L$2:$L$393,"Secured",Project_Forecast!$B$2:$B$393,Controls!$B$30,Project_Forecast!$A$2:$A$393,Controls!$B$7)</f>
        <v>128400</v>
      </c>
      <c r="J54" s="68" t="n">
        <f aca="false">SUMIFS(Project_Forecast!$AD$2:$AD$393,Project_Forecast!$I$2:$I$393,$G54,Project_Forecast!$B$2:$B$393,Controls!$B$30,Project_Forecast!$A$2:$A$393,Controls!$B$7)</f>
        <v>64200</v>
      </c>
      <c r="K54" s="68" t="n">
        <f aca="false">SUMIFS(Project_Forecast!$O$2:$O$393,Project_Forecast!$I$2:$I$393,$G54,Project_Forecast!$B$2:$B$393,Controls!$B$30,Project_Forecast!$A$2:$A$393,Controls!$B$7)</f>
        <v>0</v>
      </c>
    </row>
    <row r="55" customFormat="false" ht="13.8" hidden="false" customHeight="false" outlineLevel="0" collapsed="false">
      <c r="G55" s="70" t="s">
        <v>394</v>
      </c>
      <c r="H55" s="78" t="n">
        <f aca="false">$E$3-SUM(H38:H54)</f>
        <v>798262.799999999</v>
      </c>
      <c r="I55" s="78" t="n">
        <f aca="false">$H$3-SUM(I38:I54)</f>
        <v>0</v>
      </c>
      <c r="J55" s="78" t="n">
        <f aca="false">$K$3-SUM(J38:J54)</f>
        <v>0</v>
      </c>
      <c r="K55" s="78" t="n">
        <f aca="false">$B$5-SUM(K38:K54)</f>
        <v>-575798.62</v>
      </c>
    </row>
    <row r="56" customFormat="false" ht="13.8" hidden="false" customHeight="false" outlineLevel="0" collapsed="false">
      <c r="G56" s="70" t="s">
        <v>310</v>
      </c>
      <c r="H56" s="78" t="n">
        <f aca="false">SUM(H38:H55)</f>
        <v>15545817.517</v>
      </c>
      <c r="I56" s="78" t="n">
        <f aca="false">SUM(I38:I55)</f>
        <v>12020285.217</v>
      </c>
      <c r="J56" s="78" t="n">
        <f aca="false">SUM(J38:J55)</f>
        <v>7459200.50445</v>
      </c>
      <c r="K56" s="78" t="n">
        <f aca="false">SUM(K38:K55)</f>
        <v>6495719.26</v>
      </c>
    </row>
    <row r="57" customFormat="false" ht="13.8" hidden="false" customHeight="false" outlineLevel="0" collapsed="false"/>
    <row r="58" customFormat="false" ht="13.8" hidden="false" customHeight="false" outlineLevel="0" collapsed="false">
      <c r="E58" s="99" t="s">
        <v>404</v>
      </c>
      <c r="F58" s="92"/>
    </row>
    <row r="59" customFormat="false" ht="13.8" hidden="false" customHeight="false" outlineLevel="0" collapsed="false">
      <c r="E59" s="1" t="s">
        <v>405</v>
      </c>
      <c r="F59" s="94" t="n">
        <f aca="false">SUM(MM_Income!$P$5:$P$204)</f>
        <v>16502774.617</v>
      </c>
    </row>
    <row r="60" customFormat="false" ht="13.8" hidden="false" customHeight="false" outlineLevel="0" collapsed="false">
      <c r="E60" s="1" t="s">
        <v>406</v>
      </c>
      <c r="F60" s="94" t="n">
        <f aca="false">-SUM(MM_Income!$R$5:$R$204)</f>
        <v>-463128.1</v>
      </c>
    </row>
    <row r="61" customFormat="false" ht="13.8" hidden="false" customHeight="false" outlineLevel="0" collapsed="false">
      <c r="E61" s="1" t="s">
        <v>407</v>
      </c>
      <c r="F61" s="94" t="n">
        <f aca="false">-SUM(MM_Income!$Q$5:$Q$204)</f>
        <v>-411225</v>
      </c>
    </row>
    <row r="62" customFormat="false" ht="13.8" hidden="false" customHeight="false" outlineLevel="0" collapsed="false">
      <c r="E62" s="1" t="s">
        <v>408</v>
      </c>
      <c r="F62" s="94" t="n">
        <f aca="false">-SUM(MM_Income!$S$5:$S$204)</f>
        <v>-82604</v>
      </c>
    </row>
    <row r="63" customFormat="false" ht="13.8" hidden="false" customHeight="false" outlineLevel="0" collapsed="false">
      <c r="E63" s="14" t="s">
        <v>409</v>
      </c>
      <c r="F63" s="98" t="n">
        <f aca="false">F59+F60+F61+F62</f>
        <v>15545817.517</v>
      </c>
    </row>
    <row r="64" customFormat="false" ht="13.8" hidden="false" customHeight="false" outlineLevel="0" collapsed="false">
      <c r="E64" s="1" t="s">
        <v>410</v>
      </c>
      <c r="F64" s="94" t="n">
        <f aca="false">-SUMIFS(MM_Income!$T$5:$T$204,MM_Income!$U$5:$U$204,"Pipeline")</f>
        <v>-3525532.3</v>
      </c>
    </row>
    <row r="65" customFormat="false" ht="13.8" hidden="false" customHeight="false" outlineLevel="0" collapsed="false">
      <c r="E65" s="14" t="s">
        <v>411</v>
      </c>
      <c r="F65" s="98" t="n">
        <f aca="false">F63+F64</f>
        <v>12020285.217</v>
      </c>
    </row>
    <row r="66" customFormat="false" ht="13.8" hidden="false" customHeight="false" outlineLevel="0" collapsed="false">
      <c r="E66" s="95" t="s">
        <v>412</v>
      </c>
    </row>
    <row r="67" customFormat="false" ht="13.8" hidden="false" customHeight="false" outlineLevel="0" collapsed="false"/>
    <row r="68" customFormat="false" ht="13.8" hidden="false" customHeight="false" outlineLevel="0" collapsed="false">
      <c r="E68" s="14" t="s">
        <v>413</v>
      </c>
    </row>
    <row r="69" customFormat="false" ht="13.8" hidden="false" customHeight="false" outlineLevel="0" collapsed="false">
      <c r="E69" s="14" t="s">
        <v>103</v>
      </c>
      <c r="F69" s="14" t="s">
        <v>414</v>
      </c>
      <c r="G69" s="14" t="s">
        <v>415</v>
      </c>
      <c r="H69" s="14" t="s">
        <v>375</v>
      </c>
      <c r="I69" s="14" t="s">
        <v>374</v>
      </c>
    </row>
    <row r="70" customFormat="false" ht="13.8" hidden="false" customHeight="false" outlineLevel="0" collapsed="false">
      <c r="E70" s="1" t="str">
        <f aca="false">MM_Income!$AG$5</f>
        <v>Current</v>
      </c>
      <c r="F70" s="100" t="n">
        <f aca="false">SUMIFS(MM_Income!$P$5:$P$204,MM_Income!$E$5:$E$204,$E70)</f>
        <v>9006520.817</v>
      </c>
      <c r="G70" s="100" t="n">
        <f aca="false">SUMIFS(MM_Income!$T$5:$T$204,MM_Income!$E$5:$E$204,$E70)</f>
        <v>8736666.817</v>
      </c>
      <c r="H70" s="100" t="n">
        <f aca="false">SUMIFS(Project_Forecast!$O$2:$O$393,Project_Forecast!$K$2:$K$393,$E70,Project_Forecast!$B$2:$B$393,Controls!$B$30,Project_Forecast!$A$2:$A$393,Controls!$B$7)</f>
        <v>4521467.75</v>
      </c>
      <c r="I70" s="100" t="n">
        <f aca="false">SUMIFS(Project_Forecast!$AD$2:$AD$393,Project_Forecast!$K$2:$K$393,$E70,Project_Forecast!$B$2:$B$393,Controls!$B$30,Project_Forecast!$A$2:$A$393,Controls!$B$7)</f>
        <v>4922816.60445</v>
      </c>
    </row>
    <row r="71" customFormat="false" ht="13.8" hidden="false" customHeight="false" outlineLevel="0" collapsed="false">
      <c r="E71" s="1" t="str">
        <f aca="false">MM_Income!$AG$6</f>
        <v>Completed</v>
      </c>
      <c r="F71" s="100" t="n">
        <f aca="false">SUMIFS(MM_Income!$P$5:$P$204,MM_Income!$E$5:$E$204,$E71)</f>
        <v>3970721.5</v>
      </c>
      <c r="G71" s="100" t="n">
        <f aca="false">SUMIFS(MM_Income!$T$5:$T$204,MM_Income!$E$5:$E$204,$E71)</f>
        <v>3283618.4</v>
      </c>
      <c r="H71" s="100" t="n">
        <f aca="false">SUMIFS(Project_Forecast!$O$2:$O$393,Project_Forecast!$K$2:$K$393,$E71,Project_Forecast!$B$2:$B$393,Controls!$B$30,Project_Forecast!$A$2:$A$393,Controls!$B$7)</f>
        <v>2550050.13</v>
      </c>
      <c r="I71" s="100" t="n">
        <f aca="false">SUMIFS(Project_Forecast!$AD$2:$AD$393,Project_Forecast!$K$2:$K$393,$E71,Project_Forecast!$B$2:$B$393,Controls!$B$30,Project_Forecast!$A$2:$A$393,Controls!$B$7)</f>
        <v>2536383.9</v>
      </c>
    </row>
    <row r="72" customFormat="false" ht="13.8" hidden="false" customHeight="false" outlineLevel="0" collapsed="false">
      <c r="E72" s="1" t="str">
        <f aca="false">MM_Income!$AG$7</f>
        <v>Completed/Legacy</v>
      </c>
      <c r="F72" s="100" t="n">
        <f aca="false">SUMIFS(MM_Income!$P$5:$P$204,MM_Income!$E$5:$E$204,$E72)</f>
        <v>0</v>
      </c>
      <c r="G72" s="100" t="n">
        <f aca="false">SUMIFS(MM_Income!$T$5:$T$204,MM_Income!$E$5:$E$204,$E72)</f>
        <v>0</v>
      </c>
      <c r="H72" s="100" t="n">
        <f aca="false">SUMIFS(Project_Forecast!$O$2:$O$393,Project_Forecast!$K$2:$K$393,$E72,Project_Forecast!$B$2:$B$393,Controls!$B$30,Project_Forecast!$A$2:$A$393,Controls!$B$7)</f>
        <v>0</v>
      </c>
      <c r="I72" s="100" t="n">
        <f aca="false">SUMIFS(Project_Forecast!$AD$2:$AD$393,Project_Forecast!$K$2:$K$393,$E72,Project_Forecast!$B$2:$B$393,Controls!$B$30,Project_Forecast!$A$2:$A$393,Controls!$B$7)</f>
        <v>0</v>
      </c>
    </row>
    <row r="73" customFormat="false" ht="13.8" hidden="false" customHeight="false" outlineLevel="0" collapsed="false">
      <c r="E73" s="1" t="str">
        <f aca="false">MM_Income!$AG$8</f>
        <v>Pipeline</v>
      </c>
      <c r="F73" s="100" t="n">
        <f aca="false">SUMIFS(MM_Income!$P$5:$P$204,MM_Income!$E$5:$E$204,$E73)</f>
        <v>3525532.3</v>
      </c>
      <c r="G73" s="100" t="n">
        <f aca="false">SUMIFS(MM_Income!$T$5:$T$204,MM_Income!$E$5:$E$204,$E73)</f>
        <v>3525532.3</v>
      </c>
      <c r="H73" s="100" t="n">
        <f aca="false">SUMIFS(Project_Forecast!$O$2:$O$393,Project_Forecast!$K$2:$K$393,$E73,Project_Forecast!$B$2:$B$393,Controls!$B$30,Project_Forecast!$A$2:$A$393,Controls!$B$7)</f>
        <v>0</v>
      </c>
      <c r="I73" s="100" t="n">
        <f aca="false">SUMIFS(Project_Forecast!$AD$2:$AD$393,Project_Forecast!$K$2:$K$393,$E73,Project_Forecast!$B$2:$B$393,Controls!$B$30,Project_Forecast!$A$2:$A$393,Controls!$B$7)</f>
        <v>0</v>
      </c>
    </row>
    <row r="74" customFormat="false" ht="13.8" hidden="false" customHeight="false" outlineLevel="0" collapsed="false">
      <c r="E74" s="1" t="str">
        <f aca="false">MM_Income!$AG$9</f>
        <v>On Hold</v>
      </c>
      <c r="F74" s="100" t="n">
        <f aca="false">SUMIFS(MM_Income!$P$5:$P$204,MM_Income!$E$5:$E$204,$E74)</f>
        <v>0</v>
      </c>
      <c r="G74" s="100" t="n">
        <f aca="false">SUMIFS(MM_Income!$T$5:$T$204,MM_Income!$E$5:$E$204,$E74)</f>
        <v>0</v>
      </c>
      <c r="H74" s="100" t="n">
        <f aca="false">SUMIFS(Project_Forecast!$O$2:$O$393,Project_Forecast!$K$2:$K$393,$E74,Project_Forecast!$B$2:$B$393,Controls!$B$30,Project_Forecast!$A$2:$A$393,Controls!$B$7)</f>
        <v>0</v>
      </c>
      <c r="I74" s="100" t="n">
        <f aca="false">SUMIFS(Project_Forecast!$AD$2:$AD$393,Project_Forecast!$K$2:$K$393,$E74,Project_Forecast!$B$2:$B$393,Controls!$B$30,Project_Forecast!$A$2:$A$393,Controls!$B$7)</f>
        <v>0</v>
      </c>
    </row>
    <row r="75" customFormat="false" ht="13.8" hidden="false" customHeight="false" outlineLevel="0" collapsed="false">
      <c r="E75" s="14" t="s">
        <v>310</v>
      </c>
      <c r="F75" s="101" t="n">
        <f aca="false">SUM(F70:F74)</f>
        <v>16502774.617</v>
      </c>
      <c r="G75" s="101" t="n">
        <f aca="false">SUM(G70:G74)</f>
        <v>15545817.517</v>
      </c>
      <c r="H75" s="101" t="n">
        <f aca="false">SUM(H70:H74)</f>
        <v>7071517.88</v>
      </c>
      <c r="I75" s="101" t="n">
        <f aca="false">SUM(I70:I74)</f>
        <v>7459200.50445</v>
      </c>
    </row>
    <row r="76" customFormat="false" ht="13.8" hidden="false" customHeight="false" outlineLevel="0" collapsed="false">
      <c r="E76" s="102" t="s">
        <v>416</v>
      </c>
    </row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2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K5" activeCellId="0" sqref="K5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6" min="4" style="1" width="13"/>
    <col collapsed="false" customWidth="true" hidden="false" outlineLevel="0" max="7" min="7" style="1" width="10"/>
    <col collapsed="false" customWidth="true" hidden="false" outlineLevel="0" max="10" min="8" style="1" width="13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75" t="str">
        <f aca="false">"Fixed Costs versus Spend — "&amp;Controls!$B$8</f>
        <v>Fixed Costs versus Spend — PC Ghana</v>
      </c>
    </row>
    <row r="2" customFormat="false" ht="13.5" hidden="false" customHeight="false" outlineLevel="0" collapsed="false">
      <c r="A2" s="3" t="str">
        <f aca="false">"Year-to-date through "&amp;TEXT(Controls!$B$4,"dd-mmm-yyyy")&amp;" | Budget vs actual by cost category, incl. PIGH cost share"</f>
        <v>Year-to-date through 30-Jun-2026 | Budget vs actual by cost category, incl. PIGH cost share</v>
      </c>
    </row>
    <row r="3" customFormat="false" ht="15" hidden="false" customHeight="true" outlineLevel="0" collapsed="false">
      <c r="A3" s="86" t="s">
        <v>417</v>
      </c>
      <c r="B3" s="87" t="n">
        <f aca="false">SUM(FC_Budget_Vrs_Actual!$E$6:$E$79)</f>
        <v>13774371.53</v>
      </c>
      <c r="D3" s="86" t="s">
        <v>418</v>
      </c>
      <c r="E3" s="87" t="n">
        <f aca="false">SUM(FC_Budget_Vrs_Actual!$F$6:$F$79)</f>
        <v>6887185.765</v>
      </c>
      <c r="G3" s="86" t="s">
        <v>419</v>
      </c>
      <c r="H3" s="87" t="n">
        <f aca="false">SUM(FC_Budget_Vrs_Actual!$S$6:$S$79)</f>
        <v>5801713.57</v>
      </c>
      <c r="J3" s="86" t="s">
        <v>420</v>
      </c>
      <c r="K3" s="87" t="n">
        <f aca="false">E3-H3</f>
        <v>1085472.195</v>
      </c>
    </row>
    <row r="5" customFormat="false" ht="15" hidden="false" customHeight="true" outlineLevel="0" collapsed="false">
      <c r="A5" s="86" t="s">
        <v>421</v>
      </c>
      <c r="B5" s="89" t="n">
        <f aca="false">IFERROR(H3/E3,0)</f>
        <v>0.842392490628573</v>
      </c>
      <c r="D5" s="86" t="s">
        <v>422</v>
      </c>
      <c r="E5" s="87" t="n">
        <f aca="false">SUM(FC_Budget_Vrs_Actual!$V$6:$V$79)</f>
        <v>272202.16</v>
      </c>
      <c r="G5" s="86" t="s">
        <v>423</v>
      </c>
      <c r="H5" s="89" t="n">
        <f aca="false">IFERROR(H3/B3,0)</f>
        <v>0.421196245314286</v>
      </c>
      <c r="J5" s="86" t="s">
        <v>424</v>
      </c>
      <c r="K5" s="88" t="n">
        <f aca="false">COUNTIF(K12:K22,"REVIEW")</f>
        <v>11</v>
      </c>
    </row>
    <row r="9" customFormat="false" ht="13.5" hidden="false" customHeight="false" outlineLevel="0" collapsed="false">
      <c r="A9" s="96" t="s">
        <v>425</v>
      </c>
    </row>
    <row r="11" customFormat="false" ht="24.75" hidden="false" customHeight="true" outlineLevel="0" collapsed="false">
      <c r="A11" s="56" t="s">
        <v>426</v>
      </c>
      <c r="B11" s="56" t="s">
        <v>427</v>
      </c>
      <c r="C11" s="56" t="s">
        <v>277</v>
      </c>
      <c r="D11" s="56" t="s">
        <v>428</v>
      </c>
      <c r="E11" s="56" t="s">
        <v>429</v>
      </c>
      <c r="F11" s="56" t="s">
        <v>430</v>
      </c>
      <c r="G11" s="56" t="s">
        <v>431</v>
      </c>
      <c r="H11" s="56" t="s">
        <v>432</v>
      </c>
      <c r="I11" s="56" t="s">
        <v>433</v>
      </c>
      <c r="J11" s="56" t="s">
        <v>434</v>
      </c>
      <c r="K11" s="56" t="s">
        <v>103</v>
      </c>
    </row>
    <row r="12" customFormat="false" ht="13.5" hidden="false" customHeight="false" outlineLevel="0" collapsed="false">
      <c r="A12" s="67" t="s">
        <v>435</v>
      </c>
      <c r="B12" s="67" t="str">
        <f aca="false">IFERROR(VLOOKUP($A12,Master_Mappings!$C$4:$D$85,2,FALSE()),"Other Fixed Costs")</f>
        <v>Direct Technical Costs</v>
      </c>
      <c r="C12" s="68" t="n">
        <f aca="false">SUMIFS(FC_Budget_Vrs_Actual!$E$6:$E$79,FC_Budget_Vrs_Actual!$C$6:$C$79,$A12)</f>
        <v>7230077.7</v>
      </c>
      <c r="D12" s="68" t="n">
        <f aca="false">SUMIFS(FC_Budget_Vrs_Actual!$F$6:$F$79,FC_Budget_Vrs_Actual!$C$6:$C$79,$A12)</f>
        <v>3615038.85</v>
      </c>
      <c r="E12" s="68" t="n">
        <f aca="false">SUMIFS(FC_Budget_Vrs_Actual!$S$6:$S$79,FC_Budget_Vrs_Actual!$C$6:$C$79,$A12)</f>
        <v>3229268.55</v>
      </c>
      <c r="F12" s="68" t="n">
        <f aca="false">D12-E12</f>
        <v>385770.299999999</v>
      </c>
      <c r="G12" s="77" t="n">
        <f aca="false">IFERROR(F12/D12,0)</f>
        <v>0.10671262910494</v>
      </c>
      <c r="H12" s="77" t="n">
        <f aca="false">IFERROR(E12/D12,0)</f>
        <v>0.89328737089506</v>
      </c>
      <c r="I12" s="68" t="n">
        <f aca="false">SUMIFS(FC_Budget_Vrs_Actual!$V$6:$V$79,FC_Budget_Vrs_Actual!$C$6:$C$79,$A12)</f>
        <v>0</v>
      </c>
      <c r="J12" s="68" t="n">
        <f aca="false">E12-I12</f>
        <v>3229268.55</v>
      </c>
      <c r="K12" s="67" t="str">
        <f aca="false">IF(OR(ABS(F12)&gt;=Controls!$B$12,ABS(G12)&gt;=Controls!$B$13),"REVIEW","OK")</f>
        <v>REVIEW</v>
      </c>
    </row>
    <row r="13" customFormat="false" ht="13.5" hidden="false" customHeight="false" outlineLevel="0" collapsed="false">
      <c r="A13" s="67" t="s">
        <v>436</v>
      </c>
      <c r="B13" s="67" t="str">
        <f aca="false">IFERROR(VLOOKUP($A13,Master_Mappings!$C$4:$D$85,2,FALSE()),"Other Fixed Costs")</f>
        <v>Direct FinOps Costs</v>
      </c>
      <c r="C13" s="68" t="n">
        <f aca="false">SUMIFS(FC_Budget_Vrs_Actual!$E$6:$E$79,FC_Budget_Vrs_Actual!$C$6:$C$79,$A13)</f>
        <v>2322680</v>
      </c>
      <c r="D13" s="68" t="n">
        <f aca="false">SUMIFS(FC_Budget_Vrs_Actual!$F$6:$F$79,FC_Budget_Vrs_Actual!$C$6:$C$79,$A13)</f>
        <v>1161340</v>
      </c>
      <c r="E13" s="68" t="n">
        <f aca="false">SUMIFS(FC_Budget_Vrs_Actual!$S$6:$S$79,FC_Budget_Vrs_Actual!$C$6:$C$79,$A13)</f>
        <v>1287623.65</v>
      </c>
      <c r="F13" s="68" t="n">
        <f aca="false">D13-E13</f>
        <v>-126283.65</v>
      </c>
      <c r="G13" s="77" t="n">
        <f aca="false">IFERROR(F13/D13,0)</f>
        <v>-0.108739602528114</v>
      </c>
      <c r="H13" s="77" t="n">
        <f aca="false">IFERROR(E13/D13,0)</f>
        <v>1.10873960252811</v>
      </c>
      <c r="I13" s="68" t="n">
        <f aca="false">SUMIFS(FC_Budget_Vrs_Actual!$V$6:$V$79,FC_Budget_Vrs_Actual!$C$6:$C$79,$A13)</f>
        <v>0</v>
      </c>
      <c r="J13" s="68" t="n">
        <f aca="false">E13-I13</f>
        <v>1287623.65</v>
      </c>
      <c r="K13" s="67" t="str">
        <f aca="false">IF(OR(ABS(F13)&gt;=Controls!$B$12,ABS(G13)&gt;=Controls!$B$13),"REVIEW","OK")</f>
        <v>REVIEW</v>
      </c>
    </row>
    <row r="14" customFormat="false" ht="13.5" hidden="false" customHeight="false" outlineLevel="0" collapsed="false">
      <c r="A14" s="67" t="s">
        <v>437</v>
      </c>
      <c r="B14" s="67" t="str">
        <f aca="false">IFERROR(VLOOKUP($A14,Master_Mappings!$C$4:$D$85,2,FALSE()),"Other Fixed Costs")</f>
        <v>Other Fixed Costs</v>
      </c>
      <c r="C14" s="68" t="n">
        <f aca="false">SUMIFS(FC_Budget_Vrs_Actual!$E$6:$E$79,FC_Budget_Vrs_Actual!$C$6:$C$79,$A14)</f>
        <v>321500</v>
      </c>
      <c r="D14" s="68" t="n">
        <f aca="false">SUMIFS(FC_Budget_Vrs_Actual!$F$6:$F$79,FC_Budget_Vrs_Actual!$C$6:$C$79,$A14)</f>
        <v>160750</v>
      </c>
      <c r="E14" s="68" t="n">
        <f aca="false">SUMIFS(FC_Budget_Vrs_Actual!$S$6:$S$79,FC_Budget_Vrs_Actual!$C$6:$C$79,$A14)</f>
        <v>89499.71</v>
      </c>
      <c r="F14" s="68" t="n">
        <f aca="false">D14-E14</f>
        <v>71250.29</v>
      </c>
      <c r="G14" s="77" t="n">
        <f aca="false">IFERROR(F14/D14,0)</f>
        <v>0.443236640746501</v>
      </c>
      <c r="H14" s="77" t="n">
        <f aca="false">IFERROR(E14/D14,0)</f>
        <v>0.556763359253499</v>
      </c>
      <c r="I14" s="68" t="n">
        <f aca="false">SUMIFS(FC_Budget_Vrs_Actual!$V$6:$V$79,FC_Budget_Vrs_Actual!$C$6:$C$79,$A14)</f>
        <v>22279.9275</v>
      </c>
      <c r="J14" s="68" t="n">
        <f aca="false">E14-I14</f>
        <v>67219.7825</v>
      </c>
      <c r="K14" s="67" t="str">
        <f aca="false">IF(OR(ABS(F14)&gt;=Controls!$B$12,ABS(G14)&gt;=Controls!$B$13),"REVIEW","OK")</f>
        <v>REVIEW</v>
      </c>
    </row>
    <row r="15" customFormat="false" ht="13.5" hidden="false" customHeight="false" outlineLevel="0" collapsed="false">
      <c r="A15" s="67" t="s">
        <v>438</v>
      </c>
      <c r="B15" s="67" t="str">
        <f aca="false">IFERROR(VLOOKUP($A15,Master_Mappings!$C$4:$D$85,2,FALSE()),"Other Fixed Costs")</f>
        <v>Other Fixed Costs</v>
      </c>
      <c r="C15" s="68" t="n">
        <f aca="false">SUMIFS(FC_Budget_Vrs_Actual!$E$6:$E$79,FC_Budget_Vrs_Actual!$C$6:$C$79,$A15)</f>
        <v>1217997.01</v>
      </c>
      <c r="D15" s="68" t="n">
        <f aca="false">SUMIFS(FC_Budget_Vrs_Actual!$F$6:$F$79,FC_Budget_Vrs_Actual!$C$6:$C$79,$A15)</f>
        <v>608998.505</v>
      </c>
      <c r="E15" s="68" t="n">
        <f aca="false">SUMIFS(FC_Budget_Vrs_Actual!$S$6:$S$79,FC_Budget_Vrs_Actual!$C$6:$C$79,$A15)</f>
        <v>201138.6</v>
      </c>
      <c r="F15" s="68" t="n">
        <f aca="false">D15-E15</f>
        <v>407859.905</v>
      </c>
      <c r="G15" s="77" t="n">
        <f aca="false">IFERROR(F15/D15,0)</f>
        <v>0.66972234192923</v>
      </c>
      <c r="H15" s="77" t="n">
        <f aca="false">IFERROR(E15/D15,0)</f>
        <v>0.33027765807077</v>
      </c>
      <c r="I15" s="68" t="n">
        <f aca="false">SUMIFS(FC_Budget_Vrs_Actual!$V$6:$V$79,FC_Budget_Vrs_Actual!$C$6:$C$79,$A15)</f>
        <v>0</v>
      </c>
      <c r="J15" s="68" t="n">
        <f aca="false">E15-I15</f>
        <v>201138.6</v>
      </c>
      <c r="K15" s="67" t="str">
        <f aca="false">IF(OR(ABS(F15)&gt;=Controls!$B$12,ABS(G15)&gt;=Controls!$B$13),"REVIEW","OK")</f>
        <v>REVIEW</v>
      </c>
    </row>
    <row r="16" customFormat="false" ht="13.5" hidden="false" customHeight="false" outlineLevel="0" collapsed="false">
      <c r="A16" s="67" t="s">
        <v>439</v>
      </c>
      <c r="B16" s="67" t="str">
        <f aca="false">IFERROR(VLOOKUP($A16,Master_Mappings!$C$4:$D$85,2,FALSE()),"Other Fixed Costs")</f>
        <v>Other Fixed Costs</v>
      </c>
      <c r="C16" s="68" t="n">
        <f aca="false">SUMIFS(FC_Budget_Vrs_Actual!$E$6:$E$79,FC_Budget_Vrs_Actual!$C$6:$C$79,$A16)</f>
        <v>247369.45</v>
      </c>
      <c r="D16" s="68" t="n">
        <f aca="false">SUMIFS(FC_Budget_Vrs_Actual!$F$6:$F$79,FC_Budget_Vrs_Actual!$C$6:$C$79,$A16)</f>
        <v>123684.725</v>
      </c>
      <c r="E16" s="68" t="n">
        <f aca="false">SUMIFS(FC_Budget_Vrs_Actual!$S$6:$S$79,FC_Budget_Vrs_Actual!$C$6:$C$79,$A16)</f>
        <v>99295.87</v>
      </c>
      <c r="F16" s="68" t="n">
        <f aca="false">D16-E16</f>
        <v>24388.855</v>
      </c>
      <c r="G16" s="77" t="n">
        <f aca="false">IFERROR(F16/D16,0)</f>
        <v>0.197185667025577</v>
      </c>
      <c r="H16" s="77" t="n">
        <f aca="false">IFERROR(E16/D16,0)</f>
        <v>0.802814332974423</v>
      </c>
      <c r="I16" s="68" t="n">
        <f aca="false">SUMIFS(FC_Budget_Vrs_Actual!$V$6:$V$79,FC_Budget_Vrs_Actual!$C$6:$C$79,$A16)</f>
        <v>24823.9675</v>
      </c>
      <c r="J16" s="68" t="n">
        <f aca="false">E16-I16</f>
        <v>74471.9025</v>
      </c>
      <c r="K16" s="67" t="str">
        <f aca="false">IF(OR(ABS(F16)&gt;=Controls!$B$12,ABS(G16)&gt;=Controls!$B$13),"REVIEW","OK")</f>
        <v>REVIEW</v>
      </c>
    </row>
    <row r="17" customFormat="false" ht="13.5" hidden="false" customHeight="false" outlineLevel="0" collapsed="false">
      <c r="A17" s="67" t="s">
        <v>440</v>
      </c>
      <c r="B17" s="67" t="str">
        <f aca="false">IFERROR(VLOOKUP($A17,Master_Mappings!$C$4:$D$85,2,FALSE()),"Other Fixed Costs")</f>
        <v>Other Fixed Costs</v>
      </c>
      <c r="C17" s="68" t="n">
        <f aca="false">SUMIFS(FC_Budget_Vrs_Actual!$E$6:$E$79,FC_Budget_Vrs_Actual!$C$6:$C$79,$A17)</f>
        <v>439040</v>
      </c>
      <c r="D17" s="68" t="n">
        <f aca="false">SUMIFS(FC_Budget_Vrs_Actual!$F$6:$F$79,FC_Budget_Vrs_Actual!$C$6:$C$79,$A17)</f>
        <v>219520</v>
      </c>
      <c r="E17" s="68" t="n">
        <f aca="false">SUMIFS(FC_Budget_Vrs_Actual!$S$6:$S$79,FC_Budget_Vrs_Actual!$C$6:$C$79,$A17)</f>
        <v>33622.84</v>
      </c>
      <c r="F17" s="68" t="n">
        <f aca="false">D17-E17</f>
        <v>185897.16</v>
      </c>
      <c r="G17" s="77" t="n">
        <f aca="false">IFERROR(F17/D17,0)</f>
        <v>0.8468347303207</v>
      </c>
      <c r="H17" s="77" t="n">
        <f aca="false">IFERROR(E17/D17,0)</f>
        <v>0.1531652696793</v>
      </c>
      <c r="I17" s="68" t="n">
        <f aca="false">SUMIFS(FC_Budget_Vrs_Actual!$V$6:$V$79,FC_Budget_Vrs_Actual!$C$6:$C$79,$A17)</f>
        <v>0</v>
      </c>
      <c r="J17" s="68" t="n">
        <f aca="false">E17-I17</f>
        <v>33622.84</v>
      </c>
      <c r="K17" s="67" t="str">
        <f aca="false">IF(OR(ABS(F17)&gt;=Controls!$B$12,ABS(G17)&gt;=Controls!$B$13),"REVIEW","OK")</f>
        <v>REVIEW</v>
      </c>
    </row>
    <row r="18" customFormat="false" ht="13.5" hidden="false" customHeight="false" outlineLevel="0" collapsed="false">
      <c r="A18" s="67" t="s">
        <v>441</v>
      </c>
      <c r="B18" s="67" t="str">
        <f aca="false">IFERROR(VLOOKUP($A18,Master_Mappings!$C$4:$D$85,2,FALSE()),"Other Fixed Costs")</f>
        <v>Other Fixed Costs</v>
      </c>
      <c r="C18" s="68" t="n">
        <f aca="false">SUMIFS(FC_Budget_Vrs_Actual!$E$6:$E$79,FC_Budget_Vrs_Actual!$C$6:$C$79,$A18)</f>
        <v>1028561.74</v>
      </c>
      <c r="D18" s="68" t="n">
        <f aca="false">SUMIFS(FC_Budget_Vrs_Actual!$F$6:$F$79,FC_Budget_Vrs_Actual!$C$6:$C$79,$A18)</f>
        <v>514280.87</v>
      </c>
      <c r="E18" s="68" t="n">
        <f aca="false">SUMIFS(FC_Budget_Vrs_Actual!$S$6:$S$79,FC_Budget_Vrs_Actual!$C$6:$C$79,$A18)</f>
        <v>684241.87</v>
      </c>
      <c r="F18" s="68" t="n">
        <f aca="false">D18-E18</f>
        <v>-169961</v>
      </c>
      <c r="G18" s="77" t="n">
        <f aca="false">IFERROR(F18/D18,0)</f>
        <v>-0.330482835186928</v>
      </c>
      <c r="H18" s="77" t="n">
        <f aca="false">IFERROR(E18/D18,0)</f>
        <v>1.33048283518693</v>
      </c>
      <c r="I18" s="68" t="n">
        <f aca="false">SUMIFS(FC_Budget_Vrs_Actual!$V$6:$V$79,FC_Budget_Vrs_Actual!$C$6:$C$79,$A18)</f>
        <v>162868.01</v>
      </c>
      <c r="J18" s="68" t="n">
        <f aca="false">E18-I18</f>
        <v>521373.86</v>
      </c>
      <c r="K18" s="67" t="str">
        <f aca="false">IF(OR(ABS(F18)&gt;=Controls!$B$12,ABS(G18)&gt;=Controls!$B$13),"REVIEW","OK")</f>
        <v>REVIEW</v>
      </c>
    </row>
    <row r="19" customFormat="false" ht="13.5" hidden="false" customHeight="false" outlineLevel="0" collapsed="false">
      <c r="A19" s="67" t="s">
        <v>442</v>
      </c>
      <c r="B19" s="67" t="str">
        <f aca="false">IFERROR(VLOOKUP($A19,Master_Mappings!$C$4:$D$85,2,FALSE()),"Other Fixed Costs")</f>
        <v>Other Fixed Costs</v>
      </c>
      <c r="C19" s="68" t="n">
        <f aca="false">SUMIFS(FC_Budget_Vrs_Actual!$E$6:$E$79,FC_Budget_Vrs_Actual!$C$6:$C$79,$A19)</f>
        <v>423770.5</v>
      </c>
      <c r="D19" s="68" t="n">
        <f aca="false">SUMIFS(FC_Budget_Vrs_Actual!$F$6:$F$79,FC_Budget_Vrs_Actual!$C$6:$C$79,$A19)</f>
        <v>211885.25</v>
      </c>
      <c r="E19" s="68" t="n">
        <f aca="false">SUMIFS(FC_Budget_Vrs_Actual!$S$6:$S$79,FC_Budget_Vrs_Actual!$C$6:$C$79,$A19)</f>
        <v>71930.54</v>
      </c>
      <c r="F19" s="68" t="n">
        <f aca="false">D19-E19</f>
        <v>139954.71</v>
      </c>
      <c r="G19" s="77" t="n">
        <f aca="false">IFERROR(F19/D19,0)</f>
        <v>0.660521249119512</v>
      </c>
      <c r="H19" s="77" t="n">
        <f aca="false">IFERROR(E19/D19,0)</f>
        <v>0.339478750880488</v>
      </c>
      <c r="I19" s="68" t="n">
        <f aca="false">SUMIFS(FC_Budget_Vrs_Actual!$V$6:$V$79,FC_Budget_Vrs_Actual!$C$6:$C$79,$A19)</f>
        <v>13558.0875</v>
      </c>
      <c r="J19" s="68" t="n">
        <f aca="false">E19-I19</f>
        <v>58372.4525</v>
      </c>
      <c r="K19" s="67" t="str">
        <f aca="false">IF(OR(ABS(F19)&gt;=Controls!$B$12,ABS(G19)&gt;=Controls!$B$13),"REVIEW","OK")</f>
        <v>REVIEW</v>
      </c>
    </row>
    <row r="20" customFormat="false" ht="13.5" hidden="false" customHeight="false" outlineLevel="0" collapsed="false">
      <c r="A20" s="67" t="s">
        <v>443</v>
      </c>
      <c r="B20" s="67" t="str">
        <f aca="false">IFERROR(VLOOKUP($A20,Master_Mappings!$C$4:$D$85,2,FALSE()),"Other Fixed Costs")</f>
        <v>Other Fixed Costs</v>
      </c>
      <c r="C20" s="68" t="n">
        <f aca="false">SUMIFS(FC_Budget_Vrs_Actual!$E$6:$E$79,FC_Budget_Vrs_Actual!$C$6:$C$79,$A20)</f>
        <v>498375.13</v>
      </c>
      <c r="D20" s="68" t="n">
        <f aca="false">SUMIFS(FC_Budget_Vrs_Actual!$F$6:$F$79,FC_Budget_Vrs_Actual!$C$6:$C$79,$A20)</f>
        <v>249187.565</v>
      </c>
      <c r="E20" s="68" t="n">
        <f aca="false">SUMIFS(FC_Budget_Vrs_Actual!$S$6:$S$79,FC_Budget_Vrs_Actual!$C$6:$C$79,$A20)</f>
        <v>194888.67</v>
      </c>
      <c r="F20" s="68" t="n">
        <f aca="false">D20-E20</f>
        <v>54298.895</v>
      </c>
      <c r="G20" s="77" t="n">
        <f aca="false">IFERROR(F20/D20,0)</f>
        <v>0.217903710403848</v>
      </c>
      <c r="H20" s="77" t="n">
        <f aca="false">IFERROR(E20/D20,0)</f>
        <v>0.782096289596152</v>
      </c>
      <c r="I20" s="68" t="n">
        <f aca="false">SUMIFS(FC_Budget_Vrs_Actual!$V$6:$V$79,FC_Budget_Vrs_Actual!$C$6:$C$79,$A20)</f>
        <v>48672.1675</v>
      </c>
      <c r="J20" s="68" t="n">
        <f aca="false">E20-I20</f>
        <v>146216.5025</v>
      </c>
      <c r="K20" s="67" t="str">
        <f aca="false">IF(OR(ABS(F20)&gt;=Controls!$B$12,ABS(G20)&gt;=Controls!$B$13),"REVIEW","OK")</f>
        <v>REVIEW</v>
      </c>
    </row>
    <row r="21" customFormat="false" ht="13.5" hidden="false" customHeight="false" outlineLevel="0" collapsed="false">
      <c r="A21" s="67" t="s">
        <v>444</v>
      </c>
      <c r="B21" s="67" t="str">
        <f aca="false">IFERROR(VLOOKUP($A21,Master_Mappings!$C$4:$D$85,2,FALSE()),"Other Fixed Costs")</f>
        <v>Other Fixed Costs</v>
      </c>
      <c r="C21" s="68" t="n">
        <f aca="false">SUMIFS(FC_Budget_Vrs_Actual!$E$6:$E$79,FC_Budget_Vrs_Actual!$C$6:$C$79,$A21)</f>
        <v>45000</v>
      </c>
      <c r="D21" s="68" t="n">
        <f aca="false">SUMIFS(FC_Budget_Vrs_Actual!$F$6:$F$79,FC_Budget_Vrs_Actual!$C$6:$C$79,$A21)</f>
        <v>22500</v>
      </c>
      <c r="E21" s="68" t="n">
        <f aca="false">SUMIFS(FC_Budget_Vrs_Actual!$S$6:$S$79,FC_Budget_Vrs_Actual!$C$6:$C$79,$A21)</f>
        <v>26331.8</v>
      </c>
      <c r="F21" s="68" t="n">
        <f aca="false">D21-E21</f>
        <v>-3831.8</v>
      </c>
      <c r="G21" s="77" t="n">
        <f aca="false">IFERROR(F21/D21,0)</f>
        <v>-0.170302222222222</v>
      </c>
      <c r="H21" s="77" t="n">
        <f aca="false">IFERROR(E21/D21,0)</f>
        <v>1.17030222222222</v>
      </c>
      <c r="I21" s="68" t="n">
        <f aca="false">SUMIFS(FC_Budget_Vrs_Actual!$V$6:$V$79,FC_Budget_Vrs_Actual!$C$6:$C$79,$A21)</f>
        <v>0</v>
      </c>
      <c r="J21" s="68" t="n">
        <f aca="false">E21-I21</f>
        <v>26331.8</v>
      </c>
      <c r="K21" s="67" t="str">
        <f aca="false">IF(OR(ABS(F21)&gt;=Controls!$B$12,ABS(G21)&gt;=Controls!$B$13),"REVIEW","OK")</f>
        <v>REVIEW</v>
      </c>
    </row>
    <row r="22" customFormat="false" ht="13.5" hidden="false" customHeight="false" outlineLevel="0" collapsed="false">
      <c r="A22" s="67" t="s">
        <v>445</v>
      </c>
      <c r="B22" s="67" t="str">
        <f aca="false">IFERROR(VLOOKUP($A22,Master_Mappings!$C$4:$D$85,2,FALSE()),"Other Fixed Costs")</f>
        <v>Other Fixed Costs</v>
      </c>
      <c r="C22" s="68" t="n">
        <f aca="false">SUMIFS(FC_Budget_Vrs_Actual!$E$6:$E$79,FC_Budget_Vrs_Actual!$C$6:$C$79,$A22)</f>
        <v>0</v>
      </c>
      <c r="D22" s="68" t="n">
        <f aca="false">SUMIFS(FC_Budget_Vrs_Actual!$F$6:$F$79,FC_Budget_Vrs_Actual!$C$6:$C$79,$A22)</f>
        <v>0</v>
      </c>
      <c r="E22" s="68" t="n">
        <f aca="false">SUMIFS(FC_Budget_Vrs_Actual!$S$6:$S$79,FC_Budget_Vrs_Actual!$C$6:$C$79,$A22)</f>
        <v>-116128.53</v>
      </c>
      <c r="F22" s="68" t="n">
        <f aca="false">D22-E22</f>
        <v>116128.53</v>
      </c>
      <c r="G22" s="77" t="n">
        <f aca="false">IFERROR(F22/D22,0)</f>
        <v>0</v>
      </c>
      <c r="H22" s="77" t="n">
        <f aca="false">IFERROR(E22/D22,0)</f>
        <v>0</v>
      </c>
      <c r="I22" s="68" t="n">
        <f aca="false">SUMIFS(FC_Budget_Vrs_Actual!$V$6:$V$79,FC_Budget_Vrs_Actual!$C$6:$C$79,$A22)</f>
        <v>0</v>
      </c>
      <c r="J22" s="68" t="n">
        <f aca="false">E22-I22</f>
        <v>-116128.53</v>
      </c>
      <c r="K22" s="67" t="str">
        <f aca="false">IF(OR(ABS(F22)&gt;=Controls!$B$12,ABS(G22)&gt;=Controls!$B$13),"REVIEW","OK")</f>
        <v>REVIEW</v>
      </c>
    </row>
    <row r="23" customFormat="false" ht="13.5" hidden="false" customHeight="false" outlineLevel="0" collapsed="false">
      <c r="A23" s="14" t="s">
        <v>310</v>
      </c>
      <c r="C23" s="81" t="n">
        <f aca="false">SUM(C12:C22)</f>
        <v>13774371.53</v>
      </c>
      <c r="D23" s="81" t="n">
        <f aca="false">SUM(D12:D22)</f>
        <v>6887185.765</v>
      </c>
      <c r="E23" s="81" t="n">
        <f aca="false">SUM(E12:E22)</f>
        <v>5801713.57</v>
      </c>
      <c r="F23" s="81" t="n">
        <f aca="false">SUM(F12:F22)</f>
        <v>1085472.195</v>
      </c>
      <c r="G23" s="103" t="n">
        <f aca="false">IFERROR(F23/D23,0)</f>
        <v>0.157607509371427</v>
      </c>
      <c r="H23" s="103" t="n">
        <f aca="false">IFERROR(E23/D23,0)</f>
        <v>0.842392490628573</v>
      </c>
      <c r="I23" s="81" t="n">
        <f aca="false">SUM(I12:I22)</f>
        <v>272202.16</v>
      </c>
      <c r="J23" s="81" t="n">
        <f aca="false">SUM(J12:J22)</f>
        <v>5529511.41</v>
      </c>
    </row>
    <row r="26" customFormat="false" ht="13.5" hidden="false" customHeight="false" outlineLevel="0" collapsed="false">
      <c r="A26" s="96" t="s">
        <v>446</v>
      </c>
    </row>
    <row r="27" customFormat="false" ht="24.75" hidden="false" customHeight="true" outlineLevel="0" collapsed="false">
      <c r="A27" s="56" t="s">
        <v>447</v>
      </c>
      <c r="B27" s="56" t="s">
        <v>277</v>
      </c>
      <c r="C27" s="56" t="s">
        <v>428</v>
      </c>
      <c r="D27" s="56" t="s">
        <v>429</v>
      </c>
      <c r="E27" s="56" t="s">
        <v>432</v>
      </c>
    </row>
    <row r="28" customFormat="false" ht="13.8" hidden="false" customHeight="false" outlineLevel="0" collapsed="false">
      <c r="A28" s="67" t="s">
        <v>448</v>
      </c>
      <c r="B28" s="68" t="n">
        <f aca="false">SUMIFS(FC_Budget_Vrs_Actual!$E$6:$E$79,FC_Budget_Vrs_Actual!$D$6:$D$79,$A28)</f>
        <v>11869965.07</v>
      </c>
      <c r="C28" s="68" t="n">
        <f aca="false">SUMIFS(FC_Budget_Vrs_Actual!$F$6:$F$79,FC_Budget_Vrs_Actual!$D$6:$D$79,$A28)</f>
        <v>5934982.535</v>
      </c>
      <c r="D28" s="68" t="n">
        <f aca="false">SUMIFS(FC_Budget_Vrs_Actual!$S$6:$S$79,FC_Budget_Vrs_Actual!$D$6:$D$79,$A28)</f>
        <v>5467656.26</v>
      </c>
      <c r="E28" s="77" t="n">
        <f aca="false">IFERROR(D28/C28,0)</f>
        <v>0.921259031135464</v>
      </c>
    </row>
    <row r="29" customFormat="false" ht="13.8" hidden="false" customHeight="false" outlineLevel="0" collapsed="false">
      <c r="A29" s="67" t="s">
        <v>449</v>
      </c>
      <c r="B29" s="68" t="n">
        <f aca="false">SUMIFS(FC_Budget_Vrs_Actual!$E$6:$E$79,FC_Budget_Vrs_Actual!$D$6:$D$79,$A29)</f>
        <v>1904406.46</v>
      </c>
      <c r="C29" s="68" t="n">
        <f aca="false">SUMIFS(FC_Budget_Vrs_Actual!$F$6:$F$79,FC_Budget_Vrs_Actual!$D$6:$D$79,$A29)</f>
        <v>952203.23</v>
      </c>
      <c r="D29" s="68" t="n">
        <f aca="false">SUMIFS(FC_Budget_Vrs_Actual!$S$6:$S$79,FC_Budget_Vrs_Actual!$D$6:$D$79,$A29)</f>
        <v>334057.31</v>
      </c>
      <c r="E29" s="77" t="n">
        <f aca="false">IFERROR(D29/C29,0)</f>
        <v>0.350825642546917</v>
      </c>
    </row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>
      <c r="A73" s="93" t="s">
        <v>450</v>
      </c>
    </row>
    <row r="74" customFormat="false" ht="13.8" hidden="false" customHeight="false" outlineLevel="0" collapsed="false">
      <c r="A74" s="104" t="s">
        <v>426</v>
      </c>
      <c r="B74" s="104" t="s">
        <v>45</v>
      </c>
      <c r="C74" s="104" t="s">
        <v>47</v>
      </c>
      <c r="D74" s="104" t="s">
        <v>52</v>
      </c>
      <c r="E74" s="104" t="s">
        <v>56</v>
      </c>
      <c r="F74" s="104" t="s">
        <v>451</v>
      </c>
    </row>
    <row r="75" customFormat="false" ht="13.8" hidden="false" customHeight="false" outlineLevel="0" collapsed="false">
      <c r="A75" s="1" t="str">
        <f aca="false">A12</f>
        <v>Direct technical costs</v>
      </c>
      <c r="B75" s="94" t="n">
        <f aca="false">SUMIFS(FC_Budget_Vrs_Actual!$Y$6:$Y$79,FC_Budget_Vrs_Actual!$C$6:$C$79,$A75)</f>
        <v>1587508.08</v>
      </c>
      <c r="C75" s="94" t="n">
        <f aca="false">SUMIFS(FC_Budget_Vrs_Actual!$AA$6:$AA$79,FC_Budget_Vrs_Actual!$C$6:$C$79,$A75)</f>
        <v>1641760.47</v>
      </c>
      <c r="D75" s="94" t="n">
        <f aca="false">SUMIFS(FC_Budget_Vrs_Actual!$AC$6:$AC$79,FC_Budget_Vrs_Actual!$C$6:$C$79,$A75)</f>
        <v>0</v>
      </c>
      <c r="E75" s="94" t="n">
        <f aca="false">SUMIFS(FC_Budget_Vrs_Actual!$AE$6:$AE$79,FC_Budget_Vrs_Actual!$C$6:$C$79,$A75)</f>
        <v>0</v>
      </c>
      <c r="F75" s="94" t="n">
        <f aca="false">SUM(B75:E75)</f>
        <v>3229268.55</v>
      </c>
    </row>
    <row r="76" customFormat="false" ht="13.8" hidden="false" customHeight="false" outlineLevel="0" collapsed="false">
      <c r="A76" s="1" t="str">
        <f aca="false">A13</f>
        <v>Direct support costs</v>
      </c>
      <c r="B76" s="94" t="n">
        <f aca="false">SUMIFS(FC_Budget_Vrs_Actual!$Y$6:$Y$79,FC_Budget_Vrs_Actual!$C$6:$C$79,$A76)</f>
        <v>642948.54</v>
      </c>
      <c r="C76" s="94" t="n">
        <f aca="false">SUMIFS(FC_Budget_Vrs_Actual!$AA$6:$AA$79,FC_Budget_Vrs_Actual!$C$6:$C$79,$A76)</f>
        <v>644675.11</v>
      </c>
      <c r="D76" s="94" t="n">
        <f aca="false">SUMIFS(FC_Budget_Vrs_Actual!$AC$6:$AC$79,FC_Budget_Vrs_Actual!$C$6:$C$79,$A76)</f>
        <v>0</v>
      </c>
      <c r="E76" s="94" t="n">
        <f aca="false">SUMIFS(FC_Budget_Vrs_Actual!$AE$6:$AE$79,FC_Budget_Vrs_Actual!$C$6:$C$79,$A76)</f>
        <v>0</v>
      </c>
      <c r="F76" s="94" t="n">
        <f aca="false">SUM(B76:E76)</f>
        <v>1287623.65</v>
      </c>
    </row>
    <row r="77" customFormat="false" ht="13.8" hidden="false" customHeight="false" outlineLevel="0" collapsed="false">
      <c r="A77" s="1" t="str">
        <f aca="false">A14</f>
        <v>Recruitment, Benefits</v>
      </c>
      <c r="B77" s="94" t="n">
        <f aca="false">SUMIFS(FC_Budget_Vrs_Actual!$Y$6:$Y$79,FC_Budget_Vrs_Actual!$C$6:$C$79,$A77)</f>
        <v>50831.5</v>
      </c>
      <c r="C77" s="94" t="n">
        <f aca="false">SUMIFS(FC_Budget_Vrs_Actual!$AA$6:$AA$79,FC_Budget_Vrs_Actual!$C$6:$C$79,$A77)</f>
        <v>38668.21</v>
      </c>
      <c r="D77" s="94" t="n">
        <f aca="false">SUMIFS(FC_Budget_Vrs_Actual!$AC$6:$AC$79,FC_Budget_Vrs_Actual!$C$6:$C$79,$A77)</f>
        <v>0</v>
      </c>
      <c r="E77" s="94" t="n">
        <f aca="false">SUMIFS(FC_Budget_Vrs_Actual!$AE$6:$AE$79,FC_Budget_Vrs_Actual!$C$6:$C$79,$A77)</f>
        <v>0</v>
      </c>
      <c r="F77" s="94" t="n">
        <f aca="false">SUM(B77:E77)</f>
        <v>89499.71</v>
      </c>
    </row>
    <row r="78" customFormat="false" ht="13.8" hidden="false" customHeight="false" outlineLevel="0" collapsed="false">
      <c r="A78" s="1" t="str">
        <f aca="false">A15</f>
        <v>Professional development and Training</v>
      </c>
      <c r="B78" s="94" t="n">
        <f aca="false">SUMIFS(FC_Budget_Vrs_Actual!$Y$6:$Y$79,FC_Budget_Vrs_Actual!$C$6:$C$79,$A78)</f>
        <v>19760.54</v>
      </c>
      <c r="C78" s="94" t="n">
        <f aca="false">SUMIFS(FC_Budget_Vrs_Actual!$AA$6:$AA$79,FC_Budget_Vrs_Actual!$C$6:$C$79,$A78)</f>
        <v>181378.06</v>
      </c>
      <c r="D78" s="94" t="n">
        <f aca="false">SUMIFS(FC_Budget_Vrs_Actual!$AC$6:$AC$79,FC_Budget_Vrs_Actual!$C$6:$C$79,$A78)</f>
        <v>0</v>
      </c>
      <c r="E78" s="94" t="n">
        <f aca="false">SUMIFS(FC_Budget_Vrs_Actual!$AE$6:$AE$79,FC_Budget_Vrs_Actual!$C$6:$C$79,$A78)</f>
        <v>0</v>
      </c>
      <c r="F78" s="94" t="n">
        <f aca="false">SUM(B78:E78)</f>
        <v>201138.6</v>
      </c>
    </row>
    <row r="79" customFormat="false" ht="13.8" hidden="false" customHeight="false" outlineLevel="0" collapsed="false">
      <c r="A79" s="1" t="str">
        <f aca="false">A16</f>
        <v>Business development and Comms</v>
      </c>
      <c r="B79" s="94" t="n">
        <f aca="false">SUMIFS(FC_Budget_Vrs_Actual!$Y$6:$Y$79,FC_Budget_Vrs_Actual!$C$6:$C$79,$A79)</f>
        <v>73364.22</v>
      </c>
      <c r="C79" s="94" t="n">
        <f aca="false">SUMIFS(FC_Budget_Vrs_Actual!$AA$6:$AA$79,FC_Budget_Vrs_Actual!$C$6:$C$79,$A79)</f>
        <v>25931.65</v>
      </c>
      <c r="D79" s="94" t="n">
        <f aca="false">SUMIFS(FC_Budget_Vrs_Actual!$AC$6:$AC$79,FC_Budget_Vrs_Actual!$C$6:$C$79,$A79)</f>
        <v>0</v>
      </c>
      <c r="E79" s="94" t="n">
        <f aca="false">SUMIFS(FC_Budget_Vrs_Actual!$AE$6:$AE$79,FC_Budget_Vrs_Actual!$C$6:$C$79,$A79)</f>
        <v>0</v>
      </c>
      <c r="F79" s="94" t="n">
        <f aca="false">SUM(B79:E79)</f>
        <v>99295.87</v>
      </c>
    </row>
    <row r="80" customFormat="false" ht="13.8" hidden="false" customHeight="false" outlineLevel="0" collapsed="false">
      <c r="A80" s="1" t="str">
        <f aca="false">A17</f>
        <v>Internal events and meetings</v>
      </c>
      <c r="B80" s="94" t="n">
        <f aca="false">SUMIFS(FC_Budget_Vrs_Actual!$Y$6:$Y$79,FC_Budget_Vrs_Actual!$C$6:$C$79,$A80)</f>
        <v>25490.41</v>
      </c>
      <c r="C80" s="94" t="n">
        <f aca="false">SUMIFS(FC_Budget_Vrs_Actual!$AA$6:$AA$79,FC_Budget_Vrs_Actual!$C$6:$C$79,$A80)</f>
        <v>8132.43</v>
      </c>
      <c r="D80" s="94" t="n">
        <f aca="false">SUMIFS(FC_Budget_Vrs_Actual!$AC$6:$AC$79,FC_Budget_Vrs_Actual!$C$6:$C$79,$A80)</f>
        <v>0</v>
      </c>
      <c r="E80" s="94" t="n">
        <f aca="false">SUMIFS(FC_Budget_Vrs_Actual!$AE$6:$AE$79,FC_Budget_Vrs_Actual!$C$6:$C$79,$A80)</f>
        <v>0</v>
      </c>
      <c r="F80" s="94" t="n">
        <f aca="false">SUM(B80:E80)</f>
        <v>33622.84</v>
      </c>
    </row>
    <row r="81" customFormat="false" ht="13.8" hidden="false" customHeight="false" outlineLevel="0" collapsed="false">
      <c r="A81" s="1" t="str">
        <f aca="false">A18</f>
        <v>Professional services and governance</v>
      </c>
      <c r="B81" s="94" t="n">
        <f aca="false">SUMIFS(FC_Budget_Vrs_Actual!$Y$6:$Y$79,FC_Budget_Vrs_Actual!$C$6:$C$79,$A81)</f>
        <v>343205.44</v>
      </c>
      <c r="C81" s="94" t="n">
        <f aca="false">SUMIFS(FC_Budget_Vrs_Actual!$AA$6:$AA$79,FC_Budget_Vrs_Actual!$C$6:$C$79,$A81)</f>
        <v>341036.43</v>
      </c>
      <c r="D81" s="94" t="n">
        <f aca="false">SUMIFS(FC_Budget_Vrs_Actual!$AC$6:$AC$79,FC_Budget_Vrs_Actual!$C$6:$C$79,$A81)</f>
        <v>0</v>
      </c>
      <c r="E81" s="94" t="n">
        <f aca="false">SUMIFS(FC_Budget_Vrs_Actual!$AE$6:$AE$79,FC_Budget_Vrs_Actual!$C$6:$C$79,$A81)</f>
        <v>0</v>
      </c>
      <c r="F81" s="94" t="n">
        <f aca="false">SUM(B81:E81)</f>
        <v>684241.87</v>
      </c>
    </row>
    <row r="82" customFormat="false" ht="13.8" hidden="false" customHeight="false" outlineLevel="0" collapsed="false">
      <c r="A82" s="1" t="str">
        <f aca="false">A19</f>
        <v>IT and Data</v>
      </c>
      <c r="B82" s="94" t="n">
        <f aca="false">SUMIFS(FC_Budget_Vrs_Actual!$Y$6:$Y$79,FC_Budget_Vrs_Actual!$C$6:$C$79,$A82)</f>
        <v>24117.25</v>
      </c>
      <c r="C82" s="94" t="n">
        <f aca="false">SUMIFS(FC_Budget_Vrs_Actual!$AA$6:$AA$79,FC_Budget_Vrs_Actual!$C$6:$C$79,$A82)</f>
        <v>47813.29</v>
      </c>
      <c r="D82" s="94" t="n">
        <f aca="false">SUMIFS(FC_Budget_Vrs_Actual!$AC$6:$AC$79,FC_Budget_Vrs_Actual!$C$6:$C$79,$A82)</f>
        <v>0</v>
      </c>
      <c r="E82" s="94" t="n">
        <f aca="false">SUMIFS(FC_Budget_Vrs_Actual!$AE$6:$AE$79,FC_Budget_Vrs_Actual!$C$6:$C$79,$A82)</f>
        <v>0</v>
      </c>
      <c r="F82" s="94" t="n">
        <f aca="false">SUM(B82:E82)</f>
        <v>71930.54</v>
      </c>
    </row>
    <row r="83" customFormat="false" ht="13.8" hidden="false" customHeight="false" outlineLevel="0" collapsed="false">
      <c r="A83" s="1" t="str">
        <f aca="false">A20</f>
        <v>Office Running costs</v>
      </c>
      <c r="B83" s="94" t="n">
        <f aca="false">SUMIFS(FC_Budget_Vrs_Actual!$Y$6:$Y$79,FC_Budget_Vrs_Actual!$C$6:$C$79,$A83)</f>
        <v>64792.58</v>
      </c>
      <c r="C83" s="94" t="n">
        <f aca="false">SUMIFS(FC_Budget_Vrs_Actual!$AA$6:$AA$79,FC_Budget_Vrs_Actual!$C$6:$C$79,$A83)</f>
        <v>130096.09</v>
      </c>
      <c r="D83" s="94" t="n">
        <f aca="false">SUMIFS(FC_Budget_Vrs_Actual!$AC$6:$AC$79,FC_Budget_Vrs_Actual!$C$6:$C$79,$A83)</f>
        <v>0</v>
      </c>
      <c r="E83" s="94" t="n">
        <f aca="false">SUMIFS(FC_Budget_Vrs_Actual!$AE$6:$AE$79,FC_Budget_Vrs_Actual!$C$6:$C$79,$A83)</f>
        <v>0</v>
      </c>
      <c r="F83" s="94" t="n">
        <f aca="false">SUM(B83:E83)</f>
        <v>194888.67</v>
      </c>
    </row>
    <row r="84" customFormat="false" ht="13.8" hidden="false" customHeight="false" outlineLevel="0" collapsed="false">
      <c r="A84" s="1" t="str">
        <f aca="false">A21</f>
        <v>Financial Charges</v>
      </c>
      <c r="B84" s="94" t="n">
        <f aca="false">SUMIFS(FC_Budget_Vrs_Actual!$Y$6:$Y$79,FC_Budget_Vrs_Actual!$C$6:$C$79,$A84)</f>
        <v>8808.26</v>
      </c>
      <c r="C84" s="94" t="n">
        <f aca="false">SUMIFS(FC_Budget_Vrs_Actual!$AA$6:$AA$79,FC_Budget_Vrs_Actual!$C$6:$C$79,$A84)</f>
        <v>17523.54</v>
      </c>
      <c r="D84" s="94" t="n">
        <f aca="false">SUMIFS(FC_Budget_Vrs_Actual!$AC$6:$AC$79,FC_Budget_Vrs_Actual!$C$6:$C$79,$A84)</f>
        <v>0</v>
      </c>
      <c r="E84" s="94" t="n">
        <f aca="false">SUMIFS(FC_Budget_Vrs_Actual!$AE$6:$AE$79,FC_Budget_Vrs_Actual!$C$6:$C$79,$A84)</f>
        <v>0</v>
      </c>
      <c r="F84" s="94" t="n">
        <f aca="false">SUM(B84:E84)</f>
        <v>26331.8</v>
      </c>
    </row>
    <row r="85" customFormat="false" ht="13.8" hidden="false" customHeight="false" outlineLevel="0" collapsed="false">
      <c r="A85" s="1" t="str">
        <f aca="false">A22</f>
        <v>Foreign Exchange Losses / (Gains)</v>
      </c>
      <c r="B85" s="94" t="n">
        <f aca="false">SUMIFS(FC_Budget_Vrs_Actual!$Y$6:$Y$79,FC_Budget_Vrs_Actual!$C$6:$C$79,$A85)</f>
        <v>-61465.49</v>
      </c>
      <c r="C85" s="94" t="n">
        <f aca="false">SUMIFS(FC_Budget_Vrs_Actual!$AA$6:$AA$79,FC_Budget_Vrs_Actual!$C$6:$C$79,$A85)</f>
        <v>-54663.04</v>
      </c>
      <c r="D85" s="94" t="n">
        <f aca="false">SUMIFS(FC_Budget_Vrs_Actual!$AC$6:$AC$79,FC_Budget_Vrs_Actual!$C$6:$C$79,$A85)</f>
        <v>0</v>
      </c>
      <c r="E85" s="94" t="n">
        <f aca="false">SUMIFS(FC_Budget_Vrs_Actual!$AE$6:$AE$79,FC_Budget_Vrs_Actual!$C$6:$C$79,$A85)</f>
        <v>0</v>
      </c>
      <c r="F85" s="94" t="n">
        <f aca="false">SUM(B85:E85)</f>
        <v>-116128.53</v>
      </c>
    </row>
    <row r="86" customFormat="false" ht="13.8" hidden="false" customHeight="false" outlineLevel="0" collapsed="false">
      <c r="A86" s="99" t="s">
        <v>310</v>
      </c>
      <c r="B86" s="105" t="n">
        <f aca="false">SUM(B75:B85)</f>
        <v>2779361.33</v>
      </c>
      <c r="C86" s="105" t="n">
        <f aca="false">SUM(C75:C85)</f>
        <v>3022352.24</v>
      </c>
      <c r="D86" s="105" t="n">
        <f aca="false">SUM(D75:D85)</f>
        <v>0</v>
      </c>
      <c r="E86" s="105" t="n">
        <f aca="false">SUM(E75:E85)</f>
        <v>0</v>
      </c>
      <c r="F86" s="105" t="n">
        <f aca="false">SUM(F75:F85)</f>
        <v>5801713.57</v>
      </c>
    </row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>
      <c r="A89" s="93" t="s">
        <v>452</v>
      </c>
    </row>
    <row r="90" customFormat="false" ht="13.8" hidden="false" customHeight="false" outlineLevel="0" collapsed="false">
      <c r="A90" s="93"/>
      <c r="B90" s="93" t="s">
        <v>45</v>
      </c>
      <c r="C90" s="93" t="s">
        <v>47</v>
      </c>
      <c r="D90" s="93" t="s">
        <v>52</v>
      </c>
      <c r="E90" s="93" t="s">
        <v>56</v>
      </c>
      <c r="F90" s="93" t="s">
        <v>451</v>
      </c>
    </row>
    <row r="91" customFormat="false" ht="13.8" hidden="false" customHeight="false" outlineLevel="0" collapsed="false">
      <c r="A91" s="1" t="s">
        <v>453</v>
      </c>
      <c r="B91" s="94" t="n">
        <f aca="false">SUM(FC_Budget_Vrs_Actual!$Z$6:$Z$79)</f>
        <v>134538.6125</v>
      </c>
      <c r="C91" s="94" t="n">
        <f aca="false">SUM(FC_Budget_Vrs_Actual!$AB$6:$AB$79)</f>
        <v>137663.5475</v>
      </c>
      <c r="D91" s="94" t="n">
        <f aca="false">SUM(FC_Budget_Vrs_Actual!$AD$6:$AD$79)</f>
        <v>0</v>
      </c>
      <c r="E91" s="94" t="n">
        <f aca="false">SUM(FC_Budget_Vrs_Actual!$AF$6:$AF$79)</f>
        <v>0</v>
      </c>
      <c r="F91" s="94" t="n">
        <f aca="false">SUM(B91:E91)</f>
        <v>272202.16</v>
      </c>
    </row>
    <row r="92" customFormat="false" ht="13.8" hidden="false" customHeight="false" outlineLevel="0" collapsed="false">
      <c r="A92" s="14" t="s">
        <v>454</v>
      </c>
      <c r="B92" s="106" t="n">
        <f aca="false">SUM(FC_Budget_Vrs_Actual!$AG$6:$AG$79)</f>
        <v>137663.5475</v>
      </c>
      <c r="C92" s="95" t="s">
        <v>455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E93"/>
    <pageSetUpPr fitToPage="true"/>
  </sheetPr>
  <dimension ref="A1:K7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35" activeCellId="0" sqref="C35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53"/>
    <col collapsed="false" customWidth="true" hidden="false" outlineLevel="0" max="8" min="2" style="1" width="15"/>
    <col collapsed="false" customWidth="true" hidden="false" outlineLevel="0" max="9" min="9" style="1" width="17"/>
    <col collapsed="false" customWidth="true" hidden="false" outlineLevel="0" max="10" min="10" style="1" width="15"/>
    <col collapsed="false" customWidth="true" hidden="false" outlineLevel="0" max="11" min="11" style="1" width="12"/>
  </cols>
  <sheetData>
    <row r="1" customFormat="false" ht="17.25" hidden="false" customHeight="true" outlineLevel="0" collapsed="false">
      <c r="A1" s="75" t="str">
        <f aca="false">"Balance Sheet — "&amp;Controls!$B$8</f>
        <v>Balance Sheet — PC Ghana</v>
      </c>
    </row>
    <row r="2" customFormat="false" ht="13.5" hidden="false" customHeight="false" outlineLevel="0" collapsed="false">
      <c r="A2" s="3" t="str">
        <f aca="false">"Quarter end: "&amp;TEXT(Controls!$B$4,"dd-mmm-yyyy")&amp;" | Statement by quarter with liquidity ratios (GHS)"</f>
        <v>Quarter end: 30-Jun-2026 | Statement by quarter with liquidity ratios (GHS)</v>
      </c>
      <c r="H2" s="107" t="str">
        <f aca="false">IF(VALUE(MID(Controls!$B$6,2,1))&gt;1,IF(COUNTIFS(Trial_Balance!$B$2:$B$995,Controls!$B$5&amp;"-Q"&amp;(VALUE(MID(Controls!$B$6,2,1))-1),Trial_Balance!$A$2:$A$995,Controls!$B$7)&gt;0,"Opening basis: Q"&amp;(VALUE(MID(Controls!$B$6,2,1))-1)&amp;" closing trial balance","Opening basis: selected-quarter TB opening balances (prior-quarter TB not loaded)"),"Opening basis: Q1 TB opening balances (start of year)")</f>
        <v>Opening basis: selected-quarter TB opening balances (prior-quarter TB not loaded)</v>
      </c>
    </row>
    <row r="3" customFormat="false" ht="15" hidden="false" customHeight="true" outlineLevel="0" collapsed="false">
      <c r="A3" s="86" t="s">
        <v>456</v>
      </c>
      <c r="B3" s="87" t="n">
        <f aca="false">INDEX($B$17:$E$17,1,VALUE(MID(Controls!$B$6,2,1)))</f>
        <v>11257421.3</v>
      </c>
      <c r="D3" s="86" t="s">
        <v>457</v>
      </c>
      <c r="E3" s="87" t="n">
        <f aca="false">INDEX($C$34:$F$34,1,VALUE(MID(Controls!$B$6,2,1)))</f>
        <v>5711207.86</v>
      </c>
      <c r="G3" s="86" t="s">
        <v>261</v>
      </c>
      <c r="H3" s="108" t="n">
        <f aca="false">INDEX($C$33:$F$33,1,VALUE(MID(Controls!$B$6,2,1)))</f>
        <v>2.76165896793269</v>
      </c>
      <c r="J3" s="86" t="s">
        <v>263</v>
      </c>
      <c r="K3" s="108" t="n">
        <f aca="false">INDEX($C$36:$F$36,1,VALUE(MID(Controls!$B$6,2,1)))</f>
        <v>5.77377388356544</v>
      </c>
    </row>
    <row r="5" customFormat="false" ht="13.5" hidden="false" customHeight="false" outlineLevel="0" collapsed="false">
      <c r="A5" s="1" t="s">
        <v>458</v>
      </c>
    </row>
    <row r="6" customFormat="false" ht="13.5" hidden="false" customHeight="false" outlineLevel="0" collapsed="false">
      <c r="A6" s="96" t="s">
        <v>459</v>
      </c>
      <c r="H6" s="96" t="str">
        <f aca="false">"Selected Quarter — "&amp;Controls!$B$6&amp;" (opening = prior-quarter closing)"</f>
        <v>Selected Quarter — Q2 (opening = prior-quarter closing)</v>
      </c>
    </row>
    <row r="7" customFormat="false" ht="24.75" hidden="false" customHeight="true" outlineLevel="0" collapsed="false">
      <c r="A7" s="56" t="s">
        <v>197</v>
      </c>
      <c r="B7" s="56" t="s">
        <v>45</v>
      </c>
      <c r="C7" s="56" t="s">
        <v>47</v>
      </c>
      <c r="D7" s="56" t="s">
        <v>52</v>
      </c>
      <c r="E7" s="56" t="s">
        <v>56</v>
      </c>
      <c r="F7" s="56" t="s">
        <v>460</v>
      </c>
      <c r="G7" s="56" t="s">
        <v>461</v>
      </c>
      <c r="H7" s="109" t="s">
        <v>462</v>
      </c>
      <c r="I7" s="109" t="s">
        <v>463</v>
      </c>
      <c r="J7" s="109" t="s">
        <v>464</v>
      </c>
      <c r="K7" s="109" t="s">
        <v>461</v>
      </c>
    </row>
    <row r="8" customFormat="false" ht="13.8" hidden="false" customHeight="false" outlineLevel="0" collapsed="false">
      <c r="A8" s="70" t="s">
        <v>253</v>
      </c>
      <c r="B8" s="110" t="str">
        <f aca="false">IF(COUNTIFS(Trial_Balance!$B$2:$B$995,Controls!$B$5&amp;"-Q1",Trial_Balance!$A$2:$A$995,Controls!$B$7)=0,"-",B9+B10+B11+B12)</f>
        <v>-</v>
      </c>
      <c r="C8" s="111" t="n">
        <f aca="false">IF(COUNTIFS(Trial_Balance!$B$2:$B$995,Controls!$B$5&amp;"-Q2",Trial_Balance!$A$2:$A$995,Controls!$B$7)=0,"-",C9+C10+C11+C12)</f>
        <v>2304264.82</v>
      </c>
      <c r="D8" s="110" t="str">
        <f aca="false">IF(COUNTIFS(Trial_Balance!$B$2:$B$995,Controls!$B$5&amp;"-Q3",Trial_Balance!$A$2:$A$995,Controls!$B$7)=0,"-",D9+D10+D11+D12)</f>
        <v>-</v>
      </c>
      <c r="E8" s="110" t="str">
        <f aca="false">IF(COUNTIFS(Trial_Balance!$B$2:$B$995,Controls!$B$5&amp;"-Q4",Trial_Balance!$A$2:$A$995,Controls!$B$7)=0,"-",E9+E10+E11+E12)</f>
        <v>-</v>
      </c>
      <c r="F8" s="68" t="str">
        <f aca="false">IF(VALUE(MID(Controls!$B$6,2,1))=1,"-",IF(AND(ISNUMBER(INDEX($B8:$E8,1,VALUE(MID(Controls!$B$6,2,1)))),ISNUMBER(INDEX($B8:$E8,1,VALUE(MID(Controls!$B$6,2,1))-1))),INDEX($B8:$E8,1,VALUE(MID(Controls!$B$6,2,1)))-INDEX($B8:$E8,1,VALUE(MID(Controls!$B$6,2,1))-1),"-"))</f>
        <v>-</v>
      </c>
      <c r="G8" s="77" t="str">
        <f aca="false">IF(ISNUMBER($F8),IFERROR($F8/ABS(INDEX($B8:$E8,1,VALUE(MID(Controls!$B$6,2,1))-1)),"-"),"-")</f>
        <v>-</v>
      </c>
      <c r="H8" s="112" t="n">
        <f aca="false">IF(ISNUMBER(H9),SUM(H9:H12),"-")</f>
        <v>2195320.65</v>
      </c>
      <c r="I8" s="112" t="n">
        <f aca="false">INDEX($B8:$E8,1,VALUE(MID(Controls!$B$6,2,1)))</f>
        <v>2304264.82</v>
      </c>
      <c r="J8" s="112" t="n">
        <f aca="false">IF(AND(ISNUMBER($H8),ISNUMBER($I8)),$I8-$H8,"-")</f>
        <v>108944.17</v>
      </c>
      <c r="K8" s="113" t="n">
        <f aca="false">IF(AND(ISNUMBER($J8),ISNUMBER($H8)),IFERROR($J8/ABS($H8),"-"),"-")</f>
        <v>0.0496256298595834</v>
      </c>
    </row>
    <row r="9" customFormat="false" ht="13.8" hidden="false" customHeight="false" outlineLevel="0" collapsed="false">
      <c r="A9" s="67" t="s">
        <v>465</v>
      </c>
      <c r="B9" s="114" t="str">
        <f aca="false">IF(COUNTIFS(Trial_Balance!$B$2:$B$995,Controls!$B$5&amp;"-Q1",Trial_Balance!$A$2:$A$995,Controls!$B$7)=0,"-",SUMIFS(Trial_Balance!$H$2:$H$995,Trial_Balance!$I$2:$I$995,$A9,Trial_Balance!$B$2:$B$995,Controls!$B$5&amp;"-Q1",Trial_Balance!$A$2:$A$995,Controls!$B$7))</f>
        <v>-</v>
      </c>
      <c r="C9" s="114" t="n">
        <f aca="false">IF(COUNTIFS(Trial_Balance!$B$2:$B$995,Controls!$B$5&amp;"-Q2",Trial_Balance!$A$2:$A$995,Controls!$B$7)=0,"-",SUMIFS(Trial_Balance!$H$2:$H$995,Trial_Balance!$I$2:$I$995,$A9,Trial_Balance!$B$2:$B$995,Controls!$B$5&amp;"-Q2",Trial_Balance!$A$2:$A$995,Controls!$B$7))</f>
        <v>1413084.94</v>
      </c>
      <c r="D9" s="114" t="str">
        <f aca="false">IF(COUNTIFS(Trial_Balance!$B$2:$B$995,Controls!$B$5&amp;"-Q3",Trial_Balance!$A$2:$A$995,Controls!$B$7)=0,"-",SUMIFS(Trial_Balance!$H$2:$H$995,Trial_Balance!$I$2:$I$995,$A9,Trial_Balance!$B$2:$B$995,Controls!$B$5&amp;"-Q3",Trial_Balance!$A$2:$A$995,Controls!$B$7))</f>
        <v>-</v>
      </c>
      <c r="E9" s="114" t="str">
        <f aca="false">IF(COUNTIFS(Trial_Balance!$B$2:$B$995,Controls!$B$5&amp;"-Q4",Trial_Balance!$A$2:$A$995,Controls!$B$7)=0,"-",SUMIFS(Trial_Balance!$H$2:$H$995,Trial_Balance!$I$2:$I$995,$A9,Trial_Balance!$B$2:$B$995,Controls!$B$5&amp;"-Q4",Trial_Balance!$A$2:$A$995,Controls!$B$7))</f>
        <v>-</v>
      </c>
      <c r="F9" s="68" t="str">
        <f aca="false">IF(VALUE(MID(Controls!$B$6,2,1))=1,"-",IF(AND(ISNUMBER(INDEX($B9:$E9,1,VALUE(MID(Controls!$B$6,2,1)))),ISNUMBER(INDEX($B9:$E9,1,VALUE(MID(Controls!$B$6,2,1))-1))),INDEX($B9:$E9,1,VALUE(MID(Controls!$B$6,2,1)))-INDEX($B9:$E9,1,VALUE(MID(Controls!$B$6,2,1))-1),"-"))</f>
        <v>-</v>
      </c>
      <c r="G9" s="77" t="str">
        <f aca="false">IF(ISNUMBER($F9),IFERROR($F9/ABS(INDEX($B9:$E9,1,VALUE(MID(Controls!$B$6,2,1))-1)),"-"),"-")</f>
        <v>-</v>
      </c>
      <c r="H9" s="115" t="n">
        <f aca="false">IF(AND(VALUE(MID(Controls!$B$6,2,1))&gt;1,COUNTIFS(Trial_Balance!$B$2:$B$995,Controls!$B$5&amp;"-Q"&amp;(VALUE(MID(Controls!$B$6,2,1))-1),Trial_Balance!$A$2:$A$995,Controls!$B$7)&gt;0),INDEX($B9:$E9,1,VALUE(MID(Controls!$B$6,2,1))-1),IF(COUNTIFS(Trial_Balance!$B$2:$B$995,Controls!$B$30,Trial_Balance!$A$2:$A$995,Controls!$B$7)&gt;0,SUMIFS(Trial_Balance!$E$2:$E$995,Trial_Balance!$I$2:$I$995,$A9,Trial_Balance!$B$2:$B$995,Controls!$B$30,Trial_Balance!$A$2:$A$995,Controls!$B$7),"-"))</f>
        <v>1413084.94</v>
      </c>
      <c r="I9" s="115" t="n">
        <f aca="false">INDEX($B9:$E9,1,VALUE(MID(Controls!$B$6,2,1)))</f>
        <v>1413084.94</v>
      </c>
      <c r="J9" s="115" t="n">
        <f aca="false">IF(AND(ISNUMBER($H9),ISNUMBER($I9)),$I9-$H9,"-")</f>
        <v>0</v>
      </c>
      <c r="K9" s="116" t="n">
        <f aca="false">IF(AND(ISNUMBER($J9),ISNUMBER($H9)),IFERROR($J9/ABS($H9),"-"),"-")</f>
        <v>0</v>
      </c>
    </row>
    <row r="10" customFormat="false" ht="13.8" hidden="false" customHeight="false" outlineLevel="0" collapsed="false">
      <c r="A10" s="67" t="s">
        <v>466</v>
      </c>
      <c r="B10" s="114" t="str">
        <f aca="false">IF(COUNTIFS(Trial_Balance!$B$2:$B$995,Controls!$B$5&amp;"-Q1",Trial_Balance!$A$2:$A$995,Controls!$B$7)=0,"-",SUMIFS(Trial_Balance!$H$2:$H$995,Trial_Balance!$I$2:$I$995,$A10,Trial_Balance!$B$2:$B$995,Controls!$B$5&amp;"-Q1",Trial_Balance!$A$2:$A$995,Controls!$B$7))</f>
        <v>-</v>
      </c>
      <c r="C10" s="114" t="n">
        <f aca="false">IF(COUNTIFS(Trial_Balance!$B$2:$B$995,Controls!$B$5&amp;"-Q2",Trial_Balance!$A$2:$A$995,Controls!$B$7)=0,"-",SUMIFS(Trial_Balance!$H$2:$H$995,Trial_Balance!$I$2:$I$995,$A10,Trial_Balance!$B$2:$B$995,Controls!$B$5&amp;"-Q2",Trial_Balance!$A$2:$A$995,Controls!$B$7))</f>
        <v>583090.14</v>
      </c>
      <c r="D10" s="114" t="str">
        <f aca="false">IF(COUNTIFS(Trial_Balance!$B$2:$B$995,Controls!$B$5&amp;"-Q3",Trial_Balance!$A$2:$A$995,Controls!$B$7)=0,"-",SUMIFS(Trial_Balance!$H$2:$H$995,Trial_Balance!$I$2:$I$995,$A10,Trial_Balance!$B$2:$B$995,Controls!$B$5&amp;"-Q3",Trial_Balance!$A$2:$A$995,Controls!$B$7))</f>
        <v>-</v>
      </c>
      <c r="E10" s="114" t="str">
        <f aca="false">IF(COUNTIFS(Trial_Balance!$B$2:$B$995,Controls!$B$5&amp;"-Q4",Trial_Balance!$A$2:$A$995,Controls!$B$7)=0,"-",SUMIFS(Trial_Balance!$H$2:$H$995,Trial_Balance!$I$2:$I$995,$A10,Trial_Balance!$B$2:$B$995,Controls!$B$5&amp;"-Q4",Trial_Balance!$A$2:$A$995,Controls!$B$7))</f>
        <v>-</v>
      </c>
      <c r="F10" s="68" t="str">
        <f aca="false">IF(VALUE(MID(Controls!$B$6,2,1))=1,"-",IF(AND(ISNUMBER(INDEX($B10:$E10,1,VALUE(MID(Controls!$B$6,2,1)))),ISNUMBER(INDEX($B10:$E10,1,VALUE(MID(Controls!$B$6,2,1))-1))),INDEX($B10:$E10,1,VALUE(MID(Controls!$B$6,2,1)))-INDEX($B10:$E10,1,VALUE(MID(Controls!$B$6,2,1))-1),"-"))</f>
        <v>-</v>
      </c>
      <c r="G10" s="77" t="str">
        <f aca="false">IF(ISNUMBER($F10),IFERROR($F10/ABS(INDEX($B10:$E10,1,VALUE(MID(Controls!$B$6,2,1))-1)),"-"),"-")</f>
        <v>-</v>
      </c>
      <c r="H10" s="115" t="n">
        <f aca="false">IF(AND(VALUE(MID(Controls!$B$6,2,1))&gt;1,COUNTIFS(Trial_Balance!$B$2:$B$995,Controls!$B$5&amp;"-Q"&amp;(VALUE(MID(Controls!$B$6,2,1))-1),Trial_Balance!$A$2:$A$995,Controls!$B$7)&gt;0),INDEX($B10:$E10,1,VALUE(MID(Controls!$B$6,2,1))-1),IF(COUNTIFS(Trial_Balance!$B$2:$B$995,Controls!$B$30,Trial_Balance!$A$2:$A$995,Controls!$B$7)&gt;0,SUMIFS(Trial_Balance!$E$2:$E$995,Trial_Balance!$I$2:$I$995,$A10,Trial_Balance!$B$2:$B$995,Controls!$B$30,Trial_Balance!$A$2:$A$995,Controls!$B$7),"-"))</f>
        <v>489166.96</v>
      </c>
      <c r="I10" s="115" t="n">
        <f aca="false">INDEX($B10:$E10,1,VALUE(MID(Controls!$B$6,2,1)))</f>
        <v>583090.14</v>
      </c>
      <c r="J10" s="115" t="n">
        <f aca="false">IF(AND(ISNUMBER($H10),ISNUMBER($I10)),$I10-$H10,"-")</f>
        <v>93923.18</v>
      </c>
      <c r="K10" s="116" t="n">
        <f aca="false">IF(AND(ISNUMBER($J10),ISNUMBER($H10)),IFERROR($J10/ABS($H10),"-"),"-")</f>
        <v>0.192006385713377</v>
      </c>
    </row>
    <row r="11" customFormat="false" ht="13.8" hidden="false" customHeight="false" outlineLevel="0" collapsed="false">
      <c r="A11" s="67" t="s">
        <v>467</v>
      </c>
      <c r="B11" s="114" t="str">
        <f aca="false">IF(COUNTIFS(Trial_Balance!$B$2:$B$995,Controls!$B$5&amp;"-Q1",Trial_Balance!$A$2:$A$995,Controls!$B$7)=0,"-",SUMIFS(Trial_Balance!$H$2:$H$995,Trial_Balance!$I$2:$I$995,$A11,Trial_Balance!$B$2:$B$995,Controls!$B$5&amp;"-Q1",Trial_Balance!$A$2:$A$995,Controls!$B$7))</f>
        <v>-</v>
      </c>
      <c r="C11" s="114" t="n">
        <f aca="false">IF(COUNTIFS(Trial_Balance!$B$2:$B$995,Controls!$B$5&amp;"-Q2",Trial_Balance!$A$2:$A$995,Controls!$B$7)=0,"-",SUMIFS(Trial_Balance!$H$2:$H$995,Trial_Balance!$I$2:$I$995,$A11,Trial_Balance!$B$2:$B$995,Controls!$B$5&amp;"-Q2",Trial_Balance!$A$2:$A$995,Controls!$B$7))</f>
        <v>0</v>
      </c>
      <c r="D11" s="114" t="str">
        <f aca="false">IF(COUNTIFS(Trial_Balance!$B$2:$B$995,Controls!$B$5&amp;"-Q3",Trial_Balance!$A$2:$A$995,Controls!$B$7)=0,"-",SUMIFS(Trial_Balance!$H$2:$H$995,Trial_Balance!$I$2:$I$995,$A11,Trial_Balance!$B$2:$B$995,Controls!$B$5&amp;"-Q3",Trial_Balance!$A$2:$A$995,Controls!$B$7))</f>
        <v>-</v>
      </c>
      <c r="E11" s="114" t="str">
        <f aca="false">IF(COUNTIFS(Trial_Balance!$B$2:$B$995,Controls!$B$5&amp;"-Q4",Trial_Balance!$A$2:$A$995,Controls!$B$7)=0,"-",SUMIFS(Trial_Balance!$H$2:$H$995,Trial_Balance!$I$2:$I$995,$A11,Trial_Balance!$B$2:$B$995,Controls!$B$5&amp;"-Q4",Trial_Balance!$A$2:$A$995,Controls!$B$7))</f>
        <v>-</v>
      </c>
      <c r="F11" s="68" t="str">
        <f aca="false">IF(VALUE(MID(Controls!$B$6,2,1))=1,"-",IF(AND(ISNUMBER(INDEX($B11:$E11,1,VALUE(MID(Controls!$B$6,2,1)))),ISNUMBER(INDEX($B11:$E11,1,VALUE(MID(Controls!$B$6,2,1))-1))),INDEX($B11:$E11,1,VALUE(MID(Controls!$B$6,2,1)))-INDEX($B11:$E11,1,VALUE(MID(Controls!$B$6,2,1))-1),"-"))</f>
        <v>-</v>
      </c>
      <c r="G11" s="77" t="str">
        <f aca="false">IF(ISNUMBER($F11),IFERROR($F11/ABS(INDEX($B11:$E11,1,VALUE(MID(Controls!$B$6,2,1))-1)),"-"),"-")</f>
        <v>-</v>
      </c>
      <c r="H11" s="115" t="n">
        <f aca="false">IF(AND(VALUE(MID(Controls!$B$6,2,1))&gt;1,COUNTIFS(Trial_Balance!$B$2:$B$995,Controls!$B$5&amp;"-Q"&amp;(VALUE(MID(Controls!$B$6,2,1))-1),Trial_Balance!$A$2:$A$995,Controls!$B$7)&gt;0),INDEX($B11:$E11,1,VALUE(MID(Controls!$B$6,2,1))-1),IF(COUNTIFS(Trial_Balance!$B$2:$B$995,Controls!$B$30,Trial_Balance!$A$2:$A$995,Controls!$B$7)&gt;0,SUMIFS(Trial_Balance!$E$2:$E$995,Trial_Balance!$I$2:$I$995,$A11,Trial_Balance!$B$2:$B$995,Controls!$B$30,Trial_Balance!$A$2:$A$995,Controls!$B$7),"-"))</f>
        <v>0</v>
      </c>
      <c r="I11" s="115" t="n">
        <f aca="false">INDEX($B11:$E11,1,VALUE(MID(Controls!$B$6,2,1)))</f>
        <v>0</v>
      </c>
      <c r="J11" s="115" t="n">
        <f aca="false">IF(AND(ISNUMBER($H11),ISNUMBER($I11)),$I11-$H11,"-")</f>
        <v>0</v>
      </c>
      <c r="K11" s="116" t="str">
        <f aca="false">IF(AND(ISNUMBER($J11),ISNUMBER($H11)),IFERROR($J11/ABS($H11),"-"),"-")</f>
        <v>-</v>
      </c>
    </row>
    <row r="12" customFormat="false" ht="13.8" hidden="false" customHeight="false" outlineLevel="0" collapsed="false">
      <c r="A12" s="67" t="s">
        <v>468</v>
      </c>
      <c r="B12" s="114" t="str">
        <f aca="false">IF(COUNTIFS(Trial_Balance!$B$2:$B$995,Controls!$B$5&amp;"-Q1",Trial_Balance!$A$2:$A$995,Controls!$B$7)=0,"-",SUMIFS(Trial_Balance!$H$2:$H$995,Trial_Balance!$I$2:$I$995,$A12,Trial_Balance!$B$2:$B$995,Controls!$B$5&amp;"-Q1",Trial_Balance!$A$2:$A$995,Controls!$B$7))</f>
        <v>-</v>
      </c>
      <c r="C12" s="114" t="n">
        <f aca="false">IF(COUNTIFS(Trial_Balance!$B$2:$B$995,Controls!$B$5&amp;"-Q2",Trial_Balance!$A$2:$A$995,Controls!$B$7)=0,"-",SUMIFS(Trial_Balance!$H$2:$H$995,Trial_Balance!$I$2:$I$995,$A12,Trial_Balance!$B$2:$B$995,Controls!$B$5&amp;"-Q2",Trial_Balance!$A$2:$A$995,Controls!$B$7))</f>
        <v>308089.74</v>
      </c>
      <c r="D12" s="114" t="str">
        <f aca="false">IF(COUNTIFS(Trial_Balance!$B$2:$B$995,Controls!$B$5&amp;"-Q3",Trial_Balance!$A$2:$A$995,Controls!$B$7)=0,"-",SUMIFS(Trial_Balance!$H$2:$H$995,Trial_Balance!$I$2:$I$995,$A12,Trial_Balance!$B$2:$B$995,Controls!$B$5&amp;"-Q3",Trial_Balance!$A$2:$A$995,Controls!$B$7))</f>
        <v>-</v>
      </c>
      <c r="E12" s="114" t="str">
        <f aca="false">IF(COUNTIFS(Trial_Balance!$B$2:$B$995,Controls!$B$5&amp;"-Q4",Trial_Balance!$A$2:$A$995,Controls!$B$7)=0,"-",SUMIFS(Trial_Balance!$H$2:$H$995,Trial_Balance!$I$2:$I$995,$A12,Trial_Balance!$B$2:$B$995,Controls!$B$5&amp;"-Q4",Trial_Balance!$A$2:$A$995,Controls!$B$7))</f>
        <v>-</v>
      </c>
      <c r="F12" s="68" t="str">
        <f aca="false">IF(VALUE(MID(Controls!$B$6,2,1))=1,"-",IF(AND(ISNUMBER(INDEX($B12:$E12,1,VALUE(MID(Controls!$B$6,2,1)))),ISNUMBER(INDEX($B12:$E12,1,VALUE(MID(Controls!$B$6,2,1))-1))),INDEX($B12:$E12,1,VALUE(MID(Controls!$B$6,2,1)))-INDEX($B12:$E12,1,VALUE(MID(Controls!$B$6,2,1))-1),"-"))</f>
        <v>-</v>
      </c>
      <c r="G12" s="77" t="str">
        <f aca="false">IF(ISNUMBER($F12),IFERROR($F12/ABS(INDEX($B12:$E12,1,VALUE(MID(Controls!$B$6,2,1))-1)),"-"),"-")</f>
        <v>-</v>
      </c>
      <c r="H12" s="115" t="n">
        <f aca="false">IF(AND(VALUE(MID(Controls!$B$6,2,1))&gt;1,COUNTIFS(Trial_Balance!$B$2:$B$995,Controls!$B$5&amp;"-Q"&amp;(VALUE(MID(Controls!$B$6,2,1))-1),Trial_Balance!$A$2:$A$995,Controls!$B$7)&gt;0),INDEX($B12:$E12,1,VALUE(MID(Controls!$B$6,2,1))-1),IF(COUNTIFS(Trial_Balance!$B$2:$B$995,Controls!$B$30,Trial_Balance!$A$2:$A$995,Controls!$B$7)&gt;0,SUMIFS(Trial_Balance!$E$2:$E$995,Trial_Balance!$I$2:$I$995,$A12,Trial_Balance!$B$2:$B$995,Controls!$B$30,Trial_Balance!$A$2:$A$995,Controls!$B$7),"-"))</f>
        <v>293068.75</v>
      </c>
      <c r="I12" s="115" t="n">
        <f aca="false">INDEX($B12:$E12,1,VALUE(MID(Controls!$B$6,2,1)))</f>
        <v>308089.74</v>
      </c>
      <c r="J12" s="115" t="n">
        <f aca="false">IF(AND(ISNUMBER($H12),ISNUMBER($I12)),$I12-$H12,"-")</f>
        <v>15020.99</v>
      </c>
      <c r="K12" s="116" t="n">
        <f aca="false">IF(AND(ISNUMBER($J12),ISNUMBER($H12)),IFERROR($J12/ABS($H12),"-"),"-")</f>
        <v>0.0512541511164189</v>
      </c>
    </row>
    <row r="13" customFormat="false" ht="13.8" hidden="false" customHeight="false" outlineLevel="0" collapsed="false">
      <c r="A13" s="70" t="s">
        <v>254</v>
      </c>
      <c r="B13" s="110" t="str">
        <f aca="false">IF(COUNTIFS(Trial_Balance!$B$2:$B$995,Controls!$B$5&amp;"-Q1",Trial_Balance!$A$2:$A$995,Controls!$B$7)=0,"-",B14+B15+B16)</f>
        <v>-</v>
      </c>
      <c r="C13" s="110" t="n">
        <f aca="false">IF(COUNTIFS(Trial_Balance!$B$2:$B$995,Controls!$B$5&amp;"-Q2",Trial_Balance!$A$2:$A$995,Controls!$B$7)=0,"-",C14+C15+C16)</f>
        <v>8953156.48</v>
      </c>
      <c r="D13" s="110" t="str">
        <f aca="false">IF(COUNTIFS(Trial_Balance!$B$2:$B$995,Controls!$B$5&amp;"-Q3",Trial_Balance!$A$2:$A$995,Controls!$B$7)=0,"-",D14+D15+D16)</f>
        <v>-</v>
      </c>
      <c r="E13" s="110" t="str">
        <f aca="false">IF(COUNTIFS(Trial_Balance!$B$2:$B$995,Controls!$B$5&amp;"-Q4",Trial_Balance!$A$2:$A$995,Controls!$B$7)=0,"-",E14+E15+E16)</f>
        <v>-</v>
      </c>
      <c r="F13" s="68" t="str">
        <f aca="false">IF(VALUE(MID(Controls!$B$6,2,1))=1,"-",IF(AND(ISNUMBER(INDEX($B13:$E13,1,VALUE(MID(Controls!$B$6,2,1)))),ISNUMBER(INDEX($B13:$E13,1,VALUE(MID(Controls!$B$6,2,1))-1))),INDEX($B13:$E13,1,VALUE(MID(Controls!$B$6,2,1)))-INDEX($B13:$E13,1,VALUE(MID(Controls!$B$6,2,1))-1),"-"))</f>
        <v>-</v>
      </c>
      <c r="G13" s="77" t="str">
        <f aca="false">IF(ISNUMBER($F13),IFERROR($F13/ABS(INDEX($B13:$E13,1,VALUE(MID(Controls!$B$6,2,1))-1)),"-"),"-")</f>
        <v>-</v>
      </c>
      <c r="H13" s="112" t="n">
        <f aca="false">IF(ISNUMBER(H14),SUM(H14:H16),"-")</f>
        <v>7618650.8</v>
      </c>
      <c r="I13" s="112" t="n">
        <f aca="false">INDEX($B13:$E13,1,VALUE(MID(Controls!$B$6,2,1)))</f>
        <v>8953156.48</v>
      </c>
      <c r="J13" s="112" t="n">
        <f aca="false">IF(AND(ISNUMBER($H13),ISNUMBER($I13)),$I13-$H13,"-")</f>
        <v>1334505.68</v>
      </c>
      <c r="K13" s="113" t="n">
        <f aca="false">IF(AND(ISNUMBER($J13),ISNUMBER($H13)),IFERROR($J13/ABS($H13),"-"),"-")</f>
        <v>0.175162993426605</v>
      </c>
    </row>
    <row r="14" customFormat="false" ht="13.8" hidden="false" customHeight="false" outlineLevel="0" collapsed="false">
      <c r="A14" s="67" t="s">
        <v>469</v>
      </c>
      <c r="B14" s="114" t="str">
        <f aca="false">IF(COUNTIFS(Trial_Balance!$B$2:$B$995,Controls!$B$5&amp;"-Q1",Trial_Balance!$A$2:$A$995,Controls!$B$7)=0,"-",SUMIFS(Trial_Balance!$H$2:$H$995,Trial_Balance!$I$2:$I$995,$A14,Trial_Balance!$B$2:$B$995,Controls!$B$5&amp;"-Q1",Trial_Balance!$A$2:$A$995,Controls!$B$7))</f>
        <v>-</v>
      </c>
      <c r="C14" s="114" t="n">
        <f aca="false">IF(COUNTIFS(Trial_Balance!$B$2:$B$995,Controls!$B$5&amp;"-Q2",Trial_Balance!$A$2:$A$995,Controls!$B$7)=0,"-",SUMIFS(Trial_Balance!$H$2:$H$995,Trial_Balance!$I$2:$I$995,$A14,Trial_Balance!$B$2:$B$995,Controls!$B$5&amp;"-Q2",Trial_Balance!$A$2:$A$995,Controls!$B$7))</f>
        <v>6877195.64</v>
      </c>
      <c r="D14" s="114" t="str">
        <f aca="false">IF(COUNTIFS(Trial_Balance!$B$2:$B$995,Controls!$B$5&amp;"-Q3",Trial_Balance!$A$2:$A$995,Controls!$B$7)=0,"-",SUMIFS(Trial_Balance!$H$2:$H$995,Trial_Balance!$I$2:$I$995,$A14,Trial_Balance!$B$2:$B$995,Controls!$B$5&amp;"-Q3",Trial_Balance!$A$2:$A$995,Controls!$B$7))</f>
        <v>-</v>
      </c>
      <c r="E14" s="114" t="str">
        <f aca="false">IF(COUNTIFS(Trial_Balance!$B$2:$B$995,Controls!$B$5&amp;"-Q4",Trial_Balance!$A$2:$A$995,Controls!$B$7)=0,"-",SUMIFS(Trial_Balance!$H$2:$H$995,Trial_Balance!$I$2:$I$995,$A14,Trial_Balance!$B$2:$B$995,Controls!$B$5&amp;"-Q4",Trial_Balance!$A$2:$A$995,Controls!$B$7))</f>
        <v>-</v>
      </c>
      <c r="F14" s="68" t="str">
        <f aca="false">IF(VALUE(MID(Controls!$B$6,2,1))=1,"-",IF(AND(ISNUMBER(INDEX($B14:$E14,1,VALUE(MID(Controls!$B$6,2,1)))),ISNUMBER(INDEX($B14:$E14,1,VALUE(MID(Controls!$B$6,2,1))-1))),INDEX($B14:$E14,1,VALUE(MID(Controls!$B$6,2,1)))-INDEX($B14:$E14,1,VALUE(MID(Controls!$B$6,2,1))-1),"-"))</f>
        <v>-</v>
      </c>
      <c r="G14" s="77" t="str">
        <f aca="false">IF(ISNUMBER($F14),IFERROR($F14/ABS(INDEX($B14:$E14,1,VALUE(MID(Controls!$B$6,2,1))-1)),"-"),"-")</f>
        <v>-</v>
      </c>
      <c r="H14" s="115" t="n">
        <f aca="false">IF(AND(VALUE(MID(Controls!$B$6,2,1))&gt;1,COUNTIFS(Trial_Balance!$B$2:$B$995,Controls!$B$5&amp;"-Q"&amp;(VALUE(MID(Controls!$B$6,2,1))-1),Trial_Balance!$A$2:$A$995,Controls!$B$7)&gt;0),INDEX($B14:$E14,1,VALUE(MID(Controls!$B$6,2,1))-1),IF(COUNTIFS(Trial_Balance!$B$2:$B$995,Controls!$B$30,Trial_Balance!$A$2:$A$995,Controls!$B$7)&gt;0,SUMIFS(Trial_Balance!$E$2:$E$995,Trial_Balance!$I$2:$I$995,$A14,Trial_Balance!$B$2:$B$995,Controls!$B$30,Trial_Balance!$A$2:$A$995,Controls!$B$7),"-"))</f>
        <v>5391347.53</v>
      </c>
      <c r="I14" s="115" t="n">
        <f aca="false">INDEX($B14:$E14,1,VALUE(MID(Controls!$B$6,2,1)))</f>
        <v>6877195.64</v>
      </c>
      <c r="J14" s="115" t="n">
        <f aca="false">IF(AND(ISNUMBER($H14),ISNUMBER($I14)),$I14-$H14,"-")</f>
        <v>1485848.11</v>
      </c>
      <c r="K14" s="116" t="n">
        <f aca="false">IF(AND(ISNUMBER($J14),ISNUMBER($H14)),IFERROR($J14/ABS($H14),"-"),"-")</f>
        <v>0.275598651678832</v>
      </c>
    </row>
    <row r="15" customFormat="false" ht="13.8" hidden="false" customHeight="false" outlineLevel="0" collapsed="false">
      <c r="A15" s="67" t="s">
        <v>470</v>
      </c>
      <c r="B15" s="114" t="str">
        <f aca="false">IF(COUNTIFS(Trial_Balance!$B$2:$B$995,Controls!$B$5&amp;"-Q1",Trial_Balance!$A$2:$A$995,Controls!$B$7)=0,"-",SUMIFS(Trial_Balance!$H$2:$H$995,Trial_Balance!$I$2:$I$995,$A15,Trial_Balance!$B$2:$B$995,Controls!$B$5&amp;"-Q1",Trial_Balance!$A$2:$A$995,Controls!$B$7))</f>
        <v>-</v>
      </c>
      <c r="C15" s="114" t="n">
        <f aca="false">IF(COUNTIFS(Trial_Balance!$B$2:$B$995,Controls!$B$5&amp;"-Q2",Trial_Balance!$A$2:$A$995,Controls!$B$7)=0,"-",SUMIFS(Trial_Balance!$H$2:$H$995,Trial_Balance!$I$2:$I$995,$A15,Trial_Balance!$B$2:$B$995,Controls!$B$5&amp;"-Q2",Trial_Balance!$A$2:$A$995,Controls!$B$7))</f>
        <v>536578.52</v>
      </c>
      <c r="D15" s="114" t="str">
        <f aca="false">IF(COUNTIFS(Trial_Balance!$B$2:$B$995,Controls!$B$5&amp;"-Q3",Trial_Balance!$A$2:$A$995,Controls!$B$7)=0,"-",SUMIFS(Trial_Balance!$H$2:$H$995,Trial_Balance!$I$2:$I$995,$A15,Trial_Balance!$B$2:$B$995,Controls!$B$5&amp;"-Q3",Trial_Balance!$A$2:$A$995,Controls!$B$7))</f>
        <v>-</v>
      </c>
      <c r="E15" s="114" t="str">
        <f aca="false">IF(COUNTIFS(Trial_Balance!$B$2:$B$995,Controls!$B$5&amp;"-Q4",Trial_Balance!$A$2:$A$995,Controls!$B$7)=0,"-",SUMIFS(Trial_Balance!$H$2:$H$995,Trial_Balance!$I$2:$I$995,$A15,Trial_Balance!$B$2:$B$995,Controls!$B$5&amp;"-Q4",Trial_Balance!$A$2:$A$995,Controls!$B$7))</f>
        <v>-</v>
      </c>
      <c r="F15" s="68" t="str">
        <f aca="false">IF(VALUE(MID(Controls!$B$6,2,1))=1,"-",IF(AND(ISNUMBER(INDEX($B15:$E15,1,VALUE(MID(Controls!$B$6,2,1)))),ISNUMBER(INDEX($B15:$E15,1,VALUE(MID(Controls!$B$6,2,1))-1))),INDEX($B15:$E15,1,VALUE(MID(Controls!$B$6,2,1)))-INDEX($B15:$E15,1,VALUE(MID(Controls!$B$6,2,1))-1),"-"))</f>
        <v>-</v>
      </c>
      <c r="G15" s="77" t="str">
        <f aca="false">IF(ISNUMBER($F15),IFERROR($F15/ABS(INDEX($B15:$E15,1,VALUE(MID(Controls!$B$6,2,1))-1)),"-"),"-")</f>
        <v>-</v>
      </c>
      <c r="H15" s="115" t="n">
        <f aca="false">IF(AND(VALUE(MID(Controls!$B$6,2,1))&gt;1,COUNTIFS(Trial_Balance!$B$2:$B$995,Controls!$B$5&amp;"-Q"&amp;(VALUE(MID(Controls!$B$6,2,1))-1),Trial_Balance!$A$2:$A$995,Controls!$B$7)&gt;0),INDEX($B15:$E15,1,VALUE(MID(Controls!$B$6,2,1))-1),IF(COUNTIFS(Trial_Balance!$B$2:$B$995,Controls!$B$30,Trial_Balance!$A$2:$A$995,Controls!$B$7)&gt;0,SUMIFS(Trial_Balance!$E$2:$E$995,Trial_Balance!$I$2:$I$995,$A15,Trial_Balance!$B$2:$B$995,Controls!$B$30,Trial_Balance!$A$2:$A$995,Controls!$B$7),"-"))</f>
        <v>1291533.24</v>
      </c>
      <c r="I15" s="115" t="n">
        <f aca="false">INDEX($B15:$E15,1,VALUE(MID(Controls!$B$6,2,1)))</f>
        <v>536578.52</v>
      </c>
      <c r="J15" s="115" t="n">
        <f aca="false">IF(AND(ISNUMBER($H15),ISNUMBER($I15)),$I15-$H15,"-")</f>
        <v>-754954.72</v>
      </c>
      <c r="K15" s="116" t="n">
        <f aca="false">IF(AND(ISNUMBER($J15),ISNUMBER($H15)),IFERROR($J15/ABS($H15),"-"),"-")</f>
        <v>-0.584541455549375</v>
      </c>
    </row>
    <row r="16" customFormat="false" ht="13.8" hidden="false" customHeight="false" outlineLevel="0" collapsed="false">
      <c r="A16" s="67" t="s">
        <v>471</v>
      </c>
      <c r="B16" s="114" t="str">
        <f aca="false">IF(COUNTIFS(Trial_Balance!$B$2:$B$995,Controls!$B$5&amp;"-Q1",Trial_Balance!$A$2:$A$995,Controls!$B$7)=0,"-",SUMIFS(Trial_Balance!$H$2:$H$995,Trial_Balance!$I$2:$I$995,$A16,Trial_Balance!$B$2:$B$995,Controls!$B$5&amp;"-Q1",Trial_Balance!$A$2:$A$995,Controls!$B$7))</f>
        <v>-</v>
      </c>
      <c r="C16" s="114" t="n">
        <f aca="false">IF(COUNTIFS(Trial_Balance!$B$2:$B$995,Controls!$B$5&amp;"-Q2",Trial_Balance!$A$2:$A$995,Controls!$B$7)=0,"-",SUMIFS(Trial_Balance!$H$2:$H$995,Trial_Balance!$I$2:$I$995,$A16,Trial_Balance!$B$2:$B$995,Controls!$B$5&amp;"-Q2",Trial_Balance!$A$2:$A$995,Controls!$B$7))</f>
        <v>1539382.32</v>
      </c>
      <c r="D16" s="114" t="str">
        <f aca="false">IF(COUNTIFS(Trial_Balance!$B$2:$B$995,Controls!$B$5&amp;"-Q3",Trial_Balance!$A$2:$A$995,Controls!$B$7)=0,"-",SUMIFS(Trial_Balance!$H$2:$H$995,Trial_Balance!$I$2:$I$995,$A16,Trial_Balance!$B$2:$B$995,Controls!$B$5&amp;"-Q3",Trial_Balance!$A$2:$A$995,Controls!$B$7))</f>
        <v>-</v>
      </c>
      <c r="E16" s="114" t="str">
        <f aca="false">IF(COUNTIFS(Trial_Balance!$B$2:$B$995,Controls!$B$5&amp;"-Q4",Trial_Balance!$A$2:$A$995,Controls!$B$7)=0,"-",SUMIFS(Trial_Balance!$H$2:$H$995,Trial_Balance!$I$2:$I$995,$A16,Trial_Balance!$B$2:$B$995,Controls!$B$5&amp;"-Q4",Trial_Balance!$A$2:$A$995,Controls!$B$7))</f>
        <v>-</v>
      </c>
      <c r="F16" s="68" t="str">
        <f aca="false">IF(VALUE(MID(Controls!$B$6,2,1))=1,"-",IF(AND(ISNUMBER(INDEX($B16:$E16,1,VALUE(MID(Controls!$B$6,2,1)))),ISNUMBER(INDEX($B16:$E16,1,VALUE(MID(Controls!$B$6,2,1))-1))),INDEX($B16:$E16,1,VALUE(MID(Controls!$B$6,2,1)))-INDEX($B16:$E16,1,VALUE(MID(Controls!$B$6,2,1))-1),"-"))</f>
        <v>-</v>
      </c>
      <c r="G16" s="77" t="str">
        <f aca="false">IF(ISNUMBER($F16),IFERROR($F16/ABS(INDEX($B16:$E16,1,VALUE(MID(Controls!$B$6,2,1))-1)),"-"),"-")</f>
        <v>-</v>
      </c>
      <c r="H16" s="115" t="n">
        <f aca="false">IF(AND(VALUE(MID(Controls!$B$6,2,1))&gt;1,COUNTIFS(Trial_Balance!$B$2:$B$995,Controls!$B$5&amp;"-Q"&amp;(VALUE(MID(Controls!$B$6,2,1))-1),Trial_Balance!$A$2:$A$995,Controls!$B$7)&gt;0),INDEX($B16:$E16,1,VALUE(MID(Controls!$B$6,2,1))-1),IF(COUNTIFS(Trial_Balance!$B$2:$B$995,Controls!$B$30,Trial_Balance!$A$2:$A$995,Controls!$B$7)&gt;0,SUMIFS(Trial_Balance!$E$2:$E$995,Trial_Balance!$I$2:$I$995,$A16,Trial_Balance!$B$2:$B$995,Controls!$B$30,Trial_Balance!$A$2:$A$995,Controls!$B$7),"-"))</f>
        <v>935770.03</v>
      </c>
      <c r="I16" s="115" t="n">
        <f aca="false">INDEX($B16:$E16,1,VALUE(MID(Controls!$B$6,2,1)))</f>
        <v>1539382.32</v>
      </c>
      <c r="J16" s="115" t="n">
        <f aca="false">IF(AND(ISNUMBER($H16),ISNUMBER($I16)),$I16-$H16,"-")</f>
        <v>603612.29</v>
      </c>
      <c r="K16" s="116" t="n">
        <f aca="false">IF(AND(ISNUMBER($J16),ISNUMBER($H16)),IFERROR($J16/ABS($H16),"-"),"-")</f>
        <v>0.645043408795642</v>
      </c>
    </row>
    <row r="17" customFormat="false" ht="13.8" hidden="false" customHeight="false" outlineLevel="0" collapsed="false">
      <c r="A17" s="70" t="s">
        <v>255</v>
      </c>
      <c r="B17" s="110" t="str">
        <f aca="false">IF(COUNTIFS(Trial_Balance!$B$2:$B$995,Controls!$B$5&amp;"-Q1",Trial_Balance!$A$2:$A$995,Controls!$B$7)=0,"-",B8+B13)</f>
        <v>-</v>
      </c>
      <c r="C17" s="111" t="n">
        <f aca="false">IF(COUNTIFS(Trial_Balance!$B$2:$B$995,Controls!$B$5&amp;"-Q2",Trial_Balance!$A$2:$A$995,Controls!$B$7)=0,"-",C8+C13)</f>
        <v>11257421.3</v>
      </c>
      <c r="D17" s="110" t="str">
        <f aca="false">IF(COUNTIFS(Trial_Balance!$B$2:$B$995,Controls!$B$5&amp;"-Q3",Trial_Balance!$A$2:$A$995,Controls!$B$7)=0,"-",D8+D13)</f>
        <v>-</v>
      </c>
      <c r="E17" s="110" t="str">
        <f aca="false">IF(COUNTIFS(Trial_Balance!$B$2:$B$995,Controls!$B$5&amp;"-Q4",Trial_Balance!$A$2:$A$995,Controls!$B$7)=0,"-",E8+E13)</f>
        <v>-</v>
      </c>
      <c r="F17" s="68" t="str">
        <f aca="false">IF(VALUE(MID(Controls!$B$6,2,1))=1,"-",IF(AND(ISNUMBER(INDEX($B17:$E17,1,VALUE(MID(Controls!$B$6,2,1)))),ISNUMBER(INDEX($B17:$E17,1,VALUE(MID(Controls!$B$6,2,1))-1))),INDEX($B17:$E17,1,VALUE(MID(Controls!$B$6,2,1)))-INDEX($B17:$E17,1,VALUE(MID(Controls!$B$6,2,1))-1),"-"))</f>
        <v>-</v>
      </c>
      <c r="G17" s="77" t="str">
        <f aca="false">IF(ISNUMBER($F17),IFERROR($F17/ABS(INDEX($B17:$E17,1,VALUE(MID(Controls!$B$6,2,1))-1)),"-"),"-")</f>
        <v>-</v>
      </c>
      <c r="H17" s="112" t="n">
        <f aca="false">IF(AND(ISNUMBER(H8),ISNUMBER(H13)),H8+H13,"-")</f>
        <v>9813971.45</v>
      </c>
      <c r="I17" s="112" t="n">
        <f aca="false">INDEX($B17:$E17,1,VALUE(MID(Controls!$B$6,2,1)))</f>
        <v>11257421.3</v>
      </c>
      <c r="J17" s="112" t="n">
        <f aca="false">IF(AND(ISNUMBER($H17),ISNUMBER($I17)),$I17-$H17,"-")</f>
        <v>1443449.85</v>
      </c>
      <c r="K17" s="113" t="n">
        <f aca="false">IF(AND(ISNUMBER($J17),ISNUMBER($H17)),IFERROR($J17/ABS($H17),"-"),"-")</f>
        <v>0.147081113630099</v>
      </c>
    </row>
    <row r="18" customFormat="false" ht="13.8" hidden="false" customHeight="false" outlineLevel="0" collapsed="false">
      <c r="A18" s="70" t="s">
        <v>256</v>
      </c>
      <c r="B18" s="110" t="str">
        <f aca="false">IF(COUNTIFS(Trial_Balance!$B$2:$B$995,Controls!$B$5&amp;"-Q1",Trial_Balance!$A$2:$A$995,Controls!$B$7)=0,"-",B19+B20)</f>
        <v>-</v>
      </c>
      <c r="C18" s="110" t="n">
        <f aca="false">IF(COUNTIFS(Trial_Balance!$B$2:$B$995,Controls!$B$5&amp;"-Q2",Trial_Balance!$A$2:$A$995,Controls!$B$7)=0,"-",C19+C20)</f>
        <v>-3241948.62</v>
      </c>
      <c r="D18" s="110" t="str">
        <f aca="false">IF(COUNTIFS(Trial_Balance!$B$2:$B$995,Controls!$B$5&amp;"-Q3",Trial_Balance!$A$2:$A$995,Controls!$B$7)=0,"-",D19+D20)</f>
        <v>-</v>
      </c>
      <c r="E18" s="110" t="str">
        <f aca="false">IF(COUNTIFS(Trial_Balance!$B$2:$B$995,Controls!$B$5&amp;"-Q4",Trial_Balance!$A$2:$A$995,Controls!$B$7)=0,"-",E19+E20)</f>
        <v>-</v>
      </c>
      <c r="F18" s="68" t="str">
        <f aca="false">IF(VALUE(MID(Controls!$B$6,2,1))=1,"-",IF(AND(ISNUMBER(INDEX($B18:$E18,1,VALUE(MID(Controls!$B$6,2,1)))),ISNUMBER(INDEX($B18:$E18,1,VALUE(MID(Controls!$B$6,2,1))-1))),INDEX($B18:$E18,1,VALUE(MID(Controls!$B$6,2,1)))-INDEX($B18:$E18,1,VALUE(MID(Controls!$B$6,2,1))-1),"-"))</f>
        <v>-</v>
      </c>
      <c r="G18" s="77" t="str">
        <f aca="false">IF(ISNUMBER($F18),IFERROR($F18/ABS(INDEX($B18:$E18,1,VALUE(MID(Controls!$B$6,2,1))-1)),"-"),"-")</f>
        <v>-</v>
      </c>
      <c r="H18" s="112" t="n">
        <f aca="false">IF(AND(ISNUMBER(H19),ISNUMBER(H20)),H19+H20,"-")</f>
        <v>-3156685.44</v>
      </c>
      <c r="I18" s="112" t="n">
        <f aca="false">INDEX($B18:$E18,1,VALUE(MID(Controls!$B$6,2,1)))</f>
        <v>-3241948.62</v>
      </c>
      <c r="J18" s="112" t="n">
        <f aca="false">IF(AND(ISNUMBER($H18),ISNUMBER($I18)),$I18-$H18,"-")</f>
        <v>-85263.1800000002</v>
      </c>
      <c r="K18" s="113" t="n">
        <f aca="false">IF(AND(ISNUMBER($J18),ISNUMBER($H18)),IFERROR($J18/ABS($H18),"-"),"-")</f>
        <v>-0.0270103504516434</v>
      </c>
    </row>
    <row r="19" customFormat="false" ht="13.8" hidden="false" customHeight="false" outlineLevel="0" collapsed="false">
      <c r="A19" s="67" t="s">
        <v>472</v>
      </c>
      <c r="B19" s="114" t="str">
        <f aca="false">IF(COUNTIFS(Trial_Balance!$B$2:$B$995,Controls!$B$5&amp;"-Q1",Trial_Balance!$A$2:$A$995,Controls!$B$7)=0,"-",SUMIFS(Trial_Balance!$H$2:$H$995,Trial_Balance!$I$2:$I$995,$A19,Trial_Balance!$B$2:$B$995,Controls!$B$5&amp;"-Q1",Trial_Balance!$A$2:$A$995,Controls!$B$7))</f>
        <v>-</v>
      </c>
      <c r="C19" s="114" t="n">
        <f aca="false">IF(COUNTIFS(Trial_Balance!$B$2:$B$995,Controls!$B$5&amp;"-Q2",Trial_Balance!$A$2:$A$995,Controls!$B$7)=0,"-",SUMIFS(Trial_Balance!$H$2:$H$995,Trial_Balance!$I$2:$I$995,$A19,Trial_Balance!$B$2:$B$995,Controls!$B$5&amp;"-Q2",Trial_Balance!$A$2:$A$995,Controls!$B$7))</f>
        <v>-2328909.27</v>
      </c>
      <c r="D19" s="114" t="str">
        <f aca="false">IF(COUNTIFS(Trial_Balance!$B$2:$B$995,Controls!$B$5&amp;"-Q3",Trial_Balance!$A$2:$A$995,Controls!$B$7)=0,"-",SUMIFS(Trial_Balance!$H$2:$H$995,Trial_Balance!$I$2:$I$995,$A19,Trial_Balance!$B$2:$B$995,Controls!$B$5&amp;"-Q3",Trial_Balance!$A$2:$A$995,Controls!$B$7))</f>
        <v>-</v>
      </c>
      <c r="E19" s="114" t="str">
        <f aca="false">IF(COUNTIFS(Trial_Balance!$B$2:$B$995,Controls!$B$5&amp;"-Q4",Trial_Balance!$A$2:$A$995,Controls!$B$7)=0,"-",SUMIFS(Trial_Balance!$H$2:$H$995,Trial_Balance!$I$2:$I$995,$A19,Trial_Balance!$B$2:$B$995,Controls!$B$5&amp;"-Q4",Trial_Balance!$A$2:$A$995,Controls!$B$7))</f>
        <v>-</v>
      </c>
      <c r="F19" s="68" t="str">
        <f aca="false">IF(VALUE(MID(Controls!$B$6,2,1))=1,"-",IF(AND(ISNUMBER(INDEX($B19:$E19,1,VALUE(MID(Controls!$B$6,2,1)))),ISNUMBER(INDEX($B19:$E19,1,VALUE(MID(Controls!$B$6,2,1))-1))),INDEX($B19:$E19,1,VALUE(MID(Controls!$B$6,2,1)))-INDEX($B19:$E19,1,VALUE(MID(Controls!$B$6,2,1))-1),"-"))</f>
        <v>-</v>
      </c>
      <c r="G19" s="77" t="str">
        <f aca="false">IF(ISNUMBER($F19),IFERROR($F19/ABS(INDEX($B19:$E19,1,VALUE(MID(Controls!$B$6,2,1))-1)),"-"),"-")</f>
        <v>-</v>
      </c>
      <c r="H19" s="115" t="n">
        <f aca="false">IF(AND(VALUE(MID(Controls!$B$6,2,1))&gt;1,COUNTIFS(Trial_Balance!$B$2:$B$995,Controls!$B$5&amp;"-Q"&amp;(VALUE(MID(Controls!$B$6,2,1))-1),Trial_Balance!$A$2:$A$995,Controls!$B$7)&gt;0),INDEX($B19:$E19,1,VALUE(MID(Controls!$B$6,2,1))-1),IF(COUNTIFS(Trial_Balance!$B$2:$B$995,Controls!$B$30,Trial_Balance!$A$2:$A$995,Controls!$B$7)&gt;0,SUMIFS(Trial_Balance!$E$2:$E$995,Trial_Balance!$I$2:$I$995,$A19,Trial_Balance!$B$2:$B$995,Controls!$B$30,Trial_Balance!$A$2:$A$995,Controls!$B$7),"-"))</f>
        <v>-2618676.95</v>
      </c>
      <c r="I19" s="115" t="n">
        <f aca="false">INDEX($B19:$E19,1,VALUE(MID(Controls!$B$6,2,1)))</f>
        <v>-2328909.27</v>
      </c>
      <c r="J19" s="115" t="n">
        <f aca="false">IF(AND(ISNUMBER($H19),ISNUMBER($I19)),$I19-$H19,"-")</f>
        <v>289767.68</v>
      </c>
      <c r="K19" s="116" t="n">
        <f aca="false">IF(AND(ISNUMBER($J19),ISNUMBER($H19)),IFERROR($J19/ABS($H19),"-"),"-")</f>
        <v>0.110654229419173</v>
      </c>
    </row>
    <row r="20" customFormat="false" ht="13.8" hidden="false" customHeight="false" outlineLevel="0" collapsed="false">
      <c r="A20" s="67" t="s">
        <v>473</v>
      </c>
      <c r="B20" s="114" t="str">
        <f aca="false">IF(COUNTIFS(Trial_Balance!$B$2:$B$995,Controls!$B$5&amp;"-Q1",Trial_Balance!$A$2:$A$995,Controls!$B$7)=0,"-",SUMIFS(Trial_Balance!$H$2:$H$995,Trial_Balance!$I$2:$I$995,$A20,Trial_Balance!$B$2:$B$995,Controls!$B$5&amp;"-Q1",Trial_Balance!$A$2:$A$995,Controls!$B$7))</f>
        <v>-</v>
      </c>
      <c r="C20" s="114" t="n">
        <f aca="false">IF(COUNTIFS(Trial_Balance!$B$2:$B$995,Controls!$B$5&amp;"-Q2",Trial_Balance!$A$2:$A$995,Controls!$B$7)=0,"-",SUMIFS(Trial_Balance!$H$2:$H$995,Trial_Balance!$I$2:$I$995,$A20,Trial_Balance!$B$2:$B$995,Controls!$B$5&amp;"-Q2",Trial_Balance!$A$2:$A$995,Controls!$B$7))</f>
        <v>-913039.35</v>
      </c>
      <c r="D20" s="114" t="str">
        <f aca="false">IF(COUNTIFS(Trial_Balance!$B$2:$B$995,Controls!$B$5&amp;"-Q3",Trial_Balance!$A$2:$A$995,Controls!$B$7)=0,"-",SUMIFS(Trial_Balance!$H$2:$H$995,Trial_Balance!$I$2:$I$995,$A20,Trial_Balance!$B$2:$B$995,Controls!$B$5&amp;"-Q3",Trial_Balance!$A$2:$A$995,Controls!$B$7))</f>
        <v>-</v>
      </c>
      <c r="E20" s="114" t="str">
        <f aca="false">IF(COUNTIFS(Trial_Balance!$B$2:$B$995,Controls!$B$5&amp;"-Q4",Trial_Balance!$A$2:$A$995,Controls!$B$7)=0,"-",SUMIFS(Trial_Balance!$H$2:$H$995,Trial_Balance!$I$2:$I$995,$A20,Trial_Balance!$B$2:$B$995,Controls!$B$5&amp;"-Q4",Trial_Balance!$A$2:$A$995,Controls!$B$7))</f>
        <v>-</v>
      </c>
      <c r="F20" s="68" t="str">
        <f aca="false">IF(VALUE(MID(Controls!$B$6,2,1))=1,"-",IF(AND(ISNUMBER(INDEX($B20:$E20,1,VALUE(MID(Controls!$B$6,2,1)))),ISNUMBER(INDEX($B20:$E20,1,VALUE(MID(Controls!$B$6,2,1))-1))),INDEX($B20:$E20,1,VALUE(MID(Controls!$B$6,2,1)))-INDEX($B20:$E20,1,VALUE(MID(Controls!$B$6,2,1))-1),"-"))</f>
        <v>-</v>
      </c>
      <c r="G20" s="77" t="str">
        <f aca="false">IF(ISNUMBER($F20),IFERROR($F20/ABS(INDEX($B20:$E20,1,VALUE(MID(Controls!$B$6,2,1))-1)),"-"),"-")</f>
        <v>-</v>
      </c>
      <c r="H20" s="115" t="n">
        <f aca="false">IF(AND(VALUE(MID(Controls!$B$6,2,1))&gt;1,COUNTIFS(Trial_Balance!$B$2:$B$995,Controls!$B$5&amp;"-Q"&amp;(VALUE(MID(Controls!$B$6,2,1))-1),Trial_Balance!$A$2:$A$995,Controls!$B$7)&gt;0),INDEX($B20:$E20,1,VALUE(MID(Controls!$B$6,2,1))-1),IF(COUNTIFS(Trial_Balance!$B$2:$B$995,Controls!$B$30,Trial_Balance!$A$2:$A$995,Controls!$B$7)&gt;0,SUMIFS(Trial_Balance!$E$2:$E$995,Trial_Balance!$I$2:$I$995,$A20,Trial_Balance!$B$2:$B$995,Controls!$B$30,Trial_Balance!$A$2:$A$995,Controls!$B$7),"-"))</f>
        <v>-538008.49</v>
      </c>
      <c r="I20" s="115" t="n">
        <f aca="false">INDEX($B20:$E20,1,VALUE(MID(Controls!$B$6,2,1)))</f>
        <v>-913039.35</v>
      </c>
      <c r="J20" s="115" t="n">
        <f aca="false">IF(AND(ISNUMBER($H20),ISNUMBER($I20)),$I20-$H20,"-")</f>
        <v>-375030.86</v>
      </c>
      <c r="K20" s="116" t="n">
        <f aca="false">IF(AND(ISNUMBER($J20),ISNUMBER($H20)),IFERROR($J20/ABS($H20),"-"),"-")</f>
        <v>-0.697072382630988</v>
      </c>
    </row>
    <row r="21" customFormat="false" ht="13.8" hidden="false" customHeight="false" outlineLevel="0" collapsed="false">
      <c r="A21" s="70" t="s">
        <v>257</v>
      </c>
      <c r="B21" s="110" t="str">
        <f aca="false">IF(COUNTIFS(Trial_Balance!$B$2:$B$995,Controls!$B$5&amp;"-Q1",Trial_Balance!$A$2:$A$995,Controls!$B$7)=0,"-",B22)</f>
        <v>-</v>
      </c>
      <c r="C21" s="110" t="n">
        <f aca="false">IF(COUNTIFS(Trial_Balance!$B$2:$B$995,Controls!$B$5&amp;"-Q2",Trial_Balance!$A$2:$A$995,Controls!$B$7)=0,"-",C22)</f>
        <v>-0.33</v>
      </c>
      <c r="D21" s="110" t="str">
        <f aca="false">IF(COUNTIFS(Trial_Balance!$B$2:$B$995,Controls!$B$5&amp;"-Q3",Trial_Balance!$A$2:$A$995,Controls!$B$7)=0,"-",D22)</f>
        <v>-</v>
      </c>
      <c r="E21" s="110" t="str">
        <f aca="false">IF(COUNTIFS(Trial_Balance!$B$2:$B$995,Controls!$B$5&amp;"-Q4",Trial_Balance!$A$2:$A$995,Controls!$B$7)=0,"-",E22)</f>
        <v>-</v>
      </c>
      <c r="F21" s="68" t="str">
        <f aca="false">IF(VALUE(MID(Controls!$B$6,2,1))=1,"-",IF(AND(ISNUMBER(INDEX($B21:$E21,1,VALUE(MID(Controls!$B$6,2,1)))),ISNUMBER(INDEX($B21:$E21,1,VALUE(MID(Controls!$B$6,2,1))-1))),INDEX($B21:$E21,1,VALUE(MID(Controls!$B$6,2,1)))-INDEX($B21:$E21,1,VALUE(MID(Controls!$B$6,2,1))-1),"-"))</f>
        <v>-</v>
      </c>
      <c r="G21" s="77" t="str">
        <f aca="false">IF(ISNUMBER($F21),IFERROR($F21/ABS(INDEX($B21:$E21,1,VALUE(MID(Controls!$B$6,2,1))-1)),"-"),"-")</f>
        <v>-</v>
      </c>
      <c r="H21" s="112" t="n">
        <f aca="false">IF(ISNUMBER(H22),H22,"-")</f>
        <v>-0.33</v>
      </c>
      <c r="I21" s="112" t="n">
        <f aca="false">INDEX($B21:$E21,1,VALUE(MID(Controls!$B$6,2,1)))</f>
        <v>-0.33</v>
      </c>
      <c r="J21" s="112" t="n">
        <f aca="false">IF(AND(ISNUMBER($H21),ISNUMBER($I21)),$I21-$H21,"-")</f>
        <v>0</v>
      </c>
      <c r="K21" s="113" t="n">
        <f aca="false">IF(AND(ISNUMBER($J21),ISNUMBER($H21)),IFERROR($J21/ABS($H21),"-"),"-")</f>
        <v>0</v>
      </c>
    </row>
    <row r="22" customFormat="false" ht="13.8" hidden="false" customHeight="false" outlineLevel="0" collapsed="false">
      <c r="A22" s="67" t="s">
        <v>474</v>
      </c>
      <c r="B22" s="114" t="str">
        <f aca="false">IF(COUNTIFS(Trial_Balance!$B$2:$B$995,Controls!$B$5&amp;"-Q1",Trial_Balance!$A$2:$A$995,Controls!$B$7)=0,"-",SUMIFS(Trial_Balance!$H$2:$H$995,Trial_Balance!$I$2:$I$995,$A22,Trial_Balance!$B$2:$B$995,Controls!$B$5&amp;"-Q1",Trial_Balance!$A$2:$A$995,Controls!$B$7))</f>
        <v>-</v>
      </c>
      <c r="C22" s="114" t="n">
        <f aca="false">IF(COUNTIFS(Trial_Balance!$B$2:$B$995,Controls!$B$5&amp;"-Q2",Trial_Balance!$A$2:$A$995,Controls!$B$7)=0,"-",SUMIFS(Trial_Balance!$H$2:$H$995,Trial_Balance!$I$2:$I$995,$A22,Trial_Balance!$B$2:$B$995,Controls!$B$5&amp;"-Q2",Trial_Balance!$A$2:$A$995,Controls!$B$7))</f>
        <v>-0.33</v>
      </c>
      <c r="D22" s="114" t="str">
        <f aca="false">IF(COUNTIFS(Trial_Balance!$B$2:$B$995,Controls!$B$5&amp;"-Q3",Trial_Balance!$A$2:$A$995,Controls!$B$7)=0,"-",SUMIFS(Trial_Balance!$H$2:$H$995,Trial_Balance!$I$2:$I$995,$A22,Trial_Balance!$B$2:$B$995,Controls!$B$5&amp;"-Q3",Trial_Balance!$A$2:$A$995,Controls!$B$7))</f>
        <v>-</v>
      </c>
      <c r="E22" s="114" t="str">
        <f aca="false">IF(COUNTIFS(Trial_Balance!$B$2:$B$995,Controls!$B$5&amp;"-Q4",Trial_Balance!$A$2:$A$995,Controls!$B$7)=0,"-",SUMIFS(Trial_Balance!$H$2:$H$995,Trial_Balance!$I$2:$I$995,$A22,Trial_Balance!$B$2:$B$995,Controls!$B$5&amp;"-Q4",Trial_Balance!$A$2:$A$995,Controls!$B$7))</f>
        <v>-</v>
      </c>
      <c r="F22" s="68" t="str">
        <f aca="false">IF(VALUE(MID(Controls!$B$6,2,1))=1,"-",IF(AND(ISNUMBER(INDEX($B22:$E22,1,VALUE(MID(Controls!$B$6,2,1)))),ISNUMBER(INDEX($B22:$E22,1,VALUE(MID(Controls!$B$6,2,1))-1))),INDEX($B22:$E22,1,VALUE(MID(Controls!$B$6,2,1)))-INDEX($B22:$E22,1,VALUE(MID(Controls!$B$6,2,1))-1),"-"))</f>
        <v>-</v>
      </c>
      <c r="G22" s="77" t="str">
        <f aca="false">IF(ISNUMBER($F22),IFERROR($F22/ABS(INDEX($B22:$E22,1,VALUE(MID(Controls!$B$6,2,1))-1)),"-"),"-")</f>
        <v>-</v>
      </c>
      <c r="H22" s="115" t="n">
        <f aca="false">IF(AND(VALUE(MID(Controls!$B$6,2,1))&gt;1,COUNTIFS(Trial_Balance!$B$2:$B$995,Controls!$B$5&amp;"-Q"&amp;(VALUE(MID(Controls!$B$6,2,1))-1),Trial_Balance!$A$2:$A$995,Controls!$B$7)&gt;0),INDEX($B22:$E22,1,VALUE(MID(Controls!$B$6,2,1))-1),IF(COUNTIFS(Trial_Balance!$B$2:$B$995,Controls!$B$30,Trial_Balance!$A$2:$A$995,Controls!$B$7)&gt;0,SUMIFS(Trial_Balance!$E$2:$E$995,Trial_Balance!$I$2:$I$995,$A22,Trial_Balance!$B$2:$B$995,Controls!$B$30,Trial_Balance!$A$2:$A$995,Controls!$B$7),"-"))</f>
        <v>-0.33</v>
      </c>
      <c r="I22" s="115" t="n">
        <f aca="false">INDEX($B22:$E22,1,VALUE(MID(Controls!$B$6,2,1)))</f>
        <v>-0.33</v>
      </c>
      <c r="J22" s="115" t="n">
        <f aca="false">IF(AND(ISNUMBER($H22),ISNUMBER($I22)),$I22-$H22,"-")</f>
        <v>0</v>
      </c>
      <c r="K22" s="116" t="n">
        <f aca="false">IF(AND(ISNUMBER($J22),ISNUMBER($H22)),IFERROR($J22/ABS($H22),"-"),"-")</f>
        <v>0</v>
      </c>
    </row>
    <row r="23" customFormat="false" ht="13.8" hidden="false" customHeight="false" outlineLevel="0" collapsed="false">
      <c r="A23" s="70" t="s">
        <v>258</v>
      </c>
      <c r="B23" s="110" t="str">
        <f aca="false">IF(COUNTIFS(Trial_Balance!$B$2:$B$995,Controls!$B$5&amp;"-Q1",Trial_Balance!$A$2:$A$995,Controls!$B$7)=0,"-",B18+B21)</f>
        <v>-</v>
      </c>
      <c r="C23" s="110" t="n">
        <f aca="false">IF(COUNTIFS(Trial_Balance!$B$2:$B$995,Controls!$B$5&amp;"-Q2",Trial_Balance!$A$2:$A$995,Controls!$B$7)=0,"-",C18+C21)</f>
        <v>-3241948.95</v>
      </c>
      <c r="D23" s="110" t="str">
        <f aca="false">IF(COUNTIFS(Trial_Balance!$B$2:$B$995,Controls!$B$5&amp;"-Q3",Trial_Balance!$A$2:$A$995,Controls!$B$7)=0,"-",D18+D21)</f>
        <v>-</v>
      </c>
      <c r="E23" s="110" t="str">
        <f aca="false">IF(COUNTIFS(Trial_Balance!$B$2:$B$995,Controls!$B$5&amp;"-Q4",Trial_Balance!$A$2:$A$995,Controls!$B$7)=0,"-",E18+E21)</f>
        <v>-</v>
      </c>
      <c r="F23" s="68" t="str">
        <f aca="false">IF(VALUE(MID(Controls!$B$6,2,1))=1,"-",IF(AND(ISNUMBER(INDEX($B23:$E23,1,VALUE(MID(Controls!$B$6,2,1)))),ISNUMBER(INDEX($B23:$E23,1,VALUE(MID(Controls!$B$6,2,1))-1))),INDEX($B23:$E23,1,VALUE(MID(Controls!$B$6,2,1)))-INDEX($B23:$E23,1,VALUE(MID(Controls!$B$6,2,1))-1),"-"))</f>
        <v>-</v>
      </c>
      <c r="G23" s="77" t="str">
        <f aca="false">IF(ISNUMBER($F23),IFERROR($F23/ABS(INDEX($B23:$E23,1,VALUE(MID(Controls!$B$6,2,1))-1)),"-"),"-")</f>
        <v>-</v>
      </c>
      <c r="H23" s="112" t="n">
        <f aca="false">IF(AND(ISNUMBER(H18),ISNUMBER(H21)),H18+H21,"-")</f>
        <v>-3156685.77</v>
      </c>
      <c r="I23" s="112" t="n">
        <f aca="false">INDEX($B23:$E23,1,VALUE(MID(Controls!$B$6,2,1)))</f>
        <v>-3241948.95</v>
      </c>
      <c r="J23" s="112" t="n">
        <f aca="false">IF(AND(ISNUMBER($H23),ISNUMBER($I23)),$I23-$H23,"-")</f>
        <v>-85263.1800000002</v>
      </c>
      <c r="K23" s="113" t="n">
        <f aca="false">IF(AND(ISNUMBER($J23),ISNUMBER($H23)),IFERROR($J23/ABS($H23),"-"),"-")</f>
        <v>-0.0270103476279808</v>
      </c>
    </row>
    <row r="24" customFormat="false" ht="13.8" hidden="false" customHeight="false" outlineLevel="0" collapsed="false">
      <c r="A24" s="70" t="s">
        <v>259</v>
      </c>
      <c r="B24" s="110" t="str">
        <f aca="false">IF(COUNTIFS(Trial_Balance!$B$2:$B$995,Controls!$B$5&amp;"-Q1",Trial_Balance!$A$2:$A$995,Controls!$B$7)=0,"-",B17+B23)</f>
        <v>-</v>
      </c>
      <c r="C24" s="111" t="n">
        <f aca="false">IF(COUNTIFS(Trial_Balance!$B$2:$B$995,Controls!$B$5&amp;"-Q2",Trial_Balance!$A$2:$A$995,Controls!$B$7)=0,"-",C17+C23)</f>
        <v>8015472.35</v>
      </c>
      <c r="D24" s="110" t="str">
        <f aca="false">IF(COUNTIFS(Trial_Balance!$B$2:$B$995,Controls!$B$5&amp;"-Q3",Trial_Balance!$A$2:$A$995,Controls!$B$7)=0,"-",D17+D23)</f>
        <v>-</v>
      </c>
      <c r="E24" s="110" t="str">
        <f aca="false">IF(COUNTIFS(Trial_Balance!$B$2:$B$995,Controls!$B$5&amp;"-Q4",Trial_Balance!$A$2:$A$995,Controls!$B$7)=0,"-",E17+E23)</f>
        <v>-</v>
      </c>
      <c r="F24" s="68" t="str">
        <f aca="false">IF(VALUE(MID(Controls!$B$6,2,1))=1,"-",IF(AND(ISNUMBER(INDEX($B24:$E24,1,VALUE(MID(Controls!$B$6,2,1)))),ISNUMBER(INDEX($B24:$E24,1,VALUE(MID(Controls!$B$6,2,1))-1))),INDEX($B24:$E24,1,VALUE(MID(Controls!$B$6,2,1)))-INDEX($B24:$E24,1,VALUE(MID(Controls!$B$6,2,1))-1),"-"))</f>
        <v>-</v>
      </c>
      <c r="G24" s="77" t="str">
        <f aca="false">IF(ISNUMBER($F24),IFERROR($F24/ABS(INDEX($B24:$E24,1,VALUE(MID(Controls!$B$6,2,1))-1)),"-"),"-")</f>
        <v>-</v>
      </c>
      <c r="H24" s="112" t="n">
        <f aca="false">IF(AND(ISNUMBER(H17),ISNUMBER(H23)),H17+H23,"-")</f>
        <v>6657285.68</v>
      </c>
      <c r="I24" s="112" t="n">
        <f aca="false">INDEX($B24:$E24,1,VALUE(MID(Controls!$B$6,2,1)))</f>
        <v>8015472.35</v>
      </c>
      <c r="J24" s="112" t="n">
        <f aca="false">IF(AND(ISNUMBER($H24),ISNUMBER($I24)),$I24-$H24,"-")</f>
        <v>1358186.67</v>
      </c>
      <c r="K24" s="113" t="n">
        <f aca="false">IF(AND(ISNUMBER($J24),ISNUMBER($H24)),IFERROR($J24/ABS($H24),"-"),"-")</f>
        <v>0.204015079911667</v>
      </c>
    </row>
    <row r="25" customFormat="false" ht="13.8" hidden="false" customHeight="false" outlineLevel="0" collapsed="false">
      <c r="A25" s="70" t="s">
        <v>260</v>
      </c>
      <c r="B25" s="110" t="str">
        <f aca="false">IF(COUNTIFS(Trial_Balance!$B$2:$B$995,Controls!$B$5&amp;"-Q1",Trial_Balance!$A$2:$A$995,Controls!$B$7)=0,"-",B26+B27+B28)</f>
        <v>-</v>
      </c>
      <c r="C25" s="110" t="n">
        <f aca="false">IF(COUNTIFS(Trial_Balance!$B$2:$B$995,Controls!$B$5&amp;"-Q2",Trial_Balance!$A$2:$A$995,Controls!$B$7)=0,"-",C26+C27+C28)</f>
        <v>-8015472.35</v>
      </c>
      <c r="D25" s="110" t="str">
        <f aca="false">IF(COUNTIFS(Trial_Balance!$B$2:$B$995,Controls!$B$5&amp;"-Q3",Trial_Balance!$A$2:$A$995,Controls!$B$7)=0,"-",D26+D27+D28)</f>
        <v>-</v>
      </c>
      <c r="E25" s="110" t="str">
        <f aca="false">IF(COUNTIFS(Trial_Balance!$B$2:$B$995,Controls!$B$5&amp;"-Q4",Trial_Balance!$A$2:$A$995,Controls!$B$7)=0,"-",E26+E27+E28)</f>
        <v>-</v>
      </c>
      <c r="F25" s="68" t="str">
        <f aca="false">IF(VALUE(MID(Controls!$B$6,2,1))=1,"-",IF(AND(ISNUMBER(INDEX($B25:$E25,1,VALUE(MID(Controls!$B$6,2,1)))),ISNUMBER(INDEX($B25:$E25,1,VALUE(MID(Controls!$B$6,2,1))-1))),INDEX($B25:$E25,1,VALUE(MID(Controls!$B$6,2,1)))-INDEX($B25:$E25,1,VALUE(MID(Controls!$B$6,2,1))-1),"-"))</f>
        <v>-</v>
      </c>
      <c r="G25" s="77" t="str">
        <f aca="false">IF(ISNUMBER($F25),IFERROR($F25/ABS(INDEX($B25:$E25,1,VALUE(MID(Controls!$B$6,2,1))-1)),"-"),"-")</f>
        <v>-</v>
      </c>
      <c r="H25" s="112" t="n">
        <f aca="false">IF(ISNUMBER(H26),SUM(H26:H28),"-")</f>
        <v>-6657285.68</v>
      </c>
      <c r="I25" s="112" t="n">
        <f aca="false">INDEX($B25:$E25,1,VALUE(MID(Controls!$B$6,2,1)))</f>
        <v>-8015472.35</v>
      </c>
      <c r="J25" s="112" t="n">
        <f aca="false">IF(AND(ISNUMBER($H25),ISNUMBER($I25)),$I25-$H25,"-")</f>
        <v>-1358186.67</v>
      </c>
      <c r="K25" s="113" t="n">
        <f aca="false">IF(AND(ISNUMBER($J25),ISNUMBER($H25)),IFERROR($J25/ABS($H25),"-"),"-")</f>
        <v>-0.204015079911667</v>
      </c>
    </row>
    <row r="26" customFormat="false" ht="13.8" hidden="false" customHeight="false" outlineLevel="0" collapsed="false">
      <c r="A26" s="67" t="s">
        <v>475</v>
      </c>
      <c r="B26" s="114" t="str">
        <f aca="false">IF(COUNTIFS(Trial_Balance!$B$2:$B$995,Controls!$B$5&amp;"-Q1",Trial_Balance!$A$2:$A$995,Controls!$B$7)=0,"-",SUMIFS(Trial_Balance!$H$2:$H$995,Trial_Balance!$I$2:$I$995,$A26,Trial_Balance!$B$2:$B$995,Controls!$B$5&amp;"-Q1",Trial_Balance!$A$2:$A$995,Controls!$B$7))</f>
        <v>-</v>
      </c>
      <c r="C26" s="114" t="n">
        <f aca="false">IF(COUNTIFS(Trial_Balance!$B$2:$B$995,Controls!$B$5&amp;"-Q2",Trial_Balance!$A$2:$A$995,Controls!$B$7)=0,"-",SUMIFS(Trial_Balance!$H$2:$H$995,Trial_Balance!$I$2:$I$995,$A26,Trial_Balance!$B$2:$B$995,Controls!$B$5&amp;"-Q2",Trial_Balance!$A$2:$A$995,Controls!$B$7))</f>
        <v>-19999.87</v>
      </c>
      <c r="D26" s="114" t="str">
        <f aca="false">IF(COUNTIFS(Trial_Balance!$B$2:$B$995,Controls!$B$5&amp;"-Q3",Trial_Balance!$A$2:$A$995,Controls!$B$7)=0,"-",SUMIFS(Trial_Balance!$H$2:$H$995,Trial_Balance!$I$2:$I$995,$A26,Trial_Balance!$B$2:$B$995,Controls!$B$5&amp;"-Q3",Trial_Balance!$A$2:$A$995,Controls!$B$7))</f>
        <v>-</v>
      </c>
      <c r="E26" s="114" t="str">
        <f aca="false">IF(COUNTIFS(Trial_Balance!$B$2:$B$995,Controls!$B$5&amp;"-Q4",Trial_Balance!$A$2:$A$995,Controls!$B$7)=0,"-",SUMIFS(Trial_Balance!$H$2:$H$995,Trial_Balance!$I$2:$I$995,$A26,Trial_Balance!$B$2:$B$995,Controls!$B$5&amp;"-Q4",Trial_Balance!$A$2:$A$995,Controls!$B$7))</f>
        <v>-</v>
      </c>
      <c r="F26" s="68" t="str">
        <f aca="false">IF(VALUE(MID(Controls!$B$6,2,1))=1,"-",IF(AND(ISNUMBER(INDEX($B26:$E26,1,VALUE(MID(Controls!$B$6,2,1)))),ISNUMBER(INDEX($B26:$E26,1,VALUE(MID(Controls!$B$6,2,1))-1))),INDEX($B26:$E26,1,VALUE(MID(Controls!$B$6,2,1)))-INDEX($B26:$E26,1,VALUE(MID(Controls!$B$6,2,1))-1),"-"))</f>
        <v>-</v>
      </c>
      <c r="G26" s="77" t="str">
        <f aca="false">IF(ISNUMBER($F26),IFERROR($F26/ABS(INDEX($B26:$E26,1,VALUE(MID(Controls!$B$6,2,1))-1)),"-"),"-")</f>
        <v>-</v>
      </c>
      <c r="H26" s="115" t="n">
        <f aca="false">IF(AND(VALUE(MID(Controls!$B$6,2,1))&gt;1,COUNTIFS(Trial_Balance!$B$2:$B$995,Controls!$B$5&amp;"-Q"&amp;(VALUE(MID(Controls!$B$6,2,1))-1),Trial_Balance!$A$2:$A$995,Controls!$B$7)&gt;0),INDEX($B26:$E26,1,VALUE(MID(Controls!$B$6,2,1))-1),IF(COUNTIFS(Trial_Balance!$B$2:$B$995,Controls!$B$30,Trial_Balance!$A$2:$A$995,Controls!$B$7)&gt;0,SUMIFS(Trial_Balance!$E$2:$E$995,Trial_Balance!$I$2:$I$995,$A26,Trial_Balance!$B$2:$B$995,Controls!$B$30,Trial_Balance!$A$2:$A$995,Controls!$B$7),"-"))</f>
        <v>-19999.87</v>
      </c>
      <c r="I26" s="115" t="n">
        <f aca="false">INDEX($B26:$E26,1,VALUE(MID(Controls!$B$6,2,1)))</f>
        <v>-19999.87</v>
      </c>
      <c r="J26" s="115" t="n">
        <f aca="false">IF(AND(ISNUMBER($H26),ISNUMBER($I26)),$I26-$H26,"-")</f>
        <v>0</v>
      </c>
      <c r="K26" s="116" t="n">
        <f aca="false">IF(AND(ISNUMBER($J26),ISNUMBER($H26)),IFERROR($J26/ABS($H26),"-"),"-")</f>
        <v>0</v>
      </c>
    </row>
    <row r="27" customFormat="false" ht="13.8" hidden="false" customHeight="false" outlineLevel="0" collapsed="false">
      <c r="A27" s="67" t="s">
        <v>476</v>
      </c>
      <c r="B27" s="114" t="str">
        <f aca="false">IF(COUNTIFS(Trial_Balance!$B$2:$B$995,Controls!$B$5&amp;"-Q1",Trial_Balance!$A$2:$A$995,Controls!$B$7)=0,"-",SUMIFS(Trial_Balance!$H$2:$H$995,Trial_Balance!$I$2:$I$995,$A27,Trial_Balance!$B$2:$B$995,Controls!$B$5&amp;"-Q1",Trial_Balance!$A$2:$A$995,Controls!$B$7))</f>
        <v>-</v>
      </c>
      <c r="C27" s="114" t="n">
        <f aca="false">IF(COUNTIFS(Trial_Balance!$B$2:$B$995,Controls!$B$5&amp;"-Q2",Trial_Balance!$A$2:$A$995,Controls!$B$7)=0,"-",SUMIFS(Trial_Balance!$H$2:$H$995,Trial_Balance!$I$2:$I$995,$A27,Trial_Balance!$B$2:$B$995,Controls!$B$5&amp;"-Q2",Trial_Balance!$A$2:$A$995,Controls!$B$7))</f>
        <v>-5476584.98</v>
      </c>
      <c r="D27" s="114" t="str">
        <f aca="false">IF(COUNTIFS(Trial_Balance!$B$2:$B$995,Controls!$B$5&amp;"-Q3",Trial_Balance!$A$2:$A$995,Controls!$B$7)=0,"-",SUMIFS(Trial_Balance!$H$2:$H$995,Trial_Balance!$I$2:$I$995,$A27,Trial_Balance!$B$2:$B$995,Controls!$B$5&amp;"-Q3",Trial_Balance!$A$2:$A$995,Controls!$B$7))</f>
        <v>-</v>
      </c>
      <c r="E27" s="114" t="str">
        <f aca="false">IF(COUNTIFS(Trial_Balance!$B$2:$B$995,Controls!$B$5&amp;"-Q4",Trial_Balance!$A$2:$A$995,Controls!$B$7)=0,"-",SUMIFS(Trial_Balance!$H$2:$H$995,Trial_Balance!$I$2:$I$995,$A27,Trial_Balance!$B$2:$B$995,Controls!$B$5&amp;"-Q4",Trial_Balance!$A$2:$A$995,Controls!$B$7))</f>
        <v>-</v>
      </c>
      <c r="F27" s="68" t="str">
        <f aca="false">IF(VALUE(MID(Controls!$B$6,2,1))=1,"-",IF(AND(ISNUMBER(INDEX($B27:$E27,1,VALUE(MID(Controls!$B$6,2,1)))),ISNUMBER(INDEX($B27:$E27,1,VALUE(MID(Controls!$B$6,2,1))-1))),INDEX($B27:$E27,1,VALUE(MID(Controls!$B$6,2,1)))-INDEX($B27:$E27,1,VALUE(MID(Controls!$B$6,2,1))-1),"-"))</f>
        <v>-</v>
      </c>
      <c r="G27" s="77" t="str">
        <f aca="false">IF(ISNUMBER($F27),IFERROR($F27/ABS(INDEX($B27:$E27,1,VALUE(MID(Controls!$B$6,2,1))-1)),"-"),"-")</f>
        <v>-</v>
      </c>
      <c r="H27" s="115" t="n">
        <f aca="false">IF(AND(VALUE(MID(Controls!$B$6,2,1))&gt;1,COUNTIFS(Trial_Balance!$B$2:$B$995,Controls!$B$5&amp;"-Q"&amp;(VALUE(MID(Controls!$B$6,2,1))-1),Trial_Balance!$A$2:$A$995,Controls!$B$7)&gt;0),INDEX($B27:$E27,1,VALUE(MID(Controls!$B$6,2,1))-1),IF(COUNTIFS(Trial_Balance!$B$2:$B$995,Controls!$B$30,Trial_Balance!$A$2:$A$995,Controls!$B$7)&gt;0,SUMIFS(Trial_Balance!$E$2:$E$995,Trial_Balance!$I$2:$I$995,$A27,Trial_Balance!$B$2:$B$995,Controls!$B$30,Trial_Balance!$A$2:$A$995,Controls!$B$7),"-"))</f>
        <v>-5476584.98</v>
      </c>
      <c r="I27" s="115" t="n">
        <f aca="false">INDEX($B27:$E27,1,VALUE(MID(Controls!$B$6,2,1)))</f>
        <v>-5476584.98</v>
      </c>
      <c r="J27" s="115" t="n">
        <f aca="false">IF(AND(ISNUMBER($H27),ISNUMBER($I27)),$I27-$H27,"-")</f>
        <v>0</v>
      </c>
      <c r="K27" s="116" t="n">
        <f aca="false">IF(AND(ISNUMBER($J27),ISNUMBER($H27)),IFERROR($J27/ABS($H27),"-"),"-")</f>
        <v>0</v>
      </c>
    </row>
    <row r="28" customFormat="false" ht="13.8" hidden="false" customHeight="false" outlineLevel="0" collapsed="false">
      <c r="A28" s="67" t="s">
        <v>477</v>
      </c>
      <c r="B28" s="114" t="str">
        <f aca="false">IF(COUNTIFS(Trial_Balance!$B$2:$B$995,Controls!$B$5&amp;"-Q1",Trial_Balance!$A$2:$A$995,Controls!$B$7)=0,"-",SUMIFS(Trial_Balance!$H$2:$H$995,Trial_Balance!$I$2:$I$995,$A28,Trial_Balance!$B$2:$B$995,Controls!$B$5&amp;"-Q1",Trial_Balance!$A$2:$A$995,Controls!$B$7))</f>
        <v>-</v>
      </c>
      <c r="C28" s="114" t="n">
        <f aca="false">IF(COUNTIFS(Trial_Balance!$B$2:$B$995,Controls!$B$5&amp;"-Q2",Trial_Balance!$A$2:$A$995,Controls!$B$7)=0,"-",SUMIFS(Trial_Balance!$H$2:$H$995,Trial_Balance!$I$2:$I$995,$A28,Trial_Balance!$B$2:$B$995,Controls!$B$5&amp;"-Q2",Trial_Balance!$A$2:$A$995,Controls!$B$7))</f>
        <v>-2518887.5</v>
      </c>
      <c r="D28" s="114" t="str">
        <f aca="false">IF(COUNTIFS(Trial_Balance!$B$2:$B$995,Controls!$B$5&amp;"-Q3",Trial_Balance!$A$2:$A$995,Controls!$B$7)=0,"-",SUMIFS(Trial_Balance!$H$2:$H$995,Trial_Balance!$I$2:$I$995,$A28,Trial_Balance!$B$2:$B$995,Controls!$B$5&amp;"-Q3",Trial_Balance!$A$2:$A$995,Controls!$B$7))</f>
        <v>-</v>
      </c>
      <c r="E28" s="114" t="str">
        <f aca="false">IF(COUNTIFS(Trial_Balance!$B$2:$B$995,Controls!$B$5&amp;"-Q4",Trial_Balance!$A$2:$A$995,Controls!$B$7)=0,"-",SUMIFS(Trial_Balance!$H$2:$H$995,Trial_Balance!$I$2:$I$995,$A28,Trial_Balance!$B$2:$B$995,Controls!$B$5&amp;"-Q4",Trial_Balance!$A$2:$A$995,Controls!$B$7))</f>
        <v>-</v>
      </c>
      <c r="F28" s="68" t="str">
        <f aca="false">IF(VALUE(MID(Controls!$B$6,2,1))=1,"-",IF(AND(ISNUMBER(INDEX($B28:$E28,1,VALUE(MID(Controls!$B$6,2,1)))),ISNUMBER(INDEX($B28:$E28,1,VALUE(MID(Controls!$B$6,2,1))-1))),INDEX($B28:$E28,1,VALUE(MID(Controls!$B$6,2,1)))-INDEX($B28:$E28,1,VALUE(MID(Controls!$B$6,2,1))-1),"-"))</f>
        <v>-</v>
      </c>
      <c r="G28" s="77" t="str">
        <f aca="false">IF(ISNUMBER($F28),IFERROR($F28/ABS(INDEX($B28:$E28,1,VALUE(MID(Controls!$B$6,2,1))-1)),"-"),"-")</f>
        <v>-</v>
      </c>
      <c r="H28" s="115" t="n">
        <f aca="false">IF(AND(VALUE(MID(Controls!$B$6,2,1))&gt;1,COUNTIFS(Trial_Balance!$B$2:$B$995,Controls!$B$5&amp;"-Q"&amp;(VALUE(MID(Controls!$B$6,2,1))-1),Trial_Balance!$A$2:$A$995,Controls!$B$7)&gt;0),INDEX($B28:$E28,1,VALUE(MID(Controls!$B$6,2,1))-1),IF(COUNTIFS(Trial_Balance!$B$2:$B$995,Controls!$B$30,Trial_Balance!$A$2:$A$995,Controls!$B$7)&gt;0,SUMIFS(Trial_Balance!$E$2:$E$995,Trial_Balance!$I$2:$I$995,$A28,Trial_Balance!$B$2:$B$995,Controls!$B$30,Trial_Balance!$A$2:$A$995,Controls!$B$7),"-"))</f>
        <v>-1160700.83</v>
      </c>
      <c r="I28" s="115" t="n">
        <f aca="false">INDEX($B28:$E28,1,VALUE(MID(Controls!$B$6,2,1)))</f>
        <v>-2518887.5</v>
      </c>
      <c r="J28" s="115" t="n">
        <f aca="false">IF(AND(ISNUMBER($H28),ISNUMBER($I28)),$I28-$H28,"-")</f>
        <v>-1358186.67</v>
      </c>
      <c r="K28" s="116" t="n">
        <f aca="false">IF(AND(ISNUMBER($J28),ISNUMBER($H28)),IFERROR($J28/ABS($H28),"-"),"-")</f>
        <v>-1.17014361917877</v>
      </c>
    </row>
    <row r="29" customFormat="false" ht="13.8" hidden="false" customHeight="false" outlineLevel="0" collapsed="false">
      <c r="B29" s="117"/>
      <c r="C29" s="117"/>
      <c r="D29" s="117"/>
      <c r="E29" s="117"/>
      <c r="F29" s="117"/>
      <c r="H29" s="118" t="s">
        <v>478</v>
      </c>
      <c r="I29" s="118" t="s">
        <v>479</v>
      </c>
    </row>
    <row r="30" customFormat="false" ht="13.8" hidden="false" customHeight="false" outlineLevel="0" collapsed="false">
      <c r="A30" s="14" t="s">
        <v>480</v>
      </c>
      <c r="B30" s="117"/>
      <c r="C30" s="1" t="n">
        <f aca="false">IF(ISNUMBER(B17),B24+B25,0)</f>
        <v>0</v>
      </c>
      <c r="D30" s="117" t="n">
        <f aca="false">IF(ISNUMBER(C17),C24+C25,0)</f>
        <v>0</v>
      </c>
      <c r="E30" s="117" t="n">
        <f aca="false">IF(ISNUMBER(D17),D24+D25,0)</f>
        <v>0</v>
      </c>
      <c r="F30" s="117" t="n">
        <f aca="false">IF(ISNUMBER(E17),E24+E25,0)</f>
        <v>0</v>
      </c>
      <c r="H30" s="1" t="n">
        <f aca="false">IF(ISNUMBER(H24),H24+H25,0)</f>
        <v>0</v>
      </c>
      <c r="I30" s="1" t="n">
        <f aca="false">IF(ISNUMBER(I24),I24+I25,0)</f>
        <v>0</v>
      </c>
    </row>
    <row r="31" customFormat="false" ht="13.8" hidden="false" customHeight="false" outlineLevel="0" collapsed="false">
      <c r="B31" s="117"/>
      <c r="C31" s="117"/>
      <c r="D31" s="117"/>
      <c r="E31" s="117"/>
      <c r="F31" s="117"/>
    </row>
    <row r="32" customFormat="false" ht="13.8" hidden="false" customHeight="false" outlineLevel="0" collapsed="false">
      <c r="A32" s="96" t="s">
        <v>481</v>
      </c>
      <c r="B32" s="117"/>
      <c r="C32" s="117"/>
      <c r="D32" s="117"/>
      <c r="E32" s="117"/>
      <c r="F32" s="117"/>
    </row>
    <row r="33" customFormat="false" ht="13.8" hidden="false" customHeight="false" outlineLevel="0" collapsed="false">
      <c r="A33" s="67" t="s">
        <v>261</v>
      </c>
      <c r="B33" s="114"/>
      <c r="C33" s="114" t="str">
        <f aca="false">IFERROR(IF(AND(ISNUMBER(B13),ISNUMBER(B18)),B13/ABS(B18),"-"),"-")</f>
        <v>-</v>
      </c>
      <c r="D33" s="114" t="n">
        <f aca="false">IFERROR(IF(AND(ISNUMBER(C13),ISNUMBER(C18)),C13/ABS(C18),"-"),"-")</f>
        <v>2.76165896793269</v>
      </c>
      <c r="E33" s="114" t="str">
        <f aca="false">IFERROR(IF(AND(ISNUMBER(D13),ISNUMBER(D18)),D13/ABS(D18),"-"),"-")</f>
        <v>-</v>
      </c>
      <c r="F33" s="114" t="str">
        <f aca="false">IFERROR(IF(AND(ISNUMBER(E13),ISNUMBER(E18)),E13/ABS(E18),"-"),"-")</f>
        <v>-</v>
      </c>
      <c r="G33" s="67"/>
      <c r="H33" s="67"/>
    </row>
    <row r="34" customFormat="false" ht="13.8" hidden="false" customHeight="false" outlineLevel="0" collapsed="false">
      <c r="A34" s="67" t="s">
        <v>262</v>
      </c>
      <c r="B34" s="114"/>
      <c r="C34" s="114" t="str">
        <f aca="false">IF(AND(ISNUMBER(B13),ISNUMBER(B18)),B13+B18,"-")</f>
        <v>-</v>
      </c>
      <c r="D34" s="114" t="n">
        <f aca="false">IF(AND(ISNUMBER(C13),ISNUMBER(C18)),C13+C18,"-")</f>
        <v>5711207.86</v>
      </c>
      <c r="E34" s="114" t="str">
        <f aca="false">IF(AND(ISNUMBER(D13),ISNUMBER(D18)),D13+D18,"-")</f>
        <v>-</v>
      </c>
      <c r="F34" s="114" t="str">
        <f aca="false">IF(AND(ISNUMBER(E13),ISNUMBER(E18)),E13+E18,"-")</f>
        <v>-</v>
      </c>
      <c r="G34" s="67"/>
      <c r="H34" s="67"/>
    </row>
    <row r="35" customFormat="false" ht="13.8" hidden="false" customHeight="false" outlineLevel="0" collapsed="false">
      <c r="A35" s="67" t="s">
        <v>482</v>
      </c>
      <c r="B35" s="114"/>
      <c r="C35" s="114" t="n">
        <f aca="false">SUMIFS(MM_FixedCost!$F$5:$F$78,MM_FixedCost!$E$5:$E$78,"Core")/12</f>
        <v>989163.755833333</v>
      </c>
      <c r="D35" s="114" t="n">
        <f aca="false">SUMIFS(MM_FixedCost!$F$5:$F$78,MM_FixedCost!$E$5:$E$78,"Core")/12</f>
        <v>989163.755833333</v>
      </c>
      <c r="E35" s="114" t="n">
        <f aca="false">SUMIFS(MM_FixedCost!$F$5:$F$78,MM_FixedCost!$E$5:$E$78,"Core")/12</f>
        <v>989163.755833333</v>
      </c>
      <c r="F35" s="114" t="n">
        <f aca="false">SUMIFS(MM_FixedCost!$F$5:$F$78,MM_FixedCost!$E$5:$E$78,"Core")/12</f>
        <v>989163.755833333</v>
      </c>
      <c r="G35" s="67"/>
      <c r="H35" s="67"/>
    </row>
    <row r="36" customFormat="false" ht="13.8" hidden="false" customHeight="false" outlineLevel="0" collapsed="false">
      <c r="A36" s="67" t="s">
        <v>263</v>
      </c>
      <c r="B36" s="114"/>
      <c r="C36" s="114" t="str">
        <f aca="false">IFERROR(C34/C35,"-")</f>
        <v>-</v>
      </c>
      <c r="D36" s="114" t="n">
        <f aca="false">IFERROR(D34/D35,"-")</f>
        <v>5.77377388356544</v>
      </c>
      <c r="E36" s="114" t="str">
        <f aca="false">IFERROR(E34/E35,"-")</f>
        <v>-</v>
      </c>
      <c r="F36" s="114" t="str">
        <f aca="false">IFERROR(F34/F35,"-")</f>
        <v>-</v>
      </c>
      <c r="G36" s="67"/>
      <c r="H36" s="67"/>
    </row>
    <row r="37" customFormat="false" ht="13.8" hidden="false" customHeight="false" outlineLevel="0" collapsed="false">
      <c r="A37" s="67" t="s">
        <v>264</v>
      </c>
      <c r="B37" s="114"/>
      <c r="C37" s="114" t="str">
        <f aca="false">IF(COUNTIFS(Trial_Balance!$B$2:$B$995,Controls!$B$5&amp;"-Q1",Trial_Balance!$A$2:$A$995,Controls!$B$7)=0,"-",SUMIFS(Trial_Balance!$H$2:$H$995,Trial_Balance!$J$2:$J$995,"?*",Trial_Balance!$B$2:$B$995,Controls!$B$5&amp;"-Q1",Trial_Balance!$A$2:$A$995,Controls!$B$7))</f>
        <v>-</v>
      </c>
      <c r="D37" s="114" t="n">
        <f aca="false">IF(COUNTIFS(Trial_Balance!$B$2:$B$995,Controls!$B$5&amp;"-Q2",Trial_Balance!$A$2:$A$995,Controls!$B$7)=0,"-",SUMIFS(Trial_Balance!$H$2:$H$995,Trial_Balance!$J$2:$J$995,"?*",Trial_Balance!$B$2:$B$995,Controls!$B$5&amp;"-Q2",Trial_Balance!$A$2:$A$995,Controls!$B$7))</f>
        <v>134284.6</v>
      </c>
      <c r="E37" s="114" t="str">
        <f aca="false">IF(COUNTIFS(Trial_Balance!$B$2:$B$995,Controls!$B$5&amp;"-Q3",Trial_Balance!$A$2:$A$995,Controls!$B$7)=0,"-",SUMIFS(Trial_Balance!$H$2:$H$995,Trial_Balance!$J$2:$J$995,"?*",Trial_Balance!$B$2:$B$995,Controls!$B$5&amp;"-Q3",Trial_Balance!$A$2:$A$995,Controls!$B$7))</f>
        <v>-</v>
      </c>
      <c r="F37" s="114" t="str">
        <f aca="false">IF(COUNTIFS(Trial_Balance!$B$2:$B$995,Controls!$B$5&amp;"-Q4",Trial_Balance!$A$2:$A$995,Controls!$B$7)=0,"-",SUMIFS(Trial_Balance!$H$2:$H$995,Trial_Balance!$J$2:$J$995,"?*",Trial_Balance!$B$2:$B$995,Controls!$B$5&amp;"-Q4",Trial_Balance!$A$2:$A$995,Controls!$B$7))</f>
        <v>-</v>
      </c>
      <c r="G37" s="67"/>
      <c r="H37" s="67"/>
    </row>
    <row r="38" customFormat="false" ht="13.8" hidden="false" customHeight="false" outlineLevel="0" collapsed="false">
      <c r="A38" s="67" t="s">
        <v>483</v>
      </c>
      <c r="B38" s="114"/>
      <c r="C38" s="114" t="n">
        <f aca="false">C30</f>
        <v>0</v>
      </c>
      <c r="D38" s="114" t="n">
        <f aca="false">D30</f>
        <v>0</v>
      </c>
      <c r="E38" s="114" t="n">
        <f aca="false">E30</f>
        <v>0</v>
      </c>
      <c r="F38" s="114" t="n">
        <f aca="false">F30</f>
        <v>0</v>
      </c>
      <c r="G38" s="67"/>
      <c r="H38" s="67"/>
    </row>
    <row r="39" customFormat="false" ht="13.8" hidden="false" customHeight="false" outlineLevel="0" collapsed="false">
      <c r="A39" s="1" t="s">
        <v>484</v>
      </c>
      <c r="C39" s="1" t="s">
        <v>485</v>
      </c>
      <c r="D39" s="1" t="str">
        <f aca="false">IFERROR(IF(OR(COUNTIFS(Trial_Balance!$B$2:$B$995,Controls!$B$5&amp;"-Q2",Trial_Balance!$A$2:$A$995,Controls!$B$7)=0,B17="-"),"-",SUMPRODUCT(SUMIFS(Trial_Balance!$E$2:$E$995,Trial_Balance!$I$2:$I$995,$A$9:$A$12,Trial_Balance!$B$2:$B$995,Controls!$B$5&amp;"-Q2",Trial_Balance!$A$2:$A$995,Controls!$B$7))+SUMPRODUCT(SUMIFS(Trial_Balance!$E$2:$E$995,Trial_Balance!$I$2:$I$995,$A$14:$A$16,Trial_Balance!$B$2:$B$995,Controls!$B$5&amp;"-Q2",Trial_Balance!$A$2:$A$995,Controls!$B$7))-N(B17)),"-")</f>
        <v>-</v>
      </c>
      <c r="E39" s="1" t="str">
        <f aca="false">IFERROR(IF(OR(COUNTIFS(Trial_Balance!$B$2:$B$995,Controls!$B$5&amp;"-Q3",Trial_Balance!$A$2:$A$995,Controls!$B$7)=0,C17="-"),"-",SUMPRODUCT(SUMIFS(Trial_Balance!$E$2:$E$995,Trial_Balance!$I$2:$I$995,$A$9:$A$12,Trial_Balance!$B$2:$B$995,Controls!$B$5&amp;"-Q3",Trial_Balance!$A$2:$A$995,Controls!$B$7))+SUMPRODUCT(SUMIFS(Trial_Balance!$E$2:$E$995,Trial_Balance!$I$2:$I$995,$A$14:$A$16,Trial_Balance!$B$2:$B$995,Controls!$B$5&amp;"-Q3",Trial_Balance!$A$2:$A$995,Controls!$B$7))-N(C17)),"-")</f>
        <v>-</v>
      </c>
      <c r="F39" s="1" t="str">
        <f aca="false">IFERROR(IF(OR(COUNTIFS(Trial_Balance!$B$2:$B$995,Controls!$B$5&amp;"-Q4",Trial_Balance!$A$2:$A$995,Controls!$B$7)=0,D17="-"),"-",SUMPRODUCT(SUMIFS(Trial_Balance!$E$2:$E$995,Trial_Balance!$I$2:$I$995,$A$9:$A$12,Trial_Balance!$B$2:$B$995,Controls!$B$5&amp;"-Q4",Trial_Balance!$A$2:$A$995,Controls!$B$7))+SUMPRODUCT(SUMIFS(Trial_Balance!$E$2:$E$995,Trial_Balance!$I$2:$I$995,$A$14:$A$16,Trial_Balance!$B$2:$B$995,Controls!$B$5&amp;"-Q4",Trial_Balance!$A$2:$A$995,Controls!$B$7))-N(D17)),"-")</f>
        <v>-</v>
      </c>
    </row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O1" activeCellId="0" sqref="O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3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9" min="8" style="1" width="15"/>
    <col collapsed="false" customWidth="true" hidden="false" outlineLevel="0" max="11" min="10" style="1" width="12"/>
    <col collapsed="false" customWidth="true" hidden="false" outlineLevel="0" max="13" min="12" style="1" width="10"/>
  </cols>
  <sheetData>
    <row r="1" customFormat="false" ht="19.5" hidden="false" customHeight="true" outlineLevel="0" collapsed="false">
      <c r="A1" s="62" t="str">
        <f aca="false">"Trial Balance Review — "&amp;Controls!$B$8&amp;" — "&amp;$O$1</f>
        <v>Trial Balance Review — PC Ghana — 2026-Q2</v>
      </c>
      <c r="N1" s="14" t="s">
        <v>486</v>
      </c>
      <c r="O1" s="0" t="str">
        <f aca="false">IF(COUNTIFS(Trial_Balance!$B$2:$B$995,Controls!$B$30,Trial_Balance!$A$2:$A$995,Controls!$B$7)&gt;0,Controls!$B$30,IF(COUNTIFS(Trial_Balance!$B$2:$B$995,Controls!$B$5&amp;"-Q4",Trial_Balance!$A$2:$A$995,Controls!$B$7)&gt;0,Controls!$B$5&amp;"-Q4",IF(COUNTIFS(Trial_Balance!$B$2:$B$995,Controls!$B$5&amp;"-Q3",Trial_Balance!$A$2:$A$995,Controls!$B$7)&gt;0,Controls!$B$5&amp;"-Q3",IF(COUNTIFS(Trial_Balance!$B$2:$B$995,Controls!$B$5&amp;"-Q2",Trial_Balance!$A$2:$A$995,Controls!$B$7)&gt;0,Controls!$B$5&amp;"-Q2",IF(COUNTIFS(Trial_Balance!$B$2:$B$995,Controls!$B$5&amp;"-Q1",Trial_Balance!$A$2:$A$995,Controls!$B$7)&gt;0,Controls!$B$5&amp;"-Q1",Controls!$B$30)))))</f>
        <v>2026-Q2</v>
      </c>
      <c r="P1" s="1" t="s">
        <v>487</v>
      </c>
    </row>
    <row r="2" customFormat="false" ht="13.5" hidden="false" customHeight="false" outlineLevel="0" collapsed="false">
      <c r="A2" s="3" t="s">
        <v>488</v>
      </c>
    </row>
    <row r="3" customFormat="false" ht="13.5" hidden="false" customHeight="false" outlineLevel="0" collapsed="false">
      <c r="A3" s="4" t="s">
        <v>489</v>
      </c>
      <c r="C3" s="4" t="s">
        <v>490</v>
      </c>
      <c r="E3" s="4" t="s">
        <v>491</v>
      </c>
      <c r="G3" s="4" t="s">
        <v>492</v>
      </c>
    </row>
    <row r="4" customFormat="false" ht="18.75" hidden="false" customHeight="true" outlineLevel="0" collapsed="false">
      <c r="A4" s="119" t="n">
        <f aca="false">COUNTIFS(Trial_Balance!$B$2:$B$995,$O$1,Trial_Balance!$A$2:$A$995,Controls!$B$7)</f>
        <v>118</v>
      </c>
      <c r="C4" s="120" t="n">
        <f aca="false">SUMIFS(Trial_Balance!$H$2:$H$995,Trial_Balance!$B$2:$B$995,$O$1,Trial_Balance!$A$2:$A$995,Controls!$B$7)</f>
        <v>6.77572423515849E-010</v>
      </c>
      <c r="E4" s="119" t="n">
        <f aca="false">Checks!$B$24</f>
        <v>0</v>
      </c>
      <c r="G4" s="119" t="n">
        <f aca="false">Checks!$B$33</f>
        <v>0</v>
      </c>
    </row>
    <row r="6" customFormat="false" ht="13.5" hidden="false" customHeight="false" outlineLevel="0" collapsed="false">
      <c r="A6" s="4" t="s">
        <v>493</v>
      </c>
      <c r="C6" s="4" t="s">
        <v>494</v>
      </c>
      <c r="E6" s="4" t="s">
        <v>495</v>
      </c>
      <c r="G6" s="4" t="s">
        <v>496</v>
      </c>
    </row>
    <row r="7" customFormat="false" ht="18.75" hidden="false" customHeight="true" outlineLevel="0" collapsed="false">
      <c r="A7" s="119" t="n">
        <f aca="false">SUM($K$41:$K$170)</f>
        <v>18</v>
      </c>
      <c r="C7" s="119" t="n">
        <f aca="false">SUM($L$41:$L$170)</f>
        <v>11</v>
      </c>
      <c r="E7" s="120" t="n">
        <f aca="false">IFERROR(LARGE($J$41:$J$170,1),0)</f>
        <v>2260770.60000011</v>
      </c>
      <c r="G7" s="120" t="n">
        <f aca="false">IFERROR(--INDEX(Balance_Sheet!$C$37:$F$37,1,VALUE(MID(Controls!$B$6,2,1))),0)</f>
        <v>134284.6</v>
      </c>
    </row>
    <row r="8" customFormat="false" ht="13.5" hidden="false" customHeight="false" outlineLevel="0" collapsed="false">
      <c r="H8" s="66" t="s">
        <v>497</v>
      </c>
    </row>
    <row r="9" customFormat="false" ht="13.5" hidden="false" customHeight="false" outlineLevel="0" collapsed="false">
      <c r="A9" s="7" t="s">
        <v>498</v>
      </c>
      <c r="B9" s="7"/>
      <c r="C9" s="7"/>
      <c r="D9" s="7"/>
      <c r="E9" s="7"/>
      <c r="F9" s="7"/>
    </row>
    <row r="10" customFormat="false" ht="13.5" hidden="false" customHeight="false" outlineLevel="0" collapsed="false">
      <c r="A10" s="56" t="s">
        <v>499</v>
      </c>
      <c r="B10" s="56" t="s">
        <v>500</v>
      </c>
      <c r="C10" s="56" t="s">
        <v>501</v>
      </c>
      <c r="D10" s="56" t="s">
        <v>478</v>
      </c>
      <c r="E10" s="56" t="s">
        <v>479</v>
      </c>
      <c r="F10" s="56" t="s">
        <v>464</v>
      </c>
    </row>
    <row r="11" customFormat="false" ht="13.5" hidden="false" customHeight="false" outlineLevel="0" collapsed="false">
      <c r="A11" s="67" t="n">
        <v>1</v>
      </c>
      <c r="B11" s="67" t="str">
        <f aca="false">IFERROR(INDEX($A:$A,MATCH(LARGE($J$41:$J$170,1),$J$41:$J$170,0)+40),"—")</f>
        <v>4000</v>
      </c>
      <c r="C11" s="67" t="str">
        <f aca="false">IFERROR(INDEX($B:$B,MATCH(LARGE($J$41:$J$170,1),$J$41:$J$170,0)+40),"—")</f>
        <v>Consultancy (Fees Contract) Income</v>
      </c>
      <c r="D11" s="68" t="n">
        <f aca="false">IFERROR(INDEX($E:$E,MATCH(LARGE($J$41:$J$170,1),$J$41:$J$170,0)+40),"—")</f>
        <v>-2449460.04</v>
      </c>
      <c r="E11" s="68" t="n">
        <f aca="false">IFERROR(INDEX($H:$H,MATCH(LARGE($J$41:$J$170,1),$J$41:$J$170,0)+40),"—")</f>
        <v>-4710230.64</v>
      </c>
      <c r="F11" s="68" t="n">
        <f aca="false">IFERROR(INDEX($I:$I,MATCH(LARGE($J$41:$J$170,1),$J$41:$J$170,0)+40),"—")</f>
        <v>-2260770.6</v>
      </c>
    </row>
    <row r="12" customFormat="false" ht="13.5" hidden="false" customHeight="false" outlineLevel="0" collapsed="false">
      <c r="A12" s="67" t="n">
        <v>2</v>
      </c>
      <c r="B12" s="67" t="str">
        <f aca="false">IFERROR(INDEX($A:$A,MATCH(LARGE($J$41:$J$170,2),$J$41:$J$170,0)+40),"—")</f>
        <v>4050</v>
      </c>
      <c r="C12" s="67" t="str">
        <f aca="false">IFERROR(INDEX($B:$B,MATCH(LARGE($J$41:$J$170,2),$J$41:$J$170,0)+40),"—")</f>
        <v>Consultancy (PG+PC Contract Fees) Income</v>
      </c>
      <c r="D12" s="68" t="n">
        <f aca="false">IFERROR(INDEX($E:$E,MATCH(LARGE($J$41:$J$170,2),$J$41:$J$170,0)+40),"—")</f>
        <v>-376399.08</v>
      </c>
      <c r="E12" s="68" t="n">
        <f aca="false">IFERROR(INDEX($H:$H,MATCH(LARGE($J$41:$J$170,2),$J$41:$J$170,0)+40),"—")</f>
        <v>-2486538.68</v>
      </c>
      <c r="F12" s="68" t="n">
        <f aca="false">IFERROR(INDEX($I:$I,MATCH(LARGE($J$41:$J$170,2),$J$41:$J$170,0)+40),"—")</f>
        <v>-2110139.6</v>
      </c>
    </row>
    <row r="13" customFormat="false" ht="13.5" hidden="false" customHeight="false" outlineLevel="0" collapsed="false">
      <c r="A13" s="67" t="n">
        <v>3</v>
      </c>
      <c r="B13" s="67" t="str">
        <f aca="false">IFERROR(INDEX($A:$A,MATCH(LARGE($J$41:$J$170,3),$J$41:$J$170,0)+40),"—")</f>
        <v>6000</v>
      </c>
      <c r="C13" s="67" t="str">
        <f aca="false">IFERROR(INDEX($B:$B,MATCH(LARGE($J$41:$J$170,3),$J$41:$J$170,0)+40),"—")</f>
        <v>Technical - Salaries</v>
      </c>
      <c r="D13" s="68" t="n">
        <f aca="false">IFERROR(INDEX($E:$E,MATCH(LARGE($J$41:$J$170,3),$J$41:$J$170,0)+40),"—")</f>
        <v>1318800.09</v>
      </c>
      <c r="E13" s="68" t="n">
        <f aca="false">IFERROR(INDEX($H:$H,MATCH(LARGE($J$41:$J$170,3),$J$41:$J$170,0)+40),"—")</f>
        <v>2684369.48</v>
      </c>
      <c r="F13" s="68" t="n">
        <f aca="false">IFERROR(INDEX($I:$I,MATCH(LARGE($J$41:$J$170,3),$J$41:$J$170,0)+40),"—")</f>
        <v>1365569.39</v>
      </c>
    </row>
    <row r="14" customFormat="false" ht="13.5" hidden="false" customHeight="false" outlineLevel="0" collapsed="false">
      <c r="A14" s="67" t="n">
        <v>4</v>
      </c>
      <c r="B14" s="67" t="str">
        <f aca="false">IFERROR(INDEX($A:$A,MATCH(LARGE($J$41:$J$170,4),$J$41:$J$170,0)+40),"—")</f>
        <v>1185</v>
      </c>
      <c r="C14" s="67" t="str">
        <f aca="false">IFERROR(INDEX($B:$B,MATCH(LARGE($J$41:$J$170,4),$J$41:$J$170,0)+40),"—")</f>
        <v>INTER COMPANY-PIA- Proforest Initiative Africa (PIGH)</v>
      </c>
      <c r="D14" s="68" t="n">
        <f aca="false">IFERROR(INDEX($E:$E,MATCH(LARGE($J$41:$J$170,4),$J$41:$J$170,0)+40),"—")</f>
        <v>-1180853.75</v>
      </c>
      <c r="E14" s="68" t="n">
        <f aca="false">IFERROR(INDEX($H:$H,MATCH(LARGE($J$41:$J$170,4),$J$41:$J$170,0)+40),"—")</f>
        <v>0</v>
      </c>
      <c r="F14" s="68" t="n">
        <f aca="false">IFERROR(INDEX($I:$I,MATCH(LARGE($J$41:$J$170,4),$J$41:$J$170,0)+40),"—")</f>
        <v>1180853.75</v>
      </c>
    </row>
    <row r="15" customFormat="false" ht="13.5" hidden="false" customHeight="false" outlineLevel="0" collapsed="false">
      <c r="A15" s="67" t="n">
        <v>5</v>
      </c>
      <c r="B15" s="67" t="str">
        <f aca="false">IFERROR(INDEX($A:$A,MATCH(LARGE($J$41:$J$170,5),$J$41:$J$170,0)+40),"—")</f>
        <v>1100</v>
      </c>
      <c r="C15" s="67" t="str">
        <f aca="false">IFERROR(INDEX($B:$B,MATCH(LARGE($J$41:$J$170,5),$J$41:$J$170,0)+40),"—")</f>
        <v>Debtors Control Account</v>
      </c>
      <c r="D15" s="68" t="n">
        <f aca="false">IFERROR(INDEX($E:$E,MATCH(LARGE($J$41:$J$170,5),$J$41:$J$170,0)+40),"—")</f>
        <v>4576083.16</v>
      </c>
      <c r="E15" s="68" t="n">
        <f aca="false">IFERROR(INDEX($H:$H,MATCH(LARGE($J$41:$J$170,5),$J$41:$J$170,0)+40),"—")</f>
        <v>5632577.64</v>
      </c>
      <c r="F15" s="68" t="n">
        <f aca="false">IFERROR(INDEX($I:$I,MATCH(LARGE($J$41:$J$170,5),$J$41:$J$170,0)+40),"—")</f>
        <v>1056494.48</v>
      </c>
    </row>
    <row r="16" customFormat="false" ht="13.5" hidden="false" customHeight="false" outlineLevel="0" collapsed="false">
      <c r="A16" s="67" t="n">
        <v>6</v>
      </c>
      <c r="B16" s="67" t="str">
        <f aca="false">IFERROR(INDEX($A:$A,MATCH(LARGE($J$41:$J$170,6),$J$41:$J$170,0)+40),"—")</f>
        <v>5200</v>
      </c>
      <c r="C16" s="67" t="str">
        <f aca="false">IFERROR(INDEX($B:$B,MATCH(LARGE($J$41:$J$170,6),$J$41:$J$170,0)+40),"—")</f>
        <v>Recoverable Project Expenses</v>
      </c>
      <c r="D16" s="68" t="n">
        <f aca="false">IFERROR(INDEX($E:$E,MATCH(LARGE($J$41:$J$170,6),$J$41:$J$170,0)+40),"—")</f>
        <v>151893.42</v>
      </c>
      <c r="E16" s="68" t="n">
        <f aca="false">IFERROR(INDEX($H:$H,MATCH(LARGE($J$41:$J$170,6),$J$41:$J$170,0)+40),"—")</f>
        <v>968118.94</v>
      </c>
      <c r="F16" s="68" t="n">
        <f aca="false">IFERROR(INDEX($I:$I,MATCH(LARGE($J$41:$J$170,6),$J$41:$J$170,0)+40),"—")</f>
        <v>816225.52</v>
      </c>
    </row>
    <row r="17" customFormat="false" ht="13.5" hidden="false" customHeight="false" outlineLevel="0" collapsed="false">
      <c r="A17" s="67" t="n">
        <v>7</v>
      </c>
      <c r="B17" s="67" t="str">
        <f aca="false">IFERROR(INDEX($A:$A,MATCH(LARGE($J$41:$J$170,7),$J$41:$J$170,0)+40),"—")</f>
        <v>4002</v>
      </c>
      <c r="C17" s="67" t="str">
        <f aca="false">IFERROR(INDEX($B:$B,MATCH(LARGE($J$41:$J$170,7),$J$41:$J$170,0)+40),"—")</f>
        <v>Grant Income</v>
      </c>
      <c r="D17" s="68" t="n">
        <f aca="false">IFERROR(INDEX($E:$E,MATCH(LARGE($J$41:$J$170,7),$J$41:$J$170,0)+40),"—")</f>
        <v>-725884.66</v>
      </c>
      <c r="E17" s="68" t="n">
        <f aca="false">IFERROR(INDEX($H:$H,MATCH(LARGE($J$41:$J$170,7),$J$41:$J$170,0)+40),"—")</f>
        <v>-1338817.4</v>
      </c>
      <c r="F17" s="68" t="n">
        <f aca="false">IFERROR(INDEX($I:$I,MATCH(LARGE($J$41:$J$170,7),$J$41:$J$170,0)+40),"—")</f>
        <v>-612932.74</v>
      </c>
    </row>
    <row r="18" customFormat="false" ht="13.5" hidden="false" customHeight="false" outlineLevel="0" collapsed="false">
      <c r="A18" s="67" t="n">
        <v>8</v>
      </c>
      <c r="B18" s="67" t="str">
        <f aca="false">IFERROR(INDEX($A:$A,MATCH(LARGE($J$41:$J$170,8),$J$41:$J$170,0)+40),"—")</f>
        <v>7000</v>
      </c>
      <c r="C18" s="67" t="str">
        <f aca="false">IFERROR(INDEX($B:$B,MATCH(LARGE($J$41:$J$170,8),$J$41:$J$170,0)+40),"—")</f>
        <v>Support - Salaries</v>
      </c>
      <c r="D18" s="68" t="n">
        <f aca="false">IFERROR(INDEX($E:$E,MATCH(LARGE($J$41:$J$170,8),$J$41:$J$170,0)+40),"—")</f>
        <v>537714.27</v>
      </c>
      <c r="E18" s="68" t="n">
        <f aca="false">IFERROR(INDEX($H:$H,MATCH(LARGE($J$41:$J$170,8),$J$41:$J$170,0)+40),"—")</f>
        <v>1075428.54</v>
      </c>
      <c r="F18" s="68" t="n">
        <f aca="false">IFERROR(INDEX($I:$I,MATCH(LARGE($J$41:$J$170,8),$J$41:$J$170,0)+40),"—")</f>
        <v>537714.27</v>
      </c>
    </row>
    <row r="19" customFormat="false" ht="13.5" hidden="false" customHeight="false" outlineLevel="0" collapsed="false">
      <c r="A19" s="67" t="n">
        <v>9</v>
      </c>
      <c r="B19" s="67" t="str">
        <f aca="false">IFERROR(INDEX($A:$A,MATCH(LARGE($J$41:$J$170,9),$J$41:$J$170,0)+40),"—")</f>
        <v>4200</v>
      </c>
      <c r="C19" s="67" t="str">
        <f aca="false">IFERROR(INDEX($B:$B,MATCH(LARGE($J$41:$J$170,9),$J$41:$J$170,0)+40),"—")</f>
        <v>Recovered Project Expenses</v>
      </c>
      <c r="D19" s="68" t="n">
        <f aca="false">IFERROR(INDEX($E:$E,MATCH(LARGE($J$41:$J$170,9),$J$41:$J$170,0)+40),"—")</f>
        <v>-385627.6</v>
      </c>
      <c r="E19" s="68" t="n">
        <f aca="false">IFERROR(INDEX($H:$H,MATCH(LARGE($J$41:$J$170,9),$J$41:$J$170,0)+40),"—")</f>
        <v>-918121.21</v>
      </c>
      <c r="F19" s="68" t="n">
        <f aca="false">IFERROR(INDEX($I:$I,MATCH(LARGE($J$41:$J$170,9),$J$41:$J$170,0)+40),"—")</f>
        <v>-532493.61</v>
      </c>
    </row>
    <row r="20" customFormat="false" ht="13.5" hidden="false" customHeight="false" outlineLevel="0" collapsed="false">
      <c r="A20" s="67" t="n">
        <v>10</v>
      </c>
      <c r="B20" s="67" t="str">
        <f aca="false">IFERROR(INDEX($A:$A,MATCH(LARGE($J$41:$J$170,10),$J$41:$J$170,0)+40),"—")</f>
        <v>5000</v>
      </c>
      <c r="C20" s="67" t="str">
        <f aca="false">IFERROR(INDEX($B:$B,MATCH(LARGE($J$41:$J$170,10),$J$41:$J$170,0)+40),"—")</f>
        <v>Sub Contractors Fees</v>
      </c>
      <c r="D20" s="68" t="n">
        <f aca="false">IFERROR(INDEX($E:$E,MATCH(LARGE($J$41:$J$170,10),$J$41:$J$170,0)+40),"—")</f>
        <v>32099.98</v>
      </c>
      <c r="E20" s="68" t="n">
        <f aca="false">IFERROR(INDEX($H:$H,MATCH(LARGE($J$41:$J$170,10),$J$41:$J$170,0)+40),"—")</f>
        <v>498422.2</v>
      </c>
      <c r="F20" s="68" t="n">
        <f aca="false">IFERROR(INDEX($I:$I,MATCH(LARGE($J$41:$J$170,10),$J$41:$J$170,0)+40),"—")</f>
        <v>466322.22</v>
      </c>
    </row>
    <row r="23" customFormat="false" ht="13.5" hidden="false" customHeight="false" outlineLevel="0" collapsed="false">
      <c r="A23" s="7" t="s">
        <v>502</v>
      </c>
      <c r="B23" s="7"/>
      <c r="C23" s="7"/>
      <c r="D23" s="7"/>
      <c r="E23" s="7"/>
      <c r="F23" s="7"/>
    </row>
    <row r="24" customFormat="false" ht="13.5" hidden="false" customHeight="false" outlineLevel="0" collapsed="false">
      <c r="A24" s="121" t="s">
        <v>503</v>
      </c>
      <c r="B24" s="121"/>
      <c r="C24" s="121" t="s">
        <v>504</v>
      </c>
      <c r="D24" s="121" t="s">
        <v>505</v>
      </c>
      <c r="E24" s="121" t="s">
        <v>103</v>
      </c>
    </row>
    <row r="25" customFormat="false" ht="14.9" hidden="false" customHeight="false" outlineLevel="0" collapsed="false">
      <c r="A25" s="57" t="s">
        <v>506</v>
      </c>
      <c r="B25" s="57"/>
      <c r="C25" s="67" t="n">
        <f aca="false">Checks!$B$24</f>
        <v>0</v>
      </c>
      <c r="D25" s="67" t="str">
        <f aca="false">IF(C25=0,"—","FAIL")</f>
        <v>—</v>
      </c>
      <c r="E25" s="67" t="str">
        <f aca="false">IF(C25=0,"OK","FAIL")</f>
        <v>OK</v>
      </c>
    </row>
    <row r="26" customFormat="false" ht="14.9" hidden="false" customHeight="false" outlineLevel="0" collapsed="false">
      <c r="A26" s="57" t="s">
        <v>507</v>
      </c>
      <c r="B26" s="57"/>
      <c r="C26" s="67" t="n">
        <f aca="false">Checks!$B$33</f>
        <v>0</v>
      </c>
      <c r="D26" s="67" t="str">
        <f aca="false">IF(C26=0,"—","FAIL")</f>
        <v>—</v>
      </c>
      <c r="E26" s="67" t="str">
        <f aca="false">IF(C26=0,"OK","FAIL")</f>
        <v>OK</v>
      </c>
    </row>
    <row r="27" customFormat="false" ht="14.9" hidden="false" customHeight="false" outlineLevel="0" collapsed="false">
      <c r="A27" s="57" t="s">
        <v>508</v>
      </c>
      <c r="B27" s="57"/>
      <c r="C27" s="67" t="n">
        <f aca="false">SUM($L$41:$L$170)</f>
        <v>11</v>
      </c>
      <c r="D27" s="67" t="str">
        <f aca="false">IF(C27=0,"—","REVIEW")</f>
        <v>REVIEW</v>
      </c>
      <c r="E27" s="67" t="str">
        <f aca="false">IF(C27=0,"OK","REVIEW")</f>
        <v>REVIEW</v>
      </c>
    </row>
    <row r="28" customFormat="false" ht="14.9" hidden="false" customHeight="false" outlineLevel="0" collapsed="false">
      <c r="A28" s="57" t="s">
        <v>509</v>
      </c>
      <c r="B28" s="57"/>
      <c r="C28" s="67" t="n">
        <f aca="false">SUM($K$41:$K$170)</f>
        <v>18</v>
      </c>
      <c r="D28" s="67" t="str">
        <f aca="false">IF(C28=0,"—","REVIEW")</f>
        <v>REVIEW</v>
      </c>
      <c r="E28" s="67" t="str">
        <f aca="false">IF(C28=0,"OK","REVIEW")</f>
        <v>REVIEW</v>
      </c>
    </row>
    <row r="29" customFormat="false" ht="14.9" hidden="false" customHeight="false" outlineLevel="0" collapsed="false">
      <c r="A29" s="57" t="s">
        <v>510</v>
      </c>
      <c r="B29" s="57"/>
      <c r="C29" s="67" t="str">
        <f aca="false">COUNTIF($M$41:$M$170,"Yes")&amp;" of "&amp;SUM($K$41:$K$170)+SUM($L$41:$L$170)</f>
        <v>0 of 29</v>
      </c>
      <c r="D29" s="67" t="s">
        <v>511</v>
      </c>
      <c r="E29" s="67" t="str">
        <f aca="false">"INFO"</f>
        <v>INFO</v>
      </c>
    </row>
    <row r="31" customFormat="false" ht="13.5" hidden="false" customHeight="false" outlineLevel="0" collapsed="false">
      <c r="A31" s="3" t="s">
        <v>512</v>
      </c>
    </row>
    <row r="40" customFormat="false" ht="24.75" hidden="false" customHeight="true" outlineLevel="0" collapsed="false">
      <c r="A40" s="56" t="s">
        <v>500</v>
      </c>
      <c r="B40" s="56" t="s">
        <v>501</v>
      </c>
      <c r="C40" s="56" t="s">
        <v>513</v>
      </c>
      <c r="D40" s="56" t="s">
        <v>514</v>
      </c>
      <c r="E40" s="56" t="s">
        <v>478</v>
      </c>
      <c r="F40" s="56" t="s">
        <v>515</v>
      </c>
      <c r="G40" s="56" t="s">
        <v>516</v>
      </c>
      <c r="H40" s="56" t="s">
        <v>479</v>
      </c>
      <c r="I40" s="56" t="s">
        <v>464</v>
      </c>
      <c r="J40" s="56" t="s">
        <v>517</v>
      </c>
      <c r="K40" s="56" t="s">
        <v>518</v>
      </c>
      <c r="L40" s="56" t="s">
        <v>519</v>
      </c>
      <c r="M40" s="56" t="s">
        <v>520</v>
      </c>
      <c r="P40" s="1" t="s">
        <v>513</v>
      </c>
      <c r="Q40" s="1" t="s">
        <v>514</v>
      </c>
    </row>
    <row r="41" customFormat="false" ht="13.5" hidden="false" customHeight="false" outlineLevel="0" collapsed="false">
      <c r="A41" s="1" t="str">
        <f aca="false">IF(Master_Mappings!N4="","",Master_Mappings!N4)</f>
        <v>0020</v>
      </c>
      <c r="B41" s="1" t="str">
        <f aca="false">IF($A41="","",Master_Mappings!O4)</f>
        <v>Buildings</v>
      </c>
      <c r="C41" s="1" t="str">
        <f aca="false">IF($A41="","",Master_Mappings!P4)</f>
        <v>Land and Building</v>
      </c>
      <c r="D41" s="1" t="n">
        <f aca="false">IF($A41="","",IFERROR(VLOOKUP($C41,$P$41:$Q$53,2,FALSE()),0))</f>
        <v>1</v>
      </c>
      <c r="E41" s="122" t="n">
        <f aca="false">IF($A41="","",SUMIFS(Trial_Balance!$E$2:$E$995,Trial_Balance!$C$2:$C$995,$A41,Trial_Balance!$B$2:$B$995,$O$1,Trial_Balance!$A$2:$A$995,Controls!$B$7))</f>
        <v>1773494.78</v>
      </c>
      <c r="F41" s="122" t="n">
        <f aca="false">IF($A41="","",SUMIFS(Trial_Balance!$F$2:$F$995,Trial_Balance!$C$2:$C$995,$A41,Trial_Balance!$B$2:$B$995,$O$1,Trial_Balance!$A$2:$A$995,Controls!$B$7))</f>
        <v>0</v>
      </c>
      <c r="G41" s="122" t="n">
        <f aca="false">IF($A41="","",SUMIFS(Trial_Balance!$G$2:$G$995,Trial_Balance!$C$2:$C$995,$A41,Trial_Balance!$B$2:$B$995,$O$1,Trial_Balance!$A$2:$A$995,Controls!$B$7))</f>
        <v>0</v>
      </c>
      <c r="H41" s="122" t="n">
        <f aca="false">IF($A41="","",SUMIFS(Trial_Balance!$H$2:$H$995,Trial_Balance!$C$2:$C$995,$A41,Trial_Balance!$B$2:$B$995,$O$1,Trial_Balance!$A$2:$A$995,Controls!$B$7))</f>
        <v>1773494.78</v>
      </c>
      <c r="I41" s="122" t="n">
        <f aca="false">IF($A41="","",$H41-$E41)</f>
        <v>0</v>
      </c>
      <c r="J41" s="1" t="n">
        <f aca="false">IF($A41="",0,ABS($I41)+ROW()/1000000000)</f>
        <v>4.1E-008</v>
      </c>
      <c r="K41" s="1" t="n">
        <f aca="false">IF($A41="",0,IF(AND($H41&lt;&gt;0,ABS($H41-$E41)&lt;0.005,$F41=0,$G41=0,ISNA(MATCH($C41,{"Land and Building","Furniture, Fixtures and Equipment","Intangible Assets","Share Capital","Retained Reserves","Investments &gt; 3 months"},0))),1,0))</f>
        <v>0</v>
      </c>
      <c r="L41" s="1" t="n">
        <f aca="false">IF($A41="",0,IF($D41=0,0,IF($H41*$D41&lt;0,1,0)))</f>
        <v>0</v>
      </c>
      <c r="M41" s="123"/>
      <c r="P41" s="1" t="s">
        <v>465</v>
      </c>
      <c r="Q41" s="0" t="n">
        <v>1</v>
      </c>
    </row>
    <row r="42" customFormat="false" ht="13.5" hidden="false" customHeight="false" outlineLevel="0" collapsed="false">
      <c r="A42" s="1" t="str">
        <f aca="false">IF(Master_Mappings!N5="","",Master_Mappings!N5)</f>
        <v>0021</v>
      </c>
      <c r="B42" s="1" t="str">
        <f aca="false">IF($A42="","",Master_Mappings!O5)</f>
        <v>Buildings - Accum Depreciation</v>
      </c>
      <c r="C42" s="1" t="str">
        <f aca="false">IF($A42="","",Master_Mappings!P5)</f>
        <v>Land and Building</v>
      </c>
      <c r="D42" s="1" t="n">
        <f aca="false">IF($A42="","",IFERROR(VLOOKUP($C42,$P$41:$Q$53,2,FALSE()),0))</f>
        <v>1</v>
      </c>
      <c r="E42" s="122" t="n">
        <f aca="false">IF($A42="","",SUMIFS(Trial_Balance!$E$2:$E$995,Trial_Balance!$C$2:$C$995,$A42,Trial_Balance!$B$2:$B$995,$O$1,Trial_Balance!$A$2:$A$995,Controls!$B$7))</f>
        <v>-360409.84</v>
      </c>
      <c r="F42" s="122" t="n">
        <f aca="false">IF($A42="","",SUMIFS(Trial_Balance!$F$2:$F$995,Trial_Balance!$C$2:$C$995,$A42,Trial_Balance!$B$2:$B$995,$O$1,Trial_Balance!$A$2:$A$995,Controls!$B$7))</f>
        <v>0</v>
      </c>
      <c r="G42" s="122" t="n">
        <f aca="false">IF($A42="","",SUMIFS(Trial_Balance!$G$2:$G$995,Trial_Balance!$C$2:$C$995,$A42,Trial_Balance!$B$2:$B$995,$O$1,Trial_Balance!$A$2:$A$995,Controls!$B$7))</f>
        <v>0</v>
      </c>
      <c r="H42" s="122" t="n">
        <f aca="false">IF($A42="","",SUMIFS(Trial_Balance!$H$2:$H$995,Trial_Balance!$C$2:$C$995,$A42,Trial_Balance!$B$2:$B$995,$O$1,Trial_Balance!$A$2:$A$995,Controls!$B$7))</f>
        <v>-360409.84</v>
      </c>
      <c r="I42" s="122" t="n">
        <f aca="false">IF($A42="","",$H42-$E42)</f>
        <v>0</v>
      </c>
      <c r="J42" s="1" t="n">
        <f aca="false">IF($A42="",0,ABS($I42)+ROW()/1000000000)</f>
        <v>4.2E-008</v>
      </c>
      <c r="K42" s="1" t="n">
        <f aca="false">IF($A42="",0,IF(AND($H42&lt;&gt;0,ABS($H42-$E42)&lt;0.005,$F42=0,$G42=0,ISNA(MATCH($C42,{"Land and Building","Furniture, Fixtures and Equipment","Intangible Assets","Share Capital","Retained Reserves","Investments &gt; 3 months"},0))),1,0))</f>
        <v>0</v>
      </c>
      <c r="L42" s="1" t="n">
        <f aca="false">IF($A42="",0,IF($D42=0,0,IF($H42*$D42&lt;0,1,0)))</f>
        <v>1</v>
      </c>
      <c r="M42" s="123"/>
      <c r="P42" s="1" t="s">
        <v>466</v>
      </c>
      <c r="Q42" s="0" t="n">
        <v>1</v>
      </c>
    </row>
    <row r="43" customFormat="false" ht="13.5" hidden="false" customHeight="false" outlineLevel="0" collapsed="false">
      <c r="A43" s="1" t="str">
        <f aca="false">IF(Master_Mappings!N6="","",Master_Mappings!N6)</f>
        <v>0030</v>
      </c>
      <c r="B43" s="1" t="str">
        <f aca="false">IF($A43="","",Master_Mappings!O6)</f>
        <v>Office Equipment</v>
      </c>
      <c r="C43" s="1" t="str">
        <f aca="false">IF($A43="","",Master_Mappings!P6)</f>
        <v>Furniture, Fixtures and Equipment</v>
      </c>
      <c r="D43" s="1" t="n">
        <f aca="false">IF($A43="","",IFERROR(VLOOKUP($C43,$P$41:$Q$53,2,FALSE()),0))</f>
        <v>1</v>
      </c>
      <c r="E43" s="122" t="n">
        <f aca="false">IF($A43="","",SUMIFS(Trial_Balance!$E$2:$E$995,Trial_Balance!$C$2:$C$995,$A43,Trial_Balance!$B$2:$B$995,$O$1,Trial_Balance!$A$2:$A$995,Controls!$B$7))</f>
        <v>270734.8</v>
      </c>
      <c r="F43" s="122" t="n">
        <f aca="false">IF($A43="","",SUMIFS(Trial_Balance!$F$2:$F$995,Trial_Balance!$C$2:$C$995,$A43,Trial_Balance!$B$2:$B$995,$O$1,Trial_Balance!$A$2:$A$995,Controls!$B$7))</f>
        <v>0</v>
      </c>
      <c r="G43" s="122" t="n">
        <f aca="false">IF($A43="","",SUMIFS(Trial_Balance!$G$2:$G$995,Trial_Balance!$C$2:$C$995,$A43,Trial_Balance!$B$2:$B$995,$O$1,Trial_Balance!$A$2:$A$995,Controls!$B$7))</f>
        <v>0</v>
      </c>
      <c r="H43" s="122" t="n">
        <f aca="false">IF($A43="","",SUMIFS(Trial_Balance!$H$2:$H$995,Trial_Balance!$C$2:$C$995,$A43,Trial_Balance!$B$2:$B$995,$O$1,Trial_Balance!$A$2:$A$995,Controls!$B$7))</f>
        <v>270734.8</v>
      </c>
      <c r="I43" s="122" t="n">
        <f aca="false">IF($A43="","",$H43-$E43)</f>
        <v>0</v>
      </c>
      <c r="J43" s="1" t="n">
        <f aca="false">IF($A43="",0,ABS($I43)+ROW()/1000000000)</f>
        <v>4.3E-008</v>
      </c>
      <c r="K43" s="1" t="n">
        <f aca="false">IF($A43="",0,IF(AND($H43&lt;&gt;0,ABS($H43-$E43)&lt;0.005,$F43=0,$G43=0,ISNA(MATCH($C43,{"Land and Building","Furniture, Fixtures and Equipment","Intangible Assets","Share Capital","Retained Reserves","Investments &gt; 3 months"},0))),1,0))</f>
        <v>0</v>
      </c>
      <c r="L43" s="1" t="n">
        <f aca="false">IF($A43="",0,IF($D43=0,0,IF($H43*$D43&lt;0,1,0)))</f>
        <v>0</v>
      </c>
      <c r="M43" s="123"/>
      <c r="P43" s="1" t="s">
        <v>467</v>
      </c>
      <c r="Q43" s="0" t="n">
        <v>1</v>
      </c>
    </row>
    <row r="44" customFormat="false" ht="13.5" hidden="false" customHeight="false" outlineLevel="0" collapsed="false">
      <c r="A44" s="1" t="str">
        <f aca="false">IF(Master_Mappings!N7="","",Master_Mappings!N7)</f>
        <v>0031</v>
      </c>
      <c r="B44" s="1" t="str">
        <f aca="false">IF($A44="","",Master_Mappings!O7)</f>
        <v>Office Equip - Accum Deprec</v>
      </c>
      <c r="C44" s="1" t="str">
        <f aca="false">IF($A44="","",Master_Mappings!P7)</f>
        <v>Furniture, Fixtures and Equipment</v>
      </c>
      <c r="D44" s="1" t="n">
        <f aca="false">IF($A44="","",IFERROR(VLOOKUP($C44,$P$41:$Q$53,2,FALSE()),0))</f>
        <v>1</v>
      </c>
      <c r="E44" s="122" t="n">
        <f aca="false">IF($A44="","",SUMIFS(Trial_Balance!$E$2:$E$995,Trial_Balance!$C$2:$C$995,$A44,Trial_Balance!$B$2:$B$995,$O$1,Trial_Balance!$A$2:$A$995,Controls!$B$7))</f>
        <v>-138324.49</v>
      </c>
      <c r="F44" s="122" t="n">
        <f aca="false">IF($A44="","",SUMIFS(Trial_Balance!$F$2:$F$995,Trial_Balance!$C$2:$C$995,$A44,Trial_Balance!$B$2:$B$995,$O$1,Trial_Balance!$A$2:$A$995,Controls!$B$7))</f>
        <v>0</v>
      </c>
      <c r="G44" s="122" t="n">
        <f aca="false">IF($A44="","",SUMIFS(Trial_Balance!$G$2:$G$995,Trial_Balance!$C$2:$C$995,$A44,Trial_Balance!$B$2:$B$995,$O$1,Trial_Balance!$A$2:$A$995,Controls!$B$7))</f>
        <v>0</v>
      </c>
      <c r="H44" s="122" t="n">
        <f aca="false">IF($A44="","",SUMIFS(Trial_Balance!$H$2:$H$995,Trial_Balance!$C$2:$C$995,$A44,Trial_Balance!$B$2:$B$995,$O$1,Trial_Balance!$A$2:$A$995,Controls!$B$7))</f>
        <v>-138324.49</v>
      </c>
      <c r="I44" s="122" t="n">
        <f aca="false">IF($A44="","",$H44-$E44)</f>
        <v>0</v>
      </c>
      <c r="J44" s="1" t="n">
        <f aca="false">IF($A44="",0,ABS($I44)+ROW()/1000000000)</f>
        <v>4.4E-008</v>
      </c>
      <c r="K44" s="1" t="n">
        <f aca="false">IF($A44="",0,IF(AND($H44&lt;&gt;0,ABS($H44-$E44)&lt;0.005,$F44=0,$G44=0,ISNA(MATCH($C44,{"Land and Building","Furniture, Fixtures and Equipment","Intangible Assets","Share Capital","Retained Reserves","Investments &gt; 3 months"},0))),1,0))</f>
        <v>0</v>
      </c>
      <c r="L44" s="1" t="n">
        <f aca="false">IF($A44="",0,IF($D44=0,0,IF($H44*$D44&lt;0,1,0)))</f>
        <v>1</v>
      </c>
      <c r="M44" s="123"/>
      <c r="P44" s="1" t="s">
        <v>468</v>
      </c>
      <c r="Q44" s="0" t="n">
        <v>1</v>
      </c>
    </row>
    <row r="45" customFormat="false" ht="13.5" hidden="false" customHeight="false" outlineLevel="0" collapsed="false">
      <c r="A45" s="1" t="str">
        <f aca="false">IF(Master_Mappings!N8="","",Master_Mappings!N8)</f>
        <v>0040</v>
      </c>
      <c r="B45" s="1" t="str">
        <f aca="false">IF($A45="","",Master_Mappings!O8)</f>
        <v>Furniture and Fixtures</v>
      </c>
      <c r="C45" s="1" t="str">
        <f aca="false">IF($A45="","",Master_Mappings!P8)</f>
        <v>Furniture, Fixtures and Equipment</v>
      </c>
      <c r="D45" s="1" t="n">
        <f aca="false">IF($A45="","",IFERROR(VLOOKUP($C45,$P$41:$Q$53,2,FALSE()),0))</f>
        <v>1</v>
      </c>
      <c r="E45" s="122" t="n">
        <f aca="false">IF($A45="","",SUMIFS(Trial_Balance!$E$2:$E$995,Trial_Balance!$C$2:$C$995,$A45,Trial_Balance!$B$2:$B$995,$O$1,Trial_Balance!$A$2:$A$995,Controls!$B$7))</f>
        <v>173331.48</v>
      </c>
      <c r="F45" s="122" t="n">
        <f aca="false">IF($A45="","",SUMIFS(Trial_Balance!$F$2:$F$995,Trial_Balance!$C$2:$C$995,$A45,Trial_Balance!$B$2:$B$995,$O$1,Trial_Balance!$A$2:$A$995,Controls!$B$7))</f>
        <v>0</v>
      </c>
      <c r="G45" s="122" t="n">
        <f aca="false">IF($A45="","",SUMIFS(Trial_Balance!$G$2:$G$995,Trial_Balance!$C$2:$C$995,$A45,Trial_Balance!$B$2:$B$995,$O$1,Trial_Balance!$A$2:$A$995,Controls!$B$7))</f>
        <v>0</v>
      </c>
      <c r="H45" s="122" t="n">
        <f aca="false">IF($A45="","",SUMIFS(Trial_Balance!$H$2:$H$995,Trial_Balance!$C$2:$C$995,$A45,Trial_Balance!$B$2:$B$995,$O$1,Trial_Balance!$A$2:$A$995,Controls!$B$7))</f>
        <v>198452.45</v>
      </c>
      <c r="I45" s="122" t="n">
        <f aca="false">IF($A45="","",$H45-$E45)</f>
        <v>25120.97</v>
      </c>
      <c r="J45" s="1" t="n">
        <f aca="false">IF($A45="",0,ABS($I45)+ROW()/1000000000)</f>
        <v>25120.970000045</v>
      </c>
      <c r="K45" s="1" t="n">
        <f aca="false">IF($A45="",0,IF(AND($H45&lt;&gt;0,ABS($H45-$E45)&lt;0.005,$F45=0,$G45=0,ISNA(MATCH($C45,{"Land and Building","Furniture, Fixtures and Equipment","Intangible Assets","Share Capital","Retained Reserves","Investments &gt; 3 months"},0))),1,0))</f>
        <v>0</v>
      </c>
      <c r="L45" s="1" t="n">
        <f aca="false">IF($A45="",0,IF($D45=0,0,IF($H45*$D45&lt;0,1,0)))</f>
        <v>0</v>
      </c>
      <c r="M45" s="123"/>
      <c r="P45" s="1" t="s">
        <v>469</v>
      </c>
      <c r="Q45" s="0" t="n">
        <v>1</v>
      </c>
    </row>
    <row r="46" customFormat="false" ht="13.5" hidden="false" customHeight="false" outlineLevel="0" collapsed="false">
      <c r="A46" s="1" t="str">
        <f aca="false">IF(Master_Mappings!N9="","",Master_Mappings!N9)</f>
        <v>0041</v>
      </c>
      <c r="B46" s="1" t="str">
        <f aca="false">IF($A46="","",Master_Mappings!O9)</f>
        <v>Furniture/Fixture Depreciation</v>
      </c>
      <c r="C46" s="1" t="str">
        <f aca="false">IF($A46="","",Master_Mappings!P9)</f>
        <v>Furniture, Fixtures and Equipment</v>
      </c>
      <c r="D46" s="1" t="n">
        <f aca="false">IF($A46="","",IFERROR(VLOOKUP($C46,$P$41:$Q$53,2,FALSE()),0))</f>
        <v>1</v>
      </c>
      <c r="E46" s="122" t="n">
        <f aca="false">IF($A46="","",SUMIFS(Trial_Balance!$E$2:$E$995,Trial_Balance!$C$2:$C$995,$A46,Trial_Balance!$B$2:$B$995,$O$1,Trial_Balance!$A$2:$A$995,Controls!$B$7))</f>
        <v>-79970.85</v>
      </c>
      <c r="F46" s="122" t="n">
        <f aca="false">IF($A46="","",SUMIFS(Trial_Balance!$F$2:$F$995,Trial_Balance!$C$2:$C$995,$A46,Trial_Balance!$B$2:$B$995,$O$1,Trial_Balance!$A$2:$A$995,Controls!$B$7))</f>
        <v>0</v>
      </c>
      <c r="G46" s="122" t="n">
        <f aca="false">IF($A46="","",SUMIFS(Trial_Balance!$G$2:$G$995,Trial_Balance!$C$2:$C$995,$A46,Trial_Balance!$B$2:$B$995,$O$1,Trial_Balance!$A$2:$A$995,Controls!$B$7))</f>
        <v>0</v>
      </c>
      <c r="H46" s="122" t="n">
        <f aca="false">IF($A46="","",SUMIFS(Trial_Balance!$H$2:$H$995,Trial_Balance!$C$2:$C$995,$A46,Trial_Balance!$B$2:$B$995,$O$1,Trial_Balance!$A$2:$A$995,Controls!$B$7))</f>
        <v>-79970.85</v>
      </c>
      <c r="I46" s="122" t="n">
        <f aca="false">IF($A46="","",$H46-$E46)</f>
        <v>0</v>
      </c>
      <c r="J46" s="1" t="n">
        <f aca="false">IF($A46="",0,ABS($I46)+ROW()/1000000000)</f>
        <v>4.6E-008</v>
      </c>
      <c r="K46" s="1" t="n">
        <f aca="false">IF($A46="",0,IF(AND($H46&lt;&gt;0,ABS($H46-$E46)&lt;0.005,$F46=0,$G46=0,ISNA(MATCH($C46,{"Land and Building","Furniture, Fixtures and Equipment","Intangible Assets","Share Capital","Retained Reserves","Investments &gt; 3 months"},0))),1,0))</f>
        <v>0</v>
      </c>
      <c r="L46" s="1" t="n">
        <f aca="false">IF($A46="",0,IF($D46=0,0,IF($H46*$D46&lt;0,1,0)))</f>
        <v>1</v>
      </c>
      <c r="M46" s="123"/>
      <c r="P46" s="1" t="s">
        <v>470</v>
      </c>
      <c r="Q46" s="0" t="n">
        <v>1</v>
      </c>
    </row>
    <row r="47" customFormat="false" ht="13.5" hidden="false" customHeight="false" outlineLevel="0" collapsed="false">
      <c r="A47" s="1" t="str">
        <f aca="false">IF(Master_Mappings!N10="","",Master_Mappings!N10)</f>
        <v>0050</v>
      </c>
      <c r="B47" s="1" t="str">
        <f aca="false">IF($A47="","",Master_Mappings!O10)</f>
        <v>Computer and Accessories</v>
      </c>
      <c r="C47" s="1" t="str">
        <f aca="false">IF($A47="","",Master_Mappings!P10)</f>
        <v>Furniture, Fixtures and Equipment</v>
      </c>
      <c r="D47" s="1" t="n">
        <f aca="false">IF($A47="","",IFERROR(VLOOKUP($C47,$P$41:$Q$53,2,FALSE()),0))</f>
        <v>1</v>
      </c>
      <c r="E47" s="122" t="n">
        <f aca="false">IF($A47="","",SUMIFS(Trial_Balance!$E$2:$E$995,Trial_Balance!$C$2:$C$995,$A47,Trial_Balance!$B$2:$B$995,$O$1,Trial_Balance!$A$2:$A$995,Controls!$B$7))</f>
        <v>895202.13</v>
      </c>
      <c r="F47" s="122" t="n">
        <f aca="false">IF($A47="","",SUMIFS(Trial_Balance!$F$2:$F$995,Trial_Balance!$C$2:$C$995,$A47,Trial_Balance!$B$2:$B$995,$O$1,Trial_Balance!$A$2:$A$995,Controls!$B$7))</f>
        <v>0</v>
      </c>
      <c r="G47" s="122" t="n">
        <f aca="false">IF($A47="","",SUMIFS(Trial_Balance!$G$2:$G$995,Trial_Balance!$C$2:$C$995,$A47,Trial_Balance!$B$2:$B$995,$O$1,Trial_Balance!$A$2:$A$995,Controls!$B$7))</f>
        <v>0</v>
      </c>
      <c r="H47" s="122" t="n">
        <f aca="false">IF($A47="","",SUMIFS(Trial_Balance!$H$2:$H$995,Trial_Balance!$C$2:$C$995,$A47,Trial_Balance!$B$2:$B$995,$O$1,Trial_Balance!$A$2:$A$995,Controls!$B$7))</f>
        <v>964004.34</v>
      </c>
      <c r="I47" s="122" t="n">
        <f aca="false">IF($A47="","",$H47-$E47)</f>
        <v>68802.21</v>
      </c>
      <c r="J47" s="1" t="n">
        <f aca="false">IF($A47="",0,ABS($I47)+ROW()/1000000000)</f>
        <v>68802.210000047</v>
      </c>
      <c r="K47" s="1" t="n">
        <f aca="false">IF($A47="",0,IF(AND($H47&lt;&gt;0,ABS($H47-$E47)&lt;0.005,$F47=0,$G47=0,ISNA(MATCH($C47,{"Land and Building","Furniture, Fixtures and Equipment","Intangible Assets","Share Capital","Retained Reserves","Investments &gt; 3 months"},0))),1,0))</f>
        <v>0</v>
      </c>
      <c r="L47" s="1" t="n">
        <f aca="false">IF($A47="",0,IF($D47=0,0,IF($H47*$D47&lt;0,1,0)))</f>
        <v>0</v>
      </c>
      <c r="M47" s="123"/>
      <c r="P47" s="1" t="s">
        <v>471</v>
      </c>
      <c r="Q47" s="0" t="n">
        <v>0</v>
      </c>
    </row>
    <row r="48" customFormat="false" ht="13.5" hidden="false" customHeight="false" outlineLevel="0" collapsed="false">
      <c r="A48" s="1" t="str">
        <f aca="false">IF(Master_Mappings!N11="","",Master_Mappings!N11)</f>
        <v>0051</v>
      </c>
      <c r="B48" s="1" t="str">
        <f aca="false">IF($A48="","",Master_Mappings!O11)</f>
        <v>Computer and Accesories depreciation</v>
      </c>
      <c r="C48" s="1" t="str">
        <f aca="false">IF($A48="","",Master_Mappings!P11)</f>
        <v>Furniture, Fixtures and Equipment</v>
      </c>
      <c r="D48" s="1" t="n">
        <f aca="false">IF($A48="","",IFERROR(VLOOKUP($C48,$P$41:$Q$53,2,FALSE()),0))</f>
        <v>1</v>
      </c>
      <c r="E48" s="122" t="n">
        <f aca="false">IF($A48="","",SUMIFS(Trial_Balance!$E$2:$E$995,Trial_Balance!$C$2:$C$995,$A48,Trial_Balance!$B$2:$B$995,$O$1,Trial_Balance!$A$2:$A$995,Controls!$B$7))</f>
        <v>-631809.86</v>
      </c>
      <c r="F48" s="122" t="n">
        <f aca="false">IF($A48="","",SUMIFS(Trial_Balance!$F$2:$F$995,Trial_Balance!$C$2:$C$995,$A48,Trial_Balance!$B$2:$B$995,$O$1,Trial_Balance!$A$2:$A$995,Controls!$B$7))</f>
        <v>0</v>
      </c>
      <c r="G48" s="122" t="n">
        <f aca="false">IF($A48="","",SUMIFS(Trial_Balance!$G$2:$G$995,Trial_Balance!$C$2:$C$995,$A48,Trial_Balance!$B$2:$B$995,$O$1,Trial_Balance!$A$2:$A$995,Controls!$B$7))</f>
        <v>0</v>
      </c>
      <c r="H48" s="122" t="n">
        <f aca="false">IF($A48="","",SUMIFS(Trial_Balance!$H$2:$H$995,Trial_Balance!$C$2:$C$995,$A48,Trial_Balance!$B$2:$B$995,$O$1,Trial_Balance!$A$2:$A$995,Controls!$B$7))</f>
        <v>-631809.86</v>
      </c>
      <c r="I48" s="122" t="n">
        <f aca="false">IF($A48="","",$H48-$E48)</f>
        <v>0</v>
      </c>
      <c r="J48" s="1" t="n">
        <f aca="false">IF($A48="",0,ABS($I48)+ROW()/1000000000)</f>
        <v>4.8E-008</v>
      </c>
      <c r="K48" s="1" t="n">
        <f aca="false">IF($A48="",0,IF(AND($H48&lt;&gt;0,ABS($H48-$E48)&lt;0.005,$F48=0,$G48=0,ISNA(MATCH($C48,{"Land and Building","Furniture, Fixtures and Equipment","Intangible Assets","Share Capital","Retained Reserves","Investments &gt; 3 months"},0))),1,0))</f>
        <v>0</v>
      </c>
      <c r="L48" s="1" t="n">
        <f aca="false">IF($A48="",0,IF($D48=0,0,IF($H48*$D48&lt;0,1,0)))</f>
        <v>1</v>
      </c>
      <c r="M48" s="123"/>
      <c r="P48" s="1" t="s">
        <v>472</v>
      </c>
      <c r="Q48" s="0" t="n">
        <v>-1</v>
      </c>
    </row>
    <row r="49" customFormat="false" ht="13.5" hidden="false" customHeight="false" outlineLevel="0" collapsed="false">
      <c r="A49" s="1" t="str">
        <f aca="false">IF(Master_Mappings!N12="","",Master_Mappings!N12)</f>
        <v>0060</v>
      </c>
      <c r="B49" s="1" t="str">
        <f aca="false">IF($A49="","",Master_Mappings!O12)</f>
        <v>Generator set</v>
      </c>
      <c r="C49" s="1" t="str">
        <f aca="false">IF($A49="","",Master_Mappings!P12)</f>
        <v>Furniture, Fixtures and Equipment</v>
      </c>
      <c r="D49" s="1" t="n">
        <f aca="false">IF($A49="","",IFERROR(VLOOKUP($C49,$P$41:$Q$53,2,FALSE()),0))</f>
        <v>1</v>
      </c>
      <c r="E49" s="122" t="n">
        <f aca="false">IF($A49="","",SUMIFS(Trial_Balance!$E$2:$E$995,Trial_Balance!$C$2:$C$995,$A49,Trial_Balance!$B$2:$B$995,$O$1,Trial_Balance!$A$2:$A$995,Controls!$B$7))</f>
        <v>52026.65</v>
      </c>
      <c r="F49" s="122" t="n">
        <f aca="false">IF($A49="","",SUMIFS(Trial_Balance!$F$2:$F$995,Trial_Balance!$C$2:$C$995,$A49,Trial_Balance!$B$2:$B$995,$O$1,Trial_Balance!$A$2:$A$995,Controls!$B$7))</f>
        <v>0</v>
      </c>
      <c r="G49" s="122" t="n">
        <f aca="false">IF($A49="","",SUMIFS(Trial_Balance!$G$2:$G$995,Trial_Balance!$C$2:$C$995,$A49,Trial_Balance!$B$2:$B$995,$O$1,Trial_Balance!$A$2:$A$995,Controls!$B$7))</f>
        <v>0</v>
      </c>
      <c r="H49" s="122" t="n">
        <f aca="false">IF($A49="","",SUMIFS(Trial_Balance!$H$2:$H$995,Trial_Balance!$C$2:$C$995,$A49,Trial_Balance!$B$2:$B$995,$O$1,Trial_Balance!$A$2:$A$995,Controls!$B$7))</f>
        <v>52026.65</v>
      </c>
      <c r="I49" s="122" t="n">
        <f aca="false">IF($A49="","",$H49-$E49)</f>
        <v>0</v>
      </c>
      <c r="J49" s="1" t="n">
        <f aca="false">IF($A49="",0,ABS($I49)+ROW()/1000000000)</f>
        <v>4.9E-008</v>
      </c>
      <c r="K49" s="1" t="n">
        <f aca="false">IF($A49="",0,IF(AND($H49&lt;&gt;0,ABS($H49-$E49)&lt;0.005,$F49=0,$G49=0,ISNA(MATCH($C49,{"Land and Building","Furniture, Fixtures and Equipment","Intangible Assets","Share Capital","Retained Reserves","Investments &gt; 3 months"},0))),1,0))</f>
        <v>0</v>
      </c>
      <c r="L49" s="1" t="n">
        <f aca="false">IF($A49="",0,IF($D49=0,0,IF($H49*$D49&lt;0,1,0)))</f>
        <v>0</v>
      </c>
      <c r="M49" s="123"/>
      <c r="P49" s="1" t="s">
        <v>473</v>
      </c>
      <c r="Q49" s="0" t="n">
        <v>-1</v>
      </c>
    </row>
    <row r="50" customFormat="false" ht="13.5" hidden="false" customHeight="false" outlineLevel="0" collapsed="false">
      <c r="A50" s="1" t="str">
        <f aca="false">IF(Master_Mappings!N13="","",Master_Mappings!N13)</f>
        <v>0061</v>
      </c>
      <c r="B50" s="1" t="str">
        <f aca="false">IF($A50="","",Master_Mappings!O13)</f>
        <v>Generator set depreciation</v>
      </c>
      <c r="C50" s="1" t="str">
        <f aca="false">IF($A50="","",Master_Mappings!P13)</f>
        <v>Furniture, Fixtures and Equipment</v>
      </c>
      <c r="D50" s="1" t="n">
        <f aca="false">IF($A50="","",IFERROR(VLOOKUP($C50,$P$41:$Q$53,2,FALSE()),0))</f>
        <v>1</v>
      </c>
      <c r="E50" s="122" t="n">
        <f aca="false">IF($A50="","",SUMIFS(Trial_Balance!$E$2:$E$995,Trial_Balance!$C$2:$C$995,$A50,Trial_Balance!$B$2:$B$995,$O$1,Trial_Balance!$A$2:$A$995,Controls!$B$7))</f>
        <v>-52022.9</v>
      </c>
      <c r="F50" s="122" t="n">
        <f aca="false">IF($A50="","",SUMIFS(Trial_Balance!$F$2:$F$995,Trial_Balance!$C$2:$C$995,$A50,Trial_Balance!$B$2:$B$995,$O$1,Trial_Balance!$A$2:$A$995,Controls!$B$7))</f>
        <v>0</v>
      </c>
      <c r="G50" s="122" t="n">
        <f aca="false">IF($A50="","",SUMIFS(Trial_Balance!$G$2:$G$995,Trial_Balance!$C$2:$C$995,$A50,Trial_Balance!$B$2:$B$995,$O$1,Trial_Balance!$A$2:$A$995,Controls!$B$7))</f>
        <v>0</v>
      </c>
      <c r="H50" s="122" t="n">
        <f aca="false">IF($A50="","",SUMIFS(Trial_Balance!$H$2:$H$995,Trial_Balance!$C$2:$C$995,$A50,Trial_Balance!$B$2:$B$995,$O$1,Trial_Balance!$A$2:$A$995,Controls!$B$7))</f>
        <v>-52022.9</v>
      </c>
      <c r="I50" s="122" t="n">
        <f aca="false">IF($A50="","",$H50-$E50)</f>
        <v>0</v>
      </c>
      <c r="J50" s="1" t="n">
        <f aca="false">IF($A50="",0,ABS($I50)+ROW()/1000000000)</f>
        <v>5E-008</v>
      </c>
      <c r="K50" s="1" t="n">
        <f aca="false">IF($A50="",0,IF(AND($H50&lt;&gt;0,ABS($H50-$E50)&lt;0.005,$F50=0,$G50=0,ISNA(MATCH($C50,{"Land and Building","Furniture, Fixtures and Equipment","Intangible Assets","Share Capital","Retained Reserves","Investments &gt; 3 months"},0))),1,0))</f>
        <v>0</v>
      </c>
      <c r="L50" s="1" t="n">
        <f aca="false">IF($A50="",0,IF($D50=0,0,IF($H50*$D50&lt;0,1,0)))</f>
        <v>1</v>
      </c>
      <c r="M50" s="123"/>
      <c r="P50" s="1" t="s">
        <v>474</v>
      </c>
      <c r="Q50" s="0" t="n">
        <v>-1</v>
      </c>
    </row>
    <row r="51" customFormat="false" ht="13.5" hidden="false" customHeight="false" outlineLevel="0" collapsed="false">
      <c r="A51" s="1" t="str">
        <f aca="false">IF(Master_Mappings!N14="","",Master_Mappings!N14)</f>
        <v>0070</v>
      </c>
      <c r="B51" s="1" t="str">
        <f aca="false">IF($A51="","",Master_Mappings!O14)</f>
        <v>Software</v>
      </c>
      <c r="C51" s="1" t="str">
        <f aca="false">IF($A51="","",Master_Mappings!P14)</f>
        <v>Intangible Assets</v>
      </c>
      <c r="D51" s="1" t="n">
        <f aca="false">IF($A51="","",IFERROR(VLOOKUP($C51,$P$41:$Q$53,2,FALSE()),0))</f>
        <v>1</v>
      </c>
      <c r="E51" s="122" t="n">
        <f aca="false">IF($A51="","",SUMIFS(Trial_Balance!$E$2:$E$995,Trial_Balance!$C$2:$C$995,$A51,Trial_Balance!$B$2:$B$995,$O$1,Trial_Balance!$A$2:$A$995,Controls!$B$7))</f>
        <v>437827.99</v>
      </c>
      <c r="F51" s="122" t="n">
        <f aca="false">IF($A51="","",SUMIFS(Trial_Balance!$F$2:$F$995,Trial_Balance!$C$2:$C$995,$A51,Trial_Balance!$B$2:$B$995,$O$1,Trial_Balance!$A$2:$A$995,Controls!$B$7))</f>
        <v>0</v>
      </c>
      <c r="G51" s="122" t="n">
        <f aca="false">IF($A51="","",SUMIFS(Trial_Balance!$G$2:$G$995,Trial_Balance!$C$2:$C$995,$A51,Trial_Balance!$B$2:$B$995,$O$1,Trial_Balance!$A$2:$A$995,Controls!$B$7))</f>
        <v>0</v>
      </c>
      <c r="H51" s="122" t="n">
        <f aca="false">IF($A51="","",SUMIFS(Trial_Balance!$H$2:$H$995,Trial_Balance!$C$2:$C$995,$A51,Trial_Balance!$B$2:$B$995,$O$1,Trial_Balance!$A$2:$A$995,Controls!$B$7))</f>
        <v>452848.98</v>
      </c>
      <c r="I51" s="122" t="n">
        <f aca="false">IF($A51="","",$H51-$E51)</f>
        <v>15020.99</v>
      </c>
      <c r="J51" s="1" t="n">
        <f aca="false">IF($A51="",0,ABS($I51)+ROW()/1000000000)</f>
        <v>15020.990000051</v>
      </c>
      <c r="K51" s="1" t="n">
        <f aca="false">IF($A51="",0,IF(AND($H51&lt;&gt;0,ABS($H51-$E51)&lt;0.005,$F51=0,$G51=0,ISNA(MATCH($C51,{"Land and Building","Furniture, Fixtures and Equipment","Intangible Assets","Share Capital","Retained Reserves","Investments &gt; 3 months"},0))),1,0))</f>
        <v>0</v>
      </c>
      <c r="L51" s="1" t="n">
        <f aca="false">IF($A51="",0,IF($D51=0,0,IF($H51*$D51&lt;0,1,0)))</f>
        <v>0</v>
      </c>
      <c r="M51" s="123"/>
      <c r="P51" s="1" t="s">
        <v>475</v>
      </c>
      <c r="Q51" s="0" t="n">
        <v>-1</v>
      </c>
    </row>
    <row r="52" customFormat="false" ht="13.5" hidden="false" customHeight="false" outlineLevel="0" collapsed="false">
      <c r="A52" s="1" t="str">
        <f aca="false">IF(Master_Mappings!N15="","",Master_Mappings!N15)</f>
        <v>0071</v>
      </c>
      <c r="B52" s="1" t="str">
        <f aca="false">IF($A52="","",Master_Mappings!O15)</f>
        <v>Software  - Accum Amortization</v>
      </c>
      <c r="C52" s="1" t="str">
        <f aca="false">IF($A52="","",Master_Mappings!P15)</f>
        <v>Intangible Assets</v>
      </c>
      <c r="D52" s="1" t="n">
        <f aca="false">IF($A52="","",IFERROR(VLOOKUP($C52,$P$41:$Q$53,2,FALSE()),0))</f>
        <v>1</v>
      </c>
      <c r="E52" s="122" t="n">
        <f aca="false">IF($A52="","",SUMIFS(Trial_Balance!$E$2:$E$995,Trial_Balance!$C$2:$C$995,$A52,Trial_Balance!$B$2:$B$995,$O$1,Trial_Balance!$A$2:$A$995,Controls!$B$7))</f>
        <v>-144759.24</v>
      </c>
      <c r="F52" s="122" t="n">
        <f aca="false">IF($A52="","",SUMIFS(Trial_Balance!$F$2:$F$995,Trial_Balance!$C$2:$C$995,$A52,Trial_Balance!$B$2:$B$995,$O$1,Trial_Balance!$A$2:$A$995,Controls!$B$7))</f>
        <v>0</v>
      </c>
      <c r="G52" s="122" t="n">
        <f aca="false">IF($A52="","",SUMIFS(Trial_Balance!$G$2:$G$995,Trial_Balance!$C$2:$C$995,$A52,Trial_Balance!$B$2:$B$995,$O$1,Trial_Balance!$A$2:$A$995,Controls!$B$7))</f>
        <v>0</v>
      </c>
      <c r="H52" s="122" t="n">
        <f aca="false">IF($A52="","",SUMIFS(Trial_Balance!$H$2:$H$995,Trial_Balance!$C$2:$C$995,$A52,Trial_Balance!$B$2:$B$995,$O$1,Trial_Balance!$A$2:$A$995,Controls!$B$7))</f>
        <v>-144759.24</v>
      </c>
      <c r="I52" s="122" t="n">
        <f aca="false">IF($A52="","",$H52-$E52)</f>
        <v>0</v>
      </c>
      <c r="J52" s="1" t="n">
        <f aca="false">IF($A52="",0,ABS($I52)+ROW()/1000000000)</f>
        <v>5.2E-008</v>
      </c>
      <c r="K52" s="1" t="n">
        <f aca="false">IF($A52="",0,IF(AND($H52&lt;&gt;0,ABS($H52-$E52)&lt;0.005,$F52=0,$G52=0,ISNA(MATCH($C52,{"Land and Building","Furniture, Fixtures and Equipment","Intangible Assets","Share Capital","Retained Reserves","Investments &gt; 3 months"},0))),1,0))</f>
        <v>0</v>
      </c>
      <c r="L52" s="1" t="n">
        <f aca="false">IF($A52="",0,IF($D52=0,0,IF($H52*$D52&lt;0,1,0)))</f>
        <v>1</v>
      </c>
      <c r="M52" s="123"/>
      <c r="P52" s="1" t="s">
        <v>476</v>
      </c>
      <c r="Q52" s="0" t="n">
        <v>-1</v>
      </c>
    </row>
    <row r="53" customFormat="false" ht="13.5" hidden="false" customHeight="false" outlineLevel="0" collapsed="false">
      <c r="A53" s="1" t="str">
        <f aca="false">IF(Master_Mappings!N16="","",Master_Mappings!N16)</f>
        <v>1001</v>
      </c>
      <c r="B53" s="1" t="str">
        <f aca="false">IF($A53="","",Master_Mappings!O16)</f>
        <v>WIP/Accrued Income</v>
      </c>
      <c r="C53" s="1" t="str">
        <f aca="false">IF($A53="","",Master_Mappings!P16)</f>
        <v>Trade Debtors</v>
      </c>
      <c r="D53" s="1" t="n">
        <f aca="false">IF($A53="","",IFERROR(VLOOKUP($C53,$P$41:$Q$53,2,FALSE()),0))</f>
        <v>1</v>
      </c>
      <c r="E53" s="122" t="n">
        <f aca="false">IF($A53="","",SUMIFS(Trial_Balance!$E$2:$E$995,Trial_Balance!$C$2:$C$995,$A53,Trial_Balance!$B$2:$B$995,$O$1,Trial_Balance!$A$2:$A$995,Controls!$B$7))</f>
        <v>815264.37</v>
      </c>
      <c r="F53" s="122" t="n">
        <f aca="false">IF($A53="","",SUMIFS(Trial_Balance!$F$2:$F$995,Trial_Balance!$C$2:$C$995,$A53,Trial_Balance!$B$2:$B$995,$O$1,Trial_Balance!$A$2:$A$995,Controls!$B$7))</f>
        <v>0</v>
      </c>
      <c r="G53" s="122" t="n">
        <f aca="false">IF($A53="","",SUMIFS(Trial_Balance!$G$2:$G$995,Trial_Balance!$C$2:$C$995,$A53,Trial_Balance!$B$2:$B$995,$O$1,Trial_Balance!$A$2:$A$995,Controls!$B$7))</f>
        <v>0</v>
      </c>
      <c r="H53" s="122" t="n">
        <f aca="false">IF($A53="","",SUMIFS(Trial_Balance!$H$2:$H$995,Trial_Balance!$C$2:$C$995,$A53,Trial_Balance!$B$2:$B$995,$O$1,Trial_Balance!$A$2:$A$995,Controls!$B$7))</f>
        <v>1244618</v>
      </c>
      <c r="I53" s="122" t="n">
        <f aca="false">IF($A53="","",$H53-$E53)</f>
        <v>429353.63</v>
      </c>
      <c r="J53" s="1" t="n">
        <f aca="false">IF($A53="",0,ABS($I53)+ROW()/1000000000)</f>
        <v>429353.630000053</v>
      </c>
      <c r="K53" s="1" t="n">
        <f aca="false">IF($A53="",0,IF(AND($H53&lt;&gt;0,ABS($H53-$E53)&lt;0.005,$F53=0,$G53=0,ISNA(MATCH($C53,{"Land and Building","Furniture, Fixtures and Equipment","Intangible Assets","Share Capital","Retained Reserves","Investments &gt; 3 months"},0))),1,0))</f>
        <v>0</v>
      </c>
      <c r="L53" s="1" t="n">
        <f aca="false">IF($A53="",0,IF($D53=0,0,IF($H53*$D53&lt;0,1,0)))</f>
        <v>0</v>
      </c>
      <c r="M53" s="123"/>
      <c r="P53" s="1" t="s">
        <v>477</v>
      </c>
      <c r="Q53" s="0" t="n">
        <v>0</v>
      </c>
    </row>
    <row r="54" customFormat="false" ht="13.5" hidden="false" customHeight="false" outlineLevel="0" collapsed="false">
      <c r="A54" s="1" t="str">
        <f aca="false">IF(Master_Mappings!N17="","",Master_Mappings!N17)</f>
        <v>1100</v>
      </c>
      <c r="B54" s="1" t="str">
        <f aca="false">IF($A54="","",Master_Mappings!O17)</f>
        <v>Debtors Control Account</v>
      </c>
      <c r="C54" s="1" t="str">
        <f aca="false">IF($A54="","",Master_Mappings!P17)</f>
        <v>Trade Debtors</v>
      </c>
      <c r="D54" s="1" t="n">
        <f aca="false">IF($A54="","",IFERROR(VLOOKUP($C54,$P$41:$Q$53,2,FALSE()),0))</f>
        <v>1</v>
      </c>
      <c r="E54" s="122" t="n">
        <f aca="false">IF($A54="","",SUMIFS(Trial_Balance!$E$2:$E$995,Trial_Balance!$C$2:$C$995,$A54,Trial_Balance!$B$2:$B$995,$O$1,Trial_Balance!$A$2:$A$995,Controls!$B$7))</f>
        <v>4576083.16</v>
      </c>
      <c r="F54" s="122" t="n">
        <f aca="false">IF($A54="","",SUMIFS(Trial_Balance!$F$2:$F$995,Trial_Balance!$C$2:$C$995,$A54,Trial_Balance!$B$2:$B$995,$O$1,Trial_Balance!$A$2:$A$995,Controls!$B$7))</f>
        <v>0</v>
      </c>
      <c r="G54" s="122" t="n">
        <f aca="false">IF($A54="","",SUMIFS(Trial_Balance!$G$2:$G$995,Trial_Balance!$C$2:$C$995,$A54,Trial_Balance!$B$2:$B$995,$O$1,Trial_Balance!$A$2:$A$995,Controls!$B$7))</f>
        <v>0</v>
      </c>
      <c r="H54" s="122" t="n">
        <f aca="false">IF($A54="","",SUMIFS(Trial_Balance!$H$2:$H$995,Trial_Balance!$C$2:$C$995,$A54,Trial_Balance!$B$2:$B$995,$O$1,Trial_Balance!$A$2:$A$995,Controls!$B$7))</f>
        <v>5632577.64</v>
      </c>
      <c r="I54" s="122" t="n">
        <f aca="false">IF($A54="","",$H54-$E54)</f>
        <v>1056494.48</v>
      </c>
      <c r="J54" s="1" t="n">
        <f aca="false">IF($A54="",0,ABS($I54)+ROW()/1000000000)</f>
        <v>1056494.48000005</v>
      </c>
      <c r="K54" s="1" t="n">
        <f aca="false">IF($A54="",0,IF(AND($H54&lt;&gt;0,ABS($H54-$E54)&lt;0.005,$F54=0,$G54=0,ISNA(MATCH($C54,{"Land and Building","Furniture, Fixtures and Equipment","Intangible Assets","Share Capital","Retained Reserves","Investments &gt; 3 months"},0))),1,0))</f>
        <v>0</v>
      </c>
      <c r="L54" s="1" t="n">
        <f aca="false">IF($A54="",0,IF($D54=0,0,IF($H54*$D54&lt;0,1,0)))</f>
        <v>0</v>
      </c>
      <c r="M54" s="123"/>
    </row>
    <row r="55" customFormat="false" ht="13.5" hidden="false" customHeight="false" outlineLevel="0" collapsed="false">
      <c r="A55" s="1" t="str">
        <f aca="false">IF(Master_Mappings!N18="","",Master_Mappings!N18)</f>
        <v>1101</v>
      </c>
      <c r="B55" s="1" t="str">
        <f aca="false">IF($A55="","",Master_Mappings!O18)</f>
        <v>Sundry Debtors</v>
      </c>
      <c r="C55" s="1" t="str">
        <f aca="false">IF($A55="","",Master_Mappings!P18)</f>
        <v>Other Receivables</v>
      </c>
      <c r="D55" s="1" t="n">
        <f aca="false">IF($A55="","",IFERROR(VLOOKUP($C55,$P$41:$Q$53,2,FALSE()),0))</f>
        <v>0</v>
      </c>
      <c r="E55" s="122" t="n">
        <f aca="false">IF($A55="","",SUMIFS(Trial_Balance!$E$2:$E$995,Trial_Balance!$C$2:$C$995,$A55,Trial_Balance!$B$2:$B$995,$O$1,Trial_Balance!$A$2:$A$995,Controls!$B$7))</f>
        <v>-0.6</v>
      </c>
      <c r="F55" s="122" t="n">
        <f aca="false">IF($A55="","",SUMIFS(Trial_Balance!$F$2:$F$995,Trial_Balance!$C$2:$C$995,$A55,Trial_Balance!$B$2:$B$995,$O$1,Trial_Balance!$A$2:$A$995,Controls!$B$7))</f>
        <v>0</v>
      </c>
      <c r="G55" s="122" t="n">
        <f aca="false">IF($A55="","",SUMIFS(Trial_Balance!$G$2:$G$995,Trial_Balance!$C$2:$C$995,$A55,Trial_Balance!$B$2:$B$995,$O$1,Trial_Balance!$A$2:$A$995,Controls!$B$7))</f>
        <v>0</v>
      </c>
      <c r="H55" s="122" t="n">
        <f aca="false">IF($A55="","",SUMIFS(Trial_Balance!$H$2:$H$995,Trial_Balance!$C$2:$C$995,$A55,Trial_Balance!$B$2:$B$995,$O$1,Trial_Balance!$A$2:$A$995,Controls!$B$7))</f>
        <v>-0.6</v>
      </c>
      <c r="I55" s="122" t="n">
        <f aca="false">IF($A55="","",$H55-$E55)</f>
        <v>0</v>
      </c>
      <c r="J55" s="1" t="n">
        <f aca="false">IF($A55="",0,ABS($I55)+ROW()/1000000000)</f>
        <v>5.5E-008</v>
      </c>
      <c r="K55" s="1" t="n">
        <f aca="false">IF($A55="",0,IF(AND($H55&lt;&gt;0,ABS($H55-$E55)&lt;0.005,$F55=0,$G55=0,ISNA(MATCH($C55,{"Land and Building","Furniture, Fixtures and Equipment","Intangible Assets","Share Capital","Retained Reserves","Investments &gt; 3 months"},0))),1,0))</f>
        <v>1</v>
      </c>
      <c r="L55" s="1" t="n">
        <f aca="false">IF($A55="",0,IF($D55=0,0,IF($H55*$D55&lt;0,1,0)))</f>
        <v>0</v>
      </c>
      <c r="M55" s="123"/>
    </row>
    <row r="56" customFormat="false" ht="13.5" hidden="false" customHeight="false" outlineLevel="0" collapsed="false">
      <c r="A56" s="1" t="str">
        <f aca="false">IF(Master_Mappings!N19="","",Master_Mappings!N19)</f>
        <v>1103</v>
      </c>
      <c r="B56" s="1" t="str">
        <f aca="false">IF($A56="","",Master_Mappings!O19)</f>
        <v>Staff Debtors - Loans</v>
      </c>
      <c r="C56" s="1" t="str">
        <f aca="false">IF($A56="","",Master_Mappings!P19)</f>
        <v>Other Receivables</v>
      </c>
      <c r="D56" s="1" t="n">
        <f aca="false">IF($A56="","",IFERROR(VLOOKUP($C56,$P$41:$Q$53,2,FALSE()),0))</f>
        <v>0</v>
      </c>
      <c r="E56" s="122" t="n">
        <f aca="false">IF($A56="","",SUMIFS(Trial_Balance!$E$2:$E$995,Trial_Balance!$C$2:$C$995,$A56,Trial_Balance!$B$2:$B$995,$O$1,Trial_Balance!$A$2:$A$995,Controls!$B$7))</f>
        <v>93064.18</v>
      </c>
      <c r="F56" s="122" t="n">
        <f aca="false">IF($A56="","",SUMIFS(Trial_Balance!$F$2:$F$995,Trial_Balance!$C$2:$C$995,$A56,Trial_Balance!$B$2:$B$995,$O$1,Trial_Balance!$A$2:$A$995,Controls!$B$7))</f>
        <v>0</v>
      </c>
      <c r="G56" s="122" t="n">
        <f aca="false">IF($A56="","",SUMIFS(Trial_Balance!$G$2:$G$995,Trial_Balance!$C$2:$C$995,$A56,Trial_Balance!$B$2:$B$995,$O$1,Trial_Balance!$A$2:$A$995,Controls!$B$7))</f>
        <v>0</v>
      </c>
      <c r="H56" s="122" t="n">
        <f aca="false">IF($A56="","",SUMIFS(Trial_Balance!$H$2:$H$995,Trial_Balance!$C$2:$C$995,$A56,Trial_Balance!$B$2:$B$995,$O$1,Trial_Balance!$A$2:$A$995,Controls!$B$7))</f>
        <v>92813.98</v>
      </c>
      <c r="I56" s="122" t="n">
        <f aca="false">IF($A56="","",$H56-$E56)</f>
        <v>-250.199999999983</v>
      </c>
      <c r="J56" s="1" t="n">
        <f aca="false">IF($A56="",0,ABS($I56)+ROW()/1000000000)</f>
        <v>250.200000055983</v>
      </c>
      <c r="K56" s="1" t="n">
        <f aca="false">IF($A56="",0,IF(AND($H56&lt;&gt;0,ABS($H56-$E56)&lt;0.005,$F56=0,$G56=0,ISNA(MATCH($C56,{"Land and Building","Furniture, Fixtures and Equipment","Intangible Assets","Share Capital","Retained Reserves","Investments &gt; 3 months"},0))),1,0))</f>
        <v>0</v>
      </c>
      <c r="L56" s="1" t="n">
        <f aca="false">IF($A56="",0,IF($D56=0,0,IF($H56*$D56&lt;0,1,0)))</f>
        <v>0</v>
      </c>
      <c r="M56" s="123"/>
    </row>
    <row r="57" customFormat="false" ht="13.5" hidden="false" customHeight="false" outlineLevel="0" collapsed="false">
      <c r="A57" s="1" t="str">
        <f aca="false">IF(Master_Mappings!N20="","",Master_Mappings!N20)</f>
        <v>1122</v>
      </c>
      <c r="B57" s="1" t="str">
        <f aca="false">IF($A57="","",Master_Mappings!O20)</f>
        <v>Staff Account - Kwame Boakye Agyeman</v>
      </c>
      <c r="C57" s="1" t="str">
        <f aca="false">IF($A57="","",Master_Mappings!P20)</f>
        <v>Other Receivables</v>
      </c>
      <c r="D57" s="1" t="n">
        <f aca="false">IF($A57="","",IFERROR(VLOOKUP($C57,$P$41:$Q$53,2,FALSE()),0))</f>
        <v>0</v>
      </c>
      <c r="E57" s="122" t="n">
        <f aca="false">IF($A57="","",SUMIFS(Trial_Balance!$E$2:$E$995,Trial_Balance!$C$2:$C$995,$A57,Trial_Balance!$B$2:$B$995,$O$1,Trial_Balance!$A$2:$A$995,Controls!$B$7))</f>
        <v>13430</v>
      </c>
      <c r="F57" s="122" t="n">
        <f aca="false">IF($A57="","",SUMIFS(Trial_Balance!$F$2:$F$995,Trial_Balance!$C$2:$C$995,$A57,Trial_Balance!$B$2:$B$995,$O$1,Trial_Balance!$A$2:$A$995,Controls!$B$7))</f>
        <v>0</v>
      </c>
      <c r="G57" s="122" t="n">
        <f aca="false">IF($A57="","",SUMIFS(Trial_Balance!$G$2:$G$995,Trial_Balance!$C$2:$C$995,$A57,Trial_Balance!$B$2:$B$995,$O$1,Trial_Balance!$A$2:$A$995,Controls!$B$7))</f>
        <v>0</v>
      </c>
      <c r="H57" s="122" t="n">
        <f aca="false">IF($A57="","",SUMIFS(Trial_Balance!$H$2:$H$995,Trial_Balance!$C$2:$C$995,$A57,Trial_Balance!$B$2:$B$995,$O$1,Trial_Balance!$A$2:$A$995,Controls!$B$7))</f>
        <v>1000</v>
      </c>
      <c r="I57" s="122" t="n">
        <f aca="false">IF($A57="","",$H57-$E57)</f>
        <v>-12430</v>
      </c>
      <c r="J57" s="1" t="n">
        <f aca="false">IF($A57="",0,ABS($I57)+ROW()/1000000000)</f>
        <v>12430.000000057</v>
      </c>
      <c r="K57" s="1" t="n">
        <f aca="false">IF($A57="",0,IF(AND($H57&lt;&gt;0,ABS($H57-$E57)&lt;0.005,$F57=0,$G57=0,ISNA(MATCH($C57,{"Land and Building","Furniture, Fixtures and Equipment","Intangible Assets","Share Capital","Retained Reserves","Investments &gt; 3 months"},0))),1,0))</f>
        <v>0</v>
      </c>
      <c r="L57" s="1" t="n">
        <f aca="false">IF($A57="",0,IF($D57=0,0,IF($H57*$D57&lt;0,1,0)))</f>
        <v>0</v>
      </c>
      <c r="M57" s="123"/>
    </row>
    <row r="58" customFormat="false" ht="13.5" hidden="false" customHeight="false" outlineLevel="0" collapsed="false">
      <c r="A58" s="1" t="str">
        <f aca="false">IF(Master_Mappings!N21="","",Master_Mappings!N21)</f>
        <v>1123</v>
      </c>
      <c r="B58" s="1" t="str">
        <f aca="false">IF($A58="","",Master_Mappings!O21)</f>
        <v>Staff Account - Elikplim Dziwornu Agbitor</v>
      </c>
      <c r="C58" s="1" t="str">
        <f aca="false">IF($A58="","",Master_Mappings!P21)</f>
        <v>Other Receivables</v>
      </c>
      <c r="D58" s="1" t="n">
        <f aca="false">IF($A58="","",IFERROR(VLOOKUP($C58,$P$41:$Q$53,2,FALSE()),0))</f>
        <v>0</v>
      </c>
      <c r="E58" s="122" t="n">
        <f aca="false">IF($A58="","",SUMIFS(Trial_Balance!$E$2:$E$995,Trial_Balance!$C$2:$C$995,$A58,Trial_Balance!$B$2:$B$995,$O$1,Trial_Balance!$A$2:$A$995,Controls!$B$7))</f>
        <v>-163.31</v>
      </c>
      <c r="F58" s="122" t="n">
        <f aca="false">IF($A58="","",SUMIFS(Trial_Balance!$F$2:$F$995,Trial_Balance!$C$2:$C$995,$A58,Trial_Balance!$B$2:$B$995,$O$1,Trial_Balance!$A$2:$A$995,Controls!$B$7))</f>
        <v>0</v>
      </c>
      <c r="G58" s="122" t="n">
        <f aca="false">IF($A58="","",SUMIFS(Trial_Balance!$G$2:$G$995,Trial_Balance!$C$2:$C$995,$A58,Trial_Balance!$B$2:$B$995,$O$1,Trial_Balance!$A$2:$A$995,Controls!$B$7))</f>
        <v>0</v>
      </c>
      <c r="H58" s="122" t="n">
        <f aca="false">IF($A58="","",SUMIFS(Trial_Balance!$H$2:$H$995,Trial_Balance!$C$2:$C$995,$A58,Trial_Balance!$B$2:$B$995,$O$1,Trial_Balance!$A$2:$A$995,Controls!$B$7))</f>
        <v>-163.31</v>
      </c>
      <c r="I58" s="122" t="n">
        <f aca="false">IF($A58="","",$H58-$E58)</f>
        <v>0</v>
      </c>
      <c r="J58" s="1" t="n">
        <f aca="false">IF($A58="",0,ABS($I58)+ROW()/1000000000)</f>
        <v>5.8E-008</v>
      </c>
      <c r="K58" s="1" t="n">
        <f aca="false">IF($A58="",0,IF(AND($H58&lt;&gt;0,ABS($H58-$E58)&lt;0.005,$F58=0,$G58=0,ISNA(MATCH($C58,{"Land and Building","Furniture, Fixtures and Equipment","Intangible Assets","Share Capital","Retained Reserves","Investments &gt; 3 months"},0))),1,0))</f>
        <v>1</v>
      </c>
      <c r="L58" s="1" t="n">
        <f aca="false">IF($A58="",0,IF($D58=0,0,IF($H58*$D58&lt;0,1,0)))</f>
        <v>0</v>
      </c>
      <c r="M58" s="123"/>
    </row>
    <row r="59" customFormat="false" ht="13.5" hidden="false" customHeight="false" outlineLevel="0" collapsed="false">
      <c r="A59" s="1" t="str">
        <f aca="false">IF(Master_Mappings!N22="","",Master_Mappings!N22)</f>
        <v>1125</v>
      </c>
      <c r="B59" s="1" t="str">
        <f aca="false">IF($A59="","",Master_Mappings!O22)</f>
        <v>Staff Account - Afua S A Prempeh</v>
      </c>
      <c r="C59" s="1" t="str">
        <f aca="false">IF($A59="","",Master_Mappings!P22)</f>
        <v>Other Receivables</v>
      </c>
      <c r="D59" s="1" t="n">
        <f aca="false">IF($A59="","",IFERROR(VLOOKUP($C59,$P$41:$Q$53,2,FALSE()),0))</f>
        <v>0</v>
      </c>
      <c r="E59" s="122" t="n">
        <f aca="false">IF($A59="","",SUMIFS(Trial_Balance!$E$2:$E$995,Trial_Balance!$C$2:$C$995,$A59,Trial_Balance!$B$2:$B$995,$O$1,Trial_Balance!$A$2:$A$995,Controls!$B$7))</f>
        <v>0</v>
      </c>
      <c r="F59" s="122" t="n">
        <f aca="false">IF($A59="","",SUMIFS(Trial_Balance!$F$2:$F$995,Trial_Balance!$C$2:$C$995,$A59,Trial_Balance!$B$2:$B$995,$O$1,Trial_Balance!$A$2:$A$995,Controls!$B$7))</f>
        <v>0</v>
      </c>
      <c r="G59" s="122" t="n">
        <f aca="false">IF($A59="","",SUMIFS(Trial_Balance!$G$2:$G$995,Trial_Balance!$C$2:$C$995,$A59,Trial_Balance!$B$2:$B$995,$O$1,Trial_Balance!$A$2:$A$995,Controls!$B$7))</f>
        <v>0</v>
      </c>
      <c r="H59" s="122" t="n">
        <f aca="false">IF($A59="","",SUMIFS(Trial_Balance!$H$2:$H$995,Trial_Balance!$C$2:$C$995,$A59,Trial_Balance!$B$2:$B$995,$O$1,Trial_Balance!$A$2:$A$995,Controls!$B$7))</f>
        <v>0</v>
      </c>
      <c r="I59" s="122" t="n">
        <f aca="false">IF($A59="","",$H59-$E59)</f>
        <v>0</v>
      </c>
      <c r="J59" s="1" t="n">
        <f aca="false">IF($A59="",0,ABS($I59)+ROW()/1000000000)</f>
        <v>5.9E-008</v>
      </c>
      <c r="K59" s="1" t="n">
        <f aca="false">IF($A59="",0,IF(AND($H59&lt;&gt;0,ABS($H59-$E59)&lt;0.005,$F59=0,$G59=0,ISNA(MATCH($C59,{"Land and Building","Furniture, Fixtures and Equipment","Intangible Assets","Share Capital","Retained Reserves","Investments &gt; 3 months"},0))),1,0))</f>
        <v>0</v>
      </c>
      <c r="L59" s="1" t="n">
        <f aca="false">IF($A59="",0,IF($D59=0,0,IF($H59*$D59&lt;0,1,0)))</f>
        <v>0</v>
      </c>
      <c r="M59" s="123"/>
    </row>
    <row r="60" customFormat="false" ht="13.5" hidden="false" customHeight="false" outlineLevel="0" collapsed="false">
      <c r="A60" s="1" t="str">
        <f aca="false">IF(Master_Mappings!N23="","",Master_Mappings!N23)</f>
        <v>1128</v>
      </c>
      <c r="B60" s="1" t="str">
        <f aca="false">IF($A60="","",Master_Mappings!O23)</f>
        <v>Staff Account- James Parker</v>
      </c>
      <c r="C60" s="1" t="str">
        <f aca="false">IF($A60="","",Master_Mappings!P23)</f>
        <v>Other Receivables</v>
      </c>
      <c r="D60" s="1" t="n">
        <f aca="false">IF($A60="","",IFERROR(VLOOKUP($C60,$P$41:$Q$53,2,FALSE()),0))</f>
        <v>0</v>
      </c>
      <c r="E60" s="122" t="n">
        <f aca="false">IF($A60="","",SUMIFS(Trial_Balance!$E$2:$E$995,Trial_Balance!$C$2:$C$995,$A60,Trial_Balance!$B$2:$B$995,$O$1,Trial_Balance!$A$2:$A$995,Controls!$B$7))</f>
        <v>13080</v>
      </c>
      <c r="F60" s="122" t="n">
        <f aca="false">IF($A60="","",SUMIFS(Trial_Balance!$F$2:$F$995,Trial_Balance!$C$2:$C$995,$A60,Trial_Balance!$B$2:$B$995,$O$1,Trial_Balance!$A$2:$A$995,Controls!$B$7))</f>
        <v>0</v>
      </c>
      <c r="G60" s="122" t="n">
        <f aca="false">IF($A60="","",SUMIFS(Trial_Balance!$G$2:$G$995,Trial_Balance!$C$2:$C$995,$A60,Trial_Balance!$B$2:$B$995,$O$1,Trial_Balance!$A$2:$A$995,Controls!$B$7))</f>
        <v>0</v>
      </c>
      <c r="H60" s="122" t="n">
        <f aca="false">IF($A60="","",SUMIFS(Trial_Balance!$H$2:$H$995,Trial_Balance!$C$2:$C$995,$A60,Trial_Balance!$B$2:$B$995,$O$1,Trial_Balance!$A$2:$A$995,Controls!$B$7))</f>
        <v>-970.49</v>
      </c>
      <c r="I60" s="122" t="n">
        <f aca="false">IF($A60="","",$H60-$E60)</f>
        <v>-14050.49</v>
      </c>
      <c r="J60" s="1" t="n">
        <f aca="false">IF($A60="",0,ABS($I60)+ROW()/1000000000)</f>
        <v>14050.49000006</v>
      </c>
      <c r="K60" s="1" t="n">
        <f aca="false">IF($A60="",0,IF(AND($H60&lt;&gt;0,ABS($H60-$E60)&lt;0.005,$F60=0,$G60=0,ISNA(MATCH($C60,{"Land and Building","Furniture, Fixtures and Equipment","Intangible Assets","Share Capital","Retained Reserves","Investments &gt; 3 months"},0))),1,0))</f>
        <v>0</v>
      </c>
      <c r="L60" s="1" t="n">
        <f aca="false">IF($A60="",0,IF($D60=0,0,IF($H60*$D60&lt;0,1,0)))</f>
        <v>0</v>
      </c>
      <c r="M60" s="123"/>
    </row>
    <row r="61" customFormat="false" ht="13.5" hidden="false" customHeight="false" outlineLevel="0" collapsed="false">
      <c r="A61" s="1" t="str">
        <f aca="false">IF(Master_Mappings!N24="","",Master_Mappings!N24)</f>
        <v>1132</v>
      </c>
      <c r="B61" s="1" t="str">
        <f aca="false">IF($A61="","",Master_Mappings!O24)</f>
        <v>Staff Account - Aristotle Boaitey</v>
      </c>
      <c r="C61" s="1" t="str">
        <f aca="false">IF($A61="","",Master_Mappings!P24)</f>
        <v>Other Receivables</v>
      </c>
      <c r="D61" s="1" t="n">
        <f aca="false">IF($A61="","",IFERROR(VLOOKUP($C61,$P$41:$Q$53,2,FALSE()),0))</f>
        <v>0</v>
      </c>
      <c r="E61" s="122" t="n">
        <f aca="false">IF($A61="","",SUMIFS(Trial_Balance!$E$2:$E$995,Trial_Balance!$C$2:$C$995,$A61,Trial_Balance!$B$2:$B$995,$O$1,Trial_Balance!$A$2:$A$995,Controls!$B$7))</f>
        <v>-2759.98</v>
      </c>
      <c r="F61" s="122" t="n">
        <f aca="false">IF($A61="","",SUMIFS(Trial_Balance!$F$2:$F$995,Trial_Balance!$C$2:$C$995,$A61,Trial_Balance!$B$2:$B$995,$O$1,Trial_Balance!$A$2:$A$995,Controls!$B$7))</f>
        <v>0</v>
      </c>
      <c r="G61" s="122" t="n">
        <f aca="false">IF($A61="","",SUMIFS(Trial_Balance!$G$2:$G$995,Trial_Balance!$C$2:$C$995,$A61,Trial_Balance!$B$2:$B$995,$O$1,Trial_Balance!$A$2:$A$995,Controls!$B$7))</f>
        <v>0</v>
      </c>
      <c r="H61" s="122" t="n">
        <f aca="false">IF($A61="","",SUMIFS(Trial_Balance!$H$2:$H$995,Trial_Balance!$C$2:$C$995,$A61,Trial_Balance!$B$2:$B$995,$O$1,Trial_Balance!$A$2:$A$995,Controls!$B$7))</f>
        <v>-5309.81</v>
      </c>
      <c r="I61" s="122" t="n">
        <f aca="false">IF($A61="","",$H61-$E61)</f>
        <v>-2549.83</v>
      </c>
      <c r="J61" s="1" t="n">
        <f aca="false">IF($A61="",0,ABS($I61)+ROW()/1000000000)</f>
        <v>2549.830000061</v>
      </c>
      <c r="K61" s="1" t="n">
        <f aca="false">IF($A61="",0,IF(AND($H61&lt;&gt;0,ABS($H61-$E61)&lt;0.005,$F61=0,$G61=0,ISNA(MATCH($C61,{"Land and Building","Furniture, Fixtures and Equipment","Intangible Assets","Share Capital","Retained Reserves","Investments &gt; 3 months"},0))),1,0))</f>
        <v>0</v>
      </c>
      <c r="L61" s="1" t="n">
        <f aca="false">IF($A61="",0,IF($D61=0,0,IF($H61*$D61&lt;0,1,0)))</f>
        <v>0</v>
      </c>
      <c r="M61" s="123"/>
    </row>
    <row r="62" customFormat="false" ht="13.5" hidden="false" customHeight="false" outlineLevel="0" collapsed="false">
      <c r="A62" s="1" t="str">
        <f aca="false">IF(Master_Mappings!N25="","",Master_Mappings!N25)</f>
        <v>1136</v>
      </c>
      <c r="B62" s="1" t="str">
        <f aca="false">IF($A62="","",Master_Mappings!O25)</f>
        <v>Staff Account - Abraham Baffoe</v>
      </c>
      <c r="C62" s="1" t="str">
        <f aca="false">IF($A62="","",Master_Mappings!P25)</f>
        <v>Other Receivables</v>
      </c>
      <c r="D62" s="1" t="n">
        <f aca="false">IF($A62="","",IFERROR(VLOOKUP($C62,$P$41:$Q$53,2,FALSE()),0))</f>
        <v>0</v>
      </c>
      <c r="E62" s="122" t="n">
        <f aca="false">IF($A62="","",SUMIFS(Trial_Balance!$E$2:$E$995,Trial_Balance!$C$2:$C$995,$A62,Trial_Balance!$B$2:$B$995,$O$1,Trial_Balance!$A$2:$A$995,Controls!$B$7))</f>
        <v>0</v>
      </c>
      <c r="F62" s="122" t="n">
        <f aca="false">IF($A62="","",SUMIFS(Trial_Balance!$F$2:$F$995,Trial_Balance!$C$2:$C$995,$A62,Trial_Balance!$B$2:$B$995,$O$1,Trial_Balance!$A$2:$A$995,Controls!$B$7))</f>
        <v>0</v>
      </c>
      <c r="G62" s="122" t="n">
        <f aca="false">IF($A62="","",SUMIFS(Trial_Balance!$G$2:$G$995,Trial_Balance!$C$2:$C$995,$A62,Trial_Balance!$B$2:$B$995,$O$1,Trial_Balance!$A$2:$A$995,Controls!$B$7))</f>
        <v>0</v>
      </c>
      <c r="H62" s="122" t="n">
        <f aca="false">IF($A62="","",SUMIFS(Trial_Balance!$H$2:$H$995,Trial_Balance!$C$2:$C$995,$A62,Trial_Balance!$B$2:$B$995,$O$1,Trial_Balance!$A$2:$A$995,Controls!$B$7))</f>
        <v>0</v>
      </c>
      <c r="I62" s="122" t="n">
        <f aca="false">IF($A62="","",$H62-$E62)</f>
        <v>0</v>
      </c>
      <c r="J62" s="1" t="n">
        <f aca="false">IF($A62="",0,ABS($I62)+ROW()/1000000000)</f>
        <v>6.2E-008</v>
      </c>
      <c r="K62" s="1" t="n">
        <f aca="false">IF($A62="",0,IF(AND($H62&lt;&gt;0,ABS($H62-$E62)&lt;0.005,$F62=0,$G62=0,ISNA(MATCH($C62,{"Land and Building","Furniture, Fixtures and Equipment","Intangible Assets","Share Capital","Retained Reserves","Investments &gt; 3 months"},0))),1,0))</f>
        <v>0</v>
      </c>
      <c r="L62" s="1" t="n">
        <f aca="false">IF($A62="",0,IF($D62=0,0,IF($H62*$D62&lt;0,1,0)))</f>
        <v>0</v>
      </c>
      <c r="M62" s="123"/>
    </row>
    <row r="63" customFormat="false" ht="13.5" hidden="false" customHeight="false" outlineLevel="0" collapsed="false">
      <c r="A63" s="1" t="str">
        <f aca="false">IF(Master_Mappings!N26="","",Master_Mappings!N26)</f>
        <v>1137</v>
      </c>
      <c r="B63" s="1" t="str">
        <f aca="false">IF($A63="","",Master_Mappings!O26)</f>
        <v>Staff Account - James Akossah</v>
      </c>
      <c r="C63" s="1" t="str">
        <f aca="false">IF($A63="","",Master_Mappings!P26)</f>
        <v>Other Receivables</v>
      </c>
      <c r="D63" s="1" t="n">
        <f aca="false">IF($A63="","",IFERROR(VLOOKUP($C63,$P$41:$Q$53,2,FALSE()),0))</f>
        <v>0</v>
      </c>
      <c r="E63" s="122" t="n">
        <f aca="false">IF($A63="","",SUMIFS(Trial_Balance!$E$2:$E$995,Trial_Balance!$C$2:$C$995,$A63,Trial_Balance!$B$2:$B$995,$O$1,Trial_Balance!$A$2:$A$995,Controls!$B$7))</f>
        <v>590.08</v>
      </c>
      <c r="F63" s="122" t="n">
        <f aca="false">IF($A63="","",SUMIFS(Trial_Balance!$F$2:$F$995,Trial_Balance!$C$2:$C$995,$A63,Trial_Balance!$B$2:$B$995,$O$1,Trial_Balance!$A$2:$A$995,Controls!$B$7))</f>
        <v>0</v>
      </c>
      <c r="G63" s="122" t="n">
        <f aca="false">IF($A63="","",SUMIFS(Trial_Balance!$G$2:$G$995,Trial_Balance!$C$2:$C$995,$A63,Trial_Balance!$B$2:$B$995,$O$1,Trial_Balance!$A$2:$A$995,Controls!$B$7))</f>
        <v>0</v>
      </c>
      <c r="H63" s="122" t="n">
        <f aca="false">IF($A63="","",SUMIFS(Trial_Balance!$H$2:$H$995,Trial_Balance!$C$2:$C$995,$A63,Trial_Balance!$B$2:$B$995,$O$1,Trial_Balance!$A$2:$A$995,Controls!$B$7))</f>
        <v>0</v>
      </c>
      <c r="I63" s="122" t="n">
        <f aca="false">IF($A63="","",$H63-$E63)</f>
        <v>-590.08</v>
      </c>
      <c r="J63" s="1" t="n">
        <f aca="false">IF($A63="",0,ABS($I63)+ROW()/1000000000)</f>
        <v>590.080000063</v>
      </c>
      <c r="K63" s="1" t="n">
        <f aca="false">IF($A63="",0,IF(AND($H63&lt;&gt;0,ABS($H63-$E63)&lt;0.005,$F63=0,$G63=0,ISNA(MATCH($C63,{"Land and Building","Furniture, Fixtures and Equipment","Intangible Assets","Share Capital","Retained Reserves","Investments &gt; 3 months"},0))),1,0))</f>
        <v>0</v>
      </c>
      <c r="L63" s="1" t="n">
        <f aca="false">IF($A63="",0,IF($D63=0,0,IF($H63*$D63&lt;0,1,0)))</f>
        <v>0</v>
      </c>
      <c r="M63" s="123"/>
    </row>
    <row r="64" customFormat="false" ht="13.5" hidden="false" customHeight="false" outlineLevel="0" collapsed="false">
      <c r="A64" s="1" t="str">
        <f aca="false">IF(Master_Mappings!N27="","",Master_Mappings!N27)</f>
        <v>1138</v>
      </c>
      <c r="B64" s="1" t="str">
        <f aca="false">IF($A64="","",Master_Mappings!O27)</f>
        <v>Staff Account - Stephen Doso</v>
      </c>
      <c r="C64" s="1" t="str">
        <f aca="false">IF($A64="","",Master_Mappings!P27)</f>
        <v>Other Receivables</v>
      </c>
      <c r="D64" s="1" t="n">
        <f aca="false">IF($A64="","",IFERROR(VLOOKUP($C64,$P$41:$Q$53,2,FALSE()),0))</f>
        <v>0</v>
      </c>
      <c r="E64" s="122" t="n">
        <f aca="false">IF($A64="","",SUMIFS(Trial_Balance!$E$2:$E$995,Trial_Balance!$C$2:$C$995,$A64,Trial_Balance!$B$2:$B$995,$O$1,Trial_Balance!$A$2:$A$995,Controls!$B$7))</f>
        <v>0</v>
      </c>
      <c r="F64" s="122" t="n">
        <f aca="false">IF($A64="","",SUMIFS(Trial_Balance!$F$2:$F$995,Trial_Balance!$C$2:$C$995,$A64,Trial_Balance!$B$2:$B$995,$O$1,Trial_Balance!$A$2:$A$995,Controls!$B$7))</f>
        <v>0</v>
      </c>
      <c r="G64" s="122" t="n">
        <f aca="false">IF($A64="","",SUMIFS(Trial_Balance!$G$2:$G$995,Trial_Balance!$C$2:$C$995,$A64,Trial_Balance!$B$2:$B$995,$O$1,Trial_Balance!$A$2:$A$995,Controls!$B$7))</f>
        <v>0</v>
      </c>
      <c r="H64" s="122" t="n">
        <f aca="false">IF($A64="","",SUMIFS(Trial_Balance!$H$2:$H$995,Trial_Balance!$C$2:$C$995,$A64,Trial_Balance!$B$2:$B$995,$O$1,Trial_Balance!$A$2:$A$995,Controls!$B$7))</f>
        <v>0</v>
      </c>
      <c r="I64" s="122" t="n">
        <f aca="false">IF($A64="","",$H64-$E64)</f>
        <v>0</v>
      </c>
      <c r="J64" s="1" t="n">
        <f aca="false">IF($A64="",0,ABS($I64)+ROW()/1000000000)</f>
        <v>6.4E-008</v>
      </c>
      <c r="K64" s="1" t="n">
        <f aca="false">IF($A64="",0,IF(AND($H64&lt;&gt;0,ABS($H64-$E64)&lt;0.005,$F64=0,$G64=0,ISNA(MATCH($C64,{"Land and Building","Furniture, Fixtures and Equipment","Intangible Assets","Share Capital","Retained Reserves","Investments &gt; 3 months"},0))),1,0))</f>
        <v>0</v>
      </c>
      <c r="L64" s="1" t="n">
        <f aca="false">IF($A64="",0,IF($D64=0,0,IF($H64*$D64&lt;0,1,0)))</f>
        <v>0</v>
      </c>
      <c r="M64" s="123"/>
    </row>
    <row r="65" customFormat="false" ht="13.5" hidden="false" customHeight="false" outlineLevel="0" collapsed="false">
      <c r="A65" s="1" t="str">
        <f aca="false">IF(Master_Mappings!N28="","",Master_Mappings!N28)</f>
        <v>1139</v>
      </c>
      <c r="B65" s="1" t="str">
        <f aca="false">IF($A65="","",Master_Mappings!O28)</f>
        <v>Staff Account - Ebenezer K.O.Y Gyadu</v>
      </c>
      <c r="C65" s="1" t="str">
        <f aca="false">IF($A65="","",Master_Mappings!P28)</f>
        <v>Other Receivables</v>
      </c>
      <c r="D65" s="1" t="n">
        <f aca="false">IF($A65="","",IFERROR(VLOOKUP($C65,$P$41:$Q$53,2,FALSE()),0))</f>
        <v>0</v>
      </c>
      <c r="E65" s="122" t="n">
        <f aca="false">IF($A65="","",SUMIFS(Trial_Balance!$E$2:$E$995,Trial_Balance!$C$2:$C$995,$A65,Trial_Balance!$B$2:$B$995,$O$1,Trial_Balance!$A$2:$A$995,Controls!$B$7))</f>
        <v>52688.3</v>
      </c>
      <c r="F65" s="122" t="n">
        <f aca="false">IF($A65="","",SUMIFS(Trial_Balance!$F$2:$F$995,Trial_Balance!$C$2:$C$995,$A65,Trial_Balance!$B$2:$B$995,$O$1,Trial_Balance!$A$2:$A$995,Controls!$B$7))</f>
        <v>0</v>
      </c>
      <c r="G65" s="122" t="n">
        <f aca="false">IF($A65="","",SUMIFS(Trial_Balance!$G$2:$G$995,Trial_Balance!$C$2:$C$995,$A65,Trial_Balance!$B$2:$B$995,$O$1,Trial_Balance!$A$2:$A$995,Controls!$B$7))</f>
        <v>0</v>
      </c>
      <c r="H65" s="122" t="n">
        <f aca="false">IF($A65="","",SUMIFS(Trial_Balance!$H$2:$H$995,Trial_Balance!$C$2:$C$995,$A65,Trial_Balance!$B$2:$B$995,$O$1,Trial_Balance!$A$2:$A$995,Controls!$B$7))</f>
        <v>2399.99999999999</v>
      </c>
      <c r="I65" s="122" t="n">
        <f aca="false">IF($A65="","",$H65-$E65)</f>
        <v>-50288.3</v>
      </c>
      <c r="J65" s="1" t="n">
        <f aca="false">IF($A65="",0,ABS($I65)+ROW()/1000000000)</f>
        <v>50288.300000065</v>
      </c>
      <c r="K65" s="1" t="n">
        <f aca="false">IF($A65="",0,IF(AND($H65&lt;&gt;0,ABS($H65-$E65)&lt;0.005,$F65=0,$G65=0,ISNA(MATCH($C65,{"Land and Building","Furniture, Fixtures and Equipment","Intangible Assets","Share Capital","Retained Reserves","Investments &gt; 3 months"},0))),1,0))</f>
        <v>0</v>
      </c>
      <c r="L65" s="1" t="n">
        <f aca="false">IF($A65="",0,IF($D65=0,0,IF($H65*$D65&lt;0,1,0)))</f>
        <v>0</v>
      </c>
      <c r="M65" s="123"/>
    </row>
    <row r="66" customFormat="false" ht="13.5" hidden="false" customHeight="false" outlineLevel="0" collapsed="false">
      <c r="A66" s="1" t="str">
        <f aca="false">IF(Master_Mappings!N29="","",Master_Mappings!N29)</f>
        <v>1141</v>
      </c>
      <c r="B66" s="1" t="str">
        <f aca="false">IF($A66="","",Master_Mappings!O29)</f>
        <v>Staff Account - Ekow Nyamekye Tawiah</v>
      </c>
      <c r="C66" s="1" t="str">
        <f aca="false">IF($A66="","",Master_Mappings!P29)</f>
        <v>Other Receivables</v>
      </c>
      <c r="D66" s="1" t="n">
        <f aca="false">IF($A66="","",IFERROR(VLOOKUP($C66,$P$41:$Q$53,2,FALSE()),0))</f>
        <v>0</v>
      </c>
      <c r="E66" s="122" t="n">
        <f aca="false">IF($A66="","",SUMIFS(Trial_Balance!$E$2:$E$995,Trial_Balance!$C$2:$C$995,$A66,Trial_Balance!$B$2:$B$995,$O$1,Trial_Balance!$A$2:$A$995,Controls!$B$7))</f>
        <v>0</v>
      </c>
      <c r="F66" s="122" t="n">
        <f aca="false">IF($A66="","",SUMIFS(Trial_Balance!$F$2:$F$995,Trial_Balance!$C$2:$C$995,$A66,Trial_Balance!$B$2:$B$995,$O$1,Trial_Balance!$A$2:$A$995,Controls!$B$7))</f>
        <v>0</v>
      </c>
      <c r="G66" s="122" t="n">
        <f aca="false">IF($A66="","",SUMIFS(Trial_Balance!$G$2:$G$995,Trial_Balance!$C$2:$C$995,$A66,Trial_Balance!$B$2:$B$995,$O$1,Trial_Balance!$A$2:$A$995,Controls!$B$7))</f>
        <v>0</v>
      </c>
      <c r="H66" s="122" t="n">
        <f aca="false">IF($A66="","",SUMIFS(Trial_Balance!$H$2:$H$995,Trial_Balance!$C$2:$C$995,$A66,Trial_Balance!$B$2:$B$995,$O$1,Trial_Balance!$A$2:$A$995,Controls!$B$7))</f>
        <v>0</v>
      </c>
      <c r="I66" s="122" t="n">
        <f aca="false">IF($A66="","",$H66-$E66)</f>
        <v>0</v>
      </c>
      <c r="J66" s="1" t="n">
        <f aca="false">IF($A66="",0,ABS($I66)+ROW()/1000000000)</f>
        <v>6.6E-008</v>
      </c>
      <c r="K66" s="1" t="n">
        <f aca="false">IF($A66="",0,IF(AND($H66&lt;&gt;0,ABS($H66-$E66)&lt;0.005,$F66=0,$G66=0,ISNA(MATCH($C66,{"Land and Building","Furniture, Fixtures and Equipment","Intangible Assets","Share Capital","Retained Reserves","Investments &gt; 3 months"},0))),1,0))</f>
        <v>0</v>
      </c>
      <c r="L66" s="1" t="n">
        <f aca="false">IF($A66="",0,IF($D66=0,0,IF($H66*$D66&lt;0,1,0)))</f>
        <v>0</v>
      </c>
      <c r="M66" s="123"/>
    </row>
    <row r="67" customFormat="false" ht="13.5" hidden="false" customHeight="false" outlineLevel="0" collapsed="false">
      <c r="A67" s="1" t="str">
        <f aca="false">IF(Master_Mappings!N30="","",Master_Mappings!N30)</f>
        <v>1142</v>
      </c>
      <c r="B67" s="1" t="str">
        <f aca="false">IF($A67="","",Master_Mappings!O30)</f>
        <v>Staff Account - Patricia Offei</v>
      </c>
      <c r="C67" s="1" t="str">
        <f aca="false">IF($A67="","",Master_Mappings!P30)</f>
        <v>Other Receivables</v>
      </c>
      <c r="D67" s="1" t="n">
        <f aca="false">IF($A67="","",IFERROR(VLOOKUP($C67,$P$41:$Q$53,2,FALSE()),0))</f>
        <v>0</v>
      </c>
      <c r="E67" s="122" t="n">
        <f aca="false">IF($A67="","",SUMIFS(Trial_Balance!$E$2:$E$995,Trial_Balance!$C$2:$C$995,$A67,Trial_Balance!$B$2:$B$995,$O$1,Trial_Balance!$A$2:$A$995,Controls!$B$7))</f>
        <v>0</v>
      </c>
      <c r="F67" s="122" t="n">
        <f aca="false">IF($A67="","",SUMIFS(Trial_Balance!$F$2:$F$995,Trial_Balance!$C$2:$C$995,$A67,Trial_Balance!$B$2:$B$995,$O$1,Trial_Balance!$A$2:$A$995,Controls!$B$7))</f>
        <v>0</v>
      </c>
      <c r="G67" s="122" t="n">
        <f aca="false">IF($A67="","",SUMIFS(Trial_Balance!$G$2:$G$995,Trial_Balance!$C$2:$C$995,$A67,Trial_Balance!$B$2:$B$995,$O$1,Trial_Balance!$A$2:$A$995,Controls!$B$7))</f>
        <v>0</v>
      </c>
      <c r="H67" s="122" t="n">
        <f aca="false">IF($A67="","",SUMIFS(Trial_Balance!$H$2:$H$995,Trial_Balance!$C$2:$C$995,$A67,Trial_Balance!$B$2:$B$995,$O$1,Trial_Balance!$A$2:$A$995,Controls!$B$7))</f>
        <v>-4474.45</v>
      </c>
      <c r="I67" s="122" t="n">
        <f aca="false">IF($A67="","",$H67-$E67)</f>
        <v>-4474.45</v>
      </c>
      <c r="J67" s="1" t="n">
        <f aca="false">IF($A67="",0,ABS($I67)+ROW()/1000000000)</f>
        <v>4474.450000067</v>
      </c>
      <c r="K67" s="1" t="n">
        <f aca="false">IF($A67="",0,IF(AND($H67&lt;&gt;0,ABS($H67-$E67)&lt;0.005,$F67=0,$G67=0,ISNA(MATCH($C67,{"Land and Building","Furniture, Fixtures and Equipment","Intangible Assets","Share Capital","Retained Reserves","Investments &gt; 3 months"},0))),1,0))</f>
        <v>0</v>
      </c>
      <c r="L67" s="1" t="n">
        <f aca="false">IF($A67="",0,IF($D67=0,0,IF($H67*$D67&lt;0,1,0)))</f>
        <v>0</v>
      </c>
      <c r="M67" s="123"/>
    </row>
    <row r="68" customFormat="false" ht="13.5" hidden="false" customHeight="false" outlineLevel="0" collapsed="false">
      <c r="A68" s="1" t="str">
        <f aca="false">IF(Master_Mappings!N31="","",Master_Mappings!N31)</f>
        <v>1143</v>
      </c>
      <c r="B68" s="1" t="str">
        <f aca="false">IF($A68="","",Master_Mappings!O31)</f>
        <v>Staff Account - Clement Obeng Manu</v>
      </c>
      <c r="C68" s="1" t="str">
        <f aca="false">IF($A68="","",Master_Mappings!P31)</f>
        <v>Other Receivables</v>
      </c>
      <c r="D68" s="1" t="n">
        <f aca="false">IF($A68="","",IFERROR(VLOOKUP($C68,$P$41:$Q$53,2,FALSE()),0))</f>
        <v>0</v>
      </c>
      <c r="E68" s="122" t="n">
        <f aca="false">IF($A68="","",SUMIFS(Trial_Balance!$E$2:$E$995,Trial_Balance!$C$2:$C$995,$A68,Trial_Balance!$B$2:$B$995,$O$1,Trial_Balance!$A$2:$A$995,Controls!$B$7))</f>
        <v>328390</v>
      </c>
      <c r="F68" s="122" t="n">
        <f aca="false">IF($A68="","",SUMIFS(Trial_Balance!$F$2:$F$995,Trial_Balance!$C$2:$C$995,$A68,Trial_Balance!$B$2:$B$995,$O$1,Trial_Balance!$A$2:$A$995,Controls!$B$7))</f>
        <v>0</v>
      </c>
      <c r="G68" s="122" t="n">
        <f aca="false">IF($A68="","",SUMIFS(Trial_Balance!$G$2:$G$995,Trial_Balance!$C$2:$C$995,$A68,Trial_Balance!$B$2:$B$995,$O$1,Trial_Balance!$A$2:$A$995,Controls!$B$7))</f>
        <v>0</v>
      </c>
      <c r="H68" s="122" t="n">
        <f aca="false">IF($A68="","",SUMIFS(Trial_Balance!$H$2:$H$995,Trial_Balance!$C$2:$C$995,$A68,Trial_Balance!$B$2:$B$995,$O$1,Trial_Balance!$A$2:$A$995,Controls!$B$7))</f>
        <v>-7552.59000000001</v>
      </c>
      <c r="I68" s="122" t="n">
        <f aca="false">IF($A68="","",$H68-$E68)</f>
        <v>-335942.59</v>
      </c>
      <c r="J68" s="1" t="n">
        <f aca="false">IF($A68="",0,ABS($I68)+ROW()/1000000000)</f>
        <v>335942.590000068</v>
      </c>
      <c r="K68" s="1" t="n">
        <f aca="false">IF($A68="",0,IF(AND($H68&lt;&gt;0,ABS($H68-$E68)&lt;0.005,$F68=0,$G68=0,ISNA(MATCH($C68,{"Land and Building","Furniture, Fixtures and Equipment","Intangible Assets","Share Capital","Retained Reserves","Investments &gt; 3 months"},0))),1,0))</f>
        <v>0</v>
      </c>
      <c r="L68" s="1" t="n">
        <f aca="false">IF($A68="",0,IF($D68=0,0,IF($H68*$D68&lt;0,1,0)))</f>
        <v>0</v>
      </c>
      <c r="M68" s="123"/>
    </row>
    <row r="69" customFormat="false" ht="13.5" hidden="false" customHeight="false" outlineLevel="0" collapsed="false">
      <c r="A69" s="1" t="str">
        <f aca="false">IF(Master_Mappings!N32="","",Master_Mappings!N32)</f>
        <v>1145</v>
      </c>
      <c r="B69" s="1" t="str">
        <f aca="false">IF($A69="","",Master_Mappings!O32)</f>
        <v>Staff Account - Kpenahi Daleba Raymond Bernard</v>
      </c>
      <c r="C69" s="1" t="str">
        <f aca="false">IF($A69="","",Master_Mappings!P32)</f>
        <v>Other Receivables</v>
      </c>
      <c r="D69" s="1" t="n">
        <f aca="false">IF($A69="","",IFERROR(VLOOKUP($C69,$P$41:$Q$53,2,FALSE()),0))</f>
        <v>0</v>
      </c>
      <c r="E69" s="122" t="n">
        <f aca="false">IF($A69="","",SUMIFS(Trial_Balance!$E$2:$E$995,Trial_Balance!$C$2:$C$995,$A69,Trial_Balance!$B$2:$B$995,$O$1,Trial_Balance!$A$2:$A$995,Controls!$B$7))</f>
        <v>59111.89</v>
      </c>
      <c r="F69" s="122" t="n">
        <f aca="false">IF($A69="","",SUMIFS(Trial_Balance!$F$2:$F$995,Trial_Balance!$C$2:$C$995,$A69,Trial_Balance!$B$2:$B$995,$O$1,Trial_Balance!$A$2:$A$995,Controls!$B$7))</f>
        <v>0</v>
      </c>
      <c r="G69" s="122" t="n">
        <f aca="false">IF($A69="","",SUMIFS(Trial_Balance!$G$2:$G$995,Trial_Balance!$C$2:$C$995,$A69,Trial_Balance!$B$2:$B$995,$O$1,Trial_Balance!$A$2:$A$995,Controls!$B$7))</f>
        <v>0</v>
      </c>
      <c r="H69" s="122" t="n">
        <f aca="false">IF($A69="","",SUMIFS(Trial_Balance!$H$2:$H$995,Trial_Balance!$C$2:$C$995,$A69,Trial_Balance!$B$2:$B$995,$O$1,Trial_Balance!$A$2:$A$995,Controls!$B$7))</f>
        <v>7015.44</v>
      </c>
      <c r="I69" s="122" t="n">
        <f aca="false">IF($A69="","",$H69-$E69)</f>
        <v>-52096.45</v>
      </c>
      <c r="J69" s="1" t="n">
        <f aca="false">IF($A69="",0,ABS($I69)+ROW()/1000000000)</f>
        <v>52096.450000069</v>
      </c>
      <c r="K69" s="1" t="n">
        <f aca="false">IF($A69="",0,IF(AND($H69&lt;&gt;0,ABS($H69-$E69)&lt;0.005,$F69=0,$G69=0,ISNA(MATCH($C69,{"Land and Building","Furniture, Fixtures and Equipment","Intangible Assets","Share Capital","Retained Reserves","Investments &gt; 3 months"},0))),1,0))</f>
        <v>0</v>
      </c>
      <c r="L69" s="1" t="n">
        <f aca="false">IF($A69="",0,IF($D69=0,0,IF($H69*$D69&lt;0,1,0)))</f>
        <v>0</v>
      </c>
      <c r="M69" s="123"/>
    </row>
    <row r="70" customFormat="false" ht="13.5" hidden="false" customHeight="false" outlineLevel="0" collapsed="false">
      <c r="A70" s="1" t="str">
        <f aca="false">IF(Master_Mappings!N33="","",Master_Mappings!N33)</f>
        <v>1147</v>
      </c>
      <c r="B70" s="1" t="str">
        <f aca="false">IF($A70="","",Master_Mappings!O33)</f>
        <v>Staff Account- Fredrick Antwi</v>
      </c>
      <c r="C70" s="1" t="str">
        <f aca="false">IF($A70="","",Master_Mappings!P33)</f>
        <v>Other Receivables</v>
      </c>
      <c r="D70" s="1" t="n">
        <f aca="false">IF($A70="","",IFERROR(VLOOKUP($C70,$P$41:$Q$53,2,FALSE()),0))</f>
        <v>0</v>
      </c>
      <c r="E70" s="122" t="n">
        <f aca="false">IF($A70="","",SUMIFS(Trial_Balance!$E$2:$E$995,Trial_Balance!$C$2:$C$995,$A70,Trial_Balance!$B$2:$B$995,$O$1,Trial_Balance!$A$2:$A$995,Controls!$B$7))</f>
        <v>-8000</v>
      </c>
      <c r="F70" s="122" t="n">
        <f aca="false">IF($A70="","",SUMIFS(Trial_Balance!$F$2:$F$995,Trial_Balance!$C$2:$C$995,$A70,Trial_Balance!$B$2:$B$995,$O$1,Trial_Balance!$A$2:$A$995,Controls!$B$7))</f>
        <v>0</v>
      </c>
      <c r="G70" s="122" t="n">
        <f aca="false">IF($A70="","",SUMIFS(Trial_Balance!$G$2:$G$995,Trial_Balance!$C$2:$C$995,$A70,Trial_Balance!$B$2:$B$995,$O$1,Trial_Balance!$A$2:$A$995,Controls!$B$7))</f>
        <v>0</v>
      </c>
      <c r="H70" s="122" t="n">
        <f aca="false">IF($A70="","",SUMIFS(Trial_Balance!$H$2:$H$995,Trial_Balance!$C$2:$C$995,$A70,Trial_Balance!$B$2:$B$995,$O$1,Trial_Balance!$A$2:$A$995,Controls!$B$7))</f>
        <v>7512</v>
      </c>
      <c r="I70" s="122" t="n">
        <f aca="false">IF($A70="","",$H70-$E70)</f>
        <v>15512</v>
      </c>
      <c r="J70" s="1" t="n">
        <f aca="false">IF($A70="",0,ABS($I70)+ROW()/1000000000)</f>
        <v>15512.00000007</v>
      </c>
      <c r="K70" s="1" t="n">
        <f aca="false">IF($A70="",0,IF(AND($H70&lt;&gt;0,ABS($H70-$E70)&lt;0.005,$F70=0,$G70=0,ISNA(MATCH($C70,{"Land and Building","Furniture, Fixtures and Equipment","Intangible Assets","Share Capital","Retained Reserves","Investments &gt; 3 months"},0))),1,0))</f>
        <v>0</v>
      </c>
      <c r="L70" s="1" t="n">
        <f aca="false">IF($A70="",0,IF($D70=0,0,IF($H70*$D70&lt;0,1,0)))</f>
        <v>0</v>
      </c>
      <c r="M70" s="123"/>
    </row>
    <row r="71" customFormat="false" ht="13.5" hidden="false" customHeight="false" outlineLevel="0" collapsed="false">
      <c r="A71" s="1" t="str">
        <f aca="false">IF(Master_Mappings!N34="","",Master_Mappings!N34)</f>
        <v>1150</v>
      </c>
      <c r="B71" s="1" t="str">
        <f aca="false">IF($A71="","",Master_Mappings!O34)</f>
        <v>Staff Account- Kwadwo Nti Baniako</v>
      </c>
      <c r="C71" s="1" t="str">
        <f aca="false">IF($A71="","",Master_Mappings!P34)</f>
        <v>Other Receivables</v>
      </c>
      <c r="D71" s="1" t="n">
        <f aca="false">IF($A71="","",IFERROR(VLOOKUP($C71,$P$41:$Q$53,2,FALSE()),0))</f>
        <v>0</v>
      </c>
      <c r="E71" s="122" t="n">
        <f aca="false">IF($A71="","",SUMIFS(Trial_Balance!$E$2:$E$995,Trial_Balance!$C$2:$C$995,$A71,Trial_Balance!$B$2:$B$995,$O$1,Trial_Balance!$A$2:$A$995,Controls!$B$7))</f>
        <v>6575.9</v>
      </c>
      <c r="F71" s="122" t="n">
        <f aca="false">IF($A71="","",SUMIFS(Trial_Balance!$F$2:$F$995,Trial_Balance!$C$2:$C$995,$A71,Trial_Balance!$B$2:$B$995,$O$1,Trial_Balance!$A$2:$A$995,Controls!$B$7))</f>
        <v>0</v>
      </c>
      <c r="G71" s="122" t="n">
        <f aca="false">IF($A71="","",SUMIFS(Trial_Balance!$G$2:$G$995,Trial_Balance!$C$2:$C$995,$A71,Trial_Balance!$B$2:$B$995,$O$1,Trial_Balance!$A$2:$A$995,Controls!$B$7))</f>
        <v>0</v>
      </c>
      <c r="H71" s="122" t="n">
        <f aca="false">IF($A71="","",SUMIFS(Trial_Balance!$H$2:$H$995,Trial_Balance!$C$2:$C$995,$A71,Trial_Balance!$B$2:$B$995,$O$1,Trial_Balance!$A$2:$A$995,Controls!$B$7))</f>
        <v>0</v>
      </c>
      <c r="I71" s="122" t="n">
        <f aca="false">IF($A71="","",$H71-$E71)</f>
        <v>-6575.9</v>
      </c>
      <c r="J71" s="1" t="n">
        <f aca="false">IF($A71="",0,ABS($I71)+ROW()/1000000000)</f>
        <v>6575.900000071</v>
      </c>
      <c r="K71" s="1" t="n">
        <f aca="false">IF($A71="",0,IF(AND($H71&lt;&gt;0,ABS($H71-$E71)&lt;0.005,$F71=0,$G71=0,ISNA(MATCH($C71,{"Land and Building","Furniture, Fixtures and Equipment","Intangible Assets","Share Capital","Retained Reserves","Investments &gt; 3 months"},0))),1,0))</f>
        <v>0</v>
      </c>
      <c r="L71" s="1" t="n">
        <f aca="false">IF($A71="",0,IF($D71=0,0,IF($H71*$D71&lt;0,1,0)))</f>
        <v>0</v>
      </c>
      <c r="M71" s="123"/>
    </row>
    <row r="72" customFormat="false" ht="13.5" hidden="false" customHeight="false" outlineLevel="0" collapsed="false">
      <c r="A72" s="1" t="str">
        <f aca="false">IF(Master_Mappings!N35="","",Master_Mappings!N35)</f>
        <v>1151</v>
      </c>
      <c r="B72" s="1" t="str">
        <f aca="false">IF($A72="","",Master_Mappings!O35)</f>
        <v>Staff Account-Arthur Tchobang</v>
      </c>
      <c r="C72" s="1" t="str">
        <f aca="false">IF($A72="","",Master_Mappings!P35)</f>
        <v>Other Receivables</v>
      </c>
      <c r="D72" s="1" t="n">
        <f aca="false">IF($A72="","",IFERROR(VLOOKUP($C72,$P$41:$Q$53,2,FALSE()),0))</f>
        <v>0</v>
      </c>
      <c r="E72" s="122" t="n">
        <f aca="false">IF($A72="","",SUMIFS(Trial_Balance!$E$2:$E$995,Trial_Balance!$C$2:$C$995,$A72,Trial_Balance!$B$2:$B$995,$O$1,Trial_Balance!$A$2:$A$995,Controls!$B$7))</f>
        <v>-65.62</v>
      </c>
      <c r="F72" s="122" t="n">
        <f aca="false">IF($A72="","",SUMIFS(Trial_Balance!$F$2:$F$995,Trial_Balance!$C$2:$C$995,$A72,Trial_Balance!$B$2:$B$995,$O$1,Trial_Balance!$A$2:$A$995,Controls!$B$7))</f>
        <v>0</v>
      </c>
      <c r="G72" s="122" t="n">
        <f aca="false">IF($A72="","",SUMIFS(Trial_Balance!$G$2:$G$995,Trial_Balance!$C$2:$C$995,$A72,Trial_Balance!$B$2:$B$995,$O$1,Trial_Balance!$A$2:$A$995,Controls!$B$7))</f>
        <v>0</v>
      </c>
      <c r="H72" s="122" t="n">
        <f aca="false">IF($A72="","",SUMIFS(Trial_Balance!$H$2:$H$995,Trial_Balance!$C$2:$C$995,$A72,Trial_Balance!$B$2:$B$995,$O$1,Trial_Balance!$A$2:$A$995,Controls!$B$7))</f>
        <v>-65.62</v>
      </c>
      <c r="I72" s="122" t="n">
        <f aca="false">IF($A72="","",$H72-$E72)</f>
        <v>0</v>
      </c>
      <c r="J72" s="1" t="n">
        <f aca="false">IF($A72="",0,ABS($I72)+ROW()/1000000000)</f>
        <v>7.2E-008</v>
      </c>
      <c r="K72" s="1" t="n">
        <f aca="false">IF($A72="",0,IF(AND($H72&lt;&gt;0,ABS($H72-$E72)&lt;0.005,$F72=0,$G72=0,ISNA(MATCH($C72,{"Land and Building","Furniture, Fixtures and Equipment","Intangible Assets","Share Capital","Retained Reserves","Investments &gt; 3 months"},0))),1,0))</f>
        <v>1</v>
      </c>
      <c r="L72" s="1" t="n">
        <f aca="false">IF($A72="",0,IF($D72=0,0,IF($H72*$D72&lt;0,1,0)))</f>
        <v>0</v>
      </c>
      <c r="M72" s="123"/>
    </row>
    <row r="73" customFormat="false" ht="13.5" hidden="false" customHeight="false" outlineLevel="0" collapsed="false">
      <c r="A73" s="1" t="str">
        <f aca="false">IF(Master_Mappings!N36="","",Master_Mappings!N36)</f>
        <v>1157</v>
      </c>
      <c r="B73" s="1" t="str">
        <f aca="false">IF($A73="","",Master_Mappings!O36)</f>
        <v>Staff Account-Kingsley Severine Fitz-Gerald</v>
      </c>
      <c r="C73" s="1" t="str">
        <f aca="false">IF($A73="","",Master_Mappings!P36)</f>
        <v>Other Receivables</v>
      </c>
      <c r="D73" s="1" t="n">
        <f aca="false">IF($A73="","",IFERROR(VLOOKUP($C73,$P$41:$Q$53,2,FALSE()),0))</f>
        <v>0</v>
      </c>
      <c r="E73" s="122" t="n">
        <f aca="false">IF($A73="","",SUMIFS(Trial_Balance!$E$2:$E$995,Trial_Balance!$C$2:$C$995,$A73,Trial_Balance!$B$2:$B$995,$O$1,Trial_Balance!$A$2:$A$995,Controls!$B$7))</f>
        <v>1874.8</v>
      </c>
      <c r="F73" s="122" t="n">
        <f aca="false">IF($A73="","",SUMIFS(Trial_Balance!$F$2:$F$995,Trial_Balance!$C$2:$C$995,$A73,Trial_Balance!$B$2:$B$995,$O$1,Trial_Balance!$A$2:$A$995,Controls!$B$7))</f>
        <v>0</v>
      </c>
      <c r="G73" s="122" t="n">
        <f aca="false">IF($A73="","",SUMIFS(Trial_Balance!$G$2:$G$995,Trial_Balance!$C$2:$C$995,$A73,Trial_Balance!$B$2:$B$995,$O$1,Trial_Balance!$A$2:$A$995,Controls!$B$7))</f>
        <v>0</v>
      </c>
      <c r="H73" s="122" t="n">
        <f aca="false">IF($A73="","",SUMIFS(Trial_Balance!$H$2:$H$995,Trial_Balance!$C$2:$C$995,$A73,Trial_Balance!$B$2:$B$995,$O$1,Trial_Balance!$A$2:$A$995,Controls!$B$7))</f>
        <v>-200.700000000002</v>
      </c>
      <c r="I73" s="122" t="n">
        <f aca="false">IF($A73="","",$H73-$E73)</f>
        <v>-2075.5</v>
      </c>
      <c r="J73" s="1" t="n">
        <f aca="false">IF($A73="",0,ABS($I73)+ROW()/1000000000)</f>
        <v>2075.500000073</v>
      </c>
      <c r="K73" s="1" t="n">
        <f aca="false">IF($A73="",0,IF(AND($H73&lt;&gt;0,ABS($H73-$E73)&lt;0.005,$F73=0,$G73=0,ISNA(MATCH($C73,{"Land and Building","Furniture, Fixtures and Equipment","Intangible Assets","Share Capital","Retained Reserves","Investments &gt; 3 months"},0))),1,0))</f>
        <v>0</v>
      </c>
      <c r="L73" s="1" t="n">
        <f aca="false">IF($A73="",0,IF($D73=0,0,IF($H73*$D73&lt;0,1,0)))</f>
        <v>0</v>
      </c>
      <c r="M73" s="123"/>
    </row>
    <row r="74" customFormat="false" ht="13.5" hidden="false" customHeight="false" outlineLevel="0" collapsed="false">
      <c r="A74" s="1" t="str">
        <f aca="false">IF(Master_Mappings!N37="","",Master_Mappings!N37)</f>
        <v>1170</v>
      </c>
      <c r="B74" s="1" t="str">
        <f aca="false">IF($A74="","",Master_Mappings!O37)</f>
        <v>Prepayments</v>
      </c>
      <c r="C74" s="1" t="str">
        <f aca="false">IF($A74="","",Master_Mappings!P37)</f>
        <v>Other Receivables</v>
      </c>
      <c r="D74" s="1" t="n">
        <f aca="false">IF($A74="","",IFERROR(VLOOKUP($C74,$P$41:$Q$53,2,FALSE()),0))</f>
        <v>0</v>
      </c>
      <c r="E74" s="122" t="n">
        <f aca="false">IF($A74="","",SUMIFS(Trial_Balance!$E$2:$E$995,Trial_Balance!$C$2:$C$995,$A74,Trial_Balance!$B$2:$B$995,$O$1,Trial_Balance!$A$2:$A$995,Controls!$B$7))</f>
        <v>76895.93</v>
      </c>
      <c r="F74" s="122" t="n">
        <f aca="false">IF($A74="","",SUMIFS(Trial_Balance!$F$2:$F$995,Trial_Balance!$C$2:$C$995,$A74,Trial_Balance!$B$2:$B$995,$O$1,Trial_Balance!$A$2:$A$995,Controls!$B$7))</f>
        <v>0</v>
      </c>
      <c r="G74" s="122" t="n">
        <f aca="false">IF($A74="","",SUMIFS(Trial_Balance!$G$2:$G$995,Trial_Balance!$C$2:$C$995,$A74,Trial_Balance!$B$2:$B$995,$O$1,Trial_Balance!$A$2:$A$995,Controls!$B$7))</f>
        <v>0</v>
      </c>
      <c r="H74" s="122" t="n">
        <f aca="false">IF($A74="","",SUMIFS(Trial_Balance!$H$2:$H$995,Trial_Balance!$C$2:$C$995,$A74,Trial_Balance!$B$2:$B$995,$O$1,Trial_Balance!$A$2:$A$995,Controls!$B$7))</f>
        <v>-4.0600000000195</v>
      </c>
      <c r="I74" s="122" t="n">
        <f aca="false">IF($A74="","",$H74-$E74)</f>
        <v>-76899.99</v>
      </c>
      <c r="J74" s="1" t="n">
        <f aca="false">IF($A74="",0,ABS($I74)+ROW()/1000000000)</f>
        <v>76899.990000074</v>
      </c>
      <c r="K74" s="1" t="n">
        <f aca="false">IF($A74="",0,IF(AND($H74&lt;&gt;0,ABS($H74-$E74)&lt;0.005,$F74=0,$G74=0,ISNA(MATCH($C74,{"Land and Building","Furniture, Fixtures and Equipment","Intangible Assets","Share Capital","Retained Reserves","Investments &gt; 3 months"},0))),1,0))</f>
        <v>0</v>
      </c>
      <c r="L74" s="1" t="n">
        <f aca="false">IF($A74="",0,IF($D74=0,0,IF($H74*$D74&lt;0,1,0)))</f>
        <v>0</v>
      </c>
      <c r="M74" s="123"/>
    </row>
    <row r="75" customFormat="false" ht="13.5" hidden="false" customHeight="false" outlineLevel="0" collapsed="false">
      <c r="A75" s="1" t="str">
        <f aca="false">IF(Master_Mappings!N38="","",Master_Mappings!N38)</f>
        <v>1180</v>
      </c>
      <c r="B75" s="1" t="str">
        <f aca="false">IF($A75="","",Master_Mappings!O38)</f>
        <v>INTER COMPANY - PC - Proforest (UK) Ltd</v>
      </c>
      <c r="C75" s="1" t="str">
        <f aca="false">IF($A75="","",Master_Mappings!P38)</f>
        <v>Other Receivables</v>
      </c>
      <c r="D75" s="1" t="n">
        <f aca="false">IF($A75="","",IFERROR(VLOOKUP($C75,$P$41:$Q$53,2,FALSE()),0))</f>
        <v>0</v>
      </c>
      <c r="E75" s="122" t="n">
        <f aca="false">IF($A75="","",SUMIFS(Trial_Balance!$E$2:$E$995,Trial_Balance!$C$2:$C$995,$A75,Trial_Balance!$B$2:$B$995,$O$1,Trial_Balance!$A$2:$A$995,Controls!$B$7))</f>
        <v>11501.93</v>
      </c>
      <c r="F75" s="122" t="n">
        <f aca="false">IF($A75="","",SUMIFS(Trial_Balance!$F$2:$F$995,Trial_Balance!$C$2:$C$995,$A75,Trial_Balance!$B$2:$B$995,$O$1,Trial_Balance!$A$2:$A$995,Controls!$B$7))</f>
        <v>0</v>
      </c>
      <c r="G75" s="122" t="n">
        <f aca="false">IF($A75="","",SUMIFS(Trial_Balance!$G$2:$G$995,Trial_Balance!$C$2:$C$995,$A75,Trial_Balance!$B$2:$B$995,$O$1,Trial_Balance!$A$2:$A$995,Controls!$B$7))</f>
        <v>0</v>
      </c>
      <c r="H75" s="122" t="n">
        <f aca="false">IF($A75="","",SUMIFS(Trial_Balance!$H$2:$H$995,Trial_Balance!$C$2:$C$995,$A75,Trial_Balance!$B$2:$B$995,$O$1,Trial_Balance!$A$2:$A$995,Controls!$B$7))</f>
        <v>11501.93</v>
      </c>
      <c r="I75" s="122" t="n">
        <f aca="false">IF($A75="","",$H75-$E75)</f>
        <v>0</v>
      </c>
      <c r="J75" s="1" t="n">
        <f aca="false">IF($A75="",0,ABS($I75)+ROW()/1000000000)</f>
        <v>7.5E-008</v>
      </c>
      <c r="K75" s="1" t="n">
        <f aca="false">IF($A75="",0,IF(AND($H75&lt;&gt;0,ABS($H75-$E75)&lt;0.005,$F75=0,$G75=0,ISNA(MATCH($C75,{"Land and Building","Furniture, Fixtures and Equipment","Intangible Assets","Share Capital","Retained Reserves","Investments &gt; 3 months"},0))),1,0))</f>
        <v>1</v>
      </c>
      <c r="L75" s="1" t="n">
        <f aca="false">IF($A75="",0,IF($D75=0,0,IF($H75*$D75&lt;0,1,0)))</f>
        <v>0</v>
      </c>
      <c r="M75" s="123"/>
    </row>
    <row r="76" customFormat="false" ht="13.5" hidden="false" customHeight="false" outlineLevel="0" collapsed="false">
      <c r="A76" s="1" t="str">
        <f aca="false">IF(Master_Mappings!N39="","",Master_Mappings!N39)</f>
        <v>1181</v>
      </c>
      <c r="B76" s="1" t="str">
        <f aca="false">IF($A76="","",Master_Mappings!O39)</f>
        <v>INTER COMPANY - PI - Proforest Initiative</v>
      </c>
      <c r="C76" s="1" t="str">
        <f aca="false">IF($A76="","",Master_Mappings!P39)</f>
        <v>Other Receivables</v>
      </c>
      <c r="D76" s="1" t="n">
        <f aca="false">IF($A76="","",IFERROR(VLOOKUP($C76,$P$41:$Q$53,2,FALSE()),0))</f>
        <v>0</v>
      </c>
      <c r="E76" s="122" t="n">
        <f aca="false">IF($A76="","",SUMIFS(Trial_Balance!$E$2:$E$995,Trial_Balance!$C$2:$C$995,$A76,Trial_Balance!$B$2:$B$995,$O$1,Trial_Balance!$A$2:$A$995,Controls!$B$7))</f>
        <v>-0.01</v>
      </c>
      <c r="F76" s="122" t="n">
        <f aca="false">IF($A76="","",SUMIFS(Trial_Balance!$F$2:$F$995,Trial_Balance!$C$2:$C$995,$A76,Trial_Balance!$B$2:$B$995,$O$1,Trial_Balance!$A$2:$A$995,Controls!$B$7))</f>
        <v>0</v>
      </c>
      <c r="G76" s="122" t="n">
        <f aca="false">IF($A76="","",SUMIFS(Trial_Balance!$G$2:$G$995,Trial_Balance!$C$2:$C$995,$A76,Trial_Balance!$B$2:$B$995,$O$1,Trial_Balance!$A$2:$A$995,Controls!$B$7))</f>
        <v>0</v>
      </c>
      <c r="H76" s="122" t="n">
        <f aca="false">IF($A76="","",SUMIFS(Trial_Balance!$H$2:$H$995,Trial_Balance!$C$2:$C$995,$A76,Trial_Balance!$B$2:$B$995,$O$1,Trial_Balance!$A$2:$A$995,Controls!$B$7))</f>
        <v>-0.01</v>
      </c>
      <c r="I76" s="122" t="n">
        <f aca="false">IF($A76="","",$H76-$E76)</f>
        <v>0</v>
      </c>
      <c r="J76" s="1" t="n">
        <f aca="false">IF($A76="",0,ABS($I76)+ROW()/1000000000)</f>
        <v>7.6E-008</v>
      </c>
      <c r="K76" s="1" t="n">
        <f aca="false">IF($A76="",0,IF(AND($H76&lt;&gt;0,ABS($H76-$E76)&lt;0.005,$F76=0,$G76=0,ISNA(MATCH($C76,{"Land and Building","Furniture, Fixtures and Equipment","Intangible Assets","Share Capital","Retained Reserves","Investments &gt; 3 months"},0))),1,0))</f>
        <v>1</v>
      </c>
      <c r="L76" s="1" t="n">
        <f aca="false">IF($A76="",0,IF($D76=0,0,IF($H76*$D76&lt;0,1,0)))</f>
        <v>0</v>
      </c>
      <c r="M76" s="123"/>
    </row>
    <row r="77" customFormat="false" ht="13.5" hidden="false" customHeight="false" outlineLevel="0" collapsed="false">
      <c r="A77" s="1" t="str">
        <f aca="false">IF(Master_Mappings!N40="","",Master_Mappings!N40)</f>
        <v>1182</v>
      </c>
      <c r="B77" s="1" t="str">
        <f aca="false">IF($A77="","",Master_Mappings!O40)</f>
        <v>INTER COMPANY - PB- Proforest (BR)</v>
      </c>
      <c r="C77" s="1" t="str">
        <f aca="false">IF($A77="","",Master_Mappings!P40)</f>
        <v>Other Receivables</v>
      </c>
      <c r="D77" s="1" t="n">
        <f aca="false">IF($A77="","",IFERROR(VLOOKUP($C77,$P$41:$Q$53,2,FALSE()),0))</f>
        <v>0</v>
      </c>
      <c r="E77" s="122" t="n">
        <f aca="false">IF($A77="","",SUMIFS(Trial_Balance!$E$2:$E$995,Trial_Balance!$C$2:$C$995,$A77,Trial_Balance!$B$2:$B$995,$O$1,Trial_Balance!$A$2:$A$995,Controls!$B$7))</f>
        <v>0</v>
      </c>
      <c r="F77" s="122" t="n">
        <f aca="false">IF($A77="","",SUMIFS(Trial_Balance!$F$2:$F$995,Trial_Balance!$C$2:$C$995,$A77,Trial_Balance!$B$2:$B$995,$O$1,Trial_Balance!$A$2:$A$995,Controls!$B$7))</f>
        <v>0</v>
      </c>
      <c r="G77" s="122" t="n">
        <f aca="false">IF($A77="","",SUMIFS(Trial_Balance!$G$2:$G$995,Trial_Balance!$C$2:$C$995,$A77,Trial_Balance!$B$2:$B$995,$O$1,Trial_Balance!$A$2:$A$995,Controls!$B$7))</f>
        <v>0</v>
      </c>
      <c r="H77" s="122" t="n">
        <f aca="false">IF($A77="","",SUMIFS(Trial_Balance!$H$2:$H$995,Trial_Balance!$C$2:$C$995,$A77,Trial_Balance!$B$2:$B$995,$O$1,Trial_Balance!$A$2:$A$995,Controls!$B$7))</f>
        <v>0</v>
      </c>
      <c r="I77" s="122" t="n">
        <f aca="false">IF($A77="","",$H77-$E77)</f>
        <v>0</v>
      </c>
      <c r="J77" s="1" t="n">
        <f aca="false">IF($A77="",0,ABS($I77)+ROW()/1000000000)</f>
        <v>7.7E-008</v>
      </c>
      <c r="K77" s="1" t="n">
        <f aca="false">IF($A77="",0,IF(AND($H77&lt;&gt;0,ABS($H77-$E77)&lt;0.005,$F77=0,$G77=0,ISNA(MATCH($C77,{"Land and Building","Furniture, Fixtures and Equipment","Intangible Assets","Share Capital","Retained Reserves","Investments &gt; 3 months"},0))),1,0))</f>
        <v>0</v>
      </c>
      <c r="L77" s="1" t="n">
        <f aca="false">IF($A77="",0,IF($D77=0,0,IF($H77*$D77&lt;0,1,0)))</f>
        <v>0</v>
      </c>
      <c r="M77" s="123"/>
    </row>
    <row r="78" customFormat="false" ht="13.5" hidden="false" customHeight="false" outlineLevel="0" collapsed="false">
      <c r="A78" s="1" t="str">
        <f aca="false">IF(Master_Mappings!N41="","",Master_Mappings!N41)</f>
        <v>1184</v>
      </c>
      <c r="B78" s="1" t="str">
        <f aca="false">IF($A78="","",Master_Mappings!O41)</f>
        <v>INTER COMPANY - PM - Proforest (MY) Sdn Bhd</v>
      </c>
      <c r="C78" s="1" t="str">
        <f aca="false">IF($A78="","",Master_Mappings!P41)</f>
        <v>Other Receivables</v>
      </c>
      <c r="D78" s="1" t="n">
        <f aca="false">IF($A78="","",IFERROR(VLOOKUP($C78,$P$41:$Q$53,2,FALSE()),0))</f>
        <v>0</v>
      </c>
      <c r="E78" s="122" t="n">
        <f aca="false">IF($A78="","",SUMIFS(Trial_Balance!$E$2:$E$995,Trial_Balance!$C$2:$C$995,$A78,Trial_Balance!$B$2:$B$995,$O$1,Trial_Balance!$A$2:$A$995,Controls!$B$7))</f>
        <v>0</v>
      </c>
      <c r="F78" s="122" t="n">
        <f aca="false">IF($A78="","",SUMIFS(Trial_Balance!$F$2:$F$995,Trial_Balance!$C$2:$C$995,$A78,Trial_Balance!$B$2:$B$995,$O$1,Trial_Balance!$A$2:$A$995,Controls!$B$7))</f>
        <v>0</v>
      </c>
      <c r="G78" s="122" t="n">
        <f aca="false">IF($A78="","",SUMIFS(Trial_Balance!$G$2:$G$995,Trial_Balance!$C$2:$C$995,$A78,Trial_Balance!$B$2:$B$995,$O$1,Trial_Balance!$A$2:$A$995,Controls!$B$7))</f>
        <v>0</v>
      </c>
      <c r="H78" s="122" t="n">
        <f aca="false">IF($A78="","",SUMIFS(Trial_Balance!$H$2:$H$995,Trial_Balance!$C$2:$C$995,$A78,Trial_Balance!$B$2:$B$995,$O$1,Trial_Balance!$A$2:$A$995,Controls!$B$7))</f>
        <v>0</v>
      </c>
      <c r="I78" s="122" t="n">
        <f aca="false">IF($A78="","",$H78-$E78)</f>
        <v>0</v>
      </c>
      <c r="J78" s="1" t="n">
        <f aca="false">IF($A78="",0,ABS($I78)+ROW()/1000000000)</f>
        <v>7.8E-008</v>
      </c>
      <c r="K78" s="1" t="n">
        <f aca="false">IF($A78="",0,IF(AND($H78&lt;&gt;0,ABS($H78-$E78)&lt;0.005,$F78=0,$G78=0,ISNA(MATCH($C78,{"Land and Building","Furniture, Fixtures and Equipment","Intangible Assets","Share Capital","Retained Reserves","Investments &gt; 3 months"},0))),1,0))</f>
        <v>0</v>
      </c>
      <c r="L78" s="1" t="n">
        <f aca="false">IF($A78="",0,IF($D78=0,0,IF($H78*$D78&lt;0,1,0)))</f>
        <v>0</v>
      </c>
      <c r="M78" s="123"/>
    </row>
    <row r="79" customFormat="false" ht="13.5" hidden="false" customHeight="false" outlineLevel="0" collapsed="false">
      <c r="A79" s="1" t="str">
        <f aca="false">IF(Master_Mappings!N42="","",Master_Mappings!N42)</f>
        <v>1185</v>
      </c>
      <c r="B79" s="1" t="str">
        <f aca="false">IF($A79="","",Master_Mappings!O42)</f>
        <v>INTER COMPANY-PIA- Proforest Initiative Africa (PIGH)</v>
      </c>
      <c r="C79" s="1" t="str">
        <f aca="false">IF($A79="","",Master_Mappings!P42)</f>
        <v>Other Receivables</v>
      </c>
      <c r="D79" s="1" t="n">
        <f aca="false">IF($A79="","",IFERROR(VLOOKUP($C79,$P$41:$Q$53,2,FALSE()),0))</f>
        <v>0</v>
      </c>
      <c r="E79" s="122" t="n">
        <f aca="false">IF($A79="","",SUMIFS(Trial_Balance!$E$2:$E$995,Trial_Balance!$C$2:$C$995,$A79,Trial_Balance!$B$2:$B$995,$O$1,Trial_Balance!$A$2:$A$995,Controls!$B$7))</f>
        <v>-1180853.75</v>
      </c>
      <c r="F79" s="122" t="n">
        <f aca="false">IF($A79="","",SUMIFS(Trial_Balance!$F$2:$F$995,Trial_Balance!$C$2:$C$995,$A79,Trial_Balance!$B$2:$B$995,$O$1,Trial_Balance!$A$2:$A$995,Controls!$B$7))</f>
        <v>0</v>
      </c>
      <c r="G79" s="122" t="n">
        <f aca="false">IF($A79="","",SUMIFS(Trial_Balance!$G$2:$G$995,Trial_Balance!$C$2:$C$995,$A79,Trial_Balance!$B$2:$B$995,$O$1,Trial_Balance!$A$2:$A$995,Controls!$B$7))</f>
        <v>0</v>
      </c>
      <c r="H79" s="122" t="n">
        <f aca="false">IF($A79="","",SUMIFS(Trial_Balance!$H$2:$H$995,Trial_Balance!$C$2:$C$995,$A79,Trial_Balance!$B$2:$B$995,$O$1,Trial_Balance!$A$2:$A$995,Controls!$B$7))</f>
        <v>0</v>
      </c>
      <c r="I79" s="122" t="n">
        <f aca="false">IF($A79="","",$H79-$E79)</f>
        <v>1180853.75</v>
      </c>
      <c r="J79" s="1" t="n">
        <f aca="false">IF($A79="",0,ABS($I79)+ROW()/1000000000)</f>
        <v>1180853.75000008</v>
      </c>
      <c r="K79" s="1" t="n">
        <f aca="false">IF($A79="",0,IF(AND($H79&lt;&gt;0,ABS($H79-$E79)&lt;0.005,$F79=0,$G79=0,ISNA(MATCH($C79,{"Land and Building","Furniture, Fixtures and Equipment","Intangible Assets","Share Capital","Retained Reserves","Investments &gt; 3 months"},0))),1,0))</f>
        <v>0</v>
      </c>
      <c r="L79" s="1" t="n">
        <f aca="false">IF($A79="",0,IF($D79=0,0,IF($H79*$D79&lt;0,1,0)))</f>
        <v>0</v>
      </c>
      <c r="M79" s="123"/>
    </row>
    <row r="80" customFormat="false" ht="13.5" hidden="false" customHeight="false" outlineLevel="0" collapsed="false">
      <c r="A80" s="1" t="str">
        <f aca="false">IF(Master_Mappings!N43="","",Master_Mappings!N43)</f>
        <v>1186</v>
      </c>
      <c r="B80" s="1" t="str">
        <f aca="false">IF($A80="","",Master_Mappings!O43)</f>
        <v>INTER COMPANY - PC - Proforest Colombia</v>
      </c>
      <c r="C80" s="1" t="str">
        <f aca="false">IF($A80="","",Master_Mappings!P43)</f>
        <v>Other Receivables</v>
      </c>
      <c r="D80" s="1" t="n">
        <f aca="false">IF($A80="","",IFERROR(VLOOKUP($C80,$P$41:$Q$53,2,FALSE()),0))</f>
        <v>0</v>
      </c>
      <c r="E80" s="122" t="n">
        <f aca="false">IF($A80="","",SUMIFS(Trial_Balance!$E$2:$E$995,Trial_Balance!$C$2:$C$995,$A80,Trial_Balance!$B$2:$B$995,$O$1,Trial_Balance!$A$2:$A$995,Controls!$B$7))</f>
        <v>0</v>
      </c>
      <c r="F80" s="122" t="n">
        <f aca="false">IF($A80="","",SUMIFS(Trial_Balance!$F$2:$F$995,Trial_Balance!$C$2:$C$995,$A80,Trial_Balance!$B$2:$B$995,$O$1,Trial_Balance!$A$2:$A$995,Controls!$B$7))</f>
        <v>0</v>
      </c>
      <c r="G80" s="122" t="n">
        <f aca="false">IF($A80="","",SUMIFS(Trial_Balance!$G$2:$G$995,Trial_Balance!$C$2:$C$995,$A80,Trial_Balance!$B$2:$B$995,$O$1,Trial_Balance!$A$2:$A$995,Controls!$B$7))</f>
        <v>0</v>
      </c>
      <c r="H80" s="122" t="n">
        <f aca="false">IF($A80="","",SUMIFS(Trial_Balance!$H$2:$H$995,Trial_Balance!$C$2:$C$995,$A80,Trial_Balance!$B$2:$B$995,$O$1,Trial_Balance!$A$2:$A$995,Controls!$B$7))</f>
        <v>0</v>
      </c>
      <c r="I80" s="122" t="n">
        <f aca="false">IF($A80="","",$H80-$E80)</f>
        <v>0</v>
      </c>
      <c r="J80" s="1" t="n">
        <f aca="false">IF($A80="",0,ABS($I80)+ROW()/1000000000)</f>
        <v>8E-008</v>
      </c>
      <c r="K80" s="1" t="n">
        <f aca="false">IF($A80="",0,IF(AND($H80&lt;&gt;0,ABS($H80-$E80)&lt;0.005,$F80=0,$G80=0,ISNA(MATCH($C80,{"Land and Building","Furniture, Fixtures and Equipment","Intangible Assets","Share Capital","Retained Reserves","Investments &gt; 3 months"},0))),1,0))</f>
        <v>0</v>
      </c>
      <c r="L80" s="1" t="n">
        <f aca="false">IF($A80="",0,IF($D80=0,0,IF($H80*$D80&lt;0,1,0)))</f>
        <v>0</v>
      </c>
      <c r="M80" s="123"/>
    </row>
    <row r="81" customFormat="false" ht="13.5" hidden="false" customHeight="false" outlineLevel="0" collapsed="false">
      <c r="A81" s="1" t="str">
        <f aca="false">IF(Master_Mappings!N44="","",Master_Mappings!N44)</f>
        <v>1187</v>
      </c>
      <c r="B81" s="1" t="str">
        <f aca="false">IF($A81="","",Master_Mappings!O44)</f>
        <v>INTER COMPANY - PICM Proforest Initiative Cameroon</v>
      </c>
      <c r="C81" s="1" t="str">
        <f aca="false">IF($A81="","",Master_Mappings!P44)</f>
        <v>Other Receivables</v>
      </c>
      <c r="D81" s="1" t="n">
        <f aca="false">IF($A81="","",IFERROR(VLOOKUP($C81,$P$41:$Q$53,2,FALSE()),0))</f>
        <v>0</v>
      </c>
      <c r="E81" s="122" t="n">
        <f aca="false">IF($A81="","",SUMIFS(Trial_Balance!$E$2:$E$995,Trial_Balance!$C$2:$C$995,$A81,Trial_Balance!$B$2:$B$995,$O$1,Trial_Balance!$A$2:$A$995,Controls!$B$7))</f>
        <v>9638.7</v>
      </c>
      <c r="F81" s="122" t="n">
        <f aca="false">IF($A81="","",SUMIFS(Trial_Balance!$F$2:$F$995,Trial_Balance!$C$2:$C$995,$A81,Trial_Balance!$B$2:$B$995,$O$1,Trial_Balance!$A$2:$A$995,Controls!$B$7))</f>
        <v>0</v>
      </c>
      <c r="G81" s="122" t="n">
        <f aca="false">IF($A81="","",SUMIFS(Trial_Balance!$G$2:$G$995,Trial_Balance!$C$2:$C$995,$A81,Trial_Balance!$B$2:$B$995,$O$1,Trial_Balance!$A$2:$A$995,Controls!$B$7))</f>
        <v>0</v>
      </c>
      <c r="H81" s="122" t="n">
        <f aca="false">IF($A81="","",SUMIFS(Trial_Balance!$H$2:$H$995,Trial_Balance!$C$2:$C$995,$A81,Trial_Balance!$B$2:$B$995,$O$1,Trial_Balance!$A$2:$A$995,Controls!$B$7))</f>
        <v>9638.7</v>
      </c>
      <c r="I81" s="122" t="n">
        <f aca="false">IF($A81="","",$H81-$E81)</f>
        <v>0</v>
      </c>
      <c r="J81" s="1" t="n">
        <f aca="false">IF($A81="",0,ABS($I81)+ROW()/1000000000)</f>
        <v>8.1E-008</v>
      </c>
      <c r="K81" s="1" t="n">
        <f aca="false">IF($A81="",0,IF(AND($H81&lt;&gt;0,ABS($H81-$E81)&lt;0.005,$F81=0,$G81=0,ISNA(MATCH($C81,{"Land and Building","Furniture, Fixtures and Equipment","Intangible Assets","Share Capital","Retained Reserves","Investments &gt; 3 months"},0))),1,0))</f>
        <v>1</v>
      </c>
      <c r="L81" s="1" t="n">
        <f aca="false">IF($A81="",0,IF($D81=0,0,IF($H81*$D81&lt;0,1,0)))</f>
        <v>0</v>
      </c>
      <c r="M81" s="123"/>
    </row>
    <row r="82" customFormat="false" ht="13.5" hidden="false" customHeight="false" outlineLevel="0" collapsed="false">
      <c r="A82" s="1" t="str">
        <f aca="false">IF(Master_Mappings!N45="","",Master_Mappings!N45)</f>
        <v>1188</v>
      </c>
      <c r="B82" s="1" t="str">
        <f aca="false">IF($A82="","",Master_Mappings!O45)</f>
        <v>INTER COMPANY - PI-Proforest Initiative Cote D'Ivoire</v>
      </c>
      <c r="C82" s="1" t="str">
        <f aca="false">IF($A82="","",Master_Mappings!P45)</f>
        <v>Other Receivables</v>
      </c>
      <c r="D82" s="1" t="n">
        <f aca="false">IF($A82="","",IFERROR(VLOOKUP($C82,$P$41:$Q$53,2,FALSE()),0))</f>
        <v>0</v>
      </c>
      <c r="E82" s="122" t="n">
        <f aca="false">IF($A82="","",SUMIFS(Trial_Balance!$E$2:$E$995,Trial_Balance!$C$2:$C$995,$A82,Trial_Balance!$B$2:$B$995,$O$1,Trial_Balance!$A$2:$A$995,Controls!$B$7))</f>
        <v>113695.04</v>
      </c>
      <c r="F82" s="122" t="n">
        <f aca="false">IF($A82="","",SUMIFS(Trial_Balance!$F$2:$F$995,Trial_Balance!$C$2:$C$995,$A82,Trial_Balance!$B$2:$B$995,$O$1,Trial_Balance!$A$2:$A$995,Controls!$B$7))</f>
        <v>0</v>
      </c>
      <c r="G82" s="122" t="n">
        <f aca="false">IF($A82="","",SUMIFS(Trial_Balance!$G$2:$G$995,Trial_Balance!$C$2:$C$995,$A82,Trial_Balance!$B$2:$B$995,$O$1,Trial_Balance!$A$2:$A$995,Controls!$B$7))</f>
        <v>0</v>
      </c>
      <c r="H82" s="122" t="n">
        <f aca="false">IF($A82="","",SUMIFS(Trial_Balance!$H$2:$H$995,Trial_Balance!$C$2:$C$995,$A82,Trial_Balance!$B$2:$B$995,$O$1,Trial_Balance!$A$2:$A$995,Controls!$B$7))</f>
        <v>114836.24</v>
      </c>
      <c r="I82" s="122" t="n">
        <f aca="false">IF($A82="","",$H82-$E82)</f>
        <v>1141.20000000001</v>
      </c>
      <c r="J82" s="1" t="n">
        <f aca="false">IF($A82="",0,ABS($I82)+ROW()/1000000000)</f>
        <v>1141.20000008201</v>
      </c>
      <c r="K82" s="1" t="n">
        <f aca="false">IF($A82="",0,IF(AND($H82&lt;&gt;0,ABS($H82-$E82)&lt;0.005,$F82=0,$G82=0,ISNA(MATCH($C82,{"Land and Building","Furniture, Fixtures and Equipment","Intangible Assets","Share Capital","Retained Reserves","Investments &gt; 3 months"},0))),1,0))</f>
        <v>0</v>
      </c>
      <c r="L82" s="1" t="n">
        <f aca="false">IF($A82="",0,IF($D82=0,0,IF($H82*$D82&lt;0,1,0)))</f>
        <v>0</v>
      </c>
      <c r="M82" s="123"/>
    </row>
    <row r="83" customFormat="false" ht="13.5" hidden="false" customHeight="false" outlineLevel="0" collapsed="false">
      <c r="A83" s="1" t="str">
        <f aca="false">IF(Master_Mappings!N46="","",Master_Mappings!N46)</f>
        <v>1189</v>
      </c>
      <c r="B83" s="1" t="str">
        <f aca="false">IF($A83="","",Master_Mappings!O46)</f>
        <v>INTER COMPANY - PCID - Proforest Indonesia</v>
      </c>
      <c r="C83" s="1" t="str">
        <f aca="false">IF($A83="","",Master_Mappings!P46)</f>
        <v>Other Receivables</v>
      </c>
      <c r="D83" s="1" t="n">
        <f aca="false">IF($A83="","",IFERROR(VLOOKUP($C83,$P$41:$Q$53,2,FALSE()),0))</f>
        <v>0</v>
      </c>
      <c r="E83" s="122" t="n">
        <f aca="false">IF($A83="","",SUMIFS(Trial_Balance!$E$2:$E$995,Trial_Balance!$C$2:$C$995,$A83,Trial_Balance!$B$2:$B$995,$O$1,Trial_Balance!$A$2:$A$995,Controls!$B$7))</f>
        <v>-1692.26</v>
      </c>
      <c r="F83" s="122" t="n">
        <f aca="false">IF($A83="","",SUMIFS(Trial_Balance!$F$2:$F$995,Trial_Balance!$C$2:$C$995,$A83,Trial_Balance!$B$2:$B$995,$O$1,Trial_Balance!$A$2:$A$995,Controls!$B$7))</f>
        <v>0</v>
      </c>
      <c r="G83" s="122" t="n">
        <f aca="false">IF($A83="","",SUMIFS(Trial_Balance!$G$2:$G$995,Trial_Balance!$C$2:$C$995,$A83,Trial_Balance!$B$2:$B$995,$O$1,Trial_Balance!$A$2:$A$995,Controls!$B$7))</f>
        <v>0</v>
      </c>
      <c r="H83" s="122" t="n">
        <f aca="false">IF($A83="","",SUMIFS(Trial_Balance!$H$2:$H$995,Trial_Balance!$C$2:$C$995,$A83,Trial_Balance!$B$2:$B$995,$O$1,Trial_Balance!$A$2:$A$995,Controls!$B$7))</f>
        <v>-1692.26</v>
      </c>
      <c r="I83" s="122" t="n">
        <f aca="false">IF($A83="","",$H83-$E83)</f>
        <v>0</v>
      </c>
      <c r="J83" s="1" t="n">
        <f aca="false">IF($A83="",0,ABS($I83)+ROW()/1000000000)</f>
        <v>8.3E-008</v>
      </c>
      <c r="K83" s="1" t="n">
        <f aca="false">IF($A83="",0,IF(AND($H83&lt;&gt;0,ABS($H83-$E83)&lt;0.005,$F83=0,$G83=0,ISNA(MATCH($C83,{"Land and Building","Furniture, Fixtures and Equipment","Intangible Assets","Share Capital","Retained Reserves","Investments &gt; 3 months"},0))),1,0))</f>
        <v>1</v>
      </c>
      <c r="L83" s="1" t="n">
        <f aca="false">IF($A83="",0,IF($D83=0,0,IF($H83*$D83&lt;0,1,0)))</f>
        <v>0</v>
      </c>
      <c r="M83" s="123"/>
    </row>
    <row r="84" customFormat="false" ht="13.5" hidden="false" customHeight="false" outlineLevel="0" collapsed="false">
      <c r="A84" s="1" t="str">
        <f aca="false">IF(Master_Mappings!N47="","",Master_Mappings!N47)</f>
        <v>1197</v>
      </c>
      <c r="B84" s="1" t="str">
        <f aca="false">IF($A84="","",Master_Mappings!O47)</f>
        <v>GROUP Receivable payment requests (PIGH)</v>
      </c>
      <c r="C84" s="1" t="str">
        <f aca="false">IF($A84="","",Master_Mappings!P47)</f>
        <v>Other Receivables</v>
      </c>
      <c r="D84" s="1" t="n">
        <f aca="false">IF($A84="","",IFERROR(VLOOKUP($C84,$P$41:$Q$53,2,FALSE()),0))</f>
        <v>0</v>
      </c>
      <c r="E84" s="122" t="n">
        <f aca="false">IF($A84="","",SUMIFS(Trial_Balance!$E$2:$E$995,Trial_Balance!$C$2:$C$995,$A84,Trial_Balance!$B$2:$B$995,$O$1,Trial_Balance!$A$2:$A$995,Controls!$B$7))</f>
        <v>1348768.81</v>
      </c>
      <c r="F84" s="122" t="n">
        <f aca="false">IF($A84="","",SUMIFS(Trial_Balance!$F$2:$F$995,Trial_Balance!$C$2:$C$995,$A84,Trial_Balance!$B$2:$B$995,$O$1,Trial_Balance!$A$2:$A$995,Controls!$B$7))</f>
        <v>0</v>
      </c>
      <c r="G84" s="122" t="n">
        <f aca="false">IF($A84="","",SUMIFS(Trial_Balance!$G$2:$G$995,Trial_Balance!$C$2:$C$995,$A84,Trial_Balance!$B$2:$B$995,$O$1,Trial_Balance!$A$2:$A$995,Controls!$B$7))</f>
        <v>0</v>
      </c>
      <c r="H84" s="122" t="n">
        <f aca="false">IF($A84="","",SUMIFS(Trial_Balance!$H$2:$H$995,Trial_Balance!$C$2:$C$995,$A84,Trial_Balance!$B$2:$B$995,$O$1,Trial_Balance!$A$2:$A$995,Controls!$B$7))</f>
        <v>1277757.13</v>
      </c>
      <c r="I84" s="122" t="n">
        <f aca="false">IF($A84="","",$H84-$E84)</f>
        <v>-71011.6800000002</v>
      </c>
      <c r="J84" s="1" t="n">
        <f aca="false">IF($A84="",0,ABS($I84)+ROW()/1000000000)</f>
        <v>71011.6800000842</v>
      </c>
      <c r="K84" s="1" t="n">
        <f aca="false">IF($A84="",0,IF(AND($H84&lt;&gt;0,ABS($H84-$E84)&lt;0.005,$F84=0,$G84=0,ISNA(MATCH($C84,{"Land and Building","Furniture, Fixtures and Equipment","Intangible Assets","Share Capital","Retained Reserves","Investments &gt; 3 months"},0))),1,0))</f>
        <v>0</v>
      </c>
      <c r="L84" s="1" t="n">
        <f aca="false">IF($A84="",0,IF($D84=0,0,IF($H84*$D84&lt;0,1,0)))</f>
        <v>0</v>
      </c>
      <c r="M84" s="123"/>
    </row>
    <row r="85" customFormat="false" ht="13.5" hidden="false" customHeight="false" outlineLevel="0" collapsed="false">
      <c r="A85" s="1" t="str">
        <f aca="false">IF(Master_Mappings!N48="","",Master_Mappings!N48)</f>
        <v>1200</v>
      </c>
      <c r="B85" s="1" t="str">
        <f aca="false">IF($A85="","",Master_Mappings!O48)</f>
        <v>Current Account GHS ECOBANK</v>
      </c>
      <c r="C85" s="1" t="str">
        <f aca="false">IF($A85="","",Master_Mappings!P48)</f>
        <v>Cash in Hand and at Bank</v>
      </c>
      <c r="D85" s="1" t="n">
        <f aca="false">IF($A85="","",IFERROR(VLOOKUP($C85,$P$41:$Q$53,2,FALSE()),0))</f>
        <v>1</v>
      </c>
      <c r="E85" s="122" t="n">
        <f aca="false">IF($A85="","",SUMIFS(Trial_Balance!$E$2:$E$995,Trial_Balance!$C$2:$C$995,$A85,Trial_Balance!$B$2:$B$995,$O$1,Trial_Balance!$A$2:$A$995,Controls!$B$7))</f>
        <v>49741.25</v>
      </c>
      <c r="F85" s="122" t="n">
        <f aca="false">IF($A85="","",SUMIFS(Trial_Balance!$F$2:$F$995,Trial_Balance!$C$2:$C$995,$A85,Trial_Balance!$B$2:$B$995,$O$1,Trial_Balance!$A$2:$A$995,Controls!$B$7))</f>
        <v>0</v>
      </c>
      <c r="G85" s="122" t="n">
        <f aca="false">IF($A85="","",SUMIFS(Trial_Balance!$G$2:$G$995,Trial_Balance!$C$2:$C$995,$A85,Trial_Balance!$B$2:$B$995,$O$1,Trial_Balance!$A$2:$A$995,Controls!$B$7))</f>
        <v>0</v>
      </c>
      <c r="H85" s="122" t="n">
        <f aca="false">IF($A85="","",SUMIFS(Trial_Balance!$H$2:$H$995,Trial_Balance!$C$2:$C$995,$A85,Trial_Balance!$B$2:$B$995,$O$1,Trial_Balance!$A$2:$A$995,Controls!$B$7))</f>
        <v>15728.95</v>
      </c>
      <c r="I85" s="122" t="n">
        <f aca="false">IF($A85="","",$H85-$E85)</f>
        <v>-34012.3</v>
      </c>
      <c r="J85" s="1" t="n">
        <f aca="false">IF($A85="",0,ABS($I85)+ROW()/1000000000)</f>
        <v>34012.300000085</v>
      </c>
      <c r="K85" s="1" t="n">
        <f aca="false">IF($A85="",0,IF(AND($H85&lt;&gt;0,ABS($H85-$E85)&lt;0.005,$F85=0,$G85=0,ISNA(MATCH($C85,{"Land and Building","Furniture, Fixtures and Equipment","Intangible Assets","Share Capital","Retained Reserves","Investments &gt; 3 months"},0))),1,0))</f>
        <v>0</v>
      </c>
      <c r="L85" s="1" t="n">
        <f aca="false">IF($A85="",0,IF($D85=0,0,IF($H85*$D85&lt;0,1,0)))</f>
        <v>0</v>
      </c>
      <c r="M85" s="123"/>
    </row>
    <row r="86" customFormat="false" ht="13.5" hidden="false" customHeight="false" outlineLevel="0" collapsed="false">
      <c r="A86" s="1" t="str">
        <f aca="false">IF(Master_Mappings!N49="","",Master_Mappings!N49)</f>
        <v>1205</v>
      </c>
      <c r="B86" s="1" t="str">
        <f aca="false">IF($A86="","",Master_Mappings!O49)</f>
        <v>GBP ECOBANK - 2441000445709</v>
      </c>
      <c r="C86" s="1" t="str">
        <f aca="false">IF($A86="","",Master_Mappings!P49)</f>
        <v>Cash in Hand and at Bank</v>
      </c>
      <c r="D86" s="1" t="n">
        <f aca="false">IF($A86="","",IFERROR(VLOOKUP($C86,$P$41:$Q$53,2,FALSE()),0))</f>
        <v>1</v>
      </c>
      <c r="E86" s="122" t="n">
        <f aca="false">IF($A86="","",SUMIFS(Trial_Balance!$E$2:$E$995,Trial_Balance!$C$2:$C$995,$A86,Trial_Balance!$B$2:$B$995,$O$1,Trial_Balance!$A$2:$A$995,Controls!$B$7))</f>
        <v>349377.41</v>
      </c>
      <c r="F86" s="122" t="n">
        <f aca="false">IF($A86="","",SUMIFS(Trial_Balance!$F$2:$F$995,Trial_Balance!$C$2:$C$995,$A86,Trial_Balance!$B$2:$B$995,$O$1,Trial_Balance!$A$2:$A$995,Controls!$B$7))</f>
        <v>0</v>
      </c>
      <c r="G86" s="122" t="n">
        <f aca="false">IF($A86="","",SUMIFS(Trial_Balance!$G$2:$G$995,Trial_Balance!$C$2:$C$995,$A86,Trial_Balance!$B$2:$B$995,$O$1,Trial_Balance!$A$2:$A$995,Controls!$B$7))</f>
        <v>0</v>
      </c>
      <c r="H86" s="122" t="n">
        <f aca="false">IF($A86="","",SUMIFS(Trial_Balance!$H$2:$H$995,Trial_Balance!$C$2:$C$995,$A86,Trial_Balance!$B$2:$B$995,$O$1,Trial_Balance!$A$2:$A$995,Controls!$B$7))</f>
        <v>3536.28000000011</v>
      </c>
      <c r="I86" s="122" t="n">
        <f aca="false">IF($A86="","",$H86-$E86)</f>
        <v>-345841.13</v>
      </c>
      <c r="J86" s="1" t="n">
        <f aca="false">IF($A86="",0,ABS($I86)+ROW()/1000000000)</f>
        <v>345841.130000086</v>
      </c>
      <c r="K86" s="1" t="n">
        <f aca="false">IF($A86="",0,IF(AND($H86&lt;&gt;0,ABS($H86-$E86)&lt;0.005,$F86=0,$G86=0,ISNA(MATCH($C86,{"Land and Building","Furniture, Fixtures and Equipment","Intangible Assets","Share Capital","Retained Reserves","Investments &gt; 3 months"},0))),1,0))</f>
        <v>0</v>
      </c>
      <c r="L86" s="1" t="n">
        <f aca="false">IF($A86="",0,IF($D86=0,0,IF($H86*$D86&lt;0,1,0)))</f>
        <v>0</v>
      </c>
      <c r="M86" s="123"/>
    </row>
    <row r="87" customFormat="false" ht="13.5" hidden="false" customHeight="false" outlineLevel="0" collapsed="false">
      <c r="A87" s="1" t="str">
        <f aca="false">IF(Master_Mappings!N50="","",Master_Mappings!N50)</f>
        <v>1209</v>
      </c>
      <c r="B87" s="1" t="str">
        <f aca="false">IF($A87="","",Master_Mappings!O50)</f>
        <v>USD (FOREX) ECOBANK - 3441000445708</v>
      </c>
      <c r="C87" s="1" t="str">
        <f aca="false">IF($A87="","",Master_Mappings!P50)</f>
        <v>Cash in Hand and at Bank</v>
      </c>
      <c r="D87" s="1" t="n">
        <f aca="false">IF($A87="","",IFERROR(VLOOKUP($C87,$P$41:$Q$53,2,FALSE()),0))</f>
        <v>1</v>
      </c>
      <c r="E87" s="122" t="n">
        <f aca="false">IF($A87="","",SUMIFS(Trial_Balance!$E$2:$E$995,Trial_Balance!$C$2:$C$995,$A87,Trial_Balance!$B$2:$B$995,$O$1,Trial_Balance!$A$2:$A$995,Controls!$B$7))</f>
        <v>711621.36</v>
      </c>
      <c r="F87" s="122" t="n">
        <f aca="false">IF($A87="","",SUMIFS(Trial_Balance!$F$2:$F$995,Trial_Balance!$C$2:$C$995,$A87,Trial_Balance!$B$2:$B$995,$O$1,Trial_Balance!$A$2:$A$995,Controls!$B$7))</f>
        <v>0</v>
      </c>
      <c r="G87" s="122" t="n">
        <f aca="false">IF($A87="","",SUMIFS(Trial_Balance!$G$2:$G$995,Trial_Balance!$C$2:$C$995,$A87,Trial_Balance!$B$2:$B$995,$O$1,Trial_Balance!$A$2:$A$995,Controls!$B$7))</f>
        <v>0</v>
      </c>
      <c r="H87" s="122" t="n">
        <f aca="false">IF($A87="","",SUMIFS(Trial_Balance!$H$2:$H$995,Trial_Balance!$C$2:$C$995,$A87,Trial_Balance!$B$2:$B$995,$O$1,Trial_Balance!$A$2:$A$995,Controls!$B$7))</f>
        <v>487848.61</v>
      </c>
      <c r="I87" s="122" t="n">
        <f aca="false">IF($A87="","",$H87-$E87)</f>
        <v>-223772.75</v>
      </c>
      <c r="J87" s="1" t="n">
        <f aca="false">IF($A87="",0,ABS($I87)+ROW()/1000000000)</f>
        <v>223772.750000087</v>
      </c>
      <c r="K87" s="1" t="n">
        <f aca="false">IF($A87="",0,IF(AND($H87&lt;&gt;0,ABS($H87-$E87)&lt;0.005,$F87=0,$G87=0,ISNA(MATCH($C87,{"Land and Building","Furniture, Fixtures and Equipment","Intangible Assets","Share Capital","Retained Reserves","Investments &gt; 3 months"},0))),1,0))</f>
        <v>0</v>
      </c>
      <c r="L87" s="1" t="n">
        <f aca="false">IF($A87="",0,IF($D87=0,0,IF($H87*$D87&lt;0,1,0)))</f>
        <v>0</v>
      </c>
      <c r="M87" s="123"/>
    </row>
    <row r="88" customFormat="false" ht="13.5" hidden="false" customHeight="false" outlineLevel="0" collapsed="false">
      <c r="A88" s="1" t="str">
        <f aca="false">IF(Master_Mappings!N51="","",Master_Mappings!N51)</f>
        <v>1210</v>
      </c>
      <c r="B88" s="1" t="str">
        <f aca="false">IF($A88="","",Master_Mappings!O51)</f>
        <v>USD ECOBANK - 2441000445711</v>
      </c>
      <c r="C88" s="1" t="str">
        <f aca="false">IF($A88="","",Master_Mappings!P51)</f>
        <v>Cash in Hand and at Bank</v>
      </c>
      <c r="D88" s="1" t="n">
        <f aca="false">IF($A88="","",IFERROR(VLOOKUP($C88,$P$41:$Q$53,2,FALSE()),0))</f>
        <v>1</v>
      </c>
      <c r="E88" s="122" t="n">
        <f aca="false">IF($A88="","",SUMIFS(Trial_Balance!$E$2:$E$995,Trial_Balance!$C$2:$C$995,$A88,Trial_Balance!$B$2:$B$995,$O$1,Trial_Balance!$A$2:$A$995,Controls!$B$7))</f>
        <v>164287.8</v>
      </c>
      <c r="F88" s="122" t="n">
        <f aca="false">IF($A88="","",SUMIFS(Trial_Balance!$F$2:$F$995,Trial_Balance!$C$2:$C$995,$A88,Trial_Balance!$B$2:$B$995,$O$1,Trial_Balance!$A$2:$A$995,Controls!$B$7))</f>
        <v>0</v>
      </c>
      <c r="G88" s="122" t="n">
        <f aca="false">IF($A88="","",SUMIFS(Trial_Balance!$G$2:$G$995,Trial_Balance!$C$2:$C$995,$A88,Trial_Balance!$B$2:$B$995,$O$1,Trial_Balance!$A$2:$A$995,Controls!$B$7))</f>
        <v>0</v>
      </c>
      <c r="H88" s="122" t="n">
        <f aca="false">IF($A88="","",SUMIFS(Trial_Balance!$H$2:$H$995,Trial_Balance!$C$2:$C$995,$A88,Trial_Balance!$B$2:$B$995,$O$1,Trial_Balance!$A$2:$A$995,Controls!$B$7))</f>
        <v>19498.5600000001</v>
      </c>
      <c r="I88" s="122" t="n">
        <f aca="false">IF($A88="","",$H88-$E88)</f>
        <v>-144789.24</v>
      </c>
      <c r="J88" s="1" t="n">
        <f aca="false">IF($A88="",0,ABS($I88)+ROW()/1000000000)</f>
        <v>144789.240000088</v>
      </c>
      <c r="K88" s="1" t="n">
        <f aca="false">IF($A88="",0,IF(AND($H88&lt;&gt;0,ABS($H88-$E88)&lt;0.005,$F88=0,$G88=0,ISNA(MATCH($C88,{"Land and Building","Furniture, Fixtures and Equipment","Intangible Assets","Share Capital","Retained Reserves","Investments &gt; 3 months"},0))),1,0))</f>
        <v>0</v>
      </c>
      <c r="L88" s="1" t="n">
        <f aca="false">IF($A88="",0,IF($D88=0,0,IF($H88*$D88&lt;0,1,0)))</f>
        <v>0</v>
      </c>
      <c r="M88" s="123"/>
    </row>
    <row r="89" customFormat="false" ht="13.5" hidden="false" customHeight="false" outlineLevel="0" collapsed="false">
      <c r="A89" s="1" t="str">
        <f aca="false">IF(Master_Mappings!N52="","",Master_Mappings!N52)</f>
        <v>1230</v>
      </c>
      <c r="B89" s="1" t="str">
        <f aca="false">IF($A89="","",Master_Mappings!O52)</f>
        <v>Cash Box - GHS</v>
      </c>
      <c r="C89" s="1" t="str">
        <f aca="false">IF($A89="","",Master_Mappings!P52)</f>
        <v>Cash in Hand and at Bank</v>
      </c>
      <c r="D89" s="1" t="n">
        <f aca="false">IF($A89="","",IFERROR(VLOOKUP($C89,$P$41:$Q$53,2,FALSE()),0))</f>
        <v>1</v>
      </c>
      <c r="E89" s="122" t="n">
        <f aca="false">IF($A89="","",SUMIFS(Trial_Balance!$E$2:$E$995,Trial_Balance!$C$2:$C$995,$A89,Trial_Balance!$B$2:$B$995,$O$1,Trial_Balance!$A$2:$A$995,Controls!$B$7))</f>
        <v>10585.38</v>
      </c>
      <c r="F89" s="122" t="n">
        <f aca="false">IF($A89="","",SUMIFS(Trial_Balance!$F$2:$F$995,Trial_Balance!$C$2:$C$995,$A89,Trial_Balance!$B$2:$B$995,$O$1,Trial_Balance!$A$2:$A$995,Controls!$B$7))</f>
        <v>0</v>
      </c>
      <c r="G89" s="122" t="n">
        <f aca="false">IF($A89="","",SUMIFS(Trial_Balance!$G$2:$G$995,Trial_Balance!$C$2:$C$995,$A89,Trial_Balance!$B$2:$B$995,$O$1,Trial_Balance!$A$2:$A$995,Controls!$B$7))</f>
        <v>0</v>
      </c>
      <c r="H89" s="122" t="n">
        <f aca="false">IF($A89="","",SUMIFS(Trial_Balance!$H$2:$H$995,Trial_Balance!$C$2:$C$995,$A89,Trial_Balance!$B$2:$B$995,$O$1,Trial_Balance!$A$2:$A$995,Controls!$B$7))</f>
        <v>170.960000000001</v>
      </c>
      <c r="I89" s="122" t="n">
        <f aca="false">IF($A89="","",$H89-$E89)</f>
        <v>-10414.42</v>
      </c>
      <c r="J89" s="1" t="n">
        <f aca="false">IF($A89="",0,ABS($I89)+ROW()/1000000000)</f>
        <v>10414.420000089</v>
      </c>
      <c r="K89" s="1" t="n">
        <f aca="false">IF($A89="",0,IF(AND($H89&lt;&gt;0,ABS($H89-$E89)&lt;0.005,$F89=0,$G89=0,ISNA(MATCH($C89,{"Land and Building","Furniture, Fixtures and Equipment","Intangible Assets","Share Capital","Retained Reserves","Investments &gt; 3 months"},0))),1,0))</f>
        <v>0</v>
      </c>
      <c r="L89" s="1" t="n">
        <f aca="false">IF($A89="",0,IF($D89=0,0,IF($H89*$D89&lt;0,1,0)))</f>
        <v>0</v>
      </c>
      <c r="M89" s="123"/>
    </row>
    <row r="90" customFormat="false" ht="13.5" hidden="false" customHeight="false" outlineLevel="0" collapsed="false">
      <c r="A90" s="1" t="str">
        <f aca="false">IF(Master_Mappings!N53="","",Master_Mappings!N53)</f>
        <v>1240</v>
      </c>
      <c r="B90" s="1" t="str">
        <f aca="false">IF($A90="","",Master_Mappings!O53)</f>
        <v>Foreign Cash (Held in Ghs)</v>
      </c>
      <c r="C90" s="1" t="str">
        <f aca="false">IF($A90="","",Master_Mappings!P53)</f>
        <v>Cash in Hand and at Bank</v>
      </c>
      <c r="D90" s="1" t="n">
        <f aca="false">IF($A90="","",IFERROR(VLOOKUP($C90,$P$41:$Q$53,2,FALSE()),0))</f>
        <v>1</v>
      </c>
      <c r="E90" s="122" t="n">
        <f aca="false">IF($A90="","",SUMIFS(Trial_Balance!$E$2:$E$995,Trial_Balance!$C$2:$C$995,$A90,Trial_Balance!$B$2:$B$995,$O$1,Trial_Balance!$A$2:$A$995,Controls!$B$7))</f>
        <v>5920.04</v>
      </c>
      <c r="F90" s="122" t="n">
        <f aca="false">IF($A90="","",SUMIFS(Trial_Balance!$F$2:$F$995,Trial_Balance!$C$2:$C$995,$A90,Trial_Balance!$B$2:$B$995,$O$1,Trial_Balance!$A$2:$A$995,Controls!$B$7))</f>
        <v>0</v>
      </c>
      <c r="G90" s="122" t="n">
        <f aca="false">IF($A90="","",SUMIFS(Trial_Balance!$G$2:$G$995,Trial_Balance!$C$2:$C$995,$A90,Trial_Balance!$B$2:$B$995,$O$1,Trial_Balance!$A$2:$A$995,Controls!$B$7))</f>
        <v>0</v>
      </c>
      <c r="H90" s="122" t="n">
        <f aca="false">IF($A90="","",SUMIFS(Trial_Balance!$H$2:$H$995,Trial_Balance!$C$2:$C$995,$A90,Trial_Balance!$B$2:$B$995,$O$1,Trial_Balance!$A$2:$A$995,Controls!$B$7))</f>
        <v>9795.16</v>
      </c>
      <c r="I90" s="122" t="n">
        <f aca="false">IF($A90="","",$H90-$E90)</f>
        <v>3875.12</v>
      </c>
      <c r="J90" s="1" t="n">
        <f aca="false">IF($A90="",0,ABS($I90)+ROW()/1000000000)</f>
        <v>3875.12000009</v>
      </c>
      <c r="K90" s="1" t="n">
        <f aca="false">IF($A90="",0,IF(AND($H90&lt;&gt;0,ABS($H90-$E90)&lt;0.005,$F90=0,$G90=0,ISNA(MATCH($C90,{"Land and Building","Furniture, Fixtures and Equipment","Intangible Assets","Share Capital","Retained Reserves","Investments &gt; 3 months"},0))),1,0))</f>
        <v>0</v>
      </c>
      <c r="L90" s="1" t="n">
        <f aca="false">IF($A90="",0,IF($D90=0,0,IF($H90*$D90&lt;0,1,0)))</f>
        <v>0</v>
      </c>
      <c r="M90" s="123"/>
    </row>
    <row r="91" customFormat="false" ht="13.5" hidden="false" customHeight="false" outlineLevel="0" collapsed="false">
      <c r="A91" s="1" t="str">
        <f aca="false">IF(Master_Mappings!N54="","",Master_Mappings!N54)</f>
        <v>2100</v>
      </c>
      <c r="B91" s="1" t="str">
        <f aca="false">IF($A91="","",Master_Mappings!O54)</f>
        <v>Creditors Control Account</v>
      </c>
      <c r="C91" s="1" t="str">
        <f aca="false">IF($A91="","",Master_Mappings!P54)</f>
        <v>Trade Creditors</v>
      </c>
      <c r="D91" s="1" t="n">
        <f aca="false">IF($A91="","",IFERROR(VLOOKUP($C91,$P$41:$Q$53,2,FALSE()),0))</f>
        <v>-1</v>
      </c>
      <c r="E91" s="122" t="n">
        <f aca="false">IF($A91="","",SUMIFS(Trial_Balance!$E$2:$E$995,Trial_Balance!$C$2:$C$995,$A91,Trial_Balance!$B$2:$B$995,$O$1,Trial_Balance!$A$2:$A$995,Controls!$B$7))</f>
        <v>-2618676.95</v>
      </c>
      <c r="F91" s="122" t="n">
        <f aca="false">IF($A91="","",SUMIFS(Trial_Balance!$F$2:$F$995,Trial_Balance!$C$2:$C$995,$A91,Trial_Balance!$B$2:$B$995,$O$1,Trial_Balance!$A$2:$A$995,Controls!$B$7))</f>
        <v>0</v>
      </c>
      <c r="G91" s="122" t="n">
        <f aca="false">IF($A91="","",SUMIFS(Trial_Balance!$G$2:$G$995,Trial_Balance!$C$2:$C$995,$A91,Trial_Balance!$B$2:$B$995,$O$1,Trial_Balance!$A$2:$A$995,Controls!$B$7))</f>
        <v>0</v>
      </c>
      <c r="H91" s="122" t="n">
        <f aca="false">IF($A91="","",SUMIFS(Trial_Balance!$H$2:$H$995,Trial_Balance!$C$2:$C$995,$A91,Trial_Balance!$B$2:$B$995,$O$1,Trial_Balance!$A$2:$A$995,Controls!$B$7))</f>
        <v>-2328909.27</v>
      </c>
      <c r="I91" s="122" t="n">
        <f aca="false">IF($A91="","",$H91-$E91)</f>
        <v>289767.68</v>
      </c>
      <c r="J91" s="1" t="n">
        <f aca="false">IF($A91="",0,ABS($I91)+ROW()/1000000000)</f>
        <v>289767.680000091</v>
      </c>
      <c r="K91" s="1" t="n">
        <f aca="false">IF($A91="",0,IF(AND($H91&lt;&gt;0,ABS($H91-$E91)&lt;0.005,$F91=0,$G91=0,ISNA(MATCH($C91,{"Land and Building","Furniture, Fixtures and Equipment","Intangible Assets","Share Capital","Retained Reserves","Investments &gt; 3 months"},0))),1,0))</f>
        <v>0</v>
      </c>
      <c r="L91" s="1" t="n">
        <f aca="false">IF($A91="",0,IF($D91=0,0,IF($H91*$D91&lt;0,1,0)))</f>
        <v>0</v>
      </c>
      <c r="M91" s="123"/>
    </row>
    <row r="92" customFormat="false" ht="13.5" hidden="false" customHeight="false" outlineLevel="0" collapsed="false">
      <c r="A92" s="1" t="str">
        <f aca="false">IF(Master_Mappings!N55="","",Master_Mappings!N55)</f>
        <v>2101</v>
      </c>
      <c r="B92" s="1" t="str">
        <f aca="false">IF($A92="","",Master_Mappings!O55)</f>
        <v>Sundry Creditors</v>
      </c>
      <c r="C92" s="1" t="str">
        <f aca="false">IF($A92="","",Master_Mappings!P55)</f>
        <v>Other Creditors</v>
      </c>
      <c r="D92" s="1" t="n">
        <f aca="false">IF($A92="","",IFERROR(VLOOKUP($C92,$P$41:$Q$53,2,FALSE()),0))</f>
        <v>-1</v>
      </c>
      <c r="E92" s="122" t="n">
        <f aca="false">IF($A92="","",SUMIFS(Trial_Balance!$E$2:$E$995,Trial_Balance!$C$2:$C$995,$A92,Trial_Balance!$B$2:$B$995,$O$1,Trial_Balance!$A$2:$A$995,Controls!$B$7))</f>
        <v>-8268.7</v>
      </c>
      <c r="F92" s="122" t="n">
        <f aca="false">IF($A92="","",SUMIFS(Trial_Balance!$F$2:$F$995,Trial_Balance!$C$2:$C$995,$A92,Trial_Balance!$B$2:$B$995,$O$1,Trial_Balance!$A$2:$A$995,Controls!$B$7))</f>
        <v>0</v>
      </c>
      <c r="G92" s="122" t="n">
        <f aca="false">IF($A92="","",SUMIFS(Trial_Balance!$G$2:$G$995,Trial_Balance!$C$2:$C$995,$A92,Trial_Balance!$B$2:$B$995,$O$1,Trial_Balance!$A$2:$A$995,Controls!$B$7))</f>
        <v>0</v>
      </c>
      <c r="H92" s="122" t="n">
        <f aca="false">IF($A92="","",SUMIFS(Trial_Balance!$H$2:$H$995,Trial_Balance!$C$2:$C$995,$A92,Trial_Balance!$B$2:$B$995,$O$1,Trial_Balance!$A$2:$A$995,Controls!$B$7))</f>
        <v>16281.3</v>
      </c>
      <c r="I92" s="122" t="n">
        <f aca="false">IF($A92="","",$H92-$E92)</f>
        <v>24550</v>
      </c>
      <c r="J92" s="1" t="n">
        <f aca="false">IF($A92="",0,ABS($I92)+ROW()/1000000000)</f>
        <v>24550.000000092</v>
      </c>
      <c r="K92" s="1" t="n">
        <f aca="false">IF($A92="",0,IF(AND($H92&lt;&gt;0,ABS($H92-$E92)&lt;0.005,$F92=0,$G92=0,ISNA(MATCH($C92,{"Land and Building","Furniture, Fixtures and Equipment","Intangible Assets","Share Capital","Retained Reserves","Investments &gt; 3 months"},0))),1,0))</f>
        <v>0</v>
      </c>
      <c r="L92" s="1" t="n">
        <f aca="false">IF($A92="",0,IF($D92=0,0,IF($H92*$D92&lt;0,1,0)))</f>
        <v>1</v>
      </c>
      <c r="M92" s="123"/>
    </row>
    <row r="93" customFormat="false" ht="13.5" hidden="false" customHeight="false" outlineLevel="0" collapsed="false">
      <c r="A93" s="1" t="str">
        <f aca="false">IF(Master_Mappings!N56="","",Master_Mappings!N56)</f>
        <v>2109</v>
      </c>
      <c r="B93" s="1" t="str">
        <f aca="false">IF($A93="","",Master_Mappings!O56)</f>
        <v>Accruals</v>
      </c>
      <c r="C93" s="1" t="str">
        <f aca="false">IF($A93="","",Master_Mappings!P56)</f>
        <v>Other Creditors</v>
      </c>
      <c r="D93" s="1" t="n">
        <f aca="false">IF($A93="","",IFERROR(VLOOKUP($C93,$P$41:$Q$53,2,FALSE()),0))</f>
        <v>-1</v>
      </c>
      <c r="E93" s="122" t="n">
        <f aca="false">IF($A93="","",SUMIFS(Trial_Balance!$E$2:$E$995,Trial_Balance!$C$2:$C$995,$A93,Trial_Balance!$B$2:$B$995,$O$1,Trial_Balance!$A$2:$A$995,Controls!$B$7))</f>
        <v>-79235</v>
      </c>
      <c r="F93" s="122" t="n">
        <f aca="false">IF($A93="","",SUMIFS(Trial_Balance!$F$2:$F$995,Trial_Balance!$C$2:$C$995,$A93,Trial_Balance!$B$2:$B$995,$O$1,Trial_Balance!$A$2:$A$995,Controls!$B$7))</f>
        <v>0</v>
      </c>
      <c r="G93" s="122" t="n">
        <f aca="false">IF($A93="","",SUMIFS(Trial_Balance!$G$2:$G$995,Trial_Balance!$C$2:$C$995,$A93,Trial_Balance!$B$2:$B$995,$O$1,Trial_Balance!$A$2:$A$995,Controls!$B$7))</f>
        <v>0</v>
      </c>
      <c r="H93" s="122" t="n">
        <f aca="false">IF($A93="","",SUMIFS(Trial_Balance!$H$2:$H$995,Trial_Balance!$C$2:$C$995,$A93,Trial_Balance!$B$2:$B$995,$O$1,Trial_Balance!$A$2:$A$995,Controls!$B$7))</f>
        <v>-79235</v>
      </c>
      <c r="I93" s="122" t="n">
        <f aca="false">IF($A93="","",$H93-$E93)</f>
        <v>0</v>
      </c>
      <c r="J93" s="1" t="n">
        <f aca="false">IF($A93="",0,ABS($I93)+ROW()/1000000000)</f>
        <v>9.3E-008</v>
      </c>
      <c r="K93" s="1" t="n">
        <f aca="false">IF($A93="",0,IF(AND($H93&lt;&gt;0,ABS($H93-$E93)&lt;0.005,$F93=0,$G93=0,ISNA(MATCH($C93,{"Land and Building","Furniture, Fixtures and Equipment","Intangible Assets","Share Capital","Retained Reserves","Investments &gt; 3 months"},0))),1,0))</f>
        <v>1</v>
      </c>
      <c r="L93" s="1" t="n">
        <f aca="false">IF($A93="",0,IF($D93=0,0,IF($H93*$D93&lt;0,1,0)))</f>
        <v>0</v>
      </c>
      <c r="M93" s="123"/>
    </row>
    <row r="94" customFormat="false" ht="13.5" hidden="false" customHeight="false" outlineLevel="0" collapsed="false">
      <c r="A94" s="1" t="str">
        <f aca="false">IF(Master_Mappings!N57="","",Master_Mappings!N57)</f>
        <v>2110</v>
      </c>
      <c r="B94" s="1" t="str">
        <f aca="false">IF($A94="","",Master_Mappings!O57)</f>
        <v>Deferred Income</v>
      </c>
      <c r="C94" s="1" t="str">
        <f aca="false">IF($A94="","",Master_Mappings!P57)</f>
        <v>Other Creditors</v>
      </c>
      <c r="D94" s="1" t="n">
        <f aca="false">IF($A94="","",IFERROR(VLOOKUP($C94,$P$41:$Q$53,2,FALSE()),0))</f>
        <v>-1</v>
      </c>
      <c r="E94" s="122" t="n">
        <f aca="false">IF($A94="","",SUMIFS(Trial_Balance!$E$2:$E$995,Trial_Balance!$C$2:$C$995,$A94,Trial_Balance!$B$2:$B$995,$O$1,Trial_Balance!$A$2:$A$995,Controls!$B$7))</f>
        <v>-91075.34</v>
      </c>
      <c r="F94" s="122" t="n">
        <f aca="false">IF($A94="","",SUMIFS(Trial_Balance!$F$2:$F$995,Trial_Balance!$C$2:$C$995,$A94,Trial_Balance!$B$2:$B$995,$O$1,Trial_Balance!$A$2:$A$995,Controls!$B$7))</f>
        <v>0</v>
      </c>
      <c r="G94" s="122" t="n">
        <f aca="false">IF($A94="","",SUMIFS(Trial_Balance!$G$2:$G$995,Trial_Balance!$C$2:$C$995,$A94,Trial_Balance!$B$2:$B$995,$O$1,Trial_Balance!$A$2:$A$995,Controls!$B$7))</f>
        <v>0</v>
      </c>
      <c r="H94" s="122" t="n">
        <f aca="false">IF($A94="","",SUMIFS(Trial_Balance!$H$2:$H$995,Trial_Balance!$C$2:$C$995,$A94,Trial_Balance!$B$2:$B$995,$O$1,Trial_Balance!$A$2:$A$995,Controls!$B$7))</f>
        <v>-519143</v>
      </c>
      <c r="I94" s="122" t="n">
        <f aca="false">IF($A94="","",$H94-$E94)</f>
        <v>-428067.66</v>
      </c>
      <c r="J94" s="1" t="n">
        <f aca="false">IF($A94="",0,ABS($I94)+ROW()/1000000000)</f>
        <v>428067.660000094</v>
      </c>
      <c r="K94" s="1" t="n">
        <f aca="false">IF($A94="",0,IF(AND($H94&lt;&gt;0,ABS($H94-$E94)&lt;0.005,$F94=0,$G94=0,ISNA(MATCH($C94,{"Land and Building","Furniture, Fixtures and Equipment","Intangible Assets","Share Capital","Retained Reserves","Investments &gt; 3 months"},0))),1,0))</f>
        <v>0</v>
      </c>
      <c r="L94" s="1" t="n">
        <f aca="false">IF($A94="",0,IF($D94=0,0,IF($H94*$D94&lt;0,1,0)))</f>
        <v>0</v>
      </c>
      <c r="M94" s="123"/>
    </row>
    <row r="95" customFormat="false" ht="13.5" hidden="false" customHeight="false" outlineLevel="0" collapsed="false">
      <c r="A95" s="1" t="str">
        <f aca="false">IF(Master_Mappings!N58="","",Master_Mappings!N58)</f>
        <v>2111</v>
      </c>
      <c r="B95" s="1" t="str">
        <f aca="false">IF($A95="","",Master_Mappings!O58)</f>
        <v>Accrued payment request</v>
      </c>
      <c r="C95" s="1" t="str">
        <f aca="false">IF($A95="","",Master_Mappings!P58)</f>
        <v>Other Creditors</v>
      </c>
      <c r="D95" s="1" t="n">
        <f aca="false">IF($A95="","",IFERROR(VLOOKUP($C95,$P$41:$Q$53,2,FALSE()),0))</f>
        <v>-1</v>
      </c>
      <c r="E95" s="122" t="n">
        <f aca="false">IF($A95="","",SUMIFS(Trial_Balance!$E$2:$E$995,Trial_Balance!$C$2:$C$995,$A95,Trial_Balance!$B$2:$B$995,$O$1,Trial_Balance!$A$2:$A$995,Controls!$B$7))</f>
        <v>-88373.27</v>
      </c>
      <c r="F95" s="122" t="n">
        <f aca="false">IF($A95="","",SUMIFS(Trial_Balance!$F$2:$F$995,Trial_Balance!$C$2:$C$995,$A95,Trial_Balance!$B$2:$B$995,$O$1,Trial_Balance!$A$2:$A$995,Controls!$B$7))</f>
        <v>0</v>
      </c>
      <c r="G95" s="122" t="n">
        <f aca="false">IF($A95="","",SUMIFS(Trial_Balance!$G$2:$G$995,Trial_Balance!$C$2:$C$995,$A95,Trial_Balance!$B$2:$B$995,$O$1,Trial_Balance!$A$2:$A$995,Controls!$B$7))</f>
        <v>0</v>
      </c>
      <c r="H95" s="122" t="n">
        <f aca="false">IF($A95="","",SUMIFS(Trial_Balance!$H$2:$H$995,Trial_Balance!$C$2:$C$995,$A95,Trial_Balance!$B$2:$B$995,$O$1,Trial_Balance!$A$2:$A$995,Controls!$B$7))</f>
        <v>-88373.27</v>
      </c>
      <c r="I95" s="122" t="n">
        <f aca="false">IF($A95="","",$H95-$E95)</f>
        <v>0</v>
      </c>
      <c r="J95" s="1" t="n">
        <f aca="false">IF($A95="",0,ABS($I95)+ROW()/1000000000)</f>
        <v>9.5E-008</v>
      </c>
      <c r="K95" s="1" t="n">
        <f aca="false">IF($A95="",0,IF(AND($H95&lt;&gt;0,ABS($H95-$E95)&lt;0.005,$F95=0,$G95=0,ISNA(MATCH($C95,{"Land and Building","Furniture, Fixtures and Equipment","Intangible Assets","Share Capital","Retained Reserves","Investments &gt; 3 months"},0))),1,0))</f>
        <v>1</v>
      </c>
      <c r="L95" s="1" t="n">
        <f aca="false">IF($A95="",0,IF($D95=0,0,IF($H95*$D95&lt;0,1,0)))</f>
        <v>0</v>
      </c>
      <c r="M95" s="123"/>
    </row>
    <row r="96" customFormat="false" ht="13.5" hidden="false" customHeight="false" outlineLevel="0" collapsed="false">
      <c r="A96" s="1" t="str">
        <f aca="false">IF(Master_Mappings!N59="","",Master_Mappings!N59)</f>
        <v>2200</v>
      </c>
      <c r="B96" s="1" t="str">
        <f aca="false">IF($A96="","",Master_Mappings!O59)</f>
        <v>Sales Tax Control Account</v>
      </c>
      <c r="C96" s="1" t="str">
        <f aca="false">IF($A96="","",Master_Mappings!P59)</f>
        <v>Other Creditors</v>
      </c>
      <c r="D96" s="1" t="n">
        <f aca="false">IF($A96="","",IFERROR(VLOOKUP($C96,$P$41:$Q$53,2,FALSE()),0))</f>
        <v>-1</v>
      </c>
      <c r="E96" s="122" t="n">
        <f aca="false">IF($A96="","",SUMIFS(Trial_Balance!$E$2:$E$995,Trial_Balance!$C$2:$C$995,$A96,Trial_Balance!$B$2:$B$995,$O$1,Trial_Balance!$A$2:$A$995,Controls!$B$7))</f>
        <v>-372423.34</v>
      </c>
      <c r="F96" s="122" t="n">
        <f aca="false">IF($A96="","",SUMIFS(Trial_Balance!$F$2:$F$995,Trial_Balance!$C$2:$C$995,$A96,Trial_Balance!$B$2:$B$995,$O$1,Trial_Balance!$A$2:$A$995,Controls!$B$7))</f>
        <v>0</v>
      </c>
      <c r="G96" s="122" t="n">
        <f aca="false">IF($A96="","",SUMIFS(Trial_Balance!$G$2:$G$995,Trial_Balance!$C$2:$C$995,$A96,Trial_Balance!$B$2:$B$995,$O$1,Trial_Balance!$A$2:$A$995,Controls!$B$7))</f>
        <v>0</v>
      </c>
      <c r="H96" s="122" t="n">
        <f aca="false">IF($A96="","",SUMIFS(Trial_Balance!$H$2:$H$995,Trial_Balance!$C$2:$C$995,$A96,Trial_Balance!$B$2:$B$995,$O$1,Trial_Balance!$A$2:$A$995,Controls!$B$7))</f>
        <v>-372423.34</v>
      </c>
      <c r="I96" s="122" t="n">
        <f aca="false">IF($A96="","",$H96-$E96)</f>
        <v>0</v>
      </c>
      <c r="J96" s="1" t="n">
        <f aca="false">IF($A96="",0,ABS($I96)+ROW()/1000000000)</f>
        <v>9.6E-008</v>
      </c>
      <c r="K96" s="1" t="n">
        <f aca="false">IF($A96="",0,IF(AND($H96&lt;&gt;0,ABS($H96-$E96)&lt;0.005,$F96=0,$G96=0,ISNA(MATCH($C96,{"Land and Building","Furniture, Fixtures and Equipment","Intangible Assets","Share Capital","Retained Reserves","Investments &gt; 3 months"},0))),1,0))</f>
        <v>1</v>
      </c>
      <c r="L96" s="1" t="n">
        <f aca="false">IF($A96="",0,IF($D96=0,0,IF($H96*$D96&lt;0,1,0)))</f>
        <v>0</v>
      </c>
      <c r="M96" s="123"/>
    </row>
    <row r="97" customFormat="false" ht="13.5" hidden="false" customHeight="false" outlineLevel="0" collapsed="false">
      <c r="A97" s="1" t="str">
        <f aca="false">IF(Master_Mappings!N60="","",Master_Mappings!N60)</f>
        <v>2201</v>
      </c>
      <c r="B97" s="1" t="str">
        <f aca="false">IF($A97="","",Master_Mappings!O60)</f>
        <v>Purchase Tax Control Account</v>
      </c>
      <c r="C97" s="1" t="str">
        <f aca="false">IF($A97="","",Master_Mappings!P60)</f>
        <v>Other Creditors</v>
      </c>
      <c r="D97" s="1" t="n">
        <f aca="false">IF($A97="","",IFERROR(VLOOKUP($C97,$P$41:$Q$53,2,FALSE()),0))</f>
        <v>-1</v>
      </c>
      <c r="E97" s="122" t="n">
        <f aca="false">IF($A97="","",SUMIFS(Trial_Balance!$E$2:$E$995,Trial_Balance!$C$2:$C$995,$A97,Trial_Balance!$B$2:$B$995,$O$1,Trial_Balance!$A$2:$A$995,Controls!$B$7))</f>
        <v>286819.95</v>
      </c>
      <c r="F97" s="122" t="n">
        <f aca="false">IF($A97="","",SUMIFS(Trial_Balance!$F$2:$F$995,Trial_Balance!$C$2:$C$995,$A97,Trial_Balance!$B$2:$B$995,$O$1,Trial_Balance!$A$2:$A$995,Controls!$B$7))</f>
        <v>0</v>
      </c>
      <c r="G97" s="122" t="n">
        <f aca="false">IF($A97="","",SUMIFS(Trial_Balance!$G$2:$G$995,Trial_Balance!$C$2:$C$995,$A97,Trial_Balance!$B$2:$B$995,$O$1,Trial_Balance!$A$2:$A$995,Controls!$B$7))</f>
        <v>0</v>
      </c>
      <c r="H97" s="122" t="n">
        <f aca="false">IF($A97="","",SUMIFS(Trial_Balance!$H$2:$H$995,Trial_Balance!$C$2:$C$995,$A97,Trial_Balance!$B$2:$B$995,$O$1,Trial_Balance!$A$2:$A$995,Controls!$B$7))</f>
        <v>302634.86</v>
      </c>
      <c r="I97" s="122" t="n">
        <f aca="false">IF($A97="","",$H97-$E97)</f>
        <v>15814.91</v>
      </c>
      <c r="J97" s="1" t="n">
        <f aca="false">IF($A97="",0,ABS($I97)+ROW()/1000000000)</f>
        <v>15814.910000097</v>
      </c>
      <c r="K97" s="1" t="n">
        <f aca="false">IF($A97="",0,IF(AND($H97&lt;&gt;0,ABS($H97-$E97)&lt;0.005,$F97=0,$G97=0,ISNA(MATCH($C97,{"Land and Building","Furniture, Fixtures and Equipment","Intangible Assets","Share Capital","Retained Reserves","Investments &gt; 3 months"},0))),1,0))</f>
        <v>0</v>
      </c>
      <c r="L97" s="1" t="n">
        <f aca="false">IF($A97="",0,IF($D97=0,0,IF($H97*$D97&lt;0,1,0)))</f>
        <v>1</v>
      </c>
      <c r="M97" s="123"/>
    </row>
    <row r="98" customFormat="false" ht="13.5" hidden="false" customHeight="false" outlineLevel="0" collapsed="false">
      <c r="A98" s="1" t="str">
        <f aca="false">IF(Master_Mappings!N61="","",Master_Mappings!N61)</f>
        <v>2202</v>
      </c>
      <c r="B98" s="1" t="str">
        <f aca="false">IF($A98="","",Master_Mappings!O61)</f>
        <v>VAT Liability</v>
      </c>
      <c r="C98" s="1" t="str">
        <f aca="false">IF($A98="","",Master_Mappings!P61)</f>
        <v>Other Creditors</v>
      </c>
      <c r="D98" s="1" t="n">
        <f aca="false">IF($A98="","",IFERROR(VLOOKUP($C98,$P$41:$Q$53,2,FALSE()),0))</f>
        <v>-1</v>
      </c>
      <c r="E98" s="122" t="n">
        <f aca="false">IF($A98="","",SUMIFS(Trial_Balance!$E$2:$E$995,Trial_Balance!$C$2:$C$995,$A98,Trial_Balance!$B$2:$B$995,$O$1,Trial_Balance!$A$2:$A$995,Controls!$B$7))</f>
        <v>238121.7</v>
      </c>
      <c r="F98" s="122" t="n">
        <f aca="false">IF($A98="","",SUMIFS(Trial_Balance!$F$2:$F$995,Trial_Balance!$C$2:$C$995,$A98,Trial_Balance!$B$2:$B$995,$O$1,Trial_Balance!$A$2:$A$995,Controls!$B$7))</f>
        <v>0</v>
      </c>
      <c r="G98" s="122" t="n">
        <f aca="false">IF($A98="","",SUMIFS(Trial_Balance!$G$2:$G$995,Trial_Balance!$C$2:$C$995,$A98,Trial_Balance!$B$2:$B$995,$O$1,Trial_Balance!$A$2:$A$995,Controls!$B$7))</f>
        <v>0</v>
      </c>
      <c r="H98" s="122" t="n">
        <f aca="false">IF($A98="","",SUMIFS(Trial_Balance!$H$2:$H$995,Trial_Balance!$C$2:$C$995,$A98,Trial_Balance!$B$2:$B$995,$O$1,Trial_Balance!$A$2:$A$995,Controls!$B$7))</f>
        <v>238121.7</v>
      </c>
      <c r="I98" s="122" t="n">
        <f aca="false">IF($A98="","",$H98-$E98)</f>
        <v>0</v>
      </c>
      <c r="J98" s="1" t="n">
        <f aca="false">IF($A98="",0,ABS($I98)+ROW()/1000000000)</f>
        <v>9.8E-008</v>
      </c>
      <c r="K98" s="1" t="n">
        <f aca="false">IF($A98="",0,IF(AND($H98&lt;&gt;0,ABS($H98-$E98)&lt;0.005,$F98=0,$G98=0,ISNA(MATCH($C98,{"Land and Building","Furniture, Fixtures and Equipment","Intangible Assets","Share Capital","Retained Reserves","Investments &gt; 3 months"},0))),1,0))</f>
        <v>1</v>
      </c>
      <c r="L98" s="1" t="n">
        <f aca="false">IF($A98="",0,IF($D98=0,0,IF($H98*$D98&lt;0,1,0)))</f>
        <v>1</v>
      </c>
      <c r="M98" s="123"/>
    </row>
    <row r="99" customFormat="false" ht="13.5" hidden="false" customHeight="false" outlineLevel="0" collapsed="false">
      <c r="A99" s="1" t="str">
        <f aca="false">IF(Master_Mappings!N62="","",Master_Mappings!N62)</f>
        <v>2203</v>
      </c>
      <c r="B99" s="1" t="str">
        <f aca="false">IF($A99="","",Master_Mappings!O62)</f>
        <v>GETFUND/NHIL</v>
      </c>
      <c r="C99" s="1" t="str">
        <f aca="false">IF($A99="","",Master_Mappings!P62)</f>
        <v>Other Creditors</v>
      </c>
      <c r="D99" s="1" t="n">
        <f aca="false">IF($A99="","",IFERROR(VLOOKUP($C99,$P$41:$Q$53,2,FALSE()),0))</f>
        <v>-1</v>
      </c>
      <c r="E99" s="122" t="n">
        <f aca="false">IF($A99="","",SUMIFS(Trial_Balance!$E$2:$E$995,Trial_Balance!$C$2:$C$995,$A99,Trial_Balance!$B$2:$B$995,$O$1,Trial_Balance!$A$2:$A$995,Controls!$B$7))</f>
        <v>-3774.64</v>
      </c>
      <c r="F99" s="122" t="n">
        <f aca="false">IF($A99="","",SUMIFS(Trial_Balance!$F$2:$F$995,Trial_Balance!$C$2:$C$995,$A99,Trial_Balance!$B$2:$B$995,$O$1,Trial_Balance!$A$2:$A$995,Controls!$B$7))</f>
        <v>0</v>
      </c>
      <c r="G99" s="122" t="n">
        <f aca="false">IF($A99="","",SUMIFS(Trial_Balance!$G$2:$G$995,Trial_Balance!$C$2:$C$995,$A99,Trial_Balance!$B$2:$B$995,$O$1,Trial_Balance!$A$2:$A$995,Controls!$B$7))</f>
        <v>0</v>
      </c>
      <c r="H99" s="122" t="n">
        <f aca="false">IF($A99="","",SUMIFS(Trial_Balance!$H$2:$H$995,Trial_Balance!$C$2:$C$995,$A99,Trial_Balance!$B$2:$B$995,$O$1,Trial_Balance!$A$2:$A$995,Controls!$B$7))</f>
        <v>1497</v>
      </c>
      <c r="I99" s="122" t="n">
        <f aca="false">IF($A99="","",$H99-$E99)</f>
        <v>5271.64</v>
      </c>
      <c r="J99" s="1" t="n">
        <f aca="false">IF($A99="",0,ABS($I99)+ROW()/1000000000)</f>
        <v>5271.640000099</v>
      </c>
      <c r="K99" s="1" t="n">
        <f aca="false">IF($A99="",0,IF(AND($H99&lt;&gt;0,ABS($H99-$E99)&lt;0.005,$F99=0,$G99=0,ISNA(MATCH($C99,{"Land and Building","Furniture, Fixtures and Equipment","Intangible Assets","Share Capital","Retained Reserves","Investments &gt; 3 months"},0))),1,0))</f>
        <v>0</v>
      </c>
      <c r="L99" s="1" t="n">
        <f aca="false">IF($A99="",0,IF($D99=0,0,IF($H99*$D99&lt;0,1,0)))</f>
        <v>1</v>
      </c>
      <c r="M99" s="123"/>
    </row>
    <row r="100" customFormat="false" ht="13.5" hidden="false" customHeight="false" outlineLevel="0" collapsed="false">
      <c r="A100" s="1" t="str">
        <f aca="false">IF(Master_Mappings!N63="","",Master_Mappings!N63)</f>
        <v>2205</v>
      </c>
      <c r="B100" s="1" t="str">
        <f aca="false">IF($A100="","",Master_Mappings!O63)</f>
        <v>COVID LEVY</v>
      </c>
      <c r="C100" s="1" t="str">
        <f aca="false">IF($A100="","",Master_Mappings!P63)</f>
        <v>Other Creditors</v>
      </c>
      <c r="D100" s="1" t="n">
        <f aca="false">IF($A100="","",IFERROR(VLOOKUP($C100,$P$41:$Q$53,2,FALSE()),0))</f>
        <v>-1</v>
      </c>
      <c r="E100" s="122" t="n">
        <f aca="false">IF($A100="","",SUMIFS(Trial_Balance!$E$2:$E$995,Trial_Balance!$C$2:$C$995,$A100,Trial_Balance!$B$2:$B$995,$O$1,Trial_Balance!$A$2:$A$995,Controls!$B$7))</f>
        <v>-1237.14</v>
      </c>
      <c r="F100" s="122" t="n">
        <f aca="false">IF($A100="","",SUMIFS(Trial_Balance!$F$2:$F$995,Trial_Balance!$C$2:$C$995,$A100,Trial_Balance!$B$2:$B$995,$O$1,Trial_Balance!$A$2:$A$995,Controls!$B$7))</f>
        <v>0</v>
      </c>
      <c r="G100" s="122" t="n">
        <f aca="false">IF($A100="","",SUMIFS(Trial_Balance!$G$2:$G$995,Trial_Balance!$C$2:$C$995,$A100,Trial_Balance!$B$2:$B$995,$O$1,Trial_Balance!$A$2:$A$995,Controls!$B$7))</f>
        <v>0</v>
      </c>
      <c r="H100" s="122" t="n">
        <f aca="false">IF($A100="","",SUMIFS(Trial_Balance!$H$2:$H$995,Trial_Balance!$C$2:$C$995,$A100,Trial_Balance!$B$2:$B$995,$O$1,Trial_Balance!$A$2:$A$995,Controls!$B$7))</f>
        <v>-1237.14</v>
      </c>
      <c r="I100" s="122" t="n">
        <f aca="false">IF($A100="","",$H100-$E100)</f>
        <v>0</v>
      </c>
      <c r="J100" s="1" t="n">
        <f aca="false">IF($A100="",0,ABS($I100)+ROW()/1000000000)</f>
        <v>1E-007</v>
      </c>
      <c r="K100" s="1" t="n">
        <f aca="false">IF($A100="",0,IF(AND($H100&lt;&gt;0,ABS($H100-$E100)&lt;0.005,$F100=0,$G100=0,ISNA(MATCH($C100,{"Land and Building","Furniture, Fixtures and Equipment","Intangible Assets","Share Capital","Retained Reserves","Investments &gt; 3 months"},0))),1,0))</f>
        <v>1</v>
      </c>
      <c r="L100" s="1" t="n">
        <f aca="false">IF($A100="",0,IF($D100=0,0,IF($H100*$D100&lt;0,1,0)))</f>
        <v>0</v>
      </c>
      <c r="M100" s="123"/>
    </row>
    <row r="101" customFormat="false" ht="13.5" hidden="false" customHeight="false" outlineLevel="0" collapsed="false">
      <c r="A101" s="1" t="str">
        <f aca="false">IF(Master_Mappings!N64="","",Master_Mappings!N64)</f>
        <v>2210</v>
      </c>
      <c r="B101" s="1" t="str">
        <f aca="false">IF($A101="","",Master_Mappings!O64)</f>
        <v>IRS (Personal Tax) Control Account</v>
      </c>
      <c r="C101" s="1" t="str">
        <f aca="false">IF($A101="","",Master_Mappings!P64)</f>
        <v>Other Creditors</v>
      </c>
      <c r="D101" s="1" t="n">
        <f aca="false">IF($A101="","",IFERROR(VLOOKUP($C101,$P$41:$Q$53,2,FALSE()),0))</f>
        <v>-1</v>
      </c>
      <c r="E101" s="122" t="n">
        <f aca="false">IF($A101="","",SUMIFS(Trial_Balance!$E$2:$E$995,Trial_Balance!$C$2:$C$995,$A101,Trial_Balance!$B$2:$B$995,$O$1,Trial_Balance!$A$2:$A$995,Controls!$B$7))</f>
        <v>-130078.21</v>
      </c>
      <c r="F101" s="122" t="n">
        <f aca="false">IF($A101="","",SUMIFS(Trial_Balance!$F$2:$F$995,Trial_Balance!$C$2:$C$995,$A101,Trial_Balance!$B$2:$B$995,$O$1,Trial_Balance!$A$2:$A$995,Controls!$B$7))</f>
        <v>0</v>
      </c>
      <c r="G101" s="122" t="n">
        <f aca="false">IF($A101="","",SUMIFS(Trial_Balance!$G$2:$G$995,Trial_Balance!$C$2:$C$995,$A101,Trial_Balance!$B$2:$B$995,$O$1,Trial_Balance!$A$2:$A$995,Controls!$B$7))</f>
        <v>0</v>
      </c>
      <c r="H101" s="122" t="n">
        <f aca="false">IF($A101="","",SUMIFS(Trial_Balance!$H$2:$H$995,Trial_Balance!$C$2:$C$995,$A101,Trial_Balance!$B$2:$B$995,$O$1,Trial_Balance!$A$2:$A$995,Controls!$B$7))</f>
        <v>-133789.73</v>
      </c>
      <c r="I101" s="122" t="n">
        <f aca="false">IF($A101="","",$H101-$E101)</f>
        <v>-3711.52</v>
      </c>
      <c r="J101" s="1" t="n">
        <f aca="false">IF($A101="",0,ABS($I101)+ROW()/1000000000)</f>
        <v>3711.520000101</v>
      </c>
      <c r="K101" s="1" t="n">
        <f aca="false">IF($A101="",0,IF(AND($H101&lt;&gt;0,ABS($H101-$E101)&lt;0.005,$F101=0,$G101=0,ISNA(MATCH($C101,{"Land and Building","Furniture, Fixtures and Equipment","Intangible Assets","Share Capital","Retained Reserves","Investments &gt; 3 months"},0))),1,0))</f>
        <v>0</v>
      </c>
      <c r="L101" s="1" t="n">
        <f aca="false">IF($A101="",0,IF($D101=0,0,IF($H101*$D101&lt;0,1,0)))</f>
        <v>0</v>
      </c>
      <c r="M101" s="123"/>
    </row>
    <row r="102" customFormat="false" ht="13.5" hidden="false" customHeight="false" outlineLevel="0" collapsed="false">
      <c r="A102" s="1" t="str">
        <f aca="false">IF(Master_Mappings!N65="","",Master_Mappings!N65)</f>
        <v>2211</v>
      </c>
      <c r="B102" s="1" t="str">
        <f aca="false">IF($A102="","",Master_Mappings!O65)</f>
        <v>SSNIT 1&amp;2 (Social Costs) Control Account</v>
      </c>
      <c r="C102" s="1" t="str">
        <f aca="false">IF($A102="","",Master_Mappings!P65)</f>
        <v>Other Creditors</v>
      </c>
      <c r="D102" s="1" t="n">
        <f aca="false">IF($A102="","",IFERROR(VLOOKUP($C102,$P$41:$Q$53,2,FALSE()),0))</f>
        <v>-1</v>
      </c>
      <c r="E102" s="122" t="n">
        <f aca="false">IF($A102="","",SUMIFS(Trial_Balance!$E$2:$E$995,Trial_Balance!$C$2:$C$995,$A102,Trial_Balance!$B$2:$B$995,$O$1,Trial_Balance!$A$2:$A$995,Controls!$B$7))</f>
        <v>-112037.37</v>
      </c>
      <c r="F102" s="122" t="n">
        <f aca="false">IF($A102="","",SUMIFS(Trial_Balance!$F$2:$F$995,Trial_Balance!$C$2:$C$995,$A102,Trial_Balance!$B$2:$B$995,$O$1,Trial_Balance!$A$2:$A$995,Controls!$B$7))</f>
        <v>0</v>
      </c>
      <c r="G102" s="122" t="n">
        <f aca="false">IF($A102="","",SUMIFS(Trial_Balance!$G$2:$G$995,Trial_Balance!$C$2:$C$995,$A102,Trial_Balance!$B$2:$B$995,$O$1,Trial_Balance!$A$2:$A$995,Controls!$B$7))</f>
        <v>0</v>
      </c>
      <c r="H102" s="122" t="n">
        <f aca="false">IF($A102="","",SUMIFS(Trial_Balance!$H$2:$H$995,Trial_Balance!$C$2:$C$995,$A102,Trial_Balance!$B$2:$B$995,$O$1,Trial_Balance!$A$2:$A$995,Controls!$B$7))</f>
        <v>-115552.36</v>
      </c>
      <c r="I102" s="122" t="n">
        <f aca="false">IF($A102="","",$H102-$E102)</f>
        <v>-3514.99000000001</v>
      </c>
      <c r="J102" s="1" t="n">
        <f aca="false">IF($A102="",0,ABS($I102)+ROW()/1000000000)</f>
        <v>3514.99000010201</v>
      </c>
      <c r="K102" s="1" t="n">
        <f aca="false">IF($A102="",0,IF(AND($H102&lt;&gt;0,ABS($H102-$E102)&lt;0.005,$F102=0,$G102=0,ISNA(MATCH($C102,{"Land and Building","Furniture, Fixtures and Equipment","Intangible Assets","Share Capital","Retained Reserves","Investments &gt; 3 months"},0))),1,0))</f>
        <v>0</v>
      </c>
      <c r="L102" s="1" t="n">
        <f aca="false">IF($A102="",0,IF($D102=0,0,IF($H102*$D102&lt;0,1,0)))</f>
        <v>0</v>
      </c>
      <c r="M102" s="123"/>
    </row>
    <row r="103" customFormat="false" ht="13.5" hidden="false" customHeight="false" outlineLevel="0" collapsed="false">
      <c r="A103" s="1" t="str">
        <f aca="false">IF(Master_Mappings!N66="","",Master_Mappings!N66)</f>
        <v>2215</v>
      </c>
      <c r="B103" s="1" t="str">
        <f aca="false">IF($A103="","",Master_Mappings!O66)</f>
        <v>Pension Control Account (Tier 3)</v>
      </c>
      <c r="C103" s="1" t="str">
        <f aca="false">IF($A103="","",Master_Mappings!P66)</f>
        <v>Other Creditors</v>
      </c>
      <c r="D103" s="1" t="n">
        <f aca="false">IF($A103="","",IFERROR(VLOOKUP($C103,$P$41:$Q$53,2,FALSE()),0))</f>
        <v>-1</v>
      </c>
      <c r="E103" s="122" t="n">
        <f aca="false">IF($A103="","",SUMIFS(Trial_Balance!$E$2:$E$995,Trial_Balance!$C$2:$C$995,$A103,Trial_Balance!$B$2:$B$995,$O$1,Trial_Balance!$A$2:$A$995,Controls!$B$7))</f>
        <v>-61946.82</v>
      </c>
      <c r="F103" s="122" t="n">
        <f aca="false">IF($A103="","",SUMIFS(Trial_Balance!$F$2:$F$995,Trial_Balance!$C$2:$C$995,$A103,Trial_Balance!$B$2:$B$995,$O$1,Trial_Balance!$A$2:$A$995,Controls!$B$7))</f>
        <v>0</v>
      </c>
      <c r="G103" s="122" t="n">
        <f aca="false">IF($A103="","",SUMIFS(Trial_Balance!$G$2:$G$995,Trial_Balance!$C$2:$C$995,$A103,Trial_Balance!$B$2:$B$995,$O$1,Trial_Balance!$A$2:$A$995,Controls!$B$7))</f>
        <v>0</v>
      </c>
      <c r="H103" s="122" t="n">
        <f aca="false">IF($A103="","",SUMIFS(Trial_Balance!$H$2:$H$995,Trial_Balance!$C$2:$C$995,$A103,Trial_Balance!$B$2:$B$995,$O$1,Trial_Balance!$A$2:$A$995,Controls!$B$7))</f>
        <v>-64020.15</v>
      </c>
      <c r="I103" s="122" t="n">
        <f aca="false">IF($A103="","",$H103-$E103)</f>
        <v>-2073.33</v>
      </c>
      <c r="J103" s="1" t="n">
        <f aca="false">IF($A103="",0,ABS($I103)+ROW()/1000000000)</f>
        <v>2073.330000103</v>
      </c>
      <c r="K103" s="1" t="n">
        <f aca="false">IF($A103="",0,IF(AND($H103&lt;&gt;0,ABS($H103-$E103)&lt;0.005,$F103=0,$G103=0,ISNA(MATCH($C103,{"Land and Building","Furniture, Fixtures and Equipment","Intangible Assets","Share Capital","Retained Reserves","Investments &gt; 3 months"},0))),1,0))</f>
        <v>0</v>
      </c>
      <c r="L103" s="1" t="n">
        <f aca="false">IF($A103="",0,IF($D103=0,0,IF($H103*$D103&lt;0,1,0)))</f>
        <v>0</v>
      </c>
      <c r="M103" s="123"/>
    </row>
    <row r="104" customFormat="false" ht="13.5" hidden="false" customHeight="false" outlineLevel="0" collapsed="false">
      <c r="A104" s="1" t="str">
        <f aca="false">IF(Master_Mappings!N67="","",Master_Mappings!N67)</f>
        <v>2220</v>
      </c>
      <c r="B104" s="1" t="str">
        <f aca="false">IF($A104="","",Master_Mappings!O67)</f>
        <v>Net Wages</v>
      </c>
      <c r="C104" s="1" t="str">
        <f aca="false">IF($A104="","",Master_Mappings!P67)</f>
        <v>Other Creditors</v>
      </c>
      <c r="D104" s="1" t="n">
        <f aca="false">IF($A104="","",IFERROR(VLOOKUP($C104,$P$41:$Q$53,2,FALSE()),0))</f>
        <v>-1</v>
      </c>
      <c r="E104" s="122" t="n">
        <f aca="false">IF($A104="","",SUMIFS(Trial_Balance!$E$2:$E$995,Trial_Balance!$C$2:$C$995,$A104,Trial_Balance!$B$2:$B$995,$O$1,Trial_Balance!$A$2:$A$995,Controls!$B$7))</f>
        <v>0</v>
      </c>
      <c r="F104" s="122" t="n">
        <f aca="false">IF($A104="","",SUMIFS(Trial_Balance!$F$2:$F$995,Trial_Balance!$C$2:$C$995,$A104,Trial_Balance!$B$2:$B$995,$O$1,Trial_Balance!$A$2:$A$995,Controls!$B$7))</f>
        <v>0</v>
      </c>
      <c r="G104" s="122" t="n">
        <f aca="false">IF($A104="","",SUMIFS(Trial_Balance!$G$2:$G$995,Trial_Balance!$C$2:$C$995,$A104,Trial_Balance!$B$2:$B$995,$O$1,Trial_Balance!$A$2:$A$995,Controls!$B$7))</f>
        <v>0</v>
      </c>
      <c r="H104" s="122" t="n">
        <f aca="false">IF($A104="","",SUMIFS(Trial_Balance!$H$2:$H$995,Trial_Balance!$C$2:$C$995,$A104,Trial_Balance!$B$2:$B$995,$O$1,Trial_Balance!$A$2:$A$995,Controls!$B$7))</f>
        <v>-0.03</v>
      </c>
      <c r="I104" s="122" t="n">
        <f aca="false">IF($A104="","",$H104-$E104)</f>
        <v>-0.03</v>
      </c>
      <c r="J104" s="1" t="n">
        <f aca="false">IF($A104="",0,ABS($I104)+ROW()/1000000000)</f>
        <v>0.030000104</v>
      </c>
      <c r="K104" s="1" t="n">
        <f aca="false">IF($A104="",0,IF(AND($H104&lt;&gt;0,ABS($H104-$E104)&lt;0.005,$F104=0,$G104=0,ISNA(MATCH($C104,{"Land and Building","Furniture, Fixtures and Equipment","Intangible Assets","Share Capital","Retained Reserves","Investments &gt; 3 months"},0))),1,0))</f>
        <v>0</v>
      </c>
      <c r="L104" s="1" t="n">
        <f aca="false">IF($A104="",0,IF($D104=0,0,IF($H104*$D104&lt;0,1,0)))</f>
        <v>0</v>
      </c>
      <c r="M104" s="123"/>
    </row>
    <row r="105" customFormat="false" ht="13.5" hidden="false" customHeight="false" outlineLevel="0" collapsed="false">
      <c r="A105" s="1" t="str">
        <f aca="false">IF(Master_Mappings!N68="","",Master_Mappings!N68)</f>
        <v>2250</v>
      </c>
      <c r="B105" s="1" t="str">
        <f aca="false">IF($A105="","",Master_Mappings!O68)</f>
        <v>Corporation Tax</v>
      </c>
      <c r="C105" s="1" t="str">
        <f aca="false">IF($A105="","",Master_Mappings!P68)</f>
        <v>Other Creditors</v>
      </c>
      <c r="D105" s="1" t="n">
        <f aca="false">IF($A105="","",IFERROR(VLOOKUP($C105,$P$41:$Q$53,2,FALSE()),0))</f>
        <v>-1</v>
      </c>
      <c r="E105" s="122" t="n">
        <f aca="false">IF($A105="","",SUMIFS(Trial_Balance!$E$2:$E$995,Trial_Balance!$C$2:$C$995,$A105,Trial_Balance!$B$2:$B$995,$O$1,Trial_Balance!$A$2:$A$995,Controls!$B$7))</f>
        <v>199605.33</v>
      </c>
      <c r="F105" s="122" t="n">
        <f aca="false">IF($A105="","",SUMIFS(Trial_Balance!$F$2:$F$995,Trial_Balance!$C$2:$C$995,$A105,Trial_Balance!$B$2:$B$995,$O$1,Trial_Balance!$A$2:$A$995,Controls!$B$7))</f>
        <v>0</v>
      </c>
      <c r="G105" s="122" t="n">
        <f aca="false">IF($A105="","",SUMIFS(Trial_Balance!$G$2:$G$995,Trial_Balance!$C$2:$C$995,$A105,Trial_Balance!$B$2:$B$995,$O$1,Trial_Balance!$A$2:$A$995,Controls!$B$7))</f>
        <v>0</v>
      </c>
      <c r="H105" s="122" t="n">
        <f aca="false">IF($A105="","",SUMIFS(Trial_Balance!$H$2:$H$995,Trial_Balance!$C$2:$C$995,$A105,Trial_Balance!$B$2:$B$995,$O$1,Trial_Balance!$A$2:$A$995,Controls!$B$7))</f>
        <v>229605.33</v>
      </c>
      <c r="I105" s="122" t="n">
        <f aca="false">IF($A105="","",$H105-$E105)</f>
        <v>30000</v>
      </c>
      <c r="J105" s="1" t="n">
        <f aca="false">IF($A105="",0,ABS($I105)+ROW()/1000000000)</f>
        <v>30000.000000105</v>
      </c>
      <c r="K105" s="1" t="n">
        <f aca="false">IF($A105="",0,IF(AND($H105&lt;&gt;0,ABS($H105-$E105)&lt;0.005,$F105=0,$G105=0,ISNA(MATCH($C105,{"Land and Building","Furniture, Fixtures and Equipment","Intangible Assets","Share Capital","Retained Reserves","Investments &gt; 3 months"},0))),1,0))</f>
        <v>0</v>
      </c>
      <c r="L105" s="1" t="n">
        <f aca="false">IF($A105="",0,IF($D105=0,0,IF($H105*$D105&lt;0,1,0)))</f>
        <v>1</v>
      </c>
      <c r="M105" s="123"/>
    </row>
    <row r="106" customFormat="false" ht="13.5" hidden="false" customHeight="false" outlineLevel="0" collapsed="false">
      <c r="A106" s="1" t="str">
        <f aca="false">IF(Master_Mappings!N69="","",Master_Mappings!N69)</f>
        <v>2251</v>
      </c>
      <c r="B106" s="1" t="str">
        <f aca="false">IF($A106="","",Master_Mappings!O69)</f>
        <v>Withholding Tax</v>
      </c>
      <c r="C106" s="1" t="str">
        <f aca="false">IF($A106="","",Master_Mappings!P69)</f>
        <v>Other Creditors</v>
      </c>
      <c r="D106" s="1" t="n">
        <f aca="false">IF($A106="","",IFERROR(VLOOKUP($C106,$P$41:$Q$53,2,FALSE()),0))</f>
        <v>-1</v>
      </c>
      <c r="E106" s="122" t="n">
        <f aca="false">IF($A106="","",SUMIFS(Trial_Balance!$E$2:$E$995,Trial_Balance!$C$2:$C$995,$A106,Trial_Balance!$B$2:$B$995,$O$1,Trial_Balance!$A$2:$A$995,Controls!$B$7))</f>
        <v>-3341.57</v>
      </c>
      <c r="F106" s="122" t="n">
        <f aca="false">IF($A106="","",SUMIFS(Trial_Balance!$F$2:$F$995,Trial_Balance!$C$2:$C$995,$A106,Trial_Balance!$B$2:$B$995,$O$1,Trial_Balance!$A$2:$A$995,Controls!$B$7))</f>
        <v>0</v>
      </c>
      <c r="G106" s="122" t="n">
        <f aca="false">IF($A106="","",SUMIFS(Trial_Balance!$G$2:$G$995,Trial_Balance!$C$2:$C$995,$A106,Trial_Balance!$B$2:$B$995,$O$1,Trial_Balance!$A$2:$A$995,Controls!$B$7))</f>
        <v>0</v>
      </c>
      <c r="H106" s="122" t="n">
        <f aca="false">IF($A106="","",SUMIFS(Trial_Balance!$H$2:$H$995,Trial_Balance!$C$2:$C$995,$A106,Trial_Balance!$B$2:$B$995,$O$1,Trial_Balance!$A$2:$A$995,Controls!$B$7))</f>
        <v>-16641.45</v>
      </c>
      <c r="I106" s="122" t="n">
        <f aca="false">IF($A106="","",$H106-$E106)</f>
        <v>-13299.88</v>
      </c>
      <c r="J106" s="1" t="n">
        <f aca="false">IF($A106="",0,ABS($I106)+ROW()/1000000000)</f>
        <v>13299.880000106</v>
      </c>
      <c r="K106" s="1" t="n">
        <f aca="false">IF($A106="",0,IF(AND($H106&lt;&gt;0,ABS($H106-$E106)&lt;0.005,$F106=0,$G106=0,ISNA(MATCH($C106,{"Land and Building","Furniture, Fixtures and Equipment","Intangible Assets","Share Capital","Retained Reserves","Investments &gt; 3 months"},0))),1,0))</f>
        <v>0</v>
      </c>
      <c r="L106" s="1" t="n">
        <f aca="false">IF($A106="",0,IF($D106=0,0,IF($H106*$D106&lt;0,1,0)))</f>
        <v>0</v>
      </c>
      <c r="M106" s="123"/>
    </row>
    <row r="107" customFormat="false" ht="13.5" hidden="false" customHeight="false" outlineLevel="0" collapsed="false">
      <c r="A107" s="1" t="str">
        <f aca="false">IF(Master_Mappings!N70="","",Master_Mappings!N70)</f>
        <v>2252</v>
      </c>
      <c r="B107" s="1" t="str">
        <f aca="false">IF($A107="","",Master_Mappings!O70)</f>
        <v>Deferred tax</v>
      </c>
      <c r="C107" s="1" t="str">
        <f aca="false">IF($A107="","",Master_Mappings!P70)</f>
        <v>Other Creditors</v>
      </c>
      <c r="D107" s="1" t="n">
        <f aca="false">IF($A107="","",IFERROR(VLOOKUP($C107,$P$41:$Q$53,2,FALSE()),0))</f>
        <v>-1</v>
      </c>
      <c r="E107" s="122" t="n">
        <f aca="false">IF($A107="","",SUMIFS(Trial_Balance!$E$2:$E$995,Trial_Balance!$C$2:$C$995,$A107,Trial_Balance!$B$2:$B$995,$O$1,Trial_Balance!$A$2:$A$995,Controls!$B$7))</f>
        <v>-239115.96</v>
      </c>
      <c r="F107" s="122" t="n">
        <f aca="false">IF($A107="","",SUMIFS(Trial_Balance!$F$2:$F$995,Trial_Balance!$C$2:$C$995,$A107,Trial_Balance!$B$2:$B$995,$O$1,Trial_Balance!$A$2:$A$995,Controls!$B$7))</f>
        <v>0</v>
      </c>
      <c r="G107" s="122" t="n">
        <f aca="false">IF($A107="","",SUMIFS(Trial_Balance!$G$2:$G$995,Trial_Balance!$C$2:$C$995,$A107,Trial_Balance!$B$2:$B$995,$O$1,Trial_Balance!$A$2:$A$995,Controls!$B$7))</f>
        <v>0</v>
      </c>
      <c r="H107" s="122" t="n">
        <f aca="false">IF($A107="","",SUMIFS(Trial_Balance!$H$2:$H$995,Trial_Balance!$C$2:$C$995,$A107,Trial_Balance!$B$2:$B$995,$O$1,Trial_Balance!$A$2:$A$995,Controls!$B$7))</f>
        <v>-239115.96</v>
      </c>
      <c r="I107" s="122" t="n">
        <f aca="false">IF($A107="","",$H107-$E107)</f>
        <v>0</v>
      </c>
      <c r="J107" s="1" t="n">
        <f aca="false">IF($A107="",0,ABS($I107)+ROW()/1000000000)</f>
        <v>1.07E-007</v>
      </c>
      <c r="K107" s="1" t="n">
        <f aca="false">IF($A107="",0,IF(AND($H107&lt;&gt;0,ABS($H107-$E107)&lt;0.005,$F107=0,$G107=0,ISNA(MATCH($C107,{"Land and Building","Furniture, Fixtures and Equipment","Intangible Assets","Share Capital","Retained Reserves","Investments &gt; 3 months"},0))),1,0))</f>
        <v>1</v>
      </c>
      <c r="L107" s="1" t="n">
        <f aca="false">IF($A107="",0,IF($D107=0,0,IF($H107*$D107&lt;0,1,0)))</f>
        <v>0</v>
      </c>
      <c r="M107" s="123"/>
    </row>
    <row r="108" customFormat="false" ht="13.5" hidden="false" customHeight="false" outlineLevel="0" collapsed="false">
      <c r="A108" s="1" t="str">
        <f aca="false">IF(Master_Mappings!N71="","",Master_Mappings!N71)</f>
        <v>2253</v>
      </c>
      <c r="B108" s="1" t="str">
        <f aca="false">IF($A108="","",Master_Mappings!O71)</f>
        <v>Growth and Sustainability Tax</v>
      </c>
      <c r="C108" s="1" t="str">
        <f aca="false">IF($A108="","",Master_Mappings!P71)</f>
        <v>Other Creditors</v>
      </c>
      <c r="D108" s="1" t="n">
        <f aca="false">IF($A108="","",IFERROR(VLOOKUP($C108,$P$41:$Q$53,2,FALSE()),0))</f>
        <v>-1</v>
      </c>
      <c r="E108" s="122" t="n">
        <f aca="false">IF($A108="","",SUMIFS(Trial_Balance!$E$2:$E$995,Trial_Balance!$C$2:$C$995,$A108,Trial_Balance!$B$2:$B$995,$O$1,Trial_Balance!$A$2:$A$995,Controls!$B$7))</f>
        <v>-71648.11</v>
      </c>
      <c r="F108" s="122" t="n">
        <f aca="false">IF($A108="","",SUMIFS(Trial_Balance!$F$2:$F$995,Trial_Balance!$C$2:$C$995,$A108,Trial_Balance!$B$2:$B$995,$O$1,Trial_Balance!$A$2:$A$995,Controls!$B$7))</f>
        <v>0</v>
      </c>
      <c r="G108" s="122" t="n">
        <f aca="false">IF($A108="","",SUMIFS(Trial_Balance!$G$2:$G$995,Trial_Balance!$C$2:$C$995,$A108,Trial_Balance!$B$2:$B$995,$O$1,Trial_Balance!$A$2:$A$995,Controls!$B$7))</f>
        <v>0</v>
      </c>
      <c r="H108" s="122" t="n">
        <f aca="false">IF($A108="","",SUMIFS(Trial_Balance!$H$2:$H$995,Trial_Balance!$C$2:$C$995,$A108,Trial_Balance!$B$2:$B$995,$O$1,Trial_Balance!$A$2:$A$995,Controls!$B$7))</f>
        <v>-71648.11</v>
      </c>
      <c r="I108" s="122" t="n">
        <f aca="false">IF($A108="","",$H108-$E108)</f>
        <v>0</v>
      </c>
      <c r="J108" s="1" t="n">
        <f aca="false">IF($A108="",0,ABS($I108)+ROW()/1000000000)</f>
        <v>1.08E-007</v>
      </c>
      <c r="K108" s="1" t="n">
        <f aca="false">IF($A108="",0,IF(AND($H108&lt;&gt;0,ABS($H108-$E108)&lt;0.005,$F108=0,$G108=0,ISNA(MATCH($C108,{"Land and Building","Furniture, Fixtures and Equipment","Intangible Assets","Share Capital","Retained Reserves","Investments &gt; 3 months"},0))),1,0))</f>
        <v>1</v>
      </c>
      <c r="L108" s="1" t="n">
        <f aca="false">IF($A108="",0,IF($D108=0,0,IF($H108*$D108&lt;0,1,0)))</f>
        <v>0</v>
      </c>
      <c r="M108" s="123"/>
    </row>
    <row r="109" customFormat="false" ht="13.5" hidden="false" customHeight="false" outlineLevel="0" collapsed="false">
      <c r="A109" s="1" t="str">
        <f aca="false">IF(Master_Mappings!N72="","",Master_Mappings!N72)</f>
        <v>2301</v>
      </c>
      <c r="B109" s="1" t="str">
        <f aca="false">IF($A109="","",Master_Mappings!O72)</f>
        <v>Initial Funding from PF Ltd</v>
      </c>
      <c r="C109" s="1" t="str">
        <f aca="false">IF($A109="","",Master_Mappings!P72)</f>
        <v>Loans &gt; 1 year</v>
      </c>
      <c r="D109" s="1" t="n">
        <f aca="false">IF($A109="","",IFERROR(VLOOKUP($C109,$P$41:$Q$53,2,FALSE()),0))</f>
        <v>-1</v>
      </c>
      <c r="E109" s="122" t="n">
        <f aca="false">IF($A109="","",SUMIFS(Trial_Balance!$E$2:$E$995,Trial_Balance!$C$2:$C$995,$A109,Trial_Balance!$B$2:$B$995,$O$1,Trial_Balance!$A$2:$A$995,Controls!$B$7))</f>
        <v>-0.33</v>
      </c>
      <c r="F109" s="122" t="n">
        <f aca="false">IF($A109="","",SUMIFS(Trial_Balance!$F$2:$F$995,Trial_Balance!$C$2:$C$995,$A109,Trial_Balance!$B$2:$B$995,$O$1,Trial_Balance!$A$2:$A$995,Controls!$B$7))</f>
        <v>0</v>
      </c>
      <c r="G109" s="122" t="n">
        <f aca="false">IF($A109="","",SUMIFS(Trial_Balance!$G$2:$G$995,Trial_Balance!$C$2:$C$995,$A109,Trial_Balance!$B$2:$B$995,$O$1,Trial_Balance!$A$2:$A$995,Controls!$B$7))</f>
        <v>0</v>
      </c>
      <c r="H109" s="122" t="n">
        <f aca="false">IF($A109="","",SUMIFS(Trial_Balance!$H$2:$H$995,Trial_Balance!$C$2:$C$995,$A109,Trial_Balance!$B$2:$B$995,$O$1,Trial_Balance!$A$2:$A$995,Controls!$B$7))</f>
        <v>-0.33</v>
      </c>
      <c r="I109" s="122" t="n">
        <f aca="false">IF($A109="","",$H109-$E109)</f>
        <v>0</v>
      </c>
      <c r="J109" s="1" t="n">
        <f aca="false">IF($A109="",0,ABS($I109)+ROW()/1000000000)</f>
        <v>1.09E-007</v>
      </c>
      <c r="K109" s="1" t="n">
        <f aca="false">IF($A109="",0,IF(AND($H109&lt;&gt;0,ABS($H109-$E109)&lt;0.005,$F109=0,$G109=0,ISNA(MATCH($C109,{"Land and Building","Furniture, Fixtures and Equipment","Intangible Assets","Share Capital","Retained Reserves","Investments &gt; 3 months"},0))),1,0))</f>
        <v>1</v>
      </c>
      <c r="L109" s="1" t="n">
        <f aca="false">IF($A109="",0,IF($D109=0,0,IF($H109*$D109&lt;0,1,0)))</f>
        <v>0</v>
      </c>
      <c r="M109" s="123"/>
    </row>
    <row r="110" customFormat="false" ht="13.5" hidden="false" customHeight="false" outlineLevel="0" collapsed="false">
      <c r="A110" s="1" t="str">
        <f aca="false">IF(Master_Mappings!N73="","",Master_Mappings!N73)</f>
        <v>3000</v>
      </c>
      <c r="B110" s="1" t="str">
        <f aca="false">IF($A110="","",Master_Mappings!O73)</f>
        <v>Ordinary Shares</v>
      </c>
      <c r="C110" s="1" t="str">
        <f aca="false">IF($A110="","",Master_Mappings!P73)</f>
        <v>Share Capital</v>
      </c>
      <c r="D110" s="1" t="n">
        <f aca="false">IF($A110="","",IFERROR(VLOOKUP($C110,$P$41:$Q$53,2,FALSE()),0))</f>
        <v>-1</v>
      </c>
      <c r="E110" s="122" t="n">
        <f aca="false">IF($A110="","",SUMIFS(Trial_Balance!$E$2:$E$995,Trial_Balance!$C$2:$C$995,$A110,Trial_Balance!$B$2:$B$995,$O$1,Trial_Balance!$A$2:$A$995,Controls!$B$7))</f>
        <v>-19999.87</v>
      </c>
      <c r="F110" s="122" t="n">
        <f aca="false">IF($A110="","",SUMIFS(Trial_Balance!$F$2:$F$995,Trial_Balance!$C$2:$C$995,$A110,Trial_Balance!$B$2:$B$995,$O$1,Trial_Balance!$A$2:$A$995,Controls!$B$7))</f>
        <v>0</v>
      </c>
      <c r="G110" s="122" t="n">
        <f aca="false">IF($A110="","",SUMIFS(Trial_Balance!$G$2:$G$995,Trial_Balance!$C$2:$C$995,$A110,Trial_Balance!$B$2:$B$995,$O$1,Trial_Balance!$A$2:$A$995,Controls!$B$7))</f>
        <v>0</v>
      </c>
      <c r="H110" s="122" t="n">
        <f aca="false">IF($A110="","",SUMIFS(Trial_Balance!$H$2:$H$995,Trial_Balance!$C$2:$C$995,$A110,Trial_Balance!$B$2:$B$995,$O$1,Trial_Balance!$A$2:$A$995,Controls!$B$7))</f>
        <v>-19999.87</v>
      </c>
      <c r="I110" s="122" t="n">
        <f aca="false">IF($A110="","",$H110-$E110)</f>
        <v>0</v>
      </c>
      <c r="J110" s="1" t="n">
        <f aca="false">IF($A110="",0,ABS($I110)+ROW()/1000000000)</f>
        <v>1.1E-007</v>
      </c>
      <c r="K110" s="1" t="n">
        <f aca="false">IF($A110="",0,IF(AND($H110&lt;&gt;0,ABS($H110-$E110)&lt;0.005,$F110=0,$G110=0,ISNA(MATCH($C110,{"Land and Building","Furniture, Fixtures and Equipment","Intangible Assets","Share Capital","Retained Reserves","Investments &gt; 3 months"},0))),1,0))</f>
        <v>0</v>
      </c>
      <c r="L110" s="1" t="n">
        <f aca="false">IF($A110="",0,IF($D110=0,0,IF($H110*$D110&lt;0,1,0)))</f>
        <v>0</v>
      </c>
      <c r="M110" s="123"/>
    </row>
    <row r="111" customFormat="false" ht="13.5" hidden="false" customHeight="false" outlineLevel="0" collapsed="false">
      <c r="A111" s="1" t="str">
        <f aca="false">IF(Master_Mappings!N74="","",Master_Mappings!N74)</f>
        <v>3100</v>
      </c>
      <c r="B111" s="1" t="str">
        <f aca="false">IF($A111="","",Master_Mappings!O74)</f>
        <v>Reserves</v>
      </c>
      <c r="C111" s="1" t="str">
        <f aca="false">IF($A111="","",Master_Mappings!P74)</f>
        <v>Retained Reserves</v>
      </c>
      <c r="D111" s="1" t="n">
        <f aca="false">IF($A111="","",IFERROR(VLOOKUP($C111,$P$41:$Q$53,2,FALSE()),0))</f>
        <v>-1</v>
      </c>
      <c r="E111" s="122" t="n">
        <f aca="false">IF($A111="","",SUMIFS(Trial_Balance!$E$2:$E$995,Trial_Balance!$C$2:$C$995,$A111,Trial_Balance!$B$2:$B$995,$O$1,Trial_Balance!$A$2:$A$995,Controls!$B$7))</f>
        <v>-324437.49</v>
      </c>
      <c r="F111" s="122" t="n">
        <f aca="false">IF($A111="","",SUMIFS(Trial_Balance!$F$2:$F$995,Trial_Balance!$C$2:$C$995,$A111,Trial_Balance!$B$2:$B$995,$O$1,Trial_Balance!$A$2:$A$995,Controls!$B$7))</f>
        <v>0</v>
      </c>
      <c r="G111" s="122" t="n">
        <f aca="false">IF($A111="","",SUMIFS(Trial_Balance!$G$2:$G$995,Trial_Balance!$C$2:$C$995,$A111,Trial_Balance!$B$2:$B$995,$O$1,Trial_Balance!$A$2:$A$995,Controls!$B$7))</f>
        <v>0</v>
      </c>
      <c r="H111" s="122" t="n">
        <f aca="false">IF($A111="","",SUMIFS(Trial_Balance!$H$2:$H$995,Trial_Balance!$C$2:$C$995,$A111,Trial_Balance!$B$2:$B$995,$O$1,Trial_Balance!$A$2:$A$995,Controls!$B$7))</f>
        <v>-324437.49</v>
      </c>
      <c r="I111" s="122" t="n">
        <f aca="false">IF($A111="","",$H111-$E111)</f>
        <v>0</v>
      </c>
      <c r="J111" s="1" t="n">
        <f aca="false">IF($A111="",0,ABS($I111)+ROW()/1000000000)</f>
        <v>1.11E-007</v>
      </c>
      <c r="K111" s="1" t="n">
        <f aca="false">IF($A111="",0,IF(AND($H111&lt;&gt;0,ABS($H111-$E111)&lt;0.005,$F111=0,$G111=0,ISNA(MATCH($C111,{"Land and Building","Furniture, Fixtures and Equipment","Intangible Assets","Share Capital","Retained Reserves","Investments &gt; 3 months"},0))),1,0))</f>
        <v>0</v>
      </c>
      <c r="L111" s="1" t="n">
        <f aca="false">IF($A111="",0,IF($D111=0,0,IF($H111*$D111&lt;0,1,0)))</f>
        <v>0</v>
      </c>
      <c r="M111" s="123"/>
    </row>
    <row r="112" customFormat="false" ht="13.5" hidden="false" customHeight="false" outlineLevel="0" collapsed="false">
      <c r="A112" s="1" t="str">
        <f aca="false">IF(Master_Mappings!N75="","",Master_Mappings!N75)</f>
        <v>3200</v>
      </c>
      <c r="B112" s="1" t="str">
        <f aca="false">IF($A112="","",Master_Mappings!O75)</f>
        <v>Profit and Loss Account</v>
      </c>
      <c r="C112" s="1" t="str">
        <f aca="false">IF($A112="","",Master_Mappings!P75)</f>
        <v>Retained Reserves</v>
      </c>
      <c r="D112" s="1" t="n">
        <f aca="false">IF($A112="","",IFERROR(VLOOKUP($C112,$P$41:$Q$53,2,FALSE()),0))</f>
        <v>-1</v>
      </c>
      <c r="E112" s="122" t="n">
        <f aca="false">IF($A112="","",SUMIFS(Trial_Balance!$E$2:$E$995,Trial_Balance!$C$2:$C$995,$A112,Trial_Balance!$B$2:$B$995,$O$1,Trial_Balance!$A$2:$A$995,Controls!$B$7))</f>
        <v>-5152147.49</v>
      </c>
      <c r="F112" s="122" t="n">
        <f aca="false">IF($A112="","",SUMIFS(Trial_Balance!$F$2:$F$995,Trial_Balance!$C$2:$C$995,$A112,Trial_Balance!$B$2:$B$995,$O$1,Trial_Balance!$A$2:$A$995,Controls!$B$7))</f>
        <v>0</v>
      </c>
      <c r="G112" s="122" t="n">
        <f aca="false">IF($A112="","",SUMIFS(Trial_Balance!$G$2:$G$995,Trial_Balance!$C$2:$C$995,$A112,Trial_Balance!$B$2:$B$995,$O$1,Trial_Balance!$A$2:$A$995,Controls!$B$7))</f>
        <v>0</v>
      </c>
      <c r="H112" s="122" t="n">
        <f aca="false">IF($A112="","",SUMIFS(Trial_Balance!$H$2:$H$995,Trial_Balance!$C$2:$C$995,$A112,Trial_Balance!$B$2:$B$995,$O$1,Trial_Balance!$A$2:$A$995,Controls!$B$7))</f>
        <v>-5152147.49</v>
      </c>
      <c r="I112" s="122" t="n">
        <f aca="false">IF($A112="","",$H112-$E112)</f>
        <v>0</v>
      </c>
      <c r="J112" s="1" t="n">
        <f aca="false">IF($A112="",0,ABS($I112)+ROW()/1000000000)</f>
        <v>1.12E-007</v>
      </c>
      <c r="K112" s="1" t="n">
        <f aca="false">IF($A112="",0,IF(AND($H112&lt;&gt;0,ABS($H112-$E112)&lt;0.005,$F112=0,$G112=0,ISNA(MATCH($C112,{"Land and Building","Furniture, Fixtures and Equipment","Intangible Assets","Share Capital","Retained Reserves","Investments &gt; 3 months"},0))),1,0))</f>
        <v>0</v>
      </c>
      <c r="L112" s="1" t="n">
        <f aca="false">IF($A112="",0,IF($D112=0,0,IF($H112*$D112&lt;0,1,0)))</f>
        <v>0</v>
      </c>
      <c r="M112" s="123"/>
    </row>
    <row r="113" customFormat="false" ht="13.5" hidden="false" customHeight="false" outlineLevel="0" collapsed="false">
      <c r="A113" s="1" t="str">
        <f aca="false">IF(Master_Mappings!N76="","",Master_Mappings!N76)</f>
        <v>4000</v>
      </c>
      <c r="B113" s="1" t="str">
        <f aca="false">IF($A113="","",Master_Mappings!O76)</f>
        <v>Consultancy (Fees Contract) Income</v>
      </c>
      <c r="C113" s="1" t="str">
        <f aca="false">IF($A113="","",Master_Mappings!P76)</f>
        <v>Current P&amp;L</v>
      </c>
      <c r="D113" s="1" t="n">
        <f aca="false">IF($A113="","",IFERROR(VLOOKUP($C113,$P$41:$Q$53,2,FALSE()),0))</f>
        <v>0</v>
      </c>
      <c r="E113" s="122" t="n">
        <f aca="false">IF($A113="","",SUMIFS(Trial_Balance!$E$2:$E$995,Trial_Balance!$C$2:$C$995,$A113,Trial_Balance!$B$2:$B$995,$O$1,Trial_Balance!$A$2:$A$995,Controls!$B$7))</f>
        <v>-2449460.04</v>
      </c>
      <c r="F113" s="122" t="n">
        <f aca="false">IF($A113="","",SUMIFS(Trial_Balance!$F$2:$F$995,Trial_Balance!$C$2:$C$995,$A113,Trial_Balance!$B$2:$B$995,$O$1,Trial_Balance!$A$2:$A$995,Controls!$B$7))</f>
        <v>0</v>
      </c>
      <c r="G113" s="122" t="n">
        <f aca="false">IF($A113="","",SUMIFS(Trial_Balance!$G$2:$G$995,Trial_Balance!$C$2:$C$995,$A113,Trial_Balance!$B$2:$B$995,$O$1,Trial_Balance!$A$2:$A$995,Controls!$B$7))</f>
        <v>0</v>
      </c>
      <c r="H113" s="122" t="n">
        <f aca="false">IF($A113="","",SUMIFS(Trial_Balance!$H$2:$H$995,Trial_Balance!$C$2:$C$995,$A113,Trial_Balance!$B$2:$B$995,$O$1,Trial_Balance!$A$2:$A$995,Controls!$B$7))</f>
        <v>-4710230.64</v>
      </c>
      <c r="I113" s="122" t="n">
        <f aca="false">IF($A113="","",$H113-$E113)</f>
        <v>-2260770.6</v>
      </c>
      <c r="J113" s="1" t="n">
        <f aca="false">IF($A113="",0,ABS($I113)+ROW()/1000000000)</f>
        <v>2260770.60000011</v>
      </c>
      <c r="K113" s="1" t="n">
        <f aca="false">IF($A113="",0,IF(AND($H113&lt;&gt;0,ABS($H113-$E113)&lt;0.005,$F113=0,$G113=0,ISNA(MATCH($C113,{"Land and Building","Furniture, Fixtures and Equipment","Intangible Assets","Share Capital","Retained Reserves","Investments &gt; 3 months"},0))),1,0))</f>
        <v>0</v>
      </c>
      <c r="L113" s="1" t="n">
        <f aca="false">IF($A113="",0,IF($D113=0,0,IF($H113*$D113&lt;0,1,0)))</f>
        <v>0</v>
      </c>
      <c r="M113" s="123"/>
    </row>
    <row r="114" customFormat="false" ht="13.5" hidden="false" customHeight="false" outlineLevel="0" collapsed="false">
      <c r="A114" s="1" t="str">
        <f aca="false">IF(Master_Mappings!N77="","",Master_Mappings!N77)</f>
        <v>4002</v>
      </c>
      <c r="B114" s="1" t="str">
        <f aca="false">IF($A114="","",Master_Mappings!O77)</f>
        <v>Grant Income</v>
      </c>
      <c r="C114" s="1" t="str">
        <f aca="false">IF($A114="","",Master_Mappings!P77)</f>
        <v>Current P&amp;L</v>
      </c>
      <c r="D114" s="1" t="n">
        <f aca="false">IF($A114="","",IFERROR(VLOOKUP($C114,$P$41:$Q$53,2,FALSE()),0))</f>
        <v>0</v>
      </c>
      <c r="E114" s="122" t="n">
        <f aca="false">IF($A114="","",SUMIFS(Trial_Balance!$E$2:$E$995,Trial_Balance!$C$2:$C$995,$A114,Trial_Balance!$B$2:$B$995,$O$1,Trial_Balance!$A$2:$A$995,Controls!$B$7))</f>
        <v>-725884.66</v>
      </c>
      <c r="F114" s="122" t="n">
        <f aca="false">IF($A114="","",SUMIFS(Trial_Balance!$F$2:$F$995,Trial_Balance!$C$2:$C$995,$A114,Trial_Balance!$B$2:$B$995,$O$1,Trial_Balance!$A$2:$A$995,Controls!$B$7))</f>
        <v>0</v>
      </c>
      <c r="G114" s="122" t="n">
        <f aca="false">IF($A114="","",SUMIFS(Trial_Balance!$G$2:$G$995,Trial_Balance!$C$2:$C$995,$A114,Trial_Balance!$B$2:$B$995,$O$1,Trial_Balance!$A$2:$A$995,Controls!$B$7))</f>
        <v>0</v>
      </c>
      <c r="H114" s="122" t="n">
        <f aca="false">IF($A114="","",SUMIFS(Trial_Balance!$H$2:$H$995,Trial_Balance!$C$2:$C$995,$A114,Trial_Balance!$B$2:$B$995,$O$1,Trial_Balance!$A$2:$A$995,Controls!$B$7))</f>
        <v>-1338817.4</v>
      </c>
      <c r="I114" s="122" t="n">
        <f aca="false">IF($A114="","",$H114-$E114)</f>
        <v>-612932.74</v>
      </c>
      <c r="J114" s="1" t="n">
        <f aca="false">IF($A114="",0,ABS($I114)+ROW()/1000000000)</f>
        <v>612932.740000114</v>
      </c>
      <c r="K114" s="1" t="n">
        <f aca="false">IF($A114="",0,IF(AND($H114&lt;&gt;0,ABS($H114-$E114)&lt;0.005,$F114=0,$G114=0,ISNA(MATCH($C114,{"Land and Building","Furniture, Fixtures and Equipment","Intangible Assets","Share Capital","Retained Reserves","Investments &gt; 3 months"},0))),1,0))</f>
        <v>0</v>
      </c>
      <c r="L114" s="1" t="n">
        <f aca="false">IF($A114="",0,IF($D114=0,0,IF($H114*$D114&lt;0,1,0)))</f>
        <v>0</v>
      </c>
      <c r="M114" s="123"/>
    </row>
    <row r="115" customFormat="false" ht="13.5" hidden="false" customHeight="false" outlineLevel="0" collapsed="false">
      <c r="A115" s="1" t="str">
        <f aca="false">IF(Master_Mappings!N78="","",Master_Mappings!N78)</f>
        <v>4010</v>
      </c>
      <c r="B115" s="1" t="str">
        <f aca="false">IF($A115="","",Master_Mappings!O78)</f>
        <v>Consultancy (PG+PI Contract Fees) Income</v>
      </c>
      <c r="C115" s="1" t="str">
        <f aca="false">IF($A115="","",Master_Mappings!P78)</f>
        <v>Current P&amp;L</v>
      </c>
      <c r="D115" s="1" t="n">
        <f aca="false">IF($A115="","",IFERROR(VLOOKUP($C115,$P$41:$Q$53,2,FALSE()),0))</f>
        <v>0</v>
      </c>
      <c r="E115" s="122" t="n">
        <f aca="false">IF($A115="","",SUMIFS(Trial_Balance!$E$2:$E$995,Trial_Balance!$C$2:$C$995,$A115,Trial_Balance!$B$2:$B$995,$O$1,Trial_Balance!$A$2:$A$995,Controls!$B$7))</f>
        <v>0</v>
      </c>
      <c r="F115" s="122" t="n">
        <f aca="false">IF($A115="","",SUMIFS(Trial_Balance!$F$2:$F$995,Trial_Balance!$C$2:$C$995,$A115,Trial_Balance!$B$2:$B$995,$O$1,Trial_Balance!$A$2:$A$995,Controls!$B$7))</f>
        <v>0</v>
      </c>
      <c r="G115" s="122" t="n">
        <f aca="false">IF($A115="","",SUMIFS(Trial_Balance!$G$2:$G$995,Trial_Balance!$C$2:$C$995,$A115,Trial_Balance!$B$2:$B$995,$O$1,Trial_Balance!$A$2:$A$995,Controls!$B$7))</f>
        <v>0</v>
      </c>
      <c r="H115" s="122" t="n">
        <f aca="false">IF($A115="","",SUMIFS(Trial_Balance!$H$2:$H$995,Trial_Balance!$C$2:$C$995,$A115,Trial_Balance!$B$2:$B$995,$O$1,Trial_Balance!$A$2:$A$995,Controls!$B$7))</f>
        <v>0</v>
      </c>
      <c r="I115" s="122" t="n">
        <f aca="false">IF($A115="","",$H115-$E115)</f>
        <v>0</v>
      </c>
      <c r="J115" s="1" t="n">
        <f aca="false">IF($A115="",0,ABS($I115)+ROW()/1000000000)</f>
        <v>1.15E-007</v>
      </c>
      <c r="K115" s="1" t="n">
        <f aca="false">IF($A115="",0,IF(AND($H115&lt;&gt;0,ABS($H115-$E115)&lt;0.005,$F115=0,$G115=0,ISNA(MATCH($C115,{"Land and Building","Furniture, Fixtures and Equipment","Intangible Assets","Share Capital","Retained Reserves","Investments &gt; 3 months"},0))),1,0))</f>
        <v>0</v>
      </c>
      <c r="L115" s="1" t="n">
        <f aca="false">IF($A115="",0,IF($D115=0,0,IF($H115*$D115&lt;0,1,0)))</f>
        <v>0</v>
      </c>
      <c r="M115" s="123"/>
    </row>
    <row r="116" customFormat="false" ht="13.5" hidden="false" customHeight="false" outlineLevel="0" collapsed="false">
      <c r="A116" s="1" t="str">
        <f aca="false">IF(Master_Mappings!N79="","",Master_Mappings!N79)</f>
        <v>4050</v>
      </c>
      <c r="B116" s="1" t="str">
        <f aca="false">IF($A116="","",Master_Mappings!O79)</f>
        <v>Consultancy (PG+PC Contract Fees) Income</v>
      </c>
      <c r="C116" s="1" t="str">
        <f aca="false">IF($A116="","",Master_Mappings!P79)</f>
        <v>Current P&amp;L</v>
      </c>
      <c r="D116" s="1" t="n">
        <f aca="false">IF($A116="","",IFERROR(VLOOKUP($C116,$P$41:$Q$53,2,FALSE()),0))</f>
        <v>0</v>
      </c>
      <c r="E116" s="122" t="n">
        <f aca="false">IF($A116="","",SUMIFS(Trial_Balance!$E$2:$E$995,Trial_Balance!$C$2:$C$995,$A116,Trial_Balance!$B$2:$B$995,$O$1,Trial_Balance!$A$2:$A$995,Controls!$B$7))</f>
        <v>-376399.08</v>
      </c>
      <c r="F116" s="122" t="n">
        <f aca="false">IF($A116="","",SUMIFS(Trial_Balance!$F$2:$F$995,Trial_Balance!$C$2:$C$995,$A116,Trial_Balance!$B$2:$B$995,$O$1,Trial_Balance!$A$2:$A$995,Controls!$B$7))</f>
        <v>0</v>
      </c>
      <c r="G116" s="122" t="n">
        <f aca="false">IF($A116="","",SUMIFS(Trial_Balance!$G$2:$G$995,Trial_Balance!$C$2:$C$995,$A116,Trial_Balance!$B$2:$B$995,$O$1,Trial_Balance!$A$2:$A$995,Controls!$B$7))</f>
        <v>0</v>
      </c>
      <c r="H116" s="122" t="n">
        <f aca="false">IF($A116="","",SUMIFS(Trial_Balance!$H$2:$H$995,Trial_Balance!$C$2:$C$995,$A116,Trial_Balance!$B$2:$B$995,$O$1,Trial_Balance!$A$2:$A$995,Controls!$B$7))</f>
        <v>-2486538.68</v>
      </c>
      <c r="I116" s="122" t="n">
        <f aca="false">IF($A116="","",$H116-$E116)</f>
        <v>-2110139.6</v>
      </c>
      <c r="J116" s="1" t="n">
        <f aca="false">IF($A116="",0,ABS($I116)+ROW()/1000000000)</f>
        <v>2110139.60000012</v>
      </c>
      <c r="K116" s="1" t="n">
        <f aca="false">IF($A116="",0,IF(AND($H116&lt;&gt;0,ABS($H116-$E116)&lt;0.005,$F116=0,$G116=0,ISNA(MATCH($C116,{"Land and Building","Furniture, Fixtures and Equipment","Intangible Assets","Share Capital","Retained Reserves","Investments &gt; 3 months"},0))),1,0))</f>
        <v>0</v>
      </c>
      <c r="L116" s="1" t="n">
        <f aca="false">IF($A116="",0,IF($D116=0,0,IF($H116*$D116&lt;0,1,0)))</f>
        <v>0</v>
      </c>
      <c r="M116" s="123"/>
    </row>
    <row r="117" customFormat="false" ht="13.5" hidden="false" customHeight="false" outlineLevel="0" collapsed="false">
      <c r="A117" s="1" t="str">
        <f aca="false">IF(Master_Mappings!N80="","",Master_Mappings!N80)</f>
        <v>4200</v>
      </c>
      <c r="B117" s="1" t="str">
        <f aca="false">IF($A117="","",Master_Mappings!O80)</f>
        <v>Recovered Project Expenses</v>
      </c>
      <c r="C117" s="1" t="str">
        <f aca="false">IF($A117="","",Master_Mappings!P80)</f>
        <v>Current P&amp;L</v>
      </c>
      <c r="D117" s="1" t="n">
        <f aca="false">IF($A117="","",IFERROR(VLOOKUP($C117,$P$41:$Q$53,2,FALSE()),0))</f>
        <v>0</v>
      </c>
      <c r="E117" s="122" t="n">
        <f aca="false">IF($A117="","",SUMIFS(Trial_Balance!$E$2:$E$995,Trial_Balance!$C$2:$C$995,$A117,Trial_Balance!$B$2:$B$995,$O$1,Trial_Balance!$A$2:$A$995,Controls!$B$7))</f>
        <v>-385627.6</v>
      </c>
      <c r="F117" s="122" t="n">
        <f aca="false">IF($A117="","",SUMIFS(Trial_Balance!$F$2:$F$995,Trial_Balance!$C$2:$C$995,$A117,Trial_Balance!$B$2:$B$995,$O$1,Trial_Balance!$A$2:$A$995,Controls!$B$7))</f>
        <v>0</v>
      </c>
      <c r="G117" s="122" t="n">
        <f aca="false">IF($A117="","",SUMIFS(Trial_Balance!$G$2:$G$995,Trial_Balance!$C$2:$C$995,$A117,Trial_Balance!$B$2:$B$995,$O$1,Trial_Balance!$A$2:$A$995,Controls!$B$7))</f>
        <v>0</v>
      </c>
      <c r="H117" s="122" t="n">
        <f aca="false">IF($A117="","",SUMIFS(Trial_Balance!$H$2:$H$995,Trial_Balance!$C$2:$C$995,$A117,Trial_Balance!$B$2:$B$995,$O$1,Trial_Balance!$A$2:$A$995,Controls!$B$7))</f>
        <v>-918121.21</v>
      </c>
      <c r="I117" s="122" t="n">
        <f aca="false">IF($A117="","",$H117-$E117)</f>
        <v>-532493.61</v>
      </c>
      <c r="J117" s="1" t="n">
        <f aca="false">IF($A117="",0,ABS($I117)+ROW()/1000000000)</f>
        <v>532493.610000117</v>
      </c>
      <c r="K117" s="1" t="n">
        <f aca="false">IF($A117="",0,IF(AND($H117&lt;&gt;0,ABS($H117-$E117)&lt;0.005,$F117=0,$G117=0,ISNA(MATCH($C117,{"Land and Building","Furniture, Fixtures and Equipment","Intangible Assets","Share Capital","Retained Reserves","Investments &gt; 3 months"},0))),1,0))</f>
        <v>0</v>
      </c>
      <c r="L117" s="1" t="n">
        <f aca="false">IF($A117="",0,IF($D117=0,0,IF($H117*$D117&lt;0,1,0)))</f>
        <v>0</v>
      </c>
      <c r="M117" s="123"/>
    </row>
    <row r="118" customFormat="false" ht="13.5" hidden="false" customHeight="false" outlineLevel="0" collapsed="false">
      <c r="A118" s="1" t="str">
        <f aca="false">IF(Master_Mappings!N81="","",Master_Mappings!N81)</f>
        <v>4903</v>
      </c>
      <c r="B118" s="1" t="str">
        <f aca="false">IF($A118="","",Master_Mappings!O81)</f>
        <v>Miscellaneous Income</v>
      </c>
      <c r="C118" s="1" t="str">
        <f aca="false">IF($A118="","",Master_Mappings!P81)</f>
        <v>Current P&amp;L</v>
      </c>
      <c r="D118" s="1" t="n">
        <f aca="false">IF($A118="","",IFERROR(VLOOKUP($C118,$P$41:$Q$53,2,FALSE()),0))</f>
        <v>0</v>
      </c>
      <c r="E118" s="122" t="n">
        <f aca="false">IF($A118="","",SUMIFS(Trial_Balance!$E$2:$E$995,Trial_Balance!$C$2:$C$995,$A118,Trial_Balance!$B$2:$B$995,$O$1,Trial_Balance!$A$2:$A$995,Controls!$B$7))</f>
        <v>-186796.18</v>
      </c>
      <c r="F118" s="122" t="n">
        <f aca="false">IF($A118="","",SUMIFS(Trial_Balance!$F$2:$F$995,Trial_Balance!$C$2:$C$995,$A118,Trial_Balance!$B$2:$B$995,$O$1,Trial_Balance!$A$2:$A$995,Controls!$B$7))</f>
        <v>0</v>
      </c>
      <c r="G118" s="122" t="n">
        <f aca="false">IF($A118="","",SUMIFS(Trial_Balance!$G$2:$G$995,Trial_Balance!$C$2:$C$995,$A118,Trial_Balance!$B$2:$B$995,$O$1,Trial_Balance!$A$2:$A$995,Controls!$B$7))</f>
        <v>0</v>
      </c>
      <c r="H118" s="122" t="n">
        <f aca="false">IF($A118="","",SUMIFS(Trial_Balance!$H$2:$H$995,Trial_Balance!$C$2:$C$995,$A118,Trial_Balance!$B$2:$B$995,$O$1,Trial_Balance!$A$2:$A$995,Controls!$B$7))</f>
        <v>-397851.93</v>
      </c>
      <c r="I118" s="122" t="n">
        <f aca="false">IF($A118="","",$H118-$E118)</f>
        <v>-211055.75</v>
      </c>
      <c r="J118" s="1" t="n">
        <f aca="false">IF($A118="",0,ABS($I118)+ROW()/1000000000)</f>
        <v>211055.750000118</v>
      </c>
      <c r="K118" s="1" t="n">
        <f aca="false">IF($A118="",0,IF(AND($H118&lt;&gt;0,ABS($H118-$E118)&lt;0.005,$F118=0,$G118=0,ISNA(MATCH($C118,{"Land and Building","Furniture, Fixtures and Equipment","Intangible Assets","Share Capital","Retained Reserves","Investments &gt; 3 months"},0))),1,0))</f>
        <v>0</v>
      </c>
      <c r="L118" s="1" t="n">
        <f aca="false">IF($A118="",0,IF($D118=0,0,IF($H118*$D118&lt;0,1,0)))</f>
        <v>0</v>
      </c>
      <c r="M118" s="123"/>
    </row>
    <row r="119" customFormat="false" ht="13.5" hidden="false" customHeight="false" outlineLevel="0" collapsed="false">
      <c r="A119" s="1" t="str">
        <f aca="false">IF(Master_Mappings!N82="","",Master_Mappings!N82)</f>
        <v>4905</v>
      </c>
      <c r="B119" s="1" t="str">
        <f aca="false">IF($A119="","",Master_Mappings!O82)</f>
        <v>Management fee income</v>
      </c>
      <c r="C119" s="1" t="str">
        <f aca="false">IF($A119="","",Master_Mappings!P82)</f>
        <v>Current P&amp;L</v>
      </c>
      <c r="D119" s="1" t="n">
        <f aca="false">IF($A119="","",IFERROR(VLOOKUP($C119,$P$41:$Q$53,2,FALSE()),0))</f>
        <v>0</v>
      </c>
      <c r="E119" s="122" t="n">
        <f aca="false">IF($A119="","",SUMIFS(Trial_Balance!$E$2:$E$995,Trial_Balance!$C$2:$C$995,$A119,Trial_Balance!$B$2:$B$995,$O$1,Trial_Balance!$A$2:$A$995,Controls!$B$7))</f>
        <v>0</v>
      </c>
      <c r="F119" s="122" t="n">
        <f aca="false">IF($A119="","",SUMIFS(Trial_Balance!$F$2:$F$995,Trial_Balance!$C$2:$C$995,$A119,Trial_Balance!$B$2:$B$995,$O$1,Trial_Balance!$A$2:$A$995,Controls!$B$7))</f>
        <v>0</v>
      </c>
      <c r="G119" s="122" t="n">
        <f aca="false">IF($A119="","",SUMIFS(Trial_Balance!$G$2:$G$995,Trial_Balance!$C$2:$C$995,$A119,Trial_Balance!$B$2:$B$995,$O$1,Trial_Balance!$A$2:$A$995,Controls!$B$7))</f>
        <v>0</v>
      </c>
      <c r="H119" s="122" t="n">
        <f aca="false">IF($A119="","",SUMIFS(Trial_Balance!$H$2:$H$995,Trial_Balance!$C$2:$C$995,$A119,Trial_Balance!$B$2:$B$995,$O$1,Trial_Balance!$A$2:$A$995,Controls!$B$7))</f>
        <v>0</v>
      </c>
      <c r="I119" s="122" t="n">
        <f aca="false">IF($A119="","",$H119-$E119)</f>
        <v>0</v>
      </c>
      <c r="J119" s="1" t="n">
        <f aca="false">IF($A119="",0,ABS($I119)+ROW()/1000000000)</f>
        <v>1.19E-007</v>
      </c>
      <c r="K119" s="1" t="n">
        <f aca="false">IF($A119="",0,IF(AND($H119&lt;&gt;0,ABS($H119-$E119)&lt;0.005,$F119=0,$G119=0,ISNA(MATCH($C119,{"Land and Building","Furniture, Fixtures and Equipment","Intangible Assets","Share Capital","Retained Reserves","Investments &gt; 3 months"},0))),1,0))</f>
        <v>0</v>
      </c>
      <c r="L119" s="1" t="n">
        <f aca="false">IF($A119="",0,IF($D119=0,0,IF($H119*$D119&lt;0,1,0)))</f>
        <v>0</v>
      </c>
      <c r="M119" s="123"/>
    </row>
    <row r="120" customFormat="false" ht="13.5" hidden="false" customHeight="false" outlineLevel="0" collapsed="false">
      <c r="A120" s="1" t="str">
        <f aca="false">IF(Master_Mappings!N83="","",Master_Mappings!N83)</f>
        <v>5000</v>
      </c>
      <c r="B120" s="1" t="str">
        <f aca="false">IF($A120="","",Master_Mappings!O83)</f>
        <v>Sub Contractors Fees</v>
      </c>
      <c r="C120" s="1" t="str">
        <f aca="false">IF($A120="","",Master_Mappings!P83)</f>
        <v>Current P&amp;L</v>
      </c>
      <c r="D120" s="1" t="n">
        <f aca="false">IF($A120="","",IFERROR(VLOOKUP($C120,$P$41:$Q$53,2,FALSE()),0))</f>
        <v>0</v>
      </c>
      <c r="E120" s="122" t="n">
        <f aca="false">IF($A120="","",SUMIFS(Trial_Balance!$E$2:$E$995,Trial_Balance!$C$2:$C$995,$A120,Trial_Balance!$B$2:$B$995,$O$1,Trial_Balance!$A$2:$A$995,Controls!$B$7))</f>
        <v>32099.98</v>
      </c>
      <c r="F120" s="122" t="n">
        <f aca="false">IF($A120="","",SUMIFS(Trial_Balance!$F$2:$F$995,Trial_Balance!$C$2:$C$995,$A120,Trial_Balance!$B$2:$B$995,$O$1,Trial_Balance!$A$2:$A$995,Controls!$B$7))</f>
        <v>0</v>
      </c>
      <c r="G120" s="122" t="n">
        <f aca="false">IF($A120="","",SUMIFS(Trial_Balance!$G$2:$G$995,Trial_Balance!$C$2:$C$995,$A120,Trial_Balance!$B$2:$B$995,$O$1,Trial_Balance!$A$2:$A$995,Controls!$B$7))</f>
        <v>0</v>
      </c>
      <c r="H120" s="122" t="n">
        <f aca="false">IF($A120="","",SUMIFS(Trial_Balance!$H$2:$H$995,Trial_Balance!$C$2:$C$995,$A120,Trial_Balance!$B$2:$B$995,$O$1,Trial_Balance!$A$2:$A$995,Controls!$B$7))</f>
        <v>498422.2</v>
      </c>
      <c r="I120" s="122" t="n">
        <f aca="false">IF($A120="","",$H120-$E120)</f>
        <v>466322.22</v>
      </c>
      <c r="J120" s="1" t="n">
        <f aca="false">IF($A120="",0,ABS($I120)+ROW()/1000000000)</f>
        <v>466322.22000012</v>
      </c>
      <c r="K120" s="1" t="n">
        <f aca="false">IF($A120="",0,IF(AND($H120&lt;&gt;0,ABS($H120-$E120)&lt;0.005,$F120=0,$G120=0,ISNA(MATCH($C120,{"Land and Building","Furniture, Fixtures and Equipment","Intangible Assets","Share Capital","Retained Reserves","Investments &gt; 3 months"},0))),1,0))</f>
        <v>0</v>
      </c>
      <c r="L120" s="1" t="n">
        <f aca="false">IF($A120="",0,IF($D120=0,0,IF($H120*$D120&lt;0,1,0)))</f>
        <v>0</v>
      </c>
      <c r="M120" s="123"/>
    </row>
    <row r="121" customFormat="false" ht="13.5" hidden="false" customHeight="false" outlineLevel="0" collapsed="false">
      <c r="A121" s="1" t="str">
        <f aca="false">IF(Master_Mappings!N84="","",Master_Mappings!N84)</f>
        <v>5200</v>
      </c>
      <c r="B121" s="1" t="str">
        <f aca="false">IF($A121="","",Master_Mappings!O84)</f>
        <v>Recoverable Project Expenses</v>
      </c>
      <c r="C121" s="1" t="str">
        <f aca="false">IF($A121="","",Master_Mappings!P84)</f>
        <v>Current P&amp;L</v>
      </c>
      <c r="D121" s="1" t="n">
        <f aca="false">IF($A121="","",IFERROR(VLOOKUP($C121,$P$41:$Q$53,2,FALSE()),0))</f>
        <v>0</v>
      </c>
      <c r="E121" s="122" t="n">
        <f aca="false">IF($A121="","",SUMIFS(Trial_Balance!$E$2:$E$995,Trial_Balance!$C$2:$C$995,$A121,Trial_Balance!$B$2:$B$995,$O$1,Trial_Balance!$A$2:$A$995,Controls!$B$7))</f>
        <v>151893.42</v>
      </c>
      <c r="F121" s="122" t="n">
        <f aca="false">IF($A121="","",SUMIFS(Trial_Balance!$F$2:$F$995,Trial_Balance!$C$2:$C$995,$A121,Trial_Balance!$B$2:$B$995,$O$1,Trial_Balance!$A$2:$A$995,Controls!$B$7))</f>
        <v>0</v>
      </c>
      <c r="G121" s="122" t="n">
        <f aca="false">IF($A121="","",SUMIFS(Trial_Balance!$G$2:$G$995,Trial_Balance!$C$2:$C$995,$A121,Trial_Balance!$B$2:$B$995,$O$1,Trial_Balance!$A$2:$A$995,Controls!$B$7))</f>
        <v>0</v>
      </c>
      <c r="H121" s="122" t="n">
        <f aca="false">IF($A121="","",SUMIFS(Trial_Balance!$H$2:$H$995,Trial_Balance!$C$2:$C$995,$A121,Trial_Balance!$B$2:$B$995,$O$1,Trial_Balance!$A$2:$A$995,Controls!$B$7))</f>
        <v>968118.94</v>
      </c>
      <c r="I121" s="122" t="n">
        <f aca="false">IF($A121="","",$H121-$E121)</f>
        <v>816225.52</v>
      </c>
      <c r="J121" s="1" t="n">
        <f aca="false">IF($A121="",0,ABS($I121)+ROW()/1000000000)</f>
        <v>816225.520000121</v>
      </c>
      <c r="K121" s="1" t="n">
        <f aca="false">IF($A121="",0,IF(AND($H121&lt;&gt;0,ABS($H121-$E121)&lt;0.005,$F121=0,$G121=0,ISNA(MATCH($C121,{"Land and Building","Furniture, Fixtures and Equipment","Intangible Assets","Share Capital","Retained Reserves","Investments &gt; 3 months"},0))),1,0))</f>
        <v>0</v>
      </c>
      <c r="L121" s="1" t="n">
        <f aca="false">IF($A121="",0,IF($D121=0,0,IF($H121*$D121&lt;0,1,0)))</f>
        <v>0</v>
      </c>
      <c r="M121" s="123"/>
    </row>
    <row r="122" customFormat="false" ht="13.5" hidden="false" customHeight="false" outlineLevel="0" collapsed="false">
      <c r="A122" s="1" t="str">
        <f aca="false">IF(Master_Mappings!N85="","",Master_Mappings!N85)</f>
        <v>5250</v>
      </c>
      <c r="B122" s="1" t="str">
        <f aca="false">IF($A122="","",Master_Mappings!O85)</f>
        <v>Non-recoverable Project Expense</v>
      </c>
      <c r="C122" s="1" t="str">
        <f aca="false">IF($A122="","",Master_Mappings!P85)</f>
        <v>Current P&amp;L</v>
      </c>
      <c r="D122" s="1" t="n">
        <f aca="false">IF($A122="","",IFERROR(VLOOKUP($C122,$P$41:$Q$53,2,FALSE()),0))</f>
        <v>0</v>
      </c>
      <c r="E122" s="122" t="n">
        <f aca="false">IF($A122="","",SUMIFS(Trial_Balance!$E$2:$E$995,Trial_Balance!$C$2:$C$995,$A122,Trial_Balance!$B$2:$B$995,$O$1,Trial_Balance!$A$2:$A$995,Controls!$B$7))</f>
        <v>112</v>
      </c>
      <c r="F122" s="122" t="n">
        <f aca="false">IF($A122="","",SUMIFS(Trial_Balance!$F$2:$F$995,Trial_Balance!$C$2:$C$995,$A122,Trial_Balance!$B$2:$B$995,$O$1,Trial_Balance!$A$2:$A$995,Controls!$B$7))</f>
        <v>0</v>
      </c>
      <c r="G122" s="122" t="n">
        <f aca="false">IF($A122="","",SUMIFS(Trial_Balance!$G$2:$G$995,Trial_Balance!$C$2:$C$995,$A122,Trial_Balance!$B$2:$B$995,$O$1,Trial_Balance!$A$2:$A$995,Controls!$B$7))</f>
        <v>0</v>
      </c>
      <c r="H122" s="122" t="n">
        <f aca="false">IF($A122="","",SUMIFS(Trial_Balance!$H$2:$H$995,Trial_Balance!$C$2:$C$995,$A122,Trial_Balance!$B$2:$B$995,$O$1,Trial_Balance!$A$2:$A$995,Controls!$B$7))</f>
        <v>85088.29</v>
      </c>
      <c r="I122" s="122" t="n">
        <f aca="false">IF($A122="","",$H122-$E122)</f>
        <v>84976.29</v>
      </c>
      <c r="J122" s="1" t="n">
        <f aca="false">IF($A122="",0,ABS($I122)+ROW()/1000000000)</f>
        <v>84976.290000122</v>
      </c>
      <c r="K122" s="1" t="n">
        <f aca="false">IF($A122="",0,IF(AND($H122&lt;&gt;0,ABS($H122-$E122)&lt;0.005,$F122=0,$G122=0,ISNA(MATCH($C122,{"Land and Building","Furniture, Fixtures and Equipment","Intangible Assets","Share Capital","Retained Reserves","Investments &gt; 3 months"},0))),1,0))</f>
        <v>0</v>
      </c>
      <c r="L122" s="1" t="n">
        <f aca="false">IF($A122="",0,IF($D122=0,0,IF($H122*$D122&lt;0,1,0)))</f>
        <v>0</v>
      </c>
      <c r="M122" s="123"/>
    </row>
    <row r="123" customFormat="false" ht="13.5" hidden="false" customHeight="false" outlineLevel="0" collapsed="false">
      <c r="A123" s="1" t="str">
        <f aca="false">IF(Master_Mappings!N86="","",Master_Mappings!N86)</f>
        <v>6000</v>
      </c>
      <c r="B123" s="1" t="str">
        <f aca="false">IF($A123="","",Master_Mappings!O86)</f>
        <v>Technical - Salaries</v>
      </c>
      <c r="C123" s="1" t="str">
        <f aca="false">IF($A123="","",Master_Mappings!P86)</f>
        <v>Current P&amp;L</v>
      </c>
      <c r="D123" s="1" t="n">
        <f aca="false">IF($A123="","",IFERROR(VLOOKUP($C123,$P$41:$Q$53,2,FALSE()),0))</f>
        <v>0</v>
      </c>
      <c r="E123" s="122" t="n">
        <f aca="false">IF($A123="","",SUMIFS(Trial_Balance!$E$2:$E$995,Trial_Balance!$C$2:$C$995,$A123,Trial_Balance!$B$2:$B$995,$O$1,Trial_Balance!$A$2:$A$995,Controls!$B$7))</f>
        <v>1318800.09</v>
      </c>
      <c r="F123" s="122" t="n">
        <f aca="false">IF($A123="","",SUMIFS(Trial_Balance!$F$2:$F$995,Trial_Balance!$C$2:$C$995,$A123,Trial_Balance!$B$2:$B$995,$O$1,Trial_Balance!$A$2:$A$995,Controls!$B$7))</f>
        <v>0</v>
      </c>
      <c r="G123" s="122" t="n">
        <f aca="false">IF($A123="","",SUMIFS(Trial_Balance!$G$2:$G$995,Trial_Balance!$C$2:$C$995,$A123,Trial_Balance!$B$2:$B$995,$O$1,Trial_Balance!$A$2:$A$995,Controls!$B$7))</f>
        <v>0</v>
      </c>
      <c r="H123" s="122" t="n">
        <f aca="false">IF($A123="","",SUMIFS(Trial_Balance!$H$2:$H$995,Trial_Balance!$C$2:$C$995,$A123,Trial_Balance!$B$2:$B$995,$O$1,Trial_Balance!$A$2:$A$995,Controls!$B$7))</f>
        <v>2684369.48</v>
      </c>
      <c r="I123" s="122" t="n">
        <f aca="false">IF($A123="","",$H123-$E123)</f>
        <v>1365569.39</v>
      </c>
      <c r="J123" s="1" t="n">
        <f aca="false">IF($A123="",0,ABS($I123)+ROW()/1000000000)</f>
        <v>1365569.39000012</v>
      </c>
      <c r="K123" s="1" t="n">
        <f aca="false">IF($A123="",0,IF(AND($H123&lt;&gt;0,ABS($H123-$E123)&lt;0.005,$F123=0,$G123=0,ISNA(MATCH($C123,{"Land and Building","Furniture, Fixtures and Equipment","Intangible Assets","Share Capital","Retained Reserves","Investments &gt; 3 months"},0))),1,0))</f>
        <v>0</v>
      </c>
      <c r="L123" s="1" t="n">
        <f aca="false">IF($A123="",0,IF($D123=0,0,IF($H123*$D123&lt;0,1,0)))</f>
        <v>0</v>
      </c>
      <c r="M123" s="123"/>
    </row>
    <row r="124" customFormat="false" ht="13.5" hidden="false" customHeight="false" outlineLevel="0" collapsed="false">
      <c r="A124" s="1" t="str">
        <f aca="false">IF(Master_Mappings!N87="","",Master_Mappings!N87)</f>
        <v>6010</v>
      </c>
      <c r="B124" s="1" t="str">
        <f aca="false">IF($A124="","",Master_Mappings!O87)</f>
        <v>Technical - Social taxes</v>
      </c>
      <c r="C124" s="1" t="str">
        <f aca="false">IF($A124="","",Master_Mappings!P87)</f>
        <v>Current P&amp;L</v>
      </c>
      <c r="D124" s="1" t="n">
        <f aca="false">IF($A124="","",IFERROR(VLOOKUP($C124,$P$41:$Q$53,2,FALSE()),0))</f>
        <v>0</v>
      </c>
      <c r="E124" s="122" t="n">
        <f aca="false">IF($A124="","",SUMIFS(Trial_Balance!$E$2:$E$995,Trial_Balance!$C$2:$C$995,$A124,Trial_Balance!$B$2:$B$995,$O$1,Trial_Balance!$A$2:$A$995,Controls!$B$7))</f>
        <v>171444</v>
      </c>
      <c r="F124" s="122" t="n">
        <f aca="false">IF($A124="","",SUMIFS(Trial_Balance!$F$2:$F$995,Trial_Balance!$C$2:$C$995,$A124,Trial_Balance!$B$2:$B$995,$O$1,Trial_Balance!$A$2:$A$995,Controls!$B$7))</f>
        <v>0</v>
      </c>
      <c r="G124" s="122" t="n">
        <f aca="false">IF($A124="","",SUMIFS(Trial_Balance!$G$2:$G$995,Trial_Balance!$C$2:$C$995,$A124,Trial_Balance!$B$2:$B$995,$O$1,Trial_Balance!$A$2:$A$995,Controls!$B$7))</f>
        <v>0</v>
      </c>
      <c r="H124" s="122" t="n">
        <f aca="false">IF($A124="","",SUMIFS(Trial_Balance!$H$2:$H$995,Trial_Balance!$C$2:$C$995,$A124,Trial_Balance!$B$2:$B$995,$O$1,Trial_Balance!$A$2:$A$995,Controls!$B$7))</f>
        <v>348968.01</v>
      </c>
      <c r="I124" s="122" t="n">
        <f aca="false">IF($A124="","",$H124-$E124)</f>
        <v>177524.01</v>
      </c>
      <c r="J124" s="1" t="n">
        <f aca="false">IF($A124="",0,ABS($I124)+ROW()/1000000000)</f>
        <v>177524.010000124</v>
      </c>
      <c r="K124" s="1" t="n">
        <f aca="false">IF($A124="",0,IF(AND($H124&lt;&gt;0,ABS($H124-$E124)&lt;0.005,$F124=0,$G124=0,ISNA(MATCH($C124,{"Land and Building","Furniture, Fixtures and Equipment","Intangible Assets","Share Capital","Retained Reserves","Investments &gt; 3 months"},0))),1,0))</f>
        <v>0</v>
      </c>
      <c r="L124" s="1" t="n">
        <f aca="false">IF($A124="",0,IF($D124=0,0,IF($H124*$D124&lt;0,1,0)))</f>
        <v>0</v>
      </c>
      <c r="M124" s="123"/>
    </row>
    <row r="125" customFormat="false" ht="13.5" hidden="false" customHeight="false" outlineLevel="0" collapsed="false">
      <c r="A125" s="1" t="str">
        <f aca="false">IF(Master_Mappings!N88="","",Master_Mappings!N88)</f>
        <v>6020</v>
      </c>
      <c r="B125" s="1" t="str">
        <f aca="false">IF($A125="","",Master_Mappings!O88)</f>
        <v>Technical - Pension</v>
      </c>
      <c r="C125" s="1" t="str">
        <f aca="false">IF($A125="","",Master_Mappings!P88)</f>
        <v>Current P&amp;L</v>
      </c>
      <c r="D125" s="1" t="n">
        <f aca="false">IF($A125="","",IFERROR(VLOOKUP($C125,$P$41:$Q$53,2,FALSE()),0))</f>
        <v>0</v>
      </c>
      <c r="E125" s="122" t="n">
        <f aca="false">IF($A125="","",SUMIFS(Trial_Balance!$E$2:$E$995,Trial_Balance!$C$2:$C$995,$A125,Trial_Balance!$B$2:$B$995,$O$1,Trial_Balance!$A$2:$A$995,Controls!$B$7))</f>
        <v>39564</v>
      </c>
      <c r="F125" s="122" t="n">
        <f aca="false">IF($A125="","",SUMIFS(Trial_Balance!$F$2:$F$995,Trial_Balance!$C$2:$C$995,$A125,Trial_Balance!$B$2:$B$995,$O$1,Trial_Balance!$A$2:$A$995,Controls!$B$7))</f>
        <v>0</v>
      </c>
      <c r="G125" s="122" t="n">
        <f aca="false">IF($A125="","",SUMIFS(Trial_Balance!$G$2:$G$995,Trial_Balance!$C$2:$C$995,$A125,Trial_Balance!$B$2:$B$995,$O$1,Trial_Balance!$A$2:$A$995,Controls!$B$7))</f>
        <v>0</v>
      </c>
      <c r="H125" s="122" t="n">
        <f aca="false">IF($A125="","",SUMIFS(Trial_Balance!$H$2:$H$995,Trial_Balance!$C$2:$C$995,$A125,Trial_Balance!$B$2:$B$995,$O$1,Trial_Balance!$A$2:$A$995,Controls!$B$7))</f>
        <v>80531.08</v>
      </c>
      <c r="I125" s="122" t="n">
        <f aca="false">IF($A125="","",$H125-$E125)</f>
        <v>40967.08</v>
      </c>
      <c r="J125" s="1" t="n">
        <f aca="false">IF($A125="",0,ABS($I125)+ROW()/1000000000)</f>
        <v>40967.080000125</v>
      </c>
      <c r="K125" s="1" t="n">
        <f aca="false">IF($A125="",0,IF(AND($H125&lt;&gt;0,ABS($H125-$E125)&lt;0.005,$F125=0,$G125=0,ISNA(MATCH($C125,{"Land and Building","Furniture, Fixtures and Equipment","Intangible Assets","Share Capital","Retained Reserves","Investments &gt; 3 months"},0))),1,0))</f>
        <v>0</v>
      </c>
      <c r="L125" s="1" t="n">
        <f aca="false">IF($A125="",0,IF($D125=0,0,IF($H125*$D125&lt;0,1,0)))</f>
        <v>0</v>
      </c>
      <c r="M125" s="123"/>
    </row>
    <row r="126" customFormat="false" ht="13.5" hidden="false" customHeight="false" outlineLevel="0" collapsed="false">
      <c r="A126" s="1" t="str">
        <f aca="false">IF(Master_Mappings!N89="","",Master_Mappings!N89)</f>
        <v>6030</v>
      </c>
      <c r="B126" s="1" t="str">
        <f aca="false">IF($A126="","",Master_Mappings!O89)</f>
        <v>Technical - Health and Medical</v>
      </c>
      <c r="C126" s="1" t="str">
        <f aca="false">IF($A126="","",Master_Mappings!P89)</f>
        <v>Current P&amp;L</v>
      </c>
      <c r="D126" s="1" t="n">
        <f aca="false">IF($A126="","",IFERROR(VLOOKUP($C126,$P$41:$Q$53,2,FALSE()),0))</f>
        <v>0</v>
      </c>
      <c r="E126" s="122" t="n">
        <f aca="false">IF($A126="","",SUMIFS(Trial_Balance!$E$2:$E$995,Trial_Balance!$C$2:$C$995,$A126,Trial_Balance!$B$2:$B$995,$O$1,Trial_Balance!$A$2:$A$995,Controls!$B$7))</f>
        <v>57699.99</v>
      </c>
      <c r="F126" s="122" t="n">
        <f aca="false">IF($A126="","",SUMIFS(Trial_Balance!$F$2:$F$995,Trial_Balance!$C$2:$C$995,$A126,Trial_Balance!$B$2:$B$995,$O$1,Trial_Balance!$A$2:$A$995,Controls!$B$7))</f>
        <v>0</v>
      </c>
      <c r="G126" s="122" t="n">
        <f aca="false">IF($A126="","",SUMIFS(Trial_Balance!$G$2:$G$995,Trial_Balance!$C$2:$C$995,$A126,Trial_Balance!$B$2:$B$995,$O$1,Trial_Balance!$A$2:$A$995,Controls!$B$7))</f>
        <v>0</v>
      </c>
      <c r="H126" s="122" t="n">
        <f aca="false">IF($A126="","",SUMIFS(Trial_Balance!$H$2:$H$995,Trial_Balance!$C$2:$C$995,$A126,Trial_Balance!$B$2:$B$995,$O$1,Trial_Balance!$A$2:$A$995,Controls!$B$7))</f>
        <v>115399.98</v>
      </c>
      <c r="I126" s="122" t="n">
        <f aca="false">IF($A126="","",$H126-$E126)</f>
        <v>57699.99</v>
      </c>
      <c r="J126" s="1" t="n">
        <f aca="false">IF($A126="",0,ABS($I126)+ROW()/1000000000)</f>
        <v>57699.990000126</v>
      </c>
      <c r="K126" s="1" t="n">
        <f aca="false">IF($A126="",0,IF(AND($H126&lt;&gt;0,ABS($H126-$E126)&lt;0.005,$F126=0,$G126=0,ISNA(MATCH($C126,{"Land and Building","Furniture, Fixtures and Equipment","Intangible Assets","Share Capital","Retained Reserves","Investments &gt; 3 months"},0))),1,0))</f>
        <v>0</v>
      </c>
      <c r="L126" s="1" t="n">
        <f aca="false">IF($A126="",0,IF($D126=0,0,IF($H126*$D126&lt;0,1,0)))</f>
        <v>0</v>
      </c>
      <c r="M126" s="123"/>
    </row>
    <row r="127" customFormat="false" ht="13.5" hidden="false" customHeight="false" outlineLevel="0" collapsed="false">
      <c r="A127" s="1" t="str">
        <f aca="false">IF(Master_Mappings!N90="","",Master_Mappings!N90)</f>
        <v>6050</v>
      </c>
      <c r="B127" s="1" t="str">
        <f aca="false">IF($A127="","",Master_Mappings!O90)</f>
        <v>Recruitment Expenses</v>
      </c>
      <c r="C127" s="1" t="str">
        <f aca="false">IF($A127="","",Master_Mappings!P90)</f>
        <v>Current P&amp;L</v>
      </c>
      <c r="D127" s="1" t="n">
        <f aca="false">IF($A127="","",IFERROR(VLOOKUP($C127,$P$41:$Q$53,2,FALSE()),0))</f>
        <v>0</v>
      </c>
      <c r="E127" s="122" t="n">
        <f aca="false">IF($A127="","",SUMIFS(Trial_Balance!$E$2:$E$995,Trial_Balance!$C$2:$C$995,$A127,Trial_Balance!$B$2:$B$995,$O$1,Trial_Balance!$A$2:$A$995,Controls!$B$7))</f>
        <v>380</v>
      </c>
      <c r="F127" s="122" t="n">
        <f aca="false">IF($A127="","",SUMIFS(Trial_Balance!$F$2:$F$995,Trial_Balance!$C$2:$C$995,$A127,Trial_Balance!$B$2:$B$995,$O$1,Trial_Balance!$A$2:$A$995,Controls!$B$7))</f>
        <v>0</v>
      </c>
      <c r="G127" s="122" t="n">
        <f aca="false">IF($A127="","",SUMIFS(Trial_Balance!$G$2:$G$995,Trial_Balance!$C$2:$C$995,$A127,Trial_Balance!$B$2:$B$995,$O$1,Trial_Balance!$A$2:$A$995,Controls!$B$7))</f>
        <v>0</v>
      </c>
      <c r="H127" s="122" t="n">
        <f aca="false">IF($A127="","",SUMIFS(Trial_Balance!$H$2:$H$995,Trial_Balance!$C$2:$C$995,$A127,Trial_Balance!$B$2:$B$995,$O$1,Trial_Balance!$A$2:$A$995,Controls!$B$7))</f>
        <v>380</v>
      </c>
      <c r="I127" s="122" t="n">
        <f aca="false">IF($A127="","",$H127-$E127)</f>
        <v>0</v>
      </c>
      <c r="J127" s="1" t="n">
        <f aca="false">IF($A127="",0,ABS($I127)+ROW()/1000000000)</f>
        <v>1.27E-007</v>
      </c>
      <c r="K127" s="1" t="n">
        <f aca="false">IF($A127="",0,IF(AND($H127&lt;&gt;0,ABS($H127-$E127)&lt;0.005,$F127=0,$G127=0,ISNA(MATCH($C127,{"Land and Building","Furniture, Fixtures and Equipment","Intangible Assets","Share Capital","Retained Reserves","Investments &gt; 3 months"},0))),1,0))</f>
        <v>1</v>
      </c>
      <c r="L127" s="1" t="n">
        <f aca="false">IF($A127="",0,IF($D127=0,0,IF($H127*$D127&lt;0,1,0)))</f>
        <v>0</v>
      </c>
      <c r="M127" s="123"/>
    </row>
    <row r="128" customFormat="false" ht="13.5" hidden="false" customHeight="false" outlineLevel="0" collapsed="false">
      <c r="A128" s="1" t="str">
        <f aca="false">IF(Master_Mappings!N91="","",Master_Mappings!N91)</f>
        <v>7000</v>
      </c>
      <c r="B128" s="1" t="str">
        <f aca="false">IF($A128="","",Master_Mappings!O91)</f>
        <v>Support - Salaries</v>
      </c>
      <c r="C128" s="1" t="str">
        <f aca="false">IF($A128="","",Master_Mappings!P91)</f>
        <v>Current P&amp;L</v>
      </c>
      <c r="D128" s="1" t="n">
        <f aca="false">IF($A128="","",IFERROR(VLOOKUP($C128,$P$41:$Q$53,2,FALSE()),0))</f>
        <v>0</v>
      </c>
      <c r="E128" s="122" t="n">
        <f aca="false">IF($A128="","",SUMIFS(Trial_Balance!$E$2:$E$995,Trial_Balance!$C$2:$C$995,$A128,Trial_Balance!$B$2:$B$995,$O$1,Trial_Balance!$A$2:$A$995,Controls!$B$7))</f>
        <v>537714.27</v>
      </c>
      <c r="F128" s="122" t="n">
        <f aca="false">IF($A128="","",SUMIFS(Trial_Balance!$F$2:$F$995,Trial_Balance!$C$2:$C$995,$A128,Trial_Balance!$B$2:$B$995,$O$1,Trial_Balance!$A$2:$A$995,Controls!$B$7))</f>
        <v>0</v>
      </c>
      <c r="G128" s="122" t="n">
        <f aca="false">IF($A128="","",SUMIFS(Trial_Balance!$G$2:$G$995,Trial_Balance!$C$2:$C$995,$A128,Trial_Balance!$B$2:$B$995,$O$1,Trial_Balance!$A$2:$A$995,Controls!$B$7))</f>
        <v>0</v>
      </c>
      <c r="H128" s="122" t="n">
        <f aca="false">IF($A128="","",SUMIFS(Trial_Balance!$H$2:$H$995,Trial_Balance!$C$2:$C$995,$A128,Trial_Balance!$B$2:$B$995,$O$1,Trial_Balance!$A$2:$A$995,Controls!$B$7))</f>
        <v>1075428.54</v>
      </c>
      <c r="I128" s="122" t="n">
        <f aca="false">IF($A128="","",$H128-$E128)</f>
        <v>537714.27</v>
      </c>
      <c r="J128" s="1" t="n">
        <f aca="false">IF($A128="",0,ABS($I128)+ROW()/1000000000)</f>
        <v>537714.270000128</v>
      </c>
      <c r="K128" s="1" t="n">
        <f aca="false">IF($A128="",0,IF(AND($H128&lt;&gt;0,ABS($H128-$E128)&lt;0.005,$F128=0,$G128=0,ISNA(MATCH($C128,{"Land and Building","Furniture, Fixtures and Equipment","Intangible Assets","Share Capital","Retained Reserves","Investments &gt; 3 months"},0))),1,0))</f>
        <v>0</v>
      </c>
      <c r="L128" s="1" t="n">
        <f aca="false">IF($A128="",0,IF($D128=0,0,IF($H128*$D128&lt;0,1,0)))</f>
        <v>0</v>
      </c>
      <c r="M128" s="123"/>
    </row>
    <row r="129" customFormat="false" ht="13.5" hidden="false" customHeight="false" outlineLevel="0" collapsed="false">
      <c r="A129" s="1" t="str">
        <f aca="false">IF(Master_Mappings!N92="","",Master_Mappings!N92)</f>
        <v>7010</v>
      </c>
      <c r="B129" s="1" t="str">
        <f aca="false">IF($A129="","",Master_Mappings!O92)</f>
        <v>Support - Social taxes</v>
      </c>
      <c r="C129" s="1" t="str">
        <f aca="false">IF($A129="","",Master_Mappings!P92)</f>
        <v>Current P&amp;L</v>
      </c>
      <c r="D129" s="1" t="n">
        <f aca="false">IF($A129="","",IFERROR(VLOOKUP($C129,$P$41:$Q$53,2,FALSE()),0))</f>
        <v>0</v>
      </c>
      <c r="E129" s="122" t="n">
        <f aca="false">IF($A129="","",SUMIFS(Trial_Balance!$E$2:$E$995,Trial_Balance!$C$2:$C$995,$A129,Trial_Balance!$B$2:$B$995,$O$1,Trial_Balance!$A$2:$A$995,Controls!$B$7))</f>
        <v>69902.85</v>
      </c>
      <c r="F129" s="122" t="n">
        <f aca="false">IF($A129="","",SUMIFS(Trial_Balance!$F$2:$F$995,Trial_Balance!$C$2:$C$995,$A129,Trial_Balance!$B$2:$B$995,$O$1,Trial_Balance!$A$2:$A$995,Controls!$B$7))</f>
        <v>0</v>
      </c>
      <c r="G129" s="122" t="n">
        <f aca="false">IF($A129="","",SUMIFS(Trial_Balance!$G$2:$G$995,Trial_Balance!$C$2:$C$995,$A129,Trial_Balance!$B$2:$B$995,$O$1,Trial_Balance!$A$2:$A$995,Controls!$B$7))</f>
        <v>0</v>
      </c>
      <c r="H129" s="122" t="n">
        <f aca="false">IF($A129="","",SUMIFS(Trial_Balance!$H$2:$H$995,Trial_Balance!$C$2:$C$995,$A129,Trial_Balance!$B$2:$B$995,$O$1,Trial_Balance!$A$2:$A$995,Controls!$B$7))</f>
        <v>139805.7</v>
      </c>
      <c r="I129" s="122" t="n">
        <f aca="false">IF($A129="","",$H129-$E129)</f>
        <v>69902.85</v>
      </c>
      <c r="J129" s="1" t="n">
        <f aca="false">IF($A129="",0,ABS($I129)+ROW()/1000000000)</f>
        <v>69902.850000129</v>
      </c>
      <c r="K129" s="1" t="n">
        <f aca="false">IF($A129="",0,IF(AND($H129&lt;&gt;0,ABS($H129-$E129)&lt;0.005,$F129=0,$G129=0,ISNA(MATCH($C129,{"Land and Building","Furniture, Fixtures and Equipment","Intangible Assets","Share Capital","Retained Reserves","Investments &gt; 3 months"},0))),1,0))</f>
        <v>0</v>
      </c>
      <c r="L129" s="1" t="n">
        <f aca="false">IF($A129="",0,IF($D129=0,0,IF($H129*$D129&lt;0,1,0)))</f>
        <v>0</v>
      </c>
      <c r="M129" s="123"/>
    </row>
    <row r="130" customFormat="false" ht="13.5" hidden="false" customHeight="false" outlineLevel="0" collapsed="false">
      <c r="A130" s="1" t="str">
        <f aca="false">IF(Master_Mappings!N93="","",Master_Mappings!N93)</f>
        <v>7020</v>
      </c>
      <c r="B130" s="1" t="str">
        <f aca="false">IF($A130="","",Master_Mappings!O93)</f>
        <v>Support - Pension</v>
      </c>
      <c r="C130" s="1" t="str">
        <f aca="false">IF($A130="","",Master_Mappings!P93)</f>
        <v>Current P&amp;L</v>
      </c>
      <c r="D130" s="1" t="n">
        <f aca="false">IF($A130="","",IFERROR(VLOOKUP($C130,$P$41:$Q$53,2,FALSE()),0))</f>
        <v>0</v>
      </c>
      <c r="E130" s="122" t="n">
        <f aca="false">IF($A130="","",SUMIFS(Trial_Balance!$E$2:$E$995,Trial_Balance!$C$2:$C$995,$A130,Trial_Balance!$B$2:$B$995,$O$1,Trial_Balance!$A$2:$A$995,Controls!$B$7))</f>
        <v>16131.42</v>
      </c>
      <c r="F130" s="122" t="n">
        <f aca="false">IF($A130="","",SUMIFS(Trial_Balance!$F$2:$F$995,Trial_Balance!$C$2:$C$995,$A130,Trial_Balance!$B$2:$B$995,$O$1,Trial_Balance!$A$2:$A$995,Controls!$B$7))</f>
        <v>0</v>
      </c>
      <c r="G130" s="122" t="n">
        <f aca="false">IF($A130="","",SUMIFS(Trial_Balance!$G$2:$G$995,Trial_Balance!$C$2:$C$995,$A130,Trial_Balance!$B$2:$B$995,$O$1,Trial_Balance!$A$2:$A$995,Controls!$B$7))</f>
        <v>0</v>
      </c>
      <c r="H130" s="122" t="n">
        <f aca="false">IF($A130="","",SUMIFS(Trial_Balance!$H$2:$H$995,Trial_Balance!$C$2:$C$995,$A130,Trial_Balance!$B$2:$B$995,$O$1,Trial_Balance!$A$2:$A$995,Controls!$B$7))</f>
        <v>32262.84</v>
      </c>
      <c r="I130" s="122" t="n">
        <f aca="false">IF($A130="","",$H130-$E130)</f>
        <v>16131.42</v>
      </c>
      <c r="J130" s="1" t="n">
        <f aca="false">IF($A130="",0,ABS($I130)+ROW()/1000000000)</f>
        <v>16131.42000013</v>
      </c>
      <c r="K130" s="1" t="n">
        <f aca="false">IF($A130="",0,IF(AND($H130&lt;&gt;0,ABS($H130-$E130)&lt;0.005,$F130=0,$G130=0,ISNA(MATCH($C130,{"Land and Building","Furniture, Fixtures and Equipment","Intangible Assets","Share Capital","Retained Reserves","Investments &gt; 3 months"},0))),1,0))</f>
        <v>0</v>
      </c>
      <c r="L130" s="1" t="n">
        <f aca="false">IF($A130="",0,IF($D130=0,0,IF($H130*$D130&lt;0,1,0)))</f>
        <v>0</v>
      </c>
      <c r="M130" s="123"/>
    </row>
    <row r="131" customFormat="false" ht="13.5" hidden="false" customHeight="false" outlineLevel="0" collapsed="false">
      <c r="A131" s="1" t="str">
        <f aca="false">IF(Master_Mappings!N94="","",Master_Mappings!N94)</f>
        <v>7030</v>
      </c>
      <c r="B131" s="1" t="str">
        <f aca="false">IF($A131="","",Master_Mappings!O94)</f>
        <v>Support - Health and Medical</v>
      </c>
      <c r="C131" s="1" t="str">
        <f aca="false">IF($A131="","",Master_Mappings!P94)</f>
        <v>Current P&amp;L</v>
      </c>
      <c r="D131" s="1" t="n">
        <f aca="false">IF($A131="","",IFERROR(VLOOKUP($C131,$P$41:$Q$53,2,FALSE()),0))</f>
        <v>0</v>
      </c>
      <c r="E131" s="122" t="n">
        <f aca="false">IF($A131="","",SUMIFS(Trial_Balance!$E$2:$E$995,Trial_Balance!$C$2:$C$995,$A131,Trial_Balance!$B$2:$B$995,$O$1,Trial_Balance!$A$2:$A$995,Controls!$B$7))</f>
        <v>19200</v>
      </c>
      <c r="F131" s="122" t="n">
        <f aca="false">IF($A131="","",SUMIFS(Trial_Balance!$F$2:$F$995,Trial_Balance!$C$2:$C$995,$A131,Trial_Balance!$B$2:$B$995,$O$1,Trial_Balance!$A$2:$A$995,Controls!$B$7))</f>
        <v>0</v>
      </c>
      <c r="G131" s="122" t="n">
        <f aca="false">IF($A131="","",SUMIFS(Trial_Balance!$G$2:$G$995,Trial_Balance!$C$2:$C$995,$A131,Trial_Balance!$B$2:$B$995,$O$1,Trial_Balance!$A$2:$A$995,Controls!$B$7))</f>
        <v>0</v>
      </c>
      <c r="H131" s="122" t="n">
        <f aca="false">IF($A131="","",SUMIFS(Trial_Balance!$H$2:$H$995,Trial_Balance!$C$2:$C$995,$A131,Trial_Balance!$B$2:$B$995,$O$1,Trial_Balance!$A$2:$A$995,Controls!$B$7))</f>
        <v>40126.57</v>
      </c>
      <c r="I131" s="122" t="n">
        <f aca="false">IF($A131="","",$H131-$E131)</f>
        <v>20926.57</v>
      </c>
      <c r="J131" s="1" t="n">
        <f aca="false">IF($A131="",0,ABS($I131)+ROW()/1000000000)</f>
        <v>20926.570000131</v>
      </c>
      <c r="K131" s="1" t="n">
        <f aca="false">IF($A131="",0,IF(AND($H131&lt;&gt;0,ABS($H131-$E131)&lt;0.005,$F131=0,$G131=0,ISNA(MATCH($C131,{"Land and Building","Furniture, Fixtures and Equipment","Intangible Assets","Share Capital","Retained Reserves","Investments &gt; 3 months"},0))),1,0))</f>
        <v>0</v>
      </c>
      <c r="L131" s="1" t="n">
        <f aca="false">IF($A131="",0,IF($D131=0,0,IF($H131*$D131&lt;0,1,0)))</f>
        <v>0</v>
      </c>
      <c r="M131" s="123"/>
    </row>
    <row r="132" customFormat="false" ht="13.5" hidden="false" customHeight="false" outlineLevel="0" collapsed="false">
      <c r="A132" s="1" t="str">
        <f aca="false">IF(Master_Mappings!N95="","",Master_Mappings!N95)</f>
        <v>7050</v>
      </c>
      <c r="B132" s="1" t="str">
        <f aca="false">IF($A132="","",Master_Mappings!O95)</f>
        <v>Support - Recruitment costs</v>
      </c>
      <c r="C132" s="1" t="str">
        <f aca="false">IF($A132="","",Master_Mappings!P95)</f>
        <v>Current P&amp;L</v>
      </c>
      <c r="D132" s="1" t="n">
        <f aca="false">IF($A132="","",IFERROR(VLOOKUP($C132,$P$41:$Q$53,2,FALSE()),0))</f>
        <v>0</v>
      </c>
      <c r="E132" s="122" t="n">
        <f aca="false">IF($A132="","",SUMIFS(Trial_Balance!$E$2:$E$995,Trial_Balance!$C$2:$C$995,$A132,Trial_Balance!$B$2:$B$995,$O$1,Trial_Balance!$A$2:$A$995,Controls!$B$7))</f>
        <v>0</v>
      </c>
      <c r="F132" s="122" t="n">
        <f aca="false">IF($A132="","",SUMIFS(Trial_Balance!$F$2:$F$995,Trial_Balance!$C$2:$C$995,$A132,Trial_Balance!$B$2:$B$995,$O$1,Trial_Balance!$A$2:$A$995,Controls!$B$7))</f>
        <v>0</v>
      </c>
      <c r="G132" s="122" t="n">
        <f aca="false">IF($A132="","",SUMIFS(Trial_Balance!$G$2:$G$995,Trial_Balance!$C$2:$C$995,$A132,Trial_Balance!$B$2:$B$995,$O$1,Trial_Balance!$A$2:$A$995,Controls!$B$7))</f>
        <v>0</v>
      </c>
      <c r="H132" s="122" t="n">
        <f aca="false">IF($A132="","",SUMIFS(Trial_Balance!$H$2:$H$995,Trial_Balance!$C$2:$C$995,$A132,Trial_Balance!$B$2:$B$995,$O$1,Trial_Balance!$A$2:$A$995,Controls!$B$7))</f>
        <v>0</v>
      </c>
      <c r="I132" s="122" t="n">
        <f aca="false">IF($A132="","",$H132-$E132)</f>
        <v>0</v>
      </c>
      <c r="J132" s="1" t="n">
        <f aca="false">IF($A132="",0,ABS($I132)+ROW()/1000000000)</f>
        <v>1.32E-007</v>
      </c>
      <c r="K132" s="1" t="n">
        <f aca="false">IF($A132="",0,IF(AND($H132&lt;&gt;0,ABS($H132-$E132)&lt;0.005,$F132=0,$G132=0,ISNA(MATCH($C132,{"Land and Building","Furniture, Fixtures and Equipment","Intangible Assets","Share Capital","Retained Reserves","Investments &gt; 3 months"},0))),1,0))</f>
        <v>0</v>
      </c>
      <c r="L132" s="1" t="n">
        <f aca="false">IF($A132="",0,IF($D132=0,0,IF($H132*$D132&lt;0,1,0)))</f>
        <v>0</v>
      </c>
      <c r="M132" s="123"/>
    </row>
    <row r="133" customFormat="false" ht="13.5" hidden="false" customHeight="false" outlineLevel="0" collapsed="false">
      <c r="A133" s="1" t="str">
        <f aca="false">IF(Master_Mappings!N96="","",Master_Mappings!N96)</f>
        <v>7100</v>
      </c>
      <c r="B133" s="1" t="str">
        <f aca="false">IF($A133="","",Master_Mappings!O96)</f>
        <v>Staff Welfare</v>
      </c>
      <c r="C133" s="1" t="str">
        <f aca="false">IF($A133="","",Master_Mappings!P96)</f>
        <v>Current P&amp;L</v>
      </c>
      <c r="D133" s="1" t="n">
        <f aca="false">IF($A133="","",IFERROR(VLOOKUP($C133,$P$41:$Q$53,2,FALSE()),0))</f>
        <v>0</v>
      </c>
      <c r="E133" s="122" t="n">
        <f aca="false">IF($A133="","",SUMIFS(Trial_Balance!$E$2:$E$995,Trial_Balance!$C$2:$C$995,$A133,Trial_Balance!$B$2:$B$995,$O$1,Trial_Balance!$A$2:$A$995,Controls!$B$7))</f>
        <v>43827</v>
      </c>
      <c r="F133" s="122" t="n">
        <f aca="false">IF($A133="","",SUMIFS(Trial_Balance!$F$2:$F$995,Trial_Balance!$C$2:$C$995,$A133,Trial_Balance!$B$2:$B$995,$O$1,Trial_Balance!$A$2:$A$995,Controls!$B$7))</f>
        <v>0</v>
      </c>
      <c r="G133" s="122" t="n">
        <f aca="false">IF($A133="","",SUMIFS(Trial_Balance!$G$2:$G$995,Trial_Balance!$C$2:$C$995,$A133,Trial_Balance!$B$2:$B$995,$O$1,Trial_Balance!$A$2:$A$995,Controls!$B$7))</f>
        <v>0</v>
      </c>
      <c r="H133" s="122" t="n">
        <f aca="false">IF($A133="","",SUMIFS(Trial_Balance!$H$2:$H$995,Trial_Balance!$C$2:$C$995,$A133,Trial_Balance!$B$2:$B$995,$O$1,Trial_Balance!$A$2:$A$995,Controls!$B$7))</f>
        <v>78030</v>
      </c>
      <c r="I133" s="122" t="n">
        <f aca="false">IF($A133="","",$H133-$E133)</f>
        <v>34203</v>
      </c>
      <c r="J133" s="1" t="n">
        <f aca="false">IF($A133="",0,ABS($I133)+ROW()/1000000000)</f>
        <v>34203.000000133</v>
      </c>
      <c r="K133" s="1" t="n">
        <f aca="false">IF($A133="",0,IF(AND($H133&lt;&gt;0,ABS($H133-$E133)&lt;0.005,$F133=0,$G133=0,ISNA(MATCH($C133,{"Land and Building","Furniture, Fixtures and Equipment","Intangible Assets","Share Capital","Retained Reserves","Investments &gt; 3 months"},0))),1,0))</f>
        <v>0</v>
      </c>
      <c r="L133" s="1" t="n">
        <f aca="false">IF($A133="",0,IF($D133=0,0,IF($H133*$D133&lt;0,1,0)))</f>
        <v>0</v>
      </c>
      <c r="M133" s="123"/>
    </row>
    <row r="134" customFormat="false" ht="13.5" hidden="false" customHeight="false" outlineLevel="0" collapsed="false">
      <c r="A134" s="1" t="str">
        <f aca="false">IF(Master_Mappings!N97="","",Master_Mappings!N97)</f>
        <v>7119</v>
      </c>
      <c r="B134" s="1" t="str">
        <f aca="false">IF($A134="","",Master_Mappings!O97)</f>
        <v>Staff Training: Training courses - Group Purchase</v>
      </c>
      <c r="C134" s="1" t="str">
        <f aca="false">IF($A134="","",Master_Mappings!P97)</f>
        <v>Current P&amp;L</v>
      </c>
      <c r="D134" s="1" t="n">
        <f aca="false">IF($A134="","",IFERROR(VLOOKUP($C134,$P$41:$Q$53,2,FALSE()),0))</f>
        <v>0</v>
      </c>
      <c r="E134" s="122" t="n">
        <f aca="false">IF($A134="","",SUMIFS(Trial_Balance!$E$2:$E$995,Trial_Balance!$C$2:$C$995,$A134,Trial_Balance!$B$2:$B$995,$O$1,Trial_Balance!$A$2:$A$995,Controls!$B$7))</f>
        <v>0</v>
      </c>
      <c r="F134" s="122" t="n">
        <f aca="false">IF($A134="","",SUMIFS(Trial_Balance!$F$2:$F$995,Trial_Balance!$C$2:$C$995,$A134,Trial_Balance!$B$2:$B$995,$O$1,Trial_Balance!$A$2:$A$995,Controls!$B$7))</f>
        <v>0</v>
      </c>
      <c r="G134" s="122" t="n">
        <f aca="false">IF($A134="","",SUMIFS(Trial_Balance!$G$2:$G$995,Trial_Balance!$C$2:$C$995,$A134,Trial_Balance!$B$2:$B$995,$O$1,Trial_Balance!$A$2:$A$995,Controls!$B$7))</f>
        <v>0</v>
      </c>
      <c r="H134" s="122" t="n">
        <f aca="false">IF($A134="","",SUMIFS(Trial_Balance!$H$2:$H$995,Trial_Balance!$C$2:$C$995,$A134,Trial_Balance!$B$2:$B$995,$O$1,Trial_Balance!$A$2:$A$995,Controls!$B$7))</f>
        <v>0</v>
      </c>
      <c r="I134" s="122" t="n">
        <f aca="false">IF($A134="","",$H134-$E134)</f>
        <v>0</v>
      </c>
      <c r="J134" s="1" t="n">
        <f aca="false">IF($A134="",0,ABS($I134)+ROW()/1000000000)</f>
        <v>1.34E-007</v>
      </c>
      <c r="K134" s="1" t="n">
        <f aca="false">IF($A134="",0,IF(AND($H134&lt;&gt;0,ABS($H134-$E134)&lt;0.005,$F134=0,$G134=0,ISNA(MATCH($C134,{"Land and Building","Furniture, Fixtures and Equipment","Intangible Assets","Share Capital","Retained Reserves","Investments &gt; 3 months"},0))),1,0))</f>
        <v>0</v>
      </c>
      <c r="L134" s="1" t="n">
        <f aca="false">IF($A134="",0,IF($D134=0,0,IF($H134*$D134&lt;0,1,0)))</f>
        <v>0</v>
      </c>
      <c r="M134" s="123"/>
    </row>
    <row r="135" customFormat="false" ht="13.5" hidden="false" customHeight="false" outlineLevel="0" collapsed="false">
      <c r="A135" s="1" t="str">
        <f aca="false">IF(Master_Mappings!N98="","",Master_Mappings!N98)</f>
        <v>7120</v>
      </c>
      <c r="B135" s="1" t="str">
        <f aca="false">IF($A135="","",Master_Mappings!O98)</f>
        <v>Staff Training: Training courses</v>
      </c>
      <c r="C135" s="1" t="str">
        <f aca="false">IF($A135="","",Master_Mappings!P98)</f>
        <v>Current P&amp;L</v>
      </c>
      <c r="D135" s="1" t="n">
        <f aca="false">IF($A135="","",IFERROR(VLOOKUP($C135,$P$41:$Q$53,2,FALSE()),0))</f>
        <v>0</v>
      </c>
      <c r="E135" s="122" t="n">
        <f aca="false">IF($A135="","",SUMIFS(Trial_Balance!$E$2:$E$995,Trial_Balance!$C$2:$C$995,$A135,Trial_Balance!$B$2:$B$995,$O$1,Trial_Balance!$A$2:$A$995,Controls!$B$7))</f>
        <v>0</v>
      </c>
      <c r="F135" s="122" t="n">
        <f aca="false">IF($A135="","",SUMIFS(Trial_Balance!$F$2:$F$995,Trial_Balance!$C$2:$C$995,$A135,Trial_Balance!$B$2:$B$995,$O$1,Trial_Balance!$A$2:$A$995,Controls!$B$7))</f>
        <v>0</v>
      </c>
      <c r="G135" s="122" t="n">
        <f aca="false">IF($A135="","",SUMIFS(Trial_Balance!$G$2:$G$995,Trial_Balance!$C$2:$C$995,$A135,Trial_Balance!$B$2:$B$995,$O$1,Trial_Balance!$A$2:$A$995,Controls!$B$7))</f>
        <v>0</v>
      </c>
      <c r="H135" s="122" t="n">
        <f aca="false">IF($A135="","",SUMIFS(Trial_Balance!$H$2:$H$995,Trial_Balance!$C$2:$C$995,$A135,Trial_Balance!$B$2:$B$995,$O$1,Trial_Balance!$A$2:$A$995,Controls!$B$7))</f>
        <v>101889.31</v>
      </c>
      <c r="I135" s="122" t="n">
        <f aca="false">IF($A135="","",$H135-$E135)</f>
        <v>101889.31</v>
      </c>
      <c r="J135" s="1" t="n">
        <f aca="false">IF($A135="",0,ABS($I135)+ROW()/1000000000)</f>
        <v>101889.310000135</v>
      </c>
      <c r="K135" s="1" t="n">
        <f aca="false">IF($A135="",0,IF(AND($H135&lt;&gt;0,ABS($H135-$E135)&lt;0.005,$F135=0,$G135=0,ISNA(MATCH($C135,{"Land and Building","Furniture, Fixtures and Equipment","Intangible Assets","Share Capital","Retained Reserves","Investments &gt; 3 months"},0))),1,0))</f>
        <v>0</v>
      </c>
      <c r="L135" s="1" t="n">
        <f aca="false">IF($A135="",0,IF($D135=0,0,IF($H135*$D135&lt;0,1,0)))</f>
        <v>0</v>
      </c>
      <c r="M135" s="123"/>
    </row>
    <row r="136" customFormat="false" ht="13.5" hidden="false" customHeight="false" outlineLevel="0" collapsed="false">
      <c r="A136" s="1" t="str">
        <f aca="false">IF(Master_Mappings!N99="","",Master_Mappings!N99)</f>
        <v>7123</v>
      </c>
      <c r="B136" s="1" t="str">
        <f aca="false">IF($A136="","",Master_Mappings!O99)</f>
        <v>Staff Training: Exchange Week - Tech</v>
      </c>
      <c r="C136" s="1" t="str">
        <f aca="false">IF($A136="","",Master_Mappings!P99)</f>
        <v>Current P&amp;L</v>
      </c>
      <c r="D136" s="1" t="n">
        <f aca="false">IF($A136="","",IFERROR(VLOOKUP($C136,$P$41:$Q$53,2,FALSE()),0))</f>
        <v>0</v>
      </c>
      <c r="E136" s="122" t="n">
        <f aca="false">IF($A136="","",SUMIFS(Trial_Balance!$E$2:$E$995,Trial_Balance!$C$2:$C$995,$A136,Trial_Balance!$B$2:$B$995,$O$1,Trial_Balance!$A$2:$A$995,Controls!$B$7))</f>
        <v>2220</v>
      </c>
      <c r="F136" s="122" t="n">
        <f aca="false">IF($A136="","",SUMIFS(Trial_Balance!$F$2:$F$995,Trial_Balance!$C$2:$C$995,$A136,Trial_Balance!$B$2:$B$995,$O$1,Trial_Balance!$A$2:$A$995,Controls!$B$7))</f>
        <v>0</v>
      </c>
      <c r="G136" s="122" t="n">
        <f aca="false">IF($A136="","",SUMIFS(Trial_Balance!$G$2:$G$995,Trial_Balance!$C$2:$C$995,$A136,Trial_Balance!$B$2:$B$995,$O$1,Trial_Balance!$A$2:$A$995,Controls!$B$7))</f>
        <v>0</v>
      </c>
      <c r="H136" s="122" t="n">
        <f aca="false">IF($A136="","",SUMIFS(Trial_Balance!$H$2:$H$995,Trial_Balance!$C$2:$C$995,$A136,Trial_Balance!$B$2:$B$995,$O$1,Trial_Balance!$A$2:$A$995,Controls!$B$7))</f>
        <v>75366.78</v>
      </c>
      <c r="I136" s="122" t="n">
        <f aca="false">IF($A136="","",$H136-$E136)</f>
        <v>73146.78</v>
      </c>
      <c r="J136" s="1" t="n">
        <f aca="false">IF($A136="",0,ABS($I136)+ROW()/1000000000)</f>
        <v>73146.780000136</v>
      </c>
      <c r="K136" s="1" t="n">
        <f aca="false">IF($A136="",0,IF(AND($H136&lt;&gt;0,ABS($H136-$E136)&lt;0.005,$F136=0,$G136=0,ISNA(MATCH($C136,{"Land and Building","Furniture, Fixtures and Equipment","Intangible Assets","Share Capital","Retained Reserves","Investments &gt; 3 months"},0))),1,0))</f>
        <v>0</v>
      </c>
      <c r="L136" s="1" t="n">
        <f aca="false">IF($A136="",0,IF($D136=0,0,IF($H136*$D136&lt;0,1,0)))</f>
        <v>0</v>
      </c>
      <c r="M136" s="123"/>
    </row>
    <row r="137" customFormat="false" ht="13.5" hidden="false" customHeight="false" outlineLevel="0" collapsed="false">
      <c r="A137" s="1" t="str">
        <f aca="false">IF(Master_Mappings!N100="","",Master_Mappings!N100)</f>
        <v>7124</v>
      </c>
      <c r="B137" s="1" t="str">
        <f aca="false">IF($A137="","",Master_Mappings!O100)</f>
        <v>Staff Training: Exchange Week - Support</v>
      </c>
      <c r="C137" s="1" t="str">
        <f aca="false">IF($A137="","",Master_Mappings!P100)</f>
        <v>Current P&amp;L</v>
      </c>
      <c r="D137" s="1" t="n">
        <f aca="false">IF($A137="","",IFERROR(VLOOKUP($C137,$P$41:$Q$53,2,FALSE()),0))</f>
        <v>0</v>
      </c>
      <c r="E137" s="122" t="n">
        <f aca="false">IF($A137="","",SUMIFS(Trial_Balance!$E$2:$E$995,Trial_Balance!$C$2:$C$995,$A137,Trial_Balance!$B$2:$B$995,$O$1,Trial_Balance!$A$2:$A$995,Controls!$B$7))</f>
        <v>9600</v>
      </c>
      <c r="F137" s="122" t="n">
        <f aca="false">IF($A137="","",SUMIFS(Trial_Balance!$F$2:$F$995,Trial_Balance!$C$2:$C$995,$A137,Trial_Balance!$B$2:$B$995,$O$1,Trial_Balance!$A$2:$A$995,Controls!$B$7))</f>
        <v>0</v>
      </c>
      <c r="G137" s="122" t="n">
        <f aca="false">IF($A137="","",SUMIFS(Trial_Balance!$G$2:$G$995,Trial_Balance!$C$2:$C$995,$A137,Trial_Balance!$B$2:$B$995,$O$1,Trial_Balance!$A$2:$A$995,Controls!$B$7))</f>
        <v>0</v>
      </c>
      <c r="H137" s="122" t="n">
        <f aca="false">IF($A137="","",SUMIFS(Trial_Balance!$H$2:$H$995,Trial_Balance!$C$2:$C$995,$A137,Trial_Balance!$B$2:$B$995,$O$1,Trial_Balance!$A$2:$A$995,Controls!$B$7))</f>
        <v>9600</v>
      </c>
      <c r="I137" s="122" t="n">
        <f aca="false">IF($A137="","",$H137-$E137)</f>
        <v>0</v>
      </c>
      <c r="J137" s="1" t="n">
        <f aca="false">IF($A137="",0,ABS($I137)+ROW()/1000000000)</f>
        <v>1.37E-007</v>
      </c>
      <c r="K137" s="1" t="n">
        <f aca="false">IF($A137="",0,IF(AND($H137&lt;&gt;0,ABS($H137-$E137)&lt;0.005,$F137=0,$G137=0,ISNA(MATCH($C137,{"Land and Building","Furniture, Fixtures and Equipment","Intangible Assets","Share Capital","Retained Reserves","Investments &gt; 3 months"},0))),1,0))</f>
        <v>1</v>
      </c>
      <c r="L137" s="1" t="n">
        <f aca="false">IF($A137="",0,IF($D137=0,0,IF($H137*$D137&lt;0,1,0)))</f>
        <v>0</v>
      </c>
      <c r="M137" s="123"/>
    </row>
    <row r="138" customFormat="false" ht="13.5" hidden="false" customHeight="false" outlineLevel="0" collapsed="false">
      <c r="A138" s="1" t="str">
        <f aca="false">IF(Master_Mappings!N101="","",Master_Mappings!N101)</f>
        <v>7125</v>
      </c>
      <c r="B138" s="1" t="str">
        <f aca="false">IF($A138="","",Master_Mappings!O101)</f>
        <v>Staff Training: Attending conferences and RT's</v>
      </c>
      <c r="C138" s="1" t="str">
        <f aca="false">IF($A138="","",Master_Mappings!P101)</f>
        <v>Current P&amp;L</v>
      </c>
      <c r="D138" s="1" t="n">
        <f aca="false">IF($A138="","",IFERROR(VLOOKUP($C138,$P$41:$Q$53,2,FALSE()),0))</f>
        <v>0</v>
      </c>
      <c r="E138" s="122" t="n">
        <f aca="false">IF($A138="","",SUMIFS(Trial_Balance!$E$2:$E$995,Trial_Balance!$C$2:$C$995,$A138,Trial_Balance!$B$2:$B$995,$O$1,Trial_Balance!$A$2:$A$995,Controls!$B$7))</f>
        <v>0</v>
      </c>
      <c r="F138" s="122" t="n">
        <f aca="false">IF($A138="","",SUMIFS(Trial_Balance!$F$2:$F$995,Trial_Balance!$C$2:$C$995,$A138,Trial_Balance!$B$2:$B$995,$O$1,Trial_Balance!$A$2:$A$995,Controls!$B$7))</f>
        <v>0</v>
      </c>
      <c r="G138" s="122" t="n">
        <f aca="false">IF($A138="","",SUMIFS(Trial_Balance!$G$2:$G$995,Trial_Balance!$C$2:$C$995,$A138,Trial_Balance!$B$2:$B$995,$O$1,Trial_Balance!$A$2:$A$995,Controls!$B$7))</f>
        <v>0</v>
      </c>
      <c r="H138" s="122" t="n">
        <f aca="false">IF($A138="","",SUMIFS(Trial_Balance!$H$2:$H$995,Trial_Balance!$C$2:$C$995,$A138,Trial_Balance!$B$2:$B$995,$O$1,Trial_Balance!$A$2:$A$995,Controls!$B$7))</f>
        <v>0</v>
      </c>
      <c r="I138" s="122" t="n">
        <f aca="false">IF($A138="","",$H138-$E138)</f>
        <v>0</v>
      </c>
      <c r="J138" s="1" t="n">
        <f aca="false">IF($A138="",0,ABS($I138)+ROW()/1000000000)</f>
        <v>1.38E-007</v>
      </c>
      <c r="K138" s="1" t="n">
        <f aca="false">IF($A138="",0,IF(AND($H138&lt;&gt;0,ABS($H138-$E138)&lt;0.005,$F138=0,$G138=0,ISNA(MATCH($C138,{"Land and Building","Furniture, Fixtures and Equipment","Intangible Assets","Share Capital","Retained Reserves","Investments &gt; 3 months"},0))),1,0))</f>
        <v>0</v>
      </c>
      <c r="L138" s="1" t="n">
        <f aca="false">IF($A138="",0,IF($D138=0,0,IF($H138*$D138&lt;0,1,0)))</f>
        <v>0</v>
      </c>
      <c r="M138" s="123"/>
    </row>
    <row r="139" customFormat="false" ht="13.5" hidden="false" customHeight="false" outlineLevel="0" collapsed="false">
      <c r="A139" s="1" t="str">
        <f aca="false">IF(Master_Mappings!N102="","",Master_Mappings!N102)</f>
        <v>7150</v>
      </c>
      <c r="B139" s="1" t="str">
        <f aca="false">IF($A139="","",Master_Mappings!O102)</f>
        <v>Health and safety</v>
      </c>
      <c r="C139" s="1" t="str">
        <f aca="false">IF($A139="","",Master_Mappings!P102)</f>
        <v>Current P&amp;L</v>
      </c>
      <c r="D139" s="1" t="n">
        <f aca="false">IF($A139="","",IFERROR(VLOOKUP($C139,$P$41:$Q$53,2,FALSE()),0))</f>
        <v>0</v>
      </c>
      <c r="E139" s="122" t="n">
        <f aca="false">IF($A139="","",SUMIFS(Trial_Balance!$E$2:$E$995,Trial_Balance!$C$2:$C$995,$A139,Trial_Balance!$B$2:$B$995,$O$1,Trial_Balance!$A$2:$A$995,Controls!$B$7))</f>
        <v>6624.5</v>
      </c>
      <c r="F139" s="122" t="n">
        <f aca="false">IF($A139="","",SUMIFS(Trial_Balance!$F$2:$F$995,Trial_Balance!$C$2:$C$995,$A139,Trial_Balance!$B$2:$B$995,$O$1,Trial_Balance!$A$2:$A$995,Controls!$B$7))</f>
        <v>0</v>
      </c>
      <c r="G139" s="122" t="n">
        <f aca="false">IF($A139="","",SUMIFS(Trial_Balance!$G$2:$G$995,Trial_Balance!$C$2:$C$995,$A139,Trial_Balance!$B$2:$B$995,$O$1,Trial_Balance!$A$2:$A$995,Controls!$B$7))</f>
        <v>0</v>
      </c>
      <c r="H139" s="122" t="n">
        <f aca="false">IF($A139="","",SUMIFS(Trial_Balance!$H$2:$H$995,Trial_Balance!$C$2:$C$995,$A139,Trial_Balance!$B$2:$B$995,$O$1,Trial_Balance!$A$2:$A$995,Controls!$B$7))</f>
        <v>11089.71</v>
      </c>
      <c r="I139" s="122" t="n">
        <f aca="false">IF($A139="","",$H139-$E139)</f>
        <v>4465.21</v>
      </c>
      <c r="J139" s="1" t="n">
        <f aca="false">IF($A139="",0,ABS($I139)+ROW()/1000000000)</f>
        <v>4465.210000139</v>
      </c>
      <c r="K139" s="1" t="n">
        <f aca="false">IF($A139="",0,IF(AND($H139&lt;&gt;0,ABS($H139-$E139)&lt;0.005,$F139=0,$G139=0,ISNA(MATCH($C139,{"Land and Building","Furniture, Fixtures and Equipment","Intangible Assets","Share Capital","Retained Reserves","Investments &gt; 3 months"},0))),1,0))</f>
        <v>0</v>
      </c>
      <c r="L139" s="1" t="n">
        <f aca="false">IF($A139="",0,IF($D139=0,0,IF($H139*$D139&lt;0,1,0)))</f>
        <v>0</v>
      </c>
      <c r="M139" s="123"/>
    </row>
    <row r="140" customFormat="false" ht="13.5" hidden="false" customHeight="false" outlineLevel="0" collapsed="false">
      <c r="A140" s="1" t="str">
        <f aca="false">IF(Master_Mappings!N103="","",Master_Mappings!N103)</f>
        <v>7210</v>
      </c>
      <c r="B140" s="1" t="str">
        <f aca="false">IF($A140="","",Master_Mappings!O103)</f>
        <v>Utilities and service charges</v>
      </c>
      <c r="C140" s="1" t="str">
        <f aca="false">IF($A140="","",Master_Mappings!P103)</f>
        <v>Current P&amp;L</v>
      </c>
      <c r="D140" s="1" t="n">
        <f aca="false">IF($A140="","",IFERROR(VLOOKUP($C140,$P$41:$Q$53,2,FALSE()),0))</f>
        <v>0</v>
      </c>
      <c r="E140" s="122" t="n">
        <f aca="false">IF($A140="","",SUMIFS(Trial_Balance!$E$2:$E$995,Trial_Balance!$C$2:$C$995,$A140,Trial_Balance!$B$2:$B$995,$O$1,Trial_Balance!$A$2:$A$995,Controls!$B$7))</f>
        <v>16655.73</v>
      </c>
      <c r="F140" s="122" t="n">
        <f aca="false">IF($A140="","",SUMIFS(Trial_Balance!$F$2:$F$995,Trial_Balance!$C$2:$C$995,$A140,Trial_Balance!$B$2:$B$995,$O$1,Trial_Balance!$A$2:$A$995,Controls!$B$7))</f>
        <v>0</v>
      </c>
      <c r="G140" s="122" t="n">
        <f aca="false">IF($A140="","",SUMIFS(Trial_Balance!$G$2:$G$995,Trial_Balance!$C$2:$C$995,$A140,Trial_Balance!$B$2:$B$995,$O$1,Trial_Balance!$A$2:$A$995,Controls!$B$7))</f>
        <v>0</v>
      </c>
      <c r="H140" s="122" t="n">
        <f aca="false">IF($A140="","",SUMIFS(Trial_Balance!$H$2:$H$995,Trial_Balance!$C$2:$C$995,$A140,Trial_Balance!$B$2:$B$995,$O$1,Trial_Balance!$A$2:$A$995,Controls!$B$7))</f>
        <v>55408.72</v>
      </c>
      <c r="I140" s="122" t="n">
        <f aca="false">IF($A140="","",$H140-$E140)</f>
        <v>38752.99</v>
      </c>
      <c r="J140" s="1" t="n">
        <f aca="false">IF($A140="",0,ABS($I140)+ROW()/1000000000)</f>
        <v>38752.99000014</v>
      </c>
      <c r="K140" s="1" t="n">
        <f aca="false">IF($A140="",0,IF(AND($H140&lt;&gt;0,ABS($H140-$E140)&lt;0.005,$F140=0,$G140=0,ISNA(MATCH($C140,{"Land and Building","Furniture, Fixtures and Equipment","Intangible Assets","Share Capital","Retained Reserves","Investments &gt; 3 months"},0))),1,0))</f>
        <v>0</v>
      </c>
      <c r="L140" s="1" t="n">
        <f aca="false">IF($A140="",0,IF($D140=0,0,IF($H140*$D140&lt;0,1,0)))</f>
        <v>0</v>
      </c>
      <c r="M140" s="123"/>
    </row>
    <row r="141" customFormat="false" ht="13.5" hidden="false" customHeight="false" outlineLevel="0" collapsed="false">
      <c r="A141" s="1" t="str">
        <f aca="false">IF(Master_Mappings!N104="","",Master_Mappings!N104)</f>
        <v>7220</v>
      </c>
      <c r="B141" s="1" t="str">
        <f aca="false">IF($A141="","",Master_Mappings!O104)</f>
        <v>Local taxes and rates</v>
      </c>
      <c r="C141" s="1" t="str">
        <f aca="false">IF($A141="","",Master_Mappings!P104)</f>
        <v>Current P&amp;L</v>
      </c>
      <c r="D141" s="1" t="n">
        <f aca="false">IF($A141="","",IFERROR(VLOOKUP($C141,$P$41:$Q$53,2,FALSE()),0))</f>
        <v>0</v>
      </c>
      <c r="E141" s="122" t="n">
        <f aca="false">IF($A141="","",SUMIFS(Trial_Balance!$E$2:$E$995,Trial_Balance!$C$2:$C$995,$A141,Trial_Balance!$B$2:$B$995,$O$1,Trial_Balance!$A$2:$A$995,Controls!$B$7))</f>
        <v>800</v>
      </c>
      <c r="F141" s="122" t="n">
        <f aca="false">IF($A141="","",SUMIFS(Trial_Balance!$F$2:$F$995,Trial_Balance!$C$2:$C$995,$A141,Trial_Balance!$B$2:$B$995,$O$1,Trial_Balance!$A$2:$A$995,Controls!$B$7))</f>
        <v>0</v>
      </c>
      <c r="G141" s="122" t="n">
        <f aca="false">IF($A141="","",SUMIFS(Trial_Balance!$G$2:$G$995,Trial_Balance!$C$2:$C$995,$A141,Trial_Balance!$B$2:$B$995,$O$1,Trial_Balance!$A$2:$A$995,Controls!$B$7))</f>
        <v>0</v>
      </c>
      <c r="H141" s="122" t="n">
        <f aca="false">IF($A141="","",SUMIFS(Trial_Balance!$H$2:$H$995,Trial_Balance!$C$2:$C$995,$A141,Trial_Balance!$B$2:$B$995,$O$1,Trial_Balance!$A$2:$A$995,Controls!$B$7))</f>
        <v>3203</v>
      </c>
      <c r="I141" s="122" t="n">
        <f aca="false">IF($A141="","",$H141-$E141)</f>
        <v>2403</v>
      </c>
      <c r="J141" s="1" t="n">
        <f aca="false">IF($A141="",0,ABS($I141)+ROW()/1000000000)</f>
        <v>2403.000000141</v>
      </c>
      <c r="K141" s="1" t="n">
        <f aca="false">IF($A141="",0,IF(AND($H141&lt;&gt;0,ABS($H141-$E141)&lt;0.005,$F141=0,$G141=0,ISNA(MATCH($C141,{"Land and Building","Furniture, Fixtures and Equipment","Intangible Assets","Share Capital","Retained Reserves","Investments &gt; 3 months"},0))),1,0))</f>
        <v>0</v>
      </c>
      <c r="L141" s="1" t="n">
        <f aca="false">IF($A141="",0,IF($D141=0,0,IF($H141*$D141&lt;0,1,0)))</f>
        <v>0</v>
      </c>
      <c r="M141" s="123"/>
    </row>
    <row r="142" customFormat="false" ht="13.5" hidden="false" customHeight="false" outlineLevel="0" collapsed="false">
      <c r="A142" s="1" t="str">
        <f aca="false">IF(Master_Mappings!N105="","",Master_Mappings!N105)</f>
        <v>7400</v>
      </c>
      <c r="B142" s="1" t="str">
        <f aca="false">IF($A142="","",Master_Mappings!O105)</f>
        <v>Communications</v>
      </c>
      <c r="C142" s="1" t="str">
        <f aca="false">IF($A142="","",Master_Mappings!P105)</f>
        <v>Current P&amp;L</v>
      </c>
      <c r="D142" s="1" t="n">
        <f aca="false">IF($A142="","",IFERROR(VLOOKUP($C142,$P$41:$Q$53,2,FALSE()),0))</f>
        <v>0</v>
      </c>
      <c r="E142" s="122" t="n">
        <f aca="false">IF($A142="","",SUMIFS(Trial_Balance!$E$2:$E$995,Trial_Balance!$C$2:$C$995,$A142,Trial_Balance!$B$2:$B$995,$O$1,Trial_Balance!$A$2:$A$995,Controls!$B$7))</f>
        <v>7200</v>
      </c>
      <c r="F142" s="122" t="n">
        <f aca="false">IF($A142="","",SUMIFS(Trial_Balance!$F$2:$F$995,Trial_Balance!$C$2:$C$995,$A142,Trial_Balance!$B$2:$B$995,$O$1,Trial_Balance!$A$2:$A$995,Controls!$B$7))</f>
        <v>0</v>
      </c>
      <c r="G142" s="122" t="n">
        <f aca="false">IF($A142="","",SUMIFS(Trial_Balance!$G$2:$G$995,Trial_Balance!$C$2:$C$995,$A142,Trial_Balance!$B$2:$B$995,$O$1,Trial_Balance!$A$2:$A$995,Controls!$B$7))</f>
        <v>0</v>
      </c>
      <c r="H142" s="122" t="n">
        <f aca="false">IF($A142="","",SUMIFS(Trial_Balance!$H$2:$H$995,Trial_Balance!$C$2:$C$995,$A142,Trial_Balance!$B$2:$B$995,$O$1,Trial_Balance!$A$2:$A$995,Controls!$B$7))</f>
        <v>22200</v>
      </c>
      <c r="I142" s="122" t="n">
        <f aca="false">IF($A142="","",$H142-$E142)</f>
        <v>15000</v>
      </c>
      <c r="J142" s="1" t="n">
        <f aca="false">IF($A142="",0,ABS($I142)+ROW()/1000000000)</f>
        <v>15000.000000142</v>
      </c>
      <c r="K142" s="1" t="n">
        <f aca="false">IF($A142="",0,IF(AND($H142&lt;&gt;0,ABS($H142-$E142)&lt;0.005,$F142=0,$G142=0,ISNA(MATCH($C142,{"Land and Building","Furniture, Fixtures and Equipment","Intangible Assets","Share Capital","Retained Reserves","Investments &gt; 3 months"},0))),1,0))</f>
        <v>0</v>
      </c>
      <c r="L142" s="1" t="n">
        <f aca="false">IF($A142="",0,IF($D142=0,0,IF($H142*$D142&lt;0,1,0)))</f>
        <v>0</v>
      </c>
      <c r="M142" s="123"/>
    </row>
    <row r="143" customFormat="false" ht="13.5" hidden="false" customHeight="false" outlineLevel="0" collapsed="false">
      <c r="A143" s="1" t="str">
        <f aca="false">IF(Master_Mappings!N106="","",Master_Mappings!N106)</f>
        <v>7410</v>
      </c>
      <c r="B143" s="1" t="str">
        <f aca="false">IF($A143="","",Master_Mappings!O106)</f>
        <v>Proforest development</v>
      </c>
      <c r="C143" s="1" t="str">
        <f aca="false">IF($A143="","",Master_Mappings!P106)</f>
        <v>Current P&amp;L</v>
      </c>
      <c r="D143" s="1" t="n">
        <f aca="false">IF($A143="","",IFERROR(VLOOKUP($C143,$P$41:$Q$53,2,FALSE()),0))</f>
        <v>0</v>
      </c>
      <c r="E143" s="122" t="n">
        <f aca="false">IF($A143="","",SUMIFS(Trial_Balance!$E$2:$E$995,Trial_Balance!$C$2:$C$995,$A143,Trial_Balance!$B$2:$B$995,$O$1,Trial_Balance!$A$2:$A$995,Controls!$B$7))</f>
        <v>66164.22</v>
      </c>
      <c r="F143" s="122" t="n">
        <f aca="false">IF($A143="","",SUMIFS(Trial_Balance!$F$2:$F$995,Trial_Balance!$C$2:$C$995,$A143,Trial_Balance!$B$2:$B$995,$O$1,Trial_Balance!$A$2:$A$995,Controls!$B$7))</f>
        <v>0</v>
      </c>
      <c r="G143" s="122" t="n">
        <f aca="false">IF($A143="","",SUMIFS(Trial_Balance!$G$2:$G$995,Trial_Balance!$C$2:$C$995,$A143,Trial_Balance!$B$2:$B$995,$O$1,Trial_Balance!$A$2:$A$995,Controls!$B$7))</f>
        <v>0</v>
      </c>
      <c r="H143" s="122" t="n">
        <f aca="false">IF($A143="","",SUMIFS(Trial_Balance!$H$2:$H$995,Trial_Balance!$C$2:$C$995,$A143,Trial_Balance!$B$2:$B$995,$O$1,Trial_Balance!$A$2:$A$995,Controls!$B$7))</f>
        <v>77095.87</v>
      </c>
      <c r="I143" s="122" t="n">
        <f aca="false">IF($A143="","",$H143-$E143)</f>
        <v>10931.65</v>
      </c>
      <c r="J143" s="1" t="n">
        <f aca="false">IF($A143="",0,ABS($I143)+ROW()/1000000000)</f>
        <v>10931.650000143</v>
      </c>
      <c r="K143" s="1" t="n">
        <f aca="false">IF($A143="",0,IF(AND($H143&lt;&gt;0,ABS($H143-$E143)&lt;0.005,$F143=0,$G143=0,ISNA(MATCH($C143,{"Land and Building","Furniture, Fixtures and Equipment","Intangible Assets","Share Capital","Retained Reserves","Investments &gt; 3 months"},0))),1,0))</f>
        <v>0</v>
      </c>
      <c r="L143" s="1" t="n">
        <f aca="false">IF($A143="",0,IF($D143=0,0,IF($H143*$D143&lt;0,1,0)))</f>
        <v>0</v>
      </c>
      <c r="M143" s="123"/>
    </row>
    <row r="144" customFormat="false" ht="13.5" hidden="false" customHeight="false" outlineLevel="0" collapsed="false">
      <c r="A144" s="1" t="str">
        <f aca="false">IF(Master_Mappings!N107="","",Master_Mappings!N107)</f>
        <v>7420</v>
      </c>
      <c r="B144" s="1" t="str">
        <f aca="false">IF($A144="","",Master_Mappings!O107)</f>
        <v>Memberships, subscriptions and licences</v>
      </c>
      <c r="C144" s="1" t="str">
        <f aca="false">IF($A144="","",Master_Mappings!P107)</f>
        <v>Current P&amp;L</v>
      </c>
      <c r="D144" s="1" t="n">
        <f aca="false">IF($A144="","",IFERROR(VLOOKUP($C144,$P$41:$Q$53,2,FALSE()),0))</f>
        <v>0</v>
      </c>
      <c r="E144" s="122" t="n">
        <f aca="false">IF($A144="","",SUMIFS(Trial_Balance!$E$2:$E$995,Trial_Balance!$C$2:$C$995,$A144,Trial_Balance!$B$2:$B$995,$O$1,Trial_Balance!$A$2:$A$995,Controls!$B$7))</f>
        <v>6940.54</v>
      </c>
      <c r="F144" s="122" t="n">
        <f aca="false">IF($A144="","",SUMIFS(Trial_Balance!$F$2:$F$995,Trial_Balance!$C$2:$C$995,$A144,Trial_Balance!$B$2:$B$995,$O$1,Trial_Balance!$A$2:$A$995,Controls!$B$7))</f>
        <v>0</v>
      </c>
      <c r="G144" s="122" t="n">
        <f aca="false">IF($A144="","",SUMIFS(Trial_Balance!$G$2:$G$995,Trial_Balance!$C$2:$C$995,$A144,Trial_Balance!$B$2:$B$995,$O$1,Trial_Balance!$A$2:$A$995,Controls!$B$7))</f>
        <v>0</v>
      </c>
      <c r="H144" s="122" t="n">
        <f aca="false">IF($A144="","",SUMIFS(Trial_Balance!$H$2:$H$995,Trial_Balance!$C$2:$C$995,$A144,Trial_Balance!$B$2:$B$995,$O$1,Trial_Balance!$A$2:$A$995,Controls!$B$7))</f>
        <v>13282.51</v>
      </c>
      <c r="I144" s="122" t="n">
        <f aca="false">IF($A144="","",$H144-$E144)</f>
        <v>6341.97</v>
      </c>
      <c r="J144" s="1" t="n">
        <f aca="false">IF($A144="",0,ABS($I144)+ROW()/1000000000)</f>
        <v>6341.970000144</v>
      </c>
      <c r="K144" s="1" t="n">
        <f aca="false">IF($A144="",0,IF(AND($H144&lt;&gt;0,ABS($H144-$E144)&lt;0.005,$F144=0,$G144=0,ISNA(MATCH($C144,{"Land and Building","Furniture, Fixtures and Equipment","Intangible Assets","Share Capital","Retained Reserves","Investments &gt; 3 months"},0))),1,0))</f>
        <v>0</v>
      </c>
      <c r="L144" s="1" t="n">
        <f aca="false">IF($A144="",0,IF($D144=0,0,IF($H144*$D144&lt;0,1,0)))</f>
        <v>0</v>
      </c>
      <c r="M144" s="123"/>
    </row>
    <row r="145" customFormat="false" ht="13.5" hidden="false" customHeight="false" outlineLevel="0" collapsed="false">
      <c r="A145" s="1" t="str">
        <f aca="false">IF(Master_Mappings!N108="","",Master_Mappings!N108)</f>
        <v>7430</v>
      </c>
      <c r="B145" s="1" t="str">
        <f aca="false">IF($A145="","",Master_Mappings!O108)</f>
        <v>Sponsorship of Students</v>
      </c>
      <c r="C145" s="1" t="str">
        <f aca="false">IF($A145="","",Master_Mappings!P108)</f>
        <v>Current P&amp;L</v>
      </c>
      <c r="D145" s="1" t="n">
        <f aca="false">IF($A145="","",IFERROR(VLOOKUP($C145,$P$41:$Q$53,2,FALSE()),0))</f>
        <v>0</v>
      </c>
      <c r="E145" s="122" t="n">
        <f aca="false">IF($A145="","",SUMIFS(Trial_Balance!$E$2:$E$995,Trial_Balance!$C$2:$C$995,$A145,Trial_Balance!$B$2:$B$995,$O$1,Trial_Balance!$A$2:$A$995,Controls!$B$7))</f>
        <v>1000</v>
      </c>
      <c r="F145" s="122" t="n">
        <f aca="false">IF($A145="","",SUMIFS(Trial_Balance!$F$2:$F$995,Trial_Balance!$C$2:$C$995,$A145,Trial_Balance!$B$2:$B$995,$O$1,Trial_Balance!$A$2:$A$995,Controls!$B$7))</f>
        <v>0</v>
      </c>
      <c r="G145" s="122" t="n">
        <f aca="false">IF($A145="","",SUMIFS(Trial_Balance!$G$2:$G$995,Trial_Balance!$C$2:$C$995,$A145,Trial_Balance!$B$2:$B$995,$O$1,Trial_Balance!$A$2:$A$995,Controls!$B$7))</f>
        <v>0</v>
      </c>
      <c r="H145" s="122" t="n">
        <f aca="false">IF($A145="","",SUMIFS(Trial_Balance!$H$2:$H$995,Trial_Balance!$C$2:$C$995,$A145,Trial_Balance!$B$2:$B$995,$O$1,Trial_Balance!$A$2:$A$995,Controls!$B$7))</f>
        <v>1000</v>
      </c>
      <c r="I145" s="122" t="n">
        <f aca="false">IF($A145="","",$H145-$E145)</f>
        <v>0</v>
      </c>
      <c r="J145" s="1" t="n">
        <f aca="false">IF($A145="",0,ABS($I145)+ROW()/1000000000)</f>
        <v>1.45E-007</v>
      </c>
      <c r="K145" s="1" t="n">
        <f aca="false">IF($A145="",0,IF(AND($H145&lt;&gt;0,ABS($H145-$E145)&lt;0.005,$F145=0,$G145=0,ISNA(MATCH($C145,{"Land and Building","Furniture, Fixtures and Equipment","Intangible Assets","Share Capital","Retained Reserves","Investments &gt; 3 months"},0))),1,0))</f>
        <v>1</v>
      </c>
      <c r="L145" s="1" t="n">
        <f aca="false">IF($A145="",0,IF($D145=0,0,IF($H145*$D145&lt;0,1,0)))</f>
        <v>0</v>
      </c>
      <c r="M145" s="123"/>
    </row>
    <row r="146" customFormat="false" ht="13.5" hidden="false" customHeight="false" outlineLevel="0" collapsed="false">
      <c r="A146" s="1" t="str">
        <f aca="false">IF(Master_Mappings!N109="","",Master_Mappings!N109)</f>
        <v>7440</v>
      </c>
      <c r="B146" s="1" t="str">
        <f aca="false">IF($A146="","",Master_Mappings!O109)</f>
        <v>Senior Staff Meetings</v>
      </c>
      <c r="C146" s="1" t="str">
        <f aca="false">IF($A146="","",Master_Mappings!P109)</f>
        <v>Current P&amp;L</v>
      </c>
      <c r="D146" s="1" t="n">
        <f aca="false">IF($A146="","",IFERROR(VLOOKUP($C146,$P$41:$Q$53,2,FALSE()),0))</f>
        <v>0</v>
      </c>
      <c r="E146" s="122" t="n">
        <f aca="false">IF($A146="","",SUMIFS(Trial_Balance!$E$2:$E$995,Trial_Balance!$C$2:$C$995,$A146,Trial_Balance!$B$2:$B$995,$O$1,Trial_Balance!$A$2:$A$995,Controls!$B$7))</f>
        <v>25490.41</v>
      </c>
      <c r="F146" s="122" t="n">
        <f aca="false">IF($A146="","",SUMIFS(Trial_Balance!$F$2:$F$995,Trial_Balance!$C$2:$C$995,$A146,Trial_Balance!$B$2:$B$995,$O$1,Trial_Balance!$A$2:$A$995,Controls!$B$7))</f>
        <v>0</v>
      </c>
      <c r="G146" s="122" t="n">
        <f aca="false">IF($A146="","",SUMIFS(Trial_Balance!$G$2:$G$995,Trial_Balance!$C$2:$C$995,$A146,Trial_Balance!$B$2:$B$995,$O$1,Trial_Balance!$A$2:$A$995,Controls!$B$7))</f>
        <v>0</v>
      </c>
      <c r="H146" s="122" t="n">
        <f aca="false">IF($A146="","",SUMIFS(Trial_Balance!$H$2:$H$995,Trial_Balance!$C$2:$C$995,$A146,Trial_Balance!$B$2:$B$995,$O$1,Trial_Balance!$A$2:$A$995,Controls!$B$7))</f>
        <v>33622.84</v>
      </c>
      <c r="I146" s="122" t="n">
        <f aca="false">IF($A146="","",$H146-$E146)</f>
        <v>8132.43</v>
      </c>
      <c r="J146" s="1" t="n">
        <f aca="false">IF($A146="",0,ABS($I146)+ROW()/1000000000)</f>
        <v>8132.430000146</v>
      </c>
      <c r="K146" s="1" t="n">
        <f aca="false">IF($A146="",0,IF(AND($H146&lt;&gt;0,ABS($H146-$E146)&lt;0.005,$F146=0,$G146=0,ISNA(MATCH($C146,{"Land and Building","Furniture, Fixtures and Equipment","Intangible Assets","Share Capital","Retained Reserves","Investments &gt; 3 months"},0))),1,0))</f>
        <v>0</v>
      </c>
      <c r="L146" s="1" t="n">
        <f aca="false">IF($A146="",0,IF($D146=0,0,IF($H146*$D146&lt;0,1,0)))</f>
        <v>0</v>
      </c>
      <c r="M146" s="123"/>
    </row>
    <row r="147" customFormat="false" ht="13.5" hidden="false" customHeight="false" outlineLevel="0" collapsed="false">
      <c r="A147" s="1" t="str">
        <f aca="false">IF(Master_Mappings!N110="","",Master_Mappings!N110)</f>
        <v>7540</v>
      </c>
      <c r="B147" s="1" t="str">
        <f aca="false">IF($A147="","",Master_Mappings!O110)</f>
        <v>Stationery</v>
      </c>
      <c r="C147" s="1" t="str">
        <f aca="false">IF($A147="","",Master_Mappings!P110)</f>
        <v>Current P&amp;L</v>
      </c>
      <c r="D147" s="1" t="n">
        <f aca="false">IF($A147="","",IFERROR(VLOOKUP($C147,$P$41:$Q$53,2,FALSE()),0))</f>
        <v>0</v>
      </c>
      <c r="E147" s="122" t="n">
        <f aca="false">IF($A147="","",SUMIFS(Trial_Balance!$E$2:$E$995,Trial_Balance!$C$2:$C$995,$A147,Trial_Balance!$B$2:$B$995,$O$1,Trial_Balance!$A$2:$A$995,Controls!$B$7))</f>
        <v>3055</v>
      </c>
      <c r="F147" s="122" t="n">
        <f aca="false">IF($A147="","",SUMIFS(Trial_Balance!$F$2:$F$995,Trial_Balance!$C$2:$C$995,$A147,Trial_Balance!$B$2:$B$995,$O$1,Trial_Balance!$A$2:$A$995,Controls!$B$7))</f>
        <v>0</v>
      </c>
      <c r="G147" s="122" t="n">
        <f aca="false">IF($A147="","",SUMIFS(Trial_Balance!$G$2:$G$995,Trial_Balance!$C$2:$C$995,$A147,Trial_Balance!$B$2:$B$995,$O$1,Trial_Balance!$A$2:$A$995,Controls!$B$7))</f>
        <v>0</v>
      </c>
      <c r="H147" s="122" t="n">
        <f aca="false">IF($A147="","",SUMIFS(Trial_Balance!$H$2:$H$995,Trial_Balance!$C$2:$C$995,$A147,Trial_Balance!$B$2:$B$995,$O$1,Trial_Balance!$A$2:$A$995,Controls!$B$7))</f>
        <v>4661.9</v>
      </c>
      <c r="I147" s="122" t="n">
        <f aca="false">IF($A147="","",$H147-$E147)</f>
        <v>1606.9</v>
      </c>
      <c r="J147" s="1" t="n">
        <f aca="false">IF($A147="",0,ABS($I147)+ROW()/1000000000)</f>
        <v>1606.900000147</v>
      </c>
      <c r="K147" s="1" t="n">
        <f aca="false">IF($A147="",0,IF(AND($H147&lt;&gt;0,ABS($H147-$E147)&lt;0.005,$F147=0,$G147=0,ISNA(MATCH($C147,{"Land and Building","Furniture, Fixtures and Equipment","Intangible Assets","Share Capital","Retained Reserves","Investments &gt; 3 months"},0))),1,0))</f>
        <v>0</v>
      </c>
      <c r="L147" s="1" t="n">
        <f aca="false">IF($A147="",0,IF($D147=0,0,IF($H147*$D147&lt;0,1,0)))</f>
        <v>0</v>
      </c>
      <c r="M147" s="123"/>
    </row>
    <row r="148" customFormat="false" ht="13.5" hidden="false" customHeight="false" outlineLevel="0" collapsed="false">
      <c r="A148" s="1" t="str">
        <f aca="false">IF(Master_Mappings!N111="","",Master_Mappings!N111)</f>
        <v>7550</v>
      </c>
      <c r="B148" s="1" t="str">
        <f aca="false">IF($A148="","",Master_Mappings!O111)</f>
        <v>Printing and photocopying</v>
      </c>
      <c r="C148" s="1" t="str">
        <f aca="false">IF($A148="","",Master_Mappings!P111)</f>
        <v>Current P&amp;L</v>
      </c>
      <c r="D148" s="1" t="n">
        <f aca="false">IF($A148="","",IFERROR(VLOOKUP($C148,$P$41:$Q$53,2,FALSE()),0))</f>
        <v>0</v>
      </c>
      <c r="E148" s="122" t="n">
        <f aca="false">IF($A148="","",SUMIFS(Trial_Balance!$E$2:$E$995,Trial_Balance!$C$2:$C$995,$A148,Trial_Balance!$B$2:$B$995,$O$1,Trial_Balance!$A$2:$A$995,Controls!$B$7))</f>
        <v>1130</v>
      </c>
      <c r="F148" s="122" t="n">
        <f aca="false">IF($A148="","",SUMIFS(Trial_Balance!$F$2:$F$995,Trial_Balance!$C$2:$C$995,$A148,Trial_Balance!$B$2:$B$995,$O$1,Trial_Balance!$A$2:$A$995,Controls!$B$7))</f>
        <v>0</v>
      </c>
      <c r="G148" s="122" t="n">
        <f aca="false">IF($A148="","",SUMIFS(Trial_Balance!$G$2:$G$995,Trial_Balance!$C$2:$C$995,$A148,Trial_Balance!$B$2:$B$995,$O$1,Trial_Balance!$A$2:$A$995,Controls!$B$7))</f>
        <v>0</v>
      </c>
      <c r="H148" s="122" t="n">
        <f aca="false">IF($A148="","",SUMIFS(Trial_Balance!$H$2:$H$995,Trial_Balance!$C$2:$C$995,$A148,Trial_Balance!$B$2:$B$995,$O$1,Trial_Balance!$A$2:$A$995,Controls!$B$7))</f>
        <v>18381</v>
      </c>
      <c r="I148" s="122" t="n">
        <f aca="false">IF($A148="","",$H148-$E148)</f>
        <v>17251</v>
      </c>
      <c r="J148" s="1" t="n">
        <f aca="false">IF($A148="",0,ABS($I148)+ROW()/1000000000)</f>
        <v>17251.000000148</v>
      </c>
      <c r="K148" s="1" t="n">
        <f aca="false">IF($A148="",0,IF(AND($H148&lt;&gt;0,ABS($H148-$E148)&lt;0.005,$F148=0,$G148=0,ISNA(MATCH($C148,{"Land and Building","Furniture, Fixtures and Equipment","Intangible Assets","Share Capital","Retained Reserves","Investments &gt; 3 months"},0))),1,0))</f>
        <v>0</v>
      </c>
      <c r="L148" s="1" t="n">
        <f aca="false">IF($A148="",0,IF($D148=0,0,IF($H148*$D148&lt;0,1,0)))</f>
        <v>0</v>
      </c>
      <c r="M148" s="123"/>
    </row>
    <row r="149" customFormat="false" ht="13.5" hidden="false" customHeight="false" outlineLevel="0" collapsed="false">
      <c r="A149" s="1" t="str">
        <f aca="false">IF(Master_Mappings!N112="","",Master_Mappings!N112)</f>
        <v>7580</v>
      </c>
      <c r="B149" s="1" t="str">
        <f aca="false">IF($A149="","",Master_Mappings!O112)</f>
        <v>Misc Office Costs</v>
      </c>
      <c r="C149" s="1" t="str">
        <f aca="false">IF($A149="","",Master_Mappings!P112)</f>
        <v>Current P&amp;L</v>
      </c>
      <c r="D149" s="1" t="n">
        <f aca="false">IF($A149="","",IFERROR(VLOOKUP($C149,$P$41:$Q$53,2,FALSE()),0))</f>
        <v>0</v>
      </c>
      <c r="E149" s="122" t="n">
        <f aca="false">IF($A149="","",SUMIFS(Trial_Balance!$E$2:$E$995,Trial_Balance!$C$2:$C$995,$A149,Trial_Balance!$B$2:$B$995,$O$1,Trial_Balance!$A$2:$A$995,Controls!$B$7))</f>
        <v>696.21</v>
      </c>
      <c r="F149" s="122" t="n">
        <f aca="false">IF($A149="","",SUMIFS(Trial_Balance!$F$2:$F$995,Trial_Balance!$C$2:$C$995,$A149,Trial_Balance!$B$2:$B$995,$O$1,Trial_Balance!$A$2:$A$995,Controls!$B$7))</f>
        <v>0</v>
      </c>
      <c r="G149" s="122" t="n">
        <f aca="false">IF($A149="","",SUMIFS(Trial_Balance!$G$2:$G$995,Trial_Balance!$C$2:$C$995,$A149,Trial_Balance!$B$2:$B$995,$O$1,Trial_Balance!$A$2:$A$995,Controls!$B$7))</f>
        <v>0</v>
      </c>
      <c r="H149" s="122" t="n">
        <f aca="false">IF($A149="","",SUMIFS(Trial_Balance!$H$2:$H$995,Trial_Balance!$C$2:$C$995,$A149,Trial_Balance!$B$2:$B$995,$O$1,Trial_Balance!$A$2:$A$995,Controls!$B$7))</f>
        <v>2670.44</v>
      </c>
      <c r="I149" s="122" t="n">
        <f aca="false">IF($A149="","",$H149-$E149)</f>
        <v>1974.23</v>
      </c>
      <c r="J149" s="1" t="n">
        <f aca="false">IF($A149="",0,ABS($I149)+ROW()/1000000000)</f>
        <v>1974.230000149</v>
      </c>
      <c r="K149" s="1" t="n">
        <f aca="false">IF($A149="",0,IF(AND($H149&lt;&gt;0,ABS($H149-$E149)&lt;0.005,$F149=0,$G149=0,ISNA(MATCH($C149,{"Land and Building","Furniture, Fixtures and Equipment","Intangible Assets","Share Capital","Retained Reserves","Investments &gt; 3 months"},0))),1,0))</f>
        <v>0</v>
      </c>
      <c r="L149" s="1" t="n">
        <f aca="false">IF($A149="",0,IF($D149=0,0,IF($H149*$D149&lt;0,1,0)))</f>
        <v>0</v>
      </c>
      <c r="M149" s="123"/>
    </row>
    <row r="150" customFormat="false" ht="13.5" hidden="false" customHeight="false" outlineLevel="0" collapsed="false">
      <c r="A150" s="1" t="str">
        <f aca="false">IF(Master_Mappings!N113="","",Master_Mappings!N113)</f>
        <v>7620</v>
      </c>
      <c r="B150" s="1" t="str">
        <f aca="false">IF($A150="","",Master_Mappings!O113)</f>
        <v>Accounting and audit fees</v>
      </c>
      <c r="C150" s="1" t="str">
        <f aca="false">IF($A150="","",Master_Mappings!P113)</f>
        <v>Current P&amp;L</v>
      </c>
      <c r="D150" s="1" t="n">
        <f aca="false">IF($A150="","",IFERROR(VLOOKUP($C150,$P$41:$Q$53,2,FALSE()),0))</f>
        <v>0</v>
      </c>
      <c r="E150" s="122" t="n">
        <f aca="false">IF($A150="","",SUMIFS(Trial_Balance!$E$2:$E$995,Trial_Balance!$C$2:$C$995,$A150,Trial_Balance!$B$2:$B$995,$O$1,Trial_Balance!$A$2:$A$995,Controls!$B$7))</f>
        <v>0</v>
      </c>
      <c r="F150" s="122" t="n">
        <f aca="false">IF($A150="","",SUMIFS(Trial_Balance!$F$2:$F$995,Trial_Balance!$C$2:$C$995,$A150,Trial_Balance!$B$2:$B$995,$O$1,Trial_Balance!$A$2:$A$995,Controls!$B$7))</f>
        <v>0</v>
      </c>
      <c r="G150" s="122" t="n">
        <f aca="false">IF($A150="","",SUMIFS(Trial_Balance!$G$2:$G$995,Trial_Balance!$C$2:$C$995,$A150,Trial_Balance!$B$2:$B$995,$O$1,Trial_Balance!$A$2:$A$995,Controls!$B$7))</f>
        <v>0</v>
      </c>
      <c r="H150" s="122" t="n">
        <f aca="false">IF($A150="","",SUMIFS(Trial_Balance!$H$2:$H$995,Trial_Balance!$C$2:$C$995,$A150,Trial_Balance!$B$2:$B$995,$O$1,Trial_Balance!$A$2:$A$995,Controls!$B$7))</f>
        <v>3394</v>
      </c>
      <c r="I150" s="122" t="n">
        <f aca="false">IF($A150="","",$H150-$E150)</f>
        <v>3394</v>
      </c>
      <c r="J150" s="1" t="n">
        <f aca="false">IF($A150="",0,ABS($I150)+ROW()/1000000000)</f>
        <v>3394.00000015</v>
      </c>
      <c r="K150" s="1" t="n">
        <f aca="false">IF($A150="",0,IF(AND($H150&lt;&gt;0,ABS($H150-$E150)&lt;0.005,$F150=0,$G150=0,ISNA(MATCH($C150,{"Land and Building","Furniture, Fixtures and Equipment","Intangible Assets","Share Capital","Retained Reserves","Investments &gt; 3 months"},0))),1,0))</f>
        <v>0</v>
      </c>
      <c r="L150" s="1" t="n">
        <f aca="false">IF($A150="",0,IF($D150=0,0,IF($H150*$D150&lt;0,1,0)))</f>
        <v>0</v>
      </c>
      <c r="M150" s="123"/>
    </row>
    <row r="151" customFormat="false" ht="13.5" hidden="false" customHeight="false" outlineLevel="0" collapsed="false">
      <c r="A151" s="1" t="str">
        <f aca="false">IF(Master_Mappings!N114="","",Master_Mappings!N114)</f>
        <v>7630</v>
      </c>
      <c r="B151" s="1" t="str">
        <f aca="false">IF($A151="","",Master_Mappings!O114)</f>
        <v>Insurance</v>
      </c>
      <c r="C151" s="1" t="str">
        <f aca="false">IF($A151="","",Master_Mappings!P114)</f>
        <v>Current P&amp;L</v>
      </c>
      <c r="D151" s="1" t="n">
        <f aca="false">IF($A151="","",IFERROR(VLOOKUP($C151,$P$41:$Q$53,2,FALSE()),0))</f>
        <v>0</v>
      </c>
      <c r="E151" s="122" t="n">
        <f aca="false">IF($A151="","",SUMIFS(Trial_Balance!$E$2:$E$995,Trial_Balance!$C$2:$C$995,$A151,Trial_Balance!$B$2:$B$995,$O$1,Trial_Balance!$A$2:$A$995,Controls!$B$7))</f>
        <v>16500</v>
      </c>
      <c r="F151" s="122" t="n">
        <f aca="false">IF($A151="","",SUMIFS(Trial_Balance!$F$2:$F$995,Trial_Balance!$C$2:$C$995,$A151,Trial_Balance!$B$2:$B$995,$O$1,Trial_Balance!$A$2:$A$995,Controls!$B$7))</f>
        <v>0</v>
      </c>
      <c r="G151" s="122" t="n">
        <f aca="false">IF($A151="","",SUMIFS(Trial_Balance!$G$2:$G$995,Trial_Balance!$C$2:$C$995,$A151,Trial_Balance!$B$2:$B$995,$O$1,Trial_Balance!$A$2:$A$995,Controls!$B$7))</f>
        <v>0</v>
      </c>
      <c r="H151" s="122" t="n">
        <f aca="false">IF($A151="","",SUMIFS(Trial_Balance!$H$2:$H$995,Trial_Balance!$C$2:$C$995,$A151,Trial_Balance!$B$2:$B$995,$O$1,Trial_Balance!$A$2:$A$995,Controls!$B$7))</f>
        <v>47206.75</v>
      </c>
      <c r="I151" s="122" t="n">
        <f aca="false">IF($A151="","",$H151-$E151)</f>
        <v>30706.75</v>
      </c>
      <c r="J151" s="1" t="n">
        <f aca="false">IF($A151="",0,ABS($I151)+ROW()/1000000000)</f>
        <v>30706.750000151</v>
      </c>
      <c r="K151" s="1" t="n">
        <f aca="false">IF($A151="",0,IF(AND($H151&lt;&gt;0,ABS($H151-$E151)&lt;0.005,$F151=0,$G151=0,ISNA(MATCH($C151,{"Land and Building","Furniture, Fixtures and Equipment","Intangible Assets","Share Capital","Retained Reserves","Investments &gt; 3 months"},0))),1,0))</f>
        <v>0</v>
      </c>
      <c r="L151" s="1" t="n">
        <f aca="false">IF($A151="",0,IF($D151=0,0,IF($H151*$D151&lt;0,1,0)))</f>
        <v>0</v>
      </c>
      <c r="M151" s="123"/>
    </row>
    <row r="152" customFormat="false" ht="13.5" hidden="false" customHeight="false" outlineLevel="0" collapsed="false">
      <c r="A152" s="1" t="str">
        <f aca="false">IF(Master_Mappings!N115="","",Master_Mappings!N115)</f>
        <v>7650</v>
      </c>
      <c r="B152" s="1" t="str">
        <f aca="false">IF($A152="","",Master_Mappings!O115)</f>
        <v>Group Associated Fixed costs</v>
      </c>
      <c r="C152" s="1" t="str">
        <f aca="false">IF($A152="","",Master_Mappings!P115)</f>
        <v>Current P&amp;L</v>
      </c>
      <c r="D152" s="1" t="n">
        <f aca="false">IF($A152="","",IFERROR(VLOOKUP($C152,$P$41:$Q$53,2,FALSE()),0))</f>
        <v>0</v>
      </c>
      <c r="E152" s="122" t="n">
        <f aca="false">IF($A152="","",SUMIFS(Trial_Balance!$E$2:$E$995,Trial_Balance!$C$2:$C$995,$A152,Trial_Balance!$B$2:$B$995,$O$1,Trial_Balance!$A$2:$A$995,Controls!$B$7))</f>
        <v>325736.02</v>
      </c>
      <c r="F152" s="122" t="n">
        <f aca="false">IF($A152="","",SUMIFS(Trial_Balance!$F$2:$F$995,Trial_Balance!$C$2:$C$995,$A152,Trial_Balance!$B$2:$B$995,$O$1,Trial_Balance!$A$2:$A$995,Controls!$B$7))</f>
        <v>0</v>
      </c>
      <c r="G152" s="122" t="n">
        <f aca="false">IF($A152="","",SUMIFS(Trial_Balance!$G$2:$G$995,Trial_Balance!$C$2:$C$995,$A152,Trial_Balance!$B$2:$B$995,$O$1,Trial_Balance!$A$2:$A$995,Controls!$B$7))</f>
        <v>0</v>
      </c>
      <c r="H152" s="122" t="n">
        <f aca="false">IF($A152="","",SUMIFS(Trial_Balance!$H$2:$H$995,Trial_Balance!$C$2:$C$995,$A152,Trial_Balance!$B$2:$B$995,$O$1,Trial_Balance!$A$2:$A$995,Controls!$B$7))</f>
        <v>651472.04</v>
      </c>
      <c r="I152" s="122" t="n">
        <f aca="false">IF($A152="","",$H152-$E152)</f>
        <v>325736.02</v>
      </c>
      <c r="J152" s="1" t="n">
        <f aca="false">IF($A152="",0,ABS($I152)+ROW()/1000000000)</f>
        <v>325736.020000152</v>
      </c>
      <c r="K152" s="1" t="n">
        <f aca="false">IF($A152="",0,IF(AND($H152&lt;&gt;0,ABS($H152-$E152)&lt;0.005,$F152=0,$G152=0,ISNA(MATCH($C152,{"Land and Building","Furniture, Fixtures and Equipment","Intangible Assets","Share Capital","Retained Reserves","Investments &gt; 3 months"},0))),1,0))</f>
        <v>0</v>
      </c>
      <c r="L152" s="1" t="n">
        <f aca="false">IF($A152="",0,IF($D152=0,0,IF($H152*$D152&lt;0,1,0)))</f>
        <v>0</v>
      </c>
      <c r="M152" s="123"/>
    </row>
    <row r="153" customFormat="false" ht="13.5" hidden="false" customHeight="false" outlineLevel="0" collapsed="false">
      <c r="A153" s="1" t="str">
        <f aca="false">IF(Master_Mappings!N116="","",Master_Mappings!N116)</f>
        <v>7660</v>
      </c>
      <c r="B153" s="1" t="str">
        <f aca="false">IF($A153="","",Master_Mappings!O116)</f>
        <v>Pension and Payroll admin Charges</v>
      </c>
      <c r="C153" s="1" t="str">
        <f aca="false">IF($A153="","",Master_Mappings!P116)</f>
        <v>Current P&amp;L</v>
      </c>
      <c r="D153" s="1" t="n">
        <f aca="false">IF($A153="","",IFERROR(VLOOKUP($C153,$P$41:$Q$53,2,FALSE()),0))</f>
        <v>0</v>
      </c>
      <c r="E153" s="122" t="n">
        <f aca="false">IF($A153="","",SUMIFS(Trial_Balance!$E$2:$E$995,Trial_Balance!$C$2:$C$995,$A153,Trial_Balance!$B$2:$B$995,$O$1,Trial_Balance!$A$2:$A$995,Controls!$B$7))</f>
        <v>17469.42</v>
      </c>
      <c r="F153" s="122" t="n">
        <f aca="false">IF($A153="","",SUMIFS(Trial_Balance!$F$2:$F$995,Trial_Balance!$C$2:$C$995,$A153,Trial_Balance!$B$2:$B$995,$O$1,Trial_Balance!$A$2:$A$995,Controls!$B$7))</f>
        <v>0</v>
      </c>
      <c r="G153" s="122" t="n">
        <f aca="false">IF($A153="","",SUMIFS(Trial_Balance!$G$2:$G$995,Trial_Balance!$C$2:$C$995,$A153,Trial_Balance!$B$2:$B$995,$O$1,Trial_Balance!$A$2:$A$995,Controls!$B$7))</f>
        <v>0</v>
      </c>
      <c r="H153" s="122" t="n">
        <f aca="false">IF($A153="","",SUMIFS(Trial_Balance!$H$2:$H$995,Trial_Balance!$C$2:$C$995,$A153,Trial_Balance!$B$2:$B$995,$O$1,Trial_Balance!$A$2:$A$995,Controls!$B$7))</f>
        <v>29375.83</v>
      </c>
      <c r="I153" s="122" t="n">
        <f aca="false">IF($A153="","",$H153-$E153)</f>
        <v>11906.41</v>
      </c>
      <c r="J153" s="1" t="n">
        <f aca="false">IF($A153="",0,ABS($I153)+ROW()/1000000000)</f>
        <v>11906.410000153</v>
      </c>
      <c r="K153" s="1" t="n">
        <f aca="false">IF($A153="",0,IF(AND($H153&lt;&gt;0,ABS($H153-$E153)&lt;0.005,$F153=0,$G153=0,ISNA(MATCH($C153,{"Land and Building","Furniture, Fixtures and Equipment","Intangible Assets","Share Capital","Retained Reserves","Investments &gt; 3 months"},0))),1,0))</f>
        <v>0</v>
      </c>
      <c r="L153" s="1" t="n">
        <f aca="false">IF($A153="",0,IF($D153=0,0,IF($H153*$D153&lt;0,1,0)))</f>
        <v>0</v>
      </c>
      <c r="M153" s="123"/>
    </row>
    <row r="154" customFormat="false" ht="13.5" hidden="false" customHeight="false" outlineLevel="0" collapsed="false">
      <c r="A154" s="1" t="str">
        <f aca="false">IF(Master_Mappings!N117="","",Master_Mappings!N117)</f>
        <v>7700</v>
      </c>
      <c r="B154" s="1" t="str">
        <f aca="false">IF($A154="","",Master_Mappings!O117)</f>
        <v>IT Computer Software and development</v>
      </c>
      <c r="C154" s="1" t="str">
        <f aca="false">IF($A154="","",Master_Mappings!P117)</f>
        <v>Current P&amp;L</v>
      </c>
      <c r="D154" s="1" t="n">
        <f aca="false">IF($A154="","",IFERROR(VLOOKUP($C154,$P$41:$Q$53,2,FALSE()),0))</f>
        <v>0</v>
      </c>
      <c r="E154" s="122" t="n">
        <f aca="false">IF($A154="","",SUMIFS(Trial_Balance!$E$2:$E$995,Trial_Balance!$C$2:$C$995,$A154,Trial_Balance!$B$2:$B$995,$O$1,Trial_Balance!$A$2:$A$995,Controls!$B$7))</f>
        <v>307.12</v>
      </c>
      <c r="F154" s="122" t="n">
        <f aca="false">IF($A154="","",SUMIFS(Trial_Balance!$F$2:$F$995,Trial_Balance!$C$2:$C$995,$A154,Trial_Balance!$B$2:$B$995,$O$1,Trial_Balance!$A$2:$A$995,Controls!$B$7))</f>
        <v>0</v>
      </c>
      <c r="G154" s="122" t="n">
        <f aca="false">IF($A154="","",SUMIFS(Trial_Balance!$G$2:$G$995,Trial_Balance!$C$2:$C$995,$A154,Trial_Balance!$B$2:$B$995,$O$1,Trial_Balance!$A$2:$A$995,Controls!$B$7))</f>
        <v>0</v>
      </c>
      <c r="H154" s="122" t="n">
        <f aca="false">IF($A154="","",SUMIFS(Trial_Balance!$H$2:$H$995,Trial_Balance!$C$2:$C$995,$A154,Trial_Balance!$B$2:$B$995,$O$1,Trial_Balance!$A$2:$A$995,Controls!$B$7))</f>
        <v>14161.84</v>
      </c>
      <c r="I154" s="122" t="n">
        <f aca="false">IF($A154="","",$H154-$E154)</f>
        <v>13854.72</v>
      </c>
      <c r="J154" s="1" t="n">
        <f aca="false">IF($A154="",0,ABS($I154)+ROW()/1000000000)</f>
        <v>13854.720000154</v>
      </c>
      <c r="K154" s="1" t="n">
        <f aca="false">IF($A154="",0,IF(AND($H154&lt;&gt;0,ABS($H154-$E154)&lt;0.005,$F154=0,$G154=0,ISNA(MATCH($C154,{"Land and Building","Furniture, Fixtures and Equipment","Intangible Assets","Share Capital","Retained Reserves","Investments &gt; 3 months"},0))),1,0))</f>
        <v>0</v>
      </c>
      <c r="L154" s="1" t="n">
        <f aca="false">IF($A154="",0,IF($D154=0,0,IF($H154*$D154&lt;0,1,0)))</f>
        <v>0</v>
      </c>
      <c r="M154" s="123"/>
    </row>
    <row r="155" customFormat="false" ht="13.5" hidden="false" customHeight="false" outlineLevel="0" collapsed="false">
      <c r="A155" s="1" t="str">
        <f aca="false">IF(Master_Mappings!N118="","",Master_Mappings!N118)</f>
        <v>7710</v>
      </c>
      <c r="B155" s="1" t="str">
        <f aca="false">IF($A155="","",Master_Mappings!O118)</f>
        <v>IT Equipment &lt;GHS300</v>
      </c>
      <c r="C155" s="1" t="str">
        <f aca="false">IF($A155="","",Master_Mappings!P118)</f>
        <v>Current P&amp;L</v>
      </c>
      <c r="D155" s="1" t="n">
        <f aca="false">IF($A155="","",IFERROR(VLOOKUP($C155,$P$41:$Q$53,2,FALSE()),0))</f>
        <v>0</v>
      </c>
      <c r="E155" s="122" t="n">
        <f aca="false">IF($A155="","",SUMIFS(Trial_Balance!$E$2:$E$995,Trial_Balance!$C$2:$C$995,$A155,Trial_Balance!$B$2:$B$995,$O$1,Trial_Balance!$A$2:$A$995,Controls!$B$7))</f>
        <v>2792.2</v>
      </c>
      <c r="F155" s="122" t="n">
        <f aca="false">IF($A155="","",SUMIFS(Trial_Balance!$F$2:$F$995,Trial_Balance!$C$2:$C$995,$A155,Trial_Balance!$B$2:$B$995,$O$1,Trial_Balance!$A$2:$A$995,Controls!$B$7))</f>
        <v>0</v>
      </c>
      <c r="G155" s="122" t="n">
        <f aca="false">IF($A155="","",SUMIFS(Trial_Balance!$G$2:$G$995,Trial_Balance!$C$2:$C$995,$A155,Trial_Balance!$B$2:$B$995,$O$1,Trial_Balance!$A$2:$A$995,Controls!$B$7))</f>
        <v>0</v>
      </c>
      <c r="H155" s="122" t="n">
        <f aca="false">IF($A155="","",SUMIFS(Trial_Balance!$H$2:$H$995,Trial_Balance!$C$2:$C$995,$A155,Trial_Balance!$B$2:$B$995,$O$1,Trial_Balance!$A$2:$A$995,Controls!$B$7))</f>
        <v>5465.2</v>
      </c>
      <c r="I155" s="122" t="n">
        <f aca="false">IF($A155="","",$H155-$E155)</f>
        <v>2673</v>
      </c>
      <c r="J155" s="1" t="n">
        <f aca="false">IF($A155="",0,ABS($I155)+ROW()/1000000000)</f>
        <v>2673.000000155</v>
      </c>
      <c r="K155" s="1" t="n">
        <f aca="false">IF($A155="",0,IF(AND($H155&lt;&gt;0,ABS($H155-$E155)&lt;0.005,$F155=0,$G155=0,ISNA(MATCH($C155,{"Land and Building","Furniture, Fixtures and Equipment","Intangible Assets","Share Capital","Retained Reserves","Investments &gt; 3 months"},0))),1,0))</f>
        <v>0</v>
      </c>
      <c r="L155" s="1" t="n">
        <f aca="false">IF($A155="",0,IF($D155=0,0,IF($H155*$D155&lt;0,1,0)))</f>
        <v>0</v>
      </c>
      <c r="M155" s="123"/>
    </row>
    <row r="156" customFormat="false" ht="13.5" hidden="false" customHeight="false" outlineLevel="0" collapsed="false">
      <c r="A156" s="1" t="str">
        <f aca="false">IF(Master_Mappings!N119="","",Master_Mappings!N119)</f>
        <v>7730</v>
      </c>
      <c r="B156" s="1" t="str">
        <f aca="false">IF($A156="","",Master_Mappings!O119)</f>
        <v>IT Support - Accounting System</v>
      </c>
      <c r="C156" s="1" t="str">
        <f aca="false">IF($A156="","",Master_Mappings!P119)</f>
        <v>Current P&amp;L</v>
      </c>
      <c r="D156" s="1" t="n">
        <f aca="false">IF($A156="","",IFERROR(VLOOKUP($C156,$P$41:$Q$53,2,FALSE()),0))</f>
        <v>0</v>
      </c>
      <c r="E156" s="122" t="n">
        <f aca="false">IF($A156="","",SUMIFS(Trial_Balance!$E$2:$E$995,Trial_Balance!$C$2:$C$995,$A156,Trial_Balance!$B$2:$B$995,$O$1,Trial_Balance!$A$2:$A$995,Controls!$B$7))</f>
        <v>10851.72</v>
      </c>
      <c r="F156" s="122" t="n">
        <f aca="false">IF($A156="","",SUMIFS(Trial_Balance!$F$2:$F$995,Trial_Balance!$C$2:$C$995,$A156,Trial_Balance!$B$2:$B$995,$O$1,Trial_Balance!$A$2:$A$995,Controls!$B$7))</f>
        <v>0</v>
      </c>
      <c r="G156" s="122" t="n">
        <f aca="false">IF($A156="","",SUMIFS(Trial_Balance!$G$2:$G$995,Trial_Balance!$C$2:$C$995,$A156,Trial_Balance!$B$2:$B$995,$O$1,Trial_Balance!$A$2:$A$995,Controls!$B$7))</f>
        <v>0</v>
      </c>
      <c r="H156" s="122" t="n">
        <f aca="false">IF($A156="","",SUMIFS(Trial_Balance!$H$2:$H$995,Trial_Balance!$C$2:$C$995,$A156,Trial_Balance!$B$2:$B$995,$O$1,Trial_Balance!$A$2:$A$995,Controls!$B$7))</f>
        <v>22552.86</v>
      </c>
      <c r="I156" s="122" t="n">
        <f aca="false">IF($A156="","",$H156-$E156)</f>
        <v>11701.14</v>
      </c>
      <c r="J156" s="1" t="n">
        <f aca="false">IF($A156="",0,ABS($I156)+ROW()/1000000000)</f>
        <v>11701.140000156</v>
      </c>
      <c r="K156" s="1" t="n">
        <f aca="false">IF($A156="",0,IF(AND($H156&lt;&gt;0,ABS($H156-$E156)&lt;0.005,$F156=0,$G156=0,ISNA(MATCH($C156,{"Land and Building","Furniture, Fixtures and Equipment","Intangible Assets","Share Capital","Retained Reserves","Investments &gt; 3 months"},0))),1,0))</f>
        <v>0</v>
      </c>
      <c r="L156" s="1" t="n">
        <f aca="false">IF($A156="",0,IF($D156=0,0,IF($H156*$D156&lt;0,1,0)))</f>
        <v>0</v>
      </c>
      <c r="M156" s="123"/>
    </row>
    <row r="157" customFormat="false" ht="13.5" hidden="false" customHeight="false" outlineLevel="0" collapsed="false">
      <c r="A157" s="1" t="str">
        <f aca="false">IF(Master_Mappings!N120="","",Master_Mappings!N120)</f>
        <v>7750</v>
      </c>
      <c r="B157" s="1" t="str">
        <f aca="false">IF($A157="","",Master_Mappings!O120)</f>
        <v>IT Support - Internet</v>
      </c>
      <c r="C157" s="1" t="str">
        <f aca="false">IF($A157="","",Master_Mappings!P120)</f>
        <v>Current P&amp;L</v>
      </c>
      <c r="D157" s="1" t="n">
        <f aca="false">IF($A157="","",IFERROR(VLOOKUP($C157,$P$41:$Q$53,2,FALSE()),0))</f>
        <v>0</v>
      </c>
      <c r="E157" s="122" t="n">
        <f aca="false">IF($A157="","",SUMIFS(Trial_Balance!$E$2:$E$995,Trial_Balance!$C$2:$C$995,$A157,Trial_Balance!$B$2:$B$995,$O$1,Trial_Balance!$A$2:$A$995,Controls!$B$7))</f>
        <v>10166.21</v>
      </c>
      <c r="F157" s="122" t="n">
        <f aca="false">IF($A157="","",SUMIFS(Trial_Balance!$F$2:$F$995,Trial_Balance!$C$2:$C$995,$A157,Trial_Balance!$B$2:$B$995,$O$1,Trial_Balance!$A$2:$A$995,Controls!$B$7))</f>
        <v>0</v>
      </c>
      <c r="G157" s="122" t="n">
        <f aca="false">IF($A157="","",SUMIFS(Trial_Balance!$G$2:$G$995,Trial_Balance!$C$2:$C$995,$A157,Trial_Balance!$B$2:$B$995,$O$1,Trial_Balance!$A$2:$A$995,Controls!$B$7))</f>
        <v>0</v>
      </c>
      <c r="H157" s="122" t="n">
        <f aca="false">IF($A157="","",SUMIFS(Trial_Balance!$H$2:$H$995,Trial_Balance!$C$2:$C$995,$A157,Trial_Balance!$B$2:$B$995,$O$1,Trial_Balance!$A$2:$A$995,Controls!$B$7))</f>
        <v>21360.48</v>
      </c>
      <c r="I157" s="122" t="n">
        <f aca="false">IF($A157="","",$H157-$E157)</f>
        <v>11194.27</v>
      </c>
      <c r="J157" s="1" t="n">
        <f aca="false">IF($A157="",0,ABS($I157)+ROW()/1000000000)</f>
        <v>11194.270000157</v>
      </c>
      <c r="K157" s="1" t="n">
        <f aca="false">IF($A157="",0,IF(AND($H157&lt;&gt;0,ABS($H157-$E157)&lt;0.005,$F157=0,$G157=0,ISNA(MATCH($C157,{"Land and Building","Furniture, Fixtures and Equipment","Intangible Assets","Share Capital","Retained Reserves","Investments &gt; 3 months"},0))),1,0))</f>
        <v>0</v>
      </c>
      <c r="L157" s="1" t="n">
        <f aca="false">IF($A157="",0,IF($D157=0,0,IF($H157*$D157&lt;0,1,0)))</f>
        <v>0</v>
      </c>
      <c r="M157" s="123"/>
    </row>
    <row r="158" customFormat="false" ht="13.5" hidden="false" customHeight="false" outlineLevel="0" collapsed="false">
      <c r="A158" s="1" t="str">
        <f aca="false">IF(Master_Mappings!N121="","",Master_Mappings!N121)</f>
        <v>7760</v>
      </c>
      <c r="B158" s="1" t="str">
        <f aca="false">IF($A158="","",Master_Mappings!O121)</f>
        <v>GIS / Data management</v>
      </c>
      <c r="C158" s="1" t="str">
        <f aca="false">IF($A158="","",Master_Mappings!P121)</f>
        <v>Current P&amp;L</v>
      </c>
      <c r="D158" s="1" t="n">
        <f aca="false">IF($A158="","",IFERROR(VLOOKUP($C158,$P$41:$Q$53,2,FALSE()),0))</f>
        <v>0</v>
      </c>
      <c r="E158" s="122" t="n">
        <f aca="false">IF($A158="","",SUMIFS(Trial_Balance!$E$2:$E$995,Trial_Balance!$C$2:$C$995,$A158,Trial_Balance!$B$2:$B$995,$O$1,Trial_Balance!$A$2:$A$995,Controls!$B$7))</f>
        <v>0</v>
      </c>
      <c r="F158" s="122" t="n">
        <f aca="false">IF($A158="","",SUMIFS(Trial_Balance!$F$2:$F$995,Trial_Balance!$C$2:$C$995,$A158,Trial_Balance!$B$2:$B$995,$O$1,Trial_Balance!$A$2:$A$995,Controls!$B$7))</f>
        <v>0</v>
      </c>
      <c r="G158" s="122" t="n">
        <f aca="false">IF($A158="","",SUMIFS(Trial_Balance!$G$2:$G$995,Trial_Balance!$C$2:$C$995,$A158,Trial_Balance!$B$2:$B$995,$O$1,Trial_Balance!$A$2:$A$995,Controls!$B$7))</f>
        <v>0</v>
      </c>
      <c r="H158" s="122" t="n">
        <f aca="false">IF($A158="","",SUMIFS(Trial_Balance!$H$2:$H$995,Trial_Balance!$C$2:$C$995,$A158,Trial_Balance!$B$2:$B$995,$O$1,Trial_Balance!$A$2:$A$995,Controls!$B$7))</f>
        <v>4853.81</v>
      </c>
      <c r="I158" s="122" t="n">
        <f aca="false">IF($A158="","",$H158-$E158)</f>
        <v>4853.81</v>
      </c>
      <c r="J158" s="1" t="n">
        <f aca="false">IF($A158="",0,ABS($I158)+ROW()/1000000000)</f>
        <v>4853.810000158</v>
      </c>
      <c r="K158" s="1" t="n">
        <f aca="false">IF($A158="",0,IF(AND($H158&lt;&gt;0,ABS($H158-$E158)&lt;0.005,$F158=0,$G158=0,ISNA(MATCH($C158,{"Land and Building","Furniture, Fixtures and Equipment","Intangible Assets","Share Capital","Retained Reserves","Investments &gt; 3 months"},0))),1,0))</f>
        <v>0</v>
      </c>
      <c r="L158" s="1" t="n">
        <f aca="false">IF($A158="",0,IF($D158=0,0,IF($H158*$D158&lt;0,1,0)))</f>
        <v>0</v>
      </c>
      <c r="M158" s="123"/>
    </row>
    <row r="159" customFormat="false" ht="13.5" hidden="false" customHeight="false" outlineLevel="0" collapsed="false">
      <c r="A159" s="1" t="str">
        <f aca="false">IF(Master_Mappings!N122="","",Master_Mappings!N122)</f>
        <v>7800</v>
      </c>
      <c r="B159" s="1" t="str">
        <f aca="false">IF($A159="","",Master_Mappings!O122)</f>
        <v>Office maintenance</v>
      </c>
      <c r="C159" s="1" t="str">
        <f aca="false">IF($A159="","",Master_Mappings!P122)</f>
        <v>Current P&amp;L</v>
      </c>
      <c r="D159" s="1" t="n">
        <f aca="false">IF($A159="","",IFERROR(VLOOKUP($C159,$P$41:$Q$53,2,FALSE()),0))</f>
        <v>0</v>
      </c>
      <c r="E159" s="122" t="n">
        <f aca="false">IF($A159="","",SUMIFS(Trial_Balance!$E$2:$E$995,Trial_Balance!$C$2:$C$995,$A159,Trial_Balance!$B$2:$B$995,$O$1,Trial_Balance!$A$2:$A$995,Controls!$B$7))</f>
        <v>4480</v>
      </c>
      <c r="F159" s="122" t="n">
        <f aca="false">IF($A159="","",SUMIFS(Trial_Balance!$F$2:$F$995,Trial_Balance!$C$2:$C$995,$A159,Trial_Balance!$B$2:$B$995,$O$1,Trial_Balance!$A$2:$A$995,Controls!$B$7))</f>
        <v>0</v>
      </c>
      <c r="G159" s="122" t="n">
        <f aca="false">IF($A159="","",SUMIFS(Trial_Balance!$G$2:$G$995,Trial_Balance!$C$2:$C$995,$A159,Trial_Balance!$B$2:$B$995,$O$1,Trial_Balance!$A$2:$A$995,Controls!$B$7))</f>
        <v>0</v>
      </c>
      <c r="H159" s="122" t="n">
        <f aca="false">IF($A159="","",SUMIFS(Trial_Balance!$H$2:$H$995,Trial_Balance!$C$2:$C$995,$A159,Trial_Balance!$B$2:$B$995,$O$1,Trial_Balance!$A$2:$A$995,Controls!$B$7))</f>
        <v>19770</v>
      </c>
      <c r="I159" s="122" t="n">
        <f aca="false">IF($A159="","",$H159-$E159)</f>
        <v>15290</v>
      </c>
      <c r="J159" s="1" t="n">
        <f aca="false">IF($A159="",0,ABS($I159)+ROW()/1000000000)</f>
        <v>15290.000000159</v>
      </c>
      <c r="K159" s="1" t="n">
        <f aca="false">IF($A159="",0,IF(AND($H159&lt;&gt;0,ABS($H159-$E159)&lt;0.005,$F159=0,$G159=0,ISNA(MATCH($C159,{"Land and Building","Furniture, Fixtures and Equipment","Intangible Assets","Share Capital","Retained Reserves","Investments &gt; 3 months"},0))),1,0))</f>
        <v>0</v>
      </c>
      <c r="L159" s="1" t="n">
        <f aca="false">IF($A159="",0,IF($D159=0,0,IF($H159*$D159&lt;0,1,0)))</f>
        <v>0</v>
      </c>
      <c r="M159" s="123"/>
    </row>
    <row r="160" customFormat="false" ht="13.5" hidden="false" customHeight="false" outlineLevel="0" collapsed="false">
      <c r="A160" s="1" t="str">
        <f aca="false">IF(Master_Mappings!N123="","",Master_Mappings!N123)</f>
        <v>7810</v>
      </c>
      <c r="B160" s="1" t="str">
        <f aca="false">IF($A160="","",Master_Mappings!O123)</f>
        <v>Office security</v>
      </c>
      <c r="C160" s="1" t="str">
        <f aca="false">IF($A160="","",Master_Mappings!P123)</f>
        <v>Current P&amp;L</v>
      </c>
      <c r="D160" s="1" t="n">
        <f aca="false">IF($A160="","",IFERROR(VLOOKUP($C160,$P$41:$Q$53,2,FALSE()),0))</f>
        <v>0</v>
      </c>
      <c r="E160" s="122" t="n">
        <f aca="false">IF($A160="","",SUMIFS(Trial_Balance!$E$2:$E$995,Trial_Balance!$C$2:$C$995,$A160,Trial_Balance!$B$2:$B$995,$O$1,Trial_Balance!$A$2:$A$995,Controls!$B$7))</f>
        <v>12109.5</v>
      </c>
      <c r="F160" s="122" t="n">
        <f aca="false">IF($A160="","",SUMIFS(Trial_Balance!$F$2:$F$995,Trial_Balance!$C$2:$C$995,$A160,Trial_Balance!$B$2:$B$995,$O$1,Trial_Balance!$A$2:$A$995,Controls!$B$7))</f>
        <v>0</v>
      </c>
      <c r="G160" s="122" t="n">
        <f aca="false">IF($A160="","",SUMIFS(Trial_Balance!$G$2:$G$995,Trial_Balance!$C$2:$C$995,$A160,Trial_Balance!$B$2:$B$995,$O$1,Trial_Balance!$A$2:$A$995,Controls!$B$7))</f>
        <v>0</v>
      </c>
      <c r="H160" s="122" t="n">
        <f aca="false">IF($A160="","",SUMIFS(Trial_Balance!$H$2:$H$995,Trial_Balance!$C$2:$C$995,$A160,Trial_Balance!$B$2:$B$995,$O$1,Trial_Balance!$A$2:$A$995,Controls!$B$7))</f>
        <v>24219</v>
      </c>
      <c r="I160" s="122" t="n">
        <f aca="false">IF($A160="","",$H160-$E160)</f>
        <v>12109.5</v>
      </c>
      <c r="J160" s="1" t="n">
        <f aca="false">IF($A160="",0,ABS($I160)+ROW()/1000000000)</f>
        <v>12109.50000016</v>
      </c>
      <c r="K160" s="1" t="n">
        <f aca="false">IF($A160="",0,IF(AND($H160&lt;&gt;0,ABS($H160-$E160)&lt;0.005,$F160=0,$G160=0,ISNA(MATCH($C160,{"Land and Building","Furniture, Fixtures and Equipment","Intangible Assets","Share Capital","Retained Reserves","Investments &gt; 3 months"},0))),1,0))</f>
        <v>0</v>
      </c>
      <c r="L160" s="1" t="n">
        <f aca="false">IF($A160="",0,IF($D160=0,0,IF($H160*$D160&lt;0,1,0)))</f>
        <v>0</v>
      </c>
      <c r="M160" s="123"/>
    </row>
    <row r="161" customFormat="false" ht="13.5" hidden="false" customHeight="false" outlineLevel="0" collapsed="false">
      <c r="A161" s="1" t="str">
        <f aca="false">IF(Master_Mappings!N124="","",Master_Mappings!N124)</f>
        <v>7820</v>
      </c>
      <c r="B161" s="1" t="str">
        <f aca="false">IF($A161="","",Master_Mappings!O124)</f>
        <v>Cleaning and laundry</v>
      </c>
      <c r="C161" s="1" t="str">
        <f aca="false">IF($A161="","",Master_Mappings!P124)</f>
        <v>Current P&amp;L</v>
      </c>
      <c r="D161" s="1" t="n">
        <f aca="false">IF($A161="","",IFERROR(VLOOKUP($C161,$P$41:$Q$53,2,FALSE()),0))</f>
        <v>0</v>
      </c>
      <c r="E161" s="122" t="n">
        <f aca="false">IF($A161="","",SUMIFS(Trial_Balance!$E$2:$E$995,Trial_Balance!$C$2:$C$995,$A161,Trial_Balance!$B$2:$B$995,$O$1,Trial_Balance!$A$2:$A$995,Controls!$B$7))</f>
        <v>9366.14</v>
      </c>
      <c r="F161" s="122" t="n">
        <f aca="false">IF($A161="","",SUMIFS(Trial_Balance!$F$2:$F$995,Trial_Balance!$C$2:$C$995,$A161,Trial_Balance!$B$2:$B$995,$O$1,Trial_Balance!$A$2:$A$995,Controls!$B$7))</f>
        <v>0</v>
      </c>
      <c r="G161" s="122" t="n">
        <f aca="false">IF($A161="","",SUMIFS(Trial_Balance!$G$2:$G$995,Trial_Balance!$C$2:$C$995,$A161,Trial_Balance!$B$2:$B$995,$O$1,Trial_Balance!$A$2:$A$995,Controls!$B$7))</f>
        <v>0</v>
      </c>
      <c r="H161" s="122" t="n">
        <f aca="false">IF($A161="","",SUMIFS(Trial_Balance!$H$2:$H$995,Trial_Balance!$C$2:$C$995,$A161,Trial_Balance!$B$2:$B$995,$O$1,Trial_Balance!$A$2:$A$995,Controls!$B$7))</f>
        <v>19167.86</v>
      </c>
      <c r="I161" s="122" t="n">
        <f aca="false">IF($A161="","",$H161-$E161)</f>
        <v>9801.72</v>
      </c>
      <c r="J161" s="1" t="n">
        <f aca="false">IF($A161="",0,ABS($I161)+ROW()/1000000000)</f>
        <v>9801.720000161</v>
      </c>
      <c r="K161" s="1" t="n">
        <f aca="false">IF($A161="",0,IF(AND($H161&lt;&gt;0,ABS($H161-$E161)&lt;0.005,$F161=0,$G161=0,ISNA(MATCH($C161,{"Land and Building","Furniture, Fixtures and Equipment","Intangible Assets","Share Capital","Retained Reserves","Investments &gt; 3 months"},0))),1,0))</f>
        <v>0</v>
      </c>
      <c r="L161" s="1" t="n">
        <f aca="false">IF($A161="",0,IF($D161=0,0,IF($H161*$D161&lt;0,1,0)))</f>
        <v>0</v>
      </c>
      <c r="M161" s="123"/>
    </row>
    <row r="162" customFormat="false" ht="13.5" hidden="false" customHeight="false" outlineLevel="0" collapsed="false">
      <c r="A162" s="1" t="str">
        <f aca="false">IF(Master_Mappings!N125="","",Master_Mappings!N125)</f>
        <v>7910</v>
      </c>
      <c r="B162" s="1" t="str">
        <f aca="false">IF($A162="","",Master_Mappings!O125)</f>
        <v>Bank Charges</v>
      </c>
      <c r="C162" s="1" t="str">
        <f aca="false">IF($A162="","",Master_Mappings!P125)</f>
        <v>Current P&amp;L</v>
      </c>
      <c r="D162" s="1" t="n">
        <f aca="false">IF($A162="","",IFERROR(VLOOKUP($C162,$P$41:$Q$53,2,FALSE()),0))</f>
        <v>0</v>
      </c>
      <c r="E162" s="122" t="n">
        <f aca="false">IF($A162="","",SUMIFS(Trial_Balance!$E$2:$E$995,Trial_Balance!$C$2:$C$995,$A162,Trial_Balance!$B$2:$B$995,$O$1,Trial_Balance!$A$2:$A$995,Controls!$B$7))</f>
        <v>8808.26</v>
      </c>
      <c r="F162" s="122" t="n">
        <f aca="false">IF($A162="","",SUMIFS(Trial_Balance!$F$2:$F$995,Trial_Balance!$C$2:$C$995,$A162,Trial_Balance!$B$2:$B$995,$O$1,Trial_Balance!$A$2:$A$995,Controls!$B$7))</f>
        <v>0</v>
      </c>
      <c r="G162" s="122" t="n">
        <f aca="false">IF($A162="","",SUMIFS(Trial_Balance!$G$2:$G$995,Trial_Balance!$C$2:$C$995,$A162,Trial_Balance!$B$2:$B$995,$O$1,Trial_Balance!$A$2:$A$995,Controls!$B$7))</f>
        <v>0</v>
      </c>
      <c r="H162" s="122" t="n">
        <f aca="false">IF($A162="","",SUMIFS(Trial_Balance!$H$2:$H$995,Trial_Balance!$C$2:$C$995,$A162,Trial_Balance!$B$2:$B$995,$O$1,Trial_Balance!$A$2:$A$995,Controls!$B$7))</f>
        <v>26331.8</v>
      </c>
      <c r="I162" s="122" t="n">
        <f aca="false">IF($A162="","",$H162-$E162)</f>
        <v>17523.54</v>
      </c>
      <c r="J162" s="1" t="n">
        <f aca="false">IF($A162="",0,ABS($I162)+ROW()/1000000000)</f>
        <v>17523.540000162</v>
      </c>
      <c r="K162" s="1" t="n">
        <f aca="false">IF($A162="",0,IF(AND($H162&lt;&gt;0,ABS($H162-$E162)&lt;0.005,$F162=0,$G162=0,ISNA(MATCH($C162,{"Land and Building","Furniture, Fixtures and Equipment","Intangible Assets","Share Capital","Retained Reserves","Investments &gt; 3 months"},0))),1,0))</f>
        <v>0</v>
      </c>
      <c r="L162" s="1" t="n">
        <f aca="false">IF($A162="",0,IF($D162=0,0,IF($H162*$D162&lt;0,1,0)))</f>
        <v>0</v>
      </c>
      <c r="M162" s="123"/>
    </row>
    <row r="163" customFormat="false" ht="13.5" hidden="false" customHeight="false" outlineLevel="0" collapsed="false">
      <c r="A163" s="1" t="str">
        <f aca="false">IF(Master_Mappings!N126="","",Master_Mappings!N126)</f>
        <v>7940</v>
      </c>
      <c r="B163" s="1" t="str">
        <f aca="false">IF($A163="","",Master_Mappings!O126)</f>
        <v>Exchange Rate Variance</v>
      </c>
      <c r="C163" s="1" t="str">
        <f aca="false">IF($A163="","",Master_Mappings!P126)</f>
        <v>Current P&amp;L</v>
      </c>
      <c r="D163" s="1" t="n">
        <f aca="false">IF($A163="","",IFERROR(VLOOKUP($C163,$P$41:$Q$53,2,FALSE()),0))</f>
        <v>0</v>
      </c>
      <c r="E163" s="122" t="n">
        <f aca="false">IF($A163="","",SUMIFS(Trial_Balance!$E$2:$E$995,Trial_Balance!$C$2:$C$995,$A163,Trial_Balance!$B$2:$B$995,$O$1,Trial_Balance!$A$2:$A$995,Controls!$B$7))</f>
        <v>-61465.49</v>
      </c>
      <c r="F163" s="122" t="n">
        <f aca="false">IF($A163="","",SUMIFS(Trial_Balance!$F$2:$F$995,Trial_Balance!$C$2:$C$995,$A163,Trial_Balance!$B$2:$B$995,$O$1,Trial_Balance!$A$2:$A$995,Controls!$B$7))</f>
        <v>0</v>
      </c>
      <c r="G163" s="122" t="n">
        <f aca="false">IF($A163="","",SUMIFS(Trial_Balance!$G$2:$G$995,Trial_Balance!$C$2:$C$995,$A163,Trial_Balance!$B$2:$B$995,$O$1,Trial_Balance!$A$2:$A$995,Controls!$B$7))</f>
        <v>0</v>
      </c>
      <c r="H163" s="122" t="n">
        <f aca="false">IF($A163="","",SUMIFS(Trial_Balance!$H$2:$H$995,Trial_Balance!$C$2:$C$995,$A163,Trial_Balance!$B$2:$B$995,$O$1,Trial_Balance!$A$2:$A$995,Controls!$B$7))</f>
        <v>-136799.17</v>
      </c>
      <c r="I163" s="122" t="n">
        <f aca="false">IF($A163="","",$H163-$E163)</f>
        <v>-75333.68</v>
      </c>
      <c r="J163" s="1" t="n">
        <f aca="false">IF($A163="",0,ABS($I163)+ROW()/1000000000)</f>
        <v>75333.680000163</v>
      </c>
      <c r="K163" s="1" t="n">
        <f aca="false">IF($A163="",0,IF(AND($H163&lt;&gt;0,ABS($H163-$E163)&lt;0.005,$F163=0,$G163=0,ISNA(MATCH($C163,{"Land and Building","Furniture, Fixtures and Equipment","Intangible Assets","Share Capital","Retained Reserves","Investments &gt; 3 months"},0))),1,0))</f>
        <v>0</v>
      </c>
      <c r="L163" s="1" t="n">
        <f aca="false">IF($A163="",0,IF($D163=0,0,IF($H163*$D163&lt;0,1,0)))</f>
        <v>0</v>
      </c>
      <c r="M163" s="123"/>
    </row>
    <row r="164" customFormat="false" ht="13.5" hidden="false" customHeight="false" outlineLevel="0" collapsed="false">
      <c r="A164" s="1" t="str">
        <f aca="false">IF(Master_Mappings!N127="","",Master_Mappings!N127)</f>
        <v>7950</v>
      </c>
      <c r="B164" s="1" t="str">
        <f aca="false">IF($A164="","",Master_Mappings!O127)</f>
        <v>Miscellaneous Taxes</v>
      </c>
      <c r="C164" s="1" t="str">
        <f aca="false">IF($A164="","",Master_Mappings!P127)</f>
        <v>Current P&amp;L</v>
      </c>
      <c r="D164" s="1" t="n">
        <f aca="false">IF($A164="","",IFERROR(VLOOKUP($C164,$P$41:$Q$53,2,FALSE()),0))</f>
        <v>0</v>
      </c>
      <c r="E164" s="122" t="n">
        <f aca="false">IF($A164="","",SUMIFS(Trial_Balance!$E$2:$E$995,Trial_Balance!$C$2:$C$995,$A164,Trial_Balance!$B$2:$B$995,$O$1,Trial_Balance!$A$2:$A$995,Controls!$B$7))</f>
        <v>0</v>
      </c>
      <c r="F164" s="122" t="n">
        <f aca="false">IF($A164="","",SUMIFS(Trial_Balance!$F$2:$F$995,Trial_Balance!$C$2:$C$995,$A164,Trial_Balance!$B$2:$B$995,$O$1,Trial_Balance!$A$2:$A$995,Controls!$B$7))</f>
        <v>0</v>
      </c>
      <c r="G164" s="122" t="n">
        <f aca="false">IF($A164="","",SUMIFS(Trial_Balance!$G$2:$G$995,Trial_Balance!$C$2:$C$995,$A164,Trial_Balance!$B$2:$B$995,$O$1,Trial_Balance!$A$2:$A$995,Controls!$B$7))</f>
        <v>0</v>
      </c>
      <c r="H164" s="122" t="n">
        <f aca="false">IF($A164="","",SUMIFS(Trial_Balance!$H$2:$H$995,Trial_Balance!$C$2:$C$995,$A164,Trial_Balance!$B$2:$B$995,$O$1,Trial_Balance!$A$2:$A$995,Controls!$B$7))</f>
        <v>0</v>
      </c>
      <c r="I164" s="122" t="n">
        <f aca="false">IF($A164="","",$H164-$E164)</f>
        <v>0</v>
      </c>
      <c r="J164" s="1" t="n">
        <f aca="false">IF($A164="",0,ABS($I164)+ROW()/1000000000)</f>
        <v>1.64E-007</v>
      </c>
      <c r="K164" s="1" t="n">
        <f aca="false">IF($A164="",0,IF(AND($H164&lt;&gt;0,ABS($H164-$E164)&lt;0.005,$F164=0,$G164=0,ISNA(MATCH($C164,{"Land and Building","Furniture, Fixtures and Equipment","Intangible Assets","Share Capital","Retained Reserves","Investments &gt; 3 months"},0))),1,0))</f>
        <v>0</v>
      </c>
      <c r="L164" s="1" t="n">
        <f aca="false">IF($A164="",0,IF($D164=0,0,IF($H164*$D164&lt;0,1,0)))</f>
        <v>0</v>
      </c>
      <c r="M164" s="123"/>
    </row>
    <row r="165" customFormat="false" ht="13.5" hidden="false" customHeight="false" outlineLevel="0" collapsed="false">
      <c r="A165" s="1" t="str">
        <f aca="false">IF(Master_Mappings!N128="","",Master_Mappings!N128)</f>
        <v>1135</v>
      </c>
      <c r="B165" s="1" t="str">
        <f aca="false">IF($A165="","",Master_Mappings!O128)</f>
        <v>Staff Account - Augustus Asamoah</v>
      </c>
      <c r="C165" s="1" t="str">
        <f aca="false">IF($A165="","",Master_Mappings!P128)</f>
        <v>Other Receivables</v>
      </c>
      <c r="D165" s="1" t="n">
        <f aca="false">IF($A165="","",IFERROR(VLOOKUP($C165,$P$41:$Q$53,2,FALSE()),0))</f>
        <v>0</v>
      </c>
      <c r="E165" s="122" t="n">
        <f aca="false">IF($A165="","",SUMIFS(Trial_Balance!$E$2:$E$995,Trial_Balance!$C$2:$C$995,$A165,Trial_Balance!$B$2:$B$995,$O$1,Trial_Balance!$A$2:$A$995,Controls!$B$7))</f>
        <v>0</v>
      </c>
      <c r="F165" s="122" t="n">
        <f aca="false">IF($A165="","",SUMIFS(Trial_Balance!$F$2:$F$995,Trial_Balance!$C$2:$C$995,$A165,Trial_Balance!$B$2:$B$995,$O$1,Trial_Balance!$A$2:$A$995,Controls!$B$7))</f>
        <v>0</v>
      </c>
      <c r="G165" s="122" t="n">
        <f aca="false">IF($A165="","",SUMIFS(Trial_Balance!$G$2:$G$995,Trial_Balance!$C$2:$C$995,$A165,Trial_Balance!$B$2:$B$995,$O$1,Trial_Balance!$A$2:$A$995,Controls!$B$7))</f>
        <v>0</v>
      </c>
      <c r="H165" s="122" t="n">
        <f aca="false">IF($A165="","",SUMIFS(Trial_Balance!$H$2:$H$995,Trial_Balance!$C$2:$C$995,$A165,Trial_Balance!$B$2:$B$995,$O$1,Trial_Balance!$A$2:$A$995,Controls!$B$7))</f>
        <v>4601.76</v>
      </c>
      <c r="I165" s="122" t="n">
        <f aca="false">IF($A165="","",$H165-$E165)</f>
        <v>4601.76</v>
      </c>
      <c r="J165" s="1" t="n">
        <f aca="false">IF($A165="",0,ABS($I165)+ROW()/1000000000)</f>
        <v>4601.760000165</v>
      </c>
      <c r="K165" s="1" t="n">
        <f aca="false">IF($A165="",0,IF(AND($H165&lt;&gt;0,ABS($H165-$E165)&lt;0.005,$F165=0,$G165=0,ISNA(MATCH($C165,{"Land and Building","Furniture, Fixtures and Equipment","Intangible Assets","Share Capital","Retained Reserves","Investments &gt; 3 months"},0))),1,0))</f>
        <v>0</v>
      </c>
      <c r="L165" s="1" t="n">
        <f aca="false">IF($A165="",0,IF($D165=0,0,IF($H165*$D165&lt;0,1,0)))</f>
        <v>0</v>
      </c>
      <c r="M165" s="123"/>
    </row>
    <row r="166" customFormat="false" ht="13.5" hidden="false" customHeight="false" outlineLevel="0" collapsed="false">
      <c r="A166" s="1" t="str">
        <f aca="false">IF(Master_Mappings!N129="","",Master_Mappings!N129)</f>
        <v>1160</v>
      </c>
      <c r="B166" s="1" t="str">
        <f aca="false">IF($A166="","",Master_Mappings!O129)</f>
        <v>Staff Account - Tcheregnimin Soro</v>
      </c>
      <c r="C166" s="1" t="str">
        <f aca="false">IF($A166="","",Master_Mappings!P129)</f>
        <v>Other Receivables</v>
      </c>
      <c r="D166" s="1" t="n">
        <f aca="false">IF($A166="","",IFERROR(VLOOKUP($C166,$P$41:$Q$53,2,FALSE()),0))</f>
        <v>0</v>
      </c>
      <c r="E166" s="122" t="n">
        <f aca="false">IF($A166="","",SUMIFS(Trial_Balance!$E$2:$E$995,Trial_Balance!$C$2:$C$995,$A166,Trial_Balance!$B$2:$B$995,$O$1,Trial_Balance!$A$2:$A$995,Controls!$B$7))</f>
        <v>0</v>
      </c>
      <c r="F166" s="122" t="n">
        <f aca="false">IF($A166="","",SUMIFS(Trial_Balance!$F$2:$F$995,Trial_Balance!$C$2:$C$995,$A166,Trial_Balance!$B$2:$B$995,$O$1,Trial_Balance!$A$2:$A$995,Controls!$B$7))</f>
        <v>0</v>
      </c>
      <c r="G166" s="122" t="n">
        <f aca="false">IF($A166="","",SUMIFS(Trial_Balance!$G$2:$G$995,Trial_Balance!$C$2:$C$995,$A166,Trial_Balance!$B$2:$B$995,$O$1,Trial_Balance!$A$2:$A$995,Controls!$B$7))</f>
        <v>0</v>
      </c>
      <c r="H166" s="122" t="n">
        <f aca="false">IF($A166="","",SUMIFS(Trial_Balance!$H$2:$H$995,Trial_Balance!$C$2:$C$995,$A166,Trial_Balance!$B$2:$B$995,$O$1,Trial_Balance!$A$2:$A$995,Controls!$B$7))</f>
        <v>480.51</v>
      </c>
      <c r="I166" s="122" t="n">
        <f aca="false">IF($A166="","",$H166-$E166)</f>
        <v>480.51</v>
      </c>
      <c r="J166" s="1" t="n">
        <f aca="false">IF($A166="",0,ABS($I166)+ROW()/1000000000)</f>
        <v>480.510000166</v>
      </c>
      <c r="K166" s="1" t="n">
        <f aca="false">IF($A166="",0,IF(AND($H166&lt;&gt;0,ABS($H166-$E166)&lt;0.005,$F166=0,$G166=0,ISNA(MATCH($C166,{"Land and Building","Furniture, Fixtures and Equipment","Intangible Assets","Share Capital","Retained Reserves","Investments &gt; 3 months"},0))),1,0))</f>
        <v>0</v>
      </c>
      <c r="L166" s="1" t="n">
        <f aca="false">IF($A166="",0,IF($D166=0,0,IF($H166*$D166&lt;0,1,0)))</f>
        <v>0</v>
      </c>
      <c r="M166" s="123"/>
    </row>
    <row r="167" customFormat="false" ht="13.5" hidden="false" customHeight="false" outlineLevel="0" collapsed="false">
      <c r="A167" s="1" t="str">
        <f aca="false">IF(Master_Mappings!N130="","",Master_Mappings!N130)</f>
        <v>1161</v>
      </c>
      <c r="B167" s="1" t="str">
        <f aca="false">IF($A167="","",Master_Mappings!O130)</f>
        <v>Staff Account - Michael Anim Ofosu</v>
      </c>
      <c r="C167" s="1" t="str">
        <f aca="false">IF($A167="","",Master_Mappings!P130)</f>
        <v>Other Receivables</v>
      </c>
      <c r="D167" s="1" t="n">
        <f aca="false">IF($A167="","",IFERROR(VLOOKUP($C167,$P$41:$Q$53,2,FALSE()),0))</f>
        <v>0</v>
      </c>
      <c r="E167" s="122" t="n">
        <f aca="false">IF($A167="","",SUMIFS(Trial_Balance!$E$2:$E$995,Trial_Balance!$C$2:$C$995,$A167,Trial_Balance!$B$2:$B$995,$O$1,Trial_Balance!$A$2:$A$995,Controls!$B$7))</f>
        <v>0</v>
      </c>
      <c r="F167" s="122" t="n">
        <f aca="false">IF($A167="","",SUMIFS(Trial_Balance!$F$2:$F$995,Trial_Balance!$C$2:$C$995,$A167,Trial_Balance!$B$2:$B$995,$O$1,Trial_Balance!$A$2:$A$995,Controls!$B$7))</f>
        <v>0</v>
      </c>
      <c r="G167" s="122" t="n">
        <f aca="false">IF($A167="","",SUMIFS(Trial_Balance!$G$2:$G$995,Trial_Balance!$C$2:$C$995,$A167,Trial_Balance!$B$2:$B$995,$O$1,Trial_Balance!$A$2:$A$995,Controls!$B$7))</f>
        <v>0</v>
      </c>
      <c r="H167" s="122" t="n">
        <f aca="false">IF($A167="","",SUMIFS(Trial_Balance!$H$2:$H$995,Trial_Balance!$C$2:$C$995,$A167,Trial_Balance!$B$2:$B$995,$O$1,Trial_Balance!$A$2:$A$995,Controls!$B$7))</f>
        <v>-0.920000000001892</v>
      </c>
      <c r="I167" s="122" t="n">
        <f aca="false">IF($A167="","",$H167-$E167)</f>
        <v>-0.920000000001892</v>
      </c>
      <c r="J167" s="1" t="n">
        <f aca="false">IF($A167="",0,ABS($I167)+ROW()/1000000000)</f>
        <v>0.920000167001892</v>
      </c>
      <c r="K167" s="1" t="n">
        <f aca="false">IF($A167="",0,IF(AND($H167&lt;&gt;0,ABS($H167-$E167)&lt;0.005,$F167=0,$G167=0,ISNA(MATCH($C167,{"Land and Building","Furniture, Fixtures and Equipment","Intangible Assets","Share Capital","Retained Reserves","Investments &gt; 3 months"},0))),1,0))</f>
        <v>0</v>
      </c>
      <c r="L167" s="1" t="n">
        <f aca="false">IF($A167="",0,IF($D167=0,0,IF($H167*$D167&lt;0,1,0)))</f>
        <v>0</v>
      </c>
      <c r="M167" s="123"/>
    </row>
    <row r="168" customFormat="false" ht="13.5" hidden="false" customHeight="false" outlineLevel="0" collapsed="false">
      <c r="A168" s="1" t="str">
        <f aca="false">IF(Master_Mappings!N131="","",Master_Mappings!N131)</f>
        <v>1162</v>
      </c>
      <c r="B168" s="1" t="str">
        <f aca="false">IF($A168="","",Master_Mappings!O131)</f>
        <v>Staff Account - Philip Semaha</v>
      </c>
      <c r="C168" s="1" t="str">
        <f aca="false">IF($A168="","",Master_Mappings!P131)</f>
        <v>Other Receivables</v>
      </c>
      <c r="D168" s="1" t="n">
        <f aca="false">IF($A168="","",IFERROR(VLOOKUP($C168,$P$41:$Q$53,2,FALSE()),0))</f>
        <v>0</v>
      </c>
      <c r="E168" s="122" t="n">
        <f aca="false">IF($A168="","",SUMIFS(Trial_Balance!$E$2:$E$995,Trial_Balance!$C$2:$C$995,$A168,Trial_Balance!$B$2:$B$995,$O$1,Trial_Balance!$A$2:$A$995,Controls!$B$7))</f>
        <v>0</v>
      </c>
      <c r="F168" s="122" t="n">
        <f aca="false">IF($A168="","",SUMIFS(Trial_Balance!$F$2:$F$995,Trial_Balance!$C$2:$C$995,$A168,Trial_Balance!$B$2:$B$995,$O$1,Trial_Balance!$A$2:$A$995,Controls!$B$7))</f>
        <v>0</v>
      </c>
      <c r="G168" s="122" t="n">
        <f aca="false">IF($A168="","",SUMIFS(Trial_Balance!$G$2:$G$995,Trial_Balance!$C$2:$C$995,$A168,Trial_Balance!$B$2:$B$995,$O$1,Trial_Balance!$A$2:$A$995,Controls!$B$7))</f>
        <v>0</v>
      </c>
      <c r="H168" s="122" t="n">
        <f aca="false">IF($A168="","",SUMIFS(Trial_Balance!$H$2:$H$995,Trial_Balance!$C$2:$C$995,$A168,Trial_Balance!$B$2:$B$995,$O$1,Trial_Balance!$A$2:$A$995,Controls!$B$7))</f>
        <v>0.900000000000091</v>
      </c>
      <c r="I168" s="122" t="n">
        <f aca="false">IF($A168="","",$H168-$E168)</f>
        <v>0.900000000000091</v>
      </c>
      <c r="J168" s="1" t="n">
        <f aca="false">IF($A168="",0,ABS($I168)+ROW()/1000000000)</f>
        <v>0.900000168000091</v>
      </c>
      <c r="K168" s="1" t="n">
        <f aca="false">IF($A168="",0,IF(AND($H168&lt;&gt;0,ABS($H168-$E168)&lt;0.005,$F168=0,$G168=0,ISNA(MATCH($C168,{"Land and Building","Furniture, Fixtures and Equipment","Intangible Assets","Share Capital","Retained Reserves","Investments &gt; 3 months"},0))),1,0))</f>
        <v>0</v>
      </c>
      <c r="L168" s="1" t="n">
        <f aca="false">IF($A168="",0,IF($D168=0,0,IF($H168*$D168&lt;0,1,0)))</f>
        <v>0</v>
      </c>
      <c r="M168" s="123"/>
    </row>
    <row r="169" customFormat="false" ht="13.5" hidden="false" customHeight="false" outlineLevel="0" collapsed="false">
      <c r="A169" s="1" t="str">
        <f aca="false">IF(Master_Mappings!N132="","",Master_Mappings!N132)</f>
        <v>1163</v>
      </c>
      <c r="B169" s="1" t="str">
        <f aca="false">IF($A169="","",Master_Mappings!O132)</f>
        <v>Staff Account - Louis Defo</v>
      </c>
      <c r="C169" s="1" t="str">
        <f aca="false">IF($A169="","",Master_Mappings!P132)</f>
        <v>Other Receivables</v>
      </c>
      <c r="D169" s="1" t="n">
        <f aca="false">IF($A169="","",IFERROR(VLOOKUP($C169,$P$41:$Q$53,2,FALSE()),0))</f>
        <v>0</v>
      </c>
      <c r="E169" s="122" t="n">
        <f aca="false">IF($A169="","",SUMIFS(Trial_Balance!$E$2:$E$995,Trial_Balance!$C$2:$C$995,$A169,Trial_Balance!$B$2:$B$995,$O$1,Trial_Balance!$A$2:$A$995,Controls!$B$7))</f>
        <v>0</v>
      </c>
      <c r="F169" s="122" t="n">
        <f aca="false">IF($A169="","",SUMIFS(Trial_Balance!$F$2:$F$995,Trial_Balance!$C$2:$C$995,$A169,Trial_Balance!$B$2:$B$995,$O$1,Trial_Balance!$A$2:$A$995,Controls!$B$7))</f>
        <v>0</v>
      </c>
      <c r="G169" s="122" t="n">
        <f aca="false">IF($A169="","",SUMIFS(Trial_Balance!$G$2:$G$995,Trial_Balance!$C$2:$C$995,$A169,Trial_Balance!$B$2:$B$995,$O$1,Trial_Balance!$A$2:$A$995,Controls!$B$7))</f>
        <v>0</v>
      </c>
      <c r="H169" s="122" t="n">
        <f aca="false">IF($A169="","",SUMIFS(Trial_Balance!$H$2:$H$995,Trial_Balance!$C$2:$C$995,$A169,Trial_Balance!$B$2:$B$995,$O$1,Trial_Balance!$A$2:$A$995,Controls!$B$7))</f>
        <v>30258.55</v>
      </c>
      <c r="I169" s="122" t="n">
        <f aca="false">IF($A169="","",$H169-$E169)</f>
        <v>30258.55</v>
      </c>
      <c r="J169" s="1" t="n">
        <f aca="false">IF($A169="",0,ABS($I169)+ROW()/1000000000)</f>
        <v>30258.550000169</v>
      </c>
      <c r="K169" s="1" t="n">
        <f aca="false">IF($A169="",0,IF(AND($H169&lt;&gt;0,ABS($H169-$E169)&lt;0.005,$F169=0,$G169=0,ISNA(MATCH($C169,{"Land and Building","Furniture, Fixtures and Equipment","Intangible Assets","Share Capital","Retained Reserves","Investments &gt; 3 months"},0))),1,0))</f>
        <v>0</v>
      </c>
      <c r="L169" s="1" t="n">
        <f aca="false">IF($A169="",0,IF($D169=0,0,IF($H169*$D169&lt;0,1,0)))</f>
        <v>0</v>
      </c>
      <c r="M169" s="123"/>
    </row>
    <row r="170" customFormat="false" ht="13.5" hidden="false" customHeight="false" outlineLevel="0" collapsed="false">
      <c r="A170" s="1" t="str">
        <f aca="false">IF(Master_Mappings!N133="","",Master_Mappings!N133)</f>
        <v>7570</v>
      </c>
      <c r="B170" s="1" t="str">
        <f aca="false">IF($A170="","",Master_Mappings!O133)</f>
        <v>Office Equipment (expense)</v>
      </c>
      <c r="C170" s="1" t="str">
        <f aca="false">IF($A170="","",Master_Mappings!P133)</f>
        <v>Current P&amp;L</v>
      </c>
      <c r="D170" s="1" t="n">
        <f aca="false">IF($A170="","",IFERROR(VLOOKUP($C170,$P$41:$Q$53,2,FALSE()),0))</f>
        <v>0</v>
      </c>
      <c r="E170" s="122" t="n">
        <f aca="false">IF($A170="","",SUMIFS(Trial_Balance!$E$2:$E$995,Trial_Balance!$C$2:$C$995,$A170,Trial_Balance!$B$2:$B$995,$O$1,Trial_Balance!$A$2:$A$995,Controls!$B$7))</f>
        <v>0</v>
      </c>
      <c r="F170" s="122" t="n">
        <f aca="false">IF($A170="","",SUMIFS(Trial_Balance!$F$2:$F$995,Trial_Balance!$C$2:$C$995,$A170,Trial_Balance!$B$2:$B$995,$O$1,Trial_Balance!$A$2:$A$995,Controls!$B$7))</f>
        <v>0</v>
      </c>
      <c r="G170" s="122" t="n">
        <f aca="false">IF($A170="","",SUMIFS(Trial_Balance!$G$2:$G$995,Trial_Balance!$C$2:$C$995,$A170,Trial_Balance!$B$2:$B$995,$O$1,Trial_Balance!$A$2:$A$995,Controls!$B$7))</f>
        <v>0</v>
      </c>
      <c r="H170" s="122" t="n">
        <f aca="false">IF($A170="","",SUMIFS(Trial_Balance!$H$2:$H$995,Trial_Balance!$C$2:$C$995,$A170,Trial_Balance!$B$2:$B$995,$O$1,Trial_Balance!$A$2:$A$995,Controls!$B$7))</f>
        <v>200</v>
      </c>
      <c r="I170" s="122" t="n">
        <f aca="false">IF($A170="","",$H170-$E170)</f>
        <v>200</v>
      </c>
      <c r="J170" s="1" t="n">
        <f aca="false">IF($A170="",0,ABS($I170)+ROW()/1000000000)</f>
        <v>200.00000017</v>
      </c>
      <c r="K170" s="1" t="n">
        <f aca="false">IF($A170="",0,IF(AND($H170&lt;&gt;0,ABS($H170-$E170)&lt;0.005,$F170=0,$G170=0,ISNA(MATCH($C170,{"Land and Building","Furniture, Fixtures and Equipment","Intangible Assets","Share Capital","Retained Reserves","Investments &gt; 3 months"},0))),1,0))</f>
        <v>0</v>
      </c>
      <c r="L170" s="1" t="n">
        <f aca="false">IF($A170="",0,IF($D170=0,0,IF($H170*$D170&lt;0,1,0)))</f>
        <v>0</v>
      </c>
      <c r="M170" s="123"/>
    </row>
  </sheetData>
  <sheetProtection sheet="true" objects="true" scenarios="true"/>
  <mergeCells count="8">
    <mergeCell ref="A9:F9"/>
    <mergeCell ref="A23:F23"/>
    <mergeCell ref="A24:B24"/>
    <mergeCell ref="A25:B25"/>
    <mergeCell ref="A26:B26"/>
    <mergeCell ref="A27:B27"/>
    <mergeCell ref="A28:B28"/>
    <mergeCell ref="A29:B29"/>
  </mergeCells>
  <conditionalFormatting sqref="D25:E2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"REVIEW"</formula>
    </cfRule>
    <cfRule type="cellIs" priority="4" operator="equal" aboveAverage="0" equalAverage="0" bottom="0" percent="0" rank="0" text="" dxfId="2">
      <formula>"FAIL"</formula>
    </cfRule>
  </conditionalFormatting>
  <conditionalFormatting sqref="D25:D29">
    <cfRule type="cellIs" priority="5" operator="equal" aboveAverage="0" equalAverage="0" bottom="0" percent="0" rank="0" text="" dxfId="0">
      <formula>"PASS"</formula>
    </cfRule>
    <cfRule type="cellIs" priority="6" operator="equal" aboveAverage="0" equalAverage="0" bottom="0" percent="0" rank="0" text="" dxfId="1">
      <formula>"PASS WITH REVIEW"</formula>
    </cfRule>
  </conditionalFormatting>
  <dataValidations count="1">
    <dataValidation allowBlank="true" errorStyle="stop" operator="between" showDropDown="false" showErrorMessage="false" showInputMessage="false" sqref="M41:M17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44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34"/>
    <col collapsed="false" customWidth="true" hidden="false" outlineLevel="0" max="10" min="10" style="1" width="26"/>
    <col collapsed="false" customWidth="true" hidden="false" outlineLevel="0" max="11" min="11" style="1" width="38"/>
    <col collapsed="false" customWidth="true" hidden="false" outlineLevel="0" max="12" min="12" style="1" width="72"/>
  </cols>
  <sheetData>
    <row r="1" customFormat="false" ht="13.5" hidden="false" customHeight="false" outlineLevel="0" collapsed="false">
      <c r="A1" s="20" t="s">
        <v>3</v>
      </c>
      <c r="B1" s="20" t="s">
        <v>71</v>
      </c>
      <c r="C1" s="20" t="s">
        <v>500</v>
      </c>
      <c r="D1" s="20" t="s">
        <v>501</v>
      </c>
      <c r="E1" s="20" t="s">
        <v>462</v>
      </c>
      <c r="F1" s="20" t="s">
        <v>521</v>
      </c>
      <c r="G1" s="20" t="s">
        <v>522</v>
      </c>
      <c r="H1" s="20" t="s">
        <v>463</v>
      </c>
      <c r="I1" s="20" t="s">
        <v>513</v>
      </c>
      <c r="J1" s="20" t="s">
        <v>523</v>
      </c>
      <c r="K1" s="20" t="s">
        <v>524</v>
      </c>
      <c r="L1" s="20" t="s">
        <v>525</v>
      </c>
      <c r="M1" s="124" t="s">
        <v>526</v>
      </c>
    </row>
    <row r="2" customFormat="false" ht="14.9" hidden="false" customHeight="false" outlineLevel="0" collapsed="false">
      <c r="A2" s="20" t="s">
        <v>49</v>
      </c>
      <c r="B2" s="20" t="s">
        <v>89</v>
      </c>
      <c r="C2" s="20" t="s">
        <v>527</v>
      </c>
      <c r="D2" s="20" t="s">
        <v>528</v>
      </c>
      <c r="E2" s="125" t="n">
        <v>1773494.78</v>
      </c>
      <c r="F2" s="125" t="n">
        <v>0</v>
      </c>
      <c r="G2" s="125" t="n">
        <v>0</v>
      </c>
      <c r="H2" s="126" t="n">
        <v>1773494.78</v>
      </c>
      <c r="I2" s="20" t="str">
        <f aca="false">IF($C2="","",IFERROR(VLOOKUP($C2,Master_Mappings!$N$4:$S$200,3,FALSE()),"UNMAPPED"))</f>
        <v>Land and Building</v>
      </c>
      <c r="J2" s="20" t="n">
        <f aca="false">IF($C2="","",IFERROR(VLOOKUP($C2,Master_Mappings!$N$4:$S$134,4,FALSE()),""))</f>
        <v>0</v>
      </c>
      <c r="K2" s="20" t="s">
        <v>529</v>
      </c>
      <c r="L2" s="20" t="s">
        <v>530</v>
      </c>
      <c r="M2" s="1" t="n">
        <f aca="false">IF($C2="","",IFERROR(VLOOKUP($C2,Master_Mappings!$N$4:$S$200,6,FALSE()),""))</f>
        <v>0</v>
      </c>
    </row>
    <row r="3" customFormat="false" ht="14.9" hidden="false" customHeight="false" outlineLevel="0" collapsed="false">
      <c r="A3" s="20" t="s">
        <v>49</v>
      </c>
      <c r="B3" s="20" t="s">
        <v>89</v>
      </c>
      <c r="C3" s="20" t="s">
        <v>531</v>
      </c>
      <c r="D3" s="20" t="s">
        <v>532</v>
      </c>
      <c r="E3" s="125" t="n">
        <v>-360409.84</v>
      </c>
      <c r="F3" s="125" t="n">
        <v>0</v>
      </c>
      <c r="G3" s="125" t="n">
        <v>0</v>
      </c>
      <c r="H3" s="126" t="n">
        <v>-360409.84</v>
      </c>
      <c r="I3" s="20" t="str">
        <f aca="false">IF($C3="","",IFERROR(VLOOKUP($C3,Master_Mappings!$N$4:$S$200,3,FALSE()),"UNMAPPED"))</f>
        <v>Land and Building</v>
      </c>
      <c r="J3" s="20" t="n">
        <f aca="false">IF($C3="","",IFERROR(VLOOKUP($C3,Master_Mappings!$N$4:$S$134,4,FALSE()),""))</f>
        <v>0</v>
      </c>
      <c r="K3" s="20" t="s">
        <v>529</v>
      </c>
      <c r="L3" s="20" t="s">
        <v>530</v>
      </c>
      <c r="M3" s="1" t="n">
        <f aca="false">IF($C3="","",IFERROR(VLOOKUP($C3,Master_Mappings!$N$4:$S$200,6,FALSE()),""))</f>
        <v>0</v>
      </c>
    </row>
    <row r="4" customFormat="false" ht="14.9" hidden="false" customHeight="false" outlineLevel="0" collapsed="false">
      <c r="A4" s="20" t="s">
        <v>49</v>
      </c>
      <c r="B4" s="20" t="s">
        <v>89</v>
      </c>
      <c r="C4" s="20" t="s">
        <v>533</v>
      </c>
      <c r="D4" s="20" t="s">
        <v>534</v>
      </c>
      <c r="E4" s="125" t="n">
        <v>270734.8</v>
      </c>
      <c r="F4" s="125" t="n">
        <v>0</v>
      </c>
      <c r="G4" s="125" t="n">
        <v>0</v>
      </c>
      <c r="H4" s="126" t="n">
        <v>270734.8</v>
      </c>
      <c r="I4" s="20" t="str">
        <f aca="false">IF($C4="","",IFERROR(VLOOKUP($C4,Master_Mappings!$N$4:$S$200,3,FALSE()),"UNMAPPED"))</f>
        <v>Furniture, Fixtures and Equipment</v>
      </c>
      <c r="J4" s="20" t="n">
        <f aca="false">IF($C4="","",IFERROR(VLOOKUP($C4,Master_Mappings!$N$4:$S$134,4,FALSE()),""))</f>
        <v>0</v>
      </c>
      <c r="K4" s="20" t="s">
        <v>529</v>
      </c>
      <c r="L4" s="20" t="s">
        <v>530</v>
      </c>
      <c r="M4" s="1" t="n">
        <f aca="false">IF($C4="","",IFERROR(VLOOKUP($C4,Master_Mappings!$N$4:$S$200,6,FALSE()),""))</f>
        <v>0</v>
      </c>
    </row>
    <row r="5" customFormat="false" ht="14.9" hidden="false" customHeight="false" outlineLevel="0" collapsed="false">
      <c r="A5" s="20" t="s">
        <v>49</v>
      </c>
      <c r="B5" s="20" t="s">
        <v>89</v>
      </c>
      <c r="C5" s="20" t="s">
        <v>535</v>
      </c>
      <c r="D5" s="20" t="s">
        <v>536</v>
      </c>
      <c r="E5" s="125" t="n">
        <v>-138324.49</v>
      </c>
      <c r="F5" s="125" t="n">
        <v>0</v>
      </c>
      <c r="G5" s="125" t="n">
        <v>0</v>
      </c>
      <c r="H5" s="126" t="n">
        <v>-138324.49</v>
      </c>
      <c r="I5" s="20" t="str">
        <f aca="false">IF($C5="","",IFERROR(VLOOKUP($C5,Master_Mappings!$N$4:$S$200,3,FALSE()),"UNMAPPED"))</f>
        <v>Furniture, Fixtures and Equipment</v>
      </c>
      <c r="J5" s="20" t="n">
        <f aca="false">IF($C5="","",IFERROR(VLOOKUP($C5,Master_Mappings!$N$4:$S$134,4,FALSE()),""))</f>
        <v>0</v>
      </c>
      <c r="K5" s="20" t="s">
        <v>529</v>
      </c>
      <c r="L5" s="20" t="s">
        <v>530</v>
      </c>
      <c r="M5" s="1" t="n">
        <f aca="false">IF($C5="","",IFERROR(VLOOKUP($C5,Master_Mappings!$N$4:$S$200,6,FALSE()),""))</f>
        <v>0</v>
      </c>
    </row>
    <row r="6" customFormat="false" ht="14.9" hidden="false" customHeight="false" outlineLevel="0" collapsed="false">
      <c r="A6" s="20" t="s">
        <v>49</v>
      </c>
      <c r="B6" s="20" t="s">
        <v>89</v>
      </c>
      <c r="C6" s="20" t="s">
        <v>537</v>
      </c>
      <c r="D6" s="20" t="s">
        <v>538</v>
      </c>
      <c r="E6" s="125" t="n">
        <v>173331.48</v>
      </c>
      <c r="F6" s="125" t="n">
        <v>0</v>
      </c>
      <c r="G6" s="125" t="n">
        <v>0</v>
      </c>
      <c r="H6" s="126" t="n">
        <v>198452.45</v>
      </c>
      <c r="I6" s="20" t="str">
        <f aca="false">IF($C6="","",IFERROR(VLOOKUP($C6,Master_Mappings!$N$4:$S$200,3,FALSE()),"UNMAPPED"))</f>
        <v>Furniture, Fixtures and Equipment</v>
      </c>
      <c r="J6" s="20" t="n">
        <f aca="false">IF($C6="","",IFERROR(VLOOKUP($C6,Master_Mappings!$N$4:$S$134,4,FALSE()),""))</f>
        <v>0</v>
      </c>
      <c r="K6" s="20" t="s">
        <v>529</v>
      </c>
      <c r="L6" s="20" t="s">
        <v>530</v>
      </c>
      <c r="M6" s="1" t="n">
        <f aca="false">IF($C6="","",IFERROR(VLOOKUP($C6,Master_Mappings!$N$4:$S$200,6,FALSE()),""))</f>
        <v>0</v>
      </c>
    </row>
    <row r="7" customFormat="false" ht="14.9" hidden="false" customHeight="false" outlineLevel="0" collapsed="false">
      <c r="A7" s="20" t="s">
        <v>49</v>
      </c>
      <c r="B7" s="20" t="s">
        <v>89</v>
      </c>
      <c r="C7" s="20" t="s">
        <v>539</v>
      </c>
      <c r="D7" s="20" t="s">
        <v>540</v>
      </c>
      <c r="E7" s="125" t="n">
        <v>-79970.85</v>
      </c>
      <c r="F7" s="125" t="n">
        <v>0</v>
      </c>
      <c r="G7" s="125" t="n">
        <v>0</v>
      </c>
      <c r="H7" s="126" t="n">
        <v>-79970.85</v>
      </c>
      <c r="I7" s="20" t="str">
        <f aca="false">IF($C7="","",IFERROR(VLOOKUP($C7,Master_Mappings!$N$4:$S$200,3,FALSE()),"UNMAPPED"))</f>
        <v>Furniture, Fixtures and Equipment</v>
      </c>
      <c r="J7" s="20" t="n">
        <f aca="false">IF($C7="","",IFERROR(VLOOKUP($C7,Master_Mappings!$N$4:$S$134,4,FALSE()),""))</f>
        <v>0</v>
      </c>
      <c r="K7" s="20" t="s">
        <v>529</v>
      </c>
      <c r="L7" s="20" t="s">
        <v>530</v>
      </c>
      <c r="M7" s="1" t="n">
        <f aca="false">IF($C7="","",IFERROR(VLOOKUP($C7,Master_Mappings!$N$4:$S$200,6,FALSE()),""))</f>
        <v>0</v>
      </c>
    </row>
    <row r="8" customFormat="false" ht="14.9" hidden="false" customHeight="false" outlineLevel="0" collapsed="false">
      <c r="A8" s="20" t="s">
        <v>49</v>
      </c>
      <c r="B8" s="20" t="s">
        <v>89</v>
      </c>
      <c r="C8" s="20" t="s">
        <v>541</v>
      </c>
      <c r="D8" s="20" t="s">
        <v>542</v>
      </c>
      <c r="E8" s="125" t="n">
        <v>895202.13</v>
      </c>
      <c r="F8" s="125" t="n">
        <v>0</v>
      </c>
      <c r="G8" s="125" t="n">
        <v>0</v>
      </c>
      <c r="H8" s="126" t="n">
        <v>964004.34</v>
      </c>
      <c r="I8" s="20" t="str">
        <f aca="false">IF($C8="","",IFERROR(VLOOKUP($C8,Master_Mappings!$N$4:$S$200,3,FALSE()),"UNMAPPED"))</f>
        <v>Furniture, Fixtures and Equipment</v>
      </c>
      <c r="J8" s="20" t="n">
        <f aca="false">IF($C8="","",IFERROR(VLOOKUP($C8,Master_Mappings!$N$4:$S$134,4,FALSE()),""))</f>
        <v>0</v>
      </c>
      <c r="K8" s="20" t="s">
        <v>529</v>
      </c>
      <c r="L8" s="20" t="s">
        <v>530</v>
      </c>
      <c r="M8" s="1" t="n">
        <f aca="false">IF($C8="","",IFERROR(VLOOKUP($C8,Master_Mappings!$N$4:$S$200,6,FALSE()),""))</f>
        <v>0</v>
      </c>
    </row>
    <row r="9" customFormat="false" ht="14.9" hidden="false" customHeight="false" outlineLevel="0" collapsed="false">
      <c r="A9" s="20" t="s">
        <v>49</v>
      </c>
      <c r="B9" s="20" t="s">
        <v>89</v>
      </c>
      <c r="C9" s="20" t="s">
        <v>543</v>
      </c>
      <c r="D9" s="20" t="s">
        <v>544</v>
      </c>
      <c r="E9" s="125" t="n">
        <v>-631809.86</v>
      </c>
      <c r="F9" s="125" t="n">
        <v>0</v>
      </c>
      <c r="G9" s="125" t="n">
        <v>0</v>
      </c>
      <c r="H9" s="126" t="n">
        <v>-631809.86</v>
      </c>
      <c r="I9" s="20" t="str">
        <f aca="false">IF($C9="","",IFERROR(VLOOKUP($C9,Master_Mappings!$N$4:$S$200,3,FALSE()),"UNMAPPED"))</f>
        <v>Furniture, Fixtures and Equipment</v>
      </c>
      <c r="J9" s="20" t="n">
        <f aca="false">IF($C9="","",IFERROR(VLOOKUP($C9,Master_Mappings!$N$4:$S$134,4,FALSE()),""))</f>
        <v>0</v>
      </c>
      <c r="K9" s="20" t="s">
        <v>529</v>
      </c>
      <c r="L9" s="20" t="s">
        <v>530</v>
      </c>
      <c r="M9" s="1" t="n">
        <f aca="false">IF($C9="","",IFERROR(VLOOKUP($C9,Master_Mappings!$N$4:$S$200,6,FALSE()),""))</f>
        <v>0</v>
      </c>
    </row>
    <row r="10" customFormat="false" ht="14.9" hidden="false" customHeight="false" outlineLevel="0" collapsed="false">
      <c r="A10" s="20" t="s">
        <v>49</v>
      </c>
      <c r="B10" s="20" t="s">
        <v>89</v>
      </c>
      <c r="C10" s="20" t="s">
        <v>545</v>
      </c>
      <c r="D10" s="20" t="s">
        <v>546</v>
      </c>
      <c r="E10" s="125" t="n">
        <v>52026.65</v>
      </c>
      <c r="F10" s="125" t="n">
        <v>0</v>
      </c>
      <c r="G10" s="125" t="n">
        <v>0</v>
      </c>
      <c r="H10" s="126" t="n">
        <v>52026.65</v>
      </c>
      <c r="I10" s="20" t="str">
        <f aca="false">IF($C10="","",IFERROR(VLOOKUP($C10,Master_Mappings!$N$4:$S$200,3,FALSE()),"UNMAPPED"))</f>
        <v>Furniture, Fixtures and Equipment</v>
      </c>
      <c r="J10" s="20" t="n">
        <f aca="false">IF($C10="","",IFERROR(VLOOKUP($C10,Master_Mappings!$N$4:$S$134,4,FALSE()),""))</f>
        <v>0</v>
      </c>
      <c r="K10" s="20" t="s">
        <v>529</v>
      </c>
      <c r="L10" s="20" t="s">
        <v>530</v>
      </c>
      <c r="M10" s="1" t="n">
        <f aca="false">IF($C10="","",IFERROR(VLOOKUP($C10,Master_Mappings!$N$4:$S$200,6,FALSE()),""))</f>
        <v>0</v>
      </c>
    </row>
    <row r="11" customFormat="false" ht="14.9" hidden="false" customHeight="false" outlineLevel="0" collapsed="false">
      <c r="A11" s="20" t="s">
        <v>49</v>
      </c>
      <c r="B11" s="20" t="s">
        <v>89</v>
      </c>
      <c r="C11" s="20" t="s">
        <v>547</v>
      </c>
      <c r="D11" s="20" t="s">
        <v>548</v>
      </c>
      <c r="E11" s="125" t="n">
        <v>-52022.9</v>
      </c>
      <c r="F11" s="125" t="n">
        <v>0</v>
      </c>
      <c r="G11" s="125" t="n">
        <v>0</v>
      </c>
      <c r="H11" s="126" t="n">
        <v>-52022.9</v>
      </c>
      <c r="I11" s="20" t="str">
        <f aca="false">IF($C11="","",IFERROR(VLOOKUP($C11,Master_Mappings!$N$4:$S$200,3,FALSE()),"UNMAPPED"))</f>
        <v>Furniture, Fixtures and Equipment</v>
      </c>
      <c r="J11" s="20" t="n">
        <f aca="false">IF($C11="","",IFERROR(VLOOKUP($C11,Master_Mappings!$N$4:$S$134,4,FALSE()),""))</f>
        <v>0</v>
      </c>
      <c r="K11" s="20" t="s">
        <v>529</v>
      </c>
      <c r="L11" s="20" t="s">
        <v>530</v>
      </c>
      <c r="M11" s="1" t="n">
        <f aca="false">IF($C11="","",IFERROR(VLOOKUP($C11,Master_Mappings!$N$4:$S$200,6,FALSE()),""))</f>
        <v>0</v>
      </c>
    </row>
    <row r="12" customFormat="false" ht="14.9" hidden="false" customHeight="false" outlineLevel="0" collapsed="false">
      <c r="A12" s="20" t="s">
        <v>49</v>
      </c>
      <c r="B12" s="20" t="s">
        <v>89</v>
      </c>
      <c r="C12" s="20" t="s">
        <v>549</v>
      </c>
      <c r="D12" s="20" t="s">
        <v>550</v>
      </c>
      <c r="E12" s="125" t="n">
        <v>437827.99</v>
      </c>
      <c r="F12" s="125" t="n">
        <v>0</v>
      </c>
      <c r="G12" s="125" t="n">
        <v>0</v>
      </c>
      <c r="H12" s="126" t="n">
        <v>452848.98</v>
      </c>
      <c r="I12" s="20" t="str">
        <f aca="false">IF($C12="","",IFERROR(VLOOKUP($C12,Master_Mappings!$N$4:$S$200,3,FALSE()),"UNMAPPED"))</f>
        <v>Intangible Assets</v>
      </c>
      <c r="J12" s="20" t="n">
        <f aca="false">IF($C12="","",IFERROR(VLOOKUP($C12,Master_Mappings!$N$4:$S$134,4,FALSE()),""))</f>
        <v>0</v>
      </c>
      <c r="K12" s="20" t="s">
        <v>529</v>
      </c>
      <c r="L12" s="20" t="s">
        <v>530</v>
      </c>
      <c r="M12" s="1" t="n">
        <f aca="false">IF($C12="","",IFERROR(VLOOKUP($C12,Master_Mappings!$N$4:$S$200,6,FALSE()),""))</f>
        <v>0</v>
      </c>
    </row>
    <row r="13" customFormat="false" ht="14.9" hidden="false" customHeight="false" outlineLevel="0" collapsed="false">
      <c r="A13" s="20" t="s">
        <v>49</v>
      </c>
      <c r="B13" s="20" t="s">
        <v>89</v>
      </c>
      <c r="C13" s="20" t="s">
        <v>551</v>
      </c>
      <c r="D13" s="20" t="s">
        <v>552</v>
      </c>
      <c r="E13" s="125" t="n">
        <v>-144759.24</v>
      </c>
      <c r="F13" s="125" t="n">
        <v>0</v>
      </c>
      <c r="G13" s="125" t="n">
        <v>0</v>
      </c>
      <c r="H13" s="126" t="n">
        <v>-144759.24</v>
      </c>
      <c r="I13" s="20" t="str">
        <f aca="false">IF($C13="","",IFERROR(VLOOKUP($C13,Master_Mappings!$N$4:$S$200,3,FALSE()),"UNMAPPED"))</f>
        <v>Intangible Assets</v>
      </c>
      <c r="J13" s="20" t="n">
        <f aca="false">IF($C13="","",IFERROR(VLOOKUP($C13,Master_Mappings!$N$4:$S$134,4,FALSE()),""))</f>
        <v>0</v>
      </c>
      <c r="K13" s="20" t="s">
        <v>529</v>
      </c>
      <c r="L13" s="20" t="s">
        <v>530</v>
      </c>
      <c r="M13" s="1" t="n">
        <f aca="false">IF($C13="","",IFERROR(VLOOKUP($C13,Master_Mappings!$N$4:$S$200,6,FALSE()),""))</f>
        <v>0</v>
      </c>
    </row>
    <row r="14" customFormat="false" ht="14.9" hidden="false" customHeight="false" outlineLevel="0" collapsed="false">
      <c r="A14" s="20" t="s">
        <v>49</v>
      </c>
      <c r="B14" s="20" t="s">
        <v>89</v>
      </c>
      <c r="C14" s="20" t="s">
        <v>553</v>
      </c>
      <c r="D14" s="20" t="s">
        <v>554</v>
      </c>
      <c r="E14" s="125" t="n">
        <v>815264.37</v>
      </c>
      <c r="F14" s="125" t="n">
        <v>0</v>
      </c>
      <c r="G14" s="125" t="n">
        <v>0</v>
      </c>
      <c r="H14" s="126" t="n">
        <v>1244618</v>
      </c>
      <c r="I14" s="20" t="str">
        <f aca="false">IF($C14="","",IFERROR(VLOOKUP($C14,Master_Mappings!$N$4:$S$200,3,FALSE()),"UNMAPPED"))</f>
        <v>Trade Debtors</v>
      </c>
      <c r="J14" s="20" t="n">
        <f aca="false">IF($C14="","",IFERROR(VLOOKUP($C14,Master_Mappings!$N$4:$S$134,4,FALSE()),""))</f>
        <v>0</v>
      </c>
      <c r="K14" s="20" t="s">
        <v>529</v>
      </c>
      <c r="L14" s="20" t="s">
        <v>530</v>
      </c>
      <c r="M14" s="1" t="n">
        <f aca="false">IF($C14="","",IFERROR(VLOOKUP($C14,Master_Mappings!$N$4:$S$200,6,FALSE()),""))</f>
        <v>0</v>
      </c>
    </row>
    <row r="15" customFormat="false" ht="14.9" hidden="false" customHeight="false" outlineLevel="0" collapsed="false">
      <c r="A15" s="20" t="s">
        <v>49</v>
      </c>
      <c r="B15" s="20" t="s">
        <v>89</v>
      </c>
      <c r="C15" s="20" t="s">
        <v>555</v>
      </c>
      <c r="D15" s="20" t="s">
        <v>556</v>
      </c>
      <c r="E15" s="125" t="n">
        <v>4576083.16</v>
      </c>
      <c r="F15" s="125" t="n">
        <v>0</v>
      </c>
      <c r="G15" s="125" t="n">
        <v>0</v>
      </c>
      <c r="H15" s="126" t="n">
        <v>5632577.64</v>
      </c>
      <c r="I15" s="20" t="str">
        <f aca="false">IF($C15="","",IFERROR(VLOOKUP($C15,Master_Mappings!$N$4:$S$200,3,FALSE()),"UNMAPPED"))</f>
        <v>Trade Debtors</v>
      </c>
      <c r="J15" s="20" t="n">
        <f aca="false">IF($C15="","",IFERROR(VLOOKUP($C15,Master_Mappings!$N$4:$S$134,4,FALSE()),""))</f>
        <v>0</v>
      </c>
      <c r="K15" s="20" t="s">
        <v>529</v>
      </c>
      <c r="L15" s="20" t="s">
        <v>530</v>
      </c>
      <c r="M15" s="1" t="n">
        <f aca="false">IF($C15="","",IFERROR(VLOOKUP($C15,Master_Mappings!$N$4:$S$200,6,FALSE()),""))</f>
        <v>0</v>
      </c>
    </row>
    <row r="16" customFormat="false" ht="14.9" hidden="false" customHeight="false" outlineLevel="0" collapsed="false">
      <c r="A16" s="20" t="s">
        <v>49</v>
      </c>
      <c r="B16" s="20" t="s">
        <v>89</v>
      </c>
      <c r="C16" s="20" t="s">
        <v>557</v>
      </c>
      <c r="D16" s="20" t="s">
        <v>558</v>
      </c>
      <c r="E16" s="125" t="n">
        <v>-0.6</v>
      </c>
      <c r="F16" s="125" t="n">
        <v>0</v>
      </c>
      <c r="G16" s="125" t="n">
        <v>0</v>
      </c>
      <c r="H16" s="126" t="n">
        <v>-0.6</v>
      </c>
      <c r="I16" s="20" t="str">
        <f aca="false">IF($C16="","",IFERROR(VLOOKUP($C16,Master_Mappings!$N$4:$S$200,3,FALSE()),"UNMAPPED"))</f>
        <v>Other Receivables</v>
      </c>
      <c r="J16" s="20" t="n">
        <f aca="false">IF($C16="","",IFERROR(VLOOKUP($C16,Master_Mappings!$N$4:$S$134,4,FALSE()),""))</f>
        <v>0</v>
      </c>
      <c r="K16" s="20" t="s">
        <v>529</v>
      </c>
      <c r="L16" s="20" t="s">
        <v>530</v>
      </c>
      <c r="M16" s="1" t="n">
        <f aca="false">IF($C16="","",IFERROR(VLOOKUP($C16,Master_Mappings!$N$4:$S$200,6,FALSE()),""))</f>
        <v>0</v>
      </c>
    </row>
    <row r="17" customFormat="false" ht="14.9" hidden="false" customHeight="false" outlineLevel="0" collapsed="false">
      <c r="A17" s="20" t="s">
        <v>49</v>
      </c>
      <c r="B17" s="20" t="s">
        <v>89</v>
      </c>
      <c r="C17" s="20" t="s">
        <v>559</v>
      </c>
      <c r="D17" s="20" t="s">
        <v>560</v>
      </c>
      <c r="E17" s="125" t="n">
        <v>93064.18</v>
      </c>
      <c r="F17" s="125" t="n">
        <v>0</v>
      </c>
      <c r="G17" s="125" t="n">
        <v>0</v>
      </c>
      <c r="H17" s="126" t="n">
        <v>92813.98</v>
      </c>
      <c r="I17" s="20" t="str">
        <f aca="false">IF($C17="","",IFERROR(VLOOKUP($C17,Master_Mappings!$N$4:$S$200,3,FALSE()),"UNMAPPED"))</f>
        <v>Other Receivables</v>
      </c>
      <c r="J17" s="20" t="n">
        <f aca="false">IF($C17="","",IFERROR(VLOOKUP($C17,Master_Mappings!$N$4:$S$134,4,FALSE()),""))</f>
        <v>0</v>
      </c>
      <c r="K17" s="20" t="s">
        <v>529</v>
      </c>
      <c r="L17" s="20" t="s">
        <v>530</v>
      </c>
      <c r="M17" s="1" t="n">
        <f aca="false">IF($C17="","",IFERROR(VLOOKUP($C17,Master_Mappings!$N$4:$S$200,6,FALSE()),""))</f>
        <v>0</v>
      </c>
    </row>
    <row r="18" customFormat="false" ht="14.9" hidden="false" customHeight="false" outlineLevel="0" collapsed="false">
      <c r="A18" s="20" t="s">
        <v>49</v>
      </c>
      <c r="B18" s="20" t="s">
        <v>89</v>
      </c>
      <c r="C18" s="20" t="s">
        <v>561</v>
      </c>
      <c r="D18" s="20" t="s">
        <v>562</v>
      </c>
      <c r="E18" s="125" t="n">
        <v>13430</v>
      </c>
      <c r="F18" s="125" t="n">
        <v>0</v>
      </c>
      <c r="G18" s="125" t="n">
        <v>0</v>
      </c>
      <c r="H18" s="126" t="n">
        <v>1000</v>
      </c>
      <c r="I18" s="20" t="str">
        <f aca="false">IF($C18="","",IFERROR(VLOOKUP($C18,Master_Mappings!$N$4:$S$200,3,FALSE()),"UNMAPPED"))</f>
        <v>Other Receivables</v>
      </c>
      <c r="J18" s="20" t="n">
        <f aca="false">IF($C18="","",IFERROR(VLOOKUP($C18,Master_Mappings!$N$4:$S$134,4,FALSE()),""))</f>
        <v>0</v>
      </c>
      <c r="K18" s="20" t="s">
        <v>529</v>
      </c>
      <c r="L18" s="20" t="s">
        <v>530</v>
      </c>
      <c r="M18" s="1" t="n">
        <f aca="false">IF($C18="","",IFERROR(VLOOKUP($C18,Master_Mappings!$N$4:$S$200,6,FALSE()),""))</f>
        <v>0</v>
      </c>
    </row>
    <row r="19" customFormat="false" ht="14.9" hidden="false" customHeight="false" outlineLevel="0" collapsed="false">
      <c r="A19" s="20" t="s">
        <v>49</v>
      </c>
      <c r="B19" s="20" t="s">
        <v>89</v>
      </c>
      <c r="C19" s="20" t="s">
        <v>563</v>
      </c>
      <c r="D19" s="20" t="s">
        <v>564</v>
      </c>
      <c r="E19" s="125" t="n">
        <v>-163.31</v>
      </c>
      <c r="F19" s="125" t="n">
        <v>0</v>
      </c>
      <c r="G19" s="125" t="n">
        <v>0</v>
      </c>
      <c r="H19" s="126" t="n">
        <v>-163.31</v>
      </c>
      <c r="I19" s="20" t="str">
        <f aca="false">IF($C19="","",IFERROR(VLOOKUP($C19,Master_Mappings!$N$4:$S$200,3,FALSE()),"UNMAPPED"))</f>
        <v>Other Receivables</v>
      </c>
      <c r="J19" s="20" t="n">
        <f aca="false">IF($C19="","",IFERROR(VLOOKUP($C19,Master_Mappings!$N$4:$S$134,4,FALSE()),""))</f>
        <v>0</v>
      </c>
      <c r="K19" s="20" t="s">
        <v>529</v>
      </c>
      <c r="L19" s="20" t="s">
        <v>530</v>
      </c>
      <c r="M19" s="1" t="n">
        <f aca="false">IF($C19="","",IFERROR(VLOOKUP($C19,Master_Mappings!$N$4:$S$200,6,FALSE()),""))</f>
        <v>0</v>
      </c>
    </row>
    <row r="20" customFormat="false" ht="14.9" hidden="false" customHeight="false" outlineLevel="0" collapsed="false">
      <c r="A20" s="20" t="s">
        <v>49</v>
      </c>
      <c r="B20" s="20" t="s">
        <v>89</v>
      </c>
      <c r="C20" s="20" t="s">
        <v>565</v>
      </c>
      <c r="D20" s="20" t="s">
        <v>566</v>
      </c>
      <c r="E20" s="125" t="n">
        <v>13080</v>
      </c>
      <c r="F20" s="125" t="n">
        <v>0</v>
      </c>
      <c r="G20" s="125" t="n">
        <v>0</v>
      </c>
      <c r="H20" s="126" t="n">
        <v>-970.49</v>
      </c>
      <c r="I20" s="20" t="str">
        <f aca="false">IF($C20="","",IFERROR(VLOOKUP($C20,Master_Mappings!$N$4:$S$200,3,FALSE()),"UNMAPPED"))</f>
        <v>Other Receivables</v>
      </c>
      <c r="J20" s="20" t="n">
        <f aca="false">IF($C20="","",IFERROR(VLOOKUP($C20,Master_Mappings!$N$4:$S$134,4,FALSE()),""))</f>
        <v>0</v>
      </c>
      <c r="K20" s="20" t="s">
        <v>529</v>
      </c>
      <c r="L20" s="20" t="s">
        <v>567</v>
      </c>
      <c r="M20" s="1" t="n">
        <f aca="false">IF($C20="","",IFERROR(VLOOKUP($C20,Master_Mappings!$N$4:$S$200,6,FALSE()),""))</f>
        <v>0</v>
      </c>
    </row>
    <row r="21" customFormat="false" ht="14.9" hidden="false" customHeight="false" outlineLevel="0" collapsed="false">
      <c r="A21" s="20" t="s">
        <v>49</v>
      </c>
      <c r="B21" s="20" t="s">
        <v>89</v>
      </c>
      <c r="C21" s="20" t="s">
        <v>568</v>
      </c>
      <c r="D21" s="20" t="s">
        <v>569</v>
      </c>
      <c r="E21" s="125" t="n">
        <v>-2759.98</v>
      </c>
      <c r="F21" s="125" t="n">
        <v>0</v>
      </c>
      <c r="G21" s="125" t="n">
        <v>0</v>
      </c>
      <c r="H21" s="126" t="n">
        <v>-5309.81</v>
      </c>
      <c r="I21" s="20" t="str">
        <f aca="false">IF($C21="","",IFERROR(VLOOKUP($C21,Master_Mappings!$N$4:$S$200,3,FALSE()),"UNMAPPED"))</f>
        <v>Other Receivables</v>
      </c>
      <c r="J21" s="20" t="n">
        <f aca="false">IF($C21="","",IFERROR(VLOOKUP($C21,Master_Mappings!$N$4:$S$134,4,FALSE()),""))</f>
        <v>0</v>
      </c>
      <c r="K21" s="20" t="s">
        <v>529</v>
      </c>
      <c r="L21" s="20" t="s">
        <v>530</v>
      </c>
      <c r="M21" s="1" t="n">
        <f aca="false">IF($C21="","",IFERROR(VLOOKUP($C21,Master_Mappings!$N$4:$S$200,6,FALSE()),""))</f>
        <v>0</v>
      </c>
    </row>
    <row r="22" customFormat="false" ht="14.9" hidden="false" customHeight="false" outlineLevel="0" collapsed="false">
      <c r="A22" s="20" t="s">
        <v>49</v>
      </c>
      <c r="B22" s="20" t="s">
        <v>89</v>
      </c>
      <c r="C22" s="20" t="s">
        <v>570</v>
      </c>
      <c r="D22" s="20" t="s">
        <v>571</v>
      </c>
      <c r="E22" s="125" t="n">
        <v>0</v>
      </c>
      <c r="F22" s="125" t="n">
        <v>0</v>
      </c>
      <c r="G22" s="125" t="n">
        <v>0</v>
      </c>
      <c r="H22" s="126" t="n">
        <v>4601.76</v>
      </c>
      <c r="I22" s="20" t="str">
        <f aca="false">IF($C22="","",IFERROR(VLOOKUP($C22,Master_Mappings!$N$4:$S$200,3,FALSE()),"UNMAPPED"))</f>
        <v>Other Receivables</v>
      </c>
      <c r="J22" s="20" t="n">
        <f aca="false">IF($C22="","",IFERROR(VLOOKUP($C22,Master_Mappings!$N$4:$S$134,4,FALSE()),""))</f>
        <v>0</v>
      </c>
      <c r="K22" s="20" t="s">
        <v>529</v>
      </c>
      <c r="L22" s="20" t="s">
        <v>530</v>
      </c>
      <c r="M22" s="1" t="n">
        <f aca="false">IF($C22="","",IFERROR(VLOOKUP($C22,Master_Mappings!$N$4:$S$200,6,FALSE()),""))</f>
        <v>0</v>
      </c>
    </row>
    <row r="23" customFormat="false" ht="14.9" hidden="false" customHeight="false" outlineLevel="0" collapsed="false">
      <c r="A23" s="20" t="s">
        <v>49</v>
      </c>
      <c r="B23" s="20" t="s">
        <v>89</v>
      </c>
      <c r="C23" s="127" t="s">
        <v>572</v>
      </c>
      <c r="D23" s="20" t="s">
        <v>573</v>
      </c>
      <c r="E23" s="125" t="n">
        <v>590.08</v>
      </c>
      <c r="F23" s="125" t="n">
        <v>0</v>
      </c>
      <c r="G23" s="125" t="n">
        <v>0</v>
      </c>
      <c r="H23" s="126" t="n">
        <v>0</v>
      </c>
      <c r="I23" s="20" t="str">
        <f aca="false">IF($C23="","",IFERROR(VLOOKUP($C23,Master_Mappings!$N$4:$S$200,3,FALSE()),"UNMAPPED"))</f>
        <v>Other Receivables</v>
      </c>
      <c r="J23" s="20" t="n">
        <f aca="false">IF($C23="","",IFERROR(VLOOKUP($C23,Master_Mappings!$N$4:$S$134,4,FALSE()),""))</f>
        <v>0</v>
      </c>
      <c r="K23" s="20" t="s">
        <v>529</v>
      </c>
      <c r="L23" s="20" t="s">
        <v>567</v>
      </c>
      <c r="M23" s="1" t="n">
        <f aca="false">IF($C23="","",IFERROR(VLOOKUP($C23,Master_Mappings!$N$4:$S$200,6,FALSE()),""))</f>
        <v>0</v>
      </c>
    </row>
    <row r="24" customFormat="false" ht="14.9" hidden="false" customHeight="false" outlineLevel="0" collapsed="false">
      <c r="A24" s="20" t="s">
        <v>49</v>
      </c>
      <c r="B24" s="20" t="s">
        <v>89</v>
      </c>
      <c r="C24" s="20" t="s">
        <v>574</v>
      </c>
      <c r="D24" s="20" t="s">
        <v>575</v>
      </c>
      <c r="E24" s="125" t="n">
        <v>52688.3</v>
      </c>
      <c r="F24" s="125" t="n">
        <v>0</v>
      </c>
      <c r="G24" s="125" t="n">
        <v>0</v>
      </c>
      <c r="H24" s="126" t="n">
        <v>2399.99999999999</v>
      </c>
      <c r="I24" s="20" t="str">
        <f aca="false">IF($C24="","",IFERROR(VLOOKUP($C24,Master_Mappings!$N$4:$S$200,3,FALSE()),"UNMAPPED"))</f>
        <v>Other Receivables</v>
      </c>
      <c r="J24" s="20" t="n">
        <f aca="false">IF($C24="","",IFERROR(VLOOKUP($C24,Master_Mappings!$N$4:$S$134,4,FALSE()),""))</f>
        <v>0</v>
      </c>
      <c r="K24" s="20" t="s">
        <v>529</v>
      </c>
      <c r="L24" s="20" t="s">
        <v>530</v>
      </c>
      <c r="M24" s="1" t="n">
        <f aca="false">IF($C24="","",IFERROR(VLOOKUP($C24,Master_Mappings!$N$4:$S$200,6,FALSE()),""))</f>
        <v>0</v>
      </c>
    </row>
    <row r="25" customFormat="false" ht="14.9" hidden="false" customHeight="false" outlineLevel="0" collapsed="false">
      <c r="A25" s="20" t="s">
        <v>49</v>
      </c>
      <c r="B25" s="20" t="s">
        <v>89</v>
      </c>
      <c r="C25" s="20" t="s">
        <v>576</v>
      </c>
      <c r="D25" s="20" t="s">
        <v>577</v>
      </c>
      <c r="E25" s="125" t="n">
        <v>0</v>
      </c>
      <c r="F25" s="125" t="n">
        <v>0</v>
      </c>
      <c r="G25" s="125" t="n">
        <v>0</v>
      </c>
      <c r="H25" s="126" t="n">
        <v>-4474.45</v>
      </c>
      <c r="I25" s="20" t="str">
        <f aca="false">IF($C25="","",IFERROR(VLOOKUP($C25,Master_Mappings!$N$4:$S$200,3,FALSE()),"UNMAPPED"))</f>
        <v>Other Receivables</v>
      </c>
      <c r="J25" s="20" t="n">
        <f aca="false">IF($C25="","",IFERROR(VLOOKUP($C25,Master_Mappings!$N$4:$S$134,4,FALSE()),""))</f>
        <v>0</v>
      </c>
      <c r="K25" s="20" t="s">
        <v>529</v>
      </c>
      <c r="L25" s="20" t="s">
        <v>567</v>
      </c>
      <c r="M25" s="1" t="n">
        <f aca="false">IF($C25="","",IFERROR(VLOOKUP($C25,Master_Mappings!$N$4:$S$200,6,FALSE()),""))</f>
        <v>0</v>
      </c>
    </row>
    <row r="26" customFormat="false" ht="14.9" hidden="false" customHeight="false" outlineLevel="0" collapsed="false">
      <c r="A26" s="20" t="s">
        <v>49</v>
      </c>
      <c r="B26" s="20" t="s">
        <v>89</v>
      </c>
      <c r="C26" s="20" t="s">
        <v>578</v>
      </c>
      <c r="D26" s="20" t="s">
        <v>579</v>
      </c>
      <c r="E26" s="125" t="n">
        <v>328390</v>
      </c>
      <c r="F26" s="125" t="n">
        <v>0</v>
      </c>
      <c r="G26" s="125" t="n">
        <v>0</v>
      </c>
      <c r="H26" s="126" t="n">
        <v>-7552.59000000001</v>
      </c>
      <c r="I26" s="20" t="str">
        <f aca="false">IF($C26="","",IFERROR(VLOOKUP($C26,Master_Mappings!$N$4:$S$200,3,FALSE()),"UNMAPPED"))</f>
        <v>Other Receivables</v>
      </c>
      <c r="J26" s="20" t="n">
        <f aca="false">IF($C26="","",IFERROR(VLOOKUP($C26,Master_Mappings!$N$4:$S$134,4,FALSE()),""))</f>
        <v>0</v>
      </c>
      <c r="K26" s="20" t="s">
        <v>529</v>
      </c>
      <c r="L26" s="20" t="s">
        <v>530</v>
      </c>
      <c r="M26" s="1" t="n">
        <f aca="false">IF($C26="","",IFERROR(VLOOKUP($C26,Master_Mappings!$N$4:$S$200,6,FALSE()),""))</f>
        <v>0</v>
      </c>
    </row>
    <row r="27" customFormat="false" ht="14.9" hidden="false" customHeight="false" outlineLevel="0" collapsed="false">
      <c r="A27" s="20" t="s">
        <v>49</v>
      </c>
      <c r="B27" s="20" t="s">
        <v>89</v>
      </c>
      <c r="C27" s="20" t="s">
        <v>580</v>
      </c>
      <c r="D27" s="20" t="s">
        <v>581</v>
      </c>
      <c r="E27" s="125" t="n">
        <v>59111.89</v>
      </c>
      <c r="F27" s="125" t="n">
        <v>0</v>
      </c>
      <c r="G27" s="125" t="n">
        <v>0</v>
      </c>
      <c r="H27" s="126" t="n">
        <v>7015.44</v>
      </c>
      <c r="I27" s="20" t="str">
        <f aca="false">IF($C27="","",IFERROR(VLOOKUP($C27,Master_Mappings!$N$4:$S$200,3,FALSE()),"UNMAPPED"))</f>
        <v>Other Receivables</v>
      </c>
      <c r="J27" s="20" t="n">
        <f aca="false">IF($C27="","",IFERROR(VLOOKUP($C27,Master_Mappings!$N$4:$S$134,4,FALSE()),""))</f>
        <v>0</v>
      </c>
      <c r="K27" s="20" t="s">
        <v>529</v>
      </c>
      <c r="L27" s="20" t="s">
        <v>567</v>
      </c>
      <c r="M27" s="1" t="n">
        <f aca="false">IF($C27="","",IFERROR(VLOOKUP($C27,Master_Mappings!$N$4:$S$200,6,FALSE()),""))</f>
        <v>0</v>
      </c>
    </row>
    <row r="28" customFormat="false" ht="14.9" hidden="false" customHeight="false" outlineLevel="0" collapsed="false">
      <c r="A28" s="20" t="s">
        <v>49</v>
      </c>
      <c r="B28" s="20" t="s">
        <v>89</v>
      </c>
      <c r="C28" s="20" t="s">
        <v>582</v>
      </c>
      <c r="D28" s="20" t="s">
        <v>583</v>
      </c>
      <c r="E28" s="125" t="n">
        <v>-8000</v>
      </c>
      <c r="F28" s="125" t="n">
        <v>0</v>
      </c>
      <c r="G28" s="125" t="n">
        <v>0</v>
      </c>
      <c r="H28" s="126" t="n">
        <v>7512</v>
      </c>
      <c r="I28" s="20" t="str">
        <f aca="false">IF($C28="","",IFERROR(VLOOKUP($C28,Master_Mappings!$N$4:$S$200,3,FALSE()),"UNMAPPED"))</f>
        <v>Other Receivables</v>
      </c>
      <c r="J28" s="20" t="n">
        <f aca="false">IF($C28="","",IFERROR(VLOOKUP($C28,Master_Mappings!$N$4:$S$134,4,FALSE()),""))</f>
        <v>0</v>
      </c>
      <c r="K28" s="20" t="s">
        <v>529</v>
      </c>
      <c r="L28" s="20" t="s">
        <v>567</v>
      </c>
      <c r="M28" s="1" t="n">
        <f aca="false">IF($C28="","",IFERROR(VLOOKUP($C28,Master_Mappings!$N$4:$S$200,6,FALSE()),""))</f>
        <v>0</v>
      </c>
    </row>
    <row r="29" customFormat="false" ht="14.9" hidden="false" customHeight="false" outlineLevel="0" collapsed="false">
      <c r="A29" s="20" t="s">
        <v>49</v>
      </c>
      <c r="B29" s="20" t="s">
        <v>89</v>
      </c>
      <c r="C29" s="127" t="s">
        <v>584</v>
      </c>
      <c r="D29" s="20" t="s">
        <v>585</v>
      </c>
      <c r="E29" s="125" t="n">
        <v>6575.9</v>
      </c>
      <c r="F29" s="125" t="n">
        <v>0</v>
      </c>
      <c r="G29" s="125" t="n">
        <v>0</v>
      </c>
      <c r="H29" s="126" t="n">
        <v>0</v>
      </c>
      <c r="I29" s="20" t="str">
        <f aca="false">IF($C29="","",IFERROR(VLOOKUP($C29,Master_Mappings!$N$4:$S$200,3,FALSE()),"UNMAPPED"))</f>
        <v>Other Receivables</v>
      </c>
      <c r="J29" s="20" t="n">
        <f aca="false">IF($C29="","",IFERROR(VLOOKUP($C29,Master_Mappings!$N$4:$S$134,4,FALSE()),""))</f>
        <v>0</v>
      </c>
      <c r="K29" s="20" t="s">
        <v>529</v>
      </c>
      <c r="L29" s="20" t="s">
        <v>530</v>
      </c>
      <c r="M29" s="1" t="n">
        <f aca="false">IF($C29="","",IFERROR(VLOOKUP($C29,Master_Mappings!$N$4:$S$200,6,FALSE()),""))</f>
        <v>0</v>
      </c>
    </row>
    <row r="30" customFormat="false" ht="14.9" hidden="false" customHeight="false" outlineLevel="0" collapsed="false">
      <c r="A30" s="20" t="s">
        <v>49</v>
      </c>
      <c r="B30" s="20" t="s">
        <v>89</v>
      </c>
      <c r="C30" s="20" t="s">
        <v>586</v>
      </c>
      <c r="D30" s="20" t="s">
        <v>587</v>
      </c>
      <c r="E30" s="125" t="n">
        <v>-65.62</v>
      </c>
      <c r="F30" s="125" t="n">
        <v>0</v>
      </c>
      <c r="G30" s="125" t="n">
        <v>0</v>
      </c>
      <c r="H30" s="126" t="n">
        <v>-65.62</v>
      </c>
      <c r="I30" s="20" t="str">
        <f aca="false">IF($C30="","",IFERROR(VLOOKUP($C30,Master_Mappings!$N$4:$S$200,3,FALSE()),"UNMAPPED"))</f>
        <v>Other Receivables</v>
      </c>
      <c r="J30" s="20" t="n">
        <f aca="false">IF($C30="","",IFERROR(VLOOKUP($C30,Master_Mappings!$N$4:$S$134,4,FALSE()),""))</f>
        <v>0</v>
      </c>
      <c r="K30" s="20" t="s">
        <v>529</v>
      </c>
      <c r="L30" s="20" t="s">
        <v>530</v>
      </c>
      <c r="M30" s="1" t="n">
        <f aca="false">IF($C30="","",IFERROR(VLOOKUP($C30,Master_Mappings!$N$4:$S$200,6,FALSE()),""))</f>
        <v>0</v>
      </c>
    </row>
    <row r="31" customFormat="false" ht="14.9" hidden="false" customHeight="false" outlineLevel="0" collapsed="false">
      <c r="A31" s="20" t="s">
        <v>49</v>
      </c>
      <c r="B31" s="20" t="s">
        <v>89</v>
      </c>
      <c r="C31" s="20" t="s">
        <v>588</v>
      </c>
      <c r="D31" s="20" t="s">
        <v>589</v>
      </c>
      <c r="E31" s="125" t="n">
        <v>1874.8</v>
      </c>
      <c r="F31" s="125" t="n">
        <v>0</v>
      </c>
      <c r="G31" s="125" t="n">
        <v>0</v>
      </c>
      <c r="H31" s="126" t="n">
        <v>-200.700000000002</v>
      </c>
      <c r="I31" s="20" t="str">
        <f aca="false">IF($C31="","",IFERROR(VLOOKUP($C31,Master_Mappings!$N$4:$S$200,3,FALSE()),"UNMAPPED"))</f>
        <v>Other Receivables</v>
      </c>
      <c r="J31" s="20" t="n">
        <f aca="false">IF($C31="","",IFERROR(VLOOKUP($C31,Master_Mappings!$N$4:$S$134,4,FALSE()),""))</f>
        <v>0</v>
      </c>
      <c r="K31" s="20" t="s">
        <v>529</v>
      </c>
      <c r="L31" s="20" t="s">
        <v>530</v>
      </c>
      <c r="M31" s="1" t="n">
        <f aca="false">IF($C31="","",IFERROR(VLOOKUP($C31,Master_Mappings!$N$4:$S$200,6,FALSE()),""))</f>
        <v>0</v>
      </c>
    </row>
    <row r="32" customFormat="false" ht="14.9" hidden="false" customHeight="false" outlineLevel="0" collapsed="false">
      <c r="A32" s="20" t="s">
        <v>49</v>
      </c>
      <c r="B32" s="20" t="s">
        <v>89</v>
      </c>
      <c r="C32" s="20" t="s">
        <v>590</v>
      </c>
      <c r="D32" s="20" t="s">
        <v>591</v>
      </c>
      <c r="E32" s="125" t="n">
        <v>0</v>
      </c>
      <c r="F32" s="125" t="n">
        <v>0</v>
      </c>
      <c r="G32" s="125" t="n">
        <v>0</v>
      </c>
      <c r="H32" s="126" t="n">
        <v>480.51</v>
      </c>
      <c r="I32" s="20" t="str">
        <f aca="false">IF($C32="","",IFERROR(VLOOKUP($C32,Master_Mappings!$N$4:$S$200,3,FALSE()),"UNMAPPED"))</f>
        <v>Other Receivables</v>
      </c>
      <c r="J32" s="20" t="n">
        <f aca="false">IF($C32="","",IFERROR(VLOOKUP($C32,Master_Mappings!$N$4:$S$134,4,FALSE()),""))</f>
        <v>0</v>
      </c>
      <c r="K32" s="20" t="s">
        <v>529</v>
      </c>
      <c r="L32" s="20" t="s">
        <v>530</v>
      </c>
      <c r="M32" s="1" t="n">
        <f aca="false">IF($C32="","",IFERROR(VLOOKUP($C32,Master_Mappings!$N$4:$S$200,6,FALSE()),""))</f>
        <v>0</v>
      </c>
    </row>
    <row r="33" customFormat="false" ht="14.9" hidden="false" customHeight="false" outlineLevel="0" collapsed="false">
      <c r="A33" s="20" t="s">
        <v>49</v>
      </c>
      <c r="B33" s="20" t="s">
        <v>89</v>
      </c>
      <c r="C33" s="20" t="s">
        <v>592</v>
      </c>
      <c r="D33" s="20" t="s">
        <v>593</v>
      </c>
      <c r="E33" s="125" t="n">
        <v>0</v>
      </c>
      <c r="F33" s="125" t="n">
        <v>0</v>
      </c>
      <c r="G33" s="125" t="n">
        <v>0</v>
      </c>
      <c r="H33" s="126" t="n">
        <v>-0.920000000001892</v>
      </c>
      <c r="I33" s="20" t="str">
        <f aca="false">IF($C33="","",IFERROR(VLOOKUP($C33,Master_Mappings!$N$4:$S$200,3,FALSE()),"UNMAPPED"))</f>
        <v>Other Receivables</v>
      </c>
      <c r="J33" s="20" t="n">
        <f aca="false">IF($C33="","",IFERROR(VLOOKUP($C33,Master_Mappings!$N$4:$S$134,4,FALSE()),""))</f>
        <v>0</v>
      </c>
      <c r="K33" s="20" t="s">
        <v>529</v>
      </c>
      <c r="L33" s="20" t="s">
        <v>530</v>
      </c>
      <c r="M33" s="1" t="n">
        <f aca="false">IF($C33="","",IFERROR(VLOOKUP($C33,Master_Mappings!$N$4:$S$200,6,FALSE()),""))</f>
        <v>0</v>
      </c>
    </row>
    <row r="34" customFormat="false" ht="14.9" hidden="false" customHeight="false" outlineLevel="0" collapsed="false">
      <c r="A34" s="20" t="s">
        <v>49</v>
      </c>
      <c r="B34" s="20" t="s">
        <v>89</v>
      </c>
      <c r="C34" s="20" t="s">
        <v>594</v>
      </c>
      <c r="D34" s="20" t="s">
        <v>595</v>
      </c>
      <c r="E34" s="125" t="n">
        <v>0</v>
      </c>
      <c r="F34" s="125" t="n">
        <v>0</v>
      </c>
      <c r="G34" s="125" t="n">
        <v>0</v>
      </c>
      <c r="H34" s="126" t="n">
        <v>0.900000000000091</v>
      </c>
      <c r="I34" s="20" t="str">
        <f aca="false">IF($C34="","",IFERROR(VLOOKUP($C34,Master_Mappings!$N$4:$S$200,3,FALSE()),"UNMAPPED"))</f>
        <v>Other Receivables</v>
      </c>
      <c r="J34" s="20" t="n">
        <f aca="false">IF($C34="","",IFERROR(VLOOKUP($C34,Master_Mappings!$N$4:$S$134,4,FALSE()),""))</f>
        <v>0</v>
      </c>
      <c r="K34" s="20" t="s">
        <v>529</v>
      </c>
      <c r="L34" s="20" t="s">
        <v>530</v>
      </c>
      <c r="M34" s="1" t="n">
        <f aca="false">IF($C34="","",IFERROR(VLOOKUP($C34,Master_Mappings!$N$4:$S$200,6,FALSE()),""))</f>
        <v>0</v>
      </c>
    </row>
    <row r="35" customFormat="false" ht="14.9" hidden="false" customHeight="false" outlineLevel="0" collapsed="false">
      <c r="A35" s="20" t="s">
        <v>49</v>
      </c>
      <c r="B35" s="20" t="s">
        <v>89</v>
      </c>
      <c r="C35" s="20" t="s">
        <v>596</v>
      </c>
      <c r="D35" s="20" t="s">
        <v>597</v>
      </c>
      <c r="E35" s="125" t="n">
        <v>0</v>
      </c>
      <c r="F35" s="125" t="n">
        <v>0</v>
      </c>
      <c r="G35" s="125" t="n">
        <v>0</v>
      </c>
      <c r="H35" s="126" t="n">
        <v>30258.55</v>
      </c>
      <c r="I35" s="20" t="str">
        <f aca="false">IF($C35="","",IFERROR(VLOOKUP($C35,Master_Mappings!$N$4:$S$200,3,FALSE()),"UNMAPPED"))</f>
        <v>Other Receivables</v>
      </c>
      <c r="J35" s="20" t="n">
        <f aca="false">IF($C35="","",IFERROR(VLOOKUP($C35,Master_Mappings!$N$4:$S$134,4,FALSE()),""))</f>
        <v>0</v>
      </c>
      <c r="K35" s="20" t="s">
        <v>529</v>
      </c>
      <c r="L35" s="20" t="s">
        <v>530</v>
      </c>
      <c r="M35" s="1" t="n">
        <f aca="false">IF($C35="","",IFERROR(VLOOKUP($C35,Master_Mappings!$N$4:$S$200,6,FALSE()),""))</f>
        <v>0</v>
      </c>
    </row>
    <row r="36" customFormat="false" ht="14.9" hidden="false" customHeight="false" outlineLevel="0" collapsed="false">
      <c r="A36" s="20" t="s">
        <v>49</v>
      </c>
      <c r="B36" s="20" t="s">
        <v>89</v>
      </c>
      <c r="C36" s="20" t="s">
        <v>598</v>
      </c>
      <c r="D36" s="20" t="s">
        <v>599</v>
      </c>
      <c r="E36" s="125" t="n">
        <v>76895.93</v>
      </c>
      <c r="F36" s="125" t="n">
        <v>0</v>
      </c>
      <c r="G36" s="125" t="n">
        <v>0</v>
      </c>
      <c r="H36" s="126" t="n">
        <v>-4.0600000000195</v>
      </c>
      <c r="I36" s="20" t="str">
        <f aca="false">IF($C36="","",IFERROR(VLOOKUP($C36,Master_Mappings!$N$4:$S$200,3,FALSE()),"UNMAPPED"))</f>
        <v>Other Receivables</v>
      </c>
      <c r="J36" s="20" t="n">
        <f aca="false">IF($C36="","",IFERROR(VLOOKUP($C36,Master_Mappings!$N$4:$S$134,4,FALSE()),""))</f>
        <v>0</v>
      </c>
      <c r="K36" s="20" t="s">
        <v>529</v>
      </c>
      <c r="L36" s="20" t="s">
        <v>530</v>
      </c>
      <c r="M36" s="1" t="n">
        <f aca="false">IF($C36="","",IFERROR(VLOOKUP($C36,Master_Mappings!$N$4:$S$200,6,FALSE()),""))</f>
        <v>0</v>
      </c>
    </row>
    <row r="37" customFormat="false" ht="14.9" hidden="false" customHeight="false" outlineLevel="0" collapsed="false">
      <c r="A37" s="20" t="s">
        <v>49</v>
      </c>
      <c r="B37" s="20" t="s">
        <v>89</v>
      </c>
      <c r="C37" s="20" t="s">
        <v>600</v>
      </c>
      <c r="D37" s="20" t="s">
        <v>601</v>
      </c>
      <c r="E37" s="125" t="n">
        <v>11501.93</v>
      </c>
      <c r="F37" s="125" t="n">
        <v>0</v>
      </c>
      <c r="G37" s="125" t="n">
        <v>0</v>
      </c>
      <c r="H37" s="126" t="n">
        <v>11501.93</v>
      </c>
      <c r="I37" s="20" t="str">
        <f aca="false">IF($C37="","",IFERROR(VLOOKUP($C37,Master_Mappings!$N$4:$S$200,3,FALSE()),"UNMAPPED"))</f>
        <v>Other Receivables</v>
      </c>
      <c r="J37" s="20" t="str">
        <f aca="false">IF($C37="","",IFERROR(VLOOKUP($C37,Master_Mappings!$N$4:$S$134,4,FALSE()),""))</f>
        <v>Proforest UK</v>
      </c>
      <c r="K37" s="20" t="s">
        <v>529</v>
      </c>
      <c r="L37" s="20" t="s">
        <v>530</v>
      </c>
      <c r="M37" s="1" t="n">
        <f aca="false">IF($C37="","",IFERROR(VLOOKUP($C37,Master_Mappings!$N$4:$S$200,6,FALSE()),""))</f>
        <v>0</v>
      </c>
    </row>
    <row r="38" customFormat="false" ht="14.9" hidden="false" customHeight="false" outlineLevel="0" collapsed="false">
      <c r="A38" s="20" t="s">
        <v>49</v>
      </c>
      <c r="B38" s="20" t="s">
        <v>89</v>
      </c>
      <c r="C38" s="20" t="s">
        <v>602</v>
      </c>
      <c r="D38" s="20" t="s">
        <v>603</v>
      </c>
      <c r="E38" s="125" t="n">
        <v>-0.01</v>
      </c>
      <c r="F38" s="125" t="n">
        <v>0</v>
      </c>
      <c r="G38" s="125" t="n">
        <v>0</v>
      </c>
      <c r="H38" s="126" t="n">
        <v>-0.01</v>
      </c>
      <c r="I38" s="20" t="str">
        <f aca="false">IF($C38="","",IFERROR(VLOOKUP($C38,Master_Mappings!$N$4:$S$200,3,FALSE()),"UNMAPPED"))</f>
        <v>Other Receivables</v>
      </c>
      <c r="J38" s="20" t="str">
        <f aca="false">IF($C38="","",IFERROR(VLOOKUP($C38,Master_Mappings!$N$4:$S$134,4,FALSE()),""))</f>
        <v>Proforest Initiative</v>
      </c>
      <c r="K38" s="20" t="s">
        <v>529</v>
      </c>
      <c r="L38" s="20" t="s">
        <v>530</v>
      </c>
      <c r="M38" s="1" t="n">
        <f aca="false">IF($C38="","",IFERROR(VLOOKUP($C38,Master_Mappings!$N$4:$S$200,6,FALSE()),""))</f>
        <v>0</v>
      </c>
    </row>
    <row r="39" customFormat="false" ht="14.9" hidden="false" customHeight="false" outlineLevel="0" collapsed="false">
      <c r="A39" s="20" t="s">
        <v>49</v>
      </c>
      <c r="B39" s="20" t="s">
        <v>89</v>
      </c>
      <c r="C39" s="128" t="s">
        <v>604</v>
      </c>
      <c r="D39" s="20" t="s">
        <v>605</v>
      </c>
      <c r="E39" s="125" t="n">
        <v>-1180853.75</v>
      </c>
      <c r="F39" s="125" t="n">
        <v>0</v>
      </c>
      <c r="G39" s="125" t="n">
        <v>0</v>
      </c>
      <c r="H39" s="126" t="n">
        <v>0</v>
      </c>
      <c r="I39" s="20" t="str">
        <f aca="false">IF($C39="","",IFERROR(VLOOKUP($C39,Master_Mappings!$N$4:$S$200,3,FALSE()),"UNMAPPED"))</f>
        <v>Other Receivables</v>
      </c>
      <c r="J39" s="20" t="str">
        <f aca="false">IF($C39="","",IFERROR(VLOOKUP($C39,Master_Mappings!$N$4:$S$134,4,FALSE()),""))</f>
        <v>Proforest Initiative</v>
      </c>
      <c r="K39" s="20" t="s">
        <v>529</v>
      </c>
      <c r="L39" s="20" t="s">
        <v>530</v>
      </c>
      <c r="M39" s="1" t="n">
        <f aca="false">IF($C39="","",IFERROR(VLOOKUP($C39,Master_Mappings!$N$4:$S$200,6,FALSE()),""))</f>
        <v>0</v>
      </c>
    </row>
    <row r="40" customFormat="false" ht="14.9" hidden="false" customHeight="false" outlineLevel="0" collapsed="false">
      <c r="A40" s="20" t="s">
        <v>49</v>
      </c>
      <c r="B40" s="20" t="s">
        <v>89</v>
      </c>
      <c r="C40" s="20" t="s">
        <v>606</v>
      </c>
      <c r="D40" s="20" t="s">
        <v>607</v>
      </c>
      <c r="E40" s="125" t="n">
        <v>9638.7</v>
      </c>
      <c r="F40" s="125" t="n">
        <v>0</v>
      </c>
      <c r="G40" s="125" t="n">
        <v>0</v>
      </c>
      <c r="H40" s="126" t="n">
        <v>9638.7</v>
      </c>
      <c r="I40" s="20" t="str">
        <f aca="false">IF($C40="","",IFERROR(VLOOKUP($C40,Master_Mappings!$N$4:$S$200,3,FALSE()),"UNMAPPED"))</f>
        <v>Other Receivables</v>
      </c>
      <c r="J40" s="20" t="str">
        <f aca="false">IF($C40="","",IFERROR(VLOOKUP($C40,Master_Mappings!$N$4:$S$134,4,FALSE()),""))</f>
        <v>Proforest Cameroon</v>
      </c>
      <c r="K40" s="20" t="s">
        <v>529</v>
      </c>
      <c r="L40" s="20" t="s">
        <v>530</v>
      </c>
      <c r="M40" s="1" t="n">
        <f aca="false">IF($C40="","",IFERROR(VLOOKUP($C40,Master_Mappings!$N$4:$S$200,6,FALSE()),""))</f>
        <v>0</v>
      </c>
    </row>
    <row r="41" customFormat="false" ht="14.9" hidden="false" customHeight="false" outlineLevel="0" collapsed="false">
      <c r="A41" s="20" t="s">
        <v>49</v>
      </c>
      <c r="B41" s="20" t="s">
        <v>89</v>
      </c>
      <c r="C41" s="20" t="s">
        <v>608</v>
      </c>
      <c r="D41" s="20" t="s">
        <v>609</v>
      </c>
      <c r="E41" s="125" t="n">
        <v>113695.04</v>
      </c>
      <c r="F41" s="125" t="n">
        <v>0</v>
      </c>
      <c r="G41" s="125" t="n">
        <v>0</v>
      </c>
      <c r="H41" s="126" t="n">
        <v>114836.24</v>
      </c>
      <c r="I41" s="20" t="str">
        <f aca="false">IF($C41="","",IFERROR(VLOOKUP($C41,Master_Mappings!$N$4:$S$200,3,FALSE()),"UNMAPPED"))</f>
        <v>Other Receivables</v>
      </c>
      <c r="J41" s="20" t="str">
        <f aca="false">IF($C41="","",IFERROR(VLOOKUP($C41,Master_Mappings!$N$4:$S$134,4,FALSE()),""))</f>
        <v>Proforest Initiative</v>
      </c>
      <c r="K41" s="20" t="s">
        <v>529</v>
      </c>
      <c r="L41" s="20" t="s">
        <v>530</v>
      </c>
      <c r="M41" s="1" t="n">
        <f aca="false">IF($C41="","",IFERROR(VLOOKUP($C41,Master_Mappings!$N$4:$S$200,6,FALSE()),""))</f>
        <v>0</v>
      </c>
    </row>
    <row r="42" customFormat="false" ht="14.9" hidden="false" customHeight="false" outlineLevel="0" collapsed="false">
      <c r="A42" s="20" t="s">
        <v>49</v>
      </c>
      <c r="B42" s="20" t="s">
        <v>89</v>
      </c>
      <c r="C42" s="20" t="s">
        <v>610</v>
      </c>
      <c r="D42" s="20" t="s">
        <v>611</v>
      </c>
      <c r="E42" s="125" t="n">
        <v>-1692.26</v>
      </c>
      <c r="F42" s="125" t="n">
        <v>0</v>
      </c>
      <c r="G42" s="125" t="n">
        <v>0</v>
      </c>
      <c r="H42" s="126" t="n">
        <v>-1692.26</v>
      </c>
      <c r="I42" s="20" t="str">
        <f aca="false">IF($C42="","",IFERROR(VLOOKUP($C42,Master_Mappings!$N$4:$S$200,3,FALSE()),"UNMAPPED"))</f>
        <v>Other Receivables</v>
      </c>
      <c r="J42" s="20" t="str">
        <f aca="false">IF($C42="","",IFERROR(VLOOKUP($C42,Master_Mappings!$N$4:$S$134,4,FALSE()),""))</f>
        <v>Other Proforest Entity</v>
      </c>
      <c r="K42" s="20" t="s">
        <v>529</v>
      </c>
      <c r="L42" s="20" t="s">
        <v>530</v>
      </c>
      <c r="M42" s="1" t="n">
        <f aca="false">IF($C42="","",IFERROR(VLOOKUP($C42,Master_Mappings!$N$4:$S$200,6,FALSE()),""))</f>
        <v>0</v>
      </c>
    </row>
    <row r="43" customFormat="false" ht="14.9" hidden="false" customHeight="false" outlineLevel="0" collapsed="false">
      <c r="A43" s="20" t="s">
        <v>49</v>
      </c>
      <c r="B43" s="20" t="s">
        <v>89</v>
      </c>
      <c r="C43" s="20" t="s">
        <v>612</v>
      </c>
      <c r="D43" s="20" t="s">
        <v>613</v>
      </c>
      <c r="E43" s="125" t="n">
        <v>1348768.81</v>
      </c>
      <c r="F43" s="125" t="n">
        <v>0</v>
      </c>
      <c r="G43" s="125" t="n">
        <v>0</v>
      </c>
      <c r="H43" s="126" t="n">
        <v>1277757.13</v>
      </c>
      <c r="I43" s="20" t="str">
        <f aca="false">IF($C43="","",IFERROR(VLOOKUP($C43,Master_Mappings!$N$4:$S$200,3,FALSE()),"UNMAPPED"))</f>
        <v>Other Receivables</v>
      </c>
      <c r="J43" s="20" t="n">
        <f aca="false">IF($C43="","",IFERROR(VLOOKUP($C43,Master_Mappings!$N$4:$S$134,4,FALSE()),""))</f>
        <v>0</v>
      </c>
      <c r="K43" s="20" t="s">
        <v>529</v>
      </c>
      <c r="L43" s="20" t="s">
        <v>530</v>
      </c>
      <c r="M43" s="1" t="n">
        <f aca="false">IF($C43="","",IFERROR(VLOOKUP($C43,Master_Mappings!$N$4:$S$200,6,FALSE()),""))</f>
        <v>0</v>
      </c>
    </row>
    <row r="44" customFormat="false" ht="14.9" hidden="false" customHeight="false" outlineLevel="0" collapsed="false">
      <c r="A44" s="20" t="s">
        <v>49</v>
      </c>
      <c r="B44" s="20" t="s">
        <v>89</v>
      </c>
      <c r="C44" s="20" t="s">
        <v>614</v>
      </c>
      <c r="D44" s="20" t="s">
        <v>615</v>
      </c>
      <c r="E44" s="125" t="n">
        <v>49741.25</v>
      </c>
      <c r="F44" s="125" t="n">
        <v>0</v>
      </c>
      <c r="G44" s="125" t="n">
        <v>0</v>
      </c>
      <c r="H44" s="126" t="n">
        <v>15728.95</v>
      </c>
      <c r="I44" s="20" t="str">
        <f aca="false">IF($C44="","",IFERROR(VLOOKUP($C44,Master_Mappings!$N$4:$S$200,3,FALSE()),"UNMAPPED"))</f>
        <v>Cash in Hand and at Bank</v>
      </c>
      <c r="J44" s="20" t="n">
        <f aca="false">IF($C44="","",IFERROR(VLOOKUP($C44,Master_Mappings!$N$4:$S$134,4,FALSE()),""))</f>
        <v>0</v>
      </c>
      <c r="K44" s="20" t="s">
        <v>529</v>
      </c>
      <c r="L44" s="20" t="s">
        <v>530</v>
      </c>
      <c r="M44" s="1" t="n">
        <f aca="false">IF($C44="","",IFERROR(VLOOKUP($C44,Master_Mappings!$N$4:$S$200,6,FALSE()),""))</f>
        <v>0</v>
      </c>
    </row>
    <row r="45" customFormat="false" ht="14.9" hidden="false" customHeight="false" outlineLevel="0" collapsed="false">
      <c r="A45" s="20" t="s">
        <v>49</v>
      </c>
      <c r="B45" s="20" t="s">
        <v>89</v>
      </c>
      <c r="C45" s="20" t="s">
        <v>616</v>
      </c>
      <c r="D45" s="20" t="s">
        <v>617</v>
      </c>
      <c r="E45" s="125" t="n">
        <v>349377.41</v>
      </c>
      <c r="F45" s="125" t="n">
        <v>0</v>
      </c>
      <c r="G45" s="125" t="n">
        <v>0</v>
      </c>
      <c r="H45" s="126" t="n">
        <v>3536.28000000011</v>
      </c>
      <c r="I45" s="20" t="str">
        <f aca="false">IF($C45="","",IFERROR(VLOOKUP($C45,Master_Mappings!$N$4:$S$200,3,FALSE()),"UNMAPPED"))</f>
        <v>Cash in Hand and at Bank</v>
      </c>
      <c r="J45" s="20" t="n">
        <f aca="false">IF($C45="","",IFERROR(VLOOKUP($C45,Master_Mappings!$N$4:$S$134,4,FALSE()),""))</f>
        <v>0</v>
      </c>
      <c r="K45" s="20" t="s">
        <v>529</v>
      </c>
      <c r="L45" s="20" t="s">
        <v>530</v>
      </c>
      <c r="M45" s="1" t="n">
        <f aca="false">IF($C45="","",IFERROR(VLOOKUP($C45,Master_Mappings!$N$4:$S$200,6,FALSE()),""))</f>
        <v>0</v>
      </c>
    </row>
    <row r="46" customFormat="false" ht="14.9" hidden="false" customHeight="false" outlineLevel="0" collapsed="false">
      <c r="A46" s="20" t="s">
        <v>49</v>
      </c>
      <c r="B46" s="20" t="s">
        <v>89</v>
      </c>
      <c r="C46" s="20" t="s">
        <v>618</v>
      </c>
      <c r="D46" s="20" t="s">
        <v>619</v>
      </c>
      <c r="E46" s="125" t="n">
        <v>711621.36</v>
      </c>
      <c r="F46" s="125" t="n">
        <v>0</v>
      </c>
      <c r="G46" s="125" t="n">
        <v>0</v>
      </c>
      <c r="H46" s="126" t="n">
        <v>487848.61</v>
      </c>
      <c r="I46" s="20" t="str">
        <f aca="false">IF($C46="","",IFERROR(VLOOKUP($C46,Master_Mappings!$N$4:$S$200,3,FALSE()),"UNMAPPED"))</f>
        <v>Cash in Hand and at Bank</v>
      </c>
      <c r="J46" s="20" t="n">
        <f aca="false">IF($C46="","",IFERROR(VLOOKUP($C46,Master_Mappings!$N$4:$S$134,4,FALSE()),""))</f>
        <v>0</v>
      </c>
      <c r="K46" s="20" t="s">
        <v>529</v>
      </c>
      <c r="L46" s="20" t="s">
        <v>530</v>
      </c>
      <c r="M46" s="1" t="n">
        <f aca="false">IF($C46="","",IFERROR(VLOOKUP($C46,Master_Mappings!$N$4:$S$200,6,FALSE()),""))</f>
        <v>0</v>
      </c>
    </row>
    <row r="47" customFormat="false" ht="14.9" hidden="false" customHeight="false" outlineLevel="0" collapsed="false">
      <c r="A47" s="20" t="s">
        <v>49</v>
      </c>
      <c r="B47" s="20" t="s">
        <v>89</v>
      </c>
      <c r="C47" s="20" t="s">
        <v>620</v>
      </c>
      <c r="D47" s="20" t="s">
        <v>621</v>
      </c>
      <c r="E47" s="125" t="n">
        <v>164287.8</v>
      </c>
      <c r="F47" s="125" t="n">
        <v>0</v>
      </c>
      <c r="G47" s="125" t="n">
        <v>0</v>
      </c>
      <c r="H47" s="126" t="n">
        <v>19498.5600000001</v>
      </c>
      <c r="I47" s="20" t="str">
        <f aca="false">IF($C47="","",IFERROR(VLOOKUP($C47,Master_Mappings!$N$4:$S$200,3,FALSE()),"UNMAPPED"))</f>
        <v>Cash in Hand and at Bank</v>
      </c>
      <c r="J47" s="20" t="n">
        <f aca="false">IF($C47="","",IFERROR(VLOOKUP($C47,Master_Mappings!$N$4:$S$134,4,FALSE()),""))</f>
        <v>0</v>
      </c>
      <c r="K47" s="20" t="s">
        <v>529</v>
      </c>
      <c r="L47" s="20" t="s">
        <v>530</v>
      </c>
      <c r="M47" s="1" t="n">
        <f aca="false">IF($C47="","",IFERROR(VLOOKUP($C47,Master_Mappings!$N$4:$S$200,6,FALSE()),""))</f>
        <v>0</v>
      </c>
    </row>
    <row r="48" customFormat="false" ht="14.9" hidden="false" customHeight="false" outlineLevel="0" collapsed="false">
      <c r="A48" s="20" t="s">
        <v>49</v>
      </c>
      <c r="B48" s="20" t="s">
        <v>89</v>
      </c>
      <c r="C48" s="20" t="s">
        <v>622</v>
      </c>
      <c r="D48" s="20" t="s">
        <v>623</v>
      </c>
      <c r="E48" s="125" t="n">
        <v>10585.38</v>
      </c>
      <c r="F48" s="125" t="n">
        <v>0</v>
      </c>
      <c r="G48" s="125" t="n">
        <v>0</v>
      </c>
      <c r="H48" s="126" t="n">
        <v>170.960000000001</v>
      </c>
      <c r="I48" s="20" t="str">
        <f aca="false">IF($C48="","",IFERROR(VLOOKUP($C48,Master_Mappings!$N$4:$S$200,3,FALSE()),"UNMAPPED"))</f>
        <v>Cash in Hand and at Bank</v>
      </c>
      <c r="J48" s="20" t="n">
        <f aca="false">IF($C48="","",IFERROR(VLOOKUP($C48,Master_Mappings!$N$4:$S$134,4,FALSE()),""))</f>
        <v>0</v>
      </c>
      <c r="K48" s="20" t="s">
        <v>529</v>
      </c>
      <c r="L48" s="20" t="s">
        <v>530</v>
      </c>
      <c r="M48" s="1" t="n">
        <f aca="false">IF($C48="","",IFERROR(VLOOKUP($C48,Master_Mappings!$N$4:$S$200,6,FALSE()),""))</f>
        <v>0</v>
      </c>
    </row>
    <row r="49" customFormat="false" ht="14.9" hidden="false" customHeight="false" outlineLevel="0" collapsed="false">
      <c r="A49" s="20" t="s">
        <v>49</v>
      </c>
      <c r="B49" s="20" t="s">
        <v>89</v>
      </c>
      <c r="C49" s="20" t="s">
        <v>624</v>
      </c>
      <c r="D49" s="20" t="s">
        <v>625</v>
      </c>
      <c r="E49" s="125" t="n">
        <v>5920.04</v>
      </c>
      <c r="F49" s="125" t="n">
        <v>0</v>
      </c>
      <c r="G49" s="125" t="n">
        <v>0</v>
      </c>
      <c r="H49" s="126" t="n">
        <v>9795.16</v>
      </c>
      <c r="I49" s="20" t="str">
        <f aca="false">IF($C49="","",IFERROR(VLOOKUP($C49,Master_Mappings!$N$4:$S$200,3,FALSE()),"UNMAPPED"))</f>
        <v>Cash in Hand and at Bank</v>
      </c>
      <c r="J49" s="20" t="n">
        <f aca="false">IF($C49="","",IFERROR(VLOOKUP($C49,Master_Mappings!$N$4:$S$134,4,FALSE()),""))</f>
        <v>0</v>
      </c>
      <c r="K49" s="20" t="s">
        <v>529</v>
      </c>
      <c r="L49" s="20" t="s">
        <v>530</v>
      </c>
      <c r="M49" s="1" t="n">
        <f aca="false">IF($C49="","",IFERROR(VLOOKUP($C49,Master_Mappings!$N$4:$S$200,6,FALSE()),""))</f>
        <v>0</v>
      </c>
    </row>
    <row r="50" customFormat="false" ht="14.9" hidden="false" customHeight="false" outlineLevel="0" collapsed="false">
      <c r="A50" s="20" t="s">
        <v>49</v>
      </c>
      <c r="B50" s="20" t="s">
        <v>89</v>
      </c>
      <c r="C50" s="20" t="s">
        <v>626</v>
      </c>
      <c r="D50" s="20" t="s">
        <v>627</v>
      </c>
      <c r="E50" s="125" t="n">
        <v>-2618676.95</v>
      </c>
      <c r="F50" s="125" t="n">
        <v>0</v>
      </c>
      <c r="G50" s="125" t="n">
        <v>0</v>
      </c>
      <c r="H50" s="126" t="n">
        <v>-2328909.27</v>
      </c>
      <c r="I50" s="20" t="str">
        <f aca="false">IF($C50="","",IFERROR(VLOOKUP($C50,Master_Mappings!$N$4:$S$200,3,FALSE()),"UNMAPPED"))</f>
        <v>Trade Creditors</v>
      </c>
      <c r="J50" s="20" t="n">
        <f aca="false">IF($C50="","",IFERROR(VLOOKUP($C50,Master_Mappings!$N$4:$S$134,4,FALSE()),""))</f>
        <v>0</v>
      </c>
      <c r="K50" s="20" t="s">
        <v>529</v>
      </c>
      <c r="L50" s="20" t="s">
        <v>530</v>
      </c>
      <c r="M50" s="1" t="n">
        <f aca="false">IF($C50="","",IFERROR(VLOOKUP($C50,Master_Mappings!$N$4:$S$200,6,FALSE()),""))</f>
        <v>0</v>
      </c>
    </row>
    <row r="51" customFormat="false" ht="14.9" hidden="false" customHeight="false" outlineLevel="0" collapsed="false">
      <c r="A51" s="20" t="s">
        <v>49</v>
      </c>
      <c r="B51" s="20" t="s">
        <v>89</v>
      </c>
      <c r="C51" s="20" t="s">
        <v>628</v>
      </c>
      <c r="D51" s="20" t="s">
        <v>629</v>
      </c>
      <c r="E51" s="125" t="n">
        <v>-8268.7</v>
      </c>
      <c r="F51" s="125" t="n">
        <v>0</v>
      </c>
      <c r="G51" s="125" t="n">
        <v>0</v>
      </c>
      <c r="H51" s="126" t="n">
        <v>16281.3</v>
      </c>
      <c r="I51" s="20" t="str">
        <f aca="false">IF($C51="","",IFERROR(VLOOKUP($C51,Master_Mappings!$N$4:$S$200,3,FALSE()),"UNMAPPED"))</f>
        <v>Other Creditors</v>
      </c>
      <c r="J51" s="20" t="n">
        <f aca="false">IF($C51="","",IFERROR(VLOOKUP($C51,Master_Mappings!$N$4:$S$134,4,FALSE()),""))</f>
        <v>0</v>
      </c>
      <c r="K51" s="20" t="s">
        <v>529</v>
      </c>
      <c r="L51" s="20" t="s">
        <v>530</v>
      </c>
      <c r="M51" s="1" t="n">
        <f aca="false">IF($C51="","",IFERROR(VLOOKUP($C51,Master_Mappings!$N$4:$S$200,6,FALSE()),""))</f>
        <v>0</v>
      </c>
    </row>
    <row r="52" customFormat="false" ht="14.9" hidden="false" customHeight="false" outlineLevel="0" collapsed="false">
      <c r="A52" s="20" t="s">
        <v>49</v>
      </c>
      <c r="B52" s="20" t="s">
        <v>89</v>
      </c>
      <c r="C52" s="20" t="s">
        <v>630</v>
      </c>
      <c r="D52" s="20" t="s">
        <v>631</v>
      </c>
      <c r="E52" s="125" t="n">
        <v>-79235</v>
      </c>
      <c r="F52" s="125" t="n">
        <v>0</v>
      </c>
      <c r="G52" s="125" t="n">
        <v>0</v>
      </c>
      <c r="H52" s="126" t="n">
        <v>-79235</v>
      </c>
      <c r="I52" s="20" t="str">
        <f aca="false">IF($C52="","",IFERROR(VLOOKUP($C52,Master_Mappings!$N$4:$S$200,3,FALSE()),"UNMAPPED"))</f>
        <v>Other Creditors</v>
      </c>
      <c r="J52" s="20" t="n">
        <f aca="false">IF($C52="","",IFERROR(VLOOKUP($C52,Master_Mappings!$N$4:$S$134,4,FALSE()),""))</f>
        <v>0</v>
      </c>
      <c r="K52" s="20" t="s">
        <v>529</v>
      </c>
      <c r="L52" s="20" t="s">
        <v>530</v>
      </c>
      <c r="M52" s="1" t="n">
        <f aca="false">IF($C52="","",IFERROR(VLOOKUP($C52,Master_Mappings!$N$4:$S$200,6,FALSE()),""))</f>
        <v>0</v>
      </c>
    </row>
    <row r="53" customFormat="false" ht="14.9" hidden="false" customHeight="false" outlineLevel="0" collapsed="false">
      <c r="A53" s="20" t="s">
        <v>49</v>
      </c>
      <c r="B53" s="20" t="s">
        <v>89</v>
      </c>
      <c r="C53" s="20" t="s">
        <v>632</v>
      </c>
      <c r="D53" s="20" t="s">
        <v>633</v>
      </c>
      <c r="E53" s="125" t="n">
        <v>-91075.34</v>
      </c>
      <c r="F53" s="125" t="n">
        <v>0</v>
      </c>
      <c r="G53" s="125" t="n">
        <v>0</v>
      </c>
      <c r="H53" s="126" t="n">
        <v>-519143</v>
      </c>
      <c r="I53" s="20" t="str">
        <f aca="false">IF($C53="","",IFERROR(VLOOKUP($C53,Master_Mappings!$N$4:$S$200,3,FALSE()),"UNMAPPED"))</f>
        <v>Other Creditors</v>
      </c>
      <c r="J53" s="20" t="n">
        <f aca="false">IF($C53="","",IFERROR(VLOOKUP($C53,Master_Mappings!$N$4:$S$134,4,FALSE()),""))</f>
        <v>0</v>
      </c>
      <c r="K53" s="20" t="s">
        <v>529</v>
      </c>
      <c r="L53" s="20" t="s">
        <v>530</v>
      </c>
      <c r="M53" s="1" t="n">
        <f aca="false">IF($C53="","",IFERROR(VLOOKUP($C53,Master_Mappings!$N$4:$S$200,6,FALSE()),""))</f>
        <v>0</v>
      </c>
    </row>
    <row r="54" customFormat="false" ht="14.9" hidden="false" customHeight="false" outlineLevel="0" collapsed="false">
      <c r="A54" s="20" t="s">
        <v>49</v>
      </c>
      <c r="B54" s="20" t="s">
        <v>89</v>
      </c>
      <c r="C54" s="20" t="s">
        <v>634</v>
      </c>
      <c r="D54" s="20" t="s">
        <v>635</v>
      </c>
      <c r="E54" s="125" t="n">
        <v>-88373.27</v>
      </c>
      <c r="F54" s="125" t="n">
        <v>0</v>
      </c>
      <c r="G54" s="125" t="n">
        <v>0</v>
      </c>
      <c r="H54" s="126" t="n">
        <v>-88373.27</v>
      </c>
      <c r="I54" s="20" t="str">
        <f aca="false">IF($C54="","",IFERROR(VLOOKUP($C54,Master_Mappings!$N$4:$S$200,3,FALSE()),"UNMAPPED"))</f>
        <v>Other Creditors</v>
      </c>
      <c r="J54" s="20" t="n">
        <f aca="false">IF($C54="","",IFERROR(VLOOKUP($C54,Master_Mappings!$N$4:$S$134,4,FALSE()),""))</f>
        <v>0</v>
      </c>
      <c r="K54" s="20" t="s">
        <v>529</v>
      </c>
      <c r="L54" s="20" t="s">
        <v>530</v>
      </c>
      <c r="M54" s="1" t="n">
        <f aca="false">IF($C54="","",IFERROR(VLOOKUP($C54,Master_Mappings!$N$4:$S$200,6,FALSE()),""))</f>
        <v>0</v>
      </c>
    </row>
    <row r="55" customFormat="false" ht="14.9" hidden="false" customHeight="false" outlineLevel="0" collapsed="false">
      <c r="A55" s="20" t="s">
        <v>49</v>
      </c>
      <c r="B55" s="20" t="s">
        <v>89</v>
      </c>
      <c r="C55" s="20" t="s">
        <v>636</v>
      </c>
      <c r="D55" s="20" t="s">
        <v>637</v>
      </c>
      <c r="E55" s="125" t="n">
        <v>-372423.34</v>
      </c>
      <c r="F55" s="125" t="n">
        <v>0</v>
      </c>
      <c r="G55" s="125" t="n">
        <v>0</v>
      </c>
      <c r="H55" s="126" t="n">
        <v>-372423.34</v>
      </c>
      <c r="I55" s="20" t="str">
        <f aca="false">IF($C55="","",IFERROR(VLOOKUP($C55,Master_Mappings!$N$4:$S$200,3,FALSE()),"UNMAPPED"))</f>
        <v>Other Creditors</v>
      </c>
      <c r="J55" s="20" t="n">
        <f aca="false">IF($C55="","",IFERROR(VLOOKUP($C55,Master_Mappings!$N$4:$S$134,4,FALSE()),""))</f>
        <v>0</v>
      </c>
      <c r="K55" s="20" t="s">
        <v>529</v>
      </c>
      <c r="L55" s="20" t="s">
        <v>530</v>
      </c>
      <c r="M55" s="1" t="n">
        <f aca="false">IF($C55="","",IFERROR(VLOOKUP($C55,Master_Mappings!$N$4:$S$200,6,FALSE()),""))</f>
        <v>0</v>
      </c>
    </row>
    <row r="56" customFormat="false" ht="14.9" hidden="false" customHeight="false" outlineLevel="0" collapsed="false">
      <c r="A56" s="20" t="s">
        <v>49</v>
      </c>
      <c r="B56" s="20" t="s">
        <v>89</v>
      </c>
      <c r="C56" s="20" t="s">
        <v>638</v>
      </c>
      <c r="D56" s="20" t="s">
        <v>639</v>
      </c>
      <c r="E56" s="125" t="n">
        <v>286819.95</v>
      </c>
      <c r="F56" s="125" t="n">
        <v>0</v>
      </c>
      <c r="G56" s="125" t="n">
        <v>0</v>
      </c>
      <c r="H56" s="126" t="n">
        <v>302634.86</v>
      </c>
      <c r="I56" s="20" t="str">
        <f aca="false">IF($C56="","",IFERROR(VLOOKUP($C56,Master_Mappings!$N$4:$S$200,3,FALSE()),"UNMAPPED"))</f>
        <v>Other Creditors</v>
      </c>
      <c r="J56" s="20" t="n">
        <f aca="false">IF($C56="","",IFERROR(VLOOKUP($C56,Master_Mappings!$N$4:$S$134,4,FALSE()),""))</f>
        <v>0</v>
      </c>
      <c r="K56" s="20" t="s">
        <v>529</v>
      </c>
      <c r="L56" s="20" t="s">
        <v>530</v>
      </c>
      <c r="M56" s="1" t="n">
        <f aca="false">IF($C56="","",IFERROR(VLOOKUP($C56,Master_Mappings!$N$4:$S$200,6,FALSE()),""))</f>
        <v>0</v>
      </c>
    </row>
    <row r="57" customFormat="false" ht="14.9" hidden="false" customHeight="false" outlineLevel="0" collapsed="false">
      <c r="A57" s="20" t="s">
        <v>49</v>
      </c>
      <c r="B57" s="20" t="s">
        <v>89</v>
      </c>
      <c r="C57" s="20" t="s">
        <v>640</v>
      </c>
      <c r="D57" s="20" t="s">
        <v>641</v>
      </c>
      <c r="E57" s="125" t="n">
        <v>238121.7</v>
      </c>
      <c r="F57" s="125" t="n">
        <v>0</v>
      </c>
      <c r="G57" s="125" t="n">
        <v>0</v>
      </c>
      <c r="H57" s="126" t="n">
        <v>238121.7</v>
      </c>
      <c r="I57" s="20" t="str">
        <f aca="false">IF($C57="","",IFERROR(VLOOKUP($C57,Master_Mappings!$N$4:$S$200,3,FALSE()),"UNMAPPED"))</f>
        <v>Other Creditors</v>
      </c>
      <c r="J57" s="20" t="n">
        <f aca="false">IF($C57="","",IFERROR(VLOOKUP($C57,Master_Mappings!$N$4:$S$134,4,FALSE()),""))</f>
        <v>0</v>
      </c>
      <c r="K57" s="20" t="s">
        <v>529</v>
      </c>
      <c r="L57" s="20" t="s">
        <v>530</v>
      </c>
      <c r="M57" s="1" t="n">
        <f aca="false">IF($C57="","",IFERROR(VLOOKUP($C57,Master_Mappings!$N$4:$S$200,6,FALSE()),""))</f>
        <v>0</v>
      </c>
    </row>
    <row r="58" customFormat="false" ht="14.9" hidden="false" customHeight="false" outlineLevel="0" collapsed="false">
      <c r="A58" s="20" t="s">
        <v>49</v>
      </c>
      <c r="B58" s="20" t="s">
        <v>89</v>
      </c>
      <c r="C58" s="20" t="s">
        <v>642</v>
      </c>
      <c r="D58" s="20" t="s">
        <v>643</v>
      </c>
      <c r="E58" s="125" t="n">
        <v>-3774.64</v>
      </c>
      <c r="F58" s="125" t="n">
        <v>0</v>
      </c>
      <c r="G58" s="125" t="n">
        <v>0</v>
      </c>
      <c r="H58" s="126" t="n">
        <v>1497</v>
      </c>
      <c r="I58" s="20" t="str">
        <f aca="false">IF($C58="","",IFERROR(VLOOKUP($C58,Master_Mappings!$N$4:$S$200,3,FALSE()),"UNMAPPED"))</f>
        <v>Other Creditors</v>
      </c>
      <c r="J58" s="20" t="n">
        <f aca="false">IF($C58="","",IFERROR(VLOOKUP($C58,Master_Mappings!$N$4:$S$134,4,FALSE()),""))</f>
        <v>0</v>
      </c>
      <c r="K58" s="20" t="s">
        <v>529</v>
      </c>
      <c r="L58" s="20" t="s">
        <v>530</v>
      </c>
      <c r="M58" s="1" t="n">
        <f aca="false">IF($C58="","",IFERROR(VLOOKUP($C58,Master_Mappings!$N$4:$S$200,6,FALSE()),""))</f>
        <v>0</v>
      </c>
    </row>
    <row r="59" customFormat="false" ht="14.9" hidden="false" customHeight="false" outlineLevel="0" collapsed="false">
      <c r="A59" s="20" t="s">
        <v>49</v>
      </c>
      <c r="B59" s="20" t="s">
        <v>89</v>
      </c>
      <c r="C59" s="20" t="s">
        <v>644</v>
      </c>
      <c r="D59" s="20" t="s">
        <v>645</v>
      </c>
      <c r="E59" s="125" t="n">
        <v>-1237.14</v>
      </c>
      <c r="F59" s="125" t="n">
        <v>0</v>
      </c>
      <c r="G59" s="125" t="n">
        <v>0</v>
      </c>
      <c r="H59" s="126" t="n">
        <v>-1237.14</v>
      </c>
      <c r="I59" s="20" t="str">
        <f aca="false">IF($C59="","",IFERROR(VLOOKUP($C59,Master_Mappings!$N$4:$S$200,3,FALSE()),"UNMAPPED"))</f>
        <v>Other Creditors</v>
      </c>
      <c r="J59" s="20" t="n">
        <f aca="false">IF($C59="","",IFERROR(VLOOKUP($C59,Master_Mappings!$N$4:$S$134,4,FALSE()),""))</f>
        <v>0</v>
      </c>
      <c r="K59" s="20" t="s">
        <v>529</v>
      </c>
      <c r="L59" s="20" t="s">
        <v>530</v>
      </c>
      <c r="M59" s="1" t="n">
        <f aca="false">IF($C59="","",IFERROR(VLOOKUP($C59,Master_Mappings!$N$4:$S$200,6,FALSE()),""))</f>
        <v>0</v>
      </c>
    </row>
    <row r="60" customFormat="false" ht="14.9" hidden="false" customHeight="false" outlineLevel="0" collapsed="false">
      <c r="A60" s="20" t="s">
        <v>49</v>
      </c>
      <c r="B60" s="20" t="s">
        <v>89</v>
      </c>
      <c r="C60" s="20" t="s">
        <v>646</v>
      </c>
      <c r="D60" s="20" t="s">
        <v>647</v>
      </c>
      <c r="E60" s="125" t="n">
        <v>-130078.21</v>
      </c>
      <c r="F60" s="125" t="n">
        <v>0</v>
      </c>
      <c r="G60" s="125" t="n">
        <v>0</v>
      </c>
      <c r="H60" s="126" t="n">
        <v>-133789.73</v>
      </c>
      <c r="I60" s="20" t="str">
        <f aca="false">IF($C60="","",IFERROR(VLOOKUP($C60,Master_Mappings!$N$4:$S$200,3,FALSE()),"UNMAPPED"))</f>
        <v>Other Creditors</v>
      </c>
      <c r="J60" s="20" t="n">
        <f aca="false">IF($C60="","",IFERROR(VLOOKUP($C60,Master_Mappings!$N$4:$S$134,4,FALSE()),""))</f>
        <v>0</v>
      </c>
      <c r="K60" s="20" t="s">
        <v>529</v>
      </c>
      <c r="L60" s="20" t="s">
        <v>530</v>
      </c>
      <c r="M60" s="1" t="n">
        <f aca="false">IF($C60="","",IFERROR(VLOOKUP($C60,Master_Mappings!$N$4:$S$200,6,FALSE()),""))</f>
        <v>0</v>
      </c>
    </row>
    <row r="61" customFormat="false" ht="14.9" hidden="false" customHeight="false" outlineLevel="0" collapsed="false">
      <c r="A61" s="20" t="s">
        <v>49</v>
      </c>
      <c r="B61" s="20" t="s">
        <v>89</v>
      </c>
      <c r="C61" s="20" t="s">
        <v>648</v>
      </c>
      <c r="D61" s="20" t="s">
        <v>649</v>
      </c>
      <c r="E61" s="125" t="n">
        <v>-112037.37</v>
      </c>
      <c r="F61" s="125" t="n">
        <v>0</v>
      </c>
      <c r="G61" s="125" t="n">
        <v>0</v>
      </c>
      <c r="H61" s="126" t="n">
        <v>-115552.36</v>
      </c>
      <c r="I61" s="20" t="str">
        <f aca="false">IF($C61="","",IFERROR(VLOOKUP($C61,Master_Mappings!$N$4:$S$200,3,FALSE()),"UNMAPPED"))</f>
        <v>Other Creditors</v>
      </c>
      <c r="J61" s="20" t="n">
        <f aca="false">IF($C61="","",IFERROR(VLOOKUP($C61,Master_Mappings!$N$4:$S$134,4,FALSE()),""))</f>
        <v>0</v>
      </c>
      <c r="K61" s="20" t="s">
        <v>529</v>
      </c>
      <c r="L61" s="20" t="s">
        <v>530</v>
      </c>
      <c r="M61" s="1" t="n">
        <f aca="false">IF($C61="","",IFERROR(VLOOKUP($C61,Master_Mappings!$N$4:$S$200,6,FALSE()),""))</f>
        <v>0</v>
      </c>
    </row>
    <row r="62" customFormat="false" ht="14.9" hidden="false" customHeight="false" outlineLevel="0" collapsed="false">
      <c r="A62" s="20" t="s">
        <v>49</v>
      </c>
      <c r="B62" s="20" t="s">
        <v>89</v>
      </c>
      <c r="C62" s="20" t="s">
        <v>650</v>
      </c>
      <c r="D62" s="20" t="s">
        <v>651</v>
      </c>
      <c r="E62" s="125" t="n">
        <v>-61946.82</v>
      </c>
      <c r="F62" s="125" t="n">
        <v>0</v>
      </c>
      <c r="G62" s="125" t="n">
        <v>0</v>
      </c>
      <c r="H62" s="126" t="n">
        <v>-64020.15</v>
      </c>
      <c r="I62" s="20" t="str">
        <f aca="false">IF($C62="","",IFERROR(VLOOKUP($C62,Master_Mappings!$N$4:$S$200,3,FALSE()),"UNMAPPED"))</f>
        <v>Other Creditors</v>
      </c>
      <c r="J62" s="20" t="n">
        <f aca="false">IF($C62="","",IFERROR(VLOOKUP($C62,Master_Mappings!$N$4:$S$134,4,FALSE()),""))</f>
        <v>0</v>
      </c>
      <c r="K62" s="20" t="s">
        <v>529</v>
      </c>
      <c r="L62" s="20" t="s">
        <v>530</v>
      </c>
      <c r="M62" s="1" t="n">
        <f aca="false">IF($C62="","",IFERROR(VLOOKUP($C62,Master_Mappings!$N$4:$S$200,6,FALSE()),""))</f>
        <v>0</v>
      </c>
    </row>
    <row r="63" customFormat="false" ht="14.9" hidden="false" customHeight="false" outlineLevel="0" collapsed="false">
      <c r="A63" s="20" t="s">
        <v>49</v>
      </c>
      <c r="B63" s="20" t="s">
        <v>89</v>
      </c>
      <c r="C63" s="20" t="s">
        <v>652</v>
      </c>
      <c r="D63" s="20" t="s">
        <v>653</v>
      </c>
      <c r="E63" s="125" t="n">
        <v>0</v>
      </c>
      <c r="F63" s="125" t="n">
        <v>0</v>
      </c>
      <c r="G63" s="125" t="n">
        <v>0</v>
      </c>
      <c r="H63" s="126" t="n">
        <v>-0.03</v>
      </c>
      <c r="I63" s="20" t="str">
        <f aca="false">IF($C63="","",IFERROR(VLOOKUP($C63,Master_Mappings!$N$4:$S$200,3,FALSE()),"UNMAPPED"))</f>
        <v>Other Creditors</v>
      </c>
      <c r="J63" s="20" t="n">
        <f aca="false">IF($C63="","",IFERROR(VLOOKUP($C63,Master_Mappings!$N$4:$S$134,4,FALSE()),""))</f>
        <v>0</v>
      </c>
      <c r="K63" s="20" t="s">
        <v>529</v>
      </c>
      <c r="L63" s="20" t="s">
        <v>530</v>
      </c>
      <c r="M63" s="1" t="n">
        <f aca="false">IF($C63="","",IFERROR(VLOOKUP($C63,Master_Mappings!$N$4:$S$200,6,FALSE()),""))</f>
        <v>0</v>
      </c>
    </row>
    <row r="64" customFormat="false" ht="14.9" hidden="false" customHeight="false" outlineLevel="0" collapsed="false">
      <c r="A64" s="20" t="s">
        <v>49</v>
      </c>
      <c r="B64" s="20" t="s">
        <v>89</v>
      </c>
      <c r="C64" s="20" t="s">
        <v>654</v>
      </c>
      <c r="D64" s="20" t="s">
        <v>655</v>
      </c>
      <c r="E64" s="125" t="n">
        <v>199605.33</v>
      </c>
      <c r="F64" s="125" t="n">
        <v>0</v>
      </c>
      <c r="G64" s="125" t="n">
        <v>0</v>
      </c>
      <c r="H64" s="126" t="n">
        <v>229605.33</v>
      </c>
      <c r="I64" s="20" t="str">
        <f aca="false">IF($C64="","",IFERROR(VLOOKUP($C64,Master_Mappings!$N$4:$S$200,3,FALSE()),"UNMAPPED"))</f>
        <v>Other Creditors</v>
      </c>
      <c r="J64" s="20" t="n">
        <f aca="false">IF($C64="","",IFERROR(VLOOKUP($C64,Master_Mappings!$N$4:$S$134,4,FALSE()),""))</f>
        <v>0</v>
      </c>
      <c r="K64" s="20" t="s">
        <v>529</v>
      </c>
      <c r="L64" s="20" t="s">
        <v>530</v>
      </c>
      <c r="M64" s="1" t="n">
        <f aca="false">IF($C64="","",IFERROR(VLOOKUP($C64,Master_Mappings!$N$4:$S$200,6,FALSE()),""))</f>
        <v>0</v>
      </c>
    </row>
    <row r="65" customFormat="false" ht="14.9" hidden="false" customHeight="false" outlineLevel="0" collapsed="false">
      <c r="A65" s="20" t="s">
        <v>49</v>
      </c>
      <c r="B65" s="20" t="s">
        <v>89</v>
      </c>
      <c r="C65" s="20" t="s">
        <v>656</v>
      </c>
      <c r="D65" s="20" t="s">
        <v>657</v>
      </c>
      <c r="E65" s="125" t="n">
        <v>-3341.57</v>
      </c>
      <c r="F65" s="125" t="n">
        <v>0</v>
      </c>
      <c r="G65" s="125" t="n">
        <v>0</v>
      </c>
      <c r="H65" s="126" t="n">
        <v>-16641.45</v>
      </c>
      <c r="I65" s="20" t="str">
        <f aca="false">IF($C65="","",IFERROR(VLOOKUP($C65,Master_Mappings!$N$4:$S$200,3,FALSE()),"UNMAPPED"))</f>
        <v>Other Creditors</v>
      </c>
      <c r="J65" s="20" t="n">
        <f aca="false">IF($C65="","",IFERROR(VLOOKUP($C65,Master_Mappings!$N$4:$S$134,4,FALSE()),""))</f>
        <v>0</v>
      </c>
      <c r="K65" s="20" t="s">
        <v>529</v>
      </c>
      <c r="L65" s="20" t="s">
        <v>530</v>
      </c>
      <c r="M65" s="1" t="n">
        <f aca="false">IF($C65="","",IFERROR(VLOOKUP($C65,Master_Mappings!$N$4:$S$200,6,FALSE()),""))</f>
        <v>0</v>
      </c>
    </row>
    <row r="66" customFormat="false" ht="14.9" hidden="false" customHeight="false" outlineLevel="0" collapsed="false">
      <c r="A66" s="20" t="s">
        <v>49</v>
      </c>
      <c r="B66" s="20" t="s">
        <v>89</v>
      </c>
      <c r="C66" s="20" t="s">
        <v>658</v>
      </c>
      <c r="D66" s="20" t="s">
        <v>659</v>
      </c>
      <c r="E66" s="125" t="n">
        <v>-239115.96</v>
      </c>
      <c r="F66" s="125" t="n">
        <v>0</v>
      </c>
      <c r="G66" s="125" t="n">
        <v>0</v>
      </c>
      <c r="H66" s="126" t="n">
        <v>-239115.96</v>
      </c>
      <c r="I66" s="20" t="str">
        <f aca="false">IF($C66="","",IFERROR(VLOOKUP($C66,Master_Mappings!$N$4:$S$200,3,FALSE()),"UNMAPPED"))</f>
        <v>Other Creditors</v>
      </c>
      <c r="J66" s="20" t="n">
        <f aca="false">IF($C66="","",IFERROR(VLOOKUP($C66,Master_Mappings!$N$4:$S$134,4,FALSE()),""))</f>
        <v>0</v>
      </c>
      <c r="K66" s="20" t="s">
        <v>529</v>
      </c>
      <c r="L66" s="20" t="s">
        <v>530</v>
      </c>
      <c r="M66" s="1" t="n">
        <f aca="false">IF($C66="","",IFERROR(VLOOKUP($C66,Master_Mappings!$N$4:$S$200,6,FALSE()),""))</f>
        <v>0</v>
      </c>
    </row>
    <row r="67" customFormat="false" ht="14.9" hidden="false" customHeight="false" outlineLevel="0" collapsed="false">
      <c r="A67" s="20" t="s">
        <v>49</v>
      </c>
      <c r="B67" s="20" t="s">
        <v>89</v>
      </c>
      <c r="C67" s="20" t="s">
        <v>660</v>
      </c>
      <c r="D67" s="20" t="s">
        <v>661</v>
      </c>
      <c r="E67" s="125" t="n">
        <v>-71648.11</v>
      </c>
      <c r="F67" s="125" t="n">
        <v>0</v>
      </c>
      <c r="G67" s="125" t="n">
        <v>0</v>
      </c>
      <c r="H67" s="126" t="n">
        <v>-71648.11</v>
      </c>
      <c r="I67" s="20" t="str">
        <f aca="false">IF($C67="","",IFERROR(VLOOKUP($C67,Master_Mappings!$N$4:$S$200,3,FALSE()),"UNMAPPED"))</f>
        <v>Other Creditors</v>
      </c>
      <c r="J67" s="20" t="n">
        <f aca="false">IF($C67="","",IFERROR(VLOOKUP($C67,Master_Mappings!$N$4:$S$134,4,FALSE()),""))</f>
        <v>0</v>
      </c>
      <c r="K67" s="20" t="s">
        <v>529</v>
      </c>
      <c r="L67" s="20" t="s">
        <v>530</v>
      </c>
      <c r="M67" s="1" t="n">
        <f aca="false">IF($C67="","",IFERROR(VLOOKUP($C67,Master_Mappings!$N$4:$S$200,6,FALSE()),""))</f>
        <v>0</v>
      </c>
    </row>
    <row r="68" customFormat="false" ht="14.9" hidden="false" customHeight="false" outlineLevel="0" collapsed="false">
      <c r="A68" s="20" t="s">
        <v>49</v>
      </c>
      <c r="B68" s="20" t="s">
        <v>89</v>
      </c>
      <c r="C68" s="20" t="s">
        <v>662</v>
      </c>
      <c r="D68" s="20" t="s">
        <v>663</v>
      </c>
      <c r="E68" s="125" t="n">
        <v>-0.33</v>
      </c>
      <c r="F68" s="125" t="n">
        <v>0</v>
      </c>
      <c r="G68" s="125" t="n">
        <v>0</v>
      </c>
      <c r="H68" s="126" t="n">
        <v>-0.33</v>
      </c>
      <c r="I68" s="20" t="str">
        <f aca="false">IF($C68="","",IFERROR(VLOOKUP($C68,Master_Mappings!$N$4:$S$200,3,FALSE()),"UNMAPPED"))</f>
        <v>Loans &gt; 1 year</v>
      </c>
      <c r="J68" s="20" t="n">
        <f aca="false">IF($C68="","",IFERROR(VLOOKUP($C68,Master_Mappings!$N$4:$S$134,4,FALSE()),""))</f>
        <v>0</v>
      </c>
      <c r="K68" s="20" t="s">
        <v>529</v>
      </c>
      <c r="L68" s="20" t="s">
        <v>530</v>
      </c>
      <c r="M68" s="1" t="n">
        <f aca="false">IF($C68="","",IFERROR(VLOOKUP($C68,Master_Mappings!$N$4:$S$200,6,FALSE()),""))</f>
        <v>0</v>
      </c>
    </row>
    <row r="69" customFormat="false" ht="14.9" hidden="false" customHeight="false" outlineLevel="0" collapsed="false">
      <c r="A69" s="20" t="s">
        <v>49</v>
      </c>
      <c r="B69" s="20" t="s">
        <v>89</v>
      </c>
      <c r="C69" s="20" t="s">
        <v>664</v>
      </c>
      <c r="D69" s="20" t="s">
        <v>665</v>
      </c>
      <c r="E69" s="125" t="n">
        <v>-19999.87</v>
      </c>
      <c r="F69" s="125" t="n">
        <v>0</v>
      </c>
      <c r="G69" s="125" t="n">
        <v>0</v>
      </c>
      <c r="H69" s="126" t="n">
        <v>-19999.87</v>
      </c>
      <c r="I69" s="20" t="str">
        <f aca="false">IF($C69="","",IFERROR(VLOOKUP($C69,Master_Mappings!$N$4:$S$200,3,FALSE()),"UNMAPPED"))</f>
        <v>Share Capital</v>
      </c>
      <c r="J69" s="20" t="n">
        <f aca="false">IF($C69="","",IFERROR(VLOOKUP($C69,Master_Mappings!$N$4:$S$134,4,FALSE()),""))</f>
        <v>0</v>
      </c>
      <c r="K69" s="20" t="s">
        <v>529</v>
      </c>
      <c r="L69" s="20" t="s">
        <v>530</v>
      </c>
      <c r="M69" s="1" t="n">
        <f aca="false">IF($C69="","",IFERROR(VLOOKUP($C69,Master_Mappings!$N$4:$S$200,6,FALSE()),""))</f>
        <v>0</v>
      </c>
    </row>
    <row r="70" customFormat="false" ht="14.9" hidden="false" customHeight="false" outlineLevel="0" collapsed="false">
      <c r="A70" s="20" t="s">
        <v>49</v>
      </c>
      <c r="B70" s="20" t="s">
        <v>89</v>
      </c>
      <c r="C70" s="20" t="s">
        <v>666</v>
      </c>
      <c r="D70" s="20" t="s">
        <v>667</v>
      </c>
      <c r="E70" s="125" t="n">
        <v>-324437.49</v>
      </c>
      <c r="F70" s="125" t="n">
        <v>0</v>
      </c>
      <c r="G70" s="125" t="n">
        <v>0</v>
      </c>
      <c r="H70" s="126" t="n">
        <v>-324437.49</v>
      </c>
      <c r="I70" s="20" t="str">
        <f aca="false">IF($C70="","",IFERROR(VLOOKUP($C70,Master_Mappings!$N$4:$S$200,3,FALSE()),"UNMAPPED"))</f>
        <v>Retained Reserves</v>
      </c>
      <c r="J70" s="20" t="n">
        <f aca="false">IF($C70="","",IFERROR(VLOOKUP($C70,Master_Mappings!$N$4:$S$134,4,FALSE()),""))</f>
        <v>0</v>
      </c>
      <c r="K70" s="20" t="s">
        <v>529</v>
      </c>
      <c r="L70" s="20" t="s">
        <v>530</v>
      </c>
      <c r="M70" s="1" t="n">
        <f aca="false">IF($C70="","",IFERROR(VLOOKUP($C70,Master_Mappings!$N$4:$S$200,6,FALSE()),""))</f>
        <v>0</v>
      </c>
    </row>
    <row r="71" customFormat="false" ht="14.9" hidden="false" customHeight="false" outlineLevel="0" collapsed="false">
      <c r="A71" s="20" t="s">
        <v>49</v>
      </c>
      <c r="B71" s="20" t="s">
        <v>89</v>
      </c>
      <c r="C71" s="20" t="s">
        <v>668</v>
      </c>
      <c r="D71" s="20" t="s">
        <v>669</v>
      </c>
      <c r="E71" s="125" t="n">
        <v>-5152147.49</v>
      </c>
      <c r="F71" s="125" t="n">
        <v>0</v>
      </c>
      <c r="G71" s="125" t="n">
        <v>0</v>
      </c>
      <c r="H71" s="126" t="n">
        <v>-5152147.49</v>
      </c>
      <c r="I71" s="20" t="str">
        <f aca="false">IF($C71="","",IFERROR(VLOOKUP($C71,Master_Mappings!$N$4:$S$200,3,FALSE()),"UNMAPPED"))</f>
        <v>Retained Reserves</v>
      </c>
      <c r="J71" s="20" t="n">
        <f aca="false">IF($C71="","",IFERROR(VLOOKUP($C71,Master_Mappings!$N$4:$S$134,4,FALSE()),""))</f>
        <v>0</v>
      </c>
      <c r="K71" s="20" t="s">
        <v>529</v>
      </c>
      <c r="L71" s="20" t="s">
        <v>530</v>
      </c>
      <c r="M71" s="1" t="n">
        <f aca="false">IF($C71="","",IFERROR(VLOOKUP($C71,Master_Mappings!$N$4:$S$200,6,FALSE()),""))</f>
        <v>0</v>
      </c>
    </row>
    <row r="72" customFormat="false" ht="14.9" hidden="false" customHeight="false" outlineLevel="0" collapsed="false">
      <c r="A72" s="20" t="s">
        <v>49</v>
      </c>
      <c r="B72" s="20" t="s">
        <v>89</v>
      </c>
      <c r="C72" s="20" t="s">
        <v>670</v>
      </c>
      <c r="D72" s="20" t="s">
        <v>671</v>
      </c>
      <c r="E72" s="125" t="n">
        <v>-2449460.04</v>
      </c>
      <c r="F72" s="125" t="n">
        <v>0</v>
      </c>
      <c r="G72" s="125" t="n">
        <v>0</v>
      </c>
      <c r="H72" s="126" t="n">
        <v>-4710230.64</v>
      </c>
      <c r="I72" s="20" t="str">
        <f aca="false">IF($C72="","",IFERROR(VLOOKUP($C72,Master_Mappings!$N$4:$S$200,3,FALSE()),"UNMAPPED"))</f>
        <v>Current P&amp;L</v>
      </c>
      <c r="J72" s="20" t="n">
        <f aca="false">IF($C72="","",IFERROR(VLOOKUP($C72,Master_Mappings!$N$4:$S$134,4,FALSE()),""))</f>
        <v>0</v>
      </c>
      <c r="K72" s="20" t="s">
        <v>529</v>
      </c>
      <c r="L72" s="20" t="s">
        <v>530</v>
      </c>
      <c r="M72" s="1" t="n">
        <f aca="false">IF($C72="","",IFERROR(VLOOKUP($C72,Master_Mappings!$N$4:$S$200,6,FALSE()),""))</f>
        <v>0</v>
      </c>
    </row>
    <row r="73" customFormat="false" ht="14.9" hidden="false" customHeight="false" outlineLevel="0" collapsed="false">
      <c r="A73" s="20" t="s">
        <v>49</v>
      </c>
      <c r="B73" s="20" t="s">
        <v>89</v>
      </c>
      <c r="C73" s="20" t="s">
        <v>672</v>
      </c>
      <c r="D73" s="20" t="s">
        <v>673</v>
      </c>
      <c r="E73" s="125" t="n">
        <v>-725884.66</v>
      </c>
      <c r="F73" s="125" t="n">
        <v>0</v>
      </c>
      <c r="G73" s="125" t="n">
        <v>0</v>
      </c>
      <c r="H73" s="126" t="n">
        <v>-1338817.4</v>
      </c>
      <c r="I73" s="20" t="str">
        <f aca="false">IF($C73="","",IFERROR(VLOOKUP($C73,Master_Mappings!$N$4:$S$200,3,FALSE()),"UNMAPPED"))</f>
        <v>Current P&amp;L</v>
      </c>
      <c r="J73" s="20" t="n">
        <f aca="false">IF($C73="","",IFERROR(VLOOKUP($C73,Master_Mappings!$N$4:$S$134,4,FALSE()),""))</f>
        <v>0</v>
      </c>
      <c r="K73" s="20" t="s">
        <v>529</v>
      </c>
      <c r="L73" s="20" t="s">
        <v>567</v>
      </c>
      <c r="M73" s="1" t="n">
        <f aca="false">IF($C73="","",IFERROR(VLOOKUP($C73,Master_Mappings!$N$4:$S$200,6,FALSE()),""))</f>
        <v>0</v>
      </c>
    </row>
    <row r="74" customFormat="false" ht="14.9" hidden="false" customHeight="false" outlineLevel="0" collapsed="false">
      <c r="A74" s="20" t="s">
        <v>49</v>
      </c>
      <c r="B74" s="20" t="s">
        <v>89</v>
      </c>
      <c r="C74" s="20" t="s">
        <v>674</v>
      </c>
      <c r="D74" s="20" t="s">
        <v>675</v>
      </c>
      <c r="E74" s="125" t="n">
        <v>-376399.08</v>
      </c>
      <c r="F74" s="125" t="n">
        <v>0</v>
      </c>
      <c r="G74" s="125" t="n">
        <v>0</v>
      </c>
      <c r="H74" s="126" t="n">
        <v>-2486538.68</v>
      </c>
      <c r="I74" s="20" t="str">
        <f aca="false">IF($C74="","",IFERROR(VLOOKUP($C74,Master_Mappings!$N$4:$S$200,3,FALSE()),"UNMAPPED"))</f>
        <v>Current P&amp;L</v>
      </c>
      <c r="J74" s="20" t="n">
        <f aca="false">IF($C74="","",IFERROR(VLOOKUP($C74,Master_Mappings!$N$4:$S$134,4,FALSE()),""))</f>
        <v>0</v>
      </c>
      <c r="K74" s="20" t="s">
        <v>529</v>
      </c>
      <c r="L74" s="20" t="s">
        <v>567</v>
      </c>
      <c r="M74" s="1" t="n">
        <f aca="false">IF($C74="","",IFERROR(VLOOKUP($C74,Master_Mappings!$N$4:$S$200,6,FALSE()),""))</f>
        <v>0</v>
      </c>
    </row>
    <row r="75" customFormat="false" ht="14.9" hidden="false" customHeight="false" outlineLevel="0" collapsed="false">
      <c r="A75" s="20" t="s">
        <v>49</v>
      </c>
      <c r="B75" s="20" t="s">
        <v>89</v>
      </c>
      <c r="C75" s="20" t="s">
        <v>676</v>
      </c>
      <c r="D75" s="20" t="s">
        <v>677</v>
      </c>
      <c r="E75" s="125" t="n">
        <v>-385627.6</v>
      </c>
      <c r="F75" s="125" t="n">
        <v>0</v>
      </c>
      <c r="G75" s="125" t="n">
        <v>0</v>
      </c>
      <c r="H75" s="126" t="n">
        <v>-918121.21</v>
      </c>
      <c r="I75" s="20" t="str">
        <f aca="false">IF($C75="","",IFERROR(VLOOKUP($C75,Master_Mappings!$N$4:$S$200,3,FALSE()),"UNMAPPED"))</f>
        <v>Current P&amp;L</v>
      </c>
      <c r="J75" s="20" t="n">
        <f aca="false">IF($C75="","",IFERROR(VLOOKUP($C75,Master_Mappings!$N$4:$S$134,4,FALSE()),""))</f>
        <v>0</v>
      </c>
      <c r="K75" s="20" t="s">
        <v>529</v>
      </c>
      <c r="L75" s="20" t="s">
        <v>567</v>
      </c>
      <c r="M75" s="1" t="n">
        <f aca="false">IF($C75="","",IFERROR(VLOOKUP($C75,Master_Mappings!$N$4:$S$200,6,FALSE()),""))</f>
        <v>0</v>
      </c>
    </row>
    <row r="76" customFormat="false" ht="14.9" hidden="false" customHeight="false" outlineLevel="0" collapsed="false">
      <c r="A76" s="20" t="s">
        <v>49</v>
      </c>
      <c r="B76" s="20" t="s">
        <v>89</v>
      </c>
      <c r="C76" s="20" t="s">
        <v>678</v>
      </c>
      <c r="D76" s="20" t="s">
        <v>679</v>
      </c>
      <c r="E76" s="125" t="n">
        <v>-186796.18</v>
      </c>
      <c r="F76" s="125" t="n">
        <v>0</v>
      </c>
      <c r="G76" s="125" t="n">
        <v>0</v>
      </c>
      <c r="H76" s="126" t="n">
        <v>-397851.93</v>
      </c>
      <c r="I76" s="20" t="str">
        <f aca="false">IF($C76="","",IFERROR(VLOOKUP($C76,Master_Mappings!$N$4:$S$200,3,FALSE()),"UNMAPPED"))</f>
        <v>Current P&amp;L</v>
      </c>
      <c r="J76" s="20" t="n">
        <f aca="false">IF($C76="","",IFERROR(VLOOKUP($C76,Master_Mappings!$N$4:$S$134,4,FALSE()),""))</f>
        <v>0</v>
      </c>
      <c r="K76" s="20" t="s">
        <v>529</v>
      </c>
      <c r="L76" s="20" t="s">
        <v>567</v>
      </c>
      <c r="M76" s="1" t="n">
        <f aca="false">IF($C76="","",IFERROR(VLOOKUP($C76,Master_Mappings!$N$4:$S$200,6,FALSE()),""))</f>
        <v>0</v>
      </c>
    </row>
    <row r="77" customFormat="false" ht="14.9" hidden="false" customHeight="false" outlineLevel="0" collapsed="false">
      <c r="A77" s="20" t="s">
        <v>49</v>
      </c>
      <c r="B77" s="20" t="s">
        <v>89</v>
      </c>
      <c r="C77" s="20" t="s">
        <v>680</v>
      </c>
      <c r="D77" s="20" t="s">
        <v>681</v>
      </c>
      <c r="E77" s="125" t="n">
        <v>32099.98</v>
      </c>
      <c r="F77" s="125" t="n">
        <v>0</v>
      </c>
      <c r="G77" s="125" t="n">
        <v>0</v>
      </c>
      <c r="H77" s="126" t="n">
        <v>498422.2</v>
      </c>
      <c r="I77" s="20" t="str">
        <f aca="false">IF($C77="","",IFERROR(VLOOKUP($C77,Master_Mappings!$N$4:$S$200,3,FALSE()),"UNMAPPED"))</f>
        <v>Current P&amp;L</v>
      </c>
      <c r="J77" s="20" t="n">
        <f aca="false">IF($C77="","",IFERROR(VLOOKUP($C77,Master_Mappings!$N$4:$S$134,4,FALSE()),""))</f>
        <v>0</v>
      </c>
      <c r="K77" s="20" t="s">
        <v>529</v>
      </c>
      <c r="L77" s="20" t="s">
        <v>567</v>
      </c>
      <c r="M77" s="1" t="n">
        <f aca="false">IF($C77="","",IFERROR(VLOOKUP($C77,Master_Mappings!$N$4:$S$200,6,FALSE()),""))</f>
        <v>0</v>
      </c>
    </row>
    <row r="78" customFormat="false" ht="14.9" hidden="false" customHeight="false" outlineLevel="0" collapsed="false">
      <c r="A78" s="20" t="s">
        <v>49</v>
      </c>
      <c r="B78" s="20" t="s">
        <v>89</v>
      </c>
      <c r="C78" s="20" t="s">
        <v>682</v>
      </c>
      <c r="D78" s="20" t="s">
        <v>683</v>
      </c>
      <c r="E78" s="125" t="n">
        <v>151893.42</v>
      </c>
      <c r="F78" s="125" t="n">
        <v>0</v>
      </c>
      <c r="G78" s="125" t="n">
        <v>0</v>
      </c>
      <c r="H78" s="126" t="n">
        <v>968118.94</v>
      </c>
      <c r="I78" s="20" t="str">
        <f aca="false">IF($C78="","",IFERROR(VLOOKUP($C78,Master_Mappings!$N$4:$S$200,3,FALSE()),"UNMAPPED"))</f>
        <v>Current P&amp;L</v>
      </c>
      <c r="J78" s="20" t="n">
        <f aca="false">IF($C78="","",IFERROR(VLOOKUP($C78,Master_Mappings!$N$4:$S$134,4,FALSE()),""))</f>
        <v>0</v>
      </c>
      <c r="K78" s="20" t="s">
        <v>529</v>
      </c>
      <c r="L78" s="20" t="s">
        <v>567</v>
      </c>
      <c r="M78" s="1" t="n">
        <f aca="false">IF($C78="","",IFERROR(VLOOKUP($C78,Master_Mappings!$N$4:$S$200,6,FALSE()),""))</f>
        <v>0</v>
      </c>
    </row>
    <row r="79" customFormat="false" ht="14.9" hidden="false" customHeight="false" outlineLevel="0" collapsed="false">
      <c r="A79" s="20" t="s">
        <v>49</v>
      </c>
      <c r="B79" s="20" t="s">
        <v>89</v>
      </c>
      <c r="C79" s="20" t="s">
        <v>684</v>
      </c>
      <c r="D79" s="20" t="s">
        <v>685</v>
      </c>
      <c r="E79" s="125" t="n">
        <v>112</v>
      </c>
      <c r="F79" s="125" t="n">
        <v>0</v>
      </c>
      <c r="G79" s="125" t="n">
        <v>0</v>
      </c>
      <c r="H79" s="126" t="n">
        <v>85088.29</v>
      </c>
      <c r="I79" s="20" t="str">
        <f aca="false">IF($C79="","",IFERROR(VLOOKUP($C79,Master_Mappings!$N$4:$S$200,3,FALSE()),"UNMAPPED"))</f>
        <v>Current P&amp;L</v>
      </c>
      <c r="J79" s="20" t="n">
        <f aca="false">IF($C79="","",IFERROR(VLOOKUP($C79,Master_Mappings!$N$4:$S$134,4,FALSE()),""))</f>
        <v>0</v>
      </c>
      <c r="K79" s="20" t="s">
        <v>529</v>
      </c>
      <c r="L79" s="20" t="s">
        <v>567</v>
      </c>
      <c r="M79" s="1" t="n">
        <f aca="false">IF($C79="","",IFERROR(VLOOKUP($C79,Master_Mappings!$N$4:$S$200,6,FALSE()),""))</f>
        <v>0</v>
      </c>
    </row>
    <row r="80" customFormat="false" ht="14.9" hidden="false" customHeight="false" outlineLevel="0" collapsed="false">
      <c r="A80" s="20" t="s">
        <v>49</v>
      </c>
      <c r="B80" s="20" t="s">
        <v>89</v>
      </c>
      <c r="C80" s="20" t="s">
        <v>686</v>
      </c>
      <c r="D80" s="20" t="s">
        <v>687</v>
      </c>
      <c r="E80" s="125" t="n">
        <v>1318800.09</v>
      </c>
      <c r="F80" s="125" t="n">
        <v>0</v>
      </c>
      <c r="G80" s="125" t="n">
        <v>0</v>
      </c>
      <c r="H80" s="126" t="n">
        <v>2684369.48</v>
      </c>
      <c r="I80" s="20" t="str">
        <f aca="false">IF($C80="","",IFERROR(VLOOKUP($C80,Master_Mappings!$N$4:$S$200,3,FALSE()),"UNMAPPED"))</f>
        <v>Current P&amp;L</v>
      </c>
      <c r="J80" s="20" t="n">
        <f aca="false">IF($C80="","",IFERROR(VLOOKUP($C80,Master_Mappings!$N$4:$S$134,4,FALSE()),""))</f>
        <v>0</v>
      </c>
      <c r="K80" s="20" t="s">
        <v>529</v>
      </c>
      <c r="L80" s="20" t="s">
        <v>567</v>
      </c>
      <c r="M80" s="1" t="n">
        <f aca="false">IF($C80="","",IFERROR(VLOOKUP($C80,Master_Mappings!$N$4:$S$200,6,FALSE()),""))</f>
        <v>0</v>
      </c>
    </row>
    <row r="81" customFormat="false" ht="14.9" hidden="false" customHeight="false" outlineLevel="0" collapsed="false">
      <c r="A81" s="20" t="s">
        <v>49</v>
      </c>
      <c r="B81" s="20" t="s">
        <v>89</v>
      </c>
      <c r="C81" s="20" t="s">
        <v>688</v>
      </c>
      <c r="D81" s="20" t="s">
        <v>689</v>
      </c>
      <c r="E81" s="125" t="n">
        <v>171444</v>
      </c>
      <c r="F81" s="125" t="n">
        <v>0</v>
      </c>
      <c r="G81" s="125" t="n">
        <v>0</v>
      </c>
      <c r="H81" s="126" t="n">
        <v>348968.01</v>
      </c>
      <c r="I81" s="20" t="str">
        <f aca="false">IF($C81="","",IFERROR(VLOOKUP($C81,Master_Mappings!$N$4:$S$200,3,FALSE()),"UNMAPPED"))</f>
        <v>Current P&amp;L</v>
      </c>
      <c r="J81" s="20" t="n">
        <f aca="false">IF($C81="","",IFERROR(VLOOKUP($C81,Master_Mappings!$N$4:$S$134,4,FALSE()),""))</f>
        <v>0</v>
      </c>
      <c r="K81" s="20" t="s">
        <v>529</v>
      </c>
      <c r="L81" s="20" t="s">
        <v>567</v>
      </c>
      <c r="M81" s="1" t="n">
        <f aca="false">IF($C81="","",IFERROR(VLOOKUP($C81,Master_Mappings!$N$4:$S$200,6,FALSE()),""))</f>
        <v>0</v>
      </c>
    </row>
    <row r="82" customFormat="false" ht="14.9" hidden="false" customHeight="false" outlineLevel="0" collapsed="false">
      <c r="A82" s="20" t="s">
        <v>49</v>
      </c>
      <c r="B82" s="20" t="s">
        <v>89</v>
      </c>
      <c r="C82" s="20" t="s">
        <v>690</v>
      </c>
      <c r="D82" s="20" t="s">
        <v>691</v>
      </c>
      <c r="E82" s="125" t="n">
        <v>39564</v>
      </c>
      <c r="F82" s="125" t="n">
        <v>0</v>
      </c>
      <c r="G82" s="125" t="n">
        <v>0</v>
      </c>
      <c r="H82" s="126" t="n">
        <v>80531.08</v>
      </c>
      <c r="I82" s="20" t="str">
        <f aca="false">IF($C82="","",IFERROR(VLOOKUP($C82,Master_Mappings!$N$4:$S$200,3,FALSE()),"UNMAPPED"))</f>
        <v>Current P&amp;L</v>
      </c>
      <c r="J82" s="20" t="n">
        <f aca="false">IF($C82="","",IFERROR(VLOOKUP($C82,Master_Mappings!$N$4:$S$134,4,FALSE()),""))</f>
        <v>0</v>
      </c>
      <c r="K82" s="20" t="s">
        <v>529</v>
      </c>
      <c r="L82" s="20" t="s">
        <v>567</v>
      </c>
      <c r="M82" s="1" t="n">
        <f aca="false">IF($C82="","",IFERROR(VLOOKUP($C82,Master_Mappings!$N$4:$S$200,6,FALSE()),""))</f>
        <v>0</v>
      </c>
    </row>
    <row r="83" customFormat="false" ht="14.9" hidden="false" customHeight="false" outlineLevel="0" collapsed="false">
      <c r="A83" s="20" t="s">
        <v>49</v>
      </c>
      <c r="B83" s="20" t="s">
        <v>89</v>
      </c>
      <c r="C83" s="20" t="s">
        <v>692</v>
      </c>
      <c r="D83" s="20" t="s">
        <v>693</v>
      </c>
      <c r="E83" s="125" t="n">
        <v>57699.99</v>
      </c>
      <c r="F83" s="125" t="n">
        <v>0</v>
      </c>
      <c r="G83" s="125" t="n">
        <v>0</v>
      </c>
      <c r="H83" s="126" t="n">
        <v>115399.98</v>
      </c>
      <c r="I83" s="20" t="str">
        <f aca="false">IF($C83="","",IFERROR(VLOOKUP($C83,Master_Mappings!$N$4:$S$200,3,FALSE()),"UNMAPPED"))</f>
        <v>Current P&amp;L</v>
      </c>
      <c r="J83" s="20" t="n">
        <f aca="false">IF($C83="","",IFERROR(VLOOKUP($C83,Master_Mappings!$N$4:$S$134,4,FALSE()),""))</f>
        <v>0</v>
      </c>
      <c r="K83" s="20" t="s">
        <v>529</v>
      </c>
      <c r="L83" s="20" t="s">
        <v>567</v>
      </c>
      <c r="M83" s="1" t="n">
        <f aca="false">IF($C83="","",IFERROR(VLOOKUP($C83,Master_Mappings!$N$4:$S$200,6,FALSE()),""))</f>
        <v>0</v>
      </c>
    </row>
    <row r="84" customFormat="false" ht="14.9" hidden="false" customHeight="false" outlineLevel="0" collapsed="false">
      <c r="A84" s="20" t="s">
        <v>49</v>
      </c>
      <c r="B84" s="20" t="s">
        <v>89</v>
      </c>
      <c r="C84" s="20" t="s">
        <v>694</v>
      </c>
      <c r="D84" s="20" t="s">
        <v>695</v>
      </c>
      <c r="E84" s="125" t="n">
        <v>380</v>
      </c>
      <c r="F84" s="125" t="n">
        <v>0</v>
      </c>
      <c r="G84" s="125" t="n">
        <v>0</v>
      </c>
      <c r="H84" s="126" t="n">
        <v>380</v>
      </c>
      <c r="I84" s="20" t="str">
        <f aca="false">IF($C84="","",IFERROR(VLOOKUP($C84,Master_Mappings!$N$4:$S$200,3,FALSE()),"UNMAPPED"))</f>
        <v>Current P&amp;L</v>
      </c>
      <c r="J84" s="20" t="n">
        <f aca="false">IF($C84="","",IFERROR(VLOOKUP($C84,Master_Mappings!$N$4:$S$134,4,FALSE()),""))</f>
        <v>0</v>
      </c>
      <c r="K84" s="20" t="s">
        <v>529</v>
      </c>
      <c r="L84" s="20" t="s">
        <v>567</v>
      </c>
      <c r="M84" s="1" t="n">
        <f aca="false">IF($C84="","",IFERROR(VLOOKUP($C84,Master_Mappings!$N$4:$S$200,6,FALSE()),""))</f>
        <v>0</v>
      </c>
    </row>
    <row r="85" customFormat="false" ht="14.9" hidden="false" customHeight="false" outlineLevel="0" collapsed="false">
      <c r="A85" s="20" t="s">
        <v>49</v>
      </c>
      <c r="B85" s="20" t="s">
        <v>89</v>
      </c>
      <c r="C85" s="20" t="s">
        <v>696</v>
      </c>
      <c r="D85" s="20" t="s">
        <v>697</v>
      </c>
      <c r="E85" s="125" t="n">
        <v>537714.27</v>
      </c>
      <c r="F85" s="125" t="n">
        <v>0</v>
      </c>
      <c r="G85" s="125" t="n">
        <v>0</v>
      </c>
      <c r="H85" s="126" t="n">
        <v>1075428.54</v>
      </c>
      <c r="I85" s="20" t="str">
        <f aca="false">IF($C85="","",IFERROR(VLOOKUP($C85,Master_Mappings!$N$4:$S$200,3,FALSE()),"UNMAPPED"))</f>
        <v>Current P&amp;L</v>
      </c>
      <c r="J85" s="20" t="n">
        <f aca="false">IF($C85="","",IFERROR(VLOOKUP($C85,Master_Mappings!$N$4:$S$134,4,FALSE()),""))</f>
        <v>0</v>
      </c>
      <c r="K85" s="20" t="s">
        <v>529</v>
      </c>
      <c r="L85" s="20" t="s">
        <v>567</v>
      </c>
      <c r="M85" s="1" t="n">
        <f aca="false">IF($C85="","",IFERROR(VLOOKUP($C85,Master_Mappings!$N$4:$S$200,6,FALSE()),""))</f>
        <v>0</v>
      </c>
    </row>
    <row r="86" customFormat="false" ht="14.9" hidden="false" customHeight="false" outlineLevel="0" collapsed="false">
      <c r="A86" s="20" t="s">
        <v>49</v>
      </c>
      <c r="B86" s="20" t="s">
        <v>89</v>
      </c>
      <c r="C86" s="20" t="s">
        <v>698</v>
      </c>
      <c r="D86" s="20" t="s">
        <v>699</v>
      </c>
      <c r="E86" s="125" t="n">
        <v>69902.85</v>
      </c>
      <c r="F86" s="125" t="n">
        <v>0</v>
      </c>
      <c r="G86" s="125" t="n">
        <v>0</v>
      </c>
      <c r="H86" s="126" t="n">
        <v>139805.7</v>
      </c>
      <c r="I86" s="20" t="str">
        <f aca="false">IF($C86="","",IFERROR(VLOOKUP($C86,Master_Mappings!$N$4:$S$200,3,FALSE()),"UNMAPPED"))</f>
        <v>Current P&amp;L</v>
      </c>
      <c r="J86" s="20" t="n">
        <f aca="false">IF($C86="","",IFERROR(VLOOKUP($C86,Master_Mappings!$N$4:$S$134,4,FALSE()),""))</f>
        <v>0</v>
      </c>
      <c r="K86" s="20" t="s">
        <v>529</v>
      </c>
      <c r="L86" s="20" t="s">
        <v>567</v>
      </c>
      <c r="M86" s="1" t="n">
        <f aca="false">IF($C86="","",IFERROR(VLOOKUP($C86,Master_Mappings!$N$4:$S$200,6,FALSE()),""))</f>
        <v>0</v>
      </c>
    </row>
    <row r="87" customFormat="false" ht="14.9" hidden="false" customHeight="false" outlineLevel="0" collapsed="false">
      <c r="A87" s="20" t="s">
        <v>49</v>
      </c>
      <c r="B87" s="20" t="s">
        <v>89</v>
      </c>
      <c r="C87" s="20" t="s">
        <v>700</v>
      </c>
      <c r="D87" s="20" t="s">
        <v>701</v>
      </c>
      <c r="E87" s="125" t="n">
        <v>16131.42</v>
      </c>
      <c r="F87" s="125" t="n">
        <v>0</v>
      </c>
      <c r="G87" s="125" t="n">
        <v>0</v>
      </c>
      <c r="H87" s="126" t="n">
        <v>32262.84</v>
      </c>
      <c r="I87" s="20" t="str">
        <f aca="false">IF($C87="","",IFERROR(VLOOKUP($C87,Master_Mappings!$N$4:$S$200,3,FALSE()),"UNMAPPED"))</f>
        <v>Current P&amp;L</v>
      </c>
      <c r="J87" s="20" t="n">
        <f aca="false">IF($C87="","",IFERROR(VLOOKUP($C87,Master_Mappings!$N$4:$S$134,4,FALSE()),""))</f>
        <v>0</v>
      </c>
      <c r="K87" s="20" t="s">
        <v>529</v>
      </c>
      <c r="L87" s="20" t="s">
        <v>567</v>
      </c>
      <c r="M87" s="1" t="n">
        <f aca="false">IF($C87="","",IFERROR(VLOOKUP($C87,Master_Mappings!$N$4:$S$200,6,FALSE()),""))</f>
        <v>0</v>
      </c>
    </row>
    <row r="88" customFormat="false" ht="14.9" hidden="false" customHeight="false" outlineLevel="0" collapsed="false">
      <c r="A88" s="20" t="s">
        <v>49</v>
      </c>
      <c r="B88" s="20" t="s">
        <v>89</v>
      </c>
      <c r="C88" s="20" t="s">
        <v>702</v>
      </c>
      <c r="D88" s="20" t="s">
        <v>703</v>
      </c>
      <c r="E88" s="125" t="n">
        <v>19200</v>
      </c>
      <c r="F88" s="125" t="n">
        <v>0</v>
      </c>
      <c r="G88" s="125" t="n">
        <v>0</v>
      </c>
      <c r="H88" s="126" t="n">
        <v>40126.57</v>
      </c>
      <c r="I88" s="20" t="str">
        <f aca="false">IF($C88="","",IFERROR(VLOOKUP($C88,Master_Mappings!$N$4:$S$200,3,FALSE()),"UNMAPPED"))</f>
        <v>Current P&amp;L</v>
      </c>
      <c r="J88" s="20" t="n">
        <f aca="false">IF($C88="","",IFERROR(VLOOKUP($C88,Master_Mappings!$N$4:$S$134,4,FALSE()),""))</f>
        <v>0</v>
      </c>
      <c r="K88" s="20" t="s">
        <v>529</v>
      </c>
      <c r="L88" s="20" t="s">
        <v>567</v>
      </c>
      <c r="M88" s="1" t="n">
        <f aca="false">IF($C88="","",IFERROR(VLOOKUP($C88,Master_Mappings!$N$4:$S$200,6,FALSE()),""))</f>
        <v>0</v>
      </c>
    </row>
    <row r="89" customFormat="false" ht="14.9" hidden="false" customHeight="false" outlineLevel="0" collapsed="false">
      <c r="A89" s="20" t="s">
        <v>49</v>
      </c>
      <c r="B89" s="20" t="s">
        <v>89</v>
      </c>
      <c r="C89" s="20" t="s">
        <v>704</v>
      </c>
      <c r="D89" s="20" t="s">
        <v>705</v>
      </c>
      <c r="E89" s="125" t="n">
        <v>43827</v>
      </c>
      <c r="F89" s="125" t="n">
        <v>0</v>
      </c>
      <c r="G89" s="125" t="n">
        <v>0</v>
      </c>
      <c r="H89" s="126" t="n">
        <v>78030</v>
      </c>
      <c r="I89" s="20" t="str">
        <f aca="false">IF($C89="","",IFERROR(VLOOKUP($C89,Master_Mappings!$N$4:$S$200,3,FALSE()),"UNMAPPED"))</f>
        <v>Current P&amp;L</v>
      </c>
      <c r="J89" s="20" t="n">
        <f aca="false">IF($C89="","",IFERROR(VLOOKUP($C89,Master_Mappings!$N$4:$S$134,4,FALSE()),""))</f>
        <v>0</v>
      </c>
      <c r="K89" s="20" t="s">
        <v>529</v>
      </c>
      <c r="L89" s="20" t="s">
        <v>567</v>
      </c>
      <c r="M89" s="1" t="n">
        <f aca="false">IF($C89="","",IFERROR(VLOOKUP($C89,Master_Mappings!$N$4:$S$200,6,FALSE()),""))</f>
        <v>0</v>
      </c>
    </row>
    <row r="90" customFormat="false" ht="14.9" hidden="false" customHeight="false" outlineLevel="0" collapsed="false">
      <c r="A90" s="20" t="s">
        <v>49</v>
      </c>
      <c r="B90" s="20" t="s">
        <v>89</v>
      </c>
      <c r="C90" s="20" t="s">
        <v>706</v>
      </c>
      <c r="D90" s="20" t="s">
        <v>707</v>
      </c>
      <c r="E90" s="125" t="n">
        <v>0</v>
      </c>
      <c r="F90" s="125" t="n">
        <v>0</v>
      </c>
      <c r="G90" s="125" t="n">
        <v>0</v>
      </c>
      <c r="H90" s="126" t="n">
        <v>101889.31</v>
      </c>
      <c r="I90" s="20" t="str">
        <f aca="false">IF($C90="","",IFERROR(VLOOKUP($C90,Master_Mappings!$N$4:$S$200,3,FALSE()),"UNMAPPED"))</f>
        <v>Current P&amp;L</v>
      </c>
      <c r="J90" s="20" t="n">
        <f aca="false">IF($C90="","",IFERROR(VLOOKUP($C90,Master_Mappings!$N$4:$S$134,4,FALSE()),""))</f>
        <v>0</v>
      </c>
      <c r="K90" s="20" t="s">
        <v>529</v>
      </c>
      <c r="L90" s="20" t="s">
        <v>567</v>
      </c>
      <c r="M90" s="1" t="n">
        <f aca="false">IF($C90="","",IFERROR(VLOOKUP($C90,Master_Mappings!$N$4:$S$200,6,FALSE()),""))</f>
        <v>0</v>
      </c>
    </row>
    <row r="91" customFormat="false" ht="14.9" hidden="false" customHeight="false" outlineLevel="0" collapsed="false">
      <c r="A91" s="20" t="s">
        <v>49</v>
      </c>
      <c r="B91" s="20" t="s">
        <v>89</v>
      </c>
      <c r="C91" s="20" t="s">
        <v>708</v>
      </c>
      <c r="D91" s="20" t="s">
        <v>709</v>
      </c>
      <c r="E91" s="125" t="n">
        <v>2220</v>
      </c>
      <c r="F91" s="125" t="n">
        <v>0</v>
      </c>
      <c r="G91" s="125" t="n">
        <v>0</v>
      </c>
      <c r="H91" s="126" t="n">
        <v>75366.78</v>
      </c>
      <c r="I91" s="20" t="str">
        <f aca="false">IF($C91="","",IFERROR(VLOOKUP($C91,Master_Mappings!$N$4:$S$200,3,FALSE()),"UNMAPPED"))</f>
        <v>Current P&amp;L</v>
      </c>
      <c r="J91" s="20" t="n">
        <f aca="false">IF($C91="","",IFERROR(VLOOKUP($C91,Master_Mappings!$N$4:$S$134,4,FALSE()),""))</f>
        <v>0</v>
      </c>
      <c r="K91" s="20" t="s">
        <v>529</v>
      </c>
      <c r="L91" s="20" t="s">
        <v>567</v>
      </c>
      <c r="M91" s="1" t="n">
        <f aca="false">IF($C91="","",IFERROR(VLOOKUP($C91,Master_Mappings!$N$4:$S$200,6,FALSE()),""))</f>
        <v>0</v>
      </c>
    </row>
    <row r="92" customFormat="false" ht="14.9" hidden="false" customHeight="false" outlineLevel="0" collapsed="false">
      <c r="A92" s="20" t="s">
        <v>49</v>
      </c>
      <c r="B92" s="20" t="s">
        <v>89</v>
      </c>
      <c r="C92" s="20" t="s">
        <v>710</v>
      </c>
      <c r="D92" s="20" t="s">
        <v>711</v>
      </c>
      <c r="E92" s="125" t="n">
        <v>9600</v>
      </c>
      <c r="F92" s="125" t="n">
        <v>0</v>
      </c>
      <c r="G92" s="125" t="n">
        <v>0</v>
      </c>
      <c r="H92" s="126" t="n">
        <v>9600</v>
      </c>
      <c r="I92" s="20" t="str">
        <f aca="false">IF($C92="","",IFERROR(VLOOKUP($C92,Master_Mappings!$N$4:$S$200,3,FALSE()),"UNMAPPED"))</f>
        <v>Current P&amp;L</v>
      </c>
      <c r="J92" s="20" t="n">
        <f aca="false">IF($C92="","",IFERROR(VLOOKUP($C92,Master_Mappings!$N$4:$S$134,4,FALSE()),""))</f>
        <v>0</v>
      </c>
      <c r="K92" s="20" t="s">
        <v>529</v>
      </c>
      <c r="L92" s="20" t="s">
        <v>567</v>
      </c>
      <c r="M92" s="1" t="n">
        <f aca="false">IF($C92="","",IFERROR(VLOOKUP($C92,Master_Mappings!$N$4:$S$200,6,FALSE()),""))</f>
        <v>0</v>
      </c>
    </row>
    <row r="93" customFormat="false" ht="14.9" hidden="false" customHeight="false" outlineLevel="0" collapsed="false">
      <c r="A93" s="20" t="s">
        <v>49</v>
      </c>
      <c r="B93" s="20" t="s">
        <v>89</v>
      </c>
      <c r="C93" s="20" t="s">
        <v>712</v>
      </c>
      <c r="D93" s="20" t="s">
        <v>713</v>
      </c>
      <c r="E93" s="125" t="n">
        <v>6624.5</v>
      </c>
      <c r="F93" s="125" t="n">
        <v>0</v>
      </c>
      <c r="G93" s="125" t="n">
        <v>0</v>
      </c>
      <c r="H93" s="126" t="n">
        <v>11089.71</v>
      </c>
      <c r="I93" s="20" t="str">
        <f aca="false">IF($C93="","",IFERROR(VLOOKUP($C93,Master_Mappings!$N$4:$S$200,3,FALSE()),"UNMAPPED"))</f>
        <v>Current P&amp;L</v>
      </c>
      <c r="J93" s="20" t="n">
        <f aca="false">IF($C93="","",IFERROR(VLOOKUP($C93,Master_Mappings!$N$4:$S$134,4,FALSE()),""))</f>
        <v>0</v>
      </c>
      <c r="K93" s="20" t="s">
        <v>529</v>
      </c>
      <c r="L93" s="20" t="s">
        <v>567</v>
      </c>
      <c r="M93" s="1" t="n">
        <f aca="false">IF($C93="","",IFERROR(VLOOKUP($C93,Master_Mappings!$N$4:$S$200,6,FALSE()),""))</f>
        <v>0</v>
      </c>
    </row>
    <row r="94" customFormat="false" ht="14.9" hidden="false" customHeight="false" outlineLevel="0" collapsed="false">
      <c r="A94" s="20" t="s">
        <v>49</v>
      </c>
      <c r="B94" s="20" t="s">
        <v>89</v>
      </c>
      <c r="C94" s="20" t="s">
        <v>714</v>
      </c>
      <c r="D94" s="20" t="s">
        <v>715</v>
      </c>
      <c r="E94" s="125" t="n">
        <v>16655.73</v>
      </c>
      <c r="F94" s="125" t="n">
        <v>0</v>
      </c>
      <c r="G94" s="125" t="n">
        <v>0</v>
      </c>
      <c r="H94" s="126" t="n">
        <v>55408.72</v>
      </c>
      <c r="I94" s="20" t="str">
        <f aca="false">IF($C94="","",IFERROR(VLOOKUP($C94,Master_Mappings!$N$4:$S$200,3,FALSE()),"UNMAPPED"))</f>
        <v>Current P&amp;L</v>
      </c>
      <c r="J94" s="20" t="n">
        <f aca="false">IF($C94="","",IFERROR(VLOOKUP($C94,Master_Mappings!$N$4:$S$134,4,FALSE()),""))</f>
        <v>0</v>
      </c>
      <c r="K94" s="20" t="s">
        <v>529</v>
      </c>
      <c r="L94" s="20" t="s">
        <v>567</v>
      </c>
      <c r="M94" s="1" t="n">
        <f aca="false">IF($C94="","",IFERROR(VLOOKUP($C94,Master_Mappings!$N$4:$S$200,6,FALSE()),""))</f>
        <v>0</v>
      </c>
    </row>
    <row r="95" customFormat="false" ht="14.9" hidden="false" customHeight="false" outlineLevel="0" collapsed="false">
      <c r="A95" s="20" t="s">
        <v>49</v>
      </c>
      <c r="B95" s="20" t="s">
        <v>89</v>
      </c>
      <c r="C95" s="20" t="s">
        <v>716</v>
      </c>
      <c r="D95" s="20" t="s">
        <v>717</v>
      </c>
      <c r="E95" s="125" t="n">
        <v>800</v>
      </c>
      <c r="F95" s="125" t="n">
        <v>0</v>
      </c>
      <c r="G95" s="125" t="n">
        <v>0</v>
      </c>
      <c r="H95" s="126" t="n">
        <v>3203</v>
      </c>
      <c r="I95" s="20" t="str">
        <f aca="false">IF($C95="","",IFERROR(VLOOKUP($C95,Master_Mappings!$N$4:$S$200,3,FALSE()),"UNMAPPED"))</f>
        <v>Current P&amp;L</v>
      </c>
      <c r="J95" s="20" t="n">
        <f aca="false">IF($C95="","",IFERROR(VLOOKUP($C95,Master_Mappings!$N$4:$S$134,4,FALSE()),""))</f>
        <v>0</v>
      </c>
      <c r="K95" s="20" t="s">
        <v>529</v>
      </c>
      <c r="L95" s="20" t="s">
        <v>567</v>
      </c>
      <c r="M95" s="1" t="n">
        <f aca="false">IF($C95="","",IFERROR(VLOOKUP($C95,Master_Mappings!$N$4:$S$200,6,FALSE()),""))</f>
        <v>0</v>
      </c>
    </row>
    <row r="96" customFormat="false" ht="14.9" hidden="false" customHeight="false" outlineLevel="0" collapsed="false">
      <c r="A96" s="20" t="s">
        <v>49</v>
      </c>
      <c r="B96" s="20" t="s">
        <v>89</v>
      </c>
      <c r="C96" s="20" t="s">
        <v>718</v>
      </c>
      <c r="D96" s="20" t="s">
        <v>719</v>
      </c>
      <c r="E96" s="125" t="n">
        <v>7200</v>
      </c>
      <c r="F96" s="125" t="n">
        <v>0</v>
      </c>
      <c r="G96" s="125" t="n">
        <v>0</v>
      </c>
      <c r="H96" s="126" t="n">
        <v>22200</v>
      </c>
      <c r="I96" s="20" t="str">
        <f aca="false">IF($C96="","",IFERROR(VLOOKUP($C96,Master_Mappings!$N$4:$S$200,3,FALSE()),"UNMAPPED"))</f>
        <v>Current P&amp;L</v>
      </c>
      <c r="J96" s="20" t="n">
        <f aca="false">IF($C96="","",IFERROR(VLOOKUP($C96,Master_Mappings!$N$4:$S$134,4,FALSE()),""))</f>
        <v>0</v>
      </c>
      <c r="K96" s="20" t="s">
        <v>529</v>
      </c>
      <c r="L96" s="20" t="s">
        <v>567</v>
      </c>
      <c r="M96" s="1" t="n">
        <f aca="false">IF($C96="","",IFERROR(VLOOKUP($C96,Master_Mappings!$N$4:$S$200,6,FALSE()),""))</f>
        <v>0</v>
      </c>
    </row>
    <row r="97" customFormat="false" ht="14.9" hidden="false" customHeight="false" outlineLevel="0" collapsed="false">
      <c r="A97" s="20" t="s">
        <v>49</v>
      </c>
      <c r="B97" s="20" t="s">
        <v>89</v>
      </c>
      <c r="C97" s="20" t="s">
        <v>720</v>
      </c>
      <c r="D97" s="20" t="s">
        <v>721</v>
      </c>
      <c r="E97" s="125" t="n">
        <v>66164.22</v>
      </c>
      <c r="F97" s="125" t="n">
        <v>0</v>
      </c>
      <c r="G97" s="125" t="n">
        <v>0</v>
      </c>
      <c r="H97" s="126" t="n">
        <v>77095.87</v>
      </c>
      <c r="I97" s="20" t="str">
        <f aca="false">IF($C97="","",IFERROR(VLOOKUP($C97,Master_Mappings!$N$4:$S$200,3,FALSE()),"UNMAPPED"))</f>
        <v>Current P&amp;L</v>
      </c>
      <c r="J97" s="20" t="n">
        <f aca="false">IF($C97="","",IFERROR(VLOOKUP($C97,Master_Mappings!$N$4:$S$134,4,FALSE()),""))</f>
        <v>0</v>
      </c>
      <c r="K97" s="20" t="s">
        <v>529</v>
      </c>
      <c r="L97" s="20" t="s">
        <v>567</v>
      </c>
      <c r="M97" s="1" t="n">
        <f aca="false">IF($C97="","",IFERROR(VLOOKUP($C97,Master_Mappings!$N$4:$S$200,6,FALSE()),""))</f>
        <v>0</v>
      </c>
    </row>
    <row r="98" customFormat="false" ht="14.9" hidden="false" customHeight="false" outlineLevel="0" collapsed="false">
      <c r="A98" s="20" t="s">
        <v>49</v>
      </c>
      <c r="B98" s="20" t="s">
        <v>89</v>
      </c>
      <c r="C98" s="20" t="s">
        <v>722</v>
      </c>
      <c r="D98" s="20" t="s">
        <v>723</v>
      </c>
      <c r="E98" s="125" t="n">
        <v>6940.54</v>
      </c>
      <c r="F98" s="125" t="n">
        <v>0</v>
      </c>
      <c r="G98" s="125" t="n">
        <v>0</v>
      </c>
      <c r="H98" s="126" t="n">
        <v>13282.51</v>
      </c>
      <c r="I98" s="20" t="str">
        <f aca="false">IF($C98="","",IFERROR(VLOOKUP($C98,Master_Mappings!$N$4:$S$200,3,FALSE()),"UNMAPPED"))</f>
        <v>Current P&amp;L</v>
      </c>
      <c r="J98" s="20" t="n">
        <f aca="false">IF($C98="","",IFERROR(VLOOKUP($C98,Master_Mappings!$N$4:$S$134,4,FALSE()),""))</f>
        <v>0</v>
      </c>
      <c r="K98" s="20" t="s">
        <v>529</v>
      </c>
      <c r="L98" s="20" t="s">
        <v>567</v>
      </c>
      <c r="M98" s="1" t="n">
        <f aca="false">IF($C98="","",IFERROR(VLOOKUP($C98,Master_Mappings!$N$4:$S$200,6,FALSE()),""))</f>
        <v>0</v>
      </c>
    </row>
    <row r="99" customFormat="false" ht="14.9" hidden="false" customHeight="false" outlineLevel="0" collapsed="false">
      <c r="A99" s="20" t="s">
        <v>49</v>
      </c>
      <c r="B99" s="20" t="s">
        <v>89</v>
      </c>
      <c r="C99" s="20" t="s">
        <v>724</v>
      </c>
      <c r="D99" s="20" t="s">
        <v>725</v>
      </c>
      <c r="E99" s="125" t="n">
        <v>1000</v>
      </c>
      <c r="F99" s="125" t="n">
        <v>0</v>
      </c>
      <c r="G99" s="125" t="n">
        <v>0</v>
      </c>
      <c r="H99" s="126" t="n">
        <v>1000</v>
      </c>
      <c r="I99" s="20" t="str">
        <f aca="false">IF($C99="","",IFERROR(VLOOKUP($C99,Master_Mappings!$N$4:$S$200,3,FALSE()),"UNMAPPED"))</f>
        <v>Current P&amp;L</v>
      </c>
      <c r="J99" s="20" t="n">
        <f aca="false">IF($C99="","",IFERROR(VLOOKUP($C99,Master_Mappings!$N$4:$S$134,4,FALSE()),""))</f>
        <v>0</v>
      </c>
      <c r="K99" s="20" t="s">
        <v>529</v>
      </c>
      <c r="L99" s="20" t="s">
        <v>567</v>
      </c>
      <c r="M99" s="1" t="n">
        <f aca="false">IF($C99="","",IFERROR(VLOOKUP($C99,Master_Mappings!$N$4:$S$200,6,FALSE()),""))</f>
        <v>0</v>
      </c>
    </row>
    <row r="100" customFormat="false" ht="14.9" hidden="false" customHeight="false" outlineLevel="0" collapsed="false">
      <c r="A100" s="20" t="s">
        <v>49</v>
      </c>
      <c r="B100" s="20" t="s">
        <v>89</v>
      </c>
      <c r="C100" s="20" t="s">
        <v>726</v>
      </c>
      <c r="D100" s="20" t="s">
        <v>727</v>
      </c>
      <c r="E100" s="125" t="n">
        <v>25490.41</v>
      </c>
      <c r="F100" s="125" t="n">
        <v>0</v>
      </c>
      <c r="G100" s="125" t="n">
        <v>0</v>
      </c>
      <c r="H100" s="126" t="n">
        <v>33622.84</v>
      </c>
      <c r="I100" s="20" t="str">
        <f aca="false">IF($C100="","",IFERROR(VLOOKUP($C100,Master_Mappings!$N$4:$S$200,3,FALSE()),"UNMAPPED"))</f>
        <v>Current P&amp;L</v>
      </c>
      <c r="J100" s="20" t="n">
        <f aca="false">IF($C100="","",IFERROR(VLOOKUP($C100,Master_Mappings!$N$4:$S$134,4,FALSE()),""))</f>
        <v>0</v>
      </c>
      <c r="K100" s="20" t="s">
        <v>529</v>
      </c>
      <c r="L100" s="20" t="s">
        <v>567</v>
      </c>
      <c r="M100" s="1" t="n">
        <f aca="false">IF($C100="","",IFERROR(VLOOKUP($C100,Master_Mappings!$N$4:$S$200,6,FALSE()),""))</f>
        <v>0</v>
      </c>
    </row>
    <row r="101" customFormat="false" ht="14.9" hidden="false" customHeight="false" outlineLevel="0" collapsed="false">
      <c r="A101" s="20" t="s">
        <v>49</v>
      </c>
      <c r="B101" s="20" t="s">
        <v>89</v>
      </c>
      <c r="C101" s="20" t="s">
        <v>728</v>
      </c>
      <c r="D101" s="20" t="s">
        <v>729</v>
      </c>
      <c r="E101" s="125" t="n">
        <v>3055</v>
      </c>
      <c r="F101" s="125" t="n">
        <v>0</v>
      </c>
      <c r="G101" s="125" t="n">
        <v>0</v>
      </c>
      <c r="H101" s="126" t="n">
        <v>4661.9</v>
      </c>
      <c r="I101" s="20" t="str">
        <f aca="false">IF($C101="","",IFERROR(VLOOKUP($C101,Master_Mappings!$N$4:$S$200,3,FALSE()),"UNMAPPED"))</f>
        <v>Current P&amp;L</v>
      </c>
      <c r="J101" s="20" t="n">
        <f aca="false">IF($C101="","",IFERROR(VLOOKUP($C101,Master_Mappings!$N$4:$S$134,4,FALSE()),""))</f>
        <v>0</v>
      </c>
      <c r="K101" s="20" t="s">
        <v>529</v>
      </c>
      <c r="L101" s="20" t="s">
        <v>567</v>
      </c>
      <c r="M101" s="1" t="n">
        <f aca="false">IF($C101="","",IFERROR(VLOOKUP($C101,Master_Mappings!$N$4:$S$200,6,FALSE()),""))</f>
        <v>0</v>
      </c>
    </row>
    <row r="102" customFormat="false" ht="14.9" hidden="false" customHeight="false" outlineLevel="0" collapsed="false">
      <c r="A102" s="20" t="s">
        <v>49</v>
      </c>
      <c r="B102" s="20" t="s">
        <v>89</v>
      </c>
      <c r="C102" s="20" t="s">
        <v>730</v>
      </c>
      <c r="D102" s="20" t="s">
        <v>731</v>
      </c>
      <c r="E102" s="125" t="n">
        <v>1130</v>
      </c>
      <c r="F102" s="125" t="n">
        <v>0</v>
      </c>
      <c r="G102" s="125" t="n">
        <v>0</v>
      </c>
      <c r="H102" s="126" t="n">
        <v>18381</v>
      </c>
      <c r="I102" s="20" t="str">
        <f aca="false">IF($C102="","",IFERROR(VLOOKUP($C102,Master_Mappings!$N$4:$S$200,3,FALSE()),"UNMAPPED"))</f>
        <v>Current P&amp;L</v>
      </c>
      <c r="J102" s="20" t="n">
        <f aca="false">IF($C102="","",IFERROR(VLOOKUP($C102,Master_Mappings!$N$4:$S$134,4,FALSE()),""))</f>
        <v>0</v>
      </c>
      <c r="K102" s="20" t="s">
        <v>529</v>
      </c>
      <c r="L102" s="20" t="s">
        <v>567</v>
      </c>
      <c r="M102" s="1" t="n">
        <f aca="false">IF($C102="","",IFERROR(VLOOKUP($C102,Master_Mappings!$N$4:$S$200,6,FALSE()),""))</f>
        <v>0</v>
      </c>
    </row>
    <row r="103" customFormat="false" ht="14.9" hidden="false" customHeight="false" outlineLevel="0" collapsed="false">
      <c r="A103" s="20" t="s">
        <v>49</v>
      </c>
      <c r="B103" s="20" t="s">
        <v>89</v>
      </c>
      <c r="C103" s="20" t="s">
        <v>732</v>
      </c>
      <c r="D103" s="20" t="s">
        <v>534</v>
      </c>
      <c r="E103" s="125" t="n">
        <v>0</v>
      </c>
      <c r="F103" s="125" t="n">
        <v>0</v>
      </c>
      <c r="G103" s="125" t="n">
        <v>0</v>
      </c>
      <c r="H103" s="126" t="n">
        <v>200</v>
      </c>
      <c r="I103" s="20" t="str">
        <f aca="false">IF($C103="","",IFERROR(VLOOKUP($C103,Master_Mappings!$N$4:$S$200,3,FALSE()),"UNMAPPED"))</f>
        <v>Current P&amp;L</v>
      </c>
      <c r="J103" s="20" t="n">
        <f aca="false">IF($C103="","",IFERROR(VLOOKUP($C103,Master_Mappings!$N$4:$S$134,4,FALSE()),""))</f>
        <v>0</v>
      </c>
      <c r="K103" s="20" t="s">
        <v>529</v>
      </c>
      <c r="L103" s="20" t="s">
        <v>567</v>
      </c>
      <c r="M103" s="1" t="n">
        <f aca="false">IF($C103="","",IFERROR(VLOOKUP($C103,Master_Mappings!$N$4:$S$200,6,FALSE()),""))</f>
        <v>0</v>
      </c>
    </row>
    <row r="104" customFormat="false" ht="14.9" hidden="false" customHeight="false" outlineLevel="0" collapsed="false">
      <c r="A104" s="20" t="s">
        <v>49</v>
      </c>
      <c r="B104" s="20" t="s">
        <v>89</v>
      </c>
      <c r="C104" s="20" t="s">
        <v>733</v>
      </c>
      <c r="D104" s="20" t="s">
        <v>734</v>
      </c>
      <c r="E104" s="125" t="n">
        <v>696.21</v>
      </c>
      <c r="F104" s="125" t="n">
        <v>0</v>
      </c>
      <c r="G104" s="125" t="n">
        <v>0</v>
      </c>
      <c r="H104" s="126" t="n">
        <v>2670.44</v>
      </c>
      <c r="I104" s="20" t="str">
        <f aca="false">IF($C104="","",IFERROR(VLOOKUP($C104,Master_Mappings!$N$4:$S$200,3,FALSE()),"UNMAPPED"))</f>
        <v>Current P&amp;L</v>
      </c>
      <c r="J104" s="20" t="n">
        <f aca="false">IF($C104="","",IFERROR(VLOOKUP($C104,Master_Mappings!$N$4:$S$134,4,FALSE()),""))</f>
        <v>0</v>
      </c>
      <c r="K104" s="20" t="s">
        <v>529</v>
      </c>
      <c r="L104" s="20" t="s">
        <v>567</v>
      </c>
      <c r="M104" s="1" t="n">
        <f aca="false">IF($C104="","",IFERROR(VLOOKUP($C104,Master_Mappings!$N$4:$S$200,6,FALSE()),""))</f>
        <v>0</v>
      </c>
    </row>
    <row r="105" customFormat="false" ht="14.9" hidden="false" customHeight="false" outlineLevel="0" collapsed="false">
      <c r="A105" s="20" t="s">
        <v>49</v>
      </c>
      <c r="B105" s="20" t="s">
        <v>89</v>
      </c>
      <c r="C105" s="20" t="s">
        <v>735</v>
      </c>
      <c r="D105" s="20" t="s">
        <v>736</v>
      </c>
      <c r="E105" s="125" t="n">
        <v>0</v>
      </c>
      <c r="F105" s="125" t="n">
        <v>0</v>
      </c>
      <c r="G105" s="125" t="n">
        <v>0</v>
      </c>
      <c r="H105" s="126" t="n">
        <v>3394</v>
      </c>
      <c r="I105" s="20" t="str">
        <f aca="false">IF($C105="","",IFERROR(VLOOKUP($C105,Master_Mappings!$N$4:$S$200,3,FALSE()),"UNMAPPED"))</f>
        <v>Current P&amp;L</v>
      </c>
      <c r="J105" s="20" t="n">
        <f aca="false">IF($C105="","",IFERROR(VLOOKUP($C105,Master_Mappings!$N$4:$S$134,4,FALSE()),""))</f>
        <v>0</v>
      </c>
      <c r="K105" s="20" t="s">
        <v>529</v>
      </c>
      <c r="L105" s="20" t="s">
        <v>567</v>
      </c>
      <c r="M105" s="1" t="n">
        <f aca="false">IF($C105="","",IFERROR(VLOOKUP($C105,Master_Mappings!$N$4:$S$200,6,FALSE()),""))</f>
        <v>0</v>
      </c>
    </row>
    <row r="106" customFormat="false" ht="14.9" hidden="false" customHeight="false" outlineLevel="0" collapsed="false">
      <c r="A106" s="20" t="s">
        <v>49</v>
      </c>
      <c r="B106" s="20" t="s">
        <v>89</v>
      </c>
      <c r="C106" s="20" t="s">
        <v>737</v>
      </c>
      <c r="D106" s="20" t="s">
        <v>738</v>
      </c>
      <c r="E106" s="125" t="n">
        <v>16500</v>
      </c>
      <c r="F106" s="125" t="n">
        <v>0</v>
      </c>
      <c r="G106" s="125" t="n">
        <v>0</v>
      </c>
      <c r="H106" s="126" t="n">
        <v>47206.75</v>
      </c>
      <c r="I106" s="20" t="str">
        <f aca="false">IF($C106="","",IFERROR(VLOOKUP($C106,Master_Mappings!$N$4:$S$200,3,FALSE()),"UNMAPPED"))</f>
        <v>Current P&amp;L</v>
      </c>
      <c r="J106" s="20" t="n">
        <f aca="false">IF($C106="","",IFERROR(VLOOKUP($C106,Master_Mappings!$N$4:$S$134,4,FALSE()),""))</f>
        <v>0</v>
      </c>
      <c r="K106" s="20" t="s">
        <v>529</v>
      </c>
      <c r="L106" s="20" t="s">
        <v>567</v>
      </c>
      <c r="M106" s="1" t="n">
        <f aca="false">IF($C106="","",IFERROR(VLOOKUP($C106,Master_Mappings!$N$4:$S$200,6,FALSE()),""))</f>
        <v>0</v>
      </c>
    </row>
    <row r="107" customFormat="false" ht="14.9" hidden="false" customHeight="false" outlineLevel="0" collapsed="false">
      <c r="A107" s="20" t="s">
        <v>49</v>
      </c>
      <c r="B107" s="20" t="s">
        <v>89</v>
      </c>
      <c r="C107" s="20" t="s">
        <v>739</v>
      </c>
      <c r="D107" s="20" t="s">
        <v>740</v>
      </c>
      <c r="E107" s="125" t="n">
        <v>325736.02</v>
      </c>
      <c r="F107" s="125" t="n">
        <v>0</v>
      </c>
      <c r="G107" s="125" t="n">
        <v>0</v>
      </c>
      <c r="H107" s="126" t="n">
        <v>651472.04</v>
      </c>
      <c r="I107" s="20" t="str">
        <f aca="false">IF($C107="","",IFERROR(VLOOKUP($C107,Master_Mappings!$N$4:$S$200,3,FALSE()),"UNMAPPED"))</f>
        <v>Current P&amp;L</v>
      </c>
      <c r="J107" s="20" t="n">
        <f aca="false">IF($C107="","",IFERROR(VLOOKUP($C107,Master_Mappings!$N$4:$S$134,4,FALSE()),""))</f>
        <v>0</v>
      </c>
      <c r="K107" s="20" t="s">
        <v>529</v>
      </c>
      <c r="L107" s="20" t="s">
        <v>567</v>
      </c>
      <c r="M107" s="1" t="n">
        <f aca="false">IF($C107="","",IFERROR(VLOOKUP($C107,Master_Mappings!$N$4:$S$200,6,FALSE()),""))</f>
        <v>0</v>
      </c>
    </row>
    <row r="108" customFormat="false" ht="14.9" hidden="false" customHeight="false" outlineLevel="0" collapsed="false">
      <c r="A108" s="20" t="s">
        <v>49</v>
      </c>
      <c r="B108" s="20" t="s">
        <v>89</v>
      </c>
      <c r="C108" s="20" t="s">
        <v>741</v>
      </c>
      <c r="D108" s="20" t="s">
        <v>742</v>
      </c>
      <c r="E108" s="125" t="n">
        <v>17469.42</v>
      </c>
      <c r="F108" s="125" t="n">
        <v>0</v>
      </c>
      <c r="G108" s="125" t="n">
        <v>0</v>
      </c>
      <c r="H108" s="126" t="n">
        <v>29375.83</v>
      </c>
      <c r="I108" s="20" t="str">
        <f aca="false">IF($C108="","",IFERROR(VLOOKUP($C108,Master_Mappings!$N$4:$S$200,3,FALSE()),"UNMAPPED"))</f>
        <v>Current P&amp;L</v>
      </c>
      <c r="J108" s="20" t="n">
        <f aca="false">IF($C108="","",IFERROR(VLOOKUP($C108,Master_Mappings!$N$4:$S$134,4,FALSE()),""))</f>
        <v>0</v>
      </c>
      <c r="K108" s="20" t="s">
        <v>529</v>
      </c>
      <c r="L108" s="20" t="s">
        <v>567</v>
      </c>
      <c r="M108" s="1" t="n">
        <f aca="false">IF($C108="","",IFERROR(VLOOKUP($C108,Master_Mappings!$N$4:$S$200,6,FALSE()),""))</f>
        <v>0</v>
      </c>
    </row>
    <row r="109" customFormat="false" ht="14.9" hidden="false" customHeight="false" outlineLevel="0" collapsed="false">
      <c r="A109" s="20" t="s">
        <v>49</v>
      </c>
      <c r="B109" s="20" t="s">
        <v>89</v>
      </c>
      <c r="C109" s="20" t="s">
        <v>743</v>
      </c>
      <c r="D109" s="20" t="s">
        <v>744</v>
      </c>
      <c r="E109" s="125" t="n">
        <v>307.12</v>
      </c>
      <c r="F109" s="125" t="n">
        <v>0</v>
      </c>
      <c r="G109" s="125" t="n">
        <v>0</v>
      </c>
      <c r="H109" s="126" t="n">
        <v>14161.84</v>
      </c>
      <c r="I109" s="20" t="str">
        <f aca="false">IF($C109="","",IFERROR(VLOOKUP($C109,Master_Mappings!$N$4:$S$200,3,FALSE()),"UNMAPPED"))</f>
        <v>Current P&amp;L</v>
      </c>
      <c r="J109" s="20" t="n">
        <f aca="false">IF($C109="","",IFERROR(VLOOKUP($C109,Master_Mappings!$N$4:$S$134,4,FALSE()),""))</f>
        <v>0</v>
      </c>
      <c r="K109" s="20" t="s">
        <v>529</v>
      </c>
      <c r="L109" s="20" t="s">
        <v>567</v>
      </c>
      <c r="M109" s="1" t="n">
        <f aca="false">IF($C109="","",IFERROR(VLOOKUP($C109,Master_Mappings!$N$4:$S$200,6,FALSE()),""))</f>
        <v>0</v>
      </c>
    </row>
    <row r="110" customFormat="false" ht="14.9" hidden="false" customHeight="false" outlineLevel="0" collapsed="false">
      <c r="A110" s="20" t="s">
        <v>49</v>
      </c>
      <c r="B110" s="20" t="s">
        <v>89</v>
      </c>
      <c r="C110" s="20" t="s">
        <v>745</v>
      </c>
      <c r="D110" s="20" t="s">
        <v>746</v>
      </c>
      <c r="E110" s="125" t="n">
        <v>2792.2</v>
      </c>
      <c r="F110" s="125" t="n">
        <v>0</v>
      </c>
      <c r="G110" s="125" t="n">
        <v>0</v>
      </c>
      <c r="H110" s="126" t="n">
        <v>5465.2</v>
      </c>
      <c r="I110" s="20" t="str">
        <f aca="false">IF($C110="","",IFERROR(VLOOKUP($C110,Master_Mappings!$N$4:$S$200,3,FALSE()),"UNMAPPED"))</f>
        <v>Current P&amp;L</v>
      </c>
      <c r="J110" s="20" t="n">
        <f aca="false">IF($C110="","",IFERROR(VLOOKUP($C110,Master_Mappings!$N$4:$S$134,4,FALSE()),""))</f>
        <v>0</v>
      </c>
      <c r="K110" s="20" t="s">
        <v>529</v>
      </c>
      <c r="L110" s="20" t="s">
        <v>567</v>
      </c>
      <c r="M110" s="1" t="n">
        <f aca="false">IF($C110="","",IFERROR(VLOOKUP($C110,Master_Mappings!$N$4:$S$200,6,FALSE()),""))</f>
        <v>0</v>
      </c>
    </row>
    <row r="111" customFormat="false" ht="14.9" hidden="false" customHeight="false" outlineLevel="0" collapsed="false">
      <c r="A111" s="20" t="s">
        <v>49</v>
      </c>
      <c r="B111" s="20" t="s">
        <v>89</v>
      </c>
      <c r="C111" s="20" t="s">
        <v>747</v>
      </c>
      <c r="D111" s="20" t="s">
        <v>748</v>
      </c>
      <c r="E111" s="125" t="n">
        <v>10851.72</v>
      </c>
      <c r="F111" s="125" t="n">
        <v>0</v>
      </c>
      <c r="G111" s="125" t="n">
        <v>0</v>
      </c>
      <c r="H111" s="126" t="n">
        <v>22552.86</v>
      </c>
      <c r="I111" s="20" t="str">
        <f aca="false">IF($C111="","",IFERROR(VLOOKUP($C111,Master_Mappings!$N$4:$S$200,3,FALSE()),"UNMAPPED"))</f>
        <v>Current P&amp;L</v>
      </c>
      <c r="J111" s="20" t="n">
        <f aca="false">IF($C111="","",IFERROR(VLOOKUP($C111,Master_Mappings!$N$4:$S$134,4,FALSE()),""))</f>
        <v>0</v>
      </c>
      <c r="K111" s="20" t="s">
        <v>529</v>
      </c>
      <c r="L111" s="20" t="s">
        <v>567</v>
      </c>
      <c r="M111" s="1" t="n">
        <f aca="false">IF($C111="","",IFERROR(VLOOKUP($C111,Master_Mappings!$N$4:$S$200,6,FALSE()),""))</f>
        <v>0</v>
      </c>
    </row>
    <row r="112" customFormat="false" ht="14.9" hidden="false" customHeight="false" outlineLevel="0" collapsed="false">
      <c r="A112" s="20" t="s">
        <v>49</v>
      </c>
      <c r="B112" s="20" t="s">
        <v>89</v>
      </c>
      <c r="C112" s="20" t="s">
        <v>749</v>
      </c>
      <c r="D112" s="20" t="s">
        <v>750</v>
      </c>
      <c r="E112" s="125" t="n">
        <v>0</v>
      </c>
      <c r="F112" s="125" t="n">
        <v>0</v>
      </c>
      <c r="G112" s="125" t="n">
        <v>0</v>
      </c>
      <c r="H112" s="126" t="n">
        <v>3536.35</v>
      </c>
      <c r="I112" s="20" t="str">
        <f aca="false">IF($C112="","",IFERROR(VLOOKUP($C112,Master_Mappings!$N$4:$S$200,3,FALSE()),"UNMAPPED"))</f>
        <v>Current P&amp;L</v>
      </c>
      <c r="J112" s="20" t="n">
        <f aca="false">IF($C112="","",IFERROR(VLOOKUP($C112,Master_Mappings!$N$4:$S$134,4,FALSE()),""))</f>
        <v>0</v>
      </c>
      <c r="K112" s="20" t="s">
        <v>529</v>
      </c>
      <c r="L112" s="20" t="s">
        <v>567</v>
      </c>
      <c r="M112" s="1" t="n">
        <f aca="false">IF($C112="","",IFERROR(VLOOKUP($C112,Master_Mappings!$N$4:$S$200,6,FALSE()),""))</f>
        <v>0</v>
      </c>
    </row>
    <row r="113" customFormat="false" ht="14.9" hidden="false" customHeight="false" outlineLevel="0" collapsed="false">
      <c r="A113" s="20" t="s">
        <v>49</v>
      </c>
      <c r="B113" s="20" t="s">
        <v>89</v>
      </c>
      <c r="C113" s="20" t="s">
        <v>751</v>
      </c>
      <c r="D113" s="20" t="s">
        <v>752</v>
      </c>
      <c r="E113" s="125" t="n">
        <v>10166.21</v>
      </c>
      <c r="F113" s="125" t="n">
        <v>0</v>
      </c>
      <c r="G113" s="125" t="n">
        <v>0</v>
      </c>
      <c r="H113" s="126" t="n">
        <v>21360.48</v>
      </c>
      <c r="I113" s="20" t="str">
        <f aca="false">IF($C113="","",IFERROR(VLOOKUP($C113,Master_Mappings!$N$4:$S$200,3,FALSE()),"UNMAPPED"))</f>
        <v>Current P&amp;L</v>
      </c>
      <c r="J113" s="20" t="n">
        <f aca="false">IF($C113="","",IFERROR(VLOOKUP($C113,Master_Mappings!$N$4:$S$134,4,FALSE()),""))</f>
        <v>0</v>
      </c>
      <c r="K113" s="20" t="s">
        <v>529</v>
      </c>
      <c r="L113" s="20" t="s">
        <v>567</v>
      </c>
      <c r="M113" s="1" t="n">
        <f aca="false">IF($C113="","",IFERROR(VLOOKUP($C113,Master_Mappings!$N$4:$S$200,6,FALSE()),""))</f>
        <v>0</v>
      </c>
    </row>
    <row r="114" customFormat="false" ht="14.9" hidden="false" customHeight="false" outlineLevel="0" collapsed="false">
      <c r="A114" s="20" t="s">
        <v>49</v>
      </c>
      <c r="B114" s="20" t="s">
        <v>89</v>
      </c>
      <c r="C114" s="20" t="s">
        <v>753</v>
      </c>
      <c r="D114" s="20" t="s">
        <v>754</v>
      </c>
      <c r="E114" s="125" t="n">
        <v>0</v>
      </c>
      <c r="F114" s="125" t="n">
        <v>0</v>
      </c>
      <c r="G114" s="125" t="n">
        <v>0</v>
      </c>
      <c r="H114" s="126" t="n">
        <v>4853.81</v>
      </c>
      <c r="I114" s="20" t="str">
        <f aca="false">IF($C114="","",IFERROR(VLOOKUP($C114,Master_Mappings!$N$4:$S$200,3,FALSE()),"UNMAPPED"))</f>
        <v>Current P&amp;L</v>
      </c>
      <c r="J114" s="20" t="n">
        <f aca="false">IF($C114="","",IFERROR(VLOOKUP($C114,Master_Mappings!$N$4:$S$134,4,FALSE()),""))</f>
        <v>0</v>
      </c>
      <c r="K114" s="20" t="s">
        <v>529</v>
      </c>
      <c r="L114" s="20" t="s">
        <v>567</v>
      </c>
      <c r="M114" s="1" t="n">
        <f aca="false">IF($C114="","",IFERROR(VLOOKUP($C114,Master_Mappings!$N$4:$S$200,6,FALSE()),""))</f>
        <v>0</v>
      </c>
    </row>
    <row r="115" customFormat="false" ht="14.9" hidden="false" customHeight="false" outlineLevel="0" collapsed="false">
      <c r="A115" s="20" t="s">
        <v>49</v>
      </c>
      <c r="B115" s="20" t="s">
        <v>89</v>
      </c>
      <c r="C115" s="20" t="s">
        <v>755</v>
      </c>
      <c r="D115" s="20" t="s">
        <v>756</v>
      </c>
      <c r="E115" s="125" t="n">
        <v>4480</v>
      </c>
      <c r="F115" s="125" t="n">
        <v>0</v>
      </c>
      <c r="G115" s="125" t="n">
        <v>0</v>
      </c>
      <c r="H115" s="126" t="n">
        <v>19770</v>
      </c>
      <c r="I115" s="20" t="str">
        <f aca="false">IF($C115="","",IFERROR(VLOOKUP($C115,Master_Mappings!$N$4:$S$200,3,FALSE()),"UNMAPPED"))</f>
        <v>Current P&amp;L</v>
      </c>
      <c r="J115" s="20" t="n">
        <f aca="false">IF($C115="","",IFERROR(VLOOKUP($C115,Master_Mappings!$N$4:$S$134,4,FALSE()),""))</f>
        <v>0</v>
      </c>
      <c r="K115" s="20" t="s">
        <v>529</v>
      </c>
      <c r="L115" s="20" t="s">
        <v>567</v>
      </c>
      <c r="M115" s="1" t="n">
        <f aca="false">IF($C115="","",IFERROR(VLOOKUP($C115,Master_Mappings!$N$4:$S$200,6,FALSE()),""))</f>
        <v>0</v>
      </c>
    </row>
    <row r="116" customFormat="false" ht="14.9" hidden="false" customHeight="false" outlineLevel="0" collapsed="false">
      <c r="A116" s="20" t="s">
        <v>49</v>
      </c>
      <c r="B116" s="20" t="s">
        <v>89</v>
      </c>
      <c r="C116" s="20" t="s">
        <v>757</v>
      </c>
      <c r="D116" s="20" t="s">
        <v>758</v>
      </c>
      <c r="E116" s="125" t="n">
        <v>12109.5</v>
      </c>
      <c r="F116" s="125" t="n">
        <v>0</v>
      </c>
      <c r="G116" s="125" t="n">
        <v>0</v>
      </c>
      <c r="H116" s="126" t="n">
        <v>24219</v>
      </c>
      <c r="I116" s="20" t="str">
        <f aca="false">IF($C116="","",IFERROR(VLOOKUP($C116,Master_Mappings!$N$4:$S$200,3,FALSE()),"UNMAPPED"))</f>
        <v>Current P&amp;L</v>
      </c>
      <c r="J116" s="20" t="n">
        <f aca="false">IF($C116="","",IFERROR(VLOOKUP($C116,Master_Mappings!$N$4:$S$134,4,FALSE()),""))</f>
        <v>0</v>
      </c>
      <c r="K116" s="20" t="s">
        <v>529</v>
      </c>
      <c r="L116" s="20" t="s">
        <v>567</v>
      </c>
      <c r="M116" s="1" t="n">
        <f aca="false">IF($C116="","",IFERROR(VLOOKUP($C116,Master_Mappings!$N$4:$S$200,6,FALSE()),""))</f>
        <v>0</v>
      </c>
    </row>
    <row r="117" customFormat="false" ht="14.9" hidden="false" customHeight="false" outlineLevel="0" collapsed="false">
      <c r="A117" s="20" t="s">
        <v>49</v>
      </c>
      <c r="B117" s="20" t="s">
        <v>89</v>
      </c>
      <c r="C117" s="20" t="s">
        <v>759</v>
      </c>
      <c r="D117" s="20" t="s">
        <v>760</v>
      </c>
      <c r="E117" s="125" t="n">
        <v>9366.14</v>
      </c>
      <c r="F117" s="125" t="n">
        <v>0</v>
      </c>
      <c r="G117" s="125" t="n">
        <v>0</v>
      </c>
      <c r="H117" s="126" t="n">
        <v>19167.86</v>
      </c>
      <c r="I117" s="20" t="str">
        <f aca="false">IF($C117="","",IFERROR(VLOOKUP($C117,Master_Mappings!$N$4:$S$200,3,FALSE()),"UNMAPPED"))</f>
        <v>Current P&amp;L</v>
      </c>
      <c r="J117" s="20" t="n">
        <f aca="false">IF($C117="","",IFERROR(VLOOKUP($C117,Master_Mappings!$N$4:$S$134,4,FALSE()),""))</f>
        <v>0</v>
      </c>
      <c r="K117" s="20" t="s">
        <v>529</v>
      </c>
      <c r="L117" s="20" t="s">
        <v>567</v>
      </c>
      <c r="M117" s="1" t="n">
        <f aca="false">IF($C117="","",IFERROR(VLOOKUP($C117,Master_Mappings!$N$4:$S$200,6,FALSE()),""))</f>
        <v>0</v>
      </c>
    </row>
    <row r="118" customFormat="false" ht="14.9" hidden="false" customHeight="false" outlineLevel="0" collapsed="false">
      <c r="A118" s="20" t="s">
        <v>49</v>
      </c>
      <c r="B118" s="20" t="s">
        <v>89</v>
      </c>
      <c r="C118" s="20" t="s">
        <v>761</v>
      </c>
      <c r="D118" s="20" t="s">
        <v>762</v>
      </c>
      <c r="E118" s="125" t="n">
        <v>8808.26</v>
      </c>
      <c r="F118" s="125" t="n">
        <v>0</v>
      </c>
      <c r="G118" s="125" t="n">
        <v>0</v>
      </c>
      <c r="H118" s="126" t="n">
        <v>26331.8</v>
      </c>
      <c r="I118" s="20" t="str">
        <f aca="false">IF($C118="","",IFERROR(VLOOKUP($C118,Master_Mappings!$N$4:$S$200,3,FALSE()),"UNMAPPED"))</f>
        <v>Current P&amp;L</v>
      </c>
      <c r="J118" s="20" t="n">
        <f aca="false">IF($C118="","",IFERROR(VLOOKUP($C118,Master_Mappings!$N$4:$S$134,4,FALSE()),""))</f>
        <v>0</v>
      </c>
      <c r="K118" s="20" t="s">
        <v>529</v>
      </c>
      <c r="L118" s="20" t="s">
        <v>567</v>
      </c>
      <c r="M118" s="1" t="n">
        <f aca="false">IF($C118="","",IFERROR(VLOOKUP($C118,Master_Mappings!$N$4:$S$200,6,FALSE()),""))</f>
        <v>0</v>
      </c>
    </row>
    <row r="119" customFormat="false" ht="14.9" hidden="false" customHeight="false" outlineLevel="0" collapsed="false">
      <c r="A119" s="20" t="s">
        <v>49</v>
      </c>
      <c r="B119" s="20" t="s">
        <v>89</v>
      </c>
      <c r="C119" s="20" t="s">
        <v>763</v>
      </c>
      <c r="D119" s="20" t="s">
        <v>764</v>
      </c>
      <c r="E119" s="125" t="n">
        <v>-61465.49</v>
      </c>
      <c r="F119" s="125" t="n">
        <v>0</v>
      </c>
      <c r="G119" s="125" t="n">
        <v>0</v>
      </c>
      <c r="H119" s="126" t="n">
        <v>-136799.17</v>
      </c>
      <c r="I119" s="20" t="str">
        <f aca="false">IF($C119="","",IFERROR(VLOOKUP($C119,Master_Mappings!$N$4:$S$200,3,FALSE()),"UNMAPPED"))</f>
        <v>Current P&amp;L</v>
      </c>
      <c r="J119" s="20" t="n">
        <f aca="false">IF($C119="","",IFERROR(VLOOKUP($C119,Master_Mappings!$N$4:$S$134,4,FALSE()),""))</f>
        <v>0</v>
      </c>
      <c r="K119" s="20" t="s">
        <v>529</v>
      </c>
      <c r="L119" s="20" t="s">
        <v>567</v>
      </c>
      <c r="M119" s="1" t="n">
        <f aca="false">IF($C119="","",IFERROR(VLOOKUP($C119,Master_Mappings!$N$4:$S$200,6,FALSE()),""))</f>
        <v>0</v>
      </c>
    </row>
    <row r="120" customFormat="false" ht="13.5" hidden="false" customHeight="false" outlineLevel="0" collapsed="false">
      <c r="A120" s="20"/>
      <c r="B120" s="20"/>
      <c r="C120" s="20"/>
      <c r="D120" s="20"/>
      <c r="E120" s="125"/>
      <c r="F120" s="125" t="n">
        <v>0</v>
      </c>
      <c r="G120" s="125" t="n">
        <v>0</v>
      </c>
      <c r="H120" s="126" t="n">
        <v>0</v>
      </c>
      <c r="I120" s="20" t="str">
        <f aca="false">IF($C120="","",IFERROR(VLOOKUP($C120,Master_Mappings!$N$4:$S$200,3,FALSE()),"UNMAPPED"))</f>
        <v/>
      </c>
      <c r="J120" s="20" t="str">
        <f aca="false">IF($C120="","",IFERROR(VLOOKUP($C120,Master_Mappings!$N$4:$S$134,4,FALSE()),""))</f>
        <v/>
      </c>
      <c r="K120" s="20" t="s">
        <v>529</v>
      </c>
      <c r="L120" s="20" t="s">
        <v>567</v>
      </c>
      <c r="M120" s="0" t="str">
        <f aca="false">IF($C120="","",IFERROR(VLOOKUP($C120,Master_Mappings!$N$4:$S$200,6,FALSE()),""))</f>
        <v/>
      </c>
    </row>
    <row r="121" customFormat="false" ht="13.5" hidden="false" customHeight="false" outlineLevel="0" collapsed="false">
      <c r="A121" s="20"/>
      <c r="B121" s="20"/>
      <c r="C121" s="20"/>
      <c r="D121" s="20"/>
      <c r="E121" s="125"/>
      <c r="F121" s="125" t="n">
        <v>0</v>
      </c>
      <c r="G121" s="125" t="n">
        <v>0</v>
      </c>
      <c r="H121" s="126" t="n">
        <v>0</v>
      </c>
      <c r="I121" s="20" t="str">
        <f aca="false">IF($C121="","",IFERROR(VLOOKUP($C121,Master_Mappings!$N$4:$S$200,3,FALSE()),"UNMAPPED"))</f>
        <v/>
      </c>
      <c r="J121" s="20" t="str">
        <f aca="false">IF($C121="","",IFERROR(VLOOKUP($C121,Master_Mappings!$N$4:$S$134,4,FALSE()),""))</f>
        <v/>
      </c>
      <c r="K121" s="20" t="s">
        <v>529</v>
      </c>
      <c r="L121" s="20" t="s">
        <v>567</v>
      </c>
      <c r="M121" s="0" t="str">
        <f aca="false">IF($C121="","",IFERROR(VLOOKUP($C121,Master_Mappings!$N$4:$S$200,6,FALSE()),""))</f>
        <v/>
      </c>
    </row>
    <row r="122" customFormat="false" ht="13.5" hidden="false" customHeight="false" outlineLevel="0" collapsed="false">
      <c r="A122" s="20"/>
      <c r="B122" s="20"/>
      <c r="C122" s="20"/>
      <c r="D122" s="20"/>
      <c r="E122" s="125" t="n">
        <v>0</v>
      </c>
      <c r="F122" s="125" t="n">
        <v>0</v>
      </c>
      <c r="G122" s="125" t="n">
        <v>0</v>
      </c>
      <c r="H122" s="126" t="n">
        <v>0</v>
      </c>
      <c r="I122" s="20" t="str">
        <f aca="false">IF($C122="","",IFERROR(VLOOKUP($C122,Master_Mappings!$N$4:$S$200,3,FALSE()),"UNMAPPED"))</f>
        <v/>
      </c>
      <c r="J122" s="20" t="str">
        <f aca="false">IF($C122="","",IFERROR(VLOOKUP($C122,Master_Mappings!$N$4:$S$134,4,FALSE()),""))</f>
        <v/>
      </c>
      <c r="K122" s="20" t="s">
        <v>529</v>
      </c>
      <c r="L122" s="20" t="s">
        <v>567</v>
      </c>
      <c r="M122" s="0" t="str">
        <f aca="false">IF($C122="","",IFERROR(VLOOKUP($C122,Master_Mappings!$N$4:$S$200,6,FALSE()),""))</f>
        <v/>
      </c>
    </row>
    <row r="123" customFormat="false" ht="13.5" hidden="false" customHeight="false" outlineLevel="0" collapsed="false">
      <c r="A123" s="20"/>
      <c r="B123" s="20"/>
      <c r="C123" s="20"/>
      <c r="D123" s="20"/>
      <c r="E123" s="125"/>
      <c r="F123" s="125" t="n">
        <v>0</v>
      </c>
      <c r="G123" s="125" t="n">
        <v>0</v>
      </c>
      <c r="H123" s="126" t="n">
        <v>0</v>
      </c>
      <c r="I123" s="20" t="str">
        <f aca="false">IF($C123="","",IFERROR(VLOOKUP($C123,Master_Mappings!$N$4:$S$200,3,FALSE()),"UNMAPPED"))</f>
        <v/>
      </c>
      <c r="J123" s="20" t="str">
        <f aca="false">IF($C123="","",IFERROR(VLOOKUP($C123,Master_Mappings!$N$4:$S$134,4,FALSE()),""))</f>
        <v/>
      </c>
      <c r="K123" s="20" t="s">
        <v>529</v>
      </c>
      <c r="L123" s="20" t="s">
        <v>567</v>
      </c>
      <c r="M123" s="0" t="str">
        <f aca="false">IF($C123="","",IFERROR(VLOOKUP($C123,Master_Mappings!$N$4:$S$200,6,FALSE()),""))</f>
        <v/>
      </c>
    </row>
    <row r="124" customFormat="false" ht="13.5" hidden="false" customHeight="false" outlineLevel="0" collapsed="false">
      <c r="A124" s="20"/>
      <c r="B124" s="20"/>
      <c r="C124" s="20"/>
      <c r="D124" s="20"/>
      <c r="E124" s="125"/>
      <c r="F124" s="125" t="n">
        <v>0</v>
      </c>
      <c r="G124" s="125" t="n">
        <v>0</v>
      </c>
      <c r="H124" s="126" t="n">
        <v>0</v>
      </c>
      <c r="I124" s="20" t="str">
        <f aca="false">IF($C124="","",IFERROR(VLOOKUP($C124,Master_Mappings!$N$4:$S$200,3,FALSE()),"UNMAPPED"))</f>
        <v/>
      </c>
      <c r="J124" s="20" t="str">
        <f aca="false">IF($C124="","",IFERROR(VLOOKUP($C124,Master_Mappings!$N$4:$S$134,4,FALSE()),""))</f>
        <v/>
      </c>
      <c r="K124" s="20" t="s">
        <v>529</v>
      </c>
      <c r="L124" s="20" t="s">
        <v>567</v>
      </c>
      <c r="M124" s="0" t="str">
        <f aca="false">IF($C124="","",IFERROR(VLOOKUP($C124,Master_Mappings!$N$4:$S$200,6,FALSE()),""))</f>
        <v/>
      </c>
    </row>
    <row r="125" customFormat="false" ht="13.5" hidden="false" customHeight="false" outlineLevel="0" collapsed="false">
      <c r="A125" s="20"/>
      <c r="B125" s="20"/>
      <c r="C125" s="20"/>
      <c r="D125" s="20"/>
      <c r="E125" s="125"/>
      <c r="F125" s="125" t="n">
        <v>0</v>
      </c>
      <c r="G125" s="125" t="n">
        <v>0</v>
      </c>
      <c r="H125" s="126" t="n">
        <v>0</v>
      </c>
      <c r="I125" s="20" t="str">
        <f aca="false">IF($C125="","",IFERROR(VLOOKUP($C125,Master_Mappings!$N$4:$S$200,3,FALSE()),"UNMAPPED"))</f>
        <v/>
      </c>
      <c r="J125" s="20" t="str">
        <f aca="false">IF($C125="","",IFERROR(VLOOKUP($C125,Master_Mappings!$N$4:$S$134,4,FALSE()),""))</f>
        <v/>
      </c>
      <c r="K125" s="20" t="s">
        <v>529</v>
      </c>
      <c r="L125" s="20" t="s">
        <v>567</v>
      </c>
      <c r="M125" s="0" t="str">
        <f aca="false">IF($C125="","",IFERROR(VLOOKUP($C125,Master_Mappings!$N$4:$S$200,6,FALSE()),""))</f>
        <v/>
      </c>
    </row>
    <row r="126" customFormat="false" ht="13.5" hidden="false" customHeight="false" outlineLevel="0" collapsed="false">
      <c r="A126" s="20"/>
      <c r="B126" s="20"/>
      <c r="C126" s="20"/>
      <c r="D126" s="20"/>
      <c r="E126" s="125"/>
      <c r="F126" s="125" t="n">
        <v>0</v>
      </c>
      <c r="G126" s="125" t="n">
        <v>0</v>
      </c>
      <c r="H126" s="126" t="n">
        <v>0</v>
      </c>
      <c r="I126" s="20" t="str">
        <f aca="false">IF($C126="","",IFERROR(VLOOKUP($C126,Master_Mappings!$N$4:$S$200,3,FALSE()),"UNMAPPED"))</f>
        <v/>
      </c>
      <c r="J126" s="20" t="str">
        <f aca="false">IF($C126="","",IFERROR(VLOOKUP($C126,Master_Mappings!$N$4:$S$134,4,FALSE()),""))</f>
        <v/>
      </c>
      <c r="K126" s="20" t="s">
        <v>529</v>
      </c>
      <c r="L126" s="20" t="s">
        <v>567</v>
      </c>
      <c r="M126" s="0" t="str">
        <f aca="false">IF($C126="","",IFERROR(VLOOKUP($C126,Master_Mappings!$N$4:$S$200,6,FALSE()),""))</f>
        <v/>
      </c>
    </row>
    <row r="127" customFormat="false" ht="13.5" hidden="false" customHeight="false" outlineLevel="0" collapsed="false">
      <c r="I127" s="1" t="str">
        <f aca="false">IF($C127="","",IFERROR(VLOOKUP($C127,Master_Mappings!$N$4:$S$200,3,FALSE()),"UNMAPPED"))</f>
        <v/>
      </c>
      <c r="J127" s="1" t="str">
        <f aca="false">IF($C127="","",IFERROR(VLOOKUP($C127,Master_Mappings!$N$4:$S$134,4,FALSE()),""))</f>
        <v/>
      </c>
      <c r="M127" s="0" t="str">
        <f aca="false">IF($C127="","",IFERROR(VLOOKUP($C127,Master_Mappings!$N$4:$S$200,6,FALSE()),""))</f>
        <v/>
      </c>
    </row>
    <row r="128" customFormat="false" ht="13.5" hidden="false" customHeight="false" outlineLevel="0" collapsed="false">
      <c r="I128" s="1" t="str">
        <f aca="false">IF($C128="","",IFERROR(VLOOKUP($C128,Master_Mappings!$N$4:$S$200,3,FALSE()),"UNMAPPED"))</f>
        <v/>
      </c>
      <c r="J128" s="1" t="str">
        <f aca="false">IF($C128="","",IFERROR(VLOOKUP($C128,Master_Mappings!$N$4:$S$134,4,FALSE()),""))</f>
        <v/>
      </c>
      <c r="M128" s="0" t="str">
        <f aca="false">IF($C128="","",IFERROR(VLOOKUP($C128,Master_Mappings!$N$4:$S$200,6,FALSE()),""))</f>
        <v/>
      </c>
    </row>
    <row r="129" customFormat="false" ht="13.5" hidden="false" customHeight="false" outlineLevel="0" collapsed="false">
      <c r="I129" s="1" t="str">
        <f aca="false">IF($C129="","",IFERROR(VLOOKUP($C129,Master_Mappings!$N$4:$S$200,3,FALSE()),"UNMAPPED"))</f>
        <v/>
      </c>
      <c r="J129" s="1" t="str">
        <f aca="false">IF($C129="","",IFERROR(VLOOKUP($C129,Master_Mappings!$N$4:$S$134,4,FALSE()),""))</f>
        <v/>
      </c>
      <c r="M129" s="0" t="str">
        <f aca="false">IF($C129="","",IFERROR(VLOOKUP($C129,Master_Mappings!$N$4:$S$200,6,FALSE()),""))</f>
        <v/>
      </c>
    </row>
    <row r="130" customFormat="false" ht="13.5" hidden="false" customHeight="false" outlineLevel="0" collapsed="false">
      <c r="I130" s="1" t="str">
        <f aca="false">IF($C130="","",IFERROR(VLOOKUP($C130,Master_Mappings!$N$4:$S$200,3,FALSE()),"UNMAPPED"))</f>
        <v/>
      </c>
      <c r="J130" s="1" t="str">
        <f aca="false">IF($C130="","",IFERROR(VLOOKUP($C130,Master_Mappings!$N$4:$S$134,4,FALSE()),""))</f>
        <v/>
      </c>
      <c r="M130" s="0" t="str">
        <f aca="false">IF($C130="","",IFERROR(VLOOKUP($C130,Master_Mappings!$N$4:$S$200,6,FALSE()),""))</f>
        <v/>
      </c>
    </row>
    <row r="131" customFormat="false" ht="13.5" hidden="false" customHeight="false" outlineLevel="0" collapsed="false">
      <c r="I131" s="1" t="str">
        <f aca="false">IF($C131="","",IFERROR(VLOOKUP($C131,Master_Mappings!$N$4:$S$200,3,FALSE()),"UNMAPPED"))</f>
        <v/>
      </c>
      <c r="J131" s="1" t="str">
        <f aca="false">IF($C131="","",IFERROR(VLOOKUP($C131,Master_Mappings!$N$4:$S$134,4,FALSE()),""))</f>
        <v/>
      </c>
      <c r="M131" s="0" t="str">
        <f aca="false">IF($C131="","",IFERROR(VLOOKUP($C131,Master_Mappings!$N$4:$S$200,6,FALSE()),""))</f>
        <v/>
      </c>
    </row>
    <row r="132" customFormat="false" ht="13.5" hidden="false" customHeight="false" outlineLevel="0" collapsed="false">
      <c r="I132" s="1" t="str">
        <f aca="false">IF($C132="","",IFERROR(VLOOKUP($C132,Master_Mappings!$N$4:$S$200,3,FALSE()),"UNMAPPED"))</f>
        <v/>
      </c>
      <c r="J132" s="1" t="str">
        <f aca="false">IF($C132="","",IFERROR(VLOOKUP($C132,Master_Mappings!$N$4:$S$134,4,FALSE()),""))</f>
        <v/>
      </c>
      <c r="M132" s="0" t="str">
        <f aca="false">IF($C132="","",IFERROR(VLOOKUP($C132,Master_Mappings!$N$4:$S$200,6,FALSE()),""))</f>
        <v/>
      </c>
    </row>
    <row r="133" customFormat="false" ht="13.5" hidden="false" customHeight="false" outlineLevel="0" collapsed="false">
      <c r="I133" s="1" t="str">
        <f aca="false">IF($C133="","",IFERROR(VLOOKUP($C133,Master_Mappings!$N$4:$S$200,3,FALSE()),"UNMAPPED"))</f>
        <v/>
      </c>
      <c r="J133" s="1" t="str">
        <f aca="false">IF($C133="","",IFERROR(VLOOKUP($C133,Master_Mappings!$N$4:$S$134,4,FALSE()),""))</f>
        <v/>
      </c>
      <c r="M133" s="0" t="str">
        <f aca="false">IF($C133="","",IFERROR(VLOOKUP($C133,Master_Mappings!$N$4:$S$200,6,FALSE()),""))</f>
        <v/>
      </c>
    </row>
    <row r="134" customFormat="false" ht="13.5" hidden="false" customHeight="false" outlineLevel="0" collapsed="false">
      <c r="I134" s="1" t="str">
        <f aca="false">IF($C134="","",IFERROR(VLOOKUP($C134,Master_Mappings!$N$4:$S$200,3,FALSE()),"UNMAPPED"))</f>
        <v/>
      </c>
      <c r="J134" s="1" t="str">
        <f aca="false">IF($C134="","",IFERROR(VLOOKUP($C134,Master_Mappings!$N$4:$S$134,4,FALSE()),""))</f>
        <v/>
      </c>
      <c r="M134" s="0" t="str">
        <f aca="false">IF($C134="","",IFERROR(VLOOKUP($C134,Master_Mappings!$N$4:$S$200,6,FALSE()),""))</f>
        <v/>
      </c>
    </row>
    <row r="135" customFormat="false" ht="13.5" hidden="false" customHeight="false" outlineLevel="0" collapsed="false">
      <c r="I135" s="1" t="str">
        <f aca="false">IF($C135="","",IFERROR(VLOOKUP($C135,Master_Mappings!$N$4:$S$200,3,FALSE()),"UNMAPPED"))</f>
        <v/>
      </c>
      <c r="J135" s="1" t="str">
        <f aca="false">IF($C135="","",IFERROR(VLOOKUP($C135,Master_Mappings!$N$4:$S$134,4,FALSE()),""))</f>
        <v/>
      </c>
      <c r="M135" s="0" t="str">
        <f aca="false">IF($C135="","",IFERROR(VLOOKUP($C135,Master_Mappings!$N$4:$S$200,6,FALSE()),""))</f>
        <v/>
      </c>
    </row>
    <row r="136" customFormat="false" ht="13.5" hidden="false" customHeight="false" outlineLevel="0" collapsed="false">
      <c r="I136" s="1" t="str">
        <f aca="false">IF($C136="","",IFERROR(VLOOKUP($C136,Master_Mappings!$N$4:$S$200,3,FALSE()),"UNMAPPED"))</f>
        <v/>
      </c>
      <c r="J136" s="1" t="str">
        <f aca="false">IF($C136="","",IFERROR(VLOOKUP($C136,Master_Mappings!$N$4:$S$134,4,FALSE()),""))</f>
        <v/>
      </c>
      <c r="M136" s="0" t="str">
        <f aca="false">IF($C136="","",IFERROR(VLOOKUP($C136,Master_Mappings!$N$4:$S$200,6,FALSE()),""))</f>
        <v/>
      </c>
    </row>
    <row r="137" customFormat="false" ht="13.5" hidden="false" customHeight="false" outlineLevel="0" collapsed="false">
      <c r="I137" s="1" t="str">
        <f aca="false">IF($C137="","",IFERROR(VLOOKUP($C137,Master_Mappings!$N$4:$S$200,3,FALSE()),"UNMAPPED"))</f>
        <v/>
      </c>
      <c r="J137" s="1" t="str">
        <f aca="false">IF($C137="","",IFERROR(VLOOKUP($C137,Master_Mappings!$N$4:$S$134,4,FALSE()),""))</f>
        <v/>
      </c>
      <c r="M137" s="0" t="str">
        <f aca="false">IF($C137="","",IFERROR(VLOOKUP($C137,Master_Mappings!$N$4:$S$200,6,FALSE()),""))</f>
        <v/>
      </c>
    </row>
    <row r="138" customFormat="false" ht="13.5" hidden="false" customHeight="false" outlineLevel="0" collapsed="false">
      <c r="I138" s="1" t="str">
        <f aca="false">IF($C138="","",IFERROR(VLOOKUP($C138,Master_Mappings!$N$4:$S$200,3,FALSE()),"UNMAPPED"))</f>
        <v/>
      </c>
      <c r="J138" s="1" t="str">
        <f aca="false">IF($C138="","",IFERROR(VLOOKUP($C138,Master_Mappings!$N$4:$S$134,4,FALSE()),""))</f>
        <v/>
      </c>
      <c r="M138" s="0" t="str">
        <f aca="false">IF($C138="","",IFERROR(VLOOKUP($C138,Master_Mappings!$N$4:$S$200,6,FALSE()),""))</f>
        <v/>
      </c>
    </row>
    <row r="139" customFormat="false" ht="13.5" hidden="false" customHeight="false" outlineLevel="0" collapsed="false">
      <c r="I139" s="1" t="str">
        <f aca="false">IF($C139="","",IFERROR(VLOOKUP($C139,Master_Mappings!$N$4:$S$200,3,FALSE()),"UNMAPPED"))</f>
        <v/>
      </c>
      <c r="J139" s="1" t="str">
        <f aca="false">IF($C139="","",IFERROR(VLOOKUP($C139,Master_Mappings!$N$4:$S$134,4,FALSE()),""))</f>
        <v/>
      </c>
      <c r="M139" s="0" t="str">
        <f aca="false">IF($C139="","",IFERROR(VLOOKUP($C139,Master_Mappings!$N$4:$S$200,6,FALSE()),""))</f>
        <v/>
      </c>
    </row>
    <row r="140" customFormat="false" ht="13.5" hidden="false" customHeight="false" outlineLevel="0" collapsed="false">
      <c r="I140" s="1" t="str">
        <f aca="false">IF($C140="","",IFERROR(VLOOKUP($C140,Master_Mappings!$N$4:$S$200,3,FALSE()),"UNMAPPED"))</f>
        <v/>
      </c>
      <c r="J140" s="1" t="str">
        <f aca="false">IF($C140="","",IFERROR(VLOOKUP($C140,Master_Mappings!$N$4:$S$134,4,FALSE()),""))</f>
        <v/>
      </c>
      <c r="M140" s="0" t="str">
        <f aca="false">IF($C140="","",IFERROR(VLOOKUP($C140,Master_Mappings!$N$4:$S$200,6,FALSE()),""))</f>
        <v/>
      </c>
    </row>
    <row r="141" customFormat="false" ht="13.5" hidden="false" customHeight="false" outlineLevel="0" collapsed="false">
      <c r="I141" s="1" t="str">
        <f aca="false">IF($C141="","",IFERROR(VLOOKUP($C141,Master_Mappings!$N$4:$S$200,3,FALSE()),"UNMAPPED"))</f>
        <v/>
      </c>
      <c r="J141" s="1" t="str">
        <f aca="false">IF($C141="","",IFERROR(VLOOKUP($C141,Master_Mappings!$N$4:$S$134,4,FALSE()),""))</f>
        <v/>
      </c>
      <c r="M141" s="0" t="str">
        <f aca="false">IF($C141="","",IFERROR(VLOOKUP($C141,Master_Mappings!$N$4:$S$200,6,FALSE()),""))</f>
        <v/>
      </c>
    </row>
    <row r="142" customFormat="false" ht="13.5" hidden="false" customHeight="false" outlineLevel="0" collapsed="false">
      <c r="I142" s="1" t="str">
        <f aca="false">IF($C142="","",IFERROR(VLOOKUP($C142,Master_Mappings!$N$4:$S$200,3,FALSE()),"UNMAPPED"))</f>
        <v/>
      </c>
      <c r="J142" s="1" t="str">
        <f aca="false">IF($C142="","",IFERROR(VLOOKUP($C142,Master_Mappings!$N$4:$S$134,4,FALSE()),""))</f>
        <v/>
      </c>
      <c r="M142" s="0" t="str">
        <f aca="false">IF($C142="","",IFERROR(VLOOKUP($C142,Master_Mappings!$N$4:$S$200,6,FALSE()),""))</f>
        <v/>
      </c>
    </row>
    <row r="143" customFormat="false" ht="13.5" hidden="false" customHeight="false" outlineLevel="0" collapsed="false">
      <c r="I143" s="1" t="str">
        <f aca="false">IF($C143="","",IFERROR(VLOOKUP($C143,Master_Mappings!$N$4:$S$200,3,FALSE()),"UNMAPPED"))</f>
        <v/>
      </c>
      <c r="J143" s="1" t="str">
        <f aca="false">IF($C143="","",IFERROR(VLOOKUP($C143,Master_Mappings!$N$4:$S$134,4,FALSE()),""))</f>
        <v/>
      </c>
      <c r="M143" s="0" t="str">
        <f aca="false">IF($C143="","",IFERROR(VLOOKUP($C143,Master_Mappings!$N$4:$S$200,6,FALSE()),""))</f>
        <v/>
      </c>
    </row>
    <row r="144" customFormat="false" ht="13.5" hidden="false" customHeight="false" outlineLevel="0" collapsed="false">
      <c r="I144" s="1" t="str">
        <f aca="false">IF($C144="","",IFERROR(VLOOKUP($C144,Master_Mappings!$N$4:$S$200,3,FALSE()),"UNMAPPED"))</f>
        <v/>
      </c>
      <c r="J144" s="1" t="str">
        <f aca="false">IF($C144="","",IFERROR(VLOOKUP($C144,Master_Mappings!$N$4:$S$134,4,FALSE()),""))</f>
        <v/>
      </c>
      <c r="M144" s="0" t="str">
        <f aca="false">IF($C144="","",IFERROR(VLOOKUP($C144,Master_Mappings!$N$4:$S$200,6,FALSE()),""))</f>
        <v/>
      </c>
    </row>
    <row r="145" customFormat="false" ht="13.5" hidden="false" customHeight="false" outlineLevel="0" collapsed="false">
      <c r="I145" s="1" t="str">
        <f aca="false">IF($C145="","",IFERROR(VLOOKUP($C145,Master_Mappings!$N$4:$S$200,3,FALSE()),"UNMAPPED"))</f>
        <v/>
      </c>
      <c r="J145" s="1" t="str">
        <f aca="false">IF($C145="","",IFERROR(VLOOKUP($C145,Master_Mappings!$N$4:$S$134,4,FALSE()),""))</f>
        <v/>
      </c>
      <c r="M145" s="0" t="str">
        <f aca="false">IF($C145="","",IFERROR(VLOOKUP($C145,Master_Mappings!$N$4:$S$200,6,FALSE()),""))</f>
        <v/>
      </c>
    </row>
    <row r="146" customFormat="false" ht="13.5" hidden="false" customHeight="false" outlineLevel="0" collapsed="false">
      <c r="I146" s="1" t="str">
        <f aca="false">IF($C146="","",IFERROR(VLOOKUP($C146,Master_Mappings!$N$4:$S$200,3,FALSE()),"UNMAPPED"))</f>
        <v/>
      </c>
      <c r="J146" s="1" t="str">
        <f aca="false">IF($C146="","",IFERROR(VLOOKUP($C146,Master_Mappings!$N$4:$S$134,4,FALSE()),""))</f>
        <v/>
      </c>
      <c r="M146" s="0" t="str">
        <f aca="false">IF($C146="","",IFERROR(VLOOKUP($C146,Master_Mappings!$N$4:$S$200,6,FALSE()),""))</f>
        <v/>
      </c>
    </row>
    <row r="147" customFormat="false" ht="13.5" hidden="false" customHeight="false" outlineLevel="0" collapsed="false">
      <c r="I147" s="1" t="str">
        <f aca="false">IF($C147="","",IFERROR(VLOOKUP($C147,Master_Mappings!$N$4:$S$200,3,FALSE()),"UNMAPPED"))</f>
        <v/>
      </c>
      <c r="J147" s="1" t="str">
        <f aca="false">IF($C147="","",IFERROR(VLOOKUP($C147,Master_Mappings!$N$4:$S$134,4,FALSE()),""))</f>
        <v/>
      </c>
      <c r="M147" s="0" t="str">
        <f aca="false">IF($C147="","",IFERROR(VLOOKUP($C147,Master_Mappings!$N$4:$S$200,6,FALSE()),""))</f>
        <v/>
      </c>
    </row>
    <row r="148" customFormat="false" ht="13.5" hidden="false" customHeight="false" outlineLevel="0" collapsed="false">
      <c r="I148" s="1" t="str">
        <f aca="false">IF($C148="","",IFERROR(VLOOKUP($C148,Master_Mappings!$N$4:$S$200,3,FALSE()),"UNMAPPED"))</f>
        <v/>
      </c>
      <c r="J148" s="1" t="str">
        <f aca="false">IF($C148="","",IFERROR(VLOOKUP($C148,Master_Mappings!$N$4:$S$134,4,FALSE()),""))</f>
        <v/>
      </c>
      <c r="M148" s="0" t="str">
        <f aca="false">IF($C148="","",IFERROR(VLOOKUP($C148,Master_Mappings!$N$4:$S$200,6,FALSE()),""))</f>
        <v/>
      </c>
    </row>
    <row r="149" customFormat="false" ht="13.5" hidden="false" customHeight="false" outlineLevel="0" collapsed="false">
      <c r="I149" s="1" t="str">
        <f aca="false">IF($C149="","",IFERROR(VLOOKUP($C149,Master_Mappings!$N$4:$S$200,3,FALSE()),"UNMAPPED"))</f>
        <v/>
      </c>
      <c r="J149" s="1" t="str">
        <f aca="false">IF($C149="","",IFERROR(VLOOKUP($C149,Master_Mappings!$N$4:$S$134,4,FALSE()),""))</f>
        <v/>
      </c>
      <c r="M149" s="0" t="str">
        <f aca="false">IF($C149="","",IFERROR(VLOOKUP($C149,Master_Mappings!$N$4:$S$200,6,FALSE()),""))</f>
        <v/>
      </c>
    </row>
    <row r="150" customFormat="false" ht="13.5" hidden="false" customHeight="false" outlineLevel="0" collapsed="false">
      <c r="I150" s="1" t="str">
        <f aca="false">IF($C150="","",IFERROR(VLOOKUP($C150,Master_Mappings!$N$4:$S$200,3,FALSE()),"UNMAPPED"))</f>
        <v/>
      </c>
      <c r="J150" s="1" t="str">
        <f aca="false">IF($C150="","",IFERROR(VLOOKUP($C150,Master_Mappings!$N$4:$S$134,4,FALSE()),""))</f>
        <v/>
      </c>
      <c r="M150" s="0" t="str">
        <f aca="false">IF($C150="","",IFERROR(VLOOKUP($C150,Master_Mappings!$N$4:$S$200,6,FALSE()),""))</f>
        <v/>
      </c>
    </row>
    <row r="151" customFormat="false" ht="13.5" hidden="false" customHeight="false" outlineLevel="0" collapsed="false">
      <c r="I151" s="1" t="str">
        <f aca="false">IF($C151="","",IFERROR(VLOOKUP($C151,Master_Mappings!$N$4:$S$200,3,FALSE()),"UNMAPPED"))</f>
        <v/>
      </c>
      <c r="J151" s="1" t="str">
        <f aca="false">IF($C151="","",IFERROR(VLOOKUP($C151,Master_Mappings!$N$4:$S$134,4,FALSE()),""))</f>
        <v/>
      </c>
      <c r="M151" s="0" t="str">
        <f aca="false">IF($C151="","",IFERROR(VLOOKUP($C151,Master_Mappings!$N$4:$S$200,6,FALSE()),""))</f>
        <v/>
      </c>
    </row>
    <row r="152" customFormat="false" ht="13.5" hidden="false" customHeight="false" outlineLevel="0" collapsed="false">
      <c r="I152" s="1" t="str">
        <f aca="false">IF($C152="","",IFERROR(VLOOKUP($C152,Master_Mappings!$N$4:$S$200,3,FALSE()),"UNMAPPED"))</f>
        <v/>
      </c>
      <c r="J152" s="1" t="str">
        <f aca="false">IF($C152="","",IFERROR(VLOOKUP($C152,Master_Mappings!$N$4:$S$134,4,FALSE()),""))</f>
        <v/>
      </c>
      <c r="M152" s="0" t="str">
        <f aca="false">IF($C152="","",IFERROR(VLOOKUP($C152,Master_Mappings!$N$4:$S$200,6,FALSE()),""))</f>
        <v/>
      </c>
    </row>
    <row r="153" customFormat="false" ht="13.5" hidden="false" customHeight="false" outlineLevel="0" collapsed="false">
      <c r="I153" s="1" t="str">
        <f aca="false">IF($C153="","",IFERROR(VLOOKUP($C153,Master_Mappings!$N$4:$S$200,3,FALSE()),"UNMAPPED"))</f>
        <v/>
      </c>
      <c r="J153" s="1" t="str">
        <f aca="false">IF($C153="","",IFERROR(VLOOKUP($C153,Master_Mappings!$N$4:$S$134,4,FALSE()),""))</f>
        <v/>
      </c>
      <c r="M153" s="0" t="str">
        <f aca="false">IF($C153="","",IFERROR(VLOOKUP($C153,Master_Mappings!$N$4:$S$200,6,FALSE()),""))</f>
        <v/>
      </c>
    </row>
    <row r="154" customFormat="false" ht="13.5" hidden="false" customHeight="false" outlineLevel="0" collapsed="false">
      <c r="I154" s="1" t="str">
        <f aca="false">IF($C154="","",IFERROR(VLOOKUP($C154,Master_Mappings!$N$4:$S$200,3,FALSE()),"UNMAPPED"))</f>
        <v/>
      </c>
      <c r="J154" s="1" t="str">
        <f aca="false">IF($C154="","",IFERROR(VLOOKUP($C154,Master_Mappings!$N$4:$S$134,4,FALSE()),""))</f>
        <v/>
      </c>
      <c r="M154" s="0" t="str">
        <f aca="false">IF($C154="","",IFERROR(VLOOKUP($C154,Master_Mappings!$N$4:$S$200,6,FALSE()),""))</f>
        <v/>
      </c>
    </row>
    <row r="155" customFormat="false" ht="13.5" hidden="false" customHeight="false" outlineLevel="0" collapsed="false">
      <c r="I155" s="1" t="str">
        <f aca="false">IF($C155="","",IFERROR(VLOOKUP($C155,Master_Mappings!$N$4:$S$200,3,FALSE()),"UNMAPPED"))</f>
        <v/>
      </c>
      <c r="J155" s="1" t="str">
        <f aca="false">IF($C155="","",IFERROR(VLOOKUP($C155,Master_Mappings!$N$4:$S$134,4,FALSE()),""))</f>
        <v/>
      </c>
      <c r="M155" s="0" t="str">
        <f aca="false">IF($C155="","",IFERROR(VLOOKUP($C155,Master_Mappings!$N$4:$S$200,6,FALSE()),""))</f>
        <v/>
      </c>
    </row>
    <row r="156" customFormat="false" ht="13.5" hidden="false" customHeight="false" outlineLevel="0" collapsed="false">
      <c r="I156" s="1" t="str">
        <f aca="false">IF($C156="","",IFERROR(VLOOKUP($C156,Master_Mappings!$N$4:$S$200,3,FALSE()),"UNMAPPED"))</f>
        <v/>
      </c>
      <c r="J156" s="1" t="str">
        <f aca="false">IF($C156="","",IFERROR(VLOOKUP($C156,Master_Mappings!$N$4:$S$134,4,FALSE()),""))</f>
        <v/>
      </c>
      <c r="M156" s="0" t="str">
        <f aca="false">IF($C156="","",IFERROR(VLOOKUP($C156,Master_Mappings!$N$4:$S$200,6,FALSE()),""))</f>
        <v/>
      </c>
    </row>
    <row r="157" customFormat="false" ht="13.5" hidden="false" customHeight="false" outlineLevel="0" collapsed="false">
      <c r="I157" s="1" t="str">
        <f aca="false">IF($C157="","",IFERROR(VLOOKUP($C157,Master_Mappings!$N$4:$S$200,3,FALSE()),"UNMAPPED"))</f>
        <v/>
      </c>
      <c r="J157" s="1" t="str">
        <f aca="false">IF($C157="","",IFERROR(VLOOKUP($C157,Master_Mappings!$N$4:$S$134,4,FALSE()),""))</f>
        <v/>
      </c>
      <c r="M157" s="0" t="str">
        <f aca="false">IF($C157="","",IFERROR(VLOOKUP($C157,Master_Mappings!$N$4:$S$200,6,FALSE()),""))</f>
        <v/>
      </c>
    </row>
    <row r="158" customFormat="false" ht="13.5" hidden="false" customHeight="false" outlineLevel="0" collapsed="false">
      <c r="I158" s="1" t="str">
        <f aca="false">IF($C158="","",IFERROR(VLOOKUP($C158,Master_Mappings!$N$4:$S$200,3,FALSE()),"UNMAPPED"))</f>
        <v/>
      </c>
      <c r="J158" s="1" t="str">
        <f aca="false">IF($C158="","",IFERROR(VLOOKUP($C158,Master_Mappings!$N$4:$S$134,4,FALSE()),""))</f>
        <v/>
      </c>
      <c r="M158" s="0" t="str">
        <f aca="false">IF($C158="","",IFERROR(VLOOKUP($C158,Master_Mappings!$N$4:$S$200,6,FALSE()),""))</f>
        <v/>
      </c>
    </row>
    <row r="159" customFormat="false" ht="13.5" hidden="false" customHeight="false" outlineLevel="0" collapsed="false">
      <c r="I159" s="1" t="str">
        <f aca="false">IF($C159="","",IFERROR(VLOOKUP($C159,Master_Mappings!$N$4:$S$200,3,FALSE()),"UNMAPPED"))</f>
        <v/>
      </c>
      <c r="J159" s="1" t="str">
        <f aca="false">IF($C159="","",IFERROR(VLOOKUP($C159,Master_Mappings!$N$4:$S$134,4,FALSE()),""))</f>
        <v/>
      </c>
      <c r="M159" s="0" t="str">
        <f aca="false">IF($C159="","",IFERROR(VLOOKUP($C159,Master_Mappings!$N$4:$S$200,6,FALSE()),""))</f>
        <v/>
      </c>
    </row>
    <row r="160" customFormat="false" ht="13.5" hidden="false" customHeight="false" outlineLevel="0" collapsed="false">
      <c r="I160" s="1" t="str">
        <f aca="false">IF($C160="","",IFERROR(VLOOKUP($C160,Master_Mappings!$N$4:$S$200,3,FALSE()),"UNMAPPED"))</f>
        <v/>
      </c>
      <c r="J160" s="1" t="str">
        <f aca="false">IF($C160="","",IFERROR(VLOOKUP($C160,Master_Mappings!$N$4:$S$134,4,FALSE()),""))</f>
        <v/>
      </c>
      <c r="M160" s="0" t="str">
        <f aca="false">IF($C160="","",IFERROR(VLOOKUP($C160,Master_Mappings!$N$4:$S$200,6,FALSE()),""))</f>
        <v/>
      </c>
    </row>
    <row r="161" customFormat="false" ht="13.5" hidden="false" customHeight="false" outlineLevel="0" collapsed="false">
      <c r="I161" s="1" t="str">
        <f aca="false">IF($C161="","",IFERROR(VLOOKUP($C161,Master_Mappings!$N$4:$S$200,3,FALSE()),"UNMAPPED"))</f>
        <v/>
      </c>
      <c r="J161" s="1" t="str">
        <f aca="false">IF($C161="","",IFERROR(VLOOKUP($C161,Master_Mappings!$N$4:$S$134,4,FALSE()),""))</f>
        <v/>
      </c>
      <c r="M161" s="0" t="str">
        <f aca="false">IF($C161="","",IFERROR(VLOOKUP($C161,Master_Mappings!$N$4:$S$200,6,FALSE()),""))</f>
        <v/>
      </c>
    </row>
    <row r="162" customFormat="false" ht="13.5" hidden="false" customHeight="false" outlineLevel="0" collapsed="false">
      <c r="I162" s="1" t="str">
        <f aca="false">IF($C162="","",IFERROR(VLOOKUP($C162,Master_Mappings!$N$4:$S$200,3,FALSE()),"UNMAPPED"))</f>
        <v/>
      </c>
      <c r="J162" s="1" t="str">
        <f aca="false">IF($C162="","",IFERROR(VLOOKUP($C162,Master_Mappings!$N$4:$S$134,4,FALSE()),""))</f>
        <v/>
      </c>
      <c r="M162" s="0" t="str">
        <f aca="false">IF($C162="","",IFERROR(VLOOKUP($C162,Master_Mappings!$N$4:$S$200,6,FALSE()),""))</f>
        <v/>
      </c>
    </row>
    <row r="163" customFormat="false" ht="13.5" hidden="false" customHeight="false" outlineLevel="0" collapsed="false">
      <c r="I163" s="1" t="str">
        <f aca="false">IF($C163="","",IFERROR(VLOOKUP($C163,Master_Mappings!$N$4:$S$200,3,FALSE()),"UNMAPPED"))</f>
        <v/>
      </c>
      <c r="J163" s="1" t="str">
        <f aca="false">IF($C163="","",IFERROR(VLOOKUP($C163,Master_Mappings!$N$4:$S$134,4,FALSE()),""))</f>
        <v/>
      </c>
      <c r="M163" s="0" t="str">
        <f aca="false">IF($C163="","",IFERROR(VLOOKUP($C163,Master_Mappings!$N$4:$S$200,6,FALSE()),""))</f>
        <v/>
      </c>
    </row>
    <row r="164" customFormat="false" ht="13.5" hidden="false" customHeight="false" outlineLevel="0" collapsed="false">
      <c r="I164" s="1" t="str">
        <f aca="false">IF($C164="","",IFERROR(VLOOKUP($C164,Master_Mappings!$N$4:$S$200,3,FALSE()),"UNMAPPED"))</f>
        <v/>
      </c>
      <c r="J164" s="1" t="str">
        <f aca="false">IF($C164="","",IFERROR(VLOOKUP($C164,Master_Mappings!$N$4:$S$134,4,FALSE()),""))</f>
        <v/>
      </c>
      <c r="M164" s="0" t="str">
        <f aca="false">IF($C164="","",IFERROR(VLOOKUP($C164,Master_Mappings!$N$4:$S$200,6,FALSE()),""))</f>
        <v/>
      </c>
    </row>
    <row r="165" customFormat="false" ht="13.5" hidden="false" customHeight="false" outlineLevel="0" collapsed="false">
      <c r="I165" s="1" t="str">
        <f aca="false">IF($C165="","",IFERROR(VLOOKUP($C165,Master_Mappings!$N$4:$S$200,3,FALSE()),"UNMAPPED"))</f>
        <v/>
      </c>
      <c r="J165" s="1" t="str">
        <f aca="false">IF($C165="","",IFERROR(VLOOKUP($C165,Master_Mappings!$N$4:$S$134,4,FALSE()),""))</f>
        <v/>
      </c>
      <c r="M165" s="0" t="str">
        <f aca="false">IF($C165="","",IFERROR(VLOOKUP($C165,Master_Mappings!$N$4:$S$200,6,FALSE()),""))</f>
        <v/>
      </c>
    </row>
    <row r="166" customFormat="false" ht="13.5" hidden="false" customHeight="false" outlineLevel="0" collapsed="false">
      <c r="I166" s="1" t="str">
        <f aca="false">IF($C166="","",IFERROR(VLOOKUP($C166,Master_Mappings!$N$4:$S$200,3,FALSE()),"UNMAPPED"))</f>
        <v/>
      </c>
      <c r="J166" s="1" t="str">
        <f aca="false">IF($C166="","",IFERROR(VLOOKUP($C166,Master_Mappings!$N$4:$S$134,4,FALSE()),""))</f>
        <v/>
      </c>
      <c r="M166" s="0" t="str">
        <f aca="false">IF($C166="","",IFERROR(VLOOKUP($C166,Master_Mappings!$N$4:$S$200,6,FALSE()),""))</f>
        <v/>
      </c>
    </row>
    <row r="167" customFormat="false" ht="13.5" hidden="false" customHeight="false" outlineLevel="0" collapsed="false">
      <c r="I167" s="1" t="str">
        <f aca="false">IF($C167="","",IFERROR(VLOOKUP($C167,Master_Mappings!$N$4:$S$200,3,FALSE()),"UNMAPPED"))</f>
        <v/>
      </c>
      <c r="J167" s="1" t="str">
        <f aca="false">IF($C167="","",IFERROR(VLOOKUP($C167,Master_Mappings!$N$4:$S$134,4,FALSE()),""))</f>
        <v/>
      </c>
      <c r="M167" s="0" t="str">
        <f aca="false">IF($C167="","",IFERROR(VLOOKUP($C167,Master_Mappings!$N$4:$S$200,6,FALSE()),""))</f>
        <v/>
      </c>
    </row>
    <row r="168" customFormat="false" ht="13.5" hidden="false" customHeight="false" outlineLevel="0" collapsed="false">
      <c r="I168" s="1" t="str">
        <f aca="false">IF($C168="","",IFERROR(VLOOKUP($C168,Master_Mappings!$N$4:$S$200,3,FALSE()),"UNMAPPED"))</f>
        <v/>
      </c>
      <c r="J168" s="1" t="str">
        <f aca="false">IF($C168="","",IFERROR(VLOOKUP($C168,Master_Mappings!$N$4:$S$134,4,FALSE()),""))</f>
        <v/>
      </c>
      <c r="M168" s="0" t="str">
        <f aca="false">IF($C168="","",IFERROR(VLOOKUP($C168,Master_Mappings!$N$4:$S$200,6,FALSE()),""))</f>
        <v/>
      </c>
    </row>
    <row r="169" customFormat="false" ht="13.5" hidden="false" customHeight="false" outlineLevel="0" collapsed="false">
      <c r="I169" s="1" t="str">
        <f aca="false">IF($C169="","",IFERROR(VLOOKUP($C169,Master_Mappings!$N$4:$S$200,3,FALSE()),"UNMAPPED"))</f>
        <v/>
      </c>
      <c r="J169" s="1" t="str">
        <f aca="false">IF($C169="","",IFERROR(VLOOKUP($C169,Master_Mappings!$N$4:$S$134,4,FALSE()),""))</f>
        <v/>
      </c>
      <c r="M169" s="0" t="str">
        <f aca="false">IF($C169="","",IFERROR(VLOOKUP($C169,Master_Mappings!$N$4:$S$200,6,FALSE()),""))</f>
        <v/>
      </c>
    </row>
    <row r="170" customFormat="false" ht="13.5" hidden="false" customHeight="false" outlineLevel="0" collapsed="false">
      <c r="I170" s="1" t="str">
        <f aca="false">IF($C170="","",IFERROR(VLOOKUP($C170,Master_Mappings!$N$4:$S$200,3,FALSE()),"UNMAPPED"))</f>
        <v/>
      </c>
      <c r="J170" s="1" t="str">
        <f aca="false">IF($C170="","",IFERROR(VLOOKUP($C170,Master_Mappings!$N$4:$S$134,4,FALSE()),""))</f>
        <v/>
      </c>
      <c r="M170" s="0" t="str">
        <f aca="false">IF($C170="","",IFERROR(VLOOKUP($C170,Master_Mappings!$N$4:$S$200,6,FALSE()),""))</f>
        <v/>
      </c>
    </row>
    <row r="171" customFormat="false" ht="13.5" hidden="false" customHeight="false" outlineLevel="0" collapsed="false">
      <c r="I171" s="1" t="str">
        <f aca="false">IF($C171="","",IFERROR(VLOOKUP($C171,Master_Mappings!$N$4:$S$200,3,FALSE()),"UNMAPPED"))</f>
        <v/>
      </c>
      <c r="J171" s="1" t="str">
        <f aca="false">IF($C171="","",IFERROR(VLOOKUP($C171,Master_Mappings!$N$4:$S$134,4,FALSE()),""))</f>
        <v/>
      </c>
      <c r="M171" s="0" t="str">
        <f aca="false">IF($C171="","",IFERROR(VLOOKUP($C171,Master_Mappings!$N$4:$S$200,6,FALSE()),""))</f>
        <v/>
      </c>
    </row>
    <row r="172" customFormat="false" ht="13.5" hidden="false" customHeight="false" outlineLevel="0" collapsed="false">
      <c r="I172" s="1" t="str">
        <f aca="false">IF($C172="","",IFERROR(VLOOKUP($C172,Master_Mappings!$N$4:$S$200,3,FALSE()),"UNMAPPED"))</f>
        <v/>
      </c>
      <c r="J172" s="1" t="str">
        <f aca="false">IF($C172="","",IFERROR(VLOOKUP($C172,Master_Mappings!$N$4:$S$134,4,FALSE()),""))</f>
        <v/>
      </c>
      <c r="M172" s="0" t="str">
        <f aca="false">IF($C172="","",IFERROR(VLOOKUP($C172,Master_Mappings!$N$4:$S$200,6,FALSE()),""))</f>
        <v/>
      </c>
    </row>
    <row r="173" customFormat="false" ht="13.5" hidden="false" customHeight="false" outlineLevel="0" collapsed="false">
      <c r="I173" s="1" t="str">
        <f aca="false">IF($C173="","",IFERROR(VLOOKUP($C173,Master_Mappings!$N$4:$S$200,3,FALSE()),"UNMAPPED"))</f>
        <v/>
      </c>
      <c r="J173" s="1" t="str">
        <f aca="false">IF($C173="","",IFERROR(VLOOKUP($C173,Master_Mappings!$N$4:$S$134,4,FALSE()),""))</f>
        <v/>
      </c>
      <c r="M173" s="0" t="str">
        <f aca="false">IF($C173="","",IFERROR(VLOOKUP($C173,Master_Mappings!$N$4:$S$200,6,FALSE()),""))</f>
        <v/>
      </c>
    </row>
    <row r="174" customFormat="false" ht="13.5" hidden="false" customHeight="false" outlineLevel="0" collapsed="false">
      <c r="I174" s="1" t="str">
        <f aca="false">IF($C174="","",IFERROR(VLOOKUP($C174,Master_Mappings!$N$4:$S$200,3,FALSE()),"UNMAPPED"))</f>
        <v/>
      </c>
      <c r="J174" s="1" t="str">
        <f aca="false">IF($C174="","",IFERROR(VLOOKUP($C174,Master_Mappings!$N$4:$S$134,4,FALSE()),""))</f>
        <v/>
      </c>
      <c r="M174" s="0" t="str">
        <f aca="false">IF($C174="","",IFERROR(VLOOKUP($C174,Master_Mappings!$N$4:$S$200,6,FALSE()),""))</f>
        <v/>
      </c>
    </row>
    <row r="175" customFormat="false" ht="13.5" hidden="false" customHeight="false" outlineLevel="0" collapsed="false">
      <c r="I175" s="1" t="str">
        <f aca="false">IF($C175="","",IFERROR(VLOOKUP($C175,Master_Mappings!$N$4:$S$200,3,FALSE()),"UNMAPPED"))</f>
        <v/>
      </c>
      <c r="J175" s="1" t="str">
        <f aca="false">IF($C175="","",IFERROR(VLOOKUP($C175,Master_Mappings!$N$4:$S$134,4,FALSE()),""))</f>
        <v/>
      </c>
      <c r="M175" s="0" t="str">
        <f aca="false">IF($C175="","",IFERROR(VLOOKUP($C175,Master_Mappings!$N$4:$S$200,6,FALSE()),""))</f>
        <v/>
      </c>
    </row>
    <row r="176" customFormat="false" ht="13.5" hidden="false" customHeight="false" outlineLevel="0" collapsed="false">
      <c r="I176" s="1" t="str">
        <f aca="false">IF($C176="","",IFERROR(VLOOKUP($C176,Master_Mappings!$N$4:$S$200,3,FALSE()),"UNMAPPED"))</f>
        <v/>
      </c>
      <c r="J176" s="1" t="str">
        <f aca="false">IF($C176="","",IFERROR(VLOOKUP($C176,Master_Mappings!$N$4:$S$134,4,FALSE()),""))</f>
        <v/>
      </c>
      <c r="M176" s="0" t="str">
        <f aca="false">IF($C176="","",IFERROR(VLOOKUP($C176,Master_Mappings!$N$4:$S$200,6,FALSE()),""))</f>
        <v/>
      </c>
    </row>
    <row r="177" customFormat="false" ht="13.5" hidden="false" customHeight="false" outlineLevel="0" collapsed="false">
      <c r="I177" s="1" t="str">
        <f aca="false">IF($C177="","",IFERROR(VLOOKUP($C177,Master_Mappings!$N$4:$S$200,3,FALSE()),"UNMAPPED"))</f>
        <v/>
      </c>
      <c r="J177" s="1" t="str">
        <f aca="false">IF($C177="","",IFERROR(VLOOKUP($C177,Master_Mappings!$N$4:$S$134,4,FALSE()),""))</f>
        <v/>
      </c>
      <c r="M177" s="0" t="str">
        <f aca="false">IF($C177="","",IFERROR(VLOOKUP($C177,Master_Mappings!$N$4:$S$200,6,FALSE()),""))</f>
        <v/>
      </c>
    </row>
    <row r="178" customFormat="false" ht="13.5" hidden="false" customHeight="false" outlineLevel="0" collapsed="false">
      <c r="I178" s="1" t="str">
        <f aca="false">IF($C178="","",IFERROR(VLOOKUP($C178,Master_Mappings!$N$4:$S$200,3,FALSE()),"UNMAPPED"))</f>
        <v/>
      </c>
      <c r="J178" s="1" t="str">
        <f aca="false">IF($C178="","",IFERROR(VLOOKUP($C178,Master_Mappings!$N$4:$S$134,4,FALSE()),""))</f>
        <v/>
      </c>
      <c r="M178" s="0" t="str">
        <f aca="false">IF($C178="","",IFERROR(VLOOKUP($C178,Master_Mappings!$N$4:$S$200,6,FALSE()),""))</f>
        <v/>
      </c>
    </row>
    <row r="179" customFormat="false" ht="13.5" hidden="false" customHeight="false" outlineLevel="0" collapsed="false">
      <c r="I179" s="1" t="str">
        <f aca="false">IF($C179="","",IFERROR(VLOOKUP($C179,Master_Mappings!$N$4:$S$200,3,FALSE()),"UNMAPPED"))</f>
        <v/>
      </c>
      <c r="J179" s="1" t="str">
        <f aca="false">IF($C179="","",IFERROR(VLOOKUP($C179,Master_Mappings!$N$4:$S$134,4,FALSE()),""))</f>
        <v/>
      </c>
      <c r="M179" s="0" t="str">
        <f aca="false">IF($C179="","",IFERROR(VLOOKUP($C179,Master_Mappings!$N$4:$S$200,6,FALSE()),""))</f>
        <v/>
      </c>
    </row>
    <row r="180" customFormat="false" ht="13.5" hidden="false" customHeight="false" outlineLevel="0" collapsed="false">
      <c r="I180" s="1" t="str">
        <f aca="false">IF($C180="","",IFERROR(VLOOKUP($C180,Master_Mappings!$N$4:$S$200,3,FALSE()),"UNMAPPED"))</f>
        <v/>
      </c>
      <c r="J180" s="1" t="str">
        <f aca="false">IF($C180="","",IFERROR(VLOOKUP($C180,Master_Mappings!$N$4:$S$134,4,FALSE()),""))</f>
        <v/>
      </c>
      <c r="M180" s="0" t="str">
        <f aca="false">IF($C180="","",IFERROR(VLOOKUP($C180,Master_Mappings!$N$4:$S$200,6,FALSE()),""))</f>
        <v/>
      </c>
    </row>
    <row r="181" customFormat="false" ht="13.5" hidden="false" customHeight="false" outlineLevel="0" collapsed="false">
      <c r="I181" s="1" t="str">
        <f aca="false">IF($C181="","",IFERROR(VLOOKUP($C181,Master_Mappings!$N$4:$S$200,3,FALSE()),"UNMAPPED"))</f>
        <v/>
      </c>
      <c r="J181" s="1" t="str">
        <f aca="false">IF($C181="","",IFERROR(VLOOKUP($C181,Master_Mappings!$N$4:$S$134,4,FALSE()),""))</f>
        <v/>
      </c>
      <c r="M181" s="0" t="str">
        <f aca="false">IF($C181="","",IFERROR(VLOOKUP($C181,Master_Mappings!$N$4:$S$200,6,FALSE()),""))</f>
        <v/>
      </c>
    </row>
    <row r="182" customFormat="false" ht="13.5" hidden="false" customHeight="false" outlineLevel="0" collapsed="false">
      <c r="I182" s="1" t="str">
        <f aca="false">IF($C182="","",IFERROR(VLOOKUP($C182,Master_Mappings!$N$4:$S$200,3,FALSE()),"UNMAPPED"))</f>
        <v/>
      </c>
      <c r="J182" s="1" t="str">
        <f aca="false">IF($C182="","",IFERROR(VLOOKUP($C182,Master_Mappings!$N$4:$S$134,4,FALSE()),""))</f>
        <v/>
      </c>
      <c r="M182" s="0" t="str">
        <f aca="false">IF($C182="","",IFERROR(VLOOKUP($C182,Master_Mappings!$N$4:$S$200,6,FALSE()),""))</f>
        <v/>
      </c>
    </row>
    <row r="183" customFormat="false" ht="13.5" hidden="false" customHeight="false" outlineLevel="0" collapsed="false">
      <c r="I183" s="1" t="str">
        <f aca="false">IF($C183="","",IFERROR(VLOOKUP($C183,Master_Mappings!$N$4:$S$200,3,FALSE()),"UNMAPPED"))</f>
        <v/>
      </c>
      <c r="J183" s="1" t="str">
        <f aca="false">IF($C183="","",IFERROR(VLOOKUP($C183,Master_Mappings!$N$4:$S$134,4,FALSE()),""))</f>
        <v/>
      </c>
      <c r="M183" s="0" t="str">
        <f aca="false">IF($C183="","",IFERROR(VLOOKUP($C183,Master_Mappings!$N$4:$S$200,6,FALSE()),""))</f>
        <v/>
      </c>
    </row>
    <row r="184" customFormat="false" ht="13.5" hidden="false" customHeight="false" outlineLevel="0" collapsed="false">
      <c r="I184" s="1" t="str">
        <f aca="false">IF($C184="","",IFERROR(VLOOKUP($C184,Master_Mappings!$N$4:$S$200,3,FALSE()),"UNMAPPED"))</f>
        <v/>
      </c>
      <c r="J184" s="1" t="str">
        <f aca="false">IF($C184="","",IFERROR(VLOOKUP($C184,Master_Mappings!$N$4:$S$134,4,FALSE()),""))</f>
        <v/>
      </c>
      <c r="M184" s="0" t="str">
        <f aca="false">IF($C184="","",IFERROR(VLOOKUP($C184,Master_Mappings!$N$4:$S$200,6,FALSE()),""))</f>
        <v/>
      </c>
    </row>
    <row r="185" customFormat="false" ht="13.5" hidden="false" customHeight="false" outlineLevel="0" collapsed="false">
      <c r="I185" s="1" t="str">
        <f aca="false">IF($C185="","",IFERROR(VLOOKUP($C185,Master_Mappings!$N$4:$S$200,3,FALSE()),"UNMAPPED"))</f>
        <v/>
      </c>
      <c r="J185" s="1" t="str">
        <f aca="false">IF($C185="","",IFERROR(VLOOKUP($C185,Master_Mappings!$N$4:$S$134,4,FALSE()),""))</f>
        <v/>
      </c>
      <c r="M185" s="0" t="str">
        <f aca="false">IF($C185="","",IFERROR(VLOOKUP($C185,Master_Mappings!$N$4:$S$200,6,FALSE()),""))</f>
        <v/>
      </c>
    </row>
    <row r="186" customFormat="false" ht="13.5" hidden="false" customHeight="false" outlineLevel="0" collapsed="false">
      <c r="I186" s="1" t="str">
        <f aca="false">IF($C186="","",IFERROR(VLOOKUP($C186,Master_Mappings!$N$4:$S$200,3,FALSE()),"UNMAPPED"))</f>
        <v/>
      </c>
      <c r="J186" s="1" t="str">
        <f aca="false">IF($C186="","",IFERROR(VLOOKUP($C186,Master_Mappings!$N$4:$S$134,4,FALSE()),""))</f>
        <v/>
      </c>
      <c r="M186" s="0" t="str">
        <f aca="false">IF($C186="","",IFERROR(VLOOKUP($C186,Master_Mappings!$N$4:$S$200,6,FALSE()),""))</f>
        <v/>
      </c>
    </row>
    <row r="187" customFormat="false" ht="13.5" hidden="false" customHeight="false" outlineLevel="0" collapsed="false">
      <c r="I187" s="1" t="str">
        <f aca="false">IF($C187="","",IFERROR(VLOOKUP($C187,Master_Mappings!$N$4:$S$200,3,FALSE()),"UNMAPPED"))</f>
        <v/>
      </c>
      <c r="J187" s="1" t="str">
        <f aca="false">IF($C187="","",IFERROR(VLOOKUP($C187,Master_Mappings!$N$4:$S$134,4,FALSE()),""))</f>
        <v/>
      </c>
      <c r="M187" s="0" t="str">
        <f aca="false">IF($C187="","",IFERROR(VLOOKUP($C187,Master_Mappings!$N$4:$S$200,6,FALSE()),""))</f>
        <v/>
      </c>
    </row>
    <row r="188" customFormat="false" ht="13.5" hidden="false" customHeight="false" outlineLevel="0" collapsed="false">
      <c r="I188" s="1" t="str">
        <f aca="false">IF($C188="","",IFERROR(VLOOKUP($C188,Master_Mappings!$N$4:$S$200,3,FALSE()),"UNMAPPED"))</f>
        <v/>
      </c>
      <c r="J188" s="1" t="str">
        <f aca="false">IF($C188="","",IFERROR(VLOOKUP($C188,Master_Mappings!$N$4:$S$134,4,FALSE()),""))</f>
        <v/>
      </c>
      <c r="M188" s="0" t="str">
        <f aca="false">IF($C188="","",IFERROR(VLOOKUP($C188,Master_Mappings!$N$4:$S$200,6,FALSE()),""))</f>
        <v/>
      </c>
    </row>
    <row r="189" customFormat="false" ht="13.5" hidden="false" customHeight="false" outlineLevel="0" collapsed="false">
      <c r="I189" s="1" t="str">
        <f aca="false">IF($C189="","",IFERROR(VLOOKUP($C189,Master_Mappings!$N$4:$S$200,3,FALSE()),"UNMAPPED"))</f>
        <v/>
      </c>
      <c r="J189" s="1" t="str">
        <f aca="false">IF($C189="","",IFERROR(VLOOKUP($C189,Master_Mappings!$N$4:$S$134,4,FALSE()),""))</f>
        <v/>
      </c>
      <c r="M189" s="0" t="str">
        <f aca="false">IF($C189="","",IFERROR(VLOOKUP($C189,Master_Mappings!$N$4:$S$200,6,FALSE()),""))</f>
        <v/>
      </c>
    </row>
    <row r="190" customFormat="false" ht="13.5" hidden="false" customHeight="false" outlineLevel="0" collapsed="false">
      <c r="I190" s="1" t="str">
        <f aca="false">IF($C190="","",IFERROR(VLOOKUP($C190,Master_Mappings!$N$4:$S$200,3,FALSE()),"UNMAPPED"))</f>
        <v/>
      </c>
      <c r="J190" s="1" t="str">
        <f aca="false">IF($C190="","",IFERROR(VLOOKUP($C190,Master_Mappings!$N$4:$S$134,4,FALSE()),""))</f>
        <v/>
      </c>
      <c r="M190" s="0" t="str">
        <f aca="false">IF($C190="","",IFERROR(VLOOKUP($C190,Master_Mappings!$N$4:$S$200,6,FALSE()),""))</f>
        <v/>
      </c>
    </row>
    <row r="191" customFormat="false" ht="13.5" hidden="false" customHeight="false" outlineLevel="0" collapsed="false">
      <c r="I191" s="1" t="str">
        <f aca="false">IF($C191="","",IFERROR(VLOOKUP($C191,Master_Mappings!$N$4:$S$200,3,FALSE()),"UNMAPPED"))</f>
        <v/>
      </c>
      <c r="J191" s="1" t="str">
        <f aca="false">IF($C191="","",IFERROR(VLOOKUP($C191,Master_Mappings!$N$4:$S$134,4,FALSE()),""))</f>
        <v/>
      </c>
      <c r="M191" s="0" t="str">
        <f aca="false">IF($C191="","",IFERROR(VLOOKUP($C191,Master_Mappings!$N$4:$S$200,6,FALSE()),""))</f>
        <v/>
      </c>
    </row>
    <row r="192" customFormat="false" ht="13.5" hidden="false" customHeight="false" outlineLevel="0" collapsed="false">
      <c r="I192" s="1" t="str">
        <f aca="false">IF($C192="","",IFERROR(VLOOKUP($C192,Master_Mappings!$N$4:$S$200,3,FALSE()),"UNMAPPED"))</f>
        <v/>
      </c>
      <c r="J192" s="1" t="str">
        <f aca="false">IF($C192="","",IFERROR(VLOOKUP($C192,Master_Mappings!$N$4:$S$134,4,FALSE()),""))</f>
        <v/>
      </c>
      <c r="M192" s="0" t="str">
        <f aca="false">IF($C192="","",IFERROR(VLOOKUP($C192,Master_Mappings!$N$4:$S$200,6,FALSE()),""))</f>
        <v/>
      </c>
    </row>
    <row r="193" customFormat="false" ht="13.5" hidden="false" customHeight="false" outlineLevel="0" collapsed="false">
      <c r="I193" s="1" t="str">
        <f aca="false">IF($C193="","",IFERROR(VLOOKUP($C193,Master_Mappings!$N$4:$S$200,3,FALSE()),"UNMAPPED"))</f>
        <v/>
      </c>
      <c r="J193" s="1" t="str">
        <f aca="false">IF($C193="","",IFERROR(VLOOKUP($C193,Master_Mappings!$N$4:$S$134,4,FALSE()),""))</f>
        <v/>
      </c>
      <c r="M193" s="0" t="str">
        <f aca="false">IF($C193="","",IFERROR(VLOOKUP($C193,Master_Mappings!$N$4:$S$200,6,FALSE()),""))</f>
        <v/>
      </c>
    </row>
    <row r="194" customFormat="false" ht="13.5" hidden="false" customHeight="false" outlineLevel="0" collapsed="false">
      <c r="I194" s="1" t="str">
        <f aca="false">IF($C194="","",IFERROR(VLOOKUP($C194,Master_Mappings!$N$4:$S$200,3,FALSE()),"UNMAPPED"))</f>
        <v/>
      </c>
      <c r="J194" s="1" t="str">
        <f aca="false">IF($C194="","",IFERROR(VLOOKUP($C194,Master_Mappings!$N$4:$S$134,4,FALSE()),""))</f>
        <v/>
      </c>
      <c r="M194" s="0" t="str">
        <f aca="false">IF($C194="","",IFERROR(VLOOKUP($C194,Master_Mappings!$N$4:$S$200,6,FALSE()),""))</f>
        <v/>
      </c>
    </row>
    <row r="195" customFormat="false" ht="13.5" hidden="false" customHeight="false" outlineLevel="0" collapsed="false">
      <c r="I195" s="1" t="str">
        <f aca="false">IF($C195="","",IFERROR(VLOOKUP($C195,Master_Mappings!$N$4:$S$200,3,FALSE()),"UNMAPPED"))</f>
        <v/>
      </c>
      <c r="J195" s="1" t="str">
        <f aca="false">IF($C195="","",IFERROR(VLOOKUP($C195,Master_Mappings!$N$4:$S$134,4,FALSE()),""))</f>
        <v/>
      </c>
      <c r="M195" s="0" t="str">
        <f aca="false">IF($C195="","",IFERROR(VLOOKUP($C195,Master_Mappings!$N$4:$S$200,6,FALSE()),""))</f>
        <v/>
      </c>
    </row>
    <row r="196" customFormat="false" ht="13.5" hidden="false" customHeight="false" outlineLevel="0" collapsed="false">
      <c r="I196" s="1" t="str">
        <f aca="false">IF($C196="","",IFERROR(VLOOKUP($C196,Master_Mappings!$N$4:$S$200,3,FALSE()),"UNMAPPED"))</f>
        <v/>
      </c>
      <c r="J196" s="1" t="str">
        <f aca="false">IF($C196="","",IFERROR(VLOOKUP($C196,Master_Mappings!$N$4:$S$134,4,FALSE()),""))</f>
        <v/>
      </c>
      <c r="M196" s="0" t="str">
        <f aca="false">IF($C196="","",IFERROR(VLOOKUP($C196,Master_Mappings!$N$4:$S$200,6,FALSE()),""))</f>
        <v/>
      </c>
    </row>
    <row r="197" customFormat="false" ht="13.5" hidden="false" customHeight="false" outlineLevel="0" collapsed="false">
      <c r="I197" s="1" t="str">
        <f aca="false">IF($C197="","",IFERROR(VLOOKUP($C197,Master_Mappings!$N$4:$S$200,3,FALSE()),"UNMAPPED"))</f>
        <v/>
      </c>
      <c r="J197" s="1" t="str">
        <f aca="false">IF($C197="","",IFERROR(VLOOKUP($C197,Master_Mappings!$N$4:$S$134,4,FALSE()),""))</f>
        <v/>
      </c>
      <c r="M197" s="0" t="str">
        <f aca="false">IF($C197="","",IFERROR(VLOOKUP($C197,Master_Mappings!$N$4:$S$200,6,FALSE()),""))</f>
        <v/>
      </c>
    </row>
    <row r="198" customFormat="false" ht="13.5" hidden="false" customHeight="false" outlineLevel="0" collapsed="false">
      <c r="I198" s="1" t="str">
        <f aca="false">IF($C198="","",IFERROR(VLOOKUP($C198,Master_Mappings!$N$4:$S$200,3,FALSE()),"UNMAPPED"))</f>
        <v/>
      </c>
      <c r="J198" s="1" t="str">
        <f aca="false">IF($C198="","",IFERROR(VLOOKUP($C198,Master_Mappings!$N$4:$S$134,4,FALSE()),""))</f>
        <v/>
      </c>
      <c r="M198" s="0" t="str">
        <f aca="false">IF($C198="","",IFERROR(VLOOKUP($C198,Master_Mappings!$N$4:$S$200,6,FALSE()),""))</f>
        <v/>
      </c>
    </row>
    <row r="199" customFormat="false" ht="13.5" hidden="false" customHeight="false" outlineLevel="0" collapsed="false">
      <c r="I199" s="1" t="str">
        <f aca="false">IF($C199="","",IFERROR(VLOOKUP($C199,Master_Mappings!$N$4:$S$200,3,FALSE()),"UNMAPPED"))</f>
        <v/>
      </c>
      <c r="J199" s="1" t="str">
        <f aca="false">IF($C199="","",IFERROR(VLOOKUP($C199,Master_Mappings!$N$4:$S$134,4,FALSE()),""))</f>
        <v/>
      </c>
      <c r="M199" s="0" t="str">
        <f aca="false">IF($C199="","",IFERROR(VLOOKUP($C199,Master_Mappings!$N$4:$S$200,6,FALSE()),""))</f>
        <v/>
      </c>
    </row>
    <row r="200" customFormat="false" ht="13.5" hidden="false" customHeight="false" outlineLevel="0" collapsed="false">
      <c r="I200" s="1" t="str">
        <f aca="false">IF($C200="","",IFERROR(VLOOKUP($C200,Master_Mappings!$N$4:$S$200,3,FALSE()),"UNMAPPED"))</f>
        <v/>
      </c>
      <c r="J200" s="1" t="str">
        <f aca="false">IF($C200="","",IFERROR(VLOOKUP($C200,Master_Mappings!$N$4:$S$134,4,FALSE()),""))</f>
        <v/>
      </c>
      <c r="M200" s="0" t="str">
        <f aca="false">IF($C200="","",IFERROR(VLOOKUP($C200,Master_Mappings!$N$4:$S$200,6,FALSE()),""))</f>
        <v/>
      </c>
    </row>
    <row r="201" customFormat="false" ht="13.5" hidden="false" customHeight="false" outlineLevel="0" collapsed="false">
      <c r="I201" s="1" t="str">
        <f aca="false">IF($C201="","",IFERROR(VLOOKUP($C201,Master_Mappings!$N$4:$S$200,3,FALSE()),"UNMAPPED"))</f>
        <v/>
      </c>
      <c r="J201" s="1" t="str">
        <f aca="false">IF($C201="","",IFERROR(VLOOKUP($C201,Master_Mappings!$N$4:$S$134,4,FALSE()),""))</f>
        <v/>
      </c>
      <c r="M201" s="0" t="str">
        <f aca="false">IF($C201="","",IFERROR(VLOOKUP($C201,Master_Mappings!$N$4:$S$200,6,FALSE()),""))</f>
        <v/>
      </c>
    </row>
    <row r="202" customFormat="false" ht="13.5" hidden="false" customHeight="false" outlineLevel="0" collapsed="false">
      <c r="I202" s="1" t="str">
        <f aca="false">IF($C202="","",IFERROR(VLOOKUP($C202,Master_Mappings!$N$4:$S$200,3,FALSE()),"UNMAPPED"))</f>
        <v/>
      </c>
      <c r="J202" s="1" t="str">
        <f aca="false">IF($C202="","",IFERROR(VLOOKUP($C202,Master_Mappings!$N$4:$S$134,4,FALSE()),""))</f>
        <v/>
      </c>
      <c r="M202" s="0" t="str">
        <f aca="false">IF($C202="","",IFERROR(VLOOKUP($C202,Master_Mappings!$N$4:$S$200,6,FALSE()),""))</f>
        <v/>
      </c>
    </row>
    <row r="203" customFormat="false" ht="13.5" hidden="false" customHeight="false" outlineLevel="0" collapsed="false">
      <c r="I203" s="1" t="str">
        <f aca="false">IF($C203="","",IFERROR(VLOOKUP($C203,Master_Mappings!$N$4:$S$200,3,FALSE()),"UNMAPPED"))</f>
        <v/>
      </c>
      <c r="J203" s="1" t="str">
        <f aca="false">IF($C203="","",IFERROR(VLOOKUP($C203,Master_Mappings!$N$4:$S$134,4,FALSE()),""))</f>
        <v/>
      </c>
      <c r="M203" s="0" t="str">
        <f aca="false">IF($C203="","",IFERROR(VLOOKUP($C203,Master_Mappings!$N$4:$S$200,6,FALSE()),""))</f>
        <v/>
      </c>
    </row>
    <row r="204" customFormat="false" ht="13.5" hidden="false" customHeight="false" outlineLevel="0" collapsed="false">
      <c r="I204" s="1" t="str">
        <f aca="false">IF($C204="","",IFERROR(VLOOKUP($C204,Master_Mappings!$N$4:$S$200,3,FALSE()),"UNMAPPED"))</f>
        <v/>
      </c>
      <c r="J204" s="1" t="str">
        <f aca="false">IF($C204="","",IFERROR(VLOOKUP($C204,Master_Mappings!$N$4:$S$134,4,FALSE()),""))</f>
        <v/>
      </c>
      <c r="M204" s="0" t="str">
        <f aca="false">IF($C204="","",IFERROR(VLOOKUP($C204,Master_Mappings!$N$4:$S$200,6,FALSE()),""))</f>
        <v/>
      </c>
    </row>
    <row r="205" customFormat="false" ht="13.5" hidden="false" customHeight="false" outlineLevel="0" collapsed="false">
      <c r="I205" s="1" t="str">
        <f aca="false">IF($C205="","",IFERROR(VLOOKUP($C205,Master_Mappings!$N$4:$S$200,3,FALSE()),"UNMAPPED"))</f>
        <v/>
      </c>
      <c r="J205" s="1" t="str">
        <f aca="false">IF($C205="","",IFERROR(VLOOKUP($C205,Master_Mappings!$N$4:$S$134,4,FALSE()),""))</f>
        <v/>
      </c>
      <c r="M205" s="0" t="str">
        <f aca="false">IF($C205="","",IFERROR(VLOOKUP($C205,Master_Mappings!$N$4:$S$200,6,FALSE()),""))</f>
        <v/>
      </c>
    </row>
    <row r="206" customFormat="false" ht="13.5" hidden="false" customHeight="false" outlineLevel="0" collapsed="false">
      <c r="I206" s="1" t="str">
        <f aca="false">IF($C206="","",IFERROR(VLOOKUP($C206,Master_Mappings!$N$4:$S$200,3,FALSE()),"UNMAPPED"))</f>
        <v/>
      </c>
      <c r="J206" s="1" t="str">
        <f aca="false">IF($C206="","",IFERROR(VLOOKUP($C206,Master_Mappings!$N$4:$S$134,4,FALSE()),""))</f>
        <v/>
      </c>
      <c r="M206" s="0" t="str">
        <f aca="false">IF($C206="","",IFERROR(VLOOKUP($C206,Master_Mappings!$N$4:$S$200,6,FALSE()),""))</f>
        <v/>
      </c>
    </row>
    <row r="207" customFormat="false" ht="13.5" hidden="false" customHeight="false" outlineLevel="0" collapsed="false">
      <c r="I207" s="1" t="str">
        <f aca="false">IF($C207="","",IFERROR(VLOOKUP($C207,Master_Mappings!$N$4:$S$200,3,FALSE()),"UNMAPPED"))</f>
        <v/>
      </c>
      <c r="J207" s="1" t="str">
        <f aca="false">IF($C207="","",IFERROR(VLOOKUP($C207,Master_Mappings!$N$4:$S$134,4,FALSE()),""))</f>
        <v/>
      </c>
      <c r="M207" s="0" t="str">
        <f aca="false">IF($C207="","",IFERROR(VLOOKUP($C207,Master_Mappings!$N$4:$S$200,6,FALSE()),""))</f>
        <v/>
      </c>
    </row>
    <row r="208" customFormat="false" ht="13.5" hidden="false" customHeight="false" outlineLevel="0" collapsed="false">
      <c r="I208" s="1" t="str">
        <f aca="false">IF($C208="","",IFERROR(VLOOKUP($C208,Master_Mappings!$N$4:$S$200,3,FALSE()),"UNMAPPED"))</f>
        <v/>
      </c>
      <c r="J208" s="1" t="str">
        <f aca="false">IF($C208="","",IFERROR(VLOOKUP($C208,Master_Mappings!$N$4:$S$134,4,FALSE()),""))</f>
        <v/>
      </c>
      <c r="M208" s="0" t="str">
        <f aca="false">IF($C208="","",IFERROR(VLOOKUP($C208,Master_Mappings!$N$4:$S$200,6,FALSE()),""))</f>
        <v/>
      </c>
    </row>
    <row r="209" customFormat="false" ht="13.5" hidden="false" customHeight="false" outlineLevel="0" collapsed="false">
      <c r="I209" s="1" t="str">
        <f aca="false">IF($C209="","",IFERROR(VLOOKUP($C209,Master_Mappings!$N$4:$S$200,3,FALSE()),"UNMAPPED"))</f>
        <v/>
      </c>
      <c r="J209" s="1" t="str">
        <f aca="false">IF($C209="","",IFERROR(VLOOKUP($C209,Master_Mappings!$N$4:$S$134,4,FALSE()),""))</f>
        <v/>
      </c>
      <c r="M209" s="0" t="str">
        <f aca="false">IF($C209="","",IFERROR(VLOOKUP($C209,Master_Mappings!$N$4:$S$200,6,FALSE()),""))</f>
        <v/>
      </c>
    </row>
    <row r="210" customFormat="false" ht="13.5" hidden="false" customHeight="false" outlineLevel="0" collapsed="false">
      <c r="I210" s="1" t="str">
        <f aca="false">IF($C210="","",IFERROR(VLOOKUP($C210,Master_Mappings!$N$4:$S$200,3,FALSE()),"UNMAPPED"))</f>
        <v/>
      </c>
      <c r="J210" s="1" t="str">
        <f aca="false">IF($C210="","",IFERROR(VLOOKUP($C210,Master_Mappings!$N$4:$S$134,4,FALSE()),""))</f>
        <v/>
      </c>
      <c r="M210" s="0" t="str">
        <f aca="false">IF($C210="","",IFERROR(VLOOKUP($C210,Master_Mappings!$N$4:$S$200,6,FALSE()),""))</f>
        <v/>
      </c>
    </row>
    <row r="211" customFormat="false" ht="13.5" hidden="false" customHeight="false" outlineLevel="0" collapsed="false">
      <c r="I211" s="1" t="str">
        <f aca="false">IF($C211="","",IFERROR(VLOOKUP($C211,Master_Mappings!$N$4:$S$200,3,FALSE()),"UNMAPPED"))</f>
        <v/>
      </c>
      <c r="J211" s="1" t="str">
        <f aca="false">IF($C211="","",IFERROR(VLOOKUP($C211,Master_Mappings!$N$4:$S$134,4,FALSE()),""))</f>
        <v/>
      </c>
      <c r="M211" s="0" t="str">
        <f aca="false">IF($C211="","",IFERROR(VLOOKUP($C211,Master_Mappings!$N$4:$S$200,6,FALSE()),""))</f>
        <v/>
      </c>
    </row>
    <row r="212" customFormat="false" ht="13.5" hidden="false" customHeight="false" outlineLevel="0" collapsed="false">
      <c r="I212" s="1" t="str">
        <f aca="false">IF($C212="","",IFERROR(VLOOKUP($C212,Master_Mappings!$N$4:$S$200,3,FALSE()),"UNMAPPED"))</f>
        <v/>
      </c>
      <c r="J212" s="1" t="str">
        <f aca="false">IF($C212="","",IFERROR(VLOOKUP($C212,Master_Mappings!$N$4:$S$134,4,FALSE()),""))</f>
        <v/>
      </c>
      <c r="M212" s="0" t="str">
        <f aca="false">IF($C212="","",IFERROR(VLOOKUP($C212,Master_Mappings!$N$4:$S$200,6,FALSE()),""))</f>
        <v/>
      </c>
    </row>
    <row r="213" customFormat="false" ht="13.5" hidden="false" customHeight="false" outlineLevel="0" collapsed="false">
      <c r="I213" s="1" t="str">
        <f aca="false">IF($C213="","",IFERROR(VLOOKUP($C213,Master_Mappings!$N$4:$S$200,3,FALSE()),"UNMAPPED"))</f>
        <v/>
      </c>
      <c r="J213" s="1" t="str">
        <f aca="false">IF($C213="","",IFERROR(VLOOKUP($C213,Master_Mappings!$N$4:$S$134,4,FALSE()),""))</f>
        <v/>
      </c>
      <c r="M213" s="0" t="str">
        <f aca="false">IF($C213="","",IFERROR(VLOOKUP($C213,Master_Mappings!$N$4:$S$200,6,FALSE()),""))</f>
        <v/>
      </c>
    </row>
    <row r="214" customFormat="false" ht="13.5" hidden="false" customHeight="false" outlineLevel="0" collapsed="false">
      <c r="I214" s="1" t="str">
        <f aca="false">IF($C214="","",IFERROR(VLOOKUP($C214,Master_Mappings!$N$4:$S$200,3,FALSE()),"UNMAPPED"))</f>
        <v/>
      </c>
      <c r="J214" s="1" t="str">
        <f aca="false">IF($C214="","",IFERROR(VLOOKUP($C214,Master_Mappings!$N$4:$S$134,4,FALSE()),""))</f>
        <v/>
      </c>
      <c r="M214" s="0" t="str">
        <f aca="false">IF($C214="","",IFERROR(VLOOKUP($C214,Master_Mappings!$N$4:$S$200,6,FALSE()),""))</f>
        <v/>
      </c>
    </row>
    <row r="215" customFormat="false" ht="13.5" hidden="false" customHeight="false" outlineLevel="0" collapsed="false">
      <c r="I215" s="1" t="str">
        <f aca="false">IF($C215="","",IFERROR(VLOOKUP($C215,Master_Mappings!$N$4:$S$200,3,FALSE()),"UNMAPPED"))</f>
        <v/>
      </c>
      <c r="J215" s="1" t="str">
        <f aca="false">IF($C215="","",IFERROR(VLOOKUP($C215,Master_Mappings!$N$4:$S$134,4,FALSE()),""))</f>
        <v/>
      </c>
      <c r="M215" s="0" t="str">
        <f aca="false">IF($C215="","",IFERROR(VLOOKUP($C215,Master_Mappings!$N$4:$S$200,6,FALSE()),""))</f>
        <v/>
      </c>
    </row>
    <row r="216" customFormat="false" ht="13.5" hidden="false" customHeight="false" outlineLevel="0" collapsed="false">
      <c r="I216" s="1" t="str">
        <f aca="false">IF($C216="","",IFERROR(VLOOKUP($C216,Master_Mappings!$N$4:$S$200,3,FALSE()),"UNMAPPED"))</f>
        <v/>
      </c>
      <c r="J216" s="1" t="str">
        <f aca="false">IF($C216="","",IFERROR(VLOOKUP($C216,Master_Mappings!$N$4:$S$134,4,FALSE()),""))</f>
        <v/>
      </c>
      <c r="M216" s="0" t="str">
        <f aca="false">IF($C216="","",IFERROR(VLOOKUP($C216,Master_Mappings!$N$4:$S$200,6,FALSE()),""))</f>
        <v/>
      </c>
    </row>
    <row r="217" customFormat="false" ht="13.5" hidden="false" customHeight="false" outlineLevel="0" collapsed="false">
      <c r="I217" s="1" t="str">
        <f aca="false">IF($C217="","",IFERROR(VLOOKUP($C217,Master_Mappings!$N$4:$S$200,3,FALSE()),"UNMAPPED"))</f>
        <v/>
      </c>
      <c r="J217" s="1" t="str">
        <f aca="false">IF($C217="","",IFERROR(VLOOKUP($C217,Master_Mappings!$N$4:$S$134,4,FALSE()),""))</f>
        <v/>
      </c>
      <c r="M217" s="0" t="str">
        <f aca="false">IF($C217="","",IFERROR(VLOOKUP($C217,Master_Mappings!$N$4:$S$200,6,FALSE()),""))</f>
        <v/>
      </c>
    </row>
    <row r="218" customFormat="false" ht="13.5" hidden="false" customHeight="false" outlineLevel="0" collapsed="false">
      <c r="I218" s="1" t="str">
        <f aca="false">IF($C218="","",IFERROR(VLOOKUP($C218,Master_Mappings!$N$4:$S$200,3,FALSE()),"UNMAPPED"))</f>
        <v/>
      </c>
      <c r="J218" s="1" t="str">
        <f aca="false">IF($C218="","",IFERROR(VLOOKUP($C218,Master_Mappings!$N$4:$S$134,4,FALSE()),""))</f>
        <v/>
      </c>
      <c r="M218" s="0" t="str">
        <f aca="false">IF($C218="","",IFERROR(VLOOKUP($C218,Master_Mappings!$N$4:$S$200,6,FALSE()),""))</f>
        <v/>
      </c>
    </row>
    <row r="219" customFormat="false" ht="13.5" hidden="false" customHeight="false" outlineLevel="0" collapsed="false">
      <c r="I219" s="1" t="str">
        <f aca="false">IF($C219="","",IFERROR(VLOOKUP($C219,Master_Mappings!$N$4:$S$200,3,FALSE()),"UNMAPPED"))</f>
        <v/>
      </c>
      <c r="J219" s="1" t="str">
        <f aca="false">IF($C219="","",IFERROR(VLOOKUP($C219,Master_Mappings!$N$4:$S$134,4,FALSE()),""))</f>
        <v/>
      </c>
      <c r="M219" s="0" t="str">
        <f aca="false">IF($C219="","",IFERROR(VLOOKUP($C219,Master_Mappings!$N$4:$S$200,6,FALSE()),""))</f>
        <v/>
      </c>
    </row>
    <row r="220" customFormat="false" ht="13.5" hidden="false" customHeight="false" outlineLevel="0" collapsed="false">
      <c r="I220" s="1" t="str">
        <f aca="false">IF($C220="","",IFERROR(VLOOKUP($C220,Master_Mappings!$N$4:$S$200,3,FALSE()),"UNMAPPED"))</f>
        <v/>
      </c>
      <c r="J220" s="1" t="str">
        <f aca="false">IF($C220="","",IFERROR(VLOOKUP($C220,Master_Mappings!$N$4:$S$134,4,FALSE()),""))</f>
        <v/>
      </c>
      <c r="M220" s="0" t="str">
        <f aca="false">IF($C220="","",IFERROR(VLOOKUP($C220,Master_Mappings!$N$4:$S$200,6,FALSE()),""))</f>
        <v/>
      </c>
    </row>
    <row r="221" customFormat="false" ht="13.5" hidden="false" customHeight="false" outlineLevel="0" collapsed="false">
      <c r="I221" s="1" t="str">
        <f aca="false">IF($C221="","",IFERROR(VLOOKUP($C221,Master_Mappings!$N$4:$S$200,3,FALSE()),"UNMAPPED"))</f>
        <v/>
      </c>
      <c r="J221" s="1" t="str">
        <f aca="false">IF($C221="","",IFERROR(VLOOKUP($C221,Master_Mappings!$N$4:$S$134,4,FALSE()),""))</f>
        <v/>
      </c>
      <c r="M221" s="0" t="str">
        <f aca="false">IF($C221="","",IFERROR(VLOOKUP($C221,Master_Mappings!$N$4:$S$200,6,FALSE()),""))</f>
        <v/>
      </c>
    </row>
    <row r="222" customFormat="false" ht="13.5" hidden="false" customHeight="false" outlineLevel="0" collapsed="false">
      <c r="I222" s="1" t="str">
        <f aca="false">IF($C222="","",IFERROR(VLOOKUP($C222,Master_Mappings!$N$4:$S$200,3,FALSE()),"UNMAPPED"))</f>
        <v/>
      </c>
      <c r="J222" s="1" t="str">
        <f aca="false">IF($C222="","",IFERROR(VLOOKUP($C222,Master_Mappings!$N$4:$S$134,4,FALSE()),""))</f>
        <v/>
      </c>
      <c r="M222" s="0" t="str">
        <f aca="false">IF($C222="","",IFERROR(VLOOKUP($C222,Master_Mappings!$N$4:$S$200,6,FALSE()),""))</f>
        <v/>
      </c>
    </row>
    <row r="223" customFormat="false" ht="13.5" hidden="false" customHeight="false" outlineLevel="0" collapsed="false">
      <c r="I223" s="1" t="str">
        <f aca="false">IF($C223="","",IFERROR(VLOOKUP($C223,Master_Mappings!$N$4:$S$200,3,FALSE()),"UNMAPPED"))</f>
        <v/>
      </c>
      <c r="J223" s="1" t="str">
        <f aca="false">IF($C223="","",IFERROR(VLOOKUP($C223,Master_Mappings!$N$4:$S$134,4,FALSE()),""))</f>
        <v/>
      </c>
      <c r="M223" s="0" t="str">
        <f aca="false">IF($C223="","",IFERROR(VLOOKUP($C223,Master_Mappings!$N$4:$S$200,6,FALSE()),""))</f>
        <v/>
      </c>
    </row>
    <row r="224" customFormat="false" ht="13.5" hidden="false" customHeight="false" outlineLevel="0" collapsed="false">
      <c r="I224" s="1" t="str">
        <f aca="false">IF($C224="","",IFERROR(VLOOKUP($C224,Master_Mappings!$N$4:$S$200,3,FALSE()),"UNMAPPED"))</f>
        <v/>
      </c>
      <c r="J224" s="1" t="str">
        <f aca="false">IF($C224="","",IFERROR(VLOOKUP($C224,Master_Mappings!$N$4:$S$134,4,FALSE()),""))</f>
        <v/>
      </c>
      <c r="M224" s="0" t="str">
        <f aca="false">IF($C224="","",IFERROR(VLOOKUP($C224,Master_Mappings!$N$4:$S$200,6,FALSE()),""))</f>
        <v/>
      </c>
    </row>
    <row r="225" customFormat="false" ht="13.5" hidden="false" customHeight="false" outlineLevel="0" collapsed="false">
      <c r="I225" s="1" t="str">
        <f aca="false">IF($C225="","",IFERROR(VLOOKUP($C225,Master_Mappings!$N$4:$S$200,3,FALSE()),"UNMAPPED"))</f>
        <v/>
      </c>
      <c r="J225" s="1" t="str">
        <f aca="false">IF($C225="","",IFERROR(VLOOKUP($C225,Master_Mappings!$N$4:$S$134,4,FALSE()),""))</f>
        <v/>
      </c>
      <c r="M225" s="0" t="str">
        <f aca="false">IF($C225="","",IFERROR(VLOOKUP($C225,Master_Mappings!$N$4:$S$200,6,FALSE()),""))</f>
        <v/>
      </c>
    </row>
    <row r="226" customFormat="false" ht="13.5" hidden="false" customHeight="false" outlineLevel="0" collapsed="false">
      <c r="I226" s="1" t="str">
        <f aca="false">IF($C226="","",IFERROR(VLOOKUP($C226,Master_Mappings!$N$4:$S$200,3,FALSE()),"UNMAPPED"))</f>
        <v/>
      </c>
      <c r="J226" s="1" t="str">
        <f aca="false">IF($C226="","",IFERROR(VLOOKUP($C226,Master_Mappings!$N$4:$S$134,4,FALSE()),""))</f>
        <v/>
      </c>
      <c r="M226" s="0" t="str">
        <f aca="false">IF($C226="","",IFERROR(VLOOKUP($C226,Master_Mappings!$N$4:$S$200,6,FALSE()),""))</f>
        <v/>
      </c>
    </row>
    <row r="227" customFormat="false" ht="13.5" hidden="false" customHeight="false" outlineLevel="0" collapsed="false">
      <c r="I227" s="1" t="str">
        <f aca="false">IF($C227="","",IFERROR(VLOOKUP($C227,Master_Mappings!$N$4:$S$200,3,FALSE()),"UNMAPPED"))</f>
        <v/>
      </c>
      <c r="J227" s="1" t="str">
        <f aca="false">IF($C227="","",IFERROR(VLOOKUP($C227,Master_Mappings!$N$4:$S$134,4,FALSE()),""))</f>
        <v/>
      </c>
      <c r="M227" s="0" t="str">
        <f aca="false">IF($C227="","",IFERROR(VLOOKUP($C227,Master_Mappings!$N$4:$S$200,6,FALSE()),""))</f>
        <v/>
      </c>
    </row>
    <row r="228" customFormat="false" ht="13.5" hidden="false" customHeight="false" outlineLevel="0" collapsed="false">
      <c r="I228" s="1" t="str">
        <f aca="false">IF($C228="","",IFERROR(VLOOKUP($C228,Master_Mappings!$N$4:$S$200,3,FALSE()),"UNMAPPED"))</f>
        <v/>
      </c>
      <c r="J228" s="1" t="str">
        <f aca="false">IF($C228="","",IFERROR(VLOOKUP($C228,Master_Mappings!$N$4:$S$134,4,FALSE()),""))</f>
        <v/>
      </c>
      <c r="M228" s="0" t="str">
        <f aca="false">IF($C228="","",IFERROR(VLOOKUP($C228,Master_Mappings!$N$4:$S$200,6,FALSE()),""))</f>
        <v/>
      </c>
    </row>
    <row r="229" customFormat="false" ht="13.5" hidden="false" customHeight="false" outlineLevel="0" collapsed="false">
      <c r="I229" s="1" t="str">
        <f aca="false">IF($C229="","",IFERROR(VLOOKUP($C229,Master_Mappings!$N$4:$S$200,3,FALSE()),"UNMAPPED"))</f>
        <v/>
      </c>
      <c r="J229" s="1" t="str">
        <f aca="false">IF($C229="","",IFERROR(VLOOKUP($C229,Master_Mappings!$N$4:$S$134,4,FALSE()),""))</f>
        <v/>
      </c>
      <c r="M229" s="0" t="str">
        <f aca="false">IF($C229="","",IFERROR(VLOOKUP($C229,Master_Mappings!$N$4:$S$200,6,FALSE()),""))</f>
        <v/>
      </c>
    </row>
    <row r="230" customFormat="false" ht="13.5" hidden="false" customHeight="false" outlineLevel="0" collapsed="false">
      <c r="I230" s="1" t="str">
        <f aca="false">IF($C230="","",IFERROR(VLOOKUP($C230,Master_Mappings!$N$4:$S$200,3,FALSE()),"UNMAPPED"))</f>
        <v/>
      </c>
      <c r="J230" s="1" t="str">
        <f aca="false">IF($C230="","",IFERROR(VLOOKUP($C230,Master_Mappings!$N$4:$S$134,4,FALSE()),""))</f>
        <v/>
      </c>
      <c r="M230" s="0" t="str">
        <f aca="false">IF($C230="","",IFERROR(VLOOKUP($C230,Master_Mappings!$N$4:$S$200,6,FALSE()),""))</f>
        <v/>
      </c>
    </row>
    <row r="231" customFormat="false" ht="13.5" hidden="false" customHeight="false" outlineLevel="0" collapsed="false">
      <c r="I231" s="1" t="str">
        <f aca="false">IF($C231="","",IFERROR(VLOOKUP($C231,Master_Mappings!$N$4:$S$200,3,FALSE()),"UNMAPPED"))</f>
        <v/>
      </c>
      <c r="J231" s="1" t="str">
        <f aca="false">IF($C231="","",IFERROR(VLOOKUP($C231,Master_Mappings!$N$4:$S$134,4,FALSE()),""))</f>
        <v/>
      </c>
      <c r="M231" s="0" t="str">
        <f aca="false">IF($C231="","",IFERROR(VLOOKUP($C231,Master_Mappings!$N$4:$S$200,6,FALSE()),""))</f>
        <v/>
      </c>
    </row>
    <row r="232" customFormat="false" ht="13.5" hidden="false" customHeight="false" outlineLevel="0" collapsed="false">
      <c r="I232" s="1" t="str">
        <f aca="false">IF($C232="","",IFERROR(VLOOKUP($C232,Master_Mappings!$N$4:$S$200,3,FALSE()),"UNMAPPED"))</f>
        <v/>
      </c>
      <c r="J232" s="1" t="str">
        <f aca="false">IF($C232="","",IFERROR(VLOOKUP($C232,Master_Mappings!$N$4:$S$134,4,FALSE()),""))</f>
        <v/>
      </c>
      <c r="M232" s="0" t="str">
        <f aca="false">IF($C232="","",IFERROR(VLOOKUP($C232,Master_Mappings!$N$4:$S$200,6,FALSE()),""))</f>
        <v/>
      </c>
    </row>
    <row r="233" customFormat="false" ht="13.5" hidden="false" customHeight="false" outlineLevel="0" collapsed="false">
      <c r="I233" s="1" t="str">
        <f aca="false">IF($C233="","",IFERROR(VLOOKUP($C233,Master_Mappings!$N$4:$S$200,3,FALSE()),"UNMAPPED"))</f>
        <v/>
      </c>
      <c r="J233" s="1" t="str">
        <f aca="false">IF($C233="","",IFERROR(VLOOKUP($C233,Master_Mappings!$N$4:$S$134,4,FALSE()),""))</f>
        <v/>
      </c>
      <c r="M233" s="0" t="str">
        <f aca="false">IF($C233="","",IFERROR(VLOOKUP($C233,Master_Mappings!$N$4:$S$200,6,FALSE()),""))</f>
        <v/>
      </c>
    </row>
    <row r="234" customFormat="false" ht="13.5" hidden="false" customHeight="false" outlineLevel="0" collapsed="false">
      <c r="I234" s="1" t="str">
        <f aca="false">IF($C234="","",IFERROR(VLOOKUP($C234,Master_Mappings!$N$4:$S$200,3,FALSE()),"UNMAPPED"))</f>
        <v/>
      </c>
      <c r="J234" s="1" t="str">
        <f aca="false">IF($C234="","",IFERROR(VLOOKUP($C234,Master_Mappings!$N$4:$S$134,4,FALSE()),""))</f>
        <v/>
      </c>
      <c r="M234" s="0" t="str">
        <f aca="false">IF($C234="","",IFERROR(VLOOKUP($C234,Master_Mappings!$N$4:$S$200,6,FALSE()),""))</f>
        <v/>
      </c>
    </row>
    <row r="235" customFormat="false" ht="13.5" hidden="false" customHeight="false" outlineLevel="0" collapsed="false">
      <c r="I235" s="1" t="str">
        <f aca="false">IF($C235="","",IFERROR(VLOOKUP($C235,Master_Mappings!$N$4:$S$200,3,FALSE()),"UNMAPPED"))</f>
        <v/>
      </c>
      <c r="J235" s="1" t="str">
        <f aca="false">IF($C235="","",IFERROR(VLOOKUP($C235,Master_Mappings!$N$4:$S$134,4,FALSE()),""))</f>
        <v/>
      </c>
      <c r="M235" s="0" t="str">
        <f aca="false">IF($C235="","",IFERROR(VLOOKUP($C235,Master_Mappings!$N$4:$S$200,6,FALSE()),""))</f>
        <v/>
      </c>
    </row>
    <row r="236" customFormat="false" ht="13.5" hidden="false" customHeight="false" outlineLevel="0" collapsed="false">
      <c r="I236" s="1" t="str">
        <f aca="false">IF($C236="","",IFERROR(VLOOKUP($C236,Master_Mappings!$N$4:$S$200,3,FALSE()),"UNMAPPED"))</f>
        <v/>
      </c>
      <c r="J236" s="1" t="str">
        <f aca="false">IF($C236="","",IFERROR(VLOOKUP($C236,Master_Mappings!$N$4:$S$134,4,FALSE()),""))</f>
        <v/>
      </c>
      <c r="M236" s="0" t="str">
        <f aca="false">IF($C236="","",IFERROR(VLOOKUP($C236,Master_Mappings!$N$4:$S$200,6,FALSE()),""))</f>
        <v/>
      </c>
    </row>
    <row r="237" customFormat="false" ht="13.5" hidden="false" customHeight="false" outlineLevel="0" collapsed="false">
      <c r="I237" s="1" t="str">
        <f aca="false">IF($C237="","",IFERROR(VLOOKUP($C237,Master_Mappings!$N$4:$S$200,3,FALSE()),"UNMAPPED"))</f>
        <v/>
      </c>
      <c r="J237" s="1" t="str">
        <f aca="false">IF($C237="","",IFERROR(VLOOKUP($C237,Master_Mappings!$N$4:$S$134,4,FALSE()),""))</f>
        <v/>
      </c>
      <c r="M237" s="0" t="str">
        <f aca="false">IF($C237="","",IFERROR(VLOOKUP($C237,Master_Mappings!$N$4:$S$200,6,FALSE()),""))</f>
        <v/>
      </c>
    </row>
    <row r="238" customFormat="false" ht="13.5" hidden="false" customHeight="false" outlineLevel="0" collapsed="false">
      <c r="I238" s="1" t="str">
        <f aca="false">IF($C238="","",IFERROR(VLOOKUP($C238,Master_Mappings!$N$4:$S$200,3,FALSE()),"UNMAPPED"))</f>
        <v/>
      </c>
      <c r="J238" s="1" t="str">
        <f aca="false">IF($C238="","",IFERROR(VLOOKUP($C238,Master_Mappings!$N$4:$S$134,4,FALSE()),""))</f>
        <v/>
      </c>
      <c r="M238" s="0" t="str">
        <f aca="false">IF($C238="","",IFERROR(VLOOKUP($C238,Master_Mappings!$N$4:$S$200,6,FALSE()),""))</f>
        <v/>
      </c>
    </row>
    <row r="239" customFormat="false" ht="13.5" hidden="false" customHeight="false" outlineLevel="0" collapsed="false">
      <c r="I239" s="1" t="str">
        <f aca="false">IF($C239="","",IFERROR(VLOOKUP($C239,Master_Mappings!$N$4:$S$200,3,FALSE()),"UNMAPPED"))</f>
        <v/>
      </c>
      <c r="J239" s="1" t="str">
        <f aca="false">IF($C239="","",IFERROR(VLOOKUP($C239,Master_Mappings!$N$4:$S$134,4,FALSE()),""))</f>
        <v/>
      </c>
      <c r="M239" s="0" t="str">
        <f aca="false">IF($C239="","",IFERROR(VLOOKUP($C239,Master_Mappings!$N$4:$S$200,6,FALSE()),""))</f>
        <v/>
      </c>
    </row>
    <row r="240" customFormat="false" ht="13.5" hidden="false" customHeight="false" outlineLevel="0" collapsed="false">
      <c r="I240" s="1" t="str">
        <f aca="false">IF($C240="","",IFERROR(VLOOKUP($C240,Master_Mappings!$N$4:$S$200,3,FALSE()),"UNMAPPED"))</f>
        <v/>
      </c>
      <c r="J240" s="1" t="str">
        <f aca="false">IF($C240="","",IFERROR(VLOOKUP($C240,Master_Mappings!$N$4:$S$134,4,FALSE()),""))</f>
        <v/>
      </c>
      <c r="M240" s="0" t="str">
        <f aca="false">IF($C240="","",IFERROR(VLOOKUP($C240,Master_Mappings!$N$4:$S$200,6,FALSE()),""))</f>
        <v/>
      </c>
    </row>
    <row r="241" customFormat="false" ht="13.5" hidden="false" customHeight="false" outlineLevel="0" collapsed="false">
      <c r="I241" s="1" t="str">
        <f aca="false">IF($C241="","",IFERROR(VLOOKUP($C241,Master_Mappings!$N$4:$S$200,3,FALSE()),"UNMAPPED"))</f>
        <v/>
      </c>
      <c r="J241" s="1" t="str">
        <f aca="false">IF($C241="","",IFERROR(VLOOKUP($C241,Master_Mappings!$N$4:$S$134,4,FALSE()),""))</f>
        <v/>
      </c>
      <c r="M241" s="0" t="str">
        <f aca="false">IF($C241="","",IFERROR(VLOOKUP($C241,Master_Mappings!$N$4:$S$200,6,FALSE()),""))</f>
        <v/>
      </c>
    </row>
    <row r="242" customFormat="false" ht="13.5" hidden="false" customHeight="false" outlineLevel="0" collapsed="false">
      <c r="I242" s="1" t="str">
        <f aca="false">IF($C242="","",IFERROR(VLOOKUP($C242,Master_Mappings!$N$4:$S$200,3,FALSE()),"UNMAPPED"))</f>
        <v/>
      </c>
      <c r="J242" s="1" t="str">
        <f aca="false">IF($C242="","",IFERROR(VLOOKUP($C242,Master_Mappings!$N$4:$S$134,4,FALSE()),""))</f>
        <v/>
      </c>
      <c r="M242" s="0" t="str">
        <f aca="false">IF($C242="","",IFERROR(VLOOKUP($C242,Master_Mappings!$N$4:$S$200,6,FALSE()),""))</f>
        <v/>
      </c>
    </row>
    <row r="243" customFormat="false" ht="13.5" hidden="false" customHeight="false" outlineLevel="0" collapsed="false">
      <c r="I243" s="1" t="str">
        <f aca="false">IF($C243="","",IFERROR(VLOOKUP($C243,Master_Mappings!$N$4:$S$200,3,FALSE()),"UNMAPPED"))</f>
        <v/>
      </c>
      <c r="J243" s="1" t="str">
        <f aca="false">IF($C243="","",IFERROR(VLOOKUP($C243,Master_Mappings!$N$4:$S$134,4,FALSE()),""))</f>
        <v/>
      </c>
      <c r="M243" s="0" t="str">
        <f aca="false">IF($C243="","",IFERROR(VLOOKUP($C243,Master_Mappings!$N$4:$S$200,6,FALSE()),""))</f>
        <v/>
      </c>
    </row>
    <row r="244" customFormat="false" ht="13.5" hidden="false" customHeight="false" outlineLevel="0" collapsed="false">
      <c r="I244" s="1" t="str">
        <f aca="false">IF($C244="","",IFERROR(VLOOKUP($C244,Master_Mappings!$N$4:$S$200,3,FALSE()),"UNMAPPED"))</f>
        <v/>
      </c>
      <c r="J244" s="1" t="str">
        <f aca="false">IF($C244="","",IFERROR(VLOOKUP($C244,Master_Mappings!$N$4:$S$134,4,FALSE()),""))</f>
        <v/>
      </c>
      <c r="M244" s="0" t="str">
        <f aca="false">IF($C244="","",IFERROR(VLOOKUP($C244,Master_Mappings!$N$4:$S$200,6,FALSE()),""))</f>
        <v/>
      </c>
    </row>
    <row r="245" customFormat="false" ht="13.5" hidden="false" customHeight="false" outlineLevel="0" collapsed="false">
      <c r="I245" s="1" t="str">
        <f aca="false">IF($C245="","",IFERROR(VLOOKUP($C245,Master_Mappings!$N$4:$S$200,3,FALSE()),"UNMAPPED"))</f>
        <v/>
      </c>
      <c r="J245" s="1" t="str">
        <f aca="false">IF($C245="","",IFERROR(VLOOKUP($C245,Master_Mappings!$N$4:$S$134,4,FALSE()),""))</f>
        <v/>
      </c>
      <c r="M245" s="0" t="str">
        <f aca="false">IF($C245="","",IFERROR(VLOOKUP($C245,Master_Mappings!$N$4:$S$200,6,FALSE()),""))</f>
        <v/>
      </c>
    </row>
    <row r="246" customFormat="false" ht="13.5" hidden="false" customHeight="false" outlineLevel="0" collapsed="false">
      <c r="I246" s="1" t="str">
        <f aca="false">IF($C246="","",IFERROR(VLOOKUP($C246,Master_Mappings!$N$4:$S$200,3,FALSE()),"UNMAPPED"))</f>
        <v/>
      </c>
      <c r="J246" s="1" t="str">
        <f aca="false">IF($C246="","",IFERROR(VLOOKUP($C246,Master_Mappings!$N$4:$S$134,4,FALSE()),""))</f>
        <v/>
      </c>
      <c r="M246" s="0" t="str">
        <f aca="false">IF($C246="","",IFERROR(VLOOKUP($C246,Master_Mappings!$N$4:$S$200,6,FALSE()),""))</f>
        <v/>
      </c>
    </row>
    <row r="247" customFormat="false" ht="13.5" hidden="false" customHeight="false" outlineLevel="0" collapsed="false">
      <c r="I247" s="1" t="str">
        <f aca="false">IF($C247="","",IFERROR(VLOOKUP($C247,Master_Mappings!$N$4:$S$200,3,FALSE()),"UNMAPPED"))</f>
        <v/>
      </c>
      <c r="J247" s="1" t="str">
        <f aca="false">IF($C247="","",IFERROR(VLOOKUP($C247,Master_Mappings!$N$4:$S$134,4,FALSE()),""))</f>
        <v/>
      </c>
      <c r="M247" s="0" t="str">
        <f aca="false">IF($C247="","",IFERROR(VLOOKUP($C247,Master_Mappings!$N$4:$S$200,6,FALSE()),""))</f>
        <v/>
      </c>
    </row>
    <row r="248" customFormat="false" ht="13.5" hidden="false" customHeight="false" outlineLevel="0" collapsed="false">
      <c r="I248" s="1" t="str">
        <f aca="false">IF($C248="","",IFERROR(VLOOKUP($C248,Master_Mappings!$N$4:$S$200,3,FALSE()),"UNMAPPED"))</f>
        <v/>
      </c>
      <c r="J248" s="1" t="str">
        <f aca="false">IF($C248="","",IFERROR(VLOOKUP($C248,Master_Mappings!$N$4:$S$134,4,FALSE()),""))</f>
        <v/>
      </c>
      <c r="M248" s="0" t="str">
        <f aca="false">IF($C248="","",IFERROR(VLOOKUP($C248,Master_Mappings!$N$4:$S$200,6,FALSE()),""))</f>
        <v/>
      </c>
    </row>
    <row r="249" customFormat="false" ht="13.5" hidden="false" customHeight="false" outlineLevel="0" collapsed="false">
      <c r="I249" s="1" t="str">
        <f aca="false">IF($C249="","",IFERROR(VLOOKUP($C249,Master_Mappings!$N$4:$S$200,3,FALSE()),"UNMAPPED"))</f>
        <v/>
      </c>
      <c r="J249" s="1" t="str">
        <f aca="false">IF($C249="","",IFERROR(VLOOKUP($C249,Master_Mappings!$N$4:$S$134,4,FALSE()),""))</f>
        <v/>
      </c>
      <c r="M249" s="0" t="str">
        <f aca="false">IF($C249="","",IFERROR(VLOOKUP($C249,Master_Mappings!$N$4:$S$200,6,FALSE()),""))</f>
        <v/>
      </c>
    </row>
    <row r="250" customFormat="false" ht="13.5" hidden="false" customHeight="false" outlineLevel="0" collapsed="false">
      <c r="I250" s="1" t="str">
        <f aca="false">IF($C250="","",IFERROR(VLOOKUP($C250,Master_Mappings!$N$4:$S$200,3,FALSE()),"UNMAPPED"))</f>
        <v/>
      </c>
      <c r="J250" s="1" t="str">
        <f aca="false">IF($C250="","",IFERROR(VLOOKUP($C250,Master_Mappings!$N$4:$S$134,4,FALSE()),""))</f>
        <v/>
      </c>
      <c r="M250" s="0" t="str">
        <f aca="false">IF($C250="","",IFERROR(VLOOKUP($C250,Master_Mappings!$N$4:$S$200,6,FALSE()),""))</f>
        <v/>
      </c>
    </row>
    <row r="251" customFormat="false" ht="13.5" hidden="false" customHeight="false" outlineLevel="0" collapsed="false">
      <c r="I251" s="1" t="str">
        <f aca="false">IF($C251="","",IFERROR(VLOOKUP($C251,Master_Mappings!$N$4:$S$200,3,FALSE()),"UNMAPPED"))</f>
        <v/>
      </c>
      <c r="J251" s="1" t="str">
        <f aca="false">IF($C251="","",IFERROR(VLOOKUP($C251,Master_Mappings!$N$4:$S$134,4,FALSE()),""))</f>
        <v/>
      </c>
      <c r="M251" s="0" t="str">
        <f aca="false">IF($C251="","",IFERROR(VLOOKUP($C251,Master_Mappings!$N$4:$S$200,6,FALSE()),""))</f>
        <v/>
      </c>
    </row>
    <row r="252" customFormat="false" ht="13.5" hidden="false" customHeight="false" outlineLevel="0" collapsed="false">
      <c r="I252" s="1" t="str">
        <f aca="false">IF($C252="","",IFERROR(VLOOKUP($C252,Master_Mappings!$N$4:$S$200,3,FALSE()),"UNMAPPED"))</f>
        <v/>
      </c>
      <c r="J252" s="1" t="str">
        <f aca="false">IF($C252="","",IFERROR(VLOOKUP($C252,Master_Mappings!$N$4:$S$134,4,FALSE()),""))</f>
        <v/>
      </c>
      <c r="M252" s="0" t="str">
        <f aca="false">IF($C252="","",IFERROR(VLOOKUP($C252,Master_Mappings!$N$4:$S$200,6,FALSE()),""))</f>
        <v/>
      </c>
    </row>
    <row r="253" customFormat="false" ht="13.5" hidden="false" customHeight="false" outlineLevel="0" collapsed="false">
      <c r="I253" s="1" t="str">
        <f aca="false">IF($C253="","",IFERROR(VLOOKUP($C253,Master_Mappings!$N$4:$S$200,3,FALSE()),"UNMAPPED"))</f>
        <v/>
      </c>
      <c r="J253" s="1" t="str">
        <f aca="false">IF($C253="","",IFERROR(VLOOKUP($C253,Master_Mappings!$N$4:$S$134,4,FALSE()),""))</f>
        <v/>
      </c>
      <c r="M253" s="0" t="str">
        <f aca="false">IF($C253="","",IFERROR(VLOOKUP($C253,Master_Mappings!$N$4:$S$200,6,FALSE()),""))</f>
        <v/>
      </c>
    </row>
    <row r="254" customFormat="false" ht="13.5" hidden="false" customHeight="false" outlineLevel="0" collapsed="false">
      <c r="I254" s="1" t="str">
        <f aca="false">IF($C254="","",IFERROR(VLOOKUP($C254,Master_Mappings!$N$4:$S$200,3,FALSE()),"UNMAPPED"))</f>
        <v/>
      </c>
      <c r="J254" s="1" t="str">
        <f aca="false">IF($C254="","",IFERROR(VLOOKUP($C254,Master_Mappings!$N$4:$S$134,4,FALSE()),""))</f>
        <v/>
      </c>
      <c r="M254" s="0" t="str">
        <f aca="false">IF($C254="","",IFERROR(VLOOKUP($C254,Master_Mappings!$N$4:$S$200,6,FALSE()),""))</f>
        <v/>
      </c>
    </row>
    <row r="255" customFormat="false" ht="13.5" hidden="false" customHeight="false" outlineLevel="0" collapsed="false">
      <c r="I255" s="1" t="str">
        <f aca="false">IF($C255="","",IFERROR(VLOOKUP($C255,Master_Mappings!$N$4:$S$200,3,FALSE()),"UNMAPPED"))</f>
        <v/>
      </c>
      <c r="J255" s="1" t="str">
        <f aca="false">IF($C255="","",IFERROR(VLOOKUP($C255,Master_Mappings!$N$4:$S$134,4,FALSE()),""))</f>
        <v/>
      </c>
      <c r="M255" s="0" t="str">
        <f aca="false">IF($C255="","",IFERROR(VLOOKUP($C255,Master_Mappings!$N$4:$S$200,6,FALSE()),""))</f>
        <v/>
      </c>
    </row>
    <row r="256" customFormat="false" ht="13.5" hidden="false" customHeight="false" outlineLevel="0" collapsed="false">
      <c r="I256" s="1" t="str">
        <f aca="false">IF($C256="","",IFERROR(VLOOKUP($C256,Master_Mappings!$N$4:$S$200,3,FALSE()),"UNMAPPED"))</f>
        <v/>
      </c>
      <c r="J256" s="1" t="str">
        <f aca="false">IF($C256="","",IFERROR(VLOOKUP($C256,Master_Mappings!$N$4:$S$134,4,FALSE()),""))</f>
        <v/>
      </c>
      <c r="M256" s="0" t="str">
        <f aca="false">IF($C256="","",IFERROR(VLOOKUP($C256,Master_Mappings!$N$4:$S$200,6,FALSE()),""))</f>
        <v/>
      </c>
    </row>
    <row r="257" customFormat="false" ht="13.5" hidden="false" customHeight="false" outlineLevel="0" collapsed="false">
      <c r="I257" s="1" t="str">
        <f aca="false">IF($C257="","",IFERROR(VLOOKUP($C257,Master_Mappings!$N$4:$S$200,3,FALSE()),"UNMAPPED"))</f>
        <v/>
      </c>
      <c r="J257" s="1" t="str">
        <f aca="false">IF($C257="","",IFERROR(VLOOKUP($C257,Master_Mappings!$N$4:$S$134,4,FALSE()),""))</f>
        <v/>
      </c>
      <c r="M257" s="0" t="str">
        <f aca="false">IF($C257="","",IFERROR(VLOOKUP($C257,Master_Mappings!$N$4:$S$200,6,FALSE()),""))</f>
        <v/>
      </c>
    </row>
    <row r="258" customFormat="false" ht="13.5" hidden="false" customHeight="false" outlineLevel="0" collapsed="false">
      <c r="I258" s="1" t="str">
        <f aca="false">IF($C258="","",IFERROR(VLOOKUP($C258,Master_Mappings!$N$4:$S$200,3,FALSE()),"UNMAPPED"))</f>
        <v/>
      </c>
      <c r="J258" s="1" t="str">
        <f aca="false">IF($C258="","",IFERROR(VLOOKUP($C258,Master_Mappings!$N$4:$S$134,4,FALSE()),""))</f>
        <v/>
      </c>
      <c r="M258" s="0" t="str">
        <f aca="false">IF($C258="","",IFERROR(VLOOKUP($C258,Master_Mappings!$N$4:$S$200,6,FALSE()),""))</f>
        <v/>
      </c>
    </row>
    <row r="259" customFormat="false" ht="13.5" hidden="false" customHeight="false" outlineLevel="0" collapsed="false">
      <c r="I259" s="1" t="str">
        <f aca="false">IF($C259="","",IFERROR(VLOOKUP($C259,Master_Mappings!$N$4:$S$200,3,FALSE()),"UNMAPPED"))</f>
        <v/>
      </c>
      <c r="J259" s="1" t="str">
        <f aca="false">IF($C259="","",IFERROR(VLOOKUP($C259,Master_Mappings!$N$4:$S$134,4,FALSE()),""))</f>
        <v/>
      </c>
      <c r="M259" s="0" t="str">
        <f aca="false">IF($C259="","",IFERROR(VLOOKUP($C259,Master_Mappings!$N$4:$S$200,6,FALSE()),""))</f>
        <v/>
      </c>
    </row>
    <row r="260" customFormat="false" ht="13.5" hidden="false" customHeight="false" outlineLevel="0" collapsed="false">
      <c r="I260" s="1" t="str">
        <f aca="false">IF($C260="","",IFERROR(VLOOKUP($C260,Master_Mappings!$N$4:$S$200,3,FALSE()),"UNMAPPED"))</f>
        <v/>
      </c>
      <c r="J260" s="1" t="str">
        <f aca="false">IF($C260="","",IFERROR(VLOOKUP($C260,Master_Mappings!$N$4:$S$134,4,FALSE()),""))</f>
        <v/>
      </c>
      <c r="M260" s="0" t="str">
        <f aca="false">IF($C260="","",IFERROR(VLOOKUP($C260,Master_Mappings!$N$4:$S$200,6,FALSE()),""))</f>
        <v/>
      </c>
    </row>
    <row r="261" customFormat="false" ht="13.5" hidden="false" customHeight="false" outlineLevel="0" collapsed="false">
      <c r="I261" s="1" t="str">
        <f aca="false">IF($C261="","",IFERROR(VLOOKUP($C261,Master_Mappings!$N$4:$S$200,3,FALSE()),"UNMAPPED"))</f>
        <v/>
      </c>
      <c r="J261" s="1" t="str">
        <f aca="false">IF($C261="","",IFERROR(VLOOKUP($C261,Master_Mappings!$N$4:$S$134,4,FALSE()),""))</f>
        <v/>
      </c>
      <c r="M261" s="0" t="str">
        <f aca="false">IF($C261="","",IFERROR(VLOOKUP($C261,Master_Mappings!$N$4:$S$200,6,FALSE()),""))</f>
        <v/>
      </c>
    </row>
    <row r="262" customFormat="false" ht="13.5" hidden="false" customHeight="false" outlineLevel="0" collapsed="false">
      <c r="I262" s="1" t="str">
        <f aca="false">IF($C262="","",IFERROR(VLOOKUP($C262,Master_Mappings!$N$4:$S$200,3,FALSE()),"UNMAPPED"))</f>
        <v/>
      </c>
      <c r="J262" s="1" t="str">
        <f aca="false">IF($C262="","",IFERROR(VLOOKUP($C262,Master_Mappings!$N$4:$S$134,4,FALSE()),""))</f>
        <v/>
      </c>
      <c r="M262" s="0" t="str">
        <f aca="false">IF($C262="","",IFERROR(VLOOKUP($C262,Master_Mappings!$N$4:$S$200,6,FALSE()),""))</f>
        <v/>
      </c>
    </row>
    <row r="263" customFormat="false" ht="13.5" hidden="false" customHeight="false" outlineLevel="0" collapsed="false">
      <c r="I263" s="1" t="str">
        <f aca="false">IF($C263="","",IFERROR(VLOOKUP($C263,Master_Mappings!$N$4:$S$200,3,FALSE()),"UNMAPPED"))</f>
        <v/>
      </c>
      <c r="J263" s="1" t="str">
        <f aca="false">IF($C263="","",IFERROR(VLOOKUP($C263,Master_Mappings!$N$4:$S$134,4,FALSE()),""))</f>
        <v/>
      </c>
      <c r="M263" s="0" t="str">
        <f aca="false">IF($C263="","",IFERROR(VLOOKUP($C263,Master_Mappings!$N$4:$S$200,6,FALSE()),""))</f>
        <v/>
      </c>
    </row>
    <row r="264" customFormat="false" ht="13.5" hidden="false" customHeight="false" outlineLevel="0" collapsed="false">
      <c r="I264" s="1" t="str">
        <f aca="false">IF($C264="","",IFERROR(VLOOKUP($C264,Master_Mappings!$N$4:$S$200,3,FALSE()),"UNMAPPED"))</f>
        <v/>
      </c>
      <c r="J264" s="1" t="str">
        <f aca="false">IF($C264="","",IFERROR(VLOOKUP($C264,Master_Mappings!$N$4:$S$134,4,FALSE()),""))</f>
        <v/>
      </c>
      <c r="M264" s="0" t="str">
        <f aca="false">IF($C264="","",IFERROR(VLOOKUP($C264,Master_Mappings!$N$4:$S$200,6,FALSE()),""))</f>
        <v/>
      </c>
    </row>
    <row r="265" customFormat="false" ht="13.5" hidden="false" customHeight="false" outlineLevel="0" collapsed="false">
      <c r="I265" s="1" t="str">
        <f aca="false">IF($C265="","",IFERROR(VLOOKUP($C265,Master_Mappings!$N$4:$S$200,3,FALSE()),"UNMAPPED"))</f>
        <v/>
      </c>
      <c r="J265" s="1" t="str">
        <f aca="false">IF($C265="","",IFERROR(VLOOKUP($C265,Master_Mappings!$N$4:$S$134,4,FALSE()),""))</f>
        <v/>
      </c>
      <c r="M265" s="0" t="str">
        <f aca="false">IF($C265="","",IFERROR(VLOOKUP($C265,Master_Mappings!$N$4:$S$200,6,FALSE()),""))</f>
        <v/>
      </c>
    </row>
    <row r="266" customFormat="false" ht="13.5" hidden="false" customHeight="false" outlineLevel="0" collapsed="false">
      <c r="I266" s="1" t="str">
        <f aca="false">IF($C266="","",IFERROR(VLOOKUP($C266,Master_Mappings!$N$4:$S$200,3,FALSE()),"UNMAPPED"))</f>
        <v/>
      </c>
      <c r="J266" s="1" t="str">
        <f aca="false">IF($C266="","",IFERROR(VLOOKUP($C266,Master_Mappings!$N$4:$S$134,4,FALSE()),""))</f>
        <v/>
      </c>
      <c r="M266" s="0" t="str">
        <f aca="false">IF($C266="","",IFERROR(VLOOKUP($C266,Master_Mappings!$N$4:$S$200,6,FALSE()),""))</f>
        <v/>
      </c>
    </row>
    <row r="267" customFormat="false" ht="13.5" hidden="false" customHeight="false" outlineLevel="0" collapsed="false">
      <c r="I267" s="1" t="str">
        <f aca="false">IF($C267="","",IFERROR(VLOOKUP($C267,Master_Mappings!$N$4:$S$200,3,FALSE()),"UNMAPPED"))</f>
        <v/>
      </c>
      <c r="J267" s="1" t="str">
        <f aca="false">IF($C267="","",IFERROR(VLOOKUP($C267,Master_Mappings!$N$4:$S$134,4,FALSE()),""))</f>
        <v/>
      </c>
      <c r="M267" s="0" t="str">
        <f aca="false">IF($C267="","",IFERROR(VLOOKUP($C267,Master_Mappings!$N$4:$S$200,6,FALSE()),""))</f>
        <v/>
      </c>
    </row>
    <row r="268" customFormat="false" ht="13.5" hidden="false" customHeight="false" outlineLevel="0" collapsed="false">
      <c r="I268" s="1" t="str">
        <f aca="false">IF($C268="","",IFERROR(VLOOKUP($C268,Master_Mappings!$N$4:$S$200,3,FALSE()),"UNMAPPED"))</f>
        <v/>
      </c>
      <c r="J268" s="1" t="str">
        <f aca="false">IF($C268="","",IFERROR(VLOOKUP($C268,Master_Mappings!$N$4:$S$134,4,FALSE()),""))</f>
        <v/>
      </c>
      <c r="M268" s="0" t="str">
        <f aca="false">IF($C268="","",IFERROR(VLOOKUP($C268,Master_Mappings!$N$4:$S$200,6,FALSE()),""))</f>
        <v/>
      </c>
    </row>
    <row r="269" customFormat="false" ht="13.5" hidden="false" customHeight="false" outlineLevel="0" collapsed="false">
      <c r="I269" s="1" t="str">
        <f aca="false">IF($C269="","",IFERROR(VLOOKUP($C269,Master_Mappings!$N$4:$S$200,3,FALSE()),"UNMAPPED"))</f>
        <v/>
      </c>
      <c r="J269" s="1" t="str">
        <f aca="false">IF($C269="","",IFERROR(VLOOKUP($C269,Master_Mappings!$N$4:$S$134,4,FALSE()),""))</f>
        <v/>
      </c>
      <c r="M269" s="0" t="str">
        <f aca="false">IF($C269="","",IFERROR(VLOOKUP($C269,Master_Mappings!$N$4:$S$200,6,FALSE()),""))</f>
        <v/>
      </c>
    </row>
    <row r="270" customFormat="false" ht="13.5" hidden="false" customHeight="false" outlineLevel="0" collapsed="false">
      <c r="I270" s="1" t="str">
        <f aca="false">IF($C270="","",IFERROR(VLOOKUP($C270,Master_Mappings!$N$4:$S$200,3,FALSE()),"UNMAPPED"))</f>
        <v/>
      </c>
      <c r="J270" s="1" t="str">
        <f aca="false">IF($C270="","",IFERROR(VLOOKUP($C270,Master_Mappings!$N$4:$S$134,4,FALSE()),""))</f>
        <v/>
      </c>
      <c r="M270" s="0" t="str">
        <f aca="false">IF($C270="","",IFERROR(VLOOKUP($C270,Master_Mappings!$N$4:$S$200,6,FALSE()),""))</f>
        <v/>
      </c>
    </row>
    <row r="271" customFormat="false" ht="13.5" hidden="false" customHeight="false" outlineLevel="0" collapsed="false">
      <c r="I271" s="1" t="str">
        <f aca="false">IF($C271="","",IFERROR(VLOOKUP($C271,Master_Mappings!$N$4:$S$200,3,FALSE()),"UNMAPPED"))</f>
        <v/>
      </c>
      <c r="J271" s="1" t="str">
        <f aca="false">IF($C271="","",IFERROR(VLOOKUP($C271,Master_Mappings!$N$4:$S$134,4,FALSE()),""))</f>
        <v/>
      </c>
      <c r="M271" s="0" t="str">
        <f aca="false">IF($C271="","",IFERROR(VLOOKUP($C271,Master_Mappings!$N$4:$S$200,6,FALSE()),""))</f>
        <v/>
      </c>
    </row>
    <row r="272" customFormat="false" ht="13.5" hidden="false" customHeight="false" outlineLevel="0" collapsed="false">
      <c r="I272" s="1" t="str">
        <f aca="false">IF($C272="","",IFERROR(VLOOKUP($C272,Master_Mappings!$N$4:$S$200,3,FALSE()),"UNMAPPED"))</f>
        <v/>
      </c>
      <c r="J272" s="1" t="str">
        <f aca="false">IF($C272="","",IFERROR(VLOOKUP($C272,Master_Mappings!$N$4:$S$134,4,FALSE()),""))</f>
        <v/>
      </c>
      <c r="M272" s="0" t="str">
        <f aca="false">IF($C272="","",IFERROR(VLOOKUP($C272,Master_Mappings!$N$4:$S$200,6,FALSE()),""))</f>
        <v/>
      </c>
    </row>
    <row r="273" customFormat="false" ht="13.5" hidden="false" customHeight="false" outlineLevel="0" collapsed="false">
      <c r="I273" s="1" t="str">
        <f aca="false">IF($C273="","",IFERROR(VLOOKUP($C273,Master_Mappings!$N$4:$S$200,3,FALSE()),"UNMAPPED"))</f>
        <v/>
      </c>
      <c r="J273" s="1" t="str">
        <f aca="false">IF($C273="","",IFERROR(VLOOKUP($C273,Master_Mappings!$N$4:$S$134,4,FALSE()),""))</f>
        <v/>
      </c>
      <c r="M273" s="0" t="str">
        <f aca="false">IF($C273="","",IFERROR(VLOOKUP($C273,Master_Mappings!$N$4:$S$200,6,FALSE()),""))</f>
        <v/>
      </c>
    </row>
    <row r="274" customFormat="false" ht="13.5" hidden="false" customHeight="false" outlineLevel="0" collapsed="false">
      <c r="I274" s="1" t="str">
        <f aca="false">IF($C274="","",IFERROR(VLOOKUP($C274,Master_Mappings!$N$4:$S$200,3,FALSE()),"UNMAPPED"))</f>
        <v/>
      </c>
      <c r="J274" s="1" t="str">
        <f aca="false">IF($C274="","",IFERROR(VLOOKUP($C274,Master_Mappings!$N$4:$S$134,4,FALSE()),""))</f>
        <v/>
      </c>
      <c r="M274" s="0" t="str">
        <f aca="false">IF($C274="","",IFERROR(VLOOKUP($C274,Master_Mappings!$N$4:$S$200,6,FALSE()),""))</f>
        <v/>
      </c>
    </row>
    <row r="275" customFormat="false" ht="13.5" hidden="false" customHeight="false" outlineLevel="0" collapsed="false">
      <c r="I275" s="1" t="str">
        <f aca="false">IF($C275="","",IFERROR(VLOOKUP($C275,Master_Mappings!$N$4:$S$200,3,FALSE()),"UNMAPPED"))</f>
        <v/>
      </c>
      <c r="J275" s="1" t="str">
        <f aca="false">IF($C275="","",IFERROR(VLOOKUP($C275,Master_Mappings!$N$4:$S$134,4,FALSE()),""))</f>
        <v/>
      </c>
      <c r="M275" s="0" t="str">
        <f aca="false">IF($C275="","",IFERROR(VLOOKUP($C275,Master_Mappings!$N$4:$S$200,6,FALSE()),""))</f>
        <v/>
      </c>
    </row>
    <row r="276" customFormat="false" ht="13.5" hidden="false" customHeight="false" outlineLevel="0" collapsed="false">
      <c r="I276" s="1" t="str">
        <f aca="false">IF($C276="","",IFERROR(VLOOKUP($C276,Master_Mappings!$N$4:$S$200,3,FALSE()),"UNMAPPED"))</f>
        <v/>
      </c>
      <c r="J276" s="1" t="str">
        <f aca="false">IF($C276="","",IFERROR(VLOOKUP($C276,Master_Mappings!$N$4:$S$134,4,FALSE()),""))</f>
        <v/>
      </c>
      <c r="M276" s="0" t="str">
        <f aca="false">IF($C276="","",IFERROR(VLOOKUP($C276,Master_Mappings!$N$4:$S$200,6,FALSE()),""))</f>
        <v/>
      </c>
    </row>
    <row r="277" customFormat="false" ht="13.5" hidden="false" customHeight="false" outlineLevel="0" collapsed="false">
      <c r="I277" s="1" t="str">
        <f aca="false">IF($C277="","",IFERROR(VLOOKUP($C277,Master_Mappings!$N$4:$S$200,3,FALSE()),"UNMAPPED"))</f>
        <v/>
      </c>
      <c r="J277" s="1" t="str">
        <f aca="false">IF($C277="","",IFERROR(VLOOKUP($C277,Master_Mappings!$N$4:$S$134,4,FALSE()),""))</f>
        <v/>
      </c>
      <c r="M277" s="0" t="str">
        <f aca="false">IF($C277="","",IFERROR(VLOOKUP($C277,Master_Mappings!$N$4:$S$200,6,FALSE()),""))</f>
        <v/>
      </c>
    </row>
    <row r="278" customFormat="false" ht="13.5" hidden="false" customHeight="false" outlineLevel="0" collapsed="false">
      <c r="I278" s="1" t="str">
        <f aca="false">IF($C278="","",IFERROR(VLOOKUP($C278,Master_Mappings!$N$4:$S$200,3,FALSE()),"UNMAPPED"))</f>
        <v/>
      </c>
      <c r="J278" s="1" t="str">
        <f aca="false">IF($C278="","",IFERROR(VLOOKUP($C278,Master_Mappings!$N$4:$S$134,4,FALSE()),""))</f>
        <v/>
      </c>
      <c r="M278" s="0" t="str">
        <f aca="false">IF($C278="","",IFERROR(VLOOKUP($C278,Master_Mappings!$N$4:$S$200,6,FALSE()),""))</f>
        <v/>
      </c>
    </row>
    <row r="279" customFormat="false" ht="13.5" hidden="false" customHeight="false" outlineLevel="0" collapsed="false">
      <c r="I279" s="1" t="str">
        <f aca="false">IF($C279="","",IFERROR(VLOOKUP($C279,Master_Mappings!$N$4:$S$200,3,FALSE()),"UNMAPPED"))</f>
        <v/>
      </c>
      <c r="J279" s="1" t="str">
        <f aca="false">IF($C279="","",IFERROR(VLOOKUP($C279,Master_Mappings!$N$4:$S$134,4,FALSE()),""))</f>
        <v/>
      </c>
      <c r="M279" s="0" t="str">
        <f aca="false">IF($C279="","",IFERROR(VLOOKUP($C279,Master_Mappings!$N$4:$S$200,6,FALSE()),""))</f>
        <v/>
      </c>
    </row>
    <row r="280" customFormat="false" ht="13.5" hidden="false" customHeight="false" outlineLevel="0" collapsed="false">
      <c r="I280" s="1" t="str">
        <f aca="false">IF($C280="","",IFERROR(VLOOKUP($C280,Master_Mappings!$N$4:$S$200,3,FALSE()),"UNMAPPED"))</f>
        <v/>
      </c>
      <c r="J280" s="1" t="str">
        <f aca="false">IF($C280="","",IFERROR(VLOOKUP($C280,Master_Mappings!$N$4:$S$134,4,FALSE()),""))</f>
        <v/>
      </c>
      <c r="M280" s="0" t="str">
        <f aca="false">IF($C280="","",IFERROR(VLOOKUP($C280,Master_Mappings!$N$4:$S$200,6,FALSE()),""))</f>
        <v/>
      </c>
    </row>
    <row r="281" customFormat="false" ht="13.5" hidden="false" customHeight="false" outlineLevel="0" collapsed="false">
      <c r="I281" s="1" t="str">
        <f aca="false">IF($C281="","",IFERROR(VLOOKUP($C281,Master_Mappings!$N$4:$S$200,3,FALSE()),"UNMAPPED"))</f>
        <v/>
      </c>
      <c r="J281" s="1" t="str">
        <f aca="false">IF($C281="","",IFERROR(VLOOKUP($C281,Master_Mappings!$N$4:$S$134,4,FALSE()),""))</f>
        <v/>
      </c>
      <c r="M281" s="0" t="str">
        <f aca="false">IF($C281="","",IFERROR(VLOOKUP($C281,Master_Mappings!$N$4:$S$200,6,FALSE()),""))</f>
        <v/>
      </c>
    </row>
    <row r="282" customFormat="false" ht="13.5" hidden="false" customHeight="false" outlineLevel="0" collapsed="false">
      <c r="I282" s="1" t="str">
        <f aca="false">IF($C282="","",IFERROR(VLOOKUP($C282,Master_Mappings!$N$4:$S$200,3,FALSE()),"UNMAPPED"))</f>
        <v/>
      </c>
      <c r="J282" s="1" t="str">
        <f aca="false">IF($C282="","",IFERROR(VLOOKUP($C282,Master_Mappings!$N$4:$S$134,4,FALSE()),""))</f>
        <v/>
      </c>
      <c r="M282" s="0" t="str">
        <f aca="false">IF($C282="","",IFERROR(VLOOKUP($C282,Master_Mappings!$N$4:$S$200,6,FALSE()),""))</f>
        <v/>
      </c>
    </row>
    <row r="283" customFormat="false" ht="13.5" hidden="false" customHeight="false" outlineLevel="0" collapsed="false">
      <c r="I283" s="1" t="str">
        <f aca="false">IF($C283="","",IFERROR(VLOOKUP($C283,Master_Mappings!$N$4:$S$200,3,FALSE()),"UNMAPPED"))</f>
        <v/>
      </c>
      <c r="J283" s="1" t="str">
        <f aca="false">IF($C283="","",IFERROR(VLOOKUP($C283,Master_Mappings!$N$4:$S$134,4,FALSE()),""))</f>
        <v/>
      </c>
      <c r="M283" s="0" t="str">
        <f aca="false">IF($C283="","",IFERROR(VLOOKUP($C283,Master_Mappings!$N$4:$S$200,6,FALSE()),""))</f>
        <v/>
      </c>
    </row>
    <row r="284" customFormat="false" ht="13.5" hidden="false" customHeight="false" outlineLevel="0" collapsed="false">
      <c r="I284" s="1" t="str">
        <f aca="false">IF($C284="","",IFERROR(VLOOKUP($C284,Master_Mappings!$N$4:$S$200,3,FALSE()),"UNMAPPED"))</f>
        <v/>
      </c>
      <c r="J284" s="1" t="str">
        <f aca="false">IF($C284="","",IFERROR(VLOOKUP($C284,Master_Mappings!$N$4:$S$134,4,FALSE()),""))</f>
        <v/>
      </c>
      <c r="M284" s="0" t="str">
        <f aca="false">IF($C284="","",IFERROR(VLOOKUP($C284,Master_Mappings!$N$4:$S$200,6,FALSE()),""))</f>
        <v/>
      </c>
    </row>
    <row r="285" customFormat="false" ht="13.5" hidden="false" customHeight="false" outlineLevel="0" collapsed="false">
      <c r="I285" s="1" t="str">
        <f aca="false">IF($C285="","",IFERROR(VLOOKUP($C285,Master_Mappings!$N$4:$S$200,3,FALSE()),"UNMAPPED"))</f>
        <v/>
      </c>
      <c r="J285" s="1" t="str">
        <f aca="false">IF($C285="","",IFERROR(VLOOKUP($C285,Master_Mappings!$N$4:$S$134,4,FALSE()),""))</f>
        <v/>
      </c>
      <c r="M285" s="0" t="str">
        <f aca="false">IF($C285="","",IFERROR(VLOOKUP($C285,Master_Mappings!$N$4:$S$200,6,FALSE()),""))</f>
        <v/>
      </c>
    </row>
    <row r="286" customFormat="false" ht="13.5" hidden="false" customHeight="false" outlineLevel="0" collapsed="false">
      <c r="I286" s="1" t="str">
        <f aca="false">IF($C286="","",IFERROR(VLOOKUP($C286,Master_Mappings!$N$4:$S$200,3,FALSE()),"UNMAPPED"))</f>
        <v/>
      </c>
      <c r="J286" s="1" t="str">
        <f aca="false">IF($C286="","",IFERROR(VLOOKUP($C286,Master_Mappings!$N$4:$S$134,4,FALSE()),""))</f>
        <v/>
      </c>
      <c r="M286" s="0" t="str">
        <f aca="false">IF($C286="","",IFERROR(VLOOKUP($C286,Master_Mappings!$N$4:$S$200,6,FALSE()),""))</f>
        <v/>
      </c>
    </row>
    <row r="287" customFormat="false" ht="13.5" hidden="false" customHeight="false" outlineLevel="0" collapsed="false">
      <c r="I287" s="1" t="str">
        <f aca="false">IF($C287="","",IFERROR(VLOOKUP($C287,Master_Mappings!$N$4:$S$200,3,FALSE()),"UNMAPPED"))</f>
        <v/>
      </c>
      <c r="J287" s="1" t="str">
        <f aca="false">IF($C287="","",IFERROR(VLOOKUP($C287,Master_Mappings!$N$4:$S$134,4,FALSE()),""))</f>
        <v/>
      </c>
      <c r="M287" s="0" t="str">
        <f aca="false">IF($C287="","",IFERROR(VLOOKUP($C287,Master_Mappings!$N$4:$S$200,6,FALSE()),""))</f>
        <v/>
      </c>
    </row>
    <row r="288" customFormat="false" ht="13.5" hidden="false" customHeight="false" outlineLevel="0" collapsed="false">
      <c r="I288" s="1" t="str">
        <f aca="false">IF($C288="","",IFERROR(VLOOKUP($C288,Master_Mappings!$N$4:$S$200,3,FALSE()),"UNMAPPED"))</f>
        <v/>
      </c>
      <c r="J288" s="1" t="str">
        <f aca="false">IF($C288="","",IFERROR(VLOOKUP($C288,Master_Mappings!$N$4:$S$134,4,FALSE()),""))</f>
        <v/>
      </c>
      <c r="M288" s="0" t="str">
        <f aca="false">IF($C288="","",IFERROR(VLOOKUP($C288,Master_Mappings!$N$4:$S$200,6,FALSE()),""))</f>
        <v/>
      </c>
    </row>
    <row r="289" customFormat="false" ht="13.5" hidden="false" customHeight="false" outlineLevel="0" collapsed="false">
      <c r="I289" s="1" t="str">
        <f aca="false">IF($C289="","",IFERROR(VLOOKUP($C289,Master_Mappings!$N$4:$S$200,3,FALSE()),"UNMAPPED"))</f>
        <v/>
      </c>
      <c r="J289" s="1" t="str">
        <f aca="false">IF($C289="","",IFERROR(VLOOKUP($C289,Master_Mappings!$N$4:$S$134,4,FALSE()),""))</f>
        <v/>
      </c>
      <c r="M289" s="0" t="str">
        <f aca="false">IF($C289="","",IFERROR(VLOOKUP($C289,Master_Mappings!$N$4:$S$200,6,FALSE()),""))</f>
        <v/>
      </c>
    </row>
    <row r="290" customFormat="false" ht="13.5" hidden="false" customHeight="false" outlineLevel="0" collapsed="false">
      <c r="I290" s="1" t="str">
        <f aca="false">IF($C290="","",IFERROR(VLOOKUP($C290,Master_Mappings!$N$4:$S$200,3,FALSE()),"UNMAPPED"))</f>
        <v/>
      </c>
      <c r="J290" s="1" t="str">
        <f aca="false">IF($C290="","",IFERROR(VLOOKUP($C290,Master_Mappings!$N$4:$S$134,4,FALSE()),""))</f>
        <v/>
      </c>
      <c r="M290" s="0" t="str">
        <f aca="false">IF($C290="","",IFERROR(VLOOKUP($C290,Master_Mappings!$N$4:$S$200,6,FALSE()),""))</f>
        <v/>
      </c>
    </row>
    <row r="291" customFormat="false" ht="13.5" hidden="false" customHeight="false" outlineLevel="0" collapsed="false">
      <c r="I291" s="1" t="str">
        <f aca="false">IF($C291="","",IFERROR(VLOOKUP($C291,Master_Mappings!$N$4:$S$200,3,FALSE()),"UNMAPPED"))</f>
        <v/>
      </c>
      <c r="J291" s="1" t="str">
        <f aca="false">IF($C291="","",IFERROR(VLOOKUP($C291,Master_Mappings!$N$4:$S$134,4,FALSE()),""))</f>
        <v/>
      </c>
      <c r="M291" s="0" t="str">
        <f aca="false">IF($C291="","",IFERROR(VLOOKUP($C291,Master_Mappings!$N$4:$S$200,6,FALSE()),""))</f>
        <v/>
      </c>
    </row>
    <row r="292" customFormat="false" ht="13.5" hidden="false" customHeight="false" outlineLevel="0" collapsed="false">
      <c r="I292" s="1" t="str">
        <f aca="false">IF($C292="","",IFERROR(VLOOKUP($C292,Master_Mappings!$N$4:$S$200,3,FALSE()),"UNMAPPED"))</f>
        <v/>
      </c>
      <c r="J292" s="1" t="str">
        <f aca="false">IF($C292="","",IFERROR(VLOOKUP($C292,Master_Mappings!$N$4:$S$134,4,FALSE()),""))</f>
        <v/>
      </c>
      <c r="M292" s="0" t="str">
        <f aca="false">IF($C292="","",IFERROR(VLOOKUP($C292,Master_Mappings!$N$4:$S$200,6,FALSE()),""))</f>
        <v/>
      </c>
    </row>
    <row r="293" customFormat="false" ht="13.5" hidden="false" customHeight="false" outlineLevel="0" collapsed="false">
      <c r="I293" s="1" t="str">
        <f aca="false">IF($C293="","",IFERROR(VLOOKUP($C293,Master_Mappings!$N$4:$S$200,3,FALSE()),"UNMAPPED"))</f>
        <v/>
      </c>
      <c r="J293" s="1" t="str">
        <f aca="false">IF($C293="","",IFERROR(VLOOKUP($C293,Master_Mappings!$N$4:$S$134,4,FALSE()),""))</f>
        <v/>
      </c>
      <c r="M293" s="0" t="str">
        <f aca="false">IF($C293="","",IFERROR(VLOOKUP($C293,Master_Mappings!$N$4:$S$200,6,FALSE()),""))</f>
        <v/>
      </c>
    </row>
    <row r="294" customFormat="false" ht="13.5" hidden="false" customHeight="false" outlineLevel="0" collapsed="false">
      <c r="I294" s="1" t="str">
        <f aca="false">IF($C294="","",IFERROR(VLOOKUP($C294,Master_Mappings!$N$4:$S$200,3,FALSE()),"UNMAPPED"))</f>
        <v/>
      </c>
      <c r="J294" s="1" t="str">
        <f aca="false">IF($C294="","",IFERROR(VLOOKUP($C294,Master_Mappings!$N$4:$S$134,4,FALSE()),""))</f>
        <v/>
      </c>
      <c r="M294" s="0" t="str">
        <f aca="false">IF($C294="","",IFERROR(VLOOKUP($C294,Master_Mappings!$N$4:$S$200,6,FALSE()),""))</f>
        <v/>
      </c>
    </row>
    <row r="295" customFormat="false" ht="13.5" hidden="false" customHeight="false" outlineLevel="0" collapsed="false">
      <c r="I295" s="1" t="str">
        <f aca="false">IF($C295="","",IFERROR(VLOOKUP($C295,Master_Mappings!$N$4:$S$200,3,FALSE()),"UNMAPPED"))</f>
        <v/>
      </c>
      <c r="J295" s="1" t="str">
        <f aca="false">IF($C295="","",IFERROR(VLOOKUP($C295,Master_Mappings!$N$4:$S$134,4,FALSE()),""))</f>
        <v/>
      </c>
      <c r="M295" s="0" t="str">
        <f aca="false">IF($C295="","",IFERROR(VLOOKUP($C295,Master_Mappings!$N$4:$S$200,6,FALSE()),""))</f>
        <v/>
      </c>
    </row>
    <row r="296" customFormat="false" ht="13.5" hidden="false" customHeight="false" outlineLevel="0" collapsed="false">
      <c r="I296" s="1" t="str">
        <f aca="false">IF($C296="","",IFERROR(VLOOKUP($C296,Master_Mappings!$N$4:$S$200,3,FALSE()),"UNMAPPED"))</f>
        <v/>
      </c>
      <c r="J296" s="1" t="str">
        <f aca="false">IF($C296="","",IFERROR(VLOOKUP($C296,Master_Mappings!$N$4:$S$134,4,FALSE()),""))</f>
        <v/>
      </c>
      <c r="M296" s="0" t="str">
        <f aca="false">IF($C296="","",IFERROR(VLOOKUP($C296,Master_Mappings!$N$4:$S$200,6,FALSE()),""))</f>
        <v/>
      </c>
    </row>
    <row r="297" customFormat="false" ht="13.5" hidden="false" customHeight="false" outlineLevel="0" collapsed="false">
      <c r="I297" s="1" t="str">
        <f aca="false">IF($C297="","",IFERROR(VLOOKUP($C297,Master_Mappings!$N$4:$S$200,3,FALSE()),"UNMAPPED"))</f>
        <v/>
      </c>
      <c r="J297" s="1" t="str">
        <f aca="false">IF($C297="","",IFERROR(VLOOKUP($C297,Master_Mappings!$N$4:$S$134,4,FALSE()),""))</f>
        <v/>
      </c>
      <c r="M297" s="0" t="str">
        <f aca="false">IF($C297="","",IFERROR(VLOOKUP($C297,Master_Mappings!$N$4:$S$200,6,FALSE()),""))</f>
        <v/>
      </c>
    </row>
    <row r="298" customFormat="false" ht="13.5" hidden="false" customHeight="false" outlineLevel="0" collapsed="false">
      <c r="I298" s="1" t="str">
        <f aca="false">IF($C298="","",IFERROR(VLOOKUP($C298,Master_Mappings!$N$4:$S$200,3,FALSE()),"UNMAPPED"))</f>
        <v/>
      </c>
      <c r="J298" s="1" t="str">
        <f aca="false">IF($C298="","",IFERROR(VLOOKUP($C298,Master_Mappings!$N$4:$S$134,4,FALSE()),""))</f>
        <v/>
      </c>
      <c r="M298" s="0" t="str">
        <f aca="false">IF($C298="","",IFERROR(VLOOKUP($C298,Master_Mappings!$N$4:$S$200,6,FALSE()),""))</f>
        <v/>
      </c>
    </row>
    <row r="299" customFormat="false" ht="13.5" hidden="false" customHeight="false" outlineLevel="0" collapsed="false">
      <c r="I299" s="1" t="str">
        <f aca="false">IF($C299="","",IFERROR(VLOOKUP($C299,Master_Mappings!$N$4:$S$200,3,FALSE()),"UNMAPPED"))</f>
        <v/>
      </c>
      <c r="J299" s="1" t="str">
        <f aca="false">IF($C299="","",IFERROR(VLOOKUP($C299,Master_Mappings!$N$4:$S$134,4,FALSE()),""))</f>
        <v/>
      </c>
      <c r="M299" s="0" t="str">
        <f aca="false">IF($C299="","",IFERROR(VLOOKUP($C299,Master_Mappings!$N$4:$S$200,6,FALSE()),""))</f>
        <v/>
      </c>
    </row>
    <row r="300" customFormat="false" ht="13.5" hidden="false" customHeight="false" outlineLevel="0" collapsed="false">
      <c r="I300" s="1" t="str">
        <f aca="false">IF($C300="","",IFERROR(VLOOKUP($C300,Master_Mappings!$N$4:$S$200,3,FALSE()),"UNMAPPED"))</f>
        <v/>
      </c>
      <c r="J300" s="1" t="str">
        <f aca="false">IF($C300="","",IFERROR(VLOOKUP($C300,Master_Mappings!$N$4:$S$134,4,FALSE()),""))</f>
        <v/>
      </c>
      <c r="M300" s="0" t="str">
        <f aca="false">IF($C300="","",IFERROR(VLOOKUP($C300,Master_Mappings!$N$4:$S$200,6,FALSE()),""))</f>
        <v/>
      </c>
    </row>
    <row r="301" customFormat="false" ht="13.5" hidden="false" customHeight="false" outlineLevel="0" collapsed="false">
      <c r="I301" s="1" t="str">
        <f aca="false">IF($C301="","",IFERROR(VLOOKUP($C301,Master_Mappings!$N$4:$S$200,3,FALSE()),"UNMAPPED"))</f>
        <v/>
      </c>
      <c r="J301" s="1" t="str">
        <f aca="false">IF($C301="","",IFERROR(VLOOKUP($C301,Master_Mappings!$N$4:$S$134,4,FALSE()),""))</f>
        <v/>
      </c>
      <c r="M301" s="0" t="str">
        <f aca="false">IF($C301="","",IFERROR(VLOOKUP($C301,Master_Mappings!$N$4:$S$200,6,FALSE()),""))</f>
        <v/>
      </c>
    </row>
    <row r="302" customFormat="false" ht="13.5" hidden="false" customHeight="false" outlineLevel="0" collapsed="false">
      <c r="I302" s="1" t="str">
        <f aca="false">IF($C302="","",IFERROR(VLOOKUP($C302,Master_Mappings!$N$4:$S$200,3,FALSE()),"UNMAPPED"))</f>
        <v/>
      </c>
      <c r="J302" s="1" t="str">
        <f aca="false">IF($C302="","",IFERROR(VLOOKUP($C302,Master_Mappings!$N$4:$S$134,4,FALSE()),""))</f>
        <v/>
      </c>
      <c r="M302" s="0" t="str">
        <f aca="false">IF($C302="","",IFERROR(VLOOKUP($C302,Master_Mappings!$N$4:$S$200,6,FALSE()),""))</f>
        <v/>
      </c>
    </row>
    <row r="303" customFormat="false" ht="13.5" hidden="false" customHeight="false" outlineLevel="0" collapsed="false">
      <c r="I303" s="1" t="str">
        <f aca="false">IF($C303="","",IFERROR(VLOOKUP($C303,Master_Mappings!$N$4:$S$200,3,FALSE()),"UNMAPPED"))</f>
        <v/>
      </c>
      <c r="J303" s="1" t="str">
        <f aca="false">IF($C303="","",IFERROR(VLOOKUP($C303,Master_Mappings!$N$4:$S$134,4,FALSE()),""))</f>
        <v/>
      </c>
      <c r="M303" s="0" t="str">
        <f aca="false">IF($C303="","",IFERROR(VLOOKUP($C303,Master_Mappings!$N$4:$S$200,6,FALSE()),""))</f>
        <v/>
      </c>
    </row>
    <row r="304" customFormat="false" ht="13.5" hidden="false" customHeight="false" outlineLevel="0" collapsed="false">
      <c r="I304" s="1" t="str">
        <f aca="false">IF($C304="","",IFERROR(VLOOKUP($C304,Master_Mappings!$N$4:$S$200,3,FALSE()),"UNMAPPED"))</f>
        <v/>
      </c>
      <c r="J304" s="1" t="str">
        <f aca="false">IF($C304="","",IFERROR(VLOOKUP($C304,Master_Mappings!$N$4:$S$134,4,FALSE()),""))</f>
        <v/>
      </c>
      <c r="M304" s="0" t="str">
        <f aca="false">IF($C304="","",IFERROR(VLOOKUP($C304,Master_Mappings!$N$4:$S$200,6,FALSE()),""))</f>
        <v/>
      </c>
    </row>
    <row r="305" customFormat="false" ht="13.5" hidden="false" customHeight="false" outlineLevel="0" collapsed="false">
      <c r="I305" s="1" t="str">
        <f aca="false">IF($C305="","",IFERROR(VLOOKUP($C305,Master_Mappings!$N$4:$S$200,3,FALSE()),"UNMAPPED"))</f>
        <v/>
      </c>
      <c r="J305" s="1" t="str">
        <f aca="false">IF($C305="","",IFERROR(VLOOKUP($C305,Master_Mappings!$N$4:$S$134,4,FALSE()),""))</f>
        <v/>
      </c>
      <c r="M305" s="0" t="str">
        <f aca="false">IF($C305="","",IFERROR(VLOOKUP($C305,Master_Mappings!$N$4:$S$200,6,FALSE()),""))</f>
        <v/>
      </c>
    </row>
    <row r="306" customFormat="false" ht="13.5" hidden="false" customHeight="false" outlineLevel="0" collapsed="false">
      <c r="I306" s="1" t="str">
        <f aca="false">IF($C306="","",IFERROR(VLOOKUP($C306,Master_Mappings!$N$4:$S$200,3,FALSE()),"UNMAPPED"))</f>
        <v/>
      </c>
      <c r="J306" s="1" t="str">
        <f aca="false">IF($C306="","",IFERROR(VLOOKUP($C306,Master_Mappings!$N$4:$S$134,4,FALSE()),""))</f>
        <v/>
      </c>
      <c r="M306" s="0" t="str">
        <f aca="false">IF($C306="","",IFERROR(VLOOKUP($C306,Master_Mappings!$N$4:$S$200,6,FALSE()),""))</f>
        <v/>
      </c>
    </row>
    <row r="307" customFormat="false" ht="13.5" hidden="false" customHeight="false" outlineLevel="0" collapsed="false">
      <c r="I307" s="1" t="str">
        <f aca="false">IF($C307="","",IFERROR(VLOOKUP($C307,Master_Mappings!$N$4:$S$200,3,FALSE()),"UNMAPPED"))</f>
        <v/>
      </c>
      <c r="J307" s="1" t="str">
        <f aca="false">IF($C307="","",IFERROR(VLOOKUP($C307,Master_Mappings!$N$4:$S$134,4,FALSE()),""))</f>
        <v/>
      </c>
      <c r="M307" s="0" t="str">
        <f aca="false">IF($C307="","",IFERROR(VLOOKUP($C307,Master_Mappings!$N$4:$S$200,6,FALSE()),""))</f>
        <v/>
      </c>
    </row>
    <row r="308" customFormat="false" ht="13.5" hidden="false" customHeight="false" outlineLevel="0" collapsed="false">
      <c r="I308" s="1" t="str">
        <f aca="false">IF($C308="","",IFERROR(VLOOKUP($C308,Master_Mappings!$N$4:$S$200,3,FALSE()),"UNMAPPED"))</f>
        <v/>
      </c>
      <c r="J308" s="1" t="str">
        <f aca="false">IF($C308="","",IFERROR(VLOOKUP($C308,Master_Mappings!$N$4:$S$134,4,FALSE()),""))</f>
        <v/>
      </c>
      <c r="M308" s="0" t="str">
        <f aca="false">IF($C308="","",IFERROR(VLOOKUP($C308,Master_Mappings!$N$4:$S$200,6,FALSE()),""))</f>
        <v/>
      </c>
    </row>
    <row r="309" customFormat="false" ht="13.5" hidden="false" customHeight="false" outlineLevel="0" collapsed="false">
      <c r="I309" s="1" t="str">
        <f aca="false">IF($C309="","",IFERROR(VLOOKUP($C309,Master_Mappings!$N$4:$S$200,3,FALSE()),"UNMAPPED"))</f>
        <v/>
      </c>
      <c r="J309" s="1" t="str">
        <f aca="false">IF($C309="","",IFERROR(VLOOKUP($C309,Master_Mappings!$N$4:$S$134,4,FALSE()),""))</f>
        <v/>
      </c>
      <c r="M309" s="0" t="str">
        <f aca="false">IF($C309="","",IFERROR(VLOOKUP($C309,Master_Mappings!$N$4:$S$200,6,FALSE()),""))</f>
        <v/>
      </c>
    </row>
    <row r="310" customFormat="false" ht="13.5" hidden="false" customHeight="false" outlineLevel="0" collapsed="false">
      <c r="I310" s="1" t="str">
        <f aca="false">IF($C310="","",IFERROR(VLOOKUP($C310,Master_Mappings!$N$4:$S$200,3,FALSE()),"UNMAPPED"))</f>
        <v/>
      </c>
      <c r="J310" s="1" t="str">
        <f aca="false">IF($C310="","",IFERROR(VLOOKUP($C310,Master_Mappings!$N$4:$S$134,4,FALSE()),""))</f>
        <v/>
      </c>
      <c r="M310" s="0" t="str">
        <f aca="false">IF($C310="","",IFERROR(VLOOKUP($C310,Master_Mappings!$N$4:$S$200,6,FALSE()),""))</f>
        <v/>
      </c>
    </row>
    <row r="311" customFormat="false" ht="13.5" hidden="false" customHeight="false" outlineLevel="0" collapsed="false">
      <c r="I311" s="1" t="str">
        <f aca="false">IF($C311="","",IFERROR(VLOOKUP($C311,Master_Mappings!$N$4:$S$200,3,FALSE()),"UNMAPPED"))</f>
        <v/>
      </c>
      <c r="J311" s="1" t="str">
        <f aca="false">IF($C311="","",IFERROR(VLOOKUP($C311,Master_Mappings!$N$4:$S$134,4,FALSE()),""))</f>
        <v/>
      </c>
      <c r="M311" s="0" t="str">
        <f aca="false">IF($C311="","",IFERROR(VLOOKUP($C311,Master_Mappings!$N$4:$S$200,6,FALSE()),""))</f>
        <v/>
      </c>
    </row>
    <row r="312" customFormat="false" ht="13.5" hidden="false" customHeight="false" outlineLevel="0" collapsed="false">
      <c r="I312" s="1" t="str">
        <f aca="false">IF($C312="","",IFERROR(VLOOKUP($C312,Master_Mappings!$N$4:$S$200,3,FALSE()),"UNMAPPED"))</f>
        <v/>
      </c>
      <c r="J312" s="1" t="str">
        <f aca="false">IF($C312="","",IFERROR(VLOOKUP($C312,Master_Mappings!$N$4:$S$134,4,FALSE()),""))</f>
        <v/>
      </c>
      <c r="M312" s="0" t="str">
        <f aca="false">IF($C312="","",IFERROR(VLOOKUP($C312,Master_Mappings!$N$4:$S$200,6,FALSE()),""))</f>
        <v/>
      </c>
    </row>
    <row r="313" customFormat="false" ht="13.5" hidden="false" customHeight="false" outlineLevel="0" collapsed="false">
      <c r="I313" s="1" t="str">
        <f aca="false">IF($C313="","",IFERROR(VLOOKUP($C313,Master_Mappings!$N$4:$S$200,3,FALSE()),"UNMAPPED"))</f>
        <v/>
      </c>
      <c r="J313" s="1" t="str">
        <f aca="false">IF($C313="","",IFERROR(VLOOKUP($C313,Master_Mappings!$N$4:$S$134,4,FALSE()),""))</f>
        <v/>
      </c>
      <c r="M313" s="0" t="str">
        <f aca="false">IF($C313="","",IFERROR(VLOOKUP($C313,Master_Mappings!$N$4:$S$200,6,FALSE()),""))</f>
        <v/>
      </c>
    </row>
    <row r="314" customFormat="false" ht="13.5" hidden="false" customHeight="false" outlineLevel="0" collapsed="false">
      <c r="I314" s="1" t="str">
        <f aca="false">IF($C314="","",IFERROR(VLOOKUP($C314,Master_Mappings!$N$4:$S$200,3,FALSE()),"UNMAPPED"))</f>
        <v/>
      </c>
      <c r="J314" s="1" t="str">
        <f aca="false">IF($C314="","",IFERROR(VLOOKUP($C314,Master_Mappings!$N$4:$S$134,4,FALSE()),""))</f>
        <v/>
      </c>
      <c r="M314" s="0" t="str">
        <f aca="false">IF($C314="","",IFERROR(VLOOKUP($C314,Master_Mappings!$N$4:$S$200,6,FALSE()),""))</f>
        <v/>
      </c>
    </row>
    <row r="315" customFormat="false" ht="13.5" hidden="false" customHeight="false" outlineLevel="0" collapsed="false">
      <c r="I315" s="1" t="str">
        <f aca="false">IF($C315="","",IFERROR(VLOOKUP($C315,Master_Mappings!$N$4:$S$200,3,FALSE()),"UNMAPPED"))</f>
        <v/>
      </c>
      <c r="J315" s="1" t="str">
        <f aca="false">IF($C315="","",IFERROR(VLOOKUP($C315,Master_Mappings!$N$4:$S$134,4,FALSE()),""))</f>
        <v/>
      </c>
      <c r="M315" s="0" t="str">
        <f aca="false">IF($C315="","",IFERROR(VLOOKUP($C315,Master_Mappings!$N$4:$S$200,6,FALSE()),""))</f>
        <v/>
      </c>
    </row>
    <row r="316" customFormat="false" ht="13.5" hidden="false" customHeight="false" outlineLevel="0" collapsed="false">
      <c r="I316" s="1" t="str">
        <f aca="false">IF($C316="","",IFERROR(VLOOKUP($C316,Master_Mappings!$N$4:$S$200,3,FALSE()),"UNMAPPED"))</f>
        <v/>
      </c>
      <c r="J316" s="1" t="str">
        <f aca="false">IF($C316="","",IFERROR(VLOOKUP($C316,Master_Mappings!$N$4:$S$134,4,FALSE()),""))</f>
        <v/>
      </c>
      <c r="M316" s="0" t="str">
        <f aca="false">IF($C316="","",IFERROR(VLOOKUP($C316,Master_Mappings!$N$4:$S$200,6,FALSE()),""))</f>
        <v/>
      </c>
    </row>
    <row r="317" customFormat="false" ht="13.5" hidden="false" customHeight="false" outlineLevel="0" collapsed="false">
      <c r="I317" s="1" t="str">
        <f aca="false">IF($C317="","",IFERROR(VLOOKUP($C317,Master_Mappings!$N$4:$S$200,3,FALSE()),"UNMAPPED"))</f>
        <v/>
      </c>
      <c r="J317" s="1" t="str">
        <f aca="false">IF($C317="","",IFERROR(VLOOKUP($C317,Master_Mappings!$N$4:$S$134,4,FALSE()),""))</f>
        <v/>
      </c>
      <c r="M317" s="0" t="str">
        <f aca="false">IF($C317="","",IFERROR(VLOOKUP($C317,Master_Mappings!$N$4:$S$200,6,FALSE()),""))</f>
        <v/>
      </c>
    </row>
    <row r="318" customFormat="false" ht="13.5" hidden="false" customHeight="false" outlineLevel="0" collapsed="false">
      <c r="I318" s="1" t="str">
        <f aca="false">IF($C318="","",IFERROR(VLOOKUP($C318,Master_Mappings!$N$4:$S$200,3,FALSE()),"UNMAPPED"))</f>
        <v/>
      </c>
      <c r="J318" s="1" t="str">
        <f aca="false">IF($C318="","",IFERROR(VLOOKUP($C318,Master_Mappings!$N$4:$S$134,4,FALSE()),""))</f>
        <v/>
      </c>
      <c r="M318" s="0" t="str">
        <f aca="false">IF($C318="","",IFERROR(VLOOKUP($C318,Master_Mappings!$N$4:$S$200,6,FALSE()),""))</f>
        <v/>
      </c>
    </row>
    <row r="319" customFormat="false" ht="13.5" hidden="false" customHeight="false" outlineLevel="0" collapsed="false">
      <c r="I319" s="1" t="str">
        <f aca="false">IF($C319="","",IFERROR(VLOOKUP($C319,Master_Mappings!$N$4:$S$200,3,FALSE()),"UNMAPPED"))</f>
        <v/>
      </c>
      <c r="J319" s="1" t="str">
        <f aca="false">IF($C319="","",IFERROR(VLOOKUP($C319,Master_Mappings!$N$4:$S$134,4,FALSE()),""))</f>
        <v/>
      </c>
      <c r="M319" s="0" t="str">
        <f aca="false">IF($C319="","",IFERROR(VLOOKUP($C319,Master_Mappings!$N$4:$S$200,6,FALSE()),""))</f>
        <v/>
      </c>
    </row>
    <row r="320" customFormat="false" ht="13.5" hidden="false" customHeight="false" outlineLevel="0" collapsed="false">
      <c r="I320" s="1" t="str">
        <f aca="false">IF($C320="","",IFERROR(VLOOKUP($C320,Master_Mappings!$N$4:$S$200,3,FALSE()),"UNMAPPED"))</f>
        <v/>
      </c>
      <c r="J320" s="1" t="str">
        <f aca="false">IF($C320="","",IFERROR(VLOOKUP($C320,Master_Mappings!$N$4:$S$134,4,FALSE()),""))</f>
        <v/>
      </c>
      <c r="M320" s="0" t="str">
        <f aca="false">IF($C320="","",IFERROR(VLOOKUP($C320,Master_Mappings!$N$4:$S$200,6,FALSE()),""))</f>
        <v/>
      </c>
    </row>
    <row r="321" customFormat="false" ht="13.5" hidden="false" customHeight="false" outlineLevel="0" collapsed="false">
      <c r="I321" s="1" t="str">
        <f aca="false">IF($C321="","",IFERROR(VLOOKUP($C321,Master_Mappings!$N$4:$S$200,3,FALSE()),"UNMAPPED"))</f>
        <v/>
      </c>
      <c r="J321" s="1" t="str">
        <f aca="false">IF($C321="","",IFERROR(VLOOKUP($C321,Master_Mappings!$N$4:$S$134,4,FALSE()),""))</f>
        <v/>
      </c>
      <c r="M321" s="0" t="str">
        <f aca="false">IF($C321="","",IFERROR(VLOOKUP($C321,Master_Mappings!$N$4:$S$200,6,FALSE()),""))</f>
        <v/>
      </c>
    </row>
    <row r="322" customFormat="false" ht="13.5" hidden="false" customHeight="false" outlineLevel="0" collapsed="false">
      <c r="I322" s="1" t="str">
        <f aca="false">IF($C322="","",IFERROR(VLOOKUP($C322,Master_Mappings!$N$4:$S$200,3,FALSE()),"UNMAPPED"))</f>
        <v/>
      </c>
      <c r="J322" s="1" t="str">
        <f aca="false">IF($C322="","",IFERROR(VLOOKUP($C322,Master_Mappings!$N$4:$S$134,4,FALSE()),""))</f>
        <v/>
      </c>
      <c r="M322" s="0" t="str">
        <f aca="false">IF($C322="","",IFERROR(VLOOKUP($C322,Master_Mappings!$N$4:$S$200,6,FALSE()),""))</f>
        <v/>
      </c>
    </row>
    <row r="323" customFormat="false" ht="13.5" hidden="false" customHeight="false" outlineLevel="0" collapsed="false">
      <c r="I323" s="1" t="str">
        <f aca="false">IF($C323="","",IFERROR(VLOOKUP($C323,Master_Mappings!$N$4:$S$200,3,FALSE()),"UNMAPPED"))</f>
        <v/>
      </c>
      <c r="J323" s="1" t="str">
        <f aca="false">IF($C323="","",IFERROR(VLOOKUP($C323,Master_Mappings!$N$4:$S$134,4,FALSE()),""))</f>
        <v/>
      </c>
      <c r="M323" s="0" t="str">
        <f aca="false">IF($C323="","",IFERROR(VLOOKUP($C323,Master_Mappings!$N$4:$S$200,6,FALSE()),""))</f>
        <v/>
      </c>
    </row>
    <row r="324" customFormat="false" ht="13.5" hidden="false" customHeight="false" outlineLevel="0" collapsed="false">
      <c r="I324" s="1" t="str">
        <f aca="false">IF($C324="","",IFERROR(VLOOKUP($C324,Master_Mappings!$N$4:$S$200,3,FALSE()),"UNMAPPED"))</f>
        <v/>
      </c>
      <c r="J324" s="1" t="str">
        <f aca="false">IF($C324="","",IFERROR(VLOOKUP($C324,Master_Mappings!$N$4:$S$134,4,FALSE()),""))</f>
        <v/>
      </c>
      <c r="M324" s="0" t="str">
        <f aca="false">IF($C324="","",IFERROR(VLOOKUP($C324,Master_Mappings!$N$4:$S$200,6,FALSE()),""))</f>
        <v/>
      </c>
    </row>
    <row r="325" customFormat="false" ht="13.5" hidden="false" customHeight="false" outlineLevel="0" collapsed="false">
      <c r="I325" s="1" t="str">
        <f aca="false">IF($C325="","",IFERROR(VLOOKUP($C325,Master_Mappings!$N$4:$S$200,3,FALSE()),"UNMAPPED"))</f>
        <v/>
      </c>
      <c r="J325" s="1" t="str">
        <f aca="false">IF($C325="","",IFERROR(VLOOKUP($C325,Master_Mappings!$N$4:$S$134,4,FALSE()),""))</f>
        <v/>
      </c>
      <c r="M325" s="0" t="str">
        <f aca="false">IF($C325="","",IFERROR(VLOOKUP($C325,Master_Mappings!$N$4:$S$200,6,FALSE()),""))</f>
        <v/>
      </c>
    </row>
    <row r="326" customFormat="false" ht="13.5" hidden="false" customHeight="false" outlineLevel="0" collapsed="false">
      <c r="I326" s="1" t="str">
        <f aca="false">IF($C326="","",IFERROR(VLOOKUP($C326,Master_Mappings!$N$4:$S$200,3,FALSE()),"UNMAPPED"))</f>
        <v/>
      </c>
      <c r="J326" s="1" t="str">
        <f aca="false">IF($C326="","",IFERROR(VLOOKUP($C326,Master_Mappings!$N$4:$S$134,4,FALSE()),""))</f>
        <v/>
      </c>
      <c r="M326" s="0" t="str">
        <f aca="false">IF($C326="","",IFERROR(VLOOKUP($C326,Master_Mappings!$N$4:$S$200,6,FALSE()),""))</f>
        <v/>
      </c>
    </row>
    <row r="327" customFormat="false" ht="13.5" hidden="false" customHeight="false" outlineLevel="0" collapsed="false">
      <c r="I327" s="1" t="str">
        <f aca="false">IF($C327="","",IFERROR(VLOOKUP($C327,Master_Mappings!$N$4:$S$200,3,FALSE()),"UNMAPPED"))</f>
        <v/>
      </c>
      <c r="J327" s="1" t="str">
        <f aca="false">IF($C327="","",IFERROR(VLOOKUP($C327,Master_Mappings!$N$4:$S$134,4,FALSE()),""))</f>
        <v/>
      </c>
      <c r="M327" s="0" t="str">
        <f aca="false">IF($C327="","",IFERROR(VLOOKUP($C327,Master_Mappings!$N$4:$S$200,6,FALSE()),""))</f>
        <v/>
      </c>
    </row>
    <row r="328" customFormat="false" ht="13.5" hidden="false" customHeight="false" outlineLevel="0" collapsed="false">
      <c r="I328" s="1" t="str">
        <f aca="false">IF($C328="","",IFERROR(VLOOKUP($C328,Master_Mappings!$N$4:$S$200,3,FALSE()),"UNMAPPED"))</f>
        <v/>
      </c>
      <c r="J328" s="1" t="str">
        <f aca="false">IF($C328="","",IFERROR(VLOOKUP($C328,Master_Mappings!$N$4:$S$134,4,FALSE()),""))</f>
        <v/>
      </c>
      <c r="M328" s="0" t="str">
        <f aca="false">IF($C328="","",IFERROR(VLOOKUP($C328,Master_Mappings!$N$4:$S$200,6,FALSE()),""))</f>
        <v/>
      </c>
    </row>
    <row r="329" customFormat="false" ht="13.5" hidden="false" customHeight="false" outlineLevel="0" collapsed="false">
      <c r="I329" s="1" t="str">
        <f aca="false">IF($C329="","",IFERROR(VLOOKUP($C329,Master_Mappings!$N$4:$S$200,3,FALSE()),"UNMAPPED"))</f>
        <v/>
      </c>
      <c r="J329" s="1" t="str">
        <f aca="false">IF($C329="","",IFERROR(VLOOKUP($C329,Master_Mappings!$N$4:$S$134,4,FALSE()),""))</f>
        <v/>
      </c>
      <c r="M329" s="0" t="str">
        <f aca="false">IF($C329="","",IFERROR(VLOOKUP($C329,Master_Mappings!$N$4:$S$200,6,FALSE()),""))</f>
        <v/>
      </c>
    </row>
    <row r="330" customFormat="false" ht="13.5" hidden="false" customHeight="false" outlineLevel="0" collapsed="false">
      <c r="I330" s="1" t="str">
        <f aca="false">IF($C330="","",IFERROR(VLOOKUP($C330,Master_Mappings!$N$4:$S$200,3,FALSE()),"UNMAPPED"))</f>
        <v/>
      </c>
      <c r="J330" s="1" t="str">
        <f aca="false">IF($C330="","",IFERROR(VLOOKUP($C330,Master_Mappings!$N$4:$S$134,4,FALSE()),""))</f>
        <v/>
      </c>
      <c r="M330" s="0" t="str">
        <f aca="false">IF($C330="","",IFERROR(VLOOKUP($C330,Master_Mappings!$N$4:$S$200,6,FALSE()),""))</f>
        <v/>
      </c>
    </row>
    <row r="331" customFormat="false" ht="13.5" hidden="false" customHeight="false" outlineLevel="0" collapsed="false">
      <c r="I331" s="1" t="str">
        <f aca="false">IF($C331="","",IFERROR(VLOOKUP($C331,Master_Mappings!$N$4:$S$200,3,FALSE()),"UNMAPPED"))</f>
        <v/>
      </c>
      <c r="J331" s="1" t="str">
        <f aca="false">IF($C331="","",IFERROR(VLOOKUP($C331,Master_Mappings!$N$4:$S$134,4,FALSE()),""))</f>
        <v/>
      </c>
      <c r="M331" s="0" t="str">
        <f aca="false">IF($C331="","",IFERROR(VLOOKUP($C331,Master_Mappings!$N$4:$S$200,6,FALSE()),""))</f>
        <v/>
      </c>
    </row>
    <row r="332" customFormat="false" ht="13.5" hidden="false" customHeight="false" outlineLevel="0" collapsed="false">
      <c r="I332" s="1" t="str">
        <f aca="false">IF($C332="","",IFERROR(VLOOKUP($C332,Master_Mappings!$N$4:$S$200,3,FALSE()),"UNMAPPED"))</f>
        <v/>
      </c>
      <c r="J332" s="1" t="str">
        <f aca="false">IF($C332="","",IFERROR(VLOOKUP($C332,Master_Mappings!$N$4:$S$134,4,FALSE()),""))</f>
        <v/>
      </c>
      <c r="M332" s="0" t="str">
        <f aca="false">IF($C332="","",IFERROR(VLOOKUP($C332,Master_Mappings!$N$4:$S$200,6,FALSE()),""))</f>
        <v/>
      </c>
    </row>
    <row r="333" customFormat="false" ht="13.5" hidden="false" customHeight="false" outlineLevel="0" collapsed="false">
      <c r="I333" s="1" t="str">
        <f aca="false">IF($C333="","",IFERROR(VLOOKUP($C333,Master_Mappings!$N$4:$S$200,3,FALSE()),"UNMAPPED"))</f>
        <v/>
      </c>
      <c r="J333" s="1" t="str">
        <f aca="false">IF($C333="","",IFERROR(VLOOKUP($C333,Master_Mappings!$N$4:$S$134,4,FALSE()),""))</f>
        <v/>
      </c>
      <c r="M333" s="0" t="str">
        <f aca="false">IF($C333="","",IFERROR(VLOOKUP($C333,Master_Mappings!$N$4:$S$200,6,FALSE()),""))</f>
        <v/>
      </c>
    </row>
    <row r="334" customFormat="false" ht="13.5" hidden="false" customHeight="false" outlineLevel="0" collapsed="false">
      <c r="I334" s="1" t="str">
        <f aca="false">IF($C334="","",IFERROR(VLOOKUP($C334,Master_Mappings!$N$4:$S$200,3,FALSE()),"UNMAPPED"))</f>
        <v/>
      </c>
      <c r="J334" s="1" t="str">
        <f aca="false">IF($C334="","",IFERROR(VLOOKUP($C334,Master_Mappings!$N$4:$S$134,4,FALSE()),""))</f>
        <v/>
      </c>
      <c r="M334" s="0" t="str">
        <f aca="false">IF($C334="","",IFERROR(VLOOKUP($C334,Master_Mappings!$N$4:$S$200,6,FALSE()),""))</f>
        <v/>
      </c>
    </row>
    <row r="335" customFormat="false" ht="13.5" hidden="false" customHeight="false" outlineLevel="0" collapsed="false">
      <c r="I335" s="1" t="str">
        <f aca="false">IF($C335="","",IFERROR(VLOOKUP($C335,Master_Mappings!$N$4:$S$200,3,FALSE()),"UNMAPPED"))</f>
        <v/>
      </c>
      <c r="J335" s="1" t="str">
        <f aca="false">IF($C335="","",IFERROR(VLOOKUP($C335,Master_Mappings!$N$4:$S$134,4,FALSE()),""))</f>
        <v/>
      </c>
      <c r="M335" s="0" t="str">
        <f aca="false">IF($C335="","",IFERROR(VLOOKUP($C335,Master_Mappings!$N$4:$S$200,6,FALSE()),""))</f>
        <v/>
      </c>
    </row>
    <row r="336" customFormat="false" ht="13.5" hidden="false" customHeight="false" outlineLevel="0" collapsed="false">
      <c r="I336" s="1" t="str">
        <f aca="false">IF($C336="","",IFERROR(VLOOKUP($C336,Master_Mappings!$N$4:$S$200,3,FALSE()),"UNMAPPED"))</f>
        <v/>
      </c>
      <c r="J336" s="1" t="str">
        <f aca="false">IF($C336="","",IFERROR(VLOOKUP($C336,Master_Mappings!$N$4:$S$134,4,FALSE()),""))</f>
        <v/>
      </c>
      <c r="M336" s="0" t="str">
        <f aca="false">IF($C336="","",IFERROR(VLOOKUP($C336,Master_Mappings!$N$4:$S$200,6,FALSE()),""))</f>
        <v/>
      </c>
    </row>
    <row r="337" customFormat="false" ht="13.5" hidden="false" customHeight="false" outlineLevel="0" collapsed="false">
      <c r="I337" s="1" t="str">
        <f aca="false">IF($C337="","",IFERROR(VLOOKUP($C337,Master_Mappings!$N$4:$S$200,3,FALSE()),"UNMAPPED"))</f>
        <v/>
      </c>
      <c r="J337" s="1" t="str">
        <f aca="false">IF($C337="","",IFERROR(VLOOKUP($C337,Master_Mappings!$N$4:$S$134,4,FALSE()),""))</f>
        <v/>
      </c>
      <c r="M337" s="0" t="str">
        <f aca="false">IF($C337="","",IFERROR(VLOOKUP($C337,Master_Mappings!$N$4:$S$200,6,FALSE()),""))</f>
        <v/>
      </c>
    </row>
    <row r="338" customFormat="false" ht="13.5" hidden="false" customHeight="false" outlineLevel="0" collapsed="false">
      <c r="I338" s="1" t="str">
        <f aca="false">IF($C338="","",IFERROR(VLOOKUP($C338,Master_Mappings!$N$4:$S$200,3,FALSE()),"UNMAPPED"))</f>
        <v/>
      </c>
      <c r="J338" s="1" t="str">
        <f aca="false">IF($C338="","",IFERROR(VLOOKUP($C338,Master_Mappings!$N$4:$S$134,4,FALSE()),""))</f>
        <v/>
      </c>
      <c r="M338" s="0" t="str">
        <f aca="false">IF($C338="","",IFERROR(VLOOKUP($C338,Master_Mappings!$N$4:$S$200,6,FALSE()),""))</f>
        <v/>
      </c>
    </row>
    <row r="339" customFormat="false" ht="13.5" hidden="false" customHeight="false" outlineLevel="0" collapsed="false">
      <c r="I339" s="1" t="str">
        <f aca="false">IF($C339="","",IFERROR(VLOOKUP($C339,Master_Mappings!$N$4:$S$200,3,FALSE()),"UNMAPPED"))</f>
        <v/>
      </c>
      <c r="J339" s="1" t="str">
        <f aca="false">IF($C339="","",IFERROR(VLOOKUP($C339,Master_Mappings!$N$4:$S$134,4,FALSE()),""))</f>
        <v/>
      </c>
      <c r="M339" s="0" t="str">
        <f aca="false">IF($C339="","",IFERROR(VLOOKUP($C339,Master_Mappings!$N$4:$S$200,6,FALSE()),""))</f>
        <v/>
      </c>
    </row>
    <row r="340" customFormat="false" ht="13.5" hidden="false" customHeight="false" outlineLevel="0" collapsed="false">
      <c r="I340" s="1" t="str">
        <f aca="false">IF($C340="","",IFERROR(VLOOKUP($C340,Master_Mappings!$N$4:$S$200,3,FALSE()),"UNMAPPED"))</f>
        <v/>
      </c>
      <c r="J340" s="1" t="str">
        <f aca="false">IF($C340="","",IFERROR(VLOOKUP($C340,Master_Mappings!$N$4:$S$134,4,FALSE()),""))</f>
        <v/>
      </c>
      <c r="M340" s="0" t="str">
        <f aca="false">IF($C340="","",IFERROR(VLOOKUP($C340,Master_Mappings!$N$4:$S$200,6,FALSE()),""))</f>
        <v/>
      </c>
    </row>
    <row r="341" customFormat="false" ht="13.5" hidden="false" customHeight="false" outlineLevel="0" collapsed="false">
      <c r="I341" s="1" t="str">
        <f aca="false">IF($C341="","",IFERROR(VLOOKUP($C341,Master_Mappings!$N$4:$S$200,3,FALSE()),"UNMAPPED"))</f>
        <v/>
      </c>
      <c r="J341" s="1" t="str">
        <f aca="false">IF($C341="","",IFERROR(VLOOKUP($C341,Master_Mappings!$N$4:$S$134,4,FALSE()),""))</f>
        <v/>
      </c>
      <c r="M341" s="0" t="str">
        <f aca="false">IF($C341="","",IFERROR(VLOOKUP($C341,Master_Mappings!$N$4:$S$200,6,FALSE()),""))</f>
        <v/>
      </c>
    </row>
    <row r="342" customFormat="false" ht="13.5" hidden="false" customHeight="false" outlineLevel="0" collapsed="false">
      <c r="I342" s="1" t="str">
        <f aca="false">IF($C342="","",IFERROR(VLOOKUP($C342,Master_Mappings!$N$4:$S$200,3,FALSE()),"UNMAPPED"))</f>
        <v/>
      </c>
      <c r="J342" s="1" t="str">
        <f aca="false">IF($C342="","",IFERROR(VLOOKUP($C342,Master_Mappings!$N$4:$S$134,4,FALSE()),""))</f>
        <v/>
      </c>
      <c r="M342" s="0" t="str">
        <f aca="false">IF($C342="","",IFERROR(VLOOKUP($C342,Master_Mappings!$N$4:$S$200,6,FALSE()),""))</f>
        <v/>
      </c>
    </row>
    <row r="343" customFormat="false" ht="13.5" hidden="false" customHeight="false" outlineLevel="0" collapsed="false">
      <c r="I343" s="1" t="str">
        <f aca="false">IF($C343="","",IFERROR(VLOOKUP($C343,Master_Mappings!$N$4:$S$200,3,FALSE()),"UNMAPPED"))</f>
        <v/>
      </c>
      <c r="J343" s="1" t="str">
        <f aca="false">IF($C343="","",IFERROR(VLOOKUP($C343,Master_Mappings!$N$4:$S$134,4,FALSE()),""))</f>
        <v/>
      </c>
      <c r="M343" s="0" t="str">
        <f aca="false">IF($C343="","",IFERROR(VLOOKUP($C343,Master_Mappings!$N$4:$S$200,6,FALSE()),""))</f>
        <v/>
      </c>
    </row>
    <row r="344" customFormat="false" ht="13.5" hidden="false" customHeight="false" outlineLevel="0" collapsed="false">
      <c r="I344" s="1" t="str">
        <f aca="false">IF($C344="","",IFERROR(VLOOKUP($C344,Master_Mappings!$N$4:$S$200,3,FALSE()),"UNMAPPED"))</f>
        <v/>
      </c>
      <c r="J344" s="1" t="str">
        <f aca="false">IF($C344="","",IFERROR(VLOOKUP($C344,Master_Mappings!$N$4:$S$134,4,FALSE()),""))</f>
        <v/>
      </c>
      <c r="M344" s="0" t="str">
        <f aca="false">IF($C344="","",IFERROR(VLOOKUP($C344,Master_Mappings!$N$4:$S$200,6,FALSE()),""))</f>
        <v/>
      </c>
    </row>
    <row r="345" customFormat="false" ht="13.5" hidden="false" customHeight="false" outlineLevel="0" collapsed="false">
      <c r="I345" s="1" t="str">
        <f aca="false">IF($C345="","",IFERROR(VLOOKUP($C345,Master_Mappings!$N$4:$S$200,3,FALSE()),"UNMAPPED"))</f>
        <v/>
      </c>
      <c r="J345" s="1" t="str">
        <f aca="false">IF($C345="","",IFERROR(VLOOKUP($C345,Master_Mappings!$N$4:$S$134,4,FALSE()),""))</f>
        <v/>
      </c>
      <c r="M345" s="0" t="str">
        <f aca="false">IF($C345="","",IFERROR(VLOOKUP($C345,Master_Mappings!$N$4:$S$200,6,FALSE()),""))</f>
        <v/>
      </c>
    </row>
    <row r="346" customFormat="false" ht="13.5" hidden="false" customHeight="false" outlineLevel="0" collapsed="false">
      <c r="I346" s="1" t="str">
        <f aca="false">IF($C346="","",IFERROR(VLOOKUP($C346,Master_Mappings!$N$4:$S$200,3,FALSE()),"UNMAPPED"))</f>
        <v/>
      </c>
      <c r="J346" s="1" t="str">
        <f aca="false">IF($C346="","",IFERROR(VLOOKUP($C346,Master_Mappings!$N$4:$S$134,4,FALSE()),""))</f>
        <v/>
      </c>
      <c r="M346" s="0" t="str">
        <f aca="false">IF($C346="","",IFERROR(VLOOKUP($C346,Master_Mappings!$N$4:$S$200,6,FALSE()),""))</f>
        <v/>
      </c>
    </row>
    <row r="347" customFormat="false" ht="13.5" hidden="false" customHeight="false" outlineLevel="0" collapsed="false">
      <c r="I347" s="1" t="str">
        <f aca="false">IF($C347="","",IFERROR(VLOOKUP($C347,Master_Mappings!$N$4:$S$200,3,FALSE()),"UNMAPPED"))</f>
        <v/>
      </c>
      <c r="J347" s="1" t="str">
        <f aca="false">IF($C347="","",IFERROR(VLOOKUP($C347,Master_Mappings!$N$4:$S$134,4,FALSE()),""))</f>
        <v/>
      </c>
      <c r="M347" s="0" t="str">
        <f aca="false">IF($C347="","",IFERROR(VLOOKUP($C347,Master_Mappings!$N$4:$S$200,6,FALSE()),""))</f>
        <v/>
      </c>
    </row>
    <row r="348" customFormat="false" ht="13.5" hidden="false" customHeight="false" outlineLevel="0" collapsed="false">
      <c r="I348" s="1" t="str">
        <f aca="false">IF($C348="","",IFERROR(VLOOKUP($C348,Master_Mappings!$N$4:$S$200,3,FALSE()),"UNMAPPED"))</f>
        <v/>
      </c>
      <c r="J348" s="1" t="str">
        <f aca="false">IF($C348="","",IFERROR(VLOOKUP($C348,Master_Mappings!$N$4:$S$134,4,FALSE()),""))</f>
        <v/>
      </c>
      <c r="M348" s="0" t="str">
        <f aca="false">IF($C348="","",IFERROR(VLOOKUP($C348,Master_Mappings!$N$4:$S$200,6,FALSE()),""))</f>
        <v/>
      </c>
    </row>
    <row r="349" customFormat="false" ht="13.5" hidden="false" customHeight="false" outlineLevel="0" collapsed="false">
      <c r="I349" s="1" t="str">
        <f aca="false">IF($C349="","",IFERROR(VLOOKUP($C349,Master_Mappings!$N$4:$S$200,3,FALSE()),"UNMAPPED"))</f>
        <v/>
      </c>
      <c r="J349" s="1" t="str">
        <f aca="false">IF($C349="","",IFERROR(VLOOKUP($C349,Master_Mappings!$N$4:$S$134,4,FALSE()),""))</f>
        <v/>
      </c>
      <c r="M349" s="0" t="str">
        <f aca="false">IF($C349="","",IFERROR(VLOOKUP($C349,Master_Mappings!$N$4:$S$200,6,FALSE()),""))</f>
        <v/>
      </c>
    </row>
    <row r="350" customFormat="false" ht="13.5" hidden="false" customHeight="false" outlineLevel="0" collapsed="false">
      <c r="I350" s="1" t="str">
        <f aca="false">IF($C350="","",IFERROR(VLOOKUP($C350,Master_Mappings!$N$4:$S$200,3,FALSE()),"UNMAPPED"))</f>
        <v/>
      </c>
      <c r="J350" s="1" t="str">
        <f aca="false">IF($C350="","",IFERROR(VLOOKUP($C350,Master_Mappings!$N$4:$S$134,4,FALSE()),""))</f>
        <v/>
      </c>
      <c r="M350" s="0" t="str">
        <f aca="false">IF($C350="","",IFERROR(VLOOKUP($C350,Master_Mappings!$N$4:$S$200,6,FALSE()),""))</f>
        <v/>
      </c>
    </row>
    <row r="351" customFormat="false" ht="13.5" hidden="false" customHeight="false" outlineLevel="0" collapsed="false">
      <c r="I351" s="1" t="str">
        <f aca="false">IF($C351="","",IFERROR(VLOOKUP($C351,Master_Mappings!$N$4:$S$200,3,FALSE()),"UNMAPPED"))</f>
        <v/>
      </c>
      <c r="J351" s="1" t="str">
        <f aca="false">IF($C351="","",IFERROR(VLOOKUP($C351,Master_Mappings!$N$4:$S$134,4,FALSE()),""))</f>
        <v/>
      </c>
      <c r="M351" s="0" t="str">
        <f aca="false">IF($C351="","",IFERROR(VLOOKUP($C351,Master_Mappings!$N$4:$S$200,6,FALSE()),""))</f>
        <v/>
      </c>
    </row>
    <row r="352" customFormat="false" ht="13.5" hidden="false" customHeight="false" outlineLevel="0" collapsed="false">
      <c r="I352" s="1" t="str">
        <f aca="false">IF($C352="","",IFERROR(VLOOKUP($C352,Master_Mappings!$N$4:$S$200,3,FALSE()),"UNMAPPED"))</f>
        <v/>
      </c>
      <c r="J352" s="1" t="str">
        <f aca="false">IF($C352="","",IFERROR(VLOOKUP($C352,Master_Mappings!$N$4:$S$134,4,FALSE()),""))</f>
        <v/>
      </c>
      <c r="M352" s="0" t="str">
        <f aca="false">IF($C352="","",IFERROR(VLOOKUP($C352,Master_Mappings!$N$4:$S$200,6,FALSE()),""))</f>
        <v/>
      </c>
    </row>
    <row r="353" customFormat="false" ht="13.5" hidden="false" customHeight="false" outlineLevel="0" collapsed="false">
      <c r="I353" s="1" t="str">
        <f aca="false">IF($C353="","",IFERROR(VLOOKUP($C353,Master_Mappings!$N$4:$S$200,3,FALSE()),"UNMAPPED"))</f>
        <v/>
      </c>
      <c r="J353" s="1" t="str">
        <f aca="false">IF($C353="","",IFERROR(VLOOKUP($C353,Master_Mappings!$N$4:$S$134,4,FALSE()),""))</f>
        <v/>
      </c>
      <c r="M353" s="0" t="str">
        <f aca="false">IF($C353="","",IFERROR(VLOOKUP($C353,Master_Mappings!$N$4:$S$200,6,FALSE()),""))</f>
        <v/>
      </c>
    </row>
    <row r="354" customFormat="false" ht="13.5" hidden="false" customHeight="false" outlineLevel="0" collapsed="false">
      <c r="I354" s="1" t="str">
        <f aca="false">IF($C354="","",IFERROR(VLOOKUP($C354,Master_Mappings!$N$4:$S$200,3,FALSE()),"UNMAPPED"))</f>
        <v/>
      </c>
      <c r="J354" s="1" t="str">
        <f aca="false">IF($C354="","",IFERROR(VLOOKUP($C354,Master_Mappings!$N$4:$S$134,4,FALSE()),""))</f>
        <v/>
      </c>
      <c r="M354" s="0" t="str">
        <f aca="false">IF($C354="","",IFERROR(VLOOKUP($C354,Master_Mappings!$N$4:$S$200,6,FALSE()),""))</f>
        <v/>
      </c>
    </row>
    <row r="355" customFormat="false" ht="13.5" hidden="false" customHeight="false" outlineLevel="0" collapsed="false">
      <c r="I355" s="1" t="str">
        <f aca="false">IF($C355="","",IFERROR(VLOOKUP($C355,Master_Mappings!$N$4:$S$200,3,FALSE()),"UNMAPPED"))</f>
        <v/>
      </c>
      <c r="J355" s="1" t="str">
        <f aca="false">IF($C355="","",IFERROR(VLOOKUP($C355,Master_Mappings!$N$4:$S$134,4,FALSE()),""))</f>
        <v/>
      </c>
      <c r="M355" s="0" t="str">
        <f aca="false">IF($C355="","",IFERROR(VLOOKUP($C355,Master_Mappings!$N$4:$S$200,6,FALSE()),""))</f>
        <v/>
      </c>
    </row>
    <row r="356" customFormat="false" ht="13.5" hidden="false" customHeight="false" outlineLevel="0" collapsed="false">
      <c r="I356" s="1" t="str">
        <f aca="false">IF($C356="","",IFERROR(VLOOKUP($C356,Master_Mappings!$N$4:$S$200,3,FALSE()),"UNMAPPED"))</f>
        <v/>
      </c>
      <c r="J356" s="1" t="str">
        <f aca="false">IF($C356="","",IFERROR(VLOOKUP($C356,Master_Mappings!$N$4:$S$134,4,FALSE()),""))</f>
        <v/>
      </c>
      <c r="M356" s="0" t="str">
        <f aca="false">IF($C356="","",IFERROR(VLOOKUP($C356,Master_Mappings!$N$4:$S$200,6,FALSE()),""))</f>
        <v/>
      </c>
    </row>
    <row r="357" customFormat="false" ht="13.5" hidden="false" customHeight="false" outlineLevel="0" collapsed="false">
      <c r="I357" s="1" t="str">
        <f aca="false">IF($C357="","",IFERROR(VLOOKUP($C357,Master_Mappings!$N$4:$S$200,3,FALSE()),"UNMAPPED"))</f>
        <v/>
      </c>
      <c r="J357" s="1" t="str">
        <f aca="false">IF($C357="","",IFERROR(VLOOKUP($C357,Master_Mappings!$N$4:$S$134,4,FALSE()),""))</f>
        <v/>
      </c>
      <c r="M357" s="0" t="str">
        <f aca="false">IF($C357="","",IFERROR(VLOOKUP($C357,Master_Mappings!$N$4:$S$200,6,FALSE()),""))</f>
        <v/>
      </c>
    </row>
    <row r="358" customFormat="false" ht="13.5" hidden="false" customHeight="false" outlineLevel="0" collapsed="false">
      <c r="I358" s="1" t="str">
        <f aca="false">IF($C358="","",IFERROR(VLOOKUP($C358,Master_Mappings!$N$4:$S$200,3,FALSE()),"UNMAPPED"))</f>
        <v/>
      </c>
      <c r="J358" s="1" t="str">
        <f aca="false">IF($C358="","",IFERROR(VLOOKUP($C358,Master_Mappings!$N$4:$S$134,4,FALSE()),""))</f>
        <v/>
      </c>
      <c r="M358" s="0" t="str">
        <f aca="false">IF($C358="","",IFERROR(VLOOKUP($C358,Master_Mappings!$N$4:$S$200,6,FALSE()),""))</f>
        <v/>
      </c>
    </row>
    <row r="359" customFormat="false" ht="13.5" hidden="false" customHeight="false" outlineLevel="0" collapsed="false">
      <c r="I359" s="1" t="str">
        <f aca="false">IF($C359="","",IFERROR(VLOOKUP($C359,Master_Mappings!$N$4:$S$200,3,FALSE()),"UNMAPPED"))</f>
        <v/>
      </c>
      <c r="J359" s="1" t="str">
        <f aca="false">IF($C359="","",IFERROR(VLOOKUP($C359,Master_Mappings!$N$4:$S$134,4,FALSE()),""))</f>
        <v/>
      </c>
      <c r="M359" s="0" t="str">
        <f aca="false">IF($C359="","",IFERROR(VLOOKUP($C359,Master_Mappings!$N$4:$S$200,6,FALSE()),""))</f>
        <v/>
      </c>
    </row>
    <row r="360" customFormat="false" ht="13.5" hidden="false" customHeight="false" outlineLevel="0" collapsed="false">
      <c r="I360" s="1" t="str">
        <f aca="false">IF($C360="","",IFERROR(VLOOKUP($C360,Master_Mappings!$N$4:$S$200,3,FALSE()),"UNMAPPED"))</f>
        <v/>
      </c>
      <c r="J360" s="1" t="str">
        <f aca="false">IF($C360="","",IFERROR(VLOOKUP($C360,Master_Mappings!$N$4:$S$134,4,FALSE()),""))</f>
        <v/>
      </c>
      <c r="M360" s="0" t="str">
        <f aca="false">IF($C360="","",IFERROR(VLOOKUP($C360,Master_Mappings!$N$4:$S$200,6,FALSE()),""))</f>
        <v/>
      </c>
    </row>
    <row r="361" customFormat="false" ht="13.5" hidden="false" customHeight="false" outlineLevel="0" collapsed="false">
      <c r="I361" s="1" t="str">
        <f aca="false">IF($C361="","",IFERROR(VLOOKUP($C361,Master_Mappings!$N$4:$S$200,3,FALSE()),"UNMAPPED"))</f>
        <v/>
      </c>
      <c r="J361" s="1" t="str">
        <f aca="false">IF($C361="","",IFERROR(VLOOKUP($C361,Master_Mappings!$N$4:$S$134,4,FALSE()),""))</f>
        <v/>
      </c>
      <c r="M361" s="0" t="str">
        <f aca="false">IF($C361="","",IFERROR(VLOOKUP($C361,Master_Mappings!$N$4:$S$200,6,FALSE()),""))</f>
        <v/>
      </c>
    </row>
    <row r="362" customFormat="false" ht="13.5" hidden="false" customHeight="false" outlineLevel="0" collapsed="false">
      <c r="I362" s="1" t="str">
        <f aca="false">IF($C362="","",IFERROR(VLOOKUP($C362,Master_Mappings!$N$4:$S$200,3,FALSE()),"UNMAPPED"))</f>
        <v/>
      </c>
      <c r="J362" s="1" t="str">
        <f aca="false">IF($C362="","",IFERROR(VLOOKUP($C362,Master_Mappings!$N$4:$S$134,4,FALSE()),""))</f>
        <v/>
      </c>
      <c r="M362" s="0" t="str">
        <f aca="false">IF($C362="","",IFERROR(VLOOKUP($C362,Master_Mappings!$N$4:$S$200,6,FALSE()),""))</f>
        <v/>
      </c>
    </row>
    <row r="363" customFormat="false" ht="13.5" hidden="false" customHeight="false" outlineLevel="0" collapsed="false">
      <c r="I363" s="1" t="str">
        <f aca="false">IF($C363="","",IFERROR(VLOOKUP($C363,Master_Mappings!$N$4:$S$200,3,FALSE()),"UNMAPPED"))</f>
        <v/>
      </c>
      <c r="J363" s="1" t="str">
        <f aca="false">IF($C363="","",IFERROR(VLOOKUP($C363,Master_Mappings!$N$4:$S$134,4,FALSE()),""))</f>
        <v/>
      </c>
      <c r="M363" s="0" t="str">
        <f aca="false">IF($C363="","",IFERROR(VLOOKUP($C363,Master_Mappings!$N$4:$S$200,6,FALSE()),""))</f>
        <v/>
      </c>
    </row>
    <row r="364" customFormat="false" ht="13.5" hidden="false" customHeight="false" outlineLevel="0" collapsed="false">
      <c r="I364" s="1" t="str">
        <f aca="false">IF($C364="","",IFERROR(VLOOKUP($C364,Master_Mappings!$N$4:$S$200,3,FALSE()),"UNMAPPED"))</f>
        <v/>
      </c>
      <c r="J364" s="1" t="str">
        <f aca="false">IF($C364="","",IFERROR(VLOOKUP($C364,Master_Mappings!$N$4:$S$134,4,FALSE()),""))</f>
        <v/>
      </c>
      <c r="M364" s="0" t="str">
        <f aca="false">IF($C364="","",IFERROR(VLOOKUP($C364,Master_Mappings!$N$4:$S$200,6,FALSE()),""))</f>
        <v/>
      </c>
    </row>
    <row r="365" customFormat="false" ht="13.5" hidden="false" customHeight="false" outlineLevel="0" collapsed="false">
      <c r="I365" s="1" t="str">
        <f aca="false">IF($C365="","",IFERROR(VLOOKUP($C365,Master_Mappings!$N$4:$S$200,3,FALSE()),"UNMAPPED"))</f>
        <v/>
      </c>
      <c r="J365" s="1" t="str">
        <f aca="false">IF($C365="","",IFERROR(VLOOKUP($C365,Master_Mappings!$N$4:$S$134,4,FALSE()),""))</f>
        <v/>
      </c>
      <c r="M365" s="0" t="str">
        <f aca="false">IF($C365="","",IFERROR(VLOOKUP($C365,Master_Mappings!$N$4:$S$200,6,FALSE()),""))</f>
        <v/>
      </c>
    </row>
    <row r="366" customFormat="false" ht="13.5" hidden="false" customHeight="false" outlineLevel="0" collapsed="false">
      <c r="I366" s="1" t="str">
        <f aca="false">IF($C366="","",IFERROR(VLOOKUP($C366,Master_Mappings!$N$4:$S$200,3,FALSE()),"UNMAPPED"))</f>
        <v/>
      </c>
      <c r="J366" s="1" t="str">
        <f aca="false">IF($C366="","",IFERROR(VLOOKUP($C366,Master_Mappings!$N$4:$S$134,4,FALSE()),""))</f>
        <v/>
      </c>
      <c r="M366" s="0" t="str">
        <f aca="false">IF($C366="","",IFERROR(VLOOKUP($C366,Master_Mappings!$N$4:$S$200,6,FALSE()),""))</f>
        <v/>
      </c>
    </row>
    <row r="367" customFormat="false" ht="13.5" hidden="false" customHeight="false" outlineLevel="0" collapsed="false">
      <c r="I367" s="1" t="str">
        <f aca="false">IF($C367="","",IFERROR(VLOOKUP($C367,Master_Mappings!$N$4:$S$200,3,FALSE()),"UNMAPPED"))</f>
        <v/>
      </c>
      <c r="J367" s="1" t="str">
        <f aca="false">IF($C367="","",IFERROR(VLOOKUP($C367,Master_Mappings!$N$4:$S$134,4,FALSE()),""))</f>
        <v/>
      </c>
      <c r="M367" s="0" t="str">
        <f aca="false">IF($C367="","",IFERROR(VLOOKUP($C367,Master_Mappings!$N$4:$S$200,6,FALSE()),""))</f>
        <v/>
      </c>
    </row>
    <row r="368" customFormat="false" ht="13.5" hidden="false" customHeight="false" outlineLevel="0" collapsed="false">
      <c r="I368" s="1" t="str">
        <f aca="false">IF($C368="","",IFERROR(VLOOKUP($C368,Master_Mappings!$N$4:$S$200,3,FALSE()),"UNMAPPED"))</f>
        <v/>
      </c>
      <c r="J368" s="1" t="str">
        <f aca="false">IF($C368="","",IFERROR(VLOOKUP($C368,Master_Mappings!$N$4:$S$134,4,FALSE()),""))</f>
        <v/>
      </c>
      <c r="M368" s="0" t="str">
        <f aca="false">IF($C368="","",IFERROR(VLOOKUP($C368,Master_Mappings!$N$4:$S$200,6,FALSE()),""))</f>
        <v/>
      </c>
    </row>
    <row r="369" customFormat="false" ht="13.5" hidden="false" customHeight="false" outlineLevel="0" collapsed="false">
      <c r="I369" s="1" t="str">
        <f aca="false">IF($C369="","",IFERROR(VLOOKUP($C369,Master_Mappings!$N$4:$S$200,3,FALSE()),"UNMAPPED"))</f>
        <v/>
      </c>
      <c r="J369" s="1" t="str">
        <f aca="false">IF($C369="","",IFERROR(VLOOKUP($C369,Master_Mappings!$N$4:$S$134,4,FALSE()),""))</f>
        <v/>
      </c>
      <c r="M369" s="0" t="str">
        <f aca="false">IF($C369="","",IFERROR(VLOOKUP($C369,Master_Mappings!$N$4:$S$200,6,FALSE()),""))</f>
        <v/>
      </c>
    </row>
    <row r="370" customFormat="false" ht="13.5" hidden="false" customHeight="false" outlineLevel="0" collapsed="false">
      <c r="I370" s="1" t="str">
        <f aca="false">IF($C370="","",IFERROR(VLOOKUP($C370,Master_Mappings!$N$4:$S$200,3,FALSE()),"UNMAPPED"))</f>
        <v/>
      </c>
      <c r="J370" s="1" t="str">
        <f aca="false">IF($C370="","",IFERROR(VLOOKUP($C370,Master_Mappings!$N$4:$S$134,4,FALSE()),""))</f>
        <v/>
      </c>
      <c r="M370" s="0" t="str">
        <f aca="false">IF($C370="","",IFERROR(VLOOKUP($C370,Master_Mappings!$N$4:$S$200,6,FALSE()),""))</f>
        <v/>
      </c>
    </row>
    <row r="371" customFormat="false" ht="13.5" hidden="false" customHeight="false" outlineLevel="0" collapsed="false">
      <c r="I371" s="1" t="str">
        <f aca="false">IF($C371="","",IFERROR(VLOOKUP($C371,Master_Mappings!$N$4:$S$200,3,FALSE()),"UNMAPPED"))</f>
        <v/>
      </c>
      <c r="J371" s="1" t="str">
        <f aca="false">IF($C371="","",IFERROR(VLOOKUP($C371,Master_Mappings!$N$4:$S$134,4,FALSE()),""))</f>
        <v/>
      </c>
      <c r="M371" s="0" t="str">
        <f aca="false">IF($C371="","",IFERROR(VLOOKUP($C371,Master_Mappings!$N$4:$S$200,6,FALSE()),""))</f>
        <v/>
      </c>
    </row>
    <row r="372" customFormat="false" ht="13.5" hidden="false" customHeight="false" outlineLevel="0" collapsed="false">
      <c r="I372" s="1" t="str">
        <f aca="false">IF($C372="","",IFERROR(VLOOKUP($C372,Master_Mappings!$N$4:$S$200,3,FALSE()),"UNMAPPED"))</f>
        <v/>
      </c>
      <c r="J372" s="1" t="str">
        <f aca="false">IF($C372="","",IFERROR(VLOOKUP($C372,Master_Mappings!$N$4:$S$134,4,FALSE()),""))</f>
        <v/>
      </c>
      <c r="M372" s="0" t="str">
        <f aca="false">IF($C372="","",IFERROR(VLOOKUP($C372,Master_Mappings!$N$4:$S$200,6,FALSE()),""))</f>
        <v/>
      </c>
    </row>
    <row r="373" customFormat="false" ht="13.5" hidden="false" customHeight="false" outlineLevel="0" collapsed="false">
      <c r="I373" s="1" t="str">
        <f aca="false">IF($C373="","",IFERROR(VLOOKUP($C373,Master_Mappings!$N$4:$S$200,3,FALSE()),"UNMAPPED"))</f>
        <v/>
      </c>
      <c r="J373" s="1" t="str">
        <f aca="false">IF($C373="","",IFERROR(VLOOKUP($C373,Master_Mappings!$N$4:$S$134,4,FALSE()),""))</f>
        <v/>
      </c>
      <c r="M373" s="0" t="str">
        <f aca="false">IF($C373="","",IFERROR(VLOOKUP($C373,Master_Mappings!$N$4:$S$200,6,FALSE()),""))</f>
        <v/>
      </c>
    </row>
    <row r="374" customFormat="false" ht="13.5" hidden="false" customHeight="false" outlineLevel="0" collapsed="false">
      <c r="I374" s="1" t="str">
        <f aca="false">IF($C374="","",IFERROR(VLOOKUP($C374,Master_Mappings!$N$4:$S$200,3,FALSE()),"UNMAPPED"))</f>
        <v/>
      </c>
      <c r="J374" s="1" t="str">
        <f aca="false">IF($C374="","",IFERROR(VLOOKUP($C374,Master_Mappings!$N$4:$S$134,4,FALSE()),""))</f>
        <v/>
      </c>
      <c r="M374" s="0" t="str">
        <f aca="false">IF($C374="","",IFERROR(VLOOKUP($C374,Master_Mappings!$N$4:$S$200,6,FALSE()),""))</f>
        <v/>
      </c>
    </row>
    <row r="375" customFormat="false" ht="13.5" hidden="false" customHeight="false" outlineLevel="0" collapsed="false">
      <c r="I375" s="1" t="str">
        <f aca="false">IF($C375="","",IFERROR(VLOOKUP($C375,Master_Mappings!$N$4:$S$200,3,FALSE()),"UNMAPPED"))</f>
        <v/>
      </c>
      <c r="J375" s="1" t="str">
        <f aca="false">IF($C375="","",IFERROR(VLOOKUP($C375,Master_Mappings!$N$4:$S$134,4,FALSE()),""))</f>
        <v/>
      </c>
      <c r="M375" s="0" t="str">
        <f aca="false">IF($C375="","",IFERROR(VLOOKUP($C375,Master_Mappings!$N$4:$S$200,6,FALSE()),""))</f>
        <v/>
      </c>
    </row>
    <row r="376" customFormat="false" ht="13.5" hidden="false" customHeight="false" outlineLevel="0" collapsed="false">
      <c r="I376" s="1" t="str">
        <f aca="false">IF($C376="","",IFERROR(VLOOKUP($C376,Master_Mappings!$N$4:$S$200,3,FALSE()),"UNMAPPED"))</f>
        <v/>
      </c>
      <c r="J376" s="1" t="str">
        <f aca="false">IF($C376="","",IFERROR(VLOOKUP($C376,Master_Mappings!$N$4:$S$134,4,FALSE()),""))</f>
        <v/>
      </c>
      <c r="M376" s="0" t="str">
        <f aca="false">IF($C376="","",IFERROR(VLOOKUP($C376,Master_Mappings!$N$4:$S$200,6,FALSE()),""))</f>
        <v/>
      </c>
    </row>
    <row r="377" customFormat="false" ht="13.5" hidden="false" customHeight="false" outlineLevel="0" collapsed="false">
      <c r="I377" s="1" t="str">
        <f aca="false">IF($C377="","",IFERROR(VLOOKUP($C377,Master_Mappings!$N$4:$S$200,3,FALSE()),"UNMAPPED"))</f>
        <v/>
      </c>
      <c r="J377" s="1" t="str">
        <f aca="false">IF($C377="","",IFERROR(VLOOKUP($C377,Master_Mappings!$N$4:$S$134,4,FALSE()),""))</f>
        <v/>
      </c>
      <c r="M377" s="0" t="str">
        <f aca="false">IF($C377="","",IFERROR(VLOOKUP($C377,Master_Mappings!$N$4:$S$200,6,FALSE()),""))</f>
        <v/>
      </c>
    </row>
    <row r="378" customFormat="false" ht="13.5" hidden="false" customHeight="false" outlineLevel="0" collapsed="false">
      <c r="I378" s="1" t="str">
        <f aca="false">IF($C378="","",IFERROR(VLOOKUP($C378,Master_Mappings!$N$4:$S$200,3,FALSE()),"UNMAPPED"))</f>
        <v/>
      </c>
      <c r="J378" s="1" t="str">
        <f aca="false">IF($C378="","",IFERROR(VLOOKUP($C378,Master_Mappings!$N$4:$S$134,4,FALSE()),""))</f>
        <v/>
      </c>
      <c r="M378" s="0" t="str">
        <f aca="false">IF($C378="","",IFERROR(VLOOKUP($C378,Master_Mappings!$N$4:$S$200,6,FALSE()),""))</f>
        <v/>
      </c>
    </row>
    <row r="379" customFormat="false" ht="13.5" hidden="false" customHeight="false" outlineLevel="0" collapsed="false">
      <c r="I379" s="1" t="str">
        <f aca="false">IF($C379="","",IFERROR(VLOOKUP($C379,Master_Mappings!$N$4:$S$200,3,FALSE()),"UNMAPPED"))</f>
        <v/>
      </c>
      <c r="J379" s="1" t="str">
        <f aca="false">IF($C379="","",IFERROR(VLOOKUP($C379,Master_Mappings!$N$4:$S$134,4,FALSE()),""))</f>
        <v/>
      </c>
      <c r="M379" s="0" t="str">
        <f aca="false">IF($C379="","",IFERROR(VLOOKUP($C379,Master_Mappings!$N$4:$S$200,6,FALSE()),""))</f>
        <v/>
      </c>
    </row>
    <row r="380" customFormat="false" ht="13.5" hidden="false" customHeight="false" outlineLevel="0" collapsed="false">
      <c r="I380" s="1" t="str">
        <f aca="false">IF($C380="","",IFERROR(VLOOKUP($C380,Master_Mappings!$N$4:$S$200,3,FALSE()),"UNMAPPED"))</f>
        <v/>
      </c>
      <c r="J380" s="1" t="str">
        <f aca="false">IF($C380="","",IFERROR(VLOOKUP($C380,Master_Mappings!$N$4:$S$134,4,FALSE()),""))</f>
        <v/>
      </c>
      <c r="M380" s="0" t="str">
        <f aca="false">IF($C380="","",IFERROR(VLOOKUP($C380,Master_Mappings!$N$4:$S$200,6,FALSE()),""))</f>
        <v/>
      </c>
    </row>
    <row r="381" customFormat="false" ht="13.5" hidden="false" customHeight="false" outlineLevel="0" collapsed="false">
      <c r="I381" s="1" t="str">
        <f aca="false">IF($C381="","",IFERROR(VLOOKUP($C381,Master_Mappings!$N$4:$S$200,3,FALSE()),"UNMAPPED"))</f>
        <v/>
      </c>
      <c r="J381" s="1" t="str">
        <f aca="false">IF($C381="","",IFERROR(VLOOKUP($C381,Master_Mappings!$N$4:$S$134,4,FALSE()),""))</f>
        <v/>
      </c>
      <c r="M381" s="0" t="str">
        <f aca="false">IF($C381="","",IFERROR(VLOOKUP($C381,Master_Mappings!$N$4:$S$200,6,FALSE()),""))</f>
        <v/>
      </c>
    </row>
    <row r="382" customFormat="false" ht="13.5" hidden="false" customHeight="false" outlineLevel="0" collapsed="false">
      <c r="I382" s="1" t="str">
        <f aca="false">IF($C382="","",IFERROR(VLOOKUP($C382,Master_Mappings!$N$4:$S$200,3,FALSE()),"UNMAPPED"))</f>
        <v/>
      </c>
      <c r="J382" s="1" t="str">
        <f aca="false">IF($C382="","",IFERROR(VLOOKUP($C382,Master_Mappings!$N$4:$S$134,4,FALSE()),""))</f>
        <v/>
      </c>
      <c r="M382" s="0" t="str">
        <f aca="false">IF($C382="","",IFERROR(VLOOKUP($C382,Master_Mappings!$N$4:$S$200,6,FALSE()),""))</f>
        <v/>
      </c>
    </row>
    <row r="383" customFormat="false" ht="13.5" hidden="false" customHeight="false" outlineLevel="0" collapsed="false">
      <c r="I383" s="1" t="str">
        <f aca="false">IF($C383="","",IFERROR(VLOOKUP($C383,Master_Mappings!$N$4:$S$200,3,FALSE()),"UNMAPPED"))</f>
        <v/>
      </c>
      <c r="J383" s="1" t="str">
        <f aca="false">IF($C383="","",IFERROR(VLOOKUP($C383,Master_Mappings!$N$4:$S$134,4,FALSE()),""))</f>
        <v/>
      </c>
      <c r="M383" s="0" t="str">
        <f aca="false">IF($C383="","",IFERROR(VLOOKUP($C383,Master_Mappings!$N$4:$S$200,6,FALSE()),""))</f>
        <v/>
      </c>
    </row>
    <row r="384" customFormat="false" ht="13.5" hidden="false" customHeight="false" outlineLevel="0" collapsed="false">
      <c r="I384" s="1" t="str">
        <f aca="false">IF($C384="","",IFERROR(VLOOKUP($C384,Master_Mappings!$N$4:$S$200,3,FALSE()),"UNMAPPED"))</f>
        <v/>
      </c>
      <c r="J384" s="1" t="str">
        <f aca="false">IF($C384="","",IFERROR(VLOOKUP($C384,Master_Mappings!$N$4:$S$134,4,FALSE()),""))</f>
        <v/>
      </c>
      <c r="M384" s="0" t="str">
        <f aca="false">IF($C384="","",IFERROR(VLOOKUP($C384,Master_Mappings!$N$4:$S$200,6,FALSE()),""))</f>
        <v/>
      </c>
    </row>
    <row r="385" customFormat="false" ht="13.5" hidden="false" customHeight="false" outlineLevel="0" collapsed="false">
      <c r="I385" s="1" t="str">
        <f aca="false">IF($C385="","",IFERROR(VLOOKUP($C385,Master_Mappings!$N$4:$S$200,3,FALSE()),"UNMAPPED"))</f>
        <v/>
      </c>
      <c r="J385" s="1" t="str">
        <f aca="false">IF($C385="","",IFERROR(VLOOKUP($C385,Master_Mappings!$N$4:$S$134,4,FALSE()),""))</f>
        <v/>
      </c>
      <c r="M385" s="0" t="str">
        <f aca="false">IF($C385="","",IFERROR(VLOOKUP($C385,Master_Mappings!$N$4:$S$200,6,FALSE()),""))</f>
        <v/>
      </c>
    </row>
    <row r="386" customFormat="false" ht="13.5" hidden="false" customHeight="false" outlineLevel="0" collapsed="false">
      <c r="I386" s="1" t="str">
        <f aca="false">IF($C386="","",IFERROR(VLOOKUP($C386,Master_Mappings!$N$4:$S$200,3,FALSE()),"UNMAPPED"))</f>
        <v/>
      </c>
      <c r="J386" s="1" t="str">
        <f aca="false">IF($C386="","",IFERROR(VLOOKUP($C386,Master_Mappings!$N$4:$S$134,4,FALSE()),""))</f>
        <v/>
      </c>
      <c r="M386" s="0" t="str">
        <f aca="false">IF($C386="","",IFERROR(VLOOKUP($C386,Master_Mappings!$N$4:$S$200,6,FALSE()),""))</f>
        <v/>
      </c>
    </row>
    <row r="387" customFormat="false" ht="13.5" hidden="false" customHeight="false" outlineLevel="0" collapsed="false">
      <c r="I387" s="1" t="str">
        <f aca="false">IF($C387="","",IFERROR(VLOOKUP($C387,Master_Mappings!$N$4:$S$200,3,FALSE()),"UNMAPPED"))</f>
        <v/>
      </c>
      <c r="J387" s="1" t="str">
        <f aca="false">IF($C387="","",IFERROR(VLOOKUP($C387,Master_Mappings!$N$4:$S$134,4,FALSE()),""))</f>
        <v/>
      </c>
      <c r="M387" s="0" t="str">
        <f aca="false">IF($C387="","",IFERROR(VLOOKUP($C387,Master_Mappings!$N$4:$S$200,6,FALSE()),""))</f>
        <v/>
      </c>
    </row>
    <row r="388" customFormat="false" ht="13.5" hidden="false" customHeight="false" outlineLevel="0" collapsed="false">
      <c r="I388" s="1" t="str">
        <f aca="false">IF($C388="","",IFERROR(VLOOKUP($C388,Master_Mappings!$N$4:$S$200,3,FALSE()),"UNMAPPED"))</f>
        <v/>
      </c>
      <c r="J388" s="1" t="str">
        <f aca="false">IF($C388="","",IFERROR(VLOOKUP($C388,Master_Mappings!$N$4:$S$134,4,FALSE()),""))</f>
        <v/>
      </c>
      <c r="M388" s="0" t="str">
        <f aca="false">IF($C388="","",IFERROR(VLOOKUP($C388,Master_Mappings!$N$4:$S$200,6,FALSE()),""))</f>
        <v/>
      </c>
    </row>
    <row r="389" customFormat="false" ht="13.5" hidden="false" customHeight="false" outlineLevel="0" collapsed="false">
      <c r="I389" s="1" t="str">
        <f aca="false">IF($C389="","",IFERROR(VLOOKUP($C389,Master_Mappings!$N$4:$S$200,3,FALSE()),"UNMAPPED"))</f>
        <v/>
      </c>
      <c r="J389" s="1" t="str">
        <f aca="false">IF($C389="","",IFERROR(VLOOKUP($C389,Master_Mappings!$N$4:$S$134,4,FALSE()),""))</f>
        <v/>
      </c>
      <c r="M389" s="0" t="str">
        <f aca="false">IF($C389="","",IFERROR(VLOOKUP($C389,Master_Mappings!$N$4:$S$200,6,FALSE()),""))</f>
        <v/>
      </c>
    </row>
    <row r="390" customFormat="false" ht="13.5" hidden="false" customHeight="false" outlineLevel="0" collapsed="false">
      <c r="I390" s="1" t="str">
        <f aca="false">IF($C390="","",IFERROR(VLOOKUP($C390,Master_Mappings!$N$4:$S$200,3,FALSE()),"UNMAPPED"))</f>
        <v/>
      </c>
      <c r="J390" s="1" t="str">
        <f aca="false">IF($C390="","",IFERROR(VLOOKUP($C390,Master_Mappings!$N$4:$S$134,4,FALSE()),""))</f>
        <v/>
      </c>
      <c r="M390" s="0" t="str">
        <f aca="false">IF($C390="","",IFERROR(VLOOKUP($C390,Master_Mappings!$N$4:$S$200,6,FALSE()),""))</f>
        <v/>
      </c>
    </row>
    <row r="391" customFormat="false" ht="13.5" hidden="false" customHeight="false" outlineLevel="0" collapsed="false">
      <c r="I391" s="1" t="str">
        <f aca="false">IF($C391="","",IFERROR(VLOOKUP($C391,Master_Mappings!$N$4:$S$200,3,FALSE()),"UNMAPPED"))</f>
        <v/>
      </c>
      <c r="J391" s="1" t="str">
        <f aca="false">IF($C391="","",IFERROR(VLOOKUP($C391,Master_Mappings!$N$4:$S$134,4,FALSE()),""))</f>
        <v/>
      </c>
      <c r="M391" s="0" t="str">
        <f aca="false">IF($C391="","",IFERROR(VLOOKUP($C391,Master_Mappings!$N$4:$S$200,6,FALSE()),""))</f>
        <v/>
      </c>
    </row>
    <row r="392" customFormat="false" ht="13.5" hidden="false" customHeight="false" outlineLevel="0" collapsed="false">
      <c r="I392" s="1" t="str">
        <f aca="false">IF($C392="","",IFERROR(VLOOKUP($C392,Master_Mappings!$N$4:$S$200,3,FALSE()),"UNMAPPED"))</f>
        <v/>
      </c>
      <c r="J392" s="1" t="str">
        <f aca="false">IF($C392="","",IFERROR(VLOOKUP($C392,Master_Mappings!$N$4:$S$134,4,FALSE()),""))</f>
        <v/>
      </c>
      <c r="M392" s="0" t="str">
        <f aca="false">IF($C392="","",IFERROR(VLOOKUP($C392,Master_Mappings!$N$4:$S$200,6,FALSE()),""))</f>
        <v/>
      </c>
    </row>
    <row r="393" customFormat="false" ht="13.5" hidden="false" customHeight="false" outlineLevel="0" collapsed="false">
      <c r="I393" s="1" t="str">
        <f aca="false">IF($C393="","",IFERROR(VLOOKUP($C393,Master_Mappings!$N$4:$S$200,3,FALSE()),"UNMAPPED"))</f>
        <v/>
      </c>
      <c r="J393" s="1" t="str">
        <f aca="false">IF($C393="","",IFERROR(VLOOKUP($C393,Master_Mappings!$N$4:$S$134,4,FALSE()),""))</f>
        <v/>
      </c>
      <c r="M393" s="0" t="str">
        <f aca="false">IF($C393="","",IFERROR(VLOOKUP($C393,Master_Mappings!$N$4:$S$200,6,FALSE()),""))</f>
        <v/>
      </c>
    </row>
    <row r="394" customFormat="false" ht="13.5" hidden="false" customHeight="false" outlineLevel="0" collapsed="false">
      <c r="I394" s="1" t="str">
        <f aca="false">IF($C394="","",IFERROR(VLOOKUP($C394,Master_Mappings!$N$4:$S$200,3,FALSE()),"UNMAPPED"))</f>
        <v/>
      </c>
      <c r="J394" s="1" t="str">
        <f aca="false">IF($C394="","",IFERROR(VLOOKUP($C394,Master_Mappings!$N$4:$S$134,4,FALSE()),""))</f>
        <v/>
      </c>
      <c r="M394" s="0" t="str">
        <f aca="false">IF($C394="","",IFERROR(VLOOKUP($C394,Master_Mappings!$N$4:$S$200,6,FALSE()),""))</f>
        <v/>
      </c>
    </row>
    <row r="395" customFormat="false" ht="13.5" hidden="false" customHeight="false" outlineLevel="0" collapsed="false">
      <c r="I395" s="1" t="str">
        <f aca="false">IF($C395="","",IFERROR(VLOOKUP($C395,Master_Mappings!$N$4:$S$200,3,FALSE()),"UNMAPPED"))</f>
        <v/>
      </c>
      <c r="J395" s="1" t="str">
        <f aca="false">IF($C395="","",IFERROR(VLOOKUP($C395,Master_Mappings!$N$4:$S$134,4,FALSE()),""))</f>
        <v/>
      </c>
      <c r="M395" s="0" t="str">
        <f aca="false">IF($C395="","",IFERROR(VLOOKUP($C395,Master_Mappings!$N$4:$S$200,6,FALSE()),""))</f>
        <v/>
      </c>
    </row>
    <row r="396" customFormat="false" ht="13.5" hidden="false" customHeight="false" outlineLevel="0" collapsed="false">
      <c r="I396" s="1" t="str">
        <f aca="false">IF($C396="","",IFERROR(VLOOKUP($C396,Master_Mappings!$N$4:$S$200,3,FALSE()),"UNMAPPED"))</f>
        <v/>
      </c>
      <c r="J396" s="1" t="str">
        <f aca="false">IF($C396="","",IFERROR(VLOOKUP($C396,Master_Mappings!$N$4:$S$134,4,FALSE()),""))</f>
        <v/>
      </c>
      <c r="M396" s="0" t="str">
        <f aca="false">IF($C396="","",IFERROR(VLOOKUP($C396,Master_Mappings!$N$4:$S$200,6,FALSE()),""))</f>
        <v/>
      </c>
    </row>
    <row r="397" customFormat="false" ht="13.5" hidden="false" customHeight="false" outlineLevel="0" collapsed="false">
      <c r="I397" s="1" t="str">
        <f aca="false">IF($C397="","",IFERROR(VLOOKUP($C397,Master_Mappings!$N$4:$S$200,3,FALSE()),"UNMAPPED"))</f>
        <v/>
      </c>
      <c r="J397" s="1" t="str">
        <f aca="false">IF($C397="","",IFERROR(VLOOKUP($C397,Master_Mappings!$N$4:$S$134,4,FALSE()),""))</f>
        <v/>
      </c>
      <c r="M397" s="0" t="str">
        <f aca="false">IF($C397="","",IFERROR(VLOOKUP($C397,Master_Mappings!$N$4:$S$200,6,FALSE()),""))</f>
        <v/>
      </c>
    </row>
    <row r="398" customFormat="false" ht="13.5" hidden="false" customHeight="false" outlineLevel="0" collapsed="false">
      <c r="I398" s="1" t="str">
        <f aca="false">IF($C398="","",IFERROR(VLOOKUP($C398,Master_Mappings!$N$4:$S$200,3,FALSE()),"UNMAPPED"))</f>
        <v/>
      </c>
      <c r="J398" s="1" t="str">
        <f aca="false">IF($C398="","",IFERROR(VLOOKUP($C398,Master_Mappings!$N$4:$S$134,4,FALSE()),""))</f>
        <v/>
      </c>
      <c r="M398" s="0" t="str">
        <f aca="false">IF($C398="","",IFERROR(VLOOKUP($C398,Master_Mappings!$N$4:$S$200,6,FALSE()),""))</f>
        <v/>
      </c>
    </row>
    <row r="399" customFormat="false" ht="13.5" hidden="false" customHeight="false" outlineLevel="0" collapsed="false">
      <c r="I399" s="1" t="str">
        <f aca="false">IF($C399="","",IFERROR(VLOOKUP($C399,Master_Mappings!$N$4:$S$200,3,FALSE()),"UNMAPPED"))</f>
        <v/>
      </c>
      <c r="J399" s="1" t="str">
        <f aca="false">IF($C399="","",IFERROR(VLOOKUP($C399,Master_Mappings!$N$4:$S$134,4,FALSE()),""))</f>
        <v/>
      </c>
      <c r="M399" s="0" t="str">
        <f aca="false">IF($C399="","",IFERROR(VLOOKUP($C399,Master_Mappings!$N$4:$S$200,6,FALSE()),""))</f>
        <v/>
      </c>
    </row>
    <row r="400" customFormat="false" ht="13.5" hidden="false" customHeight="false" outlineLevel="0" collapsed="false">
      <c r="I400" s="1" t="str">
        <f aca="false">IF($C400="","",IFERROR(VLOOKUP($C400,Master_Mappings!$N$4:$S$200,3,FALSE()),"UNMAPPED"))</f>
        <v/>
      </c>
      <c r="J400" s="1" t="str">
        <f aca="false">IF($C400="","",IFERROR(VLOOKUP($C400,Master_Mappings!$N$4:$S$134,4,FALSE()),""))</f>
        <v/>
      </c>
      <c r="M400" s="0" t="str">
        <f aca="false">IF($C400="","",IFERROR(VLOOKUP($C400,Master_Mappings!$N$4:$S$200,6,FALSE()),""))</f>
        <v/>
      </c>
    </row>
    <row r="401" customFormat="false" ht="13.5" hidden="false" customHeight="false" outlineLevel="0" collapsed="false">
      <c r="I401" s="1" t="str">
        <f aca="false">IF($C401="","",IFERROR(VLOOKUP($C401,Master_Mappings!$N$4:$S$200,3,FALSE()),"UNMAPPED"))</f>
        <v/>
      </c>
      <c r="J401" s="1" t="str">
        <f aca="false">IF($C401="","",IFERROR(VLOOKUP($C401,Master_Mappings!$N$4:$S$134,4,FALSE()),""))</f>
        <v/>
      </c>
      <c r="M401" s="0" t="str">
        <f aca="false">IF($C401="","",IFERROR(VLOOKUP($C401,Master_Mappings!$N$4:$S$200,6,FALSE()),""))</f>
        <v/>
      </c>
    </row>
    <row r="402" customFormat="false" ht="13.5" hidden="false" customHeight="false" outlineLevel="0" collapsed="false">
      <c r="I402" s="1" t="str">
        <f aca="false">IF($C402="","",IFERROR(VLOOKUP($C402,Master_Mappings!$N$4:$S$200,3,FALSE()),"UNMAPPED"))</f>
        <v/>
      </c>
      <c r="J402" s="1" t="str">
        <f aca="false">IF($C402="","",IFERROR(VLOOKUP($C402,Master_Mappings!$N$4:$S$134,4,FALSE()),""))</f>
        <v/>
      </c>
      <c r="M402" s="0" t="str">
        <f aca="false">IF($C402="","",IFERROR(VLOOKUP($C402,Master_Mappings!$N$4:$S$200,6,FALSE()),""))</f>
        <v/>
      </c>
    </row>
    <row r="403" customFormat="false" ht="13.5" hidden="false" customHeight="false" outlineLevel="0" collapsed="false">
      <c r="I403" s="1" t="str">
        <f aca="false">IF($C403="","",IFERROR(VLOOKUP($C403,Master_Mappings!$N$4:$S$200,3,FALSE()),"UNMAPPED"))</f>
        <v/>
      </c>
      <c r="J403" s="1" t="str">
        <f aca="false">IF($C403="","",IFERROR(VLOOKUP($C403,Master_Mappings!$N$4:$S$134,4,FALSE()),""))</f>
        <v/>
      </c>
      <c r="M403" s="0" t="str">
        <f aca="false">IF($C403="","",IFERROR(VLOOKUP($C403,Master_Mappings!$N$4:$S$200,6,FALSE()),""))</f>
        <v/>
      </c>
    </row>
    <row r="404" customFormat="false" ht="13.5" hidden="false" customHeight="false" outlineLevel="0" collapsed="false">
      <c r="I404" s="1" t="str">
        <f aca="false">IF($C404="","",IFERROR(VLOOKUP($C404,Master_Mappings!$N$4:$S$200,3,FALSE()),"UNMAPPED"))</f>
        <v/>
      </c>
      <c r="J404" s="1" t="str">
        <f aca="false">IF($C404="","",IFERROR(VLOOKUP($C404,Master_Mappings!$N$4:$S$134,4,FALSE()),""))</f>
        <v/>
      </c>
      <c r="M404" s="0" t="str">
        <f aca="false">IF($C404="","",IFERROR(VLOOKUP($C404,Master_Mappings!$N$4:$S$200,6,FALSE()),""))</f>
        <v/>
      </c>
    </row>
    <row r="405" customFormat="false" ht="13.5" hidden="false" customHeight="false" outlineLevel="0" collapsed="false">
      <c r="I405" s="1" t="str">
        <f aca="false">IF($C405="","",IFERROR(VLOOKUP($C405,Master_Mappings!$N$4:$S$200,3,FALSE()),"UNMAPPED"))</f>
        <v/>
      </c>
      <c r="J405" s="1" t="str">
        <f aca="false">IF($C405="","",IFERROR(VLOOKUP($C405,Master_Mappings!$N$4:$S$134,4,FALSE()),""))</f>
        <v/>
      </c>
      <c r="M405" s="0" t="str">
        <f aca="false">IF($C405="","",IFERROR(VLOOKUP($C405,Master_Mappings!$N$4:$S$200,6,FALSE()),""))</f>
        <v/>
      </c>
    </row>
    <row r="406" customFormat="false" ht="13.5" hidden="false" customHeight="false" outlineLevel="0" collapsed="false">
      <c r="I406" s="1" t="str">
        <f aca="false">IF($C406="","",IFERROR(VLOOKUP($C406,Master_Mappings!$N$4:$S$200,3,FALSE()),"UNMAPPED"))</f>
        <v/>
      </c>
      <c r="J406" s="1" t="str">
        <f aca="false">IF($C406="","",IFERROR(VLOOKUP($C406,Master_Mappings!$N$4:$S$134,4,FALSE()),""))</f>
        <v/>
      </c>
      <c r="M406" s="0" t="str">
        <f aca="false">IF($C406="","",IFERROR(VLOOKUP($C406,Master_Mappings!$N$4:$S$200,6,FALSE()),""))</f>
        <v/>
      </c>
    </row>
    <row r="407" customFormat="false" ht="13.5" hidden="false" customHeight="false" outlineLevel="0" collapsed="false">
      <c r="I407" s="1" t="str">
        <f aca="false">IF($C407="","",IFERROR(VLOOKUP($C407,Master_Mappings!$N$4:$S$200,3,FALSE()),"UNMAPPED"))</f>
        <v/>
      </c>
      <c r="J407" s="1" t="str">
        <f aca="false">IF($C407="","",IFERROR(VLOOKUP($C407,Master_Mappings!$N$4:$S$134,4,FALSE()),""))</f>
        <v/>
      </c>
      <c r="M407" s="0" t="str">
        <f aca="false">IF($C407="","",IFERROR(VLOOKUP($C407,Master_Mappings!$N$4:$S$200,6,FALSE()),""))</f>
        <v/>
      </c>
    </row>
    <row r="408" customFormat="false" ht="13.5" hidden="false" customHeight="false" outlineLevel="0" collapsed="false">
      <c r="I408" s="1" t="str">
        <f aca="false">IF($C408="","",IFERROR(VLOOKUP($C408,Master_Mappings!$N$4:$S$200,3,FALSE()),"UNMAPPED"))</f>
        <v/>
      </c>
      <c r="J408" s="1" t="str">
        <f aca="false">IF($C408="","",IFERROR(VLOOKUP($C408,Master_Mappings!$N$4:$S$134,4,FALSE()),""))</f>
        <v/>
      </c>
      <c r="M408" s="0" t="str">
        <f aca="false">IF($C408="","",IFERROR(VLOOKUP($C408,Master_Mappings!$N$4:$S$200,6,FALSE()),""))</f>
        <v/>
      </c>
    </row>
    <row r="409" customFormat="false" ht="13.5" hidden="false" customHeight="false" outlineLevel="0" collapsed="false">
      <c r="I409" s="1" t="str">
        <f aca="false">IF($C409="","",IFERROR(VLOOKUP($C409,Master_Mappings!$N$4:$S$200,3,FALSE()),"UNMAPPED"))</f>
        <v/>
      </c>
      <c r="J409" s="1" t="str">
        <f aca="false">IF($C409="","",IFERROR(VLOOKUP($C409,Master_Mappings!$N$4:$S$134,4,FALSE()),""))</f>
        <v/>
      </c>
      <c r="M409" s="0" t="str">
        <f aca="false">IF($C409="","",IFERROR(VLOOKUP($C409,Master_Mappings!$N$4:$S$200,6,FALSE()),""))</f>
        <v/>
      </c>
    </row>
    <row r="410" customFormat="false" ht="13.5" hidden="false" customHeight="false" outlineLevel="0" collapsed="false">
      <c r="I410" s="1" t="str">
        <f aca="false">IF($C410="","",IFERROR(VLOOKUP($C410,Master_Mappings!$N$4:$S$200,3,FALSE()),"UNMAPPED"))</f>
        <v/>
      </c>
      <c r="J410" s="1" t="str">
        <f aca="false">IF($C410="","",IFERROR(VLOOKUP($C410,Master_Mappings!$N$4:$S$134,4,FALSE()),""))</f>
        <v/>
      </c>
      <c r="M410" s="0" t="str">
        <f aca="false">IF($C410="","",IFERROR(VLOOKUP($C410,Master_Mappings!$N$4:$S$200,6,FALSE()),""))</f>
        <v/>
      </c>
    </row>
    <row r="411" customFormat="false" ht="13.5" hidden="false" customHeight="false" outlineLevel="0" collapsed="false">
      <c r="I411" s="1" t="str">
        <f aca="false">IF($C411="","",IFERROR(VLOOKUP($C411,Master_Mappings!$N$4:$S$200,3,FALSE()),"UNMAPPED"))</f>
        <v/>
      </c>
      <c r="J411" s="1" t="str">
        <f aca="false">IF($C411="","",IFERROR(VLOOKUP($C411,Master_Mappings!$N$4:$S$134,4,FALSE()),""))</f>
        <v/>
      </c>
      <c r="M411" s="0" t="str">
        <f aca="false">IF($C411="","",IFERROR(VLOOKUP($C411,Master_Mappings!$N$4:$S$200,6,FALSE()),""))</f>
        <v/>
      </c>
    </row>
    <row r="412" customFormat="false" ht="13.5" hidden="false" customHeight="false" outlineLevel="0" collapsed="false">
      <c r="I412" s="1" t="str">
        <f aca="false">IF($C412="","",IFERROR(VLOOKUP($C412,Master_Mappings!$N$4:$S$200,3,FALSE()),"UNMAPPED"))</f>
        <v/>
      </c>
      <c r="J412" s="1" t="str">
        <f aca="false">IF($C412="","",IFERROR(VLOOKUP($C412,Master_Mappings!$N$4:$S$134,4,FALSE()),""))</f>
        <v/>
      </c>
      <c r="M412" s="0" t="str">
        <f aca="false">IF($C412="","",IFERROR(VLOOKUP($C412,Master_Mappings!$N$4:$S$200,6,FALSE()),""))</f>
        <v/>
      </c>
    </row>
    <row r="413" customFormat="false" ht="13.5" hidden="false" customHeight="false" outlineLevel="0" collapsed="false">
      <c r="I413" s="1" t="str">
        <f aca="false">IF($C413="","",IFERROR(VLOOKUP($C413,Master_Mappings!$N$4:$S$200,3,FALSE()),"UNMAPPED"))</f>
        <v/>
      </c>
      <c r="J413" s="1" t="str">
        <f aca="false">IF($C413="","",IFERROR(VLOOKUP($C413,Master_Mappings!$N$4:$S$134,4,FALSE()),""))</f>
        <v/>
      </c>
      <c r="M413" s="0" t="str">
        <f aca="false">IF($C413="","",IFERROR(VLOOKUP($C413,Master_Mappings!$N$4:$S$200,6,FALSE()),""))</f>
        <v/>
      </c>
    </row>
    <row r="414" customFormat="false" ht="13.5" hidden="false" customHeight="false" outlineLevel="0" collapsed="false">
      <c r="I414" s="1" t="str">
        <f aca="false">IF($C414="","",IFERROR(VLOOKUP($C414,Master_Mappings!$N$4:$S$200,3,FALSE()),"UNMAPPED"))</f>
        <v/>
      </c>
      <c r="J414" s="1" t="str">
        <f aca="false">IF($C414="","",IFERROR(VLOOKUP($C414,Master_Mappings!$N$4:$S$134,4,FALSE()),""))</f>
        <v/>
      </c>
      <c r="M414" s="0" t="str">
        <f aca="false">IF($C414="","",IFERROR(VLOOKUP($C414,Master_Mappings!$N$4:$S$200,6,FALSE()),""))</f>
        <v/>
      </c>
    </row>
    <row r="415" customFormat="false" ht="13.5" hidden="false" customHeight="false" outlineLevel="0" collapsed="false">
      <c r="I415" s="1" t="str">
        <f aca="false">IF($C415="","",IFERROR(VLOOKUP($C415,Master_Mappings!$N$4:$S$200,3,FALSE()),"UNMAPPED"))</f>
        <v/>
      </c>
      <c r="J415" s="1" t="str">
        <f aca="false">IF($C415="","",IFERROR(VLOOKUP($C415,Master_Mappings!$N$4:$S$134,4,FALSE()),""))</f>
        <v/>
      </c>
      <c r="M415" s="0" t="str">
        <f aca="false">IF($C415="","",IFERROR(VLOOKUP($C415,Master_Mappings!$N$4:$S$200,6,FALSE()),""))</f>
        <v/>
      </c>
    </row>
    <row r="416" customFormat="false" ht="13.5" hidden="false" customHeight="false" outlineLevel="0" collapsed="false">
      <c r="I416" s="1" t="str">
        <f aca="false">IF($C416="","",IFERROR(VLOOKUP($C416,Master_Mappings!$N$4:$S$200,3,FALSE()),"UNMAPPED"))</f>
        <v/>
      </c>
      <c r="J416" s="1" t="str">
        <f aca="false">IF($C416="","",IFERROR(VLOOKUP($C416,Master_Mappings!$N$4:$S$134,4,FALSE()),""))</f>
        <v/>
      </c>
      <c r="M416" s="0" t="str">
        <f aca="false">IF($C416="","",IFERROR(VLOOKUP($C416,Master_Mappings!$N$4:$S$200,6,FALSE()),""))</f>
        <v/>
      </c>
    </row>
    <row r="417" customFormat="false" ht="13.5" hidden="false" customHeight="false" outlineLevel="0" collapsed="false">
      <c r="I417" s="1" t="str">
        <f aca="false">IF($C417="","",IFERROR(VLOOKUP($C417,Master_Mappings!$N$4:$S$200,3,FALSE()),"UNMAPPED"))</f>
        <v/>
      </c>
      <c r="J417" s="1" t="str">
        <f aca="false">IF($C417="","",IFERROR(VLOOKUP($C417,Master_Mappings!$N$4:$S$134,4,FALSE()),""))</f>
        <v/>
      </c>
      <c r="M417" s="0" t="str">
        <f aca="false">IF($C417="","",IFERROR(VLOOKUP($C417,Master_Mappings!$N$4:$S$200,6,FALSE()),""))</f>
        <v/>
      </c>
    </row>
    <row r="418" customFormat="false" ht="13.5" hidden="false" customHeight="false" outlineLevel="0" collapsed="false">
      <c r="I418" s="1" t="str">
        <f aca="false">IF($C418="","",IFERROR(VLOOKUP($C418,Master_Mappings!$N$4:$S$200,3,FALSE()),"UNMAPPED"))</f>
        <v/>
      </c>
      <c r="J418" s="1" t="str">
        <f aca="false">IF($C418="","",IFERROR(VLOOKUP($C418,Master_Mappings!$N$4:$S$134,4,FALSE()),""))</f>
        <v/>
      </c>
      <c r="M418" s="0" t="str">
        <f aca="false">IF($C418="","",IFERROR(VLOOKUP($C418,Master_Mappings!$N$4:$S$200,6,FALSE()),""))</f>
        <v/>
      </c>
    </row>
    <row r="419" customFormat="false" ht="13.5" hidden="false" customHeight="false" outlineLevel="0" collapsed="false">
      <c r="I419" s="1" t="str">
        <f aca="false">IF($C419="","",IFERROR(VLOOKUP($C419,Master_Mappings!$N$4:$S$200,3,FALSE()),"UNMAPPED"))</f>
        <v/>
      </c>
      <c r="J419" s="1" t="str">
        <f aca="false">IF($C419="","",IFERROR(VLOOKUP($C419,Master_Mappings!$N$4:$S$134,4,FALSE()),""))</f>
        <v/>
      </c>
      <c r="M419" s="0" t="str">
        <f aca="false">IF($C419="","",IFERROR(VLOOKUP($C419,Master_Mappings!$N$4:$S$200,6,FALSE()),""))</f>
        <v/>
      </c>
    </row>
    <row r="420" customFormat="false" ht="13.5" hidden="false" customHeight="false" outlineLevel="0" collapsed="false">
      <c r="I420" s="1" t="str">
        <f aca="false">IF($C420="","",IFERROR(VLOOKUP($C420,Master_Mappings!$N$4:$S$200,3,FALSE()),"UNMAPPED"))</f>
        <v/>
      </c>
      <c r="J420" s="1" t="str">
        <f aca="false">IF($C420="","",IFERROR(VLOOKUP($C420,Master_Mappings!$N$4:$S$134,4,FALSE()),""))</f>
        <v/>
      </c>
      <c r="M420" s="0" t="str">
        <f aca="false">IF($C420="","",IFERROR(VLOOKUP($C420,Master_Mappings!$N$4:$S$200,6,FALSE()),""))</f>
        <v/>
      </c>
    </row>
    <row r="421" customFormat="false" ht="13.5" hidden="false" customHeight="false" outlineLevel="0" collapsed="false">
      <c r="I421" s="1" t="str">
        <f aca="false">IF($C421="","",IFERROR(VLOOKUP($C421,Master_Mappings!$N$4:$S$200,3,FALSE()),"UNMAPPED"))</f>
        <v/>
      </c>
      <c r="J421" s="1" t="str">
        <f aca="false">IF($C421="","",IFERROR(VLOOKUP($C421,Master_Mappings!$N$4:$S$134,4,FALSE()),""))</f>
        <v/>
      </c>
      <c r="M421" s="0" t="str">
        <f aca="false">IF($C421="","",IFERROR(VLOOKUP($C421,Master_Mappings!$N$4:$S$200,6,FALSE()),""))</f>
        <v/>
      </c>
    </row>
    <row r="422" customFormat="false" ht="13.5" hidden="false" customHeight="false" outlineLevel="0" collapsed="false">
      <c r="I422" s="1" t="str">
        <f aca="false">IF($C422="","",IFERROR(VLOOKUP($C422,Master_Mappings!$N$4:$S$200,3,FALSE()),"UNMAPPED"))</f>
        <v/>
      </c>
      <c r="J422" s="1" t="str">
        <f aca="false">IF($C422="","",IFERROR(VLOOKUP($C422,Master_Mappings!$N$4:$S$134,4,FALSE()),""))</f>
        <v/>
      </c>
      <c r="M422" s="0" t="str">
        <f aca="false">IF($C422="","",IFERROR(VLOOKUP($C422,Master_Mappings!$N$4:$S$200,6,FALSE()),""))</f>
        <v/>
      </c>
    </row>
    <row r="423" customFormat="false" ht="13.5" hidden="false" customHeight="false" outlineLevel="0" collapsed="false">
      <c r="I423" s="1" t="str">
        <f aca="false">IF($C423="","",IFERROR(VLOOKUP($C423,Master_Mappings!$N$4:$S$200,3,FALSE()),"UNMAPPED"))</f>
        <v/>
      </c>
      <c r="J423" s="1" t="str">
        <f aca="false">IF($C423="","",IFERROR(VLOOKUP($C423,Master_Mappings!$N$4:$S$134,4,FALSE()),""))</f>
        <v/>
      </c>
      <c r="M423" s="0" t="str">
        <f aca="false">IF($C423="","",IFERROR(VLOOKUP($C423,Master_Mappings!$N$4:$S$200,6,FALSE()),""))</f>
        <v/>
      </c>
    </row>
    <row r="424" customFormat="false" ht="13.5" hidden="false" customHeight="false" outlineLevel="0" collapsed="false">
      <c r="I424" s="1" t="str">
        <f aca="false">IF($C424="","",IFERROR(VLOOKUP($C424,Master_Mappings!$N$4:$S$200,3,FALSE()),"UNMAPPED"))</f>
        <v/>
      </c>
      <c r="J424" s="1" t="str">
        <f aca="false">IF($C424="","",IFERROR(VLOOKUP($C424,Master_Mappings!$N$4:$S$134,4,FALSE()),""))</f>
        <v/>
      </c>
      <c r="M424" s="0" t="str">
        <f aca="false">IF($C424="","",IFERROR(VLOOKUP($C424,Master_Mappings!$N$4:$S$200,6,FALSE()),""))</f>
        <v/>
      </c>
    </row>
    <row r="425" customFormat="false" ht="13.5" hidden="false" customHeight="false" outlineLevel="0" collapsed="false">
      <c r="I425" s="1" t="str">
        <f aca="false">IF($C425="","",IFERROR(VLOOKUP($C425,Master_Mappings!$N$4:$S$200,3,FALSE()),"UNMAPPED"))</f>
        <v/>
      </c>
      <c r="J425" s="1" t="str">
        <f aca="false">IF($C425="","",IFERROR(VLOOKUP($C425,Master_Mappings!$N$4:$S$134,4,FALSE()),""))</f>
        <v/>
      </c>
      <c r="M425" s="0" t="str">
        <f aca="false">IF($C425="","",IFERROR(VLOOKUP($C425,Master_Mappings!$N$4:$S$200,6,FALSE()),""))</f>
        <v/>
      </c>
    </row>
    <row r="426" customFormat="false" ht="13.5" hidden="false" customHeight="false" outlineLevel="0" collapsed="false">
      <c r="I426" s="1" t="str">
        <f aca="false">IF($C426="","",IFERROR(VLOOKUP($C426,Master_Mappings!$N$4:$S$200,3,FALSE()),"UNMAPPED"))</f>
        <v/>
      </c>
      <c r="J426" s="1" t="str">
        <f aca="false">IF($C426="","",IFERROR(VLOOKUP($C426,Master_Mappings!$N$4:$S$134,4,FALSE()),""))</f>
        <v/>
      </c>
      <c r="M426" s="0" t="str">
        <f aca="false">IF($C426="","",IFERROR(VLOOKUP($C426,Master_Mappings!$N$4:$S$200,6,FALSE()),""))</f>
        <v/>
      </c>
    </row>
    <row r="427" customFormat="false" ht="13.5" hidden="false" customHeight="false" outlineLevel="0" collapsed="false">
      <c r="I427" s="1" t="str">
        <f aca="false">IF($C427="","",IFERROR(VLOOKUP($C427,Master_Mappings!$N$4:$S$200,3,FALSE()),"UNMAPPED"))</f>
        <v/>
      </c>
      <c r="J427" s="1" t="str">
        <f aca="false">IF($C427="","",IFERROR(VLOOKUP($C427,Master_Mappings!$N$4:$S$134,4,FALSE()),""))</f>
        <v/>
      </c>
      <c r="M427" s="0" t="str">
        <f aca="false">IF($C427="","",IFERROR(VLOOKUP($C427,Master_Mappings!$N$4:$S$200,6,FALSE()),""))</f>
        <v/>
      </c>
    </row>
    <row r="428" customFormat="false" ht="13.5" hidden="false" customHeight="false" outlineLevel="0" collapsed="false">
      <c r="I428" s="1" t="str">
        <f aca="false">IF($C428="","",IFERROR(VLOOKUP($C428,Master_Mappings!$N$4:$S$200,3,FALSE()),"UNMAPPED"))</f>
        <v/>
      </c>
      <c r="J428" s="1" t="str">
        <f aca="false">IF($C428="","",IFERROR(VLOOKUP($C428,Master_Mappings!$N$4:$S$134,4,FALSE()),""))</f>
        <v/>
      </c>
      <c r="M428" s="0" t="str">
        <f aca="false">IF($C428="","",IFERROR(VLOOKUP($C428,Master_Mappings!$N$4:$S$200,6,FALSE()),""))</f>
        <v/>
      </c>
    </row>
    <row r="429" customFormat="false" ht="13.5" hidden="false" customHeight="false" outlineLevel="0" collapsed="false">
      <c r="I429" s="1" t="str">
        <f aca="false">IF($C429="","",IFERROR(VLOOKUP($C429,Master_Mappings!$N$4:$S$200,3,FALSE()),"UNMAPPED"))</f>
        <v/>
      </c>
      <c r="J429" s="1" t="str">
        <f aca="false">IF($C429="","",IFERROR(VLOOKUP($C429,Master_Mappings!$N$4:$S$134,4,FALSE()),""))</f>
        <v/>
      </c>
      <c r="M429" s="0" t="str">
        <f aca="false">IF($C429="","",IFERROR(VLOOKUP($C429,Master_Mappings!$N$4:$S$200,6,FALSE()),""))</f>
        <v/>
      </c>
    </row>
    <row r="430" customFormat="false" ht="13.5" hidden="false" customHeight="false" outlineLevel="0" collapsed="false">
      <c r="I430" s="1" t="str">
        <f aca="false">IF($C430="","",IFERROR(VLOOKUP($C430,Master_Mappings!$N$4:$S$200,3,FALSE()),"UNMAPPED"))</f>
        <v/>
      </c>
      <c r="J430" s="1" t="str">
        <f aca="false">IF($C430="","",IFERROR(VLOOKUP($C430,Master_Mappings!$N$4:$S$134,4,FALSE()),""))</f>
        <v/>
      </c>
      <c r="M430" s="0" t="str">
        <f aca="false">IF($C430="","",IFERROR(VLOOKUP($C430,Master_Mappings!$N$4:$S$200,6,FALSE()),""))</f>
        <v/>
      </c>
    </row>
    <row r="431" customFormat="false" ht="13.5" hidden="false" customHeight="false" outlineLevel="0" collapsed="false">
      <c r="I431" s="1" t="str">
        <f aca="false">IF($C431="","",IFERROR(VLOOKUP($C431,Master_Mappings!$N$4:$S$200,3,FALSE()),"UNMAPPED"))</f>
        <v/>
      </c>
      <c r="J431" s="1" t="str">
        <f aca="false">IF($C431="","",IFERROR(VLOOKUP($C431,Master_Mappings!$N$4:$S$134,4,FALSE()),""))</f>
        <v/>
      </c>
      <c r="M431" s="0" t="str">
        <f aca="false">IF($C431="","",IFERROR(VLOOKUP($C431,Master_Mappings!$N$4:$S$200,6,FALSE()),""))</f>
        <v/>
      </c>
    </row>
    <row r="432" customFormat="false" ht="13.5" hidden="false" customHeight="false" outlineLevel="0" collapsed="false">
      <c r="I432" s="1" t="str">
        <f aca="false">IF($C432="","",IFERROR(VLOOKUP($C432,Master_Mappings!$N$4:$S$200,3,FALSE()),"UNMAPPED"))</f>
        <v/>
      </c>
      <c r="J432" s="1" t="str">
        <f aca="false">IF($C432="","",IFERROR(VLOOKUP($C432,Master_Mappings!$N$4:$S$134,4,FALSE()),""))</f>
        <v/>
      </c>
      <c r="M432" s="0" t="str">
        <f aca="false">IF($C432="","",IFERROR(VLOOKUP($C432,Master_Mappings!$N$4:$S$200,6,FALSE()),""))</f>
        <v/>
      </c>
    </row>
    <row r="433" customFormat="false" ht="13.5" hidden="false" customHeight="false" outlineLevel="0" collapsed="false">
      <c r="I433" s="1" t="str">
        <f aca="false">IF($C433="","",IFERROR(VLOOKUP($C433,Master_Mappings!$N$4:$S$200,3,FALSE()),"UNMAPPED"))</f>
        <v/>
      </c>
      <c r="J433" s="1" t="str">
        <f aca="false">IF($C433="","",IFERROR(VLOOKUP($C433,Master_Mappings!$N$4:$S$134,4,FALSE()),""))</f>
        <v/>
      </c>
      <c r="M433" s="0" t="str">
        <f aca="false">IF($C433="","",IFERROR(VLOOKUP($C433,Master_Mappings!$N$4:$S$200,6,FALSE()),""))</f>
        <v/>
      </c>
    </row>
    <row r="434" customFormat="false" ht="13.5" hidden="false" customHeight="false" outlineLevel="0" collapsed="false">
      <c r="I434" s="1" t="str">
        <f aca="false">IF($C434="","",IFERROR(VLOOKUP($C434,Master_Mappings!$N$4:$S$200,3,FALSE()),"UNMAPPED"))</f>
        <v/>
      </c>
      <c r="J434" s="1" t="str">
        <f aca="false">IF($C434="","",IFERROR(VLOOKUP($C434,Master_Mappings!$N$4:$S$134,4,FALSE()),""))</f>
        <v/>
      </c>
      <c r="M434" s="0" t="str">
        <f aca="false">IF($C434="","",IFERROR(VLOOKUP($C434,Master_Mappings!$N$4:$S$200,6,FALSE()),""))</f>
        <v/>
      </c>
    </row>
    <row r="435" customFormat="false" ht="13.5" hidden="false" customHeight="false" outlineLevel="0" collapsed="false">
      <c r="I435" s="1" t="str">
        <f aca="false">IF($C435="","",IFERROR(VLOOKUP($C435,Master_Mappings!$N$4:$S$200,3,FALSE()),"UNMAPPED"))</f>
        <v/>
      </c>
      <c r="J435" s="1" t="str">
        <f aca="false">IF($C435="","",IFERROR(VLOOKUP($C435,Master_Mappings!$N$4:$S$134,4,FALSE()),""))</f>
        <v/>
      </c>
      <c r="M435" s="0" t="str">
        <f aca="false">IF($C435="","",IFERROR(VLOOKUP($C435,Master_Mappings!$N$4:$S$200,6,FALSE()),""))</f>
        <v/>
      </c>
    </row>
    <row r="436" customFormat="false" ht="13.5" hidden="false" customHeight="false" outlineLevel="0" collapsed="false">
      <c r="I436" s="1" t="str">
        <f aca="false">IF($C436="","",IFERROR(VLOOKUP($C436,Master_Mappings!$N$4:$S$200,3,FALSE()),"UNMAPPED"))</f>
        <v/>
      </c>
      <c r="J436" s="1" t="str">
        <f aca="false">IF($C436="","",IFERROR(VLOOKUP($C436,Master_Mappings!$N$4:$S$134,4,FALSE()),""))</f>
        <v/>
      </c>
      <c r="M436" s="0" t="str">
        <f aca="false">IF($C436="","",IFERROR(VLOOKUP($C436,Master_Mappings!$N$4:$S$200,6,FALSE()),""))</f>
        <v/>
      </c>
    </row>
    <row r="437" customFormat="false" ht="13.5" hidden="false" customHeight="false" outlineLevel="0" collapsed="false">
      <c r="I437" s="1" t="str">
        <f aca="false">IF($C437="","",IFERROR(VLOOKUP($C437,Master_Mappings!$N$4:$S$200,3,FALSE()),"UNMAPPED"))</f>
        <v/>
      </c>
      <c r="J437" s="1" t="str">
        <f aca="false">IF($C437="","",IFERROR(VLOOKUP($C437,Master_Mappings!$N$4:$S$134,4,FALSE()),""))</f>
        <v/>
      </c>
      <c r="M437" s="0" t="str">
        <f aca="false">IF($C437="","",IFERROR(VLOOKUP($C437,Master_Mappings!$N$4:$S$200,6,FALSE()),""))</f>
        <v/>
      </c>
    </row>
    <row r="438" customFormat="false" ht="13.5" hidden="false" customHeight="false" outlineLevel="0" collapsed="false">
      <c r="I438" s="1" t="str">
        <f aca="false">IF($C438="","",IFERROR(VLOOKUP($C438,Master_Mappings!$N$4:$S$200,3,FALSE()),"UNMAPPED"))</f>
        <v/>
      </c>
      <c r="J438" s="1" t="str">
        <f aca="false">IF($C438="","",IFERROR(VLOOKUP($C438,Master_Mappings!$N$4:$S$134,4,FALSE()),""))</f>
        <v/>
      </c>
      <c r="M438" s="0" t="str">
        <f aca="false">IF($C438="","",IFERROR(VLOOKUP($C438,Master_Mappings!$N$4:$S$200,6,FALSE()),""))</f>
        <v/>
      </c>
    </row>
    <row r="439" customFormat="false" ht="13.5" hidden="false" customHeight="false" outlineLevel="0" collapsed="false">
      <c r="I439" s="1" t="str">
        <f aca="false">IF($C439="","",IFERROR(VLOOKUP($C439,Master_Mappings!$N$4:$S$200,3,FALSE()),"UNMAPPED"))</f>
        <v/>
      </c>
      <c r="J439" s="1" t="str">
        <f aca="false">IF($C439="","",IFERROR(VLOOKUP($C439,Master_Mappings!$N$4:$S$134,4,FALSE()),""))</f>
        <v/>
      </c>
      <c r="M439" s="0" t="str">
        <f aca="false">IF($C439="","",IFERROR(VLOOKUP($C439,Master_Mappings!$N$4:$S$200,6,FALSE()),""))</f>
        <v/>
      </c>
    </row>
    <row r="440" customFormat="false" ht="13.5" hidden="false" customHeight="false" outlineLevel="0" collapsed="false">
      <c r="I440" s="1" t="str">
        <f aca="false">IF($C440="","",IFERROR(VLOOKUP($C440,Master_Mappings!$N$4:$S$200,3,FALSE()),"UNMAPPED"))</f>
        <v/>
      </c>
      <c r="J440" s="1" t="str">
        <f aca="false">IF($C440="","",IFERROR(VLOOKUP($C440,Master_Mappings!$N$4:$S$134,4,FALSE()),""))</f>
        <v/>
      </c>
      <c r="M440" s="0" t="str">
        <f aca="false">IF($C440="","",IFERROR(VLOOKUP($C440,Master_Mappings!$N$4:$S$200,6,FALSE()),""))</f>
        <v/>
      </c>
    </row>
    <row r="441" customFormat="false" ht="13.5" hidden="false" customHeight="false" outlineLevel="0" collapsed="false">
      <c r="I441" s="1" t="str">
        <f aca="false">IF($C441="","",IFERROR(VLOOKUP($C441,Master_Mappings!$N$4:$S$200,3,FALSE()),"UNMAPPED"))</f>
        <v/>
      </c>
      <c r="J441" s="1" t="str">
        <f aca="false">IF($C441="","",IFERROR(VLOOKUP($C441,Master_Mappings!$N$4:$S$134,4,FALSE()),""))</f>
        <v/>
      </c>
      <c r="M441" s="0" t="str">
        <f aca="false">IF($C441="","",IFERROR(VLOOKUP($C441,Master_Mappings!$N$4:$S$200,6,FALSE()),""))</f>
        <v/>
      </c>
    </row>
    <row r="442" customFormat="false" ht="13.5" hidden="false" customHeight="false" outlineLevel="0" collapsed="false">
      <c r="I442" s="1" t="str">
        <f aca="false">IF($C442="","",IFERROR(VLOOKUP($C442,Master_Mappings!$N$4:$S$200,3,FALSE()),"UNMAPPED"))</f>
        <v/>
      </c>
      <c r="J442" s="1" t="str">
        <f aca="false">IF($C442="","",IFERROR(VLOOKUP($C442,Master_Mappings!$N$4:$S$134,4,FALSE()),""))</f>
        <v/>
      </c>
      <c r="M442" s="0" t="str">
        <f aca="false">IF($C442="","",IFERROR(VLOOKUP($C442,Master_Mappings!$N$4:$S$200,6,FALSE()),""))</f>
        <v/>
      </c>
    </row>
    <row r="443" customFormat="false" ht="13.5" hidden="false" customHeight="false" outlineLevel="0" collapsed="false">
      <c r="I443" s="1" t="str">
        <f aca="false">IF($C443="","",IFERROR(VLOOKUP($C443,Master_Mappings!$N$4:$S$200,3,FALSE()),"UNMAPPED"))</f>
        <v/>
      </c>
      <c r="J443" s="1" t="str">
        <f aca="false">IF($C443="","",IFERROR(VLOOKUP($C443,Master_Mappings!$N$4:$S$134,4,FALSE()),""))</f>
        <v/>
      </c>
      <c r="M443" s="0" t="str">
        <f aca="false">IF($C443="","",IFERROR(VLOOKUP($C443,Master_Mappings!$N$4:$S$200,6,FALSE()),""))</f>
        <v/>
      </c>
    </row>
    <row r="444" customFormat="false" ht="13.5" hidden="false" customHeight="false" outlineLevel="0" collapsed="false">
      <c r="I444" s="1" t="str">
        <f aca="false">IF($C444="","",IFERROR(VLOOKUP($C444,Master_Mappings!$N$4:$S$200,3,FALSE()),"UNMAPPED"))</f>
        <v/>
      </c>
      <c r="J444" s="1" t="str">
        <f aca="false">IF($C444="","",IFERROR(VLOOKUP($C444,Master_Mappings!$N$4:$S$134,4,FALSE()),""))</f>
        <v/>
      </c>
      <c r="M444" s="0" t="str">
        <f aca="false">IF($C444="","",IFERROR(VLOOKUP($C444,Master_Mappings!$N$4:$S$200,6,FALSE()),""))</f>
        <v/>
      </c>
    </row>
    <row r="445" customFormat="false" ht="13.5" hidden="false" customHeight="false" outlineLevel="0" collapsed="false">
      <c r="I445" s="1" t="str">
        <f aca="false">IF($C445="","",IFERROR(VLOOKUP($C445,Master_Mappings!$N$4:$S$200,3,FALSE()),"UNMAPPED"))</f>
        <v/>
      </c>
      <c r="J445" s="1" t="str">
        <f aca="false">IF($C445="","",IFERROR(VLOOKUP($C445,Master_Mappings!$N$4:$S$134,4,FALSE()),""))</f>
        <v/>
      </c>
      <c r="M445" s="0" t="str">
        <f aca="false">IF($C445="","",IFERROR(VLOOKUP($C445,Master_Mappings!$N$4:$S$200,6,FALSE()),""))</f>
        <v/>
      </c>
    </row>
    <row r="446" customFormat="false" ht="13.5" hidden="false" customHeight="false" outlineLevel="0" collapsed="false">
      <c r="I446" s="1" t="str">
        <f aca="false">IF($C446="","",IFERROR(VLOOKUP($C446,Master_Mappings!$N$4:$S$200,3,FALSE()),"UNMAPPED"))</f>
        <v/>
      </c>
      <c r="J446" s="1" t="str">
        <f aca="false">IF($C446="","",IFERROR(VLOOKUP($C446,Master_Mappings!$N$4:$S$134,4,FALSE()),""))</f>
        <v/>
      </c>
      <c r="M446" s="0" t="str">
        <f aca="false">IF($C446="","",IFERROR(VLOOKUP($C446,Master_Mappings!$N$4:$S$200,6,FALSE()),""))</f>
        <v/>
      </c>
    </row>
    <row r="447" customFormat="false" ht="13.5" hidden="false" customHeight="false" outlineLevel="0" collapsed="false">
      <c r="I447" s="1" t="str">
        <f aca="false">IF($C447="","",IFERROR(VLOOKUP($C447,Master_Mappings!$N$4:$S$200,3,FALSE()),"UNMAPPED"))</f>
        <v/>
      </c>
      <c r="J447" s="1" t="str">
        <f aca="false">IF($C447="","",IFERROR(VLOOKUP($C447,Master_Mappings!$N$4:$S$134,4,FALSE()),""))</f>
        <v/>
      </c>
      <c r="M447" s="0" t="str">
        <f aca="false">IF($C447="","",IFERROR(VLOOKUP($C447,Master_Mappings!$N$4:$S$200,6,FALSE()),""))</f>
        <v/>
      </c>
    </row>
    <row r="448" customFormat="false" ht="13.5" hidden="false" customHeight="false" outlineLevel="0" collapsed="false">
      <c r="I448" s="1" t="str">
        <f aca="false">IF($C448="","",IFERROR(VLOOKUP($C448,Master_Mappings!$N$4:$S$200,3,FALSE()),"UNMAPPED"))</f>
        <v/>
      </c>
      <c r="J448" s="1" t="str">
        <f aca="false">IF($C448="","",IFERROR(VLOOKUP($C448,Master_Mappings!$N$4:$S$134,4,FALSE()),""))</f>
        <v/>
      </c>
      <c r="M448" s="0" t="str">
        <f aca="false">IF($C448="","",IFERROR(VLOOKUP($C448,Master_Mappings!$N$4:$S$200,6,FALSE()),""))</f>
        <v/>
      </c>
    </row>
    <row r="449" customFormat="false" ht="13.5" hidden="false" customHeight="false" outlineLevel="0" collapsed="false">
      <c r="I449" s="1" t="str">
        <f aca="false">IF($C449="","",IFERROR(VLOOKUP($C449,Master_Mappings!$N$4:$S$200,3,FALSE()),"UNMAPPED"))</f>
        <v/>
      </c>
      <c r="J449" s="1" t="str">
        <f aca="false">IF($C449="","",IFERROR(VLOOKUP($C449,Master_Mappings!$N$4:$S$134,4,FALSE()),""))</f>
        <v/>
      </c>
      <c r="M449" s="0" t="str">
        <f aca="false">IF($C449="","",IFERROR(VLOOKUP($C449,Master_Mappings!$N$4:$S$200,6,FALSE()),""))</f>
        <v/>
      </c>
    </row>
    <row r="450" customFormat="false" ht="13.5" hidden="false" customHeight="false" outlineLevel="0" collapsed="false">
      <c r="I450" s="1" t="str">
        <f aca="false">IF($C450="","",IFERROR(VLOOKUP($C450,Master_Mappings!$N$4:$S$200,3,FALSE()),"UNMAPPED"))</f>
        <v/>
      </c>
      <c r="J450" s="1" t="str">
        <f aca="false">IF($C450="","",IFERROR(VLOOKUP($C450,Master_Mappings!$N$4:$S$134,4,FALSE()),""))</f>
        <v/>
      </c>
      <c r="M450" s="0" t="str">
        <f aca="false">IF($C450="","",IFERROR(VLOOKUP($C450,Master_Mappings!$N$4:$S$200,6,FALSE()),""))</f>
        <v/>
      </c>
    </row>
    <row r="451" customFormat="false" ht="13.5" hidden="false" customHeight="false" outlineLevel="0" collapsed="false">
      <c r="I451" s="1" t="str">
        <f aca="false">IF($C451="","",IFERROR(VLOOKUP($C451,Master_Mappings!$N$4:$S$200,3,FALSE()),"UNMAPPED"))</f>
        <v/>
      </c>
      <c r="J451" s="1" t="str">
        <f aca="false">IF($C451="","",IFERROR(VLOOKUP($C451,Master_Mappings!$N$4:$S$134,4,FALSE()),""))</f>
        <v/>
      </c>
      <c r="M451" s="0" t="str">
        <f aca="false">IF($C451="","",IFERROR(VLOOKUP($C451,Master_Mappings!$N$4:$S$200,6,FALSE()),""))</f>
        <v/>
      </c>
    </row>
    <row r="452" customFormat="false" ht="13.5" hidden="false" customHeight="false" outlineLevel="0" collapsed="false">
      <c r="I452" s="1" t="str">
        <f aca="false">IF($C452="","",IFERROR(VLOOKUP($C452,Master_Mappings!$N$4:$S$200,3,FALSE()),"UNMAPPED"))</f>
        <v/>
      </c>
      <c r="J452" s="1" t="str">
        <f aca="false">IF($C452="","",IFERROR(VLOOKUP($C452,Master_Mappings!$N$4:$S$134,4,FALSE()),""))</f>
        <v/>
      </c>
      <c r="M452" s="0" t="str">
        <f aca="false">IF($C452="","",IFERROR(VLOOKUP($C452,Master_Mappings!$N$4:$S$200,6,FALSE()),""))</f>
        <v/>
      </c>
    </row>
    <row r="453" customFormat="false" ht="13.5" hidden="false" customHeight="false" outlineLevel="0" collapsed="false">
      <c r="I453" s="1" t="str">
        <f aca="false">IF($C453="","",IFERROR(VLOOKUP($C453,Master_Mappings!$N$4:$S$200,3,FALSE()),"UNMAPPED"))</f>
        <v/>
      </c>
      <c r="J453" s="1" t="str">
        <f aca="false">IF($C453="","",IFERROR(VLOOKUP($C453,Master_Mappings!$N$4:$S$134,4,FALSE()),""))</f>
        <v/>
      </c>
      <c r="M453" s="0" t="str">
        <f aca="false">IF($C453="","",IFERROR(VLOOKUP($C453,Master_Mappings!$N$4:$S$200,6,FALSE()),""))</f>
        <v/>
      </c>
    </row>
    <row r="454" customFormat="false" ht="13.5" hidden="false" customHeight="false" outlineLevel="0" collapsed="false">
      <c r="I454" s="1" t="str">
        <f aca="false">IF($C454="","",IFERROR(VLOOKUP($C454,Master_Mappings!$N$4:$S$200,3,FALSE()),"UNMAPPED"))</f>
        <v/>
      </c>
      <c r="J454" s="1" t="str">
        <f aca="false">IF($C454="","",IFERROR(VLOOKUP($C454,Master_Mappings!$N$4:$S$134,4,FALSE()),""))</f>
        <v/>
      </c>
      <c r="M454" s="0" t="str">
        <f aca="false">IF($C454="","",IFERROR(VLOOKUP($C454,Master_Mappings!$N$4:$S$200,6,FALSE()),""))</f>
        <v/>
      </c>
    </row>
    <row r="455" customFormat="false" ht="13.5" hidden="false" customHeight="false" outlineLevel="0" collapsed="false">
      <c r="I455" s="1" t="str">
        <f aca="false">IF($C455="","",IFERROR(VLOOKUP($C455,Master_Mappings!$N$4:$S$200,3,FALSE()),"UNMAPPED"))</f>
        <v/>
      </c>
      <c r="J455" s="1" t="str">
        <f aca="false">IF($C455="","",IFERROR(VLOOKUP($C455,Master_Mappings!$N$4:$S$134,4,FALSE()),""))</f>
        <v/>
      </c>
      <c r="M455" s="0" t="str">
        <f aca="false">IF($C455="","",IFERROR(VLOOKUP($C455,Master_Mappings!$N$4:$S$200,6,FALSE()),""))</f>
        <v/>
      </c>
    </row>
    <row r="456" customFormat="false" ht="13.5" hidden="false" customHeight="false" outlineLevel="0" collapsed="false">
      <c r="I456" s="1" t="str">
        <f aca="false">IF($C456="","",IFERROR(VLOOKUP($C456,Master_Mappings!$N$4:$S$200,3,FALSE()),"UNMAPPED"))</f>
        <v/>
      </c>
      <c r="J456" s="1" t="str">
        <f aca="false">IF($C456="","",IFERROR(VLOOKUP($C456,Master_Mappings!$N$4:$S$134,4,FALSE()),""))</f>
        <v/>
      </c>
      <c r="M456" s="0" t="str">
        <f aca="false">IF($C456="","",IFERROR(VLOOKUP($C456,Master_Mappings!$N$4:$S$200,6,FALSE()),""))</f>
        <v/>
      </c>
    </row>
    <row r="457" customFormat="false" ht="13.5" hidden="false" customHeight="false" outlineLevel="0" collapsed="false">
      <c r="I457" s="1" t="str">
        <f aca="false">IF($C457="","",IFERROR(VLOOKUP($C457,Master_Mappings!$N$4:$S$200,3,FALSE()),"UNMAPPED"))</f>
        <v/>
      </c>
      <c r="J457" s="1" t="str">
        <f aca="false">IF($C457="","",IFERROR(VLOOKUP($C457,Master_Mappings!$N$4:$S$134,4,FALSE()),""))</f>
        <v/>
      </c>
      <c r="M457" s="0" t="str">
        <f aca="false">IF($C457="","",IFERROR(VLOOKUP($C457,Master_Mappings!$N$4:$S$200,6,FALSE()),""))</f>
        <v/>
      </c>
    </row>
    <row r="458" customFormat="false" ht="13.5" hidden="false" customHeight="false" outlineLevel="0" collapsed="false">
      <c r="I458" s="1" t="str">
        <f aca="false">IF($C458="","",IFERROR(VLOOKUP($C458,Master_Mappings!$N$4:$S$200,3,FALSE()),"UNMAPPED"))</f>
        <v/>
      </c>
      <c r="J458" s="1" t="str">
        <f aca="false">IF($C458="","",IFERROR(VLOOKUP($C458,Master_Mappings!$N$4:$S$134,4,FALSE()),""))</f>
        <v/>
      </c>
      <c r="M458" s="0" t="str">
        <f aca="false">IF($C458="","",IFERROR(VLOOKUP($C458,Master_Mappings!$N$4:$S$200,6,FALSE()),""))</f>
        <v/>
      </c>
    </row>
    <row r="459" customFormat="false" ht="13.5" hidden="false" customHeight="false" outlineLevel="0" collapsed="false">
      <c r="I459" s="1" t="str">
        <f aca="false">IF($C459="","",IFERROR(VLOOKUP($C459,Master_Mappings!$N$4:$S$200,3,FALSE()),"UNMAPPED"))</f>
        <v/>
      </c>
      <c r="J459" s="1" t="str">
        <f aca="false">IF($C459="","",IFERROR(VLOOKUP($C459,Master_Mappings!$N$4:$S$134,4,FALSE()),""))</f>
        <v/>
      </c>
      <c r="M459" s="0" t="str">
        <f aca="false">IF($C459="","",IFERROR(VLOOKUP($C459,Master_Mappings!$N$4:$S$200,6,FALSE()),""))</f>
        <v/>
      </c>
    </row>
    <row r="460" customFormat="false" ht="13.5" hidden="false" customHeight="false" outlineLevel="0" collapsed="false">
      <c r="I460" s="1" t="str">
        <f aca="false">IF($C460="","",IFERROR(VLOOKUP($C460,Master_Mappings!$N$4:$S$200,3,FALSE()),"UNMAPPED"))</f>
        <v/>
      </c>
      <c r="J460" s="1" t="str">
        <f aca="false">IF($C460="","",IFERROR(VLOOKUP($C460,Master_Mappings!$N$4:$S$134,4,FALSE()),""))</f>
        <v/>
      </c>
      <c r="M460" s="0" t="str">
        <f aca="false">IF($C460="","",IFERROR(VLOOKUP($C460,Master_Mappings!$N$4:$S$200,6,FALSE()),""))</f>
        <v/>
      </c>
    </row>
    <row r="461" customFormat="false" ht="13.5" hidden="false" customHeight="false" outlineLevel="0" collapsed="false">
      <c r="I461" s="1" t="str">
        <f aca="false">IF($C461="","",IFERROR(VLOOKUP($C461,Master_Mappings!$N$4:$S$200,3,FALSE()),"UNMAPPED"))</f>
        <v/>
      </c>
      <c r="J461" s="1" t="str">
        <f aca="false">IF($C461="","",IFERROR(VLOOKUP($C461,Master_Mappings!$N$4:$S$134,4,FALSE()),""))</f>
        <v/>
      </c>
      <c r="M461" s="0" t="str">
        <f aca="false">IF($C461="","",IFERROR(VLOOKUP($C461,Master_Mappings!$N$4:$S$200,6,FALSE()),""))</f>
        <v/>
      </c>
    </row>
    <row r="462" customFormat="false" ht="13.5" hidden="false" customHeight="false" outlineLevel="0" collapsed="false">
      <c r="I462" s="1" t="str">
        <f aca="false">IF($C462="","",IFERROR(VLOOKUP($C462,Master_Mappings!$N$4:$S$200,3,FALSE()),"UNMAPPED"))</f>
        <v/>
      </c>
      <c r="J462" s="1" t="str">
        <f aca="false">IF($C462="","",IFERROR(VLOOKUP($C462,Master_Mappings!$N$4:$S$134,4,FALSE()),""))</f>
        <v/>
      </c>
      <c r="M462" s="0" t="str">
        <f aca="false">IF($C462="","",IFERROR(VLOOKUP($C462,Master_Mappings!$N$4:$S$200,6,FALSE()),""))</f>
        <v/>
      </c>
    </row>
    <row r="463" customFormat="false" ht="13.5" hidden="false" customHeight="false" outlineLevel="0" collapsed="false">
      <c r="I463" s="1" t="str">
        <f aca="false">IF($C463="","",IFERROR(VLOOKUP($C463,Master_Mappings!$N$4:$S$200,3,FALSE()),"UNMAPPED"))</f>
        <v/>
      </c>
      <c r="J463" s="1" t="str">
        <f aca="false">IF($C463="","",IFERROR(VLOOKUP($C463,Master_Mappings!$N$4:$S$134,4,FALSE()),""))</f>
        <v/>
      </c>
      <c r="M463" s="0" t="str">
        <f aca="false">IF($C463="","",IFERROR(VLOOKUP($C463,Master_Mappings!$N$4:$S$200,6,FALSE()),""))</f>
        <v/>
      </c>
    </row>
    <row r="464" customFormat="false" ht="13.5" hidden="false" customHeight="false" outlineLevel="0" collapsed="false">
      <c r="I464" s="1" t="str">
        <f aca="false">IF($C464="","",IFERROR(VLOOKUP($C464,Master_Mappings!$N$4:$S$200,3,FALSE()),"UNMAPPED"))</f>
        <v/>
      </c>
      <c r="J464" s="1" t="str">
        <f aca="false">IF($C464="","",IFERROR(VLOOKUP($C464,Master_Mappings!$N$4:$S$134,4,FALSE()),""))</f>
        <v/>
      </c>
      <c r="M464" s="0" t="str">
        <f aca="false">IF($C464="","",IFERROR(VLOOKUP($C464,Master_Mappings!$N$4:$S$200,6,FALSE()),""))</f>
        <v/>
      </c>
    </row>
    <row r="465" customFormat="false" ht="13.5" hidden="false" customHeight="false" outlineLevel="0" collapsed="false">
      <c r="I465" s="1" t="str">
        <f aca="false">IF($C465="","",IFERROR(VLOOKUP($C465,Master_Mappings!$N$4:$S$200,3,FALSE()),"UNMAPPED"))</f>
        <v/>
      </c>
      <c r="J465" s="1" t="str">
        <f aca="false">IF($C465="","",IFERROR(VLOOKUP($C465,Master_Mappings!$N$4:$S$134,4,FALSE()),""))</f>
        <v/>
      </c>
      <c r="M465" s="0" t="str">
        <f aca="false">IF($C465="","",IFERROR(VLOOKUP($C465,Master_Mappings!$N$4:$S$200,6,FALSE()),""))</f>
        <v/>
      </c>
    </row>
    <row r="466" customFormat="false" ht="13.5" hidden="false" customHeight="false" outlineLevel="0" collapsed="false">
      <c r="I466" s="1" t="str">
        <f aca="false">IF($C466="","",IFERROR(VLOOKUP($C466,Master_Mappings!$N$4:$S$200,3,FALSE()),"UNMAPPED"))</f>
        <v/>
      </c>
      <c r="J466" s="1" t="str">
        <f aca="false">IF($C466="","",IFERROR(VLOOKUP($C466,Master_Mappings!$N$4:$S$134,4,FALSE()),""))</f>
        <v/>
      </c>
      <c r="M466" s="0" t="str">
        <f aca="false">IF($C466="","",IFERROR(VLOOKUP($C466,Master_Mappings!$N$4:$S$200,6,FALSE()),""))</f>
        <v/>
      </c>
    </row>
    <row r="467" customFormat="false" ht="13.5" hidden="false" customHeight="false" outlineLevel="0" collapsed="false">
      <c r="I467" s="1" t="str">
        <f aca="false">IF($C467="","",IFERROR(VLOOKUP($C467,Master_Mappings!$N$4:$S$200,3,FALSE()),"UNMAPPED"))</f>
        <v/>
      </c>
      <c r="J467" s="1" t="str">
        <f aca="false">IF($C467="","",IFERROR(VLOOKUP($C467,Master_Mappings!$N$4:$S$134,4,FALSE()),""))</f>
        <v/>
      </c>
      <c r="M467" s="0" t="str">
        <f aca="false">IF($C467="","",IFERROR(VLOOKUP($C467,Master_Mappings!$N$4:$S$200,6,FALSE()),""))</f>
        <v/>
      </c>
    </row>
    <row r="468" customFormat="false" ht="13.5" hidden="false" customHeight="false" outlineLevel="0" collapsed="false">
      <c r="I468" s="1" t="str">
        <f aca="false">IF($C468="","",IFERROR(VLOOKUP($C468,Master_Mappings!$N$4:$S$200,3,FALSE()),"UNMAPPED"))</f>
        <v/>
      </c>
      <c r="J468" s="1" t="str">
        <f aca="false">IF($C468="","",IFERROR(VLOOKUP($C468,Master_Mappings!$N$4:$S$134,4,FALSE()),""))</f>
        <v/>
      </c>
      <c r="M468" s="0" t="str">
        <f aca="false">IF($C468="","",IFERROR(VLOOKUP($C468,Master_Mappings!$N$4:$S$200,6,FALSE()),""))</f>
        <v/>
      </c>
    </row>
    <row r="469" customFormat="false" ht="13.5" hidden="false" customHeight="false" outlineLevel="0" collapsed="false">
      <c r="I469" s="1" t="str">
        <f aca="false">IF($C469="","",IFERROR(VLOOKUP($C469,Master_Mappings!$N$4:$S$200,3,FALSE()),"UNMAPPED"))</f>
        <v/>
      </c>
      <c r="J469" s="1" t="str">
        <f aca="false">IF($C469="","",IFERROR(VLOOKUP($C469,Master_Mappings!$N$4:$S$134,4,FALSE()),""))</f>
        <v/>
      </c>
      <c r="M469" s="0" t="str">
        <f aca="false">IF($C469="","",IFERROR(VLOOKUP($C469,Master_Mappings!$N$4:$S$200,6,FALSE()),""))</f>
        <v/>
      </c>
    </row>
    <row r="470" customFormat="false" ht="13.5" hidden="false" customHeight="false" outlineLevel="0" collapsed="false">
      <c r="I470" s="1" t="str">
        <f aca="false">IF($C470="","",IFERROR(VLOOKUP($C470,Master_Mappings!$N$4:$S$200,3,FALSE()),"UNMAPPED"))</f>
        <v/>
      </c>
      <c r="J470" s="1" t="str">
        <f aca="false">IF($C470="","",IFERROR(VLOOKUP($C470,Master_Mappings!$N$4:$S$134,4,FALSE()),""))</f>
        <v/>
      </c>
      <c r="M470" s="0" t="str">
        <f aca="false">IF($C470="","",IFERROR(VLOOKUP($C470,Master_Mappings!$N$4:$S$200,6,FALSE()),""))</f>
        <v/>
      </c>
    </row>
    <row r="471" customFormat="false" ht="13.5" hidden="false" customHeight="false" outlineLevel="0" collapsed="false">
      <c r="I471" s="1" t="str">
        <f aca="false">IF($C471="","",IFERROR(VLOOKUP($C471,Master_Mappings!$N$4:$S$200,3,FALSE()),"UNMAPPED"))</f>
        <v/>
      </c>
      <c r="J471" s="1" t="str">
        <f aca="false">IF($C471="","",IFERROR(VLOOKUP($C471,Master_Mappings!$N$4:$S$134,4,FALSE()),""))</f>
        <v/>
      </c>
      <c r="M471" s="0" t="str">
        <f aca="false">IF($C471="","",IFERROR(VLOOKUP($C471,Master_Mappings!$N$4:$S$200,6,FALSE()),""))</f>
        <v/>
      </c>
    </row>
    <row r="472" customFormat="false" ht="13.5" hidden="false" customHeight="false" outlineLevel="0" collapsed="false">
      <c r="I472" s="1" t="str">
        <f aca="false">IF($C472="","",IFERROR(VLOOKUP($C472,Master_Mappings!$N$4:$S$200,3,FALSE()),"UNMAPPED"))</f>
        <v/>
      </c>
      <c r="J472" s="1" t="str">
        <f aca="false">IF($C472="","",IFERROR(VLOOKUP($C472,Master_Mappings!$N$4:$S$134,4,FALSE()),""))</f>
        <v/>
      </c>
      <c r="M472" s="0" t="str">
        <f aca="false">IF($C472="","",IFERROR(VLOOKUP($C472,Master_Mappings!$N$4:$S$200,6,FALSE()),""))</f>
        <v/>
      </c>
    </row>
    <row r="473" customFormat="false" ht="13.5" hidden="false" customHeight="false" outlineLevel="0" collapsed="false">
      <c r="I473" s="1" t="str">
        <f aca="false">IF($C473="","",IFERROR(VLOOKUP($C473,Master_Mappings!$N$4:$S$200,3,FALSE()),"UNMAPPED"))</f>
        <v/>
      </c>
      <c r="J473" s="1" t="str">
        <f aca="false">IF($C473="","",IFERROR(VLOOKUP($C473,Master_Mappings!$N$4:$S$134,4,FALSE()),""))</f>
        <v/>
      </c>
      <c r="M473" s="0" t="str">
        <f aca="false">IF($C473="","",IFERROR(VLOOKUP($C473,Master_Mappings!$N$4:$S$200,6,FALSE()),""))</f>
        <v/>
      </c>
    </row>
    <row r="474" customFormat="false" ht="13.5" hidden="false" customHeight="false" outlineLevel="0" collapsed="false">
      <c r="I474" s="1" t="str">
        <f aca="false">IF($C474="","",IFERROR(VLOOKUP($C474,Master_Mappings!$N$4:$S$200,3,FALSE()),"UNMAPPED"))</f>
        <v/>
      </c>
      <c r="J474" s="1" t="str">
        <f aca="false">IF($C474="","",IFERROR(VLOOKUP($C474,Master_Mappings!$N$4:$S$134,4,FALSE()),""))</f>
        <v/>
      </c>
      <c r="M474" s="0" t="str">
        <f aca="false">IF($C474="","",IFERROR(VLOOKUP($C474,Master_Mappings!$N$4:$S$200,6,FALSE()),""))</f>
        <v/>
      </c>
    </row>
    <row r="475" customFormat="false" ht="13.5" hidden="false" customHeight="false" outlineLevel="0" collapsed="false">
      <c r="I475" s="1" t="str">
        <f aca="false">IF($C475="","",IFERROR(VLOOKUP($C475,Master_Mappings!$N$4:$S$200,3,FALSE()),"UNMAPPED"))</f>
        <v/>
      </c>
      <c r="J475" s="1" t="str">
        <f aca="false">IF($C475="","",IFERROR(VLOOKUP($C475,Master_Mappings!$N$4:$S$134,4,FALSE()),""))</f>
        <v/>
      </c>
      <c r="M475" s="0" t="str">
        <f aca="false">IF($C475="","",IFERROR(VLOOKUP($C475,Master_Mappings!$N$4:$S$200,6,FALSE()),""))</f>
        <v/>
      </c>
    </row>
    <row r="476" customFormat="false" ht="13.5" hidden="false" customHeight="false" outlineLevel="0" collapsed="false">
      <c r="I476" s="1" t="str">
        <f aca="false">IF($C476="","",IFERROR(VLOOKUP($C476,Master_Mappings!$N$4:$S$200,3,FALSE()),"UNMAPPED"))</f>
        <v/>
      </c>
      <c r="J476" s="1" t="str">
        <f aca="false">IF($C476="","",IFERROR(VLOOKUP($C476,Master_Mappings!$N$4:$S$134,4,FALSE()),""))</f>
        <v/>
      </c>
      <c r="M476" s="0" t="str">
        <f aca="false">IF($C476="","",IFERROR(VLOOKUP($C476,Master_Mappings!$N$4:$S$200,6,FALSE()),""))</f>
        <v/>
      </c>
    </row>
    <row r="477" customFormat="false" ht="13.5" hidden="false" customHeight="false" outlineLevel="0" collapsed="false">
      <c r="I477" s="1" t="str">
        <f aca="false">IF($C477="","",IFERROR(VLOOKUP($C477,Master_Mappings!$N$4:$S$200,3,FALSE()),"UNMAPPED"))</f>
        <v/>
      </c>
      <c r="J477" s="1" t="str">
        <f aca="false">IF($C477="","",IFERROR(VLOOKUP($C477,Master_Mappings!$N$4:$S$134,4,FALSE()),""))</f>
        <v/>
      </c>
      <c r="M477" s="0" t="str">
        <f aca="false">IF($C477="","",IFERROR(VLOOKUP($C477,Master_Mappings!$N$4:$S$200,6,FALSE()),""))</f>
        <v/>
      </c>
    </row>
    <row r="478" customFormat="false" ht="13.5" hidden="false" customHeight="false" outlineLevel="0" collapsed="false">
      <c r="I478" s="1" t="str">
        <f aca="false">IF($C478="","",IFERROR(VLOOKUP($C478,Master_Mappings!$N$4:$S$200,3,FALSE()),"UNMAPPED"))</f>
        <v/>
      </c>
      <c r="J478" s="1" t="str">
        <f aca="false">IF($C478="","",IFERROR(VLOOKUP($C478,Master_Mappings!$N$4:$S$134,4,FALSE()),""))</f>
        <v/>
      </c>
      <c r="M478" s="0" t="str">
        <f aca="false">IF($C478="","",IFERROR(VLOOKUP($C478,Master_Mappings!$N$4:$S$200,6,FALSE()),""))</f>
        <v/>
      </c>
    </row>
    <row r="479" customFormat="false" ht="13.5" hidden="false" customHeight="false" outlineLevel="0" collapsed="false">
      <c r="I479" s="1" t="str">
        <f aca="false">IF($C479="","",IFERROR(VLOOKUP($C479,Master_Mappings!$N$4:$S$200,3,FALSE()),"UNMAPPED"))</f>
        <v/>
      </c>
      <c r="J479" s="1" t="str">
        <f aca="false">IF($C479="","",IFERROR(VLOOKUP($C479,Master_Mappings!$N$4:$S$134,4,FALSE()),""))</f>
        <v/>
      </c>
      <c r="M479" s="0" t="str">
        <f aca="false">IF($C479="","",IFERROR(VLOOKUP($C479,Master_Mappings!$N$4:$S$200,6,FALSE()),""))</f>
        <v/>
      </c>
    </row>
    <row r="480" customFormat="false" ht="13.5" hidden="false" customHeight="false" outlineLevel="0" collapsed="false">
      <c r="I480" s="1" t="str">
        <f aca="false">IF($C480="","",IFERROR(VLOOKUP($C480,Master_Mappings!$N$4:$S$200,3,FALSE()),"UNMAPPED"))</f>
        <v/>
      </c>
      <c r="J480" s="1" t="str">
        <f aca="false">IF($C480="","",IFERROR(VLOOKUP($C480,Master_Mappings!$N$4:$S$134,4,FALSE()),""))</f>
        <v/>
      </c>
      <c r="M480" s="0" t="str">
        <f aca="false">IF($C480="","",IFERROR(VLOOKUP($C480,Master_Mappings!$N$4:$S$200,6,FALSE()),""))</f>
        <v/>
      </c>
    </row>
    <row r="481" customFormat="false" ht="13.5" hidden="false" customHeight="false" outlineLevel="0" collapsed="false">
      <c r="I481" s="1" t="str">
        <f aca="false">IF($C481="","",IFERROR(VLOOKUP($C481,Master_Mappings!$N$4:$S$200,3,FALSE()),"UNMAPPED"))</f>
        <v/>
      </c>
      <c r="J481" s="1" t="str">
        <f aca="false">IF($C481="","",IFERROR(VLOOKUP($C481,Master_Mappings!$N$4:$S$134,4,FALSE()),""))</f>
        <v/>
      </c>
      <c r="M481" s="0" t="str">
        <f aca="false">IF($C481="","",IFERROR(VLOOKUP($C481,Master_Mappings!$N$4:$S$200,6,FALSE()),""))</f>
        <v/>
      </c>
    </row>
    <row r="482" customFormat="false" ht="13.5" hidden="false" customHeight="false" outlineLevel="0" collapsed="false">
      <c r="I482" s="1" t="str">
        <f aca="false">IF($C482="","",IFERROR(VLOOKUP($C482,Master_Mappings!$N$4:$S$200,3,FALSE()),"UNMAPPED"))</f>
        <v/>
      </c>
      <c r="J482" s="1" t="str">
        <f aca="false">IF($C482="","",IFERROR(VLOOKUP($C482,Master_Mappings!$N$4:$S$134,4,FALSE()),""))</f>
        <v/>
      </c>
      <c r="M482" s="0" t="str">
        <f aca="false">IF($C482="","",IFERROR(VLOOKUP($C482,Master_Mappings!$N$4:$S$200,6,FALSE()),""))</f>
        <v/>
      </c>
    </row>
    <row r="483" customFormat="false" ht="13.5" hidden="false" customHeight="false" outlineLevel="0" collapsed="false">
      <c r="I483" s="1" t="str">
        <f aca="false">IF($C483="","",IFERROR(VLOOKUP($C483,Master_Mappings!$N$4:$S$200,3,FALSE()),"UNMAPPED"))</f>
        <v/>
      </c>
      <c r="J483" s="1" t="str">
        <f aca="false">IF($C483="","",IFERROR(VLOOKUP($C483,Master_Mappings!$N$4:$S$134,4,FALSE()),""))</f>
        <v/>
      </c>
      <c r="M483" s="0" t="str">
        <f aca="false">IF($C483="","",IFERROR(VLOOKUP($C483,Master_Mappings!$N$4:$S$200,6,FALSE()),""))</f>
        <v/>
      </c>
    </row>
    <row r="484" customFormat="false" ht="13.5" hidden="false" customHeight="false" outlineLevel="0" collapsed="false">
      <c r="I484" s="1" t="str">
        <f aca="false">IF($C484="","",IFERROR(VLOOKUP($C484,Master_Mappings!$N$4:$S$200,3,FALSE()),"UNMAPPED"))</f>
        <v/>
      </c>
      <c r="J484" s="1" t="str">
        <f aca="false">IF($C484="","",IFERROR(VLOOKUP($C484,Master_Mappings!$N$4:$S$134,4,FALSE()),""))</f>
        <v/>
      </c>
      <c r="M484" s="0" t="str">
        <f aca="false">IF($C484="","",IFERROR(VLOOKUP($C484,Master_Mappings!$N$4:$S$200,6,FALSE()),""))</f>
        <v/>
      </c>
    </row>
    <row r="485" customFormat="false" ht="13.5" hidden="false" customHeight="false" outlineLevel="0" collapsed="false">
      <c r="I485" s="1" t="str">
        <f aca="false">IF($C485="","",IFERROR(VLOOKUP($C485,Master_Mappings!$N$4:$S$200,3,FALSE()),"UNMAPPED"))</f>
        <v/>
      </c>
      <c r="J485" s="1" t="str">
        <f aca="false">IF($C485="","",IFERROR(VLOOKUP($C485,Master_Mappings!$N$4:$S$134,4,FALSE()),""))</f>
        <v/>
      </c>
      <c r="M485" s="0" t="str">
        <f aca="false">IF($C485="","",IFERROR(VLOOKUP($C485,Master_Mappings!$N$4:$S$200,6,FALSE()),""))</f>
        <v/>
      </c>
    </row>
    <row r="486" customFormat="false" ht="13.5" hidden="false" customHeight="false" outlineLevel="0" collapsed="false">
      <c r="I486" s="1" t="str">
        <f aca="false">IF($C486="","",IFERROR(VLOOKUP($C486,Master_Mappings!$N$4:$S$200,3,FALSE()),"UNMAPPED"))</f>
        <v/>
      </c>
      <c r="J486" s="1" t="str">
        <f aca="false">IF($C486="","",IFERROR(VLOOKUP($C486,Master_Mappings!$N$4:$S$134,4,FALSE()),""))</f>
        <v/>
      </c>
      <c r="M486" s="0" t="str">
        <f aca="false">IF($C486="","",IFERROR(VLOOKUP($C486,Master_Mappings!$N$4:$S$200,6,FALSE()),""))</f>
        <v/>
      </c>
    </row>
    <row r="487" customFormat="false" ht="13.5" hidden="false" customHeight="false" outlineLevel="0" collapsed="false">
      <c r="I487" s="1" t="str">
        <f aca="false">IF($C487="","",IFERROR(VLOOKUP($C487,Master_Mappings!$N$4:$S$200,3,FALSE()),"UNMAPPED"))</f>
        <v/>
      </c>
      <c r="J487" s="1" t="str">
        <f aca="false">IF($C487="","",IFERROR(VLOOKUP($C487,Master_Mappings!$N$4:$S$134,4,FALSE()),""))</f>
        <v/>
      </c>
      <c r="M487" s="0" t="str">
        <f aca="false">IF($C487="","",IFERROR(VLOOKUP($C487,Master_Mappings!$N$4:$S$200,6,FALSE()),""))</f>
        <v/>
      </c>
    </row>
    <row r="488" customFormat="false" ht="13.5" hidden="false" customHeight="false" outlineLevel="0" collapsed="false">
      <c r="I488" s="1" t="str">
        <f aca="false">IF($C488="","",IFERROR(VLOOKUP($C488,Master_Mappings!$N$4:$S$200,3,FALSE()),"UNMAPPED"))</f>
        <v/>
      </c>
      <c r="J488" s="1" t="str">
        <f aca="false">IF($C488="","",IFERROR(VLOOKUP($C488,Master_Mappings!$N$4:$S$134,4,FALSE()),""))</f>
        <v/>
      </c>
      <c r="M488" s="0" t="str">
        <f aca="false">IF($C488="","",IFERROR(VLOOKUP($C488,Master_Mappings!$N$4:$S$200,6,FALSE()),""))</f>
        <v/>
      </c>
    </row>
    <row r="489" customFormat="false" ht="13.5" hidden="false" customHeight="false" outlineLevel="0" collapsed="false">
      <c r="I489" s="1" t="str">
        <f aca="false">IF($C489="","",IFERROR(VLOOKUP($C489,Master_Mappings!$N$4:$S$200,3,FALSE()),"UNMAPPED"))</f>
        <v/>
      </c>
      <c r="J489" s="1" t="str">
        <f aca="false">IF($C489="","",IFERROR(VLOOKUP($C489,Master_Mappings!$N$4:$S$134,4,FALSE()),""))</f>
        <v/>
      </c>
      <c r="M489" s="0" t="str">
        <f aca="false">IF($C489="","",IFERROR(VLOOKUP($C489,Master_Mappings!$N$4:$S$200,6,FALSE()),""))</f>
        <v/>
      </c>
    </row>
    <row r="490" customFormat="false" ht="13.5" hidden="false" customHeight="false" outlineLevel="0" collapsed="false">
      <c r="I490" s="1" t="str">
        <f aca="false">IF($C490="","",IFERROR(VLOOKUP($C490,Master_Mappings!$N$4:$S$200,3,FALSE()),"UNMAPPED"))</f>
        <v/>
      </c>
      <c r="J490" s="1" t="str">
        <f aca="false">IF($C490="","",IFERROR(VLOOKUP($C490,Master_Mappings!$N$4:$S$134,4,FALSE()),""))</f>
        <v/>
      </c>
      <c r="M490" s="0" t="str">
        <f aca="false">IF($C490="","",IFERROR(VLOOKUP($C490,Master_Mappings!$N$4:$S$200,6,FALSE()),""))</f>
        <v/>
      </c>
    </row>
    <row r="491" customFormat="false" ht="13.5" hidden="false" customHeight="false" outlineLevel="0" collapsed="false">
      <c r="I491" s="1" t="str">
        <f aca="false">IF($C491="","",IFERROR(VLOOKUP($C491,Master_Mappings!$N$4:$S$200,3,FALSE()),"UNMAPPED"))</f>
        <v/>
      </c>
      <c r="J491" s="1" t="str">
        <f aca="false">IF($C491="","",IFERROR(VLOOKUP($C491,Master_Mappings!$N$4:$S$134,4,FALSE()),""))</f>
        <v/>
      </c>
      <c r="M491" s="0" t="str">
        <f aca="false">IF($C491="","",IFERROR(VLOOKUP($C491,Master_Mappings!$N$4:$S$200,6,FALSE()),""))</f>
        <v/>
      </c>
    </row>
    <row r="492" customFormat="false" ht="13.5" hidden="false" customHeight="false" outlineLevel="0" collapsed="false">
      <c r="I492" s="1" t="str">
        <f aca="false">IF($C492="","",IFERROR(VLOOKUP($C492,Master_Mappings!$N$4:$S$200,3,FALSE()),"UNMAPPED"))</f>
        <v/>
      </c>
      <c r="J492" s="1" t="str">
        <f aca="false">IF($C492="","",IFERROR(VLOOKUP($C492,Master_Mappings!$N$4:$S$134,4,FALSE()),""))</f>
        <v/>
      </c>
      <c r="M492" s="0" t="str">
        <f aca="false">IF($C492="","",IFERROR(VLOOKUP($C492,Master_Mappings!$N$4:$S$200,6,FALSE()),""))</f>
        <v/>
      </c>
    </row>
    <row r="493" customFormat="false" ht="13.5" hidden="false" customHeight="false" outlineLevel="0" collapsed="false">
      <c r="I493" s="1" t="str">
        <f aca="false">IF($C493="","",IFERROR(VLOOKUP($C493,Master_Mappings!$N$4:$S$200,3,FALSE()),"UNMAPPED"))</f>
        <v/>
      </c>
      <c r="J493" s="1" t="str">
        <f aca="false">IF($C493="","",IFERROR(VLOOKUP($C493,Master_Mappings!$N$4:$S$134,4,FALSE()),""))</f>
        <v/>
      </c>
      <c r="M493" s="0" t="str">
        <f aca="false">IF($C493="","",IFERROR(VLOOKUP($C493,Master_Mappings!$N$4:$S$200,6,FALSE()),""))</f>
        <v/>
      </c>
    </row>
    <row r="494" customFormat="false" ht="13.5" hidden="false" customHeight="false" outlineLevel="0" collapsed="false">
      <c r="I494" s="1" t="str">
        <f aca="false">IF($C494="","",IFERROR(VLOOKUP($C494,Master_Mappings!$N$4:$S$200,3,FALSE()),"UNMAPPED"))</f>
        <v/>
      </c>
      <c r="J494" s="1" t="str">
        <f aca="false">IF($C494="","",IFERROR(VLOOKUP($C494,Master_Mappings!$N$4:$S$134,4,FALSE()),""))</f>
        <v/>
      </c>
      <c r="M494" s="0" t="str">
        <f aca="false">IF($C494="","",IFERROR(VLOOKUP($C494,Master_Mappings!$N$4:$S$200,6,FALSE()),""))</f>
        <v/>
      </c>
    </row>
    <row r="495" customFormat="false" ht="13.5" hidden="false" customHeight="false" outlineLevel="0" collapsed="false">
      <c r="I495" s="1" t="str">
        <f aca="false">IF($C495="","",IFERROR(VLOOKUP($C495,Master_Mappings!$N$4:$S$200,3,FALSE()),"UNMAPPED"))</f>
        <v/>
      </c>
      <c r="J495" s="1" t="str">
        <f aca="false">IF($C495="","",IFERROR(VLOOKUP($C495,Master_Mappings!$N$4:$S$134,4,FALSE()),""))</f>
        <v/>
      </c>
      <c r="M495" s="0" t="str">
        <f aca="false">IF($C495="","",IFERROR(VLOOKUP($C495,Master_Mappings!$N$4:$S$200,6,FALSE()),""))</f>
        <v/>
      </c>
    </row>
    <row r="496" customFormat="false" ht="13.5" hidden="false" customHeight="false" outlineLevel="0" collapsed="false">
      <c r="I496" s="1" t="str">
        <f aca="false">IF($C496="","",IFERROR(VLOOKUP($C496,Master_Mappings!$N$4:$S$200,3,FALSE()),"UNMAPPED"))</f>
        <v/>
      </c>
      <c r="J496" s="1" t="str">
        <f aca="false">IF($C496="","",IFERROR(VLOOKUP($C496,Master_Mappings!$N$4:$S$134,4,FALSE()),""))</f>
        <v/>
      </c>
      <c r="M496" s="0" t="str">
        <f aca="false">IF($C496="","",IFERROR(VLOOKUP($C496,Master_Mappings!$N$4:$S$200,6,FALSE()),""))</f>
        <v/>
      </c>
    </row>
    <row r="497" customFormat="false" ht="13.5" hidden="false" customHeight="false" outlineLevel="0" collapsed="false">
      <c r="I497" s="1" t="str">
        <f aca="false">IF($C497="","",IFERROR(VLOOKUP($C497,Master_Mappings!$N$4:$S$200,3,FALSE()),"UNMAPPED"))</f>
        <v/>
      </c>
      <c r="J497" s="1" t="str">
        <f aca="false">IF($C497="","",IFERROR(VLOOKUP($C497,Master_Mappings!$N$4:$S$134,4,FALSE()),""))</f>
        <v/>
      </c>
      <c r="M497" s="0" t="str">
        <f aca="false">IF($C497="","",IFERROR(VLOOKUP($C497,Master_Mappings!$N$4:$S$200,6,FALSE()),""))</f>
        <v/>
      </c>
    </row>
    <row r="498" customFormat="false" ht="13.5" hidden="false" customHeight="false" outlineLevel="0" collapsed="false">
      <c r="I498" s="1" t="str">
        <f aca="false">IF($C498="","",IFERROR(VLOOKUP($C498,Master_Mappings!$N$4:$S$200,3,FALSE()),"UNMAPPED"))</f>
        <v/>
      </c>
      <c r="J498" s="1" t="str">
        <f aca="false">IF($C498="","",IFERROR(VLOOKUP($C498,Master_Mappings!$N$4:$S$134,4,FALSE()),""))</f>
        <v/>
      </c>
      <c r="M498" s="0" t="str">
        <f aca="false">IF($C498="","",IFERROR(VLOOKUP($C498,Master_Mappings!$N$4:$S$200,6,FALSE()),""))</f>
        <v/>
      </c>
    </row>
    <row r="499" customFormat="false" ht="13.5" hidden="false" customHeight="false" outlineLevel="0" collapsed="false">
      <c r="I499" s="1" t="str">
        <f aca="false">IF($C499="","",IFERROR(VLOOKUP($C499,Master_Mappings!$N$4:$S$200,3,FALSE()),"UNMAPPED"))</f>
        <v/>
      </c>
      <c r="J499" s="1" t="str">
        <f aca="false">IF($C499="","",IFERROR(VLOOKUP($C499,Master_Mappings!$N$4:$S$134,4,FALSE()),""))</f>
        <v/>
      </c>
      <c r="M499" s="0" t="str">
        <f aca="false">IF($C499="","",IFERROR(VLOOKUP($C499,Master_Mappings!$N$4:$S$200,6,FALSE()),""))</f>
        <v/>
      </c>
    </row>
    <row r="500" customFormat="false" ht="13.5" hidden="false" customHeight="false" outlineLevel="0" collapsed="false">
      <c r="I500" s="1" t="str">
        <f aca="false">IF($C500="","",IFERROR(VLOOKUP($C500,Master_Mappings!$N$4:$S$200,3,FALSE()),"UNMAPPED"))</f>
        <v/>
      </c>
      <c r="J500" s="1" t="str">
        <f aca="false">IF($C500="","",IFERROR(VLOOKUP($C500,Master_Mappings!$N$4:$S$134,4,FALSE()),""))</f>
        <v/>
      </c>
      <c r="M500" s="0" t="str">
        <f aca="false">IF($C500="","",IFERROR(VLOOKUP($C500,Master_Mappings!$N$4:$S$200,6,FALSE()),""))</f>
        <v/>
      </c>
    </row>
    <row r="501" customFormat="false" ht="13.5" hidden="false" customHeight="false" outlineLevel="0" collapsed="false">
      <c r="I501" s="1" t="str">
        <f aca="false">IF($C501="","",IFERROR(VLOOKUP($C501,Master_Mappings!$N$4:$S$200,3,FALSE()),"UNMAPPED"))</f>
        <v/>
      </c>
      <c r="J501" s="1" t="str">
        <f aca="false">IF($C501="","",IFERROR(VLOOKUP($C501,Master_Mappings!$N$4:$S$134,4,FALSE()),""))</f>
        <v/>
      </c>
      <c r="M501" s="0" t="str">
        <f aca="false">IF($C501="","",IFERROR(VLOOKUP($C501,Master_Mappings!$N$4:$S$200,6,FALSE()),""))</f>
        <v/>
      </c>
    </row>
    <row r="502" customFormat="false" ht="13.5" hidden="false" customHeight="false" outlineLevel="0" collapsed="false">
      <c r="I502" s="1" t="str">
        <f aca="false">IF($C502="","",IFERROR(VLOOKUP($C502,Master_Mappings!$N$4:$S$200,3,FALSE()),"UNMAPPED"))</f>
        <v/>
      </c>
      <c r="J502" s="1" t="str">
        <f aca="false">IF($C502="","",IFERROR(VLOOKUP($C502,Master_Mappings!$N$4:$S$134,4,FALSE()),""))</f>
        <v/>
      </c>
      <c r="M502" s="0" t="str">
        <f aca="false">IF($C502="","",IFERROR(VLOOKUP($C502,Master_Mappings!$N$4:$S$200,6,FALSE()),""))</f>
        <v/>
      </c>
    </row>
    <row r="503" customFormat="false" ht="13.5" hidden="false" customHeight="false" outlineLevel="0" collapsed="false">
      <c r="I503" s="1" t="str">
        <f aca="false">IF($C503="","",IFERROR(VLOOKUP($C503,Master_Mappings!$N$4:$S$200,3,FALSE()),"UNMAPPED"))</f>
        <v/>
      </c>
      <c r="J503" s="1" t="str">
        <f aca="false">IF($C503="","",IFERROR(VLOOKUP($C503,Master_Mappings!$N$4:$S$134,4,FALSE()),""))</f>
        <v/>
      </c>
      <c r="M503" s="0" t="str">
        <f aca="false">IF($C503="","",IFERROR(VLOOKUP($C503,Master_Mappings!$N$4:$S$200,6,FALSE()),""))</f>
        <v/>
      </c>
    </row>
    <row r="504" customFormat="false" ht="13.5" hidden="false" customHeight="false" outlineLevel="0" collapsed="false">
      <c r="I504" s="1" t="str">
        <f aca="false">IF($C504="","",IFERROR(VLOOKUP($C504,Master_Mappings!$N$4:$S$200,3,FALSE()),"UNMAPPED"))</f>
        <v/>
      </c>
      <c r="J504" s="1" t="str">
        <f aca="false">IF($C504="","",IFERROR(VLOOKUP($C504,Master_Mappings!$N$4:$S$134,4,FALSE()),""))</f>
        <v/>
      </c>
      <c r="M504" s="0" t="str">
        <f aca="false">IF($C504="","",IFERROR(VLOOKUP($C504,Master_Mappings!$N$4:$S$200,6,FALSE()),""))</f>
        <v/>
      </c>
    </row>
    <row r="505" customFormat="false" ht="13.5" hidden="false" customHeight="false" outlineLevel="0" collapsed="false">
      <c r="I505" s="1" t="str">
        <f aca="false">IF($C505="","",IFERROR(VLOOKUP($C505,Master_Mappings!$N$4:$S$200,3,FALSE()),"UNMAPPED"))</f>
        <v/>
      </c>
      <c r="J505" s="1" t="str">
        <f aca="false">IF($C505="","",IFERROR(VLOOKUP($C505,Master_Mappings!$N$4:$S$134,4,FALSE()),""))</f>
        <v/>
      </c>
      <c r="M505" s="0" t="str">
        <f aca="false">IF($C505="","",IFERROR(VLOOKUP($C505,Master_Mappings!$N$4:$S$200,6,FALSE()),""))</f>
        <v/>
      </c>
    </row>
    <row r="506" customFormat="false" ht="13.5" hidden="false" customHeight="false" outlineLevel="0" collapsed="false">
      <c r="I506" s="1" t="str">
        <f aca="false">IF($C506="","",IFERROR(VLOOKUP($C506,Master_Mappings!$N$4:$S$200,3,FALSE()),"UNMAPPED"))</f>
        <v/>
      </c>
      <c r="J506" s="1" t="str">
        <f aca="false">IF($C506="","",IFERROR(VLOOKUP($C506,Master_Mappings!$N$4:$S$134,4,FALSE()),""))</f>
        <v/>
      </c>
      <c r="M506" s="0" t="str">
        <f aca="false">IF($C506="","",IFERROR(VLOOKUP($C506,Master_Mappings!$N$4:$S$200,6,FALSE()),""))</f>
        <v/>
      </c>
    </row>
    <row r="507" customFormat="false" ht="13.5" hidden="false" customHeight="false" outlineLevel="0" collapsed="false">
      <c r="I507" s="1" t="str">
        <f aca="false">IF($C507="","",IFERROR(VLOOKUP($C507,Master_Mappings!$N$4:$S$200,3,FALSE()),"UNMAPPED"))</f>
        <v/>
      </c>
      <c r="J507" s="1" t="str">
        <f aca="false">IF($C507="","",IFERROR(VLOOKUP($C507,Master_Mappings!$N$4:$S$134,4,FALSE()),""))</f>
        <v/>
      </c>
      <c r="M507" s="0" t="str">
        <f aca="false">IF($C507="","",IFERROR(VLOOKUP($C507,Master_Mappings!$N$4:$S$200,6,FALSE()),""))</f>
        <v/>
      </c>
    </row>
    <row r="508" customFormat="false" ht="13.5" hidden="false" customHeight="false" outlineLevel="0" collapsed="false">
      <c r="I508" s="1" t="str">
        <f aca="false">IF($C508="","",IFERROR(VLOOKUP($C508,Master_Mappings!$N$4:$S$200,3,FALSE()),"UNMAPPED"))</f>
        <v/>
      </c>
      <c r="J508" s="1" t="str">
        <f aca="false">IF($C508="","",IFERROR(VLOOKUP($C508,Master_Mappings!$N$4:$S$134,4,FALSE()),""))</f>
        <v/>
      </c>
      <c r="M508" s="0" t="str">
        <f aca="false">IF($C508="","",IFERROR(VLOOKUP($C508,Master_Mappings!$N$4:$S$200,6,FALSE()),""))</f>
        <v/>
      </c>
    </row>
    <row r="509" customFormat="false" ht="13.5" hidden="false" customHeight="false" outlineLevel="0" collapsed="false">
      <c r="I509" s="1" t="str">
        <f aca="false">IF($C509="","",IFERROR(VLOOKUP($C509,Master_Mappings!$N$4:$S$200,3,FALSE()),"UNMAPPED"))</f>
        <v/>
      </c>
      <c r="J509" s="1" t="str">
        <f aca="false">IF($C509="","",IFERROR(VLOOKUP($C509,Master_Mappings!$N$4:$S$134,4,FALSE()),""))</f>
        <v/>
      </c>
      <c r="M509" s="0" t="str">
        <f aca="false">IF($C509="","",IFERROR(VLOOKUP($C509,Master_Mappings!$N$4:$S$200,6,FALSE()),""))</f>
        <v/>
      </c>
    </row>
    <row r="510" customFormat="false" ht="13.5" hidden="false" customHeight="false" outlineLevel="0" collapsed="false">
      <c r="I510" s="1" t="str">
        <f aca="false">IF($C510="","",IFERROR(VLOOKUP($C510,Master_Mappings!$N$4:$S$200,3,FALSE()),"UNMAPPED"))</f>
        <v/>
      </c>
      <c r="J510" s="1" t="str">
        <f aca="false">IF($C510="","",IFERROR(VLOOKUP($C510,Master_Mappings!$N$4:$S$134,4,FALSE()),""))</f>
        <v/>
      </c>
      <c r="M510" s="0" t="str">
        <f aca="false">IF($C510="","",IFERROR(VLOOKUP($C510,Master_Mappings!$N$4:$S$200,6,FALSE()),""))</f>
        <v/>
      </c>
    </row>
    <row r="511" customFormat="false" ht="13.5" hidden="false" customHeight="false" outlineLevel="0" collapsed="false">
      <c r="I511" s="1" t="str">
        <f aca="false">IF($C511="","",IFERROR(VLOOKUP($C511,Master_Mappings!$N$4:$S$200,3,FALSE()),"UNMAPPED"))</f>
        <v/>
      </c>
      <c r="J511" s="1" t="str">
        <f aca="false">IF($C511="","",IFERROR(VLOOKUP($C511,Master_Mappings!$N$4:$S$134,4,FALSE()),""))</f>
        <v/>
      </c>
      <c r="M511" s="0" t="str">
        <f aca="false">IF($C511="","",IFERROR(VLOOKUP($C511,Master_Mappings!$N$4:$S$200,6,FALSE()),""))</f>
        <v/>
      </c>
    </row>
    <row r="512" customFormat="false" ht="13.5" hidden="false" customHeight="false" outlineLevel="0" collapsed="false">
      <c r="I512" s="1" t="str">
        <f aca="false">IF($C512="","",IFERROR(VLOOKUP($C512,Master_Mappings!$N$4:$S$200,3,FALSE()),"UNMAPPED"))</f>
        <v/>
      </c>
      <c r="J512" s="1" t="str">
        <f aca="false">IF($C512="","",IFERROR(VLOOKUP($C512,Master_Mappings!$N$4:$S$134,4,FALSE()),""))</f>
        <v/>
      </c>
      <c r="M512" s="0" t="str">
        <f aca="false">IF($C512="","",IFERROR(VLOOKUP($C512,Master_Mappings!$N$4:$S$200,6,FALSE()),""))</f>
        <v/>
      </c>
    </row>
    <row r="513" customFormat="false" ht="13.5" hidden="false" customHeight="false" outlineLevel="0" collapsed="false">
      <c r="I513" s="1" t="str">
        <f aca="false">IF($C513="","",IFERROR(VLOOKUP($C513,Master_Mappings!$N$4:$S$200,3,FALSE()),"UNMAPPED"))</f>
        <v/>
      </c>
      <c r="J513" s="1" t="str">
        <f aca="false">IF($C513="","",IFERROR(VLOOKUP($C513,Master_Mappings!$N$4:$S$134,4,FALSE()),""))</f>
        <v/>
      </c>
      <c r="M513" s="0" t="str">
        <f aca="false">IF($C513="","",IFERROR(VLOOKUP($C513,Master_Mappings!$N$4:$S$200,6,FALSE()),""))</f>
        <v/>
      </c>
    </row>
    <row r="514" customFormat="false" ht="13.5" hidden="false" customHeight="false" outlineLevel="0" collapsed="false">
      <c r="I514" s="1" t="str">
        <f aca="false">IF($C514="","",IFERROR(VLOOKUP($C514,Master_Mappings!$N$4:$S$200,3,FALSE()),"UNMAPPED"))</f>
        <v/>
      </c>
      <c r="J514" s="1" t="str">
        <f aca="false">IF($C514="","",IFERROR(VLOOKUP($C514,Master_Mappings!$N$4:$S$134,4,FALSE()),""))</f>
        <v/>
      </c>
      <c r="M514" s="0" t="str">
        <f aca="false">IF($C514="","",IFERROR(VLOOKUP($C514,Master_Mappings!$N$4:$S$200,6,FALSE()),""))</f>
        <v/>
      </c>
    </row>
    <row r="515" customFormat="false" ht="13.5" hidden="false" customHeight="false" outlineLevel="0" collapsed="false">
      <c r="I515" s="1" t="str">
        <f aca="false">IF($C515="","",IFERROR(VLOOKUP($C515,Master_Mappings!$N$4:$S$200,3,FALSE()),"UNMAPPED"))</f>
        <v/>
      </c>
      <c r="J515" s="1" t="str">
        <f aca="false">IF($C515="","",IFERROR(VLOOKUP($C515,Master_Mappings!$N$4:$S$134,4,FALSE()),""))</f>
        <v/>
      </c>
      <c r="M515" s="0" t="str">
        <f aca="false">IF($C515="","",IFERROR(VLOOKUP($C515,Master_Mappings!$N$4:$S$200,6,FALSE()),""))</f>
        <v/>
      </c>
    </row>
    <row r="516" customFormat="false" ht="13.5" hidden="false" customHeight="false" outlineLevel="0" collapsed="false">
      <c r="I516" s="1" t="str">
        <f aca="false">IF($C516="","",IFERROR(VLOOKUP($C516,Master_Mappings!$N$4:$S$200,3,FALSE()),"UNMAPPED"))</f>
        <v/>
      </c>
      <c r="J516" s="1" t="str">
        <f aca="false">IF($C516="","",IFERROR(VLOOKUP($C516,Master_Mappings!$N$4:$S$134,4,FALSE()),""))</f>
        <v/>
      </c>
      <c r="M516" s="0" t="str">
        <f aca="false">IF($C516="","",IFERROR(VLOOKUP($C516,Master_Mappings!$N$4:$S$200,6,FALSE()),""))</f>
        <v/>
      </c>
    </row>
    <row r="517" customFormat="false" ht="13.5" hidden="false" customHeight="false" outlineLevel="0" collapsed="false">
      <c r="I517" s="1" t="str">
        <f aca="false">IF($C517="","",IFERROR(VLOOKUP($C517,Master_Mappings!$N$4:$S$200,3,FALSE()),"UNMAPPED"))</f>
        <v/>
      </c>
      <c r="J517" s="1" t="str">
        <f aca="false">IF($C517="","",IFERROR(VLOOKUP($C517,Master_Mappings!$N$4:$S$134,4,FALSE()),""))</f>
        <v/>
      </c>
      <c r="M517" s="0" t="str">
        <f aca="false">IF($C517="","",IFERROR(VLOOKUP($C517,Master_Mappings!$N$4:$S$200,6,FALSE()),""))</f>
        <v/>
      </c>
    </row>
    <row r="518" customFormat="false" ht="13.5" hidden="false" customHeight="false" outlineLevel="0" collapsed="false">
      <c r="I518" s="1" t="str">
        <f aca="false">IF($C518="","",IFERROR(VLOOKUP($C518,Master_Mappings!$N$4:$S$200,3,FALSE()),"UNMAPPED"))</f>
        <v/>
      </c>
      <c r="J518" s="1" t="str">
        <f aca="false">IF($C518="","",IFERROR(VLOOKUP($C518,Master_Mappings!$N$4:$S$134,4,FALSE()),""))</f>
        <v/>
      </c>
      <c r="M518" s="0" t="str">
        <f aca="false">IF($C518="","",IFERROR(VLOOKUP($C518,Master_Mappings!$N$4:$S$200,6,FALSE()),""))</f>
        <v/>
      </c>
    </row>
    <row r="519" customFormat="false" ht="13.5" hidden="false" customHeight="false" outlineLevel="0" collapsed="false">
      <c r="I519" s="1" t="str">
        <f aca="false">IF($C519="","",IFERROR(VLOOKUP($C519,Master_Mappings!$N$4:$S$200,3,FALSE()),"UNMAPPED"))</f>
        <v/>
      </c>
      <c r="J519" s="1" t="str">
        <f aca="false">IF($C519="","",IFERROR(VLOOKUP($C519,Master_Mappings!$N$4:$S$134,4,FALSE()),""))</f>
        <v/>
      </c>
      <c r="M519" s="0" t="str">
        <f aca="false">IF($C519="","",IFERROR(VLOOKUP($C519,Master_Mappings!$N$4:$S$200,6,FALSE()),""))</f>
        <v/>
      </c>
    </row>
    <row r="520" customFormat="false" ht="13.5" hidden="false" customHeight="false" outlineLevel="0" collapsed="false">
      <c r="I520" s="1" t="str">
        <f aca="false">IF($C520="","",IFERROR(VLOOKUP($C520,Master_Mappings!$N$4:$S$200,3,FALSE()),"UNMAPPED"))</f>
        <v/>
      </c>
      <c r="J520" s="1" t="str">
        <f aca="false">IF($C520="","",IFERROR(VLOOKUP($C520,Master_Mappings!$N$4:$S$134,4,FALSE()),""))</f>
        <v/>
      </c>
      <c r="M520" s="0" t="str">
        <f aca="false">IF($C520="","",IFERROR(VLOOKUP($C520,Master_Mappings!$N$4:$S$200,6,FALSE()),""))</f>
        <v/>
      </c>
    </row>
    <row r="521" customFormat="false" ht="13.5" hidden="false" customHeight="false" outlineLevel="0" collapsed="false">
      <c r="I521" s="1" t="str">
        <f aca="false">IF($C521="","",IFERROR(VLOOKUP($C521,Master_Mappings!$N$4:$S$200,3,FALSE()),"UNMAPPED"))</f>
        <v/>
      </c>
      <c r="J521" s="1" t="str">
        <f aca="false">IF($C521="","",IFERROR(VLOOKUP($C521,Master_Mappings!$N$4:$S$134,4,FALSE()),""))</f>
        <v/>
      </c>
      <c r="M521" s="0" t="str">
        <f aca="false">IF($C521="","",IFERROR(VLOOKUP($C521,Master_Mappings!$N$4:$S$200,6,FALSE()),""))</f>
        <v/>
      </c>
    </row>
    <row r="522" customFormat="false" ht="13.5" hidden="false" customHeight="false" outlineLevel="0" collapsed="false">
      <c r="I522" s="1" t="str">
        <f aca="false">IF($C522="","",IFERROR(VLOOKUP($C522,Master_Mappings!$N$4:$S$200,3,FALSE()),"UNMAPPED"))</f>
        <v/>
      </c>
      <c r="J522" s="1" t="str">
        <f aca="false">IF($C522="","",IFERROR(VLOOKUP($C522,Master_Mappings!$N$4:$S$134,4,FALSE()),""))</f>
        <v/>
      </c>
      <c r="M522" s="0" t="str">
        <f aca="false">IF($C522="","",IFERROR(VLOOKUP($C522,Master_Mappings!$N$4:$S$200,6,FALSE()),""))</f>
        <v/>
      </c>
    </row>
    <row r="523" customFormat="false" ht="13.5" hidden="false" customHeight="false" outlineLevel="0" collapsed="false">
      <c r="I523" s="1" t="str">
        <f aca="false">IF($C523="","",IFERROR(VLOOKUP($C523,Master_Mappings!$N$4:$S$200,3,FALSE()),"UNMAPPED"))</f>
        <v/>
      </c>
      <c r="J523" s="1" t="str">
        <f aca="false">IF($C523="","",IFERROR(VLOOKUP($C523,Master_Mappings!$N$4:$S$134,4,FALSE()),""))</f>
        <v/>
      </c>
      <c r="M523" s="0" t="str">
        <f aca="false">IF($C523="","",IFERROR(VLOOKUP($C523,Master_Mappings!$N$4:$S$200,6,FALSE()),""))</f>
        <v/>
      </c>
    </row>
    <row r="524" customFormat="false" ht="13.5" hidden="false" customHeight="false" outlineLevel="0" collapsed="false">
      <c r="I524" s="1" t="str">
        <f aca="false">IF($C524="","",IFERROR(VLOOKUP($C524,Master_Mappings!$N$4:$S$200,3,FALSE()),"UNMAPPED"))</f>
        <v/>
      </c>
      <c r="J524" s="1" t="str">
        <f aca="false">IF($C524="","",IFERROR(VLOOKUP($C524,Master_Mappings!$N$4:$S$134,4,FALSE()),""))</f>
        <v/>
      </c>
      <c r="M524" s="0" t="str">
        <f aca="false">IF($C524="","",IFERROR(VLOOKUP($C524,Master_Mappings!$N$4:$S$200,6,FALSE()),""))</f>
        <v/>
      </c>
    </row>
    <row r="525" customFormat="false" ht="13.5" hidden="false" customHeight="false" outlineLevel="0" collapsed="false">
      <c r="I525" s="1" t="str">
        <f aca="false">IF($C525="","",IFERROR(VLOOKUP($C525,Master_Mappings!$N$4:$S$200,3,FALSE()),"UNMAPPED"))</f>
        <v/>
      </c>
      <c r="J525" s="1" t="str">
        <f aca="false">IF($C525="","",IFERROR(VLOOKUP($C525,Master_Mappings!$N$4:$S$134,4,FALSE()),""))</f>
        <v/>
      </c>
      <c r="M525" s="0" t="str">
        <f aca="false">IF($C525="","",IFERROR(VLOOKUP($C525,Master_Mappings!$N$4:$S$200,6,FALSE()),""))</f>
        <v/>
      </c>
    </row>
    <row r="526" customFormat="false" ht="13.5" hidden="false" customHeight="false" outlineLevel="0" collapsed="false">
      <c r="I526" s="1" t="str">
        <f aca="false">IF($C526="","",IFERROR(VLOOKUP($C526,Master_Mappings!$N$4:$S$200,3,FALSE()),"UNMAPPED"))</f>
        <v/>
      </c>
      <c r="J526" s="1" t="str">
        <f aca="false">IF($C526="","",IFERROR(VLOOKUP($C526,Master_Mappings!$N$4:$S$134,4,FALSE()),""))</f>
        <v/>
      </c>
      <c r="M526" s="0" t="str">
        <f aca="false">IF($C526="","",IFERROR(VLOOKUP($C526,Master_Mappings!$N$4:$S$200,6,FALSE()),""))</f>
        <v/>
      </c>
    </row>
    <row r="527" customFormat="false" ht="13.5" hidden="false" customHeight="false" outlineLevel="0" collapsed="false">
      <c r="I527" s="1" t="str">
        <f aca="false">IF($C527="","",IFERROR(VLOOKUP($C527,Master_Mappings!$N$4:$S$200,3,FALSE()),"UNMAPPED"))</f>
        <v/>
      </c>
      <c r="J527" s="1" t="str">
        <f aca="false">IF($C527="","",IFERROR(VLOOKUP($C527,Master_Mappings!$N$4:$S$134,4,FALSE()),""))</f>
        <v/>
      </c>
      <c r="M527" s="0" t="str">
        <f aca="false">IF($C527="","",IFERROR(VLOOKUP($C527,Master_Mappings!$N$4:$S$200,6,FALSE()),""))</f>
        <v/>
      </c>
    </row>
    <row r="528" customFormat="false" ht="13.5" hidden="false" customHeight="false" outlineLevel="0" collapsed="false">
      <c r="I528" s="1" t="str">
        <f aca="false">IF($C528="","",IFERROR(VLOOKUP($C528,Master_Mappings!$N$4:$S$200,3,FALSE()),"UNMAPPED"))</f>
        <v/>
      </c>
      <c r="J528" s="1" t="str">
        <f aca="false">IF($C528="","",IFERROR(VLOOKUP($C528,Master_Mappings!$N$4:$S$134,4,FALSE()),""))</f>
        <v/>
      </c>
      <c r="M528" s="0" t="str">
        <f aca="false">IF($C528="","",IFERROR(VLOOKUP($C528,Master_Mappings!$N$4:$S$200,6,FALSE()),""))</f>
        <v/>
      </c>
    </row>
    <row r="529" customFormat="false" ht="13.5" hidden="false" customHeight="false" outlineLevel="0" collapsed="false">
      <c r="I529" s="1" t="str">
        <f aca="false">IF($C529="","",IFERROR(VLOOKUP($C529,Master_Mappings!$N$4:$S$200,3,FALSE()),"UNMAPPED"))</f>
        <v/>
      </c>
      <c r="J529" s="1" t="str">
        <f aca="false">IF($C529="","",IFERROR(VLOOKUP($C529,Master_Mappings!$N$4:$S$134,4,FALSE()),""))</f>
        <v/>
      </c>
      <c r="M529" s="0" t="str">
        <f aca="false">IF($C529="","",IFERROR(VLOOKUP($C529,Master_Mappings!$N$4:$S$200,6,FALSE()),""))</f>
        <v/>
      </c>
    </row>
    <row r="530" customFormat="false" ht="13.5" hidden="false" customHeight="false" outlineLevel="0" collapsed="false">
      <c r="I530" s="1" t="str">
        <f aca="false">IF($C530="","",IFERROR(VLOOKUP($C530,Master_Mappings!$N$4:$S$200,3,FALSE()),"UNMAPPED"))</f>
        <v/>
      </c>
      <c r="J530" s="1" t="str">
        <f aca="false">IF($C530="","",IFERROR(VLOOKUP($C530,Master_Mappings!$N$4:$S$134,4,FALSE()),""))</f>
        <v/>
      </c>
      <c r="M530" s="0" t="str">
        <f aca="false">IF($C530="","",IFERROR(VLOOKUP($C530,Master_Mappings!$N$4:$S$200,6,FALSE()),""))</f>
        <v/>
      </c>
    </row>
    <row r="531" customFormat="false" ht="13.5" hidden="false" customHeight="false" outlineLevel="0" collapsed="false">
      <c r="I531" s="1" t="str">
        <f aca="false">IF($C531="","",IFERROR(VLOOKUP($C531,Master_Mappings!$N$4:$S$200,3,FALSE()),"UNMAPPED"))</f>
        <v/>
      </c>
      <c r="J531" s="1" t="str">
        <f aca="false">IF($C531="","",IFERROR(VLOOKUP($C531,Master_Mappings!$N$4:$S$134,4,FALSE()),""))</f>
        <v/>
      </c>
      <c r="M531" s="0" t="str">
        <f aca="false">IF($C531="","",IFERROR(VLOOKUP($C531,Master_Mappings!$N$4:$S$200,6,FALSE()),""))</f>
        <v/>
      </c>
    </row>
    <row r="532" customFormat="false" ht="13.5" hidden="false" customHeight="false" outlineLevel="0" collapsed="false">
      <c r="I532" s="1" t="str">
        <f aca="false">IF($C532="","",IFERROR(VLOOKUP($C532,Master_Mappings!$N$4:$S$200,3,FALSE()),"UNMAPPED"))</f>
        <v/>
      </c>
      <c r="J532" s="1" t="str">
        <f aca="false">IF($C532="","",IFERROR(VLOOKUP($C532,Master_Mappings!$N$4:$S$134,4,FALSE()),""))</f>
        <v/>
      </c>
      <c r="M532" s="0" t="str">
        <f aca="false">IF($C532="","",IFERROR(VLOOKUP($C532,Master_Mappings!$N$4:$S$200,6,FALSE()),""))</f>
        <v/>
      </c>
    </row>
    <row r="533" customFormat="false" ht="13.5" hidden="false" customHeight="false" outlineLevel="0" collapsed="false">
      <c r="I533" s="1" t="str">
        <f aca="false">IF($C533="","",IFERROR(VLOOKUP($C533,Master_Mappings!$N$4:$S$200,3,FALSE()),"UNMAPPED"))</f>
        <v/>
      </c>
      <c r="J533" s="1" t="str">
        <f aca="false">IF($C533="","",IFERROR(VLOOKUP($C533,Master_Mappings!$N$4:$S$134,4,FALSE()),""))</f>
        <v/>
      </c>
      <c r="M533" s="0" t="str">
        <f aca="false">IF($C533="","",IFERROR(VLOOKUP($C533,Master_Mappings!$N$4:$S$200,6,FALSE()),""))</f>
        <v/>
      </c>
    </row>
    <row r="534" customFormat="false" ht="13.5" hidden="false" customHeight="false" outlineLevel="0" collapsed="false">
      <c r="I534" s="1" t="str">
        <f aca="false">IF($C534="","",IFERROR(VLOOKUP($C534,Master_Mappings!$N$4:$S$200,3,FALSE()),"UNMAPPED"))</f>
        <v/>
      </c>
      <c r="J534" s="1" t="str">
        <f aca="false">IF($C534="","",IFERROR(VLOOKUP($C534,Master_Mappings!$N$4:$S$134,4,FALSE()),""))</f>
        <v/>
      </c>
      <c r="M534" s="0" t="str">
        <f aca="false">IF($C534="","",IFERROR(VLOOKUP($C534,Master_Mappings!$N$4:$S$200,6,FALSE()),""))</f>
        <v/>
      </c>
    </row>
    <row r="535" customFormat="false" ht="13.5" hidden="false" customHeight="false" outlineLevel="0" collapsed="false">
      <c r="I535" s="1" t="str">
        <f aca="false">IF($C535="","",IFERROR(VLOOKUP($C535,Master_Mappings!$N$4:$S$200,3,FALSE()),"UNMAPPED"))</f>
        <v/>
      </c>
      <c r="J535" s="1" t="str">
        <f aca="false">IF($C535="","",IFERROR(VLOOKUP($C535,Master_Mappings!$N$4:$S$134,4,FALSE()),""))</f>
        <v/>
      </c>
      <c r="M535" s="0" t="str">
        <f aca="false">IF($C535="","",IFERROR(VLOOKUP($C535,Master_Mappings!$N$4:$S$200,6,FALSE()),""))</f>
        <v/>
      </c>
    </row>
    <row r="536" customFormat="false" ht="13.5" hidden="false" customHeight="false" outlineLevel="0" collapsed="false">
      <c r="I536" s="1" t="str">
        <f aca="false">IF($C536="","",IFERROR(VLOOKUP($C536,Master_Mappings!$N$4:$S$200,3,FALSE()),"UNMAPPED"))</f>
        <v/>
      </c>
      <c r="J536" s="1" t="str">
        <f aca="false">IF($C536="","",IFERROR(VLOOKUP($C536,Master_Mappings!$N$4:$S$134,4,FALSE()),""))</f>
        <v/>
      </c>
      <c r="M536" s="0" t="str">
        <f aca="false">IF($C536="","",IFERROR(VLOOKUP($C536,Master_Mappings!$N$4:$S$200,6,FALSE()),""))</f>
        <v/>
      </c>
    </row>
    <row r="537" customFormat="false" ht="13.5" hidden="false" customHeight="false" outlineLevel="0" collapsed="false">
      <c r="I537" s="1" t="str">
        <f aca="false">IF($C537="","",IFERROR(VLOOKUP($C537,Master_Mappings!$N$4:$S$200,3,FALSE()),"UNMAPPED"))</f>
        <v/>
      </c>
      <c r="J537" s="1" t="str">
        <f aca="false">IF($C537="","",IFERROR(VLOOKUP($C537,Master_Mappings!$N$4:$S$134,4,FALSE()),""))</f>
        <v/>
      </c>
      <c r="M537" s="0" t="str">
        <f aca="false">IF($C537="","",IFERROR(VLOOKUP($C537,Master_Mappings!$N$4:$S$200,6,FALSE()),""))</f>
        <v/>
      </c>
    </row>
    <row r="538" customFormat="false" ht="13.5" hidden="false" customHeight="false" outlineLevel="0" collapsed="false">
      <c r="I538" s="1" t="str">
        <f aca="false">IF($C538="","",IFERROR(VLOOKUP($C538,Master_Mappings!$N$4:$S$200,3,FALSE()),"UNMAPPED"))</f>
        <v/>
      </c>
      <c r="J538" s="1" t="str">
        <f aca="false">IF($C538="","",IFERROR(VLOOKUP($C538,Master_Mappings!$N$4:$S$134,4,FALSE()),""))</f>
        <v/>
      </c>
      <c r="M538" s="0" t="str">
        <f aca="false">IF($C538="","",IFERROR(VLOOKUP($C538,Master_Mappings!$N$4:$S$200,6,FALSE()),""))</f>
        <v/>
      </c>
    </row>
    <row r="539" customFormat="false" ht="13.5" hidden="false" customHeight="false" outlineLevel="0" collapsed="false">
      <c r="I539" s="1" t="str">
        <f aca="false">IF($C539="","",IFERROR(VLOOKUP($C539,Master_Mappings!$N$4:$S$200,3,FALSE()),"UNMAPPED"))</f>
        <v/>
      </c>
      <c r="J539" s="1" t="str">
        <f aca="false">IF($C539="","",IFERROR(VLOOKUP($C539,Master_Mappings!$N$4:$S$134,4,FALSE()),""))</f>
        <v/>
      </c>
      <c r="M539" s="0" t="str">
        <f aca="false">IF($C539="","",IFERROR(VLOOKUP($C539,Master_Mappings!$N$4:$S$200,6,FALSE()),""))</f>
        <v/>
      </c>
    </row>
    <row r="540" customFormat="false" ht="13.5" hidden="false" customHeight="false" outlineLevel="0" collapsed="false">
      <c r="I540" s="1" t="str">
        <f aca="false">IF($C540="","",IFERROR(VLOOKUP($C540,Master_Mappings!$N$4:$S$200,3,FALSE()),"UNMAPPED"))</f>
        <v/>
      </c>
      <c r="J540" s="1" t="str">
        <f aca="false">IF($C540="","",IFERROR(VLOOKUP($C540,Master_Mappings!$N$4:$S$134,4,FALSE()),""))</f>
        <v/>
      </c>
      <c r="M540" s="0" t="str">
        <f aca="false">IF($C540="","",IFERROR(VLOOKUP($C540,Master_Mappings!$N$4:$S$200,6,FALSE()),""))</f>
        <v/>
      </c>
    </row>
    <row r="541" customFormat="false" ht="13.5" hidden="false" customHeight="false" outlineLevel="0" collapsed="false">
      <c r="I541" s="1" t="str">
        <f aca="false">IF($C541="","",IFERROR(VLOOKUP($C541,Master_Mappings!$N$4:$S$200,3,FALSE()),"UNMAPPED"))</f>
        <v/>
      </c>
      <c r="J541" s="1" t="str">
        <f aca="false">IF($C541="","",IFERROR(VLOOKUP($C541,Master_Mappings!$N$4:$S$134,4,FALSE()),""))</f>
        <v/>
      </c>
      <c r="M541" s="0" t="str">
        <f aca="false">IF($C541="","",IFERROR(VLOOKUP($C541,Master_Mappings!$N$4:$S$200,6,FALSE()),""))</f>
        <v/>
      </c>
    </row>
    <row r="542" customFormat="false" ht="13.5" hidden="false" customHeight="false" outlineLevel="0" collapsed="false">
      <c r="I542" s="1" t="str">
        <f aca="false">IF($C542="","",IFERROR(VLOOKUP($C542,Master_Mappings!$N$4:$S$200,3,FALSE()),"UNMAPPED"))</f>
        <v/>
      </c>
      <c r="J542" s="1" t="str">
        <f aca="false">IF($C542="","",IFERROR(VLOOKUP($C542,Master_Mappings!$N$4:$S$134,4,FALSE()),""))</f>
        <v/>
      </c>
      <c r="M542" s="0" t="str">
        <f aca="false">IF($C542="","",IFERROR(VLOOKUP($C542,Master_Mappings!$N$4:$S$200,6,FALSE()),""))</f>
        <v/>
      </c>
    </row>
    <row r="543" customFormat="false" ht="13.5" hidden="false" customHeight="false" outlineLevel="0" collapsed="false">
      <c r="I543" s="1" t="str">
        <f aca="false">IF($C543="","",IFERROR(VLOOKUP($C543,Master_Mappings!$N$4:$S$200,3,FALSE()),"UNMAPPED"))</f>
        <v/>
      </c>
      <c r="J543" s="1" t="str">
        <f aca="false">IF($C543="","",IFERROR(VLOOKUP($C543,Master_Mappings!$N$4:$S$134,4,FALSE()),""))</f>
        <v/>
      </c>
      <c r="M543" s="0" t="str">
        <f aca="false">IF($C543="","",IFERROR(VLOOKUP($C543,Master_Mappings!$N$4:$S$200,6,FALSE()),""))</f>
        <v/>
      </c>
    </row>
    <row r="544" customFormat="false" ht="13.5" hidden="false" customHeight="false" outlineLevel="0" collapsed="false">
      <c r="I544" s="1" t="str">
        <f aca="false">IF($C544="","",IFERROR(VLOOKUP($C544,Master_Mappings!$N$4:$S$200,3,FALSE()),"UNMAPPED"))</f>
        <v/>
      </c>
      <c r="J544" s="1" t="str">
        <f aca="false">IF($C544="","",IFERROR(VLOOKUP($C544,Master_Mappings!$N$4:$S$134,4,FALSE()),""))</f>
        <v/>
      </c>
      <c r="M544" s="0" t="str">
        <f aca="false">IF($C544="","",IFERROR(VLOOKUP($C544,Master_Mappings!$N$4:$S$200,6,FALSE()),""))</f>
        <v/>
      </c>
    </row>
    <row r="545" customFormat="false" ht="13.5" hidden="false" customHeight="false" outlineLevel="0" collapsed="false">
      <c r="I545" s="1" t="str">
        <f aca="false">IF($C545="","",IFERROR(VLOOKUP($C545,Master_Mappings!$N$4:$S$200,3,FALSE()),"UNMAPPED"))</f>
        <v/>
      </c>
      <c r="J545" s="1" t="str">
        <f aca="false">IF($C545="","",IFERROR(VLOOKUP($C545,Master_Mappings!$N$4:$S$134,4,FALSE()),""))</f>
        <v/>
      </c>
      <c r="M545" s="0" t="str">
        <f aca="false">IF($C545="","",IFERROR(VLOOKUP($C545,Master_Mappings!$N$4:$S$200,6,FALSE()),""))</f>
        <v/>
      </c>
    </row>
    <row r="546" customFormat="false" ht="13.5" hidden="false" customHeight="false" outlineLevel="0" collapsed="false">
      <c r="I546" s="1" t="str">
        <f aca="false">IF($C546="","",IFERROR(VLOOKUP($C546,Master_Mappings!$N$4:$S$200,3,FALSE()),"UNMAPPED"))</f>
        <v/>
      </c>
      <c r="J546" s="1" t="str">
        <f aca="false">IF($C546="","",IFERROR(VLOOKUP($C546,Master_Mappings!$N$4:$S$134,4,FALSE()),""))</f>
        <v/>
      </c>
      <c r="M546" s="0" t="str">
        <f aca="false">IF($C546="","",IFERROR(VLOOKUP($C546,Master_Mappings!$N$4:$S$200,6,FALSE()),""))</f>
        <v/>
      </c>
    </row>
    <row r="547" customFormat="false" ht="13.5" hidden="false" customHeight="false" outlineLevel="0" collapsed="false">
      <c r="I547" s="1" t="str">
        <f aca="false">IF($C547="","",IFERROR(VLOOKUP($C547,Master_Mappings!$N$4:$S$200,3,FALSE()),"UNMAPPED"))</f>
        <v/>
      </c>
      <c r="J547" s="1" t="str">
        <f aca="false">IF($C547="","",IFERROR(VLOOKUP($C547,Master_Mappings!$N$4:$S$134,4,FALSE()),""))</f>
        <v/>
      </c>
      <c r="M547" s="0" t="str">
        <f aca="false">IF($C547="","",IFERROR(VLOOKUP($C547,Master_Mappings!$N$4:$S$200,6,FALSE()),""))</f>
        <v/>
      </c>
    </row>
    <row r="548" customFormat="false" ht="13.5" hidden="false" customHeight="false" outlineLevel="0" collapsed="false">
      <c r="I548" s="1" t="str">
        <f aca="false">IF($C548="","",IFERROR(VLOOKUP($C548,Master_Mappings!$N$4:$S$200,3,FALSE()),"UNMAPPED"))</f>
        <v/>
      </c>
      <c r="J548" s="1" t="str">
        <f aca="false">IF($C548="","",IFERROR(VLOOKUP($C548,Master_Mappings!$N$4:$S$134,4,FALSE()),""))</f>
        <v/>
      </c>
      <c r="M548" s="0" t="str">
        <f aca="false">IF($C548="","",IFERROR(VLOOKUP($C548,Master_Mappings!$N$4:$S$200,6,FALSE()),""))</f>
        <v/>
      </c>
    </row>
    <row r="549" customFormat="false" ht="13.5" hidden="false" customHeight="false" outlineLevel="0" collapsed="false">
      <c r="I549" s="1" t="str">
        <f aca="false">IF($C549="","",IFERROR(VLOOKUP($C549,Master_Mappings!$N$4:$S$200,3,FALSE()),"UNMAPPED"))</f>
        <v/>
      </c>
      <c r="J549" s="1" t="str">
        <f aca="false">IF($C549="","",IFERROR(VLOOKUP($C549,Master_Mappings!$N$4:$S$134,4,FALSE()),""))</f>
        <v/>
      </c>
      <c r="M549" s="0" t="str">
        <f aca="false">IF($C549="","",IFERROR(VLOOKUP($C549,Master_Mappings!$N$4:$S$200,6,FALSE()),""))</f>
        <v/>
      </c>
    </row>
    <row r="550" customFormat="false" ht="13.5" hidden="false" customHeight="false" outlineLevel="0" collapsed="false">
      <c r="I550" s="1" t="str">
        <f aca="false">IF($C550="","",IFERROR(VLOOKUP($C550,Master_Mappings!$N$4:$S$200,3,FALSE()),"UNMAPPED"))</f>
        <v/>
      </c>
      <c r="J550" s="1" t="str">
        <f aca="false">IF($C550="","",IFERROR(VLOOKUP($C550,Master_Mappings!$N$4:$S$134,4,FALSE()),""))</f>
        <v/>
      </c>
      <c r="M550" s="0" t="str">
        <f aca="false">IF($C550="","",IFERROR(VLOOKUP($C550,Master_Mappings!$N$4:$S$200,6,FALSE()),""))</f>
        <v/>
      </c>
    </row>
    <row r="551" customFormat="false" ht="13.5" hidden="false" customHeight="false" outlineLevel="0" collapsed="false">
      <c r="I551" s="1" t="str">
        <f aca="false">IF($C551="","",IFERROR(VLOOKUP($C551,Master_Mappings!$N$4:$S$200,3,FALSE()),"UNMAPPED"))</f>
        <v/>
      </c>
      <c r="J551" s="1" t="str">
        <f aca="false">IF($C551="","",IFERROR(VLOOKUP($C551,Master_Mappings!$N$4:$S$134,4,FALSE()),""))</f>
        <v/>
      </c>
      <c r="M551" s="0" t="str">
        <f aca="false">IF($C551="","",IFERROR(VLOOKUP($C551,Master_Mappings!$N$4:$S$200,6,FALSE()),""))</f>
        <v/>
      </c>
    </row>
    <row r="552" customFormat="false" ht="13.5" hidden="false" customHeight="false" outlineLevel="0" collapsed="false">
      <c r="I552" s="1" t="str">
        <f aca="false">IF($C552="","",IFERROR(VLOOKUP($C552,Master_Mappings!$N$4:$S$200,3,FALSE()),"UNMAPPED"))</f>
        <v/>
      </c>
      <c r="J552" s="1" t="str">
        <f aca="false">IF($C552="","",IFERROR(VLOOKUP($C552,Master_Mappings!$N$4:$S$134,4,FALSE()),""))</f>
        <v/>
      </c>
      <c r="M552" s="0" t="str">
        <f aca="false">IF($C552="","",IFERROR(VLOOKUP($C552,Master_Mappings!$N$4:$S$200,6,FALSE()),""))</f>
        <v/>
      </c>
    </row>
    <row r="553" customFormat="false" ht="13.5" hidden="false" customHeight="false" outlineLevel="0" collapsed="false">
      <c r="I553" s="1" t="str">
        <f aca="false">IF($C553="","",IFERROR(VLOOKUP($C553,Master_Mappings!$N$4:$S$200,3,FALSE()),"UNMAPPED"))</f>
        <v/>
      </c>
      <c r="J553" s="1" t="str">
        <f aca="false">IF($C553="","",IFERROR(VLOOKUP($C553,Master_Mappings!$N$4:$S$134,4,FALSE()),""))</f>
        <v/>
      </c>
      <c r="M553" s="0" t="str">
        <f aca="false">IF($C553="","",IFERROR(VLOOKUP($C553,Master_Mappings!$N$4:$S$200,6,FALSE()),""))</f>
        <v/>
      </c>
    </row>
    <row r="554" customFormat="false" ht="13.5" hidden="false" customHeight="false" outlineLevel="0" collapsed="false">
      <c r="I554" s="1" t="str">
        <f aca="false">IF($C554="","",IFERROR(VLOOKUP($C554,Master_Mappings!$N$4:$S$200,3,FALSE()),"UNMAPPED"))</f>
        <v/>
      </c>
      <c r="J554" s="1" t="str">
        <f aca="false">IF($C554="","",IFERROR(VLOOKUP($C554,Master_Mappings!$N$4:$S$134,4,FALSE()),""))</f>
        <v/>
      </c>
      <c r="M554" s="0" t="str">
        <f aca="false">IF($C554="","",IFERROR(VLOOKUP($C554,Master_Mappings!$N$4:$S$200,6,FALSE()),""))</f>
        <v/>
      </c>
    </row>
    <row r="555" customFormat="false" ht="13.5" hidden="false" customHeight="false" outlineLevel="0" collapsed="false">
      <c r="I555" s="1" t="str">
        <f aca="false">IF($C555="","",IFERROR(VLOOKUP($C555,Master_Mappings!$N$4:$S$200,3,FALSE()),"UNMAPPED"))</f>
        <v/>
      </c>
      <c r="J555" s="1" t="str">
        <f aca="false">IF($C555="","",IFERROR(VLOOKUP($C555,Master_Mappings!$N$4:$S$134,4,FALSE()),""))</f>
        <v/>
      </c>
      <c r="M555" s="0" t="str">
        <f aca="false">IF($C555="","",IFERROR(VLOOKUP($C555,Master_Mappings!$N$4:$S$200,6,FALSE()),""))</f>
        <v/>
      </c>
    </row>
    <row r="556" customFormat="false" ht="13.5" hidden="false" customHeight="false" outlineLevel="0" collapsed="false">
      <c r="I556" s="1" t="str">
        <f aca="false">IF($C556="","",IFERROR(VLOOKUP($C556,Master_Mappings!$N$4:$S$200,3,FALSE()),"UNMAPPED"))</f>
        <v/>
      </c>
      <c r="J556" s="1" t="str">
        <f aca="false">IF($C556="","",IFERROR(VLOOKUP($C556,Master_Mappings!$N$4:$S$134,4,FALSE()),""))</f>
        <v/>
      </c>
      <c r="M556" s="0" t="str">
        <f aca="false">IF($C556="","",IFERROR(VLOOKUP($C556,Master_Mappings!$N$4:$S$200,6,FALSE()),""))</f>
        <v/>
      </c>
    </row>
    <row r="557" customFormat="false" ht="13.5" hidden="false" customHeight="false" outlineLevel="0" collapsed="false">
      <c r="I557" s="1" t="str">
        <f aca="false">IF($C557="","",IFERROR(VLOOKUP($C557,Master_Mappings!$N$4:$S$200,3,FALSE()),"UNMAPPED"))</f>
        <v/>
      </c>
      <c r="J557" s="1" t="str">
        <f aca="false">IF($C557="","",IFERROR(VLOOKUP($C557,Master_Mappings!$N$4:$S$134,4,FALSE()),""))</f>
        <v/>
      </c>
      <c r="M557" s="0" t="str">
        <f aca="false">IF($C557="","",IFERROR(VLOOKUP($C557,Master_Mappings!$N$4:$S$200,6,FALSE()),""))</f>
        <v/>
      </c>
    </row>
    <row r="558" customFormat="false" ht="13.5" hidden="false" customHeight="false" outlineLevel="0" collapsed="false">
      <c r="I558" s="1" t="str">
        <f aca="false">IF($C558="","",IFERROR(VLOOKUP($C558,Master_Mappings!$N$4:$S$200,3,FALSE()),"UNMAPPED"))</f>
        <v/>
      </c>
      <c r="J558" s="1" t="str">
        <f aca="false">IF($C558="","",IFERROR(VLOOKUP($C558,Master_Mappings!$N$4:$S$134,4,FALSE()),""))</f>
        <v/>
      </c>
      <c r="M558" s="0" t="str">
        <f aca="false">IF($C558="","",IFERROR(VLOOKUP($C558,Master_Mappings!$N$4:$S$200,6,FALSE()),""))</f>
        <v/>
      </c>
    </row>
    <row r="559" customFormat="false" ht="13.5" hidden="false" customHeight="false" outlineLevel="0" collapsed="false">
      <c r="I559" s="1" t="str">
        <f aca="false">IF($C559="","",IFERROR(VLOOKUP($C559,Master_Mappings!$N$4:$S$200,3,FALSE()),"UNMAPPED"))</f>
        <v/>
      </c>
      <c r="J559" s="1" t="str">
        <f aca="false">IF($C559="","",IFERROR(VLOOKUP($C559,Master_Mappings!$N$4:$S$134,4,FALSE()),""))</f>
        <v/>
      </c>
      <c r="M559" s="0" t="str">
        <f aca="false">IF($C559="","",IFERROR(VLOOKUP($C559,Master_Mappings!$N$4:$S$200,6,FALSE()),""))</f>
        <v/>
      </c>
    </row>
    <row r="560" customFormat="false" ht="13.5" hidden="false" customHeight="false" outlineLevel="0" collapsed="false">
      <c r="I560" s="1" t="str">
        <f aca="false">IF($C560="","",IFERROR(VLOOKUP($C560,Master_Mappings!$N$4:$S$200,3,FALSE()),"UNMAPPED"))</f>
        <v/>
      </c>
      <c r="J560" s="1" t="str">
        <f aca="false">IF($C560="","",IFERROR(VLOOKUP($C560,Master_Mappings!$N$4:$S$134,4,FALSE()),""))</f>
        <v/>
      </c>
      <c r="M560" s="0" t="str">
        <f aca="false">IF($C560="","",IFERROR(VLOOKUP($C560,Master_Mappings!$N$4:$S$200,6,FALSE()),""))</f>
        <v/>
      </c>
    </row>
    <row r="561" customFormat="false" ht="13.5" hidden="false" customHeight="false" outlineLevel="0" collapsed="false">
      <c r="I561" s="1" t="str">
        <f aca="false">IF($C561="","",IFERROR(VLOOKUP($C561,Master_Mappings!$N$4:$S$200,3,FALSE()),"UNMAPPED"))</f>
        <v/>
      </c>
      <c r="J561" s="1" t="str">
        <f aca="false">IF($C561="","",IFERROR(VLOOKUP($C561,Master_Mappings!$N$4:$S$134,4,FALSE()),""))</f>
        <v/>
      </c>
      <c r="M561" s="0" t="str">
        <f aca="false">IF($C561="","",IFERROR(VLOOKUP($C561,Master_Mappings!$N$4:$S$200,6,FALSE()),""))</f>
        <v/>
      </c>
    </row>
    <row r="562" customFormat="false" ht="13.5" hidden="false" customHeight="false" outlineLevel="0" collapsed="false">
      <c r="I562" s="1" t="str">
        <f aca="false">IF($C562="","",IFERROR(VLOOKUP($C562,Master_Mappings!$N$4:$S$200,3,FALSE()),"UNMAPPED"))</f>
        <v/>
      </c>
      <c r="J562" s="1" t="str">
        <f aca="false">IF($C562="","",IFERROR(VLOOKUP($C562,Master_Mappings!$N$4:$S$134,4,FALSE()),""))</f>
        <v/>
      </c>
      <c r="M562" s="0" t="str">
        <f aca="false">IF($C562="","",IFERROR(VLOOKUP($C562,Master_Mappings!$N$4:$S$200,6,FALSE()),""))</f>
        <v/>
      </c>
    </row>
    <row r="563" customFormat="false" ht="13.5" hidden="false" customHeight="false" outlineLevel="0" collapsed="false">
      <c r="I563" s="1" t="str">
        <f aca="false">IF($C563="","",IFERROR(VLOOKUP($C563,Master_Mappings!$N$4:$S$200,3,FALSE()),"UNMAPPED"))</f>
        <v/>
      </c>
      <c r="J563" s="1" t="str">
        <f aca="false">IF($C563="","",IFERROR(VLOOKUP($C563,Master_Mappings!$N$4:$S$134,4,FALSE()),""))</f>
        <v/>
      </c>
      <c r="M563" s="0" t="str">
        <f aca="false">IF($C563="","",IFERROR(VLOOKUP($C563,Master_Mappings!$N$4:$S$200,6,FALSE()),""))</f>
        <v/>
      </c>
    </row>
    <row r="564" customFormat="false" ht="13.5" hidden="false" customHeight="false" outlineLevel="0" collapsed="false">
      <c r="I564" s="1" t="str">
        <f aca="false">IF($C564="","",IFERROR(VLOOKUP($C564,Master_Mappings!$N$4:$S$200,3,FALSE()),"UNMAPPED"))</f>
        <v/>
      </c>
      <c r="J564" s="1" t="str">
        <f aca="false">IF($C564="","",IFERROR(VLOOKUP($C564,Master_Mappings!$N$4:$S$134,4,FALSE()),""))</f>
        <v/>
      </c>
      <c r="M564" s="0" t="str">
        <f aca="false">IF($C564="","",IFERROR(VLOOKUP($C564,Master_Mappings!$N$4:$S$200,6,FALSE()),""))</f>
        <v/>
      </c>
    </row>
    <row r="565" customFormat="false" ht="13.5" hidden="false" customHeight="false" outlineLevel="0" collapsed="false">
      <c r="I565" s="1" t="str">
        <f aca="false">IF($C565="","",IFERROR(VLOOKUP($C565,Master_Mappings!$N$4:$S$200,3,FALSE()),"UNMAPPED"))</f>
        <v/>
      </c>
      <c r="J565" s="1" t="str">
        <f aca="false">IF($C565="","",IFERROR(VLOOKUP($C565,Master_Mappings!$N$4:$S$134,4,FALSE()),""))</f>
        <v/>
      </c>
      <c r="M565" s="0" t="str">
        <f aca="false">IF($C565="","",IFERROR(VLOOKUP($C565,Master_Mappings!$N$4:$S$200,6,FALSE()),""))</f>
        <v/>
      </c>
    </row>
    <row r="566" customFormat="false" ht="13.5" hidden="false" customHeight="false" outlineLevel="0" collapsed="false">
      <c r="I566" s="1" t="str">
        <f aca="false">IF($C566="","",IFERROR(VLOOKUP($C566,Master_Mappings!$N$4:$S$200,3,FALSE()),"UNMAPPED"))</f>
        <v/>
      </c>
      <c r="J566" s="1" t="str">
        <f aca="false">IF($C566="","",IFERROR(VLOOKUP($C566,Master_Mappings!$N$4:$S$134,4,FALSE()),""))</f>
        <v/>
      </c>
      <c r="M566" s="0" t="str">
        <f aca="false">IF($C566="","",IFERROR(VLOOKUP($C566,Master_Mappings!$N$4:$S$200,6,FALSE()),""))</f>
        <v/>
      </c>
    </row>
    <row r="567" customFormat="false" ht="13.5" hidden="false" customHeight="false" outlineLevel="0" collapsed="false">
      <c r="I567" s="1" t="str">
        <f aca="false">IF($C567="","",IFERROR(VLOOKUP($C567,Master_Mappings!$N$4:$S$200,3,FALSE()),"UNMAPPED"))</f>
        <v/>
      </c>
      <c r="J567" s="1" t="str">
        <f aca="false">IF($C567="","",IFERROR(VLOOKUP($C567,Master_Mappings!$N$4:$S$134,4,FALSE()),""))</f>
        <v/>
      </c>
      <c r="M567" s="0" t="str">
        <f aca="false">IF($C567="","",IFERROR(VLOOKUP($C567,Master_Mappings!$N$4:$S$200,6,FALSE()),""))</f>
        <v/>
      </c>
    </row>
    <row r="568" customFormat="false" ht="13.5" hidden="false" customHeight="false" outlineLevel="0" collapsed="false">
      <c r="I568" s="1" t="str">
        <f aca="false">IF($C568="","",IFERROR(VLOOKUP($C568,Master_Mappings!$N$4:$S$200,3,FALSE()),"UNMAPPED"))</f>
        <v/>
      </c>
      <c r="J568" s="1" t="str">
        <f aca="false">IF($C568="","",IFERROR(VLOOKUP($C568,Master_Mappings!$N$4:$S$134,4,FALSE()),""))</f>
        <v/>
      </c>
      <c r="M568" s="0" t="str">
        <f aca="false">IF($C568="","",IFERROR(VLOOKUP($C568,Master_Mappings!$N$4:$S$200,6,FALSE()),""))</f>
        <v/>
      </c>
    </row>
    <row r="569" customFormat="false" ht="13.5" hidden="false" customHeight="false" outlineLevel="0" collapsed="false">
      <c r="I569" s="1" t="str">
        <f aca="false">IF($C569="","",IFERROR(VLOOKUP($C569,Master_Mappings!$N$4:$S$200,3,FALSE()),"UNMAPPED"))</f>
        <v/>
      </c>
      <c r="J569" s="1" t="str">
        <f aca="false">IF($C569="","",IFERROR(VLOOKUP($C569,Master_Mappings!$N$4:$S$134,4,FALSE()),""))</f>
        <v/>
      </c>
      <c r="M569" s="0" t="str">
        <f aca="false">IF($C569="","",IFERROR(VLOOKUP($C569,Master_Mappings!$N$4:$S$200,6,FALSE()),""))</f>
        <v/>
      </c>
    </row>
    <row r="570" customFormat="false" ht="13.5" hidden="false" customHeight="false" outlineLevel="0" collapsed="false">
      <c r="I570" s="1" t="str">
        <f aca="false">IF($C570="","",IFERROR(VLOOKUP($C570,Master_Mappings!$N$4:$S$200,3,FALSE()),"UNMAPPED"))</f>
        <v/>
      </c>
      <c r="J570" s="1" t="str">
        <f aca="false">IF($C570="","",IFERROR(VLOOKUP($C570,Master_Mappings!$N$4:$S$134,4,FALSE()),""))</f>
        <v/>
      </c>
      <c r="M570" s="0" t="str">
        <f aca="false">IF($C570="","",IFERROR(VLOOKUP($C570,Master_Mappings!$N$4:$S$200,6,FALSE()),""))</f>
        <v/>
      </c>
    </row>
    <row r="571" customFormat="false" ht="13.5" hidden="false" customHeight="false" outlineLevel="0" collapsed="false">
      <c r="I571" s="1" t="str">
        <f aca="false">IF($C571="","",IFERROR(VLOOKUP($C571,Master_Mappings!$N$4:$S$200,3,FALSE()),"UNMAPPED"))</f>
        <v/>
      </c>
      <c r="J571" s="1" t="str">
        <f aca="false">IF($C571="","",IFERROR(VLOOKUP($C571,Master_Mappings!$N$4:$S$134,4,FALSE()),""))</f>
        <v/>
      </c>
      <c r="M571" s="0" t="str">
        <f aca="false">IF($C571="","",IFERROR(VLOOKUP($C571,Master_Mappings!$N$4:$S$200,6,FALSE()),""))</f>
        <v/>
      </c>
    </row>
    <row r="572" customFormat="false" ht="13.5" hidden="false" customHeight="false" outlineLevel="0" collapsed="false">
      <c r="I572" s="1" t="str">
        <f aca="false">IF($C572="","",IFERROR(VLOOKUP($C572,Master_Mappings!$N$4:$S$200,3,FALSE()),"UNMAPPED"))</f>
        <v/>
      </c>
      <c r="J572" s="1" t="str">
        <f aca="false">IF($C572="","",IFERROR(VLOOKUP($C572,Master_Mappings!$N$4:$S$134,4,FALSE()),""))</f>
        <v/>
      </c>
      <c r="M572" s="0" t="str">
        <f aca="false">IF($C572="","",IFERROR(VLOOKUP($C572,Master_Mappings!$N$4:$S$200,6,FALSE()),""))</f>
        <v/>
      </c>
    </row>
    <row r="573" customFormat="false" ht="13.5" hidden="false" customHeight="false" outlineLevel="0" collapsed="false">
      <c r="I573" s="1" t="str">
        <f aca="false">IF($C573="","",IFERROR(VLOOKUP($C573,Master_Mappings!$N$4:$S$200,3,FALSE()),"UNMAPPED"))</f>
        <v/>
      </c>
      <c r="J573" s="1" t="str">
        <f aca="false">IF($C573="","",IFERROR(VLOOKUP($C573,Master_Mappings!$N$4:$S$134,4,FALSE()),""))</f>
        <v/>
      </c>
      <c r="M573" s="0" t="str">
        <f aca="false">IF($C573="","",IFERROR(VLOOKUP($C573,Master_Mappings!$N$4:$S$200,6,FALSE()),""))</f>
        <v/>
      </c>
    </row>
    <row r="574" customFormat="false" ht="13.5" hidden="false" customHeight="false" outlineLevel="0" collapsed="false">
      <c r="I574" s="1" t="str">
        <f aca="false">IF($C574="","",IFERROR(VLOOKUP($C574,Master_Mappings!$N$4:$S$200,3,FALSE()),"UNMAPPED"))</f>
        <v/>
      </c>
      <c r="J574" s="1" t="str">
        <f aca="false">IF($C574="","",IFERROR(VLOOKUP($C574,Master_Mappings!$N$4:$S$134,4,FALSE()),""))</f>
        <v/>
      </c>
      <c r="M574" s="0" t="str">
        <f aca="false">IF($C574="","",IFERROR(VLOOKUP($C574,Master_Mappings!$N$4:$S$200,6,FALSE()),""))</f>
        <v/>
      </c>
    </row>
    <row r="575" customFormat="false" ht="13.5" hidden="false" customHeight="false" outlineLevel="0" collapsed="false">
      <c r="I575" s="1" t="str">
        <f aca="false">IF($C575="","",IFERROR(VLOOKUP($C575,Master_Mappings!$N$4:$S$200,3,FALSE()),"UNMAPPED"))</f>
        <v/>
      </c>
      <c r="J575" s="1" t="str">
        <f aca="false">IF($C575="","",IFERROR(VLOOKUP($C575,Master_Mappings!$N$4:$S$134,4,FALSE()),""))</f>
        <v/>
      </c>
      <c r="M575" s="0" t="str">
        <f aca="false">IF($C575="","",IFERROR(VLOOKUP($C575,Master_Mappings!$N$4:$S$200,6,FALSE()),""))</f>
        <v/>
      </c>
    </row>
    <row r="576" customFormat="false" ht="13.5" hidden="false" customHeight="false" outlineLevel="0" collapsed="false">
      <c r="I576" s="1" t="str">
        <f aca="false">IF($C576="","",IFERROR(VLOOKUP($C576,Master_Mappings!$N$4:$S$200,3,FALSE()),"UNMAPPED"))</f>
        <v/>
      </c>
      <c r="J576" s="1" t="str">
        <f aca="false">IF($C576="","",IFERROR(VLOOKUP($C576,Master_Mappings!$N$4:$S$134,4,FALSE()),""))</f>
        <v/>
      </c>
      <c r="M576" s="0" t="str">
        <f aca="false">IF($C576="","",IFERROR(VLOOKUP($C576,Master_Mappings!$N$4:$S$200,6,FALSE()),""))</f>
        <v/>
      </c>
    </row>
    <row r="577" customFormat="false" ht="13.5" hidden="false" customHeight="false" outlineLevel="0" collapsed="false">
      <c r="I577" s="1" t="str">
        <f aca="false">IF($C577="","",IFERROR(VLOOKUP($C577,Master_Mappings!$N$4:$S$200,3,FALSE()),"UNMAPPED"))</f>
        <v/>
      </c>
      <c r="J577" s="1" t="str">
        <f aca="false">IF($C577="","",IFERROR(VLOOKUP($C577,Master_Mappings!$N$4:$S$134,4,FALSE()),""))</f>
        <v/>
      </c>
      <c r="M577" s="0" t="str">
        <f aca="false">IF($C577="","",IFERROR(VLOOKUP($C577,Master_Mappings!$N$4:$S$200,6,FALSE()),""))</f>
        <v/>
      </c>
    </row>
    <row r="578" customFormat="false" ht="13.5" hidden="false" customHeight="false" outlineLevel="0" collapsed="false">
      <c r="I578" s="1" t="str">
        <f aca="false">IF($C578="","",IFERROR(VLOOKUP($C578,Master_Mappings!$N$4:$S$200,3,FALSE()),"UNMAPPED"))</f>
        <v/>
      </c>
      <c r="J578" s="1" t="str">
        <f aca="false">IF($C578="","",IFERROR(VLOOKUP($C578,Master_Mappings!$N$4:$S$134,4,FALSE()),""))</f>
        <v/>
      </c>
      <c r="M578" s="0" t="str">
        <f aca="false">IF($C578="","",IFERROR(VLOOKUP($C578,Master_Mappings!$N$4:$S$200,6,FALSE()),""))</f>
        <v/>
      </c>
    </row>
    <row r="579" customFormat="false" ht="13.5" hidden="false" customHeight="false" outlineLevel="0" collapsed="false">
      <c r="I579" s="1" t="str">
        <f aca="false">IF($C579="","",IFERROR(VLOOKUP($C579,Master_Mappings!$N$4:$S$200,3,FALSE()),"UNMAPPED"))</f>
        <v/>
      </c>
      <c r="J579" s="1" t="str">
        <f aca="false">IF($C579="","",IFERROR(VLOOKUP($C579,Master_Mappings!$N$4:$S$134,4,FALSE()),""))</f>
        <v/>
      </c>
      <c r="M579" s="0" t="str">
        <f aca="false">IF($C579="","",IFERROR(VLOOKUP($C579,Master_Mappings!$N$4:$S$200,6,FALSE()),""))</f>
        <v/>
      </c>
    </row>
    <row r="580" customFormat="false" ht="13.5" hidden="false" customHeight="false" outlineLevel="0" collapsed="false">
      <c r="I580" s="1" t="str">
        <f aca="false">IF($C580="","",IFERROR(VLOOKUP($C580,Master_Mappings!$N$4:$S$200,3,FALSE()),"UNMAPPED"))</f>
        <v/>
      </c>
      <c r="J580" s="1" t="str">
        <f aca="false">IF($C580="","",IFERROR(VLOOKUP($C580,Master_Mappings!$N$4:$S$134,4,FALSE()),""))</f>
        <v/>
      </c>
      <c r="M580" s="0" t="str">
        <f aca="false">IF($C580="","",IFERROR(VLOOKUP($C580,Master_Mappings!$N$4:$S$200,6,FALSE()),""))</f>
        <v/>
      </c>
    </row>
    <row r="581" customFormat="false" ht="13.5" hidden="false" customHeight="false" outlineLevel="0" collapsed="false">
      <c r="I581" s="1" t="str">
        <f aca="false">IF($C581="","",IFERROR(VLOOKUP($C581,Master_Mappings!$N$4:$S$200,3,FALSE()),"UNMAPPED"))</f>
        <v/>
      </c>
      <c r="J581" s="1" t="str">
        <f aca="false">IF($C581="","",IFERROR(VLOOKUP($C581,Master_Mappings!$N$4:$S$134,4,FALSE()),""))</f>
        <v/>
      </c>
      <c r="M581" s="0" t="str">
        <f aca="false">IF($C581="","",IFERROR(VLOOKUP($C581,Master_Mappings!$N$4:$S$200,6,FALSE()),""))</f>
        <v/>
      </c>
    </row>
    <row r="582" customFormat="false" ht="13.5" hidden="false" customHeight="false" outlineLevel="0" collapsed="false">
      <c r="I582" s="1" t="str">
        <f aca="false">IF($C582="","",IFERROR(VLOOKUP($C582,Master_Mappings!$N$4:$S$200,3,FALSE()),"UNMAPPED"))</f>
        <v/>
      </c>
      <c r="J582" s="1" t="str">
        <f aca="false">IF($C582="","",IFERROR(VLOOKUP($C582,Master_Mappings!$N$4:$S$134,4,FALSE()),""))</f>
        <v/>
      </c>
      <c r="M582" s="0" t="str">
        <f aca="false">IF($C582="","",IFERROR(VLOOKUP($C582,Master_Mappings!$N$4:$S$200,6,FALSE()),""))</f>
        <v/>
      </c>
    </row>
    <row r="583" customFormat="false" ht="13.5" hidden="false" customHeight="false" outlineLevel="0" collapsed="false">
      <c r="I583" s="1" t="str">
        <f aca="false">IF($C583="","",IFERROR(VLOOKUP($C583,Master_Mappings!$N$4:$S$200,3,FALSE()),"UNMAPPED"))</f>
        <v/>
      </c>
      <c r="J583" s="1" t="str">
        <f aca="false">IF($C583="","",IFERROR(VLOOKUP($C583,Master_Mappings!$N$4:$S$134,4,FALSE()),""))</f>
        <v/>
      </c>
      <c r="M583" s="0" t="str">
        <f aca="false">IF($C583="","",IFERROR(VLOOKUP($C583,Master_Mappings!$N$4:$S$200,6,FALSE()),""))</f>
        <v/>
      </c>
    </row>
    <row r="584" customFormat="false" ht="13.5" hidden="false" customHeight="false" outlineLevel="0" collapsed="false">
      <c r="I584" s="1" t="str">
        <f aca="false">IF($C584="","",IFERROR(VLOOKUP($C584,Master_Mappings!$N$4:$S$200,3,FALSE()),"UNMAPPED"))</f>
        <v/>
      </c>
      <c r="J584" s="1" t="str">
        <f aca="false">IF($C584="","",IFERROR(VLOOKUP($C584,Master_Mappings!$N$4:$S$134,4,FALSE()),""))</f>
        <v/>
      </c>
      <c r="M584" s="0" t="str">
        <f aca="false">IF($C584="","",IFERROR(VLOOKUP($C584,Master_Mappings!$N$4:$S$200,6,FALSE()),""))</f>
        <v/>
      </c>
    </row>
    <row r="585" customFormat="false" ht="13.5" hidden="false" customHeight="false" outlineLevel="0" collapsed="false">
      <c r="I585" s="1" t="str">
        <f aca="false">IF($C585="","",IFERROR(VLOOKUP($C585,Master_Mappings!$N$4:$S$200,3,FALSE()),"UNMAPPED"))</f>
        <v/>
      </c>
      <c r="J585" s="1" t="str">
        <f aca="false">IF($C585="","",IFERROR(VLOOKUP($C585,Master_Mappings!$N$4:$S$134,4,FALSE()),""))</f>
        <v/>
      </c>
      <c r="M585" s="0" t="str">
        <f aca="false">IF($C585="","",IFERROR(VLOOKUP($C585,Master_Mappings!$N$4:$S$200,6,FALSE()),""))</f>
        <v/>
      </c>
    </row>
    <row r="586" customFormat="false" ht="13.5" hidden="false" customHeight="false" outlineLevel="0" collapsed="false">
      <c r="I586" s="1" t="str">
        <f aca="false">IF($C586="","",IFERROR(VLOOKUP($C586,Master_Mappings!$N$4:$S$200,3,FALSE()),"UNMAPPED"))</f>
        <v/>
      </c>
      <c r="J586" s="1" t="str">
        <f aca="false">IF($C586="","",IFERROR(VLOOKUP($C586,Master_Mappings!$N$4:$S$134,4,FALSE()),""))</f>
        <v/>
      </c>
      <c r="M586" s="0" t="str">
        <f aca="false">IF($C586="","",IFERROR(VLOOKUP($C586,Master_Mappings!$N$4:$S$200,6,FALSE()),""))</f>
        <v/>
      </c>
    </row>
    <row r="587" customFormat="false" ht="13.5" hidden="false" customHeight="false" outlineLevel="0" collapsed="false">
      <c r="I587" s="1" t="str">
        <f aca="false">IF($C587="","",IFERROR(VLOOKUP($C587,Master_Mappings!$N$4:$S$200,3,FALSE()),"UNMAPPED"))</f>
        <v/>
      </c>
      <c r="J587" s="1" t="str">
        <f aca="false">IF($C587="","",IFERROR(VLOOKUP($C587,Master_Mappings!$N$4:$S$134,4,FALSE()),""))</f>
        <v/>
      </c>
      <c r="M587" s="0" t="str">
        <f aca="false">IF($C587="","",IFERROR(VLOOKUP($C587,Master_Mappings!$N$4:$S$200,6,FALSE()),""))</f>
        <v/>
      </c>
    </row>
    <row r="588" customFormat="false" ht="13.5" hidden="false" customHeight="false" outlineLevel="0" collapsed="false">
      <c r="I588" s="1" t="str">
        <f aca="false">IF($C588="","",IFERROR(VLOOKUP($C588,Master_Mappings!$N$4:$S$200,3,FALSE()),"UNMAPPED"))</f>
        <v/>
      </c>
      <c r="J588" s="1" t="str">
        <f aca="false">IF($C588="","",IFERROR(VLOOKUP($C588,Master_Mappings!$N$4:$S$134,4,FALSE()),""))</f>
        <v/>
      </c>
      <c r="M588" s="0" t="str">
        <f aca="false">IF($C588="","",IFERROR(VLOOKUP($C588,Master_Mappings!$N$4:$S$200,6,FALSE()),""))</f>
        <v/>
      </c>
    </row>
    <row r="589" customFormat="false" ht="13.5" hidden="false" customHeight="false" outlineLevel="0" collapsed="false">
      <c r="I589" s="1" t="str">
        <f aca="false">IF($C589="","",IFERROR(VLOOKUP($C589,Master_Mappings!$N$4:$S$200,3,FALSE()),"UNMAPPED"))</f>
        <v/>
      </c>
      <c r="J589" s="1" t="str">
        <f aca="false">IF($C589="","",IFERROR(VLOOKUP($C589,Master_Mappings!$N$4:$S$134,4,FALSE()),""))</f>
        <v/>
      </c>
      <c r="M589" s="0" t="str">
        <f aca="false">IF($C589="","",IFERROR(VLOOKUP($C589,Master_Mappings!$N$4:$S$200,6,FALSE()),""))</f>
        <v/>
      </c>
    </row>
    <row r="590" customFormat="false" ht="13.5" hidden="false" customHeight="false" outlineLevel="0" collapsed="false">
      <c r="I590" s="1" t="str">
        <f aca="false">IF($C590="","",IFERROR(VLOOKUP($C590,Master_Mappings!$N$4:$S$200,3,FALSE()),"UNMAPPED"))</f>
        <v/>
      </c>
      <c r="J590" s="1" t="str">
        <f aca="false">IF($C590="","",IFERROR(VLOOKUP($C590,Master_Mappings!$N$4:$S$134,4,FALSE()),""))</f>
        <v/>
      </c>
      <c r="M590" s="0" t="str">
        <f aca="false">IF($C590="","",IFERROR(VLOOKUP($C590,Master_Mappings!$N$4:$S$200,6,FALSE()),""))</f>
        <v/>
      </c>
    </row>
    <row r="591" customFormat="false" ht="13.5" hidden="false" customHeight="false" outlineLevel="0" collapsed="false">
      <c r="I591" s="1" t="str">
        <f aca="false">IF($C591="","",IFERROR(VLOOKUP($C591,Master_Mappings!$N$4:$S$200,3,FALSE()),"UNMAPPED"))</f>
        <v/>
      </c>
      <c r="J591" s="1" t="str">
        <f aca="false">IF($C591="","",IFERROR(VLOOKUP($C591,Master_Mappings!$N$4:$S$134,4,FALSE()),""))</f>
        <v/>
      </c>
      <c r="M591" s="0" t="str">
        <f aca="false">IF($C591="","",IFERROR(VLOOKUP($C591,Master_Mappings!$N$4:$S$200,6,FALSE()),""))</f>
        <v/>
      </c>
    </row>
    <row r="592" customFormat="false" ht="13.5" hidden="false" customHeight="false" outlineLevel="0" collapsed="false">
      <c r="I592" s="1" t="str">
        <f aca="false">IF($C592="","",IFERROR(VLOOKUP($C592,Master_Mappings!$N$4:$S$200,3,FALSE()),"UNMAPPED"))</f>
        <v/>
      </c>
      <c r="J592" s="1" t="str">
        <f aca="false">IF($C592="","",IFERROR(VLOOKUP($C592,Master_Mappings!$N$4:$S$134,4,FALSE()),""))</f>
        <v/>
      </c>
      <c r="M592" s="0" t="str">
        <f aca="false">IF($C592="","",IFERROR(VLOOKUP($C592,Master_Mappings!$N$4:$S$200,6,FALSE()),""))</f>
        <v/>
      </c>
    </row>
    <row r="593" customFormat="false" ht="13.5" hidden="false" customHeight="false" outlineLevel="0" collapsed="false">
      <c r="I593" s="1" t="str">
        <f aca="false">IF($C593="","",IFERROR(VLOOKUP($C593,Master_Mappings!$N$4:$S$200,3,FALSE()),"UNMAPPED"))</f>
        <v/>
      </c>
      <c r="J593" s="1" t="str">
        <f aca="false">IF($C593="","",IFERROR(VLOOKUP($C593,Master_Mappings!$N$4:$S$134,4,FALSE()),""))</f>
        <v/>
      </c>
      <c r="M593" s="0" t="str">
        <f aca="false">IF($C593="","",IFERROR(VLOOKUP($C593,Master_Mappings!$N$4:$S$200,6,FALSE()),""))</f>
        <v/>
      </c>
    </row>
    <row r="594" customFormat="false" ht="13.5" hidden="false" customHeight="false" outlineLevel="0" collapsed="false">
      <c r="I594" s="1" t="str">
        <f aca="false">IF($C594="","",IFERROR(VLOOKUP($C594,Master_Mappings!$N$4:$S$200,3,FALSE()),"UNMAPPED"))</f>
        <v/>
      </c>
      <c r="J594" s="1" t="str">
        <f aca="false">IF($C594="","",IFERROR(VLOOKUP($C594,Master_Mappings!$N$4:$S$134,4,FALSE()),""))</f>
        <v/>
      </c>
      <c r="M594" s="0" t="str">
        <f aca="false">IF($C594="","",IFERROR(VLOOKUP($C594,Master_Mappings!$N$4:$S$200,6,FALSE()),""))</f>
        <v/>
      </c>
    </row>
    <row r="595" customFormat="false" ht="13.5" hidden="false" customHeight="false" outlineLevel="0" collapsed="false">
      <c r="I595" s="1" t="str">
        <f aca="false">IF($C595="","",IFERROR(VLOOKUP($C595,Master_Mappings!$N$4:$S$200,3,FALSE()),"UNMAPPED"))</f>
        <v/>
      </c>
      <c r="J595" s="1" t="str">
        <f aca="false">IF($C595="","",IFERROR(VLOOKUP($C595,Master_Mappings!$N$4:$S$134,4,FALSE()),""))</f>
        <v/>
      </c>
      <c r="M595" s="0" t="str">
        <f aca="false">IF($C595="","",IFERROR(VLOOKUP($C595,Master_Mappings!$N$4:$S$200,6,FALSE()),""))</f>
        <v/>
      </c>
    </row>
    <row r="596" customFormat="false" ht="13.5" hidden="false" customHeight="false" outlineLevel="0" collapsed="false">
      <c r="I596" s="1" t="str">
        <f aca="false">IF($C596="","",IFERROR(VLOOKUP($C596,Master_Mappings!$N$4:$S$200,3,FALSE()),"UNMAPPED"))</f>
        <v/>
      </c>
      <c r="J596" s="1" t="str">
        <f aca="false">IF($C596="","",IFERROR(VLOOKUP($C596,Master_Mappings!$N$4:$S$134,4,FALSE()),""))</f>
        <v/>
      </c>
      <c r="M596" s="0" t="str">
        <f aca="false">IF($C596="","",IFERROR(VLOOKUP($C596,Master_Mappings!$N$4:$S$200,6,FALSE()),""))</f>
        <v/>
      </c>
    </row>
    <row r="597" customFormat="false" ht="13.5" hidden="false" customHeight="false" outlineLevel="0" collapsed="false">
      <c r="I597" s="1" t="str">
        <f aca="false">IF($C597="","",IFERROR(VLOOKUP($C597,Master_Mappings!$N$4:$S$200,3,FALSE()),"UNMAPPED"))</f>
        <v/>
      </c>
      <c r="J597" s="1" t="str">
        <f aca="false">IF($C597="","",IFERROR(VLOOKUP($C597,Master_Mappings!$N$4:$S$134,4,FALSE()),""))</f>
        <v/>
      </c>
      <c r="M597" s="0" t="str">
        <f aca="false">IF($C597="","",IFERROR(VLOOKUP($C597,Master_Mappings!$N$4:$S$200,6,FALSE()),""))</f>
        <v/>
      </c>
    </row>
    <row r="598" customFormat="false" ht="13.5" hidden="false" customHeight="false" outlineLevel="0" collapsed="false">
      <c r="I598" s="1" t="str">
        <f aca="false">IF($C598="","",IFERROR(VLOOKUP($C598,Master_Mappings!$N$4:$S$200,3,FALSE()),"UNMAPPED"))</f>
        <v/>
      </c>
      <c r="J598" s="1" t="str">
        <f aca="false">IF($C598="","",IFERROR(VLOOKUP($C598,Master_Mappings!$N$4:$S$134,4,FALSE()),""))</f>
        <v/>
      </c>
      <c r="M598" s="0" t="str">
        <f aca="false">IF($C598="","",IFERROR(VLOOKUP($C598,Master_Mappings!$N$4:$S$200,6,FALSE()),""))</f>
        <v/>
      </c>
    </row>
    <row r="599" customFormat="false" ht="13.5" hidden="false" customHeight="false" outlineLevel="0" collapsed="false">
      <c r="I599" s="1" t="str">
        <f aca="false">IF($C599="","",IFERROR(VLOOKUP($C599,Master_Mappings!$N$4:$S$200,3,FALSE()),"UNMAPPED"))</f>
        <v/>
      </c>
      <c r="J599" s="1" t="str">
        <f aca="false">IF($C599="","",IFERROR(VLOOKUP($C599,Master_Mappings!$N$4:$S$134,4,FALSE()),""))</f>
        <v/>
      </c>
      <c r="M599" s="0" t="str">
        <f aca="false">IF($C599="","",IFERROR(VLOOKUP($C599,Master_Mappings!$N$4:$S$200,6,FALSE()),""))</f>
        <v/>
      </c>
    </row>
    <row r="600" customFormat="false" ht="13.5" hidden="false" customHeight="false" outlineLevel="0" collapsed="false">
      <c r="I600" s="1" t="str">
        <f aca="false">IF($C600="","",IFERROR(VLOOKUP($C600,Master_Mappings!$N$4:$S$200,3,FALSE()),"UNMAPPED"))</f>
        <v/>
      </c>
      <c r="J600" s="1" t="str">
        <f aca="false">IF($C600="","",IFERROR(VLOOKUP($C600,Master_Mappings!$N$4:$S$134,4,FALSE()),""))</f>
        <v/>
      </c>
      <c r="M600" s="0" t="str">
        <f aca="false">IF($C600="","",IFERROR(VLOOKUP($C600,Master_Mappings!$N$4:$S$200,6,FALSE()),""))</f>
        <v/>
      </c>
    </row>
    <row r="601" customFormat="false" ht="13.5" hidden="false" customHeight="false" outlineLevel="0" collapsed="false">
      <c r="I601" s="1" t="str">
        <f aca="false">IF($C601="","",IFERROR(VLOOKUP($C601,Master_Mappings!$N$4:$S$200,3,FALSE()),"UNMAPPED"))</f>
        <v/>
      </c>
      <c r="J601" s="1" t="str">
        <f aca="false">IF($C601="","",IFERROR(VLOOKUP($C601,Master_Mappings!$N$4:$S$134,4,FALSE()),""))</f>
        <v/>
      </c>
      <c r="M601" s="0" t="str">
        <f aca="false">IF($C601="","",IFERROR(VLOOKUP($C601,Master_Mappings!$N$4:$S$200,6,FALSE()),""))</f>
        <v/>
      </c>
    </row>
    <row r="602" customFormat="false" ht="13.5" hidden="false" customHeight="false" outlineLevel="0" collapsed="false">
      <c r="I602" s="1" t="str">
        <f aca="false">IF($C602="","",IFERROR(VLOOKUP($C602,Master_Mappings!$N$4:$S$200,3,FALSE()),"UNMAPPED"))</f>
        <v/>
      </c>
      <c r="J602" s="1" t="str">
        <f aca="false">IF($C602="","",IFERROR(VLOOKUP($C602,Master_Mappings!$N$4:$S$134,4,FALSE()),""))</f>
        <v/>
      </c>
      <c r="M602" s="0" t="str">
        <f aca="false">IF($C602="","",IFERROR(VLOOKUP($C602,Master_Mappings!$N$4:$S$200,6,FALSE()),""))</f>
        <v/>
      </c>
    </row>
    <row r="603" customFormat="false" ht="13.5" hidden="false" customHeight="false" outlineLevel="0" collapsed="false">
      <c r="I603" s="1" t="str">
        <f aca="false">IF($C603="","",IFERROR(VLOOKUP($C603,Master_Mappings!$N$4:$S$200,3,FALSE()),"UNMAPPED"))</f>
        <v/>
      </c>
      <c r="J603" s="1" t="str">
        <f aca="false">IF($C603="","",IFERROR(VLOOKUP($C603,Master_Mappings!$N$4:$S$134,4,FALSE()),""))</f>
        <v/>
      </c>
      <c r="M603" s="0" t="str">
        <f aca="false">IF($C603="","",IFERROR(VLOOKUP($C603,Master_Mappings!$N$4:$S$200,6,FALSE()),""))</f>
        <v/>
      </c>
    </row>
    <row r="604" customFormat="false" ht="13.5" hidden="false" customHeight="false" outlineLevel="0" collapsed="false">
      <c r="I604" s="1" t="str">
        <f aca="false">IF($C604="","",IFERROR(VLOOKUP($C604,Master_Mappings!$N$4:$S$200,3,FALSE()),"UNMAPPED"))</f>
        <v/>
      </c>
      <c r="J604" s="1" t="str">
        <f aca="false">IF($C604="","",IFERROR(VLOOKUP($C604,Master_Mappings!$N$4:$S$134,4,FALSE()),""))</f>
        <v/>
      </c>
      <c r="M604" s="0" t="str">
        <f aca="false">IF($C604="","",IFERROR(VLOOKUP($C604,Master_Mappings!$N$4:$S$200,6,FALSE()),""))</f>
        <v/>
      </c>
    </row>
    <row r="605" customFormat="false" ht="13.5" hidden="false" customHeight="false" outlineLevel="0" collapsed="false">
      <c r="I605" s="1" t="str">
        <f aca="false">IF($C605="","",IFERROR(VLOOKUP($C605,Master_Mappings!$N$4:$S$200,3,FALSE()),"UNMAPPED"))</f>
        <v/>
      </c>
      <c r="J605" s="1" t="str">
        <f aca="false">IF($C605="","",IFERROR(VLOOKUP($C605,Master_Mappings!$N$4:$S$134,4,FALSE()),""))</f>
        <v/>
      </c>
      <c r="M605" s="0" t="str">
        <f aca="false">IF($C605="","",IFERROR(VLOOKUP($C605,Master_Mappings!$N$4:$S$200,6,FALSE()),""))</f>
        <v/>
      </c>
    </row>
    <row r="606" customFormat="false" ht="13.5" hidden="false" customHeight="false" outlineLevel="0" collapsed="false">
      <c r="I606" s="1" t="str">
        <f aca="false">IF($C606="","",IFERROR(VLOOKUP($C606,Master_Mappings!$N$4:$S$200,3,FALSE()),"UNMAPPED"))</f>
        <v/>
      </c>
      <c r="J606" s="1" t="str">
        <f aca="false">IF($C606="","",IFERROR(VLOOKUP($C606,Master_Mappings!$N$4:$S$134,4,FALSE()),""))</f>
        <v/>
      </c>
      <c r="M606" s="0" t="str">
        <f aca="false">IF($C606="","",IFERROR(VLOOKUP($C606,Master_Mappings!$N$4:$S$200,6,FALSE()),""))</f>
        <v/>
      </c>
    </row>
    <row r="607" customFormat="false" ht="13.5" hidden="false" customHeight="false" outlineLevel="0" collapsed="false">
      <c r="I607" s="1" t="str">
        <f aca="false">IF($C607="","",IFERROR(VLOOKUP($C607,Master_Mappings!$N$4:$S$200,3,FALSE()),"UNMAPPED"))</f>
        <v/>
      </c>
      <c r="J607" s="1" t="str">
        <f aca="false">IF($C607="","",IFERROR(VLOOKUP($C607,Master_Mappings!$N$4:$S$134,4,FALSE()),""))</f>
        <v/>
      </c>
      <c r="M607" s="0" t="str">
        <f aca="false">IF($C607="","",IFERROR(VLOOKUP($C607,Master_Mappings!$N$4:$S$200,6,FALSE()),""))</f>
        <v/>
      </c>
    </row>
    <row r="608" customFormat="false" ht="13.5" hidden="false" customHeight="false" outlineLevel="0" collapsed="false">
      <c r="I608" s="1" t="str">
        <f aca="false">IF($C608="","",IFERROR(VLOOKUP($C608,Master_Mappings!$N$4:$S$200,3,FALSE()),"UNMAPPED"))</f>
        <v/>
      </c>
      <c r="J608" s="1" t="str">
        <f aca="false">IF($C608="","",IFERROR(VLOOKUP($C608,Master_Mappings!$N$4:$S$134,4,FALSE()),""))</f>
        <v/>
      </c>
      <c r="M608" s="0" t="str">
        <f aca="false">IF($C608="","",IFERROR(VLOOKUP($C608,Master_Mappings!$N$4:$S$200,6,FALSE()),""))</f>
        <v/>
      </c>
    </row>
    <row r="609" customFormat="false" ht="13.5" hidden="false" customHeight="false" outlineLevel="0" collapsed="false">
      <c r="I609" s="1" t="str">
        <f aca="false">IF($C609="","",IFERROR(VLOOKUP($C609,Master_Mappings!$N$4:$S$200,3,FALSE()),"UNMAPPED"))</f>
        <v/>
      </c>
      <c r="J609" s="1" t="str">
        <f aca="false">IF($C609="","",IFERROR(VLOOKUP($C609,Master_Mappings!$N$4:$S$134,4,FALSE()),""))</f>
        <v/>
      </c>
      <c r="M609" s="0" t="str">
        <f aca="false">IF($C609="","",IFERROR(VLOOKUP($C609,Master_Mappings!$N$4:$S$200,6,FALSE()),""))</f>
        <v/>
      </c>
    </row>
    <row r="610" customFormat="false" ht="13.5" hidden="false" customHeight="false" outlineLevel="0" collapsed="false">
      <c r="I610" s="1" t="str">
        <f aca="false">IF($C610="","",IFERROR(VLOOKUP($C610,Master_Mappings!$N$4:$S$200,3,FALSE()),"UNMAPPED"))</f>
        <v/>
      </c>
      <c r="J610" s="1" t="str">
        <f aca="false">IF($C610="","",IFERROR(VLOOKUP($C610,Master_Mappings!$N$4:$S$134,4,FALSE()),""))</f>
        <v/>
      </c>
      <c r="M610" s="0" t="str">
        <f aca="false">IF($C610="","",IFERROR(VLOOKUP($C610,Master_Mappings!$N$4:$S$200,6,FALSE()),""))</f>
        <v/>
      </c>
    </row>
    <row r="611" customFormat="false" ht="13.5" hidden="false" customHeight="false" outlineLevel="0" collapsed="false">
      <c r="I611" s="1" t="str">
        <f aca="false">IF($C611="","",IFERROR(VLOOKUP($C611,Master_Mappings!$N$4:$S$200,3,FALSE()),"UNMAPPED"))</f>
        <v/>
      </c>
      <c r="J611" s="1" t="str">
        <f aca="false">IF($C611="","",IFERROR(VLOOKUP($C611,Master_Mappings!$N$4:$S$134,4,FALSE()),""))</f>
        <v/>
      </c>
      <c r="M611" s="0" t="str">
        <f aca="false">IF($C611="","",IFERROR(VLOOKUP($C611,Master_Mappings!$N$4:$S$200,6,FALSE()),""))</f>
        <v/>
      </c>
    </row>
    <row r="612" customFormat="false" ht="13.5" hidden="false" customHeight="false" outlineLevel="0" collapsed="false">
      <c r="I612" s="1" t="str">
        <f aca="false">IF($C612="","",IFERROR(VLOOKUP($C612,Master_Mappings!$N$4:$S$200,3,FALSE()),"UNMAPPED"))</f>
        <v/>
      </c>
      <c r="J612" s="1" t="str">
        <f aca="false">IF($C612="","",IFERROR(VLOOKUP($C612,Master_Mappings!$N$4:$S$134,4,FALSE()),""))</f>
        <v/>
      </c>
      <c r="M612" s="0" t="str">
        <f aca="false">IF($C612="","",IFERROR(VLOOKUP($C612,Master_Mappings!$N$4:$S$200,6,FALSE()),""))</f>
        <v/>
      </c>
    </row>
    <row r="613" customFormat="false" ht="13.5" hidden="false" customHeight="false" outlineLevel="0" collapsed="false">
      <c r="I613" s="1" t="str">
        <f aca="false">IF($C613="","",IFERROR(VLOOKUP($C613,Master_Mappings!$N$4:$S$200,3,FALSE()),"UNMAPPED"))</f>
        <v/>
      </c>
      <c r="J613" s="1" t="str">
        <f aca="false">IF($C613="","",IFERROR(VLOOKUP($C613,Master_Mappings!$N$4:$S$134,4,FALSE()),""))</f>
        <v/>
      </c>
      <c r="M613" s="0" t="str">
        <f aca="false">IF($C613="","",IFERROR(VLOOKUP($C613,Master_Mappings!$N$4:$S$200,6,FALSE()),""))</f>
        <v/>
      </c>
    </row>
    <row r="614" customFormat="false" ht="13.5" hidden="false" customHeight="false" outlineLevel="0" collapsed="false">
      <c r="I614" s="1" t="str">
        <f aca="false">IF($C614="","",IFERROR(VLOOKUP($C614,Master_Mappings!$N$4:$S$200,3,FALSE()),"UNMAPPED"))</f>
        <v/>
      </c>
      <c r="J614" s="1" t="str">
        <f aca="false">IF($C614="","",IFERROR(VLOOKUP($C614,Master_Mappings!$N$4:$S$134,4,FALSE()),""))</f>
        <v/>
      </c>
      <c r="M614" s="0" t="str">
        <f aca="false">IF($C614="","",IFERROR(VLOOKUP($C614,Master_Mappings!$N$4:$S$200,6,FALSE()),""))</f>
        <v/>
      </c>
    </row>
    <row r="615" customFormat="false" ht="13.5" hidden="false" customHeight="false" outlineLevel="0" collapsed="false">
      <c r="I615" s="1" t="str">
        <f aca="false">IF($C615="","",IFERROR(VLOOKUP($C615,Master_Mappings!$N$4:$S$200,3,FALSE()),"UNMAPPED"))</f>
        <v/>
      </c>
      <c r="J615" s="1" t="str">
        <f aca="false">IF($C615="","",IFERROR(VLOOKUP($C615,Master_Mappings!$N$4:$S$134,4,FALSE()),""))</f>
        <v/>
      </c>
      <c r="M615" s="0" t="str">
        <f aca="false">IF($C615="","",IFERROR(VLOOKUP($C615,Master_Mappings!$N$4:$S$200,6,FALSE()),""))</f>
        <v/>
      </c>
    </row>
    <row r="616" customFormat="false" ht="13.5" hidden="false" customHeight="false" outlineLevel="0" collapsed="false">
      <c r="I616" s="1" t="str">
        <f aca="false">IF($C616="","",IFERROR(VLOOKUP($C616,Master_Mappings!$N$4:$S$200,3,FALSE()),"UNMAPPED"))</f>
        <v/>
      </c>
      <c r="J616" s="1" t="str">
        <f aca="false">IF($C616="","",IFERROR(VLOOKUP($C616,Master_Mappings!$N$4:$S$134,4,FALSE()),""))</f>
        <v/>
      </c>
      <c r="M616" s="0" t="str">
        <f aca="false">IF($C616="","",IFERROR(VLOOKUP($C616,Master_Mappings!$N$4:$S$200,6,FALSE()),""))</f>
        <v/>
      </c>
    </row>
    <row r="617" customFormat="false" ht="13.5" hidden="false" customHeight="false" outlineLevel="0" collapsed="false">
      <c r="I617" s="1" t="str">
        <f aca="false">IF($C617="","",IFERROR(VLOOKUP($C617,Master_Mappings!$N$4:$S$200,3,FALSE()),"UNMAPPED"))</f>
        <v/>
      </c>
      <c r="J617" s="1" t="str">
        <f aca="false">IF($C617="","",IFERROR(VLOOKUP($C617,Master_Mappings!$N$4:$S$134,4,FALSE()),""))</f>
        <v/>
      </c>
      <c r="M617" s="0" t="str">
        <f aca="false">IF($C617="","",IFERROR(VLOOKUP($C617,Master_Mappings!$N$4:$S$200,6,FALSE()),""))</f>
        <v/>
      </c>
    </row>
    <row r="618" customFormat="false" ht="13.5" hidden="false" customHeight="false" outlineLevel="0" collapsed="false">
      <c r="I618" s="1" t="str">
        <f aca="false">IF($C618="","",IFERROR(VLOOKUP($C618,Master_Mappings!$N$4:$S$200,3,FALSE()),"UNMAPPED"))</f>
        <v/>
      </c>
      <c r="J618" s="1" t="str">
        <f aca="false">IF($C618="","",IFERROR(VLOOKUP($C618,Master_Mappings!$N$4:$S$134,4,FALSE()),""))</f>
        <v/>
      </c>
      <c r="M618" s="0" t="str">
        <f aca="false">IF($C618="","",IFERROR(VLOOKUP($C618,Master_Mappings!$N$4:$S$200,6,FALSE()),""))</f>
        <v/>
      </c>
    </row>
    <row r="619" customFormat="false" ht="13.5" hidden="false" customHeight="false" outlineLevel="0" collapsed="false">
      <c r="I619" s="1" t="str">
        <f aca="false">IF($C619="","",IFERROR(VLOOKUP($C619,Master_Mappings!$N$4:$S$200,3,FALSE()),"UNMAPPED"))</f>
        <v/>
      </c>
      <c r="J619" s="1" t="str">
        <f aca="false">IF($C619="","",IFERROR(VLOOKUP($C619,Master_Mappings!$N$4:$S$134,4,FALSE()),""))</f>
        <v/>
      </c>
      <c r="M619" s="0" t="str">
        <f aca="false">IF($C619="","",IFERROR(VLOOKUP($C619,Master_Mappings!$N$4:$S$200,6,FALSE()),""))</f>
        <v/>
      </c>
    </row>
    <row r="620" customFormat="false" ht="13.5" hidden="false" customHeight="false" outlineLevel="0" collapsed="false">
      <c r="I620" s="1" t="str">
        <f aca="false">IF($C620="","",IFERROR(VLOOKUP($C620,Master_Mappings!$N$4:$S$200,3,FALSE()),"UNMAPPED"))</f>
        <v/>
      </c>
      <c r="J620" s="1" t="str">
        <f aca="false">IF($C620="","",IFERROR(VLOOKUP($C620,Master_Mappings!$N$4:$S$134,4,FALSE()),""))</f>
        <v/>
      </c>
      <c r="M620" s="0" t="str">
        <f aca="false">IF($C620="","",IFERROR(VLOOKUP($C620,Master_Mappings!$N$4:$S$200,6,FALSE()),""))</f>
        <v/>
      </c>
    </row>
    <row r="621" customFormat="false" ht="13.5" hidden="false" customHeight="false" outlineLevel="0" collapsed="false">
      <c r="I621" s="1" t="str">
        <f aca="false">IF($C621="","",IFERROR(VLOOKUP($C621,Master_Mappings!$N$4:$S$200,3,FALSE()),"UNMAPPED"))</f>
        <v/>
      </c>
      <c r="J621" s="1" t="str">
        <f aca="false">IF($C621="","",IFERROR(VLOOKUP($C621,Master_Mappings!$N$4:$S$134,4,FALSE()),""))</f>
        <v/>
      </c>
      <c r="M621" s="0" t="str">
        <f aca="false">IF($C621="","",IFERROR(VLOOKUP($C621,Master_Mappings!$N$4:$S$200,6,FALSE()),""))</f>
        <v/>
      </c>
    </row>
    <row r="622" customFormat="false" ht="13.5" hidden="false" customHeight="false" outlineLevel="0" collapsed="false">
      <c r="I622" s="1" t="str">
        <f aca="false">IF($C622="","",IFERROR(VLOOKUP($C622,Master_Mappings!$N$4:$S$200,3,FALSE()),"UNMAPPED"))</f>
        <v/>
      </c>
      <c r="J622" s="1" t="str">
        <f aca="false">IF($C622="","",IFERROR(VLOOKUP($C622,Master_Mappings!$N$4:$S$134,4,FALSE()),""))</f>
        <v/>
      </c>
      <c r="M622" s="0" t="str">
        <f aca="false">IF($C622="","",IFERROR(VLOOKUP($C622,Master_Mappings!$N$4:$S$200,6,FALSE()),""))</f>
        <v/>
      </c>
    </row>
    <row r="623" customFormat="false" ht="13.5" hidden="false" customHeight="false" outlineLevel="0" collapsed="false">
      <c r="I623" s="1" t="str">
        <f aca="false">IF($C623="","",IFERROR(VLOOKUP($C623,Master_Mappings!$N$4:$S$200,3,FALSE()),"UNMAPPED"))</f>
        <v/>
      </c>
      <c r="J623" s="1" t="str">
        <f aca="false">IF($C623="","",IFERROR(VLOOKUP($C623,Master_Mappings!$N$4:$S$134,4,FALSE()),""))</f>
        <v/>
      </c>
      <c r="M623" s="0" t="str">
        <f aca="false">IF($C623="","",IFERROR(VLOOKUP($C623,Master_Mappings!$N$4:$S$200,6,FALSE()),""))</f>
        <v/>
      </c>
    </row>
    <row r="624" customFormat="false" ht="13.5" hidden="false" customHeight="false" outlineLevel="0" collapsed="false">
      <c r="I624" s="1" t="str">
        <f aca="false">IF($C624="","",IFERROR(VLOOKUP($C624,Master_Mappings!$N$4:$S$200,3,FALSE()),"UNMAPPED"))</f>
        <v/>
      </c>
      <c r="J624" s="1" t="str">
        <f aca="false">IF($C624="","",IFERROR(VLOOKUP($C624,Master_Mappings!$N$4:$S$134,4,FALSE()),""))</f>
        <v/>
      </c>
      <c r="M624" s="0" t="str">
        <f aca="false">IF($C624="","",IFERROR(VLOOKUP($C624,Master_Mappings!$N$4:$S$200,6,FALSE()),""))</f>
        <v/>
      </c>
    </row>
    <row r="625" customFormat="false" ht="13.5" hidden="false" customHeight="false" outlineLevel="0" collapsed="false">
      <c r="I625" s="1" t="str">
        <f aca="false">IF($C625="","",IFERROR(VLOOKUP($C625,Master_Mappings!$N$4:$S$200,3,FALSE()),"UNMAPPED"))</f>
        <v/>
      </c>
      <c r="J625" s="1" t="str">
        <f aca="false">IF($C625="","",IFERROR(VLOOKUP($C625,Master_Mappings!$N$4:$S$134,4,FALSE()),""))</f>
        <v/>
      </c>
      <c r="M625" s="0" t="str">
        <f aca="false">IF($C625="","",IFERROR(VLOOKUP($C625,Master_Mappings!$N$4:$S$200,6,FALSE()),""))</f>
        <v/>
      </c>
    </row>
    <row r="626" customFormat="false" ht="13.5" hidden="false" customHeight="false" outlineLevel="0" collapsed="false">
      <c r="I626" s="1" t="str">
        <f aca="false">IF($C626="","",IFERROR(VLOOKUP($C626,Master_Mappings!$N$4:$S$200,3,FALSE()),"UNMAPPED"))</f>
        <v/>
      </c>
      <c r="J626" s="1" t="str">
        <f aca="false">IF($C626="","",IFERROR(VLOOKUP($C626,Master_Mappings!$N$4:$S$134,4,FALSE()),""))</f>
        <v/>
      </c>
      <c r="M626" s="0" t="str">
        <f aca="false">IF($C626="","",IFERROR(VLOOKUP($C626,Master_Mappings!$N$4:$S$200,6,FALSE()),""))</f>
        <v/>
      </c>
    </row>
    <row r="627" customFormat="false" ht="13.5" hidden="false" customHeight="false" outlineLevel="0" collapsed="false">
      <c r="I627" s="1" t="str">
        <f aca="false">IF($C627="","",IFERROR(VLOOKUP($C627,Master_Mappings!$N$4:$S$200,3,FALSE()),"UNMAPPED"))</f>
        <v/>
      </c>
      <c r="J627" s="1" t="str">
        <f aca="false">IF($C627="","",IFERROR(VLOOKUP($C627,Master_Mappings!$N$4:$S$134,4,FALSE()),""))</f>
        <v/>
      </c>
      <c r="M627" s="0" t="str">
        <f aca="false">IF($C627="","",IFERROR(VLOOKUP($C627,Master_Mappings!$N$4:$S$200,6,FALSE()),""))</f>
        <v/>
      </c>
    </row>
    <row r="628" customFormat="false" ht="13.5" hidden="false" customHeight="false" outlineLevel="0" collapsed="false">
      <c r="I628" s="1" t="str">
        <f aca="false">IF($C628="","",IFERROR(VLOOKUP($C628,Master_Mappings!$N$4:$S$200,3,FALSE()),"UNMAPPED"))</f>
        <v/>
      </c>
      <c r="J628" s="1" t="str">
        <f aca="false">IF($C628="","",IFERROR(VLOOKUP($C628,Master_Mappings!$N$4:$S$134,4,FALSE()),""))</f>
        <v/>
      </c>
      <c r="M628" s="0" t="str">
        <f aca="false">IF($C628="","",IFERROR(VLOOKUP($C628,Master_Mappings!$N$4:$S$200,6,FALSE()),""))</f>
        <v/>
      </c>
    </row>
    <row r="629" customFormat="false" ht="13.5" hidden="false" customHeight="false" outlineLevel="0" collapsed="false">
      <c r="I629" s="1" t="str">
        <f aca="false">IF($C629="","",IFERROR(VLOOKUP($C629,Master_Mappings!$N$4:$S$200,3,FALSE()),"UNMAPPED"))</f>
        <v/>
      </c>
      <c r="J629" s="1" t="str">
        <f aca="false">IF($C629="","",IFERROR(VLOOKUP($C629,Master_Mappings!$N$4:$S$134,4,FALSE()),""))</f>
        <v/>
      </c>
      <c r="M629" s="0" t="str">
        <f aca="false">IF($C629="","",IFERROR(VLOOKUP($C629,Master_Mappings!$N$4:$S$200,6,FALSE()),""))</f>
        <v/>
      </c>
    </row>
    <row r="630" customFormat="false" ht="13.5" hidden="false" customHeight="false" outlineLevel="0" collapsed="false">
      <c r="I630" s="1" t="str">
        <f aca="false">IF($C630="","",IFERROR(VLOOKUP($C630,Master_Mappings!$N$4:$S$200,3,FALSE()),"UNMAPPED"))</f>
        <v/>
      </c>
      <c r="J630" s="1" t="str">
        <f aca="false">IF($C630="","",IFERROR(VLOOKUP($C630,Master_Mappings!$N$4:$S$134,4,FALSE()),""))</f>
        <v/>
      </c>
      <c r="M630" s="0" t="str">
        <f aca="false">IF($C630="","",IFERROR(VLOOKUP($C630,Master_Mappings!$N$4:$S$200,6,FALSE()),""))</f>
        <v/>
      </c>
    </row>
    <row r="631" customFormat="false" ht="13.5" hidden="false" customHeight="false" outlineLevel="0" collapsed="false">
      <c r="I631" s="1" t="str">
        <f aca="false">IF($C631="","",IFERROR(VLOOKUP($C631,Master_Mappings!$N$4:$S$200,3,FALSE()),"UNMAPPED"))</f>
        <v/>
      </c>
      <c r="J631" s="1" t="str">
        <f aca="false">IF($C631="","",IFERROR(VLOOKUP($C631,Master_Mappings!$N$4:$S$134,4,FALSE()),""))</f>
        <v/>
      </c>
      <c r="M631" s="0" t="str">
        <f aca="false">IF($C631="","",IFERROR(VLOOKUP($C631,Master_Mappings!$N$4:$S$200,6,FALSE()),""))</f>
        <v/>
      </c>
    </row>
    <row r="632" customFormat="false" ht="13.5" hidden="false" customHeight="false" outlineLevel="0" collapsed="false">
      <c r="I632" s="1" t="str">
        <f aca="false">IF($C632="","",IFERROR(VLOOKUP($C632,Master_Mappings!$N$4:$S$200,3,FALSE()),"UNMAPPED"))</f>
        <v/>
      </c>
      <c r="J632" s="1" t="str">
        <f aca="false">IF($C632="","",IFERROR(VLOOKUP($C632,Master_Mappings!$N$4:$S$134,4,FALSE()),""))</f>
        <v/>
      </c>
      <c r="M632" s="0" t="str">
        <f aca="false">IF($C632="","",IFERROR(VLOOKUP($C632,Master_Mappings!$N$4:$S$200,6,FALSE()),""))</f>
        <v/>
      </c>
    </row>
    <row r="633" customFormat="false" ht="13.5" hidden="false" customHeight="false" outlineLevel="0" collapsed="false">
      <c r="I633" s="1" t="str">
        <f aca="false">IF($C633="","",IFERROR(VLOOKUP($C633,Master_Mappings!$N$4:$S$200,3,FALSE()),"UNMAPPED"))</f>
        <v/>
      </c>
      <c r="J633" s="1" t="str">
        <f aca="false">IF($C633="","",IFERROR(VLOOKUP($C633,Master_Mappings!$N$4:$S$134,4,FALSE()),""))</f>
        <v/>
      </c>
      <c r="M633" s="0" t="str">
        <f aca="false">IF($C633="","",IFERROR(VLOOKUP($C633,Master_Mappings!$N$4:$S$200,6,FALSE()),""))</f>
        <v/>
      </c>
    </row>
    <row r="634" customFormat="false" ht="13.5" hidden="false" customHeight="false" outlineLevel="0" collapsed="false">
      <c r="I634" s="1" t="str">
        <f aca="false">IF($C634="","",IFERROR(VLOOKUP($C634,Master_Mappings!$N$4:$S$200,3,FALSE()),"UNMAPPED"))</f>
        <v/>
      </c>
      <c r="J634" s="1" t="str">
        <f aca="false">IF($C634="","",IFERROR(VLOOKUP($C634,Master_Mappings!$N$4:$S$134,4,FALSE()),""))</f>
        <v/>
      </c>
      <c r="M634" s="0" t="str">
        <f aca="false">IF($C634="","",IFERROR(VLOOKUP($C634,Master_Mappings!$N$4:$S$200,6,FALSE()),""))</f>
        <v/>
      </c>
    </row>
    <row r="635" customFormat="false" ht="13.5" hidden="false" customHeight="false" outlineLevel="0" collapsed="false">
      <c r="I635" s="1" t="str">
        <f aca="false">IF($C635="","",IFERROR(VLOOKUP($C635,Master_Mappings!$N$4:$S$200,3,FALSE()),"UNMAPPED"))</f>
        <v/>
      </c>
      <c r="J635" s="1" t="str">
        <f aca="false">IF($C635="","",IFERROR(VLOOKUP($C635,Master_Mappings!$N$4:$S$134,4,FALSE()),""))</f>
        <v/>
      </c>
      <c r="M635" s="0" t="str">
        <f aca="false">IF($C635="","",IFERROR(VLOOKUP($C635,Master_Mappings!$N$4:$S$200,6,FALSE()),""))</f>
        <v/>
      </c>
    </row>
    <row r="636" customFormat="false" ht="13.5" hidden="false" customHeight="false" outlineLevel="0" collapsed="false">
      <c r="I636" s="1" t="str">
        <f aca="false">IF($C636="","",IFERROR(VLOOKUP($C636,Master_Mappings!$N$4:$S$200,3,FALSE()),"UNMAPPED"))</f>
        <v/>
      </c>
      <c r="J636" s="1" t="str">
        <f aca="false">IF($C636="","",IFERROR(VLOOKUP($C636,Master_Mappings!$N$4:$S$134,4,FALSE()),""))</f>
        <v/>
      </c>
      <c r="M636" s="0" t="str">
        <f aca="false">IF($C636="","",IFERROR(VLOOKUP($C636,Master_Mappings!$N$4:$S$200,6,FALSE()),""))</f>
        <v/>
      </c>
    </row>
    <row r="637" customFormat="false" ht="13.5" hidden="false" customHeight="false" outlineLevel="0" collapsed="false">
      <c r="I637" s="1" t="str">
        <f aca="false">IF($C637="","",IFERROR(VLOOKUP($C637,Master_Mappings!$N$4:$S$200,3,FALSE()),"UNMAPPED"))</f>
        <v/>
      </c>
      <c r="J637" s="1" t="str">
        <f aca="false">IF($C637="","",IFERROR(VLOOKUP($C637,Master_Mappings!$N$4:$S$134,4,FALSE()),""))</f>
        <v/>
      </c>
      <c r="M637" s="0" t="str">
        <f aca="false">IF($C637="","",IFERROR(VLOOKUP($C637,Master_Mappings!$N$4:$S$200,6,FALSE()),""))</f>
        <v/>
      </c>
    </row>
    <row r="638" customFormat="false" ht="13.5" hidden="false" customHeight="false" outlineLevel="0" collapsed="false">
      <c r="I638" s="1" t="str">
        <f aca="false">IF($C638="","",IFERROR(VLOOKUP($C638,Master_Mappings!$N$4:$S$200,3,FALSE()),"UNMAPPED"))</f>
        <v/>
      </c>
      <c r="J638" s="1" t="str">
        <f aca="false">IF($C638="","",IFERROR(VLOOKUP($C638,Master_Mappings!$N$4:$S$134,4,FALSE()),""))</f>
        <v/>
      </c>
      <c r="M638" s="0" t="str">
        <f aca="false">IF($C638="","",IFERROR(VLOOKUP($C638,Master_Mappings!$N$4:$S$200,6,FALSE()),""))</f>
        <v/>
      </c>
    </row>
    <row r="639" customFormat="false" ht="13.5" hidden="false" customHeight="false" outlineLevel="0" collapsed="false">
      <c r="I639" s="1" t="str">
        <f aca="false">IF($C639="","",IFERROR(VLOOKUP($C639,Master_Mappings!$N$4:$S$200,3,FALSE()),"UNMAPPED"))</f>
        <v/>
      </c>
      <c r="J639" s="1" t="str">
        <f aca="false">IF($C639="","",IFERROR(VLOOKUP($C639,Master_Mappings!$N$4:$S$134,4,FALSE()),""))</f>
        <v/>
      </c>
      <c r="M639" s="0" t="str">
        <f aca="false">IF($C639="","",IFERROR(VLOOKUP($C639,Master_Mappings!$N$4:$S$200,6,FALSE()),""))</f>
        <v/>
      </c>
    </row>
    <row r="640" customFormat="false" ht="13.5" hidden="false" customHeight="false" outlineLevel="0" collapsed="false">
      <c r="I640" s="1" t="str">
        <f aca="false">IF($C640="","",IFERROR(VLOOKUP($C640,Master_Mappings!$N$4:$S$200,3,FALSE()),"UNMAPPED"))</f>
        <v/>
      </c>
      <c r="J640" s="1" t="str">
        <f aca="false">IF($C640="","",IFERROR(VLOOKUP($C640,Master_Mappings!$N$4:$S$134,4,FALSE()),""))</f>
        <v/>
      </c>
      <c r="M640" s="0" t="str">
        <f aca="false">IF($C640="","",IFERROR(VLOOKUP($C640,Master_Mappings!$N$4:$S$200,6,FALSE()),""))</f>
        <v/>
      </c>
    </row>
    <row r="641" customFormat="false" ht="13.5" hidden="false" customHeight="false" outlineLevel="0" collapsed="false">
      <c r="I641" s="1" t="str">
        <f aca="false">IF($C641="","",IFERROR(VLOOKUP($C641,Master_Mappings!$N$4:$S$200,3,FALSE()),"UNMAPPED"))</f>
        <v/>
      </c>
      <c r="J641" s="1" t="str">
        <f aca="false">IF($C641="","",IFERROR(VLOOKUP($C641,Master_Mappings!$N$4:$S$134,4,FALSE()),""))</f>
        <v/>
      </c>
      <c r="M641" s="0" t="str">
        <f aca="false">IF($C641="","",IFERROR(VLOOKUP($C641,Master_Mappings!$N$4:$S$200,6,FALSE()),""))</f>
        <v/>
      </c>
    </row>
    <row r="642" customFormat="false" ht="13.5" hidden="false" customHeight="false" outlineLevel="0" collapsed="false">
      <c r="I642" s="1" t="str">
        <f aca="false">IF($C642="","",IFERROR(VLOOKUP($C642,Master_Mappings!$N$4:$S$200,3,FALSE()),"UNMAPPED"))</f>
        <v/>
      </c>
      <c r="J642" s="1" t="str">
        <f aca="false">IF($C642="","",IFERROR(VLOOKUP($C642,Master_Mappings!$N$4:$S$134,4,FALSE()),""))</f>
        <v/>
      </c>
      <c r="M642" s="0" t="str">
        <f aca="false">IF($C642="","",IFERROR(VLOOKUP($C642,Master_Mappings!$N$4:$S$200,6,FALSE()),""))</f>
        <v/>
      </c>
    </row>
    <row r="643" customFormat="false" ht="13.5" hidden="false" customHeight="false" outlineLevel="0" collapsed="false">
      <c r="I643" s="1" t="str">
        <f aca="false">IF($C643="","",IFERROR(VLOOKUP($C643,Master_Mappings!$N$4:$S$200,3,FALSE()),"UNMAPPED"))</f>
        <v/>
      </c>
      <c r="J643" s="1" t="str">
        <f aca="false">IF($C643="","",IFERROR(VLOOKUP($C643,Master_Mappings!$N$4:$S$134,4,FALSE()),""))</f>
        <v/>
      </c>
      <c r="M643" s="0" t="str">
        <f aca="false">IF($C643="","",IFERROR(VLOOKUP($C643,Master_Mappings!$N$4:$S$200,6,FALSE()),""))</f>
        <v/>
      </c>
    </row>
    <row r="644" customFormat="false" ht="13.5" hidden="false" customHeight="false" outlineLevel="0" collapsed="false">
      <c r="I644" s="1" t="str">
        <f aca="false">IF($C644="","",IFERROR(VLOOKUP($C644,Master_Mappings!$N$4:$S$200,3,FALSE()),"UNMAPPED"))</f>
        <v/>
      </c>
      <c r="J644" s="1" t="str">
        <f aca="false">IF($C644="","",IFERROR(VLOOKUP($C644,Master_Mappings!$N$4:$S$134,4,FALSE()),""))</f>
        <v/>
      </c>
      <c r="M644" s="0" t="str">
        <f aca="false">IF($C644="","",IFERROR(VLOOKUP($C644,Master_Mappings!$N$4:$S$200,6,FALSE()),""))</f>
        <v/>
      </c>
    </row>
    <row r="645" customFormat="false" ht="13.5" hidden="false" customHeight="false" outlineLevel="0" collapsed="false">
      <c r="I645" s="1" t="str">
        <f aca="false">IF($C645="","",IFERROR(VLOOKUP($C645,Master_Mappings!$N$4:$S$200,3,FALSE()),"UNMAPPED"))</f>
        <v/>
      </c>
      <c r="J645" s="1" t="str">
        <f aca="false">IF($C645="","",IFERROR(VLOOKUP($C645,Master_Mappings!$N$4:$S$134,4,FALSE()),""))</f>
        <v/>
      </c>
      <c r="M645" s="0" t="str">
        <f aca="false">IF($C645="","",IFERROR(VLOOKUP($C645,Master_Mappings!$N$4:$S$200,6,FALSE()),""))</f>
        <v/>
      </c>
    </row>
    <row r="646" customFormat="false" ht="13.5" hidden="false" customHeight="false" outlineLevel="0" collapsed="false">
      <c r="I646" s="1" t="str">
        <f aca="false">IF($C646="","",IFERROR(VLOOKUP($C646,Master_Mappings!$N$4:$S$200,3,FALSE()),"UNMAPPED"))</f>
        <v/>
      </c>
      <c r="J646" s="1" t="str">
        <f aca="false">IF($C646="","",IFERROR(VLOOKUP($C646,Master_Mappings!$N$4:$S$134,4,FALSE()),""))</f>
        <v/>
      </c>
      <c r="M646" s="0" t="str">
        <f aca="false">IF($C646="","",IFERROR(VLOOKUP($C646,Master_Mappings!$N$4:$S$200,6,FALSE()),""))</f>
        <v/>
      </c>
    </row>
    <row r="647" customFormat="false" ht="13.5" hidden="false" customHeight="false" outlineLevel="0" collapsed="false">
      <c r="I647" s="1" t="str">
        <f aca="false">IF($C647="","",IFERROR(VLOOKUP($C647,Master_Mappings!$N$4:$S$200,3,FALSE()),"UNMAPPED"))</f>
        <v/>
      </c>
      <c r="J647" s="1" t="str">
        <f aca="false">IF($C647="","",IFERROR(VLOOKUP($C647,Master_Mappings!$N$4:$S$134,4,FALSE()),""))</f>
        <v/>
      </c>
      <c r="M647" s="0" t="str">
        <f aca="false">IF($C647="","",IFERROR(VLOOKUP($C647,Master_Mappings!$N$4:$S$200,6,FALSE()),""))</f>
        <v/>
      </c>
    </row>
    <row r="648" customFormat="false" ht="13.5" hidden="false" customHeight="false" outlineLevel="0" collapsed="false">
      <c r="I648" s="1" t="str">
        <f aca="false">IF($C648="","",IFERROR(VLOOKUP($C648,Master_Mappings!$N$4:$S$200,3,FALSE()),"UNMAPPED"))</f>
        <v/>
      </c>
      <c r="J648" s="1" t="str">
        <f aca="false">IF($C648="","",IFERROR(VLOOKUP($C648,Master_Mappings!$N$4:$S$134,4,FALSE()),""))</f>
        <v/>
      </c>
      <c r="M648" s="0" t="str">
        <f aca="false">IF($C648="","",IFERROR(VLOOKUP($C648,Master_Mappings!$N$4:$S$200,6,FALSE()),""))</f>
        <v/>
      </c>
    </row>
    <row r="649" customFormat="false" ht="13.5" hidden="false" customHeight="false" outlineLevel="0" collapsed="false">
      <c r="I649" s="1" t="str">
        <f aca="false">IF($C649="","",IFERROR(VLOOKUP($C649,Master_Mappings!$N$4:$S$200,3,FALSE()),"UNMAPPED"))</f>
        <v/>
      </c>
      <c r="J649" s="1" t="str">
        <f aca="false">IF($C649="","",IFERROR(VLOOKUP($C649,Master_Mappings!$N$4:$S$134,4,FALSE()),""))</f>
        <v/>
      </c>
      <c r="M649" s="0" t="str">
        <f aca="false">IF($C649="","",IFERROR(VLOOKUP($C649,Master_Mappings!$N$4:$S$200,6,FALSE()),""))</f>
        <v/>
      </c>
    </row>
    <row r="650" customFormat="false" ht="13.5" hidden="false" customHeight="false" outlineLevel="0" collapsed="false">
      <c r="I650" s="1" t="str">
        <f aca="false">IF($C650="","",IFERROR(VLOOKUP($C650,Master_Mappings!$N$4:$S$200,3,FALSE()),"UNMAPPED"))</f>
        <v/>
      </c>
      <c r="J650" s="1" t="str">
        <f aca="false">IF($C650="","",IFERROR(VLOOKUP($C650,Master_Mappings!$N$4:$S$134,4,FALSE()),""))</f>
        <v/>
      </c>
      <c r="M650" s="0" t="str">
        <f aca="false">IF($C650="","",IFERROR(VLOOKUP($C650,Master_Mappings!$N$4:$S$200,6,FALSE()),""))</f>
        <v/>
      </c>
    </row>
    <row r="651" customFormat="false" ht="13.5" hidden="false" customHeight="false" outlineLevel="0" collapsed="false">
      <c r="I651" s="1" t="str">
        <f aca="false">IF($C651="","",IFERROR(VLOOKUP($C651,Master_Mappings!$N$4:$S$200,3,FALSE()),"UNMAPPED"))</f>
        <v/>
      </c>
      <c r="J651" s="1" t="str">
        <f aca="false">IF($C651="","",IFERROR(VLOOKUP($C651,Master_Mappings!$N$4:$S$134,4,FALSE()),""))</f>
        <v/>
      </c>
      <c r="M651" s="0" t="str">
        <f aca="false">IF($C651="","",IFERROR(VLOOKUP($C651,Master_Mappings!$N$4:$S$200,6,FALSE()),""))</f>
        <v/>
      </c>
    </row>
    <row r="652" customFormat="false" ht="13.5" hidden="false" customHeight="false" outlineLevel="0" collapsed="false">
      <c r="I652" s="1" t="str">
        <f aca="false">IF($C652="","",IFERROR(VLOOKUP($C652,Master_Mappings!$N$4:$S$200,3,FALSE()),"UNMAPPED"))</f>
        <v/>
      </c>
      <c r="J652" s="1" t="str">
        <f aca="false">IF($C652="","",IFERROR(VLOOKUP($C652,Master_Mappings!$N$4:$S$134,4,FALSE()),""))</f>
        <v/>
      </c>
      <c r="M652" s="0" t="str">
        <f aca="false">IF($C652="","",IFERROR(VLOOKUP($C652,Master_Mappings!$N$4:$S$200,6,FALSE()),""))</f>
        <v/>
      </c>
    </row>
    <row r="653" customFormat="false" ht="13.5" hidden="false" customHeight="false" outlineLevel="0" collapsed="false">
      <c r="I653" s="1" t="str">
        <f aca="false">IF($C653="","",IFERROR(VLOOKUP($C653,Master_Mappings!$N$4:$S$200,3,FALSE()),"UNMAPPED"))</f>
        <v/>
      </c>
      <c r="J653" s="1" t="str">
        <f aca="false">IF($C653="","",IFERROR(VLOOKUP($C653,Master_Mappings!$N$4:$S$134,4,FALSE()),""))</f>
        <v/>
      </c>
      <c r="M653" s="0" t="str">
        <f aca="false">IF($C653="","",IFERROR(VLOOKUP($C653,Master_Mappings!$N$4:$S$200,6,FALSE()),""))</f>
        <v/>
      </c>
    </row>
    <row r="654" customFormat="false" ht="13.5" hidden="false" customHeight="false" outlineLevel="0" collapsed="false">
      <c r="I654" s="1" t="str">
        <f aca="false">IF($C654="","",IFERROR(VLOOKUP($C654,Master_Mappings!$N$4:$S$200,3,FALSE()),"UNMAPPED"))</f>
        <v/>
      </c>
      <c r="J654" s="1" t="str">
        <f aca="false">IF($C654="","",IFERROR(VLOOKUP($C654,Master_Mappings!$N$4:$S$134,4,FALSE()),""))</f>
        <v/>
      </c>
      <c r="M654" s="0" t="str">
        <f aca="false">IF($C654="","",IFERROR(VLOOKUP($C654,Master_Mappings!$N$4:$S$200,6,FALSE()),""))</f>
        <v/>
      </c>
    </row>
    <row r="655" customFormat="false" ht="13.5" hidden="false" customHeight="false" outlineLevel="0" collapsed="false">
      <c r="I655" s="1" t="str">
        <f aca="false">IF($C655="","",IFERROR(VLOOKUP($C655,Master_Mappings!$N$4:$S$200,3,FALSE()),"UNMAPPED"))</f>
        <v/>
      </c>
      <c r="J655" s="1" t="str">
        <f aca="false">IF($C655="","",IFERROR(VLOOKUP($C655,Master_Mappings!$N$4:$S$134,4,FALSE()),""))</f>
        <v/>
      </c>
      <c r="M655" s="0" t="str">
        <f aca="false">IF($C655="","",IFERROR(VLOOKUP($C655,Master_Mappings!$N$4:$S$200,6,FALSE()),""))</f>
        <v/>
      </c>
    </row>
    <row r="656" customFormat="false" ht="13.5" hidden="false" customHeight="false" outlineLevel="0" collapsed="false">
      <c r="I656" s="1" t="str">
        <f aca="false">IF($C656="","",IFERROR(VLOOKUP($C656,Master_Mappings!$N$4:$S$200,3,FALSE()),"UNMAPPED"))</f>
        <v/>
      </c>
      <c r="J656" s="1" t="str">
        <f aca="false">IF($C656="","",IFERROR(VLOOKUP($C656,Master_Mappings!$N$4:$S$134,4,FALSE()),""))</f>
        <v/>
      </c>
      <c r="M656" s="0" t="str">
        <f aca="false">IF($C656="","",IFERROR(VLOOKUP($C656,Master_Mappings!$N$4:$S$200,6,FALSE()),""))</f>
        <v/>
      </c>
    </row>
    <row r="657" customFormat="false" ht="13.5" hidden="false" customHeight="false" outlineLevel="0" collapsed="false">
      <c r="I657" s="1" t="str">
        <f aca="false">IF($C657="","",IFERROR(VLOOKUP($C657,Master_Mappings!$N$4:$S$200,3,FALSE()),"UNMAPPED"))</f>
        <v/>
      </c>
      <c r="J657" s="1" t="str">
        <f aca="false">IF($C657="","",IFERROR(VLOOKUP($C657,Master_Mappings!$N$4:$S$134,4,FALSE()),""))</f>
        <v/>
      </c>
      <c r="M657" s="0" t="str">
        <f aca="false">IF($C657="","",IFERROR(VLOOKUP($C657,Master_Mappings!$N$4:$S$200,6,FALSE()),""))</f>
        <v/>
      </c>
    </row>
    <row r="658" customFormat="false" ht="13.5" hidden="false" customHeight="false" outlineLevel="0" collapsed="false">
      <c r="I658" s="1" t="str">
        <f aca="false">IF($C658="","",IFERROR(VLOOKUP($C658,Master_Mappings!$N$4:$S$200,3,FALSE()),"UNMAPPED"))</f>
        <v/>
      </c>
      <c r="J658" s="1" t="str">
        <f aca="false">IF($C658="","",IFERROR(VLOOKUP($C658,Master_Mappings!$N$4:$S$134,4,FALSE()),""))</f>
        <v/>
      </c>
      <c r="M658" s="0" t="str">
        <f aca="false">IF($C658="","",IFERROR(VLOOKUP($C658,Master_Mappings!$N$4:$S$200,6,FALSE()),""))</f>
        <v/>
      </c>
    </row>
    <row r="659" customFormat="false" ht="13.5" hidden="false" customHeight="false" outlineLevel="0" collapsed="false">
      <c r="I659" s="1" t="str">
        <f aca="false">IF($C659="","",IFERROR(VLOOKUP($C659,Master_Mappings!$N$4:$S$200,3,FALSE()),"UNMAPPED"))</f>
        <v/>
      </c>
      <c r="J659" s="1" t="str">
        <f aca="false">IF($C659="","",IFERROR(VLOOKUP($C659,Master_Mappings!$N$4:$S$134,4,FALSE()),""))</f>
        <v/>
      </c>
      <c r="M659" s="0" t="str">
        <f aca="false">IF($C659="","",IFERROR(VLOOKUP($C659,Master_Mappings!$N$4:$S$200,6,FALSE()),""))</f>
        <v/>
      </c>
    </row>
    <row r="660" customFormat="false" ht="13.5" hidden="false" customHeight="false" outlineLevel="0" collapsed="false">
      <c r="I660" s="1" t="str">
        <f aca="false">IF($C660="","",IFERROR(VLOOKUP($C660,Master_Mappings!$N$4:$S$200,3,FALSE()),"UNMAPPED"))</f>
        <v/>
      </c>
      <c r="J660" s="1" t="str">
        <f aca="false">IF($C660="","",IFERROR(VLOOKUP($C660,Master_Mappings!$N$4:$S$134,4,FALSE()),""))</f>
        <v/>
      </c>
      <c r="M660" s="0" t="str">
        <f aca="false">IF($C660="","",IFERROR(VLOOKUP($C660,Master_Mappings!$N$4:$S$200,6,FALSE()),""))</f>
        <v/>
      </c>
    </row>
    <row r="661" customFormat="false" ht="13.5" hidden="false" customHeight="false" outlineLevel="0" collapsed="false">
      <c r="I661" s="1" t="str">
        <f aca="false">IF($C661="","",IFERROR(VLOOKUP($C661,Master_Mappings!$N$4:$S$200,3,FALSE()),"UNMAPPED"))</f>
        <v/>
      </c>
      <c r="J661" s="1" t="str">
        <f aca="false">IF($C661="","",IFERROR(VLOOKUP($C661,Master_Mappings!$N$4:$S$134,4,FALSE()),""))</f>
        <v/>
      </c>
      <c r="M661" s="0" t="str">
        <f aca="false">IF($C661="","",IFERROR(VLOOKUP($C661,Master_Mappings!$N$4:$S$200,6,FALSE()),""))</f>
        <v/>
      </c>
    </row>
    <row r="662" customFormat="false" ht="13.5" hidden="false" customHeight="false" outlineLevel="0" collapsed="false">
      <c r="I662" s="1" t="str">
        <f aca="false">IF($C662="","",IFERROR(VLOOKUP($C662,Master_Mappings!$N$4:$S$200,3,FALSE()),"UNMAPPED"))</f>
        <v/>
      </c>
      <c r="J662" s="1" t="str">
        <f aca="false">IF($C662="","",IFERROR(VLOOKUP($C662,Master_Mappings!$N$4:$S$134,4,FALSE()),""))</f>
        <v/>
      </c>
      <c r="M662" s="0" t="str">
        <f aca="false">IF($C662="","",IFERROR(VLOOKUP($C662,Master_Mappings!$N$4:$S$200,6,FALSE()),""))</f>
        <v/>
      </c>
    </row>
    <row r="663" customFormat="false" ht="13.5" hidden="false" customHeight="false" outlineLevel="0" collapsed="false">
      <c r="I663" s="1" t="str">
        <f aca="false">IF($C663="","",IFERROR(VLOOKUP($C663,Master_Mappings!$N$4:$S$200,3,FALSE()),"UNMAPPED"))</f>
        <v/>
      </c>
      <c r="J663" s="1" t="str">
        <f aca="false">IF($C663="","",IFERROR(VLOOKUP($C663,Master_Mappings!$N$4:$S$134,4,FALSE()),""))</f>
        <v/>
      </c>
      <c r="M663" s="0" t="str">
        <f aca="false">IF($C663="","",IFERROR(VLOOKUP($C663,Master_Mappings!$N$4:$S$200,6,FALSE()),""))</f>
        <v/>
      </c>
    </row>
    <row r="664" customFormat="false" ht="13.5" hidden="false" customHeight="false" outlineLevel="0" collapsed="false">
      <c r="I664" s="1" t="str">
        <f aca="false">IF($C664="","",IFERROR(VLOOKUP($C664,Master_Mappings!$N$4:$S$200,3,FALSE()),"UNMAPPED"))</f>
        <v/>
      </c>
      <c r="J664" s="1" t="str">
        <f aca="false">IF($C664="","",IFERROR(VLOOKUP($C664,Master_Mappings!$N$4:$S$134,4,FALSE()),""))</f>
        <v/>
      </c>
      <c r="M664" s="0" t="str">
        <f aca="false">IF($C664="","",IFERROR(VLOOKUP($C664,Master_Mappings!$N$4:$S$200,6,FALSE()),""))</f>
        <v/>
      </c>
    </row>
    <row r="665" customFormat="false" ht="13.5" hidden="false" customHeight="false" outlineLevel="0" collapsed="false">
      <c r="I665" s="1" t="str">
        <f aca="false">IF($C665="","",IFERROR(VLOOKUP($C665,Master_Mappings!$N$4:$S$200,3,FALSE()),"UNMAPPED"))</f>
        <v/>
      </c>
      <c r="J665" s="1" t="str">
        <f aca="false">IF($C665="","",IFERROR(VLOOKUP($C665,Master_Mappings!$N$4:$S$134,4,FALSE()),""))</f>
        <v/>
      </c>
      <c r="M665" s="0" t="str">
        <f aca="false">IF($C665="","",IFERROR(VLOOKUP($C665,Master_Mappings!$N$4:$S$200,6,FALSE()),""))</f>
        <v/>
      </c>
    </row>
    <row r="666" customFormat="false" ht="13.5" hidden="false" customHeight="false" outlineLevel="0" collapsed="false">
      <c r="I666" s="1" t="str">
        <f aca="false">IF($C666="","",IFERROR(VLOOKUP($C666,Master_Mappings!$N$4:$S$200,3,FALSE()),"UNMAPPED"))</f>
        <v/>
      </c>
      <c r="J666" s="1" t="str">
        <f aca="false">IF($C666="","",IFERROR(VLOOKUP($C666,Master_Mappings!$N$4:$S$134,4,FALSE()),""))</f>
        <v/>
      </c>
      <c r="M666" s="0" t="str">
        <f aca="false">IF($C666="","",IFERROR(VLOOKUP($C666,Master_Mappings!$N$4:$S$200,6,FALSE()),""))</f>
        <v/>
      </c>
    </row>
    <row r="667" customFormat="false" ht="13.5" hidden="false" customHeight="false" outlineLevel="0" collapsed="false">
      <c r="I667" s="1" t="str">
        <f aca="false">IF($C667="","",IFERROR(VLOOKUP($C667,Master_Mappings!$N$4:$S$200,3,FALSE()),"UNMAPPED"))</f>
        <v/>
      </c>
      <c r="J667" s="1" t="str">
        <f aca="false">IF($C667="","",IFERROR(VLOOKUP($C667,Master_Mappings!$N$4:$S$134,4,FALSE()),""))</f>
        <v/>
      </c>
      <c r="M667" s="0" t="str">
        <f aca="false">IF($C667="","",IFERROR(VLOOKUP($C667,Master_Mappings!$N$4:$S$200,6,FALSE()),""))</f>
        <v/>
      </c>
    </row>
    <row r="668" customFormat="false" ht="13.5" hidden="false" customHeight="false" outlineLevel="0" collapsed="false">
      <c r="I668" s="1" t="str">
        <f aca="false">IF($C668="","",IFERROR(VLOOKUP($C668,Master_Mappings!$N$4:$S$200,3,FALSE()),"UNMAPPED"))</f>
        <v/>
      </c>
      <c r="J668" s="1" t="str">
        <f aca="false">IF($C668="","",IFERROR(VLOOKUP($C668,Master_Mappings!$N$4:$S$134,4,FALSE()),""))</f>
        <v/>
      </c>
      <c r="M668" s="0" t="str">
        <f aca="false">IF($C668="","",IFERROR(VLOOKUP($C668,Master_Mappings!$N$4:$S$200,6,FALSE()),""))</f>
        <v/>
      </c>
    </row>
    <row r="669" customFormat="false" ht="13.5" hidden="false" customHeight="false" outlineLevel="0" collapsed="false">
      <c r="I669" s="1" t="str">
        <f aca="false">IF($C669="","",IFERROR(VLOOKUP($C669,Master_Mappings!$N$4:$S$200,3,FALSE()),"UNMAPPED"))</f>
        <v/>
      </c>
      <c r="J669" s="1" t="str">
        <f aca="false">IF($C669="","",IFERROR(VLOOKUP($C669,Master_Mappings!$N$4:$S$134,4,FALSE()),""))</f>
        <v/>
      </c>
      <c r="M669" s="0" t="str">
        <f aca="false">IF($C669="","",IFERROR(VLOOKUP($C669,Master_Mappings!$N$4:$S$200,6,FALSE()),""))</f>
        <v/>
      </c>
    </row>
    <row r="670" customFormat="false" ht="13.5" hidden="false" customHeight="false" outlineLevel="0" collapsed="false">
      <c r="I670" s="1" t="str">
        <f aca="false">IF($C670="","",IFERROR(VLOOKUP($C670,Master_Mappings!$N$4:$S$200,3,FALSE()),"UNMAPPED"))</f>
        <v/>
      </c>
      <c r="J670" s="1" t="str">
        <f aca="false">IF($C670="","",IFERROR(VLOOKUP($C670,Master_Mappings!$N$4:$S$134,4,FALSE()),""))</f>
        <v/>
      </c>
      <c r="M670" s="0" t="str">
        <f aca="false">IF($C670="","",IFERROR(VLOOKUP($C670,Master_Mappings!$N$4:$S$200,6,FALSE()),""))</f>
        <v/>
      </c>
    </row>
    <row r="671" customFormat="false" ht="13.5" hidden="false" customHeight="false" outlineLevel="0" collapsed="false">
      <c r="I671" s="1" t="str">
        <f aca="false">IF($C671="","",IFERROR(VLOOKUP($C671,Master_Mappings!$N$4:$S$200,3,FALSE()),"UNMAPPED"))</f>
        <v/>
      </c>
      <c r="J671" s="1" t="str">
        <f aca="false">IF($C671="","",IFERROR(VLOOKUP($C671,Master_Mappings!$N$4:$S$134,4,FALSE()),""))</f>
        <v/>
      </c>
      <c r="M671" s="0" t="str">
        <f aca="false">IF($C671="","",IFERROR(VLOOKUP($C671,Master_Mappings!$N$4:$S$200,6,FALSE()),""))</f>
        <v/>
      </c>
    </row>
    <row r="672" customFormat="false" ht="13.5" hidden="false" customHeight="false" outlineLevel="0" collapsed="false">
      <c r="I672" s="1" t="str">
        <f aca="false">IF($C672="","",IFERROR(VLOOKUP($C672,Master_Mappings!$N$4:$S$200,3,FALSE()),"UNMAPPED"))</f>
        <v/>
      </c>
      <c r="J672" s="1" t="str">
        <f aca="false">IF($C672="","",IFERROR(VLOOKUP($C672,Master_Mappings!$N$4:$S$134,4,FALSE()),""))</f>
        <v/>
      </c>
      <c r="M672" s="0" t="str">
        <f aca="false">IF($C672="","",IFERROR(VLOOKUP($C672,Master_Mappings!$N$4:$S$200,6,FALSE()),""))</f>
        <v/>
      </c>
    </row>
    <row r="673" customFormat="false" ht="13.5" hidden="false" customHeight="false" outlineLevel="0" collapsed="false">
      <c r="I673" s="1" t="str">
        <f aca="false">IF($C673="","",IFERROR(VLOOKUP($C673,Master_Mappings!$N$4:$S$200,3,FALSE()),"UNMAPPED"))</f>
        <v/>
      </c>
      <c r="J673" s="1" t="str">
        <f aca="false">IF($C673="","",IFERROR(VLOOKUP($C673,Master_Mappings!$N$4:$S$134,4,FALSE()),""))</f>
        <v/>
      </c>
      <c r="M673" s="0" t="str">
        <f aca="false">IF($C673="","",IFERROR(VLOOKUP($C673,Master_Mappings!$N$4:$S$200,6,FALSE()),""))</f>
        <v/>
      </c>
    </row>
    <row r="674" customFormat="false" ht="13.5" hidden="false" customHeight="false" outlineLevel="0" collapsed="false">
      <c r="I674" s="1" t="str">
        <f aca="false">IF($C674="","",IFERROR(VLOOKUP($C674,Master_Mappings!$N$4:$S$200,3,FALSE()),"UNMAPPED"))</f>
        <v/>
      </c>
      <c r="J674" s="1" t="str">
        <f aca="false">IF($C674="","",IFERROR(VLOOKUP($C674,Master_Mappings!$N$4:$S$134,4,FALSE()),""))</f>
        <v/>
      </c>
      <c r="M674" s="0" t="str">
        <f aca="false">IF($C674="","",IFERROR(VLOOKUP($C674,Master_Mappings!$N$4:$S$200,6,FALSE()),""))</f>
        <v/>
      </c>
    </row>
    <row r="675" customFormat="false" ht="13.5" hidden="false" customHeight="false" outlineLevel="0" collapsed="false">
      <c r="I675" s="1" t="str">
        <f aca="false">IF($C675="","",IFERROR(VLOOKUP($C675,Master_Mappings!$N$4:$S$200,3,FALSE()),"UNMAPPED"))</f>
        <v/>
      </c>
      <c r="J675" s="1" t="str">
        <f aca="false">IF($C675="","",IFERROR(VLOOKUP($C675,Master_Mappings!$N$4:$S$134,4,FALSE()),""))</f>
        <v/>
      </c>
      <c r="M675" s="0" t="str">
        <f aca="false">IF($C675="","",IFERROR(VLOOKUP($C675,Master_Mappings!$N$4:$S$200,6,FALSE()),""))</f>
        <v/>
      </c>
    </row>
    <row r="676" customFormat="false" ht="13.5" hidden="false" customHeight="false" outlineLevel="0" collapsed="false">
      <c r="I676" s="1" t="str">
        <f aca="false">IF($C676="","",IFERROR(VLOOKUP($C676,Master_Mappings!$N$4:$S$200,3,FALSE()),"UNMAPPED"))</f>
        <v/>
      </c>
      <c r="J676" s="1" t="str">
        <f aca="false">IF($C676="","",IFERROR(VLOOKUP($C676,Master_Mappings!$N$4:$S$134,4,FALSE()),""))</f>
        <v/>
      </c>
      <c r="M676" s="0" t="str">
        <f aca="false">IF($C676="","",IFERROR(VLOOKUP($C676,Master_Mappings!$N$4:$S$200,6,FALSE()),""))</f>
        <v/>
      </c>
    </row>
    <row r="677" customFormat="false" ht="13.5" hidden="false" customHeight="false" outlineLevel="0" collapsed="false">
      <c r="I677" s="1" t="str">
        <f aca="false">IF($C677="","",IFERROR(VLOOKUP($C677,Master_Mappings!$N$4:$S$200,3,FALSE()),"UNMAPPED"))</f>
        <v/>
      </c>
      <c r="J677" s="1" t="str">
        <f aca="false">IF($C677="","",IFERROR(VLOOKUP($C677,Master_Mappings!$N$4:$S$134,4,FALSE()),""))</f>
        <v/>
      </c>
      <c r="M677" s="0" t="str">
        <f aca="false">IF($C677="","",IFERROR(VLOOKUP($C677,Master_Mappings!$N$4:$S$200,6,FALSE()),""))</f>
        <v/>
      </c>
    </row>
    <row r="678" customFormat="false" ht="13.5" hidden="false" customHeight="false" outlineLevel="0" collapsed="false">
      <c r="I678" s="1" t="str">
        <f aca="false">IF($C678="","",IFERROR(VLOOKUP($C678,Master_Mappings!$N$4:$S$200,3,FALSE()),"UNMAPPED"))</f>
        <v/>
      </c>
      <c r="J678" s="1" t="str">
        <f aca="false">IF($C678="","",IFERROR(VLOOKUP($C678,Master_Mappings!$N$4:$S$134,4,FALSE()),""))</f>
        <v/>
      </c>
      <c r="M678" s="0" t="str">
        <f aca="false">IF($C678="","",IFERROR(VLOOKUP($C678,Master_Mappings!$N$4:$S$200,6,FALSE()),""))</f>
        <v/>
      </c>
    </row>
    <row r="679" customFormat="false" ht="13.5" hidden="false" customHeight="false" outlineLevel="0" collapsed="false">
      <c r="I679" s="1" t="str">
        <f aca="false">IF($C679="","",IFERROR(VLOOKUP($C679,Master_Mappings!$N$4:$S$200,3,FALSE()),"UNMAPPED"))</f>
        <v/>
      </c>
      <c r="J679" s="1" t="str">
        <f aca="false">IF($C679="","",IFERROR(VLOOKUP($C679,Master_Mappings!$N$4:$S$134,4,FALSE()),""))</f>
        <v/>
      </c>
      <c r="M679" s="0" t="str">
        <f aca="false">IF($C679="","",IFERROR(VLOOKUP($C679,Master_Mappings!$N$4:$S$200,6,FALSE()),""))</f>
        <v/>
      </c>
    </row>
    <row r="680" customFormat="false" ht="13.5" hidden="false" customHeight="false" outlineLevel="0" collapsed="false">
      <c r="I680" s="1" t="str">
        <f aca="false">IF($C680="","",IFERROR(VLOOKUP($C680,Master_Mappings!$N$4:$S$200,3,FALSE()),"UNMAPPED"))</f>
        <v/>
      </c>
      <c r="J680" s="1" t="str">
        <f aca="false">IF($C680="","",IFERROR(VLOOKUP($C680,Master_Mappings!$N$4:$S$134,4,FALSE()),""))</f>
        <v/>
      </c>
      <c r="M680" s="0" t="str">
        <f aca="false">IF($C680="","",IFERROR(VLOOKUP($C680,Master_Mappings!$N$4:$S$200,6,FALSE()),""))</f>
        <v/>
      </c>
    </row>
    <row r="681" customFormat="false" ht="13.5" hidden="false" customHeight="false" outlineLevel="0" collapsed="false">
      <c r="I681" s="1" t="str">
        <f aca="false">IF($C681="","",IFERROR(VLOOKUP($C681,Master_Mappings!$N$4:$S$200,3,FALSE()),"UNMAPPED"))</f>
        <v/>
      </c>
      <c r="J681" s="1" t="str">
        <f aca="false">IF($C681="","",IFERROR(VLOOKUP($C681,Master_Mappings!$N$4:$S$134,4,FALSE()),""))</f>
        <v/>
      </c>
      <c r="M681" s="0" t="str">
        <f aca="false">IF($C681="","",IFERROR(VLOOKUP($C681,Master_Mappings!$N$4:$S$200,6,FALSE()),""))</f>
        <v/>
      </c>
    </row>
    <row r="682" customFormat="false" ht="13.5" hidden="false" customHeight="false" outlineLevel="0" collapsed="false">
      <c r="I682" s="1" t="str">
        <f aca="false">IF($C682="","",IFERROR(VLOOKUP($C682,Master_Mappings!$N$4:$S$200,3,FALSE()),"UNMAPPED"))</f>
        <v/>
      </c>
      <c r="J682" s="1" t="str">
        <f aca="false">IF($C682="","",IFERROR(VLOOKUP($C682,Master_Mappings!$N$4:$S$134,4,FALSE()),""))</f>
        <v/>
      </c>
      <c r="M682" s="0" t="str">
        <f aca="false">IF($C682="","",IFERROR(VLOOKUP($C682,Master_Mappings!$N$4:$S$200,6,FALSE()),""))</f>
        <v/>
      </c>
    </row>
    <row r="683" customFormat="false" ht="13.5" hidden="false" customHeight="false" outlineLevel="0" collapsed="false">
      <c r="I683" s="1" t="str">
        <f aca="false">IF($C683="","",IFERROR(VLOOKUP($C683,Master_Mappings!$N$4:$S$200,3,FALSE()),"UNMAPPED"))</f>
        <v/>
      </c>
      <c r="J683" s="1" t="str">
        <f aca="false">IF($C683="","",IFERROR(VLOOKUP($C683,Master_Mappings!$N$4:$S$134,4,FALSE()),""))</f>
        <v/>
      </c>
      <c r="M683" s="0" t="str">
        <f aca="false">IF($C683="","",IFERROR(VLOOKUP($C683,Master_Mappings!$N$4:$S$200,6,FALSE()),""))</f>
        <v/>
      </c>
    </row>
    <row r="684" customFormat="false" ht="13.5" hidden="false" customHeight="false" outlineLevel="0" collapsed="false">
      <c r="I684" s="1" t="str">
        <f aca="false">IF($C684="","",IFERROR(VLOOKUP($C684,Master_Mappings!$N$4:$S$200,3,FALSE()),"UNMAPPED"))</f>
        <v/>
      </c>
      <c r="J684" s="1" t="str">
        <f aca="false">IF($C684="","",IFERROR(VLOOKUP($C684,Master_Mappings!$N$4:$S$134,4,FALSE()),""))</f>
        <v/>
      </c>
      <c r="M684" s="0" t="str">
        <f aca="false">IF($C684="","",IFERROR(VLOOKUP($C684,Master_Mappings!$N$4:$S$200,6,FALSE()),""))</f>
        <v/>
      </c>
    </row>
    <row r="685" customFormat="false" ht="13.5" hidden="false" customHeight="false" outlineLevel="0" collapsed="false">
      <c r="I685" s="1" t="str">
        <f aca="false">IF($C685="","",IFERROR(VLOOKUP($C685,Master_Mappings!$N$4:$S$200,3,FALSE()),"UNMAPPED"))</f>
        <v/>
      </c>
      <c r="J685" s="1" t="str">
        <f aca="false">IF($C685="","",IFERROR(VLOOKUP($C685,Master_Mappings!$N$4:$S$134,4,FALSE()),""))</f>
        <v/>
      </c>
      <c r="M685" s="0" t="str">
        <f aca="false">IF($C685="","",IFERROR(VLOOKUP($C685,Master_Mappings!$N$4:$S$200,6,FALSE()),""))</f>
        <v/>
      </c>
    </row>
    <row r="686" customFormat="false" ht="13.5" hidden="false" customHeight="false" outlineLevel="0" collapsed="false">
      <c r="I686" s="1" t="str">
        <f aca="false">IF($C686="","",IFERROR(VLOOKUP($C686,Master_Mappings!$N$4:$S$200,3,FALSE()),"UNMAPPED"))</f>
        <v/>
      </c>
      <c r="J686" s="1" t="str">
        <f aca="false">IF($C686="","",IFERROR(VLOOKUP($C686,Master_Mappings!$N$4:$S$134,4,FALSE()),""))</f>
        <v/>
      </c>
      <c r="M686" s="0" t="str">
        <f aca="false">IF($C686="","",IFERROR(VLOOKUP($C686,Master_Mappings!$N$4:$S$200,6,FALSE()),""))</f>
        <v/>
      </c>
    </row>
    <row r="687" customFormat="false" ht="13.5" hidden="false" customHeight="false" outlineLevel="0" collapsed="false">
      <c r="I687" s="1" t="str">
        <f aca="false">IF($C687="","",IFERROR(VLOOKUP($C687,Master_Mappings!$N$4:$S$200,3,FALSE()),"UNMAPPED"))</f>
        <v/>
      </c>
      <c r="J687" s="1" t="str">
        <f aca="false">IF($C687="","",IFERROR(VLOOKUP($C687,Master_Mappings!$N$4:$S$134,4,FALSE()),""))</f>
        <v/>
      </c>
      <c r="M687" s="0" t="str">
        <f aca="false">IF($C687="","",IFERROR(VLOOKUP($C687,Master_Mappings!$N$4:$S$200,6,FALSE()),""))</f>
        <v/>
      </c>
    </row>
    <row r="688" customFormat="false" ht="13.5" hidden="false" customHeight="false" outlineLevel="0" collapsed="false">
      <c r="I688" s="1" t="str">
        <f aca="false">IF($C688="","",IFERROR(VLOOKUP($C688,Master_Mappings!$N$4:$S$200,3,FALSE()),"UNMAPPED"))</f>
        <v/>
      </c>
      <c r="J688" s="1" t="str">
        <f aca="false">IF($C688="","",IFERROR(VLOOKUP($C688,Master_Mappings!$N$4:$S$134,4,FALSE()),""))</f>
        <v/>
      </c>
      <c r="M688" s="0" t="str">
        <f aca="false">IF($C688="","",IFERROR(VLOOKUP($C688,Master_Mappings!$N$4:$S$200,6,FALSE()),""))</f>
        <v/>
      </c>
    </row>
    <row r="689" customFormat="false" ht="13.5" hidden="false" customHeight="false" outlineLevel="0" collapsed="false">
      <c r="I689" s="1" t="str">
        <f aca="false">IF($C689="","",IFERROR(VLOOKUP($C689,Master_Mappings!$N$4:$S$200,3,FALSE()),"UNMAPPED"))</f>
        <v/>
      </c>
      <c r="J689" s="1" t="str">
        <f aca="false">IF($C689="","",IFERROR(VLOOKUP($C689,Master_Mappings!$N$4:$S$134,4,FALSE()),""))</f>
        <v/>
      </c>
      <c r="M689" s="0" t="str">
        <f aca="false">IF($C689="","",IFERROR(VLOOKUP($C689,Master_Mappings!$N$4:$S$200,6,FALSE()),""))</f>
        <v/>
      </c>
    </row>
    <row r="690" customFormat="false" ht="13.5" hidden="false" customHeight="false" outlineLevel="0" collapsed="false">
      <c r="I690" s="1" t="str">
        <f aca="false">IF($C690="","",IFERROR(VLOOKUP($C690,Master_Mappings!$N$4:$S$200,3,FALSE()),"UNMAPPED"))</f>
        <v/>
      </c>
      <c r="J690" s="1" t="str">
        <f aca="false">IF($C690="","",IFERROR(VLOOKUP($C690,Master_Mappings!$N$4:$S$134,4,FALSE()),""))</f>
        <v/>
      </c>
      <c r="M690" s="0" t="str">
        <f aca="false">IF($C690="","",IFERROR(VLOOKUP($C690,Master_Mappings!$N$4:$S$200,6,FALSE()),""))</f>
        <v/>
      </c>
    </row>
    <row r="691" customFormat="false" ht="13.5" hidden="false" customHeight="false" outlineLevel="0" collapsed="false">
      <c r="I691" s="1" t="str">
        <f aca="false">IF($C691="","",IFERROR(VLOOKUP($C691,Master_Mappings!$N$4:$S$200,3,FALSE()),"UNMAPPED"))</f>
        <v/>
      </c>
      <c r="J691" s="1" t="str">
        <f aca="false">IF($C691="","",IFERROR(VLOOKUP($C691,Master_Mappings!$N$4:$S$134,4,FALSE()),""))</f>
        <v/>
      </c>
      <c r="M691" s="0" t="str">
        <f aca="false">IF($C691="","",IFERROR(VLOOKUP($C691,Master_Mappings!$N$4:$S$200,6,FALSE()),""))</f>
        <v/>
      </c>
    </row>
    <row r="692" customFormat="false" ht="13.5" hidden="false" customHeight="false" outlineLevel="0" collapsed="false">
      <c r="I692" s="1" t="str">
        <f aca="false">IF($C692="","",IFERROR(VLOOKUP($C692,Master_Mappings!$N$4:$S$200,3,FALSE()),"UNMAPPED"))</f>
        <v/>
      </c>
      <c r="J692" s="1" t="str">
        <f aca="false">IF($C692="","",IFERROR(VLOOKUP($C692,Master_Mappings!$N$4:$S$134,4,FALSE()),""))</f>
        <v/>
      </c>
      <c r="M692" s="0" t="str">
        <f aca="false">IF($C692="","",IFERROR(VLOOKUP($C692,Master_Mappings!$N$4:$S$200,6,FALSE()),""))</f>
        <v/>
      </c>
    </row>
    <row r="693" customFormat="false" ht="13.5" hidden="false" customHeight="false" outlineLevel="0" collapsed="false">
      <c r="I693" s="1" t="str">
        <f aca="false">IF($C693="","",IFERROR(VLOOKUP($C693,Master_Mappings!$N$4:$S$200,3,FALSE()),"UNMAPPED"))</f>
        <v/>
      </c>
      <c r="J693" s="1" t="str">
        <f aca="false">IF($C693="","",IFERROR(VLOOKUP($C693,Master_Mappings!$N$4:$S$134,4,FALSE()),""))</f>
        <v/>
      </c>
      <c r="M693" s="0" t="str">
        <f aca="false">IF($C693="","",IFERROR(VLOOKUP($C693,Master_Mappings!$N$4:$S$200,6,FALSE()),""))</f>
        <v/>
      </c>
    </row>
    <row r="694" customFormat="false" ht="13.5" hidden="false" customHeight="false" outlineLevel="0" collapsed="false">
      <c r="I694" s="1" t="str">
        <f aca="false">IF($C694="","",IFERROR(VLOOKUP($C694,Master_Mappings!$N$4:$S$200,3,FALSE()),"UNMAPPED"))</f>
        <v/>
      </c>
      <c r="J694" s="1" t="str">
        <f aca="false">IF($C694="","",IFERROR(VLOOKUP($C694,Master_Mappings!$N$4:$S$134,4,FALSE()),""))</f>
        <v/>
      </c>
      <c r="M694" s="0" t="str">
        <f aca="false">IF($C694="","",IFERROR(VLOOKUP($C694,Master_Mappings!$N$4:$S$200,6,FALSE()),""))</f>
        <v/>
      </c>
    </row>
    <row r="695" customFormat="false" ht="13.5" hidden="false" customHeight="false" outlineLevel="0" collapsed="false">
      <c r="I695" s="1" t="str">
        <f aca="false">IF($C695="","",IFERROR(VLOOKUP($C695,Master_Mappings!$N$4:$S$200,3,FALSE()),"UNMAPPED"))</f>
        <v/>
      </c>
      <c r="J695" s="1" t="str">
        <f aca="false">IF($C695="","",IFERROR(VLOOKUP($C695,Master_Mappings!$N$4:$S$134,4,FALSE()),""))</f>
        <v/>
      </c>
      <c r="M695" s="0" t="str">
        <f aca="false">IF($C695="","",IFERROR(VLOOKUP($C695,Master_Mappings!$N$4:$S$200,6,FALSE()),""))</f>
        <v/>
      </c>
    </row>
    <row r="696" customFormat="false" ht="13.5" hidden="false" customHeight="false" outlineLevel="0" collapsed="false">
      <c r="I696" s="1" t="str">
        <f aca="false">IF($C696="","",IFERROR(VLOOKUP($C696,Master_Mappings!$N$4:$S$200,3,FALSE()),"UNMAPPED"))</f>
        <v/>
      </c>
      <c r="J696" s="1" t="str">
        <f aca="false">IF($C696="","",IFERROR(VLOOKUP($C696,Master_Mappings!$N$4:$S$134,4,FALSE()),""))</f>
        <v/>
      </c>
      <c r="M696" s="0" t="str">
        <f aca="false">IF($C696="","",IFERROR(VLOOKUP($C696,Master_Mappings!$N$4:$S$200,6,FALSE()),""))</f>
        <v/>
      </c>
    </row>
    <row r="697" customFormat="false" ht="13.5" hidden="false" customHeight="false" outlineLevel="0" collapsed="false">
      <c r="I697" s="1" t="str">
        <f aca="false">IF($C697="","",IFERROR(VLOOKUP($C697,Master_Mappings!$N$4:$S$200,3,FALSE()),"UNMAPPED"))</f>
        <v/>
      </c>
      <c r="J697" s="1" t="str">
        <f aca="false">IF($C697="","",IFERROR(VLOOKUP($C697,Master_Mappings!$N$4:$S$134,4,FALSE()),""))</f>
        <v/>
      </c>
      <c r="M697" s="0" t="str">
        <f aca="false">IF($C697="","",IFERROR(VLOOKUP($C697,Master_Mappings!$N$4:$S$200,6,FALSE()),""))</f>
        <v/>
      </c>
    </row>
    <row r="698" customFormat="false" ht="13.5" hidden="false" customHeight="false" outlineLevel="0" collapsed="false">
      <c r="I698" s="1" t="str">
        <f aca="false">IF($C698="","",IFERROR(VLOOKUP($C698,Master_Mappings!$N$4:$S$200,3,FALSE()),"UNMAPPED"))</f>
        <v/>
      </c>
      <c r="J698" s="1" t="str">
        <f aca="false">IF($C698="","",IFERROR(VLOOKUP($C698,Master_Mappings!$N$4:$S$134,4,FALSE()),""))</f>
        <v/>
      </c>
      <c r="M698" s="0" t="str">
        <f aca="false">IF($C698="","",IFERROR(VLOOKUP($C698,Master_Mappings!$N$4:$S$200,6,FALSE()),""))</f>
        <v/>
      </c>
    </row>
    <row r="699" customFormat="false" ht="13.5" hidden="false" customHeight="false" outlineLevel="0" collapsed="false">
      <c r="I699" s="1" t="str">
        <f aca="false">IF($C699="","",IFERROR(VLOOKUP($C699,Master_Mappings!$N$4:$S$200,3,FALSE()),"UNMAPPED"))</f>
        <v/>
      </c>
      <c r="J699" s="1" t="str">
        <f aca="false">IF($C699="","",IFERROR(VLOOKUP($C699,Master_Mappings!$N$4:$S$134,4,FALSE()),""))</f>
        <v/>
      </c>
      <c r="M699" s="0" t="str">
        <f aca="false">IF($C699="","",IFERROR(VLOOKUP($C699,Master_Mappings!$N$4:$S$200,6,FALSE()),""))</f>
        <v/>
      </c>
    </row>
    <row r="700" customFormat="false" ht="13.5" hidden="false" customHeight="false" outlineLevel="0" collapsed="false">
      <c r="I700" s="1" t="str">
        <f aca="false">IF($C700="","",IFERROR(VLOOKUP($C700,Master_Mappings!$N$4:$S$200,3,FALSE()),"UNMAPPED"))</f>
        <v/>
      </c>
      <c r="J700" s="1" t="str">
        <f aca="false">IF($C700="","",IFERROR(VLOOKUP($C700,Master_Mappings!$N$4:$S$134,4,FALSE()),""))</f>
        <v/>
      </c>
      <c r="M700" s="0" t="str">
        <f aca="false">IF($C700="","",IFERROR(VLOOKUP($C700,Master_Mappings!$N$4:$S$200,6,FALSE()),""))</f>
        <v/>
      </c>
    </row>
    <row r="701" customFormat="false" ht="13.5" hidden="false" customHeight="false" outlineLevel="0" collapsed="false">
      <c r="I701" s="1" t="str">
        <f aca="false">IF($C701="","",IFERROR(VLOOKUP($C701,Master_Mappings!$N$4:$S$200,3,FALSE()),"UNMAPPED"))</f>
        <v/>
      </c>
      <c r="J701" s="1" t="str">
        <f aca="false">IF($C701="","",IFERROR(VLOOKUP($C701,Master_Mappings!$N$4:$S$134,4,FALSE()),""))</f>
        <v/>
      </c>
      <c r="M701" s="0" t="str">
        <f aca="false">IF($C701="","",IFERROR(VLOOKUP($C701,Master_Mappings!$N$4:$S$200,6,FALSE()),""))</f>
        <v/>
      </c>
    </row>
    <row r="702" customFormat="false" ht="13.5" hidden="false" customHeight="false" outlineLevel="0" collapsed="false">
      <c r="I702" s="1" t="str">
        <f aca="false">IF($C702="","",IFERROR(VLOOKUP($C702,Master_Mappings!$N$4:$S$200,3,FALSE()),"UNMAPPED"))</f>
        <v/>
      </c>
      <c r="J702" s="1" t="str">
        <f aca="false">IF($C702="","",IFERROR(VLOOKUP($C702,Master_Mappings!$N$4:$S$134,4,FALSE()),""))</f>
        <v/>
      </c>
      <c r="M702" s="0" t="str">
        <f aca="false">IF($C702="","",IFERROR(VLOOKUP($C702,Master_Mappings!$N$4:$S$200,6,FALSE()),""))</f>
        <v/>
      </c>
    </row>
    <row r="703" customFormat="false" ht="13.5" hidden="false" customHeight="false" outlineLevel="0" collapsed="false">
      <c r="I703" s="1" t="str">
        <f aca="false">IF($C703="","",IFERROR(VLOOKUP($C703,Master_Mappings!$N$4:$S$200,3,FALSE()),"UNMAPPED"))</f>
        <v/>
      </c>
      <c r="J703" s="1" t="str">
        <f aca="false">IF($C703="","",IFERROR(VLOOKUP($C703,Master_Mappings!$N$4:$S$134,4,FALSE()),""))</f>
        <v/>
      </c>
      <c r="M703" s="0" t="str">
        <f aca="false">IF($C703="","",IFERROR(VLOOKUP($C703,Master_Mappings!$N$4:$S$200,6,FALSE()),""))</f>
        <v/>
      </c>
    </row>
    <row r="704" customFormat="false" ht="13.5" hidden="false" customHeight="false" outlineLevel="0" collapsed="false">
      <c r="I704" s="1" t="str">
        <f aca="false">IF($C704="","",IFERROR(VLOOKUP($C704,Master_Mappings!$N$4:$S$200,3,FALSE()),"UNMAPPED"))</f>
        <v/>
      </c>
      <c r="J704" s="1" t="str">
        <f aca="false">IF($C704="","",IFERROR(VLOOKUP($C704,Master_Mappings!$N$4:$S$134,4,FALSE()),""))</f>
        <v/>
      </c>
      <c r="M704" s="0" t="str">
        <f aca="false">IF($C704="","",IFERROR(VLOOKUP($C704,Master_Mappings!$N$4:$S$200,6,FALSE()),""))</f>
        <v/>
      </c>
    </row>
    <row r="705" customFormat="false" ht="13.5" hidden="false" customHeight="false" outlineLevel="0" collapsed="false">
      <c r="I705" s="1" t="str">
        <f aca="false">IF($C705="","",IFERROR(VLOOKUP($C705,Master_Mappings!$N$4:$S$200,3,FALSE()),"UNMAPPED"))</f>
        <v/>
      </c>
      <c r="J705" s="1" t="str">
        <f aca="false">IF($C705="","",IFERROR(VLOOKUP($C705,Master_Mappings!$N$4:$S$134,4,FALSE()),""))</f>
        <v/>
      </c>
      <c r="M705" s="0" t="str">
        <f aca="false">IF($C705="","",IFERROR(VLOOKUP($C705,Master_Mappings!$N$4:$S$200,6,FALSE()),""))</f>
        <v/>
      </c>
    </row>
    <row r="706" customFormat="false" ht="13.5" hidden="false" customHeight="false" outlineLevel="0" collapsed="false">
      <c r="I706" s="1" t="str">
        <f aca="false">IF($C706="","",IFERROR(VLOOKUP($C706,Master_Mappings!$N$4:$S$200,3,FALSE()),"UNMAPPED"))</f>
        <v/>
      </c>
      <c r="J706" s="1" t="str">
        <f aca="false">IF($C706="","",IFERROR(VLOOKUP($C706,Master_Mappings!$N$4:$S$134,4,FALSE()),""))</f>
        <v/>
      </c>
      <c r="M706" s="0" t="str">
        <f aca="false">IF($C706="","",IFERROR(VLOOKUP($C706,Master_Mappings!$N$4:$S$200,6,FALSE()),""))</f>
        <v/>
      </c>
    </row>
    <row r="707" customFormat="false" ht="13.5" hidden="false" customHeight="false" outlineLevel="0" collapsed="false">
      <c r="I707" s="1" t="str">
        <f aca="false">IF($C707="","",IFERROR(VLOOKUP($C707,Master_Mappings!$N$4:$S$200,3,FALSE()),"UNMAPPED"))</f>
        <v/>
      </c>
      <c r="J707" s="1" t="str">
        <f aca="false">IF($C707="","",IFERROR(VLOOKUP($C707,Master_Mappings!$N$4:$S$134,4,FALSE()),""))</f>
        <v/>
      </c>
      <c r="M707" s="0" t="str">
        <f aca="false">IF($C707="","",IFERROR(VLOOKUP($C707,Master_Mappings!$N$4:$S$200,6,FALSE()),""))</f>
        <v/>
      </c>
    </row>
    <row r="708" customFormat="false" ht="13.5" hidden="false" customHeight="false" outlineLevel="0" collapsed="false">
      <c r="I708" s="1" t="str">
        <f aca="false">IF($C708="","",IFERROR(VLOOKUP($C708,Master_Mappings!$N$4:$S$200,3,FALSE()),"UNMAPPED"))</f>
        <v/>
      </c>
      <c r="J708" s="1" t="str">
        <f aca="false">IF($C708="","",IFERROR(VLOOKUP($C708,Master_Mappings!$N$4:$S$134,4,FALSE()),""))</f>
        <v/>
      </c>
      <c r="M708" s="0" t="str">
        <f aca="false">IF($C708="","",IFERROR(VLOOKUP($C708,Master_Mappings!$N$4:$S$200,6,FALSE()),""))</f>
        <v/>
      </c>
    </row>
    <row r="709" customFormat="false" ht="13.5" hidden="false" customHeight="false" outlineLevel="0" collapsed="false">
      <c r="I709" s="1" t="str">
        <f aca="false">IF($C709="","",IFERROR(VLOOKUP($C709,Master_Mappings!$N$4:$S$200,3,FALSE()),"UNMAPPED"))</f>
        <v/>
      </c>
      <c r="J709" s="1" t="str">
        <f aca="false">IF($C709="","",IFERROR(VLOOKUP($C709,Master_Mappings!$N$4:$S$134,4,FALSE()),""))</f>
        <v/>
      </c>
      <c r="M709" s="0" t="str">
        <f aca="false">IF($C709="","",IFERROR(VLOOKUP($C709,Master_Mappings!$N$4:$S$200,6,FALSE()),""))</f>
        <v/>
      </c>
    </row>
    <row r="710" customFormat="false" ht="13.5" hidden="false" customHeight="false" outlineLevel="0" collapsed="false">
      <c r="I710" s="1" t="str">
        <f aca="false">IF($C710="","",IFERROR(VLOOKUP($C710,Master_Mappings!$N$4:$S$200,3,FALSE()),"UNMAPPED"))</f>
        <v/>
      </c>
      <c r="J710" s="1" t="str">
        <f aca="false">IF($C710="","",IFERROR(VLOOKUP($C710,Master_Mappings!$N$4:$S$134,4,FALSE()),""))</f>
        <v/>
      </c>
      <c r="M710" s="0" t="str">
        <f aca="false">IF($C710="","",IFERROR(VLOOKUP($C710,Master_Mappings!$N$4:$S$200,6,FALSE()),""))</f>
        <v/>
      </c>
    </row>
    <row r="711" customFormat="false" ht="13.5" hidden="false" customHeight="false" outlineLevel="0" collapsed="false">
      <c r="I711" s="1" t="str">
        <f aca="false">IF($C711="","",IFERROR(VLOOKUP($C711,Master_Mappings!$N$4:$S$200,3,FALSE()),"UNMAPPED"))</f>
        <v/>
      </c>
      <c r="J711" s="1" t="str">
        <f aca="false">IF($C711="","",IFERROR(VLOOKUP($C711,Master_Mappings!$N$4:$S$134,4,FALSE()),""))</f>
        <v/>
      </c>
      <c r="M711" s="0" t="str">
        <f aca="false">IF($C711="","",IFERROR(VLOOKUP($C711,Master_Mappings!$N$4:$S$200,6,FALSE()),""))</f>
        <v/>
      </c>
    </row>
    <row r="712" customFormat="false" ht="13.5" hidden="false" customHeight="false" outlineLevel="0" collapsed="false">
      <c r="I712" s="1" t="str">
        <f aca="false">IF($C712="","",IFERROR(VLOOKUP($C712,Master_Mappings!$N$4:$S$200,3,FALSE()),"UNMAPPED"))</f>
        <v/>
      </c>
      <c r="J712" s="1" t="str">
        <f aca="false">IF($C712="","",IFERROR(VLOOKUP($C712,Master_Mappings!$N$4:$S$134,4,FALSE()),""))</f>
        <v/>
      </c>
      <c r="M712" s="0" t="str">
        <f aca="false">IF($C712="","",IFERROR(VLOOKUP($C712,Master_Mappings!$N$4:$S$200,6,FALSE()),""))</f>
        <v/>
      </c>
    </row>
    <row r="713" customFormat="false" ht="13.5" hidden="false" customHeight="false" outlineLevel="0" collapsed="false">
      <c r="I713" s="1" t="str">
        <f aca="false">IF($C713="","",IFERROR(VLOOKUP($C713,Master_Mappings!$N$4:$S$200,3,FALSE()),"UNMAPPED"))</f>
        <v/>
      </c>
      <c r="J713" s="1" t="str">
        <f aca="false">IF($C713="","",IFERROR(VLOOKUP($C713,Master_Mappings!$N$4:$S$134,4,FALSE()),""))</f>
        <v/>
      </c>
      <c r="M713" s="0" t="str">
        <f aca="false">IF($C713="","",IFERROR(VLOOKUP($C713,Master_Mappings!$N$4:$S$200,6,FALSE()),""))</f>
        <v/>
      </c>
    </row>
    <row r="714" customFormat="false" ht="13.5" hidden="false" customHeight="false" outlineLevel="0" collapsed="false">
      <c r="I714" s="1" t="str">
        <f aca="false">IF($C714="","",IFERROR(VLOOKUP($C714,Master_Mappings!$N$4:$S$200,3,FALSE()),"UNMAPPED"))</f>
        <v/>
      </c>
      <c r="J714" s="1" t="str">
        <f aca="false">IF($C714="","",IFERROR(VLOOKUP($C714,Master_Mappings!$N$4:$S$134,4,FALSE()),""))</f>
        <v/>
      </c>
      <c r="M714" s="0" t="str">
        <f aca="false">IF($C714="","",IFERROR(VLOOKUP($C714,Master_Mappings!$N$4:$S$200,6,FALSE()),""))</f>
        <v/>
      </c>
    </row>
    <row r="715" customFormat="false" ht="13.5" hidden="false" customHeight="false" outlineLevel="0" collapsed="false">
      <c r="I715" s="1" t="str">
        <f aca="false">IF($C715="","",IFERROR(VLOOKUP($C715,Master_Mappings!$N$4:$S$200,3,FALSE()),"UNMAPPED"))</f>
        <v/>
      </c>
      <c r="J715" s="1" t="str">
        <f aca="false">IF($C715="","",IFERROR(VLOOKUP($C715,Master_Mappings!$N$4:$S$134,4,FALSE()),""))</f>
        <v/>
      </c>
      <c r="M715" s="0" t="str">
        <f aca="false">IF($C715="","",IFERROR(VLOOKUP($C715,Master_Mappings!$N$4:$S$200,6,FALSE()),""))</f>
        <v/>
      </c>
    </row>
    <row r="716" customFormat="false" ht="13.5" hidden="false" customHeight="false" outlineLevel="0" collapsed="false">
      <c r="I716" s="1" t="str">
        <f aca="false">IF($C716="","",IFERROR(VLOOKUP($C716,Master_Mappings!$N$4:$S$200,3,FALSE()),"UNMAPPED"))</f>
        <v/>
      </c>
      <c r="J716" s="1" t="str">
        <f aca="false">IF($C716="","",IFERROR(VLOOKUP($C716,Master_Mappings!$N$4:$S$134,4,FALSE()),""))</f>
        <v/>
      </c>
      <c r="M716" s="0" t="str">
        <f aca="false">IF($C716="","",IFERROR(VLOOKUP($C716,Master_Mappings!$N$4:$S$200,6,FALSE()),""))</f>
        <v/>
      </c>
    </row>
    <row r="717" customFormat="false" ht="13.5" hidden="false" customHeight="false" outlineLevel="0" collapsed="false">
      <c r="I717" s="1" t="str">
        <f aca="false">IF($C717="","",IFERROR(VLOOKUP($C717,Master_Mappings!$N$4:$S$200,3,FALSE()),"UNMAPPED"))</f>
        <v/>
      </c>
      <c r="J717" s="1" t="str">
        <f aca="false">IF($C717="","",IFERROR(VLOOKUP($C717,Master_Mappings!$N$4:$S$134,4,FALSE()),""))</f>
        <v/>
      </c>
      <c r="M717" s="0" t="str">
        <f aca="false">IF($C717="","",IFERROR(VLOOKUP($C717,Master_Mappings!$N$4:$S$200,6,FALSE()),""))</f>
        <v/>
      </c>
    </row>
    <row r="718" customFormat="false" ht="13.5" hidden="false" customHeight="false" outlineLevel="0" collapsed="false">
      <c r="I718" s="1" t="str">
        <f aca="false">IF($C718="","",IFERROR(VLOOKUP($C718,Master_Mappings!$N$4:$S$200,3,FALSE()),"UNMAPPED"))</f>
        <v/>
      </c>
      <c r="J718" s="1" t="str">
        <f aca="false">IF($C718="","",IFERROR(VLOOKUP($C718,Master_Mappings!$N$4:$S$134,4,FALSE()),""))</f>
        <v/>
      </c>
      <c r="M718" s="0" t="str">
        <f aca="false">IF($C718="","",IFERROR(VLOOKUP($C718,Master_Mappings!$N$4:$S$200,6,FALSE()),""))</f>
        <v/>
      </c>
    </row>
    <row r="719" customFormat="false" ht="13.5" hidden="false" customHeight="false" outlineLevel="0" collapsed="false">
      <c r="I719" s="1" t="str">
        <f aca="false">IF($C719="","",IFERROR(VLOOKUP($C719,Master_Mappings!$N$4:$S$200,3,FALSE()),"UNMAPPED"))</f>
        <v/>
      </c>
      <c r="J719" s="1" t="str">
        <f aca="false">IF($C719="","",IFERROR(VLOOKUP($C719,Master_Mappings!$N$4:$S$134,4,FALSE()),""))</f>
        <v/>
      </c>
      <c r="M719" s="0" t="str">
        <f aca="false">IF($C719="","",IFERROR(VLOOKUP($C719,Master_Mappings!$N$4:$S$200,6,FALSE()),""))</f>
        <v/>
      </c>
    </row>
    <row r="720" customFormat="false" ht="13.5" hidden="false" customHeight="false" outlineLevel="0" collapsed="false">
      <c r="I720" s="1" t="str">
        <f aca="false">IF($C720="","",IFERROR(VLOOKUP($C720,Master_Mappings!$N$4:$S$200,3,FALSE()),"UNMAPPED"))</f>
        <v/>
      </c>
      <c r="J720" s="1" t="str">
        <f aca="false">IF($C720="","",IFERROR(VLOOKUP($C720,Master_Mappings!$N$4:$S$134,4,FALSE()),""))</f>
        <v/>
      </c>
      <c r="M720" s="0" t="str">
        <f aca="false">IF($C720="","",IFERROR(VLOOKUP($C720,Master_Mappings!$N$4:$S$200,6,FALSE()),""))</f>
        <v/>
      </c>
    </row>
    <row r="721" customFormat="false" ht="13.5" hidden="false" customHeight="false" outlineLevel="0" collapsed="false">
      <c r="I721" s="1" t="str">
        <f aca="false">IF($C721="","",IFERROR(VLOOKUP($C721,Master_Mappings!$N$4:$S$200,3,FALSE()),"UNMAPPED"))</f>
        <v/>
      </c>
      <c r="J721" s="1" t="str">
        <f aca="false">IF($C721="","",IFERROR(VLOOKUP($C721,Master_Mappings!$N$4:$S$134,4,FALSE()),""))</f>
        <v/>
      </c>
      <c r="M721" s="0" t="str">
        <f aca="false">IF($C721="","",IFERROR(VLOOKUP($C721,Master_Mappings!$N$4:$S$200,6,FALSE()),""))</f>
        <v/>
      </c>
    </row>
    <row r="722" customFormat="false" ht="13.5" hidden="false" customHeight="false" outlineLevel="0" collapsed="false">
      <c r="I722" s="1" t="str">
        <f aca="false">IF($C722="","",IFERROR(VLOOKUP($C722,Master_Mappings!$N$4:$S$200,3,FALSE()),"UNMAPPED"))</f>
        <v/>
      </c>
      <c r="J722" s="1" t="str">
        <f aca="false">IF($C722="","",IFERROR(VLOOKUP($C722,Master_Mappings!$N$4:$S$134,4,FALSE()),""))</f>
        <v/>
      </c>
      <c r="M722" s="0" t="str">
        <f aca="false">IF($C722="","",IFERROR(VLOOKUP($C722,Master_Mappings!$N$4:$S$200,6,FALSE()),""))</f>
        <v/>
      </c>
    </row>
    <row r="723" customFormat="false" ht="13.5" hidden="false" customHeight="false" outlineLevel="0" collapsed="false">
      <c r="I723" s="1" t="str">
        <f aca="false">IF($C723="","",IFERROR(VLOOKUP($C723,Master_Mappings!$N$4:$S$200,3,FALSE()),"UNMAPPED"))</f>
        <v/>
      </c>
      <c r="J723" s="1" t="str">
        <f aca="false">IF($C723="","",IFERROR(VLOOKUP($C723,Master_Mappings!$N$4:$S$134,4,FALSE()),""))</f>
        <v/>
      </c>
      <c r="M723" s="0" t="str">
        <f aca="false">IF($C723="","",IFERROR(VLOOKUP($C723,Master_Mappings!$N$4:$S$200,6,FALSE()),""))</f>
        <v/>
      </c>
    </row>
    <row r="724" customFormat="false" ht="13.5" hidden="false" customHeight="false" outlineLevel="0" collapsed="false">
      <c r="I724" s="1" t="str">
        <f aca="false">IF($C724="","",IFERROR(VLOOKUP($C724,Master_Mappings!$N$4:$S$200,3,FALSE()),"UNMAPPED"))</f>
        <v/>
      </c>
      <c r="J724" s="1" t="str">
        <f aca="false">IF($C724="","",IFERROR(VLOOKUP($C724,Master_Mappings!$N$4:$S$134,4,FALSE()),""))</f>
        <v/>
      </c>
      <c r="M724" s="0" t="str">
        <f aca="false">IF($C724="","",IFERROR(VLOOKUP($C724,Master_Mappings!$N$4:$S$200,6,FALSE()),""))</f>
        <v/>
      </c>
    </row>
    <row r="725" customFormat="false" ht="13.5" hidden="false" customHeight="false" outlineLevel="0" collapsed="false">
      <c r="I725" s="1" t="str">
        <f aca="false">IF($C725="","",IFERROR(VLOOKUP($C725,Master_Mappings!$N$4:$S$200,3,FALSE()),"UNMAPPED"))</f>
        <v/>
      </c>
      <c r="J725" s="1" t="str">
        <f aca="false">IF($C725="","",IFERROR(VLOOKUP($C725,Master_Mappings!$N$4:$S$134,4,FALSE()),""))</f>
        <v/>
      </c>
      <c r="M725" s="0" t="str">
        <f aca="false">IF($C725="","",IFERROR(VLOOKUP($C725,Master_Mappings!$N$4:$S$200,6,FALSE()),""))</f>
        <v/>
      </c>
    </row>
    <row r="726" customFormat="false" ht="13.5" hidden="false" customHeight="false" outlineLevel="0" collapsed="false">
      <c r="I726" s="1" t="str">
        <f aca="false">IF($C726="","",IFERROR(VLOOKUP($C726,Master_Mappings!$N$4:$S$200,3,FALSE()),"UNMAPPED"))</f>
        <v/>
      </c>
      <c r="J726" s="1" t="str">
        <f aca="false">IF($C726="","",IFERROR(VLOOKUP($C726,Master_Mappings!$N$4:$S$134,4,FALSE()),""))</f>
        <v/>
      </c>
      <c r="M726" s="0" t="str">
        <f aca="false">IF($C726="","",IFERROR(VLOOKUP($C726,Master_Mappings!$N$4:$S$200,6,FALSE()),""))</f>
        <v/>
      </c>
    </row>
    <row r="727" customFormat="false" ht="13.5" hidden="false" customHeight="false" outlineLevel="0" collapsed="false">
      <c r="I727" s="1" t="str">
        <f aca="false">IF($C727="","",IFERROR(VLOOKUP($C727,Master_Mappings!$N$4:$S$200,3,FALSE()),"UNMAPPED"))</f>
        <v/>
      </c>
      <c r="J727" s="1" t="str">
        <f aca="false">IF($C727="","",IFERROR(VLOOKUP($C727,Master_Mappings!$N$4:$S$134,4,FALSE()),""))</f>
        <v/>
      </c>
      <c r="M727" s="0" t="str">
        <f aca="false">IF($C727="","",IFERROR(VLOOKUP($C727,Master_Mappings!$N$4:$S$200,6,FALSE()),""))</f>
        <v/>
      </c>
    </row>
    <row r="728" customFormat="false" ht="13.5" hidden="false" customHeight="false" outlineLevel="0" collapsed="false">
      <c r="I728" s="1" t="str">
        <f aca="false">IF($C728="","",IFERROR(VLOOKUP($C728,Master_Mappings!$N$4:$S$200,3,FALSE()),"UNMAPPED"))</f>
        <v/>
      </c>
      <c r="J728" s="1" t="str">
        <f aca="false">IF($C728="","",IFERROR(VLOOKUP($C728,Master_Mappings!$N$4:$S$134,4,FALSE()),""))</f>
        <v/>
      </c>
      <c r="M728" s="0" t="str">
        <f aca="false">IF($C728="","",IFERROR(VLOOKUP($C728,Master_Mappings!$N$4:$S$200,6,FALSE()),""))</f>
        <v/>
      </c>
    </row>
    <row r="729" customFormat="false" ht="13.5" hidden="false" customHeight="false" outlineLevel="0" collapsed="false">
      <c r="I729" s="1" t="str">
        <f aca="false">IF($C729="","",IFERROR(VLOOKUP($C729,Master_Mappings!$N$4:$S$200,3,FALSE()),"UNMAPPED"))</f>
        <v/>
      </c>
      <c r="J729" s="1" t="str">
        <f aca="false">IF($C729="","",IFERROR(VLOOKUP($C729,Master_Mappings!$N$4:$S$134,4,FALSE()),""))</f>
        <v/>
      </c>
      <c r="M729" s="0" t="str">
        <f aca="false">IF($C729="","",IFERROR(VLOOKUP($C729,Master_Mappings!$N$4:$S$200,6,FALSE()),""))</f>
        <v/>
      </c>
    </row>
    <row r="730" customFormat="false" ht="13.5" hidden="false" customHeight="false" outlineLevel="0" collapsed="false">
      <c r="I730" s="1" t="str">
        <f aca="false">IF($C730="","",IFERROR(VLOOKUP($C730,Master_Mappings!$N$4:$S$200,3,FALSE()),"UNMAPPED"))</f>
        <v/>
      </c>
      <c r="J730" s="1" t="str">
        <f aca="false">IF($C730="","",IFERROR(VLOOKUP($C730,Master_Mappings!$N$4:$S$134,4,FALSE()),""))</f>
        <v/>
      </c>
      <c r="M730" s="0" t="str">
        <f aca="false">IF($C730="","",IFERROR(VLOOKUP($C730,Master_Mappings!$N$4:$S$200,6,FALSE()),""))</f>
        <v/>
      </c>
    </row>
    <row r="731" customFormat="false" ht="13.5" hidden="false" customHeight="false" outlineLevel="0" collapsed="false">
      <c r="I731" s="1" t="str">
        <f aca="false">IF($C731="","",IFERROR(VLOOKUP($C731,Master_Mappings!$N$4:$S$200,3,FALSE()),"UNMAPPED"))</f>
        <v/>
      </c>
      <c r="J731" s="1" t="str">
        <f aca="false">IF($C731="","",IFERROR(VLOOKUP($C731,Master_Mappings!$N$4:$S$134,4,FALSE()),""))</f>
        <v/>
      </c>
      <c r="M731" s="0" t="str">
        <f aca="false">IF($C731="","",IFERROR(VLOOKUP($C731,Master_Mappings!$N$4:$S$200,6,FALSE()),""))</f>
        <v/>
      </c>
    </row>
    <row r="732" customFormat="false" ht="13.5" hidden="false" customHeight="false" outlineLevel="0" collapsed="false">
      <c r="I732" s="1" t="str">
        <f aca="false">IF($C732="","",IFERROR(VLOOKUP($C732,Master_Mappings!$N$4:$S$200,3,FALSE()),"UNMAPPED"))</f>
        <v/>
      </c>
      <c r="J732" s="1" t="str">
        <f aca="false">IF($C732="","",IFERROR(VLOOKUP($C732,Master_Mappings!$N$4:$S$134,4,FALSE()),""))</f>
        <v/>
      </c>
      <c r="M732" s="0" t="str">
        <f aca="false">IF($C732="","",IFERROR(VLOOKUP($C732,Master_Mappings!$N$4:$S$200,6,FALSE()),""))</f>
        <v/>
      </c>
    </row>
    <row r="733" customFormat="false" ht="13.5" hidden="false" customHeight="false" outlineLevel="0" collapsed="false">
      <c r="I733" s="1" t="str">
        <f aca="false">IF($C733="","",IFERROR(VLOOKUP($C733,Master_Mappings!$N$4:$S$200,3,FALSE()),"UNMAPPED"))</f>
        <v/>
      </c>
      <c r="J733" s="1" t="str">
        <f aca="false">IF($C733="","",IFERROR(VLOOKUP($C733,Master_Mappings!$N$4:$S$134,4,FALSE()),""))</f>
        <v/>
      </c>
      <c r="M733" s="0" t="str">
        <f aca="false">IF($C733="","",IFERROR(VLOOKUP($C733,Master_Mappings!$N$4:$S$200,6,FALSE()),""))</f>
        <v/>
      </c>
    </row>
    <row r="734" customFormat="false" ht="13.5" hidden="false" customHeight="false" outlineLevel="0" collapsed="false">
      <c r="I734" s="1" t="str">
        <f aca="false">IF($C734="","",IFERROR(VLOOKUP($C734,Master_Mappings!$N$4:$S$200,3,FALSE()),"UNMAPPED"))</f>
        <v/>
      </c>
      <c r="J734" s="1" t="str">
        <f aca="false">IF($C734="","",IFERROR(VLOOKUP($C734,Master_Mappings!$N$4:$S$134,4,FALSE()),""))</f>
        <v/>
      </c>
      <c r="M734" s="0" t="str">
        <f aca="false">IF($C734="","",IFERROR(VLOOKUP($C734,Master_Mappings!$N$4:$S$200,6,FALSE()),""))</f>
        <v/>
      </c>
    </row>
    <row r="735" customFormat="false" ht="13.5" hidden="false" customHeight="false" outlineLevel="0" collapsed="false">
      <c r="I735" s="1" t="str">
        <f aca="false">IF($C735="","",IFERROR(VLOOKUP($C735,Master_Mappings!$N$4:$S$200,3,FALSE()),"UNMAPPED"))</f>
        <v/>
      </c>
      <c r="J735" s="1" t="str">
        <f aca="false">IF($C735="","",IFERROR(VLOOKUP($C735,Master_Mappings!$N$4:$S$134,4,FALSE()),""))</f>
        <v/>
      </c>
      <c r="M735" s="0" t="str">
        <f aca="false">IF($C735="","",IFERROR(VLOOKUP($C735,Master_Mappings!$N$4:$S$200,6,FALSE()),""))</f>
        <v/>
      </c>
    </row>
    <row r="736" customFormat="false" ht="13.5" hidden="false" customHeight="false" outlineLevel="0" collapsed="false">
      <c r="I736" s="1" t="str">
        <f aca="false">IF($C736="","",IFERROR(VLOOKUP($C736,Master_Mappings!$N$4:$S$200,3,FALSE()),"UNMAPPED"))</f>
        <v/>
      </c>
      <c r="J736" s="1" t="str">
        <f aca="false">IF($C736="","",IFERROR(VLOOKUP($C736,Master_Mappings!$N$4:$S$134,4,FALSE()),""))</f>
        <v/>
      </c>
      <c r="M736" s="0" t="str">
        <f aca="false">IF($C736="","",IFERROR(VLOOKUP($C736,Master_Mappings!$N$4:$S$200,6,FALSE()),""))</f>
        <v/>
      </c>
    </row>
    <row r="737" customFormat="false" ht="13.5" hidden="false" customHeight="false" outlineLevel="0" collapsed="false">
      <c r="I737" s="1" t="str">
        <f aca="false">IF($C737="","",IFERROR(VLOOKUP($C737,Master_Mappings!$N$4:$S$200,3,FALSE()),"UNMAPPED"))</f>
        <v/>
      </c>
      <c r="J737" s="1" t="str">
        <f aca="false">IF($C737="","",IFERROR(VLOOKUP($C737,Master_Mappings!$N$4:$S$134,4,FALSE()),""))</f>
        <v/>
      </c>
      <c r="M737" s="0" t="str">
        <f aca="false">IF($C737="","",IFERROR(VLOOKUP($C737,Master_Mappings!$N$4:$S$200,6,FALSE()),""))</f>
        <v/>
      </c>
    </row>
    <row r="738" customFormat="false" ht="13.5" hidden="false" customHeight="false" outlineLevel="0" collapsed="false">
      <c r="I738" s="1" t="str">
        <f aca="false">IF($C738="","",IFERROR(VLOOKUP($C738,Master_Mappings!$N$4:$S$200,3,FALSE()),"UNMAPPED"))</f>
        <v/>
      </c>
      <c r="J738" s="1" t="str">
        <f aca="false">IF($C738="","",IFERROR(VLOOKUP($C738,Master_Mappings!$N$4:$S$134,4,FALSE()),""))</f>
        <v/>
      </c>
      <c r="M738" s="0" t="str">
        <f aca="false">IF($C738="","",IFERROR(VLOOKUP($C738,Master_Mappings!$N$4:$S$200,6,FALSE()),""))</f>
        <v/>
      </c>
    </row>
    <row r="739" customFormat="false" ht="13.5" hidden="false" customHeight="false" outlineLevel="0" collapsed="false">
      <c r="I739" s="1" t="str">
        <f aca="false">IF($C739="","",IFERROR(VLOOKUP($C739,Master_Mappings!$N$4:$S$200,3,FALSE()),"UNMAPPED"))</f>
        <v/>
      </c>
      <c r="J739" s="1" t="str">
        <f aca="false">IF($C739="","",IFERROR(VLOOKUP($C739,Master_Mappings!$N$4:$S$134,4,FALSE()),""))</f>
        <v/>
      </c>
      <c r="M739" s="0" t="str">
        <f aca="false">IF($C739="","",IFERROR(VLOOKUP($C739,Master_Mappings!$N$4:$S$200,6,FALSE()),""))</f>
        <v/>
      </c>
    </row>
    <row r="740" customFormat="false" ht="13.5" hidden="false" customHeight="false" outlineLevel="0" collapsed="false">
      <c r="I740" s="1" t="str">
        <f aca="false">IF($C740="","",IFERROR(VLOOKUP($C740,Master_Mappings!$N$4:$S$200,3,FALSE()),"UNMAPPED"))</f>
        <v/>
      </c>
      <c r="J740" s="1" t="str">
        <f aca="false">IF($C740="","",IFERROR(VLOOKUP($C740,Master_Mappings!$N$4:$S$134,4,FALSE()),""))</f>
        <v/>
      </c>
      <c r="M740" s="0" t="str">
        <f aca="false">IF($C740="","",IFERROR(VLOOKUP($C740,Master_Mappings!$N$4:$S$200,6,FALSE()),""))</f>
        <v/>
      </c>
    </row>
    <row r="741" customFormat="false" ht="13.5" hidden="false" customHeight="false" outlineLevel="0" collapsed="false">
      <c r="I741" s="1" t="str">
        <f aca="false">IF($C741="","",IFERROR(VLOOKUP($C741,Master_Mappings!$N$4:$S$200,3,FALSE()),"UNMAPPED"))</f>
        <v/>
      </c>
      <c r="J741" s="1" t="str">
        <f aca="false">IF($C741="","",IFERROR(VLOOKUP($C741,Master_Mappings!$N$4:$S$134,4,FALSE()),""))</f>
        <v/>
      </c>
      <c r="M741" s="0" t="str">
        <f aca="false">IF($C741="","",IFERROR(VLOOKUP($C741,Master_Mappings!$N$4:$S$200,6,FALSE()),""))</f>
        <v/>
      </c>
    </row>
    <row r="742" customFormat="false" ht="13.5" hidden="false" customHeight="false" outlineLevel="0" collapsed="false">
      <c r="I742" s="1" t="str">
        <f aca="false">IF($C742="","",IFERROR(VLOOKUP($C742,Master_Mappings!$N$4:$S$200,3,FALSE()),"UNMAPPED"))</f>
        <v/>
      </c>
      <c r="J742" s="1" t="str">
        <f aca="false">IF($C742="","",IFERROR(VLOOKUP($C742,Master_Mappings!$N$4:$S$134,4,FALSE()),""))</f>
        <v/>
      </c>
      <c r="M742" s="0" t="str">
        <f aca="false">IF($C742="","",IFERROR(VLOOKUP($C742,Master_Mappings!$N$4:$S$200,6,FALSE()),""))</f>
        <v/>
      </c>
    </row>
    <row r="743" customFormat="false" ht="13.5" hidden="false" customHeight="false" outlineLevel="0" collapsed="false">
      <c r="I743" s="1" t="str">
        <f aca="false">IF($C743="","",IFERROR(VLOOKUP($C743,Master_Mappings!$N$4:$S$200,3,FALSE()),"UNMAPPED"))</f>
        <v/>
      </c>
      <c r="J743" s="1" t="str">
        <f aca="false">IF($C743="","",IFERROR(VLOOKUP($C743,Master_Mappings!$N$4:$S$134,4,FALSE()),""))</f>
        <v/>
      </c>
      <c r="M743" s="0" t="str">
        <f aca="false">IF($C743="","",IFERROR(VLOOKUP($C743,Master_Mappings!$N$4:$S$200,6,FALSE()),""))</f>
        <v/>
      </c>
    </row>
    <row r="744" customFormat="false" ht="13.5" hidden="false" customHeight="false" outlineLevel="0" collapsed="false">
      <c r="I744" s="1" t="str">
        <f aca="false">IF($C744="","",IFERROR(VLOOKUP($C744,Master_Mappings!$N$4:$S$200,3,FALSE()),"UNMAPPED"))</f>
        <v/>
      </c>
      <c r="J744" s="1" t="str">
        <f aca="false">IF($C744="","",IFERROR(VLOOKUP($C744,Master_Mappings!$N$4:$S$134,4,FALSE()),""))</f>
        <v/>
      </c>
      <c r="M744" s="0" t="str">
        <f aca="false">IF($C744="","",IFERROR(VLOOKUP($C744,Master_Mappings!$N$4:$S$200,6,FALSE()),""))</f>
        <v/>
      </c>
    </row>
    <row r="745" customFormat="false" ht="13.5" hidden="false" customHeight="false" outlineLevel="0" collapsed="false">
      <c r="I745" s="1" t="str">
        <f aca="false">IF($C745="","",IFERROR(VLOOKUP($C745,Master_Mappings!$N$4:$S$200,3,FALSE()),"UNMAPPED"))</f>
        <v/>
      </c>
      <c r="J745" s="1" t="str">
        <f aca="false">IF($C745="","",IFERROR(VLOOKUP($C745,Master_Mappings!$N$4:$S$134,4,FALSE()),""))</f>
        <v/>
      </c>
      <c r="M745" s="0" t="str">
        <f aca="false">IF($C745="","",IFERROR(VLOOKUP($C745,Master_Mappings!$N$4:$S$200,6,FALSE()),""))</f>
        <v/>
      </c>
    </row>
    <row r="746" customFormat="false" ht="13.5" hidden="false" customHeight="false" outlineLevel="0" collapsed="false">
      <c r="I746" s="1" t="str">
        <f aca="false">IF($C746="","",IFERROR(VLOOKUP($C746,Master_Mappings!$N$4:$S$200,3,FALSE()),"UNMAPPED"))</f>
        <v/>
      </c>
      <c r="J746" s="1" t="str">
        <f aca="false">IF($C746="","",IFERROR(VLOOKUP($C746,Master_Mappings!$N$4:$S$134,4,FALSE()),""))</f>
        <v/>
      </c>
      <c r="M746" s="0" t="str">
        <f aca="false">IF($C746="","",IFERROR(VLOOKUP($C746,Master_Mappings!$N$4:$S$200,6,FALSE()),""))</f>
        <v/>
      </c>
    </row>
    <row r="747" customFormat="false" ht="13.5" hidden="false" customHeight="false" outlineLevel="0" collapsed="false">
      <c r="I747" s="1" t="str">
        <f aca="false">IF($C747="","",IFERROR(VLOOKUP($C747,Master_Mappings!$N$4:$S$200,3,FALSE()),"UNMAPPED"))</f>
        <v/>
      </c>
      <c r="J747" s="1" t="str">
        <f aca="false">IF($C747="","",IFERROR(VLOOKUP($C747,Master_Mappings!$N$4:$S$134,4,FALSE()),""))</f>
        <v/>
      </c>
      <c r="M747" s="0" t="str">
        <f aca="false">IF($C747="","",IFERROR(VLOOKUP($C747,Master_Mappings!$N$4:$S$200,6,FALSE()),""))</f>
        <v/>
      </c>
    </row>
    <row r="748" customFormat="false" ht="13.5" hidden="false" customHeight="false" outlineLevel="0" collapsed="false">
      <c r="I748" s="1" t="str">
        <f aca="false">IF($C748="","",IFERROR(VLOOKUP($C748,Master_Mappings!$N$4:$S$200,3,FALSE()),"UNMAPPED"))</f>
        <v/>
      </c>
      <c r="J748" s="1" t="str">
        <f aca="false">IF($C748="","",IFERROR(VLOOKUP($C748,Master_Mappings!$N$4:$S$134,4,FALSE()),""))</f>
        <v/>
      </c>
      <c r="M748" s="0" t="str">
        <f aca="false">IF($C748="","",IFERROR(VLOOKUP($C748,Master_Mappings!$N$4:$S$200,6,FALSE()),""))</f>
        <v/>
      </c>
    </row>
    <row r="749" customFormat="false" ht="13.5" hidden="false" customHeight="false" outlineLevel="0" collapsed="false">
      <c r="I749" s="1" t="str">
        <f aca="false">IF($C749="","",IFERROR(VLOOKUP($C749,Master_Mappings!$N$4:$S$200,3,FALSE()),"UNMAPPED"))</f>
        <v/>
      </c>
      <c r="J749" s="1" t="str">
        <f aca="false">IF($C749="","",IFERROR(VLOOKUP($C749,Master_Mappings!$N$4:$S$134,4,FALSE()),""))</f>
        <v/>
      </c>
      <c r="M749" s="0" t="str">
        <f aca="false">IF($C749="","",IFERROR(VLOOKUP($C749,Master_Mappings!$N$4:$S$200,6,FALSE()),""))</f>
        <v/>
      </c>
    </row>
    <row r="750" customFormat="false" ht="13.5" hidden="false" customHeight="false" outlineLevel="0" collapsed="false">
      <c r="I750" s="1" t="str">
        <f aca="false">IF($C750="","",IFERROR(VLOOKUP($C750,Master_Mappings!$N$4:$S$200,3,FALSE()),"UNMAPPED"))</f>
        <v/>
      </c>
      <c r="J750" s="1" t="str">
        <f aca="false">IF($C750="","",IFERROR(VLOOKUP($C750,Master_Mappings!$N$4:$S$134,4,FALSE()),""))</f>
        <v/>
      </c>
      <c r="M750" s="0" t="str">
        <f aca="false">IF($C750="","",IFERROR(VLOOKUP($C750,Master_Mappings!$N$4:$S$200,6,FALSE()),""))</f>
        <v/>
      </c>
    </row>
    <row r="751" customFormat="false" ht="13.5" hidden="false" customHeight="false" outlineLevel="0" collapsed="false">
      <c r="I751" s="1" t="str">
        <f aca="false">IF($C751="","",IFERROR(VLOOKUP($C751,Master_Mappings!$N$4:$S$200,3,FALSE()),"UNMAPPED"))</f>
        <v/>
      </c>
      <c r="J751" s="1" t="str">
        <f aca="false">IF($C751="","",IFERROR(VLOOKUP($C751,Master_Mappings!$N$4:$S$134,4,FALSE()),""))</f>
        <v/>
      </c>
      <c r="M751" s="0" t="str">
        <f aca="false">IF($C751="","",IFERROR(VLOOKUP($C751,Master_Mappings!$N$4:$S$200,6,FALSE()),""))</f>
        <v/>
      </c>
    </row>
    <row r="752" customFormat="false" ht="13.5" hidden="false" customHeight="false" outlineLevel="0" collapsed="false">
      <c r="I752" s="1" t="str">
        <f aca="false">IF($C752="","",IFERROR(VLOOKUP($C752,Master_Mappings!$N$4:$S$200,3,FALSE()),"UNMAPPED"))</f>
        <v/>
      </c>
      <c r="J752" s="1" t="str">
        <f aca="false">IF($C752="","",IFERROR(VLOOKUP($C752,Master_Mappings!$N$4:$S$134,4,FALSE()),""))</f>
        <v/>
      </c>
      <c r="M752" s="0" t="str">
        <f aca="false">IF($C752="","",IFERROR(VLOOKUP($C752,Master_Mappings!$N$4:$S$200,6,FALSE()),""))</f>
        <v/>
      </c>
    </row>
    <row r="753" customFormat="false" ht="13.5" hidden="false" customHeight="false" outlineLevel="0" collapsed="false">
      <c r="I753" s="1" t="str">
        <f aca="false">IF($C753="","",IFERROR(VLOOKUP($C753,Master_Mappings!$N$4:$S$200,3,FALSE()),"UNMAPPED"))</f>
        <v/>
      </c>
      <c r="J753" s="1" t="str">
        <f aca="false">IF($C753="","",IFERROR(VLOOKUP($C753,Master_Mappings!$N$4:$S$134,4,FALSE()),""))</f>
        <v/>
      </c>
      <c r="M753" s="0" t="str">
        <f aca="false">IF($C753="","",IFERROR(VLOOKUP($C753,Master_Mappings!$N$4:$S$200,6,FALSE()),""))</f>
        <v/>
      </c>
    </row>
    <row r="754" customFormat="false" ht="13.5" hidden="false" customHeight="false" outlineLevel="0" collapsed="false">
      <c r="I754" s="1" t="str">
        <f aca="false">IF($C754="","",IFERROR(VLOOKUP($C754,Master_Mappings!$N$4:$S$200,3,FALSE()),"UNMAPPED"))</f>
        <v/>
      </c>
      <c r="J754" s="1" t="str">
        <f aca="false">IF($C754="","",IFERROR(VLOOKUP($C754,Master_Mappings!$N$4:$S$134,4,FALSE()),""))</f>
        <v/>
      </c>
      <c r="M754" s="0" t="str">
        <f aca="false">IF($C754="","",IFERROR(VLOOKUP($C754,Master_Mappings!$N$4:$S$200,6,FALSE()),""))</f>
        <v/>
      </c>
    </row>
    <row r="755" customFormat="false" ht="13.5" hidden="false" customHeight="false" outlineLevel="0" collapsed="false">
      <c r="I755" s="1" t="str">
        <f aca="false">IF($C755="","",IFERROR(VLOOKUP($C755,Master_Mappings!$N$4:$S$200,3,FALSE()),"UNMAPPED"))</f>
        <v/>
      </c>
      <c r="J755" s="1" t="str">
        <f aca="false">IF($C755="","",IFERROR(VLOOKUP($C755,Master_Mappings!$N$4:$S$134,4,FALSE()),""))</f>
        <v/>
      </c>
      <c r="M755" s="0" t="str">
        <f aca="false">IF($C755="","",IFERROR(VLOOKUP($C755,Master_Mappings!$N$4:$S$200,6,FALSE()),""))</f>
        <v/>
      </c>
    </row>
    <row r="756" customFormat="false" ht="13.5" hidden="false" customHeight="false" outlineLevel="0" collapsed="false">
      <c r="I756" s="1" t="str">
        <f aca="false">IF($C756="","",IFERROR(VLOOKUP($C756,Master_Mappings!$N$4:$S$200,3,FALSE()),"UNMAPPED"))</f>
        <v/>
      </c>
      <c r="J756" s="1" t="str">
        <f aca="false">IF($C756="","",IFERROR(VLOOKUP($C756,Master_Mappings!$N$4:$S$134,4,FALSE()),""))</f>
        <v/>
      </c>
      <c r="M756" s="0" t="str">
        <f aca="false">IF($C756="","",IFERROR(VLOOKUP($C756,Master_Mappings!$N$4:$S$200,6,FALSE()),""))</f>
        <v/>
      </c>
    </row>
    <row r="757" customFormat="false" ht="13.5" hidden="false" customHeight="false" outlineLevel="0" collapsed="false">
      <c r="I757" s="1" t="str">
        <f aca="false">IF($C757="","",IFERROR(VLOOKUP($C757,Master_Mappings!$N$4:$S$200,3,FALSE()),"UNMAPPED"))</f>
        <v/>
      </c>
      <c r="J757" s="1" t="str">
        <f aca="false">IF($C757="","",IFERROR(VLOOKUP($C757,Master_Mappings!$N$4:$S$134,4,FALSE()),""))</f>
        <v/>
      </c>
      <c r="M757" s="0" t="str">
        <f aca="false">IF($C757="","",IFERROR(VLOOKUP($C757,Master_Mappings!$N$4:$S$200,6,FALSE()),""))</f>
        <v/>
      </c>
    </row>
    <row r="758" customFormat="false" ht="13.5" hidden="false" customHeight="false" outlineLevel="0" collapsed="false">
      <c r="I758" s="1" t="str">
        <f aca="false">IF($C758="","",IFERROR(VLOOKUP($C758,Master_Mappings!$N$4:$S$200,3,FALSE()),"UNMAPPED"))</f>
        <v/>
      </c>
      <c r="J758" s="1" t="str">
        <f aca="false">IF($C758="","",IFERROR(VLOOKUP($C758,Master_Mappings!$N$4:$S$134,4,FALSE()),""))</f>
        <v/>
      </c>
      <c r="M758" s="0" t="str">
        <f aca="false">IF($C758="","",IFERROR(VLOOKUP($C758,Master_Mappings!$N$4:$S$200,6,FALSE()),""))</f>
        <v/>
      </c>
    </row>
    <row r="759" customFormat="false" ht="13.5" hidden="false" customHeight="false" outlineLevel="0" collapsed="false">
      <c r="I759" s="1" t="str">
        <f aca="false">IF($C759="","",IFERROR(VLOOKUP($C759,Master_Mappings!$N$4:$S$200,3,FALSE()),"UNMAPPED"))</f>
        <v/>
      </c>
      <c r="J759" s="1" t="str">
        <f aca="false">IF($C759="","",IFERROR(VLOOKUP($C759,Master_Mappings!$N$4:$S$134,4,FALSE()),""))</f>
        <v/>
      </c>
      <c r="M759" s="0" t="str">
        <f aca="false">IF($C759="","",IFERROR(VLOOKUP($C759,Master_Mappings!$N$4:$S$200,6,FALSE()),""))</f>
        <v/>
      </c>
    </row>
    <row r="760" customFormat="false" ht="13.5" hidden="false" customHeight="false" outlineLevel="0" collapsed="false">
      <c r="I760" s="1" t="str">
        <f aca="false">IF($C760="","",IFERROR(VLOOKUP($C760,Master_Mappings!$N$4:$S$200,3,FALSE()),"UNMAPPED"))</f>
        <v/>
      </c>
      <c r="J760" s="1" t="str">
        <f aca="false">IF($C760="","",IFERROR(VLOOKUP($C760,Master_Mappings!$N$4:$S$134,4,FALSE()),""))</f>
        <v/>
      </c>
      <c r="M760" s="0" t="str">
        <f aca="false">IF($C760="","",IFERROR(VLOOKUP($C760,Master_Mappings!$N$4:$S$200,6,FALSE()),""))</f>
        <v/>
      </c>
    </row>
    <row r="761" customFormat="false" ht="13.5" hidden="false" customHeight="false" outlineLevel="0" collapsed="false">
      <c r="I761" s="1" t="str">
        <f aca="false">IF($C761="","",IFERROR(VLOOKUP($C761,Master_Mappings!$N$4:$S$200,3,FALSE()),"UNMAPPED"))</f>
        <v/>
      </c>
      <c r="J761" s="1" t="str">
        <f aca="false">IF($C761="","",IFERROR(VLOOKUP($C761,Master_Mappings!$N$4:$S$134,4,FALSE()),""))</f>
        <v/>
      </c>
      <c r="M761" s="0" t="str">
        <f aca="false">IF($C761="","",IFERROR(VLOOKUP($C761,Master_Mappings!$N$4:$S$200,6,FALSE()),""))</f>
        <v/>
      </c>
    </row>
    <row r="762" customFormat="false" ht="13.5" hidden="false" customHeight="false" outlineLevel="0" collapsed="false">
      <c r="I762" s="1" t="str">
        <f aca="false">IF($C762="","",IFERROR(VLOOKUP($C762,Master_Mappings!$N$4:$S$200,3,FALSE()),"UNMAPPED"))</f>
        <v/>
      </c>
      <c r="J762" s="1" t="str">
        <f aca="false">IF($C762="","",IFERROR(VLOOKUP($C762,Master_Mappings!$N$4:$S$134,4,FALSE()),""))</f>
        <v/>
      </c>
      <c r="M762" s="0" t="str">
        <f aca="false">IF($C762="","",IFERROR(VLOOKUP($C762,Master_Mappings!$N$4:$S$200,6,FALSE()),""))</f>
        <v/>
      </c>
    </row>
    <row r="763" customFormat="false" ht="13.5" hidden="false" customHeight="false" outlineLevel="0" collapsed="false">
      <c r="I763" s="1" t="str">
        <f aca="false">IF($C763="","",IFERROR(VLOOKUP($C763,Master_Mappings!$N$4:$S$200,3,FALSE()),"UNMAPPED"))</f>
        <v/>
      </c>
      <c r="J763" s="1" t="str">
        <f aca="false">IF($C763="","",IFERROR(VLOOKUP($C763,Master_Mappings!$N$4:$S$134,4,FALSE()),""))</f>
        <v/>
      </c>
      <c r="M763" s="0" t="str">
        <f aca="false">IF($C763="","",IFERROR(VLOOKUP($C763,Master_Mappings!$N$4:$S$200,6,FALSE()),""))</f>
        <v/>
      </c>
    </row>
    <row r="764" customFormat="false" ht="13.5" hidden="false" customHeight="false" outlineLevel="0" collapsed="false">
      <c r="I764" s="1" t="str">
        <f aca="false">IF($C764="","",IFERROR(VLOOKUP($C764,Master_Mappings!$N$4:$S$200,3,FALSE()),"UNMAPPED"))</f>
        <v/>
      </c>
      <c r="J764" s="1" t="str">
        <f aca="false">IF($C764="","",IFERROR(VLOOKUP($C764,Master_Mappings!$N$4:$S$134,4,FALSE()),""))</f>
        <v/>
      </c>
      <c r="M764" s="0" t="str">
        <f aca="false">IF($C764="","",IFERROR(VLOOKUP($C764,Master_Mappings!$N$4:$S$200,6,FALSE()),""))</f>
        <v/>
      </c>
    </row>
    <row r="765" customFormat="false" ht="13.5" hidden="false" customHeight="false" outlineLevel="0" collapsed="false">
      <c r="I765" s="1" t="str">
        <f aca="false">IF($C765="","",IFERROR(VLOOKUP($C765,Master_Mappings!$N$4:$S$200,3,FALSE()),"UNMAPPED"))</f>
        <v/>
      </c>
      <c r="J765" s="1" t="str">
        <f aca="false">IF($C765="","",IFERROR(VLOOKUP($C765,Master_Mappings!$N$4:$S$134,4,FALSE()),""))</f>
        <v/>
      </c>
      <c r="M765" s="0" t="str">
        <f aca="false">IF($C765="","",IFERROR(VLOOKUP($C765,Master_Mappings!$N$4:$S$200,6,FALSE()),""))</f>
        <v/>
      </c>
    </row>
    <row r="766" customFormat="false" ht="13.5" hidden="false" customHeight="false" outlineLevel="0" collapsed="false">
      <c r="I766" s="1" t="str">
        <f aca="false">IF($C766="","",IFERROR(VLOOKUP($C766,Master_Mappings!$N$4:$S$200,3,FALSE()),"UNMAPPED"))</f>
        <v/>
      </c>
      <c r="J766" s="1" t="str">
        <f aca="false">IF($C766="","",IFERROR(VLOOKUP($C766,Master_Mappings!$N$4:$S$134,4,FALSE()),""))</f>
        <v/>
      </c>
      <c r="M766" s="0" t="str">
        <f aca="false">IF($C766="","",IFERROR(VLOOKUP($C766,Master_Mappings!$N$4:$S$200,6,FALSE()),""))</f>
        <v/>
      </c>
    </row>
    <row r="767" customFormat="false" ht="13.5" hidden="false" customHeight="false" outlineLevel="0" collapsed="false">
      <c r="I767" s="1" t="str">
        <f aca="false">IF($C767="","",IFERROR(VLOOKUP($C767,Master_Mappings!$N$4:$S$200,3,FALSE()),"UNMAPPED"))</f>
        <v/>
      </c>
      <c r="J767" s="1" t="str">
        <f aca="false">IF($C767="","",IFERROR(VLOOKUP($C767,Master_Mappings!$N$4:$S$134,4,FALSE()),""))</f>
        <v/>
      </c>
      <c r="M767" s="0" t="str">
        <f aca="false">IF($C767="","",IFERROR(VLOOKUP($C767,Master_Mappings!$N$4:$S$200,6,FALSE()),""))</f>
        <v/>
      </c>
    </row>
    <row r="768" customFormat="false" ht="13.5" hidden="false" customHeight="false" outlineLevel="0" collapsed="false">
      <c r="I768" s="1" t="str">
        <f aca="false">IF($C768="","",IFERROR(VLOOKUP($C768,Master_Mappings!$N$4:$S$200,3,FALSE()),"UNMAPPED"))</f>
        <v/>
      </c>
      <c r="J768" s="1" t="str">
        <f aca="false">IF($C768="","",IFERROR(VLOOKUP($C768,Master_Mappings!$N$4:$S$134,4,FALSE()),""))</f>
        <v/>
      </c>
      <c r="M768" s="0" t="str">
        <f aca="false">IF($C768="","",IFERROR(VLOOKUP($C768,Master_Mappings!$N$4:$S$200,6,FALSE()),""))</f>
        <v/>
      </c>
    </row>
    <row r="769" customFormat="false" ht="13.5" hidden="false" customHeight="false" outlineLevel="0" collapsed="false">
      <c r="I769" s="1" t="str">
        <f aca="false">IF($C769="","",IFERROR(VLOOKUP($C769,Master_Mappings!$N$4:$S$200,3,FALSE()),"UNMAPPED"))</f>
        <v/>
      </c>
      <c r="J769" s="1" t="str">
        <f aca="false">IF($C769="","",IFERROR(VLOOKUP($C769,Master_Mappings!$N$4:$S$134,4,FALSE()),""))</f>
        <v/>
      </c>
      <c r="M769" s="0" t="str">
        <f aca="false">IF($C769="","",IFERROR(VLOOKUP($C769,Master_Mappings!$N$4:$S$200,6,FALSE()),""))</f>
        <v/>
      </c>
    </row>
    <row r="770" customFormat="false" ht="13.5" hidden="false" customHeight="false" outlineLevel="0" collapsed="false">
      <c r="I770" s="1" t="str">
        <f aca="false">IF($C770="","",IFERROR(VLOOKUP($C770,Master_Mappings!$N$4:$S$200,3,FALSE()),"UNMAPPED"))</f>
        <v/>
      </c>
      <c r="J770" s="1" t="str">
        <f aca="false">IF($C770="","",IFERROR(VLOOKUP($C770,Master_Mappings!$N$4:$S$134,4,FALSE()),""))</f>
        <v/>
      </c>
      <c r="M770" s="0" t="str">
        <f aca="false">IF($C770="","",IFERROR(VLOOKUP($C770,Master_Mappings!$N$4:$S$200,6,FALSE()),""))</f>
        <v/>
      </c>
    </row>
    <row r="771" customFormat="false" ht="13.5" hidden="false" customHeight="false" outlineLevel="0" collapsed="false">
      <c r="I771" s="1" t="str">
        <f aca="false">IF($C771="","",IFERROR(VLOOKUP($C771,Master_Mappings!$N$4:$S$200,3,FALSE()),"UNMAPPED"))</f>
        <v/>
      </c>
      <c r="J771" s="1" t="str">
        <f aca="false">IF($C771="","",IFERROR(VLOOKUP($C771,Master_Mappings!$N$4:$S$134,4,FALSE()),""))</f>
        <v/>
      </c>
      <c r="M771" s="0" t="str">
        <f aca="false">IF($C771="","",IFERROR(VLOOKUP($C771,Master_Mappings!$N$4:$S$200,6,FALSE()),""))</f>
        <v/>
      </c>
    </row>
    <row r="772" customFormat="false" ht="13.5" hidden="false" customHeight="false" outlineLevel="0" collapsed="false">
      <c r="I772" s="1" t="str">
        <f aca="false">IF($C772="","",IFERROR(VLOOKUP($C772,Master_Mappings!$N$4:$S$200,3,FALSE()),"UNMAPPED"))</f>
        <v/>
      </c>
      <c r="J772" s="1" t="str">
        <f aca="false">IF($C772="","",IFERROR(VLOOKUP($C772,Master_Mappings!$N$4:$S$134,4,FALSE()),""))</f>
        <v/>
      </c>
      <c r="M772" s="0" t="str">
        <f aca="false">IF($C772="","",IFERROR(VLOOKUP($C772,Master_Mappings!$N$4:$S$200,6,FALSE()),""))</f>
        <v/>
      </c>
    </row>
    <row r="773" customFormat="false" ht="13.5" hidden="false" customHeight="false" outlineLevel="0" collapsed="false">
      <c r="I773" s="1" t="str">
        <f aca="false">IF($C773="","",IFERROR(VLOOKUP($C773,Master_Mappings!$N$4:$S$200,3,FALSE()),"UNMAPPED"))</f>
        <v/>
      </c>
      <c r="J773" s="1" t="str">
        <f aca="false">IF($C773="","",IFERROR(VLOOKUP($C773,Master_Mappings!$N$4:$S$134,4,FALSE()),""))</f>
        <v/>
      </c>
      <c r="M773" s="0" t="str">
        <f aca="false">IF($C773="","",IFERROR(VLOOKUP($C773,Master_Mappings!$N$4:$S$200,6,FALSE()),""))</f>
        <v/>
      </c>
    </row>
    <row r="774" customFormat="false" ht="13.5" hidden="false" customHeight="false" outlineLevel="0" collapsed="false">
      <c r="I774" s="1" t="str">
        <f aca="false">IF($C774="","",IFERROR(VLOOKUP($C774,Master_Mappings!$N$4:$S$200,3,FALSE()),"UNMAPPED"))</f>
        <v/>
      </c>
      <c r="J774" s="1" t="str">
        <f aca="false">IF($C774="","",IFERROR(VLOOKUP($C774,Master_Mappings!$N$4:$S$134,4,FALSE()),""))</f>
        <v/>
      </c>
      <c r="M774" s="0" t="str">
        <f aca="false">IF($C774="","",IFERROR(VLOOKUP($C774,Master_Mappings!$N$4:$S$200,6,FALSE()),""))</f>
        <v/>
      </c>
    </row>
    <row r="775" customFormat="false" ht="13.5" hidden="false" customHeight="false" outlineLevel="0" collapsed="false">
      <c r="I775" s="1" t="str">
        <f aca="false">IF($C775="","",IFERROR(VLOOKUP($C775,Master_Mappings!$N$4:$S$200,3,FALSE()),"UNMAPPED"))</f>
        <v/>
      </c>
      <c r="J775" s="1" t="str">
        <f aca="false">IF($C775="","",IFERROR(VLOOKUP($C775,Master_Mappings!$N$4:$S$134,4,FALSE()),""))</f>
        <v/>
      </c>
      <c r="M775" s="0" t="str">
        <f aca="false">IF($C775="","",IFERROR(VLOOKUP($C775,Master_Mappings!$N$4:$S$200,6,FALSE()),""))</f>
        <v/>
      </c>
    </row>
    <row r="776" customFormat="false" ht="13.5" hidden="false" customHeight="false" outlineLevel="0" collapsed="false">
      <c r="I776" s="1" t="str">
        <f aca="false">IF($C776="","",IFERROR(VLOOKUP($C776,Master_Mappings!$N$4:$S$200,3,FALSE()),"UNMAPPED"))</f>
        <v/>
      </c>
      <c r="J776" s="1" t="str">
        <f aca="false">IF($C776="","",IFERROR(VLOOKUP($C776,Master_Mappings!$N$4:$S$134,4,FALSE()),""))</f>
        <v/>
      </c>
      <c r="M776" s="0" t="str">
        <f aca="false">IF($C776="","",IFERROR(VLOOKUP($C776,Master_Mappings!$N$4:$S$200,6,FALSE()),""))</f>
        <v/>
      </c>
    </row>
    <row r="777" customFormat="false" ht="13.5" hidden="false" customHeight="false" outlineLevel="0" collapsed="false">
      <c r="I777" s="1" t="str">
        <f aca="false">IF($C777="","",IFERROR(VLOOKUP($C777,Master_Mappings!$N$4:$S$200,3,FALSE()),"UNMAPPED"))</f>
        <v/>
      </c>
      <c r="J777" s="1" t="str">
        <f aca="false">IF($C777="","",IFERROR(VLOOKUP($C777,Master_Mappings!$N$4:$S$134,4,FALSE()),""))</f>
        <v/>
      </c>
      <c r="M777" s="0" t="str">
        <f aca="false">IF($C777="","",IFERROR(VLOOKUP($C777,Master_Mappings!$N$4:$S$200,6,FALSE()),""))</f>
        <v/>
      </c>
    </row>
    <row r="778" customFormat="false" ht="13.5" hidden="false" customHeight="false" outlineLevel="0" collapsed="false">
      <c r="I778" s="1" t="str">
        <f aca="false">IF($C778="","",IFERROR(VLOOKUP($C778,Master_Mappings!$N$4:$S$200,3,FALSE()),"UNMAPPED"))</f>
        <v/>
      </c>
      <c r="J778" s="1" t="str">
        <f aca="false">IF($C778="","",IFERROR(VLOOKUP($C778,Master_Mappings!$N$4:$S$134,4,FALSE()),""))</f>
        <v/>
      </c>
      <c r="M778" s="0" t="str">
        <f aca="false">IF($C778="","",IFERROR(VLOOKUP($C778,Master_Mappings!$N$4:$S$200,6,FALSE()),""))</f>
        <v/>
      </c>
    </row>
    <row r="779" customFormat="false" ht="13.5" hidden="false" customHeight="false" outlineLevel="0" collapsed="false">
      <c r="I779" s="1" t="str">
        <f aca="false">IF($C779="","",IFERROR(VLOOKUP($C779,Master_Mappings!$N$4:$S$200,3,FALSE()),"UNMAPPED"))</f>
        <v/>
      </c>
      <c r="J779" s="1" t="str">
        <f aca="false">IF($C779="","",IFERROR(VLOOKUP($C779,Master_Mappings!$N$4:$S$134,4,FALSE()),""))</f>
        <v/>
      </c>
      <c r="M779" s="0" t="str">
        <f aca="false">IF($C779="","",IFERROR(VLOOKUP($C779,Master_Mappings!$N$4:$S$200,6,FALSE()),""))</f>
        <v/>
      </c>
    </row>
    <row r="780" customFormat="false" ht="13.5" hidden="false" customHeight="false" outlineLevel="0" collapsed="false">
      <c r="I780" s="1" t="str">
        <f aca="false">IF($C780="","",IFERROR(VLOOKUP($C780,Master_Mappings!$N$4:$S$200,3,FALSE()),"UNMAPPED"))</f>
        <v/>
      </c>
      <c r="J780" s="1" t="str">
        <f aca="false">IF($C780="","",IFERROR(VLOOKUP($C780,Master_Mappings!$N$4:$S$134,4,FALSE()),""))</f>
        <v/>
      </c>
      <c r="M780" s="0" t="str">
        <f aca="false">IF($C780="","",IFERROR(VLOOKUP($C780,Master_Mappings!$N$4:$S$200,6,FALSE()),""))</f>
        <v/>
      </c>
    </row>
    <row r="781" customFormat="false" ht="13.5" hidden="false" customHeight="false" outlineLevel="0" collapsed="false">
      <c r="I781" s="1" t="str">
        <f aca="false">IF($C781="","",IFERROR(VLOOKUP($C781,Master_Mappings!$N$4:$S$200,3,FALSE()),"UNMAPPED"))</f>
        <v/>
      </c>
      <c r="J781" s="1" t="str">
        <f aca="false">IF($C781="","",IFERROR(VLOOKUP($C781,Master_Mappings!$N$4:$S$134,4,FALSE()),""))</f>
        <v/>
      </c>
      <c r="M781" s="0" t="str">
        <f aca="false">IF($C781="","",IFERROR(VLOOKUP($C781,Master_Mappings!$N$4:$S$200,6,FALSE()),""))</f>
        <v/>
      </c>
    </row>
    <row r="782" customFormat="false" ht="13.5" hidden="false" customHeight="false" outlineLevel="0" collapsed="false">
      <c r="I782" s="1" t="str">
        <f aca="false">IF($C782="","",IFERROR(VLOOKUP($C782,Master_Mappings!$N$4:$S$200,3,FALSE()),"UNMAPPED"))</f>
        <v/>
      </c>
      <c r="J782" s="1" t="str">
        <f aca="false">IF($C782="","",IFERROR(VLOOKUP($C782,Master_Mappings!$N$4:$S$134,4,FALSE()),""))</f>
        <v/>
      </c>
      <c r="M782" s="0" t="str">
        <f aca="false">IF($C782="","",IFERROR(VLOOKUP($C782,Master_Mappings!$N$4:$S$200,6,FALSE()),""))</f>
        <v/>
      </c>
    </row>
    <row r="783" customFormat="false" ht="13.5" hidden="false" customHeight="false" outlineLevel="0" collapsed="false">
      <c r="I783" s="1" t="str">
        <f aca="false">IF($C783="","",IFERROR(VLOOKUP($C783,Master_Mappings!$N$4:$S$200,3,FALSE()),"UNMAPPED"))</f>
        <v/>
      </c>
      <c r="J783" s="1" t="str">
        <f aca="false">IF($C783="","",IFERROR(VLOOKUP($C783,Master_Mappings!$N$4:$S$134,4,FALSE()),""))</f>
        <v/>
      </c>
      <c r="M783" s="0" t="str">
        <f aca="false">IF($C783="","",IFERROR(VLOOKUP($C783,Master_Mappings!$N$4:$S$200,6,FALSE()),""))</f>
        <v/>
      </c>
    </row>
    <row r="784" customFormat="false" ht="13.5" hidden="false" customHeight="false" outlineLevel="0" collapsed="false">
      <c r="I784" s="1" t="str">
        <f aca="false">IF($C784="","",IFERROR(VLOOKUP($C784,Master_Mappings!$N$4:$S$200,3,FALSE()),"UNMAPPED"))</f>
        <v/>
      </c>
      <c r="J784" s="1" t="str">
        <f aca="false">IF($C784="","",IFERROR(VLOOKUP($C784,Master_Mappings!$N$4:$S$134,4,FALSE()),""))</f>
        <v/>
      </c>
      <c r="M784" s="0" t="str">
        <f aca="false">IF($C784="","",IFERROR(VLOOKUP($C784,Master_Mappings!$N$4:$S$200,6,FALSE()),""))</f>
        <v/>
      </c>
    </row>
    <row r="785" customFormat="false" ht="13.5" hidden="false" customHeight="false" outlineLevel="0" collapsed="false">
      <c r="I785" s="1" t="str">
        <f aca="false">IF($C785="","",IFERROR(VLOOKUP($C785,Master_Mappings!$N$4:$S$200,3,FALSE()),"UNMAPPED"))</f>
        <v/>
      </c>
      <c r="J785" s="1" t="str">
        <f aca="false">IF($C785="","",IFERROR(VLOOKUP($C785,Master_Mappings!$N$4:$S$134,4,FALSE()),""))</f>
        <v/>
      </c>
      <c r="M785" s="0" t="str">
        <f aca="false">IF($C785="","",IFERROR(VLOOKUP($C785,Master_Mappings!$N$4:$S$200,6,FALSE()),""))</f>
        <v/>
      </c>
    </row>
    <row r="786" customFormat="false" ht="13.5" hidden="false" customHeight="false" outlineLevel="0" collapsed="false">
      <c r="I786" s="1" t="str">
        <f aca="false">IF($C786="","",IFERROR(VLOOKUP($C786,Master_Mappings!$N$4:$S$200,3,FALSE()),"UNMAPPED"))</f>
        <v/>
      </c>
      <c r="J786" s="1" t="str">
        <f aca="false">IF($C786="","",IFERROR(VLOOKUP($C786,Master_Mappings!$N$4:$S$134,4,FALSE()),""))</f>
        <v/>
      </c>
      <c r="M786" s="0" t="str">
        <f aca="false">IF($C786="","",IFERROR(VLOOKUP($C786,Master_Mappings!$N$4:$S$200,6,FALSE()),""))</f>
        <v/>
      </c>
    </row>
    <row r="787" customFormat="false" ht="13.5" hidden="false" customHeight="false" outlineLevel="0" collapsed="false">
      <c r="I787" s="1" t="str">
        <f aca="false">IF($C787="","",IFERROR(VLOOKUP($C787,Master_Mappings!$N$4:$S$200,3,FALSE()),"UNMAPPED"))</f>
        <v/>
      </c>
      <c r="J787" s="1" t="str">
        <f aca="false">IF($C787="","",IFERROR(VLOOKUP($C787,Master_Mappings!$N$4:$S$134,4,FALSE()),""))</f>
        <v/>
      </c>
      <c r="M787" s="0" t="str">
        <f aca="false">IF($C787="","",IFERROR(VLOOKUP($C787,Master_Mappings!$N$4:$S$200,6,FALSE()),""))</f>
        <v/>
      </c>
    </row>
    <row r="788" customFormat="false" ht="13.5" hidden="false" customHeight="false" outlineLevel="0" collapsed="false">
      <c r="I788" s="1" t="str">
        <f aca="false">IF($C788="","",IFERROR(VLOOKUP($C788,Master_Mappings!$N$4:$S$200,3,FALSE()),"UNMAPPED"))</f>
        <v/>
      </c>
      <c r="J788" s="1" t="str">
        <f aca="false">IF($C788="","",IFERROR(VLOOKUP($C788,Master_Mappings!$N$4:$S$134,4,FALSE()),""))</f>
        <v/>
      </c>
      <c r="M788" s="0" t="str">
        <f aca="false">IF($C788="","",IFERROR(VLOOKUP($C788,Master_Mappings!$N$4:$S$200,6,FALSE()),""))</f>
        <v/>
      </c>
    </row>
    <row r="789" customFormat="false" ht="13.5" hidden="false" customHeight="false" outlineLevel="0" collapsed="false">
      <c r="I789" s="1" t="str">
        <f aca="false">IF($C789="","",IFERROR(VLOOKUP($C789,Master_Mappings!$N$4:$S$200,3,FALSE()),"UNMAPPED"))</f>
        <v/>
      </c>
      <c r="J789" s="1" t="str">
        <f aca="false">IF($C789="","",IFERROR(VLOOKUP($C789,Master_Mappings!$N$4:$S$134,4,FALSE()),""))</f>
        <v/>
      </c>
      <c r="M789" s="0" t="str">
        <f aca="false">IF($C789="","",IFERROR(VLOOKUP($C789,Master_Mappings!$N$4:$S$200,6,FALSE()),""))</f>
        <v/>
      </c>
    </row>
    <row r="790" customFormat="false" ht="13.5" hidden="false" customHeight="false" outlineLevel="0" collapsed="false">
      <c r="I790" s="1" t="str">
        <f aca="false">IF($C790="","",IFERROR(VLOOKUP($C790,Master_Mappings!$N$4:$S$200,3,FALSE()),"UNMAPPED"))</f>
        <v/>
      </c>
      <c r="J790" s="1" t="str">
        <f aca="false">IF($C790="","",IFERROR(VLOOKUP($C790,Master_Mappings!$N$4:$S$134,4,FALSE()),""))</f>
        <v/>
      </c>
      <c r="M790" s="0" t="str">
        <f aca="false">IF($C790="","",IFERROR(VLOOKUP($C790,Master_Mappings!$N$4:$S$200,6,FALSE()),""))</f>
        <v/>
      </c>
    </row>
    <row r="791" customFormat="false" ht="13.5" hidden="false" customHeight="false" outlineLevel="0" collapsed="false">
      <c r="I791" s="1" t="str">
        <f aca="false">IF($C791="","",IFERROR(VLOOKUP($C791,Master_Mappings!$N$4:$S$200,3,FALSE()),"UNMAPPED"))</f>
        <v/>
      </c>
      <c r="J791" s="1" t="str">
        <f aca="false">IF($C791="","",IFERROR(VLOOKUP($C791,Master_Mappings!$N$4:$S$134,4,FALSE()),""))</f>
        <v/>
      </c>
      <c r="M791" s="0" t="str">
        <f aca="false">IF($C791="","",IFERROR(VLOOKUP($C791,Master_Mappings!$N$4:$S$200,6,FALSE()),""))</f>
        <v/>
      </c>
    </row>
    <row r="792" customFormat="false" ht="13.5" hidden="false" customHeight="false" outlineLevel="0" collapsed="false">
      <c r="I792" s="1" t="str">
        <f aca="false">IF($C792="","",IFERROR(VLOOKUP($C792,Master_Mappings!$N$4:$S$200,3,FALSE()),"UNMAPPED"))</f>
        <v/>
      </c>
      <c r="J792" s="1" t="str">
        <f aca="false">IF($C792="","",IFERROR(VLOOKUP($C792,Master_Mappings!$N$4:$S$134,4,FALSE()),""))</f>
        <v/>
      </c>
      <c r="M792" s="0" t="str">
        <f aca="false">IF($C792="","",IFERROR(VLOOKUP($C792,Master_Mappings!$N$4:$S$200,6,FALSE()),""))</f>
        <v/>
      </c>
    </row>
    <row r="793" customFormat="false" ht="13.5" hidden="false" customHeight="false" outlineLevel="0" collapsed="false">
      <c r="I793" s="1" t="str">
        <f aca="false">IF($C793="","",IFERROR(VLOOKUP($C793,Master_Mappings!$N$4:$S$200,3,FALSE()),"UNMAPPED"))</f>
        <v/>
      </c>
      <c r="J793" s="1" t="str">
        <f aca="false">IF($C793="","",IFERROR(VLOOKUP($C793,Master_Mappings!$N$4:$S$134,4,FALSE()),""))</f>
        <v/>
      </c>
      <c r="M793" s="0" t="str">
        <f aca="false">IF($C793="","",IFERROR(VLOOKUP($C793,Master_Mappings!$N$4:$S$200,6,FALSE()),""))</f>
        <v/>
      </c>
    </row>
    <row r="794" customFormat="false" ht="13.5" hidden="false" customHeight="false" outlineLevel="0" collapsed="false">
      <c r="I794" s="1" t="str">
        <f aca="false">IF($C794="","",IFERROR(VLOOKUP($C794,Master_Mappings!$N$4:$S$200,3,FALSE()),"UNMAPPED"))</f>
        <v/>
      </c>
      <c r="J794" s="1" t="str">
        <f aca="false">IF($C794="","",IFERROR(VLOOKUP($C794,Master_Mappings!$N$4:$S$134,4,FALSE()),""))</f>
        <v/>
      </c>
      <c r="M794" s="0" t="str">
        <f aca="false">IF($C794="","",IFERROR(VLOOKUP($C794,Master_Mappings!$N$4:$S$200,6,FALSE()),""))</f>
        <v/>
      </c>
    </row>
    <row r="795" customFormat="false" ht="13.5" hidden="false" customHeight="false" outlineLevel="0" collapsed="false">
      <c r="I795" s="1" t="str">
        <f aca="false">IF($C795="","",IFERROR(VLOOKUP($C795,Master_Mappings!$N$4:$S$200,3,FALSE()),"UNMAPPED"))</f>
        <v/>
      </c>
      <c r="J795" s="1" t="str">
        <f aca="false">IF($C795="","",IFERROR(VLOOKUP($C795,Master_Mappings!$N$4:$S$134,4,FALSE()),""))</f>
        <v/>
      </c>
      <c r="M795" s="0" t="str">
        <f aca="false">IF($C795="","",IFERROR(VLOOKUP($C795,Master_Mappings!$N$4:$S$200,6,FALSE()),""))</f>
        <v/>
      </c>
    </row>
    <row r="796" customFormat="false" ht="13.5" hidden="false" customHeight="false" outlineLevel="0" collapsed="false">
      <c r="I796" s="1" t="str">
        <f aca="false">IF($C796="","",IFERROR(VLOOKUP($C796,Master_Mappings!$N$4:$S$200,3,FALSE()),"UNMAPPED"))</f>
        <v/>
      </c>
      <c r="J796" s="1" t="str">
        <f aca="false">IF($C796="","",IFERROR(VLOOKUP($C796,Master_Mappings!$N$4:$S$134,4,FALSE()),""))</f>
        <v/>
      </c>
      <c r="M796" s="0" t="str">
        <f aca="false">IF($C796="","",IFERROR(VLOOKUP($C796,Master_Mappings!$N$4:$S$200,6,FALSE()),""))</f>
        <v/>
      </c>
    </row>
    <row r="797" customFormat="false" ht="13.5" hidden="false" customHeight="false" outlineLevel="0" collapsed="false">
      <c r="I797" s="1" t="str">
        <f aca="false">IF($C797="","",IFERROR(VLOOKUP($C797,Master_Mappings!$N$4:$S$200,3,FALSE()),"UNMAPPED"))</f>
        <v/>
      </c>
      <c r="J797" s="1" t="str">
        <f aca="false">IF($C797="","",IFERROR(VLOOKUP($C797,Master_Mappings!$N$4:$S$134,4,FALSE()),""))</f>
        <v/>
      </c>
      <c r="M797" s="0" t="str">
        <f aca="false">IF($C797="","",IFERROR(VLOOKUP($C797,Master_Mappings!$N$4:$S$200,6,FALSE()),""))</f>
        <v/>
      </c>
    </row>
    <row r="798" customFormat="false" ht="13.5" hidden="false" customHeight="false" outlineLevel="0" collapsed="false">
      <c r="I798" s="1" t="str">
        <f aca="false">IF($C798="","",IFERROR(VLOOKUP($C798,Master_Mappings!$N$4:$S$200,3,FALSE()),"UNMAPPED"))</f>
        <v/>
      </c>
      <c r="J798" s="1" t="str">
        <f aca="false">IF($C798="","",IFERROR(VLOOKUP($C798,Master_Mappings!$N$4:$S$134,4,FALSE()),""))</f>
        <v/>
      </c>
      <c r="M798" s="0" t="str">
        <f aca="false">IF($C798="","",IFERROR(VLOOKUP($C798,Master_Mappings!$N$4:$S$200,6,FALSE()),""))</f>
        <v/>
      </c>
    </row>
    <row r="799" customFormat="false" ht="13.5" hidden="false" customHeight="false" outlineLevel="0" collapsed="false">
      <c r="I799" s="1" t="str">
        <f aca="false">IF($C799="","",IFERROR(VLOOKUP($C799,Master_Mappings!$N$4:$S$200,3,FALSE()),"UNMAPPED"))</f>
        <v/>
      </c>
      <c r="J799" s="1" t="str">
        <f aca="false">IF($C799="","",IFERROR(VLOOKUP($C799,Master_Mappings!$N$4:$S$134,4,FALSE()),""))</f>
        <v/>
      </c>
      <c r="M799" s="0" t="str">
        <f aca="false">IF($C799="","",IFERROR(VLOOKUP($C799,Master_Mappings!$N$4:$S$200,6,FALSE()),""))</f>
        <v/>
      </c>
    </row>
    <row r="800" customFormat="false" ht="13.5" hidden="false" customHeight="false" outlineLevel="0" collapsed="false">
      <c r="I800" s="1" t="str">
        <f aca="false">IF($C800="","",IFERROR(VLOOKUP($C800,Master_Mappings!$N$4:$S$200,3,FALSE()),"UNMAPPED"))</f>
        <v/>
      </c>
      <c r="J800" s="1" t="str">
        <f aca="false">IF($C800="","",IFERROR(VLOOKUP($C800,Master_Mappings!$N$4:$S$134,4,FALSE()),""))</f>
        <v/>
      </c>
      <c r="M800" s="0" t="str">
        <f aca="false">IF($C800="","",IFERROR(VLOOKUP($C800,Master_Mappings!$N$4:$S$200,6,FALSE()),""))</f>
        <v/>
      </c>
    </row>
    <row r="801" customFormat="false" ht="13.5" hidden="false" customHeight="false" outlineLevel="0" collapsed="false">
      <c r="I801" s="1" t="str">
        <f aca="false">IF($C801="","",IFERROR(VLOOKUP($C801,Master_Mappings!$N$4:$S$200,3,FALSE()),"UNMAPPED"))</f>
        <v/>
      </c>
      <c r="J801" s="1" t="str">
        <f aca="false">IF($C801="","",IFERROR(VLOOKUP($C801,Master_Mappings!$N$4:$S$134,4,FALSE()),""))</f>
        <v/>
      </c>
      <c r="M801" s="0" t="str">
        <f aca="false">IF($C801="","",IFERROR(VLOOKUP($C801,Master_Mappings!$N$4:$S$200,6,FALSE()),""))</f>
        <v/>
      </c>
    </row>
    <row r="802" customFormat="false" ht="13.5" hidden="false" customHeight="false" outlineLevel="0" collapsed="false">
      <c r="I802" s="1" t="str">
        <f aca="false">IF($C802="","",IFERROR(VLOOKUP($C802,Master_Mappings!$N$4:$S$200,3,FALSE()),"UNMAPPED"))</f>
        <v/>
      </c>
      <c r="J802" s="1" t="str">
        <f aca="false">IF($C802="","",IFERROR(VLOOKUP($C802,Master_Mappings!$N$4:$S$134,4,FALSE()),""))</f>
        <v/>
      </c>
      <c r="M802" s="0" t="str">
        <f aca="false">IF($C802="","",IFERROR(VLOOKUP($C802,Master_Mappings!$N$4:$S$200,6,FALSE()),""))</f>
        <v/>
      </c>
    </row>
    <row r="803" customFormat="false" ht="13.5" hidden="false" customHeight="false" outlineLevel="0" collapsed="false">
      <c r="I803" s="1" t="str">
        <f aca="false">IF($C803="","",IFERROR(VLOOKUP($C803,Master_Mappings!$N$4:$S$200,3,FALSE()),"UNMAPPED"))</f>
        <v/>
      </c>
      <c r="J803" s="1" t="str">
        <f aca="false">IF($C803="","",IFERROR(VLOOKUP($C803,Master_Mappings!$N$4:$S$134,4,FALSE()),""))</f>
        <v/>
      </c>
      <c r="M803" s="0" t="str">
        <f aca="false">IF($C803="","",IFERROR(VLOOKUP($C803,Master_Mappings!$N$4:$S$200,6,FALSE()),""))</f>
        <v/>
      </c>
    </row>
    <row r="804" customFormat="false" ht="13.5" hidden="false" customHeight="false" outlineLevel="0" collapsed="false">
      <c r="I804" s="1" t="str">
        <f aca="false">IF($C804="","",IFERROR(VLOOKUP($C804,Master_Mappings!$N$4:$S$200,3,FALSE()),"UNMAPPED"))</f>
        <v/>
      </c>
      <c r="J804" s="1" t="str">
        <f aca="false">IF($C804="","",IFERROR(VLOOKUP($C804,Master_Mappings!$N$4:$S$134,4,FALSE()),""))</f>
        <v/>
      </c>
      <c r="M804" s="0" t="str">
        <f aca="false">IF($C804="","",IFERROR(VLOOKUP($C804,Master_Mappings!$N$4:$S$200,6,FALSE()),""))</f>
        <v/>
      </c>
    </row>
    <row r="805" customFormat="false" ht="13.5" hidden="false" customHeight="false" outlineLevel="0" collapsed="false">
      <c r="I805" s="1" t="str">
        <f aca="false">IF($C805="","",IFERROR(VLOOKUP($C805,Master_Mappings!$N$4:$S$200,3,FALSE()),"UNMAPPED"))</f>
        <v/>
      </c>
      <c r="J805" s="1" t="str">
        <f aca="false">IF($C805="","",IFERROR(VLOOKUP($C805,Master_Mappings!$N$4:$S$134,4,FALSE()),""))</f>
        <v/>
      </c>
      <c r="M805" s="0" t="str">
        <f aca="false">IF($C805="","",IFERROR(VLOOKUP($C805,Master_Mappings!$N$4:$S$200,6,FALSE()),""))</f>
        <v/>
      </c>
    </row>
    <row r="806" customFormat="false" ht="13.5" hidden="false" customHeight="false" outlineLevel="0" collapsed="false">
      <c r="I806" s="1" t="str">
        <f aca="false">IF($C806="","",IFERROR(VLOOKUP($C806,Master_Mappings!$N$4:$S$200,3,FALSE()),"UNMAPPED"))</f>
        <v/>
      </c>
      <c r="J806" s="1" t="str">
        <f aca="false">IF($C806="","",IFERROR(VLOOKUP($C806,Master_Mappings!$N$4:$S$134,4,FALSE()),""))</f>
        <v/>
      </c>
      <c r="M806" s="0" t="str">
        <f aca="false">IF($C806="","",IFERROR(VLOOKUP($C806,Master_Mappings!$N$4:$S$200,6,FALSE()),""))</f>
        <v/>
      </c>
    </row>
    <row r="807" customFormat="false" ht="13.5" hidden="false" customHeight="false" outlineLevel="0" collapsed="false">
      <c r="I807" s="1" t="str">
        <f aca="false">IF($C807="","",IFERROR(VLOOKUP($C807,Master_Mappings!$N$4:$S$200,3,FALSE()),"UNMAPPED"))</f>
        <v/>
      </c>
      <c r="J807" s="1" t="str">
        <f aca="false">IF($C807="","",IFERROR(VLOOKUP($C807,Master_Mappings!$N$4:$S$134,4,FALSE()),""))</f>
        <v/>
      </c>
      <c r="M807" s="0" t="str">
        <f aca="false">IF($C807="","",IFERROR(VLOOKUP($C807,Master_Mappings!$N$4:$S$200,6,FALSE()),""))</f>
        <v/>
      </c>
    </row>
    <row r="808" customFormat="false" ht="13.5" hidden="false" customHeight="false" outlineLevel="0" collapsed="false">
      <c r="I808" s="1" t="str">
        <f aca="false">IF($C808="","",IFERROR(VLOOKUP($C808,Master_Mappings!$N$4:$S$200,3,FALSE()),"UNMAPPED"))</f>
        <v/>
      </c>
      <c r="J808" s="1" t="str">
        <f aca="false">IF($C808="","",IFERROR(VLOOKUP($C808,Master_Mappings!$N$4:$S$134,4,FALSE()),""))</f>
        <v/>
      </c>
      <c r="M808" s="0" t="str">
        <f aca="false">IF($C808="","",IFERROR(VLOOKUP($C808,Master_Mappings!$N$4:$S$200,6,FALSE()),""))</f>
        <v/>
      </c>
    </row>
    <row r="809" customFormat="false" ht="13.5" hidden="false" customHeight="false" outlineLevel="0" collapsed="false">
      <c r="I809" s="1" t="str">
        <f aca="false">IF($C809="","",IFERROR(VLOOKUP($C809,Master_Mappings!$N$4:$S$200,3,FALSE()),"UNMAPPED"))</f>
        <v/>
      </c>
      <c r="J809" s="1" t="str">
        <f aca="false">IF($C809="","",IFERROR(VLOOKUP($C809,Master_Mappings!$N$4:$S$134,4,FALSE()),""))</f>
        <v/>
      </c>
      <c r="M809" s="0" t="str">
        <f aca="false">IF($C809="","",IFERROR(VLOOKUP($C809,Master_Mappings!$N$4:$S$200,6,FALSE()),""))</f>
        <v/>
      </c>
    </row>
    <row r="810" customFormat="false" ht="13.5" hidden="false" customHeight="false" outlineLevel="0" collapsed="false">
      <c r="I810" s="1" t="str">
        <f aca="false">IF($C810="","",IFERROR(VLOOKUP($C810,Master_Mappings!$N$4:$S$200,3,FALSE()),"UNMAPPED"))</f>
        <v/>
      </c>
      <c r="J810" s="1" t="str">
        <f aca="false">IF($C810="","",IFERROR(VLOOKUP($C810,Master_Mappings!$N$4:$S$134,4,FALSE()),""))</f>
        <v/>
      </c>
      <c r="M810" s="0" t="str">
        <f aca="false">IF($C810="","",IFERROR(VLOOKUP($C810,Master_Mappings!$N$4:$S$200,6,FALSE()),""))</f>
        <v/>
      </c>
    </row>
    <row r="811" customFormat="false" ht="13.5" hidden="false" customHeight="false" outlineLevel="0" collapsed="false">
      <c r="I811" s="1" t="str">
        <f aca="false">IF($C811="","",IFERROR(VLOOKUP($C811,Master_Mappings!$N$4:$S$200,3,FALSE()),"UNMAPPED"))</f>
        <v/>
      </c>
      <c r="J811" s="1" t="str">
        <f aca="false">IF($C811="","",IFERROR(VLOOKUP($C811,Master_Mappings!$N$4:$S$134,4,FALSE()),""))</f>
        <v/>
      </c>
      <c r="M811" s="0" t="str">
        <f aca="false">IF($C811="","",IFERROR(VLOOKUP($C811,Master_Mappings!$N$4:$S$200,6,FALSE()),""))</f>
        <v/>
      </c>
    </row>
    <row r="812" customFormat="false" ht="13.5" hidden="false" customHeight="false" outlineLevel="0" collapsed="false">
      <c r="I812" s="1" t="str">
        <f aca="false">IF($C812="","",IFERROR(VLOOKUP($C812,Master_Mappings!$N$4:$S$200,3,FALSE()),"UNMAPPED"))</f>
        <v/>
      </c>
      <c r="J812" s="1" t="str">
        <f aca="false">IF($C812="","",IFERROR(VLOOKUP($C812,Master_Mappings!$N$4:$S$134,4,FALSE()),""))</f>
        <v/>
      </c>
      <c r="M812" s="0" t="str">
        <f aca="false">IF($C812="","",IFERROR(VLOOKUP($C812,Master_Mappings!$N$4:$S$200,6,FALSE()),""))</f>
        <v/>
      </c>
    </row>
    <row r="813" customFormat="false" ht="13.5" hidden="false" customHeight="false" outlineLevel="0" collapsed="false">
      <c r="I813" s="1" t="str">
        <f aca="false">IF($C813="","",IFERROR(VLOOKUP($C813,Master_Mappings!$N$4:$S$200,3,FALSE()),"UNMAPPED"))</f>
        <v/>
      </c>
      <c r="J813" s="1" t="str">
        <f aca="false">IF($C813="","",IFERROR(VLOOKUP($C813,Master_Mappings!$N$4:$S$134,4,FALSE()),""))</f>
        <v/>
      </c>
      <c r="M813" s="0" t="str">
        <f aca="false">IF($C813="","",IFERROR(VLOOKUP($C813,Master_Mappings!$N$4:$S$200,6,FALSE()),""))</f>
        <v/>
      </c>
    </row>
    <row r="814" customFormat="false" ht="13.5" hidden="false" customHeight="false" outlineLevel="0" collapsed="false">
      <c r="I814" s="1" t="str">
        <f aca="false">IF($C814="","",IFERROR(VLOOKUP($C814,Master_Mappings!$N$4:$S$200,3,FALSE()),"UNMAPPED"))</f>
        <v/>
      </c>
      <c r="J814" s="1" t="str">
        <f aca="false">IF($C814="","",IFERROR(VLOOKUP($C814,Master_Mappings!$N$4:$S$134,4,FALSE()),""))</f>
        <v/>
      </c>
      <c r="M814" s="0" t="str">
        <f aca="false">IF($C814="","",IFERROR(VLOOKUP($C814,Master_Mappings!$N$4:$S$200,6,FALSE()),""))</f>
        <v/>
      </c>
    </row>
    <row r="815" customFormat="false" ht="13.5" hidden="false" customHeight="false" outlineLevel="0" collapsed="false">
      <c r="I815" s="1" t="str">
        <f aca="false">IF($C815="","",IFERROR(VLOOKUP($C815,Master_Mappings!$N$4:$S$200,3,FALSE()),"UNMAPPED"))</f>
        <v/>
      </c>
      <c r="J815" s="1" t="str">
        <f aca="false">IF($C815="","",IFERROR(VLOOKUP($C815,Master_Mappings!$N$4:$S$134,4,FALSE()),""))</f>
        <v/>
      </c>
      <c r="M815" s="0" t="str">
        <f aca="false">IF($C815="","",IFERROR(VLOOKUP($C815,Master_Mappings!$N$4:$S$200,6,FALSE()),""))</f>
        <v/>
      </c>
    </row>
    <row r="816" customFormat="false" ht="13.5" hidden="false" customHeight="false" outlineLevel="0" collapsed="false">
      <c r="I816" s="1" t="str">
        <f aca="false">IF($C816="","",IFERROR(VLOOKUP($C816,Master_Mappings!$N$4:$S$200,3,FALSE()),"UNMAPPED"))</f>
        <v/>
      </c>
      <c r="J816" s="1" t="str">
        <f aca="false">IF($C816="","",IFERROR(VLOOKUP($C816,Master_Mappings!$N$4:$S$134,4,FALSE()),""))</f>
        <v/>
      </c>
      <c r="M816" s="0" t="str">
        <f aca="false">IF($C816="","",IFERROR(VLOOKUP($C816,Master_Mappings!$N$4:$S$200,6,FALSE()),""))</f>
        <v/>
      </c>
    </row>
    <row r="817" customFormat="false" ht="13.5" hidden="false" customHeight="false" outlineLevel="0" collapsed="false">
      <c r="I817" s="1" t="str">
        <f aca="false">IF($C817="","",IFERROR(VLOOKUP($C817,Master_Mappings!$N$4:$S$200,3,FALSE()),"UNMAPPED"))</f>
        <v/>
      </c>
      <c r="J817" s="1" t="str">
        <f aca="false">IF($C817="","",IFERROR(VLOOKUP($C817,Master_Mappings!$N$4:$S$134,4,FALSE()),""))</f>
        <v/>
      </c>
      <c r="M817" s="0" t="str">
        <f aca="false">IF($C817="","",IFERROR(VLOOKUP($C817,Master_Mappings!$N$4:$S$200,6,FALSE()),""))</f>
        <v/>
      </c>
    </row>
    <row r="818" customFormat="false" ht="13.5" hidden="false" customHeight="false" outlineLevel="0" collapsed="false">
      <c r="I818" s="1" t="str">
        <f aca="false">IF($C818="","",IFERROR(VLOOKUP($C818,Master_Mappings!$N$4:$S$200,3,FALSE()),"UNMAPPED"))</f>
        <v/>
      </c>
      <c r="J818" s="1" t="str">
        <f aca="false">IF($C818="","",IFERROR(VLOOKUP($C818,Master_Mappings!$N$4:$S$134,4,FALSE()),""))</f>
        <v/>
      </c>
      <c r="M818" s="0" t="str">
        <f aca="false">IF($C818="","",IFERROR(VLOOKUP($C818,Master_Mappings!$N$4:$S$200,6,FALSE()),""))</f>
        <v/>
      </c>
    </row>
    <row r="819" customFormat="false" ht="13.5" hidden="false" customHeight="false" outlineLevel="0" collapsed="false">
      <c r="I819" s="1" t="str">
        <f aca="false">IF($C819="","",IFERROR(VLOOKUP($C819,Master_Mappings!$N$4:$S$200,3,FALSE()),"UNMAPPED"))</f>
        <v/>
      </c>
      <c r="J819" s="1" t="str">
        <f aca="false">IF($C819="","",IFERROR(VLOOKUP($C819,Master_Mappings!$N$4:$S$134,4,FALSE()),""))</f>
        <v/>
      </c>
      <c r="M819" s="0" t="str">
        <f aca="false">IF($C819="","",IFERROR(VLOOKUP($C819,Master_Mappings!$N$4:$S$200,6,FALSE()),""))</f>
        <v/>
      </c>
    </row>
    <row r="820" customFormat="false" ht="13.5" hidden="false" customHeight="false" outlineLevel="0" collapsed="false">
      <c r="I820" s="1" t="str">
        <f aca="false">IF($C820="","",IFERROR(VLOOKUP($C820,Master_Mappings!$N$4:$S$200,3,FALSE()),"UNMAPPED"))</f>
        <v/>
      </c>
      <c r="J820" s="1" t="str">
        <f aca="false">IF($C820="","",IFERROR(VLOOKUP($C820,Master_Mappings!$N$4:$S$134,4,FALSE()),""))</f>
        <v/>
      </c>
      <c r="M820" s="0" t="str">
        <f aca="false">IF($C820="","",IFERROR(VLOOKUP($C820,Master_Mappings!$N$4:$S$200,6,FALSE()),""))</f>
        <v/>
      </c>
    </row>
    <row r="821" customFormat="false" ht="13.5" hidden="false" customHeight="false" outlineLevel="0" collapsed="false">
      <c r="I821" s="1" t="str">
        <f aca="false">IF($C821="","",IFERROR(VLOOKUP($C821,Master_Mappings!$N$4:$S$200,3,FALSE()),"UNMAPPED"))</f>
        <v/>
      </c>
      <c r="J821" s="1" t="str">
        <f aca="false">IF($C821="","",IFERROR(VLOOKUP($C821,Master_Mappings!$N$4:$S$134,4,FALSE()),""))</f>
        <v/>
      </c>
      <c r="M821" s="0" t="str">
        <f aca="false">IF($C821="","",IFERROR(VLOOKUP($C821,Master_Mappings!$N$4:$S$200,6,FALSE()),""))</f>
        <v/>
      </c>
    </row>
    <row r="822" customFormat="false" ht="13.5" hidden="false" customHeight="false" outlineLevel="0" collapsed="false">
      <c r="I822" s="1" t="str">
        <f aca="false">IF($C822="","",IFERROR(VLOOKUP($C822,Master_Mappings!$N$4:$S$200,3,FALSE()),"UNMAPPED"))</f>
        <v/>
      </c>
      <c r="J822" s="1" t="str">
        <f aca="false">IF($C822="","",IFERROR(VLOOKUP($C822,Master_Mappings!$N$4:$S$134,4,FALSE()),""))</f>
        <v/>
      </c>
      <c r="M822" s="0" t="str">
        <f aca="false">IF($C822="","",IFERROR(VLOOKUP($C822,Master_Mappings!$N$4:$S$200,6,FALSE()),""))</f>
        <v/>
      </c>
    </row>
    <row r="823" customFormat="false" ht="13.5" hidden="false" customHeight="false" outlineLevel="0" collapsed="false">
      <c r="I823" s="1" t="str">
        <f aca="false">IF($C823="","",IFERROR(VLOOKUP($C823,Master_Mappings!$N$4:$S$200,3,FALSE()),"UNMAPPED"))</f>
        <v/>
      </c>
      <c r="J823" s="1" t="str">
        <f aca="false">IF($C823="","",IFERROR(VLOOKUP($C823,Master_Mappings!$N$4:$S$134,4,FALSE()),""))</f>
        <v/>
      </c>
      <c r="M823" s="0" t="str">
        <f aca="false">IF($C823="","",IFERROR(VLOOKUP($C823,Master_Mappings!$N$4:$S$200,6,FALSE()),""))</f>
        <v/>
      </c>
    </row>
    <row r="824" customFormat="false" ht="13.5" hidden="false" customHeight="false" outlineLevel="0" collapsed="false">
      <c r="I824" s="1" t="str">
        <f aca="false">IF($C824="","",IFERROR(VLOOKUP($C824,Master_Mappings!$N$4:$S$200,3,FALSE()),"UNMAPPED"))</f>
        <v/>
      </c>
      <c r="J824" s="1" t="str">
        <f aca="false">IF($C824="","",IFERROR(VLOOKUP($C824,Master_Mappings!$N$4:$S$134,4,FALSE()),""))</f>
        <v/>
      </c>
      <c r="M824" s="0" t="str">
        <f aca="false">IF($C824="","",IFERROR(VLOOKUP($C824,Master_Mappings!$N$4:$S$200,6,FALSE()),""))</f>
        <v/>
      </c>
    </row>
    <row r="825" customFormat="false" ht="13.5" hidden="false" customHeight="false" outlineLevel="0" collapsed="false">
      <c r="I825" s="1" t="str">
        <f aca="false">IF($C825="","",IFERROR(VLOOKUP($C825,Master_Mappings!$N$4:$S$200,3,FALSE()),"UNMAPPED"))</f>
        <v/>
      </c>
      <c r="J825" s="1" t="str">
        <f aca="false">IF($C825="","",IFERROR(VLOOKUP($C825,Master_Mappings!$N$4:$S$134,4,FALSE()),""))</f>
        <v/>
      </c>
      <c r="M825" s="0" t="str">
        <f aca="false">IF($C825="","",IFERROR(VLOOKUP($C825,Master_Mappings!$N$4:$S$200,6,FALSE()),""))</f>
        <v/>
      </c>
    </row>
    <row r="826" customFormat="false" ht="13.5" hidden="false" customHeight="false" outlineLevel="0" collapsed="false">
      <c r="I826" s="1" t="str">
        <f aca="false">IF($C826="","",IFERROR(VLOOKUP($C826,Master_Mappings!$N$4:$S$200,3,FALSE()),"UNMAPPED"))</f>
        <v/>
      </c>
      <c r="J826" s="1" t="str">
        <f aca="false">IF($C826="","",IFERROR(VLOOKUP($C826,Master_Mappings!$N$4:$S$134,4,FALSE()),""))</f>
        <v/>
      </c>
      <c r="M826" s="0" t="str">
        <f aca="false">IF($C826="","",IFERROR(VLOOKUP($C826,Master_Mappings!$N$4:$S$200,6,FALSE()),""))</f>
        <v/>
      </c>
    </row>
    <row r="827" customFormat="false" ht="13.5" hidden="false" customHeight="false" outlineLevel="0" collapsed="false">
      <c r="I827" s="1" t="str">
        <f aca="false">IF($C827="","",IFERROR(VLOOKUP($C827,Master_Mappings!$N$4:$S$200,3,FALSE()),"UNMAPPED"))</f>
        <v/>
      </c>
      <c r="J827" s="1" t="str">
        <f aca="false">IF($C827="","",IFERROR(VLOOKUP($C827,Master_Mappings!$N$4:$S$134,4,FALSE()),""))</f>
        <v/>
      </c>
      <c r="M827" s="0" t="str">
        <f aca="false">IF($C827="","",IFERROR(VLOOKUP($C827,Master_Mappings!$N$4:$S$200,6,FALSE()),""))</f>
        <v/>
      </c>
    </row>
    <row r="828" customFormat="false" ht="13.5" hidden="false" customHeight="false" outlineLevel="0" collapsed="false">
      <c r="I828" s="1" t="str">
        <f aca="false">IF($C828="","",IFERROR(VLOOKUP($C828,Master_Mappings!$N$4:$S$200,3,FALSE()),"UNMAPPED"))</f>
        <v/>
      </c>
      <c r="J828" s="1" t="str">
        <f aca="false">IF($C828="","",IFERROR(VLOOKUP($C828,Master_Mappings!$N$4:$S$134,4,FALSE()),""))</f>
        <v/>
      </c>
      <c r="M828" s="0" t="str">
        <f aca="false">IF($C828="","",IFERROR(VLOOKUP($C828,Master_Mappings!$N$4:$S$200,6,FALSE()),""))</f>
        <v/>
      </c>
    </row>
    <row r="829" customFormat="false" ht="13.5" hidden="false" customHeight="false" outlineLevel="0" collapsed="false">
      <c r="I829" s="1" t="str">
        <f aca="false">IF($C829="","",IFERROR(VLOOKUP($C829,Master_Mappings!$N$4:$S$200,3,FALSE()),"UNMAPPED"))</f>
        <v/>
      </c>
      <c r="J829" s="1" t="str">
        <f aca="false">IF($C829="","",IFERROR(VLOOKUP($C829,Master_Mappings!$N$4:$S$134,4,FALSE()),""))</f>
        <v/>
      </c>
      <c r="M829" s="0" t="str">
        <f aca="false">IF($C829="","",IFERROR(VLOOKUP($C829,Master_Mappings!$N$4:$S$200,6,FALSE()),""))</f>
        <v/>
      </c>
    </row>
    <row r="830" customFormat="false" ht="13.5" hidden="false" customHeight="false" outlineLevel="0" collapsed="false">
      <c r="I830" s="1" t="str">
        <f aca="false">IF($C830="","",IFERROR(VLOOKUP($C830,Master_Mappings!$N$4:$S$200,3,FALSE()),"UNMAPPED"))</f>
        <v/>
      </c>
      <c r="J830" s="1" t="str">
        <f aca="false">IF($C830="","",IFERROR(VLOOKUP($C830,Master_Mappings!$N$4:$S$134,4,FALSE()),""))</f>
        <v/>
      </c>
      <c r="M830" s="0" t="str">
        <f aca="false">IF($C830="","",IFERROR(VLOOKUP($C830,Master_Mappings!$N$4:$S$200,6,FALSE()),""))</f>
        <v/>
      </c>
    </row>
    <row r="831" customFormat="false" ht="13.5" hidden="false" customHeight="false" outlineLevel="0" collapsed="false">
      <c r="I831" s="1" t="str">
        <f aca="false">IF($C831="","",IFERROR(VLOOKUP($C831,Master_Mappings!$N$4:$S$200,3,FALSE()),"UNMAPPED"))</f>
        <v/>
      </c>
      <c r="J831" s="1" t="str">
        <f aca="false">IF($C831="","",IFERROR(VLOOKUP($C831,Master_Mappings!$N$4:$S$134,4,FALSE()),""))</f>
        <v/>
      </c>
      <c r="M831" s="0" t="str">
        <f aca="false">IF($C831="","",IFERROR(VLOOKUP($C831,Master_Mappings!$N$4:$S$200,6,FALSE()),""))</f>
        <v/>
      </c>
    </row>
    <row r="832" customFormat="false" ht="13.5" hidden="false" customHeight="false" outlineLevel="0" collapsed="false">
      <c r="I832" s="1" t="str">
        <f aca="false">IF($C832="","",IFERROR(VLOOKUP($C832,Master_Mappings!$N$4:$S$200,3,FALSE()),"UNMAPPED"))</f>
        <v/>
      </c>
      <c r="J832" s="1" t="str">
        <f aca="false">IF($C832="","",IFERROR(VLOOKUP($C832,Master_Mappings!$N$4:$S$134,4,FALSE()),""))</f>
        <v/>
      </c>
      <c r="M832" s="0" t="str">
        <f aca="false">IF($C832="","",IFERROR(VLOOKUP($C832,Master_Mappings!$N$4:$S$200,6,FALSE()),""))</f>
        <v/>
      </c>
    </row>
    <row r="833" customFormat="false" ht="13.5" hidden="false" customHeight="false" outlineLevel="0" collapsed="false">
      <c r="I833" s="1" t="str">
        <f aca="false">IF($C833="","",IFERROR(VLOOKUP($C833,Master_Mappings!$N$4:$S$200,3,FALSE()),"UNMAPPED"))</f>
        <v/>
      </c>
      <c r="J833" s="1" t="str">
        <f aca="false">IF($C833="","",IFERROR(VLOOKUP($C833,Master_Mappings!$N$4:$S$134,4,FALSE()),""))</f>
        <v/>
      </c>
      <c r="M833" s="0" t="str">
        <f aca="false">IF($C833="","",IFERROR(VLOOKUP($C833,Master_Mappings!$N$4:$S$200,6,FALSE()),""))</f>
        <v/>
      </c>
    </row>
    <row r="834" customFormat="false" ht="13.5" hidden="false" customHeight="false" outlineLevel="0" collapsed="false">
      <c r="I834" s="1" t="str">
        <f aca="false">IF($C834="","",IFERROR(VLOOKUP($C834,Master_Mappings!$N$4:$S$200,3,FALSE()),"UNMAPPED"))</f>
        <v/>
      </c>
      <c r="J834" s="1" t="str">
        <f aca="false">IF($C834="","",IFERROR(VLOOKUP($C834,Master_Mappings!$N$4:$S$134,4,FALSE()),""))</f>
        <v/>
      </c>
      <c r="M834" s="0" t="str">
        <f aca="false">IF($C834="","",IFERROR(VLOOKUP($C834,Master_Mappings!$N$4:$S$200,6,FALSE()),""))</f>
        <v/>
      </c>
    </row>
    <row r="835" customFormat="false" ht="13.5" hidden="false" customHeight="false" outlineLevel="0" collapsed="false">
      <c r="I835" s="1" t="str">
        <f aca="false">IF($C835="","",IFERROR(VLOOKUP($C835,Master_Mappings!$N$4:$S$200,3,FALSE()),"UNMAPPED"))</f>
        <v/>
      </c>
      <c r="J835" s="1" t="str">
        <f aca="false">IF($C835="","",IFERROR(VLOOKUP($C835,Master_Mappings!$N$4:$S$134,4,FALSE()),""))</f>
        <v/>
      </c>
      <c r="M835" s="0" t="str">
        <f aca="false">IF($C835="","",IFERROR(VLOOKUP($C835,Master_Mappings!$N$4:$S$200,6,FALSE()),""))</f>
        <v/>
      </c>
    </row>
    <row r="836" customFormat="false" ht="13.5" hidden="false" customHeight="false" outlineLevel="0" collapsed="false">
      <c r="I836" s="1" t="str">
        <f aca="false">IF($C836="","",IFERROR(VLOOKUP($C836,Master_Mappings!$N$4:$S$200,3,FALSE()),"UNMAPPED"))</f>
        <v/>
      </c>
      <c r="J836" s="1" t="str">
        <f aca="false">IF($C836="","",IFERROR(VLOOKUP($C836,Master_Mappings!$N$4:$S$134,4,FALSE()),""))</f>
        <v/>
      </c>
      <c r="M836" s="0" t="str">
        <f aca="false">IF($C836="","",IFERROR(VLOOKUP($C836,Master_Mappings!$N$4:$S$200,6,FALSE()),""))</f>
        <v/>
      </c>
    </row>
    <row r="837" customFormat="false" ht="13.5" hidden="false" customHeight="false" outlineLevel="0" collapsed="false">
      <c r="I837" s="1" t="str">
        <f aca="false">IF($C837="","",IFERROR(VLOOKUP($C837,Master_Mappings!$N$4:$S$200,3,FALSE()),"UNMAPPED"))</f>
        <v/>
      </c>
      <c r="J837" s="1" t="str">
        <f aca="false">IF($C837="","",IFERROR(VLOOKUP($C837,Master_Mappings!$N$4:$S$134,4,FALSE()),""))</f>
        <v/>
      </c>
      <c r="M837" s="0" t="str">
        <f aca="false">IF($C837="","",IFERROR(VLOOKUP($C837,Master_Mappings!$N$4:$S$200,6,FALSE()),""))</f>
        <v/>
      </c>
    </row>
    <row r="838" customFormat="false" ht="13.5" hidden="false" customHeight="false" outlineLevel="0" collapsed="false">
      <c r="I838" s="1" t="str">
        <f aca="false">IF($C838="","",IFERROR(VLOOKUP($C838,Master_Mappings!$N$4:$S$200,3,FALSE()),"UNMAPPED"))</f>
        <v/>
      </c>
      <c r="J838" s="1" t="str">
        <f aca="false">IF($C838="","",IFERROR(VLOOKUP($C838,Master_Mappings!$N$4:$S$134,4,FALSE()),""))</f>
        <v/>
      </c>
      <c r="M838" s="0" t="str">
        <f aca="false">IF($C838="","",IFERROR(VLOOKUP($C838,Master_Mappings!$N$4:$S$200,6,FALSE()),""))</f>
        <v/>
      </c>
    </row>
    <row r="839" customFormat="false" ht="13.5" hidden="false" customHeight="false" outlineLevel="0" collapsed="false">
      <c r="I839" s="1" t="str">
        <f aca="false">IF($C839="","",IFERROR(VLOOKUP($C839,Master_Mappings!$N$4:$S$200,3,FALSE()),"UNMAPPED"))</f>
        <v/>
      </c>
      <c r="J839" s="1" t="str">
        <f aca="false">IF($C839="","",IFERROR(VLOOKUP($C839,Master_Mappings!$N$4:$S$134,4,FALSE()),""))</f>
        <v/>
      </c>
      <c r="M839" s="0" t="str">
        <f aca="false">IF($C839="","",IFERROR(VLOOKUP($C839,Master_Mappings!$N$4:$S$200,6,FALSE()),""))</f>
        <v/>
      </c>
    </row>
    <row r="840" customFormat="false" ht="13.5" hidden="false" customHeight="false" outlineLevel="0" collapsed="false">
      <c r="I840" s="1" t="str">
        <f aca="false">IF($C840="","",IFERROR(VLOOKUP($C840,Master_Mappings!$N$4:$S$200,3,FALSE()),"UNMAPPED"))</f>
        <v/>
      </c>
      <c r="J840" s="1" t="str">
        <f aca="false">IF($C840="","",IFERROR(VLOOKUP($C840,Master_Mappings!$N$4:$S$134,4,FALSE()),""))</f>
        <v/>
      </c>
      <c r="M840" s="0" t="str">
        <f aca="false">IF($C840="","",IFERROR(VLOOKUP($C840,Master_Mappings!$N$4:$S$200,6,FALSE()),""))</f>
        <v/>
      </c>
    </row>
    <row r="841" customFormat="false" ht="13.5" hidden="false" customHeight="false" outlineLevel="0" collapsed="false">
      <c r="I841" s="1" t="str">
        <f aca="false">IF($C841="","",IFERROR(VLOOKUP($C841,Master_Mappings!$N$4:$S$200,3,FALSE()),"UNMAPPED"))</f>
        <v/>
      </c>
      <c r="J841" s="1" t="str">
        <f aca="false">IF($C841="","",IFERROR(VLOOKUP($C841,Master_Mappings!$N$4:$S$134,4,FALSE()),""))</f>
        <v/>
      </c>
      <c r="M841" s="0" t="str">
        <f aca="false">IF($C841="","",IFERROR(VLOOKUP($C841,Master_Mappings!$N$4:$S$200,6,FALSE()),""))</f>
        <v/>
      </c>
    </row>
    <row r="842" customFormat="false" ht="13.5" hidden="false" customHeight="false" outlineLevel="0" collapsed="false">
      <c r="I842" s="1" t="str">
        <f aca="false">IF($C842="","",IFERROR(VLOOKUP($C842,Master_Mappings!$N$4:$S$200,3,FALSE()),"UNMAPPED"))</f>
        <v/>
      </c>
      <c r="J842" s="1" t="str">
        <f aca="false">IF($C842="","",IFERROR(VLOOKUP($C842,Master_Mappings!$N$4:$S$134,4,FALSE()),""))</f>
        <v/>
      </c>
      <c r="M842" s="0" t="str">
        <f aca="false">IF($C842="","",IFERROR(VLOOKUP($C842,Master_Mappings!$N$4:$S$200,6,FALSE()),""))</f>
        <v/>
      </c>
    </row>
    <row r="843" customFormat="false" ht="13.5" hidden="false" customHeight="false" outlineLevel="0" collapsed="false">
      <c r="I843" s="1" t="str">
        <f aca="false">IF($C843="","",IFERROR(VLOOKUP($C843,Master_Mappings!$N$4:$S$200,3,FALSE()),"UNMAPPED"))</f>
        <v/>
      </c>
      <c r="J843" s="1" t="str">
        <f aca="false">IF($C843="","",IFERROR(VLOOKUP($C843,Master_Mappings!$N$4:$S$134,4,FALSE()),""))</f>
        <v/>
      </c>
      <c r="M843" s="0" t="str">
        <f aca="false">IF($C843="","",IFERROR(VLOOKUP($C843,Master_Mappings!$N$4:$S$200,6,FALSE()),""))</f>
        <v/>
      </c>
    </row>
    <row r="844" customFormat="false" ht="13.5" hidden="false" customHeight="false" outlineLevel="0" collapsed="false">
      <c r="I844" s="1" t="str">
        <f aca="false">IF($C844="","",IFERROR(VLOOKUP($C844,Master_Mappings!$N$4:$S$200,3,FALSE()),"UNMAPPED"))</f>
        <v/>
      </c>
      <c r="J844" s="1" t="str">
        <f aca="false">IF($C844="","",IFERROR(VLOOKUP($C844,Master_Mappings!$N$4:$S$134,4,FALSE()),""))</f>
        <v/>
      </c>
      <c r="M844" s="0" t="str">
        <f aca="false">IF($C844="","",IFERROR(VLOOKUP($C844,Master_Mappings!$N$4:$S$200,6,FALSE()),""))</f>
        <v/>
      </c>
    </row>
    <row r="845" customFormat="false" ht="13.5" hidden="false" customHeight="false" outlineLevel="0" collapsed="false">
      <c r="I845" s="1" t="str">
        <f aca="false">IF($C845="","",IFERROR(VLOOKUP($C845,Master_Mappings!$N$4:$S$200,3,FALSE()),"UNMAPPED"))</f>
        <v/>
      </c>
      <c r="J845" s="1" t="str">
        <f aca="false">IF($C845="","",IFERROR(VLOOKUP($C845,Master_Mappings!$N$4:$S$134,4,FALSE()),""))</f>
        <v/>
      </c>
      <c r="M845" s="0" t="str">
        <f aca="false">IF($C845="","",IFERROR(VLOOKUP($C845,Master_Mappings!$N$4:$S$200,6,FALSE()),""))</f>
        <v/>
      </c>
    </row>
    <row r="846" customFormat="false" ht="13.5" hidden="false" customHeight="false" outlineLevel="0" collapsed="false">
      <c r="I846" s="1" t="str">
        <f aca="false">IF($C846="","",IFERROR(VLOOKUP($C846,Master_Mappings!$N$4:$S$200,3,FALSE()),"UNMAPPED"))</f>
        <v/>
      </c>
      <c r="J846" s="1" t="str">
        <f aca="false">IF($C846="","",IFERROR(VLOOKUP($C846,Master_Mappings!$N$4:$S$134,4,FALSE()),""))</f>
        <v/>
      </c>
      <c r="M846" s="0" t="str">
        <f aca="false">IF($C846="","",IFERROR(VLOOKUP($C846,Master_Mappings!$N$4:$S$200,6,FALSE()),""))</f>
        <v/>
      </c>
    </row>
    <row r="847" customFormat="false" ht="13.5" hidden="false" customHeight="false" outlineLevel="0" collapsed="false">
      <c r="I847" s="1" t="str">
        <f aca="false">IF($C847="","",IFERROR(VLOOKUP($C847,Master_Mappings!$N$4:$S$200,3,FALSE()),"UNMAPPED"))</f>
        <v/>
      </c>
      <c r="J847" s="1" t="str">
        <f aca="false">IF($C847="","",IFERROR(VLOOKUP($C847,Master_Mappings!$N$4:$S$134,4,FALSE()),""))</f>
        <v/>
      </c>
      <c r="M847" s="0" t="str">
        <f aca="false">IF($C847="","",IFERROR(VLOOKUP($C847,Master_Mappings!$N$4:$S$200,6,FALSE()),""))</f>
        <v/>
      </c>
    </row>
    <row r="848" customFormat="false" ht="13.5" hidden="false" customHeight="false" outlineLevel="0" collapsed="false">
      <c r="I848" s="1" t="str">
        <f aca="false">IF($C848="","",IFERROR(VLOOKUP($C848,Master_Mappings!$N$4:$S$200,3,FALSE()),"UNMAPPED"))</f>
        <v/>
      </c>
      <c r="J848" s="1" t="str">
        <f aca="false">IF($C848="","",IFERROR(VLOOKUP($C848,Master_Mappings!$N$4:$S$134,4,FALSE()),""))</f>
        <v/>
      </c>
      <c r="M848" s="0" t="str">
        <f aca="false">IF($C848="","",IFERROR(VLOOKUP($C848,Master_Mappings!$N$4:$S$200,6,FALSE()),""))</f>
        <v/>
      </c>
    </row>
    <row r="849" customFormat="false" ht="13.5" hidden="false" customHeight="false" outlineLevel="0" collapsed="false">
      <c r="I849" s="1" t="str">
        <f aca="false">IF($C849="","",IFERROR(VLOOKUP($C849,Master_Mappings!$N$4:$S$200,3,FALSE()),"UNMAPPED"))</f>
        <v/>
      </c>
      <c r="J849" s="1" t="str">
        <f aca="false">IF($C849="","",IFERROR(VLOOKUP($C849,Master_Mappings!$N$4:$S$134,4,FALSE()),""))</f>
        <v/>
      </c>
      <c r="M849" s="0" t="str">
        <f aca="false">IF($C849="","",IFERROR(VLOOKUP($C849,Master_Mappings!$N$4:$S$200,6,FALSE()),""))</f>
        <v/>
      </c>
    </row>
    <row r="850" customFormat="false" ht="13.5" hidden="false" customHeight="false" outlineLevel="0" collapsed="false">
      <c r="I850" s="1" t="str">
        <f aca="false">IF($C850="","",IFERROR(VLOOKUP($C850,Master_Mappings!$N$4:$S$200,3,FALSE()),"UNMAPPED"))</f>
        <v/>
      </c>
      <c r="J850" s="1" t="str">
        <f aca="false">IF($C850="","",IFERROR(VLOOKUP($C850,Master_Mappings!$N$4:$S$134,4,FALSE()),""))</f>
        <v/>
      </c>
      <c r="M850" s="0" t="str">
        <f aca="false">IF($C850="","",IFERROR(VLOOKUP($C850,Master_Mappings!$N$4:$S$200,6,FALSE()),""))</f>
        <v/>
      </c>
    </row>
    <row r="851" customFormat="false" ht="13.5" hidden="false" customHeight="false" outlineLevel="0" collapsed="false">
      <c r="I851" s="1" t="str">
        <f aca="false">IF($C851="","",IFERROR(VLOOKUP($C851,Master_Mappings!$N$4:$S$200,3,FALSE()),"UNMAPPED"))</f>
        <v/>
      </c>
      <c r="J851" s="1" t="str">
        <f aca="false">IF($C851="","",IFERROR(VLOOKUP($C851,Master_Mappings!$N$4:$S$134,4,FALSE()),""))</f>
        <v/>
      </c>
      <c r="M851" s="0" t="str">
        <f aca="false">IF($C851="","",IFERROR(VLOOKUP($C851,Master_Mappings!$N$4:$S$200,6,FALSE()),""))</f>
        <v/>
      </c>
    </row>
    <row r="852" customFormat="false" ht="13.5" hidden="false" customHeight="false" outlineLevel="0" collapsed="false">
      <c r="I852" s="1" t="str">
        <f aca="false">IF($C852="","",IFERROR(VLOOKUP($C852,Master_Mappings!$N$4:$S$200,3,FALSE()),"UNMAPPED"))</f>
        <v/>
      </c>
      <c r="J852" s="1" t="str">
        <f aca="false">IF($C852="","",IFERROR(VLOOKUP($C852,Master_Mappings!$N$4:$S$134,4,FALSE()),""))</f>
        <v/>
      </c>
      <c r="M852" s="0" t="str">
        <f aca="false">IF($C852="","",IFERROR(VLOOKUP($C852,Master_Mappings!$N$4:$S$200,6,FALSE()),""))</f>
        <v/>
      </c>
    </row>
    <row r="853" customFormat="false" ht="13.5" hidden="false" customHeight="false" outlineLevel="0" collapsed="false">
      <c r="I853" s="1" t="str">
        <f aca="false">IF($C853="","",IFERROR(VLOOKUP($C853,Master_Mappings!$N$4:$S$200,3,FALSE()),"UNMAPPED"))</f>
        <v/>
      </c>
      <c r="J853" s="1" t="str">
        <f aca="false">IF($C853="","",IFERROR(VLOOKUP($C853,Master_Mappings!$N$4:$S$134,4,FALSE()),""))</f>
        <v/>
      </c>
      <c r="M853" s="0" t="str">
        <f aca="false">IF($C853="","",IFERROR(VLOOKUP($C853,Master_Mappings!$N$4:$S$200,6,FALSE()),""))</f>
        <v/>
      </c>
    </row>
    <row r="854" customFormat="false" ht="13.5" hidden="false" customHeight="false" outlineLevel="0" collapsed="false">
      <c r="I854" s="1" t="str">
        <f aca="false">IF($C854="","",IFERROR(VLOOKUP($C854,Master_Mappings!$N$4:$S$200,3,FALSE()),"UNMAPPED"))</f>
        <v/>
      </c>
      <c r="J854" s="1" t="str">
        <f aca="false">IF($C854="","",IFERROR(VLOOKUP($C854,Master_Mappings!$N$4:$S$134,4,FALSE()),""))</f>
        <v/>
      </c>
      <c r="M854" s="0" t="str">
        <f aca="false">IF($C854="","",IFERROR(VLOOKUP($C854,Master_Mappings!$N$4:$S$200,6,FALSE()),""))</f>
        <v/>
      </c>
    </row>
    <row r="855" customFormat="false" ht="13.5" hidden="false" customHeight="false" outlineLevel="0" collapsed="false">
      <c r="I855" s="1" t="str">
        <f aca="false">IF($C855="","",IFERROR(VLOOKUP($C855,Master_Mappings!$N$4:$S$200,3,FALSE()),"UNMAPPED"))</f>
        <v/>
      </c>
      <c r="J855" s="1" t="str">
        <f aca="false">IF($C855="","",IFERROR(VLOOKUP($C855,Master_Mappings!$N$4:$S$134,4,FALSE()),""))</f>
        <v/>
      </c>
      <c r="M855" s="0" t="str">
        <f aca="false">IF($C855="","",IFERROR(VLOOKUP($C855,Master_Mappings!$N$4:$S$200,6,FALSE()),""))</f>
        <v/>
      </c>
    </row>
    <row r="856" customFormat="false" ht="13.5" hidden="false" customHeight="false" outlineLevel="0" collapsed="false">
      <c r="I856" s="1" t="str">
        <f aca="false">IF($C856="","",IFERROR(VLOOKUP($C856,Master_Mappings!$N$4:$S$200,3,FALSE()),"UNMAPPED"))</f>
        <v/>
      </c>
      <c r="J856" s="1" t="str">
        <f aca="false">IF($C856="","",IFERROR(VLOOKUP($C856,Master_Mappings!$N$4:$S$134,4,FALSE()),""))</f>
        <v/>
      </c>
      <c r="M856" s="0" t="str">
        <f aca="false">IF($C856="","",IFERROR(VLOOKUP($C856,Master_Mappings!$N$4:$S$200,6,FALSE()),""))</f>
        <v/>
      </c>
    </row>
    <row r="857" customFormat="false" ht="13.5" hidden="false" customHeight="false" outlineLevel="0" collapsed="false">
      <c r="I857" s="1" t="str">
        <f aca="false">IF($C857="","",IFERROR(VLOOKUP($C857,Master_Mappings!$N$4:$S$200,3,FALSE()),"UNMAPPED"))</f>
        <v/>
      </c>
      <c r="J857" s="1" t="str">
        <f aca="false">IF($C857="","",IFERROR(VLOOKUP($C857,Master_Mappings!$N$4:$S$134,4,FALSE()),""))</f>
        <v/>
      </c>
      <c r="M857" s="0" t="str">
        <f aca="false">IF($C857="","",IFERROR(VLOOKUP($C857,Master_Mappings!$N$4:$S$200,6,FALSE()),""))</f>
        <v/>
      </c>
    </row>
    <row r="858" customFormat="false" ht="13.5" hidden="false" customHeight="false" outlineLevel="0" collapsed="false">
      <c r="I858" s="1" t="str">
        <f aca="false">IF($C858="","",IFERROR(VLOOKUP($C858,Master_Mappings!$N$4:$S$200,3,FALSE()),"UNMAPPED"))</f>
        <v/>
      </c>
      <c r="J858" s="1" t="str">
        <f aca="false">IF($C858="","",IFERROR(VLOOKUP($C858,Master_Mappings!$N$4:$S$134,4,FALSE()),""))</f>
        <v/>
      </c>
      <c r="M858" s="0" t="str">
        <f aca="false">IF($C858="","",IFERROR(VLOOKUP($C858,Master_Mappings!$N$4:$S$200,6,FALSE()),""))</f>
        <v/>
      </c>
    </row>
    <row r="859" customFormat="false" ht="13.5" hidden="false" customHeight="false" outlineLevel="0" collapsed="false">
      <c r="I859" s="1" t="str">
        <f aca="false">IF($C859="","",IFERROR(VLOOKUP($C859,Master_Mappings!$N$4:$S$200,3,FALSE()),"UNMAPPED"))</f>
        <v/>
      </c>
      <c r="J859" s="1" t="str">
        <f aca="false">IF($C859="","",IFERROR(VLOOKUP($C859,Master_Mappings!$N$4:$S$134,4,FALSE()),""))</f>
        <v/>
      </c>
      <c r="M859" s="0" t="str">
        <f aca="false">IF($C859="","",IFERROR(VLOOKUP($C859,Master_Mappings!$N$4:$S$200,6,FALSE()),""))</f>
        <v/>
      </c>
    </row>
    <row r="860" customFormat="false" ht="13.5" hidden="false" customHeight="false" outlineLevel="0" collapsed="false">
      <c r="I860" s="1" t="str">
        <f aca="false">IF($C860="","",IFERROR(VLOOKUP($C860,Master_Mappings!$N$4:$S$200,3,FALSE()),"UNMAPPED"))</f>
        <v/>
      </c>
      <c r="J860" s="1" t="str">
        <f aca="false">IF($C860="","",IFERROR(VLOOKUP($C860,Master_Mappings!$N$4:$S$134,4,FALSE()),""))</f>
        <v/>
      </c>
      <c r="M860" s="0" t="str">
        <f aca="false">IF($C860="","",IFERROR(VLOOKUP($C860,Master_Mappings!$N$4:$S$200,6,FALSE()),""))</f>
        <v/>
      </c>
    </row>
    <row r="861" customFormat="false" ht="13.5" hidden="false" customHeight="false" outlineLevel="0" collapsed="false">
      <c r="I861" s="1" t="str">
        <f aca="false">IF($C861="","",IFERROR(VLOOKUP($C861,Master_Mappings!$N$4:$S$200,3,FALSE()),"UNMAPPED"))</f>
        <v/>
      </c>
      <c r="J861" s="1" t="str">
        <f aca="false">IF($C861="","",IFERROR(VLOOKUP($C861,Master_Mappings!$N$4:$S$134,4,FALSE()),""))</f>
        <v/>
      </c>
      <c r="M861" s="0" t="str">
        <f aca="false">IF($C861="","",IFERROR(VLOOKUP($C861,Master_Mappings!$N$4:$S$200,6,FALSE()),""))</f>
        <v/>
      </c>
    </row>
    <row r="862" customFormat="false" ht="13.5" hidden="false" customHeight="false" outlineLevel="0" collapsed="false">
      <c r="I862" s="1" t="str">
        <f aca="false">IF($C862="","",IFERROR(VLOOKUP($C862,Master_Mappings!$N$4:$S$200,3,FALSE()),"UNMAPPED"))</f>
        <v/>
      </c>
      <c r="J862" s="1" t="str">
        <f aca="false">IF($C862="","",IFERROR(VLOOKUP($C862,Master_Mappings!$N$4:$S$134,4,FALSE()),""))</f>
        <v/>
      </c>
      <c r="M862" s="0" t="str">
        <f aca="false">IF($C862="","",IFERROR(VLOOKUP($C862,Master_Mappings!$N$4:$S$200,6,FALSE()),""))</f>
        <v/>
      </c>
    </row>
    <row r="863" customFormat="false" ht="13.5" hidden="false" customHeight="false" outlineLevel="0" collapsed="false">
      <c r="I863" s="1" t="str">
        <f aca="false">IF($C863="","",IFERROR(VLOOKUP($C863,Master_Mappings!$N$4:$S$200,3,FALSE()),"UNMAPPED"))</f>
        <v/>
      </c>
      <c r="J863" s="1" t="str">
        <f aca="false">IF($C863="","",IFERROR(VLOOKUP($C863,Master_Mappings!$N$4:$S$134,4,FALSE()),""))</f>
        <v/>
      </c>
      <c r="M863" s="0" t="str">
        <f aca="false">IF($C863="","",IFERROR(VLOOKUP($C863,Master_Mappings!$N$4:$S$200,6,FALSE()),""))</f>
        <v/>
      </c>
    </row>
    <row r="864" customFormat="false" ht="13.5" hidden="false" customHeight="false" outlineLevel="0" collapsed="false">
      <c r="I864" s="1" t="str">
        <f aca="false">IF($C864="","",IFERROR(VLOOKUP($C864,Master_Mappings!$N$4:$S$200,3,FALSE()),"UNMAPPED"))</f>
        <v/>
      </c>
      <c r="J864" s="1" t="str">
        <f aca="false">IF($C864="","",IFERROR(VLOOKUP($C864,Master_Mappings!$N$4:$S$134,4,FALSE()),""))</f>
        <v/>
      </c>
      <c r="M864" s="0" t="str">
        <f aca="false">IF($C864="","",IFERROR(VLOOKUP($C864,Master_Mappings!$N$4:$S$200,6,FALSE()),""))</f>
        <v/>
      </c>
    </row>
    <row r="865" customFormat="false" ht="13.5" hidden="false" customHeight="false" outlineLevel="0" collapsed="false">
      <c r="I865" s="1" t="str">
        <f aca="false">IF($C865="","",IFERROR(VLOOKUP($C865,Master_Mappings!$N$4:$S$200,3,FALSE()),"UNMAPPED"))</f>
        <v/>
      </c>
      <c r="J865" s="1" t="str">
        <f aca="false">IF($C865="","",IFERROR(VLOOKUP($C865,Master_Mappings!$N$4:$S$134,4,FALSE()),""))</f>
        <v/>
      </c>
      <c r="M865" s="0" t="str">
        <f aca="false">IF($C865="","",IFERROR(VLOOKUP($C865,Master_Mappings!$N$4:$S$200,6,FALSE()),""))</f>
        <v/>
      </c>
    </row>
    <row r="866" customFormat="false" ht="13.5" hidden="false" customHeight="false" outlineLevel="0" collapsed="false">
      <c r="I866" s="1" t="str">
        <f aca="false">IF($C866="","",IFERROR(VLOOKUP($C866,Master_Mappings!$N$4:$S$200,3,FALSE()),"UNMAPPED"))</f>
        <v/>
      </c>
      <c r="J866" s="1" t="str">
        <f aca="false">IF($C866="","",IFERROR(VLOOKUP($C866,Master_Mappings!$N$4:$S$134,4,FALSE()),""))</f>
        <v/>
      </c>
      <c r="M866" s="0" t="str">
        <f aca="false">IF($C866="","",IFERROR(VLOOKUP($C866,Master_Mappings!$N$4:$S$200,6,FALSE()),""))</f>
        <v/>
      </c>
    </row>
    <row r="867" customFormat="false" ht="13.5" hidden="false" customHeight="false" outlineLevel="0" collapsed="false">
      <c r="I867" s="1" t="str">
        <f aca="false">IF($C867="","",IFERROR(VLOOKUP($C867,Master_Mappings!$N$4:$S$200,3,FALSE()),"UNMAPPED"))</f>
        <v/>
      </c>
      <c r="J867" s="1" t="str">
        <f aca="false">IF($C867="","",IFERROR(VLOOKUP($C867,Master_Mappings!$N$4:$S$134,4,FALSE()),""))</f>
        <v/>
      </c>
      <c r="M867" s="0" t="str">
        <f aca="false">IF($C867="","",IFERROR(VLOOKUP($C867,Master_Mappings!$N$4:$S$200,6,FALSE()),""))</f>
        <v/>
      </c>
    </row>
    <row r="868" customFormat="false" ht="13.5" hidden="false" customHeight="false" outlineLevel="0" collapsed="false">
      <c r="I868" s="1" t="str">
        <f aca="false">IF($C868="","",IFERROR(VLOOKUP($C868,Master_Mappings!$N$4:$S$200,3,FALSE()),"UNMAPPED"))</f>
        <v/>
      </c>
      <c r="J868" s="1" t="str">
        <f aca="false">IF($C868="","",IFERROR(VLOOKUP($C868,Master_Mappings!$N$4:$S$134,4,FALSE()),""))</f>
        <v/>
      </c>
      <c r="M868" s="0" t="str">
        <f aca="false">IF($C868="","",IFERROR(VLOOKUP($C868,Master_Mappings!$N$4:$S$200,6,FALSE()),""))</f>
        <v/>
      </c>
    </row>
    <row r="869" customFormat="false" ht="13.5" hidden="false" customHeight="false" outlineLevel="0" collapsed="false">
      <c r="I869" s="1" t="str">
        <f aca="false">IF($C869="","",IFERROR(VLOOKUP($C869,Master_Mappings!$N$4:$S$200,3,FALSE()),"UNMAPPED"))</f>
        <v/>
      </c>
      <c r="J869" s="1" t="str">
        <f aca="false">IF($C869="","",IFERROR(VLOOKUP($C869,Master_Mappings!$N$4:$S$134,4,FALSE()),""))</f>
        <v/>
      </c>
      <c r="M869" s="0" t="str">
        <f aca="false">IF($C869="","",IFERROR(VLOOKUP($C869,Master_Mappings!$N$4:$S$200,6,FALSE()),""))</f>
        <v/>
      </c>
    </row>
    <row r="870" customFormat="false" ht="13.5" hidden="false" customHeight="false" outlineLevel="0" collapsed="false">
      <c r="I870" s="1" t="str">
        <f aca="false">IF($C870="","",IFERROR(VLOOKUP($C870,Master_Mappings!$N$4:$S$200,3,FALSE()),"UNMAPPED"))</f>
        <v/>
      </c>
      <c r="J870" s="1" t="str">
        <f aca="false">IF($C870="","",IFERROR(VLOOKUP($C870,Master_Mappings!$N$4:$S$134,4,FALSE()),""))</f>
        <v/>
      </c>
      <c r="M870" s="0" t="str">
        <f aca="false">IF($C870="","",IFERROR(VLOOKUP($C870,Master_Mappings!$N$4:$S$200,6,FALSE()),""))</f>
        <v/>
      </c>
    </row>
    <row r="871" customFormat="false" ht="13.5" hidden="false" customHeight="false" outlineLevel="0" collapsed="false">
      <c r="I871" s="1" t="str">
        <f aca="false">IF($C871="","",IFERROR(VLOOKUP($C871,Master_Mappings!$N$4:$S$200,3,FALSE()),"UNMAPPED"))</f>
        <v/>
      </c>
      <c r="J871" s="1" t="str">
        <f aca="false">IF($C871="","",IFERROR(VLOOKUP($C871,Master_Mappings!$N$4:$S$134,4,FALSE()),""))</f>
        <v/>
      </c>
      <c r="M871" s="0" t="str">
        <f aca="false">IF($C871="","",IFERROR(VLOOKUP($C871,Master_Mappings!$N$4:$S$200,6,FALSE()),""))</f>
        <v/>
      </c>
    </row>
    <row r="872" customFormat="false" ht="13.5" hidden="false" customHeight="false" outlineLevel="0" collapsed="false">
      <c r="I872" s="1" t="str">
        <f aca="false">IF($C872="","",IFERROR(VLOOKUP($C872,Master_Mappings!$N$4:$S$200,3,FALSE()),"UNMAPPED"))</f>
        <v/>
      </c>
      <c r="J872" s="1" t="str">
        <f aca="false">IF($C872="","",IFERROR(VLOOKUP($C872,Master_Mappings!$N$4:$S$134,4,FALSE()),""))</f>
        <v/>
      </c>
      <c r="M872" s="0" t="str">
        <f aca="false">IF($C872="","",IFERROR(VLOOKUP($C872,Master_Mappings!$N$4:$S$200,6,FALSE()),""))</f>
        <v/>
      </c>
    </row>
    <row r="873" customFormat="false" ht="13.5" hidden="false" customHeight="false" outlineLevel="0" collapsed="false">
      <c r="I873" s="1" t="str">
        <f aca="false">IF($C873="","",IFERROR(VLOOKUP($C873,Master_Mappings!$N$4:$S$200,3,FALSE()),"UNMAPPED"))</f>
        <v/>
      </c>
      <c r="J873" s="1" t="str">
        <f aca="false">IF($C873="","",IFERROR(VLOOKUP($C873,Master_Mappings!$N$4:$S$134,4,FALSE()),""))</f>
        <v/>
      </c>
      <c r="M873" s="0" t="str">
        <f aca="false">IF($C873="","",IFERROR(VLOOKUP($C873,Master_Mappings!$N$4:$S$200,6,FALSE()),""))</f>
        <v/>
      </c>
    </row>
    <row r="874" customFormat="false" ht="13.5" hidden="false" customHeight="false" outlineLevel="0" collapsed="false">
      <c r="I874" s="1" t="str">
        <f aca="false">IF($C874="","",IFERROR(VLOOKUP($C874,Master_Mappings!$N$4:$S$200,3,FALSE()),"UNMAPPED"))</f>
        <v/>
      </c>
      <c r="J874" s="1" t="str">
        <f aca="false">IF($C874="","",IFERROR(VLOOKUP($C874,Master_Mappings!$N$4:$S$134,4,FALSE()),""))</f>
        <v/>
      </c>
      <c r="M874" s="0" t="str">
        <f aca="false">IF($C874="","",IFERROR(VLOOKUP($C874,Master_Mappings!$N$4:$S$200,6,FALSE()),""))</f>
        <v/>
      </c>
    </row>
    <row r="875" customFormat="false" ht="13.5" hidden="false" customHeight="false" outlineLevel="0" collapsed="false">
      <c r="I875" s="1" t="str">
        <f aca="false">IF($C875="","",IFERROR(VLOOKUP($C875,Master_Mappings!$N$4:$S$200,3,FALSE()),"UNMAPPED"))</f>
        <v/>
      </c>
      <c r="J875" s="1" t="str">
        <f aca="false">IF($C875="","",IFERROR(VLOOKUP($C875,Master_Mappings!$N$4:$S$134,4,FALSE()),""))</f>
        <v/>
      </c>
      <c r="M875" s="0" t="str">
        <f aca="false">IF($C875="","",IFERROR(VLOOKUP($C875,Master_Mappings!$N$4:$S$200,6,FALSE()),""))</f>
        <v/>
      </c>
    </row>
    <row r="876" customFormat="false" ht="13.5" hidden="false" customHeight="false" outlineLevel="0" collapsed="false">
      <c r="I876" s="1" t="str">
        <f aca="false">IF($C876="","",IFERROR(VLOOKUP($C876,Master_Mappings!$N$4:$S$200,3,FALSE()),"UNMAPPED"))</f>
        <v/>
      </c>
      <c r="J876" s="1" t="str">
        <f aca="false">IF($C876="","",IFERROR(VLOOKUP($C876,Master_Mappings!$N$4:$S$134,4,FALSE()),""))</f>
        <v/>
      </c>
      <c r="M876" s="0" t="str">
        <f aca="false">IF($C876="","",IFERROR(VLOOKUP($C876,Master_Mappings!$N$4:$S$200,6,FALSE()),""))</f>
        <v/>
      </c>
    </row>
    <row r="877" customFormat="false" ht="13.5" hidden="false" customHeight="false" outlineLevel="0" collapsed="false">
      <c r="I877" s="1" t="str">
        <f aca="false">IF($C877="","",IFERROR(VLOOKUP($C877,Master_Mappings!$N$4:$S$200,3,FALSE()),"UNMAPPED"))</f>
        <v/>
      </c>
      <c r="J877" s="1" t="str">
        <f aca="false">IF($C877="","",IFERROR(VLOOKUP($C877,Master_Mappings!$N$4:$S$134,4,FALSE()),""))</f>
        <v/>
      </c>
      <c r="M877" s="0" t="str">
        <f aca="false">IF($C877="","",IFERROR(VLOOKUP($C877,Master_Mappings!$N$4:$S$200,6,FALSE()),""))</f>
        <v/>
      </c>
    </row>
    <row r="878" customFormat="false" ht="13.5" hidden="false" customHeight="false" outlineLevel="0" collapsed="false">
      <c r="I878" s="1" t="str">
        <f aca="false">IF($C878="","",IFERROR(VLOOKUP($C878,Master_Mappings!$N$4:$S$200,3,FALSE()),"UNMAPPED"))</f>
        <v/>
      </c>
      <c r="J878" s="1" t="str">
        <f aca="false">IF($C878="","",IFERROR(VLOOKUP($C878,Master_Mappings!$N$4:$S$134,4,FALSE()),""))</f>
        <v/>
      </c>
      <c r="M878" s="0" t="str">
        <f aca="false">IF($C878="","",IFERROR(VLOOKUP($C878,Master_Mappings!$N$4:$S$200,6,FALSE()),""))</f>
        <v/>
      </c>
    </row>
    <row r="879" customFormat="false" ht="13.5" hidden="false" customHeight="false" outlineLevel="0" collapsed="false">
      <c r="I879" s="1" t="str">
        <f aca="false">IF($C879="","",IFERROR(VLOOKUP($C879,Master_Mappings!$N$4:$S$200,3,FALSE()),"UNMAPPED"))</f>
        <v/>
      </c>
      <c r="J879" s="1" t="str">
        <f aca="false">IF($C879="","",IFERROR(VLOOKUP($C879,Master_Mappings!$N$4:$S$134,4,FALSE()),""))</f>
        <v/>
      </c>
      <c r="M879" s="0" t="str">
        <f aca="false">IF($C879="","",IFERROR(VLOOKUP($C879,Master_Mappings!$N$4:$S$200,6,FALSE()),""))</f>
        <v/>
      </c>
    </row>
    <row r="880" customFormat="false" ht="13.5" hidden="false" customHeight="false" outlineLevel="0" collapsed="false">
      <c r="I880" s="1" t="str">
        <f aca="false">IF($C880="","",IFERROR(VLOOKUP($C880,Master_Mappings!$N$4:$S$200,3,FALSE()),"UNMAPPED"))</f>
        <v/>
      </c>
      <c r="J880" s="1" t="str">
        <f aca="false">IF($C880="","",IFERROR(VLOOKUP($C880,Master_Mappings!$N$4:$S$134,4,FALSE()),""))</f>
        <v/>
      </c>
      <c r="M880" s="0" t="str">
        <f aca="false">IF($C880="","",IFERROR(VLOOKUP($C880,Master_Mappings!$N$4:$S$200,6,FALSE()),""))</f>
        <v/>
      </c>
    </row>
    <row r="881" customFormat="false" ht="13.5" hidden="false" customHeight="false" outlineLevel="0" collapsed="false">
      <c r="I881" s="1" t="str">
        <f aca="false">IF($C881="","",IFERROR(VLOOKUP($C881,Master_Mappings!$N$4:$S$200,3,FALSE()),"UNMAPPED"))</f>
        <v/>
      </c>
      <c r="J881" s="1" t="str">
        <f aca="false">IF($C881="","",IFERROR(VLOOKUP($C881,Master_Mappings!$N$4:$S$134,4,FALSE()),""))</f>
        <v/>
      </c>
      <c r="M881" s="0" t="str">
        <f aca="false">IF($C881="","",IFERROR(VLOOKUP($C881,Master_Mappings!$N$4:$S$200,6,FALSE()),""))</f>
        <v/>
      </c>
    </row>
    <row r="882" customFormat="false" ht="13.5" hidden="false" customHeight="false" outlineLevel="0" collapsed="false">
      <c r="I882" s="1" t="str">
        <f aca="false">IF($C882="","",IFERROR(VLOOKUP($C882,Master_Mappings!$N$4:$S$200,3,FALSE()),"UNMAPPED"))</f>
        <v/>
      </c>
      <c r="J882" s="1" t="str">
        <f aca="false">IF($C882="","",IFERROR(VLOOKUP($C882,Master_Mappings!$N$4:$S$134,4,FALSE()),""))</f>
        <v/>
      </c>
      <c r="M882" s="0" t="str">
        <f aca="false">IF($C882="","",IFERROR(VLOOKUP($C882,Master_Mappings!$N$4:$S$200,6,FALSE()),""))</f>
        <v/>
      </c>
    </row>
    <row r="883" customFormat="false" ht="13.5" hidden="false" customHeight="false" outlineLevel="0" collapsed="false">
      <c r="I883" s="1" t="str">
        <f aca="false">IF($C883="","",IFERROR(VLOOKUP($C883,Master_Mappings!$N$4:$S$200,3,FALSE()),"UNMAPPED"))</f>
        <v/>
      </c>
      <c r="J883" s="1" t="str">
        <f aca="false">IF($C883="","",IFERROR(VLOOKUP($C883,Master_Mappings!$N$4:$S$134,4,FALSE()),""))</f>
        <v/>
      </c>
      <c r="M883" s="0" t="str">
        <f aca="false">IF($C883="","",IFERROR(VLOOKUP($C883,Master_Mappings!$N$4:$S$200,6,FALSE()),""))</f>
        <v/>
      </c>
    </row>
    <row r="884" customFormat="false" ht="13.5" hidden="false" customHeight="false" outlineLevel="0" collapsed="false">
      <c r="I884" s="1" t="str">
        <f aca="false">IF($C884="","",IFERROR(VLOOKUP($C884,Master_Mappings!$N$4:$S$200,3,FALSE()),"UNMAPPED"))</f>
        <v/>
      </c>
      <c r="J884" s="1" t="str">
        <f aca="false">IF($C884="","",IFERROR(VLOOKUP($C884,Master_Mappings!$N$4:$S$134,4,FALSE()),""))</f>
        <v/>
      </c>
      <c r="M884" s="0" t="str">
        <f aca="false">IF($C884="","",IFERROR(VLOOKUP($C884,Master_Mappings!$N$4:$S$200,6,FALSE()),""))</f>
        <v/>
      </c>
    </row>
    <row r="885" customFormat="false" ht="13.5" hidden="false" customHeight="false" outlineLevel="0" collapsed="false">
      <c r="I885" s="1" t="str">
        <f aca="false">IF($C885="","",IFERROR(VLOOKUP($C885,Master_Mappings!$N$4:$S$200,3,FALSE()),"UNMAPPED"))</f>
        <v/>
      </c>
      <c r="J885" s="1" t="str">
        <f aca="false">IF($C885="","",IFERROR(VLOOKUP($C885,Master_Mappings!$N$4:$S$134,4,FALSE()),""))</f>
        <v/>
      </c>
      <c r="M885" s="0" t="str">
        <f aca="false">IF($C885="","",IFERROR(VLOOKUP($C885,Master_Mappings!$N$4:$S$200,6,FALSE()),""))</f>
        <v/>
      </c>
    </row>
    <row r="886" customFormat="false" ht="13.5" hidden="false" customHeight="false" outlineLevel="0" collapsed="false">
      <c r="I886" s="1" t="str">
        <f aca="false">IF($C886="","",IFERROR(VLOOKUP($C886,Master_Mappings!$N$4:$S$200,3,FALSE()),"UNMAPPED"))</f>
        <v/>
      </c>
      <c r="J886" s="1" t="str">
        <f aca="false">IF($C886="","",IFERROR(VLOOKUP($C886,Master_Mappings!$N$4:$S$134,4,FALSE()),""))</f>
        <v/>
      </c>
      <c r="M886" s="0" t="str">
        <f aca="false">IF($C886="","",IFERROR(VLOOKUP($C886,Master_Mappings!$N$4:$S$200,6,FALSE()),""))</f>
        <v/>
      </c>
    </row>
    <row r="887" customFormat="false" ht="13.5" hidden="false" customHeight="false" outlineLevel="0" collapsed="false">
      <c r="I887" s="1" t="str">
        <f aca="false">IF($C887="","",IFERROR(VLOOKUP($C887,Master_Mappings!$N$4:$S$200,3,FALSE()),"UNMAPPED"))</f>
        <v/>
      </c>
      <c r="J887" s="1" t="str">
        <f aca="false">IF($C887="","",IFERROR(VLOOKUP($C887,Master_Mappings!$N$4:$S$134,4,FALSE()),""))</f>
        <v/>
      </c>
      <c r="M887" s="0" t="str">
        <f aca="false">IF($C887="","",IFERROR(VLOOKUP($C887,Master_Mappings!$N$4:$S$200,6,FALSE()),""))</f>
        <v/>
      </c>
    </row>
    <row r="888" customFormat="false" ht="13.5" hidden="false" customHeight="false" outlineLevel="0" collapsed="false">
      <c r="I888" s="1" t="str">
        <f aca="false">IF($C888="","",IFERROR(VLOOKUP($C888,Master_Mappings!$N$4:$S$200,3,FALSE()),"UNMAPPED"))</f>
        <v/>
      </c>
      <c r="J888" s="1" t="str">
        <f aca="false">IF($C888="","",IFERROR(VLOOKUP($C888,Master_Mappings!$N$4:$S$134,4,FALSE()),""))</f>
        <v/>
      </c>
      <c r="M888" s="0" t="str">
        <f aca="false">IF($C888="","",IFERROR(VLOOKUP($C888,Master_Mappings!$N$4:$S$200,6,FALSE()),""))</f>
        <v/>
      </c>
    </row>
    <row r="889" customFormat="false" ht="13.5" hidden="false" customHeight="false" outlineLevel="0" collapsed="false">
      <c r="I889" s="1" t="str">
        <f aca="false">IF($C889="","",IFERROR(VLOOKUP($C889,Master_Mappings!$N$4:$S$200,3,FALSE()),"UNMAPPED"))</f>
        <v/>
      </c>
      <c r="J889" s="1" t="str">
        <f aca="false">IF($C889="","",IFERROR(VLOOKUP($C889,Master_Mappings!$N$4:$S$134,4,FALSE()),""))</f>
        <v/>
      </c>
      <c r="M889" s="0" t="str">
        <f aca="false">IF($C889="","",IFERROR(VLOOKUP($C889,Master_Mappings!$N$4:$S$200,6,FALSE()),""))</f>
        <v/>
      </c>
    </row>
    <row r="890" customFormat="false" ht="13.5" hidden="false" customHeight="false" outlineLevel="0" collapsed="false">
      <c r="I890" s="1" t="str">
        <f aca="false">IF($C890="","",IFERROR(VLOOKUP($C890,Master_Mappings!$N$4:$S$200,3,FALSE()),"UNMAPPED"))</f>
        <v/>
      </c>
      <c r="J890" s="1" t="str">
        <f aca="false">IF($C890="","",IFERROR(VLOOKUP($C890,Master_Mappings!$N$4:$S$134,4,FALSE()),""))</f>
        <v/>
      </c>
      <c r="M890" s="0" t="str">
        <f aca="false">IF($C890="","",IFERROR(VLOOKUP($C890,Master_Mappings!$N$4:$S$200,6,FALSE()),""))</f>
        <v/>
      </c>
    </row>
    <row r="891" customFormat="false" ht="13.5" hidden="false" customHeight="false" outlineLevel="0" collapsed="false">
      <c r="I891" s="1" t="str">
        <f aca="false">IF($C891="","",IFERROR(VLOOKUP($C891,Master_Mappings!$N$4:$S$200,3,FALSE()),"UNMAPPED"))</f>
        <v/>
      </c>
      <c r="J891" s="1" t="str">
        <f aca="false">IF($C891="","",IFERROR(VLOOKUP($C891,Master_Mappings!$N$4:$S$134,4,FALSE()),""))</f>
        <v/>
      </c>
      <c r="M891" s="0" t="str">
        <f aca="false">IF($C891="","",IFERROR(VLOOKUP($C891,Master_Mappings!$N$4:$S$200,6,FALSE()),""))</f>
        <v/>
      </c>
    </row>
    <row r="892" customFormat="false" ht="13.5" hidden="false" customHeight="false" outlineLevel="0" collapsed="false">
      <c r="I892" s="1" t="str">
        <f aca="false">IF($C892="","",IFERROR(VLOOKUP($C892,Master_Mappings!$N$4:$S$200,3,FALSE()),"UNMAPPED"))</f>
        <v/>
      </c>
      <c r="J892" s="1" t="str">
        <f aca="false">IF($C892="","",IFERROR(VLOOKUP($C892,Master_Mappings!$N$4:$S$134,4,FALSE()),""))</f>
        <v/>
      </c>
      <c r="M892" s="0" t="str">
        <f aca="false">IF($C892="","",IFERROR(VLOOKUP($C892,Master_Mappings!$N$4:$S$200,6,FALSE()),""))</f>
        <v/>
      </c>
    </row>
    <row r="893" customFormat="false" ht="13.5" hidden="false" customHeight="false" outlineLevel="0" collapsed="false">
      <c r="I893" s="1" t="str">
        <f aca="false">IF($C893="","",IFERROR(VLOOKUP($C893,Master_Mappings!$N$4:$S$200,3,FALSE()),"UNMAPPED"))</f>
        <v/>
      </c>
      <c r="J893" s="1" t="str">
        <f aca="false">IF($C893="","",IFERROR(VLOOKUP($C893,Master_Mappings!$N$4:$S$134,4,FALSE()),""))</f>
        <v/>
      </c>
      <c r="M893" s="0" t="str">
        <f aca="false">IF($C893="","",IFERROR(VLOOKUP($C893,Master_Mappings!$N$4:$S$200,6,FALSE()),""))</f>
        <v/>
      </c>
    </row>
    <row r="894" customFormat="false" ht="13.5" hidden="false" customHeight="false" outlineLevel="0" collapsed="false">
      <c r="I894" s="1" t="str">
        <f aca="false">IF($C894="","",IFERROR(VLOOKUP($C894,Master_Mappings!$N$4:$S$200,3,FALSE()),"UNMAPPED"))</f>
        <v/>
      </c>
      <c r="J894" s="1" t="str">
        <f aca="false">IF($C894="","",IFERROR(VLOOKUP($C894,Master_Mappings!$N$4:$S$134,4,FALSE()),""))</f>
        <v/>
      </c>
      <c r="M894" s="0" t="str">
        <f aca="false">IF($C894="","",IFERROR(VLOOKUP($C894,Master_Mappings!$N$4:$S$200,6,FALSE()),""))</f>
        <v/>
      </c>
    </row>
    <row r="895" customFormat="false" ht="13.5" hidden="false" customHeight="false" outlineLevel="0" collapsed="false">
      <c r="I895" s="1" t="str">
        <f aca="false">IF($C895="","",IFERROR(VLOOKUP($C895,Master_Mappings!$N$4:$S$200,3,FALSE()),"UNMAPPED"))</f>
        <v/>
      </c>
      <c r="J895" s="1" t="str">
        <f aca="false">IF($C895="","",IFERROR(VLOOKUP($C895,Master_Mappings!$N$4:$S$134,4,FALSE()),""))</f>
        <v/>
      </c>
      <c r="M895" s="0" t="str">
        <f aca="false">IF($C895="","",IFERROR(VLOOKUP($C895,Master_Mappings!$N$4:$S$200,6,FALSE()),""))</f>
        <v/>
      </c>
    </row>
    <row r="896" customFormat="false" ht="13.5" hidden="false" customHeight="false" outlineLevel="0" collapsed="false">
      <c r="I896" s="1" t="str">
        <f aca="false">IF($C896="","",IFERROR(VLOOKUP($C896,Master_Mappings!$N$4:$S$200,3,FALSE()),"UNMAPPED"))</f>
        <v/>
      </c>
      <c r="J896" s="1" t="str">
        <f aca="false">IF($C896="","",IFERROR(VLOOKUP($C896,Master_Mappings!$N$4:$S$134,4,FALSE()),""))</f>
        <v/>
      </c>
      <c r="M896" s="0" t="str">
        <f aca="false">IF($C896="","",IFERROR(VLOOKUP($C896,Master_Mappings!$N$4:$S$200,6,FALSE()),""))</f>
        <v/>
      </c>
    </row>
    <row r="897" customFormat="false" ht="13.5" hidden="false" customHeight="false" outlineLevel="0" collapsed="false">
      <c r="I897" s="1" t="str">
        <f aca="false">IF($C897="","",IFERROR(VLOOKUP($C897,Master_Mappings!$N$4:$S$200,3,FALSE()),"UNMAPPED"))</f>
        <v/>
      </c>
      <c r="J897" s="1" t="str">
        <f aca="false">IF($C897="","",IFERROR(VLOOKUP($C897,Master_Mappings!$N$4:$S$134,4,FALSE()),""))</f>
        <v/>
      </c>
      <c r="M897" s="0" t="str">
        <f aca="false">IF($C897="","",IFERROR(VLOOKUP($C897,Master_Mappings!$N$4:$S$200,6,FALSE()),""))</f>
        <v/>
      </c>
    </row>
    <row r="898" customFormat="false" ht="13.5" hidden="false" customHeight="false" outlineLevel="0" collapsed="false">
      <c r="I898" s="1" t="str">
        <f aca="false">IF($C898="","",IFERROR(VLOOKUP($C898,Master_Mappings!$N$4:$S$200,3,FALSE()),"UNMAPPED"))</f>
        <v/>
      </c>
      <c r="J898" s="1" t="str">
        <f aca="false">IF($C898="","",IFERROR(VLOOKUP($C898,Master_Mappings!$N$4:$S$134,4,FALSE()),""))</f>
        <v/>
      </c>
      <c r="M898" s="0" t="str">
        <f aca="false">IF($C898="","",IFERROR(VLOOKUP($C898,Master_Mappings!$N$4:$S$200,6,FALSE()),""))</f>
        <v/>
      </c>
    </row>
    <row r="899" customFormat="false" ht="13.5" hidden="false" customHeight="false" outlineLevel="0" collapsed="false">
      <c r="I899" s="1" t="str">
        <f aca="false">IF($C899="","",IFERROR(VLOOKUP($C899,Master_Mappings!$N$4:$S$200,3,FALSE()),"UNMAPPED"))</f>
        <v/>
      </c>
      <c r="J899" s="1" t="str">
        <f aca="false">IF($C899="","",IFERROR(VLOOKUP($C899,Master_Mappings!$N$4:$S$134,4,FALSE()),""))</f>
        <v/>
      </c>
      <c r="M899" s="0" t="str">
        <f aca="false">IF($C899="","",IFERROR(VLOOKUP($C899,Master_Mappings!$N$4:$S$200,6,FALSE()),""))</f>
        <v/>
      </c>
    </row>
    <row r="900" customFormat="false" ht="13.5" hidden="false" customHeight="false" outlineLevel="0" collapsed="false">
      <c r="I900" s="1" t="str">
        <f aca="false">IF($C900="","",IFERROR(VLOOKUP($C900,Master_Mappings!$N$4:$S$200,3,FALSE()),"UNMAPPED"))</f>
        <v/>
      </c>
      <c r="J900" s="1" t="str">
        <f aca="false">IF($C900="","",IFERROR(VLOOKUP($C900,Master_Mappings!$N$4:$S$134,4,FALSE()),""))</f>
        <v/>
      </c>
      <c r="M900" s="0" t="str">
        <f aca="false">IF($C900="","",IFERROR(VLOOKUP($C900,Master_Mappings!$N$4:$S$200,6,FALSE()),""))</f>
        <v/>
      </c>
    </row>
    <row r="901" customFormat="false" ht="13.5" hidden="false" customHeight="false" outlineLevel="0" collapsed="false">
      <c r="I901" s="1" t="str">
        <f aca="false">IF($C901="","",IFERROR(VLOOKUP($C901,Master_Mappings!$N$4:$S$200,3,FALSE()),"UNMAPPED"))</f>
        <v/>
      </c>
      <c r="J901" s="1" t="str">
        <f aca="false">IF($C901="","",IFERROR(VLOOKUP($C901,Master_Mappings!$N$4:$S$134,4,FALSE()),""))</f>
        <v/>
      </c>
      <c r="M901" s="0" t="str">
        <f aca="false">IF($C901="","",IFERROR(VLOOKUP($C901,Master_Mappings!$N$4:$S$200,6,FALSE()),""))</f>
        <v/>
      </c>
    </row>
    <row r="902" customFormat="false" ht="13.5" hidden="false" customHeight="false" outlineLevel="0" collapsed="false">
      <c r="I902" s="1" t="str">
        <f aca="false">IF($C902="","",IFERROR(VLOOKUP($C902,Master_Mappings!$N$4:$S$200,3,FALSE()),"UNMAPPED"))</f>
        <v/>
      </c>
      <c r="J902" s="1" t="str">
        <f aca="false">IF($C902="","",IFERROR(VLOOKUP($C902,Master_Mappings!$N$4:$S$134,4,FALSE()),""))</f>
        <v/>
      </c>
      <c r="M902" s="0" t="str">
        <f aca="false">IF($C902="","",IFERROR(VLOOKUP($C902,Master_Mappings!$N$4:$S$200,6,FALSE()),""))</f>
        <v/>
      </c>
    </row>
    <row r="903" customFormat="false" ht="13.5" hidden="false" customHeight="false" outlineLevel="0" collapsed="false">
      <c r="I903" s="1" t="str">
        <f aca="false">IF($C903="","",IFERROR(VLOOKUP($C903,Master_Mappings!$N$4:$S$200,3,FALSE()),"UNMAPPED"))</f>
        <v/>
      </c>
      <c r="J903" s="1" t="str">
        <f aca="false">IF($C903="","",IFERROR(VLOOKUP($C903,Master_Mappings!$N$4:$S$134,4,FALSE()),""))</f>
        <v/>
      </c>
      <c r="M903" s="0" t="str">
        <f aca="false">IF($C903="","",IFERROR(VLOOKUP($C903,Master_Mappings!$N$4:$S$200,6,FALSE()),""))</f>
        <v/>
      </c>
    </row>
    <row r="904" customFormat="false" ht="13.5" hidden="false" customHeight="false" outlineLevel="0" collapsed="false">
      <c r="I904" s="1" t="str">
        <f aca="false">IF($C904="","",IFERROR(VLOOKUP($C904,Master_Mappings!$N$4:$S$200,3,FALSE()),"UNMAPPED"))</f>
        <v/>
      </c>
      <c r="J904" s="1" t="str">
        <f aca="false">IF($C904="","",IFERROR(VLOOKUP($C904,Master_Mappings!$N$4:$S$134,4,FALSE()),""))</f>
        <v/>
      </c>
      <c r="M904" s="0" t="str">
        <f aca="false">IF($C904="","",IFERROR(VLOOKUP($C904,Master_Mappings!$N$4:$S$200,6,FALSE()),""))</f>
        <v/>
      </c>
    </row>
    <row r="905" customFormat="false" ht="13.5" hidden="false" customHeight="false" outlineLevel="0" collapsed="false">
      <c r="I905" s="1" t="str">
        <f aca="false">IF($C905="","",IFERROR(VLOOKUP($C905,Master_Mappings!$N$4:$S$200,3,FALSE()),"UNMAPPED"))</f>
        <v/>
      </c>
      <c r="J905" s="1" t="str">
        <f aca="false">IF($C905="","",IFERROR(VLOOKUP($C905,Master_Mappings!$N$4:$S$134,4,FALSE()),""))</f>
        <v/>
      </c>
      <c r="M905" s="0" t="str">
        <f aca="false">IF($C905="","",IFERROR(VLOOKUP($C905,Master_Mappings!$N$4:$S$200,6,FALSE()),""))</f>
        <v/>
      </c>
    </row>
    <row r="906" customFormat="false" ht="13.5" hidden="false" customHeight="false" outlineLevel="0" collapsed="false">
      <c r="I906" s="1" t="str">
        <f aca="false">IF($C906="","",IFERROR(VLOOKUP($C906,Master_Mappings!$N$4:$S$200,3,FALSE()),"UNMAPPED"))</f>
        <v/>
      </c>
      <c r="J906" s="1" t="str">
        <f aca="false">IF($C906="","",IFERROR(VLOOKUP($C906,Master_Mappings!$N$4:$S$134,4,FALSE()),""))</f>
        <v/>
      </c>
      <c r="M906" s="0" t="str">
        <f aca="false">IF($C906="","",IFERROR(VLOOKUP($C906,Master_Mappings!$N$4:$S$200,6,FALSE()),""))</f>
        <v/>
      </c>
    </row>
    <row r="907" customFormat="false" ht="13.5" hidden="false" customHeight="false" outlineLevel="0" collapsed="false">
      <c r="I907" s="1" t="str">
        <f aca="false">IF($C907="","",IFERROR(VLOOKUP($C907,Master_Mappings!$N$4:$S$200,3,FALSE()),"UNMAPPED"))</f>
        <v/>
      </c>
      <c r="J907" s="1" t="str">
        <f aca="false">IF($C907="","",IFERROR(VLOOKUP($C907,Master_Mappings!$N$4:$S$134,4,FALSE()),""))</f>
        <v/>
      </c>
      <c r="M907" s="0" t="str">
        <f aca="false">IF($C907="","",IFERROR(VLOOKUP($C907,Master_Mappings!$N$4:$S$200,6,FALSE()),""))</f>
        <v/>
      </c>
    </row>
    <row r="908" customFormat="false" ht="13.5" hidden="false" customHeight="false" outlineLevel="0" collapsed="false">
      <c r="I908" s="1" t="str">
        <f aca="false">IF($C908="","",IFERROR(VLOOKUP($C908,Master_Mappings!$N$4:$S$200,3,FALSE()),"UNMAPPED"))</f>
        <v/>
      </c>
      <c r="J908" s="1" t="str">
        <f aca="false">IF($C908="","",IFERROR(VLOOKUP($C908,Master_Mappings!$N$4:$S$134,4,FALSE()),""))</f>
        <v/>
      </c>
      <c r="M908" s="0" t="str">
        <f aca="false">IF($C908="","",IFERROR(VLOOKUP($C908,Master_Mappings!$N$4:$S$200,6,FALSE()),""))</f>
        <v/>
      </c>
    </row>
    <row r="909" customFormat="false" ht="13.5" hidden="false" customHeight="false" outlineLevel="0" collapsed="false">
      <c r="I909" s="1" t="str">
        <f aca="false">IF($C909="","",IFERROR(VLOOKUP($C909,Master_Mappings!$N$4:$S$200,3,FALSE()),"UNMAPPED"))</f>
        <v/>
      </c>
      <c r="J909" s="1" t="str">
        <f aca="false">IF($C909="","",IFERROR(VLOOKUP($C909,Master_Mappings!$N$4:$S$134,4,FALSE()),""))</f>
        <v/>
      </c>
      <c r="M909" s="0" t="str">
        <f aca="false">IF($C909="","",IFERROR(VLOOKUP($C909,Master_Mappings!$N$4:$S$200,6,FALSE()),""))</f>
        <v/>
      </c>
    </row>
    <row r="910" customFormat="false" ht="13.5" hidden="false" customHeight="false" outlineLevel="0" collapsed="false">
      <c r="I910" s="1" t="str">
        <f aca="false">IF($C910="","",IFERROR(VLOOKUP($C910,Master_Mappings!$N$4:$S$200,3,FALSE()),"UNMAPPED"))</f>
        <v/>
      </c>
      <c r="J910" s="1" t="str">
        <f aca="false">IF($C910="","",IFERROR(VLOOKUP($C910,Master_Mappings!$N$4:$S$134,4,FALSE()),""))</f>
        <v/>
      </c>
      <c r="M910" s="0" t="str">
        <f aca="false">IF($C910="","",IFERROR(VLOOKUP($C910,Master_Mappings!$N$4:$S$200,6,FALSE()),""))</f>
        <v/>
      </c>
    </row>
    <row r="911" customFormat="false" ht="13.5" hidden="false" customHeight="false" outlineLevel="0" collapsed="false">
      <c r="I911" s="1" t="str">
        <f aca="false">IF($C911="","",IFERROR(VLOOKUP($C911,Master_Mappings!$N$4:$S$200,3,FALSE()),"UNMAPPED"))</f>
        <v/>
      </c>
      <c r="J911" s="1" t="str">
        <f aca="false">IF($C911="","",IFERROR(VLOOKUP($C911,Master_Mappings!$N$4:$S$134,4,FALSE()),""))</f>
        <v/>
      </c>
      <c r="M911" s="0" t="str">
        <f aca="false">IF($C911="","",IFERROR(VLOOKUP($C911,Master_Mappings!$N$4:$S$200,6,FALSE()),""))</f>
        <v/>
      </c>
    </row>
    <row r="912" customFormat="false" ht="13.5" hidden="false" customHeight="false" outlineLevel="0" collapsed="false">
      <c r="I912" s="1" t="str">
        <f aca="false">IF($C912="","",IFERROR(VLOOKUP($C912,Master_Mappings!$N$4:$S$200,3,FALSE()),"UNMAPPED"))</f>
        <v/>
      </c>
      <c r="J912" s="1" t="str">
        <f aca="false">IF($C912="","",IFERROR(VLOOKUP($C912,Master_Mappings!$N$4:$S$134,4,FALSE()),""))</f>
        <v/>
      </c>
      <c r="M912" s="0" t="str">
        <f aca="false">IF($C912="","",IFERROR(VLOOKUP($C912,Master_Mappings!$N$4:$S$200,6,FALSE()),""))</f>
        <v/>
      </c>
    </row>
    <row r="913" customFormat="false" ht="13.5" hidden="false" customHeight="false" outlineLevel="0" collapsed="false">
      <c r="I913" s="1" t="str">
        <f aca="false">IF($C913="","",IFERROR(VLOOKUP($C913,Master_Mappings!$N$4:$S$200,3,FALSE()),"UNMAPPED"))</f>
        <v/>
      </c>
      <c r="J913" s="1" t="str">
        <f aca="false">IF($C913="","",IFERROR(VLOOKUP($C913,Master_Mappings!$N$4:$S$134,4,FALSE()),""))</f>
        <v/>
      </c>
      <c r="M913" s="0" t="str">
        <f aca="false">IF($C913="","",IFERROR(VLOOKUP($C913,Master_Mappings!$N$4:$S$200,6,FALSE()),""))</f>
        <v/>
      </c>
    </row>
    <row r="914" customFormat="false" ht="13.5" hidden="false" customHeight="false" outlineLevel="0" collapsed="false">
      <c r="I914" s="1" t="str">
        <f aca="false">IF($C914="","",IFERROR(VLOOKUP($C914,Master_Mappings!$N$4:$S$200,3,FALSE()),"UNMAPPED"))</f>
        <v/>
      </c>
      <c r="J914" s="1" t="str">
        <f aca="false">IF($C914="","",IFERROR(VLOOKUP($C914,Master_Mappings!$N$4:$S$134,4,FALSE()),""))</f>
        <v/>
      </c>
      <c r="M914" s="0" t="str">
        <f aca="false">IF($C914="","",IFERROR(VLOOKUP($C914,Master_Mappings!$N$4:$S$200,6,FALSE()),""))</f>
        <v/>
      </c>
    </row>
    <row r="915" customFormat="false" ht="13.5" hidden="false" customHeight="false" outlineLevel="0" collapsed="false">
      <c r="I915" s="1" t="str">
        <f aca="false">IF($C915="","",IFERROR(VLOOKUP($C915,Master_Mappings!$N$4:$S$200,3,FALSE()),"UNMAPPED"))</f>
        <v/>
      </c>
      <c r="J915" s="1" t="str">
        <f aca="false">IF($C915="","",IFERROR(VLOOKUP($C915,Master_Mappings!$N$4:$S$134,4,FALSE()),""))</f>
        <v/>
      </c>
      <c r="M915" s="0" t="str">
        <f aca="false">IF($C915="","",IFERROR(VLOOKUP($C915,Master_Mappings!$N$4:$S$200,6,FALSE()),""))</f>
        <v/>
      </c>
    </row>
    <row r="916" customFormat="false" ht="13.5" hidden="false" customHeight="false" outlineLevel="0" collapsed="false">
      <c r="I916" s="1" t="str">
        <f aca="false">IF($C916="","",IFERROR(VLOOKUP($C916,Master_Mappings!$N$4:$S$200,3,FALSE()),"UNMAPPED"))</f>
        <v/>
      </c>
      <c r="J916" s="1" t="str">
        <f aca="false">IF($C916="","",IFERROR(VLOOKUP($C916,Master_Mappings!$N$4:$S$134,4,FALSE()),""))</f>
        <v/>
      </c>
      <c r="M916" s="0" t="str">
        <f aca="false">IF($C916="","",IFERROR(VLOOKUP($C916,Master_Mappings!$N$4:$S$200,6,FALSE()),""))</f>
        <v/>
      </c>
    </row>
    <row r="917" customFormat="false" ht="13.5" hidden="false" customHeight="false" outlineLevel="0" collapsed="false">
      <c r="I917" s="1" t="str">
        <f aca="false">IF($C917="","",IFERROR(VLOOKUP($C917,Master_Mappings!$N$4:$S$200,3,FALSE()),"UNMAPPED"))</f>
        <v/>
      </c>
      <c r="J917" s="1" t="str">
        <f aca="false">IF($C917="","",IFERROR(VLOOKUP($C917,Master_Mappings!$N$4:$S$134,4,FALSE()),""))</f>
        <v/>
      </c>
      <c r="M917" s="0" t="str">
        <f aca="false">IF($C917="","",IFERROR(VLOOKUP($C917,Master_Mappings!$N$4:$S$200,6,FALSE()),""))</f>
        <v/>
      </c>
    </row>
    <row r="918" customFormat="false" ht="13.5" hidden="false" customHeight="false" outlineLevel="0" collapsed="false">
      <c r="I918" s="1" t="str">
        <f aca="false">IF($C918="","",IFERROR(VLOOKUP($C918,Master_Mappings!$N$4:$S$200,3,FALSE()),"UNMAPPED"))</f>
        <v/>
      </c>
      <c r="J918" s="1" t="str">
        <f aca="false">IF($C918="","",IFERROR(VLOOKUP($C918,Master_Mappings!$N$4:$S$134,4,FALSE()),""))</f>
        <v/>
      </c>
      <c r="M918" s="0" t="str">
        <f aca="false">IF($C918="","",IFERROR(VLOOKUP($C918,Master_Mappings!$N$4:$S$200,6,FALSE()),""))</f>
        <v/>
      </c>
    </row>
    <row r="919" customFormat="false" ht="13.5" hidden="false" customHeight="false" outlineLevel="0" collapsed="false">
      <c r="I919" s="1" t="str">
        <f aca="false">IF($C919="","",IFERROR(VLOOKUP($C919,Master_Mappings!$N$4:$S$200,3,FALSE()),"UNMAPPED"))</f>
        <v/>
      </c>
      <c r="J919" s="1" t="str">
        <f aca="false">IF($C919="","",IFERROR(VLOOKUP($C919,Master_Mappings!$N$4:$S$134,4,FALSE()),""))</f>
        <v/>
      </c>
      <c r="M919" s="0" t="str">
        <f aca="false">IF($C919="","",IFERROR(VLOOKUP($C919,Master_Mappings!$N$4:$S$200,6,FALSE()),""))</f>
        <v/>
      </c>
    </row>
    <row r="920" customFormat="false" ht="13.5" hidden="false" customHeight="false" outlineLevel="0" collapsed="false">
      <c r="I920" s="1" t="str">
        <f aca="false">IF($C920="","",IFERROR(VLOOKUP($C920,Master_Mappings!$N$4:$S$200,3,FALSE()),"UNMAPPED"))</f>
        <v/>
      </c>
      <c r="J920" s="1" t="str">
        <f aca="false">IF($C920="","",IFERROR(VLOOKUP($C920,Master_Mappings!$N$4:$S$134,4,FALSE()),""))</f>
        <v/>
      </c>
      <c r="M920" s="0" t="str">
        <f aca="false">IF($C920="","",IFERROR(VLOOKUP($C920,Master_Mappings!$N$4:$S$200,6,FALSE()),""))</f>
        <v/>
      </c>
    </row>
    <row r="921" customFormat="false" ht="13.5" hidden="false" customHeight="false" outlineLevel="0" collapsed="false">
      <c r="I921" s="1" t="str">
        <f aca="false">IF($C921="","",IFERROR(VLOOKUP($C921,Master_Mappings!$N$4:$S$200,3,FALSE()),"UNMAPPED"))</f>
        <v/>
      </c>
      <c r="J921" s="1" t="str">
        <f aca="false">IF($C921="","",IFERROR(VLOOKUP($C921,Master_Mappings!$N$4:$S$134,4,FALSE()),""))</f>
        <v/>
      </c>
      <c r="M921" s="0" t="str">
        <f aca="false">IF($C921="","",IFERROR(VLOOKUP($C921,Master_Mappings!$N$4:$S$200,6,FALSE()),""))</f>
        <v/>
      </c>
    </row>
    <row r="922" customFormat="false" ht="13.5" hidden="false" customHeight="false" outlineLevel="0" collapsed="false">
      <c r="I922" s="1" t="str">
        <f aca="false">IF($C922="","",IFERROR(VLOOKUP($C922,Master_Mappings!$N$4:$S$200,3,FALSE()),"UNMAPPED"))</f>
        <v/>
      </c>
      <c r="J922" s="1" t="str">
        <f aca="false">IF($C922="","",IFERROR(VLOOKUP($C922,Master_Mappings!$N$4:$S$134,4,FALSE()),""))</f>
        <v/>
      </c>
      <c r="M922" s="0" t="str">
        <f aca="false">IF($C922="","",IFERROR(VLOOKUP($C922,Master_Mappings!$N$4:$S$200,6,FALSE()),""))</f>
        <v/>
      </c>
    </row>
    <row r="923" customFormat="false" ht="13.5" hidden="false" customHeight="false" outlineLevel="0" collapsed="false">
      <c r="I923" s="1" t="str">
        <f aca="false">IF($C923="","",IFERROR(VLOOKUP($C923,Master_Mappings!$N$4:$S$200,3,FALSE()),"UNMAPPED"))</f>
        <v/>
      </c>
      <c r="J923" s="1" t="str">
        <f aca="false">IF($C923="","",IFERROR(VLOOKUP($C923,Master_Mappings!$N$4:$S$134,4,FALSE()),""))</f>
        <v/>
      </c>
      <c r="M923" s="0" t="str">
        <f aca="false">IF($C923="","",IFERROR(VLOOKUP($C923,Master_Mappings!$N$4:$S$200,6,FALSE()),""))</f>
        <v/>
      </c>
    </row>
    <row r="924" customFormat="false" ht="13.5" hidden="false" customHeight="false" outlineLevel="0" collapsed="false">
      <c r="I924" s="1" t="str">
        <f aca="false">IF($C924="","",IFERROR(VLOOKUP($C924,Master_Mappings!$N$4:$S$200,3,FALSE()),"UNMAPPED"))</f>
        <v/>
      </c>
      <c r="J924" s="1" t="str">
        <f aca="false">IF($C924="","",IFERROR(VLOOKUP($C924,Master_Mappings!$N$4:$S$134,4,FALSE()),""))</f>
        <v/>
      </c>
      <c r="M924" s="0" t="str">
        <f aca="false">IF($C924="","",IFERROR(VLOOKUP($C924,Master_Mappings!$N$4:$S$200,6,FALSE()),""))</f>
        <v/>
      </c>
    </row>
    <row r="925" customFormat="false" ht="13.5" hidden="false" customHeight="false" outlineLevel="0" collapsed="false">
      <c r="I925" s="1" t="str">
        <f aca="false">IF($C925="","",IFERROR(VLOOKUP($C925,Master_Mappings!$N$4:$S$200,3,FALSE()),"UNMAPPED"))</f>
        <v/>
      </c>
      <c r="J925" s="1" t="str">
        <f aca="false">IF($C925="","",IFERROR(VLOOKUP($C925,Master_Mappings!$N$4:$S$134,4,FALSE()),""))</f>
        <v/>
      </c>
      <c r="M925" s="0" t="str">
        <f aca="false">IF($C925="","",IFERROR(VLOOKUP($C925,Master_Mappings!$N$4:$S$200,6,FALSE()),""))</f>
        <v/>
      </c>
    </row>
    <row r="926" customFormat="false" ht="13.5" hidden="false" customHeight="false" outlineLevel="0" collapsed="false">
      <c r="I926" s="1" t="str">
        <f aca="false">IF($C926="","",IFERROR(VLOOKUP($C926,Master_Mappings!$N$4:$S$200,3,FALSE()),"UNMAPPED"))</f>
        <v/>
      </c>
      <c r="J926" s="1" t="str">
        <f aca="false">IF($C926="","",IFERROR(VLOOKUP($C926,Master_Mappings!$N$4:$S$134,4,FALSE()),""))</f>
        <v/>
      </c>
      <c r="M926" s="0" t="str">
        <f aca="false">IF($C926="","",IFERROR(VLOOKUP($C926,Master_Mappings!$N$4:$S$200,6,FALSE()),""))</f>
        <v/>
      </c>
    </row>
    <row r="927" customFormat="false" ht="13.5" hidden="false" customHeight="false" outlineLevel="0" collapsed="false">
      <c r="I927" s="1" t="str">
        <f aca="false">IF($C927="","",IFERROR(VLOOKUP($C927,Master_Mappings!$N$4:$S$200,3,FALSE()),"UNMAPPED"))</f>
        <v/>
      </c>
      <c r="J927" s="1" t="str">
        <f aca="false">IF($C927="","",IFERROR(VLOOKUP($C927,Master_Mappings!$N$4:$S$134,4,FALSE()),""))</f>
        <v/>
      </c>
      <c r="M927" s="0" t="str">
        <f aca="false">IF($C927="","",IFERROR(VLOOKUP($C927,Master_Mappings!$N$4:$S$200,6,FALSE()),""))</f>
        <v/>
      </c>
    </row>
    <row r="928" customFormat="false" ht="13.5" hidden="false" customHeight="false" outlineLevel="0" collapsed="false">
      <c r="I928" s="1" t="str">
        <f aca="false">IF($C928="","",IFERROR(VLOOKUP($C928,Master_Mappings!$N$4:$S$200,3,FALSE()),"UNMAPPED"))</f>
        <v/>
      </c>
      <c r="J928" s="1" t="str">
        <f aca="false">IF($C928="","",IFERROR(VLOOKUP($C928,Master_Mappings!$N$4:$S$134,4,FALSE()),""))</f>
        <v/>
      </c>
      <c r="M928" s="0" t="str">
        <f aca="false">IF($C928="","",IFERROR(VLOOKUP($C928,Master_Mappings!$N$4:$S$200,6,FALSE()),""))</f>
        <v/>
      </c>
    </row>
    <row r="929" customFormat="false" ht="13.5" hidden="false" customHeight="false" outlineLevel="0" collapsed="false">
      <c r="I929" s="1" t="str">
        <f aca="false">IF($C929="","",IFERROR(VLOOKUP($C929,Master_Mappings!$N$4:$S$200,3,FALSE()),"UNMAPPED"))</f>
        <v/>
      </c>
      <c r="J929" s="1" t="str">
        <f aca="false">IF($C929="","",IFERROR(VLOOKUP($C929,Master_Mappings!$N$4:$S$134,4,FALSE()),""))</f>
        <v/>
      </c>
      <c r="M929" s="0" t="str">
        <f aca="false">IF($C929="","",IFERROR(VLOOKUP($C929,Master_Mappings!$N$4:$S$200,6,FALSE()),""))</f>
        <v/>
      </c>
    </row>
    <row r="930" customFormat="false" ht="13.5" hidden="false" customHeight="false" outlineLevel="0" collapsed="false">
      <c r="I930" s="1" t="str">
        <f aca="false">IF($C930="","",IFERROR(VLOOKUP($C930,Master_Mappings!$N$4:$S$200,3,FALSE()),"UNMAPPED"))</f>
        <v/>
      </c>
      <c r="J930" s="1" t="str">
        <f aca="false">IF($C930="","",IFERROR(VLOOKUP($C930,Master_Mappings!$N$4:$S$134,4,FALSE()),""))</f>
        <v/>
      </c>
      <c r="M930" s="0" t="str">
        <f aca="false">IF($C930="","",IFERROR(VLOOKUP($C930,Master_Mappings!$N$4:$S$200,6,FALSE()),""))</f>
        <v/>
      </c>
    </row>
    <row r="931" customFormat="false" ht="13.5" hidden="false" customHeight="false" outlineLevel="0" collapsed="false">
      <c r="I931" s="1" t="str">
        <f aca="false">IF($C931="","",IFERROR(VLOOKUP($C931,Master_Mappings!$N$4:$S$200,3,FALSE()),"UNMAPPED"))</f>
        <v/>
      </c>
      <c r="J931" s="1" t="str">
        <f aca="false">IF($C931="","",IFERROR(VLOOKUP($C931,Master_Mappings!$N$4:$S$134,4,FALSE()),""))</f>
        <v/>
      </c>
      <c r="M931" s="0" t="str">
        <f aca="false">IF($C931="","",IFERROR(VLOOKUP($C931,Master_Mappings!$N$4:$S$200,6,FALSE()),""))</f>
        <v/>
      </c>
    </row>
    <row r="932" customFormat="false" ht="13.5" hidden="false" customHeight="false" outlineLevel="0" collapsed="false">
      <c r="I932" s="1" t="str">
        <f aca="false">IF($C932="","",IFERROR(VLOOKUP($C932,Master_Mappings!$N$4:$S$200,3,FALSE()),"UNMAPPED"))</f>
        <v/>
      </c>
      <c r="J932" s="1" t="str">
        <f aca="false">IF($C932="","",IFERROR(VLOOKUP($C932,Master_Mappings!$N$4:$S$134,4,FALSE()),""))</f>
        <v/>
      </c>
      <c r="M932" s="0" t="str">
        <f aca="false">IF($C932="","",IFERROR(VLOOKUP($C932,Master_Mappings!$N$4:$S$200,6,FALSE()),""))</f>
        <v/>
      </c>
    </row>
    <row r="933" customFormat="false" ht="13.5" hidden="false" customHeight="false" outlineLevel="0" collapsed="false">
      <c r="I933" s="1" t="str">
        <f aca="false">IF($C933="","",IFERROR(VLOOKUP($C933,Master_Mappings!$N$4:$S$200,3,FALSE()),"UNMAPPED"))</f>
        <v/>
      </c>
      <c r="J933" s="1" t="str">
        <f aca="false">IF($C933="","",IFERROR(VLOOKUP($C933,Master_Mappings!$N$4:$S$134,4,FALSE()),""))</f>
        <v/>
      </c>
      <c r="M933" s="0" t="str">
        <f aca="false">IF($C933="","",IFERROR(VLOOKUP($C933,Master_Mappings!$N$4:$S$200,6,FALSE()),""))</f>
        <v/>
      </c>
    </row>
    <row r="934" customFormat="false" ht="13.5" hidden="false" customHeight="false" outlineLevel="0" collapsed="false">
      <c r="I934" s="1" t="str">
        <f aca="false">IF($C934="","",IFERROR(VLOOKUP($C934,Master_Mappings!$N$4:$S$200,3,FALSE()),"UNMAPPED"))</f>
        <v/>
      </c>
      <c r="J934" s="1" t="str">
        <f aca="false">IF($C934="","",IFERROR(VLOOKUP($C934,Master_Mappings!$N$4:$S$134,4,FALSE()),""))</f>
        <v/>
      </c>
      <c r="M934" s="0" t="str">
        <f aca="false">IF($C934="","",IFERROR(VLOOKUP($C934,Master_Mappings!$N$4:$S$200,6,FALSE()),""))</f>
        <v/>
      </c>
    </row>
    <row r="935" customFormat="false" ht="13.5" hidden="false" customHeight="false" outlineLevel="0" collapsed="false">
      <c r="I935" s="1" t="str">
        <f aca="false">IF($C935="","",IFERROR(VLOOKUP($C935,Master_Mappings!$N$4:$S$200,3,FALSE()),"UNMAPPED"))</f>
        <v/>
      </c>
      <c r="J935" s="1" t="str">
        <f aca="false">IF($C935="","",IFERROR(VLOOKUP($C935,Master_Mappings!$N$4:$S$134,4,FALSE()),""))</f>
        <v/>
      </c>
      <c r="M935" s="0" t="str">
        <f aca="false">IF($C935="","",IFERROR(VLOOKUP($C935,Master_Mappings!$N$4:$S$200,6,FALSE()),""))</f>
        <v/>
      </c>
    </row>
    <row r="936" customFormat="false" ht="13.5" hidden="false" customHeight="false" outlineLevel="0" collapsed="false">
      <c r="I936" s="1" t="str">
        <f aca="false">IF($C936="","",IFERROR(VLOOKUP($C936,Master_Mappings!$N$4:$S$200,3,FALSE()),"UNMAPPED"))</f>
        <v/>
      </c>
      <c r="J936" s="1" t="str">
        <f aca="false">IF($C936="","",IFERROR(VLOOKUP($C936,Master_Mappings!$N$4:$S$134,4,FALSE()),""))</f>
        <v/>
      </c>
      <c r="M936" s="0" t="str">
        <f aca="false">IF($C936="","",IFERROR(VLOOKUP($C936,Master_Mappings!$N$4:$S$200,6,FALSE()),""))</f>
        <v/>
      </c>
    </row>
    <row r="937" customFormat="false" ht="13.5" hidden="false" customHeight="false" outlineLevel="0" collapsed="false">
      <c r="I937" s="1" t="str">
        <f aca="false">IF($C937="","",IFERROR(VLOOKUP($C937,Master_Mappings!$N$4:$S$200,3,FALSE()),"UNMAPPED"))</f>
        <v/>
      </c>
      <c r="J937" s="1" t="str">
        <f aca="false">IF($C937="","",IFERROR(VLOOKUP($C937,Master_Mappings!$N$4:$S$134,4,FALSE()),""))</f>
        <v/>
      </c>
      <c r="M937" s="0" t="str">
        <f aca="false">IF($C937="","",IFERROR(VLOOKUP($C937,Master_Mappings!$N$4:$S$200,6,FALSE()),""))</f>
        <v/>
      </c>
    </row>
    <row r="938" customFormat="false" ht="13.5" hidden="false" customHeight="false" outlineLevel="0" collapsed="false">
      <c r="I938" s="1" t="str">
        <f aca="false">IF($C938="","",IFERROR(VLOOKUP($C938,Master_Mappings!$N$4:$S$200,3,FALSE()),"UNMAPPED"))</f>
        <v/>
      </c>
      <c r="J938" s="1" t="str">
        <f aca="false">IF($C938="","",IFERROR(VLOOKUP($C938,Master_Mappings!$N$4:$S$134,4,FALSE()),""))</f>
        <v/>
      </c>
      <c r="M938" s="0" t="str">
        <f aca="false">IF($C938="","",IFERROR(VLOOKUP($C938,Master_Mappings!$N$4:$S$200,6,FALSE()),""))</f>
        <v/>
      </c>
    </row>
    <row r="939" customFormat="false" ht="13.5" hidden="false" customHeight="false" outlineLevel="0" collapsed="false">
      <c r="I939" s="1" t="str">
        <f aca="false">IF($C939="","",IFERROR(VLOOKUP($C939,Master_Mappings!$N$4:$S$200,3,FALSE()),"UNMAPPED"))</f>
        <v/>
      </c>
      <c r="J939" s="1" t="str">
        <f aca="false">IF($C939="","",IFERROR(VLOOKUP($C939,Master_Mappings!$N$4:$S$134,4,FALSE()),""))</f>
        <v/>
      </c>
      <c r="M939" s="0" t="str">
        <f aca="false">IF($C939="","",IFERROR(VLOOKUP($C939,Master_Mappings!$N$4:$S$200,6,FALSE()),""))</f>
        <v/>
      </c>
    </row>
    <row r="940" customFormat="false" ht="13.5" hidden="false" customHeight="false" outlineLevel="0" collapsed="false">
      <c r="I940" s="1" t="str">
        <f aca="false">IF($C940="","",IFERROR(VLOOKUP($C940,Master_Mappings!$N$4:$S$200,3,FALSE()),"UNMAPPED"))</f>
        <v/>
      </c>
      <c r="J940" s="1" t="str">
        <f aca="false">IF($C940="","",IFERROR(VLOOKUP($C940,Master_Mappings!$N$4:$S$134,4,FALSE()),""))</f>
        <v/>
      </c>
      <c r="M940" s="0" t="str">
        <f aca="false">IF($C940="","",IFERROR(VLOOKUP($C940,Master_Mappings!$N$4:$S$200,6,FALSE()),""))</f>
        <v/>
      </c>
    </row>
    <row r="941" customFormat="false" ht="13.5" hidden="false" customHeight="false" outlineLevel="0" collapsed="false">
      <c r="I941" s="1" t="str">
        <f aca="false">IF($C941="","",IFERROR(VLOOKUP($C941,Master_Mappings!$N$4:$S$200,3,FALSE()),"UNMAPPED"))</f>
        <v/>
      </c>
      <c r="J941" s="1" t="str">
        <f aca="false">IF($C941="","",IFERROR(VLOOKUP($C941,Master_Mappings!$N$4:$S$134,4,FALSE()),""))</f>
        <v/>
      </c>
      <c r="M941" s="0" t="str">
        <f aca="false">IF($C941="","",IFERROR(VLOOKUP($C941,Master_Mappings!$N$4:$S$200,6,FALSE()),""))</f>
        <v/>
      </c>
    </row>
    <row r="942" customFormat="false" ht="13.5" hidden="false" customHeight="false" outlineLevel="0" collapsed="false">
      <c r="I942" s="1" t="str">
        <f aca="false">IF($C942="","",IFERROR(VLOOKUP($C942,Master_Mappings!$N$4:$S$200,3,FALSE()),"UNMAPPED"))</f>
        <v/>
      </c>
      <c r="J942" s="1" t="str">
        <f aca="false">IF($C942="","",IFERROR(VLOOKUP($C942,Master_Mappings!$N$4:$S$134,4,FALSE()),""))</f>
        <v/>
      </c>
      <c r="M942" s="0" t="str">
        <f aca="false">IF($C942="","",IFERROR(VLOOKUP($C942,Master_Mappings!$N$4:$S$200,6,FALSE()),""))</f>
        <v/>
      </c>
    </row>
    <row r="943" customFormat="false" ht="13.5" hidden="false" customHeight="false" outlineLevel="0" collapsed="false">
      <c r="I943" s="1" t="str">
        <f aca="false">IF($C943="","",IFERROR(VLOOKUP($C943,Master_Mappings!$N$4:$S$200,3,FALSE()),"UNMAPPED"))</f>
        <v/>
      </c>
      <c r="J943" s="1" t="str">
        <f aca="false">IF($C943="","",IFERROR(VLOOKUP($C943,Master_Mappings!$N$4:$S$134,4,FALSE()),""))</f>
        <v/>
      </c>
      <c r="M943" s="0" t="str">
        <f aca="false">IF($C943="","",IFERROR(VLOOKUP($C943,Master_Mappings!$N$4:$S$200,6,FALSE()),""))</f>
        <v/>
      </c>
    </row>
    <row r="944" customFormat="false" ht="13.5" hidden="false" customHeight="false" outlineLevel="0" collapsed="false">
      <c r="I944" s="1" t="str">
        <f aca="false">IF($C944="","",IFERROR(VLOOKUP($C944,Master_Mappings!$N$4:$S$200,3,FALSE()),"UNMAPPED"))</f>
        <v/>
      </c>
      <c r="J944" s="1" t="str">
        <f aca="false">IF($C944="","",IFERROR(VLOOKUP($C944,Master_Mappings!$N$4:$S$134,4,FALSE()),""))</f>
        <v/>
      </c>
      <c r="M944" s="0" t="str">
        <f aca="false">IF($C944="","",IFERROR(VLOOKUP($C944,Master_Mappings!$N$4:$S$200,6,FALSE()),""))</f>
        <v/>
      </c>
    </row>
    <row r="945" customFormat="false" ht="13.5" hidden="false" customHeight="false" outlineLevel="0" collapsed="false">
      <c r="I945" s="1" t="str">
        <f aca="false">IF($C945="","",IFERROR(VLOOKUP($C945,Master_Mappings!$N$4:$S$200,3,FALSE()),"UNMAPPED"))</f>
        <v/>
      </c>
      <c r="J945" s="1" t="str">
        <f aca="false">IF($C945="","",IFERROR(VLOOKUP($C945,Master_Mappings!$N$4:$S$134,4,FALSE()),""))</f>
        <v/>
      </c>
      <c r="M945" s="0" t="str">
        <f aca="false">IF($C945="","",IFERROR(VLOOKUP($C945,Master_Mappings!$N$4:$S$200,6,FALSE()),""))</f>
        <v/>
      </c>
    </row>
    <row r="946" customFormat="false" ht="13.5" hidden="false" customHeight="false" outlineLevel="0" collapsed="false">
      <c r="I946" s="1" t="str">
        <f aca="false">IF($C946="","",IFERROR(VLOOKUP($C946,Master_Mappings!$N$4:$S$200,3,FALSE()),"UNMAPPED"))</f>
        <v/>
      </c>
      <c r="J946" s="1" t="str">
        <f aca="false">IF($C946="","",IFERROR(VLOOKUP($C946,Master_Mappings!$N$4:$S$134,4,FALSE()),""))</f>
        <v/>
      </c>
      <c r="M946" s="0" t="str">
        <f aca="false">IF($C946="","",IFERROR(VLOOKUP($C946,Master_Mappings!$N$4:$S$200,6,FALSE()),""))</f>
        <v/>
      </c>
    </row>
    <row r="947" customFormat="false" ht="13.5" hidden="false" customHeight="false" outlineLevel="0" collapsed="false">
      <c r="I947" s="1" t="str">
        <f aca="false">IF($C947="","",IFERROR(VLOOKUP($C947,Master_Mappings!$N$4:$S$200,3,FALSE()),"UNMAPPED"))</f>
        <v/>
      </c>
      <c r="J947" s="1" t="str">
        <f aca="false">IF($C947="","",IFERROR(VLOOKUP($C947,Master_Mappings!$N$4:$S$134,4,FALSE()),""))</f>
        <v/>
      </c>
      <c r="M947" s="0" t="str">
        <f aca="false">IF($C947="","",IFERROR(VLOOKUP($C947,Master_Mappings!$N$4:$S$200,6,FALSE()),""))</f>
        <v/>
      </c>
    </row>
    <row r="948" customFormat="false" ht="13.5" hidden="false" customHeight="false" outlineLevel="0" collapsed="false">
      <c r="I948" s="1" t="str">
        <f aca="false">IF($C948="","",IFERROR(VLOOKUP($C948,Master_Mappings!$N$4:$S$200,3,FALSE()),"UNMAPPED"))</f>
        <v/>
      </c>
      <c r="J948" s="1" t="str">
        <f aca="false">IF($C948="","",IFERROR(VLOOKUP($C948,Master_Mappings!$N$4:$S$134,4,FALSE()),""))</f>
        <v/>
      </c>
      <c r="M948" s="0" t="str">
        <f aca="false">IF($C948="","",IFERROR(VLOOKUP($C948,Master_Mappings!$N$4:$S$200,6,FALSE()),""))</f>
        <v/>
      </c>
    </row>
    <row r="949" customFormat="false" ht="13.5" hidden="false" customHeight="false" outlineLevel="0" collapsed="false">
      <c r="I949" s="1" t="str">
        <f aca="false">IF($C949="","",IFERROR(VLOOKUP($C949,Master_Mappings!$N$4:$S$200,3,FALSE()),"UNMAPPED"))</f>
        <v/>
      </c>
      <c r="J949" s="1" t="str">
        <f aca="false">IF($C949="","",IFERROR(VLOOKUP($C949,Master_Mappings!$N$4:$S$134,4,FALSE()),""))</f>
        <v/>
      </c>
      <c r="M949" s="0" t="str">
        <f aca="false">IF($C949="","",IFERROR(VLOOKUP($C949,Master_Mappings!$N$4:$S$200,6,FALSE()),""))</f>
        <v/>
      </c>
    </row>
    <row r="950" customFormat="false" ht="13.5" hidden="false" customHeight="false" outlineLevel="0" collapsed="false">
      <c r="I950" s="1" t="str">
        <f aca="false">IF($C950="","",IFERROR(VLOOKUP($C950,Master_Mappings!$N$4:$S$200,3,FALSE()),"UNMAPPED"))</f>
        <v/>
      </c>
      <c r="J950" s="1" t="str">
        <f aca="false">IF($C950="","",IFERROR(VLOOKUP($C950,Master_Mappings!$N$4:$S$134,4,FALSE()),""))</f>
        <v/>
      </c>
      <c r="M950" s="0" t="str">
        <f aca="false">IF($C950="","",IFERROR(VLOOKUP($C950,Master_Mappings!$N$4:$S$200,6,FALSE()),""))</f>
        <v/>
      </c>
    </row>
    <row r="951" customFormat="false" ht="13.5" hidden="false" customHeight="false" outlineLevel="0" collapsed="false">
      <c r="I951" s="1" t="str">
        <f aca="false">IF($C951="","",IFERROR(VLOOKUP($C951,Master_Mappings!$N$4:$S$200,3,FALSE()),"UNMAPPED"))</f>
        <v/>
      </c>
      <c r="J951" s="1" t="str">
        <f aca="false">IF($C951="","",IFERROR(VLOOKUP($C951,Master_Mappings!$N$4:$S$134,4,FALSE()),""))</f>
        <v/>
      </c>
      <c r="M951" s="0" t="str">
        <f aca="false">IF($C951="","",IFERROR(VLOOKUP($C951,Master_Mappings!$N$4:$S$200,6,FALSE()),""))</f>
        <v/>
      </c>
    </row>
    <row r="952" customFormat="false" ht="13.5" hidden="false" customHeight="false" outlineLevel="0" collapsed="false">
      <c r="I952" s="1" t="str">
        <f aca="false">IF($C952="","",IFERROR(VLOOKUP($C952,Master_Mappings!$N$4:$S$200,3,FALSE()),"UNMAPPED"))</f>
        <v/>
      </c>
      <c r="J952" s="1" t="str">
        <f aca="false">IF($C952="","",IFERROR(VLOOKUP($C952,Master_Mappings!$N$4:$S$134,4,FALSE()),""))</f>
        <v/>
      </c>
      <c r="M952" s="0" t="str">
        <f aca="false">IF($C952="","",IFERROR(VLOOKUP($C952,Master_Mappings!$N$4:$S$200,6,FALSE()),""))</f>
        <v/>
      </c>
    </row>
    <row r="953" customFormat="false" ht="13.5" hidden="false" customHeight="false" outlineLevel="0" collapsed="false">
      <c r="I953" s="1" t="str">
        <f aca="false">IF($C953="","",IFERROR(VLOOKUP($C953,Master_Mappings!$N$4:$S$200,3,FALSE()),"UNMAPPED"))</f>
        <v/>
      </c>
      <c r="J953" s="1" t="str">
        <f aca="false">IF($C953="","",IFERROR(VLOOKUP($C953,Master_Mappings!$N$4:$S$134,4,FALSE()),""))</f>
        <v/>
      </c>
      <c r="M953" s="0" t="str">
        <f aca="false">IF($C953="","",IFERROR(VLOOKUP($C953,Master_Mappings!$N$4:$S$200,6,FALSE()),""))</f>
        <v/>
      </c>
    </row>
    <row r="954" customFormat="false" ht="13.5" hidden="false" customHeight="false" outlineLevel="0" collapsed="false">
      <c r="I954" s="1" t="str">
        <f aca="false">IF($C954="","",IFERROR(VLOOKUP($C954,Master_Mappings!$N$4:$S$200,3,FALSE()),"UNMAPPED"))</f>
        <v/>
      </c>
      <c r="J954" s="1" t="str">
        <f aca="false">IF($C954="","",IFERROR(VLOOKUP($C954,Master_Mappings!$N$4:$S$134,4,FALSE()),""))</f>
        <v/>
      </c>
      <c r="M954" s="0" t="str">
        <f aca="false">IF($C954="","",IFERROR(VLOOKUP($C954,Master_Mappings!$N$4:$S$200,6,FALSE()),""))</f>
        <v/>
      </c>
    </row>
    <row r="955" customFormat="false" ht="13.5" hidden="false" customHeight="false" outlineLevel="0" collapsed="false">
      <c r="I955" s="1" t="str">
        <f aca="false">IF($C955="","",IFERROR(VLOOKUP($C955,Master_Mappings!$N$4:$S$200,3,FALSE()),"UNMAPPED"))</f>
        <v/>
      </c>
      <c r="J955" s="1" t="str">
        <f aca="false">IF($C955="","",IFERROR(VLOOKUP($C955,Master_Mappings!$N$4:$S$134,4,FALSE()),""))</f>
        <v/>
      </c>
      <c r="M955" s="0" t="str">
        <f aca="false">IF($C955="","",IFERROR(VLOOKUP($C955,Master_Mappings!$N$4:$S$200,6,FALSE()),""))</f>
        <v/>
      </c>
    </row>
    <row r="956" customFormat="false" ht="13.5" hidden="false" customHeight="false" outlineLevel="0" collapsed="false">
      <c r="I956" s="1" t="str">
        <f aca="false">IF($C956="","",IFERROR(VLOOKUP($C956,Master_Mappings!$N$4:$S$200,3,FALSE()),"UNMAPPED"))</f>
        <v/>
      </c>
      <c r="J956" s="1" t="str">
        <f aca="false">IF($C956="","",IFERROR(VLOOKUP($C956,Master_Mappings!$N$4:$S$134,4,FALSE()),""))</f>
        <v/>
      </c>
      <c r="M956" s="0" t="str">
        <f aca="false">IF($C956="","",IFERROR(VLOOKUP($C956,Master_Mappings!$N$4:$S$200,6,FALSE()),""))</f>
        <v/>
      </c>
    </row>
    <row r="957" customFormat="false" ht="13.5" hidden="false" customHeight="false" outlineLevel="0" collapsed="false">
      <c r="I957" s="1" t="str">
        <f aca="false">IF($C957="","",IFERROR(VLOOKUP($C957,Master_Mappings!$N$4:$S$200,3,FALSE()),"UNMAPPED"))</f>
        <v/>
      </c>
      <c r="J957" s="1" t="str">
        <f aca="false">IF($C957="","",IFERROR(VLOOKUP($C957,Master_Mappings!$N$4:$S$134,4,FALSE()),""))</f>
        <v/>
      </c>
      <c r="M957" s="0" t="str">
        <f aca="false">IF($C957="","",IFERROR(VLOOKUP($C957,Master_Mappings!$N$4:$S$200,6,FALSE()),""))</f>
        <v/>
      </c>
    </row>
    <row r="958" customFormat="false" ht="13.5" hidden="false" customHeight="false" outlineLevel="0" collapsed="false">
      <c r="I958" s="1" t="str">
        <f aca="false">IF($C958="","",IFERROR(VLOOKUP($C958,Master_Mappings!$N$4:$S$200,3,FALSE()),"UNMAPPED"))</f>
        <v/>
      </c>
      <c r="J958" s="1" t="str">
        <f aca="false">IF($C958="","",IFERROR(VLOOKUP($C958,Master_Mappings!$N$4:$S$134,4,FALSE()),""))</f>
        <v/>
      </c>
      <c r="M958" s="0" t="str">
        <f aca="false">IF($C958="","",IFERROR(VLOOKUP($C958,Master_Mappings!$N$4:$S$200,6,FALSE()),""))</f>
        <v/>
      </c>
    </row>
    <row r="959" customFormat="false" ht="13.5" hidden="false" customHeight="false" outlineLevel="0" collapsed="false">
      <c r="I959" s="1" t="str">
        <f aca="false">IF($C959="","",IFERROR(VLOOKUP($C959,Master_Mappings!$N$4:$S$200,3,FALSE()),"UNMAPPED"))</f>
        <v/>
      </c>
      <c r="J959" s="1" t="str">
        <f aca="false">IF($C959="","",IFERROR(VLOOKUP($C959,Master_Mappings!$N$4:$S$134,4,FALSE()),""))</f>
        <v/>
      </c>
      <c r="M959" s="0" t="str">
        <f aca="false">IF($C959="","",IFERROR(VLOOKUP($C959,Master_Mappings!$N$4:$S$200,6,FALSE()),""))</f>
        <v/>
      </c>
    </row>
    <row r="960" customFormat="false" ht="13.5" hidden="false" customHeight="false" outlineLevel="0" collapsed="false">
      <c r="I960" s="1" t="str">
        <f aca="false">IF($C960="","",IFERROR(VLOOKUP($C960,Master_Mappings!$N$4:$S$200,3,FALSE()),"UNMAPPED"))</f>
        <v/>
      </c>
      <c r="J960" s="1" t="str">
        <f aca="false">IF($C960="","",IFERROR(VLOOKUP($C960,Master_Mappings!$N$4:$S$134,4,FALSE()),""))</f>
        <v/>
      </c>
      <c r="M960" s="0" t="str">
        <f aca="false">IF($C960="","",IFERROR(VLOOKUP($C960,Master_Mappings!$N$4:$S$200,6,FALSE()),""))</f>
        <v/>
      </c>
    </row>
    <row r="961" customFormat="false" ht="13.5" hidden="false" customHeight="false" outlineLevel="0" collapsed="false">
      <c r="I961" s="1" t="str">
        <f aca="false">IF($C961="","",IFERROR(VLOOKUP($C961,Master_Mappings!$N$4:$S$200,3,FALSE()),"UNMAPPED"))</f>
        <v/>
      </c>
      <c r="J961" s="1" t="str">
        <f aca="false">IF($C961="","",IFERROR(VLOOKUP($C961,Master_Mappings!$N$4:$S$134,4,FALSE()),""))</f>
        <v/>
      </c>
      <c r="M961" s="0" t="str">
        <f aca="false">IF($C961="","",IFERROR(VLOOKUP($C961,Master_Mappings!$N$4:$S$200,6,FALSE()),""))</f>
        <v/>
      </c>
    </row>
    <row r="962" customFormat="false" ht="13.5" hidden="false" customHeight="false" outlineLevel="0" collapsed="false">
      <c r="I962" s="1" t="str">
        <f aca="false">IF($C962="","",IFERROR(VLOOKUP($C962,Master_Mappings!$N$4:$S$200,3,FALSE()),"UNMAPPED"))</f>
        <v/>
      </c>
      <c r="J962" s="1" t="str">
        <f aca="false">IF($C962="","",IFERROR(VLOOKUP($C962,Master_Mappings!$N$4:$S$134,4,FALSE()),""))</f>
        <v/>
      </c>
      <c r="M962" s="0" t="str">
        <f aca="false">IF($C962="","",IFERROR(VLOOKUP($C962,Master_Mappings!$N$4:$S$200,6,FALSE()),""))</f>
        <v/>
      </c>
    </row>
    <row r="963" customFormat="false" ht="13.5" hidden="false" customHeight="false" outlineLevel="0" collapsed="false">
      <c r="I963" s="1" t="str">
        <f aca="false">IF($C963="","",IFERROR(VLOOKUP($C963,Master_Mappings!$N$4:$S$200,3,FALSE()),"UNMAPPED"))</f>
        <v/>
      </c>
      <c r="J963" s="1" t="str">
        <f aca="false">IF($C963="","",IFERROR(VLOOKUP($C963,Master_Mappings!$N$4:$S$134,4,FALSE()),""))</f>
        <v/>
      </c>
      <c r="M963" s="0" t="str">
        <f aca="false">IF($C963="","",IFERROR(VLOOKUP($C963,Master_Mappings!$N$4:$S$200,6,FALSE()),""))</f>
        <v/>
      </c>
    </row>
    <row r="964" customFormat="false" ht="13.5" hidden="false" customHeight="false" outlineLevel="0" collapsed="false">
      <c r="I964" s="1" t="str">
        <f aca="false">IF($C964="","",IFERROR(VLOOKUP($C964,Master_Mappings!$N$4:$S$200,3,FALSE()),"UNMAPPED"))</f>
        <v/>
      </c>
      <c r="J964" s="1" t="str">
        <f aca="false">IF($C964="","",IFERROR(VLOOKUP($C964,Master_Mappings!$N$4:$S$134,4,FALSE()),""))</f>
        <v/>
      </c>
      <c r="M964" s="0" t="str">
        <f aca="false">IF($C964="","",IFERROR(VLOOKUP($C964,Master_Mappings!$N$4:$S$200,6,FALSE()),""))</f>
        <v/>
      </c>
    </row>
    <row r="965" customFormat="false" ht="13.5" hidden="false" customHeight="false" outlineLevel="0" collapsed="false">
      <c r="I965" s="1" t="str">
        <f aca="false">IF($C965="","",IFERROR(VLOOKUP($C965,Master_Mappings!$N$4:$S$200,3,FALSE()),"UNMAPPED"))</f>
        <v/>
      </c>
      <c r="J965" s="1" t="str">
        <f aca="false">IF($C965="","",IFERROR(VLOOKUP($C965,Master_Mappings!$N$4:$S$134,4,FALSE()),""))</f>
        <v/>
      </c>
      <c r="M965" s="0" t="str">
        <f aca="false">IF($C965="","",IFERROR(VLOOKUP($C965,Master_Mappings!$N$4:$S$200,6,FALSE()),""))</f>
        <v/>
      </c>
    </row>
    <row r="966" customFormat="false" ht="13.5" hidden="false" customHeight="false" outlineLevel="0" collapsed="false">
      <c r="I966" s="1" t="str">
        <f aca="false">IF($C966="","",IFERROR(VLOOKUP($C966,Master_Mappings!$N$4:$S$200,3,FALSE()),"UNMAPPED"))</f>
        <v/>
      </c>
      <c r="J966" s="1" t="str">
        <f aca="false">IF($C966="","",IFERROR(VLOOKUP($C966,Master_Mappings!$N$4:$S$134,4,FALSE()),""))</f>
        <v/>
      </c>
      <c r="M966" s="0" t="str">
        <f aca="false">IF($C966="","",IFERROR(VLOOKUP($C966,Master_Mappings!$N$4:$S$200,6,FALSE()),""))</f>
        <v/>
      </c>
    </row>
    <row r="967" customFormat="false" ht="13.5" hidden="false" customHeight="false" outlineLevel="0" collapsed="false">
      <c r="I967" s="1" t="str">
        <f aca="false">IF($C967="","",IFERROR(VLOOKUP($C967,Master_Mappings!$N$4:$S$200,3,FALSE()),"UNMAPPED"))</f>
        <v/>
      </c>
      <c r="J967" s="1" t="str">
        <f aca="false">IF($C967="","",IFERROR(VLOOKUP($C967,Master_Mappings!$N$4:$S$134,4,FALSE()),""))</f>
        <v/>
      </c>
      <c r="M967" s="0" t="str">
        <f aca="false">IF($C967="","",IFERROR(VLOOKUP($C967,Master_Mappings!$N$4:$S$200,6,FALSE()),""))</f>
        <v/>
      </c>
    </row>
    <row r="968" customFormat="false" ht="13.5" hidden="false" customHeight="false" outlineLevel="0" collapsed="false">
      <c r="I968" s="1" t="str">
        <f aca="false">IF($C968="","",IFERROR(VLOOKUP($C968,Master_Mappings!$N$4:$S$200,3,FALSE()),"UNMAPPED"))</f>
        <v/>
      </c>
      <c r="J968" s="1" t="str">
        <f aca="false">IF($C968="","",IFERROR(VLOOKUP($C968,Master_Mappings!$N$4:$S$134,4,FALSE()),""))</f>
        <v/>
      </c>
      <c r="M968" s="0" t="str">
        <f aca="false">IF($C968="","",IFERROR(VLOOKUP($C968,Master_Mappings!$N$4:$S$200,6,FALSE()),""))</f>
        <v/>
      </c>
    </row>
    <row r="969" customFormat="false" ht="13.5" hidden="false" customHeight="false" outlineLevel="0" collapsed="false">
      <c r="I969" s="1" t="str">
        <f aca="false">IF($C969="","",IFERROR(VLOOKUP($C969,Master_Mappings!$N$4:$S$200,3,FALSE()),"UNMAPPED"))</f>
        <v/>
      </c>
      <c r="J969" s="1" t="str">
        <f aca="false">IF($C969="","",IFERROR(VLOOKUP($C969,Master_Mappings!$N$4:$S$134,4,FALSE()),""))</f>
        <v/>
      </c>
      <c r="M969" s="0" t="str">
        <f aca="false">IF($C969="","",IFERROR(VLOOKUP($C969,Master_Mappings!$N$4:$S$200,6,FALSE()),""))</f>
        <v/>
      </c>
    </row>
    <row r="970" customFormat="false" ht="13.5" hidden="false" customHeight="false" outlineLevel="0" collapsed="false">
      <c r="I970" s="1" t="str">
        <f aca="false">IF($C970="","",IFERROR(VLOOKUP($C970,Master_Mappings!$N$4:$S$200,3,FALSE()),"UNMAPPED"))</f>
        <v/>
      </c>
      <c r="J970" s="1" t="str">
        <f aca="false">IF($C970="","",IFERROR(VLOOKUP($C970,Master_Mappings!$N$4:$S$134,4,FALSE()),""))</f>
        <v/>
      </c>
      <c r="M970" s="0" t="str">
        <f aca="false">IF($C970="","",IFERROR(VLOOKUP($C970,Master_Mappings!$N$4:$S$200,6,FALSE()),""))</f>
        <v/>
      </c>
    </row>
    <row r="971" customFormat="false" ht="13.5" hidden="false" customHeight="false" outlineLevel="0" collapsed="false">
      <c r="I971" s="1" t="str">
        <f aca="false">IF($C971="","",IFERROR(VLOOKUP($C971,Master_Mappings!$N$4:$S$200,3,FALSE()),"UNMAPPED"))</f>
        <v/>
      </c>
      <c r="J971" s="1" t="str">
        <f aca="false">IF($C971="","",IFERROR(VLOOKUP($C971,Master_Mappings!$N$4:$S$134,4,FALSE()),""))</f>
        <v/>
      </c>
      <c r="M971" s="0" t="str">
        <f aca="false">IF($C971="","",IFERROR(VLOOKUP($C971,Master_Mappings!$N$4:$S$200,6,FALSE()),""))</f>
        <v/>
      </c>
    </row>
    <row r="972" customFormat="false" ht="13.5" hidden="false" customHeight="false" outlineLevel="0" collapsed="false">
      <c r="I972" s="1" t="str">
        <f aca="false">IF($C972="","",IFERROR(VLOOKUP($C972,Master_Mappings!$N$4:$S$200,3,FALSE()),"UNMAPPED"))</f>
        <v/>
      </c>
      <c r="J972" s="1" t="str">
        <f aca="false">IF($C972="","",IFERROR(VLOOKUP($C972,Master_Mappings!$N$4:$S$134,4,FALSE()),""))</f>
        <v/>
      </c>
      <c r="M972" s="0" t="str">
        <f aca="false">IF($C972="","",IFERROR(VLOOKUP($C972,Master_Mappings!$N$4:$S$200,6,FALSE()),""))</f>
        <v/>
      </c>
    </row>
    <row r="973" customFormat="false" ht="13.5" hidden="false" customHeight="false" outlineLevel="0" collapsed="false">
      <c r="I973" s="1" t="str">
        <f aca="false">IF($C973="","",IFERROR(VLOOKUP($C973,Master_Mappings!$N$4:$S$200,3,FALSE()),"UNMAPPED"))</f>
        <v/>
      </c>
      <c r="J973" s="1" t="str">
        <f aca="false">IF($C973="","",IFERROR(VLOOKUP($C973,Master_Mappings!$N$4:$S$134,4,FALSE()),""))</f>
        <v/>
      </c>
      <c r="M973" s="0" t="str">
        <f aca="false">IF($C973="","",IFERROR(VLOOKUP($C973,Master_Mappings!$N$4:$S$200,6,FALSE()),""))</f>
        <v/>
      </c>
    </row>
    <row r="974" customFormat="false" ht="13.5" hidden="false" customHeight="false" outlineLevel="0" collapsed="false">
      <c r="I974" s="1" t="str">
        <f aca="false">IF($C974="","",IFERROR(VLOOKUP($C974,Master_Mappings!$N$4:$S$200,3,FALSE()),"UNMAPPED"))</f>
        <v/>
      </c>
      <c r="J974" s="1" t="str">
        <f aca="false">IF($C974="","",IFERROR(VLOOKUP($C974,Master_Mappings!$N$4:$S$134,4,FALSE()),""))</f>
        <v/>
      </c>
      <c r="M974" s="0" t="str">
        <f aca="false">IF($C974="","",IFERROR(VLOOKUP($C974,Master_Mappings!$N$4:$S$200,6,FALSE()),""))</f>
        <v/>
      </c>
    </row>
    <row r="975" customFormat="false" ht="13.5" hidden="false" customHeight="false" outlineLevel="0" collapsed="false">
      <c r="I975" s="1" t="str">
        <f aca="false">IF($C975="","",IFERROR(VLOOKUP($C975,Master_Mappings!$N$4:$S$200,3,FALSE()),"UNMAPPED"))</f>
        <v/>
      </c>
      <c r="J975" s="1" t="str">
        <f aca="false">IF($C975="","",IFERROR(VLOOKUP($C975,Master_Mappings!$N$4:$S$134,4,FALSE()),""))</f>
        <v/>
      </c>
      <c r="M975" s="0" t="str">
        <f aca="false">IF($C975="","",IFERROR(VLOOKUP($C975,Master_Mappings!$N$4:$S$200,6,FALSE()),""))</f>
        <v/>
      </c>
    </row>
    <row r="976" customFormat="false" ht="13.5" hidden="false" customHeight="false" outlineLevel="0" collapsed="false">
      <c r="I976" s="1" t="str">
        <f aca="false">IF($C976="","",IFERROR(VLOOKUP($C976,Master_Mappings!$N$4:$S$200,3,FALSE()),"UNMAPPED"))</f>
        <v/>
      </c>
      <c r="J976" s="1" t="str">
        <f aca="false">IF($C976="","",IFERROR(VLOOKUP($C976,Master_Mappings!$N$4:$S$134,4,FALSE()),""))</f>
        <v/>
      </c>
      <c r="M976" s="0" t="str">
        <f aca="false">IF($C976="","",IFERROR(VLOOKUP($C976,Master_Mappings!$N$4:$S$200,6,FALSE()),""))</f>
        <v/>
      </c>
    </row>
    <row r="977" customFormat="false" ht="13.5" hidden="false" customHeight="false" outlineLevel="0" collapsed="false">
      <c r="I977" s="1" t="str">
        <f aca="false">IF($C977="","",IFERROR(VLOOKUP($C977,Master_Mappings!$N$4:$S$200,3,FALSE()),"UNMAPPED"))</f>
        <v/>
      </c>
      <c r="J977" s="1" t="str">
        <f aca="false">IF($C977="","",IFERROR(VLOOKUP($C977,Master_Mappings!$N$4:$S$134,4,FALSE()),""))</f>
        <v/>
      </c>
      <c r="M977" s="0" t="str">
        <f aca="false">IF($C977="","",IFERROR(VLOOKUP($C977,Master_Mappings!$N$4:$S$200,6,FALSE()),""))</f>
        <v/>
      </c>
    </row>
    <row r="978" customFormat="false" ht="13.5" hidden="false" customHeight="false" outlineLevel="0" collapsed="false">
      <c r="I978" s="1" t="str">
        <f aca="false">IF($C978="","",IFERROR(VLOOKUP($C978,Master_Mappings!$N$4:$S$200,3,FALSE()),"UNMAPPED"))</f>
        <v/>
      </c>
      <c r="J978" s="1" t="str">
        <f aca="false">IF($C978="","",IFERROR(VLOOKUP($C978,Master_Mappings!$N$4:$S$134,4,FALSE()),""))</f>
        <v/>
      </c>
      <c r="M978" s="0" t="str">
        <f aca="false">IF($C978="","",IFERROR(VLOOKUP($C978,Master_Mappings!$N$4:$S$200,6,FALSE()),""))</f>
        <v/>
      </c>
    </row>
    <row r="979" customFormat="false" ht="13.5" hidden="false" customHeight="false" outlineLevel="0" collapsed="false">
      <c r="I979" s="1" t="str">
        <f aca="false">IF($C979="","",IFERROR(VLOOKUP($C979,Master_Mappings!$N$4:$S$200,3,FALSE()),"UNMAPPED"))</f>
        <v/>
      </c>
      <c r="J979" s="1" t="str">
        <f aca="false">IF($C979="","",IFERROR(VLOOKUP($C979,Master_Mappings!$N$4:$S$134,4,FALSE()),""))</f>
        <v/>
      </c>
      <c r="M979" s="0" t="str">
        <f aca="false">IF($C979="","",IFERROR(VLOOKUP($C979,Master_Mappings!$N$4:$S$200,6,FALSE()),""))</f>
        <v/>
      </c>
    </row>
    <row r="980" customFormat="false" ht="13.5" hidden="false" customHeight="false" outlineLevel="0" collapsed="false">
      <c r="I980" s="1" t="str">
        <f aca="false">IF($C980="","",IFERROR(VLOOKUP($C980,Master_Mappings!$N$4:$S$200,3,FALSE()),"UNMAPPED"))</f>
        <v/>
      </c>
      <c r="J980" s="1" t="str">
        <f aca="false">IF($C980="","",IFERROR(VLOOKUP($C980,Master_Mappings!$N$4:$S$134,4,FALSE()),""))</f>
        <v/>
      </c>
      <c r="M980" s="0" t="str">
        <f aca="false">IF($C980="","",IFERROR(VLOOKUP($C980,Master_Mappings!$N$4:$S$200,6,FALSE()),""))</f>
        <v/>
      </c>
    </row>
    <row r="981" customFormat="false" ht="13.5" hidden="false" customHeight="false" outlineLevel="0" collapsed="false">
      <c r="I981" s="1" t="str">
        <f aca="false">IF($C981="","",IFERROR(VLOOKUP($C981,Master_Mappings!$N$4:$S$200,3,FALSE()),"UNMAPPED"))</f>
        <v/>
      </c>
      <c r="J981" s="1" t="str">
        <f aca="false">IF($C981="","",IFERROR(VLOOKUP($C981,Master_Mappings!$N$4:$S$134,4,FALSE()),""))</f>
        <v/>
      </c>
      <c r="M981" s="0" t="str">
        <f aca="false">IF($C981="","",IFERROR(VLOOKUP($C981,Master_Mappings!$N$4:$S$200,6,FALSE()),""))</f>
        <v/>
      </c>
    </row>
    <row r="982" customFormat="false" ht="13.5" hidden="false" customHeight="false" outlineLevel="0" collapsed="false">
      <c r="I982" s="1" t="str">
        <f aca="false">IF($C982="","",IFERROR(VLOOKUP($C982,Master_Mappings!$N$4:$S$200,3,FALSE()),"UNMAPPED"))</f>
        <v/>
      </c>
      <c r="J982" s="1" t="str">
        <f aca="false">IF($C982="","",IFERROR(VLOOKUP($C982,Master_Mappings!$N$4:$S$134,4,FALSE()),""))</f>
        <v/>
      </c>
      <c r="M982" s="0" t="str">
        <f aca="false">IF($C982="","",IFERROR(VLOOKUP($C982,Master_Mappings!$N$4:$S$200,6,FALSE()),""))</f>
        <v/>
      </c>
    </row>
    <row r="983" customFormat="false" ht="13.5" hidden="false" customHeight="false" outlineLevel="0" collapsed="false">
      <c r="I983" s="1" t="str">
        <f aca="false">IF($C983="","",IFERROR(VLOOKUP($C983,Master_Mappings!$N$4:$S$200,3,FALSE()),"UNMAPPED"))</f>
        <v/>
      </c>
      <c r="J983" s="1" t="str">
        <f aca="false">IF($C983="","",IFERROR(VLOOKUP($C983,Master_Mappings!$N$4:$S$134,4,FALSE()),""))</f>
        <v/>
      </c>
      <c r="M983" s="0" t="str">
        <f aca="false">IF($C983="","",IFERROR(VLOOKUP($C983,Master_Mappings!$N$4:$S$200,6,FALSE()),""))</f>
        <v/>
      </c>
    </row>
    <row r="984" customFormat="false" ht="13.5" hidden="false" customHeight="false" outlineLevel="0" collapsed="false">
      <c r="I984" s="1" t="str">
        <f aca="false">IF($C984="","",IFERROR(VLOOKUP($C984,Master_Mappings!$N$4:$S$200,3,FALSE()),"UNMAPPED"))</f>
        <v/>
      </c>
      <c r="J984" s="1" t="str">
        <f aca="false">IF($C984="","",IFERROR(VLOOKUP($C984,Master_Mappings!$N$4:$S$134,4,FALSE()),""))</f>
        <v/>
      </c>
      <c r="M984" s="0" t="str">
        <f aca="false">IF($C984="","",IFERROR(VLOOKUP($C984,Master_Mappings!$N$4:$S$200,6,FALSE()),""))</f>
        <v/>
      </c>
    </row>
    <row r="985" customFormat="false" ht="13.5" hidden="false" customHeight="false" outlineLevel="0" collapsed="false">
      <c r="I985" s="1" t="str">
        <f aca="false">IF($C985="","",IFERROR(VLOOKUP($C985,Master_Mappings!$N$4:$S$200,3,FALSE()),"UNMAPPED"))</f>
        <v/>
      </c>
      <c r="J985" s="1" t="str">
        <f aca="false">IF($C985="","",IFERROR(VLOOKUP($C985,Master_Mappings!$N$4:$S$134,4,FALSE()),""))</f>
        <v/>
      </c>
      <c r="M985" s="0" t="str">
        <f aca="false">IF($C985="","",IFERROR(VLOOKUP($C985,Master_Mappings!$N$4:$S$200,6,FALSE()),""))</f>
        <v/>
      </c>
    </row>
    <row r="986" customFormat="false" ht="13.5" hidden="false" customHeight="false" outlineLevel="0" collapsed="false">
      <c r="I986" s="1" t="str">
        <f aca="false">IF($C986="","",IFERROR(VLOOKUP($C986,Master_Mappings!$N$4:$S$200,3,FALSE()),"UNMAPPED"))</f>
        <v/>
      </c>
      <c r="J986" s="1" t="str">
        <f aca="false">IF($C986="","",IFERROR(VLOOKUP($C986,Master_Mappings!$N$4:$S$134,4,FALSE()),""))</f>
        <v/>
      </c>
      <c r="M986" s="0" t="str">
        <f aca="false">IF($C986="","",IFERROR(VLOOKUP($C986,Master_Mappings!$N$4:$S$200,6,FALSE()),""))</f>
        <v/>
      </c>
    </row>
    <row r="987" customFormat="false" ht="13.5" hidden="false" customHeight="false" outlineLevel="0" collapsed="false">
      <c r="I987" s="1" t="str">
        <f aca="false">IF($C987="","",IFERROR(VLOOKUP($C987,Master_Mappings!$N$4:$S$200,3,FALSE()),"UNMAPPED"))</f>
        <v/>
      </c>
      <c r="J987" s="1" t="str">
        <f aca="false">IF($C987="","",IFERROR(VLOOKUP($C987,Master_Mappings!$N$4:$S$134,4,FALSE()),""))</f>
        <v/>
      </c>
      <c r="M987" s="0" t="str">
        <f aca="false">IF($C987="","",IFERROR(VLOOKUP($C987,Master_Mappings!$N$4:$S$200,6,FALSE()),""))</f>
        <v/>
      </c>
    </row>
    <row r="988" customFormat="false" ht="13.5" hidden="false" customHeight="false" outlineLevel="0" collapsed="false">
      <c r="I988" s="1" t="str">
        <f aca="false">IF($C988="","",IFERROR(VLOOKUP($C988,Master_Mappings!$N$4:$S$200,3,FALSE()),"UNMAPPED"))</f>
        <v/>
      </c>
      <c r="J988" s="1" t="str">
        <f aca="false">IF($C988="","",IFERROR(VLOOKUP($C988,Master_Mappings!$N$4:$S$134,4,FALSE()),""))</f>
        <v/>
      </c>
      <c r="M988" s="0" t="str">
        <f aca="false">IF($C988="","",IFERROR(VLOOKUP($C988,Master_Mappings!$N$4:$S$200,6,FALSE()),""))</f>
        <v/>
      </c>
    </row>
    <row r="989" customFormat="false" ht="13.5" hidden="false" customHeight="false" outlineLevel="0" collapsed="false">
      <c r="I989" s="1" t="str">
        <f aca="false">IF($C989="","",IFERROR(VLOOKUP($C989,Master_Mappings!$N$4:$S$200,3,FALSE()),"UNMAPPED"))</f>
        <v/>
      </c>
      <c r="J989" s="1" t="str">
        <f aca="false">IF($C989="","",IFERROR(VLOOKUP($C989,Master_Mappings!$N$4:$S$134,4,FALSE()),""))</f>
        <v/>
      </c>
      <c r="M989" s="0" t="str">
        <f aca="false">IF($C989="","",IFERROR(VLOOKUP($C989,Master_Mappings!$N$4:$S$200,6,FALSE()),""))</f>
        <v/>
      </c>
    </row>
    <row r="990" customFormat="false" ht="13.5" hidden="false" customHeight="false" outlineLevel="0" collapsed="false">
      <c r="I990" s="1" t="str">
        <f aca="false">IF($C990="","",IFERROR(VLOOKUP($C990,Master_Mappings!$N$4:$S$200,3,FALSE()),"UNMAPPED"))</f>
        <v/>
      </c>
      <c r="J990" s="1" t="str">
        <f aca="false">IF($C990="","",IFERROR(VLOOKUP($C990,Master_Mappings!$N$4:$S$134,4,FALSE()),""))</f>
        <v/>
      </c>
      <c r="M990" s="0" t="str">
        <f aca="false">IF($C990="","",IFERROR(VLOOKUP($C990,Master_Mappings!$N$4:$S$200,6,FALSE()),""))</f>
        <v/>
      </c>
    </row>
    <row r="991" customFormat="false" ht="13.5" hidden="false" customHeight="false" outlineLevel="0" collapsed="false">
      <c r="I991" s="1" t="str">
        <f aca="false">IF($C991="","",IFERROR(VLOOKUP($C991,Master_Mappings!$N$4:$S$200,3,FALSE()),"UNMAPPED"))</f>
        <v/>
      </c>
      <c r="J991" s="1" t="str">
        <f aca="false">IF($C991="","",IFERROR(VLOOKUP($C991,Master_Mappings!$N$4:$S$134,4,FALSE()),""))</f>
        <v/>
      </c>
      <c r="M991" s="0" t="str">
        <f aca="false">IF($C991="","",IFERROR(VLOOKUP($C991,Master_Mappings!$N$4:$S$200,6,FALSE()),""))</f>
        <v/>
      </c>
    </row>
    <row r="992" customFormat="false" ht="13.5" hidden="false" customHeight="false" outlineLevel="0" collapsed="false">
      <c r="I992" s="1" t="str">
        <f aca="false">IF($C992="","",IFERROR(VLOOKUP($C992,Master_Mappings!$N$4:$S$200,3,FALSE()),"UNMAPPED"))</f>
        <v/>
      </c>
      <c r="J992" s="1" t="str">
        <f aca="false">IF($C992="","",IFERROR(VLOOKUP($C992,Master_Mappings!$N$4:$S$134,4,FALSE()),""))</f>
        <v/>
      </c>
      <c r="M992" s="0" t="str">
        <f aca="false">IF($C992="","",IFERROR(VLOOKUP($C992,Master_Mappings!$N$4:$S$200,6,FALSE()),""))</f>
        <v/>
      </c>
    </row>
    <row r="993" customFormat="false" ht="13.5" hidden="false" customHeight="false" outlineLevel="0" collapsed="false">
      <c r="I993" s="1" t="str">
        <f aca="false">IF($C993="","",IFERROR(VLOOKUP($C993,Master_Mappings!$N$4:$S$200,3,FALSE()),"UNMAPPED"))</f>
        <v/>
      </c>
      <c r="J993" s="1" t="str">
        <f aca="false">IF($C993="","",IFERROR(VLOOKUP($C993,Master_Mappings!$N$4:$S$134,4,FALSE()),""))</f>
        <v/>
      </c>
      <c r="M993" s="0" t="str">
        <f aca="false">IF($C993="","",IFERROR(VLOOKUP($C993,Master_Mappings!$N$4:$S$200,6,FALSE()),""))</f>
        <v/>
      </c>
    </row>
    <row r="994" customFormat="false" ht="13.5" hidden="false" customHeight="false" outlineLevel="0" collapsed="false">
      <c r="I994" s="1" t="str">
        <f aca="false">IF($C994="","",IFERROR(VLOOKUP($C994,Master_Mappings!$N$4:$S$200,3,FALSE()),"UNMAPPED"))</f>
        <v/>
      </c>
      <c r="J994" s="1" t="str">
        <f aca="false">IF($C994="","",IFERROR(VLOOKUP($C994,Master_Mappings!$N$4:$S$134,4,FALSE()),""))</f>
        <v/>
      </c>
      <c r="M994" s="0" t="str">
        <f aca="false">IF($C994="","",IFERROR(VLOOKUP($C994,Master_Mappings!$N$4:$S$200,6,FALSE()),""))</f>
        <v/>
      </c>
    </row>
    <row r="995" customFormat="false" ht="13.5" hidden="false" customHeight="false" outlineLevel="0" collapsed="false">
      <c r="I995" s="1" t="str">
        <f aca="false">IF($C995="","",IFERROR(VLOOKUP($C995,Master_Mappings!$N$4:$S$200,3,FALSE()),"UNMAPPED"))</f>
        <v/>
      </c>
      <c r="J995" s="1" t="str">
        <f aca="false">IF($C995="","",IFERROR(VLOOKUP($C995,Master_Mappings!$N$4:$S$134,4,FALSE()),""))</f>
        <v/>
      </c>
      <c r="M995" s="0" t="str">
        <f aca="false">IF($C995="","",IFERROR(VLOOKUP($C995,Master_Mappings!$N$4:$S$200,6,FALSE()),""))</f>
        <v/>
      </c>
    </row>
  </sheetData>
  <conditionalFormatting sqref="I2:I126">
    <cfRule type="containsText" priority="2" operator="containsText" aboveAverage="0" equalAverage="0" bottom="0" percent="0" rank="0" text="Unmapped" dxfId="17">
      <formula>NOT(ISERROR(SEARCH("Unmapped",I2)))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34"/>
    <col collapsed="false" customWidth="true" hidden="false" outlineLevel="0" max="4" min="4" style="1" width="15"/>
    <col collapsed="false" customWidth="true" hidden="false" outlineLevel="0" max="5" min="5" style="1" width="30"/>
    <col collapsed="false" customWidth="true" hidden="false" outlineLevel="0" max="6" min="6" style="1" width="42"/>
    <col collapsed="false" customWidth="true" hidden="false" outlineLevel="0" max="7" min="7" style="1" width="14"/>
    <col collapsed="false" customWidth="true" hidden="false" outlineLevel="0" max="9" min="8" style="1" width="12"/>
  </cols>
  <sheetData>
    <row r="1" customFormat="false" ht="22.5" hidden="false" customHeight="true" outlineLevel="0" collapsed="false">
      <c r="A1" s="129" t="s">
        <v>765</v>
      </c>
    </row>
    <row r="2" customFormat="false" ht="13.5" hidden="false" customHeight="false" outlineLevel="0" collapsed="false">
      <c r="A2" s="3" t="s">
        <v>766</v>
      </c>
    </row>
    <row r="4" customFormat="false" ht="24.75" hidden="false" customHeight="true" outlineLevel="0" collapsed="false">
      <c r="A4" s="130" t="s">
        <v>767</v>
      </c>
      <c r="B4" s="130" t="s">
        <v>768</v>
      </c>
      <c r="C4" s="130" t="s">
        <v>769</v>
      </c>
      <c r="D4" s="130" t="s">
        <v>770</v>
      </c>
      <c r="E4" s="130" t="s">
        <v>771</v>
      </c>
      <c r="F4" s="130" t="s">
        <v>772</v>
      </c>
      <c r="G4" s="130" t="s">
        <v>773</v>
      </c>
      <c r="H4" s="130" t="s">
        <v>774</v>
      </c>
      <c r="I4" s="130" t="s">
        <v>103</v>
      </c>
    </row>
    <row r="5" customFormat="false" ht="27.75" hidden="false" customHeight="true" outlineLevel="0" collapsed="false">
      <c r="A5" s="131" t="s">
        <v>294</v>
      </c>
      <c r="B5" s="131" t="s">
        <v>775</v>
      </c>
      <c r="C5" s="131" t="s">
        <v>776</v>
      </c>
      <c r="D5" s="132" t="n">
        <v>-664000</v>
      </c>
      <c r="E5" s="131" t="s">
        <v>777</v>
      </c>
      <c r="F5" s="131" t="s">
        <v>778</v>
      </c>
      <c r="G5" s="131" t="s">
        <v>779</v>
      </c>
      <c r="H5" s="131" t="s">
        <v>780</v>
      </c>
      <c r="I5" s="131" t="s">
        <v>781</v>
      </c>
    </row>
    <row r="6" customFormat="false" ht="42" hidden="false" customHeight="true" outlineLevel="0" collapsed="false">
      <c r="A6" s="131" t="s">
        <v>782</v>
      </c>
      <c r="B6" s="131" t="s">
        <v>783</v>
      </c>
      <c r="C6" s="131" t="s">
        <v>784</v>
      </c>
      <c r="D6" s="132" t="n">
        <v>41952</v>
      </c>
      <c r="E6" s="131" t="s">
        <v>785</v>
      </c>
      <c r="F6" s="131" t="s">
        <v>786</v>
      </c>
      <c r="G6" s="131" t="s">
        <v>787</v>
      </c>
      <c r="H6" s="131" t="s">
        <v>788</v>
      </c>
      <c r="I6" s="131" t="s">
        <v>781</v>
      </c>
    </row>
    <row r="7" customFormat="false" ht="42" hidden="false" customHeight="true" outlineLevel="0" collapsed="false">
      <c r="A7" s="131" t="s">
        <v>789</v>
      </c>
      <c r="B7" s="131" t="s">
        <v>790</v>
      </c>
      <c r="C7" s="131" t="s">
        <v>791</v>
      </c>
      <c r="D7" s="132" t="n">
        <v>0</v>
      </c>
      <c r="E7" s="131" t="s">
        <v>792</v>
      </c>
      <c r="F7" s="131" t="s">
        <v>793</v>
      </c>
      <c r="G7" s="131" t="s">
        <v>106</v>
      </c>
      <c r="H7" s="131" t="s">
        <v>788</v>
      </c>
      <c r="I7" s="131" t="s">
        <v>781</v>
      </c>
    </row>
    <row r="8" customFormat="false" ht="13.5" hidden="false" customHeight="false" outlineLevel="0" collapsed="false">
      <c r="A8" s="131"/>
      <c r="B8" s="131"/>
      <c r="C8" s="131"/>
      <c r="D8" s="132"/>
      <c r="E8" s="131"/>
      <c r="F8" s="131"/>
      <c r="G8" s="131"/>
      <c r="H8" s="131"/>
      <c r="I8" s="131"/>
    </row>
    <row r="9" customFormat="false" ht="13.5" hidden="false" customHeight="false" outlineLevel="0" collapsed="false">
      <c r="A9" s="131"/>
      <c r="B9" s="131"/>
      <c r="C9" s="131"/>
      <c r="D9" s="132"/>
      <c r="E9" s="131"/>
      <c r="F9" s="131"/>
      <c r="G9" s="131"/>
      <c r="H9" s="131"/>
      <c r="I9" s="131"/>
    </row>
    <row r="10" customFormat="false" ht="13.5" hidden="false" customHeight="false" outlineLevel="0" collapsed="false">
      <c r="A10" s="131"/>
      <c r="B10" s="131"/>
      <c r="C10" s="131"/>
      <c r="D10" s="132"/>
      <c r="E10" s="131"/>
      <c r="F10" s="131"/>
      <c r="G10" s="131"/>
      <c r="H10" s="131"/>
      <c r="I10" s="131"/>
    </row>
    <row r="11" customFormat="false" ht="13.5" hidden="false" customHeight="false" outlineLevel="0" collapsed="false">
      <c r="A11" s="131"/>
      <c r="B11" s="131"/>
      <c r="C11" s="131"/>
      <c r="D11" s="132"/>
      <c r="E11" s="131"/>
      <c r="F11" s="131"/>
      <c r="G11" s="131"/>
      <c r="H11" s="131"/>
      <c r="I11" s="131"/>
    </row>
    <row r="12" customFormat="false" ht="13.5" hidden="false" customHeight="false" outlineLevel="0" collapsed="false">
      <c r="A12" s="131"/>
      <c r="B12" s="131"/>
      <c r="C12" s="131"/>
      <c r="D12" s="132"/>
      <c r="E12" s="131"/>
      <c r="F12" s="131"/>
      <c r="G12" s="131"/>
      <c r="H12" s="131"/>
      <c r="I12" s="131"/>
    </row>
    <row r="13" customFormat="false" ht="13.5" hidden="false" customHeight="false" outlineLevel="0" collapsed="false">
      <c r="A13" s="131"/>
      <c r="B13" s="131"/>
      <c r="C13" s="131"/>
      <c r="D13" s="132"/>
      <c r="E13" s="131"/>
      <c r="F13" s="131"/>
      <c r="G13" s="131"/>
      <c r="H13" s="131"/>
      <c r="I13" s="131"/>
    </row>
    <row r="14" customFormat="false" ht="13.5" hidden="false" customHeight="false" outlineLevel="0" collapsed="false">
      <c r="A14" s="131"/>
      <c r="B14" s="131"/>
      <c r="C14" s="131"/>
      <c r="D14" s="132"/>
      <c r="E14" s="131"/>
      <c r="F14" s="131"/>
      <c r="G14" s="131"/>
      <c r="H14" s="131"/>
      <c r="I14" s="131"/>
    </row>
    <row r="15" customFormat="false" ht="13.5" hidden="false" customHeight="false" outlineLevel="0" collapsed="false">
      <c r="A15" s="131"/>
      <c r="B15" s="131"/>
      <c r="C15" s="131"/>
      <c r="D15" s="132"/>
      <c r="E15" s="131"/>
      <c r="F15" s="131"/>
      <c r="G15" s="131"/>
      <c r="H15" s="131"/>
      <c r="I15" s="131"/>
    </row>
    <row r="16" customFormat="false" ht="13.5" hidden="false" customHeight="false" outlineLevel="0" collapsed="false">
      <c r="A16" s="131"/>
      <c r="B16" s="131"/>
      <c r="C16" s="131"/>
      <c r="D16" s="132"/>
      <c r="E16" s="131"/>
      <c r="F16" s="131"/>
      <c r="G16" s="131"/>
      <c r="H16" s="131"/>
      <c r="I16" s="131"/>
    </row>
    <row r="17" customFormat="false" ht="13.5" hidden="false" customHeight="false" outlineLevel="0" collapsed="false">
      <c r="A17" s="131"/>
      <c r="B17" s="131"/>
      <c r="C17" s="131"/>
      <c r="D17" s="132"/>
      <c r="E17" s="131"/>
      <c r="F17" s="131"/>
      <c r="G17" s="131"/>
      <c r="H17" s="131"/>
      <c r="I17" s="131"/>
    </row>
    <row r="18" customFormat="false" ht="13.5" hidden="false" customHeight="false" outlineLevel="0" collapsed="false">
      <c r="A18" s="131"/>
      <c r="B18" s="131"/>
      <c r="C18" s="131"/>
      <c r="D18" s="132"/>
      <c r="E18" s="131"/>
      <c r="F18" s="131"/>
      <c r="G18" s="131"/>
      <c r="H18" s="131"/>
      <c r="I18" s="131"/>
    </row>
    <row r="19" customFormat="false" ht="13.5" hidden="false" customHeight="false" outlineLevel="0" collapsed="false">
      <c r="A19" s="131"/>
      <c r="B19" s="131"/>
      <c r="C19" s="131"/>
      <c r="D19" s="132"/>
      <c r="E19" s="131"/>
      <c r="F19" s="131"/>
      <c r="G19" s="131"/>
      <c r="H19" s="131"/>
      <c r="I19" s="131"/>
    </row>
    <row r="20" customFormat="false" ht="13.5" hidden="false" customHeight="false" outlineLevel="0" collapsed="false">
      <c r="A20" s="131"/>
      <c r="B20" s="131"/>
      <c r="C20" s="131"/>
      <c r="D20" s="132"/>
      <c r="E20" s="131"/>
      <c r="F20" s="131"/>
      <c r="G20" s="131"/>
      <c r="H20" s="131"/>
      <c r="I20" s="131"/>
    </row>
    <row r="21" customFormat="false" ht="13.5" hidden="false" customHeight="false" outlineLevel="0" collapsed="false">
      <c r="A21" s="131"/>
      <c r="B21" s="131"/>
      <c r="C21" s="131"/>
      <c r="D21" s="132"/>
      <c r="E21" s="131"/>
      <c r="F21" s="131"/>
      <c r="G21" s="131"/>
      <c r="H21" s="131"/>
      <c r="I21" s="131"/>
    </row>
    <row r="22" customFormat="false" ht="13.5" hidden="false" customHeight="false" outlineLevel="0" collapsed="false">
      <c r="A22" s="131"/>
      <c r="B22" s="131"/>
      <c r="C22" s="131"/>
      <c r="D22" s="132"/>
      <c r="E22" s="131"/>
      <c r="F22" s="131"/>
      <c r="G22" s="131"/>
      <c r="H22" s="131"/>
      <c r="I22" s="131"/>
    </row>
    <row r="23" customFormat="false" ht="13.5" hidden="false" customHeight="false" outlineLevel="0" collapsed="false">
      <c r="A23" s="131"/>
      <c r="B23" s="131"/>
      <c r="C23" s="131"/>
      <c r="D23" s="132"/>
      <c r="E23" s="131"/>
      <c r="F23" s="131"/>
      <c r="G23" s="131"/>
      <c r="H23" s="131"/>
      <c r="I23" s="131"/>
    </row>
    <row r="24" customFormat="false" ht="13.5" hidden="false" customHeight="false" outlineLevel="0" collapsed="false">
      <c r="A24" s="131"/>
      <c r="B24" s="131"/>
      <c r="C24" s="131"/>
      <c r="D24" s="132"/>
      <c r="E24" s="131"/>
      <c r="F24" s="131"/>
      <c r="G24" s="131"/>
      <c r="H24" s="131"/>
      <c r="I24" s="131"/>
    </row>
    <row r="25" customFormat="false" ht="13.5" hidden="false" customHeight="false" outlineLevel="0" collapsed="false">
      <c r="A25" s="131"/>
      <c r="B25" s="131"/>
      <c r="C25" s="131"/>
      <c r="D25" s="132"/>
      <c r="E25" s="131"/>
      <c r="F25" s="131"/>
      <c r="G25" s="131"/>
      <c r="H25" s="131"/>
      <c r="I25" s="131"/>
    </row>
    <row r="26" customFormat="false" ht="13.5" hidden="false" customHeight="false" outlineLevel="0" collapsed="false">
      <c r="A26" s="131"/>
      <c r="B26" s="131"/>
      <c r="C26" s="131"/>
      <c r="D26" s="132"/>
      <c r="E26" s="131"/>
      <c r="F26" s="131"/>
      <c r="G26" s="131"/>
      <c r="H26" s="131"/>
      <c r="I26" s="131"/>
    </row>
    <row r="27" customFormat="false" ht="13.5" hidden="false" customHeight="false" outlineLevel="0" collapsed="false">
      <c r="A27" s="131"/>
      <c r="B27" s="131"/>
      <c r="C27" s="131"/>
      <c r="D27" s="132"/>
      <c r="E27" s="131"/>
      <c r="F27" s="131"/>
      <c r="G27" s="131"/>
      <c r="H27" s="131"/>
      <c r="I27" s="131"/>
    </row>
    <row r="28" customFormat="false" ht="13.5" hidden="false" customHeight="false" outlineLevel="0" collapsed="false">
      <c r="A28" s="131"/>
      <c r="B28" s="131"/>
      <c r="C28" s="131"/>
      <c r="D28" s="132"/>
      <c r="E28" s="131"/>
      <c r="F28" s="131"/>
      <c r="G28" s="131"/>
      <c r="H28" s="131"/>
      <c r="I28" s="131"/>
    </row>
    <row r="29" customFormat="false" ht="13.5" hidden="false" customHeight="false" outlineLevel="0" collapsed="false">
      <c r="A29" s="131"/>
      <c r="B29" s="131"/>
      <c r="C29" s="131"/>
      <c r="D29" s="132"/>
      <c r="E29" s="131"/>
      <c r="F29" s="131"/>
      <c r="G29" s="131"/>
      <c r="H29" s="131"/>
      <c r="I29" s="131"/>
    </row>
    <row r="30" customFormat="false" ht="13.5" hidden="false" customHeight="false" outlineLevel="0" collapsed="false">
      <c r="A30" s="131"/>
      <c r="B30" s="131"/>
      <c r="C30" s="131"/>
      <c r="D30" s="132"/>
      <c r="E30" s="131"/>
      <c r="F30" s="131"/>
      <c r="G30" s="131"/>
      <c r="H30" s="131"/>
      <c r="I30" s="131"/>
    </row>
    <row r="31" customFormat="false" ht="13.5" hidden="false" customHeight="false" outlineLevel="0" collapsed="false">
      <c r="A31" s="131"/>
      <c r="B31" s="131"/>
      <c r="C31" s="131"/>
      <c r="D31" s="132"/>
      <c r="E31" s="131"/>
      <c r="F31" s="131"/>
      <c r="G31" s="131"/>
      <c r="H31" s="131"/>
      <c r="I31" s="131"/>
    </row>
    <row r="32" customFormat="false" ht="13.5" hidden="false" customHeight="false" outlineLevel="0" collapsed="false">
      <c r="A32" s="131"/>
      <c r="B32" s="131"/>
      <c r="C32" s="131"/>
      <c r="D32" s="132"/>
      <c r="E32" s="131"/>
      <c r="F32" s="131"/>
      <c r="G32" s="131"/>
      <c r="H32" s="131"/>
      <c r="I32" s="131"/>
    </row>
    <row r="33" customFormat="false" ht="13.5" hidden="false" customHeight="false" outlineLevel="0" collapsed="false">
      <c r="A33" s="131"/>
      <c r="B33" s="131"/>
      <c r="C33" s="131"/>
      <c r="D33" s="132"/>
      <c r="E33" s="131"/>
      <c r="F33" s="131"/>
      <c r="G33" s="131"/>
      <c r="H33" s="131"/>
      <c r="I33" s="131"/>
    </row>
    <row r="34" customFormat="false" ht="13.5" hidden="false" customHeight="false" outlineLevel="0" collapsed="false">
      <c r="A34" s="131"/>
      <c r="B34" s="131"/>
      <c r="C34" s="131"/>
      <c r="D34" s="132"/>
      <c r="E34" s="131"/>
      <c r="F34" s="131"/>
      <c r="G34" s="131"/>
      <c r="H34" s="131"/>
      <c r="I34" s="131"/>
    </row>
  </sheetData>
  <dataValidations count="2">
    <dataValidation allowBlank="true" errorStyle="stop" operator="between" showDropDown="false" showErrorMessage="false" showInputMessage="false" sqref="A5:A34" type="list">
      <formula1>"Executive,Project Income,Fixed Costs,Balance Sheet,Trial Balance,Other"</formula1>
      <formula2>0</formula2>
    </dataValidation>
    <dataValidation allowBlank="true" errorStyle="stop" operator="between" showDropDown="false" showErrorMessage="false" showInputMessage="false" sqref="I5:I34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59" activePane="bottomRight" state="frozen"/>
      <selection pane="topLeft" activeCell="A1" activeCellId="0" sqref="A1"/>
      <selection pane="topRight" activeCell="C1" activeCellId="0" sqref="C1"/>
      <selection pane="bottomLeft" activeCell="A59" activeCellId="0" sqref="A59"/>
      <selection pane="bottomRight" activeCell="K10" activeCellId="0" sqref="K10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18" min="7" style="1" width="11"/>
    <col collapsed="false" customWidth="true" hidden="false" outlineLevel="0" max="20" min="19" style="1" width="13"/>
    <col collapsed="false" customWidth="true" hidden="false" outlineLevel="0" max="21" min="21" style="1" width="10"/>
    <col collapsed="false" customWidth="true" hidden="false" outlineLevel="0" max="23" min="22" style="1" width="13"/>
    <col collapsed="false" customWidth="true" hidden="false" outlineLevel="0" max="24" min="24" style="1" width="30"/>
    <col collapsed="false" customWidth="true" hidden="false" outlineLevel="0" max="33" min="25" style="1" width="14.64"/>
  </cols>
  <sheetData>
    <row r="1" customFormat="false" ht="17.25" hidden="false" customHeight="true" outlineLevel="0" collapsed="false">
      <c r="A1" s="75" t="str">
        <f aca="false">"FC Budget Vrs Actual — "&amp;Controls!$B$8&amp;" — FY "&amp;Controls!$B$5</f>
        <v>FC Budget Vrs Actual — PC Ghana — FY 2026</v>
      </c>
    </row>
    <row r="2" customFormat="false" ht="13.5" hidden="false" customHeight="false" outlineLevel="0" collapsed="false">
      <c r="A2" s="3" t="s">
        <v>794</v>
      </c>
    </row>
    <row r="4" customFormat="false" ht="13.5" hidden="false" customHeight="false" outlineLevel="0" collapsed="false">
      <c r="G4" s="133" t="s">
        <v>45</v>
      </c>
      <c r="H4" s="133"/>
      <c r="I4" s="133"/>
      <c r="J4" s="133" t="s">
        <v>47</v>
      </c>
      <c r="K4" s="133"/>
      <c r="L4" s="133"/>
      <c r="M4" s="133" t="s">
        <v>52</v>
      </c>
      <c r="N4" s="133"/>
      <c r="O4" s="133"/>
      <c r="P4" s="133" t="s">
        <v>56</v>
      </c>
      <c r="Q4" s="133"/>
      <c r="R4" s="133"/>
      <c r="Y4" s="134" t="s">
        <v>45</v>
      </c>
      <c r="AA4" s="134" t="s">
        <v>47</v>
      </c>
      <c r="AC4" s="134" t="s">
        <v>52</v>
      </c>
      <c r="AE4" s="134" t="s">
        <v>56</v>
      </c>
      <c r="AG4" s="134" t="s">
        <v>795</v>
      </c>
    </row>
    <row r="5" customFormat="false" ht="24.75" hidden="false" customHeight="true" outlineLevel="0" collapsed="false">
      <c r="A5" s="56" t="s">
        <v>796</v>
      </c>
      <c r="B5" s="56" t="s">
        <v>797</v>
      </c>
      <c r="C5" s="56" t="s">
        <v>426</v>
      </c>
      <c r="D5" s="56" t="s">
        <v>447</v>
      </c>
      <c r="E5" s="56" t="s">
        <v>277</v>
      </c>
      <c r="F5" s="56" t="s">
        <v>798</v>
      </c>
      <c r="G5" s="56" t="s">
        <v>799</v>
      </c>
      <c r="H5" s="56" t="s">
        <v>800</v>
      </c>
      <c r="I5" s="56" t="s">
        <v>801</v>
      </c>
      <c r="J5" s="56" t="s">
        <v>802</v>
      </c>
      <c r="K5" s="56" t="s">
        <v>803</v>
      </c>
      <c r="L5" s="56" t="s">
        <v>804</v>
      </c>
      <c r="M5" s="56" t="s">
        <v>805</v>
      </c>
      <c r="N5" s="56" t="s">
        <v>806</v>
      </c>
      <c r="O5" s="56" t="s">
        <v>807</v>
      </c>
      <c r="P5" s="56" t="s">
        <v>808</v>
      </c>
      <c r="Q5" s="56" t="s">
        <v>809</v>
      </c>
      <c r="R5" s="56" t="s">
        <v>810</v>
      </c>
      <c r="S5" s="56" t="s">
        <v>429</v>
      </c>
      <c r="T5" s="56" t="s">
        <v>811</v>
      </c>
      <c r="U5" s="56" t="s">
        <v>431</v>
      </c>
      <c r="V5" s="56" t="s">
        <v>433</v>
      </c>
      <c r="W5" s="56" t="s">
        <v>434</v>
      </c>
      <c r="X5" s="56" t="s">
        <v>812</v>
      </c>
      <c r="Y5" s="56" t="s">
        <v>813</v>
      </c>
      <c r="Z5" s="56" t="s">
        <v>814</v>
      </c>
      <c r="AA5" s="56" t="s">
        <v>815</v>
      </c>
      <c r="AB5" s="56" t="s">
        <v>816</v>
      </c>
      <c r="AC5" s="56" t="s">
        <v>817</v>
      </c>
      <c r="AD5" s="56" t="s">
        <v>818</v>
      </c>
      <c r="AE5" s="56" t="s">
        <v>819</v>
      </c>
      <c r="AF5" s="56" t="s">
        <v>820</v>
      </c>
      <c r="AG5" s="56" t="s">
        <v>821</v>
      </c>
    </row>
    <row r="6" customFormat="false" ht="13.5" hidden="false" customHeight="false" outlineLevel="0" collapsed="false">
      <c r="A6" s="67" t="n">
        <f aca="false">MM_FixedCost!A5</f>
        <v>6000</v>
      </c>
      <c r="B6" s="67" t="str">
        <f aca="false">MM_FixedCost!B5</f>
        <v>Technical - Salaries</v>
      </c>
      <c r="C6" s="67" t="str">
        <f aca="false">MM_FixedCost!C5</f>
        <v>Direct technical costs</v>
      </c>
      <c r="D6" s="67" t="str">
        <f aca="false">MM_FixedCost!E5</f>
        <v>Core</v>
      </c>
      <c r="E6" s="68" t="n">
        <f aca="false">MM_FixedCost!F5</f>
        <v>5948342.85</v>
      </c>
      <c r="F6" s="68" t="n">
        <f aca="false">$E6/12*Controls!$B$11</f>
        <v>2974171.425</v>
      </c>
      <c r="G6" s="68" t="n">
        <f aca="false">IF(1&gt;Controls!$B$11,"-",SUMIFS(Nominal_Activity!$M$2:$M$3000,Nominal_Activity!$C$2:$C$3000,$A6,Nominal_Activity!$G$2:$G$3000,"&gt;="&amp;DATE(Controls!$B$5,1,1),Nominal_Activity!$G$2:$G$3000,"&lt;="&amp;EOMONTH(DATE(Controls!$B$5,1,1),0),Nominal_Activity!$A$2:$A$3000,Controls!$B$7))</f>
        <v>439600.03</v>
      </c>
      <c r="H6" s="68" t="n">
        <f aca="false">IF(2&gt;Controls!$B$11,"-",SUMIFS(Nominal_Activity!$M$2:$M$3000,Nominal_Activity!$C$2:$C$3000,$A6,Nominal_Activity!$G$2:$G$3000,"&gt;="&amp;DATE(Controls!$B$5,2,1),Nominal_Activity!$G$2:$G$3000,"&lt;="&amp;EOMONTH(DATE(Controls!$B$5,2,1),0),Nominal_Activity!$A$2:$A$3000,Controls!$B$7))</f>
        <v>439600.03</v>
      </c>
      <c r="I6" s="68" t="n">
        <f aca="false">IF(3&gt;Controls!$B$11,"-",SUMIFS(Nominal_Activity!$M$2:$M$3000,Nominal_Activity!$C$2:$C$3000,$A6,Nominal_Activity!$G$2:$G$3000,"&gt;="&amp;DATE(Controls!$B$5,3,1),Nominal_Activity!$G$2:$G$3000,"&lt;="&amp;EOMONTH(DATE(Controls!$B$5,3,1),0),Nominal_Activity!$A$2:$A$3000,Controls!$B$7))</f>
        <v>439600.03</v>
      </c>
      <c r="J6" s="68" t="n">
        <f aca="false">IF(4&gt;Controls!$B$11,"-",SUMIFS(Nominal_Activity!$M$2:$M$3000,Nominal_Activity!$C$2:$C$3000,$A6,Nominal_Activity!$G$2:$G$3000,"&gt;="&amp;DATE(Controls!$B$5,4,1),Nominal_Activity!$G$2:$G$3000,"&lt;="&amp;EOMONTH(DATE(Controls!$B$5,4,1),0),Nominal_Activity!$A$2:$A$3000,Controls!$B$7))</f>
        <v>448369.33</v>
      </c>
      <c r="K6" s="68" t="n">
        <f aca="false">IF(5&gt;Controls!$B$11,"-",SUMIFS(Nominal_Activity!$M$2:$M$3000,Nominal_Activity!$C$2:$C$3000,$A6,Nominal_Activity!$G$2:$G$3000,"&gt;="&amp;DATE(Controls!$B$5,5,1),Nominal_Activity!$G$2:$G$3000,"&lt;="&amp;EOMONTH(DATE(Controls!$B$5,5,1),0),Nominal_Activity!$A$2:$A$3000,Controls!$B$7))</f>
        <v>458600.03</v>
      </c>
      <c r="L6" s="68" t="n">
        <f aca="false">IF(6&gt;Controls!$B$11,"-",SUMIFS(Nominal_Activity!$M$2:$M$3000,Nominal_Activity!$C$2:$C$3000,$A6,Nominal_Activity!$G$2:$G$3000,"&gt;="&amp;DATE(Controls!$B$5,6,1),Nominal_Activity!$G$2:$G$3000,"&lt;="&amp;EOMONTH(DATE(Controls!$B$5,6,1),0),Nominal_Activity!$A$2:$A$3000,Controls!$B$7))</f>
        <v>458600.03</v>
      </c>
      <c r="M6" s="68" t="str">
        <f aca="false">IF(7&gt;Controls!$B$11,"-",SUMIFS(Nominal_Activity!$M$2:$M$3000,Nominal_Activity!$C$2:$C$3000,$A6,Nominal_Activity!$G$2:$G$3000,"&gt;="&amp;DATE(Controls!$B$5,7,1),Nominal_Activity!$G$2:$G$3000,"&lt;="&amp;EOMONTH(DATE(Controls!$B$5,7,1),0),Nominal_Activity!$A$2:$A$3000,Controls!$B$7))</f>
        <v>-</v>
      </c>
      <c r="N6" s="68" t="str">
        <f aca="false">IF(8&gt;Controls!$B$11,"-",SUMIFS(Nominal_Activity!$M$2:$M$3000,Nominal_Activity!$C$2:$C$3000,$A6,Nominal_Activity!$G$2:$G$3000,"&gt;="&amp;DATE(Controls!$B$5,8,1),Nominal_Activity!$G$2:$G$3000,"&lt;="&amp;EOMONTH(DATE(Controls!$B$5,8,1),0),Nominal_Activity!$A$2:$A$3000,Controls!$B$7))</f>
        <v>-</v>
      </c>
      <c r="O6" s="68" t="str">
        <f aca="false">IF(9&gt;Controls!$B$11,"-",SUMIFS(Nominal_Activity!$M$2:$M$3000,Nominal_Activity!$C$2:$C$3000,$A6,Nominal_Activity!$G$2:$G$3000,"&gt;="&amp;DATE(Controls!$B$5,9,1),Nominal_Activity!$G$2:$G$3000,"&lt;="&amp;EOMONTH(DATE(Controls!$B$5,9,1),0),Nominal_Activity!$A$2:$A$3000,Controls!$B$7))</f>
        <v>-</v>
      </c>
      <c r="P6" s="68" t="str">
        <f aca="false">IF(10&gt;Controls!$B$11,"-",SUMIFS(Nominal_Activity!$M$2:$M$3000,Nominal_Activity!$C$2:$C$3000,$A6,Nominal_Activity!$G$2:$G$3000,"&gt;="&amp;DATE(Controls!$B$5,10,1),Nominal_Activity!$G$2:$G$3000,"&lt;="&amp;EOMONTH(DATE(Controls!$B$5,10,1),0),Nominal_Activity!$A$2:$A$3000,Controls!$B$7))</f>
        <v>-</v>
      </c>
      <c r="Q6" s="68" t="str">
        <f aca="false">IF(11&gt;Controls!$B$11,"-",SUMIFS(Nominal_Activity!$M$2:$M$3000,Nominal_Activity!$C$2:$C$3000,$A6,Nominal_Activity!$G$2:$G$3000,"&gt;="&amp;DATE(Controls!$B$5,11,1),Nominal_Activity!$G$2:$G$3000,"&lt;="&amp;EOMONTH(DATE(Controls!$B$5,11,1),0),Nominal_Activity!$A$2:$A$3000,Controls!$B$7))</f>
        <v>-</v>
      </c>
      <c r="R6" s="68" t="str">
        <f aca="false">IF(12&gt;Controls!$B$11,"-",SUMIFS(Nominal_Activity!$M$2:$M$3000,Nominal_Activity!$C$2:$C$3000,$A6,Nominal_Activity!$G$2:$G$3000,"&gt;="&amp;DATE(Controls!$B$5,12,1),Nominal_Activity!$G$2:$G$3000,"&lt;="&amp;EOMONTH(DATE(Controls!$B$5,12,1),0),Nominal_Activity!$A$2:$A$3000,Controls!$B$7))</f>
        <v>-</v>
      </c>
      <c r="S6" s="68" t="n">
        <f aca="false">SUM(G6:R6)</f>
        <v>2684369.48</v>
      </c>
      <c r="T6" s="68" t="n">
        <f aca="false">$F6-$S6</f>
        <v>289801.944999999</v>
      </c>
      <c r="U6" s="77" t="n">
        <f aca="false">IFERROR($T6/$F6,0)</f>
        <v>0.0974395566321465</v>
      </c>
      <c r="V6" s="68" t="n">
        <f aca="false">$S6*MM_FixedCost!G5</f>
        <v>0</v>
      </c>
      <c r="W6" s="68" t="n">
        <f aca="false">$S6-$V6</f>
        <v>2684369.48</v>
      </c>
      <c r="X6" s="135"/>
      <c r="Y6" s="136" t="n">
        <f aca="false">SUM($G6:$I6)</f>
        <v>1318800.09</v>
      </c>
      <c r="Z6" s="136" t="n">
        <f aca="false">$Y6*MM_FixedCost!$G5</f>
        <v>0</v>
      </c>
      <c r="AA6" s="136" t="n">
        <f aca="false">SUM($J6:$L6)</f>
        <v>1365569.39</v>
      </c>
      <c r="AB6" s="136" t="n">
        <f aca="false">$AA6*MM_FixedCost!$G5</f>
        <v>0</v>
      </c>
      <c r="AC6" s="136" t="n">
        <f aca="false">SUM($M6:$O6)</f>
        <v>0</v>
      </c>
      <c r="AD6" s="136" t="n">
        <f aca="false">$AC6*MM_FixedCost!$G5</f>
        <v>0</v>
      </c>
      <c r="AE6" s="136" t="n">
        <f aca="false">SUM($P6:$R6)</f>
        <v>0</v>
      </c>
      <c r="AF6" s="136" t="n">
        <f aca="false">$AE6*MM_FixedCost!$G5</f>
        <v>0</v>
      </c>
      <c r="AG6" s="136" t="n">
        <f aca="false">CHOOSE(VALUE(MID(Controls!$B$6,2,1)),$Z6,$AB6,$AD6,$AF6)</f>
        <v>0</v>
      </c>
    </row>
    <row r="7" customFormat="false" ht="13.5" hidden="false" customHeight="false" outlineLevel="0" collapsed="false">
      <c r="A7" s="67" t="n">
        <f aca="false">MM_FixedCost!A6</f>
        <v>6010</v>
      </c>
      <c r="B7" s="67" t="str">
        <f aca="false">MM_FixedCost!B6</f>
        <v>Technical - Social taxes</v>
      </c>
      <c r="C7" s="67" t="str">
        <f aca="false">MM_FixedCost!C6</f>
        <v>Direct technical costs</v>
      </c>
      <c r="D7" s="67" t="str">
        <f aca="false">MM_FixedCost!E6</f>
        <v>Core</v>
      </c>
      <c r="E7" s="68" t="n">
        <f aca="false">MM_FixedCost!F6</f>
        <v>773284.57</v>
      </c>
      <c r="F7" s="68" t="n">
        <f aca="false">$E7/12*Controls!$B$11</f>
        <v>386642.285</v>
      </c>
      <c r="G7" s="68" t="n">
        <f aca="false">IF(1&gt;Controls!$B$11,"-",SUMIFS(Nominal_Activity!$M$2:$M$3000,Nominal_Activity!$C$2:$C$3000,$A7,Nominal_Activity!$G$2:$G$3000,"&gt;="&amp;DATE(Controls!$B$5,1,1),Nominal_Activity!$G$2:$G$3000,"&lt;="&amp;EOMONTH(DATE(Controls!$B$5,1,1),0),Nominal_Activity!$A$2:$A$3000,Controls!$B$7))</f>
        <v>57148</v>
      </c>
      <c r="H7" s="68" t="n">
        <f aca="false">IF(2&gt;Controls!$B$11,"-",SUMIFS(Nominal_Activity!$M$2:$M$3000,Nominal_Activity!$C$2:$C$3000,$A7,Nominal_Activity!$G$2:$G$3000,"&gt;="&amp;DATE(Controls!$B$5,2,1),Nominal_Activity!$G$2:$G$3000,"&lt;="&amp;EOMONTH(DATE(Controls!$B$5,2,1),0),Nominal_Activity!$A$2:$A$3000,Controls!$B$7))</f>
        <v>57148</v>
      </c>
      <c r="I7" s="68" t="n">
        <f aca="false">IF(3&gt;Controls!$B$11,"-",SUMIFS(Nominal_Activity!$M$2:$M$3000,Nominal_Activity!$C$2:$C$3000,$A7,Nominal_Activity!$G$2:$G$3000,"&gt;="&amp;DATE(Controls!$B$5,3,1),Nominal_Activity!$G$2:$G$3000,"&lt;="&amp;EOMONTH(DATE(Controls!$B$5,3,1),0),Nominal_Activity!$A$2:$A$3000,Controls!$B$7))</f>
        <v>57148</v>
      </c>
      <c r="J7" s="68" t="n">
        <f aca="false">IF(4&gt;Controls!$B$11,"-",SUMIFS(Nominal_Activity!$M$2:$M$3000,Nominal_Activity!$C$2:$C$3000,$A7,Nominal_Activity!$G$2:$G$3000,"&gt;="&amp;DATE(Controls!$B$5,4,1),Nominal_Activity!$G$2:$G$3000,"&lt;="&amp;EOMONTH(DATE(Controls!$B$5,4,1),0),Nominal_Activity!$A$2:$A$3000,Controls!$B$7))</f>
        <v>58288.01</v>
      </c>
      <c r="K7" s="68" t="n">
        <f aca="false">IF(5&gt;Controls!$B$11,"-",SUMIFS(Nominal_Activity!$M$2:$M$3000,Nominal_Activity!$C$2:$C$3000,$A7,Nominal_Activity!$G$2:$G$3000,"&gt;="&amp;DATE(Controls!$B$5,5,1),Nominal_Activity!$G$2:$G$3000,"&lt;="&amp;EOMONTH(DATE(Controls!$B$5,5,1),0),Nominal_Activity!$A$2:$A$3000,Controls!$B$7))</f>
        <v>59618</v>
      </c>
      <c r="L7" s="68" t="n">
        <f aca="false">IF(6&gt;Controls!$B$11,"-",SUMIFS(Nominal_Activity!$M$2:$M$3000,Nominal_Activity!$C$2:$C$3000,$A7,Nominal_Activity!$G$2:$G$3000,"&gt;="&amp;DATE(Controls!$B$5,6,1),Nominal_Activity!$G$2:$G$3000,"&lt;="&amp;EOMONTH(DATE(Controls!$B$5,6,1),0),Nominal_Activity!$A$2:$A$3000,Controls!$B$7))</f>
        <v>59618</v>
      </c>
      <c r="M7" s="68" t="str">
        <f aca="false">IF(7&gt;Controls!$B$11,"-",SUMIFS(Nominal_Activity!$M$2:$M$3000,Nominal_Activity!$C$2:$C$3000,$A7,Nominal_Activity!$G$2:$G$3000,"&gt;="&amp;DATE(Controls!$B$5,7,1),Nominal_Activity!$G$2:$G$3000,"&lt;="&amp;EOMONTH(DATE(Controls!$B$5,7,1),0),Nominal_Activity!$A$2:$A$3000,Controls!$B$7))</f>
        <v>-</v>
      </c>
      <c r="N7" s="68" t="str">
        <f aca="false">IF(8&gt;Controls!$B$11,"-",SUMIFS(Nominal_Activity!$M$2:$M$3000,Nominal_Activity!$C$2:$C$3000,$A7,Nominal_Activity!$G$2:$G$3000,"&gt;="&amp;DATE(Controls!$B$5,8,1),Nominal_Activity!$G$2:$G$3000,"&lt;="&amp;EOMONTH(DATE(Controls!$B$5,8,1),0),Nominal_Activity!$A$2:$A$3000,Controls!$B$7))</f>
        <v>-</v>
      </c>
      <c r="O7" s="68" t="str">
        <f aca="false">IF(9&gt;Controls!$B$11,"-",SUMIFS(Nominal_Activity!$M$2:$M$3000,Nominal_Activity!$C$2:$C$3000,$A7,Nominal_Activity!$G$2:$G$3000,"&gt;="&amp;DATE(Controls!$B$5,9,1),Nominal_Activity!$G$2:$G$3000,"&lt;="&amp;EOMONTH(DATE(Controls!$B$5,9,1),0),Nominal_Activity!$A$2:$A$3000,Controls!$B$7))</f>
        <v>-</v>
      </c>
      <c r="P7" s="68" t="str">
        <f aca="false">IF(10&gt;Controls!$B$11,"-",SUMIFS(Nominal_Activity!$M$2:$M$3000,Nominal_Activity!$C$2:$C$3000,$A7,Nominal_Activity!$G$2:$G$3000,"&gt;="&amp;DATE(Controls!$B$5,10,1),Nominal_Activity!$G$2:$G$3000,"&lt;="&amp;EOMONTH(DATE(Controls!$B$5,10,1),0),Nominal_Activity!$A$2:$A$3000,Controls!$B$7))</f>
        <v>-</v>
      </c>
      <c r="Q7" s="68" t="str">
        <f aca="false">IF(11&gt;Controls!$B$11,"-",SUMIFS(Nominal_Activity!$M$2:$M$3000,Nominal_Activity!$C$2:$C$3000,$A7,Nominal_Activity!$G$2:$G$3000,"&gt;="&amp;DATE(Controls!$B$5,11,1),Nominal_Activity!$G$2:$G$3000,"&lt;="&amp;EOMONTH(DATE(Controls!$B$5,11,1),0),Nominal_Activity!$A$2:$A$3000,Controls!$B$7))</f>
        <v>-</v>
      </c>
      <c r="R7" s="68" t="str">
        <f aca="false">IF(12&gt;Controls!$B$11,"-",SUMIFS(Nominal_Activity!$M$2:$M$3000,Nominal_Activity!$C$2:$C$3000,$A7,Nominal_Activity!$G$2:$G$3000,"&gt;="&amp;DATE(Controls!$B$5,12,1),Nominal_Activity!$G$2:$G$3000,"&lt;="&amp;EOMONTH(DATE(Controls!$B$5,12,1),0),Nominal_Activity!$A$2:$A$3000,Controls!$B$7))</f>
        <v>-</v>
      </c>
      <c r="S7" s="68" t="n">
        <f aca="false">SUM(G7:R7)</f>
        <v>348968.01</v>
      </c>
      <c r="T7" s="68" t="n">
        <f aca="false">$F7-$S7</f>
        <v>37674.275</v>
      </c>
      <c r="U7" s="77" t="n">
        <f aca="false">IFERROR($T7/$F7,0)</f>
        <v>0.0974396139832456</v>
      </c>
      <c r="V7" s="68" t="n">
        <f aca="false">$S7*MM_FixedCost!G6</f>
        <v>0</v>
      </c>
      <c r="W7" s="68" t="n">
        <f aca="false">$S7-$V7</f>
        <v>348968.01</v>
      </c>
      <c r="X7" s="135"/>
      <c r="Y7" s="136" t="n">
        <f aca="false">SUM($G7:$I7)</f>
        <v>171444</v>
      </c>
      <c r="Z7" s="136" t="n">
        <f aca="false">$Y7*MM_FixedCost!$G6</f>
        <v>0</v>
      </c>
      <c r="AA7" s="136" t="n">
        <f aca="false">SUM($J7:$L7)</f>
        <v>177524.01</v>
      </c>
      <c r="AB7" s="136" t="n">
        <f aca="false">$AA7*MM_FixedCost!$G6</f>
        <v>0</v>
      </c>
      <c r="AC7" s="136" t="n">
        <f aca="false">SUM($M7:$O7)</f>
        <v>0</v>
      </c>
      <c r="AD7" s="136" t="n">
        <f aca="false">$AC7*MM_FixedCost!$G6</f>
        <v>0</v>
      </c>
      <c r="AE7" s="136" t="n">
        <f aca="false">SUM($P7:$R7)</f>
        <v>0</v>
      </c>
      <c r="AF7" s="136" t="n">
        <f aca="false">$AE7*MM_FixedCost!$G6</f>
        <v>0</v>
      </c>
      <c r="AG7" s="136" t="n">
        <f aca="false">CHOOSE(VALUE(MID(Controls!$B$6,2,1)),$Z7,$AB7,$AD7,$AF7)</f>
        <v>0</v>
      </c>
    </row>
    <row r="8" customFormat="false" ht="13.5" hidden="false" customHeight="false" outlineLevel="0" collapsed="false">
      <c r="A8" s="67" t="n">
        <f aca="false">MM_FixedCost!A7</f>
        <v>6020</v>
      </c>
      <c r="B8" s="67" t="str">
        <f aca="false">MM_FixedCost!B7</f>
        <v>Technical - Pension</v>
      </c>
      <c r="C8" s="67" t="str">
        <f aca="false">MM_FixedCost!C7</f>
        <v>Direct technical costs</v>
      </c>
      <c r="D8" s="67" t="str">
        <f aca="false">MM_FixedCost!E7</f>
        <v>Core</v>
      </c>
      <c r="E8" s="68" t="n">
        <f aca="false">MM_FixedCost!F7</f>
        <v>178450.28</v>
      </c>
      <c r="F8" s="68" t="n">
        <f aca="false">$E8/12*Controls!$B$11</f>
        <v>89225.14</v>
      </c>
      <c r="G8" s="68" t="n">
        <f aca="false">IF(1&gt;Controls!$B$11,"-",SUMIFS(Nominal_Activity!$M$2:$M$3000,Nominal_Activity!$C$2:$C$3000,$A8,Nominal_Activity!$G$2:$G$3000,"&gt;="&amp;DATE(Controls!$B$5,1,1),Nominal_Activity!$G$2:$G$3000,"&lt;="&amp;EOMONTH(DATE(Controls!$B$5,1,1),0),Nominal_Activity!$A$2:$A$3000,Controls!$B$7))</f>
        <v>13188</v>
      </c>
      <c r="H8" s="68" t="n">
        <f aca="false">IF(2&gt;Controls!$B$11,"-",SUMIFS(Nominal_Activity!$M$2:$M$3000,Nominal_Activity!$C$2:$C$3000,$A8,Nominal_Activity!$G$2:$G$3000,"&gt;="&amp;DATE(Controls!$B$5,2,1),Nominal_Activity!$G$2:$G$3000,"&lt;="&amp;EOMONTH(DATE(Controls!$B$5,2,1),0),Nominal_Activity!$A$2:$A$3000,Controls!$B$7))</f>
        <v>13188</v>
      </c>
      <c r="I8" s="68" t="n">
        <f aca="false">IF(3&gt;Controls!$B$11,"-",SUMIFS(Nominal_Activity!$M$2:$M$3000,Nominal_Activity!$C$2:$C$3000,$A8,Nominal_Activity!$G$2:$G$3000,"&gt;="&amp;DATE(Controls!$B$5,3,1),Nominal_Activity!$G$2:$G$3000,"&lt;="&amp;EOMONTH(DATE(Controls!$B$5,3,1),0),Nominal_Activity!$A$2:$A$3000,Controls!$B$7))</f>
        <v>13188</v>
      </c>
      <c r="J8" s="68" t="n">
        <f aca="false">IF(4&gt;Controls!$B$11,"-",SUMIFS(Nominal_Activity!$M$2:$M$3000,Nominal_Activity!$C$2:$C$3000,$A8,Nominal_Activity!$G$2:$G$3000,"&gt;="&amp;DATE(Controls!$B$5,4,1),Nominal_Activity!$G$2:$G$3000,"&lt;="&amp;EOMONTH(DATE(Controls!$B$5,4,1),0),Nominal_Activity!$A$2:$A$3000,Controls!$B$7))</f>
        <v>13451.08</v>
      </c>
      <c r="K8" s="68" t="n">
        <f aca="false">IF(5&gt;Controls!$B$11,"-",SUMIFS(Nominal_Activity!$M$2:$M$3000,Nominal_Activity!$C$2:$C$3000,$A8,Nominal_Activity!$G$2:$G$3000,"&gt;="&amp;DATE(Controls!$B$5,5,1),Nominal_Activity!$G$2:$G$3000,"&lt;="&amp;EOMONTH(DATE(Controls!$B$5,5,1),0),Nominal_Activity!$A$2:$A$3000,Controls!$B$7))</f>
        <v>13758</v>
      </c>
      <c r="L8" s="68" t="n">
        <f aca="false">IF(6&gt;Controls!$B$11,"-",SUMIFS(Nominal_Activity!$M$2:$M$3000,Nominal_Activity!$C$2:$C$3000,$A8,Nominal_Activity!$G$2:$G$3000,"&gt;="&amp;DATE(Controls!$B$5,6,1),Nominal_Activity!$G$2:$G$3000,"&lt;="&amp;EOMONTH(DATE(Controls!$B$5,6,1),0),Nominal_Activity!$A$2:$A$3000,Controls!$B$7))</f>
        <v>13758</v>
      </c>
      <c r="M8" s="68" t="str">
        <f aca="false">IF(7&gt;Controls!$B$11,"-",SUMIFS(Nominal_Activity!$M$2:$M$3000,Nominal_Activity!$C$2:$C$3000,$A8,Nominal_Activity!$G$2:$G$3000,"&gt;="&amp;DATE(Controls!$B$5,7,1),Nominal_Activity!$G$2:$G$3000,"&lt;="&amp;EOMONTH(DATE(Controls!$B$5,7,1),0),Nominal_Activity!$A$2:$A$3000,Controls!$B$7))</f>
        <v>-</v>
      </c>
      <c r="N8" s="68" t="str">
        <f aca="false">IF(8&gt;Controls!$B$11,"-",SUMIFS(Nominal_Activity!$M$2:$M$3000,Nominal_Activity!$C$2:$C$3000,$A8,Nominal_Activity!$G$2:$G$3000,"&gt;="&amp;DATE(Controls!$B$5,8,1),Nominal_Activity!$G$2:$G$3000,"&lt;="&amp;EOMONTH(DATE(Controls!$B$5,8,1),0),Nominal_Activity!$A$2:$A$3000,Controls!$B$7))</f>
        <v>-</v>
      </c>
      <c r="O8" s="68" t="str">
        <f aca="false">IF(9&gt;Controls!$B$11,"-",SUMIFS(Nominal_Activity!$M$2:$M$3000,Nominal_Activity!$C$2:$C$3000,$A8,Nominal_Activity!$G$2:$G$3000,"&gt;="&amp;DATE(Controls!$B$5,9,1),Nominal_Activity!$G$2:$G$3000,"&lt;="&amp;EOMONTH(DATE(Controls!$B$5,9,1),0),Nominal_Activity!$A$2:$A$3000,Controls!$B$7))</f>
        <v>-</v>
      </c>
      <c r="P8" s="68" t="str">
        <f aca="false">IF(10&gt;Controls!$B$11,"-",SUMIFS(Nominal_Activity!$M$2:$M$3000,Nominal_Activity!$C$2:$C$3000,$A8,Nominal_Activity!$G$2:$G$3000,"&gt;="&amp;DATE(Controls!$B$5,10,1),Nominal_Activity!$G$2:$G$3000,"&lt;="&amp;EOMONTH(DATE(Controls!$B$5,10,1),0),Nominal_Activity!$A$2:$A$3000,Controls!$B$7))</f>
        <v>-</v>
      </c>
      <c r="Q8" s="68" t="str">
        <f aca="false">IF(11&gt;Controls!$B$11,"-",SUMIFS(Nominal_Activity!$M$2:$M$3000,Nominal_Activity!$C$2:$C$3000,$A8,Nominal_Activity!$G$2:$G$3000,"&gt;="&amp;DATE(Controls!$B$5,11,1),Nominal_Activity!$G$2:$G$3000,"&lt;="&amp;EOMONTH(DATE(Controls!$B$5,11,1),0),Nominal_Activity!$A$2:$A$3000,Controls!$B$7))</f>
        <v>-</v>
      </c>
      <c r="R8" s="68" t="str">
        <f aca="false">IF(12&gt;Controls!$B$11,"-",SUMIFS(Nominal_Activity!$M$2:$M$3000,Nominal_Activity!$C$2:$C$3000,$A8,Nominal_Activity!$G$2:$G$3000,"&gt;="&amp;DATE(Controls!$B$5,12,1),Nominal_Activity!$G$2:$G$3000,"&lt;="&amp;EOMONTH(DATE(Controls!$B$5,12,1),0),Nominal_Activity!$A$2:$A$3000,Controls!$B$7))</f>
        <v>-</v>
      </c>
      <c r="S8" s="68" t="n">
        <f aca="false">SUM(G8:R8)</f>
        <v>80531.08</v>
      </c>
      <c r="T8" s="68" t="n">
        <f aca="false">$F8-$S8</f>
        <v>8694.06</v>
      </c>
      <c r="U8" s="77" t="n">
        <f aca="false">IFERROR($T8/$F8,0)</f>
        <v>0.0974395781278684</v>
      </c>
      <c r="V8" s="68" t="n">
        <f aca="false">$S8*MM_FixedCost!G7</f>
        <v>0</v>
      </c>
      <c r="W8" s="68" t="n">
        <f aca="false">$S8-$V8</f>
        <v>80531.08</v>
      </c>
      <c r="X8" s="135"/>
      <c r="Y8" s="136" t="n">
        <f aca="false">SUM($G8:$I8)</f>
        <v>39564</v>
      </c>
      <c r="Z8" s="136" t="n">
        <f aca="false">$Y8*MM_FixedCost!$G7</f>
        <v>0</v>
      </c>
      <c r="AA8" s="136" t="n">
        <f aca="false">SUM($J8:$L8)</f>
        <v>40967.08</v>
      </c>
      <c r="AB8" s="136" t="n">
        <f aca="false">$AA8*MM_FixedCost!$G7</f>
        <v>0</v>
      </c>
      <c r="AC8" s="136" t="n">
        <f aca="false">SUM($M8:$O8)</f>
        <v>0</v>
      </c>
      <c r="AD8" s="136" t="n">
        <f aca="false">$AC8*MM_FixedCost!$G7</f>
        <v>0</v>
      </c>
      <c r="AE8" s="136" t="n">
        <f aca="false">SUM($P8:$R8)</f>
        <v>0</v>
      </c>
      <c r="AF8" s="136" t="n">
        <f aca="false">$AE8*MM_FixedCost!$G7</f>
        <v>0</v>
      </c>
      <c r="AG8" s="136" t="n">
        <f aca="false">CHOOSE(VALUE(MID(Controls!$B$6,2,1)),$Z8,$AB8,$AD8,$AF8)</f>
        <v>0</v>
      </c>
    </row>
    <row r="9" customFormat="false" ht="13.5" hidden="false" customHeight="false" outlineLevel="0" collapsed="false">
      <c r="A9" s="67" t="n">
        <f aca="false">MM_FixedCost!A8</f>
        <v>6030</v>
      </c>
      <c r="B9" s="67" t="str">
        <f aca="false">MM_FixedCost!B8</f>
        <v>Technical - Health and Medical</v>
      </c>
      <c r="C9" s="67" t="str">
        <f aca="false">MM_FixedCost!C8</f>
        <v>Direct technical costs</v>
      </c>
      <c r="D9" s="67" t="str">
        <f aca="false">MM_FixedCost!E8</f>
        <v>Core</v>
      </c>
      <c r="E9" s="68" t="n">
        <f aca="false">MM_FixedCost!F8</f>
        <v>330000</v>
      </c>
      <c r="F9" s="68" t="n">
        <f aca="false">$E9/12*Controls!$B$11</f>
        <v>165000</v>
      </c>
      <c r="G9" s="68" t="n">
        <f aca="false">IF(1&gt;Controls!$B$11,"-",SUMIFS(Nominal_Activity!$M$2:$M$3000,Nominal_Activity!$C$2:$C$3000,$A9,Nominal_Activity!$G$2:$G$3000,"&gt;="&amp;DATE(Controls!$B$5,1,1),Nominal_Activity!$G$2:$G$3000,"&lt;="&amp;EOMONTH(DATE(Controls!$B$5,1,1),0),Nominal_Activity!$A$2:$A$3000,Controls!$B$7))</f>
        <v>19233.33</v>
      </c>
      <c r="H9" s="68" t="n">
        <f aca="false">IF(2&gt;Controls!$B$11,"-",SUMIFS(Nominal_Activity!$M$2:$M$3000,Nominal_Activity!$C$2:$C$3000,$A9,Nominal_Activity!$G$2:$G$3000,"&gt;="&amp;DATE(Controls!$B$5,2,1),Nominal_Activity!$G$2:$G$3000,"&lt;="&amp;EOMONTH(DATE(Controls!$B$5,2,1),0),Nominal_Activity!$A$2:$A$3000,Controls!$B$7))</f>
        <v>19233.33</v>
      </c>
      <c r="I9" s="68" t="n">
        <f aca="false">IF(3&gt;Controls!$B$11,"-",SUMIFS(Nominal_Activity!$M$2:$M$3000,Nominal_Activity!$C$2:$C$3000,$A9,Nominal_Activity!$G$2:$G$3000,"&gt;="&amp;DATE(Controls!$B$5,3,1),Nominal_Activity!$G$2:$G$3000,"&lt;="&amp;EOMONTH(DATE(Controls!$B$5,3,1),0),Nominal_Activity!$A$2:$A$3000,Controls!$B$7))</f>
        <v>19233.33</v>
      </c>
      <c r="J9" s="68" t="n">
        <f aca="false">IF(4&gt;Controls!$B$11,"-",SUMIFS(Nominal_Activity!$M$2:$M$3000,Nominal_Activity!$C$2:$C$3000,$A9,Nominal_Activity!$G$2:$G$3000,"&gt;="&amp;DATE(Controls!$B$5,4,1),Nominal_Activity!$G$2:$G$3000,"&lt;="&amp;EOMONTH(DATE(Controls!$B$5,4,1),0),Nominal_Activity!$A$2:$A$3000,Controls!$B$7))</f>
        <v>19233.33</v>
      </c>
      <c r="K9" s="68" t="n">
        <f aca="false">IF(5&gt;Controls!$B$11,"-",SUMIFS(Nominal_Activity!$M$2:$M$3000,Nominal_Activity!$C$2:$C$3000,$A9,Nominal_Activity!$G$2:$G$3000,"&gt;="&amp;DATE(Controls!$B$5,5,1),Nominal_Activity!$G$2:$G$3000,"&lt;="&amp;EOMONTH(DATE(Controls!$B$5,5,1),0),Nominal_Activity!$A$2:$A$3000,Controls!$B$7))</f>
        <v>19233.33</v>
      </c>
      <c r="L9" s="68" t="n">
        <f aca="false">IF(6&gt;Controls!$B$11,"-",SUMIFS(Nominal_Activity!$M$2:$M$3000,Nominal_Activity!$C$2:$C$3000,$A9,Nominal_Activity!$G$2:$G$3000,"&gt;="&amp;DATE(Controls!$B$5,6,1),Nominal_Activity!$G$2:$G$3000,"&lt;="&amp;EOMONTH(DATE(Controls!$B$5,6,1),0),Nominal_Activity!$A$2:$A$3000,Controls!$B$7))</f>
        <v>19233.33</v>
      </c>
      <c r="M9" s="68" t="str">
        <f aca="false">IF(7&gt;Controls!$B$11,"-",SUMIFS(Nominal_Activity!$M$2:$M$3000,Nominal_Activity!$C$2:$C$3000,$A9,Nominal_Activity!$G$2:$G$3000,"&gt;="&amp;DATE(Controls!$B$5,7,1),Nominal_Activity!$G$2:$G$3000,"&lt;="&amp;EOMONTH(DATE(Controls!$B$5,7,1),0),Nominal_Activity!$A$2:$A$3000,Controls!$B$7))</f>
        <v>-</v>
      </c>
      <c r="N9" s="68" t="str">
        <f aca="false">IF(8&gt;Controls!$B$11,"-",SUMIFS(Nominal_Activity!$M$2:$M$3000,Nominal_Activity!$C$2:$C$3000,$A9,Nominal_Activity!$G$2:$G$3000,"&gt;="&amp;DATE(Controls!$B$5,8,1),Nominal_Activity!$G$2:$G$3000,"&lt;="&amp;EOMONTH(DATE(Controls!$B$5,8,1),0),Nominal_Activity!$A$2:$A$3000,Controls!$B$7))</f>
        <v>-</v>
      </c>
      <c r="O9" s="68" t="str">
        <f aca="false">IF(9&gt;Controls!$B$11,"-",SUMIFS(Nominal_Activity!$M$2:$M$3000,Nominal_Activity!$C$2:$C$3000,$A9,Nominal_Activity!$G$2:$G$3000,"&gt;="&amp;DATE(Controls!$B$5,9,1),Nominal_Activity!$G$2:$G$3000,"&lt;="&amp;EOMONTH(DATE(Controls!$B$5,9,1),0),Nominal_Activity!$A$2:$A$3000,Controls!$B$7))</f>
        <v>-</v>
      </c>
      <c r="P9" s="68" t="str">
        <f aca="false">IF(10&gt;Controls!$B$11,"-",SUMIFS(Nominal_Activity!$M$2:$M$3000,Nominal_Activity!$C$2:$C$3000,$A9,Nominal_Activity!$G$2:$G$3000,"&gt;="&amp;DATE(Controls!$B$5,10,1),Nominal_Activity!$G$2:$G$3000,"&lt;="&amp;EOMONTH(DATE(Controls!$B$5,10,1),0),Nominal_Activity!$A$2:$A$3000,Controls!$B$7))</f>
        <v>-</v>
      </c>
      <c r="Q9" s="68" t="str">
        <f aca="false">IF(11&gt;Controls!$B$11,"-",SUMIFS(Nominal_Activity!$M$2:$M$3000,Nominal_Activity!$C$2:$C$3000,$A9,Nominal_Activity!$G$2:$G$3000,"&gt;="&amp;DATE(Controls!$B$5,11,1),Nominal_Activity!$G$2:$G$3000,"&lt;="&amp;EOMONTH(DATE(Controls!$B$5,11,1),0),Nominal_Activity!$A$2:$A$3000,Controls!$B$7))</f>
        <v>-</v>
      </c>
      <c r="R9" s="68" t="str">
        <f aca="false">IF(12&gt;Controls!$B$11,"-",SUMIFS(Nominal_Activity!$M$2:$M$3000,Nominal_Activity!$C$2:$C$3000,$A9,Nominal_Activity!$G$2:$G$3000,"&gt;="&amp;DATE(Controls!$B$5,12,1),Nominal_Activity!$G$2:$G$3000,"&lt;="&amp;EOMONTH(DATE(Controls!$B$5,12,1),0),Nominal_Activity!$A$2:$A$3000,Controls!$B$7))</f>
        <v>-</v>
      </c>
      <c r="S9" s="68" t="n">
        <f aca="false">SUM(G9:R9)</f>
        <v>115399.98</v>
      </c>
      <c r="T9" s="68" t="n">
        <f aca="false">$F9-$S9</f>
        <v>49600.02</v>
      </c>
      <c r="U9" s="77" t="n">
        <f aca="false">IFERROR($T9/$F9,0)</f>
        <v>0.300606181818182</v>
      </c>
      <c r="V9" s="68" t="n">
        <f aca="false">$S9*MM_FixedCost!G8</f>
        <v>0</v>
      </c>
      <c r="W9" s="68" t="n">
        <f aca="false">$S9-$V9</f>
        <v>115399.98</v>
      </c>
      <c r="X9" s="135"/>
      <c r="Y9" s="136" t="n">
        <f aca="false">SUM($G9:$I9)</f>
        <v>57699.99</v>
      </c>
      <c r="Z9" s="136" t="n">
        <f aca="false">$Y9*MM_FixedCost!$G8</f>
        <v>0</v>
      </c>
      <c r="AA9" s="136" t="n">
        <f aca="false">SUM($J9:$L9)</f>
        <v>57699.99</v>
      </c>
      <c r="AB9" s="136" t="n">
        <f aca="false">$AA9*MM_FixedCost!$G8</f>
        <v>0</v>
      </c>
      <c r="AC9" s="136" t="n">
        <f aca="false">SUM($M9:$O9)</f>
        <v>0</v>
      </c>
      <c r="AD9" s="136" t="n">
        <f aca="false">$AC9*MM_FixedCost!$G8</f>
        <v>0</v>
      </c>
      <c r="AE9" s="136" t="n">
        <f aca="false">SUM($P9:$R9)</f>
        <v>0</v>
      </c>
      <c r="AF9" s="136" t="n">
        <f aca="false">$AE9*MM_FixedCost!$G8</f>
        <v>0</v>
      </c>
      <c r="AG9" s="136" t="n">
        <f aca="false">CHOOSE(VALUE(MID(Controls!$B$6,2,1)),$Z9,$AB9,$AD9,$AF9)</f>
        <v>0</v>
      </c>
    </row>
    <row r="10" customFormat="false" ht="13.5" hidden="false" customHeight="false" outlineLevel="0" collapsed="false">
      <c r="A10" s="67" t="n">
        <f aca="false">MM_FixedCost!A9</f>
        <v>6050</v>
      </c>
      <c r="B10" s="67" t="str">
        <f aca="false">MM_FixedCost!B9</f>
        <v>Recruitment Expenses</v>
      </c>
      <c r="C10" s="67" t="str">
        <f aca="false">MM_FixedCost!C9</f>
        <v>Recruitment, Benefits</v>
      </c>
      <c r="D10" s="67" t="str">
        <f aca="false">MM_FixedCost!E9</f>
        <v>Core</v>
      </c>
      <c r="E10" s="68" t="n">
        <f aca="false">MM_FixedCost!F9</f>
        <v>2000</v>
      </c>
      <c r="F10" s="68" t="n">
        <f aca="false">$E10/12*Controls!$B$11</f>
        <v>1000</v>
      </c>
      <c r="G10" s="68" t="n">
        <f aca="false">IF(1&gt;Controls!$B$11,"-",SUMIFS(Nominal_Activity!$M$2:$M$3000,Nominal_Activity!$C$2:$C$3000,$A10,Nominal_Activity!$G$2:$G$3000,"&gt;="&amp;DATE(Controls!$B$5,1,1),Nominal_Activity!$G$2:$G$3000,"&lt;="&amp;EOMONTH(DATE(Controls!$B$5,1,1),0),Nominal_Activity!$A$2:$A$3000,Controls!$B$7))</f>
        <v>0</v>
      </c>
      <c r="H10" s="68" t="n">
        <f aca="false">IF(2&gt;Controls!$B$11,"-",SUMIFS(Nominal_Activity!$M$2:$M$3000,Nominal_Activity!$C$2:$C$3000,$A10,Nominal_Activity!$G$2:$G$3000,"&gt;="&amp;DATE(Controls!$B$5,2,1),Nominal_Activity!$G$2:$G$3000,"&lt;="&amp;EOMONTH(DATE(Controls!$B$5,2,1),0),Nominal_Activity!$A$2:$A$3000,Controls!$B$7))</f>
        <v>380</v>
      </c>
      <c r="I10" s="68" t="n">
        <f aca="false">IF(3&gt;Controls!$B$11,"-",SUMIFS(Nominal_Activity!$M$2:$M$3000,Nominal_Activity!$C$2:$C$3000,$A10,Nominal_Activity!$G$2:$G$3000,"&gt;="&amp;DATE(Controls!$B$5,3,1),Nominal_Activity!$G$2:$G$3000,"&lt;="&amp;EOMONTH(DATE(Controls!$B$5,3,1),0),Nominal_Activity!$A$2:$A$3000,Controls!$B$7))</f>
        <v>0</v>
      </c>
      <c r="J10" s="68" t="n">
        <f aca="false">IF(4&gt;Controls!$B$11,"-",SUMIFS(Nominal_Activity!$M$2:$M$3000,Nominal_Activity!$C$2:$C$3000,$A10,Nominal_Activity!$G$2:$G$3000,"&gt;="&amp;DATE(Controls!$B$5,4,1),Nominal_Activity!$G$2:$G$3000,"&lt;="&amp;EOMONTH(DATE(Controls!$B$5,4,1),0),Nominal_Activity!$A$2:$A$3000,Controls!$B$7))</f>
        <v>0</v>
      </c>
      <c r="K10" s="68" t="n">
        <f aca="false">IF(5&gt;Controls!$B$11,"-",SUMIFS(Nominal_Activity!$M$2:$M$3000,Nominal_Activity!$C$2:$C$3000,$A10,Nominal_Activity!$G$2:$G$3000,"&gt;="&amp;DATE(Controls!$B$5,5,1),Nominal_Activity!$G$2:$G$3000,"&lt;="&amp;EOMONTH(DATE(Controls!$B$5,5,1),0),Nominal_Activity!$A$2:$A$3000,Controls!$B$7))</f>
        <v>0</v>
      </c>
      <c r="L10" s="68" t="n">
        <f aca="false">IF(6&gt;Controls!$B$11,"-",SUMIFS(Nominal_Activity!$M$2:$M$3000,Nominal_Activity!$C$2:$C$3000,$A10,Nominal_Activity!$G$2:$G$3000,"&gt;="&amp;DATE(Controls!$B$5,6,1),Nominal_Activity!$G$2:$G$3000,"&lt;="&amp;EOMONTH(DATE(Controls!$B$5,6,1),0),Nominal_Activity!$A$2:$A$3000,Controls!$B$7))</f>
        <v>0</v>
      </c>
      <c r="M10" s="68" t="str">
        <f aca="false">IF(7&gt;Controls!$B$11,"-",SUMIFS(Nominal_Activity!$M$2:$M$3000,Nominal_Activity!$C$2:$C$3000,$A10,Nominal_Activity!$G$2:$G$3000,"&gt;="&amp;DATE(Controls!$B$5,7,1),Nominal_Activity!$G$2:$G$3000,"&lt;="&amp;EOMONTH(DATE(Controls!$B$5,7,1),0),Nominal_Activity!$A$2:$A$3000,Controls!$B$7))</f>
        <v>-</v>
      </c>
      <c r="N10" s="68" t="str">
        <f aca="false">IF(8&gt;Controls!$B$11,"-",SUMIFS(Nominal_Activity!$M$2:$M$3000,Nominal_Activity!$C$2:$C$3000,$A10,Nominal_Activity!$G$2:$G$3000,"&gt;="&amp;DATE(Controls!$B$5,8,1),Nominal_Activity!$G$2:$G$3000,"&lt;="&amp;EOMONTH(DATE(Controls!$B$5,8,1),0),Nominal_Activity!$A$2:$A$3000,Controls!$B$7))</f>
        <v>-</v>
      </c>
      <c r="O10" s="68" t="str">
        <f aca="false">IF(9&gt;Controls!$B$11,"-",SUMIFS(Nominal_Activity!$M$2:$M$3000,Nominal_Activity!$C$2:$C$3000,$A10,Nominal_Activity!$G$2:$G$3000,"&gt;="&amp;DATE(Controls!$B$5,9,1),Nominal_Activity!$G$2:$G$3000,"&lt;="&amp;EOMONTH(DATE(Controls!$B$5,9,1),0),Nominal_Activity!$A$2:$A$3000,Controls!$B$7))</f>
        <v>-</v>
      </c>
      <c r="P10" s="68" t="str">
        <f aca="false">IF(10&gt;Controls!$B$11,"-",SUMIFS(Nominal_Activity!$M$2:$M$3000,Nominal_Activity!$C$2:$C$3000,$A10,Nominal_Activity!$G$2:$G$3000,"&gt;="&amp;DATE(Controls!$B$5,10,1),Nominal_Activity!$G$2:$G$3000,"&lt;="&amp;EOMONTH(DATE(Controls!$B$5,10,1),0),Nominal_Activity!$A$2:$A$3000,Controls!$B$7))</f>
        <v>-</v>
      </c>
      <c r="Q10" s="68" t="str">
        <f aca="false">IF(11&gt;Controls!$B$11,"-",SUMIFS(Nominal_Activity!$M$2:$M$3000,Nominal_Activity!$C$2:$C$3000,$A10,Nominal_Activity!$G$2:$G$3000,"&gt;="&amp;DATE(Controls!$B$5,11,1),Nominal_Activity!$G$2:$G$3000,"&lt;="&amp;EOMONTH(DATE(Controls!$B$5,11,1),0),Nominal_Activity!$A$2:$A$3000,Controls!$B$7))</f>
        <v>-</v>
      </c>
      <c r="R10" s="68" t="str">
        <f aca="false">IF(12&gt;Controls!$B$11,"-",SUMIFS(Nominal_Activity!$M$2:$M$3000,Nominal_Activity!$C$2:$C$3000,$A10,Nominal_Activity!$G$2:$G$3000,"&gt;="&amp;DATE(Controls!$B$5,12,1),Nominal_Activity!$G$2:$G$3000,"&lt;="&amp;EOMONTH(DATE(Controls!$B$5,12,1),0),Nominal_Activity!$A$2:$A$3000,Controls!$B$7))</f>
        <v>-</v>
      </c>
      <c r="S10" s="68" t="n">
        <f aca="false">SUM(G10:R10)</f>
        <v>380</v>
      </c>
      <c r="T10" s="68" t="n">
        <f aca="false">$F10-$S10</f>
        <v>620</v>
      </c>
      <c r="U10" s="77" t="n">
        <f aca="false">IFERROR($T10/$F10,0)</f>
        <v>0.62</v>
      </c>
      <c r="V10" s="68" t="n">
        <f aca="false">$S10*MM_FixedCost!G9</f>
        <v>0</v>
      </c>
      <c r="W10" s="68" t="n">
        <f aca="false">$S10-$V10</f>
        <v>380</v>
      </c>
      <c r="X10" s="135"/>
      <c r="Y10" s="136" t="n">
        <f aca="false">SUM($G10:$I10)</f>
        <v>380</v>
      </c>
      <c r="Z10" s="136" t="n">
        <f aca="false">$Y10*MM_FixedCost!$G9</f>
        <v>0</v>
      </c>
      <c r="AA10" s="136" t="n">
        <f aca="false">SUM($J10:$L10)</f>
        <v>0</v>
      </c>
      <c r="AB10" s="136" t="n">
        <f aca="false">$AA10*MM_FixedCost!$G9</f>
        <v>0</v>
      </c>
      <c r="AC10" s="136" t="n">
        <f aca="false">SUM($M10:$O10)</f>
        <v>0</v>
      </c>
      <c r="AD10" s="136" t="n">
        <f aca="false">$AC10*MM_FixedCost!$G9</f>
        <v>0</v>
      </c>
      <c r="AE10" s="136" t="n">
        <f aca="false">SUM($P10:$R10)</f>
        <v>0</v>
      </c>
      <c r="AF10" s="136" t="n">
        <f aca="false">$AE10*MM_FixedCost!$G9</f>
        <v>0</v>
      </c>
      <c r="AG10" s="136" t="n">
        <f aca="false">CHOOSE(VALUE(MID(Controls!$B$6,2,1)),$Z10,$AB10,$AD10,$AF10)</f>
        <v>0</v>
      </c>
    </row>
    <row r="11" customFormat="false" ht="13.5" hidden="false" customHeight="false" outlineLevel="0" collapsed="false">
      <c r="A11" s="67" t="n">
        <f aca="false">MM_FixedCost!A10</f>
        <v>7000</v>
      </c>
      <c r="B11" s="67" t="str">
        <f aca="false">MM_FixedCost!B10</f>
        <v>Support - Salaries</v>
      </c>
      <c r="C11" s="67" t="str">
        <f aca="false">MM_FixedCost!C10</f>
        <v>Direct support costs</v>
      </c>
      <c r="D11" s="67" t="str">
        <f aca="false">MM_FixedCost!E10</f>
        <v>Core</v>
      </c>
      <c r="E11" s="68" t="n">
        <f aca="false">MM_FixedCost!F10</f>
        <v>1936000</v>
      </c>
      <c r="F11" s="68" t="n">
        <f aca="false">$E11/12*Controls!$B$11</f>
        <v>968000</v>
      </c>
      <c r="G11" s="68" t="n">
        <f aca="false">IF(1&gt;Controls!$B$11,"-",SUMIFS(Nominal_Activity!$M$2:$M$3000,Nominal_Activity!$C$2:$C$3000,$A11,Nominal_Activity!$G$2:$G$3000,"&gt;="&amp;DATE(Controls!$B$5,1,1),Nominal_Activity!$G$2:$G$3000,"&lt;="&amp;EOMONTH(DATE(Controls!$B$5,1,1),0),Nominal_Activity!$A$2:$A$3000,Controls!$B$7))</f>
        <v>179238.09</v>
      </c>
      <c r="H11" s="68" t="n">
        <f aca="false">IF(2&gt;Controls!$B$11,"-",SUMIFS(Nominal_Activity!$M$2:$M$3000,Nominal_Activity!$C$2:$C$3000,$A11,Nominal_Activity!$G$2:$G$3000,"&gt;="&amp;DATE(Controls!$B$5,2,1),Nominal_Activity!$G$2:$G$3000,"&lt;="&amp;EOMONTH(DATE(Controls!$B$5,2,1),0),Nominal_Activity!$A$2:$A$3000,Controls!$B$7))</f>
        <v>179238.09</v>
      </c>
      <c r="I11" s="68" t="n">
        <f aca="false">IF(3&gt;Controls!$B$11,"-",SUMIFS(Nominal_Activity!$M$2:$M$3000,Nominal_Activity!$C$2:$C$3000,$A11,Nominal_Activity!$G$2:$G$3000,"&gt;="&amp;DATE(Controls!$B$5,3,1),Nominal_Activity!$G$2:$G$3000,"&lt;="&amp;EOMONTH(DATE(Controls!$B$5,3,1),0),Nominal_Activity!$A$2:$A$3000,Controls!$B$7))</f>
        <v>179238.09</v>
      </c>
      <c r="J11" s="68" t="n">
        <f aca="false">IF(4&gt;Controls!$B$11,"-",SUMIFS(Nominal_Activity!$M$2:$M$3000,Nominal_Activity!$C$2:$C$3000,$A11,Nominal_Activity!$G$2:$G$3000,"&gt;="&amp;DATE(Controls!$B$5,4,1),Nominal_Activity!$G$2:$G$3000,"&lt;="&amp;EOMONTH(DATE(Controls!$B$5,4,1),0),Nominal_Activity!$A$2:$A$3000,Controls!$B$7))</f>
        <v>179238.09</v>
      </c>
      <c r="K11" s="68" t="n">
        <f aca="false">IF(5&gt;Controls!$B$11,"-",SUMIFS(Nominal_Activity!$M$2:$M$3000,Nominal_Activity!$C$2:$C$3000,$A11,Nominal_Activity!$G$2:$G$3000,"&gt;="&amp;DATE(Controls!$B$5,5,1),Nominal_Activity!$G$2:$G$3000,"&lt;="&amp;EOMONTH(DATE(Controls!$B$5,5,1),0),Nominal_Activity!$A$2:$A$3000,Controls!$B$7))</f>
        <v>179238.09</v>
      </c>
      <c r="L11" s="68" t="n">
        <f aca="false">IF(6&gt;Controls!$B$11,"-",SUMIFS(Nominal_Activity!$M$2:$M$3000,Nominal_Activity!$C$2:$C$3000,$A11,Nominal_Activity!$G$2:$G$3000,"&gt;="&amp;DATE(Controls!$B$5,6,1),Nominal_Activity!$G$2:$G$3000,"&lt;="&amp;EOMONTH(DATE(Controls!$B$5,6,1),0),Nominal_Activity!$A$2:$A$3000,Controls!$B$7))</f>
        <v>179238.09</v>
      </c>
      <c r="M11" s="68" t="str">
        <f aca="false">IF(7&gt;Controls!$B$11,"-",SUMIFS(Nominal_Activity!$M$2:$M$3000,Nominal_Activity!$C$2:$C$3000,$A11,Nominal_Activity!$G$2:$G$3000,"&gt;="&amp;DATE(Controls!$B$5,7,1),Nominal_Activity!$G$2:$G$3000,"&lt;="&amp;EOMONTH(DATE(Controls!$B$5,7,1),0),Nominal_Activity!$A$2:$A$3000,Controls!$B$7))</f>
        <v>-</v>
      </c>
      <c r="N11" s="68" t="str">
        <f aca="false">IF(8&gt;Controls!$B$11,"-",SUMIFS(Nominal_Activity!$M$2:$M$3000,Nominal_Activity!$C$2:$C$3000,$A11,Nominal_Activity!$G$2:$G$3000,"&gt;="&amp;DATE(Controls!$B$5,8,1),Nominal_Activity!$G$2:$G$3000,"&lt;="&amp;EOMONTH(DATE(Controls!$B$5,8,1),0),Nominal_Activity!$A$2:$A$3000,Controls!$B$7))</f>
        <v>-</v>
      </c>
      <c r="O11" s="68" t="str">
        <f aca="false">IF(9&gt;Controls!$B$11,"-",SUMIFS(Nominal_Activity!$M$2:$M$3000,Nominal_Activity!$C$2:$C$3000,$A11,Nominal_Activity!$G$2:$G$3000,"&gt;="&amp;DATE(Controls!$B$5,9,1),Nominal_Activity!$G$2:$G$3000,"&lt;="&amp;EOMONTH(DATE(Controls!$B$5,9,1),0),Nominal_Activity!$A$2:$A$3000,Controls!$B$7))</f>
        <v>-</v>
      </c>
      <c r="P11" s="68" t="str">
        <f aca="false">IF(10&gt;Controls!$B$11,"-",SUMIFS(Nominal_Activity!$M$2:$M$3000,Nominal_Activity!$C$2:$C$3000,$A11,Nominal_Activity!$G$2:$G$3000,"&gt;="&amp;DATE(Controls!$B$5,10,1),Nominal_Activity!$G$2:$G$3000,"&lt;="&amp;EOMONTH(DATE(Controls!$B$5,10,1),0),Nominal_Activity!$A$2:$A$3000,Controls!$B$7))</f>
        <v>-</v>
      </c>
      <c r="Q11" s="68" t="str">
        <f aca="false">IF(11&gt;Controls!$B$11,"-",SUMIFS(Nominal_Activity!$M$2:$M$3000,Nominal_Activity!$C$2:$C$3000,$A11,Nominal_Activity!$G$2:$G$3000,"&gt;="&amp;DATE(Controls!$B$5,11,1),Nominal_Activity!$G$2:$G$3000,"&lt;="&amp;EOMONTH(DATE(Controls!$B$5,11,1),0),Nominal_Activity!$A$2:$A$3000,Controls!$B$7))</f>
        <v>-</v>
      </c>
      <c r="R11" s="68" t="str">
        <f aca="false">IF(12&gt;Controls!$B$11,"-",SUMIFS(Nominal_Activity!$M$2:$M$3000,Nominal_Activity!$C$2:$C$3000,$A11,Nominal_Activity!$G$2:$G$3000,"&gt;="&amp;DATE(Controls!$B$5,12,1),Nominal_Activity!$G$2:$G$3000,"&lt;="&amp;EOMONTH(DATE(Controls!$B$5,12,1),0),Nominal_Activity!$A$2:$A$3000,Controls!$B$7))</f>
        <v>-</v>
      </c>
      <c r="S11" s="68" t="n">
        <f aca="false">SUM(G11:R11)</f>
        <v>1075428.54</v>
      </c>
      <c r="T11" s="68" t="n">
        <f aca="false">$F11-$S11</f>
        <v>-107428.54</v>
      </c>
      <c r="U11" s="77" t="n">
        <f aca="false">IFERROR($T11/$F11,0)</f>
        <v>-0.110979896694215</v>
      </c>
      <c r="V11" s="68" t="n">
        <f aca="false">$S11*MM_FixedCost!G10</f>
        <v>0</v>
      </c>
      <c r="W11" s="68" t="n">
        <f aca="false">$S11-$V11</f>
        <v>1075428.54</v>
      </c>
      <c r="X11" s="135"/>
      <c r="Y11" s="136" t="n">
        <f aca="false">SUM($G11:$I11)</f>
        <v>537714.27</v>
      </c>
      <c r="Z11" s="136" t="n">
        <f aca="false">$Y11*MM_FixedCost!$G10</f>
        <v>0</v>
      </c>
      <c r="AA11" s="136" t="n">
        <f aca="false">SUM($J11:$L11)</f>
        <v>537714.27</v>
      </c>
      <c r="AB11" s="136" t="n">
        <f aca="false">$AA11*MM_FixedCost!$G10</f>
        <v>0</v>
      </c>
      <c r="AC11" s="136" t="n">
        <f aca="false">SUM($M11:$O11)</f>
        <v>0</v>
      </c>
      <c r="AD11" s="136" t="n">
        <f aca="false">$AC11*MM_FixedCost!$G10</f>
        <v>0</v>
      </c>
      <c r="AE11" s="136" t="n">
        <f aca="false">SUM($P11:$R11)</f>
        <v>0</v>
      </c>
      <c r="AF11" s="136" t="n">
        <f aca="false">$AE11*MM_FixedCost!$G10</f>
        <v>0</v>
      </c>
      <c r="AG11" s="136" t="n">
        <f aca="false">CHOOSE(VALUE(MID(Controls!$B$6,2,1)),$Z11,$AB11,$AD11,$AF11)</f>
        <v>0</v>
      </c>
    </row>
    <row r="12" customFormat="false" ht="13.5" hidden="false" customHeight="false" outlineLevel="0" collapsed="false">
      <c r="A12" s="67" t="n">
        <f aca="false">MM_FixedCost!A11</f>
        <v>7010</v>
      </c>
      <c r="B12" s="67" t="str">
        <f aca="false">MM_FixedCost!B11</f>
        <v>Support - Social taxes</v>
      </c>
      <c r="C12" s="67" t="str">
        <f aca="false">MM_FixedCost!C11</f>
        <v>Direct support costs</v>
      </c>
      <c r="D12" s="67" t="str">
        <f aca="false">MM_FixedCost!E11</f>
        <v>Core</v>
      </c>
      <c r="E12" s="68" t="n">
        <f aca="false">MM_FixedCost!F11</f>
        <v>245440</v>
      </c>
      <c r="F12" s="68" t="n">
        <f aca="false">$E12/12*Controls!$B$11</f>
        <v>122720</v>
      </c>
      <c r="G12" s="68" t="n">
        <f aca="false">IF(1&gt;Controls!$B$11,"-",SUMIFS(Nominal_Activity!$M$2:$M$3000,Nominal_Activity!$C$2:$C$3000,$A12,Nominal_Activity!$G$2:$G$3000,"&gt;="&amp;DATE(Controls!$B$5,1,1),Nominal_Activity!$G$2:$G$3000,"&lt;="&amp;EOMONTH(DATE(Controls!$B$5,1,1),0),Nominal_Activity!$A$2:$A$3000,Controls!$B$7))</f>
        <v>23300.95</v>
      </c>
      <c r="H12" s="68" t="n">
        <f aca="false">IF(2&gt;Controls!$B$11,"-",SUMIFS(Nominal_Activity!$M$2:$M$3000,Nominal_Activity!$C$2:$C$3000,$A12,Nominal_Activity!$G$2:$G$3000,"&gt;="&amp;DATE(Controls!$B$5,2,1),Nominal_Activity!$G$2:$G$3000,"&lt;="&amp;EOMONTH(DATE(Controls!$B$5,2,1),0),Nominal_Activity!$A$2:$A$3000,Controls!$B$7))</f>
        <v>23300.95</v>
      </c>
      <c r="I12" s="68" t="n">
        <f aca="false">IF(3&gt;Controls!$B$11,"-",SUMIFS(Nominal_Activity!$M$2:$M$3000,Nominal_Activity!$C$2:$C$3000,$A12,Nominal_Activity!$G$2:$G$3000,"&gt;="&amp;DATE(Controls!$B$5,3,1),Nominal_Activity!$G$2:$G$3000,"&lt;="&amp;EOMONTH(DATE(Controls!$B$5,3,1),0),Nominal_Activity!$A$2:$A$3000,Controls!$B$7))</f>
        <v>23300.95</v>
      </c>
      <c r="J12" s="68" t="n">
        <f aca="false">IF(4&gt;Controls!$B$11,"-",SUMIFS(Nominal_Activity!$M$2:$M$3000,Nominal_Activity!$C$2:$C$3000,$A12,Nominal_Activity!$G$2:$G$3000,"&gt;="&amp;DATE(Controls!$B$5,4,1),Nominal_Activity!$G$2:$G$3000,"&lt;="&amp;EOMONTH(DATE(Controls!$B$5,4,1),0),Nominal_Activity!$A$2:$A$3000,Controls!$B$7))</f>
        <v>23300.95</v>
      </c>
      <c r="K12" s="68" t="n">
        <f aca="false">IF(5&gt;Controls!$B$11,"-",SUMIFS(Nominal_Activity!$M$2:$M$3000,Nominal_Activity!$C$2:$C$3000,$A12,Nominal_Activity!$G$2:$G$3000,"&gt;="&amp;DATE(Controls!$B$5,5,1),Nominal_Activity!$G$2:$G$3000,"&lt;="&amp;EOMONTH(DATE(Controls!$B$5,5,1),0),Nominal_Activity!$A$2:$A$3000,Controls!$B$7))</f>
        <v>23300.95</v>
      </c>
      <c r="L12" s="68" t="n">
        <f aca="false">IF(6&gt;Controls!$B$11,"-",SUMIFS(Nominal_Activity!$M$2:$M$3000,Nominal_Activity!$C$2:$C$3000,$A12,Nominal_Activity!$G$2:$G$3000,"&gt;="&amp;DATE(Controls!$B$5,6,1),Nominal_Activity!$G$2:$G$3000,"&lt;="&amp;EOMONTH(DATE(Controls!$B$5,6,1),0),Nominal_Activity!$A$2:$A$3000,Controls!$B$7))</f>
        <v>23300.95</v>
      </c>
      <c r="M12" s="68" t="str">
        <f aca="false">IF(7&gt;Controls!$B$11,"-",SUMIFS(Nominal_Activity!$M$2:$M$3000,Nominal_Activity!$C$2:$C$3000,$A12,Nominal_Activity!$G$2:$G$3000,"&gt;="&amp;DATE(Controls!$B$5,7,1),Nominal_Activity!$G$2:$G$3000,"&lt;="&amp;EOMONTH(DATE(Controls!$B$5,7,1),0),Nominal_Activity!$A$2:$A$3000,Controls!$B$7))</f>
        <v>-</v>
      </c>
      <c r="N12" s="68" t="str">
        <f aca="false">IF(8&gt;Controls!$B$11,"-",SUMIFS(Nominal_Activity!$M$2:$M$3000,Nominal_Activity!$C$2:$C$3000,$A12,Nominal_Activity!$G$2:$G$3000,"&gt;="&amp;DATE(Controls!$B$5,8,1),Nominal_Activity!$G$2:$G$3000,"&lt;="&amp;EOMONTH(DATE(Controls!$B$5,8,1),0),Nominal_Activity!$A$2:$A$3000,Controls!$B$7))</f>
        <v>-</v>
      </c>
      <c r="O12" s="68" t="str">
        <f aca="false">IF(9&gt;Controls!$B$11,"-",SUMIFS(Nominal_Activity!$M$2:$M$3000,Nominal_Activity!$C$2:$C$3000,$A12,Nominal_Activity!$G$2:$G$3000,"&gt;="&amp;DATE(Controls!$B$5,9,1),Nominal_Activity!$G$2:$G$3000,"&lt;="&amp;EOMONTH(DATE(Controls!$B$5,9,1),0),Nominal_Activity!$A$2:$A$3000,Controls!$B$7))</f>
        <v>-</v>
      </c>
      <c r="P12" s="68" t="str">
        <f aca="false">IF(10&gt;Controls!$B$11,"-",SUMIFS(Nominal_Activity!$M$2:$M$3000,Nominal_Activity!$C$2:$C$3000,$A12,Nominal_Activity!$G$2:$G$3000,"&gt;="&amp;DATE(Controls!$B$5,10,1),Nominal_Activity!$G$2:$G$3000,"&lt;="&amp;EOMONTH(DATE(Controls!$B$5,10,1),0),Nominal_Activity!$A$2:$A$3000,Controls!$B$7))</f>
        <v>-</v>
      </c>
      <c r="Q12" s="68" t="str">
        <f aca="false">IF(11&gt;Controls!$B$11,"-",SUMIFS(Nominal_Activity!$M$2:$M$3000,Nominal_Activity!$C$2:$C$3000,$A12,Nominal_Activity!$G$2:$G$3000,"&gt;="&amp;DATE(Controls!$B$5,11,1),Nominal_Activity!$G$2:$G$3000,"&lt;="&amp;EOMONTH(DATE(Controls!$B$5,11,1),0),Nominal_Activity!$A$2:$A$3000,Controls!$B$7))</f>
        <v>-</v>
      </c>
      <c r="R12" s="68" t="str">
        <f aca="false">IF(12&gt;Controls!$B$11,"-",SUMIFS(Nominal_Activity!$M$2:$M$3000,Nominal_Activity!$C$2:$C$3000,$A12,Nominal_Activity!$G$2:$G$3000,"&gt;="&amp;DATE(Controls!$B$5,12,1),Nominal_Activity!$G$2:$G$3000,"&lt;="&amp;EOMONTH(DATE(Controls!$B$5,12,1),0),Nominal_Activity!$A$2:$A$3000,Controls!$B$7))</f>
        <v>-</v>
      </c>
      <c r="S12" s="68" t="n">
        <f aca="false">SUM(G12:R12)</f>
        <v>139805.7</v>
      </c>
      <c r="T12" s="68" t="n">
        <f aca="false">$F12-$S12</f>
        <v>-17085.7</v>
      </c>
      <c r="U12" s="77" t="n">
        <f aca="false">IFERROR($T12/$F12,0)</f>
        <v>-0.139225065189048</v>
      </c>
      <c r="V12" s="68" t="n">
        <f aca="false">$S12*MM_FixedCost!G11</f>
        <v>0</v>
      </c>
      <c r="W12" s="68" t="n">
        <f aca="false">$S12-$V12</f>
        <v>139805.7</v>
      </c>
      <c r="X12" s="135"/>
      <c r="Y12" s="136" t="n">
        <f aca="false">SUM($G12:$I12)</f>
        <v>69902.85</v>
      </c>
      <c r="Z12" s="136" t="n">
        <f aca="false">$Y12*MM_FixedCost!$G11</f>
        <v>0</v>
      </c>
      <c r="AA12" s="136" t="n">
        <f aca="false">SUM($J12:$L12)</f>
        <v>69902.85</v>
      </c>
      <c r="AB12" s="136" t="n">
        <f aca="false">$AA12*MM_FixedCost!$G11</f>
        <v>0</v>
      </c>
      <c r="AC12" s="136" t="n">
        <f aca="false">SUM($M12:$O12)</f>
        <v>0</v>
      </c>
      <c r="AD12" s="136" t="n">
        <f aca="false">$AC12*MM_FixedCost!$G11</f>
        <v>0</v>
      </c>
      <c r="AE12" s="136" t="n">
        <f aca="false">SUM($P12:$R12)</f>
        <v>0</v>
      </c>
      <c r="AF12" s="136" t="n">
        <f aca="false">$AE12*MM_FixedCost!$G11</f>
        <v>0</v>
      </c>
      <c r="AG12" s="136" t="n">
        <f aca="false">CHOOSE(VALUE(MID(Controls!$B$6,2,1)),$Z12,$AB12,$AD12,$AF12)</f>
        <v>0</v>
      </c>
    </row>
    <row r="13" customFormat="false" ht="13.5" hidden="false" customHeight="false" outlineLevel="0" collapsed="false">
      <c r="A13" s="67" t="n">
        <f aca="false">MM_FixedCost!A12</f>
        <v>7020</v>
      </c>
      <c r="B13" s="67" t="str">
        <f aca="false">MM_FixedCost!B12</f>
        <v>Support - Pension</v>
      </c>
      <c r="C13" s="67" t="str">
        <f aca="false">MM_FixedCost!C12</f>
        <v>Direct support costs</v>
      </c>
      <c r="D13" s="67" t="str">
        <f aca="false">MM_FixedCost!E12</f>
        <v>Core</v>
      </c>
      <c r="E13" s="68" t="n">
        <f aca="false">MM_FixedCost!F12</f>
        <v>56640</v>
      </c>
      <c r="F13" s="68" t="n">
        <f aca="false">$E13/12*Controls!$B$11</f>
        <v>28320</v>
      </c>
      <c r="G13" s="68" t="n">
        <f aca="false">IF(1&gt;Controls!$B$11,"-",SUMIFS(Nominal_Activity!$M$2:$M$3000,Nominal_Activity!$C$2:$C$3000,$A13,Nominal_Activity!$G$2:$G$3000,"&gt;="&amp;DATE(Controls!$B$5,1,1),Nominal_Activity!$G$2:$G$3000,"&lt;="&amp;EOMONTH(DATE(Controls!$B$5,1,1),0),Nominal_Activity!$A$2:$A$3000,Controls!$B$7))</f>
        <v>5377.14</v>
      </c>
      <c r="H13" s="68" t="n">
        <f aca="false">IF(2&gt;Controls!$B$11,"-",SUMIFS(Nominal_Activity!$M$2:$M$3000,Nominal_Activity!$C$2:$C$3000,$A13,Nominal_Activity!$G$2:$G$3000,"&gt;="&amp;DATE(Controls!$B$5,2,1),Nominal_Activity!$G$2:$G$3000,"&lt;="&amp;EOMONTH(DATE(Controls!$B$5,2,1),0),Nominal_Activity!$A$2:$A$3000,Controls!$B$7))</f>
        <v>5377.14</v>
      </c>
      <c r="I13" s="68" t="n">
        <f aca="false">IF(3&gt;Controls!$B$11,"-",SUMIFS(Nominal_Activity!$M$2:$M$3000,Nominal_Activity!$C$2:$C$3000,$A13,Nominal_Activity!$G$2:$G$3000,"&gt;="&amp;DATE(Controls!$B$5,3,1),Nominal_Activity!$G$2:$G$3000,"&lt;="&amp;EOMONTH(DATE(Controls!$B$5,3,1),0),Nominal_Activity!$A$2:$A$3000,Controls!$B$7))</f>
        <v>5377.14</v>
      </c>
      <c r="J13" s="68" t="n">
        <f aca="false">IF(4&gt;Controls!$B$11,"-",SUMIFS(Nominal_Activity!$M$2:$M$3000,Nominal_Activity!$C$2:$C$3000,$A13,Nominal_Activity!$G$2:$G$3000,"&gt;="&amp;DATE(Controls!$B$5,4,1),Nominal_Activity!$G$2:$G$3000,"&lt;="&amp;EOMONTH(DATE(Controls!$B$5,4,1),0),Nominal_Activity!$A$2:$A$3000,Controls!$B$7))</f>
        <v>5377.14</v>
      </c>
      <c r="K13" s="68" t="n">
        <f aca="false">IF(5&gt;Controls!$B$11,"-",SUMIFS(Nominal_Activity!$M$2:$M$3000,Nominal_Activity!$C$2:$C$3000,$A13,Nominal_Activity!$G$2:$G$3000,"&gt;="&amp;DATE(Controls!$B$5,5,1),Nominal_Activity!$G$2:$G$3000,"&lt;="&amp;EOMONTH(DATE(Controls!$B$5,5,1),0),Nominal_Activity!$A$2:$A$3000,Controls!$B$7))</f>
        <v>5377.14</v>
      </c>
      <c r="L13" s="68" t="n">
        <f aca="false">IF(6&gt;Controls!$B$11,"-",SUMIFS(Nominal_Activity!$M$2:$M$3000,Nominal_Activity!$C$2:$C$3000,$A13,Nominal_Activity!$G$2:$G$3000,"&gt;="&amp;DATE(Controls!$B$5,6,1),Nominal_Activity!$G$2:$G$3000,"&lt;="&amp;EOMONTH(DATE(Controls!$B$5,6,1),0),Nominal_Activity!$A$2:$A$3000,Controls!$B$7))</f>
        <v>5377.14</v>
      </c>
      <c r="M13" s="68" t="str">
        <f aca="false">IF(7&gt;Controls!$B$11,"-",SUMIFS(Nominal_Activity!$M$2:$M$3000,Nominal_Activity!$C$2:$C$3000,$A13,Nominal_Activity!$G$2:$G$3000,"&gt;="&amp;DATE(Controls!$B$5,7,1),Nominal_Activity!$G$2:$G$3000,"&lt;="&amp;EOMONTH(DATE(Controls!$B$5,7,1),0),Nominal_Activity!$A$2:$A$3000,Controls!$B$7))</f>
        <v>-</v>
      </c>
      <c r="N13" s="68" t="str">
        <f aca="false">IF(8&gt;Controls!$B$11,"-",SUMIFS(Nominal_Activity!$M$2:$M$3000,Nominal_Activity!$C$2:$C$3000,$A13,Nominal_Activity!$G$2:$G$3000,"&gt;="&amp;DATE(Controls!$B$5,8,1),Nominal_Activity!$G$2:$G$3000,"&lt;="&amp;EOMONTH(DATE(Controls!$B$5,8,1),0),Nominal_Activity!$A$2:$A$3000,Controls!$B$7))</f>
        <v>-</v>
      </c>
      <c r="O13" s="68" t="str">
        <f aca="false">IF(9&gt;Controls!$B$11,"-",SUMIFS(Nominal_Activity!$M$2:$M$3000,Nominal_Activity!$C$2:$C$3000,$A13,Nominal_Activity!$G$2:$G$3000,"&gt;="&amp;DATE(Controls!$B$5,9,1),Nominal_Activity!$G$2:$G$3000,"&lt;="&amp;EOMONTH(DATE(Controls!$B$5,9,1),0),Nominal_Activity!$A$2:$A$3000,Controls!$B$7))</f>
        <v>-</v>
      </c>
      <c r="P13" s="68" t="str">
        <f aca="false">IF(10&gt;Controls!$B$11,"-",SUMIFS(Nominal_Activity!$M$2:$M$3000,Nominal_Activity!$C$2:$C$3000,$A13,Nominal_Activity!$G$2:$G$3000,"&gt;="&amp;DATE(Controls!$B$5,10,1),Nominal_Activity!$G$2:$G$3000,"&lt;="&amp;EOMONTH(DATE(Controls!$B$5,10,1),0),Nominal_Activity!$A$2:$A$3000,Controls!$B$7))</f>
        <v>-</v>
      </c>
      <c r="Q13" s="68" t="str">
        <f aca="false">IF(11&gt;Controls!$B$11,"-",SUMIFS(Nominal_Activity!$M$2:$M$3000,Nominal_Activity!$C$2:$C$3000,$A13,Nominal_Activity!$G$2:$G$3000,"&gt;="&amp;DATE(Controls!$B$5,11,1),Nominal_Activity!$G$2:$G$3000,"&lt;="&amp;EOMONTH(DATE(Controls!$B$5,11,1),0),Nominal_Activity!$A$2:$A$3000,Controls!$B$7))</f>
        <v>-</v>
      </c>
      <c r="R13" s="68" t="str">
        <f aca="false">IF(12&gt;Controls!$B$11,"-",SUMIFS(Nominal_Activity!$M$2:$M$3000,Nominal_Activity!$C$2:$C$3000,$A13,Nominal_Activity!$G$2:$G$3000,"&gt;="&amp;DATE(Controls!$B$5,12,1),Nominal_Activity!$G$2:$G$3000,"&lt;="&amp;EOMONTH(DATE(Controls!$B$5,12,1),0),Nominal_Activity!$A$2:$A$3000,Controls!$B$7))</f>
        <v>-</v>
      </c>
      <c r="S13" s="68" t="n">
        <f aca="false">SUM(G13:R13)</f>
        <v>32262.84</v>
      </c>
      <c r="T13" s="68" t="n">
        <f aca="false">$F13-$S13</f>
        <v>-3942.84</v>
      </c>
      <c r="U13" s="77" t="n">
        <f aca="false">IFERROR($T13/$F13,0)</f>
        <v>-0.139224576271186</v>
      </c>
      <c r="V13" s="68" t="n">
        <f aca="false">$S13*MM_FixedCost!G12</f>
        <v>0</v>
      </c>
      <c r="W13" s="68" t="n">
        <f aca="false">$S13-$V13</f>
        <v>32262.84</v>
      </c>
      <c r="X13" s="135"/>
      <c r="Y13" s="136" t="n">
        <f aca="false">SUM($G13:$I13)</f>
        <v>16131.42</v>
      </c>
      <c r="Z13" s="136" t="n">
        <f aca="false">$Y13*MM_FixedCost!$G12</f>
        <v>0</v>
      </c>
      <c r="AA13" s="136" t="n">
        <f aca="false">SUM($J13:$L13)</f>
        <v>16131.42</v>
      </c>
      <c r="AB13" s="136" t="n">
        <f aca="false">$AA13*MM_FixedCost!$G12</f>
        <v>0</v>
      </c>
      <c r="AC13" s="136" t="n">
        <f aca="false">SUM($M13:$O13)</f>
        <v>0</v>
      </c>
      <c r="AD13" s="136" t="n">
        <f aca="false">$AC13*MM_FixedCost!$G12</f>
        <v>0</v>
      </c>
      <c r="AE13" s="136" t="n">
        <f aca="false">SUM($P13:$R13)</f>
        <v>0</v>
      </c>
      <c r="AF13" s="136" t="n">
        <f aca="false">$AE13*MM_FixedCost!$G12</f>
        <v>0</v>
      </c>
      <c r="AG13" s="136" t="n">
        <f aca="false">CHOOSE(VALUE(MID(Controls!$B$6,2,1)),$Z13,$AB13,$AD13,$AF13)</f>
        <v>0</v>
      </c>
    </row>
    <row r="14" customFormat="false" ht="13.5" hidden="false" customHeight="false" outlineLevel="0" collapsed="false">
      <c r="A14" s="67" t="n">
        <f aca="false">MM_FixedCost!A13</f>
        <v>7030</v>
      </c>
      <c r="B14" s="67" t="str">
        <f aca="false">MM_FixedCost!B13</f>
        <v>Support - Health and Medical</v>
      </c>
      <c r="C14" s="67" t="str">
        <f aca="false">MM_FixedCost!C13</f>
        <v>Direct support costs</v>
      </c>
      <c r="D14" s="67" t="str">
        <f aca="false">MM_FixedCost!E13</f>
        <v>Core</v>
      </c>
      <c r="E14" s="68" t="n">
        <f aca="false">MM_FixedCost!F13</f>
        <v>84600</v>
      </c>
      <c r="F14" s="68" t="n">
        <f aca="false">$E14/12*Controls!$B$11</f>
        <v>42300</v>
      </c>
      <c r="G14" s="68" t="n">
        <f aca="false">IF(1&gt;Controls!$B$11,"-",SUMIFS(Nominal_Activity!$M$2:$M$3000,Nominal_Activity!$C$2:$C$3000,$A14,Nominal_Activity!$G$2:$G$3000,"&gt;="&amp;DATE(Controls!$B$5,1,1),Nominal_Activity!$G$2:$G$3000,"&lt;="&amp;EOMONTH(DATE(Controls!$B$5,1,1),0),Nominal_Activity!$A$2:$A$3000,Controls!$B$7))</f>
        <v>6400</v>
      </c>
      <c r="H14" s="68" t="n">
        <f aca="false">IF(2&gt;Controls!$B$11,"-",SUMIFS(Nominal_Activity!$M$2:$M$3000,Nominal_Activity!$C$2:$C$3000,$A14,Nominal_Activity!$G$2:$G$3000,"&gt;="&amp;DATE(Controls!$B$5,2,1),Nominal_Activity!$G$2:$G$3000,"&lt;="&amp;EOMONTH(DATE(Controls!$B$5,2,1),0),Nominal_Activity!$A$2:$A$3000,Controls!$B$7))</f>
        <v>6400</v>
      </c>
      <c r="I14" s="68" t="n">
        <f aca="false">IF(3&gt;Controls!$B$11,"-",SUMIFS(Nominal_Activity!$M$2:$M$3000,Nominal_Activity!$C$2:$C$3000,$A14,Nominal_Activity!$G$2:$G$3000,"&gt;="&amp;DATE(Controls!$B$5,3,1),Nominal_Activity!$G$2:$G$3000,"&lt;="&amp;EOMONTH(DATE(Controls!$B$5,3,1),0),Nominal_Activity!$A$2:$A$3000,Controls!$B$7))</f>
        <v>6400</v>
      </c>
      <c r="J14" s="68" t="n">
        <f aca="false">IF(4&gt;Controls!$B$11,"-",SUMIFS(Nominal_Activity!$M$2:$M$3000,Nominal_Activity!$C$2:$C$3000,$A14,Nominal_Activity!$G$2:$G$3000,"&gt;="&amp;DATE(Controls!$B$5,4,1),Nominal_Activity!$G$2:$G$3000,"&lt;="&amp;EOMONTH(DATE(Controls!$B$5,4,1),0),Nominal_Activity!$A$2:$A$3000,Controls!$B$7))</f>
        <v>8126.57</v>
      </c>
      <c r="K14" s="68" t="n">
        <f aca="false">IF(5&gt;Controls!$B$11,"-",SUMIFS(Nominal_Activity!$M$2:$M$3000,Nominal_Activity!$C$2:$C$3000,$A14,Nominal_Activity!$G$2:$G$3000,"&gt;="&amp;DATE(Controls!$B$5,5,1),Nominal_Activity!$G$2:$G$3000,"&lt;="&amp;EOMONTH(DATE(Controls!$B$5,5,1),0),Nominal_Activity!$A$2:$A$3000,Controls!$B$7))</f>
        <v>6400</v>
      </c>
      <c r="L14" s="68" t="n">
        <f aca="false">IF(6&gt;Controls!$B$11,"-",SUMIFS(Nominal_Activity!$M$2:$M$3000,Nominal_Activity!$C$2:$C$3000,$A14,Nominal_Activity!$G$2:$G$3000,"&gt;="&amp;DATE(Controls!$B$5,6,1),Nominal_Activity!$G$2:$G$3000,"&lt;="&amp;EOMONTH(DATE(Controls!$B$5,6,1),0),Nominal_Activity!$A$2:$A$3000,Controls!$B$7))</f>
        <v>6400</v>
      </c>
      <c r="M14" s="68" t="str">
        <f aca="false">IF(7&gt;Controls!$B$11,"-",SUMIFS(Nominal_Activity!$M$2:$M$3000,Nominal_Activity!$C$2:$C$3000,$A14,Nominal_Activity!$G$2:$G$3000,"&gt;="&amp;DATE(Controls!$B$5,7,1),Nominal_Activity!$G$2:$G$3000,"&lt;="&amp;EOMONTH(DATE(Controls!$B$5,7,1),0),Nominal_Activity!$A$2:$A$3000,Controls!$B$7))</f>
        <v>-</v>
      </c>
      <c r="N14" s="68" t="str">
        <f aca="false">IF(8&gt;Controls!$B$11,"-",SUMIFS(Nominal_Activity!$M$2:$M$3000,Nominal_Activity!$C$2:$C$3000,$A14,Nominal_Activity!$G$2:$G$3000,"&gt;="&amp;DATE(Controls!$B$5,8,1),Nominal_Activity!$G$2:$G$3000,"&lt;="&amp;EOMONTH(DATE(Controls!$B$5,8,1),0),Nominal_Activity!$A$2:$A$3000,Controls!$B$7))</f>
        <v>-</v>
      </c>
      <c r="O14" s="68" t="str">
        <f aca="false">IF(9&gt;Controls!$B$11,"-",SUMIFS(Nominal_Activity!$M$2:$M$3000,Nominal_Activity!$C$2:$C$3000,$A14,Nominal_Activity!$G$2:$G$3000,"&gt;="&amp;DATE(Controls!$B$5,9,1),Nominal_Activity!$G$2:$G$3000,"&lt;="&amp;EOMONTH(DATE(Controls!$B$5,9,1),0),Nominal_Activity!$A$2:$A$3000,Controls!$B$7))</f>
        <v>-</v>
      </c>
      <c r="P14" s="68" t="str">
        <f aca="false">IF(10&gt;Controls!$B$11,"-",SUMIFS(Nominal_Activity!$M$2:$M$3000,Nominal_Activity!$C$2:$C$3000,$A14,Nominal_Activity!$G$2:$G$3000,"&gt;="&amp;DATE(Controls!$B$5,10,1),Nominal_Activity!$G$2:$G$3000,"&lt;="&amp;EOMONTH(DATE(Controls!$B$5,10,1),0),Nominal_Activity!$A$2:$A$3000,Controls!$B$7))</f>
        <v>-</v>
      </c>
      <c r="Q14" s="68" t="str">
        <f aca="false">IF(11&gt;Controls!$B$11,"-",SUMIFS(Nominal_Activity!$M$2:$M$3000,Nominal_Activity!$C$2:$C$3000,$A14,Nominal_Activity!$G$2:$G$3000,"&gt;="&amp;DATE(Controls!$B$5,11,1),Nominal_Activity!$G$2:$G$3000,"&lt;="&amp;EOMONTH(DATE(Controls!$B$5,11,1),0),Nominal_Activity!$A$2:$A$3000,Controls!$B$7))</f>
        <v>-</v>
      </c>
      <c r="R14" s="68" t="str">
        <f aca="false">IF(12&gt;Controls!$B$11,"-",SUMIFS(Nominal_Activity!$M$2:$M$3000,Nominal_Activity!$C$2:$C$3000,$A14,Nominal_Activity!$G$2:$G$3000,"&gt;="&amp;DATE(Controls!$B$5,12,1),Nominal_Activity!$G$2:$G$3000,"&lt;="&amp;EOMONTH(DATE(Controls!$B$5,12,1),0),Nominal_Activity!$A$2:$A$3000,Controls!$B$7))</f>
        <v>-</v>
      </c>
      <c r="S14" s="68" t="n">
        <f aca="false">SUM(G14:R14)</f>
        <v>40126.57</v>
      </c>
      <c r="T14" s="68" t="n">
        <f aca="false">$F14-$S14</f>
        <v>2173.43</v>
      </c>
      <c r="U14" s="77" t="n">
        <f aca="false">IFERROR($T14/$F14,0)</f>
        <v>0.0513813238770686</v>
      </c>
      <c r="V14" s="68" t="n">
        <f aca="false">$S14*MM_FixedCost!G13</f>
        <v>0</v>
      </c>
      <c r="W14" s="68" t="n">
        <f aca="false">$S14-$V14</f>
        <v>40126.57</v>
      </c>
      <c r="X14" s="135"/>
      <c r="Y14" s="136" t="n">
        <f aca="false">SUM($G14:$I14)</f>
        <v>19200</v>
      </c>
      <c r="Z14" s="136" t="n">
        <f aca="false">$Y14*MM_FixedCost!$G13</f>
        <v>0</v>
      </c>
      <c r="AA14" s="136" t="n">
        <f aca="false">SUM($J14:$L14)</f>
        <v>20926.57</v>
      </c>
      <c r="AB14" s="136" t="n">
        <f aca="false">$AA14*MM_FixedCost!$G13</f>
        <v>0</v>
      </c>
      <c r="AC14" s="136" t="n">
        <f aca="false">SUM($M14:$O14)</f>
        <v>0</v>
      </c>
      <c r="AD14" s="136" t="n">
        <f aca="false">$AC14*MM_FixedCost!$G13</f>
        <v>0</v>
      </c>
      <c r="AE14" s="136" t="n">
        <f aca="false">SUM($P14:$R14)</f>
        <v>0</v>
      </c>
      <c r="AF14" s="136" t="n">
        <f aca="false">$AE14*MM_FixedCost!$G13</f>
        <v>0</v>
      </c>
      <c r="AG14" s="136" t="n">
        <f aca="false">CHOOSE(VALUE(MID(Controls!$B$6,2,1)),$Z14,$AB14,$AD14,$AF14)</f>
        <v>0</v>
      </c>
    </row>
    <row r="15" customFormat="false" ht="13.5" hidden="false" customHeight="false" outlineLevel="0" collapsed="false">
      <c r="A15" s="67" t="n">
        <f aca="false">MM_FixedCost!A14</f>
        <v>7050</v>
      </c>
      <c r="B15" s="67" t="str">
        <f aca="false">MM_FixedCost!B14</f>
        <v>Support - Recruitment costs</v>
      </c>
      <c r="C15" s="67" t="str">
        <f aca="false">MM_FixedCost!C14</f>
        <v>Recruitment, Benefits</v>
      </c>
      <c r="D15" s="67" t="str">
        <f aca="false">MM_FixedCost!E14</f>
        <v>Core</v>
      </c>
      <c r="E15" s="68" t="n">
        <f aca="false">MM_FixedCost!F14</f>
        <v>0</v>
      </c>
      <c r="F15" s="68" t="n">
        <f aca="false">$E15/12*Controls!$B$11</f>
        <v>0</v>
      </c>
      <c r="G15" s="68" t="n">
        <f aca="false">IF(1&gt;Controls!$B$11,"-",SUMIFS(Nominal_Activity!$M$2:$M$3000,Nominal_Activity!$C$2:$C$3000,$A15,Nominal_Activity!$G$2:$G$3000,"&gt;="&amp;DATE(Controls!$B$5,1,1),Nominal_Activity!$G$2:$G$3000,"&lt;="&amp;EOMONTH(DATE(Controls!$B$5,1,1),0),Nominal_Activity!$A$2:$A$3000,Controls!$B$7))</f>
        <v>0</v>
      </c>
      <c r="H15" s="68" t="n">
        <f aca="false">IF(2&gt;Controls!$B$11,"-",SUMIFS(Nominal_Activity!$M$2:$M$3000,Nominal_Activity!$C$2:$C$3000,$A15,Nominal_Activity!$G$2:$G$3000,"&gt;="&amp;DATE(Controls!$B$5,2,1),Nominal_Activity!$G$2:$G$3000,"&lt;="&amp;EOMONTH(DATE(Controls!$B$5,2,1),0),Nominal_Activity!$A$2:$A$3000,Controls!$B$7))</f>
        <v>0</v>
      </c>
      <c r="I15" s="68" t="n">
        <f aca="false">IF(3&gt;Controls!$B$11,"-",SUMIFS(Nominal_Activity!$M$2:$M$3000,Nominal_Activity!$C$2:$C$3000,$A15,Nominal_Activity!$G$2:$G$3000,"&gt;="&amp;DATE(Controls!$B$5,3,1),Nominal_Activity!$G$2:$G$3000,"&lt;="&amp;EOMONTH(DATE(Controls!$B$5,3,1),0),Nominal_Activity!$A$2:$A$3000,Controls!$B$7))</f>
        <v>0</v>
      </c>
      <c r="J15" s="68" t="n">
        <f aca="false">IF(4&gt;Controls!$B$11,"-",SUMIFS(Nominal_Activity!$M$2:$M$3000,Nominal_Activity!$C$2:$C$3000,$A15,Nominal_Activity!$G$2:$G$3000,"&gt;="&amp;DATE(Controls!$B$5,4,1),Nominal_Activity!$G$2:$G$3000,"&lt;="&amp;EOMONTH(DATE(Controls!$B$5,4,1),0),Nominal_Activity!$A$2:$A$3000,Controls!$B$7))</f>
        <v>0</v>
      </c>
      <c r="K15" s="68" t="n">
        <f aca="false">IF(5&gt;Controls!$B$11,"-",SUMIFS(Nominal_Activity!$M$2:$M$3000,Nominal_Activity!$C$2:$C$3000,$A15,Nominal_Activity!$G$2:$G$3000,"&gt;="&amp;DATE(Controls!$B$5,5,1),Nominal_Activity!$G$2:$G$3000,"&lt;="&amp;EOMONTH(DATE(Controls!$B$5,5,1),0),Nominal_Activity!$A$2:$A$3000,Controls!$B$7))</f>
        <v>0</v>
      </c>
      <c r="L15" s="68" t="n">
        <f aca="false">IF(6&gt;Controls!$B$11,"-",SUMIFS(Nominal_Activity!$M$2:$M$3000,Nominal_Activity!$C$2:$C$3000,$A15,Nominal_Activity!$G$2:$G$3000,"&gt;="&amp;DATE(Controls!$B$5,6,1),Nominal_Activity!$G$2:$G$3000,"&lt;="&amp;EOMONTH(DATE(Controls!$B$5,6,1),0),Nominal_Activity!$A$2:$A$3000,Controls!$B$7))</f>
        <v>0</v>
      </c>
      <c r="M15" s="68" t="str">
        <f aca="false">IF(7&gt;Controls!$B$11,"-",SUMIFS(Nominal_Activity!$M$2:$M$3000,Nominal_Activity!$C$2:$C$3000,$A15,Nominal_Activity!$G$2:$G$3000,"&gt;="&amp;DATE(Controls!$B$5,7,1),Nominal_Activity!$G$2:$G$3000,"&lt;="&amp;EOMONTH(DATE(Controls!$B$5,7,1),0),Nominal_Activity!$A$2:$A$3000,Controls!$B$7))</f>
        <v>-</v>
      </c>
      <c r="N15" s="68" t="str">
        <f aca="false">IF(8&gt;Controls!$B$11,"-",SUMIFS(Nominal_Activity!$M$2:$M$3000,Nominal_Activity!$C$2:$C$3000,$A15,Nominal_Activity!$G$2:$G$3000,"&gt;="&amp;DATE(Controls!$B$5,8,1),Nominal_Activity!$G$2:$G$3000,"&lt;="&amp;EOMONTH(DATE(Controls!$B$5,8,1),0),Nominal_Activity!$A$2:$A$3000,Controls!$B$7))</f>
        <v>-</v>
      </c>
      <c r="O15" s="68" t="str">
        <f aca="false">IF(9&gt;Controls!$B$11,"-",SUMIFS(Nominal_Activity!$M$2:$M$3000,Nominal_Activity!$C$2:$C$3000,$A15,Nominal_Activity!$G$2:$G$3000,"&gt;="&amp;DATE(Controls!$B$5,9,1),Nominal_Activity!$G$2:$G$3000,"&lt;="&amp;EOMONTH(DATE(Controls!$B$5,9,1),0),Nominal_Activity!$A$2:$A$3000,Controls!$B$7))</f>
        <v>-</v>
      </c>
      <c r="P15" s="68" t="str">
        <f aca="false">IF(10&gt;Controls!$B$11,"-",SUMIFS(Nominal_Activity!$M$2:$M$3000,Nominal_Activity!$C$2:$C$3000,$A15,Nominal_Activity!$G$2:$G$3000,"&gt;="&amp;DATE(Controls!$B$5,10,1),Nominal_Activity!$G$2:$G$3000,"&lt;="&amp;EOMONTH(DATE(Controls!$B$5,10,1),0),Nominal_Activity!$A$2:$A$3000,Controls!$B$7))</f>
        <v>-</v>
      </c>
      <c r="Q15" s="68" t="str">
        <f aca="false">IF(11&gt;Controls!$B$11,"-",SUMIFS(Nominal_Activity!$M$2:$M$3000,Nominal_Activity!$C$2:$C$3000,$A15,Nominal_Activity!$G$2:$G$3000,"&gt;="&amp;DATE(Controls!$B$5,11,1),Nominal_Activity!$G$2:$G$3000,"&lt;="&amp;EOMONTH(DATE(Controls!$B$5,11,1),0),Nominal_Activity!$A$2:$A$3000,Controls!$B$7))</f>
        <v>-</v>
      </c>
      <c r="R15" s="68" t="str">
        <f aca="false">IF(12&gt;Controls!$B$11,"-",SUMIFS(Nominal_Activity!$M$2:$M$3000,Nominal_Activity!$C$2:$C$3000,$A15,Nominal_Activity!$G$2:$G$3000,"&gt;="&amp;DATE(Controls!$B$5,12,1),Nominal_Activity!$G$2:$G$3000,"&lt;="&amp;EOMONTH(DATE(Controls!$B$5,12,1),0),Nominal_Activity!$A$2:$A$3000,Controls!$B$7))</f>
        <v>-</v>
      </c>
      <c r="S15" s="68" t="n">
        <f aca="false">SUM(G15:R15)</f>
        <v>0</v>
      </c>
      <c r="T15" s="68" t="n">
        <f aca="false">$F15-$S15</f>
        <v>0</v>
      </c>
      <c r="U15" s="77" t="n">
        <f aca="false">IFERROR($T15/$F15,0)</f>
        <v>0</v>
      </c>
      <c r="V15" s="68" t="n">
        <f aca="false">$S15*MM_FixedCost!G14</f>
        <v>0</v>
      </c>
      <c r="W15" s="68" t="n">
        <f aca="false">$S15-$V15</f>
        <v>0</v>
      </c>
      <c r="X15" s="135"/>
      <c r="Y15" s="136" t="n">
        <f aca="false">SUM($G15:$I15)</f>
        <v>0</v>
      </c>
      <c r="Z15" s="136" t="n">
        <f aca="false">$Y15*MM_FixedCost!$G14</f>
        <v>0</v>
      </c>
      <c r="AA15" s="136" t="n">
        <f aca="false">SUM($J15:$L15)</f>
        <v>0</v>
      </c>
      <c r="AB15" s="136" t="n">
        <f aca="false">$AA15*MM_FixedCost!$G14</f>
        <v>0</v>
      </c>
      <c r="AC15" s="136" t="n">
        <f aca="false">SUM($M15:$O15)</f>
        <v>0</v>
      </c>
      <c r="AD15" s="136" t="n">
        <f aca="false">$AC15*MM_FixedCost!$G14</f>
        <v>0</v>
      </c>
      <c r="AE15" s="136" t="n">
        <f aca="false">SUM($P15:$R15)</f>
        <v>0</v>
      </c>
      <c r="AF15" s="136" t="n">
        <f aca="false">$AE15*MM_FixedCost!$G14</f>
        <v>0</v>
      </c>
      <c r="AG15" s="136" t="n">
        <f aca="false">CHOOSE(VALUE(MID(Controls!$B$6,2,1)),$Z15,$AB15,$AD15,$AF15)</f>
        <v>0</v>
      </c>
    </row>
    <row r="16" customFormat="false" ht="13.5" hidden="false" customHeight="false" outlineLevel="0" collapsed="false">
      <c r="A16" s="67" t="n">
        <f aca="false">MM_FixedCost!A15</f>
        <v>7100</v>
      </c>
      <c r="B16" s="67" t="str">
        <f aca="false">MM_FixedCost!B15</f>
        <v>Staff welfare</v>
      </c>
      <c r="C16" s="67" t="str">
        <f aca="false">MM_FixedCost!C15</f>
        <v>Recruitment, Benefits</v>
      </c>
      <c r="D16" s="67" t="str">
        <f aca="false">MM_FixedCost!E15</f>
        <v>Core</v>
      </c>
      <c r="E16" s="68" t="n">
        <f aca="false">MM_FixedCost!F15</f>
        <v>301500</v>
      </c>
      <c r="F16" s="68" t="n">
        <f aca="false">$E16/12*Controls!$B$11</f>
        <v>150750</v>
      </c>
      <c r="G16" s="68" t="n">
        <f aca="false">IF(1&gt;Controls!$B$11,"-",SUMIFS(Nominal_Activity!$M$2:$M$3000,Nominal_Activity!$C$2:$C$3000,$A16,Nominal_Activity!$G$2:$G$3000,"&gt;="&amp;DATE(Controls!$B$5,1,1),Nominal_Activity!$G$2:$G$3000,"&lt;="&amp;EOMONTH(DATE(Controls!$B$5,1,1),0),Nominal_Activity!$A$2:$A$3000,Controls!$B$7))</f>
        <v>19736</v>
      </c>
      <c r="H16" s="68" t="n">
        <f aca="false">IF(2&gt;Controls!$B$11,"-",SUMIFS(Nominal_Activity!$M$2:$M$3000,Nominal_Activity!$C$2:$C$3000,$A16,Nominal_Activity!$G$2:$G$3000,"&gt;="&amp;DATE(Controls!$B$5,2,1),Nominal_Activity!$G$2:$G$3000,"&lt;="&amp;EOMONTH(DATE(Controls!$B$5,2,1),0),Nominal_Activity!$A$2:$A$3000,Controls!$B$7))</f>
        <v>3721</v>
      </c>
      <c r="I16" s="68" t="n">
        <f aca="false">IF(3&gt;Controls!$B$11,"-",SUMIFS(Nominal_Activity!$M$2:$M$3000,Nominal_Activity!$C$2:$C$3000,$A16,Nominal_Activity!$G$2:$G$3000,"&gt;="&amp;DATE(Controls!$B$5,3,1),Nominal_Activity!$G$2:$G$3000,"&lt;="&amp;EOMONTH(DATE(Controls!$B$5,3,1),0),Nominal_Activity!$A$2:$A$3000,Controls!$B$7))</f>
        <v>20370</v>
      </c>
      <c r="J16" s="68" t="n">
        <f aca="false">IF(4&gt;Controls!$B$11,"-",SUMIFS(Nominal_Activity!$M$2:$M$3000,Nominal_Activity!$C$2:$C$3000,$A16,Nominal_Activity!$G$2:$G$3000,"&gt;="&amp;DATE(Controls!$B$5,4,1),Nominal_Activity!$G$2:$G$3000,"&lt;="&amp;EOMONTH(DATE(Controls!$B$5,4,1),0),Nominal_Activity!$A$2:$A$3000,Controls!$B$7))</f>
        <v>4200</v>
      </c>
      <c r="K16" s="68" t="n">
        <f aca="false">IF(5&gt;Controls!$B$11,"-",SUMIFS(Nominal_Activity!$M$2:$M$3000,Nominal_Activity!$C$2:$C$3000,$A16,Nominal_Activity!$G$2:$G$3000,"&gt;="&amp;DATE(Controls!$B$5,5,1),Nominal_Activity!$G$2:$G$3000,"&lt;="&amp;EOMONTH(DATE(Controls!$B$5,5,1),0),Nominal_Activity!$A$2:$A$3000,Controls!$B$7))</f>
        <v>7578</v>
      </c>
      <c r="L16" s="68" t="n">
        <f aca="false">IF(6&gt;Controls!$B$11,"-",SUMIFS(Nominal_Activity!$M$2:$M$3000,Nominal_Activity!$C$2:$C$3000,$A16,Nominal_Activity!$G$2:$G$3000,"&gt;="&amp;DATE(Controls!$B$5,6,1),Nominal_Activity!$G$2:$G$3000,"&lt;="&amp;EOMONTH(DATE(Controls!$B$5,6,1),0),Nominal_Activity!$A$2:$A$3000,Controls!$B$7))</f>
        <v>22425</v>
      </c>
      <c r="M16" s="68" t="str">
        <f aca="false">IF(7&gt;Controls!$B$11,"-",SUMIFS(Nominal_Activity!$M$2:$M$3000,Nominal_Activity!$C$2:$C$3000,$A16,Nominal_Activity!$G$2:$G$3000,"&gt;="&amp;DATE(Controls!$B$5,7,1),Nominal_Activity!$G$2:$G$3000,"&lt;="&amp;EOMONTH(DATE(Controls!$B$5,7,1),0),Nominal_Activity!$A$2:$A$3000,Controls!$B$7))</f>
        <v>-</v>
      </c>
      <c r="N16" s="68" t="str">
        <f aca="false">IF(8&gt;Controls!$B$11,"-",SUMIFS(Nominal_Activity!$M$2:$M$3000,Nominal_Activity!$C$2:$C$3000,$A16,Nominal_Activity!$G$2:$G$3000,"&gt;="&amp;DATE(Controls!$B$5,8,1),Nominal_Activity!$G$2:$G$3000,"&lt;="&amp;EOMONTH(DATE(Controls!$B$5,8,1),0),Nominal_Activity!$A$2:$A$3000,Controls!$B$7))</f>
        <v>-</v>
      </c>
      <c r="O16" s="68" t="str">
        <f aca="false">IF(9&gt;Controls!$B$11,"-",SUMIFS(Nominal_Activity!$M$2:$M$3000,Nominal_Activity!$C$2:$C$3000,$A16,Nominal_Activity!$G$2:$G$3000,"&gt;="&amp;DATE(Controls!$B$5,9,1),Nominal_Activity!$G$2:$G$3000,"&lt;="&amp;EOMONTH(DATE(Controls!$B$5,9,1),0),Nominal_Activity!$A$2:$A$3000,Controls!$B$7))</f>
        <v>-</v>
      </c>
      <c r="P16" s="68" t="str">
        <f aca="false">IF(10&gt;Controls!$B$11,"-",SUMIFS(Nominal_Activity!$M$2:$M$3000,Nominal_Activity!$C$2:$C$3000,$A16,Nominal_Activity!$G$2:$G$3000,"&gt;="&amp;DATE(Controls!$B$5,10,1),Nominal_Activity!$G$2:$G$3000,"&lt;="&amp;EOMONTH(DATE(Controls!$B$5,10,1),0),Nominal_Activity!$A$2:$A$3000,Controls!$B$7))</f>
        <v>-</v>
      </c>
      <c r="Q16" s="68" t="str">
        <f aca="false">IF(11&gt;Controls!$B$11,"-",SUMIFS(Nominal_Activity!$M$2:$M$3000,Nominal_Activity!$C$2:$C$3000,$A16,Nominal_Activity!$G$2:$G$3000,"&gt;="&amp;DATE(Controls!$B$5,11,1),Nominal_Activity!$G$2:$G$3000,"&lt;="&amp;EOMONTH(DATE(Controls!$B$5,11,1),0),Nominal_Activity!$A$2:$A$3000,Controls!$B$7))</f>
        <v>-</v>
      </c>
      <c r="R16" s="68" t="str">
        <f aca="false">IF(12&gt;Controls!$B$11,"-",SUMIFS(Nominal_Activity!$M$2:$M$3000,Nominal_Activity!$C$2:$C$3000,$A16,Nominal_Activity!$G$2:$G$3000,"&gt;="&amp;DATE(Controls!$B$5,12,1),Nominal_Activity!$G$2:$G$3000,"&lt;="&amp;EOMONTH(DATE(Controls!$B$5,12,1),0),Nominal_Activity!$A$2:$A$3000,Controls!$B$7))</f>
        <v>-</v>
      </c>
      <c r="S16" s="68" t="n">
        <f aca="false">SUM(G16:R16)</f>
        <v>78030</v>
      </c>
      <c r="T16" s="68" t="n">
        <f aca="false">$F16-$S16</f>
        <v>72720</v>
      </c>
      <c r="U16" s="77" t="n">
        <f aca="false">IFERROR($T16/$F16,0)</f>
        <v>0.482388059701493</v>
      </c>
      <c r="V16" s="68" t="n">
        <f aca="false">$S16*MM_FixedCost!G15</f>
        <v>19507.5</v>
      </c>
      <c r="W16" s="68" t="n">
        <f aca="false">$S16-$V16</f>
        <v>58522.5</v>
      </c>
      <c r="X16" s="135"/>
      <c r="Y16" s="136" t="n">
        <f aca="false">SUM($G16:$I16)</f>
        <v>43827</v>
      </c>
      <c r="Z16" s="136" t="n">
        <f aca="false">$Y16*MM_FixedCost!$G15</f>
        <v>10956.75</v>
      </c>
      <c r="AA16" s="136" t="n">
        <f aca="false">SUM($J16:$L16)</f>
        <v>34203</v>
      </c>
      <c r="AB16" s="136" t="n">
        <f aca="false">$AA16*MM_FixedCost!$G15</f>
        <v>8550.75</v>
      </c>
      <c r="AC16" s="136" t="n">
        <f aca="false">SUM($M16:$O16)</f>
        <v>0</v>
      </c>
      <c r="AD16" s="136" t="n">
        <f aca="false">$AC16*MM_FixedCost!$G15</f>
        <v>0</v>
      </c>
      <c r="AE16" s="136" t="n">
        <f aca="false">SUM($P16:$R16)</f>
        <v>0</v>
      </c>
      <c r="AF16" s="136" t="n">
        <f aca="false">$AE16*MM_FixedCost!$G15</f>
        <v>0</v>
      </c>
      <c r="AG16" s="136" t="n">
        <f aca="false">CHOOSE(VALUE(MID(Controls!$B$6,2,1)),$Z16,$AB16,$AD16,$AF16)</f>
        <v>8550.75</v>
      </c>
    </row>
    <row r="17" customFormat="false" ht="13.5" hidden="false" customHeight="false" outlineLevel="0" collapsed="false">
      <c r="A17" s="67" t="n">
        <f aca="false">MM_FixedCost!A16</f>
        <v>7110</v>
      </c>
      <c r="B17" s="67" t="str">
        <f aca="false">MM_FixedCost!B16</f>
        <v>Team building</v>
      </c>
      <c r="C17" s="67" t="str">
        <f aca="false">MM_FixedCost!C16</f>
        <v>Internal events and meetings</v>
      </c>
      <c r="D17" s="67" t="str">
        <f aca="false">MM_FixedCost!E16</f>
        <v>Discretionary</v>
      </c>
      <c r="E17" s="68" t="n">
        <f aca="false">MM_FixedCost!F16</f>
        <v>290000</v>
      </c>
      <c r="F17" s="68" t="n">
        <f aca="false">$E17/12*Controls!$B$11</f>
        <v>145000</v>
      </c>
      <c r="G17" s="68" t="n">
        <f aca="false">IF(1&gt;Controls!$B$11,"-",SUMIFS(Nominal_Activity!$M$2:$M$3000,Nominal_Activity!$C$2:$C$3000,$A17,Nominal_Activity!$G$2:$G$3000,"&gt;="&amp;DATE(Controls!$B$5,1,1),Nominal_Activity!$G$2:$G$3000,"&lt;="&amp;EOMONTH(DATE(Controls!$B$5,1,1),0),Nominal_Activity!$A$2:$A$3000,Controls!$B$7))</f>
        <v>0</v>
      </c>
      <c r="H17" s="68" t="n">
        <f aca="false">IF(2&gt;Controls!$B$11,"-",SUMIFS(Nominal_Activity!$M$2:$M$3000,Nominal_Activity!$C$2:$C$3000,$A17,Nominal_Activity!$G$2:$G$3000,"&gt;="&amp;DATE(Controls!$B$5,2,1),Nominal_Activity!$G$2:$G$3000,"&lt;="&amp;EOMONTH(DATE(Controls!$B$5,2,1),0),Nominal_Activity!$A$2:$A$3000,Controls!$B$7))</f>
        <v>0</v>
      </c>
      <c r="I17" s="68" t="n">
        <f aca="false">IF(3&gt;Controls!$B$11,"-",SUMIFS(Nominal_Activity!$M$2:$M$3000,Nominal_Activity!$C$2:$C$3000,$A17,Nominal_Activity!$G$2:$G$3000,"&gt;="&amp;DATE(Controls!$B$5,3,1),Nominal_Activity!$G$2:$G$3000,"&lt;="&amp;EOMONTH(DATE(Controls!$B$5,3,1),0),Nominal_Activity!$A$2:$A$3000,Controls!$B$7))</f>
        <v>0</v>
      </c>
      <c r="J17" s="68" t="n">
        <f aca="false">IF(4&gt;Controls!$B$11,"-",SUMIFS(Nominal_Activity!$M$2:$M$3000,Nominal_Activity!$C$2:$C$3000,$A17,Nominal_Activity!$G$2:$G$3000,"&gt;="&amp;DATE(Controls!$B$5,4,1),Nominal_Activity!$G$2:$G$3000,"&lt;="&amp;EOMONTH(DATE(Controls!$B$5,4,1),0),Nominal_Activity!$A$2:$A$3000,Controls!$B$7))</f>
        <v>0</v>
      </c>
      <c r="K17" s="68" t="n">
        <f aca="false">IF(5&gt;Controls!$B$11,"-",SUMIFS(Nominal_Activity!$M$2:$M$3000,Nominal_Activity!$C$2:$C$3000,$A17,Nominal_Activity!$G$2:$G$3000,"&gt;="&amp;DATE(Controls!$B$5,5,1),Nominal_Activity!$G$2:$G$3000,"&lt;="&amp;EOMONTH(DATE(Controls!$B$5,5,1),0),Nominal_Activity!$A$2:$A$3000,Controls!$B$7))</f>
        <v>0</v>
      </c>
      <c r="L17" s="68" t="n">
        <f aca="false">IF(6&gt;Controls!$B$11,"-",SUMIFS(Nominal_Activity!$M$2:$M$3000,Nominal_Activity!$C$2:$C$3000,$A17,Nominal_Activity!$G$2:$G$3000,"&gt;="&amp;DATE(Controls!$B$5,6,1),Nominal_Activity!$G$2:$G$3000,"&lt;="&amp;EOMONTH(DATE(Controls!$B$5,6,1),0),Nominal_Activity!$A$2:$A$3000,Controls!$B$7))</f>
        <v>0</v>
      </c>
      <c r="M17" s="68" t="str">
        <f aca="false">IF(7&gt;Controls!$B$11,"-",SUMIFS(Nominal_Activity!$M$2:$M$3000,Nominal_Activity!$C$2:$C$3000,$A17,Nominal_Activity!$G$2:$G$3000,"&gt;="&amp;DATE(Controls!$B$5,7,1),Nominal_Activity!$G$2:$G$3000,"&lt;="&amp;EOMONTH(DATE(Controls!$B$5,7,1),0),Nominal_Activity!$A$2:$A$3000,Controls!$B$7))</f>
        <v>-</v>
      </c>
      <c r="N17" s="68" t="str">
        <f aca="false">IF(8&gt;Controls!$B$11,"-",SUMIFS(Nominal_Activity!$M$2:$M$3000,Nominal_Activity!$C$2:$C$3000,$A17,Nominal_Activity!$G$2:$G$3000,"&gt;="&amp;DATE(Controls!$B$5,8,1),Nominal_Activity!$G$2:$G$3000,"&lt;="&amp;EOMONTH(DATE(Controls!$B$5,8,1),0),Nominal_Activity!$A$2:$A$3000,Controls!$B$7))</f>
        <v>-</v>
      </c>
      <c r="O17" s="68" t="str">
        <f aca="false">IF(9&gt;Controls!$B$11,"-",SUMIFS(Nominal_Activity!$M$2:$M$3000,Nominal_Activity!$C$2:$C$3000,$A17,Nominal_Activity!$G$2:$G$3000,"&gt;="&amp;DATE(Controls!$B$5,9,1),Nominal_Activity!$G$2:$G$3000,"&lt;="&amp;EOMONTH(DATE(Controls!$B$5,9,1),0),Nominal_Activity!$A$2:$A$3000,Controls!$B$7))</f>
        <v>-</v>
      </c>
      <c r="P17" s="68" t="str">
        <f aca="false">IF(10&gt;Controls!$B$11,"-",SUMIFS(Nominal_Activity!$M$2:$M$3000,Nominal_Activity!$C$2:$C$3000,$A17,Nominal_Activity!$G$2:$G$3000,"&gt;="&amp;DATE(Controls!$B$5,10,1),Nominal_Activity!$G$2:$G$3000,"&lt;="&amp;EOMONTH(DATE(Controls!$B$5,10,1),0),Nominal_Activity!$A$2:$A$3000,Controls!$B$7))</f>
        <v>-</v>
      </c>
      <c r="Q17" s="68" t="str">
        <f aca="false">IF(11&gt;Controls!$B$11,"-",SUMIFS(Nominal_Activity!$M$2:$M$3000,Nominal_Activity!$C$2:$C$3000,$A17,Nominal_Activity!$G$2:$G$3000,"&gt;="&amp;DATE(Controls!$B$5,11,1),Nominal_Activity!$G$2:$G$3000,"&lt;="&amp;EOMONTH(DATE(Controls!$B$5,11,1),0),Nominal_Activity!$A$2:$A$3000,Controls!$B$7))</f>
        <v>-</v>
      </c>
      <c r="R17" s="68" t="str">
        <f aca="false">IF(12&gt;Controls!$B$11,"-",SUMIFS(Nominal_Activity!$M$2:$M$3000,Nominal_Activity!$C$2:$C$3000,$A17,Nominal_Activity!$G$2:$G$3000,"&gt;="&amp;DATE(Controls!$B$5,12,1),Nominal_Activity!$G$2:$G$3000,"&lt;="&amp;EOMONTH(DATE(Controls!$B$5,12,1),0),Nominal_Activity!$A$2:$A$3000,Controls!$B$7))</f>
        <v>-</v>
      </c>
      <c r="S17" s="68" t="n">
        <f aca="false">SUM(G17:R17)</f>
        <v>0</v>
      </c>
      <c r="T17" s="68" t="n">
        <f aca="false">$F17-$S17</f>
        <v>145000</v>
      </c>
      <c r="U17" s="77" t="n">
        <f aca="false">IFERROR($T17/$F17,0)</f>
        <v>1</v>
      </c>
      <c r="V17" s="68" t="n">
        <f aca="false">$S17*MM_FixedCost!G16</f>
        <v>0</v>
      </c>
      <c r="W17" s="68" t="n">
        <f aca="false">$S17-$V17</f>
        <v>0</v>
      </c>
      <c r="X17" s="135"/>
      <c r="Y17" s="136" t="n">
        <f aca="false">SUM($G17:$I17)</f>
        <v>0</v>
      </c>
      <c r="Z17" s="136" t="n">
        <f aca="false">$Y17*MM_FixedCost!$G16</f>
        <v>0</v>
      </c>
      <c r="AA17" s="136" t="n">
        <f aca="false">SUM($J17:$L17)</f>
        <v>0</v>
      </c>
      <c r="AB17" s="136" t="n">
        <f aca="false">$AA17*MM_FixedCost!$G16</f>
        <v>0</v>
      </c>
      <c r="AC17" s="136" t="n">
        <f aca="false">SUM($M17:$O17)</f>
        <v>0</v>
      </c>
      <c r="AD17" s="136" t="n">
        <f aca="false">$AC17*MM_FixedCost!$G16</f>
        <v>0</v>
      </c>
      <c r="AE17" s="136" t="n">
        <f aca="false">SUM($P17:$R17)</f>
        <v>0</v>
      </c>
      <c r="AF17" s="136" t="n">
        <f aca="false">$AE17*MM_FixedCost!$G16</f>
        <v>0</v>
      </c>
      <c r="AG17" s="136" t="n">
        <f aca="false">CHOOSE(VALUE(MID(Controls!$B$6,2,1)),$Z17,$AB17,$AD17,$AF17)</f>
        <v>0</v>
      </c>
    </row>
    <row r="18" customFormat="false" ht="13.5" hidden="false" customHeight="false" outlineLevel="0" collapsed="false">
      <c r="A18" s="67" t="n">
        <f aca="false">MM_FixedCost!A17</f>
        <v>7119</v>
      </c>
      <c r="B18" s="67" t="str">
        <f aca="false">MM_FixedCost!B17</f>
        <v>Staff Training: Training courses - Group Purchase</v>
      </c>
      <c r="C18" s="67" t="str">
        <f aca="false">MM_FixedCost!C17</f>
        <v>Professional development and Training</v>
      </c>
      <c r="D18" s="67" t="str">
        <f aca="false">MM_FixedCost!E17</f>
        <v>Discretionary</v>
      </c>
      <c r="E18" s="68" t="n">
        <f aca="false">MM_FixedCost!F17</f>
        <v>132847.71</v>
      </c>
      <c r="F18" s="68" t="n">
        <f aca="false">$E18/12*Controls!$B$11</f>
        <v>66423.855</v>
      </c>
      <c r="G18" s="68" t="n">
        <f aca="false">IF(1&gt;Controls!$B$11,"-",SUMIFS(Nominal_Activity!$M$2:$M$3000,Nominal_Activity!$C$2:$C$3000,$A18,Nominal_Activity!$G$2:$G$3000,"&gt;="&amp;DATE(Controls!$B$5,1,1),Nominal_Activity!$G$2:$G$3000,"&lt;="&amp;EOMONTH(DATE(Controls!$B$5,1,1),0),Nominal_Activity!$A$2:$A$3000,Controls!$B$7))</f>
        <v>0</v>
      </c>
      <c r="H18" s="68" t="n">
        <f aca="false">IF(2&gt;Controls!$B$11,"-",SUMIFS(Nominal_Activity!$M$2:$M$3000,Nominal_Activity!$C$2:$C$3000,$A18,Nominal_Activity!$G$2:$G$3000,"&gt;="&amp;DATE(Controls!$B$5,2,1),Nominal_Activity!$G$2:$G$3000,"&lt;="&amp;EOMONTH(DATE(Controls!$B$5,2,1),0),Nominal_Activity!$A$2:$A$3000,Controls!$B$7))</f>
        <v>0</v>
      </c>
      <c r="I18" s="68" t="n">
        <f aca="false">IF(3&gt;Controls!$B$11,"-",SUMIFS(Nominal_Activity!$M$2:$M$3000,Nominal_Activity!$C$2:$C$3000,$A18,Nominal_Activity!$G$2:$G$3000,"&gt;="&amp;DATE(Controls!$B$5,3,1),Nominal_Activity!$G$2:$G$3000,"&lt;="&amp;EOMONTH(DATE(Controls!$B$5,3,1),0),Nominal_Activity!$A$2:$A$3000,Controls!$B$7))</f>
        <v>0</v>
      </c>
      <c r="J18" s="68" t="n">
        <f aca="false">IF(4&gt;Controls!$B$11,"-",SUMIFS(Nominal_Activity!$M$2:$M$3000,Nominal_Activity!$C$2:$C$3000,$A18,Nominal_Activity!$G$2:$G$3000,"&gt;="&amp;DATE(Controls!$B$5,4,1),Nominal_Activity!$G$2:$G$3000,"&lt;="&amp;EOMONTH(DATE(Controls!$B$5,4,1),0),Nominal_Activity!$A$2:$A$3000,Controls!$B$7))</f>
        <v>0</v>
      </c>
      <c r="K18" s="68" t="n">
        <f aca="false">IF(5&gt;Controls!$B$11,"-",SUMIFS(Nominal_Activity!$M$2:$M$3000,Nominal_Activity!$C$2:$C$3000,$A18,Nominal_Activity!$G$2:$G$3000,"&gt;="&amp;DATE(Controls!$B$5,5,1),Nominal_Activity!$G$2:$G$3000,"&lt;="&amp;EOMONTH(DATE(Controls!$B$5,5,1),0),Nominal_Activity!$A$2:$A$3000,Controls!$B$7))</f>
        <v>0</v>
      </c>
      <c r="L18" s="68" t="n">
        <f aca="false">IF(6&gt;Controls!$B$11,"-",SUMIFS(Nominal_Activity!$M$2:$M$3000,Nominal_Activity!$C$2:$C$3000,$A18,Nominal_Activity!$G$2:$G$3000,"&gt;="&amp;DATE(Controls!$B$5,6,1),Nominal_Activity!$G$2:$G$3000,"&lt;="&amp;EOMONTH(DATE(Controls!$B$5,6,1),0),Nominal_Activity!$A$2:$A$3000,Controls!$B$7))</f>
        <v>0</v>
      </c>
      <c r="M18" s="68" t="str">
        <f aca="false">IF(7&gt;Controls!$B$11,"-",SUMIFS(Nominal_Activity!$M$2:$M$3000,Nominal_Activity!$C$2:$C$3000,$A18,Nominal_Activity!$G$2:$G$3000,"&gt;="&amp;DATE(Controls!$B$5,7,1),Nominal_Activity!$G$2:$G$3000,"&lt;="&amp;EOMONTH(DATE(Controls!$B$5,7,1),0),Nominal_Activity!$A$2:$A$3000,Controls!$B$7))</f>
        <v>-</v>
      </c>
      <c r="N18" s="68" t="str">
        <f aca="false">IF(8&gt;Controls!$B$11,"-",SUMIFS(Nominal_Activity!$M$2:$M$3000,Nominal_Activity!$C$2:$C$3000,$A18,Nominal_Activity!$G$2:$G$3000,"&gt;="&amp;DATE(Controls!$B$5,8,1),Nominal_Activity!$G$2:$G$3000,"&lt;="&amp;EOMONTH(DATE(Controls!$B$5,8,1),0),Nominal_Activity!$A$2:$A$3000,Controls!$B$7))</f>
        <v>-</v>
      </c>
      <c r="O18" s="68" t="str">
        <f aca="false">IF(9&gt;Controls!$B$11,"-",SUMIFS(Nominal_Activity!$M$2:$M$3000,Nominal_Activity!$C$2:$C$3000,$A18,Nominal_Activity!$G$2:$G$3000,"&gt;="&amp;DATE(Controls!$B$5,9,1),Nominal_Activity!$G$2:$G$3000,"&lt;="&amp;EOMONTH(DATE(Controls!$B$5,9,1),0),Nominal_Activity!$A$2:$A$3000,Controls!$B$7))</f>
        <v>-</v>
      </c>
      <c r="P18" s="68" t="str">
        <f aca="false">IF(10&gt;Controls!$B$11,"-",SUMIFS(Nominal_Activity!$M$2:$M$3000,Nominal_Activity!$C$2:$C$3000,$A18,Nominal_Activity!$G$2:$G$3000,"&gt;="&amp;DATE(Controls!$B$5,10,1),Nominal_Activity!$G$2:$G$3000,"&lt;="&amp;EOMONTH(DATE(Controls!$B$5,10,1),0),Nominal_Activity!$A$2:$A$3000,Controls!$B$7))</f>
        <v>-</v>
      </c>
      <c r="Q18" s="68" t="str">
        <f aca="false">IF(11&gt;Controls!$B$11,"-",SUMIFS(Nominal_Activity!$M$2:$M$3000,Nominal_Activity!$C$2:$C$3000,$A18,Nominal_Activity!$G$2:$G$3000,"&gt;="&amp;DATE(Controls!$B$5,11,1),Nominal_Activity!$G$2:$G$3000,"&lt;="&amp;EOMONTH(DATE(Controls!$B$5,11,1),0),Nominal_Activity!$A$2:$A$3000,Controls!$B$7))</f>
        <v>-</v>
      </c>
      <c r="R18" s="68" t="str">
        <f aca="false">IF(12&gt;Controls!$B$11,"-",SUMIFS(Nominal_Activity!$M$2:$M$3000,Nominal_Activity!$C$2:$C$3000,$A18,Nominal_Activity!$G$2:$G$3000,"&gt;="&amp;DATE(Controls!$B$5,12,1),Nominal_Activity!$G$2:$G$3000,"&lt;="&amp;EOMONTH(DATE(Controls!$B$5,12,1),0),Nominal_Activity!$A$2:$A$3000,Controls!$B$7))</f>
        <v>-</v>
      </c>
      <c r="S18" s="68" t="n">
        <f aca="false">SUM(G18:R18)</f>
        <v>0</v>
      </c>
      <c r="T18" s="68" t="n">
        <f aca="false">$F18-$S18</f>
        <v>66423.855</v>
      </c>
      <c r="U18" s="77" t="n">
        <f aca="false">IFERROR($T18/$F18,0)</f>
        <v>1</v>
      </c>
      <c r="V18" s="68" t="n">
        <f aca="false">$S18*MM_FixedCost!G17</f>
        <v>0</v>
      </c>
      <c r="W18" s="68" t="n">
        <f aca="false">$S18-$V18</f>
        <v>0</v>
      </c>
      <c r="X18" s="135"/>
      <c r="Y18" s="136" t="n">
        <f aca="false">SUM($G18:$I18)</f>
        <v>0</v>
      </c>
      <c r="Z18" s="136" t="n">
        <f aca="false">$Y18*MM_FixedCost!$G17</f>
        <v>0</v>
      </c>
      <c r="AA18" s="136" t="n">
        <f aca="false">SUM($J18:$L18)</f>
        <v>0</v>
      </c>
      <c r="AB18" s="136" t="n">
        <f aca="false">$AA18*MM_FixedCost!$G17</f>
        <v>0</v>
      </c>
      <c r="AC18" s="136" t="n">
        <f aca="false">SUM($M18:$O18)</f>
        <v>0</v>
      </c>
      <c r="AD18" s="136" t="n">
        <f aca="false">$AC18*MM_FixedCost!$G17</f>
        <v>0</v>
      </c>
      <c r="AE18" s="136" t="n">
        <f aca="false">SUM($P18:$R18)</f>
        <v>0</v>
      </c>
      <c r="AF18" s="136" t="n">
        <f aca="false">$AE18*MM_FixedCost!$G17</f>
        <v>0</v>
      </c>
      <c r="AG18" s="136" t="n">
        <f aca="false">CHOOSE(VALUE(MID(Controls!$B$6,2,1)),$Z18,$AB18,$AD18,$AF18)</f>
        <v>0</v>
      </c>
    </row>
    <row r="19" customFormat="false" ht="13.5" hidden="false" customHeight="false" outlineLevel="0" collapsed="false">
      <c r="A19" s="67" t="n">
        <f aca="false">MM_FixedCost!A18</f>
        <v>7120</v>
      </c>
      <c r="B19" s="67" t="str">
        <f aca="false">MM_FixedCost!B18</f>
        <v>Staff Training: Training courses</v>
      </c>
      <c r="C19" s="67" t="str">
        <f aca="false">MM_FixedCost!C18</f>
        <v>Professional development and Training</v>
      </c>
      <c r="D19" s="67" t="str">
        <f aca="false">MM_FixedCost!E18</f>
        <v>Discretionary</v>
      </c>
      <c r="E19" s="68" t="n">
        <f aca="false">MM_FixedCost!F18</f>
        <v>92000</v>
      </c>
      <c r="F19" s="68" t="n">
        <f aca="false">$E19/12*Controls!$B$11</f>
        <v>46000</v>
      </c>
      <c r="G19" s="68" t="n">
        <f aca="false">IF(1&gt;Controls!$B$11,"-",SUMIFS(Nominal_Activity!$M$2:$M$3000,Nominal_Activity!$C$2:$C$3000,$A19,Nominal_Activity!$G$2:$G$3000,"&gt;="&amp;DATE(Controls!$B$5,1,1),Nominal_Activity!$G$2:$G$3000,"&lt;="&amp;EOMONTH(DATE(Controls!$B$5,1,1),0),Nominal_Activity!$A$2:$A$3000,Controls!$B$7))</f>
        <v>0</v>
      </c>
      <c r="H19" s="68" t="n">
        <f aca="false">IF(2&gt;Controls!$B$11,"-",SUMIFS(Nominal_Activity!$M$2:$M$3000,Nominal_Activity!$C$2:$C$3000,$A19,Nominal_Activity!$G$2:$G$3000,"&gt;="&amp;DATE(Controls!$B$5,2,1),Nominal_Activity!$G$2:$G$3000,"&lt;="&amp;EOMONTH(DATE(Controls!$B$5,2,1),0),Nominal_Activity!$A$2:$A$3000,Controls!$B$7))</f>
        <v>0</v>
      </c>
      <c r="I19" s="68" t="n">
        <f aca="false">IF(3&gt;Controls!$B$11,"-",SUMIFS(Nominal_Activity!$M$2:$M$3000,Nominal_Activity!$C$2:$C$3000,$A19,Nominal_Activity!$G$2:$G$3000,"&gt;="&amp;DATE(Controls!$B$5,3,1),Nominal_Activity!$G$2:$G$3000,"&lt;="&amp;EOMONTH(DATE(Controls!$B$5,3,1),0),Nominal_Activity!$A$2:$A$3000,Controls!$B$7))</f>
        <v>0</v>
      </c>
      <c r="J19" s="68" t="n">
        <f aca="false">IF(4&gt;Controls!$B$11,"-",SUMIFS(Nominal_Activity!$M$2:$M$3000,Nominal_Activity!$C$2:$C$3000,$A19,Nominal_Activity!$G$2:$G$3000,"&gt;="&amp;DATE(Controls!$B$5,4,1),Nominal_Activity!$G$2:$G$3000,"&lt;="&amp;EOMONTH(DATE(Controls!$B$5,4,1),0),Nominal_Activity!$A$2:$A$3000,Controls!$B$7))</f>
        <v>0</v>
      </c>
      <c r="K19" s="68" t="n">
        <f aca="false">IF(5&gt;Controls!$B$11,"-",SUMIFS(Nominal_Activity!$M$2:$M$3000,Nominal_Activity!$C$2:$C$3000,$A19,Nominal_Activity!$G$2:$G$3000,"&gt;="&amp;DATE(Controls!$B$5,5,1),Nominal_Activity!$G$2:$G$3000,"&lt;="&amp;EOMONTH(DATE(Controls!$B$5,5,1),0),Nominal_Activity!$A$2:$A$3000,Controls!$B$7))</f>
        <v>72981.57</v>
      </c>
      <c r="L19" s="68" t="n">
        <f aca="false">IF(6&gt;Controls!$B$11,"-",SUMIFS(Nominal_Activity!$M$2:$M$3000,Nominal_Activity!$C$2:$C$3000,$A19,Nominal_Activity!$G$2:$G$3000,"&gt;="&amp;DATE(Controls!$B$5,6,1),Nominal_Activity!$G$2:$G$3000,"&lt;="&amp;EOMONTH(DATE(Controls!$B$5,6,1),0),Nominal_Activity!$A$2:$A$3000,Controls!$B$7))</f>
        <v>28907.74</v>
      </c>
      <c r="M19" s="68" t="str">
        <f aca="false">IF(7&gt;Controls!$B$11,"-",SUMIFS(Nominal_Activity!$M$2:$M$3000,Nominal_Activity!$C$2:$C$3000,$A19,Nominal_Activity!$G$2:$G$3000,"&gt;="&amp;DATE(Controls!$B$5,7,1),Nominal_Activity!$G$2:$G$3000,"&lt;="&amp;EOMONTH(DATE(Controls!$B$5,7,1),0),Nominal_Activity!$A$2:$A$3000,Controls!$B$7))</f>
        <v>-</v>
      </c>
      <c r="N19" s="68" t="str">
        <f aca="false">IF(8&gt;Controls!$B$11,"-",SUMIFS(Nominal_Activity!$M$2:$M$3000,Nominal_Activity!$C$2:$C$3000,$A19,Nominal_Activity!$G$2:$G$3000,"&gt;="&amp;DATE(Controls!$B$5,8,1),Nominal_Activity!$G$2:$G$3000,"&lt;="&amp;EOMONTH(DATE(Controls!$B$5,8,1),0),Nominal_Activity!$A$2:$A$3000,Controls!$B$7))</f>
        <v>-</v>
      </c>
      <c r="O19" s="68" t="str">
        <f aca="false">IF(9&gt;Controls!$B$11,"-",SUMIFS(Nominal_Activity!$M$2:$M$3000,Nominal_Activity!$C$2:$C$3000,$A19,Nominal_Activity!$G$2:$G$3000,"&gt;="&amp;DATE(Controls!$B$5,9,1),Nominal_Activity!$G$2:$G$3000,"&lt;="&amp;EOMONTH(DATE(Controls!$B$5,9,1),0),Nominal_Activity!$A$2:$A$3000,Controls!$B$7))</f>
        <v>-</v>
      </c>
      <c r="P19" s="68" t="str">
        <f aca="false">IF(10&gt;Controls!$B$11,"-",SUMIFS(Nominal_Activity!$M$2:$M$3000,Nominal_Activity!$C$2:$C$3000,$A19,Nominal_Activity!$G$2:$G$3000,"&gt;="&amp;DATE(Controls!$B$5,10,1),Nominal_Activity!$G$2:$G$3000,"&lt;="&amp;EOMONTH(DATE(Controls!$B$5,10,1),0),Nominal_Activity!$A$2:$A$3000,Controls!$B$7))</f>
        <v>-</v>
      </c>
      <c r="Q19" s="68" t="str">
        <f aca="false">IF(11&gt;Controls!$B$11,"-",SUMIFS(Nominal_Activity!$M$2:$M$3000,Nominal_Activity!$C$2:$C$3000,$A19,Nominal_Activity!$G$2:$G$3000,"&gt;="&amp;DATE(Controls!$B$5,11,1),Nominal_Activity!$G$2:$G$3000,"&lt;="&amp;EOMONTH(DATE(Controls!$B$5,11,1),0),Nominal_Activity!$A$2:$A$3000,Controls!$B$7))</f>
        <v>-</v>
      </c>
      <c r="R19" s="68" t="str">
        <f aca="false">IF(12&gt;Controls!$B$11,"-",SUMIFS(Nominal_Activity!$M$2:$M$3000,Nominal_Activity!$C$2:$C$3000,$A19,Nominal_Activity!$G$2:$G$3000,"&gt;="&amp;DATE(Controls!$B$5,12,1),Nominal_Activity!$G$2:$G$3000,"&lt;="&amp;EOMONTH(DATE(Controls!$B$5,12,1),0),Nominal_Activity!$A$2:$A$3000,Controls!$B$7))</f>
        <v>-</v>
      </c>
      <c r="S19" s="68" t="n">
        <f aca="false">SUM(G19:R19)</f>
        <v>101889.31</v>
      </c>
      <c r="T19" s="68" t="n">
        <f aca="false">$F19-$S19</f>
        <v>-55889.31</v>
      </c>
      <c r="U19" s="77" t="n">
        <f aca="false">IFERROR($T19/$F19,0)</f>
        <v>-1.214985</v>
      </c>
      <c r="V19" s="68" t="n">
        <f aca="false">$S19*MM_FixedCost!G18</f>
        <v>0</v>
      </c>
      <c r="W19" s="68" t="n">
        <f aca="false">$S19-$V19</f>
        <v>101889.31</v>
      </c>
      <c r="X19" s="135"/>
      <c r="Y19" s="136" t="n">
        <f aca="false">SUM($G19:$I19)</f>
        <v>0</v>
      </c>
      <c r="Z19" s="136" t="n">
        <f aca="false">$Y19*MM_FixedCost!$G18</f>
        <v>0</v>
      </c>
      <c r="AA19" s="136" t="n">
        <f aca="false">SUM($J19:$L19)</f>
        <v>101889.31</v>
      </c>
      <c r="AB19" s="136" t="n">
        <f aca="false">$AA19*MM_FixedCost!$G18</f>
        <v>0</v>
      </c>
      <c r="AC19" s="136" t="n">
        <f aca="false">SUM($M19:$O19)</f>
        <v>0</v>
      </c>
      <c r="AD19" s="136" t="n">
        <f aca="false">$AC19*MM_FixedCost!$G18</f>
        <v>0</v>
      </c>
      <c r="AE19" s="136" t="n">
        <f aca="false">SUM($P19:$R19)</f>
        <v>0</v>
      </c>
      <c r="AF19" s="136" t="n">
        <f aca="false">$AE19*MM_FixedCost!$G18</f>
        <v>0</v>
      </c>
      <c r="AG19" s="136" t="n">
        <f aca="false">CHOOSE(VALUE(MID(Controls!$B$6,2,1)),$Z19,$AB19,$AD19,$AF19)</f>
        <v>0</v>
      </c>
    </row>
    <row r="20" customFormat="false" ht="13.5" hidden="false" customHeight="false" outlineLevel="0" collapsed="false">
      <c r="A20" s="67" t="n">
        <f aca="false">MM_FixedCost!A19</f>
        <v>7122</v>
      </c>
      <c r="B20" s="67" t="str">
        <f aca="false">MM_FixedCost!B19</f>
        <v>Staff Training: Languages</v>
      </c>
      <c r="C20" s="67" t="str">
        <f aca="false">MM_FixedCost!C19</f>
        <v>Professional development and Training</v>
      </c>
      <c r="D20" s="67" t="str">
        <f aca="false">MM_FixedCost!E19</f>
        <v>Discretionary</v>
      </c>
      <c r="E20" s="68" t="n">
        <f aca="false">MM_FixedCost!F19</f>
        <v>0</v>
      </c>
      <c r="F20" s="68" t="n">
        <f aca="false">$E20/12*Controls!$B$11</f>
        <v>0</v>
      </c>
      <c r="G20" s="68" t="n">
        <f aca="false">IF(1&gt;Controls!$B$11,"-",SUMIFS(Nominal_Activity!$M$2:$M$3000,Nominal_Activity!$C$2:$C$3000,$A20,Nominal_Activity!$G$2:$G$3000,"&gt;="&amp;DATE(Controls!$B$5,1,1),Nominal_Activity!$G$2:$G$3000,"&lt;="&amp;EOMONTH(DATE(Controls!$B$5,1,1),0),Nominal_Activity!$A$2:$A$3000,Controls!$B$7))</f>
        <v>0</v>
      </c>
      <c r="H20" s="68" t="n">
        <f aca="false">IF(2&gt;Controls!$B$11,"-",SUMIFS(Nominal_Activity!$M$2:$M$3000,Nominal_Activity!$C$2:$C$3000,$A20,Nominal_Activity!$G$2:$G$3000,"&gt;="&amp;DATE(Controls!$B$5,2,1),Nominal_Activity!$G$2:$G$3000,"&lt;="&amp;EOMONTH(DATE(Controls!$B$5,2,1),0),Nominal_Activity!$A$2:$A$3000,Controls!$B$7))</f>
        <v>0</v>
      </c>
      <c r="I20" s="68" t="n">
        <f aca="false">IF(3&gt;Controls!$B$11,"-",SUMIFS(Nominal_Activity!$M$2:$M$3000,Nominal_Activity!$C$2:$C$3000,$A20,Nominal_Activity!$G$2:$G$3000,"&gt;="&amp;DATE(Controls!$B$5,3,1),Nominal_Activity!$G$2:$G$3000,"&lt;="&amp;EOMONTH(DATE(Controls!$B$5,3,1),0),Nominal_Activity!$A$2:$A$3000,Controls!$B$7))</f>
        <v>0</v>
      </c>
      <c r="J20" s="68" t="n">
        <f aca="false">IF(4&gt;Controls!$B$11,"-",SUMIFS(Nominal_Activity!$M$2:$M$3000,Nominal_Activity!$C$2:$C$3000,$A20,Nominal_Activity!$G$2:$G$3000,"&gt;="&amp;DATE(Controls!$B$5,4,1),Nominal_Activity!$G$2:$G$3000,"&lt;="&amp;EOMONTH(DATE(Controls!$B$5,4,1),0),Nominal_Activity!$A$2:$A$3000,Controls!$B$7))</f>
        <v>0</v>
      </c>
      <c r="K20" s="68" t="n">
        <f aca="false">IF(5&gt;Controls!$B$11,"-",SUMIFS(Nominal_Activity!$M$2:$M$3000,Nominal_Activity!$C$2:$C$3000,$A20,Nominal_Activity!$G$2:$G$3000,"&gt;="&amp;DATE(Controls!$B$5,5,1),Nominal_Activity!$G$2:$G$3000,"&lt;="&amp;EOMONTH(DATE(Controls!$B$5,5,1),0),Nominal_Activity!$A$2:$A$3000,Controls!$B$7))</f>
        <v>0</v>
      </c>
      <c r="L20" s="68" t="n">
        <f aca="false">IF(6&gt;Controls!$B$11,"-",SUMIFS(Nominal_Activity!$M$2:$M$3000,Nominal_Activity!$C$2:$C$3000,$A20,Nominal_Activity!$G$2:$G$3000,"&gt;="&amp;DATE(Controls!$B$5,6,1),Nominal_Activity!$G$2:$G$3000,"&lt;="&amp;EOMONTH(DATE(Controls!$B$5,6,1),0),Nominal_Activity!$A$2:$A$3000,Controls!$B$7))</f>
        <v>0</v>
      </c>
      <c r="M20" s="68" t="str">
        <f aca="false">IF(7&gt;Controls!$B$11,"-",SUMIFS(Nominal_Activity!$M$2:$M$3000,Nominal_Activity!$C$2:$C$3000,$A20,Nominal_Activity!$G$2:$G$3000,"&gt;="&amp;DATE(Controls!$B$5,7,1),Nominal_Activity!$G$2:$G$3000,"&lt;="&amp;EOMONTH(DATE(Controls!$B$5,7,1),0),Nominal_Activity!$A$2:$A$3000,Controls!$B$7))</f>
        <v>-</v>
      </c>
      <c r="N20" s="68" t="str">
        <f aca="false">IF(8&gt;Controls!$B$11,"-",SUMIFS(Nominal_Activity!$M$2:$M$3000,Nominal_Activity!$C$2:$C$3000,$A20,Nominal_Activity!$G$2:$G$3000,"&gt;="&amp;DATE(Controls!$B$5,8,1),Nominal_Activity!$G$2:$G$3000,"&lt;="&amp;EOMONTH(DATE(Controls!$B$5,8,1),0),Nominal_Activity!$A$2:$A$3000,Controls!$B$7))</f>
        <v>-</v>
      </c>
      <c r="O20" s="68" t="str">
        <f aca="false">IF(9&gt;Controls!$B$11,"-",SUMIFS(Nominal_Activity!$M$2:$M$3000,Nominal_Activity!$C$2:$C$3000,$A20,Nominal_Activity!$G$2:$G$3000,"&gt;="&amp;DATE(Controls!$B$5,9,1),Nominal_Activity!$G$2:$G$3000,"&lt;="&amp;EOMONTH(DATE(Controls!$B$5,9,1),0),Nominal_Activity!$A$2:$A$3000,Controls!$B$7))</f>
        <v>-</v>
      </c>
      <c r="P20" s="68" t="str">
        <f aca="false">IF(10&gt;Controls!$B$11,"-",SUMIFS(Nominal_Activity!$M$2:$M$3000,Nominal_Activity!$C$2:$C$3000,$A20,Nominal_Activity!$G$2:$G$3000,"&gt;="&amp;DATE(Controls!$B$5,10,1),Nominal_Activity!$G$2:$G$3000,"&lt;="&amp;EOMONTH(DATE(Controls!$B$5,10,1),0),Nominal_Activity!$A$2:$A$3000,Controls!$B$7))</f>
        <v>-</v>
      </c>
      <c r="Q20" s="68" t="str">
        <f aca="false">IF(11&gt;Controls!$B$11,"-",SUMIFS(Nominal_Activity!$M$2:$M$3000,Nominal_Activity!$C$2:$C$3000,$A20,Nominal_Activity!$G$2:$G$3000,"&gt;="&amp;DATE(Controls!$B$5,11,1),Nominal_Activity!$G$2:$G$3000,"&lt;="&amp;EOMONTH(DATE(Controls!$B$5,11,1),0),Nominal_Activity!$A$2:$A$3000,Controls!$B$7))</f>
        <v>-</v>
      </c>
      <c r="R20" s="68" t="str">
        <f aca="false">IF(12&gt;Controls!$B$11,"-",SUMIFS(Nominal_Activity!$M$2:$M$3000,Nominal_Activity!$C$2:$C$3000,$A20,Nominal_Activity!$G$2:$G$3000,"&gt;="&amp;DATE(Controls!$B$5,12,1),Nominal_Activity!$G$2:$G$3000,"&lt;="&amp;EOMONTH(DATE(Controls!$B$5,12,1),0),Nominal_Activity!$A$2:$A$3000,Controls!$B$7))</f>
        <v>-</v>
      </c>
      <c r="S20" s="68" t="n">
        <f aca="false">SUM(G20:R20)</f>
        <v>0</v>
      </c>
      <c r="T20" s="68" t="n">
        <f aca="false">$F20-$S20</f>
        <v>0</v>
      </c>
      <c r="U20" s="77" t="n">
        <f aca="false">IFERROR($T20/$F20,0)</f>
        <v>0</v>
      </c>
      <c r="V20" s="68" t="n">
        <f aca="false">$S20*MM_FixedCost!G19</f>
        <v>0</v>
      </c>
      <c r="W20" s="68" t="n">
        <f aca="false">$S20-$V20</f>
        <v>0</v>
      </c>
      <c r="X20" s="135"/>
      <c r="Y20" s="136" t="n">
        <f aca="false">SUM($G20:$I20)</f>
        <v>0</v>
      </c>
      <c r="Z20" s="136" t="n">
        <f aca="false">$Y20*MM_FixedCost!$G19</f>
        <v>0</v>
      </c>
      <c r="AA20" s="136" t="n">
        <f aca="false">SUM($J20:$L20)</f>
        <v>0</v>
      </c>
      <c r="AB20" s="136" t="n">
        <f aca="false">$AA20*MM_FixedCost!$G19</f>
        <v>0</v>
      </c>
      <c r="AC20" s="136" t="n">
        <f aca="false">SUM($M20:$O20)</f>
        <v>0</v>
      </c>
      <c r="AD20" s="136" t="n">
        <f aca="false">$AC20*MM_FixedCost!$G19</f>
        <v>0</v>
      </c>
      <c r="AE20" s="136" t="n">
        <f aca="false">SUM($P20:$R20)</f>
        <v>0</v>
      </c>
      <c r="AF20" s="136" t="n">
        <f aca="false">$AE20*MM_FixedCost!$G19</f>
        <v>0</v>
      </c>
      <c r="AG20" s="136" t="n">
        <f aca="false">CHOOSE(VALUE(MID(Controls!$B$6,2,1)),$Z20,$AB20,$AD20,$AF20)</f>
        <v>0</v>
      </c>
    </row>
    <row r="21" customFormat="false" ht="13.5" hidden="false" customHeight="false" outlineLevel="0" collapsed="false">
      <c r="A21" s="67" t="n">
        <f aca="false">MM_FixedCost!A20</f>
        <v>7123</v>
      </c>
      <c r="B21" s="67" t="str">
        <f aca="false">MM_FixedCost!B20</f>
        <v>Staff Training: Exchange Week - Tech</v>
      </c>
      <c r="C21" s="67" t="str">
        <f aca="false">MM_FixedCost!C20</f>
        <v>Professional development and Training</v>
      </c>
      <c r="D21" s="67" t="str">
        <f aca="false">MM_FixedCost!E20</f>
        <v>Discretionary</v>
      </c>
      <c r="E21" s="68" t="n">
        <f aca="false">MM_FixedCost!F20</f>
        <v>472140</v>
      </c>
      <c r="F21" s="68" t="n">
        <f aca="false">$E21/12*Controls!$B$11</f>
        <v>236070</v>
      </c>
      <c r="G21" s="68" t="n">
        <f aca="false">IF(1&gt;Controls!$B$11,"-",SUMIFS(Nominal_Activity!$M$2:$M$3000,Nominal_Activity!$C$2:$C$3000,$A21,Nominal_Activity!$G$2:$G$3000,"&gt;="&amp;DATE(Controls!$B$5,1,1),Nominal_Activity!$G$2:$G$3000,"&lt;="&amp;EOMONTH(DATE(Controls!$B$5,1,1),0),Nominal_Activity!$A$2:$A$3000,Controls!$B$7))</f>
        <v>2220</v>
      </c>
      <c r="H21" s="68" t="n">
        <f aca="false">IF(2&gt;Controls!$B$11,"-",SUMIFS(Nominal_Activity!$M$2:$M$3000,Nominal_Activity!$C$2:$C$3000,$A21,Nominal_Activity!$G$2:$G$3000,"&gt;="&amp;DATE(Controls!$B$5,2,1),Nominal_Activity!$G$2:$G$3000,"&lt;="&amp;EOMONTH(DATE(Controls!$B$5,2,1),0),Nominal_Activity!$A$2:$A$3000,Controls!$B$7))</f>
        <v>0</v>
      </c>
      <c r="I21" s="68" t="n">
        <f aca="false">IF(3&gt;Controls!$B$11,"-",SUMIFS(Nominal_Activity!$M$2:$M$3000,Nominal_Activity!$C$2:$C$3000,$A21,Nominal_Activity!$G$2:$G$3000,"&gt;="&amp;DATE(Controls!$B$5,3,1),Nominal_Activity!$G$2:$G$3000,"&lt;="&amp;EOMONTH(DATE(Controls!$B$5,3,1),0),Nominal_Activity!$A$2:$A$3000,Controls!$B$7))</f>
        <v>0</v>
      </c>
      <c r="J21" s="68" t="n">
        <f aca="false">IF(4&gt;Controls!$B$11,"-",SUMIFS(Nominal_Activity!$M$2:$M$3000,Nominal_Activity!$C$2:$C$3000,$A21,Nominal_Activity!$G$2:$G$3000,"&gt;="&amp;DATE(Controls!$B$5,4,1),Nominal_Activity!$G$2:$G$3000,"&lt;="&amp;EOMONTH(DATE(Controls!$B$5,4,1),0),Nominal_Activity!$A$2:$A$3000,Controls!$B$7))</f>
        <v>28560</v>
      </c>
      <c r="K21" s="68" t="n">
        <f aca="false">IF(5&gt;Controls!$B$11,"-",SUMIFS(Nominal_Activity!$M$2:$M$3000,Nominal_Activity!$C$2:$C$3000,$A21,Nominal_Activity!$G$2:$G$3000,"&gt;="&amp;DATE(Controls!$B$5,5,1),Nominal_Activity!$G$2:$G$3000,"&lt;="&amp;EOMONTH(DATE(Controls!$B$5,5,1),0),Nominal_Activity!$A$2:$A$3000,Controls!$B$7))</f>
        <v>29764</v>
      </c>
      <c r="L21" s="68" t="n">
        <f aca="false">IF(6&gt;Controls!$B$11,"-",SUMIFS(Nominal_Activity!$M$2:$M$3000,Nominal_Activity!$C$2:$C$3000,$A21,Nominal_Activity!$G$2:$G$3000,"&gt;="&amp;DATE(Controls!$B$5,6,1),Nominal_Activity!$G$2:$G$3000,"&lt;="&amp;EOMONTH(DATE(Controls!$B$5,6,1),0),Nominal_Activity!$A$2:$A$3000,Controls!$B$7))</f>
        <v>14822.78</v>
      </c>
      <c r="M21" s="68" t="str">
        <f aca="false">IF(7&gt;Controls!$B$11,"-",SUMIFS(Nominal_Activity!$M$2:$M$3000,Nominal_Activity!$C$2:$C$3000,$A21,Nominal_Activity!$G$2:$G$3000,"&gt;="&amp;DATE(Controls!$B$5,7,1),Nominal_Activity!$G$2:$G$3000,"&lt;="&amp;EOMONTH(DATE(Controls!$B$5,7,1),0),Nominal_Activity!$A$2:$A$3000,Controls!$B$7))</f>
        <v>-</v>
      </c>
      <c r="N21" s="68" t="str">
        <f aca="false">IF(8&gt;Controls!$B$11,"-",SUMIFS(Nominal_Activity!$M$2:$M$3000,Nominal_Activity!$C$2:$C$3000,$A21,Nominal_Activity!$G$2:$G$3000,"&gt;="&amp;DATE(Controls!$B$5,8,1),Nominal_Activity!$G$2:$G$3000,"&lt;="&amp;EOMONTH(DATE(Controls!$B$5,8,1),0),Nominal_Activity!$A$2:$A$3000,Controls!$B$7))</f>
        <v>-</v>
      </c>
      <c r="O21" s="68" t="str">
        <f aca="false">IF(9&gt;Controls!$B$11,"-",SUMIFS(Nominal_Activity!$M$2:$M$3000,Nominal_Activity!$C$2:$C$3000,$A21,Nominal_Activity!$G$2:$G$3000,"&gt;="&amp;DATE(Controls!$B$5,9,1),Nominal_Activity!$G$2:$G$3000,"&lt;="&amp;EOMONTH(DATE(Controls!$B$5,9,1),0),Nominal_Activity!$A$2:$A$3000,Controls!$B$7))</f>
        <v>-</v>
      </c>
      <c r="P21" s="68" t="str">
        <f aca="false">IF(10&gt;Controls!$B$11,"-",SUMIFS(Nominal_Activity!$M$2:$M$3000,Nominal_Activity!$C$2:$C$3000,$A21,Nominal_Activity!$G$2:$G$3000,"&gt;="&amp;DATE(Controls!$B$5,10,1),Nominal_Activity!$G$2:$G$3000,"&lt;="&amp;EOMONTH(DATE(Controls!$B$5,10,1),0),Nominal_Activity!$A$2:$A$3000,Controls!$B$7))</f>
        <v>-</v>
      </c>
      <c r="Q21" s="68" t="str">
        <f aca="false">IF(11&gt;Controls!$B$11,"-",SUMIFS(Nominal_Activity!$M$2:$M$3000,Nominal_Activity!$C$2:$C$3000,$A21,Nominal_Activity!$G$2:$G$3000,"&gt;="&amp;DATE(Controls!$B$5,11,1),Nominal_Activity!$G$2:$G$3000,"&lt;="&amp;EOMONTH(DATE(Controls!$B$5,11,1),0),Nominal_Activity!$A$2:$A$3000,Controls!$B$7))</f>
        <v>-</v>
      </c>
      <c r="R21" s="68" t="str">
        <f aca="false">IF(12&gt;Controls!$B$11,"-",SUMIFS(Nominal_Activity!$M$2:$M$3000,Nominal_Activity!$C$2:$C$3000,$A21,Nominal_Activity!$G$2:$G$3000,"&gt;="&amp;DATE(Controls!$B$5,12,1),Nominal_Activity!$G$2:$G$3000,"&lt;="&amp;EOMONTH(DATE(Controls!$B$5,12,1),0),Nominal_Activity!$A$2:$A$3000,Controls!$B$7))</f>
        <v>-</v>
      </c>
      <c r="S21" s="68" t="n">
        <f aca="false">SUM(G21:R21)</f>
        <v>75366.78</v>
      </c>
      <c r="T21" s="68" t="n">
        <f aca="false">$F21-$S21</f>
        <v>160703.22</v>
      </c>
      <c r="U21" s="77" t="n">
        <f aca="false">IFERROR($T21/$F21,0)</f>
        <v>0.680743931884611</v>
      </c>
      <c r="V21" s="68" t="n">
        <f aca="false">$S21*MM_FixedCost!G20</f>
        <v>0</v>
      </c>
      <c r="W21" s="68" t="n">
        <f aca="false">$S21-$V21</f>
        <v>75366.78</v>
      </c>
      <c r="X21" s="135"/>
      <c r="Y21" s="136" t="n">
        <f aca="false">SUM($G21:$I21)</f>
        <v>2220</v>
      </c>
      <c r="Z21" s="136" t="n">
        <f aca="false">$Y21*MM_FixedCost!$G20</f>
        <v>0</v>
      </c>
      <c r="AA21" s="136" t="n">
        <f aca="false">SUM($J21:$L21)</f>
        <v>73146.78</v>
      </c>
      <c r="AB21" s="136" t="n">
        <f aca="false">$AA21*MM_FixedCost!$G20</f>
        <v>0</v>
      </c>
      <c r="AC21" s="136" t="n">
        <f aca="false">SUM($M21:$O21)</f>
        <v>0</v>
      </c>
      <c r="AD21" s="136" t="n">
        <f aca="false">$AC21*MM_FixedCost!$G20</f>
        <v>0</v>
      </c>
      <c r="AE21" s="136" t="n">
        <f aca="false">SUM($P21:$R21)</f>
        <v>0</v>
      </c>
      <c r="AF21" s="136" t="n">
        <f aca="false">$AE21*MM_FixedCost!$G20</f>
        <v>0</v>
      </c>
      <c r="AG21" s="136" t="n">
        <f aca="false">CHOOSE(VALUE(MID(Controls!$B$6,2,1)),$Z21,$AB21,$AD21,$AF21)</f>
        <v>0</v>
      </c>
    </row>
    <row r="22" customFormat="false" ht="13.5" hidden="false" customHeight="false" outlineLevel="0" collapsed="false">
      <c r="A22" s="67" t="n">
        <f aca="false">MM_FixedCost!A21</f>
        <v>7124</v>
      </c>
      <c r="B22" s="67" t="str">
        <f aca="false">MM_FixedCost!B21</f>
        <v>Staff Training: Exchange Week - Support</v>
      </c>
      <c r="C22" s="67" t="str">
        <f aca="false">MM_FixedCost!C21</f>
        <v>Professional development and Training</v>
      </c>
      <c r="D22" s="67" t="str">
        <f aca="false">MM_FixedCost!E21</f>
        <v>Discretionary</v>
      </c>
      <c r="E22" s="68" t="n">
        <f aca="false">MM_FixedCost!F21</f>
        <v>169900</v>
      </c>
      <c r="F22" s="68" t="n">
        <f aca="false">$E22/12*Controls!$B$11</f>
        <v>84950</v>
      </c>
      <c r="G22" s="68" t="n">
        <f aca="false">IF(1&gt;Controls!$B$11,"-",SUMIFS(Nominal_Activity!$M$2:$M$3000,Nominal_Activity!$C$2:$C$3000,$A22,Nominal_Activity!$G$2:$G$3000,"&gt;="&amp;DATE(Controls!$B$5,1,1),Nominal_Activity!$G$2:$G$3000,"&lt;="&amp;EOMONTH(DATE(Controls!$B$5,1,1),0),Nominal_Activity!$A$2:$A$3000,Controls!$B$7))</f>
        <v>0</v>
      </c>
      <c r="H22" s="68" t="n">
        <f aca="false">IF(2&gt;Controls!$B$11,"-",SUMIFS(Nominal_Activity!$M$2:$M$3000,Nominal_Activity!$C$2:$C$3000,$A22,Nominal_Activity!$G$2:$G$3000,"&gt;="&amp;DATE(Controls!$B$5,2,1),Nominal_Activity!$G$2:$G$3000,"&lt;="&amp;EOMONTH(DATE(Controls!$B$5,2,1),0),Nominal_Activity!$A$2:$A$3000,Controls!$B$7))</f>
        <v>9600</v>
      </c>
      <c r="I22" s="68" t="n">
        <f aca="false">IF(3&gt;Controls!$B$11,"-",SUMIFS(Nominal_Activity!$M$2:$M$3000,Nominal_Activity!$C$2:$C$3000,$A22,Nominal_Activity!$G$2:$G$3000,"&gt;="&amp;DATE(Controls!$B$5,3,1),Nominal_Activity!$G$2:$G$3000,"&lt;="&amp;EOMONTH(DATE(Controls!$B$5,3,1),0),Nominal_Activity!$A$2:$A$3000,Controls!$B$7))</f>
        <v>0</v>
      </c>
      <c r="J22" s="68" t="n">
        <f aca="false">IF(4&gt;Controls!$B$11,"-",SUMIFS(Nominal_Activity!$M$2:$M$3000,Nominal_Activity!$C$2:$C$3000,$A22,Nominal_Activity!$G$2:$G$3000,"&gt;="&amp;DATE(Controls!$B$5,4,1),Nominal_Activity!$G$2:$G$3000,"&lt;="&amp;EOMONTH(DATE(Controls!$B$5,4,1),0),Nominal_Activity!$A$2:$A$3000,Controls!$B$7))</f>
        <v>0</v>
      </c>
      <c r="K22" s="68" t="n">
        <f aca="false">IF(5&gt;Controls!$B$11,"-",SUMIFS(Nominal_Activity!$M$2:$M$3000,Nominal_Activity!$C$2:$C$3000,$A22,Nominal_Activity!$G$2:$G$3000,"&gt;="&amp;DATE(Controls!$B$5,5,1),Nominal_Activity!$G$2:$G$3000,"&lt;="&amp;EOMONTH(DATE(Controls!$B$5,5,1),0),Nominal_Activity!$A$2:$A$3000,Controls!$B$7))</f>
        <v>0</v>
      </c>
      <c r="L22" s="68" t="n">
        <f aca="false">IF(6&gt;Controls!$B$11,"-",SUMIFS(Nominal_Activity!$M$2:$M$3000,Nominal_Activity!$C$2:$C$3000,$A22,Nominal_Activity!$G$2:$G$3000,"&gt;="&amp;DATE(Controls!$B$5,6,1),Nominal_Activity!$G$2:$G$3000,"&lt;="&amp;EOMONTH(DATE(Controls!$B$5,6,1),0),Nominal_Activity!$A$2:$A$3000,Controls!$B$7))</f>
        <v>0</v>
      </c>
      <c r="M22" s="68" t="str">
        <f aca="false">IF(7&gt;Controls!$B$11,"-",SUMIFS(Nominal_Activity!$M$2:$M$3000,Nominal_Activity!$C$2:$C$3000,$A22,Nominal_Activity!$G$2:$G$3000,"&gt;="&amp;DATE(Controls!$B$5,7,1),Nominal_Activity!$G$2:$G$3000,"&lt;="&amp;EOMONTH(DATE(Controls!$B$5,7,1),0),Nominal_Activity!$A$2:$A$3000,Controls!$B$7))</f>
        <v>-</v>
      </c>
      <c r="N22" s="68" t="str">
        <f aca="false">IF(8&gt;Controls!$B$11,"-",SUMIFS(Nominal_Activity!$M$2:$M$3000,Nominal_Activity!$C$2:$C$3000,$A22,Nominal_Activity!$G$2:$G$3000,"&gt;="&amp;DATE(Controls!$B$5,8,1),Nominal_Activity!$G$2:$G$3000,"&lt;="&amp;EOMONTH(DATE(Controls!$B$5,8,1),0),Nominal_Activity!$A$2:$A$3000,Controls!$B$7))</f>
        <v>-</v>
      </c>
      <c r="O22" s="68" t="str">
        <f aca="false">IF(9&gt;Controls!$B$11,"-",SUMIFS(Nominal_Activity!$M$2:$M$3000,Nominal_Activity!$C$2:$C$3000,$A22,Nominal_Activity!$G$2:$G$3000,"&gt;="&amp;DATE(Controls!$B$5,9,1),Nominal_Activity!$G$2:$G$3000,"&lt;="&amp;EOMONTH(DATE(Controls!$B$5,9,1),0),Nominal_Activity!$A$2:$A$3000,Controls!$B$7))</f>
        <v>-</v>
      </c>
      <c r="P22" s="68" t="str">
        <f aca="false">IF(10&gt;Controls!$B$11,"-",SUMIFS(Nominal_Activity!$M$2:$M$3000,Nominal_Activity!$C$2:$C$3000,$A22,Nominal_Activity!$G$2:$G$3000,"&gt;="&amp;DATE(Controls!$B$5,10,1),Nominal_Activity!$G$2:$G$3000,"&lt;="&amp;EOMONTH(DATE(Controls!$B$5,10,1),0),Nominal_Activity!$A$2:$A$3000,Controls!$B$7))</f>
        <v>-</v>
      </c>
      <c r="Q22" s="68" t="str">
        <f aca="false">IF(11&gt;Controls!$B$11,"-",SUMIFS(Nominal_Activity!$M$2:$M$3000,Nominal_Activity!$C$2:$C$3000,$A22,Nominal_Activity!$G$2:$G$3000,"&gt;="&amp;DATE(Controls!$B$5,11,1),Nominal_Activity!$G$2:$G$3000,"&lt;="&amp;EOMONTH(DATE(Controls!$B$5,11,1),0),Nominal_Activity!$A$2:$A$3000,Controls!$B$7))</f>
        <v>-</v>
      </c>
      <c r="R22" s="68" t="str">
        <f aca="false">IF(12&gt;Controls!$B$11,"-",SUMIFS(Nominal_Activity!$M$2:$M$3000,Nominal_Activity!$C$2:$C$3000,$A22,Nominal_Activity!$G$2:$G$3000,"&gt;="&amp;DATE(Controls!$B$5,12,1),Nominal_Activity!$G$2:$G$3000,"&lt;="&amp;EOMONTH(DATE(Controls!$B$5,12,1),0),Nominal_Activity!$A$2:$A$3000,Controls!$B$7))</f>
        <v>-</v>
      </c>
      <c r="S22" s="68" t="n">
        <f aca="false">SUM(G22:R22)</f>
        <v>9600</v>
      </c>
      <c r="T22" s="68" t="n">
        <f aca="false">$F22-$S22</f>
        <v>75350</v>
      </c>
      <c r="U22" s="77" t="n">
        <f aca="false">IFERROR($T22/$F22,0)</f>
        <v>0.886992348440259</v>
      </c>
      <c r="V22" s="68" t="n">
        <f aca="false">$S22*MM_FixedCost!G21</f>
        <v>0</v>
      </c>
      <c r="W22" s="68" t="n">
        <f aca="false">$S22-$V22</f>
        <v>9600</v>
      </c>
      <c r="X22" s="135"/>
      <c r="Y22" s="136" t="n">
        <f aca="false">SUM($G22:$I22)</f>
        <v>9600</v>
      </c>
      <c r="Z22" s="136" t="n">
        <f aca="false">$Y22*MM_FixedCost!$G21</f>
        <v>0</v>
      </c>
      <c r="AA22" s="136" t="n">
        <f aca="false">SUM($J22:$L22)</f>
        <v>0</v>
      </c>
      <c r="AB22" s="136" t="n">
        <f aca="false">$AA22*MM_FixedCost!$G21</f>
        <v>0</v>
      </c>
      <c r="AC22" s="136" t="n">
        <f aca="false">SUM($M22:$O22)</f>
        <v>0</v>
      </c>
      <c r="AD22" s="136" t="n">
        <f aca="false">$AC22*MM_FixedCost!$G21</f>
        <v>0</v>
      </c>
      <c r="AE22" s="136" t="n">
        <f aca="false">SUM($P22:$R22)</f>
        <v>0</v>
      </c>
      <c r="AF22" s="136" t="n">
        <f aca="false">$AE22*MM_FixedCost!$G21</f>
        <v>0</v>
      </c>
      <c r="AG22" s="136" t="n">
        <f aca="false">CHOOSE(VALUE(MID(Controls!$B$6,2,1)),$Z22,$AB22,$AD22,$AF22)</f>
        <v>0</v>
      </c>
    </row>
    <row r="23" customFormat="false" ht="13.5" hidden="false" customHeight="false" outlineLevel="0" collapsed="false">
      <c r="A23" s="67" t="n">
        <f aca="false">MM_FixedCost!A22</f>
        <v>7125</v>
      </c>
      <c r="B23" s="67" t="str">
        <f aca="false">MM_FixedCost!B22</f>
        <v>Staff Training: Attending conferences and RT's</v>
      </c>
      <c r="C23" s="67" t="str">
        <f aca="false">MM_FixedCost!C22</f>
        <v>Professional development and Training</v>
      </c>
      <c r="D23" s="67" t="str">
        <f aca="false">MM_FixedCost!E22</f>
        <v>Discretionary</v>
      </c>
      <c r="E23" s="68" t="n">
        <f aca="false">MM_FixedCost!F22</f>
        <v>262560</v>
      </c>
      <c r="F23" s="68" t="n">
        <f aca="false">$E23/12*Controls!$B$11</f>
        <v>131280</v>
      </c>
      <c r="G23" s="68" t="n">
        <f aca="false">IF(1&gt;Controls!$B$11,"-",SUMIFS(Nominal_Activity!$M$2:$M$3000,Nominal_Activity!$C$2:$C$3000,$A23,Nominal_Activity!$G$2:$G$3000,"&gt;="&amp;DATE(Controls!$B$5,1,1),Nominal_Activity!$G$2:$G$3000,"&lt;="&amp;EOMONTH(DATE(Controls!$B$5,1,1),0),Nominal_Activity!$A$2:$A$3000,Controls!$B$7))</f>
        <v>0</v>
      </c>
      <c r="H23" s="68" t="n">
        <f aca="false">IF(2&gt;Controls!$B$11,"-",SUMIFS(Nominal_Activity!$M$2:$M$3000,Nominal_Activity!$C$2:$C$3000,$A23,Nominal_Activity!$G$2:$G$3000,"&gt;="&amp;DATE(Controls!$B$5,2,1),Nominal_Activity!$G$2:$G$3000,"&lt;="&amp;EOMONTH(DATE(Controls!$B$5,2,1),0),Nominal_Activity!$A$2:$A$3000,Controls!$B$7))</f>
        <v>0</v>
      </c>
      <c r="I23" s="68" t="n">
        <f aca="false">IF(3&gt;Controls!$B$11,"-",SUMIFS(Nominal_Activity!$M$2:$M$3000,Nominal_Activity!$C$2:$C$3000,$A23,Nominal_Activity!$G$2:$G$3000,"&gt;="&amp;DATE(Controls!$B$5,3,1),Nominal_Activity!$G$2:$G$3000,"&lt;="&amp;EOMONTH(DATE(Controls!$B$5,3,1),0),Nominal_Activity!$A$2:$A$3000,Controls!$B$7))</f>
        <v>0</v>
      </c>
      <c r="J23" s="68" t="n">
        <f aca="false">IF(4&gt;Controls!$B$11,"-",SUMIFS(Nominal_Activity!$M$2:$M$3000,Nominal_Activity!$C$2:$C$3000,$A23,Nominal_Activity!$G$2:$G$3000,"&gt;="&amp;DATE(Controls!$B$5,4,1),Nominal_Activity!$G$2:$G$3000,"&lt;="&amp;EOMONTH(DATE(Controls!$B$5,4,1),0),Nominal_Activity!$A$2:$A$3000,Controls!$B$7))</f>
        <v>0</v>
      </c>
      <c r="K23" s="68" t="n">
        <f aca="false">IF(5&gt;Controls!$B$11,"-",SUMIFS(Nominal_Activity!$M$2:$M$3000,Nominal_Activity!$C$2:$C$3000,$A23,Nominal_Activity!$G$2:$G$3000,"&gt;="&amp;DATE(Controls!$B$5,5,1),Nominal_Activity!$G$2:$G$3000,"&lt;="&amp;EOMONTH(DATE(Controls!$B$5,5,1),0),Nominal_Activity!$A$2:$A$3000,Controls!$B$7))</f>
        <v>0</v>
      </c>
      <c r="L23" s="68" t="n">
        <f aca="false">IF(6&gt;Controls!$B$11,"-",SUMIFS(Nominal_Activity!$M$2:$M$3000,Nominal_Activity!$C$2:$C$3000,$A23,Nominal_Activity!$G$2:$G$3000,"&gt;="&amp;DATE(Controls!$B$5,6,1),Nominal_Activity!$G$2:$G$3000,"&lt;="&amp;EOMONTH(DATE(Controls!$B$5,6,1),0),Nominal_Activity!$A$2:$A$3000,Controls!$B$7))</f>
        <v>0</v>
      </c>
      <c r="M23" s="68" t="str">
        <f aca="false">IF(7&gt;Controls!$B$11,"-",SUMIFS(Nominal_Activity!$M$2:$M$3000,Nominal_Activity!$C$2:$C$3000,$A23,Nominal_Activity!$G$2:$G$3000,"&gt;="&amp;DATE(Controls!$B$5,7,1),Nominal_Activity!$G$2:$G$3000,"&lt;="&amp;EOMONTH(DATE(Controls!$B$5,7,1),0),Nominal_Activity!$A$2:$A$3000,Controls!$B$7))</f>
        <v>-</v>
      </c>
      <c r="N23" s="68" t="str">
        <f aca="false">IF(8&gt;Controls!$B$11,"-",SUMIFS(Nominal_Activity!$M$2:$M$3000,Nominal_Activity!$C$2:$C$3000,$A23,Nominal_Activity!$G$2:$G$3000,"&gt;="&amp;DATE(Controls!$B$5,8,1),Nominal_Activity!$G$2:$G$3000,"&lt;="&amp;EOMONTH(DATE(Controls!$B$5,8,1),0),Nominal_Activity!$A$2:$A$3000,Controls!$B$7))</f>
        <v>-</v>
      </c>
      <c r="O23" s="68" t="str">
        <f aca="false">IF(9&gt;Controls!$B$11,"-",SUMIFS(Nominal_Activity!$M$2:$M$3000,Nominal_Activity!$C$2:$C$3000,$A23,Nominal_Activity!$G$2:$G$3000,"&gt;="&amp;DATE(Controls!$B$5,9,1),Nominal_Activity!$G$2:$G$3000,"&lt;="&amp;EOMONTH(DATE(Controls!$B$5,9,1),0),Nominal_Activity!$A$2:$A$3000,Controls!$B$7))</f>
        <v>-</v>
      </c>
      <c r="P23" s="68" t="str">
        <f aca="false">IF(10&gt;Controls!$B$11,"-",SUMIFS(Nominal_Activity!$M$2:$M$3000,Nominal_Activity!$C$2:$C$3000,$A23,Nominal_Activity!$G$2:$G$3000,"&gt;="&amp;DATE(Controls!$B$5,10,1),Nominal_Activity!$G$2:$G$3000,"&lt;="&amp;EOMONTH(DATE(Controls!$B$5,10,1),0),Nominal_Activity!$A$2:$A$3000,Controls!$B$7))</f>
        <v>-</v>
      </c>
      <c r="Q23" s="68" t="str">
        <f aca="false">IF(11&gt;Controls!$B$11,"-",SUMIFS(Nominal_Activity!$M$2:$M$3000,Nominal_Activity!$C$2:$C$3000,$A23,Nominal_Activity!$G$2:$G$3000,"&gt;="&amp;DATE(Controls!$B$5,11,1),Nominal_Activity!$G$2:$G$3000,"&lt;="&amp;EOMONTH(DATE(Controls!$B$5,11,1),0),Nominal_Activity!$A$2:$A$3000,Controls!$B$7))</f>
        <v>-</v>
      </c>
      <c r="R23" s="68" t="str">
        <f aca="false">IF(12&gt;Controls!$B$11,"-",SUMIFS(Nominal_Activity!$M$2:$M$3000,Nominal_Activity!$C$2:$C$3000,$A23,Nominal_Activity!$G$2:$G$3000,"&gt;="&amp;DATE(Controls!$B$5,12,1),Nominal_Activity!$G$2:$G$3000,"&lt;="&amp;EOMONTH(DATE(Controls!$B$5,12,1),0),Nominal_Activity!$A$2:$A$3000,Controls!$B$7))</f>
        <v>-</v>
      </c>
      <c r="S23" s="68" t="n">
        <f aca="false">SUM(G23:R23)</f>
        <v>0</v>
      </c>
      <c r="T23" s="68" t="n">
        <f aca="false">$F23-$S23</f>
        <v>131280</v>
      </c>
      <c r="U23" s="77" t="n">
        <f aca="false">IFERROR($T23/$F23,0)</f>
        <v>1</v>
      </c>
      <c r="V23" s="68" t="n">
        <f aca="false">$S23*MM_FixedCost!G22</f>
        <v>0</v>
      </c>
      <c r="W23" s="68" t="n">
        <f aca="false">$S23-$V23</f>
        <v>0</v>
      </c>
      <c r="X23" s="135"/>
      <c r="Y23" s="136" t="n">
        <f aca="false">SUM($G23:$I23)</f>
        <v>0</v>
      </c>
      <c r="Z23" s="136" t="n">
        <f aca="false">$Y23*MM_FixedCost!$G22</f>
        <v>0</v>
      </c>
      <c r="AA23" s="136" t="n">
        <f aca="false">SUM($J23:$L23)</f>
        <v>0</v>
      </c>
      <c r="AB23" s="136" t="n">
        <f aca="false">$AA23*MM_FixedCost!$G22</f>
        <v>0</v>
      </c>
      <c r="AC23" s="136" t="n">
        <f aca="false">SUM($M23:$O23)</f>
        <v>0</v>
      </c>
      <c r="AD23" s="136" t="n">
        <f aca="false">$AC23*MM_FixedCost!$G22</f>
        <v>0</v>
      </c>
      <c r="AE23" s="136" t="n">
        <f aca="false">SUM($P23:$R23)</f>
        <v>0</v>
      </c>
      <c r="AF23" s="136" t="n">
        <f aca="false">$AE23*MM_FixedCost!$G22</f>
        <v>0</v>
      </c>
      <c r="AG23" s="136" t="n">
        <f aca="false">CHOOSE(VALUE(MID(Controls!$B$6,2,1)),$Z23,$AB23,$AD23,$AF23)</f>
        <v>0</v>
      </c>
    </row>
    <row r="24" customFormat="false" ht="13.5" hidden="false" customHeight="false" outlineLevel="0" collapsed="false">
      <c r="A24" s="67" t="n">
        <f aca="false">MM_FixedCost!A23</f>
        <v>7130</v>
      </c>
      <c r="B24" s="67" t="str">
        <f aca="false">MM_FixedCost!B23</f>
        <v>Staff miscellaneous travel support</v>
      </c>
      <c r="C24" s="67" t="str">
        <f aca="false">MM_FixedCost!C23</f>
        <v>Professional development and Training</v>
      </c>
      <c r="D24" s="67" t="str">
        <f aca="false">MM_FixedCost!E23</f>
        <v>Discretionary</v>
      </c>
      <c r="E24" s="68" t="n">
        <f aca="false">MM_FixedCost!F23</f>
        <v>5000</v>
      </c>
      <c r="F24" s="68" t="n">
        <f aca="false">$E24/12*Controls!$B$11</f>
        <v>2500</v>
      </c>
      <c r="G24" s="68" t="n">
        <f aca="false">IF(1&gt;Controls!$B$11,"-",SUMIFS(Nominal_Activity!$M$2:$M$3000,Nominal_Activity!$C$2:$C$3000,$A24,Nominal_Activity!$G$2:$G$3000,"&gt;="&amp;DATE(Controls!$B$5,1,1),Nominal_Activity!$G$2:$G$3000,"&lt;="&amp;EOMONTH(DATE(Controls!$B$5,1,1),0),Nominal_Activity!$A$2:$A$3000,Controls!$B$7))</f>
        <v>0</v>
      </c>
      <c r="H24" s="68" t="n">
        <f aca="false">IF(2&gt;Controls!$B$11,"-",SUMIFS(Nominal_Activity!$M$2:$M$3000,Nominal_Activity!$C$2:$C$3000,$A24,Nominal_Activity!$G$2:$G$3000,"&gt;="&amp;DATE(Controls!$B$5,2,1),Nominal_Activity!$G$2:$G$3000,"&lt;="&amp;EOMONTH(DATE(Controls!$B$5,2,1),0),Nominal_Activity!$A$2:$A$3000,Controls!$B$7))</f>
        <v>0</v>
      </c>
      <c r="I24" s="68" t="n">
        <f aca="false">IF(3&gt;Controls!$B$11,"-",SUMIFS(Nominal_Activity!$M$2:$M$3000,Nominal_Activity!$C$2:$C$3000,$A24,Nominal_Activity!$G$2:$G$3000,"&gt;="&amp;DATE(Controls!$B$5,3,1),Nominal_Activity!$G$2:$G$3000,"&lt;="&amp;EOMONTH(DATE(Controls!$B$5,3,1),0),Nominal_Activity!$A$2:$A$3000,Controls!$B$7))</f>
        <v>0</v>
      </c>
      <c r="J24" s="68" t="n">
        <f aca="false">IF(4&gt;Controls!$B$11,"-",SUMIFS(Nominal_Activity!$M$2:$M$3000,Nominal_Activity!$C$2:$C$3000,$A24,Nominal_Activity!$G$2:$G$3000,"&gt;="&amp;DATE(Controls!$B$5,4,1),Nominal_Activity!$G$2:$G$3000,"&lt;="&amp;EOMONTH(DATE(Controls!$B$5,4,1),0),Nominal_Activity!$A$2:$A$3000,Controls!$B$7))</f>
        <v>0</v>
      </c>
      <c r="K24" s="68" t="n">
        <f aca="false">IF(5&gt;Controls!$B$11,"-",SUMIFS(Nominal_Activity!$M$2:$M$3000,Nominal_Activity!$C$2:$C$3000,$A24,Nominal_Activity!$G$2:$G$3000,"&gt;="&amp;DATE(Controls!$B$5,5,1),Nominal_Activity!$G$2:$G$3000,"&lt;="&amp;EOMONTH(DATE(Controls!$B$5,5,1),0),Nominal_Activity!$A$2:$A$3000,Controls!$B$7))</f>
        <v>0</v>
      </c>
      <c r="L24" s="68" t="n">
        <f aca="false">IF(6&gt;Controls!$B$11,"-",SUMIFS(Nominal_Activity!$M$2:$M$3000,Nominal_Activity!$C$2:$C$3000,$A24,Nominal_Activity!$G$2:$G$3000,"&gt;="&amp;DATE(Controls!$B$5,6,1),Nominal_Activity!$G$2:$G$3000,"&lt;="&amp;EOMONTH(DATE(Controls!$B$5,6,1),0),Nominal_Activity!$A$2:$A$3000,Controls!$B$7))</f>
        <v>0</v>
      </c>
      <c r="M24" s="68" t="str">
        <f aca="false">IF(7&gt;Controls!$B$11,"-",SUMIFS(Nominal_Activity!$M$2:$M$3000,Nominal_Activity!$C$2:$C$3000,$A24,Nominal_Activity!$G$2:$G$3000,"&gt;="&amp;DATE(Controls!$B$5,7,1),Nominal_Activity!$G$2:$G$3000,"&lt;="&amp;EOMONTH(DATE(Controls!$B$5,7,1),0),Nominal_Activity!$A$2:$A$3000,Controls!$B$7))</f>
        <v>-</v>
      </c>
      <c r="N24" s="68" t="str">
        <f aca="false">IF(8&gt;Controls!$B$11,"-",SUMIFS(Nominal_Activity!$M$2:$M$3000,Nominal_Activity!$C$2:$C$3000,$A24,Nominal_Activity!$G$2:$G$3000,"&gt;="&amp;DATE(Controls!$B$5,8,1),Nominal_Activity!$G$2:$G$3000,"&lt;="&amp;EOMONTH(DATE(Controls!$B$5,8,1),0),Nominal_Activity!$A$2:$A$3000,Controls!$B$7))</f>
        <v>-</v>
      </c>
      <c r="O24" s="68" t="str">
        <f aca="false">IF(9&gt;Controls!$B$11,"-",SUMIFS(Nominal_Activity!$M$2:$M$3000,Nominal_Activity!$C$2:$C$3000,$A24,Nominal_Activity!$G$2:$G$3000,"&gt;="&amp;DATE(Controls!$B$5,9,1),Nominal_Activity!$G$2:$G$3000,"&lt;="&amp;EOMONTH(DATE(Controls!$B$5,9,1),0),Nominal_Activity!$A$2:$A$3000,Controls!$B$7))</f>
        <v>-</v>
      </c>
      <c r="P24" s="68" t="str">
        <f aca="false">IF(10&gt;Controls!$B$11,"-",SUMIFS(Nominal_Activity!$M$2:$M$3000,Nominal_Activity!$C$2:$C$3000,$A24,Nominal_Activity!$G$2:$G$3000,"&gt;="&amp;DATE(Controls!$B$5,10,1),Nominal_Activity!$G$2:$G$3000,"&lt;="&amp;EOMONTH(DATE(Controls!$B$5,10,1),0),Nominal_Activity!$A$2:$A$3000,Controls!$B$7))</f>
        <v>-</v>
      </c>
      <c r="Q24" s="68" t="str">
        <f aca="false">IF(11&gt;Controls!$B$11,"-",SUMIFS(Nominal_Activity!$M$2:$M$3000,Nominal_Activity!$C$2:$C$3000,$A24,Nominal_Activity!$G$2:$G$3000,"&gt;="&amp;DATE(Controls!$B$5,11,1),Nominal_Activity!$G$2:$G$3000,"&lt;="&amp;EOMONTH(DATE(Controls!$B$5,11,1),0),Nominal_Activity!$A$2:$A$3000,Controls!$B$7))</f>
        <v>-</v>
      </c>
      <c r="R24" s="68" t="str">
        <f aca="false">IF(12&gt;Controls!$B$11,"-",SUMIFS(Nominal_Activity!$M$2:$M$3000,Nominal_Activity!$C$2:$C$3000,$A24,Nominal_Activity!$G$2:$G$3000,"&gt;="&amp;DATE(Controls!$B$5,12,1),Nominal_Activity!$G$2:$G$3000,"&lt;="&amp;EOMONTH(DATE(Controls!$B$5,12,1),0),Nominal_Activity!$A$2:$A$3000,Controls!$B$7))</f>
        <v>-</v>
      </c>
      <c r="S24" s="68" t="n">
        <f aca="false">SUM(G24:R24)</f>
        <v>0</v>
      </c>
      <c r="T24" s="68" t="n">
        <f aca="false">$F24-$S24</f>
        <v>2500</v>
      </c>
      <c r="U24" s="77" t="n">
        <f aca="false">IFERROR($T24/$F24,0)</f>
        <v>1</v>
      </c>
      <c r="V24" s="68" t="n">
        <f aca="false">$S24*MM_FixedCost!G23</f>
        <v>0</v>
      </c>
      <c r="W24" s="68" t="n">
        <f aca="false">$S24-$V24</f>
        <v>0</v>
      </c>
      <c r="X24" s="135"/>
      <c r="Y24" s="136" t="n">
        <f aca="false">SUM($G24:$I24)</f>
        <v>0</v>
      </c>
      <c r="Z24" s="136" t="n">
        <f aca="false">$Y24*MM_FixedCost!$G23</f>
        <v>0</v>
      </c>
      <c r="AA24" s="136" t="n">
        <f aca="false">SUM($J24:$L24)</f>
        <v>0</v>
      </c>
      <c r="AB24" s="136" t="n">
        <f aca="false">$AA24*MM_FixedCost!$G23</f>
        <v>0</v>
      </c>
      <c r="AC24" s="136" t="n">
        <f aca="false">SUM($M24:$O24)</f>
        <v>0</v>
      </c>
      <c r="AD24" s="136" t="n">
        <f aca="false">$AC24*MM_FixedCost!$G23</f>
        <v>0</v>
      </c>
      <c r="AE24" s="136" t="n">
        <f aca="false">SUM($P24:$R24)</f>
        <v>0</v>
      </c>
      <c r="AF24" s="136" t="n">
        <f aca="false">$AE24*MM_FixedCost!$G23</f>
        <v>0</v>
      </c>
      <c r="AG24" s="136" t="n">
        <f aca="false">CHOOSE(VALUE(MID(Controls!$B$6,2,1)),$Z24,$AB24,$AD24,$AF24)</f>
        <v>0</v>
      </c>
    </row>
    <row r="25" customFormat="false" ht="13.5" hidden="false" customHeight="false" outlineLevel="0" collapsed="false">
      <c r="A25" s="67" t="n">
        <f aca="false">MM_FixedCost!A24</f>
        <v>7135</v>
      </c>
      <c r="B25" s="67" t="str">
        <f aca="false">MM_FixedCost!B24</f>
        <v>Staff Training: Group Discretionary Fund</v>
      </c>
      <c r="C25" s="67" t="str">
        <f aca="false">MM_FixedCost!C24</f>
        <v>Professional development and Training</v>
      </c>
      <c r="D25" s="67" t="str">
        <f aca="false">MM_FixedCost!E24</f>
        <v>Discretionary</v>
      </c>
      <c r="E25" s="68" t="n">
        <f aca="false">MM_FixedCost!F24</f>
        <v>0</v>
      </c>
      <c r="F25" s="68" t="n">
        <f aca="false">$E25/12*Controls!$B$11</f>
        <v>0</v>
      </c>
      <c r="G25" s="68" t="n">
        <f aca="false">IF(1&gt;Controls!$B$11,"-",SUMIFS(Nominal_Activity!$M$2:$M$3000,Nominal_Activity!$C$2:$C$3000,$A25,Nominal_Activity!$G$2:$G$3000,"&gt;="&amp;DATE(Controls!$B$5,1,1),Nominal_Activity!$G$2:$G$3000,"&lt;="&amp;EOMONTH(DATE(Controls!$B$5,1,1),0),Nominal_Activity!$A$2:$A$3000,Controls!$B$7))</f>
        <v>0</v>
      </c>
      <c r="H25" s="68" t="n">
        <f aca="false">IF(2&gt;Controls!$B$11,"-",SUMIFS(Nominal_Activity!$M$2:$M$3000,Nominal_Activity!$C$2:$C$3000,$A25,Nominal_Activity!$G$2:$G$3000,"&gt;="&amp;DATE(Controls!$B$5,2,1),Nominal_Activity!$G$2:$G$3000,"&lt;="&amp;EOMONTH(DATE(Controls!$B$5,2,1),0),Nominal_Activity!$A$2:$A$3000,Controls!$B$7))</f>
        <v>0</v>
      </c>
      <c r="I25" s="68" t="n">
        <f aca="false">IF(3&gt;Controls!$B$11,"-",SUMIFS(Nominal_Activity!$M$2:$M$3000,Nominal_Activity!$C$2:$C$3000,$A25,Nominal_Activity!$G$2:$G$3000,"&gt;="&amp;DATE(Controls!$B$5,3,1),Nominal_Activity!$G$2:$G$3000,"&lt;="&amp;EOMONTH(DATE(Controls!$B$5,3,1),0),Nominal_Activity!$A$2:$A$3000,Controls!$B$7))</f>
        <v>0</v>
      </c>
      <c r="J25" s="68" t="n">
        <f aca="false">IF(4&gt;Controls!$B$11,"-",SUMIFS(Nominal_Activity!$M$2:$M$3000,Nominal_Activity!$C$2:$C$3000,$A25,Nominal_Activity!$G$2:$G$3000,"&gt;="&amp;DATE(Controls!$B$5,4,1),Nominal_Activity!$G$2:$G$3000,"&lt;="&amp;EOMONTH(DATE(Controls!$B$5,4,1),0),Nominal_Activity!$A$2:$A$3000,Controls!$B$7))</f>
        <v>0</v>
      </c>
      <c r="K25" s="68" t="n">
        <f aca="false">IF(5&gt;Controls!$B$11,"-",SUMIFS(Nominal_Activity!$M$2:$M$3000,Nominal_Activity!$C$2:$C$3000,$A25,Nominal_Activity!$G$2:$G$3000,"&gt;="&amp;DATE(Controls!$B$5,5,1),Nominal_Activity!$G$2:$G$3000,"&lt;="&amp;EOMONTH(DATE(Controls!$B$5,5,1),0),Nominal_Activity!$A$2:$A$3000,Controls!$B$7))</f>
        <v>0</v>
      </c>
      <c r="L25" s="68" t="n">
        <f aca="false">IF(6&gt;Controls!$B$11,"-",SUMIFS(Nominal_Activity!$M$2:$M$3000,Nominal_Activity!$C$2:$C$3000,$A25,Nominal_Activity!$G$2:$G$3000,"&gt;="&amp;DATE(Controls!$B$5,6,1),Nominal_Activity!$G$2:$G$3000,"&lt;="&amp;EOMONTH(DATE(Controls!$B$5,6,1),0),Nominal_Activity!$A$2:$A$3000,Controls!$B$7))</f>
        <v>0</v>
      </c>
      <c r="M25" s="68" t="str">
        <f aca="false">IF(7&gt;Controls!$B$11,"-",SUMIFS(Nominal_Activity!$M$2:$M$3000,Nominal_Activity!$C$2:$C$3000,$A25,Nominal_Activity!$G$2:$G$3000,"&gt;="&amp;DATE(Controls!$B$5,7,1),Nominal_Activity!$G$2:$G$3000,"&lt;="&amp;EOMONTH(DATE(Controls!$B$5,7,1),0),Nominal_Activity!$A$2:$A$3000,Controls!$B$7))</f>
        <v>-</v>
      </c>
      <c r="N25" s="68" t="str">
        <f aca="false">IF(8&gt;Controls!$B$11,"-",SUMIFS(Nominal_Activity!$M$2:$M$3000,Nominal_Activity!$C$2:$C$3000,$A25,Nominal_Activity!$G$2:$G$3000,"&gt;="&amp;DATE(Controls!$B$5,8,1),Nominal_Activity!$G$2:$G$3000,"&lt;="&amp;EOMONTH(DATE(Controls!$B$5,8,1),0),Nominal_Activity!$A$2:$A$3000,Controls!$B$7))</f>
        <v>-</v>
      </c>
      <c r="O25" s="68" t="str">
        <f aca="false">IF(9&gt;Controls!$B$11,"-",SUMIFS(Nominal_Activity!$M$2:$M$3000,Nominal_Activity!$C$2:$C$3000,$A25,Nominal_Activity!$G$2:$G$3000,"&gt;="&amp;DATE(Controls!$B$5,9,1),Nominal_Activity!$G$2:$G$3000,"&lt;="&amp;EOMONTH(DATE(Controls!$B$5,9,1),0),Nominal_Activity!$A$2:$A$3000,Controls!$B$7))</f>
        <v>-</v>
      </c>
      <c r="P25" s="68" t="str">
        <f aca="false">IF(10&gt;Controls!$B$11,"-",SUMIFS(Nominal_Activity!$M$2:$M$3000,Nominal_Activity!$C$2:$C$3000,$A25,Nominal_Activity!$G$2:$G$3000,"&gt;="&amp;DATE(Controls!$B$5,10,1),Nominal_Activity!$G$2:$G$3000,"&lt;="&amp;EOMONTH(DATE(Controls!$B$5,10,1),0),Nominal_Activity!$A$2:$A$3000,Controls!$B$7))</f>
        <v>-</v>
      </c>
      <c r="Q25" s="68" t="str">
        <f aca="false">IF(11&gt;Controls!$B$11,"-",SUMIFS(Nominal_Activity!$M$2:$M$3000,Nominal_Activity!$C$2:$C$3000,$A25,Nominal_Activity!$G$2:$G$3000,"&gt;="&amp;DATE(Controls!$B$5,11,1),Nominal_Activity!$G$2:$G$3000,"&lt;="&amp;EOMONTH(DATE(Controls!$B$5,11,1),0),Nominal_Activity!$A$2:$A$3000,Controls!$B$7))</f>
        <v>-</v>
      </c>
      <c r="R25" s="68" t="str">
        <f aca="false">IF(12&gt;Controls!$B$11,"-",SUMIFS(Nominal_Activity!$M$2:$M$3000,Nominal_Activity!$C$2:$C$3000,$A25,Nominal_Activity!$G$2:$G$3000,"&gt;="&amp;DATE(Controls!$B$5,12,1),Nominal_Activity!$G$2:$G$3000,"&lt;="&amp;EOMONTH(DATE(Controls!$B$5,12,1),0),Nominal_Activity!$A$2:$A$3000,Controls!$B$7))</f>
        <v>-</v>
      </c>
      <c r="S25" s="68" t="n">
        <f aca="false">SUM(G25:R25)</f>
        <v>0</v>
      </c>
      <c r="T25" s="68" t="n">
        <f aca="false">$F25-$S25</f>
        <v>0</v>
      </c>
      <c r="U25" s="77" t="n">
        <f aca="false">IFERROR($T25/$F25,0)</f>
        <v>0</v>
      </c>
      <c r="V25" s="68" t="n">
        <f aca="false">$S25*MM_FixedCost!G24</f>
        <v>0</v>
      </c>
      <c r="W25" s="68" t="n">
        <f aca="false">$S25-$V25</f>
        <v>0</v>
      </c>
      <c r="X25" s="135"/>
      <c r="Y25" s="136" t="n">
        <f aca="false">SUM($G25:$I25)</f>
        <v>0</v>
      </c>
      <c r="Z25" s="136" t="n">
        <f aca="false">$Y25*MM_FixedCost!$G24</f>
        <v>0</v>
      </c>
      <c r="AA25" s="136" t="n">
        <f aca="false">SUM($J25:$L25)</f>
        <v>0</v>
      </c>
      <c r="AB25" s="136" t="n">
        <f aca="false">$AA25*MM_FixedCost!$G24</f>
        <v>0</v>
      </c>
      <c r="AC25" s="136" t="n">
        <f aca="false">SUM($M25:$O25)</f>
        <v>0</v>
      </c>
      <c r="AD25" s="136" t="n">
        <f aca="false">$AC25*MM_FixedCost!$G24</f>
        <v>0</v>
      </c>
      <c r="AE25" s="136" t="n">
        <f aca="false">SUM($P25:$R25)</f>
        <v>0</v>
      </c>
      <c r="AF25" s="136" t="n">
        <f aca="false">$AE25*MM_FixedCost!$G24</f>
        <v>0</v>
      </c>
      <c r="AG25" s="136" t="n">
        <f aca="false">CHOOSE(VALUE(MID(Controls!$B$6,2,1)),$Z25,$AB25,$AD25,$AF25)</f>
        <v>0</v>
      </c>
    </row>
    <row r="26" customFormat="false" ht="13.5" hidden="false" customHeight="false" outlineLevel="0" collapsed="false">
      <c r="A26" s="67" t="n">
        <f aca="false">MM_FixedCost!A25</f>
        <v>7150</v>
      </c>
      <c r="B26" s="67" t="str">
        <f aca="false">MM_FixedCost!B25</f>
        <v>Health and safety</v>
      </c>
      <c r="C26" s="67" t="str">
        <f aca="false">MM_FixedCost!C25</f>
        <v>Recruitment, Benefits</v>
      </c>
      <c r="D26" s="67" t="str">
        <f aca="false">MM_FixedCost!E25</f>
        <v>Core</v>
      </c>
      <c r="E26" s="68" t="n">
        <f aca="false">MM_FixedCost!F25</f>
        <v>18000</v>
      </c>
      <c r="F26" s="68" t="n">
        <f aca="false">$E26/12*Controls!$B$11</f>
        <v>9000</v>
      </c>
      <c r="G26" s="68" t="n">
        <f aca="false">IF(1&gt;Controls!$B$11,"-",SUMIFS(Nominal_Activity!$M$2:$M$3000,Nominal_Activity!$C$2:$C$3000,$A26,Nominal_Activity!$G$2:$G$3000,"&gt;="&amp;DATE(Controls!$B$5,1,1),Nominal_Activity!$G$2:$G$3000,"&lt;="&amp;EOMONTH(DATE(Controls!$B$5,1,1),0),Nominal_Activity!$A$2:$A$3000,Controls!$B$7))</f>
        <v>0</v>
      </c>
      <c r="H26" s="68" t="n">
        <f aca="false">IF(2&gt;Controls!$B$11,"-",SUMIFS(Nominal_Activity!$M$2:$M$3000,Nominal_Activity!$C$2:$C$3000,$A26,Nominal_Activity!$G$2:$G$3000,"&gt;="&amp;DATE(Controls!$B$5,2,1),Nominal_Activity!$G$2:$G$3000,"&lt;="&amp;EOMONTH(DATE(Controls!$B$5,2,1),0),Nominal_Activity!$A$2:$A$3000,Controls!$B$7))</f>
        <v>4180</v>
      </c>
      <c r="I26" s="68" t="n">
        <f aca="false">IF(3&gt;Controls!$B$11,"-",SUMIFS(Nominal_Activity!$M$2:$M$3000,Nominal_Activity!$C$2:$C$3000,$A26,Nominal_Activity!$G$2:$G$3000,"&gt;="&amp;DATE(Controls!$B$5,3,1),Nominal_Activity!$G$2:$G$3000,"&lt;="&amp;EOMONTH(DATE(Controls!$B$5,3,1),0),Nominal_Activity!$A$2:$A$3000,Controls!$B$7))</f>
        <v>2444.5</v>
      </c>
      <c r="J26" s="68" t="n">
        <f aca="false">IF(4&gt;Controls!$B$11,"-",SUMIFS(Nominal_Activity!$M$2:$M$3000,Nominal_Activity!$C$2:$C$3000,$A26,Nominal_Activity!$G$2:$G$3000,"&gt;="&amp;DATE(Controls!$B$5,4,1),Nominal_Activity!$G$2:$G$3000,"&lt;="&amp;EOMONTH(DATE(Controls!$B$5,4,1),0),Nominal_Activity!$A$2:$A$3000,Controls!$B$7))</f>
        <v>2965.21</v>
      </c>
      <c r="K26" s="68" t="n">
        <f aca="false">IF(5&gt;Controls!$B$11,"-",SUMIFS(Nominal_Activity!$M$2:$M$3000,Nominal_Activity!$C$2:$C$3000,$A26,Nominal_Activity!$G$2:$G$3000,"&gt;="&amp;DATE(Controls!$B$5,5,1),Nominal_Activity!$G$2:$G$3000,"&lt;="&amp;EOMONTH(DATE(Controls!$B$5,5,1),0),Nominal_Activity!$A$2:$A$3000,Controls!$B$7))</f>
        <v>1500</v>
      </c>
      <c r="L26" s="68" t="n">
        <f aca="false">IF(6&gt;Controls!$B$11,"-",SUMIFS(Nominal_Activity!$M$2:$M$3000,Nominal_Activity!$C$2:$C$3000,$A26,Nominal_Activity!$G$2:$G$3000,"&gt;="&amp;DATE(Controls!$B$5,6,1),Nominal_Activity!$G$2:$G$3000,"&lt;="&amp;EOMONTH(DATE(Controls!$B$5,6,1),0),Nominal_Activity!$A$2:$A$3000,Controls!$B$7))</f>
        <v>0</v>
      </c>
      <c r="M26" s="68" t="str">
        <f aca="false">IF(7&gt;Controls!$B$11,"-",SUMIFS(Nominal_Activity!$M$2:$M$3000,Nominal_Activity!$C$2:$C$3000,$A26,Nominal_Activity!$G$2:$G$3000,"&gt;="&amp;DATE(Controls!$B$5,7,1),Nominal_Activity!$G$2:$G$3000,"&lt;="&amp;EOMONTH(DATE(Controls!$B$5,7,1),0),Nominal_Activity!$A$2:$A$3000,Controls!$B$7))</f>
        <v>-</v>
      </c>
      <c r="N26" s="68" t="str">
        <f aca="false">IF(8&gt;Controls!$B$11,"-",SUMIFS(Nominal_Activity!$M$2:$M$3000,Nominal_Activity!$C$2:$C$3000,$A26,Nominal_Activity!$G$2:$G$3000,"&gt;="&amp;DATE(Controls!$B$5,8,1),Nominal_Activity!$G$2:$G$3000,"&lt;="&amp;EOMONTH(DATE(Controls!$B$5,8,1),0),Nominal_Activity!$A$2:$A$3000,Controls!$B$7))</f>
        <v>-</v>
      </c>
      <c r="O26" s="68" t="str">
        <f aca="false">IF(9&gt;Controls!$B$11,"-",SUMIFS(Nominal_Activity!$M$2:$M$3000,Nominal_Activity!$C$2:$C$3000,$A26,Nominal_Activity!$G$2:$G$3000,"&gt;="&amp;DATE(Controls!$B$5,9,1),Nominal_Activity!$G$2:$G$3000,"&lt;="&amp;EOMONTH(DATE(Controls!$B$5,9,1),0),Nominal_Activity!$A$2:$A$3000,Controls!$B$7))</f>
        <v>-</v>
      </c>
      <c r="P26" s="68" t="str">
        <f aca="false">IF(10&gt;Controls!$B$11,"-",SUMIFS(Nominal_Activity!$M$2:$M$3000,Nominal_Activity!$C$2:$C$3000,$A26,Nominal_Activity!$G$2:$G$3000,"&gt;="&amp;DATE(Controls!$B$5,10,1),Nominal_Activity!$G$2:$G$3000,"&lt;="&amp;EOMONTH(DATE(Controls!$B$5,10,1),0),Nominal_Activity!$A$2:$A$3000,Controls!$B$7))</f>
        <v>-</v>
      </c>
      <c r="Q26" s="68" t="str">
        <f aca="false">IF(11&gt;Controls!$B$11,"-",SUMIFS(Nominal_Activity!$M$2:$M$3000,Nominal_Activity!$C$2:$C$3000,$A26,Nominal_Activity!$G$2:$G$3000,"&gt;="&amp;DATE(Controls!$B$5,11,1),Nominal_Activity!$G$2:$G$3000,"&lt;="&amp;EOMONTH(DATE(Controls!$B$5,11,1),0),Nominal_Activity!$A$2:$A$3000,Controls!$B$7))</f>
        <v>-</v>
      </c>
      <c r="R26" s="68" t="str">
        <f aca="false">IF(12&gt;Controls!$B$11,"-",SUMIFS(Nominal_Activity!$M$2:$M$3000,Nominal_Activity!$C$2:$C$3000,$A26,Nominal_Activity!$G$2:$G$3000,"&gt;="&amp;DATE(Controls!$B$5,12,1),Nominal_Activity!$G$2:$G$3000,"&lt;="&amp;EOMONTH(DATE(Controls!$B$5,12,1),0),Nominal_Activity!$A$2:$A$3000,Controls!$B$7))</f>
        <v>-</v>
      </c>
      <c r="S26" s="68" t="n">
        <f aca="false">SUM(G26:R26)</f>
        <v>11089.71</v>
      </c>
      <c r="T26" s="68" t="n">
        <f aca="false">$F26-$S26</f>
        <v>-2089.71</v>
      </c>
      <c r="U26" s="77" t="n">
        <f aca="false">IFERROR($T26/$F26,0)</f>
        <v>-0.23219</v>
      </c>
      <c r="V26" s="68" t="n">
        <f aca="false">$S26*MM_FixedCost!G25</f>
        <v>2772.4275</v>
      </c>
      <c r="W26" s="68" t="n">
        <f aca="false">$S26-$V26</f>
        <v>8317.2825</v>
      </c>
      <c r="X26" s="135"/>
      <c r="Y26" s="136" t="n">
        <f aca="false">SUM($G26:$I26)</f>
        <v>6624.5</v>
      </c>
      <c r="Z26" s="136" t="n">
        <f aca="false">$Y26*MM_FixedCost!$G25</f>
        <v>1656.125</v>
      </c>
      <c r="AA26" s="136" t="n">
        <f aca="false">SUM($J26:$L26)</f>
        <v>4465.21</v>
      </c>
      <c r="AB26" s="136" t="n">
        <f aca="false">$AA26*MM_FixedCost!$G25</f>
        <v>1116.3025</v>
      </c>
      <c r="AC26" s="136" t="n">
        <f aca="false">SUM($M26:$O26)</f>
        <v>0</v>
      </c>
      <c r="AD26" s="136" t="n">
        <f aca="false">$AC26*MM_FixedCost!$G25</f>
        <v>0</v>
      </c>
      <c r="AE26" s="136" t="n">
        <f aca="false">SUM($P26:$R26)</f>
        <v>0</v>
      </c>
      <c r="AF26" s="136" t="n">
        <f aca="false">$AE26*MM_FixedCost!$G25</f>
        <v>0</v>
      </c>
      <c r="AG26" s="136" t="n">
        <f aca="false">CHOOSE(VALUE(MID(Controls!$B$6,2,1)),$Z26,$AB26,$AD26,$AF26)</f>
        <v>1116.3025</v>
      </c>
    </row>
    <row r="27" customFormat="false" ht="13.5" hidden="false" customHeight="false" outlineLevel="0" collapsed="false">
      <c r="A27" s="67" t="n">
        <f aca="false">MM_FixedCost!A26</f>
        <v>7200</v>
      </c>
      <c r="B27" s="67" t="str">
        <f aca="false">MM_FixedCost!B26</f>
        <v>Rent</v>
      </c>
      <c r="C27" s="67" t="str">
        <f aca="false">MM_FixedCost!C26</f>
        <v>Office Running costs</v>
      </c>
      <c r="D27" s="67" t="str">
        <f aca="false">MM_FixedCost!E26</f>
        <v>Core</v>
      </c>
      <c r="E27" s="68" t="n">
        <f aca="false">MM_FixedCost!F26</f>
        <v>0</v>
      </c>
      <c r="F27" s="68" t="n">
        <f aca="false">$E27/12*Controls!$B$11</f>
        <v>0</v>
      </c>
      <c r="G27" s="68" t="n">
        <f aca="false">IF(1&gt;Controls!$B$11,"-",SUMIFS(Nominal_Activity!$M$2:$M$3000,Nominal_Activity!$C$2:$C$3000,$A27,Nominal_Activity!$G$2:$G$3000,"&gt;="&amp;DATE(Controls!$B$5,1,1),Nominal_Activity!$G$2:$G$3000,"&lt;="&amp;EOMONTH(DATE(Controls!$B$5,1,1),0),Nominal_Activity!$A$2:$A$3000,Controls!$B$7))</f>
        <v>0</v>
      </c>
      <c r="H27" s="68" t="n">
        <f aca="false">IF(2&gt;Controls!$B$11,"-",SUMIFS(Nominal_Activity!$M$2:$M$3000,Nominal_Activity!$C$2:$C$3000,$A27,Nominal_Activity!$G$2:$G$3000,"&gt;="&amp;DATE(Controls!$B$5,2,1),Nominal_Activity!$G$2:$G$3000,"&lt;="&amp;EOMONTH(DATE(Controls!$B$5,2,1),0),Nominal_Activity!$A$2:$A$3000,Controls!$B$7))</f>
        <v>0</v>
      </c>
      <c r="I27" s="68" t="n">
        <f aca="false">IF(3&gt;Controls!$B$11,"-",SUMIFS(Nominal_Activity!$M$2:$M$3000,Nominal_Activity!$C$2:$C$3000,$A27,Nominal_Activity!$G$2:$G$3000,"&gt;="&amp;DATE(Controls!$B$5,3,1),Nominal_Activity!$G$2:$G$3000,"&lt;="&amp;EOMONTH(DATE(Controls!$B$5,3,1),0),Nominal_Activity!$A$2:$A$3000,Controls!$B$7))</f>
        <v>0</v>
      </c>
      <c r="J27" s="68" t="n">
        <f aca="false">IF(4&gt;Controls!$B$11,"-",SUMIFS(Nominal_Activity!$M$2:$M$3000,Nominal_Activity!$C$2:$C$3000,$A27,Nominal_Activity!$G$2:$G$3000,"&gt;="&amp;DATE(Controls!$B$5,4,1),Nominal_Activity!$G$2:$G$3000,"&lt;="&amp;EOMONTH(DATE(Controls!$B$5,4,1),0),Nominal_Activity!$A$2:$A$3000,Controls!$B$7))</f>
        <v>0</v>
      </c>
      <c r="K27" s="68" t="n">
        <f aca="false">IF(5&gt;Controls!$B$11,"-",SUMIFS(Nominal_Activity!$M$2:$M$3000,Nominal_Activity!$C$2:$C$3000,$A27,Nominal_Activity!$G$2:$G$3000,"&gt;="&amp;DATE(Controls!$B$5,5,1),Nominal_Activity!$G$2:$G$3000,"&lt;="&amp;EOMONTH(DATE(Controls!$B$5,5,1),0),Nominal_Activity!$A$2:$A$3000,Controls!$B$7))</f>
        <v>0</v>
      </c>
      <c r="L27" s="68" t="n">
        <f aca="false">IF(6&gt;Controls!$B$11,"-",SUMIFS(Nominal_Activity!$M$2:$M$3000,Nominal_Activity!$C$2:$C$3000,$A27,Nominal_Activity!$G$2:$G$3000,"&gt;="&amp;DATE(Controls!$B$5,6,1),Nominal_Activity!$G$2:$G$3000,"&lt;="&amp;EOMONTH(DATE(Controls!$B$5,6,1),0),Nominal_Activity!$A$2:$A$3000,Controls!$B$7))</f>
        <v>0</v>
      </c>
      <c r="M27" s="68" t="str">
        <f aca="false">IF(7&gt;Controls!$B$11,"-",SUMIFS(Nominal_Activity!$M$2:$M$3000,Nominal_Activity!$C$2:$C$3000,$A27,Nominal_Activity!$G$2:$G$3000,"&gt;="&amp;DATE(Controls!$B$5,7,1),Nominal_Activity!$G$2:$G$3000,"&lt;="&amp;EOMONTH(DATE(Controls!$B$5,7,1),0),Nominal_Activity!$A$2:$A$3000,Controls!$B$7))</f>
        <v>-</v>
      </c>
      <c r="N27" s="68" t="str">
        <f aca="false">IF(8&gt;Controls!$B$11,"-",SUMIFS(Nominal_Activity!$M$2:$M$3000,Nominal_Activity!$C$2:$C$3000,$A27,Nominal_Activity!$G$2:$G$3000,"&gt;="&amp;DATE(Controls!$B$5,8,1),Nominal_Activity!$G$2:$G$3000,"&lt;="&amp;EOMONTH(DATE(Controls!$B$5,8,1),0),Nominal_Activity!$A$2:$A$3000,Controls!$B$7))</f>
        <v>-</v>
      </c>
      <c r="O27" s="68" t="str">
        <f aca="false">IF(9&gt;Controls!$B$11,"-",SUMIFS(Nominal_Activity!$M$2:$M$3000,Nominal_Activity!$C$2:$C$3000,$A27,Nominal_Activity!$G$2:$G$3000,"&gt;="&amp;DATE(Controls!$B$5,9,1),Nominal_Activity!$G$2:$G$3000,"&lt;="&amp;EOMONTH(DATE(Controls!$B$5,9,1),0),Nominal_Activity!$A$2:$A$3000,Controls!$B$7))</f>
        <v>-</v>
      </c>
      <c r="P27" s="68" t="str">
        <f aca="false">IF(10&gt;Controls!$B$11,"-",SUMIFS(Nominal_Activity!$M$2:$M$3000,Nominal_Activity!$C$2:$C$3000,$A27,Nominal_Activity!$G$2:$G$3000,"&gt;="&amp;DATE(Controls!$B$5,10,1),Nominal_Activity!$G$2:$G$3000,"&lt;="&amp;EOMONTH(DATE(Controls!$B$5,10,1),0),Nominal_Activity!$A$2:$A$3000,Controls!$B$7))</f>
        <v>-</v>
      </c>
      <c r="Q27" s="68" t="str">
        <f aca="false">IF(11&gt;Controls!$B$11,"-",SUMIFS(Nominal_Activity!$M$2:$M$3000,Nominal_Activity!$C$2:$C$3000,$A27,Nominal_Activity!$G$2:$G$3000,"&gt;="&amp;DATE(Controls!$B$5,11,1),Nominal_Activity!$G$2:$G$3000,"&lt;="&amp;EOMONTH(DATE(Controls!$B$5,11,1),0),Nominal_Activity!$A$2:$A$3000,Controls!$B$7))</f>
        <v>-</v>
      </c>
      <c r="R27" s="68" t="str">
        <f aca="false">IF(12&gt;Controls!$B$11,"-",SUMIFS(Nominal_Activity!$M$2:$M$3000,Nominal_Activity!$C$2:$C$3000,$A27,Nominal_Activity!$G$2:$G$3000,"&gt;="&amp;DATE(Controls!$B$5,12,1),Nominal_Activity!$G$2:$G$3000,"&lt;="&amp;EOMONTH(DATE(Controls!$B$5,12,1),0),Nominal_Activity!$A$2:$A$3000,Controls!$B$7))</f>
        <v>-</v>
      </c>
      <c r="S27" s="68" t="n">
        <f aca="false">SUM(G27:R27)</f>
        <v>0</v>
      </c>
      <c r="T27" s="68" t="n">
        <f aca="false">$F27-$S27</f>
        <v>0</v>
      </c>
      <c r="U27" s="77" t="n">
        <f aca="false">IFERROR($T27/$F27,0)</f>
        <v>0</v>
      </c>
      <c r="V27" s="68" t="n">
        <f aca="false">$S27*MM_FixedCost!G26</f>
        <v>0</v>
      </c>
      <c r="W27" s="68" t="n">
        <f aca="false">$S27-$V27</f>
        <v>0</v>
      </c>
      <c r="X27" s="135"/>
      <c r="Y27" s="136" t="n">
        <f aca="false">SUM($G27:$I27)</f>
        <v>0</v>
      </c>
      <c r="Z27" s="136" t="n">
        <f aca="false">$Y27*MM_FixedCost!$G26</f>
        <v>0</v>
      </c>
      <c r="AA27" s="136" t="n">
        <f aca="false">SUM($J27:$L27)</f>
        <v>0</v>
      </c>
      <c r="AB27" s="136" t="n">
        <f aca="false">$AA27*MM_FixedCost!$G26</f>
        <v>0</v>
      </c>
      <c r="AC27" s="136" t="n">
        <f aca="false">SUM($M27:$O27)</f>
        <v>0</v>
      </c>
      <c r="AD27" s="136" t="n">
        <f aca="false">$AC27*MM_FixedCost!$G26</f>
        <v>0</v>
      </c>
      <c r="AE27" s="136" t="n">
        <f aca="false">SUM($P27:$R27)</f>
        <v>0</v>
      </c>
      <c r="AF27" s="136" t="n">
        <f aca="false">$AE27*MM_FixedCost!$G26</f>
        <v>0</v>
      </c>
      <c r="AG27" s="136" t="n">
        <f aca="false">CHOOSE(VALUE(MID(Controls!$B$6,2,1)),$Z27,$AB27,$AD27,$AF27)</f>
        <v>0</v>
      </c>
    </row>
    <row r="28" customFormat="false" ht="13.5" hidden="false" customHeight="false" outlineLevel="0" collapsed="false">
      <c r="A28" s="67" t="n">
        <f aca="false">MM_FixedCost!A27</f>
        <v>7210</v>
      </c>
      <c r="B28" s="67" t="str">
        <f aca="false">MM_FixedCost!B27</f>
        <v>Utilities and service charges</v>
      </c>
      <c r="C28" s="67" t="str">
        <f aca="false">MM_FixedCost!C27</f>
        <v>Office Running costs</v>
      </c>
      <c r="D28" s="67" t="str">
        <f aca="false">MM_FixedCost!E27</f>
        <v>Core</v>
      </c>
      <c r="E28" s="68" t="n">
        <f aca="false">MM_FixedCost!F27</f>
        <v>135000</v>
      </c>
      <c r="F28" s="68" t="n">
        <f aca="false">$E28/12*Controls!$B$11</f>
        <v>67500</v>
      </c>
      <c r="G28" s="68" t="n">
        <f aca="false">IF(1&gt;Controls!$B$11,"-",SUMIFS(Nominal_Activity!$M$2:$M$3000,Nominal_Activity!$C$2:$C$3000,$A28,Nominal_Activity!$G$2:$G$3000,"&gt;="&amp;DATE(Controls!$B$5,1,1),Nominal_Activity!$G$2:$G$3000,"&lt;="&amp;EOMONTH(DATE(Controls!$B$5,1,1),0),Nominal_Activity!$A$2:$A$3000,Controls!$B$7))</f>
        <v>2235</v>
      </c>
      <c r="H28" s="68" t="n">
        <f aca="false">IF(2&gt;Controls!$B$11,"-",SUMIFS(Nominal_Activity!$M$2:$M$3000,Nominal_Activity!$C$2:$C$3000,$A28,Nominal_Activity!$G$2:$G$3000,"&gt;="&amp;DATE(Controls!$B$5,2,1),Nominal_Activity!$G$2:$G$3000,"&lt;="&amp;EOMONTH(DATE(Controls!$B$5,2,1),0),Nominal_Activity!$A$2:$A$3000,Controls!$B$7))</f>
        <v>6639.2</v>
      </c>
      <c r="I28" s="68" t="n">
        <f aca="false">IF(3&gt;Controls!$B$11,"-",SUMIFS(Nominal_Activity!$M$2:$M$3000,Nominal_Activity!$C$2:$C$3000,$A28,Nominal_Activity!$G$2:$G$3000,"&gt;="&amp;DATE(Controls!$B$5,3,1),Nominal_Activity!$G$2:$G$3000,"&lt;="&amp;EOMONTH(DATE(Controls!$B$5,3,1),0),Nominal_Activity!$A$2:$A$3000,Controls!$B$7))</f>
        <v>7781.53</v>
      </c>
      <c r="J28" s="68" t="n">
        <f aca="false">IF(4&gt;Controls!$B$11,"-",SUMIFS(Nominal_Activity!$M$2:$M$3000,Nominal_Activity!$C$2:$C$3000,$A28,Nominal_Activity!$G$2:$G$3000,"&gt;="&amp;DATE(Controls!$B$5,4,1),Nominal_Activity!$G$2:$G$3000,"&lt;="&amp;EOMONTH(DATE(Controls!$B$5,4,1),0),Nominal_Activity!$A$2:$A$3000,Controls!$B$7))</f>
        <v>10188.99</v>
      </c>
      <c r="K28" s="68" t="n">
        <f aca="false">IF(5&gt;Controls!$B$11,"-",SUMIFS(Nominal_Activity!$M$2:$M$3000,Nominal_Activity!$C$2:$C$3000,$A28,Nominal_Activity!$G$2:$G$3000,"&gt;="&amp;DATE(Controls!$B$5,5,1),Nominal_Activity!$G$2:$G$3000,"&lt;="&amp;EOMONTH(DATE(Controls!$B$5,5,1),0),Nominal_Activity!$A$2:$A$3000,Controls!$B$7))</f>
        <v>16903.77</v>
      </c>
      <c r="L28" s="68" t="n">
        <f aca="false">IF(6&gt;Controls!$B$11,"-",SUMIFS(Nominal_Activity!$M$2:$M$3000,Nominal_Activity!$C$2:$C$3000,$A28,Nominal_Activity!$G$2:$G$3000,"&gt;="&amp;DATE(Controls!$B$5,6,1),Nominal_Activity!$G$2:$G$3000,"&lt;="&amp;EOMONTH(DATE(Controls!$B$5,6,1),0),Nominal_Activity!$A$2:$A$3000,Controls!$B$7))</f>
        <v>11660.23</v>
      </c>
      <c r="M28" s="68" t="str">
        <f aca="false">IF(7&gt;Controls!$B$11,"-",SUMIFS(Nominal_Activity!$M$2:$M$3000,Nominal_Activity!$C$2:$C$3000,$A28,Nominal_Activity!$G$2:$G$3000,"&gt;="&amp;DATE(Controls!$B$5,7,1),Nominal_Activity!$G$2:$G$3000,"&lt;="&amp;EOMONTH(DATE(Controls!$B$5,7,1),0),Nominal_Activity!$A$2:$A$3000,Controls!$B$7))</f>
        <v>-</v>
      </c>
      <c r="N28" s="68" t="str">
        <f aca="false">IF(8&gt;Controls!$B$11,"-",SUMIFS(Nominal_Activity!$M$2:$M$3000,Nominal_Activity!$C$2:$C$3000,$A28,Nominal_Activity!$G$2:$G$3000,"&gt;="&amp;DATE(Controls!$B$5,8,1),Nominal_Activity!$G$2:$G$3000,"&lt;="&amp;EOMONTH(DATE(Controls!$B$5,8,1),0),Nominal_Activity!$A$2:$A$3000,Controls!$B$7))</f>
        <v>-</v>
      </c>
      <c r="O28" s="68" t="str">
        <f aca="false">IF(9&gt;Controls!$B$11,"-",SUMIFS(Nominal_Activity!$M$2:$M$3000,Nominal_Activity!$C$2:$C$3000,$A28,Nominal_Activity!$G$2:$G$3000,"&gt;="&amp;DATE(Controls!$B$5,9,1),Nominal_Activity!$G$2:$G$3000,"&lt;="&amp;EOMONTH(DATE(Controls!$B$5,9,1),0),Nominal_Activity!$A$2:$A$3000,Controls!$B$7))</f>
        <v>-</v>
      </c>
      <c r="P28" s="68" t="str">
        <f aca="false">IF(10&gt;Controls!$B$11,"-",SUMIFS(Nominal_Activity!$M$2:$M$3000,Nominal_Activity!$C$2:$C$3000,$A28,Nominal_Activity!$G$2:$G$3000,"&gt;="&amp;DATE(Controls!$B$5,10,1),Nominal_Activity!$G$2:$G$3000,"&lt;="&amp;EOMONTH(DATE(Controls!$B$5,10,1),0),Nominal_Activity!$A$2:$A$3000,Controls!$B$7))</f>
        <v>-</v>
      </c>
      <c r="Q28" s="68" t="str">
        <f aca="false">IF(11&gt;Controls!$B$11,"-",SUMIFS(Nominal_Activity!$M$2:$M$3000,Nominal_Activity!$C$2:$C$3000,$A28,Nominal_Activity!$G$2:$G$3000,"&gt;="&amp;DATE(Controls!$B$5,11,1),Nominal_Activity!$G$2:$G$3000,"&lt;="&amp;EOMONTH(DATE(Controls!$B$5,11,1),0),Nominal_Activity!$A$2:$A$3000,Controls!$B$7))</f>
        <v>-</v>
      </c>
      <c r="R28" s="68" t="str">
        <f aca="false">IF(12&gt;Controls!$B$11,"-",SUMIFS(Nominal_Activity!$M$2:$M$3000,Nominal_Activity!$C$2:$C$3000,$A28,Nominal_Activity!$G$2:$G$3000,"&gt;="&amp;DATE(Controls!$B$5,12,1),Nominal_Activity!$G$2:$G$3000,"&lt;="&amp;EOMONTH(DATE(Controls!$B$5,12,1),0),Nominal_Activity!$A$2:$A$3000,Controls!$B$7))</f>
        <v>-</v>
      </c>
      <c r="S28" s="68" t="n">
        <f aca="false">SUM(G28:R28)</f>
        <v>55408.72</v>
      </c>
      <c r="T28" s="68" t="n">
        <f aca="false">$F28-$S28</f>
        <v>12091.28</v>
      </c>
      <c r="U28" s="77" t="n">
        <f aca="false">IFERROR($T28/$F28,0)</f>
        <v>0.179130074074074</v>
      </c>
      <c r="V28" s="68" t="n">
        <f aca="false">$S28*MM_FixedCost!G27</f>
        <v>13852.18</v>
      </c>
      <c r="W28" s="68" t="n">
        <f aca="false">$S28-$V28</f>
        <v>41556.54</v>
      </c>
      <c r="X28" s="135"/>
      <c r="Y28" s="136" t="n">
        <f aca="false">SUM($G28:$I28)</f>
        <v>16655.73</v>
      </c>
      <c r="Z28" s="136" t="n">
        <f aca="false">$Y28*MM_FixedCost!$G27</f>
        <v>4163.9325</v>
      </c>
      <c r="AA28" s="136" t="n">
        <f aca="false">SUM($J28:$L28)</f>
        <v>38752.99</v>
      </c>
      <c r="AB28" s="136" t="n">
        <f aca="false">$AA28*MM_FixedCost!$G27</f>
        <v>9688.2475</v>
      </c>
      <c r="AC28" s="136" t="n">
        <f aca="false">SUM($M28:$O28)</f>
        <v>0</v>
      </c>
      <c r="AD28" s="136" t="n">
        <f aca="false">$AC28*MM_FixedCost!$G27</f>
        <v>0</v>
      </c>
      <c r="AE28" s="136" t="n">
        <f aca="false">SUM($P28:$R28)</f>
        <v>0</v>
      </c>
      <c r="AF28" s="136" t="n">
        <f aca="false">$AE28*MM_FixedCost!$G27</f>
        <v>0</v>
      </c>
      <c r="AG28" s="136" t="n">
        <f aca="false">CHOOSE(VALUE(MID(Controls!$B$6,2,1)),$Z28,$AB28,$AD28,$AF28)</f>
        <v>9688.2475</v>
      </c>
    </row>
    <row r="29" customFormat="false" ht="13.5" hidden="false" customHeight="false" outlineLevel="0" collapsed="false">
      <c r="A29" s="67" t="n">
        <f aca="false">MM_FixedCost!A28</f>
        <v>7220</v>
      </c>
      <c r="B29" s="67" t="str">
        <f aca="false">MM_FixedCost!B28</f>
        <v>Local taxes and rates</v>
      </c>
      <c r="C29" s="67" t="str">
        <f aca="false">MM_FixedCost!C28</f>
        <v>Office Running costs</v>
      </c>
      <c r="D29" s="67" t="str">
        <f aca="false">MM_FixedCost!E28</f>
        <v>Core</v>
      </c>
      <c r="E29" s="68" t="n">
        <f aca="false">MM_FixedCost!F28</f>
        <v>8000</v>
      </c>
      <c r="F29" s="68" t="n">
        <f aca="false">$E29/12*Controls!$B$11</f>
        <v>4000</v>
      </c>
      <c r="G29" s="68" t="n">
        <f aca="false">IF(1&gt;Controls!$B$11,"-",SUMIFS(Nominal_Activity!$M$2:$M$3000,Nominal_Activity!$C$2:$C$3000,$A29,Nominal_Activity!$G$2:$G$3000,"&gt;="&amp;DATE(Controls!$B$5,1,1),Nominal_Activity!$G$2:$G$3000,"&lt;="&amp;EOMONTH(DATE(Controls!$B$5,1,1),0),Nominal_Activity!$A$2:$A$3000,Controls!$B$7))</f>
        <v>0</v>
      </c>
      <c r="H29" s="68" t="n">
        <f aca="false">IF(2&gt;Controls!$B$11,"-",SUMIFS(Nominal_Activity!$M$2:$M$3000,Nominal_Activity!$C$2:$C$3000,$A29,Nominal_Activity!$G$2:$G$3000,"&gt;="&amp;DATE(Controls!$B$5,2,1),Nominal_Activity!$G$2:$G$3000,"&lt;="&amp;EOMONTH(DATE(Controls!$B$5,2,1),0),Nominal_Activity!$A$2:$A$3000,Controls!$B$7))</f>
        <v>0</v>
      </c>
      <c r="I29" s="68" t="n">
        <f aca="false">IF(3&gt;Controls!$B$11,"-",SUMIFS(Nominal_Activity!$M$2:$M$3000,Nominal_Activity!$C$2:$C$3000,$A29,Nominal_Activity!$G$2:$G$3000,"&gt;="&amp;DATE(Controls!$B$5,3,1),Nominal_Activity!$G$2:$G$3000,"&lt;="&amp;EOMONTH(DATE(Controls!$B$5,3,1),0),Nominal_Activity!$A$2:$A$3000,Controls!$B$7))</f>
        <v>800</v>
      </c>
      <c r="J29" s="68" t="n">
        <f aca="false">IF(4&gt;Controls!$B$11,"-",SUMIFS(Nominal_Activity!$M$2:$M$3000,Nominal_Activity!$C$2:$C$3000,$A29,Nominal_Activity!$G$2:$G$3000,"&gt;="&amp;DATE(Controls!$B$5,4,1),Nominal_Activity!$G$2:$G$3000,"&lt;="&amp;EOMONTH(DATE(Controls!$B$5,4,1),0),Nominal_Activity!$A$2:$A$3000,Controls!$B$7))</f>
        <v>0</v>
      </c>
      <c r="K29" s="68" t="n">
        <f aca="false">IF(5&gt;Controls!$B$11,"-",SUMIFS(Nominal_Activity!$M$2:$M$3000,Nominal_Activity!$C$2:$C$3000,$A29,Nominal_Activity!$G$2:$G$3000,"&gt;="&amp;DATE(Controls!$B$5,5,1),Nominal_Activity!$G$2:$G$3000,"&lt;="&amp;EOMONTH(DATE(Controls!$B$5,5,1),0),Nominal_Activity!$A$2:$A$3000,Controls!$B$7))</f>
        <v>0</v>
      </c>
      <c r="L29" s="68" t="n">
        <f aca="false">IF(6&gt;Controls!$B$11,"-",SUMIFS(Nominal_Activity!$M$2:$M$3000,Nominal_Activity!$C$2:$C$3000,$A29,Nominal_Activity!$G$2:$G$3000,"&gt;="&amp;DATE(Controls!$B$5,6,1),Nominal_Activity!$G$2:$G$3000,"&lt;="&amp;EOMONTH(DATE(Controls!$B$5,6,1),0),Nominal_Activity!$A$2:$A$3000,Controls!$B$7))</f>
        <v>2403</v>
      </c>
      <c r="M29" s="68" t="str">
        <f aca="false">IF(7&gt;Controls!$B$11,"-",SUMIFS(Nominal_Activity!$M$2:$M$3000,Nominal_Activity!$C$2:$C$3000,$A29,Nominal_Activity!$G$2:$G$3000,"&gt;="&amp;DATE(Controls!$B$5,7,1),Nominal_Activity!$G$2:$G$3000,"&lt;="&amp;EOMONTH(DATE(Controls!$B$5,7,1),0),Nominal_Activity!$A$2:$A$3000,Controls!$B$7))</f>
        <v>-</v>
      </c>
      <c r="N29" s="68" t="str">
        <f aca="false">IF(8&gt;Controls!$B$11,"-",SUMIFS(Nominal_Activity!$M$2:$M$3000,Nominal_Activity!$C$2:$C$3000,$A29,Nominal_Activity!$G$2:$G$3000,"&gt;="&amp;DATE(Controls!$B$5,8,1),Nominal_Activity!$G$2:$G$3000,"&lt;="&amp;EOMONTH(DATE(Controls!$B$5,8,1),0),Nominal_Activity!$A$2:$A$3000,Controls!$B$7))</f>
        <v>-</v>
      </c>
      <c r="O29" s="68" t="str">
        <f aca="false">IF(9&gt;Controls!$B$11,"-",SUMIFS(Nominal_Activity!$M$2:$M$3000,Nominal_Activity!$C$2:$C$3000,$A29,Nominal_Activity!$G$2:$G$3000,"&gt;="&amp;DATE(Controls!$B$5,9,1),Nominal_Activity!$G$2:$G$3000,"&lt;="&amp;EOMONTH(DATE(Controls!$B$5,9,1),0),Nominal_Activity!$A$2:$A$3000,Controls!$B$7))</f>
        <v>-</v>
      </c>
      <c r="P29" s="68" t="str">
        <f aca="false">IF(10&gt;Controls!$B$11,"-",SUMIFS(Nominal_Activity!$M$2:$M$3000,Nominal_Activity!$C$2:$C$3000,$A29,Nominal_Activity!$G$2:$G$3000,"&gt;="&amp;DATE(Controls!$B$5,10,1),Nominal_Activity!$G$2:$G$3000,"&lt;="&amp;EOMONTH(DATE(Controls!$B$5,10,1),0),Nominal_Activity!$A$2:$A$3000,Controls!$B$7))</f>
        <v>-</v>
      </c>
      <c r="Q29" s="68" t="str">
        <f aca="false">IF(11&gt;Controls!$B$11,"-",SUMIFS(Nominal_Activity!$M$2:$M$3000,Nominal_Activity!$C$2:$C$3000,$A29,Nominal_Activity!$G$2:$G$3000,"&gt;="&amp;DATE(Controls!$B$5,11,1),Nominal_Activity!$G$2:$G$3000,"&lt;="&amp;EOMONTH(DATE(Controls!$B$5,11,1),0),Nominal_Activity!$A$2:$A$3000,Controls!$B$7))</f>
        <v>-</v>
      </c>
      <c r="R29" s="68" t="str">
        <f aca="false">IF(12&gt;Controls!$B$11,"-",SUMIFS(Nominal_Activity!$M$2:$M$3000,Nominal_Activity!$C$2:$C$3000,$A29,Nominal_Activity!$G$2:$G$3000,"&gt;="&amp;DATE(Controls!$B$5,12,1),Nominal_Activity!$G$2:$G$3000,"&lt;="&amp;EOMONTH(DATE(Controls!$B$5,12,1),0),Nominal_Activity!$A$2:$A$3000,Controls!$B$7))</f>
        <v>-</v>
      </c>
      <c r="S29" s="68" t="n">
        <f aca="false">SUM(G29:R29)</f>
        <v>3203</v>
      </c>
      <c r="T29" s="68" t="n">
        <f aca="false">$F29-$S29</f>
        <v>797</v>
      </c>
      <c r="U29" s="77" t="n">
        <f aca="false">IFERROR($T29/$F29,0)</f>
        <v>0.19925</v>
      </c>
      <c r="V29" s="68" t="n">
        <f aca="false">$S29*MM_FixedCost!G28</f>
        <v>800.75</v>
      </c>
      <c r="W29" s="68" t="n">
        <f aca="false">$S29-$V29</f>
        <v>2402.25</v>
      </c>
      <c r="X29" s="135"/>
      <c r="Y29" s="136" t="n">
        <f aca="false">SUM($G29:$I29)</f>
        <v>800</v>
      </c>
      <c r="Z29" s="136" t="n">
        <f aca="false">$Y29*MM_FixedCost!$G28</f>
        <v>200</v>
      </c>
      <c r="AA29" s="136" t="n">
        <f aca="false">SUM($J29:$L29)</f>
        <v>2403</v>
      </c>
      <c r="AB29" s="136" t="n">
        <f aca="false">$AA29*MM_FixedCost!$G28</f>
        <v>600.75</v>
      </c>
      <c r="AC29" s="136" t="n">
        <f aca="false">SUM($M29:$O29)</f>
        <v>0</v>
      </c>
      <c r="AD29" s="136" t="n">
        <f aca="false">$AC29*MM_FixedCost!$G28</f>
        <v>0</v>
      </c>
      <c r="AE29" s="136" t="n">
        <f aca="false">SUM($P29:$R29)</f>
        <v>0</v>
      </c>
      <c r="AF29" s="136" t="n">
        <f aca="false">$AE29*MM_FixedCost!$G28</f>
        <v>0</v>
      </c>
      <c r="AG29" s="136" t="n">
        <f aca="false">CHOOSE(VALUE(MID(Controls!$B$6,2,1)),$Z29,$AB29,$AD29,$AF29)</f>
        <v>600.75</v>
      </c>
    </row>
    <row r="30" customFormat="false" ht="13.5" hidden="false" customHeight="false" outlineLevel="0" collapsed="false">
      <c r="A30" s="67" t="n">
        <f aca="false">MM_FixedCost!A29</f>
        <v>7250</v>
      </c>
      <c r="B30" s="67" t="str">
        <f aca="false">MM_FixedCost!B29</f>
        <v>Home office costs</v>
      </c>
      <c r="C30" s="67" t="str">
        <f aca="false">MM_FixedCost!C29</f>
        <v>Office Running costs</v>
      </c>
      <c r="D30" s="67" t="str">
        <f aca="false">MM_FixedCost!E29</f>
        <v>Core</v>
      </c>
      <c r="E30" s="68" t="n">
        <f aca="false">MM_FixedCost!F29</f>
        <v>0</v>
      </c>
      <c r="F30" s="68" t="n">
        <f aca="false">$E30/12*Controls!$B$11</f>
        <v>0</v>
      </c>
      <c r="G30" s="68" t="n">
        <f aca="false">IF(1&gt;Controls!$B$11,"-",SUMIFS(Nominal_Activity!$M$2:$M$3000,Nominal_Activity!$C$2:$C$3000,$A30,Nominal_Activity!$G$2:$G$3000,"&gt;="&amp;DATE(Controls!$B$5,1,1),Nominal_Activity!$G$2:$G$3000,"&lt;="&amp;EOMONTH(DATE(Controls!$B$5,1,1),0),Nominal_Activity!$A$2:$A$3000,Controls!$B$7))</f>
        <v>0</v>
      </c>
      <c r="H30" s="68" t="n">
        <f aca="false">IF(2&gt;Controls!$B$11,"-",SUMIFS(Nominal_Activity!$M$2:$M$3000,Nominal_Activity!$C$2:$C$3000,$A30,Nominal_Activity!$G$2:$G$3000,"&gt;="&amp;DATE(Controls!$B$5,2,1),Nominal_Activity!$G$2:$G$3000,"&lt;="&amp;EOMONTH(DATE(Controls!$B$5,2,1),0),Nominal_Activity!$A$2:$A$3000,Controls!$B$7))</f>
        <v>0</v>
      </c>
      <c r="I30" s="68" t="n">
        <f aca="false">IF(3&gt;Controls!$B$11,"-",SUMIFS(Nominal_Activity!$M$2:$M$3000,Nominal_Activity!$C$2:$C$3000,$A30,Nominal_Activity!$G$2:$G$3000,"&gt;="&amp;DATE(Controls!$B$5,3,1),Nominal_Activity!$G$2:$G$3000,"&lt;="&amp;EOMONTH(DATE(Controls!$B$5,3,1),0),Nominal_Activity!$A$2:$A$3000,Controls!$B$7))</f>
        <v>0</v>
      </c>
      <c r="J30" s="68" t="n">
        <f aca="false">IF(4&gt;Controls!$B$11,"-",SUMIFS(Nominal_Activity!$M$2:$M$3000,Nominal_Activity!$C$2:$C$3000,$A30,Nominal_Activity!$G$2:$G$3000,"&gt;="&amp;DATE(Controls!$B$5,4,1),Nominal_Activity!$G$2:$G$3000,"&lt;="&amp;EOMONTH(DATE(Controls!$B$5,4,1),0),Nominal_Activity!$A$2:$A$3000,Controls!$B$7))</f>
        <v>0</v>
      </c>
      <c r="K30" s="68" t="n">
        <f aca="false">IF(5&gt;Controls!$B$11,"-",SUMIFS(Nominal_Activity!$M$2:$M$3000,Nominal_Activity!$C$2:$C$3000,$A30,Nominal_Activity!$G$2:$G$3000,"&gt;="&amp;DATE(Controls!$B$5,5,1),Nominal_Activity!$G$2:$G$3000,"&lt;="&amp;EOMONTH(DATE(Controls!$B$5,5,1),0),Nominal_Activity!$A$2:$A$3000,Controls!$B$7))</f>
        <v>0</v>
      </c>
      <c r="L30" s="68" t="n">
        <f aca="false">IF(6&gt;Controls!$B$11,"-",SUMIFS(Nominal_Activity!$M$2:$M$3000,Nominal_Activity!$C$2:$C$3000,$A30,Nominal_Activity!$G$2:$G$3000,"&gt;="&amp;DATE(Controls!$B$5,6,1),Nominal_Activity!$G$2:$G$3000,"&lt;="&amp;EOMONTH(DATE(Controls!$B$5,6,1),0),Nominal_Activity!$A$2:$A$3000,Controls!$B$7))</f>
        <v>0</v>
      </c>
      <c r="M30" s="68" t="str">
        <f aca="false">IF(7&gt;Controls!$B$11,"-",SUMIFS(Nominal_Activity!$M$2:$M$3000,Nominal_Activity!$C$2:$C$3000,$A30,Nominal_Activity!$G$2:$G$3000,"&gt;="&amp;DATE(Controls!$B$5,7,1),Nominal_Activity!$G$2:$G$3000,"&lt;="&amp;EOMONTH(DATE(Controls!$B$5,7,1),0),Nominal_Activity!$A$2:$A$3000,Controls!$B$7))</f>
        <v>-</v>
      </c>
      <c r="N30" s="68" t="str">
        <f aca="false">IF(8&gt;Controls!$B$11,"-",SUMIFS(Nominal_Activity!$M$2:$M$3000,Nominal_Activity!$C$2:$C$3000,$A30,Nominal_Activity!$G$2:$G$3000,"&gt;="&amp;DATE(Controls!$B$5,8,1),Nominal_Activity!$G$2:$G$3000,"&lt;="&amp;EOMONTH(DATE(Controls!$B$5,8,1),0),Nominal_Activity!$A$2:$A$3000,Controls!$B$7))</f>
        <v>-</v>
      </c>
      <c r="O30" s="68" t="str">
        <f aca="false">IF(9&gt;Controls!$B$11,"-",SUMIFS(Nominal_Activity!$M$2:$M$3000,Nominal_Activity!$C$2:$C$3000,$A30,Nominal_Activity!$G$2:$G$3000,"&gt;="&amp;DATE(Controls!$B$5,9,1),Nominal_Activity!$G$2:$G$3000,"&lt;="&amp;EOMONTH(DATE(Controls!$B$5,9,1),0),Nominal_Activity!$A$2:$A$3000,Controls!$B$7))</f>
        <v>-</v>
      </c>
      <c r="P30" s="68" t="str">
        <f aca="false">IF(10&gt;Controls!$B$11,"-",SUMIFS(Nominal_Activity!$M$2:$M$3000,Nominal_Activity!$C$2:$C$3000,$A30,Nominal_Activity!$G$2:$G$3000,"&gt;="&amp;DATE(Controls!$B$5,10,1),Nominal_Activity!$G$2:$G$3000,"&lt;="&amp;EOMONTH(DATE(Controls!$B$5,10,1),0),Nominal_Activity!$A$2:$A$3000,Controls!$B$7))</f>
        <v>-</v>
      </c>
      <c r="Q30" s="68" t="str">
        <f aca="false">IF(11&gt;Controls!$B$11,"-",SUMIFS(Nominal_Activity!$M$2:$M$3000,Nominal_Activity!$C$2:$C$3000,$A30,Nominal_Activity!$G$2:$G$3000,"&gt;="&amp;DATE(Controls!$B$5,11,1),Nominal_Activity!$G$2:$G$3000,"&lt;="&amp;EOMONTH(DATE(Controls!$B$5,11,1),0),Nominal_Activity!$A$2:$A$3000,Controls!$B$7))</f>
        <v>-</v>
      </c>
      <c r="R30" s="68" t="str">
        <f aca="false">IF(12&gt;Controls!$B$11,"-",SUMIFS(Nominal_Activity!$M$2:$M$3000,Nominal_Activity!$C$2:$C$3000,$A30,Nominal_Activity!$G$2:$G$3000,"&gt;="&amp;DATE(Controls!$B$5,12,1),Nominal_Activity!$G$2:$G$3000,"&lt;="&amp;EOMONTH(DATE(Controls!$B$5,12,1),0),Nominal_Activity!$A$2:$A$3000,Controls!$B$7))</f>
        <v>-</v>
      </c>
      <c r="S30" s="68" t="n">
        <f aca="false">SUM(G30:R30)</f>
        <v>0</v>
      </c>
      <c r="T30" s="68" t="n">
        <f aca="false">$F30-$S30</f>
        <v>0</v>
      </c>
      <c r="U30" s="77" t="n">
        <f aca="false">IFERROR($T30/$F30,0)</f>
        <v>0</v>
      </c>
      <c r="V30" s="68" t="n">
        <f aca="false">$S30*MM_FixedCost!G29</f>
        <v>0</v>
      </c>
      <c r="W30" s="68" t="n">
        <f aca="false">$S30-$V30</f>
        <v>0</v>
      </c>
      <c r="X30" s="135"/>
      <c r="Y30" s="136" t="n">
        <f aca="false">SUM($G30:$I30)</f>
        <v>0</v>
      </c>
      <c r="Z30" s="136" t="n">
        <f aca="false">$Y30*MM_FixedCost!$G29</f>
        <v>0</v>
      </c>
      <c r="AA30" s="136" t="n">
        <f aca="false">SUM($J30:$L30)</f>
        <v>0</v>
      </c>
      <c r="AB30" s="136" t="n">
        <f aca="false">$AA30*MM_FixedCost!$G29</f>
        <v>0</v>
      </c>
      <c r="AC30" s="136" t="n">
        <f aca="false">SUM($M30:$O30)</f>
        <v>0</v>
      </c>
      <c r="AD30" s="136" t="n">
        <f aca="false">$AC30*MM_FixedCost!$G29</f>
        <v>0</v>
      </c>
      <c r="AE30" s="136" t="n">
        <f aca="false">SUM($P30:$R30)</f>
        <v>0</v>
      </c>
      <c r="AF30" s="136" t="n">
        <f aca="false">$AE30*MM_FixedCost!$G29</f>
        <v>0</v>
      </c>
      <c r="AG30" s="136" t="n">
        <f aca="false">CHOOSE(VALUE(MID(Controls!$B$6,2,1)),$Z30,$AB30,$AD30,$AF30)</f>
        <v>0</v>
      </c>
    </row>
    <row r="31" customFormat="false" ht="13.5" hidden="false" customHeight="false" outlineLevel="0" collapsed="false">
      <c r="A31" s="67" t="n">
        <f aca="false">MM_FixedCost!A30</f>
        <v>7400</v>
      </c>
      <c r="B31" s="67" t="str">
        <f aca="false">MM_FixedCost!B30</f>
        <v>Communications</v>
      </c>
      <c r="C31" s="67" t="str">
        <f aca="false">MM_FixedCost!C30</f>
        <v>Business development and Comms</v>
      </c>
      <c r="D31" s="67" t="str">
        <f aca="false">MM_FixedCost!E30</f>
        <v>Discretionary</v>
      </c>
      <c r="E31" s="68" t="n">
        <f aca="false">MM_FixedCost!F30</f>
        <v>194869.45</v>
      </c>
      <c r="F31" s="68" t="n">
        <f aca="false">$E31/12*Controls!$B$11</f>
        <v>97434.725</v>
      </c>
      <c r="G31" s="68" t="n">
        <f aca="false">IF(1&gt;Controls!$B$11,"-",SUMIFS(Nominal_Activity!$M$2:$M$3000,Nominal_Activity!$C$2:$C$3000,$A31,Nominal_Activity!$G$2:$G$3000,"&gt;="&amp;DATE(Controls!$B$5,1,1),Nominal_Activity!$G$2:$G$3000,"&lt;="&amp;EOMONTH(DATE(Controls!$B$5,1,1),0),Nominal_Activity!$A$2:$A$3000,Controls!$B$7))</f>
        <v>0</v>
      </c>
      <c r="H31" s="68" t="n">
        <f aca="false">IF(2&gt;Controls!$B$11,"-",SUMIFS(Nominal_Activity!$M$2:$M$3000,Nominal_Activity!$C$2:$C$3000,$A31,Nominal_Activity!$G$2:$G$3000,"&gt;="&amp;DATE(Controls!$B$5,2,1),Nominal_Activity!$G$2:$G$3000,"&lt;="&amp;EOMONTH(DATE(Controls!$B$5,2,1),0),Nominal_Activity!$A$2:$A$3000,Controls!$B$7))</f>
        <v>7200</v>
      </c>
      <c r="I31" s="68" t="n">
        <f aca="false">IF(3&gt;Controls!$B$11,"-",SUMIFS(Nominal_Activity!$M$2:$M$3000,Nominal_Activity!$C$2:$C$3000,$A31,Nominal_Activity!$G$2:$G$3000,"&gt;="&amp;DATE(Controls!$B$5,3,1),Nominal_Activity!$G$2:$G$3000,"&lt;="&amp;EOMONTH(DATE(Controls!$B$5,3,1),0),Nominal_Activity!$A$2:$A$3000,Controls!$B$7))</f>
        <v>0</v>
      </c>
      <c r="J31" s="68" t="n">
        <f aca="false">IF(4&gt;Controls!$B$11,"-",SUMIFS(Nominal_Activity!$M$2:$M$3000,Nominal_Activity!$C$2:$C$3000,$A31,Nominal_Activity!$G$2:$G$3000,"&gt;="&amp;DATE(Controls!$B$5,4,1),Nominal_Activity!$G$2:$G$3000,"&lt;="&amp;EOMONTH(DATE(Controls!$B$5,4,1),0),Nominal_Activity!$A$2:$A$3000,Controls!$B$7))</f>
        <v>13000</v>
      </c>
      <c r="K31" s="68" t="n">
        <f aca="false">IF(5&gt;Controls!$B$11,"-",SUMIFS(Nominal_Activity!$M$2:$M$3000,Nominal_Activity!$C$2:$C$3000,$A31,Nominal_Activity!$G$2:$G$3000,"&gt;="&amp;DATE(Controls!$B$5,5,1),Nominal_Activity!$G$2:$G$3000,"&lt;="&amp;EOMONTH(DATE(Controls!$B$5,5,1),0),Nominal_Activity!$A$2:$A$3000,Controls!$B$7))</f>
        <v>0</v>
      </c>
      <c r="L31" s="68" t="n">
        <f aca="false">IF(6&gt;Controls!$B$11,"-",SUMIFS(Nominal_Activity!$M$2:$M$3000,Nominal_Activity!$C$2:$C$3000,$A31,Nominal_Activity!$G$2:$G$3000,"&gt;="&amp;DATE(Controls!$B$5,6,1),Nominal_Activity!$G$2:$G$3000,"&lt;="&amp;EOMONTH(DATE(Controls!$B$5,6,1),0),Nominal_Activity!$A$2:$A$3000,Controls!$B$7))</f>
        <v>2000</v>
      </c>
      <c r="M31" s="68" t="str">
        <f aca="false">IF(7&gt;Controls!$B$11,"-",SUMIFS(Nominal_Activity!$M$2:$M$3000,Nominal_Activity!$C$2:$C$3000,$A31,Nominal_Activity!$G$2:$G$3000,"&gt;="&amp;DATE(Controls!$B$5,7,1),Nominal_Activity!$G$2:$G$3000,"&lt;="&amp;EOMONTH(DATE(Controls!$B$5,7,1),0),Nominal_Activity!$A$2:$A$3000,Controls!$B$7))</f>
        <v>-</v>
      </c>
      <c r="N31" s="68" t="str">
        <f aca="false">IF(8&gt;Controls!$B$11,"-",SUMIFS(Nominal_Activity!$M$2:$M$3000,Nominal_Activity!$C$2:$C$3000,$A31,Nominal_Activity!$G$2:$G$3000,"&gt;="&amp;DATE(Controls!$B$5,8,1),Nominal_Activity!$G$2:$G$3000,"&lt;="&amp;EOMONTH(DATE(Controls!$B$5,8,1),0),Nominal_Activity!$A$2:$A$3000,Controls!$B$7))</f>
        <v>-</v>
      </c>
      <c r="O31" s="68" t="str">
        <f aca="false">IF(9&gt;Controls!$B$11,"-",SUMIFS(Nominal_Activity!$M$2:$M$3000,Nominal_Activity!$C$2:$C$3000,$A31,Nominal_Activity!$G$2:$G$3000,"&gt;="&amp;DATE(Controls!$B$5,9,1),Nominal_Activity!$G$2:$G$3000,"&lt;="&amp;EOMONTH(DATE(Controls!$B$5,9,1),0),Nominal_Activity!$A$2:$A$3000,Controls!$B$7))</f>
        <v>-</v>
      </c>
      <c r="P31" s="68" t="str">
        <f aca="false">IF(10&gt;Controls!$B$11,"-",SUMIFS(Nominal_Activity!$M$2:$M$3000,Nominal_Activity!$C$2:$C$3000,$A31,Nominal_Activity!$G$2:$G$3000,"&gt;="&amp;DATE(Controls!$B$5,10,1),Nominal_Activity!$G$2:$G$3000,"&lt;="&amp;EOMONTH(DATE(Controls!$B$5,10,1),0),Nominal_Activity!$A$2:$A$3000,Controls!$B$7))</f>
        <v>-</v>
      </c>
      <c r="Q31" s="68" t="str">
        <f aca="false">IF(11&gt;Controls!$B$11,"-",SUMIFS(Nominal_Activity!$M$2:$M$3000,Nominal_Activity!$C$2:$C$3000,$A31,Nominal_Activity!$G$2:$G$3000,"&gt;="&amp;DATE(Controls!$B$5,11,1),Nominal_Activity!$G$2:$G$3000,"&lt;="&amp;EOMONTH(DATE(Controls!$B$5,11,1),0),Nominal_Activity!$A$2:$A$3000,Controls!$B$7))</f>
        <v>-</v>
      </c>
      <c r="R31" s="68" t="str">
        <f aca="false">IF(12&gt;Controls!$B$11,"-",SUMIFS(Nominal_Activity!$M$2:$M$3000,Nominal_Activity!$C$2:$C$3000,$A31,Nominal_Activity!$G$2:$G$3000,"&gt;="&amp;DATE(Controls!$B$5,12,1),Nominal_Activity!$G$2:$G$3000,"&lt;="&amp;EOMONTH(DATE(Controls!$B$5,12,1),0),Nominal_Activity!$A$2:$A$3000,Controls!$B$7))</f>
        <v>-</v>
      </c>
      <c r="S31" s="68" t="n">
        <f aca="false">SUM(G31:R31)</f>
        <v>22200</v>
      </c>
      <c r="T31" s="68" t="n">
        <f aca="false">$F31-$S31</f>
        <v>75234.725</v>
      </c>
      <c r="U31" s="77" t="n">
        <f aca="false">IFERROR($T31/$F31,0)</f>
        <v>0.772155153103783</v>
      </c>
      <c r="V31" s="68" t="n">
        <f aca="false">$S31*MM_FixedCost!G30</f>
        <v>5550</v>
      </c>
      <c r="W31" s="68" t="n">
        <f aca="false">$S31-$V31</f>
        <v>16650</v>
      </c>
      <c r="X31" s="135"/>
      <c r="Y31" s="136" t="n">
        <f aca="false">SUM($G31:$I31)</f>
        <v>7200</v>
      </c>
      <c r="Z31" s="136" t="n">
        <f aca="false">$Y31*MM_FixedCost!$G30</f>
        <v>1800</v>
      </c>
      <c r="AA31" s="136" t="n">
        <f aca="false">SUM($J31:$L31)</f>
        <v>15000</v>
      </c>
      <c r="AB31" s="136" t="n">
        <f aca="false">$AA31*MM_FixedCost!$G30</f>
        <v>3750</v>
      </c>
      <c r="AC31" s="136" t="n">
        <f aca="false">SUM($M31:$O31)</f>
        <v>0</v>
      </c>
      <c r="AD31" s="136" t="n">
        <f aca="false">$AC31*MM_FixedCost!$G30</f>
        <v>0</v>
      </c>
      <c r="AE31" s="136" t="n">
        <f aca="false">SUM($P31:$R31)</f>
        <v>0</v>
      </c>
      <c r="AF31" s="136" t="n">
        <f aca="false">$AE31*MM_FixedCost!$G30</f>
        <v>0</v>
      </c>
      <c r="AG31" s="136" t="n">
        <f aca="false">CHOOSE(VALUE(MID(Controls!$B$6,2,1)),$Z31,$AB31,$AD31,$AF31)</f>
        <v>3750</v>
      </c>
    </row>
    <row r="32" customFormat="false" ht="13.5" hidden="false" customHeight="false" outlineLevel="0" collapsed="false">
      <c r="A32" s="67" t="n">
        <f aca="false">MM_FixedCost!A31</f>
        <v>7401</v>
      </c>
      <c r="B32" s="67" t="str">
        <f aca="false">MM_FixedCost!B31</f>
        <v>Communications</v>
      </c>
      <c r="C32" s="67" t="str">
        <f aca="false">MM_FixedCost!C31</f>
        <v>Business development and Comms</v>
      </c>
      <c r="D32" s="67" t="str">
        <f aca="false">MM_FixedCost!E31</f>
        <v>Discretionary</v>
      </c>
      <c r="E32" s="68" t="n">
        <f aca="false">MM_FixedCost!F31</f>
        <v>0</v>
      </c>
      <c r="F32" s="68" t="n">
        <f aca="false">$E32/12*Controls!$B$11</f>
        <v>0</v>
      </c>
      <c r="G32" s="68" t="n">
        <f aca="false">IF(1&gt;Controls!$B$11,"-",SUMIFS(Nominal_Activity!$M$2:$M$3000,Nominal_Activity!$C$2:$C$3000,$A32,Nominal_Activity!$G$2:$G$3000,"&gt;="&amp;DATE(Controls!$B$5,1,1),Nominal_Activity!$G$2:$G$3000,"&lt;="&amp;EOMONTH(DATE(Controls!$B$5,1,1),0),Nominal_Activity!$A$2:$A$3000,Controls!$B$7))</f>
        <v>0</v>
      </c>
      <c r="H32" s="68" t="n">
        <f aca="false">IF(2&gt;Controls!$B$11,"-",SUMIFS(Nominal_Activity!$M$2:$M$3000,Nominal_Activity!$C$2:$C$3000,$A32,Nominal_Activity!$G$2:$G$3000,"&gt;="&amp;DATE(Controls!$B$5,2,1),Nominal_Activity!$G$2:$G$3000,"&lt;="&amp;EOMONTH(DATE(Controls!$B$5,2,1),0),Nominal_Activity!$A$2:$A$3000,Controls!$B$7))</f>
        <v>0</v>
      </c>
      <c r="I32" s="68" t="n">
        <f aca="false">IF(3&gt;Controls!$B$11,"-",SUMIFS(Nominal_Activity!$M$2:$M$3000,Nominal_Activity!$C$2:$C$3000,$A32,Nominal_Activity!$G$2:$G$3000,"&gt;="&amp;DATE(Controls!$B$5,3,1),Nominal_Activity!$G$2:$G$3000,"&lt;="&amp;EOMONTH(DATE(Controls!$B$5,3,1),0),Nominal_Activity!$A$2:$A$3000,Controls!$B$7))</f>
        <v>0</v>
      </c>
      <c r="J32" s="68" t="n">
        <f aca="false">IF(4&gt;Controls!$B$11,"-",SUMIFS(Nominal_Activity!$M$2:$M$3000,Nominal_Activity!$C$2:$C$3000,$A32,Nominal_Activity!$G$2:$G$3000,"&gt;="&amp;DATE(Controls!$B$5,4,1),Nominal_Activity!$G$2:$G$3000,"&lt;="&amp;EOMONTH(DATE(Controls!$B$5,4,1),0),Nominal_Activity!$A$2:$A$3000,Controls!$B$7))</f>
        <v>0</v>
      </c>
      <c r="K32" s="68" t="n">
        <f aca="false">IF(5&gt;Controls!$B$11,"-",SUMIFS(Nominal_Activity!$M$2:$M$3000,Nominal_Activity!$C$2:$C$3000,$A32,Nominal_Activity!$G$2:$G$3000,"&gt;="&amp;DATE(Controls!$B$5,5,1),Nominal_Activity!$G$2:$G$3000,"&lt;="&amp;EOMONTH(DATE(Controls!$B$5,5,1),0),Nominal_Activity!$A$2:$A$3000,Controls!$B$7))</f>
        <v>0</v>
      </c>
      <c r="L32" s="68" t="n">
        <f aca="false">IF(6&gt;Controls!$B$11,"-",SUMIFS(Nominal_Activity!$M$2:$M$3000,Nominal_Activity!$C$2:$C$3000,$A32,Nominal_Activity!$G$2:$G$3000,"&gt;="&amp;DATE(Controls!$B$5,6,1),Nominal_Activity!$G$2:$G$3000,"&lt;="&amp;EOMONTH(DATE(Controls!$B$5,6,1),0),Nominal_Activity!$A$2:$A$3000,Controls!$B$7))</f>
        <v>0</v>
      </c>
      <c r="M32" s="68" t="str">
        <f aca="false">IF(7&gt;Controls!$B$11,"-",SUMIFS(Nominal_Activity!$M$2:$M$3000,Nominal_Activity!$C$2:$C$3000,$A32,Nominal_Activity!$G$2:$G$3000,"&gt;="&amp;DATE(Controls!$B$5,7,1),Nominal_Activity!$G$2:$G$3000,"&lt;="&amp;EOMONTH(DATE(Controls!$B$5,7,1),0),Nominal_Activity!$A$2:$A$3000,Controls!$B$7))</f>
        <v>-</v>
      </c>
      <c r="N32" s="68" t="str">
        <f aca="false">IF(8&gt;Controls!$B$11,"-",SUMIFS(Nominal_Activity!$M$2:$M$3000,Nominal_Activity!$C$2:$C$3000,$A32,Nominal_Activity!$G$2:$G$3000,"&gt;="&amp;DATE(Controls!$B$5,8,1),Nominal_Activity!$G$2:$G$3000,"&lt;="&amp;EOMONTH(DATE(Controls!$B$5,8,1),0),Nominal_Activity!$A$2:$A$3000,Controls!$B$7))</f>
        <v>-</v>
      </c>
      <c r="O32" s="68" t="str">
        <f aca="false">IF(9&gt;Controls!$B$11,"-",SUMIFS(Nominal_Activity!$M$2:$M$3000,Nominal_Activity!$C$2:$C$3000,$A32,Nominal_Activity!$G$2:$G$3000,"&gt;="&amp;DATE(Controls!$B$5,9,1),Nominal_Activity!$G$2:$G$3000,"&lt;="&amp;EOMONTH(DATE(Controls!$B$5,9,1),0),Nominal_Activity!$A$2:$A$3000,Controls!$B$7))</f>
        <v>-</v>
      </c>
      <c r="P32" s="68" t="str">
        <f aca="false">IF(10&gt;Controls!$B$11,"-",SUMIFS(Nominal_Activity!$M$2:$M$3000,Nominal_Activity!$C$2:$C$3000,$A32,Nominal_Activity!$G$2:$G$3000,"&gt;="&amp;DATE(Controls!$B$5,10,1),Nominal_Activity!$G$2:$G$3000,"&lt;="&amp;EOMONTH(DATE(Controls!$B$5,10,1),0),Nominal_Activity!$A$2:$A$3000,Controls!$B$7))</f>
        <v>-</v>
      </c>
      <c r="Q32" s="68" t="str">
        <f aca="false">IF(11&gt;Controls!$B$11,"-",SUMIFS(Nominal_Activity!$M$2:$M$3000,Nominal_Activity!$C$2:$C$3000,$A32,Nominal_Activity!$G$2:$G$3000,"&gt;="&amp;DATE(Controls!$B$5,11,1),Nominal_Activity!$G$2:$G$3000,"&lt;="&amp;EOMONTH(DATE(Controls!$B$5,11,1),0),Nominal_Activity!$A$2:$A$3000,Controls!$B$7))</f>
        <v>-</v>
      </c>
      <c r="R32" s="68" t="str">
        <f aca="false">IF(12&gt;Controls!$B$11,"-",SUMIFS(Nominal_Activity!$M$2:$M$3000,Nominal_Activity!$C$2:$C$3000,$A32,Nominal_Activity!$G$2:$G$3000,"&gt;="&amp;DATE(Controls!$B$5,12,1),Nominal_Activity!$G$2:$G$3000,"&lt;="&amp;EOMONTH(DATE(Controls!$B$5,12,1),0),Nominal_Activity!$A$2:$A$3000,Controls!$B$7))</f>
        <v>-</v>
      </c>
      <c r="S32" s="68" t="n">
        <f aca="false">SUM(G32:R32)</f>
        <v>0</v>
      </c>
      <c r="T32" s="68" t="n">
        <f aca="false">$F32-$S32</f>
        <v>0</v>
      </c>
      <c r="U32" s="77" t="n">
        <f aca="false">IFERROR($T32/$F32,0)</f>
        <v>0</v>
      </c>
      <c r="V32" s="68" t="n">
        <f aca="false">$S32*MM_FixedCost!G31</f>
        <v>0</v>
      </c>
      <c r="W32" s="68" t="n">
        <f aca="false">$S32-$V32</f>
        <v>0</v>
      </c>
      <c r="X32" s="135"/>
      <c r="Y32" s="136" t="n">
        <f aca="false">SUM($G32:$I32)</f>
        <v>0</v>
      </c>
      <c r="Z32" s="136" t="n">
        <f aca="false">$Y32*MM_FixedCost!$G31</f>
        <v>0</v>
      </c>
      <c r="AA32" s="136" t="n">
        <f aca="false">SUM($J32:$L32)</f>
        <v>0</v>
      </c>
      <c r="AB32" s="136" t="n">
        <f aca="false">$AA32*MM_FixedCost!$G31</f>
        <v>0</v>
      </c>
      <c r="AC32" s="136" t="n">
        <f aca="false">SUM($M32:$O32)</f>
        <v>0</v>
      </c>
      <c r="AD32" s="136" t="n">
        <f aca="false">$AC32*MM_FixedCost!$G31</f>
        <v>0</v>
      </c>
      <c r="AE32" s="136" t="n">
        <f aca="false">SUM($P32:$R32)</f>
        <v>0</v>
      </c>
      <c r="AF32" s="136" t="n">
        <f aca="false">$AE32*MM_FixedCost!$G31</f>
        <v>0</v>
      </c>
      <c r="AG32" s="136" t="n">
        <f aca="false">CHOOSE(VALUE(MID(Controls!$B$6,2,1)),$Z32,$AB32,$AD32,$AF32)</f>
        <v>0</v>
      </c>
    </row>
    <row r="33" customFormat="false" ht="13.5" hidden="false" customHeight="false" outlineLevel="0" collapsed="false">
      <c r="A33" s="67" t="n">
        <f aca="false">MM_FixedCost!A32</f>
        <v>7410</v>
      </c>
      <c r="B33" s="67" t="str">
        <f aca="false">MM_FixedCost!B32</f>
        <v>Proforest development</v>
      </c>
      <c r="C33" s="67" t="str">
        <f aca="false">MM_FixedCost!C32</f>
        <v>Business development and Comms</v>
      </c>
      <c r="D33" s="67" t="str">
        <f aca="false">MM_FixedCost!E32</f>
        <v>Discretionary</v>
      </c>
      <c r="E33" s="68" t="n">
        <f aca="false">MM_FixedCost!F32</f>
        <v>50000</v>
      </c>
      <c r="F33" s="68" t="n">
        <f aca="false">$E33/12*Controls!$B$11</f>
        <v>25000</v>
      </c>
      <c r="G33" s="68" t="n">
        <f aca="false">IF(1&gt;Controls!$B$11,"-",SUMIFS(Nominal_Activity!$M$2:$M$3000,Nominal_Activity!$C$2:$C$3000,$A33,Nominal_Activity!$G$2:$G$3000,"&gt;="&amp;DATE(Controls!$B$5,1,1),Nominal_Activity!$G$2:$G$3000,"&lt;="&amp;EOMONTH(DATE(Controls!$B$5,1,1),0),Nominal_Activity!$A$2:$A$3000,Controls!$B$7))</f>
        <v>558.24</v>
      </c>
      <c r="H33" s="68" t="n">
        <f aca="false">IF(2&gt;Controls!$B$11,"-",SUMIFS(Nominal_Activity!$M$2:$M$3000,Nominal_Activity!$C$2:$C$3000,$A33,Nominal_Activity!$G$2:$G$3000,"&gt;="&amp;DATE(Controls!$B$5,2,1),Nominal_Activity!$G$2:$G$3000,"&lt;="&amp;EOMONTH(DATE(Controls!$B$5,2,1),0),Nominal_Activity!$A$2:$A$3000,Controls!$B$7))</f>
        <v>29299.19</v>
      </c>
      <c r="I33" s="68" t="n">
        <f aca="false">IF(3&gt;Controls!$B$11,"-",SUMIFS(Nominal_Activity!$M$2:$M$3000,Nominal_Activity!$C$2:$C$3000,$A33,Nominal_Activity!$G$2:$G$3000,"&gt;="&amp;DATE(Controls!$B$5,3,1),Nominal_Activity!$G$2:$G$3000,"&lt;="&amp;EOMONTH(DATE(Controls!$B$5,3,1),0),Nominal_Activity!$A$2:$A$3000,Controls!$B$7))</f>
        <v>36306.79</v>
      </c>
      <c r="J33" s="68" t="n">
        <f aca="false">IF(4&gt;Controls!$B$11,"-",SUMIFS(Nominal_Activity!$M$2:$M$3000,Nominal_Activity!$C$2:$C$3000,$A33,Nominal_Activity!$G$2:$G$3000,"&gt;="&amp;DATE(Controls!$B$5,4,1),Nominal_Activity!$G$2:$G$3000,"&lt;="&amp;EOMONTH(DATE(Controls!$B$5,4,1),0),Nominal_Activity!$A$2:$A$3000,Controls!$B$7))</f>
        <v>1483.79</v>
      </c>
      <c r="K33" s="68" t="n">
        <f aca="false">IF(5&gt;Controls!$B$11,"-",SUMIFS(Nominal_Activity!$M$2:$M$3000,Nominal_Activity!$C$2:$C$3000,$A33,Nominal_Activity!$G$2:$G$3000,"&gt;="&amp;DATE(Controls!$B$5,5,1),Nominal_Activity!$G$2:$G$3000,"&lt;="&amp;EOMONTH(DATE(Controls!$B$5,5,1),0),Nominal_Activity!$A$2:$A$3000,Controls!$B$7))</f>
        <v>1915.22</v>
      </c>
      <c r="L33" s="68" t="n">
        <f aca="false">IF(6&gt;Controls!$B$11,"-",SUMIFS(Nominal_Activity!$M$2:$M$3000,Nominal_Activity!$C$2:$C$3000,$A33,Nominal_Activity!$G$2:$G$3000,"&gt;="&amp;DATE(Controls!$B$5,6,1),Nominal_Activity!$G$2:$G$3000,"&lt;="&amp;EOMONTH(DATE(Controls!$B$5,6,1),0),Nominal_Activity!$A$2:$A$3000,Controls!$B$7))</f>
        <v>7532.64</v>
      </c>
      <c r="M33" s="68" t="str">
        <f aca="false">IF(7&gt;Controls!$B$11,"-",SUMIFS(Nominal_Activity!$M$2:$M$3000,Nominal_Activity!$C$2:$C$3000,$A33,Nominal_Activity!$G$2:$G$3000,"&gt;="&amp;DATE(Controls!$B$5,7,1),Nominal_Activity!$G$2:$G$3000,"&lt;="&amp;EOMONTH(DATE(Controls!$B$5,7,1),0),Nominal_Activity!$A$2:$A$3000,Controls!$B$7))</f>
        <v>-</v>
      </c>
      <c r="N33" s="68" t="str">
        <f aca="false">IF(8&gt;Controls!$B$11,"-",SUMIFS(Nominal_Activity!$M$2:$M$3000,Nominal_Activity!$C$2:$C$3000,$A33,Nominal_Activity!$G$2:$G$3000,"&gt;="&amp;DATE(Controls!$B$5,8,1),Nominal_Activity!$G$2:$G$3000,"&lt;="&amp;EOMONTH(DATE(Controls!$B$5,8,1),0),Nominal_Activity!$A$2:$A$3000,Controls!$B$7))</f>
        <v>-</v>
      </c>
      <c r="O33" s="68" t="str">
        <f aca="false">IF(9&gt;Controls!$B$11,"-",SUMIFS(Nominal_Activity!$M$2:$M$3000,Nominal_Activity!$C$2:$C$3000,$A33,Nominal_Activity!$G$2:$G$3000,"&gt;="&amp;DATE(Controls!$B$5,9,1),Nominal_Activity!$G$2:$G$3000,"&lt;="&amp;EOMONTH(DATE(Controls!$B$5,9,1),0),Nominal_Activity!$A$2:$A$3000,Controls!$B$7))</f>
        <v>-</v>
      </c>
      <c r="P33" s="68" t="str">
        <f aca="false">IF(10&gt;Controls!$B$11,"-",SUMIFS(Nominal_Activity!$M$2:$M$3000,Nominal_Activity!$C$2:$C$3000,$A33,Nominal_Activity!$G$2:$G$3000,"&gt;="&amp;DATE(Controls!$B$5,10,1),Nominal_Activity!$G$2:$G$3000,"&lt;="&amp;EOMONTH(DATE(Controls!$B$5,10,1),0),Nominal_Activity!$A$2:$A$3000,Controls!$B$7))</f>
        <v>-</v>
      </c>
      <c r="Q33" s="68" t="str">
        <f aca="false">IF(11&gt;Controls!$B$11,"-",SUMIFS(Nominal_Activity!$M$2:$M$3000,Nominal_Activity!$C$2:$C$3000,$A33,Nominal_Activity!$G$2:$G$3000,"&gt;="&amp;DATE(Controls!$B$5,11,1),Nominal_Activity!$G$2:$G$3000,"&lt;="&amp;EOMONTH(DATE(Controls!$B$5,11,1),0),Nominal_Activity!$A$2:$A$3000,Controls!$B$7))</f>
        <v>-</v>
      </c>
      <c r="R33" s="68" t="str">
        <f aca="false">IF(12&gt;Controls!$B$11,"-",SUMIFS(Nominal_Activity!$M$2:$M$3000,Nominal_Activity!$C$2:$C$3000,$A33,Nominal_Activity!$G$2:$G$3000,"&gt;="&amp;DATE(Controls!$B$5,12,1),Nominal_Activity!$G$2:$G$3000,"&lt;="&amp;EOMONTH(DATE(Controls!$B$5,12,1),0),Nominal_Activity!$A$2:$A$3000,Controls!$B$7))</f>
        <v>-</v>
      </c>
      <c r="S33" s="68" t="n">
        <f aca="false">SUM(G33:R33)</f>
        <v>77095.87</v>
      </c>
      <c r="T33" s="68" t="n">
        <f aca="false">$F33-$S33</f>
        <v>-52095.87</v>
      </c>
      <c r="U33" s="77" t="n">
        <f aca="false">IFERROR($T33/$F33,0)</f>
        <v>-2.0838348</v>
      </c>
      <c r="V33" s="68" t="n">
        <f aca="false">$S33*MM_FixedCost!G32</f>
        <v>19273.9675</v>
      </c>
      <c r="W33" s="68" t="n">
        <f aca="false">$S33-$V33</f>
        <v>57821.9025</v>
      </c>
      <c r="X33" s="135"/>
      <c r="Y33" s="136" t="n">
        <f aca="false">SUM($G33:$I33)</f>
        <v>66164.22</v>
      </c>
      <c r="Z33" s="136" t="n">
        <f aca="false">$Y33*MM_FixedCost!$G32</f>
        <v>16541.055</v>
      </c>
      <c r="AA33" s="136" t="n">
        <f aca="false">SUM($J33:$L33)</f>
        <v>10931.65</v>
      </c>
      <c r="AB33" s="136" t="n">
        <f aca="false">$AA33*MM_FixedCost!$G32</f>
        <v>2732.9125</v>
      </c>
      <c r="AC33" s="136" t="n">
        <f aca="false">SUM($M33:$O33)</f>
        <v>0</v>
      </c>
      <c r="AD33" s="136" t="n">
        <f aca="false">$AC33*MM_FixedCost!$G32</f>
        <v>0</v>
      </c>
      <c r="AE33" s="136" t="n">
        <f aca="false">SUM($P33:$R33)</f>
        <v>0</v>
      </c>
      <c r="AF33" s="136" t="n">
        <f aca="false">$AE33*MM_FixedCost!$G32</f>
        <v>0</v>
      </c>
      <c r="AG33" s="136" t="n">
        <f aca="false">CHOOSE(VALUE(MID(Controls!$B$6,2,1)),$Z33,$AB33,$AD33,$AF33)</f>
        <v>2732.9125</v>
      </c>
    </row>
    <row r="34" customFormat="false" ht="13.5" hidden="false" customHeight="false" outlineLevel="0" collapsed="false">
      <c r="A34" s="67" t="n">
        <f aca="false">MM_FixedCost!A33</f>
        <v>7420</v>
      </c>
      <c r="B34" s="67" t="str">
        <f aca="false">MM_FixedCost!B33</f>
        <v>Memberships, subscriptions and licences</v>
      </c>
      <c r="C34" s="67" t="str">
        <f aca="false">MM_FixedCost!C33</f>
        <v>Professional development and Training</v>
      </c>
      <c r="D34" s="67" t="str">
        <f aca="false">MM_FixedCost!E33</f>
        <v>Discretionary</v>
      </c>
      <c r="E34" s="68" t="n">
        <f aca="false">MM_FixedCost!F33</f>
        <v>53549.3</v>
      </c>
      <c r="F34" s="68" t="n">
        <f aca="false">$E34/12*Controls!$B$11</f>
        <v>26774.65</v>
      </c>
      <c r="G34" s="68" t="n">
        <f aca="false">IF(1&gt;Controls!$B$11,"-",SUMIFS(Nominal_Activity!$M$2:$M$3000,Nominal_Activity!$C$2:$C$3000,$A34,Nominal_Activity!$G$2:$G$3000,"&gt;="&amp;DATE(Controls!$B$5,1,1),Nominal_Activity!$G$2:$G$3000,"&lt;="&amp;EOMONTH(DATE(Controls!$B$5,1,1),0),Nominal_Activity!$A$2:$A$3000,Controls!$B$7))</f>
        <v>1228</v>
      </c>
      <c r="H34" s="68" t="n">
        <f aca="false">IF(2&gt;Controls!$B$11,"-",SUMIFS(Nominal_Activity!$M$2:$M$3000,Nominal_Activity!$C$2:$C$3000,$A34,Nominal_Activity!$G$2:$G$3000,"&gt;="&amp;DATE(Controls!$B$5,2,1),Nominal_Activity!$G$2:$G$3000,"&lt;="&amp;EOMONTH(DATE(Controls!$B$5,2,1),0),Nominal_Activity!$A$2:$A$3000,Controls!$B$7))</f>
        <v>0</v>
      </c>
      <c r="I34" s="68" t="n">
        <f aca="false">IF(3&gt;Controls!$B$11,"-",SUMIFS(Nominal_Activity!$M$2:$M$3000,Nominal_Activity!$C$2:$C$3000,$A34,Nominal_Activity!$G$2:$G$3000,"&gt;="&amp;DATE(Controls!$B$5,3,1),Nominal_Activity!$G$2:$G$3000,"&lt;="&amp;EOMONTH(DATE(Controls!$B$5,3,1),0),Nominal_Activity!$A$2:$A$3000,Controls!$B$7))</f>
        <v>5712.54</v>
      </c>
      <c r="J34" s="68" t="n">
        <f aca="false">IF(4&gt;Controls!$B$11,"-",SUMIFS(Nominal_Activity!$M$2:$M$3000,Nominal_Activity!$C$2:$C$3000,$A34,Nominal_Activity!$G$2:$G$3000,"&gt;="&amp;DATE(Controls!$B$5,4,1),Nominal_Activity!$G$2:$G$3000,"&lt;="&amp;EOMONTH(DATE(Controls!$B$5,4,1),0),Nominal_Activity!$A$2:$A$3000,Controls!$B$7))</f>
        <v>1455.27</v>
      </c>
      <c r="K34" s="68" t="n">
        <f aca="false">IF(5&gt;Controls!$B$11,"-",SUMIFS(Nominal_Activity!$M$2:$M$3000,Nominal_Activity!$C$2:$C$3000,$A34,Nominal_Activity!$G$2:$G$3000,"&gt;="&amp;DATE(Controls!$B$5,5,1),Nominal_Activity!$G$2:$G$3000,"&lt;="&amp;EOMONTH(DATE(Controls!$B$5,5,1),0),Nominal_Activity!$A$2:$A$3000,Controls!$B$7))</f>
        <v>1506.59</v>
      </c>
      <c r="L34" s="68" t="n">
        <f aca="false">IF(6&gt;Controls!$B$11,"-",SUMIFS(Nominal_Activity!$M$2:$M$3000,Nominal_Activity!$C$2:$C$3000,$A34,Nominal_Activity!$G$2:$G$3000,"&gt;="&amp;DATE(Controls!$B$5,6,1),Nominal_Activity!$G$2:$G$3000,"&lt;="&amp;EOMONTH(DATE(Controls!$B$5,6,1),0),Nominal_Activity!$A$2:$A$3000,Controls!$B$7))</f>
        <v>3380.11</v>
      </c>
      <c r="M34" s="68" t="str">
        <f aca="false">IF(7&gt;Controls!$B$11,"-",SUMIFS(Nominal_Activity!$M$2:$M$3000,Nominal_Activity!$C$2:$C$3000,$A34,Nominal_Activity!$G$2:$G$3000,"&gt;="&amp;DATE(Controls!$B$5,7,1),Nominal_Activity!$G$2:$G$3000,"&lt;="&amp;EOMONTH(DATE(Controls!$B$5,7,1),0),Nominal_Activity!$A$2:$A$3000,Controls!$B$7))</f>
        <v>-</v>
      </c>
      <c r="N34" s="68" t="str">
        <f aca="false">IF(8&gt;Controls!$B$11,"-",SUMIFS(Nominal_Activity!$M$2:$M$3000,Nominal_Activity!$C$2:$C$3000,$A34,Nominal_Activity!$G$2:$G$3000,"&gt;="&amp;DATE(Controls!$B$5,8,1),Nominal_Activity!$G$2:$G$3000,"&lt;="&amp;EOMONTH(DATE(Controls!$B$5,8,1),0),Nominal_Activity!$A$2:$A$3000,Controls!$B$7))</f>
        <v>-</v>
      </c>
      <c r="O34" s="68" t="str">
        <f aca="false">IF(9&gt;Controls!$B$11,"-",SUMIFS(Nominal_Activity!$M$2:$M$3000,Nominal_Activity!$C$2:$C$3000,$A34,Nominal_Activity!$G$2:$G$3000,"&gt;="&amp;DATE(Controls!$B$5,9,1),Nominal_Activity!$G$2:$G$3000,"&lt;="&amp;EOMONTH(DATE(Controls!$B$5,9,1),0),Nominal_Activity!$A$2:$A$3000,Controls!$B$7))</f>
        <v>-</v>
      </c>
      <c r="P34" s="68" t="str">
        <f aca="false">IF(10&gt;Controls!$B$11,"-",SUMIFS(Nominal_Activity!$M$2:$M$3000,Nominal_Activity!$C$2:$C$3000,$A34,Nominal_Activity!$G$2:$G$3000,"&gt;="&amp;DATE(Controls!$B$5,10,1),Nominal_Activity!$G$2:$G$3000,"&lt;="&amp;EOMONTH(DATE(Controls!$B$5,10,1),0),Nominal_Activity!$A$2:$A$3000,Controls!$B$7))</f>
        <v>-</v>
      </c>
      <c r="Q34" s="68" t="str">
        <f aca="false">IF(11&gt;Controls!$B$11,"-",SUMIFS(Nominal_Activity!$M$2:$M$3000,Nominal_Activity!$C$2:$C$3000,$A34,Nominal_Activity!$G$2:$G$3000,"&gt;="&amp;DATE(Controls!$B$5,11,1),Nominal_Activity!$G$2:$G$3000,"&lt;="&amp;EOMONTH(DATE(Controls!$B$5,11,1),0),Nominal_Activity!$A$2:$A$3000,Controls!$B$7))</f>
        <v>-</v>
      </c>
      <c r="R34" s="68" t="str">
        <f aca="false">IF(12&gt;Controls!$B$11,"-",SUMIFS(Nominal_Activity!$M$2:$M$3000,Nominal_Activity!$C$2:$C$3000,$A34,Nominal_Activity!$G$2:$G$3000,"&gt;="&amp;DATE(Controls!$B$5,12,1),Nominal_Activity!$G$2:$G$3000,"&lt;="&amp;EOMONTH(DATE(Controls!$B$5,12,1),0),Nominal_Activity!$A$2:$A$3000,Controls!$B$7))</f>
        <v>-</v>
      </c>
      <c r="S34" s="68" t="n">
        <f aca="false">SUM(G34:R34)</f>
        <v>13282.51</v>
      </c>
      <c r="T34" s="68" t="n">
        <f aca="false">$F34-$S34</f>
        <v>13492.14</v>
      </c>
      <c r="U34" s="77" t="n">
        <f aca="false">IFERROR($T34/$F34,0)</f>
        <v>0.503914710369697</v>
      </c>
      <c r="V34" s="68" t="n">
        <f aca="false">$S34*MM_FixedCost!G33</f>
        <v>0</v>
      </c>
      <c r="W34" s="68" t="n">
        <f aca="false">$S34-$V34</f>
        <v>13282.51</v>
      </c>
      <c r="X34" s="135"/>
      <c r="Y34" s="136" t="n">
        <f aca="false">SUM($G34:$I34)</f>
        <v>6940.54</v>
      </c>
      <c r="Z34" s="136" t="n">
        <f aca="false">$Y34*MM_FixedCost!$G33</f>
        <v>0</v>
      </c>
      <c r="AA34" s="136" t="n">
        <f aca="false">SUM($J34:$L34)</f>
        <v>6341.97</v>
      </c>
      <c r="AB34" s="136" t="n">
        <f aca="false">$AA34*MM_FixedCost!$G33</f>
        <v>0</v>
      </c>
      <c r="AC34" s="136" t="n">
        <f aca="false">SUM($M34:$O34)</f>
        <v>0</v>
      </c>
      <c r="AD34" s="136" t="n">
        <f aca="false">$AC34*MM_FixedCost!$G33</f>
        <v>0</v>
      </c>
      <c r="AE34" s="136" t="n">
        <f aca="false">SUM($P34:$R34)</f>
        <v>0</v>
      </c>
      <c r="AF34" s="136" t="n">
        <f aca="false">$AE34*MM_FixedCost!$G33</f>
        <v>0</v>
      </c>
      <c r="AG34" s="136" t="n">
        <f aca="false">CHOOSE(VALUE(MID(Controls!$B$6,2,1)),$Z34,$AB34,$AD34,$AF34)</f>
        <v>0</v>
      </c>
    </row>
    <row r="35" customFormat="false" ht="13.5" hidden="false" customHeight="false" outlineLevel="0" collapsed="false">
      <c r="A35" s="67" t="n">
        <f aca="false">MM_FixedCost!A34</f>
        <v>7430</v>
      </c>
      <c r="B35" s="67" t="str">
        <f aca="false">MM_FixedCost!B34</f>
        <v>Sponsorship of students</v>
      </c>
      <c r="C35" s="67" t="str">
        <f aca="false">MM_FixedCost!C34</f>
        <v>Professional development and Training</v>
      </c>
      <c r="D35" s="67" t="str">
        <f aca="false">MM_FixedCost!E34</f>
        <v>Discretionary</v>
      </c>
      <c r="E35" s="68" t="n">
        <f aca="false">MM_FixedCost!F34</f>
        <v>30000</v>
      </c>
      <c r="F35" s="68" t="n">
        <f aca="false">$E35/12*Controls!$B$11</f>
        <v>15000</v>
      </c>
      <c r="G35" s="68" t="n">
        <f aca="false">IF(1&gt;Controls!$B$11,"-",SUMIFS(Nominal_Activity!$M$2:$M$3000,Nominal_Activity!$C$2:$C$3000,$A35,Nominal_Activity!$G$2:$G$3000,"&gt;="&amp;DATE(Controls!$B$5,1,1),Nominal_Activity!$G$2:$G$3000,"&lt;="&amp;EOMONTH(DATE(Controls!$B$5,1,1),0),Nominal_Activity!$A$2:$A$3000,Controls!$B$7))</f>
        <v>1000</v>
      </c>
      <c r="H35" s="68" t="n">
        <f aca="false">IF(2&gt;Controls!$B$11,"-",SUMIFS(Nominal_Activity!$M$2:$M$3000,Nominal_Activity!$C$2:$C$3000,$A35,Nominal_Activity!$G$2:$G$3000,"&gt;="&amp;DATE(Controls!$B$5,2,1),Nominal_Activity!$G$2:$G$3000,"&lt;="&amp;EOMONTH(DATE(Controls!$B$5,2,1),0),Nominal_Activity!$A$2:$A$3000,Controls!$B$7))</f>
        <v>0</v>
      </c>
      <c r="I35" s="68" t="n">
        <f aca="false">IF(3&gt;Controls!$B$11,"-",SUMIFS(Nominal_Activity!$M$2:$M$3000,Nominal_Activity!$C$2:$C$3000,$A35,Nominal_Activity!$G$2:$G$3000,"&gt;="&amp;DATE(Controls!$B$5,3,1),Nominal_Activity!$G$2:$G$3000,"&lt;="&amp;EOMONTH(DATE(Controls!$B$5,3,1),0),Nominal_Activity!$A$2:$A$3000,Controls!$B$7))</f>
        <v>0</v>
      </c>
      <c r="J35" s="68" t="n">
        <f aca="false">IF(4&gt;Controls!$B$11,"-",SUMIFS(Nominal_Activity!$M$2:$M$3000,Nominal_Activity!$C$2:$C$3000,$A35,Nominal_Activity!$G$2:$G$3000,"&gt;="&amp;DATE(Controls!$B$5,4,1),Nominal_Activity!$G$2:$G$3000,"&lt;="&amp;EOMONTH(DATE(Controls!$B$5,4,1),0),Nominal_Activity!$A$2:$A$3000,Controls!$B$7))</f>
        <v>0</v>
      </c>
      <c r="K35" s="68" t="n">
        <f aca="false">IF(5&gt;Controls!$B$11,"-",SUMIFS(Nominal_Activity!$M$2:$M$3000,Nominal_Activity!$C$2:$C$3000,$A35,Nominal_Activity!$G$2:$G$3000,"&gt;="&amp;DATE(Controls!$B$5,5,1),Nominal_Activity!$G$2:$G$3000,"&lt;="&amp;EOMONTH(DATE(Controls!$B$5,5,1),0),Nominal_Activity!$A$2:$A$3000,Controls!$B$7))</f>
        <v>0</v>
      </c>
      <c r="L35" s="68" t="n">
        <f aca="false">IF(6&gt;Controls!$B$11,"-",SUMIFS(Nominal_Activity!$M$2:$M$3000,Nominal_Activity!$C$2:$C$3000,$A35,Nominal_Activity!$G$2:$G$3000,"&gt;="&amp;DATE(Controls!$B$5,6,1),Nominal_Activity!$G$2:$G$3000,"&lt;="&amp;EOMONTH(DATE(Controls!$B$5,6,1),0),Nominal_Activity!$A$2:$A$3000,Controls!$B$7))</f>
        <v>0</v>
      </c>
      <c r="M35" s="68" t="str">
        <f aca="false">IF(7&gt;Controls!$B$11,"-",SUMIFS(Nominal_Activity!$M$2:$M$3000,Nominal_Activity!$C$2:$C$3000,$A35,Nominal_Activity!$G$2:$G$3000,"&gt;="&amp;DATE(Controls!$B$5,7,1),Nominal_Activity!$G$2:$G$3000,"&lt;="&amp;EOMONTH(DATE(Controls!$B$5,7,1),0),Nominal_Activity!$A$2:$A$3000,Controls!$B$7))</f>
        <v>-</v>
      </c>
      <c r="N35" s="68" t="str">
        <f aca="false">IF(8&gt;Controls!$B$11,"-",SUMIFS(Nominal_Activity!$M$2:$M$3000,Nominal_Activity!$C$2:$C$3000,$A35,Nominal_Activity!$G$2:$G$3000,"&gt;="&amp;DATE(Controls!$B$5,8,1),Nominal_Activity!$G$2:$G$3000,"&lt;="&amp;EOMONTH(DATE(Controls!$B$5,8,1),0),Nominal_Activity!$A$2:$A$3000,Controls!$B$7))</f>
        <v>-</v>
      </c>
      <c r="O35" s="68" t="str">
        <f aca="false">IF(9&gt;Controls!$B$11,"-",SUMIFS(Nominal_Activity!$M$2:$M$3000,Nominal_Activity!$C$2:$C$3000,$A35,Nominal_Activity!$G$2:$G$3000,"&gt;="&amp;DATE(Controls!$B$5,9,1),Nominal_Activity!$G$2:$G$3000,"&lt;="&amp;EOMONTH(DATE(Controls!$B$5,9,1),0),Nominal_Activity!$A$2:$A$3000,Controls!$B$7))</f>
        <v>-</v>
      </c>
      <c r="P35" s="68" t="str">
        <f aca="false">IF(10&gt;Controls!$B$11,"-",SUMIFS(Nominal_Activity!$M$2:$M$3000,Nominal_Activity!$C$2:$C$3000,$A35,Nominal_Activity!$G$2:$G$3000,"&gt;="&amp;DATE(Controls!$B$5,10,1),Nominal_Activity!$G$2:$G$3000,"&lt;="&amp;EOMONTH(DATE(Controls!$B$5,10,1),0),Nominal_Activity!$A$2:$A$3000,Controls!$B$7))</f>
        <v>-</v>
      </c>
      <c r="Q35" s="68" t="str">
        <f aca="false">IF(11&gt;Controls!$B$11,"-",SUMIFS(Nominal_Activity!$M$2:$M$3000,Nominal_Activity!$C$2:$C$3000,$A35,Nominal_Activity!$G$2:$G$3000,"&gt;="&amp;DATE(Controls!$B$5,11,1),Nominal_Activity!$G$2:$G$3000,"&lt;="&amp;EOMONTH(DATE(Controls!$B$5,11,1),0),Nominal_Activity!$A$2:$A$3000,Controls!$B$7))</f>
        <v>-</v>
      </c>
      <c r="R35" s="68" t="str">
        <f aca="false">IF(12&gt;Controls!$B$11,"-",SUMIFS(Nominal_Activity!$M$2:$M$3000,Nominal_Activity!$C$2:$C$3000,$A35,Nominal_Activity!$G$2:$G$3000,"&gt;="&amp;DATE(Controls!$B$5,12,1),Nominal_Activity!$G$2:$G$3000,"&lt;="&amp;EOMONTH(DATE(Controls!$B$5,12,1),0),Nominal_Activity!$A$2:$A$3000,Controls!$B$7))</f>
        <v>-</v>
      </c>
      <c r="S35" s="68" t="n">
        <f aca="false">SUM(G35:R35)</f>
        <v>1000</v>
      </c>
      <c r="T35" s="68" t="n">
        <f aca="false">$F35-$S35</f>
        <v>14000</v>
      </c>
      <c r="U35" s="77" t="n">
        <f aca="false">IFERROR($T35/$F35,0)</f>
        <v>0.933333333333333</v>
      </c>
      <c r="V35" s="68" t="n">
        <f aca="false">$S35*MM_FixedCost!G34</f>
        <v>0</v>
      </c>
      <c r="W35" s="68" t="n">
        <f aca="false">$S35-$V35</f>
        <v>1000</v>
      </c>
      <c r="X35" s="135"/>
      <c r="Y35" s="136" t="n">
        <f aca="false">SUM($G35:$I35)</f>
        <v>1000</v>
      </c>
      <c r="Z35" s="136" t="n">
        <f aca="false">$Y35*MM_FixedCost!$G34</f>
        <v>0</v>
      </c>
      <c r="AA35" s="136" t="n">
        <f aca="false">SUM($J35:$L35)</f>
        <v>0</v>
      </c>
      <c r="AB35" s="136" t="n">
        <f aca="false">$AA35*MM_FixedCost!$G34</f>
        <v>0</v>
      </c>
      <c r="AC35" s="136" t="n">
        <f aca="false">SUM($M35:$O35)</f>
        <v>0</v>
      </c>
      <c r="AD35" s="136" t="n">
        <f aca="false">$AC35*MM_FixedCost!$G34</f>
        <v>0</v>
      </c>
      <c r="AE35" s="136" t="n">
        <f aca="false">SUM($P35:$R35)</f>
        <v>0</v>
      </c>
      <c r="AF35" s="136" t="n">
        <f aca="false">$AE35*MM_FixedCost!$G34</f>
        <v>0</v>
      </c>
      <c r="AG35" s="136" t="n">
        <f aca="false">CHOOSE(VALUE(MID(Controls!$B$6,2,1)),$Z35,$AB35,$AD35,$AF35)</f>
        <v>0</v>
      </c>
    </row>
    <row r="36" customFormat="false" ht="13.5" hidden="false" customHeight="false" outlineLevel="0" collapsed="false">
      <c r="A36" s="67" t="n">
        <f aca="false">MM_FixedCost!A35</f>
        <v>7440</v>
      </c>
      <c r="B36" s="67" t="str">
        <f aca="false">MM_FixedCost!B35</f>
        <v>Management Meetings</v>
      </c>
      <c r="C36" s="67" t="str">
        <f aca="false">MM_FixedCost!C35</f>
        <v>Internal events and meetings</v>
      </c>
      <c r="D36" s="67" t="str">
        <f aca="false">MM_FixedCost!E35</f>
        <v>Discretionary</v>
      </c>
      <c r="E36" s="68" t="n">
        <f aca="false">MM_FixedCost!F35</f>
        <v>149040</v>
      </c>
      <c r="F36" s="68" t="n">
        <f aca="false">$E36/12*Controls!$B$11</f>
        <v>74520</v>
      </c>
      <c r="G36" s="68" t="n">
        <f aca="false">IF(1&gt;Controls!$B$11,"-",SUMIFS(Nominal_Activity!$M$2:$M$3000,Nominal_Activity!$C$2:$C$3000,$A36,Nominal_Activity!$G$2:$G$3000,"&gt;="&amp;DATE(Controls!$B$5,1,1),Nominal_Activity!$G$2:$G$3000,"&lt;="&amp;EOMONTH(DATE(Controls!$B$5,1,1),0),Nominal_Activity!$A$2:$A$3000,Controls!$B$7))</f>
        <v>25490.41</v>
      </c>
      <c r="H36" s="68" t="n">
        <f aca="false">IF(2&gt;Controls!$B$11,"-",SUMIFS(Nominal_Activity!$M$2:$M$3000,Nominal_Activity!$C$2:$C$3000,$A36,Nominal_Activity!$G$2:$G$3000,"&gt;="&amp;DATE(Controls!$B$5,2,1),Nominal_Activity!$G$2:$G$3000,"&lt;="&amp;EOMONTH(DATE(Controls!$B$5,2,1),0),Nominal_Activity!$A$2:$A$3000,Controls!$B$7))</f>
        <v>0</v>
      </c>
      <c r="I36" s="68" t="n">
        <f aca="false">IF(3&gt;Controls!$B$11,"-",SUMIFS(Nominal_Activity!$M$2:$M$3000,Nominal_Activity!$C$2:$C$3000,$A36,Nominal_Activity!$G$2:$G$3000,"&gt;="&amp;DATE(Controls!$B$5,3,1),Nominal_Activity!$G$2:$G$3000,"&lt;="&amp;EOMONTH(DATE(Controls!$B$5,3,1),0),Nominal_Activity!$A$2:$A$3000,Controls!$B$7))</f>
        <v>0</v>
      </c>
      <c r="J36" s="68" t="n">
        <f aca="false">IF(4&gt;Controls!$B$11,"-",SUMIFS(Nominal_Activity!$M$2:$M$3000,Nominal_Activity!$C$2:$C$3000,$A36,Nominal_Activity!$G$2:$G$3000,"&gt;="&amp;DATE(Controls!$B$5,4,1),Nominal_Activity!$G$2:$G$3000,"&lt;="&amp;EOMONTH(DATE(Controls!$B$5,4,1),0),Nominal_Activity!$A$2:$A$3000,Controls!$B$7))</f>
        <v>2000</v>
      </c>
      <c r="K36" s="68" t="n">
        <f aca="false">IF(5&gt;Controls!$B$11,"-",SUMIFS(Nominal_Activity!$M$2:$M$3000,Nominal_Activity!$C$2:$C$3000,$A36,Nominal_Activity!$G$2:$G$3000,"&gt;="&amp;DATE(Controls!$B$5,5,1),Nominal_Activity!$G$2:$G$3000,"&lt;="&amp;EOMONTH(DATE(Controls!$B$5,5,1),0),Nominal_Activity!$A$2:$A$3000,Controls!$B$7))</f>
        <v>30662.17</v>
      </c>
      <c r="L36" s="68" t="n">
        <f aca="false">IF(6&gt;Controls!$B$11,"-",SUMIFS(Nominal_Activity!$M$2:$M$3000,Nominal_Activity!$C$2:$C$3000,$A36,Nominal_Activity!$G$2:$G$3000,"&gt;="&amp;DATE(Controls!$B$5,6,1),Nominal_Activity!$G$2:$G$3000,"&lt;="&amp;EOMONTH(DATE(Controls!$B$5,6,1),0),Nominal_Activity!$A$2:$A$3000,Controls!$B$7))</f>
        <v>-24529.74</v>
      </c>
      <c r="M36" s="68" t="str">
        <f aca="false">IF(7&gt;Controls!$B$11,"-",SUMIFS(Nominal_Activity!$M$2:$M$3000,Nominal_Activity!$C$2:$C$3000,$A36,Nominal_Activity!$G$2:$G$3000,"&gt;="&amp;DATE(Controls!$B$5,7,1),Nominal_Activity!$G$2:$G$3000,"&lt;="&amp;EOMONTH(DATE(Controls!$B$5,7,1),0),Nominal_Activity!$A$2:$A$3000,Controls!$B$7))</f>
        <v>-</v>
      </c>
      <c r="N36" s="68" t="str">
        <f aca="false">IF(8&gt;Controls!$B$11,"-",SUMIFS(Nominal_Activity!$M$2:$M$3000,Nominal_Activity!$C$2:$C$3000,$A36,Nominal_Activity!$G$2:$G$3000,"&gt;="&amp;DATE(Controls!$B$5,8,1),Nominal_Activity!$G$2:$G$3000,"&lt;="&amp;EOMONTH(DATE(Controls!$B$5,8,1),0),Nominal_Activity!$A$2:$A$3000,Controls!$B$7))</f>
        <v>-</v>
      </c>
      <c r="O36" s="68" t="str">
        <f aca="false">IF(9&gt;Controls!$B$11,"-",SUMIFS(Nominal_Activity!$M$2:$M$3000,Nominal_Activity!$C$2:$C$3000,$A36,Nominal_Activity!$G$2:$G$3000,"&gt;="&amp;DATE(Controls!$B$5,9,1),Nominal_Activity!$G$2:$G$3000,"&lt;="&amp;EOMONTH(DATE(Controls!$B$5,9,1),0),Nominal_Activity!$A$2:$A$3000,Controls!$B$7))</f>
        <v>-</v>
      </c>
      <c r="P36" s="68" t="str">
        <f aca="false">IF(10&gt;Controls!$B$11,"-",SUMIFS(Nominal_Activity!$M$2:$M$3000,Nominal_Activity!$C$2:$C$3000,$A36,Nominal_Activity!$G$2:$G$3000,"&gt;="&amp;DATE(Controls!$B$5,10,1),Nominal_Activity!$G$2:$G$3000,"&lt;="&amp;EOMONTH(DATE(Controls!$B$5,10,1),0),Nominal_Activity!$A$2:$A$3000,Controls!$B$7))</f>
        <v>-</v>
      </c>
      <c r="Q36" s="68" t="str">
        <f aca="false">IF(11&gt;Controls!$B$11,"-",SUMIFS(Nominal_Activity!$M$2:$M$3000,Nominal_Activity!$C$2:$C$3000,$A36,Nominal_Activity!$G$2:$G$3000,"&gt;="&amp;DATE(Controls!$B$5,11,1),Nominal_Activity!$G$2:$G$3000,"&lt;="&amp;EOMONTH(DATE(Controls!$B$5,11,1),0),Nominal_Activity!$A$2:$A$3000,Controls!$B$7))</f>
        <v>-</v>
      </c>
      <c r="R36" s="68" t="str">
        <f aca="false">IF(12&gt;Controls!$B$11,"-",SUMIFS(Nominal_Activity!$M$2:$M$3000,Nominal_Activity!$C$2:$C$3000,$A36,Nominal_Activity!$G$2:$G$3000,"&gt;="&amp;DATE(Controls!$B$5,12,1),Nominal_Activity!$G$2:$G$3000,"&lt;="&amp;EOMONTH(DATE(Controls!$B$5,12,1),0),Nominal_Activity!$A$2:$A$3000,Controls!$B$7))</f>
        <v>-</v>
      </c>
      <c r="S36" s="68" t="n">
        <f aca="false">SUM(G36:R36)</f>
        <v>33622.84</v>
      </c>
      <c r="T36" s="68" t="n">
        <f aca="false">$F36-$S36</f>
        <v>40897.16</v>
      </c>
      <c r="U36" s="77" t="n">
        <f aca="false">IFERROR($T36/$F36,0)</f>
        <v>0.54880783682233</v>
      </c>
      <c r="V36" s="68" t="n">
        <f aca="false">$S36*MM_FixedCost!G35</f>
        <v>0</v>
      </c>
      <c r="W36" s="68" t="n">
        <f aca="false">$S36-$V36</f>
        <v>33622.84</v>
      </c>
      <c r="X36" s="135"/>
      <c r="Y36" s="136" t="n">
        <f aca="false">SUM($G36:$I36)</f>
        <v>25490.41</v>
      </c>
      <c r="Z36" s="136" t="n">
        <f aca="false">$Y36*MM_FixedCost!$G35</f>
        <v>0</v>
      </c>
      <c r="AA36" s="136" t="n">
        <f aca="false">SUM($J36:$L36)</f>
        <v>8132.43</v>
      </c>
      <c r="AB36" s="136" t="n">
        <f aca="false">$AA36*MM_FixedCost!$G35</f>
        <v>0</v>
      </c>
      <c r="AC36" s="136" t="n">
        <f aca="false">SUM($M36:$O36)</f>
        <v>0</v>
      </c>
      <c r="AD36" s="136" t="n">
        <f aca="false">$AC36*MM_FixedCost!$G35</f>
        <v>0</v>
      </c>
      <c r="AE36" s="136" t="n">
        <f aca="false">SUM($P36:$R36)</f>
        <v>0</v>
      </c>
      <c r="AF36" s="136" t="n">
        <f aca="false">$AE36*MM_FixedCost!$G35</f>
        <v>0</v>
      </c>
      <c r="AG36" s="136" t="n">
        <f aca="false">CHOOSE(VALUE(MID(Controls!$B$6,2,1)),$Z36,$AB36,$AD36,$AF36)</f>
        <v>0</v>
      </c>
    </row>
    <row r="37" customFormat="false" ht="13.5" hidden="false" customHeight="false" outlineLevel="0" collapsed="false">
      <c r="A37" s="67" t="n">
        <f aca="false">MM_FixedCost!A36</f>
        <v>7500</v>
      </c>
      <c r="B37" s="67" t="str">
        <f aca="false">MM_FixedCost!B36</f>
        <v>ExternalComms - Couriers and post</v>
      </c>
      <c r="C37" s="67" t="str">
        <f aca="false">MM_FixedCost!C36</f>
        <v>Business development and Comms</v>
      </c>
      <c r="D37" s="67" t="str">
        <f aca="false">MM_FixedCost!E36</f>
        <v>Discretionary</v>
      </c>
      <c r="E37" s="68" t="n">
        <f aca="false">MM_FixedCost!F36</f>
        <v>2500</v>
      </c>
      <c r="F37" s="68" t="n">
        <f aca="false">$E37/12*Controls!$B$11</f>
        <v>1250</v>
      </c>
      <c r="G37" s="68" t="n">
        <f aca="false">IF(1&gt;Controls!$B$11,"-",SUMIFS(Nominal_Activity!$M$2:$M$3000,Nominal_Activity!$C$2:$C$3000,$A37,Nominal_Activity!$G$2:$G$3000,"&gt;="&amp;DATE(Controls!$B$5,1,1),Nominal_Activity!$G$2:$G$3000,"&lt;="&amp;EOMONTH(DATE(Controls!$B$5,1,1),0),Nominal_Activity!$A$2:$A$3000,Controls!$B$7))</f>
        <v>0</v>
      </c>
      <c r="H37" s="68" t="n">
        <f aca="false">IF(2&gt;Controls!$B$11,"-",SUMIFS(Nominal_Activity!$M$2:$M$3000,Nominal_Activity!$C$2:$C$3000,$A37,Nominal_Activity!$G$2:$G$3000,"&gt;="&amp;DATE(Controls!$B$5,2,1),Nominal_Activity!$G$2:$G$3000,"&lt;="&amp;EOMONTH(DATE(Controls!$B$5,2,1),0),Nominal_Activity!$A$2:$A$3000,Controls!$B$7))</f>
        <v>0</v>
      </c>
      <c r="I37" s="68" t="n">
        <f aca="false">IF(3&gt;Controls!$B$11,"-",SUMIFS(Nominal_Activity!$M$2:$M$3000,Nominal_Activity!$C$2:$C$3000,$A37,Nominal_Activity!$G$2:$G$3000,"&gt;="&amp;DATE(Controls!$B$5,3,1),Nominal_Activity!$G$2:$G$3000,"&lt;="&amp;EOMONTH(DATE(Controls!$B$5,3,1),0),Nominal_Activity!$A$2:$A$3000,Controls!$B$7))</f>
        <v>0</v>
      </c>
      <c r="J37" s="68" t="n">
        <f aca="false">IF(4&gt;Controls!$B$11,"-",SUMIFS(Nominal_Activity!$M$2:$M$3000,Nominal_Activity!$C$2:$C$3000,$A37,Nominal_Activity!$G$2:$G$3000,"&gt;="&amp;DATE(Controls!$B$5,4,1),Nominal_Activity!$G$2:$G$3000,"&lt;="&amp;EOMONTH(DATE(Controls!$B$5,4,1),0),Nominal_Activity!$A$2:$A$3000,Controls!$B$7))</f>
        <v>0</v>
      </c>
      <c r="K37" s="68" t="n">
        <f aca="false">IF(5&gt;Controls!$B$11,"-",SUMIFS(Nominal_Activity!$M$2:$M$3000,Nominal_Activity!$C$2:$C$3000,$A37,Nominal_Activity!$G$2:$G$3000,"&gt;="&amp;DATE(Controls!$B$5,5,1),Nominal_Activity!$G$2:$G$3000,"&lt;="&amp;EOMONTH(DATE(Controls!$B$5,5,1),0),Nominal_Activity!$A$2:$A$3000,Controls!$B$7))</f>
        <v>0</v>
      </c>
      <c r="L37" s="68" t="n">
        <f aca="false">IF(6&gt;Controls!$B$11,"-",SUMIFS(Nominal_Activity!$M$2:$M$3000,Nominal_Activity!$C$2:$C$3000,$A37,Nominal_Activity!$G$2:$G$3000,"&gt;="&amp;DATE(Controls!$B$5,6,1),Nominal_Activity!$G$2:$G$3000,"&lt;="&amp;EOMONTH(DATE(Controls!$B$5,6,1),0),Nominal_Activity!$A$2:$A$3000,Controls!$B$7))</f>
        <v>0</v>
      </c>
      <c r="M37" s="68" t="str">
        <f aca="false">IF(7&gt;Controls!$B$11,"-",SUMIFS(Nominal_Activity!$M$2:$M$3000,Nominal_Activity!$C$2:$C$3000,$A37,Nominal_Activity!$G$2:$G$3000,"&gt;="&amp;DATE(Controls!$B$5,7,1),Nominal_Activity!$G$2:$G$3000,"&lt;="&amp;EOMONTH(DATE(Controls!$B$5,7,1),0),Nominal_Activity!$A$2:$A$3000,Controls!$B$7))</f>
        <v>-</v>
      </c>
      <c r="N37" s="68" t="str">
        <f aca="false">IF(8&gt;Controls!$B$11,"-",SUMIFS(Nominal_Activity!$M$2:$M$3000,Nominal_Activity!$C$2:$C$3000,$A37,Nominal_Activity!$G$2:$G$3000,"&gt;="&amp;DATE(Controls!$B$5,8,1),Nominal_Activity!$G$2:$G$3000,"&lt;="&amp;EOMONTH(DATE(Controls!$B$5,8,1),0),Nominal_Activity!$A$2:$A$3000,Controls!$B$7))</f>
        <v>-</v>
      </c>
      <c r="O37" s="68" t="str">
        <f aca="false">IF(9&gt;Controls!$B$11,"-",SUMIFS(Nominal_Activity!$M$2:$M$3000,Nominal_Activity!$C$2:$C$3000,$A37,Nominal_Activity!$G$2:$G$3000,"&gt;="&amp;DATE(Controls!$B$5,9,1),Nominal_Activity!$G$2:$G$3000,"&lt;="&amp;EOMONTH(DATE(Controls!$B$5,9,1),0),Nominal_Activity!$A$2:$A$3000,Controls!$B$7))</f>
        <v>-</v>
      </c>
      <c r="P37" s="68" t="str">
        <f aca="false">IF(10&gt;Controls!$B$11,"-",SUMIFS(Nominal_Activity!$M$2:$M$3000,Nominal_Activity!$C$2:$C$3000,$A37,Nominal_Activity!$G$2:$G$3000,"&gt;="&amp;DATE(Controls!$B$5,10,1),Nominal_Activity!$G$2:$G$3000,"&lt;="&amp;EOMONTH(DATE(Controls!$B$5,10,1),0),Nominal_Activity!$A$2:$A$3000,Controls!$B$7))</f>
        <v>-</v>
      </c>
      <c r="Q37" s="68" t="str">
        <f aca="false">IF(11&gt;Controls!$B$11,"-",SUMIFS(Nominal_Activity!$M$2:$M$3000,Nominal_Activity!$C$2:$C$3000,$A37,Nominal_Activity!$G$2:$G$3000,"&gt;="&amp;DATE(Controls!$B$5,11,1),Nominal_Activity!$G$2:$G$3000,"&lt;="&amp;EOMONTH(DATE(Controls!$B$5,11,1),0),Nominal_Activity!$A$2:$A$3000,Controls!$B$7))</f>
        <v>-</v>
      </c>
      <c r="R37" s="68" t="str">
        <f aca="false">IF(12&gt;Controls!$B$11,"-",SUMIFS(Nominal_Activity!$M$2:$M$3000,Nominal_Activity!$C$2:$C$3000,$A37,Nominal_Activity!$G$2:$G$3000,"&gt;="&amp;DATE(Controls!$B$5,12,1),Nominal_Activity!$G$2:$G$3000,"&lt;="&amp;EOMONTH(DATE(Controls!$B$5,12,1),0),Nominal_Activity!$A$2:$A$3000,Controls!$B$7))</f>
        <v>-</v>
      </c>
      <c r="S37" s="68" t="n">
        <f aca="false">SUM(G37:R37)</f>
        <v>0</v>
      </c>
      <c r="T37" s="68" t="n">
        <f aca="false">$F37-$S37</f>
        <v>1250</v>
      </c>
      <c r="U37" s="77" t="n">
        <f aca="false">IFERROR($T37/$F37,0)</f>
        <v>1</v>
      </c>
      <c r="V37" s="68" t="n">
        <f aca="false">$S37*MM_FixedCost!G36</f>
        <v>0</v>
      </c>
      <c r="W37" s="68" t="n">
        <f aca="false">$S37-$V37</f>
        <v>0</v>
      </c>
      <c r="X37" s="135"/>
      <c r="Y37" s="136" t="n">
        <f aca="false">SUM($G37:$I37)</f>
        <v>0</v>
      </c>
      <c r="Z37" s="136" t="n">
        <f aca="false">$Y37*MM_FixedCost!$G36</f>
        <v>0</v>
      </c>
      <c r="AA37" s="136" t="n">
        <f aca="false">SUM($J37:$L37)</f>
        <v>0</v>
      </c>
      <c r="AB37" s="136" t="n">
        <f aca="false">$AA37*MM_FixedCost!$G36</f>
        <v>0</v>
      </c>
      <c r="AC37" s="136" t="n">
        <f aca="false">SUM($M37:$O37)</f>
        <v>0</v>
      </c>
      <c r="AD37" s="136" t="n">
        <f aca="false">$AC37*MM_FixedCost!$G36</f>
        <v>0</v>
      </c>
      <c r="AE37" s="136" t="n">
        <f aca="false">SUM($P37:$R37)</f>
        <v>0</v>
      </c>
      <c r="AF37" s="136" t="n">
        <f aca="false">$AE37*MM_FixedCost!$G36</f>
        <v>0</v>
      </c>
      <c r="AG37" s="136" t="n">
        <f aca="false">CHOOSE(VALUE(MID(Controls!$B$6,2,1)),$Z37,$AB37,$AD37,$AF37)</f>
        <v>0</v>
      </c>
    </row>
    <row r="38" customFormat="false" ht="13.5" hidden="false" customHeight="false" outlineLevel="0" collapsed="false">
      <c r="A38" s="67" t="n">
        <f aca="false">MM_FixedCost!A37</f>
        <v>7510</v>
      </c>
      <c r="B38" s="67" t="str">
        <f aca="false">MM_FixedCost!B37</f>
        <v>ExternalComms - Telephone</v>
      </c>
      <c r="C38" s="67" t="str">
        <f aca="false">MM_FixedCost!C37</f>
        <v>Business development and Comms</v>
      </c>
      <c r="D38" s="67" t="str">
        <f aca="false">MM_FixedCost!E37</f>
        <v>Discretionary</v>
      </c>
      <c r="E38" s="68" t="n">
        <f aca="false">MM_FixedCost!F37</f>
        <v>0</v>
      </c>
      <c r="F38" s="68" t="n">
        <f aca="false">$E38/12*Controls!$B$11</f>
        <v>0</v>
      </c>
      <c r="G38" s="68" t="n">
        <f aca="false">IF(1&gt;Controls!$B$11,"-",SUMIFS(Nominal_Activity!$M$2:$M$3000,Nominal_Activity!$C$2:$C$3000,$A38,Nominal_Activity!$G$2:$G$3000,"&gt;="&amp;DATE(Controls!$B$5,1,1),Nominal_Activity!$G$2:$G$3000,"&lt;="&amp;EOMONTH(DATE(Controls!$B$5,1,1),0),Nominal_Activity!$A$2:$A$3000,Controls!$B$7))</f>
        <v>0</v>
      </c>
      <c r="H38" s="68" t="n">
        <f aca="false">IF(2&gt;Controls!$B$11,"-",SUMIFS(Nominal_Activity!$M$2:$M$3000,Nominal_Activity!$C$2:$C$3000,$A38,Nominal_Activity!$G$2:$G$3000,"&gt;="&amp;DATE(Controls!$B$5,2,1),Nominal_Activity!$G$2:$G$3000,"&lt;="&amp;EOMONTH(DATE(Controls!$B$5,2,1),0),Nominal_Activity!$A$2:$A$3000,Controls!$B$7))</f>
        <v>0</v>
      </c>
      <c r="I38" s="68" t="n">
        <f aca="false">IF(3&gt;Controls!$B$11,"-",SUMIFS(Nominal_Activity!$M$2:$M$3000,Nominal_Activity!$C$2:$C$3000,$A38,Nominal_Activity!$G$2:$G$3000,"&gt;="&amp;DATE(Controls!$B$5,3,1),Nominal_Activity!$G$2:$G$3000,"&lt;="&amp;EOMONTH(DATE(Controls!$B$5,3,1),0),Nominal_Activity!$A$2:$A$3000,Controls!$B$7))</f>
        <v>0</v>
      </c>
      <c r="J38" s="68" t="n">
        <f aca="false">IF(4&gt;Controls!$B$11,"-",SUMIFS(Nominal_Activity!$M$2:$M$3000,Nominal_Activity!$C$2:$C$3000,$A38,Nominal_Activity!$G$2:$G$3000,"&gt;="&amp;DATE(Controls!$B$5,4,1),Nominal_Activity!$G$2:$G$3000,"&lt;="&amp;EOMONTH(DATE(Controls!$B$5,4,1),0),Nominal_Activity!$A$2:$A$3000,Controls!$B$7))</f>
        <v>0</v>
      </c>
      <c r="K38" s="68" t="n">
        <f aca="false">IF(5&gt;Controls!$B$11,"-",SUMIFS(Nominal_Activity!$M$2:$M$3000,Nominal_Activity!$C$2:$C$3000,$A38,Nominal_Activity!$G$2:$G$3000,"&gt;="&amp;DATE(Controls!$B$5,5,1),Nominal_Activity!$G$2:$G$3000,"&lt;="&amp;EOMONTH(DATE(Controls!$B$5,5,1),0),Nominal_Activity!$A$2:$A$3000,Controls!$B$7))</f>
        <v>0</v>
      </c>
      <c r="L38" s="68" t="n">
        <f aca="false">IF(6&gt;Controls!$B$11,"-",SUMIFS(Nominal_Activity!$M$2:$M$3000,Nominal_Activity!$C$2:$C$3000,$A38,Nominal_Activity!$G$2:$G$3000,"&gt;="&amp;DATE(Controls!$B$5,6,1),Nominal_Activity!$G$2:$G$3000,"&lt;="&amp;EOMONTH(DATE(Controls!$B$5,6,1),0),Nominal_Activity!$A$2:$A$3000,Controls!$B$7))</f>
        <v>0</v>
      </c>
      <c r="M38" s="68" t="str">
        <f aca="false">IF(7&gt;Controls!$B$11,"-",SUMIFS(Nominal_Activity!$M$2:$M$3000,Nominal_Activity!$C$2:$C$3000,$A38,Nominal_Activity!$G$2:$G$3000,"&gt;="&amp;DATE(Controls!$B$5,7,1),Nominal_Activity!$G$2:$G$3000,"&lt;="&amp;EOMONTH(DATE(Controls!$B$5,7,1),0),Nominal_Activity!$A$2:$A$3000,Controls!$B$7))</f>
        <v>-</v>
      </c>
      <c r="N38" s="68" t="str">
        <f aca="false">IF(8&gt;Controls!$B$11,"-",SUMIFS(Nominal_Activity!$M$2:$M$3000,Nominal_Activity!$C$2:$C$3000,$A38,Nominal_Activity!$G$2:$G$3000,"&gt;="&amp;DATE(Controls!$B$5,8,1),Nominal_Activity!$G$2:$G$3000,"&lt;="&amp;EOMONTH(DATE(Controls!$B$5,8,1),0),Nominal_Activity!$A$2:$A$3000,Controls!$B$7))</f>
        <v>-</v>
      </c>
      <c r="O38" s="68" t="str">
        <f aca="false">IF(9&gt;Controls!$B$11,"-",SUMIFS(Nominal_Activity!$M$2:$M$3000,Nominal_Activity!$C$2:$C$3000,$A38,Nominal_Activity!$G$2:$G$3000,"&gt;="&amp;DATE(Controls!$B$5,9,1),Nominal_Activity!$G$2:$G$3000,"&lt;="&amp;EOMONTH(DATE(Controls!$B$5,9,1),0),Nominal_Activity!$A$2:$A$3000,Controls!$B$7))</f>
        <v>-</v>
      </c>
      <c r="P38" s="68" t="str">
        <f aca="false">IF(10&gt;Controls!$B$11,"-",SUMIFS(Nominal_Activity!$M$2:$M$3000,Nominal_Activity!$C$2:$C$3000,$A38,Nominal_Activity!$G$2:$G$3000,"&gt;="&amp;DATE(Controls!$B$5,10,1),Nominal_Activity!$G$2:$G$3000,"&lt;="&amp;EOMONTH(DATE(Controls!$B$5,10,1),0),Nominal_Activity!$A$2:$A$3000,Controls!$B$7))</f>
        <v>-</v>
      </c>
      <c r="Q38" s="68" t="str">
        <f aca="false">IF(11&gt;Controls!$B$11,"-",SUMIFS(Nominal_Activity!$M$2:$M$3000,Nominal_Activity!$C$2:$C$3000,$A38,Nominal_Activity!$G$2:$G$3000,"&gt;="&amp;DATE(Controls!$B$5,11,1),Nominal_Activity!$G$2:$G$3000,"&lt;="&amp;EOMONTH(DATE(Controls!$B$5,11,1),0),Nominal_Activity!$A$2:$A$3000,Controls!$B$7))</f>
        <v>-</v>
      </c>
      <c r="R38" s="68" t="str">
        <f aca="false">IF(12&gt;Controls!$B$11,"-",SUMIFS(Nominal_Activity!$M$2:$M$3000,Nominal_Activity!$C$2:$C$3000,$A38,Nominal_Activity!$G$2:$G$3000,"&gt;="&amp;DATE(Controls!$B$5,12,1),Nominal_Activity!$G$2:$G$3000,"&lt;="&amp;EOMONTH(DATE(Controls!$B$5,12,1),0),Nominal_Activity!$A$2:$A$3000,Controls!$B$7))</f>
        <v>-</v>
      </c>
      <c r="S38" s="68" t="n">
        <f aca="false">SUM(G38:R38)</f>
        <v>0</v>
      </c>
      <c r="T38" s="68" t="n">
        <f aca="false">$F38-$S38</f>
        <v>0</v>
      </c>
      <c r="U38" s="77" t="n">
        <f aca="false">IFERROR($T38/$F38,0)</f>
        <v>0</v>
      </c>
      <c r="V38" s="68" t="n">
        <f aca="false">$S38*MM_FixedCost!G37</f>
        <v>0</v>
      </c>
      <c r="W38" s="68" t="n">
        <f aca="false">$S38-$V38</f>
        <v>0</v>
      </c>
      <c r="X38" s="135"/>
      <c r="Y38" s="136" t="n">
        <f aca="false">SUM($G38:$I38)</f>
        <v>0</v>
      </c>
      <c r="Z38" s="136" t="n">
        <f aca="false">$Y38*MM_FixedCost!$G37</f>
        <v>0</v>
      </c>
      <c r="AA38" s="136" t="n">
        <f aca="false">SUM($J38:$L38)</f>
        <v>0</v>
      </c>
      <c r="AB38" s="136" t="n">
        <f aca="false">$AA38*MM_FixedCost!$G37</f>
        <v>0</v>
      </c>
      <c r="AC38" s="136" t="n">
        <f aca="false">SUM($M38:$O38)</f>
        <v>0</v>
      </c>
      <c r="AD38" s="136" t="n">
        <f aca="false">$AC38*MM_FixedCost!$G37</f>
        <v>0</v>
      </c>
      <c r="AE38" s="136" t="n">
        <f aca="false">SUM($P38:$R38)</f>
        <v>0</v>
      </c>
      <c r="AF38" s="136" t="n">
        <f aca="false">$AE38*MM_FixedCost!$G37</f>
        <v>0</v>
      </c>
      <c r="AG38" s="136" t="n">
        <f aca="false">CHOOSE(VALUE(MID(Controls!$B$6,2,1)),$Z38,$AB38,$AD38,$AF38)</f>
        <v>0</v>
      </c>
    </row>
    <row r="39" customFormat="false" ht="13.5" hidden="false" customHeight="false" outlineLevel="0" collapsed="false">
      <c r="A39" s="67" t="n">
        <f aca="false">MM_FixedCost!A38</f>
        <v>7520</v>
      </c>
      <c r="B39" s="67" t="str">
        <f aca="false">MM_FixedCost!B38</f>
        <v>ExternalComms - Mobile calls and skype</v>
      </c>
      <c r="C39" s="67" t="str">
        <f aca="false">MM_FixedCost!C38</f>
        <v>Business development and Comms</v>
      </c>
      <c r="D39" s="67" t="str">
        <f aca="false">MM_FixedCost!E38</f>
        <v>Discretionary</v>
      </c>
      <c r="E39" s="68" t="n">
        <f aca="false">MM_FixedCost!F38</f>
        <v>0</v>
      </c>
      <c r="F39" s="68" t="n">
        <f aca="false">$E39/12*Controls!$B$11</f>
        <v>0</v>
      </c>
      <c r="G39" s="68" t="n">
        <f aca="false">IF(1&gt;Controls!$B$11,"-",SUMIFS(Nominal_Activity!$M$2:$M$3000,Nominal_Activity!$C$2:$C$3000,$A39,Nominal_Activity!$G$2:$G$3000,"&gt;="&amp;DATE(Controls!$B$5,1,1),Nominal_Activity!$G$2:$G$3000,"&lt;="&amp;EOMONTH(DATE(Controls!$B$5,1,1),0),Nominal_Activity!$A$2:$A$3000,Controls!$B$7))</f>
        <v>0</v>
      </c>
      <c r="H39" s="68" t="n">
        <f aca="false">IF(2&gt;Controls!$B$11,"-",SUMIFS(Nominal_Activity!$M$2:$M$3000,Nominal_Activity!$C$2:$C$3000,$A39,Nominal_Activity!$G$2:$G$3000,"&gt;="&amp;DATE(Controls!$B$5,2,1),Nominal_Activity!$G$2:$G$3000,"&lt;="&amp;EOMONTH(DATE(Controls!$B$5,2,1),0),Nominal_Activity!$A$2:$A$3000,Controls!$B$7))</f>
        <v>0</v>
      </c>
      <c r="I39" s="68" t="n">
        <f aca="false">IF(3&gt;Controls!$B$11,"-",SUMIFS(Nominal_Activity!$M$2:$M$3000,Nominal_Activity!$C$2:$C$3000,$A39,Nominal_Activity!$G$2:$G$3000,"&gt;="&amp;DATE(Controls!$B$5,3,1),Nominal_Activity!$G$2:$G$3000,"&lt;="&amp;EOMONTH(DATE(Controls!$B$5,3,1),0),Nominal_Activity!$A$2:$A$3000,Controls!$B$7))</f>
        <v>0</v>
      </c>
      <c r="J39" s="68" t="n">
        <f aca="false">IF(4&gt;Controls!$B$11,"-",SUMIFS(Nominal_Activity!$M$2:$M$3000,Nominal_Activity!$C$2:$C$3000,$A39,Nominal_Activity!$G$2:$G$3000,"&gt;="&amp;DATE(Controls!$B$5,4,1),Nominal_Activity!$G$2:$G$3000,"&lt;="&amp;EOMONTH(DATE(Controls!$B$5,4,1),0),Nominal_Activity!$A$2:$A$3000,Controls!$B$7))</f>
        <v>0</v>
      </c>
      <c r="K39" s="68" t="n">
        <f aca="false">IF(5&gt;Controls!$B$11,"-",SUMIFS(Nominal_Activity!$M$2:$M$3000,Nominal_Activity!$C$2:$C$3000,$A39,Nominal_Activity!$G$2:$G$3000,"&gt;="&amp;DATE(Controls!$B$5,5,1),Nominal_Activity!$G$2:$G$3000,"&lt;="&amp;EOMONTH(DATE(Controls!$B$5,5,1),0),Nominal_Activity!$A$2:$A$3000,Controls!$B$7))</f>
        <v>0</v>
      </c>
      <c r="L39" s="68" t="n">
        <f aca="false">IF(6&gt;Controls!$B$11,"-",SUMIFS(Nominal_Activity!$M$2:$M$3000,Nominal_Activity!$C$2:$C$3000,$A39,Nominal_Activity!$G$2:$G$3000,"&gt;="&amp;DATE(Controls!$B$5,6,1),Nominal_Activity!$G$2:$G$3000,"&lt;="&amp;EOMONTH(DATE(Controls!$B$5,6,1),0),Nominal_Activity!$A$2:$A$3000,Controls!$B$7))</f>
        <v>0</v>
      </c>
      <c r="M39" s="68" t="str">
        <f aca="false">IF(7&gt;Controls!$B$11,"-",SUMIFS(Nominal_Activity!$M$2:$M$3000,Nominal_Activity!$C$2:$C$3000,$A39,Nominal_Activity!$G$2:$G$3000,"&gt;="&amp;DATE(Controls!$B$5,7,1),Nominal_Activity!$G$2:$G$3000,"&lt;="&amp;EOMONTH(DATE(Controls!$B$5,7,1),0),Nominal_Activity!$A$2:$A$3000,Controls!$B$7))</f>
        <v>-</v>
      </c>
      <c r="N39" s="68" t="str">
        <f aca="false">IF(8&gt;Controls!$B$11,"-",SUMIFS(Nominal_Activity!$M$2:$M$3000,Nominal_Activity!$C$2:$C$3000,$A39,Nominal_Activity!$G$2:$G$3000,"&gt;="&amp;DATE(Controls!$B$5,8,1),Nominal_Activity!$G$2:$G$3000,"&lt;="&amp;EOMONTH(DATE(Controls!$B$5,8,1),0),Nominal_Activity!$A$2:$A$3000,Controls!$B$7))</f>
        <v>-</v>
      </c>
      <c r="O39" s="68" t="str">
        <f aca="false">IF(9&gt;Controls!$B$11,"-",SUMIFS(Nominal_Activity!$M$2:$M$3000,Nominal_Activity!$C$2:$C$3000,$A39,Nominal_Activity!$G$2:$G$3000,"&gt;="&amp;DATE(Controls!$B$5,9,1),Nominal_Activity!$G$2:$G$3000,"&lt;="&amp;EOMONTH(DATE(Controls!$B$5,9,1),0),Nominal_Activity!$A$2:$A$3000,Controls!$B$7))</f>
        <v>-</v>
      </c>
      <c r="P39" s="68" t="str">
        <f aca="false">IF(10&gt;Controls!$B$11,"-",SUMIFS(Nominal_Activity!$M$2:$M$3000,Nominal_Activity!$C$2:$C$3000,$A39,Nominal_Activity!$G$2:$G$3000,"&gt;="&amp;DATE(Controls!$B$5,10,1),Nominal_Activity!$G$2:$G$3000,"&lt;="&amp;EOMONTH(DATE(Controls!$B$5,10,1),0),Nominal_Activity!$A$2:$A$3000,Controls!$B$7))</f>
        <v>-</v>
      </c>
      <c r="Q39" s="68" t="str">
        <f aca="false">IF(11&gt;Controls!$B$11,"-",SUMIFS(Nominal_Activity!$M$2:$M$3000,Nominal_Activity!$C$2:$C$3000,$A39,Nominal_Activity!$G$2:$G$3000,"&gt;="&amp;DATE(Controls!$B$5,11,1),Nominal_Activity!$G$2:$G$3000,"&lt;="&amp;EOMONTH(DATE(Controls!$B$5,11,1),0),Nominal_Activity!$A$2:$A$3000,Controls!$B$7))</f>
        <v>-</v>
      </c>
      <c r="R39" s="68" t="str">
        <f aca="false">IF(12&gt;Controls!$B$11,"-",SUMIFS(Nominal_Activity!$M$2:$M$3000,Nominal_Activity!$C$2:$C$3000,$A39,Nominal_Activity!$G$2:$G$3000,"&gt;="&amp;DATE(Controls!$B$5,12,1),Nominal_Activity!$G$2:$G$3000,"&lt;="&amp;EOMONTH(DATE(Controls!$B$5,12,1),0),Nominal_Activity!$A$2:$A$3000,Controls!$B$7))</f>
        <v>-</v>
      </c>
      <c r="S39" s="68" t="n">
        <f aca="false">SUM(G39:R39)</f>
        <v>0</v>
      </c>
      <c r="T39" s="68" t="n">
        <f aca="false">$F39-$S39</f>
        <v>0</v>
      </c>
      <c r="U39" s="77" t="n">
        <f aca="false">IFERROR($T39/$F39,0)</f>
        <v>0</v>
      </c>
      <c r="V39" s="68" t="n">
        <f aca="false">$S39*MM_FixedCost!G38</f>
        <v>0</v>
      </c>
      <c r="W39" s="68" t="n">
        <f aca="false">$S39-$V39</f>
        <v>0</v>
      </c>
      <c r="X39" s="135"/>
      <c r="Y39" s="136" t="n">
        <f aca="false">SUM($G39:$I39)</f>
        <v>0</v>
      </c>
      <c r="Z39" s="136" t="n">
        <f aca="false">$Y39*MM_FixedCost!$G38</f>
        <v>0</v>
      </c>
      <c r="AA39" s="136" t="n">
        <f aca="false">SUM($J39:$L39)</f>
        <v>0</v>
      </c>
      <c r="AB39" s="136" t="n">
        <f aca="false">$AA39*MM_FixedCost!$G38</f>
        <v>0</v>
      </c>
      <c r="AC39" s="136" t="n">
        <f aca="false">SUM($M39:$O39)</f>
        <v>0</v>
      </c>
      <c r="AD39" s="136" t="n">
        <f aca="false">$AC39*MM_FixedCost!$G38</f>
        <v>0</v>
      </c>
      <c r="AE39" s="136" t="n">
        <f aca="false">SUM($P39:$R39)</f>
        <v>0</v>
      </c>
      <c r="AF39" s="136" t="n">
        <f aca="false">$AE39*MM_FixedCost!$G38</f>
        <v>0</v>
      </c>
      <c r="AG39" s="136" t="n">
        <f aca="false">CHOOSE(VALUE(MID(Controls!$B$6,2,1)),$Z39,$AB39,$AD39,$AF39)</f>
        <v>0</v>
      </c>
    </row>
    <row r="40" customFormat="false" ht="13.5" hidden="false" customHeight="false" outlineLevel="0" collapsed="false">
      <c r="A40" s="67" t="n">
        <f aca="false">MM_FixedCost!A39</f>
        <v>7530</v>
      </c>
      <c r="B40" s="67" t="str">
        <f aca="false">MM_FixedCost!B39</f>
        <v>ExternalComms - Internet and net meetings</v>
      </c>
      <c r="C40" s="67" t="str">
        <f aca="false">MM_FixedCost!C39</f>
        <v>Business development and Comms</v>
      </c>
      <c r="D40" s="67" t="str">
        <f aca="false">MM_FixedCost!E39</f>
        <v>Discretionary</v>
      </c>
      <c r="E40" s="68" t="n">
        <f aca="false">MM_FixedCost!F39</f>
        <v>0</v>
      </c>
      <c r="F40" s="68" t="n">
        <f aca="false">$E40/12*Controls!$B$11</f>
        <v>0</v>
      </c>
      <c r="G40" s="68" t="n">
        <f aca="false">IF(1&gt;Controls!$B$11,"-",SUMIFS(Nominal_Activity!$M$2:$M$3000,Nominal_Activity!$C$2:$C$3000,$A40,Nominal_Activity!$G$2:$G$3000,"&gt;="&amp;DATE(Controls!$B$5,1,1),Nominal_Activity!$G$2:$G$3000,"&lt;="&amp;EOMONTH(DATE(Controls!$B$5,1,1),0),Nominal_Activity!$A$2:$A$3000,Controls!$B$7))</f>
        <v>0</v>
      </c>
      <c r="H40" s="68" t="n">
        <f aca="false">IF(2&gt;Controls!$B$11,"-",SUMIFS(Nominal_Activity!$M$2:$M$3000,Nominal_Activity!$C$2:$C$3000,$A40,Nominal_Activity!$G$2:$G$3000,"&gt;="&amp;DATE(Controls!$B$5,2,1),Nominal_Activity!$G$2:$G$3000,"&lt;="&amp;EOMONTH(DATE(Controls!$B$5,2,1),0),Nominal_Activity!$A$2:$A$3000,Controls!$B$7))</f>
        <v>0</v>
      </c>
      <c r="I40" s="68" t="n">
        <f aca="false">IF(3&gt;Controls!$B$11,"-",SUMIFS(Nominal_Activity!$M$2:$M$3000,Nominal_Activity!$C$2:$C$3000,$A40,Nominal_Activity!$G$2:$G$3000,"&gt;="&amp;DATE(Controls!$B$5,3,1),Nominal_Activity!$G$2:$G$3000,"&lt;="&amp;EOMONTH(DATE(Controls!$B$5,3,1),0),Nominal_Activity!$A$2:$A$3000,Controls!$B$7))</f>
        <v>0</v>
      </c>
      <c r="J40" s="68" t="n">
        <f aca="false">IF(4&gt;Controls!$B$11,"-",SUMIFS(Nominal_Activity!$M$2:$M$3000,Nominal_Activity!$C$2:$C$3000,$A40,Nominal_Activity!$G$2:$G$3000,"&gt;="&amp;DATE(Controls!$B$5,4,1),Nominal_Activity!$G$2:$G$3000,"&lt;="&amp;EOMONTH(DATE(Controls!$B$5,4,1),0),Nominal_Activity!$A$2:$A$3000,Controls!$B$7))</f>
        <v>0</v>
      </c>
      <c r="K40" s="68" t="n">
        <f aca="false">IF(5&gt;Controls!$B$11,"-",SUMIFS(Nominal_Activity!$M$2:$M$3000,Nominal_Activity!$C$2:$C$3000,$A40,Nominal_Activity!$G$2:$G$3000,"&gt;="&amp;DATE(Controls!$B$5,5,1),Nominal_Activity!$G$2:$G$3000,"&lt;="&amp;EOMONTH(DATE(Controls!$B$5,5,1),0),Nominal_Activity!$A$2:$A$3000,Controls!$B$7))</f>
        <v>0</v>
      </c>
      <c r="L40" s="68" t="n">
        <f aca="false">IF(6&gt;Controls!$B$11,"-",SUMIFS(Nominal_Activity!$M$2:$M$3000,Nominal_Activity!$C$2:$C$3000,$A40,Nominal_Activity!$G$2:$G$3000,"&gt;="&amp;DATE(Controls!$B$5,6,1),Nominal_Activity!$G$2:$G$3000,"&lt;="&amp;EOMONTH(DATE(Controls!$B$5,6,1),0),Nominal_Activity!$A$2:$A$3000,Controls!$B$7))</f>
        <v>0</v>
      </c>
      <c r="M40" s="68" t="str">
        <f aca="false">IF(7&gt;Controls!$B$11,"-",SUMIFS(Nominal_Activity!$M$2:$M$3000,Nominal_Activity!$C$2:$C$3000,$A40,Nominal_Activity!$G$2:$G$3000,"&gt;="&amp;DATE(Controls!$B$5,7,1),Nominal_Activity!$G$2:$G$3000,"&lt;="&amp;EOMONTH(DATE(Controls!$B$5,7,1),0),Nominal_Activity!$A$2:$A$3000,Controls!$B$7))</f>
        <v>-</v>
      </c>
      <c r="N40" s="68" t="str">
        <f aca="false">IF(8&gt;Controls!$B$11,"-",SUMIFS(Nominal_Activity!$M$2:$M$3000,Nominal_Activity!$C$2:$C$3000,$A40,Nominal_Activity!$G$2:$G$3000,"&gt;="&amp;DATE(Controls!$B$5,8,1),Nominal_Activity!$G$2:$G$3000,"&lt;="&amp;EOMONTH(DATE(Controls!$B$5,8,1),0),Nominal_Activity!$A$2:$A$3000,Controls!$B$7))</f>
        <v>-</v>
      </c>
      <c r="O40" s="68" t="str">
        <f aca="false">IF(9&gt;Controls!$B$11,"-",SUMIFS(Nominal_Activity!$M$2:$M$3000,Nominal_Activity!$C$2:$C$3000,$A40,Nominal_Activity!$G$2:$G$3000,"&gt;="&amp;DATE(Controls!$B$5,9,1),Nominal_Activity!$G$2:$G$3000,"&lt;="&amp;EOMONTH(DATE(Controls!$B$5,9,1),0),Nominal_Activity!$A$2:$A$3000,Controls!$B$7))</f>
        <v>-</v>
      </c>
      <c r="P40" s="68" t="str">
        <f aca="false">IF(10&gt;Controls!$B$11,"-",SUMIFS(Nominal_Activity!$M$2:$M$3000,Nominal_Activity!$C$2:$C$3000,$A40,Nominal_Activity!$G$2:$G$3000,"&gt;="&amp;DATE(Controls!$B$5,10,1),Nominal_Activity!$G$2:$G$3000,"&lt;="&amp;EOMONTH(DATE(Controls!$B$5,10,1),0),Nominal_Activity!$A$2:$A$3000,Controls!$B$7))</f>
        <v>-</v>
      </c>
      <c r="Q40" s="68" t="str">
        <f aca="false">IF(11&gt;Controls!$B$11,"-",SUMIFS(Nominal_Activity!$M$2:$M$3000,Nominal_Activity!$C$2:$C$3000,$A40,Nominal_Activity!$G$2:$G$3000,"&gt;="&amp;DATE(Controls!$B$5,11,1),Nominal_Activity!$G$2:$G$3000,"&lt;="&amp;EOMONTH(DATE(Controls!$B$5,11,1),0),Nominal_Activity!$A$2:$A$3000,Controls!$B$7))</f>
        <v>-</v>
      </c>
      <c r="R40" s="68" t="str">
        <f aca="false">IF(12&gt;Controls!$B$11,"-",SUMIFS(Nominal_Activity!$M$2:$M$3000,Nominal_Activity!$C$2:$C$3000,$A40,Nominal_Activity!$G$2:$G$3000,"&gt;="&amp;DATE(Controls!$B$5,12,1),Nominal_Activity!$G$2:$G$3000,"&lt;="&amp;EOMONTH(DATE(Controls!$B$5,12,1),0),Nominal_Activity!$A$2:$A$3000,Controls!$B$7))</f>
        <v>-</v>
      </c>
      <c r="S40" s="68" t="n">
        <f aca="false">SUM(G40:R40)</f>
        <v>0</v>
      </c>
      <c r="T40" s="68" t="n">
        <f aca="false">$F40-$S40</f>
        <v>0</v>
      </c>
      <c r="U40" s="77" t="n">
        <f aca="false">IFERROR($T40/$F40,0)</f>
        <v>0</v>
      </c>
      <c r="V40" s="68" t="n">
        <f aca="false">$S40*MM_FixedCost!G39</f>
        <v>0</v>
      </c>
      <c r="W40" s="68" t="n">
        <f aca="false">$S40-$V40</f>
        <v>0</v>
      </c>
      <c r="X40" s="135"/>
      <c r="Y40" s="136" t="n">
        <f aca="false">SUM($G40:$I40)</f>
        <v>0</v>
      </c>
      <c r="Z40" s="136" t="n">
        <f aca="false">$Y40*MM_FixedCost!$G39</f>
        <v>0</v>
      </c>
      <c r="AA40" s="136" t="n">
        <f aca="false">SUM($J40:$L40)</f>
        <v>0</v>
      </c>
      <c r="AB40" s="136" t="n">
        <f aca="false">$AA40*MM_FixedCost!$G39</f>
        <v>0</v>
      </c>
      <c r="AC40" s="136" t="n">
        <f aca="false">SUM($M40:$O40)</f>
        <v>0</v>
      </c>
      <c r="AD40" s="136" t="n">
        <f aca="false">$AC40*MM_FixedCost!$G39</f>
        <v>0</v>
      </c>
      <c r="AE40" s="136" t="n">
        <f aca="false">SUM($P40:$R40)</f>
        <v>0</v>
      </c>
      <c r="AF40" s="136" t="n">
        <f aca="false">$AE40*MM_FixedCost!$G39</f>
        <v>0</v>
      </c>
      <c r="AG40" s="136" t="n">
        <f aca="false">CHOOSE(VALUE(MID(Controls!$B$6,2,1)),$Z40,$AB40,$AD40,$AF40)</f>
        <v>0</v>
      </c>
    </row>
    <row r="41" customFormat="false" ht="13.5" hidden="false" customHeight="false" outlineLevel="0" collapsed="false">
      <c r="A41" s="67" t="n">
        <f aca="false">MM_FixedCost!A40</f>
        <v>7540</v>
      </c>
      <c r="B41" s="67" t="str">
        <f aca="false">MM_FixedCost!B40</f>
        <v>Stationery</v>
      </c>
      <c r="C41" s="67" t="str">
        <f aca="false">MM_FixedCost!C40</f>
        <v>Office Running costs</v>
      </c>
      <c r="D41" s="67" t="str">
        <f aca="false">MM_FixedCost!E40</f>
        <v>Core</v>
      </c>
      <c r="E41" s="68" t="n">
        <f aca="false">MM_FixedCost!F40</f>
        <v>8000</v>
      </c>
      <c r="F41" s="68" t="n">
        <f aca="false">$E41/12*Controls!$B$11</f>
        <v>4000</v>
      </c>
      <c r="G41" s="68" t="n">
        <f aca="false">IF(1&gt;Controls!$B$11,"-",SUMIFS(Nominal_Activity!$M$2:$M$3000,Nominal_Activity!$C$2:$C$3000,$A41,Nominal_Activity!$G$2:$G$3000,"&gt;="&amp;DATE(Controls!$B$5,1,1),Nominal_Activity!$G$2:$G$3000,"&lt;="&amp;EOMONTH(DATE(Controls!$B$5,1,1),0),Nominal_Activity!$A$2:$A$3000,Controls!$B$7))</f>
        <v>1975</v>
      </c>
      <c r="H41" s="68" t="n">
        <f aca="false">IF(2&gt;Controls!$B$11,"-",SUMIFS(Nominal_Activity!$M$2:$M$3000,Nominal_Activity!$C$2:$C$3000,$A41,Nominal_Activity!$G$2:$G$3000,"&gt;="&amp;DATE(Controls!$B$5,2,1),Nominal_Activity!$G$2:$G$3000,"&lt;="&amp;EOMONTH(DATE(Controls!$B$5,2,1),0),Nominal_Activity!$A$2:$A$3000,Controls!$B$7))</f>
        <v>1080</v>
      </c>
      <c r="I41" s="68" t="n">
        <f aca="false">IF(3&gt;Controls!$B$11,"-",SUMIFS(Nominal_Activity!$M$2:$M$3000,Nominal_Activity!$C$2:$C$3000,$A41,Nominal_Activity!$G$2:$G$3000,"&gt;="&amp;DATE(Controls!$B$5,3,1),Nominal_Activity!$G$2:$G$3000,"&lt;="&amp;EOMONTH(DATE(Controls!$B$5,3,1),0),Nominal_Activity!$A$2:$A$3000,Controls!$B$7))</f>
        <v>0</v>
      </c>
      <c r="J41" s="68" t="n">
        <f aca="false">IF(4&gt;Controls!$B$11,"-",SUMIFS(Nominal_Activity!$M$2:$M$3000,Nominal_Activity!$C$2:$C$3000,$A41,Nominal_Activity!$G$2:$G$3000,"&gt;="&amp;DATE(Controls!$B$5,4,1),Nominal_Activity!$G$2:$G$3000,"&lt;="&amp;EOMONTH(DATE(Controls!$B$5,4,1),0),Nominal_Activity!$A$2:$A$3000,Controls!$B$7))</f>
        <v>1151.9</v>
      </c>
      <c r="K41" s="68" t="n">
        <f aca="false">IF(5&gt;Controls!$B$11,"-",SUMIFS(Nominal_Activity!$M$2:$M$3000,Nominal_Activity!$C$2:$C$3000,$A41,Nominal_Activity!$G$2:$G$3000,"&gt;="&amp;DATE(Controls!$B$5,5,1),Nominal_Activity!$G$2:$G$3000,"&lt;="&amp;EOMONTH(DATE(Controls!$B$5,5,1),0),Nominal_Activity!$A$2:$A$3000,Controls!$B$7))</f>
        <v>0</v>
      </c>
      <c r="L41" s="68" t="n">
        <f aca="false">IF(6&gt;Controls!$B$11,"-",SUMIFS(Nominal_Activity!$M$2:$M$3000,Nominal_Activity!$C$2:$C$3000,$A41,Nominal_Activity!$G$2:$G$3000,"&gt;="&amp;DATE(Controls!$B$5,6,1),Nominal_Activity!$G$2:$G$3000,"&lt;="&amp;EOMONTH(DATE(Controls!$B$5,6,1),0),Nominal_Activity!$A$2:$A$3000,Controls!$B$7))</f>
        <v>455</v>
      </c>
      <c r="M41" s="68" t="str">
        <f aca="false">IF(7&gt;Controls!$B$11,"-",SUMIFS(Nominal_Activity!$M$2:$M$3000,Nominal_Activity!$C$2:$C$3000,$A41,Nominal_Activity!$G$2:$G$3000,"&gt;="&amp;DATE(Controls!$B$5,7,1),Nominal_Activity!$G$2:$G$3000,"&lt;="&amp;EOMONTH(DATE(Controls!$B$5,7,1),0),Nominal_Activity!$A$2:$A$3000,Controls!$B$7))</f>
        <v>-</v>
      </c>
      <c r="N41" s="68" t="str">
        <f aca="false">IF(8&gt;Controls!$B$11,"-",SUMIFS(Nominal_Activity!$M$2:$M$3000,Nominal_Activity!$C$2:$C$3000,$A41,Nominal_Activity!$G$2:$G$3000,"&gt;="&amp;DATE(Controls!$B$5,8,1),Nominal_Activity!$G$2:$G$3000,"&lt;="&amp;EOMONTH(DATE(Controls!$B$5,8,1),0),Nominal_Activity!$A$2:$A$3000,Controls!$B$7))</f>
        <v>-</v>
      </c>
      <c r="O41" s="68" t="str">
        <f aca="false">IF(9&gt;Controls!$B$11,"-",SUMIFS(Nominal_Activity!$M$2:$M$3000,Nominal_Activity!$C$2:$C$3000,$A41,Nominal_Activity!$G$2:$G$3000,"&gt;="&amp;DATE(Controls!$B$5,9,1),Nominal_Activity!$G$2:$G$3000,"&lt;="&amp;EOMONTH(DATE(Controls!$B$5,9,1),0),Nominal_Activity!$A$2:$A$3000,Controls!$B$7))</f>
        <v>-</v>
      </c>
      <c r="P41" s="68" t="str">
        <f aca="false">IF(10&gt;Controls!$B$11,"-",SUMIFS(Nominal_Activity!$M$2:$M$3000,Nominal_Activity!$C$2:$C$3000,$A41,Nominal_Activity!$G$2:$G$3000,"&gt;="&amp;DATE(Controls!$B$5,10,1),Nominal_Activity!$G$2:$G$3000,"&lt;="&amp;EOMONTH(DATE(Controls!$B$5,10,1),0),Nominal_Activity!$A$2:$A$3000,Controls!$B$7))</f>
        <v>-</v>
      </c>
      <c r="Q41" s="68" t="str">
        <f aca="false">IF(11&gt;Controls!$B$11,"-",SUMIFS(Nominal_Activity!$M$2:$M$3000,Nominal_Activity!$C$2:$C$3000,$A41,Nominal_Activity!$G$2:$G$3000,"&gt;="&amp;DATE(Controls!$B$5,11,1),Nominal_Activity!$G$2:$G$3000,"&lt;="&amp;EOMONTH(DATE(Controls!$B$5,11,1),0),Nominal_Activity!$A$2:$A$3000,Controls!$B$7))</f>
        <v>-</v>
      </c>
      <c r="R41" s="68" t="str">
        <f aca="false">IF(12&gt;Controls!$B$11,"-",SUMIFS(Nominal_Activity!$M$2:$M$3000,Nominal_Activity!$C$2:$C$3000,$A41,Nominal_Activity!$G$2:$G$3000,"&gt;="&amp;DATE(Controls!$B$5,12,1),Nominal_Activity!$G$2:$G$3000,"&lt;="&amp;EOMONTH(DATE(Controls!$B$5,12,1),0),Nominal_Activity!$A$2:$A$3000,Controls!$B$7))</f>
        <v>-</v>
      </c>
      <c r="S41" s="68" t="n">
        <f aca="false">SUM(G41:R41)</f>
        <v>4661.9</v>
      </c>
      <c r="T41" s="68" t="n">
        <f aca="false">$F41-$S41</f>
        <v>-661.9</v>
      </c>
      <c r="U41" s="77" t="n">
        <f aca="false">IFERROR($T41/$F41,0)</f>
        <v>-0.165475</v>
      </c>
      <c r="V41" s="68" t="n">
        <f aca="false">$S41*MM_FixedCost!G40</f>
        <v>1165.475</v>
      </c>
      <c r="W41" s="68" t="n">
        <f aca="false">$S41-$V41</f>
        <v>3496.425</v>
      </c>
      <c r="X41" s="135"/>
      <c r="Y41" s="136" t="n">
        <f aca="false">SUM($G41:$I41)</f>
        <v>3055</v>
      </c>
      <c r="Z41" s="136" t="n">
        <f aca="false">$Y41*MM_FixedCost!$G40</f>
        <v>763.75</v>
      </c>
      <c r="AA41" s="136" t="n">
        <f aca="false">SUM($J41:$L41)</f>
        <v>1606.9</v>
      </c>
      <c r="AB41" s="136" t="n">
        <f aca="false">$AA41*MM_FixedCost!$G40</f>
        <v>401.725</v>
      </c>
      <c r="AC41" s="136" t="n">
        <f aca="false">SUM($M41:$O41)</f>
        <v>0</v>
      </c>
      <c r="AD41" s="136" t="n">
        <f aca="false">$AC41*MM_FixedCost!$G40</f>
        <v>0</v>
      </c>
      <c r="AE41" s="136" t="n">
        <f aca="false">SUM($P41:$R41)</f>
        <v>0</v>
      </c>
      <c r="AF41" s="136" t="n">
        <f aca="false">$AE41*MM_FixedCost!$G40</f>
        <v>0</v>
      </c>
      <c r="AG41" s="136" t="n">
        <f aca="false">CHOOSE(VALUE(MID(Controls!$B$6,2,1)),$Z41,$AB41,$AD41,$AF41)</f>
        <v>401.725</v>
      </c>
    </row>
    <row r="42" customFormat="false" ht="13.5" hidden="false" customHeight="false" outlineLevel="0" collapsed="false">
      <c r="A42" s="67" t="n">
        <f aca="false">MM_FixedCost!A41</f>
        <v>7550</v>
      </c>
      <c r="B42" s="67" t="str">
        <f aca="false">MM_FixedCost!B41</f>
        <v>Printing and photocopying</v>
      </c>
      <c r="C42" s="67" t="str">
        <f aca="false">MM_FixedCost!C41</f>
        <v>Office Running costs</v>
      </c>
      <c r="D42" s="67" t="str">
        <f aca="false">MM_FixedCost!E41</f>
        <v>Core</v>
      </c>
      <c r="E42" s="68" t="n">
        <f aca="false">MM_FixedCost!F41</f>
        <v>100000</v>
      </c>
      <c r="F42" s="68" t="n">
        <f aca="false">$E42/12*Controls!$B$11</f>
        <v>50000</v>
      </c>
      <c r="G42" s="68" t="n">
        <f aca="false">IF(1&gt;Controls!$B$11,"-",SUMIFS(Nominal_Activity!$M$2:$M$3000,Nominal_Activity!$C$2:$C$3000,$A42,Nominal_Activity!$G$2:$G$3000,"&gt;="&amp;DATE(Controls!$B$5,1,1),Nominal_Activity!$G$2:$G$3000,"&lt;="&amp;EOMONTH(DATE(Controls!$B$5,1,1),0),Nominal_Activity!$A$2:$A$3000,Controls!$B$7))</f>
        <v>0</v>
      </c>
      <c r="H42" s="68" t="n">
        <f aca="false">IF(2&gt;Controls!$B$11,"-",SUMIFS(Nominal_Activity!$M$2:$M$3000,Nominal_Activity!$C$2:$C$3000,$A42,Nominal_Activity!$G$2:$G$3000,"&gt;="&amp;DATE(Controls!$B$5,2,1),Nominal_Activity!$G$2:$G$3000,"&lt;="&amp;EOMONTH(DATE(Controls!$B$5,2,1),0),Nominal_Activity!$A$2:$A$3000,Controls!$B$7))</f>
        <v>330</v>
      </c>
      <c r="I42" s="68" t="n">
        <f aca="false">IF(3&gt;Controls!$B$11,"-",SUMIFS(Nominal_Activity!$M$2:$M$3000,Nominal_Activity!$C$2:$C$3000,$A42,Nominal_Activity!$G$2:$G$3000,"&gt;="&amp;DATE(Controls!$B$5,3,1),Nominal_Activity!$G$2:$G$3000,"&lt;="&amp;EOMONTH(DATE(Controls!$B$5,3,1),0),Nominal_Activity!$A$2:$A$3000,Controls!$B$7))</f>
        <v>800</v>
      </c>
      <c r="J42" s="68" t="n">
        <f aca="false">IF(4&gt;Controls!$B$11,"-",SUMIFS(Nominal_Activity!$M$2:$M$3000,Nominal_Activity!$C$2:$C$3000,$A42,Nominal_Activity!$G$2:$G$3000,"&gt;="&amp;DATE(Controls!$B$5,4,1),Nominal_Activity!$G$2:$G$3000,"&lt;="&amp;EOMONTH(DATE(Controls!$B$5,4,1),0),Nominal_Activity!$A$2:$A$3000,Controls!$B$7))</f>
        <v>911</v>
      </c>
      <c r="K42" s="68" t="n">
        <f aca="false">IF(5&gt;Controls!$B$11,"-",SUMIFS(Nominal_Activity!$M$2:$M$3000,Nominal_Activity!$C$2:$C$3000,$A42,Nominal_Activity!$G$2:$G$3000,"&gt;="&amp;DATE(Controls!$B$5,5,1),Nominal_Activity!$G$2:$G$3000,"&lt;="&amp;EOMONTH(DATE(Controls!$B$5,5,1),0),Nominal_Activity!$A$2:$A$3000,Controls!$B$7))</f>
        <v>16340</v>
      </c>
      <c r="L42" s="68" t="n">
        <f aca="false">IF(6&gt;Controls!$B$11,"-",SUMIFS(Nominal_Activity!$M$2:$M$3000,Nominal_Activity!$C$2:$C$3000,$A42,Nominal_Activity!$G$2:$G$3000,"&gt;="&amp;DATE(Controls!$B$5,6,1),Nominal_Activity!$G$2:$G$3000,"&lt;="&amp;EOMONTH(DATE(Controls!$B$5,6,1),0),Nominal_Activity!$A$2:$A$3000,Controls!$B$7))</f>
        <v>0</v>
      </c>
      <c r="M42" s="68" t="str">
        <f aca="false">IF(7&gt;Controls!$B$11,"-",SUMIFS(Nominal_Activity!$M$2:$M$3000,Nominal_Activity!$C$2:$C$3000,$A42,Nominal_Activity!$G$2:$G$3000,"&gt;="&amp;DATE(Controls!$B$5,7,1),Nominal_Activity!$G$2:$G$3000,"&lt;="&amp;EOMONTH(DATE(Controls!$B$5,7,1),0),Nominal_Activity!$A$2:$A$3000,Controls!$B$7))</f>
        <v>-</v>
      </c>
      <c r="N42" s="68" t="str">
        <f aca="false">IF(8&gt;Controls!$B$11,"-",SUMIFS(Nominal_Activity!$M$2:$M$3000,Nominal_Activity!$C$2:$C$3000,$A42,Nominal_Activity!$G$2:$G$3000,"&gt;="&amp;DATE(Controls!$B$5,8,1),Nominal_Activity!$G$2:$G$3000,"&lt;="&amp;EOMONTH(DATE(Controls!$B$5,8,1),0),Nominal_Activity!$A$2:$A$3000,Controls!$B$7))</f>
        <v>-</v>
      </c>
      <c r="O42" s="68" t="str">
        <f aca="false">IF(9&gt;Controls!$B$11,"-",SUMIFS(Nominal_Activity!$M$2:$M$3000,Nominal_Activity!$C$2:$C$3000,$A42,Nominal_Activity!$G$2:$G$3000,"&gt;="&amp;DATE(Controls!$B$5,9,1),Nominal_Activity!$G$2:$G$3000,"&lt;="&amp;EOMONTH(DATE(Controls!$B$5,9,1),0),Nominal_Activity!$A$2:$A$3000,Controls!$B$7))</f>
        <v>-</v>
      </c>
      <c r="P42" s="68" t="str">
        <f aca="false">IF(10&gt;Controls!$B$11,"-",SUMIFS(Nominal_Activity!$M$2:$M$3000,Nominal_Activity!$C$2:$C$3000,$A42,Nominal_Activity!$G$2:$G$3000,"&gt;="&amp;DATE(Controls!$B$5,10,1),Nominal_Activity!$G$2:$G$3000,"&lt;="&amp;EOMONTH(DATE(Controls!$B$5,10,1),0),Nominal_Activity!$A$2:$A$3000,Controls!$B$7))</f>
        <v>-</v>
      </c>
      <c r="Q42" s="68" t="str">
        <f aca="false">IF(11&gt;Controls!$B$11,"-",SUMIFS(Nominal_Activity!$M$2:$M$3000,Nominal_Activity!$C$2:$C$3000,$A42,Nominal_Activity!$G$2:$G$3000,"&gt;="&amp;DATE(Controls!$B$5,11,1),Nominal_Activity!$G$2:$G$3000,"&lt;="&amp;EOMONTH(DATE(Controls!$B$5,11,1),0),Nominal_Activity!$A$2:$A$3000,Controls!$B$7))</f>
        <v>-</v>
      </c>
      <c r="R42" s="68" t="str">
        <f aca="false">IF(12&gt;Controls!$B$11,"-",SUMIFS(Nominal_Activity!$M$2:$M$3000,Nominal_Activity!$C$2:$C$3000,$A42,Nominal_Activity!$G$2:$G$3000,"&gt;="&amp;DATE(Controls!$B$5,12,1),Nominal_Activity!$G$2:$G$3000,"&lt;="&amp;EOMONTH(DATE(Controls!$B$5,12,1),0),Nominal_Activity!$A$2:$A$3000,Controls!$B$7))</f>
        <v>-</v>
      </c>
      <c r="S42" s="68" t="n">
        <f aca="false">SUM(G42:R42)</f>
        <v>18381</v>
      </c>
      <c r="T42" s="68" t="n">
        <f aca="false">$F42-$S42</f>
        <v>31619</v>
      </c>
      <c r="U42" s="77" t="n">
        <f aca="false">IFERROR($T42/$F42,0)</f>
        <v>0.63238</v>
      </c>
      <c r="V42" s="68" t="n">
        <f aca="false">$S42*MM_FixedCost!G41</f>
        <v>4595.25</v>
      </c>
      <c r="W42" s="68" t="n">
        <f aca="false">$S42-$V42</f>
        <v>13785.75</v>
      </c>
      <c r="X42" s="135"/>
      <c r="Y42" s="136" t="n">
        <f aca="false">SUM($G42:$I42)</f>
        <v>1130</v>
      </c>
      <c r="Z42" s="136" t="n">
        <f aca="false">$Y42*MM_FixedCost!$G41</f>
        <v>282.5</v>
      </c>
      <c r="AA42" s="136" t="n">
        <f aca="false">SUM($J42:$L42)</f>
        <v>17251</v>
      </c>
      <c r="AB42" s="136" t="n">
        <f aca="false">$AA42*MM_FixedCost!$G41</f>
        <v>4312.75</v>
      </c>
      <c r="AC42" s="136" t="n">
        <f aca="false">SUM($M42:$O42)</f>
        <v>0</v>
      </c>
      <c r="AD42" s="136" t="n">
        <f aca="false">$AC42*MM_FixedCost!$G41</f>
        <v>0</v>
      </c>
      <c r="AE42" s="136" t="n">
        <f aca="false">SUM($P42:$R42)</f>
        <v>0</v>
      </c>
      <c r="AF42" s="136" t="n">
        <f aca="false">$AE42*MM_FixedCost!$G41</f>
        <v>0</v>
      </c>
      <c r="AG42" s="136" t="n">
        <f aca="false">CHOOSE(VALUE(MID(Controls!$B$6,2,1)),$Z42,$AB42,$AD42,$AF42)</f>
        <v>4312.75</v>
      </c>
    </row>
    <row r="43" customFormat="false" ht="13.5" hidden="false" customHeight="false" outlineLevel="0" collapsed="false">
      <c r="A43" s="67" t="n">
        <f aca="false">MM_FixedCost!A42</f>
        <v>7560</v>
      </c>
      <c r="B43" s="67" t="str">
        <f aca="false">MM_FixedCost!B42</f>
        <v>Books and journals</v>
      </c>
      <c r="C43" s="67" t="str">
        <f aca="false">MM_FixedCost!C42</f>
        <v>Office Running costs</v>
      </c>
      <c r="D43" s="67" t="str">
        <f aca="false">MM_FixedCost!E42</f>
        <v>Core</v>
      </c>
      <c r="E43" s="68" t="n">
        <f aca="false">MM_FixedCost!F42</f>
        <v>0</v>
      </c>
      <c r="F43" s="68" t="n">
        <f aca="false">$E43/12*Controls!$B$11</f>
        <v>0</v>
      </c>
      <c r="G43" s="68" t="n">
        <f aca="false">IF(1&gt;Controls!$B$11,"-",SUMIFS(Nominal_Activity!$M$2:$M$3000,Nominal_Activity!$C$2:$C$3000,$A43,Nominal_Activity!$G$2:$G$3000,"&gt;="&amp;DATE(Controls!$B$5,1,1),Nominal_Activity!$G$2:$G$3000,"&lt;="&amp;EOMONTH(DATE(Controls!$B$5,1,1),0),Nominal_Activity!$A$2:$A$3000,Controls!$B$7))</f>
        <v>0</v>
      </c>
      <c r="H43" s="68" t="n">
        <f aca="false">IF(2&gt;Controls!$B$11,"-",SUMIFS(Nominal_Activity!$M$2:$M$3000,Nominal_Activity!$C$2:$C$3000,$A43,Nominal_Activity!$G$2:$G$3000,"&gt;="&amp;DATE(Controls!$B$5,2,1),Nominal_Activity!$G$2:$G$3000,"&lt;="&amp;EOMONTH(DATE(Controls!$B$5,2,1),0),Nominal_Activity!$A$2:$A$3000,Controls!$B$7))</f>
        <v>0</v>
      </c>
      <c r="I43" s="68" t="n">
        <f aca="false">IF(3&gt;Controls!$B$11,"-",SUMIFS(Nominal_Activity!$M$2:$M$3000,Nominal_Activity!$C$2:$C$3000,$A43,Nominal_Activity!$G$2:$G$3000,"&gt;="&amp;DATE(Controls!$B$5,3,1),Nominal_Activity!$G$2:$G$3000,"&lt;="&amp;EOMONTH(DATE(Controls!$B$5,3,1),0),Nominal_Activity!$A$2:$A$3000,Controls!$B$7))</f>
        <v>0</v>
      </c>
      <c r="J43" s="68" t="n">
        <f aca="false">IF(4&gt;Controls!$B$11,"-",SUMIFS(Nominal_Activity!$M$2:$M$3000,Nominal_Activity!$C$2:$C$3000,$A43,Nominal_Activity!$G$2:$G$3000,"&gt;="&amp;DATE(Controls!$B$5,4,1),Nominal_Activity!$G$2:$G$3000,"&lt;="&amp;EOMONTH(DATE(Controls!$B$5,4,1),0),Nominal_Activity!$A$2:$A$3000,Controls!$B$7))</f>
        <v>0</v>
      </c>
      <c r="K43" s="68" t="n">
        <f aca="false">IF(5&gt;Controls!$B$11,"-",SUMIFS(Nominal_Activity!$M$2:$M$3000,Nominal_Activity!$C$2:$C$3000,$A43,Nominal_Activity!$G$2:$G$3000,"&gt;="&amp;DATE(Controls!$B$5,5,1),Nominal_Activity!$G$2:$G$3000,"&lt;="&amp;EOMONTH(DATE(Controls!$B$5,5,1),0),Nominal_Activity!$A$2:$A$3000,Controls!$B$7))</f>
        <v>0</v>
      </c>
      <c r="L43" s="68" t="n">
        <f aca="false">IF(6&gt;Controls!$B$11,"-",SUMIFS(Nominal_Activity!$M$2:$M$3000,Nominal_Activity!$C$2:$C$3000,$A43,Nominal_Activity!$G$2:$G$3000,"&gt;="&amp;DATE(Controls!$B$5,6,1),Nominal_Activity!$G$2:$G$3000,"&lt;="&amp;EOMONTH(DATE(Controls!$B$5,6,1),0),Nominal_Activity!$A$2:$A$3000,Controls!$B$7))</f>
        <v>0</v>
      </c>
      <c r="M43" s="68" t="str">
        <f aca="false">IF(7&gt;Controls!$B$11,"-",SUMIFS(Nominal_Activity!$M$2:$M$3000,Nominal_Activity!$C$2:$C$3000,$A43,Nominal_Activity!$G$2:$G$3000,"&gt;="&amp;DATE(Controls!$B$5,7,1),Nominal_Activity!$G$2:$G$3000,"&lt;="&amp;EOMONTH(DATE(Controls!$B$5,7,1),0),Nominal_Activity!$A$2:$A$3000,Controls!$B$7))</f>
        <v>-</v>
      </c>
      <c r="N43" s="68" t="str">
        <f aca="false">IF(8&gt;Controls!$B$11,"-",SUMIFS(Nominal_Activity!$M$2:$M$3000,Nominal_Activity!$C$2:$C$3000,$A43,Nominal_Activity!$G$2:$G$3000,"&gt;="&amp;DATE(Controls!$B$5,8,1),Nominal_Activity!$G$2:$G$3000,"&lt;="&amp;EOMONTH(DATE(Controls!$B$5,8,1),0),Nominal_Activity!$A$2:$A$3000,Controls!$B$7))</f>
        <v>-</v>
      </c>
      <c r="O43" s="68" t="str">
        <f aca="false">IF(9&gt;Controls!$B$11,"-",SUMIFS(Nominal_Activity!$M$2:$M$3000,Nominal_Activity!$C$2:$C$3000,$A43,Nominal_Activity!$G$2:$G$3000,"&gt;="&amp;DATE(Controls!$B$5,9,1),Nominal_Activity!$G$2:$G$3000,"&lt;="&amp;EOMONTH(DATE(Controls!$B$5,9,1),0),Nominal_Activity!$A$2:$A$3000,Controls!$B$7))</f>
        <v>-</v>
      </c>
      <c r="P43" s="68" t="str">
        <f aca="false">IF(10&gt;Controls!$B$11,"-",SUMIFS(Nominal_Activity!$M$2:$M$3000,Nominal_Activity!$C$2:$C$3000,$A43,Nominal_Activity!$G$2:$G$3000,"&gt;="&amp;DATE(Controls!$B$5,10,1),Nominal_Activity!$G$2:$G$3000,"&lt;="&amp;EOMONTH(DATE(Controls!$B$5,10,1),0),Nominal_Activity!$A$2:$A$3000,Controls!$B$7))</f>
        <v>-</v>
      </c>
      <c r="Q43" s="68" t="str">
        <f aca="false">IF(11&gt;Controls!$B$11,"-",SUMIFS(Nominal_Activity!$M$2:$M$3000,Nominal_Activity!$C$2:$C$3000,$A43,Nominal_Activity!$G$2:$G$3000,"&gt;="&amp;DATE(Controls!$B$5,11,1),Nominal_Activity!$G$2:$G$3000,"&lt;="&amp;EOMONTH(DATE(Controls!$B$5,11,1),0),Nominal_Activity!$A$2:$A$3000,Controls!$B$7))</f>
        <v>-</v>
      </c>
      <c r="R43" s="68" t="str">
        <f aca="false">IF(12&gt;Controls!$B$11,"-",SUMIFS(Nominal_Activity!$M$2:$M$3000,Nominal_Activity!$C$2:$C$3000,$A43,Nominal_Activity!$G$2:$G$3000,"&gt;="&amp;DATE(Controls!$B$5,12,1),Nominal_Activity!$G$2:$G$3000,"&lt;="&amp;EOMONTH(DATE(Controls!$B$5,12,1),0),Nominal_Activity!$A$2:$A$3000,Controls!$B$7))</f>
        <v>-</v>
      </c>
      <c r="S43" s="68" t="n">
        <f aca="false">SUM(G43:R43)</f>
        <v>0</v>
      </c>
      <c r="T43" s="68" t="n">
        <f aca="false">$F43-$S43</f>
        <v>0</v>
      </c>
      <c r="U43" s="77" t="n">
        <f aca="false">IFERROR($T43/$F43,0)</f>
        <v>0</v>
      </c>
      <c r="V43" s="68" t="n">
        <f aca="false">$S43*MM_FixedCost!G42</f>
        <v>0</v>
      </c>
      <c r="W43" s="68" t="n">
        <f aca="false">$S43-$V43</f>
        <v>0</v>
      </c>
      <c r="X43" s="135"/>
      <c r="Y43" s="136" t="n">
        <f aca="false">SUM($G43:$I43)</f>
        <v>0</v>
      </c>
      <c r="Z43" s="136" t="n">
        <f aca="false">$Y43*MM_FixedCost!$G42</f>
        <v>0</v>
      </c>
      <c r="AA43" s="136" t="n">
        <f aca="false">SUM($J43:$L43)</f>
        <v>0</v>
      </c>
      <c r="AB43" s="136" t="n">
        <f aca="false">$AA43*MM_FixedCost!$G42</f>
        <v>0</v>
      </c>
      <c r="AC43" s="136" t="n">
        <f aca="false">SUM($M43:$O43)</f>
        <v>0</v>
      </c>
      <c r="AD43" s="136" t="n">
        <f aca="false">$AC43*MM_FixedCost!$G42</f>
        <v>0</v>
      </c>
      <c r="AE43" s="136" t="n">
        <f aca="false">SUM($P43:$R43)</f>
        <v>0</v>
      </c>
      <c r="AF43" s="136" t="n">
        <f aca="false">$AE43*MM_FixedCost!$G42</f>
        <v>0</v>
      </c>
      <c r="AG43" s="136" t="n">
        <f aca="false">CHOOSE(VALUE(MID(Controls!$B$6,2,1)),$Z43,$AB43,$AD43,$AF43)</f>
        <v>0</v>
      </c>
    </row>
    <row r="44" customFormat="false" ht="13.5" hidden="false" customHeight="false" outlineLevel="0" collapsed="false">
      <c r="A44" s="67" t="n">
        <f aca="false">MM_FixedCost!A43</f>
        <v>7570</v>
      </c>
      <c r="B44" s="67" t="str">
        <f aca="false">MM_FixedCost!B43</f>
        <v>Office Equipment</v>
      </c>
      <c r="C44" s="67" t="str">
        <f aca="false">MM_FixedCost!C43</f>
        <v>Office Running costs</v>
      </c>
      <c r="D44" s="67" t="str">
        <f aca="false">MM_FixedCost!E43</f>
        <v>Core</v>
      </c>
      <c r="E44" s="68" t="n">
        <f aca="false">MM_FixedCost!F43</f>
        <v>0</v>
      </c>
      <c r="F44" s="68" t="n">
        <f aca="false">$E44/12*Controls!$B$11</f>
        <v>0</v>
      </c>
      <c r="G44" s="68" t="n">
        <f aca="false">IF(1&gt;Controls!$B$11,"-",SUMIFS(Nominal_Activity!$M$2:$M$3000,Nominal_Activity!$C$2:$C$3000,$A44,Nominal_Activity!$G$2:$G$3000,"&gt;="&amp;DATE(Controls!$B$5,1,1),Nominal_Activity!$G$2:$G$3000,"&lt;="&amp;EOMONTH(DATE(Controls!$B$5,1,1),0),Nominal_Activity!$A$2:$A$3000,Controls!$B$7))</f>
        <v>0</v>
      </c>
      <c r="H44" s="68" t="n">
        <f aca="false">IF(2&gt;Controls!$B$11,"-",SUMIFS(Nominal_Activity!$M$2:$M$3000,Nominal_Activity!$C$2:$C$3000,$A44,Nominal_Activity!$G$2:$G$3000,"&gt;="&amp;DATE(Controls!$B$5,2,1),Nominal_Activity!$G$2:$G$3000,"&lt;="&amp;EOMONTH(DATE(Controls!$B$5,2,1),0),Nominal_Activity!$A$2:$A$3000,Controls!$B$7))</f>
        <v>0</v>
      </c>
      <c r="I44" s="68" t="n">
        <f aca="false">IF(3&gt;Controls!$B$11,"-",SUMIFS(Nominal_Activity!$M$2:$M$3000,Nominal_Activity!$C$2:$C$3000,$A44,Nominal_Activity!$G$2:$G$3000,"&gt;="&amp;DATE(Controls!$B$5,3,1),Nominal_Activity!$G$2:$G$3000,"&lt;="&amp;EOMONTH(DATE(Controls!$B$5,3,1),0),Nominal_Activity!$A$2:$A$3000,Controls!$B$7))</f>
        <v>0</v>
      </c>
      <c r="J44" s="68" t="n">
        <f aca="false">IF(4&gt;Controls!$B$11,"-",SUMIFS(Nominal_Activity!$M$2:$M$3000,Nominal_Activity!$C$2:$C$3000,$A44,Nominal_Activity!$G$2:$G$3000,"&gt;="&amp;DATE(Controls!$B$5,4,1),Nominal_Activity!$G$2:$G$3000,"&lt;="&amp;EOMONTH(DATE(Controls!$B$5,4,1),0),Nominal_Activity!$A$2:$A$3000,Controls!$B$7))</f>
        <v>0</v>
      </c>
      <c r="K44" s="68" t="n">
        <f aca="false">IF(5&gt;Controls!$B$11,"-",SUMIFS(Nominal_Activity!$M$2:$M$3000,Nominal_Activity!$C$2:$C$3000,$A44,Nominal_Activity!$G$2:$G$3000,"&gt;="&amp;DATE(Controls!$B$5,5,1),Nominal_Activity!$G$2:$G$3000,"&lt;="&amp;EOMONTH(DATE(Controls!$B$5,5,1),0),Nominal_Activity!$A$2:$A$3000,Controls!$B$7))</f>
        <v>200</v>
      </c>
      <c r="L44" s="68" t="n">
        <f aca="false">IF(6&gt;Controls!$B$11,"-",SUMIFS(Nominal_Activity!$M$2:$M$3000,Nominal_Activity!$C$2:$C$3000,$A44,Nominal_Activity!$G$2:$G$3000,"&gt;="&amp;DATE(Controls!$B$5,6,1),Nominal_Activity!$G$2:$G$3000,"&lt;="&amp;EOMONTH(DATE(Controls!$B$5,6,1),0),Nominal_Activity!$A$2:$A$3000,Controls!$B$7))</f>
        <v>0</v>
      </c>
      <c r="M44" s="68" t="str">
        <f aca="false">IF(7&gt;Controls!$B$11,"-",SUMIFS(Nominal_Activity!$M$2:$M$3000,Nominal_Activity!$C$2:$C$3000,$A44,Nominal_Activity!$G$2:$G$3000,"&gt;="&amp;DATE(Controls!$B$5,7,1),Nominal_Activity!$G$2:$G$3000,"&lt;="&amp;EOMONTH(DATE(Controls!$B$5,7,1),0),Nominal_Activity!$A$2:$A$3000,Controls!$B$7))</f>
        <v>-</v>
      </c>
      <c r="N44" s="68" t="str">
        <f aca="false">IF(8&gt;Controls!$B$11,"-",SUMIFS(Nominal_Activity!$M$2:$M$3000,Nominal_Activity!$C$2:$C$3000,$A44,Nominal_Activity!$G$2:$G$3000,"&gt;="&amp;DATE(Controls!$B$5,8,1),Nominal_Activity!$G$2:$G$3000,"&lt;="&amp;EOMONTH(DATE(Controls!$B$5,8,1),0),Nominal_Activity!$A$2:$A$3000,Controls!$B$7))</f>
        <v>-</v>
      </c>
      <c r="O44" s="68" t="str">
        <f aca="false">IF(9&gt;Controls!$B$11,"-",SUMIFS(Nominal_Activity!$M$2:$M$3000,Nominal_Activity!$C$2:$C$3000,$A44,Nominal_Activity!$G$2:$G$3000,"&gt;="&amp;DATE(Controls!$B$5,9,1),Nominal_Activity!$G$2:$G$3000,"&lt;="&amp;EOMONTH(DATE(Controls!$B$5,9,1),0),Nominal_Activity!$A$2:$A$3000,Controls!$B$7))</f>
        <v>-</v>
      </c>
      <c r="P44" s="68" t="str">
        <f aca="false">IF(10&gt;Controls!$B$11,"-",SUMIFS(Nominal_Activity!$M$2:$M$3000,Nominal_Activity!$C$2:$C$3000,$A44,Nominal_Activity!$G$2:$G$3000,"&gt;="&amp;DATE(Controls!$B$5,10,1),Nominal_Activity!$G$2:$G$3000,"&lt;="&amp;EOMONTH(DATE(Controls!$B$5,10,1),0),Nominal_Activity!$A$2:$A$3000,Controls!$B$7))</f>
        <v>-</v>
      </c>
      <c r="Q44" s="68" t="str">
        <f aca="false">IF(11&gt;Controls!$B$11,"-",SUMIFS(Nominal_Activity!$M$2:$M$3000,Nominal_Activity!$C$2:$C$3000,$A44,Nominal_Activity!$G$2:$G$3000,"&gt;="&amp;DATE(Controls!$B$5,11,1),Nominal_Activity!$G$2:$G$3000,"&lt;="&amp;EOMONTH(DATE(Controls!$B$5,11,1),0),Nominal_Activity!$A$2:$A$3000,Controls!$B$7))</f>
        <v>-</v>
      </c>
      <c r="R44" s="68" t="str">
        <f aca="false">IF(12&gt;Controls!$B$11,"-",SUMIFS(Nominal_Activity!$M$2:$M$3000,Nominal_Activity!$C$2:$C$3000,$A44,Nominal_Activity!$G$2:$G$3000,"&gt;="&amp;DATE(Controls!$B$5,12,1),Nominal_Activity!$G$2:$G$3000,"&lt;="&amp;EOMONTH(DATE(Controls!$B$5,12,1),0),Nominal_Activity!$A$2:$A$3000,Controls!$B$7))</f>
        <v>-</v>
      </c>
      <c r="S44" s="68" t="n">
        <f aca="false">SUM(G44:R44)</f>
        <v>200</v>
      </c>
      <c r="T44" s="68" t="n">
        <f aca="false">$F44-$S44</f>
        <v>-200</v>
      </c>
      <c r="U44" s="77" t="n">
        <f aca="false">IFERROR($T44/$F44,0)</f>
        <v>0</v>
      </c>
      <c r="V44" s="68" t="n">
        <f aca="false">$S44*MM_FixedCost!G43</f>
        <v>0</v>
      </c>
      <c r="W44" s="68" t="n">
        <f aca="false">$S44-$V44</f>
        <v>200</v>
      </c>
      <c r="X44" s="135"/>
      <c r="Y44" s="136" t="n">
        <f aca="false">SUM($G44:$I44)</f>
        <v>0</v>
      </c>
      <c r="Z44" s="136" t="n">
        <f aca="false">$Y44*MM_FixedCost!$G43</f>
        <v>0</v>
      </c>
      <c r="AA44" s="136" t="n">
        <f aca="false">SUM($J44:$L44)</f>
        <v>200</v>
      </c>
      <c r="AB44" s="136" t="n">
        <f aca="false">$AA44*MM_FixedCost!$G43</f>
        <v>0</v>
      </c>
      <c r="AC44" s="136" t="n">
        <f aca="false">SUM($M44:$O44)</f>
        <v>0</v>
      </c>
      <c r="AD44" s="136" t="n">
        <f aca="false">$AC44*MM_FixedCost!$G43</f>
        <v>0</v>
      </c>
      <c r="AE44" s="136" t="n">
        <f aca="false">SUM($P44:$R44)</f>
        <v>0</v>
      </c>
      <c r="AF44" s="136" t="n">
        <f aca="false">$AE44*MM_FixedCost!$G43</f>
        <v>0</v>
      </c>
      <c r="AG44" s="136" t="n">
        <f aca="false">CHOOSE(VALUE(MID(Controls!$B$6,2,1)),$Z44,$AB44,$AD44,$AF44)</f>
        <v>0</v>
      </c>
    </row>
    <row r="45" customFormat="false" ht="13.5" hidden="false" customHeight="false" outlineLevel="0" collapsed="false">
      <c r="A45" s="67" t="n">
        <f aca="false">MM_FixedCost!A44</f>
        <v>7580</v>
      </c>
      <c r="B45" s="67" t="str">
        <f aca="false">MM_FixedCost!B44</f>
        <v>Misc Office Costs</v>
      </c>
      <c r="C45" s="67" t="str">
        <f aca="false">MM_FixedCost!C44</f>
        <v>Office Running costs</v>
      </c>
      <c r="D45" s="67" t="str">
        <f aca="false">MM_FixedCost!E44</f>
        <v>Core</v>
      </c>
      <c r="E45" s="68" t="n">
        <f aca="false">MM_FixedCost!F44</f>
        <v>14000</v>
      </c>
      <c r="F45" s="68" t="n">
        <f aca="false">$E45/12*Controls!$B$11</f>
        <v>7000</v>
      </c>
      <c r="G45" s="68" t="n">
        <f aca="false">IF(1&gt;Controls!$B$11,"-",SUMIFS(Nominal_Activity!$M$2:$M$3000,Nominal_Activity!$C$2:$C$3000,$A45,Nominal_Activity!$G$2:$G$3000,"&gt;="&amp;DATE(Controls!$B$5,1,1),Nominal_Activity!$G$2:$G$3000,"&lt;="&amp;EOMONTH(DATE(Controls!$B$5,1,1),0),Nominal_Activity!$A$2:$A$3000,Controls!$B$7))</f>
        <v>358</v>
      </c>
      <c r="H45" s="68" t="n">
        <f aca="false">IF(2&gt;Controls!$B$11,"-",SUMIFS(Nominal_Activity!$M$2:$M$3000,Nominal_Activity!$C$2:$C$3000,$A45,Nominal_Activity!$G$2:$G$3000,"&gt;="&amp;DATE(Controls!$B$5,2,1),Nominal_Activity!$G$2:$G$3000,"&lt;="&amp;EOMONTH(DATE(Controls!$B$5,2,1),0),Nominal_Activity!$A$2:$A$3000,Controls!$B$7))</f>
        <v>315.21</v>
      </c>
      <c r="I45" s="68" t="n">
        <f aca="false">IF(3&gt;Controls!$B$11,"-",SUMIFS(Nominal_Activity!$M$2:$M$3000,Nominal_Activity!$C$2:$C$3000,$A45,Nominal_Activity!$G$2:$G$3000,"&gt;="&amp;DATE(Controls!$B$5,3,1),Nominal_Activity!$G$2:$G$3000,"&lt;="&amp;EOMONTH(DATE(Controls!$B$5,3,1),0),Nominal_Activity!$A$2:$A$3000,Controls!$B$7))</f>
        <v>23</v>
      </c>
      <c r="J45" s="68" t="n">
        <f aca="false">IF(4&gt;Controls!$B$11,"-",SUMIFS(Nominal_Activity!$M$2:$M$3000,Nominal_Activity!$C$2:$C$3000,$A45,Nominal_Activity!$G$2:$G$3000,"&gt;="&amp;DATE(Controls!$B$5,4,1),Nominal_Activity!$G$2:$G$3000,"&lt;="&amp;EOMONTH(DATE(Controls!$B$5,4,1),0),Nominal_Activity!$A$2:$A$3000,Controls!$B$7))</f>
        <v>1217.23</v>
      </c>
      <c r="K45" s="68" t="n">
        <f aca="false">IF(5&gt;Controls!$B$11,"-",SUMIFS(Nominal_Activity!$M$2:$M$3000,Nominal_Activity!$C$2:$C$3000,$A45,Nominal_Activity!$G$2:$G$3000,"&gt;="&amp;DATE(Controls!$B$5,5,1),Nominal_Activity!$G$2:$G$3000,"&lt;="&amp;EOMONTH(DATE(Controls!$B$5,5,1),0),Nominal_Activity!$A$2:$A$3000,Controls!$B$7))</f>
        <v>495</v>
      </c>
      <c r="L45" s="68" t="n">
        <f aca="false">IF(6&gt;Controls!$B$11,"-",SUMIFS(Nominal_Activity!$M$2:$M$3000,Nominal_Activity!$C$2:$C$3000,$A45,Nominal_Activity!$G$2:$G$3000,"&gt;="&amp;DATE(Controls!$B$5,6,1),Nominal_Activity!$G$2:$G$3000,"&lt;="&amp;EOMONTH(DATE(Controls!$B$5,6,1),0),Nominal_Activity!$A$2:$A$3000,Controls!$B$7))</f>
        <v>262</v>
      </c>
      <c r="M45" s="68" t="str">
        <f aca="false">IF(7&gt;Controls!$B$11,"-",SUMIFS(Nominal_Activity!$M$2:$M$3000,Nominal_Activity!$C$2:$C$3000,$A45,Nominal_Activity!$G$2:$G$3000,"&gt;="&amp;DATE(Controls!$B$5,7,1),Nominal_Activity!$G$2:$G$3000,"&lt;="&amp;EOMONTH(DATE(Controls!$B$5,7,1),0),Nominal_Activity!$A$2:$A$3000,Controls!$B$7))</f>
        <v>-</v>
      </c>
      <c r="N45" s="68" t="str">
        <f aca="false">IF(8&gt;Controls!$B$11,"-",SUMIFS(Nominal_Activity!$M$2:$M$3000,Nominal_Activity!$C$2:$C$3000,$A45,Nominal_Activity!$G$2:$G$3000,"&gt;="&amp;DATE(Controls!$B$5,8,1),Nominal_Activity!$G$2:$G$3000,"&lt;="&amp;EOMONTH(DATE(Controls!$B$5,8,1),0),Nominal_Activity!$A$2:$A$3000,Controls!$B$7))</f>
        <v>-</v>
      </c>
      <c r="O45" s="68" t="str">
        <f aca="false">IF(9&gt;Controls!$B$11,"-",SUMIFS(Nominal_Activity!$M$2:$M$3000,Nominal_Activity!$C$2:$C$3000,$A45,Nominal_Activity!$G$2:$G$3000,"&gt;="&amp;DATE(Controls!$B$5,9,1),Nominal_Activity!$G$2:$G$3000,"&lt;="&amp;EOMONTH(DATE(Controls!$B$5,9,1),0),Nominal_Activity!$A$2:$A$3000,Controls!$B$7))</f>
        <v>-</v>
      </c>
      <c r="P45" s="68" t="str">
        <f aca="false">IF(10&gt;Controls!$B$11,"-",SUMIFS(Nominal_Activity!$M$2:$M$3000,Nominal_Activity!$C$2:$C$3000,$A45,Nominal_Activity!$G$2:$G$3000,"&gt;="&amp;DATE(Controls!$B$5,10,1),Nominal_Activity!$G$2:$G$3000,"&lt;="&amp;EOMONTH(DATE(Controls!$B$5,10,1),0),Nominal_Activity!$A$2:$A$3000,Controls!$B$7))</f>
        <v>-</v>
      </c>
      <c r="Q45" s="68" t="str">
        <f aca="false">IF(11&gt;Controls!$B$11,"-",SUMIFS(Nominal_Activity!$M$2:$M$3000,Nominal_Activity!$C$2:$C$3000,$A45,Nominal_Activity!$G$2:$G$3000,"&gt;="&amp;DATE(Controls!$B$5,11,1),Nominal_Activity!$G$2:$G$3000,"&lt;="&amp;EOMONTH(DATE(Controls!$B$5,11,1),0),Nominal_Activity!$A$2:$A$3000,Controls!$B$7))</f>
        <v>-</v>
      </c>
      <c r="R45" s="68" t="str">
        <f aca="false">IF(12&gt;Controls!$B$11,"-",SUMIFS(Nominal_Activity!$M$2:$M$3000,Nominal_Activity!$C$2:$C$3000,$A45,Nominal_Activity!$G$2:$G$3000,"&gt;="&amp;DATE(Controls!$B$5,12,1),Nominal_Activity!$G$2:$G$3000,"&lt;="&amp;EOMONTH(DATE(Controls!$B$5,12,1),0),Nominal_Activity!$A$2:$A$3000,Controls!$B$7))</f>
        <v>-</v>
      </c>
      <c r="S45" s="68" t="n">
        <f aca="false">SUM(G45:R45)</f>
        <v>2670.44</v>
      </c>
      <c r="T45" s="68" t="n">
        <f aca="false">$F45-$S45</f>
        <v>4329.56</v>
      </c>
      <c r="U45" s="77" t="n">
        <f aca="false">IFERROR($T45/$F45,0)</f>
        <v>0.618508571428571</v>
      </c>
      <c r="V45" s="68" t="n">
        <f aca="false">$S45*MM_FixedCost!G44</f>
        <v>667.61</v>
      </c>
      <c r="W45" s="68" t="n">
        <f aca="false">$S45-$V45</f>
        <v>2002.83</v>
      </c>
      <c r="X45" s="135"/>
      <c r="Y45" s="136" t="n">
        <f aca="false">SUM($G45:$I45)</f>
        <v>696.21</v>
      </c>
      <c r="Z45" s="136" t="n">
        <f aca="false">$Y45*MM_FixedCost!$G44</f>
        <v>174.0525</v>
      </c>
      <c r="AA45" s="136" t="n">
        <f aca="false">SUM($J45:$L45)</f>
        <v>1974.23</v>
      </c>
      <c r="AB45" s="136" t="n">
        <f aca="false">$AA45*MM_FixedCost!$G44</f>
        <v>493.5575</v>
      </c>
      <c r="AC45" s="136" t="n">
        <f aca="false">SUM($M45:$O45)</f>
        <v>0</v>
      </c>
      <c r="AD45" s="136" t="n">
        <f aca="false">$AC45*MM_FixedCost!$G44</f>
        <v>0</v>
      </c>
      <c r="AE45" s="136" t="n">
        <f aca="false">SUM($P45:$R45)</f>
        <v>0</v>
      </c>
      <c r="AF45" s="136" t="n">
        <f aca="false">$AE45*MM_FixedCost!$G44</f>
        <v>0</v>
      </c>
      <c r="AG45" s="136" t="n">
        <f aca="false">CHOOSE(VALUE(MID(Controls!$B$6,2,1)),$Z45,$AB45,$AD45,$AF45)</f>
        <v>493.5575</v>
      </c>
    </row>
    <row r="46" customFormat="false" ht="13.5" hidden="false" customHeight="false" outlineLevel="0" collapsed="false">
      <c r="A46" s="67" t="n">
        <f aca="false">MM_FixedCost!A45</f>
        <v>7600</v>
      </c>
      <c r="B46" s="67" t="str">
        <f aca="false">MM_FixedCost!B45</f>
        <v>Legal: general fees and expenses</v>
      </c>
      <c r="C46" s="67" t="str">
        <f aca="false">MM_FixedCost!C45</f>
        <v>Professional services and governance</v>
      </c>
      <c r="D46" s="67" t="str">
        <f aca="false">MM_FixedCost!E45</f>
        <v>Core</v>
      </c>
      <c r="E46" s="68" t="n">
        <f aca="false">MM_FixedCost!F45</f>
        <v>12000</v>
      </c>
      <c r="F46" s="68" t="n">
        <f aca="false">$E46/12*Controls!$B$11</f>
        <v>6000</v>
      </c>
      <c r="G46" s="68" t="n">
        <f aca="false">IF(1&gt;Controls!$B$11,"-",SUMIFS(Nominal_Activity!$M$2:$M$3000,Nominal_Activity!$C$2:$C$3000,$A46,Nominal_Activity!$G$2:$G$3000,"&gt;="&amp;DATE(Controls!$B$5,1,1),Nominal_Activity!$G$2:$G$3000,"&lt;="&amp;EOMONTH(DATE(Controls!$B$5,1,1),0),Nominal_Activity!$A$2:$A$3000,Controls!$B$7))</f>
        <v>0</v>
      </c>
      <c r="H46" s="68" t="n">
        <f aca="false">IF(2&gt;Controls!$B$11,"-",SUMIFS(Nominal_Activity!$M$2:$M$3000,Nominal_Activity!$C$2:$C$3000,$A46,Nominal_Activity!$G$2:$G$3000,"&gt;="&amp;DATE(Controls!$B$5,2,1),Nominal_Activity!$G$2:$G$3000,"&lt;="&amp;EOMONTH(DATE(Controls!$B$5,2,1),0),Nominal_Activity!$A$2:$A$3000,Controls!$B$7))</f>
        <v>0</v>
      </c>
      <c r="I46" s="68" t="n">
        <f aca="false">IF(3&gt;Controls!$B$11,"-",SUMIFS(Nominal_Activity!$M$2:$M$3000,Nominal_Activity!$C$2:$C$3000,$A46,Nominal_Activity!$G$2:$G$3000,"&gt;="&amp;DATE(Controls!$B$5,3,1),Nominal_Activity!$G$2:$G$3000,"&lt;="&amp;EOMONTH(DATE(Controls!$B$5,3,1),0),Nominal_Activity!$A$2:$A$3000,Controls!$B$7))</f>
        <v>0</v>
      </c>
      <c r="J46" s="68" t="n">
        <f aca="false">IF(4&gt;Controls!$B$11,"-",SUMIFS(Nominal_Activity!$M$2:$M$3000,Nominal_Activity!$C$2:$C$3000,$A46,Nominal_Activity!$G$2:$G$3000,"&gt;="&amp;DATE(Controls!$B$5,4,1),Nominal_Activity!$G$2:$G$3000,"&lt;="&amp;EOMONTH(DATE(Controls!$B$5,4,1),0),Nominal_Activity!$A$2:$A$3000,Controls!$B$7))</f>
        <v>0</v>
      </c>
      <c r="K46" s="68" t="n">
        <f aca="false">IF(5&gt;Controls!$B$11,"-",SUMIFS(Nominal_Activity!$M$2:$M$3000,Nominal_Activity!$C$2:$C$3000,$A46,Nominal_Activity!$G$2:$G$3000,"&gt;="&amp;DATE(Controls!$B$5,5,1),Nominal_Activity!$G$2:$G$3000,"&lt;="&amp;EOMONTH(DATE(Controls!$B$5,5,1),0),Nominal_Activity!$A$2:$A$3000,Controls!$B$7))</f>
        <v>0</v>
      </c>
      <c r="L46" s="68" t="n">
        <f aca="false">IF(6&gt;Controls!$B$11,"-",SUMIFS(Nominal_Activity!$M$2:$M$3000,Nominal_Activity!$C$2:$C$3000,$A46,Nominal_Activity!$G$2:$G$3000,"&gt;="&amp;DATE(Controls!$B$5,6,1),Nominal_Activity!$G$2:$G$3000,"&lt;="&amp;EOMONTH(DATE(Controls!$B$5,6,1),0),Nominal_Activity!$A$2:$A$3000,Controls!$B$7))</f>
        <v>0</v>
      </c>
      <c r="M46" s="68" t="str">
        <f aca="false">IF(7&gt;Controls!$B$11,"-",SUMIFS(Nominal_Activity!$M$2:$M$3000,Nominal_Activity!$C$2:$C$3000,$A46,Nominal_Activity!$G$2:$G$3000,"&gt;="&amp;DATE(Controls!$B$5,7,1),Nominal_Activity!$G$2:$G$3000,"&lt;="&amp;EOMONTH(DATE(Controls!$B$5,7,1),0),Nominal_Activity!$A$2:$A$3000,Controls!$B$7))</f>
        <v>-</v>
      </c>
      <c r="N46" s="68" t="str">
        <f aca="false">IF(8&gt;Controls!$B$11,"-",SUMIFS(Nominal_Activity!$M$2:$M$3000,Nominal_Activity!$C$2:$C$3000,$A46,Nominal_Activity!$G$2:$G$3000,"&gt;="&amp;DATE(Controls!$B$5,8,1),Nominal_Activity!$G$2:$G$3000,"&lt;="&amp;EOMONTH(DATE(Controls!$B$5,8,1),0),Nominal_Activity!$A$2:$A$3000,Controls!$B$7))</f>
        <v>-</v>
      </c>
      <c r="O46" s="68" t="str">
        <f aca="false">IF(9&gt;Controls!$B$11,"-",SUMIFS(Nominal_Activity!$M$2:$M$3000,Nominal_Activity!$C$2:$C$3000,$A46,Nominal_Activity!$G$2:$G$3000,"&gt;="&amp;DATE(Controls!$B$5,9,1),Nominal_Activity!$G$2:$G$3000,"&lt;="&amp;EOMONTH(DATE(Controls!$B$5,9,1),0),Nominal_Activity!$A$2:$A$3000,Controls!$B$7))</f>
        <v>-</v>
      </c>
      <c r="P46" s="68" t="str">
        <f aca="false">IF(10&gt;Controls!$B$11,"-",SUMIFS(Nominal_Activity!$M$2:$M$3000,Nominal_Activity!$C$2:$C$3000,$A46,Nominal_Activity!$G$2:$G$3000,"&gt;="&amp;DATE(Controls!$B$5,10,1),Nominal_Activity!$G$2:$G$3000,"&lt;="&amp;EOMONTH(DATE(Controls!$B$5,10,1),0),Nominal_Activity!$A$2:$A$3000,Controls!$B$7))</f>
        <v>-</v>
      </c>
      <c r="Q46" s="68" t="str">
        <f aca="false">IF(11&gt;Controls!$B$11,"-",SUMIFS(Nominal_Activity!$M$2:$M$3000,Nominal_Activity!$C$2:$C$3000,$A46,Nominal_Activity!$G$2:$G$3000,"&gt;="&amp;DATE(Controls!$B$5,11,1),Nominal_Activity!$G$2:$G$3000,"&lt;="&amp;EOMONTH(DATE(Controls!$B$5,11,1),0),Nominal_Activity!$A$2:$A$3000,Controls!$B$7))</f>
        <v>-</v>
      </c>
      <c r="R46" s="68" t="str">
        <f aca="false">IF(12&gt;Controls!$B$11,"-",SUMIFS(Nominal_Activity!$M$2:$M$3000,Nominal_Activity!$C$2:$C$3000,$A46,Nominal_Activity!$G$2:$G$3000,"&gt;="&amp;DATE(Controls!$B$5,12,1),Nominal_Activity!$G$2:$G$3000,"&lt;="&amp;EOMONTH(DATE(Controls!$B$5,12,1),0),Nominal_Activity!$A$2:$A$3000,Controls!$B$7))</f>
        <v>-</v>
      </c>
      <c r="S46" s="68" t="n">
        <f aca="false">SUM(G46:R46)</f>
        <v>0</v>
      </c>
      <c r="T46" s="68" t="n">
        <f aca="false">$F46-$S46</f>
        <v>6000</v>
      </c>
      <c r="U46" s="77" t="n">
        <f aca="false">IFERROR($T46/$F46,0)</f>
        <v>1</v>
      </c>
      <c r="V46" s="68" t="n">
        <f aca="false">$S46*MM_FixedCost!G45</f>
        <v>0</v>
      </c>
      <c r="W46" s="68" t="n">
        <f aca="false">$S46-$V46</f>
        <v>0</v>
      </c>
      <c r="X46" s="135"/>
      <c r="Y46" s="136" t="n">
        <f aca="false">SUM($G46:$I46)</f>
        <v>0</v>
      </c>
      <c r="Z46" s="136" t="n">
        <f aca="false">$Y46*MM_FixedCost!$G45</f>
        <v>0</v>
      </c>
      <c r="AA46" s="136" t="n">
        <f aca="false">SUM($J46:$L46)</f>
        <v>0</v>
      </c>
      <c r="AB46" s="136" t="n">
        <f aca="false">$AA46*MM_FixedCost!$G45</f>
        <v>0</v>
      </c>
      <c r="AC46" s="136" t="n">
        <f aca="false">SUM($M46:$O46)</f>
        <v>0</v>
      </c>
      <c r="AD46" s="136" t="n">
        <f aca="false">$AC46*MM_FixedCost!$G45</f>
        <v>0</v>
      </c>
      <c r="AE46" s="136" t="n">
        <f aca="false">SUM($P46:$R46)</f>
        <v>0</v>
      </c>
      <c r="AF46" s="136" t="n">
        <f aca="false">$AE46*MM_FixedCost!$G45</f>
        <v>0</v>
      </c>
      <c r="AG46" s="136" t="n">
        <f aca="false">CHOOSE(VALUE(MID(Controls!$B$6,2,1)),$Z46,$AB46,$AD46,$AF46)</f>
        <v>0</v>
      </c>
    </row>
    <row r="47" customFormat="false" ht="13.5" hidden="false" customHeight="false" outlineLevel="0" collapsed="false">
      <c r="A47" s="67" t="n">
        <f aca="false">MM_FixedCost!A46</f>
        <v>7610</v>
      </c>
      <c r="B47" s="67" t="str">
        <f aca="false">MM_FixedCost!B46</f>
        <v>Legal: staff immigration</v>
      </c>
      <c r="C47" s="67" t="str">
        <f aca="false">MM_FixedCost!C46</f>
        <v>Professional services and governance</v>
      </c>
      <c r="D47" s="67" t="str">
        <f aca="false">MM_FixedCost!E46</f>
        <v>Core</v>
      </c>
      <c r="E47" s="68" t="n">
        <f aca="false">MM_FixedCost!F46</f>
        <v>0</v>
      </c>
      <c r="F47" s="68" t="n">
        <f aca="false">$E47/12*Controls!$B$11</f>
        <v>0</v>
      </c>
      <c r="G47" s="68" t="n">
        <f aca="false">IF(1&gt;Controls!$B$11,"-",SUMIFS(Nominal_Activity!$M$2:$M$3000,Nominal_Activity!$C$2:$C$3000,$A47,Nominal_Activity!$G$2:$G$3000,"&gt;="&amp;DATE(Controls!$B$5,1,1),Nominal_Activity!$G$2:$G$3000,"&lt;="&amp;EOMONTH(DATE(Controls!$B$5,1,1),0),Nominal_Activity!$A$2:$A$3000,Controls!$B$7))</f>
        <v>0</v>
      </c>
      <c r="H47" s="68" t="n">
        <f aca="false">IF(2&gt;Controls!$B$11,"-",SUMIFS(Nominal_Activity!$M$2:$M$3000,Nominal_Activity!$C$2:$C$3000,$A47,Nominal_Activity!$G$2:$G$3000,"&gt;="&amp;DATE(Controls!$B$5,2,1),Nominal_Activity!$G$2:$G$3000,"&lt;="&amp;EOMONTH(DATE(Controls!$B$5,2,1),0),Nominal_Activity!$A$2:$A$3000,Controls!$B$7))</f>
        <v>0</v>
      </c>
      <c r="I47" s="68" t="n">
        <f aca="false">IF(3&gt;Controls!$B$11,"-",SUMIFS(Nominal_Activity!$M$2:$M$3000,Nominal_Activity!$C$2:$C$3000,$A47,Nominal_Activity!$G$2:$G$3000,"&gt;="&amp;DATE(Controls!$B$5,3,1),Nominal_Activity!$G$2:$G$3000,"&lt;="&amp;EOMONTH(DATE(Controls!$B$5,3,1),0),Nominal_Activity!$A$2:$A$3000,Controls!$B$7))</f>
        <v>0</v>
      </c>
      <c r="J47" s="68" t="n">
        <f aca="false">IF(4&gt;Controls!$B$11,"-",SUMIFS(Nominal_Activity!$M$2:$M$3000,Nominal_Activity!$C$2:$C$3000,$A47,Nominal_Activity!$G$2:$G$3000,"&gt;="&amp;DATE(Controls!$B$5,4,1),Nominal_Activity!$G$2:$G$3000,"&lt;="&amp;EOMONTH(DATE(Controls!$B$5,4,1),0),Nominal_Activity!$A$2:$A$3000,Controls!$B$7))</f>
        <v>0</v>
      </c>
      <c r="K47" s="68" t="n">
        <f aca="false">IF(5&gt;Controls!$B$11,"-",SUMIFS(Nominal_Activity!$M$2:$M$3000,Nominal_Activity!$C$2:$C$3000,$A47,Nominal_Activity!$G$2:$G$3000,"&gt;="&amp;DATE(Controls!$B$5,5,1),Nominal_Activity!$G$2:$G$3000,"&lt;="&amp;EOMONTH(DATE(Controls!$B$5,5,1),0),Nominal_Activity!$A$2:$A$3000,Controls!$B$7))</f>
        <v>0</v>
      </c>
      <c r="L47" s="68" t="n">
        <f aca="false">IF(6&gt;Controls!$B$11,"-",SUMIFS(Nominal_Activity!$M$2:$M$3000,Nominal_Activity!$C$2:$C$3000,$A47,Nominal_Activity!$G$2:$G$3000,"&gt;="&amp;DATE(Controls!$B$5,6,1),Nominal_Activity!$G$2:$G$3000,"&lt;="&amp;EOMONTH(DATE(Controls!$B$5,6,1),0),Nominal_Activity!$A$2:$A$3000,Controls!$B$7))</f>
        <v>0</v>
      </c>
      <c r="M47" s="68" t="str">
        <f aca="false">IF(7&gt;Controls!$B$11,"-",SUMIFS(Nominal_Activity!$M$2:$M$3000,Nominal_Activity!$C$2:$C$3000,$A47,Nominal_Activity!$G$2:$G$3000,"&gt;="&amp;DATE(Controls!$B$5,7,1),Nominal_Activity!$G$2:$G$3000,"&lt;="&amp;EOMONTH(DATE(Controls!$B$5,7,1),0),Nominal_Activity!$A$2:$A$3000,Controls!$B$7))</f>
        <v>-</v>
      </c>
      <c r="N47" s="68" t="str">
        <f aca="false">IF(8&gt;Controls!$B$11,"-",SUMIFS(Nominal_Activity!$M$2:$M$3000,Nominal_Activity!$C$2:$C$3000,$A47,Nominal_Activity!$G$2:$G$3000,"&gt;="&amp;DATE(Controls!$B$5,8,1),Nominal_Activity!$G$2:$G$3000,"&lt;="&amp;EOMONTH(DATE(Controls!$B$5,8,1),0),Nominal_Activity!$A$2:$A$3000,Controls!$B$7))</f>
        <v>-</v>
      </c>
      <c r="O47" s="68" t="str">
        <f aca="false">IF(9&gt;Controls!$B$11,"-",SUMIFS(Nominal_Activity!$M$2:$M$3000,Nominal_Activity!$C$2:$C$3000,$A47,Nominal_Activity!$G$2:$G$3000,"&gt;="&amp;DATE(Controls!$B$5,9,1),Nominal_Activity!$G$2:$G$3000,"&lt;="&amp;EOMONTH(DATE(Controls!$B$5,9,1),0),Nominal_Activity!$A$2:$A$3000,Controls!$B$7))</f>
        <v>-</v>
      </c>
      <c r="P47" s="68" t="str">
        <f aca="false">IF(10&gt;Controls!$B$11,"-",SUMIFS(Nominal_Activity!$M$2:$M$3000,Nominal_Activity!$C$2:$C$3000,$A47,Nominal_Activity!$G$2:$G$3000,"&gt;="&amp;DATE(Controls!$B$5,10,1),Nominal_Activity!$G$2:$G$3000,"&lt;="&amp;EOMONTH(DATE(Controls!$B$5,10,1),0),Nominal_Activity!$A$2:$A$3000,Controls!$B$7))</f>
        <v>-</v>
      </c>
      <c r="Q47" s="68" t="str">
        <f aca="false">IF(11&gt;Controls!$B$11,"-",SUMIFS(Nominal_Activity!$M$2:$M$3000,Nominal_Activity!$C$2:$C$3000,$A47,Nominal_Activity!$G$2:$G$3000,"&gt;="&amp;DATE(Controls!$B$5,11,1),Nominal_Activity!$G$2:$G$3000,"&lt;="&amp;EOMONTH(DATE(Controls!$B$5,11,1),0),Nominal_Activity!$A$2:$A$3000,Controls!$B$7))</f>
        <v>-</v>
      </c>
      <c r="R47" s="68" t="str">
        <f aca="false">IF(12&gt;Controls!$B$11,"-",SUMIFS(Nominal_Activity!$M$2:$M$3000,Nominal_Activity!$C$2:$C$3000,$A47,Nominal_Activity!$G$2:$G$3000,"&gt;="&amp;DATE(Controls!$B$5,12,1),Nominal_Activity!$G$2:$G$3000,"&lt;="&amp;EOMONTH(DATE(Controls!$B$5,12,1),0),Nominal_Activity!$A$2:$A$3000,Controls!$B$7))</f>
        <v>-</v>
      </c>
      <c r="S47" s="68" t="n">
        <f aca="false">SUM(G47:R47)</f>
        <v>0</v>
      </c>
      <c r="T47" s="68" t="n">
        <f aca="false">$F47-$S47</f>
        <v>0</v>
      </c>
      <c r="U47" s="77" t="n">
        <f aca="false">IFERROR($T47/$F47,0)</f>
        <v>0</v>
      </c>
      <c r="V47" s="68" t="n">
        <f aca="false">$S47*MM_FixedCost!G46</f>
        <v>0</v>
      </c>
      <c r="W47" s="68" t="n">
        <f aca="false">$S47-$V47</f>
        <v>0</v>
      </c>
      <c r="X47" s="135"/>
      <c r="Y47" s="136" t="n">
        <f aca="false">SUM($G47:$I47)</f>
        <v>0</v>
      </c>
      <c r="Z47" s="136" t="n">
        <f aca="false">$Y47*MM_FixedCost!$G46</f>
        <v>0</v>
      </c>
      <c r="AA47" s="136" t="n">
        <f aca="false">SUM($J47:$L47)</f>
        <v>0</v>
      </c>
      <c r="AB47" s="136" t="n">
        <f aca="false">$AA47*MM_FixedCost!$G46</f>
        <v>0</v>
      </c>
      <c r="AC47" s="136" t="n">
        <f aca="false">SUM($M47:$O47)</f>
        <v>0</v>
      </c>
      <c r="AD47" s="136" t="n">
        <f aca="false">$AC47*MM_FixedCost!$G46</f>
        <v>0</v>
      </c>
      <c r="AE47" s="136" t="n">
        <f aca="false">SUM($P47:$R47)</f>
        <v>0</v>
      </c>
      <c r="AF47" s="136" t="n">
        <f aca="false">$AE47*MM_FixedCost!$G46</f>
        <v>0</v>
      </c>
      <c r="AG47" s="136" t="n">
        <f aca="false">CHOOSE(VALUE(MID(Controls!$B$6,2,1)),$Z47,$AB47,$AD47,$AF47)</f>
        <v>0</v>
      </c>
    </row>
    <row r="48" customFormat="false" ht="13.5" hidden="false" customHeight="false" outlineLevel="0" collapsed="false">
      <c r="A48" s="67" t="n">
        <f aca="false">MM_FixedCost!A47</f>
        <v>7620</v>
      </c>
      <c r="B48" s="67" t="str">
        <f aca="false">MM_FixedCost!B47</f>
        <v>Accounting and audit fees</v>
      </c>
      <c r="C48" s="67" t="str">
        <f aca="false">MM_FixedCost!C47</f>
        <v>Professional services and governance</v>
      </c>
      <c r="D48" s="67" t="str">
        <f aca="false">MM_FixedCost!E47</f>
        <v>Core</v>
      </c>
      <c r="E48" s="68" t="n">
        <f aca="false">MM_FixedCost!F47</f>
        <v>15697.06</v>
      </c>
      <c r="F48" s="68" t="n">
        <f aca="false">$E48/12*Controls!$B$11</f>
        <v>7848.53</v>
      </c>
      <c r="G48" s="68" t="n">
        <f aca="false">IF(1&gt;Controls!$B$11,"-",SUMIFS(Nominal_Activity!$M$2:$M$3000,Nominal_Activity!$C$2:$C$3000,$A48,Nominal_Activity!$G$2:$G$3000,"&gt;="&amp;DATE(Controls!$B$5,1,1),Nominal_Activity!$G$2:$G$3000,"&lt;="&amp;EOMONTH(DATE(Controls!$B$5,1,1),0),Nominal_Activity!$A$2:$A$3000,Controls!$B$7))</f>
        <v>0</v>
      </c>
      <c r="H48" s="68" t="n">
        <f aca="false">IF(2&gt;Controls!$B$11,"-",SUMIFS(Nominal_Activity!$M$2:$M$3000,Nominal_Activity!$C$2:$C$3000,$A48,Nominal_Activity!$G$2:$G$3000,"&gt;="&amp;DATE(Controls!$B$5,2,1),Nominal_Activity!$G$2:$G$3000,"&lt;="&amp;EOMONTH(DATE(Controls!$B$5,2,1),0),Nominal_Activity!$A$2:$A$3000,Controls!$B$7))</f>
        <v>0</v>
      </c>
      <c r="I48" s="68" t="n">
        <f aca="false">IF(3&gt;Controls!$B$11,"-",SUMIFS(Nominal_Activity!$M$2:$M$3000,Nominal_Activity!$C$2:$C$3000,$A48,Nominal_Activity!$G$2:$G$3000,"&gt;="&amp;DATE(Controls!$B$5,3,1),Nominal_Activity!$G$2:$G$3000,"&lt;="&amp;EOMONTH(DATE(Controls!$B$5,3,1),0),Nominal_Activity!$A$2:$A$3000,Controls!$B$7))</f>
        <v>0</v>
      </c>
      <c r="J48" s="68" t="n">
        <f aca="false">IF(4&gt;Controls!$B$11,"-",SUMIFS(Nominal_Activity!$M$2:$M$3000,Nominal_Activity!$C$2:$C$3000,$A48,Nominal_Activity!$G$2:$G$3000,"&gt;="&amp;DATE(Controls!$B$5,4,1),Nominal_Activity!$G$2:$G$3000,"&lt;="&amp;EOMONTH(DATE(Controls!$B$5,4,1),0),Nominal_Activity!$A$2:$A$3000,Controls!$B$7))</f>
        <v>0</v>
      </c>
      <c r="K48" s="68" t="n">
        <f aca="false">IF(5&gt;Controls!$B$11,"-",SUMIFS(Nominal_Activity!$M$2:$M$3000,Nominal_Activity!$C$2:$C$3000,$A48,Nominal_Activity!$G$2:$G$3000,"&gt;="&amp;DATE(Controls!$B$5,5,1),Nominal_Activity!$G$2:$G$3000,"&lt;="&amp;EOMONTH(DATE(Controls!$B$5,5,1),0),Nominal_Activity!$A$2:$A$3000,Controls!$B$7))</f>
        <v>3394</v>
      </c>
      <c r="L48" s="68" t="n">
        <f aca="false">IF(6&gt;Controls!$B$11,"-",SUMIFS(Nominal_Activity!$M$2:$M$3000,Nominal_Activity!$C$2:$C$3000,$A48,Nominal_Activity!$G$2:$G$3000,"&gt;="&amp;DATE(Controls!$B$5,6,1),Nominal_Activity!$G$2:$G$3000,"&lt;="&amp;EOMONTH(DATE(Controls!$B$5,6,1),0),Nominal_Activity!$A$2:$A$3000,Controls!$B$7))</f>
        <v>0</v>
      </c>
      <c r="M48" s="68" t="str">
        <f aca="false">IF(7&gt;Controls!$B$11,"-",SUMIFS(Nominal_Activity!$M$2:$M$3000,Nominal_Activity!$C$2:$C$3000,$A48,Nominal_Activity!$G$2:$G$3000,"&gt;="&amp;DATE(Controls!$B$5,7,1),Nominal_Activity!$G$2:$G$3000,"&lt;="&amp;EOMONTH(DATE(Controls!$B$5,7,1),0),Nominal_Activity!$A$2:$A$3000,Controls!$B$7))</f>
        <v>-</v>
      </c>
      <c r="N48" s="68" t="str">
        <f aca="false">IF(8&gt;Controls!$B$11,"-",SUMIFS(Nominal_Activity!$M$2:$M$3000,Nominal_Activity!$C$2:$C$3000,$A48,Nominal_Activity!$G$2:$G$3000,"&gt;="&amp;DATE(Controls!$B$5,8,1),Nominal_Activity!$G$2:$G$3000,"&lt;="&amp;EOMONTH(DATE(Controls!$B$5,8,1),0),Nominal_Activity!$A$2:$A$3000,Controls!$B$7))</f>
        <v>-</v>
      </c>
      <c r="O48" s="68" t="str">
        <f aca="false">IF(9&gt;Controls!$B$11,"-",SUMIFS(Nominal_Activity!$M$2:$M$3000,Nominal_Activity!$C$2:$C$3000,$A48,Nominal_Activity!$G$2:$G$3000,"&gt;="&amp;DATE(Controls!$B$5,9,1),Nominal_Activity!$G$2:$G$3000,"&lt;="&amp;EOMONTH(DATE(Controls!$B$5,9,1),0),Nominal_Activity!$A$2:$A$3000,Controls!$B$7))</f>
        <v>-</v>
      </c>
      <c r="P48" s="68" t="str">
        <f aca="false">IF(10&gt;Controls!$B$11,"-",SUMIFS(Nominal_Activity!$M$2:$M$3000,Nominal_Activity!$C$2:$C$3000,$A48,Nominal_Activity!$G$2:$G$3000,"&gt;="&amp;DATE(Controls!$B$5,10,1),Nominal_Activity!$G$2:$G$3000,"&lt;="&amp;EOMONTH(DATE(Controls!$B$5,10,1),0),Nominal_Activity!$A$2:$A$3000,Controls!$B$7))</f>
        <v>-</v>
      </c>
      <c r="Q48" s="68" t="str">
        <f aca="false">IF(11&gt;Controls!$B$11,"-",SUMIFS(Nominal_Activity!$M$2:$M$3000,Nominal_Activity!$C$2:$C$3000,$A48,Nominal_Activity!$G$2:$G$3000,"&gt;="&amp;DATE(Controls!$B$5,11,1),Nominal_Activity!$G$2:$G$3000,"&lt;="&amp;EOMONTH(DATE(Controls!$B$5,11,1),0),Nominal_Activity!$A$2:$A$3000,Controls!$B$7))</f>
        <v>-</v>
      </c>
      <c r="R48" s="68" t="str">
        <f aca="false">IF(12&gt;Controls!$B$11,"-",SUMIFS(Nominal_Activity!$M$2:$M$3000,Nominal_Activity!$C$2:$C$3000,$A48,Nominal_Activity!$G$2:$G$3000,"&gt;="&amp;DATE(Controls!$B$5,12,1),Nominal_Activity!$G$2:$G$3000,"&lt;="&amp;EOMONTH(DATE(Controls!$B$5,12,1),0),Nominal_Activity!$A$2:$A$3000,Controls!$B$7))</f>
        <v>-</v>
      </c>
      <c r="S48" s="68" t="n">
        <f aca="false">SUM(G48:R48)</f>
        <v>3394</v>
      </c>
      <c r="T48" s="68" t="n">
        <f aca="false">$F48-$S48</f>
        <v>4454.53</v>
      </c>
      <c r="U48" s="77" t="n">
        <f aca="false">IFERROR($T48/$F48,0)</f>
        <v>0.567562333328662</v>
      </c>
      <c r="V48" s="68" t="n">
        <f aca="false">$S48*MM_FixedCost!G47</f>
        <v>0</v>
      </c>
      <c r="W48" s="68" t="n">
        <f aca="false">$S48-$V48</f>
        <v>3394</v>
      </c>
      <c r="X48" s="135"/>
      <c r="Y48" s="136" t="n">
        <f aca="false">SUM($G48:$I48)</f>
        <v>0</v>
      </c>
      <c r="Z48" s="136" t="n">
        <f aca="false">$Y48*MM_FixedCost!$G47</f>
        <v>0</v>
      </c>
      <c r="AA48" s="136" t="n">
        <f aca="false">SUM($J48:$L48)</f>
        <v>3394</v>
      </c>
      <c r="AB48" s="136" t="n">
        <f aca="false">$AA48*MM_FixedCost!$G47</f>
        <v>0</v>
      </c>
      <c r="AC48" s="136" t="n">
        <f aca="false">SUM($M48:$O48)</f>
        <v>0</v>
      </c>
      <c r="AD48" s="136" t="n">
        <f aca="false">$AC48*MM_FixedCost!$G47</f>
        <v>0</v>
      </c>
      <c r="AE48" s="136" t="n">
        <f aca="false">SUM($P48:$R48)</f>
        <v>0</v>
      </c>
      <c r="AF48" s="136" t="n">
        <f aca="false">$AE48*MM_FixedCost!$G47</f>
        <v>0</v>
      </c>
      <c r="AG48" s="136" t="n">
        <f aca="false">CHOOSE(VALUE(MID(Controls!$B$6,2,1)),$Z48,$AB48,$AD48,$AF48)</f>
        <v>0</v>
      </c>
    </row>
    <row r="49" customFormat="false" ht="13.5" hidden="false" customHeight="false" outlineLevel="0" collapsed="false">
      <c r="A49" s="67" t="n">
        <f aca="false">MM_FixedCost!A48</f>
        <v>7621</v>
      </c>
      <c r="B49" s="67" t="str">
        <f aca="false">MM_FixedCost!B48</f>
        <v>Audit fees</v>
      </c>
      <c r="C49" s="67" t="str">
        <f aca="false">MM_FixedCost!C48</f>
        <v>Professional services and governance</v>
      </c>
      <c r="D49" s="67" t="str">
        <f aca="false">MM_FixedCost!E48</f>
        <v>Core</v>
      </c>
      <c r="E49" s="68" t="n">
        <f aca="false">MM_FixedCost!F48</f>
        <v>85000</v>
      </c>
      <c r="F49" s="68" t="n">
        <f aca="false">$E49/12*Controls!$B$11</f>
        <v>42500</v>
      </c>
      <c r="G49" s="68" t="n">
        <f aca="false">IF(1&gt;Controls!$B$11,"-",SUMIFS(Nominal_Activity!$M$2:$M$3000,Nominal_Activity!$C$2:$C$3000,$A49,Nominal_Activity!$G$2:$G$3000,"&gt;="&amp;DATE(Controls!$B$5,1,1),Nominal_Activity!$G$2:$G$3000,"&lt;="&amp;EOMONTH(DATE(Controls!$B$5,1,1),0),Nominal_Activity!$A$2:$A$3000,Controls!$B$7))</f>
        <v>0</v>
      </c>
      <c r="H49" s="68" t="n">
        <f aca="false">IF(2&gt;Controls!$B$11,"-",SUMIFS(Nominal_Activity!$M$2:$M$3000,Nominal_Activity!$C$2:$C$3000,$A49,Nominal_Activity!$G$2:$G$3000,"&gt;="&amp;DATE(Controls!$B$5,2,1),Nominal_Activity!$G$2:$G$3000,"&lt;="&amp;EOMONTH(DATE(Controls!$B$5,2,1),0),Nominal_Activity!$A$2:$A$3000,Controls!$B$7))</f>
        <v>0</v>
      </c>
      <c r="I49" s="68" t="n">
        <f aca="false">IF(3&gt;Controls!$B$11,"-",SUMIFS(Nominal_Activity!$M$2:$M$3000,Nominal_Activity!$C$2:$C$3000,$A49,Nominal_Activity!$G$2:$G$3000,"&gt;="&amp;DATE(Controls!$B$5,3,1),Nominal_Activity!$G$2:$G$3000,"&lt;="&amp;EOMONTH(DATE(Controls!$B$5,3,1),0),Nominal_Activity!$A$2:$A$3000,Controls!$B$7))</f>
        <v>0</v>
      </c>
      <c r="J49" s="68" t="n">
        <f aca="false">IF(4&gt;Controls!$B$11,"-",SUMIFS(Nominal_Activity!$M$2:$M$3000,Nominal_Activity!$C$2:$C$3000,$A49,Nominal_Activity!$G$2:$G$3000,"&gt;="&amp;DATE(Controls!$B$5,4,1),Nominal_Activity!$G$2:$G$3000,"&lt;="&amp;EOMONTH(DATE(Controls!$B$5,4,1),0),Nominal_Activity!$A$2:$A$3000,Controls!$B$7))</f>
        <v>0</v>
      </c>
      <c r="K49" s="68" t="n">
        <f aca="false">IF(5&gt;Controls!$B$11,"-",SUMIFS(Nominal_Activity!$M$2:$M$3000,Nominal_Activity!$C$2:$C$3000,$A49,Nominal_Activity!$G$2:$G$3000,"&gt;="&amp;DATE(Controls!$B$5,5,1),Nominal_Activity!$G$2:$G$3000,"&lt;="&amp;EOMONTH(DATE(Controls!$B$5,5,1),0),Nominal_Activity!$A$2:$A$3000,Controls!$B$7))</f>
        <v>0</v>
      </c>
      <c r="L49" s="68" t="n">
        <f aca="false">IF(6&gt;Controls!$B$11,"-",SUMIFS(Nominal_Activity!$M$2:$M$3000,Nominal_Activity!$C$2:$C$3000,$A49,Nominal_Activity!$G$2:$G$3000,"&gt;="&amp;DATE(Controls!$B$5,6,1),Nominal_Activity!$G$2:$G$3000,"&lt;="&amp;EOMONTH(DATE(Controls!$B$5,6,1),0),Nominal_Activity!$A$2:$A$3000,Controls!$B$7))</f>
        <v>0</v>
      </c>
      <c r="M49" s="68" t="str">
        <f aca="false">IF(7&gt;Controls!$B$11,"-",SUMIFS(Nominal_Activity!$M$2:$M$3000,Nominal_Activity!$C$2:$C$3000,$A49,Nominal_Activity!$G$2:$G$3000,"&gt;="&amp;DATE(Controls!$B$5,7,1),Nominal_Activity!$G$2:$G$3000,"&lt;="&amp;EOMONTH(DATE(Controls!$B$5,7,1),0),Nominal_Activity!$A$2:$A$3000,Controls!$B$7))</f>
        <v>-</v>
      </c>
      <c r="N49" s="68" t="str">
        <f aca="false">IF(8&gt;Controls!$B$11,"-",SUMIFS(Nominal_Activity!$M$2:$M$3000,Nominal_Activity!$C$2:$C$3000,$A49,Nominal_Activity!$G$2:$G$3000,"&gt;="&amp;DATE(Controls!$B$5,8,1),Nominal_Activity!$G$2:$G$3000,"&lt;="&amp;EOMONTH(DATE(Controls!$B$5,8,1),0),Nominal_Activity!$A$2:$A$3000,Controls!$B$7))</f>
        <v>-</v>
      </c>
      <c r="O49" s="68" t="str">
        <f aca="false">IF(9&gt;Controls!$B$11,"-",SUMIFS(Nominal_Activity!$M$2:$M$3000,Nominal_Activity!$C$2:$C$3000,$A49,Nominal_Activity!$G$2:$G$3000,"&gt;="&amp;DATE(Controls!$B$5,9,1),Nominal_Activity!$G$2:$G$3000,"&lt;="&amp;EOMONTH(DATE(Controls!$B$5,9,1),0),Nominal_Activity!$A$2:$A$3000,Controls!$B$7))</f>
        <v>-</v>
      </c>
      <c r="P49" s="68" t="str">
        <f aca="false">IF(10&gt;Controls!$B$11,"-",SUMIFS(Nominal_Activity!$M$2:$M$3000,Nominal_Activity!$C$2:$C$3000,$A49,Nominal_Activity!$G$2:$G$3000,"&gt;="&amp;DATE(Controls!$B$5,10,1),Nominal_Activity!$G$2:$G$3000,"&lt;="&amp;EOMONTH(DATE(Controls!$B$5,10,1),0),Nominal_Activity!$A$2:$A$3000,Controls!$B$7))</f>
        <v>-</v>
      </c>
      <c r="Q49" s="68" t="str">
        <f aca="false">IF(11&gt;Controls!$B$11,"-",SUMIFS(Nominal_Activity!$M$2:$M$3000,Nominal_Activity!$C$2:$C$3000,$A49,Nominal_Activity!$G$2:$G$3000,"&gt;="&amp;DATE(Controls!$B$5,11,1),Nominal_Activity!$G$2:$G$3000,"&lt;="&amp;EOMONTH(DATE(Controls!$B$5,11,1),0),Nominal_Activity!$A$2:$A$3000,Controls!$B$7))</f>
        <v>-</v>
      </c>
      <c r="R49" s="68" t="str">
        <f aca="false">IF(12&gt;Controls!$B$11,"-",SUMIFS(Nominal_Activity!$M$2:$M$3000,Nominal_Activity!$C$2:$C$3000,$A49,Nominal_Activity!$G$2:$G$3000,"&gt;="&amp;DATE(Controls!$B$5,12,1),Nominal_Activity!$G$2:$G$3000,"&lt;="&amp;EOMONTH(DATE(Controls!$B$5,12,1),0),Nominal_Activity!$A$2:$A$3000,Controls!$B$7))</f>
        <v>-</v>
      </c>
      <c r="S49" s="68" t="n">
        <f aca="false">SUM(G49:R49)</f>
        <v>0</v>
      </c>
      <c r="T49" s="68" t="n">
        <f aca="false">$F49-$S49</f>
        <v>42500</v>
      </c>
      <c r="U49" s="77" t="n">
        <f aca="false">IFERROR($T49/$F49,0)</f>
        <v>1</v>
      </c>
      <c r="V49" s="68" t="n">
        <f aca="false">$S49*MM_FixedCost!G48</f>
        <v>0</v>
      </c>
      <c r="W49" s="68" t="n">
        <f aca="false">$S49-$V49</f>
        <v>0</v>
      </c>
      <c r="X49" s="135"/>
      <c r="Y49" s="136" t="n">
        <f aca="false">SUM($G49:$I49)</f>
        <v>0</v>
      </c>
      <c r="Z49" s="136" t="n">
        <f aca="false">$Y49*MM_FixedCost!$G48</f>
        <v>0</v>
      </c>
      <c r="AA49" s="136" t="n">
        <f aca="false">SUM($J49:$L49)</f>
        <v>0</v>
      </c>
      <c r="AB49" s="136" t="n">
        <f aca="false">$AA49*MM_FixedCost!$G48</f>
        <v>0</v>
      </c>
      <c r="AC49" s="136" t="n">
        <f aca="false">SUM($M49:$O49)</f>
        <v>0</v>
      </c>
      <c r="AD49" s="136" t="n">
        <f aca="false">$AC49*MM_FixedCost!$G48</f>
        <v>0</v>
      </c>
      <c r="AE49" s="136" t="n">
        <f aca="false">SUM($P49:$R49)</f>
        <v>0</v>
      </c>
      <c r="AF49" s="136" t="n">
        <f aca="false">$AE49*MM_FixedCost!$G48</f>
        <v>0</v>
      </c>
      <c r="AG49" s="136" t="n">
        <f aca="false">CHOOSE(VALUE(MID(Controls!$B$6,2,1)),$Z49,$AB49,$AD49,$AF49)</f>
        <v>0</v>
      </c>
    </row>
    <row r="50" customFormat="false" ht="13.5" hidden="false" customHeight="false" outlineLevel="0" collapsed="false">
      <c r="A50" s="67" t="n">
        <f aca="false">MM_FixedCost!A49</f>
        <v>7630</v>
      </c>
      <c r="B50" s="67" t="str">
        <f aca="false">MM_FixedCost!B49</f>
        <v>Insurance</v>
      </c>
      <c r="C50" s="67" t="str">
        <f aca="false">MM_FixedCost!C49</f>
        <v>Office Running costs</v>
      </c>
      <c r="D50" s="67" t="str">
        <f aca="false">MM_FixedCost!E49</f>
        <v>Core</v>
      </c>
      <c r="E50" s="68" t="n">
        <f aca="false">MM_FixedCost!F49</f>
        <v>71230.85</v>
      </c>
      <c r="F50" s="68" t="n">
        <f aca="false">$E50/12*Controls!$B$11</f>
        <v>35615.425</v>
      </c>
      <c r="G50" s="68" t="n">
        <f aca="false">IF(1&gt;Controls!$B$11,"-",SUMIFS(Nominal_Activity!$M$2:$M$3000,Nominal_Activity!$C$2:$C$3000,$A50,Nominal_Activity!$G$2:$G$3000,"&gt;="&amp;DATE(Controls!$B$5,1,1),Nominal_Activity!$G$2:$G$3000,"&lt;="&amp;EOMONTH(DATE(Controls!$B$5,1,1),0),Nominal_Activity!$A$2:$A$3000,Controls!$B$7))</f>
        <v>0</v>
      </c>
      <c r="H50" s="68" t="n">
        <f aca="false">IF(2&gt;Controls!$B$11,"-",SUMIFS(Nominal_Activity!$M$2:$M$3000,Nominal_Activity!$C$2:$C$3000,$A50,Nominal_Activity!$G$2:$G$3000,"&gt;="&amp;DATE(Controls!$B$5,2,1),Nominal_Activity!$G$2:$G$3000,"&lt;="&amp;EOMONTH(DATE(Controls!$B$5,2,1),0),Nominal_Activity!$A$2:$A$3000,Controls!$B$7))</f>
        <v>16500</v>
      </c>
      <c r="I50" s="68" t="n">
        <f aca="false">IF(3&gt;Controls!$B$11,"-",SUMIFS(Nominal_Activity!$M$2:$M$3000,Nominal_Activity!$C$2:$C$3000,$A50,Nominal_Activity!$G$2:$G$3000,"&gt;="&amp;DATE(Controls!$B$5,3,1),Nominal_Activity!$G$2:$G$3000,"&lt;="&amp;EOMONTH(DATE(Controls!$B$5,3,1),0),Nominal_Activity!$A$2:$A$3000,Controls!$B$7))</f>
        <v>0</v>
      </c>
      <c r="J50" s="68" t="n">
        <f aca="false">IF(4&gt;Controls!$B$11,"-",SUMIFS(Nominal_Activity!$M$2:$M$3000,Nominal_Activity!$C$2:$C$3000,$A50,Nominal_Activity!$G$2:$G$3000,"&gt;="&amp;DATE(Controls!$B$5,4,1),Nominal_Activity!$G$2:$G$3000,"&lt;="&amp;EOMONTH(DATE(Controls!$B$5,4,1),0),Nominal_Activity!$A$2:$A$3000,Controls!$B$7))</f>
        <v>0</v>
      </c>
      <c r="K50" s="68" t="n">
        <f aca="false">IF(5&gt;Controls!$B$11,"-",SUMIFS(Nominal_Activity!$M$2:$M$3000,Nominal_Activity!$C$2:$C$3000,$A50,Nominal_Activity!$G$2:$G$3000,"&gt;="&amp;DATE(Controls!$B$5,5,1),Nominal_Activity!$G$2:$G$3000,"&lt;="&amp;EOMONTH(DATE(Controls!$B$5,5,1),0),Nominal_Activity!$A$2:$A$3000,Controls!$B$7))</f>
        <v>0</v>
      </c>
      <c r="L50" s="68" t="n">
        <f aca="false">IF(6&gt;Controls!$B$11,"-",SUMIFS(Nominal_Activity!$M$2:$M$3000,Nominal_Activity!$C$2:$C$3000,$A50,Nominal_Activity!$G$2:$G$3000,"&gt;="&amp;DATE(Controls!$B$5,6,1),Nominal_Activity!$G$2:$G$3000,"&lt;="&amp;EOMONTH(DATE(Controls!$B$5,6,1),0),Nominal_Activity!$A$2:$A$3000,Controls!$B$7))</f>
        <v>30706.75</v>
      </c>
      <c r="M50" s="68" t="str">
        <f aca="false">IF(7&gt;Controls!$B$11,"-",SUMIFS(Nominal_Activity!$M$2:$M$3000,Nominal_Activity!$C$2:$C$3000,$A50,Nominal_Activity!$G$2:$G$3000,"&gt;="&amp;DATE(Controls!$B$5,7,1),Nominal_Activity!$G$2:$G$3000,"&lt;="&amp;EOMONTH(DATE(Controls!$B$5,7,1),0),Nominal_Activity!$A$2:$A$3000,Controls!$B$7))</f>
        <v>-</v>
      </c>
      <c r="N50" s="68" t="str">
        <f aca="false">IF(8&gt;Controls!$B$11,"-",SUMIFS(Nominal_Activity!$M$2:$M$3000,Nominal_Activity!$C$2:$C$3000,$A50,Nominal_Activity!$G$2:$G$3000,"&gt;="&amp;DATE(Controls!$B$5,8,1),Nominal_Activity!$G$2:$G$3000,"&lt;="&amp;EOMONTH(DATE(Controls!$B$5,8,1),0),Nominal_Activity!$A$2:$A$3000,Controls!$B$7))</f>
        <v>-</v>
      </c>
      <c r="O50" s="68" t="str">
        <f aca="false">IF(9&gt;Controls!$B$11,"-",SUMIFS(Nominal_Activity!$M$2:$M$3000,Nominal_Activity!$C$2:$C$3000,$A50,Nominal_Activity!$G$2:$G$3000,"&gt;="&amp;DATE(Controls!$B$5,9,1),Nominal_Activity!$G$2:$G$3000,"&lt;="&amp;EOMONTH(DATE(Controls!$B$5,9,1),0),Nominal_Activity!$A$2:$A$3000,Controls!$B$7))</f>
        <v>-</v>
      </c>
      <c r="P50" s="68" t="str">
        <f aca="false">IF(10&gt;Controls!$B$11,"-",SUMIFS(Nominal_Activity!$M$2:$M$3000,Nominal_Activity!$C$2:$C$3000,$A50,Nominal_Activity!$G$2:$G$3000,"&gt;="&amp;DATE(Controls!$B$5,10,1),Nominal_Activity!$G$2:$G$3000,"&lt;="&amp;EOMONTH(DATE(Controls!$B$5,10,1),0),Nominal_Activity!$A$2:$A$3000,Controls!$B$7))</f>
        <v>-</v>
      </c>
      <c r="Q50" s="68" t="str">
        <f aca="false">IF(11&gt;Controls!$B$11,"-",SUMIFS(Nominal_Activity!$M$2:$M$3000,Nominal_Activity!$C$2:$C$3000,$A50,Nominal_Activity!$G$2:$G$3000,"&gt;="&amp;DATE(Controls!$B$5,11,1),Nominal_Activity!$G$2:$G$3000,"&lt;="&amp;EOMONTH(DATE(Controls!$B$5,11,1),0),Nominal_Activity!$A$2:$A$3000,Controls!$B$7))</f>
        <v>-</v>
      </c>
      <c r="R50" s="68" t="str">
        <f aca="false">IF(12&gt;Controls!$B$11,"-",SUMIFS(Nominal_Activity!$M$2:$M$3000,Nominal_Activity!$C$2:$C$3000,$A50,Nominal_Activity!$G$2:$G$3000,"&gt;="&amp;DATE(Controls!$B$5,12,1),Nominal_Activity!$G$2:$G$3000,"&lt;="&amp;EOMONTH(DATE(Controls!$B$5,12,1),0),Nominal_Activity!$A$2:$A$3000,Controls!$B$7))</f>
        <v>-</v>
      </c>
      <c r="S50" s="68" t="n">
        <f aca="false">SUM(G50:R50)</f>
        <v>47206.75</v>
      </c>
      <c r="T50" s="68" t="n">
        <f aca="false">$F50-$S50</f>
        <v>-11591.325</v>
      </c>
      <c r="U50" s="77" t="n">
        <f aca="false">IFERROR($T50/$F50,0)</f>
        <v>-0.325458000290604</v>
      </c>
      <c r="V50" s="68" t="n">
        <f aca="false">$S50*MM_FixedCost!G49</f>
        <v>11801.6875</v>
      </c>
      <c r="W50" s="68" t="n">
        <f aca="false">$S50-$V50</f>
        <v>35405.0625</v>
      </c>
      <c r="X50" s="135"/>
      <c r="Y50" s="136" t="n">
        <f aca="false">SUM($G50:$I50)</f>
        <v>16500</v>
      </c>
      <c r="Z50" s="136" t="n">
        <f aca="false">$Y50*MM_FixedCost!$G49</f>
        <v>4125</v>
      </c>
      <c r="AA50" s="136" t="n">
        <f aca="false">SUM($J50:$L50)</f>
        <v>30706.75</v>
      </c>
      <c r="AB50" s="136" t="n">
        <f aca="false">$AA50*MM_FixedCost!$G49</f>
        <v>7676.6875</v>
      </c>
      <c r="AC50" s="136" t="n">
        <f aca="false">SUM($M50:$O50)</f>
        <v>0</v>
      </c>
      <c r="AD50" s="136" t="n">
        <f aca="false">$AC50*MM_FixedCost!$G49</f>
        <v>0</v>
      </c>
      <c r="AE50" s="136" t="n">
        <f aca="false">SUM($P50:$R50)</f>
        <v>0</v>
      </c>
      <c r="AF50" s="136" t="n">
        <f aca="false">$AE50*MM_FixedCost!$G49</f>
        <v>0</v>
      </c>
      <c r="AG50" s="136" t="n">
        <f aca="false">CHOOSE(VALUE(MID(Controls!$B$6,2,1)),$Z50,$AB50,$AD50,$AF50)</f>
        <v>7676.6875</v>
      </c>
    </row>
    <row r="51" customFormat="false" ht="13.5" hidden="false" customHeight="false" outlineLevel="0" collapsed="false">
      <c r="A51" s="67" t="n">
        <f aca="false">MM_FixedCost!A50</f>
        <v>7631</v>
      </c>
      <c r="B51" s="67" t="str">
        <f aca="false">MM_FixedCost!B50</f>
        <v>Insurances - Group Purchase</v>
      </c>
      <c r="C51" s="67" t="str">
        <f aca="false">MM_FixedCost!C50</f>
        <v>Office Running costs</v>
      </c>
      <c r="D51" s="67" t="str">
        <f aca="false">MM_FixedCost!E50</f>
        <v>Core</v>
      </c>
      <c r="E51" s="68" t="n">
        <f aca="false">MM_FixedCost!F50</f>
        <v>0</v>
      </c>
      <c r="F51" s="68" t="n">
        <f aca="false">$E51/12*Controls!$B$11</f>
        <v>0</v>
      </c>
      <c r="G51" s="68" t="n">
        <f aca="false">IF(1&gt;Controls!$B$11,"-",SUMIFS(Nominal_Activity!$M$2:$M$3000,Nominal_Activity!$C$2:$C$3000,$A51,Nominal_Activity!$G$2:$G$3000,"&gt;="&amp;DATE(Controls!$B$5,1,1),Nominal_Activity!$G$2:$G$3000,"&lt;="&amp;EOMONTH(DATE(Controls!$B$5,1,1),0),Nominal_Activity!$A$2:$A$3000,Controls!$B$7))</f>
        <v>0</v>
      </c>
      <c r="H51" s="68" t="n">
        <f aca="false">IF(2&gt;Controls!$B$11,"-",SUMIFS(Nominal_Activity!$M$2:$M$3000,Nominal_Activity!$C$2:$C$3000,$A51,Nominal_Activity!$G$2:$G$3000,"&gt;="&amp;DATE(Controls!$B$5,2,1),Nominal_Activity!$G$2:$G$3000,"&lt;="&amp;EOMONTH(DATE(Controls!$B$5,2,1),0),Nominal_Activity!$A$2:$A$3000,Controls!$B$7))</f>
        <v>0</v>
      </c>
      <c r="I51" s="68" t="n">
        <f aca="false">IF(3&gt;Controls!$B$11,"-",SUMIFS(Nominal_Activity!$M$2:$M$3000,Nominal_Activity!$C$2:$C$3000,$A51,Nominal_Activity!$G$2:$G$3000,"&gt;="&amp;DATE(Controls!$B$5,3,1),Nominal_Activity!$G$2:$G$3000,"&lt;="&amp;EOMONTH(DATE(Controls!$B$5,3,1),0),Nominal_Activity!$A$2:$A$3000,Controls!$B$7))</f>
        <v>0</v>
      </c>
      <c r="J51" s="68" t="n">
        <f aca="false">IF(4&gt;Controls!$B$11,"-",SUMIFS(Nominal_Activity!$M$2:$M$3000,Nominal_Activity!$C$2:$C$3000,$A51,Nominal_Activity!$G$2:$G$3000,"&gt;="&amp;DATE(Controls!$B$5,4,1),Nominal_Activity!$G$2:$G$3000,"&lt;="&amp;EOMONTH(DATE(Controls!$B$5,4,1),0),Nominal_Activity!$A$2:$A$3000,Controls!$B$7))</f>
        <v>0</v>
      </c>
      <c r="K51" s="68" t="n">
        <f aca="false">IF(5&gt;Controls!$B$11,"-",SUMIFS(Nominal_Activity!$M$2:$M$3000,Nominal_Activity!$C$2:$C$3000,$A51,Nominal_Activity!$G$2:$G$3000,"&gt;="&amp;DATE(Controls!$B$5,5,1),Nominal_Activity!$G$2:$G$3000,"&lt;="&amp;EOMONTH(DATE(Controls!$B$5,5,1),0),Nominal_Activity!$A$2:$A$3000,Controls!$B$7))</f>
        <v>0</v>
      </c>
      <c r="L51" s="68" t="n">
        <f aca="false">IF(6&gt;Controls!$B$11,"-",SUMIFS(Nominal_Activity!$M$2:$M$3000,Nominal_Activity!$C$2:$C$3000,$A51,Nominal_Activity!$G$2:$G$3000,"&gt;="&amp;DATE(Controls!$B$5,6,1),Nominal_Activity!$G$2:$G$3000,"&lt;="&amp;EOMONTH(DATE(Controls!$B$5,6,1),0),Nominal_Activity!$A$2:$A$3000,Controls!$B$7))</f>
        <v>0</v>
      </c>
      <c r="M51" s="68" t="str">
        <f aca="false">IF(7&gt;Controls!$B$11,"-",SUMIFS(Nominal_Activity!$M$2:$M$3000,Nominal_Activity!$C$2:$C$3000,$A51,Nominal_Activity!$G$2:$G$3000,"&gt;="&amp;DATE(Controls!$B$5,7,1),Nominal_Activity!$G$2:$G$3000,"&lt;="&amp;EOMONTH(DATE(Controls!$B$5,7,1),0),Nominal_Activity!$A$2:$A$3000,Controls!$B$7))</f>
        <v>-</v>
      </c>
      <c r="N51" s="68" t="str">
        <f aca="false">IF(8&gt;Controls!$B$11,"-",SUMIFS(Nominal_Activity!$M$2:$M$3000,Nominal_Activity!$C$2:$C$3000,$A51,Nominal_Activity!$G$2:$G$3000,"&gt;="&amp;DATE(Controls!$B$5,8,1),Nominal_Activity!$G$2:$G$3000,"&lt;="&amp;EOMONTH(DATE(Controls!$B$5,8,1),0),Nominal_Activity!$A$2:$A$3000,Controls!$B$7))</f>
        <v>-</v>
      </c>
      <c r="O51" s="68" t="str">
        <f aca="false">IF(9&gt;Controls!$B$11,"-",SUMIFS(Nominal_Activity!$M$2:$M$3000,Nominal_Activity!$C$2:$C$3000,$A51,Nominal_Activity!$G$2:$G$3000,"&gt;="&amp;DATE(Controls!$B$5,9,1),Nominal_Activity!$G$2:$G$3000,"&lt;="&amp;EOMONTH(DATE(Controls!$B$5,9,1),0),Nominal_Activity!$A$2:$A$3000,Controls!$B$7))</f>
        <v>-</v>
      </c>
      <c r="P51" s="68" t="str">
        <f aca="false">IF(10&gt;Controls!$B$11,"-",SUMIFS(Nominal_Activity!$M$2:$M$3000,Nominal_Activity!$C$2:$C$3000,$A51,Nominal_Activity!$G$2:$G$3000,"&gt;="&amp;DATE(Controls!$B$5,10,1),Nominal_Activity!$G$2:$G$3000,"&lt;="&amp;EOMONTH(DATE(Controls!$B$5,10,1),0),Nominal_Activity!$A$2:$A$3000,Controls!$B$7))</f>
        <v>-</v>
      </c>
      <c r="Q51" s="68" t="str">
        <f aca="false">IF(11&gt;Controls!$B$11,"-",SUMIFS(Nominal_Activity!$M$2:$M$3000,Nominal_Activity!$C$2:$C$3000,$A51,Nominal_Activity!$G$2:$G$3000,"&gt;="&amp;DATE(Controls!$B$5,11,1),Nominal_Activity!$G$2:$G$3000,"&lt;="&amp;EOMONTH(DATE(Controls!$B$5,11,1),0),Nominal_Activity!$A$2:$A$3000,Controls!$B$7))</f>
        <v>-</v>
      </c>
      <c r="R51" s="68" t="str">
        <f aca="false">IF(12&gt;Controls!$B$11,"-",SUMIFS(Nominal_Activity!$M$2:$M$3000,Nominal_Activity!$C$2:$C$3000,$A51,Nominal_Activity!$G$2:$G$3000,"&gt;="&amp;DATE(Controls!$B$5,12,1),Nominal_Activity!$G$2:$G$3000,"&lt;="&amp;EOMONTH(DATE(Controls!$B$5,12,1),0),Nominal_Activity!$A$2:$A$3000,Controls!$B$7))</f>
        <v>-</v>
      </c>
      <c r="S51" s="68" t="n">
        <f aca="false">SUM(G51:R51)</f>
        <v>0</v>
      </c>
      <c r="T51" s="68" t="n">
        <f aca="false">$F51-$S51</f>
        <v>0</v>
      </c>
      <c r="U51" s="77" t="n">
        <f aca="false">IFERROR($T51/$F51,0)</f>
        <v>0</v>
      </c>
      <c r="V51" s="68" t="n">
        <f aca="false">$S51*MM_FixedCost!G50</f>
        <v>0</v>
      </c>
      <c r="W51" s="68" t="n">
        <f aca="false">$S51-$V51</f>
        <v>0</v>
      </c>
      <c r="X51" s="135"/>
      <c r="Y51" s="136" t="n">
        <f aca="false">SUM($G51:$I51)</f>
        <v>0</v>
      </c>
      <c r="Z51" s="136" t="n">
        <f aca="false">$Y51*MM_FixedCost!$G50</f>
        <v>0</v>
      </c>
      <c r="AA51" s="136" t="n">
        <f aca="false">SUM($J51:$L51)</f>
        <v>0</v>
      </c>
      <c r="AB51" s="136" t="n">
        <f aca="false">$AA51*MM_FixedCost!$G50</f>
        <v>0</v>
      </c>
      <c r="AC51" s="136" t="n">
        <f aca="false">SUM($M51:$O51)</f>
        <v>0</v>
      </c>
      <c r="AD51" s="136" t="n">
        <f aca="false">$AC51*MM_FixedCost!$G50</f>
        <v>0</v>
      </c>
      <c r="AE51" s="136" t="n">
        <f aca="false">SUM($P51:$R51)</f>
        <v>0</v>
      </c>
      <c r="AF51" s="136" t="n">
        <f aca="false">$AE51*MM_FixedCost!$G50</f>
        <v>0</v>
      </c>
      <c r="AG51" s="136" t="n">
        <f aca="false">CHOOSE(VALUE(MID(Controls!$B$6,2,1)),$Z51,$AB51,$AD51,$AF51)</f>
        <v>0</v>
      </c>
    </row>
    <row r="52" customFormat="false" ht="13.5" hidden="false" customHeight="false" outlineLevel="0" collapsed="false">
      <c r="A52" s="67" t="n">
        <f aca="false">MM_FixedCost!A51</f>
        <v>7640</v>
      </c>
      <c r="B52" s="67" t="str">
        <f aca="false">MM_FixedCost!B51</f>
        <v>Governance costs</v>
      </c>
      <c r="C52" s="67" t="str">
        <f aca="false">MM_FixedCost!C51</f>
        <v>Professional services and governance</v>
      </c>
      <c r="D52" s="67" t="str">
        <f aca="false">MM_FixedCost!E51</f>
        <v>Core</v>
      </c>
      <c r="E52" s="68" t="n">
        <f aca="false">MM_FixedCost!F51</f>
        <v>36114.5</v>
      </c>
      <c r="F52" s="68" t="n">
        <f aca="false">$E52/12*Controls!$B$11</f>
        <v>18057.25</v>
      </c>
      <c r="G52" s="68" t="n">
        <f aca="false">IF(1&gt;Controls!$B$11,"-",SUMIFS(Nominal_Activity!$M$2:$M$3000,Nominal_Activity!$C$2:$C$3000,$A52,Nominal_Activity!$G$2:$G$3000,"&gt;="&amp;DATE(Controls!$B$5,1,1),Nominal_Activity!$G$2:$G$3000,"&lt;="&amp;EOMONTH(DATE(Controls!$B$5,1,1),0),Nominal_Activity!$A$2:$A$3000,Controls!$B$7))</f>
        <v>0</v>
      </c>
      <c r="H52" s="68" t="n">
        <f aca="false">IF(2&gt;Controls!$B$11,"-",SUMIFS(Nominal_Activity!$M$2:$M$3000,Nominal_Activity!$C$2:$C$3000,$A52,Nominal_Activity!$G$2:$G$3000,"&gt;="&amp;DATE(Controls!$B$5,2,1),Nominal_Activity!$G$2:$G$3000,"&lt;="&amp;EOMONTH(DATE(Controls!$B$5,2,1),0),Nominal_Activity!$A$2:$A$3000,Controls!$B$7))</f>
        <v>0</v>
      </c>
      <c r="I52" s="68" t="n">
        <f aca="false">IF(3&gt;Controls!$B$11,"-",SUMIFS(Nominal_Activity!$M$2:$M$3000,Nominal_Activity!$C$2:$C$3000,$A52,Nominal_Activity!$G$2:$G$3000,"&gt;="&amp;DATE(Controls!$B$5,3,1),Nominal_Activity!$G$2:$G$3000,"&lt;="&amp;EOMONTH(DATE(Controls!$B$5,3,1),0),Nominal_Activity!$A$2:$A$3000,Controls!$B$7))</f>
        <v>0</v>
      </c>
      <c r="J52" s="68" t="n">
        <f aca="false">IF(4&gt;Controls!$B$11,"-",SUMIFS(Nominal_Activity!$M$2:$M$3000,Nominal_Activity!$C$2:$C$3000,$A52,Nominal_Activity!$G$2:$G$3000,"&gt;="&amp;DATE(Controls!$B$5,4,1),Nominal_Activity!$G$2:$G$3000,"&lt;="&amp;EOMONTH(DATE(Controls!$B$5,4,1),0),Nominal_Activity!$A$2:$A$3000,Controls!$B$7))</f>
        <v>0</v>
      </c>
      <c r="K52" s="68" t="n">
        <f aca="false">IF(5&gt;Controls!$B$11,"-",SUMIFS(Nominal_Activity!$M$2:$M$3000,Nominal_Activity!$C$2:$C$3000,$A52,Nominal_Activity!$G$2:$G$3000,"&gt;="&amp;DATE(Controls!$B$5,5,1),Nominal_Activity!$G$2:$G$3000,"&lt;="&amp;EOMONTH(DATE(Controls!$B$5,5,1),0),Nominal_Activity!$A$2:$A$3000,Controls!$B$7))</f>
        <v>0</v>
      </c>
      <c r="L52" s="68" t="n">
        <f aca="false">IF(6&gt;Controls!$B$11,"-",SUMIFS(Nominal_Activity!$M$2:$M$3000,Nominal_Activity!$C$2:$C$3000,$A52,Nominal_Activity!$G$2:$G$3000,"&gt;="&amp;DATE(Controls!$B$5,6,1),Nominal_Activity!$G$2:$G$3000,"&lt;="&amp;EOMONTH(DATE(Controls!$B$5,6,1),0),Nominal_Activity!$A$2:$A$3000,Controls!$B$7))</f>
        <v>0</v>
      </c>
      <c r="M52" s="68" t="str">
        <f aca="false">IF(7&gt;Controls!$B$11,"-",SUMIFS(Nominal_Activity!$M$2:$M$3000,Nominal_Activity!$C$2:$C$3000,$A52,Nominal_Activity!$G$2:$G$3000,"&gt;="&amp;DATE(Controls!$B$5,7,1),Nominal_Activity!$G$2:$G$3000,"&lt;="&amp;EOMONTH(DATE(Controls!$B$5,7,1),0),Nominal_Activity!$A$2:$A$3000,Controls!$B$7))</f>
        <v>-</v>
      </c>
      <c r="N52" s="68" t="str">
        <f aca="false">IF(8&gt;Controls!$B$11,"-",SUMIFS(Nominal_Activity!$M$2:$M$3000,Nominal_Activity!$C$2:$C$3000,$A52,Nominal_Activity!$G$2:$G$3000,"&gt;="&amp;DATE(Controls!$B$5,8,1),Nominal_Activity!$G$2:$G$3000,"&lt;="&amp;EOMONTH(DATE(Controls!$B$5,8,1),0),Nominal_Activity!$A$2:$A$3000,Controls!$B$7))</f>
        <v>-</v>
      </c>
      <c r="O52" s="68" t="str">
        <f aca="false">IF(9&gt;Controls!$B$11,"-",SUMIFS(Nominal_Activity!$M$2:$M$3000,Nominal_Activity!$C$2:$C$3000,$A52,Nominal_Activity!$G$2:$G$3000,"&gt;="&amp;DATE(Controls!$B$5,9,1),Nominal_Activity!$G$2:$G$3000,"&lt;="&amp;EOMONTH(DATE(Controls!$B$5,9,1),0),Nominal_Activity!$A$2:$A$3000,Controls!$B$7))</f>
        <v>-</v>
      </c>
      <c r="P52" s="68" t="str">
        <f aca="false">IF(10&gt;Controls!$B$11,"-",SUMIFS(Nominal_Activity!$M$2:$M$3000,Nominal_Activity!$C$2:$C$3000,$A52,Nominal_Activity!$G$2:$G$3000,"&gt;="&amp;DATE(Controls!$B$5,10,1),Nominal_Activity!$G$2:$G$3000,"&lt;="&amp;EOMONTH(DATE(Controls!$B$5,10,1),0),Nominal_Activity!$A$2:$A$3000,Controls!$B$7))</f>
        <v>-</v>
      </c>
      <c r="Q52" s="68" t="str">
        <f aca="false">IF(11&gt;Controls!$B$11,"-",SUMIFS(Nominal_Activity!$M$2:$M$3000,Nominal_Activity!$C$2:$C$3000,$A52,Nominal_Activity!$G$2:$G$3000,"&gt;="&amp;DATE(Controls!$B$5,11,1),Nominal_Activity!$G$2:$G$3000,"&lt;="&amp;EOMONTH(DATE(Controls!$B$5,11,1),0),Nominal_Activity!$A$2:$A$3000,Controls!$B$7))</f>
        <v>-</v>
      </c>
      <c r="R52" s="68" t="str">
        <f aca="false">IF(12&gt;Controls!$B$11,"-",SUMIFS(Nominal_Activity!$M$2:$M$3000,Nominal_Activity!$C$2:$C$3000,$A52,Nominal_Activity!$G$2:$G$3000,"&gt;="&amp;DATE(Controls!$B$5,12,1),Nominal_Activity!$G$2:$G$3000,"&lt;="&amp;EOMONTH(DATE(Controls!$B$5,12,1),0),Nominal_Activity!$A$2:$A$3000,Controls!$B$7))</f>
        <v>-</v>
      </c>
      <c r="S52" s="68" t="n">
        <f aca="false">SUM(G52:R52)</f>
        <v>0</v>
      </c>
      <c r="T52" s="68" t="n">
        <f aca="false">$F52-$S52</f>
        <v>18057.25</v>
      </c>
      <c r="U52" s="77" t="n">
        <f aca="false">IFERROR($T52/$F52,0)</f>
        <v>1</v>
      </c>
      <c r="V52" s="68" t="n">
        <f aca="false">$S52*MM_FixedCost!G51</f>
        <v>0</v>
      </c>
      <c r="W52" s="68" t="n">
        <f aca="false">$S52-$V52</f>
        <v>0</v>
      </c>
      <c r="X52" s="135"/>
      <c r="Y52" s="136" t="n">
        <f aca="false">SUM($G52:$I52)</f>
        <v>0</v>
      </c>
      <c r="Z52" s="136" t="n">
        <f aca="false">$Y52*MM_FixedCost!$G51</f>
        <v>0</v>
      </c>
      <c r="AA52" s="136" t="n">
        <f aca="false">SUM($J52:$L52)</f>
        <v>0</v>
      </c>
      <c r="AB52" s="136" t="n">
        <f aca="false">$AA52*MM_FixedCost!$G51</f>
        <v>0</v>
      </c>
      <c r="AC52" s="136" t="n">
        <f aca="false">SUM($M52:$O52)</f>
        <v>0</v>
      </c>
      <c r="AD52" s="136" t="n">
        <f aca="false">$AC52*MM_FixedCost!$G51</f>
        <v>0</v>
      </c>
      <c r="AE52" s="136" t="n">
        <f aca="false">SUM($P52:$R52)</f>
        <v>0</v>
      </c>
      <c r="AF52" s="136" t="n">
        <f aca="false">$AE52*MM_FixedCost!$G51</f>
        <v>0</v>
      </c>
      <c r="AG52" s="136" t="n">
        <f aca="false">CHOOSE(VALUE(MID(Controls!$B$6,2,1)),$Z52,$AB52,$AD52,$AF52)</f>
        <v>0</v>
      </c>
    </row>
    <row r="53" customFormat="false" ht="13.5" hidden="false" customHeight="false" outlineLevel="0" collapsed="false">
      <c r="A53" s="67" t="n">
        <f aca="false">MM_FixedCost!A52</f>
        <v>7650</v>
      </c>
      <c r="B53" s="67" t="str">
        <f aca="false">MM_FixedCost!B52</f>
        <v>Group Associated Fixed costs</v>
      </c>
      <c r="C53" s="67" t="str">
        <f aca="false">MM_FixedCost!C52</f>
        <v>Professional services and governance</v>
      </c>
      <c r="D53" s="67" t="str">
        <f aca="false">MM_FixedCost!E52</f>
        <v>Core</v>
      </c>
      <c r="E53" s="68" t="n">
        <f aca="false">MM_FixedCost!F52</f>
        <v>821250.18</v>
      </c>
      <c r="F53" s="68" t="n">
        <f aca="false">$E53/12*Controls!$B$11</f>
        <v>410625.09</v>
      </c>
      <c r="G53" s="68" t="n">
        <f aca="false">IF(1&gt;Controls!$B$11,"-",SUMIFS(Nominal_Activity!$M$2:$M$3000,Nominal_Activity!$C$2:$C$3000,$A53,Nominal_Activity!$G$2:$G$3000,"&gt;="&amp;DATE(Controls!$B$5,1,1),Nominal_Activity!$G$2:$G$3000,"&lt;="&amp;EOMONTH(DATE(Controls!$B$5,1,1),0),Nominal_Activity!$A$2:$A$3000,Controls!$B$7))</f>
        <v>0</v>
      </c>
      <c r="H53" s="68" t="n">
        <f aca="false">IF(2&gt;Controls!$B$11,"-",SUMIFS(Nominal_Activity!$M$2:$M$3000,Nominal_Activity!$C$2:$C$3000,$A53,Nominal_Activity!$G$2:$G$3000,"&gt;="&amp;DATE(Controls!$B$5,2,1),Nominal_Activity!$G$2:$G$3000,"&lt;="&amp;EOMONTH(DATE(Controls!$B$5,2,1),0),Nominal_Activity!$A$2:$A$3000,Controls!$B$7))</f>
        <v>0</v>
      </c>
      <c r="I53" s="68" t="n">
        <f aca="false">IF(3&gt;Controls!$B$11,"-",SUMIFS(Nominal_Activity!$M$2:$M$3000,Nominal_Activity!$C$2:$C$3000,$A53,Nominal_Activity!$G$2:$G$3000,"&gt;="&amp;DATE(Controls!$B$5,3,1),Nominal_Activity!$G$2:$G$3000,"&lt;="&amp;EOMONTH(DATE(Controls!$B$5,3,1),0),Nominal_Activity!$A$2:$A$3000,Controls!$B$7))</f>
        <v>325736.02</v>
      </c>
      <c r="J53" s="68" t="n">
        <f aca="false">IF(4&gt;Controls!$B$11,"-",SUMIFS(Nominal_Activity!$M$2:$M$3000,Nominal_Activity!$C$2:$C$3000,$A53,Nominal_Activity!$G$2:$G$3000,"&gt;="&amp;DATE(Controls!$B$5,4,1),Nominal_Activity!$G$2:$G$3000,"&lt;="&amp;EOMONTH(DATE(Controls!$B$5,4,1),0),Nominal_Activity!$A$2:$A$3000,Controls!$B$7))</f>
        <v>0</v>
      </c>
      <c r="K53" s="68" t="n">
        <f aca="false">IF(5&gt;Controls!$B$11,"-",SUMIFS(Nominal_Activity!$M$2:$M$3000,Nominal_Activity!$C$2:$C$3000,$A53,Nominal_Activity!$G$2:$G$3000,"&gt;="&amp;DATE(Controls!$B$5,5,1),Nominal_Activity!$G$2:$G$3000,"&lt;="&amp;EOMONTH(DATE(Controls!$B$5,5,1),0),Nominal_Activity!$A$2:$A$3000,Controls!$B$7))</f>
        <v>0</v>
      </c>
      <c r="L53" s="68" t="n">
        <f aca="false">IF(6&gt;Controls!$B$11,"-",SUMIFS(Nominal_Activity!$M$2:$M$3000,Nominal_Activity!$C$2:$C$3000,$A53,Nominal_Activity!$G$2:$G$3000,"&gt;="&amp;DATE(Controls!$B$5,6,1),Nominal_Activity!$G$2:$G$3000,"&lt;="&amp;EOMONTH(DATE(Controls!$B$5,6,1),0),Nominal_Activity!$A$2:$A$3000,Controls!$B$7))</f>
        <v>325736.02</v>
      </c>
      <c r="M53" s="68" t="str">
        <f aca="false">IF(7&gt;Controls!$B$11,"-",SUMIFS(Nominal_Activity!$M$2:$M$3000,Nominal_Activity!$C$2:$C$3000,$A53,Nominal_Activity!$G$2:$G$3000,"&gt;="&amp;DATE(Controls!$B$5,7,1),Nominal_Activity!$G$2:$G$3000,"&lt;="&amp;EOMONTH(DATE(Controls!$B$5,7,1),0),Nominal_Activity!$A$2:$A$3000,Controls!$B$7))</f>
        <v>-</v>
      </c>
      <c r="N53" s="68" t="str">
        <f aca="false">IF(8&gt;Controls!$B$11,"-",SUMIFS(Nominal_Activity!$M$2:$M$3000,Nominal_Activity!$C$2:$C$3000,$A53,Nominal_Activity!$G$2:$G$3000,"&gt;="&amp;DATE(Controls!$B$5,8,1),Nominal_Activity!$G$2:$G$3000,"&lt;="&amp;EOMONTH(DATE(Controls!$B$5,8,1),0),Nominal_Activity!$A$2:$A$3000,Controls!$B$7))</f>
        <v>-</v>
      </c>
      <c r="O53" s="68" t="str">
        <f aca="false">IF(9&gt;Controls!$B$11,"-",SUMIFS(Nominal_Activity!$M$2:$M$3000,Nominal_Activity!$C$2:$C$3000,$A53,Nominal_Activity!$G$2:$G$3000,"&gt;="&amp;DATE(Controls!$B$5,9,1),Nominal_Activity!$G$2:$G$3000,"&lt;="&amp;EOMONTH(DATE(Controls!$B$5,9,1),0),Nominal_Activity!$A$2:$A$3000,Controls!$B$7))</f>
        <v>-</v>
      </c>
      <c r="P53" s="68" t="str">
        <f aca="false">IF(10&gt;Controls!$B$11,"-",SUMIFS(Nominal_Activity!$M$2:$M$3000,Nominal_Activity!$C$2:$C$3000,$A53,Nominal_Activity!$G$2:$G$3000,"&gt;="&amp;DATE(Controls!$B$5,10,1),Nominal_Activity!$G$2:$G$3000,"&lt;="&amp;EOMONTH(DATE(Controls!$B$5,10,1),0),Nominal_Activity!$A$2:$A$3000,Controls!$B$7))</f>
        <v>-</v>
      </c>
      <c r="Q53" s="68" t="str">
        <f aca="false">IF(11&gt;Controls!$B$11,"-",SUMIFS(Nominal_Activity!$M$2:$M$3000,Nominal_Activity!$C$2:$C$3000,$A53,Nominal_Activity!$G$2:$G$3000,"&gt;="&amp;DATE(Controls!$B$5,11,1),Nominal_Activity!$G$2:$G$3000,"&lt;="&amp;EOMONTH(DATE(Controls!$B$5,11,1),0),Nominal_Activity!$A$2:$A$3000,Controls!$B$7))</f>
        <v>-</v>
      </c>
      <c r="R53" s="68" t="str">
        <f aca="false">IF(12&gt;Controls!$B$11,"-",SUMIFS(Nominal_Activity!$M$2:$M$3000,Nominal_Activity!$C$2:$C$3000,$A53,Nominal_Activity!$G$2:$G$3000,"&gt;="&amp;DATE(Controls!$B$5,12,1),Nominal_Activity!$G$2:$G$3000,"&lt;="&amp;EOMONTH(DATE(Controls!$B$5,12,1),0),Nominal_Activity!$A$2:$A$3000,Controls!$B$7))</f>
        <v>-</v>
      </c>
      <c r="S53" s="68" t="n">
        <f aca="false">SUM(G53:R53)</f>
        <v>651472.04</v>
      </c>
      <c r="T53" s="68" t="n">
        <f aca="false">$F53-$S53</f>
        <v>-240846.95</v>
      </c>
      <c r="U53" s="77" t="n">
        <f aca="false">IFERROR($T53/$F53,0)</f>
        <v>-0.586537344807645</v>
      </c>
      <c r="V53" s="68" t="n">
        <f aca="false">$S53*MM_FixedCost!G52</f>
        <v>162868.01</v>
      </c>
      <c r="W53" s="68" t="n">
        <f aca="false">$S53-$V53</f>
        <v>488604.03</v>
      </c>
      <c r="X53" s="135"/>
      <c r="Y53" s="136" t="n">
        <f aca="false">SUM($G53:$I53)</f>
        <v>325736.02</v>
      </c>
      <c r="Z53" s="136" t="n">
        <f aca="false">$Y53*MM_FixedCost!$G52</f>
        <v>81434.005</v>
      </c>
      <c r="AA53" s="136" t="n">
        <f aca="false">SUM($J53:$L53)</f>
        <v>325736.02</v>
      </c>
      <c r="AB53" s="136" t="n">
        <f aca="false">$AA53*MM_FixedCost!$G52</f>
        <v>81434.005</v>
      </c>
      <c r="AC53" s="136" t="n">
        <f aca="false">SUM($M53:$O53)</f>
        <v>0</v>
      </c>
      <c r="AD53" s="136" t="n">
        <f aca="false">$AC53*MM_FixedCost!$G52</f>
        <v>0</v>
      </c>
      <c r="AE53" s="136" t="n">
        <f aca="false">SUM($P53:$R53)</f>
        <v>0</v>
      </c>
      <c r="AF53" s="136" t="n">
        <f aca="false">$AE53*MM_FixedCost!$G52</f>
        <v>0</v>
      </c>
      <c r="AG53" s="136" t="n">
        <f aca="false">CHOOSE(VALUE(MID(Controls!$B$6,2,1)),$Z53,$AB53,$AD53,$AF53)</f>
        <v>81434.005</v>
      </c>
    </row>
    <row r="54" customFormat="false" ht="13.5" hidden="false" customHeight="false" outlineLevel="0" collapsed="false">
      <c r="A54" s="67" t="n">
        <f aca="false">MM_FixedCost!A53</f>
        <v>7660</v>
      </c>
      <c r="B54" s="67" t="str">
        <f aca="false">MM_FixedCost!B53</f>
        <v>Pension and Payroll admin Charges</v>
      </c>
      <c r="C54" s="67" t="str">
        <f aca="false">MM_FixedCost!C53</f>
        <v>Professional services and governance</v>
      </c>
      <c r="D54" s="67" t="str">
        <f aca="false">MM_FixedCost!E53</f>
        <v>Core</v>
      </c>
      <c r="E54" s="68" t="n">
        <f aca="false">MM_FixedCost!F53</f>
        <v>58500</v>
      </c>
      <c r="F54" s="68" t="n">
        <f aca="false">$E54/12*Controls!$B$11</f>
        <v>29250</v>
      </c>
      <c r="G54" s="68" t="n">
        <f aca="false">IF(1&gt;Controls!$B$11,"-",SUMIFS(Nominal_Activity!$M$2:$M$3000,Nominal_Activity!$C$2:$C$3000,$A54,Nominal_Activity!$G$2:$G$3000,"&gt;="&amp;DATE(Controls!$B$5,1,1),Nominal_Activity!$G$2:$G$3000,"&lt;="&amp;EOMONTH(DATE(Controls!$B$5,1,1),0),Nominal_Activity!$A$2:$A$3000,Controls!$B$7))</f>
        <v>5000</v>
      </c>
      <c r="H54" s="68" t="n">
        <f aca="false">IF(2&gt;Controls!$B$11,"-",SUMIFS(Nominal_Activity!$M$2:$M$3000,Nominal_Activity!$C$2:$C$3000,$A54,Nominal_Activity!$G$2:$G$3000,"&gt;="&amp;DATE(Controls!$B$5,2,1),Nominal_Activity!$G$2:$G$3000,"&lt;="&amp;EOMONTH(DATE(Controls!$B$5,2,1),0),Nominal_Activity!$A$2:$A$3000,Controls!$B$7))</f>
        <v>6303.01</v>
      </c>
      <c r="I54" s="68" t="n">
        <f aca="false">IF(3&gt;Controls!$B$11,"-",SUMIFS(Nominal_Activity!$M$2:$M$3000,Nominal_Activity!$C$2:$C$3000,$A54,Nominal_Activity!$G$2:$G$3000,"&gt;="&amp;DATE(Controls!$B$5,3,1),Nominal_Activity!$G$2:$G$3000,"&lt;="&amp;EOMONTH(DATE(Controls!$B$5,3,1),0),Nominal_Activity!$A$2:$A$3000,Controls!$B$7))</f>
        <v>6166.41</v>
      </c>
      <c r="J54" s="68" t="n">
        <f aca="false">IF(4&gt;Controls!$B$11,"-",SUMIFS(Nominal_Activity!$M$2:$M$3000,Nominal_Activity!$C$2:$C$3000,$A54,Nominal_Activity!$G$2:$G$3000,"&gt;="&amp;DATE(Controls!$B$5,4,1),Nominal_Activity!$G$2:$G$3000,"&lt;="&amp;EOMONTH(DATE(Controls!$B$5,4,1),0),Nominal_Activity!$A$2:$A$3000,Controls!$B$7))</f>
        <v>6656.41</v>
      </c>
      <c r="K54" s="68" t="n">
        <f aca="false">IF(5&gt;Controls!$B$11,"-",SUMIFS(Nominal_Activity!$M$2:$M$3000,Nominal_Activity!$C$2:$C$3000,$A54,Nominal_Activity!$G$2:$G$3000,"&gt;="&amp;DATE(Controls!$B$5,5,1),Nominal_Activity!$G$2:$G$3000,"&lt;="&amp;EOMONTH(DATE(Controls!$B$5,5,1),0),Nominal_Activity!$A$2:$A$3000,Controls!$B$7))</f>
        <v>5250</v>
      </c>
      <c r="L54" s="68" t="n">
        <f aca="false">IF(6&gt;Controls!$B$11,"-",SUMIFS(Nominal_Activity!$M$2:$M$3000,Nominal_Activity!$C$2:$C$3000,$A54,Nominal_Activity!$G$2:$G$3000,"&gt;="&amp;DATE(Controls!$B$5,6,1),Nominal_Activity!$G$2:$G$3000,"&lt;="&amp;EOMONTH(DATE(Controls!$B$5,6,1),0),Nominal_Activity!$A$2:$A$3000,Controls!$B$7))</f>
        <v>0</v>
      </c>
      <c r="M54" s="68" t="str">
        <f aca="false">IF(7&gt;Controls!$B$11,"-",SUMIFS(Nominal_Activity!$M$2:$M$3000,Nominal_Activity!$C$2:$C$3000,$A54,Nominal_Activity!$G$2:$G$3000,"&gt;="&amp;DATE(Controls!$B$5,7,1),Nominal_Activity!$G$2:$G$3000,"&lt;="&amp;EOMONTH(DATE(Controls!$B$5,7,1),0),Nominal_Activity!$A$2:$A$3000,Controls!$B$7))</f>
        <v>-</v>
      </c>
      <c r="N54" s="68" t="str">
        <f aca="false">IF(8&gt;Controls!$B$11,"-",SUMIFS(Nominal_Activity!$M$2:$M$3000,Nominal_Activity!$C$2:$C$3000,$A54,Nominal_Activity!$G$2:$G$3000,"&gt;="&amp;DATE(Controls!$B$5,8,1),Nominal_Activity!$G$2:$G$3000,"&lt;="&amp;EOMONTH(DATE(Controls!$B$5,8,1),0),Nominal_Activity!$A$2:$A$3000,Controls!$B$7))</f>
        <v>-</v>
      </c>
      <c r="O54" s="68" t="str">
        <f aca="false">IF(9&gt;Controls!$B$11,"-",SUMIFS(Nominal_Activity!$M$2:$M$3000,Nominal_Activity!$C$2:$C$3000,$A54,Nominal_Activity!$G$2:$G$3000,"&gt;="&amp;DATE(Controls!$B$5,9,1),Nominal_Activity!$G$2:$G$3000,"&lt;="&amp;EOMONTH(DATE(Controls!$B$5,9,1),0),Nominal_Activity!$A$2:$A$3000,Controls!$B$7))</f>
        <v>-</v>
      </c>
      <c r="P54" s="68" t="str">
        <f aca="false">IF(10&gt;Controls!$B$11,"-",SUMIFS(Nominal_Activity!$M$2:$M$3000,Nominal_Activity!$C$2:$C$3000,$A54,Nominal_Activity!$G$2:$G$3000,"&gt;="&amp;DATE(Controls!$B$5,10,1),Nominal_Activity!$G$2:$G$3000,"&lt;="&amp;EOMONTH(DATE(Controls!$B$5,10,1),0),Nominal_Activity!$A$2:$A$3000,Controls!$B$7))</f>
        <v>-</v>
      </c>
      <c r="Q54" s="68" t="str">
        <f aca="false">IF(11&gt;Controls!$B$11,"-",SUMIFS(Nominal_Activity!$M$2:$M$3000,Nominal_Activity!$C$2:$C$3000,$A54,Nominal_Activity!$G$2:$G$3000,"&gt;="&amp;DATE(Controls!$B$5,11,1),Nominal_Activity!$G$2:$G$3000,"&lt;="&amp;EOMONTH(DATE(Controls!$B$5,11,1),0),Nominal_Activity!$A$2:$A$3000,Controls!$B$7))</f>
        <v>-</v>
      </c>
      <c r="R54" s="68" t="str">
        <f aca="false">IF(12&gt;Controls!$B$11,"-",SUMIFS(Nominal_Activity!$M$2:$M$3000,Nominal_Activity!$C$2:$C$3000,$A54,Nominal_Activity!$G$2:$G$3000,"&gt;="&amp;DATE(Controls!$B$5,12,1),Nominal_Activity!$G$2:$G$3000,"&lt;="&amp;EOMONTH(DATE(Controls!$B$5,12,1),0),Nominal_Activity!$A$2:$A$3000,Controls!$B$7))</f>
        <v>-</v>
      </c>
      <c r="S54" s="68" t="n">
        <f aca="false">SUM(G54:R54)</f>
        <v>29375.83</v>
      </c>
      <c r="T54" s="68" t="n">
        <f aca="false">$F54-$S54</f>
        <v>-125.830000000002</v>
      </c>
      <c r="U54" s="77" t="n">
        <f aca="false">IFERROR($T54/$F54,0)</f>
        <v>-0.0043018803418804</v>
      </c>
      <c r="V54" s="68" t="n">
        <f aca="false">$S54*MM_FixedCost!G53</f>
        <v>0</v>
      </c>
      <c r="W54" s="68" t="n">
        <f aca="false">$S54-$V54</f>
        <v>29375.83</v>
      </c>
      <c r="X54" s="135"/>
      <c r="Y54" s="136" t="n">
        <f aca="false">SUM($G54:$I54)</f>
        <v>17469.42</v>
      </c>
      <c r="Z54" s="136" t="n">
        <f aca="false">$Y54*MM_FixedCost!$G53</f>
        <v>0</v>
      </c>
      <c r="AA54" s="136" t="n">
        <f aca="false">SUM($J54:$L54)</f>
        <v>11906.41</v>
      </c>
      <c r="AB54" s="136" t="n">
        <f aca="false">$AA54*MM_FixedCost!$G53</f>
        <v>0</v>
      </c>
      <c r="AC54" s="136" t="n">
        <f aca="false">SUM($M54:$O54)</f>
        <v>0</v>
      </c>
      <c r="AD54" s="136" t="n">
        <f aca="false">$AC54*MM_FixedCost!$G53</f>
        <v>0</v>
      </c>
      <c r="AE54" s="136" t="n">
        <f aca="false">SUM($P54:$R54)</f>
        <v>0</v>
      </c>
      <c r="AF54" s="136" t="n">
        <f aca="false">$AE54*MM_FixedCost!$G53</f>
        <v>0</v>
      </c>
      <c r="AG54" s="136" t="n">
        <f aca="false">CHOOSE(VALUE(MID(Controls!$B$6,2,1)),$Z54,$AB54,$AD54,$AF54)</f>
        <v>0</v>
      </c>
    </row>
    <row r="55" customFormat="false" ht="13.5" hidden="false" customHeight="false" outlineLevel="0" collapsed="false">
      <c r="A55" s="67" t="n">
        <f aca="false">MM_FixedCost!A54</f>
        <v>7700</v>
      </c>
      <c r="B55" s="67" t="str">
        <f aca="false">MM_FixedCost!B54</f>
        <v>IT Computer Software and development</v>
      </c>
      <c r="C55" s="67" t="str">
        <f aca="false">MM_FixedCost!C54</f>
        <v>IT and Data</v>
      </c>
      <c r="D55" s="67" t="str">
        <f aca="false">MM_FixedCost!E54</f>
        <v>Core</v>
      </c>
      <c r="E55" s="68" t="n">
        <f aca="false">MM_FixedCost!F54</f>
        <v>218627.64</v>
      </c>
      <c r="F55" s="68" t="n">
        <f aca="false">$E55/12*Controls!$B$11</f>
        <v>109313.82</v>
      </c>
      <c r="G55" s="68" t="n">
        <f aca="false">IF(1&gt;Controls!$B$11,"-",SUMIFS(Nominal_Activity!$M$2:$M$3000,Nominal_Activity!$C$2:$C$3000,$A55,Nominal_Activity!$G$2:$G$3000,"&gt;="&amp;DATE(Controls!$B$5,1,1),Nominal_Activity!$G$2:$G$3000,"&lt;="&amp;EOMONTH(DATE(Controls!$B$5,1,1),0),Nominal_Activity!$A$2:$A$3000,Controls!$B$7))</f>
        <v>0</v>
      </c>
      <c r="H55" s="68" t="n">
        <f aca="false">IF(2&gt;Controls!$B$11,"-",SUMIFS(Nominal_Activity!$M$2:$M$3000,Nominal_Activity!$C$2:$C$3000,$A55,Nominal_Activity!$G$2:$G$3000,"&gt;="&amp;DATE(Controls!$B$5,2,1),Nominal_Activity!$G$2:$G$3000,"&lt;="&amp;EOMONTH(DATE(Controls!$B$5,2,1),0),Nominal_Activity!$A$2:$A$3000,Controls!$B$7))</f>
        <v>0</v>
      </c>
      <c r="I55" s="68" t="n">
        <f aca="false">IF(3&gt;Controls!$B$11,"-",SUMIFS(Nominal_Activity!$M$2:$M$3000,Nominal_Activity!$C$2:$C$3000,$A55,Nominal_Activity!$G$2:$G$3000,"&gt;="&amp;DATE(Controls!$B$5,3,1),Nominal_Activity!$G$2:$G$3000,"&lt;="&amp;EOMONTH(DATE(Controls!$B$5,3,1),0),Nominal_Activity!$A$2:$A$3000,Controls!$B$7))</f>
        <v>307.12</v>
      </c>
      <c r="J55" s="68" t="n">
        <f aca="false">IF(4&gt;Controls!$B$11,"-",SUMIFS(Nominal_Activity!$M$2:$M$3000,Nominal_Activity!$C$2:$C$3000,$A55,Nominal_Activity!$G$2:$G$3000,"&gt;="&amp;DATE(Controls!$B$5,4,1),Nominal_Activity!$G$2:$G$3000,"&lt;="&amp;EOMONTH(DATE(Controls!$B$5,4,1),0),Nominal_Activity!$A$2:$A$3000,Controls!$B$7))</f>
        <v>13527.09</v>
      </c>
      <c r="K55" s="68" t="n">
        <f aca="false">IF(5&gt;Controls!$B$11,"-",SUMIFS(Nominal_Activity!$M$2:$M$3000,Nominal_Activity!$C$2:$C$3000,$A55,Nominal_Activity!$G$2:$G$3000,"&gt;="&amp;DATE(Controls!$B$5,5,1),Nominal_Activity!$G$2:$G$3000,"&lt;="&amp;EOMONTH(DATE(Controls!$B$5,5,1),0),Nominal_Activity!$A$2:$A$3000,Controls!$B$7))</f>
        <v>0</v>
      </c>
      <c r="L55" s="68" t="n">
        <f aca="false">IF(6&gt;Controls!$B$11,"-",SUMIFS(Nominal_Activity!$M$2:$M$3000,Nominal_Activity!$C$2:$C$3000,$A55,Nominal_Activity!$G$2:$G$3000,"&gt;="&amp;DATE(Controls!$B$5,6,1),Nominal_Activity!$G$2:$G$3000,"&lt;="&amp;EOMONTH(DATE(Controls!$B$5,6,1),0),Nominal_Activity!$A$2:$A$3000,Controls!$B$7))</f>
        <v>327.63</v>
      </c>
      <c r="M55" s="68" t="str">
        <f aca="false">IF(7&gt;Controls!$B$11,"-",SUMIFS(Nominal_Activity!$M$2:$M$3000,Nominal_Activity!$C$2:$C$3000,$A55,Nominal_Activity!$G$2:$G$3000,"&gt;="&amp;DATE(Controls!$B$5,7,1),Nominal_Activity!$G$2:$G$3000,"&lt;="&amp;EOMONTH(DATE(Controls!$B$5,7,1),0),Nominal_Activity!$A$2:$A$3000,Controls!$B$7))</f>
        <v>-</v>
      </c>
      <c r="N55" s="68" t="str">
        <f aca="false">IF(8&gt;Controls!$B$11,"-",SUMIFS(Nominal_Activity!$M$2:$M$3000,Nominal_Activity!$C$2:$C$3000,$A55,Nominal_Activity!$G$2:$G$3000,"&gt;="&amp;DATE(Controls!$B$5,8,1),Nominal_Activity!$G$2:$G$3000,"&lt;="&amp;EOMONTH(DATE(Controls!$B$5,8,1),0),Nominal_Activity!$A$2:$A$3000,Controls!$B$7))</f>
        <v>-</v>
      </c>
      <c r="O55" s="68" t="str">
        <f aca="false">IF(9&gt;Controls!$B$11,"-",SUMIFS(Nominal_Activity!$M$2:$M$3000,Nominal_Activity!$C$2:$C$3000,$A55,Nominal_Activity!$G$2:$G$3000,"&gt;="&amp;DATE(Controls!$B$5,9,1),Nominal_Activity!$G$2:$G$3000,"&lt;="&amp;EOMONTH(DATE(Controls!$B$5,9,1),0),Nominal_Activity!$A$2:$A$3000,Controls!$B$7))</f>
        <v>-</v>
      </c>
      <c r="P55" s="68" t="str">
        <f aca="false">IF(10&gt;Controls!$B$11,"-",SUMIFS(Nominal_Activity!$M$2:$M$3000,Nominal_Activity!$C$2:$C$3000,$A55,Nominal_Activity!$G$2:$G$3000,"&gt;="&amp;DATE(Controls!$B$5,10,1),Nominal_Activity!$G$2:$G$3000,"&lt;="&amp;EOMONTH(DATE(Controls!$B$5,10,1),0),Nominal_Activity!$A$2:$A$3000,Controls!$B$7))</f>
        <v>-</v>
      </c>
      <c r="Q55" s="68" t="str">
        <f aca="false">IF(11&gt;Controls!$B$11,"-",SUMIFS(Nominal_Activity!$M$2:$M$3000,Nominal_Activity!$C$2:$C$3000,$A55,Nominal_Activity!$G$2:$G$3000,"&gt;="&amp;DATE(Controls!$B$5,11,1),Nominal_Activity!$G$2:$G$3000,"&lt;="&amp;EOMONTH(DATE(Controls!$B$5,11,1),0),Nominal_Activity!$A$2:$A$3000,Controls!$B$7))</f>
        <v>-</v>
      </c>
      <c r="R55" s="68" t="str">
        <f aca="false">IF(12&gt;Controls!$B$11,"-",SUMIFS(Nominal_Activity!$M$2:$M$3000,Nominal_Activity!$C$2:$C$3000,$A55,Nominal_Activity!$G$2:$G$3000,"&gt;="&amp;DATE(Controls!$B$5,12,1),Nominal_Activity!$G$2:$G$3000,"&lt;="&amp;EOMONTH(DATE(Controls!$B$5,12,1),0),Nominal_Activity!$A$2:$A$3000,Controls!$B$7))</f>
        <v>-</v>
      </c>
      <c r="S55" s="68" t="n">
        <f aca="false">SUM(G55:R55)</f>
        <v>14161.84</v>
      </c>
      <c r="T55" s="68" t="n">
        <f aca="false">$F55-$S55</f>
        <v>95151.98</v>
      </c>
      <c r="U55" s="77" t="n">
        <f aca="false">IFERROR($T55/$F55,0)</f>
        <v>0.870447853711452</v>
      </c>
      <c r="V55" s="68" t="n">
        <f aca="false">$S55*MM_FixedCost!G54</f>
        <v>0</v>
      </c>
      <c r="W55" s="68" t="n">
        <f aca="false">$S55-$V55</f>
        <v>14161.84</v>
      </c>
      <c r="X55" s="135"/>
      <c r="Y55" s="136" t="n">
        <f aca="false">SUM($G55:$I55)</f>
        <v>307.12</v>
      </c>
      <c r="Z55" s="136" t="n">
        <f aca="false">$Y55*MM_FixedCost!$G54</f>
        <v>0</v>
      </c>
      <c r="AA55" s="136" t="n">
        <f aca="false">SUM($J55:$L55)</f>
        <v>13854.72</v>
      </c>
      <c r="AB55" s="136" t="n">
        <f aca="false">$AA55*MM_FixedCost!$G54</f>
        <v>0</v>
      </c>
      <c r="AC55" s="136" t="n">
        <f aca="false">SUM($M55:$O55)</f>
        <v>0</v>
      </c>
      <c r="AD55" s="136" t="n">
        <f aca="false">$AC55*MM_FixedCost!$G54</f>
        <v>0</v>
      </c>
      <c r="AE55" s="136" t="n">
        <f aca="false">SUM($P55:$R55)</f>
        <v>0</v>
      </c>
      <c r="AF55" s="136" t="n">
        <f aca="false">$AE55*MM_FixedCost!$G54</f>
        <v>0</v>
      </c>
      <c r="AG55" s="136" t="n">
        <f aca="false">CHOOSE(VALUE(MID(Controls!$B$6,2,1)),$Z55,$AB55,$AD55,$AF55)</f>
        <v>0</v>
      </c>
    </row>
    <row r="56" customFormat="false" ht="13.5" hidden="false" customHeight="false" outlineLevel="0" collapsed="false">
      <c r="A56" s="67" t="n">
        <f aca="false">MM_FixedCost!A55</f>
        <v>7701</v>
      </c>
      <c r="B56" s="67" t="str">
        <f aca="false">MM_FixedCost!B55</f>
        <v>IT Comp software and dev - Group purchase</v>
      </c>
      <c r="C56" s="67" t="str">
        <f aca="false">MM_FixedCost!C55</f>
        <v>IT and Data</v>
      </c>
      <c r="D56" s="67" t="str">
        <f aca="false">MM_FixedCost!E55</f>
        <v>Core</v>
      </c>
      <c r="E56" s="68" t="n">
        <f aca="false">MM_FixedCost!F55</f>
        <v>0</v>
      </c>
      <c r="F56" s="68" t="n">
        <f aca="false">$E56/12*Controls!$B$11</f>
        <v>0</v>
      </c>
      <c r="G56" s="68" t="n">
        <f aca="false">IF(1&gt;Controls!$B$11,"-",SUMIFS(Nominal_Activity!$M$2:$M$3000,Nominal_Activity!$C$2:$C$3000,$A56,Nominal_Activity!$G$2:$G$3000,"&gt;="&amp;DATE(Controls!$B$5,1,1),Nominal_Activity!$G$2:$G$3000,"&lt;="&amp;EOMONTH(DATE(Controls!$B$5,1,1),0),Nominal_Activity!$A$2:$A$3000,Controls!$B$7))</f>
        <v>0</v>
      </c>
      <c r="H56" s="68" t="n">
        <f aca="false">IF(2&gt;Controls!$B$11,"-",SUMIFS(Nominal_Activity!$M$2:$M$3000,Nominal_Activity!$C$2:$C$3000,$A56,Nominal_Activity!$G$2:$G$3000,"&gt;="&amp;DATE(Controls!$B$5,2,1),Nominal_Activity!$G$2:$G$3000,"&lt;="&amp;EOMONTH(DATE(Controls!$B$5,2,1),0),Nominal_Activity!$A$2:$A$3000,Controls!$B$7))</f>
        <v>0</v>
      </c>
      <c r="I56" s="68" t="n">
        <f aca="false">IF(3&gt;Controls!$B$11,"-",SUMIFS(Nominal_Activity!$M$2:$M$3000,Nominal_Activity!$C$2:$C$3000,$A56,Nominal_Activity!$G$2:$G$3000,"&gt;="&amp;DATE(Controls!$B$5,3,1),Nominal_Activity!$G$2:$G$3000,"&lt;="&amp;EOMONTH(DATE(Controls!$B$5,3,1),0),Nominal_Activity!$A$2:$A$3000,Controls!$B$7))</f>
        <v>0</v>
      </c>
      <c r="J56" s="68" t="n">
        <f aca="false">IF(4&gt;Controls!$B$11,"-",SUMIFS(Nominal_Activity!$M$2:$M$3000,Nominal_Activity!$C$2:$C$3000,$A56,Nominal_Activity!$G$2:$G$3000,"&gt;="&amp;DATE(Controls!$B$5,4,1),Nominal_Activity!$G$2:$G$3000,"&lt;="&amp;EOMONTH(DATE(Controls!$B$5,4,1),0),Nominal_Activity!$A$2:$A$3000,Controls!$B$7))</f>
        <v>0</v>
      </c>
      <c r="K56" s="68" t="n">
        <f aca="false">IF(5&gt;Controls!$B$11,"-",SUMIFS(Nominal_Activity!$M$2:$M$3000,Nominal_Activity!$C$2:$C$3000,$A56,Nominal_Activity!$G$2:$G$3000,"&gt;="&amp;DATE(Controls!$B$5,5,1),Nominal_Activity!$G$2:$G$3000,"&lt;="&amp;EOMONTH(DATE(Controls!$B$5,5,1),0),Nominal_Activity!$A$2:$A$3000,Controls!$B$7))</f>
        <v>0</v>
      </c>
      <c r="L56" s="68" t="n">
        <f aca="false">IF(6&gt;Controls!$B$11,"-",SUMIFS(Nominal_Activity!$M$2:$M$3000,Nominal_Activity!$C$2:$C$3000,$A56,Nominal_Activity!$G$2:$G$3000,"&gt;="&amp;DATE(Controls!$B$5,6,1),Nominal_Activity!$G$2:$G$3000,"&lt;="&amp;EOMONTH(DATE(Controls!$B$5,6,1),0),Nominal_Activity!$A$2:$A$3000,Controls!$B$7))</f>
        <v>0</v>
      </c>
      <c r="M56" s="68" t="str">
        <f aca="false">IF(7&gt;Controls!$B$11,"-",SUMIFS(Nominal_Activity!$M$2:$M$3000,Nominal_Activity!$C$2:$C$3000,$A56,Nominal_Activity!$G$2:$G$3000,"&gt;="&amp;DATE(Controls!$B$5,7,1),Nominal_Activity!$G$2:$G$3000,"&lt;="&amp;EOMONTH(DATE(Controls!$B$5,7,1),0),Nominal_Activity!$A$2:$A$3000,Controls!$B$7))</f>
        <v>-</v>
      </c>
      <c r="N56" s="68" t="str">
        <f aca="false">IF(8&gt;Controls!$B$11,"-",SUMIFS(Nominal_Activity!$M$2:$M$3000,Nominal_Activity!$C$2:$C$3000,$A56,Nominal_Activity!$G$2:$G$3000,"&gt;="&amp;DATE(Controls!$B$5,8,1),Nominal_Activity!$G$2:$G$3000,"&lt;="&amp;EOMONTH(DATE(Controls!$B$5,8,1),0),Nominal_Activity!$A$2:$A$3000,Controls!$B$7))</f>
        <v>-</v>
      </c>
      <c r="O56" s="68" t="str">
        <f aca="false">IF(9&gt;Controls!$B$11,"-",SUMIFS(Nominal_Activity!$M$2:$M$3000,Nominal_Activity!$C$2:$C$3000,$A56,Nominal_Activity!$G$2:$G$3000,"&gt;="&amp;DATE(Controls!$B$5,9,1),Nominal_Activity!$G$2:$G$3000,"&lt;="&amp;EOMONTH(DATE(Controls!$B$5,9,1),0),Nominal_Activity!$A$2:$A$3000,Controls!$B$7))</f>
        <v>-</v>
      </c>
      <c r="P56" s="68" t="str">
        <f aca="false">IF(10&gt;Controls!$B$11,"-",SUMIFS(Nominal_Activity!$M$2:$M$3000,Nominal_Activity!$C$2:$C$3000,$A56,Nominal_Activity!$G$2:$G$3000,"&gt;="&amp;DATE(Controls!$B$5,10,1),Nominal_Activity!$G$2:$G$3000,"&lt;="&amp;EOMONTH(DATE(Controls!$B$5,10,1),0),Nominal_Activity!$A$2:$A$3000,Controls!$B$7))</f>
        <v>-</v>
      </c>
      <c r="Q56" s="68" t="str">
        <f aca="false">IF(11&gt;Controls!$B$11,"-",SUMIFS(Nominal_Activity!$M$2:$M$3000,Nominal_Activity!$C$2:$C$3000,$A56,Nominal_Activity!$G$2:$G$3000,"&gt;="&amp;DATE(Controls!$B$5,11,1),Nominal_Activity!$G$2:$G$3000,"&lt;="&amp;EOMONTH(DATE(Controls!$B$5,11,1),0),Nominal_Activity!$A$2:$A$3000,Controls!$B$7))</f>
        <v>-</v>
      </c>
      <c r="R56" s="68" t="str">
        <f aca="false">IF(12&gt;Controls!$B$11,"-",SUMIFS(Nominal_Activity!$M$2:$M$3000,Nominal_Activity!$C$2:$C$3000,$A56,Nominal_Activity!$G$2:$G$3000,"&gt;="&amp;DATE(Controls!$B$5,12,1),Nominal_Activity!$G$2:$G$3000,"&lt;="&amp;EOMONTH(DATE(Controls!$B$5,12,1),0),Nominal_Activity!$A$2:$A$3000,Controls!$B$7))</f>
        <v>-</v>
      </c>
      <c r="S56" s="68" t="n">
        <f aca="false">SUM(G56:R56)</f>
        <v>0</v>
      </c>
      <c r="T56" s="68" t="n">
        <f aca="false">$F56-$S56</f>
        <v>0</v>
      </c>
      <c r="U56" s="77" t="n">
        <f aca="false">IFERROR($T56/$F56,0)</f>
        <v>0</v>
      </c>
      <c r="V56" s="68" t="n">
        <f aca="false">$S56*MM_FixedCost!G55</f>
        <v>0</v>
      </c>
      <c r="W56" s="68" t="n">
        <f aca="false">$S56-$V56</f>
        <v>0</v>
      </c>
      <c r="X56" s="135"/>
      <c r="Y56" s="136" t="n">
        <f aca="false">SUM($G56:$I56)</f>
        <v>0</v>
      </c>
      <c r="Z56" s="136" t="n">
        <f aca="false">$Y56*MM_FixedCost!$G55</f>
        <v>0</v>
      </c>
      <c r="AA56" s="136" t="n">
        <f aca="false">SUM($J56:$L56)</f>
        <v>0</v>
      </c>
      <c r="AB56" s="136" t="n">
        <f aca="false">$AA56*MM_FixedCost!$G55</f>
        <v>0</v>
      </c>
      <c r="AC56" s="136" t="n">
        <f aca="false">SUM($M56:$O56)</f>
        <v>0</v>
      </c>
      <c r="AD56" s="136" t="n">
        <f aca="false">$AC56*MM_FixedCost!$G55</f>
        <v>0</v>
      </c>
      <c r="AE56" s="136" t="n">
        <f aca="false">SUM($P56:$R56)</f>
        <v>0</v>
      </c>
      <c r="AF56" s="136" t="n">
        <f aca="false">$AE56*MM_FixedCost!$G55</f>
        <v>0</v>
      </c>
      <c r="AG56" s="136" t="n">
        <f aca="false">CHOOSE(VALUE(MID(Controls!$B$6,2,1)),$Z56,$AB56,$AD56,$AF56)</f>
        <v>0</v>
      </c>
    </row>
    <row r="57" customFormat="false" ht="13.5" hidden="false" customHeight="false" outlineLevel="0" collapsed="false">
      <c r="A57" s="67" t="n">
        <f aca="false">MM_FixedCost!A56</f>
        <v>7710</v>
      </c>
      <c r="B57" s="67" t="str">
        <f aca="false">MM_FixedCost!B56</f>
        <v>IT Equipment &lt;GHS300</v>
      </c>
      <c r="C57" s="67" t="str">
        <f aca="false">MM_FixedCost!C56</f>
        <v>IT and Data</v>
      </c>
      <c r="D57" s="67" t="str">
        <f aca="false">MM_FixedCost!E56</f>
        <v>Core</v>
      </c>
      <c r="E57" s="68" t="n">
        <f aca="false">MM_FixedCost!F56</f>
        <v>16000</v>
      </c>
      <c r="F57" s="68" t="n">
        <f aca="false">$E57/12*Controls!$B$11</f>
        <v>8000</v>
      </c>
      <c r="G57" s="68" t="n">
        <f aca="false">IF(1&gt;Controls!$B$11,"-",SUMIFS(Nominal_Activity!$M$2:$M$3000,Nominal_Activity!$C$2:$C$3000,$A57,Nominal_Activity!$G$2:$G$3000,"&gt;="&amp;DATE(Controls!$B$5,1,1),Nominal_Activity!$G$2:$G$3000,"&lt;="&amp;EOMONTH(DATE(Controls!$B$5,1,1),0),Nominal_Activity!$A$2:$A$3000,Controls!$B$7))</f>
        <v>0</v>
      </c>
      <c r="H57" s="68" t="n">
        <f aca="false">IF(2&gt;Controls!$B$11,"-",SUMIFS(Nominal_Activity!$M$2:$M$3000,Nominal_Activity!$C$2:$C$3000,$A57,Nominal_Activity!$G$2:$G$3000,"&gt;="&amp;DATE(Controls!$B$5,2,1),Nominal_Activity!$G$2:$G$3000,"&lt;="&amp;EOMONTH(DATE(Controls!$B$5,2,1),0),Nominal_Activity!$A$2:$A$3000,Controls!$B$7))</f>
        <v>2792.2</v>
      </c>
      <c r="I57" s="68" t="n">
        <f aca="false">IF(3&gt;Controls!$B$11,"-",SUMIFS(Nominal_Activity!$M$2:$M$3000,Nominal_Activity!$C$2:$C$3000,$A57,Nominal_Activity!$G$2:$G$3000,"&gt;="&amp;DATE(Controls!$B$5,3,1),Nominal_Activity!$G$2:$G$3000,"&lt;="&amp;EOMONTH(DATE(Controls!$B$5,3,1),0),Nominal_Activity!$A$2:$A$3000,Controls!$B$7))</f>
        <v>0</v>
      </c>
      <c r="J57" s="68" t="n">
        <f aca="false">IF(4&gt;Controls!$B$11,"-",SUMIFS(Nominal_Activity!$M$2:$M$3000,Nominal_Activity!$C$2:$C$3000,$A57,Nominal_Activity!$G$2:$G$3000,"&gt;="&amp;DATE(Controls!$B$5,4,1),Nominal_Activity!$G$2:$G$3000,"&lt;="&amp;EOMONTH(DATE(Controls!$B$5,4,1),0),Nominal_Activity!$A$2:$A$3000,Controls!$B$7))</f>
        <v>0</v>
      </c>
      <c r="K57" s="68" t="n">
        <f aca="false">IF(5&gt;Controls!$B$11,"-",SUMIFS(Nominal_Activity!$M$2:$M$3000,Nominal_Activity!$C$2:$C$3000,$A57,Nominal_Activity!$G$2:$G$3000,"&gt;="&amp;DATE(Controls!$B$5,5,1),Nominal_Activity!$G$2:$G$3000,"&lt;="&amp;EOMONTH(DATE(Controls!$B$5,5,1),0),Nominal_Activity!$A$2:$A$3000,Controls!$B$7))</f>
        <v>2673</v>
      </c>
      <c r="L57" s="68" t="n">
        <f aca="false">IF(6&gt;Controls!$B$11,"-",SUMIFS(Nominal_Activity!$M$2:$M$3000,Nominal_Activity!$C$2:$C$3000,$A57,Nominal_Activity!$G$2:$G$3000,"&gt;="&amp;DATE(Controls!$B$5,6,1),Nominal_Activity!$G$2:$G$3000,"&lt;="&amp;EOMONTH(DATE(Controls!$B$5,6,1),0),Nominal_Activity!$A$2:$A$3000,Controls!$B$7))</f>
        <v>0</v>
      </c>
      <c r="M57" s="68" t="str">
        <f aca="false">IF(7&gt;Controls!$B$11,"-",SUMIFS(Nominal_Activity!$M$2:$M$3000,Nominal_Activity!$C$2:$C$3000,$A57,Nominal_Activity!$G$2:$G$3000,"&gt;="&amp;DATE(Controls!$B$5,7,1),Nominal_Activity!$G$2:$G$3000,"&lt;="&amp;EOMONTH(DATE(Controls!$B$5,7,1),0),Nominal_Activity!$A$2:$A$3000,Controls!$B$7))</f>
        <v>-</v>
      </c>
      <c r="N57" s="68" t="str">
        <f aca="false">IF(8&gt;Controls!$B$11,"-",SUMIFS(Nominal_Activity!$M$2:$M$3000,Nominal_Activity!$C$2:$C$3000,$A57,Nominal_Activity!$G$2:$G$3000,"&gt;="&amp;DATE(Controls!$B$5,8,1),Nominal_Activity!$G$2:$G$3000,"&lt;="&amp;EOMONTH(DATE(Controls!$B$5,8,1),0),Nominal_Activity!$A$2:$A$3000,Controls!$B$7))</f>
        <v>-</v>
      </c>
      <c r="O57" s="68" t="str">
        <f aca="false">IF(9&gt;Controls!$B$11,"-",SUMIFS(Nominal_Activity!$M$2:$M$3000,Nominal_Activity!$C$2:$C$3000,$A57,Nominal_Activity!$G$2:$G$3000,"&gt;="&amp;DATE(Controls!$B$5,9,1),Nominal_Activity!$G$2:$G$3000,"&lt;="&amp;EOMONTH(DATE(Controls!$B$5,9,1),0),Nominal_Activity!$A$2:$A$3000,Controls!$B$7))</f>
        <v>-</v>
      </c>
      <c r="P57" s="68" t="str">
        <f aca="false">IF(10&gt;Controls!$B$11,"-",SUMIFS(Nominal_Activity!$M$2:$M$3000,Nominal_Activity!$C$2:$C$3000,$A57,Nominal_Activity!$G$2:$G$3000,"&gt;="&amp;DATE(Controls!$B$5,10,1),Nominal_Activity!$G$2:$G$3000,"&lt;="&amp;EOMONTH(DATE(Controls!$B$5,10,1),0),Nominal_Activity!$A$2:$A$3000,Controls!$B$7))</f>
        <v>-</v>
      </c>
      <c r="Q57" s="68" t="str">
        <f aca="false">IF(11&gt;Controls!$B$11,"-",SUMIFS(Nominal_Activity!$M$2:$M$3000,Nominal_Activity!$C$2:$C$3000,$A57,Nominal_Activity!$G$2:$G$3000,"&gt;="&amp;DATE(Controls!$B$5,11,1),Nominal_Activity!$G$2:$G$3000,"&lt;="&amp;EOMONTH(DATE(Controls!$B$5,11,1),0),Nominal_Activity!$A$2:$A$3000,Controls!$B$7))</f>
        <v>-</v>
      </c>
      <c r="R57" s="68" t="str">
        <f aca="false">IF(12&gt;Controls!$B$11,"-",SUMIFS(Nominal_Activity!$M$2:$M$3000,Nominal_Activity!$C$2:$C$3000,$A57,Nominal_Activity!$G$2:$G$3000,"&gt;="&amp;DATE(Controls!$B$5,12,1),Nominal_Activity!$G$2:$G$3000,"&lt;="&amp;EOMONTH(DATE(Controls!$B$5,12,1),0),Nominal_Activity!$A$2:$A$3000,Controls!$B$7))</f>
        <v>-</v>
      </c>
      <c r="S57" s="68" t="n">
        <f aca="false">SUM(G57:R57)</f>
        <v>5465.2</v>
      </c>
      <c r="T57" s="68" t="n">
        <f aca="false">$F57-$S57</f>
        <v>2534.8</v>
      </c>
      <c r="U57" s="77" t="n">
        <f aca="false">IFERROR($T57/$F57,0)</f>
        <v>0.31685</v>
      </c>
      <c r="V57" s="68" t="n">
        <f aca="false">$S57*MM_FixedCost!G56</f>
        <v>1366.3</v>
      </c>
      <c r="W57" s="68" t="n">
        <f aca="false">$S57-$V57</f>
        <v>4098.9</v>
      </c>
      <c r="X57" s="135"/>
      <c r="Y57" s="136" t="n">
        <f aca="false">SUM($G57:$I57)</f>
        <v>2792.2</v>
      </c>
      <c r="Z57" s="136" t="n">
        <f aca="false">$Y57*MM_FixedCost!$G56</f>
        <v>698.05</v>
      </c>
      <c r="AA57" s="136" t="n">
        <f aca="false">SUM($J57:$L57)</f>
        <v>2673</v>
      </c>
      <c r="AB57" s="136" t="n">
        <f aca="false">$AA57*MM_FixedCost!$G56</f>
        <v>668.25</v>
      </c>
      <c r="AC57" s="136" t="n">
        <f aca="false">SUM($M57:$O57)</f>
        <v>0</v>
      </c>
      <c r="AD57" s="136" t="n">
        <f aca="false">$AC57*MM_FixedCost!$G56</f>
        <v>0</v>
      </c>
      <c r="AE57" s="136" t="n">
        <f aca="false">SUM($P57:$R57)</f>
        <v>0</v>
      </c>
      <c r="AF57" s="136" t="n">
        <f aca="false">$AE57*MM_FixedCost!$G56</f>
        <v>0</v>
      </c>
      <c r="AG57" s="136" t="n">
        <f aca="false">CHOOSE(VALUE(MID(Controls!$B$6,2,1)),$Z57,$AB57,$AD57,$AF57)</f>
        <v>668.25</v>
      </c>
    </row>
    <row r="58" customFormat="false" ht="13.5" hidden="false" customHeight="false" outlineLevel="0" collapsed="false">
      <c r="A58" s="67" t="n">
        <f aca="false">MM_FixedCost!A57</f>
        <v>7720</v>
      </c>
      <c r="B58" s="67" t="str">
        <f aca="false">MM_FixedCost!B57</f>
        <v>IT Support</v>
      </c>
      <c r="C58" s="67" t="str">
        <f aca="false">MM_FixedCost!C57</f>
        <v>IT and Data</v>
      </c>
      <c r="D58" s="67" t="str">
        <f aca="false">MM_FixedCost!E57</f>
        <v>Core</v>
      </c>
      <c r="E58" s="68" t="n">
        <f aca="false">MM_FixedCost!F57</f>
        <v>0</v>
      </c>
      <c r="F58" s="68" t="n">
        <f aca="false">$E58/12*Controls!$B$11</f>
        <v>0</v>
      </c>
      <c r="G58" s="68" t="n">
        <f aca="false">IF(1&gt;Controls!$B$11,"-",SUMIFS(Nominal_Activity!$M$2:$M$3000,Nominal_Activity!$C$2:$C$3000,$A58,Nominal_Activity!$G$2:$G$3000,"&gt;="&amp;DATE(Controls!$B$5,1,1),Nominal_Activity!$G$2:$G$3000,"&lt;="&amp;EOMONTH(DATE(Controls!$B$5,1,1),0),Nominal_Activity!$A$2:$A$3000,Controls!$B$7))</f>
        <v>0</v>
      </c>
      <c r="H58" s="68" t="n">
        <f aca="false">IF(2&gt;Controls!$B$11,"-",SUMIFS(Nominal_Activity!$M$2:$M$3000,Nominal_Activity!$C$2:$C$3000,$A58,Nominal_Activity!$G$2:$G$3000,"&gt;="&amp;DATE(Controls!$B$5,2,1),Nominal_Activity!$G$2:$G$3000,"&lt;="&amp;EOMONTH(DATE(Controls!$B$5,2,1),0),Nominal_Activity!$A$2:$A$3000,Controls!$B$7))</f>
        <v>0</v>
      </c>
      <c r="I58" s="68" t="n">
        <f aca="false">IF(3&gt;Controls!$B$11,"-",SUMIFS(Nominal_Activity!$M$2:$M$3000,Nominal_Activity!$C$2:$C$3000,$A58,Nominal_Activity!$G$2:$G$3000,"&gt;="&amp;DATE(Controls!$B$5,3,1),Nominal_Activity!$G$2:$G$3000,"&lt;="&amp;EOMONTH(DATE(Controls!$B$5,3,1),0),Nominal_Activity!$A$2:$A$3000,Controls!$B$7))</f>
        <v>0</v>
      </c>
      <c r="J58" s="68" t="n">
        <f aca="false">IF(4&gt;Controls!$B$11,"-",SUMIFS(Nominal_Activity!$M$2:$M$3000,Nominal_Activity!$C$2:$C$3000,$A58,Nominal_Activity!$G$2:$G$3000,"&gt;="&amp;DATE(Controls!$B$5,4,1),Nominal_Activity!$G$2:$G$3000,"&lt;="&amp;EOMONTH(DATE(Controls!$B$5,4,1),0),Nominal_Activity!$A$2:$A$3000,Controls!$B$7))</f>
        <v>0</v>
      </c>
      <c r="K58" s="68" t="n">
        <f aca="false">IF(5&gt;Controls!$B$11,"-",SUMIFS(Nominal_Activity!$M$2:$M$3000,Nominal_Activity!$C$2:$C$3000,$A58,Nominal_Activity!$G$2:$G$3000,"&gt;="&amp;DATE(Controls!$B$5,5,1),Nominal_Activity!$G$2:$G$3000,"&lt;="&amp;EOMONTH(DATE(Controls!$B$5,5,1),0),Nominal_Activity!$A$2:$A$3000,Controls!$B$7))</f>
        <v>0</v>
      </c>
      <c r="L58" s="68" t="n">
        <f aca="false">IF(6&gt;Controls!$B$11,"-",SUMIFS(Nominal_Activity!$M$2:$M$3000,Nominal_Activity!$C$2:$C$3000,$A58,Nominal_Activity!$G$2:$G$3000,"&gt;="&amp;DATE(Controls!$B$5,6,1),Nominal_Activity!$G$2:$G$3000,"&lt;="&amp;EOMONTH(DATE(Controls!$B$5,6,1),0),Nominal_Activity!$A$2:$A$3000,Controls!$B$7))</f>
        <v>0</v>
      </c>
      <c r="M58" s="68" t="str">
        <f aca="false">IF(7&gt;Controls!$B$11,"-",SUMIFS(Nominal_Activity!$M$2:$M$3000,Nominal_Activity!$C$2:$C$3000,$A58,Nominal_Activity!$G$2:$G$3000,"&gt;="&amp;DATE(Controls!$B$5,7,1),Nominal_Activity!$G$2:$G$3000,"&lt;="&amp;EOMONTH(DATE(Controls!$B$5,7,1),0),Nominal_Activity!$A$2:$A$3000,Controls!$B$7))</f>
        <v>-</v>
      </c>
      <c r="N58" s="68" t="str">
        <f aca="false">IF(8&gt;Controls!$B$11,"-",SUMIFS(Nominal_Activity!$M$2:$M$3000,Nominal_Activity!$C$2:$C$3000,$A58,Nominal_Activity!$G$2:$G$3000,"&gt;="&amp;DATE(Controls!$B$5,8,1),Nominal_Activity!$G$2:$G$3000,"&lt;="&amp;EOMONTH(DATE(Controls!$B$5,8,1),0),Nominal_Activity!$A$2:$A$3000,Controls!$B$7))</f>
        <v>-</v>
      </c>
      <c r="O58" s="68" t="str">
        <f aca="false">IF(9&gt;Controls!$B$11,"-",SUMIFS(Nominal_Activity!$M$2:$M$3000,Nominal_Activity!$C$2:$C$3000,$A58,Nominal_Activity!$G$2:$G$3000,"&gt;="&amp;DATE(Controls!$B$5,9,1),Nominal_Activity!$G$2:$G$3000,"&lt;="&amp;EOMONTH(DATE(Controls!$B$5,9,1),0),Nominal_Activity!$A$2:$A$3000,Controls!$B$7))</f>
        <v>-</v>
      </c>
      <c r="P58" s="68" t="str">
        <f aca="false">IF(10&gt;Controls!$B$11,"-",SUMIFS(Nominal_Activity!$M$2:$M$3000,Nominal_Activity!$C$2:$C$3000,$A58,Nominal_Activity!$G$2:$G$3000,"&gt;="&amp;DATE(Controls!$B$5,10,1),Nominal_Activity!$G$2:$G$3000,"&lt;="&amp;EOMONTH(DATE(Controls!$B$5,10,1),0),Nominal_Activity!$A$2:$A$3000,Controls!$B$7))</f>
        <v>-</v>
      </c>
      <c r="Q58" s="68" t="str">
        <f aca="false">IF(11&gt;Controls!$B$11,"-",SUMIFS(Nominal_Activity!$M$2:$M$3000,Nominal_Activity!$C$2:$C$3000,$A58,Nominal_Activity!$G$2:$G$3000,"&gt;="&amp;DATE(Controls!$B$5,11,1),Nominal_Activity!$G$2:$G$3000,"&lt;="&amp;EOMONTH(DATE(Controls!$B$5,11,1),0),Nominal_Activity!$A$2:$A$3000,Controls!$B$7))</f>
        <v>-</v>
      </c>
      <c r="R58" s="68" t="str">
        <f aca="false">IF(12&gt;Controls!$B$11,"-",SUMIFS(Nominal_Activity!$M$2:$M$3000,Nominal_Activity!$C$2:$C$3000,$A58,Nominal_Activity!$G$2:$G$3000,"&gt;="&amp;DATE(Controls!$B$5,12,1),Nominal_Activity!$G$2:$G$3000,"&lt;="&amp;EOMONTH(DATE(Controls!$B$5,12,1),0),Nominal_Activity!$A$2:$A$3000,Controls!$B$7))</f>
        <v>-</v>
      </c>
      <c r="S58" s="68" t="n">
        <f aca="false">SUM(G58:R58)</f>
        <v>0</v>
      </c>
      <c r="T58" s="68" t="n">
        <f aca="false">$F58-$S58</f>
        <v>0</v>
      </c>
      <c r="U58" s="77" t="n">
        <f aca="false">IFERROR($T58/$F58,0)</f>
        <v>0</v>
      </c>
      <c r="V58" s="68" t="n">
        <f aca="false">$S58*MM_FixedCost!G57</f>
        <v>0</v>
      </c>
      <c r="W58" s="68" t="n">
        <f aca="false">$S58-$V58</f>
        <v>0</v>
      </c>
      <c r="X58" s="135"/>
      <c r="Y58" s="136" t="n">
        <f aca="false">SUM($G58:$I58)</f>
        <v>0</v>
      </c>
      <c r="Z58" s="136" t="n">
        <f aca="false">$Y58*MM_FixedCost!$G57</f>
        <v>0</v>
      </c>
      <c r="AA58" s="136" t="n">
        <f aca="false">SUM($J58:$L58)</f>
        <v>0</v>
      </c>
      <c r="AB58" s="136" t="n">
        <f aca="false">$AA58*MM_FixedCost!$G57</f>
        <v>0</v>
      </c>
      <c r="AC58" s="136" t="n">
        <f aca="false">SUM($M58:$O58)</f>
        <v>0</v>
      </c>
      <c r="AD58" s="136" t="n">
        <f aca="false">$AC58*MM_FixedCost!$G57</f>
        <v>0</v>
      </c>
      <c r="AE58" s="136" t="n">
        <f aca="false">SUM($P58:$R58)</f>
        <v>0</v>
      </c>
      <c r="AF58" s="136" t="n">
        <f aca="false">$AE58*MM_FixedCost!$G57</f>
        <v>0</v>
      </c>
      <c r="AG58" s="136" t="n">
        <f aca="false">CHOOSE(VALUE(MID(Controls!$B$6,2,1)),$Z58,$AB58,$AD58,$AF58)</f>
        <v>0</v>
      </c>
    </row>
    <row r="59" customFormat="false" ht="13.5" hidden="false" customHeight="false" outlineLevel="0" collapsed="false">
      <c r="A59" s="67" t="n">
        <f aca="false">MM_FixedCost!A58</f>
        <v>7721</v>
      </c>
      <c r="B59" s="67" t="str">
        <f aca="false">MM_FixedCost!B58</f>
        <v>IT Support - Group purchase</v>
      </c>
      <c r="C59" s="67" t="str">
        <f aca="false">MM_FixedCost!C58</f>
        <v>IT and Data</v>
      </c>
      <c r="D59" s="67" t="str">
        <f aca="false">MM_FixedCost!E58</f>
        <v>Core</v>
      </c>
      <c r="E59" s="68" t="n">
        <f aca="false">MM_FixedCost!F58</f>
        <v>0</v>
      </c>
      <c r="F59" s="68" t="n">
        <f aca="false">$E59/12*Controls!$B$11</f>
        <v>0</v>
      </c>
      <c r="G59" s="68" t="n">
        <f aca="false">IF(1&gt;Controls!$B$11,"-",SUMIFS(Nominal_Activity!$M$2:$M$3000,Nominal_Activity!$C$2:$C$3000,$A59,Nominal_Activity!$G$2:$G$3000,"&gt;="&amp;DATE(Controls!$B$5,1,1),Nominal_Activity!$G$2:$G$3000,"&lt;="&amp;EOMONTH(DATE(Controls!$B$5,1,1),0),Nominal_Activity!$A$2:$A$3000,Controls!$B$7))</f>
        <v>0</v>
      </c>
      <c r="H59" s="68" t="n">
        <f aca="false">IF(2&gt;Controls!$B$11,"-",SUMIFS(Nominal_Activity!$M$2:$M$3000,Nominal_Activity!$C$2:$C$3000,$A59,Nominal_Activity!$G$2:$G$3000,"&gt;="&amp;DATE(Controls!$B$5,2,1),Nominal_Activity!$G$2:$G$3000,"&lt;="&amp;EOMONTH(DATE(Controls!$B$5,2,1),0),Nominal_Activity!$A$2:$A$3000,Controls!$B$7))</f>
        <v>0</v>
      </c>
      <c r="I59" s="68" t="n">
        <f aca="false">IF(3&gt;Controls!$B$11,"-",SUMIFS(Nominal_Activity!$M$2:$M$3000,Nominal_Activity!$C$2:$C$3000,$A59,Nominal_Activity!$G$2:$G$3000,"&gt;="&amp;DATE(Controls!$B$5,3,1),Nominal_Activity!$G$2:$G$3000,"&lt;="&amp;EOMONTH(DATE(Controls!$B$5,3,1),0),Nominal_Activity!$A$2:$A$3000,Controls!$B$7))</f>
        <v>0</v>
      </c>
      <c r="J59" s="68" t="n">
        <f aca="false">IF(4&gt;Controls!$B$11,"-",SUMIFS(Nominal_Activity!$M$2:$M$3000,Nominal_Activity!$C$2:$C$3000,$A59,Nominal_Activity!$G$2:$G$3000,"&gt;="&amp;DATE(Controls!$B$5,4,1),Nominal_Activity!$G$2:$G$3000,"&lt;="&amp;EOMONTH(DATE(Controls!$B$5,4,1),0),Nominal_Activity!$A$2:$A$3000,Controls!$B$7))</f>
        <v>0</v>
      </c>
      <c r="K59" s="68" t="n">
        <f aca="false">IF(5&gt;Controls!$B$11,"-",SUMIFS(Nominal_Activity!$M$2:$M$3000,Nominal_Activity!$C$2:$C$3000,$A59,Nominal_Activity!$G$2:$G$3000,"&gt;="&amp;DATE(Controls!$B$5,5,1),Nominal_Activity!$G$2:$G$3000,"&lt;="&amp;EOMONTH(DATE(Controls!$B$5,5,1),0),Nominal_Activity!$A$2:$A$3000,Controls!$B$7))</f>
        <v>0</v>
      </c>
      <c r="L59" s="68" t="n">
        <f aca="false">IF(6&gt;Controls!$B$11,"-",SUMIFS(Nominal_Activity!$M$2:$M$3000,Nominal_Activity!$C$2:$C$3000,$A59,Nominal_Activity!$G$2:$G$3000,"&gt;="&amp;DATE(Controls!$B$5,6,1),Nominal_Activity!$G$2:$G$3000,"&lt;="&amp;EOMONTH(DATE(Controls!$B$5,6,1),0),Nominal_Activity!$A$2:$A$3000,Controls!$B$7))</f>
        <v>0</v>
      </c>
      <c r="M59" s="68" t="str">
        <f aca="false">IF(7&gt;Controls!$B$11,"-",SUMIFS(Nominal_Activity!$M$2:$M$3000,Nominal_Activity!$C$2:$C$3000,$A59,Nominal_Activity!$G$2:$G$3000,"&gt;="&amp;DATE(Controls!$B$5,7,1),Nominal_Activity!$G$2:$G$3000,"&lt;="&amp;EOMONTH(DATE(Controls!$B$5,7,1),0),Nominal_Activity!$A$2:$A$3000,Controls!$B$7))</f>
        <v>-</v>
      </c>
      <c r="N59" s="68" t="str">
        <f aca="false">IF(8&gt;Controls!$B$11,"-",SUMIFS(Nominal_Activity!$M$2:$M$3000,Nominal_Activity!$C$2:$C$3000,$A59,Nominal_Activity!$G$2:$G$3000,"&gt;="&amp;DATE(Controls!$B$5,8,1),Nominal_Activity!$G$2:$G$3000,"&lt;="&amp;EOMONTH(DATE(Controls!$B$5,8,1),0),Nominal_Activity!$A$2:$A$3000,Controls!$B$7))</f>
        <v>-</v>
      </c>
      <c r="O59" s="68" t="str">
        <f aca="false">IF(9&gt;Controls!$B$11,"-",SUMIFS(Nominal_Activity!$M$2:$M$3000,Nominal_Activity!$C$2:$C$3000,$A59,Nominal_Activity!$G$2:$G$3000,"&gt;="&amp;DATE(Controls!$B$5,9,1),Nominal_Activity!$G$2:$G$3000,"&lt;="&amp;EOMONTH(DATE(Controls!$B$5,9,1),0),Nominal_Activity!$A$2:$A$3000,Controls!$B$7))</f>
        <v>-</v>
      </c>
      <c r="P59" s="68" t="str">
        <f aca="false">IF(10&gt;Controls!$B$11,"-",SUMIFS(Nominal_Activity!$M$2:$M$3000,Nominal_Activity!$C$2:$C$3000,$A59,Nominal_Activity!$G$2:$G$3000,"&gt;="&amp;DATE(Controls!$B$5,10,1),Nominal_Activity!$G$2:$G$3000,"&lt;="&amp;EOMONTH(DATE(Controls!$B$5,10,1),0),Nominal_Activity!$A$2:$A$3000,Controls!$B$7))</f>
        <v>-</v>
      </c>
      <c r="Q59" s="68" t="str">
        <f aca="false">IF(11&gt;Controls!$B$11,"-",SUMIFS(Nominal_Activity!$M$2:$M$3000,Nominal_Activity!$C$2:$C$3000,$A59,Nominal_Activity!$G$2:$G$3000,"&gt;="&amp;DATE(Controls!$B$5,11,1),Nominal_Activity!$G$2:$G$3000,"&lt;="&amp;EOMONTH(DATE(Controls!$B$5,11,1),0),Nominal_Activity!$A$2:$A$3000,Controls!$B$7))</f>
        <v>-</v>
      </c>
      <c r="R59" s="68" t="str">
        <f aca="false">IF(12&gt;Controls!$B$11,"-",SUMIFS(Nominal_Activity!$M$2:$M$3000,Nominal_Activity!$C$2:$C$3000,$A59,Nominal_Activity!$G$2:$G$3000,"&gt;="&amp;DATE(Controls!$B$5,12,1),Nominal_Activity!$G$2:$G$3000,"&lt;="&amp;EOMONTH(DATE(Controls!$B$5,12,1),0),Nominal_Activity!$A$2:$A$3000,Controls!$B$7))</f>
        <v>-</v>
      </c>
      <c r="S59" s="68" t="n">
        <f aca="false">SUM(G59:R59)</f>
        <v>0</v>
      </c>
      <c r="T59" s="68" t="n">
        <f aca="false">$F59-$S59</f>
        <v>0</v>
      </c>
      <c r="U59" s="77" t="n">
        <f aca="false">IFERROR($T59/$F59,0)</f>
        <v>0</v>
      </c>
      <c r="V59" s="68" t="n">
        <f aca="false">$S59*MM_FixedCost!G58</f>
        <v>0</v>
      </c>
      <c r="W59" s="68" t="n">
        <f aca="false">$S59-$V59</f>
        <v>0</v>
      </c>
      <c r="X59" s="135"/>
      <c r="Y59" s="136" t="n">
        <f aca="false">SUM($G59:$I59)</f>
        <v>0</v>
      </c>
      <c r="Z59" s="136" t="n">
        <f aca="false">$Y59*MM_FixedCost!$G58</f>
        <v>0</v>
      </c>
      <c r="AA59" s="136" t="n">
        <f aca="false">SUM($J59:$L59)</f>
        <v>0</v>
      </c>
      <c r="AB59" s="136" t="n">
        <f aca="false">$AA59*MM_FixedCost!$G58</f>
        <v>0</v>
      </c>
      <c r="AC59" s="136" t="n">
        <f aca="false">SUM($M59:$O59)</f>
        <v>0</v>
      </c>
      <c r="AD59" s="136" t="n">
        <f aca="false">$AC59*MM_FixedCost!$G58</f>
        <v>0</v>
      </c>
      <c r="AE59" s="136" t="n">
        <f aca="false">SUM($P59:$R59)</f>
        <v>0</v>
      </c>
      <c r="AF59" s="136" t="n">
        <f aca="false">$AE59*MM_FixedCost!$G58</f>
        <v>0</v>
      </c>
      <c r="AG59" s="136" t="n">
        <f aca="false">CHOOSE(VALUE(MID(Controls!$B$6,2,1)),$Z59,$AB59,$AD59,$AF59)</f>
        <v>0</v>
      </c>
    </row>
    <row r="60" customFormat="false" ht="13.5" hidden="false" customHeight="false" outlineLevel="0" collapsed="false">
      <c r="A60" s="67" t="n">
        <f aca="false">MM_FixedCost!A59</f>
        <v>7730</v>
      </c>
      <c r="B60" s="67" t="str">
        <f aca="false">MM_FixedCost!B59</f>
        <v>IT Support - Accounting System</v>
      </c>
      <c r="C60" s="67" t="str">
        <f aca="false">MM_FixedCost!C59</f>
        <v>IT and Data</v>
      </c>
      <c r="D60" s="67" t="str">
        <f aca="false">MM_FixedCost!E59</f>
        <v>Core</v>
      </c>
      <c r="E60" s="68" t="n">
        <f aca="false">MM_FixedCost!F59</f>
        <v>86640</v>
      </c>
      <c r="F60" s="68" t="n">
        <f aca="false">$E60/12*Controls!$B$11</f>
        <v>43320</v>
      </c>
      <c r="G60" s="68" t="n">
        <f aca="false">IF(1&gt;Controls!$B$11,"-",SUMIFS(Nominal_Activity!$M$2:$M$3000,Nominal_Activity!$C$2:$C$3000,$A60,Nominal_Activity!$G$2:$G$3000,"&gt;="&amp;DATE(Controls!$B$5,1,1),Nominal_Activity!$G$2:$G$3000,"&lt;="&amp;EOMONTH(DATE(Controls!$B$5,1,1),0),Nominal_Activity!$A$2:$A$3000,Controls!$B$7))</f>
        <v>0</v>
      </c>
      <c r="H60" s="68" t="n">
        <f aca="false">IF(2&gt;Controls!$B$11,"-",SUMIFS(Nominal_Activity!$M$2:$M$3000,Nominal_Activity!$C$2:$C$3000,$A60,Nominal_Activity!$G$2:$G$3000,"&gt;="&amp;DATE(Controls!$B$5,2,1),Nominal_Activity!$G$2:$G$3000,"&lt;="&amp;EOMONTH(DATE(Controls!$B$5,2,1),0),Nominal_Activity!$A$2:$A$3000,Controls!$B$7))</f>
        <v>0</v>
      </c>
      <c r="I60" s="68" t="n">
        <f aca="false">IF(3&gt;Controls!$B$11,"-",SUMIFS(Nominal_Activity!$M$2:$M$3000,Nominal_Activity!$C$2:$C$3000,$A60,Nominal_Activity!$G$2:$G$3000,"&gt;="&amp;DATE(Controls!$B$5,3,1),Nominal_Activity!$G$2:$G$3000,"&lt;="&amp;EOMONTH(DATE(Controls!$B$5,3,1),0),Nominal_Activity!$A$2:$A$3000,Controls!$B$7))</f>
        <v>10851.72</v>
      </c>
      <c r="J60" s="68" t="n">
        <f aca="false">IF(4&gt;Controls!$B$11,"-",SUMIFS(Nominal_Activity!$M$2:$M$3000,Nominal_Activity!$C$2:$C$3000,$A60,Nominal_Activity!$G$2:$G$3000,"&gt;="&amp;DATE(Controls!$B$5,4,1),Nominal_Activity!$G$2:$G$3000,"&lt;="&amp;EOMONTH(DATE(Controls!$B$5,4,1),0),Nominal_Activity!$A$2:$A$3000,Controls!$B$7))</f>
        <v>0</v>
      </c>
      <c r="K60" s="68" t="n">
        <f aca="false">IF(5&gt;Controls!$B$11,"-",SUMIFS(Nominal_Activity!$M$2:$M$3000,Nominal_Activity!$C$2:$C$3000,$A60,Nominal_Activity!$G$2:$G$3000,"&gt;="&amp;DATE(Controls!$B$5,5,1),Nominal_Activity!$G$2:$G$3000,"&lt;="&amp;EOMONTH(DATE(Controls!$B$5,5,1),0),Nominal_Activity!$A$2:$A$3000,Controls!$B$7))</f>
        <v>0</v>
      </c>
      <c r="L60" s="68" t="n">
        <f aca="false">IF(6&gt;Controls!$B$11,"-",SUMIFS(Nominal_Activity!$M$2:$M$3000,Nominal_Activity!$C$2:$C$3000,$A60,Nominal_Activity!$G$2:$G$3000,"&gt;="&amp;DATE(Controls!$B$5,6,1),Nominal_Activity!$G$2:$G$3000,"&lt;="&amp;EOMONTH(DATE(Controls!$B$5,6,1),0),Nominal_Activity!$A$2:$A$3000,Controls!$B$7))</f>
        <v>11701.14</v>
      </c>
      <c r="M60" s="68" t="str">
        <f aca="false">IF(7&gt;Controls!$B$11,"-",SUMIFS(Nominal_Activity!$M$2:$M$3000,Nominal_Activity!$C$2:$C$3000,$A60,Nominal_Activity!$G$2:$G$3000,"&gt;="&amp;DATE(Controls!$B$5,7,1),Nominal_Activity!$G$2:$G$3000,"&lt;="&amp;EOMONTH(DATE(Controls!$B$5,7,1),0),Nominal_Activity!$A$2:$A$3000,Controls!$B$7))</f>
        <v>-</v>
      </c>
      <c r="N60" s="68" t="str">
        <f aca="false">IF(8&gt;Controls!$B$11,"-",SUMIFS(Nominal_Activity!$M$2:$M$3000,Nominal_Activity!$C$2:$C$3000,$A60,Nominal_Activity!$G$2:$G$3000,"&gt;="&amp;DATE(Controls!$B$5,8,1),Nominal_Activity!$G$2:$G$3000,"&lt;="&amp;EOMONTH(DATE(Controls!$B$5,8,1),0),Nominal_Activity!$A$2:$A$3000,Controls!$B$7))</f>
        <v>-</v>
      </c>
      <c r="O60" s="68" t="str">
        <f aca="false">IF(9&gt;Controls!$B$11,"-",SUMIFS(Nominal_Activity!$M$2:$M$3000,Nominal_Activity!$C$2:$C$3000,$A60,Nominal_Activity!$G$2:$G$3000,"&gt;="&amp;DATE(Controls!$B$5,9,1),Nominal_Activity!$G$2:$G$3000,"&lt;="&amp;EOMONTH(DATE(Controls!$B$5,9,1),0),Nominal_Activity!$A$2:$A$3000,Controls!$B$7))</f>
        <v>-</v>
      </c>
      <c r="P60" s="68" t="str">
        <f aca="false">IF(10&gt;Controls!$B$11,"-",SUMIFS(Nominal_Activity!$M$2:$M$3000,Nominal_Activity!$C$2:$C$3000,$A60,Nominal_Activity!$G$2:$G$3000,"&gt;="&amp;DATE(Controls!$B$5,10,1),Nominal_Activity!$G$2:$G$3000,"&lt;="&amp;EOMONTH(DATE(Controls!$B$5,10,1),0),Nominal_Activity!$A$2:$A$3000,Controls!$B$7))</f>
        <v>-</v>
      </c>
      <c r="Q60" s="68" t="str">
        <f aca="false">IF(11&gt;Controls!$B$11,"-",SUMIFS(Nominal_Activity!$M$2:$M$3000,Nominal_Activity!$C$2:$C$3000,$A60,Nominal_Activity!$G$2:$G$3000,"&gt;="&amp;DATE(Controls!$B$5,11,1),Nominal_Activity!$G$2:$G$3000,"&lt;="&amp;EOMONTH(DATE(Controls!$B$5,11,1),0),Nominal_Activity!$A$2:$A$3000,Controls!$B$7))</f>
        <v>-</v>
      </c>
      <c r="R60" s="68" t="str">
        <f aca="false">IF(12&gt;Controls!$B$11,"-",SUMIFS(Nominal_Activity!$M$2:$M$3000,Nominal_Activity!$C$2:$C$3000,$A60,Nominal_Activity!$G$2:$G$3000,"&gt;="&amp;DATE(Controls!$B$5,12,1),Nominal_Activity!$G$2:$G$3000,"&lt;="&amp;EOMONTH(DATE(Controls!$B$5,12,1),0),Nominal_Activity!$A$2:$A$3000,Controls!$B$7))</f>
        <v>-</v>
      </c>
      <c r="S60" s="68" t="n">
        <f aca="false">SUM(G60:R60)</f>
        <v>22552.86</v>
      </c>
      <c r="T60" s="68" t="n">
        <f aca="false">$F60-$S60</f>
        <v>20767.14</v>
      </c>
      <c r="U60" s="77" t="n">
        <f aca="false">IFERROR($T60/$F60,0)</f>
        <v>0.4793891966759</v>
      </c>
      <c r="V60" s="68" t="n">
        <f aca="false">$S60*MM_FixedCost!G59</f>
        <v>5638.215</v>
      </c>
      <c r="W60" s="68" t="n">
        <f aca="false">$S60-$V60</f>
        <v>16914.645</v>
      </c>
      <c r="X60" s="135"/>
      <c r="Y60" s="136" t="n">
        <f aca="false">SUM($G60:$I60)</f>
        <v>10851.72</v>
      </c>
      <c r="Z60" s="136" t="n">
        <f aca="false">$Y60*MM_FixedCost!$G59</f>
        <v>2712.93</v>
      </c>
      <c r="AA60" s="136" t="n">
        <f aca="false">SUM($J60:$L60)</f>
        <v>11701.14</v>
      </c>
      <c r="AB60" s="136" t="n">
        <f aca="false">$AA60*MM_FixedCost!$G59</f>
        <v>2925.285</v>
      </c>
      <c r="AC60" s="136" t="n">
        <f aca="false">SUM($M60:$O60)</f>
        <v>0</v>
      </c>
      <c r="AD60" s="136" t="n">
        <f aca="false">$AC60*MM_FixedCost!$G59</f>
        <v>0</v>
      </c>
      <c r="AE60" s="136" t="n">
        <f aca="false">SUM($P60:$R60)</f>
        <v>0</v>
      </c>
      <c r="AF60" s="136" t="n">
        <f aca="false">$AE60*MM_FixedCost!$G59</f>
        <v>0</v>
      </c>
      <c r="AG60" s="136" t="n">
        <f aca="false">CHOOSE(VALUE(MID(Controls!$B$6,2,1)),$Z60,$AB60,$AD60,$AF60)</f>
        <v>2925.285</v>
      </c>
    </row>
    <row r="61" customFormat="false" ht="13.5" hidden="false" customHeight="false" outlineLevel="0" collapsed="false">
      <c r="A61" s="67" t="n">
        <f aca="false">MM_FixedCost!A60</f>
        <v>7740</v>
      </c>
      <c r="B61" s="67" t="str">
        <f aca="false">MM_FixedCost!B60</f>
        <v>IT Support - Websites</v>
      </c>
      <c r="C61" s="67" t="str">
        <f aca="false">MM_FixedCost!C60</f>
        <v>IT and Data</v>
      </c>
      <c r="D61" s="67" t="str">
        <f aca="false">MM_FixedCost!E60</f>
        <v>Core</v>
      </c>
      <c r="E61" s="68" t="n">
        <f aca="false">MM_FixedCost!F60</f>
        <v>0</v>
      </c>
      <c r="F61" s="68" t="n">
        <f aca="false">$E61/12*Controls!$B$11</f>
        <v>0</v>
      </c>
      <c r="G61" s="68" t="n">
        <f aca="false">IF(1&gt;Controls!$B$11,"-",SUMIFS(Nominal_Activity!$M$2:$M$3000,Nominal_Activity!$C$2:$C$3000,$A61,Nominal_Activity!$G$2:$G$3000,"&gt;="&amp;DATE(Controls!$B$5,1,1),Nominal_Activity!$G$2:$G$3000,"&lt;="&amp;EOMONTH(DATE(Controls!$B$5,1,1),0),Nominal_Activity!$A$2:$A$3000,Controls!$B$7))</f>
        <v>0</v>
      </c>
      <c r="H61" s="68" t="n">
        <f aca="false">IF(2&gt;Controls!$B$11,"-",SUMIFS(Nominal_Activity!$M$2:$M$3000,Nominal_Activity!$C$2:$C$3000,$A61,Nominal_Activity!$G$2:$G$3000,"&gt;="&amp;DATE(Controls!$B$5,2,1),Nominal_Activity!$G$2:$G$3000,"&lt;="&amp;EOMONTH(DATE(Controls!$B$5,2,1),0),Nominal_Activity!$A$2:$A$3000,Controls!$B$7))</f>
        <v>0</v>
      </c>
      <c r="I61" s="68" t="n">
        <f aca="false">IF(3&gt;Controls!$B$11,"-",SUMIFS(Nominal_Activity!$M$2:$M$3000,Nominal_Activity!$C$2:$C$3000,$A61,Nominal_Activity!$G$2:$G$3000,"&gt;="&amp;DATE(Controls!$B$5,3,1),Nominal_Activity!$G$2:$G$3000,"&lt;="&amp;EOMONTH(DATE(Controls!$B$5,3,1),0),Nominal_Activity!$A$2:$A$3000,Controls!$B$7))</f>
        <v>0</v>
      </c>
      <c r="J61" s="68" t="n">
        <f aca="false">IF(4&gt;Controls!$B$11,"-",SUMIFS(Nominal_Activity!$M$2:$M$3000,Nominal_Activity!$C$2:$C$3000,$A61,Nominal_Activity!$G$2:$G$3000,"&gt;="&amp;DATE(Controls!$B$5,4,1),Nominal_Activity!$G$2:$G$3000,"&lt;="&amp;EOMONTH(DATE(Controls!$B$5,4,1),0),Nominal_Activity!$A$2:$A$3000,Controls!$B$7))</f>
        <v>0</v>
      </c>
      <c r="K61" s="68" t="n">
        <f aca="false">IF(5&gt;Controls!$B$11,"-",SUMIFS(Nominal_Activity!$M$2:$M$3000,Nominal_Activity!$C$2:$C$3000,$A61,Nominal_Activity!$G$2:$G$3000,"&gt;="&amp;DATE(Controls!$B$5,5,1),Nominal_Activity!$G$2:$G$3000,"&lt;="&amp;EOMONTH(DATE(Controls!$B$5,5,1),0),Nominal_Activity!$A$2:$A$3000,Controls!$B$7))</f>
        <v>0</v>
      </c>
      <c r="L61" s="68" t="n">
        <f aca="false">IF(6&gt;Controls!$B$11,"-",SUMIFS(Nominal_Activity!$M$2:$M$3000,Nominal_Activity!$C$2:$C$3000,$A61,Nominal_Activity!$G$2:$G$3000,"&gt;="&amp;DATE(Controls!$B$5,6,1),Nominal_Activity!$G$2:$G$3000,"&lt;="&amp;EOMONTH(DATE(Controls!$B$5,6,1),0),Nominal_Activity!$A$2:$A$3000,Controls!$B$7))</f>
        <v>3536.35</v>
      </c>
      <c r="M61" s="68" t="str">
        <f aca="false">IF(7&gt;Controls!$B$11,"-",SUMIFS(Nominal_Activity!$M$2:$M$3000,Nominal_Activity!$C$2:$C$3000,$A61,Nominal_Activity!$G$2:$G$3000,"&gt;="&amp;DATE(Controls!$B$5,7,1),Nominal_Activity!$G$2:$G$3000,"&lt;="&amp;EOMONTH(DATE(Controls!$B$5,7,1),0),Nominal_Activity!$A$2:$A$3000,Controls!$B$7))</f>
        <v>-</v>
      </c>
      <c r="N61" s="68" t="str">
        <f aca="false">IF(8&gt;Controls!$B$11,"-",SUMIFS(Nominal_Activity!$M$2:$M$3000,Nominal_Activity!$C$2:$C$3000,$A61,Nominal_Activity!$G$2:$G$3000,"&gt;="&amp;DATE(Controls!$B$5,8,1),Nominal_Activity!$G$2:$G$3000,"&lt;="&amp;EOMONTH(DATE(Controls!$B$5,8,1),0),Nominal_Activity!$A$2:$A$3000,Controls!$B$7))</f>
        <v>-</v>
      </c>
      <c r="O61" s="68" t="str">
        <f aca="false">IF(9&gt;Controls!$B$11,"-",SUMIFS(Nominal_Activity!$M$2:$M$3000,Nominal_Activity!$C$2:$C$3000,$A61,Nominal_Activity!$G$2:$G$3000,"&gt;="&amp;DATE(Controls!$B$5,9,1),Nominal_Activity!$G$2:$G$3000,"&lt;="&amp;EOMONTH(DATE(Controls!$B$5,9,1),0),Nominal_Activity!$A$2:$A$3000,Controls!$B$7))</f>
        <v>-</v>
      </c>
      <c r="P61" s="68" t="str">
        <f aca="false">IF(10&gt;Controls!$B$11,"-",SUMIFS(Nominal_Activity!$M$2:$M$3000,Nominal_Activity!$C$2:$C$3000,$A61,Nominal_Activity!$G$2:$G$3000,"&gt;="&amp;DATE(Controls!$B$5,10,1),Nominal_Activity!$G$2:$G$3000,"&lt;="&amp;EOMONTH(DATE(Controls!$B$5,10,1),0),Nominal_Activity!$A$2:$A$3000,Controls!$B$7))</f>
        <v>-</v>
      </c>
      <c r="Q61" s="68" t="str">
        <f aca="false">IF(11&gt;Controls!$B$11,"-",SUMIFS(Nominal_Activity!$M$2:$M$3000,Nominal_Activity!$C$2:$C$3000,$A61,Nominal_Activity!$G$2:$G$3000,"&gt;="&amp;DATE(Controls!$B$5,11,1),Nominal_Activity!$G$2:$G$3000,"&lt;="&amp;EOMONTH(DATE(Controls!$B$5,11,1),0),Nominal_Activity!$A$2:$A$3000,Controls!$B$7))</f>
        <v>-</v>
      </c>
      <c r="R61" s="68" t="str">
        <f aca="false">IF(12&gt;Controls!$B$11,"-",SUMIFS(Nominal_Activity!$M$2:$M$3000,Nominal_Activity!$C$2:$C$3000,$A61,Nominal_Activity!$G$2:$G$3000,"&gt;="&amp;DATE(Controls!$B$5,12,1),Nominal_Activity!$G$2:$G$3000,"&lt;="&amp;EOMONTH(DATE(Controls!$B$5,12,1),0),Nominal_Activity!$A$2:$A$3000,Controls!$B$7))</f>
        <v>-</v>
      </c>
      <c r="S61" s="68" t="n">
        <f aca="false">SUM(G61:R61)</f>
        <v>3536.35</v>
      </c>
      <c r="T61" s="68" t="n">
        <f aca="false">$F61-$S61</f>
        <v>-3536.35</v>
      </c>
      <c r="U61" s="77" t="n">
        <f aca="false">IFERROR($T61/$F61,0)</f>
        <v>0</v>
      </c>
      <c r="V61" s="68" t="n">
        <f aca="false">$S61*MM_FixedCost!G60</f>
        <v>0</v>
      </c>
      <c r="W61" s="68" t="n">
        <f aca="false">$S61-$V61</f>
        <v>3536.35</v>
      </c>
      <c r="X61" s="135"/>
      <c r="Y61" s="136" t="n">
        <f aca="false">SUM($G61:$I61)</f>
        <v>0</v>
      </c>
      <c r="Z61" s="136" t="n">
        <f aca="false">$Y61*MM_FixedCost!$G60</f>
        <v>0</v>
      </c>
      <c r="AA61" s="136" t="n">
        <f aca="false">SUM($J61:$L61)</f>
        <v>3536.35</v>
      </c>
      <c r="AB61" s="136" t="n">
        <f aca="false">$AA61*MM_FixedCost!$G60</f>
        <v>0</v>
      </c>
      <c r="AC61" s="136" t="n">
        <f aca="false">SUM($M61:$O61)</f>
        <v>0</v>
      </c>
      <c r="AD61" s="136" t="n">
        <f aca="false">$AC61*MM_FixedCost!$G60</f>
        <v>0</v>
      </c>
      <c r="AE61" s="136" t="n">
        <f aca="false">SUM($P61:$R61)</f>
        <v>0</v>
      </c>
      <c r="AF61" s="136" t="n">
        <f aca="false">$AE61*MM_FixedCost!$G60</f>
        <v>0</v>
      </c>
      <c r="AG61" s="136" t="n">
        <f aca="false">CHOOSE(VALUE(MID(Controls!$B$6,2,1)),$Z61,$AB61,$AD61,$AF61)</f>
        <v>0</v>
      </c>
    </row>
    <row r="62" customFormat="false" ht="13.5" hidden="false" customHeight="false" outlineLevel="0" collapsed="false">
      <c r="A62" s="67" t="n">
        <f aca="false">MM_FixedCost!A61</f>
        <v>7741</v>
      </c>
      <c r="B62" s="67" t="str">
        <f aca="false">MM_FixedCost!B61</f>
        <v>IT Support - Websites - Group Purchase</v>
      </c>
      <c r="C62" s="67" t="str">
        <f aca="false">MM_FixedCost!C61</f>
        <v>IT and Data</v>
      </c>
      <c r="D62" s="67" t="str">
        <f aca="false">MM_FixedCost!E61</f>
        <v>Core</v>
      </c>
      <c r="E62" s="68" t="n">
        <f aca="false">MM_FixedCost!F61</f>
        <v>0</v>
      </c>
      <c r="F62" s="68" t="n">
        <f aca="false">$E62/12*Controls!$B$11</f>
        <v>0</v>
      </c>
      <c r="G62" s="68" t="n">
        <f aca="false">IF(1&gt;Controls!$B$11,"-",SUMIFS(Nominal_Activity!$M$2:$M$3000,Nominal_Activity!$C$2:$C$3000,$A62,Nominal_Activity!$G$2:$G$3000,"&gt;="&amp;DATE(Controls!$B$5,1,1),Nominal_Activity!$G$2:$G$3000,"&lt;="&amp;EOMONTH(DATE(Controls!$B$5,1,1),0),Nominal_Activity!$A$2:$A$3000,Controls!$B$7))</f>
        <v>0</v>
      </c>
      <c r="H62" s="68" t="n">
        <f aca="false">IF(2&gt;Controls!$B$11,"-",SUMIFS(Nominal_Activity!$M$2:$M$3000,Nominal_Activity!$C$2:$C$3000,$A62,Nominal_Activity!$G$2:$G$3000,"&gt;="&amp;DATE(Controls!$B$5,2,1),Nominal_Activity!$G$2:$G$3000,"&lt;="&amp;EOMONTH(DATE(Controls!$B$5,2,1),0),Nominal_Activity!$A$2:$A$3000,Controls!$B$7))</f>
        <v>0</v>
      </c>
      <c r="I62" s="68" t="n">
        <f aca="false">IF(3&gt;Controls!$B$11,"-",SUMIFS(Nominal_Activity!$M$2:$M$3000,Nominal_Activity!$C$2:$C$3000,$A62,Nominal_Activity!$G$2:$G$3000,"&gt;="&amp;DATE(Controls!$B$5,3,1),Nominal_Activity!$G$2:$G$3000,"&lt;="&amp;EOMONTH(DATE(Controls!$B$5,3,1),0),Nominal_Activity!$A$2:$A$3000,Controls!$B$7))</f>
        <v>0</v>
      </c>
      <c r="J62" s="68" t="n">
        <f aca="false">IF(4&gt;Controls!$B$11,"-",SUMIFS(Nominal_Activity!$M$2:$M$3000,Nominal_Activity!$C$2:$C$3000,$A62,Nominal_Activity!$G$2:$G$3000,"&gt;="&amp;DATE(Controls!$B$5,4,1),Nominal_Activity!$G$2:$G$3000,"&lt;="&amp;EOMONTH(DATE(Controls!$B$5,4,1),0),Nominal_Activity!$A$2:$A$3000,Controls!$B$7))</f>
        <v>0</v>
      </c>
      <c r="K62" s="68" t="n">
        <f aca="false">IF(5&gt;Controls!$B$11,"-",SUMIFS(Nominal_Activity!$M$2:$M$3000,Nominal_Activity!$C$2:$C$3000,$A62,Nominal_Activity!$G$2:$G$3000,"&gt;="&amp;DATE(Controls!$B$5,5,1),Nominal_Activity!$G$2:$G$3000,"&lt;="&amp;EOMONTH(DATE(Controls!$B$5,5,1),0),Nominal_Activity!$A$2:$A$3000,Controls!$B$7))</f>
        <v>0</v>
      </c>
      <c r="L62" s="68" t="n">
        <f aca="false">IF(6&gt;Controls!$B$11,"-",SUMIFS(Nominal_Activity!$M$2:$M$3000,Nominal_Activity!$C$2:$C$3000,$A62,Nominal_Activity!$G$2:$G$3000,"&gt;="&amp;DATE(Controls!$B$5,6,1),Nominal_Activity!$G$2:$G$3000,"&lt;="&amp;EOMONTH(DATE(Controls!$B$5,6,1),0),Nominal_Activity!$A$2:$A$3000,Controls!$B$7))</f>
        <v>0</v>
      </c>
      <c r="M62" s="68" t="str">
        <f aca="false">IF(7&gt;Controls!$B$11,"-",SUMIFS(Nominal_Activity!$M$2:$M$3000,Nominal_Activity!$C$2:$C$3000,$A62,Nominal_Activity!$G$2:$G$3000,"&gt;="&amp;DATE(Controls!$B$5,7,1),Nominal_Activity!$G$2:$G$3000,"&lt;="&amp;EOMONTH(DATE(Controls!$B$5,7,1),0),Nominal_Activity!$A$2:$A$3000,Controls!$B$7))</f>
        <v>-</v>
      </c>
      <c r="N62" s="68" t="str">
        <f aca="false">IF(8&gt;Controls!$B$11,"-",SUMIFS(Nominal_Activity!$M$2:$M$3000,Nominal_Activity!$C$2:$C$3000,$A62,Nominal_Activity!$G$2:$G$3000,"&gt;="&amp;DATE(Controls!$B$5,8,1),Nominal_Activity!$G$2:$G$3000,"&lt;="&amp;EOMONTH(DATE(Controls!$B$5,8,1),0),Nominal_Activity!$A$2:$A$3000,Controls!$B$7))</f>
        <v>-</v>
      </c>
      <c r="O62" s="68" t="str">
        <f aca="false">IF(9&gt;Controls!$B$11,"-",SUMIFS(Nominal_Activity!$M$2:$M$3000,Nominal_Activity!$C$2:$C$3000,$A62,Nominal_Activity!$G$2:$G$3000,"&gt;="&amp;DATE(Controls!$B$5,9,1),Nominal_Activity!$G$2:$G$3000,"&lt;="&amp;EOMONTH(DATE(Controls!$B$5,9,1),0),Nominal_Activity!$A$2:$A$3000,Controls!$B$7))</f>
        <v>-</v>
      </c>
      <c r="P62" s="68" t="str">
        <f aca="false">IF(10&gt;Controls!$B$11,"-",SUMIFS(Nominal_Activity!$M$2:$M$3000,Nominal_Activity!$C$2:$C$3000,$A62,Nominal_Activity!$G$2:$G$3000,"&gt;="&amp;DATE(Controls!$B$5,10,1),Nominal_Activity!$G$2:$G$3000,"&lt;="&amp;EOMONTH(DATE(Controls!$B$5,10,1),0),Nominal_Activity!$A$2:$A$3000,Controls!$B$7))</f>
        <v>-</v>
      </c>
      <c r="Q62" s="68" t="str">
        <f aca="false">IF(11&gt;Controls!$B$11,"-",SUMIFS(Nominal_Activity!$M$2:$M$3000,Nominal_Activity!$C$2:$C$3000,$A62,Nominal_Activity!$G$2:$G$3000,"&gt;="&amp;DATE(Controls!$B$5,11,1),Nominal_Activity!$G$2:$G$3000,"&lt;="&amp;EOMONTH(DATE(Controls!$B$5,11,1),0),Nominal_Activity!$A$2:$A$3000,Controls!$B$7))</f>
        <v>-</v>
      </c>
      <c r="R62" s="68" t="str">
        <f aca="false">IF(12&gt;Controls!$B$11,"-",SUMIFS(Nominal_Activity!$M$2:$M$3000,Nominal_Activity!$C$2:$C$3000,$A62,Nominal_Activity!$G$2:$G$3000,"&gt;="&amp;DATE(Controls!$B$5,12,1),Nominal_Activity!$G$2:$G$3000,"&lt;="&amp;EOMONTH(DATE(Controls!$B$5,12,1),0),Nominal_Activity!$A$2:$A$3000,Controls!$B$7))</f>
        <v>-</v>
      </c>
      <c r="S62" s="68" t="n">
        <f aca="false">SUM(G62:R62)</f>
        <v>0</v>
      </c>
      <c r="T62" s="68" t="n">
        <f aca="false">$F62-$S62</f>
        <v>0</v>
      </c>
      <c r="U62" s="77" t="n">
        <f aca="false">IFERROR($T62/$F62,0)</f>
        <v>0</v>
      </c>
      <c r="V62" s="68" t="n">
        <f aca="false">$S62*MM_FixedCost!G61</f>
        <v>0</v>
      </c>
      <c r="W62" s="68" t="n">
        <f aca="false">$S62-$V62</f>
        <v>0</v>
      </c>
      <c r="X62" s="135"/>
      <c r="Y62" s="136" t="n">
        <f aca="false">SUM($G62:$I62)</f>
        <v>0</v>
      </c>
      <c r="Z62" s="136" t="n">
        <f aca="false">$Y62*MM_FixedCost!$G61</f>
        <v>0</v>
      </c>
      <c r="AA62" s="136" t="n">
        <f aca="false">SUM($J62:$L62)</f>
        <v>0</v>
      </c>
      <c r="AB62" s="136" t="n">
        <f aca="false">$AA62*MM_FixedCost!$G61</f>
        <v>0</v>
      </c>
      <c r="AC62" s="136" t="n">
        <f aca="false">SUM($M62:$O62)</f>
        <v>0</v>
      </c>
      <c r="AD62" s="136" t="n">
        <f aca="false">$AC62*MM_FixedCost!$G61</f>
        <v>0</v>
      </c>
      <c r="AE62" s="136" t="n">
        <f aca="false">SUM($P62:$R62)</f>
        <v>0</v>
      </c>
      <c r="AF62" s="136" t="n">
        <f aca="false">$AE62*MM_FixedCost!$G61</f>
        <v>0</v>
      </c>
      <c r="AG62" s="136" t="n">
        <f aca="false">CHOOSE(VALUE(MID(Controls!$B$6,2,1)),$Z62,$AB62,$AD62,$AF62)</f>
        <v>0</v>
      </c>
    </row>
    <row r="63" customFormat="false" ht="13.5" hidden="false" customHeight="false" outlineLevel="0" collapsed="false">
      <c r="A63" s="67" t="n">
        <f aca="false">MM_FixedCost!A62</f>
        <v>7750</v>
      </c>
      <c r="B63" s="67" t="str">
        <f aca="false">MM_FixedCost!B62</f>
        <v>IT Support - Internet</v>
      </c>
      <c r="C63" s="67" t="str">
        <f aca="false">MM_FixedCost!C62</f>
        <v>IT and Data</v>
      </c>
      <c r="D63" s="67" t="str">
        <f aca="false">MM_FixedCost!E62</f>
        <v>Core</v>
      </c>
      <c r="E63" s="68" t="n">
        <f aca="false">MM_FixedCost!F62</f>
        <v>48549</v>
      </c>
      <c r="F63" s="68" t="n">
        <f aca="false">$E63/12*Controls!$B$11</f>
        <v>24274.5</v>
      </c>
      <c r="G63" s="68" t="n">
        <f aca="false">IF(1&gt;Controls!$B$11,"-",SUMIFS(Nominal_Activity!$M$2:$M$3000,Nominal_Activity!$C$2:$C$3000,$A63,Nominal_Activity!$G$2:$G$3000,"&gt;="&amp;DATE(Controls!$B$5,1,1),Nominal_Activity!$G$2:$G$3000,"&lt;="&amp;EOMONTH(DATE(Controls!$B$5,1,1),0),Nominal_Activity!$A$2:$A$3000,Controls!$B$7))</f>
        <v>0</v>
      </c>
      <c r="H63" s="68" t="n">
        <f aca="false">IF(2&gt;Controls!$B$11,"-",SUMIFS(Nominal_Activity!$M$2:$M$3000,Nominal_Activity!$C$2:$C$3000,$A63,Nominal_Activity!$G$2:$G$3000,"&gt;="&amp;DATE(Controls!$B$5,2,1),Nominal_Activity!$G$2:$G$3000,"&lt;="&amp;EOMONTH(DATE(Controls!$B$5,2,1),0),Nominal_Activity!$A$2:$A$3000,Controls!$B$7))</f>
        <v>10087.54</v>
      </c>
      <c r="I63" s="68" t="n">
        <f aca="false">IF(3&gt;Controls!$B$11,"-",SUMIFS(Nominal_Activity!$M$2:$M$3000,Nominal_Activity!$C$2:$C$3000,$A63,Nominal_Activity!$G$2:$G$3000,"&gt;="&amp;DATE(Controls!$B$5,3,1),Nominal_Activity!$G$2:$G$3000,"&lt;="&amp;EOMONTH(DATE(Controls!$B$5,3,1),0),Nominal_Activity!$A$2:$A$3000,Controls!$B$7))</f>
        <v>78.67</v>
      </c>
      <c r="J63" s="68" t="n">
        <f aca="false">IF(4&gt;Controls!$B$11,"-",SUMIFS(Nominal_Activity!$M$2:$M$3000,Nominal_Activity!$C$2:$C$3000,$A63,Nominal_Activity!$G$2:$G$3000,"&gt;="&amp;DATE(Controls!$B$5,4,1),Nominal_Activity!$G$2:$G$3000,"&lt;="&amp;EOMONTH(DATE(Controls!$B$5,4,1),0),Nominal_Activity!$A$2:$A$3000,Controls!$B$7))</f>
        <v>1078.68</v>
      </c>
      <c r="K63" s="68" t="n">
        <f aca="false">IF(5&gt;Controls!$B$11,"-",SUMIFS(Nominal_Activity!$M$2:$M$3000,Nominal_Activity!$C$2:$C$3000,$A63,Nominal_Activity!$G$2:$G$3000,"&gt;="&amp;DATE(Controls!$B$5,5,1),Nominal_Activity!$G$2:$G$3000,"&lt;="&amp;EOMONTH(DATE(Controls!$B$5,5,1),0),Nominal_Activity!$A$2:$A$3000,Controls!$B$7))</f>
        <v>10115.59</v>
      </c>
      <c r="L63" s="68" t="n">
        <f aca="false">IF(6&gt;Controls!$B$11,"-",SUMIFS(Nominal_Activity!$M$2:$M$3000,Nominal_Activity!$C$2:$C$3000,$A63,Nominal_Activity!$G$2:$G$3000,"&gt;="&amp;DATE(Controls!$B$5,6,1),Nominal_Activity!$G$2:$G$3000,"&lt;="&amp;EOMONTH(DATE(Controls!$B$5,6,1),0),Nominal_Activity!$A$2:$A$3000,Controls!$B$7))</f>
        <v>0</v>
      </c>
      <c r="M63" s="68" t="str">
        <f aca="false">IF(7&gt;Controls!$B$11,"-",SUMIFS(Nominal_Activity!$M$2:$M$3000,Nominal_Activity!$C$2:$C$3000,$A63,Nominal_Activity!$G$2:$G$3000,"&gt;="&amp;DATE(Controls!$B$5,7,1),Nominal_Activity!$G$2:$G$3000,"&lt;="&amp;EOMONTH(DATE(Controls!$B$5,7,1),0),Nominal_Activity!$A$2:$A$3000,Controls!$B$7))</f>
        <v>-</v>
      </c>
      <c r="N63" s="68" t="str">
        <f aca="false">IF(8&gt;Controls!$B$11,"-",SUMIFS(Nominal_Activity!$M$2:$M$3000,Nominal_Activity!$C$2:$C$3000,$A63,Nominal_Activity!$G$2:$G$3000,"&gt;="&amp;DATE(Controls!$B$5,8,1),Nominal_Activity!$G$2:$G$3000,"&lt;="&amp;EOMONTH(DATE(Controls!$B$5,8,1),0),Nominal_Activity!$A$2:$A$3000,Controls!$B$7))</f>
        <v>-</v>
      </c>
      <c r="O63" s="68" t="str">
        <f aca="false">IF(9&gt;Controls!$B$11,"-",SUMIFS(Nominal_Activity!$M$2:$M$3000,Nominal_Activity!$C$2:$C$3000,$A63,Nominal_Activity!$G$2:$G$3000,"&gt;="&amp;DATE(Controls!$B$5,9,1),Nominal_Activity!$G$2:$G$3000,"&lt;="&amp;EOMONTH(DATE(Controls!$B$5,9,1),0),Nominal_Activity!$A$2:$A$3000,Controls!$B$7))</f>
        <v>-</v>
      </c>
      <c r="P63" s="68" t="str">
        <f aca="false">IF(10&gt;Controls!$B$11,"-",SUMIFS(Nominal_Activity!$M$2:$M$3000,Nominal_Activity!$C$2:$C$3000,$A63,Nominal_Activity!$G$2:$G$3000,"&gt;="&amp;DATE(Controls!$B$5,10,1),Nominal_Activity!$G$2:$G$3000,"&lt;="&amp;EOMONTH(DATE(Controls!$B$5,10,1),0),Nominal_Activity!$A$2:$A$3000,Controls!$B$7))</f>
        <v>-</v>
      </c>
      <c r="Q63" s="68" t="str">
        <f aca="false">IF(11&gt;Controls!$B$11,"-",SUMIFS(Nominal_Activity!$M$2:$M$3000,Nominal_Activity!$C$2:$C$3000,$A63,Nominal_Activity!$G$2:$G$3000,"&gt;="&amp;DATE(Controls!$B$5,11,1),Nominal_Activity!$G$2:$G$3000,"&lt;="&amp;EOMONTH(DATE(Controls!$B$5,11,1),0),Nominal_Activity!$A$2:$A$3000,Controls!$B$7))</f>
        <v>-</v>
      </c>
      <c r="R63" s="68" t="str">
        <f aca="false">IF(12&gt;Controls!$B$11,"-",SUMIFS(Nominal_Activity!$M$2:$M$3000,Nominal_Activity!$C$2:$C$3000,$A63,Nominal_Activity!$G$2:$G$3000,"&gt;="&amp;DATE(Controls!$B$5,12,1),Nominal_Activity!$G$2:$G$3000,"&lt;="&amp;EOMONTH(DATE(Controls!$B$5,12,1),0),Nominal_Activity!$A$2:$A$3000,Controls!$B$7))</f>
        <v>-</v>
      </c>
      <c r="S63" s="68" t="n">
        <f aca="false">SUM(G63:R63)</f>
        <v>21360.48</v>
      </c>
      <c r="T63" s="68" t="n">
        <f aca="false">$F63-$S63</f>
        <v>2914.02</v>
      </c>
      <c r="U63" s="77" t="n">
        <f aca="false">IFERROR($T63/$F63,0)</f>
        <v>0.12004449113267</v>
      </c>
      <c r="V63" s="68" t="n">
        <f aca="false">$S63*MM_FixedCost!G62</f>
        <v>5340.12</v>
      </c>
      <c r="W63" s="68" t="n">
        <f aca="false">$S63-$V63</f>
        <v>16020.36</v>
      </c>
      <c r="X63" s="135"/>
      <c r="Y63" s="136" t="n">
        <f aca="false">SUM($G63:$I63)</f>
        <v>10166.21</v>
      </c>
      <c r="Z63" s="136" t="n">
        <f aca="false">$Y63*MM_FixedCost!$G62</f>
        <v>2541.5525</v>
      </c>
      <c r="AA63" s="136" t="n">
        <f aca="false">SUM($J63:$L63)</f>
        <v>11194.27</v>
      </c>
      <c r="AB63" s="136" t="n">
        <f aca="false">$AA63*MM_FixedCost!$G62</f>
        <v>2798.5675</v>
      </c>
      <c r="AC63" s="136" t="n">
        <f aca="false">SUM($M63:$O63)</f>
        <v>0</v>
      </c>
      <c r="AD63" s="136" t="n">
        <f aca="false">$AC63*MM_FixedCost!$G62</f>
        <v>0</v>
      </c>
      <c r="AE63" s="136" t="n">
        <f aca="false">SUM($P63:$R63)</f>
        <v>0</v>
      </c>
      <c r="AF63" s="136" t="n">
        <f aca="false">$AE63*MM_FixedCost!$G62</f>
        <v>0</v>
      </c>
      <c r="AG63" s="136" t="n">
        <f aca="false">CHOOSE(VALUE(MID(Controls!$B$6,2,1)),$Z63,$AB63,$AD63,$AF63)</f>
        <v>2798.5675</v>
      </c>
    </row>
    <row r="64" customFormat="false" ht="13.5" hidden="false" customHeight="false" outlineLevel="0" collapsed="false">
      <c r="A64" s="67" t="n">
        <f aca="false">MM_FixedCost!A63</f>
        <v>7760</v>
      </c>
      <c r="B64" s="67" t="str">
        <f aca="false">MM_FixedCost!B63</f>
        <v>GIS / Data management</v>
      </c>
      <c r="C64" s="67" t="str">
        <f aca="false">MM_FixedCost!C63</f>
        <v>IT and Data</v>
      </c>
      <c r="D64" s="67" t="str">
        <f aca="false">MM_FixedCost!E63</f>
        <v>Core</v>
      </c>
      <c r="E64" s="68" t="n">
        <f aca="false">MM_FixedCost!F63</f>
        <v>0</v>
      </c>
      <c r="F64" s="68" t="n">
        <f aca="false">$E64/12*Controls!$B$11</f>
        <v>0</v>
      </c>
      <c r="G64" s="68" t="n">
        <f aca="false">IF(1&gt;Controls!$B$11,"-",SUMIFS(Nominal_Activity!$M$2:$M$3000,Nominal_Activity!$C$2:$C$3000,$A64,Nominal_Activity!$G$2:$G$3000,"&gt;="&amp;DATE(Controls!$B$5,1,1),Nominal_Activity!$G$2:$G$3000,"&lt;="&amp;EOMONTH(DATE(Controls!$B$5,1,1),0),Nominal_Activity!$A$2:$A$3000,Controls!$B$7))</f>
        <v>0</v>
      </c>
      <c r="H64" s="68" t="n">
        <f aca="false">IF(2&gt;Controls!$B$11,"-",SUMIFS(Nominal_Activity!$M$2:$M$3000,Nominal_Activity!$C$2:$C$3000,$A64,Nominal_Activity!$G$2:$G$3000,"&gt;="&amp;DATE(Controls!$B$5,2,1),Nominal_Activity!$G$2:$G$3000,"&lt;="&amp;EOMONTH(DATE(Controls!$B$5,2,1),0),Nominal_Activity!$A$2:$A$3000,Controls!$B$7))</f>
        <v>0</v>
      </c>
      <c r="I64" s="68" t="n">
        <f aca="false">IF(3&gt;Controls!$B$11,"-",SUMIFS(Nominal_Activity!$M$2:$M$3000,Nominal_Activity!$C$2:$C$3000,$A64,Nominal_Activity!$G$2:$G$3000,"&gt;="&amp;DATE(Controls!$B$5,3,1),Nominal_Activity!$G$2:$G$3000,"&lt;="&amp;EOMONTH(DATE(Controls!$B$5,3,1),0),Nominal_Activity!$A$2:$A$3000,Controls!$B$7))</f>
        <v>0</v>
      </c>
      <c r="J64" s="68" t="n">
        <f aca="false">IF(4&gt;Controls!$B$11,"-",SUMIFS(Nominal_Activity!$M$2:$M$3000,Nominal_Activity!$C$2:$C$3000,$A64,Nominal_Activity!$G$2:$G$3000,"&gt;="&amp;DATE(Controls!$B$5,4,1),Nominal_Activity!$G$2:$G$3000,"&lt;="&amp;EOMONTH(DATE(Controls!$B$5,4,1),0),Nominal_Activity!$A$2:$A$3000,Controls!$B$7))</f>
        <v>0</v>
      </c>
      <c r="K64" s="68" t="n">
        <f aca="false">IF(5&gt;Controls!$B$11,"-",SUMIFS(Nominal_Activity!$M$2:$M$3000,Nominal_Activity!$C$2:$C$3000,$A64,Nominal_Activity!$G$2:$G$3000,"&gt;="&amp;DATE(Controls!$B$5,5,1),Nominal_Activity!$G$2:$G$3000,"&lt;="&amp;EOMONTH(DATE(Controls!$B$5,5,1),0),Nominal_Activity!$A$2:$A$3000,Controls!$B$7))</f>
        <v>0</v>
      </c>
      <c r="L64" s="68" t="n">
        <f aca="false">IF(6&gt;Controls!$B$11,"-",SUMIFS(Nominal_Activity!$M$2:$M$3000,Nominal_Activity!$C$2:$C$3000,$A64,Nominal_Activity!$G$2:$G$3000,"&gt;="&amp;DATE(Controls!$B$5,6,1),Nominal_Activity!$G$2:$G$3000,"&lt;="&amp;EOMONTH(DATE(Controls!$B$5,6,1),0),Nominal_Activity!$A$2:$A$3000,Controls!$B$7))</f>
        <v>4853.81</v>
      </c>
      <c r="M64" s="68" t="str">
        <f aca="false">IF(7&gt;Controls!$B$11,"-",SUMIFS(Nominal_Activity!$M$2:$M$3000,Nominal_Activity!$C$2:$C$3000,$A64,Nominal_Activity!$G$2:$G$3000,"&gt;="&amp;DATE(Controls!$B$5,7,1),Nominal_Activity!$G$2:$G$3000,"&lt;="&amp;EOMONTH(DATE(Controls!$B$5,7,1),0),Nominal_Activity!$A$2:$A$3000,Controls!$B$7))</f>
        <v>-</v>
      </c>
      <c r="N64" s="68" t="str">
        <f aca="false">IF(8&gt;Controls!$B$11,"-",SUMIFS(Nominal_Activity!$M$2:$M$3000,Nominal_Activity!$C$2:$C$3000,$A64,Nominal_Activity!$G$2:$G$3000,"&gt;="&amp;DATE(Controls!$B$5,8,1),Nominal_Activity!$G$2:$G$3000,"&lt;="&amp;EOMONTH(DATE(Controls!$B$5,8,1),0),Nominal_Activity!$A$2:$A$3000,Controls!$B$7))</f>
        <v>-</v>
      </c>
      <c r="O64" s="68" t="str">
        <f aca="false">IF(9&gt;Controls!$B$11,"-",SUMIFS(Nominal_Activity!$M$2:$M$3000,Nominal_Activity!$C$2:$C$3000,$A64,Nominal_Activity!$G$2:$G$3000,"&gt;="&amp;DATE(Controls!$B$5,9,1),Nominal_Activity!$G$2:$G$3000,"&lt;="&amp;EOMONTH(DATE(Controls!$B$5,9,1),0),Nominal_Activity!$A$2:$A$3000,Controls!$B$7))</f>
        <v>-</v>
      </c>
      <c r="P64" s="68" t="str">
        <f aca="false">IF(10&gt;Controls!$B$11,"-",SUMIFS(Nominal_Activity!$M$2:$M$3000,Nominal_Activity!$C$2:$C$3000,$A64,Nominal_Activity!$G$2:$G$3000,"&gt;="&amp;DATE(Controls!$B$5,10,1),Nominal_Activity!$G$2:$G$3000,"&lt;="&amp;EOMONTH(DATE(Controls!$B$5,10,1),0),Nominal_Activity!$A$2:$A$3000,Controls!$B$7))</f>
        <v>-</v>
      </c>
      <c r="Q64" s="68" t="str">
        <f aca="false">IF(11&gt;Controls!$B$11,"-",SUMIFS(Nominal_Activity!$M$2:$M$3000,Nominal_Activity!$C$2:$C$3000,$A64,Nominal_Activity!$G$2:$G$3000,"&gt;="&amp;DATE(Controls!$B$5,11,1),Nominal_Activity!$G$2:$G$3000,"&lt;="&amp;EOMONTH(DATE(Controls!$B$5,11,1),0),Nominal_Activity!$A$2:$A$3000,Controls!$B$7))</f>
        <v>-</v>
      </c>
      <c r="R64" s="68" t="str">
        <f aca="false">IF(12&gt;Controls!$B$11,"-",SUMIFS(Nominal_Activity!$M$2:$M$3000,Nominal_Activity!$C$2:$C$3000,$A64,Nominal_Activity!$G$2:$G$3000,"&gt;="&amp;DATE(Controls!$B$5,12,1),Nominal_Activity!$G$2:$G$3000,"&lt;="&amp;EOMONTH(DATE(Controls!$B$5,12,1),0),Nominal_Activity!$A$2:$A$3000,Controls!$B$7))</f>
        <v>-</v>
      </c>
      <c r="S64" s="68" t="n">
        <f aca="false">SUM(G64:R64)</f>
        <v>4853.81</v>
      </c>
      <c r="T64" s="68" t="n">
        <f aca="false">$F64-$S64</f>
        <v>-4853.81</v>
      </c>
      <c r="U64" s="77" t="n">
        <f aca="false">IFERROR($T64/$F64,0)</f>
        <v>0</v>
      </c>
      <c r="V64" s="68" t="n">
        <f aca="false">$S64*MM_FixedCost!G63</f>
        <v>1213.4525</v>
      </c>
      <c r="W64" s="68" t="n">
        <f aca="false">$S64-$V64</f>
        <v>3640.3575</v>
      </c>
      <c r="X64" s="135"/>
      <c r="Y64" s="136" t="n">
        <f aca="false">SUM($G64:$I64)</f>
        <v>0</v>
      </c>
      <c r="Z64" s="136" t="n">
        <f aca="false">$Y64*MM_FixedCost!$G63</f>
        <v>0</v>
      </c>
      <c r="AA64" s="136" t="n">
        <f aca="false">SUM($J64:$L64)</f>
        <v>4853.81</v>
      </c>
      <c r="AB64" s="136" t="n">
        <f aca="false">$AA64*MM_FixedCost!$G63</f>
        <v>1213.4525</v>
      </c>
      <c r="AC64" s="136" t="n">
        <f aca="false">SUM($M64:$O64)</f>
        <v>0</v>
      </c>
      <c r="AD64" s="136" t="n">
        <f aca="false">$AC64*MM_FixedCost!$G63</f>
        <v>0</v>
      </c>
      <c r="AE64" s="136" t="n">
        <f aca="false">SUM($P64:$R64)</f>
        <v>0</v>
      </c>
      <c r="AF64" s="136" t="n">
        <f aca="false">$AE64*MM_FixedCost!$G63</f>
        <v>0</v>
      </c>
      <c r="AG64" s="136" t="n">
        <f aca="false">CHOOSE(VALUE(MID(Controls!$B$6,2,1)),$Z64,$AB64,$AD64,$AF64)</f>
        <v>1213.4525</v>
      </c>
    </row>
    <row r="65" customFormat="false" ht="13.5" hidden="false" customHeight="false" outlineLevel="0" collapsed="false">
      <c r="A65" s="67" t="n">
        <f aca="false">MM_FixedCost!A64</f>
        <v>7761</v>
      </c>
      <c r="B65" s="67" t="str">
        <f aca="false">MM_FixedCost!B64</f>
        <v>GIS / Data management - Group Purchase</v>
      </c>
      <c r="C65" s="67" t="str">
        <f aca="false">MM_FixedCost!C64</f>
        <v>IT and Data</v>
      </c>
      <c r="D65" s="67" t="str">
        <f aca="false">MM_FixedCost!E64</f>
        <v>Core</v>
      </c>
      <c r="E65" s="68" t="n">
        <f aca="false">MM_FixedCost!F64</f>
        <v>53953.86</v>
      </c>
      <c r="F65" s="68" t="n">
        <f aca="false">$E65/12*Controls!$B$11</f>
        <v>26976.93</v>
      </c>
      <c r="G65" s="68" t="n">
        <f aca="false">IF(1&gt;Controls!$B$11,"-",SUMIFS(Nominal_Activity!$M$2:$M$3000,Nominal_Activity!$C$2:$C$3000,$A65,Nominal_Activity!$G$2:$G$3000,"&gt;="&amp;DATE(Controls!$B$5,1,1),Nominal_Activity!$G$2:$G$3000,"&lt;="&amp;EOMONTH(DATE(Controls!$B$5,1,1),0),Nominal_Activity!$A$2:$A$3000,Controls!$B$7))</f>
        <v>0</v>
      </c>
      <c r="H65" s="68" t="n">
        <f aca="false">IF(2&gt;Controls!$B$11,"-",SUMIFS(Nominal_Activity!$M$2:$M$3000,Nominal_Activity!$C$2:$C$3000,$A65,Nominal_Activity!$G$2:$G$3000,"&gt;="&amp;DATE(Controls!$B$5,2,1),Nominal_Activity!$G$2:$G$3000,"&lt;="&amp;EOMONTH(DATE(Controls!$B$5,2,1),0),Nominal_Activity!$A$2:$A$3000,Controls!$B$7))</f>
        <v>0</v>
      </c>
      <c r="I65" s="68" t="n">
        <f aca="false">IF(3&gt;Controls!$B$11,"-",SUMIFS(Nominal_Activity!$M$2:$M$3000,Nominal_Activity!$C$2:$C$3000,$A65,Nominal_Activity!$G$2:$G$3000,"&gt;="&amp;DATE(Controls!$B$5,3,1),Nominal_Activity!$G$2:$G$3000,"&lt;="&amp;EOMONTH(DATE(Controls!$B$5,3,1),0),Nominal_Activity!$A$2:$A$3000,Controls!$B$7))</f>
        <v>0</v>
      </c>
      <c r="J65" s="68" t="n">
        <f aca="false">IF(4&gt;Controls!$B$11,"-",SUMIFS(Nominal_Activity!$M$2:$M$3000,Nominal_Activity!$C$2:$C$3000,$A65,Nominal_Activity!$G$2:$G$3000,"&gt;="&amp;DATE(Controls!$B$5,4,1),Nominal_Activity!$G$2:$G$3000,"&lt;="&amp;EOMONTH(DATE(Controls!$B$5,4,1),0),Nominal_Activity!$A$2:$A$3000,Controls!$B$7))</f>
        <v>0</v>
      </c>
      <c r="K65" s="68" t="n">
        <f aca="false">IF(5&gt;Controls!$B$11,"-",SUMIFS(Nominal_Activity!$M$2:$M$3000,Nominal_Activity!$C$2:$C$3000,$A65,Nominal_Activity!$G$2:$G$3000,"&gt;="&amp;DATE(Controls!$B$5,5,1),Nominal_Activity!$G$2:$G$3000,"&lt;="&amp;EOMONTH(DATE(Controls!$B$5,5,1),0),Nominal_Activity!$A$2:$A$3000,Controls!$B$7))</f>
        <v>0</v>
      </c>
      <c r="L65" s="68" t="n">
        <f aca="false">IF(6&gt;Controls!$B$11,"-",SUMIFS(Nominal_Activity!$M$2:$M$3000,Nominal_Activity!$C$2:$C$3000,$A65,Nominal_Activity!$G$2:$G$3000,"&gt;="&amp;DATE(Controls!$B$5,6,1),Nominal_Activity!$G$2:$G$3000,"&lt;="&amp;EOMONTH(DATE(Controls!$B$5,6,1),0),Nominal_Activity!$A$2:$A$3000,Controls!$B$7))</f>
        <v>0</v>
      </c>
      <c r="M65" s="68" t="str">
        <f aca="false">IF(7&gt;Controls!$B$11,"-",SUMIFS(Nominal_Activity!$M$2:$M$3000,Nominal_Activity!$C$2:$C$3000,$A65,Nominal_Activity!$G$2:$G$3000,"&gt;="&amp;DATE(Controls!$B$5,7,1),Nominal_Activity!$G$2:$G$3000,"&lt;="&amp;EOMONTH(DATE(Controls!$B$5,7,1),0),Nominal_Activity!$A$2:$A$3000,Controls!$B$7))</f>
        <v>-</v>
      </c>
      <c r="N65" s="68" t="str">
        <f aca="false">IF(8&gt;Controls!$B$11,"-",SUMIFS(Nominal_Activity!$M$2:$M$3000,Nominal_Activity!$C$2:$C$3000,$A65,Nominal_Activity!$G$2:$G$3000,"&gt;="&amp;DATE(Controls!$B$5,8,1),Nominal_Activity!$G$2:$G$3000,"&lt;="&amp;EOMONTH(DATE(Controls!$B$5,8,1),0),Nominal_Activity!$A$2:$A$3000,Controls!$B$7))</f>
        <v>-</v>
      </c>
      <c r="O65" s="68" t="str">
        <f aca="false">IF(9&gt;Controls!$B$11,"-",SUMIFS(Nominal_Activity!$M$2:$M$3000,Nominal_Activity!$C$2:$C$3000,$A65,Nominal_Activity!$G$2:$G$3000,"&gt;="&amp;DATE(Controls!$B$5,9,1),Nominal_Activity!$G$2:$G$3000,"&lt;="&amp;EOMONTH(DATE(Controls!$B$5,9,1),0),Nominal_Activity!$A$2:$A$3000,Controls!$B$7))</f>
        <v>-</v>
      </c>
      <c r="P65" s="68" t="str">
        <f aca="false">IF(10&gt;Controls!$B$11,"-",SUMIFS(Nominal_Activity!$M$2:$M$3000,Nominal_Activity!$C$2:$C$3000,$A65,Nominal_Activity!$G$2:$G$3000,"&gt;="&amp;DATE(Controls!$B$5,10,1),Nominal_Activity!$G$2:$G$3000,"&lt;="&amp;EOMONTH(DATE(Controls!$B$5,10,1),0),Nominal_Activity!$A$2:$A$3000,Controls!$B$7))</f>
        <v>-</v>
      </c>
      <c r="Q65" s="68" t="str">
        <f aca="false">IF(11&gt;Controls!$B$11,"-",SUMIFS(Nominal_Activity!$M$2:$M$3000,Nominal_Activity!$C$2:$C$3000,$A65,Nominal_Activity!$G$2:$G$3000,"&gt;="&amp;DATE(Controls!$B$5,11,1),Nominal_Activity!$G$2:$G$3000,"&lt;="&amp;EOMONTH(DATE(Controls!$B$5,11,1),0),Nominal_Activity!$A$2:$A$3000,Controls!$B$7))</f>
        <v>-</v>
      </c>
      <c r="R65" s="68" t="str">
        <f aca="false">IF(12&gt;Controls!$B$11,"-",SUMIFS(Nominal_Activity!$M$2:$M$3000,Nominal_Activity!$C$2:$C$3000,$A65,Nominal_Activity!$G$2:$G$3000,"&gt;="&amp;DATE(Controls!$B$5,12,1),Nominal_Activity!$G$2:$G$3000,"&lt;="&amp;EOMONTH(DATE(Controls!$B$5,12,1),0),Nominal_Activity!$A$2:$A$3000,Controls!$B$7))</f>
        <v>-</v>
      </c>
      <c r="S65" s="68" t="n">
        <f aca="false">SUM(G65:R65)</f>
        <v>0</v>
      </c>
      <c r="T65" s="68" t="n">
        <f aca="false">$F65-$S65</f>
        <v>26976.93</v>
      </c>
      <c r="U65" s="77" t="n">
        <f aca="false">IFERROR($T65/$F65,0)</f>
        <v>1</v>
      </c>
      <c r="V65" s="68" t="n">
        <f aca="false">$S65*MM_FixedCost!G64</f>
        <v>0</v>
      </c>
      <c r="W65" s="68" t="n">
        <f aca="false">$S65-$V65</f>
        <v>0</v>
      </c>
      <c r="X65" s="135"/>
      <c r="Y65" s="136" t="n">
        <f aca="false">SUM($G65:$I65)</f>
        <v>0</v>
      </c>
      <c r="Z65" s="136" t="n">
        <f aca="false">$Y65*MM_FixedCost!$G64</f>
        <v>0</v>
      </c>
      <c r="AA65" s="136" t="n">
        <f aca="false">SUM($J65:$L65)</f>
        <v>0</v>
      </c>
      <c r="AB65" s="136" t="n">
        <f aca="false">$AA65*MM_FixedCost!$G64</f>
        <v>0</v>
      </c>
      <c r="AC65" s="136" t="n">
        <f aca="false">SUM($M65:$O65)</f>
        <v>0</v>
      </c>
      <c r="AD65" s="136" t="n">
        <f aca="false">$AC65*MM_FixedCost!$G64</f>
        <v>0</v>
      </c>
      <c r="AE65" s="136" t="n">
        <f aca="false">SUM($P65:$R65)</f>
        <v>0</v>
      </c>
      <c r="AF65" s="136" t="n">
        <f aca="false">$AE65*MM_FixedCost!$G64</f>
        <v>0</v>
      </c>
      <c r="AG65" s="136" t="n">
        <f aca="false">CHOOSE(VALUE(MID(Controls!$B$6,2,1)),$Z65,$AB65,$AD65,$AF65)</f>
        <v>0</v>
      </c>
    </row>
    <row r="66" customFormat="false" ht="13.5" hidden="false" customHeight="false" outlineLevel="0" collapsed="false">
      <c r="A66" s="67" t="n">
        <f aca="false">MM_FixedCost!A65</f>
        <v>7770</v>
      </c>
      <c r="B66" s="67" t="str">
        <f aca="false">MM_FixedCost!B65</f>
        <v>Training LMS</v>
      </c>
      <c r="C66" s="67" t="str">
        <f aca="false">MM_FixedCost!C65</f>
        <v>Professional development and Training</v>
      </c>
      <c r="D66" s="67" t="str">
        <f aca="false">MM_FixedCost!E65</f>
        <v>Discretionary</v>
      </c>
      <c r="E66" s="68" t="n">
        <f aca="false">MM_FixedCost!F65</f>
        <v>0</v>
      </c>
      <c r="F66" s="68" t="n">
        <f aca="false">$E66/12*Controls!$B$11</f>
        <v>0</v>
      </c>
      <c r="G66" s="68" t="n">
        <f aca="false">IF(1&gt;Controls!$B$11,"-",SUMIFS(Nominal_Activity!$M$2:$M$3000,Nominal_Activity!$C$2:$C$3000,$A66,Nominal_Activity!$G$2:$G$3000,"&gt;="&amp;DATE(Controls!$B$5,1,1),Nominal_Activity!$G$2:$G$3000,"&lt;="&amp;EOMONTH(DATE(Controls!$B$5,1,1),0),Nominal_Activity!$A$2:$A$3000,Controls!$B$7))</f>
        <v>0</v>
      </c>
      <c r="H66" s="68" t="n">
        <f aca="false">IF(2&gt;Controls!$B$11,"-",SUMIFS(Nominal_Activity!$M$2:$M$3000,Nominal_Activity!$C$2:$C$3000,$A66,Nominal_Activity!$G$2:$G$3000,"&gt;="&amp;DATE(Controls!$B$5,2,1),Nominal_Activity!$G$2:$G$3000,"&lt;="&amp;EOMONTH(DATE(Controls!$B$5,2,1),0),Nominal_Activity!$A$2:$A$3000,Controls!$B$7))</f>
        <v>0</v>
      </c>
      <c r="I66" s="68" t="n">
        <f aca="false">IF(3&gt;Controls!$B$11,"-",SUMIFS(Nominal_Activity!$M$2:$M$3000,Nominal_Activity!$C$2:$C$3000,$A66,Nominal_Activity!$G$2:$G$3000,"&gt;="&amp;DATE(Controls!$B$5,3,1),Nominal_Activity!$G$2:$G$3000,"&lt;="&amp;EOMONTH(DATE(Controls!$B$5,3,1),0),Nominal_Activity!$A$2:$A$3000,Controls!$B$7))</f>
        <v>0</v>
      </c>
      <c r="J66" s="68" t="n">
        <f aca="false">IF(4&gt;Controls!$B$11,"-",SUMIFS(Nominal_Activity!$M$2:$M$3000,Nominal_Activity!$C$2:$C$3000,$A66,Nominal_Activity!$G$2:$G$3000,"&gt;="&amp;DATE(Controls!$B$5,4,1),Nominal_Activity!$G$2:$G$3000,"&lt;="&amp;EOMONTH(DATE(Controls!$B$5,4,1),0),Nominal_Activity!$A$2:$A$3000,Controls!$B$7))</f>
        <v>0</v>
      </c>
      <c r="K66" s="68" t="n">
        <f aca="false">IF(5&gt;Controls!$B$11,"-",SUMIFS(Nominal_Activity!$M$2:$M$3000,Nominal_Activity!$C$2:$C$3000,$A66,Nominal_Activity!$G$2:$G$3000,"&gt;="&amp;DATE(Controls!$B$5,5,1),Nominal_Activity!$G$2:$G$3000,"&lt;="&amp;EOMONTH(DATE(Controls!$B$5,5,1),0),Nominal_Activity!$A$2:$A$3000,Controls!$B$7))</f>
        <v>0</v>
      </c>
      <c r="L66" s="68" t="n">
        <f aca="false">IF(6&gt;Controls!$B$11,"-",SUMIFS(Nominal_Activity!$M$2:$M$3000,Nominal_Activity!$C$2:$C$3000,$A66,Nominal_Activity!$G$2:$G$3000,"&gt;="&amp;DATE(Controls!$B$5,6,1),Nominal_Activity!$G$2:$G$3000,"&lt;="&amp;EOMONTH(DATE(Controls!$B$5,6,1),0),Nominal_Activity!$A$2:$A$3000,Controls!$B$7))</f>
        <v>0</v>
      </c>
      <c r="M66" s="68" t="str">
        <f aca="false">IF(7&gt;Controls!$B$11,"-",SUMIFS(Nominal_Activity!$M$2:$M$3000,Nominal_Activity!$C$2:$C$3000,$A66,Nominal_Activity!$G$2:$G$3000,"&gt;="&amp;DATE(Controls!$B$5,7,1),Nominal_Activity!$G$2:$G$3000,"&lt;="&amp;EOMONTH(DATE(Controls!$B$5,7,1),0),Nominal_Activity!$A$2:$A$3000,Controls!$B$7))</f>
        <v>-</v>
      </c>
      <c r="N66" s="68" t="str">
        <f aca="false">IF(8&gt;Controls!$B$11,"-",SUMIFS(Nominal_Activity!$M$2:$M$3000,Nominal_Activity!$C$2:$C$3000,$A66,Nominal_Activity!$G$2:$G$3000,"&gt;="&amp;DATE(Controls!$B$5,8,1),Nominal_Activity!$G$2:$G$3000,"&lt;="&amp;EOMONTH(DATE(Controls!$B$5,8,1),0),Nominal_Activity!$A$2:$A$3000,Controls!$B$7))</f>
        <v>-</v>
      </c>
      <c r="O66" s="68" t="str">
        <f aca="false">IF(9&gt;Controls!$B$11,"-",SUMIFS(Nominal_Activity!$M$2:$M$3000,Nominal_Activity!$C$2:$C$3000,$A66,Nominal_Activity!$G$2:$G$3000,"&gt;="&amp;DATE(Controls!$B$5,9,1),Nominal_Activity!$G$2:$G$3000,"&lt;="&amp;EOMONTH(DATE(Controls!$B$5,9,1),0),Nominal_Activity!$A$2:$A$3000,Controls!$B$7))</f>
        <v>-</v>
      </c>
      <c r="P66" s="68" t="str">
        <f aca="false">IF(10&gt;Controls!$B$11,"-",SUMIFS(Nominal_Activity!$M$2:$M$3000,Nominal_Activity!$C$2:$C$3000,$A66,Nominal_Activity!$G$2:$G$3000,"&gt;="&amp;DATE(Controls!$B$5,10,1),Nominal_Activity!$G$2:$G$3000,"&lt;="&amp;EOMONTH(DATE(Controls!$B$5,10,1),0),Nominal_Activity!$A$2:$A$3000,Controls!$B$7))</f>
        <v>-</v>
      </c>
      <c r="Q66" s="68" t="str">
        <f aca="false">IF(11&gt;Controls!$B$11,"-",SUMIFS(Nominal_Activity!$M$2:$M$3000,Nominal_Activity!$C$2:$C$3000,$A66,Nominal_Activity!$G$2:$G$3000,"&gt;="&amp;DATE(Controls!$B$5,11,1),Nominal_Activity!$G$2:$G$3000,"&lt;="&amp;EOMONTH(DATE(Controls!$B$5,11,1),0),Nominal_Activity!$A$2:$A$3000,Controls!$B$7))</f>
        <v>-</v>
      </c>
      <c r="R66" s="68" t="str">
        <f aca="false">IF(12&gt;Controls!$B$11,"-",SUMIFS(Nominal_Activity!$M$2:$M$3000,Nominal_Activity!$C$2:$C$3000,$A66,Nominal_Activity!$G$2:$G$3000,"&gt;="&amp;DATE(Controls!$B$5,12,1),Nominal_Activity!$G$2:$G$3000,"&lt;="&amp;EOMONTH(DATE(Controls!$B$5,12,1),0),Nominal_Activity!$A$2:$A$3000,Controls!$B$7))</f>
        <v>-</v>
      </c>
      <c r="S66" s="68" t="n">
        <f aca="false">SUM(G66:R66)</f>
        <v>0</v>
      </c>
      <c r="T66" s="68" t="n">
        <f aca="false">$F66-$S66</f>
        <v>0</v>
      </c>
      <c r="U66" s="77" t="n">
        <f aca="false">IFERROR($T66/$F66,0)</f>
        <v>0</v>
      </c>
      <c r="V66" s="68" t="n">
        <f aca="false">$S66*MM_FixedCost!G65</f>
        <v>0</v>
      </c>
      <c r="W66" s="68" t="n">
        <f aca="false">$S66-$V66</f>
        <v>0</v>
      </c>
      <c r="X66" s="135"/>
      <c r="Y66" s="136" t="n">
        <f aca="false">SUM($G66:$I66)</f>
        <v>0</v>
      </c>
      <c r="Z66" s="136" t="n">
        <f aca="false">$Y66*MM_FixedCost!$G65</f>
        <v>0</v>
      </c>
      <c r="AA66" s="136" t="n">
        <f aca="false">SUM($J66:$L66)</f>
        <v>0</v>
      </c>
      <c r="AB66" s="136" t="n">
        <f aca="false">$AA66*MM_FixedCost!$G65</f>
        <v>0</v>
      </c>
      <c r="AC66" s="136" t="n">
        <f aca="false">SUM($M66:$O66)</f>
        <v>0</v>
      </c>
      <c r="AD66" s="136" t="n">
        <f aca="false">$AC66*MM_FixedCost!$G65</f>
        <v>0</v>
      </c>
      <c r="AE66" s="136" t="n">
        <f aca="false">SUM($P66:$R66)</f>
        <v>0</v>
      </c>
      <c r="AF66" s="136" t="n">
        <f aca="false">$AE66*MM_FixedCost!$G65</f>
        <v>0</v>
      </c>
      <c r="AG66" s="136" t="n">
        <f aca="false">CHOOSE(VALUE(MID(Controls!$B$6,2,1)),$Z66,$AB66,$AD66,$AF66)</f>
        <v>0</v>
      </c>
    </row>
    <row r="67" customFormat="false" ht="13.5" hidden="false" customHeight="false" outlineLevel="0" collapsed="false">
      <c r="A67" s="67" t="n">
        <f aca="false">MM_FixedCost!A66</f>
        <v>7800</v>
      </c>
      <c r="B67" s="67" t="str">
        <f aca="false">MM_FixedCost!B66</f>
        <v>Office maintenance</v>
      </c>
      <c r="C67" s="67" t="str">
        <f aca="false">MM_FixedCost!C66</f>
        <v>Office Running costs</v>
      </c>
      <c r="D67" s="67" t="str">
        <f aca="false">MM_FixedCost!E66</f>
        <v>Core</v>
      </c>
      <c r="E67" s="68" t="n">
        <f aca="false">MM_FixedCost!F66</f>
        <v>63500</v>
      </c>
      <c r="F67" s="68" t="n">
        <f aca="false">$E67/12*Controls!$B$11</f>
        <v>31750</v>
      </c>
      <c r="G67" s="68" t="n">
        <f aca="false">IF(1&gt;Controls!$B$11,"-",SUMIFS(Nominal_Activity!$M$2:$M$3000,Nominal_Activity!$C$2:$C$3000,$A67,Nominal_Activity!$G$2:$G$3000,"&gt;="&amp;DATE(Controls!$B$5,1,1),Nominal_Activity!$G$2:$G$3000,"&lt;="&amp;EOMONTH(DATE(Controls!$B$5,1,1),0),Nominal_Activity!$A$2:$A$3000,Controls!$B$7))</f>
        <v>0</v>
      </c>
      <c r="H67" s="68" t="n">
        <f aca="false">IF(2&gt;Controls!$B$11,"-",SUMIFS(Nominal_Activity!$M$2:$M$3000,Nominal_Activity!$C$2:$C$3000,$A67,Nominal_Activity!$G$2:$G$3000,"&gt;="&amp;DATE(Controls!$B$5,2,1),Nominal_Activity!$G$2:$G$3000,"&lt;="&amp;EOMONTH(DATE(Controls!$B$5,2,1),0),Nominal_Activity!$A$2:$A$3000,Controls!$B$7))</f>
        <v>2280</v>
      </c>
      <c r="I67" s="68" t="n">
        <f aca="false">IF(3&gt;Controls!$B$11,"-",SUMIFS(Nominal_Activity!$M$2:$M$3000,Nominal_Activity!$C$2:$C$3000,$A67,Nominal_Activity!$G$2:$G$3000,"&gt;="&amp;DATE(Controls!$B$5,3,1),Nominal_Activity!$G$2:$G$3000,"&lt;="&amp;EOMONTH(DATE(Controls!$B$5,3,1),0),Nominal_Activity!$A$2:$A$3000,Controls!$B$7))</f>
        <v>2200</v>
      </c>
      <c r="J67" s="68" t="n">
        <f aca="false">IF(4&gt;Controls!$B$11,"-",SUMIFS(Nominal_Activity!$M$2:$M$3000,Nominal_Activity!$C$2:$C$3000,$A67,Nominal_Activity!$G$2:$G$3000,"&gt;="&amp;DATE(Controls!$B$5,4,1),Nominal_Activity!$G$2:$G$3000,"&lt;="&amp;EOMONTH(DATE(Controls!$B$5,4,1),0),Nominal_Activity!$A$2:$A$3000,Controls!$B$7))</f>
        <v>6350</v>
      </c>
      <c r="K67" s="68" t="n">
        <f aca="false">IF(5&gt;Controls!$B$11,"-",SUMIFS(Nominal_Activity!$M$2:$M$3000,Nominal_Activity!$C$2:$C$3000,$A67,Nominal_Activity!$G$2:$G$3000,"&gt;="&amp;DATE(Controls!$B$5,5,1),Nominal_Activity!$G$2:$G$3000,"&lt;="&amp;EOMONTH(DATE(Controls!$B$5,5,1),0),Nominal_Activity!$A$2:$A$3000,Controls!$B$7))</f>
        <v>3450</v>
      </c>
      <c r="L67" s="68" t="n">
        <f aca="false">IF(6&gt;Controls!$B$11,"-",SUMIFS(Nominal_Activity!$M$2:$M$3000,Nominal_Activity!$C$2:$C$3000,$A67,Nominal_Activity!$G$2:$G$3000,"&gt;="&amp;DATE(Controls!$B$5,6,1),Nominal_Activity!$G$2:$G$3000,"&lt;="&amp;EOMONTH(DATE(Controls!$B$5,6,1),0),Nominal_Activity!$A$2:$A$3000,Controls!$B$7))</f>
        <v>5490</v>
      </c>
      <c r="M67" s="68" t="str">
        <f aca="false">IF(7&gt;Controls!$B$11,"-",SUMIFS(Nominal_Activity!$M$2:$M$3000,Nominal_Activity!$C$2:$C$3000,$A67,Nominal_Activity!$G$2:$G$3000,"&gt;="&amp;DATE(Controls!$B$5,7,1),Nominal_Activity!$G$2:$G$3000,"&lt;="&amp;EOMONTH(DATE(Controls!$B$5,7,1),0),Nominal_Activity!$A$2:$A$3000,Controls!$B$7))</f>
        <v>-</v>
      </c>
      <c r="N67" s="68" t="str">
        <f aca="false">IF(8&gt;Controls!$B$11,"-",SUMIFS(Nominal_Activity!$M$2:$M$3000,Nominal_Activity!$C$2:$C$3000,$A67,Nominal_Activity!$G$2:$G$3000,"&gt;="&amp;DATE(Controls!$B$5,8,1),Nominal_Activity!$G$2:$G$3000,"&lt;="&amp;EOMONTH(DATE(Controls!$B$5,8,1),0),Nominal_Activity!$A$2:$A$3000,Controls!$B$7))</f>
        <v>-</v>
      </c>
      <c r="O67" s="68" t="str">
        <f aca="false">IF(9&gt;Controls!$B$11,"-",SUMIFS(Nominal_Activity!$M$2:$M$3000,Nominal_Activity!$C$2:$C$3000,$A67,Nominal_Activity!$G$2:$G$3000,"&gt;="&amp;DATE(Controls!$B$5,9,1),Nominal_Activity!$G$2:$G$3000,"&lt;="&amp;EOMONTH(DATE(Controls!$B$5,9,1),0),Nominal_Activity!$A$2:$A$3000,Controls!$B$7))</f>
        <v>-</v>
      </c>
      <c r="P67" s="68" t="str">
        <f aca="false">IF(10&gt;Controls!$B$11,"-",SUMIFS(Nominal_Activity!$M$2:$M$3000,Nominal_Activity!$C$2:$C$3000,$A67,Nominal_Activity!$G$2:$G$3000,"&gt;="&amp;DATE(Controls!$B$5,10,1),Nominal_Activity!$G$2:$G$3000,"&lt;="&amp;EOMONTH(DATE(Controls!$B$5,10,1),0),Nominal_Activity!$A$2:$A$3000,Controls!$B$7))</f>
        <v>-</v>
      </c>
      <c r="Q67" s="68" t="str">
        <f aca="false">IF(11&gt;Controls!$B$11,"-",SUMIFS(Nominal_Activity!$M$2:$M$3000,Nominal_Activity!$C$2:$C$3000,$A67,Nominal_Activity!$G$2:$G$3000,"&gt;="&amp;DATE(Controls!$B$5,11,1),Nominal_Activity!$G$2:$G$3000,"&lt;="&amp;EOMONTH(DATE(Controls!$B$5,11,1),0),Nominal_Activity!$A$2:$A$3000,Controls!$B$7))</f>
        <v>-</v>
      </c>
      <c r="R67" s="68" t="str">
        <f aca="false">IF(12&gt;Controls!$B$11,"-",SUMIFS(Nominal_Activity!$M$2:$M$3000,Nominal_Activity!$C$2:$C$3000,$A67,Nominal_Activity!$G$2:$G$3000,"&gt;="&amp;DATE(Controls!$B$5,12,1),Nominal_Activity!$G$2:$G$3000,"&lt;="&amp;EOMONTH(DATE(Controls!$B$5,12,1),0),Nominal_Activity!$A$2:$A$3000,Controls!$B$7))</f>
        <v>-</v>
      </c>
      <c r="S67" s="68" t="n">
        <f aca="false">SUM(G67:R67)</f>
        <v>19770</v>
      </c>
      <c r="T67" s="68" t="n">
        <f aca="false">$F67-$S67</f>
        <v>11980</v>
      </c>
      <c r="U67" s="77" t="n">
        <f aca="false">IFERROR($T67/$F67,0)</f>
        <v>0.377322834645669</v>
      </c>
      <c r="V67" s="68" t="n">
        <f aca="false">$S67*MM_FixedCost!G66</f>
        <v>4942.5</v>
      </c>
      <c r="W67" s="68" t="n">
        <f aca="false">$S67-$V67</f>
        <v>14827.5</v>
      </c>
      <c r="X67" s="135"/>
      <c r="Y67" s="136" t="n">
        <f aca="false">SUM($G67:$I67)</f>
        <v>4480</v>
      </c>
      <c r="Z67" s="136" t="n">
        <f aca="false">$Y67*MM_FixedCost!$G66</f>
        <v>1120</v>
      </c>
      <c r="AA67" s="136" t="n">
        <f aca="false">SUM($J67:$L67)</f>
        <v>15290</v>
      </c>
      <c r="AB67" s="136" t="n">
        <f aca="false">$AA67*MM_FixedCost!$G66</f>
        <v>3822.5</v>
      </c>
      <c r="AC67" s="136" t="n">
        <f aca="false">SUM($M67:$O67)</f>
        <v>0</v>
      </c>
      <c r="AD67" s="136" t="n">
        <f aca="false">$AC67*MM_FixedCost!$G66</f>
        <v>0</v>
      </c>
      <c r="AE67" s="136" t="n">
        <f aca="false">SUM($P67:$R67)</f>
        <v>0</v>
      </c>
      <c r="AF67" s="136" t="n">
        <f aca="false">$AE67*MM_FixedCost!$G66</f>
        <v>0</v>
      </c>
      <c r="AG67" s="136" t="n">
        <f aca="false">CHOOSE(VALUE(MID(Controls!$B$6,2,1)),$Z67,$AB67,$AD67,$AF67)</f>
        <v>3822.5</v>
      </c>
    </row>
    <row r="68" customFormat="false" ht="13.5" hidden="false" customHeight="false" outlineLevel="0" collapsed="false">
      <c r="A68" s="67" t="n">
        <f aca="false">MM_FixedCost!A67</f>
        <v>7810</v>
      </c>
      <c r="B68" s="67" t="str">
        <f aca="false">MM_FixedCost!B67</f>
        <v>Office security</v>
      </c>
      <c r="C68" s="67" t="str">
        <f aca="false">MM_FixedCost!C67</f>
        <v>Office Running costs</v>
      </c>
      <c r="D68" s="67" t="str">
        <f aca="false">MM_FixedCost!E67</f>
        <v>Core</v>
      </c>
      <c r="E68" s="68" t="n">
        <f aca="false">MM_FixedCost!F67</f>
        <v>51344.28</v>
      </c>
      <c r="F68" s="68" t="n">
        <f aca="false">$E68/12*Controls!$B$11</f>
        <v>25672.14</v>
      </c>
      <c r="G68" s="68" t="n">
        <f aca="false">IF(1&gt;Controls!$B$11,"-",SUMIFS(Nominal_Activity!$M$2:$M$3000,Nominal_Activity!$C$2:$C$3000,$A68,Nominal_Activity!$G$2:$G$3000,"&gt;="&amp;DATE(Controls!$B$5,1,1),Nominal_Activity!$G$2:$G$3000,"&lt;="&amp;EOMONTH(DATE(Controls!$B$5,1,1),0),Nominal_Activity!$A$2:$A$3000,Controls!$B$7))</f>
        <v>0</v>
      </c>
      <c r="H68" s="68" t="n">
        <f aca="false">IF(2&gt;Controls!$B$11,"-",SUMIFS(Nominal_Activity!$M$2:$M$3000,Nominal_Activity!$C$2:$C$3000,$A68,Nominal_Activity!$G$2:$G$3000,"&gt;="&amp;DATE(Controls!$B$5,2,1),Nominal_Activity!$G$2:$G$3000,"&lt;="&amp;EOMONTH(DATE(Controls!$B$5,2,1),0),Nominal_Activity!$A$2:$A$3000,Controls!$B$7))</f>
        <v>8073</v>
      </c>
      <c r="I68" s="68" t="n">
        <f aca="false">IF(3&gt;Controls!$B$11,"-",SUMIFS(Nominal_Activity!$M$2:$M$3000,Nominal_Activity!$C$2:$C$3000,$A68,Nominal_Activity!$G$2:$G$3000,"&gt;="&amp;DATE(Controls!$B$5,3,1),Nominal_Activity!$G$2:$G$3000,"&lt;="&amp;EOMONTH(DATE(Controls!$B$5,3,1),0),Nominal_Activity!$A$2:$A$3000,Controls!$B$7))</f>
        <v>4036.5</v>
      </c>
      <c r="J68" s="68" t="n">
        <f aca="false">IF(4&gt;Controls!$B$11,"-",SUMIFS(Nominal_Activity!$M$2:$M$3000,Nominal_Activity!$C$2:$C$3000,$A68,Nominal_Activity!$G$2:$G$3000,"&gt;="&amp;DATE(Controls!$B$5,4,1),Nominal_Activity!$G$2:$G$3000,"&lt;="&amp;EOMONTH(DATE(Controls!$B$5,4,1),0),Nominal_Activity!$A$2:$A$3000,Controls!$B$7))</f>
        <v>4036.5</v>
      </c>
      <c r="K68" s="68" t="n">
        <f aca="false">IF(5&gt;Controls!$B$11,"-",SUMIFS(Nominal_Activity!$M$2:$M$3000,Nominal_Activity!$C$2:$C$3000,$A68,Nominal_Activity!$G$2:$G$3000,"&gt;="&amp;DATE(Controls!$B$5,5,1),Nominal_Activity!$G$2:$G$3000,"&lt;="&amp;EOMONTH(DATE(Controls!$B$5,5,1),0),Nominal_Activity!$A$2:$A$3000,Controls!$B$7))</f>
        <v>4036.5</v>
      </c>
      <c r="L68" s="68" t="n">
        <f aca="false">IF(6&gt;Controls!$B$11,"-",SUMIFS(Nominal_Activity!$M$2:$M$3000,Nominal_Activity!$C$2:$C$3000,$A68,Nominal_Activity!$G$2:$G$3000,"&gt;="&amp;DATE(Controls!$B$5,6,1),Nominal_Activity!$G$2:$G$3000,"&lt;="&amp;EOMONTH(DATE(Controls!$B$5,6,1),0),Nominal_Activity!$A$2:$A$3000,Controls!$B$7))</f>
        <v>4036.5</v>
      </c>
      <c r="M68" s="68" t="str">
        <f aca="false">IF(7&gt;Controls!$B$11,"-",SUMIFS(Nominal_Activity!$M$2:$M$3000,Nominal_Activity!$C$2:$C$3000,$A68,Nominal_Activity!$G$2:$G$3000,"&gt;="&amp;DATE(Controls!$B$5,7,1),Nominal_Activity!$G$2:$G$3000,"&lt;="&amp;EOMONTH(DATE(Controls!$B$5,7,1),0),Nominal_Activity!$A$2:$A$3000,Controls!$B$7))</f>
        <v>-</v>
      </c>
      <c r="N68" s="68" t="str">
        <f aca="false">IF(8&gt;Controls!$B$11,"-",SUMIFS(Nominal_Activity!$M$2:$M$3000,Nominal_Activity!$C$2:$C$3000,$A68,Nominal_Activity!$G$2:$G$3000,"&gt;="&amp;DATE(Controls!$B$5,8,1),Nominal_Activity!$G$2:$G$3000,"&lt;="&amp;EOMONTH(DATE(Controls!$B$5,8,1),0),Nominal_Activity!$A$2:$A$3000,Controls!$B$7))</f>
        <v>-</v>
      </c>
      <c r="O68" s="68" t="str">
        <f aca="false">IF(9&gt;Controls!$B$11,"-",SUMIFS(Nominal_Activity!$M$2:$M$3000,Nominal_Activity!$C$2:$C$3000,$A68,Nominal_Activity!$G$2:$G$3000,"&gt;="&amp;DATE(Controls!$B$5,9,1),Nominal_Activity!$G$2:$G$3000,"&lt;="&amp;EOMONTH(DATE(Controls!$B$5,9,1),0),Nominal_Activity!$A$2:$A$3000,Controls!$B$7))</f>
        <v>-</v>
      </c>
      <c r="P68" s="68" t="str">
        <f aca="false">IF(10&gt;Controls!$B$11,"-",SUMIFS(Nominal_Activity!$M$2:$M$3000,Nominal_Activity!$C$2:$C$3000,$A68,Nominal_Activity!$G$2:$G$3000,"&gt;="&amp;DATE(Controls!$B$5,10,1),Nominal_Activity!$G$2:$G$3000,"&lt;="&amp;EOMONTH(DATE(Controls!$B$5,10,1),0),Nominal_Activity!$A$2:$A$3000,Controls!$B$7))</f>
        <v>-</v>
      </c>
      <c r="Q68" s="68" t="str">
        <f aca="false">IF(11&gt;Controls!$B$11,"-",SUMIFS(Nominal_Activity!$M$2:$M$3000,Nominal_Activity!$C$2:$C$3000,$A68,Nominal_Activity!$G$2:$G$3000,"&gt;="&amp;DATE(Controls!$B$5,11,1),Nominal_Activity!$G$2:$G$3000,"&lt;="&amp;EOMONTH(DATE(Controls!$B$5,11,1),0),Nominal_Activity!$A$2:$A$3000,Controls!$B$7))</f>
        <v>-</v>
      </c>
      <c r="R68" s="68" t="str">
        <f aca="false">IF(12&gt;Controls!$B$11,"-",SUMIFS(Nominal_Activity!$M$2:$M$3000,Nominal_Activity!$C$2:$C$3000,$A68,Nominal_Activity!$G$2:$G$3000,"&gt;="&amp;DATE(Controls!$B$5,12,1),Nominal_Activity!$G$2:$G$3000,"&lt;="&amp;EOMONTH(DATE(Controls!$B$5,12,1),0),Nominal_Activity!$A$2:$A$3000,Controls!$B$7))</f>
        <v>-</v>
      </c>
      <c r="S68" s="68" t="n">
        <f aca="false">SUM(G68:R68)</f>
        <v>24219</v>
      </c>
      <c r="T68" s="68" t="n">
        <f aca="false">$F68-$S68</f>
        <v>1453.14</v>
      </c>
      <c r="U68" s="77" t="n">
        <f aca="false">IFERROR($T68/$F68,0)</f>
        <v>0.0566037735849056</v>
      </c>
      <c r="V68" s="68" t="n">
        <f aca="false">$S68*MM_FixedCost!G67</f>
        <v>6054.75</v>
      </c>
      <c r="W68" s="68" t="n">
        <f aca="false">$S68-$V68</f>
        <v>18164.25</v>
      </c>
      <c r="X68" s="135"/>
      <c r="Y68" s="136" t="n">
        <f aca="false">SUM($G68:$I68)</f>
        <v>12109.5</v>
      </c>
      <c r="Z68" s="136" t="n">
        <f aca="false">$Y68*MM_FixedCost!$G67</f>
        <v>3027.375</v>
      </c>
      <c r="AA68" s="136" t="n">
        <f aca="false">SUM($J68:$L68)</f>
        <v>12109.5</v>
      </c>
      <c r="AB68" s="136" t="n">
        <f aca="false">$AA68*MM_FixedCost!$G67</f>
        <v>3027.375</v>
      </c>
      <c r="AC68" s="136" t="n">
        <f aca="false">SUM($M68:$O68)</f>
        <v>0</v>
      </c>
      <c r="AD68" s="136" t="n">
        <f aca="false">$AC68*MM_FixedCost!$G67</f>
        <v>0</v>
      </c>
      <c r="AE68" s="136" t="n">
        <f aca="false">SUM($P68:$R68)</f>
        <v>0</v>
      </c>
      <c r="AF68" s="136" t="n">
        <f aca="false">$AE68*MM_FixedCost!$G67</f>
        <v>0</v>
      </c>
      <c r="AG68" s="136" t="n">
        <f aca="false">CHOOSE(VALUE(MID(Controls!$B$6,2,1)),$Z68,$AB68,$AD68,$AF68)</f>
        <v>3027.375</v>
      </c>
    </row>
    <row r="69" customFormat="false" ht="13.5" hidden="false" customHeight="false" outlineLevel="0" collapsed="false">
      <c r="A69" s="67" t="n">
        <f aca="false">MM_FixedCost!A68</f>
        <v>7820</v>
      </c>
      <c r="B69" s="67" t="str">
        <f aca="false">MM_FixedCost!B68</f>
        <v>Cleaning and laundry</v>
      </c>
      <c r="C69" s="67" t="str">
        <f aca="false">MM_FixedCost!C68</f>
        <v>Office Running costs</v>
      </c>
      <c r="D69" s="67" t="str">
        <f aca="false">MM_FixedCost!E68</f>
        <v>Core</v>
      </c>
      <c r="E69" s="68" t="n">
        <f aca="false">MM_FixedCost!F68</f>
        <v>47300</v>
      </c>
      <c r="F69" s="68" t="n">
        <f aca="false">$E69/12*Controls!$B$11</f>
        <v>23650</v>
      </c>
      <c r="G69" s="68" t="n">
        <f aca="false">IF(1&gt;Controls!$B$11,"-",SUMIFS(Nominal_Activity!$M$2:$M$3000,Nominal_Activity!$C$2:$C$3000,$A69,Nominal_Activity!$G$2:$G$3000,"&gt;="&amp;DATE(Controls!$B$5,1,1),Nominal_Activity!$G$2:$G$3000,"&lt;="&amp;EOMONTH(DATE(Controls!$B$5,1,1),0),Nominal_Activity!$A$2:$A$3000,Controls!$B$7))</f>
        <v>2984.71</v>
      </c>
      <c r="H69" s="68" t="n">
        <f aca="false">IF(2&gt;Controls!$B$11,"-",SUMIFS(Nominal_Activity!$M$2:$M$3000,Nominal_Activity!$C$2:$C$3000,$A69,Nominal_Activity!$G$2:$G$3000,"&gt;="&amp;DATE(Controls!$B$5,2,1),Nominal_Activity!$G$2:$G$3000,"&lt;="&amp;EOMONTH(DATE(Controls!$B$5,2,1),0),Nominal_Activity!$A$2:$A$3000,Controls!$B$7))</f>
        <v>3169.21</v>
      </c>
      <c r="I69" s="68" t="n">
        <f aca="false">IF(3&gt;Controls!$B$11,"-",SUMIFS(Nominal_Activity!$M$2:$M$3000,Nominal_Activity!$C$2:$C$3000,$A69,Nominal_Activity!$G$2:$G$3000,"&gt;="&amp;DATE(Controls!$B$5,3,1),Nominal_Activity!$G$2:$G$3000,"&lt;="&amp;EOMONTH(DATE(Controls!$B$5,3,1),0),Nominal_Activity!$A$2:$A$3000,Controls!$B$7))</f>
        <v>3212.22</v>
      </c>
      <c r="J69" s="68" t="n">
        <f aca="false">IF(4&gt;Controls!$B$11,"-",SUMIFS(Nominal_Activity!$M$2:$M$3000,Nominal_Activity!$C$2:$C$3000,$A69,Nominal_Activity!$G$2:$G$3000,"&gt;="&amp;DATE(Controls!$B$5,4,1),Nominal_Activity!$G$2:$G$3000,"&lt;="&amp;EOMONTH(DATE(Controls!$B$5,4,1),0),Nominal_Activity!$A$2:$A$3000,Controls!$B$7))</f>
        <v>3699.8</v>
      </c>
      <c r="K69" s="68" t="n">
        <f aca="false">IF(5&gt;Controls!$B$11,"-",SUMIFS(Nominal_Activity!$M$2:$M$3000,Nominal_Activity!$C$2:$C$3000,$A69,Nominal_Activity!$G$2:$G$3000,"&gt;="&amp;DATE(Controls!$B$5,5,1),Nominal_Activity!$G$2:$G$3000,"&lt;="&amp;EOMONTH(DATE(Controls!$B$5,5,1),0),Nominal_Activity!$A$2:$A$3000,Controls!$B$7))</f>
        <v>2974.71</v>
      </c>
      <c r="L69" s="68" t="n">
        <f aca="false">IF(6&gt;Controls!$B$11,"-",SUMIFS(Nominal_Activity!$M$2:$M$3000,Nominal_Activity!$C$2:$C$3000,$A69,Nominal_Activity!$G$2:$G$3000,"&gt;="&amp;DATE(Controls!$B$5,6,1),Nominal_Activity!$G$2:$G$3000,"&lt;="&amp;EOMONTH(DATE(Controls!$B$5,6,1),0),Nominal_Activity!$A$2:$A$3000,Controls!$B$7))</f>
        <v>3127.21</v>
      </c>
      <c r="M69" s="68" t="str">
        <f aca="false">IF(7&gt;Controls!$B$11,"-",SUMIFS(Nominal_Activity!$M$2:$M$3000,Nominal_Activity!$C$2:$C$3000,$A69,Nominal_Activity!$G$2:$G$3000,"&gt;="&amp;DATE(Controls!$B$5,7,1),Nominal_Activity!$G$2:$G$3000,"&lt;="&amp;EOMONTH(DATE(Controls!$B$5,7,1),0),Nominal_Activity!$A$2:$A$3000,Controls!$B$7))</f>
        <v>-</v>
      </c>
      <c r="N69" s="68" t="str">
        <f aca="false">IF(8&gt;Controls!$B$11,"-",SUMIFS(Nominal_Activity!$M$2:$M$3000,Nominal_Activity!$C$2:$C$3000,$A69,Nominal_Activity!$G$2:$G$3000,"&gt;="&amp;DATE(Controls!$B$5,8,1),Nominal_Activity!$G$2:$G$3000,"&lt;="&amp;EOMONTH(DATE(Controls!$B$5,8,1),0),Nominal_Activity!$A$2:$A$3000,Controls!$B$7))</f>
        <v>-</v>
      </c>
      <c r="O69" s="68" t="str">
        <f aca="false">IF(9&gt;Controls!$B$11,"-",SUMIFS(Nominal_Activity!$M$2:$M$3000,Nominal_Activity!$C$2:$C$3000,$A69,Nominal_Activity!$G$2:$G$3000,"&gt;="&amp;DATE(Controls!$B$5,9,1),Nominal_Activity!$G$2:$G$3000,"&lt;="&amp;EOMONTH(DATE(Controls!$B$5,9,1),0),Nominal_Activity!$A$2:$A$3000,Controls!$B$7))</f>
        <v>-</v>
      </c>
      <c r="P69" s="68" t="str">
        <f aca="false">IF(10&gt;Controls!$B$11,"-",SUMIFS(Nominal_Activity!$M$2:$M$3000,Nominal_Activity!$C$2:$C$3000,$A69,Nominal_Activity!$G$2:$G$3000,"&gt;="&amp;DATE(Controls!$B$5,10,1),Nominal_Activity!$G$2:$G$3000,"&lt;="&amp;EOMONTH(DATE(Controls!$B$5,10,1),0),Nominal_Activity!$A$2:$A$3000,Controls!$B$7))</f>
        <v>-</v>
      </c>
      <c r="Q69" s="68" t="str">
        <f aca="false">IF(11&gt;Controls!$B$11,"-",SUMIFS(Nominal_Activity!$M$2:$M$3000,Nominal_Activity!$C$2:$C$3000,$A69,Nominal_Activity!$G$2:$G$3000,"&gt;="&amp;DATE(Controls!$B$5,11,1),Nominal_Activity!$G$2:$G$3000,"&lt;="&amp;EOMONTH(DATE(Controls!$B$5,11,1),0),Nominal_Activity!$A$2:$A$3000,Controls!$B$7))</f>
        <v>-</v>
      </c>
      <c r="R69" s="68" t="str">
        <f aca="false">IF(12&gt;Controls!$B$11,"-",SUMIFS(Nominal_Activity!$M$2:$M$3000,Nominal_Activity!$C$2:$C$3000,$A69,Nominal_Activity!$G$2:$G$3000,"&gt;="&amp;DATE(Controls!$B$5,12,1),Nominal_Activity!$G$2:$G$3000,"&lt;="&amp;EOMONTH(DATE(Controls!$B$5,12,1),0),Nominal_Activity!$A$2:$A$3000,Controls!$B$7))</f>
        <v>-</v>
      </c>
      <c r="S69" s="68" t="n">
        <f aca="false">SUM(G69:R69)</f>
        <v>19167.86</v>
      </c>
      <c r="T69" s="68" t="n">
        <f aca="false">$F69-$S69</f>
        <v>4482.14</v>
      </c>
      <c r="U69" s="77" t="n">
        <f aca="false">IFERROR($T69/$F69,0)</f>
        <v>0.189519661733615</v>
      </c>
      <c r="V69" s="68" t="n">
        <f aca="false">$S69*MM_FixedCost!G68</f>
        <v>4791.965</v>
      </c>
      <c r="W69" s="68" t="n">
        <f aca="false">$S69-$V69</f>
        <v>14375.895</v>
      </c>
      <c r="X69" s="135"/>
      <c r="Y69" s="136" t="n">
        <f aca="false">SUM($G69:$I69)</f>
        <v>9366.14</v>
      </c>
      <c r="Z69" s="136" t="n">
        <f aca="false">$Y69*MM_FixedCost!$G68</f>
        <v>2341.535</v>
      </c>
      <c r="AA69" s="136" t="n">
        <f aca="false">SUM($J69:$L69)</f>
        <v>9801.72</v>
      </c>
      <c r="AB69" s="136" t="n">
        <f aca="false">$AA69*MM_FixedCost!$G68</f>
        <v>2450.43</v>
      </c>
      <c r="AC69" s="136" t="n">
        <f aca="false">SUM($M69:$O69)</f>
        <v>0</v>
      </c>
      <c r="AD69" s="136" t="n">
        <f aca="false">$AC69*MM_FixedCost!$G68</f>
        <v>0</v>
      </c>
      <c r="AE69" s="136" t="n">
        <f aca="false">SUM($P69:$R69)</f>
        <v>0</v>
      </c>
      <c r="AF69" s="136" t="n">
        <f aca="false">$AE69*MM_FixedCost!$G68</f>
        <v>0</v>
      </c>
      <c r="AG69" s="136" t="n">
        <f aca="false">CHOOSE(VALUE(MID(Controls!$B$6,2,1)),$Z69,$AB69,$AD69,$AF69)</f>
        <v>2450.43</v>
      </c>
    </row>
    <row r="70" customFormat="false" ht="13.5" hidden="false" customHeight="false" outlineLevel="0" collapsed="false">
      <c r="A70" s="67" t="n">
        <f aca="false">MM_FixedCost!A69</f>
        <v>7830</v>
      </c>
      <c r="B70" s="67" t="str">
        <f aca="false">MM_FixedCost!B69</f>
        <v>Vehicle Running costs</v>
      </c>
      <c r="C70" s="67" t="str">
        <f aca="false">MM_FixedCost!C69</f>
        <v>Office Running costs</v>
      </c>
      <c r="D70" s="67" t="str">
        <f aca="false">MM_FixedCost!E69</f>
        <v>Core</v>
      </c>
      <c r="E70" s="68" t="n">
        <f aca="false">MM_FixedCost!F69</f>
        <v>0</v>
      </c>
      <c r="F70" s="68" t="n">
        <f aca="false">$E70/12*Controls!$B$11</f>
        <v>0</v>
      </c>
      <c r="G70" s="68" t="n">
        <f aca="false">IF(1&gt;Controls!$B$11,"-",SUMIFS(Nominal_Activity!$M$2:$M$3000,Nominal_Activity!$C$2:$C$3000,$A70,Nominal_Activity!$G$2:$G$3000,"&gt;="&amp;DATE(Controls!$B$5,1,1),Nominal_Activity!$G$2:$G$3000,"&lt;="&amp;EOMONTH(DATE(Controls!$B$5,1,1),0),Nominal_Activity!$A$2:$A$3000,Controls!$B$7))</f>
        <v>0</v>
      </c>
      <c r="H70" s="68" t="n">
        <f aca="false">IF(2&gt;Controls!$B$11,"-",SUMIFS(Nominal_Activity!$M$2:$M$3000,Nominal_Activity!$C$2:$C$3000,$A70,Nominal_Activity!$G$2:$G$3000,"&gt;="&amp;DATE(Controls!$B$5,2,1),Nominal_Activity!$G$2:$G$3000,"&lt;="&amp;EOMONTH(DATE(Controls!$B$5,2,1),0),Nominal_Activity!$A$2:$A$3000,Controls!$B$7))</f>
        <v>0</v>
      </c>
      <c r="I70" s="68" t="n">
        <f aca="false">IF(3&gt;Controls!$B$11,"-",SUMIFS(Nominal_Activity!$M$2:$M$3000,Nominal_Activity!$C$2:$C$3000,$A70,Nominal_Activity!$G$2:$G$3000,"&gt;="&amp;DATE(Controls!$B$5,3,1),Nominal_Activity!$G$2:$G$3000,"&lt;="&amp;EOMONTH(DATE(Controls!$B$5,3,1),0),Nominal_Activity!$A$2:$A$3000,Controls!$B$7))</f>
        <v>0</v>
      </c>
      <c r="J70" s="68" t="n">
        <f aca="false">IF(4&gt;Controls!$B$11,"-",SUMIFS(Nominal_Activity!$M$2:$M$3000,Nominal_Activity!$C$2:$C$3000,$A70,Nominal_Activity!$G$2:$G$3000,"&gt;="&amp;DATE(Controls!$B$5,4,1),Nominal_Activity!$G$2:$G$3000,"&lt;="&amp;EOMONTH(DATE(Controls!$B$5,4,1),0),Nominal_Activity!$A$2:$A$3000,Controls!$B$7))</f>
        <v>0</v>
      </c>
      <c r="K70" s="68" t="n">
        <f aca="false">IF(5&gt;Controls!$B$11,"-",SUMIFS(Nominal_Activity!$M$2:$M$3000,Nominal_Activity!$C$2:$C$3000,$A70,Nominal_Activity!$G$2:$G$3000,"&gt;="&amp;DATE(Controls!$B$5,5,1),Nominal_Activity!$G$2:$G$3000,"&lt;="&amp;EOMONTH(DATE(Controls!$B$5,5,1),0),Nominal_Activity!$A$2:$A$3000,Controls!$B$7))</f>
        <v>0</v>
      </c>
      <c r="L70" s="68" t="n">
        <f aca="false">IF(6&gt;Controls!$B$11,"-",SUMIFS(Nominal_Activity!$M$2:$M$3000,Nominal_Activity!$C$2:$C$3000,$A70,Nominal_Activity!$G$2:$G$3000,"&gt;="&amp;DATE(Controls!$B$5,6,1),Nominal_Activity!$G$2:$G$3000,"&lt;="&amp;EOMONTH(DATE(Controls!$B$5,6,1),0),Nominal_Activity!$A$2:$A$3000,Controls!$B$7))</f>
        <v>0</v>
      </c>
      <c r="M70" s="68" t="str">
        <f aca="false">IF(7&gt;Controls!$B$11,"-",SUMIFS(Nominal_Activity!$M$2:$M$3000,Nominal_Activity!$C$2:$C$3000,$A70,Nominal_Activity!$G$2:$G$3000,"&gt;="&amp;DATE(Controls!$B$5,7,1),Nominal_Activity!$G$2:$G$3000,"&lt;="&amp;EOMONTH(DATE(Controls!$B$5,7,1),0),Nominal_Activity!$A$2:$A$3000,Controls!$B$7))</f>
        <v>-</v>
      </c>
      <c r="N70" s="68" t="str">
        <f aca="false">IF(8&gt;Controls!$B$11,"-",SUMIFS(Nominal_Activity!$M$2:$M$3000,Nominal_Activity!$C$2:$C$3000,$A70,Nominal_Activity!$G$2:$G$3000,"&gt;="&amp;DATE(Controls!$B$5,8,1),Nominal_Activity!$G$2:$G$3000,"&lt;="&amp;EOMONTH(DATE(Controls!$B$5,8,1),0),Nominal_Activity!$A$2:$A$3000,Controls!$B$7))</f>
        <v>-</v>
      </c>
      <c r="O70" s="68" t="str">
        <f aca="false">IF(9&gt;Controls!$B$11,"-",SUMIFS(Nominal_Activity!$M$2:$M$3000,Nominal_Activity!$C$2:$C$3000,$A70,Nominal_Activity!$G$2:$G$3000,"&gt;="&amp;DATE(Controls!$B$5,9,1),Nominal_Activity!$G$2:$G$3000,"&lt;="&amp;EOMONTH(DATE(Controls!$B$5,9,1),0),Nominal_Activity!$A$2:$A$3000,Controls!$B$7))</f>
        <v>-</v>
      </c>
      <c r="P70" s="68" t="str">
        <f aca="false">IF(10&gt;Controls!$B$11,"-",SUMIFS(Nominal_Activity!$M$2:$M$3000,Nominal_Activity!$C$2:$C$3000,$A70,Nominal_Activity!$G$2:$G$3000,"&gt;="&amp;DATE(Controls!$B$5,10,1),Nominal_Activity!$G$2:$G$3000,"&lt;="&amp;EOMONTH(DATE(Controls!$B$5,10,1),0),Nominal_Activity!$A$2:$A$3000,Controls!$B$7))</f>
        <v>-</v>
      </c>
      <c r="Q70" s="68" t="str">
        <f aca="false">IF(11&gt;Controls!$B$11,"-",SUMIFS(Nominal_Activity!$M$2:$M$3000,Nominal_Activity!$C$2:$C$3000,$A70,Nominal_Activity!$G$2:$G$3000,"&gt;="&amp;DATE(Controls!$B$5,11,1),Nominal_Activity!$G$2:$G$3000,"&lt;="&amp;EOMONTH(DATE(Controls!$B$5,11,1),0),Nominal_Activity!$A$2:$A$3000,Controls!$B$7))</f>
        <v>-</v>
      </c>
      <c r="R70" s="68" t="str">
        <f aca="false">IF(12&gt;Controls!$B$11,"-",SUMIFS(Nominal_Activity!$M$2:$M$3000,Nominal_Activity!$C$2:$C$3000,$A70,Nominal_Activity!$G$2:$G$3000,"&gt;="&amp;DATE(Controls!$B$5,12,1),Nominal_Activity!$G$2:$G$3000,"&lt;="&amp;EOMONTH(DATE(Controls!$B$5,12,1),0),Nominal_Activity!$A$2:$A$3000,Controls!$B$7))</f>
        <v>-</v>
      </c>
      <c r="S70" s="68" t="n">
        <f aca="false">SUM(G70:R70)</f>
        <v>0</v>
      </c>
      <c r="T70" s="68" t="n">
        <f aca="false">$F70-$S70</f>
        <v>0</v>
      </c>
      <c r="U70" s="77" t="n">
        <f aca="false">IFERROR($T70/$F70,0)</f>
        <v>0</v>
      </c>
      <c r="V70" s="68" t="n">
        <f aca="false">$S70*MM_FixedCost!G69</f>
        <v>0</v>
      </c>
      <c r="W70" s="68" t="n">
        <f aca="false">$S70-$V70</f>
        <v>0</v>
      </c>
      <c r="X70" s="135"/>
      <c r="Y70" s="136" t="n">
        <f aca="false">SUM($G70:$I70)</f>
        <v>0</v>
      </c>
      <c r="Z70" s="136" t="n">
        <f aca="false">$Y70*MM_FixedCost!$G69</f>
        <v>0</v>
      </c>
      <c r="AA70" s="136" t="n">
        <f aca="false">SUM($J70:$L70)</f>
        <v>0</v>
      </c>
      <c r="AB70" s="136" t="n">
        <f aca="false">$AA70*MM_FixedCost!$G69</f>
        <v>0</v>
      </c>
      <c r="AC70" s="136" t="n">
        <f aca="false">SUM($M70:$O70)</f>
        <v>0</v>
      </c>
      <c r="AD70" s="136" t="n">
        <f aca="false">$AC70*MM_FixedCost!$G69</f>
        <v>0</v>
      </c>
      <c r="AE70" s="136" t="n">
        <f aca="false">SUM($P70:$R70)</f>
        <v>0</v>
      </c>
      <c r="AF70" s="136" t="n">
        <f aca="false">$AE70*MM_FixedCost!$G69</f>
        <v>0</v>
      </c>
      <c r="AG70" s="136" t="n">
        <f aca="false">CHOOSE(VALUE(MID(Controls!$B$6,2,1)),$Z70,$AB70,$AD70,$AF70)</f>
        <v>0</v>
      </c>
    </row>
    <row r="71" customFormat="false" ht="13.5" hidden="false" customHeight="false" outlineLevel="0" collapsed="false">
      <c r="A71" s="67" t="n">
        <f aca="false">MM_FixedCost!A70</f>
        <v>7900</v>
      </c>
      <c r="B71" s="67" t="str">
        <f aca="false">MM_FixedCost!B70</f>
        <v>Bank Interest Paid</v>
      </c>
      <c r="C71" s="67" t="str">
        <f aca="false">MM_FixedCost!C70</f>
        <v>Financial Charges</v>
      </c>
      <c r="D71" s="67" t="str">
        <f aca="false">MM_FixedCost!E70</f>
        <v>Core</v>
      </c>
      <c r="E71" s="68" t="n">
        <f aca="false">MM_FixedCost!F70</f>
        <v>0</v>
      </c>
      <c r="F71" s="68" t="n">
        <f aca="false">$E71/12*Controls!$B$11</f>
        <v>0</v>
      </c>
      <c r="G71" s="68" t="n">
        <f aca="false">IF(1&gt;Controls!$B$11,"-",SUMIFS(Nominal_Activity!$M$2:$M$3000,Nominal_Activity!$C$2:$C$3000,$A71,Nominal_Activity!$G$2:$G$3000,"&gt;="&amp;DATE(Controls!$B$5,1,1),Nominal_Activity!$G$2:$G$3000,"&lt;="&amp;EOMONTH(DATE(Controls!$B$5,1,1),0),Nominal_Activity!$A$2:$A$3000,Controls!$B$7))</f>
        <v>0</v>
      </c>
      <c r="H71" s="68" t="n">
        <f aca="false">IF(2&gt;Controls!$B$11,"-",SUMIFS(Nominal_Activity!$M$2:$M$3000,Nominal_Activity!$C$2:$C$3000,$A71,Nominal_Activity!$G$2:$G$3000,"&gt;="&amp;DATE(Controls!$B$5,2,1),Nominal_Activity!$G$2:$G$3000,"&lt;="&amp;EOMONTH(DATE(Controls!$B$5,2,1),0),Nominal_Activity!$A$2:$A$3000,Controls!$B$7))</f>
        <v>0</v>
      </c>
      <c r="I71" s="68" t="n">
        <f aca="false">IF(3&gt;Controls!$B$11,"-",SUMIFS(Nominal_Activity!$M$2:$M$3000,Nominal_Activity!$C$2:$C$3000,$A71,Nominal_Activity!$G$2:$G$3000,"&gt;="&amp;DATE(Controls!$B$5,3,1),Nominal_Activity!$G$2:$G$3000,"&lt;="&amp;EOMONTH(DATE(Controls!$B$5,3,1),0),Nominal_Activity!$A$2:$A$3000,Controls!$B$7))</f>
        <v>0</v>
      </c>
      <c r="J71" s="68" t="n">
        <f aca="false">IF(4&gt;Controls!$B$11,"-",SUMIFS(Nominal_Activity!$M$2:$M$3000,Nominal_Activity!$C$2:$C$3000,$A71,Nominal_Activity!$G$2:$G$3000,"&gt;="&amp;DATE(Controls!$B$5,4,1),Nominal_Activity!$G$2:$G$3000,"&lt;="&amp;EOMONTH(DATE(Controls!$B$5,4,1),0),Nominal_Activity!$A$2:$A$3000,Controls!$B$7))</f>
        <v>0</v>
      </c>
      <c r="K71" s="68" t="n">
        <f aca="false">IF(5&gt;Controls!$B$11,"-",SUMIFS(Nominal_Activity!$M$2:$M$3000,Nominal_Activity!$C$2:$C$3000,$A71,Nominal_Activity!$G$2:$G$3000,"&gt;="&amp;DATE(Controls!$B$5,5,1),Nominal_Activity!$G$2:$G$3000,"&lt;="&amp;EOMONTH(DATE(Controls!$B$5,5,1),0),Nominal_Activity!$A$2:$A$3000,Controls!$B$7))</f>
        <v>0</v>
      </c>
      <c r="L71" s="68" t="n">
        <f aca="false">IF(6&gt;Controls!$B$11,"-",SUMIFS(Nominal_Activity!$M$2:$M$3000,Nominal_Activity!$C$2:$C$3000,$A71,Nominal_Activity!$G$2:$G$3000,"&gt;="&amp;DATE(Controls!$B$5,6,1),Nominal_Activity!$G$2:$G$3000,"&lt;="&amp;EOMONTH(DATE(Controls!$B$5,6,1),0),Nominal_Activity!$A$2:$A$3000,Controls!$B$7))</f>
        <v>0</v>
      </c>
      <c r="M71" s="68" t="str">
        <f aca="false">IF(7&gt;Controls!$B$11,"-",SUMIFS(Nominal_Activity!$M$2:$M$3000,Nominal_Activity!$C$2:$C$3000,$A71,Nominal_Activity!$G$2:$G$3000,"&gt;="&amp;DATE(Controls!$B$5,7,1),Nominal_Activity!$G$2:$G$3000,"&lt;="&amp;EOMONTH(DATE(Controls!$B$5,7,1),0),Nominal_Activity!$A$2:$A$3000,Controls!$B$7))</f>
        <v>-</v>
      </c>
      <c r="N71" s="68" t="str">
        <f aca="false">IF(8&gt;Controls!$B$11,"-",SUMIFS(Nominal_Activity!$M$2:$M$3000,Nominal_Activity!$C$2:$C$3000,$A71,Nominal_Activity!$G$2:$G$3000,"&gt;="&amp;DATE(Controls!$B$5,8,1),Nominal_Activity!$G$2:$G$3000,"&lt;="&amp;EOMONTH(DATE(Controls!$B$5,8,1),0),Nominal_Activity!$A$2:$A$3000,Controls!$B$7))</f>
        <v>-</v>
      </c>
      <c r="O71" s="68" t="str">
        <f aca="false">IF(9&gt;Controls!$B$11,"-",SUMIFS(Nominal_Activity!$M$2:$M$3000,Nominal_Activity!$C$2:$C$3000,$A71,Nominal_Activity!$G$2:$G$3000,"&gt;="&amp;DATE(Controls!$B$5,9,1),Nominal_Activity!$G$2:$G$3000,"&lt;="&amp;EOMONTH(DATE(Controls!$B$5,9,1),0),Nominal_Activity!$A$2:$A$3000,Controls!$B$7))</f>
        <v>-</v>
      </c>
      <c r="P71" s="68" t="str">
        <f aca="false">IF(10&gt;Controls!$B$11,"-",SUMIFS(Nominal_Activity!$M$2:$M$3000,Nominal_Activity!$C$2:$C$3000,$A71,Nominal_Activity!$G$2:$G$3000,"&gt;="&amp;DATE(Controls!$B$5,10,1),Nominal_Activity!$G$2:$G$3000,"&lt;="&amp;EOMONTH(DATE(Controls!$B$5,10,1),0),Nominal_Activity!$A$2:$A$3000,Controls!$B$7))</f>
        <v>-</v>
      </c>
      <c r="Q71" s="68" t="str">
        <f aca="false">IF(11&gt;Controls!$B$11,"-",SUMIFS(Nominal_Activity!$M$2:$M$3000,Nominal_Activity!$C$2:$C$3000,$A71,Nominal_Activity!$G$2:$G$3000,"&gt;="&amp;DATE(Controls!$B$5,11,1),Nominal_Activity!$G$2:$G$3000,"&lt;="&amp;EOMONTH(DATE(Controls!$B$5,11,1),0),Nominal_Activity!$A$2:$A$3000,Controls!$B$7))</f>
        <v>-</v>
      </c>
      <c r="R71" s="68" t="str">
        <f aca="false">IF(12&gt;Controls!$B$11,"-",SUMIFS(Nominal_Activity!$M$2:$M$3000,Nominal_Activity!$C$2:$C$3000,$A71,Nominal_Activity!$G$2:$G$3000,"&gt;="&amp;DATE(Controls!$B$5,12,1),Nominal_Activity!$G$2:$G$3000,"&lt;="&amp;EOMONTH(DATE(Controls!$B$5,12,1),0),Nominal_Activity!$A$2:$A$3000,Controls!$B$7))</f>
        <v>-</v>
      </c>
      <c r="S71" s="68" t="n">
        <f aca="false">SUM(G71:R71)</f>
        <v>0</v>
      </c>
      <c r="T71" s="68" t="n">
        <f aca="false">$F71-$S71</f>
        <v>0</v>
      </c>
      <c r="U71" s="77" t="n">
        <f aca="false">IFERROR($T71/$F71,0)</f>
        <v>0</v>
      </c>
      <c r="V71" s="68" t="n">
        <f aca="false">$S71*MM_FixedCost!G70</f>
        <v>0</v>
      </c>
      <c r="W71" s="68" t="n">
        <f aca="false">$S71-$V71</f>
        <v>0</v>
      </c>
      <c r="X71" s="135"/>
      <c r="Y71" s="136" t="n">
        <f aca="false">SUM($G71:$I71)</f>
        <v>0</v>
      </c>
      <c r="Z71" s="136" t="n">
        <f aca="false">$Y71*MM_FixedCost!$G70</f>
        <v>0</v>
      </c>
      <c r="AA71" s="136" t="n">
        <f aca="false">SUM($J71:$L71)</f>
        <v>0</v>
      </c>
      <c r="AB71" s="136" t="n">
        <f aca="false">$AA71*MM_FixedCost!$G70</f>
        <v>0</v>
      </c>
      <c r="AC71" s="136" t="n">
        <f aca="false">SUM($M71:$O71)</f>
        <v>0</v>
      </c>
      <c r="AD71" s="136" t="n">
        <f aca="false">$AC71*MM_FixedCost!$G70</f>
        <v>0</v>
      </c>
      <c r="AE71" s="136" t="n">
        <f aca="false">SUM($P71:$R71)</f>
        <v>0</v>
      </c>
      <c r="AF71" s="136" t="n">
        <f aca="false">$AE71*MM_FixedCost!$G70</f>
        <v>0</v>
      </c>
      <c r="AG71" s="136" t="n">
        <f aca="false">CHOOSE(VALUE(MID(Controls!$B$6,2,1)),$Z71,$AB71,$AD71,$AF71)</f>
        <v>0</v>
      </c>
    </row>
    <row r="72" customFormat="false" ht="13.5" hidden="false" customHeight="false" outlineLevel="0" collapsed="false">
      <c r="A72" s="67" t="n">
        <f aca="false">MM_FixedCost!A71</f>
        <v>7901</v>
      </c>
      <c r="B72" s="67" t="str">
        <f aca="false">MM_FixedCost!B71</f>
        <v>Mortgage interest payments</v>
      </c>
      <c r="C72" s="67" t="str">
        <f aca="false">MM_FixedCost!C71</f>
        <v>Financial Charges</v>
      </c>
      <c r="D72" s="67" t="str">
        <f aca="false">MM_FixedCost!E71</f>
        <v>Core</v>
      </c>
      <c r="E72" s="68" t="n">
        <f aca="false">MM_FixedCost!F71</f>
        <v>0</v>
      </c>
      <c r="F72" s="68" t="n">
        <f aca="false">$E72/12*Controls!$B$11</f>
        <v>0</v>
      </c>
      <c r="G72" s="68" t="n">
        <f aca="false">IF(1&gt;Controls!$B$11,"-",SUMIFS(Nominal_Activity!$M$2:$M$3000,Nominal_Activity!$C$2:$C$3000,$A72,Nominal_Activity!$G$2:$G$3000,"&gt;="&amp;DATE(Controls!$B$5,1,1),Nominal_Activity!$G$2:$G$3000,"&lt;="&amp;EOMONTH(DATE(Controls!$B$5,1,1),0),Nominal_Activity!$A$2:$A$3000,Controls!$B$7))</f>
        <v>0</v>
      </c>
      <c r="H72" s="68" t="n">
        <f aca="false">IF(2&gt;Controls!$B$11,"-",SUMIFS(Nominal_Activity!$M$2:$M$3000,Nominal_Activity!$C$2:$C$3000,$A72,Nominal_Activity!$G$2:$G$3000,"&gt;="&amp;DATE(Controls!$B$5,2,1),Nominal_Activity!$G$2:$G$3000,"&lt;="&amp;EOMONTH(DATE(Controls!$B$5,2,1),0),Nominal_Activity!$A$2:$A$3000,Controls!$B$7))</f>
        <v>0</v>
      </c>
      <c r="I72" s="68" t="n">
        <f aca="false">IF(3&gt;Controls!$B$11,"-",SUMIFS(Nominal_Activity!$M$2:$M$3000,Nominal_Activity!$C$2:$C$3000,$A72,Nominal_Activity!$G$2:$G$3000,"&gt;="&amp;DATE(Controls!$B$5,3,1),Nominal_Activity!$G$2:$G$3000,"&lt;="&amp;EOMONTH(DATE(Controls!$B$5,3,1),0),Nominal_Activity!$A$2:$A$3000,Controls!$B$7))</f>
        <v>0</v>
      </c>
      <c r="J72" s="68" t="n">
        <f aca="false">IF(4&gt;Controls!$B$11,"-",SUMIFS(Nominal_Activity!$M$2:$M$3000,Nominal_Activity!$C$2:$C$3000,$A72,Nominal_Activity!$G$2:$G$3000,"&gt;="&amp;DATE(Controls!$B$5,4,1),Nominal_Activity!$G$2:$G$3000,"&lt;="&amp;EOMONTH(DATE(Controls!$B$5,4,1),0),Nominal_Activity!$A$2:$A$3000,Controls!$B$7))</f>
        <v>0</v>
      </c>
      <c r="K72" s="68" t="n">
        <f aca="false">IF(5&gt;Controls!$B$11,"-",SUMIFS(Nominal_Activity!$M$2:$M$3000,Nominal_Activity!$C$2:$C$3000,$A72,Nominal_Activity!$G$2:$G$3000,"&gt;="&amp;DATE(Controls!$B$5,5,1),Nominal_Activity!$G$2:$G$3000,"&lt;="&amp;EOMONTH(DATE(Controls!$B$5,5,1),0),Nominal_Activity!$A$2:$A$3000,Controls!$B$7))</f>
        <v>0</v>
      </c>
      <c r="L72" s="68" t="n">
        <f aca="false">IF(6&gt;Controls!$B$11,"-",SUMIFS(Nominal_Activity!$M$2:$M$3000,Nominal_Activity!$C$2:$C$3000,$A72,Nominal_Activity!$G$2:$G$3000,"&gt;="&amp;DATE(Controls!$B$5,6,1),Nominal_Activity!$G$2:$G$3000,"&lt;="&amp;EOMONTH(DATE(Controls!$B$5,6,1),0),Nominal_Activity!$A$2:$A$3000,Controls!$B$7))</f>
        <v>0</v>
      </c>
      <c r="M72" s="68" t="str">
        <f aca="false">IF(7&gt;Controls!$B$11,"-",SUMIFS(Nominal_Activity!$M$2:$M$3000,Nominal_Activity!$C$2:$C$3000,$A72,Nominal_Activity!$G$2:$G$3000,"&gt;="&amp;DATE(Controls!$B$5,7,1),Nominal_Activity!$G$2:$G$3000,"&lt;="&amp;EOMONTH(DATE(Controls!$B$5,7,1),0),Nominal_Activity!$A$2:$A$3000,Controls!$B$7))</f>
        <v>-</v>
      </c>
      <c r="N72" s="68" t="str">
        <f aca="false">IF(8&gt;Controls!$B$11,"-",SUMIFS(Nominal_Activity!$M$2:$M$3000,Nominal_Activity!$C$2:$C$3000,$A72,Nominal_Activity!$G$2:$G$3000,"&gt;="&amp;DATE(Controls!$B$5,8,1),Nominal_Activity!$G$2:$G$3000,"&lt;="&amp;EOMONTH(DATE(Controls!$B$5,8,1),0),Nominal_Activity!$A$2:$A$3000,Controls!$B$7))</f>
        <v>-</v>
      </c>
      <c r="O72" s="68" t="str">
        <f aca="false">IF(9&gt;Controls!$B$11,"-",SUMIFS(Nominal_Activity!$M$2:$M$3000,Nominal_Activity!$C$2:$C$3000,$A72,Nominal_Activity!$G$2:$G$3000,"&gt;="&amp;DATE(Controls!$B$5,9,1),Nominal_Activity!$G$2:$G$3000,"&lt;="&amp;EOMONTH(DATE(Controls!$B$5,9,1),0),Nominal_Activity!$A$2:$A$3000,Controls!$B$7))</f>
        <v>-</v>
      </c>
      <c r="P72" s="68" t="str">
        <f aca="false">IF(10&gt;Controls!$B$11,"-",SUMIFS(Nominal_Activity!$M$2:$M$3000,Nominal_Activity!$C$2:$C$3000,$A72,Nominal_Activity!$G$2:$G$3000,"&gt;="&amp;DATE(Controls!$B$5,10,1),Nominal_Activity!$G$2:$G$3000,"&lt;="&amp;EOMONTH(DATE(Controls!$B$5,10,1),0),Nominal_Activity!$A$2:$A$3000,Controls!$B$7))</f>
        <v>-</v>
      </c>
      <c r="Q72" s="68" t="str">
        <f aca="false">IF(11&gt;Controls!$B$11,"-",SUMIFS(Nominal_Activity!$M$2:$M$3000,Nominal_Activity!$C$2:$C$3000,$A72,Nominal_Activity!$G$2:$G$3000,"&gt;="&amp;DATE(Controls!$B$5,11,1),Nominal_Activity!$G$2:$G$3000,"&lt;="&amp;EOMONTH(DATE(Controls!$B$5,11,1),0),Nominal_Activity!$A$2:$A$3000,Controls!$B$7))</f>
        <v>-</v>
      </c>
      <c r="R72" s="68" t="str">
        <f aca="false">IF(12&gt;Controls!$B$11,"-",SUMIFS(Nominal_Activity!$M$2:$M$3000,Nominal_Activity!$C$2:$C$3000,$A72,Nominal_Activity!$G$2:$G$3000,"&gt;="&amp;DATE(Controls!$B$5,12,1),Nominal_Activity!$G$2:$G$3000,"&lt;="&amp;EOMONTH(DATE(Controls!$B$5,12,1),0),Nominal_Activity!$A$2:$A$3000,Controls!$B$7))</f>
        <v>-</v>
      </c>
      <c r="S72" s="68" t="n">
        <f aca="false">SUM(G72:R72)</f>
        <v>0</v>
      </c>
      <c r="T72" s="68" t="n">
        <f aca="false">$F72-$S72</f>
        <v>0</v>
      </c>
      <c r="U72" s="77" t="n">
        <f aca="false">IFERROR($T72/$F72,0)</f>
        <v>0</v>
      </c>
      <c r="V72" s="68" t="n">
        <f aca="false">$S72*MM_FixedCost!G71</f>
        <v>0</v>
      </c>
      <c r="W72" s="68" t="n">
        <f aca="false">$S72-$V72</f>
        <v>0</v>
      </c>
      <c r="X72" s="135"/>
      <c r="Y72" s="136" t="n">
        <f aca="false">SUM($G72:$I72)</f>
        <v>0</v>
      </c>
      <c r="Z72" s="136" t="n">
        <f aca="false">$Y72*MM_FixedCost!$G71</f>
        <v>0</v>
      </c>
      <c r="AA72" s="136" t="n">
        <f aca="false">SUM($J72:$L72)</f>
        <v>0</v>
      </c>
      <c r="AB72" s="136" t="n">
        <f aca="false">$AA72*MM_FixedCost!$G71</f>
        <v>0</v>
      </c>
      <c r="AC72" s="136" t="n">
        <f aca="false">SUM($M72:$O72)</f>
        <v>0</v>
      </c>
      <c r="AD72" s="136" t="n">
        <f aca="false">$AC72*MM_FixedCost!$G71</f>
        <v>0</v>
      </c>
      <c r="AE72" s="136" t="n">
        <f aca="false">SUM($P72:$R72)</f>
        <v>0</v>
      </c>
      <c r="AF72" s="136" t="n">
        <f aca="false">$AE72*MM_FixedCost!$G71</f>
        <v>0</v>
      </c>
      <c r="AG72" s="136" t="n">
        <f aca="false">CHOOSE(VALUE(MID(Controls!$B$6,2,1)),$Z72,$AB72,$AD72,$AF72)</f>
        <v>0</v>
      </c>
    </row>
    <row r="73" customFormat="false" ht="13.5" hidden="false" customHeight="false" outlineLevel="0" collapsed="false">
      <c r="A73" s="67" t="n">
        <f aca="false">MM_FixedCost!A72</f>
        <v>7902</v>
      </c>
      <c r="B73" s="67" t="str">
        <f aca="false">MM_FixedCost!B72</f>
        <v>Loan Interest Paid</v>
      </c>
      <c r="C73" s="67" t="str">
        <f aca="false">MM_FixedCost!C72</f>
        <v>Financial Charges</v>
      </c>
      <c r="D73" s="67" t="str">
        <f aca="false">MM_FixedCost!E72</f>
        <v>Core</v>
      </c>
      <c r="E73" s="68" t="n">
        <f aca="false">MM_FixedCost!F72</f>
        <v>0</v>
      </c>
      <c r="F73" s="68" t="n">
        <f aca="false">$E73/12*Controls!$B$11</f>
        <v>0</v>
      </c>
      <c r="G73" s="68" t="n">
        <f aca="false">IF(1&gt;Controls!$B$11,"-",SUMIFS(Nominal_Activity!$M$2:$M$3000,Nominal_Activity!$C$2:$C$3000,$A73,Nominal_Activity!$G$2:$G$3000,"&gt;="&amp;DATE(Controls!$B$5,1,1),Nominal_Activity!$G$2:$G$3000,"&lt;="&amp;EOMONTH(DATE(Controls!$B$5,1,1),0),Nominal_Activity!$A$2:$A$3000,Controls!$B$7))</f>
        <v>0</v>
      </c>
      <c r="H73" s="68" t="n">
        <f aca="false">IF(2&gt;Controls!$B$11,"-",SUMIFS(Nominal_Activity!$M$2:$M$3000,Nominal_Activity!$C$2:$C$3000,$A73,Nominal_Activity!$G$2:$G$3000,"&gt;="&amp;DATE(Controls!$B$5,2,1),Nominal_Activity!$G$2:$G$3000,"&lt;="&amp;EOMONTH(DATE(Controls!$B$5,2,1),0),Nominal_Activity!$A$2:$A$3000,Controls!$B$7))</f>
        <v>0</v>
      </c>
      <c r="I73" s="68" t="n">
        <f aca="false">IF(3&gt;Controls!$B$11,"-",SUMIFS(Nominal_Activity!$M$2:$M$3000,Nominal_Activity!$C$2:$C$3000,$A73,Nominal_Activity!$G$2:$G$3000,"&gt;="&amp;DATE(Controls!$B$5,3,1),Nominal_Activity!$G$2:$G$3000,"&lt;="&amp;EOMONTH(DATE(Controls!$B$5,3,1),0),Nominal_Activity!$A$2:$A$3000,Controls!$B$7))</f>
        <v>0</v>
      </c>
      <c r="J73" s="68" t="n">
        <f aca="false">IF(4&gt;Controls!$B$11,"-",SUMIFS(Nominal_Activity!$M$2:$M$3000,Nominal_Activity!$C$2:$C$3000,$A73,Nominal_Activity!$G$2:$G$3000,"&gt;="&amp;DATE(Controls!$B$5,4,1),Nominal_Activity!$G$2:$G$3000,"&lt;="&amp;EOMONTH(DATE(Controls!$B$5,4,1),0),Nominal_Activity!$A$2:$A$3000,Controls!$B$7))</f>
        <v>0</v>
      </c>
      <c r="K73" s="68" t="n">
        <f aca="false">IF(5&gt;Controls!$B$11,"-",SUMIFS(Nominal_Activity!$M$2:$M$3000,Nominal_Activity!$C$2:$C$3000,$A73,Nominal_Activity!$G$2:$G$3000,"&gt;="&amp;DATE(Controls!$B$5,5,1),Nominal_Activity!$G$2:$G$3000,"&lt;="&amp;EOMONTH(DATE(Controls!$B$5,5,1),0),Nominal_Activity!$A$2:$A$3000,Controls!$B$7))</f>
        <v>0</v>
      </c>
      <c r="L73" s="68" t="n">
        <f aca="false">IF(6&gt;Controls!$B$11,"-",SUMIFS(Nominal_Activity!$M$2:$M$3000,Nominal_Activity!$C$2:$C$3000,$A73,Nominal_Activity!$G$2:$G$3000,"&gt;="&amp;DATE(Controls!$B$5,6,1),Nominal_Activity!$G$2:$G$3000,"&lt;="&amp;EOMONTH(DATE(Controls!$B$5,6,1),0),Nominal_Activity!$A$2:$A$3000,Controls!$B$7))</f>
        <v>0</v>
      </c>
      <c r="M73" s="68" t="str">
        <f aca="false">IF(7&gt;Controls!$B$11,"-",SUMIFS(Nominal_Activity!$M$2:$M$3000,Nominal_Activity!$C$2:$C$3000,$A73,Nominal_Activity!$G$2:$G$3000,"&gt;="&amp;DATE(Controls!$B$5,7,1),Nominal_Activity!$G$2:$G$3000,"&lt;="&amp;EOMONTH(DATE(Controls!$B$5,7,1),0),Nominal_Activity!$A$2:$A$3000,Controls!$B$7))</f>
        <v>-</v>
      </c>
      <c r="N73" s="68" t="str">
        <f aca="false">IF(8&gt;Controls!$B$11,"-",SUMIFS(Nominal_Activity!$M$2:$M$3000,Nominal_Activity!$C$2:$C$3000,$A73,Nominal_Activity!$G$2:$G$3000,"&gt;="&amp;DATE(Controls!$B$5,8,1),Nominal_Activity!$G$2:$G$3000,"&lt;="&amp;EOMONTH(DATE(Controls!$B$5,8,1),0),Nominal_Activity!$A$2:$A$3000,Controls!$B$7))</f>
        <v>-</v>
      </c>
      <c r="O73" s="68" t="str">
        <f aca="false">IF(9&gt;Controls!$B$11,"-",SUMIFS(Nominal_Activity!$M$2:$M$3000,Nominal_Activity!$C$2:$C$3000,$A73,Nominal_Activity!$G$2:$G$3000,"&gt;="&amp;DATE(Controls!$B$5,9,1),Nominal_Activity!$G$2:$G$3000,"&lt;="&amp;EOMONTH(DATE(Controls!$B$5,9,1),0),Nominal_Activity!$A$2:$A$3000,Controls!$B$7))</f>
        <v>-</v>
      </c>
      <c r="P73" s="68" t="str">
        <f aca="false">IF(10&gt;Controls!$B$11,"-",SUMIFS(Nominal_Activity!$M$2:$M$3000,Nominal_Activity!$C$2:$C$3000,$A73,Nominal_Activity!$G$2:$G$3000,"&gt;="&amp;DATE(Controls!$B$5,10,1),Nominal_Activity!$G$2:$G$3000,"&lt;="&amp;EOMONTH(DATE(Controls!$B$5,10,1),0),Nominal_Activity!$A$2:$A$3000,Controls!$B$7))</f>
        <v>-</v>
      </c>
      <c r="Q73" s="68" t="str">
        <f aca="false">IF(11&gt;Controls!$B$11,"-",SUMIFS(Nominal_Activity!$M$2:$M$3000,Nominal_Activity!$C$2:$C$3000,$A73,Nominal_Activity!$G$2:$G$3000,"&gt;="&amp;DATE(Controls!$B$5,11,1),Nominal_Activity!$G$2:$G$3000,"&lt;="&amp;EOMONTH(DATE(Controls!$B$5,11,1),0),Nominal_Activity!$A$2:$A$3000,Controls!$B$7))</f>
        <v>-</v>
      </c>
      <c r="R73" s="68" t="str">
        <f aca="false">IF(12&gt;Controls!$B$11,"-",SUMIFS(Nominal_Activity!$M$2:$M$3000,Nominal_Activity!$C$2:$C$3000,$A73,Nominal_Activity!$G$2:$G$3000,"&gt;="&amp;DATE(Controls!$B$5,12,1),Nominal_Activity!$G$2:$G$3000,"&lt;="&amp;EOMONTH(DATE(Controls!$B$5,12,1),0),Nominal_Activity!$A$2:$A$3000,Controls!$B$7))</f>
        <v>-</v>
      </c>
      <c r="S73" s="68" t="n">
        <f aca="false">SUM(G73:R73)</f>
        <v>0</v>
      </c>
      <c r="T73" s="68" t="n">
        <f aca="false">$F73-$S73</f>
        <v>0</v>
      </c>
      <c r="U73" s="77" t="n">
        <f aca="false">IFERROR($T73/$F73,0)</f>
        <v>0</v>
      </c>
      <c r="V73" s="68" t="n">
        <f aca="false">$S73*MM_FixedCost!G72</f>
        <v>0</v>
      </c>
      <c r="W73" s="68" t="n">
        <f aca="false">$S73-$V73</f>
        <v>0</v>
      </c>
      <c r="X73" s="135"/>
      <c r="Y73" s="136" t="n">
        <f aca="false">SUM($G73:$I73)</f>
        <v>0</v>
      </c>
      <c r="Z73" s="136" t="n">
        <f aca="false">$Y73*MM_FixedCost!$G72</f>
        <v>0</v>
      </c>
      <c r="AA73" s="136" t="n">
        <f aca="false">SUM($J73:$L73)</f>
        <v>0</v>
      </c>
      <c r="AB73" s="136" t="n">
        <f aca="false">$AA73*MM_FixedCost!$G72</f>
        <v>0</v>
      </c>
      <c r="AC73" s="136" t="n">
        <f aca="false">SUM($M73:$O73)</f>
        <v>0</v>
      </c>
      <c r="AD73" s="136" t="n">
        <f aca="false">$AC73*MM_FixedCost!$G72</f>
        <v>0</v>
      </c>
      <c r="AE73" s="136" t="n">
        <f aca="false">SUM($P73:$R73)</f>
        <v>0</v>
      </c>
      <c r="AF73" s="136" t="n">
        <f aca="false">$AE73*MM_FixedCost!$G72</f>
        <v>0</v>
      </c>
      <c r="AG73" s="136" t="n">
        <f aca="false">CHOOSE(VALUE(MID(Controls!$B$6,2,1)),$Z73,$AB73,$AD73,$AF73)</f>
        <v>0</v>
      </c>
    </row>
    <row r="74" customFormat="false" ht="13.5" hidden="false" customHeight="false" outlineLevel="0" collapsed="false">
      <c r="A74" s="67" t="n">
        <f aca="false">MM_FixedCost!A73</f>
        <v>7910</v>
      </c>
      <c r="B74" s="67" t="str">
        <f aca="false">MM_FixedCost!B73</f>
        <v>Bank Charges</v>
      </c>
      <c r="C74" s="67" t="str">
        <f aca="false">MM_FixedCost!C73</f>
        <v>Financial Charges</v>
      </c>
      <c r="D74" s="67" t="str">
        <f aca="false">MM_FixedCost!E73</f>
        <v>Core</v>
      </c>
      <c r="E74" s="68" t="n">
        <f aca="false">MM_FixedCost!F73</f>
        <v>45000</v>
      </c>
      <c r="F74" s="68" t="n">
        <f aca="false">$E74/12*Controls!$B$11</f>
        <v>22500</v>
      </c>
      <c r="G74" s="68" t="n">
        <f aca="false">IF(1&gt;Controls!$B$11,"-",SUMIFS(Nominal_Activity!$M$2:$M$3000,Nominal_Activity!$C$2:$C$3000,$A74,Nominal_Activity!$G$2:$G$3000,"&gt;="&amp;DATE(Controls!$B$5,1,1),Nominal_Activity!$G$2:$G$3000,"&lt;="&amp;EOMONTH(DATE(Controls!$B$5,1,1),0),Nominal_Activity!$A$2:$A$3000,Controls!$B$7))</f>
        <v>1976.98</v>
      </c>
      <c r="H74" s="68" t="n">
        <f aca="false">IF(2&gt;Controls!$B$11,"-",SUMIFS(Nominal_Activity!$M$2:$M$3000,Nominal_Activity!$C$2:$C$3000,$A74,Nominal_Activity!$G$2:$G$3000,"&gt;="&amp;DATE(Controls!$B$5,2,1),Nominal_Activity!$G$2:$G$3000,"&lt;="&amp;EOMONTH(DATE(Controls!$B$5,2,1),0),Nominal_Activity!$A$2:$A$3000,Controls!$B$7))</f>
        <v>3839.5</v>
      </c>
      <c r="I74" s="68" t="n">
        <f aca="false">IF(3&gt;Controls!$B$11,"-",SUMIFS(Nominal_Activity!$M$2:$M$3000,Nominal_Activity!$C$2:$C$3000,$A74,Nominal_Activity!$G$2:$G$3000,"&gt;="&amp;DATE(Controls!$B$5,3,1),Nominal_Activity!$G$2:$G$3000,"&lt;="&amp;EOMONTH(DATE(Controls!$B$5,3,1),0),Nominal_Activity!$A$2:$A$3000,Controls!$B$7))</f>
        <v>2991.78</v>
      </c>
      <c r="J74" s="68" t="n">
        <f aca="false">IF(4&gt;Controls!$B$11,"-",SUMIFS(Nominal_Activity!$M$2:$M$3000,Nominal_Activity!$C$2:$C$3000,$A74,Nominal_Activity!$G$2:$G$3000,"&gt;="&amp;DATE(Controls!$B$5,4,1),Nominal_Activity!$G$2:$G$3000,"&lt;="&amp;EOMONTH(DATE(Controls!$B$5,4,1),0),Nominal_Activity!$A$2:$A$3000,Controls!$B$7))</f>
        <v>8805.85</v>
      </c>
      <c r="K74" s="68" t="n">
        <f aca="false">IF(5&gt;Controls!$B$11,"-",SUMIFS(Nominal_Activity!$M$2:$M$3000,Nominal_Activity!$C$2:$C$3000,$A74,Nominal_Activity!$G$2:$G$3000,"&gt;="&amp;DATE(Controls!$B$5,5,1),Nominal_Activity!$G$2:$G$3000,"&lt;="&amp;EOMONTH(DATE(Controls!$B$5,5,1),0),Nominal_Activity!$A$2:$A$3000,Controls!$B$7))</f>
        <v>5208.53</v>
      </c>
      <c r="L74" s="68" t="n">
        <f aca="false">IF(6&gt;Controls!$B$11,"-",SUMIFS(Nominal_Activity!$M$2:$M$3000,Nominal_Activity!$C$2:$C$3000,$A74,Nominal_Activity!$G$2:$G$3000,"&gt;="&amp;DATE(Controls!$B$5,6,1),Nominal_Activity!$G$2:$G$3000,"&lt;="&amp;EOMONTH(DATE(Controls!$B$5,6,1),0),Nominal_Activity!$A$2:$A$3000,Controls!$B$7))</f>
        <v>3509.16</v>
      </c>
      <c r="M74" s="68" t="str">
        <f aca="false">IF(7&gt;Controls!$B$11,"-",SUMIFS(Nominal_Activity!$M$2:$M$3000,Nominal_Activity!$C$2:$C$3000,$A74,Nominal_Activity!$G$2:$G$3000,"&gt;="&amp;DATE(Controls!$B$5,7,1),Nominal_Activity!$G$2:$G$3000,"&lt;="&amp;EOMONTH(DATE(Controls!$B$5,7,1),0),Nominal_Activity!$A$2:$A$3000,Controls!$B$7))</f>
        <v>-</v>
      </c>
      <c r="N74" s="68" t="str">
        <f aca="false">IF(8&gt;Controls!$B$11,"-",SUMIFS(Nominal_Activity!$M$2:$M$3000,Nominal_Activity!$C$2:$C$3000,$A74,Nominal_Activity!$G$2:$G$3000,"&gt;="&amp;DATE(Controls!$B$5,8,1),Nominal_Activity!$G$2:$G$3000,"&lt;="&amp;EOMONTH(DATE(Controls!$B$5,8,1),0),Nominal_Activity!$A$2:$A$3000,Controls!$B$7))</f>
        <v>-</v>
      </c>
      <c r="O74" s="68" t="str">
        <f aca="false">IF(9&gt;Controls!$B$11,"-",SUMIFS(Nominal_Activity!$M$2:$M$3000,Nominal_Activity!$C$2:$C$3000,$A74,Nominal_Activity!$G$2:$G$3000,"&gt;="&amp;DATE(Controls!$B$5,9,1),Nominal_Activity!$G$2:$G$3000,"&lt;="&amp;EOMONTH(DATE(Controls!$B$5,9,1),0),Nominal_Activity!$A$2:$A$3000,Controls!$B$7))</f>
        <v>-</v>
      </c>
      <c r="P74" s="68" t="str">
        <f aca="false">IF(10&gt;Controls!$B$11,"-",SUMIFS(Nominal_Activity!$M$2:$M$3000,Nominal_Activity!$C$2:$C$3000,$A74,Nominal_Activity!$G$2:$G$3000,"&gt;="&amp;DATE(Controls!$B$5,10,1),Nominal_Activity!$G$2:$G$3000,"&lt;="&amp;EOMONTH(DATE(Controls!$B$5,10,1),0),Nominal_Activity!$A$2:$A$3000,Controls!$B$7))</f>
        <v>-</v>
      </c>
      <c r="Q74" s="68" t="str">
        <f aca="false">IF(11&gt;Controls!$B$11,"-",SUMIFS(Nominal_Activity!$M$2:$M$3000,Nominal_Activity!$C$2:$C$3000,$A74,Nominal_Activity!$G$2:$G$3000,"&gt;="&amp;DATE(Controls!$B$5,11,1),Nominal_Activity!$G$2:$G$3000,"&lt;="&amp;EOMONTH(DATE(Controls!$B$5,11,1),0),Nominal_Activity!$A$2:$A$3000,Controls!$B$7))</f>
        <v>-</v>
      </c>
      <c r="R74" s="68" t="str">
        <f aca="false">IF(12&gt;Controls!$B$11,"-",SUMIFS(Nominal_Activity!$M$2:$M$3000,Nominal_Activity!$C$2:$C$3000,$A74,Nominal_Activity!$G$2:$G$3000,"&gt;="&amp;DATE(Controls!$B$5,12,1),Nominal_Activity!$G$2:$G$3000,"&lt;="&amp;EOMONTH(DATE(Controls!$B$5,12,1),0),Nominal_Activity!$A$2:$A$3000,Controls!$B$7))</f>
        <v>-</v>
      </c>
      <c r="S74" s="68" t="n">
        <f aca="false">SUM(G74:R74)</f>
        <v>26331.8</v>
      </c>
      <c r="T74" s="68" t="n">
        <f aca="false">$F74-$S74</f>
        <v>-3831.8</v>
      </c>
      <c r="U74" s="77" t="n">
        <f aca="false">IFERROR($T74/$F74,0)</f>
        <v>-0.170302222222222</v>
      </c>
      <c r="V74" s="68" t="n">
        <f aca="false">$S74*MM_FixedCost!G73</f>
        <v>0</v>
      </c>
      <c r="W74" s="68" t="n">
        <f aca="false">$S74-$V74</f>
        <v>26331.8</v>
      </c>
      <c r="X74" s="135"/>
      <c r="Y74" s="136" t="n">
        <f aca="false">SUM($G74:$I74)</f>
        <v>8808.26</v>
      </c>
      <c r="Z74" s="136" t="n">
        <f aca="false">$Y74*MM_FixedCost!$G73</f>
        <v>0</v>
      </c>
      <c r="AA74" s="136" t="n">
        <f aca="false">SUM($J74:$L74)</f>
        <v>17523.54</v>
      </c>
      <c r="AB74" s="136" t="n">
        <f aca="false">$AA74*MM_FixedCost!$G73</f>
        <v>0</v>
      </c>
      <c r="AC74" s="136" t="n">
        <f aca="false">SUM($M74:$O74)</f>
        <v>0</v>
      </c>
      <c r="AD74" s="136" t="n">
        <f aca="false">$AC74*MM_FixedCost!$G73</f>
        <v>0</v>
      </c>
      <c r="AE74" s="136" t="n">
        <f aca="false">SUM($P74:$R74)</f>
        <v>0</v>
      </c>
      <c r="AF74" s="136" t="n">
        <f aca="false">$AE74*MM_FixedCost!$G73</f>
        <v>0</v>
      </c>
      <c r="AG74" s="136" t="n">
        <f aca="false">CHOOSE(VALUE(MID(Controls!$B$6,2,1)),$Z74,$AB74,$AD74,$AF74)</f>
        <v>0</v>
      </c>
    </row>
    <row r="75" customFormat="false" ht="13.5" hidden="false" customHeight="false" outlineLevel="0" collapsed="false">
      <c r="A75" s="67" t="n">
        <f aca="false">MM_FixedCost!A74</f>
        <v>7911</v>
      </c>
      <c r="B75" s="67" t="str">
        <f aca="false">MM_FixedCost!B74</f>
        <v>Mortgage related costs</v>
      </c>
      <c r="C75" s="67" t="str">
        <f aca="false">MM_FixedCost!C74</f>
        <v>Financial Charges</v>
      </c>
      <c r="D75" s="67" t="str">
        <f aca="false">MM_FixedCost!E74</f>
        <v>Core</v>
      </c>
      <c r="E75" s="68" t="n">
        <f aca="false">MM_FixedCost!F74</f>
        <v>0</v>
      </c>
      <c r="F75" s="68" t="n">
        <f aca="false">$E75/12*Controls!$B$11</f>
        <v>0</v>
      </c>
      <c r="G75" s="68" t="n">
        <f aca="false">IF(1&gt;Controls!$B$11,"-",SUMIFS(Nominal_Activity!$M$2:$M$3000,Nominal_Activity!$C$2:$C$3000,$A75,Nominal_Activity!$G$2:$G$3000,"&gt;="&amp;DATE(Controls!$B$5,1,1),Nominal_Activity!$G$2:$G$3000,"&lt;="&amp;EOMONTH(DATE(Controls!$B$5,1,1),0),Nominal_Activity!$A$2:$A$3000,Controls!$B$7))</f>
        <v>0</v>
      </c>
      <c r="H75" s="68" t="n">
        <f aca="false">IF(2&gt;Controls!$B$11,"-",SUMIFS(Nominal_Activity!$M$2:$M$3000,Nominal_Activity!$C$2:$C$3000,$A75,Nominal_Activity!$G$2:$G$3000,"&gt;="&amp;DATE(Controls!$B$5,2,1),Nominal_Activity!$G$2:$G$3000,"&lt;="&amp;EOMONTH(DATE(Controls!$B$5,2,1),0),Nominal_Activity!$A$2:$A$3000,Controls!$B$7))</f>
        <v>0</v>
      </c>
      <c r="I75" s="68" t="n">
        <f aca="false">IF(3&gt;Controls!$B$11,"-",SUMIFS(Nominal_Activity!$M$2:$M$3000,Nominal_Activity!$C$2:$C$3000,$A75,Nominal_Activity!$G$2:$G$3000,"&gt;="&amp;DATE(Controls!$B$5,3,1),Nominal_Activity!$G$2:$G$3000,"&lt;="&amp;EOMONTH(DATE(Controls!$B$5,3,1),0),Nominal_Activity!$A$2:$A$3000,Controls!$B$7))</f>
        <v>0</v>
      </c>
      <c r="J75" s="68" t="n">
        <f aca="false">IF(4&gt;Controls!$B$11,"-",SUMIFS(Nominal_Activity!$M$2:$M$3000,Nominal_Activity!$C$2:$C$3000,$A75,Nominal_Activity!$G$2:$G$3000,"&gt;="&amp;DATE(Controls!$B$5,4,1),Nominal_Activity!$G$2:$G$3000,"&lt;="&amp;EOMONTH(DATE(Controls!$B$5,4,1),0),Nominal_Activity!$A$2:$A$3000,Controls!$B$7))</f>
        <v>0</v>
      </c>
      <c r="K75" s="68" t="n">
        <f aca="false">IF(5&gt;Controls!$B$11,"-",SUMIFS(Nominal_Activity!$M$2:$M$3000,Nominal_Activity!$C$2:$C$3000,$A75,Nominal_Activity!$G$2:$G$3000,"&gt;="&amp;DATE(Controls!$B$5,5,1),Nominal_Activity!$G$2:$G$3000,"&lt;="&amp;EOMONTH(DATE(Controls!$B$5,5,1),0),Nominal_Activity!$A$2:$A$3000,Controls!$B$7))</f>
        <v>0</v>
      </c>
      <c r="L75" s="68" t="n">
        <f aca="false">IF(6&gt;Controls!$B$11,"-",SUMIFS(Nominal_Activity!$M$2:$M$3000,Nominal_Activity!$C$2:$C$3000,$A75,Nominal_Activity!$G$2:$G$3000,"&gt;="&amp;DATE(Controls!$B$5,6,1),Nominal_Activity!$G$2:$G$3000,"&lt;="&amp;EOMONTH(DATE(Controls!$B$5,6,1),0),Nominal_Activity!$A$2:$A$3000,Controls!$B$7))</f>
        <v>0</v>
      </c>
      <c r="M75" s="68" t="str">
        <f aca="false">IF(7&gt;Controls!$B$11,"-",SUMIFS(Nominal_Activity!$M$2:$M$3000,Nominal_Activity!$C$2:$C$3000,$A75,Nominal_Activity!$G$2:$G$3000,"&gt;="&amp;DATE(Controls!$B$5,7,1),Nominal_Activity!$G$2:$G$3000,"&lt;="&amp;EOMONTH(DATE(Controls!$B$5,7,1),0),Nominal_Activity!$A$2:$A$3000,Controls!$B$7))</f>
        <v>-</v>
      </c>
      <c r="N75" s="68" t="str">
        <f aca="false">IF(8&gt;Controls!$B$11,"-",SUMIFS(Nominal_Activity!$M$2:$M$3000,Nominal_Activity!$C$2:$C$3000,$A75,Nominal_Activity!$G$2:$G$3000,"&gt;="&amp;DATE(Controls!$B$5,8,1),Nominal_Activity!$G$2:$G$3000,"&lt;="&amp;EOMONTH(DATE(Controls!$B$5,8,1),0),Nominal_Activity!$A$2:$A$3000,Controls!$B$7))</f>
        <v>-</v>
      </c>
      <c r="O75" s="68" t="str">
        <f aca="false">IF(9&gt;Controls!$B$11,"-",SUMIFS(Nominal_Activity!$M$2:$M$3000,Nominal_Activity!$C$2:$C$3000,$A75,Nominal_Activity!$G$2:$G$3000,"&gt;="&amp;DATE(Controls!$B$5,9,1),Nominal_Activity!$G$2:$G$3000,"&lt;="&amp;EOMONTH(DATE(Controls!$B$5,9,1),0),Nominal_Activity!$A$2:$A$3000,Controls!$B$7))</f>
        <v>-</v>
      </c>
      <c r="P75" s="68" t="str">
        <f aca="false">IF(10&gt;Controls!$B$11,"-",SUMIFS(Nominal_Activity!$M$2:$M$3000,Nominal_Activity!$C$2:$C$3000,$A75,Nominal_Activity!$G$2:$G$3000,"&gt;="&amp;DATE(Controls!$B$5,10,1),Nominal_Activity!$G$2:$G$3000,"&lt;="&amp;EOMONTH(DATE(Controls!$B$5,10,1),0),Nominal_Activity!$A$2:$A$3000,Controls!$B$7))</f>
        <v>-</v>
      </c>
      <c r="Q75" s="68" t="str">
        <f aca="false">IF(11&gt;Controls!$B$11,"-",SUMIFS(Nominal_Activity!$M$2:$M$3000,Nominal_Activity!$C$2:$C$3000,$A75,Nominal_Activity!$G$2:$G$3000,"&gt;="&amp;DATE(Controls!$B$5,11,1),Nominal_Activity!$G$2:$G$3000,"&lt;="&amp;EOMONTH(DATE(Controls!$B$5,11,1),0),Nominal_Activity!$A$2:$A$3000,Controls!$B$7))</f>
        <v>-</v>
      </c>
      <c r="R75" s="68" t="str">
        <f aca="false">IF(12&gt;Controls!$B$11,"-",SUMIFS(Nominal_Activity!$M$2:$M$3000,Nominal_Activity!$C$2:$C$3000,$A75,Nominal_Activity!$G$2:$G$3000,"&gt;="&amp;DATE(Controls!$B$5,12,1),Nominal_Activity!$G$2:$G$3000,"&lt;="&amp;EOMONTH(DATE(Controls!$B$5,12,1),0),Nominal_Activity!$A$2:$A$3000,Controls!$B$7))</f>
        <v>-</v>
      </c>
      <c r="S75" s="68" t="n">
        <f aca="false">SUM(G75:R75)</f>
        <v>0</v>
      </c>
      <c r="T75" s="68" t="n">
        <f aca="false">$F75-$S75</f>
        <v>0</v>
      </c>
      <c r="U75" s="77" t="n">
        <f aca="false">IFERROR($T75/$F75,0)</f>
        <v>0</v>
      </c>
      <c r="V75" s="68" t="n">
        <f aca="false">$S75*MM_FixedCost!G74</f>
        <v>0</v>
      </c>
      <c r="W75" s="68" t="n">
        <f aca="false">$S75-$V75</f>
        <v>0</v>
      </c>
      <c r="X75" s="135"/>
      <c r="Y75" s="136" t="n">
        <f aca="false">SUM($G75:$I75)</f>
        <v>0</v>
      </c>
      <c r="Z75" s="136" t="n">
        <f aca="false">$Y75*MM_FixedCost!$G74</f>
        <v>0</v>
      </c>
      <c r="AA75" s="136" t="n">
        <f aca="false">SUM($J75:$L75)</f>
        <v>0</v>
      </c>
      <c r="AB75" s="136" t="n">
        <f aca="false">$AA75*MM_FixedCost!$G74</f>
        <v>0</v>
      </c>
      <c r="AC75" s="136" t="n">
        <f aca="false">SUM($M75:$O75)</f>
        <v>0</v>
      </c>
      <c r="AD75" s="136" t="n">
        <f aca="false">$AC75*MM_FixedCost!$G74</f>
        <v>0</v>
      </c>
      <c r="AE75" s="136" t="n">
        <f aca="false">SUM($P75:$R75)</f>
        <v>0</v>
      </c>
      <c r="AF75" s="136" t="n">
        <f aca="false">$AE75*MM_FixedCost!$G74</f>
        <v>0</v>
      </c>
      <c r="AG75" s="136" t="n">
        <f aca="false">CHOOSE(VALUE(MID(Controls!$B$6,2,1)),$Z75,$AB75,$AD75,$AF75)</f>
        <v>0</v>
      </c>
    </row>
    <row r="76" customFormat="false" ht="13.5" hidden="false" customHeight="false" outlineLevel="0" collapsed="false">
      <c r="A76" s="67" t="n">
        <f aca="false">MM_FixedCost!A75</f>
        <v>7920</v>
      </c>
      <c r="B76" s="67" t="str">
        <f aca="false">MM_FixedCost!B75</f>
        <v>WHT on PCUK loan</v>
      </c>
      <c r="C76" s="67" t="str">
        <f aca="false">MM_FixedCost!C75</f>
        <v>Financial Charges</v>
      </c>
      <c r="D76" s="67" t="str">
        <f aca="false">MM_FixedCost!E75</f>
        <v>Core</v>
      </c>
      <c r="E76" s="68" t="n">
        <f aca="false">MM_FixedCost!F75</f>
        <v>0</v>
      </c>
      <c r="F76" s="68" t="n">
        <f aca="false">$E76/12*Controls!$B$11</f>
        <v>0</v>
      </c>
      <c r="G76" s="68" t="n">
        <f aca="false">IF(1&gt;Controls!$B$11,"-",SUMIFS(Nominal_Activity!$M$2:$M$3000,Nominal_Activity!$C$2:$C$3000,$A76,Nominal_Activity!$G$2:$G$3000,"&gt;="&amp;DATE(Controls!$B$5,1,1),Nominal_Activity!$G$2:$G$3000,"&lt;="&amp;EOMONTH(DATE(Controls!$B$5,1,1),0),Nominal_Activity!$A$2:$A$3000,Controls!$B$7))</f>
        <v>0</v>
      </c>
      <c r="H76" s="68" t="n">
        <f aca="false">IF(2&gt;Controls!$B$11,"-",SUMIFS(Nominal_Activity!$M$2:$M$3000,Nominal_Activity!$C$2:$C$3000,$A76,Nominal_Activity!$G$2:$G$3000,"&gt;="&amp;DATE(Controls!$B$5,2,1),Nominal_Activity!$G$2:$G$3000,"&lt;="&amp;EOMONTH(DATE(Controls!$B$5,2,1),0),Nominal_Activity!$A$2:$A$3000,Controls!$B$7))</f>
        <v>0</v>
      </c>
      <c r="I76" s="68" t="n">
        <f aca="false">IF(3&gt;Controls!$B$11,"-",SUMIFS(Nominal_Activity!$M$2:$M$3000,Nominal_Activity!$C$2:$C$3000,$A76,Nominal_Activity!$G$2:$G$3000,"&gt;="&amp;DATE(Controls!$B$5,3,1),Nominal_Activity!$G$2:$G$3000,"&lt;="&amp;EOMONTH(DATE(Controls!$B$5,3,1),0),Nominal_Activity!$A$2:$A$3000,Controls!$B$7))</f>
        <v>0</v>
      </c>
      <c r="J76" s="68" t="n">
        <f aca="false">IF(4&gt;Controls!$B$11,"-",SUMIFS(Nominal_Activity!$M$2:$M$3000,Nominal_Activity!$C$2:$C$3000,$A76,Nominal_Activity!$G$2:$G$3000,"&gt;="&amp;DATE(Controls!$B$5,4,1),Nominal_Activity!$G$2:$G$3000,"&lt;="&amp;EOMONTH(DATE(Controls!$B$5,4,1),0),Nominal_Activity!$A$2:$A$3000,Controls!$B$7))</f>
        <v>0</v>
      </c>
      <c r="K76" s="68" t="n">
        <f aca="false">IF(5&gt;Controls!$B$11,"-",SUMIFS(Nominal_Activity!$M$2:$M$3000,Nominal_Activity!$C$2:$C$3000,$A76,Nominal_Activity!$G$2:$G$3000,"&gt;="&amp;DATE(Controls!$B$5,5,1),Nominal_Activity!$G$2:$G$3000,"&lt;="&amp;EOMONTH(DATE(Controls!$B$5,5,1),0),Nominal_Activity!$A$2:$A$3000,Controls!$B$7))</f>
        <v>0</v>
      </c>
      <c r="L76" s="68" t="n">
        <f aca="false">IF(6&gt;Controls!$B$11,"-",SUMIFS(Nominal_Activity!$M$2:$M$3000,Nominal_Activity!$C$2:$C$3000,$A76,Nominal_Activity!$G$2:$G$3000,"&gt;="&amp;DATE(Controls!$B$5,6,1),Nominal_Activity!$G$2:$G$3000,"&lt;="&amp;EOMONTH(DATE(Controls!$B$5,6,1),0),Nominal_Activity!$A$2:$A$3000,Controls!$B$7))</f>
        <v>0</v>
      </c>
      <c r="M76" s="68" t="str">
        <f aca="false">IF(7&gt;Controls!$B$11,"-",SUMIFS(Nominal_Activity!$M$2:$M$3000,Nominal_Activity!$C$2:$C$3000,$A76,Nominal_Activity!$G$2:$G$3000,"&gt;="&amp;DATE(Controls!$B$5,7,1),Nominal_Activity!$G$2:$G$3000,"&lt;="&amp;EOMONTH(DATE(Controls!$B$5,7,1),0),Nominal_Activity!$A$2:$A$3000,Controls!$B$7))</f>
        <v>-</v>
      </c>
      <c r="N76" s="68" t="str">
        <f aca="false">IF(8&gt;Controls!$B$11,"-",SUMIFS(Nominal_Activity!$M$2:$M$3000,Nominal_Activity!$C$2:$C$3000,$A76,Nominal_Activity!$G$2:$G$3000,"&gt;="&amp;DATE(Controls!$B$5,8,1),Nominal_Activity!$G$2:$G$3000,"&lt;="&amp;EOMONTH(DATE(Controls!$B$5,8,1),0),Nominal_Activity!$A$2:$A$3000,Controls!$B$7))</f>
        <v>-</v>
      </c>
      <c r="O76" s="68" t="str">
        <f aca="false">IF(9&gt;Controls!$B$11,"-",SUMIFS(Nominal_Activity!$M$2:$M$3000,Nominal_Activity!$C$2:$C$3000,$A76,Nominal_Activity!$G$2:$G$3000,"&gt;="&amp;DATE(Controls!$B$5,9,1),Nominal_Activity!$G$2:$G$3000,"&lt;="&amp;EOMONTH(DATE(Controls!$B$5,9,1),0),Nominal_Activity!$A$2:$A$3000,Controls!$B$7))</f>
        <v>-</v>
      </c>
      <c r="P76" s="68" t="str">
        <f aca="false">IF(10&gt;Controls!$B$11,"-",SUMIFS(Nominal_Activity!$M$2:$M$3000,Nominal_Activity!$C$2:$C$3000,$A76,Nominal_Activity!$G$2:$G$3000,"&gt;="&amp;DATE(Controls!$B$5,10,1),Nominal_Activity!$G$2:$G$3000,"&lt;="&amp;EOMONTH(DATE(Controls!$B$5,10,1),0),Nominal_Activity!$A$2:$A$3000,Controls!$B$7))</f>
        <v>-</v>
      </c>
      <c r="Q76" s="68" t="str">
        <f aca="false">IF(11&gt;Controls!$B$11,"-",SUMIFS(Nominal_Activity!$M$2:$M$3000,Nominal_Activity!$C$2:$C$3000,$A76,Nominal_Activity!$G$2:$G$3000,"&gt;="&amp;DATE(Controls!$B$5,11,1),Nominal_Activity!$G$2:$G$3000,"&lt;="&amp;EOMONTH(DATE(Controls!$B$5,11,1),0),Nominal_Activity!$A$2:$A$3000,Controls!$B$7))</f>
        <v>-</v>
      </c>
      <c r="R76" s="68" t="str">
        <f aca="false">IF(12&gt;Controls!$B$11,"-",SUMIFS(Nominal_Activity!$M$2:$M$3000,Nominal_Activity!$C$2:$C$3000,$A76,Nominal_Activity!$G$2:$G$3000,"&gt;="&amp;DATE(Controls!$B$5,12,1),Nominal_Activity!$G$2:$G$3000,"&lt;="&amp;EOMONTH(DATE(Controls!$B$5,12,1),0),Nominal_Activity!$A$2:$A$3000,Controls!$B$7))</f>
        <v>-</v>
      </c>
      <c r="S76" s="68" t="n">
        <f aca="false">SUM(G76:R76)</f>
        <v>0</v>
      </c>
      <c r="T76" s="68" t="n">
        <f aca="false">$F76-$S76</f>
        <v>0</v>
      </c>
      <c r="U76" s="77" t="n">
        <f aca="false">IFERROR($T76/$F76,0)</f>
        <v>0</v>
      </c>
      <c r="V76" s="68" t="n">
        <f aca="false">$S76*MM_FixedCost!G75</f>
        <v>0</v>
      </c>
      <c r="W76" s="68" t="n">
        <f aca="false">$S76-$V76</f>
        <v>0</v>
      </c>
      <c r="X76" s="135"/>
      <c r="Y76" s="136" t="n">
        <f aca="false">SUM($G76:$I76)</f>
        <v>0</v>
      </c>
      <c r="Z76" s="136" t="n">
        <f aca="false">$Y76*MM_FixedCost!$G75</f>
        <v>0</v>
      </c>
      <c r="AA76" s="136" t="n">
        <f aca="false">SUM($J76:$L76)</f>
        <v>0</v>
      </c>
      <c r="AB76" s="136" t="n">
        <f aca="false">$AA76*MM_FixedCost!$G75</f>
        <v>0</v>
      </c>
      <c r="AC76" s="136" t="n">
        <f aca="false">SUM($M76:$O76)</f>
        <v>0</v>
      </c>
      <c r="AD76" s="136" t="n">
        <f aca="false">$AC76*MM_FixedCost!$G75</f>
        <v>0</v>
      </c>
      <c r="AE76" s="136" t="n">
        <f aca="false">SUM($P76:$R76)</f>
        <v>0</v>
      </c>
      <c r="AF76" s="136" t="n">
        <f aca="false">$AE76*MM_FixedCost!$G75</f>
        <v>0</v>
      </c>
      <c r="AG76" s="136" t="n">
        <f aca="false">CHOOSE(VALUE(MID(Controls!$B$6,2,1)),$Z76,$AB76,$AD76,$AF76)</f>
        <v>0</v>
      </c>
    </row>
    <row r="77" customFormat="false" ht="13.5" hidden="false" customHeight="false" outlineLevel="0" collapsed="false">
      <c r="A77" s="67" t="n">
        <f aca="false">MM_FixedCost!A76</f>
        <v>7930</v>
      </c>
      <c r="B77" s="67" t="str">
        <f aca="false">MM_FixedCost!B76</f>
        <v>Cash Advance Fees</v>
      </c>
      <c r="C77" s="67" t="str">
        <f aca="false">MM_FixedCost!C76</f>
        <v>Financial Charges</v>
      </c>
      <c r="D77" s="67" t="str">
        <f aca="false">MM_FixedCost!E76</f>
        <v>Core</v>
      </c>
      <c r="E77" s="68" t="n">
        <f aca="false">MM_FixedCost!F76</f>
        <v>0</v>
      </c>
      <c r="F77" s="68" t="n">
        <f aca="false">$E77/12*Controls!$B$11</f>
        <v>0</v>
      </c>
      <c r="G77" s="68" t="n">
        <f aca="false">IF(1&gt;Controls!$B$11,"-",SUMIFS(Nominal_Activity!$M$2:$M$3000,Nominal_Activity!$C$2:$C$3000,$A77,Nominal_Activity!$G$2:$G$3000,"&gt;="&amp;DATE(Controls!$B$5,1,1),Nominal_Activity!$G$2:$G$3000,"&lt;="&amp;EOMONTH(DATE(Controls!$B$5,1,1),0),Nominal_Activity!$A$2:$A$3000,Controls!$B$7))</f>
        <v>0</v>
      </c>
      <c r="H77" s="68" t="n">
        <f aca="false">IF(2&gt;Controls!$B$11,"-",SUMIFS(Nominal_Activity!$M$2:$M$3000,Nominal_Activity!$C$2:$C$3000,$A77,Nominal_Activity!$G$2:$G$3000,"&gt;="&amp;DATE(Controls!$B$5,2,1),Nominal_Activity!$G$2:$G$3000,"&lt;="&amp;EOMONTH(DATE(Controls!$B$5,2,1),0),Nominal_Activity!$A$2:$A$3000,Controls!$B$7))</f>
        <v>0</v>
      </c>
      <c r="I77" s="68" t="n">
        <f aca="false">IF(3&gt;Controls!$B$11,"-",SUMIFS(Nominal_Activity!$M$2:$M$3000,Nominal_Activity!$C$2:$C$3000,$A77,Nominal_Activity!$G$2:$G$3000,"&gt;="&amp;DATE(Controls!$B$5,3,1),Nominal_Activity!$G$2:$G$3000,"&lt;="&amp;EOMONTH(DATE(Controls!$B$5,3,1),0),Nominal_Activity!$A$2:$A$3000,Controls!$B$7))</f>
        <v>0</v>
      </c>
      <c r="J77" s="68" t="n">
        <f aca="false">IF(4&gt;Controls!$B$11,"-",SUMIFS(Nominal_Activity!$M$2:$M$3000,Nominal_Activity!$C$2:$C$3000,$A77,Nominal_Activity!$G$2:$G$3000,"&gt;="&amp;DATE(Controls!$B$5,4,1),Nominal_Activity!$G$2:$G$3000,"&lt;="&amp;EOMONTH(DATE(Controls!$B$5,4,1),0),Nominal_Activity!$A$2:$A$3000,Controls!$B$7))</f>
        <v>0</v>
      </c>
      <c r="K77" s="68" t="n">
        <f aca="false">IF(5&gt;Controls!$B$11,"-",SUMIFS(Nominal_Activity!$M$2:$M$3000,Nominal_Activity!$C$2:$C$3000,$A77,Nominal_Activity!$G$2:$G$3000,"&gt;="&amp;DATE(Controls!$B$5,5,1),Nominal_Activity!$G$2:$G$3000,"&lt;="&amp;EOMONTH(DATE(Controls!$B$5,5,1),0),Nominal_Activity!$A$2:$A$3000,Controls!$B$7))</f>
        <v>0</v>
      </c>
      <c r="L77" s="68" t="n">
        <f aca="false">IF(6&gt;Controls!$B$11,"-",SUMIFS(Nominal_Activity!$M$2:$M$3000,Nominal_Activity!$C$2:$C$3000,$A77,Nominal_Activity!$G$2:$G$3000,"&gt;="&amp;DATE(Controls!$B$5,6,1),Nominal_Activity!$G$2:$G$3000,"&lt;="&amp;EOMONTH(DATE(Controls!$B$5,6,1),0),Nominal_Activity!$A$2:$A$3000,Controls!$B$7))</f>
        <v>0</v>
      </c>
      <c r="M77" s="68" t="str">
        <f aca="false">IF(7&gt;Controls!$B$11,"-",SUMIFS(Nominal_Activity!$M$2:$M$3000,Nominal_Activity!$C$2:$C$3000,$A77,Nominal_Activity!$G$2:$G$3000,"&gt;="&amp;DATE(Controls!$B$5,7,1),Nominal_Activity!$G$2:$G$3000,"&lt;="&amp;EOMONTH(DATE(Controls!$B$5,7,1),0),Nominal_Activity!$A$2:$A$3000,Controls!$B$7))</f>
        <v>-</v>
      </c>
      <c r="N77" s="68" t="str">
        <f aca="false">IF(8&gt;Controls!$B$11,"-",SUMIFS(Nominal_Activity!$M$2:$M$3000,Nominal_Activity!$C$2:$C$3000,$A77,Nominal_Activity!$G$2:$G$3000,"&gt;="&amp;DATE(Controls!$B$5,8,1),Nominal_Activity!$G$2:$G$3000,"&lt;="&amp;EOMONTH(DATE(Controls!$B$5,8,1),0),Nominal_Activity!$A$2:$A$3000,Controls!$B$7))</f>
        <v>-</v>
      </c>
      <c r="O77" s="68" t="str">
        <f aca="false">IF(9&gt;Controls!$B$11,"-",SUMIFS(Nominal_Activity!$M$2:$M$3000,Nominal_Activity!$C$2:$C$3000,$A77,Nominal_Activity!$G$2:$G$3000,"&gt;="&amp;DATE(Controls!$B$5,9,1),Nominal_Activity!$G$2:$G$3000,"&lt;="&amp;EOMONTH(DATE(Controls!$B$5,9,1),0),Nominal_Activity!$A$2:$A$3000,Controls!$B$7))</f>
        <v>-</v>
      </c>
      <c r="P77" s="68" t="str">
        <f aca="false">IF(10&gt;Controls!$B$11,"-",SUMIFS(Nominal_Activity!$M$2:$M$3000,Nominal_Activity!$C$2:$C$3000,$A77,Nominal_Activity!$G$2:$G$3000,"&gt;="&amp;DATE(Controls!$B$5,10,1),Nominal_Activity!$G$2:$G$3000,"&lt;="&amp;EOMONTH(DATE(Controls!$B$5,10,1),0),Nominal_Activity!$A$2:$A$3000,Controls!$B$7))</f>
        <v>-</v>
      </c>
      <c r="Q77" s="68" t="str">
        <f aca="false">IF(11&gt;Controls!$B$11,"-",SUMIFS(Nominal_Activity!$M$2:$M$3000,Nominal_Activity!$C$2:$C$3000,$A77,Nominal_Activity!$G$2:$G$3000,"&gt;="&amp;DATE(Controls!$B$5,11,1),Nominal_Activity!$G$2:$G$3000,"&lt;="&amp;EOMONTH(DATE(Controls!$B$5,11,1),0),Nominal_Activity!$A$2:$A$3000,Controls!$B$7))</f>
        <v>-</v>
      </c>
      <c r="R77" s="68" t="str">
        <f aca="false">IF(12&gt;Controls!$B$11,"-",SUMIFS(Nominal_Activity!$M$2:$M$3000,Nominal_Activity!$C$2:$C$3000,$A77,Nominal_Activity!$G$2:$G$3000,"&gt;="&amp;DATE(Controls!$B$5,12,1),Nominal_Activity!$G$2:$G$3000,"&lt;="&amp;EOMONTH(DATE(Controls!$B$5,12,1),0),Nominal_Activity!$A$2:$A$3000,Controls!$B$7))</f>
        <v>-</v>
      </c>
      <c r="S77" s="68" t="n">
        <f aca="false">SUM(G77:R77)</f>
        <v>0</v>
      </c>
      <c r="T77" s="68" t="n">
        <f aca="false">$F77-$S77</f>
        <v>0</v>
      </c>
      <c r="U77" s="77" t="n">
        <f aca="false">IFERROR($T77/$F77,0)</f>
        <v>0</v>
      </c>
      <c r="V77" s="68" t="n">
        <f aca="false">$S77*MM_FixedCost!G76</f>
        <v>0</v>
      </c>
      <c r="W77" s="68" t="n">
        <f aca="false">$S77-$V77</f>
        <v>0</v>
      </c>
      <c r="X77" s="135"/>
      <c r="Y77" s="136" t="n">
        <f aca="false">SUM($G77:$I77)</f>
        <v>0</v>
      </c>
      <c r="Z77" s="136" t="n">
        <f aca="false">$Y77*MM_FixedCost!$G76</f>
        <v>0</v>
      </c>
      <c r="AA77" s="136" t="n">
        <f aca="false">SUM($J77:$L77)</f>
        <v>0</v>
      </c>
      <c r="AB77" s="136" t="n">
        <f aca="false">$AA77*MM_FixedCost!$G76</f>
        <v>0</v>
      </c>
      <c r="AC77" s="136" t="n">
        <f aca="false">SUM($M77:$O77)</f>
        <v>0</v>
      </c>
      <c r="AD77" s="136" t="n">
        <f aca="false">$AC77*MM_FixedCost!$G76</f>
        <v>0</v>
      </c>
      <c r="AE77" s="136" t="n">
        <f aca="false">SUM($P77:$R77)</f>
        <v>0</v>
      </c>
      <c r="AF77" s="136" t="n">
        <f aca="false">$AE77*MM_FixedCost!$G76</f>
        <v>0</v>
      </c>
      <c r="AG77" s="136" t="n">
        <f aca="false">CHOOSE(VALUE(MID(Controls!$B$6,2,1)),$Z77,$AB77,$AD77,$AF77)</f>
        <v>0</v>
      </c>
    </row>
    <row r="78" customFormat="false" ht="13.5" hidden="false" customHeight="false" outlineLevel="0" collapsed="false">
      <c r="A78" s="67" t="n">
        <f aca="false">MM_FixedCost!A77</f>
        <v>7940</v>
      </c>
      <c r="B78" s="67" t="str">
        <f aca="false">MM_FixedCost!B77</f>
        <v>Exchange Rate Variance</v>
      </c>
      <c r="C78" s="67" t="str">
        <f aca="false">MM_FixedCost!C77</f>
        <v>Foreign Exchange Losses / (Gains)</v>
      </c>
      <c r="D78" s="67" t="str">
        <f aca="false">MM_FixedCost!E77</f>
        <v>Core</v>
      </c>
      <c r="E78" s="68" t="n">
        <f aca="false">MM_FixedCost!F77</f>
        <v>0</v>
      </c>
      <c r="F78" s="68" t="n">
        <f aca="false">$E78/12*Controls!$B$11</f>
        <v>0</v>
      </c>
      <c r="G78" s="68" t="n">
        <f aca="false">IF(1&gt;Controls!$B$11,"-",SUMIFS(Nominal_Activity!$M$2:$M$3000,Nominal_Activity!$C$2:$C$3000,$A78,Nominal_Activity!$G$2:$G$3000,"&gt;="&amp;DATE(Controls!$B$5,1,1),Nominal_Activity!$G$2:$G$3000,"&lt;="&amp;EOMONTH(DATE(Controls!$B$5,1,1),0),Nominal_Activity!$A$2:$A$3000,Controls!$B$7))</f>
        <v>1.26</v>
      </c>
      <c r="H78" s="68" t="n">
        <f aca="false">IF(2&gt;Controls!$B$11,"-",SUMIFS(Nominal_Activity!$M$2:$M$3000,Nominal_Activity!$C$2:$C$3000,$A78,Nominal_Activity!$G$2:$G$3000,"&gt;="&amp;DATE(Controls!$B$5,2,1),Nominal_Activity!$G$2:$G$3000,"&lt;="&amp;EOMONTH(DATE(Controls!$B$5,2,1),0),Nominal_Activity!$A$2:$A$3000,Controls!$B$7))</f>
        <v>-1</v>
      </c>
      <c r="I78" s="68" t="n">
        <f aca="false">IF(3&gt;Controls!$B$11,"-",SUMIFS(Nominal_Activity!$M$2:$M$3000,Nominal_Activity!$C$2:$C$3000,$A78,Nominal_Activity!$G$2:$G$3000,"&gt;="&amp;DATE(Controls!$B$5,3,1),Nominal_Activity!$G$2:$G$3000,"&lt;="&amp;EOMONTH(DATE(Controls!$B$5,3,1),0),Nominal_Activity!$A$2:$A$3000,Controls!$B$7))</f>
        <v>-61465.75</v>
      </c>
      <c r="J78" s="68" t="n">
        <f aca="false">IF(4&gt;Controls!$B$11,"-",SUMIFS(Nominal_Activity!$M$2:$M$3000,Nominal_Activity!$C$2:$C$3000,$A78,Nominal_Activity!$G$2:$G$3000,"&gt;="&amp;DATE(Controls!$B$5,4,1),Nominal_Activity!$G$2:$G$3000,"&lt;="&amp;EOMONTH(DATE(Controls!$B$5,4,1),0),Nominal_Activity!$A$2:$A$3000,Controls!$B$7))</f>
        <v>8247.2</v>
      </c>
      <c r="K78" s="68" t="n">
        <f aca="false">IF(5&gt;Controls!$B$11,"-",SUMIFS(Nominal_Activity!$M$2:$M$3000,Nominal_Activity!$C$2:$C$3000,$A78,Nominal_Activity!$G$2:$G$3000,"&gt;="&amp;DATE(Controls!$B$5,5,1),Nominal_Activity!$G$2:$G$3000,"&lt;="&amp;EOMONTH(DATE(Controls!$B$5,5,1),0),Nominal_Activity!$A$2:$A$3000,Controls!$B$7))</f>
        <v>1.54</v>
      </c>
      <c r="L78" s="68" t="n">
        <f aca="false">IF(6&gt;Controls!$B$11,"-",SUMIFS(Nominal_Activity!$M$2:$M$3000,Nominal_Activity!$C$2:$C$3000,$A78,Nominal_Activity!$G$2:$G$3000,"&gt;="&amp;DATE(Controls!$B$5,6,1),Nominal_Activity!$G$2:$G$3000,"&lt;="&amp;EOMONTH(DATE(Controls!$B$5,6,1),0),Nominal_Activity!$A$2:$A$3000,Controls!$B$7))</f>
        <v>-62911.78</v>
      </c>
      <c r="M78" s="68" t="str">
        <f aca="false">IF(7&gt;Controls!$B$11,"-",SUMIFS(Nominal_Activity!$M$2:$M$3000,Nominal_Activity!$C$2:$C$3000,$A78,Nominal_Activity!$G$2:$G$3000,"&gt;="&amp;DATE(Controls!$B$5,7,1),Nominal_Activity!$G$2:$G$3000,"&lt;="&amp;EOMONTH(DATE(Controls!$B$5,7,1),0),Nominal_Activity!$A$2:$A$3000,Controls!$B$7))</f>
        <v>-</v>
      </c>
      <c r="N78" s="68" t="str">
        <f aca="false">IF(8&gt;Controls!$B$11,"-",SUMIFS(Nominal_Activity!$M$2:$M$3000,Nominal_Activity!$C$2:$C$3000,$A78,Nominal_Activity!$G$2:$G$3000,"&gt;="&amp;DATE(Controls!$B$5,8,1),Nominal_Activity!$G$2:$G$3000,"&lt;="&amp;EOMONTH(DATE(Controls!$B$5,8,1),0),Nominal_Activity!$A$2:$A$3000,Controls!$B$7))</f>
        <v>-</v>
      </c>
      <c r="O78" s="68" t="str">
        <f aca="false">IF(9&gt;Controls!$B$11,"-",SUMIFS(Nominal_Activity!$M$2:$M$3000,Nominal_Activity!$C$2:$C$3000,$A78,Nominal_Activity!$G$2:$G$3000,"&gt;="&amp;DATE(Controls!$B$5,9,1),Nominal_Activity!$G$2:$G$3000,"&lt;="&amp;EOMONTH(DATE(Controls!$B$5,9,1),0),Nominal_Activity!$A$2:$A$3000,Controls!$B$7))</f>
        <v>-</v>
      </c>
      <c r="P78" s="68" t="str">
        <f aca="false">IF(10&gt;Controls!$B$11,"-",SUMIFS(Nominal_Activity!$M$2:$M$3000,Nominal_Activity!$C$2:$C$3000,$A78,Nominal_Activity!$G$2:$G$3000,"&gt;="&amp;DATE(Controls!$B$5,10,1),Nominal_Activity!$G$2:$G$3000,"&lt;="&amp;EOMONTH(DATE(Controls!$B$5,10,1),0),Nominal_Activity!$A$2:$A$3000,Controls!$B$7))</f>
        <v>-</v>
      </c>
      <c r="Q78" s="68" t="str">
        <f aca="false">IF(11&gt;Controls!$B$11,"-",SUMIFS(Nominal_Activity!$M$2:$M$3000,Nominal_Activity!$C$2:$C$3000,$A78,Nominal_Activity!$G$2:$G$3000,"&gt;="&amp;DATE(Controls!$B$5,11,1),Nominal_Activity!$G$2:$G$3000,"&lt;="&amp;EOMONTH(DATE(Controls!$B$5,11,1),0),Nominal_Activity!$A$2:$A$3000,Controls!$B$7))</f>
        <v>-</v>
      </c>
      <c r="R78" s="68" t="str">
        <f aca="false">IF(12&gt;Controls!$B$11,"-",SUMIFS(Nominal_Activity!$M$2:$M$3000,Nominal_Activity!$C$2:$C$3000,$A78,Nominal_Activity!$G$2:$G$3000,"&gt;="&amp;DATE(Controls!$B$5,12,1),Nominal_Activity!$G$2:$G$3000,"&lt;="&amp;EOMONTH(DATE(Controls!$B$5,12,1),0),Nominal_Activity!$A$2:$A$3000,Controls!$B$7))</f>
        <v>-</v>
      </c>
      <c r="S78" s="68" t="n">
        <f aca="false">SUM(G78:R78)</f>
        <v>-116128.53</v>
      </c>
      <c r="T78" s="68" t="n">
        <f aca="false">$F78-$S78</f>
        <v>116128.53</v>
      </c>
      <c r="U78" s="77" t="n">
        <f aca="false">IFERROR($T78/$F78,0)</f>
        <v>0</v>
      </c>
      <c r="V78" s="68" t="n">
        <f aca="false">$S78*MM_FixedCost!G77</f>
        <v>-0</v>
      </c>
      <c r="W78" s="68" t="n">
        <f aca="false">$S78-$V78</f>
        <v>-116128.53</v>
      </c>
      <c r="X78" s="135"/>
      <c r="Y78" s="136" t="n">
        <f aca="false">SUM($G78:$I78)</f>
        <v>-61465.49</v>
      </c>
      <c r="Z78" s="136" t="n">
        <f aca="false">$Y78*MM_FixedCost!$G77</f>
        <v>-0</v>
      </c>
      <c r="AA78" s="136" t="n">
        <f aca="false">SUM($J78:$L78)</f>
        <v>-54663.04</v>
      </c>
      <c r="AB78" s="136" t="n">
        <f aca="false">$AA78*MM_FixedCost!$G77</f>
        <v>-0</v>
      </c>
      <c r="AC78" s="136" t="n">
        <f aca="false">SUM($M78:$O78)</f>
        <v>0</v>
      </c>
      <c r="AD78" s="136" t="n">
        <f aca="false">$AC78*MM_FixedCost!$G77</f>
        <v>0</v>
      </c>
      <c r="AE78" s="136" t="n">
        <f aca="false">SUM($P78:$R78)</f>
        <v>0</v>
      </c>
      <c r="AF78" s="136" t="n">
        <f aca="false">$AE78*MM_FixedCost!$G77</f>
        <v>0</v>
      </c>
      <c r="AG78" s="136" t="n">
        <f aca="false">CHOOSE(VALUE(MID(Controls!$B$6,2,1)),$Z78,$AB78,$AD78,$AF78)</f>
        <v>-0</v>
      </c>
    </row>
    <row r="79" customFormat="false" ht="13.5" hidden="false" customHeight="false" outlineLevel="0" collapsed="false">
      <c r="A79" s="67" t="n">
        <f aca="false">MM_FixedCost!A78</f>
        <v>7950</v>
      </c>
      <c r="B79" s="67" t="str">
        <f aca="false">MM_FixedCost!B78</f>
        <v>Miscellaneous Taxes</v>
      </c>
      <c r="C79" s="67" t="str">
        <f aca="false">MM_FixedCost!C78</f>
        <v>Office Running costs</v>
      </c>
      <c r="D79" s="67" t="str">
        <f aca="false">MM_FixedCost!E78</f>
        <v>Core</v>
      </c>
      <c r="E79" s="68" t="n">
        <f aca="false">MM_FixedCost!F78</f>
        <v>0</v>
      </c>
      <c r="F79" s="68" t="n">
        <f aca="false">$E79/12*Controls!$B$11</f>
        <v>0</v>
      </c>
      <c r="G79" s="68" t="n">
        <f aca="false">IF(1&gt;Controls!$B$11,"-",SUMIFS(Nominal_Activity!$M$2:$M$3000,Nominal_Activity!$C$2:$C$3000,$A79,Nominal_Activity!$G$2:$G$3000,"&gt;="&amp;DATE(Controls!$B$5,1,1),Nominal_Activity!$G$2:$G$3000,"&lt;="&amp;EOMONTH(DATE(Controls!$B$5,1,1),0),Nominal_Activity!$A$2:$A$3000,Controls!$B$7))</f>
        <v>0</v>
      </c>
      <c r="H79" s="68" t="n">
        <f aca="false">IF(2&gt;Controls!$B$11,"-",SUMIFS(Nominal_Activity!$M$2:$M$3000,Nominal_Activity!$C$2:$C$3000,$A79,Nominal_Activity!$G$2:$G$3000,"&gt;="&amp;DATE(Controls!$B$5,2,1),Nominal_Activity!$G$2:$G$3000,"&lt;="&amp;EOMONTH(DATE(Controls!$B$5,2,1),0),Nominal_Activity!$A$2:$A$3000,Controls!$B$7))</f>
        <v>0</v>
      </c>
      <c r="I79" s="68" t="n">
        <f aca="false">IF(3&gt;Controls!$B$11,"-",SUMIFS(Nominal_Activity!$M$2:$M$3000,Nominal_Activity!$C$2:$C$3000,$A79,Nominal_Activity!$G$2:$G$3000,"&gt;="&amp;DATE(Controls!$B$5,3,1),Nominal_Activity!$G$2:$G$3000,"&lt;="&amp;EOMONTH(DATE(Controls!$B$5,3,1),0),Nominal_Activity!$A$2:$A$3000,Controls!$B$7))</f>
        <v>0</v>
      </c>
      <c r="J79" s="68" t="n">
        <f aca="false">IF(4&gt;Controls!$B$11,"-",SUMIFS(Nominal_Activity!$M$2:$M$3000,Nominal_Activity!$C$2:$C$3000,$A79,Nominal_Activity!$G$2:$G$3000,"&gt;="&amp;DATE(Controls!$B$5,4,1),Nominal_Activity!$G$2:$G$3000,"&lt;="&amp;EOMONTH(DATE(Controls!$B$5,4,1),0),Nominal_Activity!$A$2:$A$3000,Controls!$B$7))</f>
        <v>0</v>
      </c>
      <c r="K79" s="68" t="n">
        <f aca="false">IF(5&gt;Controls!$B$11,"-",SUMIFS(Nominal_Activity!$M$2:$M$3000,Nominal_Activity!$C$2:$C$3000,$A79,Nominal_Activity!$G$2:$G$3000,"&gt;="&amp;DATE(Controls!$B$5,5,1),Nominal_Activity!$G$2:$G$3000,"&lt;="&amp;EOMONTH(DATE(Controls!$B$5,5,1),0),Nominal_Activity!$A$2:$A$3000,Controls!$B$7))</f>
        <v>0</v>
      </c>
      <c r="L79" s="68" t="n">
        <f aca="false">IF(6&gt;Controls!$B$11,"-",SUMIFS(Nominal_Activity!$M$2:$M$3000,Nominal_Activity!$C$2:$C$3000,$A79,Nominal_Activity!$G$2:$G$3000,"&gt;="&amp;DATE(Controls!$B$5,6,1),Nominal_Activity!$G$2:$G$3000,"&lt;="&amp;EOMONTH(DATE(Controls!$B$5,6,1),0),Nominal_Activity!$A$2:$A$3000,Controls!$B$7))</f>
        <v>0</v>
      </c>
      <c r="M79" s="68" t="str">
        <f aca="false">IF(7&gt;Controls!$B$11,"-",SUMIFS(Nominal_Activity!$M$2:$M$3000,Nominal_Activity!$C$2:$C$3000,$A79,Nominal_Activity!$G$2:$G$3000,"&gt;="&amp;DATE(Controls!$B$5,7,1),Nominal_Activity!$G$2:$G$3000,"&lt;="&amp;EOMONTH(DATE(Controls!$B$5,7,1),0),Nominal_Activity!$A$2:$A$3000,Controls!$B$7))</f>
        <v>-</v>
      </c>
      <c r="N79" s="68" t="str">
        <f aca="false">IF(8&gt;Controls!$B$11,"-",SUMIFS(Nominal_Activity!$M$2:$M$3000,Nominal_Activity!$C$2:$C$3000,$A79,Nominal_Activity!$G$2:$G$3000,"&gt;="&amp;DATE(Controls!$B$5,8,1),Nominal_Activity!$G$2:$G$3000,"&lt;="&amp;EOMONTH(DATE(Controls!$B$5,8,1),0),Nominal_Activity!$A$2:$A$3000,Controls!$B$7))</f>
        <v>-</v>
      </c>
      <c r="O79" s="68" t="str">
        <f aca="false">IF(9&gt;Controls!$B$11,"-",SUMIFS(Nominal_Activity!$M$2:$M$3000,Nominal_Activity!$C$2:$C$3000,$A79,Nominal_Activity!$G$2:$G$3000,"&gt;="&amp;DATE(Controls!$B$5,9,1),Nominal_Activity!$G$2:$G$3000,"&lt;="&amp;EOMONTH(DATE(Controls!$B$5,9,1),0),Nominal_Activity!$A$2:$A$3000,Controls!$B$7))</f>
        <v>-</v>
      </c>
      <c r="P79" s="68" t="str">
        <f aca="false">IF(10&gt;Controls!$B$11,"-",SUMIFS(Nominal_Activity!$M$2:$M$3000,Nominal_Activity!$C$2:$C$3000,$A79,Nominal_Activity!$G$2:$G$3000,"&gt;="&amp;DATE(Controls!$B$5,10,1),Nominal_Activity!$G$2:$G$3000,"&lt;="&amp;EOMONTH(DATE(Controls!$B$5,10,1),0),Nominal_Activity!$A$2:$A$3000,Controls!$B$7))</f>
        <v>-</v>
      </c>
      <c r="Q79" s="68" t="str">
        <f aca="false">IF(11&gt;Controls!$B$11,"-",SUMIFS(Nominal_Activity!$M$2:$M$3000,Nominal_Activity!$C$2:$C$3000,$A79,Nominal_Activity!$G$2:$G$3000,"&gt;="&amp;DATE(Controls!$B$5,11,1),Nominal_Activity!$G$2:$G$3000,"&lt;="&amp;EOMONTH(DATE(Controls!$B$5,11,1),0),Nominal_Activity!$A$2:$A$3000,Controls!$B$7))</f>
        <v>-</v>
      </c>
      <c r="R79" s="68" t="str">
        <f aca="false">IF(12&gt;Controls!$B$11,"-",SUMIFS(Nominal_Activity!$M$2:$M$3000,Nominal_Activity!$C$2:$C$3000,$A79,Nominal_Activity!$G$2:$G$3000,"&gt;="&amp;DATE(Controls!$B$5,12,1),Nominal_Activity!$G$2:$G$3000,"&lt;="&amp;EOMONTH(DATE(Controls!$B$5,12,1),0),Nominal_Activity!$A$2:$A$3000,Controls!$B$7))</f>
        <v>-</v>
      </c>
      <c r="S79" s="68" t="n">
        <f aca="false">SUM(G79:R79)</f>
        <v>0</v>
      </c>
      <c r="T79" s="68" t="n">
        <f aca="false">$F79-$S79</f>
        <v>0</v>
      </c>
      <c r="U79" s="77" t="n">
        <f aca="false">IFERROR($T79/$F79,0)</f>
        <v>0</v>
      </c>
      <c r="V79" s="68" t="n">
        <f aca="false">$S79*MM_FixedCost!G78</f>
        <v>0</v>
      </c>
      <c r="W79" s="68" t="n">
        <f aca="false">$S79-$V79</f>
        <v>0</v>
      </c>
      <c r="X79" s="135"/>
      <c r="Y79" s="136" t="n">
        <f aca="false">SUM($G79:$I79)</f>
        <v>0</v>
      </c>
      <c r="Z79" s="136" t="n">
        <f aca="false">$Y79*MM_FixedCost!$G78</f>
        <v>0</v>
      </c>
      <c r="AA79" s="136" t="n">
        <f aca="false">SUM($J79:$L79)</f>
        <v>0</v>
      </c>
      <c r="AB79" s="136" t="n">
        <f aca="false">$AA79*MM_FixedCost!$G78</f>
        <v>0</v>
      </c>
      <c r="AC79" s="136" t="n">
        <f aca="false">SUM($M79:$O79)</f>
        <v>0</v>
      </c>
      <c r="AD79" s="136" t="n">
        <f aca="false">$AC79*MM_FixedCost!$G78</f>
        <v>0</v>
      </c>
      <c r="AE79" s="136" t="n">
        <f aca="false">SUM($P79:$R79)</f>
        <v>0</v>
      </c>
      <c r="AF79" s="136" t="n">
        <f aca="false">$AE79*MM_FixedCost!$G78</f>
        <v>0</v>
      </c>
      <c r="AG79" s="136" t="n">
        <f aca="false">CHOOSE(VALUE(MID(Controls!$B$6,2,1)),$Z79,$AB79,$AD79,$AF79)</f>
        <v>0</v>
      </c>
    </row>
    <row r="80" customFormat="false" ht="13.5" hidden="false" customHeight="false" outlineLevel="0" collapsed="false">
      <c r="B80" s="14" t="s">
        <v>310</v>
      </c>
      <c r="E80" s="81" t="n">
        <f aca="false">SUM(E6:E79)</f>
        <v>13774371.53</v>
      </c>
      <c r="F80" s="81" t="n">
        <f aca="false">SUM(F6:F79)</f>
        <v>6887185.765</v>
      </c>
      <c r="G80" s="81" t="n">
        <f aca="false">SUM(G6:G79)</f>
        <v>808249.14</v>
      </c>
      <c r="H80" s="81" t="n">
        <f aca="false">SUM(H6:H79)</f>
        <v>859273.6</v>
      </c>
      <c r="I80" s="81" t="n">
        <f aca="false">SUM(I6:I79)</f>
        <v>1111838.59</v>
      </c>
      <c r="J80" s="81" t="n">
        <f aca="false">SUM(J6:J79)</f>
        <v>874919.42</v>
      </c>
      <c r="K80" s="81" t="n">
        <f aca="false">SUM(K6:K79)</f>
        <v>982475.73</v>
      </c>
      <c r="L80" s="81" t="n">
        <f aca="false">SUM(L6:L79)</f>
        <v>1164957.09</v>
      </c>
      <c r="M80" s="81" t="n">
        <f aca="false">SUM(M6:M79)</f>
        <v>0</v>
      </c>
      <c r="N80" s="81" t="n">
        <f aca="false">SUM(N6:N79)</f>
        <v>0</v>
      </c>
      <c r="O80" s="81" t="n">
        <f aca="false">SUM(O6:O79)</f>
        <v>0</v>
      </c>
      <c r="P80" s="81" t="n">
        <f aca="false">SUM(P6:P79)</f>
        <v>0</v>
      </c>
      <c r="Q80" s="81" t="n">
        <f aca="false">SUM(Q6:Q79)</f>
        <v>0</v>
      </c>
      <c r="R80" s="81" t="n">
        <f aca="false">SUM(R6:R79)</f>
        <v>0</v>
      </c>
      <c r="S80" s="81" t="n">
        <f aca="false">SUM(S6:S79)</f>
        <v>5801713.57</v>
      </c>
      <c r="T80" s="81" t="n">
        <f aca="false">SUM(T6:T79)</f>
        <v>1085472.195</v>
      </c>
      <c r="U80" s="137" t="n">
        <f aca="false">IFERROR(T80/F80,0)</f>
        <v>0.157607509371427</v>
      </c>
      <c r="V80" s="81" t="n">
        <f aca="false">SUM(V6:V79)</f>
        <v>272202.16</v>
      </c>
      <c r="W80" s="81" t="n">
        <f aca="false">SUM(W6:W79)</f>
        <v>5529511.41</v>
      </c>
      <c r="Y80" s="138" t="n">
        <f aca="false">SUM(Y6:Y79)</f>
        <v>2779361.33</v>
      </c>
      <c r="Z80" s="138" t="n">
        <f aca="false">SUM(Z6:Z79)</f>
        <v>134538.6125</v>
      </c>
      <c r="AA80" s="138" t="n">
        <f aca="false">SUM(AA6:AA79)</f>
        <v>3022352.24</v>
      </c>
      <c r="AB80" s="138" t="n">
        <f aca="false">SUM(AB6:AB79)</f>
        <v>137663.5475</v>
      </c>
      <c r="AC80" s="138" t="n">
        <f aca="false">SUM(AC6:AC79)</f>
        <v>0</v>
      </c>
      <c r="AD80" s="138" t="n">
        <f aca="false">SUM(AD6:AD79)</f>
        <v>0</v>
      </c>
      <c r="AE80" s="138" t="n">
        <f aca="false">SUM(AE6:AE79)</f>
        <v>0</v>
      </c>
      <c r="AF80" s="138" t="n">
        <f aca="false">SUM(AF6:AF79)</f>
        <v>0</v>
      </c>
      <c r="AG80" s="138" t="n">
        <f aca="false">SUM(AG6:AG79)</f>
        <v>137663.5475</v>
      </c>
    </row>
  </sheetData>
  <sheetProtection sheet="true" objects="true" scenarios="true"/>
  <mergeCells count="4">
    <mergeCell ref="G4:I4"/>
    <mergeCell ref="J4:L4"/>
    <mergeCell ref="M4:O4"/>
    <mergeCell ref="P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U2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7" activeCellId="0" sqref="A47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34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22"/>
    <col collapsed="false" customWidth="true" hidden="false" outlineLevel="0" max="14" min="14" style="1" width="44"/>
    <col collapsed="false" customWidth="true" hidden="false" outlineLevel="0" max="15" min="15" style="1" width="12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38"/>
    <col collapsed="false" customWidth="true" hidden="false" outlineLevel="0" max="19" min="19" style="1" width="48"/>
    <col collapsed="false" customWidth="true" hidden="false" outlineLevel="0" max="20" min="20" style="1" width="14"/>
  </cols>
  <sheetData>
    <row r="1" customFormat="false" ht="13.5" hidden="false" customHeight="false" outlineLevel="0" collapsed="false">
      <c r="A1" s="20" t="s">
        <v>3</v>
      </c>
      <c r="B1" s="20" t="s">
        <v>71</v>
      </c>
      <c r="C1" s="20" t="s">
        <v>822</v>
      </c>
      <c r="D1" s="20" t="s">
        <v>823</v>
      </c>
      <c r="E1" s="20" t="s">
        <v>824</v>
      </c>
      <c r="F1" s="20" t="s">
        <v>825</v>
      </c>
      <c r="G1" s="20" t="s">
        <v>826</v>
      </c>
      <c r="H1" s="20" t="s">
        <v>38</v>
      </c>
      <c r="I1" s="20" t="s">
        <v>827</v>
      </c>
      <c r="J1" s="20" t="s">
        <v>828</v>
      </c>
      <c r="K1" s="20" t="s">
        <v>829</v>
      </c>
      <c r="L1" s="20" t="s">
        <v>796</v>
      </c>
      <c r="M1" s="20" t="s">
        <v>830</v>
      </c>
      <c r="N1" s="20" t="s">
        <v>831</v>
      </c>
      <c r="O1" s="20" t="s">
        <v>832</v>
      </c>
      <c r="P1" s="20" t="s">
        <v>833</v>
      </c>
      <c r="Q1" s="20" t="s">
        <v>834</v>
      </c>
      <c r="R1" s="20" t="s">
        <v>524</v>
      </c>
      <c r="S1" s="20" t="s">
        <v>835</v>
      </c>
      <c r="T1" s="20" t="s">
        <v>836</v>
      </c>
      <c r="U1" s="124" t="s">
        <v>837</v>
      </c>
    </row>
    <row r="2" customFormat="false" ht="14.9" hidden="false" customHeight="false" outlineLevel="0" collapsed="false">
      <c r="A2" s="20" t="str">
        <f aca="false">IF($C2="","",Controls!$B$7)</f>
        <v>PCGH</v>
      </c>
      <c r="B2" s="20" t="str">
        <f aca="false">IF($H2="","",YEAR($H2)&amp;"-Q"&amp;ROUNDUP(MONTH($H2)/3,0))</f>
        <v>2026-Q1</v>
      </c>
      <c r="C2" s="20" t="s">
        <v>838</v>
      </c>
      <c r="D2" s="20" t="s">
        <v>839</v>
      </c>
      <c r="E2" s="20" t="n">
        <v>14555</v>
      </c>
      <c r="F2" s="20" t="n">
        <v>42247</v>
      </c>
      <c r="G2" s="20" t="s">
        <v>840</v>
      </c>
      <c r="H2" s="139" t="n">
        <v>46042</v>
      </c>
      <c r="I2" s="20" t="s">
        <v>841</v>
      </c>
      <c r="J2" s="20" t="s">
        <v>842</v>
      </c>
      <c r="K2" s="20"/>
      <c r="L2" s="20" t="n">
        <v>4000</v>
      </c>
      <c r="M2" s="20"/>
      <c r="N2" s="20" t="s">
        <v>843</v>
      </c>
      <c r="O2" s="125" t="n">
        <v>0</v>
      </c>
      <c r="P2" s="125" t="n">
        <v>-786124.25</v>
      </c>
      <c r="Q2" s="125" t="n">
        <v>0</v>
      </c>
      <c r="R2" s="20" t="s">
        <v>844</v>
      </c>
      <c r="S2" s="20" t="str">
        <f aca="false">IF($C2="","",$C2&amp;"|"&amp;$E2&amp;"|"&amp;$F2&amp;"|"&amp;$L2&amp;"|"&amp;$P2&amp;"|"&amp;TEXT($H2,"yyyy-mm-dd"))</f>
        <v>PCGH774|14555|42247|4000|-786124.25|2026-01-20</v>
      </c>
      <c r="T2" s="20" t="str">
        <f aca="false">IF($S2="","",IF(COUNTIF($S$2:$S$2991,$S2)&gt;1,"DUPLICATE","OK"))</f>
        <v>OK</v>
      </c>
      <c r="U2" s="0" t="str">
        <f aca="false">IF($L2="","",IFERROR(VLOOKUP(--$L2,MM_Income!$Z$5:$AC$204,3,FALSE()),"UNMAPPED"))</f>
        <v>Invoiced Income</v>
      </c>
    </row>
    <row r="3" customFormat="false" ht="14.9" hidden="false" customHeight="false" outlineLevel="0" collapsed="false">
      <c r="A3" s="20" t="str">
        <f aca="false">IF($C3="","",Controls!$B$7)</f>
        <v>PCGH</v>
      </c>
      <c r="B3" s="20" t="str">
        <f aca="false">IF($H3="","",YEAR($H3)&amp;"-Q"&amp;ROUNDUP(MONTH($H3)/3,0))</f>
        <v>2026-Q1</v>
      </c>
      <c r="C3" s="20" t="s">
        <v>845</v>
      </c>
      <c r="D3" s="20" t="s">
        <v>846</v>
      </c>
      <c r="E3" s="20" t="n">
        <v>14627</v>
      </c>
      <c r="F3" s="20" t="n">
        <v>42505</v>
      </c>
      <c r="G3" s="20" t="s">
        <v>847</v>
      </c>
      <c r="H3" s="139" t="n">
        <v>46051</v>
      </c>
      <c r="I3" s="20" t="s">
        <v>848</v>
      </c>
      <c r="J3" s="20"/>
      <c r="K3" s="20" t="s">
        <v>849</v>
      </c>
      <c r="L3" s="20" t="n">
        <v>5200</v>
      </c>
      <c r="M3" s="20"/>
      <c r="N3" s="20" t="s">
        <v>850</v>
      </c>
      <c r="O3" s="125" t="n">
        <v>0</v>
      </c>
      <c r="P3" s="125" t="n">
        <v>6340</v>
      </c>
      <c r="Q3" s="125" t="n">
        <v>0</v>
      </c>
      <c r="R3" s="20" t="s">
        <v>844</v>
      </c>
      <c r="S3" s="20" t="str">
        <f aca="false">IF($C3="","",$C3&amp;"|"&amp;$E3&amp;"|"&amp;$F3&amp;"|"&amp;$L3&amp;"|"&amp;$P3&amp;"|"&amp;TEXT($H3,"yyyy-mm-dd"))</f>
        <v>PCGH775|14627|42505|5200|6340|2026-01-29</v>
      </c>
      <c r="T3" s="20" t="str">
        <f aca="false">IF($S3="","",IF(COUNTIF($S$2:$S$2991,$S3)&gt;1,"DUPLICATE","OK"))</f>
        <v>OK</v>
      </c>
      <c r="U3" s="0" t="str">
        <f aca="false">IF($L3="","",IFERROR(VLOOKUP(--$L3,MM_Income!$Z$5:$AC$204,3,FALSE()),"UNMAPPED"))</f>
        <v>Recoverable</v>
      </c>
    </row>
    <row r="4" customFormat="false" ht="14.9" hidden="false" customHeight="false" outlineLevel="0" collapsed="false">
      <c r="A4" s="20" t="str">
        <f aca="false">IF($C4="","",Controls!$B$7)</f>
        <v>PCGH</v>
      </c>
      <c r="B4" s="20" t="str">
        <f aca="false">IF($H4="","",YEAR($H4)&amp;"-Q"&amp;ROUNDUP(MONTH($H4)/3,0))</f>
        <v>2026-Q1</v>
      </c>
      <c r="C4" s="20" t="s">
        <v>845</v>
      </c>
      <c r="D4" s="20" t="s">
        <v>846</v>
      </c>
      <c r="E4" s="20" t="n">
        <v>14628</v>
      </c>
      <c r="F4" s="20" t="n">
        <v>42506</v>
      </c>
      <c r="G4" s="20" t="s">
        <v>847</v>
      </c>
      <c r="H4" s="139" t="n">
        <v>46058</v>
      </c>
      <c r="I4" s="20" t="s">
        <v>848</v>
      </c>
      <c r="J4" s="20"/>
      <c r="K4" s="20" t="s">
        <v>849</v>
      </c>
      <c r="L4" s="20" t="n">
        <v>5200</v>
      </c>
      <c r="M4" s="20"/>
      <c r="N4" s="20" t="s">
        <v>851</v>
      </c>
      <c r="O4" s="125" t="n">
        <v>0</v>
      </c>
      <c r="P4" s="125" t="n">
        <v>18347</v>
      </c>
      <c r="Q4" s="125" t="n">
        <v>0</v>
      </c>
      <c r="R4" s="20" t="s">
        <v>844</v>
      </c>
      <c r="S4" s="20" t="str">
        <f aca="false">IF($C4="","",$C4&amp;"|"&amp;$E4&amp;"|"&amp;$F4&amp;"|"&amp;$L4&amp;"|"&amp;$P4&amp;"|"&amp;TEXT($H4,"yyyy-mm-dd"))</f>
        <v>PCGH775|14628|42506|5200|18347|2026-02-05</v>
      </c>
      <c r="T4" s="20" t="str">
        <f aca="false">IF($S4="","",IF(COUNTIF($S$2:$S$2991,$S4)&gt;1,"DUPLICATE","OK"))</f>
        <v>OK</v>
      </c>
      <c r="U4" s="0" t="str">
        <f aca="false">IF($L4="","",IFERROR(VLOOKUP(--$L4,MM_Income!$Z$5:$AC$204,3,FALSE()),"UNMAPPED"))</f>
        <v>Recoverable</v>
      </c>
    </row>
    <row r="5" customFormat="false" ht="14.9" hidden="false" customHeight="false" outlineLevel="0" collapsed="false">
      <c r="A5" s="20" t="str">
        <f aca="false">IF($C5="","",Controls!$B$7)</f>
        <v>PCGH</v>
      </c>
      <c r="B5" s="20" t="str">
        <f aca="false">IF($H5="","",YEAR($H5)&amp;"-Q"&amp;ROUNDUP(MONTH($H5)/3,0))</f>
        <v>2026-Q1</v>
      </c>
      <c r="C5" s="20" t="s">
        <v>852</v>
      </c>
      <c r="D5" s="20" t="s">
        <v>853</v>
      </c>
      <c r="E5" s="20" t="n">
        <v>14629</v>
      </c>
      <c r="F5" s="20" t="n">
        <v>42563</v>
      </c>
      <c r="G5" s="20" t="s">
        <v>847</v>
      </c>
      <c r="H5" s="139" t="n">
        <v>46070</v>
      </c>
      <c r="I5" s="20" t="s">
        <v>854</v>
      </c>
      <c r="J5" s="20" t="s">
        <v>855</v>
      </c>
      <c r="K5" s="20" t="s">
        <v>856</v>
      </c>
      <c r="L5" s="20" t="n">
        <v>5000</v>
      </c>
      <c r="M5" s="20"/>
      <c r="N5" s="20" t="s">
        <v>857</v>
      </c>
      <c r="O5" s="125" t="n">
        <v>0</v>
      </c>
      <c r="P5" s="125" t="n">
        <v>32099.98</v>
      </c>
      <c r="Q5" s="125" t="n">
        <v>0</v>
      </c>
      <c r="R5" s="20" t="s">
        <v>844</v>
      </c>
      <c r="S5" s="20" t="str">
        <f aca="false">IF($C5="","",$C5&amp;"|"&amp;$E5&amp;"|"&amp;$F5&amp;"|"&amp;$L5&amp;"|"&amp;$P5&amp;"|"&amp;TEXT($H5,"yyyy-mm-dd"))</f>
        <v>PCGH772|14629|42563|5000|32099.98|2026-02-17</v>
      </c>
      <c r="T5" s="20" t="str">
        <f aca="false">IF($S5="","",IF(COUNTIF($S$2:$S$2991,$S5)&gt;1,"DUPLICATE","OK"))</f>
        <v>OK</v>
      </c>
      <c r="U5" s="0" t="str">
        <f aca="false">IF($L5="","",IFERROR(VLOOKUP(--$L5,MM_Income!$Z$5:$AC$204,3,FALSE()),"UNMAPPED"))</f>
        <v>Subcontractor</v>
      </c>
    </row>
    <row r="6" customFormat="false" ht="14.9" hidden="false" customHeight="false" outlineLevel="0" collapsed="false">
      <c r="A6" s="20" t="str">
        <f aca="false">IF($C6="","",Controls!$B$7)</f>
        <v>PCGH</v>
      </c>
      <c r="B6" s="20" t="str">
        <f aca="false">IF($H6="","",YEAR($H6)&amp;"-Q"&amp;ROUNDUP(MONTH($H6)/3,0))</f>
        <v>2026-Q1</v>
      </c>
      <c r="C6" s="20" t="s">
        <v>845</v>
      </c>
      <c r="D6" s="20" t="s">
        <v>846</v>
      </c>
      <c r="E6" s="20" t="n">
        <v>14633</v>
      </c>
      <c r="F6" s="20" t="n">
        <v>42699</v>
      </c>
      <c r="G6" s="20" t="s">
        <v>840</v>
      </c>
      <c r="H6" s="139" t="n">
        <v>46052</v>
      </c>
      <c r="I6" s="20" t="s">
        <v>858</v>
      </c>
      <c r="J6" s="20" t="s">
        <v>859</v>
      </c>
      <c r="K6" s="20"/>
      <c r="L6" s="20" t="n">
        <v>4000</v>
      </c>
      <c r="M6" s="20"/>
      <c r="N6" s="20" t="s">
        <v>860</v>
      </c>
      <c r="O6" s="125" t="n">
        <v>0</v>
      </c>
      <c r="P6" s="125" t="n">
        <v>-241263.46</v>
      </c>
      <c r="Q6" s="125" t="n">
        <v>0</v>
      </c>
      <c r="R6" s="20" t="s">
        <v>844</v>
      </c>
      <c r="S6" s="20" t="str">
        <f aca="false">IF($C6="","",$C6&amp;"|"&amp;$E6&amp;"|"&amp;$F6&amp;"|"&amp;$L6&amp;"|"&amp;$P6&amp;"|"&amp;TEXT($H6,"yyyy-mm-dd"))</f>
        <v>PCGH775|14633|42699|4000|-241263.46|2026-01-30</v>
      </c>
      <c r="T6" s="20" t="str">
        <f aca="false">IF($S6="","",IF(COUNTIF($S$2:$S$2991,$S6)&gt;1,"DUPLICATE","OK"))</f>
        <v>OK</v>
      </c>
      <c r="U6" s="0" t="str">
        <f aca="false">IF($L6="","",IFERROR(VLOOKUP(--$L6,MM_Income!$Z$5:$AC$204,3,FALSE()),"UNMAPPED"))</f>
        <v>Invoiced Income</v>
      </c>
    </row>
    <row r="7" customFormat="false" ht="14.9" hidden="false" customHeight="false" outlineLevel="0" collapsed="false">
      <c r="A7" s="20" t="str">
        <f aca="false">IF($C7="","",Controls!$B$7)</f>
        <v>PCGH</v>
      </c>
      <c r="B7" s="20" t="str">
        <f aca="false">IF($H7="","",YEAR($H7)&amp;"-Q"&amp;ROUNDUP(MONTH($H7)/3,0))</f>
        <v>2026-Q1</v>
      </c>
      <c r="C7" s="20" t="s">
        <v>838</v>
      </c>
      <c r="D7" s="20" t="s">
        <v>839</v>
      </c>
      <c r="E7" s="20" t="n">
        <v>14635</v>
      </c>
      <c r="F7" s="20" t="n">
        <v>42758</v>
      </c>
      <c r="G7" s="20" t="s">
        <v>847</v>
      </c>
      <c r="H7" s="139" t="n">
        <v>46069</v>
      </c>
      <c r="I7" s="20" t="s">
        <v>848</v>
      </c>
      <c r="J7" s="20" t="s">
        <v>861</v>
      </c>
      <c r="K7" s="20" t="s">
        <v>849</v>
      </c>
      <c r="L7" s="20" t="n">
        <v>5200</v>
      </c>
      <c r="M7" s="20"/>
      <c r="N7" s="20" t="s">
        <v>862</v>
      </c>
      <c r="O7" s="125" t="n">
        <v>0</v>
      </c>
      <c r="P7" s="125" t="n">
        <v>8454</v>
      </c>
      <c r="Q7" s="125" t="n">
        <v>0</v>
      </c>
      <c r="R7" s="20" t="s">
        <v>844</v>
      </c>
      <c r="S7" s="20" t="str">
        <f aca="false">IF($C7="","",$C7&amp;"|"&amp;$E7&amp;"|"&amp;$F7&amp;"|"&amp;$L7&amp;"|"&amp;$P7&amp;"|"&amp;TEXT($H7,"yyyy-mm-dd"))</f>
        <v>PCGH774|14635|42758|5200|8454|2026-02-16</v>
      </c>
      <c r="T7" s="20" t="str">
        <f aca="false">IF($S7="","",IF(COUNTIF($S$2:$S$2991,$S7)&gt;1,"DUPLICATE","OK"))</f>
        <v>OK</v>
      </c>
      <c r="U7" s="0" t="str">
        <f aca="false">IF($L7="","",IFERROR(VLOOKUP(--$L7,MM_Income!$Z$5:$AC$204,3,FALSE()),"UNMAPPED"))</f>
        <v>Recoverable</v>
      </c>
    </row>
    <row r="8" customFormat="false" ht="14.9" hidden="false" customHeight="false" outlineLevel="0" collapsed="false">
      <c r="A8" s="20" t="str">
        <f aca="false">IF($C8="","",Controls!$B$7)</f>
        <v>PCGH</v>
      </c>
      <c r="B8" s="20" t="str">
        <f aca="false">IF($H8="","",YEAR($H8)&amp;"-Q"&amp;ROUNDUP(MONTH($H8)/3,0))</f>
        <v>2026-Q1</v>
      </c>
      <c r="C8" s="20" t="s">
        <v>863</v>
      </c>
      <c r="D8" s="20" t="s">
        <v>864</v>
      </c>
      <c r="E8" s="20" t="n">
        <v>14636</v>
      </c>
      <c r="F8" s="20" t="n">
        <v>42775</v>
      </c>
      <c r="G8" s="20" t="s">
        <v>847</v>
      </c>
      <c r="H8" s="139" t="n">
        <v>46079</v>
      </c>
      <c r="I8" s="20" t="s">
        <v>865</v>
      </c>
      <c r="J8" s="20" t="s">
        <v>866</v>
      </c>
      <c r="K8" s="20" t="s">
        <v>867</v>
      </c>
      <c r="L8" s="20" t="n">
        <v>5200</v>
      </c>
      <c r="M8" s="20"/>
      <c r="N8" s="20" t="s">
        <v>868</v>
      </c>
      <c r="O8" s="125" t="n">
        <v>0</v>
      </c>
      <c r="P8" s="125" t="n">
        <v>5400</v>
      </c>
      <c r="Q8" s="125" t="n">
        <v>0</v>
      </c>
      <c r="R8" s="20" t="s">
        <v>844</v>
      </c>
      <c r="S8" s="20" t="str">
        <f aca="false">IF($C8="","",$C8&amp;"|"&amp;$E8&amp;"|"&amp;$F8&amp;"|"&amp;$L8&amp;"|"&amp;$P8&amp;"|"&amp;TEXT($H8,"yyyy-mm-dd"))</f>
        <v>PCGH777|14636|42775|5200|5400|2026-02-26</v>
      </c>
      <c r="T8" s="20" t="str">
        <f aca="false">IF($S8="","",IF(COUNTIF($S$2:$S$2991,$S8)&gt;1,"DUPLICATE","OK"))</f>
        <v>OK</v>
      </c>
      <c r="U8" s="0" t="str">
        <f aca="false">IF($L8="","",IFERROR(VLOOKUP(--$L8,MM_Income!$Z$5:$AC$204,3,FALSE()),"UNMAPPED"))</f>
        <v>Recoverable</v>
      </c>
    </row>
    <row r="9" customFormat="false" ht="14.9" hidden="false" customHeight="false" outlineLevel="0" collapsed="false">
      <c r="A9" s="20" t="str">
        <f aca="false">IF($C9="","",Controls!$B$7)</f>
        <v>PCGH</v>
      </c>
      <c r="B9" s="20" t="str">
        <f aca="false">IF($H9="","",YEAR($H9)&amp;"-Q"&amp;ROUNDUP(MONTH($H9)/3,0))</f>
        <v>2026-Q1</v>
      </c>
      <c r="C9" s="20" t="s">
        <v>845</v>
      </c>
      <c r="D9" s="20" t="s">
        <v>846</v>
      </c>
      <c r="E9" s="20" t="n">
        <v>14637</v>
      </c>
      <c r="F9" s="20" t="n">
        <v>42813</v>
      </c>
      <c r="G9" s="20" t="s">
        <v>869</v>
      </c>
      <c r="H9" s="139" t="n">
        <v>46092</v>
      </c>
      <c r="I9" s="20" t="s">
        <v>870</v>
      </c>
      <c r="J9" s="20" t="s">
        <v>871</v>
      </c>
      <c r="K9" s="20" t="s">
        <v>867</v>
      </c>
      <c r="L9" s="20" t="n">
        <v>5200</v>
      </c>
      <c r="M9" s="20"/>
      <c r="N9" s="20" t="s">
        <v>872</v>
      </c>
      <c r="O9" s="125" t="n">
        <v>0</v>
      </c>
      <c r="P9" s="125" t="n">
        <v>373.7</v>
      </c>
      <c r="Q9" s="125" t="n">
        <v>0</v>
      </c>
      <c r="R9" s="20" t="s">
        <v>844</v>
      </c>
      <c r="S9" s="20" t="str">
        <f aca="false">IF($C9="","",$C9&amp;"|"&amp;$E9&amp;"|"&amp;$F9&amp;"|"&amp;$L9&amp;"|"&amp;$P9&amp;"|"&amp;TEXT($H9,"yyyy-mm-dd"))</f>
        <v>PCGH775|14637|42813|5200|373.7|2026-03-11</v>
      </c>
      <c r="T9" s="20" t="str">
        <f aca="false">IF($S9="","",IF(COUNTIF($S$2:$S$2991,$S9)&gt;1,"DUPLICATE","OK"))</f>
        <v>OK</v>
      </c>
      <c r="U9" s="0" t="str">
        <f aca="false">IF($L9="","",IFERROR(VLOOKUP(--$L9,MM_Income!$Z$5:$AC$204,3,FALSE()),"UNMAPPED"))</f>
        <v>Recoverable</v>
      </c>
    </row>
    <row r="10" customFormat="false" ht="14.9" hidden="false" customHeight="false" outlineLevel="0" collapsed="false">
      <c r="A10" s="20" t="str">
        <f aca="false">IF($C10="","",Controls!$B$7)</f>
        <v>PCGH</v>
      </c>
      <c r="B10" s="20" t="str">
        <f aca="false">IF($H10="","",YEAR($H10)&amp;"-Q"&amp;ROUNDUP(MONTH($H10)/3,0))</f>
        <v>2026-Q1</v>
      </c>
      <c r="C10" s="20" t="s">
        <v>845</v>
      </c>
      <c r="D10" s="20" t="s">
        <v>846</v>
      </c>
      <c r="E10" s="20" t="n">
        <v>14638</v>
      </c>
      <c r="F10" s="20" t="n">
        <v>42814</v>
      </c>
      <c r="G10" s="20" t="s">
        <v>869</v>
      </c>
      <c r="H10" s="139" t="n">
        <v>46071</v>
      </c>
      <c r="I10" s="20" t="s">
        <v>870</v>
      </c>
      <c r="J10" s="20" t="s">
        <v>871</v>
      </c>
      <c r="K10" s="20" t="s">
        <v>867</v>
      </c>
      <c r="L10" s="20" t="n">
        <v>5200</v>
      </c>
      <c r="M10" s="20"/>
      <c r="N10" s="20" t="s">
        <v>873</v>
      </c>
      <c r="O10" s="125" t="n">
        <v>0</v>
      </c>
      <c r="P10" s="125" t="n">
        <v>55.29</v>
      </c>
      <c r="Q10" s="125" t="n">
        <v>0</v>
      </c>
      <c r="R10" s="20" t="s">
        <v>844</v>
      </c>
      <c r="S10" s="20" t="str">
        <f aca="false">IF($C10="","",$C10&amp;"|"&amp;$E10&amp;"|"&amp;$F10&amp;"|"&amp;$L10&amp;"|"&amp;$P10&amp;"|"&amp;TEXT($H10,"yyyy-mm-dd"))</f>
        <v>PCGH775|14638|42814|5200|55.29|2026-02-18</v>
      </c>
      <c r="T10" s="20" t="str">
        <f aca="false">IF($S10="","",IF(COUNTIF($S$2:$S$2991,$S10)&gt;1,"DUPLICATE","OK"))</f>
        <v>OK</v>
      </c>
      <c r="U10" s="0" t="str">
        <f aca="false">IF($L10="","",IFERROR(VLOOKUP(--$L10,MM_Income!$Z$5:$AC$204,3,FALSE()),"UNMAPPED"))</f>
        <v>Recoverable</v>
      </c>
    </row>
    <row r="11" customFormat="false" ht="14.9" hidden="false" customHeight="false" outlineLevel="0" collapsed="false">
      <c r="A11" s="20" t="str">
        <f aca="false">IF($C11="","",Controls!$B$7)</f>
        <v>PCGH</v>
      </c>
      <c r="B11" s="20" t="str">
        <f aca="false">IF($H11="","",YEAR($H11)&amp;"-Q"&amp;ROUNDUP(MONTH($H11)/3,0))</f>
        <v>2026-Q1</v>
      </c>
      <c r="C11" s="20" t="s">
        <v>845</v>
      </c>
      <c r="D11" s="20" t="s">
        <v>846</v>
      </c>
      <c r="E11" s="20" t="n">
        <v>14639</v>
      </c>
      <c r="F11" s="20" t="n">
        <v>42815</v>
      </c>
      <c r="G11" s="20" t="s">
        <v>869</v>
      </c>
      <c r="H11" s="139" t="n">
        <v>46071</v>
      </c>
      <c r="I11" s="20" t="s">
        <v>870</v>
      </c>
      <c r="J11" s="20" t="s">
        <v>871</v>
      </c>
      <c r="K11" s="20" t="s">
        <v>867</v>
      </c>
      <c r="L11" s="20" t="n">
        <v>5200</v>
      </c>
      <c r="M11" s="20"/>
      <c r="N11" s="20" t="s">
        <v>874</v>
      </c>
      <c r="O11" s="125" t="n">
        <v>0</v>
      </c>
      <c r="P11" s="125" t="n">
        <v>68</v>
      </c>
      <c r="Q11" s="125" t="n">
        <v>0</v>
      </c>
      <c r="R11" s="20" t="s">
        <v>844</v>
      </c>
      <c r="S11" s="20" t="str">
        <f aca="false">IF($C11="","",$C11&amp;"|"&amp;$E11&amp;"|"&amp;$F11&amp;"|"&amp;$L11&amp;"|"&amp;$P11&amp;"|"&amp;TEXT($H11,"yyyy-mm-dd"))</f>
        <v>PCGH775|14639|42815|5200|68|2026-02-18</v>
      </c>
      <c r="T11" s="20" t="str">
        <f aca="false">IF($S11="","",IF(COUNTIF($S$2:$S$2991,$S11)&gt;1,"DUPLICATE","OK"))</f>
        <v>OK</v>
      </c>
      <c r="U11" s="0" t="str">
        <f aca="false">IF($L11="","",IFERROR(VLOOKUP(--$L11,MM_Income!$Z$5:$AC$204,3,FALSE()),"UNMAPPED"))</f>
        <v>Recoverable</v>
      </c>
    </row>
    <row r="12" customFormat="false" ht="14.9" hidden="false" customHeight="false" outlineLevel="0" collapsed="false">
      <c r="A12" s="20" t="str">
        <f aca="false">IF($C12="","",Controls!$B$7)</f>
        <v>PCGH</v>
      </c>
      <c r="B12" s="20" t="str">
        <f aca="false">IF($H12="","",YEAR($H12)&amp;"-Q"&amp;ROUNDUP(MONTH($H12)/3,0))</f>
        <v>2026-Q1</v>
      </c>
      <c r="C12" s="20" t="s">
        <v>845</v>
      </c>
      <c r="D12" s="20" t="s">
        <v>846</v>
      </c>
      <c r="E12" s="20" t="n">
        <v>14640</v>
      </c>
      <c r="F12" s="20" t="n">
        <v>42816</v>
      </c>
      <c r="G12" s="20" t="s">
        <v>869</v>
      </c>
      <c r="H12" s="139" t="n">
        <v>46068</v>
      </c>
      <c r="I12" s="20" t="s">
        <v>870</v>
      </c>
      <c r="J12" s="20" t="s">
        <v>871</v>
      </c>
      <c r="K12" s="20" t="s">
        <v>867</v>
      </c>
      <c r="L12" s="20" t="n">
        <v>5200</v>
      </c>
      <c r="M12" s="20"/>
      <c r="N12" s="20" t="s">
        <v>875</v>
      </c>
      <c r="O12" s="125" t="n">
        <v>0</v>
      </c>
      <c r="P12" s="125" t="n">
        <v>124.6</v>
      </c>
      <c r="Q12" s="125" t="n">
        <v>0</v>
      </c>
      <c r="R12" s="20" t="s">
        <v>844</v>
      </c>
      <c r="S12" s="20" t="str">
        <f aca="false">IF($C12="","",$C12&amp;"|"&amp;$E12&amp;"|"&amp;$F12&amp;"|"&amp;$L12&amp;"|"&amp;$P12&amp;"|"&amp;TEXT($H12,"yyyy-mm-dd"))</f>
        <v>PCGH775|14640|42816|5200|124.6|2026-02-15</v>
      </c>
      <c r="T12" s="20" t="str">
        <f aca="false">IF($S12="","",IF(COUNTIF($S$2:$S$2991,$S12)&gt;1,"DUPLICATE","OK"))</f>
        <v>OK</v>
      </c>
      <c r="U12" s="0" t="str">
        <f aca="false">IF($L12="","",IFERROR(VLOOKUP(--$L12,MM_Income!$Z$5:$AC$204,3,FALSE()),"UNMAPPED"))</f>
        <v>Recoverable</v>
      </c>
    </row>
    <row r="13" customFormat="false" ht="14.9" hidden="false" customHeight="false" outlineLevel="0" collapsed="false">
      <c r="A13" s="20" t="str">
        <f aca="false">IF($C13="","",Controls!$B$7)</f>
        <v>PCGH</v>
      </c>
      <c r="B13" s="20" t="str">
        <f aca="false">IF($H13="","",YEAR($H13)&amp;"-Q"&amp;ROUNDUP(MONTH($H13)/3,0))</f>
        <v>2026-Q1</v>
      </c>
      <c r="C13" s="20" t="s">
        <v>845</v>
      </c>
      <c r="D13" s="20" t="s">
        <v>846</v>
      </c>
      <c r="E13" s="20" t="n">
        <v>14641</v>
      </c>
      <c r="F13" s="20" t="n">
        <v>42817</v>
      </c>
      <c r="G13" s="20" t="s">
        <v>869</v>
      </c>
      <c r="H13" s="139" t="n">
        <v>46067</v>
      </c>
      <c r="I13" s="20" t="s">
        <v>870</v>
      </c>
      <c r="J13" s="20" t="s">
        <v>871</v>
      </c>
      <c r="K13" s="20" t="s">
        <v>867</v>
      </c>
      <c r="L13" s="20" t="n">
        <v>5200</v>
      </c>
      <c r="M13" s="20"/>
      <c r="N13" s="20" t="s">
        <v>876</v>
      </c>
      <c r="O13" s="125" t="n">
        <v>0</v>
      </c>
      <c r="P13" s="125" t="n">
        <v>680.77</v>
      </c>
      <c r="Q13" s="125" t="n">
        <v>0</v>
      </c>
      <c r="R13" s="20" t="s">
        <v>844</v>
      </c>
      <c r="S13" s="20" t="str">
        <f aca="false">IF($C13="","",$C13&amp;"|"&amp;$E13&amp;"|"&amp;$F13&amp;"|"&amp;$L13&amp;"|"&amp;$P13&amp;"|"&amp;TEXT($H13,"yyyy-mm-dd"))</f>
        <v>PCGH775|14641|42817|5200|680.77|2026-02-14</v>
      </c>
      <c r="T13" s="20" t="str">
        <f aca="false">IF($S13="","",IF(COUNTIF($S$2:$S$2991,$S13)&gt;1,"DUPLICATE","OK"))</f>
        <v>OK</v>
      </c>
      <c r="U13" s="0" t="str">
        <f aca="false">IF($L13="","",IFERROR(VLOOKUP(--$L13,MM_Income!$Z$5:$AC$204,3,FALSE()),"UNMAPPED"))</f>
        <v>Recoverable</v>
      </c>
    </row>
    <row r="14" customFormat="false" ht="14.9" hidden="false" customHeight="false" outlineLevel="0" collapsed="false">
      <c r="A14" s="20" t="str">
        <f aca="false">IF($C14="","",Controls!$B$7)</f>
        <v>PCGH</v>
      </c>
      <c r="B14" s="20" t="str">
        <f aca="false">IF($H14="","",YEAR($H14)&amp;"-Q"&amp;ROUNDUP(MONTH($H14)/3,0))</f>
        <v>2026-Q1</v>
      </c>
      <c r="C14" s="20" t="s">
        <v>845</v>
      </c>
      <c r="D14" s="20" t="s">
        <v>846</v>
      </c>
      <c r="E14" s="20" t="n">
        <v>14642</v>
      </c>
      <c r="F14" s="20" t="n">
        <v>42818</v>
      </c>
      <c r="G14" s="20" t="s">
        <v>869</v>
      </c>
      <c r="H14" s="139" t="n">
        <v>46065</v>
      </c>
      <c r="I14" s="20" t="s">
        <v>870</v>
      </c>
      <c r="J14" s="20" t="s">
        <v>871</v>
      </c>
      <c r="K14" s="20" t="s">
        <v>867</v>
      </c>
      <c r="L14" s="20" t="n">
        <v>5200</v>
      </c>
      <c r="M14" s="20"/>
      <c r="N14" s="20" t="s">
        <v>877</v>
      </c>
      <c r="O14" s="125" t="n">
        <v>0</v>
      </c>
      <c r="P14" s="125" t="n">
        <v>30.78</v>
      </c>
      <c r="Q14" s="125" t="n">
        <v>0</v>
      </c>
      <c r="R14" s="20" t="s">
        <v>844</v>
      </c>
      <c r="S14" s="20" t="str">
        <f aca="false">IF($C14="","",$C14&amp;"|"&amp;$E14&amp;"|"&amp;$F14&amp;"|"&amp;$L14&amp;"|"&amp;$P14&amp;"|"&amp;TEXT($H14,"yyyy-mm-dd"))</f>
        <v>PCGH775|14642|42818|5200|30.78|2026-02-12</v>
      </c>
      <c r="T14" s="20" t="str">
        <f aca="false">IF($S14="","",IF(COUNTIF($S$2:$S$2991,$S14)&gt;1,"DUPLICATE","OK"))</f>
        <v>OK</v>
      </c>
      <c r="U14" s="0" t="str">
        <f aca="false">IF($L14="","",IFERROR(VLOOKUP(--$L14,MM_Income!$Z$5:$AC$204,3,FALSE()),"UNMAPPED"))</f>
        <v>Recoverable</v>
      </c>
    </row>
    <row r="15" customFormat="false" ht="14.9" hidden="false" customHeight="false" outlineLevel="0" collapsed="false">
      <c r="A15" s="20" t="str">
        <f aca="false">IF($C15="","",Controls!$B$7)</f>
        <v>PCGH</v>
      </c>
      <c r="B15" s="20" t="str">
        <f aca="false">IF($H15="","",YEAR($H15)&amp;"-Q"&amp;ROUNDUP(MONTH($H15)/3,0))</f>
        <v>2026-Q1</v>
      </c>
      <c r="C15" s="20" t="s">
        <v>845</v>
      </c>
      <c r="D15" s="20" t="s">
        <v>846</v>
      </c>
      <c r="E15" s="20" t="n">
        <v>14643</v>
      </c>
      <c r="F15" s="20" t="n">
        <v>42819</v>
      </c>
      <c r="G15" s="20" t="s">
        <v>869</v>
      </c>
      <c r="H15" s="139" t="n">
        <v>46063</v>
      </c>
      <c r="I15" s="20" t="s">
        <v>870</v>
      </c>
      <c r="J15" s="20" t="s">
        <v>871</v>
      </c>
      <c r="K15" s="20" t="s">
        <v>867</v>
      </c>
      <c r="L15" s="20" t="n">
        <v>5200</v>
      </c>
      <c r="M15" s="20"/>
      <c r="N15" s="20" t="s">
        <v>878</v>
      </c>
      <c r="O15" s="125" t="n">
        <v>0</v>
      </c>
      <c r="P15" s="125" t="n">
        <v>71</v>
      </c>
      <c r="Q15" s="125" t="n">
        <v>0</v>
      </c>
      <c r="R15" s="20" t="s">
        <v>844</v>
      </c>
      <c r="S15" s="20" t="str">
        <f aca="false">IF($C15="","",$C15&amp;"|"&amp;$E15&amp;"|"&amp;$F15&amp;"|"&amp;$L15&amp;"|"&amp;$P15&amp;"|"&amp;TEXT($H15,"yyyy-mm-dd"))</f>
        <v>PCGH775|14643|42819|5200|71|2026-02-10</v>
      </c>
      <c r="T15" s="20" t="str">
        <f aca="false">IF($S15="","",IF(COUNTIF($S$2:$S$2991,$S15)&gt;1,"DUPLICATE","OK"))</f>
        <v>OK</v>
      </c>
      <c r="U15" s="0" t="str">
        <f aca="false">IF($L15="","",IFERROR(VLOOKUP(--$L15,MM_Income!$Z$5:$AC$204,3,FALSE()),"UNMAPPED"))</f>
        <v>Recoverable</v>
      </c>
    </row>
    <row r="16" customFormat="false" ht="14.9" hidden="false" customHeight="false" outlineLevel="0" collapsed="false">
      <c r="A16" s="20" t="str">
        <f aca="false">IF($C16="","",Controls!$B$7)</f>
        <v>PCGH</v>
      </c>
      <c r="B16" s="20" t="str">
        <f aca="false">IF($H16="","",YEAR($H16)&amp;"-Q"&amp;ROUNDUP(MONTH($H16)/3,0))</f>
        <v>2026-Q1</v>
      </c>
      <c r="C16" s="20" t="s">
        <v>852</v>
      </c>
      <c r="D16" s="20" t="s">
        <v>853</v>
      </c>
      <c r="E16" s="20" t="n">
        <v>14644</v>
      </c>
      <c r="F16" s="20" t="n">
        <v>42822</v>
      </c>
      <c r="G16" s="20" t="s">
        <v>869</v>
      </c>
      <c r="H16" s="139" t="n">
        <v>46084</v>
      </c>
      <c r="I16" s="20" t="s">
        <v>870</v>
      </c>
      <c r="J16" s="20" t="s">
        <v>879</v>
      </c>
      <c r="K16" s="20" t="s">
        <v>867</v>
      </c>
      <c r="L16" s="20" t="n">
        <v>5200</v>
      </c>
      <c r="M16" s="20"/>
      <c r="N16" s="20" t="s">
        <v>880</v>
      </c>
      <c r="O16" s="125" t="n">
        <v>0</v>
      </c>
      <c r="P16" s="125" t="n">
        <v>118</v>
      </c>
      <c r="Q16" s="125" t="n">
        <v>0</v>
      </c>
      <c r="R16" s="20" t="s">
        <v>844</v>
      </c>
      <c r="S16" s="20" t="str">
        <f aca="false">IF($C16="","",$C16&amp;"|"&amp;$E16&amp;"|"&amp;$F16&amp;"|"&amp;$L16&amp;"|"&amp;$P16&amp;"|"&amp;TEXT($H16,"yyyy-mm-dd"))</f>
        <v>PCGH772|14644|42822|5200|118|2026-03-03</v>
      </c>
      <c r="T16" s="20" t="str">
        <f aca="false">IF($S16="","",IF(COUNTIF($S$2:$S$2991,$S16)&gt;1,"DUPLICATE","OK"))</f>
        <v>OK</v>
      </c>
      <c r="U16" s="0" t="str">
        <f aca="false">IF($L16="","",IFERROR(VLOOKUP(--$L16,MM_Income!$Z$5:$AC$204,3,FALSE()),"UNMAPPED"))</f>
        <v>Recoverable</v>
      </c>
    </row>
    <row r="17" customFormat="false" ht="14.9" hidden="false" customHeight="false" outlineLevel="0" collapsed="false">
      <c r="A17" s="20" t="str">
        <f aca="false">IF($C17="","",Controls!$B$7)</f>
        <v>PCGH</v>
      </c>
      <c r="B17" s="20" t="str">
        <f aca="false">IF($H17="","",YEAR($H17)&amp;"-Q"&amp;ROUNDUP(MONTH($H17)/3,0))</f>
        <v>2026-Q1</v>
      </c>
      <c r="C17" s="20" t="s">
        <v>852</v>
      </c>
      <c r="D17" s="20" t="s">
        <v>853</v>
      </c>
      <c r="E17" s="20" t="n">
        <v>14645</v>
      </c>
      <c r="F17" s="20" t="n">
        <v>42823</v>
      </c>
      <c r="G17" s="20" t="s">
        <v>869</v>
      </c>
      <c r="H17" s="139" t="n">
        <v>46082</v>
      </c>
      <c r="I17" s="20" t="s">
        <v>870</v>
      </c>
      <c r="J17" s="20" t="s">
        <v>879</v>
      </c>
      <c r="K17" s="20" t="s">
        <v>867</v>
      </c>
      <c r="L17" s="20" t="n">
        <v>5200</v>
      </c>
      <c r="M17" s="20"/>
      <c r="N17" s="20" t="s">
        <v>881</v>
      </c>
      <c r="O17" s="125" t="n">
        <v>0</v>
      </c>
      <c r="P17" s="125" t="n">
        <v>196.67</v>
      </c>
      <c r="Q17" s="125" t="n">
        <v>0</v>
      </c>
      <c r="R17" s="20" t="s">
        <v>844</v>
      </c>
      <c r="S17" s="20" t="str">
        <f aca="false">IF($C17="","",$C17&amp;"|"&amp;$E17&amp;"|"&amp;$F17&amp;"|"&amp;$L17&amp;"|"&amp;$P17&amp;"|"&amp;TEXT($H17,"yyyy-mm-dd"))</f>
        <v>PCGH772|14645|42823|5200|196.67|2026-03-01</v>
      </c>
      <c r="T17" s="20" t="str">
        <f aca="false">IF($S17="","",IF(COUNTIF($S$2:$S$2991,$S17)&gt;1,"DUPLICATE","OK"))</f>
        <v>OK</v>
      </c>
      <c r="U17" s="0" t="str">
        <f aca="false">IF($L17="","",IFERROR(VLOOKUP(--$L17,MM_Income!$Z$5:$AC$204,3,FALSE()),"UNMAPPED"))</f>
        <v>Recoverable</v>
      </c>
    </row>
    <row r="18" customFormat="false" ht="14.9" hidden="false" customHeight="false" outlineLevel="0" collapsed="false">
      <c r="A18" s="20" t="str">
        <f aca="false">IF($C18="","",Controls!$B$7)</f>
        <v>PCGH</v>
      </c>
      <c r="B18" s="20" t="str">
        <f aca="false">IF($H18="","",YEAR($H18)&amp;"-Q"&amp;ROUNDUP(MONTH($H18)/3,0))</f>
        <v>2026-Q1</v>
      </c>
      <c r="C18" s="20" t="s">
        <v>852</v>
      </c>
      <c r="D18" s="20" t="s">
        <v>853</v>
      </c>
      <c r="E18" s="20" t="n">
        <v>14646</v>
      </c>
      <c r="F18" s="20" t="n">
        <v>42824</v>
      </c>
      <c r="G18" s="20" t="s">
        <v>869</v>
      </c>
      <c r="H18" s="139" t="n">
        <v>46079</v>
      </c>
      <c r="I18" s="20" t="s">
        <v>870</v>
      </c>
      <c r="J18" s="20" t="s">
        <v>879</v>
      </c>
      <c r="K18" s="20" t="s">
        <v>867</v>
      </c>
      <c r="L18" s="20" t="n">
        <v>5200</v>
      </c>
      <c r="M18" s="20"/>
      <c r="N18" s="20" t="s">
        <v>882</v>
      </c>
      <c r="O18" s="125" t="n">
        <v>0</v>
      </c>
      <c r="P18" s="125" t="n">
        <v>672.69</v>
      </c>
      <c r="Q18" s="125" t="n">
        <v>0</v>
      </c>
      <c r="R18" s="20" t="s">
        <v>844</v>
      </c>
      <c r="S18" s="20" t="str">
        <f aca="false">IF($C18="","",$C18&amp;"|"&amp;$E18&amp;"|"&amp;$F18&amp;"|"&amp;$L18&amp;"|"&amp;$P18&amp;"|"&amp;TEXT($H18,"yyyy-mm-dd"))</f>
        <v>PCGH772|14646|42824|5200|672.69|2026-02-26</v>
      </c>
      <c r="T18" s="20" t="str">
        <f aca="false">IF($S18="","",IF(COUNTIF($S$2:$S$2991,$S18)&gt;1,"DUPLICATE","OK"))</f>
        <v>OK</v>
      </c>
      <c r="U18" s="0" t="str">
        <f aca="false">IF($L18="","",IFERROR(VLOOKUP(--$L18,MM_Income!$Z$5:$AC$204,3,FALSE()),"UNMAPPED"))</f>
        <v>Recoverable</v>
      </c>
    </row>
    <row r="19" customFormat="false" ht="14.9" hidden="false" customHeight="false" outlineLevel="0" collapsed="false">
      <c r="A19" s="20" t="str">
        <f aca="false">IF($C19="","",Controls!$B$7)</f>
        <v>PCGH</v>
      </c>
      <c r="B19" s="20" t="str">
        <f aca="false">IF($H19="","",YEAR($H19)&amp;"-Q"&amp;ROUNDUP(MONTH($H19)/3,0))</f>
        <v>2026-Q1</v>
      </c>
      <c r="C19" s="20" t="s">
        <v>845</v>
      </c>
      <c r="D19" s="20" t="s">
        <v>846</v>
      </c>
      <c r="E19" s="20" t="n">
        <v>14647</v>
      </c>
      <c r="F19" s="20" t="n">
        <v>42838</v>
      </c>
      <c r="G19" s="20" t="s">
        <v>869</v>
      </c>
      <c r="H19" s="139" t="n">
        <v>46063</v>
      </c>
      <c r="I19" s="20" t="s">
        <v>870</v>
      </c>
      <c r="J19" s="20" t="s">
        <v>883</v>
      </c>
      <c r="K19" s="20" t="s">
        <v>867</v>
      </c>
      <c r="L19" s="20" t="n">
        <v>5200</v>
      </c>
      <c r="M19" s="20"/>
      <c r="N19" s="20" t="s">
        <v>884</v>
      </c>
      <c r="O19" s="125" t="n">
        <v>0</v>
      </c>
      <c r="P19" s="125" t="n">
        <v>96</v>
      </c>
      <c r="Q19" s="125" t="n">
        <v>0</v>
      </c>
      <c r="R19" s="20" t="s">
        <v>844</v>
      </c>
      <c r="S19" s="20" t="str">
        <f aca="false">IF($C19="","",$C19&amp;"|"&amp;$E19&amp;"|"&amp;$F19&amp;"|"&amp;$L19&amp;"|"&amp;$P19&amp;"|"&amp;TEXT($H19,"yyyy-mm-dd"))</f>
        <v>PCGH775|14647|42838|5200|96|2026-02-10</v>
      </c>
      <c r="T19" s="20" t="str">
        <f aca="false">IF($S19="","",IF(COUNTIF($S$2:$S$2991,$S19)&gt;1,"DUPLICATE","OK"))</f>
        <v>OK</v>
      </c>
      <c r="U19" s="0" t="str">
        <f aca="false">IF($L19="","",IFERROR(VLOOKUP(--$L19,MM_Income!$Z$5:$AC$204,3,FALSE()),"UNMAPPED"))</f>
        <v>Recoverable</v>
      </c>
    </row>
    <row r="20" customFormat="false" ht="14.9" hidden="false" customHeight="false" outlineLevel="0" collapsed="false">
      <c r="A20" s="20" t="str">
        <f aca="false">IF($C20="","",Controls!$B$7)</f>
        <v>PCGH</v>
      </c>
      <c r="B20" s="20" t="str">
        <f aca="false">IF($H20="","",YEAR($H20)&amp;"-Q"&amp;ROUNDUP(MONTH($H20)/3,0))</f>
        <v>2026-Q1</v>
      </c>
      <c r="C20" s="20" t="s">
        <v>845</v>
      </c>
      <c r="D20" s="20" t="s">
        <v>846</v>
      </c>
      <c r="E20" s="20" t="n">
        <v>14648</v>
      </c>
      <c r="F20" s="20" t="n">
        <v>42839</v>
      </c>
      <c r="G20" s="20" t="s">
        <v>869</v>
      </c>
      <c r="H20" s="139" t="n">
        <v>46060</v>
      </c>
      <c r="I20" s="20" t="s">
        <v>870</v>
      </c>
      <c r="J20" s="20" t="s">
        <v>883</v>
      </c>
      <c r="K20" s="20" t="s">
        <v>867</v>
      </c>
      <c r="L20" s="20" t="n">
        <v>5200</v>
      </c>
      <c r="M20" s="20"/>
      <c r="N20" s="20" t="s">
        <v>885</v>
      </c>
      <c r="O20" s="125" t="n">
        <v>0</v>
      </c>
      <c r="P20" s="125" t="n">
        <v>123</v>
      </c>
      <c r="Q20" s="125" t="n">
        <v>0</v>
      </c>
      <c r="R20" s="20" t="s">
        <v>844</v>
      </c>
      <c r="S20" s="20" t="str">
        <f aca="false">IF($C20="","",$C20&amp;"|"&amp;$E20&amp;"|"&amp;$F20&amp;"|"&amp;$L20&amp;"|"&amp;$P20&amp;"|"&amp;TEXT($H20,"yyyy-mm-dd"))</f>
        <v>PCGH775|14648|42839|5200|123|2026-02-07</v>
      </c>
      <c r="T20" s="20" t="str">
        <f aca="false">IF($S20="","",IF(COUNTIF($S$2:$S$2991,$S20)&gt;1,"DUPLICATE","OK"))</f>
        <v>OK</v>
      </c>
      <c r="U20" s="0" t="str">
        <f aca="false">IF($L20="","",IFERROR(VLOOKUP(--$L20,MM_Income!$Z$5:$AC$204,3,FALSE()),"UNMAPPED"))</f>
        <v>Recoverable</v>
      </c>
    </row>
    <row r="21" customFormat="false" ht="14.9" hidden="false" customHeight="false" outlineLevel="0" collapsed="false">
      <c r="A21" s="20" t="str">
        <f aca="false">IF($C21="","",Controls!$B$7)</f>
        <v>PCGH</v>
      </c>
      <c r="B21" s="20" t="str">
        <f aca="false">IF($H21="","",YEAR($H21)&amp;"-Q"&amp;ROUNDUP(MONTH($H21)/3,0))</f>
        <v>2026-Q1</v>
      </c>
      <c r="C21" s="20" t="s">
        <v>845</v>
      </c>
      <c r="D21" s="20" t="s">
        <v>846</v>
      </c>
      <c r="E21" s="20" t="n">
        <v>14649</v>
      </c>
      <c r="F21" s="20" t="n">
        <v>42840</v>
      </c>
      <c r="G21" s="20" t="s">
        <v>869</v>
      </c>
      <c r="H21" s="139" t="n">
        <v>46059</v>
      </c>
      <c r="I21" s="20" t="s">
        <v>870</v>
      </c>
      <c r="J21" s="20" t="s">
        <v>883</v>
      </c>
      <c r="K21" s="20" t="s">
        <v>867</v>
      </c>
      <c r="L21" s="20" t="n">
        <v>5200</v>
      </c>
      <c r="M21" s="20"/>
      <c r="N21" s="20" t="s">
        <v>886</v>
      </c>
      <c r="O21" s="125" t="n">
        <v>0</v>
      </c>
      <c r="P21" s="125" t="n">
        <v>1598.5</v>
      </c>
      <c r="Q21" s="125" t="n">
        <v>0</v>
      </c>
      <c r="R21" s="20" t="s">
        <v>844</v>
      </c>
      <c r="S21" s="20" t="str">
        <f aca="false">IF($C21="","",$C21&amp;"|"&amp;$E21&amp;"|"&amp;$F21&amp;"|"&amp;$L21&amp;"|"&amp;$P21&amp;"|"&amp;TEXT($H21,"yyyy-mm-dd"))</f>
        <v>PCGH775|14649|42840|5200|1598.5|2026-02-06</v>
      </c>
      <c r="T21" s="20" t="str">
        <f aca="false">IF($S21="","",IF(COUNTIF($S$2:$S$2991,$S21)&gt;1,"DUPLICATE","OK"))</f>
        <v>OK</v>
      </c>
      <c r="U21" s="0" t="str">
        <f aca="false">IF($L21="","",IFERROR(VLOOKUP(--$L21,MM_Income!$Z$5:$AC$204,3,FALSE()),"UNMAPPED"))</f>
        <v>Recoverable</v>
      </c>
    </row>
    <row r="22" customFormat="false" ht="14.9" hidden="false" customHeight="false" outlineLevel="0" collapsed="false">
      <c r="A22" s="20" t="str">
        <f aca="false">IF($C22="","",Controls!$B$7)</f>
        <v>PCGH</v>
      </c>
      <c r="B22" s="20" t="str">
        <f aca="false">IF($H22="","",YEAR($H22)&amp;"-Q"&amp;ROUNDUP(MONTH($H22)/3,0))</f>
        <v>2026-Q1</v>
      </c>
      <c r="C22" s="20" t="s">
        <v>845</v>
      </c>
      <c r="D22" s="20" t="s">
        <v>846</v>
      </c>
      <c r="E22" s="20" t="n">
        <v>14650</v>
      </c>
      <c r="F22" s="20" t="n">
        <v>42842</v>
      </c>
      <c r="G22" s="20" t="s">
        <v>869</v>
      </c>
      <c r="H22" s="139" t="n">
        <v>46055</v>
      </c>
      <c r="I22" s="20" t="s">
        <v>870</v>
      </c>
      <c r="J22" s="20" t="s">
        <v>883</v>
      </c>
      <c r="K22" s="20" t="s">
        <v>867</v>
      </c>
      <c r="L22" s="20" t="n">
        <v>5200</v>
      </c>
      <c r="M22" s="20"/>
      <c r="N22" s="20" t="s">
        <v>887</v>
      </c>
      <c r="O22" s="125" t="n">
        <v>0</v>
      </c>
      <c r="P22" s="125" t="n">
        <v>408.55</v>
      </c>
      <c r="Q22" s="125" t="n">
        <v>0</v>
      </c>
      <c r="R22" s="20" t="s">
        <v>844</v>
      </c>
      <c r="S22" s="20" t="str">
        <f aca="false">IF($C22="","",$C22&amp;"|"&amp;$E22&amp;"|"&amp;$F22&amp;"|"&amp;$L22&amp;"|"&amp;$P22&amp;"|"&amp;TEXT($H22,"yyyy-mm-dd"))</f>
        <v>PCGH775|14650|42842|5200|408.55|2026-02-02</v>
      </c>
      <c r="T22" s="20" t="str">
        <f aca="false">IF($S22="","",IF(COUNTIF($S$2:$S$2991,$S22)&gt;1,"DUPLICATE","OK"))</f>
        <v>OK</v>
      </c>
      <c r="U22" s="0" t="str">
        <f aca="false">IF($L22="","",IFERROR(VLOOKUP(--$L22,MM_Income!$Z$5:$AC$204,3,FALSE()),"UNMAPPED"))</f>
        <v>Recoverable</v>
      </c>
    </row>
    <row r="23" customFormat="false" ht="14.9" hidden="false" customHeight="false" outlineLevel="0" collapsed="false">
      <c r="A23" s="20" t="str">
        <f aca="false">IF($C23="","",Controls!$B$7)</f>
        <v>PCGH</v>
      </c>
      <c r="B23" s="20" t="str">
        <f aca="false">IF($H23="","",YEAR($H23)&amp;"-Q"&amp;ROUNDUP(MONTH($H23)/3,0))</f>
        <v>2026-Q1</v>
      </c>
      <c r="C23" s="20" t="s">
        <v>845</v>
      </c>
      <c r="D23" s="20" t="s">
        <v>846</v>
      </c>
      <c r="E23" s="20" t="n">
        <v>14651</v>
      </c>
      <c r="F23" s="20" t="n">
        <v>42843</v>
      </c>
      <c r="G23" s="20" t="s">
        <v>869</v>
      </c>
      <c r="H23" s="139" t="n">
        <v>46055</v>
      </c>
      <c r="I23" s="20" t="s">
        <v>870</v>
      </c>
      <c r="J23" s="20" t="s">
        <v>883</v>
      </c>
      <c r="K23" s="20" t="s">
        <v>867</v>
      </c>
      <c r="L23" s="20" t="n">
        <v>5200</v>
      </c>
      <c r="M23" s="20"/>
      <c r="N23" s="20" t="s">
        <v>888</v>
      </c>
      <c r="O23" s="125" t="n">
        <v>0</v>
      </c>
      <c r="P23" s="125" t="n">
        <v>1945.46</v>
      </c>
      <c r="Q23" s="125" t="n">
        <v>0</v>
      </c>
      <c r="R23" s="20" t="s">
        <v>844</v>
      </c>
      <c r="S23" s="20" t="str">
        <f aca="false">IF($C23="","",$C23&amp;"|"&amp;$E23&amp;"|"&amp;$F23&amp;"|"&amp;$L23&amp;"|"&amp;$P23&amp;"|"&amp;TEXT($H23,"yyyy-mm-dd"))</f>
        <v>PCGH775|14651|42843|5200|1945.46|2026-02-02</v>
      </c>
      <c r="T23" s="20" t="str">
        <f aca="false">IF($S23="","",IF(COUNTIF($S$2:$S$2991,$S23)&gt;1,"DUPLICATE","OK"))</f>
        <v>OK</v>
      </c>
      <c r="U23" s="0" t="str">
        <f aca="false">IF($L23="","",IFERROR(VLOOKUP(--$L23,MM_Income!$Z$5:$AC$204,3,FALSE()),"UNMAPPED"))</f>
        <v>Recoverable</v>
      </c>
    </row>
    <row r="24" customFormat="false" ht="14.9" hidden="false" customHeight="false" outlineLevel="0" collapsed="false">
      <c r="A24" s="20" t="str">
        <f aca="false">IF($C24="","",Controls!$B$7)</f>
        <v>PCGH</v>
      </c>
      <c r="B24" s="20" t="str">
        <f aca="false">IF($H24="","",YEAR($H24)&amp;"-Q"&amp;ROUNDUP(MONTH($H24)/3,0))</f>
        <v>2026-Q1</v>
      </c>
      <c r="C24" s="20" t="s">
        <v>845</v>
      </c>
      <c r="D24" s="20" t="s">
        <v>846</v>
      </c>
      <c r="E24" s="20" t="n">
        <v>14652</v>
      </c>
      <c r="F24" s="20" t="n">
        <v>42844</v>
      </c>
      <c r="G24" s="20" t="s">
        <v>869</v>
      </c>
      <c r="H24" s="139" t="n">
        <v>46054</v>
      </c>
      <c r="I24" s="20" t="s">
        <v>870</v>
      </c>
      <c r="J24" s="20" t="s">
        <v>883</v>
      </c>
      <c r="K24" s="20" t="s">
        <v>867</v>
      </c>
      <c r="L24" s="20" t="n">
        <v>5200</v>
      </c>
      <c r="M24" s="20"/>
      <c r="N24" s="20" t="s">
        <v>887</v>
      </c>
      <c r="O24" s="125" t="n">
        <v>0</v>
      </c>
      <c r="P24" s="125" t="n">
        <v>379.36</v>
      </c>
      <c r="Q24" s="125" t="n">
        <v>0</v>
      </c>
      <c r="R24" s="20" t="s">
        <v>844</v>
      </c>
      <c r="S24" s="20" t="str">
        <f aca="false">IF($C24="","",$C24&amp;"|"&amp;$E24&amp;"|"&amp;$F24&amp;"|"&amp;$L24&amp;"|"&amp;$P24&amp;"|"&amp;TEXT($H24,"yyyy-mm-dd"))</f>
        <v>PCGH775|14652|42844|5200|379.36|2026-02-01</v>
      </c>
      <c r="T24" s="20" t="str">
        <f aca="false">IF($S24="","",IF(COUNTIF($S$2:$S$2991,$S24)&gt;1,"DUPLICATE","OK"))</f>
        <v>OK</v>
      </c>
      <c r="U24" s="0" t="str">
        <f aca="false">IF($L24="","",IFERROR(VLOOKUP(--$L24,MM_Income!$Z$5:$AC$204,3,FALSE()),"UNMAPPED"))</f>
        <v>Recoverable</v>
      </c>
    </row>
    <row r="25" customFormat="false" ht="14.9" hidden="false" customHeight="false" outlineLevel="0" collapsed="false">
      <c r="A25" s="20" t="str">
        <f aca="false">IF($C25="","",Controls!$B$7)</f>
        <v>PCGH</v>
      </c>
      <c r="B25" s="20" t="str">
        <f aca="false">IF($H25="","",YEAR($H25)&amp;"-Q"&amp;ROUNDUP(MONTH($H25)/3,0))</f>
        <v>2026-Q1</v>
      </c>
      <c r="C25" s="20" t="s">
        <v>845</v>
      </c>
      <c r="D25" s="20" t="s">
        <v>846</v>
      </c>
      <c r="E25" s="20" t="n">
        <v>14653</v>
      </c>
      <c r="F25" s="20" t="n">
        <v>42845</v>
      </c>
      <c r="G25" s="20" t="s">
        <v>869</v>
      </c>
      <c r="H25" s="139" t="n">
        <v>46054</v>
      </c>
      <c r="I25" s="20" t="s">
        <v>870</v>
      </c>
      <c r="J25" s="20" t="s">
        <v>883</v>
      </c>
      <c r="K25" s="20" t="s">
        <v>867</v>
      </c>
      <c r="L25" s="20" t="n">
        <v>5200</v>
      </c>
      <c r="M25" s="20"/>
      <c r="N25" s="20" t="s">
        <v>889</v>
      </c>
      <c r="O25" s="125" t="n">
        <v>0</v>
      </c>
      <c r="P25" s="125" t="n">
        <v>2149.47</v>
      </c>
      <c r="Q25" s="125" t="n">
        <v>0</v>
      </c>
      <c r="R25" s="20" t="s">
        <v>844</v>
      </c>
      <c r="S25" s="20" t="str">
        <f aca="false">IF($C25="","",$C25&amp;"|"&amp;$E25&amp;"|"&amp;$F25&amp;"|"&amp;$L25&amp;"|"&amp;$P25&amp;"|"&amp;TEXT($H25,"yyyy-mm-dd"))</f>
        <v>PCGH775|14653|42845|5200|2149.47|2026-02-01</v>
      </c>
      <c r="T25" s="20" t="str">
        <f aca="false">IF($S25="","",IF(COUNTIF($S$2:$S$2991,$S25)&gt;1,"DUPLICATE","OK"))</f>
        <v>OK</v>
      </c>
      <c r="U25" s="0" t="str">
        <f aca="false">IF($L25="","",IFERROR(VLOOKUP(--$L25,MM_Income!$Z$5:$AC$204,3,FALSE()),"UNMAPPED"))</f>
        <v>Recoverable</v>
      </c>
    </row>
    <row r="26" customFormat="false" ht="14.9" hidden="false" customHeight="false" outlineLevel="0" collapsed="false">
      <c r="A26" s="20" t="str">
        <f aca="false">IF($C26="","",Controls!$B$7)</f>
        <v>PCGH</v>
      </c>
      <c r="B26" s="20" t="str">
        <f aca="false">IF($H26="","",YEAR($H26)&amp;"-Q"&amp;ROUNDUP(MONTH($H26)/3,0))</f>
        <v>2026-Q1</v>
      </c>
      <c r="C26" s="20" t="s">
        <v>845</v>
      </c>
      <c r="D26" s="20" t="s">
        <v>846</v>
      </c>
      <c r="E26" s="20" t="n">
        <v>14654</v>
      </c>
      <c r="F26" s="20" t="n">
        <v>42847</v>
      </c>
      <c r="G26" s="20" t="s">
        <v>869</v>
      </c>
      <c r="H26" s="139" t="n">
        <v>46054</v>
      </c>
      <c r="I26" s="20" t="s">
        <v>870</v>
      </c>
      <c r="J26" s="20" t="s">
        <v>883</v>
      </c>
      <c r="K26" s="20" t="s">
        <v>867</v>
      </c>
      <c r="L26" s="20" t="n">
        <v>5200</v>
      </c>
      <c r="M26" s="20"/>
      <c r="N26" s="20" t="s">
        <v>884</v>
      </c>
      <c r="O26" s="125" t="n">
        <v>0</v>
      </c>
      <c r="P26" s="125" t="n">
        <v>107</v>
      </c>
      <c r="Q26" s="125" t="n">
        <v>0</v>
      </c>
      <c r="R26" s="20" t="s">
        <v>844</v>
      </c>
      <c r="S26" s="20" t="str">
        <f aca="false">IF($C26="","",$C26&amp;"|"&amp;$E26&amp;"|"&amp;$F26&amp;"|"&amp;$L26&amp;"|"&amp;$P26&amp;"|"&amp;TEXT($H26,"yyyy-mm-dd"))</f>
        <v>PCGH775|14654|42847|5200|107|2026-02-01</v>
      </c>
      <c r="T26" s="20" t="str">
        <f aca="false">IF($S26="","",IF(COUNTIF($S$2:$S$2991,$S26)&gt;1,"DUPLICATE","OK"))</f>
        <v>OK</v>
      </c>
      <c r="U26" s="0" t="str">
        <f aca="false">IF($L26="","",IFERROR(VLOOKUP(--$L26,MM_Income!$Z$5:$AC$204,3,FALSE()),"UNMAPPED"))</f>
        <v>Recoverable</v>
      </c>
    </row>
    <row r="27" customFormat="false" ht="14.9" hidden="false" customHeight="false" outlineLevel="0" collapsed="false">
      <c r="A27" s="20" t="str">
        <f aca="false">IF($C27="","",Controls!$B$7)</f>
        <v>PCGH</v>
      </c>
      <c r="B27" s="20" t="str">
        <f aca="false">IF($H27="","",YEAR($H27)&amp;"-Q"&amp;ROUNDUP(MONTH($H27)/3,0))</f>
        <v>2026-Q1</v>
      </c>
      <c r="C27" s="20" t="s">
        <v>890</v>
      </c>
      <c r="D27" s="20" t="s">
        <v>891</v>
      </c>
      <c r="E27" s="20" t="n">
        <v>14657</v>
      </c>
      <c r="F27" s="20" t="n">
        <v>42885</v>
      </c>
      <c r="G27" s="20" t="s">
        <v>847</v>
      </c>
      <c r="H27" s="139" t="n">
        <v>46097</v>
      </c>
      <c r="I27" s="20" t="s">
        <v>892</v>
      </c>
      <c r="J27" s="20" t="s">
        <v>893</v>
      </c>
      <c r="K27" s="20" t="s">
        <v>849</v>
      </c>
      <c r="L27" s="20" t="n">
        <v>5200</v>
      </c>
      <c r="M27" s="20"/>
      <c r="N27" s="20" t="s">
        <v>894</v>
      </c>
      <c r="O27" s="125" t="n">
        <v>0</v>
      </c>
      <c r="P27" s="125" t="n">
        <v>6163</v>
      </c>
      <c r="Q27" s="125" t="n">
        <v>0</v>
      </c>
      <c r="R27" s="20" t="s">
        <v>844</v>
      </c>
      <c r="S27" s="20" t="str">
        <f aca="false">IF($C27="","",$C27&amp;"|"&amp;$E27&amp;"|"&amp;$F27&amp;"|"&amp;$L27&amp;"|"&amp;$P27&amp;"|"&amp;TEXT($H27,"yyyy-mm-dd"))</f>
        <v>PCGH776|14657|42885|5200|6163|2026-03-16</v>
      </c>
      <c r="T27" s="20" t="str">
        <f aca="false">IF($S27="","",IF(COUNTIF($S$2:$S$2991,$S27)&gt;1,"DUPLICATE","OK"))</f>
        <v>OK</v>
      </c>
      <c r="U27" s="0" t="str">
        <f aca="false">IF($L27="","",IFERROR(VLOOKUP(--$L27,MM_Income!$Z$5:$AC$204,3,FALSE()),"UNMAPPED"))</f>
        <v>Recoverable</v>
      </c>
    </row>
    <row r="28" customFormat="false" ht="14.9" hidden="false" customHeight="false" outlineLevel="0" collapsed="false">
      <c r="A28" s="20" t="str">
        <f aca="false">IF($C28="","",Controls!$B$7)</f>
        <v>PCGH</v>
      </c>
      <c r="B28" s="20" t="str">
        <f aca="false">IF($H28="","",YEAR($H28)&amp;"-Q"&amp;ROUNDUP(MONTH($H28)/3,0))</f>
        <v>2026-Q1</v>
      </c>
      <c r="C28" s="20" t="s">
        <v>895</v>
      </c>
      <c r="D28" s="20" t="s">
        <v>896</v>
      </c>
      <c r="E28" s="20" t="n">
        <v>14658</v>
      </c>
      <c r="F28" s="20" t="n">
        <v>42886</v>
      </c>
      <c r="G28" s="20" t="s">
        <v>847</v>
      </c>
      <c r="H28" s="139" t="n">
        <v>46097</v>
      </c>
      <c r="I28" s="20" t="s">
        <v>892</v>
      </c>
      <c r="J28" s="20" t="s">
        <v>897</v>
      </c>
      <c r="K28" s="20" t="s">
        <v>849</v>
      </c>
      <c r="L28" s="20" t="n">
        <v>5200</v>
      </c>
      <c r="M28" s="20"/>
      <c r="N28" s="20" t="s">
        <v>898</v>
      </c>
      <c r="O28" s="125" t="n">
        <v>0</v>
      </c>
      <c r="P28" s="125" t="n">
        <v>28252</v>
      </c>
      <c r="Q28" s="125" t="n">
        <v>0</v>
      </c>
      <c r="R28" s="20" t="s">
        <v>844</v>
      </c>
      <c r="S28" s="20" t="str">
        <f aca="false">IF($C28="","",$C28&amp;"|"&amp;$E28&amp;"|"&amp;$F28&amp;"|"&amp;$L28&amp;"|"&amp;$P28&amp;"|"&amp;TEXT($H28,"yyyy-mm-dd"))</f>
        <v>PCGH778|14658|42886|5200|28252|2026-03-16</v>
      </c>
      <c r="T28" s="20" t="str">
        <f aca="false">IF($S28="","",IF(COUNTIF($S$2:$S$2991,$S28)&gt;1,"DUPLICATE","OK"))</f>
        <v>OK</v>
      </c>
      <c r="U28" s="0" t="str">
        <f aca="false">IF($L28="","",IFERROR(VLOOKUP(--$L28,MM_Income!$Z$5:$AC$204,3,FALSE()),"UNMAPPED"))</f>
        <v>Recoverable</v>
      </c>
    </row>
    <row r="29" customFormat="false" ht="14.9" hidden="false" customHeight="false" outlineLevel="0" collapsed="false">
      <c r="A29" s="20" t="str">
        <f aca="false">IF($C29="","",Controls!$B$7)</f>
        <v>PCGH</v>
      </c>
      <c r="B29" s="20" t="str">
        <f aca="false">IF($H29="","",YEAR($H29)&amp;"-Q"&amp;ROUNDUP(MONTH($H29)/3,0))</f>
        <v>2026-Q1</v>
      </c>
      <c r="C29" s="20" t="s">
        <v>899</v>
      </c>
      <c r="D29" s="20" t="s">
        <v>900</v>
      </c>
      <c r="E29" s="20" t="n">
        <v>14659</v>
      </c>
      <c r="F29" s="20" t="n">
        <v>42916</v>
      </c>
      <c r="G29" s="20" t="s">
        <v>847</v>
      </c>
      <c r="H29" s="139" t="n">
        <v>46103</v>
      </c>
      <c r="I29" s="20" t="s">
        <v>892</v>
      </c>
      <c r="J29" s="20" t="s">
        <v>901</v>
      </c>
      <c r="K29" s="20" t="s">
        <v>849</v>
      </c>
      <c r="L29" s="20" t="n">
        <v>5200</v>
      </c>
      <c r="M29" s="20"/>
      <c r="N29" s="20" t="s">
        <v>902</v>
      </c>
      <c r="O29" s="125" t="n">
        <v>0</v>
      </c>
      <c r="P29" s="125" t="n">
        <v>39800</v>
      </c>
      <c r="Q29" s="125" t="n">
        <v>0</v>
      </c>
      <c r="R29" s="20" t="s">
        <v>844</v>
      </c>
      <c r="S29" s="20" t="str">
        <f aca="false">IF($C29="","",$C29&amp;"|"&amp;$E29&amp;"|"&amp;$F29&amp;"|"&amp;$L29&amp;"|"&amp;$P29&amp;"|"&amp;TEXT($H29,"yyyy-mm-dd"))</f>
        <v>PCGH762|14659|42916|5200|39800|2026-03-22</v>
      </c>
      <c r="T29" s="20" t="str">
        <f aca="false">IF($S29="","",IF(COUNTIF($S$2:$S$2991,$S29)&gt;1,"DUPLICATE","OK"))</f>
        <v>OK</v>
      </c>
      <c r="U29" s="0" t="str">
        <f aca="false">IF($L29="","",IFERROR(VLOOKUP(--$L29,MM_Income!$Z$5:$AC$204,3,FALSE()),"UNMAPPED"))</f>
        <v>Recoverable</v>
      </c>
    </row>
    <row r="30" customFormat="false" ht="13.5" hidden="false" customHeight="false" outlineLevel="0" collapsed="false">
      <c r="A30" s="20" t="str">
        <f aca="false">IF($C30="","",Controls!$B$7)</f>
        <v>PCGH</v>
      </c>
      <c r="B30" s="20" t="str">
        <f aca="false">IF($H30="","",YEAR($H30)&amp;"-Q"&amp;ROUNDUP(MONTH($H30)/3,0))</f>
        <v>2026-Q2</v>
      </c>
      <c r="C30" s="1" t="s">
        <v>903</v>
      </c>
      <c r="D30" s="1" t="s">
        <v>904</v>
      </c>
      <c r="E30" s="1" t="n">
        <v>14660</v>
      </c>
      <c r="F30" s="1" t="n">
        <v>42917</v>
      </c>
      <c r="G30" s="1" t="s">
        <v>847</v>
      </c>
      <c r="H30" s="140" t="n">
        <v>46120</v>
      </c>
      <c r="I30" s="1" t="s">
        <v>892</v>
      </c>
      <c r="J30" s="1" t="s">
        <v>905</v>
      </c>
      <c r="K30" s="1" t="s">
        <v>849</v>
      </c>
      <c r="L30" s="1" t="n">
        <v>5200</v>
      </c>
      <c r="N30" s="1" t="s">
        <v>906</v>
      </c>
      <c r="P30" s="1" t="n">
        <v>93411</v>
      </c>
      <c r="Q30" s="125"/>
      <c r="R30" s="20"/>
      <c r="S30" s="20"/>
      <c r="T30" s="20"/>
      <c r="U30" s="0" t="str">
        <f aca="false">IF($L30="","",IFERROR(VLOOKUP(--$L30,MM_Income!$Z$5:$AC$204,3,FALSE()),"UNMAPPED"))</f>
        <v>Recoverable</v>
      </c>
    </row>
    <row r="31" customFormat="false" ht="14.9" hidden="false" customHeight="false" outlineLevel="0" collapsed="false">
      <c r="A31" s="20" t="str">
        <f aca="false">IF($C31="","",Controls!$B$7)</f>
        <v>PCGH</v>
      </c>
      <c r="B31" s="20" t="str">
        <f aca="false">IF($H31="","",YEAR($H31)&amp;"-Q"&amp;ROUNDUP(MONTH($H31)/3,0))</f>
        <v>2026-Q1</v>
      </c>
      <c r="C31" s="20" t="s">
        <v>903</v>
      </c>
      <c r="D31" s="20" t="s">
        <v>904</v>
      </c>
      <c r="E31" s="20" t="n">
        <v>14661</v>
      </c>
      <c r="F31" s="20" t="n">
        <v>42948</v>
      </c>
      <c r="G31" s="20" t="s">
        <v>840</v>
      </c>
      <c r="H31" s="139" t="n">
        <v>46098</v>
      </c>
      <c r="I31" s="20" t="s">
        <v>907</v>
      </c>
      <c r="J31" s="20" t="s">
        <v>908</v>
      </c>
      <c r="K31" s="20"/>
      <c r="L31" s="20" t="n">
        <v>4200</v>
      </c>
      <c r="M31" s="20"/>
      <c r="N31" s="20" t="s">
        <v>909</v>
      </c>
      <c r="O31" s="125" t="n">
        <v>0</v>
      </c>
      <c r="P31" s="125" t="n">
        <v>-319251.56</v>
      </c>
      <c r="Q31" s="125" t="n">
        <v>0</v>
      </c>
      <c r="R31" s="20" t="s">
        <v>844</v>
      </c>
      <c r="S31" s="20" t="str">
        <f aca="false">IF($C31="","",$C31&amp;"|"&amp;$E31&amp;"|"&amp;$F31&amp;"|"&amp;$L31&amp;"|"&amp;$P31&amp;"|"&amp;TEXT($H31,"yyyy-mm-dd"))</f>
        <v>PCGH780|14661|42948|4200|-319251.56|2026-03-17</v>
      </c>
      <c r="T31" s="20" t="str">
        <f aca="false">IF($S31="","",IF(COUNTIF($S$2:$S$2991,$S31)&gt;1,"DUPLICATE","OK"))</f>
        <v>OK</v>
      </c>
      <c r="U31" s="0" t="str">
        <f aca="false">IF($L31="","",IFERROR(VLOOKUP(--$L31,MM_Income!$Z$5:$AC$204,3,FALSE()),"UNMAPPED"))</f>
        <v>Recovered Expenses</v>
      </c>
    </row>
    <row r="32" customFormat="false" ht="14.9" hidden="false" customHeight="false" outlineLevel="0" collapsed="false">
      <c r="A32" s="20" t="str">
        <f aca="false">IF($C32="","",Controls!$B$7)</f>
        <v>PCGH</v>
      </c>
      <c r="B32" s="20" t="str">
        <f aca="false">IF($H32="","",YEAR($H32)&amp;"-Q"&amp;ROUNDUP(MONTH($H32)/3,0))</f>
        <v>2026-Q1</v>
      </c>
      <c r="C32" s="20" t="s">
        <v>895</v>
      </c>
      <c r="D32" s="20" t="s">
        <v>896</v>
      </c>
      <c r="E32" s="20" t="n">
        <v>14662</v>
      </c>
      <c r="F32" s="20" t="n">
        <v>42949</v>
      </c>
      <c r="G32" s="20" t="s">
        <v>840</v>
      </c>
      <c r="H32" s="139" t="n">
        <v>46098</v>
      </c>
      <c r="I32" s="20" t="s">
        <v>907</v>
      </c>
      <c r="J32" s="20" t="s">
        <v>908</v>
      </c>
      <c r="K32" s="20"/>
      <c r="L32" s="20" t="n">
        <v>4200</v>
      </c>
      <c r="M32" s="20"/>
      <c r="N32" s="20" t="s">
        <v>910</v>
      </c>
      <c r="O32" s="125" t="n">
        <v>0</v>
      </c>
      <c r="P32" s="125" t="n">
        <v>-62465.62</v>
      </c>
      <c r="Q32" s="125" t="n">
        <v>0</v>
      </c>
      <c r="R32" s="20" t="s">
        <v>844</v>
      </c>
      <c r="S32" s="20" t="str">
        <f aca="false">IF($C32="","",$C32&amp;"|"&amp;$E32&amp;"|"&amp;$F32&amp;"|"&amp;$L32&amp;"|"&amp;$P32&amp;"|"&amp;TEXT($H32,"yyyy-mm-dd"))</f>
        <v>PCGH778|14662|42949|4200|-62465.62|2026-03-17</v>
      </c>
      <c r="T32" s="20" t="str">
        <f aca="false">IF($S32="","",IF(COUNTIF($S$2:$S$2991,$S32)&gt;1,"DUPLICATE","OK"))</f>
        <v>OK</v>
      </c>
      <c r="U32" s="0" t="str">
        <f aca="false">IF($L32="","",IFERROR(VLOOKUP(--$L32,MM_Income!$Z$5:$AC$204,3,FALSE()),"UNMAPPED"))</f>
        <v>Recovered Expenses</v>
      </c>
    </row>
    <row r="33" customFormat="false" ht="14.9" hidden="false" customHeight="false" outlineLevel="0" collapsed="false">
      <c r="A33" s="20" t="str">
        <f aca="false">IF($C33="","",Controls!$B$7)</f>
        <v>PCGH</v>
      </c>
      <c r="B33" s="20" t="str">
        <f aca="false">IF($H33="","",YEAR($H33)&amp;"-Q"&amp;ROUNDUP(MONTH($H33)/3,0))</f>
        <v>2026-Q1</v>
      </c>
      <c r="C33" s="20" t="s">
        <v>890</v>
      </c>
      <c r="D33" s="20" t="s">
        <v>891</v>
      </c>
      <c r="E33" s="20" t="n">
        <v>14663</v>
      </c>
      <c r="F33" s="20" t="n">
        <v>42953</v>
      </c>
      <c r="G33" s="20" t="s">
        <v>840</v>
      </c>
      <c r="H33" s="139" t="n">
        <v>46049</v>
      </c>
      <c r="I33" s="20" t="s">
        <v>911</v>
      </c>
      <c r="J33" s="20" t="s">
        <v>912</v>
      </c>
      <c r="K33" s="20"/>
      <c r="L33" s="20" t="n">
        <v>4000</v>
      </c>
      <c r="M33" s="20"/>
      <c r="N33" s="20" t="s">
        <v>913</v>
      </c>
      <c r="O33" s="125" t="n">
        <v>0</v>
      </c>
      <c r="P33" s="125" t="n">
        <v>-209184.87</v>
      </c>
      <c r="Q33" s="125" t="n">
        <v>0</v>
      </c>
      <c r="R33" s="20" t="s">
        <v>844</v>
      </c>
      <c r="S33" s="20" t="str">
        <f aca="false">IF($C33="","",$C33&amp;"|"&amp;$E33&amp;"|"&amp;$F33&amp;"|"&amp;$L33&amp;"|"&amp;$P33&amp;"|"&amp;TEXT($H33,"yyyy-mm-dd"))</f>
        <v>PCGH776|14663|42953|4000|-209184.87|2026-01-27</v>
      </c>
      <c r="T33" s="20" t="str">
        <f aca="false">IF($S33="","",IF(COUNTIF($S$2:$S$2991,$S33)&gt;1,"DUPLICATE","OK"))</f>
        <v>OK</v>
      </c>
      <c r="U33" s="0" t="str">
        <f aca="false">IF($L33="","",IFERROR(VLOOKUP(--$L33,MM_Income!$Z$5:$AC$204,3,FALSE()),"UNMAPPED"))</f>
        <v>Invoiced Income</v>
      </c>
    </row>
    <row r="34" customFormat="false" ht="14.9" hidden="false" customHeight="false" outlineLevel="0" collapsed="false">
      <c r="A34" s="20" t="str">
        <f aca="false">IF($C34="","",Controls!$B$7)</f>
        <v>PCGH</v>
      </c>
      <c r="B34" s="20" t="str">
        <f aca="false">IF($H34="","",YEAR($H34)&amp;"-Q"&amp;ROUNDUP(MONTH($H34)/3,0))</f>
        <v>2026-Q1</v>
      </c>
      <c r="C34" s="20" t="s">
        <v>895</v>
      </c>
      <c r="D34" s="20" t="s">
        <v>896</v>
      </c>
      <c r="E34" s="20" t="n">
        <v>14665</v>
      </c>
      <c r="F34" s="20" t="n">
        <v>42964</v>
      </c>
      <c r="G34" s="20" t="s">
        <v>914</v>
      </c>
      <c r="H34" s="139" t="n">
        <v>46090</v>
      </c>
      <c r="I34" s="20" t="s">
        <v>620</v>
      </c>
      <c r="J34" s="20" t="s">
        <v>915</v>
      </c>
      <c r="K34" s="20" t="s">
        <v>916</v>
      </c>
      <c r="L34" s="20" t="n">
        <v>5200</v>
      </c>
      <c r="M34" s="20"/>
      <c r="N34" s="20" t="s">
        <v>917</v>
      </c>
      <c r="O34" s="125" t="n">
        <v>0</v>
      </c>
      <c r="P34" s="125" t="n">
        <v>14969.29</v>
      </c>
      <c r="Q34" s="125" t="n">
        <v>0</v>
      </c>
      <c r="R34" s="20" t="s">
        <v>844</v>
      </c>
      <c r="S34" s="20" t="str">
        <f aca="false">IF($C34="","",$C34&amp;"|"&amp;$E34&amp;"|"&amp;$F34&amp;"|"&amp;$L34&amp;"|"&amp;$P34&amp;"|"&amp;TEXT($H34,"yyyy-mm-dd"))</f>
        <v>PCGH778|14665|42964|5200|14969.29|2026-03-09</v>
      </c>
      <c r="T34" s="20" t="str">
        <f aca="false">IF($S34="","",IF(COUNTIF($S$2:$S$2991,$S34)&gt;1,"DUPLICATE","OK"))</f>
        <v>OK</v>
      </c>
      <c r="U34" s="0" t="str">
        <f aca="false">IF($L34="","",IFERROR(VLOOKUP(--$L34,MM_Income!$Z$5:$AC$204,3,FALSE()),"UNMAPPED"))</f>
        <v>Recoverable</v>
      </c>
    </row>
    <row r="35" customFormat="false" ht="14.9" hidden="false" customHeight="false" outlineLevel="0" collapsed="false">
      <c r="A35" s="20" t="str">
        <f aca="false">IF($C35="","",Controls!$B$7)</f>
        <v>PCGH</v>
      </c>
      <c r="B35" s="20" t="str">
        <f aca="false">IF($H35="","",YEAR($H35)&amp;"-Q"&amp;ROUNDUP(MONTH($H35)/3,0))</f>
        <v>2026-Q1</v>
      </c>
      <c r="C35" s="20" t="s">
        <v>895</v>
      </c>
      <c r="D35" s="20" t="s">
        <v>896</v>
      </c>
      <c r="E35" s="20" t="n">
        <v>14666</v>
      </c>
      <c r="F35" s="20" t="n">
        <v>42965</v>
      </c>
      <c r="G35" s="20" t="s">
        <v>914</v>
      </c>
      <c r="H35" s="139" t="n">
        <v>46100</v>
      </c>
      <c r="I35" s="20" t="s">
        <v>620</v>
      </c>
      <c r="J35" s="20" t="s">
        <v>915</v>
      </c>
      <c r="K35" s="20" t="s">
        <v>916</v>
      </c>
      <c r="L35" s="20" t="n">
        <v>5200</v>
      </c>
      <c r="M35" s="20"/>
      <c r="N35" s="20" t="s">
        <v>918</v>
      </c>
      <c r="O35" s="125" t="n">
        <v>0</v>
      </c>
      <c r="P35" s="125" t="n">
        <v>14969.29</v>
      </c>
      <c r="Q35" s="125" t="n">
        <v>0</v>
      </c>
      <c r="R35" s="20" t="s">
        <v>844</v>
      </c>
      <c r="S35" s="20" t="str">
        <f aca="false">IF($C35="","",$C35&amp;"|"&amp;$E35&amp;"|"&amp;$F35&amp;"|"&amp;$L35&amp;"|"&amp;$P35&amp;"|"&amp;TEXT($H35,"yyyy-mm-dd"))</f>
        <v>PCGH778|14666|42965|5200|14969.29|2026-03-19</v>
      </c>
      <c r="T35" s="20" t="str">
        <f aca="false">IF($S35="","",IF(COUNTIF($S$2:$S$2991,$S35)&gt;1,"DUPLICATE","OK"))</f>
        <v>OK</v>
      </c>
      <c r="U35" s="0" t="str">
        <f aca="false">IF($L35="","",IFERROR(VLOOKUP(--$L35,MM_Income!$Z$5:$AC$204,3,FALSE()),"UNMAPPED"))</f>
        <v>Recoverable</v>
      </c>
    </row>
    <row r="36" customFormat="false" ht="14.9" hidden="false" customHeight="false" outlineLevel="0" collapsed="false">
      <c r="A36" s="20" t="str">
        <f aca="false">IF($C36="","",Controls!$B$7)</f>
        <v>PCGH</v>
      </c>
      <c r="B36" s="20" t="str">
        <f aca="false">IF($H36="","",YEAR($H36)&amp;"-Q"&amp;ROUNDUP(MONTH($H36)/3,0))</f>
        <v>2026-Q1</v>
      </c>
      <c r="C36" s="20" t="s">
        <v>919</v>
      </c>
      <c r="D36" s="20" t="s">
        <v>920</v>
      </c>
      <c r="E36" s="20" t="n">
        <v>14667</v>
      </c>
      <c r="F36" s="20" t="n">
        <v>42968</v>
      </c>
      <c r="G36" s="20" t="s">
        <v>840</v>
      </c>
      <c r="H36" s="139" t="n">
        <v>46048</v>
      </c>
      <c r="I36" s="20" t="s">
        <v>921</v>
      </c>
      <c r="J36" s="20" t="s">
        <v>922</v>
      </c>
      <c r="K36" s="20"/>
      <c r="L36" s="20" t="n">
        <v>4000</v>
      </c>
      <c r="M36" s="20"/>
      <c r="N36" s="20" t="s">
        <v>923</v>
      </c>
      <c r="O36" s="125" t="n">
        <v>0</v>
      </c>
      <c r="P36" s="125" t="n">
        <v>-88274.95</v>
      </c>
      <c r="Q36" s="125" t="n">
        <v>0</v>
      </c>
      <c r="R36" s="20" t="s">
        <v>844</v>
      </c>
      <c r="S36" s="20" t="str">
        <f aca="false">IF($C36="","",$C36&amp;"|"&amp;$E36&amp;"|"&amp;$F36&amp;"|"&amp;$L36&amp;"|"&amp;$P36&amp;"|"&amp;TEXT($H36,"yyyy-mm-dd"))</f>
        <v>PCGH767|14667|42968|4000|-88274.95|2026-01-26</v>
      </c>
      <c r="T36" s="20" t="str">
        <f aca="false">IF($S36="","",IF(COUNTIF($S$2:$S$2991,$S36)&gt;1,"DUPLICATE","OK"))</f>
        <v>OK</v>
      </c>
      <c r="U36" s="0" t="str">
        <f aca="false">IF($L36="","",IFERROR(VLOOKUP(--$L36,MM_Income!$Z$5:$AC$204,3,FALSE()),"UNMAPPED"))</f>
        <v>Invoiced Income</v>
      </c>
    </row>
    <row r="37" customFormat="false" ht="14.9" hidden="false" customHeight="false" outlineLevel="0" collapsed="false">
      <c r="A37" s="20" t="str">
        <f aca="false">IF($C37="","",Controls!$B$7)</f>
        <v>PCGH</v>
      </c>
      <c r="B37" s="20" t="str">
        <f aca="false">IF($H37="","",YEAR($H37)&amp;"-Q"&amp;ROUNDUP(MONTH($H37)/3,0))</f>
        <v>2026-Q1</v>
      </c>
      <c r="C37" s="20" t="s">
        <v>919</v>
      </c>
      <c r="D37" s="20" t="s">
        <v>920</v>
      </c>
      <c r="E37" s="20" t="n">
        <v>14668</v>
      </c>
      <c r="F37" s="20" t="n">
        <v>42969</v>
      </c>
      <c r="G37" s="20" t="s">
        <v>840</v>
      </c>
      <c r="H37" s="139" t="n">
        <v>46048</v>
      </c>
      <c r="I37" s="20" t="s">
        <v>921</v>
      </c>
      <c r="J37" s="20" t="s">
        <v>922</v>
      </c>
      <c r="K37" s="20"/>
      <c r="L37" s="20" t="n">
        <v>4000</v>
      </c>
      <c r="M37" s="20"/>
      <c r="N37" s="20" t="s">
        <v>924</v>
      </c>
      <c r="O37" s="125" t="n">
        <v>0</v>
      </c>
      <c r="P37" s="125" t="n">
        <v>-41952.32</v>
      </c>
      <c r="Q37" s="125" t="n">
        <v>0</v>
      </c>
      <c r="R37" s="20" t="s">
        <v>844</v>
      </c>
      <c r="S37" s="20" t="str">
        <f aca="false">IF($C37="","",$C37&amp;"|"&amp;$E37&amp;"|"&amp;$F37&amp;"|"&amp;$L37&amp;"|"&amp;$P37&amp;"|"&amp;TEXT($H37,"yyyy-mm-dd"))</f>
        <v>PCGH767|14668|42969|4000|-41952.32|2026-01-26</v>
      </c>
      <c r="T37" s="20" t="str">
        <f aca="false">IF($S37="","",IF(COUNTIF($S$2:$S$2991,$S37)&gt;1,"DUPLICATE","OK"))</f>
        <v>OK</v>
      </c>
      <c r="U37" s="0" t="str">
        <f aca="false">IF($L37="","",IFERROR(VLOOKUP(--$L37,MM_Income!$Z$5:$AC$204,3,FALSE()),"UNMAPPED"))</f>
        <v>Invoiced Income</v>
      </c>
    </row>
    <row r="38" customFormat="false" ht="14.9" hidden="false" customHeight="false" outlineLevel="0" collapsed="false">
      <c r="A38" s="20" t="str">
        <f aca="false">IF($C38="","",Controls!$B$7)</f>
        <v>PCGH</v>
      </c>
      <c r="B38" s="20" t="str">
        <f aca="false">IF($H38="","",YEAR($H38)&amp;"-Q"&amp;ROUNDUP(MONTH($H38)/3,0))</f>
        <v>2026-Q1</v>
      </c>
      <c r="C38" s="20" t="s">
        <v>925</v>
      </c>
      <c r="D38" s="20" t="s">
        <v>926</v>
      </c>
      <c r="E38" s="20" t="n">
        <v>14670</v>
      </c>
      <c r="F38" s="20" t="n">
        <v>43069</v>
      </c>
      <c r="G38" s="20" t="s">
        <v>840</v>
      </c>
      <c r="H38" s="139" t="n">
        <v>46105</v>
      </c>
      <c r="I38" s="20"/>
      <c r="J38" s="20" t="s">
        <v>927</v>
      </c>
      <c r="K38" s="20"/>
      <c r="L38" s="20" t="n">
        <v>4000</v>
      </c>
      <c r="M38" s="20"/>
      <c r="N38" s="20" t="s">
        <v>928</v>
      </c>
      <c r="O38" s="125" t="n">
        <v>0</v>
      </c>
      <c r="P38" s="125" t="n">
        <v>-252802.5</v>
      </c>
      <c r="Q38" s="125" t="n">
        <v>0</v>
      </c>
      <c r="R38" s="20" t="s">
        <v>844</v>
      </c>
      <c r="S38" s="20" t="str">
        <f aca="false">IF($C38="","",$C38&amp;"|"&amp;$E38&amp;"|"&amp;$F38&amp;"|"&amp;$L38&amp;"|"&amp;$P38&amp;"|"&amp;TEXT($H38,"yyyy-mm-dd"))</f>
        <v>PCGH786|14670|43069|4000|-252802.5|2026-03-24</v>
      </c>
      <c r="T38" s="20" t="str">
        <f aca="false">IF($S38="","",IF(COUNTIF($S$2:$S$2991,$S38)&gt;1,"DUPLICATE","OK"))</f>
        <v>OK</v>
      </c>
      <c r="U38" s="0" t="str">
        <f aca="false">IF($L38="","",IFERROR(VLOOKUP(--$L38,MM_Income!$Z$5:$AC$204,3,FALSE()),"UNMAPPED"))</f>
        <v>Invoiced Income</v>
      </c>
    </row>
    <row r="39" customFormat="false" ht="14.9" hidden="false" customHeight="false" outlineLevel="0" collapsed="false">
      <c r="A39" s="20" t="str">
        <f aca="false">IF($C39="","",Controls!$B$7)</f>
        <v>PCGH</v>
      </c>
      <c r="B39" s="20" t="str">
        <f aca="false">IF($H39="","",YEAR($H39)&amp;"-Q"&amp;ROUNDUP(MONTH($H39)/3,0))</f>
        <v>2026-Q1</v>
      </c>
      <c r="C39" s="20" t="s">
        <v>925</v>
      </c>
      <c r="D39" s="20" t="s">
        <v>926</v>
      </c>
      <c r="E39" s="20" t="n">
        <v>14671</v>
      </c>
      <c r="F39" s="20" t="n">
        <v>43070</v>
      </c>
      <c r="G39" s="20" t="s">
        <v>840</v>
      </c>
      <c r="H39" s="139" t="n">
        <v>46080</v>
      </c>
      <c r="I39" s="20" t="s">
        <v>929</v>
      </c>
      <c r="J39" s="20" t="s">
        <v>930</v>
      </c>
      <c r="K39" s="20"/>
      <c r="L39" s="20" t="n">
        <v>4000</v>
      </c>
      <c r="M39" s="20"/>
      <c r="N39" s="20" t="s">
        <v>931</v>
      </c>
      <c r="O39" s="125" t="n">
        <v>0</v>
      </c>
      <c r="P39" s="125" t="n">
        <v>-86675.14</v>
      </c>
      <c r="Q39" s="125" t="n">
        <v>0</v>
      </c>
      <c r="R39" s="20" t="s">
        <v>844</v>
      </c>
      <c r="S39" s="20" t="str">
        <f aca="false">IF($C39="","",$C39&amp;"|"&amp;$E39&amp;"|"&amp;$F39&amp;"|"&amp;$L39&amp;"|"&amp;$P39&amp;"|"&amp;TEXT($H39,"yyyy-mm-dd"))</f>
        <v>PCGH786|14671|43070|4000|-86675.14|2026-02-27</v>
      </c>
      <c r="T39" s="20" t="str">
        <f aca="false">IF($S39="","",IF(COUNTIF($S$2:$S$2991,$S39)&gt;1,"DUPLICATE","OK"))</f>
        <v>OK</v>
      </c>
      <c r="U39" s="0" t="str">
        <f aca="false">IF($L39="","",IFERROR(VLOOKUP(--$L39,MM_Income!$Z$5:$AC$204,3,FALSE()),"UNMAPPED"))</f>
        <v>Invoiced Income</v>
      </c>
    </row>
    <row r="40" customFormat="false" ht="14.9" hidden="false" customHeight="false" outlineLevel="0" collapsed="false">
      <c r="A40" s="20" t="str">
        <f aca="false">IF($C40="","",Controls!$B$7)</f>
        <v>PCGH</v>
      </c>
      <c r="B40" s="20" t="str">
        <f aca="false">IF($H40="","",YEAR($H40)&amp;"-Q"&amp;ROUNDUP(MONTH($H40)/3,0))</f>
        <v>2026-Q1</v>
      </c>
      <c r="C40" s="20" t="s">
        <v>899</v>
      </c>
      <c r="D40" s="20" t="s">
        <v>900</v>
      </c>
      <c r="E40" s="20" t="n">
        <v>14672</v>
      </c>
      <c r="F40" s="20" t="n">
        <v>43077</v>
      </c>
      <c r="G40" s="20" t="s">
        <v>840</v>
      </c>
      <c r="H40" s="139" t="n">
        <v>46041</v>
      </c>
      <c r="I40" s="20" t="s">
        <v>382</v>
      </c>
      <c r="J40" s="20" t="s">
        <v>932</v>
      </c>
      <c r="K40" s="20"/>
      <c r="L40" s="20" t="n">
        <v>4000</v>
      </c>
      <c r="M40" s="20"/>
      <c r="N40" s="20" t="s">
        <v>933</v>
      </c>
      <c r="O40" s="125" t="n">
        <v>0</v>
      </c>
      <c r="P40" s="125" t="n">
        <v>-249630.85</v>
      </c>
      <c r="Q40" s="125" t="n">
        <v>0</v>
      </c>
      <c r="R40" s="20" t="s">
        <v>844</v>
      </c>
      <c r="S40" s="20" t="str">
        <f aca="false">IF($C40="","",$C40&amp;"|"&amp;$E40&amp;"|"&amp;$F40&amp;"|"&amp;$L40&amp;"|"&amp;$P40&amp;"|"&amp;TEXT($H40,"yyyy-mm-dd"))</f>
        <v>PCGH762|14672|43077|4000|-249630.85|2026-01-19</v>
      </c>
      <c r="T40" s="20" t="str">
        <f aca="false">IF($S40="","",IF(COUNTIF($S$2:$S$2991,$S40)&gt;1,"DUPLICATE","OK"))</f>
        <v>OK</v>
      </c>
      <c r="U40" s="0" t="str">
        <f aca="false">IF($L40="","",IFERROR(VLOOKUP(--$L40,MM_Income!$Z$5:$AC$204,3,FALSE()),"UNMAPPED"))</f>
        <v>Invoiced Income</v>
      </c>
    </row>
    <row r="41" customFormat="false" ht="14.9" hidden="false" customHeight="false" outlineLevel="0" collapsed="false">
      <c r="A41" s="20" t="str">
        <f aca="false">IF($C41="","",Controls!$B$7)</f>
        <v>PCGH</v>
      </c>
      <c r="B41" s="20" t="str">
        <f aca="false">IF($H41="","",YEAR($H41)&amp;"-Q"&amp;ROUNDUP(MONTH($H41)/3,0))</f>
        <v>2026-Q1</v>
      </c>
      <c r="C41" s="20" t="s">
        <v>899</v>
      </c>
      <c r="D41" s="20" t="s">
        <v>900</v>
      </c>
      <c r="E41" s="20" t="n">
        <v>14673</v>
      </c>
      <c r="F41" s="20" t="n">
        <v>43078</v>
      </c>
      <c r="G41" s="20" t="s">
        <v>840</v>
      </c>
      <c r="H41" s="139" t="n">
        <v>46041</v>
      </c>
      <c r="I41" s="20" t="s">
        <v>382</v>
      </c>
      <c r="J41" s="20" t="s">
        <v>932</v>
      </c>
      <c r="K41" s="20"/>
      <c r="L41" s="20" t="n">
        <v>4200</v>
      </c>
      <c r="M41" s="20"/>
      <c r="N41" s="20" t="s">
        <v>924</v>
      </c>
      <c r="O41" s="125" t="n">
        <v>0</v>
      </c>
      <c r="P41" s="125" t="n">
        <v>-4096.17</v>
      </c>
      <c r="Q41" s="125" t="n">
        <v>0</v>
      </c>
      <c r="R41" s="20" t="s">
        <v>844</v>
      </c>
      <c r="S41" s="20" t="str">
        <f aca="false">IF($C41="","",$C41&amp;"|"&amp;$E41&amp;"|"&amp;$F41&amp;"|"&amp;$L41&amp;"|"&amp;$P41&amp;"|"&amp;TEXT($H41,"yyyy-mm-dd"))</f>
        <v>PCGH762|14673|43078|4200|-4096.17|2026-01-19</v>
      </c>
      <c r="T41" s="20" t="str">
        <f aca="false">IF($S41="","",IF(COUNTIF($S$2:$S$2991,$S41)&gt;1,"DUPLICATE","OK"))</f>
        <v>OK</v>
      </c>
      <c r="U41" s="0" t="str">
        <f aca="false">IF($L41="","",IFERROR(VLOOKUP(--$L41,MM_Income!$Z$5:$AC$204,3,FALSE()),"UNMAPPED"))</f>
        <v>Recovered Expenses</v>
      </c>
    </row>
    <row r="42" customFormat="false" ht="14.9" hidden="false" customHeight="false" outlineLevel="0" collapsed="false">
      <c r="A42" s="20" t="str">
        <f aca="false">IF($C42="","",Controls!$B$7)</f>
        <v>PCGH</v>
      </c>
      <c r="B42" s="20" t="str">
        <f aca="false">IF($H42="","",YEAR($H42)&amp;"-Q"&amp;ROUNDUP(MONTH($H42)/3,0))</f>
        <v>2026-Q1</v>
      </c>
      <c r="C42" s="20" t="s">
        <v>934</v>
      </c>
      <c r="D42" s="20" t="s">
        <v>935</v>
      </c>
      <c r="E42" s="20" t="n">
        <v>14674</v>
      </c>
      <c r="F42" s="20" t="n">
        <v>42846</v>
      </c>
      <c r="G42" s="20" t="s">
        <v>869</v>
      </c>
      <c r="H42" s="139" t="n">
        <v>46087</v>
      </c>
      <c r="I42" s="20" t="s">
        <v>870</v>
      </c>
      <c r="J42" s="20" t="s">
        <v>883</v>
      </c>
      <c r="K42" s="20" t="s">
        <v>849</v>
      </c>
      <c r="L42" s="20" t="n">
        <v>5250</v>
      </c>
      <c r="M42" s="20"/>
      <c r="N42" s="20" t="s">
        <v>885</v>
      </c>
      <c r="O42" s="125" t="n">
        <v>0</v>
      </c>
      <c r="P42" s="125" t="n">
        <v>112</v>
      </c>
      <c r="Q42" s="125" t="n">
        <v>0</v>
      </c>
      <c r="R42" s="20" t="s">
        <v>844</v>
      </c>
      <c r="S42" s="20" t="str">
        <f aca="false">IF($C42="","",$C42&amp;"|"&amp;$E42&amp;"|"&amp;$F42&amp;"|"&amp;$L42&amp;"|"&amp;$P42&amp;"|"&amp;TEXT($H42,"yyyy-mm-dd"))</f>
        <v>PCGH785|14674|42846|5250|112|2026-03-06</v>
      </c>
      <c r="T42" s="20" t="str">
        <f aca="false">IF($S42="","",IF(COUNTIF($S$2:$S$2991,$S42)&gt;1,"DUPLICATE","OK"))</f>
        <v>OK</v>
      </c>
      <c r="U42" s="0" t="str">
        <f aca="false">IF($L42="","",IFERROR(VLOOKUP(--$L42,MM_Income!$Z$5:$AC$204,3,FALSE()),"UNMAPPED"))</f>
        <v>Non-Recoverable</v>
      </c>
    </row>
    <row r="43" customFormat="false" ht="14.9" hidden="false" customHeight="false" outlineLevel="0" collapsed="false">
      <c r="A43" s="20" t="str">
        <f aca="false">IF($C43="","",Controls!$B$7)</f>
        <v>PCGH</v>
      </c>
      <c r="B43" s="20" t="str">
        <f aca="false">IF($H43="","",YEAR($H43)&amp;"-Q"&amp;ROUNDUP(MONTH($H43)/3,0))</f>
        <v>2026-Q1</v>
      </c>
      <c r="C43" s="20" t="s">
        <v>936</v>
      </c>
      <c r="D43" s="20" t="s">
        <v>937</v>
      </c>
      <c r="E43" s="20" t="n">
        <v>14678</v>
      </c>
      <c r="F43" s="20" t="n">
        <v>43220</v>
      </c>
      <c r="G43" s="20" t="s">
        <v>840</v>
      </c>
      <c r="H43" s="139" t="n">
        <v>46069</v>
      </c>
      <c r="I43" s="20" t="s">
        <v>398</v>
      </c>
      <c r="J43" s="20" t="s">
        <v>938</v>
      </c>
      <c r="K43" s="20"/>
      <c r="L43" s="20" t="n">
        <v>4000</v>
      </c>
      <c r="M43" s="20"/>
      <c r="N43" s="20" t="s">
        <v>939</v>
      </c>
      <c r="O43" s="125" t="n">
        <v>0</v>
      </c>
      <c r="P43" s="125" t="n">
        <v>-202615.08</v>
      </c>
      <c r="Q43" s="125" t="n">
        <v>0</v>
      </c>
      <c r="R43" s="20" t="s">
        <v>844</v>
      </c>
      <c r="S43" s="20" t="str">
        <f aca="false">IF($C43="","",$C43&amp;"|"&amp;$E43&amp;"|"&amp;$F43&amp;"|"&amp;$L43&amp;"|"&amp;$P43&amp;"|"&amp;TEXT($H43,"yyyy-mm-dd"))</f>
        <v>PCGH784|14678|43220|4000|-202615.08|2026-02-16</v>
      </c>
      <c r="T43" s="20" t="str">
        <f aca="false">IF($S43="","",IF(COUNTIF($S$2:$S$2991,$S43)&gt;1,"DUPLICATE","OK"))</f>
        <v>OK</v>
      </c>
      <c r="U43" s="0" t="str">
        <f aca="false">IF($L43="","",IFERROR(VLOOKUP(--$L43,MM_Income!$Z$5:$AC$204,3,FALSE()),"UNMAPPED"))</f>
        <v>Invoiced Income</v>
      </c>
    </row>
    <row r="44" customFormat="false" ht="14.9" hidden="false" customHeight="false" outlineLevel="0" collapsed="false">
      <c r="A44" s="20" t="str">
        <f aca="false">IF($C44="","",Controls!$B$7)</f>
        <v>PCGH</v>
      </c>
      <c r="B44" s="20" t="str">
        <f aca="false">IF($H44="","",YEAR($H44)&amp;"-Q"&amp;ROUNDUP(MONTH($H44)/3,0))</f>
        <v>2026-Q1</v>
      </c>
      <c r="C44" s="20" t="s">
        <v>934</v>
      </c>
      <c r="D44" s="20" t="s">
        <v>935</v>
      </c>
      <c r="E44" s="20" t="n">
        <v>14679</v>
      </c>
      <c r="F44" s="20" t="n">
        <v>43221</v>
      </c>
      <c r="G44" s="20" t="s">
        <v>840</v>
      </c>
      <c r="H44" s="139" t="n">
        <v>46069</v>
      </c>
      <c r="I44" s="20" t="s">
        <v>398</v>
      </c>
      <c r="J44" s="20" t="s">
        <v>940</v>
      </c>
      <c r="K44" s="20"/>
      <c r="L44" s="20" t="n">
        <v>4000</v>
      </c>
      <c r="M44" s="20"/>
      <c r="N44" s="20" t="s">
        <v>941</v>
      </c>
      <c r="O44" s="125" t="n">
        <v>0</v>
      </c>
      <c r="P44" s="125" t="n">
        <v>-84369.45</v>
      </c>
      <c r="Q44" s="125" t="n">
        <v>0</v>
      </c>
      <c r="R44" s="20" t="s">
        <v>844</v>
      </c>
      <c r="S44" s="20" t="str">
        <f aca="false">IF($C44="","",$C44&amp;"|"&amp;$E44&amp;"|"&amp;$F44&amp;"|"&amp;$L44&amp;"|"&amp;$P44&amp;"|"&amp;TEXT($H44,"yyyy-mm-dd"))</f>
        <v>PCGH785|14679|43221|4000|-84369.45|2026-02-16</v>
      </c>
      <c r="T44" s="20" t="str">
        <f aca="false">IF($S44="","",IF(COUNTIF($S$2:$S$2991,$S44)&gt;1,"DUPLICATE","OK"))</f>
        <v>OK</v>
      </c>
      <c r="U44" s="0" t="str">
        <f aca="false">IF($L44="","",IFERROR(VLOOKUP(--$L44,MM_Income!$Z$5:$AC$204,3,FALSE()),"UNMAPPED"))</f>
        <v>Invoiced Income</v>
      </c>
    </row>
    <row r="45" customFormat="false" ht="14.9" hidden="false" customHeight="false" outlineLevel="0" collapsed="false">
      <c r="A45" s="20" t="str">
        <f aca="false">IF($C45="","",Controls!$B$7)</f>
        <v>PCGH</v>
      </c>
      <c r="B45" s="20" t="str">
        <f aca="false">IF($H45="","",YEAR($H45)&amp;"-Q"&amp;ROUNDUP(MONTH($H45)/3,0))</f>
        <v>2026-Q1</v>
      </c>
      <c r="C45" s="20" t="s">
        <v>863</v>
      </c>
      <c r="D45" s="20" t="s">
        <v>864</v>
      </c>
      <c r="E45" s="20" t="n">
        <v>14680</v>
      </c>
      <c r="F45" s="20" t="n">
        <v>43222</v>
      </c>
      <c r="G45" s="20" t="s">
        <v>840</v>
      </c>
      <c r="H45" s="139" t="n">
        <v>46072</v>
      </c>
      <c r="I45" s="20" t="s">
        <v>907</v>
      </c>
      <c r="J45" s="20" t="s">
        <v>942</v>
      </c>
      <c r="K45" s="20"/>
      <c r="L45" s="20" t="n">
        <v>4050</v>
      </c>
      <c r="M45" s="20"/>
      <c r="N45" s="20" t="s">
        <v>943</v>
      </c>
      <c r="O45" s="125" t="n">
        <v>0</v>
      </c>
      <c r="P45" s="125" t="n">
        <v>-307039.47</v>
      </c>
      <c r="Q45" s="125" t="n">
        <v>0</v>
      </c>
      <c r="R45" s="20" t="s">
        <v>844</v>
      </c>
      <c r="S45" s="20" t="str">
        <f aca="false">IF($C45="","",$C45&amp;"|"&amp;$E45&amp;"|"&amp;$F45&amp;"|"&amp;$L45&amp;"|"&amp;$P45&amp;"|"&amp;TEXT($H45,"yyyy-mm-dd"))</f>
        <v>PCGH777|14680|43222|4050|-307039.47|2026-02-19</v>
      </c>
      <c r="T45" s="20" t="str">
        <f aca="false">IF($S45="","",IF(COUNTIF($S$2:$S$2991,$S45)&gt;1,"DUPLICATE","OK"))</f>
        <v>OK</v>
      </c>
      <c r="U45" s="0" t="str">
        <f aca="false">IF($L45="","",IFERROR(VLOOKUP(--$L45,MM_Income!$Z$5:$AC$204,3,FALSE()),"UNMAPPED"))</f>
        <v>Invoiced Income</v>
      </c>
    </row>
    <row r="46" customFormat="false" ht="14.9" hidden="false" customHeight="false" outlineLevel="0" collapsed="false">
      <c r="A46" s="20" t="str">
        <f aca="false">IF($C46="","",Controls!$B$7)</f>
        <v>PCGH</v>
      </c>
      <c r="B46" s="20" t="str">
        <f aca="false">IF($H46="","",YEAR($H46)&amp;"-Q"&amp;ROUNDUP(MONTH($H46)/3,0))</f>
        <v>2026-Q1</v>
      </c>
      <c r="C46" s="20" t="s">
        <v>936</v>
      </c>
      <c r="D46" s="20" t="s">
        <v>937</v>
      </c>
      <c r="E46" s="20" t="n">
        <v>14681</v>
      </c>
      <c r="F46" s="20" t="n">
        <v>43223</v>
      </c>
      <c r="G46" s="20" t="s">
        <v>840</v>
      </c>
      <c r="H46" s="139" t="n">
        <v>46086</v>
      </c>
      <c r="I46" s="20" t="s">
        <v>398</v>
      </c>
      <c r="J46" s="20" t="s">
        <v>944</v>
      </c>
      <c r="K46" s="20"/>
      <c r="L46" s="20" t="n">
        <v>4000</v>
      </c>
      <c r="M46" s="20"/>
      <c r="N46" s="20" t="s">
        <v>945</v>
      </c>
      <c r="O46" s="125" t="n">
        <v>0</v>
      </c>
      <c r="P46" s="125" t="n">
        <v>-151961.31</v>
      </c>
      <c r="Q46" s="125" t="n">
        <v>0</v>
      </c>
      <c r="R46" s="20" t="s">
        <v>844</v>
      </c>
      <c r="S46" s="20" t="str">
        <f aca="false">IF($C46="","",$C46&amp;"|"&amp;$E46&amp;"|"&amp;$F46&amp;"|"&amp;$L46&amp;"|"&amp;$P46&amp;"|"&amp;TEXT($H46,"yyyy-mm-dd"))</f>
        <v>PCGH784|14681|43223|4000|-151961.31|2026-03-05</v>
      </c>
      <c r="T46" s="20" t="str">
        <f aca="false">IF($S46="","",IF(COUNTIF($S$2:$S$2991,$S46)&gt;1,"DUPLICATE","OK"))</f>
        <v>OK</v>
      </c>
      <c r="U46" s="0" t="str">
        <f aca="false">IF($L46="","",IFERROR(VLOOKUP(--$L46,MM_Income!$Z$5:$AC$204,3,FALSE()),"UNMAPPED"))</f>
        <v>Invoiced Income</v>
      </c>
    </row>
    <row r="47" customFormat="false" ht="13.5" hidden="false" customHeight="false" outlineLevel="0" collapsed="false">
      <c r="A47" s="1" t="str">
        <f aca="false">IF($C47="","",Controls!$B$7)</f>
        <v>PCGH</v>
      </c>
      <c r="B47" s="1" t="str">
        <f aca="false">IF($H47="","",YEAR($H47)&amp;"-Q"&amp;ROUNDUP(MONTH($H47)/3,0))</f>
        <v>2026-Q2</v>
      </c>
      <c r="C47" s="1" t="s">
        <v>925</v>
      </c>
      <c r="D47" s="1" t="s">
        <v>926</v>
      </c>
      <c r="E47" s="1" t="n">
        <v>14683</v>
      </c>
      <c r="F47" s="1" t="n">
        <v>43301</v>
      </c>
      <c r="G47" s="1" t="s">
        <v>847</v>
      </c>
      <c r="H47" s="140" t="n">
        <v>46135</v>
      </c>
      <c r="I47" s="1" t="s">
        <v>848</v>
      </c>
      <c r="J47" s="1" t="s">
        <v>946</v>
      </c>
      <c r="K47" s="1" t="s">
        <v>849</v>
      </c>
      <c r="L47" s="1" t="n">
        <v>5200</v>
      </c>
      <c r="N47" s="1" t="s">
        <v>947</v>
      </c>
      <c r="P47" s="1" t="n">
        <v>4000</v>
      </c>
      <c r="S47" s="1" t="str">
        <f aca="false">IF($C47="","",$C47&amp;"|"&amp;$E47&amp;"|"&amp;$F47&amp;"|"&amp;$L47&amp;"|"&amp;$P47&amp;"|"&amp;TEXT($H47,"yyyy-mm-dd"))</f>
        <v>PCGH786|14683|43301|5200|4000|2026-04-23</v>
      </c>
      <c r="T47" s="1" t="str">
        <f aca="false">IF($S47="","",IF(COUNTIF($S$2:$S$2991,$S47)&gt;1,"DUPLICATE","OK"))</f>
        <v>OK</v>
      </c>
      <c r="U47" s="0" t="str">
        <f aca="false">IF($L47="","",IFERROR(VLOOKUP(--$L47,MM_Income!$Z$5:$AC$204,3,FALSE()),"UNMAPPED"))</f>
        <v>Recoverable</v>
      </c>
    </row>
    <row r="48" customFormat="false" ht="13.5" hidden="false" customHeight="false" outlineLevel="0" collapsed="false">
      <c r="A48" s="1" t="str">
        <f aca="false">IF($C48="","",Controls!$B$7)</f>
        <v>PCGH</v>
      </c>
      <c r="B48" s="1" t="str">
        <f aca="false">IF($H48="","",YEAR($H48)&amp;"-Q"&amp;ROUNDUP(MONTH($H48)/3,0))</f>
        <v>2026-Q2</v>
      </c>
      <c r="C48" s="1" t="s">
        <v>925</v>
      </c>
      <c r="D48" s="1" t="s">
        <v>926</v>
      </c>
      <c r="E48" s="1" t="n">
        <v>14684</v>
      </c>
      <c r="F48" s="1" t="n">
        <v>43302</v>
      </c>
      <c r="G48" s="1" t="s">
        <v>847</v>
      </c>
      <c r="H48" s="140" t="n">
        <v>46135</v>
      </c>
      <c r="I48" s="1" t="s">
        <v>848</v>
      </c>
      <c r="J48" s="1" t="s">
        <v>946</v>
      </c>
      <c r="K48" s="1" t="s">
        <v>849</v>
      </c>
      <c r="L48" s="1" t="n">
        <v>2203</v>
      </c>
      <c r="N48" s="1" t="s">
        <v>948</v>
      </c>
      <c r="P48" s="1" t="n">
        <v>200</v>
      </c>
      <c r="S48" s="1" t="str">
        <f aca="false">IF($C48="","",$C48&amp;"|"&amp;$E48&amp;"|"&amp;$F48&amp;"|"&amp;$L48&amp;"|"&amp;$P48&amp;"|"&amp;TEXT($H48,"yyyy-mm-dd"))</f>
        <v>PCGH786|14684|43302|2203|200|2026-04-23</v>
      </c>
      <c r="T48" s="1" t="str">
        <f aca="false">IF($S48="","",IF(COUNTIF($S$2:$S$2991,$S48)&gt;1,"DUPLICATE","OK"))</f>
        <v>OK</v>
      </c>
      <c r="U48" s="0" t="str">
        <f aca="false">IF($L48="","",IFERROR(VLOOKUP(--$L48,MM_Income!$Z$5:$AC$204,3,FALSE()),"UNMAPPED"))</f>
        <v>Project Inclusive</v>
      </c>
    </row>
    <row r="49" customFormat="false" ht="13.5" hidden="false" customHeight="false" outlineLevel="0" collapsed="false">
      <c r="A49" s="1" t="str">
        <f aca="false">IF($C49="","",Controls!$B$7)</f>
        <v>PCGH</v>
      </c>
      <c r="B49" s="1" t="str">
        <f aca="false">IF($H49="","",YEAR($H49)&amp;"-Q"&amp;ROUNDUP(MONTH($H49)/3,0))</f>
        <v>2026-Q2</v>
      </c>
      <c r="C49" s="1" t="s">
        <v>925</v>
      </c>
      <c r="D49" s="1" t="s">
        <v>926</v>
      </c>
      <c r="E49" s="1" t="n">
        <v>14685</v>
      </c>
      <c r="F49" s="1" t="n">
        <v>43303</v>
      </c>
      <c r="G49" s="1" t="s">
        <v>847</v>
      </c>
      <c r="H49" s="140" t="n">
        <v>46135</v>
      </c>
      <c r="I49" s="1" t="s">
        <v>848</v>
      </c>
      <c r="J49" s="1" t="s">
        <v>946</v>
      </c>
      <c r="K49" s="1" t="s">
        <v>849</v>
      </c>
      <c r="L49" s="1" t="n">
        <v>5200</v>
      </c>
      <c r="N49" s="1" t="s">
        <v>949</v>
      </c>
      <c r="P49" s="1" t="n">
        <v>40</v>
      </c>
      <c r="S49" s="1" t="str">
        <f aca="false">IF($C49="","",$C49&amp;"|"&amp;$E49&amp;"|"&amp;$F49&amp;"|"&amp;$L49&amp;"|"&amp;$P49&amp;"|"&amp;TEXT($H49,"yyyy-mm-dd"))</f>
        <v>PCGH786|14685|43303|5200|40|2026-04-23</v>
      </c>
      <c r="T49" s="1" t="str">
        <f aca="false">IF($S49="","",IF(COUNTIF($S$2:$S$2991,$S49)&gt;1,"DUPLICATE","OK"))</f>
        <v>OK</v>
      </c>
      <c r="U49" s="0" t="str">
        <f aca="false">IF($L49="","",IFERROR(VLOOKUP(--$L49,MM_Income!$Z$5:$AC$204,3,FALSE()),"UNMAPPED"))</f>
        <v>Recoverable</v>
      </c>
    </row>
    <row r="50" customFormat="false" ht="13.5" hidden="false" customHeight="false" outlineLevel="0" collapsed="false">
      <c r="A50" s="1" t="str">
        <f aca="false">IF($C50="","",Controls!$B$7)</f>
        <v>PCGH</v>
      </c>
      <c r="B50" s="1" t="str">
        <f aca="false">IF($H50="","",YEAR($H50)&amp;"-Q"&amp;ROUNDUP(MONTH($H50)/3,0))</f>
        <v>2026-Q2</v>
      </c>
      <c r="C50" s="1" t="s">
        <v>925</v>
      </c>
      <c r="D50" s="1" t="s">
        <v>926</v>
      </c>
      <c r="E50" s="1" t="n">
        <v>14686</v>
      </c>
      <c r="F50" s="1" t="n">
        <v>43391</v>
      </c>
      <c r="G50" s="1" t="s">
        <v>847</v>
      </c>
      <c r="H50" s="140" t="n">
        <v>46119</v>
      </c>
      <c r="I50" s="1" t="s">
        <v>950</v>
      </c>
      <c r="J50" s="1" t="s">
        <v>951</v>
      </c>
      <c r="K50" s="1" t="s">
        <v>856</v>
      </c>
      <c r="L50" s="1" t="n">
        <v>5000</v>
      </c>
      <c r="N50" s="1" t="s">
        <v>952</v>
      </c>
      <c r="P50" s="1" t="n">
        <v>46680.57</v>
      </c>
      <c r="S50" s="1" t="str">
        <f aca="false">IF($C50="","",$C50&amp;"|"&amp;$E50&amp;"|"&amp;$F50&amp;"|"&amp;$L50&amp;"|"&amp;$P50&amp;"|"&amp;TEXT($H50,"yyyy-mm-dd"))</f>
        <v>PCGH786|14686|43391|5000|46680.57|2026-04-07</v>
      </c>
      <c r="T50" s="1" t="str">
        <f aca="false">IF($S50="","",IF(COUNTIF($S$2:$S$2991,$S50)&gt;1,"DUPLICATE","OK"))</f>
        <v>OK</v>
      </c>
      <c r="U50" s="0" t="str">
        <f aca="false">IF($L50="","",IFERROR(VLOOKUP(--$L50,MM_Income!$Z$5:$AC$204,3,FALSE()),"UNMAPPED"))</f>
        <v>Subcontractor</v>
      </c>
    </row>
    <row r="51" customFormat="false" ht="13.5" hidden="false" customHeight="false" outlineLevel="0" collapsed="false">
      <c r="A51" s="1" t="str">
        <f aca="false">IF($C51="","",Controls!$B$7)</f>
        <v>PCGH</v>
      </c>
      <c r="B51" s="1" t="str">
        <f aca="false">IF($H51="","",YEAR($H51)&amp;"-Q"&amp;ROUNDUP(MONTH($H51)/3,0))</f>
        <v>2026-Q2</v>
      </c>
      <c r="C51" s="1" t="s">
        <v>899</v>
      </c>
      <c r="D51" s="1" t="s">
        <v>900</v>
      </c>
      <c r="E51" s="1" t="n">
        <v>14687</v>
      </c>
      <c r="F51" s="1" t="n">
        <v>43406</v>
      </c>
      <c r="G51" s="1" t="s">
        <v>847</v>
      </c>
      <c r="H51" s="140" t="n">
        <v>46120</v>
      </c>
      <c r="I51" s="1" t="s">
        <v>953</v>
      </c>
      <c r="J51" s="1" t="s">
        <v>954</v>
      </c>
      <c r="K51" s="1" t="s">
        <v>856</v>
      </c>
      <c r="L51" s="1" t="n">
        <v>5000</v>
      </c>
      <c r="N51" s="1" t="s">
        <v>955</v>
      </c>
      <c r="P51" s="1" t="n">
        <v>39672.04</v>
      </c>
      <c r="S51" s="1" t="str">
        <f aca="false">IF($C51="","",$C51&amp;"|"&amp;$E51&amp;"|"&amp;$F51&amp;"|"&amp;$L51&amp;"|"&amp;$P51&amp;"|"&amp;TEXT($H51,"yyyy-mm-dd"))</f>
        <v>PCGH762|14687|43406|5000|39672.04|2026-04-08</v>
      </c>
      <c r="T51" s="1" t="str">
        <f aca="false">IF($S51="","",IF(COUNTIF($S$2:$S$2991,$S51)&gt;1,"DUPLICATE","OK"))</f>
        <v>OK</v>
      </c>
      <c r="U51" s="0" t="str">
        <f aca="false">IF($L51="","",IFERROR(VLOOKUP(--$L51,MM_Income!$Z$5:$AC$204,3,FALSE()),"UNMAPPED"))</f>
        <v>Subcontractor</v>
      </c>
    </row>
    <row r="52" customFormat="false" ht="13.5" hidden="false" customHeight="false" outlineLevel="0" collapsed="false">
      <c r="A52" s="1" t="str">
        <f aca="false">IF($C52="","",Controls!$B$7)</f>
        <v>PCGH</v>
      </c>
      <c r="B52" s="1" t="str">
        <f aca="false">IF($H52="","",YEAR($H52)&amp;"-Q"&amp;ROUNDUP(MONTH($H52)/3,0))</f>
        <v>2026-Q2</v>
      </c>
      <c r="C52" s="1" t="s">
        <v>899</v>
      </c>
      <c r="D52" s="1" t="s">
        <v>900</v>
      </c>
      <c r="E52" s="1" t="n">
        <v>14688</v>
      </c>
      <c r="F52" s="1" t="n">
        <v>43414</v>
      </c>
      <c r="G52" s="1" t="s">
        <v>847</v>
      </c>
      <c r="H52" s="140" t="n">
        <v>46119</v>
      </c>
      <c r="I52" s="1" t="s">
        <v>956</v>
      </c>
      <c r="J52" s="1" t="s">
        <v>957</v>
      </c>
      <c r="K52" s="1" t="s">
        <v>856</v>
      </c>
      <c r="L52" s="1" t="n">
        <v>5000</v>
      </c>
      <c r="N52" s="1" t="s">
        <v>958</v>
      </c>
      <c r="P52" s="1" t="n">
        <v>49544.74</v>
      </c>
      <c r="S52" s="1" t="str">
        <f aca="false">IF($C52="","",$C52&amp;"|"&amp;$E52&amp;"|"&amp;$F52&amp;"|"&amp;$L52&amp;"|"&amp;$P52&amp;"|"&amp;TEXT($H52,"yyyy-mm-dd"))</f>
        <v>PCGH762|14688|43414|5000|49544.74|2026-04-07</v>
      </c>
      <c r="T52" s="1" t="str">
        <f aca="false">IF($S52="","",IF(COUNTIF($S$2:$S$2991,$S52)&gt;1,"DUPLICATE","OK"))</f>
        <v>OK</v>
      </c>
      <c r="U52" s="0" t="str">
        <f aca="false">IF($L52="","",IFERROR(VLOOKUP(--$L52,MM_Income!$Z$5:$AC$204,3,FALSE()),"UNMAPPED"))</f>
        <v>Subcontractor</v>
      </c>
    </row>
    <row r="53" customFormat="false" ht="13.5" hidden="false" customHeight="false" outlineLevel="0" collapsed="false">
      <c r="A53" s="1" t="str">
        <f aca="false">IF($C53="","",Controls!$B$7)</f>
        <v>PCGH</v>
      </c>
      <c r="B53" s="1" t="str">
        <f aca="false">IF($H53="","",YEAR($H53)&amp;"-Q"&amp;ROUNDUP(MONTH($H53)/3,0))</f>
        <v>2026-Q2</v>
      </c>
      <c r="C53" s="1" t="s">
        <v>903</v>
      </c>
      <c r="D53" s="1" t="s">
        <v>904</v>
      </c>
      <c r="E53" s="1" t="n">
        <v>14689</v>
      </c>
      <c r="F53" s="1" t="n">
        <v>43430</v>
      </c>
      <c r="G53" s="1" t="s">
        <v>914</v>
      </c>
      <c r="H53" s="140" t="n">
        <v>46139</v>
      </c>
      <c r="I53" s="1" t="n">
        <v>1210</v>
      </c>
      <c r="J53" s="1" t="s">
        <v>959</v>
      </c>
      <c r="K53" s="1" t="s">
        <v>916</v>
      </c>
      <c r="L53" s="1" t="n">
        <v>5200</v>
      </c>
      <c r="N53" s="1" t="s">
        <v>960</v>
      </c>
      <c r="P53" s="1" t="n">
        <v>133676.41</v>
      </c>
      <c r="S53" s="1" t="str">
        <f aca="false">IF($C53="","",$C53&amp;"|"&amp;$E53&amp;"|"&amp;$F53&amp;"|"&amp;$L53&amp;"|"&amp;$P53&amp;"|"&amp;TEXT($H53,"yyyy-mm-dd"))</f>
        <v>PCGH780|14689|43430|5200|133676.41|2026-04-27</v>
      </c>
      <c r="T53" s="1" t="str">
        <f aca="false">IF($S53="","",IF(COUNTIF($S$2:$S$2991,$S53)&gt;1,"DUPLICATE","OK"))</f>
        <v>OK</v>
      </c>
      <c r="U53" s="0" t="str">
        <f aca="false">IF($L53="","",IFERROR(VLOOKUP(--$L53,MM_Income!$Z$5:$AC$204,3,FALSE()),"UNMAPPED"))</f>
        <v>Recoverable</v>
      </c>
    </row>
    <row r="54" customFormat="false" ht="13.5" hidden="false" customHeight="false" outlineLevel="0" collapsed="false">
      <c r="A54" s="1" t="str">
        <f aca="false">IF($C54="","",Controls!$B$7)</f>
        <v>PCGH</v>
      </c>
      <c r="B54" s="1" t="str">
        <f aca="false">IF($H54="","",YEAR($H54)&amp;"-Q"&amp;ROUNDUP(MONTH($H54)/3,0))</f>
        <v>2026-Q2</v>
      </c>
      <c r="C54" s="1" t="s">
        <v>903</v>
      </c>
      <c r="D54" s="1" t="s">
        <v>904</v>
      </c>
      <c r="E54" s="1" t="n">
        <v>14690</v>
      </c>
      <c r="F54" s="1" t="n">
        <v>43403</v>
      </c>
      <c r="G54" s="1" t="s">
        <v>914</v>
      </c>
      <c r="H54" s="140" t="n">
        <v>46119</v>
      </c>
      <c r="I54" s="1" t="n">
        <v>1210</v>
      </c>
      <c r="J54" s="1" t="s">
        <v>961</v>
      </c>
      <c r="K54" s="1" t="s">
        <v>916</v>
      </c>
      <c r="L54" s="1" t="n">
        <v>5200</v>
      </c>
      <c r="N54" s="1" t="s">
        <v>962</v>
      </c>
      <c r="P54" s="1" t="n">
        <v>193940.43</v>
      </c>
      <c r="S54" s="1" t="str">
        <f aca="false">IF($C54="","",$C54&amp;"|"&amp;$E54&amp;"|"&amp;$F54&amp;"|"&amp;$L54&amp;"|"&amp;$P54&amp;"|"&amp;TEXT($H54,"yyyy-mm-dd"))</f>
        <v>PCGH780|14690|43403|5200|193940.43|2026-04-07</v>
      </c>
      <c r="T54" s="1" t="str">
        <f aca="false">IF($S54="","",IF(COUNTIF($S$2:$S$2991,$S54)&gt;1,"DUPLICATE","OK"))</f>
        <v>OK</v>
      </c>
      <c r="U54" s="0" t="str">
        <f aca="false">IF($L54="","",IFERROR(VLOOKUP(--$L54,MM_Income!$Z$5:$AC$204,3,FALSE()),"UNMAPPED"))</f>
        <v>Recoverable</v>
      </c>
    </row>
    <row r="55" customFormat="false" ht="13.5" hidden="false" customHeight="false" outlineLevel="0" collapsed="false">
      <c r="A55" s="1" t="str">
        <f aca="false">IF($C55="","",Controls!$B$7)</f>
        <v>PCGH</v>
      </c>
      <c r="B55" s="1" t="str">
        <f aca="false">IF($H55="","",YEAR($H55)&amp;"-Q"&amp;ROUNDUP(MONTH($H55)/3,0))</f>
        <v>2026-Q2</v>
      </c>
      <c r="C55" s="1" t="s">
        <v>890</v>
      </c>
      <c r="D55" s="1" t="s">
        <v>891</v>
      </c>
      <c r="E55" s="1" t="n">
        <v>14691</v>
      </c>
      <c r="F55" s="1" t="n">
        <v>43432</v>
      </c>
      <c r="G55" s="1" t="s">
        <v>840</v>
      </c>
      <c r="H55" s="140" t="n">
        <v>46132</v>
      </c>
      <c r="I55" s="1" t="s">
        <v>911</v>
      </c>
      <c r="J55" s="1" t="n">
        <v>2026019</v>
      </c>
      <c r="L55" s="1" t="n">
        <v>4000</v>
      </c>
      <c r="N55" s="1" t="s">
        <v>963</v>
      </c>
      <c r="P55" s="1" t="n">
        <v>-162020.16</v>
      </c>
      <c r="S55" s="1" t="str">
        <f aca="false">IF($C55="","",$C55&amp;"|"&amp;$E55&amp;"|"&amp;$F55&amp;"|"&amp;$L55&amp;"|"&amp;$P55&amp;"|"&amp;TEXT($H55,"yyyy-mm-dd"))</f>
        <v>PCGH776|14691|43432|4000|-162020.16|2026-04-20</v>
      </c>
      <c r="T55" s="1" t="str">
        <f aca="false">IF($S55="","",IF(COUNTIF($S$2:$S$2991,$S55)&gt;1,"DUPLICATE","OK"))</f>
        <v>OK</v>
      </c>
      <c r="U55" s="0" t="str">
        <f aca="false">IF($L55="","",IFERROR(VLOOKUP(--$L55,MM_Income!$Z$5:$AC$204,3,FALSE()),"UNMAPPED"))</f>
        <v>Invoiced Income</v>
      </c>
    </row>
    <row r="56" customFormat="false" ht="13.5" hidden="false" customHeight="false" outlineLevel="0" collapsed="false">
      <c r="A56" s="1" t="str">
        <f aca="false">IF($C56="","",Controls!$B$7)</f>
        <v>PCGH</v>
      </c>
      <c r="B56" s="1" t="str">
        <f aca="false">IF($H56="","",YEAR($H56)&amp;"-Q"&amp;ROUNDUP(MONTH($H56)/3,0))</f>
        <v>2026-Q2</v>
      </c>
      <c r="C56" s="1" t="s">
        <v>964</v>
      </c>
      <c r="D56" s="1" t="s">
        <v>965</v>
      </c>
      <c r="E56" s="1" t="n">
        <v>14692</v>
      </c>
      <c r="F56" s="1" t="n">
        <v>43500</v>
      </c>
      <c r="G56" s="1" t="s">
        <v>847</v>
      </c>
      <c r="H56" s="140" t="n">
        <v>46128</v>
      </c>
      <c r="I56" s="1" t="s">
        <v>966</v>
      </c>
      <c r="J56" s="1" t="s">
        <v>967</v>
      </c>
      <c r="K56" s="1" t="s">
        <v>968</v>
      </c>
      <c r="L56" s="1" t="n">
        <v>5250</v>
      </c>
      <c r="N56" s="1" t="s">
        <v>969</v>
      </c>
      <c r="P56" s="1" t="n">
        <v>36460.04</v>
      </c>
      <c r="S56" s="1" t="str">
        <f aca="false">IF($C56="","",$C56&amp;"|"&amp;$E56&amp;"|"&amp;$F56&amp;"|"&amp;$L56&amp;"|"&amp;$P56&amp;"|"&amp;TEXT($H56,"yyyy-mm-dd"))</f>
        <v>PCGH769|14692|43500|5250|36460.04|2026-04-16</v>
      </c>
      <c r="T56" s="1" t="str">
        <f aca="false">IF($S56="","",IF(COUNTIF($S$2:$S$2991,$S56)&gt;1,"DUPLICATE","OK"))</f>
        <v>OK</v>
      </c>
      <c r="U56" s="0" t="str">
        <f aca="false">IF($L56="","",IFERROR(VLOOKUP(--$L56,MM_Income!$Z$5:$AC$204,3,FALSE()),"UNMAPPED"))</f>
        <v>Non-Recoverable</v>
      </c>
    </row>
    <row r="57" customFormat="false" ht="13.5" hidden="false" customHeight="false" outlineLevel="0" collapsed="false">
      <c r="A57" s="1" t="str">
        <f aca="false">IF($C57="","",Controls!$B$7)</f>
        <v>PCGH</v>
      </c>
      <c r="B57" s="1" t="str">
        <f aca="false">IF($H57="","",YEAR($H57)&amp;"-Q"&amp;ROUNDUP(MONTH($H57)/3,0))</f>
        <v>2026-Q2</v>
      </c>
      <c r="C57" s="1" t="s">
        <v>970</v>
      </c>
      <c r="D57" s="1" t="s">
        <v>971</v>
      </c>
      <c r="E57" s="1" t="n">
        <v>14693</v>
      </c>
      <c r="F57" s="1" t="n">
        <v>43501</v>
      </c>
      <c r="G57" s="1" t="s">
        <v>847</v>
      </c>
      <c r="H57" s="140" t="n">
        <v>46125</v>
      </c>
      <c r="I57" s="1" t="s">
        <v>972</v>
      </c>
      <c r="J57" s="1" t="s">
        <v>973</v>
      </c>
      <c r="K57" s="1" t="s">
        <v>856</v>
      </c>
      <c r="L57" s="1" t="n">
        <v>5000</v>
      </c>
      <c r="N57" s="1" t="s">
        <v>974</v>
      </c>
      <c r="P57" s="1" t="n">
        <v>33824.54</v>
      </c>
      <c r="S57" s="1" t="str">
        <f aca="false">IF($C57="","",$C57&amp;"|"&amp;$E57&amp;"|"&amp;$F57&amp;"|"&amp;$L57&amp;"|"&amp;$P57&amp;"|"&amp;TEXT($H57,"yyyy-mm-dd"))</f>
        <v>PCGH738|14693|43501|5000|33824.54|2026-04-13</v>
      </c>
      <c r="T57" s="1" t="str">
        <f aca="false">IF($S57="","",IF(COUNTIF($S$2:$S$2991,$S57)&gt;1,"DUPLICATE","OK"))</f>
        <v>OK</v>
      </c>
      <c r="U57" s="0" t="str">
        <f aca="false">IF($L57="","",IFERROR(VLOOKUP(--$L57,MM_Income!$Z$5:$AC$204,3,FALSE()),"UNMAPPED"))</f>
        <v>Subcontractor</v>
      </c>
    </row>
    <row r="58" customFormat="false" ht="13.5" hidden="false" customHeight="false" outlineLevel="0" collapsed="false">
      <c r="A58" s="1" t="str">
        <f aca="false">IF($C58="","",Controls!$B$7)</f>
        <v>PCGH</v>
      </c>
      <c r="B58" s="1" t="str">
        <f aca="false">IF($H58="","",YEAR($H58)&amp;"-Q"&amp;ROUNDUP(MONTH($H58)/3,0))</f>
        <v>2026-Q2</v>
      </c>
      <c r="C58" s="1" t="s">
        <v>925</v>
      </c>
      <c r="D58" s="1" t="s">
        <v>926</v>
      </c>
      <c r="E58" s="1" t="n">
        <v>14694</v>
      </c>
      <c r="F58" s="1" t="n">
        <v>43557</v>
      </c>
      <c r="G58" s="1" t="s">
        <v>847</v>
      </c>
      <c r="H58" s="140" t="n">
        <v>46141</v>
      </c>
      <c r="I58" s="1" t="s">
        <v>848</v>
      </c>
      <c r="J58" s="1" t="s">
        <v>975</v>
      </c>
      <c r="K58" s="1" t="s">
        <v>849</v>
      </c>
      <c r="L58" s="1" t="n">
        <v>5200</v>
      </c>
      <c r="N58" s="1" t="s">
        <v>976</v>
      </c>
      <c r="P58" s="1" t="n">
        <v>17000</v>
      </c>
      <c r="S58" s="1" t="str">
        <f aca="false">IF($C58="","",$C58&amp;"|"&amp;$E58&amp;"|"&amp;$F58&amp;"|"&amp;$L58&amp;"|"&amp;$P58&amp;"|"&amp;TEXT($H58,"yyyy-mm-dd"))</f>
        <v>PCGH786|14694|43557|5200|17000|2026-04-29</v>
      </c>
      <c r="T58" s="1" t="str">
        <f aca="false">IF($S58="","",IF(COUNTIF($S$2:$S$2991,$S58)&gt;1,"DUPLICATE","OK"))</f>
        <v>OK</v>
      </c>
      <c r="U58" s="0" t="str">
        <f aca="false">IF($L58="","",IFERROR(VLOOKUP(--$L58,MM_Income!$Z$5:$AC$204,3,FALSE()),"UNMAPPED"))</f>
        <v>Recoverable</v>
      </c>
    </row>
    <row r="59" customFormat="false" ht="13.5" hidden="false" customHeight="false" outlineLevel="0" collapsed="false">
      <c r="A59" s="1" t="str">
        <f aca="false">IF($C59="","",Controls!$B$7)</f>
        <v>PCGH</v>
      </c>
      <c r="B59" s="1" t="str">
        <f aca="false">IF($H59="","",YEAR($H59)&amp;"-Q"&amp;ROUNDUP(MONTH($H59)/3,0))</f>
        <v>2026-Q2</v>
      </c>
      <c r="C59" s="1" t="s">
        <v>925</v>
      </c>
      <c r="D59" s="1" t="s">
        <v>926</v>
      </c>
      <c r="E59" s="1" t="n">
        <v>14695</v>
      </c>
      <c r="F59" s="1" t="n">
        <v>43558</v>
      </c>
      <c r="G59" s="1" t="s">
        <v>847</v>
      </c>
      <c r="H59" s="140" t="n">
        <v>46141</v>
      </c>
      <c r="I59" s="1" t="s">
        <v>848</v>
      </c>
      <c r="J59" s="1" t="s">
        <v>975</v>
      </c>
      <c r="K59" s="1" t="s">
        <v>849</v>
      </c>
      <c r="L59" s="1" t="n">
        <v>5200</v>
      </c>
      <c r="N59" s="1" t="s">
        <v>977</v>
      </c>
      <c r="P59" s="1" t="n">
        <v>170</v>
      </c>
      <c r="S59" s="1" t="str">
        <f aca="false">IF($C59="","",$C59&amp;"|"&amp;$E59&amp;"|"&amp;$F59&amp;"|"&amp;$L59&amp;"|"&amp;$P59&amp;"|"&amp;TEXT($H59,"yyyy-mm-dd"))</f>
        <v>PCGH786|14695|43558|5200|170|2026-04-29</v>
      </c>
      <c r="T59" s="1" t="str">
        <f aca="false">IF($S59="","",IF(COUNTIF($S$2:$S$2991,$S59)&gt;1,"DUPLICATE","OK"))</f>
        <v>OK</v>
      </c>
      <c r="U59" s="0" t="str">
        <f aca="false">IF($L59="","",IFERROR(VLOOKUP(--$L59,MM_Income!$Z$5:$AC$204,3,FALSE()),"UNMAPPED"))</f>
        <v>Recoverable</v>
      </c>
    </row>
    <row r="60" customFormat="false" ht="13.5" hidden="false" customHeight="false" outlineLevel="0" collapsed="false">
      <c r="A60" s="1" t="str">
        <f aca="false">IF($C60="","",Controls!$B$7)</f>
        <v>PCGH</v>
      </c>
      <c r="B60" s="1" t="str">
        <f aca="false">IF($H60="","",YEAR($H60)&amp;"-Q"&amp;ROUNDUP(MONTH($H60)/3,0))</f>
        <v>2026-Q2</v>
      </c>
      <c r="C60" s="1" t="s">
        <v>925</v>
      </c>
      <c r="D60" s="1" t="s">
        <v>926</v>
      </c>
      <c r="E60" s="1" t="n">
        <v>14696</v>
      </c>
      <c r="F60" s="1" t="n">
        <v>43559</v>
      </c>
      <c r="G60" s="1" t="s">
        <v>847</v>
      </c>
      <c r="H60" s="140" t="n">
        <v>46141</v>
      </c>
      <c r="I60" s="1" t="s">
        <v>848</v>
      </c>
      <c r="J60" s="1" t="s">
        <v>975</v>
      </c>
      <c r="K60" s="1" t="s">
        <v>849</v>
      </c>
      <c r="L60" s="1" t="n">
        <v>2203</v>
      </c>
      <c r="N60" s="1" t="s">
        <v>978</v>
      </c>
      <c r="P60" s="1" t="n">
        <v>850</v>
      </c>
      <c r="S60" s="1" t="str">
        <f aca="false">IF($C60="","",$C60&amp;"|"&amp;$E60&amp;"|"&amp;$F60&amp;"|"&amp;$L60&amp;"|"&amp;$P60&amp;"|"&amp;TEXT($H60,"yyyy-mm-dd"))</f>
        <v>PCGH786|14696|43559|2203|850|2026-04-29</v>
      </c>
      <c r="T60" s="1" t="str">
        <f aca="false">IF($S60="","",IF(COUNTIF($S$2:$S$2991,$S60)&gt;1,"DUPLICATE","OK"))</f>
        <v>OK</v>
      </c>
      <c r="U60" s="0" t="str">
        <f aca="false">IF($L60="","",IFERROR(VLOOKUP(--$L60,MM_Income!$Z$5:$AC$204,3,FALSE()),"UNMAPPED"))</f>
        <v>Project Inclusive</v>
      </c>
    </row>
    <row r="61" customFormat="false" ht="13.5" hidden="false" customHeight="false" outlineLevel="0" collapsed="false">
      <c r="A61" s="1" t="str">
        <f aca="false">IF($C61="","",Controls!$B$7)</f>
        <v>PCGH</v>
      </c>
      <c r="B61" s="1" t="str">
        <f aca="false">IF($H61="","",YEAR($H61)&amp;"-Q"&amp;ROUNDUP(MONTH($H61)/3,0))</f>
        <v>2026-Q2</v>
      </c>
      <c r="C61" s="1" t="s">
        <v>903</v>
      </c>
      <c r="D61" s="1" t="s">
        <v>904</v>
      </c>
      <c r="E61" s="1" t="n">
        <v>14697</v>
      </c>
      <c r="F61" s="1" t="n">
        <v>43564</v>
      </c>
      <c r="G61" s="1" t="s">
        <v>847</v>
      </c>
      <c r="H61" s="140" t="n">
        <v>46137</v>
      </c>
      <c r="I61" s="1" t="s">
        <v>892</v>
      </c>
      <c r="J61" s="1" t="s">
        <v>979</v>
      </c>
      <c r="K61" s="1" t="s">
        <v>849</v>
      </c>
      <c r="L61" s="1" t="n">
        <v>5200</v>
      </c>
      <c r="N61" s="1" t="s">
        <v>980</v>
      </c>
      <c r="P61" s="1" t="n">
        <v>16753</v>
      </c>
      <c r="S61" s="1" t="str">
        <f aca="false">IF($C61="","",$C61&amp;"|"&amp;$E61&amp;"|"&amp;$F61&amp;"|"&amp;$L61&amp;"|"&amp;$P61&amp;"|"&amp;TEXT($H61,"yyyy-mm-dd"))</f>
        <v>PCGH780|14697|43564|5200|16753|2026-04-25</v>
      </c>
      <c r="T61" s="1" t="str">
        <f aca="false">IF($S61="","",IF(COUNTIF($S$2:$S$2991,$S61)&gt;1,"DUPLICATE","OK"))</f>
        <v>OK</v>
      </c>
      <c r="U61" s="0" t="str">
        <f aca="false">IF($L61="","",IFERROR(VLOOKUP(--$L61,MM_Income!$Z$5:$AC$204,3,FALSE()),"UNMAPPED"))</f>
        <v>Recoverable</v>
      </c>
    </row>
    <row r="62" customFormat="false" ht="13.5" hidden="false" customHeight="false" outlineLevel="0" collapsed="false">
      <c r="A62" s="1" t="str">
        <f aca="false">IF($C62="","",Controls!$B$7)</f>
        <v>PCGH</v>
      </c>
      <c r="B62" s="1" t="str">
        <f aca="false">IF($H62="","",YEAR($H62)&amp;"-Q"&amp;ROUNDUP(MONTH($H62)/3,0))</f>
        <v>2026-Q2</v>
      </c>
      <c r="C62" s="1" t="s">
        <v>981</v>
      </c>
      <c r="D62" s="1" t="s">
        <v>982</v>
      </c>
      <c r="E62" s="1" t="n">
        <v>14698</v>
      </c>
      <c r="F62" s="1" t="n">
        <v>43565</v>
      </c>
      <c r="G62" s="1" t="s">
        <v>847</v>
      </c>
      <c r="H62" s="140" t="n">
        <v>46140</v>
      </c>
      <c r="I62" s="1" t="s">
        <v>892</v>
      </c>
      <c r="J62" s="1" t="s">
        <v>983</v>
      </c>
      <c r="K62" s="1" t="s">
        <v>849</v>
      </c>
      <c r="L62" s="1" t="n">
        <v>5200</v>
      </c>
      <c r="N62" s="1" t="s">
        <v>984</v>
      </c>
      <c r="P62" s="1" t="n">
        <v>4616</v>
      </c>
      <c r="S62" s="1" t="str">
        <f aca="false">IF($C62="","",$C62&amp;"|"&amp;$E62&amp;"|"&amp;$F62&amp;"|"&amp;$L62&amp;"|"&amp;$P62&amp;"|"&amp;TEXT($H62,"yyyy-mm-dd"))</f>
        <v>PCGH779|14698|43565|5200|4616|2026-04-28</v>
      </c>
      <c r="T62" s="1" t="str">
        <f aca="false">IF($S62="","",IF(COUNTIF($S$2:$S$2991,$S62)&gt;1,"DUPLICATE","OK"))</f>
        <v>OK</v>
      </c>
      <c r="U62" s="0" t="str">
        <f aca="false">IF($L62="","",IFERROR(VLOOKUP(--$L62,MM_Income!$Z$5:$AC$204,3,FALSE()),"UNMAPPED"))</f>
        <v>Recoverable</v>
      </c>
    </row>
    <row r="63" customFormat="false" ht="13.5" hidden="false" customHeight="false" outlineLevel="0" collapsed="false">
      <c r="A63" s="1" t="str">
        <f aca="false">IF($C63="","",Controls!$B$7)</f>
        <v>PCGH</v>
      </c>
      <c r="B63" s="1" t="str">
        <f aca="false">IF($H63="","",YEAR($H63)&amp;"-Q"&amp;ROUNDUP(MONTH($H63)/3,0))</f>
        <v>2026-Q2</v>
      </c>
      <c r="C63" s="1" t="s">
        <v>985</v>
      </c>
      <c r="D63" s="1" t="s">
        <v>986</v>
      </c>
      <c r="E63" s="1" t="n">
        <v>14699</v>
      </c>
      <c r="F63" s="1" t="n">
        <v>43566</v>
      </c>
      <c r="G63" s="1" t="s">
        <v>840</v>
      </c>
      <c r="H63" s="140" t="n">
        <v>46132</v>
      </c>
      <c r="I63" s="1" t="s">
        <v>858</v>
      </c>
      <c r="J63" s="1" t="n">
        <v>2026020</v>
      </c>
      <c r="L63" s="1" t="n">
        <v>4000</v>
      </c>
      <c r="N63" s="1" t="s">
        <v>987</v>
      </c>
      <c r="P63" s="1" t="n">
        <v>-160114.04</v>
      </c>
      <c r="S63" s="1" t="str">
        <f aca="false">IF($C63="","",$C63&amp;"|"&amp;$E63&amp;"|"&amp;$F63&amp;"|"&amp;$L63&amp;"|"&amp;$P63&amp;"|"&amp;TEXT($H63,"yyyy-mm-dd"))</f>
        <v>PCGH789|14699|43566|4000|-160114.04|2026-04-20</v>
      </c>
      <c r="T63" s="1" t="str">
        <f aca="false">IF($S63="","",IF(COUNTIF($S$2:$S$2991,$S63)&gt;1,"DUPLICATE","OK"))</f>
        <v>OK</v>
      </c>
      <c r="U63" s="0" t="str">
        <f aca="false">IF($L63="","",IFERROR(VLOOKUP(--$L63,MM_Income!$Z$5:$AC$204,3,FALSE()),"UNMAPPED"))</f>
        <v>Invoiced Income</v>
      </c>
    </row>
    <row r="64" customFormat="false" ht="13.5" hidden="false" customHeight="false" outlineLevel="0" collapsed="false">
      <c r="A64" s="1" t="str">
        <f aca="false">IF($C64="","",Controls!$B$7)</f>
        <v>PCGH</v>
      </c>
      <c r="B64" s="1" t="str">
        <f aca="false">IF($H64="","",YEAR($H64)&amp;"-Q"&amp;ROUNDUP(MONTH($H64)/3,0))</f>
        <v>2026-Q2</v>
      </c>
      <c r="C64" s="1" t="s">
        <v>970</v>
      </c>
      <c r="D64" s="1" t="s">
        <v>971</v>
      </c>
      <c r="E64" s="1" t="n">
        <v>14700</v>
      </c>
      <c r="F64" s="1" t="n">
        <v>43567</v>
      </c>
      <c r="G64" s="1" t="s">
        <v>840</v>
      </c>
      <c r="H64" s="140" t="n">
        <v>46132</v>
      </c>
      <c r="I64" s="1" t="s">
        <v>988</v>
      </c>
      <c r="J64" s="1" t="n">
        <v>2026021</v>
      </c>
      <c r="L64" s="1" t="n">
        <v>4000</v>
      </c>
      <c r="N64" s="1" t="s">
        <v>989</v>
      </c>
      <c r="P64" s="1" t="n">
        <v>-196496.06</v>
      </c>
      <c r="S64" s="1" t="str">
        <f aca="false">IF($C64="","",$C64&amp;"|"&amp;$E64&amp;"|"&amp;$F64&amp;"|"&amp;$L64&amp;"|"&amp;$P64&amp;"|"&amp;TEXT($H64,"yyyy-mm-dd"))</f>
        <v>PCGH738|14700|43567|4000|-196496.06|2026-04-20</v>
      </c>
      <c r="T64" s="1" t="str">
        <f aca="false">IF($S64="","",IF(COUNTIF($S$2:$S$2991,$S64)&gt;1,"DUPLICATE","OK"))</f>
        <v>OK</v>
      </c>
      <c r="U64" s="0" t="str">
        <f aca="false">IF($L64="","",IFERROR(VLOOKUP(--$L64,MM_Income!$Z$5:$AC$204,3,FALSE()),"UNMAPPED"))</f>
        <v>Invoiced Income</v>
      </c>
    </row>
    <row r="65" customFormat="false" ht="13.5" hidden="false" customHeight="false" outlineLevel="0" collapsed="false">
      <c r="A65" s="1" t="str">
        <f aca="false">IF($C65="","",Controls!$B$7)</f>
        <v>PCGH</v>
      </c>
      <c r="B65" s="1" t="str">
        <f aca="false">IF($H65="","",YEAR($H65)&amp;"-Q"&amp;ROUNDUP(MONTH($H65)/3,0))</f>
        <v>2026-Q2</v>
      </c>
      <c r="C65" s="1" t="s">
        <v>890</v>
      </c>
      <c r="D65" s="1" t="s">
        <v>891</v>
      </c>
      <c r="E65" s="1" t="n">
        <v>14701</v>
      </c>
      <c r="F65" s="1" t="n">
        <v>43568</v>
      </c>
      <c r="G65" s="1" t="s">
        <v>840</v>
      </c>
      <c r="H65" s="140" t="n">
        <v>46153</v>
      </c>
      <c r="I65" s="1" t="s">
        <v>911</v>
      </c>
      <c r="J65" s="1" t="n">
        <v>2026025</v>
      </c>
      <c r="L65" s="1" t="n">
        <v>4000</v>
      </c>
      <c r="N65" s="1" t="s">
        <v>990</v>
      </c>
      <c r="P65" s="1" t="n">
        <v>-165539.55</v>
      </c>
      <c r="S65" s="1" t="str">
        <f aca="false">IF($C65="","",$C65&amp;"|"&amp;$E65&amp;"|"&amp;$F65&amp;"|"&amp;$L65&amp;"|"&amp;$P65&amp;"|"&amp;TEXT($H65,"yyyy-mm-dd"))</f>
        <v>PCGH776|14701|43568|4000|-165539.55|2026-05-11</v>
      </c>
      <c r="T65" s="1" t="str">
        <f aca="false">IF($S65="","",IF(COUNTIF($S$2:$S$2991,$S65)&gt;1,"DUPLICATE","OK"))</f>
        <v>OK</v>
      </c>
      <c r="U65" s="0" t="str">
        <f aca="false">IF($L65="","",IFERROR(VLOOKUP(--$L65,MM_Income!$Z$5:$AC$204,3,FALSE()),"UNMAPPED"))</f>
        <v>Invoiced Income</v>
      </c>
    </row>
    <row r="66" customFormat="false" ht="13.5" hidden="false" customHeight="false" outlineLevel="0" collapsed="false">
      <c r="A66" s="1" t="str">
        <f aca="false">IF($C66="","",Controls!$B$7)</f>
        <v>PCGH</v>
      </c>
      <c r="B66" s="1" t="str">
        <f aca="false">IF($H66="","",YEAR($H66)&amp;"-Q"&amp;ROUNDUP(MONTH($H66)/3,0))</f>
        <v>2026-Q2</v>
      </c>
      <c r="C66" s="1" t="s">
        <v>925</v>
      </c>
      <c r="D66" s="1" t="s">
        <v>926</v>
      </c>
      <c r="E66" s="1" t="n">
        <v>14702</v>
      </c>
      <c r="F66" s="1" t="n">
        <v>43529</v>
      </c>
      <c r="G66" s="1" t="s">
        <v>869</v>
      </c>
      <c r="H66" s="140" t="n">
        <v>46153</v>
      </c>
      <c r="I66" s="1" t="n">
        <v>1230</v>
      </c>
      <c r="J66" s="1" t="s">
        <v>991</v>
      </c>
      <c r="K66" s="1" t="s">
        <v>968</v>
      </c>
      <c r="L66" s="1" t="n">
        <v>7580</v>
      </c>
      <c r="N66" s="1" t="s">
        <v>992</v>
      </c>
      <c r="P66" s="1" t="n">
        <v>75</v>
      </c>
      <c r="S66" s="1" t="str">
        <f aca="false">IF($C66="","",$C66&amp;"|"&amp;$E66&amp;"|"&amp;$F66&amp;"|"&amp;$L66&amp;"|"&amp;$P66&amp;"|"&amp;TEXT($H66,"yyyy-mm-dd"))</f>
        <v>PCGH786|14702|43529|7580|75|2026-05-11</v>
      </c>
      <c r="T66" s="1" t="str">
        <f aca="false">IF($S66="","",IF(COUNTIF($S$2:$S$2991,$S66)&gt;1,"DUPLICATE","OK"))</f>
        <v>OK</v>
      </c>
      <c r="U66" s="0" t="str">
        <f aca="false">IF($L66="","",IFERROR(VLOOKUP(--$L66,MM_Income!$Z$5:$AC$204,3,FALSE()),"UNMAPPED"))</f>
        <v>Excluded — Overhead (in fixed costs)</v>
      </c>
    </row>
    <row r="67" customFormat="false" ht="13.5" hidden="false" customHeight="false" outlineLevel="0" collapsed="false">
      <c r="A67" s="1" t="str">
        <f aca="false">IF($C67="","",Controls!$B$7)</f>
        <v>PCGH</v>
      </c>
      <c r="B67" s="1" t="str">
        <f aca="false">IF($H67="","",YEAR($H67)&amp;"-Q"&amp;ROUNDUP(MONTH($H67)/3,0))</f>
        <v>2026-Q2</v>
      </c>
      <c r="C67" s="1" t="s">
        <v>903</v>
      </c>
      <c r="D67" s="1" t="s">
        <v>904</v>
      </c>
      <c r="E67" s="1" t="n">
        <v>14703</v>
      </c>
      <c r="F67" s="1" t="n">
        <v>43671</v>
      </c>
      <c r="G67" s="1" t="s">
        <v>869</v>
      </c>
      <c r="H67" s="140" t="n">
        <v>46113</v>
      </c>
      <c r="I67" s="1" t="n">
        <v>1260</v>
      </c>
      <c r="J67" s="1" t="s">
        <v>993</v>
      </c>
      <c r="K67" s="1" t="s">
        <v>849</v>
      </c>
      <c r="L67" s="1" t="n">
        <v>5200</v>
      </c>
      <c r="N67" s="1" t="s">
        <v>994</v>
      </c>
      <c r="P67" s="1" t="n">
        <v>68</v>
      </c>
      <c r="S67" s="1" t="str">
        <f aca="false">IF($C67="","",$C67&amp;"|"&amp;$E67&amp;"|"&amp;$F67&amp;"|"&amp;$L67&amp;"|"&amp;$P67&amp;"|"&amp;TEXT($H67,"yyyy-mm-dd"))</f>
        <v>PCGH780|14703|43671|5200|68|2026-04-01</v>
      </c>
      <c r="T67" s="1" t="str">
        <f aca="false">IF($S67="","",IF(COUNTIF($S$2:$S$2991,$S67)&gt;1,"DUPLICATE","OK"))</f>
        <v>OK</v>
      </c>
      <c r="U67" s="0" t="str">
        <f aca="false">IF($L67="","",IFERROR(VLOOKUP(--$L67,MM_Income!$Z$5:$AC$204,3,FALSE()),"UNMAPPED"))</f>
        <v>Recoverable</v>
      </c>
    </row>
    <row r="68" customFormat="false" ht="13.5" hidden="false" customHeight="false" outlineLevel="0" collapsed="false">
      <c r="A68" s="1" t="str">
        <f aca="false">IF($C68="","",Controls!$B$7)</f>
        <v>PCGH</v>
      </c>
      <c r="B68" s="1" t="str">
        <f aca="false">IF($H68="","",YEAR($H68)&amp;"-Q"&amp;ROUNDUP(MONTH($H68)/3,0))</f>
        <v>2026-Q2</v>
      </c>
      <c r="C68" s="1" t="s">
        <v>903</v>
      </c>
      <c r="D68" s="1" t="s">
        <v>904</v>
      </c>
      <c r="E68" s="1" t="n">
        <v>14704</v>
      </c>
      <c r="F68" s="1" t="n">
        <v>43672</v>
      </c>
      <c r="G68" s="1" t="s">
        <v>869</v>
      </c>
      <c r="H68" s="140" t="n">
        <v>46113</v>
      </c>
      <c r="I68" s="1" t="n">
        <v>1260</v>
      </c>
      <c r="J68" s="1" t="s">
        <v>993</v>
      </c>
      <c r="K68" s="1" t="s">
        <v>849</v>
      </c>
      <c r="L68" s="1" t="n">
        <v>5200</v>
      </c>
      <c r="N68" s="1" t="s">
        <v>995</v>
      </c>
      <c r="P68" s="1" t="n">
        <v>1450.14</v>
      </c>
      <c r="S68" s="1" t="str">
        <f aca="false">IF($C68="","",$C68&amp;"|"&amp;$E68&amp;"|"&amp;$F68&amp;"|"&amp;$L68&amp;"|"&amp;$P68&amp;"|"&amp;TEXT($H68,"yyyy-mm-dd"))</f>
        <v>PCGH780|14704|43672|5200|1450.14|2026-04-01</v>
      </c>
      <c r="T68" s="1" t="str">
        <f aca="false">IF($S68="","",IF(COUNTIF($S$2:$S$2991,$S68)&gt;1,"DUPLICATE","OK"))</f>
        <v>OK</v>
      </c>
      <c r="U68" s="0" t="str">
        <f aca="false">IF($L68="","",IFERROR(VLOOKUP(--$L68,MM_Income!$Z$5:$AC$204,3,FALSE()),"UNMAPPED"))</f>
        <v>Recoverable</v>
      </c>
    </row>
    <row r="69" customFormat="false" ht="13.5" hidden="false" customHeight="false" outlineLevel="0" collapsed="false">
      <c r="A69" s="1" t="str">
        <f aca="false">IF($C69="","",Controls!$B$7)</f>
        <v>PCGH</v>
      </c>
      <c r="B69" s="1" t="str">
        <f aca="false">IF($H69="","",YEAR($H69)&amp;"-Q"&amp;ROUNDUP(MONTH($H69)/3,0))</f>
        <v>2026-Q2</v>
      </c>
      <c r="C69" s="1" t="s">
        <v>925</v>
      </c>
      <c r="D69" s="1" t="s">
        <v>926</v>
      </c>
      <c r="E69" s="1" t="n">
        <v>14705</v>
      </c>
      <c r="F69" s="1" t="n">
        <v>43688</v>
      </c>
      <c r="G69" s="1" t="s">
        <v>869</v>
      </c>
      <c r="H69" s="140" t="n">
        <v>46163</v>
      </c>
      <c r="I69" s="1" t="n">
        <v>1260</v>
      </c>
      <c r="J69" s="1" t="s">
        <v>996</v>
      </c>
      <c r="K69" s="1" t="s">
        <v>968</v>
      </c>
      <c r="L69" s="1" t="n">
        <v>5200</v>
      </c>
      <c r="N69" s="1" t="s">
        <v>997</v>
      </c>
      <c r="P69" s="1" t="n">
        <v>500</v>
      </c>
      <c r="S69" s="1" t="str">
        <f aca="false">IF($C69="","",$C69&amp;"|"&amp;$E69&amp;"|"&amp;$F69&amp;"|"&amp;$L69&amp;"|"&amp;$P69&amp;"|"&amp;TEXT($H69,"yyyy-mm-dd"))</f>
        <v>PCGH786|14705|43688|5200|500|2026-05-21</v>
      </c>
      <c r="T69" s="1" t="str">
        <f aca="false">IF($S69="","",IF(COUNTIF($S$2:$S$2991,$S69)&gt;1,"DUPLICATE","OK"))</f>
        <v>OK</v>
      </c>
      <c r="U69" s="0" t="str">
        <f aca="false">IF($L69="","",IFERROR(VLOOKUP(--$L69,MM_Income!$Z$5:$AC$204,3,FALSE()),"UNMAPPED"))</f>
        <v>Recoverable</v>
      </c>
    </row>
    <row r="70" customFormat="false" ht="13.5" hidden="false" customHeight="false" outlineLevel="0" collapsed="false">
      <c r="A70" s="1" t="str">
        <f aca="false">IF($C70="","",Controls!$B$7)</f>
        <v>PCGH</v>
      </c>
      <c r="B70" s="1" t="str">
        <f aca="false">IF($H70="","",YEAR($H70)&amp;"-Q"&amp;ROUNDUP(MONTH($H70)/3,0))</f>
        <v>2026-Q2</v>
      </c>
      <c r="C70" s="1" t="s">
        <v>903</v>
      </c>
      <c r="D70" s="1" t="s">
        <v>904</v>
      </c>
      <c r="E70" s="1" t="n">
        <v>14706</v>
      </c>
      <c r="F70" s="1" t="n">
        <v>43689</v>
      </c>
      <c r="G70" s="1" t="s">
        <v>869</v>
      </c>
      <c r="H70" s="140" t="n">
        <v>46141</v>
      </c>
      <c r="I70" s="1" t="n">
        <v>1260</v>
      </c>
      <c r="J70" s="1" t="s">
        <v>998</v>
      </c>
      <c r="K70" s="1" t="s">
        <v>968</v>
      </c>
      <c r="L70" s="1" t="n">
        <v>5200</v>
      </c>
      <c r="N70" s="1" t="s">
        <v>999</v>
      </c>
      <c r="P70" s="1" t="n">
        <v>99</v>
      </c>
      <c r="S70" s="1" t="str">
        <f aca="false">IF($C70="","",$C70&amp;"|"&amp;$E70&amp;"|"&amp;$F70&amp;"|"&amp;$L70&amp;"|"&amp;$P70&amp;"|"&amp;TEXT($H70,"yyyy-mm-dd"))</f>
        <v>PCGH780|14706|43689|5200|99|2026-04-29</v>
      </c>
      <c r="T70" s="1" t="str">
        <f aca="false">IF($S70="","",IF(COUNTIF($S$2:$S$2991,$S70)&gt;1,"DUPLICATE","OK"))</f>
        <v>OK</v>
      </c>
      <c r="U70" s="0" t="str">
        <f aca="false">IF($L70="","",IFERROR(VLOOKUP(--$L70,MM_Income!$Z$5:$AC$204,3,FALSE()),"UNMAPPED"))</f>
        <v>Recoverable</v>
      </c>
    </row>
    <row r="71" customFormat="false" ht="13.5" hidden="false" customHeight="false" outlineLevel="0" collapsed="false">
      <c r="A71" s="1" t="str">
        <f aca="false">IF($C71="","",Controls!$B$7)</f>
        <v>PCGH</v>
      </c>
      <c r="B71" s="1" t="str">
        <f aca="false">IF($H71="","",YEAR($H71)&amp;"-Q"&amp;ROUNDUP(MONTH($H71)/3,0))</f>
        <v>2026-Q2</v>
      </c>
      <c r="C71" s="1" t="s">
        <v>903</v>
      </c>
      <c r="D71" s="1" t="s">
        <v>904</v>
      </c>
      <c r="E71" s="1" t="n">
        <v>14707</v>
      </c>
      <c r="F71" s="1" t="n">
        <v>43690</v>
      </c>
      <c r="G71" s="1" t="s">
        <v>869</v>
      </c>
      <c r="H71" s="140" t="n">
        <v>46142</v>
      </c>
      <c r="I71" s="1" t="n">
        <v>1260</v>
      </c>
      <c r="J71" s="1" t="s">
        <v>998</v>
      </c>
      <c r="K71" s="1" t="s">
        <v>968</v>
      </c>
      <c r="L71" s="1" t="n">
        <v>5200</v>
      </c>
      <c r="N71" s="1" t="s">
        <v>1000</v>
      </c>
      <c r="P71" s="1" t="n">
        <v>450.57</v>
      </c>
      <c r="S71" s="1" t="str">
        <f aca="false">IF($C71="","",$C71&amp;"|"&amp;$E71&amp;"|"&amp;$F71&amp;"|"&amp;$L71&amp;"|"&amp;$P71&amp;"|"&amp;TEXT($H71,"yyyy-mm-dd"))</f>
        <v>PCGH780|14707|43690|5200|450.57|2026-04-30</v>
      </c>
      <c r="T71" s="1" t="str">
        <f aca="false">IF($S71="","",IF(COUNTIF($S$2:$S$2991,$S71)&gt;1,"DUPLICATE","OK"))</f>
        <v>OK</v>
      </c>
      <c r="U71" s="0" t="str">
        <f aca="false">IF($L71="","",IFERROR(VLOOKUP(--$L71,MM_Income!$Z$5:$AC$204,3,FALSE()),"UNMAPPED"))</f>
        <v>Recoverable</v>
      </c>
    </row>
    <row r="72" customFormat="false" ht="13.5" hidden="false" customHeight="false" outlineLevel="0" collapsed="false">
      <c r="A72" s="1" t="str">
        <f aca="false">IF($C72="","",Controls!$B$7)</f>
        <v>PCGH</v>
      </c>
      <c r="B72" s="1" t="str">
        <f aca="false">IF($H72="","",YEAR($H72)&amp;"-Q"&amp;ROUNDUP(MONTH($H72)/3,0))</f>
        <v>2026-Q2</v>
      </c>
      <c r="C72" s="1" t="s">
        <v>903</v>
      </c>
      <c r="D72" s="1" t="s">
        <v>904</v>
      </c>
      <c r="E72" s="1" t="n">
        <v>14708</v>
      </c>
      <c r="F72" s="1" t="n">
        <v>43691</v>
      </c>
      <c r="G72" s="1" t="s">
        <v>869</v>
      </c>
      <c r="H72" s="140" t="n">
        <v>46137</v>
      </c>
      <c r="I72" s="1" t="n">
        <v>1260</v>
      </c>
      <c r="J72" s="1" t="s">
        <v>998</v>
      </c>
      <c r="K72" s="1" t="s">
        <v>968</v>
      </c>
      <c r="L72" s="1" t="n">
        <v>5200</v>
      </c>
      <c r="N72" s="1" t="s">
        <v>1001</v>
      </c>
      <c r="P72" s="1" t="n">
        <v>45</v>
      </c>
      <c r="S72" s="1" t="str">
        <f aca="false">IF($C72="","",$C72&amp;"|"&amp;$E72&amp;"|"&amp;$F72&amp;"|"&amp;$L72&amp;"|"&amp;$P72&amp;"|"&amp;TEXT($H72,"yyyy-mm-dd"))</f>
        <v>PCGH780|14708|43691|5200|45|2026-04-25</v>
      </c>
      <c r="T72" s="1" t="str">
        <f aca="false">IF($S72="","",IF(COUNTIF($S$2:$S$2991,$S72)&gt;1,"DUPLICATE","OK"))</f>
        <v>OK</v>
      </c>
      <c r="U72" s="0" t="str">
        <f aca="false">IF($L72="","",IFERROR(VLOOKUP(--$L72,MM_Income!$Z$5:$AC$204,3,FALSE()),"UNMAPPED"))</f>
        <v>Recoverable</v>
      </c>
    </row>
    <row r="73" customFormat="false" ht="13.5" hidden="false" customHeight="false" outlineLevel="0" collapsed="false">
      <c r="A73" s="1" t="str">
        <f aca="false">IF($C73="","",Controls!$B$7)</f>
        <v>PCGH</v>
      </c>
      <c r="B73" s="1" t="str">
        <f aca="false">IF($H73="","",YEAR($H73)&amp;"-Q"&amp;ROUNDUP(MONTH($H73)/3,0))</f>
        <v>2026-Q2</v>
      </c>
      <c r="C73" s="1" t="s">
        <v>903</v>
      </c>
      <c r="D73" s="1" t="s">
        <v>904</v>
      </c>
      <c r="E73" s="1" t="n">
        <v>14709</v>
      </c>
      <c r="F73" s="1" t="n">
        <v>43692</v>
      </c>
      <c r="G73" s="1" t="s">
        <v>869</v>
      </c>
      <c r="H73" s="140" t="n">
        <v>46131</v>
      </c>
      <c r="I73" s="1" t="n">
        <v>1260</v>
      </c>
      <c r="J73" s="1" t="s">
        <v>998</v>
      </c>
      <c r="K73" s="1" t="s">
        <v>968</v>
      </c>
      <c r="L73" s="1" t="n">
        <v>5200</v>
      </c>
      <c r="N73" s="1" t="s">
        <v>1002</v>
      </c>
      <c r="P73" s="1" t="n">
        <v>150</v>
      </c>
      <c r="S73" s="1" t="str">
        <f aca="false">IF($C73="","",$C73&amp;"|"&amp;$E73&amp;"|"&amp;$F73&amp;"|"&amp;$L73&amp;"|"&amp;$P73&amp;"|"&amp;TEXT($H73,"yyyy-mm-dd"))</f>
        <v>PCGH780|14709|43692|5200|150|2026-04-19</v>
      </c>
      <c r="T73" s="1" t="str">
        <f aca="false">IF($S73="","",IF(COUNTIF($S$2:$S$2991,$S73)&gt;1,"DUPLICATE","OK"))</f>
        <v>OK</v>
      </c>
      <c r="U73" s="0" t="str">
        <f aca="false">IF($L73="","",IFERROR(VLOOKUP(--$L73,MM_Income!$Z$5:$AC$204,3,FALSE()),"UNMAPPED"))</f>
        <v>Recoverable</v>
      </c>
    </row>
    <row r="74" customFormat="false" ht="13.5" hidden="false" customHeight="false" outlineLevel="0" collapsed="false">
      <c r="A74" s="1" t="str">
        <f aca="false">IF($C74="","",Controls!$B$7)</f>
        <v>PCGH</v>
      </c>
      <c r="B74" s="1" t="str">
        <f aca="false">IF($H74="","",YEAR($H74)&amp;"-Q"&amp;ROUNDUP(MONTH($H74)/3,0))</f>
        <v>2026-Q2</v>
      </c>
      <c r="C74" s="1" t="s">
        <v>903</v>
      </c>
      <c r="D74" s="1" t="s">
        <v>904</v>
      </c>
      <c r="E74" s="1" t="n">
        <v>14710</v>
      </c>
      <c r="F74" s="1" t="n">
        <v>43693</v>
      </c>
      <c r="G74" s="1" t="s">
        <v>869</v>
      </c>
      <c r="H74" s="140" t="n">
        <v>46131</v>
      </c>
      <c r="I74" s="1" t="n">
        <v>1260</v>
      </c>
      <c r="J74" s="1" t="s">
        <v>998</v>
      </c>
      <c r="K74" s="1" t="s">
        <v>968</v>
      </c>
      <c r="L74" s="1" t="n">
        <v>5200</v>
      </c>
      <c r="N74" s="1" t="s">
        <v>1003</v>
      </c>
      <c r="P74" s="1" t="n">
        <v>88</v>
      </c>
      <c r="S74" s="1" t="str">
        <f aca="false">IF($C74="","",$C74&amp;"|"&amp;$E74&amp;"|"&amp;$F74&amp;"|"&amp;$L74&amp;"|"&amp;$P74&amp;"|"&amp;TEXT($H74,"yyyy-mm-dd"))</f>
        <v>PCGH780|14710|43693|5200|88|2026-04-19</v>
      </c>
      <c r="T74" s="1" t="str">
        <f aca="false">IF($S74="","",IF(COUNTIF($S$2:$S$2991,$S74)&gt;1,"DUPLICATE","OK"))</f>
        <v>OK</v>
      </c>
      <c r="U74" s="0" t="str">
        <f aca="false">IF($L74="","",IFERROR(VLOOKUP(--$L74,MM_Income!$Z$5:$AC$204,3,FALSE()),"UNMAPPED"))</f>
        <v>Recoverable</v>
      </c>
    </row>
    <row r="75" customFormat="false" ht="13.5" hidden="false" customHeight="false" outlineLevel="0" collapsed="false">
      <c r="A75" s="1" t="str">
        <f aca="false">IF($C75="","",Controls!$B$7)</f>
        <v>PCGH</v>
      </c>
      <c r="B75" s="1" t="str">
        <f aca="false">IF($H75="","",YEAR($H75)&amp;"-Q"&amp;ROUNDUP(MONTH($H75)/3,0))</f>
        <v>2026-Q2</v>
      </c>
      <c r="C75" s="1" t="s">
        <v>895</v>
      </c>
      <c r="D75" s="1" t="s">
        <v>896</v>
      </c>
      <c r="E75" s="1" t="n">
        <v>14711</v>
      </c>
      <c r="F75" s="1" t="n">
        <v>43694</v>
      </c>
      <c r="G75" s="1" t="s">
        <v>869</v>
      </c>
      <c r="H75" s="140" t="n">
        <v>46131</v>
      </c>
      <c r="I75" s="1" t="n">
        <v>1260</v>
      </c>
      <c r="J75" s="1" t="s">
        <v>998</v>
      </c>
      <c r="K75" s="1" t="s">
        <v>968</v>
      </c>
      <c r="L75" s="1" t="n">
        <v>5200</v>
      </c>
      <c r="N75" s="1" t="s">
        <v>1004</v>
      </c>
      <c r="P75" s="1" t="n">
        <v>126</v>
      </c>
      <c r="S75" s="1" t="str">
        <f aca="false">IF($C75="","",$C75&amp;"|"&amp;$E75&amp;"|"&amp;$F75&amp;"|"&amp;$L75&amp;"|"&amp;$P75&amp;"|"&amp;TEXT($H75,"yyyy-mm-dd"))</f>
        <v>PCGH778|14711|43694|5200|126|2026-04-19</v>
      </c>
      <c r="T75" s="1" t="str">
        <f aca="false">IF($S75="","",IF(COUNTIF($S$2:$S$2991,$S75)&gt;1,"DUPLICATE","OK"))</f>
        <v>OK</v>
      </c>
      <c r="U75" s="0" t="str">
        <f aca="false">IF($L75="","",IFERROR(VLOOKUP(--$L75,MM_Income!$Z$5:$AC$204,3,FALSE()),"UNMAPPED"))</f>
        <v>Recoverable</v>
      </c>
    </row>
    <row r="76" customFormat="false" ht="13.5" hidden="false" customHeight="false" outlineLevel="0" collapsed="false">
      <c r="A76" s="1" t="str">
        <f aca="false">IF($C76="","",Controls!$B$7)</f>
        <v>PCGH</v>
      </c>
      <c r="B76" s="1" t="str">
        <f aca="false">IF($H76="","",YEAR($H76)&amp;"-Q"&amp;ROUNDUP(MONTH($H76)/3,0))</f>
        <v>2026-Q2</v>
      </c>
      <c r="C76" s="1" t="s">
        <v>895</v>
      </c>
      <c r="D76" s="1" t="s">
        <v>896</v>
      </c>
      <c r="E76" s="1" t="n">
        <v>14712</v>
      </c>
      <c r="F76" s="1" t="n">
        <v>43695</v>
      </c>
      <c r="G76" s="1" t="s">
        <v>869</v>
      </c>
      <c r="H76" s="140" t="n">
        <v>46130</v>
      </c>
      <c r="I76" s="1" t="n">
        <v>1260</v>
      </c>
      <c r="J76" s="1" t="s">
        <v>998</v>
      </c>
      <c r="K76" s="1" t="s">
        <v>968</v>
      </c>
      <c r="L76" s="1" t="n">
        <v>5200</v>
      </c>
      <c r="N76" s="1" t="s">
        <v>1005</v>
      </c>
      <c r="P76" s="1" t="n">
        <v>72.52</v>
      </c>
      <c r="S76" s="1" t="str">
        <f aca="false">IF($C76="","",$C76&amp;"|"&amp;$E76&amp;"|"&amp;$F76&amp;"|"&amp;$L76&amp;"|"&amp;$P76&amp;"|"&amp;TEXT($H76,"yyyy-mm-dd"))</f>
        <v>PCGH778|14712|43695|5200|72.52|2026-04-18</v>
      </c>
      <c r="T76" s="1" t="str">
        <f aca="false">IF($S76="","",IF(COUNTIF($S$2:$S$2991,$S76)&gt;1,"DUPLICATE","OK"))</f>
        <v>OK</v>
      </c>
      <c r="U76" s="0" t="str">
        <f aca="false">IF($L76="","",IFERROR(VLOOKUP(--$L76,MM_Income!$Z$5:$AC$204,3,FALSE()),"UNMAPPED"))</f>
        <v>Recoverable</v>
      </c>
    </row>
    <row r="77" customFormat="false" ht="13.5" hidden="false" customHeight="false" outlineLevel="0" collapsed="false">
      <c r="A77" s="1" t="str">
        <f aca="false">IF($C77="","",Controls!$B$7)</f>
        <v>PCGH</v>
      </c>
      <c r="B77" s="1" t="str">
        <f aca="false">IF($H77="","",YEAR($H77)&amp;"-Q"&amp;ROUNDUP(MONTH($H77)/3,0))</f>
        <v>2026-Q2</v>
      </c>
      <c r="C77" s="1" t="s">
        <v>895</v>
      </c>
      <c r="D77" s="1" t="s">
        <v>896</v>
      </c>
      <c r="E77" s="1" t="n">
        <v>14713</v>
      </c>
      <c r="F77" s="1" t="n">
        <v>43696</v>
      </c>
      <c r="G77" s="1" t="s">
        <v>869</v>
      </c>
      <c r="H77" s="140" t="n">
        <v>46126</v>
      </c>
      <c r="I77" s="1" t="n">
        <v>1260</v>
      </c>
      <c r="J77" s="1" t="s">
        <v>998</v>
      </c>
      <c r="K77" s="1" t="s">
        <v>968</v>
      </c>
      <c r="L77" s="1" t="n">
        <v>5200</v>
      </c>
      <c r="N77" s="1" t="s">
        <v>1006</v>
      </c>
      <c r="P77" s="1" t="n">
        <v>139.87</v>
      </c>
      <c r="S77" s="1" t="str">
        <f aca="false">IF($C77="","",$C77&amp;"|"&amp;$E77&amp;"|"&amp;$F77&amp;"|"&amp;$L77&amp;"|"&amp;$P77&amp;"|"&amp;TEXT($H77,"yyyy-mm-dd"))</f>
        <v>PCGH778|14713|43696|5200|139.87|2026-04-14</v>
      </c>
      <c r="T77" s="1" t="str">
        <f aca="false">IF($S77="","",IF(COUNTIF($S$2:$S$2991,$S77)&gt;1,"DUPLICATE","OK"))</f>
        <v>OK</v>
      </c>
      <c r="U77" s="0" t="str">
        <f aca="false">IF($L77="","",IFERROR(VLOOKUP(--$L77,MM_Income!$Z$5:$AC$204,3,FALSE()),"UNMAPPED"))</f>
        <v>Recoverable</v>
      </c>
    </row>
    <row r="78" customFormat="false" ht="13.5" hidden="false" customHeight="false" outlineLevel="0" collapsed="false">
      <c r="A78" s="1" t="str">
        <f aca="false">IF($C78="","",Controls!$B$7)</f>
        <v>PCGH</v>
      </c>
      <c r="B78" s="1" t="str">
        <f aca="false">IF($H78="","",YEAR($H78)&amp;"-Q"&amp;ROUNDUP(MONTH($H78)/3,0))</f>
        <v>2026-Q2</v>
      </c>
      <c r="C78" s="1" t="s">
        <v>903</v>
      </c>
      <c r="D78" s="1" t="s">
        <v>904</v>
      </c>
      <c r="E78" s="1" t="n">
        <v>14714</v>
      </c>
      <c r="F78" s="1" t="n">
        <v>43697</v>
      </c>
      <c r="G78" s="1" t="s">
        <v>869</v>
      </c>
      <c r="H78" s="140" t="n">
        <v>46124</v>
      </c>
      <c r="I78" s="1" t="n">
        <v>1260</v>
      </c>
      <c r="J78" s="1" t="s">
        <v>998</v>
      </c>
      <c r="K78" s="1" t="s">
        <v>968</v>
      </c>
      <c r="L78" s="1" t="n">
        <v>5200</v>
      </c>
      <c r="N78" s="1" t="s">
        <v>1007</v>
      </c>
      <c r="P78" s="1" t="n">
        <v>92</v>
      </c>
      <c r="S78" s="1" t="str">
        <f aca="false">IF($C78="","",$C78&amp;"|"&amp;$E78&amp;"|"&amp;$F78&amp;"|"&amp;$L78&amp;"|"&amp;$P78&amp;"|"&amp;TEXT($H78,"yyyy-mm-dd"))</f>
        <v>PCGH780|14714|43697|5200|92|2026-04-12</v>
      </c>
      <c r="T78" s="1" t="str">
        <f aca="false">IF($S78="","",IF(COUNTIF($S$2:$S$2991,$S78)&gt;1,"DUPLICATE","OK"))</f>
        <v>OK</v>
      </c>
      <c r="U78" s="0" t="str">
        <f aca="false">IF($L78="","",IFERROR(VLOOKUP(--$L78,MM_Income!$Z$5:$AC$204,3,FALSE()),"UNMAPPED"))</f>
        <v>Recoverable</v>
      </c>
    </row>
    <row r="79" customFormat="false" ht="13.5" hidden="false" customHeight="false" outlineLevel="0" collapsed="false">
      <c r="A79" s="1" t="str">
        <f aca="false">IF($C79="","",Controls!$B$7)</f>
        <v>PCGH</v>
      </c>
      <c r="B79" s="1" t="str">
        <f aca="false">IF($H79="","",YEAR($H79)&amp;"-Q"&amp;ROUNDUP(MONTH($H79)/3,0))</f>
        <v>2026-Q2</v>
      </c>
      <c r="C79" s="1" t="s">
        <v>903</v>
      </c>
      <c r="D79" s="1" t="s">
        <v>904</v>
      </c>
      <c r="E79" s="1" t="n">
        <v>14715</v>
      </c>
      <c r="F79" s="1" t="n">
        <v>43698</v>
      </c>
      <c r="G79" s="1" t="s">
        <v>869</v>
      </c>
      <c r="H79" s="140" t="n">
        <v>46122</v>
      </c>
      <c r="I79" s="1" t="n">
        <v>1260</v>
      </c>
      <c r="J79" s="1" t="s">
        <v>998</v>
      </c>
      <c r="K79" s="1" t="s">
        <v>968</v>
      </c>
      <c r="L79" s="1" t="n">
        <v>5200</v>
      </c>
      <c r="N79" s="1" t="s">
        <v>1008</v>
      </c>
      <c r="P79" s="1" t="n">
        <v>167</v>
      </c>
      <c r="S79" s="1" t="str">
        <f aca="false">IF($C79="","",$C79&amp;"|"&amp;$E79&amp;"|"&amp;$F79&amp;"|"&amp;$L79&amp;"|"&amp;$P79&amp;"|"&amp;TEXT($H79,"yyyy-mm-dd"))</f>
        <v>PCGH780|14715|43698|5200|167|2026-04-10</v>
      </c>
      <c r="T79" s="1" t="str">
        <f aca="false">IF($S79="","",IF(COUNTIF($S$2:$S$2991,$S79)&gt;1,"DUPLICATE","OK"))</f>
        <v>OK</v>
      </c>
      <c r="U79" s="0" t="str">
        <f aca="false">IF($L79="","",IFERROR(VLOOKUP(--$L79,MM_Income!$Z$5:$AC$204,3,FALSE()),"UNMAPPED"))</f>
        <v>Recoverable</v>
      </c>
    </row>
    <row r="80" customFormat="false" ht="13.5" hidden="false" customHeight="false" outlineLevel="0" collapsed="false">
      <c r="A80" s="1" t="str">
        <f aca="false">IF($C80="","",Controls!$B$7)</f>
        <v>PCGH</v>
      </c>
      <c r="B80" s="1" t="str">
        <f aca="false">IF($H80="","",YEAR($H80)&amp;"-Q"&amp;ROUNDUP(MONTH($H80)/3,0))</f>
        <v>2026-Q2</v>
      </c>
      <c r="C80" s="1" t="s">
        <v>903</v>
      </c>
      <c r="D80" s="1" t="s">
        <v>904</v>
      </c>
      <c r="E80" s="1" t="n">
        <v>14716</v>
      </c>
      <c r="F80" s="1" t="n">
        <v>43699</v>
      </c>
      <c r="G80" s="1" t="s">
        <v>869</v>
      </c>
      <c r="H80" s="140" t="n">
        <v>46113</v>
      </c>
      <c r="I80" s="1" t="n">
        <v>1260</v>
      </c>
      <c r="J80" s="1" t="s">
        <v>998</v>
      </c>
      <c r="K80" s="1" t="s">
        <v>968</v>
      </c>
      <c r="L80" s="1" t="n">
        <v>5200</v>
      </c>
      <c r="N80" s="1" t="s">
        <v>1009</v>
      </c>
      <c r="P80" s="1" t="n">
        <v>467.94</v>
      </c>
      <c r="S80" s="1" t="str">
        <f aca="false">IF($C80="","",$C80&amp;"|"&amp;$E80&amp;"|"&amp;$F80&amp;"|"&amp;$L80&amp;"|"&amp;$P80&amp;"|"&amp;TEXT($H80,"yyyy-mm-dd"))</f>
        <v>PCGH780|14716|43699|5200|467.94|2026-04-01</v>
      </c>
      <c r="T80" s="1" t="str">
        <f aca="false">IF($S80="","",IF(COUNTIF($S$2:$S$2991,$S80)&gt;1,"DUPLICATE","OK"))</f>
        <v>OK</v>
      </c>
      <c r="U80" s="0" t="str">
        <f aca="false">IF($L80="","",IFERROR(VLOOKUP(--$L80,MM_Income!$Z$5:$AC$204,3,FALSE()),"UNMAPPED"))</f>
        <v>Recoverable</v>
      </c>
    </row>
    <row r="81" customFormat="false" ht="13.5" hidden="false" customHeight="false" outlineLevel="0" collapsed="false">
      <c r="A81" s="1" t="str">
        <f aca="false">IF($C81="","",Controls!$B$7)</f>
        <v>PCGH</v>
      </c>
      <c r="B81" s="1" t="str">
        <f aca="false">IF($H81="","",YEAR($H81)&amp;"-Q"&amp;ROUNDUP(MONTH($H81)/3,0))</f>
        <v>2026-Q2</v>
      </c>
      <c r="C81" s="1" t="s">
        <v>903</v>
      </c>
      <c r="D81" s="1" t="s">
        <v>904</v>
      </c>
      <c r="E81" s="1" t="n">
        <v>14717</v>
      </c>
      <c r="F81" s="1" t="n">
        <v>43700</v>
      </c>
      <c r="G81" s="1" t="s">
        <v>869</v>
      </c>
      <c r="H81" s="140" t="n">
        <v>46113</v>
      </c>
      <c r="I81" s="1" t="n">
        <v>1260</v>
      </c>
      <c r="J81" s="1" t="s">
        <v>998</v>
      </c>
      <c r="K81" s="1" t="s">
        <v>968</v>
      </c>
      <c r="L81" s="1" t="n">
        <v>5200</v>
      </c>
      <c r="N81" s="1" t="s">
        <v>1010</v>
      </c>
      <c r="P81" s="1" t="n">
        <v>651.93</v>
      </c>
      <c r="S81" s="1" t="str">
        <f aca="false">IF($C81="","",$C81&amp;"|"&amp;$E81&amp;"|"&amp;$F81&amp;"|"&amp;$L81&amp;"|"&amp;$P81&amp;"|"&amp;TEXT($H81,"yyyy-mm-dd"))</f>
        <v>PCGH780|14717|43700|5200|651.93|2026-04-01</v>
      </c>
      <c r="T81" s="1" t="str">
        <f aca="false">IF($S81="","",IF(COUNTIF($S$2:$S$2991,$S81)&gt;1,"DUPLICATE","OK"))</f>
        <v>OK</v>
      </c>
      <c r="U81" s="0" t="str">
        <f aca="false">IF($L81="","",IFERROR(VLOOKUP(--$L81,MM_Income!$Z$5:$AC$204,3,FALSE()),"UNMAPPED"))</f>
        <v>Recoverable</v>
      </c>
    </row>
    <row r="82" customFormat="false" ht="13.5" hidden="false" customHeight="false" outlineLevel="0" collapsed="false">
      <c r="A82" s="1" t="str">
        <f aca="false">IF($C82="","",Controls!$B$7)</f>
        <v>PCGH</v>
      </c>
      <c r="B82" s="1" t="str">
        <f aca="false">IF($H82="","",YEAR($H82)&amp;"-Q"&amp;ROUNDUP(MONTH($H82)/3,0))</f>
        <v>2026-Q2</v>
      </c>
      <c r="C82" s="1" t="s">
        <v>863</v>
      </c>
      <c r="D82" s="1" t="s">
        <v>864</v>
      </c>
      <c r="E82" s="1" t="n">
        <v>14718</v>
      </c>
      <c r="F82" s="1" t="n">
        <v>43702</v>
      </c>
      <c r="G82" s="1" t="s">
        <v>869</v>
      </c>
      <c r="H82" s="140" t="n">
        <v>46113</v>
      </c>
      <c r="I82" s="1" t="n">
        <v>1260</v>
      </c>
      <c r="J82" s="1" t="s">
        <v>1011</v>
      </c>
      <c r="K82" s="1" t="s">
        <v>849</v>
      </c>
      <c r="L82" s="1" t="n">
        <v>5200</v>
      </c>
      <c r="N82" s="1" t="s">
        <v>1012</v>
      </c>
      <c r="P82" s="1" t="n">
        <v>12984</v>
      </c>
      <c r="S82" s="1" t="str">
        <f aca="false">IF($C82="","",$C82&amp;"|"&amp;$E82&amp;"|"&amp;$F82&amp;"|"&amp;$L82&amp;"|"&amp;$P82&amp;"|"&amp;TEXT($H82,"yyyy-mm-dd"))</f>
        <v>PCGH777|14718|43702|5200|12984|2026-04-01</v>
      </c>
      <c r="T82" s="1" t="str">
        <f aca="false">IF($S82="","",IF(COUNTIF($S$2:$S$2991,$S82)&gt;1,"DUPLICATE","OK"))</f>
        <v>OK</v>
      </c>
      <c r="U82" s="0" t="str">
        <f aca="false">IF($L82="","",IFERROR(VLOOKUP(--$L82,MM_Income!$Z$5:$AC$204,3,FALSE()),"UNMAPPED"))</f>
        <v>Recoverable</v>
      </c>
    </row>
    <row r="83" customFormat="false" ht="13.5" hidden="false" customHeight="false" outlineLevel="0" collapsed="false">
      <c r="A83" s="1" t="str">
        <f aca="false">IF($C83="","",Controls!$B$7)</f>
        <v>PCGH</v>
      </c>
      <c r="B83" s="1" t="str">
        <f aca="false">IF($H83="","",YEAR($H83)&amp;"-Q"&amp;ROUNDUP(MONTH($H83)/3,0))</f>
        <v>2026-Q2</v>
      </c>
      <c r="C83" s="1" t="s">
        <v>863</v>
      </c>
      <c r="D83" s="1" t="s">
        <v>864</v>
      </c>
      <c r="E83" s="1" t="n">
        <v>14719</v>
      </c>
      <c r="F83" s="1" t="n">
        <v>43703</v>
      </c>
      <c r="G83" s="1" t="s">
        <v>869</v>
      </c>
      <c r="H83" s="140" t="n">
        <v>46113</v>
      </c>
      <c r="I83" s="1" t="n">
        <v>1260</v>
      </c>
      <c r="J83" s="1" t="s">
        <v>1011</v>
      </c>
      <c r="K83" s="1" t="s">
        <v>849</v>
      </c>
      <c r="L83" s="1" t="n">
        <v>5200</v>
      </c>
      <c r="N83" s="1" t="s">
        <v>1013</v>
      </c>
      <c r="P83" s="1" t="n">
        <v>25945.95</v>
      </c>
      <c r="S83" s="1" t="str">
        <f aca="false">IF($C83="","",$C83&amp;"|"&amp;$E83&amp;"|"&amp;$F83&amp;"|"&amp;$L83&amp;"|"&amp;$P83&amp;"|"&amp;TEXT($H83,"yyyy-mm-dd"))</f>
        <v>PCGH777|14719|43703|5200|25945.95|2026-04-01</v>
      </c>
      <c r="T83" s="1" t="str">
        <f aca="false">IF($S83="","",IF(COUNTIF($S$2:$S$2991,$S83)&gt;1,"DUPLICATE","OK"))</f>
        <v>OK</v>
      </c>
      <c r="U83" s="0" t="str">
        <f aca="false">IF($L83="","",IFERROR(VLOOKUP(--$L83,MM_Income!$Z$5:$AC$204,3,FALSE()),"UNMAPPED"))</f>
        <v>Recoverable</v>
      </c>
    </row>
    <row r="84" customFormat="false" ht="13.5" hidden="false" customHeight="false" outlineLevel="0" collapsed="false">
      <c r="A84" s="1" t="str">
        <f aca="false">IF($C84="","",Controls!$B$7)</f>
        <v>PCGH</v>
      </c>
      <c r="B84" s="1" t="str">
        <f aca="false">IF($H84="","",YEAR($H84)&amp;"-Q"&amp;ROUNDUP(MONTH($H84)/3,0))</f>
        <v>2026-Q2</v>
      </c>
      <c r="C84" s="1" t="s">
        <v>863</v>
      </c>
      <c r="D84" s="1" t="s">
        <v>864</v>
      </c>
      <c r="E84" s="1" t="n">
        <v>14720</v>
      </c>
      <c r="F84" s="1" t="n">
        <v>43704</v>
      </c>
      <c r="G84" s="1" t="s">
        <v>869</v>
      </c>
      <c r="H84" s="140" t="n">
        <v>46113</v>
      </c>
      <c r="I84" s="1" t="n">
        <v>1260</v>
      </c>
      <c r="J84" s="1" t="s">
        <v>1011</v>
      </c>
      <c r="K84" s="1" t="s">
        <v>849</v>
      </c>
      <c r="L84" s="1" t="n">
        <v>5200</v>
      </c>
      <c r="N84" s="1" t="s">
        <v>1014</v>
      </c>
      <c r="P84" s="1" t="n">
        <v>10800</v>
      </c>
      <c r="S84" s="1" t="str">
        <f aca="false">IF($C84="","",$C84&amp;"|"&amp;$E84&amp;"|"&amp;$F84&amp;"|"&amp;$L84&amp;"|"&amp;$P84&amp;"|"&amp;TEXT($H84,"yyyy-mm-dd"))</f>
        <v>PCGH777|14720|43704|5200|10800|2026-04-01</v>
      </c>
      <c r="T84" s="1" t="str">
        <f aca="false">IF($S84="","",IF(COUNTIF($S$2:$S$2991,$S84)&gt;1,"DUPLICATE","OK"))</f>
        <v>OK</v>
      </c>
      <c r="U84" s="0" t="str">
        <f aca="false">IF($L84="","",IFERROR(VLOOKUP(--$L84,MM_Income!$Z$5:$AC$204,3,FALSE()),"UNMAPPED"))</f>
        <v>Recoverable</v>
      </c>
    </row>
    <row r="85" customFormat="false" ht="13.5" hidden="false" customHeight="false" outlineLevel="0" collapsed="false">
      <c r="A85" s="1" t="str">
        <f aca="false">IF($C85="","",Controls!$B$7)</f>
        <v>PCGH</v>
      </c>
      <c r="B85" s="1" t="str">
        <f aca="false">IF($H85="","",YEAR($H85)&amp;"-Q"&amp;ROUNDUP(MONTH($H85)/3,0))</f>
        <v>2026-Q2</v>
      </c>
      <c r="C85" s="1" t="s">
        <v>863</v>
      </c>
      <c r="D85" s="1" t="s">
        <v>864</v>
      </c>
      <c r="E85" s="1" t="n">
        <v>14721</v>
      </c>
      <c r="F85" s="1" t="n">
        <v>43705</v>
      </c>
      <c r="G85" s="1" t="s">
        <v>869</v>
      </c>
      <c r="H85" s="140" t="n">
        <v>46113</v>
      </c>
      <c r="I85" s="1" t="n">
        <v>1260</v>
      </c>
      <c r="J85" s="1" t="s">
        <v>1011</v>
      </c>
      <c r="K85" s="1" t="s">
        <v>849</v>
      </c>
      <c r="L85" s="1" t="n">
        <v>5200</v>
      </c>
      <c r="N85" s="1" t="s">
        <v>1015</v>
      </c>
      <c r="P85" s="1" t="n">
        <v>1013</v>
      </c>
      <c r="S85" s="1" t="str">
        <f aca="false">IF($C85="","",$C85&amp;"|"&amp;$E85&amp;"|"&amp;$F85&amp;"|"&amp;$L85&amp;"|"&amp;$P85&amp;"|"&amp;TEXT($H85,"yyyy-mm-dd"))</f>
        <v>PCGH777|14721|43705|5200|1013|2026-04-01</v>
      </c>
      <c r="T85" s="1" t="str">
        <f aca="false">IF($S85="","",IF(COUNTIF($S$2:$S$2991,$S85)&gt;1,"DUPLICATE","OK"))</f>
        <v>OK</v>
      </c>
      <c r="U85" s="0" t="str">
        <f aca="false">IF($L85="","",IFERROR(VLOOKUP(--$L85,MM_Income!$Z$5:$AC$204,3,FALSE()),"UNMAPPED"))</f>
        <v>Recoverable</v>
      </c>
    </row>
    <row r="86" customFormat="false" ht="13.5" hidden="false" customHeight="false" outlineLevel="0" collapsed="false">
      <c r="A86" s="1" t="str">
        <f aca="false">IF($C86="","",Controls!$B$7)</f>
        <v>PCGH</v>
      </c>
      <c r="B86" s="1" t="str">
        <f aca="false">IF($H86="","",YEAR($H86)&amp;"-Q"&amp;ROUNDUP(MONTH($H86)/3,0))</f>
        <v>2026-Q2</v>
      </c>
      <c r="C86" s="1" t="s">
        <v>863</v>
      </c>
      <c r="D86" s="1" t="s">
        <v>864</v>
      </c>
      <c r="E86" s="1" t="n">
        <v>14722</v>
      </c>
      <c r="F86" s="1" t="n">
        <v>43706</v>
      </c>
      <c r="G86" s="1" t="s">
        <v>869</v>
      </c>
      <c r="H86" s="140" t="n">
        <v>46113</v>
      </c>
      <c r="I86" s="1" t="n">
        <v>1260</v>
      </c>
      <c r="J86" s="1" t="s">
        <v>1011</v>
      </c>
      <c r="K86" s="1" t="s">
        <v>856</v>
      </c>
      <c r="L86" s="1" t="n">
        <v>5000</v>
      </c>
      <c r="N86" s="1" t="s">
        <v>1016</v>
      </c>
      <c r="P86" s="1" t="n">
        <v>179200</v>
      </c>
      <c r="S86" s="1" t="str">
        <f aca="false">IF($C86="","",$C86&amp;"|"&amp;$E86&amp;"|"&amp;$F86&amp;"|"&amp;$L86&amp;"|"&amp;$P86&amp;"|"&amp;TEXT($H86,"yyyy-mm-dd"))</f>
        <v>PCGH777|14722|43706|5000|179200|2026-04-01</v>
      </c>
      <c r="T86" s="1" t="str">
        <f aca="false">IF($S86="","",IF(COUNTIF($S$2:$S$2991,$S86)&gt;1,"DUPLICATE","OK"))</f>
        <v>OK</v>
      </c>
      <c r="U86" s="0" t="str">
        <f aca="false">IF($L86="","",IFERROR(VLOOKUP(--$L86,MM_Income!$Z$5:$AC$204,3,FALSE()),"UNMAPPED"))</f>
        <v>Subcontractor</v>
      </c>
    </row>
    <row r="87" customFormat="false" ht="13.5" hidden="false" customHeight="false" outlineLevel="0" collapsed="false">
      <c r="A87" s="1" t="str">
        <f aca="false">IF($C87="","",Controls!$B$7)</f>
        <v>PCGH</v>
      </c>
      <c r="B87" s="1" t="str">
        <f aca="false">IF($H87="","",YEAR($H87)&amp;"-Q"&amp;ROUNDUP(MONTH($H87)/3,0))</f>
        <v>2026-Q2</v>
      </c>
      <c r="C87" s="1" t="s">
        <v>863</v>
      </c>
      <c r="D87" s="1" t="s">
        <v>864</v>
      </c>
      <c r="E87" s="1" t="n">
        <v>14723</v>
      </c>
      <c r="F87" s="1" t="n">
        <v>43707</v>
      </c>
      <c r="G87" s="1" t="s">
        <v>869</v>
      </c>
      <c r="H87" s="140" t="n">
        <v>46113</v>
      </c>
      <c r="I87" s="1" t="n">
        <v>1260</v>
      </c>
      <c r="J87" s="1" t="s">
        <v>1011</v>
      </c>
      <c r="K87" s="1" t="s">
        <v>849</v>
      </c>
      <c r="L87" s="1" t="n">
        <v>5200</v>
      </c>
      <c r="N87" s="1" t="s">
        <v>1017</v>
      </c>
      <c r="P87" s="1" t="n">
        <v>6948</v>
      </c>
      <c r="S87" s="1" t="str">
        <f aca="false">IF($C87="","",$C87&amp;"|"&amp;$E87&amp;"|"&amp;$F87&amp;"|"&amp;$L87&amp;"|"&amp;$P87&amp;"|"&amp;TEXT($H87,"yyyy-mm-dd"))</f>
        <v>PCGH777|14723|43707|5200|6948|2026-04-01</v>
      </c>
      <c r="T87" s="1" t="str">
        <f aca="false">IF($S87="","",IF(COUNTIF($S$2:$S$2991,$S87)&gt;1,"DUPLICATE","OK"))</f>
        <v>OK</v>
      </c>
      <c r="U87" s="0" t="str">
        <f aca="false">IF($L87="","",IFERROR(VLOOKUP(--$L87,MM_Income!$Z$5:$AC$204,3,FALSE()),"UNMAPPED"))</f>
        <v>Recoverable</v>
      </c>
    </row>
    <row r="88" customFormat="false" ht="13.5" hidden="false" customHeight="false" outlineLevel="0" collapsed="false">
      <c r="A88" s="1" t="str">
        <f aca="false">IF($C88="","",Controls!$B$7)</f>
        <v>PCGH</v>
      </c>
      <c r="B88" s="1" t="str">
        <f aca="false">IF($H88="","",YEAR($H88)&amp;"-Q"&amp;ROUNDUP(MONTH($H88)/3,0))</f>
        <v>2026-Q2</v>
      </c>
      <c r="C88" s="1" t="s">
        <v>890</v>
      </c>
      <c r="D88" s="1" t="s">
        <v>891</v>
      </c>
      <c r="E88" s="1" t="n">
        <v>14724</v>
      </c>
      <c r="F88" s="1" t="n">
        <v>43708</v>
      </c>
      <c r="G88" s="1" t="s">
        <v>869</v>
      </c>
      <c r="H88" s="140" t="n">
        <v>46119</v>
      </c>
      <c r="I88" s="1" t="n">
        <v>1260</v>
      </c>
      <c r="J88" s="1" t="s">
        <v>1011</v>
      </c>
      <c r="K88" s="1" t="s">
        <v>849</v>
      </c>
      <c r="L88" s="1" t="n">
        <v>5200</v>
      </c>
      <c r="N88" s="1" t="s">
        <v>1018</v>
      </c>
      <c r="P88" s="1" t="n">
        <v>3418.57</v>
      </c>
      <c r="S88" s="1" t="str">
        <f aca="false">IF($C88="","",$C88&amp;"|"&amp;$E88&amp;"|"&amp;$F88&amp;"|"&amp;$L88&amp;"|"&amp;$P88&amp;"|"&amp;TEXT($H88,"yyyy-mm-dd"))</f>
        <v>PCGH776|14724|43708|5200|3418.57|2026-04-07</v>
      </c>
      <c r="T88" s="1" t="str">
        <f aca="false">IF($S88="","",IF(COUNTIF($S$2:$S$2991,$S88)&gt;1,"DUPLICATE","OK"))</f>
        <v>OK</v>
      </c>
      <c r="U88" s="0" t="str">
        <f aca="false">IF($L88="","",IFERROR(VLOOKUP(--$L88,MM_Income!$Z$5:$AC$204,3,FALSE()),"UNMAPPED"))</f>
        <v>Recoverable</v>
      </c>
    </row>
    <row r="89" customFormat="false" ht="13.5" hidden="false" customHeight="false" outlineLevel="0" collapsed="false">
      <c r="A89" s="1" t="str">
        <f aca="false">IF($C89="","",Controls!$B$7)</f>
        <v>PCGH</v>
      </c>
      <c r="B89" s="1" t="str">
        <f aca="false">IF($H89="","",YEAR($H89)&amp;"-Q"&amp;ROUNDUP(MONTH($H89)/3,0))</f>
        <v>2026-Q2</v>
      </c>
      <c r="C89" s="1" t="s">
        <v>890</v>
      </c>
      <c r="D89" s="1" t="s">
        <v>891</v>
      </c>
      <c r="E89" s="1" t="n">
        <v>14725</v>
      </c>
      <c r="F89" s="1" t="n">
        <v>43709</v>
      </c>
      <c r="G89" s="1" t="s">
        <v>869</v>
      </c>
      <c r="H89" s="140" t="n">
        <v>46117</v>
      </c>
      <c r="I89" s="1" t="n">
        <v>1260</v>
      </c>
      <c r="J89" s="1" t="s">
        <v>1011</v>
      </c>
      <c r="K89" s="1" t="s">
        <v>849</v>
      </c>
      <c r="L89" s="1" t="n">
        <v>5200</v>
      </c>
      <c r="N89" s="1" t="s">
        <v>1019</v>
      </c>
      <c r="P89" s="1" t="n">
        <v>240</v>
      </c>
      <c r="S89" s="1" t="str">
        <f aca="false">IF($C89="","",$C89&amp;"|"&amp;$E89&amp;"|"&amp;$F89&amp;"|"&amp;$L89&amp;"|"&amp;$P89&amp;"|"&amp;TEXT($H89,"yyyy-mm-dd"))</f>
        <v>PCGH776|14725|43709|5200|240|2026-04-05</v>
      </c>
      <c r="T89" s="1" t="str">
        <f aca="false">IF($S89="","",IF(COUNTIF($S$2:$S$2991,$S89)&gt;1,"DUPLICATE","OK"))</f>
        <v>OK</v>
      </c>
      <c r="U89" s="0" t="str">
        <f aca="false">IF($L89="","",IFERROR(VLOOKUP(--$L89,MM_Income!$Z$5:$AC$204,3,FALSE()),"UNMAPPED"))</f>
        <v>Recoverable</v>
      </c>
    </row>
    <row r="90" customFormat="false" ht="13.5" hidden="false" customHeight="false" outlineLevel="0" collapsed="false">
      <c r="A90" s="1" t="str">
        <f aca="false">IF($C90="","",Controls!$B$7)</f>
        <v>PCGH</v>
      </c>
      <c r="B90" s="1" t="str">
        <f aca="false">IF($H90="","",YEAR($H90)&amp;"-Q"&amp;ROUNDUP(MONTH($H90)/3,0))</f>
        <v>2026-Q2</v>
      </c>
      <c r="C90" s="1" t="s">
        <v>890</v>
      </c>
      <c r="D90" s="1" t="s">
        <v>891</v>
      </c>
      <c r="E90" s="1" t="n">
        <v>14726</v>
      </c>
      <c r="F90" s="1" t="n">
        <v>43710</v>
      </c>
      <c r="G90" s="1" t="s">
        <v>869</v>
      </c>
      <c r="H90" s="140" t="n">
        <v>46117</v>
      </c>
      <c r="I90" s="1" t="n">
        <v>1260</v>
      </c>
      <c r="J90" s="1" t="s">
        <v>1011</v>
      </c>
      <c r="K90" s="1" t="s">
        <v>849</v>
      </c>
      <c r="L90" s="1" t="n">
        <v>5200</v>
      </c>
      <c r="N90" s="1" t="s">
        <v>1020</v>
      </c>
      <c r="P90" s="1" t="n">
        <v>585.71</v>
      </c>
      <c r="S90" s="1" t="str">
        <f aca="false">IF($C90="","",$C90&amp;"|"&amp;$E90&amp;"|"&amp;$F90&amp;"|"&amp;$L90&amp;"|"&amp;$P90&amp;"|"&amp;TEXT($H90,"yyyy-mm-dd"))</f>
        <v>PCGH776|14726|43710|5200|585.71|2026-04-05</v>
      </c>
      <c r="T90" s="1" t="str">
        <f aca="false">IF($S90="","",IF(COUNTIF($S$2:$S$2991,$S90)&gt;1,"DUPLICATE","OK"))</f>
        <v>OK</v>
      </c>
      <c r="U90" s="0" t="str">
        <f aca="false">IF($L90="","",IFERROR(VLOOKUP(--$L90,MM_Income!$Z$5:$AC$204,3,FALSE()),"UNMAPPED"))</f>
        <v>Recoverable</v>
      </c>
    </row>
    <row r="91" customFormat="false" ht="13.5" hidden="false" customHeight="false" outlineLevel="0" collapsed="false">
      <c r="A91" s="1" t="str">
        <f aca="false">IF($C91="","",Controls!$B$7)</f>
        <v>PCGH</v>
      </c>
      <c r="B91" s="1" t="str">
        <f aca="false">IF($H91="","",YEAR($H91)&amp;"-Q"&amp;ROUNDUP(MONTH($H91)/3,0))</f>
        <v>2026-Q2</v>
      </c>
      <c r="C91" s="1" t="s">
        <v>890</v>
      </c>
      <c r="D91" s="1" t="s">
        <v>891</v>
      </c>
      <c r="E91" s="1" t="n">
        <v>14727</v>
      </c>
      <c r="F91" s="1" t="n">
        <v>43711</v>
      </c>
      <c r="G91" s="1" t="s">
        <v>869</v>
      </c>
      <c r="H91" s="140" t="n">
        <v>46117</v>
      </c>
      <c r="I91" s="1" t="n">
        <v>1260</v>
      </c>
      <c r="J91" s="1" t="s">
        <v>1011</v>
      </c>
      <c r="K91" s="1" t="s">
        <v>849</v>
      </c>
      <c r="L91" s="1" t="n">
        <v>5200</v>
      </c>
      <c r="N91" s="1" t="s">
        <v>1021</v>
      </c>
      <c r="P91" s="1" t="n">
        <v>2457.14</v>
      </c>
      <c r="S91" s="1" t="str">
        <f aca="false">IF($C91="","",$C91&amp;"|"&amp;$E91&amp;"|"&amp;$F91&amp;"|"&amp;$L91&amp;"|"&amp;$P91&amp;"|"&amp;TEXT($H91,"yyyy-mm-dd"))</f>
        <v>PCGH776|14727|43711|5200|2457.14|2026-04-05</v>
      </c>
      <c r="T91" s="1" t="str">
        <f aca="false">IF($S91="","",IF(COUNTIF($S$2:$S$2991,$S91)&gt;1,"DUPLICATE","OK"))</f>
        <v>OK</v>
      </c>
      <c r="U91" s="0" t="str">
        <f aca="false">IF($L91="","",IFERROR(VLOOKUP(--$L91,MM_Income!$Z$5:$AC$204,3,FALSE()),"UNMAPPED"))</f>
        <v>Recoverable</v>
      </c>
    </row>
    <row r="92" customFormat="false" ht="13.5" hidden="false" customHeight="false" outlineLevel="0" collapsed="false">
      <c r="A92" s="1" t="str">
        <f aca="false">IF($C92="","",Controls!$B$7)</f>
        <v>PCGH</v>
      </c>
      <c r="B92" s="1" t="str">
        <f aca="false">IF($H92="","",YEAR($H92)&amp;"-Q"&amp;ROUNDUP(MONTH($H92)/3,0))</f>
        <v>2026-Q2</v>
      </c>
      <c r="C92" s="1" t="s">
        <v>890</v>
      </c>
      <c r="D92" s="1" t="s">
        <v>891</v>
      </c>
      <c r="E92" s="1" t="n">
        <v>14728</v>
      </c>
      <c r="F92" s="1" t="n">
        <v>43712</v>
      </c>
      <c r="G92" s="1" t="s">
        <v>869</v>
      </c>
      <c r="H92" s="140" t="n">
        <v>46117</v>
      </c>
      <c r="I92" s="1" t="n">
        <v>1260</v>
      </c>
      <c r="J92" s="1" t="s">
        <v>1011</v>
      </c>
      <c r="K92" s="1" t="s">
        <v>849</v>
      </c>
      <c r="L92" s="1" t="n">
        <v>5200</v>
      </c>
      <c r="N92" s="1" t="s">
        <v>1022</v>
      </c>
      <c r="P92" s="1" t="n">
        <v>36375</v>
      </c>
      <c r="S92" s="1" t="str">
        <f aca="false">IF($C92="","",$C92&amp;"|"&amp;$E92&amp;"|"&amp;$F92&amp;"|"&amp;$L92&amp;"|"&amp;$P92&amp;"|"&amp;TEXT($H92,"yyyy-mm-dd"))</f>
        <v>PCGH776|14728|43712|5200|36375|2026-04-05</v>
      </c>
      <c r="T92" s="1" t="str">
        <f aca="false">IF($S92="","",IF(COUNTIF($S$2:$S$2991,$S92)&gt;1,"DUPLICATE","OK"))</f>
        <v>OK</v>
      </c>
      <c r="U92" s="0" t="str">
        <f aca="false">IF($L92="","",IFERROR(VLOOKUP(--$L92,MM_Income!$Z$5:$AC$204,3,FALSE()),"UNMAPPED"))</f>
        <v>Recoverable</v>
      </c>
    </row>
    <row r="93" customFormat="false" ht="13.5" hidden="false" customHeight="false" outlineLevel="0" collapsed="false">
      <c r="A93" s="1" t="str">
        <f aca="false">IF($C93="","",Controls!$B$7)</f>
        <v>PCGH</v>
      </c>
      <c r="B93" s="1" t="str">
        <f aca="false">IF($H93="","",YEAR($H93)&amp;"-Q"&amp;ROUNDUP(MONTH($H93)/3,0))</f>
        <v>2026-Q2</v>
      </c>
      <c r="C93" s="1" t="s">
        <v>890</v>
      </c>
      <c r="D93" s="1" t="s">
        <v>891</v>
      </c>
      <c r="E93" s="1" t="n">
        <v>14729</v>
      </c>
      <c r="F93" s="1" t="n">
        <v>43713</v>
      </c>
      <c r="G93" s="1" t="s">
        <v>869</v>
      </c>
      <c r="H93" s="140" t="n">
        <v>46117</v>
      </c>
      <c r="I93" s="1" t="n">
        <v>1260</v>
      </c>
      <c r="J93" s="1" t="s">
        <v>1011</v>
      </c>
      <c r="K93" s="1" t="s">
        <v>849</v>
      </c>
      <c r="L93" s="1" t="n">
        <v>5200</v>
      </c>
      <c r="N93" s="1" t="s">
        <v>1013</v>
      </c>
      <c r="P93" s="1" t="n">
        <v>19028.57</v>
      </c>
      <c r="S93" s="1" t="str">
        <f aca="false">IF($C93="","",$C93&amp;"|"&amp;$E93&amp;"|"&amp;$F93&amp;"|"&amp;$L93&amp;"|"&amp;$P93&amp;"|"&amp;TEXT($H93,"yyyy-mm-dd"))</f>
        <v>PCGH776|14729|43713|5200|19028.57|2026-04-05</v>
      </c>
      <c r="T93" s="1" t="str">
        <f aca="false">IF($S93="","",IF(COUNTIF($S$2:$S$2991,$S93)&gt;1,"DUPLICATE","OK"))</f>
        <v>OK</v>
      </c>
      <c r="U93" s="0" t="str">
        <f aca="false">IF($L93="","",IFERROR(VLOOKUP(--$L93,MM_Income!$Z$5:$AC$204,3,FALSE()),"UNMAPPED"))</f>
        <v>Recoverable</v>
      </c>
    </row>
    <row r="94" customFormat="false" ht="13.5" hidden="false" customHeight="false" outlineLevel="0" collapsed="false">
      <c r="A94" s="1" t="str">
        <f aca="false">IF($C94="","",Controls!$B$7)</f>
        <v>PCGH</v>
      </c>
      <c r="B94" s="1" t="str">
        <f aca="false">IF($H94="","",YEAR($H94)&amp;"-Q"&amp;ROUNDUP(MONTH($H94)/3,0))</f>
        <v>2026-Q2</v>
      </c>
      <c r="C94" s="1" t="s">
        <v>890</v>
      </c>
      <c r="D94" s="1" t="s">
        <v>891</v>
      </c>
      <c r="E94" s="1" t="n">
        <v>14730</v>
      </c>
      <c r="F94" s="1" t="n">
        <v>43714</v>
      </c>
      <c r="G94" s="1" t="s">
        <v>869</v>
      </c>
      <c r="H94" s="140" t="n">
        <v>46115</v>
      </c>
      <c r="I94" s="1" t="n">
        <v>1260</v>
      </c>
      <c r="J94" s="1" t="s">
        <v>1011</v>
      </c>
      <c r="K94" s="1" t="s">
        <v>849</v>
      </c>
      <c r="L94" s="1" t="n">
        <v>5200</v>
      </c>
      <c r="N94" s="1" t="s">
        <v>1023</v>
      </c>
      <c r="P94" s="1" t="n">
        <v>14597.14</v>
      </c>
      <c r="S94" s="1" t="str">
        <f aca="false">IF($C94="","",$C94&amp;"|"&amp;$E94&amp;"|"&amp;$F94&amp;"|"&amp;$L94&amp;"|"&amp;$P94&amp;"|"&amp;TEXT($H94,"yyyy-mm-dd"))</f>
        <v>PCGH776|14730|43714|5200|14597.14|2026-04-03</v>
      </c>
      <c r="T94" s="1" t="str">
        <f aca="false">IF($S94="","",IF(COUNTIF($S$2:$S$2991,$S94)&gt;1,"DUPLICATE","OK"))</f>
        <v>OK</v>
      </c>
      <c r="U94" s="0" t="str">
        <f aca="false">IF($L94="","",IFERROR(VLOOKUP(--$L94,MM_Income!$Z$5:$AC$204,3,FALSE()),"UNMAPPED"))</f>
        <v>Recoverable</v>
      </c>
    </row>
    <row r="95" customFormat="false" ht="13.5" hidden="false" customHeight="false" outlineLevel="0" collapsed="false">
      <c r="A95" s="1" t="str">
        <f aca="false">IF($C95="","",Controls!$B$7)</f>
        <v>PCGH</v>
      </c>
      <c r="B95" s="1" t="str">
        <f aca="false">IF($H95="","",YEAR($H95)&amp;"-Q"&amp;ROUNDUP(MONTH($H95)/3,0))</f>
        <v>2026-Q2</v>
      </c>
      <c r="C95" s="1" t="s">
        <v>890</v>
      </c>
      <c r="D95" s="1" t="s">
        <v>891</v>
      </c>
      <c r="E95" s="1" t="n">
        <v>14731</v>
      </c>
      <c r="F95" s="1" t="n">
        <v>43715</v>
      </c>
      <c r="G95" s="1" t="s">
        <v>869</v>
      </c>
      <c r="H95" s="140" t="n">
        <v>46115</v>
      </c>
      <c r="I95" s="1" t="n">
        <v>1260</v>
      </c>
      <c r="J95" s="1" t="s">
        <v>1011</v>
      </c>
      <c r="K95" s="1" t="s">
        <v>849</v>
      </c>
      <c r="L95" s="1" t="n">
        <v>5200</v>
      </c>
      <c r="N95" s="1" t="s">
        <v>1024</v>
      </c>
      <c r="P95" s="1" t="n">
        <v>7112</v>
      </c>
      <c r="S95" s="1" t="str">
        <f aca="false">IF($C95="","",$C95&amp;"|"&amp;$E95&amp;"|"&amp;$F95&amp;"|"&amp;$L95&amp;"|"&amp;$P95&amp;"|"&amp;TEXT($H95,"yyyy-mm-dd"))</f>
        <v>PCGH776|14731|43715|5200|7112|2026-04-03</v>
      </c>
      <c r="T95" s="1" t="str">
        <f aca="false">IF($S95="","",IF(COUNTIF($S$2:$S$2991,$S95)&gt;1,"DUPLICATE","OK"))</f>
        <v>OK</v>
      </c>
      <c r="U95" s="0" t="str">
        <f aca="false">IF($L95="","",IFERROR(VLOOKUP(--$L95,MM_Income!$Z$5:$AC$204,3,FALSE()),"UNMAPPED"))</f>
        <v>Recoverable</v>
      </c>
    </row>
    <row r="96" customFormat="false" ht="13.5" hidden="false" customHeight="false" outlineLevel="0" collapsed="false">
      <c r="A96" s="1" t="str">
        <f aca="false">IF($C96="","",Controls!$B$7)</f>
        <v>PCGH</v>
      </c>
      <c r="B96" s="1" t="str">
        <f aca="false">IF($H96="","",YEAR($H96)&amp;"-Q"&amp;ROUNDUP(MONTH($H96)/3,0))</f>
        <v>2026-Q2</v>
      </c>
      <c r="C96" s="1" t="s">
        <v>890</v>
      </c>
      <c r="D96" s="1" t="s">
        <v>891</v>
      </c>
      <c r="E96" s="1" t="n">
        <v>14732</v>
      </c>
      <c r="F96" s="1" t="n">
        <v>43716</v>
      </c>
      <c r="G96" s="1" t="s">
        <v>869</v>
      </c>
      <c r="H96" s="140" t="n">
        <v>46113</v>
      </c>
      <c r="I96" s="1" t="n">
        <v>1260</v>
      </c>
      <c r="J96" s="1" t="s">
        <v>1011</v>
      </c>
      <c r="K96" s="1" t="s">
        <v>849</v>
      </c>
      <c r="L96" s="1" t="n">
        <v>5200</v>
      </c>
      <c r="N96" s="1" t="s">
        <v>1025</v>
      </c>
      <c r="P96" s="1" t="n">
        <v>2285.71</v>
      </c>
      <c r="S96" s="1" t="str">
        <f aca="false">IF($C96="","",$C96&amp;"|"&amp;$E96&amp;"|"&amp;$F96&amp;"|"&amp;$L96&amp;"|"&amp;$P96&amp;"|"&amp;TEXT($H96,"yyyy-mm-dd"))</f>
        <v>PCGH776|14732|43716|5200|2285.71|2026-04-01</v>
      </c>
      <c r="T96" s="1" t="str">
        <f aca="false">IF($S96="","",IF(COUNTIF($S$2:$S$2991,$S96)&gt;1,"DUPLICATE","OK"))</f>
        <v>OK</v>
      </c>
      <c r="U96" s="0" t="str">
        <f aca="false">IF($L96="","",IFERROR(VLOOKUP(--$L96,MM_Income!$Z$5:$AC$204,3,FALSE()),"UNMAPPED"))</f>
        <v>Recoverable</v>
      </c>
    </row>
    <row r="97" customFormat="false" ht="13.5" hidden="false" customHeight="false" outlineLevel="0" collapsed="false">
      <c r="A97" s="1" t="str">
        <f aca="false">IF($C97="","",Controls!$B$7)</f>
        <v>PCGH</v>
      </c>
      <c r="B97" s="1" t="str">
        <f aca="false">IF($H97="","",YEAR($H97)&amp;"-Q"&amp;ROUNDUP(MONTH($H97)/3,0))</f>
        <v>2026-Q2</v>
      </c>
      <c r="C97" s="1" t="s">
        <v>890</v>
      </c>
      <c r="D97" s="1" t="s">
        <v>891</v>
      </c>
      <c r="E97" s="1" t="n">
        <v>14733</v>
      </c>
      <c r="F97" s="1" t="n">
        <v>43717</v>
      </c>
      <c r="G97" s="1" t="s">
        <v>869</v>
      </c>
      <c r="H97" s="140" t="n">
        <v>46113</v>
      </c>
      <c r="I97" s="1" t="n">
        <v>1260</v>
      </c>
      <c r="J97" s="1" t="s">
        <v>1011</v>
      </c>
      <c r="K97" s="1" t="s">
        <v>849</v>
      </c>
      <c r="L97" s="1" t="n">
        <v>5200</v>
      </c>
      <c r="N97" s="1" t="s">
        <v>1026</v>
      </c>
      <c r="P97" s="1" t="n">
        <v>2628.86</v>
      </c>
      <c r="S97" s="1" t="str">
        <f aca="false">IF($C97="","",$C97&amp;"|"&amp;$E97&amp;"|"&amp;$F97&amp;"|"&amp;$L97&amp;"|"&amp;$P97&amp;"|"&amp;TEXT($H97,"yyyy-mm-dd"))</f>
        <v>PCGH776|14733|43717|5200|2628.86|2026-04-01</v>
      </c>
      <c r="T97" s="1" t="str">
        <f aca="false">IF($S97="","",IF(COUNTIF($S$2:$S$2991,$S97)&gt;1,"DUPLICATE","OK"))</f>
        <v>OK</v>
      </c>
      <c r="U97" s="0" t="str">
        <f aca="false">IF($L97="","",IFERROR(VLOOKUP(--$L97,MM_Income!$Z$5:$AC$204,3,FALSE()),"UNMAPPED"))</f>
        <v>Recoverable</v>
      </c>
    </row>
    <row r="98" customFormat="false" ht="13.5" hidden="false" customHeight="false" outlineLevel="0" collapsed="false">
      <c r="A98" s="1" t="str">
        <f aca="false">IF($C98="","",Controls!$B$7)</f>
        <v>PCGH</v>
      </c>
      <c r="B98" s="1" t="str">
        <f aca="false">IF($H98="","",YEAR($H98)&amp;"-Q"&amp;ROUNDUP(MONTH($H98)/3,0))</f>
        <v>2026-Q2</v>
      </c>
      <c r="C98" s="1" t="s">
        <v>890</v>
      </c>
      <c r="D98" s="1" t="s">
        <v>891</v>
      </c>
      <c r="E98" s="1" t="n">
        <v>14734</v>
      </c>
      <c r="F98" s="1" t="n">
        <v>43718</v>
      </c>
      <c r="G98" s="1" t="s">
        <v>869</v>
      </c>
      <c r="H98" s="140" t="n">
        <v>46113</v>
      </c>
      <c r="I98" s="1" t="n">
        <v>1260</v>
      </c>
      <c r="J98" s="1" t="s">
        <v>1011</v>
      </c>
      <c r="K98" s="1" t="s">
        <v>849</v>
      </c>
      <c r="L98" s="1" t="n">
        <v>5200</v>
      </c>
      <c r="N98" s="1" t="s">
        <v>1019</v>
      </c>
      <c r="P98" s="1" t="n">
        <v>242</v>
      </c>
      <c r="S98" s="1" t="str">
        <f aca="false">IF($C98="","",$C98&amp;"|"&amp;$E98&amp;"|"&amp;$F98&amp;"|"&amp;$L98&amp;"|"&amp;$P98&amp;"|"&amp;TEXT($H98,"yyyy-mm-dd"))</f>
        <v>PCGH776|14734|43718|5200|242|2026-04-01</v>
      </c>
      <c r="T98" s="1" t="str">
        <f aca="false">IF($S98="","",IF(COUNTIF($S$2:$S$2991,$S98)&gt;1,"DUPLICATE","OK"))</f>
        <v>OK</v>
      </c>
      <c r="U98" s="0" t="str">
        <f aca="false">IF($L98="","",IFERROR(VLOOKUP(--$L98,MM_Income!$Z$5:$AC$204,3,FALSE()),"UNMAPPED"))</f>
        <v>Recoverable</v>
      </c>
    </row>
    <row r="99" customFormat="false" ht="13.5" hidden="false" customHeight="false" outlineLevel="0" collapsed="false">
      <c r="A99" s="1" t="str">
        <f aca="false">IF($C99="","",Controls!$B$7)</f>
        <v>PCGH</v>
      </c>
      <c r="B99" s="1" t="str">
        <f aca="false">IF($H99="","",YEAR($H99)&amp;"-Q"&amp;ROUNDUP(MONTH($H99)/3,0))</f>
        <v>2026-Q2</v>
      </c>
      <c r="C99" s="1" t="s">
        <v>890</v>
      </c>
      <c r="D99" s="1" t="s">
        <v>891</v>
      </c>
      <c r="E99" s="1" t="n">
        <v>14735</v>
      </c>
      <c r="F99" s="1" t="n">
        <v>43719</v>
      </c>
      <c r="G99" s="1" t="s">
        <v>869</v>
      </c>
      <c r="H99" s="140" t="n">
        <v>46113</v>
      </c>
      <c r="I99" s="1" t="n">
        <v>1260</v>
      </c>
      <c r="J99" s="1" t="s">
        <v>1011</v>
      </c>
      <c r="K99" s="1" t="s">
        <v>849</v>
      </c>
      <c r="L99" s="1" t="n">
        <v>5200</v>
      </c>
      <c r="N99" s="1" t="s">
        <v>1027</v>
      </c>
      <c r="P99" s="1" t="n">
        <v>1228.57</v>
      </c>
      <c r="S99" s="1" t="str">
        <f aca="false">IF($C99="","",$C99&amp;"|"&amp;$E99&amp;"|"&amp;$F99&amp;"|"&amp;$L99&amp;"|"&amp;$P99&amp;"|"&amp;TEXT($H99,"yyyy-mm-dd"))</f>
        <v>PCGH776|14735|43719|5200|1228.57|2026-04-01</v>
      </c>
      <c r="T99" s="1" t="str">
        <f aca="false">IF($S99="","",IF(COUNTIF($S$2:$S$2991,$S99)&gt;1,"DUPLICATE","OK"))</f>
        <v>OK</v>
      </c>
      <c r="U99" s="0" t="str">
        <f aca="false">IF($L99="","",IFERROR(VLOOKUP(--$L99,MM_Income!$Z$5:$AC$204,3,FALSE()),"UNMAPPED"))</f>
        <v>Recoverable</v>
      </c>
    </row>
    <row r="100" customFormat="false" ht="13.5" hidden="false" customHeight="false" outlineLevel="0" collapsed="false">
      <c r="A100" s="1" t="str">
        <f aca="false">IF($C100="","",Controls!$B$7)</f>
        <v>PCGH</v>
      </c>
      <c r="B100" s="1" t="str">
        <f aca="false">IF($H100="","",YEAR($H100)&amp;"-Q"&amp;ROUNDUP(MONTH($H100)/3,0))</f>
        <v>2026-Q2</v>
      </c>
      <c r="C100" s="1" t="s">
        <v>890</v>
      </c>
      <c r="D100" s="1" t="s">
        <v>891</v>
      </c>
      <c r="E100" s="1" t="n">
        <v>14736</v>
      </c>
      <c r="F100" s="1" t="n">
        <v>43720</v>
      </c>
      <c r="G100" s="1" t="s">
        <v>869</v>
      </c>
      <c r="H100" s="140" t="n">
        <v>46113</v>
      </c>
      <c r="I100" s="1" t="n">
        <v>1260</v>
      </c>
      <c r="J100" s="1" t="s">
        <v>1011</v>
      </c>
      <c r="K100" s="1" t="s">
        <v>849</v>
      </c>
      <c r="L100" s="1" t="n">
        <v>5200</v>
      </c>
      <c r="N100" s="1" t="s">
        <v>1028</v>
      </c>
      <c r="P100" s="1" t="n">
        <v>160</v>
      </c>
      <c r="S100" s="1" t="str">
        <f aca="false">IF($C100="","",$C100&amp;"|"&amp;$E100&amp;"|"&amp;$F100&amp;"|"&amp;$L100&amp;"|"&amp;$P100&amp;"|"&amp;TEXT($H100,"yyyy-mm-dd"))</f>
        <v>PCGH776|14736|43720|5200|160|2026-04-01</v>
      </c>
      <c r="T100" s="1" t="str">
        <f aca="false">IF($S100="","",IF(COUNTIF($S$2:$S$2991,$S100)&gt;1,"DUPLICATE","OK"))</f>
        <v>OK</v>
      </c>
      <c r="U100" s="0" t="str">
        <f aca="false">IF($L100="","",IFERROR(VLOOKUP(--$L100,MM_Income!$Z$5:$AC$204,3,FALSE()),"UNMAPPED"))</f>
        <v>Recoverable</v>
      </c>
    </row>
    <row r="101" customFormat="false" ht="13.5" hidden="false" customHeight="false" outlineLevel="0" collapsed="false">
      <c r="A101" s="1" t="str">
        <f aca="false">IF($C101="","",Controls!$B$7)</f>
        <v>PCGH</v>
      </c>
      <c r="B101" s="1" t="str">
        <f aca="false">IF($H101="","",YEAR($H101)&amp;"-Q"&amp;ROUNDUP(MONTH($H101)/3,0))</f>
        <v>2026-Q2</v>
      </c>
      <c r="C101" s="1" t="s">
        <v>903</v>
      </c>
      <c r="D101" s="1" t="s">
        <v>904</v>
      </c>
      <c r="E101" s="1" t="n">
        <v>14737</v>
      </c>
      <c r="F101" s="1" t="n">
        <v>43727</v>
      </c>
      <c r="G101" s="1" t="s">
        <v>869</v>
      </c>
      <c r="H101" s="140" t="n">
        <v>46135</v>
      </c>
      <c r="I101" s="1" t="n">
        <v>1260</v>
      </c>
      <c r="J101" s="1" t="s">
        <v>1029</v>
      </c>
      <c r="K101" s="1" t="s">
        <v>916</v>
      </c>
      <c r="L101" s="1" t="n">
        <v>5200</v>
      </c>
      <c r="N101" s="1" t="s">
        <v>1030</v>
      </c>
      <c r="P101" s="1" t="n">
        <v>6249.98</v>
      </c>
      <c r="S101" s="1" t="str">
        <f aca="false">IF($C101="","",$C101&amp;"|"&amp;$E101&amp;"|"&amp;$F101&amp;"|"&amp;$L101&amp;"|"&amp;$P101&amp;"|"&amp;TEXT($H101,"yyyy-mm-dd"))</f>
        <v>PCGH780|14737|43727|5200|6249.98|2026-04-23</v>
      </c>
      <c r="T101" s="1" t="str">
        <f aca="false">IF($S101="","",IF(COUNTIF($S$2:$S$2991,$S101)&gt;1,"DUPLICATE","OK"))</f>
        <v>OK</v>
      </c>
      <c r="U101" s="0" t="str">
        <f aca="false">IF($L101="","",IFERROR(VLOOKUP(--$L101,MM_Income!$Z$5:$AC$204,3,FALSE()),"UNMAPPED"))</f>
        <v>Recoverable</v>
      </c>
    </row>
    <row r="102" customFormat="false" ht="13.5" hidden="false" customHeight="false" outlineLevel="0" collapsed="false">
      <c r="A102" s="1" t="str">
        <f aca="false">IF($C102="","",Controls!$B$7)</f>
        <v>PCGH</v>
      </c>
      <c r="B102" s="1" t="str">
        <f aca="false">IF($H102="","",YEAR($H102)&amp;"-Q"&amp;ROUNDUP(MONTH($H102)/3,0))</f>
        <v>2026-Q2</v>
      </c>
      <c r="C102" s="1" t="s">
        <v>903</v>
      </c>
      <c r="D102" s="1" t="s">
        <v>904</v>
      </c>
      <c r="E102" s="1" t="n">
        <v>14738</v>
      </c>
      <c r="F102" s="1" t="n">
        <v>43728</v>
      </c>
      <c r="G102" s="1" t="s">
        <v>869</v>
      </c>
      <c r="H102" s="140" t="n">
        <v>46135</v>
      </c>
      <c r="I102" s="1" t="n">
        <v>1260</v>
      </c>
      <c r="J102" s="1" t="s">
        <v>1029</v>
      </c>
      <c r="K102" s="1" t="s">
        <v>916</v>
      </c>
      <c r="L102" s="1" t="n">
        <v>5200</v>
      </c>
      <c r="N102" s="1" t="s">
        <v>1031</v>
      </c>
      <c r="P102" s="1" t="n">
        <v>2291.63</v>
      </c>
      <c r="S102" s="1" t="str">
        <f aca="false">IF($C102="","",$C102&amp;"|"&amp;$E102&amp;"|"&amp;$F102&amp;"|"&amp;$L102&amp;"|"&amp;$P102&amp;"|"&amp;TEXT($H102,"yyyy-mm-dd"))</f>
        <v>PCGH780|14738|43728|5200|2291.63|2026-04-23</v>
      </c>
      <c r="T102" s="1" t="str">
        <f aca="false">IF($S102="","",IF(COUNTIF($S$2:$S$2991,$S102)&gt;1,"DUPLICATE","OK"))</f>
        <v>OK</v>
      </c>
      <c r="U102" s="0" t="str">
        <f aca="false">IF($L102="","",IFERROR(VLOOKUP(--$L102,MM_Income!$Z$5:$AC$204,3,FALSE()),"UNMAPPED"))</f>
        <v>Recoverable</v>
      </c>
    </row>
    <row r="103" customFormat="false" ht="13.5" hidden="false" customHeight="false" outlineLevel="0" collapsed="false">
      <c r="A103" s="1" t="str">
        <f aca="false">IF($C103="","",Controls!$B$7)</f>
        <v>PCGH</v>
      </c>
      <c r="B103" s="1" t="str">
        <f aca="false">IF($H103="","",YEAR($H103)&amp;"-Q"&amp;ROUNDUP(MONTH($H103)/3,0))</f>
        <v>2026-Q2</v>
      </c>
      <c r="C103" s="1" t="s">
        <v>903</v>
      </c>
      <c r="D103" s="1" t="s">
        <v>904</v>
      </c>
      <c r="E103" s="1" t="n">
        <v>14739</v>
      </c>
      <c r="F103" s="1" t="n">
        <v>43729</v>
      </c>
      <c r="G103" s="1" t="s">
        <v>869</v>
      </c>
      <c r="H103" s="140" t="n">
        <v>46135</v>
      </c>
      <c r="I103" s="1" t="n">
        <v>1260</v>
      </c>
      <c r="J103" s="1" t="s">
        <v>1029</v>
      </c>
      <c r="K103" s="1" t="s">
        <v>916</v>
      </c>
      <c r="L103" s="1" t="n">
        <v>5200</v>
      </c>
      <c r="N103" s="1" t="s">
        <v>1032</v>
      </c>
      <c r="P103" s="1" t="n">
        <v>5745.85</v>
      </c>
      <c r="S103" s="1" t="str">
        <f aca="false">IF($C103="","",$C103&amp;"|"&amp;$E103&amp;"|"&amp;$F103&amp;"|"&amp;$L103&amp;"|"&amp;$P103&amp;"|"&amp;TEXT($H103,"yyyy-mm-dd"))</f>
        <v>PCGH780|14739|43729|5200|5745.85|2026-04-23</v>
      </c>
      <c r="T103" s="1" t="str">
        <f aca="false">IF($S103="","",IF(COUNTIF($S$2:$S$2991,$S103)&gt;1,"DUPLICATE","OK"))</f>
        <v>OK</v>
      </c>
      <c r="U103" s="0" t="str">
        <f aca="false">IF($L103="","",IFERROR(VLOOKUP(--$L103,MM_Income!$Z$5:$AC$204,3,FALSE()),"UNMAPPED"))</f>
        <v>Recoverable</v>
      </c>
    </row>
    <row r="104" customFormat="false" ht="13.5" hidden="false" customHeight="false" outlineLevel="0" collapsed="false">
      <c r="A104" s="1" t="str">
        <f aca="false">IF($C104="","",Controls!$B$7)</f>
        <v>PCGH</v>
      </c>
      <c r="B104" s="1" t="str">
        <f aca="false">IF($H104="","",YEAR($H104)&amp;"-Q"&amp;ROUNDUP(MONTH($H104)/3,0))</f>
        <v>2026-Q2</v>
      </c>
      <c r="C104" s="1" t="s">
        <v>903</v>
      </c>
      <c r="D104" s="1" t="s">
        <v>904</v>
      </c>
      <c r="E104" s="1" t="n">
        <v>14740</v>
      </c>
      <c r="F104" s="1" t="n">
        <v>43730</v>
      </c>
      <c r="G104" s="1" t="s">
        <v>869</v>
      </c>
      <c r="H104" s="140" t="n">
        <v>46135</v>
      </c>
      <c r="I104" s="1" t="n">
        <v>1260</v>
      </c>
      <c r="J104" s="1" t="s">
        <v>1029</v>
      </c>
      <c r="K104" s="1" t="s">
        <v>916</v>
      </c>
      <c r="L104" s="1" t="n">
        <v>5200</v>
      </c>
      <c r="N104" s="1" t="s">
        <v>1033</v>
      </c>
      <c r="P104" s="1" t="n">
        <v>24212.54</v>
      </c>
      <c r="S104" s="1" t="str">
        <f aca="false">IF($C104="","",$C104&amp;"|"&amp;$E104&amp;"|"&amp;$F104&amp;"|"&amp;$L104&amp;"|"&amp;$P104&amp;"|"&amp;TEXT($H104,"yyyy-mm-dd"))</f>
        <v>PCGH780|14740|43730|5200|24212.54|2026-04-23</v>
      </c>
      <c r="T104" s="1" t="str">
        <f aca="false">IF($S104="","",IF(COUNTIF($S$2:$S$2991,$S104)&gt;1,"DUPLICATE","OK"))</f>
        <v>OK</v>
      </c>
      <c r="U104" s="0" t="str">
        <f aca="false">IF($L104="","",IFERROR(VLOOKUP(--$L104,MM_Income!$Z$5:$AC$204,3,FALSE()),"UNMAPPED"))</f>
        <v>Recoverable</v>
      </c>
    </row>
    <row r="105" customFormat="false" ht="13.5" hidden="false" customHeight="false" outlineLevel="0" collapsed="false">
      <c r="A105" s="1" t="str">
        <f aca="false">IF($C105="","",Controls!$B$7)</f>
        <v>PCGH</v>
      </c>
      <c r="B105" s="1" t="str">
        <f aca="false">IF($H105="","",YEAR($H105)&amp;"-Q"&amp;ROUNDUP(MONTH($H105)/3,0))</f>
        <v>2026-Q2</v>
      </c>
      <c r="C105" s="1" t="s">
        <v>895</v>
      </c>
      <c r="D105" s="1" t="s">
        <v>896</v>
      </c>
      <c r="E105" s="1" t="n">
        <v>14741</v>
      </c>
      <c r="F105" s="1" t="n">
        <v>43731</v>
      </c>
      <c r="G105" s="1" t="s">
        <v>869</v>
      </c>
      <c r="H105" s="140" t="n">
        <v>46133</v>
      </c>
      <c r="I105" s="1" t="n">
        <v>1260</v>
      </c>
      <c r="J105" s="1" t="s">
        <v>1029</v>
      </c>
      <c r="K105" s="1" t="s">
        <v>916</v>
      </c>
      <c r="L105" s="1" t="n">
        <v>5200</v>
      </c>
      <c r="N105" s="1" t="s">
        <v>1034</v>
      </c>
      <c r="P105" s="1" t="n">
        <v>19424.89</v>
      </c>
      <c r="S105" s="1" t="str">
        <f aca="false">IF($C105="","",$C105&amp;"|"&amp;$E105&amp;"|"&amp;$F105&amp;"|"&amp;$L105&amp;"|"&amp;$P105&amp;"|"&amp;TEXT($H105,"yyyy-mm-dd"))</f>
        <v>PCGH778|14741|43731|5200|19424.89|2026-04-21</v>
      </c>
      <c r="T105" s="1" t="str">
        <f aca="false">IF($S105="","",IF(COUNTIF($S$2:$S$2991,$S105)&gt;1,"DUPLICATE","OK"))</f>
        <v>OK</v>
      </c>
      <c r="U105" s="0" t="str">
        <f aca="false">IF($L105="","",IFERROR(VLOOKUP(--$L105,MM_Income!$Z$5:$AC$204,3,FALSE()),"UNMAPPED"))</f>
        <v>Recoverable</v>
      </c>
    </row>
    <row r="106" customFormat="false" ht="13.5" hidden="false" customHeight="false" outlineLevel="0" collapsed="false">
      <c r="A106" s="1" t="str">
        <f aca="false">IF($C106="","",Controls!$B$7)</f>
        <v>PCGH</v>
      </c>
      <c r="B106" s="1" t="str">
        <f aca="false">IF($H106="","",YEAR($H106)&amp;"-Q"&amp;ROUNDUP(MONTH($H106)/3,0))</f>
        <v>2026-Q2</v>
      </c>
      <c r="C106" s="1" t="s">
        <v>899</v>
      </c>
      <c r="D106" s="1" t="s">
        <v>900</v>
      </c>
      <c r="E106" s="1" t="n">
        <v>14742</v>
      </c>
      <c r="F106" s="1" t="n">
        <v>43732</v>
      </c>
      <c r="G106" s="1" t="s">
        <v>869</v>
      </c>
      <c r="H106" s="140" t="n">
        <v>46120</v>
      </c>
      <c r="I106" s="1" t="n">
        <v>1260</v>
      </c>
      <c r="J106" s="1" t="s">
        <v>1035</v>
      </c>
      <c r="K106" s="1" t="s">
        <v>849</v>
      </c>
      <c r="L106" s="1" t="n">
        <v>5200</v>
      </c>
      <c r="N106" s="1" t="s">
        <v>1036</v>
      </c>
      <c r="P106" s="1" t="n">
        <v>415</v>
      </c>
      <c r="S106" s="1" t="str">
        <f aca="false">IF($C106="","",$C106&amp;"|"&amp;$E106&amp;"|"&amp;$F106&amp;"|"&amp;$L106&amp;"|"&amp;$P106&amp;"|"&amp;TEXT($H106,"yyyy-mm-dd"))</f>
        <v>PCGH762|14742|43732|5200|415|2026-04-08</v>
      </c>
      <c r="T106" s="1" t="str">
        <f aca="false">IF($S106="","",IF(COUNTIF($S$2:$S$2991,$S106)&gt;1,"DUPLICATE","OK"))</f>
        <v>OK</v>
      </c>
      <c r="U106" s="0" t="str">
        <f aca="false">IF($L106="","",IFERROR(VLOOKUP(--$L106,MM_Income!$Z$5:$AC$204,3,FALSE()),"UNMAPPED"))</f>
        <v>Recoverable</v>
      </c>
    </row>
    <row r="107" customFormat="false" ht="13.5" hidden="false" customHeight="false" outlineLevel="0" collapsed="false">
      <c r="A107" s="1" t="str">
        <f aca="false">IF($C107="","",Controls!$B$7)</f>
        <v>PCGH</v>
      </c>
      <c r="B107" s="1" t="str">
        <f aca="false">IF($H107="","",YEAR($H107)&amp;"-Q"&amp;ROUNDUP(MONTH($H107)/3,0))</f>
        <v>2026-Q2</v>
      </c>
      <c r="C107" s="1" t="s">
        <v>899</v>
      </c>
      <c r="D107" s="1" t="s">
        <v>900</v>
      </c>
      <c r="E107" s="1" t="n">
        <v>14743</v>
      </c>
      <c r="F107" s="1" t="n">
        <v>43733</v>
      </c>
      <c r="G107" s="1" t="s">
        <v>869</v>
      </c>
      <c r="H107" s="140" t="n">
        <v>46120</v>
      </c>
      <c r="I107" s="1" t="n">
        <v>1260</v>
      </c>
      <c r="J107" s="1" t="s">
        <v>1035</v>
      </c>
      <c r="K107" s="1" t="s">
        <v>849</v>
      </c>
      <c r="L107" s="1" t="n">
        <v>5200</v>
      </c>
      <c r="N107" s="1" t="s">
        <v>1037</v>
      </c>
      <c r="P107" s="1" t="n">
        <v>757.51</v>
      </c>
      <c r="S107" s="1" t="str">
        <f aca="false">IF($C107="","",$C107&amp;"|"&amp;$E107&amp;"|"&amp;$F107&amp;"|"&amp;$L107&amp;"|"&amp;$P107&amp;"|"&amp;TEXT($H107,"yyyy-mm-dd"))</f>
        <v>PCGH762|14743|43733|5200|757.51|2026-04-08</v>
      </c>
      <c r="T107" s="1" t="str">
        <f aca="false">IF($S107="","",IF(COUNTIF($S$2:$S$2991,$S107)&gt;1,"DUPLICATE","OK"))</f>
        <v>OK</v>
      </c>
      <c r="U107" s="0" t="str">
        <f aca="false">IF($L107="","",IFERROR(VLOOKUP(--$L107,MM_Income!$Z$5:$AC$204,3,FALSE()),"UNMAPPED"))</f>
        <v>Recoverable</v>
      </c>
    </row>
    <row r="108" customFormat="false" ht="13.5" hidden="false" customHeight="false" outlineLevel="0" collapsed="false">
      <c r="A108" s="1" t="str">
        <f aca="false">IF($C108="","",Controls!$B$7)</f>
        <v>PCGH</v>
      </c>
      <c r="B108" s="1" t="str">
        <f aca="false">IF($H108="","",YEAR($H108)&amp;"-Q"&amp;ROUNDUP(MONTH($H108)/3,0))</f>
        <v>2026-Q2</v>
      </c>
      <c r="C108" s="1" t="s">
        <v>899</v>
      </c>
      <c r="D108" s="1" t="s">
        <v>900</v>
      </c>
      <c r="E108" s="1" t="n">
        <v>14744</v>
      </c>
      <c r="F108" s="1" t="n">
        <v>43734</v>
      </c>
      <c r="G108" s="1" t="s">
        <v>869</v>
      </c>
      <c r="H108" s="140" t="n">
        <v>46119</v>
      </c>
      <c r="I108" s="1" t="n">
        <v>1260</v>
      </c>
      <c r="J108" s="1" t="s">
        <v>1035</v>
      </c>
      <c r="K108" s="1" t="s">
        <v>849</v>
      </c>
      <c r="L108" s="1" t="n">
        <v>5200</v>
      </c>
      <c r="N108" s="1" t="s">
        <v>1038</v>
      </c>
      <c r="P108" s="1" t="n">
        <v>6787.3</v>
      </c>
      <c r="S108" s="1" t="str">
        <f aca="false">IF($C108="","",$C108&amp;"|"&amp;$E108&amp;"|"&amp;$F108&amp;"|"&amp;$L108&amp;"|"&amp;$P108&amp;"|"&amp;TEXT($H108,"yyyy-mm-dd"))</f>
        <v>PCGH762|14744|43734|5200|6787.3|2026-04-07</v>
      </c>
      <c r="T108" s="1" t="str">
        <f aca="false">IF($S108="","",IF(COUNTIF($S$2:$S$2991,$S108)&gt;1,"DUPLICATE","OK"))</f>
        <v>OK</v>
      </c>
      <c r="U108" s="0" t="str">
        <f aca="false">IF($L108="","",IFERROR(VLOOKUP(--$L108,MM_Income!$Z$5:$AC$204,3,FALSE()),"UNMAPPED"))</f>
        <v>Recoverable</v>
      </c>
    </row>
    <row r="109" customFormat="false" ht="13.5" hidden="false" customHeight="false" outlineLevel="0" collapsed="false">
      <c r="A109" s="1" t="str">
        <f aca="false">IF($C109="","",Controls!$B$7)</f>
        <v>PCGH</v>
      </c>
      <c r="B109" s="1" t="str">
        <f aca="false">IF($H109="","",YEAR($H109)&amp;"-Q"&amp;ROUNDUP(MONTH($H109)/3,0))</f>
        <v>2026-Q2</v>
      </c>
      <c r="C109" s="1" t="s">
        <v>899</v>
      </c>
      <c r="D109" s="1" t="s">
        <v>900</v>
      </c>
      <c r="E109" s="1" t="n">
        <v>14745</v>
      </c>
      <c r="F109" s="1" t="n">
        <v>43735</v>
      </c>
      <c r="G109" s="1" t="s">
        <v>869</v>
      </c>
      <c r="H109" s="140" t="n">
        <v>46118</v>
      </c>
      <c r="I109" s="1" t="n">
        <v>1260</v>
      </c>
      <c r="J109" s="1" t="s">
        <v>1035</v>
      </c>
      <c r="K109" s="1" t="s">
        <v>849</v>
      </c>
      <c r="L109" s="1" t="n">
        <v>5200</v>
      </c>
      <c r="N109" s="1" t="s">
        <v>1039</v>
      </c>
      <c r="P109" s="1" t="n">
        <v>47.94</v>
      </c>
      <c r="S109" s="1" t="str">
        <f aca="false">IF($C109="","",$C109&amp;"|"&amp;$E109&amp;"|"&amp;$F109&amp;"|"&amp;$L109&amp;"|"&amp;$P109&amp;"|"&amp;TEXT($H109,"yyyy-mm-dd"))</f>
        <v>PCGH762|14745|43735|5200|47.94|2026-04-06</v>
      </c>
      <c r="T109" s="1" t="str">
        <f aca="false">IF($S109="","",IF(COUNTIF($S$2:$S$2991,$S109)&gt;1,"DUPLICATE","OK"))</f>
        <v>OK</v>
      </c>
      <c r="U109" s="0" t="str">
        <f aca="false">IF($L109="","",IFERROR(VLOOKUP(--$L109,MM_Income!$Z$5:$AC$204,3,FALSE()),"UNMAPPED"))</f>
        <v>Recoverable</v>
      </c>
    </row>
    <row r="110" customFormat="false" ht="13.5" hidden="false" customHeight="false" outlineLevel="0" collapsed="false">
      <c r="A110" s="1" t="str">
        <f aca="false">IF($C110="","",Controls!$B$7)</f>
        <v>PCGH</v>
      </c>
      <c r="B110" s="1" t="str">
        <f aca="false">IF($H110="","",YEAR($H110)&amp;"-Q"&amp;ROUNDUP(MONTH($H110)/3,0))</f>
        <v>2026-Q2</v>
      </c>
      <c r="C110" s="1" t="s">
        <v>899</v>
      </c>
      <c r="D110" s="1" t="s">
        <v>900</v>
      </c>
      <c r="E110" s="1" t="n">
        <v>14746</v>
      </c>
      <c r="F110" s="1" t="n">
        <v>43736</v>
      </c>
      <c r="G110" s="1" t="s">
        <v>869</v>
      </c>
      <c r="H110" s="140" t="n">
        <v>46113</v>
      </c>
      <c r="I110" s="1" t="n">
        <v>1260</v>
      </c>
      <c r="J110" s="1" t="s">
        <v>1035</v>
      </c>
      <c r="K110" s="1" t="s">
        <v>849</v>
      </c>
      <c r="L110" s="1" t="n">
        <v>5200</v>
      </c>
      <c r="N110" s="1" t="s">
        <v>1040</v>
      </c>
      <c r="P110" s="1" t="n">
        <v>925.01</v>
      </c>
      <c r="S110" s="1" t="str">
        <f aca="false">IF($C110="","",$C110&amp;"|"&amp;$E110&amp;"|"&amp;$F110&amp;"|"&amp;$L110&amp;"|"&amp;$P110&amp;"|"&amp;TEXT($H110,"yyyy-mm-dd"))</f>
        <v>PCGH762|14746|43736|5200|925.01|2026-04-01</v>
      </c>
      <c r="T110" s="1" t="str">
        <f aca="false">IF($S110="","",IF(COUNTIF($S$2:$S$2991,$S110)&gt;1,"DUPLICATE","OK"))</f>
        <v>OK</v>
      </c>
      <c r="U110" s="0" t="str">
        <f aca="false">IF($L110="","",IFERROR(VLOOKUP(--$L110,MM_Income!$Z$5:$AC$204,3,FALSE()),"UNMAPPED"))</f>
        <v>Recoverable</v>
      </c>
    </row>
    <row r="111" customFormat="false" ht="13.5" hidden="false" customHeight="false" outlineLevel="0" collapsed="false">
      <c r="A111" s="1" t="str">
        <f aca="false">IF($C111="","",Controls!$B$7)</f>
        <v>PCGH</v>
      </c>
      <c r="B111" s="1" t="str">
        <f aca="false">IF($H111="","",YEAR($H111)&amp;"-Q"&amp;ROUNDUP(MONTH($H111)/3,0))</f>
        <v>2026-Q2</v>
      </c>
      <c r="C111" s="1" t="s">
        <v>899</v>
      </c>
      <c r="D111" s="1" t="s">
        <v>900</v>
      </c>
      <c r="E111" s="1" t="n">
        <v>14747</v>
      </c>
      <c r="F111" s="1" t="n">
        <v>43737</v>
      </c>
      <c r="G111" s="1" t="s">
        <v>869</v>
      </c>
      <c r="H111" s="140" t="n">
        <v>46113</v>
      </c>
      <c r="I111" s="1" t="n">
        <v>1260</v>
      </c>
      <c r="J111" s="1" t="s">
        <v>1035</v>
      </c>
      <c r="K111" s="1" t="s">
        <v>849</v>
      </c>
      <c r="L111" s="1" t="n">
        <v>5200</v>
      </c>
      <c r="N111" s="1" t="s">
        <v>1041</v>
      </c>
      <c r="P111" s="1" t="n">
        <v>4334.83</v>
      </c>
      <c r="S111" s="1" t="str">
        <f aca="false">IF($C111="","",$C111&amp;"|"&amp;$E111&amp;"|"&amp;$F111&amp;"|"&amp;$L111&amp;"|"&amp;$P111&amp;"|"&amp;TEXT($H111,"yyyy-mm-dd"))</f>
        <v>PCGH762|14747|43737|5200|4334.83|2026-04-01</v>
      </c>
      <c r="T111" s="1" t="str">
        <f aca="false">IF($S111="","",IF(COUNTIF($S$2:$S$2991,$S111)&gt;1,"DUPLICATE","OK"))</f>
        <v>OK</v>
      </c>
      <c r="U111" s="0" t="str">
        <f aca="false">IF($L111="","",IFERROR(VLOOKUP(--$L111,MM_Income!$Z$5:$AC$204,3,FALSE()),"UNMAPPED"))</f>
        <v>Recoverable</v>
      </c>
    </row>
    <row r="112" customFormat="false" ht="13.5" hidden="false" customHeight="false" outlineLevel="0" collapsed="false">
      <c r="A112" s="1" t="str">
        <f aca="false">IF($C112="","",Controls!$B$7)</f>
        <v>PCGH</v>
      </c>
      <c r="B112" s="1" t="str">
        <f aca="false">IF($H112="","",YEAR($H112)&amp;"-Q"&amp;ROUNDUP(MONTH($H112)/3,0))</f>
        <v>2026-Q2</v>
      </c>
      <c r="C112" s="1" t="s">
        <v>925</v>
      </c>
      <c r="D112" s="1" t="s">
        <v>926</v>
      </c>
      <c r="E112" s="1" t="n">
        <v>14748</v>
      </c>
      <c r="F112" s="1" t="n">
        <v>43739</v>
      </c>
      <c r="G112" s="1" t="s">
        <v>869</v>
      </c>
      <c r="H112" s="140" t="n">
        <v>46113</v>
      </c>
      <c r="I112" s="1" t="n">
        <v>1260</v>
      </c>
      <c r="J112" s="1" t="s">
        <v>1035</v>
      </c>
      <c r="K112" s="1" t="s">
        <v>849</v>
      </c>
      <c r="L112" s="1" t="n">
        <v>5200</v>
      </c>
      <c r="N112" s="1" t="s">
        <v>1042</v>
      </c>
      <c r="P112" s="1" t="n">
        <v>200</v>
      </c>
      <c r="S112" s="1" t="str">
        <f aca="false">IF($C112="","",$C112&amp;"|"&amp;$E112&amp;"|"&amp;$F112&amp;"|"&amp;$L112&amp;"|"&amp;$P112&amp;"|"&amp;TEXT($H112,"yyyy-mm-dd"))</f>
        <v>PCGH786|14748|43739|5200|200|2026-04-01</v>
      </c>
      <c r="T112" s="1" t="str">
        <f aca="false">IF($S112="","",IF(COUNTIF($S$2:$S$2991,$S112)&gt;1,"DUPLICATE","OK"))</f>
        <v>OK</v>
      </c>
      <c r="U112" s="0" t="str">
        <f aca="false">IF($L112="","",IFERROR(VLOOKUP(--$L112,MM_Income!$Z$5:$AC$204,3,FALSE()),"UNMAPPED"))</f>
        <v>Recoverable</v>
      </c>
    </row>
    <row r="113" customFormat="false" ht="13.5" hidden="false" customHeight="false" outlineLevel="0" collapsed="false">
      <c r="A113" s="1" t="str">
        <f aca="false">IF($C113="","",Controls!$B$7)</f>
        <v>PCGH</v>
      </c>
      <c r="B113" s="1" t="str">
        <f aca="false">IF($H113="","",YEAR($H113)&amp;"-Q"&amp;ROUNDUP(MONTH($H113)/3,0))</f>
        <v>2026-Q2</v>
      </c>
      <c r="C113" s="1" t="s">
        <v>925</v>
      </c>
      <c r="D113" s="1" t="s">
        <v>926</v>
      </c>
      <c r="E113" s="1" t="n">
        <v>14749</v>
      </c>
      <c r="F113" s="1" t="n">
        <v>43740</v>
      </c>
      <c r="G113" s="1" t="s">
        <v>869</v>
      </c>
      <c r="H113" s="140" t="n">
        <v>46113</v>
      </c>
      <c r="I113" s="1" t="n">
        <v>1260</v>
      </c>
      <c r="J113" s="1" t="s">
        <v>1035</v>
      </c>
      <c r="K113" s="1" t="s">
        <v>849</v>
      </c>
      <c r="L113" s="1" t="n">
        <v>5200</v>
      </c>
      <c r="N113" s="1" t="s">
        <v>1043</v>
      </c>
      <c r="P113" s="1" t="n">
        <v>200</v>
      </c>
      <c r="S113" s="1" t="str">
        <f aca="false">IF($C113="","",$C113&amp;"|"&amp;$E113&amp;"|"&amp;$F113&amp;"|"&amp;$L113&amp;"|"&amp;$P113&amp;"|"&amp;TEXT($H113,"yyyy-mm-dd"))</f>
        <v>PCGH786|14749|43740|5200|200|2026-04-01</v>
      </c>
      <c r="T113" s="1" t="str">
        <f aca="false">IF($S113="","",IF(COUNTIF($S$2:$S$2991,$S113)&gt;1,"DUPLICATE","OK"))</f>
        <v>OK</v>
      </c>
      <c r="U113" s="0" t="str">
        <f aca="false">IF($L113="","",IFERROR(VLOOKUP(--$L113,MM_Income!$Z$5:$AC$204,3,FALSE()),"UNMAPPED"))</f>
        <v>Recoverable</v>
      </c>
    </row>
    <row r="114" customFormat="false" ht="13.5" hidden="false" customHeight="false" outlineLevel="0" collapsed="false">
      <c r="A114" s="1" t="str">
        <f aca="false">IF($C114="","",Controls!$B$7)</f>
        <v>PCGH</v>
      </c>
      <c r="B114" s="1" t="str">
        <f aca="false">IF($H114="","",YEAR($H114)&amp;"-Q"&amp;ROUNDUP(MONTH($H114)/3,0))</f>
        <v>2026-Q2</v>
      </c>
      <c r="C114" s="1" t="s">
        <v>925</v>
      </c>
      <c r="D114" s="1" t="s">
        <v>926</v>
      </c>
      <c r="E114" s="1" t="n">
        <v>14750</v>
      </c>
      <c r="F114" s="1" t="n">
        <v>43741</v>
      </c>
      <c r="G114" s="1" t="s">
        <v>869</v>
      </c>
      <c r="H114" s="140" t="n">
        <v>46113</v>
      </c>
      <c r="I114" s="1" t="n">
        <v>1260</v>
      </c>
      <c r="J114" s="1" t="s">
        <v>1035</v>
      </c>
      <c r="K114" s="1" t="s">
        <v>849</v>
      </c>
      <c r="L114" s="1" t="n">
        <v>5200</v>
      </c>
      <c r="N114" s="1" t="s">
        <v>1044</v>
      </c>
      <c r="P114" s="1" t="n">
        <v>87</v>
      </c>
      <c r="S114" s="1" t="str">
        <f aca="false">IF($C114="","",$C114&amp;"|"&amp;$E114&amp;"|"&amp;$F114&amp;"|"&amp;$L114&amp;"|"&amp;$P114&amp;"|"&amp;TEXT($H114,"yyyy-mm-dd"))</f>
        <v>PCGH786|14750|43741|5200|87|2026-04-01</v>
      </c>
      <c r="T114" s="1" t="str">
        <f aca="false">IF($S114="","",IF(COUNTIF($S$2:$S$2991,$S114)&gt;1,"DUPLICATE","OK"))</f>
        <v>OK</v>
      </c>
      <c r="U114" s="0" t="str">
        <f aca="false">IF($L114="","",IFERROR(VLOOKUP(--$L114,MM_Income!$Z$5:$AC$204,3,FALSE()),"UNMAPPED"))</f>
        <v>Recoverable</v>
      </c>
    </row>
    <row r="115" customFormat="false" ht="13.5" hidden="false" customHeight="false" outlineLevel="0" collapsed="false">
      <c r="A115" s="1" t="str">
        <f aca="false">IF($C115="","",Controls!$B$7)</f>
        <v>PCGH</v>
      </c>
      <c r="B115" s="1" t="str">
        <f aca="false">IF($H115="","",YEAR($H115)&amp;"-Q"&amp;ROUNDUP(MONTH($H115)/3,0))</f>
        <v>2026-Q2</v>
      </c>
      <c r="C115" s="1" t="s">
        <v>925</v>
      </c>
      <c r="D115" s="1" t="s">
        <v>926</v>
      </c>
      <c r="E115" s="1" t="n">
        <v>14751</v>
      </c>
      <c r="F115" s="1" t="n">
        <v>43742</v>
      </c>
      <c r="G115" s="1" t="s">
        <v>869</v>
      </c>
      <c r="H115" s="140" t="n">
        <v>46113</v>
      </c>
      <c r="I115" s="1" t="n">
        <v>1260</v>
      </c>
      <c r="J115" s="1" t="s">
        <v>1035</v>
      </c>
      <c r="K115" s="1" t="s">
        <v>849</v>
      </c>
      <c r="L115" s="1" t="n">
        <v>5200</v>
      </c>
      <c r="N115" s="1" t="s">
        <v>1045</v>
      </c>
      <c r="P115" s="1" t="n">
        <v>77</v>
      </c>
      <c r="S115" s="1" t="str">
        <f aca="false">IF($C115="","",$C115&amp;"|"&amp;$E115&amp;"|"&amp;$F115&amp;"|"&amp;$L115&amp;"|"&amp;$P115&amp;"|"&amp;TEXT($H115,"yyyy-mm-dd"))</f>
        <v>PCGH786|14751|43742|5200|77|2026-04-01</v>
      </c>
      <c r="T115" s="1" t="str">
        <f aca="false">IF($S115="","",IF(COUNTIF($S$2:$S$2991,$S115)&gt;1,"DUPLICATE","OK"))</f>
        <v>OK</v>
      </c>
      <c r="U115" s="0" t="str">
        <f aca="false">IF($L115="","",IFERROR(VLOOKUP(--$L115,MM_Income!$Z$5:$AC$204,3,FALSE()),"UNMAPPED"))</f>
        <v>Recoverable</v>
      </c>
    </row>
    <row r="116" customFormat="false" ht="13.5" hidden="false" customHeight="false" outlineLevel="0" collapsed="false">
      <c r="A116" s="1" t="str">
        <f aca="false">IF($C116="","",Controls!$B$7)</f>
        <v>PCGH</v>
      </c>
      <c r="B116" s="1" t="str">
        <f aca="false">IF($H116="","",YEAR($H116)&amp;"-Q"&amp;ROUNDUP(MONTH($H116)/3,0))</f>
        <v>2026-Q2</v>
      </c>
      <c r="C116" s="1" t="s">
        <v>925</v>
      </c>
      <c r="D116" s="1" t="s">
        <v>926</v>
      </c>
      <c r="E116" s="1" t="n">
        <v>14752</v>
      </c>
      <c r="F116" s="1" t="n">
        <v>43743</v>
      </c>
      <c r="G116" s="1" t="s">
        <v>869</v>
      </c>
      <c r="H116" s="140" t="n">
        <v>46113</v>
      </c>
      <c r="I116" s="1" t="n">
        <v>1260</v>
      </c>
      <c r="J116" s="1" t="s">
        <v>1035</v>
      </c>
      <c r="K116" s="1" t="s">
        <v>849</v>
      </c>
      <c r="L116" s="1" t="n">
        <v>5200</v>
      </c>
      <c r="N116" s="1" t="s">
        <v>1046</v>
      </c>
      <c r="P116" s="1" t="n">
        <v>66</v>
      </c>
      <c r="S116" s="1" t="str">
        <f aca="false">IF($C116="","",$C116&amp;"|"&amp;$E116&amp;"|"&amp;$F116&amp;"|"&amp;$L116&amp;"|"&amp;$P116&amp;"|"&amp;TEXT($H116,"yyyy-mm-dd"))</f>
        <v>PCGH786|14752|43743|5200|66|2026-04-01</v>
      </c>
      <c r="T116" s="1" t="str">
        <f aca="false">IF($S116="","",IF(COUNTIF($S$2:$S$2991,$S116)&gt;1,"DUPLICATE","OK"))</f>
        <v>OK</v>
      </c>
      <c r="U116" s="0" t="str">
        <f aca="false">IF($L116="","",IFERROR(VLOOKUP(--$L116,MM_Income!$Z$5:$AC$204,3,FALSE()),"UNMAPPED"))</f>
        <v>Recoverable</v>
      </c>
    </row>
    <row r="117" customFormat="false" ht="13.5" hidden="false" customHeight="false" outlineLevel="0" collapsed="false">
      <c r="A117" s="1" t="str">
        <f aca="false">IF($C117="","",Controls!$B$7)</f>
        <v>PCGH</v>
      </c>
      <c r="B117" s="1" t="str">
        <f aca="false">IF($H117="","",YEAR($H117)&amp;"-Q"&amp;ROUNDUP(MONTH($H117)/3,0))</f>
        <v>2026-Q2</v>
      </c>
      <c r="C117" s="1" t="s">
        <v>899</v>
      </c>
      <c r="D117" s="1" t="s">
        <v>900</v>
      </c>
      <c r="E117" s="1" t="n">
        <v>14753</v>
      </c>
      <c r="F117" s="1" t="n">
        <v>43744</v>
      </c>
      <c r="G117" s="1" t="s">
        <v>869</v>
      </c>
      <c r="H117" s="140" t="n">
        <v>46113</v>
      </c>
      <c r="I117" s="1" t="n">
        <v>1260</v>
      </c>
      <c r="J117" s="1" t="s">
        <v>1035</v>
      </c>
      <c r="K117" s="1" t="s">
        <v>849</v>
      </c>
      <c r="L117" s="1" t="n">
        <v>5200</v>
      </c>
      <c r="N117" s="1" t="s">
        <v>1047</v>
      </c>
      <c r="P117" s="1" t="n">
        <v>81</v>
      </c>
      <c r="S117" s="1" t="str">
        <f aca="false">IF($C117="","",$C117&amp;"|"&amp;$E117&amp;"|"&amp;$F117&amp;"|"&amp;$L117&amp;"|"&amp;$P117&amp;"|"&amp;TEXT($H117,"yyyy-mm-dd"))</f>
        <v>PCGH762|14753|43744|5200|81|2026-04-01</v>
      </c>
      <c r="T117" s="1" t="str">
        <f aca="false">IF($S117="","",IF(COUNTIF($S$2:$S$2991,$S117)&gt;1,"DUPLICATE","OK"))</f>
        <v>OK</v>
      </c>
      <c r="U117" s="0" t="str">
        <f aca="false">IF($L117="","",IFERROR(VLOOKUP(--$L117,MM_Income!$Z$5:$AC$204,3,FALSE()),"UNMAPPED"))</f>
        <v>Recoverable</v>
      </c>
    </row>
    <row r="118" customFormat="false" ht="13.5" hidden="false" customHeight="false" outlineLevel="0" collapsed="false">
      <c r="A118" s="1" t="str">
        <f aca="false">IF($C118="","",Controls!$B$7)</f>
        <v>PCGH</v>
      </c>
      <c r="B118" s="1" t="str">
        <f aca="false">IF($H118="","",YEAR($H118)&amp;"-Q"&amp;ROUNDUP(MONTH($H118)/3,0))</f>
        <v>2026-Q2</v>
      </c>
      <c r="C118" s="1" t="s">
        <v>838</v>
      </c>
      <c r="D118" s="1" t="s">
        <v>839</v>
      </c>
      <c r="E118" s="1" t="n">
        <v>14754</v>
      </c>
      <c r="F118" s="1" t="n">
        <v>43745</v>
      </c>
      <c r="G118" s="1" t="s">
        <v>869</v>
      </c>
      <c r="H118" s="140" t="n">
        <v>46137</v>
      </c>
      <c r="I118" s="1" t="n">
        <v>1260</v>
      </c>
      <c r="J118" s="1" t="s">
        <v>1048</v>
      </c>
      <c r="K118" s="1" t="s">
        <v>968</v>
      </c>
      <c r="L118" s="1" t="n">
        <v>5200</v>
      </c>
      <c r="N118" s="1" t="s">
        <v>1049</v>
      </c>
      <c r="P118" s="1" t="n">
        <v>434.83</v>
      </c>
      <c r="S118" s="1" t="str">
        <f aca="false">IF($C118="","",$C118&amp;"|"&amp;$E118&amp;"|"&amp;$F118&amp;"|"&amp;$L118&amp;"|"&amp;$P118&amp;"|"&amp;TEXT($H118,"yyyy-mm-dd"))</f>
        <v>PCGH774|14754|43745|5200|434.83|2026-04-25</v>
      </c>
      <c r="T118" s="1" t="str">
        <f aca="false">IF($S118="","",IF(COUNTIF($S$2:$S$2991,$S118)&gt;1,"DUPLICATE","OK"))</f>
        <v>OK</v>
      </c>
      <c r="U118" s="0" t="str">
        <f aca="false">IF($L118="","",IFERROR(VLOOKUP(--$L118,MM_Income!$Z$5:$AC$204,3,FALSE()),"UNMAPPED"))</f>
        <v>Recoverable</v>
      </c>
    </row>
    <row r="119" customFormat="false" ht="13.5" hidden="false" customHeight="false" outlineLevel="0" collapsed="false">
      <c r="A119" s="1" t="str">
        <f aca="false">IF($C119="","",Controls!$B$7)</f>
        <v>PCGH</v>
      </c>
      <c r="B119" s="1" t="str">
        <f aca="false">IF($H119="","",YEAR($H119)&amp;"-Q"&amp;ROUNDUP(MONTH($H119)/3,0))</f>
        <v>2026-Q2</v>
      </c>
      <c r="C119" s="1" t="s">
        <v>838</v>
      </c>
      <c r="D119" s="1" t="s">
        <v>839</v>
      </c>
      <c r="E119" s="1" t="n">
        <v>14755</v>
      </c>
      <c r="F119" s="1" t="n">
        <v>43746</v>
      </c>
      <c r="G119" s="1" t="s">
        <v>869</v>
      </c>
      <c r="H119" s="140" t="n">
        <v>46137</v>
      </c>
      <c r="I119" s="1" t="n">
        <v>1260</v>
      </c>
      <c r="J119" s="1" t="s">
        <v>1048</v>
      </c>
      <c r="K119" s="1" t="s">
        <v>968</v>
      </c>
      <c r="L119" s="1" t="n">
        <v>5200</v>
      </c>
      <c r="N119" s="1" t="s">
        <v>1050</v>
      </c>
      <c r="P119" s="1" t="n">
        <v>102</v>
      </c>
      <c r="S119" s="1" t="str">
        <f aca="false">IF($C119="","",$C119&amp;"|"&amp;$E119&amp;"|"&amp;$F119&amp;"|"&amp;$L119&amp;"|"&amp;$P119&amp;"|"&amp;TEXT($H119,"yyyy-mm-dd"))</f>
        <v>PCGH774|14755|43746|5200|102|2026-04-25</v>
      </c>
      <c r="T119" s="1" t="str">
        <f aca="false">IF($S119="","",IF(COUNTIF($S$2:$S$2991,$S119)&gt;1,"DUPLICATE","OK"))</f>
        <v>OK</v>
      </c>
      <c r="U119" s="0" t="str">
        <f aca="false">IF($L119="","",IFERROR(VLOOKUP(--$L119,MM_Income!$Z$5:$AC$204,3,FALSE()),"UNMAPPED"))</f>
        <v>Recoverable</v>
      </c>
    </row>
    <row r="120" customFormat="false" ht="13.5" hidden="false" customHeight="false" outlineLevel="0" collapsed="false">
      <c r="A120" s="1" t="str">
        <f aca="false">IF($C120="","",Controls!$B$7)</f>
        <v>PCGH</v>
      </c>
      <c r="B120" s="1" t="str">
        <f aca="false">IF($H120="","",YEAR($H120)&amp;"-Q"&amp;ROUNDUP(MONTH($H120)/3,0))</f>
        <v>2026-Q2</v>
      </c>
      <c r="C120" s="1" t="s">
        <v>838</v>
      </c>
      <c r="D120" s="1" t="s">
        <v>839</v>
      </c>
      <c r="E120" s="1" t="n">
        <v>14756</v>
      </c>
      <c r="F120" s="1" t="n">
        <v>43747</v>
      </c>
      <c r="G120" s="1" t="s">
        <v>869</v>
      </c>
      <c r="H120" s="140" t="n">
        <v>46136</v>
      </c>
      <c r="I120" s="1" t="n">
        <v>1260</v>
      </c>
      <c r="J120" s="1" t="s">
        <v>1048</v>
      </c>
      <c r="K120" s="1" t="s">
        <v>968</v>
      </c>
      <c r="L120" s="1" t="n">
        <v>5200</v>
      </c>
      <c r="N120" s="1" t="s">
        <v>1051</v>
      </c>
      <c r="P120" s="1" t="n">
        <v>261.36</v>
      </c>
      <c r="S120" s="1" t="str">
        <f aca="false">IF($C120="","",$C120&amp;"|"&amp;$E120&amp;"|"&amp;$F120&amp;"|"&amp;$L120&amp;"|"&amp;$P120&amp;"|"&amp;TEXT($H120,"yyyy-mm-dd"))</f>
        <v>PCGH774|14756|43747|5200|261.36|2026-04-24</v>
      </c>
      <c r="T120" s="1" t="str">
        <f aca="false">IF($S120="","",IF(COUNTIF($S$2:$S$2991,$S120)&gt;1,"DUPLICATE","OK"))</f>
        <v>OK</v>
      </c>
      <c r="U120" s="0" t="str">
        <f aca="false">IF($L120="","",IFERROR(VLOOKUP(--$L120,MM_Income!$Z$5:$AC$204,3,FALSE()),"UNMAPPED"))</f>
        <v>Recoverable</v>
      </c>
    </row>
    <row r="121" customFormat="false" ht="13.5" hidden="false" customHeight="false" outlineLevel="0" collapsed="false">
      <c r="A121" s="1" t="str">
        <f aca="false">IF($C121="","",Controls!$B$7)</f>
        <v>PCGH</v>
      </c>
      <c r="B121" s="1" t="str">
        <f aca="false">IF($H121="","",YEAR($H121)&amp;"-Q"&amp;ROUNDUP(MONTH($H121)/3,0))</f>
        <v>2026-Q2</v>
      </c>
      <c r="C121" s="1" t="s">
        <v>838</v>
      </c>
      <c r="D121" s="1" t="s">
        <v>839</v>
      </c>
      <c r="E121" s="1" t="n">
        <v>14757</v>
      </c>
      <c r="F121" s="1" t="n">
        <v>43748</v>
      </c>
      <c r="G121" s="1" t="s">
        <v>869</v>
      </c>
      <c r="H121" s="140" t="n">
        <v>46136</v>
      </c>
      <c r="I121" s="1" t="n">
        <v>1260</v>
      </c>
      <c r="J121" s="1" t="s">
        <v>1048</v>
      </c>
      <c r="K121" s="1" t="s">
        <v>968</v>
      </c>
      <c r="L121" s="1" t="n">
        <v>5200</v>
      </c>
      <c r="N121" s="1" t="s">
        <v>1049</v>
      </c>
      <c r="P121" s="1" t="n">
        <v>358.71</v>
      </c>
      <c r="S121" s="1" t="str">
        <f aca="false">IF($C121="","",$C121&amp;"|"&amp;$E121&amp;"|"&amp;$F121&amp;"|"&amp;$L121&amp;"|"&amp;$P121&amp;"|"&amp;TEXT($H121,"yyyy-mm-dd"))</f>
        <v>PCGH774|14757|43748|5200|358.71|2026-04-24</v>
      </c>
      <c r="T121" s="1" t="str">
        <f aca="false">IF($S121="","",IF(COUNTIF($S$2:$S$2991,$S121)&gt;1,"DUPLICATE","OK"))</f>
        <v>OK</v>
      </c>
      <c r="U121" s="0" t="str">
        <f aca="false">IF($L121="","",IFERROR(VLOOKUP(--$L121,MM_Income!$Z$5:$AC$204,3,FALSE()),"UNMAPPED"))</f>
        <v>Recoverable</v>
      </c>
    </row>
    <row r="122" customFormat="false" ht="13.5" hidden="false" customHeight="false" outlineLevel="0" collapsed="false">
      <c r="A122" s="1" t="str">
        <f aca="false">IF($C122="","",Controls!$B$7)</f>
        <v>PCGH</v>
      </c>
      <c r="B122" s="1" t="str">
        <f aca="false">IF($H122="","",YEAR($H122)&amp;"-Q"&amp;ROUNDUP(MONTH($H122)/3,0))</f>
        <v>2026-Q2</v>
      </c>
      <c r="C122" s="1" t="s">
        <v>838</v>
      </c>
      <c r="D122" s="1" t="s">
        <v>839</v>
      </c>
      <c r="E122" s="1" t="n">
        <v>14758</v>
      </c>
      <c r="F122" s="1" t="n">
        <v>43749</v>
      </c>
      <c r="G122" s="1" t="s">
        <v>869</v>
      </c>
      <c r="H122" s="140" t="n">
        <v>46126</v>
      </c>
      <c r="I122" s="1" t="n">
        <v>1260</v>
      </c>
      <c r="J122" s="1" t="s">
        <v>1048</v>
      </c>
      <c r="K122" s="1" t="s">
        <v>968</v>
      </c>
      <c r="L122" s="1" t="n">
        <v>5200</v>
      </c>
      <c r="N122" s="1" t="s">
        <v>1052</v>
      </c>
      <c r="P122" s="1" t="n">
        <v>652.19</v>
      </c>
      <c r="S122" s="1" t="str">
        <f aca="false">IF($C122="","",$C122&amp;"|"&amp;$E122&amp;"|"&amp;$F122&amp;"|"&amp;$L122&amp;"|"&amp;$P122&amp;"|"&amp;TEXT($H122,"yyyy-mm-dd"))</f>
        <v>PCGH774|14758|43749|5200|652.19|2026-04-14</v>
      </c>
      <c r="T122" s="1" t="str">
        <f aca="false">IF($S122="","",IF(COUNTIF($S$2:$S$2991,$S122)&gt;1,"DUPLICATE","OK"))</f>
        <v>OK</v>
      </c>
      <c r="U122" s="0" t="str">
        <f aca="false">IF($L122="","",IFERROR(VLOOKUP(--$L122,MM_Income!$Z$5:$AC$204,3,FALSE()),"UNMAPPED"))</f>
        <v>Recoverable</v>
      </c>
    </row>
    <row r="123" customFormat="false" ht="13.5" hidden="false" customHeight="false" outlineLevel="0" collapsed="false">
      <c r="A123" s="1" t="str">
        <f aca="false">IF($C123="","",Controls!$B$7)</f>
        <v>PCGH</v>
      </c>
      <c r="B123" s="1" t="str">
        <f aca="false">IF($H123="","",YEAR($H123)&amp;"-Q"&amp;ROUNDUP(MONTH($H123)/3,0))</f>
        <v>2026-Q2</v>
      </c>
      <c r="C123" s="1" t="s">
        <v>838</v>
      </c>
      <c r="D123" s="1" t="s">
        <v>839</v>
      </c>
      <c r="E123" s="1" t="n">
        <v>14759</v>
      </c>
      <c r="F123" s="1" t="n">
        <v>43750</v>
      </c>
      <c r="G123" s="1" t="s">
        <v>869</v>
      </c>
      <c r="H123" s="140" t="n">
        <v>46123</v>
      </c>
      <c r="I123" s="1" t="n">
        <v>1260</v>
      </c>
      <c r="J123" s="1" t="s">
        <v>1048</v>
      </c>
      <c r="K123" s="1" t="s">
        <v>968</v>
      </c>
      <c r="L123" s="1" t="n">
        <v>5200</v>
      </c>
      <c r="N123" s="1" t="s">
        <v>1052</v>
      </c>
      <c r="P123" s="1" t="n">
        <v>434.83</v>
      </c>
      <c r="S123" s="1" t="str">
        <f aca="false">IF($C123="","",$C123&amp;"|"&amp;$E123&amp;"|"&amp;$F123&amp;"|"&amp;$L123&amp;"|"&amp;$P123&amp;"|"&amp;TEXT($H123,"yyyy-mm-dd"))</f>
        <v>PCGH774|14759|43750|5200|434.83|2026-04-11</v>
      </c>
      <c r="T123" s="1" t="str">
        <f aca="false">IF($S123="","",IF(COUNTIF($S$2:$S$2991,$S123)&gt;1,"DUPLICATE","OK"))</f>
        <v>OK</v>
      </c>
      <c r="U123" s="0" t="str">
        <f aca="false">IF($L123="","",IFERROR(VLOOKUP(--$L123,MM_Income!$Z$5:$AC$204,3,FALSE()),"UNMAPPED"))</f>
        <v>Recoverable</v>
      </c>
    </row>
    <row r="124" customFormat="false" ht="13.5" hidden="false" customHeight="false" outlineLevel="0" collapsed="false">
      <c r="A124" s="1" t="str">
        <f aca="false">IF($C124="","",Controls!$B$7)</f>
        <v>PCGH</v>
      </c>
      <c r="B124" s="1" t="str">
        <f aca="false">IF($H124="","",YEAR($H124)&amp;"-Q"&amp;ROUNDUP(MONTH($H124)/3,0))</f>
        <v>2026-Q2</v>
      </c>
      <c r="C124" s="1" t="s">
        <v>838</v>
      </c>
      <c r="D124" s="1" t="s">
        <v>839</v>
      </c>
      <c r="E124" s="1" t="n">
        <v>14760</v>
      </c>
      <c r="F124" s="1" t="n">
        <v>43751</v>
      </c>
      <c r="G124" s="1" t="s">
        <v>869</v>
      </c>
      <c r="H124" s="140" t="n">
        <v>46117</v>
      </c>
      <c r="I124" s="1" t="n">
        <v>1260</v>
      </c>
      <c r="J124" s="1" t="s">
        <v>1048</v>
      </c>
      <c r="K124" s="1" t="s">
        <v>968</v>
      </c>
      <c r="L124" s="1" t="n">
        <v>5200</v>
      </c>
      <c r="N124" s="1" t="s">
        <v>1053</v>
      </c>
      <c r="P124" s="1" t="n">
        <v>78</v>
      </c>
      <c r="S124" s="1" t="str">
        <f aca="false">IF($C124="","",$C124&amp;"|"&amp;$E124&amp;"|"&amp;$F124&amp;"|"&amp;$L124&amp;"|"&amp;$P124&amp;"|"&amp;TEXT($H124,"yyyy-mm-dd"))</f>
        <v>PCGH774|14760|43751|5200|78|2026-04-05</v>
      </c>
      <c r="T124" s="1" t="str">
        <f aca="false">IF($S124="","",IF(COUNTIF($S$2:$S$2991,$S124)&gt;1,"DUPLICATE","OK"))</f>
        <v>OK</v>
      </c>
      <c r="U124" s="0" t="str">
        <f aca="false">IF($L124="","",IFERROR(VLOOKUP(--$L124,MM_Income!$Z$5:$AC$204,3,FALSE()),"UNMAPPED"))</f>
        <v>Recoverable</v>
      </c>
    </row>
    <row r="125" customFormat="false" ht="13.5" hidden="false" customHeight="false" outlineLevel="0" collapsed="false">
      <c r="A125" s="1" t="str">
        <f aca="false">IF($C125="","",Controls!$B$7)</f>
        <v>PCGH</v>
      </c>
      <c r="B125" s="1" t="str">
        <f aca="false">IF($H125="","",YEAR($H125)&amp;"-Q"&amp;ROUNDUP(MONTH($H125)/3,0))</f>
        <v>2026-Q2</v>
      </c>
      <c r="C125" s="1" t="s">
        <v>838</v>
      </c>
      <c r="D125" s="1" t="s">
        <v>839</v>
      </c>
      <c r="E125" s="1" t="n">
        <v>14761</v>
      </c>
      <c r="F125" s="1" t="n">
        <v>43752</v>
      </c>
      <c r="G125" s="1" t="s">
        <v>869</v>
      </c>
      <c r="H125" s="140" t="n">
        <v>46117</v>
      </c>
      <c r="I125" s="1" t="n">
        <v>1260</v>
      </c>
      <c r="J125" s="1" t="s">
        <v>1048</v>
      </c>
      <c r="K125" s="1" t="s">
        <v>968</v>
      </c>
      <c r="L125" s="1" t="n">
        <v>5200</v>
      </c>
      <c r="N125" s="1" t="s">
        <v>1054</v>
      </c>
      <c r="P125" s="1" t="n">
        <v>304.37</v>
      </c>
      <c r="S125" s="1" t="str">
        <f aca="false">IF($C125="","",$C125&amp;"|"&amp;$E125&amp;"|"&amp;$F125&amp;"|"&amp;$L125&amp;"|"&amp;$P125&amp;"|"&amp;TEXT($H125,"yyyy-mm-dd"))</f>
        <v>PCGH774|14761|43752|5200|304.37|2026-04-05</v>
      </c>
      <c r="T125" s="1" t="str">
        <f aca="false">IF($S125="","",IF(COUNTIF($S$2:$S$2991,$S125)&gt;1,"DUPLICATE","OK"))</f>
        <v>OK</v>
      </c>
      <c r="U125" s="0" t="str">
        <f aca="false">IF($L125="","",IFERROR(VLOOKUP(--$L125,MM_Income!$Z$5:$AC$204,3,FALSE()),"UNMAPPED"))</f>
        <v>Recoverable</v>
      </c>
    </row>
    <row r="126" customFormat="false" ht="13.5" hidden="false" customHeight="false" outlineLevel="0" collapsed="false">
      <c r="A126" s="1" t="str">
        <f aca="false">IF($C126="","",Controls!$B$7)</f>
        <v>PCGH</v>
      </c>
      <c r="B126" s="1" t="str">
        <f aca="false">IF($H126="","",YEAR($H126)&amp;"-Q"&amp;ROUNDUP(MONTH($H126)/3,0))</f>
        <v>2026-Q2</v>
      </c>
      <c r="C126" s="1" t="s">
        <v>838</v>
      </c>
      <c r="D126" s="1" t="s">
        <v>839</v>
      </c>
      <c r="E126" s="1" t="n">
        <v>14762</v>
      </c>
      <c r="F126" s="1" t="n">
        <v>43753</v>
      </c>
      <c r="G126" s="1" t="s">
        <v>869</v>
      </c>
      <c r="H126" s="140" t="n">
        <v>46117</v>
      </c>
      <c r="I126" s="1" t="n">
        <v>1260</v>
      </c>
      <c r="J126" s="1" t="s">
        <v>1048</v>
      </c>
      <c r="K126" s="1" t="s">
        <v>968</v>
      </c>
      <c r="L126" s="1" t="n">
        <v>5200</v>
      </c>
      <c r="N126" s="1" t="s">
        <v>1055</v>
      </c>
      <c r="P126" s="1" t="n">
        <v>245</v>
      </c>
      <c r="S126" s="1" t="str">
        <f aca="false">IF($C126="","",$C126&amp;"|"&amp;$E126&amp;"|"&amp;$F126&amp;"|"&amp;$L126&amp;"|"&amp;$P126&amp;"|"&amp;TEXT($H126,"yyyy-mm-dd"))</f>
        <v>PCGH774|14762|43753|5200|245|2026-04-05</v>
      </c>
      <c r="T126" s="1" t="str">
        <f aca="false">IF($S126="","",IF(COUNTIF($S$2:$S$2991,$S126)&gt;1,"DUPLICATE","OK"))</f>
        <v>OK</v>
      </c>
      <c r="U126" s="0" t="str">
        <f aca="false">IF($L126="","",IFERROR(VLOOKUP(--$L126,MM_Income!$Z$5:$AC$204,3,FALSE()),"UNMAPPED"))</f>
        <v>Recoverable</v>
      </c>
    </row>
    <row r="127" customFormat="false" ht="13.5" hidden="false" customHeight="false" outlineLevel="0" collapsed="false">
      <c r="A127" s="1" t="str">
        <f aca="false">IF($C127="","",Controls!$B$7)</f>
        <v>PCGH</v>
      </c>
      <c r="B127" s="1" t="str">
        <f aca="false">IF($H127="","",YEAR($H127)&amp;"-Q"&amp;ROUNDUP(MONTH($H127)/3,0))</f>
        <v>2026-Q2</v>
      </c>
      <c r="C127" s="1" t="s">
        <v>925</v>
      </c>
      <c r="D127" s="1" t="s">
        <v>926</v>
      </c>
      <c r="E127" s="1" t="n">
        <v>14763</v>
      </c>
      <c r="F127" s="1" t="n">
        <v>43754</v>
      </c>
      <c r="G127" s="1" t="s">
        <v>869</v>
      </c>
      <c r="H127" s="140" t="n">
        <v>46163</v>
      </c>
      <c r="I127" s="1" t="n">
        <v>1260</v>
      </c>
      <c r="J127" s="1" t="s">
        <v>1048</v>
      </c>
      <c r="K127" s="1" t="s">
        <v>968</v>
      </c>
      <c r="L127" s="1" t="n">
        <v>5200</v>
      </c>
      <c r="N127" s="1" t="s">
        <v>1056</v>
      </c>
      <c r="P127" s="1" t="n">
        <v>76</v>
      </c>
      <c r="S127" s="1" t="str">
        <f aca="false">IF($C127="","",$C127&amp;"|"&amp;$E127&amp;"|"&amp;$F127&amp;"|"&amp;$L127&amp;"|"&amp;$P127&amp;"|"&amp;TEXT($H127,"yyyy-mm-dd"))</f>
        <v>PCGH786|14763|43754|5200|76|2026-05-21</v>
      </c>
      <c r="T127" s="1" t="str">
        <f aca="false">IF($S127="","",IF(COUNTIF($S$2:$S$2991,$S127)&gt;1,"DUPLICATE","OK"))</f>
        <v>OK</v>
      </c>
      <c r="U127" s="0" t="str">
        <f aca="false">IF($L127="","",IFERROR(VLOOKUP(--$L127,MM_Income!$Z$5:$AC$204,3,FALSE()),"UNMAPPED"))</f>
        <v>Recoverable</v>
      </c>
    </row>
    <row r="128" customFormat="false" ht="13.5" hidden="false" customHeight="false" outlineLevel="0" collapsed="false">
      <c r="A128" s="1" t="str">
        <f aca="false">IF($C128="","",Controls!$B$7)</f>
        <v>PCGH</v>
      </c>
      <c r="B128" s="1" t="str">
        <f aca="false">IF($H128="","",YEAR($H128)&amp;"-Q"&amp;ROUNDUP(MONTH($H128)/3,0))</f>
        <v>2026-Q2</v>
      </c>
      <c r="C128" s="1" t="s">
        <v>925</v>
      </c>
      <c r="D128" s="1" t="s">
        <v>926</v>
      </c>
      <c r="E128" s="1" t="n">
        <v>14764</v>
      </c>
      <c r="F128" s="1" t="n">
        <v>43755</v>
      </c>
      <c r="G128" s="1" t="s">
        <v>869</v>
      </c>
      <c r="H128" s="140" t="n">
        <v>46163</v>
      </c>
      <c r="I128" s="1" t="n">
        <v>1260</v>
      </c>
      <c r="J128" s="1" t="s">
        <v>1048</v>
      </c>
      <c r="K128" s="1" t="s">
        <v>968</v>
      </c>
      <c r="L128" s="1" t="n">
        <v>5200</v>
      </c>
      <c r="N128" s="1" t="s">
        <v>1057</v>
      </c>
      <c r="P128" s="1" t="n">
        <v>117.78</v>
      </c>
      <c r="S128" s="1" t="str">
        <f aca="false">IF($C128="","",$C128&amp;"|"&amp;$E128&amp;"|"&amp;$F128&amp;"|"&amp;$L128&amp;"|"&amp;$P128&amp;"|"&amp;TEXT($H128,"yyyy-mm-dd"))</f>
        <v>PCGH786|14764|43755|5200|117.78|2026-05-21</v>
      </c>
      <c r="T128" s="1" t="str">
        <f aca="false">IF($S128="","",IF(COUNTIF($S$2:$S$2991,$S128)&gt;1,"DUPLICATE","OK"))</f>
        <v>OK</v>
      </c>
      <c r="U128" s="0" t="str">
        <f aca="false">IF($L128="","",IFERROR(VLOOKUP(--$L128,MM_Income!$Z$5:$AC$204,3,FALSE()),"UNMAPPED"))</f>
        <v>Recoverable</v>
      </c>
    </row>
    <row r="129" customFormat="false" ht="13.5" hidden="false" customHeight="false" outlineLevel="0" collapsed="false">
      <c r="A129" s="1" t="str">
        <f aca="false">IF($C129="","",Controls!$B$7)</f>
        <v>PCGH</v>
      </c>
      <c r="B129" s="1" t="str">
        <f aca="false">IF($H129="","",YEAR($H129)&amp;"-Q"&amp;ROUNDUP(MONTH($H129)/3,0))</f>
        <v>2026-Q2</v>
      </c>
      <c r="C129" s="1" t="s">
        <v>925</v>
      </c>
      <c r="D129" s="1" t="s">
        <v>926</v>
      </c>
      <c r="E129" s="1" t="n">
        <v>14765</v>
      </c>
      <c r="F129" s="1" t="n">
        <v>43756</v>
      </c>
      <c r="G129" s="1" t="s">
        <v>869</v>
      </c>
      <c r="H129" s="140" t="n">
        <v>46156</v>
      </c>
      <c r="I129" s="1" t="n">
        <v>1260</v>
      </c>
      <c r="J129" s="1" t="s">
        <v>1048</v>
      </c>
      <c r="K129" s="1" t="s">
        <v>968</v>
      </c>
      <c r="L129" s="1" t="n">
        <v>5200</v>
      </c>
      <c r="N129" s="1" t="s">
        <v>1058</v>
      </c>
      <c r="P129" s="1" t="n">
        <v>300</v>
      </c>
      <c r="S129" s="1" t="str">
        <f aca="false">IF($C129="","",$C129&amp;"|"&amp;$E129&amp;"|"&amp;$F129&amp;"|"&amp;$L129&amp;"|"&amp;$P129&amp;"|"&amp;TEXT($H129,"yyyy-mm-dd"))</f>
        <v>PCGH786|14765|43756|5200|300|2026-05-14</v>
      </c>
      <c r="T129" s="1" t="str">
        <f aca="false">IF($S129="","",IF(COUNTIF($S$2:$S$2991,$S129)&gt;1,"DUPLICATE","OK"))</f>
        <v>OK</v>
      </c>
      <c r="U129" s="0" t="str">
        <f aca="false">IF($L129="","",IFERROR(VLOOKUP(--$L129,MM_Income!$Z$5:$AC$204,3,FALSE()),"UNMAPPED"))</f>
        <v>Recoverable</v>
      </c>
    </row>
    <row r="130" customFormat="false" ht="13.5" hidden="false" customHeight="false" outlineLevel="0" collapsed="false">
      <c r="A130" s="1" t="str">
        <f aca="false">IF($C130="","",Controls!$B$7)</f>
        <v>PCGH</v>
      </c>
      <c r="B130" s="1" t="str">
        <f aca="false">IF($H130="","",YEAR($H130)&amp;"-Q"&amp;ROUNDUP(MONTH($H130)/3,0))</f>
        <v>2026-Q2</v>
      </c>
      <c r="C130" s="1" t="s">
        <v>925</v>
      </c>
      <c r="D130" s="1" t="s">
        <v>926</v>
      </c>
      <c r="E130" s="1" t="n">
        <v>14766</v>
      </c>
      <c r="F130" s="1" t="n">
        <v>43757</v>
      </c>
      <c r="G130" s="1" t="s">
        <v>869</v>
      </c>
      <c r="H130" s="140" t="n">
        <v>46113</v>
      </c>
      <c r="I130" s="1" t="n">
        <v>1260</v>
      </c>
      <c r="J130" s="1" t="s">
        <v>1048</v>
      </c>
      <c r="K130" s="1" t="s">
        <v>968</v>
      </c>
      <c r="L130" s="1" t="n">
        <v>5200</v>
      </c>
      <c r="N130" s="1" t="s">
        <v>1059</v>
      </c>
      <c r="P130" s="1" t="n">
        <v>62</v>
      </c>
      <c r="S130" s="1" t="str">
        <f aca="false">IF($C130="","",$C130&amp;"|"&amp;$E130&amp;"|"&amp;$F130&amp;"|"&amp;$L130&amp;"|"&amp;$P130&amp;"|"&amp;TEXT($H130,"yyyy-mm-dd"))</f>
        <v>PCGH786|14766|43757|5200|62|2026-04-01</v>
      </c>
      <c r="T130" s="1" t="str">
        <f aca="false">IF($S130="","",IF(COUNTIF($S$2:$S$2991,$S130)&gt;1,"DUPLICATE","OK"))</f>
        <v>OK</v>
      </c>
      <c r="U130" s="0" t="str">
        <f aca="false">IF($L130="","",IFERROR(VLOOKUP(--$L130,MM_Income!$Z$5:$AC$204,3,FALSE()),"UNMAPPED"))</f>
        <v>Recoverable</v>
      </c>
    </row>
    <row r="131" customFormat="false" ht="13.5" hidden="false" customHeight="false" outlineLevel="0" collapsed="false">
      <c r="A131" s="1" t="str">
        <f aca="false">IF($C131="","",Controls!$B$7)</f>
        <v>PCGH</v>
      </c>
      <c r="B131" s="1" t="str">
        <f aca="false">IF($H131="","",YEAR($H131)&amp;"-Q"&amp;ROUNDUP(MONTH($H131)/3,0))</f>
        <v>2026-Q2</v>
      </c>
      <c r="C131" s="1" t="s">
        <v>925</v>
      </c>
      <c r="D131" s="1" t="s">
        <v>926</v>
      </c>
      <c r="E131" s="1" t="n">
        <v>14767</v>
      </c>
      <c r="F131" s="1" t="n">
        <v>43758</v>
      </c>
      <c r="G131" s="1" t="s">
        <v>869</v>
      </c>
      <c r="H131" s="140" t="n">
        <v>46113</v>
      </c>
      <c r="I131" s="1" t="n">
        <v>1260</v>
      </c>
      <c r="J131" s="1" t="s">
        <v>1048</v>
      </c>
      <c r="K131" s="1" t="s">
        <v>968</v>
      </c>
      <c r="L131" s="1" t="n">
        <v>5200</v>
      </c>
      <c r="N131" s="1" t="s">
        <v>1060</v>
      </c>
      <c r="P131" s="1" t="n">
        <v>41</v>
      </c>
      <c r="S131" s="1" t="str">
        <f aca="false">IF($C131="","",$C131&amp;"|"&amp;$E131&amp;"|"&amp;$F131&amp;"|"&amp;$L131&amp;"|"&amp;$P131&amp;"|"&amp;TEXT($H131,"yyyy-mm-dd"))</f>
        <v>PCGH786|14767|43758|5200|41|2026-04-01</v>
      </c>
      <c r="T131" s="1" t="str">
        <f aca="false">IF($S131="","",IF(COUNTIF($S$2:$S$2991,$S131)&gt;1,"DUPLICATE","OK"))</f>
        <v>OK</v>
      </c>
      <c r="U131" s="0" t="str">
        <f aca="false">IF($L131="","",IFERROR(VLOOKUP(--$L131,MM_Income!$Z$5:$AC$204,3,FALSE()),"UNMAPPED"))</f>
        <v>Recoverable</v>
      </c>
    </row>
    <row r="132" customFormat="false" ht="13.5" hidden="false" customHeight="false" outlineLevel="0" collapsed="false">
      <c r="A132" s="1" t="str">
        <f aca="false">IF($C132="","",Controls!$B$7)</f>
        <v>PCGH</v>
      </c>
      <c r="B132" s="1" t="str">
        <f aca="false">IF($H132="","",YEAR($H132)&amp;"-Q"&amp;ROUNDUP(MONTH($H132)/3,0))</f>
        <v>2026-Q2</v>
      </c>
      <c r="C132" s="1" t="s">
        <v>925</v>
      </c>
      <c r="D132" s="1" t="s">
        <v>926</v>
      </c>
      <c r="E132" s="1" t="n">
        <v>14768</v>
      </c>
      <c r="F132" s="1" t="n">
        <v>43759</v>
      </c>
      <c r="G132" s="1" t="s">
        <v>869</v>
      </c>
      <c r="H132" s="140" t="n">
        <v>46113</v>
      </c>
      <c r="I132" s="1" t="n">
        <v>1260</v>
      </c>
      <c r="J132" s="1" t="s">
        <v>1048</v>
      </c>
      <c r="K132" s="1" t="s">
        <v>968</v>
      </c>
      <c r="L132" s="1" t="n">
        <v>5200</v>
      </c>
      <c r="N132" s="1" t="s">
        <v>1061</v>
      </c>
      <c r="P132" s="1" t="n">
        <v>69</v>
      </c>
      <c r="S132" s="1" t="str">
        <f aca="false">IF($C132="","",$C132&amp;"|"&amp;$E132&amp;"|"&amp;$F132&amp;"|"&amp;$L132&amp;"|"&amp;$P132&amp;"|"&amp;TEXT($H132,"yyyy-mm-dd"))</f>
        <v>PCGH786|14768|43759|5200|69|2026-04-01</v>
      </c>
      <c r="T132" s="1" t="str">
        <f aca="false">IF($S132="","",IF(COUNTIF($S$2:$S$2991,$S132)&gt;1,"DUPLICATE","OK"))</f>
        <v>OK</v>
      </c>
      <c r="U132" s="0" t="str">
        <f aca="false">IF($L132="","",IFERROR(VLOOKUP(--$L132,MM_Income!$Z$5:$AC$204,3,FALSE()),"UNMAPPED"))</f>
        <v>Recoverable</v>
      </c>
    </row>
    <row r="133" customFormat="false" ht="13.5" hidden="false" customHeight="false" outlineLevel="0" collapsed="false">
      <c r="A133" s="1" t="str">
        <f aca="false">IF($C133="","",Controls!$B$7)</f>
        <v>PCGH</v>
      </c>
      <c r="B133" s="1" t="str">
        <f aca="false">IF($H133="","",YEAR($H133)&amp;"-Q"&amp;ROUNDUP(MONTH($H133)/3,0))</f>
        <v>2026-Q2</v>
      </c>
      <c r="C133" s="1" t="s">
        <v>925</v>
      </c>
      <c r="D133" s="1" t="s">
        <v>926</v>
      </c>
      <c r="E133" s="1" t="n">
        <v>14769</v>
      </c>
      <c r="F133" s="1" t="n">
        <v>43760</v>
      </c>
      <c r="G133" s="1" t="s">
        <v>869</v>
      </c>
      <c r="H133" s="140" t="n">
        <v>46113</v>
      </c>
      <c r="I133" s="1" t="n">
        <v>1260</v>
      </c>
      <c r="J133" s="1" t="s">
        <v>1048</v>
      </c>
      <c r="K133" s="1" t="s">
        <v>968</v>
      </c>
      <c r="L133" s="1" t="n">
        <v>5200</v>
      </c>
      <c r="N133" s="1" t="s">
        <v>1062</v>
      </c>
      <c r="P133" s="1" t="n">
        <v>65</v>
      </c>
      <c r="S133" s="1" t="str">
        <f aca="false">IF($C133="","",$C133&amp;"|"&amp;$E133&amp;"|"&amp;$F133&amp;"|"&amp;$L133&amp;"|"&amp;$P133&amp;"|"&amp;TEXT($H133,"yyyy-mm-dd"))</f>
        <v>PCGH786|14769|43760|5200|65|2026-04-01</v>
      </c>
      <c r="T133" s="1" t="str">
        <f aca="false">IF($S133="","",IF(COUNTIF($S$2:$S$2991,$S133)&gt;1,"DUPLICATE","OK"))</f>
        <v>OK</v>
      </c>
      <c r="U133" s="0" t="str">
        <f aca="false">IF($L133="","",IFERROR(VLOOKUP(--$L133,MM_Income!$Z$5:$AC$204,3,FALSE()),"UNMAPPED"))</f>
        <v>Recoverable</v>
      </c>
    </row>
    <row r="134" customFormat="false" ht="13.5" hidden="false" customHeight="false" outlineLevel="0" collapsed="false">
      <c r="A134" s="1" t="str">
        <f aca="false">IF($C134="","",Controls!$B$7)</f>
        <v>PCGH</v>
      </c>
      <c r="B134" s="1" t="str">
        <f aca="false">IF($H134="","",YEAR($H134)&amp;"-Q"&amp;ROUNDUP(MONTH($H134)/3,0))</f>
        <v>2026-Q2</v>
      </c>
      <c r="C134" s="1" t="s">
        <v>925</v>
      </c>
      <c r="D134" s="1" t="s">
        <v>926</v>
      </c>
      <c r="E134" s="1" t="n">
        <v>14770</v>
      </c>
      <c r="F134" s="1" t="n">
        <v>43761</v>
      </c>
      <c r="G134" s="1" t="s">
        <v>869</v>
      </c>
      <c r="H134" s="140" t="n">
        <v>46113</v>
      </c>
      <c r="I134" s="1" t="n">
        <v>1260</v>
      </c>
      <c r="J134" s="1" t="s">
        <v>1048</v>
      </c>
      <c r="K134" s="1" t="s">
        <v>968</v>
      </c>
      <c r="L134" s="1" t="n">
        <v>5200</v>
      </c>
      <c r="N134" s="1" t="s">
        <v>1063</v>
      </c>
      <c r="P134" s="1" t="n">
        <v>33</v>
      </c>
      <c r="S134" s="1" t="str">
        <f aca="false">IF($C134="","",$C134&amp;"|"&amp;$E134&amp;"|"&amp;$F134&amp;"|"&amp;$L134&amp;"|"&amp;$P134&amp;"|"&amp;TEXT($H134,"yyyy-mm-dd"))</f>
        <v>PCGH786|14770|43761|5200|33|2026-04-01</v>
      </c>
      <c r="T134" s="1" t="str">
        <f aca="false">IF($S134="","",IF(COUNTIF($S$2:$S$2991,$S134)&gt;1,"DUPLICATE","OK"))</f>
        <v>OK</v>
      </c>
      <c r="U134" s="0" t="str">
        <f aca="false">IF($L134="","",IFERROR(VLOOKUP(--$L134,MM_Income!$Z$5:$AC$204,3,FALSE()),"UNMAPPED"))</f>
        <v>Recoverable</v>
      </c>
    </row>
    <row r="135" customFormat="false" ht="13.5" hidden="false" customHeight="false" outlineLevel="0" collapsed="false">
      <c r="A135" s="1" t="str">
        <f aca="false">IF($C135="","",Controls!$B$7)</f>
        <v>PCGH</v>
      </c>
      <c r="B135" s="1" t="str">
        <f aca="false">IF($H135="","",YEAR($H135)&amp;"-Q"&amp;ROUNDUP(MONTH($H135)/3,0))</f>
        <v>2026-Q2</v>
      </c>
      <c r="C135" s="1" t="s">
        <v>925</v>
      </c>
      <c r="D135" s="1" t="s">
        <v>926</v>
      </c>
      <c r="E135" s="1" t="n">
        <v>14771</v>
      </c>
      <c r="F135" s="1" t="n">
        <v>43762</v>
      </c>
      <c r="G135" s="1" t="s">
        <v>869</v>
      </c>
      <c r="H135" s="140" t="n">
        <v>46113</v>
      </c>
      <c r="I135" s="1" t="n">
        <v>1260</v>
      </c>
      <c r="J135" s="1" t="s">
        <v>1048</v>
      </c>
      <c r="K135" s="1" t="s">
        <v>968</v>
      </c>
      <c r="L135" s="1" t="n">
        <v>5200</v>
      </c>
      <c r="N135" s="1" t="s">
        <v>1064</v>
      </c>
      <c r="P135" s="1" t="n">
        <v>46</v>
      </c>
      <c r="S135" s="1" t="str">
        <f aca="false">IF($C135="","",$C135&amp;"|"&amp;$E135&amp;"|"&amp;$F135&amp;"|"&amp;$L135&amp;"|"&amp;$P135&amp;"|"&amp;TEXT($H135,"yyyy-mm-dd"))</f>
        <v>PCGH786|14771|43762|5200|46|2026-04-01</v>
      </c>
      <c r="T135" s="1" t="str">
        <f aca="false">IF($S135="","",IF(COUNTIF($S$2:$S$2991,$S135)&gt;1,"DUPLICATE","OK"))</f>
        <v>OK</v>
      </c>
      <c r="U135" s="0" t="str">
        <f aca="false">IF($L135="","",IFERROR(VLOOKUP(--$L135,MM_Income!$Z$5:$AC$204,3,FALSE()),"UNMAPPED"))</f>
        <v>Recoverable</v>
      </c>
    </row>
    <row r="136" customFormat="false" ht="13.5" hidden="false" customHeight="false" outlineLevel="0" collapsed="false">
      <c r="A136" s="1" t="str">
        <f aca="false">IF($C136="","",Controls!$B$7)</f>
        <v>PCGH</v>
      </c>
      <c r="B136" s="1" t="str">
        <f aca="false">IF($H136="","",YEAR($H136)&amp;"-Q"&amp;ROUNDUP(MONTH($H136)/3,0))</f>
        <v>2026-Q2</v>
      </c>
      <c r="C136" s="1" t="s">
        <v>852</v>
      </c>
      <c r="D136" s="1" t="s">
        <v>853</v>
      </c>
      <c r="E136" s="1" t="n">
        <v>14772</v>
      </c>
      <c r="F136" s="1" t="n">
        <v>43764</v>
      </c>
      <c r="G136" s="1" t="s">
        <v>869</v>
      </c>
      <c r="H136" s="140" t="n">
        <v>46113</v>
      </c>
      <c r="I136" s="1" t="n">
        <v>1260</v>
      </c>
      <c r="J136" s="1" t="s">
        <v>1065</v>
      </c>
      <c r="K136" s="1" t="s">
        <v>968</v>
      </c>
      <c r="L136" s="1" t="n">
        <v>5200</v>
      </c>
      <c r="N136" s="1" t="s">
        <v>880</v>
      </c>
      <c r="P136" s="1" t="n">
        <v>118.02</v>
      </c>
      <c r="S136" s="1" t="str">
        <f aca="false">IF($C136="","",$C136&amp;"|"&amp;$E136&amp;"|"&amp;$F136&amp;"|"&amp;$L136&amp;"|"&amp;$P136&amp;"|"&amp;TEXT($H136,"yyyy-mm-dd"))</f>
        <v>PCGH772|14772|43764|5200|118.02|2026-04-01</v>
      </c>
      <c r="T136" s="1" t="str">
        <f aca="false">IF($S136="","",IF(COUNTIF($S$2:$S$2991,$S136)&gt;1,"DUPLICATE","OK"))</f>
        <v>OK</v>
      </c>
      <c r="U136" s="0" t="str">
        <f aca="false">IF($L136="","",IFERROR(VLOOKUP(--$L136,MM_Income!$Z$5:$AC$204,3,FALSE()),"UNMAPPED"))</f>
        <v>Recoverable</v>
      </c>
    </row>
    <row r="137" customFormat="false" ht="13.5" hidden="false" customHeight="false" outlineLevel="0" collapsed="false">
      <c r="A137" s="1" t="str">
        <f aca="false">IF($C137="","",Controls!$B$7)</f>
        <v>PCGH</v>
      </c>
      <c r="B137" s="1" t="str">
        <f aca="false">IF($H137="","",YEAR($H137)&amp;"-Q"&amp;ROUNDUP(MONTH($H137)/3,0))</f>
        <v>2026-Q2</v>
      </c>
      <c r="C137" s="1" t="s">
        <v>852</v>
      </c>
      <c r="D137" s="1" t="s">
        <v>853</v>
      </c>
      <c r="E137" s="1" t="n">
        <v>14773</v>
      </c>
      <c r="F137" s="1" t="n">
        <v>43765</v>
      </c>
      <c r="G137" s="1" t="s">
        <v>869</v>
      </c>
      <c r="H137" s="140" t="n">
        <v>46113</v>
      </c>
      <c r="I137" s="1" t="n">
        <v>1260</v>
      </c>
      <c r="J137" s="1" t="s">
        <v>1065</v>
      </c>
      <c r="K137" s="1" t="s">
        <v>968</v>
      </c>
      <c r="L137" s="1" t="n">
        <v>5200</v>
      </c>
      <c r="N137" s="1" t="s">
        <v>881</v>
      </c>
      <c r="P137" s="1" t="n">
        <v>196.47</v>
      </c>
      <c r="S137" s="1" t="str">
        <f aca="false">IF($C137="","",$C137&amp;"|"&amp;$E137&amp;"|"&amp;$F137&amp;"|"&amp;$L137&amp;"|"&amp;$P137&amp;"|"&amp;TEXT($H137,"yyyy-mm-dd"))</f>
        <v>PCGH772|14773|43765|5200|196.47|2026-04-01</v>
      </c>
      <c r="T137" s="1" t="str">
        <f aca="false">IF($S137="","",IF(COUNTIF($S$2:$S$2991,$S137)&gt;1,"DUPLICATE","OK"))</f>
        <v>OK</v>
      </c>
      <c r="U137" s="0" t="str">
        <f aca="false">IF($L137="","",IFERROR(VLOOKUP(--$L137,MM_Income!$Z$5:$AC$204,3,FALSE()),"UNMAPPED"))</f>
        <v>Recoverable</v>
      </c>
    </row>
    <row r="138" customFormat="false" ht="13.5" hidden="false" customHeight="false" outlineLevel="0" collapsed="false">
      <c r="A138" s="1" t="str">
        <f aca="false">IF($C138="","",Controls!$B$7)</f>
        <v>PCGH</v>
      </c>
      <c r="B138" s="1" t="str">
        <f aca="false">IF($H138="","",YEAR($H138)&amp;"-Q"&amp;ROUNDUP(MONTH($H138)/3,0))</f>
        <v>2026-Q2</v>
      </c>
      <c r="C138" s="1" t="s">
        <v>852</v>
      </c>
      <c r="D138" s="1" t="s">
        <v>853</v>
      </c>
      <c r="E138" s="1" t="n">
        <v>14774</v>
      </c>
      <c r="F138" s="1" t="n">
        <v>43766</v>
      </c>
      <c r="G138" s="1" t="s">
        <v>869</v>
      </c>
      <c r="H138" s="140" t="n">
        <v>46113</v>
      </c>
      <c r="I138" s="1" t="n">
        <v>1260</v>
      </c>
      <c r="J138" s="1" t="s">
        <v>1065</v>
      </c>
      <c r="K138" s="1" t="s">
        <v>968</v>
      </c>
      <c r="L138" s="1" t="n">
        <v>5200</v>
      </c>
      <c r="N138" s="1" t="s">
        <v>882</v>
      </c>
      <c r="P138" s="1" t="n">
        <v>672.6</v>
      </c>
      <c r="S138" s="1" t="str">
        <f aca="false">IF($C138="","",$C138&amp;"|"&amp;$E138&amp;"|"&amp;$F138&amp;"|"&amp;$L138&amp;"|"&amp;$P138&amp;"|"&amp;TEXT($H138,"yyyy-mm-dd"))</f>
        <v>PCGH772|14774|43766|5200|672.6|2026-04-01</v>
      </c>
      <c r="T138" s="1" t="str">
        <f aca="false">IF($S138="","",IF(COUNTIF($S$2:$S$2991,$S138)&gt;1,"DUPLICATE","OK"))</f>
        <v>OK</v>
      </c>
      <c r="U138" s="0" t="str">
        <f aca="false">IF($L138="","",IFERROR(VLOOKUP(--$L138,MM_Income!$Z$5:$AC$204,3,FALSE()),"UNMAPPED"))</f>
        <v>Recoverable</v>
      </c>
    </row>
    <row r="139" customFormat="false" ht="13.5" hidden="false" customHeight="false" outlineLevel="0" collapsed="false">
      <c r="A139" s="1" t="str">
        <f aca="false">IF($C139="","",Controls!$B$7)</f>
        <v>PCGH</v>
      </c>
      <c r="B139" s="1" t="str">
        <f aca="false">IF($H139="","",YEAR($H139)&amp;"-Q"&amp;ROUNDUP(MONTH($H139)/3,0))</f>
        <v>2026-Q2</v>
      </c>
      <c r="C139" s="1" t="s">
        <v>1066</v>
      </c>
      <c r="D139" s="1" t="s">
        <v>1067</v>
      </c>
      <c r="E139" s="1" t="n">
        <v>14775</v>
      </c>
      <c r="F139" s="1" t="n">
        <v>43771</v>
      </c>
      <c r="G139" s="1" t="s">
        <v>869</v>
      </c>
      <c r="H139" s="140" t="n">
        <v>46113</v>
      </c>
      <c r="I139" s="1" t="n">
        <v>1260</v>
      </c>
      <c r="J139" s="1" t="s">
        <v>1065</v>
      </c>
      <c r="K139" s="1" t="s">
        <v>968</v>
      </c>
      <c r="L139" s="1" t="n">
        <v>5200</v>
      </c>
      <c r="N139" s="1" t="s">
        <v>1068</v>
      </c>
      <c r="P139" s="1" t="n">
        <v>251</v>
      </c>
      <c r="S139" s="1" t="str">
        <f aca="false">IF($C139="","",$C139&amp;"|"&amp;$E139&amp;"|"&amp;$F139&amp;"|"&amp;$L139&amp;"|"&amp;$P139&amp;"|"&amp;TEXT($H139,"yyyy-mm-dd"))</f>
        <v>PCGH788|14775|43771|5200|251|2026-04-01</v>
      </c>
      <c r="T139" s="1" t="str">
        <f aca="false">IF($S139="","",IF(COUNTIF($S$2:$S$2991,$S139)&gt;1,"DUPLICATE","OK"))</f>
        <v>OK</v>
      </c>
      <c r="U139" s="0" t="str">
        <f aca="false">IF($L139="","",IFERROR(VLOOKUP(--$L139,MM_Income!$Z$5:$AC$204,3,FALSE()),"UNMAPPED"))</f>
        <v>Recoverable</v>
      </c>
    </row>
    <row r="140" customFormat="false" ht="13.5" hidden="false" customHeight="false" outlineLevel="0" collapsed="false">
      <c r="A140" s="1" t="str">
        <f aca="false">IF($C140="","",Controls!$B$7)</f>
        <v>PCGH</v>
      </c>
      <c r="B140" s="1" t="str">
        <f aca="false">IF($H140="","",YEAR($H140)&amp;"-Q"&amp;ROUNDUP(MONTH($H140)/3,0))</f>
        <v>2026-Q2</v>
      </c>
      <c r="C140" s="1" t="s">
        <v>838</v>
      </c>
      <c r="D140" s="1" t="s">
        <v>839</v>
      </c>
      <c r="E140" s="1" t="n">
        <v>14776</v>
      </c>
      <c r="F140" s="1" t="n">
        <v>43777</v>
      </c>
      <c r="G140" s="1" t="s">
        <v>869</v>
      </c>
      <c r="H140" s="140" t="n">
        <v>46113</v>
      </c>
      <c r="I140" s="1" t="n">
        <v>1260</v>
      </c>
      <c r="J140" s="1" t="s">
        <v>1069</v>
      </c>
      <c r="K140" s="1" t="s">
        <v>968</v>
      </c>
      <c r="L140" s="1" t="n">
        <v>5200</v>
      </c>
      <c r="N140" s="1" t="s">
        <v>1012</v>
      </c>
      <c r="P140" s="1" t="n">
        <v>26.6</v>
      </c>
      <c r="S140" s="1" t="str">
        <f aca="false">IF($C140="","",$C140&amp;"|"&amp;$E140&amp;"|"&amp;$F140&amp;"|"&amp;$L140&amp;"|"&amp;$P140&amp;"|"&amp;TEXT($H140,"yyyy-mm-dd"))</f>
        <v>PCGH774|14776|43777|5200|26.6|2026-04-01</v>
      </c>
      <c r="T140" s="1" t="str">
        <f aca="false">IF($S140="","",IF(COUNTIF($S$2:$S$2991,$S140)&gt;1,"DUPLICATE","OK"))</f>
        <v>OK</v>
      </c>
      <c r="U140" s="0" t="str">
        <f aca="false">IF($L140="","",IFERROR(VLOOKUP(--$L140,MM_Income!$Z$5:$AC$204,3,FALSE()),"UNMAPPED"))</f>
        <v>Recoverable</v>
      </c>
    </row>
    <row r="141" customFormat="false" ht="13.5" hidden="false" customHeight="false" outlineLevel="0" collapsed="false">
      <c r="A141" s="1" t="str">
        <f aca="false">IF($C141="","",Controls!$B$7)</f>
        <v>PCGH</v>
      </c>
      <c r="B141" s="1" t="str">
        <f aca="false">IF($H141="","",YEAR($H141)&amp;"-Q"&amp;ROUNDUP(MONTH($H141)/3,0))</f>
        <v>2026-Q2</v>
      </c>
      <c r="C141" s="1" t="s">
        <v>838</v>
      </c>
      <c r="D141" s="1" t="s">
        <v>839</v>
      </c>
      <c r="E141" s="1" t="n">
        <v>14777</v>
      </c>
      <c r="F141" s="1" t="n">
        <v>43778</v>
      </c>
      <c r="G141" s="1" t="s">
        <v>869</v>
      </c>
      <c r="H141" s="140" t="n">
        <v>46113</v>
      </c>
      <c r="I141" s="1" t="n">
        <v>1260</v>
      </c>
      <c r="J141" s="1" t="s">
        <v>1069</v>
      </c>
      <c r="K141" s="1" t="s">
        <v>968</v>
      </c>
      <c r="L141" s="1" t="n">
        <v>5200</v>
      </c>
      <c r="N141" s="1" t="s">
        <v>1070</v>
      </c>
      <c r="P141" s="1" t="n">
        <v>68</v>
      </c>
      <c r="S141" s="1" t="str">
        <f aca="false">IF($C141="","",$C141&amp;"|"&amp;$E141&amp;"|"&amp;$F141&amp;"|"&amp;$L141&amp;"|"&amp;$P141&amp;"|"&amp;TEXT($H141,"yyyy-mm-dd"))</f>
        <v>PCGH774|14777|43778|5200|68|2026-04-01</v>
      </c>
      <c r="T141" s="1" t="str">
        <f aca="false">IF($S141="","",IF(COUNTIF($S$2:$S$2991,$S141)&gt;1,"DUPLICATE","OK"))</f>
        <v>OK</v>
      </c>
      <c r="U141" s="0" t="str">
        <f aca="false">IF($L141="","",IFERROR(VLOOKUP(--$L141,MM_Income!$Z$5:$AC$204,3,FALSE()),"UNMAPPED"))</f>
        <v>Recoverable</v>
      </c>
    </row>
    <row r="142" customFormat="false" ht="13.5" hidden="false" customHeight="false" outlineLevel="0" collapsed="false">
      <c r="A142" s="1" t="str">
        <f aca="false">IF($C142="","",Controls!$B$7)</f>
        <v>PCGH</v>
      </c>
      <c r="B142" s="1" t="str">
        <f aca="false">IF($H142="","",YEAR($H142)&amp;"-Q"&amp;ROUNDUP(MONTH($H142)/3,0))</f>
        <v>2026-Q2</v>
      </c>
      <c r="C142" s="1" t="s">
        <v>838</v>
      </c>
      <c r="D142" s="1" t="s">
        <v>839</v>
      </c>
      <c r="E142" s="1" t="n">
        <v>14778</v>
      </c>
      <c r="F142" s="1" t="n">
        <v>43779</v>
      </c>
      <c r="G142" s="1" t="s">
        <v>869</v>
      </c>
      <c r="H142" s="140" t="n">
        <v>46113</v>
      </c>
      <c r="I142" s="1" t="n">
        <v>1260</v>
      </c>
      <c r="J142" s="1" t="s">
        <v>1069</v>
      </c>
      <c r="K142" s="1" t="s">
        <v>968</v>
      </c>
      <c r="L142" s="1" t="n">
        <v>5200</v>
      </c>
      <c r="N142" s="1" t="s">
        <v>1071</v>
      </c>
      <c r="P142" s="1" t="n">
        <v>76</v>
      </c>
      <c r="S142" s="1" t="str">
        <f aca="false">IF($C142="","",$C142&amp;"|"&amp;$E142&amp;"|"&amp;$F142&amp;"|"&amp;$L142&amp;"|"&amp;$P142&amp;"|"&amp;TEXT($H142,"yyyy-mm-dd"))</f>
        <v>PCGH774|14778|43779|5200|76|2026-04-01</v>
      </c>
      <c r="T142" s="1" t="str">
        <f aca="false">IF($S142="","",IF(COUNTIF($S$2:$S$2991,$S142)&gt;1,"DUPLICATE","OK"))</f>
        <v>OK</v>
      </c>
      <c r="U142" s="0" t="str">
        <f aca="false">IF($L142="","",IFERROR(VLOOKUP(--$L142,MM_Income!$Z$5:$AC$204,3,FALSE()),"UNMAPPED"))</f>
        <v>Recoverable</v>
      </c>
    </row>
    <row r="143" customFormat="false" ht="13.5" hidden="false" customHeight="false" outlineLevel="0" collapsed="false">
      <c r="A143" s="1" t="str">
        <f aca="false">IF($C143="","",Controls!$B$7)</f>
        <v>PCGH</v>
      </c>
      <c r="B143" s="1" t="str">
        <f aca="false">IF($H143="","",YEAR($H143)&amp;"-Q"&amp;ROUNDUP(MONTH($H143)/3,0))</f>
        <v>2026-Q2</v>
      </c>
      <c r="C143" s="1" t="s">
        <v>838</v>
      </c>
      <c r="D143" s="1" t="s">
        <v>839</v>
      </c>
      <c r="E143" s="1" t="n">
        <v>14779</v>
      </c>
      <c r="F143" s="1" t="n">
        <v>43780</v>
      </c>
      <c r="G143" s="1" t="s">
        <v>869</v>
      </c>
      <c r="H143" s="140" t="n">
        <v>46113</v>
      </c>
      <c r="I143" s="1" t="n">
        <v>1260</v>
      </c>
      <c r="J143" s="1" t="s">
        <v>1069</v>
      </c>
      <c r="K143" s="1" t="s">
        <v>968</v>
      </c>
      <c r="L143" s="1" t="n">
        <v>5200</v>
      </c>
      <c r="N143" s="1" t="s">
        <v>1072</v>
      </c>
      <c r="P143" s="1" t="n">
        <v>216.6</v>
      </c>
      <c r="S143" s="1" t="str">
        <f aca="false">IF($C143="","",$C143&amp;"|"&amp;$E143&amp;"|"&amp;$F143&amp;"|"&amp;$L143&amp;"|"&amp;$P143&amp;"|"&amp;TEXT($H143,"yyyy-mm-dd"))</f>
        <v>PCGH774|14779|43780|5200|216.6|2026-04-01</v>
      </c>
      <c r="T143" s="1" t="str">
        <f aca="false">IF($S143="","",IF(COUNTIF($S$2:$S$2991,$S143)&gt;1,"DUPLICATE","OK"))</f>
        <v>OK</v>
      </c>
      <c r="U143" s="0" t="str">
        <f aca="false">IF($L143="","",IFERROR(VLOOKUP(--$L143,MM_Income!$Z$5:$AC$204,3,FALSE()),"UNMAPPED"))</f>
        <v>Recoverable</v>
      </c>
    </row>
    <row r="144" customFormat="false" ht="13.5" hidden="false" customHeight="false" outlineLevel="0" collapsed="false">
      <c r="A144" s="1" t="str">
        <f aca="false">IF($C144="","",Controls!$B$7)</f>
        <v>PCGH</v>
      </c>
      <c r="B144" s="1" t="str">
        <f aca="false">IF($H144="","",YEAR($H144)&amp;"-Q"&amp;ROUNDUP(MONTH($H144)/3,0))</f>
        <v>2026-Q2</v>
      </c>
      <c r="C144" s="1" t="s">
        <v>838</v>
      </c>
      <c r="D144" s="1" t="s">
        <v>839</v>
      </c>
      <c r="E144" s="1" t="n">
        <v>14780</v>
      </c>
      <c r="F144" s="1" t="n">
        <v>43781</v>
      </c>
      <c r="G144" s="1" t="s">
        <v>869</v>
      </c>
      <c r="H144" s="140" t="n">
        <v>46113</v>
      </c>
      <c r="I144" s="1" t="n">
        <v>1260</v>
      </c>
      <c r="J144" s="1" t="s">
        <v>1069</v>
      </c>
      <c r="K144" s="1" t="s">
        <v>968</v>
      </c>
      <c r="L144" s="1" t="n">
        <v>5200</v>
      </c>
      <c r="N144" s="1" t="s">
        <v>1014</v>
      </c>
      <c r="P144" s="1" t="n">
        <v>855</v>
      </c>
      <c r="S144" s="1" t="str">
        <f aca="false">IF($C144="","",$C144&amp;"|"&amp;$E144&amp;"|"&amp;$F144&amp;"|"&amp;$L144&amp;"|"&amp;$P144&amp;"|"&amp;TEXT($H144,"yyyy-mm-dd"))</f>
        <v>PCGH774|14780|43781|5200|855|2026-04-01</v>
      </c>
      <c r="T144" s="1" t="str">
        <f aca="false">IF($S144="","",IF(COUNTIF($S$2:$S$2991,$S144)&gt;1,"DUPLICATE","OK"))</f>
        <v>OK</v>
      </c>
      <c r="U144" s="0" t="str">
        <f aca="false">IF($L144="","",IFERROR(VLOOKUP(--$L144,MM_Income!$Z$5:$AC$204,3,FALSE()),"UNMAPPED"))</f>
        <v>Recoverable</v>
      </c>
    </row>
    <row r="145" customFormat="false" ht="13.5" hidden="false" customHeight="false" outlineLevel="0" collapsed="false">
      <c r="A145" s="1" t="str">
        <f aca="false">IF($C145="","",Controls!$B$7)</f>
        <v>PCGH</v>
      </c>
      <c r="B145" s="1" t="str">
        <f aca="false">IF($H145="","",YEAR($H145)&amp;"-Q"&amp;ROUNDUP(MONTH($H145)/3,0))</f>
        <v>2026-Q2</v>
      </c>
      <c r="C145" s="1" t="s">
        <v>845</v>
      </c>
      <c r="D145" s="1" t="s">
        <v>846</v>
      </c>
      <c r="E145" s="1" t="n">
        <v>14781</v>
      </c>
      <c r="F145" s="1" t="n">
        <v>43782</v>
      </c>
      <c r="G145" s="1" t="s">
        <v>869</v>
      </c>
      <c r="H145" s="140" t="n">
        <v>46113</v>
      </c>
      <c r="I145" s="1" t="n">
        <v>1260</v>
      </c>
      <c r="J145" s="1" t="s">
        <v>1069</v>
      </c>
      <c r="K145" s="1" t="s">
        <v>968</v>
      </c>
      <c r="L145" s="1" t="n">
        <v>5200</v>
      </c>
      <c r="N145" s="1" t="s">
        <v>1073</v>
      </c>
      <c r="P145" s="1" t="n">
        <v>45</v>
      </c>
      <c r="S145" s="1" t="str">
        <f aca="false">IF($C145="","",$C145&amp;"|"&amp;$E145&amp;"|"&amp;$F145&amp;"|"&amp;$L145&amp;"|"&amp;$P145&amp;"|"&amp;TEXT($H145,"yyyy-mm-dd"))</f>
        <v>PCGH775|14781|43782|5200|45|2026-04-01</v>
      </c>
      <c r="T145" s="1" t="str">
        <f aca="false">IF($S145="","",IF(COUNTIF($S$2:$S$2991,$S145)&gt;1,"DUPLICATE","OK"))</f>
        <v>OK</v>
      </c>
      <c r="U145" s="0" t="str">
        <f aca="false">IF($L145="","",IFERROR(VLOOKUP(--$L145,MM_Income!$Z$5:$AC$204,3,FALSE()),"UNMAPPED"))</f>
        <v>Recoverable</v>
      </c>
    </row>
    <row r="146" customFormat="false" ht="13.5" hidden="false" customHeight="false" outlineLevel="0" collapsed="false">
      <c r="A146" s="1" t="str">
        <f aca="false">IF($C146="","",Controls!$B$7)</f>
        <v>PCGH</v>
      </c>
      <c r="B146" s="1" t="str">
        <f aca="false">IF($H146="","",YEAR($H146)&amp;"-Q"&amp;ROUNDUP(MONTH($H146)/3,0))</f>
        <v>2026-Q2</v>
      </c>
      <c r="C146" s="1" t="s">
        <v>925</v>
      </c>
      <c r="D146" s="1" t="s">
        <v>926</v>
      </c>
      <c r="E146" s="1" t="n">
        <v>14782</v>
      </c>
      <c r="F146" s="1" t="n">
        <v>43783</v>
      </c>
      <c r="G146" s="1" t="s">
        <v>869</v>
      </c>
      <c r="H146" s="140" t="n">
        <v>46143</v>
      </c>
      <c r="I146" s="1" t="n">
        <v>1260</v>
      </c>
      <c r="J146" s="1" t="s">
        <v>1074</v>
      </c>
      <c r="K146" s="1" t="s">
        <v>968</v>
      </c>
      <c r="L146" s="1" t="n">
        <v>5200</v>
      </c>
      <c r="N146" s="1" t="s">
        <v>1075</v>
      </c>
      <c r="P146" s="1" t="n">
        <v>500</v>
      </c>
      <c r="S146" s="1" t="str">
        <f aca="false">IF($C146="","",$C146&amp;"|"&amp;$E146&amp;"|"&amp;$F146&amp;"|"&amp;$L146&amp;"|"&amp;$P146&amp;"|"&amp;TEXT($H146,"yyyy-mm-dd"))</f>
        <v>PCGH786|14782|43783|5200|500|2026-05-01</v>
      </c>
      <c r="T146" s="1" t="str">
        <f aca="false">IF($S146="","",IF(COUNTIF($S$2:$S$2991,$S146)&gt;1,"DUPLICATE","OK"))</f>
        <v>OK</v>
      </c>
      <c r="U146" s="0" t="str">
        <f aca="false">IF($L146="","",IFERROR(VLOOKUP(--$L146,MM_Income!$Z$5:$AC$204,3,FALSE()),"UNMAPPED"))</f>
        <v>Recoverable</v>
      </c>
    </row>
    <row r="147" customFormat="false" ht="13.5" hidden="false" customHeight="false" outlineLevel="0" collapsed="false">
      <c r="A147" s="1" t="str">
        <f aca="false">IF($C147="","",Controls!$B$7)</f>
        <v>PCGH</v>
      </c>
      <c r="B147" s="1" t="str">
        <f aca="false">IF($H147="","",YEAR($H147)&amp;"-Q"&amp;ROUNDUP(MONTH($H147)/3,0))</f>
        <v>2026-Q2</v>
      </c>
      <c r="C147" s="1" t="s">
        <v>925</v>
      </c>
      <c r="D147" s="1" t="s">
        <v>926</v>
      </c>
      <c r="E147" s="1" t="n">
        <v>14783</v>
      </c>
      <c r="F147" s="1" t="n">
        <v>43805</v>
      </c>
      <c r="G147" s="1" t="s">
        <v>869</v>
      </c>
      <c r="H147" s="140" t="n">
        <v>46136</v>
      </c>
      <c r="I147" s="1" t="n">
        <v>1260</v>
      </c>
      <c r="J147" s="1" t="s">
        <v>1076</v>
      </c>
      <c r="K147" s="1" t="s">
        <v>849</v>
      </c>
      <c r="L147" s="1" t="n">
        <v>5200</v>
      </c>
      <c r="N147" s="1" t="s">
        <v>1077</v>
      </c>
      <c r="P147" s="1" t="n">
        <v>2200</v>
      </c>
      <c r="S147" s="1" t="str">
        <f aca="false">IF($C147="","",$C147&amp;"|"&amp;$E147&amp;"|"&amp;$F147&amp;"|"&amp;$L147&amp;"|"&amp;$P147&amp;"|"&amp;TEXT($H147,"yyyy-mm-dd"))</f>
        <v>PCGH786|14783|43805|5200|2200|2026-04-24</v>
      </c>
      <c r="T147" s="1" t="str">
        <f aca="false">IF($S147="","",IF(COUNTIF($S$2:$S$2991,$S147)&gt;1,"DUPLICATE","OK"))</f>
        <v>OK</v>
      </c>
      <c r="U147" s="0" t="str">
        <f aca="false">IF($L147="","",IFERROR(VLOOKUP(--$L147,MM_Income!$Z$5:$AC$204,3,FALSE()),"UNMAPPED"))</f>
        <v>Recoverable</v>
      </c>
    </row>
    <row r="148" customFormat="false" ht="13.5" hidden="false" customHeight="false" outlineLevel="0" collapsed="false">
      <c r="A148" s="1" t="str">
        <f aca="false">IF($C148="","",Controls!$B$7)</f>
        <v>PCGH</v>
      </c>
      <c r="B148" s="1" t="str">
        <f aca="false">IF($H148="","",YEAR($H148)&amp;"-Q"&amp;ROUNDUP(MONTH($H148)/3,0))</f>
        <v>2026-Q2</v>
      </c>
      <c r="C148" s="1" t="s">
        <v>925</v>
      </c>
      <c r="D148" s="1" t="s">
        <v>926</v>
      </c>
      <c r="E148" s="1" t="n">
        <v>14784</v>
      </c>
      <c r="F148" s="1" t="n">
        <v>43807</v>
      </c>
      <c r="G148" s="1" t="s">
        <v>869</v>
      </c>
      <c r="H148" s="140" t="n">
        <v>46136</v>
      </c>
      <c r="I148" s="1" t="n">
        <v>1260</v>
      </c>
      <c r="J148" s="1" t="s">
        <v>1076</v>
      </c>
      <c r="K148" s="1" t="s">
        <v>849</v>
      </c>
      <c r="L148" s="1" t="n">
        <v>5200</v>
      </c>
      <c r="N148" s="1" t="s">
        <v>1078</v>
      </c>
      <c r="P148" s="1" t="n">
        <v>460</v>
      </c>
      <c r="S148" s="1" t="str">
        <f aca="false">IF($C148="","",$C148&amp;"|"&amp;$E148&amp;"|"&amp;$F148&amp;"|"&amp;$L148&amp;"|"&amp;$P148&amp;"|"&amp;TEXT($H148,"yyyy-mm-dd"))</f>
        <v>PCGH786|14784|43807|5200|460|2026-04-24</v>
      </c>
      <c r="T148" s="1" t="str">
        <f aca="false">IF($S148="","",IF(COUNTIF($S$2:$S$2991,$S148)&gt;1,"DUPLICATE","OK"))</f>
        <v>OK</v>
      </c>
      <c r="U148" s="0" t="str">
        <f aca="false">IF($L148="","",IFERROR(VLOOKUP(--$L148,MM_Income!$Z$5:$AC$204,3,FALSE()),"UNMAPPED"))</f>
        <v>Recoverable</v>
      </c>
    </row>
    <row r="149" customFormat="false" ht="13.5" hidden="false" customHeight="false" outlineLevel="0" collapsed="false">
      <c r="A149" s="1" t="str">
        <f aca="false">IF($C149="","",Controls!$B$7)</f>
        <v>PCGH</v>
      </c>
      <c r="B149" s="1" t="str">
        <f aca="false">IF($H149="","",YEAR($H149)&amp;"-Q"&amp;ROUNDUP(MONTH($H149)/3,0))</f>
        <v>2026-Q2</v>
      </c>
      <c r="C149" s="1" t="s">
        <v>925</v>
      </c>
      <c r="D149" s="1" t="s">
        <v>926</v>
      </c>
      <c r="E149" s="1" t="n">
        <v>14785</v>
      </c>
      <c r="F149" s="1" t="n">
        <v>43808</v>
      </c>
      <c r="G149" s="1" t="s">
        <v>869</v>
      </c>
      <c r="H149" s="140" t="n">
        <v>46135</v>
      </c>
      <c r="I149" s="1" t="n">
        <v>1260</v>
      </c>
      <c r="J149" s="1" t="s">
        <v>1076</v>
      </c>
      <c r="K149" s="1" t="s">
        <v>849</v>
      </c>
      <c r="L149" s="1" t="n">
        <v>5200</v>
      </c>
      <c r="N149" s="1" t="s">
        <v>1079</v>
      </c>
      <c r="P149" s="1" t="n">
        <v>250</v>
      </c>
      <c r="S149" s="1" t="str">
        <f aca="false">IF($C149="","",$C149&amp;"|"&amp;$E149&amp;"|"&amp;$F149&amp;"|"&amp;$L149&amp;"|"&amp;$P149&amp;"|"&amp;TEXT($H149,"yyyy-mm-dd"))</f>
        <v>PCGH786|14785|43808|5200|250|2026-04-23</v>
      </c>
      <c r="T149" s="1" t="str">
        <f aca="false">IF($S149="","",IF(COUNTIF($S$2:$S$2991,$S149)&gt;1,"DUPLICATE","OK"))</f>
        <v>OK</v>
      </c>
      <c r="U149" s="0" t="str">
        <f aca="false">IF($L149="","",IFERROR(VLOOKUP(--$L149,MM_Income!$Z$5:$AC$204,3,FALSE()),"UNMAPPED"))</f>
        <v>Recoverable</v>
      </c>
    </row>
    <row r="150" customFormat="false" ht="13.5" hidden="false" customHeight="false" outlineLevel="0" collapsed="false">
      <c r="A150" s="1" t="str">
        <f aca="false">IF($C150="","",Controls!$B$7)</f>
        <v>PCGH</v>
      </c>
      <c r="B150" s="1" t="str">
        <f aca="false">IF($H150="","",YEAR($H150)&amp;"-Q"&amp;ROUNDUP(MONTH($H150)/3,0))</f>
        <v>2026-Q2</v>
      </c>
      <c r="C150" s="1" t="s">
        <v>925</v>
      </c>
      <c r="D150" s="1" t="s">
        <v>926</v>
      </c>
      <c r="E150" s="1" t="n">
        <v>14786</v>
      </c>
      <c r="F150" s="1" t="n">
        <v>43809</v>
      </c>
      <c r="G150" s="1" t="s">
        <v>869</v>
      </c>
      <c r="H150" s="140" t="n">
        <v>46135</v>
      </c>
      <c r="I150" s="1" t="n">
        <v>1260</v>
      </c>
      <c r="J150" s="1" t="s">
        <v>1076</v>
      </c>
      <c r="K150" s="1" t="s">
        <v>849</v>
      </c>
      <c r="L150" s="1" t="n">
        <v>5200</v>
      </c>
      <c r="N150" s="1" t="s">
        <v>1080</v>
      </c>
      <c r="P150" s="1" t="n">
        <v>3600</v>
      </c>
      <c r="S150" s="1" t="str">
        <f aca="false">IF($C150="","",$C150&amp;"|"&amp;$E150&amp;"|"&amp;$F150&amp;"|"&amp;$L150&amp;"|"&amp;$P150&amp;"|"&amp;TEXT($H150,"yyyy-mm-dd"))</f>
        <v>PCGH786|14786|43809|5200|3600|2026-04-23</v>
      </c>
      <c r="T150" s="1" t="str">
        <f aca="false">IF($S150="","",IF(COUNTIF($S$2:$S$2991,$S150)&gt;1,"DUPLICATE","OK"))</f>
        <v>OK</v>
      </c>
      <c r="U150" s="0" t="str">
        <f aca="false">IF($L150="","",IFERROR(VLOOKUP(--$L150,MM_Income!$Z$5:$AC$204,3,FALSE()),"UNMAPPED"))</f>
        <v>Recoverable</v>
      </c>
    </row>
    <row r="151" customFormat="false" ht="13.5" hidden="false" customHeight="false" outlineLevel="0" collapsed="false">
      <c r="A151" s="1" t="str">
        <f aca="false">IF($C151="","",Controls!$B$7)</f>
        <v>PCGH</v>
      </c>
      <c r="B151" s="1" t="str">
        <f aca="false">IF($H151="","",YEAR($H151)&amp;"-Q"&amp;ROUNDUP(MONTH($H151)/3,0))</f>
        <v>2026-Q2</v>
      </c>
      <c r="C151" s="1" t="s">
        <v>925</v>
      </c>
      <c r="D151" s="1" t="s">
        <v>926</v>
      </c>
      <c r="E151" s="1" t="n">
        <v>14787</v>
      </c>
      <c r="F151" s="1" t="n">
        <v>43810</v>
      </c>
      <c r="G151" s="1" t="s">
        <v>869</v>
      </c>
      <c r="H151" s="140" t="n">
        <v>46135</v>
      </c>
      <c r="I151" s="1" t="n">
        <v>1260</v>
      </c>
      <c r="J151" s="1" t="s">
        <v>1076</v>
      </c>
      <c r="K151" s="1" t="s">
        <v>849</v>
      </c>
      <c r="L151" s="1" t="n">
        <v>5200</v>
      </c>
      <c r="N151" s="1" t="s">
        <v>1081</v>
      </c>
      <c r="P151" s="1" t="n">
        <v>400</v>
      </c>
      <c r="S151" s="1" t="str">
        <f aca="false">IF($C151="","",$C151&amp;"|"&amp;$E151&amp;"|"&amp;$F151&amp;"|"&amp;$L151&amp;"|"&amp;$P151&amp;"|"&amp;TEXT($H151,"yyyy-mm-dd"))</f>
        <v>PCGH786|14787|43810|5200|400|2026-04-23</v>
      </c>
      <c r="T151" s="1" t="str">
        <f aca="false">IF($S151="","",IF(COUNTIF($S$2:$S$2991,$S151)&gt;1,"DUPLICATE","OK"))</f>
        <v>OK</v>
      </c>
      <c r="U151" s="0" t="str">
        <f aca="false">IF($L151="","",IFERROR(VLOOKUP(--$L151,MM_Income!$Z$5:$AC$204,3,FALSE()),"UNMAPPED"))</f>
        <v>Recoverable</v>
      </c>
    </row>
    <row r="152" customFormat="false" ht="13.5" hidden="false" customHeight="false" outlineLevel="0" collapsed="false">
      <c r="A152" s="1" t="str">
        <f aca="false">IF($C152="","",Controls!$B$7)</f>
        <v>PCGH</v>
      </c>
      <c r="B152" s="1" t="str">
        <f aca="false">IF($H152="","",YEAR($H152)&amp;"-Q"&amp;ROUNDUP(MONTH($H152)/3,0))</f>
        <v>2026-Q2</v>
      </c>
      <c r="C152" s="1" t="s">
        <v>925</v>
      </c>
      <c r="D152" s="1" t="s">
        <v>926</v>
      </c>
      <c r="E152" s="1" t="n">
        <v>14788</v>
      </c>
      <c r="F152" s="1" t="n">
        <v>43811</v>
      </c>
      <c r="G152" s="1" t="s">
        <v>869</v>
      </c>
      <c r="H152" s="140" t="n">
        <v>46135</v>
      </c>
      <c r="I152" s="1" t="n">
        <v>1260</v>
      </c>
      <c r="J152" s="1" t="s">
        <v>1076</v>
      </c>
      <c r="K152" s="1" t="s">
        <v>849</v>
      </c>
      <c r="L152" s="1" t="n">
        <v>5200</v>
      </c>
      <c r="N152" s="1" t="s">
        <v>1082</v>
      </c>
      <c r="P152" s="1" t="n">
        <v>550</v>
      </c>
      <c r="S152" s="1" t="str">
        <f aca="false">IF($C152="","",$C152&amp;"|"&amp;$E152&amp;"|"&amp;$F152&amp;"|"&amp;$L152&amp;"|"&amp;$P152&amp;"|"&amp;TEXT($H152,"yyyy-mm-dd"))</f>
        <v>PCGH786|14788|43811|5200|550|2026-04-23</v>
      </c>
      <c r="T152" s="1" t="str">
        <f aca="false">IF($S152="","",IF(COUNTIF($S$2:$S$2991,$S152)&gt;1,"DUPLICATE","OK"))</f>
        <v>OK</v>
      </c>
      <c r="U152" s="0" t="str">
        <f aca="false">IF($L152="","",IFERROR(VLOOKUP(--$L152,MM_Income!$Z$5:$AC$204,3,FALSE()),"UNMAPPED"))</f>
        <v>Recoverable</v>
      </c>
    </row>
    <row r="153" customFormat="false" ht="13.5" hidden="false" customHeight="false" outlineLevel="0" collapsed="false">
      <c r="A153" s="1" t="str">
        <f aca="false">IF($C153="","",Controls!$B$7)</f>
        <v>PCGH</v>
      </c>
      <c r="B153" s="1" t="str">
        <f aca="false">IF($H153="","",YEAR($H153)&amp;"-Q"&amp;ROUNDUP(MONTH($H153)/3,0))</f>
        <v>2026-Q2</v>
      </c>
      <c r="C153" s="1" t="s">
        <v>925</v>
      </c>
      <c r="D153" s="1" t="s">
        <v>926</v>
      </c>
      <c r="E153" s="1" t="n">
        <v>14789</v>
      </c>
      <c r="F153" s="1" t="n">
        <v>43812</v>
      </c>
      <c r="G153" s="1" t="s">
        <v>869</v>
      </c>
      <c r="H153" s="140" t="n">
        <v>46135</v>
      </c>
      <c r="I153" s="1" t="n">
        <v>1260</v>
      </c>
      <c r="J153" s="1" t="s">
        <v>1076</v>
      </c>
      <c r="K153" s="1" t="s">
        <v>849</v>
      </c>
      <c r="L153" s="1" t="n">
        <v>5200</v>
      </c>
      <c r="N153" s="1" t="s">
        <v>1083</v>
      </c>
      <c r="P153" s="1" t="n">
        <v>400</v>
      </c>
      <c r="S153" s="1" t="str">
        <f aca="false">IF($C153="","",$C153&amp;"|"&amp;$E153&amp;"|"&amp;$F153&amp;"|"&amp;$L153&amp;"|"&amp;$P153&amp;"|"&amp;TEXT($H153,"yyyy-mm-dd"))</f>
        <v>PCGH786|14789|43812|5200|400|2026-04-23</v>
      </c>
      <c r="T153" s="1" t="str">
        <f aca="false">IF($S153="","",IF(COUNTIF($S$2:$S$2991,$S153)&gt;1,"DUPLICATE","OK"))</f>
        <v>OK</v>
      </c>
      <c r="U153" s="0" t="str">
        <f aca="false">IF($L153="","",IFERROR(VLOOKUP(--$L153,MM_Income!$Z$5:$AC$204,3,FALSE()),"UNMAPPED"))</f>
        <v>Recoverable</v>
      </c>
    </row>
    <row r="154" customFormat="false" ht="13.5" hidden="false" customHeight="false" outlineLevel="0" collapsed="false">
      <c r="A154" s="1" t="str">
        <f aca="false">IF($C154="","",Controls!$B$7)</f>
        <v>PCGH</v>
      </c>
      <c r="B154" s="1" t="str">
        <f aca="false">IF($H154="","",YEAR($H154)&amp;"-Q"&amp;ROUNDUP(MONTH($H154)/3,0))</f>
        <v>2026-Q2</v>
      </c>
      <c r="C154" s="1" t="s">
        <v>925</v>
      </c>
      <c r="D154" s="1" t="s">
        <v>926</v>
      </c>
      <c r="E154" s="1" t="n">
        <v>14790</v>
      </c>
      <c r="F154" s="1" t="n">
        <v>43813</v>
      </c>
      <c r="G154" s="1" t="s">
        <v>869</v>
      </c>
      <c r="H154" s="140" t="n">
        <v>46145</v>
      </c>
      <c r="I154" s="1" t="n">
        <v>1260</v>
      </c>
      <c r="J154" s="1" t="s">
        <v>1076</v>
      </c>
      <c r="K154" s="1" t="s">
        <v>849</v>
      </c>
      <c r="L154" s="1" t="n">
        <v>5200</v>
      </c>
      <c r="N154" s="1" t="s">
        <v>1084</v>
      </c>
      <c r="P154" s="1" t="n">
        <v>1422.21</v>
      </c>
      <c r="S154" s="1" t="str">
        <f aca="false">IF($C154="","",$C154&amp;"|"&amp;$E154&amp;"|"&amp;$F154&amp;"|"&amp;$L154&amp;"|"&amp;$P154&amp;"|"&amp;TEXT($H154,"yyyy-mm-dd"))</f>
        <v>PCGH786|14790|43813|5200|1422.21|2026-05-03</v>
      </c>
      <c r="T154" s="1" t="str">
        <f aca="false">IF($S154="","",IF(COUNTIF($S$2:$S$2991,$S154)&gt;1,"DUPLICATE","OK"))</f>
        <v>OK</v>
      </c>
      <c r="U154" s="0" t="str">
        <f aca="false">IF($L154="","",IFERROR(VLOOKUP(--$L154,MM_Income!$Z$5:$AC$204,3,FALSE()),"UNMAPPED"))</f>
        <v>Recoverable</v>
      </c>
    </row>
    <row r="155" customFormat="false" ht="13.5" hidden="false" customHeight="false" outlineLevel="0" collapsed="false">
      <c r="A155" s="1" t="str">
        <f aca="false">IF($C155="","",Controls!$B$7)</f>
        <v>PCGH</v>
      </c>
      <c r="B155" s="1" t="str">
        <f aca="false">IF($H155="","",YEAR($H155)&amp;"-Q"&amp;ROUNDUP(MONTH($H155)/3,0))</f>
        <v>2026-Q2</v>
      </c>
      <c r="C155" s="1" t="s">
        <v>925</v>
      </c>
      <c r="D155" s="1" t="s">
        <v>926</v>
      </c>
      <c r="E155" s="1" t="n">
        <v>14791</v>
      </c>
      <c r="F155" s="1" t="n">
        <v>43815</v>
      </c>
      <c r="G155" s="1" t="s">
        <v>869</v>
      </c>
      <c r="H155" s="140" t="n">
        <v>46144</v>
      </c>
      <c r="I155" s="1" t="n">
        <v>1260</v>
      </c>
      <c r="J155" s="1" t="s">
        <v>1076</v>
      </c>
      <c r="K155" s="1" t="s">
        <v>849</v>
      </c>
      <c r="L155" s="1" t="n">
        <v>5200</v>
      </c>
      <c r="N155" s="1" t="s">
        <v>1085</v>
      </c>
      <c r="P155" s="1" t="n">
        <v>127.8</v>
      </c>
      <c r="S155" s="1" t="str">
        <f aca="false">IF($C155="","",$C155&amp;"|"&amp;$E155&amp;"|"&amp;$F155&amp;"|"&amp;$L155&amp;"|"&amp;$P155&amp;"|"&amp;TEXT($H155,"yyyy-mm-dd"))</f>
        <v>PCGH786|14791|43815|5200|127.8|2026-05-02</v>
      </c>
      <c r="T155" s="1" t="str">
        <f aca="false">IF($S155="","",IF(COUNTIF($S$2:$S$2991,$S155)&gt;1,"DUPLICATE","OK"))</f>
        <v>OK</v>
      </c>
      <c r="U155" s="0" t="str">
        <f aca="false">IF($L155="","",IFERROR(VLOOKUP(--$L155,MM_Income!$Z$5:$AC$204,3,FALSE()),"UNMAPPED"))</f>
        <v>Recoverable</v>
      </c>
    </row>
    <row r="156" customFormat="false" ht="13.5" hidden="false" customHeight="false" outlineLevel="0" collapsed="false">
      <c r="A156" s="1" t="str">
        <f aca="false">IF($C156="","",Controls!$B$7)</f>
        <v>PCGH</v>
      </c>
      <c r="B156" s="1" t="str">
        <f aca="false">IF($H156="","",YEAR($H156)&amp;"-Q"&amp;ROUNDUP(MONTH($H156)/3,0))</f>
        <v>2026-Q2</v>
      </c>
      <c r="C156" s="1" t="s">
        <v>925</v>
      </c>
      <c r="D156" s="1" t="s">
        <v>926</v>
      </c>
      <c r="E156" s="1" t="n">
        <v>14792</v>
      </c>
      <c r="F156" s="1" t="n">
        <v>43816</v>
      </c>
      <c r="G156" s="1" t="s">
        <v>869</v>
      </c>
      <c r="H156" s="140" t="n">
        <v>46144</v>
      </c>
      <c r="I156" s="1" t="n">
        <v>1260</v>
      </c>
      <c r="J156" s="1" t="s">
        <v>1076</v>
      </c>
      <c r="K156" s="1" t="s">
        <v>849</v>
      </c>
      <c r="L156" s="1" t="n">
        <v>5200</v>
      </c>
      <c r="N156" s="1" t="s">
        <v>1085</v>
      </c>
      <c r="P156" s="1" t="n">
        <v>123.69</v>
      </c>
      <c r="S156" s="1" t="str">
        <f aca="false">IF($C156="","",$C156&amp;"|"&amp;$E156&amp;"|"&amp;$F156&amp;"|"&amp;$L156&amp;"|"&amp;$P156&amp;"|"&amp;TEXT($H156,"yyyy-mm-dd"))</f>
        <v>PCGH786|14792|43816|5200|123.69|2026-05-02</v>
      </c>
      <c r="T156" s="1" t="str">
        <f aca="false">IF($S156="","",IF(COUNTIF($S$2:$S$2991,$S156)&gt;1,"DUPLICATE","OK"))</f>
        <v>OK</v>
      </c>
      <c r="U156" s="0" t="str">
        <f aca="false">IF($L156="","",IFERROR(VLOOKUP(--$L156,MM_Income!$Z$5:$AC$204,3,FALSE()),"UNMAPPED"))</f>
        <v>Recoverable</v>
      </c>
    </row>
    <row r="157" customFormat="false" ht="13.5" hidden="false" customHeight="false" outlineLevel="0" collapsed="false">
      <c r="A157" s="1" t="str">
        <f aca="false">IF($C157="","",Controls!$B$7)</f>
        <v>PCGH</v>
      </c>
      <c r="B157" s="1" t="str">
        <f aca="false">IF($H157="","",YEAR($H157)&amp;"-Q"&amp;ROUNDUP(MONTH($H157)/3,0))</f>
        <v>2026-Q2</v>
      </c>
      <c r="C157" s="1" t="s">
        <v>925</v>
      </c>
      <c r="D157" s="1" t="s">
        <v>926</v>
      </c>
      <c r="E157" s="1" t="n">
        <v>14793</v>
      </c>
      <c r="F157" s="1" t="n">
        <v>43817</v>
      </c>
      <c r="G157" s="1" t="s">
        <v>869</v>
      </c>
      <c r="H157" s="140" t="n">
        <v>46144</v>
      </c>
      <c r="I157" s="1" t="n">
        <v>1260</v>
      </c>
      <c r="J157" s="1" t="s">
        <v>1076</v>
      </c>
      <c r="K157" s="1" t="s">
        <v>849</v>
      </c>
      <c r="L157" s="1" t="n">
        <v>5200</v>
      </c>
      <c r="N157" s="1" t="s">
        <v>1086</v>
      </c>
      <c r="P157" s="1" t="n">
        <v>250</v>
      </c>
      <c r="S157" s="1" t="str">
        <f aca="false">IF($C157="","",$C157&amp;"|"&amp;$E157&amp;"|"&amp;$F157&amp;"|"&amp;$L157&amp;"|"&amp;$P157&amp;"|"&amp;TEXT($H157,"yyyy-mm-dd"))</f>
        <v>PCGH786|14793|43817|5200|250|2026-05-02</v>
      </c>
      <c r="T157" s="1" t="str">
        <f aca="false">IF($S157="","",IF(COUNTIF($S$2:$S$2991,$S157)&gt;1,"DUPLICATE","OK"))</f>
        <v>OK</v>
      </c>
      <c r="U157" s="0" t="str">
        <f aca="false">IF($L157="","",IFERROR(VLOOKUP(--$L157,MM_Income!$Z$5:$AC$204,3,FALSE()),"UNMAPPED"))</f>
        <v>Recoverable</v>
      </c>
    </row>
    <row r="158" customFormat="false" ht="13.5" hidden="false" customHeight="false" outlineLevel="0" collapsed="false">
      <c r="A158" s="1" t="str">
        <f aca="false">IF($C158="","",Controls!$B$7)</f>
        <v>PCGH</v>
      </c>
      <c r="B158" s="1" t="str">
        <f aca="false">IF($H158="","",YEAR($H158)&amp;"-Q"&amp;ROUNDUP(MONTH($H158)/3,0))</f>
        <v>2026-Q2</v>
      </c>
      <c r="C158" s="1" t="s">
        <v>925</v>
      </c>
      <c r="D158" s="1" t="s">
        <v>926</v>
      </c>
      <c r="E158" s="1" t="n">
        <v>14794</v>
      </c>
      <c r="F158" s="1" t="n">
        <v>43818</v>
      </c>
      <c r="G158" s="1" t="s">
        <v>869</v>
      </c>
      <c r="H158" s="140" t="n">
        <v>46144</v>
      </c>
      <c r="I158" s="1" t="n">
        <v>1260</v>
      </c>
      <c r="J158" s="1" t="s">
        <v>1076</v>
      </c>
      <c r="K158" s="1" t="s">
        <v>849</v>
      </c>
      <c r="L158" s="1" t="n">
        <v>5200</v>
      </c>
      <c r="N158" s="1" t="s">
        <v>1084</v>
      </c>
      <c r="P158" s="1" t="n">
        <v>1727.5</v>
      </c>
      <c r="S158" s="1" t="str">
        <f aca="false">IF($C158="","",$C158&amp;"|"&amp;$E158&amp;"|"&amp;$F158&amp;"|"&amp;$L158&amp;"|"&amp;$P158&amp;"|"&amp;TEXT($H158,"yyyy-mm-dd"))</f>
        <v>PCGH786|14794|43818|5200|1727.5|2026-05-02</v>
      </c>
      <c r="T158" s="1" t="str">
        <f aca="false">IF($S158="","",IF(COUNTIF($S$2:$S$2991,$S158)&gt;1,"DUPLICATE","OK"))</f>
        <v>OK</v>
      </c>
      <c r="U158" s="0" t="str">
        <f aca="false">IF($L158="","",IFERROR(VLOOKUP(--$L158,MM_Income!$Z$5:$AC$204,3,FALSE()),"UNMAPPED"))</f>
        <v>Recoverable</v>
      </c>
    </row>
    <row r="159" customFormat="false" ht="13.5" hidden="false" customHeight="false" outlineLevel="0" collapsed="false">
      <c r="A159" s="1" t="str">
        <f aca="false">IF($C159="","",Controls!$B$7)</f>
        <v>PCGH</v>
      </c>
      <c r="B159" s="1" t="str">
        <f aca="false">IF($H159="","",YEAR($H159)&amp;"-Q"&amp;ROUNDUP(MONTH($H159)/3,0))</f>
        <v>2026-Q2</v>
      </c>
      <c r="C159" s="1" t="s">
        <v>925</v>
      </c>
      <c r="D159" s="1" t="s">
        <v>926</v>
      </c>
      <c r="E159" s="1" t="n">
        <v>14795</v>
      </c>
      <c r="F159" s="1" t="n">
        <v>43819</v>
      </c>
      <c r="G159" s="1" t="s">
        <v>869</v>
      </c>
      <c r="H159" s="140" t="n">
        <v>46144</v>
      </c>
      <c r="I159" s="1" t="n">
        <v>1260</v>
      </c>
      <c r="J159" s="1" t="s">
        <v>1076</v>
      </c>
      <c r="K159" s="1" t="s">
        <v>849</v>
      </c>
      <c r="L159" s="1" t="n">
        <v>5200</v>
      </c>
      <c r="N159" s="1" t="s">
        <v>1087</v>
      </c>
      <c r="P159" s="1" t="n">
        <v>3307.5</v>
      </c>
      <c r="S159" s="1" t="str">
        <f aca="false">IF($C159="","",$C159&amp;"|"&amp;$E159&amp;"|"&amp;$F159&amp;"|"&amp;$L159&amp;"|"&amp;$P159&amp;"|"&amp;TEXT($H159,"yyyy-mm-dd"))</f>
        <v>PCGH786|14795|43819|5200|3307.5|2026-05-02</v>
      </c>
      <c r="T159" s="1" t="str">
        <f aca="false">IF($S159="","",IF(COUNTIF($S$2:$S$2991,$S159)&gt;1,"DUPLICATE","OK"))</f>
        <v>OK</v>
      </c>
      <c r="U159" s="0" t="str">
        <f aca="false">IF($L159="","",IFERROR(VLOOKUP(--$L159,MM_Income!$Z$5:$AC$204,3,FALSE()),"UNMAPPED"))</f>
        <v>Recoverable</v>
      </c>
    </row>
    <row r="160" customFormat="false" ht="13.5" hidden="false" customHeight="false" outlineLevel="0" collapsed="false">
      <c r="A160" s="1" t="str">
        <f aca="false">IF($C160="","",Controls!$B$7)</f>
        <v>PCGH</v>
      </c>
      <c r="B160" s="1" t="str">
        <f aca="false">IF($H160="","",YEAR($H160)&amp;"-Q"&amp;ROUNDUP(MONTH($H160)/3,0))</f>
        <v>2026-Q2</v>
      </c>
      <c r="C160" s="1" t="s">
        <v>925</v>
      </c>
      <c r="D160" s="1" t="s">
        <v>926</v>
      </c>
      <c r="E160" s="1" t="n">
        <v>14796</v>
      </c>
      <c r="F160" s="1" t="n">
        <v>43820</v>
      </c>
      <c r="G160" s="1" t="s">
        <v>869</v>
      </c>
      <c r="H160" s="140" t="n">
        <v>46144</v>
      </c>
      <c r="I160" s="1" t="n">
        <v>1260</v>
      </c>
      <c r="J160" s="1" t="s">
        <v>1076</v>
      </c>
      <c r="K160" s="1" t="s">
        <v>849</v>
      </c>
      <c r="L160" s="1" t="n">
        <v>5200</v>
      </c>
      <c r="N160" s="1" t="s">
        <v>1088</v>
      </c>
      <c r="P160" s="1" t="n">
        <v>226.68</v>
      </c>
      <c r="S160" s="1" t="str">
        <f aca="false">IF($C160="","",$C160&amp;"|"&amp;$E160&amp;"|"&amp;$F160&amp;"|"&amp;$L160&amp;"|"&amp;$P160&amp;"|"&amp;TEXT($H160,"yyyy-mm-dd"))</f>
        <v>PCGH786|14796|43820|5200|226.68|2026-05-02</v>
      </c>
      <c r="T160" s="1" t="str">
        <f aca="false">IF($S160="","",IF(COUNTIF($S$2:$S$2991,$S160)&gt;1,"DUPLICATE","OK"))</f>
        <v>OK</v>
      </c>
      <c r="U160" s="0" t="str">
        <f aca="false">IF($L160="","",IFERROR(VLOOKUP(--$L160,MM_Income!$Z$5:$AC$204,3,FALSE()),"UNMAPPED"))</f>
        <v>Recoverable</v>
      </c>
    </row>
    <row r="161" customFormat="false" ht="13.5" hidden="false" customHeight="false" outlineLevel="0" collapsed="false">
      <c r="A161" s="1" t="str">
        <f aca="false">IF($C161="","",Controls!$B$7)</f>
        <v>PCGH</v>
      </c>
      <c r="B161" s="1" t="str">
        <f aca="false">IF($H161="","",YEAR($H161)&amp;"-Q"&amp;ROUNDUP(MONTH($H161)/3,0))</f>
        <v>2026-Q2</v>
      </c>
      <c r="C161" s="1" t="s">
        <v>925</v>
      </c>
      <c r="D161" s="1" t="s">
        <v>926</v>
      </c>
      <c r="E161" s="1" t="n">
        <v>14797</v>
      </c>
      <c r="F161" s="1" t="n">
        <v>43821</v>
      </c>
      <c r="G161" s="1" t="s">
        <v>869</v>
      </c>
      <c r="H161" s="140" t="n">
        <v>46143</v>
      </c>
      <c r="I161" s="1" t="n">
        <v>1260</v>
      </c>
      <c r="J161" s="1" t="s">
        <v>1076</v>
      </c>
      <c r="K161" s="1" t="s">
        <v>849</v>
      </c>
      <c r="L161" s="1" t="n">
        <v>5200</v>
      </c>
      <c r="N161" s="1" t="s">
        <v>1089</v>
      </c>
      <c r="P161" s="1" t="n">
        <v>614.57</v>
      </c>
      <c r="S161" s="1" t="str">
        <f aca="false">IF($C161="","",$C161&amp;"|"&amp;$E161&amp;"|"&amp;$F161&amp;"|"&amp;$L161&amp;"|"&amp;$P161&amp;"|"&amp;TEXT($H161,"yyyy-mm-dd"))</f>
        <v>PCGH786|14797|43821|5200|614.57|2026-05-01</v>
      </c>
      <c r="T161" s="1" t="str">
        <f aca="false">IF($S161="","",IF(COUNTIF($S$2:$S$2991,$S161)&gt;1,"DUPLICATE","OK"))</f>
        <v>OK</v>
      </c>
      <c r="U161" s="0" t="str">
        <f aca="false">IF($L161="","",IFERROR(VLOOKUP(--$L161,MM_Income!$Z$5:$AC$204,3,FALSE()),"UNMAPPED"))</f>
        <v>Recoverable</v>
      </c>
    </row>
    <row r="162" customFormat="false" ht="13.5" hidden="false" customHeight="false" outlineLevel="0" collapsed="false">
      <c r="A162" s="1" t="str">
        <f aca="false">IF($C162="","",Controls!$B$7)</f>
        <v>PCGH</v>
      </c>
      <c r="B162" s="1" t="str">
        <f aca="false">IF($H162="","",YEAR($H162)&amp;"-Q"&amp;ROUNDUP(MONTH($H162)/3,0))</f>
        <v>2026-Q2</v>
      </c>
      <c r="C162" s="1" t="s">
        <v>925</v>
      </c>
      <c r="D162" s="1" t="s">
        <v>926</v>
      </c>
      <c r="E162" s="1" t="n">
        <v>14798</v>
      </c>
      <c r="F162" s="1" t="n">
        <v>43822</v>
      </c>
      <c r="G162" s="1" t="s">
        <v>869</v>
      </c>
      <c r="H162" s="140" t="n">
        <v>46143</v>
      </c>
      <c r="I162" s="1" t="n">
        <v>1260</v>
      </c>
      <c r="J162" s="1" t="s">
        <v>1076</v>
      </c>
      <c r="K162" s="1" t="s">
        <v>849</v>
      </c>
      <c r="L162" s="1" t="n">
        <v>5200</v>
      </c>
      <c r="N162" s="1" t="s">
        <v>1084</v>
      </c>
      <c r="P162" s="1" t="n">
        <v>1200</v>
      </c>
      <c r="S162" s="1" t="str">
        <f aca="false">IF($C162="","",$C162&amp;"|"&amp;$E162&amp;"|"&amp;$F162&amp;"|"&amp;$L162&amp;"|"&amp;$P162&amp;"|"&amp;TEXT($H162,"yyyy-mm-dd"))</f>
        <v>PCGH786|14798|43822|5200|1200|2026-05-01</v>
      </c>
      <c r="T162" s="1" t="str">
        <f aca="false">IF($S162="","",IF(COUNTIF($S$2:$S$2991,$S162)&gt;1,"DUPLICATE","OK"))</f>
        <v>OK</v>
      </c>
      <c r="U162" s="0" t="str">
        <f aca="false">IF($L162="","",IFERROR(VLOOKUP(--$L162,MM_Income!$Z$5:$AC$204,3,FALSE()),"UNMAPPED"))</f>
        <v>Recoverable</v>
      </c>
    </row>
    <row r="163" customFormat="false" ht="13.5" hidden="false" customHeight="false" outlineLevel="0" collapsed="false">
      <c r="A163" s="1" t="str">
        <f aca="false">IF($C163="","",Controls!$B$7)</f>
        <v>PCGH</v>
      </c>
      <c r="B163" s="1" t="str">
        <f aca="false">IF($H163="","",YEAR($H163)&amp;"-Q"&amp;ROUNDUP(MONTH($H163)/3,0))</f>
        <v>2026-Q2</v>
      </c>
      <c r="C163" s="1" t="s">
        <v>925</v>
      </c>
      <c r="D163" s="1" t="s">
        <v>926</v>
      </c>
      <c r="E163" s="1" t="n">
        <v>14799</v>
      </c>
      <c r="F163" s="1" t="n">
        <v>43823</v>
      </c>
      <c r="G163" s="1" t="s">
        <v>869</v>
      </c>
      <c r="H163" s="140" t="n">
        <v>46143</v>
      </c>
      <c r="I163" s="1" t="n">
        <v>1260</v>
      </c>
      <c r="J163" s="1" t="s">
        <v>1076</v>
      </c>
      <c r="K163" s="1" t="s">
        <v>849</v>
      </c>
      <c r="L163" s="1" t="n">
        <v>5200</v>
      </c>
      <c r="N163" s="1" t="s">
        <v>1090</v>
      </c>
      <c r="P163" s="1" t="n">
        <v>150</v>
      </c>
      <c r="S163" s="1" t="str">
        <f aca="false">IF($C163="","",$C163&amp;"|"&amp;$E163&amp;"|"&amp;$F163&amp;"|"&amp;$L163&amp;"|"&amp;$P163&amp;"|"&amp;TEXT($H163,"yyyy-mm-dd"))</f>
        <v>PCGH786|14799|43823|5200|150|2026-05-01</v>
      </c>
      <c r="T163" s="1" t="str">
        <f aca="false">IF($S163="","",IF(COUNTIF($S$2:$S$2991,$S163)&gt;1,"DUPLICATE","OK"))</f>
        <v>OK</v>
      </c>
      <c r="U163" s="0" t="str">
        <f aca="false">IF($L163="","",IFERROR(VLOOKUP(--$L163,MM_Income!$Z$5:$AC$204,3,FALSE()),"UNMAPPED"))</f>
        <v>Recoverable</v>
      </c>
    </row>
    <row r="164" customFormat="false" ht="13.5" hidden="false" customHeight="false" outlineLevel="0" collapsed="false">
      <c r="A164" s="1" t="str">
        <f aca="false">IF($C164="","",Controls!$B$7)</f>
        <v>PCGH</v>
      </c>
      <c r="B164" s="1" t="str">
        <f aca="false">IF($H164="","",YEAR($H164)&amp;"-Q"&amp;ROUNDUP(MONTH($H164)/3,0))</f>
        <v>2026-Q2</v>
      </c>
      <c r="C164" s="1" t="s">
        <v>925</v>
      </c>
      <c r="D164" s="1" t="s">
        <v>926</v>
      </c>
      <c r="E164" s="1" t="n">
        <v>14800</v>
      </c>
      <c r="F164" s="1" t="n">
        <v>43824</v>
      </c>
      <c r="G164" s="1" t="s">
        <v>869</v>
      </c>
      <c r="H164" s="140" t="n">
        <v>46142</v>
      </c>
      <c r="I164" s="1" t="n">
        <v>1260</v>
      </c>
      <c r="J164" s="1" t="s">
        <v>1076</v>
      </c>
      <c r="K164" s="1" t="s">
        <v>849</v>
      </c>
      <c r="L164" s="1" t="n">
        <v>5200</v>
      </c>
      <c r="N164" s="1" t="s">
        <v>1084</v>
      </c>
      <c r="P164" s="1" t="n">
        <v>1700</v>
      </c>
      <c r="S164" s="1" t="str">
        <f aca="false">IF($C164="","",$C164&amp;"|"&amp;$E164&amp;"|"&amp;$F164&amp;"|"&amp;$L164&amp;"|"&amp;$P164&amp;"|"&amp;TEXT($H164,"yyyy-mm-dd"))</f>
        <v>PCGH786|14800|43824|5200|1700|2026-04-30</v>
      </c>
      <c r="T164" s="1" t="str">
        <f aca="false">IF($S164="","",IF(COUNTIF($S$2:$S$2991,$S164)&gt;1,"DUPLICATE","OK"))</f>
        <v>OK</v>
      </c>
      <c r="U164" s="0" t="str">
        <f aca="false">IF($L164="","",IFERROR(VLOOKUP(--$L164,MM_Income!$Z$5:$AC$204,3,FALSE()),"UNMAPPED"))</f>
        <v>Recoverable</v>
      </c>
    </row>
    <row r="165" customFormat="false" ht="13.5" hidden="false" customHeight="false" outlineLevel="0" collapsed="false">
      <c r="A165" s="1" t="str">
        <f aca="false">IF($C165="","",Controls!$B$7)</f>
        <v>PCGH</v>
      </c>
      <c r="B165" s="1" t="str">
        <f aca="false">IF($H165="","",YEAR($H165)&amp;"-Q"&amp;ROUNDUP(MONTH($H165)/3,0))</f>
        <v>2026-Q2</v>
      </c>
      <c r="C165" s="1" t="s">
        <v>925</v>
      </c>
      <c r="D165" s="1" t="s">
        <v>926</v>
      </c>
      <c r="E165" s="1" t="n">
        <v>14801</v>
      </c>
      <c r="F165" s="1" t="n">
        <v>43825</v>
      </c>
      <c r="G165" s="1" t="s">
        <v>869</v>
      </c>
      <c r="H165" s="140" t="n">
        <v>46142</v>
      </c>
      <c r="I165" s="1" t="n">
        <v>1260</v>
      </c>
      <c r="J165" s="1" t="s">
        <v>1076</v>
      </c>
      <c r="K165" s="1" t="s">
        <v>849</v>
      </c>
      <c r="L165" s="1" t="n">
        <v>5200</v>
      </c>
      <c r="N165" s="1" t="s">
        <v>1091</v>
      </c>
      <c r="P165" s="1" t="n">
        <v>350</v>
      </c>
      <c r="S165" s="1" t="str">
        <f aca="false">IF($C165="","",$C165&amp;"|"&amp;$E165&amp;"|"&amp;$F165&amp;"|"&amp;$L165&amp;"|"&amp;$P165&amp;"|"&amp;TEXT($H165,"yyyy-mm-dd"))</f>
        <v>PCGH786|14801|43825|5200|350|2026-04-30</v>
      </c>
      <c r="T165" s="1" t="str">
        <f aca="false">IF($S165="","",IF(COUNTIF($S$2:$S$2991,$S165)&gt;1,"DUPLICATE","OK"))</f>
        <v>OK</v>
      </c>
      <c r="U165" s="0" t="str">
        <f aca="false">IF($L165="","",IFERROR(VLOOKUP(--$L165,MM_Income!$Z$5:$AC$204,3,FALSE()),"UNMAPPED"))</f>
        <v>Recoverable</v>
      </c>
    </row>
    <row r="166" customFormat="false" ht="13.5" hidden="false" customHeight="false" outlineLevel="0" collapsed="false">
      <c r="A166" s="1" t="str">
        <f aca="false">IF($C166="","",Controls!$B$7)</f>
        <v>PCGH</v>
      </c>
      <c r="B166" s="1" t="str">
        <f aca="false">IF($H166="","",YEAR($H166)&amp;"-Q"&amp;ROUNDUP(MONTH($H166)/3,0))</f>
        <v>2026-Q2</v>
      </c>
      <c r="C166" s="1" t="s">
        <v>925</v>
      </c>
      <c r="D166" s="1" t="s">
        <v>926</v>
      </c>
      <c r="E166" s="1" t="n">
        <v>14802</v>
      </c>
      <c r="F166" s="1" t="n">
        <v>43826</v>
      </c>
      <c r="G166" s="1" t="s">
        <v>869</v>
      </c>
      <c r="H166" s="140" t="n">
        <v>46141</v>
      </c>
      <c r="I166" s="1" t="n">
        <v>1260</v>
      </c>
      <c r="J166" s="1" t="s">
        <v>1076</v>
      </c>
      <c r="K166" s="1" t="s">
        <v>849</v>
      </c>
      <c r="L166" s="1" t="n">
        <v>5200</v>
      </c>
      <c r="N166" s="1" t="s">
        <v>1092</v>
      </c>
      <c r="P166" s="1" t="n">
        <v>130.97</v>
      </c>
      <c r="S166" s="1" t="str">
        <f aca="false">IF($C166="","",$C166&amp;"|"&amp;$E166&amp;"|"&amp;$F166&amp;"|"&amp;$L166&amp;"|"&amp;$P166&amp;"|"&amp;TEXT($H166,"yyyy-mm-dd"))</f>
        <v>PCGH786|14802|43826|5200|130.97|2026-04-29</v>
      </c>
      <c r="T166" s="1" t="str">
        <f aca="false">IF($S166="","",IF(COUNTIF($S$2:$S$2991,$S166)&gt;1,"DUPLICATE","OK"))</f>
        <v>OK</v>
      </c>
      <c r="U166" s="0" t="str">
        <f aca="false">IF($L166="","",IFERROR(VLOOKUP(--$L166,MM_Income!$Z$5:$AC$204,3,FALSE()),"UNMAPPED"))</f>
        <v>Recoverable</v>
      </c>
    </row>
    <row r="167" customFormat="false" ht="13.5" hidden="false" customHeight="false" outlineLevel="0" collapsed="false">
      <c r="A167" s="1" t="str">
        <f aca="false">IF($C167="","",Controls!$B$7)</f>
        <v>PCGH</v>
      </c>
      <c r="B167" s="1" t="str">
        <f aca="false">IF($H167="","",YEAR($H167)&amp;"-Q"&amp;ROUNDUP(MONTH($H167)/3,0))</f>
        <v>2026-Q2</v>
      </c>
      <c r="C167" s="1" t="s">
        <v>925</v>
      </c>
      <c r="D167" s="1" t="s">
        <v>926</v>
      </c>
      <c r="E167" s="1" t="n">
        <v>14803</v>
      </c>
      <c r="F167" s="1" t="n">
        <v>43827</v>
      </c>
      <c r="G167" s="1" t="s">
        <v>869</v>
      </c>
      <c r="H167" s="140" t="n">
        <v>46141</v>
      </c>
      <c r="I167" s="1" t="n">
        <v>1260</v>
      </c>
      <c r="J167" s="1" t="s">
        <v>1076</v>
      </c>
      <c r="K167" s="1" t="s">
        <v>849</v>
      </c>
      <c r="L167" s="1" t="n">
        <v>5200</v>
      </c>
      <c r="N167" s="1" t="s">
        <v>1087</v>
      </c>
      <c r="P167" s="1" t="n">
        <v>1180</v>
      </c>
      <c r="S167" s="1" t="str">
        <f aca="false">IF($C167="","",$C167&amp;"|"&amp;$E167&amp;"|"&amp;$F167&amp;"|"&amp;$L167&amp;"|"&amp;$P167&amp;"|"&amp;TEXT($H167,"yyyy-mm-dd"))</f>
        <v>PCGH786|14803|43827|5200|1180|2026-04-29</v>
      </c>
      <c r="T167" s="1" t="str">
        <f aca="false">IF($S167="","",IF(COUNTIF($S$2:$S$2991,$S167)&gt;1,"DUPLICATE","OK"))</f>
        <v>OK</v>
      </c>
      <c r="U167" s="0" t="str">
        <f aca="false">IF($L167="","",IFERROR(VLOOKUP(--$L167,MM_Income!$Z$5:$AC$204,3,FALSE()),"UNMAPPED"))</f>
        <v>Recoverable</v>
      </c>
    </row>
    <row r="168" customFormat="false" ht="13.5" hidden="false" customHeight="false" outlineLevel="0" collapsed="false">
      <c r="A168" s="1" t="str">
        <f aca="false">IF($C168="","",Controls!$B$7)</f>
        <v>PCGH</v>
      </c>
      <c r="B168" s="1" t="str">
        <f aca="false">IF($H168="","",YEAR($H168)&amp;"-Q"&amp;ROUNDUP(MONTH($H168)/3,0))</f>
        <v>2026-Q2</v>
      </c>
      <c r="C168" s="1" t="s">
        <v>925</v>
      </c>
      <c r="D168" s="1" t="s">
        <v>926</v>
      </c>
      <c r="E168" s="1" t="n">
        <v>14804</v>
      </c>
      <c r="F168" s="1" t="n">
        <v>43828</v>
      </c>
      <c r="G168" s="1" t="s">
        <v>869</v>
      </c>
      <c r="H168" s="140" t="n">
        <v>46141</v>
      </c>
      <c r="I168" s="1" t="n">
        <v>1260</v>
      </c>
      <c r="J168" s="1" t="s">
        <v>1076</v>
      </c>
      <c r="K168" s="1" t="s">
        <v>849</v>
      </c>
      <c r="L168" s="1" t="n">
        <v>5200</v>
      </c>
      <c r="N168" s="1" t="s">
        <v>1091</v>
      </c>
      <c r="P168" s="1" t="n">
        <v>290</v>
      </c>
      <c r="S168" s="1" t="str">
        <f aca="false">IF($C168="","",$C168&amp;"|"&amp;$E168&amp;"|"&amp;$F168&amp;"|"&amp;$L168&amp;"|"&amp;$P168&amp;"|"&amp;TEXT($H168,"yyyy-mm-dd"))</f>
        <v>PCGH786|14804|43828|5200|290|2026-04-29</v>
      </c>
      <c r="T168" s="1" t="str">
        <f aca="false">IF($S168="","",IF(COUNTIF($S$2:$S$2991,$S168)&gt;1,"DUPLICATE","OK"))</f>
        <v>OK</v>
      </c>
      <c r="U168" s="0" t="str">
        <f aca="false">IF($L168="","",IFERROR(VLOOKUP(--$L168,MM_Income!$Z$5:$AC$204,3,FALSE()),"UNMAPPED"))</f>
        <v>Recoverable</v>
      </c>
    </row>
    <row r="169" customFormat="false" ht="13.5" hidden="false" customHeight="false" outlineLevel="0" collapsed="false">
      <c r="A169" s="1" t="str">
        <f aca="false">IF($C169="","",Controls!$B$7)</f>
        <v>PCGH</v>
      </c>
      <c r="B169" s="1" t="str">
        <f aca="false">IF($H169="","",YEAR($H169)&amp;"-Q"&amp;ROUNDUP(MONTH($H169)/3,0))</f>
        <v>2026-Q2</v>
      </c>
      <c r="C169" s="1" t="s">
        <v>985</v>
      </c>
      <c r="D169" s="1" t="s">
        <v>986</v>
      </c>
      <c r="E169" s="1" t="n">
        <v>14805</v>
      </c>
      <c r="F169" s="1" t="n">
        <v>43829</v>
      </c>
      <c r="G169" s="1" t="s">
        <v>869</v>
      </c>
      <c r="H169" s="140" t="n">
        <v>46123</v>
      </c>
      <c r="I169" s="1" t="n">
        <v>1260</v>
      </c>
      <c r="J169" s="1" t="s">
        <v>1093</v>
      </c>
      <c r="K169" s="1" t="s">
        <v>849</v>
      </c>
      <c r="L169" s="1" t="n">
        <v>5200</v>
      </c>
      <c r="N169" s="1" t="s">
        <v>885</v>
      </c>
      <c r="P169" s="1" t="n">
        <v>86</v>
      </c>
      <c r="S169" s="1" t="str">
        <f aca="false">IF($C169="","",$C169&amp;"|"&amp;$E169&amp;"|"&amp;$F169&amp;"|"&amp;$L169&amp;"|"&amp;$P169&amp;"|"&amp;TEXT($H169,"yyyy-mm-dd"))</f>
        <v>PCGH789|14805|43829|5200|86|2026-04-11</v>
      </c>
      <c r="T169" s="1" t="str">
        <f aca="false">IF($S169="","",IF(COUNTIF($S$2:$S$2991,$S169)&gt;1,"DUPLICATE","OK"))</f>
        <v>OK</v>
      </c>
      <c r="U169" s="0" t="str">
        <f aca="false">IF($L169="","",IFERROR(VLOOKUP(--$L169,MM_Income!$Z$5:$AC$204,3,FALSE()),"UNMAPPED"))</f>
        <v>Recoverable</v>
      </c>
    </row>
    <row r="170" customFormat="false" ht="13.5" hidden="false" customHeight="false" outlineLevel="0" collapsed="false">
      <c r="A170" s="1" t="str">
        <f aca="false">IF($C170="","",Controls!$B$7)</f>
        <v>PCGH</v>
      </c>
      <c r="B170" s="1" t="str">
        <f aca="false">IF($H170="","",YEAR($H170)&amp;"-Q"&amp;ROUNDUP(MONTH($H170)/3,0))</f>
        <v>2026-Q2</v>
      </c>
      <c r="C170" s="1" t="s">
        <v>985</v>
      </c>
      <c r="D170" s="1" t="s">
        <v>986</v>
      </c>
      <c r="E170" s="1" t="n">
        <v>14806</v>
      </c>
      <c r="F170" s="1" t="n">
        <v>43830</v>
      </c>
      <c r="G170" s="1" t="s">
        <v>869</v>
      </c>
      <c r="H170" s="140" t="n">
        <v>46120</v>
      </c>
      <c r="I170" s="1" t="n">
        <v>1260</v>
      </c>
      <c r="J170" s="1" t="s">
        <v>1093</v>
      </c>
      <c r="K170" s="1" t="s">
        <v>849</v>
      </c>
      <c r="L170" s="1" t="n">
        <v>5200</v>
      </c>
      <c r="N170" s="1" t="s">
        <v>1094</v>
      </c>
      <c r="P170" s="1" t="n">
        <v>113</v>
      </c>
      <c r="S170" s="1" t="str">
        <f aca="false">IF($C170="","",$C170&amp;"|"&amp;$E170&amp;"|"&amp;$F170&amp;"|"&amp;$L170&amp;"|"&amp;$P170&amp;"|"&amp;TEXT($H170,"yyyy-mm-dd"))</f>
        <v>PCGH789|14806|43830|5200|113|2026-04-08</v>
      </c>
      <c r="T170" s="1" t="str">
        <f aca="false">IF($S170="","",IF(COUNTIF($S$2:$S$2991,$S170)&gt;1,"DUPLICATE","OK"))</f>
        <v>OK</v>
      </c>
      <c r="U170" s="0" t="str">
        <f aca="false">IF($L170="","",IFERROR(VLOOKUP(--$L170,MM_Income!$Z$5:$AC$204,3,FALSE()),"UNMAPPED"))</f>
        <v>Recoverable</v>
      </c>
    </row>
    <row r="171" customFormat="false" ht="13.5" hidden="false" customHeight="false" outlineLevel="0" collapsed="false">
      <c r="A171" s="1" t="str">
        <f aca="false">IF($C171="","",Controls!$B$7)</f>
        <v>PCGH</v>
      </c>
      <c r="B171" s="1" t="str">
        <f aca="false">IF($H171="","",YEAR($H171)&amp;"-Q"&amp;ROUNDUP(MONTH($H171)/3,0))</f>
        <v>2026-Q2</v>
      </c>
      <c r="C171" s="1" t="s">
        <v>1066</v>
      </c>
      <c r="D171" s="1" t="s">
        <v>1067</v>
      </c>
      <c r="E171" s="1" t="n">
        <v>14807</v>
      </c>
      <c r="F171" s="1" t="n">
        <v>43831</v>
      </c>
      <c r="G171" s="1" t="s">
        <v>869</v>
      </c>
      <c r="H171" s="140" t="n">
        <v>46113</v>
      </c>
      <c r="I171" s="1" t="n">
        <v>1260</v>
      </c>
      <c r="J171" s="1" t="s">
        <v>1093</v>
      </c>
      <c r="K171" s="1" t="s">
        <v>849</v>
      </c>
      <c r="L171" s="1" t="n">
        <v>5200</v>
      </c>
      <c r="N171" s="1" t="s">
        <v>1095</v>
      </c>
      <c r="P171" s="1" t="n">
        <v>132</v>
      </c>
      <c r="S171" s="1" t="str">
        <f aca="false">IF($C171="","",$C171&amp;"|"&amp;$E171&amp;"|"&amp;$F171&amp;"|"&amp;$L171&amp;"|"&amp;$P171&amp;"|"&amp;TEXT($H171,"yyyy-mm-dd"))</f>
        <v>PCGH788|14807|43831|5200|132|2026-04-01</v>
      </c>
      <c r="T171" s="1" t="str">
        <f aca="false">IF($S171="","",IF(COUNTIF($S$2:$S$2991,$S171)&gt;1,"DUPLICATE","OK"))</f>
        <v>OK</v>
      </c>
      <c r="U171" s="0" t="str">
        <f aca="false">IF($L171="","",IFERROR(VLOOKUP(--$L171,MM_Income!$Z$5:$AC$204,3,FALSE()),"UNMAPPED"))</f>
        <v>Recoverable</v>
      </c>
    </row>
    <row r="172" customFormat="false" ht="13.5" hidden="false" customHeight="false" outlineLevel="0" collapsed="false">
      <c r="A172" s="1" t="str">
        <f aca="false">IF($C172="","",Controls!$B$7)</f>
        <v>PCGH</v>
      </c>
      <c r="B172" s="1" t="str">
        <f aca="false">IF($H172="","",YEAR($H172)&amp;"-Q"&amp;ROUNDUP(MONTH($H172)/3,0))</f>
        <v>2026-Q2</v>
      </c>
      <c r="C172" s="1" t="s">
        <v>1066</v>
      </c>
      <c r="D172" s="1" t="s">
        <v>1067</v>
      </c>
      <c r="E172" s="1" t="n">
        <v>14808</v>
      </c>
      <c r="F172" s="1" t="n">
        <v>43832</v>
      </c>
      <c r="G172" s="1" t="s">
        <v>869</v>
      </c>
      <c r="H172" s="140" t="n">
        <v>46113</v>
      </c>
      <c r="I172" s="1" t="n">
        <v>1260</v>
      </c>
      <c r="J172" s="1" t="s">
        <v>1093</v>
      </c>
      <c r="K172" s="1" t="s">
        <v>849</v>
      </c>
      <c r="L172" s="1" t="n">
        <v>5200</v>
      </c>
      <c r="N172" s="1" t="s">
        <v>1096</v>
      </c>
      <c r="P172" s="1" t="n">
        <v>166</v>
      </c>
      <c r="S172" s="1" t="str">
        <f aca="false">IF($C172="","",$C172&amp;"|"&amp;$E172&amp;"|"&amp;$F172&amp;"|"&amp;$L172&amp;"|"&amp;$P172&amp;"|"&amp;TEXT($H172,"yyyy-mm-dd"))</f>
        <v>PCGH788|14808|43832|5200|166|2026-04-01</v>
      </c>
      <c r="T172" s="1" t="str">
        <f aca="false">IF($S172="","",IF(COUNTIF($S$2:$S$2991,$S172)&gt;1,"DUPLICATE","OK"))</f>
        <v>OK</v>
      </c>
      <c r="U172" s="0" t="str">
        <f aca="false">IF($L172="","",IFERROR(VLOOKUP(--$L172,MM_Income!$Z$5:$AC$204,3,FALSE()),"UNMAPPED"))</f>
        <v>Recoverable</v>
      </c>
    </row>
    <row r="173" customFormat="false" ht="13.5" hidden="false" customHeight="false" outlineLevel="0" collapsed="false">
      <c r="A173" s="1" t="str">
        <f aca="false">IF($C173="","",Controls!$B$7)</f>
        <v>PCGH</v>
      </c>
      <c r="B173" s="1" t="str">
        <f aca="false">IF($H173="","",YEAR($H173)&amp;"-Q"&amp;ROUNDUP(MONTH($H173)/3,0))</f>
        <v>2026-Q2</v>
      </c>
      <c r="C173" s="1" t="s">
        <v>1097</v>
      </c>
      <c r="D173" s="1" t="s">
        <v>1098</v>
      </c>
      <c r="E173" s="1" t="n">
        <v>14809</v>
      </c>
      <c r="F173" s="1" t="n">
        <v>43833</v>
      </c>
      <c r="G173" s="1" t="s">
        <v>869</v>
      </c>
      <c r="H173" s="140" t="n">
        <v>46173</v>
      </c>
      <c r="I173" s="1" t="n">
        <v>1260</v>
      </c>
      <c r="J173" s="1" t="s">
        <v>1099</v>
      </c>
      <c r="K173" s="1" t="s">
        <v>849</v>
      </c>
      <c r="L173" s="1" t="n">
        <v>5250</v>
      </c>
      <c r="N173" s="1" t="s">
        <v>885</v>
      </c>
      <c r="P173" s="1" t="n">
        <v>106</v>
      </c>
      <c r="S173" s="1" t="str">
        <f aca="false">IF($C173="","",$C173&amp;"|"&amp;$E173&amp;"|"&amp;$F173&amp;"|"&amp;$L173&amp;"|"&amp;$P173&amp;"|"&amp;TEXT($H173,"yyyy-mm-dd"))</f>
        <v>PCGH793|14809|43833|5250|106|2026-05-31</v>
      </c>
      <c r="T173" s="1" t="str">
        <f aca="false">IF($S173="","",IF(COUNTIF($S$2:$S$2991,$S173)&gt;1,"DUPLICATE","OK"))</f>
        <v>OK</v>
      </c>
      <c r="U173" s="0" t="str">
        <f aca="false">IF($L173="","",IFERROR(VLOOKUP(--$L173,MM_Income!$Z$5:$AC$204,3,FALSE()),"UNMAPPED"))</f>
        <v>Non-Recoverable</v>
      </c>
    </row>
    <row r="174" customFormat="false" ht="13.5" hidden="false" customHeight="false" outlineLevel="0" collapsed="false">
      <c r="A174" s="1" t="str">
        <f aca="false">IF($C174="","",Controls!$B$7)</f>
        <v>PCGH</v>
      </c>
      <c r="B174" s="1" t="str">
        <f aca="false">IF($H174="","",YEAR($H174)&amp;"-Q"&amp;ROUNDUP(MONTH($H174)/3,0))</f>
        <v>2026-Q2</v>
      </c>
      <c r="C174" s="1" t="s">
        <v>1097</v>
      </c>
      <c r="D174" s="1" t="s">
        <v>1098</v>
      </c>
      <c r="E174" s="1" t="n">
        <v>14810</v>
      </c>
      <c r="F174" s="1" t="n">
        <v>43834</v>
      </c>
      <c r="G174" s="1" t="s">
        <v>869</v>
      </c>
      <c r="H174" s="140" t="n">
        <v>46163</v>
      </c>
      <c r="I174" s="1" t="n">
        <v>1260</v>
      </c>
      <c r="J174" s="1" t="s">
        <v>1099</v>
      </c>
      <c r="K174" s="1" t="s">
        <v>849</v>
      </c>
      <c r="L174" s="1" t="n">
        <v>5250</v>
      </c>
      <c r="N174" s="1" t="s">
        <v>1094</v>
      </c>
      <c r="P174" s="1" t="n">
        <v>109</v>
      </c>
      <c r="S174" s="1" t="str">
        <f aca="false">IF($C174="","",$C174&amp;"|"&amp;$E174&amp;"|"&amp;$F174&amp;"|"&amp;$L174&amp;"|"&amp;$P174&amp;"|"&amp;TEXT($H174,"yyyy-mm-dd"))</f>
        <v>PCGH793|14810|43834|5250|109|2026-05-21</v>
      </c>
      <c r="T174" s="1" t="str">
        <f aca="false">IF($S174="","",IF(COUNTIF($S$2:$S$2991,$S174)&gt;1,"DUPLICATE","OK"))</f>
        <v>OK</v>
      </c>
      <c r="U174" s="0" t="str">
        <f aca="false">IF($L174="","",IFERROR(VLOOKUP(--$L174,MM_Income!$Z$5:$AC$204,3,FALSE()),"UNMAPPED"))</f>
        <v>Non-Recoverable</v>
      </c>
    </row>
    <row r="175" customFormat="false" ht="13.5" hidden="false" customHeight="false" outlineLevel="0" collapsed="false">
      <c r="A175" s="1" t="str">
        <f aca="false">IF($C175="","",Controls!$B$7)</f>
        <v>PCGH</v>
      </c>
      <c r="B175" s="1" t="str">
        <f aca="false">IF($H175="","",YEAR($H175)&amp;"-Q"&amp;ROUNDUP(MONTH($H175)/3,0))</f>
        <v>2026-Q2</v>
      </c>
      <c r="C175" s="1" t="s">
        <v>934</v>
      </c>
      <c r="D175" s="1" t="s">
        <v>935</v>
      </c>
      <c r="E175" s="1" t="n">
        <v>14811</v>
      </c>
      <c r="F175" s="1" t="n">
        <v>43835</v>
      </c>
      <c r="G175" s="1" t="s">
        <v>869</v>
      </c>
      <c r="H175" s="140" t="n">
        <v>46144</v>
      </c>
      <c r="I175" s="1" t="n">
        <v>1260</v>
      </c>
      <c r="J175" s="1" t="s">
        <v>1099</v>
      </c>
      <c r="K175" s="1" t="s">
        <v>849</v>
      </c>
      <c r="L175" s="1" t="n">
        <v>5250</v>
      </c>
      <c r="N175" s="1" t="s">
        <v>1100</v>
      </c>
      <c r="P175" s="1" t="n">
        <v>127</v>
      </c>
      <c r="S175" s="1" t="str">
        <f aca="false">IF($C175="","",$C175&amp;"|"&amp;$E175&amp;"|"&amp;$F175&amp;"|"&amp;$L175&amp;"|"&amp;$P175&amp;"|"&amp;TEXT($H175,"yyyy-mm-dd"))</f>
        <v>PCGH785|14811|43835|5250|127|2026-05-02</v>
      </c>
      <c r="T175" s="1" t="str">
        <f aca="false">IF($S175="","",IF(COUNTIF($S$2:$S$2991,$S175)&gt;1,"DUPLICATE","OK"))</f>
        <v>OK</v>
      </c>
      <c r="U175" s="0" t="str">
        <f aca="false">IF($L175="","",IFERROR(VLOOKUP(--$L175,MM_Income!$Z$5:$AC$204,3,FALSE()),"UNMAPPED"))</f>
        <v>Non-Recoverable</v>
      </c>
    </row>
    <row r="176" customFormat="false" ht="13.5" hidden="false" customHeight="false" outlineLevel="0" collapsed="false">
      <c r="A176" s="1" t="str">
        <f aca="false">IF($C176="","",Controls!$B$7)</f>
        <v>PCGH</v>
      </c>
      <c r="B176" s="1" t="str">
        <f aca="false">IF($H176="","",YEAR($H176)&amp;"-Q"&amp;ROUNDUP(MONTH($H176)/3,0))</f>
        <v>2026-Q2</v>
      </c>
      <c r="C176" s="1" t="s">
        <v>1097</v>
      </c>
      <c r="D176" s="1" t="s">
        <v>1098</v>
      </c>
      <c r="E176" s="1" t="n">
        <v>14812</v>
      </c>
      <c r="F176" s="1" t="n">
        <v>43836</v>
      </c>
      <c r="G176" s="1" t="s">
        <v>869</v>
      </c>
      <c r="H176" s="140" t="n">
        <v>46173</v>
      </c>
      <c r="I176" s="1" t="n">
        <v>1260</v>
      </c>
      <c r="J176" s="1" t="s">
        <v>1101</v>
      </c>
      <c r="K176" s="1" t="s">
        <v>867</v>
      </c>
      <c r="L176" s="1" t="n">
        <v>5250</v>
      </c>
      <c r="N176" s="1" t="s">
        <v>1102</v>
      </c>
      <c r="P176" s="1" t="n">
        <v>203</v>
      </c>
      <c r="S176" s="1" t="str">
        <f aca="false">IF($C176="","",$C176&amp;"|"&amp;$E176&amp;"|"&amp;$F176&amp;"|"&amp;$L176&amp;"|"&amp;$P176&amp;"|"&amp;TEXT($H176,"yyyy-mm-dd"))</f>
        <v>PCGH793|14812|43836|5250|203|2026-05-31</v>
      </c>
      <c r="T176" s="1" t="str">
        <f aca="false">IF($S176="","",IF(COUNTIF($S$2:$S$2991,$S176)&gt;1,"DUPLICATE","OK"))</f>
        <v>OK</v>
      </c>
      <c r="U176" s="0" t="str">
        <f aca="false">IF($L176="","",IFERROR(VLOOKUP(--$L176,MM_Income!$Z$5:$AC$204,3,FALSE()),"UNMAPPED"))</f>
        <v>Non-Recoverable</v>
      </c>
    </row>
    <row r="177" customFormat="false" ht="13.5" hidden="false" customHeight="false" outlineLevel="0" collapsed="false">
      <c r="A177" s="1" t="str">
        <f aca="false">IF($C177="","",Controls!$B$7)</f>
        <v>PCGH</v>
      </c>
      <c r="B177" s="1" t="str">
        <f aca="false">IF($H177="","",YEAR($H177)&amp;"-Q"&amp;ROUNDUP(MONTH($H177)/3,0))</f>
        <v>2026-Q2</v>
      </c>
      <c r="C177" s="1" t="s">
        <v>1097</v>
      </c>
      <c r="D177" s="1" t="s">
        <v>1098</v>
      </c>
      <c r="E177" s="1" t="n">
        <v>14813</v>
      </c>
      <c r="F177" s="1" t="n">
        <v>43837</v>
      </c>
      <c r="G177" s="1" t="s">
        <v>869</v>
      </c>
      <c r="H177" s="140" t="n">
        <v>46172</v>
      </c>
      <c r="I177" s="1" t="n">
        <v>1260</v>
      </c>
      <c r="J177" s="1" t="s">
        <v>1101</v>
      </c>
      <c r="K177" s="1" t="s">
        <v>867</v>
      </c>
      <c r="L177" s="1" t="n">
        <v>7750</v>
      </c>
      <c r="N177" s="1" t="s">
        <v>1103</v>
      </c>
      <c r="P177" s="1" t="n">
        <v>7.97</v>
      </c>
      <c r="S177" s="1" t="str">
        <f aca="false">IF($C177="","",$C177&amp;"|"&amp;$E177&amp;"|"&amp;$F177&amp;"|"&amp;$L177&amp;"|"&amp;$P177&amp;"|"&amp;TEXT($H177,"yyyy-mm-dd"))</f>
        <v>PCGH793|14813|43837|7750|7.97|2026-05-30</v>
      </c>
      <c r="T177" s="1" t="str">
        <f aca="false">IF($S177="","",IF(COUNTIF($S$2:$S$2991,$S177)&gt;1,"DUPLICATE","OK"))</f>
        <v>OK</v>
      </c>
      <c r="U177" s="0" t="str">
        <f aca="false">IF($L177="","",IFERROR(VLOOKUP(--$L177,MM_Income!$Z$5:$AC$204,3,FALSE()),"UNMAPPED"))</f>
        <v>Excluded — Overhead (in fixed costs)</v>
      </c>
    </row>
    <row r="178" customFormat="false" ht="13.5" hidden="false" customHeight="false" outlineLevel="0" collapsed="false">
      <c r="A178" s="1" t="str">
        <f aca="false">IF($C178="","",Controls!$B$7)</f>
        <v>PCGH</v>
      </c>
      <c r="B178" s="1" t="str">
        <f aca="false">IF($H178="","",YEAR($H178)&amp;"-Q"&amp;ROUNDUP(MONTH($H178)/3,0))</f>
        <v>2026-Q2</v>
      </c>
      <c r="C178" s="1" t="s">
        <v>1097</v>
      </c>
      <c r="D178" s="1" t="s">
        <v>1098</v>
      </c>
      <c r="E178" s="1" t="n">
        <v>14814</v>
      </c>
      <c r="F178" s="1" t="n">
        <v>43838</v>
      </c>
      <c r="G178" s="1" t="s">
        <v>869</v>
      </c>
      <c r="H178" s="140" t="n">
        <v>46170</v>
      </c>
      <c r="I178" s="1" t="n">
        <v>1260</v>
      </c>
      <c r="J178" s="1" t="s">
        <v>1101</v>
      </c>
      <c r="K178" s="1" t="s">
        <v>867</v>
      </c>
      <c r="L178" s="1" t="n">
        <v>5250</v>
      </c>
      <c r="N178" s="1" t="s">
        <v>1104</v>
      </c>
      <c r="P178" s="1" t="n">
        <v>134.59</v>
      </c>
      <c r="S178" s="1" t="str">
        <f aca="false">IF($C178="","",$C178&amp;"|"&amp;$E178&amp;"|"&amp;$F178&amp;"|"&amp;$L178&amp;"|"&amp;$P178&amp;"|"&amp;TEXT($H178,"yyyy-mm-dd"))</f>
        <v>PCGH793|14814|43838|5250|134.59|2026-05-28</v>
      </c>
      <c r="T178" s="1" t="str">
        <f aca="false">IF($S178="","",IF(COUNTIF($S$2:$S$2991,$S178)&gt;1,"DUPLICATE","OK"))</f>
        <v>OK</v>
      </c>
      <c r="U178" s="0" t="str">
        <f aca="false">IF($L178="","",IFERROR(VLOOKUP(--$L178,MM_Income!$Z$5:$AC$204,3,FALSE()),"UNMAPPED"))</f>
        <v>Non-Recoverable</v>
      </c>
    </row>
    <row r="179" customFormat="false" ht="13.5" hidden="false" customHeight="false" outlineLevel="0" collapsed="false">
      <c r="A179" s="1" t="str">
        <f aca="false">IF($C179="","",Controls!$B$7)</f>
        <v>PCGH</v>
      </c>
      <c r="B179" s="1" t="str">
        <f aca="false">IF($H179="","",YEAR($H179)&amp;"-Q"&amp;ROUNDUP(MONTH($H179)/3,0))</f>
        <v>2026-Q2</v>
      </c>
      <c r="C179" s="1" t="s">
        <v>1097</v>
      </c>
      <c r="D179" s="1" t="s">
        <v>1098</v>
      </c>
      <c r="E179" s="1" t="n">
        <v>14815</v>
      </c>
      <c r="F179" s="1" t="n">
        <v>43839</v>
      </c>
      <c r="G179" s="1" t="s">
        <v>869</v>
      </c>
      <c r="H179" s="140" t="n">
        <v>46169</v>
      </c>
      <c r="I179" s="1" t="n">
        <v>1260</v>
      </c>
      <c r="J179" s="1" t="s">
        <v>1101</v>
      </c>
      <c r="K179" s="1" t="s">
        <v>867</v>
      </c>
      <c r="L179" s="1" t="n">
        <v>5250</v>
      </c>
      <c r="N179" s="1" t="s">
        <v>1104</v>
      </c>
      <c r="P179" s="1" t="n">
        <v>286.96</v>
      </c>
      <c r="S179" s="1" t="str">
        <f aca="false">IF($C179="","",$C179&amp;"|"&amp;$E179&amp;"|"&amp;$F179&amp;"|"&amp;$L179&amp;"|"&amp;$P179&amp;"|"&amp;TEXT($H179,"yyyy-mm-dd"))</f>
        <v>PCGH793|14815|43839|5250|286.96|2026-05-27</v>
      </c>
      <c r="T179" s="1" t="str">
        <f aca="false">IF($S179="","",IF(COUNTIF($S$2:$S$2991,$S179)&gt;1,"DUPLICATE","OK"))</f>
        <v>OK</v>
      </c>
      <c r="U179" s="0" t="str">
        <f aca="false">IF($L179="","",IFERROR(VLOOKUP(--$L179,MM_Income!$Z$5:$AC$204,3,FALSE()),"UNMAPPED"))</f>
        <v>Non-Recoverable</v>
      </c>
    </row>
    <row r="180" customFormat="false" ht="13.5" hidden="false" customHeight="false" outlineLevel="0" collapsed="false">
      <c r="A180" s="1" t="str">
        <f aca="false">IF($C180="","",Controls!$B$7)</f>
        <v>PCGH</v>
      </c>
      <c r="B180" s="1" t="str">
        <f aca="false">IF($H180="","",YEAR($H180)&amp;"-Q"&amp;ROUNDUP(MONTH($H180)/3,0))</f>
        <v>2026-Q2</v>
      </c>
      <c r="C180" s="1" t="s">
        <v>1097</v>
      </c>
      <c r="D180" s="1" t="s">
        <v>1098</v>
      </c>
      <c r="E180" s="1" t="n">
        <v>14816</v>
      </c>
      <c r="F180" s="1" t="n">
        <v>43840</v>
      </c>
      <c r="G180" s="1" t="s">
        <v>869</v>
      </c>
      <c r="H180" s="140" t="n">
        <v>46167</v>
      </c>
      <c r="I180" s="1" t="n">
        <v>1260</v>
      </c>
      <c r="J180" s="1" t="s">
        <v>1101</v>
      </c>
      <c r="K180" s="1" t="s">
        <v>867</v>
      </c>
      <c r="L180" s="1" t="n">
        <v>7750</v>
      </c>
      <c r="N180" s="1" t="s">
        <v>1103</v>
      </c>
      <c r="P180" s="1" t="n">
        <v>27.9</v>
      </c>
      <c r="S180" s="1" t="str">
        <f aca="false">IF($C180="","",$C180&amp;"|"&amp;$E180&amp;"|"&amp;$F180&amp;"|"&amp;$L180&amp;"|"&amp;$P180&amp;"|"&amp;TEXT($H180,"yyyy-mm-dd"))</f>
        <v>PCGH793|14816|43840|7750|27.9|2026-05-25</v>
      </c>
      <c r="T180" s="1" t="str">
        <f aca="false">IF($S180="","",IF(COUNTIF($S$2:$S$2991,$S180)&gt;1,"DUPLICATE","OK"))</f>
        <v>OK</v>
      </c>
      <c r="U180" s="0" t="str">
        <f aca="false">IF($L180="","",IFERROR(VLOOKUP(--$L180,MM_Income!$Z$5:$AC$204,3,FALSE()),"UNMAPPED"))</f>
        <v>Excluded — Overhead (in fixed costs)</v>
      </c>
    </row>
    <row r="181" customFormat="false" ht="13.5" hidden="false" customHeight="false" outlineLevel="0" collapsed="false">
      <c r="A181" s="1" t="str">
        <f aca="false">IF($C181="","",Controls!$B$7)</f>
        <v>PCGH</v>
      </c>
      <c r="B181" s="1" t="str">
        <f aca="false">IF($H181="","",YEAR($H181)&amp;"-Q"&amp;ROUNDUP(MONTH($H181)/3,0))</f>
        <v>2026-Q2</v>
      </c>
      <c r="C181" s="1" t="s">
        <v>1097</v>
      </c>
      <c r="D181" s="1" t="s">
        <v>1098</v>
      </c>
      <c r="E181" s="1" t="n">
        <v>14817</v>
      </c>
      <c r="F181" s="1" t="n">
        <v>43841</v>
      </c>
      <c r="G181" s="1" t="s">
        <v>869</v>
      </c>
      <c r="H181" s="140" t="n">
        <v>46164</v>
      </c>
      <c r="I181" s="1" t="n">
        <v>1260</v>
      </c>
      <c r="J181" s="1" t="s">
        <v>1101</v>
      </c>
      <c r="K181" s="1" t="s">
        <v>867</v>
      </c>
      <c r="L181" s="1" t="n">
        <v>5250</v>
      </c>
      <c r="N181" s="1" t="s">
        <v>1104</v>
      </c>
      <c r="P181" s="1" t="n">
        <v>308.96</v>
      </c>
      <c r="S181" s="1" t="str">
        <f aca="false">IF($C181="","",$C181&amp;"|"&amp;$E181&amp;"|"&amp;$F181&amp;"|"&amp;$L181&amp;"|"&amp;$P181&amp;"|"&amp;TEXT($H181,"yyyy-mm-dd"))</f>
        <v>PCGH793|14817|43841|5250|308.96|2026-05-22</v>
      </c>
      <c r="T181" s="1" t="str">
        <f aca="false">IF($S181="","",IF(COUNTIF($S$2:$S$2991,$S181)&gt;1,"DUPLICATE","OK"))</f>
        <v>OK</v>
      </c>
      <c r="U181" s="0" t="str">
        <f aca="false">IF($L181="","",IFERROR(VLOOKUP(--$L181,MM_Income!$Z$5:$AC$204,3,FALSE()),"UNMAPPED"))</f>
        <v>Non-Recoverable</v>
      </c>
    </row>
    <row r="182" customFormat="false" ht="13.5" hidden="false" customHeight="false" outlineLevel="0" collapsed="false">
      <c r="A182" s="1" t="str">
        <f aca="false">IF($C182="","",Controls!$B$7)</f>
        <v>PCGH</v>
      </c>
      <c r="B182" s="1" t="str">
        <f aca="false">IF($H182="","",YEAR($H182)&amp;"-Q"&amp;ROUNDUP(MONTH($H182)/3,0))</f>
        <v>2026-Q2</v>
      </c>
      <c r="C182" s="1" t="s">
        <v>1097</v>
      </c>
      <c r="D182" s="1" t="s">
        <v>1098</v>
      </c>
      <c r="E182" s="1" t="n">
        <v>14818</v>
      </c>
      <c r="F182" s="1" t="n">
        <v>43842</v>
      </c>
      <c r="G182" s="1" t="s">
        <v>869</v>
      </c>
      <c r="H182" s="140" t="n">
        <v>46164</v>
      </c>
      <c r="I182" s="1" t="n">
        <v>1260</v>
      </c>
      <c r="J182" s="1" t="s">
        <v>1101</v>
      </c>
      <c r="K182" s="1" t="s">
        <v>867</v>
      </c>
      <c r="L182" s="1" t="n">
        <v>7750</v>
      </c>
      <c r="N182" s="1" t="s">
        <v>1103</v>
      </c>
      <c r="P182" s="1" t="n">
        <v>39.86</v>
      </c>
      <c r="S182" s="1" t="str">
        <f aca="false">IF($C182="","",$C182&amp;"|"&amp;$E182&amp;"|"&amp;$F182&amp;"|"&amp;$L182&amp;"|"&amp;$P182&amp;"|"&amp;TEXT($H182,"yyyy-mm-dd"))</f>
        <v>PCGH793|14818|43842|7750|39.86|2026-05-22</v>
      </c>
      <c r="T182" s="1" t="str">
        <f aca="false">IF($S182="","",IF(COUNTIF($S$2:$S$2991,$S182)&gt;1,"DUPLICATE","OK"))</f>
        <v>OK</v>
      </c>
      <c r="U182" s="0" t="str">
        <f aca="false">IF($L182="","",IFERROR(VLOOKUP(--$L182,MM_Income!$Z$5:$AC$204,3,FALSE()),"UNMAPPED"))</f>
        <v>Excluded — Overhead (in fixed costs)</v>
      </c>
    </row>
    <row r="183" customFormat="false" ht="13.5" hidden="false" customHeight="false" outlineLevel="0" collapsed="false">
      <c r="A183" s="1" t="str">
        <f aca="false">IF($C183="","",Controls!$B$7)</f>
        <v>PCGH</v>
      </c>
      <c r="B183" s="1" t="str">
        <f aca="false">IF($H183="","",YEAR($H183)&amp;"-Q"&amp;ROUNDUP(MONTH($H183)/3,0))</f>
        <v>2026-Q2</v>
      </c>
      <c r="C183" s="1" t="s">
        <v>1097</v>
      </c>
      <c r="D183" s="1" t="s">
        <v>1098</v>
      </c>
      <c r="E183" s="1" t="n">
        <v>14819</v>
      </c>
      <c r="F183" s="1" t="n">
        <v>43843</v>
      </c>
      <c r="G183" s="1" t="s">
        <v>869</v>
      </c>
      <c r="H183" s="140" t="n">
        <v>46163</v>
      </c>
      <c r="I183" s="1" t="n">
        <v>1260</v>
      </c>
      <c r="J183" s="1" t="s">
        <v>1101</v>
      </c>
      <c r="K183" s="1" t="s">
        <v>867</v>
      </c>
      <c r="L183" s="1" t="n">
        <v>7750</v>
      </c>
      <c r="N183" s="1" t="s">
        <v>1103</v>
      </c>
      <c r="P183" s="1" t="n">
        <v>39.86</v>
      </c>
      <c r="S183" s="1" t="str">
        <f aca="false">IF($C183="","",$C183&amp;"|"&amp;$E183&amp;"|"&amp;$F183&amp;"|"&amp;$L183&amp;"|"&amp;$P183&amp;"|"&amp;TEXT($H183,"yyyy-mm-dd"))</f>
        <v>PCGH793|14819|43843|7750|39.86|2026-05-21</v>
      </c>
      <c r="T183" s="1" t="str">
        <f aca="false">IF($S183="","",IF(COUNTIF($S$2:$S$2991,$S183)&gt;1,"DUPLICATE","OK"))</f>
        <v>OK</v>
      </c>
      <c r="U183" s="0" t="str">
        <f aca="false">IF($L183="","",IFERROR(VLOOKUP(--$L183,MM_Income!$Z$5:$AC$204,3,FALSE()),"UNMAPPED"))</f>
        <v>Excluded — Overhead (in fixed costs)</v>
      </c>
    </row>
    <row r="184" customFormat="false" ht="13.5" hidden="false" customHeight="false" outlineLevel="0" collapsed="false">
      <c r="A184" s="1" t="str">
        <f aca="false">IF($C184="","",Controls!$B$7)</f>
        <v>PCGH</v>
      </c>
      <c r="B184" s="1" t="str">
        <f aca="false">IF($H184="","",YEAR($H184)&amp;"-Q"&amp;ROUNDUP(MONTH($H184)/3,0))</f>
        <v>2026-Q2</v>
      </c>
      <c r="C184" s="1" t="s">
        <v>1105</v>
      </c>
      <c r="D184" s="1" t="s">
        <v>1106</v>
      </c>
      <c r="E184" s="1" t="n">
        <v>14823</v>
      </c>
      <c r="F184" s="1" t="n">
        <v>43877</v>
      </c>
      <c r="G184" s="1" t="s">
        <v>847</v>
      </c>
      <c r="H184" s="140" t="n">
        <v>46177</v>
      </c>
      <c r="I184" s="1" t="s">
        <v>966</v>
      </c>
      <c r="J184" s="1" t="s">
        <v>1107</v>
      </c>
      <c r="K184" s="1" t="s">
        <v>968</v>
      </c>
      <c r="L184" s="1" t="n">
        <v>5250</v>
      </c>
      <c r="N184" s="1" t="s">
        <v>1108</v>
      </c>
      <c r="P184" s="1" t="n">
        <v>47240.74</v>
      </c>
      <c r="S184" s="1" t="str">
        <f aca="false">IF($C184="","",$C184&amp;"|"&amp;$E184&amp;"|"&amp;$F184&amp;"|"&amp;$L184&amp;"|"&amp;$P184&amp;"|"&amp;TEXT($H184,"yyyy-mm-dd"))</f>
        <v>PCGH722|14823|43877|5250|47240.74|2026-06-04</v>
      </c>
      <c r="T184" s="1" t="str">
        <f aca="false">IF($S184="","",IF(COUNTIF($S$2:$S$2991,$S184)&gt;1,"DUPLICATE","OK"))</f>
        <v>OK</v>
      </c>
      <c r="U184" s="0" t="str">
        <f aca="false">IF($L184="","",IFERROR(VLOOKUP(--$L184,MM_Income!$Z$5:$AC$204,3,FALSE()),"UNMAPPED"))</f>
        <v>Non-Recoverable</v>
      </c>
    </row>
    <row r="185" customFormat="false" ht="13.5" hidden="false" customHeight="false" outlineLevel="0" collapsed="false">
      <c r="A185" s="1" t="str">
        <f aca="false">IF($C185="","",Controls!$B$7)</f>
        <v>PCGH</v>
      </c>
      <c r="B185" s="1" t="str">
        <f aca="false">IF($H185="","",YEAR($H185)&amp;"-Q"&amp;ROUNDUP(MONTH($H185)/3,0))</f>
        <v>2026-Q2</v>
      </c>
      <c r="C185" s="1" t="s">
        <v>1109</v>
      </c>
      <c r="D185" s="1" t="s">
        <v>1110</v>
      </c>
      <c r="E185" s="1" t="n">
        <v>14824</v>
      </c>
      <c r="F185" s="1" t="n">
        <v>43946</v>
      </c>
      <c r="G185" s="1" t="s">
        <v>840</v>
      </c>
      <c r="H185" s="140" t="n">
        <v>46153</v>
      </c>
      <c r="I185" s="1" t="s">
        <v>907</v>
      </c>
      <c r="J185" s="1" t="n">
        <v>2026024</v>
      </c>
      <c r="L185" s="1" t="n">
        <v>4050</v>
      </c>
      <c r="N185" s="1" t="s">
        <v>1111</v>
      </c>
      <c r="P185" s="1" t="n">
        <v>-122187.25</v>
      </c>
      <c r="S185" s="1" t="str">
        <f aca="false">IF($C185="","",$C185&amp;"|"&amp;$E185&amp;"|"&amp;$F185&amp;"|"&amp;$L185&amp;"|"&amp;$P185&amp;"|"&amp;TEXT($H185,"yyyy-mm-dd"))</f>
        <v>PCGH787|14824|43946|4050|-122187.25|2026-05-11</v>
      </c>
      <c r="T185" s="1" t="str">
        <f aca="false">IF($S185="","",IF(COUNTIF($S$2:$S$2991,$S185)&gt;1,"DUPLICATE","OK"))</f>
        <v>OK</v>
      </c>
      <c r="U185" s="0" t="str">
        <f aca="false">IF($L185="","",IFERROR(VLOOKUP(--$L185,MM_Income!$Z$5:$AC$204,3,FALSE()),"UNMAPPED"))</f>
        <v>Invoiced Income</v>
      </c>
    </row>
    <row r="186" customFormat="false" ht="13.5" hidden="false" customHeight="false" outlineLevel="0" collapsed="false">
      <c r="A186" s="1" t="str">
        <f aca="false">IF($C186="","",Controls!$B$7)</f>
        <v>PCGH</v>
      </c>
      <c r="B186" s="1" t="str">
        <f aca="false">IF($H186="","",YEAR($H186)&amp;"-Q"&amp;ROUNDUP(MONTH($H186)/3,0))</f>
        <v>2026-Q2</v>
      </c>
      <c r="C186" s="1" t="s">
        <v>1105</v>
      </c>
      <c r="D186" s="1" t="s">
        <v>1106</v>
      </c>
      <c r="E186" s="1" t="n">
        <v>14825</v>
      </c>
      <c r="F186" s="1" t="n">
        <v>43947</v>
      </c>
      <c r="G186" s="1" t="s">
        <v>840</v>
      </c>
      <c r="H186" s="140" t="n">
        <v>46162</v>
      </c>
      <c r="I186" s="1" t="s">
        <v>1112</v>
      </c>
      <c r="J186" s="1" t="n">
        <v>2026026</v>
      </c>
      <c r="L186" s="1" t="n">
        <v>4200</v>
      </c>
      <c r="N186" s="1" t="s">
        <v>1113</v>
      </c>
      <c r="P186" s="1" t="n">
        <v>-216878.63</v>
      </c>
      <c r="S186" s="1" t="str">
        <f aca="false">IF($C186="","",$C186&amp;"|"&amp;$E186&amp;"|"&amp;$F186&amp;"|"&amp;$L186&amp;"|"&amp;$P186&amp;"|"&amp;TEXT($H186,"yyyy-mm-dd"))</f>
        <v>PCGH722|14825|43947|4200|-216878.63|2026-05-20</v>
      </c>
      <c r="T186" s="1" t="str">
        <f aca="false">IF($S186="","",IF(COUNTIF($S$2:$S$2991,$S186)&gt;1,"DUPLICATE","OK"))</f>
        <v>OK</v>
      </c>
      <c r="U186" s="0" t="str">
        <f aca="false">IF($L186="","",IFERROR(VLOOKUP(--$L186,MM_Income!$Z$5:$AC$204,3,FALSE()),"UNMAPPED"))</f>
        <v>Recovered Expenses</v>
      </c>
    </row>
    <row r="187" customFormat="false" ht="13.5" hidden="false" customHeight="false" outlineLevel="0" collapsed="false">
      <c r="A187" s="1" t="str">
        <f aca="false">IF($C187="","",Controls!$B$7)</f>
        <v>PCGH</v>
      </c>
      <c r="B187" s="1" t="str">
        <f aca="false">IF($H187="","",YEAR($H187)&amp;"-Q"&amp;ROUNDUP(MONTH($H187)/3,0))</f>
        <v>2026-Q2</v>
      </c>
      <c r="C187" s="1" t="s">
        <v>895</v>
      </c>
      <c r="D187" s="1" t="s">
        <v>896</v>
      </c>
      <c r="E187" s="1" t="n">
        <v>14826</v>
      </c>
      <c r="F187" s="1" t="n">
        <v>43948</v>
      </c>
      <c r="G187" s="1" t="s">
        <v>840</v>
      </c>
      <c r="H187" s="140" t="n">
        <v>46168</v>
      </c>
      <c r="I187" s="1" t="s">
        <v>907</v>
      </c>
      <c r="J187" s="1" t="n">
        <v>2026027</v>
      </c>
      <c r="L187" s="1" t="n">
        <v>4050</v>
      </c>
      <c r="N187" s="1" t="s">
        <v>1114</v>
      </c>
      <c r="P187" s="1" t="n">
        <v>-415780.65</v>
      </c>
      <c r="S187" s="1" t="str">
        <f aca="false">IF($C187="","",$C187&amp;"|"&amp;$E187&amp;"|"&amp;$F187&amp;"|"&amp;$L187&amp;"|"&amp;$P187&amp;"|"&amp;TEXT($H187,"yyyy-mm-dd"))</f>
        <v>PCGH778|14826|43948|4050|-415780.65|2026-05-26</v>
      </c>
      <c r="T187" s="1" t="str">
        <f aca="false">IF($S187="","",IF(COUNTIF($S$2:$S$2991,$S187)&gt;1,"DUPLICATE","OK"))</f>
        <v>OK</v>
      </c>
      <c r="U187" s="0" t="str">
        <f aca="false">IF($L187="","",IFERROR(VLOOKUP(--$L187,MM_Income!$Z$5:$AC$204,3,FALSE()),"UNMAPPED"))</f>
        <v>Invoiced Income</v>
      </c>
    </row>
    <row r="188" customFormat="false" ht="13.5" hidden="false" customHeight="false" outlineLevel="0" collapsed="false">
      <c r="A188" s="1" t="str">
        <f aca="false">IF($C188="","",Controls!$B$7)</f>
        <v>PCGH</v>
      </c>
      <c r="B188" s="1" t="str">
        <f aca="false">IF($H188="","",YEAR($H188)&amp;"-Q"&amp;ROUNDUP(MONTH($H188)/3,0))</f>
        <v>2026-Q2</v>
      </c>
      <c r="C188" s="1" t="s">
        <v>981</v>
      </c>
      <c r="D188" s="1" t="s">
        <v>982</v>
      </c>
      <c r="E188" s="1" t="n">
        <v>14827</v>
      </c>
      <c r="F188" s="1" t="n">
        <v>43949</v>
      </c>
      <c r="G188" s="1" t="s">
        <v>840</v>
      </c>
      <c r="H188" s="140" t="n">
        <v>46168</v>
      </c>
      <c r="I188" s="1" t="s">
        <v>907</v>
      </c>
      <c r="J188" s="1" t="n">
        <v>2026028</v>
      </c>
      <c r="L188" s="1" t="n">
        <v>4050</v>
      </c>
      <c r="N188" s="1" t="s">
        <v>1115</v>
      </c>
      <c r="P188" s="1" t="n">
        <v>-424542.07</v>
      </c>
      <c r="S188" s="1" t="str">
        <f aca="false">IF($C188="","",$C188&amp;"|"&amp;$E188&amp;"|"&amp;$F188&amp;"|"&amp;$L188&amp;"|"&amp;$P188&amp;"|"&amp;TEXT($H188,"yyyy-mm-dd"))</f>
        <v>PCGH779|14827|43949|4050|-424542.07|2026-05-26</v>
      </c>
      <c r="T188" s="1" t="str">
        <f aca="false">IF($S188="","",IF(COUNTIF($S$2:$S$2991,$S188)&gt;1,"DUPLICATE","OK"))</f>
        <v>OK</v>
      </c>
      <c r="U188" s="0" t="str">
        <f aca="false">IF($L188="","",IFERROR(VLOOKUP(--$L188,MM_Income!$Z$5:$AC$204,3,FALSE()),"UNMAPPED"))</f>
        <v>Invoiced Income</v>
      </c>
    </row>
    <row r="189" customFormat="false" ht="13.5" hidden="false" customHeight="false" outlineLevel="0" collapsed="false">
      <c r="A189" s="1" t="str">
        <f aca="false">IF($C189="","",Controls!$B$7)</f>
        <v>PCGH</v>
      </c>
      <c r="B189" s="1" t="str">
        <f aca="false">IF($H189="","",YEAR($H189)&amp;"-Q"&amp;ROUNDUP(MONTH($H189)/3,0))</f>
        <v>2026-Q2</v>
      </c>
      <c r="C189" s="1" t="s">
        <v>903</v>
      </c>
      <c r="D189" s="1" t="s">
        <v>904</v>
      </c>
      <c r="E189" s="1" t="n">
        <v>14828</v>
      </c>
      <c r="F189" s="1" t="n">
        <v>43950</v>
      </c>
      <c r="G189" s="1" t="s">
        <v>840</v>
      </c>
      <c r="H189" s="140" t="n">
        <v>46168</v>
      </c>
      <c r="I189" s="1" t="s">
        <v>907</v>
      </c>
      <c r="J189" s="1" t="n">
        <v>2026029</v>
      </c>
      <c r="L189" s="1" t="n">
        <v>4050</v>
      </c>
      <c r="N189" s="1" t="s">
        <v>1116</v>
      </c>
      <c r="P189" s="1" t="n">
        <v>-446803.13</v>
      </c>
      <c r="S189" s="1" t="str">
        <f aca="false">IF($C189="","",$C189&amp;"|"&amp;$E189&amp;"|"&amp;$F189&amp;"|"&amp;$L189&amp;"|"&amp;$P189&amp;"|"&amp;TEXT($H189,"yyyy-mm-dd"))</f>
        <v>PCGH780|14828|43950|4050|-446803.13|2026-05-26</v>
      </c>
      <c r="T189" s="1" t="str">
        <f aca="false">IF($S189="","",IF(COUNTIF($S$2:$S$2991,$S189)&gt;1,"DUPLICATE","OK"))</f>
        <v>OK</v>
      </c>
      <c r="U189" s="0" t="str">
        <f aca="false">IF($L189="","",IFERROR(VLOOKUP(--$L189,MM_Income!$Z$5:$AC$204,3,FALSE()),"UNMAPPED"))</f>
        <v>Invoiced Income</v>
      </c>
    </row>
    <row r="190" customFormat="false" ht="13.5" hidden="false" customHeight="false" outlineLevel="0" collapsed="false">
      <c r="A190" s="1" t="str">
        <f aca="false">IF($C190="","",Controls!$B$7)</f>
        <v>PCGH</v>
      </c>
      <c r="B190" s="1" t="str">
        <f aca="false">IF($H190="","",YEAR($H190)&amp;"-Q"&amp;ROUNDUP(MONTH($H190)/3,0))</f>
        <v>2026-Q2</v>
      </c>
      <c r="C190" s="1" t="s">
        <v>1117</v>
      </c>
      <c r="D190" s="1" t="s">
        <v>1118</v>
      </c>
      <c r="E190" s="1" t="n">
        <v>14829</v>
      </c>
      <c r="F190" s="1" t="n">
        <v>43951</v>
      </c>
      <c r="G190" s="1" t="s">
        <v>840</v>
      </c>
      <c r="H190" s="140" t="n">
        <v>46168</v>
      </c>
      <c r="I190" s="1" t="s">
        <v>1119</v>
      </c>
      <c r="J190" s="1" t="n">
        <v>2026030</v>
      </c>
      <c r="L190" s="1" t="n">
        <v>4050</v>
      </c>
      <c r="N190" s="1" t="s">
        <v>1120</v>
      </c>
      <c r="P190" s="1" t="n">
        <v>-291532.03</v>
      </c>
      <c r="S190" s="1" t="str">
        <f aca="false">IF($C190="","",$C190&amp;"|"&amp;$E190&amp;"|"&amp;$F190&amp;"|"&amp;$L190&amp;"|"&amp;$P190&amp;"|"&amp;TEXT($H190,"yyyy-mm-dd"))</f>
        <v>PCGH790|14829|43951|4050|-291532.03|2026-05-26</v>
      </c>
      <c r="T190" s="1" t="str">
        <f aca="false">IF($S190="","",IF(COUNTIF($S$2:$S$2991,$S190)&gt;1,"DUPLICATE","OK"))</f>
        <v>OK</v>
      </c>
      <c r="U190" s="0" t="str">
        <f aca="false">IF($L190="","",IFERROR(VLOOKUP(--$L190,MM_Income!$Z$5:$AC$204,3,FALSE()),"UNMAPPED"))</f>
        <v>Invoiced Income</v>
      </c>
    </row>
    <row r="191" customFormat="false" ht="13.5" hidden="false" customHeight="false" outlineLevel="0" collapsed="false">
      <c r="A191" s="1" t="str">
        <f aca="false">IF($C191="","",Controls!$B$7)</f>
        <v>PCGH</v>
      </c>
      <c r="B191" s="1" t="str">
        <f aca="false">IF($H191="","",YEAR($H191)&amp;"-Q"&amp;ROUNDUP(MONTH($H191)/3,0))</f>
        <v>2026-Q2</v>
      </c>
      <c r="C191" s="1" t="s">
        <v>1121</v>
      </c>
      <c r="D191" s="1" t="s">
        <v>1122</v>
      </c>
      <c r="E191" s="1" t="n">
        <v>14830</v>
      </c>
      <c r="F191" s="1" t="n">
        <v>43952</v>
      </c>
      <c r="G191" s="1" t="s">
        <v>840</v>
      </c>
      <c r="H191" s="140" t="n">
        <v>46170</v>
      </c>
      <c r="I191" s="1" t="s">
        <v>907</v>
      </c>
      <c r="J191" s="1" t="n">
        <v>2026031</v>
      </c>
      <c r="L191" s="1" t="n">
        <v>4050</v>
      </c>
      <c r="N191" s="1" t="s">
        <v>1123</v>
      </c>
      <c r="P191" s="1" t="n">
        <v>-102255</v>
      </c>
      <c r="S191" s="1" t="str">
        <f aca="false">IF($C191="","",$C191&amp;"|"&amp;$E191&amp;"|"&amp;$F191&amp;"|"&amp;$L191&amp;"|"&amp;$P191&amp;"|"&amp;TEXT($H191,"yyyy-mm-dd"))</f>
        <v>PCGH783|14830|43952|4050|-102255|2026-05-28</v>
      </c>
      <c r="T191" s="1" t="str">
        <f aca="false">IF($S191="","",IF(COUNTIF($S$2:$S$2991,$S191)&gt;1,"DUPLICATE","OK"))</f>
        <v>OK</v>
      </c>
      <c r="U191" s="0" t="str">
        <f aca="false">IF($L191="","",IFERROR(VLOOKUP(--$L191,MM_Income!$Z$5:$AC$204,3,FALSE()),"UNMAPPED"))</f>
        <v>Invoiced Income</v>
      </c>
    </row>
    <row r="192" customFormat="false" ht="13.5" hidden="false" customHeight="false" outlineLevel="0" collapsed="false">
      <c r="A192" s="1" t="str">
        <f aca="false">IF($C192="","",Controls!$B$7)</f>
        <v>PCGH</v>
      </c>
      <c r="B192" s="1" t="str">
        <f aca="false">IF($H192="","",YEAR($H192)&amp;"-Q"&amp;ROUNDUP(MONTH($H192)/3,0))</f>
        <v>2026-Q2</v>
      </c>
      <c r="C192" s="1" t="s">
        <v>1124</v>
      </c>
      <c r="D192" s="1" t="s">
        <v>1125</v>
      </c>
      <c r="E192" s="1" t="n">
        <v>14831</v>
      </c>
      <c r="F192" s="1" t="n">
        <v>43953</v>
      </c>
      <c r="G192" s="1" t="s">
        <v>840</v>
      </c>
      <c r="H192" s="140" t="n">
        <v>46175</v>
      </c>
      <c r="I192" s="1" t="s">
        <v>398</v>
      </c>
      <c r="J192" s="1" t="n">
        <v>2026032</v>
      </c>
      <c r="L192" s="1" t="n">
        <v>4000</v>
      </c>
      <c r="N192" s="1" t="s">
        <v>1126</v>
      </c>
      <c r="P192" s="1" t="n">
        <v>-87347.94</v>
      </c>
      <c r="S192" s="1" t="str">
        <f aca="false">IF($C192="","",$C192&amp;"|"&amp;$E192&amp;"|"&amp;$F192&amp;"|"&amp;$L192&amp;"|"&amp;$P192&amp;"|"&amp;TEXT($H192,"yyyy-mm-dd"))</f>
        <v>PCGH792|14831|43953|4000|-87347.94|2026-06-02</v>
      </c>
      <c r="T192" s="1" t="str">
        <f aca="false">IF($S192="","",IF(COUNTIF($S$2:$S$2991,$S192)&gt;1,"DUPLICATE","OK"))</f>
        <v>OK</v>
      </c>
      <c r="U192" s="0" t="str">
        <f aca="false">IF($L192="","",IFERROR(VLOOKUP(--$L192,MM_Income!$Z$5:$AC$204,3,FALSE()),"UNMAPPED"))</f>
        <v>Invoiced Income</v>
      </c>
    </row>
    <row r="193" customFormat="false" ht="13.5" hidden="false" customHeight="false" outlineLevel="0" collapsed="false">
      <c r="A193" s="1" t="str">
        <f aca="false">IF($C193="","",Controls!$B$7)</f>
        <v>PCGH</v>
      </c>
      <c r="B193" s="1" t="str">
        <f aca="false">IF($H193="","",YEAR($H193)&amp;"-Q"&amp;ROUNDUP(MONTH($H193)/3,0))</f>
        <v>2026-Q2</v>
      </c>
      <c r="C193" s="1" t="s">
        <v>1097</v>
      </c>
      <c r="D193" s="1" t="s">
        <v>1098</v>
      </c>
      <c r="E193" s="1" t="n">
        <v>14832</v>
      </c>
      <c r="F193" s="1" t="n">
        <v>43954</v>
      </c>
      <c r="G193" s="1" t="s">
        <v>840</v>
      </c>
      <c r="H193" s="140" t="n">
        <v>46175</v>
      </c>
      <c r="I193" s="1" t="s">
        <v>398</v>
      </c>
      <c r="J193" s="1" t="n">
        <v>2026033</v>
      </c>
      <c r="L193" s="1" t="n">
        <v>4000</v>
      </c>
      <c r="N193" s="1" t="s">
        <v>1126</v>
      </c>
      <c r="P193" s="1" t="n">
        <v>-166541.06</v>
      </c>
      <c r="S193" s="1" t="str">
        <f aca="false">IF($C193="","",$C193&amp;"|"&amp;$E193&amp;"|"&amp;$F193&amp;"|"&amp;$L193&amp;"|"&amp;$P193&amp;"|"&amp;TEXT($H193,"yyyy-mm-dd"))</f>
        <v>PCGH793|14832|43954|4000|-166541.06|2026-06-02</v>
      </c>
      <c r="T193" s="1" t="str">
        <f aca="false">IF($S193="","",IF(COUNTIF($S$2:$S$2991,$S193)&gt;1,"DUPLICATE","OK"))</f>
        <v>OK</v>
      </c>
      <c r="U193" s="0" t="str">
        <f aca="false">IF($L193="","",IFERROR(VLOOKUP(--$L193,MM_Income!$Z$5:$AC$204,3,FALSE()),"UNMAPPED"))</f>
        <v>Invoiced Income</v>
      </c>
    </row>
    <row r="194" customFormat="false" ht="13.5" hidden="false" customHeight="false" outlineLevel="0" collapsed="false">
      <c r="A194" s="1" t="str">
        <f aca="false">IF($C194="","",Controls!$B$7)</f>
        <v>PCGH</v>
      </c>
      <c r="B194" s="1" t="str">
        <f aca="false">IF($H194="","",YEAR($H194)&amp;"-Q"&amp;ROUNDUP(MONTH($H194)/3,0))</f>
        <v>2026-Q2</v>
      </c>
      <c r="C194" s="1" t="s">
        <v>936</v>
      </c>
      <c r="D194" s="1" t="s">
        <v>937</v>
      </c>
      <c r="E194" s="1" t="n">
        <v>14833</v>
      </c>
      <c r="F194" s="1" t="n">
        <v>43955</v>
      </c>
      <c r="G194" s="1" t="s">
        <v>840</v>
      </c>
      <c r="H194" s="140" t="n">
        <v>46177</v>
      </c>
      <c r="I194" s="1" t="s">
        <v>398</v>
      </c>
      <c r="J194" s="1" t="n">
        <v>2026034</v>
      </c>
      <c r="L194" s="1" t="n">
        <v>4000</v>
      </c>
      <c r="N194" s="1" t="s">
        <v>1127</v>
      </c>
      <c r="P194" s="1" t="n">
        <v>-151961.31</v>
      </c>
      <c r="S194" s="1" t="str">
        <f aca="false">IF($C194="","",$C194&amp;"|"&amp;$E194&amp;"|"&amp;$F194&amp;"|"&amp;$L194&amp;"|"&amp;$P194&amp;"|"&amp;TEXT($H194,"yyyy-mm-dd"))</f>
        <v>PCGH784|14833|43955|4000|-151961.31|2026-06-04</v>
      </c>
      <c r="T194" s="1" t="str">
        <f aca="false">IF($S194="","",IF(COUNTIF($S$2:$S$2991,$S194)&gt;1,"DUPLICATE","OK"))</f>
        <v>OK</v>
      </c>
      <c r="U194" s="0" t="str">
        <f aca="false">IF($L194="","",IFERROR(VLOOKUP(--$L194,MM_Income!$Z$5:$AC$204,3,FALSE()),"UNMAPPED"))</f>
        <v>Invoiced Income</v>
      </c>
    </row>
    <row r="195" customFormat="false" ht="13.5" hidden="false" customHeight="false" outlineLevel="0" collapsed="false">
      <c r="A195" s="1" t="str">
        <f aca="false">IF($C195="","",Controls!$B$7)</f>
        <v>PCGH</v>
      </c>
      <c r="B195" s="1" t="str">
        <f aca="false">IF($H195="","",YEAR($H195)&amp;"-Q"&amp;ROUNDUP(MONTH($H195)/3,0))</f>
        <v>2026-Q2</v>
      </c>
      <c r="C195" s="1" t="s">
        <v>934</v>
      </c>
      <c r="D195" s="1" t="s">
        <v>935</v>
      </c>
      <c r="E195" s="1" t="n">
        <v>14834</v>
      </c>
      <c r="F195" s="1" t="n">
        <v>43956</v>
      </c>
      <c r="G195" s="1" t="s">
        <v>840</v>
      </c>
      <c r="H195" s="140" t="n">
        <v>46177</v>
      </c>
      <c r="I195" s="1" t="s">
        <v>398</v>
      </c>
      <c r="J195" s="1" t="n">
        <v>2026035</v>
      </c>
      <c r="L195" s="1" t="n">
        <v>4000</v>
      </c>
      <c r="N195" s="1" t="s">
        <v>1128</v>
      </c>
      <c r="P195" s="1" t="n">
        <v>-84369.45</v>
      </c>
      <c r="S195" s="1" t="str">
        <f aca="false">IF($C195="","",$C195&amp;"|"&amp;$E195&amp;"|"&amp;$F195&amp;"|"&amp;$L195&amp;"|"&amp;$P195&amp;"|"&amp;TEXT($H195,"yyyy-mm-dd"))</f>
        <v>PCGH785|14834|43956|4000|-84369.45|2026-06-04</v>
      </c>
      <c r="T195" s="1" t="str">
        <f aca="false">IF($S195="","",IF(COUNTIF($S$2:$S$2991,$S195)&gt;1,"DUPLICATE","OK"))</f>
        <v>OK</v>
      </c>
      <c r="U195" s="0" t="str">
        <f aca="false">IF($L195="","",IFERROR(VLOOKUP(--$L195,MM_Income!$Z$5:$AC$204,3,FALSE()),"UNMAPPED"))</f>
        <v>Invoiced Income</v>
      </c>
    </row>
    <row r="196" customFormat="false" ht="13.5" hidden="false" customHeight="false" outlineLevel="0" collapsed="false">
      <c r="A196" s="1" t="str">
        <f aca="false">IF($C196="","",Controls!$B$7)</f>
        <v>PCGH</v>
      </c>
      <c r="B196" s="1" t="str">
        <f aca="false">IF($H196="","",YEAR($H196)&amp;"-Q"&amp;ROUNDUP(MONTH($H196)/3,0))</f>
        <v>2026-Q2</v>
      </c>
      <c r="C196" s="1" t="s">
        <v>1124</v>
      </c>
      <c r="D196" s="1" t="s">
        <v>1125</v>
      </c>
      <c r="E196" s="1" t="n">
        <v>14835</v>
      </c>
      <c r="F196" s="1" t="n">
        <v>43957</v>
      </c>
      <c r="G196" s="1" t="s">
        <v>840</v>
      </c>
      <c r="H196" s="140" t="n">
        <v>46177</v>
      </c>
      <c r="I196" s="1" t="s">
        <v>398</v>
      </c>
      <c r="J196" s="1" t="n">
        <v>2026036</v>
      </c>
      <c r="L196" s="1" t="n">
        <v>4000</v>
      </c>
      <c r="N196" s="1" t="s">
        <v>1129</v>
      </c>
      <c r="P196" s="1" t="n">
        <v>-79367.2</v>
      </c>
      <c r="S196" s="1" t="str">
        <f aca="false">IF($C196="","",$C196&amp;"|"&amp;$E196&amp;"|"&amp;$F196&amp;"|"&amp;$L196&amp;"|"&amp;$P196&amp;"|"&amp;TEXT($H196,"yyyy-mm-dd"))</f>
        <v>PCGH792|14835|43957|4000|-79367.2|2026-06-04</v>
      </c>
      <c r="T196" s="1" t="str">
        <f aca="false">IF($S196="","",IF(COUNTIF($S$2:$S$2991,$S196)&gt;1,"DUPLICATE","OK"))</f>
        <v>OK</v>
      </c>
      <c r="U196" s="0" t="str">
        <f aca="false">IF($L196="","",IFERROR(VLOOKUP(--$L196,MM_Income!$Z$5:$AC$204,3,FALSE()),"UNMAPPED"))</f>
        <v>Invoiced Income</v>
      </c>
    </row>
    <row r="197" customFormat="false" ht="13.5" hidden="false" customHeight="false" outlineLevel="0" collapsed="false">
      <c r="A197" s="1" t="str">
        <f aca="false">IF($C197="","",Controls!$B$7)</f>
        <v>PCGH</v>
      </c>
      <c r="B197" s="1" t="str">
        <f aca="false">IF($H197="","",YEAR($H197)&amp;"-Q"&amp;ROUNDUP(MONTH($H197)/3,0))</f>
        <v>2026-Q2</v>
      </c>
      <c r="C197" s="1" t="s">
        <v>845</v>
      </c>
      <c r="D197" s="1" t="s">
        <v>846</v>
      </c>
      <c r="E197" s="1" t="n">
        <v>14836</v>
      </c>
      <c r="F197" s="1" t="n">
        <v>43958</v>
      </c>
      <c r="G197" s="1" t="s">
        <v>840</v>
      </c>
      <c r="H197" s="140" t="n">
        <v>46177</v>
      </c>
      <c r="I197" s="1" t="s">
        <v>858</v>
      </c>
      <c r="J197" s="1" t="n">
        <v>2026037</v>
      </c>
      <c r="L197" s="1" t="n">
        <v>4000</v>
      </c>
      <c r="N197" s="1" t="s">
        <v>1130</v>
      </c>
      <c r="P197" s="1" t="n">
        <v>-400445.18</v>
      </c>
      <c r="S197" s="1" t="str">
        <f aca="false">IF($C197="","",$C197&amp;"|"&amp;$E197&amp;"|"&amp;$F197&amp;"|"&amp;$L197&amp;"|"&amp;$P197&amp;"|"&amp;TEXT($H197,"yyyy-mm-dd"))</f>
        <v>PCGH775|14836|43958|4000|-400445.18|2026-06-04</v>
      </c>
      <c r="T197" s="1" t="str">
        <f aca="false">IF($S197="","",IF(COUNTIF($S$2:$S$2991,$S197)&gt;1,"DUPLICATE","OK"))</f>
        <v>OK</v>
      </c>
      <c r="U197" s="0" t="str">
        <f aca="false">IF($L197="","",IFERROR(VLOOKUP(--$L197,MM_Income!$Z$5:$AC$204,3,FALSE()),"UNMAPPED"))</f>
        <v>Invoiced Income</v>
      </c>
    </row>
    <row r="198" customFormat="false" ht="13.5" hidden="false" customHeight="false" outlineLevel="0" collapsed="false">
      <c r="A198" s="1" t="str">
        <f aca="false">IF($C198="","",Controls!$B$7)</f>
        <v>PCGH</v>
      </c>
      <c r="B198" s="1" t="str">
        <f aca="false">IF($H198="","",YEAR($H198)&amp;"-Q"&amp;ROUNDUP(MONTH($H198)/3,0))</f>
        <v>2026-Q2</v>
      </c>
      <c r="C198" s="1" t="s">
        <v>845</v>
      </c>
      <c r="D198" s="1" t="s">
        <v>846</v>
      </c>
      <c r="E198" s="1" t="n">
        <v>14837</v>
      </c>
      <c r="F198" s="1" t="n">
        <v>43959</v>
      </c>
      <c r="G198" s="1" t="s">
        <v>840</v>
      </c>
      <c r="H198" s="140" t="n">
        <v>46177</v>
      </c>
      <c r="I198" s="1" t="s">
        <v>858</v>
      </c>
      <c r="J198" s="1" t="n">
        <v>2026037</v>
      </c>
      <c r="L198" s="1" t="n">
        <v>4200</v>
      </c>
      <c r="N198" s="1" t="s">
        <v>677</v>
      </c>
      <c r="P198" s="1" t="n">
        <v>-35444.29</v>
      </c>
      <c r="S198" s="1" t="str">
        <f aca="false">IF($C198="","",$C198&amp;"|"&amp;$E198&amp;"|"&amp;$F198&amp;"|"&amp;$L198&amp;"|"&amp;$P198&amp;"|"&amp;TEXT($H198,"yyyy-mm-dd"))</f>
        <v>PCGH775|14837|43959|4200|-35444.29|2026-06-04</v>
      </c>
      <c r="T198" s="1" t="str">
        <f aca="false">IF($S198="","",IF(COUNTIF($S$2:$S$2991,$S198)&gt;1,"DUPLICATE","OK"))</f>
        <v>OK</v>
      </c>
      <c r="U198" s="0" t="str">
        <f aca="false">IF($L198="","",IFERROR(VLOOKUP(--$L198,MM_Income!$Z$5:$AC$204,3,FALSE()),"UNMAPPED"))</f>
        <v>Recovered Expenses</v>
      </c>
    </row>
    <row r="199" customFormat="false" ht="13.5" hidden="false" customHeight="false" outlineLevel="0" collapsed="false">
      <c r="A199" s="1" t="str">
        <f aca="false">IF($C199="","",Controls!$B$7)</f>
        <v>PCGH</v>
      </c>
      <c r="B199" s="1" t="str">
        <f aca="false">IF($H199="","",YEAR($H199)&amp;"-Q"&amp;ROUNDUP(MONTH($H199)/3,0))</f>
        <v>2026-Q2</v>
      </c>
      <c r="C199" s="1" t="s">
        <v>925</v>
      </c>
      <c r="D199" s="1" t="s">
        <v>926</v>
      </c>
      <c r="E199" s="1" t="n">
        <v>14838</v>
      </c>
      <c r="F199" s="1" t="n">
        <v>43960</v>
      </c>
      <c r="G199" s="1" t="s">
        <v>840</v>
      </c>
      <c r="H199" s="140" t="n">
        <v>46190</v>
      </c>
      <c r="I199" s="1" t="s">
        <v>929</v>
      </c>
      <c r="J199" s="1" t="n">
        <v>2026038</v>
      </c>
      <c r="L199" s="1" t="n">
        <v>4000</v>
      </c>
      <c r="N199" s="1" t="s">
        <v>1131</v>
      </c>
      <c r="P199" s="1" t="n">
        <v>-127449.66</v>
      </c>
      <c r="S199" s="1" t="str">
        <f aca="false">IF($C199="","",$C199&amp;"|"&amp;$E199&amp;"|"&amp;$F199&amp;"|"&amp;$L199&amp;"|"&amp;$P199&amp;"|"&amp;TEXT($H199,"yyyy-mm-dd"))</f>
        <v>PCGH786|14838|43960|4000|-127449.66|2026-06-17</v>
      </c>
      <c r="T199" s="1" t="str">
        <f aca="false">IF($S199="","",IF(COUNTIF($S$2:$S$2991,$S199)&gt;1,"DUPLICATE","OK"))</f>
        <v>OK</v>
      </c>
      <c r="U199" s="0" t="str">
        <f aca="false">IF($L199="","",IFERROR(VLOOKUP(--$L199,MM_Income!$Z$5:$AC$204,3,FALSE()),"UNMAPPED"))</f>
        <v>Invoiced Income</v>
      </c>
    </row>
    <row r="200" customFormat="false" ht="13.5" hidden="false" customHeight="false" outlineLevel="0" collapsed="false">
      <c r="A200" s="1" t="str">
        <f aca="false">IF($C200="","",Controls!$B$7)</f>
        <v>PCGH</v>
      </c>
      <c r="B200" s="1" t="str">
        <f aca="false">IF($H200="","",YEAR($H200)&amp;"-Q"&amp;ROUNDUP(MONTH($H200)/3,0))</f>
        <v>2026-Q2</v>
      </c>
      <c r="C200" s="1" t="s">
        <v>925</v>
      </c>
      <c r="D200" s="1" t="s">
        <v>926</v>
      </c>
      <c r="E200" s="1" t="n">
        <v>14839</v>
      </c>
      <c r="F200" s="1" t="n">
        <v>43961</v>
      </c>
      <c r="G200" s="1" t="s">
        <v>840</v>
      </c>
      <c r="H200" s="140" t="n">
        <v>46190</v>
      </c>
      <c r="I200" s="1" t="s">
        <v>929</v>
      </c>
      <c r="J200" s="1" t="n">
        <v>2026038</v>
      </c>
      <c r="L200" s="1" t="n">
        <v>4200</v>
      </c>
      <c r="N200" s="1" t="s">
        <v>1132</v>
      </c>
      <c r="P200" s="1" t="n">
        <v>-45777.82</v>
      </c>
      <c r="S200" s="1" t="str">
        <f aca="false">IF($C200="","",$C200&amp;"|"&amp;$E200&amp;"|"&amp;$F200&amp;"|"&amp;$L200&amp;"|"&amp;$P200&amp;"|"&amp;TEXT($H200,"yyyy-mm-dd"))</f>
        <v>PCGH786|14839|43961|4200|-45777.82|2026-06-17</v>
      </c>
      <c r="T200" s="1" t="str">
        <f aca="false">IF($S200="","",IF(COUNTIF($S$2:$S$2991,$S200)&gt;1,"DUPLICATE","OK"))</f>
        <v>OK</v>
      </c>
      <c r="U200" s="0" t="str">
        <f aca="false">IF($L200="","",IFERROR(VLOOKUP(--$L200,MM_Income!$Z$5:$AC$204,3,FALSE()),"UNMAPPED"))</f>
        <v>Recovered Expenses</v>
      </c>
    </row>
    <row r="201" customFormat="false" ht="13.5" hidden="false" customHeight="false" outlineLevel="0" collapsed="false">
      <c r="A201" s="1" t="str">
        <f aca="false">IF($C201="","",Controls!$B$7)</f>
        <v>PCGH</v>
      </c>
      <c r="B201" s="1" t="str">
        <f aca="false">IF($H201="","",YEAR($H201)&amp;"-Q"&amp;ROUNDUP(MONTH($H201)/3,0))</f>
        <v>2026-Q2</v>
      </c>
      <c r="C201" s="1" t="s">
        <v>863</v>
      </c>
      <c r="D201" s="1" t="s">
        <v>864</v>
      </c>
      <c r="E201" s="1" t="n">
        <v>14840</v>
      </c>
      <c r="F201" s="1" t="n">
        <v>43962</v>
      </c>
      <c r="G201" s="1" t="s">
        <v>840</v>
      </c>
      <c r="H201" s="140" t="n">
        <v>46191</v>
      </c>
      <c r="I201" s="1" t="s">
        <v>907</v>
      </c>
      <c r="J201" s="1" t="n">
        <v>2026039</v>
      </c>
      <c r="L201" s="1" t="n">
        <v>4050</v>
      </c>
      <c r="N201" s="1" t="s">
        <v>1133</v>
      </c>
      <c r="P201" s="1" t="n">
        <v>-307039.47</v>
      </c>
      <c r="S201" s="1" t="str">
        <f aca="false">IF($C201="","",$C201&amp;"|"&amp;$E201&amp;"|"&amp;$F201&amp;"|"&amp;$L201&amp;"|"&amp;$P201&amp;"|"&amp;TEXT($H201,"yyyy-mm-dd"))</f>
        <v>PCGH777|14840|43962|4050|-307039.47|2026-06-18</v>
      </c>
      <c r="T201" s="1" t="str">
        <f aca="false">IF($S201="","",IF(COUNTIF($S$2:$S$2991,$S201)&gt;1,"DUPLICATE","OK"))</f>
        <v>OK</v>
      </c>
      <c r="U201" s="0" t="str">
        <f aca="false">IF($L201="","",IFERROR(VLOOKUP(--$L201,MM_Income!$Z$5:$AC$204,3,FALSE()),"UNMAPPED"))</f>
        <v>Invoiced Income</v>
      </c>
    </row>
    <row r="202" customFormat="false" ht="13.5" hidden="false" customHeight="false" outlineLevel="0" collapsed="false">
      <c r="A202" s="1" t="str">
        <f aca="false">IF($C202="","",Controls!$B$7)</f>
        <v>PCGH</v>
      </c>
      <c r="B202" s="1" t="str">
        <f aca="false">IF($H202="","",YEAR($H202)&amp;"-Q"&amp;ROUNDUP(MONTH($H202)/3,0))</f>
        <v>2026-Q2</v>
      </c>
      <c r="C202" s="1" t="s">
        <v>863</v>
      </c>
      <c r="D202" s="1" t="s">
        <v>864</v>
      </c>
      <c r="E202" s="1" t="n">
        <v>14841</v>
      </c>
      <c r="F202" s="1" t="n">
        <v>43963</v>
      </c>
      <c r="G202" s="1" t="s">
        <v>840</v>
      </c>
      <c r="H202" s="140" t="n">
        <v>46191</v>
      </c>
      <c r="I202" s="1" t="s">
        <v>907</v>
      </c>
      <c r="J202" s="1" t="n">
        <v>2026039</v>
      </c>
      <c r="L202" s="1" t="n">
        <v>4200</v>
      </c>
      <c r="N202" s="1" t="s">
        <v>1134</v>
      </c>
      <c r="P202" s="1" t="n">
        <v>-63091.27</v>
      </c>
      <c r="S202" s="1" t="str">
        <f aca="false">IF($C202="","",$C202&amp;"|"&amp;$E202&amp;"|"&amp;$F202&amp;"|"&amp;$L202&amp;"|"&amp;$P202&amp;"|"&amp;TEXT($H202,"yyyy-mm-dd"))</f>
        <v>PCGH777|14841|43963|4200|-63091.27|2026-06-18</v>
      </c>
      <c r="T202" s="1" t="str">
        <f aca="false">IF($S202="","",IF(COUNTIF($S$2:$S$2991,$S202)&gt;1,"DUPLICATE","OK"))</f>
        <v>OK</v>
      </c>
      <c r="U202" s="0" t="str">
        <f aca="false">IF($L202="","",IFERROR(VLOOKUP(--$L202,MM_Income!$Z$5:$AC$204,3,FALSE()),"UNMAPPED"))</f>
        <v>Recovered Expenses</v>
      </c>
    </row>
    <row r="203" customFormat="false" ht="13.5" hidden="false" customHeight="false" outlineLevel="0" collapsed="false">
      <c r="A203" s="1" t="str">
        <f aca="false">IF($C203="","",Controls!$B$7)</f>
        <v>PCGH</v>
      </c>
      <c r="B203" s="1" t="str">
        <f aca="false">IF($H203="","",YEAR($H203)&amp;"-Q"&amp;ROUNDUP(MONTH($H203)/3,0))</f>
        <v>2026-Q2</v>
      </c>
      <c r="C203" s="1" t="s">
        <v>964</v>
      </c>
      <c r="D203" s="1" t="s">
        <v>965</v>
      </c>
      <c r="E203" s="1" t="n">
        <v>14842</v>
      </c>
      <c r="F203" s="1" t="n">
        <v>43964</v>
      </c>
      <c r="G203" s="1" t="s">
        <v>840</v>
      </c>
      <c r="H203" s="140" t="n">
        <v>46203</v>
      </c>
      <c r="I203" s="1" t="s">
        <v>1135</v>
      </c>
      <c r="J203" s="1" t="n">
        <v>2026041</v>
      </c>
      <c r="L203" s="1" t="n">
        <v>4000</v>
      </c>
      <c r="N203" s="1" t="s">
        <v>1136</v>
      </c>
      <c r="P203" s="1" t="n">
        <v>-217238.33</v>
      </c>
      <c r="S203" s="1" t="str">
        <f aca="false">IF($C203="","",$C203&amp;"|"&amp;$E203&amp;"|"&amp;$F203&amp;"|"&amp;$L203&amp;"|"&amp;$P203&amp;"|"&amp;TEXT($H203,"yyyy-mm-dd"))</f>
        <v>PCGH769|14842|43964|4000|-217238.33|2026-06-30</v>
      </c>
      <c r="T203" s="1" t="str">
        <f aca="false">IF($S203="","",IF(COUNTIF($S$2:$S$2991,$S203)&gt;1,"DUPLICATE","OK"))</f>
        <v>OK</v>
      </c>
      <c r="U203" s="0" t="str">
        <f aca="false">IF($L203="","",IFERROR(VLOOKUP(--$L203,MM_Income!$Z$5:$AC$204,3,FALSE()),"UNMAPPED"))</f>
        <v>Invoiced Income</v>
      </c>
    </row>
    <row r="204" customFormat="false" ht="13.5" hidden="false" customHeight="false" outlineLevel="0" collapsed="false">
      <c r="A204" s="1" t="str">
        <f aca="false">IF($C204="","",Controls!$B$7)</f>
        <v>PCGH</v>
      </c>
      <c r="B204" s="1" t="str">
        <f aca="false">IF($H204="","",YEAR($H204)&amp;"-Q"&amp;ROUNDUP(MONTH($H204)/3,0))</f>
        <v>2026-Q2</v>
      </c>
      <c r="C204" s="1" t="s">
        <v>964</v>
      </c>
      <c r="D204" s="1" t="s">
        <v>965</v>
      </c>
      <c r="E204" s="1" t="n">
        <v>14843</v>
      </c>
      <c r="F204" s="1" t="n">
        <v>43965</v>
      </c>
      <c r="G204" s="1" t="s">
        <v>840</v>
      </c>
      <c r="H204" s="140" t="n">
        <v>46203</v>
      </c>
      <c r="I204" s="1" t="s">
        <v>1135</v>
      </c>
      <c r="J204" s="1" t="n">
        <v>2026041</v>
      </c>
      <c r="L204" s="1" t="n">
        <v>4200</v>
      </c>
      <c r="N204" s="1" t="s">
        <v>1134</v>
      </c>
      <c r="P204" s="1" t="n">
        <v>-113779.54</v>
      </c>
      <c r="S204" s="1" t="str">
        <f aca="false">IF($C204="","",$C204&amp;"|"&amp;$E204&amp;"|"&amp;$F204&amp;"|"&amp;$L204&amp;"|"&amp;$P204&amp;"|"&amp;TEXT($H204,"yyyy-mm-dd"))</f>
        <v>PCGH769|14843|43965|4200|-113779.54|2026-06-30</v>
      </c>
      <c r="T204" s="1" t="str">
        <f aca="false">IF($S204="","",IF(COUNTIF($S$2:$S$2991,$S204)&gt;1,"DUPLICATE","OK"))</f>
        <v>OK</v>
      </c>
      <c r="U204" s="0" t="str">
        <f aca="false">IF($L204="","",IFERROR(VLOOKUP(--$L204,MM_Income!$Z$5:$AC$204,3,FALSE()),"UNMAPPED"))</f>
        <v>Recovered Expenses</v>
      </c>
    </row>
    <row r="205" customFormat="false" ht="13.5" hidden="false" customHeight="false" outlineLevel="0" collapsed="false">
      <c r="A205" s="1" t="str">
        <f aca="false">IF($C205="","",Controls!$B$7)</f>
        <v>PCGH</v>
      </c>
      <c r="B205" s="1" t="str">
        <f aca="false">IF($H205="","",YEAR($H205)&amp;"-Q"&amp;ROUNDUP(MONTH($H205)/3,0))</f>
        <v>2026-Q2</v>
      </c>
      <c r="C205" s="1" t="s">
        <v>899</v>
      </c>
      <c r="D205" s="1" t="s">
        <v>900</v>
      </c>
      <c r="E205" s="1" t="n">
        <v>14844</v>
      </c>
      <c r="F205" s="1" t="n">
        <v>43966</v>
      </c>
      <c r="G205" s="1" t="s">
        <v>840</v>
      </c>
      <c r="H205" s="140" t="n">
        <v>46191</v>
      </c>
      <c r="I205" s="1" t="s">
        <v>382</v>
      </c>
      <c r="J205" s="1" t="n">
        <v>2026040</v>
      </c>
      <c r="L205" s="1" t="n">
        <v>4000</v>
      </c>
      <c r="N205" s="1" t="s">
        <v>1137</v>
      </c>
      <c r="P205" s="1" t="n">
        <v>-260594.69</v>
      </c>
      <c r="S205" s="1" t="str">
        <f aca="false">IF($C205="","",$C205&amp;"|"&amp;$E205&amp;"|"&amp;$F205&amp;"|"&amp;$L205&amp;"|"&amp;$P205&amp;"|"&amp;TEXT($H205,"yyyy-mm-dd"))</f>
        <v>PCGH762|14844|43966|4000|-260594.69|2026-06-18</v>
      </c>
      <c r="T205" s="1" t="str">
        <f aca="false">IF($S205="","",IF(COUNTIF($S$2:$S$2991,$S205)&gt;1,"DUPLICATE","OK"))</f>
        <v>OK</v>
      </c>
      <c r="U205" s="0" t="str">
        <f aca="false">IF($L205="","",IFERROR(VLOOKUP(--$L205,MM_Income!$Z$5:$AC$204,3,FALSE()),"UNMAPPED"))</f>
        <v>Invoiced Income</v>
      </c>
    </row>
    <row r="206" customFormat="false" ht="13.5" hidden="false" customHeight="false" outlineLevel="0" collapsed="false">
      <c r="A206" s="1" t="str">
        <f aca="false">IF($C206="","",Controls!$B$7)</f>
        <v>PCGH</v>
      </c>
      <c r="B206" s="1" t="str">
        <f aca="false">IF($H206="","",YEAR($H206)&amp;"-Q"&amp;ROUNDUP(MONTH($H206)/3,0))</f>
        <v>2026-Q2</v>
      </c>
      <c r="C206" s="1" t="s">
        <v>899</v>
      </c>
      <c r="D206" s="1" t="s">
        <v>900</v>
      </c>
      <c r="E206" s="1" t="n">
        <v>14845</v>
      </c>
      <c r="F206" s="1" t="n">
        <v>43967</v>
      </c>
      <c r="G206" s="1" t="s">
        <v>840</v>
      </c>
      <c r="H206" s="140" t="n">
        <v>46191</v>
      </c>
      <c r="I206" s="1" t="s">
        <v>382</v>
      </c>
      <c r="J206" s="1" t="n">
        <v>2026040</v>
      </c>
      <c r="L206" s="1" t="n">
        <v>4200</v>
      </c>
      <c r="N206" s="1" t="s">
        <v>1134</v>
      </c>
      <c r="P206" s="1" t="n">
        <v>-57522.06</v>
      </c>
      <c r="S206" s="1" t="str">
        <f aca="false">IF($C206="","",$C206&amp;"|"&amp;$E206&amp;"|"&amp;$F206&amp;"|"&amp;$L206&amp;"|"&amp;$P206&amp;"|"&amp;TEXT($H206,"yyyy-mm-dd"))</f>
        <v>PCGH762|14845|43967|4200|-57522.06|2026-06-18</v>
      </c>
      <c r="T206" s="1" t="str">
        <f aca="false">IF($S206="","",IF(COUNTIF($S$2:$S$2991,$S206)&gt;1,"DUPLICATE","OK"))</f>
        <v>OK</v>
      </c>
      <c r="U206" s="0" t="str">
        <f aca="false">IF($L206="","",IFERROR(VLOOKUP(--$L206,MM_Income!$Z$5:$AC$204,3,FALSE()),"UNMAPPED"))</f>
        <v>Recovered Expenses</v>
      </c>
    </row>
    <row r="207" customFormat="false" ht="13.5" hidden="false" customHeight="false" outlineLevel="0" collapsed="false">
      <c r="A207" s="1" t="str">
        <f aca="false">IF($C207="","",Controls!$B$7)</f>
        <v>PCGH</v>
      </c>
      <c r="B207" s="1" t="str">
        <f aca="false">IF($H207="","",YEAR($H207)&amp;"-Q"&amp;ROUNDUP(MONTH($H207)/3,0))</f>
        <v>2026-Q2</v>
      </c>
      <c r="C207" s="1" t="s">
        <v>838</v>
      </c>
      <c r="D207" s="1" t="s">
        <v>839</v>
      </c>
      <c r="E207" s="1" t="n">
        <v>14846</v>
      </c>
      <c r="F207" s="1" t="n">
        <v>44120</v>
      </c>
      <c r="G207" s="1" t="s">
        <v>847</v>
      </c>
      <c r="H207" s="140" t="n">
        <v>46203</v>
      </c>
      <c r="I207" s="1" t="s">
        <v>1138</v>
      </c>
      <c r="J207" s="1" t="s">
        <v>1139</v>
      </c>
      <c r="K207" s="1" t="s">
        <v>849</v>
      </c>
      <c r="L207" s="1" t="n">
        <v>5200</v>
      </c>
      <c r="N207" s="1" t="s">
        <v>1140</v>
      </c>
      <c r="P207" s="1" t="n">
        <v>324.45</v>
      </c>
      <c r="S207" s="1" t="str">
        <f aca="false">IF($C207="","",$C207&amp;"|"&amp;$E207&amp;"|"&amp;$F207&amp;"|"&amp;$L207&amp;"|"&amp;$P207&amp;"|"&amp;TEXT($H207,"yyyy-mm-dd"))</f>
        <v>PCGH774|14846|44120|5200|324.45|2026-06-30</v>
      </c>
      <c r="T207" s="1" t="str">
        <f aca="false">IF($S207="","",IF(COUNTIF($S$2:$S$2991,$S207)&gt;1,"DUPLICATE","OK"))</f>
        <v>OK</v>
      </c>
      <c r="U207" s="0" t="str">
        <f aca="false">IF($L207="","",IFERROR(VLOOKUP(--$L207,MM_Income!$Z$5:$AC$204,3,FALSE()),"UNMAPPED"))</f>
        <v>Recoverable</v>
      </c>
    </row>
    <row r="208" customFormat="false" ht="13.5" hidden="false" customHeight="false" outlineLevel="0" collapsed="false">
      <c r="A208" s="1" t="str">
        <f aca="false">IF($C208="","",Controls!$B$7)</f>
        <v>PCGH</v>
      </c>
      <c r="B208" s="1" t="str">
        <f aca="false">IF($H208="","",YEAR($H208)&amp;"-Q"&amp;ROUNDUP(MONTH($H208)/3,0))</f>
        <v>2026-Q2</v>
      </c>
      <c r="C208" s="1" t="s">
        <v>838</v>
      </c>
      <c r="D208" s="1" t="s">
        <v>839</v>
      </c>
      <c r="E208" s="1" t="n">
        <v>14847</v>
      </c>
      <c r="F208" s="1" t="n">
        <v>44125</v>
      </c>
      <c r="G208" s="1" t="s">
        <v>847</v>
      </c>
      <c r="H208" s="140" t="n">
        <v>46203</v>
      </c>
      <c r="I208" s="1" t="s">
        <v>1138</v>
      </c>
      <c r="J208" s="1" t="s">
        <v>1141</v>
      </c>
      <c r="K208" s="1" t="s">
        <v>867</v>
      </c>
      <c r="L208" s="1" t="n">
        <v>5200</v>
      </c>
      <c r="N208" s="1" t="s">
        <v>1142</v>
      </c>
      <c r="P208" s="1" t="n">
        <v>163.82</v>
      </c>
      <c r="S208" s="1" t="str">
        <f aca="false">IF($C208="","",$C208&amp;"|"&amp;$E208&amp;"|"&amp;$F208&amp;"|"&amp;$L208&amp;"|"&amp;$P208&amp;"|"&amp;TEXT($H208,"yyyy-mm-dd"))</f>
        <v>PCGH774|14847|44125|5200|163.82|2026-06-30</v>
      </c>
      <c r="T208" s="1" t="str">
        <f aca="false">IF($S208="","",IF(COUNTIF($S$2:$S$2991,$S208)&gt;1,"DUPLICATE","OK"))</f>
        <v>OK</v>
      </c>
      <c r="U208" s="0" t="str">
        <f aca="false">IF($L208="","",IFERROR(VLOOKUP(--$L208,MM_Income!$Z$5:$AC$204,3,FALSE()),"UNMAPPED"))</f>
        <v>Recoverable</v>
      </c>
    </row>
    <row r="209" customFormat="false" ht="13.5" hidden="false" customHeight="false" outlineLevel="0" collapsed="false">
      <c r="A209" s="1" t="str">
        <f aca="false">IF($C209="","",Controls!$B$7)</f>
        <v>PCGH</v>
      </c>
      <c r="B209" s="1" t="str">
        <f aca="false">IF($H209="","",YEAR($H209)&amp;"-Q"&amp;ROUNDUP(MONTH($H209)/3,0))</f>
        <v>2026-Q2</v>
      </c>
      <c r="C209" s="1" t="s">
        <v>838</v>
      </c>
      <c r="D209" s="1" t="s">
        <v>839</v>
      </c>
      <c r="E209" s="1" t="n">
        <v>14848</v>
      </c>
      <c r="F209" s="1" t="n">
        <v>44126</v>
      </c>
      <c r="G209" s="1" t="s">
        <v>847</v>
      </c>
      <c r="H209" s="140" t="n">
        <v>46203</v>
      </c>
      <c r="I209" s="1" t="s">
        <v>1138</v>
      </c>
      <c r="J209" s="1" t="s">
        <v>1141</v>
      </c>
      <c r="K209" s="1" t="s">
        <v>849</v>
      </c>
      <c r="L209" s="1" t="n">
        <v>5200</v>
      </c>
      <c r="N209" s="1" t="s">
        <v>1143</v>
      </c>
      <c r="P209" s="1" t="n">
        <v>505.6</v>
      </c>
      <c r="S209" s="1" t="str">
        <f aca="false">IF($C209="","",$C209&amp;"|"&amp;$E209&amp;"|"&amp;$F209&amp;"|"&amp;$L209&amp;"|"&amp;$P209&amp;"|"&amp;TEXT($H209,"yyyy-mm-dd"))</f>
        <v>PCGH774|14848|44126|5200|505.6|2026-06-30</v>
      </c>
      <c r="T209" s="1" t="str">
        <f aca="false">IF($S209="","",IF(COUNTIF($S$2:$S$2991,$S209)&gt;1,"DUPLICATE","OK"))</f>
        <v>OK</v>
      </c>
      <c r="U209" s="0" t="str">
        <f aca="false">IF($L209="","",IFERROR(VLOOKUP(--$L209,MM_Income!$Z$5:$AC$204,3,FALSE()),"UNMAPPED"))</f>
        <v>Recoverable</v>
      </c>
    </row>
    <row r="210" customFormat="false" ht="13.5" hidden="false" customHeight="false" outlineLevel="0" collapsed="false">
      <c r="A210" s="1" t="str">
        <f aca="false">IF($C210="","",Controls!$B$7)</f>
        <v>PCGH</v>
      </c>
      <c r="B210" s="1" t="str">
        <f aca="false">IF($H210="","",YEAR($H210)&amp;"-Q"&amp;ROUNDUP(MONTH($H210)/3,0))</f>
        <v>2026-Q2</v>
      </c>
      <c r="C210" s="1" t="s">
        <v>838</v>
      </c>
      <c r="D210" s="1" t="s">
        <v>839</v>
      </c>
      <c r="E210" s="1" t="n">
        <v>14849</v>
      </c>
      <c r="F210" s="1" t="n">
        <v>44127</v>
      </c>
      <c r="G210" s="1" t="s">
        <v>847</v>
      </c>
      <c r="H210" s="140" t="n">
        <v>46203</v>
      </c>
      <c r="I210" s="1" t="s">
        <v>1138</v>
      </c>
      <c r="J210" s="1" t="s">
        <v>1141</v>
      </c>
      <c r="K210" s="1" t="s">
        <v>867</v>
      </c>
      <c r="L210" s="1" t="n">
        <v>5200</v>
      </c>
      <c r="N210" s="1" t="s">
        <v>1144</v>
      </c>
      <c r="P210" s="1" t="n">
        <v>291.66</v>
      </c>
      <c r="S210" s="1" t="str">
        <f aca="false">IF($C210="","",$C210&amp;"|"&amp;$E210&amp;"|"&amp;$F210&amp;"|"&amp;$L210&amp;"|"&amp;$P210&amp;"|"&amp;TEXT($H210,"yyyy-mm-dd"))</f>
        <v>PCGH774|14849|44127|5200|291.66|2026-06-30</v>
      </c>
      <c r="T210" s="1" t="str">
        <f aca="false">IF($S210="","",IF(COUNTIF($S$2:$S$2991,$S210)&gt;1,"DUPLICATE","OK"))</f>
        <v>OK</v>
      </c>
      <c r="U210" s="0" t="str">
        <f aca="false">IF($L210="","",IFERROR(VLOOKUP(--$L210,MM_Income!$Z$5:$AC$204,3,FALSE()),"UNMAPPED"))</f>
        <v>Recoverable</v>
      </c>
    </row>
    <row r="211" customFormat="false" ht="13.5" hidden="false" customHeight="false" outlineLevel="0" collapsed="false">
      <c r="A211" s="1" t="str">
        <f aca="false">IF($C211="","",Controls!$B$7)</f>
        <v>PCGH</v>
      </c>
      <c r="B211" s="1" t="str">
        <f aca="false">IF($H211="","",YEAR($H211)&amp;"-Q"&amp;ROUNDUP(MONTH($H211)/3,0))</f>
        <v>2026-Q2</v>
      </c>
      <c r="C211" s="1" t="s">
        <v>838</v>
      </c>
      <c r="D211" s="1" t="s">
        <v>839</v>
      </c>
      <c r="E211" s="1" t="n">
        <v>14850</v>
      </c>
      <c r="F211" s="1" t="n">
        <v>44128</v>
      </c>
      <c r="G211" s="1" t="s">
        <v>847</v>
      </c>
      <c r="H211" s="140" t="n">
        <v>46203</v>
      </c>
      <c r="I211" s="1" t="s">
        <v>1138</v>
      </c>
      <c r="J211" s="1" t="s">
        <v>1141</v>
      </c>
      <c r="K211" s="1" t="s">
        <v>849</v>
      </c>
      <c r="L211" s="1" t="n">
        <v>5200</v>
      </c>
      <c r="N211" s="1" t="s">
        <v>1145</v>
      </c>
      <c r="P211" s="1" t="n">
        <v>418.06</v>
      </c>
      <c r="S211" s="1" t="str">
        <f aca="false">IF($C211="","",$C211&amp;"|"&amp;$E211&amp;"|"&amp;$F211&amp;"|"&amp;$L211&amp;"|"&amp;$P211&amp;"|"&amp;TEXT($H211,"yyyy-mm-dd"))</f>
        <v>PCGH774|14850|44128|5200|418.06|2026-06-30</v>
      </c>
      <c r="T211" s="1" t="str">
        <f aca="false">IF($S211="","",IF(COUNTIF($S$2:$S$2991,$S211)&gt;1,"DUPLICATE","OK"))</f>
        <v>OK</v>
      </c>
      <c r="U211" s="0" t="str">
        <f aca="false">IF($L211="","",IFERROR(VLOOKUP(--$L211,MM_Income!$Z$5:$AC$204,3,FALSE()),"UNMAPPED"))</f>
        <v>Recoverable</v>
      </c>
    </row>
    <row r="212" customFormat="false" ht="13.5" hidden="false" customHeight="false" outlineLevel="0" collapsed="false">
      <c r="A212" s="1" t="str">
        <f aca="false">IF($C212="","",Controls!$B$7)</f>
        <v>PCGH</v>
      </c>
      <c r="B212" s="1" t="str">
        <f aca="false">IF($H212="","",YEAR($H212)&amp;"-Q"&amp;ROUNDUP(MONTH($H212)/3,0))</f>
        <v>2026-Q2</v>
      </c>
      <c r="C212" s="1" t="s">
        <v>838</v>
      </c>
      <c r="D212" s="1" t="s">
        <v>839</v>
      </c>
      <c r="E212" s="1" t="n">
        <v>14851</v>
      </c>
      <c r="F212" s="1" t="n">
        <v>44129</v>
      </c>
      <c r="G212" s="1" t="s">
        <v>847</v>
      </c>
      <c r="H212" s="140" t="n">
        <v>46203</v>
      </c>
      <c r="I212" s="1" t="s">
        <v>1138</v>
      </c>
      <c r="J212" s="1" t="s">
        <v>1141</v>
      </c>
      <c r="K212" s="1" t="s">
        <v>849</v>
      </c>
      <c r="L212" s="1" t="n">
        <v>5200</v>
      </c>
      <c r="N212" s="1" t="s">
        <v>1146</v>
      </c>
      <c r="P212" s="1" t="n">
        <v>450.71</v>
      </c>
      <c r="S212" s="1" t="str">
        <f aca="false">IF($C212="","",$C212&amp;"|"&amp;$E212&amp;"|"&amp;$F212&amp;"|"&amp;$L212&amp;"|"&amp;$P212&amp;"|"&amp;TEXT($H212,"yyyy-mm-dd"))</f>
        <v>PCGH774|14851|44129|5200|450.71|2026-06-30</v>
      </c>
      <c r="T212" s="1" t="str">
        <f aca="false">IF($S212="","",IF(COUNTIF($S$2:$S$2991,$S212)&gt;1,"DUPLICATE","OK"))</f>
        <v>OK</v>
      </c>
      <c r="U212" s="0" t="str">
        <f aca="false">IF($L212="","",IFERROR(VLOOKUP(--$L212,MM_Income!$Z$5:$AC$204,3,FALSE()),"UNMAPPED"))</f>
        <v>Recoverable</v>
      </c>
    </row>
    <row r="213" customFormat="false" ht="13.5" hidden="false" customHeight="false" outlineLevel="0" collapsed="false">
      <c r="A213" s="1" t="str">
        <f aca="false">IF($C213="","",Controls!$B$7)</f>
        <v>PCGH</v>
      </c>
      <c r="B213" s="1" t="str">
        <f aca="false">IF($H213="","",YEAR($H213)&amp;"-Q"&amp;ROUNDUP(MONTH($H213)/3,0))</f>
        <v>2026-Q2</v>
      </c>
      <c r="C213" s="1" t="s">
        <v>903</v>
      </c>
      <c r="D213" s="1" t="s">
        <v>904</v>
      </c>
      <c r="E213" s="1" t="n">
        <v>14853</v>
      </c>
      <c r="F213" s="1" t="n">
        <v>44141</v>
      </c>
      <c r="G213" s="1" t="s">
        <v>869</v>
      </c>
      <c r="H213" s="140" t="n">
        <v>46136</v>
      </c>
      <c r="I213" s="1" t="n">
        <v>1260</v>
      </c>
      <c r="J213" s="1" t="s">
        <v>1147</v>
      </c>
      <c r="K213" s="1" t="s">
        <v>849</v>
      </c>
      <c r="L213" s="1" t="n">
        <v>5200</v>
      </c>
      <c r="N213" s="1" t="s">
        <v>1148</v>
      </c>
      <c r="P213" s="1" t="n">
        <v>2539.64</v>
      </c>
      <c r="S213" s="1" t="str">
        <f aca="false">IF($C213="","",$C213&amp;"|"&amp;$E213&amp;"|"&amp;$F213&amp;"|"&amp;$L213&amp;"|"&amp;$P213&amp;"|"&amp;TEXT($H213,"yyyy-mm-dd"))</f>
        <v>PCGH780|14853|44141|5200|2539.64|2026-04-24</v>
      </c>
      <c r="T213" s="1" t="str">
        <f aca="false">IF($S213="","",IF(COUNTIF($S$2:$S$2991,$S213)&gt;1,"DUPLICATE","OK"))</f>
        <v>OK</v>
      </c>
      <c r="U213" s="0" t="str">
        <f aca="false">IF($L213="","",IFERROR(VLOOKUP(--$L213,MM_Income!$Z$5:$AC$204,3,FALSE()),"UNMAPPED"))</f>
        <v>Recoverable</v>
      </c>
    </row>
    <row r="214" customFormat="false" ht="13.5" hidden="false" customHeight="false" outlineLevel="0" collapsed="false">
      <c r="A214" s="1" t="str">
        <f aca="false">IF($C214="","",Controls!$B$7)</f>
        <v>PCGH</v>
      </c>
      <c r="B214" s="1" t="str">
        <f aca="false">IF($H214="","",YEAR($H214)&amp;"-Q"&amp;ROUNDUP(MONTH($H214)/3,0))</f>
        <v>2026-Q2</v>
      </c>
      <c r="C214" s="1" t="s">
        <v>903</v>
      </c>
      <c r="D214" s="1" t="s">
        <v>904</v>
      </c>
      <c r="E214" s="1" t="n">
        <v>14854</v>
      </c>
      <c r="F214" s="1" t="n">
        <v>44142</v>
      </c>
      <c r="G214" s="1" t="s">
        <v>869</v>
      </c>
      <c r="H214" s="140" t="n">
        <v>46136</v>
      </c>
      <c r="I214" s="1" t="n">
        <v>1260</v>
      </c>
      <c r="J214" s="1" t="s">
        <v>1147</v>
      </c>
      <c r="K214" s="1" t="s">
        <v>849</v>
      </c>
      <c r="L214" s="1" t="n">
        <v>5200</v>
      </c>
      <c r="N214" s="1" t="s">
        <v>1149</v>
      </c>
      <c r="P214" s="1" t="n">
        <v>122.87</v>
      </c>
      <c r="S214" s="1" t="str">
        <f aca="false">IF($C214="","",$C214&amp;"|"&amp;$E214&amp;"|"&amp;$F214&amp;"|"&amp;$L214&amp;"|"&amp;$P214&amp;"|"&amp;TEXT($H214,"yyyy-mm-dd"))</f>
        <v>PCGH780|14854|44142|5200|122.87|2026-04-24</v>
      </c>
      <c r="T214" s="1" t="str">
        <f aca="false">IF($S214="","",IF(COUNTIF($S$2:$S$2991,$S214)&gt;1,"DUPLICATE","OK"))</f>
        <v>OK</v>
      </c>
      <c r="U214" s="0" t="str">
        <f aca="false">IF($L214="","",IFERROR(VLOOKUP(--$L214,MM_Income!$Z$5:$AC$204,3,FALSE()),"UNMAPPED"))</f>
        <v>Recoverable</v>
      </c>
    </row>
    <row r="215" customFormat="false" ht="13.5" hidden="false" customHeight="false" outlineLevel="0" collapsed="false">
      <c r="A215" s="1" t="str">
        <f aca="false">IF($C215="","",Controls!$B$7)</f>
        <v>PCGH</v>
      </c>
      <c r="B215" s="1" t="str">
        <f aca="false">IF($H215="","",YEAR($H215)&amp;"-Q"&amp;ROUNDUP(MONTH($H215)/3,0))</f>
        <v>2026-Q2</v>
      </c>
      <c r="C215" s="1" t="s">
        <v>903</v>
      </c>
      <c r="D215" s="1" t="s">
        <v>904</v>
      </c>
      <c r="E215" s="1" t="n">
        <v>14855</v>
      </c>
      <c r="F215" s="1" t="n">
        <v>44143</v>
      </c>
      <c r="G215" s="1" t="s">
        <v>869</v>
      </c>
      <c r="H215" s="140" t="n">
        <v>46131</v>
      </c>
      <c r="I215" s="1" t="n">
        <v>1260</v>
      </c>
      <c r="J215" s="1" t="s">
        <v>1147</v>
      </c>
      <c r="K215" s="1" t="s">
        <v>849</v>
      </c>
      <c r="L215" s="1" t="n">
        <v>5200</v>
      </c>
      <c r="N215" s="1" t="s">
        <v>1150</v>
      </c>
      <c r="P215" s="1" t="n">
        <v>169</v>
      </c>
      <c r="S215" s="1" t="str">
        <f aca="false">IF($C215="","",$C215&amp;"|"&amp;$E215&amp;"|"&amp;$F215&amp;"|"&amp;$L215&amp;"|"&amp;$P215&amp;"|"&amp;TEXT($H215,"yyyy-mm-dd"))</f>
        <v>PCGH780|14855|44143|5200|169|2026-04-19</v>
      </c>
      <c r="T215" s="1" t="str">
        <f aca="false">IF($S215="","",IF(COUNTIF($S$2:$S$2991,$S215)&gt;1,"DUPLICATE","OK"))</f>
        <v>OK</v>
      </c>
      <c r="U215" s="0" t="str">
        <f aca="false">IF($L215="","",IFERROR(VLOOKUP(--$L215,MM_Income!$Z$5:$AC$204,3,FALSE()),"UNMAPPED"))</f>
        <v>Recoverable</v>
      </c>
    </row>
    <row r="216" customFormat="false" ht="13.5" hidden="false" customHeight="false" outlineLevel="0" collapsed="false">
      <c r="A216" s="1" t="str">
        <f aca="false">IF($C216="","",Controls!$B$7)</f>
        <v>PCGH</v>
      </c>
      <c r="B216" s="1" t="str">
        <f aca="false">IF($H216="","",YEAR($H216)&amp;"-Q"&amp;ROUNDUP(MONTH($H216)/3,0))</f>
        <v>2026-Q2</v>
      </c>
      <c r="C216" s="1" t="s">
        <v>903</v>
      </c>
      <c r="D216" s="1" t="s">
        <v>904</v>
      </c>
      <c r="E216" s="1" t="n">
        <v>14856</v>
      </c>
      <c r="F216" s="1" t="n">
        <v>44144</v>
      </c>
      <c r="G216" s="1" t="s">
        <v>869</v>
      </c>
      <c r="H216" s="140" t="n">
        <v>46131</v>
      </c>
      <c r="I216" s="1" t="n">
        <v>1260</v>
      </c>
      <c r="J216" s="1" t="s">
        <v>1147</v>
      </c>
      <c r="K216" s="1" t="s">
        <v>849</v>
      </c>
      <c r="L216" s="1" t="n">
        <v>5200</v>
      </c>
      <c r="N216" s="1" t="s">
        <v>1014</v>
      </c>
      <c r="P216" s="1" t="n">
        <v>1068.61</v>
      </c>
      <c r="S216" s="1" t="str">
        <f aca="false">IF($C216="","",$C216&amp;"|"&amp;$E216&amp;"|"&amp;$F216&amp;"|"&amp;$L216&amp;"|"&amp;$P216&amp;"|"&amp;TEXT($H216,"yyyy-mm-dd"))</f>
        <v>PCGH780|14856|44144|5200|1068.61|2026-04-19</v>
      </c>
      <c r="T216" s="1" t="str">
        <f aca="false">IF($S216="","",IF(COUNTIF($S$2:$S$2991,$S216)&gt;1,"DUPLICATE","OK"))</f>
        <v>OK</v>
      </c>
      <c r="U216" s="0" t="str">
        <f aca="false">IF($L216="","",IFERROR(VLOOKUP(--$L216,MM_Income!$Z$5:$AC$204,3,FALSE()),"UNMAPPED"))</f>
        <v>Recoverable</v>
      </c>
    </row>
    <row r="217" customFormat="false" ht="13.5" hidden="false" customHeight="false" outlineLevel="0" collapsed="false">
      <c r="A217" s="1" t="str">
        <f aca="false">IF($C217="","",Controls!$B$7)</f>
        <v>PCGH</v>
      </c>
      <c r="B217" s="1" t="str">
        <f aca="false">IF($H217="","",YEAR($H217)&amp;"-Q"&amp;ROUNDUP(MONTH($H217)/3,0))</f>
        <v>2026-Q2</v>
      </c>
      <c r="C217" s="1" t="s">
        <v>903</v>
      </c>
      <c r="D217" s="1" t="s">
        <v>904</v>
      </c>
      <c r="E217" s="1" t="n">
        <v>14857</v>
      </c>
      <c r="F217" s="1" t="n">
        <v>44145</v>
      </c>
      <c r="G217" s="1" t="s">
        <v>869</v>
      </c>
      <c r="H217" s="140" t="n">
        <v>46131</v>
      </c>
      <c r="I217" s="1" t="n">
        <v>1260</v>
      </c>
      <c r="J217" s="1" t="s">
        <v>1147</v>
      </c>
      <c r="K217" s="1" t="s">
        <v>849</v>
      </c>
      <c r="L217" s="1" t="n">
        <v>5200</v>
      </c>
      <c r="N217" s="1" t="s">
        <v>1079</v>
      </c>
      <c r="P217" s="1" t="n">
        <v>231.81</v>
      </c>
      <c r="S217" s="1" t="str">
        <f aca="false">IF($C217="","",$C217&amp;"|"&amp;$E217&amp;"|"&amp;$F217&amp;"|"&amp;$L217&amp;"|"&amp;$P217&amp;"|"&amp;TEXT($H217,"yyyy-mm-dd"))</f>
        <v>PCGH780|14857|44145|5200|231.81|2026-04-19</v>
      </c>
      <c r="T217" s="1" t="str">
        <f aca="false">IF($S217="","",IF(COUNTIF($S$2:$S$2991,$S217)&gt;1,"DUPLICATE","OK"))</f>
        <v>OK</v>
      </c>
      <c r="U217" s="0" t="str">
        <f aca="false">IF($L217="","",IFERROR(VLOOKUP(--$L217,MM_Income!$Z$5:$AC$204,3,FALSE()),"UNMAPPED"))</f>
        <v>Recoverable</v>
      </c>
    </row>
    <row r="218" customFormat="false" ht="13.5" hidden="false" customHeight="false" outlineLevel="0" collapsed="false">
      <c r="A218" s="1" t="str">
        <f aca="false">IF($C218="","",Controls!$B$7)</f>
        <v>PCGH</v>
      </c>
      <c r="B218" s="1" t="str">
        <f aca="false">IF($H218="","",YEAR($H218)&amp;"-Q"&amp;ROUNDUP(MONTH($H218)/3,0))</f>
        <v>2026-Q2</v>
      </c>
      <c r="C218" s="1" t="s">
        <v>903</v>
      </c>
      <c r="D218" s="1" t="s">
        <v>904</v>
      </c>
      <c r="E218" s="1" t="n">
        <v>14858</v>
      </c>
      <c r="F218" s="1" t="n">
        <v>44146</v>
      </c>
      <c r="G218" s="1" t="s">
        <v>869</v>
      </c>
      <c r="H218" s="140" t="n">
        <v>46131</v>
      </c>
      <c r="I218" s="1" t="n">
        <v>1260</v>
      </c>
      <c r="J218" s="1" t="s">
        <v>1147</v>
      </c>
      <c r="K218" s="1" t="s">
        <v>849</v>
      </c>
      <c r="L218" s="1" t="n">
        <v>5200</v>
      </c>
      <c r="N218" s="1" t="s">
        <v>1151</v>
      </c>
      <c r="P218" s="1" t="n">
        <v>624.73</v>
      </c>
      <c r="S218" s="1" t="str">
        <f aca="false">IF($C218="","",$C218&amp;"|"&amp;$E218&amp;"|"&amp;$F218&amp;"|"&amp;$L218&amp;"|"&amp;$P218&amp;"|"&amp;TEXT($H218,"yyyy-mm-dd"))</f>
        <v>PCGH780|14858|44146|5200|624.73|2026-04-19</v>
      </c>
      <c r="T218" s="1" t="str">
        <f aca="false">IF($S218="","",IF(COUNTIF($S$2:$S$2991,$S218)&gt;1,"DUPLICATE","OK"))</f>
        <v>OK</v>
      </c>
      <c r="U218" s="0" t="str">
        <f aca="false">IF($L218="","",IFERROR(VLOOKUP(--$L218,MM_Income!$Z$5:$AC$204,3,FALSE()),"UNMAPPED"))</f>
        <v>Recoverable</v>
      </c>
    </row>
    <row r="219" customFormat="false" ht="13.5" hidden="false" customHeight="false" outlineLevel="0" collapsed="false">
      <c r="A219" s="1" t="str">
        <f aca="false">IF($C219="","",Controls!$B$7)</f>
        <v>PCGH</v>
      </c>
      <c r="B219" s="1" t="str">
        <f aca="false">IF($H219="","",YEAR($H219)&amp;"-Q"&amp;ROUNDUP(MONTH($H219)/3,0))</f>
        <v>2026-Q2</v>
      </c>
      <c r="C219" s="1" t="s">
        <v>903</v>
      </c>
      <c r="D219" s="1" t="s">
        <v>904</v>
      </c>
      <c r="E219" s="1" t="n">
        <v>14859</v>
      </c>
      <c r="F219" s="1" t="n">
        <v>44147</v>
      </c>
      <c r="G219" s="1" t="s">
        <v>869</v>
      </c>
      <c r="H219" s="140" t="n">
        <v>46131</v>
      </c>
      <c r="I219" s="1" t="n">
        <v>1260</v>
      </c>
      <c r="J219" s="1" t="s">
        <v>1147</v>
      </c>
      <c r="K219" s="1" t="s">
        <v>849</v>
      </c>
      <c r="L219" s="1" t="n">
        <v>5200</v>
      </c>
      <c r="N219" s="1" t="s">
        <v>1152</v>
      </c>
      <c r="P219" s="1" t="n">
        <v>40</v>
      </c>
      <c r="S219" s="1" t="str">
        <f aca="false">IF($C219="","",$C219&amp;"|"&amp;$E219&amp;"|"&amp;$F219&amp;"|"&amp;$L219&amp;"|"&amp;$P219&amp;"|"&amp;TEXT($H219,"yyyy-mm-dd"))</f>
        <v>PCGH780|14859|44147|5200|40|2026-04-19</v>
      </c>
      <c r="T219" s="1" t="str">
        <f aca="false">IF($S219="","",IF(COUNTIF($S$2:$S$2991,$S219)&gt;1,"DUPLICATE","OK"))</f>
        <v>OK</v>
      </c>
      <c r="U219" s="0" t="str">
        <f aca="false">IF($L219="","",IFERROR(VLOOKUP(--$L219,MM_Income!$Z$5:$AC$204,3,FALSE()),"UNMAPPED"))</f>
        <v>Recoverable</v>
      </c>
    </row>
    <row r="220" customFormat="false" ht="13.5" hidden="false" customHeight="false" outlineLevel="0" collapsed="false">
      <c r="A220" s="1" t="str">
        <f aca="false">IF($C220="","",Controls!$B$7)</f>
        <v>PCGH</v>
      </c>
      <c r="B220" s="1" t="str">
        <f aca="false">IF($H220="","",YEAR($H220)&amp;"-Q"&amp;ROUNDUP(MONTH($H220)/3,0))</f>
        <v>2026-Q2</v>
      </c>
      <c r="C220" s="1" t="s">
        <v>1066</v>
      </c>
      <c r="D220" s="1" t="s">
        <v>1067</v>
      </c>
      <c r="E220" s="1" t="n">
        <v>14860</v>
      </c>
      <c r="F220" s="1" t="n">
        <v>44150</v>
      </c>
      <c r="G220" s="1" t="s">
        <v>869</v>
      </c>
      <c r="H220" s="140" t="n">
        <v>46124</v>
      </c>
      <c r="I220" s="1" t="n">
        <v>1260</v>
      </c>
      <c r="J220" s="1" t="s">
        <v>1153</v>
      </c>
      <c r="K220" s="1" t="s">
        <v>849</v>
      </c>
      <c r="L220" s="1" t="n">
        <v>5200</v>
      </c>
      <c r="N220" s="1" t="s">
        <v>1154</v>
      </c>
      <c r="P220" s="1" t="n">
        <v>196.83</v>
      </c>
      <c r="S220" s="1" t="str">
        <f aca="false">IF($C220="","",$C220&amp;"|"&amp;$E220&amp;"|"&amp;$F220&amp;"|"&amp;$L220&amp;"|"&amp;$P220&amp;"|"&amp;TEXT($H220,"yyyy-mm-dd"))</f>
        <v>PCGH788|14860|44150|5200|196.83|2026-04-12</v>
      </c>
      <c r="T220" s="1" t="str">
        <f aca="false">IF($S220="","",IF(COUNTIF($S$2:$S$2991,$S220)&gt;1,"DUPLICATE","OK"))</f>
        <v>OK</v>
      </c>
      <c r="U220" s="0" t="str">
        <f aca="false">IF($L220="","",IFERROR(VLOOKUP(--$L220,MM_Income!$Z$5:$AC$204,3,FALSE()),"UNMAPPED"))</f>
        <v>Recoverable</v>
      </c>
    </row>
    <row r="221" customFormat="false" ht="13.5" hidden="false" customHeight="false" outlineLevel="0" collapsed="false">
      <c r="A221" s="1" t="str">
        <f aca="false">IF($C221="","",Controls!$B$7)</f>
        <v>PCGH</v>
      </c>
      <c r="B221" s="1" t="str">
        <f aca="false">IF($H221="","",YEAR($H221)&amp;"-Q"&amp;ROUNDUP(MONTH($H221)/3,0))</f>
        <v>2026-Q2</v>
      </c>
      <c r="C221" s="1" t="s">
        <v>1066</v>
      </c>
      <c r="D221" s="1" t="s">
        <v>1067</v>
      </c>
      <c r="E221" s="1" t="n">
        <v>14861</v>
      </c>
      <c r="F221" s="1" t="n">
        <v>44151</v>
      </c>
      <c r="G221" s="1" t="s">
        <v>869</v>
      </c>
      <c r="H221" s="140" t="n">
        <v>46113</v>
      </c>
      <c r="I221" s="1" t="n">
        <v>1260</v>
      </c>
      <c r="J221" s="1" t="s">
        <v>1153</v>
      </c>
      <c r="K221" s="1" t="s">
        <v>849</v>
      </c>
      <c r="L221" s="1" t="n">
        <v>5200</v>
      </c>
      <c r="N221" s="1" t="s">
        <v>1155</v>
      </c>
      <c r="P221" s="1" t="n">
        <v>402.8</v>
      </c>
      <c r="S221" s="1" t="str">
        <f aca="false">IF($C221="","",$C221&amp;"|"&amp;$E221&amp;"|"&amp;$F221&amp;"|"&amp;$L221&amp;"|"&amp;$P221&amp;"|"&amp;TEXT($H221,"yyyy-mm-dd"))</f>
        <v>PCGH788|14861|44151|5200|402.8|2026-04-01</v>
      </c>
      <c r="T221" s="1" t="str">
        <f aca="false">IF($S221="","",IF(COUNTIF($S$2:$S$2991,$S221)&gt;1,"DUPLICATE","OK"))</f>
        <v>OK</v>
      </c>
      <c r="U221" s="0" t="str">
        <f aca="false">IF($L221="","",IFERROR(VLOOKUP(--$L221,MM_Income!$Z$5:$AC$204,3,FALSE()),"UNMAPPED"))</f>
        <v>Recoverable</v>
      </c>
    </row>
    <row r="222" customFormat="false" ht="13.5" hidden="false" customHeight="false" outlineLevel="0" collapsed="false">
      <c r="A222" s="1" t="str">
        <f aca="false">IF($C222="","",Controls!$B$7)</f>
        <v>PCGH</v>
      </c>
      <c r="B222" s="1" t="str">
        <f aca="false">IF($H222="","",YEAR($H222)&amp;"-Q"&amp;ROUNDUP(MONTH($H222)/3,0))</f>
        <v>2026-Q2</v>
      </c>
      <c r="C222" s="1" t="s">
        <v>1066</v>
      </c>
      <c r="D222" s="1" t="s">
        <v>1067</v>
      </c>
      <c r="E222" s="1" t="n">
        <v>14862</v>
      </c>
      <c r="F222" s="1" t="n">
        <v>44152</v>
      </c>
      <c r="G222" s="1" t="s">
        <v>869</v>
      </c>
      <c r="H222" s="140" t="n">
        <v>46113</v>
      </c>
      <c r="I222" s="1" t="n">
        <v>1260</v>
      </c>
      <c r="J222" s="1" t="s">
        <v>1153</v>
      </c>
      <c r="K222" s="1" t="s">
        <v>849</v>
      </c>
      <c r="L222" s="1" t="n">
        <v>5200</v>
      </c>
      <c r="N222" s="1" t="s">
        <v>1156</v>
      </c>
      <c r="P222" s="1" t="n">
        <v>192.01</v>
      </c>
      <c r="S222" s="1" t="str">
        <f aca="false">IF($C222="","",$C222&amp;"|"&amp;$E222&amp;"|"&amp;$F222&amp;"|"&amp;$L222&amp;"|"&amp;$P222&amp;"|"&amp;TEXT($H222,"yyyy-mm-dd"))</f>
        <v>PCGH788|14862|44152|5200|192.01|2026-04-01</v>
      </c>
      <c r="T222" s="1" t="str">
        <f aca="false">IF($S222="","",IF(COUNTIF($S$2:$S$2991,$S222)&gt;1,"DUPLICATE","OK"))</f>
        <v>OK</v>
      </c>
      <c r="U222" s="0" t="str">
        <f aca="false">IF($L222="","",IFERROR(VLOOKUP(--$L222,MM_Income!$Z$5:$AC$204,3,FALSE()),"UNMAPPED"))</f>
        <v>Recoverable</v>
      </c>
    </row>
    <row r="223" customFormat="false" ht="13.5" hidden="false" customHeight="false" outlineLevel="0" collapsed="false">
      <c r="A223" s="1" t="str">
        <f aca="false">IF($C223="","",Controls!$B$7)</f>
        <v>PCGH</v>
      </c>
      <c r="B223" s="1" t="str">
        <f aca="false">IF($H223="","",YEAR($H223)&amp;"-Q"&amp;ROUNDUP(MONTH($H223)/3,0))</f>
        <v>2026-Q2</v>
      </c>
      <c r="C223" s="1" t="s">
        <v>1066</v>
      </c>
      <c r="D223" s="1" t="s">
        <v>1067</v>
      </c>
      <c r="E223" s="1" t="n">
        <v>14863</v>
      </c>
      <c r="F223" s="1" t="n">
        <v>44153</v>
      </c>
      <c r="G223" s="1" t="s">
        <v>869</v>
      </c>
      <c r="H223" s="140" t="n">
        <v>46113</v>
      </c>
      <c r="I223" s="1" t="n">
        <v>1260</v>
      </c>
      <c r="J223" s="1" t="s">
        <v>1153</v>
      </c>
      <c r="K223" s="1" t="s">
        <v>849</v>
      </c>
      <c r="L223" s="1" t="n">
        <v>5200</v>
      </c>
      <c r="N223" s="1" t="s">
        <v>1157</v>
      </c>
      <c r="P223" s="1" t="n">
        <v>940.23</v>
      </c>
      <c r="S223" s="1" t="str">
        <f aca="false">IF($C223="","",$C223&amp;"|"&amp;$E223&amp;"|"&amp;$F223&amp;"|"&amp;$L223&amp;"|"&amp;$P223&amp;"|"&amp;TEXT($H223,"yyyy-mm-dd"))</f>
        <v>PCGH788|14863|44153|5200|940.23|2026-04-01</v>
      </c>
      <c r="T223" s="1" t="str">
        <f aca="false">IF($S223="","",IF(COUNTIF($S$2:$S$2991,$S223)&gt;1,"DUPLICATE","OK"))</f>
        <v>OK</v>
      </c>
      <c r="U223" s="0" t="str">
        <f aca="false">IF($L223="","",IFERROR(VLOOKUP(--$L223,MM_Income!$Z$5:$AC$204,3,FALSE()),"UNMAPPED"))</f>
        <v>Recoverable</v>
      </c>
    </row>
    <row r="224" customFormat="false" ht="13.5" hidden="false" customHeight="false" outlineLevel="0" collapsed="false">
      <c r="A224" s="1" t="str">
        <f aca="false">IF($C224="","",Controls!$B$7)</f>
        <v>PCGH</v>
      </c>
      <c r="B224" s="1" t="str">
        <f aca="false">IF($H224="","",YEAR($H224)&amp;"-Q"&amp;ROUNDUP(MONTH($H224)/3,0))</f>
        <v>2026-Q2</v>
      </c>
      <c r="C224" s="1" t="s">
        <v>838</v>
      </c>
      <c r="D224" s="1" t="s">
        <v>839</v>
      </c>
      <c r="E224" s="1" t="n">
        <v>14864</v>
      </c>
      <c r="F224" s="1" t="n">
        <v>44154</v>
      </c>
      <c r="G224" s="1" t="s">
        <v>869</v>
      </c>
      <c r="H224" s="140" t="n">
        <v>46136</v>
      </c>
      <c r="I224" s="1" t="n">
        <v>1260</v>
      </c>
      <c r="J224" s="1" t="s">
        <v>1153</v>
      </c>
      <c r="K224" s="1" t="s">
        <v>849</v>
      </c>
      <c r="L224" s="1" t="n">
        <v>5200</v>
      </c>
      <c r="N224" s="1" t="s">
        <v>1158</v>
      </c>
      <c r="P224" s="1" t="n">
        <v>296.73</v>
      </c>
      <c r="S224" s="1" t="str">
        <f aca="false">IF($C224="","",$C224&amp;"|"&amp;$E224&amp;"|"&amp;$F224&amp;"|"&amp;$L224&amp;"|"&amp;$P224&amp;"|"&amp;TEXT($H224,"yyyy-mm-dd"))</f>
        <v>PCGH774|14864|44154|5200|296.73|2026-04-24</v>
      </c>
      <c r="T224" s="1" t="str">
        <f aca="false">IF($S224="","",IF(COUNTIF($S$2:$S$2991,$S224)&gt;1,"DUPLICATE","OK"))</f>
        <v>OK</v>
      </c>
      <c r="U224" s="0" t="str">
        <f aca="false">IF($L224="","",IFERROR(VLOOKUP(--$L224,MM_Income!$Z$5:$AC$204,3,FALSE()),"UNMAPPED"))</f>
        <v>Recoverable</v>
      </c>
    </row>
    <row r="225" customFormat="false" ht="13.5" hidden="false" customHeight="false" outlineLevel="0" collapsed="false">
      <c r="A225" s="1" t="str">
        <f aca="false">IF($C225="","",Controls!$B$7)</f>
        <v>PCGH</v>
      </c>
      <c r="B225" s="1" t="str">
        <f aca="false">IF($H225="","",YEAR($H225)&amp;"-Q"&amp;ROUNDUP(MONTH($H225)/3,0))</f>
        <v>2026-Q2</v>
      </c>
      <c r="C225" s="1" t="s">
        <v>838</v>
      </c>
      <c r="D225" s="1" t="s">
        <v>839</v>
      </c>
      <c r="E225" s="1" t="n">
        <v>14865</v>
      </c>
      <c r="F225" s="1" t="n">
        <v>44155</v>
      </c>
      <c r="G225" s="1" t="s">
        <v>869</v>
      </c>
      <c r="H225" s="140" t="n">
        <v>46136</v>
      </c>
      <c r="I225" s="1" t="n">
        <v>1260</v>
      </c>
      <c r="J225" s="1" t="s">
        <v>1153</v>
      </c>
      <c r="K225" s="1" t="s">
        <v>849</v>
      </c>
      <c r="L225" s="1" t="n">
        <v>5200</v>
      </c>
      <c r="N225" s="1" t="s">
        <v>1159</v>
      </c>
      <c r="P225" s="1" t="n">
        <v>197.48</v>
      </c>
      <c r="S225" s="1" t="str">
        <f aca="false">IF($C225="","",$C225&amp;"|"&amp;$E225&amp;"|"&amp;$F225&amp;"|"&amp;$L225&amp;"|"&amp;$P225&amp;"|"&amp;TEXT($H225,"yyyy-mm-dd"))</f>
        <v>PCGH774|14865|44155|5200|197.48|2026-04-24</v>
      </c>
      <c r="T225" s="1" t="str">
        <f aca="false">IF($S225="","",IF(COUNTIF($S$2:$S$2991,$S225)&gt;1,"DUPLICATE","OK"))</f>
        <v>OK</v>
      </c>
      <c r="U225" s="0" t="str">
        <f aca="false">IF($L225="","",IFERROR(VLOOKUP(--$L225,MM_Income!$Z$5:$AC$204,3,FALSE()),"UNMAPPED"))</f>
        <v>Recoverable</v>
      </c>
    </row>
    <row r="226" customFormat="false" ht="13.5" hidden="false" customHeight="false" outlineLevel="0" collapsed="false">
      <c r="A226" s="1" t="str">
        <f aca="false">IF($C226="","",Controls!$B$7)</f>
        <v>PCGH</v>
      </c>
      <c r="B226" s="1" t="str">
        <f aca="false">IF($H226="","",YEAR($H226)&amp;"-Q"&amp;ROUNDUP(MONTH($H226)/3,0))</f>
        <v>2026-Q2</v>
      </c>
      <c r="C226" s="1" t="s">
        <v>838</v>
      </c>
      <c r="D226" s="1" t="s">
        <v>839</v>
      </c>
      <c r="E226" s="1" t="n">
        <v>14866</v>
      </c>
      <c r="F226" s="1" t="n">
        <v>44156</v>
      </c>
      <c r="G226" s="1" t="s">
        <v>869</v>
      </c>
      <c r="H226" s="140" t="n">
        <v>46117</v>
      </c>
      <c r="I226" s="1" t="n">
        <v>1260</v>
      </c>
      <c r="J226" s="1" t="s">
        <v>1153</v>
      </c>
      <c r="K226" s="1" t="s">
        <v>849</v>
      </c>
      <c r="L226" s="1" t="n">
        <v>5200</v>
      </c>
      <c r="N226" s="1" t="s">
        <v>1154</v>
      </c>
      <c r="P226" s="1" t="n">
        <v>193.15</v>
      </c>
      <c r="S226" s="1" t="str">
        <f aca="false">IF($C226="","",$C226&amp;"|"&amp;$E226&amp;"|"&amp;$F226&amp;"|"&amp;$L226&amp;"|"&amp;$P226&amp;"|"&amp;TEXT($H226,"yyyy-mm-dd"))</f>
        <v>PCGH774|14866|44156|5200|193.15|2026-04-05</v>
      </c>
      <c r="T226" s="1" t="str">
        <f aca="false">IF($S226="","",IF(COUNTIF($S$2:$S$2991,$S226)&gt;1,"DUPLICATE","OK"))</f>
        <v>OK</v>
      </c>
      <c r="U226" s="0" t="str">
        <f aca="false">IF($L226="","",IFERROR(VLOOKUP(--$L226,MM_Income!$Z$5:$AC$204,3,FALSE()),"UNMAPPED"))</f>
        <v>Recoverable</v>
      </c>
    </row>
    <row r="227" customFormat="false" ht="13.5" hidden="false" customHeight="false" outlineLevel="0" collapsed="false">
      <c r="A227" s="1" t="str">
        <f aca="false">IF($C227="","",Controls!$B$7)</f>
        <v>PCGH</v>
      </c>
      <c r="B227" s="1" t="str">
        <f aca="false">IF($H227="","",YEAR($H227)&amp;"-Q"&amp;ROUNDUP(MONTH($H227)/3,0))</f>
        <v>2026-Q2</v>
      </c>
      <c r="C227" s="1" t="s">
        <v>981</v>
      </c>
      <c r="D227" s="1" t="s">
        <v>982</v>
      </c>
      <c r="E227" s="1" t="n">
        <v>14867</v>
      </c>
      <c r="F227" s="1" t="n">
        <v>44157</v>
      </c>
      <c r="G227" s="1" t="s">
        <v>869</v>
      </c>
      <c r="H227" s="140" t="n">
        <v>46163</v>
      </c>
      <c r="I227" s="1" t="n">
        <v>1260</v>
      </c>
      <c r="J227" s="1" t="s">
        <v>1160</v>
      </c>
      <c r="K227" s="1" t="s">
        <v>849</v>
      </c>
      <c r="L227" s="1" t="n">
        <v>5200</v>
      </c>
      <c r="N227" s="1" t="s">
        <v>1161</v>
      </c>
      <c r="P227" s="1" t="n">
        <v>204.16</v>
      </c>
      <c r="S227" s="1" t="str">
        <f aca="false">IF($C227="","",$C227&amp;"|"&amp;$E227&amp;"|"&amp;$F227&amp;"|"&amp;$L227&amp;"|"&amp;$P227&amp;"|"&amp;TEXT($H227,"yyyy-mm-dd"))</f>
        <v>PCGH779|14867|44157|5200|204.16|2026-05-21</v>
      </c>
      <c r="T227" s="1" t="str">
        <f aca="false">IF($S227="","",IF(COUNTIF($S$2:$S$2991,$S227)&gt;1,"DUPLICATE","OK"))</f>
        <v>OK</v>
      </c>
      <c r="U227" s="0" t="str">
        <f aca="false">IF($L227="","",IFERROR(VLOOKUP(--$L227,MM_Income!$Z$5:$AC$204,3,FALSE()),"UNMAPPED"))</f>
        <v>Recoverable</v>
      </c>
    </row>
    <row r="228" customFormat="false" ht="13.5" hidden="false" customHeight="false" outlineLevel="0" collapsed="false">
      <c r="A228" s="1" t="str">
        <f aca="false">IF($C228="","",Controls!$B$7)</f>
        <v>PCGH</v>
      </c>
      <c r="B228" s="1" t="str">
        <f aca="false">IF($H228="","",YEAR($H228)&amp;"-Q"&amp;ROUNDUP(MONTH($H228)/3,0))</f>
        <v>2026-Q2</v>
      </c>
      <c r="C228" s="1" t="s">
        <v>981</v>
      </c>
      <c r="D228" s="1" t="s">
        <v>982</v>
      </c>
      <c r="E228" s="1" t="n">
        <v>14868</v>
      </c>
      <c r="F228" s="1" t="n">
        <v>44158</v>
      </c>
      <c r="G228" s="1" t="s">
        <v>869</v>
      </c>
      <c r="H228" s="140" t="n">
        <v>46162</v>
      </c>
      <c r="I228" s="1" t="n">
        <v>1260</v>
      </c>
      <c r="J228" s="1" t="s">
        <v>1160</v>
      </c>
      <c r="K228" s="1" t="s">
        <v>849</v>
      </c>
      <c r="L228" s="1" t="n">
        <v>5200</v>
      </c>
      <c r="N228" s="1" t="s">
        <v>1162</v>
      </c>
      <c r="P228" s="1" t="n">
        <v>21.49</v>
      </c>
      <c r="S228" s="1" t="str">
        <f aca="false">IF($C228="","",$C228&amp;"|"&amp;$E228&amp;"|"&amp;$F228&amp;"|"&amp;$L228&amp;"|"&amp;$P228&amp;"|"&amp;TEXT($H228,"yyyy-mm-dd"))</f>
        <v>PCGH779|14868|44158|5200|21.49|2026-05-20</v>
      </c>
      <c r="T228" s="1" t="str">
        <f aca="false">IF($S228="","",IF(COUNTIF($S$2:$S$2991,$S228)&gt;1,"DUPLICATE","OK"))</f>
        <v>OK</v>
      </c>
      <c r="U228" s="0" t="str">
        <f aca="false">IF($L228="","",IFERROR(VLOOKUP(--$L228,MM_Income!$Z$5:$AC$204,3,FALSE()),"UNMAPPED"))</f>
        <v>Recoverable</v>
      </c>
    </row>
    <row r="229" customFormat="false" ht="13.5" hidden="false" customHeight="false" outlineLevel="0" collapsed="false">
      <c r="A229" s="1" t="str">
        <f aca="false">IF($C229="","",Controls!$B$7)</f>
        <v>PCGH</v>
      </c>
      <c r="B229" s="1" t="str">
        <f aca="false">IF($H229="","",YEAR($H229)&amp;"-Q"&amp;ROUNDUP(MONTH($H229)/3,0))</f>
        <v>2026-Q2</v>
      </c>
      <c r="C229" s="1" t="s">
        <v>981</v>
      </c>
      <c r="D229" s="1" t="s">
        <v>982</v>
      </c>
      <c r="E229" s="1" t="n">
        <v>14869</v>
      </c>
      <c r="F229" s="1" t="n">
        <v>44159</v>
      </c>
      <c r="G229" s="1" t="s">
        <v>869</v>
      </c>
      <c r="H229" s="140" t="n">
        <v>46162</v>
      </c>
      <c r="I229" s="1" t="n">
        <v>1260</v>
      </c>
      <c r="J229" s="1" t="s">
        <v>1160</v>
      </c>
      <c r="K229" s="1" t="s">
        <v>849</v>
      </c>
      <c r="L229" s="1" t="n">
        <v>5200</v>
      </c>
      <c r="N229" s="1" t="s">
        <v>1161</v>
      </c>
      <c r="P229" s="1" t="n">
        <v>515.76</v>
      </c>
      <c r="S229" s="1" t="str">
        <f aca="false">IF($C229="","",$C229&amp;"|"&amp;$E229&amp;"|"&amp;$F229&amp;"|"&amp;$L229&amp;"|"&amp;$P229&amp;"|"&amp;TEXT($H229,"yyyy-mm-dd"))</f>
        <v>PCGH779|14869|44159|5200|515.76|2026-05-20</v>
      </c>
      <c r="T229" s="1" t="str">
        <f aca="false">IF($S229="","",IF(COUNTIF($S$2:$S$2991,$S229)&gt;1,"DUPLICATE","OK"))</f>
        <v>OK</v>
      </c>
      <c r="U229" s="0" t="str">
        <f aca="false">IF($L229="","",IFERROR(VLOOKUP(--$L229,MM_Income!$Z$5:$AC$204,3,FALSE()),"UNMAPPED"))</f>
        <v>Recoverable</v>
      </c>
    </row>
    <row r="230" customFormat="false" ht="13.5" hidden="false" customHeight="false" outlineLevel="0" collapsed="false">
      <c r="A230" s="1" t="str">
        <f aca="false">IF($C230="","",Controls!$B$7)</f>
        <v>PCGH</v>
      </c>
      <c r="B230" s="1" t="str">
        <f aca="false">IF($H230="","",YEAR($H230)&amp;"-Q"&amp;ROUNDUP(MONTH($H230)/3,0))</f>
        <v>2026-Q2</v>
      </c>
      <c r="C230" s="1" t="s">
        <v>981</v>
      </c>
      <c r="D230" s="1" t="s">
        <v>982</v>
      </c>
      <c r="E230" s="1" t="n">
        <v>14870</v>
      </c>
      <c r="F230" s="1" t="n">
        <v>44160</v>
      </c>
      <c r="G230" s="1" t="s">
        <v>869</v>
      </c>
      <c r="H230" s="140" t="n">
        <v>46161</v>
      </c>
      <c r="I230" s="1" t="n">
        <v>1260</v>
      </c>
      <c r="J230" s="1" t="s">
        <v>1160</v>
      </c>
      <c r="K230" s="1" t="s">
        <v>849</v>
      </c>
      <c r="L230" s="1" t="n">
        <v>5200</v>
      </c>
      <c r="N230" s="1" t="s">
        <v>1162</v>
      </c>
      <c r="P230" s="1" t="n">
        <v>107.45</v>
      </c>
      <c r="S230" s="1" t="str">
        <f aca="false">IF($C230="","",$C230&amp;"|"&amp;$E230&amp;"|"&amp;$F230&amp;"|"&amp;$L230&amp;"|"&amp;$P230&amp;"|"&amp;TEXT($H230,"yyyy-mm-dd"))</f>
        <v>PCGH779|14870|44160|5200|107.45|2026-05-19</v>
      </c>
      <c r="T230" s="1" t="str">
        <f aca="false">IF($S230="","",IF(COUNTIF($S$2:$S$2991,$S230)&gt;1,"DUPLICATE","OK"))</f>
        <v>OK</v>
      </c>
      <c r="U230" s="0" t="str">
        <f aca="false">IF($L230="","",IFERROR(VLOOKUP(--$L230,MM_Income!$Z$5:$AC$204,3,FALSE()),"UNMAPPED"))</f>
        <v>Recoverable</v>
      </c>
    </row>
    <row r="231" customFormat="false" ht="13.5" hidden="false" customHeight="false" outlineLevel="0" collapsed="false">
      <c r="A231" s="1" t="str">
        <f aca="false">IF($C231="","",Controls!$B$7)</f>
        <v>PCGH</v>
      </c>
      <c r="B231" s="1" t="str">
        <f aca="false">IF($H231="","",YEAR($H231)&amp;"-Q"&amp;ROUNDUP(MONTH($H231)/3,0))</f>
        <v>2026-Q2</v>
      </c>
      <c r="C231" s="1" t="s">
        <v>981</v>
      </c>
      <c r="D231" s="1" t="s">
        <v>982</v>
      </c>
      <c r="E231" s="1" t="n">
        <v>14871</v>
      </c>
      <c r="F231" s="1" t="n">
        <v>44161</v>
      </c>
      <c r="G231" s="1" t="s">
        <v>869</v>
      </c>
      <c r="H231" s="140" t="n">
        <v>46161</v>
      </c>
      <c r="I231" s="1" t="n">
        <v>1260</v>
      </c>
      <c r="J231" s="1" t="s">
        <v>1160</v>
      </c>
      <c r="K231" s="1" t="s">
        <v>849</v>
      </c>
      <c r="L231" s="1" t="n">
        <v>5200</v>
      </c>
      <c r="N231" s="1" t="s">
        <v>1162</v>
      </c>
      <c r="P231" s="1" t="n">
        <v>107.45</v>
      </c>
      <c r="S231" s="1" t="str">
        <f aca="false">IF($C231="","",$C231&amp;"|"&amp;$E231&amp;"|"&amp;$F231&amp;"|"&amp;$L231&amp;"|"&amp;$P231&amp;"|"&amp;TEXT($H231,"yyyy-mm-dd"))</f>
        <v>PCGH779|14871|44161|5200|107.45|2026-05-19</v>
      </c>
      <c r="T231" s="1" t="str">
        <f aca="false">IF($S231="","",IF(COUNTIF($S$2:$S$2991,$S231)&gt;1,"DUPLICATE","OK"))</f>
        <v>OK</v>
      </c>
      <c r="U231" s="0" t="str">
        <f aca="false">IF($L231="","",IFERROR(VLOOKUP(--$L231,MM_Income!$Z$5:$AC$204,3,FALSE()),"UNMAPPED"))</f>
        <v>Recoverable</v>
      </c>
    </row>
    <row r="232" customFormat="false" ht="13.5" hidden="false" customHeight="false" outlineLevel="0" collapsed="false">
      <c r="A232" s="1" t="str">
        <f aca="false">IF($C232="","",Controls!$B$7)</f>
        <v>PCGH</v>
      </c>
      <c r="B232" s="1" t="str">
        <f aca="false">IF($H232="","",YEAR($H232)&amp;"-Q"&amp;ROUNDUP(MONTH($H232)/3,0))</f>
        <v>2026-Q2</v>
      </c>
      <c r="C232" s="1" t="s">
        <v>981</v>
      </c>
      <c r="D232" s="1" t="s">
        <v>982</v>
      </c>
      <c r="E232" s="1" t="n">
        <v>14872</v>
      </c>
      <c r="F232" s="1" t="n">
        <v>44162</v>
      </c>
      <c r="G232" s="1" t="s">
        <v>869</v>
      </c>
      <c r="H232" s="140" t="n">
        <v>46160</v>
      </c>
      <c r="I232" s="1" t="n">
        <v>1260</v>
      </c>
      <c r="J232" s="1" t="s">
        <v>1160</v>
      </c>
      <c r="K232" s="1" t="s">
        <v>849</v>
      </c>
      <c r="L232" s="1" t="n">
        <v>5200</v>
      </c>
      <c r="N232" s="1" t="s">
        <v>877</v>
      </c>
      <c r="P232" s="1" t="n">
        <v>407.02</v>
      </c>
      <c r="S232" s="1" t="str">
        <f aca="false">IF($C232="","",$C232&amp;"|"&amp;$E232&amp;"|"&amp;$F232&amp;"|"&amp;$L232&amp;"|"&amp;$P232&amp;"|"&amp;TEXT($H232,"yyyy-mm-dd"))</f>
        <v>PCGH779|14872|44162|5200|407.02|2026-05-18</v>
      </c>
      <c r="T232" s="1" t="str">
        <f aca="false">IF($S232="","",IF(COUNTIF($S$2:$S$2991,$S232)&gt;1,"DUPLICATE","OK"))</f>
        <v>OK</v>
      </c>
      <c r="U232" s="0" t="str">
        <f aca="false">IF($L232="","",IFERROR(VLOOKUP(--$L232,MM_Income!$Z$5:$AC$204,3,FALSE()),"UNMAPPED"))</f>
        <v>Recoverable</v>
      </c>
    </row>
    <row r="233" customFormat="false" ht="13.5" hidden="false" customHeight="false" outlineLevel="0" collapsed="false">
      <c r="A233" s="1" t="str">
        <f aca="false">IF($C233="","",Controls!$B$7)</f>
        <v>PCGH</v>
      </c>
      <c r="B233" s="1" t="str">
        <f aca="false">IF($H233="","",YEAR($H233)&amp;"-Q"&amp;ROUNDUP(MONTH($H233)/3,0))</f>
        <v>2026-Q2</v>
      </c>
      <c r="C233" s="1" t="s">
        <v>981</v>
      </c>
      <c r="D233" s="1" t="s">
        <v>982</v>
      </c>
      <c r="E233" s="1" t="n">
        <v>14873</v>
      </c>
      <c r="F233" s="1" t="n">
        <v>44163</v>
      </c>
      <c r="G233" s="1" t="s">
        <v>869</v>
      </c>
      <c r="H233" s="140" t="n">
        <v>46160</v>
      </c>
      <c r="I233" s="1" t="n">
        <v>1260</v>
      </c>
      <c r="J233" s="1" t="s">
        <v>1160</v>
      </c>
      <c r="K233" s="1" t="s">
        <v>849</v>
      </c>
      <c r="L233" s="1" t="n">
        <v>5200</v>
      </c>
      <c r="N233" s="1" t="s">
        <v>1161</v>
      </c>
      <c r="P233" s="1" t="n">
        <v>92.41</v>
      </c>
      <c r="S233" s="1" t="str">
        <f aca="false">IF($C233="","",$C233&amp;"|"&amp;$E233&amp;"|"&amp;$F233&amp;"|"&amp;$L233&amp;"|"&amp;$P233&amp;"|"&amp;TEXT($H233,"yyyy-mm-dd"))</f>
        <v>PCGH779|14873|44163|5200|92.41|2026-05-18</v>
      </c>
      <c r="T233" s="1" t="str">
        <f aca="false">IF($S233="","",IF(COUNTIF($S$2:$S$2991,$S233)&gt;1,"DUPLICATE","OK"))</f>
        <v>OK</v>
      </c>
      <c r="U233" s="0" t="str">
        <f aca="false">IF($L233="","",IFERROR(VLOOKUP(--$L233,MM_Income!$Z$5:$AC$204,3,FALSE()),"UNMAPPED"))</f>
        <v>Recoverable</v>
      </c>
    </row>
    <row r="234" customFormat="false" ht="13.5" hidden="false" customHeight="false" outlineLevel="0" collapsed="false">
      <c r="A234" s="1" t="str">
        <f aca="false">IF($C234="","",Controls!$B$7)</f>
        <v>PCGH</v>
      </c>
      <c r="B234" s="1" t="str">
        <f aca="false">IF($H234="","",YEAR($H234)&amp;"-Q"&amp;ROUNDUP(MONTH($H234)/3,0))</f>
        <v>2026-Q2</v>
      </c>
      <c r="C234" s="1" t="s">
        <v>981</v>
      </c>
      <c r="D234" s="1" t="s">
        <v>982</v>
      </c>
      <c r="E234" s="1" t="n">
        <v>14874</v>
      </c>
      <c r="F234" s="1" t="n">
        <v>44164</v>
      </c>
      <c r="G234" s="1" t="s">
        <v>869</v>
      </c>
      <c r="H234" s="140" t="n">
        <v>46160</v>
      </c>
      <c r="I234" s="1" t="n">
        <v>1260</v>
      </c>
      <c r="J234" s="1" t="s">
        <v>1160</v>
      </c>
      <c r="K234" s="1" t="s">
        <v>849</v>
      </c>
      <c r="L234" s="1" t="n">
        <v>5200</v>
      </c>
      <c r="N234" s="1" t="s">
        <v>1161</v>
      </c>
      <c r="P234" s="1" t="n">
        <v>98.85</v>
      </c>
      <c r="S234" s="1" t="str">
        <f aca="false">IF($C234="","",$C234&amp;"|"&amp;$E234&amp;"|"&amp;$F234&amp;"|"&amp;$L234&amp;"|"&amp;$P234&amp;"|"&amp;TEXT($H234,"yyyy-mm-dd"))</f>
        <v>PCGH779|14874|44164|5200|98.85|2026-05-18</v>
      </c>
      <c r="T234" s="1" t="str">
        <f aca="false">IF($S234="","",IF(COUNTIF($S$2:$S$2991,$S234)&gt;1,"DUPLICATE","OK"))</f>
        <v>OK</v>
      </c>
      <c r="U234" s="0" t="str">
        <f aca="false">IF($L234="","",IFERROR(VLOOKUP(--$L234,MM_Income!$Z$5:$AC$204,3,FALSE()),"UNMAPPED"))</f>
        <v>Recoverable</v>
      </c>
    </row>
    <row r="235" customFormat="false" ht="13.5" hidden="false" customHeight="false" outlineLevel="0" collapsed="false">
      <c r="A235" s="1" t="str">
        <f aca="false">IF($C235="","",Controls!$B$7)</f>
        <v>PCGH</v>
      </c>
      <c r="B235" s="1" t="str">
        <f aca="false">IF($H235="","",YEAR($H235)&amp;"-Q"&amp;ROUNDUP(MONTH($H235)/3,0))</f>
        <v>2026-Q2</v>
      </c>
      <c r="C235" s="1" t="s">
        <v>981</v>
      </c>
      <c r="D235" s="1" t="s">
        <v>982</v>
      </c>
      <c r="E235" s="1" t="n">
        <v>14875</v>
      </c>
      <c r="F235" s="1" t="n">
        <v>44165</v>
      </c>
      <c r="G235" s="1" t="s">
        <v>869</v>
      </c>
      <c r="H235" s="140" t="n">
        <v>46160</v>
      </c>
      <c r="I235" s="1" t="n">
        <v>1260</v>
      </c>
      <c r="J235" s="1" t="s">
        <v>1160</v>
      </c>
      <c r="K235" s="1" t="s">
        <v>849</v>
      </c>
      <c r="L235" s="1" t="n">
        <v>5200</v>
      </c>
      <c r="N235" s="1" t="s">
        <v>877</v>
      </c>
      <c r="P235" s="1" t="n">
        <v>42.98</v>
      </c>
      <c r="S235" s="1" t="str">
        <f aca="false">IF($C235="","",$C235&amp;"|"&amp;$E235&amp;"|"&amp;$F235&amp;"|"&amp;$L235&amp;"|"&amp;$P235&amp;"|"&amp;TEXT($H235,"yyyy-mm-dd"))</f>
        <v>PCGH779|14875|44165|5200|42.98|2026-05-18</v>
      </c>
      <c r="T235" s="1" t="str">
        <f aca="false">IF($S235="","",IF(COUNTIF($S$2:$S$2991,$S235)&gt;1,"DUPLICATE","OK"))</f>
        <v>OK</v>
      </c>
      <c r="U235" s="0" t="str">
        <f aca="false">IF($L235="","",IFERROR(VLOOKUP(--$L235,MM_Income!$Z$5:$AC$204,3,FALSE()),"UNMAPPED"))</f>
        <v>Recoverable</v>
      </c>
    </row>
    <row r="236" customFormat="false" ht="13.5" hidden="false" customHeight="false" outlineLevel="0" collapsed="false">
      <c r="A236" s="1" t="str">
        <f aca="false">IF($C236="","",Controls!$B$7)</f>
        <v>PCGH</v>
      </c>
      <c r="B236" s="1" t="str">
        <f aca="false">IF($H236="","",YEAR($H236)&amp;"-Q"&amp;ROUNDUP(MONTH($H236)/3,0))</f>
        <v>2026-Q2</v>
      </c>
      <c r="C236" s="1" t="s">
        <v>981</v>
      </c>
      <c r="D236" s="1" t="s">
        <v>982</v>
      </c>
      <c r="E236" s="1" t="n">
        <v>14876</v>
      </c>
      <c r="F236" s="1" t="n">
        <v>44166</v>
      </c>
      <c r="G236" s="1" t="s">
        <v>869</v>
      </c>
      <c r="H236" s="140" t="n">
        <v>46160</v>
      </c>
      <c r="I236" s="1" t="n">
        <v>1260</v>
      </c>
      <c r="J236" s="1" t="s">
        <v>1160</v>
      </c>
      <c r="K236" s="1" t="s">
        <v>849</v>
      </c>
      <c r="L236" s="1" t="n">
        <v>5200</v>
      </c>
      <c r="N236" s="1" t="s">
        <v>1163</v>
      </c>
      <c r="P236" s="1" t="n">
        <v>206.31</v>
      </c>
      <c r="S236" s="1" t="str">
        <f aca="false">IF($C236="","",$C236&amp;"|"&amp;$E236&amp;"|"&amp;$F236&amp;"|"&amp;$L236&amp;"|"&amp;$P236&amp;"|"&amp;TEXT($H236,"yyyy-mm-dd"))</f>
        <v>PCGH779|14876|44166|5200|206.31|2026-05-18</v>
      </c>
      <c r="T236" s="1" t="str">
        <f aca="false">IF($S236="","",IF(COUNTIF($S$2:$S$2991,$S236)&gt;1,"DUPLICATE","OK"))</f>
        <v>OK</v>
      </c>
      <c r="U236" s="0" t="str">
        <f aca="false">IF($L236="","",IFERROR(VLOOKUP(--$L236,MM_Income!$Z$5:$AC$204,3,FALSE()),"UNMAPPED"))</f>
        <v>Recoverable</v>
      </c>
    </row>
    <row r="237" customFormat="false" ht="13.5" hidden="false" customHeight="false" outlineLevel="0" collapsed="false">
      <c r="A237" s="1" t="str">
        <f aca="false">IF($C237="","",Controls!$B$7)</f>
        <v>PCGH</v>
      </c>
      <c r="B237" s="1" t="str">
        <f aca="false">IF($H237="","",YEAR($H237)&amp;"-Q"&amp;ROUNDUP(MONTH($H237)/3,0))</f>
        <v>2026-Q2</v>
      </c>
      <c r="C237" s="1" t="s">
        <v>981</v>
      </c>
      <c r="D237" s="1" t="s">
        <v>982</v>
      </c>
      <c r="E237" s="1" t="n">
        <v>14877</v>
      </c>
      <c r="F237" s="1" t="n">
        <v>44167</v>
      </c>
      <c r="G237" s="1" t="s">
        <v>869</v>
      </c>
      <c r="H237" s="140" t="n">
        <v>46160</v>
      </c>
      <c r="I237" s="1" t="n">
        <v>1260</v>
      </c>
      <c r="J237" s="1" t="s">
        <v>1160</v>
      </c>
      <c r="K237" s="1" t="s">
        <v>849</v>
      </c>
      <c r="L237" s="1" t="n">
        <v>5200</v>
      </c>
      <c r="N237" s="1" t="s">
        <v>1163</v>
      </c>
      <c r="P237" s="1" t="n">
        <v>290.12</v>
      </c>
      <c r="S237" s="1" t="str">
        <f aca="false">IF($C237="","",$C237&amp;"|"&amp;$E237&amp;"|"&amp;$F237&amp;"|"&amp;$L237&amp;"|"&amp;$P237&amp;"|"&amp;TEXT($H237,"yyyy-mm-dd"))</f>
        <v>PCGH779|14877|44167|5200|290.12|2026-05-18</v>
      </c>
      <c r="T237" s="1" t="str">
        <f aca="false">IF($S237="","",IF(COUNTIF($S$2:$S$2991,$S237)&gt;1,"DUPLICATE","OK"))</f>
        <v>OK</v>
      </c>
      <c r="U237" s="0" t="str">
        <f aca="false">IF($L237="","",IFERROR(VLOOKUP(--$L237,MM_Income!$Z$5:$AC$204,3,FALSE()),"UNMAPPED"))</f>
        <v>Recoverable</v>
      </c>
    </row>
    <row r="238" customFormat="false" ht="13.5" hidden="false" customHeight="false" outlineLevel="0" collapsed="false">
      <c r="A238" s="1" t="str">
        <f aca="false">IF($C238="","",Controls!$B$7)</f>
        <v>PCGH</v>
      </c>
      <c r="B238" s="1" t="str">
        <f aca="false">IF($H238="","",YEAR($H238)&amp;"-Q"&amp;ROUNDUP(MONTH($H238)/3,0))</f>
        <v>2026-Q2</v>
      </c>
      <c r="C238" s="1" t="s">
        <v>981</v>
      </c>
      <c r="D238" s="1" t="s">
        <v>982</v>
      </c>
      <c r="E238" s="1" t="n">
        <v>14878</v>
      </c>
      <c r="F238" s="1" t="n">
        <v>44168</v>
      </c>
      <c r="G238" s="1" t="s">
        <v>869</v>
      </c>
      <c r="H238" s="140" t="n">
        <v>46160</v>
      </c>
      <c r="I238" s="1" t="n">
        <v>1260</v>
      </c>
      <c r="J238" s="1" t="s">
        <v>1160</v>
      </c>
      <c r="K238" s="1" t="s">
        <v>849</v>
      </c>
      <c r="L238" s="1" t="n">
        <v>5200</v>
      </c>
      <c r="N238" s="1" t="s">
        <v>1161</v>
      </c>
      <c r="P238" s="1" t="n">
        <v>227.8</v>
      </c>
      <c r="S238" s="1" t="str">
        <f aca="false">IF($C238="","",$C238&amp;"|"&amp;$E238&amp;"|"&amp;$F238&amp;"|"&amp;$L238&amp;"|"&amp;$P238&amp;"|"&amp;TEXT($H238,"yyyy-mm-dd"))</f>
        <v>PCGH779|14878|44168|5200|227.8|2026-05-18</v>
      </c>
      <c r="T238" s="1" t="str">
        <f aca="false">IF($S238="","",IF(COUNTIF($S$2:$S$2991,$S238)&gt;1,"DUPLICATE","OK"))</f>
        <v>OK</v>
      </c>
      <c r="U238" s="0" t="str">
        <f aca="false">IF($L238="","",IFERROR(VLOOKUP(--$L238,MM_Income!$Z$5:$AC$204,3,FALSE()),"UNMAPPED"))</f>
        <v>Recoverable</v>
      </c>
    </row>
    <row r="239" customFormat="false" ht="13.5" hidden="false" customHeight="false" outlineLevel="0" collapsed="false">
      <c r="A239" s="1" t="str">
        <f aca="false">IF($C239="","",Controls!$B$7)</f>
        <v>PCGH</v>
      </c>
      <c r="B239" s="1" t="str">
        <f aca="false">IF($H239="","",YEAR($H239)&amp;"-Q"&amp;ROUNDUP(MONTH($H239)/3,0))</f>
        <v>2026-Q2</v>
      </c>
      <c r="C239" s="1" t="s">
        <v>838</v>
      </c>
      <c r="D239" s="1" t="s">
        <v>839</v>
      </c>
      <c r="E239" s="1" t="n">
        <v>14879</v>
      </c>
      <c r="F239" s="1" t="n">
        <v>44169</v>
      </c>
      <c r="G239" s="1" t="s">
        <v>869</v>
      </c>
      <c r="H239" s="140" t="n">
        <v>46164</v>
      </c>
      <c r="I239" s="1" t="n">
        <v>1260</v>
      </c>
      <c r="J239" s="1" t="s">
        <v>1160</v>
      </c>
      <c r="K239" s="1" t="s">
        <v>849</v>
      </c>
      <c r="L239" s="1" t="n">
        <v>5200</v>
      </c>
      <c r="N239" s="1" t="s">
        <v>1163</v>
      </c>
      <c r="P239" s="1" t="n">
        <v>135.39</v>
      </c>
      <c r="S239" s="1" t="str">
        <f aca="false">IF($C239="","",$C239&amp;"|"&amp;$E239&amp;"|"&amp;$F239&amp;"|"&amp;$L239&amp;"|"&amp;$P239&amp;"|"&amp;TEXT($H239,"yyyy-mm-dd"))</f>
        <v>PCGH774|14879|44169|5200|135.39|2026-05-22</v>
      </c>
      <c r="T239" s="1" t="str">
        <f aca="false">IF($S239="","",IF(COUNTIF($S$2:$S$2991,$S239)&gt;1,"DUPLICATE","OK"))</f>
        <v>OK</v>
      </c>
      <c r="U239" s="0" t="str">
        <f aca="false">IF($L239="","",IFERROR(VLOOKUP(--$L239,MM_Income!$Z$5:$AC$204,3,FALSE()),"UNMAPPED"))</f>
        <v>Recoverable</v>
      </c>
    </row>
    <row r="240" customFormat="false" ht="13.5" hidden="false" customHeight="false" outlineLevel="0" collapsed="false">
      <c r="A240" s="1" t="str">
        <f aca="false">IF($C240="","",Controls!$B$7)</f>
        <v>PCGH</v>
      </c>
      <c r="B240" s="1" t="str">
        <f aca="false">IF($H240="","",YEAR($H240)&amp;"-Q"&amp;ROUNDUP(MONTH($H240)/3,0))</f>
        <v>2026-Q2</v>
      </c>
      <c r="C240" s="1" t="s">
        <v>838</v>
      </c>
      <c r="D240" s="1" t="s">
        <v>839</v>
      </c>
      <c r="E240" s="1" t="n">
        <v>14880</v>
      </c>
      <c r="F240" s="1" t="n">
        <v>44170</v>
      </c>
      <c r="G240" s="1" t="s">
        <v>869</v>
      </c>
      <c r="H240" s="140" t="n">
        <v>46163</v>
      </c>
      <c r="I240" s="1" t="n">
        <v>1260</v>
      </c>
      <c r="J240" s="1" t="s">
        <v>1160</v>
      </c>
      <c r="K240" s="1" t="s">
        <v>849</v>
      </c>
      <c r="L240" s="1" t="n">
        <v>5200</v>
      </c>
      <c r="N240" s="1" t="s">
        <v>886</v>
      </c>
      <c r="P240" s="1" t="n">
        <v>924.08</v>
      </c>
      <c r="S240" s="1" t="str">
        <f aca="false">IF($C240="","",$C240&amp;"|"&amp;$E240&amp;"|"&amp;$F240&amp;"|"&amp;$L240&amp;"|"&amp;$P240&amp;"|"&amp;TEXT($H240,"yyyy-mm-dd"))</f>
        <v>PCGH774|14880|44170|5200|924.08|2026-05-21</v>
      </c>
      <c r="T240" s="1" t="str">
        <f aca="false">IF($S240="","",IF(COUNTIF($S$2:$S$2991,$S240)&gt;1,"DUPLICATE","OK"))</f>
        <v>OK</v>
      </c>
      <c r="U240" s="0" t="str">
        <f aca="false">IF($L240="","",IFERROR(VLOOKUP(--$L240,MM_Income!$Z$5:$AC$204,3,FALSE()),"UNMAPPED"))</f>
        <v>Recoverable</v>
      </c>
    </row>
    <row r="241" customFormat="false" ht="13.5" hidden="false" customHeight="false" outlineLevel="0" collapsed="false">
      <c r="A241" s="1" t="str">
        <f aca="false">IF($C241="","",Controls!$B$7)</f>
        <v>PCGH</v>
      </c>
      <c r="B241" s="1" t="str">
        <f aca="false">IF($H241="","",YEAR($H241)&amp;"-Q"&amp;ROUNDUP(MONTH($H241)/3,0))</f>
        <v>2026-Q2</v>
      </c>
      <c r="C241" s="1" t="s">
        <v>838</v>
      </c>
      <c r="D241" s="1" t="s">
        <v>839</v>
      </c>
      <c r="E241" s="1" t="n">
        <v>14881</v>
      </c>
      <c r="F241" s="1" t="n">
        <v>44171</v>
      </c>
      <c r="G241" s="1" t="s">
        <v>869</v>
      </c>
      <c r="H241" s="140" t="n">
        <v>46158</v>
      </c>
      <c r="I241" s="1" t="n">
        <v>1260</v>
      </c>
      <c r="J241" s="1" t="s">
        <v>1160</v>
      </c>
      <c r="K241" s="1" t="s">
        <v>849</v>
      </c>
      <c r="L241" s="1" t="n">
        <v>5200</v>
      </c>
      <c r="N241" s="1" t="s">
        <v>1163</v>
      </c>
      <c r="P241" s="1" t="n">
        <v>75.22</v>
      </c>
      <c r="S241" s="1" t="str">
        <f aca="false">IF($C241="","",$C241&amp;"|"&amp;$E241&amp;"|"&amp;$F241&amp;"|"&amp;$L241&amp;"|"&amp;$P241&amp;"|"&amp;TEXT($H241,"yyyy-mm-dd"))</f>
        <v>PCGH774|14881|44171|5200|75.22|2026-05-16</v>
      </c>
      <c r="T241" s="1" t="str">
        <f aca="false">IF($S241="","",IF(COUNTIF($S$2:$S$2991,$S241)&gt;1,"DUPLICATE","OK"))</f>
        <v>OK</v>
      </c>
      <c r="U241" s="0" t="str">
        <f aca="false">IF($L241="","",IFERROR(VLOOKUP(--$L241,MM_Income!$Z$5:$AC$204,3,FALSE()),"UNMAPPED"))</f>
        <v>Recoverable</v>
      </c>
    </row>
    <row r="242" customFormat="false" ht="13.5" hidden="false" customHeight="false" outlineLevel="0" collapsed="false">
      <c r="A242" s="1" t="str">
        <f aca="false">IF($C242="","",Controls!$B$7)</f>
        <v>PCGH</v>
      </c>
      <c r="B242" s="1" t="str">
        <f aca="false">IF($H242="","",YEAR($H242)&amp;"-Q"&amp;ROUNDUP(MONTH($H242)/3,0))</f>
        <v>2026-Q2</v>
      </c>
      <c r="C242" s="1" t="s">
        <v>838</v>
      </c>
      <c r="D242" s="1" t="s">
        <v>839</v>
      </c>
      <c r="E242" s="1" t="n">
        <v>14882</v>
      </c>
      <c r="F242" s="1" t="n">
        <v>44172</v>
      </c>
      <c r="G242" s="1" t="s">
        <v>869</v>
      </c>
      <c r="H242" s="140" t="n">
        <v>46158</v>
      </c>
      <c r="I242" s="1" t="n">
        <v>1260</v>
      </c>
      <c r="J242" s="1" t="s">
        <v>1160</v>
      </c>
      <c r="K242" s="1" t="s">
        <v>849</v>
      </c>
      <c r="L242" s="1" t="n">
        <v>5200</v>
      </c>
      <c r="N242" s="1" t="s">
        <v>1163</v>
      </c>
      <c r="P242" s="1" t="n">
        <v>163.33</v>
      </c>
      <c r="S242" s="1" t="str">
        <f aca="false">IF($C242="","",$C242&amp;"|"&amp;$E242&amp;"|"&amp;$F242&amp;"|"&amp;$L242&amp;"|"&amp;$P242&amp;"|"&amp;TEXT($H242,"yyyy-mm-dd"))</f>
        <v>PCGH774|14882|44172|5200|163.33|2026-05-16</v>
      </c>
      <c r="T242" s="1" t="str">
        <f aca="false">IF($S242="","",IF(COUNTIF($S$2:$S$2991,$S242)&gt;1,"DUPLICATE","OK"))</f>
        <v>OK</v>
      </c>
      <c r="U242" s="0" t="str">
        <f aca="false">IF($L242="","",IFERROR(VLOOKUP(--$L242,MM_Income!$Z$5:$AC$204,3,FALSE()),"UNMAPPED"))</f>
        <v>Recoverable</v>
      </c>
    </row>
    <row r="243" customFormat="false" ht="13.5" hidden="false" customHeight="false" outlineLevel="0" collapsed="false">
      <c r="A243" s="1" t="str">
        <f aca="false">IF($C243="","",Controls!$B$7)</f>
        <v>PCGH</v>
      </c>
      <c r="B243" s="1" t="str">
        <f aca="false">IF($H243="","",YEAR($H243)&amp;"-Q"&amp;ROUNDUP(MONTH($H243)/3,0))</f>
        <v>2026-Q2</v>
      </c>
      <c r="C243" s="1" t="s">
        <v>838</v>
      </c>
      <c r="D243" s="1" t="s">
        <v>839</v>
      </c>
      <c r="E243" s="1" t="n">
        <v>14883</v>
      </c>
      <c r="F243" s="1" t="n">
        <v>44173</v>
      </c>
      <c r="G243" s="1" t="s">
        <v>869</v>
      </c>
      <c r="H243" s="140" t="n">
        <v>46154</v>
      </c>
      <c r="I243" s="1" t="n">
        <v>1260</v>
      </c>
      <c r="J243" s="1" t="s">
        <v>1160</v>
      </c>
      <c r="K243" s="1" t="s">
        <v>849</v>
      </c>
      <c r="L243" s="1" t="n">
        <v>5200</v>
      </c>
      <c r="N243" s="1" t="s">
        <v>1162</v>
      </c>
      <c r="P243" s="1" t="n">
        <v>107.45</v>
      </c>
      <c r="S243" s="1" t="str">
        <f aca="false">IF($C243="","",$C243&amp;"|"&amp;$E243&amp;"|"&amp;$F243&amp;"|"&amp;$L243&amp;"|"&amp;$P243&amp;"|"&amp;TEXT($H243,"yyyy-mm-dd"))</f>
        <v>PCGH774|14883|44173|5200|107.45|2026-05-12</v>
      </c>
      <c r="T243" s="1" t="str">
        <f aca="false">IF($S243="","",IF(COUNTIF($S$2:$S$2991,$S243)&gt;1,"DUPLICATE","OK"))</f>
        <v>OK</v>
      </c>
      <c r="U243" s="0" t="str">
        <f aca="false">IF($L243="","",IFERROR(VLOOKUP(--$L243,MM_Income!$Z$5:$AC$204,3,FALSE()),"UNMAPPED"))</f>
        <v>Recoverable</v>
      </c>
    </row>
    <row r="244" customFormat="false" ht="13.5" hidden="false" customHeight="false" outlineLevel="0" collapsed="false">
      <c r="A244" s="1" t="str">
        <f aca="false">IF($C244="","",Controls!$B$7)</f>
        <v>PCGH</v>
      </c>
      <c r="B244" s="1" t="str">
        <f aca="false">IF($H244="","",YEAR($H244)&amp;"-Q"&amp;ROUNDUP(MONTH($H244)/3,0))</f>
        <v>2026-Q2</v>
      </c>
      <c r="C244" s="1" t="s">
        <v>838</v>
      </c>
      <c r="D244" s="1" t="s">
        <v>839</v>
      </c>
      <c r="E244" s="1" t="n">
        <v>14884</v>
      </c>
      <c r="F244" s="1" t="n">
        <v>44174</v>
      </c>
      <c r="G244" s="1" t="s">
        <v>869</v>
      </c>
      <c r="H244" s="140" t="n">
        <v>46154</v>
      </c>
      <c r="I244" s="1" t="n">
        <v>1260</v>
      </c>
      <c r="J244" s="1" t="s">
        <v>1160</v>
      </c>
      <c r="K244" s="1" t="s">
        <v>849</v>
      </c>
      <c r="L244" s="1" t="n">
        <v>5200</v>
      </c>
      <c r="N244" s="1" t="s">
        <v>1162</v>
      </c>
      <c r="P244" s="1" t="n">
        <v>107.45</v>
      </c>
      <c r="S244" s="1" t="str">
        <f aca="false">IF($C244="","",$C244&amp;"|"&amp;$E244&amp;"|"&amp;$F244&amp;"|"&amp;$L244&amp;"|"&amp;$P244&amp;"|"&amp;TEXT($H244,"yyyy-mm-dd"))</f>
        <v>PCGH774|14884|44174|5200|107.45|2026-05-12</v>
      </c>
      <c r="T244" s="1" t="str">
        <f aca="false">IF($S244="","",IF(COUNTIF($S$2:$S$2991,$S244)&gt;1,"DUPLICATE","OK"))</f>
        <v>OK</v>
      </c>
      <c r="U244" s="0" t="str">
        <f aca="false">IF($L244="","",IFERROR(VLOOKUP(--$L244,MM_Income!$Z$5:$AC$204,3,FALSE()),"UNMAPPED"))</f>
        <v>Recoverable</v>
      </c>
    </row>
    <row r="245" customFormat="false" ht="13.5" hidden="false" customHeight="false" outlineLevel="0" collapsed="false">
      <c r="A245" s="1" t="str">
        <f aca="false">IF($C245="","",Controls!$B$7)</f>
        <v>PCGH</v>
      </c>
      <c r="B245" s="1" t="str">
        <f aca="false">IF($H245="","",YEAR($H245)&amp;"-Q"&amp;ROUNDUP(MONTH($H245)/3,0))</f>
        <v>2026-Q2</v>
      </c>
      <c r="C245" s="1" t="s">
        <v>838</v>
      </c>
      <c r="D245" s="1" t="s">
        <v>839</v>
      </c>
      <c r="E245" s="1" t="n">
        <v>14885</v>
      </c>
      <c r="F245" s="1" t="n">
        <v>44175</v>
      </c>
      <c r="G245" s="1" t="s">
        <v>869</v>
      </c>
      <c r="H245" s="140" t="n">
        <v>46154</v>
      </c>
      <c r="I245" s="1" t="n">
        <v>1260</v>
      </c>
      <c r="J245" s="1" t="s">
        <v>1160</v>
      </c>
      <c r="K245" s="1" t="s">
        <v>849</v>
      </c>
      <c r="L245" s="1" t="n">
        <v>5200</v>
      </c>
      <c r="N245" s="1" t="s">
        <v>1162</v>
      </c>
      <c r="P245" s="1" t="n">
        <v>107.45</v>
      </c>
      <c r="S245" s="1" t="str">
        <f aca="false">IF($C245="","",$C245&amp;"|"&amp;$E245&amp;"|"&amp;$F245&amp;"|"&amp;$L245&amp;"|"&amp;$P245&amp;"|"&amp;TEXT($H245,"yyyy-mm-dd"))</f>
        <v>PCGH774|14885|44175|5200|107.45|2026-05-12</v>
      </c>
      <c r="T245" s="1" t="str">
        <f aca="false">IF($S245="","",IF(COUNTIF($S$2:$S$2991,$S245)&gt;1,"DUPLICATE","OK"))</f>
        <v>OK</v>
      </c>
      <c r="U245" s="0" t="str">
        <f aca="false">IF($L245="","",IFERROR(VLOOKUP(--$L245,MM_Income!$Z$5:$AC$204,3,FALSE()),"UNMAPPED"))</f>
        <v>Recoverable</v>
      </c>
    </row>
    <row r="246" customFormat="false" ht="13.5" hidden="false" customHeight="false" outlineLevel="0" collapsed="false">
      <c r="A246" s="1" t="str">
        <f aca="false">IF($C246="","",Controls!$B$7)</f>
        <v>PCGH</v>
      </c>
      <c r="B246" s="1" t="str">
        <f aca="false">IF($H246="","",YEAR($H246)&amp;"-Q"&amp;ROUNDUP(MONTH($H246)/3,0))</f>
        <v>2026-Q2</v>
      </c>
      <c r="C246" s="1" t="s">
        <v>838</v>
      </c>
      <c r="D246" s="1" t="s">
        <v>839</v>
      </c>
      <c r="E246" s="1" t="n">
        <v>14886</v>
      </c>
      <c r="F246" s="1" t="n">
        <v>44176</v>
      </c>
      <c r="G246" s="1" t="s">
        <v>869</v>
      </c>
      <c r="H246" s="140" t="n">
        <v>46153</v>
      </c>
      <c r="I246" s="1" t="n">
        <v>1260</v>
      </c>
      <c r="J246" s="1" t="s">
        <v>1160</v>
      </c>
      <c r="K246" s="1" t="s">
        <v>849</v>
      </c>
      <c r="L246" s="1" t="n">
        <v>5200</v>
      </c>
      <c r="N246" s="1" t="s">
        <v>1162</v>
      </c>
      <c r="P246" s="1" t="n">
        <v>21.49</v>
      </c>
      <c r="S246" s="1" t="str">
        <f aca="false">IF($C246="","",$C246&amp;"|"&amp;$E246&amp;"|"&amp;$F246&amp;"|"&amp;$L246&amp;"|"&amp;$P246&amp;"|"&amp;TEXT($H246,"yyyy-mm-dd"))</f>
        <v>PCGH774|14886|44176|5200|21.49|2026-05-11</v>
      </c>
      <c r="T246" s="1" t="str">
        <f aca="false">IF($S246="","",IF(COUNTIF($S$2:$S$2991,$S246)&gt;1,"DUPLICATE","OK"))</f>
        <v>OK</v>
      </c>
      <c r="U246" s="0" t="str">
        <f aca="false">IF($L246="","",IFERROR(VLOOKUP(--$L246,MM_Income!$Z$5:$AC$204,3,FALSE()),"UNMAPPED"))</f>
        <v>Recoverable</v>
      </c>
    </row>
    <row r="247" customFormat="false" ht="13.5" hidden="false" customHeight="false" outlineLevel="0" collapsed="false">
      <c r="A247" s="1" t="str">
        <f aca="false">IF($C247="","",Controls!$B$7)</f>
        <v>PCGH</v>
      </c>
      <c r="B247" s="1" t="str">
        <f aca="false">IF($H247="","",YEAR($H247)&amp;"-Q"&amp;ROUNDUP(MONTH($H247)/3,0))</f>
        <v>2026-Q2</v>
      </c>
      <c r="C247" s="1" t="s">
        <v>838</v>
      </c>
      <c r="D247" s="1" t="s">
        <v>839</v>
      </c>
      <c r="E247" s="1" t="n">
        <v>14887</v>
      </c>
      <c r="F247" s="1" t="n">
        <v>44177</v>
      </c>
      <c r="G247" s="1" t="s">
        <v>869</v>
      </c>
      <c r="H247" s="140" t="n">
        <v>46153</v>
      </c>
      <c r="I247" s="1" t="n">
        <v>1260</v>
      </c>
      <c r="J247" s="1" t="s">
        <v>1160</v>
      </c>
      <c r="K247" s="1" t="s">
        <v>849</v>
      </c>
      <c r="L247" s="1" t="n">
        <v>5200</v>
      </c>
      <c r="N247" s="1" t="s">
        <v>1162</v>
      </c>
      <c r="P247" s="1" t="n">
        <v>223.5</v>
      </c>
      <c r="S247" s="1" t="str">
        <f aca="false">IF($C247="","",$C247&amp;"|"&amp;$E247&amp;"|"&amp;$F247&amp;"|"&amp;$L247&amp;"|"&amp;$P247&amp;"|"&amp;TEXT($H247,"yyyy-mm-dd"))</f>
        <v>PCGH774|14887|44177|5200|223.5|2026-05-11</v>
      </c>
      <c r="T247" s="1" t="str">
        <f aca="false">IF($S247="","",IF(COUNTIF($S$2:$S$2991,$S247)&gt;1,"DUPLICATE","OK"))</f>
        <v>OK</v>
      </c>
      <c r="U247" s="0" t="str">
        <f aca="false">IF($L247="","",IFERROR(VLOOKUP(--$L247,MM_Income!$Z$5:$AC$204,3,FALSE()),"UNMAPPED"))</f>
        <v>Recoverable</v>
      </c>
    </row>
    <row r="248" customFormat="false" ht="13.5" hidden="false" customHeight="false" outlineLevel="0" collapsed="false">
      <c r="A248" s="1" t="str">
        <f aca="false">IF($C248="","",Controls!$B$7)</f>
        <v>PCGH</v>
      </c>
      <c r="B248" s="1" t="str">
        <f aca="false">IF($H248="","",YEAR($H248)&amp;"-Q"&amp;ROUNDUP(MONTH($H248)/3,0))</f>
        <v>2026-Q2</v>
      </c>
      <c r="C248" s="1" t="s">
        <v>838</v>
      </c>
      <c r="D248" s="1" t="s">
        <v>839</v>
      </c>
      <c r="E248" s="1" t="n">
        <v>14888</v>
      </c>
      <c r="F248" s="1" t="n">
        <v>44178</v>
      </c>
      <c r="G248" s="1" t="s">
        <v>869</v>
      </c>
      <c r="H248" s="140" t="n">
        <v>46153</v>
      </c>
      <c r="I248" s="1" t="n">
        <v>1260</v>
      </c>
      <c r="J248" s="1" t="s">
        <v>1160</v>
      </c>
      <c r="K248" s="1" t="s">
        <v>849</v>
      </c>
      <c r="L248" s="1" t="n">
        <v>5200</v>
      </c>
      <c r="N248" s="1" t="s">
        <v>1163</v>
      </c>
      <c r="P248" s="1" t="n">
        <v>307.31</v>
      </c>
      <c r="S248" s="1" t="str">
        <f aca="false">IF($C248="","",$C248&amp;"|"&amp;$E248&amp;"|"&amp;$F248&amp;"|"&amp;$L248&amp;"|"&amp;$P248&amp;"|"&amp;TEXT($H248,"yyyy-mm-dd"))</f>
        <v>PCGH774|14888|44178|5200|307.31|2026-05-11</v>
      </c>
      <c r="T248" s="1" t="str">
        <f aca="false">IF($S248="","",IF(COUNTIF($S$2:$S$2991,$S248)&gt;1,"DUPLICATE","OK"))</f>
        <v>OK</v>
      </c>
      <c r="U248" s="0" t="str">
        <f aca="false">IF($L248="","",IFERROR(VLOOKUP(--$L248,MM_Income!$Z$5:$AC$204,3,FALSE()),"UNMAPPED"))</f>
        <v>Recoverable</v>
      </c>
    </row>
    <row r="249" customFormat="false" ht="13.5" hidden="false" customHeight="false" outlineLevel="0" collapsed="false">
      <c r="A249" s="1" t="str">
        <f aca="false">IF($C249="","",Controls!$B$7)</f>
        <v>PCGH</v>
      </c>
      <c r="B249" s="1" t="str">
        <f aca="false">IF($H249="","",YEAR($H249)&amp;"-Q"&amp;ROUNDUP(MONTH($H249)/3,0))</f>
        <v>2026-Q2</v>
      </c>
      <c r="C249" s="1" t="s">
        <v>838</v>
      </c>
      <c r="D249" s="1" t="s">
        <v>839</v>
      </c>
      <c r="E249" s="1" t="n">
        <v>14889</v>
      </c>
      <c r="F249" s="1" t="n">
        <v>44179</v>
      </c>
      <c r="G249" s="1" t="s">
        <v>869</v>
      </c>
      <c r="H249" s="140" t="n">
        <v>46153</v>
      </c>
      <c r="I249" s="1" t="n">
        <v>1260</v>
      </c>
      <c r="J249" s="1" t="s">
        <v>1160</v>
      </c>
      <c r="K249" s="1" t="s">
        <v>849</v>
      </c>
      <c r="L249" s="1" t="n">
        <v>5200</v>
      </c>
      <c r="N249" s="1" t="s">
        <v>1161</v>
      </c>
      <c r="P249" s="1" t="n">
        <v>193.41</v>
      </c>
      <c r="S249" s="1" t="str">
        <f aca="false">IF($C249="","",$C249&amp;"|"&amp;$E249&amp;"|"&amp;$F249&amp;"|"&amp;$L249&amp;"|"&amp;$P249&amp;"|"&amp;TEXT($H249,"yyyy-mm-dd"))</f>
        <v>PCGH774|14889|44179|5200|193.41|2026-05-11</v>
      </c>
      <c r="T249" s="1" t="str">
        <f aca="false">IF($S249="","",IF(COUNTIF($S$2:$S$2991,$S249)&gt;1,"DUPLICATE","OK"))</f>
        <v>OK</v>
      </c>
      <c r="U249" s="0" t="str">
        <f aca="false">IF($L249="","",IFERROR(VLOOKUP(--$L249,MM_Income!$Z$5:$AC$204,3,FALSE()),"UNMAPPED"))</f>
        <v>Recoverable</v>
      </c>
    </row>
    <row r="250" customFormat="false" ht="13.5" hidden="false" customHeight="false" outlineLevel="0" collapsed="false">
      <c r="A250" s="1" t="str">
        <f aca="false">IF($C250="","",Controls!$B$7)</f>
        <v>PCGH</v>
      </c>
      <c r="B250" s="1" t="str">
        <f aca="false">IF($H250="","",YEAR($H250)&amp;"-Q"&amp;ROUNDUP(MONTH($H250)/3,0))</f>
        <v>2026-Q2</v>
      </c>
      <c r="C250" s="1" t="s">
        <v>838</v>
      </c>
      <c r="D250" s="1" t="s">
        <v>839</v>
      </c>
      <c r="E250" s="1" t="n">
        <v>14890</v>
      </c>
      <c r="F250" s="1" t="n">
        <v>44180</v>
      </c>
      <c r="G250" s="1" t="s">
        <v>869</v>
      </c>
      <c r="H250" s="140" t="n">
        <v>46153</v>
      </c>
      <c r="I250" s="1" t="n">
        <v>1260</v>
      </c>
      <c r="J250" s="1" t="s">
        <v>1160</v>
      </c>
      <c r="K250" s="1" t="s">
        <v>849</v>
      </c>
      <c r="L250" s="1" t="n">
        <v>5200</v>
      </c>
      <c r="N250" s="1" t="s">
        <v>1161</v>
      </c>
      <c r="P250" s="1" t="n">
        <v>75.22</v>
      </c>
      <c r="S250" s="1" t="str">
        <f aca="false">IF($C250="","",$C250&amp;"|"&amp;$E250&amp;"|"&amp;$F250&amp;"|"&amp;$L250&amp;"|"&amp;$P250&amp;"|"&amp;TEXT($H250,"yyyy-mm-dd"))</f>
        <v>PCGH774|14890|44180|5200|75.22|2026-05-11</v>
      </c>
      <c r="T250" s="1" t="str">
        <f aca="false">IF($S250="","",IF(COUNTIF($S$2:$S$2991,$S250)&gt;1,"DUPLICATE","OK"))</f>
        <v>OK</v>
      </c>
      <c r="U250" s="0" t="str">
        <f aca="false">IF($L250="","",IFERROR(VLOOKUP(--$L250,MM_Income!$Z$5:$AC$204,3,FALSE()),"UNMAPPED"))</f>
        <v>Recoverable</v>
      </c>
    </row>
    <row r="251" customFormat="false" ht="13.5" hidden="false" customHeight="false" outlineLevel="0" collapsed="false">
      <c r="A251" s="1" t="str">
        <f aca="false">IF($C251="","",Controls!$B$7)</f>
        <v>PCGH</v>
      </c>
      <c r="B251" s="1" t="str">
        <f aca="false">IF($H251="","",YEAR($H251)&amp;"-Q"&amp;ROUNDUP(MONTH($H251)/3,0))</f>
        <v>2026-Q2</v>
      </c>
      <c r="C251" s="1" t="s">
        <v>838</v>
      </c>
      <c r="D251" s="1" t="s">
        <v>839</v>
      </c>
      <c r="E251" s="1" t="n">
        <v>14891</v>
      </c>
      <c r="F251" s="1" t="n">
        <v>44181</v>
      </c>
      <c r="G251" s="1" t="s">
        <v>869</v>
      </c>
      <c r="H251" s="140" t="n">
        <v>46153</v>
      </c>
      <c r="I251" s="1" t="n">
        <v>1260</v>
      </c>
      <c r="J251" s="1" t="s">
        <v>1160</v>
      </c>
      <c r="K251" s="1" t="s">
        <v>849</v>
      </c>
      <c r="L251" s="1" t="n">
        <v>5200</v>
      </c>
      <c r="N251" s="1" t="s">
        <v>1161</v>
      </c>
      <c r="P251" s="1" t="n">
        <v>85.96</v>
      </c>
      <c r="S251" s="1" t="str">
        <f aca="false">IF($C251="","",$C251&amp;"|"&amp;$E251&amp;"|"&amp;$F251&amp;"|"&amp;$L251&amp;"|"&amp;$P251&amp;"|"&amp;TEXT($H251,"yyyy-mm-dd"))</f>
        <v>PCGH774|14891|44181|5200|85.96|2026-05-11</v>
      </c>
      <c r="T251" s="1" t="str">
        <f aca="false">IF($S251="","",IF(COUNTIF($S$2:$S$2991,$S251)&gt;1,"DUPLICATE","OK"))</f>
        <v>OK</v>
      </c>
      <c r="U251" s="0" t="str">
        <f aca="false">IF($L251="","",IFERROR(VLOOKUP(--$L251,MM_Income!$Z$5:$AC$204,3,FALSE()),"UNMAPPED"))</f>
        <v>Recoverable</v>
      </c>
    </row>
    <row r="252" customFormat="false" ht="13.5" hidden="false" customHeight="false" outlineLevel="0" collapsed="false">
      <c r="A252" s="1" t="str">
        <f aca="false">IF($C252="","",Controls!$B$7)</f>
        <v>PCGH</v>
      </c>
      <c r="B252" s="1" t="str">
        <f aca="false">IF($H252="","",YEAR($H252)&amp;"-Q"&amp;ROUNDUP(MONTH($H252)/3,0))</f>
        <v>2026-Q2</v>
      </c>
      <c r="C252" s="1" t="s">
        <v>838</v>
      </c>
      <c r="D252" s="1" t="s">
        <v>839</v>
      </c>
      <c r="E252" s="1" t="n">
        <v>14892</v>
      </c>
      <c r="F252" s="1" t="n">
        <v>44182</v>
      </c>
      <c r="G252" s="1" t="s">
        <v>869</v>
      </c>
      <c r="H252" s="140" t="n">
        <v>46158</v>
      </c>
      <c r="I252" s="1" t="n">
        <v>1260</v>
      </c>
      <c r="J252" s="1" t="s">
        <v>1160</v>
      </c>
      <c r="K252" s="1" t="s">
        <v>849</v>
      </c>
      <c r="L252" s="1" t="n">
        <v>5200</v>
      </c>
      <c r="N252" s="1" t="s">
        <v>1161</v>
      </c>
      <c r="P252" s="1" t="n">
        <v>580.23</v>
      </c>
      <c r="S252" s="1" t="str">
        <f aca="false">IF($C252="","",$C252&amp;"|"&amp;$E252&amp;"|"&amp;$F252&amp;"|"&amp;$L252&amp;"|"&amp;$P252&amp;"|"&amp;TEXT($H252,"yyyy-mm-dd"))</f>
        <v>PCGH774|14892|44182|5200|580.23|2026-05-16</v>
      </c>
      <c r="T252" s="1" t="str">
        <f aca="false">IF($S252="","",IF(COUNTIF($S$2:$S$2991,$S252)&gt;1,"DUPLICATE","OK"))</f>
        <v>OK</v>
      </c>
      <c r="U252" s="0" t="str">
        <f aca="false">IF($L252="","",IFERROR(VLOOKUP(--$L252,MM_Income!$Z$5:$AC$204,3,FALSE()),"UNMAPPED"))</f>
        <v>Recoverable</v>
      </c>
    </row>
    <row r="253" customFormat="false" ht="13.5" hidden="false" customHeight="false" outlineLevel="0" collapsed="false">
      <c r="A253" s="1" t="str">
        <f aca="false">IF($C253="","",Controls!$B$7)</f>
        <v>PCGH</v>
      </c>
      <c r="B253" s="1" t="str">
        <f aca="false">IF($H253="","",YEAR($H253)&amp;"-Q"&amp;ROUNDUP(MONTH($H253)/3,0))</f>
        <v>2026-Q2</v>
      </c>
      <c r="C253" s="1" t="s">
        <v>981</v>
      </c>
      <c r="D253" s="1" t="s">
        <v>982</v>
      </c>
      <c r="E253" s="1" t="n">
        <v>14893</v>
      </c>
      <c r="F253" s="1" t="n">
        <v>44183</v>
      </c>
      <c r="G253" s="1" t="s">
        <v>869</v>
      </c>
      <c r="H253" s="140" t="n">
        <v>46168</v>
      </c>
      <c r="I253" s="1" t="n">
        <v>1260</v>
      </c>
      <c r="J253" s="1" t="s">
        <v>1164</v>
      </c>
      <c r="K253" s="1" t="s">
        <v>849</v>
      </c>
      <c r="L253" s="1" t="n">
        <v>5200</v>
      </c>
      <c r="N253" s="1" t="s">
        <v>1165</v>
      </c>
      <c r="P253" s="1" t="n">
        <v>90</v>
      </c>
      <c r="S253" s="1" t="str">
        <f aca="false">IF($C253="","",$C253&amp;"|"&amp;$E253&amp;"|"&amp;$F253&amp;"|"&amp;$L253&amp;"|"&amp;$P253&amp;"|"&amp;TEXT($H253,"yyyy-mm-dd"))</f>
        <v>PCGH779|14893|44183|5200|90|2026-05-26</v>
      </c>
      <c r="T253" s="1" t="str">
        <f aca="false">IF($S253="","",IF(COUNTIF($S$2:$S$2991,$S253)&gt;1,"DUPLICATE","OK"))</f>
        <v>OK</v>
      </c>
      <c r="U253" s="0" t="str">
        <f aca="false">IF($L253="","",IFERROR(VLOOKUP(--$L253,MM_Income!$Z$5:$AC$204,3,FALSE()),"UNMAPPED"))</f>
        <v>Recoverable</v>
      </c>
    </row>
    <row r="254" customFormat="false" ht="13.5" hidden="false" customHeight="false" outlineLevel="0" collapsed="false">
      <c r="A254" s="1" t="str">
        <f aca="false">IF($C254="","",Controls!$B$7)</f>
        <v>PCGH</v>
      </c>
      <c r="B254" s="1" t="str">
        <f aca="false">IF($H254="","",YEAR($H254)&amp;"-Q"&amp;ROUNDUP(MONTH($H254)/3,0))</f>
        <v>2026-Q2</v>
      </c>
      <c r="C254" s="1" t="s">
        <v>838</v>
      </c>
      <c r="D254" s="1" t="s">
        <v>839</v>
      </c>
      <c r="E254" s="1" t="n">
        <v>14894</v>
      </c>
      <c r="F254" s="1" t="n">
        <v>44184</v>
      </c>
      <c r="G254" s="1" t="s">
        <v>869</v>
      </c>
      <c r="H254" s="140" t="n">
        <v>46164</v>
      </c>
      <c r="I254" s="1" t="n">
        <v>1260</v>
      </c>
      <c r="J254" s="1" t="s">
        <v>1164</v>
      </c>
      <c r="K254" s="1" t="s">
        <v>849</v>
      </c>
      <c r="L254" s="1" t="n">
        <v>5200</v>
      </c>
      <c r="N254" s="1" t="s">
        <v>1165</v>
      </c>
      <c r="P254" s="1" t="n">
        <v>126</v>
      </c>
      <c r="S254" s="1" t="str">
        <f aca="false">IF($C254="","",$C254&amp;"|"&amp;$E254&amp;"|"&amp;$F254&amp;"|"&amp;$L254&amp;"|"&amp;$P254&amp;"|"&amp;TEXT($H254,"yyyy-mm-dd"))</f>
        <v>PCGH774|14894|44184|5200|126|2026-05-22</v>
      </c>
      <c r="T254" s="1" t="str">
        <f aca="false">IF($S254="","",IF(COUNTIF($S$2:$S$2991,$S254)&gt;1,"DUPLICATE","OK"))</f>
        <v>OK</v>
      </c>
      <c r="U254" s="0" t="str">
        <f aca="false">IF($L254="","",IFERROR(VLOOKUP(--$L254,MM_Income!$Z$5:$AC$204,3,FALSE()),"UNMAPPED"))</f>
        <v>Recoverable</v>
      </c>
    </row>
    <row r="255" customFormat="false" ht="13.5" hidden="false" customHeight="false" outlineLevel="0" collapsed="false">
      <c r="A255" s="1" t="str">
        <f aca="false">IF($C255="","",Controls!$B$7)</f>
        <v>PCGH</v>
      </c>
      <c r="B255" s="1" t="str">
        <f aca="false">IF($H255="","",YEAR($H255)&amp;"-Q"&amp;ROUNDUP(MONTH($H255)/3,0))</f>
        <v>2026-Q2</v>
      </c>
      <c r="C255" s="1" t="s">
        <v>981</v>
      </c>
      <c r="D255" s="1" t="s">
        <v>982</v>
      </c>
      <c r="E255" s="1" t="n">
        <v>14895</v>
      </c>
      <c r="F255" s="1" t="n">
        <v>44185</v>
      </c>
      <c r="G255" s="1" t="s">
        <v>869</v>
      </c>
      <c r="H255" s="140" t="n">
        <v>46163</v>
      </c>
      <c r="I255" s="1" t="n">
        <v>1260</v>
      </c>
      <c r="J255" s="1" t="s">
        <v>1164</v>
      </c>
      <c r="K255" s="1" t="s">
        <v>849</v>
      </c>
      <c r="L255" s="1" t="n">
        <v>5200</v>
      </c>
      <c r="N255" s="1" t="s">
        <v>1165</v>
      </c>
      <c r="P255" s="1" t="n">
        <v>16</v>
      </c>
      <c r="S255" s="1" t="str">
        <f aca="false">IF($C255="","",$C255&amp;"|"&amp;$E255&amp;"|"&amp;$F255&amp;"|"&amp;$L255&amp;"|"&amp;$P255&amp;"|"&amp;TEXT($H255,"yyyy-mm-dd"))</f>
        <v>PCGH779|14895|44185|5200|16|2026-05-21</v>
      </c>
      <c r="T255" s="1" t="str">
        <f aca="false">IF($S255="","",IF(COUNTIF($S$2:$S$2991,$S255)&gt;1,"DUPLICATE","OK"))</f>
        <v>OK</v>
      </c>
      <c r="U255" s="0" t="str">
        <f aca="false">IF($L255="","",IFERROR(VLOOKUP(--$L255,MM_Income!$Z$5:$AC$204,3,FALSE()),"UNMAPPED"))</f>
        <v>Recoverable</v>
      </c>
    </row>
    <row r="256" customFormat="false" ht="13.5" hidden="false" customHeight="false" outlineLevel="0" collapsed="false">
      <c r="A256" s="1" t="str">
        <f aca="false">IF($C256="","",Controls!$B$7)</f>
        <v>PCGH</v>
      </c>
      <c r="B256" s="1" t="str">
        <f aca="false">IF($H256="","",YEAR($H256)&amp;"-Q"&amp;ROUNDUP(MONTH($H256)/3,0))</f>
        <v>2026-Q2</v>
      </c>
      <c r="C256" s="1" t="s">
        <v>981</v>
      </c>
      <c r="D256" s="1" t="s">
        <v>982</v>
      </c>
      <c r="E256" s="1" t="n">
        <v>14896</v>
      </c>
      <c r="F256" s="1" t="n">
        <v>44186</v>
      </c>
      <c r="G256" s="1" t="s">
        <v>869</v>
      </c>
      <c r="H256" s="140" t="n">
        <v>46163</v>
      </c>
      <c r="I256" s="1" t="n">
        <v>1260</v>
      </c>
      <c r="J256" s="1" t="s">
        <v>1164</v>
      </c>
      <c r="K256" s="1" t="s">
        <v>849</v>
      </c>
      <c r="L256" s="1" t="n">
        <v>5200</v>
      </c>
      <c r="N256" s="1" t="s">
        <v>1166</v>
      </c>
      <c r="P256" s="1" t="n">
        <v>20</v>
      </c>
      <c r="S256" s="1" t="str">
        <f aca="false">IF($C256="","",$C256&amp;"|"&amp;$E256&amp;"|"&amp;$F256&amp;"|"&amp;$L256&amp;"|"&amp;$P256&amp;"|"&amp;TEXT($H256,"yyyy-mm-dd"))</f>
        <v>PCGH779|14896|44186|5200|20|2026-05-21</v>
      </c>
      <c r="T256" s="1" t="str">
        <f aca="false">IF($S256="","",IF(COUNTIF($S$2:$S$2991,$S256)&gt;1,"DUPLICATE","OK"))</f>
        <v>OK</v>
      </c>
      <c r="U256" s="0" t="str">
        <f aca="false">IF($L256="","",IFERROR(VLOOKUP(--$L256,MM_Income!$Z$5:$AC$204,3,FALSE()),"UNMAPPED"))</f>
        <v>Recoverable</v>
      </c>
    </row>
    <row r="257" customFormat="false" ht="13.5" hidden="false" customHeight="false" outlineLevel="0" collapsed="false">
      <c r="A257" s="1" t="str">
        <f aca="false">IF($C257="","",Controls!$B$7)</f>
        <v>PCGH</v>
      </c>
      <c r="B257" s="1" t="str">
        <f aca="false">IF($H257="","",YEAR($H257)&amp;"-Q"&amp;ROUNDUP(MONTH($H257)/3,0))</f>
        <v>2026-Q2</v>
      </c>
      <c r="C257" s="1" t="s">
        <v>981</v>
      </c>
      <c r="D257" s="1" t="s">
        <v>982</v>
      </c>
      <c r="E257" s="1" t="n">
        <v>14897</v>
      </c>
      <c r="F257" s="1" t="n">
        <v>44187</v>
      </c>
      <c r="G257" s="1" t="s">
        <v>869</v>
      </c>
      <c r="H257" s="140" t="n">
        <v>46159</v>
      </c>
      <c r="I257" s="1" t="n">
        <v>1260</v>
      </c>
      <c r="J257" s="1" t="s">
        <v>1164</v>
      </c>
      <c r="K257" s="1" t="s">
        <v>849</v>
      </c>
      <c r="L257" s="1" t="n">
        <v>5200</v>
      </c>
      <c r="N257" s="1" t="s">
        <v>1012</v>
      </c>
      <c r="P257" s="1" t="n">
        <v>860</v>
      </c>
      <c r="S257" s="1" t="str">
        <f aca="false">IF($C257="","",$C257&amp;"|"&amp;$E257&amp;"|"&amp;$F257&amp;"|"&amp;$L257&amp;"|"&amp;$P257&amp;"|"&amp;TEXT($H257,"yyyy-mm-dd"))</f>
        <v>PCGH779|14897|44187|5200|860|2026-05-17</v>
      </c>
      <c r="T257" s="1" t="str">
        <f aca="false">IF($S257="","",IF(COUNTIF($S$2:$S$2991,$S257)&gt;1,"DUPLICATE","OK"))</f>
        <v>OK</v>
      </c>
      <c r="U257" s="0" t="str">
        <f aca="false">IF($L257="","",IFERROR(VLOOKUP(--$L257,MM_Income!$Z$5:$AC$204,3,FALSE()),"UNMAPPED"))</f>
        <v>Recoverable</v>
      </c>
    </row>
    <row r="258" customFormat="false" ht="13.5" hidden="false" customHeight="false" outlineLevel="0" collapsed="false">
      <c r="A258" s="1" t="str">
        <f aca="false">IF($C258="","",Controls!$B$7)</f>
        <v>PCGH</v>
      </c>
      <c r="B258" s="1" t="str">
        <f aca="false">IF($H258="","",YEAR($H258)&amp;"-Q"&amp;ROUNDUP(MONTH($H258)/3,0))</f>
        <v>2026-Q2</v>
      </c>
      <c r="C258" s="1" t="s">
        <v>981</v>
      </c>
      <c r="D258" s="1" t="s">
        <v>982</v>
      </c>
      <c r="E258" s="1" t="n">
        <v>14898</v>
      </c>
      <c r="F258" s="1" t="n">
        <v>44188</v>
      </c>
      <c r="G258" s="1" t="s">
        <v>869</v>
      </c>
      <c r="H258" s="140" t="n">
        <v>46159</v>
      </c>
      <c r="I258" s="1" t="n">
        <v>1260</v>
      </c>
      <c r="J258" s="1" t="s">
        <v>1164</v>
      </c>
      <c r="K258" s="1" t="s">
        <v>849</v>
      </c>
      <c r="L258" s="1" t="n">
        <v>5200</v>
      </c>
      <c r="N258" s="1" t="s">
        <v>1014</v>
      </c>
      <c r="P258" s="1" t="n">
        <v>2622.62</v>
      </c>
      <c r="S258" s="1" t="str">
        <f aca="false">IF($C258="","",$C258&amp;"|"&amp;$E258&amp;"|"&amp;$F258&amp;"|"&amp;$L258&amp;"|"&amp;$P258&amp;"|"&amp;TEXT($H258,"yyyy-mm-dd"))</f>
        <v>PCGH779|14898|44188|5200|2622.62|2026-05-17</v>
      </c>
      <c r="T258" s="1" t="str">
        <f aca="false">IF($S258="","",IF(COUNTIF($S$2:$S$2991,$S258)&gt;1,"DUPLICATE","OK"))</f>
        <v>OK</v>
      </c>
      <c r="U258" s="0" t="str">
        <f aca="false">IF($L258="","",IFERROR(VLOOKUP(--$L258,MM_Income!$Z$5:$AC$204,3,FALSE()),"UNMAPPED"))</f>
        <v>Recoverable</v>
      </c>
    </row>
    <row r="259" customFormat="false" ht="13.5" hidden="false" customHeight="false" outlineLevel="0" collapsed="false">
      <c r="A259" s="1" t="str">
        <f aca="false">IF($C259="","",Controls!$B$7)</f>
        <v>PCGH</v>
      </c>
      <c r="B259" s="1" t="str">
        <f aca="false">IF($H259="","",YEAR($H259)&amp;"-Q"&amp;ROUNDUP(MONTH($H259)/3,0))</f>
        <v>2026-Q2</v>
      </c>
      <c r="C259" s="1" t="s">
        <v>981</v>
      </c>
      <c r="D259" s="1" t="s">
        <v>982</v>
      </c>
      <c r="E259" s="1" t="n">
        <v>14899</v>
      </c>
      <c r="F259" s="1" t="n">
        <v>44189</v>
      </c>
      <c r="G259" s="1" t="s">
        <v>869</v>
      </c>
      <c r="H259" s="140" t="n">
        <v>46158</v>
      </c>
      <c r="I259" s="1" t="n">
        <v>1260</v>
      </c>
      <c r="J259" s="1" t="s">
        <v>1164</v>
      </c>
      <c r="K259" s="1" t="s">
        <v>849</v>
      </c>
      <c r="L259" s="1" t="n">
        <v>5200</v>
      </c>
      <c r="N259" s="1" t="s">
        <v>1012</v>
      </c>
      <c r="P259" s="1" t="n">
        <v>330.49</v>
      </c>
      <c r="S259" s="1" t="str">
        <f aca="false">IF($C259="","",$C259&amp;"|"&amp;$E259&amp;"|"&amp;$F259&amp;"|"&amp;$L259&amp;"|"&amp;$P259&amp;"|"&amp;TEXT($H259,"yyyy-mm-dd"))</f>
        <v>PCGH779|14899|44189|5200|330.49|2026-05-16</v>
      </c>
      <c r="T259" s="1" t="str">
        <f aca="false">IF($S259="","",IF(COUNTIF($S$2:$S$2991,$S259)&gt;1,"DUPLICATE","OK"))</f>
        <v>OK</v>
      </c>
      <c r="U259" s="0" t="str">
        <f aca="false">IF($L259="","",IFERROR(VLOOKUP(--$L259,MM_Income!$Z$5:$AC$204,3,FALSE()),"UNMAPPED"))</f>
        <v>Recoverable</v>
      </c>
    </row>
    <row r="260" customFormat="false" ht="13.5" hidden="false" customHeight="false" outlineLevel="0" collapsed="false">
      <c r="A260" s="1" t="str">
        <f aca="false">IF($C260="","",Controls!$B$7)</f>
        <v>PCGH</v>
      </c>
      <c r="B260" s="1" t="str">
        <f aca="false">IF($H260="","",YEAR($H260)&amp;"-Q"&amp;ROUNDUP(MONTH($H260)/3,0))</f>
        <v>2026-Q2</v>
      </c>
      <c r="C260" s="1" t="s">
        <v>981</v>
      </c>
      <c r="D260" s="1" t="s">
        <v>982</v>
      </c>
      <c r="E260" s="1" t="n">
        <v>14900</v>
      </c>
      <c r="F260" s="1" t="n">
        <v>44190</v>
      </c>
      <c r="G260" s="1" t="s">
        <v>869</v>
      </c>
      <c r="H260" s="140" t="n">
        <v>46158</v>
      </c>
      <c r="I260" s="1" t="n">
        <v>1260</v>
      </c>
      <c r="J260" s="1" t="s">
        <v>1164</v>
      </c>
      <c r="K260" s="1" t="s">
        <v>849</v>
      </c>
      <c r="L260" s="1" t="n">
        <v>5200</v>
      </c>
      <c r="N260" s="1" t="s">
        <v>1012</v>
      </c>
      <c r="P260" s="1" t="n">
        <v>127.93</v>
      </c>
      <c r="S260" s="1" t="str">
        <f aca="false">IF($C260="","",$C260&amp;"|"&amp;$E260&amp;"|"&amp;$F260&amp;"|"&amp;$L260&amp;"|"&amp;$P260&amp;"|"&amp;TEXT($H260,"yyyy-mm-dd"))</f>
        <v>PCGH779|14900|44190|5200|127.93|2026-05-16</v>
      </c>
      <c r="T260" s="1" t="str">
        <f aca="false">IF($S260="","",IF(COUNTIF($S$2:$S$2991,$S260)&gt;1,"DUPLICATE","OK"))</f>
        <v>OK</v>
      </c>
      <c r="U260" s="0" t="str">
        <f aca="false">IF($L260="","",IFERROR(VLOOKUP(--$L260,MM_Income!$Z$5:$AC$204,3,FALSE()),"UNMAPPED"))</f>
        <v>Recoverable</v>
      </c>
    </row>
    <row r="261" customFormat="false" ht="13.5" hidden="false" customHeight="false" outlineLevel="0" collapsed="false">
      <c r="A261" s="1" t="str">
        <f aca="false">IF($C261="","",Controls!$B$7)</f>
        <v>PCGH</v>
      </c>
      <c r="B261" s="1" t="str">
        <f aca="false">IF($H261="","",YEAR($H261)&amp;"-Q"&amp;ROUNDUP(MONTH($H261)/3,0))</f>
        <v>2026-Q2</v>
      </c>
      <c r="C261" s="1" t="s">
        <v>981</v>
      </c>
      <c r="D261" s="1" t="s">
        <v>982</v>
      </c>
      <c r="E261" s="1" t="n">
        <v>14901</v>
      </c>
      <c r="F261" s="1" t="n">
        <v>44191</v>
      </c>
      <c r="G261" s="1" t="s">
        <v>869</v>
      </c>
      <c r="H261" s="140" t="n">
        <v>46150</v>
      </c>
      <c r="I261" s="1" t="n">
        <v>1260</v>
      </c>
      <c r="J261" s="1" t="s">
        <v>1164</v>
      </c>
      <c r="K261" s="1" t="s">
        <v>849</v>
      </c>
      <c r="L261" s="1" t="n">
        <v>5200</v>
      </c>
      <c r="N261" s="1" t="s">
        <v>1014</v>
      </c>
      <c r="P261" s="1" t="n">
        <v>1558.24</v>
      </c>
      <c r="S261" s="1" t="str">
        <f aca="false">IF($C261="","",$C261&amp;"|"&amp;$E261&amp;"|"&amp;$F261&amp;"|"&amp;$L261&amp;"|"&amp;$P261&amp;"|"&amp;TEXT($H261,"yyyy-mm-dd"))</f>
        <v>PCGH779|14901|44191|5200|1558.24|2026-05-08</v>
      </c>
      <c r="T261" s="1" t="str">
        <f aca="false">IF($S261="","",IF(COUNTIF($S$2:$S$2991,$S261)&gt;1,"DUPLICATE","OK"))</f>
        <v>OK</v>
      </c>
      <c r="U261" s="0" t="str">
        <f aca="false">IF($L261="","",IFERROR(VLOOKUP(--$L261,MM_Income!$Z$5:$AC$204,3,FALSE()),"UNMAPPED"))</f>
        <v>Recoverable</v>
      </c>
    </row>
    <row r="262" customFormat="false" ht="13.5" hidden="false" customHeight="false" outlineLevel="0" collapsed="false">
      <c r="A262" s="1" t="str">
        <f aca="false">IF($C262="","",Controls!$B$7)</f>
        <v>PCGH</v>
      </c>
      <c r="B262" s="1" t="str">
        <f aca="false">IF($H262="","",YEAR($H262)&amp;"-Q"&amp;ROUNDUP(MONTH($H262)/3,0))</f>
        <v>2026-Q2</v>
      </c>
      <c r="C262" s="1" t="s">
        <v>981</v>
      </c>
      <c r="D262" s="1" t="s">
        <v>982</v>
      </c>
      <c r="E262" s="1" t="n">
        <v>14902</v>
      </c>
      <c r="F262" s="1" t="n">
        <v>44192</v>
      </c>
      <c r="G262" s="1" t="s">
        <v>869</v>
      </c>
      <c r="H262" s="140" t="n">
        <v>46150</v>
      </c>
      <c r="I262" s="1" t="n">
        <v>1260</v>
      </c>
      <c r="J262" s="1" t="s">
        <v>1164</v>
      </c>
      <c r="K262" s="1" t="s">
        <v>849</v>
      </c>
      <c r="L262" s="1" t="n">
        <v>5200</v>
      </c>
      <c r="N262" s="1" t="s">
        <v>1167</v>
      </c>
      <c r="P262" s="1" t="n">
        <v>479.75</v>
      </c>
      <c r="S262" s="1" t="str">
        <f aca="false">IF($C262="","",$C262&amp;"|"&amp;$E262&amp;"|"&amp;$F262&amp;"|"&amp;$L262&amp;"|"&amp;$P262&amp;"|"&amp;TEXT($H262,"yyyy-mm-dd"))</f>
        <v>PCGH779|14902|44192|5200|479.75|2026-05-08</v>
      </c>
      <c r="T262" s="1" t="str">
        <f aca="false">IF($S262="","",IF(COUNTIF($S$2:$S$2991,$S262)&gt;1,"DUPLICATE","OK"))</f>
        <v>OK</v>
      </c>
      <c r="U262" s="0" t="str">
        <f aca="false">IF($L262="","",IFERROR(VLOOKUP(--$L262,MM_Income!$Z$5:$AC$204,3,FALSE()),"UNMAPPED"))</f>
        <v>Recoverable</v>
      </c>
    </row>
    <row r="263" customFormat="false" ht="13.5" hidden="false" customHeight="false" outlineLevel="0" collapsed="false">
      <c r="A263" s="1" t="str">
        <f aca="false">IF($C263="","",Controls!$B$7)</f>
        <v>PCGH</v>
      </c>
      <c r="B263" s="1" t="str">
        <f aca="false">IF($H263="","",YEAR($H263)&amp;"-Q"&amp;ROUNDUP(MONTH($H263)/3,0))</f>
        <v>2026-Q2</v>
      </c>
      <c r="C263" s="1" t="s">
        <v>981</v>
      </c>
      <c r="D263" s="1" t="s">
        <v>982</v>
      </c>
      <c r="E263" s="1" t="n">
        <v>14903</v>
      </c>
      <c r="F263" s="1" t="n">
        <v>44193</v>
      </c>
      <c r="G263" s="1" t="s">
        <v>869</v>
      </c>
      <c r="H263" s="140" t="n">
        <v>46148</v>
      </c>
      <c r="I263" s="1" t="n">
        <v>1260</v>
      </c>
      <c r="J263" s="1" t="s">
        <v>1164</v>
      </c>
      <c r="K263" s="1" t="s">
        <v>849</v>
      </c>
      <c r="L263" s="1" t="n">
        <v>5200</v>
      </c>
      <c r="N263" s="1" t="s">
        <v>1168</v>
      </c>
      <c r="P263" s="1" t="n">
        <v>213.22</v>
      </c>
      <c r="S263" s="1" t="str">
        <f aca="false">IF($C263="","",$C263&amp;"|"&amp;$E263&amp;"|"&amp;$F263&amp;"|"&amp;$L263&amp;"|"&amp;$P263&amp;"|"&amp;TEXT($H263,"yyyy-mm-dd"))</f>
        <v>PCGH779|14903|44193|5200|213.22|2026-05-06</v>
      </c>
      <c r="T263" s="1" t="str">
        <f aca="false">IF($S263="","",IF(COUNTIF($S$2:$S$2991,$S263)&gt;1,"DUPLICATE","OK"))</f>
        <v>OK</v>
      </c>
      <c r="U263" s="0" t="str">
        <f aca="false">IF($L263="","",IFERROR(VLOOKUP(--$L263,MM_Income!$Z$5:$AC$204,3,FALSE()),"UNMAPPED"))</f>
        <v>Recoverable</v>
      </c>
    </row>
    <row r="264" customFormat="false" ht="13.5" hidden="false" customHeight="false" outlineLevel="0" collapsed="false">
      <c r="A264" s="1" t="str">
        <f aca="false">IF($C264="","",Controls!$B$7)</f>
        <v>PCGH</v>
      </c>
      <c r="B264" s="1" t="str">
        <f aca="false">IF($H264="","",YEAR($H264)&amp;"-Q"&amp;ROUNDUP(MONTH($H264)/3,0))</f>
        <v>2026-Q2</v>
      </c>
      <c r="C264" s="1" t="s">
        <v>981</v>
      </c>
      <c r="D264" s="1" t="s">
        <v>982</v>
      </c>
      <c r="E264" s="1" t="n">
        <v>14904</v>
      </c>
      <c r="F264" s="1" t="n">
        <v>44194</v>
      </c>
      <c r="G264" s="1" t="s">
        <v>869</v>
      </c>
      <c r="H264" s="140" t="n">
        <v>46146</v>
      </c>
      <c r="I264" s="1" t="n">
        <v>1260</v>
      </c>
      <c r="J264" s="1" t="s">
        <v>1164</v>
      </c>
      <c r="K264" s="1" t="s">
        <v>849</v>
      </c>
      <c r="L264" s="1" t="n">
        <v>5200</v>
      </c>
      <c r="N264" s="1" t="s">
        <v>1012</v>
      </c>
      <c r="P264" s="1" t="n">
        <v>42.64</v>
      </c>
      <c r="S264" s="1" t="str">
        <f aca="false">IF($C264="","",$C264&amp;"|"&amp;$E264&amp;"|"&amp;$F264&amp;"|"&amp;$L264&amp;"|"&amp;$P264&amp;"|"&amp;TEXT($H264,"yyyy-mm-dd"))</f>
        <v>PCGH779|14904|44194|5200|42.64|2026-05-04</v>
      </c>
      <c r="T264" s="1" t="str">
        <f aca="false">IF($S264="","",IF(COUNTIF($S$2:$S$2991,$S264)&gt;1,"DUPLICATE","OK"))</f>
        <v>OK</v>
      </c>
      <c r="U264" s="0" t="str">
        <f aca="false">IF($L264="","",IFERROR(VLOOKUP(--$L264,MM_Income!$Z$5:$AC$204,3,FALSE()),"UNMAPPED"))</f>
        <v>Recoverable</v>
      </c>
    </row>
    <row r="265" customFormat="false" ht="13.5" hidden="false" customHeight="false" outlineLevel="0" collapsed="false">
      <c r="A265" s="1" t="str">
        <f aca="false">IF($C265="","",Controls!$B$7)</f>
        <v>PCGH</v>
      </c>
      <c r="B265" s="1" t="str">
        <f aca="false">IF($H265="","",YEAR($H265)&amp;"-Q"&amp;ROUNDUP(MONTH($H265)/3,0))</f>
        <v>2026-Q2</v>
      </c>
      <c r="C265" s="1" t="s">
        <v>981</v>
      </c>
      <c r="D265" s="1" t="s">
        <v>982</v>
      </c>
      <c r="E265" s="1" t="n">
        <v>14905</v>
      </c>
      <c r="F265" s="1" t="n">
        <v>44195</v>
      </c>
      <c r="G265" s="1" t="s">
        <v>869</v>
      </c>
      <c r="H265" s="140" t="n">
        <v>46146</v>
      </c>
      <c r="I265" s="1" t="n">
        <v>1260</v>
      </c>
      <c r="J265" s="1" t="s">
        <v>1164</v>
      </c>
      <c r="K265" s="1" t="s">
        <v>849</v>
      </c>
      <c r="L265" s="1" t="n">
        <v>5200</v>
      </c>
      <c r="N265" s="1" t="s">
        <v>1012</v>
      </c>
      <c r="P265" s="1" t="n">
        <v>341.15</v>
      </c>
      <c r="S265" s="1" t="str">
        <f aca="false">IF($C265="","",$C265&amp;"|"&amp;$E265&amp;"|"&amp;$F265&amp;"|"&amp;$L265&amp;"|"&amp;$P265&amp;"|"&amp;TEXT($H265,"yyyy-mm-dd"))</f>
        <v>PCGH779|14905|44195|5200|341.15|2026-05-04</v>
      </c>
      <c r="T265" s="1" t="str">
        <f aca="false">IF($S265="","",IF(COUNTIF($S$2:$S$2991,$S265)&gt;1,"DUPLICATE","OK"))</f>
        <v>OK</v>
      </c>
      <c r="U265" s="0" t="str">
        <f aca="false">IF($L265="","",IFERROR(VLOOKUP(--$L265,MM_Income!$Z$5:$AC$204,3,FALSE()),"UNMAPPED"))</f>
        <v>Recoverable</v>
      </c>
    </row>
    <row r="266" customFormat="false" ht="13.5" hidden="false" customHeight="false" outlineLevel="0" collapsed="false">
      <c r="A266" s="1" t="str">
        <f aca="false">IF($C266="","",Controls!$B$7)</f>
        <v>PCGH</v>
      </c>
      <c r="B266" s="1" t="str">
        <f aca="false">IF($H266="","",YEAR($H266)&amp;"-Q"&amp;ROUNDUP(MONTH($H266)/3,0))</f>
        <v>2026-Q2</v>
      </c>
      <c r="C266" s="1" t="s">
        <v>981</v>
      </c>
      <c r="D266" s="1" t="s">
        <v>982</v>
      </c>
      <c r="E266" s="1" t="n">
        <v>14906</v>
      </c>
      <c r="F266" s="1" t="n">
        <v>44196</v>
      </c>
      <c r="G266" s="1" t="s">
        <v>869</v>
      </c>
      <c r="H266" s="140" t="n">
        <v>46146</v>
      </c>
      <c r="I266" s="1" t="n">
        <v>1260</v>
      </c>
      <c r="J266" s="1" t="s">
        <v>1164</v>
      </c>
      <c r="K266" s="1" t="s">
        <v>849</v>
      </c>
      <c r="L266" s="1" t="n">
        <v>5200</v>
      </c>
      <c r="N266" s="1" t="s">
        <v>1167</v>
      </c>
      <c r="P266" s="1" t="n">
        <v>460.56</v>
      </c>
      <c r="S266" s="1" t="str">
        <f aca="false">IF($C266="","",$C266&amp;"|"&amp;$E266&amp;"|"&amp;$F266&amp;"|"&amp;$L266&amp;"|"&amp;$P266&amp;"|"&amp;TEXT($H266,"yyyy-mm-dd"))</f>
        <v>PCGH779|14906|44196|5200|460.56|2026-05-04</v>
      </c>
      <c r="T266" s="1" t="str">
        <f aca="false">IF($S266="","",IF(COUNTIF($S$2:$S$2991,$S266)&gt;1,"DUPLICATE","OK"))</f>
        <v>OK</v>
      </c>
      <c r="U266" s="0" t="str">
        <f aca="false">IF($L266="","",IFERROR(VLOOKUP(--$L266,MM_Income!$Z$5:$AC$204,3,FALSE()),"UNMAPPED"))</f>
        <v>Recoverable</v>
      </c>
    </row>
    <row r="267" customFormat="false" ht="13.5" hidden="false" customHeight="false" outlineLevel="0" collapsed="false">
      <c r="A267" s="1" t="str">
        <f aca="false">IF($C267="","",Controls!$B$7)</f>
        <v>PCGH</v>
      </c>
      <c r="B267" s="1" t="str">
        <f aca="false">IF($H267="","",YEAR($H267)&amp;"-Q"&amp;ROUNDUP(MONTH($H267)/3,0))</f>
        <v>2026-Q2</v>
      </c>
      <c r="C267" s="1" t="s">
        <v>981</v>
      </c>
      <c r="D267" s="1" t="s">
        <v>982</v>
      </c>
      <c r="E267" s="1" t="n">
        <v>14907</v>
      </c>
      <c r="F267" s="1" t="n">
        <v>44197</v>
      </c>
      <c r="G267" s="1" t="s">
        <v>869</v>
      </c>
      <c r="H267" s="140" t="n">
        <v>46145</v>
      </c>
      <c r="I267" s="1" t="n">
        <v>1260</v>
      </c>
      <c r="J267" s="1" t="s">
        <v>1164</v>
      </c>
      <c r="K267" s="1" t="s">
        <v>849</v>
      </c>
      <c r="L267" s="1" t="n">
        <v>5200</v>
      </c>
      <c r="N267" s="1" t="s">
        <v>1014</v>
      </c>
      <c r="P267" s="1" t="n">
        <v>1876.07</v>
      </c>
      <c r="S267" s="1" t="str">
        <f aca="false">IF($C267="","",$C267&amp;"|"&amp;$E267&amp;"|"&amp;$F267&amp;"|"&amp;$L267&amp;"|"&amp;$P267&amp;"|"&amp;TEXT($H267,"yyyy-mm-dd"))</f>
        <v>PCGH779|14907|44197|5200|1876.07|2026-05-03</v>
      </c>
      <c r="T267" s="1" t="str">
        <f aca="false">IF($S267="","",IF(COUNTIF($S$2:$S$2991,$S267)&gt;1,"DUPLICATE","OK"))</f>
        <v>OK</v>
      </c>
      <c r="U267" s="0" t="str">
        <f aca="false">IF($L267="","",IFERROR(VLOOKUP(--$L267,MM_Income!$Z$5:$AC$204,3,FALSE()),"UNMAPPED"))</f>
        <v>Recoverable</v>
      </c>
    </row>
    <row r="268" customFormat="false" ht="13.5" hidden="false" customHeight="false" outlineLevel="0" collapsed="false">
      <c r="A268" s="1" t="str">
        <f aca="false">IF($C268="","",Controls!$B$7)</f>
        <v>PCGH</v>
      </c>
      <c r="B268" s="1" t="str">
        <f aca="false">IF($H268="","",YEAR($H268)&amp;"-Q"&amp;ROUNDUP(MONTH($H268)/3,0))</f>
        <v>2026-Q2</v>
      </c>
      <c r="C268" s="1" t="s">
        <v>981</v>
      </c>
      <c r="D268" s="1" t="s">
        <v>982</v>
      </c>
      <c r="E268" s="1" t="n">
        <v>14908</v>
      </c>
      <c r="F268" s="1" t="n">
        <v>44198</v>
      </c>
      <c r="G268" s="1" t="s">
        <v>869</v>
      </c>
      <c r="H268" s="140" t="n">
        <v>46145</v>
      </c>
      <c r="I268" s="1" t="n">
        <v>1260</v>
      </c>
      <c r="J268" s="1" t="s">
        <v>1164</v>
      </c>
      <c r="K268" s="1" t="s">
        <v>849</v>
      </c>
      <c r="L268" s="1" t="n">
        <v>5200</v>
      </c>
      <c r="N268" s="1" t="s">
        <v>1012</v>
      </c>
      <c r="P268" s="1" t="n">
        <v>533.05</v>
      </c>
      <c r="S268" s="1" t="str">
        <f aca="false">IF($C268="","",$C268&amp;"|"&amp;$E268&amp;"|"&amp;$F268&amp;"|"&amp;$L268&amp;"|"&amp;$P268&amp;"|"&amp;TEXT($H268,"yyyy-mm-dd"))</f>
        <v>PCGH779|14908|44198|5200|533.05|2026-05-03</v>
      </c>
      <c r="T268" s="1" t="str">
        <f aca="false">IF($S268="","",IF(COUNTIF($S$2:$S$2991,$S268)&gt;1,"DUPLICATE","OK"))</f>
        <v>OK</v>
      </c>
      <c r="U268" s="0" t="str">
        <f aca="false">IF($L268="","",IFERROR(VLOOKUP(--$L268,MM_Income!$Z$5:$AC$204,3,FALSE()),"UNMAPPED"))</f>
        <v>Recoverable</v>
      </c>
    </row>
    <row r="269" customFormat="false" ht="13.5" hidden="false" customHeight="false" outlineLevel="0" collapsed="false">
      <c r="A269" s="1" t="str">
        <f aca="false">IF($C269="","",Controls!$B$7)</f>
        <v>PCGH</v>
      </c>
      <c r="B269" s="1" t="str">
        <f aca="false">IF($H269="","",YEAR($H269)&amp;"-Q"&amp;ROUNDUP(MONTH($H269)/3,0))</f>
        <v>2026-Q2</v>
      </c>
      <c r="C269" s="1" t="s">
        <v>981</v>
      </c>
      <c r="D269" s="1" t="s">
        <v>982</v>
      </c>
      <c r="E269" s="1" t="n">
        <v>14909</v>
      </c>
      <c r="F269" s="1" t="n">
        <v>44199</v>
      </c>
      <c r="G269" s="1" t="s">
        <v>869</v>
      </c>
      <c r="H269" s="140" t="n">
        <v>46145</v>
      </c>
      <c r="I269" s="1" t="n">
        <v>1260</v>
      </c>
      <c r="J269" s="1" t="s">
        <v>1164</v>
      </c>
      <c r="K269" s="1" t="s">
        <v>849</v>
      </c>
      <c r="L269" s="1" t="n">
        <v>5200</v>
      </c>
      <c r="N269" s="1" t="s">
        <v>1168</v>
      </c>
      <c r="P269" s="1" t="n">
        <v>213.22</v>
      </c>
      <c r="S269" s="1" t="str">
        <f aca="false">IF($C269="","",$C269&amp;"|"&amp;$E269&amp;"|"&amp;$F269&amp;"|"&amp;$L269&amp;"|"&amp;$P269&amp;"|"&amp;TEXT($H269,"yyyy-mm-dd"))</f>
        <v>PCGH779|14909|44199|5200|213.22|2026-05-03</v>
      </c>
      <c r="T269" s="1" t="str">
        <f aca="false">IF($S269="","",IF(COUNTIF($S$2:$S$2991,$S269)&gt;1,"DUPLICATE","OK"))</f>
        <v>OK</v>
      </c>
      <c r="U269" s="0" t="str">
        <f aca="false">IF($L269="","",IFERROR(VLOOKUP(--$L269,MM_Income!$Z$5:$AC$204,3,FALSE()),"UNMAPPED"))</f>
        <v>Recoverable</v>
      </c>
    </row>
    <row r="270" customFormat="false" ht="13.5" hidden="false" customHeight="false" outlineLevel="0" collapsed="false">
      <c r="A270" s="1" t="str">
        <f aca="false">IF($C270="","",Controls!$B$7)</f>
        <v>PCGH</v>
      </c>
      <c r="B270" s="1" t="str">
        <f aca="false">IF($H270="","",YEAR($H270)&amp;"-Q"&amp;ROUNDUP(MONTH($H270)/3,0))</f>
        <v>2026-Q2</v>
      </c>
      <c r="C270" s="1" t="s">
        <v>838</v>
      </c>
      <c r="D270" s="1" t="s">
        <v>839</v>
      </c>
      <c r="E270" s="1" t="n">
        <v>14910</v>
      </c>
      <c r="F270" s="1" t="n">
        <v>44200</v>
      </c>
      <c r="G270" s="1" t="s">
        <v>869</v>
      </c>
      <c r="H270" s="140" t="n">
        <v>46137</v>
      </c>
      <c r="I270" s="1" t="n">
        <v>1260</v>
      </c>
      <c r="J270" s="1" t="s">
        <v>1164</v>
      </c>
      <c r="K270" s="1" t="s">
        <v>849</v>
      </c>
      <c r="L270" s="1" t="n">
        <v>5200</v>
      </c>
      <c r="N270" s="1" t="s">
        <v>1012</v>
      </c>
      <c r="P270" s="1" t="n">
        <v>273.68</v>
      </c>
      <c r="S270" s="1" t="str">
        <f aca="false">IF($C270="","",$C270&amp;"|"&amp;$E270&amp;"|"&amp;$F270&amp;"|"&amp;$L270&amp;"|"&amp;$P270&amp;"|"&amp;TEXT($H270,"yyyy-mm-dd"))</f>
        <v>PCGH774|14910|44200|5200|273.68|2026-04-25</v>
      </c>
      <c r="T270" s="1" t="str">
        <f aca="false">IF($S270="","",IF(COUNTIF($S$2:$S$2991,$S270)&gt;1,"DUPLICATE","OK"))</f>
        <v>OK</v>
      </c>
      <c r="U270" s="0" t="str">
        <f aca="false">IF($L270="","",IFERROR(VLOOKUP(--$L270,MM_Income!$Z$5:$AC$204,3,FALSE()),"UNMAPPED"))</f>
        <v>Recoverable</v>
      </c>
    </row>
    <row r="271" customFormat="false" ht="13.5" hidden="false" customHeight="false" outlineLevel="0" collapsed="false">
      <c r="A271" s="1" t="str">
        <f aca="false">IF($C271="","",Controls!$B$7)</f>
        <v>PCGH</v>
      </c>
      <c r="B271" s="1" t="str">
        <f aca="false">IF($H271="","",YEAR($H271)&amp;"-Q"&amp;ROUNDUP(MONTH($H271)/3,0))</f>
        <v>2026-Q2</v>
      </c>
      <c r="C271" s="1" t="s">
        <v>838</v>
      </c>
      <c r="D271" s="1" t="s">
        <v>839</v>
      </c>
      <c r="E271" s="1" t="n">
        <v>14911</v>
      </c>
      <c r="F271" s="1" t="n">
        <v>44201</v>
      </c>
      <c r="G271" s="1" t="s">
        <v>869</v>
      </c>
      <c r="H271" s="140" t="n">
        <v>46137</v>
      </c>
      <c r="I271" s="1" t="n">
        <v>1260</v>
      </c>
      <c r="J271" s="1" t="s">
        <v>1164</v>
      </c>
      <c r="K271" s="1" t="s">
        <v>849</v>
      </c>
      <c r="L271" s="1" t="n">
        <v>5200</v>
      </c>
      <c r="N271" s="1" t="s">
        <v>1166</v>
      </c>
      <c r="P271" s="1" t="n">
        <v>165</v>
      </c>
      <c r="S271" s="1" t="str">
        <f aca="false">IF($C271="","",$C271&amp;"|"&amp;$E271&amp;"|"&amp;$F271&amp;"|"&amp;$L271&amp;"|"&amp;$P271&amp;"|"&amp;TEXT($H271,"yyyy-mm-dd"))</f>
        <v>PCGH774|14911|44201|5200|165|2026-04-25</v>
      </c>
      <c r="T271" s="1" t="str">
        <f aca="false">IF($S271="","",IF(COUNTIF($S$2:$S$2991,$S271)&gt;1,"DUPLICATE","OK"))</f>
        <v>OK</v>
      </c>
      <c r="U271" s="0" t="str">
        <f aca="false">IF($L271="","",IFERROR(VLOOKUP(--$L271,MM_Income!$Z$5:$AC$204,3,FALSE()),"UNMAPPED"))</f>
        <v>Recoverable</v>
      </c>
    </row>
    <row r="272" customFormat="false" ht="13.5" hidden="false" customHeight="false" outlineLevel="0" collapsed="false">
      <c r="A272" s="1" t="str">
        <f aca="false">IF($C272="","",Controls!$B$7)</f>
        <v>PCGH</v>
      </c>
      <c r="B272" s="1" t="str">
        <f aca="false">IF($H272="","",YEAR($H272)&amp;"-Q"&amp;ROUNDUP(MONTH($H272)/3,0))</f>
        <v>2026-Q2</v>
      </c>
      <c r="C272" s="1" t="s">
        <v>838</v>
      </c>
      <c r="D272" s="1" t="s">
        <v>839</v>
      </c>
      <c r="E272" s="1" t="n">
        <v>14912</v>
      </c>
      <c r="F272" s="1" t="n">
        <v>44202</v>
      </c>
      <c r="G272" s="1" t="s">
        <v>869</v>
      </c>
      <c r="H272" s="140" t="n">
        <v>46123</v>
      </c>
      <c r="I272" s="1" t="n">
        <v>1260</v>
      </c>
      <c r="J272" s="1" t="s">
        <v>1164</v>
      </c>
      <c r="K272" s="1" t="s">
        <v>849</v>
      </c>
      <c r="L272" s="1" t="n">
        <v>5200</v>
      </c>
      <c r="N272" s="1" t="s">
        <v>1168</v>
      </c>
      <c r="P272" s="1" t="n">
        <v>524.03</v>
      </c>
      <c r="S272" s="1" t="str">
        <f aca="false">IF($C272="","",$C272&amp;"|"&amp;$E272&amp;"|"&amp;$F272&amp;"|"&amp;$L272&amp;"|"&amp;$P272&amp;"|"&amp;TEXT($H272,"yyyy-mm-dd"))</f>
        <v>PCGH774|14912|44202|5200|524.03|2026-04-11</v>
      </c>
      <c r="T272" s="1" t="str">
        <f aca="false">IF($S272="","",IF(COUNTIF($S$2:$S$2991,$S272)&gt;1,"DUPLICATE","OK"))</f>
        <v>OK</v>
      </c>
      <c r="U272" s="0" t="str">
        <f aca="false">IF($L272="","",IFERROR(VLOOKUP(--$L272,MM_Income!$Z$5:$AC$204,3,FALSE()),"UNMAPPED"))</f>
        <v>Recoverable</v>
      </c>
    </row>
    <row r="273" customFormat="false" ht="13.5" hidden="false" customHeight="false" outlineLevel="0" collapsed="false">
      <c r="A273" s="1" t="str">
        <f aca="false">IF($C273="","",Controls!$B$7)</f>
        <v>PCGH</v>
      </c>
      <c r="B273" s="1" t="str">
        <f aca="false">IF($H273="","",YEAR($H273)&amp;"-Q"&amp;ROUNDUP(MONTH($H273)/3,0))</f>
        <v>2026-Q2</v>
      </c>
      <c r="C273" s="1" t="s">
        <v>838</v>
      </c>
      <c r="D273" s="1" t="s">
        <v>839</v>
      </c>
      <c r="E273" s="1" t="n">
        <v>14913</v>
      </c>
      <c r="F273" s="1" t="n">
        <v>44203</v>
      </c>
      <c r="G273" s="1" t="s">
        <v>869</v>
      </c>
      <c r="H273" s="140" t="n">
        <v>46119</v>
      </c>
      <c r="I273" s="1" t="n">
        <v>1260</v>
      </c>
      <c r="J273" s="1" t="s">
        <v>1164</v>
      </c>
      <c r="K273" s="1" t="s">
        <v>849</v>
      </c>
      <c r="L273" s="1" t="n">
        <v>7820</v>
      </c>
      <c r="N273" s="1" t="s">
        <v>1169</v>
      </c>
      <c r="P273" s="1" t="n">
        <v>115.29</v>
      </c>
      <c r="S273" s="1" t="str">
        <f aca="false">IF($C273="","",$C273&amp;"|"&amp;$E273&amp;"|"&amp;$F273&amp;"|"&amp;$L273&amp;"|"&amp;$P273&amp;"|"&amp;TEXT($H273,"yyyy-mm-dd"))</f>
        <v>PCGH774|14913|44203|7820|115.29|2026-04-07</v>
      </c>
      <c r="T273" s="1" t="str">
        <f aca="false">IF($S273="","",IF(COUNTIF($S$2:$S$2991,$S273)&gt;1,"DUPLICATE","OK"))</f>
        <v>OK</v>
      </c>
      <c r="U273" s="0" t="str">
        <f aca="false">IF($L273="","",IFERROR(VLOOKUP(--$L273,MM_Income!$Z$5:$AC$204,3,FALSE()),"UNMAPPED"))</f>
        <v>Excluded — Overhead (in fixed costs)</v>
      </c>
    </row>
    <row r="274" customFormat="false" ht="13.5" hidden="false" customHeight="false" outlineLevel="0" collapsed="false">
      <c r="A274" s="1" t="str">
        <f aca="false">IF($C274="","",Controls!$B$7)</f>
        <v>PCGH</v>
      </c>
      <c r="B274" s="1" t="str">
        <f aca="false">IF($H274="","",YEAR($H274)&amp;"-Q"&amp;ROUNDUP(MONTH($H274)/3,0))</f>
        <v>2026-Q2</v>
      </c>
      <c r="C274" s="1" t="s">
        <v>838</v>
      </c>
      <c r="D274" s="1" t="s">
        <v>839</v>
      </c>
      <c r="E274" s="1" t="n">
        <v>14914</v>
      </c>
      <c r="F274" s="1" t="n">
        <v>44204</v>
      </c>
      <c r="G274" s="1" t="s">
        <v>869</v>
      </c>
      <c r="H274" s="140" t="n">
        <v>46118</v>
      </c>
      <c r="I274" s="1" t="n">
        <v>1260</v>
      </c>
      <c r="J274" s="1" t="s">
        <v>1164</v>
      </c>
      <c r="K274" s="1" t="s">
        <v>849</v>
      </c>
      <c r="L274" s="1" t="n">
        <v>7150</v>
      </c>
      <c r="N274" s="1" t="s">
        <v>1170</v>
      </c>
      <c r="P274" s="1" t="n">
        <v>85.21</v>
      </c>
      <c r="S274" s="1" t="str">
        <f aca="false">IF($C274="","",$C274&amp;"|"&amp;$E274&amp;"|"&amp;$F274&amp;"|"&amp;$L274&amp;"|"&amp;$P274&amp;"|"&amp;TEXT($H274,"yyyy-mm-dd"))</f>
        <v>PCGH774|14914|44204|7150|85.21|2026-04-06</v>
      </c>
      <c r="T274" s="1" t="str">
        <f aca="false">IF($S274="","",IF(COUNTIF($S$2:$S$2991,$S274)&gt;1,"DUPLICATE","OK"))</f>
        <v>OK</v>
      </c>
      <c r="U274" s="0" t="str">
        <f aca="false">IF($L274="","",IFERROR(VLOOKUP(--$L274,MM_Income!$Z$5:$AC$204,3,FALSE()),"UNMAPPED"))</f>
        <v>Excluded — Overhead (in fixed costs)</v>
      </c>
    </row>
    <row r="275" customFormat="false" ht="13.5" hidden="false" customHeight="false" outlineLevel="0" collapsed="false">
      <c r="A275" s="1" t="str">
        <f aca="false">IF($C275="","",Controls!$B$7)</f>
        <v>PCGH</v>
      </c>
      <c r="B275" s="1" t="str">
        <f aca="false">IF($H275="","",YEAR($H275)&amp;"-Q"&amp;ROUNDUP(MONTH($H275)/3,0))</f>
        <v>2026-Q2</v>
      </c>
      <c r="C275" s="1" t="s">
        <v>838</v>
      </c>
      <c r="D275" s="1" t="s">
        <v>839</v>
      </c>
      <c r="E275" s="1" t="n">
        <v>14915</v>
      </c>
      <c r="F275" s="1" t="n">
        <v>44205</v>
      </c>
      <c r="G275" s="1" t="s">
        <v>869</v>
      </c>
      <c r="H275" s="140" t="n">
        <v>46117</v>
      </c>
      <c r="I275" s="1" t="n">
        <v>1260</v>
      </c>
      <c r="J275" s="1" t="s">
        <v>1164</v>
      </c>
      <c r="K275" s="1" t="s">
        <v>849</v>
      </c>
      <c r="L275" s="1" t="n">
        <v>5200</v>
      </c>
      <c r="N275" s="1" t="s">
        <v>1171</v>
      </c>
      <c r="P275" s="1" t="n">
        <v>82.2</v>
      </c>
      <c r="S275" s="1" t="str">
        <f aca="false">IF($C275="","",$C275&amp;"|"&amp;$E275&amp;"|"&amp;$F275&amp;"|"&amp;$L275&amp;"|"&amp;$P275&amp;"|"&amp;TEXT($H275,"yyyy-mm-dd"))</f>
        <v>PCGH774|14915|44205|5200|82.2|2026-04-05</v>
      </c>
      <c r="T275" s="1" t="str">
        <f aca="false">IF($S275="","",IF(COUNTIF($S$2:$S$2991,$S275)&gt;1,"DUPLICATE","OK"))</f>
        <v>OK</v>
      </c>
      <c r="U275" s="0" t="str">
        <f aca="false">IF($L275="","",IFERROR(VLOOKUP(--$L275,MM_Income!$Z$5:$AC$204,3,FALSE()),"UNMAPPED"))</f>
        <v>Recoverable</v>
      </c>
    </row>
    <row r="276" customFormat="false" ht="13.5" hidden="false" customHeight="false" outlineLevel="0" collapsed="false">
      <c r="A276" s="1" t="str">
        <f aca="false">IF($C276="","",Controls!$B$7)</f>
        <v>PCGH</v>
      </c>
      <c r="B276" s="1" t="str">
        <f aca="false">IF($H276="","",YEAR($H276)&amp;"-Q"&amp;ROUNDUP(MONTH($H276)/3,0))</f>
        <v>2026-Q2</v>
      </c>
      <c r="C276" s="1" t="s">
        <v>838</v>
      </c>
      <c r="D276" s="1" t="s">
        <v>839</v>
      </c>
      <c r="E276" s="1" t="n">
        <v>14916</v>
      </c>
      <c r="F276" s="1" t="n">
        <v>44206</v>
      </c>
      <c r="G276" s="1" t="s">
        <v>869</v>
      </c>
      <c r="H276" s="140" t="n">
        <v>46137</v>
      </c>
      <c r="I276" s="1" t="n">
        <v>1260</v>
      </c>
      <c r="J276" s="1" t="s">
        <v>1164</v>
      </c>
      <c r="K276" s="1" t="s">
        <v>849</v>
      </c>
      <c r="L276" s="1" t="n">
        <v>5200</v>
      </c>
      <c r="N276" s="1" t="s">
        <v>1167</v>
      </c>
      <c r="P276" s="1" t="n">
        <v>272.5</v>
      </c>
      <c r="S276" s="1" t="str">
        <f aca="false">IF($C276="","",$C276&amp;"|"&amp;$E276&amp;"|"&amp;$F276&amp;"|"&amp;$L276&amp;"|"&amp;$P276&amp;"|"&amp;TEXT($H276,"yyyy-mm-dd"))</f>
        <v>PCGH774|14916|44206|5200|272.5|2026-04-25</v>
      </c>
      <c r="T276" s="1" t="str">
        <f aca="false">IF($S276="","",IF(COUNTIF($S$2:$S$2991,$S276)&gt;1,"DUPLICATE","OK"))</f>
        <v>OK</v>
      </c>
      <c r="U276" s="0" t="str">
        <f aca="false">IF($L276="","",IFERROR(VLOOKUP(--$L276,MM_Income!$Z$5:$AC$204,3,FALSE()),"UNMAPPED"))</f>
        <v>Recoverable</v>
      </c>
    </row>
    <row r="277" customFormat="false" ht="13.5" hidden="false" customHeight="false" outlineLevel="0" collapsed="false">
      <c r="A277" s="1" t="str">
        <f aca="false">IF($C277="","",Controls!$B$7)</f>
        <v>PCGH</v>
      </c>
      <c r="B277" s="1" t="str">
        <f aca="false">IF($H277="","",YEAR($H277)&amp;"-Q"&amp;ROUNDUP(MONTH($H277)/3,0))</f>
        <v>2026-Q2</v>
      </c>
      <c r="C277" s="1" t="s">
        <v>838</v>
      </c>
      <c r="D277" s="1" t="s">
        <v>839</v>
      </c>
      <c r="E277" s="1" t="n">
        <v>14917</v>
      </c>
      <c r="F277" s="1" t="n">
        <v>44207</v>
      </c>
      <c r="G277" s="1" t="s">
        <v>869</v>
      </c>
      <c r="H277" s="140" t="n">
        <v>46132</v>
      </c>
      <c r="I277" s="1" t="n">
        <v>1260</v>
      </c>
      <c r="J277" s="1" t="s">
        <v>1164</v>
      </c>
      <c r="K277" s="1" t="s">
        <v>849</v>
      </c>
      <c r="L277" s="1" t="n">
        <v>5200</v>
      </c>
      <c r="N277" s="1" t="s">
        <v>1168</v>
      </c>
      <c r="P277" s="1" t="n">
        <v>314.42</v>
      </c>
      <c r="S277" s="1" t="str">
        <f aca="false">IF($C277="","",$C277&amp;"|"&amp;$E277&amp;"|"&amp;$F277&amp;"|"&amp;$L277&amp;"|"&amp;$P277&amp;"|"&amp;TEXT($H277,"yyyy-mm-dd"))</f>
        <v>PCGH774|14917|44207|5200|314.42|2026-04-20</v>
      </c>
      <c r="T277" s="1" t="str">
        <f aca="false">IF($S277="","",IF(COUNTIF($S$2:$S$2991,$S277)&gt;1,"DUPLICATE","OK"))</f>
        <v>OK</v>
      </c>
      <c r="U277" s="0" t="str">
        <f aca="false">IF($L277="","",IFERROR(VLOOKUP(--$L277,MM_Income!$Z$5:$AC$204,3,FALSE()),"UNMAPPED"))</f>
        <v>Recoverable</v>
      </c>
    </row>
    <row r="278" customFormat="false" ht="13.5" hidden="false" customHeight="false" outlineLevel="0" collapsed="false">
      <c r="A278" s="1" t="str">
        <f aca="false">IF($C278="","",Controls!$B$7)</f>
        <v>PCGH</v>
      </c>
      <c r="B278" s="1" t="str">
        <f aca="false">IF($H278="","",YEAR($H278)&amp;"-Q"&amp;ROUNDUP(MONTH($H278)/3,0))</f>
        <v>2026-Q2</v>
      </c>
      <c r="C278" s="1" t="s">
        <v>838</v>
      </c>
      <c r="D278" s="1" t="s">
        <v>839</v>
      </c>
      <c r="E278" s="1" t="n">
        <v>14918</v>
      </c>
      <c r="F278" s="1" t="n">
        <v>44208</v>
      </c>
      <c r="G278" s="1" t="s">
        <v>869</v>
      </c>
      <c r="H278" s="140" t="n">
        <v>46130</v>
      </c>
      <c r="I278" s="1" t="n">
        <v>1260</v>
      </c>
      <c r="J278" s="1" t="s">
        <v>1164</v>
      </c>
      <c r="K278" s="1" t="s">
        <v>849</v>
      </c>
      <c r="L278" s="1" t="n">
        <v>7910</v>
      </c>
      <c r="N278" s="1" t="s">
        <v>1172</v>
      </c>
      <c r="P278" s="1" t="n">
        <v>75</v>
      </c>
      <c r="S278" s="1" t="str">
        <f aca="false">IF($C278="","",$C278&amp;"|"&amp;$E278&amp;"|"&amp;$F278&amp;"|"&amp;$L278&amp;"|"&amp;$P278&amp;"|"&amp;TEXT($H278,"yyyy-mm-dd"))</f>
        <v>PCGH774|14918|44208|7910|75|2026-04-18</v>
      </c>
      <c r="T278" s="1" t="str">
        <f aca="false">IF($S278="","",IF(COUNTIF($S$2:$S$2991,$S278)&gt;1,"DUPLICATE","OK"))</f>
        <v>OK</v>
      </c>
      <c r="U278" s="0" t="str">
        <f aca="false">IF($L278="","",IFERROR(VLOOKUP(--$L278,MM_Income!$Z$5:$AC$204,3,FALSE()),"UNMAPPED"))</f>
        <v>Excluded — Overhead (in fixed costs)</v>
      </c>
    </row>
    <row r="279" customFormat="false" ht="13.5" hidden="false" customHeight="false" outlineLevel="0" collapsed="false">
      <c r="A279" s="1" t="str">
        <f aca="false">IF($C279="","",Controls!$B$7)</f>
        <v>PCGH</v>
      </c>
      <c r="B279" s="1" t="str">
        <f aca="false">IF($H279="","",YEAR($H279)&amp;"-Q"&amp;ROUNDUP(MONTH($H279)/3,0))</f>
        <v>2026-Q2</v>
      </c>
      <c r="C279" s="1" t="s">
        <v>895</v>
      </c>
      <c r="D279" s="1" t="s">
        <v>896</v>
      </c>
      <c r="E279" s="1" t="n">
        <v>14919</v>
      </c>
      <c r="F279" s="1" t="n">
        <v>44209</v>
      </c>
      <c r="G279" s="1" t="s">
        <v>869</v>
      </c>
      <c r="H279" s="140" t="n">
        <v>46127</v>
      </c>
      <c r="I279" s="1" t="n">
        <v>1260</v>
      </c>
      <c r="J279" s="1" t="s">
        <v>1164</v>
      </c>
      <c r="K279" s="1" t="s">
        <v>849</v>
      </c>
      <c r="L279" s="1" t="n">
        <v>5200</v>
      </c>
      <c r="N279" s="1" t="s">
        <v>1165</v>
      </c>
      <c r="P279" s="1" t="n">
        <v>114.4</v>
      </c>
      <c r="S279" s="1" t="str">
        <f aca="false">IF($C279="","",$C279&amp;"|"&amp;$E279&amp;"|"&amp;$F279&amp;"|"&amp;$L279&amp;"|"&amp;$P279&amp;"|"&amp;TEXT($H279,"yyyy-mm-dd"))</f>
        <v>PCGH778|14919|44209|5200|114.4|2026-04-15</v>
      </c>
      <c r="T279" s="1" t="str">
        <f aca="false">IF($S279="","",IF(COUNTIF($S$2:$S$2991,$S279)&gt;1,"DUPLICATE","OK"))</f>
        <v>OK</v>
      </c>
      <c r="U279" s="0" t="str">
        <f aca="false">IF($L279="","",IFERROR(VLOOKUP(--$L279,MM_Income!$Z$5:$AC$204,3,FALSE()),"UNMAPPED"))</f>
        <v>Recoverable</v>
      </c>
    </row>
    <row r="280" customFormat="false" ht="13.5" hidden="false" customHeight="false" outlineLevel="0" collapsed="false">
      <c r="A280" s="1" t="str">
        <f aca="false">IF($C280="","",Controls!$B$7)</f>
        <v>PCGH</v>
      </c>
      <c r="B280" s="1" t="str">
        <f aca="false">IF($H280="","",YEAR($H280)&amp;"-Q"&amp;ROUNDUP(MONTH($H280)/3,0))</f>
        <v>2026-Q2</v>
      </c>
      <c r="C280" s="1" t="s">
        <v>895</v>
      </c>
      <c r="D280" s="1" t="s">
        <v>896</v>
      </c>
      <c r="E280" s="1" t="n">
        <v>14920</v>
      </c>
      <c r="F280" s="1" t="n">
        <v>44210</v>
      </c>
      <c r="G280" s="1" t="s">
        <v>869</v>
      </c>
      <c r="H280" s="140" t="n">
        <v>46126</v>
      </c>
      <c r="I280" s="1" t="n">
        <v>1260</v>
      </c>
      <c r="J280" s="1" t="s">
        <v>1164</v>
      </c>
      <c r="K280" s="1" t="s">
        <v>849</v>
      </c>
      <c r="L280" s="1" t="n">
        <v>5200</v>
      </c>
      <c r="N280" s="1" t="s">
        <v>887</v>
      </c>
      <c r="P280" s="1" t="n">
        <v>253.22</v>
      </c>
      <c r="S280" s="1" t="str">
        <f aca="false">IF($C280="","",$C280&amp;"|"&amp;$E280&amp;"|"&amp;$F280&amp;"|"&amp;$L280&amp;"|"&amp;$P280&amp;"|"&amp;TEXT($H280,"yyyy-mm-dd"))</f>
        <v>PCGH778|14920|44210|5200|253.22|2026-04-14</v>
      </c>
      <c r="T280" s="1" t="str">
        <f aca="false">IF($S280="","",IF(COUNTIF($S$2:$S$2991,$S280)&gt;1,"DUPLICATE","OK"))</f>
        <v>OK</v>
      </c>
      <c r="U280" s="0" t="str">
        <f aca="false">IF($L280="","",IFERROR(VLOOKUP(--$L280,MM_Income!$Z$5:$AC$204,3,FALSE()),"UNMAPPED"))</f>
        <v>Recoverable</v>
      </c>
    </row>
    <row r="281" customFormat="false" ht="13.5" hidden="false" customHeight="false" outlineLevel="0" collapsed="false">
      <c r="A281" s="1" t="str">
        <f aca="false">IF($C281="","",Controls!$B$7)</f>
        <v>PCGH</v>
      </c>
      <c r="B281" s="1" t="str">
        <f aca="false">IF($H281="","",YEAR($H281)&amp;"-Q"&amp;ROUNDUP(MONTH($H281)/3,0))</f>
        <v>2026-Q2</v>
      </c>
      <c r="C281" s="1" t="s">
        <v>895</v>
      </c>
      <c r="D281" s="1" t="s">
        <v>896</v>
      </c>
      <c r="E281" s="1" t="n">
        <v>14921</v>
      </c>
      <c r="F281" s="1" t="n">
        <v>44211</v>
      </c>
      <c r="G281" s="1" t="s">
        <v>869</v>
      </c>
      <c r="H281" s="140" t="n">
        <v>46125</v>
      </c>
      <c r="I281" s="1" t="n">
        <v>1260</v>
      </c>
      <c r="J281" s="1" t="s">
        <v>1164</v>
      </c>
      <c r="K281" s="1" t="s">
        <v>849</v>
      </c>
      <c r="L281" s="1" t="n">
        <v>5200</v>
      </c>
      <c r="N281" s="1" t="s">
        <v>1165</v>
      </c>
      <c r="P281" s="1" t="n">
        <v>384.36</v>
      </c>
      <c r="S281" s="1" t="str">
        <f aca="false">IF($C281="","",$C281&amp;"|"&amp;$E281&amp;"|"&amp;$F281&amp;"|"&amp;$L281&amp;"|"&amp;$P281&amp;"|"&amp;TEXT($H281,"yyyy-mm-dd"))</f>
        <v>PCGH778|14921|44211|5200|384.36|2026-04-13</v>
      </c>
      <c r="T281" s="1" t="str">
        <f aca="false">IF($S281="","",IF(COUNTIF($S$2:$S$2991,$S281)&gt;1,"DUPLICATE","OK"))</f>
        <v>OK</v>
      </c>
      <c r="U281" s="0" t="str">
        <f aca="false">IF($L281="","",IFERROR(VLOOKUP(--$L281,MM_Income!$Z$5:$AC$204,3,FALSE()),"UNMAPPED"))</f>
        <v>Recoverable</v>
      </c>
    </row>
    <row r="282" customFormat="false" ht="13.5" hidden="false" customHeight="false" outlineLevel="0" collapsed="false">
      <c r="A282" s="1" t="str">
        <f aca="false">IF($C282="","",Controls!$B$7)</f>
        <v>PCGH</v>
      </c>
      <c r="B282" s="1" t="str">
        <f aca="false">IF($H282="","",YEAR($H282)&amp;"-Q"&amp;ROUNDUP(MONTH($H282)/3,0))</f>
        <v>2026-Q2</v>
      </c>
      <c r="C282" s="1" t="s">
        <v>895</v>
      </c>
      <c r="D282" s="1" t="s">
        <v>896</v>
      </c>
      <c r="E282" s="1" t="n">
        <v>14922</v>
      </c>
      <c r="F282" s="1" t="n">
        <v>44212</v>
      </c>
      <c r="G282" s="1" t="s">
        <v>869</v>
      </c>
      <c r="H282" s="140" t="n">
        <v>46125</v>
      </c>
      <c r="I282" s="1" t="n">
        <v>1260</v>
      </c>
      <c r="J282" s="1" t="s">
        <v>1164</v>
      </c>
      <c r="K282" s="1" t="s">
        <v>849</v>
      </c>
      <c r="L282" s="1" t="n">
        <v>5200</v>
      </c>
      <c r="N282" s="1" t="s">
        <v>887</v>
      </c>
      <c r="P282" s="1" t="n">
        <v>616</v>
      </c>
      <c r="S282" s="1" t="str">
        <f aca="false">IF($C282="","",$C282&amp;"|"&amp;$E282&amp;"|"&amp;$F282&amp;"|"&amp;$L282&amp;"|"&amp;$P282&amp;"|"&amp;TEXT($H282,"yyyy-mm-dd"))</f>
        <v>PCGH778|14922|44212|5200|616|2026-04-13</v>
      </c>
      <c r="T282" s="1" t="str">
        <f aca="false">IF($S282="","",IF(COUNTIF($S$2:$S$2991,$S282)&gt;1,"DUPLICATE","OK"))</f>
        <v>OK</v>
      </c>
      <c r="U282" s="0" t="str">
        <f aca="false">IF($L282="","",IFERROR(VLOOKUP(--$L282,MM_Income!$Z$5:$AC$204,3,FALSE()),"UNMAPPED"))</f>
        <v>Recoverable</v>
      </c>
    </row>
    <row r="283" customFormat="false" ht="13.5" hidden="false" customHeight="false" outlineLevel="0" collapsed="false">
      <c r="A283" s="1" t="str">
        <f aca="false">IF($C283="","",Controls!$B$7)</f>
        <v>PCGH</v>
      </c>
      <c r="B283" s="1" t="str">
        <f aca="false">IF($H283="","",YEAR($H283)&amp;"-Q"&amp;ROUNDUP(MONTH($H283)/3,0))</f>
        <v>2026-Q2</v>
      </c>
      <c r="C283" s="1" t="s">
        <v>895</v>
      </c>
      <c r="D283" s="1" t="s">
        <v>896</v>
      </c>
      <c r="E283" s="1" t="n">
        <v>14923</v>
      </c>
      <c r="F283" s="1" t="n">
        <v>44213</v>
      </c>
      <c r="G283" s="1" t="s">
        <v>869</v>
      </c>
      <c r="H283" s="140" t="n">
        <v>46125</v>
      </c>
      <c r="I283" s="1" t="n">
        <v>1260</v>
      </c>
      <c r="J283" s="1" t="s">
        <v>1164</v>
      </c>
      <c r="K283" s="1" t="s">
        <v>849</v>
      </c>
      <c r="L283" s="1" t="n">
        <v>7820</v>
      </c>
      <c r="N283" s="1" t="s">
        <v>1169</v>
      </c>
      <c r="P283" s="1" t="n">
        <v>124.08</v>
      </c>
      <c r="S283" s="1" t="str">
        <f aca="false">IF($C283="","",$C283&amp;"|"&amp;$E283&amp;"|"&amp;$F283&amp;"|"&amp;$L283&amp;"|"&amp;$P283&amp;"|"&amp;TEXT($H283,"yyyy-mm-dd"))</f>
        <v>PCGH778|14923|44213|7820|124.08|2026-04-13</v>
      </c>
      <c r="T283" s="1" t="str">
        <f aca="false">IF($S283="","",IF(COUNTIF($S$2:$S$2991,$S283)&gt;1,"DUPLICATE","OK"))</f>
        <v>OK</v>
      </c>
      <c r="U283" s="0" t="str">
        <f aca="false">IF($L283="","",IFERROR(VLOOKUP(--$L283,MM_Income!$Z$5:$AC$204,3,FALSE()),"UNMAPPED"))</f>
        <v>Excluded — Overhead (in fixed costs)</v>
      </c>
    </row>
    <row r="284" customFormat="false" ht="13.5" hidden="false" customHeight="false" outlineLevel="0" collapsed="false">
      <c r="A284" s="1" t="str">
        <f aca="false">IF($C284="","",Controls!$B$7)</f>
        <v>PCGH</v>
      </c>
      <c r="B284" s="1" t="str">
        <f aca="false">IF($H284="","",YEAR($H284)&amp;"-Q"&amp;ROUNDUP(MONTH($H284)/3,0))</f>
        <v>2026-Q2</v>
      </c>
      <c r="C284" s="1" t="s">
        <v>838</v>
      </c>
      <c r="D284" s="1" t="s">
        <v>839</v>
      </c>
      <c r="E284" s="1" t="n">
        <v>14924</v>
      </c>
      <c r="F284" s="1" t="n">
        <v>44214</v>
      </c>
      <c r="G284" s="1" t="s">
        <v>869</v>
      </c>
      <c r="H284" s="140" t="n">
        <v>46117</v>
      </c>
      <c r="I284" s="1" t="n">
        <v>1260</v>
      </c>
      <c r="J284" s="1" t="s">
        <v>1164</v>
      </c>
      <c r="K284" s="1" t="s">
        <v>849</v>
      </c>
      <c r="L284" s="1" t="n">
        <v>5200</v>
      </c>
      <c r="N284" s="1" t="s">
        <v>1173</v>
      </c>
      <c r="P284" s="1" t="n">
        <v>200</v>
      </c>
      <c r="S284" s="1" t="str">
        <f aca="false">IF($C284="","",$C284&amp;"|"&amp;$E284&amp;"|"&amp;$F284&amp;"|"&amp;$L284&amp;"|"&amp;$P284&amp;"|"&amp;TEXT($H284,"yyyy-mm-dd"))</f>
        <v>PCGH774|14924|44214|5200|200|2026-04-05</v>
      </c>
      <c r="T284" s="1" t="str">
        <f aca="false">IF($S284="","",IF(COUNTIF($S$2:$S$2991,$S284)&gt;1,"DUPLICATE","OK"))</f>
        <v>OK</v>
      </c>
      <c r="U284" s="0" t="str">
        <f aca="false">IF($L284="","",IFERROR(VLOOKUP(--$L284,MM_Income!$Z$5:$AC$204,3,FALSE()),"UNMAPPED"))</f>
        <v>Recoverable</v>
      </c>
    </row>
    <row r="285" customFormat="false" ht="13.5" hidden="false" customHeight="false" outlineLevel="0" collapsed="false">
      <c r="A285" s="1" t="str">
        <f aca="false">IF($C285="","",Controls!$B$7)</f>
        <v>PCGH</v>
      </c>
      <c r="B285" s="1" t="str">
        <f aca="false">IF($H285="","",YEAR($H285)&amp;"-Q"&amp;ROUNDUP(MONTH($H285)/3,0))</f>
        <v>2026-Q2</v>
      </c>
      <c r="C285" s="1" t="s">
        <v>899</v>
      </c>
      <c r="D285" s="1" t="s">
        <v>900</v>
      </c>
      <c r="E285" s="1" t="n">
        <v>14925</v>
      </c>
      <c r="F285" s="1" t="n">
        <v>44216</v>
      </c>
      <c r="G285" s="1" t="s">
        <v>869</v>
      </c>
      <c r="H285" s="140" t="n">
        <v>46120</v>
      </c>
      <c r="I285" s="1" t="n">
        <v>1260</v>
      </c>
      <c r="J285" s="1" t="s">
        <v>1074</v>
      </c>
      <c r="K285" s="1" t="s">
        <v>849</v>
      </c>
      <c r="L285" s="1" t="n">
        <v>5200</v>
      </c>
      <c r="N285" s="1" t="s">
        <v>1174</v>
      </c>
      <c r="P285" s="1" t="n">
        <v>65</v>
      </c>
      <c r="S285" s="1" t="str">
        <f aca="false">IF($C285="","",$C285&amp;"|"&amp;$E285&amp;"|"&amp;$F285&amp;"|"&amp;$L285&amp;"|"&amp;$P285&amp;"|"&amp;TEXT($H285,"yyyy-mm-dd"))</f>
        <v>PCGH762|14925|44216|5200|65|2026-04-08</v>
      </c>
      <c r="T285" s="1" t="str">
        <f aca="false">IF($S285="","",IF(COUNTIF($S$2:$S$2991,$S285)&gt;1,"DUPLICATE","OK"))</f>
        <v>OK</v>
      </c>
      <c r="U285" s="0" t="str">
        <f aca="false">IF($L285="","",IFERROR(VLOOKUP(--$L285,MM_Income!$Z$5:$AC$204,3,FALSE()),"UNMAPPED"))</f>
        <v>Recoverable</v>
      </c>
    </row>
    <row r="286" customFormat="false" ht="13.5" hidden="false" customHeight="false" outlineLevel="0" collapsed="false">
      <c r="A286" s="1" t="str">
        <f aca="false">IF($C286="","",Controls!$B$7)</f>
        <v>PCGH</v>
      </c>
      <c r="B286" s="1" t="str">
        <f aca="false">IF($H286="","",YEAR($H286)&amp;"-Q"&amp;ROUNDUP(MONTH($H286)/3,0))</f>
        <v>2026-Q2</v>
      </c>
      <c r="C286" s="1" t="s">
        <v>899</v>
      </c>
      <c r="D286" s="1" t="s">
        <v>900</v>
      </c>
      <c r="E286" s="1" t="n">
        <v>14926</v>
      </c>
      <c r="F286" s="1" t="n">
        <v>44217</v>
      </c>
      <c r="G286" s="1" t="s">
        <v>869</v>
      </c>
      <c r="H286" s="140" t="n">
        <v>46120</v>
      </c>
      <c r="I286" s="1" t="n">
        <v>1260</v>
      </c>
      <c r="J286" s="1" t="s">
        <v>1074</v>
      </c>
      <c r="K286" s="1" t="s">
        <v>849</v>
      </c>
      <c r="L286" s="1" t="n">
        <v>5200</v>
      </c>
      <c r="N286" s="1" t="s">
        <v>1175</v>
      </c>
      <c r="P286" s="1" t="n">
        <v>329.1</v>
      </c>
      <c r="S286" s="1" t="str">
        <f aca="false">IF($C286="","",$C286&amp;"|"&amp;$E286&amp;"|"&amp;$F286&amp;"|"&amp;$L286&amp;"|"&amp;$P286&amp;"|"&amp;TEXT($H286,"yyyy-mm-dd"))</f>
        <v>PCGH762|14926|44217|5200|329.1|2026-04-08</v>
      </c>
      <c r="T286" s="1" t="str">
        <f aca="false">IF($S286="","",IF(COUNTIF($S$2:$S$2991,$S286)&gt;1,"DUPLICATE","OK"))</f>
        <v>OK</v>
      </c>
      <c r="U286" s="0" t="str">
        <f aca="false">IF($L286="","",IFERROR(VLOOKUP(--$L286,MM_Income!$Z$5:$AC$204,3,FALSE()),"UNMAPPED"))</f>
        <v>Recoverable</v>
      </c>
    </row>
    <row r="287" customFormat="false" ht="13.5" hidden="false" customHeight="false" outlineLevel="0" collapsed="false">
      <c r="A287" s="1" t="str">
        <f aca="false">IF($C287="","",Controls!$B$7)</f>
        <v>PCGH</v>
      </c>
      <c r="B287" s="1" t="str">
        <f aca="false">IF($H287="","",YEAR($H287)&amp;"-Q"&amp;ROUNDUP(MONTH($H287)/3,0))</f>
        <v>2026-Q2</v>
      </c>
      <c r="C287" s="1" t="s">
        <v>899</v>
      </c>
      <c r="D287" s="1" t="s">
        <v>900</v>
      </c>
      <c r="E287" s="1" t="n">
        <v>14927</v>
      </c>
      <c r="F287" s="1" t="n">
        <v>44218</v>
      </c>
      <c r="G287" s="1" t="s">
        <v>869</v>
      </c>
      <c r="H287" s="140" t="n">
        <v>46120</v>
      </c>
      <c r="I287" s="1" t="n">
        <v>1260</v>
      </c>
      <c r="J287" s="1" t="s">
        <v>1074</v>
      </c>
      <c r="K287" s="1" t="s">
        <v>849</v>
      </c>
      <c r="L287" s="1" t="n">
        <v>5200</v>
      </c>
      <c r="N287" s="1" t="s">
        <v>1176</v>
      </c>
      <c r="P287" s="1" t="n">
        <v>1974.6</v>
      </c>
      <c r="S287" s="1" t="str">
        <f aca="false">IF($C287="","",$C287&amp;"|"&amp;$E287&amp;"|"&amp;$F287&amp;"|"&amp;$L287&amp;"|"&amp;$P287&amp;"|"&amp;TEXT($H287,"yyyy-mm-dd"))</f>
        <v>PCGH762|14927|44218|5200|1974.6|2026-04-08</v>
      </c>
      <c r="T287" s="1" t="str">
        <f aca="false">IF($S287="","",IF(COUNTIF($S$2:$S$2991,$S287)&gt;1,"DUPLICATE","OK"))</f>
        <v>OK</v>
      </c>
      <c r="U287" s="0" t="str">
        <f aca="false">IF($L287="","",IFERROR(VLOOKUP(--$L287,MM_Income!$Z$5:$AC$204,3,FALSE()),"UNMAPPED"))</f>
        <v>Recoverable</v>
      </c>
    </row>
    <row r="288" customFormat="false" ht="13.5" hidden="false" customHeight="false" outlineLevel="0" collapsed="false">
      <c r="A288" s="1" t="str">
        <f aca="false">IF($C288="","",Controls!$B$7)</f>
        <v>PCGH</v>
      </c>
      <c r="B288" s="1" t="str">
        <f aca="false">IF($H288="","",YEAR($H288)&amp;"-Q"&amp;ROUNDUP(MONTH($H288)/3,0))</f>
        <v>2026-Q2</v>
      </c>
      <c r="C288" s="1" t="s">
        <v>899</v>
      </c>
      <c r="D288" s="1" t="s">
        <v>900</v>
      </c>
      <c r="E288" s="1" t="n">
        <v>14928</v>
      </c>
      <c r="F288" s="1" t="n">
        <v>44219</v>
      </c>
      <c r="G288" s="1" t="s">
        <v>869</v>
      </c>
      <c r="H288" s="140" t="n">
        <v>46119</v>
      </c>
      <c r="I288" s="1" t="n">
        <v>1260</v>
      </c>
      <c r="J288" s="1" t="s">
        <v>1074</v>
      </c>
      <c r="K288" s="1" t="s">
        <v>849</v>
      </c>
      <c r="L288" s="1" t="n">
        <v>5200</v>
      </c>
      <c r="N288" s="1" t="s">
        <v>1177</v>
      </c>
      <c r="P288" s="1" t="n">
        <v>515.59</v>
      </c>
      <c r="S288" s="1" t="str">
        <f aca="false">IF($C288="","",$C288&amp;"|"&amp;$E288&amp;"|"&amp;$F288&amp;"|"&amp;$L288&amp;"|"&amp;$P288&amp;"|"&amp;TEXT($H288,"yyyy-mm-dd"))</f>
        <v>PCGH762|14928|44219|5200|515.59|2026-04-07</v>
      </c>
      <c r="T288" s="1" t="str">
        <f aca="false">IF($S288="","",IF(COUNTIF($S$2:$S$2991,$S288)&gt;1,"DUPLICATE","OK"))</f>
        <v>OK</v>
      </c>
      <c r="U288" s="0" t="str">
        <f aca="false">IF($L288="","",IFERROR(VLOOKUP(--$L288,MM_Income!$Z$5:$AC$204,3,FALSE()),"UNMAPPED"))</f>
        <v>Recoverable</v>
      </c>
    </row>
    <row r="289" customFormat="false" ht="13.5" hidden="false" customHeight="false" outlineLevel="0" collapsed="false">
      <c r="A289" s="1" t="str">
        <f aca="false">IF($C289="","",Controls!$B$7)</f>
        <v>PCGH</v>
      </c>
      <c r="B289" s="1" t="str">
        <f aca="false">IF($H289="","",YEAR($H289)&amp;"-Q"&amp;ROUNDUP(MONTH($H289)/3,0))</f>
        <v>2026-Q2</v>
      </c>
      <c r="C289" s="1" t="s">
        <v>899</v>
      </c>
      <c r="D289" s="1" t="s">
        <v>900</v>
      </c>
      <c r="E289" s="1" t="n">
        <v>14929</v>
      </c>
      <c r="F289" s="1" t="n">
        <v>44220</v>
      </c>
      <c r="G289" s="1" t="s">
        <v>869</v>
      </c>
      <c r="H289" s="140" t="n">
        <v>46119</v>
      </c>
      <c r="I289" s="1" t="n">
        <v>1260</v>
      </c>
      <c r="J289" s="1" t="s">
        <v>1074</v>
      </c>
      <c r="K289" s="1" t="s">
        <v>849</v>
      </c>
      <c r="L289" s="1" t="n">
        <v>5200</v>
      </c>
      <c r="N289" s="1" t="s">
        <v>1012</v>
      </c>
      <c r="P289" s="1" t="n">
        <v>61.43</v>
      </c>
      <c r="S289" s="1" t="str">
        <f aca="false">IF($C289="","",$C289&amp;"|"&amp;$E289&amp;"|"&amp;$F289&amp;"|"&amp;$L289&amp;"|"&amp;$P289&amp;"|"&amp;TEXT($H289,"yyyy-mm-dd"))</f>
        <v>PCGH762|14929|44220|5200|61.43|2026-04-07</v>
      </c>
      <c r="T289" s="1" t="str">
        <f aca="false">IF($S289="","",IF(COUNTIF($S$2:$S$2991,$S289)&gt;1,"DUPLICATE","OK"))</f>
        <v>OK</v>
      </c>
      <c r="U289" s="0" t="str">
        <f aca="false">IF($L289="","",IFERROR(VLOOKUP(--$L289,MM_Income!$Z$5:$AC$204,3,FALSE()),"UNMAPPED"))</f>
        <v>Recoverable</v>
      </c>
    </row>
    <row r="290" customFormat="false" ht="13.5" hidden="false" customHeight="false" outlineLevel="0" collapsed="false">
      <c r="A290" s="1" t="str">
        <f aca="false">IF($C290="","",Controls!$B$7)</f>
        <v>PCGH</v>
      </c>
      <c r="B290" s="1" t="str">
        <f aca="false">IF($H290="","",YEAR($H290)&amp;"-Q"&amp;ROUNDUP(MONTH($H290)/3,0))</f>
        <v>2026-Q2</v>
      </c>
      <c r="C290" s="1" t="s">
        <v>899</v>
      </c>
      <c r="D290" s="1" t="s">
        <v>900</v>
      </c>
      <c r="E290" s="1" t="n">
        <v>14930</v>
      </c>
      <c r="F290" s="1" t="n">
        <v>44221</v>
      </c>
      <c r="G290" s="1" t="s">
        <v>869</v>
      </c>
      <c r="H290" s="140" t="n">
        <v>46118</v>
      </c>
      <c r="I290" s="1" t="n">
        <v>1260</v>
      </c>
      <c r="J290" s="1" t="s">
        <v>1074</v>
      </c>
      <c r="K290" s="1" t="s">
        <v>849</v>
      </c>
      <c r="L290" s="1" t="n">
        <v>5200</v>
      </c>
      <c r="N290" s="1" t="s">
        <v>1178</v>
      </c>
      <c r="P290" s="1" t="n">
        <v>131.64</v>
      </c>
      <c r="S290" s="1" t="str">
        <f aca="false">IF($C290="","",$C290&amp;"|"&amp;$E290&amp;"|"&amp;$F290&amp;"|"&amp;$L290&amp;"|"&amp;$P290&amp;"|"&amp;TEXT($H290,"yyyy-mm-dd"))</f>
        <v>PCGH762|14930|44221|5200|131.64|2026-04-06</v>
      </c>
      <c r="T290" s="1" t="str">
        <f aca="false">IF($S290="","",IF(COUNTIF($S$2:$S$2991,$S290)&gt;1,"DUPLICATE","OK"))</f>
        <v>OK</v>
      </c>
      <c r="U290" s="0" t="str">
        <f aca="false">IF($L290="","",IFERROR(VLOOKUP(--$L290,MM_Income!$Z$5:$AC$204,3,FALSE()),"UNMAPPED"))</f>
        <v>Recoverable</v>
      </c>
    </row>
    <row r="291" customFormat="false" ht="13.5" hidden="false" customHeight="false" outlineLevel="0" collapsed="false">
      <c r="A291" s="1" t="str">
        <f aca="false">IF($C291="","",Controls!$B$7)</f>
        <v>PCGH</v>
      </c>
      <c r="B291" s="1" t="str">
        <f aca="false">IF($H291="","",YEAR($H291)&amp;"-Q"&amp;ROUNDUP(MONTH($H291)/3,0))</f>
        <v>2026-Q2</v>
      </c>
      <c r="C291" s="1" t="s">
        <v>899</v>
      </c>
      <c r="D291" s="1" t="s">
        <v>900</v>
      </c>
      <c r="E291" s="1" t="n">
        <v>14931</v>
      </c>
      <c r="F291" s="1" t="n">
        <v>44222</v>
      </c>
      <c r="G291" s="1" t="s">
        <v>869</v>
      </c>
      <c r="H291" s="140" t="n">
        <v>46118</v>
      </c>
      <c r="I291" s="1" t="n">
        <v>1260</v>
      </c>
      <c r="J291" s="1" t="s">
        <v>1074</v>
      </c>
      <c r="K291" s="1" t="s">
        <v>849</v>
      </c>
      <c r="L291" s="1" t="n">
        <v>5200</v>
      </c>
      <c r="N291" s="1" t="s">
        <v>1177</v>
      </c>
      <c r="P291" s="1" t="n">
        <v>795.33</v>
      </c>
      <c r="S291" s="1" t="str">
        <f aca="false">IF($C291="","",$C291&amp;"|"&amp;$E291&amp;"|"&amp;$F291&amp;"|"&amp;$L291&amp;"|"&amp;$P291&amp;"|"&amp;TEXT($H291,"yyyy-mm-dd"))</f>
        <v>PCGH762|14931|44222|5200|795.33|2026-04-06</v>
      </c>
      <c r="T291" s="1" t="str">
        <f aca="false">IF($S291="","",IF(COUNTIF($S$2:$S$2991,$S291)&gt;1,"DUPLICATE","OK"))</f>
        <v>OK</v>
      </c>
      <c r="U291" s="0" t="str">
        <f aca="false">IF($L291="","",IFERROR(VLOOKUP(--$L291,MM_Income!$Z$5:$AC$204,3,FALSE()),"UNMAPPED"))</f>
        <v>Recoverable</v>
      </c>
    </row>
    <row r="292" customFormat="false" ht="13.5" hidden="false" customHeight="false" outlineLevel="0" collapsed="false">
      <c r="A292" s="1" t="str">
        <f aca="false">IF($C292="","",Controls!$B$7)</f>
        <v>PCGH</v>
      </c>
      <c r="B292" s="1" t="str">
        <f aca="false">IF($H292="","",YEAR($H292)&amp;"-Q"&amp;ROUNDUP(MONTH($H292)/3,0))</f>
        <v>2026-Q2</v>
      </c>
      <c r="C292" s="1" t="s">
        <v>899</v>
      </c>
      <c r="D292" s="1" t="s">
        <v>900</v>
      </c>
      <c r="E292" s="1" t="n">
        <v>14932</v>
      </c>
      <c r="F292" s="1" t="n">
        <v>44223</v>
      </c>
      <c r="G292" s="1" t="s">
        <v>869</v>
      </c>
      <c r="H292" s="140" t="n">
        <v>46113</v>
      </c>
      <c r="I292" s="1" t="n">
        <v>1260</v>
      </c>
      <c r="J292" s="1" t="s">
        <v>1074</v>
      </c>
      <c r="K292" s="1" t="s">
        <v>849</v>
      </c>
      <c r="L292" s="1" t="n">
        <v>5200</v>
      </c>
      <c r="N292" s="1" t="s">
        <v>1012</v>
      </c>
      <c r="P292" s="1" t="n">
        <v>164.55</v>
      </c>
      <c r="S292" s="1" t="str">
        <f aca="false">IF($C292="","",$C292&amp;"|"&amp;$E292&amp;"|"&amp;$F292&amp;"|"&amp;$L292&amp;"|"&amp;$P292&amp;"|"&amp;TEXT($H292,"yyyy-mm-dd"))</f>
        <v>PCGH762|14932|44223|5200|164.55|2026-04-01</v>
      </c>
      <c r="T292" s="1" t="str">
        <f aca="false">IF($S292="","",IF(COUNTIF($S$2:$S$2991,$S292)&gt;1,"DUPLICATE","OK"))</f>
        <v>OK</v>
      </c>
      <c r="U292" s="0" t="str">
        <f aca="false">IF($L292="","",IFERROR(VLOOKUP(--$L292,MM_Income!$Z$5:$AC$204,3,FALSE()),"UNMAPPED"))</f>
        <v>Recoverable</v>
      </c>
    </row>
    <row r="293" customFormat="false" ht="13.5" hidden="false" customHeight="false" outlineLevel="0" collapsed="false">
      <c r="A293" s="1" t="str">
        <f aca="false">IF($C293="","",Controls!$B$7)</f>
        <v>PCGH</v>
      </c>
      <c r="B293" s="1" t="str">
        <f aca="false">IF($H293="","",YEAR($H293)&amp;"-Q"&amp;ROUNDUP(MONTH($H293)/3,0))</f>
        <v>2026-Q2</v>
      </c>
      <c r="C293" s="1" t="s">
        <v>899</v>
      </c>
      <c r="D293" s="1" t="s">
        <v>900</v>
      </c>
      <c r="E293" s="1" t="n">
        <v>14933</v>
      </c>
      <c r="F293" s="1" t="n">
        <v>44224</v>
      </c>
      <c r="G293" s="1" t="s">
        <v>869</v>
      </c>
      <c r="H293" s="140" t="n">
        <v>46113</v>
      </c>
      <c r="I293" s="1" t="n">
        <v>1260</v>
      </c>
      <c r="J293" s="1" t="s">
        <v>1074</v>
      </c>
      <c r="K293" s="1" t="s">
        <v>849</v>
      </c>
      <c r="L293" s="1" t="n">
        <v>5200</v>
      </c>
      <c r="N293" s="1" t="s">
        <v>1177</v>
      </c>
      <c r="P293" s="1" t="n">
        <v>687.82</v>
      </c>
      <c r="S293" s="1" t="str">
        <f aca="false">IF($C293="","",$C293&amp;"|"&amp;$E293&amp;"|"&amp;$F293&amp;"|"&amp;$L293&amp;"|"&amp;$P293&amp;"|"&amp;TEXT($H293,"yyyy-mm-dd"))</f>
        <v>PCGH762|14933|44224|5200|687.82|2026-04-01</v>
      </c>
      <c r="T293" s="1" t="str">
        <f aca="false">IF($S293="","",IF(COUNTIF($S$2:$S$2991,$S293)&gt;1,"DUPLICATE","OK"))</f>
        <v>OK</v>
      </c>
      <c r="U293" s="0" t="str">
        <f aca="false">IF($L293="","",IFERROR(VLOOKUP(--$L293,MM_Income!$Z$5:$AC$204,3,FALSE()),"UNMAPPED"))</f>
        <v>Recoverable</v>
      </c>
    </row>
    <row r="294" customFormat="false" ht="13.5" hidden="false" customHeight="false" outlineLevel="0" collapsed="false">
      <c r="A294" s="1" t="str">
        <f aca="false">IF($C294="","",Controls!$B$7)</f>
        <v>PCGH</v>
      </c>
      <c r="B294" s="1" t="str">
        <f aca="false">IF($H294="","",YEAR($H294)&amp;"-Q"&amp;ROUNDUP(MONTH($H294)/3,0))</f>
        <v>2026-Q2</v>
      </c>
      <c r="C294" s="1" t="s">
        <v>838</v>
      </c>
      <c r="D294" s="1" t="s">
        <v>839</v>
      </c>
      <c r="E294" s="1" t="n">
        <v>14934</v>
      </c>
      <c r="F294" s="1" t="n">
        <v>44242</v>
      </c>
      <c r="G294" s="1" t="s">
        <v>847</v>
      </c>
      <c r="H294" s="140" t="n">
        <v>46154</v>
      </c>
      <c r="I294" s="1" t="s">
        <v>1179</v>
      </c>
      <c r="J294" s="1" t="s">
        <v>1180</v>
      </c>
      <c r="K294" s="1" t="s">
        <v>856</v>
      </c>
      <c r="L294" s="1" t="n">
        <v>5000</v>
      </c>
      <c r="N294" s="1" t="s">
        <v>1181</v>
      </c>
      <c r="P294" s="1" t="n">
        <v>117400.33</v>
      </c>
      <c r="S294" s="1" t="str">
        <f aca="false">IF($C294="","",$C294&amp;"|"&amp;$E294&amp;"|"&amp;$F294&amp;"|"&amp;$L294&amp;"|"&amp;$P294&amp;"|"&amp;TEXT($H294,"yyyy-mm-dd"))</f>
        <v>PCGH774|14934|44242|5000|117400.33|2026-05-12</v>
      </c>
      <c r="T294" s="1" t="str">
        <f aca="false">IF($S294="","",IF(COUNTIF($S$2:$S$2991,$S294)&gt;1,"DUPLICATE","OK"))</f>
        <v>OK</v>
      </c>
      <c r="U294" s="0" t="str">
        <f aca="false">IF($L294="","",IFERROR(VLOOKUP(--$L294,MM_Income!$Z$5:$AC$204,3,FALSE()),"UNMAPPED"))</f>
        <v>Subcontractor</v>
      </c>
    </row>
    <row r="295" customFormat="false" ht="13.5" hidden="false" customHeight="false" outlineLevel="0" collapsed="false">
      <c r="A295" s="1" t="str">
        <f aca="false">IF($C295="","",Controls!$B$7)</f>
        <v>PCGH</v>
      </c>
      <c r="B295" s="1" t="str">
        <f aca="false">IF($H295="","",YEAR($H295)&amp;"-Q"&amp;ROUNDUP(MONTH($H295)/3,0))</f>
        <v>2026-Q2</v>
      </c>
      <c r="C295" s="1" t="s">
        <v>838</v>
      </c>
      <c r="D295" s="1" t="s">
        <v>839</v>
      </c>
      <c r="E295" s="1" t="n">
        <v>14935</v>
      </c>
      <c r="F295" s="1" t="n">
        <v>44243</v>
      </c>
      <c r="G295" s="1" t="s">
        <v>847</v>
      </c>
      <c r="H295" s="140" t="n">
        <v>46154</v>
      </c>
      <c r="I295" s="1" t="s">
        <v>1179</v>
      </c>
      <c r="J295" s="1" t="s">
        <v>1182</v>
      </c>
      <c r="K295" s="1" t="s">
        <v>856</v>
      </c>
      <c r="L295" s="1" t="n">
        <v>5200</v>
      </c>
      <c r="N295" s="1" t="s">
        <v>1181</v>
      </c>
      <c r="P295" s="1" t="n">
        <v>16049.99</v>
      </c>
      <c r="S295" s="1" t="str">
        <f aca="false">IF($C295="","",$C295&amp;"|"&amp;$E295&amp;"|"&amp;$F295&amp;"|"&amp;$L295&amp;"|"&amp;$P295&amp;"|"&amp;TEXT($H295,"yyyy-mm-dd"))</f>
        <v>PCGH774|14935|44243|5200|16049.99|2026-05-12</v>
      </c>
      <c r="T295" s="1" t="str">
        <f aca="false">IF($S295="","",IF(COUNTIF($S$2:$S$2991,$S295)&gt;1,"DUPLICATE","OK"))</f>
        <v>OK</v>
      </c>
      <c r="U295" s="0" t="str">
        <f aca="false">IF($L295="","",IFERROR(VLOOKUP(--$L295,MM_Income!$Z$5:$AC$204,3,FALSE()),"UNMAPPED"))</f>
        <v>Recoverable</v>
      </c>
    </row>
    <row r="296" customFormat="false" ht="13.5" hidden="false" customHeight="false" outlineLevel="0" collapsed="false">
      <c r="A296" s="1" t="str">
        <f aca="false">IF($C296="","",Controls!$B$7)</f>
        <v/>
      </c>
      <c r="B296" s="1" t="str">
        <f aca="false">IF($H296="","",YEAR($H296)&amp;"-Q"&amp;ROUNDUP(MONTH($H296)/3,0))</f>
        <v/>
      </c>
      <c r="S296" s="1" t="str">
        <f aca="false">IF($C296="","",$C296&amp;"|"&amp;$E296&amp;"|"&amp;$F296&amp;"|"&amp;$L296&amp;"|"&amp;$P296&amp;"|"&amp;TEXT($H296,"yyyy-mm-dd"))</f>
        <v/>
      </c>
      <c r="T296" s="1" t="str">
        <f aca="false">IF($S296="","",IF(COUNTIF($S$2:$S$2991,$S296)&gt;1,"DUPLICATE","OK"))</f>
        <v/>
      </c>
      <c r="U296" s="0" t="str">
        <f aca="false">IF($L296="","",IFERROR(VLOOKUP(--$L296,MM_Income!$Z$5:$AC$204,3,FALSE()),"UNMAPPED"))</f>
        <v/>
      </c>
    </row>
    <row r="297" customFormat="false" ht="13.5" hidden="false" customHeight="false" outlineLevel="0" collapsed="false">
      <c r="A297" s="1" t="str">
        <f aca="false">IF($C297="","",Controls!$B$7)</f>
        <v/>
      </c>
      <c r="B297" s="1" t="str">
        <f aca="false">IF($H297="","",YEAR($H297)&amp;"-Q"&amp;ROUNDUP(MONTH($H297)/3,0))</f>
        <v/>
      </c>
      <c r="S297" s="1" t="str">
        <f aca="false">IF($C297="","",$C297&amp;"|"&amp;$E297&amp;"|"&amp;$F297&amp;"|"&amp;$L297&amp;"|"&amp;$P297&amp;"|"&amp;TEXT($H297,"yyyy-mm-dd"))</f>
        <v/>
      </c>
      <c r="T297" s="1" t="str">
        <f aca="false">IF($S297="","",IF(COUNTIF($S$2:$S$2991,$S297)&gt;1,"DUPLICATE","OK"))</f>
        <v/>
      </c>
      <c r="U297" s="0" t="str">
        <f aca="false">IF($L297="","",IFERROR(VLOOKUP(--$L297,MM_Income!$Z$5:$AC$204,3,FALSE()),"UNMAPPED"))</f>
        <v/>
      </c>
    </row>
    <row r="298" customFormat="false" ht="13.5" hidden="false" customHeight="false" outlineLevel="0" collapsed="false">
      <c r="A298" s="1" t="str">
        <f aca="false">IF($C298="","",Controls!$B$7)</f>
        <v/>
      </c>
      <c r="B298" s="1" t="str">
        <f aca="false">IF($H298="","",YEAR($H298)&amp;"-Q"&amp;ROUNDUP(MONTH($H298)/3,0))</f>
        <v/>
      </c>
      <c r="S298" s="1" t="str">
        <f aca="false">IF($C298="","",$C298&amp;"|"&amp;$E298&amp;"|"&amp;$F298&amp;"|"&amp;$L298&amp;"|"&amp;$P298&amp;"|"&amp;TEXT($H298,"yyyy-mm-dd"))</f>
        <v/>
      </c>
      <c r="T298" s="1" t="str">
        <f aca="false">IF($S298="","",IF(COUNTIF($S$2:$S$2991,$S298)&gt;1,"DUPLICATE","OK"))</f>
        <v/>
      </c>
      <c r="U298" s="0" t="str">
        <f aca="false">IF($L298="","",IFERROR(VLOOKUP(--$L298,MM_Income!$Z$5:$AC$204,3,FALSE()),"UNMAPPED"))</f>
        <v/>
      </c>
    </row>
    <row r="299" customFormat="false" ht="13.5" hidden="false" customHeight="false" outlineLevel="0" collapsed="false">
      <c r="A299" s="1" t="str">
        <f aca="false">IF($C299="","",Controls!$B$7)</f>
        <v/>
      </c>
      <c r="B299" s="1" t="str">
        <f aca="false">IF($H299="","",YEAR($H299)&amp;"-Q"&amp;ROUNDUP(MONTH($H299)/3,0))</f>
        <v/>
      </c>
      <c r="S299" s="1" t="str">
        <f aca="false">IF($C299="","",$C299&amp;"|"&amp;$E299&amp;"|"&amp;$F299&amp;"|"&amp;$L299&amp;"|"&amp;$P299&amp;"|"&amp;TEXT($H299,"yyyy-mm-dd"))</f>
        <v/>
      </c>
      <c r="T299" s="1" t="str">
        <f aca="false">IF($S299="","",IF(COUNTIF($S$2:$S$2991,$S299)&gt;1,"DUPLICATE","OK"))</f>
        <v/>
      </c>
      <c r="U299" s="0" t="str">
        <f aca="false">IF($L299="","",IFERROR(VLOOKUP(--$L299,MM_Income!$Z$5:$AC$204,3,FALSE()),"UNMAPPED"))</f>
        <v/>
      </c>
    </row>
    <row r="300" customFormat="false" ht="13.5" hidden="false" customHeight="false" outlineLevel="0" collapsed="false">
      <c r="A300" s="1" t="str">
        <f aca="false">IF($C300="","",Controls!$B$7)</f>
        <v/>
      </c>
      <c r="B300" s="1" t="str">
        <f aca="false">IF($H300="","",YEAR($H300)&amp;"-Q"&amp;ROUNDUP(MONTH($H300)/3,0))</f>
        <v/>
      </c>
      <c r="S300" s="1" t="str">
        <f aca="false">IF($C300="","",$C300&amp;"|"&amp;$E300&amp;"|"&amp;$F300&amp;"|"&amp;$L300&amp;"|"&amp;$P300&amp;"|"&amp;TEXT($H300,"yyyy-mm-dd"))</f>
        <v/>
      </c>
      <c r="T300" s="1" t="str">
        <f aca="false">IF($S300="","",IF(COUNTIF($S$2:$S$2991,$S300)&gt;1,"DUPLICATE","OK"))</f>
        <v/>
      </c>
      <c r="U300" s="0" t="str">
        <f aca="false">IF($L300="","",IFERROR(VLOOKUP(--$L300,MM_Income!$Z$5:$AC$204,3,FALSE()),"UNMAPPED"))</f>
        <v/>
      </c>
    </row>
    <row r="301" customFormat="false" ht="13.5" hidden="false" customHeight="false" outlineLevel="0" collapsed="false">
      <c r="A301" s="1" t="str">
        <f aca="false">IF($C301="","",Controls!$B$7)</f>
        <v/>
      </c>
      <c r="B301" s="1" t="str">
        <f aca="false">IF($H301="","",YEAR($H301)&amp;"-Q"&amp;ROUNDUP(MONTH($H301)/3,0))</f>
        <v/>
      </c>
      <c r="S301" s="1" t="str">
        <f aca="false">IF($C301="","",$C301&amp;"|"&amp;$E301&amp;"|"&amp;$F301&amp;"|"&amp;$L301&amp;"|"&amp;$P301&amp;"|"&amp;TEXT($H301,"yyyy-mm-dd"))</f>
        <v/>
      </c>
      <c r="T301" s="1" t="str">
        <f aca="false">IF($S301="","",IF(COUNTIF($S$2:$S$2991,$S301)&gt;1,"DUPLICATE","OK"))</f>
        <v/>
      </c>
      <c r="U301" s="0" t="str">
        <f aca="false">IF($L301="","",IFERROR(VLOOKUP(--$L301,MM_Income!$Z$5:$AC$204,3,FALSE()),"UNMAPPED"))</f>
        <v/>
      </c>
    </row>
    <row r="302" customFormat="false" ht="13.5" hidden="false" customHeight="false" outlineLevel="0" collapsed="false">
      <c r="A302" s="1" t="str">
        <f aca="false">IF($C302="","",Controls!$B$7)</f>
        <v/>
      </c>
      <c r="B302" s="1" t="str">
        <f aca="false">IF($H302="","",YEAR($H302)&amp;"-Q"&amp;ROUNDUP(MONTH($H302)/3,0))</f>
        <v/>
      </c>
      <c r="S302" s="1" t="str">
        <f aca="false">IF($C302="","",$C302&amp;"|"&amp;$E302&amp;"|"&amp;$F302&amp;"|"&amp;$L302&amp;"|"&amp;$P302&amp;"|"&amp;TEXT($H302,"yyyy-mm-dd"))</f>
        <v/>
      </c>
      <c r="T302" s="1" t="str">
        <f aca="false">IF($S302="","",IF(COUNTIF($S$2:$S$2991,$S302)&gt;1,"DUPLICATE","OK"))</f>
        <v/>
      </c>
      <c r="U302" s="0" t="str">
        <f aca="false">IF($L302="","",IFERROR(VLOOKUP(--$L302,MM_Income!$Z$5:$AC$204,3,FALSE()),"UNMAPPED"))</f>
        <v/>
      </c>
    </row>
    <row r="303" customFormat="false" ht="13.5" hidden="false" customHeight="false" outlineLevel="0" collapsed="false">
      <c r="A303" s="1" t="str">
        <f aca="false">IF($C303="","",Controls!$B$7)</f>
        <v/>
      </c>
      <c r="B303" s="1" t="str">
        <f aca="false">IF($H303="","",YEAR($H303)&amp;"-Q"&amp;ROUNDUP(MONTH($H303)/3,0))</f>
        <v/>
      </c>
      <c r="S303" s="1" t="str">
        <f aca="false">IF($C303="","",$C303&amp;"|"&amp;$E303&amp;"|"&amp;$F303&amp;"|"&amp;$L303&amp;"|"&amp;$P303&amp;"|"&amp;TEXT($H303,"yyyy-mm-dd"))</f>
        <v/>
      </c>
      <c r="T303" s="1" t="str">
        <f aca="false">IF($S303="","",IF(COUNTIF($S$2:$S$2991,$S303)&gt;1,"DUPLICATE","OK"))</f>
        <v/>
      </c>
      <c r="U303" s="0" t="str">
        <f aca="false">IF($L303="","",IFERROR(VLOOKUP(--$L303,MM_Income!$Z$5:$AC$204,3,FALSE()),"UNMAPPED"))</f>
        <v/>
      </c>
    </row>
    <row r="304" customFormat="false" ht="13.5" hidden="false" customHeight="false" outlineLevel="0" collapsed="false">
      <c r="A304" s="1" t="str">
        <f aca="false">IF($C304="","",Controls!$B$7)</f>
        <v/>
      </c>
      <c r="B304" s="1" t="str">
        <f aca="false">IF($H304="","",YEAR($H304)&amp;"-Q"&amp;ROUNDUP(MONTH($H304)/3,0))</f>
        <v/>
      </c>
      <c r="S304" s="1" t="str">
        <f aca="false">IF($C304="","",$C304&amp;"|"&amp;$E304&amp;"|"&amp;$F304&amp;"|"&amp;$L304&amp;"|"&amp;$P304&amp;"|"&amp;TEXT($H304,"yyyy-mm-dd"))</f>
        <v/>
      </c>
      <c r="T304" s="1" t="str">
        <f aca="false">IF($S304="","",IF(COUNTIF($S$2:$S$2991,$S304)&gt;1,"DUPLICATE","OK"))</f>
        <v/>
      </c>
      <c r="U304" s="0" t="str">
        <f aca="false">IF($L304="","",IFERROR(VLOOKUP(--$L304,MM_Income!$Z$5:$AC$204,3,FALSE()),"UNMAPPED"))</f>
        <v/>
      </c>
    </row>
    <row r="305" customFormat="false" ht="13.5" hidden="false" customHeight="false" outlineLevel="0" collapsed="false">
      <c r="A305" s="1" t="str">
        <f aca="false">IF($C305="","",Controls!$B$7)</f>
        <v/>
      </c>
      <c r="B305" s="1" t="str">
        <f aca="false">IF($H305="","",YEAR($H305)&amp;"-Q"&amp;ROUNDUP(MONTH($H305)/3,0))</f>
        <v/>
      </c>
      <c r="S305" s="1" t="str">
        <f aca="false">IF($C305="","",$C305&amp;"|"&amp;$E305&amp;"|"&amp;$F305&amp;"|"&amp;$L305&amp;"|"&amp;$P305&amp;"|"&amp;TEXT($H305,"yyyy-mm-dd"))</f>
        <v/>
      </c>
      <c r="T305" s="1" t="str">
        <f aca="false">IF($S305="","",IF(COUNTIF($S$2:$S$2991,$S305)&gt;1,"DUPLICATE","OK"))</f>
        <v/>
      </c>
      <c r="U305" s="0" t="str">
        <f aca="false">IF($L305="","",IFERROR(VLOOKUP(--$L305,MM_Income!$Z$5:$AC$204,3,FALSE()),"UNMAPPED"))</f>
        <v/>
      </c>
    </row>
    <row r="306" customFormat="false" ht="13.5" hidden="false" customHeight="false" outlineLevel="0" collapsed="false">
      <c r="A306" s="1" t="str">
        <f aca="false">IF($C306="","",Controls!$B$7)</f>
        <v/>
      </c>
      <c r="B306" s="1" t="str">
        <f aca="false">IF($H306="","",YEAR($H306)&amp;"-Q"&amp;ROUNDUP(MONTH($H306)/3,0))</f>
        <v/>
      </c>
      <c r="S306" s="1" t="str">
        <f aca="false">IF($C306="","",$C306&amp;"|"&amp;$E306&amp;"|"&amp;$F306&amp;"|"&amp;$L306&amp;"|"&amp;$P306&amp;"|"&amp;TEXT($H306,"yyyy-mm-dd"))</f>
        <v/>
      </c>
      <c r="T306" s="1" t="str">
        <f aca="false">IF($S306="","",IF(COUNTIF($S$2:$S$2991,$S306)&gt;1,"DUPLICATE","OK"))</f>
        <v/>
      </c>
      <c r="U306" s="0" t="str">
        <f aca="false">IF($L306="","",IFERROR(VLOOKUP(--$L306,MM_Income!$Z$5:$AC$204,3,FALSE()),"UNMAPPED"))</f>
        <v/>
      </c>
    </row>
    <row r="307" customFormat="false" ht="13.5" hidden="false" customHeight="false" outlineLevel="0" collapsed="false">
      <c r="A307" s="1" t="str">
        <f aca="false">IF($C307="","",Controls!$B$7)</f>
        <v/>
      </c>
      <c r="B307" s="1" t="str">
        <f aca="false">IF($H307="","",YEAR($H307)&amp;"-Q"&amp;ROUNDUP(MONTH($H307)/3,0))</f>
        <v/>
      </c>
      <c r="S307" s="1" t="str">
        <f aca="false">IF($C307="","",$C307&amp;"|"&amp;$E307&amp;"|"&amp;$F307&amp;"|"&amp;$L307&amp;"|"&amp;$P307&amp;"|"&amp;TEXT($H307,"yyyy-mm-dd"))</f>
        <v/>
      </c>
      <c r="T307" s="1" t="str">
        <f aca="false">IF($S307="","",IF(COUNTIF($S$2:$S$2991,$S307)&gt;1,"DUPLICATE","OK"))</f>
        <v/>
      </c>
      <c r="U307" s="0" t="str">
        <f aca="false">IF($L307="","",IFERROR(VLOOKUP(--$L307,MM_Income!$Z$5:$AC$204,3,FALSE()),"UNMAPPED"))</f>
        <v/>
      </c>
    </row>
    <row r="308" customFormat="false" ht="13.5" hidden="false" customHeight="false" outlineLevel="0" collapsed="false">
      <c r="A308" s="1" t="str">
        <f aca="false">IF($C308="","",Controls!$B$7)</f>
        <v/>
      </c>
      <c r="B308" s="1" t="str">
        <f aca="false">IF($H308="","",YEAR($H308)&amp;"-Q"&amp;ROUNDUP(MONTH($H308)/3,0))</f>
        <v/>
      </c>
      <c r="S308" s="1" t="str">
        <f aca="false">IF($C308="","",$C308&amp;"|"&amp;$E308&amp;"|"&amp;$F308&amp;"|"&amp;$L308&amp;"|"&amp;$P308&amp;"|"&amp;TEXT($H308,"yyyy-mm-dd"))</f>
        <v/>
      </c>
      <c r="T308" s="1" t="str">
        <f aca="false">IF($S308="","",IF(COUNTIF($S$2:$S$2991,$S308)&gt;1,"DUPLICATE","OK"))</f>
        <v/>
      </c>
      <c r="U308" s="0" t="str">
        <f aca="false">IF($L308="","",IFERROR(VLOOKUP(--$L308,MM_Income!$Z$5:$AC$204,3,FALSE()),"UNMAPPED"))</f>
        <v/>
      </c>
    </row>
    <row r="309" customFormat="false" ht="13.5" hidden="false" customHeight="false" outlineLevel="0" collapsed="false">
      <c r="A309" s="1" t="str">
        <f aca="false">IF($C309="","",Controls!$B$7)</f>
        <v/>
      </c>
      <c r="B309" s="1" t="str">
        <f aca="false">IF($H309="","",YEAR($H309)&amp;"-Q"&amp;ROUNDUP(MONTH($H309)/3,0))</f>
        <v/>
      </c>
      <c r="S309" s="1" t="str">
        <f aca="false">IF($C309="","",$C309&amp;"|"&amp;$E309&amp;"|"&amp;$F309&amp;"|"&amp;$L309&amp;"|"&amp;$P309&amp;"|"&amp;TEXT($H309,"yyyy-mm-dd"))</f>
        <v/>
      </c>
      <c r="T309" s="1" t="str">
        <f aca="false">IF($S309="","",IF(COUNTIF($S$2:$S$2991,$S309)&gt;1,"DUPLICATE","OK"))</f>
        <v/>
      </c>
      <c r="U309" s="0" t="str">
        <f aca="false">IF($L309="","",IFERROR(VLOOKUP(--$L309,MM_Income!$Z$5:$AC$204,3,FALSE()),"UNMAPPED"))</f>
        <v/>
      </c>
    </row>
    <row r="310" customFormat="false" ht="13.5" hidden="false" customHeight="false" outlineLevel="0" collapsed="false">
      <c r="A310" s="1" t="str">
        <f aca="false">IF($C310="","",Controls!$B$7)</f>
        <v/>
      </c>
      <c r="B310" s="1" t="str">
        <f aca="false">IF($H310="","",YEAR($H310)&amp;"-Q"&amp;ROUNDUP(MONTH($H310)/3,0))</f>
        <v/>
      </c>
      <c r="S310" s="1" t="str">
        <f aca="false">IF($C310="","",$C310&amp;"|"&amp;$E310&amp;"|"&amp;$F310&amp;"|"&amp;$L310&amp;"|"&amp;$P310&amp;"|"&amp;TEXT($H310,"yyyy-mm-dd"))</f>
        <v/>
      </c>
      <c r="T310" s="1" t="str">
        <f aca="false">IF($S310="","",IF(COUNTIF($S$2:$S$2991,$S310)&gt;1,"DUPLICATE","OK"))</f>
        <v/>
      </c>
      <c r="U310" s="0" t="str">
        <f aca="false">IF($L310="","",IFERROR(VLOOKUP(--$L310,MM_Income!$Z$5:$AC$204,3,FALSE()),"UNMAPPED"))</f>
        <v/>
      </c>
    </row>
    <row r="311" customFormat="false" ht="13.5" hidden="false" customHeight="false" outlineLevel="0" collapsed="false">
      <c r="A311" s="1" t="str">
        <f aca="false">IF($C311="","",Controls!$B$7)</f>
        <v/>
      </c>
      <c r="B311" s="1" t="str">
        <f aca="false">IF($H311="","",YEAR($H311)&amp;"-Q"&amp;ROUNDUP(MONTH($H311)/3,0))</f>
        <v/>
      </c>
      <c r="S311" s="1" t="str">
        <f aca="false">IF($C311="","",$C311&amp;"|"&amp;$E311&amp;"|"&amp;$F311&amp;"|"&amp;$L311&amp;"|"&amp;$P311&amp;"|"&amp;TEXT($H311,"yyyy-mm-dd"))</f>
        <v/>
      </c>
      <c r="T311" s="1" t="str">
        <f aca="false">IF($S311="","",IF(COUNTIF($S$2:$S$2991,$S311)&gt;1,"DUPLICATE","OK"))</f>
        <v/>
      </c>
      <c r="U311" s="0" t="str">
        <f aca="false">IF($L311="","",IFERROR(VLOOKUP(--$L311,MM_Income!$Z$5:$AC$204,3,FALSE()),"UNMAPPED"))</f>
        <v/>
      </c>
    </row>
    <row r="312" customFormat="false" ht="13.5" hidden="false" customHeight="false" outlineLevel="0" collapsed="false">
      <c r="A312" s="1" t="str">
        <f aca="false">IF($C312="","",Controls!$B$7)</f>
        <v/>
      </c>
      <c r="B312" s="1" t="str">
        <f aca="false">IF($H312="","",YEAR($H312)&amp;"-Q"&amp;ROUNDUP(MONTH($H312)/3,0))</f>
        <v/>
      </c>
      <c r="S312" s="1" t="str">
        <f aca="false">IF($C312="","",$C312&amp;"|"&amp;$E312&amp;"|"&amp;$F312&amp;"|"&amp;$L312&amp;"|"&amp;$P312&amp;"|"&amp;TEXT($H312,"yyyy-mm-dd"))</f>
        <v/>
      </c>
      <c r="T312" s="1" t="str">
        <f aca="false">IF($S312="","",IF(COUNTIF($S$2:$S$2991,$S312)&gt;1,"DUPLICATE","OK"))</f>
        <v/>
      </c>
      <c r="U312" s="0" t="str">
        <f aca="false">IF($L312="","",IFERROR(VLOOKUP(--$L312,MM_Income!$Z$5:$AC$204,3,FALSE()),"UNMAPPED"))</f>
        <v/>
      </c>
    </row>
    <row r="313" customFormat="false" ht="13.5" hidden="false" customHeight="false" outlineLevel="0" collapsed="false">
      <c r="A313" s="1" t="str">
        <f aca="false">IF($C313="","",Controls!$B$7)</f>
        <v/>
      </c>
      <c r="B313" s="1" t="str">
        <f aca="false">IF($H313="","",YEAR($H313)&amp;"-Q"&amp;ROUNDUP(MONTH($H313)/3,0))</f>
        <v/>
      </c>
      <c r="S313" s="1" t="str">
        <f aca="false">IF($C313="","",$C313&amp;"|"&amp;$E313&amp;"|"&amp;$F313&amp;"|"&amp;$L313&amp;"|"&amp;$P313&amp;"|"&amp;TEXT($H313,"yyyy-mm-dd"))</f>
        <v/>
      </c>
      <c r="T313" s="1" t="str">
        <f aca="false">IF($S313="","",IF(COUNTIF($S$2:$S$2991,$S313)&gt;1,"DUPLICATE","OK"))</f>
        <v/>
      </c>
      <c r="U313" s="0" t="str">
        <f aca="false">IF($L313="","",IFERROR(VLOOKUP(--$L313,MM_Income!$Z$5:$AC$204,3,FALSE()),"UNMAPPED"))</f>
        <v/>
      </c>
    </row>
    <row r="314" customFormat="false" ht="13.5" hidden="false" customHeight="false" outlineLevel="0" collapsed="false">
      <c r="A314" s="1" t="str">
        <f aca="false">IF($C314="","",Controls!$B$7)</f>
        <v/>
      </c>
      <c r="B314" s="1" t="str">
        <f aca="false">IF($H314="","",YEAR($H314)&amp;"-Q"&amp;ROUNDUP(MONTH($H314)/3,0))</f>
        <v/>
      </c>
      <c r="S314" s="1" t="str">
        <f aca="false">IF($C314="","",$C314&amp;"|"&amp;$E314&amp;"|"&amp;$F314&amp;"|"&amp;$L314&amp;"|"&amp;$P314&amp;"|"&amp;TEXT($H314,"yyyy-mm-dd"))</f>
        <v/>
      </c>
      <c r="T314" s="1" t="str">
        <f aca="false">IF($S314="","",IF(COUNTIF($S$2:$S$2991,$S314)&gt;1,"DUPLICATE","OK"))</f>
        <v/>
      </c>
      <c r="U314" s="0" t="str">
        <f aca="false">IF($L314="","",IFERROR(VLOOKUP(--$L314,MM_Income!$Z$5:$AC$204,3,FALSE()),"UNMAPPED"))</f>
        <v/>
      </c>
    </row>
    <row r="315" customFormat="false" ht="13.5" hidden="false" customHeight="false" outlineLevel="0" collapsed="false">
      <c r="A315" s="1" t="str">
        <f aca="false">IF($C315="","",Controls!$B$7)</f>
        <v/>
      </c>
      <c r="B315" s="1" t="str">
        <f aca="false">IF($H315="","",YEAR($H315)&amp;"-Q"&amp;ROUNDUP(MONTH($H315)/3,0))</f>
        <v/>
      </c>
      <c r="S315" s="1" t="str">
        <f aca="false">IF($C315="","",$C315&amp;"|"&amp;$E315&amp;"|"&amp;$F315&amp;"|"&amp;$L315&amp;"|"&amp;$P315&amp;"|"&amp;TEXT($H315,"yyyy-mm-dd"))</f>
        <v/>
      </c>
      <c r="T315" s="1" t="str">
        <f aca="false">IF($S315="","",IF(COUNTIF($S$2:$S$2991,$S315)&gt;1,"DUPLICATE","OK"))</f>
        <v/>
      </c>
      <c r="U315" s="0" t="str">
        <f aca="false">IF($L315="","",IFERROR(VLOOKUP(--$L315,MM_Income!$Z$5:$AC$204,3,FALSE()),"UNMAPPED"))</f>
        <v/>
      </c>
    </row>
    <row r="316" customFormat="false" ht="13.5" hidden="false" customHeight="false" outlineLevel="0" collapsed="false">
      <c r="A316" s="1" t="str">
        <f aca="false">IF($C316="","",Controls!$B$7)</f>
        <v/>
      </c>
      <c r="B316" s="1" t="str">
        <f aca="false">IF($H316="","",YEAR($H316)&amp;"-Q"&amp;ROUNDUP(MONTH($H316)/3,0))</f>
        <v/>
      </c>
      <c r="S316" s="1" t="str">
        <f aca="false">IF($C316="","",$C316&amp;"|"&amp;$E316&amp;"|"&amp;$F316&amp;"|"&amp;$L316&amp;"|"&amp;$P316&amp;"|"&amp;TEXT($H316,"yyyy-mm-dd"))</f>
        <v/>
      </c>
      <c r="T316" s="1" t="str">
        <f aca="false">IF($S316="","",IF(COUNTIF($S$2:$S$2991,$S316)&gt;1,"DUPLICATE","OK"))</f>
        <v/>
      </c>
      <c r="U316" s="0" t="str">
        <f aca="false">IF($L316="","",IFERROR(VLOOKUP(--$L316,MM_Income!$Z$5:$AC$204,3,FALSE()),"UNMAPPED"))</f>
        <v/>
      </c>
    </row>
    <row r="317" customFormat="false" ht="13.5" hidden="false" customHeight="false" outlineLevel="0" collapsed="false">
      <c r="A317" s="1" t="str">
        <f aca="false">IF($C317="","",Controls!$B$7)</f>
        <v/>
      </c>
      <c r="B317" s="1" t="str">
        <f aca="false">IF($H317="","",YEAR($H317)&amp;"-Q"&amp;ROUNDUP(MONTH($H317)/3,0))</f>
        <v/>
      </c>
      <c r="S317" s="1" t="str">
        <f aca="false">IF($C317="","",$C317&amp;"|"&amp;$E317&amp;"|"&amp;$F317&amp;"|"&amp;$L317&amp;"|"&amp;$P317&amp;"|"&amp;TEXT($H317,"yyyy-mm-dd"))</f>
        <v/>
      </c>
      <c r="T317" s="1" t="str">
        <f aca="false">IF($S317="","",IF(COUNTIF($S$2:$S$2991,$S317)&gt;1,"DUPLICATE","OK"))</f>
        <v/>
      </c>
      <c r="U317" s="0" t="str">
        <f aca="false">IF($L317="","",IFERROR(VLOOKUP(--$L317,MM_Income!$Z$5:$AC$204,3,FALSE()),"UNMAPPED"))</f>
        <v/>
      </c>
    </row>
    <row r="318" customFormat="false" ht="13.5" hidden="false" customHeight="false" outlineLevel="0" collapsed="false">
      <c r="A318" s="1" t="str">
        <f aca="false">IF($C318="","",Controls!$B$7)</f>
        <v/>
      </c>
      <c r="B318" s="1" t="str">
        <f aca="false">IF($H318="","",YEAR($H318)&amp;"-Q"&amp;ROUNDUP(MONTH($H318)/3,0))</f>
        <v/>
      </c>
      <c r="S318" s="1" t="str">
        <f aca="false">IF($C318="","",$C318&amp;"|"&amp;$E318&amp;"|"&amp;$F318&amp;"|"&amp;$L318&amp;"|"&amp;$P318&amp;"|"&amp;TEXT($H318,"yyyy-mm-dd"))</f>
        <v/>
      </c>
      <c r="T318" s="1" t="str">
        <f aca="false">IF($S318="","",IF(COUNTIF($S$2:$S$2991,$S318)&gt;1,"DUPLICATE","OK"))</f>
        <v/>
      </c>
      <c r="U318" s="0" t="str">
        <f aca="false">IF($L318="","",IFERROR(VLOOKUP(--$L318,MM_Income!$Z$5:$AC$204,3,FALSE()),"UNMAPPED"))</f>
        <v/>
      </c>
    </row>
    <row r="319" customFormat="false" ht="13.5" hidden="false" customHeight="false" outlineLevel="0" collapsed="false">
      <c r="A319" s="1" t="str">
        <f aca="false">IF($C319="","",Controls!$B$7)</f>
        <v/>
      </c>
      <c r="B319" s="1" t="str">
        <f aca="false">IF($H319="","",YEAR($H319)&amp;"-Q"&amp;ROUNDUP(MONTH($H319)/3,0))</f>
        <v/>
      </c>
      <c r="S319" s="1" t="str">
        <f aca="false">IF($C319="","",$C319&amp;"|"&amp;$E319&amp;"|"&amp;$F319&amp;"|"&amp;$L319&amp;"|"&amp;$P319&amp;"|"&amp;TEXT($H319,"yyyy-mm-dd"))</f>
        <v/>
      </c>
      <c r="T319" s="1" t="str">
        <f aca="false">IF($S319="","",IF(COUNTIF($S$2:$S$2991,$S319)&gt;1,"DUPLICATE","OK"))</f>
        <v/>
      </c>
      <c r="U319" s="0" t="str">
        <f aca="false">IF($L319="","",IFERROR(VLOOKUP(--$L319,MM_Income!$Z$5:$AC$204,3,FALSE()),"UNMAPPED"))</f>
        <v/>
      </c>
    </row>
    <row r="320" customFormat="false" ht="13.5" hidden="false" customHeight="false" outlineLevel="0" collapsed="false">
      <c r="A320" s="1" t="str">
        <f aca="false">IF($C320="","",Controls!$B$7)</f>
        <v/>
      </c>
      <c r="B320" s="1" t="str">
        <f aca="false">IF($H320="","",YEAR($H320)&amp;"-Q"&amp;ROUNDUP(MONTH($H320)/3,0))</f>
        <v/>
      </c>
      <c r="S320" s="1" t="str">
        <f aca="false">IF($C320="","",$C320&amp;"|"&amp;$E320&amp;"|"&amp;$F320&amp;"|"&amp;$L320&amp;"|"&amp;$P320&amp;"|"&amp;TEXT($H320,"yyyy-mm-dd"))</f>
        <v/>
      </c>
      <c r="T320" s="1" t="str">
        <f aca="false">IF($S320="","",IF(COUNTIF($S$2:$S$2991,$S320)&gt;1,"DUPLICATE","OK"))</f>
        <v/>
      </c>
      <c r="U320" s="0" t="str">
        <f aca="false">IF($L320="","",IFERROR(VLOOKUP(--$L320,MM_Income!$Z$5:$AC$204,3,FALSE()),"UNMAPPED"))</f>
        <v/>
      </c>
    </row>
    <row r="321" customFormat="false" ht="13.5" hidden="false" customHeight="false" outlineLevel="0" collapsed="false">
      <c r="A321" s="1" t="str">
        <f aca="false">IF($C321="","",Controls!$B$7)</f>
        <v/>
      </c>
      <c r="B321" s="1" t="str">
        <f aca="false">IF($H321="","",YEAR($H321)&amp;"-Q"&amp;ROUNDUP(MONTH($H321)/3,0))</f>
        <v/>
      </c>
      <c r="S321" s="1" t="str">
        <f aca="false">IF($C321="","",$C321&amp;"|"&amp;$E321&amp;"|"&amp;$F321&amp;"|"&amp;$L321&amp;"|"&amp;$P321&amp;"|"&amp;TEXT($H321,"yyyy-mm-dd"))</f>
        <v/>
      </c>
      <c r="T321" s="1" t="str">
        <f aca="false">IF($S321="","",IF(COUNTIF($S$2:$S$2991,$S321)&gt;1,"DUPLICATE","OK"))</f>
        <v/>
      </c>
      <c r="U321" s="0" t="str">
        <f aca="false">IF($L321="","",IFERROR(VLOOKUP(--$L321,MM_Income!$Z$5:$AC$204,3,FALSE()),"UNMAPPED"))</f>
        <v/>
      </c>
    </row>
    <row r="322" customFormat="false" ht="13.5" hidden="false" customHeight="false" outlineLevel="0" collapsed="false">
      <c r="A322" s="1" t="str">
        <f aca="false">IF($C322="","",Controls!$B$7)</f>
        <v/>
      </c>
      <c r="B322" s="1" t="str">
        <f aca="false">IF($H322="","",YEAR($H322)&amp;"-Q"&amp;ROUNDUP(MONTH($H322)/3,0))</f>
        <v/>
      </c>
      <c r="S322" s="1" t="str">
        <f aca="false">IF($C322="","",$C322&amp;"|"&amp;$E322&amp;"|"&amp;$F322&amp;"|"&amp;$L322&amp;"|"&amp;$P322&amp;"|"&amp;TEXT($H322,"yyyy-mm-dd"))</f>
        <v/>
      </c>
      <c r="T322" s="1" t="str">
        <f aca="false">IF($S322="","",IF(COUNTIF($S$2:$S$2991,$S322)&gt;1,"DUPLICATE","OK"))</f>
        <v/>
      </c>
      <c r="U322" s="0" t="str">
        <f aca="false">IF($L322="","",IFERROR(VLOOKUP(--$L322,MM_Income!$Z$5:$AC$204,3,FALSE()),"UNMAPPED"))</f>
        <v/>
      </c>
    </row>
    <row r="323" customFormat="false" ht="13.5" hidden="false" customHeight="false" outlineLevel="0" collapsed="false">
      <c r="A323" s="1" t="str">
        <f aca="false">IF($C323="","",Controls!$B$7)</f>
        <v/>
      </c>
      <c r="B323" s="1" t="str">
        <f aca="false">IF($H323="","",YEAR($H323)&amp;"-Q"&amp;ROUNDUP(MONTH($H323)/3,0))</f>
        <v/>
      </c>
      <c r="S323" s="1" t="str">
        <f aca="false">IF($C323="","",$C323&amp;"|"&amp;$E323&amp;"|"&amp;$F323&amp;"|"&amp;$L323&amp;"|"&amp;$P323&amp;"|"&amp;TEXT($H323,"yyyy-mm-dd"))</f>
        <v/>
      </c>
      <c r="T323" s="1" t="str">
        <f aca="false">IF($S323="","",IF(COUNTIF($S$2:$S$2991,$S323)&gt;1,"DUPLICATE","OK"))</f>
        <v/>
      </c>
      <c r="U323" s="0" t="str">
        <f aca="false">IF($L323="","",IFERROR(VLOOKUP(--$L323,MM_Income!$Z$5:$AC$204,3,FALSE()),"UNMAPPED"))</f>
        <v/>
      </c>
    </row>
    <row r="324" customFormat="false" ht="13.5" hidden="false" customHeight="false" outlineLevel="0" collapsed="false">
      <c r="A324" s="1" t="str">
        <f aca="false">IF($C324="","",Controls!$B$7)</f>
        <v/>
      </c>
      <c r="B324" s="1" t="str">
        <f aca="false">IF($H324="","",YEAR($H324)&amp;"-Q"&amp;ROUNDUP(MONTH($H324)/3,0))</f>
        <v/>
      </c>
      <c r="S324" s="1" t="str">
        <f aca="false">IF($C324="","",$C324&amp;"|"&amp;$E324&amp;"|"&amp;$F324&amp;"|"&amp;$L324&amp;"|"&amp;$P324&amp;"|"&amp;TEXT($H324,"yyyy-mm-dd"))</f>
        <v/>
      </c>
      <c r="T324" s="1" t="str">
        <f aca="false">IF($S324="","",IF(COUNTIF($S$2:$S$2991,$S324)&gt;1,"DUPLICATE","OK"))</f>
        <v/>
      </c>
      <c r="U324" s="0" t="str">
        <f aca="false">IF($L324="","",IFERROR(VLOOKUP(--$L324,MM_Income!$Z$5:$AC$204,3,FALSE()),"UNMAPPED"))</f>
        <v/>
      </c>
    </row>
    <row r="325" customFormat="false" ht="13.5" hidden="false" customHeight="false" outlineLevel="0" collapsed="false">
      <c r="A325" s="1" t="str">
        <f aca="false">IF($C325="","",Controls!$B$7)</f>
        <v/>
      </c>
      <c r="B325" s="1" t="str">
        <f aca="false">IF($H325="","",YEAR($H325)&amp;"-Q"&amp;ROUNDUP(MONTH($H325)/3,0))</f>
        <v/>
      </c>
      <c r="S325" s="1" t="str">
        <f aca="false">IF($C325="","",$C325&amp;"|"&amp;$E325&amp;"|"&amp;$F325&amp;"|"&amp;$L325&amp;"|"&amp;$P325&amp;"|"&amp;TEXT($H325,"yyyy-mm-dd"))</f>
        <v/>
      </c>
      <c r="T325" s="1" t="str">
        <f aca="false">IF($S325="","",IF(COUNTIF($S$2:$S$2991,$S325)&gt;1,"DUPLICATE","OK"))</f>
        <v/>
      </c>
      <c r="U325" s="0" t="str">
        <f aca="false">IF($L325="","",IFERROR(VLOOKUP(--$L325,MM_Income!$Z$5:$AC$204,3,FALSE()),"UNMAPPED"))</f>
        <v/>
      </c>
    </row>
    <row r="326" customFormat="false" ht="13.5" hidden="false" customHeight="false" outlineLevel="0" collapsed="false">
      <c r="A326" s="1" t="str">
        <f aca="false">IF($C326="","",Controls!$B$7)</f>
        <v/>
      </c>
      <c r="B326" s="1" t="str">
        <f aca="false">IF($H326="","",YEAR($H326)&amp;"-Q"&amp;ROUNDUP(MONTH($H326)/3,0))</f>
        <v/>
      </c>
      <c r="S326" s="1" t="str">
        <f aca="false">IF($C326="","",$C326&amp;"|"&amp;$E326&amp;"|"&amp;$F326&amp;"|"&amp;$L326&amp;"|"&amp;$P326&amp;"|"&amp;TEXT($H326,"yyyy-mm-dd"))</f>
        <v/>
      </c>
      <c r="T326" s="1" t="str">
        <f aca="false">IF($S326="","",IF(COUNTIF($S$2:$S$2991,$S326)&gt;1,"DUPLICATE","OK"))</f>
        <v/>
      </c>
      <c r="U326" s="0" t="str">
        <f aca="false">IF($L326="","",IFERROR(VLOOKUP(--$L326,MM_Income!$Z$5:$AC$204,3,FALSE()),"UNMAPPED"))</f>
        <v/>
      </c>
    </row>
    <row r="327" customFormat="false" ht="13.5" hidden="false" customHeight="false" outlineLevel="0" collapsed="false">
      <c r="A327" s="1" t="str">
        <f aca="false">IF($C327="","",Controls!$B$7)</f>
        <v/>
      </c>
      <c r="B327" s="1" t="str">
        <f aca="false">IF($H327="","",YEAR($H327)&amp;"-Q"&amp;ROUNDUP(MONTH($H327)/3,0))</f>
        <v/>
      </c>
      <c r="S327" s="1" t="str">
        <f aca="false">IF($C327="","",$C327&amp;"|"&amp;$E327&amp;"|"&amp;$F327&amp;"|"&amp;$L327&amp;"|"&amp;$P327&amp;"|"&amp;TEXT($H327,"yyyy-mm-dd"))</f>
        <v/>
      </c>
      <c r="T327" s="1" t="str">
        <f aca="false">IF($S327="","",IF(COUNTIF($S$2:$S$2991,$S327)&gt;1,"DUPLICATE","OK"))</f>
        <v/>
      </c>
      <c r="U327" s="0" t="str">
        <f aca="false">IF($L327="","",IFERROR(VLOOKUP(--$L327,MM_Income!$Z$5:$AC$204,3,FALSE()),"UNMAPPED"))</f>
        <v/>
      </c>
    </row>
    <row r="328" customFormat="false" ht="13.5" hidden="false" customHeight="false" outlineLevel="0" collapsed="false">
      <c r="A328" s="1" t="str">
        <f aca="false">IF($C328="","",Controls!$B$7)</f>
        <v/>
      </c>
      <c r="B328" s="1" t="str">
        <f aca="false">IF($H328="","",YEAR($H328)&amp;"-Q"&amp;ROUNDUP(MONTH($H328)/3,0))</f>
        <v/>
      </c>
      <c r="S328" s="1" t="str">
        <f aca="false">IF($C328="","",$C328&amp;"|"&amp;$E328&amp;"|"&amp;$F328&amp;"|"&amp;$L328&amp;"|"&amp;$P328&amp;"|"&amp;TEXT($H328,"yyyy-mm-dd"))</f>
        <v/>
      </c>
      <c r="T328" s="1" t="str">
        <f aca="false">IF($S328="","",IF(COUNTIF($S$2:$S$2991,$S328)&gt;1,"DUPLICATE","OK"))</f>
        <v/>
      </c>
      <c r="U328" s="0" t="str">
        <f aca="false">IF($L328="","",IFERROR(VLOOKUP(--$L328,MM_Income!$Z$5:$AC$204,3,FALSE()),"UNMAPPED"))</f>
        <v/>
      </c>
    </row>
    <row r="329" customFormat="false" ht="13.5" hidden="false" customHeight="false" outlineLevel="0" collapsed="false">
      <c r="A329" s="1" t="str">
        <f aca="false">IF($C329="","",Controls!$B$7)</f>
        <v/>
      </c>
      <c r="B329" s="1" t="str">
        <f aca="false">IF($H329="","",YEAR($H329)&amp;"-Q"&amp;ROUNDUP(MONTH($H329)/3,0))</f>
        <v/>
      </c>
      <c r="S329" s="1" t="str">
        <f aca="false">IF($C329="","",$C329&amp;"|"&amp;$E329&amp;"|"&amp;$F329&amp;"|"&amp;$L329&amp;"|"&amp;$P329&amp;"|"&amp;TEXT($H329,"yyyy-mm-dd"))</f>
        <v/>
      </c>
      <c r="T329" s="1" t="str">
        <f aca="false">IF($S329="","",IF(COUNTIF($S$2:$S$2991,$S329)&gt;1,"DUPLICATE","OK"))</f>
        <v/>
      </c>
      <c r="U329" s="0" t="str">
        <f aca="false">IF($L329="","",IFERROR(VLOOKUP(--$L329,MM_Income!$Z$5:$AC$204,3,FALSE()),"UNMAPPED"))</f>
        <v/>
      </c>
    </row>
    <row r="330" customFormat="false" ht="13.5" hidden="false" customHeight="false" outlineLevel="0" collapsed="false">
      <c r="A330" s="1" t="str">
        <f aca="false">IF($C330="","",Controls!$B$7)</f>
        <v/>
      </c>
      <c r="B330" s="1" t="str">
        <f aca="false">IF($H330="","",YEAR($H330)&amp;"-Q"&amp;ROUNDUP(MONTH($H330)/3,0))</f>
        <v/>
      </c>
      <c r="S330" s="1" t="str">
        <f aca="false">IF($C330="","",$C330&amp;"|"&amp;$E330&amp;"|"&amp;$F330&amp;"|"&amp;$L330&amp;"|"&amp;$P330&amp;"|"&amp;TEXT($H330,"yyyy-mm-dd"))</f>
        <v/>
      </c>
      <c r="T330" s="1" t="str">
        <f aca="false">IF($S330="","",IF(COUNTIF($S$2:$S$2991,$S330)&gt;1,"DUPLICATE","OK"))</f>
        <v/>
      </c>
      <c r="U330" s="0" t="str">
        <f aca="false">IF($L330="","",IFERROR(VLOOKUP(--$L330,MM_Income!$Z$5:$AC$204,3,FALSE()),"UNMAPPED"))</f>
        <v/>
      </c>
    </row>
    <row r="331" customFormat="false" ht="13.5" hidden="false" customHeight="false" outlineLevel="0" collapsed="false">
      <c r="A331" s="1" t="str">
        <f aca="false">IF($C331="","",Controls!$B$7)</f>
        <v/>
      </c>
      <c r="B331" s="1" t="str">
        <f aca="false">IF($H331="","",YEAR($H331)&amp;"-Q"&amp;ROUNDUP(MONTH($H331)/3,0))</f>
        <v/>
      </c>
      <c r="S331" s="1" t="str">
        <f aca="false">IF($C331="","",$C331&amp;"|"&amp;$E331&amp;"|"&amp;$F331&amp;"|"&amp;$L331&amp;"|"&amp;$P331&amp;"|"&amp;TEXT($H331,"yyyy-mm-dd"))</f>
        <v/>
      </c>
      <c r="T331" s="1" t="str">
        <f aca="false">IF($S331="","",IF(COUNTIF($S$2:$S$2991,$S331)&gt;1,"DUPLICATE","OK"))</f>
        <v/>
      </c>
      <c r="U331" s="0" t="str">
        <f aca="false">IF($L331="","",IFERROR(VLOOKUP(--$L331,MM_Income!$Z$5:$AC$204,3,FALSE()),"UNMAPPED"))</f>
        <v/>
      </c>
    </row>
    <row r="332" customFormat="false" ht="13.5" hidden="false" customHeight="false" outlineLevel="0" collapsed="false">
      <c r="A332" s="1" t="str">
        <f aca="false">IF($C332="","",Controls!$B$7)</f>
        <v/>
      </c>
      <c r="B332" s="1" t="str">
        <f aca="false">IF($H332="","",YEAR($H332)&amp;"-Q"&amp;ROUNDUP(MONTH($H332)/3,0))</f>
        <v/>
      </c>
      <c r="S332" s="1" t="str">
        <f aca="false">IF($C332="","",$C332&amp;"|"&amp;$E332&amp;"|"&amp;$F332&amp;"|"&amp;$L332&amp;"|"&amp;$P332&amp;"|"&amp;TEXT($H332,"yyyy-mm-dd"))</f>
        <v/>
      </c>
      <c r="T332" s="1" t="str">
        <f aca="false">IF($S332="","",IF(COUNTIF($S$2:$S$2991,$S332)&gt;1,"DUPLICATE","OK"))</f>
        <v/>
      </c>
      <c r="U332" s="0" t="str">
        <f aca="false">IF($L332="","",IFERROR(VLOOKUP(--$L332,MM_Income!$Z$5:$AC$204,3,FALSE()),"UNMAPPED"))</f>
        <v/>
      </c>
    </row>
    <row r="333" customFormat="false" ht="13.5" hidden="false" customHeight="false" outlineLevel="0" collapsed="false">
      <c r="A333" s="1" t="str">
        <f aca="false">IF($C333="","",Controls!$B$7)</f>
        <v/>
      </c>
      <c r="B333" s="1" t="str">
        <f aca="false">IF($H333="","",YEAR($H333)&amp;"-Q"&amp;ROUNDUP(MONTH($H333)/3,0))</f>
        <v/>
      </c>
      <c r="S333" s="1" t="str">
        <f aca="false">IF($C333="","",$C333&amp;"|"&amp;$E333&amp;"|"&amp;$F333&amp;"|"&amp;$L333&amp;"|"&amp;$P333&amp;"|"&amp;TEXT($H333,"yyyy-mm-dd"))</f>
        <v/>
      </c>
      <c r="T333" s="1" t="str">
        <f aca="false">IF($S333="","",IF(COUNTIF($S$2:$S$2991,$S333)&gt;1,"DUPLICATE","OK"))</f>
        <v/>
      </c>
      <c r="U333" s="0" t="str">
        <f aca="false">IF($L333="","",IFERROR(VLOOKUP(--$L333,MM_Income!$Z$5:$AC$204,3,FALSE()),"UNMAPPED"))</f>
        <v/>
      </c>
    </row>
    <row r="334" customFormat="false" ht="13.5" hidden="false" customHeight="false" outlineLevel="0" collapsed="false">
      <c r="A334" s="1" t="str">
        <f aca="false">IF($C334="","",Controls!$B$7)</f>
        <v/>
      </c>
      <c r="B334" s="1" t="str">
        <f aca="false">IF($H334="","",YEAR($H334)&amp;"-Q"&amp;ROUNDUP(MONTH($H334)/3,0))</f>
        <v/>
      </c>
      <c r="S334" s="1" t="str">
        <f aca="false">IF($C334="","",$C334&amp;"|"&amp;$E334&amp;"|"&amp;$F334&amp;"|"&amp;$L334&amp;"|"&amp;$P334&amp;"|"&amp;TEXT($H334,"yyyy-mm-dd"))</f>
        <v/>
      </c>
      <c r="T334" s="1" t="str">
        <f aca="false">IF($S334="","",IF(COUNTIF($S$2:$S$2991,$S334)&gt;1,"DUPLICATE","OK"))</f>
        <v/>
      </c>
      <c r="U334" s="0" t="str">
        <f aca="false">IF($L334="","",IFERROR(VLOOKUP(--$L334,MM_Income!$Z$5:$AC$204,3,FALSE()),"UNMAPPED"))</f>
        <v/>
      </c>
    </row>
    <row r="335" customFormat="false" ht="13.5" hidden="false" customHeight="false" outlineLevel="0" collapsed="false">
      <c r="A335" s="1" t="str">
        <f aca="false">IF($C335="","",Controls!$B$7)</f>
        <v/>
      </c>
      <c r="B335" s="1" t="str">
        <f aca="false">IF($H335="","",YEAR($H335)&amp;"-Q"&amp;ROUNDUP(MONTH($H335)/3,0))</f>
        <v/>
      </c>
      <c r="S335" s="1" t="str">
        <f aca="false">IF($C335="","",$C335&amp;"|"&amp;$E335&amp;"|"&amp;$F335&amp;"|"&amp;$L335&amp;"|"&amp;$P335&amp;"|"&amp;TEXT($H335,"yyyy-mm-dd"))</f>
        <v/>
      </c>
      <c r="T335" s="1" t="str">
        <f aca="false">IF($S335="","",IF(COUNTIF($S$2:$S$2991,$S335)&gt;1,"DUPLICATE","OK"))</f>
        <v/>
      </c>
      <c r="U335" s="0" t="str">
        <f aca="false">IF($L335="","",IFERROR(VLOOKUP(--$L335,MM_Income!$Z$5:$AC$204,3,FALSE()),"UNMAPPED"))</f>
        <v/>
      </c>
    </row>
    <row r="336" customFormat="false" ht="13.5" hidden="false" customHeight="false" outlineLevel="0" collapsed="false">
      <c r="A336" s="1" t="str">
        <f aca="false">IF($C336="","",Controls!$B$7)</f>
        <v/>
      </c>
      <c r="B336" s="1" t="str">
        <f aca="false">IF($H336="","",YEAR($H336)&amp;"-Q"&amp;ROUNDUP(MONTH($H336)/3,0))</f>
        <v/>
      </c>
      <c r="S336" s="1" t="str">
        <f aca="false">IF($C336="","",$C336&amp;"|"&amp;$E336&amp;"|"&amp;$F336&amp;"|"&amp;$L336&amp;"|"&amp;$P336&amp;"|"&amp;TEXT($H336,"yyyy-mm-dd"))</f>
        <v/>
      </c>
      <c r="T336" s="1" t="str">
        <f aca="false">IF($S336="","",IF(COUNTIF($S$2:$S$2991,$S336)&gt;1,"DUPLICATE","OK"))</f>
        <v/>
      </c>
      <c r="U336" s="0" t="str">
        <f aca="false">IF($L336="","",IFERROR(VLOOKUP(--$L336,MM_Income!$Z$5:$AC$204,3,FALSE()),"UNMAPPED"))</f>
        <v/>
      </c>
    </row>
    <row r="337" customFormat="false" ht="13.5" hidden="false" customHeight="false" outlineLevel="0" collapsed="false">
      <c r="A337" s="1" t="str">
        <f aca="false">IF($C337="","",Controls!$B$7)</f>
        <v/>
      </c>
      <c r="B337" s="1" t="str">
        <f aca="false">IF($H337="","",YEAR($H337)&amp;"-Q"&amp;ROUNDUP(MONTH($H337)/3,0))</f>
        <v/>
      </c>
      <c r="S337" s="1" t="str">
        <f aca="false">IF($C337="","",$C337&amp;"|"&amp;$E337&amp;"|"&amp;$F337&amp;"|"&amp;$L337&amp;"|"&amp;$P337&amp;"|"&amp;TEXT($H337,"yyyy-mm-dd"))</f>
        <v/>
      </c>
      <c r="T337" s="1" t="str">
        <f aca="false">IF($S337="","",IF(COUNTIF($S$2:$S$2991,$S337)&gt;1,"DUPLICATE","OK"))</f>
        <v/>
      </c>
      <c r="U337" s="0" t="str">
        <f aca="false">IF($L337="","",IFERROR(VLOOKUP(--$L337,MM_Income!$Z$5:$AC$204,3,FALSE()),"UNMAPPED"))</f>
        <v/>
      </c>
    </row>
    <row r="338" customFormat="false" ht="13.5" hidden="false" customHeight="false" outlineLevel="0" collapsed="false">
      <c r="A338" s="1" t="str">
        <f aca="false">IF($C338="","",Controls!$B$7)</f>
        <v/>
      </c>
      <c r="B338" s="1" t="str">
        <f aca="false">IF($H338="","",YEAR($H338)&amp;"-Q"&amp;ROUNDUP(MONTH($H338)/3,0))</f>
        <v/>
      </c>
      <c r="S338" s="1" t="str">
        <f aca="false">IF($C338="","",$C338&amp;"|"&amp;$E338&amp;"|"&amp;$F338&amp;"|"&amp;$L338&amp;"|"&amp;$P338&amp;"|"&amp;TEXT($H338,"yyyy-mm-dd"))</f>
        <v/>
      </c>
      <c r="T338" s="1" t="str">
        <f aca="false">IF($S338="","",IF(COUNTIF($S$2:$S$2991,$S338)&gt;1,"DUPLICATE","OK"))</f>
        <v/>
      </c>
      <c r="U338" s="0" t="str">
        <f aca="false">IF($L338="","",IFERROR(VLOOKUP(--$L338,MM_Income!$Z$5:$AC$204,3,FALSE()),"UNMAPPED"))</f>
        <v/>
      </c>
    </row>
    <row r="339" customFormat="false" ht="13.5" hidden="false" customHeight="false" outlineLevel="0" collapsed="false">
      <c r="A339" s="1" t="str">
        <f aca="false">IF($C339="","",Controls!$B$7)</f>
        <v/>
      </c>
      <c r="B339" s="1" t="str">
        <f aca="false">IF($H339="","",YEAR($H339)&amp;"-Q"&amp;ROUNDUP(MONTH($H339)/3,0))</f>
        <v/>
      </c>
      <c r="S339" s="1" t="str">
        <f aca="false">IF($C339="","",$C339&amp;"|"&amp;$E339&amp;"|"&amp;$F339&amp;"|"&amp;$L339&amp;"|"&amp;$P339&amp;"|"&amp;TEXT($H339,"yyyy-mm-dd"))</f>
        <v/>
      </c>
      <c r="T339" s="1" t="str">
        <f aca="false">IF($S339="","",IF(COUNTIF($S$2:$S$2991,$S339)&gt;1,"DUPLICATE","OK"))</f>
        <v/>
      </c>
      <c r="U339" s="0" t="str">
        <f aca="false">IF($L339="","",IFERROR(VLOOKUP(--$L339,MM_Income!$Z$5:$AC$204,3,FALSE()),"UNMAPPED"))</f>
        <v/>
      </c>
    </row>
    <row r="340" customFormat="false" ht="13.5" hidden="false" customHeight="false" outlineLevel="0" collapsed="false">
      <c r="A340" s="1" t="str">
        <f aca="false">IF($C340="","",Controls!$B$7)</f>
        <v/>
      </c>
      <c r="B340" s="1" t="str">
        <f aca="false">IF($H340="","",YEAR($H340)&amp;"-Q"&amp;ROUNDUP(MONTH($H340)/3,0))</f>
        <v/>
      </c>
      <c r="S340" s="1" t="str">
        <f aca="false">IF($C340="","",$C340&amp;"|"&amp;$E340&amp;"|"&amp;$F340&amp;"|"&amp;$L340&amp;"|"&amp;$P340&amp;"|"&amp;TEXT($H340,"yyyy-mm-dd"))</f>
        <v/>
      </c>
      <c r="T340" s="1" t="str">
        <f aca="false">IF($S340="","",IF(COUNTIF($S$2:$S$2991,$S340)&gt;1,"DUPLICATE","OK"))</f>
        <v/>
      </c>
      <c r="U340" s="0" t="str">
        <f aca="false">IF($L340="","",IFERROR(VLOOKUP(--$L340,MM_Income!$Z$5:$AC$204,3,FALSE()),"UNMAPPED"))</f>
        <v/>
      </c>
    </row>
    <row r="341" customFormat="false" ht="13.5" hidden="false" customHeight="false" outlineLevel="0" collapsed="false">
      <c r="A341" s="1" t="str">
        <f aca="false">IF($C341="","",Controls!$B$7)</f>
        <v/>
      </c>
      <c r="B341" s="1" t="str">
        <f aca="false">IF($H341="","",YEAR($H341)&amp;"-Q"&amp;ROUNDUP(MONTH($H341)/3,0))</f>
        <v/>
      </c>
      <c r="S341" s="1" t="str">
        <f aca="false">IF($C341="","",$C341&amp;"|"&amp;$E341&amp;"|"&amp;$F341&amp;"|"&amp;$L341&amp;"|"&amp;$P341&amp;"|"&amp;TEXT($H341,"yyyy-mm-dd"))</f>
        <v/>
      </c>
      <c r="T341" s="1" t="str">
        <f aca="false">IF($S341="","",IF(COUNTIF($S$2:$S$2991,$S341)&gt;1,"DUPLICATE","OK"))</f>
        <v/>
      </c>
      <c r="U341" s="0" t="str">
        <f aca="false">IF($L341="","",IFERROR(VLOOKUP(--$L341,MM_Income!$Z$5:$AC$204,3,FALSE()),"UNMAPPED"))</f>
        <v/>
      </c>
    </row>
    <row r="342" customFormat="false" ht="13.5" hidden="false" customHeight="false" outlineLevel="0" collapsed="false">
      <c r="A342" s="1" t="str">
        <f aca="false">IF($C342="","",Controls!$B$7)</f>
        <v/>
      </c>
      <c r="B342" s="1" t="str">
        <f aca="false">IF($H342="","",YEAR($H342)&amp;"-Q"&amp;ROUNDUP(MONTH($H342)/3,0))</f>
        <v/>
      </c>
      <c r="S342" s="1" t="str">
        <f aca="false">IF($C342="","",$C342&amp;"|"&amp;$E342&amp;"|"&amp;$F342&amp;"|"&amp;$L342&amp;"|"&amp;$P342&amp;"|"&amp;TEXT($H342,"yyyy-mm-dd"))</f>
        <v/>
      </c>
      <c r="T342" s="1" t="str">
        <f aca="false">IF($S342="","",IF(COUNTIF($S$2:$S$2991,$S342)&gt;1,"DUPLICATE","OK"))</f>
        <v/>
      </c>
      <c r="U342" s="0" t="str">
        <f aca="false">IF($L342="","",IFERROR(VLOOKUP(--$L342,MM_Income!$Z$5:$AC$204,3,FALSE()),"UNMAPPED"))</f>
        <v/>
      </c>
    </row>
    <row r="343" customFormat="false" ht="13.5" hidden="false" customHeight="false" outlineLevel="0" collapsed="false">
      <c r="A343" s="1" t="str">
        <f aca="false">IF($C343="","",Controls!$B$7)</f>
        <v/>
      </c>
      <c r="B343" s="1" t="str">
        <f aca="false">IF($H343="","",YEAR($H343)&amp;"-Q"&amp;ROUNDUP(MONTH($H343)/3,0))</f>
        <v/>
      </c>
      <c r="S343" s="1" t="str">
        <f aca="false">IF($C343="","",$C343&amp;"|"&amp;$E343&amp;"|"&amp;$F343&amp;"|"&amp;$L343&amp;"|"&amp;$P343&amp;"|"&amp;TEXT($H343,"yyyy-mm-dd"))</f>
        <v/>
      </c>
      <c r="T343" s="1" t="str">
        <f aca="false">IF($S343="","",IF(COUNTIF($S$2:$S$2991,$S343)&gt;1,"DUPLICATE","OK"))</f>
        <v/>
      </c>
      <c r="U343" s="0" t="str">
        <f aca="false">IF($L343="","",IFERROR(VLOOKUP(--$L343,MM_Income!$Z$5:$AC$204,3,FALSE()),"UNMAPPED"))</f>
        <v/>
      </c>
    </row>
    <row r="344" customFormat="false" ht="13.5" hidden="false" customHeight="false" outlineLevel="0" collapsed="false">
      <c r="A344" s="1" t="str">
        <f aca="false">IF($C344="","",Controls!$B$7)</f>
        <v/>
      </c>
      <c r="B344" s="1" t="str">
        <f aca="false">IF($H344="","",YEAR($H344)&amp;"-Q"&amp;ROUNDUP(MONTH($H344)/3,0))</f>
        <v/>
      </c>
      <c r="S344" s="1" t="str">
        <f aca="false">IF($C344="","",$C344&amp;"|"&amp;$E344&amp;"|"&amp;$F344&amp;"|"&amp;$L344&amp;"|"&amp;$P344&amp;"|"&amp;TEXT($H344,"yyyy-mm-dd"))</f>
        <v/>
      </c>
      <c r="T344" s="1" t="str">
        <f aca="false">IF($S344="","",IF(COUNTIF($S$2:$S$2991,$S344)&gt;1,"DUPLICATE","OK"))</f>
        <v/>
      </c>
      <c r="U344" s="0" t="str">
        <f aca="false">IF($L344="","",IFERROR(VLOOKUP(--$L344,MM_Income!$Z$5:$AC$204,3,FALSE()),"UNMAPPED"))</f>
        <v/>
      </c>
    </row>
    <row r="345" customFormat="false" ht="13.5" hidden="false" customHeight="false" outlineLevel="0" collapsed="false">
      <c r="A345" s="1" t="str">
        <f aca="false">IF($C345="","",Controls!$B$7)</f>
        <v/>
      </c>
      <c r="B345" s="1" t="str">
        <f aca="false">IF($H345="","",YEAR($H345)&amp;"-Q"&amp;ROUNDUP(MONTH($H345)/3,0))</f>
        <v/>
      </c>
      <c r="S345" s="1" t="str">
        <f aca="false">IF($C345="","",$C345&amp;"|"&amp;$E345&amp;"|"&amp;$F345&amp;"|"&amp;$L345&amp;"|"&amp;$P345&amp;"|"&amp;TEXT($H345,"yyyy-mm-dd"))</f>
        <v/>
      </c>
      <c r="T345" s="1" t="str">
        <f aca="false">IF($S345="","",IF(COUNTIF($S$2:$S$2991,$S345)&gt;1,"DUPLICATE","OK"))</f>
        <v/>
      </c>
      <c r="U345" s="0" t="str">
        <f aca="false">IF($L345="","",IFERROR(VLOOKUP(--$L345,MM_Income!$Z$5:$AC$204,3,FALSE()),"UNMAPPED"))</f>
        <v/>
      </c>
    </row>
    <row r="346" customFormat="false" ht="13.5" hidden="false" customHeight="false" outlineLevel="0" collapsed="false">
      <c r="A346" s="1" t="str">
        <f aca="false">IF($C346="","",Controls!$B$7)</f>
        <v/>
      </c>
      <c r="B346" s="1" t="str">
        <f aca="false">IF($H346="","",YEAR($H346)&amp;"-Q"&amp;ROUNDUP(MONTH($H346)/3,0))</f>
        <v/>
      </c>
      <c r="S346" s="1" t="str">
        <f aca="false">IF($C346="","",$C346&amp;"|"&amp;$E346&amp;"|"&amp;$F346&amp;"|"&amp;$L346&amp;"|"&amp;$P346&amp;"|"&amp;TEXT($H346,"yyyy-mm-dd"))</f>
        <v/>
      </c>
      <c r="T346" s="1" t="str">
        <f aca="false">IF($S346="","",IF(COUNTIF($S$2:$S$2991,$S346)&gt;1,"DUPLICATE","OK"))</f>
        <v/>
      </c>
      <c r="U346" s="0" t="str">
        <f aca="false">IF($L346="","",IFERROR(VLOOKUP(--$L346,MM_Income!$Z$5:$AC$204,3,FALSE()),"UNMAPPED"))</f>
        <v/>
      </c>
    </row>
    <row r="347" customFormat="false" ht="13.5" hidden="false" customHeight="false" outlineLevel="0" collapsed="false">
      <c r="A347" s="1" t="str">
        <f aca="false">IF($C347="","",Controls!$B$7)</f>
        <v/>
      </c>
      <c r="B347" s="1" t="str">
        <f aca="false">IF($H347="","",YEAR($H347)&amp;"-Q"&amp;ROUNDUP(MONTH($H347)/3,0))</f>
        <v/>
      </c>
      <c r="S347" s="1" t="str">
        <f aca="false">IF($C347="","",$C347&amp;"|"&amp;$E347&amp;"|"&amp;$F347&amp;"|"&amp;$L347&amp;"|"&amp;$P347&amp;"|"&amp;TEXT($H347,"yyyy-mm-dd"))</f>
        <v/>
      </c>
      <c r="T347" s="1" t="str">
        <f aca="false">IF($S347="","",IF(COUNTIF($S$2:$S$2991,$S347)&gt;1,"DUPLICATE","OK"))</f>
        <v/>
      </c>
      <c r="U347" s="0" t="str">
        <f aca="false">IF($L347="","",IFERROR(VLOOKUP(--$L347,MM_Income!$Z$5:$AC$204,3,FALSE()),"UNMAPPED"))</f>
        <v/>
      </c>
    </row>
    <row r="348" customFormat="false" ht="13.5" hidden="false" customHeight="false" outlineLevel="0" collapsed="false">
      <c r="A348" s="1" t="str">
        <f aca="false">IF($C348="","",Controls!$B$7)</f>
        <v/>
      </c>
      <c r="B348" s="1" t="str">
        <f aca="false">IF($H348="","",YEAR($H348)&amp;"-Q"&amp;ROUNDUP(MONTH($H348)/3,0))</f>
        <v/>
      </c>
      <c r="S348" s="1" t="str">
        <f aca="false">IF($C348="","",$C348&amp;"|"&amp;$E348&amp;"|"&amp;$F348&amp;"|"&amp;$L348&amp;"|"&amp;$P348&amp;"|"&amp;TEXT($H348,"yyyy-mm-dd"))</f>
        <v/>
      </c>
      <c r="T348" s="1" t="str">
        <f aca="false">IF($S348="","",IF(COUNTIF($S$2:$S$2991,$S348)&gt;1,"DUPLICATE","OK"))</f>
        <v/>
      </c>
      <c r="U348" s="0" t="str">
        <f aca="false">IF($L348="","",IFERROR(VLOOKUP(--$L348,MM_Income!$Z$5:$AC$204,3,FALSE()),"UNMAPPED"))</f>
        <v/>
      </c>
    </row>
    <row r="349" customFormat="false" ht="13.5" hidden="false" customHeight="false" outlineLevel="0" collapsed="false">
      <c r="A349" s="1" t="str">
        <f aca="false">IF($C349="","",Controls!$B$7)</f>
        <v/>
      </c>
      <c r="B349" s="1" t="str">
        <f aca="false">IF($H349="","",YEAR($H349)&amp;"-Q"&amp;ROUNDUP(MONTH($H349)/3,0))</f>
        <v/>
      </c>
      <c r="S349" s="1" t="str">
        <f aca="false">IF($C349="","",$C349&amp;"|"&amp;$E349&amp;"|"&amp;$F349&amp;"|"&amp;$L349&amp;"|"&amp;$P349&amp;"|"&amp;TEXT($H349,"yyyy-mm-dd"))</f>
        <v/>
      </c>
      <c r="T349" s="1" t="str">
        <f aca="false">IF($S349="","",IF(COUNTIF($S$2:$S$2991,$S349)&gt;1,"DUPLICATE","OK"))</f>
        <v/>
      </c>
      <c r="U349" s="0" t="str">
        <f aca="false">IF($L349="","",IFERROR(VLOOKUP(--$L349,MM_Income!$Z$5:$AC$204,3,FALSE()),"UNMAPPED"))</f>
        <v/>
      </c>
    </row>
    <row r="350" customFormat="false" ht="13.5" hidden="false" customHeight="false" outlineLevel="0" collapsed="false">
      <c r="A350" s="1" t="str">
        <f aca="false">IF($C350="","",Controls!$B$7)</f>
        <v/>
      </c>
      <c r="B350" s="1" t="str">
        <f aca="false">IF($H350="","",YEAR($H350)&amp;"-Q"&amp;ROUNDUP(MONTH($H350)/3,0))</f>
        <v/>
      </c>
      <c r="S350" s="1" t="str">
        <f aca="false">IF($C350="","",$C350&amp;"|"&amp;$E350&amp;"|"&amp;$F350&amp;"|"&amp;$L350&amp;"|"&amp;$P350&amp;"|"&amp;TEXT($H350,"yyyy-mm-dd"))</f>
        <v/>
      </c>
      <c r="T350" s="1" t="str">
        <f aca="false">IF($S350="","",IF(COUNTIF($S$2:$S$2991,$S350)&gt;1,"DUPLICATE","OK"))</f>
        <v/>
      </c>
      <c r="U350" s="0" t="str">
        <f aca="false">IF($L350="","",IFERROR(VLOOKUP(--$L350,MM_Income!$Z$5:$AC$204,3,FALSE()),"UNMAPPED"))</f>
        <v/>
      </c>
    </row>
    <row r="351" customFormat="false" ht="13.5" hidden="false" customHeight="false" outlineLevel="0" collapsed="false">
      <c r="A351" s="1" t="str">
        <f aca="false">IF($C351="","",Controls!$B$7)</f>
        <v/>
      </c>
      <c r="B351" s="1" t="str">
        <f aca="false">IF($H351="","",YEAR($H351)&amp;"-Q"&amp;ROUNDUP(MONTH($H351)/3,0))</f>
        <v/>
      </c>
      <c r="S351" s="1" t="str">
        <f aca="false">IF($C351="","",$C351&amp;"|"&amp;$E351&amp;"|"&amp;$F351&amp;"|"&amp;$L351&amp;"|"&amp;$P351&amp;"|"&amp;TEXT($H351,"yyyy-mm-dd"))</f>
        <v/>
      </c>
      <c r="T351" s="1" t="str">
        <f aca="false">IF($S351="","",IF(COUNTIF($S$2:$S$2991,$S351)&gt;1,"DUPLICATE","OK"))</f>
        <v/>
      </c>
      <c r="U351" s="0" t="str">
        <f aca="false">IF($L351="","",IFERROR(VLOOKUP(--$L351,MM_Income!$Z$5:$AC$204,3,FALSE()),"UNMAPPED"))</f>
        <v/>
      </c>
    </row>
    <row r="352" customFormat="false" ht="13.5" hidden="false" customHeight="false" outlineLevel="0" collapsed="false">
      <c r="A352" s="1" t="str">
        <f aca="false">IF($C352="","",Controls!$B$7)</f>
        <v/>
      </c>
      <c r="B352" s="1" t="str">
        <f aca="false">IF($H352="","",YEAR($H352)&amp;"-Q"&amp;ROUNDUP(MONTH($H352)/3,0))</f>
        <v/>
      </c>
      <c r="S352" s="1" t="str">
        <f aca="false">IF($C352="","",$C352&amp;"|"&amp;$E352&amp;"|"&amp;$F352&amp;"|"&amp;$L352&amp;"|"&amp;$P352&amp;"|"&amp;TEXT($H352,"yyyy-mm-dd"))</f>
        <v/>
      </c>
      <c r="T352" s="1" t="str">
        <f aca="false">IF($S352="","",IF(COUNTIF($S$2:$S$2991,$S352)&gt;1,"DUPLICATE","OK"))</f>
        <v/>
      </c>
      <c r="U352" s="0" t="str">
        <f aca="false">IF($L352="","",IFERROR(VLOOKUP(--$L352,MM_Income!$Z$5:$AC$204,3,FALSE()),"UNMAPPED"))</f>
        <v/>
      </c>
    </row>
    <row r="353" customFormat="false" ht="13.5" hidden="false" customHeight="false" outlineLevel="0" collapsed="false">
      <c r="A353" s="1" t="str">
        <f aca="false">IF($C353="","",Controls!$B$7)</f>
        <v/>
      </c>
      <c r="B353" s="1" t="str">
        <f aca="false">IF($H353="","",YEAR($H353)&amp;"-Q"&amp;ROUNDUP(MONTH($H353)/3,0))</f>
        <v/>
      </c>
      <c r="S353" s="1" t="str">
        <f aca="false">IF($C353="","",$C353&amp;"|"&amp;$E353&amp;"|"&amp;$F353&amp;"|"&amp;$L353&amp;"|"&amp;$P353&amp;"|"&amp;TEXT($H353,"yyyy-mm-dd"))</f>
        <v/>
      </c>
      <c r="T353" s="1" t="str">
        <f aca="false">IF($S353="","",IF(COUNTIF($S$2:$S$2991,$S353)&gt;1,"DUPLICATE","OK"))</f>
        <v/>
      </c>
      <c r="U353" s="0" t="str">
        <f aca="false">IF($L353="","",IFERROR(VLOOKUP(--$L353,MM_Income!$Z$5:$AC$204,3,FALSE()),"UNMAPPED"))</f>
        <v/>
      </c>
    </row>
    <row r="354" customFormat="false" ht="13.5" hidden="false" customHeight="false" outlineLevel="0" collapsed="false">
      <c r="A354" s="1" t="str">
        <f aca="false">IF($C354="","",Controls!$B$7)</f>
        <v/>
      </c>
      <c r="B354" s="1" t="str">
        <f aca="false">IF($H354="","",YEAR($H354)&amp;"-Q"&amp;ROUNDUP(MONTH($H354)/3,0))</f>
        <v/>
      </c>
      <c r="S354" s="1" t="str">
        <f aca="false">IF($C354="","",$C354&amp;"|"&amp;$E354&amp;"|"&amp;$F354&amp;"|"&amp;$L354&amp;"|"&amp;$P354&amp;"|"&amp;TEXT($H354,"yyyy-mm-dd"))</f>
        <v/>
      </c>
      <c r="T354" s="1" t="str">
        <f aca="false">IF($S354="","",IF(COUNTIF($S$2:$S$2991,$S354)&gt;1,"DUPLICATE","OK"))</f>
        <v/>
      </c>
      <c r="U354" s="0" t="str">
        <f aca="false">IF($L354="","",IFERROR(VLOOKUP(--$L354,MM_Income!$Z$5:$AC$204,3,FALSE()),"UNMAPPED"))</f>
        <v/>
      </c>
    </row>
    <row r="355" customFormat="false" ht="13.5" hidden="false" customHeight="false" outlineLevel="0" collapsed="false">
      <c r="A355" s="1" t="str">
        <f aca="false">IF($C355="","",Controls!$B$7)</f>
        <v/>
      </c>
      <c r="B355" s="1" t="str">
        <f aca="false">IF($H355="","",YEAR($H355)&amp;"-Q"&amp;ROUNDUP(MONTH($H355)/3,0))</f>
        <v/>
      </c>
      <c r="S355" s="1" t="str">
        <f aca="false">IF($C355="","",$C355&amp;"|"&amp;$E355&amp;"|"&amp;$F355&amp;"|"&amp;$L355&amp;"|"&amp;$P355&amp;"|"&amp;TEXT($H355,"yyyy-mm-dd"))</f>
        <v/>
      </c>
      <c r="T355" s="1" t="str">
        <f aca="false">IF($S355="","",IF(COUNTIF($S$2:$S$2991,$S355)&gt;1,"DUPLICATE","OK"))</f>
        <v/>
      </c>
      <c r="U355" s="0" t="str">
        <f aca="false">IF($L355="","",IFERROR(VLOOKUP(--$L355,MM_Income!$Z$5:$AC$204,3,FALSE()),"UNMAPPED"))</f>
        <v/>
      </c>
    </row>
    <row r="356" customFormat="false" ht="13.5" hidden="false" customHeight="false" outlineLevel="0" collapsed="false">
      <c r="A356" s="1" t="str">
        <f aca="false">IF($C356="","",Controls!$B$7)</f>
        <v/>
      </c>
      <c r="B356" s="1" t="str">
        <f aca="false">IF($H356="","",YEAR($H356)&amp;"-Q"&amp;ROUNDUP(MONTH($H356)/3,0))</f>
        <v/>
      </c>
      <c r="S356" s="1" t="str">
        <f aca="false">IF($C356="","",$C356&amp;"|"&amp;$E356&amp;"|"&amp;$F356&amp;"|"&amp;$L356&amp;"|"&amp;$P356&amp;"|"&amp;TEXT($H356,"yyyy-mm-dd"))</f>
        <v/>
      </c>
      <c r="T356" s="1" t="str">
        <f aca="false">IF($S356="","",IF(COUNTIF($S$2:$S$2991,$S356)&gt;1,"DUPLICATE","OK"))</f>
        <v/>
      </c>
      <c r="U356" s="0" t="str">
        <f aca="false">IF($L356="","",IFERROR(VLOOKUP(--$L356,MM_Income!$Z$5:$AC$204,3,FALSE()),"UNMAPPED"))</f>
        <v/>
      </c>
    </row>
    <row r="357" customFormat="false" ht="13.5" hidden="false" customHeight="false" outlineLevel="0" collapsed="false">
      <c r="A357" s="1" t="str">
        <f aca="false">IF($C357="","",Controls!$B$7)</f>
        <v/>
      </c>
      <c r="B357" s="1" t="str">
        <f aca="false">IF($H357="","",YEAR($H357)&amp;"-Q"&amp;ROUNDUP(MONTH($H357)/3,0))</f>
        <v/>
      </c>
      <c r="S357" s="1" t="str">
        <f aca="false">IF($C357="","",$C357&amp;"|"&amp;$E357&amp;"|"&amp;$F357&amp;"|"&amp;$L357&amp;"|"&amp;$P357&amp;"|"&amp;TEXT($H357,"yyyy-mm-dd"))</f>
        <v/>
      </c>
      <c r="T357" s="1" t="str">
        <f aca="false">IF($S357="","",IF(COUNTIF($S$2:$S$2991,$S357)&gt;1,"DUPLICATE","OK"))</f>
        <v/>
      </c>
      <c r="U357" s="0" t="str">
        <f aca="false">IF($L357="","",IFERROR(VLOOKUP(--$L357,MM_Income!$Z$5:$AC$204,3,FALSE()),"UNMAPPED"))</f>
        <v/>
      </c>
    </row>
    <row r="358" customFormat="false" ht="13.5" hidden="false" customHeight="false" outlineLevel="0" collapsed="false">
      <c r="A358" s="1" t="str">
        <f aca="false">IF($C358="","",Controls!$B$7)</f>
        <v/>
      </c>
      <c r="B358" s="1" t="str">
        <f aca="false">IF($H358="","",YEAR($H358)&amp;"-Q"&amp;ROUNDUP(MONTH($H358)/3,0))</f>
        <v/>
      </c>
      <c r="S358" s="1" t="str">
        <f aca="false">IF($C358="","",$C358&amp;"|"&amp;$E358&amp;"|"&amp;$F358&amp;"|"&amp;$L358&amp;"|"&amp;$P358&amp;"|"&amp;TEXT($H358,"yyyy-mm-dd"))</f>
        <v/>
      </c>
      <c r="T358" s="1" t="str">
        <f aca="false">IF($S358="","",IF(COUNTIF($S$2:$S$2991,$S358)&gt;1,"DUPLICATE","OK"))</f>
        <v/>
      </c>
      <c r="U358" s="0" t="str">
        <f aca="false">IF($L358="","",IFERROR(VLOOKUP(--$L358,MM_Income!$Z$5:$AC$204,3,FALSE()),"UNMAPPED"))</f>
        <v/>
      </c>
    </row>
    <row r="359" customFormat="false" ht="13.5" hidden="false" customHeight="false" outlineLevel="0" collapsed="false">
      <c r="A359" s="1" t="str">
        <f aca="false">IF($C359="","",Controls!$B$7)</f>
        <v/>
      </c>
      <c r="B359" s="1" t="str">
        <f aca="false">IF($H359="","",YEAR($H359)&amp;"-Q"&amp;ROUNDUP(MONTH($H359)/3,0))</f>
        <v/>
      </c>
      <c r="S359" s="1" t="str">
        <f aca="false">IF($C359="","",$C359&amp;"|"&amp;$E359&amp;"|"&amp;$F359&amp;"|"&amp;$L359&amp;"|"&amp;$P359&amp;"|"&amp;TEXT($H359,"yyyy-mm-dd"))</f>
        <v/>
      </c>
      <c r="T359" s="1" t="str">
        <f aca="false">IF($S359="","",IF(COUNTIF($S$2:$S$2991,$S359)&gt;1,"DUPLICATE","OK"))</f>
        <v/>
      </c>
      <c r="U359" s="0" t="str">
        <f aca="false">IF($L359="","",IFERROR(VLOOKUP(--$L359,MM_Income!$Z$5:$AC$204,3,FALSE()),"UNMAPPED"))</f>
        <v/>
      </c>
    </row>
    <row r="360" customFormat="false" ht="13.5" hidden="false" customHeight="false" outlineLevel="0" collapsed="false">
      <c r="A360" s="1" t="str">
        <f aca="false">IF($C360="","",Controls!$B$7)</f>
        <v/>
      </c>
      <c r="B360" s="1" t="str">
        <f aca="false">IF($H360="","",YEAR($H360)&amp;"-Q"&amp;ROUNDUP(MONTH($H360)/3,0))</f>
        <v/>
      </c>
      <c r="S360" s="1" t="str">
        <f aca="false">IF($C360="","",$C360&amp;"|"&amp;$E360&amp;"|"&amp;$F360&amp;"|"&amp;$L360&amp;"|"&amp;$P360&amp;"|"&amp;TEXT($H360,"yyyy-mm-dd"))</f>
        <v/>
      </c>
      <c r="T360" s="1" t="str">
        <f aca="false">IF($S360="","",IF(COUNTIF($S$2:$S$2991,$S360)&gt;1,"DUPLICATE","OK"))</f>
        <v/>
      </c>
      <c r="U360" s="0" t="str">
        <f aca="false">IF($L360="","",IFERROR(VLOOKUP(--$L360,MM_Income!$Z$5:$AC$204,3,FALSE()),"UNMAPPED"))</f>
        <v/>
      </c>
    </row>
    <row r="361" customFormat="false" ht="13.5" hidden="false" customHeight="false" outlineLevel="0" collapsed="false">
      <c r="A361" s="1" t="str">
        <f aca="false">IF($C361="","",Controls!$B$7)</f>
        <v/>
      </c>
      <c r="B361" s="1" t="str">
        <f aca="false">IF($H361="","",YEAR($H361)&amp;"-Q"&amp;ROUNDUP(MONTH($H361)/3,0))</f>
        <v/>
      </c>
      <c r="S361" s="1" t="str">
        <f aca="false">IF($C361="","",$C361&amp;"|"&amp;$E361&amp;"|"&amp;$F361&amp;"|"&amp;$L361&amp;"|"&amp;$P361&amp;"|"&amp;TEXT($H361,"yyyy-mm-dd"))</f>
        <v/>
      </c>
      <c r="T361" s="1" t="str">
        <f aca="false">IF($S361="","",IF(COUNTIF($S$2:$S$2991,$S361)&gt;1,"DUPLICATE","OK"))</f>
        <v/>
      </c>
      <c r="U361" s="0" t="str">
        <f aca="false">IF($L361="","",IFERROR(VLOOKUP(--$L361,MM_Income!$Z$5:$AC$204,3,FALSE()),"UNMAPPED"))</f>
        <v/>
      </c>
    </row>
    <row r="362" customFormat="false" ht="13.5" hidden="false" customHeight="false" outlineLevel="0" collapsed="false">
      <c r="A362" s="1" t="str">
        <f aca="false">IF($C362="","",Controls!$B$7)</f>
        <v/>
      </c>
      <c r="B362" s="1" t="str">
        <f aca="false">IF($H362="","",YEAR($H362)&amp;"-Q"&amp;ROUNDUP(MONTH($H362)/3,0))</f>
        <v/>
      </c>
      <c r="S362" s="1" t="str">
        <f aca="false">IF($C362="","",$C362&amp;"|"&amp;$E362&amp;"|"&amp;$F362&amp;"|"&amp;$L362&amp;"|"&amp;$P362&amp;"|"&amp;TEXT($H362,"yyyy-mm-dd"))</f>
        <v/>
      </c>
      <c r="T362" s="1" t="str">
        <f aca="false">IF($S362="","",IF(COUNTIF($S$2:$S$2991,$S362)&gt;1,"DUPLICATE","OK"))</f>
        <v/>
      </c>
      <c r="U362" s="0" t="str">
        <f aca="false">IF($L362="","",IFERROR(VLOOKUP(--$L362,MM_Income!$Z$5:$AC$204,3,FALSE()),"UNMAPPED"))</f>
        <v/>
      </c>
    </row>
    <row r="363" customFormat="false" ht="13.5" hidden="false" customHeight="false" outlineLevel="0" collapsed="false">
      <c r="A363" s="1" t="str">
        <f aca="false">IF($C363="","",Controls!$B$7)</f>
        <v/>
      </c>
      <c r="B363" s="1" t="str">
        <f aca="false">IF($H363="","",YEAR($H363)&amp;"-Q"&amp;ROUNDUP(MONTH($H363)/3,0))</f>
        <v/>
      </c>
      <c r="S363" s="1" t="str">
        <f aca="false">IF($C363="","",$C363&amp;"|"&amp;$E363&amp;"|"&amp;$F363&amp;"|"&amp;$L363&amp;"|"&amp;$P363&amp;"|"&amp;TEXT($H363,"yyyy-mm-dd"))</f>
        <v/>
      </c>
      <c r="T363" s="1" t="str">
        <f aca="false">IF($S363="","",IF(COUNTIF($S$2:$S$2991,$S363)&gt;1,"DUPLICATE","OK"))</f>
        <v/>
      </c>
      <c r="U363" s="0" t="str">
        <f aca="false">IF($L363="","",IFERROR(VLOOKUP(--$L363,MM_Income!$Z$5:$AC$204,3,FALSE()),"UNMAPPED"))</f>
        <v/>
      </c>
    </row>
    <row r="364" customFormat="false" ht="13.5" hidden="false" customHeight="false" outlineLevel="0" collapsed="false">
      <c r="A364" s="1" t="str">
        <f aca="false">IF($C364="","",Controls!$B$7)</f>
        <v/>
      </c>
      <c r="B364" s="1" t="str">
        <f aca="false">IF($H364="","",YEAR($H364)&amp;"-Q"&amp;ROUNDUP(MONTH($H364)/3,0))</f>
        <v/>
      </c>
      <c r="S364" s="1" t="str">
        <f aca="false">IF($C364="","",$C364&amp;"|"&amp;$E364&amp;"|"&amp;$F364&amp;"|"&amp;$L364&amp;"|"&amp;$P364&amp;"|"&amp;TEXT($H364,"yyyy-mm-dd"))</f>
        <v/>
      </c>
      <c r="T364" s="1" t="str">
        <f aca="false">IF($S364="","",IF(COUNTIF($S$2:$S$2991,$S364)&gt;1,"DUPLICATE","OK"))</f>
        <v/>
      </c>
      <c r="U364" s="0" t="str">
        <f aca="false">IF($L364="","",IFERROR(VLOOKUP(--$L364,MM_Income!$Z$5:$AC$204,3,FALSE()),"UNMAPPED"))</f>
        <v/>
      </c>
    </row>
    <row r="365" customFormat="false" ht="13.5" hidden="false" customHeight="false" outlineLevel="0" collapsed="false">
      <c r="A365" s="1" t="str">
        <f aca="false">IF($C365="","",Controls!$B$7)</f>
        <v/>
      </c>
      <c r="B365" s="1" t="str">
        <f aca="false">IF($H365="","",YEAR($H365)&amp;"-Q"&amp;ROUNDUP(MONTH($H365)/3,0))</f>
        <v/>
      </c>
      <c r="S365" s="1" t="str">
        <f aca="false">IF($C365="","",$C365&amp;"|"&amp;$E365&amp;"|"&amp;$F365&amp;"|"&amp;$L365&amp;"|"&amp;$P365&amp;"|"&amp;TEXT($H365,"yyyy-mm-dd"))</f>
        <v/>
      </c>
      <c r="T365" s="1" t="str">
        <f aca="false">IF($S365="","",IF(COUNTIF($S$2:$S$2991,$S365)&gt;1,"DUPLICATE","OK"))</f>
        <v/>
      </c>
      <c r="U365" s="0" t="str">
        <f aca="false">IF($L365="","",IFERROR(VLOOKUP(--$L365,MM_Income!$Z$5:$AC$204,3,FALSE()),"UNMAPPED"))</f>
        <v/>
      </c>
    </row>
    <row r="366" customFormat="false" ht="13.5" hidden="false" customHeight="false" outlineLevel="0" collapsed="false">
      <c r="A366" s="1" t="str">
        <f aca="false">IF($C366="","",Controls!$B$7)</f>
        <v/>
      </c>
      <c r="B366" s="1" t="str">
        <f aca="false">IF($H366="","",YEAR($H366)&amp;"-Q"&amp;ROUNDUP(MONTH($H366)/3,0))</f>
        <v/>
      </c>
      <c r="S366" s="1" t="str">
        <f aca="false">IF($C366="","",$C366&amp;"|"&amp;$E366&amp;"|"&amp;$F366&amp;"|"&amp;$L366&amp;"|"&amp;$P366&amp;"|"&amp;TEXT($H366,"yyyy-mm-dd"))</f>
        <v/>
      </c>
      <c r="T366" s="1" t="str">
        <f aca="false">IF($S366="","",IF(COUNTIF($S$2:$S$2991,$S366)&gt;1,"DUPLICATE","OK"))</f>
        <v/>
      </c>
      <c r="U366" s="0" t="str">
        <f aca="false">IF($L366="","",IFERROR(VLOOKUP(--$L366,MM_Income!$Z$5:$AC$204,3,FALSE()),"UNMAPPED"))</f>
        <v/>
      </c>
    </row>
    <row r="367" customFormat="false" ht="13.5" hidden="false" customHeight="false" outlineLevel="0" collapsed="false">
      <c r="A367" s="1" t="str">
        <f aca="false">IF($C367="","",Controls!$B$7)</f>
        <v/>
      </c>
      <c r="B367" s="1" t="str">
        <f aca="false">IF($H367="","",YEAR($H367)&amp;"-Q"&amp;ROUNDUP(MONTH($H367)/3,0))</f>
        <v/>
      </c>
      <c r="S367" s="1" t="str">
        <f aca="false">IF($C367="","",$C367&amp;"|"&amp;$E367&amp;"|"&amp;$F367&amp;"|"&amp;$L367&amp;"|"&amp;$P367&amp;"|"&amp;TEXT($H367,"yyyy-mm-dd"))</f>
        <v/>
      </c>
      <c r="T367" s="1" t="str">
        <f aca="false">IF($S367="","",IF(COUNTIF($S$2:$S$2991,$S367)&gt;1,"DUPLICATE","OK"))</f>
        <v/>
      </c>
      <c r="U367" s="0" t="str">
        <f aca="false">IF($L367="","",IFERROR(VLOOKUP(--$L367,MM_Income!$Z$5:$AC$204,3,FALSE()),"UNMAPPED"))</f>
        <v/>
      </c>
    </row>
    <row r="368" customFormat="false" ht="13.5" hidden="false" customHeight="false" outlineLevel="0" collapsed="false">
      <c r="A368" s="1" t="str">
        <f aca="false">IF($C368="","",Controls!$B$7)</f>
        <v/>
      </c>
      <c r="B368" s="1" t="str">
        <f aca="false">IF($H368="","",YEAR($H368)&amp;"-Q"&amp;ROUNDUP(MONTH($H368)/3,0))</f>
        <v/>
      </c>
      <c r="S368" s="1" t="str">
        <f aca="false">IF($C368="","",$C368&amp;"|"&amp;$E368&amp;"|"&amp;$F368&amp;"|"&amp;$L368&amp;"|"&amp;$P368&amp;"|"&amp;TEXT($H368,"yyyy-mm-dd"))</f>
        <v/>
      </c>
      <c r="T368" s="1" t="str">
        <f aca="false">IF($S368="","",IF(COUNTIF($S$2:$S$2991,$S368)&gt;1,"DUPLICATE","OK"))</f>
        <v/>
      </c>
      <c r="U368" s="0" t="str">
        <f aca="false">IF($L368="","",IFERROR(VLOOKUP(--$L368,MM_Income!$Z$5:$AC$204,3,FALSE()),"UNMAPPED"))</f>
        <v/>
      </c>
    </row>
    <row r="369" customFormat="false" ht="13.5" hidden="false" customHeight="false" outlineLevel="0" collapsed="false">
      <c r="A369" s="1" t="str">
        <f aca="false">IF($C369="","",Controls!$B$7)</f>
        <v/>
      </c>
      <c r="B369" s="1" t="str">
        <f aca="false">IF($H369="","",YEAR($H369)&amp;"-Q"&amp;ROUNDUP(MONTH($H369)/3,0))</f>
        <v/>
      </c>
      <c r="S369" s="1" t="str">
        <f aca="false">IF($C369="","",$C369&amp;"|"&amp;$E369&amp;"|"&amp;$F369&amp;"|"&amp;$L369&amp;"|"&amp;$P369&amp;"|"&amp;TEXT($H369,"yyyy-mm-dd"))</f>
        <v/>
      </c>
      <c r="T369" s="1" t="str">
        <f aca="false">IF($S369="","",IF(COUNTIF($S$2:$S$2991,$S369)&gt;1,"DUPLICATE","OK"))</f>
        <v/>
      </c>
      <c r="U369" s="0" t="str">
        <f aca="false">IF($L369="","",IFERROR(VLOOKUP(--$L369,MM_Income!$Z$5:$AC$204,3,FALSE()),"UNMAPPED"))</f>
        <v/>
      </c>
    </row>
    <row r="370" customFormat="false" ht="13.5" hidden="false" customHeight="false" outlineLevel="0" collapsed="false">
      <c r="A370" s="1" t="str">
        <f aca="false">IF($C370="","",Controls!$B$7)</f>
        <v/>
      </c>
      <c r="B370" s="1" t="str">
        <f aca="false">IF($H370="","",YEAR($H370)&amp;"-Q"&amp;ROUNDUP(MONTH($H370)/3,0))</f>
        <v/>
      </c>
      <c r="S370" s="1" t="str">
        <f aca="false">IF($C370="","",$C370&amp;"|"&amp;$E370&amp;"|"&amp;$F370&amp;"|"&amp;$L370&amp;"|"&amp;$P370&amp;"|"&amp;TEXT($H370,"yyyy-mm-dd"))</f>
        <v/>
      </c>
      <c r="T370" s="1" t="str">
        <f aca="false">IF($S370="","",IF(COUNTIF($S$2:$S$2991,$S370)&gt;1,"DUPLICATE","OK"))</f>
        <v/>
      </c>
      <c r="U370" s="0" t="str">
        <f aca="false">IF($L370="","",IFERROR(VLOOKUP(--$L370,MM_Income!$Z$5:$AC$204,3,FALSE()),"UNMAPPED"))</f>
        <v/>
      </c>
    </row>
    <row r="371" customFormat="false" ht="13.5" hidden="false" customHeight="false" outlineLevel="0" collapsed="false">
      <c r="A371" s="1" t="str">
        <f aca="false">IF($C371="","",Controls!$B$7)</f>
        <v/>
      </c>
      <c r="B371" s="1" t="str">
        <f aca="false">IF($H371="","",YEAR($H371)&amp;"-Q"&amp;ROUNDUP(MONTH($H371)/3,0))</f>
        <v/>
      </c>
      <c r="S371" s="1" t="str">
        <f aca="false">IF($C371="","",$C371&amp;"|"&amp;$E371&amp;"|"&amp;$F371&amp;"|"&amp;$L371&amp;"|"&amp;$P371&amp;"|"&amp;TEXT($H371,"yyyy-mm-dd"))</f>
        <v/>
      </c>
      <c r="T371" s="1" t="str">
        <f aca="false">IF($S371="","",IF(COUNTIF($S$2:$S$2991,$S371)&gt;1,"DUPLICATE","OK"))</f>
        <v/>
      </c>
      <c r="U371" s="0" t="str">
        <f aca="false">IF($L371="","",IFERROR(VLOOKUP(--$L371,MM_Income!$Z$5:$AC$204,3,FALSE()),"UNMAPPED"))</f>
        <v/>
      </c>
    </row>
    <row r="372" customFormat="false" ht="13.5" hidden="false" customHeight="false" outlineLevel="0" collapsed="false">
      <c r="A372" s="1" t="str">
        <f aca="false">IF($C372="","",Controls!$B$7)</f>
        <v/>
      </c>
      <c r="B372" s="1" t="str">
        <f aca="false">IF($H372="","",YEAR($H372)&amp;"-Q"&amp;ROUNDUP(MONTH($H372)/3,0))</f>
        <v/>
      </c>
      <c r="S372" s="1" t="str">
        <f aca="false">IF($C372="","",$C372&amp;"|"&amp;$E372&amp;"|"&amp;$F372&amp;"|"&amp;$L372&amp;"|"&amp;$P372&amp;"|"&amp;TEXT($H372,"yyyy-mm-dd"))</f>
        <v/>
      </c>
      <c r="T372" s="1" t="str">
        <f aca="false">IF($S372="","",IF(COUNTIF($S$2:$S$2991,$S372)&gt;1,"DUPLICATE","OK"))</f>
        <v/>
      </c>
      <c r="U372" s="0" t="str">
        <f aca="false">IF($L372="","",IFERROR(VLOOKUP(--$L372,MM_Income!$Z$5:$AC$204,3,FALSE()),"UNMAPPED"))</f>
        <v/>
      </c>
    </row>
    <row r="373" customFormat="false" ht="13.5" hidden="false" customHeight="false" outlineLevel="0" collapsed="false">
      <c r="A373" s="1" t="str">
        <f aca="false">IF($C373="","",Controls!$B$7)</f>
        <v/>
      </c>
      <c r="B373" s="1" t="str">
        <f aca="false">IF($H373="","",YEAR($H373)&amp;"-Q"&amp;ROUNDUP(MONTH($H373)/3,0))</f>
        <v/>
      </c>
      <c r="S373" s="1" t="str">
        <f aca="false">IF($C373="","",$C373&amp;"|"&amp;$E373&amp;"|"&amp;$F373&amp;"|"&amp;$L373&amp;"|"&amp;$P373&amp;"|"&amp;TEXT($H373,"yyyy-mm-dd"))</f>
        <v/>
      </c>
      <c r="T373" s="1" t="str">
        <f aca="false">IF($S373="","",IF(COUNTIF($S$2:$S$2991,$S373)&gt;1,"DUPLICATE","OK"))</f>
        <v/>
      </c>
      <c r="U373" s="0" t="str">
        <f aca="false">IF($L373="","",IFERROR(VLOOKUP(--$L373,MM_Income!$Z$5:$AC$204,3,FALSE()),"UNMAPPED"))</f>
        <v/>
      </c>
    </row>
    <row r="374" customFormat="false" ht="13.5" hidden="false" customHeight="false" outlineLevel="0" collapsed="false">
      <c r="A374" s="1" t="str">
        <f aca="false">IF($C374="","",Controls!$B$7)</f>
        <v/>
      </c>
      <c r="B374" s="1" t="str">
        <f aca="false">IF($H374="","",YEAR($H374)&amp;"-Q"&amp;ROUNDUP(MONTH($H374)/3,0))</f>
        <v/>
      </c>
      <c r="S374" s="1" t="str">
        <f aca="false">IF($C374="","",$C374&amp;"|"&amp;$E374&amp;"|"&amp;$F374&amp;"|"&amp;$L374&amp;"|"&amp;$P374&amp;"|"&amp;TEXT($H374,"yyyy-mm-dd"))</f>
        <v/>
      </c>
      <c r="T374" s="1" t="str">
        <f aca="false">IF($S374="","",IF(COUNTIF($S$2:$S$2991,$S374)&gt;1,"DUPLICATE","OK"))</f>
        <v/>
      </c>
      <c r="U374" s="0" t="str">
        <f aca="false">IF($L374="","",IFERROR(VLOOKUP(--$L374,MM_Income!$Z$5:$AC$204,3,FALSE()),"UNMAPPED"))</f>
        <v/>
      </c>
    </row>
    <row r="375" customFormat="false" ht="13.5" hidden="false" customHeight="false" outlineLevel="0" collapsed="false">
      <c r="A375" s="1" t="str">
        <f aca="false">IF($C375="","",Controls!$B$7)</f>
        <v/>
      </c>
      <c r="B375" s="1" t="str">
        <f aca="false">IF($H375="","",YEAR($H375)&amp;"-Q"&amp;ROUNDUP(MONTH($H375)/3,0))</f>
        <v/>
      </c>
      <c r="S375" s="1" t="str">
        <f aca="false">IF($C375="","",$C375&amp;"|"&amp;$E375&amp;"|"&amp;$F375&amp;"|"&amp;$L375&amp;"|"&amp;$P375&amp;"|"&amp;TEXT($H375,"yyyy-mm-dd"))</f>
        <v/>
      </c>
      <c r="T375" s="1" t="str">
        <f aca="false">IF($S375="","",IF(COUNTIF($S$2:$S$2991,$S375)&gt;1,"DUPLICATE","OK"))</f>
        <v/>
      </c>
      <c r="U375" s="0" t="str">
        <f aca="false">IF($L375="","",IFERROR(VLOOKUP(--$L375,MM_Income!$Z$5:$AC$204,3,FALSE()),"UNMAPPED"))</f>
        <v/>
      </c>
    </row>
    <row r="376" customFormat="false" ht="13.5" hidden="false" customHeight="false" outlineLevel="0" collapsed="false">
      <c r="A376" s="1" t="str">
        <f aca="false">IF($C376="","",Controls!$B$7)</f>
        <v/>
      </c>
      <c r="B376" s="1" t="str">
        <f aca="false">IF($H376="","",YEAR($H376)&amp;"-Q"&amp;ROUNDUP(MONTH($H376)/3,0))</f>
        <v/>
      </c>
      <c r="S376" s="1" t="str">
        <f aca="false">IF($C376="","",$C376&amp;"|"&amp;$E376&amp;"|"&amp;$F376&amp;"|"&amp;$L376&amp;"|"&amp;$P376&amp;"|"&amp;TEXT($H376,"yyyy-mm-dd"))</f>
        <v/>
      </c>
      <c r="T376" s="1" t="str">
        <f aca="false">IF($S376="","",IF(COUNTIF($S$2:$S$2991,$S376)&gt;1,"DUPLICATE","OK"))</f>
        <v/>
      </c>
      <c r="U376" s="0" t="str">
        <f aca="false">IF($L376="","",IFERROR(VLOOKUP(--$L376,MM_Income!$Z$5:$AC$204,3,FALSE()),"UNMAPPED"))</f>
        <v/>
      </c>
    </row>
    <row r="377" customFormat="false" ht="13.5" hidden="false" customHeight="false" outlineLevel="0" collapsed="false">
      <c r="A377" s="1" t="str">
        <f aca="false">IF($C377="","",Controls!$B$7)</f>
        <v/>
      </c>
      <c r="B377" s="1" t="str">
        <f aca="false">IF($H377="","",YEAR($H377)&amp;"-Q"&amp;ROUNDUP(MONTH($H377)/3,0))</f>
        <v/>
      </c>
      <c r="S377" s="1" t="str">
        <f aca="false">IF($C377="","",$C377&amp;"|"&amp;$E377&amp;"|"&amp;$F377&amp;"|"&amp;$L377&amp;"|"&amp;$P377&amp;"|"&amp;TEXT($H377,"yyyy-mm-dd"))</f>
        <v/>
      </c>
      <c r="T377" s="1" t="str">
        <f aca="false">IF($S377="","",IF(COUNTIF($S$2:$S$2991,$S377)&gt;1,"DUPLICATE","OK"))</f>
        <v/>
      </c>
      <c r="U377" s="0" t="str">
        <f aca="false">IF($L377="","",IFERROR(VLOOKUP(--$L377,MM_Income!$Z$5:$AC$204,3,FALSE()),"UNMAPPED"))</f>
        <v/>
      </c>
    </row>
    <row r="378" customFormat="false" ht="13.5" hidden="false" customHeight="false" outlineLevel="0" collapsed="false">
      <c r="A378" s="1" t="str">
        <f aca="false">IF($C378="","",Controls!$B$7)</f>
        <v/>
      </c>
      <c r="B378" s="1" t="str">
        <f aca="false">IF($H378="","",YEAR($H378)&amp;"-Q"&amp;ROUNDUP(MONTH($H378)/3,0))</f>
        <v/>
      </c>
      <c r="S378" s="1" t="str">
        <f aca="false">IF($C378="","",$C378&amp;"|"&amp;$E378&amp;"|"&amp;$F378&amp;"|"&amp;$L378&amp;"|"&amp;$P378&amp;"|"&amp;TEXT($H378,"yyyy-mm-dd"))</f>
        <v/>
      </c>
      <c r="T378" s="1" t="str">
        <f aca="false">IF($S378="","",IF(COUNTIF($S$2:$S$2991,$S378)&gt;1,"DUPLICATE","OK"))</f>
        <v/>
      </c>
      <c r="U378" s="0" t="str">
        <f aca="false">IF($L378="","",IFERROR(VLOOKUP(--$L378,MM_Income!$Z$5:$AC$204,3,FALSE()),"UNMAPPED"))</f>
        <v/>
      </c>
    </row>
    <row r="379" customFormat="false" ht="13.5" hidden="false" customHeight="false" outlineLevel="0" collapsed="false">
      <c r="A379" s="1" t="str">
        <f aca="false">IF($C379="","",Controls!$B$7)</f>
        <v/>
      </c>
      <c r="B379" s="1" t="str">
        <f aca="false">IF($H379="","",YEAR($H379)&amp;"-Q"&amp;ROUNDUP(MONTH($H379)/3,0))</f>
        <v/>
      </c>
      <c r="S379" s="1" t="str">
        <f aca="false">IF($C379="","",$C379&amp;"|"&amp;$E379&amp;"|"&amp;$F379&amp;"|"&amp;$L379&amp;"|"&amp;$P379&amp;"|"&amp;TEXT($H379,"yyyy-mm-dd"))</f>
        <v/>
      </c>
      <c r="T379" s="1" t="str">
        <f aca="false">IF($S379="","",IF(COUNTIF($S$2:$S$2991,$S379)&gt;1,"DUPLICATE","OK"))</f>
        <v/>
      </c>
      <c r="U379" s="0" t="str">
        <f aca="false">IF($L379="","",IFERROR(VLOOKUP(--$L379,MM_Income!$Z$5:$AC$204,3,FALSE()),"UNMAPPED"))</f>
        <v/>
      </c>
    </row>
    <row r="380" customFormat="false" ht="13.5" hidden="false" customHeight="false" outlineLevel="0" collapsed="false">
      <c r="A380" s="1" t="str">
        <f aca="false">IF($C380="","",Controls!$B$7)</f>
        <v/>
      </c>
      <c r="B380" s="1" t="str">
        <f aca="false">IF($H380="","",YEAR($H380)&amp;"-Q"&amp;ROUNDUP(MONTH($H380)/3,0))</f>
        <v/>
      </c>
      <c r="S380" s="1" t="str">
        <f aca="false">IF($C380="","",$C380&amp;"|"&amp;$E380&amp;"|"&amp;$F380&amp;"|"&amp;$L380&amp;"|"&amp;$P380&amp;"|"&amp;TEXT($H380,"yyyy-mm-dd"))</f>
        <v/>
      </c>
      <c r="T380" s="1" t="str">
        <f aca="false">IF($S380="","",IF(COUNTIF($S$2:$S$2991,$S380)&gt;1,"DUPLICATE","OK"))</f>
        <v/>
      </c>
      <c r="U380" s="0" t="str">
        <f aca="false">IF($L380="","",IFERROR(VLOOKUP(--$L380,MM_Income!$Z$5:$AC$204,3,FALSE()),"UNMAPPED"))</f>
        <v/>
      </c>
    </row>
    <row r="381" customFormat="false" ht="13.5" hidden="false" customHeight="false" outlineLevel="0" collapsed="false">
      <c r="A381" s="1" t="str">
        <f aca="false">IF($C381="","",Controls!$B$7)</f>
        <v/>
      </c>
      <c r="B381" s="1" t="str">
        <f aca="false">IF($H381="","",YEAR($H381)&amp;"-Q"&amp;ROUNDUP(MONTH($H381)/3,0))</f>
        <v/>
      </c>
      <c r="S381" s="1" t="str">
        <f aca="false">IF($C381="","",$C381&amp;"|"&amp;$E381&amp;"|"&amp;$F381&amp;"|"&amp;$L381&amp;"|"&amp;$P381&amp;"|"&amp;TEXT($H381,"yyyy-mm-dd"))</f>
        <v/>
      </c>
      <c r="T381" s="1" t="str">
        <f aca="false">IF($S381="","",IF(COUNTIF($S$2:$S$2991,$S381)&gt;1,"DUPLICATE","OK"))</f>
        <v/>
      </c>
      <c r="U381" s="0" t="str">
        <f aca="false">IF($L381="","",IFERROR(VLOOKUP(--$L381,MM_Income!$Z$5:$AC$204,3,FALSE()),"UNMAPPED"))</f>
        <v/>
      </c>
    </row>
    <row r="382" customFormat="false" ht="13.5" hidden="false" customHeight="false" outlineLevel="0" collapsed="false">
      <c r="A382" s="1" t="str">
        <f aca="false">IF($C382="","",Controls!$B$7)</f>
        <v/>
      </c>
      <c r="B382" s="1" t="str">
        <f aca="false">IF($H382="","",YEAR($H382)&amp;"-Q"&amp;ROUNDUP(MONTH($H382)/3,0))</f>
        <v/>
      </c>
      <c r="S382" s="1" t="str">
        <f aca="false">IF($C382="","",$C382&amp;"|"&amp;$E382&amp;"|"&amp;$F382&amp;"|"&amp;$L382&amp;"|"&amp;$P382&amp;"|"&amp;TEXT($H382,"yyyy-mm-dd"))</f>
        <v/>
      </c>
      <c r="T382" s="1" t="str">
        <f aca="false">IF($S382="","",IF(COUNTIF($S$2:$S$2991,$S382)&gt;1,"DUPLICATE","OK"))</f>
        <v/>
      </c>
      <c r="U382" s="0" t="str">
        <f aca="false">IF($L382="","",IFERROR(VLOOKUP(--$L382,MM_Income!$Z$5:$AC$204,3,FALSE()),"UNMAPPED"))</f>
        <v/>
      </c>
    </row>
    <row r="383" customFormat="false" ht="13.5" hidden="false" customHeight="false" outlineLevel="0" collapsed="false">
      <c r="A383" s="1" t="str">
        <f aca="false">IF($C383="","",Controls!$B$7)</f>
        <v/>
      </c>
      <c r="B383" s="1" t="str">
        <f aca="false">IF($H383="","",YEAR($H383)&amp;"-Q"&amp;ROUNDUP(MONTH($H383)/3,0))</f>
        <v/>
      </c>
      <c r="S383" s="1" t="str">
        <f aca="false">IF($C383="","",$C383&amp;"|"&amp;$E383&amp;"|"&amp;$F383&amp;"|"&amp;$L383&amp;"|"&amp;$P383&amp;"|"&amp;TEXT($H383,"yyyy-mm-dd"))</f>
        <v/>
      </c>
      <c r="T383" s="1" t="str">
        <f aca="false">IF($S383="","",IF(COUNTIF($S$2:$S$2991,$S383)&gt;1,"DUPLICATE","OK"))</f>
        <v/>
      </c>
      <c r="U383" s="0" t="str">
        <f aca="false">IF($L383="","",IFERROR(VLOOKUP(--$L383,MM_Income!$Z$5:$AC$204,3,FALSE()),"UNMAPPED"))</f>
        <v/>
      </c>
    </row>
    <row r="384" customFormat="false" ht="13.5" hidden="false" customHeight="false" outlineLevel="0" collapsed="false">
      <c r="A384" s="1" t="str">
        <f aca="false">IF($C384="","",Controls!$B$7)</f>
        <v/>
      </c>
      <c r="B384" s="1" t="str">
        <f aca="false">IF($H384="","",YEAR($H384)&amp;"-Q"&amp;ROUNDUP(MONTH($H384)/3,0))</f>
        <v/>
      </c>
      <c r="S384" s="1" t="str">
        <f aca="false">IF($C384="","",$C384&amp;"|"&amp;$E384&amp;"|"&amp;$F384&amp;"|"&amp;$L384&amp;"|"&amp;$P384&amp;"|"&amp;TEXT($H384,"yyyy-mm-dd"))</f>
        <v/>
      </c>
      <c r="T384" s="1" t="str">
        <f aca="false">IF($S384="","",IF(COUNTIF($S$2:$S$2991,$S384)&gt;1,"DUPLICATE","OK"))</f>
        <v/>
      </c>
      <c r="U384" s="0" t="str">
        <f aca="false">IF($L384="","",IFERROR(VLOOKUP(--$L384,MM_Income!$Z$5:$AC$204,3,FALSE()),"UNMAPPED"))</f>
        <v/>
      </c>
    </row>
    <row r="385" customFormat="false" ht="13.5" hidden="false" customHeight="false" outlineLevel="0" collapsed="false">
      <c r="A385" s="1" t="str">
        <f aca="false">IF($C385="","",Controls!$B$7)</f>
        <v/>
      </c>
      <c r="B385" s="1" t="str">
        <f aca="false">IF($H385="","",YEAR($H385)&amp;"-Q"&amp;ROUNDUP(MONTH($H385)/3,0))</f>
        <v/>
      </c>
      <c r="S385" s="1" t="str">
        <f aca="false">IF($C385="","",$C385&amp;"|"&amp;$E385&amp;"|"&amp;$F385&amp;"|"&amp;$L385&amp;"|"&amp;$P385&amp;"|"&amp;TEXT($H385,"yyyy-mm-dd"))</f>
        <v/>
      </c>
      <c r="T385" s="1" t="str">
        <f aca="false">IF($S385="","",IF(COUNTIF($S$2:$S$2991,$S385)&gt;1,"DUPLICATE","OK"))</f>
        <v/>
      </c>
      <c r="U385" s="0" t="str">
        <f aca="false">IF($L385="","",IFERROR(VLOOKUP(--$L385,MM_Income!$Z$5:$AC$204,3,FALSE()),"UNMAPPED"))</f>
        <v/>
      </c>
    </row>
    <row r="386" customFormat="false" ht="13.5" hidden="false" customHeight="false" outlineLevel="0" collapsed="false">
      <c r="A386" s="1" t="str">
        <f aca="false">IF($C386="","",Controls!$B$7)</f>
        <v/>
      </c>
      <c r="B386" s="1" t="str">
        <f aca="false">IF($H386="","",YEAR($H386)&amp;"-Q"&amp;ROUNDUP(MONTH($H386)/3,0))</f>
        <v/>
      </c>
      <c r="S386" s="1" t="str">
        <f aca="false">IF($C386="","",$C386&amp;"|"&amp;$E386&amp;"|"&amp;$F386&amp;"|"&amp;$L386&amp;"|"&amp;$P386&amp;"|"&amp;TEXT($H386,"yyyy-mm-dd"))</f>
        <v/>
      </c>
      <c r="T386" s="1" t="str">
        <f aca="false">IF($S386="","",IF(COUNTIF($S$2:$S$2991,$S386)&gt;1,"DUPLICATE","OK"))</f>
        <v/>
      </c>
      <c r="U386" s="0" t="str">
        <f aca="false">IF($L386="","",IFERROR(VLOOKUP(--$L386,MM_Income!$Z$5:$AC$204,3,FALSE()),"UNMAPPED"))</f>
        <v/>
      </c>
    </row>
    <row r="387" customFormat="false" ht="13.5" hidden="false" customHeight="false" outlineLevel="0" collapsed="false">
      <c r="A387" s="1" t="str">
        <f aca="false">IF($C387="","",Controls!$B$7)</f>
        <v/>
      </c>
      <c r="B387" s="1" t="str">
        <f aca="false">IF($H387="","",YEAR($H387)&amp;"-Q"&amp;ROUNDUP(MONTH($H387)/3,0))</f>
        <v/>
      </c>
      <c r="S387" s="1" t="str">
        <f aca="false">IF($C387="","",$C387&amp;"|"&amp;$E387&amp;"|"&amp;$F387&amp;"|"&amp;$L387&amp;"|"&amp;$P387&amp;"|"&amp;TEXT($H387,"yyyy-mm-dd"))</f>
        <v/>
      </c>
      <c r="T387" s="1" t="str">
        <f aca="false">IF($S387="","",IF(COUNTIF($S$2:$S$2991,$S387)&gt;1,"DUPLICATE","OK"))</f>
        <v/>
      </c>
      <c r="U387" s="0" t="str">
        <f aca="false">IF($L387="","",IFERROR(VLOOKUP(--$L387,MM_Income!$Z$5:$AC$204,3,FALSE()),"UNMAPPED"))</f>
        <v/>
      </c>
    </row>
    <row r="388" customFormat="false" ht="13.5" hidden="false" customHeight="false" outlineLevel="0" collapsed="false">
      <c r="A388" s="1" t="str">
        <f aca="false">IF($C388="","",Controls!$B$7)</f>
        <v/>
      </c>
      <c r="B388" s="1" t="str">
        <f aca="false">IF($H388="","",YEAR($H388)&amp;"-Q"&amp;ROUNDUP(MONTH($H388)/3,0))</f>
        <v/>
      </c>
      <c r="S388" s="1" t="str">
        <f aca="false">IF($C388="","",$C388&amp;"|"&amp;$E388&amp;"|"&amp;$F388&amp;"|"&amp;$L388&amp;"|"&amp;$P388&amp;"|"&amp;TEXT($H388,"yyyy-mm-dd"))</f>
        <v/>
      </c>
      <c r="T388" s="1" t="str">
        <f aca="false">IF($S388="","",IF(COUNTIF($S$2:$S$2991,$S388)&gt;1,"DUPLICATE","OK"))</f>
        <v/>
      </c>
      <c r="U388" s="0" t="str">
        <f aca="false">IF($L388="","",IFERROR(VLOOKUP(--$L388,MM_Income!$Z$5:$AC$204,3,FALSE()),"UNMAPPED"))</f>
        <v/>
      </c>
    </row>
    <row r="389" customFormat="false" ht="13.5" hidden="false" customHeight="false" outlineLevel="0" collapsed="false">
      <c r="A389" s="1" t="str">
        <f aca="false">IF($C389="","",Controls!$B$7)</f>
        <v/>
      </c>
      <c r="B389" s="1" t="str">
        <f aca="false">IF($H389="","",YEAR($H389)&amp;"-Q"&amp;ROUNDUP(MONTH($H389)/3,0))</f>
        <v/>
      </c>
      <c r="S389" s="1" t="str">
        <f aca="false">IF($C389="","",$C389&amp;"|"&amp;$E389&amp;"|"&amp;$F389&amp;"|"&amp;$L389&amp;"|"&amp;$P389&amp;"|"&amp;TEXT($H389,"yyyy-mm-dd"))</f>
        <v/>
      </c>
      <c r="T389" s="1" t="str">
        <f aca="false">IF($S389="","",IF(COUNTIF($S$2:$S$2991,$S389)&gt;1,"DUPLICATE","OK"))</f>
        <v/>
      </c>
      <c r="U389" s="0" t="str">
        <f aca="false">IF($L389="","",IFERROR(VLOOKUP(--$L389,MM_Income!$Z$5:$AC$204,3,FALSE()),"UNMAPPED"))</f>
        <v/>
      </c>
    </row>
    <row r="390" customFormat="false" ht="13.5" hidden="false" customHeight="false" outlineLevel="0" collapsed="false">
      <c r="A390" s="1" t="str">
        <f aca="false">IF($C390="","",Controls!$B$7)</f>
        <v/>
      </c>
      <c r="B390" s="1" t="str">
        <f aca="false">IF($H390="","",YEAR($H390)&amp;"-Q"&amp;ROUNDUP(MONTH($H390)/3,0))</f>
        <v/>
      </c>
      <c r="S390" s="1" t="str">
        <f aca="false">IF($C390="","",$C390&amp;"|"&amp;$E390&amp;"|"&amp;$F390&amp;"|"&amp;$L390&amp;"|"&amp;$P390&amp;"|"&amp;TEXT($H390,"yyyy-mm-dd"))</f>
        <v/>
      </c>
      <c r="T390" s="1" t="str">
        <f aca="false">IF($S390="","",IF(COUNTIF($S$2:$S$2991,$S390)&gt;1,"DUPLICATE","OK"))</f>
        <v/>
      </c>
      <c r="U390" s="0" t="str">
        <f aca="false">IF($L390="","",IFERROR(VLOOKUP(--$L390,MM_Income!$Z$5:$AC$204,3,FALSE()),"UNMAPPED"))</f>
        <v/>
      </c>
    </row>
    <row r="391" customFormat="false" ht="13.5" hidden="false" customHeight="false" outlineLevel="0" collapsed="false">
      <c r="A391" s="1" t="str">
        <f aca="false">IF($C391="","",Controls!$B$7)</f>
        <v/>
      </c>
      <c r="B391" s="1" t="str">
        <f aca="false">IF($H391="","",YEAR($H391)&amp;"-Q"&amp;ROUNDUP(MONTH($H391)/3,0))</f>
        <v/>
      </c>
      <c r="S391" s="1" t="str">
        <f aca="false">IF($C391="","",$C391&amp;"|"&amp;$E391&amp;"|"&amp;$F391&amp;"|"&amp;$L391&amp;"|"&amp;$P391&amp;"|"&amp;TEXT($H391,"yyyy-mm-dd"))</f>
        <v/>
      </c>
      <c r="T391" s="1" t="str">
        <f aca="false">IF($S391="","",IF(COUNTIF($S$2:$S$2991,$S391)&gt;1,"DUPLICATE","OK"))</f>
        <v/>
      </c>
      <c r="U391" s="0" t="str">
        <f aca="false">IF($L391="","",IFERROR(VLOOKUP(--$L391,MM_Income!$Z$5:$AC$204,3,FALSE()),"UNMAPPED"))</f>
        <v/>
      </c>
    </row>
    <row r="392" customFormat="false" ht="13.5" hidden="false" customHeight="false" outlineLevel="0" collapsed="false">
      <c r="A392" s="1" t="str">
        <f aca="false">IF($C392="","",Controls!$B$7)</f>
        <v/>
      </c>
      <c r="B392" s="1" t="str">
        <f aca="false">IF($H392="","",YEAR($H392)&amp;"-Q"&amp;ROUNDUP(MONTH($H392)/3,0))</f>
        <v/>
      </c>
      <c r="S392" s="1" t="str">
        <f aca="false">IF($C392="","",$C392&amp;"|"&amp;$E392&amp;"|"&amp;$F392&amp;"|"&amp;$L392&amp;"|"&amp;$P392&amp;"|"&amp;TEXT($H392,"yyyy-mm-dd"))</f>
        <v/>
      </c>
      <c r="T392" s="1" t="str">
        <f aca="false">IF($S392="","",IF(COUNTIF($S$2:$S$2991,$S392)&gt;1,"DUPLICATE","OK"))</f>
        <v/>
      </c>
      <c r="U392" s="0" t="str">
        <f aca="false">IF($L392="","",IFERROR(VLOOKUP(--$L392,MM_Income!$Z$5:$AC$204,3,FALSE()),"UNMAPPED"))</f>
        <v/>
      </c>
    </row>
    <row r="393" customFormat="false" ht="13.5" hidden="false" customHeight="false" outlineLevel="0" collapsed="false">
      <c r="A393" s="1" t="str">
        <f aca="false">IF($C393="","",Controls!$B$7)</f>
        <v/>
      </c>
      <c r="B393" s="1" t="str">
        <f aca="false">IF($H393="","",YEAR($H393)&amp;"-Q"&amp;ROUNDUP(MONTH($H393)/3,0))</f>
        <v/>
      </c>
      <c r="S393" s="1" t="str">
        <f aca="false">IF($C393="","",$C393&amp;"|"&amp;$E393&amp;"|"&amp;$F393&amp;"|"&amp;$L393&amp;"|"&amp;$P393&amp;"|"&amp;TEXT($H393,"yyyy-mm-dd"))</f>
        <v/>
      </c>
      <c r="T393" s="1" t="str">
        <f aca="false">IF($S393="","",IF(COUNTIF($S$2:$S$2991,$S393)&gt;1,"DUPLICATE","OK"))</f>
        <v/>
      </c>
      <c r="U393" s="0" t="str">
        <f aca="false">IF($L393="","",IFERROR(VLOOKUP(--$L393,MM_Income!$Z$5:$AC$204,3,FALSE()),"UNMAPPED"))</f>
        <v/>
      </c>
    </row>
    <row r="394" customFormat="false" ht="13.5" hidden="false" customHeight="false" outlineLevel="0" collapsed="false">
      <c r="A394" s="1" t="str">
        <f aca="false">IF($C394="","",Controls!$B$7)</f>
        <v/>
      </c>
      <c r="B394" s="1" t="str">
        <f aca="false">IF($H394="","",YEAR($H394)&amp;"-Q"&amp;ROUNDUP(MONTH($H394)/3,0))</f>
        <v/>
      </c>
      <c r="S394" s="1" t="str">
        <f aca="false">IF($C394="","",$C394&amp;"|"&amp;$E394&amp;"|"&amp;$F394&amp;"|"&amp;$L394&amp;"|"&amp;$P394&amp;"|"&amp;TEXT($H394,"yyyy-mm-dd"))</f>
        <v/>
      </c>
      <c r="T394" s="1" t="str">
        <f aca="false">IF($S394="","",IF(COUNTIF($S$2:$S$2991,$S394)&gt;1,"DUPLICATE","OK"))</f>
        <v/>
      </c>
      <c r="U394" s="0" t="str">
        <f aca="false">IF($L394="","",IFERROR(VLOOKUP(--$L394,MM_Income!$Z$5:$AC$204,3,FALSE()),"UNMAPPED"))</f>
        <v/>
      </c>
    </row>
    <row r="395" customFormat="false" ht="13.5" hidden="false" customHeight="false" outlineLevel="0" collapsed="false">
      <c r="A395" s="1" t="str">
        <f aca="false">IF($C395="","",Controls!$B$7)</f>
        <v/>
      </c>
      <c r="B395" s="1" t="str">
        <f aca="false">IF($H395="","",YEAR($H395)&amp;"-Q"&amp;ROUNDUP(MONTH($H395)/3,0))</f>
        <v/>
      </c>
      <c r="S395" s="1" t="str">
        <f aca="false">IF($C395="","",$C395&amp;"|"&amp;$E395&amp;"|"&amp;$F395&amp;"|"&amp;$L395&amp;"|"&amp;$P395&amp;"|"&amp;TEXT($H395,"yyyy-mm-dd"))</f>
        <v/>
      </c>
      <c r="T395" s="1" t="str">
        <f aca="false">IF($S395="","",IF(COUNTIF($S$2:$S$2991,$S395)&gt;1,"DUPLICATE","OK"))</f>
        <v/>
      </c>
      <c r="U395" s="0" t="str">
        <f aca="false">IF($L395="","",IFERROR(VLOOKUP(--$L395,MM_Income!$Z$5:$AC$204,3,FALSE()),"UNMAPPED"))</f>
        <v/>
      </c>
    </row>
    <row r="396" customFormat="false" ht="13.5" hidden="false" customHeight="false" outlineLevel="0" collapsed="false">
      <c r="A396" s="1" t="str">
        <f aca="false">IF($C396="","",Controls!$B$7)</f>
        <v/>
      </c>
      <c r="B396" s="1" t="str">
        <f aca="false">IF($H396="","",YEAR($H396)&amp;"-Q"&amp;ROUNDUP(MONTH($H396)/3,0))</f>
        <v/>
      </c>
      <c r="S396" s="1" t="str">
        <f aca="false">IF($C396="","",$C396&amp;"|"&amp;$E396&amp;"|"&amp;$F396&amp;"|"&amp;$L396&amp;"|"&amp;$P396&amp;"|"&amp;TEXT($H396,"yyyy-mm-dd"))</f>
        <v/>
      </c>
      <c r="T396" s="1" t="str">
        <f aca="false">IF($S396="","",IF(COUNTIF($S$2:$S$2991,$S396)&gt;1,"DUPLICATE","OK"))</f>
        <v/>
      </c>
      <c r="U396" s="0" t="str">
        <f aca="false">IF($L396="","",IFERROR(VLOOKUP(--$L396,MM_Income!$Z$5:$AC$204,3,FALSE()),"UNMAPPED"))</f>
        <v/>
      </c>
    </row>
    <row r="397" customFormat="false" ht="13.5" hidden="false" customHeight="false" outlineLevel="0" collapsed="false">
      <c r="A397" s="1" t="str">
        <f aca="false">IF($C397="","",Controls!$B$7)</f>
        <v/>
      </c>
      <c r="B397" s="1" t="str">
        <f aca="false">IF($H397="","",YEAR($H397)&amp;"-Q"&amp;ROUNDUP(MONTH($H397)/3,0))</f>
        <v/>
      </c>
      <c r="S397" s="1" t="str">
        <f aca="false">IF($C397="","",$C397&amp;"|"&amp;$E397&amp;"|"&amp;$F397&amp;"|"&amp;$L397&amp;"|"&amp;$P397&amp;"|"&amp;TEXT($H397,"yyyy-mm-dd"))</f>
        <v/>
      </c>
      <c r="T397" s="1" t="str">
        <f aca="false">IF($S397="","",IF(COUNTIF($S$2:$S$2991,$S397)&gt;1,"DUPLICATE","OK"))</f>
        <v/>
      </c>
      <c r="U397" s="0" t="str">
        <f aca="false">IF($L397="","",IFERROR(VLOOKUP(--$L397,MM_Income!$Z$5:$AC$204,3,FALSE()),"UNMAPPED"))</f>
        <v/>
      </c>
    </row>
    <row r="398" customFormat="false" ht="13.5" hidden="false" customHeight="false" outlineLevel="0" collapsed="false">
      <c r="A398" s="1" t="str">
        <f aca="false">IF($C398="","",Controls!$B$7)</f>
        <v/>
      </c>
      <c r="B398" s="1" t="str">
        <f aca="false">IF($H398="","",YEAR($H398)&amp;"-Q"&amp;ROUNDUP(MONTH($H398)/3,0))</f>
        <v/>
      </c>
      <c r="S398" s="1" t="str">
        <f aca="false">IF($C398="","",$C398&amp;"|"&amp;$E398&amp;"|"&amp;$F398&amp;"|"&amp;$L398&amp;"|"&amp;$P398&amp;"|"&amp;TEXT($H398,"yyyy-mm-dd"))</f>
        <v/>
      </c>
      <c r="T398" s="1" t="str">
        <f aca="false">IF($S398="","",IF(COUNTIF($S$2:$S$2991,$S398)&gt;1,"DUPLICATE","OK"))</f>
        <v/>
      </c>
      <c r="U398" s="0" t="str">
        <f aca="false">IF($L398="","",IFERROR(VLOOKUP(--$L398,MM_Income!$Z$5:$AC$204,3,FALSE()),"UNMAPPED"))</f>
        <v/>
      </c>
    </row>
    <row r="399" customFormat="false" ht="13.5" hidden="false" customHeight="false" outlineLevel="0" collapsed="false">
      <c r="A399" s="1" t="str">
        <f aca="false">IF($C399="","",Controls!$B$7)</f>
        <v/>
      </c>
      <c r="B399" s="1" t="str">
        <f aca="false">IF($H399="","",YEAR($H399)&amp;"-Q"&amp;ROUNDUP(MONTH($H399)/3,0))</f>
        <v/>
      </c>
      <c r="S399" s="1" t="str">
        <f aca="false">IF($C399="","",$C399&amp;"|"&amp;$E399&amp;"|"&amp;$F399&amp;"|"&amp;$L399&amp;"|"&amp;$P399&amp;"|"&amp;TEXT($H399,"yyyy-mm-dd"))</f>
        <v/>
      </c>
      <c r="T399" s="1" t="str">
        <f aca="false">IF($S399="","",IF(COUNTIF($S$2:$S$2991,$S399)&gt;1,"DUPLICATE","OK"))</f>
        <v/>
      </c>
      <c r="U399" s="0" t="str">
        <f aca="false">IF($L399="","",IFERROR(VLOOKUP(--$L399,MM_Income!$Z$5:$AC$204,3,FALSE()),"UNMAPPED"))</f>
        <v/>
      </c>
    </row>
    <row r="400" customFormat="false" ht="13.5" hidden="false" customHeight="false" outlineLevel="0" collapsed="false">
      <c r="A400" s="1" t="str">
        <f aca="false">IF($C400="","",Controls!$B$7)</f>
        <v/>
      </c>
      <c r="B400" s="1" t="str">
        <f aca="false">IF($H400="","",YEAR($H400)&amp;"-Q"&amp;ROUNDUP(MONTH($H400)/3,0))</f>
        <v/>
      </c>
      <c r="S400" s="1" t="str">
        <f aca="false">IF($C400="","",$C400&amp;"|"&amp;$E400&amp;"|"&amp;$F400&amp;"|"&amp;$L400&amp;"|"&amp;$P400&amp;"|"&amp;TEXT($H400,"yyyy-mm-dd"))</f>
        <v/>
      </c>
      <c r="T400" s="1" t="str">
        <f aca="false">IF($S400="","",IF(COUNTIF($S$2:$S$2991,$S400)&gt;1,"DUPLICATE","OK"))</f>
        <v/>
      </c>
      <c r="U400" s="0" t="str">
        <f aca="false">IF($L400="","",IFERROR(VLOOKUP(--$L400,MM_Income!$Z$5:$AC$204,3,FALSE()),"UNMAPPED"))</f>
        <v/>
      </c>
    </row>
    <row r="401" customFormat="false" ht="13.5" hidden="false" customHeight="false" outlineLevel="0" collapsed="false">
      <c r="A401" s="1" t="str">
        <f aca="false">IF($C401="","",Controls!$B$7)</f>
        <v/>
      </c>
      <c r="B401" s="1" t="str">
        <f aca="false">IF($H401="","",YEAR($H401)&amp;"-Q"&amp;ROUNDUP(MONTH($H401)/3,0))</f>
        <v/>
      </c>
      <c r="S401" s="1" t="str">
        <f aca="false">IF($C401="","",$C401&amp;"|"&amp;$E401&amp;"|"&amp;$F401&amp;"|"&amp;$L401&amp;"|"&amp;$P401&amp;"|"&amp;TEXT($H401,"yyyy-mm-dd"))</f>
        <v/>
      </c>
      <c r="T401" s="1" t="str">
        <f aca="false">IF($S401="","",IF(COUNTIF($S$2:$S$2991,$S401)&gt;1,"DUPLICATE","OK"))</f>
        <v/>
      </c>
      <c r="U401" s="0" t="str">
        <f aca="false">IF($L401="","",IFERROR(VLOOKUP(--$L401,MM_Income!$Z$5:$AC$204,3,FALSE()),"UNMAPPED"))</f>
        <v/>
      </c>
    </row>
    <row r="402" customFormat="false" ht="13.5" hidden="false" customHeight="false" outlineLevel="0" collapsed="false">
      <c r="A402" s="1" t="str">
        <f aca="false">IF($C402="","",Controls!$B$7)</f>
        <v/>
      </c>
      <c r="B402" s="1" t="str">
        <f aca="false">IF($H402="","",YEAR($H402)&amp;"-Q"&amp;ROUNDUP(MONTH($H402)/3,0))</f>
        <v/>
      </c>
      <c r="S402" s="1" t="str">
        <f aca="false">IF($C402="","",$C402&amp;"|"&amp;$E402&amp;"|"&amp;$F402&amp;"|"&amp;$L402&amp;"|"&amp;$P402&amp;"|"&amp;TEXT($H402,"yyyy-mm-dd"))</f>
        <v/>
      </c>
      <c r="T402" s="1" t="str">
        <f aca="false">IF($S402="","",IF(COUNTIF($S$2:$S$2991,$S402)&gt;1,"DUPLICATE","OK"))</f>
        <v/>
      </c>
      <c r="U402" s="0" t="str">
        <f aca="false">IF($L402="","",IFERROR(VLOOKUP(--$L402,MM_Income!$Z$5:$AC$204,3,FALSE()),"UNMAPPED"))</f>
        <v/>
      </c>
    </row>
    <row r="403" customFormat="false" ht="13.5" hidden="false" customHeight="false" outlineLevel="0" collapsed="false">
      <c r="A403" s="1" t="str">
        <f aca="false">IF($C403="","",Controls!$B$7)</f>
        <v/>
      </c>
      <c r="B403" s="1" t="str">
        <f aca="false">IF($H403="","",YEAR($H403)&amp;"-Q"&amp;ROUNDUP(MONTH($H403)/3,0))</f>
        <v/>
      </c>
      <c r="S403" s="1" t="str">
        <f aca="false">IF($C403="","",$C403&amp;"|"&amp;$E403&amp;"|"&amp;$F403&amp;"|"&amp;$L403&amp;"|"&amp;$P403&amp;"|"&amp;TEXT($H403,"yyyy-mm-dd"))</f>
        <v/>
      </c>
      <c r="T403" s="1" t="str">
        <f aca="false">IF($S403="","",IF(COUNTIF($S$2:$S$2991,$S403)&gt;1,"DUPLICATE","OK"))</f>
        <v/>
      </c>
      <c r="U403" s="0" t="str">
        <f aca="false">IF($L403="","",IFERROR(VLOOKUP(--$L403,MM_Income!$Z$5:$AC$204,3,FALSE()),"UNMAPPED"))</f>
        <v/>
      </c>
    </row>
    <row r="404" customFormat="false" ht="13.5" hidden="false" customHeight="false" outlineLevel="0" collapsed="false">
      <c r="A404" s="1" t="str">
        <f aca="false">IF($C404="","",Controls!$B$7)</f>
        <v/>
      </c>
      <c r="B404" s="1" t="str">
        <f aca="false">IF($H404="","",YEAR($H404)&amp;"-Q"&amp;ROUNDUP(MONTH($H404)/3,0))</f>
        <v/>
      </c>
      <c r="S404" s="1" t="str">
        <f aca="false">IF($C404="","",$C404&amp;"|"&amp;$E404&amp;"|"&amp;$F404&amp;"|"&amp;$L404&amp;"|"&amp;$P404&amp;"|"&amp;TEXT($H404,"yyyy-mm-dd"))</f>
        <v/>
      </c>
      <c r="T404" s="1" t="str">
        <f aca="false">IF($S404="","",IF(COUNTIF($S$2:$S$2991,$S404)&gt;1,"DUPLICATE","OK"))</f>
        <v/>
      </c>
      <c r="U404" s="0" t="str">
        <f aca="false">IF($L404="","",IFERROR(VLOOKUP(--$L404,MM_Income!$Z$5:$AC$204,3,FALSE()),"UNMAPPED"))</f>
        <v/>
      </c>
    </row>
    <row r="405" customFormat="false" ht="13.5" hidden="false" customHeight="false" outlineLevel="0" collapsed="false">
      <c r="A405" s="1" t="str">
        <f aca="false">IF($C405="","",Controls!$B$7)</f>
        <v/>
      </c>
      <c r="B405" s="1" t="str">
        <f aca="false">IF($H405="","",YEAR($H405)&amp;"-Q"&amp;ROUNDUP(MONTH($H405)/3,0))</f>
        <v/>
      </c>
      <c r="S405" s="1" t="str">
        <f aca="false">IF($C405="","",$C405&amp;"|"&amp;$E405&amp;"|"&amp;$F405&amp;"|"&amp;$L405&amp;"|"&amp;$P405&amp;"|"&amp;TEXT($H405,"yyyy-mm-dd"))</f>
        <v/>
      </c>
      <c r="T405" s="1" t="str">
        <f aca="false">IF($S405="","",IF(COUNTIF($S$2:$S$2991,$S405)&gt;1,"DUPLICATE","OK"))</f>
        <v/>
      </c>
      <c r="U405" s="0" t="str">
        <f aca="false">IF($L405="","",IFERROR(VLOOKUP(--$L405,MM_Income!$Z$5:$AC$204,3,FALSE()),"UNMAPPED"))</f>
        <v/>
      </c>
    </row>
    <row r="406" customFormat="false" ht="13.5" hidden="false" customHeight="false" outlineLevel="0" collapsed="false">
      <c r="A406" s="1" t="str">
        <f aca="false">IF($C406="","",Controls!$B$7)</f>
        <v/>
      </c>
      <c r="B406" s="1" t="str">
        <f aca="false">IF($H406="","",YEAR($H406)&amp;"-Q"&amp;ROUNDUP(MONTH($H406)/3,0))</f>
        <v/>
      </c>
      <c r="S406" s="1" t="str">
        <f aca="false">IF($C406="","",$C406&amp;"|"&amp;$E406&amp;"|"&amp;$F406&amp;"|"&amp;$L406&amp;"|"&amp;$P406&amp;"|"&amp;TEXT($H406,"yyyy-mm-dd"))</f>
        <v/>
      </c>
      <c r="T406" s="1" t="str">
        <f aca="false">IF($S406="","",IF(COUNTIF($S$2:$S$2991,$S406)&gt;1,"DUPLICATE","OK"))</f>
        <v/>
      </c>
      <c r="U406" s="0" t="str">
        <f aca="false">IF($L406="","",IFERROR(VLOOKUP(--$L406,MM_Income!$Z$5:$AC$204,3,FALSE()),"UNMAPPED"))</f>
        <v/>
      </c>
    </row>
    <row r="407" customFormat="false" ht="13.5" hidden="false" customHeight="false" outlineLevel="0" collapsed="false">
      <c r="A407" s="1" t="str">
        <f aca="false">IF($C407="","",Controls!$B$7)</f>
        <v/>
      </c>
      <c r="B407" s="1" t="str">
        <f aca="false">IF($H407="","",YEAR($H407)&amp;"-Q"&amp;ROUNDUP(MONTH($H407)/3,0))</f>
        <v/>
      </c>
      <c r="S407" s="1" t="str">
        <f aca="false">IF($C407="","",$C407&amp;"|"&amp;$E407&amp;"|"&amp;$F407&amp;"|"&amp;$L407&amp;"|"&amp;$P407&amp;"|"&amp;TEXT($H407,"yyyy-mm-dd"))</f>
        <v/>
      </c>
      <c r="T407" s="1" t="str">
        <f aca="false">IF($S407="","",IF(COUNTIF($S$2:$S$2991,$S407)&gt;1,"DUPLICATE","OK"))</f>
        <v/>
      </c>
      <c r="U407" s="0" t="str">
        <f aca="false">IF($L407="","",IFERROR(VLOOKUP(--$L407,MM_Income!$Z$5:$AC$204,3,FALSE()),"UNMAPPED"))</f>
        <v/>
      </c>
    </row>
    <row r="408" customFormat="false" ht="13.5" hidden="false" customHeight="false" outlineLevel="0" collapsed="false">
      <c r="A408" s="1" t="str">
        <f aca="false">IF($C408="","",Controls!$B$7)</f>
        <v/>
      </c>
      <c r="B408" s="1" t="str">
        <f aca="false">IF($H408="","",YEAR($H408)&amp;"-Q"&amp;ROUNDUP(MONTH($H408)/3,0))</f>
        <v/>
      </c>
      <c r="S408" s="1" t="str">
        <f aca="false">IF($C408="","",$C408&amp;"|"&amp;$E408&amp;"|"&amp;$F408&amp;"|"&amp;$L408&amp;"|"&amp;$P408&amp;"|"&amp;TEXT($H408,"yyyy-mm-dd"))</f>
        <v/>
      </c>
      <c r="T408" s="1" t="str">
        <f aca="false">IF($S408="","",IF(COUNTIF($S$2:$S$2991,$S408)&gt;1,"DUPLICATE","OK"))</f>
        <v/>
      </c>
      <c r="U408" s="0" t="str">
        <f aca="false">IF($L408="","",IFERROR(VLOOKUP(--$L408,MM_Income!$Z$5:$AC$204,3,FALSE()),"UNMAPPED"))</f>
        <v/>
      </c>
    </row>
    <row r="409" customFormat="false" ht="13.5" hidden="false" customHeight="false" outlineLevel="0" collapsed="false">
      <c r="A409" s="1" t="str">
        <f aca="false">IF($C409="","",Controls!$B$7)</f>
        <v/>
      </c>
      <c r="B409" s="1" t="str">
        <f aca="false">IF($H409="","",YEAR($H409)&amp;"-Q"&amp;ROUNDUP(MONTH($H409)/3,0))</f>
        <v/>
      </c>
      <c r="S409" s="1" t="str">
        <f aca="false">IF($C409="","",$C409&amp;"|"&amp;$E409&amp;"|"&amp;$F409&amp;"|"&amp;$L409&amp;"|"&amp;$P409&amp;"|"&amp;TEXT($H409,"yyyy-mm-dd"))</f>
        <v/>
      </c>
      <c r="T409" s="1" t="str">
        <f aca="false">IF($S409="","",IF(COUNTIF($S$2:$S$2991,$S409)&gt;1,"DUPLICATE","OK"))</f>
        <v/>
      </c>
      <c r="U409" s="0" t="str">
        <f aca="false">IF($L409="","",IFERROR(VLOOKUP(--$L409,MM_Income!$Z$5:$AC$204,3,FALSE()),"UNMAPPED"))</f>
        <v/>
      </c>
    </row>
    <row r="410" customFormat="false" ht="13.5" hidden="false" customHeight="false" outlineLevel="0" collapsed="false">
      <c r="A410" s="1" t="str">
        <f aca="false">IF($C410="","",Controls!$B$7)</f>
        <v/>
      </c>
      <c r="B410" s="1" t="str">
        <f aca="false">IF($H410="","",YEAR($H410)&amp;"-Q"&amp;ROUNDUP(MONTH($H410)/3,0))</f>
        <v/>
      </c>
      <c r="S410" s="1" t="str">
        <f aca="false">IF($C410="","",$C410&amp;"|"&amp;$E410&amp;"|"&amp;$F410&amp;"|"&amp;$L410&amp;"|"&amp;$P410&amp;"|"&amp;TEXT($H410,"yyyy-mm-dd"))</f>
        <v/>
      </c>
      <c r="T410" s="1" t="str">
        <f aca="false">IF($S410="","",IF(COUNTIF($S$2:$S$2991,$S410)&gt;1,"DUPLICATE","OK"))</f>
        <v/>
      </c>
      <c r="U410" s="0" t="str">
        <f aca="false">IF($L410="","",IFERROR(VLOOKUP(--$L410,MM_Income!$Z$5:$AC$204,3,FALSE()),"UNMAPPED"))</f>
        <v/>
      </c>
    </row>
    <row r="411" customFormat="false" ht="13.5" hidden="false" customHeight="false" outlineLevel="0" collapsed="false">
      <c r="A411" s="1" t="str">
        <f aca="false">IF($C411="","",Controls!$B$7)</f>
        <v/>
      </c>
      <c r="B411" s="1" t="str">
        <f aca="false">IF($H411="","",YEAR($H411)&amp;"-Q"&amp;ROUNDUP(MONTH($H411)/3,0))</f>
        <v/>
      </c>
      <c r="S411" s="1" t="str">
        <f aca="false">IF($C411="","",$C411&amp;"|"&amp;$E411&amp;"|"&amp;$F411&amp;"|"&amp;$L411&amp;"|"&amp;$P411&amp;"|"&amp;TEXT($H411,"yyyy-mm-dd"))</f>
        <v/>
      </c>
      <c r="T411" s="1" t="str">
        <f aca="false">IF($S411="","",IF(COUNTIF($S$2:$S$2991,$S411)&gt;1,"DUPLICATE","OK"))</f>
        <v/>
      </c>
      <c r="U411" s="0" t="str">
        <f aca="false">IF($L411="","",IFERROR(VLOOKUP(--$L411,MM_Income!$Z$5:$AC$204,3,FALSE()),"UNMAPPED"))</f>
        <v/>
      </c>
    </row>
    <row r="412" customFormat="false" ht="13.5" hidden="false" customHeight="false" outlineLevel="0" collapsed="false">
      <c r="A412" s="1" t="str">
        <f aca="false">IF($C412="","",Controls!$B$7)</f>
        <v/>
      </c>
      <c r="B412" s="1" t="str">
        <f aca="false">IF($H412="","",YEAR($H412)&amp;"-Q"&amp;ROUNDUP(MONTH($H412)/3,0))</f>
        <v/>
      </c>
      <c r="S412" s="1" t="str">
        <f aca="false">IF($C412="","",$C412&amp;"|"&amp;$E412&amp;"|"&amp;$F412&amp;"|"&amp;$L412&amp;"|"&amp;$P412&amp;"|"&amp;TEXT($H412,"yyyy-mm-dd"))</f>
        <v/>
      </c>
      <c r="T412" s="1" t="str">
        <f aca="false">IF($S412="","",IF(COUNTIF($S$2:$S$2991,$S412)&gt;1,"DUPLICATE","OK"))</f>
        <v/>
      </c>
      <c r="U412" s="0" t="str">
        <f aca="false">IF($L412="","",IFERROR(VLOOKUP(--$L412,MM_Income!$Z$5:$AC$204,3,FALSE()),"UNMAPPED"))</f>
        <v/>
      </c>
    </row>
    <row r="413" customFormat="false" ht="13.5" hidden="false" customHeight="false" outlineLevel="0" collapsed="false">
      <c r="A413" s="1" t="str">
        <f aca="false">IF($C413="","",Controls!$B$7)</f>
        <v/>
      </c>
      <c r="B413" s="1" t="str">
        <f aca="false">IF($H413="","",YEAR($H413)&amp;"-Q"&amp;ROUNDUP(MONTH($H413)/3,0))</f>
        <v/>
      </c>
      <c r="S413" s="1" t="str">
        <f aca="false">IF($C413="","",$C413&amp;"|"&amp;$E413&amp;"|"&amp;$F413&amp;"|"&amp;$L413&amp;"|"&amp;$P413&amp;"|"&amp;TEXT($H413,"yyyy-mm-dd"))</f>
        <v/>
      </c>
      <c r="T413" s="1" t="str">
        <f aca="false">IF($S413="","",IF(COUNTIF($S$2:$S$2991,$S413)&gt;1,"DUPLICATE","OK"))</f>
        <v/>
      </c>
      <c r="U413" s="0" t="str">
        <f aca="false">IF($L413="","",IFERROR(VLOOKUP(--$L413,MM_Income!$Z$5:$AC$204,3,FALSE()),"UNMAPPED"))</f>
        <v/>
      </c>
    </row>
    <row r="414" customFormat="false" ht="13.5" hidden="false" customHeight="false" outlineLevel="0" collapsed="false">
      <c r="A414" s="1" t="str">
        <f aca="false">IF($C414="","",Controls!$B$7)</f>
        <v/>
      </c>
      <c r="B414" s="1" t="str">
        <f aca="false">IF($H414="","",YEAR($H414)&amp;"-Q"&amp;ROUNDUP(MONTH($H414)/3,0))</f>
        <v/>
      </c>
      <c r="S414" s="1" t="str">
        <f aca="false">IF($C414="","",$C414&amp;"|"&amp;$E414&amp;"|"&amp;$F414&amp;"|"&amp;$L414&amp;"|"&amp;$P414&amp;"|"&amp;TEXT($H414,"yyyy-mm-dd"))</f>
        <v/>
      </c>
      <c r="T414" s="1" t="str">
        <f aca="false">IF($S414="","",IF(COUNTIF($S$2:$S$2991,$S414)&gt;1,"DUPLICATE","OK"))</f>
        <v/>
      </c>
      <c r="U414" s="0" t="str">
        <f aca="false">IF($L414="","",IFERROR(VLOOKUP(--$L414,MM_Income!$Z$5:$AC$204,3,FALSE()),"UNMAPPED"))</f>
        <v/>
      </c>
    </row>
    <row r="415" customFormat="false" ht="13.5" hidden="false" customHeight="false" outlineLevel="0" collapsed="false">
      <c r="A415" s="1" t="str">
        <f aca="false">IF($C415="","",Controls!$B$7)</f>
        <v/>
      </c>
      <c r="B415" s="1" t="str">
        <f aca="false">IF($H415="","",YEAR($H415)&amp;"-Q"&amp;ROUNDUP(MONTH($H415)/3,0))</f>
        <v/>
      </c>
      <c r="S415" s="1" t="str">
        <f aca="false">IF($C415="","",$C415&amp;"|"&amp;$E415&amp;"|"&amp;$F415&amp;"|"&amp;$L415&amp;"|"&amp;$P415&amp;"|"&amp;TEXT($H415,"yyyy-mm-dd"))</f>
        <v/>
      </c>
      <c r="T415" s="1" t="str">
        <f aca="false">IF($S415="","",IF(COUNTIF($S$2:$S$2991,$S415)&gt;1,"DUPLICATE","OK"))</f>
        <v/>
      </c>
      <c r="U415" s="0" t="str">
        <f aca="false">IF($L415="","",IFERROR(VLOOKUP(--$L415,MM_Income!$Z$5:$AC$204,3,FALSE()),"UNMAPPED"))</f>
        <v/>
      </c>
    </row>
    <row r="416" customFormat="false" ht="13.5" hidden="false" customHeight="false" outlineLevel="0" collapsed="false">
      <c r="A416" s="1" t="str">
        <f aca="false">IF($C416="","",Controls!$B$7)</f>
        <v/>
      </c>
      <c r="B416" s="1" t="str">
        <f aca="false">IF($H416="","",YEAR($H416)&amp;"-Q"&amp;ROUNDUP(MONTH($H416)/3,0))</f>
        <v/>
      </c>
      <c r="S416" s="1" t="str">
        <f aca="false">IF($C416="","",$C416&amp;"|"&amp;$E416&amp;"|"&amp;$F416&amp;"|"&amp;$L416&amp;"|"&amp;$P416&amp;"|"&amp;TEXT($H416,"yyyy-mm-dd"))</f>
        <v/>
      </c>
      <c r="T416" s="1" t="str">
        <f aca="false">IF($S416="","",IF(COUNTIF($S$2:$S$2991,$S416)&gt;1,"DUPLICATE","OK"))</f>
        <v/>
      </c>
      <c r="U416" s="0" t="str">
        <f aca="false">IF($L416="","",IFERROR(VLOOKUP(--$L416,MM_Income!$Z$5:$AC$204,3,FALSE()),"UNMAPPED"))</f>
        <v/>
      </c>
    </row>
    <row r="417" customFormat="false" ht="13.5" hidden="false" customHeight="false" outlineLevel="0" collapsed="false">
      <c r="A417" s="1" t="str">
        <f aca="false">IF($C417="","",Controls!$B$7)</f>
        <v/>
      </c>
      <c r="B417" s="1" t="str">
        <f aca="false">IF($H417="","",YEAR($H417)&amp;"-Q"&amp;ROUNDUP(MONTH($H417)/3,0))</f>
        <v/>
      </c>
      <c r="S417" s="1" t="str">
        <f aca="false">IF($C417="","",$C417&amp;"|"&amp;$E417&amp;"|"&amp;$F417&amp;"|"&amp;$L417&amp;"|"&amp;$P417&amp;"|"&amp;TEXT($H417,"yyyy-mm-dd"))</f>
        <v/>
      </c>
      <c r="T417" s="1" t="str">
        <f aca="false">IF($S417="","",IF(COUNTIF($S$2:$S$2991,$S417)&gt;1,"DUPLICATE","OK"))</f>
        <v/>
      </c>
      <c r="U417" s="0" t="str">
        <f aca="false">IF($L417="","",IFERROR(VLOOKUP(--$L417,MM_Income!$Z$5:$AC$204,3,FALSE()),"UNMAPPED"))</f>
        <v/>
      </c>
    </row>
    <row r="418" customFormat="false" ht="13.5" hidden="false" customHeight="false" outlineLevel="0" collapsed="false">
      <c r="A418" s="1" t="str">
        <f aca="false">IF($C418="","",Controls!$B$7)</f>
        <v/>
      </c>
      <c r="B418" s="1" t="str">
        <f aca="false">IF($H418="","",YEAR($H418)&amp;"-Q"&amp;ROUNDUP(MONTH($H418)/3,0))</f>
        <v/>
      </c>
      <c r="S418" s="1" t="str">
        <f aca="false">IF($C418="","",$C418&amp;"|"&amp;$E418&amp;"|"&amp;$F418&amp;"|"&amp;$L418&amp;"|"&amp;$P418&amp;"|"&amp;TEXT($H418,"yyyy-mm-dd"))</f>
        <v/>
      </c>
      <c r="T418" s="1" t="str">
        <f aca="false">IF($S418="","",IF(COUNTIF($S$2:$S$2991,$S418)&gt;1,"DUPLICATE","OK"))</f>
        <v/>
      </c>
      <c r="U418" s="0" t="str">
        <f aca="false">IF($L418="","",IFERROR(VLOOKUP(--$L418,MM_Income!$Z$5:$AC$204,3,FALSE()),"UNMAPPED"))</f>
        <v/>
      </c>
    </row>
    <row r="419" customFormat="false" ht="13.5" hidden="false" customHeight="false" outlineLevel="0" collapsed="false">
      <c r="A419" s="1" t="str">
        <f aca="false">IF($C419="","",Controls!$B$7)</f>
        <v/>
      </c>
      <c r="B419" s="1" t="str">
        <f aca="false">IF($H419="","",YEAR($H419)&amp;"-Q"&amp;ROUNDUP(MONTH($H419)/3,0))</f>
        <v/>
      </c>
      <c r="S419" s="1" t="str">
        <f aca="false">IF($C419="","",$C419&amp;"|"&amp;$E419&amp;"|"&amp;$F419&amp;"|"&amp;$L419&amp;"|"&amp;$P419&amp;"|"&amp;TEXT($H419,"yyyy-mm-dd"))</f>
        <v/>
      </c>
      <c r="T419" s="1" t="str">
        <f aca="false">IF($S419="","",IF(COUNTIF($S$2:$S$2991,$S419)&gt;1,"DUPLICATE","OK"))</f>
        <v/>
      </c>
      <c r="U419" s="0" t="str">
        <f aca="false">IF($L419="","",IFERROR(VLOOKUP(--$L419,MM_Income!$Z$5:$AC$204,3,FALSE()),"UNMAPPED"))</f>
        <v/>
      </c>
    </row>
    <row r="420" customFormat="false" ht="13.5" hidden="false" customHeight="false" outlineLevel="0" collapsed="false">
      <c r="A420" s="1" t="str">
        <f aca="false">IF($C420="","",Controls!$B$7)</f>
        <v/>
      </c>
      <c r="B420" s="1" t="str">
        <f aca="false">IF($H420="","",YEAR($H420)&amp;"-Q"&amp;ROUNDUP(MONTH($H420)/3,0))</f>
        <v/>
      </c>
      <c r="S420" s="1" t="str">
        <f aca="false">IF($C420="","",$C420&amp;"|"&amp;$E420&amp;"|"&amp;$F420&amp;"|"&amp;$L420&amp;"|"&amp;$P420&amp;"|"&amp;TEXT($H420,"yyyy-mm-dd"))</f>
        <v/>
      </c>
      <c r="T420" s="1" t="str">
        <f aca="false">IF($S420="","",IF(COUNTIF($S$2:$S$2991,$S420)&gt;1,"DUPLICATE","OK"))</f>
        <v/>
      </c>
      <c r="U420" s="0" t="str">
        <f aca="false">IF($L420="","",IFERROR(VLOOKUP(--$L420,MM_Income!$Z$5:$AC$204,3,FALSE()),"UNMAPPED"))</f>
        <v/>
      </c>
    </row>
    <row r="421" customFormat="false" ht="13.5" hidden="false" customHeight="false" outlineLevel="0" collapsed="false">
      <c r="A421" s="1" t="str">
        <f aca="false">IF($C421="","",Controls!$B$7)</f>
        <v/>
      </c>
      <c r="B421" s="1" t="str">
        <f aca="false">IF($H421="","",YEAR($H421)&amp;"-Q"&amp;ROUNDUP(MONTH($H421)/3,0))</f>
        <v/>
      </c>
      <c r="S421" s="1" t="str">
        <f aca="false">IF($C421="","",$C421&amp;"|"&amp;$E421&amp;"|"&amp;$F421&amp;"|"&amp;$L421&amp;"|"&amp;$P421&amp;"|"&amp;TEXT($H421,"yyyy-mm-dd"))</f>
        <v/>
      </c>
      <c r="T421" s="1" t="str">
        <f aca="false">IF($S421="","",IF(COUNTIF($S$2:$S$2991,$S421)&gt;1,"DUPLICATE","OK"))</f>
        <v/>
      </c>
      <c r="U421" s="0" t="str">
        <f aca="false">IF($L421="","",IFERROR(VLOOKUP(--$L421,MM_Income!$Z$5:$AC$204,3,FALSE()),"UNMAPPED"))</f>
        <v/>
      </c>
    </row>
    <row r="422" customFormat="false" ht="13.5" hidden="false" customHeight="false" outlineLevel="0" collapsed="false">
      <c r="A422" s="1" t="str">
        <f aca="false">IF($C422="","",Controls!$B$7)</f>
        <v/>
      </c>
      <c r="B422" s="1" t="str">
        <f aca="false">IF($H422="","",YEAR($H422)&amp;"-Q"&amp;ROUNDUP(MONTH($H422)/3,0))</f>
        <v/>
      </c>
      <c r="S422" s="1" t="str">
        <f aca="false">IF($C422="","",$C422&amp;"|"&amp;$E422&amp;"|"&amp;$F422&amp;"|"&amp;$L422&amp;"|"&amp;$P422&amp;"|"&amp;TEXT($H422,"yyyy-mm-dd"))</f>
        <v/>
      </c>
      <c r="T422" s="1" t="str">
        <f aca="false">IF($S422="","",IF(COUNTIF($S$2:$S$2991,$S422)&gt;1,"DUPLICATE","OK"))</f>
        <v/>
      </c>
      <c r="U422" s="0" t="str">
        <f aca="false">IF($L422="","",IFERROR(VLOOKUP(--$L422,MM_Income!$Z$5:$AC$204,3,FALSE()),"UNMAPPED"))</f>
        <v/>
      </c>
    </row>
    <row r="423" customFormat="false" ht="13.5" hidden="false" customHeight="false" outlineLevel="0" collapsed="false">
      <c r="A423" s="1" t="str">
        <f aca="false">IF($C423="","",Controls!$B$7)</f>
        <v/>
      </c>
      <c r="B423" s="1" t="str">
        <f aca="false">IF($H423="","",YEAR($H423)&amp;"-Q"&amp;ROUNDUP(MONTH($H423)/3,0))</f>
        <v/>
      </c>
      <c r="S423" s="1" t="str">
        <f aca="false">IF($C423="","",$C423&amp;"|"&amp;$E423&amp;"|"&amp;$F423&amp;"|"&amp;$L423&amp;"|"&amp;$P423&amp;"|"&amp;TEXT($H423,"yyyy-mm-dd"))</f>
        <v/>
      </c>
      <c r="T423" s="1" t="str">
        <f aca="false">IF($S423="","",IF(COUNTIF($S$2:$S$2991,$S423)&gt;1,"DUPLICATE","OK"))</f>
        <v/>
      </c>
      <c r="U423" s="0" t="str">
        <f aca="false">IF($L423="","",IFERROR(VLOOKUP(--$L423,MM_Income!$Z$5:$AC$204,3,FALSE()),"UNMAPPED"))</f>
        <v/>
      </c>
    </row>
    <row r="424" customFormat="false" ht="13.5" hidden="false" customHeight="false" outlineLevel="0" collapsed="false">
      <c r="A424" s="1" t="str">
        <f aca="false">IF($C424="","",Controls!$B$7)</f>
        <v/>
      </c>
      <c r="B424" s="1" t="str">
        <f aca="false">IF($H424="","",YEAR($H424)&amp;"-Q"&amp;ROUNDUP(MONTH($H424)/3,0))</f>
        <v/>
      </c>
      <c r="S424" s="1" t="str">
        <f aca="false">IF($C424="","",$C424&amp;"|"&amp;$E424&amp;"|"&amp;$F424&amp;"|"&amp;$L424&amp;"|"&amp;$P424&amp;"|"&amp;TEXT($H424,"yyyy-mm-dd"))</f>
        <v/>
      </c>
      <c r="T424" s="1" t="str">
        <f aca="false">IF($S424="","",IF(COUNTIF($S$2:$S$2991,$S424)&gt;1,"DUPLICATE","OK"))</f>
        <v/>
      </c>
      <c r="U424" s="0" t="str">
        <f aca="false">IF($L424="","",IFERROR(VLOOKUP(--$L424,MM_Income!$Z$5:$AC$204,3,FALSE()),"UNMAPPED"))</f>
        <v/>
      </c>
    </row>
    <row r="425" customFormat="false" ht="13.5" hidden="false" customHeight="false" outlineLevel="0" collapsed="false">
      <c r="A425" s="1" t="str">
        <f aca="false">IF($C425="","",Controls!$B$7)</f>
        <v/>
      </c>
      <c r="B425" s="1" t="str">
        <f aca="false">IF($H425="","",YEAR($H425)&amp;"-Q"&amp;ROUNDUP(MONTH($H425)/3,0))</f>
        <v/>
      </c>
      <c r="S425" s="1" t="str">
        <f aca="false">IF($C425="","",$C425&amp;"|"&amp;$E425&amp;"|"&amp;$F425&amp;"|"&amp;$L425&amp;"|"&amp;$P425&amp;"|"&amp;TEXT($H425,"yyyy-mm-dd"))</f>
        <v/>
      </c>
      <c r="T425" s="1" t="str">
        <f aca="false">IF($S425="","",IF(COUNTIF($S$2:$S$2991,$S425)&gt;1,"DUPLICATE","OK"))</f>
        <v/>
      </c>
      <c r="U425" s="0" t="str">
        <f aca="false">IF($L425="","",IFERROR(VLOOKUP(--$L425,MM_Income!$Z$5:$AC$204,3,FALSE()),"UNMAPPED"))</f>
        <v/>
      </c>
    </row>
    <row r="426" customFormat="false" ht="13.5" hidden="false" customHeight="false" outlineLevel="0" collapsed="false">
      <c r="A426" s="1" t="str">
        <f aca="false">IF($C426="","",Controls!$B$7)</f>
        <v/>
      </c>
      <c r="B426" s="1" t="str">
        <f aca="false">IF($H426="","",YEAR($H426)&amp;"-Q"&amp;ROUNDUP(MONTH($H426)/3,0))</f>
        <v/>
      </c>
      <c r="S426" s="1" t="str">
        <f aca="false">IF($C426="","",$C426&amp;"|"&amp;$E426&amp;"|"&amp;$F426&amp;"|"&amp;$L426&amp;"|"&amp;$P426&amp;"|"&amp;TEXT($H426,"yyyy-mm-dd"))</f>
        <v/>
      </c>
      <c r="T426" s="1" t="str">
        <f aca="false">IF($S426="","",IF(COUNTIF($S$2:$S$2991,$S426)&gt;1,"DUPLICATE","OK"))</f>
        <v/>
      </c>
      <c r="U426" s="0" t="str">
        <f aca="false">IF($L426="","",IFERROR(VLOOKUP(--$L426,MM_Income!$Z$5:$AC$204,3,FALSE()),"UNMAPPED"))</f>
        <v/>
      </c>
    </row>
    <row r="427" customFormat="false" ht="13.5" hidden="false" customHeight="false" outlineLevel="0" collapsed="false">
      <c r="A427" s="1" t="str">
        <f aca="false">IF($C427="","",Controls!$B$7)</f>
        <v/>
      </c>
      <c r="B427" s="1" t="str">
        <f aca="false">IF($H427="","",YEAR($H427)&amp;"-Q"&amp;ROUNDUP(MONTH($H427)/3,0))</f>
        <v/>
      </c>
      <c r="S427" s="1" t="str">
        <f aca="false">IF($C427="","",$C427&amp;"|"&amp;$E427&amp;"|"&amp;$F427&amp;"|"&amp;$L427&amp;"|"&amp;$P427&amp;"|"&amp;TEXT($H427,"yyyy-mm-dd"))</f>
        <v/>
      </c>
      <c r="T427" s="1" t="str">
        <f aca="false">IF($S427="","",IF(COUNTIF($S$2:$S$2991,$S427)&gt;1,"DUPLICATE","OK"))</f>
        <v/>
      </c>
      <c r="U427" s="0" t="str">
        <f aca="false">IF($L427="","",IFERROR(VLOOKUP(--$L427,MM_Income!$Z$5:$AC$204,3,FALSE()),"UNMAPPED"))</f>
        <v/>
      </c>
    </row>
    <row r="428" customFormat="false" ht="13.5" hidden="false" customHeight="false" outlineLevel="0" collapsed="false">
      <c r="A428" s="1" t="str">
        <f aca="false">IF($C428="","",Controls!$B$7)</f>
        <v/>
      </c>
      <c r="B428" s="1" t="str">
        <f aca="false">IF($H428="","",YEAR($H428)&amp;"-Q"&amp;ROUNDUP(MONTH($H428)/3,0))</f>
        <v/>
      </c>
      <c r="S428" s="1" t="str">
        <f aca="false">IF($C428="","",$C428&amp;"|"&amp;$E428&amp;"|"&amp;$F428&amp;"|"&amp;$L428&amp;"|"&amp;$P428&amp;"|"&amp;TEXT($H428,"yyyy-mm-dd"))</f>
        <v/>
      </c>
      <c r="T428" s="1" t="str">
        <f aca="false">IF($S428="","",IF(COUNTIF($S$2:$S$2991,$S428)&gt;1,"DUPLICATE","OK"))</f>
        <v/>
      </c>
      <c r="U428" s="0" t="str">
        <f aca="false">IF($L428="","",IFERROR(VLOOKUP(--$L428,MM_Income!$Z$5:$AC$204,3,FALSE()),"UNMAPPED"))</f>
        <v/>
      </c>
    </row>
    <row r="429" customFormat="false" ht="13.5" hidden="false" customHeight="false" outlineLevel="0" collapsed="false">
      <c r="A429" s="1" t="str">
        <f aca="false">IF($C429="","",Controls!$B$7)</f>
        <v/>
      </c>
      <c r="B429" s="1" t="str">
        <f aca="false">IF($H429="","",YEAR($H429)&amp;"-Q"&amp;ROUNDUP(MONTH($H429)/3,0))</f>
        <v/>
      </c>
      <c r="S429" s="1" t="str">
        <f aca="false">IF($C429="","",$C429&amp;"|"&amp;$E429&amp;"|"&amp;$F429&amp;"|"&amp;$L429&amp;"|"&amp;$P429&amp;"|"&amp;TEXT($H429,"yyyy-mm-dd"))</f>
        <v/>
      </c>
      <c r="T429" s="1" t="str">
        <f aca="false">IF($S429="","",IF(COUNTIF($S$2:$S$2991,$S429)&gt;1,"DUPLICATE","OK"))</f>
        <v/>
      </c>
      <c r="U429" s="0" t="str">
        <f aca="false">IF($L429="","",IFERROR(VLOOKUP(--$L429,MM_Income!$Z$5:$AC$204,3,FALSE()),"UNMAPPED"))</f>
        <v/>
      </c>
    </row>
    <row r="430" customFormat="false" ht="13.5" hidden="false" customHeight="false" outlineLevel="0" collapsed="false">
      <c r="A430" s="1" t="str">
        <f aca="false">IF($C430="","",Controls!$B$7)</f>
        <v/>
      </c>
      <c r="B430" s="1" t="str">
        <f aca="false">IF($H430="","",YEAR($H430)&amp;"-Q"&amp;ROUNDUP(MONTH($H430)/3,0))</f>
        <v/>
      </c>
      <c r="S430" s="1" t="str">
        <f aca="false">IF($C430="","",$C430&amp;"|"&amp;$E430&amp;"|"&amp;$F430&amp;"|"&amp;$L430&amp;"|"&amp;$P430&amp;"|"&amp;TEXT($H430,"yyyy-mm-dd"))</f>
        <v/>
      </c>
      <c r="T430" s="1" t="str">
        <f aca="false">IF($S430="","",IF(COUNTIF($S$2:$S$2991,$S430)&gt;1,"DUPLICATE","OK"))</f>
        <v/>
      </c>
      <c r="U430" s="0" t="str">
        <f aca="false">IF($L430="","",IFERROR(VLOOKUP(--$L430,MM_Income!$Z$5:$AC$204,3,FALSE()),"UNMAPPED"))</f>
        <v/>
      </c>
    </row>
    <row r="431" customFormat="false" ht="13.5" hidden="false" customHeight="false" outlineLevel="0" collapsed="false">
      <c r="A431" s="1" t="str">
        <f aca="false">IF($C431="","",Controls!$B$7)</f>
        <v/>
      </c>
      <c r="B431" s="1" t="str">
        <f aca="false">IF($H431="","",YEAR($H431)&amp;"-Q"&amp;ROUNDUP(MONTH($H431)/3,0))</f>
        <v/>
      </c>
      <c r="S431" s="1" t="str">
        <f aca="false">IF($C431="","",$C431&amp;"|"&amp;$E431&amp;"|"&amp;$F431&amp;"|"&amp;$L431&amp;"|"&amp;$P431&amp;"|"&amp;TEXT($H431,"yyyy-mm-dd"))</f>
        <v/>
      </c>
      <c r="T431" s="1" t="str">
        <f aca="false">IF($S431="","",IF(COUNTIF($S$2:$S$2991,$S431)&gt;1,"DUPLICATE","OK"))</f>
        <v/>
      </c>
      <c r="U431" s="0" t="str">
        <f aca="false">IF($L431="","",IFERROR(VLOOKUP(--$L431,MM_Income!$Z$5:$AC$204,3,FALSE()),"UNMAPPED"))</f>
        <v/>
      </c>
    </row>
    <row r="432" customFormat="false" ht="13.5" hidden="false" customHeight="false" outlineLevel="0" collapsed="false">
      <c r="A432" s="1" t="str">
        <f aca="false">IF($C432="","",Controls!$B$7)</f>
        <v/>
      </c>
      <c r="B432" s="1" t="str">
        <f aca="false">IF($H432="","",YEAR($H432)&amp;"-Q"&amp;ROUNDUP(MONTH($H432)/3,0))</f>
        <v/>
      </c>
      <c r="S432" s="1" t="str">
        <f aca="false">IF($C432="","",$C432&amp;"|"&amp;$E432&amp;"|"&amp;$F432&amp;"|"&amp;$L432&amp;"|"&amp;$P432&amp;"|"&amp;TEXT($H432,"yyyy-mm-dd"))</f>
        <v/>
      </c>
      <c r="T432" s="1" t="str">
        <f aca="false">IF($S432="","",IF(COUNTIF($S$2:$S$2991,$S432)&gt;1,"DUPLICATE","OK"))</f>
        <v/>
      </c>
      <c r="U432" s="0" t="str">
        <f aca="false">IF($L432="","",IFERROR(VLOOKUP(--$L432,MM_Income!$Z$5:$AC$204,3,FALSE()),"UNMAPPED"))</f>
        <v/>
      </c>
    </row>
    <row r="433" customFormat="false" ht="13.5" hidden="false" customHeight="false" outlineLevel="0" collapsed="false">
      <c r="A433" s="1" t="str">
        <f aca="false">IF($C433="","",Controls!$B$7)</f>
        <v/>
      </c>
      <c r="B433" s="1" t="str">
        <f aca="false">IF($H433="","",YEAR($H433)&amp;"-Q"&amp;ROUNDUP(MONTH($H433)/3,0))</f>
        <v/>
      </c>
      <c r="S433" s="1" t="str">
        <f aca="false">IF($C433="","",$C433&amp;"|"&amp;$E433&amp;"|"&amp;$F433&amp;"|"&amp;$L433&amp;"|"&amp;$P433&amp;"|"&amp;TEXT($H433,"yyyy-mm-dd"))</f>
        <v/>
      </c>
      <c r="T433" s="1" t="str">
        <f aca="false">IF($S433="","",IF(COUNTIF($S$2:$S$2991,$S433)&gt;1,"DUPLICATE","OK"))</f>
        <v/>
      </c>
      <c r="U433" s="0" t="str">
        <f aca="false">IF($L433="","",IFERROR(VLOOKUP(--$L433,MM_Income!$Z$5:$AC$204,3,FALSE()),"UNMAPPED"))</f>
        <v/>
      </c>
    </row>
    <row r="434" customFormat="false" ht="13.5" hidden="false" customHeight="false" outlineLevel="0" collapsed="false">
      <c r="A434" s="1" t="str">
        <f aca="false">IF($C434="","",Controls!$B$7)</f>
        <v/>
      </c>
      <c r="B434" s="1" t="str">
        <f aca="false">IF($H434="","",YEAR($H434)&amp;"-Q"&amp;ROUNDUP(MONTH($H434)/3,0))</f>
        <v/>
      </c>
      <c r="S434" s="1" t="str">
        <f aca="false">IF($C434="","",$C434&amp;"|"&amp;$E434&amp;"|"&amp;$F434&amp;"|"&amp;$L434&amp;"|"&amp;$P434&amp;"|"&amp;TEXT($H434,"yyyy-mm-dd"))</f>
        <v/>
      </c>
      <c r="T434" s="1" t="str">
        <f aca="false">IF($S434="","",IF(COUNTIF($S$2:$S$2991,$S434)&gt;1,"DUPLICATE","OK"))</f>
        <v/>
      </c>
      <c r="U434" s="0" t="str">
        <f aca="false">IF($L434="","",IFERROR(VLOOKUP(--$L434,MM_Income!$Z$5:$AC$204,3,FALSE()),"UNMAPPED"))</f>
        <v/>
      </c>
    </row>
    <row r="435" customFormat="false" ht="13.5" hidden="false" customHeight="false" outlineLevel="0" collapsed="false">
      <c r="A435" s="1" t="str">
        <f aca="false">IF($C435="","",Controls!$B$7)</f>
        <v/>
      </c>
      <c r="B435" s="1" t="str">
        <f aca="false">IF($H435="","",YEAR($H435)&amp;"-Q"&amp;ROUNDUP(MONTH($H435)/3,0))</f>
        <v/>
      </c>
      <c r="S435" s="1" t="str">
        <f aca="false">IF($C435="","",$C435&amp;"|"&amp;$E435&amp;"|"&amp;$F435&amp;"|"&amp;$L435&amp;"|"&amp;$P435&amp;"|"&amp;TEXT($H435,"yyyy-mm-dd"))</f>
        <v/>
      </c>
      <c r="T435" s="1" t="str">
        <f aca="false">IF($S435="","",IF(COUNTIF($S$2:$S$2991,$S435)&gt;1,"DUPLICATE","OK"))</f>
        <v/>
      </c>
      <c r="U435" s="0" t="str">
        <f aca="false">IF($L435="","",IFERROR(VLOOKUP(--$L435,MM_Income!$Z$5:$AC$204,3,FALSE()),"UNMAPPED"))</f>
        <v/>
      </c>
    </row>
    <row r="436" customFormat="false" ht="13.5" hidden="false" customHeight="false" outlineLevel="0" collapsed="false">
      <c r="A436" s="1" t="str">
        <f aca="false">IF($C436="","",Controls!$B$7)</f>
        <v/>
      </c>
      <c r="B436" s="1" t="str">
        <f aca="false">IF($H436="","",YEAR($H436)&amp;"-Q"&amp;ROUNDUP(MONTH($H436)/3,0))</f>
        <v/>
      </c>
      <c r="S436" s="1" t="str">
        <f aca="false">IF($C436="","",$C436&amp;"|"&amp;$E436&amp;"|"&amp;$F436&amp;"|"&amp;$L436&amp;"|"&amp;$P436&amp;"|"&amp;TEXT($H436,"yyyy-mm-dd"))</f>
        <v/>
      </c>
      <c r="T436" s="1" t="str">
        <f aca="false">IF($S436="","",IF(COUNTIF($S$2:$S$2991,$S436)&gt;1,"DUPLICATE","OK"))</f>
        <v/>
      </c>
      <c r="U436" s="0" t="str">
        <f aca="false">IF($L436="","",IFERROR(VLOOKUP(--$L436,MM_Income!$Z$5:$AC$204,3,FALSE()),"UNMAPPED"))</f>
        <v/>
      </c>
    </row>
    <row r="437" customFormat="false" ht="13.5" hidden="false" customHeight="false" outlineLevel="0" collapsed="false">
      <c r="A437" s="1" t="str">
        <f aca="false">IF($C437="","",Controls!$B$7)</f>
        <v/>
      </c>
      <c r="B437" s="1" t="str">
        <f aca="false">IF($H437="","",YEAR($H437)&amp;"-Q"&amp;ROUNDUP(MONTH($H437)/3,0))</f>
        <v/>
      </c>
      <c r="S437" s="1" t="str">
        <f aca="false">IF($C437="","",$C437&amp;"|"&amp;$E437&amp;"|"&amp;$F437&amp;"|"&amp;$L437&amp;"|"&amp;$P437&amp;"|"&amp;TEXT($H437,"yyyy-mm-dd"))</f>
        <v/>
      </c>
      <c r="T437" s="1" t="str">
        <f aca="false">IF($S437="","",IF(COUNTIF($S$2:$S$2991,$S437)&gt;1,"DUPLICATE","OK"))</f>
        <v/>
      </c>
      <c r="U437" s="0" t="str">
        <f aca="false">IF($L437="","",IFERROR(VLOOKUP(--$L437,MM_Income!$Z$5:$AC$204,3,FALSE()),"UNMAPPED"))</f>
        <v/>
      </c>
    </row>
    <row r="438" customFormat="false" ht="13.5" hidden="false" customHeight="false" outlineLevel="0" collapsed="false">
      <c r="A438" s="1" t="str">
        <f aca="false">IF($C438="","",Controls!$B$7)</f>
        <v/>
      </c>
      <c r="B438" s="1" t="str">
        <f aca="false">IF($H438="","",YEAR($H438)&amp;"-Q"&amp;ROUNDUP(MONTH($H438)/3,0))</f>
        <v/>
      </c>
      <c r="S438" s="1" t="str">
        <f aca="false">IF($C438="","",$C438&amp;"|"&amp;$E438&amp;"|"&amp;$F438&amp;"|"&amp;$L438&amp;"|"&amp;$P438&amp;"|"&amp;TEXT($H438,"yyyy-mm-dd"))</f>
        <v/>
      </c>
      <c r="T438" s="1" t="str">
        <f aca="false">IF($S438="","",IF(COUNTIF($S$2:$S$2991,$S438)&gt;1,"DUPLICATE","OK"))</f>
        <v/>
      </c>
      <c r="U438" s="0" t="str">
        <f aca="false">IF($L438="","",IFERROR(VLOOKUP(--$L438,MM_Income!$Z$5:$AC$204,3,FALSE()),"UNMAPPED"))</f>
        <v/>
      </c>
    </row>
    <row r="439" customFormat="false" ht="13.5" hidden="false" customHeight="false" outlineLevel="0" collapsed="false">
      <c r="A439" s="1" t="str">
        <f aca="false">IF($C439="","",Controls!$B$7)</f>
        <v/>
      </c>
      <c r="B439" s="1" t="str">
        <f aca="false">IF($H439="","",YEAR($H439)&amp;"-Q"&amp;ROUNDUP(MONTH($H439)/3,0))</f>
        <v/>
      </c>
      <c r="S439" s="1" t="str">
        <f aca="false">IF($C439="","",$C439&amp;"|"&amp;$E439&amp;"|"&amp;$F439&amp;"|"&amp;$L439&amp;"|"&amp;$P439&amp;"|"&amp;TEXT($H439,"yyyy-mm-dd"))</f>
        <v/>
      </c>
      <c r="T439" s="1" t="str">
        <f aca="false">IF($S439="","",IF(COUNTIF($S$2:$S$2991,$S439)&gt;1,"DUPLICATE","OK"))</f>
        <v/>
      </c>
      <c r="U439" s="0" t="str">
        <f aca="false">IF($L439="","",IFERROR(VLOOKUP(--$L439,MM_Income!$Z$5:$AC$204,3,FALSE()),"UNMAPPED"))</f>
        <v/>
      </c>
    </row>
    <row r="440" customFormat="false" ht="13.5" hidden="false" customHeight="false" outlineLevel="0" collapsed="false">
      <c r="A440" s="1" t="str">
        <f aca="false">IF($C440="","",Controls!$B$7)</f>
        <v/>
      </c>
      <c r="B440" s="1" t="str">
        <f aca="false">IF($H440="","",YEAR($H440)&amp;"-Q"&amp;ROUNDUP(MONTH($H440)/3,0))</f>
        <v/>
      </c>
      <c r="S440" s="1" t="str">
        <f aca="false">IF($C440="","",$C440&amp;"|"&amp;$E440&amp;"|"&amp;$F440&amp;"|"&amp;$L440&amp;"|"&amp;$P440&amp;"|"&amp;TEXT($H440,"yyyy-mm-dd"))</f>
        <v/>
      </c>
      <c r="T440" s="1" t="str">
        <f aca="false">IF($S440="","",IF(COUNTIF($S$2:$S$2991,$S440)&gt;1,"DUPLICATE","OK"))</f>
        <v/>
      </c>
      <c r="U440" s="0" t="str">
        <f aca="false">IF($L440="","",IFERROR(VLOOKUP(--$L440,MM_Income!$Z$5:$AC$204,3,FALSE()),"UNMAPPED"))</f>
        <v/>
      </c>
    </row>
    <row r="441" customFormat="false" ht="13.5" hidden="false" customHeight="false" outlineLevel="0" collapsed="false">
      <c r="A441" s="1" t="str">
        <f aca="false">IF($C441="","",Controls!$B$7)</f>
        <v/>
      </c>
      <c r="B441" s="1" t="str">
        <f aca="false">IF($H441="","",YEAR($H441)&amp;"-Q"&amp;ROUNDUP(MONTH($H441)/3,0))</f>
        <v/>
      </c>
      <c r="S441" s="1" t="str">
        <f aca="false">IF($C441="","",$C441&amp;"|"&amp;$E441&amp;"|"&amp;$F441&amp;"|"&amp;$L441&amp;"|"&amp;$P441&amp;"|"&amp;TEXT($H441,"yyyy-mm-dd"))</f>
        <v/>
      </c>
      <c r="T441" s="1" t="str">
        <f aca="false">IF($S441="","",IF(COUNTIF($S$2:$S$2991,$S441)&gt;1,"DUPLICATE","OK"))</f>
        <v/>
      </c>
      <c r="U441" s="0" t="str">
        <f aca="false">IF($L441="","",IFERROR(VLOOKUP(--$L441,MM_Income!$Z$5:$AC$204,3,FALSE()),"UNMAPPED"))</f>
        <v/>
      </c>
    </row>
    <row r="442" customFormat="false" ht="13.5" hidden="false" customHeight="false" outlineLevel="0" collapsed="false">
      <c r="A442" s="1" t="str">
        <f aca="false">IF($C442="","",Controls!$B$7)</f>
        <v/>
      </c>
      <c r="B442" s="1" t="str">
        <f aca="false">IF($H442="","",YEAR($H442)&amp;"-Q"&amp;ROUNDUP(MONTH($H442)/3,0))</f>
        <v/>
      </c>
      <c r="S442" s="1" t="str">
        <f aca="false">IF($C442="","",$C442&amp;"|"&amp;$E442&amp;"|"&amp;$F442&amp;"|"&amp;$L442&amp;"|"&amp;$P442&amp;"|"&amp;TEXT($H442,"yyyy-mm-dd"))</f>
        <v/>
      </c>
      <c r="T442" s="1" t="str">
        <f aca="false">IF($S442="","",IF(COUNTIF($S$2:$S$2991,$S442)&gt;1,"DUPLICATE","OK"))</f>
        <v/>
      </c>
      <c r="U442" s="0" t="str">
        <f aca="false">IF($L442="","",IFERROR(VLOOKUP(--$L442,MM_Income!$Z$5:$AC$204,3,FALSE()),"UNMAPPED"))</f>
        <v/>
      </c>
    </row>
    <row r="443" customFormat="false" ht="13.5" hidden="false" customHeight="false" outlineLevel="0" collapsed="false">
      <c r="A443" s="1" t="str">
        <f aca="false">IF($C443="","",Controls!$B$7)</f>
        <v/>
      </c>
      <c r="B443" s="1" t="str">
        <f aca="false">IF($H443="","",YEAR($H443)&amp;"-Q"&amp;ROUNDUP(MONTH($H443)/3,0))</f>
        <v/>
      </c>
      <c r="S443" s="1" t="str">
        <f aca="false">IF($C443="","",$C443&amp;"|"&amp;$E443&amp;"|"&amp;$F443&amp;"|"&amp;$L443&amp;"|"&amp;$P443&amp;"|"&amp;TEXT($H443,"yyyy-mm-dd"))</f>
        <v/>
      </c>
      <c r="T443" s="1" t="str">
        <f aca="false">IF($S443="","",IF(COUNTIF($S$2:$S$2991,$S443)&gt;1,"DUPLICATE","OK"))</f>
        <v/>
      </c>
      <c r="U443" s="0" t="str">
        <f aca="false">IF($L443="","",IFERROR(VLOOKUP(--$L443,MM_Income!$Z$5:$AC$204,3,FALSE()),"UNMAPPED"))</f>
        <v/>
      </c>
    </row>
    <row r="444" customFormat="false" ht="13.5" hidden="false" customHeight="false" outlineLevel="0" collapsed="false">
      <c r="A444" s="1" t="str">
        <f aca="false">IF($C444="","",Controls!$B$7)</f>
        <v/>
      </c>
      <c r="B444" s="1" t="str">
        <f aca="false">IF($H444="","",YEAR($H444)&amp;"-Q"&amp;ROUNDUP(MONTH($H444)/3,0))</f>
        <v/>
      </c>
      <c r="S444" s="1" t="str">
        <f aca="false">IF($C444="","",$C444&amp;"|"&amp;$E444&amp;"|"&amp;$F444&amp;"|"&amp;$L444&amp;"|"&amp;$P444&amp;"|"&amp;TEXT($H444,"yyyy-mm-dd"))</f>
        <v/>
      </c>
      <c r="T444" s="1" t="str">
        <f aca="false">IF($S444="","",IF(COUNTIF($S$2:$S$2991,$S444)&gt;1,"DUPLICATE","OK"))</f>
        <v/>
      </c>
      <c r="U444" s="0" t="str">
        <f aca="false">IF($L444="","",IFERROR(VLOOKUP(--$L444,MM_Income!$Z$5:$AC$204,3,FALSE()),"UNMAPPED"))</f>
        <v/>
      </c>
    </row>
    <row r="445" customFormat="false" ht="13.5" hidden="false" customHeight="false" outlineLevel="0" collapsed="false">
      <c r="A445" s="1" t="str">
        <f aca="false">IF($C445="","",Controls!$B$7)</f>
        <v/>
      </c>
      <c r="B445" s="1" t="str">
        <f aca="false">IF($H445="","",YEAR($H445)&amp;"-Q"&amp;ROUNDUP(MONTH($H445)/3,0))</f>
        <v/>
      </c>
      <c r="S445" s="1" t="str">
        <f aca="false">IF($C445="","",$C445&amp;"|"&amp;$E445&amp;"|"&amp;$F445&amp;"|"&amp;$L445&amp;"|"&amp;$P445&amp;"|"&amp;TEXT($H445,"yyyy-mm-dd"))</f>
        <v/>
      </c>
      <c r="T445" s="1" t="str">
        <f aca="false">IF($S445="","",IF(COUNTIF($S$2:$S$2991,$S445)&gt;1,"DUPLICATE","OK"))</f>
        <v/>
      </c>
      <c r="U445" s="0" t="str">
        <f aca="false">IF($L445="","",IFERROR(VLOOKUP(--$L445,MM_Income!$Z$5:$AC$204,3,FALSE()),"UNMAPPED"))</f>
        <v/>
      </c>
    </row>
    <row r="446" customFormat="false" ht="13.5" hidden="false" customHeight="false" outlineLevel="0" collapsed="false">
      <c r="A446" s="1" t="str">
        <f aca="false">IF($C446="","",Controls!$B$7)</f>
        <v/>
      </c>
      <c r="B446" s="1" t="str">
        <f aca="false">IF($H446="","",YEAR($H446)&amp;"-Q"&amp;ROUNDUP(MONTH($H446)/3,0))</f>
        <v/>
      </c>
      <c r="S446" s="1" t="str">
        <f aca="false">IF($C446="","",$C446&amp;"|"&amp;$E446&amp;"|"&amp;$F446&amp;"|"&amp;$L446&amp;"|"&amp;$P446&amp;"|"&amp;TEXT($H446,"yyyy-mm-dd"))</f>
        <v/>
      </c>
      <c r="T446" s="1" t="str">
        <f aca="false">IF($S446="","",IF(COUNTIF($S$2:$S$2991,$S446)&gt;1,"DUPLICATE","OK"))</f>
        <v/>
      </c>
      <c r="U446" s="0" t="str">
        <f aca="false">IF($L446="","",IFERROR(VLOOKUP(--$L446,MM_Income!$Z$5:$AC$204,3,FALSE()),"UNMAPPED"))</f>
        <v/>
      </c>
    </row>
    <row r="447" customFormat="false" ht="13.5" hidden="false" customHeight="false" outlineLevel="0" collapsed="false">
      <c r="A447" s="1" t="str">
        <f aca="false">IF($C447="","",Controls!$B$7)</f>
        <v/>
      </c>
      <c r="B447" s="1" t="str">
        <f aca="false">IF($H447="","",YEAR($H447)&amp;"-Q"&amp;ROUNDUP(MONTH($H447)/3,0))</f>
        <v/>
      </c>
      <c r="S447" s="1" t="str">
        <f aca="false">IF($C447="","",$C447&amp;"|"&amp;$E447&amp;"|"&amp;$F447&amp;"|"&amp;$L447&amp;"|"&amp;$P447&amp;"|"&amp;TEXT($H447,"yyyy-mm-dd"))</f>
        <v/>
      </c>
      <c r="T447" s="1" t="str">
        <f aca="false">IF($S447="","",IF(COUNTIF($S$2:$S$2991,$S447)&gt;1,"DUPLICATE","OK"))</f>
        <v/>
      </c>
      <c r="U447" s="0" t="str">
        <f aca="false">IF($L447="","",IFERROR(VLOOKUP(--$L447,MM_Income!$Z$5:$AC$204,3,FALSE()),"UNMAPPED"))</f>
        <v/>
      </c>
    </row>
    <row r="448" customFormat="false" ht="13.5" hidden="false" customHeight="false" outlineLevel="0" collapsed="false">
      <c r="A448" s="1" t="str">
        <f aca="false">IF($C448="","",Controls!$B$7)</f>
        <v/>
      </c>
      <c r="B448" s="1" t="str">
        <f aca="false">IF($H448="","",YEAR($H448)&amp;"-Q"&amp;ROUNDUP(MONTH($H448)/3,0))</f>
        <v/>
      </c>
      <c r="S448" s="1" t="str">
        <f aca="false">IF($C448="","",$C448&amp;"|"&amp;$E448&amp;"|"&amp;$F448&amp;"|"&amp;$L448&amp;"|"&amp;$P448&amp;"|"&amp;TEXT($H448,"yyyy-mm-dd"))</f>
        <v/>
      </c>
      <c r="T448" s="1" t="str">
        <f aca="false">IF($S448="","",IF(COUNTIF($S$2:$S$2991,$S448)&gt;1,"DUPLICATE","OK"))</f>
        <v/>
      </c>
      <c r="U448" s="0" t="str">
        <f aca="false">IF($L448="","",IFERROR(VLOOKUP(--$L448,MM_Income!$Z$5:$AC$204,3,FALSE()),"UNMAPPED"))</f>
        <v/>
      </c>
    </row>
    <row r="449" customFormat="false" ht="13.5" hidden="false" customHeight="false" outlineLevel="0" collapsed="false">
      <c r="A449" s="1" t="str">
        <f aca="false">IF($C449="","",Controls!$B$7)</f>
        <v/>
      </c>
      <c r="B449" s="1" t="str">
        <f aca="false">IF($H449="","",YEAR($H449)&amp;"-Q"&amp;ROUNDUP(MONTH($H449)/3,0))</f>
        <v/>
      </c>
      <c r="S449" s="1" t="str">
        <f aca="false">IF($C449="","",$C449&amp;"|"&amp;$E449&amp;"|"&amp;$F449&amp;"|"&amp;$L449&amp;"|"&amp;$P449&amp;"|"&amp;TEXT($H449,"yyyy-mm-dd"))</f>
        <v/>
      </c>
      <c r="T449" s="1" t="str">
        <f aca="false">IF($S449="","",IF(COUNTIF($S$2:$S$2991,$S449)&gt;1,"DUPLICATE","OK"))</f>
        <v/>
      </c>
      <c r="U449" s="0" t="str">
        <f aca="false">IF($L449="","",IFERROR(VLOOKUP(--$L449,MM_Income!$Z$5:$AC$204,3,FALSE()),"UNMAPPED"))</f>
        <v/>
      </c>
    </row>
    <row r="450" customFormat="false" ht="13.5" hidden="false" customHeight="false" outlineLevel="0" collapsed="false">
      <c r="A450" s="1" t="str">
        <f aca="false">IF($C450="","",Controls!$B$7)</f>
        <v/>
      </c>
      <c r="B450" s="1" t="str">
        <f aca="false">IF($H450="","",YEAR($H450)&amp;"-Q"&amp;ROUNDUP(MONTH($H450)/3,0))</f>
        <v/>
      </c>
      <c r="S450" s="1" t="str">
        <f aca="false">IF($C450="","",$C450&amp;"|"&amp;$E450&amp;"|"&amp;$F450&amp;"|"&amp;$L450&amp;"|"&amp;$P450&amp;"|"&amp;TEXT($H450,"yyyy-mm-dd"))</f>
        <v/>
      </c>
      <c r="T450" s="1" t="str">
        <f aca="false">IF($S450="","",IF(COUNTIF($S$2:$S$2991,$S450)&gt;1,"DUPLICATE","OK"))</f>
        <v/>
      </c>
      <c r="U450" s="0" t="str">
        <f aca="false">IF($L450="","",IFERROR(VLOOKUP(--$L450,MM_Income!$Z$5:$AC$204,3,FALSE()),"UNMAPPED"))</f>
        <v/>
      </c>
    </row>
    <row r="451" customFormat="false" ht="13.5" hidden="false" customHeight="false" outlineLevel="0" collapsed="false">
      <c r="A451" s="1" t="str">
        <f aca="false">IF($C451="","",Controls!$B$7)</f>
        <v/>
      </c>
      <c r="B451" s="1" t="str">
        <f aca="false">IF($H451="","",YEAR($H451)&amp;"-Q"&amp;ROUNDUP(MONTH($H451)/3,0))</f>
        <v/>
      </c>
      <c r="S451" s="1" t="str">
        <f aca="false">IF($C451="","",$C451&amp;"|"&amp;$E451&amp;"|"&amp;$F451&amp;"|"&amp;$L451&amp;"|"&amp;$P451&amp;"|"&amp;TEXT($H451,"yyyy-mm-dd"))</f>
        <v/>
      </c>
      <c r="T451" s="1" t="str">
        <f aca="false">IF($S451="","",IF(COUNTIF($S$2:$S$2991,$S451)&gt;1,"DUPLICATE","OK"))</f>
        <v/>
      </c>
      <c r="U451" s="0" t="str">
        <f aca="false">IF($L451="","",IFERROR(VLOOKUP(--$L451,MM_Income!$Z$5:$AC$204,3,FALSE()),"UNMAPPED"))</f>
        <v/>
      </c>
    </row>
    <row r="452" customFormat="false" ht="13.5" hidden="false" customHeight="false" outlineLevel="0" collapsed="false">
      <c r="A452" s="1" t="str">
        <f aca="false">IF($C452="","",Controls!$B$7)</f>
        <v/>
      </c>
      <c r="B452" s="1" t="str">
        <f aca="false">IF($H452="","",YEAR($H452)&amp;"-Q"&amp;ROUNDUP(MONTH($H452)/3,0))</f>
        <v/>
      </c>
      <c r="S452" s="1" t="str">
        <f aca="false">IF($C452="","",$C452&amp;"|"&amp;$E452&amp;"|"&amp;$F452&amp;"|"&amp;$L452&amp;"|"&amp;$P452&amp;"|"&amp;TEXT($H452,"yyyy-mm-dd"))</f>
        <v/>
      </c>
      <c r="T452" s="1" t="str">
        <f aca="false">IF($S452="","",IF(COUNTIF($S$2:$S$2991,$S452)&gt;1,"DUPLICATE","OK"))</f>
        <v/>
      </c>
      <c r="U452" s="0" t="str">
        <f aca="false">IF($L452="","",IFERROR(VLOOKUP(--$L452,MM_Income!$Z$5:$AC$204,3,FALSE()),"UNMAPPED"))</f>
        <v/>
      </c>
    </row>
    <row r="453" customFormat="false" ht="13.5" hidden="false" customHeight="false" outlineLevel="0" collapsed="false">
      <c r="A453" s="1" t="str">
        <f aca="false">IF($C453="","",Controls!$B$7)</f>
        <v/>
      </c>
      <c r="B453" s="1" t="str">
        <f aca="false">IF($H453="","",YEAR($H453)&amp;"-Q"&amp;ROUNDUP(MONTH($H453)/3,0))</f>
        <v/>
      </c>
      <c r="S453" s="1" t="str">
        <f aca="false">IF($C453="","",$C453&amp;"|"&amp;$E453&amp;"|"&amp;$F453&amp;"|"&amp;$L453&amp;"|"&amp;$P453&amp;"|"&amp;TEXT($H453,"yyyy-mm-dd"))</f>
        <v/>
      </c>
      <c r="T453" s="1" t="str">
        <f aca="false">IF($S453="","",IF(COUNTIF($S$2:$S$2991,$S453)&gt;1,"DUPLICATE","OK"))</f>
        <v/>
      </c>
      <c r="U453" s="0" t="str">
        <f aca="false">IF($L453="","",IFERROR(VLOOKUP(--$L453,MM_Income!$Z$5:$AC$204,3,FALSE()),"UNMAPPED"))</f>
        <v/>
      </c>
    </row>
    <row r="454" customFormat="false" ht="13.5" hidden="false" customHeight="false" outlineLevel="0" collapsed="false">
      <c r="A454" s="1" t="str">
        <f aca="false">IF($C454="","",Controls!$B$7)</f>
        <v/>
      </c>
      <c r="B454" s="1" t="str">
        <f aca="false">IF($H454="","",YEAR($H454)&amp;"-Q"&amp;ROUNDUP(MONTH($H454)/3,0))</f>
        <v/>
      </c>
      <c r="S454" s="1" t="str">
        <f aca="false">IF($C454="","",$C454&amp;"|"&amp;$E454&amp;"|"&amp;$F454&amp;"|"&amp;$L454&amp;"|"&amp;$P454&amp;"|"&amp;TEXT($H454,"yyyy-mm-dd"))</f>
        <v/>
      </c>
      <c r="T454" s="1" t="str">
        <f aca="false">IF($S454="","",IF(COUNTIF($S$2:$S$2991,$S454)&gt;1,"DUPLICATE","OK"))</f>
        <v/>
      </c>
      <c r="U454" s="0" t="str">
        <f aca="false">IF($L454="","",IFERROR(VLOOKUP(--$L454,MM_Income!$Z$5:$AC$204,3,FALSE()),"UNMAPPED"))</f>
        <v/>
      </c>
    </row>
    <row r="455" customFormat="false" ht="13.5" hidden="false" customHeight="false" outlineLevel="0" collapsed="false">
      <c r="A455" s="1" t="str">
        <f aca="false">IF($C455="","",Controls!$B$7)</f>
        <v/>
      </c>
      <c r="B455" s="1" t="str">
        <f aca="false">IF($H455="","",YEAR($H455)&amp;"-Q"&amp;ROUNDUP(MONTH($H455)/3,0))</f>
        <v/>
      </c>
      <c r="S455" s="1" t="str">
        <f aca="false">IF($C455="","",$C455&amp;"|"&amp;$E455&amp;"|"&amp;$F455&amp;"|"&amp;$L455&amp;"|"&amp;$P455&amp;"|"&amp;TEXT($H455,"yyyy-mm-dd"))</f>
        <v/>
      </c>
      <c r="T455" s="1" t="str">
        <f aca="false">IF($S455="","",IF(COUNTIF($S$2:$S$2991,$S455)&gt;1,"DUPLICATE","OK"))</f>
        <v/>
      </c>
      <c r="U455" s="0" t="str">
        <f aca="false">IF($L455="","",IFERROR(VLOOKUP(--$L455,MM_Income!$Z$5:$AC$204,3,FALSE()),"UNMAPPED"))</f>
        <v/>
      </c>
    </row>
    <row r="456" customFormat="false" ht="13.5" hidden="false" customHeight="false" outlineLevel="0" collapsed="false">
      <c r="A456" s="1" t="str">
        <f aca="false">IF($C456="","",Controls!$B$7)</f>
        <v/>
      </c>
      <c r="B456" s="1" t="str">
        <f aca="false">IF($H456="","",YEAR($H456)&amp;"-Q"&amp;ROUNDUP(MONTH($H456)/3,0))</f>
        <v/>
      </c>
      <c r="S456" s="1" t="str">
        <f aca="false">IF($C456="","",$C456&amp;"|"&amp;$E456&amp;"|"&amp;$F456&amp;"|"&amp;$L456&amp;"|"&amp;$P456&amp;"|"&amp;TEXT($H456,"yyyy-mm-dd"))</f>
        <v/>
      </c>
      <c r="T456" s="1" t="str">
        <f aca="false">IF($S456="","",IF(COUNTIF($S$2:$S$2991,$S456)&gt;1,"DUPLICATE","OK"))</f>
        <v/>
      </c>
      <c r="U456" s="0" t="str">
        <f aca="false">IF($L456="","",IFERROR(VLOOKUP(--$L456,MM_Income!$Z$5:$AC$204,3,FALSE()),"UNMAPPED"))</f>
        <v/>
      </c>
    </row>
    <row r="457" customFormat="false" ht="13.5" hidden="false" customHeight="false" outlineLevel="0" collapsed="false">
      <c r="A457" s="1" t="str">
        <f aca="false">IF($C457="","",Controls!$B$7)</f>
        <v/>
      </c>
      <c r="B457" s="1" t="str">
        <f aca="false">IF($H457="","",YEAR($H457)&amp;"-Q"&amp;ROUNDUP(MONTH($H457)/3,0))</f>
        <v/>
      </c>
      <c r="S457" s="1" t="str">
        <f aca="false">IF($C457="","",$C457&amp;"|"&amp;$E457&amp;"|"&amp;$F457&amp;"|"&amp;$L457&amp;"|"&amp;$P457&amp;"|"&amp;TEXT($H457,"yyyy-mm-dd"))</f>
        <v/>
      </c>
      <c r="T457" s="1" t="str">
        <f aca="false">IF($S457="","",IF(COUNTIF($S$2:$S$2991,$S457)&gt;1,"DUPLICATE","OK"))</f>
        <v/>
      </c>
      <c r="U457" s="0" t="str">
        <f aca="false">IF($L457="","",IFERROR(VLOOKUP(--$L457,MM_Income!$Z$5:$AC$204,3,FALSE()),"UNMAPPED"))</f>
        <v/>
      </c>
    </row>
    <row r="458" customFormat="false" ht="13.5" hidden="false" customHeight="false" outlineLevel="0" collapsed="false">
      <c r="A458" s="1" t="str">
        <f aca="false">IF($C458="","",Controls!$B$7)</f>
        <v/>
      </c>
      <c r="B458" s="1" t="str">
        <f aca="false">IF($H458="","",YEAR($H458)&amp;"-Q"&amp;ROUNDUP(MONTH($H458)/3,0))</f>
        <v/>
      </c>
      <c r="S458" s="1" t="str">
        <f aca="false">IF($C458="","",$C458&amp;"|"&amp;$E458&amp;"|"&amp;$F458&amp;"|"&amp;$L458&amp;"|"&amp;$P458&amp;"|"&amp;TEXT($H458,"yyyy-mm-dd"))</f>
        <v/>
      </c>
      <c r="T458" s="1" t="str">
        <f aca="false">IF($S458="","",IF(COUNTIF($S$2:$S$2991,$S458)&gt;1,"DUPLICATE","OK"))</f>
        <v/>
      </c>
      <c r="U458" s="0" t="str">
        <f aca="false">IF($L458="","",IFERROR(VLOOKUP(--$L458,MM_Income!$Z$5:$AC$204,3,FALSE()),"UNMAPPED"))</f>
        <v/>
      </c>
    </row>
    <row r="459" customFormat="false" ht="13.5" hidden="false" customHeight="false" outlineLevel="0" collapsed="false">
      <c r="A459" s="1" t="str">
        <f aca="false">IF($C459="","",Controls!$B$7)</f>
        <v/>
      </c>
      <c r="B459" s="1" t="str">
        <f aca="false">IF($H459="","",YEAR($H459)&amp;"-Q"&amp;ROUNDUP(MONTH($H459)/3,0))</f>
        <v/>
      </c>
      <c r="S459" s="1" t="str">
        <f aca="false">IF($C459="","",$C459&amp;"|"&amp;$E459&amp;"|"&amp;$F459&amp;"|"&amp;$L459&amp;"|"&amp;$P459&amp;"|"&amp;TEXT($H459,"yyyy-mm-dd"))</f>
        <v/>
      </c>
      <c r="T459" s="1" t="str">
        <f aca="false">IF($S459="","",IF(COUNTIF($S$2:$S$2991,$S459)&gt;1,"DUPLICATE","OK"))</f>
        <v/>
      </c>
      <c r="U459" s="0" t="str">
        <f aca="false">IF($L459="","",IFERROR(VLOOKUP(--$L459,MM_Income!$Z$5:$AC$204,3,FALSE()),"UNMAPPED"))</f>
        <v/>
      </c>
    </row>
    <row r="460" customFormat="false" ht="13.5" hidden="false" customHeight="false" outlineLevel="0" collapsed="false">
      <c r="A460" s="1" t="str">
        <f aca="false">IF($C460="","",Controls!$B$7)</f>
        <v/>
      </c>
      <c r="B460" s="1" t="str">
        <f aca="false">IF($H460="","",YEAR($H460)&amp;"-Q"&amp;ROUNDUP(MONTH($H460)/3,0))</f>
        <v/>
      </c>
      <c r="S460" s="1" t="str">
        <f aca="false">IF($C460="","",$C460&amp;"|"&amp;$E460&amp;"|"&amp;$F460&amp;"|"&amp;$L460&amp;"|"&amp;$P460&amp;"|"&amp;TEXT($H460,"yyyy-mm-dd"))</f>
        <v/>
      </c>
      <c r="T460" s="1" t="str">
        <f aca="false">IF($S460="","",IF(COUNTIF($S$2:$S$2991,$S460)&gt;1,"DUPLICATE","OK"))</f>
        <v/>
      </c>
      <c r="U460" s="0" t="str">
        <f aca="false">IF($L460="","",IFERROR(VLOOKUP(--$L460,MM_Income!$Z$5:$AC$204,3,FALSE()),"UNMAPPED"))</f>
        <v/>
      </c>
    </row>
    <row r="461" customFormat="false" ht="13.5" hidden="false" customHeight="false" outlineLevel="0" collapsed="false">
      <c r="A461" s="1" t="str">
        <f aca="false">IF($C461="","",Controls!$B$7)</f>
        <v/>
      </c>
      <c r="B461" s="1" t="str">
        <f aca="false">IF($H461="","",YEAR($H461)&amp;"-Q"&amp;ROUNDUP(MONTH($H461)/3,0))</f>
        <v/>
      </c>
      <c r="S461" s="1" t="str">
        <f aca="false">IF($C461="","",$C461&amp;"|"&amp;$E461&amp;"|"&amp;$F461&amp;"|"&amp;$L461&amp;"|"&amp;$P461&amp;"|"&amp;TEXT($H461,"yyyy-mm-dd"))</f>
        <v/>
      </c>
      <c r="T461" s="1" t="str">
        <f aca="false">IF($S461="","",IF(COUNTIF($S$2:$S$2991,$S461)&gt;1,"DUPLICATE","OK"))</f>
        <v/>
      </c>
      <c r="U461" s="0" t="str">
        <f aca="false">IF($L461="","",IFERROR(VLOOKUP(--$L461,MM_Income!$Z$5:$AC$204,3,FALSE()),"UNMAPPED"))</f>
        <v/>
      </c>
    </row>
    <row r="462" customFormat="false" ht="13.5" hidden="false" customHeight="false" outlineLevel="0" collapsed="false">
      <c r="A462" s="1" t="str">
        <f aca="false">IF($C462="","",Controls!$B$7)</f>
        <v/>
      </c>
      <c r="B462" s="1" t="str">
        <f aca="false">IF($H462="","",YEAR($H462)&amp;"-Q"&amp;ROUNDUP(MONTH($H462)/3,0))</f>
        <v/>
      </c>
      <c r="S462" s="1" t="str">
        <f aca="false">IF($C462="","",$C462&amp;"|"&amp;$E462&amp;"|"&amp;$F462&amp;"|"&amp;$L462&amp;"|"&amp;$P462&amp;"|"&amp;TEXT($H462,"yyyy-mm-dd"))</f>
        <v/>
      </c>
      <c r="T462" s="1" t="str">
        <f aca="false">IF($S462="","",IF(COUNTIF($S$2:$S$2991,$S462)&gt;1,"DUPLICATE","OK"))</f>
        <v/>
      </c>
      <c r="U462" s="0" t="str">
        <f aca="false">IF($L462="","",IFERROR(VLOOKUP(--$L462,MM_Income!$Z$5:$AC$204,3,FALSE()),"UNMAPPED"))</f>
        <v/>
      </c>
    </row>
    <row r="463" customFormat="false" ht="13.5" hidden="false" customHeight="false" outlineLevel="0" collapsed="false">
      <c r="A463" s="1" t="str">
        <f aca="false">IF($C463="","",Controls!$B$7)</f>
        <v/>
      </c>
      <c r="B463" s="1" t="str">
        <f aca="false">IF($H463="","",YEAR($H463)&amp;"-Q"&amp;ROUNDUP(MONTH($H463)/3,0))</f>
        <v/>
      </c>
      <c r="S463" s="1" t="str">
        <f aca="false">IF($C463="","",$C463&amp;"|"&amp;$E463&amp;"|"&amp;$F463&amp;"|"&amp;$L463&amp;"|"&amp;$P463&amp;"|"&amp;TEXT($H463,"yyyy-mm-dd"))</f>
        <v/>
      </c>
      <c r="T463" s="1" t="str">
        <f aca="false">IF($S463="","",IF(COUNTIF($S$2:$S$2991,$S463)&gt;1,"DUPLICATE","OK"))</f>
        <v/>
      </c>
      <c r="U463" s="0" t="str">
        <f aca="false">IF($L463="","",IFERROR(VLOOKUP(--$L463,MM_Income!$Z$5:$AC$204,3,FALSE()),"UNMAPPED"))</f>
        <v/>
      </c>
    </row>
    <row r="464" customFormat="false" ht="13.5" hidden="false" customHeight="false" outlineLevel="0" collapsed="false">
      <c r="A464" s="1" t="str">
        <f aca="false">IF($C464="","",Controls!$B$7)</f>
        <v/>
      </c>
      <c r="B464" s="1" t="str">
        <f aca="false">IF($H464="","",YEAR($H464)&amp;"-Q"&amp;ROUNDUP(MONTH($H464)/3,0))</f>
        <v/>
      </c>
      <c r="S464" s="1" t="str">
        <f aca="false">IF($C464="","",$C464&amp;"|"&amp;$E464&amp;"|"&amp;$F464&amp;"|"&amp;$L464&amp;"|"&amp;$P464&amp;"|"&amp;TEXT($H464,"yyyy-mm-dd"))</f>
        <v/>
      </c>
      <c r="T464" s="1" t="str">
        <f aca="false">IF($S464="","",IF(COUNTIF($S$2:$S$2991,$S464)&gt;1,"DUPLICATE","OK"))</f>
        <v/>
      </c>
      <c r="U464" s="0" t="str">
        <f aca="false">IF($L464="","",IFERROR(VLOOKUP(--$L464,MM_Income!$Z$5:$AC$204,3,FALSE()),"UNMAPPED"))</f>
        <v/>
      </c>
    </row>
    <row r="465" customFormat="false" ht="13.5" hidden="false" customHeight="false" outlineLevel="0" collapsed="false">
      <c r="A465" s="1" t="str">
        <f aca="false">IF($C465="","",Controls!$B$7)</f>
        <v/>
      </c>
      <c r="B465" s="1" t="str">
        <f aca="false">IF($H465="","",YEAR($H465)&amp;"-Q"&amp;ROUNDUP(MONTH($H465)/3,0))</f>
        <v/>
      </c>
      <c r="S465" s="1" t="str">
        <f aca="false">IF($C465="","",$C465&amp;"|"&amp;$E465&amp;"|"&amp;$F465&amp;"|"&amp;$L465&amp;"|"&amp;$P465&amp;"|"&amp;TEXT($H465,"yyyy-mm-dd"))</f>
        <v/>
      </c>
      <c r="T465" s="1" t="str">
        <f aca="false">IF($S465="","",IF(COUNTIF($S$2:$S$2991,$S465)&gt;1,"DUPLICATE","OK"))</f>
        <v/>
      </c>
      <c r="U465" s="0" t="str">
        <f aca="false">IF($L465="","",IFERROR(VLOOKUP(--$L465,MM_Income!$Z$5:$AC$204,3,FALSE()),"UNMAPPED"))</f>
        <v/>
      </c>
    </row>
    <row r="466" customFormat="false" ht="13.5" hidden="false" customHeight="false" outlineLevel="0" collapsed="false">
      <c r="A466" s="1" t="str">
        <f aca="false">IF($C466="","",Controls!$B$7)</f>
        <v/>
      </c>
      <c r="B466" s="1" t="str">
        <f aca="false">IF($H466="","",YEAR($H466)&amp;"-Q"&amp;ROUNDUP(MONTH($H466)/3,0))</f>
        <v/>
      </c>
      <c r="S466" s="1" t="str">
        <f aca="false">IF($C466="","",$C466&amp;"|"&amp;$E466&amp;"|"&amp;$F466&amp;"|"&amp;$L466&amp;"|"&amp;$P466&amp;"|"&amp;TEXT($H466,"yyyy-mm-dd"))</f>
        <v/>
      </c>
      <c r="T466" s="1" t="str">
        <f aca="false">IF($S466="","",IF(COUNTIF($S$2:$S$2991,$S466)&gt;1,"DUPLICATE","OK"))</f>
        <v/>
      </c>
      <c r="U466" s="0" t="str">
        <f aca="false">IF($L466="","",IFERROR(VLOOKUP(--$L466,MM_Income!$Z$5:$AC$204,3,FALSE()),"UNMAPPED"))</f>
        <v/>
      </c>
    </row>
    <row r="467" customFormat="false" ht="13.5" hidden="false" customHeight="false" outlineLevel="0" collapsed="false">
      <c r="A467" s="1" t="str">
        <f aca="false">IF($C467="","",Controls!$B$7)</f>
        <v/>
      </c>
      <c r="B467" s="1" t="str">
        <f aca="false">IF($H467="","",YEAR($H467)&amp;"-Q"&amp;ROUNDUP(MONTH($H467)/3,0))</f>
        <v/>
      </c>
      <c r="S467" s="1" t="str">
        <f aca="false">IF($C467="","",$C467&amp;"|"&amp;$E467&amp;"|"&amp;$F467&amp;"|"&amp;$L467&amp;"|"&amp;$P467&amp;"|"&amp;TEXT($H467,"yyyy-mm-dd"))</f>
        <v/>
      </c>
      <c r="T467" s="1" t="str">
        <f aca="false">IF($S467="","",IF(COUNTIF($S$2:$S$2991,$S467)&gt;1,"DUPLICATE","OK"))</f>
        <v/>
      </c>
      <c r="U467" s="0" t="str">
        <f aca="false">IF($L467="","",IFERROR(VLOOKUP(--$L467,MM_Income!$Z$5:$AC$204,3,FALSE()),"UNMAPPED"))</f>
        <v/>
      </c>
    </row>
    <row r="468" customFormat="false" ht="13.5" hidden="false" customHeight="false" outlineLevel="0" collapsed="false">
      <c r="A468" s="1" t="str">
        <f aca="false">IF($C468="","",Controls!$B$7)</f>
        <v/>
      </c>
      <c r="B468" s="1" t="str">
        <f aca="false">IF($H468="","",YEAR($H468)&amp;"-Q"&amp;ROUNDUP(MONTH($H468)/3,0))</f>
        <v/>
      </c>
      <c r="S468" s="1" t="str">
        <f aca="false">IF($C468="","",$C468&amp;"|"&amp;$E468&amp;"|"&amp;$F468&amp;"|"&amp;$L468&amp;"|"&amp;$P468&amp;"|"&amp;TEXT($H468,"yyyy-mm-dd"))</f>
        <v/>
      </c>
      <c r="T468" s="1" t="str">
        <f aca="false">IF($S468="","",IF(COUNTIF($S$2:$S$2991,$S468)&gt;1,"DUPLICATE","OK"))</f>
        <v/>
      </c>
      <c r="U468" s="0" t="str">
        <f aca="false">IF($L468="","",IFERROR(VLOOKUP(--$L468,MM_Income!$Z$5:$AC$204,3,FALSE()),"UNMAPPED"))</f>
        <v/>
      </c>
    </row>
    <row r="469" customFormat="false" ht="13.5" hidden="false" customHeight="false" outlineLevel="0" collapsed="false">
      <c r="A469" s="1" t="str">
        <f aca="false">IF($C469="","",Controls!$B$7)</f>
        <v/>
      </c>
      <c r="B469" s="1" t="str">
        <f aca="false">IF($H469="","",YEAR($H469)&amp;"-Q"&amp;ROUNDUP(MONTH($H469)/3,0))</f>
        <v/>
      </c>
      <c r="S469" s="1" t="str">
        <f aca="false">IF($C469="","",$C469&amp;"|"&amp;$E469&amp;"|"&amp;$F469&amp;"|"&amp;$L469&amp;"|"&amp;$P469&amp;"|"&amp;TEXT($H469,"yyyy-mm-dd"))</f>
        <v/>
      </c>
      <c r="T469" s="1" t="str">
        <f aca="false">IF($S469="","",IF(COUNTIF($S$2:$S$2991,$S469)&gt;1,"DUPLICATE","OK"))</f>
        <v/>
      </c>
      <c r="U469" s="0" t="str">
        <f aca="false">IF($L469="","",IFERROR(VLOOKUP(--$L469,MM_Income!$Z$5:$AC$204,3,FALSE()),"UNMAPPED"))</f>
        <v/>
      </c>
    </row>
    <row r="470" customFormat="false" ht="13.5" hidden="false" customHeight="false" outlineLevel="0" collapsed="false">
      <c r="A470" s="1" t="str">
        <f aca="false">IF($C470="","",Controls!$B$7)</f>
        <v/>
      </c>
      <c r="B470" s="1" t="str">
        <f aca="false">IF($H470="","",YEAR($H470)&amp;"-Q"&amp;ROUNDUP(MONTH($H470)/3,0))</f>
        <v/>
      </c>
      <c r="S470" s="1" t="str">
        <f aca="false">IF($C470="","",$C470&amp;"|"&amp;$E470&amp;"|"&amp;$F470&amp;"|"&amp;$L470&amp;"|"&amp;$P470&amp;"|"&amp;TEXT($H470,"yyyy-mm-dd"))</f>
        <v/>
      </c>
      <c r="T470" s="1" t="str">
        <f aca="false">IF($S470="","",IF(COUNTIF($S$2:$S$2991,$S470)&gt;1,"DUPLICATE","OK"))</f>
        <v/>
      </c>
      <c r="U470" s="0" t="str">
        <f aca="false">IF($L470="","",IFERROR(VLOOKUP(--$L470,MM_Income!$Z$5:$AC$204,3,FALSE()),"UNMAPPED"))</f>
        <v/>
      </c>
    </row>
    <row r="471" customFormat="false" ht="13.5" hidden="false" customHeight="false" outlineLevel="0" collapsed="false">
      <c r="A471" s="1" t="str">
        <f aca="false">IF($C471="","",Controls!$B$7)</f>
        <v/>
      </c>
      <c r="B471" s="1" t="str">
        <f aca="false">IF($H471="","",YEAR($H471)&amp;"-Q"&amp;ROUNDUP(MONTH($H471)/3,0))</f>
        <v/>
      </c>
      <c r="S471" s="1" t="str">
        <f aca="false">IF($C471="","",$C471&amp;"|"&amp;$E471&amp;"|"&amp;$F471&amp;"|"&amp;$L471&amp;"|"&amp;$P471&amp;"|"&amp;TEXT($H471,"yyyy-mm-dd"))</f>
        <v/>
      </c>
      <c r="T471" s="1" t="str">
        <f aca="false">IF($S471="","",IF(COUNTIF($S$2:$S$2991,$S471)&gt;1,"DUPLICATE","OK"))</f>
        <v/>
      </c>
      <c r="U471" s="0" t="str">
        <f aca="false">IF($L471="","",IFERROR(VLOOKUP(--$L471,MM_Income!$Z$5:$AC$204,3,FALSE()),"UNMAPPED"))</f>
        <v/>
      </c>
    </row>
    <row r="472" customFormat="false" ht="13.5" hidden="false" customHeight="false" outlineLevel="0" collapsed="false">
      <c r="A472" s="1" t="str">
        <f aca="false">IF($C472="","",Controls!$B$7)</f>
        <v/>
      </c>
      <c r="B472" s="1" t="str">
        <f aca="false">IF($H472="","",YEAR($H472)&amp;"-Q"&amp;ROUNDUP(MONTH($H472)/3,0))</f>
        <v/>
      </c>
      <c r="S472" s="1" t="str">
        <f aca="false">IF($C472="","",$C472&amp;"|"&amp;$E472&amp;"|"&amp;$F472&amp;"|"&amp;$L472&amp;"|"&amp;$P472&amp;"|"&amp;TEXT($H472,"yyyy-mm-dd"))</f>
        <v/>
      </c>
      <c r="T472" s="1" t="str">
        <f aca="false">IF($S472="","",IF(COUNTIF($S$2:$S$2991,$S472)&gt;1,"DUPLICATE","OK"))</f>
        <v/>
      </c>
      <c r="U472" s="0" t="str">
        <f aca="false">IF($L472="","",IFERROR(VLOOKUP(--$L472,MM_Income!$Z$5:$AC$204,3,FALSE()),"UNMAPPED"))</f>
        <v/>
      </c>
    </row>
    <row r="473" customFormat="false" ht="13.5" hidden="false" customHeight="false" outlineLevel="0" collapsed="false">
      <c r="A473" s="1" t="str">
        <f aca="false">IF($C473="","",Controls!$B$7)</f>
        <v/>
      </c>
      <c r="B473" s="1" t="str">
        <f aca="false">IF($H473="","",YEAR($H473)&amp;"-Q"&amp;ROUNDUP(MONTH($H473)/3,0))</f>
        <v/>
      </c>
      <c r="S473" s="1" t="str">
        <f aca="false">IF($C473="","",$C473&amp;"|"&amp;$E473&amp;"|"&amp;$F473&amp;"|"&amp;$L473&amp;"|"&amp;$P473&amp;"|"&amp;TEXT($H473,"yyyy-mm-dd"))</f>
        <v/>
      </c>
      <c r="T473" s="1" t="str">
        <f aca="false">IF($S473="","",IF(COUNTIF($S$2:$S$2991,$S473)&gt;1,"DUPLICATE","OK"))</f>
        <v/>
      </c>
      <c r="U473" s="0" t="str">
        <f aca="false">IF($L473="","",IFERROR(VLOOKUP(--$L473,MM_Income!$Z$5:$AC$204,3,FALSE()),"UNMAPPED"))</f>
        <v/>
      </c>
    </row>
    <row r="474" customFormat="false" ht="13.5" hidden="false" customHeight="false" outlineLevel="0" collapsed="false">
      <c r="A474" s="1" t="str">
        <f aca="false">IF($C474="","",Controls!$B$7)</f>
        <v/>
      </c>
      <c r="B474" s="1" t="str">
        <f aca="false">IF($H474="","",YEAR($H474)&amp;"-Q"&amp;ROUNDUP(MONTH($H474)/3,0))</f>
        <v/>
      </c>
      <c r="S474" s="1" t="str">
        <f aca="false">IF($C474="","",$C474&amp;"|"&amp;$E474&amp;"|"&amp;$F474&amp;"|"&amp;$L474&amp;"|"&amp;$P474&amp;"|"&amp;TEXT($H474,"yyyy-mm-dd"))</f>
        <v/>
      </c>
      <c r="T474" s="1" t="str">
        <f aca="false">IF($S474="","",IF(COUNTIF($S$2:$S$2991,$S474)&gt;1,"DUPLICATE","OK"))</f>
        <v/>
      </c>
      <c r="U474" s="0" t="str">
        <f aca="false">IF($L474="","",IFERROR(VLOOKUP(--$L474,MM_Income!$Z$5:$AC$204,3,FALSE()),"UNMAPPED"))</f>
        <v/>
      </c>
    </row>
    <row r="475" customFormat="false" ht="13.5" hidden="false" customHeight="false" outlineLevel="0" collapsed="false">
      <c r="A475" s="1" t="str">
        <f aca="false">IF($C475="","",Controls!$B$7)</f>
        <v/>
      </c>
      <c r="B475" s="1" t="str">
        <f aca="false">IF($H475="","",YEAR($H475)&amp;"-Q"&amp;ROUNDUP(MONTH($H475)/3,0))</f>
        <v/>
      </c>
      <c r="S475" s="1" t="str">
        <f aca="false">IF($C475="","",$C475&amp;"|"&amp;$E475&amp;"|"&amp;$F475&amp;"|"&amp;$L475&amp;"|"&amp;$P475&amp;"|"&amp;TEXT($H475,"yyyy-mm-dd"))</f>
        <v/>
      </c>
      <c r="T475" s="1" t="str">
        <f aca="false">IF($S475="","",IF(COUNTIF($S$2:$S$2991,$S475)&gt;1,"DUPLICATE","OK"))</f>
        <v/>
      </c>
      <c r="U475" s="0" t="str">
        <f aca="false">IF($L475="","",IFERROR(VLOOKUP(--$L475,MM_Income!$Z$5:$AC$204,3,FALSE()),"UNMAPPED"))</f>
        <v/>
      </c>
    </row>
    <row r="476" customFormat="false" ht="13.5" hidden="false" customHeight="false" outlineLevel="0" collapsed="false">
      <c r="A476" s="1" t="str">
        <f aca="false">IF($C476="","",Controls!$B$7)</f>
        <v/>
      </c>
      <c r="B476" s="1" t="str">
        <f aca="false">IF($H476="","",YEAR($H476)&amp;"-Q"&amp;ROUNDUP(MONTH($H476)/3,0))</f>
        <v/>
      </c>
      <c r="S476" s="1" t="str">
        <f aca="false">IF($C476="","",$C476&amp;"|"&amp;$E476&amp;"|"&amp;$F476&amp;"|"&amp;$L476&amp;"|"&amp;$P476&amp;"|"&amp;TEXT($H476,"yyyy-mm-dd"))</f>
        <v/>
      </c>
      <c r="T476" s="1" t="str">
        <f aca="false">IF($S476="","",IF(COUNTIF($S$2:$S$2991,$S476)&gt;1,"DUPLICATE","OK"))</f>
        <v/>
      </c>
      <c r="U476" s="0" t="str">
        <f aca="false">IF($L476="","",IFERROR(VLOOKUP(--$L476,MM_Income!$Z$5:$AC$204,3,FALSE()),"UNMAPPED"))</f>
        <v/>
      </c>
    </row>
    <row r="477" customFormat="false" ht="13.5" hidden="false" customHeight="false" outlineLevel="0" collapsed="false">
      <c r="A477" s="1" t="str">
        <f aca="false">IF($C477="","",Controls!$B$7)</f>
        <v/>
      </c>
      <c r="B477" s="1" t="str">
        <f aca="false">IF($H477="","",YEAR($H477)&amp;"-Q"&amp;ROUNDUP(MONTH($H477)/3,0))</f>
        <v/>
      </c>
      <c r="S477" s="1" t="str">
        <f aca="false">IF($C477="","",$C477&amp;"|"&amp;$E477&amp;"|"&amp;$F477&amp;"|"&amp;$L477&amp;"|"&amp;$P477&amp;"|"&amp;TEXT($H477,"yyyy-mm-dd"))</f>
        <v/>
      </c>
      <c r="T477" s="1" t="str">
        <f aca="false">IF($S477="","",IF(COUNTIF($S$2:$S$2991,$S477)&gt;1,"DUPLICATE","OK"))</f>
        <v/>
      </c>
      <c r="U477" s="0" t="str">
        <f aca="false">IF($L477="","",IFERROR(VLOOKUP(--$L477,MM_Income!$Z$5:$AC$204,3,FALSE()),"UNMAPPED"))</f>
        <v/>
      </c>
    </row>
    <row r="478" customFormat="false" ht="13.5" hidden="false" customHeight="false" outlineLevel="0" collapsed="false">
      <c r="A478" s="1" t="str">
        <f aca="false">IF($C478="","",Controls!$B$7)</f>
        <v/>
      </c>
      <c r="B478" s="1" t="str">
        <f aca="false">IF($H478="","",YEAR($H478)&amp;"-Q"&amp;ROUNDUP(MONTH($H478)/3,0))</f>
        <v/>
      </c>
      <c r="S478" s="1" t="str">
        <f aca="false">IF($C478="","",$C478&amp;"|"&amp;$E478&amp;"|"&amp;$F478&amp;"|"&amp;$L478&amp;"|"&amp;$P478&amp;"|"&amp;TEXT($H478,"yyyy-mm-dd"))</f>
        <v/>
      </c>
      <c r="T478" s="1" t="str">
        <f aca="false">IF($S478="","",IF(COUNTIF($S$2:$S$2991,$S478)&gt;1,"DUPLICATE","OK"))</f>
        <v/>
      </c>
      <c r="U478" s="0" t="str">
        <f aca="false">IF($L478="","",IFERROR(VLOOKUP(--$L478,MM_Income!$Z$5:$AC$204,3,FALSE()),"UNMAPPED"))</f>
        <v/>
      </c>
    </row>
    <row r="479" customFormat="false" ht="13.5" hidden="false" customHeight="false" outlineLevel="0" collapsed="false">
      <c r="A479" s="1" t="str">
        <f aca="false">IF($C479="","",Controls!$B$7)</f>
        <v/>
      </c>
      <c r="B479" s="1" t="str">
        <f aca="false">IF($H479="","",YEAR($H479)&amp;"-Q"&amp;ROUNDUP(MONTH($H479)/3,0))</f>
        <v/>
      </c>
      <c r="S479" s="1" t="str">
        <f aca="false">IF($C479="","",$C479&amp;"|"&amp;$E479&amp;"|"&amp;$F479&amp;"|"&amp;$L479&amp;"|"&amp;$P479&amp;"|"&amp;TEXT($H479,"yyyy-mm-dd"))</f>
        <v/>
      </c>
      <c r="T479" s="1" t="str">
        <f aca="false">IF($S479="","",IF(COUNTIF($S$2:$S$2991,$S479)&gt;1,"DUPLICATE","OK"))</f>
        <v/>
      </c>
      <c r="U479" s="0" t="str">
        <f aca="false">IF($L479="","",IFERROR(VLOOKUP(--$L479,MM_Income!$Z$5:$AC$204,3,FALSE()),"UNMAPPED"))</f>
        <v/>
      </c>
    </row>
    <row r="480" customFormat="false" ht="13.5" hidden="false" customHeight="false" outlineLevel="0" collapsed="false">
      <c r="A480" s="1" t="str">
        <f aca="false">IF($C480="","",Controls!$B$7)</f>
        <v/>
      </c>
      <c r="B480" s="1" t="str">
        <f aca="false">IF($H480="","",YEAR($H480)&amp;"-Q"&amp;ROUNDUP(MONTH($H480)/3,0))</f>
        <v/>
      </c>
      <c r="S480" s="1" t="str">
        <f aca="false">IF($C480="","",$C480&amp;"|"&amp;$E480&amp;"|"&amp;$F480&amp;"|"&amp;$L480&amp;"|"&amp;$P480&amp;"|"&amp;TEXT($H480,"yyyy-mm-dd"))</f>
        <v/>
      </c>
      <c r="T480" s="1" t="str">
        <f aca="false">IF($S480="","",IF(COUNTIF($S$2:$S$2991,$S480)&gt;1,"DUPLICATE","OK"))</f>
        <v/>
      </c>
      <c r="U480" s="0" t="str">
        <f aca="false">IF($L480="","",IFERROR(VLOOKUP(--$L480,MM_Income!$Z$5:$AC$204,3,FALSE()),"UNMAPPED"))</f>
        <v/>
      </c>
    </row>
    <row r="481" customFormat="false" ht="13.5" hidden="false" customHeight="false" outlineLevel="0" collapsed="false">
      <c r="A481" s="1" t="str">
        <f aca="false">IF($C481="","",Controls!$B$7)</f>
        <v/>
      </c>
      <c r="B481" s="1" t="str">
        <f aca="false">IF($H481="","",YEAR($H481)&amp;"-Q"&amp;ROUNDUP(MONTH($H481)/3,0))</f>
        <v/>
      </c>
      <c r="S481" s="1" t="str">
        <f aca="false">IF($C481="","",$C481&amp;"|"&amp;$E481&amp;"|"&amp;$F481&amp;"|"&amp;$L481&amp;"|"&amp;$P481&amp;"|"&amp;TEXT($H481,"yyyy-mm-dd"))</f>
        <v/>
      </c>
      <c r="T481" s="1" t="str">
        <f aca="false">IF($S481="","",IF(COUNTIF($S$2:$S$2991,$S481)&gt;1,"DUPLICATE","OK"))</f>
        <v/>
      </c>
      <c r="U481" s="0" t="str">
        <f aca="false">IF($L481="","",IFERROR(VLOOKUP(--$L481,MM_Income!$Z$5:$AC$204,3,FALSE()),"UNMAPPED"))</f>
        <v/>
      </c>
    </row>
    <row r="482" customFormat="false" ht="13.5" hidden="false" customHeight="false" outlineLevel="0" collapsed="false">
      <c r="A482" s="1" t="str">
        <f aca="false">IF($C482="","",Controls!$B$7)</f>
        <v/>
      </c>
      <c r="B482" s="1" t="str">
        <f aca="false">IF($H482="","",YEAR($H482)&amp;"-Q"&amp;ROUNDUP(MONTH($H482)/3,0))</f>
        <v/>
      </c>
      <c r="S482" s="1" t="str">
        <f aca="false">IF($C482="","",$C482&amp;"|"&amp;$E482&amp;"|"&amp;$F482&amp;"|"&amp;$L482&amp;"|"&amp;$P482&amp;"|"&amp;TEXT($H482,"yyyy-mm-dd"))</f>
        <v/>
      </c>
      <c r="T482" s="1" t="str">
        <f aca="false">IF($S482="","",IF(COUNTIF($S$2:$S$2991,$S482)&gt;1,"DUPLICATE","OK"))</f>
        <v/>
      </c>
      <c r="U482" s="0" t="str">
        <f aca="false">IF($L482="","",IFERROR(VLOOKUP(--$L482,MM_Income!$Z$5:$AC$204,3,FALSE()),"UNMAPPED"))</f>
        <v/>
      </c>
    </row>
    <row r="483" customFormat="false" ht="13.5" hidden="false" customHeight="false" outlineLevel="0" collapsed="false">
      <c r="A483" s="1" t="str">
        <f aca="false">IF($C483="","",Controls!$B$7)</f>
        <v/>
      </c>
      <c r="B483" s="1" t="str">
        <f aca="false">IF($H483="","",YEAR($H483)&amp;"-Q"&amp;ROUNDUP(MONTH($H483)/3,0))</f>
        <v/>
      </c>
      <c r="S483" s="1" t="str">
        <f aca="false">IF($C483="","",$C483&amp;"|"&amp;$E483&amp;"|"&amp;$F483&amp;"|"&amp;$L483&amp;"|"&amp;$P483&amp;"|"&amp;TEXT($H483,"yyyy-mm-dd"))</f>
        <v/>
      </c>
      <c r="T483" s="1" t="str">
        <f aca="false">IF($S483="","",IF(COUNTIF($S$2:$S$2991,$S483)&gt;1,"DUPLICATE","OK"))</f>
        <v/>
      </c>
      <c r="U483" s="0" t="str">
        <f aca="false">IF($L483="","",IFERROR(VLOOKUP(--$L483,MM_Income!$Z$5:$AC$204,3,FALSE()),"UNMAPPED"))</f>
        <v/>
      </c>
    </row>
    <row r="484" customFormat="false" ht="13.5" hidden="false" customHeight="false" outlineLevel="0" collapsed="false">
      <c r="A484" s="1" t="str">
        <f aca="false">IF($C484="","",Controls!$B$7)</f>
        <v/>
      </c>
      <c r="B484" s="1" t="str">
        <f aca="false">IF($H484="","",YEAR($H484)&amp;"-Q"&amp;ROUNDUP(MONTH($H484)/3,0))</f>
        <v/>
      </c>
      <c r="S484" s="1" t="str">
        <f aca="false">IF($C484="","",$C484&amp;"|"&amp;$E484&amp;"|"&amp;$F484&amp;"|"&amp;$L484&amp;"|"&amp;$P484&amp;"|"&amp;TEXT($H484,"yyyy-mm-dd"))</f>
        <v/>
      </c>
      <c r="T484" s="1" t="str">
        <f aca="false">IF($S484="","",IF(COUNTIF($S$2:$S$2991,$S484)&gt;1,"DUPLICATE","OK"))</f>
        <v/>
      </c>
      <c r="U484" s="0" t="str">
        <f aca="false">IF($L484="","",IFERROR(VLOOKUP(--$L484,MM_Income!$Z$5:$AC$204,3,FALSE()),"UNMAPPED"))</f>
        <v/>
      </c>
    </row>
    <row r="485" customFormat="false" ht="13.5" hidden="false" customHeight="false" outlineLevel="0" collapsed="false">
      <c r="A485" s="1" t="str">
        <f aca="false">IF($C485="","",Controls!$B$7)</f>
        <v/>
      </c>
      <c r="B485" s="1" t="str">
        <f aca="false">IF($H485="","",YEAR($H485)&amp;"-Q"&amp;ROUNDUP(MONTH($H485)/3,0))</f>
        <v/>
      </c>
      <c r="S485" s="1" t="str">
        <f aca="false">IF($C485="","",$C485&amp;"|"&amp;$E485&amp;"|"&amp;$F485&amp;"|"&amp;$L485&amp;"|"&amp;$P485&amp;"|"&amp;TEXT($H485,"yyyy-mm-dd"))</f>
        <v/>
      </c>
      <c r="T485" s="1" t="str">
        <f aca="false">IF($S485="","",IF(COUNTIF($S$2:$S$2991,$S485)&gt;1,"DUPLICATE","OK"))</f>
        <v/>
      </c>
      <c r="U485" s="0" t="str">
        <f aca="false">IF($L485="","",IFERROR(VLOOKUP(--$L485,MM_Income!$Z$5:$AC$204,3,FALSE()),"UNMAPPED"))</f>
        <v/>
      </c>
    </row>
    <row r="486" customFormat="false" ht="13.5" hidden="false" customHeight="false" outlineLevel="0" collapsed="false">
      <c r="A486" s="1" t="str">
        <f aca="false">IF($C486="","",Controls!$B$7)</f>
        <v/>
      </c>
      <c r="B486" s="1" t="str">
        <f aca="false">IF($H486="","",YEAR($H486)&amp;"-Q"&amp;ROUNDUP(MONTH($H486)/3,0))</f>
        <v/>
      </c>
      <c r="S486" s="1" t="str">
        <f aca="false">IF($C486="","",$C486&amp;"|"&amp;$E486&amp;"|"&amp;$F486&amp;"|"&amp;$L486&amp;"|"&amp;$P486&amp;"|"&amp;TEXT($H486,"yyyy-mm-dd"))</f>
        <v/>
      </c>
      <c r="T486" s="1" t="str">
        <f aca="false">IF($S486="","",IF(COUNTIF($S$2:$S$2991,$S486)&gt;1,"DUPLICATE","OK"))</f>
        <v/>
      </c>
      <c r="U486" s="0" t="str">
        <f aca="false">IF($L486="","",IFERROR(VLOOKUP(--$L486,MM_Income!$Z$5:$AC$204,3,FALSE()),"UNMAPPED"))</f>
        <v/>
      </c>
    </row>
    <row r="487" customFormat="false" ht="13.5" hidden="false" customHeight="false" outlineLevel="0" collapsed="false">
      <c r="A487" s="1" t="str">
        <f aca="false">IF($C487="","",Controls!$B$7)</f>
        <v/>
      </c>
      <c r="B487" s="1" t="str">
        <f aca="false">IF($H487="","",YEAR($H487)&amp;"-Q"&amp;ROUNDUP(MONTH($H487)/3,0))</f>
        <v/>
      </c>
      <c r="S487" s="1" t="str">
        <f aca="false">IF($C487="","",$C487&amp;"|"&amp;$E487&amp;"|"&amp;$F487&amp;"|"&amp;$L487&amp;"|"&amp;$P487&amp;"|"&amp;TEXT($H487,"yyyy-mm-dd"))</f>
        <v/>
      </c>
      <c r="T487" s="1" t="str">
        <f aca="false">IF($S487="","",IF(COUNTIF($S$2:$S$2991,$S487)&gt;1,"DUPLICATE","OK"))</f>
        <v/>
      </c>
      <c r="U487" s="0" t="str">
        <f aca="false">IF($L487="","",IFERROR(VLOOKUP(--$L487,MM_Income!$Z$5:$AC$204,3,FALSE()),"UNMAPPED"))</f>
        <v/>
      </c>
    </row>
    <row r="488" customFormat="false" ht="13.5" hidden="false" customHeight="false" outlineLevel="0" collapsed="false">
      <c r="A488" s="1" t="str">
        <f aca="false">IF($C488="","",Controls!$B$7)</f>
        <v/>
      </c>
      <c r="B488" s="1" t="str">
        <f aca="false">IF($H488="","",YEAR($H488)&amp;"-Q"&amp;ROUNDUP(MONTH($H488)/3,0))</f>
        <v/>
      </c>
      <c r="S488" s="1" t="str">
        <f aca="false">IF($C488="","",$C488&amp;"|"&amp;$E488&amp;"|"&amp;$F488&amp;"|"&amp;$L488&amp;"|"&amp;$P488&amp;"|"&amp;TEXT($H488,"yyyy-mm-dd"))</f>
        <v/>
      </c>
      <c r="T488" s="1" t="str">
        <f aca="false">IF($S488="","",IF(COUNTIF($S$2:$S$2991,$S488)&gt;1,"DUPLICATE","OK"))</f>
        <v/>
      </c>
      <c r="U488" s="0" t="str">
        <f aca="false">IF($L488="","",IFERROR(VLOOKUP(--$L488,MM_Income!$Z$5:$AC$204,3,FALSE()),"UNMAPPED"))</f>
        <v/>
      </c>
    </row>
    <row r="489" customFormat="false" ht="13.5" hidden="false" customHeight="false" outlineLevel="0" collapsed="false">
      <c r="A489" s="1" t="str">
        <f aca="false">IF($C489="","",Controls!$B$7)</f>
        <v/>
      </c>
      <c r="B489" s="1" t="str">
        <f aca="false">IF($H489="","",YEAR($H489)&amp;"-Q"&amp;ROUNDUP(MONTH($H489)/3,0))</f>
        <v/>
      </c>
      <c r="S489" s="1" t="str">
        <f aca="false">IF($C489="","",$C489&amp;"|"&amp;$E489&amp;"|"&amp;$F489&amp;"|"&amp;$L489&amp;"|"&amp;$P489&amp;"|"&amp;TEXT($H489,"yyyy-mm-dd"))</f>
        <v/>
      </c>
      <c r="T489" s="1" t="str">
        <f aca="false">IF($S489="","",IF(COUNTIF($S$2:$S$2991,$S489)&gt;1,"DUPLICATE","OK"))</f>
        <v/>
      </c>
      <c r="U489" s="0" t="str">
        <f aca="false">IF($L489="","",IFERROR(VLOOKUP(--$L489,MM_Income!$Z$5:$AC$204,3,FALSE()),"UNMAPPED"))</f>
        <v/>
      </c>
    </row>
    <row r="490" customFormat="false" ht="13.5" hidden="false" customHeight="false" outlineLevel="0" collapsed="false">
      <c r="A490" s="1" t="str">
        <f aca="false">IF($C490="","",Controls!$B$7)</f>
        <v/>
      </c>
      <c r="B490" s="1" t="str">
        <f aca="false">IF($H490="","",YEAR($H490)&amp;"-Q"&amp;ROUNDUP(MONTH($H490)/3,0))</f>
        <v/>
      </c>
      <c r="S490" s="1" t="str">
        <f aca="false">IF($C490="","",$C490&amp;"|"&amp;$E490&amp;"|"&amp;$F490&amp;"|"&amp;$L490&amp;"|"&amp;$P490&amp;"|"&amp;TEXT($H490,"yyyy-mm-dd"))</f>
        <v/>
      </c>
      <c r="T490" s="1" t="str">
        <f aca="false">IF($S490="","",IF(COUNTIF($S$2:$S$2991,$S490)&gt;1,"DUPLICATE","OK"))</f>
        <v/>
      </c>
      <c r="U490" s="0" t="str">
        <f aca="false">IF($L490="","",IFERROR(VLOOKUP(--$L490,MM_Income!$Z$5:$AC$204,3,FALSE()),"UNMAPPED"))</f>
        <v/>
      </c>
    </row>
    <row r="491" customFormat="false" ht="13.5" hidden="false" customHeight="false" outlineLevel="0" collapsed="false">
      <c r="A491" s="1" t="str">
        <f aca="false">IF($C491="","",Controls!$B$7)</f>
        <v/>
      </c>
      <c r="B491" s="1" t="str">
        <f aca="false">IF($H491="","",YEAR($H491)&amp;"-Q"&amp;ROUNDUP(MONTH($H491)/3,0))</f>
        <v/>
      </c>
      <c r="S491" s="1" t="str">
        <f aca="false">IF($C491="","",$C491&amp;"|"&amp;$E491&amp;"|"&amp;$F491&amp;"|"&amp;$L491&amp;"|"&amp;$P491&amp;"|"&amp;TEXT($H491,"yyyy-mm-dd"))</f>
        <v/>
      </c>
      <c r="T491" s="1" t="str">
        <f aca="false">IF($S491="","",IF(COUNTIF($S$2:$S$2991,$S491)&gt;1,"DUPLICATE","OK"))</f>
        <v/>
      </c>
      <c r="U491" s="0" t="str">
        <f aca="false">IF($L491="","",IFERROR(VLOOKUP(--$L491,MM_Income!$Z$5:$AC$204,3,FALSE()),"UNMAPPED"))</f>
        <v/>
      </c>
    </row>
    <row r="492" customFormat="false" ht="13.5" hidden="false" customHeight="false" outlineLevel="0" collapsed="false">
      <c r="A492" s="1" t="str">
        <f aca="false">IF($C492="","",Controls!$B$7)</f>
        <v/>
      </c>
      <c r="B492" s="1" t="str">
        <f aca="false">IF($H492="","",YEAR($H492)&amp;"-Q"&amp;ROUNDUP(MONTH($H492)/3,0))</f>
        <v/>
      </c>
      <c r="S492" s="1" t="str">
        <f aca="false">IF($C492="","",$C492&amp;"|"&amp;$E492&amp;"|"&amp;$F492&amp;"|"&amp;$L492&amp;"|"&amp;$P492&amp;"|"&amp;TEXT($H492,"yyyy-mm-dd"))</f>
        <v/>
      </c>
      <c r="T492" s="1" t="str">
        <f aca="false">IF($S492="","",IF(COUNTIF($S$2:$S$2991,$S492)&gt;1,"DUPLICATE","OK"))</f>
        <v/>
      </c>
      <c r="U492" s="0" t="str">
        <f aca="false">IF($L492="","",IFERROR(VLOOKUP(--$L492,MM_Income!$Z$5:$AC$204,3,FALSE()),"UNMAPPED"))</f>
        <v/>
      </c>
    </row>
    <row r="493" customFormat="false" ht="13.5" hidden="false" customHeight="false" outlineLevel="0" collapsed="false">
      <c r="A493" s="1" t="str">
        <f aca="false">IF($C493="","",Controls!$B$7)</f>
        <v/>
      </c>
      <c r="B493" s="1" t="str">
        <f aca="false">IF($H493="","",YEAR($H493)&amp;"-Q"&amp;ROUNDUP(MONTH($H493)/3,0))</f>
        <v/>
      </c>
      <c r="S493" s="1" t="str">
        <f aca="false">IF($C493="","",$C493&amp;"|"&amp;$E493&amp;"|"&amp;$F493&amp;"|"&amp;$L493&amp;"|"&amp;$P493&amp;"|"&amp;TEXT($H493,"yyyy-mm-dd"))</f>
        <v/>
      </c>
      <c r="T493" s="1" t="str">
        <f aca="false">IF($S493="","",IF(COUNTIF($S$2:$S$2991,$S493)&gt;1,"DUPLICATE","OK"))</f>
        <v/>
      </c>
      <c r="U493" s="0" t="str">
        <f aca="false">IF($L493="","",IFERROR(VLOOKUP(--$L493,MM_Income!$Z$5:$AC$204,3,FALSE()),"UNMAPPED"))</f>
        <v/>
      </c>
    </row>
    <row r="494" customFormat="false" ht="13.5" hidden="false" customHeight="false" outlineLevel="0" collapsed="false">
      <c r="A494" s="1" t="str">
        <f aca="false">IF($C494="","",Controls!$B$7)</f>
        <v/>
      </c>
      <c r="B494" s="1" t="str">
        <f aca="false">IF($H494="","",YEAR($H494)&amp;"-Q"&amp;ROUNDUP(MONTH($H494)/3,0))</f>
        <v/>
      </c>
      <c r="S494" s="1" t="str">
        <f aca="false">IF($C494="","",$C494&amp;"|"&amp;$E494&amp;"|"&amp;$F494&amp;"|"&amp;$L494&amp;"|"&amp;$P494&amp;"|"&amp;TEXT($H494,"yyyy-mm-dd"))</f>
        <v/>
      </c>
      <c r="T494" s="1" t="str">
        <f aca="false">IF($S494="","",IF(COUNTIF($S$2:$S$2991,$S494)&gt;1,"DUPLICATE","OK"))</f>
        <v/>
      </c>
      <c r="U494" s="0" t="str">
        <f aca="false">IF($L494="","",IFERROR(VLOOKUP(--$L494,MM_Income!$Z$5:$AC$204,3,FALSE()),"UNMAPPED"))</f>
        <v/>
      </c>
    </row>
    <row r="495" customFormat="false" ht="13.5" hidden="false" customHeight="false" outlineLevel="0" collapsed="false">
      <c r="A495" s="1" t="str">
        <f aca="false">IF($C495="","",Controls!$B$7)</f>
        <v/>
      </c>
      <c r="B495" s="1" t="str">
        <f aca="false">IF($H495="","",YEAR($H495)&amp;"-Q"&amp;ROUNDUP(MONTH($H495)/3,0))</f>
        <v/>
      </c>
      <c r="S495" s="1" t="str">
        <f aca="false">IF($C495="","",$C495&amp;"|"&amp;$E495&amp;"|"&amp;$F495&amp;"|"&amp;$L495&amp;"|"&amp;$P495&amp;"|"&amp;TEXT($H495,"yyyy-mm-dd"))</f>
        <v/>
      </c>
      <c r="T495" s="1" t="str">
        <f aca="false">IF($S495="","",IF(COUNTIF($S$2:$S$2991,$S495)&gt;1,"DUPLICATE","OK"))</f>
        <v/>
      </c>
      <c r="U495" s="0" t="str">
        <f aca="false">IF($L495="","",IFERROR(VLOOKUP(--$L495,MM_Income!$Z$5:$AC$204,3,FALSE()),"UNMAPPED"))</f>
        <v/>
      </c>
    </row>
    <row r="496" customFormat="false" ht="13.5" hidden="false" customHeight="false" outlineLevel="0" collapsed="false">
      <c r="A496" s="1" t="str">
        <f aca="false">IF($C496="","",Controls!$B$7)</f>
        <v/>
      </c>
      <c r="B496" s="1" t="str">
        <f aca="false">IF($H496="","",YEAR($H496)&amp;"-Q"&amp;ROUNDUP(MONTH($H496)/3,0))</f>
        <v/>
      </c>
      <c r="S496" s="1" t="str">
        <f aca="false">IF($C496="","",$C496&amp;"|"&amp;$E496&amp;"|"&amp;$F496&amp;"|"&amp;$L496&amp;"|"&amp;$P496&amp;"|"&amp;TEXT($H496,"yyyy-mm-dd"))</f>
        <v/>
      </c>
      <c r="T496" s="1" t="str">
        <f aca="false">IF($S496="","",IF(COUNTIF($S$2:$S$2991,$S496)&gt;1,"DUPLICATE","OK"))</f>
        <v/>
      </c>
      <c r="U496" s="0" t="str">
        <f aca="false">IF($L496="","",IFERROR(VLOOKUP(--$L496,MM_Income!$Z$5:$AC$204,3,FALSE()),"UNMAPPED"))</f>
        <v/>
      </c>
    </row>
    <row r="497" customFormat="false" ht="13.5" hidden="false" customHeight="false" outlineLevel="0" collapsed="false">
      <c r="A497" s="1" t="str">
        <f aca="false">IF($C497="","",Controls!$B$7)</f>
        <v/>
      </c>
      <c r="B497" s="1" t="str">
        <f aca="false">IF($H497="","",YEAR($H497)&amp;"-Q"&amp;ROUNDUP(MONTH($H497)/3,0))</f>
        <v/>
      </c>
      <c r="S497" s="1" t="str">
        <f aca="false">IF($C497="","",$C497&amp;"|"&amp;$E497&amp;"|"&amp;$F497&amp;"|"&amp;$L497&amp;"|"&amp;$P497&amp;"|"&amp;TEXT($H497,"yyyy-mm-dd"))</f>
        <v/>
      </c>
      <c r="T497" s="1" t="str">
        <f aca="false">IF($S497="","",IF(COUNTIF($S$2:$S$2991,$S497)&gt;1,"DUPLICATE","OK"))</f>
        <v/>
      </c>
      <c r="U497" s="0" t="str">
        <f aca="false">IF($L497="","",IFERROR(VLOOKUP(--$L497,MM_Income!$Z$5:$AC$204,3,FALSE()),"UNMAPPED"))</f>
        <v/>
      </c>
    </row>
    <row r="498" customFormat="false" ht="13.5" hidden="false" customHeight="false" outlineLevel="0" collapsed="false">
      <c r="A498" s="1" t="str">
        <f aca="false">IF($C498="","",Controls!$B$7)</f>
        <v/>
      </c>
      <c r="B498" s="1" t="str">
        <f aca="false">IF($H498="","",YEAR($H498)&amp;"-Q"&amp;ROUNDUP(MONTH($H498)/3,0))</f>
        <v/>
      </c>
      <c r="S498" s="1" t="str">
        <f aca="false">IF($C498="","",$C498&amp;"|"&amp;$E498&amp;"|"&amp;$F498&amp;"|"&amp;$L498&amp;"|"&amp;$P498&amp;"|"&amp;TEXT($H498,"yyyy-mm-dd"))</f>
        <v/>
      </c>
      <c r="T498" s="1" t="str">
        <f aca="false">IF($S498="","",IF(COUNTIF($S$2:$S$2991,$S498)&gt;1,"DUPLICATE","OK"))</f>
        <v/>
      </c>
      <c r="U498" s="0" t="str">
        <f aca="false">IF($L498="","",IFERROR(VLOOKUP(--$L498,MM_Income!$Z$5:$AC$204,3,FALSE()),"UNMAPPED"))</f>
        <v/>
      </c>
    </row>
    <row r="499" customFormat="false" ht="13.5" hidden="false" customHeight="false" outlineLevel="0" collapsed="false">
      <c r="A499" s="1" t="str">
        <f aca="false">IF($C499="","",Controls!$B$7)</f>
        <v/>
      </c>
      <c r="B499" s="1" t="str">
        <f aca="false">IF($H499="","",YEAR($H499)&amp;"-Q"&amp;ROUNDUP(MONTH($H499)/3,0))</f>
        <v/>
      </c>
      <c r="S499" s="1" t="str">
        <f aca="false">IF($C499="","",$C499&amp;"|"&amp;$E499&amp;"|"&amp;$F499&amp;"|"&amp;$L499&amp;"|"&amp;$P499&amp;"|"&amp;TEXT($H499,"yyyy-mm-dd"))</f>
        <v/>
      </c>
      <c r="T499" s="1" t="str">
        <f aca="false">IF($S499="","",IF(COUNTIF($S$2:$S$2991,$S499)&gt;1,"DUPLICATE","OK"))</f>
        <v/>
      </c>
      <c r="U499" s="0" t="str">
        <f aca="false">IF($L499="","",IFERROR(VLOOKUP(--$L499,MM_Income!$Z$5:$AC$204,3,FALSE()),"UNMAPPED"))</f>
        <v/>
      </c>
    </row>
    <row r="500" customFormat="false" ht="13.5" hidden="false" customHeight="false" outlineLevel="0" collapsed="false">
      <c r="A500" s="1" t="str">
        <f aca="false">IF($C500="","",Controls!$B$7)</f>
        <v/>
      </c>
      <c r="B500" s="1" t="str">
        <f aca="false">IF($H500="","",YEAR($H500)&amp;"-Q"&amp;ROUNDUP(MONTH($H500)/3,0))</f>
        <v/>
      </c>
      <c r="S500" s="1" t="str">
        <f aca="false">IF($C500="","",$C500&amp;"|"&amp;$E500&amp;"|"&amp;$F500&amp;"|"&amp;$L500&amp;"|"&amp;$P500&amp;"|"&amp;TEXT($H500,"yyyy-mm-dd"))</f>
        <v/>
      </c>
      <c r="T500" s="1" t="str">
        <f aca="false">IF($S500="","",IF(COUNTIF($S$2:$S$2991,$S500)&gt;1,"DUPLICATE","OK"))</f>
        <v/>
      </c>
      <c r="U500" s="0" t="str">
        <f aca="false">IF($L500="","",IFERROR(VLOOKUP(--$L500,MM_Income!$Z$5:$AC$204,3,FALSE()),"UNMAPPED"))</f>
        <v/>
      </c>
    </row>
    <row r="501" customFormat="false" ht="13.5" hidden="false" customHeight="false" outlineLevel="0" collapsed="false">
      <c r="A501" s="1" t="str">
        <f aca="false">IF($C501="","",Controls!$B$7)</f>
        <v/>
      </c>
      <c r="B501" s="1" t="str">
        <f aca="false">IF($H501="","",YEAR($H501)&amp;"-Q"&amp;ROUNDUP(MONTH($H501)/3,0))</f>
        <v/>
      </c>
      <c r="S501" s="1" t="str">
        <f aca="false">IF($C501="","",$C501&amp;"|"&amp;$E501&amp;"|"&amp;$F501&amp;"|"&amp;$L501&amp;"|"&amp;$P501&amp;"|"&amp;TEXT($H501,"yyyy-mm-dd"))</f>
        <v/>
      </c>
      <c r="T501" s="1" t="str">
        <f aca="false">IF($S501="","",IF(COUNTIF($S$2:$S$2991,$S501)&gt;1,"DUPLICATE","OK"))</f>
        <v/>
      </c>
      <c r="U501" s="0" t="str">
        <f aca="false">IF($L501="","",IFERROR(VLOOKUP(--$L501,MM_Income!$Z$5:$AC$204,3,FALSE()),"UNMAPPED"))</f>
        <v/>
      </c>
    </row>
    <row r="502" customFormat="false" ht="13.5" hidden="false" customHeight="false" outlineLevel="0" collapsed="false">
      <c r="A502" s="1" t="str">
        <f aca="false">IF($C502="","",Controls!$B$7)</f>
        <v/>
      </c>
      <c r="B502" s="1" t="str">
        <f aca="false">IF($H502="","",YEAR($H502)&amp;"-Q"&amp;ROUNDUP(MONTH($H502)/3,0))</f>
        <v/>
      </c>
      <c r="S502" s="1" t="str">
        <f aca="false">IF($C502="","",$C502&amp;"|"&amp;$E502&amp;"|"&amp;$F502&amp;"|"&amp;$L502&amp;"|"&amp;$P502&amp;"|"&amp;TEXT($H502,"yyyy-mm-dd"))</f>
        <v/>
      </c>
      <c r="T502" s="1" t="str">
        <f aca="false">IF($S502="","",IF(COUNTIF($S$2:$S$2991,$S502)&gt;1,"DUPLICATE","OK"))</f>
        <v/>
      </c>
      <c r="U502" s="0" t="str">
        <f aca="false">IF($L502="","",IFERROR(VLOOKUP(--$L502,MM_Income!$Z$5:$AC$204,3,FALSE()),"UNMAPPED"))</f>
        <v/>
      </c>
    </row>
    <row r="503" customFormat="false" ht="13.5" hidden="false" customHeight="false" outlineLevel="0" collapsed="false">
      <c r="A503" s="1" t="str">
        <f aca="false">IF($C503="","",Controls!$B$7)</f>
        <v/>
      </c>
      <c r="B503" s="1" t="str">
        <f aca="false">IF($H503="","",YEAR($H503)&amp;"-Q"&amp;ROUNDUP(MONTH($H503)/3,0))</f>
        <v/>
      </c>
      <c r="S503" s="1" t="str">
        <f aca="false">IF($C503="","",$C503&amp;"|"&amp;$E503&amp;"|"&amp;$F503&amp;"|"&amp;$L503&amp;"|"&amp;$P503&amp;"|"&amp;TEXT($H503,"yyyy-mm-dd"))</f>
        <v/>
      </c>
      <c r="T503" s="1" t="str">
        <f aca="false">IF($S503="","",IF(COUNTIF($S$2:$S$2991,$S503)&gt;1,"DUPLICATE","OK"))</f>
        <v/>
      </c>
      <c r="U503" s="0" t="str">
        <f aca="false">IF($L503="","",IFERROR(VLOOKUP(--$L503,MM_Income!$Z$5:$AC$204,3,FALSE()),"UNMAPPED"))</f>
        <v/>
      </c>
    </row>
    <row r="504" customFormat="false" ht="13.5" hidden="false" customHeight="false" outlineLevel="0" collapsed="false">
      <c r="A504" s="1" t="str">
        <f aca="false">IF($C504="","",Controls!$B$7)</f>
        <v/>
      </c>
      <c r="B504" s="1" t="str">
        <f aca="false">IF($H504="","",YEAR($H504)&amp;"-Q"&amp;ROUNDUP(MONTH($H504)/3,0))</f>
        <v/>
      </c>
      <c r="S504" s="1" t="str">
        <f aca="false">IF($C504="","",$C504&amp;"|"&amp;$E504&amp;"|"&amp;$F504&amp;"|"&amp;$L504&amp;"|"&amp;$P504&amp;"|"&amp;TEXT($H504,"yyyy-mm-dd"))</f>
        <v/>
      </c>
      <c r="T504" s="1" t="str">
        <f aca="false">IF($S504="","",IF(COUNTIF($S$2:$S$2991,$S504)&gt;1,"DUPLICATE","OK"))</f>
        <v/>
      </c>
      <c r="U504" s="0" t="str">
        <f aca="false">IF($L504="","",IFERROR(VLOOKUP(--$L504,MM_Income!$Z$5:$AC$204,3,FALSE()),"UNMAPPED"))</f>
        <v/>
      </c>
    </row>
    <row r="505" customFormat="false" ht="13.5" hidden="false" customHeight="false" outlineLevel="0" collapsed="false">
      <c r="A505" s="1" t="str">
        <f aca="false">IF($C505="","",Controls!$B$7)</f>
        <v/>
      </c>
      <c r="B505" s="1" t="str">
        <f aca="false">IF($H505="","",YEAR($H505)&amp;"-Q"&amp;ROUNDUP(MONTH($H505)/3,0))</f>
        <v/>
      </c>
      <c r="S505" s="1" t="str">
        <f aca="false">IF($C505="","",$C505&amp;"|"&amp;$E505&amp;"|"&amp;$F505&amp;"|"&amp;$L505&amp;"|"&amp;$P505&amp;"|"&amp;TEXT($H505,"yyyy-mm-dd"))</f>
        <v/>
      </c>
      <c r="T505" s="1" t="str">
        <f aca="false">IF($S505="","",IF(COUNTIF($S$2:$S$2991,$S505)&gt;1,"DUPLICATE","OK"))</f>
        <v/>
      </c>
      <c r="U505" s="0" t="str">
        <f aca="false">IF($L505="","",IFERROR(VLOOKUP(--$L505,MM_Income!$Z$5:$AC$204,3,FALSE()),"UNMAPPED"))</f>
        <v/>
      </c>
    </row>
    <row r="506" customFormat="false" ht="13.5" hidden="false" customHeight="false" outlineLevel="0" collapsed="false">
      <c r="A506" s="1" t="str">
        <f aca="false">IF($C506="","",Controls!$B$7)</f>
        <v/>
      </c>
      <c r="B506" s="1" t="str">
        <f aca="false">IF($H506="","",YEAR($H506)&amp;"-Q"&amp;ROUNDUP(MONTH($H506)/3,0))</f>
        <v/>
      </c>
      <c r="S506" s="1" t="str">
        <f aca="false">IF($C506="","",$C506&amp;"|"&amp;$E506&amp;"|"&amp;$F506&amp;"|"&amp;$L506&amp;"|"&amp;$P506&amp;"|"&amp;TEXT($H506,"yyyy-mm-dd"))</f>
        <v/>
      </c>
      <c r="T506" s="1" t="str">
        <f aca="false">IF($S506="","",IF(COUNTIF($S$2:$S$2991,$S506)&gt;1,"DUPLICATE","OK"))</f>
        <v/>
      </c>
      <c r="U506" s="0" t="str">
        <f aca="false">IF($L506="","",IFERROR(VLOOKUP(--$L506,MM_Income!$Z$5:$AC$204,3,FALSE()),"UNMAPPED"))</f>
        <v/>
      </c>
    </row>
    <row r="507" customFormat="false" ht="13.5" hidden="false" customHeight="false" outlineLevel="0" collapsed="false">
      <c r="A507" s="1" t="str">
        <f aca="false">IF($C507="","",Controls!$B$7)</f>
        <v/>
      </c>
      <c r="B507" s="1" t="str">
        <f aca="false">IF($H507="","",YEAR($H507)&amp;"-Q"&amp;ROUNDUP(MONTH($H507)/3,0))</f>
        <v/>
      </c>
      <c r="S507" s="1" t="str">
        <f aca="false">IF($C507="","",$C507&amp;"|"&amp;$E507&amp;"|"&amp;$F507&amp;"|"&amp;$L507&amp;"|"&amp;$P507&amp;"|"&amp;TEXT($H507,"yyyy-mm-dd"))</f>
        <v/>
      </c>
      <c r="T507" s="1" t="str">
        <f aca="false">IF($S507="","",IF(COUNTIF($S$2:$S$2991,$S507)&gt;1,"DUPLICATE","OK"))</f>
        <v/>
      </c>
      <c r="U507" s="0" t="str">
        <f aca="false">IF($L507="","",IFERROR(VLOOKUP(--$L507,MM_Income!$Z$5:$AC$204,3,FALSE()),"UNMAPPED"))</f>
        <v/>
      </c>
    </row>
    <row r="508" customFormat="false" ht="13.5" hidden="false" customHeight="false" outlineLevel="0" collapsed="false">
      <c r="A508" s="1" t="str">
        <f aca="false">IF($C508="","",Controls!$B$7)</f>
        <v/>
      </c>
      <c r="B508" s="1" t="str">
        <f aca="false">IF($H508="","",YEAR($H508)&amp;"-Q"&amp;ROUNDUP(MONTH($H508)/3,0))</f>
        <v/>
      </c>
      <c r="S508" s="1" t="str">
        <f aca="false">IF($C508="","",$C508&amp;"|"&amp;$E508&amp;"|"&amp;$F508&amp;"|"&amp;$L508&amp;"|"&amp;$P508&amp;"|"&amp;TEXT($H508,"yyyy-mm-dd"))</f>
        <v/>
      </c>
      <c r="T508" s="1" t="str">
        <f aca="false">IF($S508="","",IF(COUNTIF($S$2:$S$2991,$S508)&gt;1,"DUPLICATE","OK"))</f>
        <v/>
      </c>
      <c r="U508" s="0" t="str">
        <f aca="false">IF($L508="","",IFERROR(VLOOKUP(--$L508,MM_Income!$Z$5:$AC$204,3,FALSE()),"UNMAPPED"))</f>
        <v/>
      </c>
    </row>
    <row r="509" customFormat="false" ht="13.5" hidden="false" customHeight="false" outlineLevel="0" collapsed="false">
      <c r="A509" s="1" t="str">
        <f aca="false">IF($C509="","",Controls!$B$7)</f>
        <v/>
      </c>
      <c r="B509" s="1" t="str">
        <f aca="false">IF($H509="","",YEAR($H509)&amp;"-Q"&amp;ROUNDUP(MONTH($H509)/3,0))</f>
        <v/>
      </c>
      <c r="S509" s="1" t="str">
        <f aca="false">IF($C509="","",$C509&amp;"|"&amp;$E509&amp;"|"&amp;$F509&amp;"|"&amp;$L509&amp;"|"&amp;$P509&amp;"|"&amp;TEXT($H509,"yyyy-mm-dd"))</f>
        <v/>
      </c>
      <c r="T509" s="1" t="str">
        <f aca="false">IF($S509="","",IF(COUNTIF($S$2:$S$2991,$S509)&gt;1,"DUPLICATE","OK"))</f>
        <v/>
      </c>
      <c r="U509" s="0" t="str">
        <f aca="false">IF($L509="","",IFERROR(VLOOKUP(--$L509,MM_Income!$Z$5:$AC$204,3,FALSE()),"UNMAPPED"))</f>
        <v/>
      </c>
    </row>
    <row r="510" customFormat="false" ht="13.5" hidden="false" customHeight="false" outlineLevel="0" collapsed="false">
      <c r="A510" s="1" t="str">
        <f aca="false">IF($C510="","",Controls!$B$7)</f>
        <v/>
      </c>
      <c r="B510" s="1" t="str">
        <f aca="false">IF($H510="","",YEAR($H510)&amp;"-Q"&amp;ROUNDUP(MONTH($H510)/3,0))</f>
        <v/>
      </c>
      <c r="S510" s="1" t="str">
        <f aca="false">IF($C510="","",$C510&amp;"|"&amp;$E510&amp;"|"&amp;$F510&amp;"|"&amp;$L510&amp;"|"&amp;$P510&amp;"|"&amp;TEXT($H510,"yyyy-mm-dd"))</f>
        <v/>
      </c>
      <c r="T510" s="1" t="str">
        <f aca="false">IF($S510="","",IF(COUNTIF($S$2:$S$2991,$S510)&gt;1,"DUPLICATE","OK"))</f>
        <v/>
      </c>
      <c r="U510" s="0" t="str">
        <f aca="false">IF($L510="","",IFERROR(VLOOKUP(--$L510,MM_Income!$Z$5:$AC$204,3,FALSE()),"UNMAPPED"))</f>
        <v/>
      </c>
    </row>
    <row r="511" customFormat="false" ht="13.5" hidden="false" customHeight="false" outlineLevel="0" collapsed="false">
      <c r="A511" s="1" t="str">
        <f aca="false">IF($C511="","",Controls!$B$7)</f>
        <v/>
      </c>
      <c r="B511" s="1" t="str">
        <f aca="false">IF($H511="","",YEAR($H511)&amp;"-Q"&amp;ROUNDUP(MONTH($H511)/3,0))</f>
        <v/>
      </c>
      <c r="S511" s="1" t="str">
        <f aca="false">IF($C511="","",$C511&amp;"|"&amp;$E511&amp;"|"&amp;$F511&amp;"|"&amp;$L511&amp;"|"&amp;$P511&amp;"|"&amp;TEXT($H511,"yyyy-mm-dd"))</f>
        <v/>
      </c>
      <c r="T511" s="1" t="str">
        <f aca="false">IF($S511="","",IF(COUNTIF($S$2:$S$2991,$S511)&gt;1,"DUPLICATE","OK"))</f>
        <v/>
      </c>
      <c r="U511" s="0" t="str">
        <f aca="false">IF($L511="","",IFERROR(VLOOKUP(--$L511,MM_Income!$Z$5:$AC$204,3,FALSE()),"UNMAPPED"))</f>
        <v/>
      </c>
    </row>
    <row r="512" customFormat="false" ht="13.5" hidden="false" customHeight="false" outlineLevel="0" collapsed="false">
      <c r="A512" s="1" t="str">
        <f aca="false">IF($C512="","",Controls!$B$7)</f>
        <v/>
      </c>
      <c r="B512" s="1" t="str">
        <f aca="false">IF($H512="","",YEAR($H512)&amp;"-Q"&amp;ROUNDUP(MONTH($H512)/3,0))</f>
        <v/>
      </c>
      <c r="S512" s="1" t="str">
        <f aca="false">IF($C512="","",$C512&amp;"|"&amp;$E512&amp;"|"&amp;$F512&amp;"|"&amp;$L512&amp;"|"&amp;$P512&amp;"|"&amp;TEXT($H512,"yyyy-mm-dd"))</f>
        <v/>
      </c>
      <c r="T512" s="1" t="str">
        <f aca="false">IF($S512="","",IF(COUNTIF($S$2:$S$2991,$S512)&gt;1,"DUPLICATE","OK"))</f>
        <v/>
      </c>
      <c r="U512" s="0" t="str">
        <f aca="false">IF($L512="","",IFERROR(VLOOKUP(--$L512,MM_Income!$Z$5:$AC$204,3,FALSE()),"UNMAPPED"))</f>
        <v/>
      </c>
    </row>
    <row r="513" customFormat="false" ht="13.5" hidden="false" customHeight="false" outlineLevel="0" collapsed="false">
      <c r="A513" s="1" t="str">
        <f aca="false">IF($C513="","",Controls!$B$7)</f>
        <v/>
      </c>
      <c r="B513" s="1" t="str">
        <f aca="false">IF($H513="","",YEAR($H513)&amp;"-Q"&amp;ROUNDUP(MONTH($H513)/3,0))</f>
        <v/>
      </c>
      <c r="S513" s="1" t="str">
        <f aca="false">IF($C513="","",$C513&amp;"|"&amp;$E513&amp;"|"&amp;$F513&amp;"|"&amp;$L513&amp;"|"&amp;$P513&amp;"|"&amp;TEXT($H513,"yyyy-mm-dd"))</f>
        <v/>
      </c>
      <c r="T513" s="1" t="str">
        <f aca="false">IF($S513="","",IF(COUNTIF($S$2:$S$2991,$S513)&gt;1,"DUPLICATE","OK"))</f>
        <v/>
      </c>
      <c r="U513" s="0" t="str">
        <f aca="false">IF($L513="","",IFERROR(VLOOKUP(--$L513,MM_Income!$Z$5:$AC$204,3,FALSE()),"UNMAPPED"))</f>
        <v/>
      </c>
    </row>
    <row r="514" customFormat="false" ht="13.5" hidden="false" customHeight="false" outlineLevel="0" collapsed="false">
      <c r="A514" s="1" t="str">
        <f aca="false">IF($C514="","",Controls!$B$7)</f>
        <v/>
      </c>
      <c r="B514" s="1" t="str">
        <f aca="false">IF($H514="","",YEAR($H514)&amp;"-Q"&amp;ROUNDUP(MONTH($H514)/3,0))</f>
        <v/>
      </c>
      <c r="S514" s="1" t="str">
        <f aca="false">IF($C514="","",$C514&amp;"|"&amp;$E514&amp;"|"&amp;$F514&amp;"|"&amp;$L514&amp;"|"&amp;$P514&amp;"|"&amp;TEXT($H514,"yyyy-mm-dd"))</f>
        <v/>
      </c>
      <c r="T514" s="1" t="str">
        <f aca="false">IF($S514="","",IF(COUNTIF($S$2:$S$2991,$S514)&gt;1,"DUPLICATE","OK"))</f>
        <v/>
      </c>
      <c r="U514" s="0" t="str">
        <f aca="false">IF($L514="","",IFERROR(VLOOKUP(--$L514,MM_Income!$Z$5:$AC$204,3,FALSE()),"UNMAPPED"))</f>
        <v/>
      </c>
    </row>
    <row r="515" customFormat="false" ht="13.5" hidden="false" customHeight="false" outlineLevel="0" collapsed="false">
      <c r="A515" s="1" t="str">
        <f aca="false">IF($C515="","",Controls!$B$7)</f>
        <v/>
      </c>
      <c r="B515" s="1" t="str">
        <f aca="false">IF($H515="","",YEAR($H515)&amp;"-Q"&amp;ROUNDUP(MONTH($H515)/3,0))</f>
        <v/>
      </c>
      <c r="S515" s="1" t="str">
        <f aca="false">IF($C515="","",$C515&amp;"|"&amp;$E515&amp;"|"&amp;$F515&amp;"|"&amp;$L515&amp;"|"&amp;$P515&amp;"|"&amp;TEXT($H515,"yyyy-mm-dd"))</f>
        <v/>
      </c>
      <c r="T515" s="1" t="str">
        <f aca="false">IF($S515="","",IF(COUNTIF($S$2:$S$2991,$S515)&gt;1,"DUPLICATE","OK"))</f>
        <v/>
      </c>
      <c r="U515" s="0" t="str">
        <f aca="false">IF($L515="","",IFERROR(VLOOKUP(--$L515,MM_Income!$Z$5:$AC$204,3,FALSE()),"UNMAPPED"))</f>
        <v/>
      </c>
    </row>
    <row r="516" customFormat="false" ht="13.5" hidden="false" customHeight="false" outlineLevel="0" collapsed="false">
      <c r="A516" s="1" t="str">
        <f aca="false">IF($C516="","",Controls!$B$7)</f>
        <v/>
      </c>
      <c r="B516" s="1" t="str">
        <f aca="false">IF($H516="","",YEAR($H516)&amp;"-Q"&amp;ROUNDUP(MONTH($H516)/3,0))</f>
        <v/>
      </c>
      <c r="S516" s="1" t="str">
        <f aca="false">IF($C516="","",$C516&amp;"|"&amp;$E516&amp;"|"&amp;$F516&amp;"|"&amp;$L516&amp;"|"&amp;$P516&amp;"|"&amp;TEXT($H516,"yyyy-mm-dd"))</f>
        <v/>
      </c>
      <c r="T516" s="1" t="str">
        <f aca="false">IF($S516="","",IF(COUNTIF($S$2:$S$2991,$S516)&gt;1,"DUPLICATE","OK"))</f>
        <v/>
      </c>
      <c r="U516" s="0" t="str">
        <f aca="false">IF($L516="","",IFERROR(VLOOKUP(--$L516,MM_Income!$Z$5:$AC$204,3,FALSE()),"UNMAPPED"))</f>
        <v/>
      </c>
    </row>
    <row r="517" customFormat="false" ht="13.5" hidden="false" customHeight="false" outlineLevel="0" collapsed="false">
      <c r="A517" s="1" t="str">
        <f aca="false">IF($C517="","",Controls!$B$7)</f>
        <v/>
      </c>
      <c r="B517" s="1" t="str">
        <f aca="false">IF($H517="","",YEAR($H517)&amp;"-Q"&amp;ROUNDUP(MONTH($H517)/3,0))</f>
        <v/>
      </c>
      <c r="S517" s="1" t="str">
        <f aca="false">IF($C517="","",$C517&amp;"|"&amp;$E517&amp;"|"&amp;$F517&amp;"|"&amp;$L517&amp;"|"&amp;$P517&amp;"|"&amp;TEXT($H517,"yyyy-mm-dd"))</f>
        <v/>
      </c>
      <c r="T517" s="1" t="str">
        <f aca="false">IF($S517="","",IF(COUNTIF($S$2:$S$2991,$S517)&gt;1,"DUPLICATE","OK"))</f>
        <v/>
      </c>
      <c r="U517" s="0" t="str">
        <f aca="false">IF($L517="","",IFERROR(VLOOKUP(--$L517,MM_Income!$Z$5:$AC$204,3,FALSE()),"UNMAPPED"))</f>
        <v/>
      </c>
    </row>
    <row r="518" customFormat="false" ht="13.5" hidden="false" customHeight="false" outlineLevel="0" collapsed="false">
      <c r="A518" s="1" t="str">
        <f aca="false">IF($C518="","",Controls!$B$7)</f>
        <v/>
      </c>
      <c r="B518" s="1" t="str">
        <f aca="false">IF($H518="","",YEAR($H518)&amp;"-Q"&amp;ROUNDUP(MONTH($H518)/3,0))</f>
        <v/>
      </c>
      <c r="S518" s="1" t="str">
        <f aca="false">IF($C518="","",$C518&amp;"|"&amp;$E518&amp;"|"&amp;$F518&amp;"|"&amp;$L518&amp;"|"&amp;$P518&amp;"|"&amp;TEXT($H518,"yyyy-mm-dd"))</f>
        <v/>
      </c>
      <c r="T518" s="1" t="str">
        <f aca="false">IF($S518="","",IF(COUNTIF($S$2:$S$2991,$S518)&gt;1,"DUPLICATE","OK"))</f>
        <v/>
      </c>
      <c r="U518" s="0" t="str">
        <f aca="false">IF($L518="","",IFERROR(VLOOKUP(--$L518,MM_Income!$Z$5:$AC$204,3,FALSE()),"UNMAPPED"))</f>
        <v/>
      </c>
    </row>
    <row r="519" customFormat="false" ht="13.5" hidden="false" customHeight="false" outlineLevel="0" collapsed="false">
      <c r="A519" s="1" t="str">
        <f aca="false">IF($C519="","",Controls!$B$7)</f>
        <v/>
      </c>
      <c r="B519" s="1" t="str">
        <f aca="false">IF($H519="","",YEAR($H519)&amp;"-Q"&amp;ROUNDUP(MONTH($H519)/3,0))</f>
        <v/>
      </c>
      <c r="S519" s="1" t="str">
        <f aca="false">IF($C519="","",$C519&amp;"|"&amp;$E519&amp;"|"&amp;$F519&amp;"|"&amp;$L519&amp;"|"&amp;$P519&amp;"|"&amp;TEXT($H519,"yyyy-mm-dd"))</f>
        <v/>
      </c>
      <c r="T519" s="1" t="str">
        <f aca="false">IF($S519="","",IF(COUNTIF($S$2:$S$2991,$S519)&gt;1,"DUPLICATE","OK"))</f>
        <v/>
      </c>
      <c r="U519" s="0" t="str">
        <f aca="false">IF($L519="","",IFERROR(VLOOKUP(--$L519,MM_Income!$Z$5:$AC$204,3,FALSE()),"UNMAPPED"))</f>
        <v/>
      </c>
    </row>
    <row r="520" customFormat="false" ht="13.5" hidden="false" customHeight="false" outlineLevel="0" collapsed="false">
      <c r="A520" s="1" t="str">
        <f aca="false">IF($C520="","",Controls!$B$7)</f>
        <v/>
      </c>
      <c r="B520" s="1" t="str">
        <f aca="false">IF($H520="","",YEAR($H520)&amp;"-Q"&amp;ROUNDUP(MONTH($H520)/3,0))</f>
        <v/>
      </c>
      <c r="S520" s="1" t="str">
        <f aca="false">IF($C520="","",$C520&amp;"|"&amp;$E520&amp;"|"&amp;$F520&amp;"|"&amp;$L520&amp;"|"&amp;$P520&amp;"|"&amp;TEXT($H520,"yyyy-mm-dd"))</f>
        <v/>
      </c>
      <c r="T520" s="1" t="str">
        <f aca="false">IF($S520="","",IF(COUNTIF($S$2:$S$2991,$S520)&gt;1,"DUPLICATE","OK"))</f>
        <v/>
      </c>
      <c r="U520" s="0" t="str">
        <f aca="false">IF($L520="","",IFERROR(VLOOKUP(--$L520,MM_Income!$Z$5:$AC$204,3,FALSE()),"UNMAPPED"))</f>
        <v/>
      </c>
    </row>
    <row r="521" customFormat="false" ht="13.5" hidden="false" customHeight="false" outlineLevel="0" collapsed="false">
      <c r="A521" s="1" t="str">
        <f aca="false">IF($C521="","",Controls!$B$7)</f>
        <v/>
      </c>
      <c r="B521" s="1" t="str">
        <f aca="false">IF($H521="","",YEAR($H521)&amp;"-Q"&amp;ROUNDUP(MONTH($H521)/3,0))</f>
        <v/>
      </c>
      <c r="S521" s="1" t="str">
        <f aca="false">IF($C521="","",$C521&amp;"|"&amp;$E521&amp;"|"&amp;$F521&amp;"|"&amp;$L521&amp;"|"&amp;$P521&amp;"|"&amp;TEXT($H521,"yyyy-mm-dd"))</f>
        <v/>
      </c>
      <c r="T521" s="1" t="str">
        <f aca="false">IF($S521="","",IF(COUNTIF($S$2:$S$2991,$S521)&gt;1,"DUPLICATE","OK"))</f>
        <v/>
      </c>
      <c r="U521" s="0" t="str">
        <f aca="false">IF($L521="","",IFERROR(VLOOKUP(--$L521,MM_Income!$Z$5:$AC$204,3,FALSE()),"UNMAPPED"))</f>
        <v/>
      </c>
    </row>
    <row r="522" customFormat="false" ht="13.5" hidden="false" customHeight="false" outlineLevel="0" collapsed="false">
      <c r="A522" s="1" t="str">
        <f aca="false">IF($C522="","",Controls!$B$7)</f>
        <v/>
      </c>
      <c r="B522" s="1" t="str">
        <f aca="false">IF($H522="","",YEAR($H522)&amp;"-Q"&amp;ROUNDUP(MONTH($H522)/3,0))</f>
        <v/>
      </c>
      <c r="S522" s="1" t="str">
        <f aca="false">IF($C522="","",$C522&amp;"|"&amp;$E522&amp;"|"&amp;$F522&amp;"|"&amp;$L522&amp;"|"&amp;$P522&amp;"|"&amp;TEXT($H522,"yyyy-mm-dd"))</f>
        <v/>
      </c>
      <c r="T522" s="1" t="str">
        <f aca="false">IF($S522="","",IF(COUNTIF($S$2:$S$2991,$S522)&gt;1,"DUPLICATE","OK"))</f>
        <v/>
      </c>
      <c r="U522" s="0" t="str">
        <f aca="false">IF($L522="","",IFERROR(VLOOKUP(--$L522,MM_Income!$Z$5:$AC$204,3,FALSE()),"UNMAPPED"))</f>
        <v/>
      </c>
    </row>
    <row r="523" customFormat="false" ht="13.5" hidden="false" customHeight="false" outlineLevel="0" collapsed="false">
      <c r="A523" s="1" t="str">
        <f aca="false">IF($C523="","",Controls!$B$7)</f>
        <v/>
      </c>
      <c r="B523" s="1" t="str">
        <f aca="false">IF($H523="","",YEAR($H523)&amp;"-Q"&amp;ROUNDUP(MONTH($H523)/3,0))</f>
        <v/>
      </c>
      <c r="S523" s="1" t="str">
        <f aca="false">IF($C523="","",$C523&amp;"|"&amp;$E523&amp;"|"&amp;$F523&amp;"|"&amp;$L523&amp;"|"&amp;$P523&amp;"|"&amp;TEXT($H523,"yyyy-mm-dd"))</f>
        <v/>
      </c>
      <c r="T523" s="1" t="str">
        <f aca="false">IF($S523="","",IF(COUNTIF($S$2:$S$2991,$S523)&gt;1,"DUPLICATE","OK"))</f>
        <v/>
      </c>
      <c r="U523" s="0" t="str">
        <f aca="false">IF($L523="","",IFERROR(VLOOKUP(--$L523,MM_Income!$Z$5:$AC$204,3,FALSE()),"UNMAPPED"))</f>
        <v/>
      </c>
    </row>
    <row r="524" customFormat="false" ht="13.5" hidden="false" customHeight="false" outlineLevel="0" collapsed="false">
      <c r="A524" s="1" t="str">
        <f aca="false">IF($C524="","",Controls!$B$7)</f>
        <v/>
      </c>
      <c r="B524" s="1" t="str">
        <f aca="false">IF($H524="","",YEAR($H524)&amp;"-Q"&amp;ROUNDUP(MONTH($H524)/3,0))</f>
        <v/>
      </c>
      <c r="S524" s="1" t="str">
        <f aca="false">IF($C524="","",$C524&amp;"|"&amp;$E524&amp;"|"&amp;$F524&amp;"|"&amp;$L524&amp;"|"&amp;$P524&amp;"|"&amp;TEXT($H524,"yyyy-mm-dd"))</f>
        <v/>
      </c>
      <c r="T524" s="1" t="str">
        <f aca="false">IF($S524="","",IF(COUNTIF($S$2:$S$2991,$S524)&gt;1,"DUPLICATE","OK"))</f>
        <v/>
      </c>
      <c r="U524" s="0" t="str">
        <f aca="false">IF($L524="","",IFERROR(VLOOKUP(--$L524,MM_Income!$Z$5:$AC$204,3,FALSE()),"UNMAPPED"))</f>
        <v/>
      </c>
    </row>
    <row r="525" customFormat="false" ht="13.5" hidden="false" customHeight="false" outlineLevel="0" collapsed="false">
      <c r="A525" s="1" t="str">
        <f aca="false">IF($C525="","",Controls!$B$7)</f>
        <v/>
      </c>
      <c r="B525" s="1" t="str">
        <f aca="false">IF($H525="","",YEAR($H525)&amp;"-Q"&amp;ROUNDUP(MONTH($H525)/3,0))</f>
        <v/>
      </c>
      <c r="S525" s="1" t="str">
        <f aca="false">IF($C525="","",$C525&amp;"|"&amp;$E525&amp;"|"&amp;$F525&amp;"|"&amp;$L525&amp;"|"&amp;$P525&amp;"|"&amp;TEXT($H525,"yyyy-mm-dd"))</f>
        <v/>
      </c>
      <c r="T525" s="1" t="str">
        <f aca="false">IF($S525="","",IF(COUNTIF($S$2:$S$2991,$S525)&gt;1,"DUPLICATE","OK"))</f>
        <v/>
      </c>
      <c r="U525" s="0" t="str">
        <f aca="false">IF($L525="","",IFERROR(VLOOKUP(--$L525,MM_Income!$Z$5:$AC$204,3,FALSE()),"UNMAPPED"))</f>
        <v/>
      </c>
    </row>
    <row r="526" customFormat="false" ht="13.5" hidden="false" customHeight="false" outlineLevel="0" collapsed="false">
      <c r="A526" s="1" t="str">
        <f aca="false">IF($C526="","",Controls!$B$7)</f>
        <v/>
      </c>
      <c r="B526" s="1" t="str">
        <f aca="false">IF($H526="","",YEAR($H526)&amp;"-Q"&amp;ROUNDUP(MONTH($H526)/3,0))</f>
        <v/>
      </c>
      <c r="S526" s="1" t="str">
        <f aca="false">IF($C526="","",$C526&amp;"|"&amp;$E526&amp;"|"&amp;$F526&amp;"|"&amp;$L526&amp;"|"&amp;$P526&amp;"|"&amp;TEXT($H526,"yyyy-mm-dd"))</f>
        <v/>
      </c>
      <c r="T526" s="1" t="str">
        <f aca="false">IF($S526="","",IF(COUNTIF($S$2:$S$2991,$S526)&gt;1,"DUPLICATE","OK"))</f>
        <v/>
      </c>
      <c r="U526" s="0" t="str">
        <f aca="false">IF($L526="","",IFERROR(VLOOKUP(--$L526,MM_Income!$Z$5:$AC$204,3,FALSE()),"UNMAPPED"))</f>
        <v/>
      </c>
    </row>
    <row r="527" customFormat="false" ht="13.5" hidden="false" customHeight="false" outlineLevel="0" collapsed="false">
      <c r="A527" s="1" t="str">
        <f aca="false">IF($C527="","",Controls!$B$7)</f>
        <v/>
      </c>
      <c r="B527" s="1" t="str">
        <f aca="false">IF($H527="","",YEAR($H527)&amp;"-Q"&amp;ROUNDUP(MONTH($H527)/3,0))</f>
        <v/>
      </c>
      <c r="S527" s="1" t="str">
        <f aca="false">IF($C527="","",$C527&amp;"|"&amp;$E527&amp;"|"&amp;$F527&amp;"|"&amp;$L527&amp;"|"&amp;$P527&amp;"|"&amp;TEXT($H527,"yyyy-mm-dd"))</f>
        <v/>
      </c>
      <c r="T527" s="1" t="str">
        <f aca="false">IF($S527="","",IF(COUNTIF($S$2:$S$2991,$S527)&gt;1,"DUPLICATE","OK"))</f>
        <v/>
      </c>
      <c r="U527" s="0" t="str">
        <f aca="false">IF($L527="","",IFERROR(VLOOKUP(--$L527,MM_Income!$Z$5:$AC$204,3,FALSE()),"UNMAPPED"))</f>
        <v/>
      </c>
    </row>
    <row r="528" customFormat="false" ht="13.5" hidden="false" customHeight="false" outlineLevel="0" collapsed="false">
      <c r="A528" s="1" t="str">
        <f aca="false">IF($C528="","",Controls!$B$7)</f>
        <v/>
      </c>
      <c r="B528" s="1" t="str">
        <f aca="false">IF($H528="","",YEAR($H528)&amp;"-Q"&amp;ROUNDUP(MONTH($H528)/3,0))</f>
        <v/>
      </c>
      <c r="S528" s="1" t="str">
        <f aca="false">IF($C528="","",$C528&amp;"|"&amp;$E528&amp;"|"&amp;$F528&amp;"|"&amp;$L528&amp;"|"&amp;$P528&amp;"|"&amp;TEXT($H528,"yyyy-mm-dd"))</f>
        <v/>
      </c>
      <c r="T528" s="1" t="str">
        <f aca="false">IF($S528="","",IF(COUNTIF($S$2:$S$2991,$S528)&gt;1,"DUPLICATE","OK"))</f>
        <v/>
      </c>
      <c r="U528" s="0" t="str">
        <f aca="false">IF($L528="","",IFERROR(VLOOKUP(--$L528,MM_Income!$Z$5:$AC$204,3,FALSE()),"UNMAPPED"))</f>
        <v/>
      </c>
    </row>
    <row r="529" customFormat="false" ht="13.5" hidden="false" customHeight="false" outlineLevel="0" collapsed="false">
      <c r="A529" s="1" t="str">
        <f aca="false">IF($C529="","",Controls!$B$7)</f>
        <v/>
      </c>
      <c r="B529" s="1" t="str">
        <f aca="false">IF($H529="","",YEAR($H529)&amp;"-Q"&amp;ROUNDUP(MONTH($H529)/3,0))</f>
        <v/>
      </c>
      <c r="S529" s="1" t="str">
        <f aca="false">IF($C529="","",$C529&amp;"|"&amp;$E529&amp;"|"&amp;$F529&amp;"|"&amp;$L529&amp;"|"&amp;$P529&amp;"|"&amp;TEXT($H529,"yyyy-mm-dd"))</f>
        <v/>
      </c>
      <c r="T529" s="1" t="str">
        <f aca="false">IF($S529="","",IF(COUNTIF($S$2:$S$2991,$S529)&gt;1,"DUPLICATE","OK"))</f>
        <v/>
      </c>
      <c r="U529" s="0" t="str">
        <f aca="false">IF($L529="","",IFERROR(VLOOKUP(--$L529,MM_Income!$Z$5:$AC$204,3,FALSE()),"UNMAPPED"))</f>
        <v/>
      </c>
    </row>
    <row r="530" customFormat="false" ht="13.5" hidden="false" customHeight="false" outlineLevel="0" collapsed="false">
      <c r="A530" s="1" t="str">
        <f aca="false">IF($C530="","",Controls!$B$7)</f>
        <v/>
      </c>
      <c r="B530" s="1" t="str">
        <f aca="false">IF($H530="","",YEAR($H530)&amp;"-Q"&amp;ROUNDUP(MONTH($H530)/3,0))</f>
        <v/>
      </c>
      <c r="S530" s="1" t="str">
        <f aca="false">IF($C530="","",$C530&amp;"|"&amp;$E530&amp;"|"&amp;$F530&amp;"|"&amp;$L530&amp;"|"&amp;$P530&amp;"|"&amp;TEXT($H530,"yyyy-mm-dd"))</f>
        <v/>
      </c>
      <c r="T530" s="1" t="str">
        <f aca="false">IF($S530="","",IF(COUNTIF($S$2:$S$2991,$S530)&gt;1,"DUPLICATE","OK"))</f>
        <v/>
      </c>
      <c r="U530" s="0" t="str">
        <f aca="false">IF($L530="","",IFERROR(VLOOKUP(--$L530,MM_Income!$Z$5:$AC$204,3,FALSE()),"UNMAPPED"))</f>
        <v/>
      </c>
    </row>
    <row r="531" customFormat="false" ht="13.5" hidden="false" customHeight="false" outlineLevel="0" collapsed="false">
      <c r="A531" s="1" t="str">
        <f aca="false">IF($C531="","",Controls!$B$7)</f>
        <v/>
      </c>
      <c r="B531" s="1" t="str">
        <f aca="false">IF($H531="","",YEAR($H531)&amp;"-Q"&amp;ROUNDUP(MONTH($H531)/3,0))</f>
        <v/>
      </c>
      <c r="S531" s="1" t="str">
        <f aca="false">IF($C531="","",$C531&amp;"|"&amp;$E531&amp;"|"&amp;$F531&amp;"|"&amp;$L531&amp;"|"&amp;$P531&amp;"|"&amp;TEXT($H531,"yyyy-mm-dd"))</f>
        <v/>
      </c>
      <c r="T531" s="1" t="str">
        <f aca="false">IF($S531="","",IF(COUNTIF($S$2:$S$2991,$S531)&gt;1,"DUPLICATE","OK"))</f>
        <v/>
      </c>
      <c r="U531" s="0" t="str">
        <f aca="false">IF($L531="","",IFERROR(VLOOKUP(--$L531,MM_Income!$Z$5:$AC$204,3,FALSE()),"UNMAPPED"))</f>
        <v/>
      </c>
    </row>
    <row r="532" customFormat="false" ht="13.5" hidden="false" customHeight="false" outlineLevel="0" collapsed="false">
      <c r="A532" s="1" t="str">
        <f aca="false">IF($C532="","",Controls!$B$7)</f>
        <v/>
      </c>
      <c r="B532" s="1" t="str">
        <f aca="false">IF($H532="","",YEAR($H532)&amp;"-Q"&amp;ROUNDUP(MONTH($H532)/3,0))</f>
        <v/>
      </c>
      <c r="S532" s="1" t="str">
        <f aca="false">IF($C532="","",$C532&amp;"|"&amp;$E532&amp;"|"&amp;$F532&amp;"|"&amp;$L532&amp;"|"&amp;$P532&amp;"|"&amp;TEXT($H532,"yyyy-mm-dd"))</f>
        <v/>
      </c>
      <c r="T532" s="1" t="str">
        <f aca="false">IF($S532="","",IF(COUNTIF($S$2:$S$2991,$S532)&gt;1,"DUPLICATE","OK"))</f>
        <v/>
      </c>
      <c r="U532" s="0" t="str">
        <f aca="false">IF($L532="","",IFERROR(VLOOKUP(--$L532,MM_Income!$Z$5:$AC$204,3,FALSE()),"UNMAPPED"))</f>
        <v/>
      </c>
    </row>
    <row r="533" customFormat="false" ht="13.5" hidden="false" customHeight="false" outlineLevel="0" collapsed="false">
      <c r="A533" s="1" t="str">
        <f aca="false">IF($C533="","",Controls!$B$7)</f>
        <v/>
      </c>
      <c r="B533" s="1" t="str">
        <f aca="false">IF($H533="","",YEAR($H533)&amp;"-Q"&amp;ROUNDUP(MONTH($H533)/3,0))</f>
        <v/>
      </c>
      <c r="S533" s="1" t="str">
        <f aca="false">IF($C533="","",$C533&amp;"|"&amp;$E533&amp;"|"&amp;$F533&amp;"|"&amp;$L533&amp;"|"&amp;$P533&amp;"|"&amp;TEXT($H533,"yyyy-mm-dd"))</f>
        <v/>
      </c>
      <c r="T533" s="1" t="str">
        <f aca="false">IF($S533="","",IF(COUNTIF($S$2:$S$2991,$S533)&gt;1,"DUPLICATE","OK"))</f>
        <v/>
      </c>
      <c r="U533" s="0" t="str">
        <f aca="false">IF($L533="","",IFERROR(VLOOKUP(--$L533,MM_Income!$Z$5:$AC$204,3,FALSE()),"UNMAPPED"))</f>
        <v/>
      </c>
    </row>
    <row r="534" customFormat="false" ht="13.5" hidden="false" customHeight="false" outlineLevel="0" collapsed="false">
      <c r="A534" s="1" t="str">
        <f aca="false">IF($C534="","",Controls!$B$7)</f>
        <v/>
      </c>
      <c r="B534" s="1" t="str">
        <f aca="false">IF($H534="","",YEAR($H534)&amp;"-Q"&amp;ROUNDUP(MONTH($H534)/3,0))</f>
        <v/>
      </c>
      <c r="S534" s="1" t="str">
        <f aca="false">IF($C534="","",$C534&amp;"|"&amp;$E534&amp;"|"&amp;$F534&amp;"|"&amp;$L534&amp;"|"&amp;$P534&amp;"|"&amp;TEXT($H534,"yyyy-mm-dd"))</f>
        <v/>
      </c>
      <c r="T534" s="1" t="str">
        <f aca="false">IF($S534="","",IF(COUNTIF($S$2:$S$2991,$S534)&gt;1,"DUPLICATE","OK"))</f>
        <v/>
      </c>
      <c r="U534" s="0" t="str">
        <f aca="false">IF($L534="","",IFERROR(VLOOKUP(--$L534,MM_Income!$Z$5:$AC$204,3,FALSE()),"UNMAPPED"))</f>
        <v/>
      </c>
    </row>
    <row r="535" customFormat="false" ht="13.5" hidden="false" customHeight="false" outlineLevel="0" collapsed="false">
      <c r="A535" s="1" t="str">
        <f aca="false">IF($C535="","",Controls!$B$7)</f>
        <v/>
      </c>
      <c r="B535" s="1" t="str">
        <f aca="false">IF($H535="","",YEAR($H535)&amp;"-Q"&amp;ROUNDUP(MONTH($H535)/3,0))</f>
        <v/>
      </c>
      <c r="S535" s="1" t="str">
        <f aca="false">IF($C535="","",$C535&amp;"|"&amp;$E535&amp;"|"&amp;$F535&amp;"|"&amp;$L535&amp;"|"&amp;$P535&amp;"|"&amp;TEXT($H535,"yyyy-mm-dd"))</f>
        <v/>
      </c>
      <c r="T535" s="1" t="str">
        <f aca="false">IF($S535="","",IF(COUNTIF($S$2:$S$2991,$S535)&gt;1,"DUPLICATE","OK"))</f>
        <v/>
      </c>
      <c r="U535" s="0" t="str">
        <f aca="false">IF($L535="","",IFERROR(VLOOKUP(--$L535,MM_Income!$Z$5:$AC$204,3,FALSE()),"UNMAPPED"))</f>
        <v/>
      </c>
    </row>
    <row r="536" customFormat="false" ht="13.5" hidden="false" customHeight="false" outlineLevel="0" collapsed="false">
      <c r="A536" s="1" t="str">
        <f aca="false">IF($C536="","",Controls!$B$7)</f>
        <v/>
      </c>
      <c r="B536" s="1" t="str">
        <f aca="false">IF($H536="","",YEAR($H536)&amp;"-Q"&amp;ROUNDUP(MONTH($H536)/3,0))</f>
        <v/>
      </c>
      <c r="S536" s="1" t="str">
        <f aca="false">IF($C536="","",$C536&amp;"|"&amp;$E536&amp;"|"&amp;$F536&amp;"|"&amp;$L536&amp;"|"&amp;$P536&amp;"|"&amp;TEXT($H536,"yyyy-mm-dd"))</f>
        <v/>
      </c>
      <c r="T536" s="1" t="str">
        <f aca="false">IF($S536="","",IF(COUNTIF($S$2:$S$2991,$S536)&gt;1,"DUPLICATE","OK"))</f>
        <v/>
      </c>
      <c r="U536" s="0" t="str">
        <f aca="false">IF($L536="","",IFERROR(VLOOKUP(--$L536,MM_Income!$Z$5:$AC$204,3,FALSE()),"UNMAPPED"))</f>
        <v/>
      </c>
    </row>
    <row r="537" customFormat="false" ht="13.5" hidden="false" customHeight="false" outlineLevel="0" collapsed="false">
      <c r="A537" s="1" t="str">
        <f aca="false">IF($C537="","",Controls!$B$7)</f>
        <v/>
      </c>
      <c r="B537" s="1" t="str">
        <f aca="false">IF($H537="","",YEAR($H537)&amp;"-Q"&amp;ROUNDUP(MONTH($H537)/3,0))</f>
        <v/>
      </c>
      <c r="S537" s="1" t="str">
        <f aca="false">IF($C537="","",$C537&amp;"|"&amp;$E537&amp;"|"&amp;$F537&amp;"|"&amp;$L537&amp;"|"&amp;$P537&amp;"|"&amp;TEXT($H537,"yyyy-mm-dd"))</f>
        <v/>
      </c>
      <c r="T537" s="1" t="str">
        <f aca="false">IF($S537="","",IF(COUNTIF($S$2:$S$2991,$S537)&gt;1,"DUPLICATE","OK"))</f>
        <v/>
      </c>
      <c r="U537" s="0" t="str">
        <f aca="false">IF($L537="","",IFERROR(VLOOKUP(--$L537,MM_Income!$Z$5:$AC$204,3,FALSE()),"UNMAPPED"))</f>
        <v/>
      </c>
    </row>
    <row r="538" customFormat="false" ht="13.5" hidden="false" customHeight="false" outlineLevel="0" collapsed="false">
      <c r="A538" s="1" t="str">
        <f aca="false">IF($C538="","",Controls!$B$7)</f>
        <v/>
      </c>
      <c r="B538" s="1" t="str">
        <f aca="false">IF($H538="","",YEAR($H538)&amp;"-Q"&amp;ROUNDUP(MONTH($H538)/3,0))</f>
        <v/>
      </c>
      <c r="S538" s="1" t="str">
        <f aca="false">IF($C538="","",$C538&amp;"|"&amp;$E538&amp;"|"&amp;$F538&amp;"|"&amp;$L538&amp;"|"&amp;$P538&amp;"|"&amp;TEXT($H538,"yyyy-mm-dd"))</f>
        <v/>
      </c>
      <c r="T538" s="1" t="str">
        <f aca="false">IF($S538="","",IF(COUNTIF($S$2:$S$2991,$S538)&gt;1,"DUPLICATE","OK"))</f>
        <v/>
      </c>
      <c r="U538" s="0" t="str">
        <f aca="false">IF($L538="","",IFERROR(VLOOKUP(--$L538,MM_Income!$Z$5:$AC$204,3,FALSE()),"UNMAPPED"))</f>
        <v/>
      </c>
    </row>
    <row r="539" customFormat="false" ht="13.5" hidden="false" customHeight="false" outlineLevel="0" collapsed="false">
      <c r="A539" s="1" t="str">
        <f aca="false">IF($C539="","",Controls!$B$7)</f>
        <v/>
      </c>
      <c r="B539" s="1" t="str">
        <f aca="false">IF($H539="","",YEAR($H539)&amp;"-Q"&amp;ROUNDUP(MONTH($H539)/3,0))</f>
        <v/>
      </c>
      <c r="S539" s="1" t="str">
        <f aca="false">IF($C539="","",$C539&amp;"|"&amp;$E539&amp;"|"&amp;$F539&amp;"|"&amp;$L539&amp;"|"&amp;$P539&amp;"|"&amp;TEXT($H539,"yyyy-mm-dd"))</f>
        <v/>
      </c>
      <c r="T539" s="1" t="str">
        <f aca="false">IF($S539="","",IF(COUNTIF($S$2:$S$2991,$S539)&gt;1,"DUPLICATE","OK"))</f>
        <v/>
      </c>
      <c r="U539" s="0" t="str">
        <f aca="false">IF($L539="","",IFERROR(VLOOKUP(--$L539,MM_Income!$Z$5:$AC$204,3,FALSE()),"UNMAPPED"))</f>
        <v/>
      </c>
    </row>
    <row r="540" customFormat="false" ht="13.5" hidden="false" customHeight="false" outlineLevel="0" collapsed="false">
      <c r="A540" s="1" t="str">
        <f aca="false">IF($C540="","",Controls!$B$7)</f>
        <v/>
      </c>
      <c r="B540" s="1" t="str">
        <f aca="false">IF($H540="","",YEAR($H540)&amp;"-Q"&amp;ROUNDUP(MONTH($H540)/3,0))</f>
        <v/>
      </c>
      <c r="S540" s="1" t="str">
        <f aca="false">IF($C540="","",$C540&amp;"|"&amp;$E540&amp;"|"&amp;$F540&amp;"|"&amp;$L540&amp;"|"&amp;$P540&amp;"|"&amp;TEXT($H540,"yyyy-mm-dd"))</f>
        <v/>
      </c>
      <c r="T540" s="1" t="str">
        <f aca="false">IF($S540="","",IF(COUNTIF($S$2:$S$2991,$S540)&gt;1,"DUPLICATE","OK"))</f>
        <v/>
      </c>
      <c r="U540" s="0" t="str">
        <f aca="false">IF($L540="","",IFERROR(VLOOKUP(--$L540,MM_Income!$Z$5:$AC$204,3,FALSE()),"UNMAPPED"))</f>
        <v/>
      </c>
    </row>
    <row r="541" customFormat="false" ht="13.5" hidden="false" customHeight="false" outlineLevel="0" collapsed="false">
      <c r="A541" s="1" t="str">
        <f aca="false">IF($C541="","",Controls!$B$7)</f>
        <v/>
      </c>
      <c r="B541" s="1" t="str">
        <f aca="false">IF($H541="","",YEAR($H541)&amp;"-Q"&amp;ROUNDUP(MONTH($H541)/3,0))</f>
        <v/>
      </c>
      <c r="S541" s="1" t="str">
        <f aca="false">IF($C541="","",$C541&amp;"|"&amp;$E541&amp;"|"&amp;$F541&amp;"|"&amp;$L541&amp;"|"&amp;$P541&amp;"|"&amp;TEXT($H541,"yyyy-mm-dd"))</f>
        <v/>
      </c>
      <c r="T541" s="1" t="str">
        <f aca="false">IF($S541="","",IF(COUNTIF($S$2:$S$2991,$S541)&gt;1,"DUPLICATE","OK"))</f>
        <v/>
      </c>
      <c r="U541" s="0" t="str">
        <f aca="false">IF($L541="","",IFERROR(VLOOKUP(--$L541,MM_Income!$Z$5:$AC$204,3,FALSE()),"UNMAPPED"))</f>
        <v/>
      </c>
    </row>
    <row r="542" customFormat="false" ht="13.5" hidden="false" customHeight="false" outlineLevel="0" collapsed="false">
      <c r="A542" s="1" t="str">
        <f aca="false">IF($C542="","",Controls!$B$7)</f>
        <v/>
      </c>
      <c r="B542" s="1" t="str">
        <f aca="false">IF($H542="","",YEAR($H542)&amp;"-Q"&amp;ROUNDUP(MONTH($H542)/3,0))</f>
        <v/>
      </c>
      <c r="S542" s="1" t="str">
        <f aca="false">IF($C542="","",$C542&amp;"|"&amp;$E542&amp;"|"&amp;$F542&amp;"|"&amp;$L542&amp;"|"&amp;$P542&amp;"|"&amp;TEXT($H542,"yyyy-mm-dd"))</f>
        <v/>
      </c>
      <c r="T542" s="1" t="str">
        <f aca="false">IF($S542="","",IF(COUNTIF($S$2:$S$2991,$S542)&gt;1,"DUPLICATE","OK"))</f>
        <v/>
      </c>
      <c r="U542" s="0" t="str">
        <f aca="false">IF($L542="","",IFERROR(VLOOKUP(--$L542,MM_Income!$Z$5:$AC$204,3,FALSE()),"UNMAPPED"))</f>
        <v/>
      </c>
    </row>
    <row r="543" customFormat="false" ht="13.5" hidden="false" customHeight="false" outlineLevel="0" collapsed="false">
      <c r="A543" s="1" t="str">
        <f aca="false">IF($C543="","",Controls!$B$7)</f>
        <v/>
      </c>
      <c r="B543" s="1" t="str">
        <f aca="false">IF($H543="","",YEAR($H543)&amp;"-Q"&amp;ROUNDUP(MONTH($H543)/3,0))</f>
        <v/>
      </c>
      <c r="S543" s="1" t="str">
        <f aca="false">IF($C543="","",$C543&amp;"|"&amp;$E543&amp;"|"&amp;$F543&amp;"|"&amp;$L543&amp;"|"&amp;$P543&amp;"|"&amp;TEXT($H543,"yyyy-mm-dd"))</f>
        <v/>
      </c>
      <c r="T543" s="1" t="str">
        <f aca="false">IF($S543="","",IF(COUNTIF($S$2:$S$2991,$S543)&gt;1,"DUPLICATE","OK"))</f>
        <v/>
      </c>
      <c r="U543" s="0" t="str">
        <f aca="false">IF($L543="","",IFERROR(VLOOKUP(--$L543,MM_Income!$Z$5:$AC$204,3,FALSE()),"UNMAPPED"))</f>
        <v/>
      </c>
    </row>
    <row r="544" customFormat="false" ht="13.5" hidden="false" customHeight="false" outlineLevel="0" collapsed="false">
      <c r="A544" s="1" t="str">
        <f aca="false">IF($C544="","",Controls!$B$7)</f>
        <v/>
      </c>
      <c r="B544" s="1" t="str">
        <f aca="false">IF($H544="","",YEAR($H544)&amp;"-Q"&amp;ROUNDUP(MONTH($H544)/3,0))</f>
        <v/>
      </c>
      <c r="S544" s="1" t="str">
        <f aca="false">IF($C544="","",$C544&amp;"|"&amp;$E544&amp;"|"&amp;$F544&amp;"|"&amp;$L544&amp;"|"&amp;$P544&amp;"|"&amp;TEXT($H544,"yyyy-mm-dd"))</f>
        <v/>
      </c>
      <c r="T544" s="1" t="str">
        <f aca="false">IF($S544="","",IF(COUNTIF($S$2:$S$2991,$S544)&gt;1,"DUPLICATE","OK"))</f>
        <v/>
      </c>
      <c r="U544" s="0" t="str">
        <f aca="false">IF($L544="","",IFERROR(VLOOKUP(--$L544,MM_Income!$Z$5:$AC$204,3,FALSE()),"UNMAPPED"))</f>
        <v/>
      </c>
    </row>
    <row r="545" customFormat="false" ht="13.5" hidden="false" customHeight="false" outlineLevel="0" collapsed="false">
      <c r="A545" s="1" t="str">
        <f aca="false">IF($C545="","",Controls!$B$7)</f>
        <v/>
      </c>
      <c r="B545" s="1" t="str">
        <f aca="false">IF($H545="","",YEAR($H545)&amp;"-Q"&amp;ROUNDUP(MONTH($H545)/3,0))</f>
        <v/>
      </c>
      <c r="S545" s="1" t="str">
        <f aca="false">IF($C545="","",$C545&amp;"|"&amp;$E545&amp;"|"&amp;$F545&amp;"|"&amp;$L545&amp;"|"&amp;$P545&amp;"|"&amp;TEXT($H545,"yyyy-mm-dd"))</f>
        <v/>
      </c>
      <c r="T545" s="1" t="str">
        <f aca="false">IF($S545="","",IF(COUNTIF($S$2:$S$2991,$S545)&gt;1,"DUPLICATE","OK"))</f>
        <v/>
      </c>
      <c r="U545" s="0" t="str">
        <f aca="false">IF($L545="","",IFERROR(VLOOKUP(--$L545,MM_Income!$Z$5:$AC$204,3,FALSE()),"UNMAPPED"))</f>
        <v/>
      </c>
    </row>
    <row r="546" customFormat="false" ht="13.5" hidden="false" customHeight="false" outlineLevel="0" collapsed="false">
      <c r="A546" s="1" t="str">
        <f aca="false">IF($C546="","",Controls!$B$7)</f>
        <v/>
      </c>
      <c r="B546" s="1" t="str">
        <f aca="false">IF($H546="","",YEAR($H546)&amp;"-Q"&amp;ROUNDUP(MONTH($H546)/3,0))</f>
        <v/>
      </c>
      <c r="S546" s="1" t="str">
        <f aca="false">IF($C546="","",$C546&amp;"|"&amp;$E546&amp;"|"&amp;$F546&amp;"|"&amp;$L546&amp;"|"&amp;$P546&amp;"|"&amp;TEXT($H546,"yyyy-mm-dd"))</f>
        <v/>
      </c>
      <c r="T546" s="1" t="str">
        <f aca="false">IF($S546="","",IF(COUNTIF($S$2:$S$2991,$S546)&gt;1,"DUPLICATE","OK"))</f>
        <v/>
      </c>
      <c r="U546" s="0" t="str">
        <f aca="false">IF($L546="","",IFERROR(VLOOKUP(--$L546,MM_Income!$Z$5:$AC$204,3,FALSE()),"UNMAPPED"))</f>
        <v/>
      </c>
    </row>
    <row r="547" customFormat="false" ht="13.5" hidden="false" customHeight="false" outlineLevel="0" collapsed="false">
      <c r="A547" s="1" t="str">
        <f aca="false">IF($C547="","",Controls!$B$7)</f>
        <v/>
      </c>
      <c r="B547" s="1" t="str">
        <f aca="false">IF($H547="","",YEAR($H547)&amp;"-Q"&amp;ROUNDUP(MONTH($H547)/3,0))</f>
        <v/>
      </c>
      <c r="S547" s="1" t="str">
        <f aca="false">IF($C547="","",$C547&amp;"|"&amp;$E547&amp;"|"&amp;$F547&amp;"|"&amp;$L547&amp;"|"&amp;$P547&amp;"|"&amp;TEXT($H547,"yyyy-mm-dd"))</f>
        <v/>
      </c>
      <c r="T547" s="1" t="str">
        <f aca="false">IF($S547="","",IF(COUNTIF($S$2:$S$2991,$S547)&gt;1,"DUPLICATE","OK"))</f>
        <v/>
      </c>
      <c r="U547" s="0" t="str">
        <f aca="false">IF($L547="","",IFERROR(VLOOKUP(--$L547,MM_Income!$Z$5:$AC$204,3,FALSE()),"UNMAPPED"))</f>
        <v/>
      </c>
    </row>
    <row r="548" customFormat="false" ht="13.5" hidden="false" customHeight="false" outlineLevel="0" collapsed="false">
      <c r="A548" s="1" t="str">
        <f aca="false">IF($C548="","",Controls!$B$7)</f>
        <v/>
      </c>
      <c r="B548" s="1" t="str">
        <f aca="false">IF($H548="","",YEAR($H548)&amp;"-Q"&amp;ROUNDUP(MONTH($H548)/3,0))</f>
        <v/>
      </c>
      <c r="S548" s="1" t="str">
        <f aca="false">IF($C548="","",$C548&amp;"|"&amp;$E548&amp;"|"&amp;$F548&amp;"|"&amp;$L548&amp;"|"&amp;$P548&amp;"|"&amp;TEXT($H548,"yyyy-mm-dd"))</f>
        <v/>
      </c>
      <c r="T548" s="1" t="str">
        <f aca="false">IF($S548="","",IF(COUNTIF($S$2:$S$2991,$S548)&gt;1,"DUPLICATE","OK"))</f>
        <v/>
      </c>
      <c r="U548" s="0" t="str">
        <f aca="false">IF($L548="","",IFERROR(VLOOKUP(--$L548,MM_Income!$Z$5:$AC$204,3,FALSE()),"UNMAPPED"))</f>
        <v/>
      </c>
    </row>
    <row r="549" customFormat="false" ht="13.5" hidden="false" customHeight="false" outlineLevel="0" collapsed="false">
      <c r="A549" s="1" t="str">
        <f aca="false">IF($C549="","",Controls!$B$7)</f>
        <v/>
      </c>
      <c r="B549" s="1" t="str">
        <f aca="false">IF($H549="","",YEAR($H549)&amp;"-Q"&amp;ROUNDUP(MONTH($H549)/3,0))</f>
        <v/>
      </c>
      <c r="S549" s="1" t="str">
        <f aca="false">IF($C549="","",$C549&amp;"|"&amp;$E549&amp;"|"&amp;$F549&amp;"|"&amp;$L549&amp;"|"&amp;$P549&amp;"|"&amp;TEXT($H549,"yyyy-mm-dd"))</f>
        <v/>
      </c>
      <c r="T549" s="1" t="str">
        <f aca="false">IF($S549="","",IF(COUNTIF($S$2:$S$2991,$S549)&gt;1,"DUPLICATE","OK"))</f>
        <v/>
      </c>
      <c r="U549" s="0" t="str">
        <f aca="false">IF($L549="","",IFERROR(VLOOKUP(--$L549,MM_Income!$Z$5:$AC$204,3,FALSE()),"UNMAPPED"))</f>
        <v/>
      </c>
    </row>
    <row r="550" customFormat="false" ht="13.5" hidden="false" customHeight="false" outlineLevel="0" collapsed="false">
      <c r="A550" s="1" t="str">
        <f aca="false">IF($C550="","",Controls!$B$7)</f>
        <v/>
      </c>
      <c r="B550" s="1" t="str">
        <f aca="false">IF($H550="","",YEAR($H550)&amp;"-Q"&amp;ROUNDUP(MONTH($H550)/3,0))</f>
        <v/>
      </c>
      <c r="S550" s="1" t="str">
        <f aca="false">IF($C550="","",$C550&amp;"|"&amp;$E550&amp;"|"&amp;$F550&amp;"|"&amp;$L550&amp;"|"&amp;$P550&amp;"|"&amp;TEXT($H550,"yyyy-mm-dd"))</f>
        <v/>
      </c>
      <c r="T550" s="1" t="str">
        <f aca="false">IF($S550="","",IF(COUNTIF($S$2:$S$2991,$S550)&gt;1,"DUPLICATE","OK"))</f>
        <v/>
      </c>
      <c r="U550" s="0" t="str">
        <f aca="false">IF($L550="","",IFERROR(VLOOKUP(--$L550,MM_Income!$Z$5:$AC$204,3,FALSE()),"UNMAPPED"))</f>
        <v/>
      </c>
    </row>
    <row r="551" customFormat="false" ht="13.5" hidden="false" customHeight="false" outlineLevel="0" collapsed="false">
      <c r="A551" s="1" t="str">
        <f aca="false">IF($C551="","",Controls!$B$7)</f>
        <v/>
      </c>
      <c r="B551" s="1" t="str">
        <f aca="false">IF($H551="","",YEAR($H551)&amp;"-Q"&amp;ROUNDUP(MONTH($H551)/3,0))</f>
        <v/>
      </c>
      <c r="S551" s="1" t="str">
        <f aca="false">IF($C551="","",$C551&amp;"|"&amp;$E551&amp;"|"&amp;$F551&amp;"|"&amp;$L551&amp;"|"&amp;$P551&amp;"|"&amp;TEXT($H551,"yyyy-mm-dd"))</f>
        <v/>
      </c>
      <c r="T551" s="1" t="str">
        <f aca="false">IF($S551="","",IF(COUNTIF($S$2:$S$2991,$S551)&gt;1,"DUPLICATE","OK"))</f>
        <v/>
      </c>
      <c r="U551" s="0" t="str">
        <f aca="false">IF($L551="","",IFERROR(VLOOKUP(--$L551,MM_Income!$Z$5:$AC$204,3,FALSE()),"UNMAPPED"))</f>
        <v/>
      </c>
    </row>
    <row r="552" customFormat="false" ht="13.5" hidden="false" customHeight="false" outlineLevel="0" collapsed="false">
      <c r="A552" s="1" t="str">
        <f aca="false">IF($C552="","",Controls!$B$7)</f>
        <v/>
      </c>
      <c r="B552" s="1" t="str">
        <f aca="false">IF($H552="","",YEAR($H552)&amp;"-Q"&amp;ROUNDUP(MONTH($H552)/3,0))</f>
        <v/>
      </c>
      <c r="S552" s="1" t="str">
        <f aca="false">IF($C552="","",$C552&amp;"|"&amp;$E552&amp;"|"&amp;$F552&amp;"|"&amp;$L552&amp;"|"&amp;$P552&amp;"|"&amp;TEXT($H552,"yyyy-mm-dd"))</f>
        <v/>
      </c>
      <c r="T552" s="1" t="str">
        <f aca="false">IF($S552="","",IF(COUNTIF($S$2:$S$2991,$S552)&gt;1,"DUPLICATE","OK"))</f>
        <v/>
      </c>
      <c r="U552" s="0" t="str">
        <f aca="false">IF($L552="","",IFERROR(VLOOKUP(--$L552,MM_Income!$Z$5:$AC$204,3,FALSE()),"UNMAPPED"))</f>
        <v/>
      </c>
    </row>
    <row r="553" customFormat="false" ht="13.5" hidden="false" customHeight="false" outlineLevel="0" collapsed="false">
      <c r="A553" s="1" t="str">
        <f aca="false">IF($C553="","",Controls!$B$7)</f>
        <v/>
      </c>
      <c r="B553" s="1" t="str">
        <f aca="false">IF($H553="","",YEAR($H553)&amp;"-Q"&amp;ROUNDUP(MONTH($H553)/3,0))</f>
        <v/>
      </c>
      <c r="S553" s="1" t="str">
        <f aca="false">IF($C553="","",$C553&amp;"|"&amp;$E553&amp;"|"&amp;$F553&amp;"|"&amp;$L553&amp;"|"&amp;$P553&amp;"|"&amp;TEXT($H553,"yyyy-mm-dd"))</f>
        <v/>
      </c>
      <c r="T553" s="1" t="str">
        <f aca="false">IF($S553="","",IF(COUNTIF($S$2:$S$2991,$S553)&gt;1,"DUPLICATE","OK"))</f>
        <v/>
      </c>
      <c r="U553" s="0" t="str">
        <f aca="false">IF($L553="","",IFERROR(VLOOKUP(--$L553,MM_Income!$Z$5:$AC$204,3,FALSE()),"UNMAPPED"))</f>
        <v/>
      </c>
    </row>
    <row r="554" customFormat="false" ht="13.5" hidden="false" customHeight="false" outlineLevel="0" collapsed="false">
      <c r="A554" s="1" t="str">
        <f aca="false">IF($C554="","",Controls!$B$7)</f>
        <v/>
      </c>
      <c r="B554" s="1" t="str">
        <f aca="false">IF($H554="","",YEAR($H554)&amp;"-Q"&amp;ROUNDUP(MONTH($H554)/3,0))</f>
        <v/>
      </c>
      <c r="S554" s="1" t="str">
        <f aca="false">IF($C554="","",$C554&amp;"|"&amp;$E554&amp;"|"&amp;$F554&amp;"|"&amp;$L554&amp;"|"&amp;$P554&amp;"|"&amp;TEXT($H554,"yyyy-mm-dd"))</f>
        <v/>
      </c>
      <c r="T554" s="1" t="str">
        <f aca="false">IF($S554="","",IF(COUNTIF($S$2:$S$2991,$S554)&gt;1,"DUPLICATE","OK"))</f>
        <v/>
      </c>
      <c r="U554" s="0" t="str">
        <f aca="false">IF($L554="","",IFERROR(VLOOKUP(--$L554,MM_Income!$Z$5:$AC$204,3,FALSE()),"UNMAPPED"))</f>
        <v/>
      </c>
    </row>
    <row r="555" customFormat="false" ht="13.5" hidden="false" customHeight="false" outlineLevel="0" collapsed="false">
      <c r="A555" s="1" t="str">
        <f aca="false">IF($C555="","",Controls!$B$7)</f>
        <v/>
      </c>
      <c r="B555" s="1" t="str">
        <f aca="false">IF($H555="","",YEAR($H555)&amp;"-Q"&amp;ROUNDUP(MONTH($H555)/3,0))</f>
        <v/>
      </c>
      <c r="S555" s="1" t="str">
        <f aca="false">IF($C555="","",$C555&amp;"|"&amp;$E555&amp;"|"&amp;$F555&amp;"|"&amp;$L555&amp;"|"&amp;$P555&amp;"|"&amp;TEXT($H555,"yyyy-mm-dd"))</f>
        <v/>
      </c>
      <c r="T555" s="1" t="str">
        <f aca="false">IF($S555="","",IF(COUNTIF($S$2:$S$2991,$S555)&gt;1,"DUPLICATE","OK"))</f>
        <v/>
      </c>
      <c r="U555" s="0" t="str">
        <f aca="false">IF($L555="","",IFERROR(VLOOKUP(--$L555,MM_Income!$Z$5:$AC$204,3,FALSE()),"UNMAPPED"))</f>
        <v/>
      </c>
    </row>
    <row r="556" customFormat="false" ht="13.5" hidden="false" customHeight="false" outlineLevel="0" collapsed="false">
      <c r="A556" s="1" t="str">
        <f aca="false">IF($C556="","",Controls!$B$7)</f>
        <v/>
      </c>
      <c r="B556" s="1" t="str">
        <f aca="false">IF($H556="","",YEAR($H556)&amp;"-Q"&amp;ROUNDUP(MONTH($H556)/3,0))</f>
        <v/>
      </c>
      <c r="S556" s="1" t="str">
        <f aca="false">IF($C556="","",$C556&amp;"|"&amp;$E556&amp;"|"&amp;$F556&amp;"|"&amp;$L556&amp;"|"&amp;$P556&amp;"|"&amp;TEXT($H556,"yyyy-mm-dd"))</f>
        <v/>
      </c>
      <c r="T556" s="1" t="str">
        <f aca="false">IF($S556="","",IF(COUNTIF($S$2:$S$2991,$S556)&gt;1,"DUPLICATE","OK"))</f>
        <v/>
      </c>
      <c r="U556" s="0" t="str">
        <f aca="false">IF($L556="","",IFERROR(VLOOKUP(--$L556,MM_Income!$Z$5:$AC$204,3,FALSE()),"UNMAPPED"))</f>
        <v/>
      </c>
    </row>
    <row r="557" customFormat="false" ht="13.5" hidden="false" customHeight="false" outlineLevel="0" collapsed="false">
      <c r="A557" s="1" t="str">
        <f aca="false">IF($C557="","",Controls!$B$7)</f>
        <v/>
      </c>
      <c r="B557" s="1" t="str">
        <f aca="false">IF($H557="","",YEAR($H557)&amp;"-Q"&amp;ROUNDUP(MONTH($H557)/3,0))</f>
        <v/>
      </c>
      <c r="S557" s="1" t="str">
        <f aca="false">IF($C557="","",$C557&amp;"|"&amp;$E557&amp;"|"&amp;$F557&amp;"|"&amp;$L557&amp;"|"&amp;$P557&amp;"|"&amp;TEXT($H557,"yyyy-mm-dd"))</f>
        <v/>
      </c>
      <c r="T557" s="1" t="str">
        <f aca="false">IF($S557="","",IF(COUNTIF($S$2:$S$2991,$S557)&gt;1,"DUPLICATE","OK"))</f>
        <v/>
      </c>
      <c r="U557" s="0" t="str">
        <f aca="false">IF($L557="","",IFERROR(VLOOKUP(--$L557,MM_Income!$Z$5:$AC$204,3,FALSE()),"UNMAPPED"))</f>
        <v/>
      </c>
    </row>
    <row r="558" customFormat="false" ht="13.5" hidden="false" customHeight="false" outlineLevel="0" collapsed="false">
      <c r="A558" s="1" t="str">
        <f aca="false">IF($C558="","",Controls!$B$7)</f>
        <v/>
      </c>
      <c r="B558" s="1" t="str">
        <f aca="false">IF($H558="","",YEAR($H558)&amp;"-Q"&amp;ROUNDUP(MONTH($H558)/3,0))</f>
        <v/>
      </c>
      <c r="S558" s="1" t="str">
        <f aca="false">IF($C558="","",$C558&amp;"|"&amp;$E558&amp;"|"&amp;$F558&amp;"|"&amp;$L558&amp;"|"&amp;$P558&amp;"|"&amp;TEXT($H558,"yyyy-mm-dd"))</f>
        <v/>
      </c>
      <c r="T558" s="1" t="str">
        <f aca="false">IF($S558="","",IF(COUNTIF($S$2:$S$2991,$S558)&gt;1,"DUPLICATE","OK"))</f>
        <v/>
      </c>
      <c r="U558" s="0" t="str">
        <f aca="false">IF($L558="","",IFERROR(VLOOKUP(--$L558,MM_Income!$Z$5:$AC$204,3,FALSE()),"UNMAPPED"))</f>
        <v/>
      </c>
    </row>
    <row r="559" customFormat="false" ht="13.5" hidden="false" customHeight="false" outlineLevel="0" collapsed="false">
      <c r="A559" s="1" t="str">
        <f aca="false">IF($C559="","",Controls!$B$7)</f>
        <v/>
      </c>
      <c r="B559" s="1" t="str">
        <f aca="false">IF($H559="","",YEAR($H559)&amp;"-Q"&amp;ROUNDUP(MONTH($H559)/3,0))</f>
        <v/>
      </c>
      <c r="S559" s="1" t="str">
        <f aca="false">IF($C559="","",$C559&amp;"|"&amp;$E559&amp;"|"&amp;$F559&amp;"|"&amp;$L559&amp;"|"&amp;$P559&amp;"|"&amp;TEXT($H559,"yyyy-mm-dd"))</f>
        <v/>
      </c>
      <c r="T559" s="1" t="str">
        <f aca="false">IF($S559="","",IF(COUNTIF($S$2:$S$2991,$S559)&gt;1,"DUPLICATE","OK"))</f>
        <v/>
      </c>
      <c r="U559" s="0" t="str">
        <f aca="false">IF($L559="","",IFERROR(VLOOKUP(--$L559,MM_Income!$Z$5:$AC$204,3,FALSE()),"UNMAPPED"))</f>
        <v/>
      </c>
    </row>
    <row r="560" customFormat="false" ht="13.5" hidden="false" customHeight="false" outlineLevel="0" collapsed="false">
      <c r="A560" s="1" t="str">
        <f aca="false">IF($C560="","",Controls!$B$7)</f>
        <v/>
      </c>
      <c r="B560" s="1" t="str">
        <f aca="false">IF($H560="","",YEAR($H560)&amp;"-Q"&amp;ROUNDUP(MONTH($H560)/3,0))</f>
        <v/>
      </c>
      <c r="S560" s="1" t="str">
        <f aca="false">IF($C560="","",$C560&amp;"|"&amp;$E560&amp;"|"&amp;$F560&amp;"|"&amp;$L560&amp;"|"&amp;$P560&amp;"|"&amp;TEXT($H560,"yyyy-mm-dd"))</f>
        <v/>
      </c>
      <c r="T560" s="1" t="str">
        <f aca="false">IF($S560="","",IF(COUNTIF($S$2:$S$2991,$S560)&gt;1,"DUPLICATE","OK"))</f>
        <v/>
      </c>
      <c r="U560" s="0" t="str">
        <f aca="false">IF($L560="","",IFERROR(VLOOKUP(--$L560,MM_Income!$Z$5:$AC$204,3,FALSE()),"UNMAPPED"))</f>
        <v/>
      </c>
    </row>
    <row r="561" customFormat="false" ht="13.5" hidden="false" customHeight="false" outlineLevel="0" collapsed="false">
      <c r="A561" s="1" t="str">
        <f aca="false">IF($C561="","",Controls!$B$7)</f>
        <v/>
      </c>
      <c r="B561" s="1" t="str">
        <f aca="false">IF($H561="","",YEAR($H561)&amp;"-Q"&amp;ROUNDUP(MONTH($H561)/3,0))</f>
        <v/>
      </c>
      <c r="S561" s="1" t="str">
        <f aca="false">IF($C561="","",$C561&amp;"|"&amp;$E561&amp;"|"&amp;$F561&amp;"|"&amp;$L561&amp;"|"&amp;$P561&amp;"|"&amp;TEXT($H561,"yyyy-mm-dd"))</f>
        <v/>
      </c>
      <c r="T561" s="1" t="str">
        <f aca="false">IF($S561="","",IF(COUNTIF($S$2:$S$2991,$S561)&gt;1,"DUPLICATE","OK"))</f>
        <v/>
      </c>
      <c r="U561" s="0" t="str">
        <f aca="false">IF($L561="","",IFERROR(VLOOKUP(--$L561,MM_Income!$Z$5:$AC$204,3,FALSE()),"UNMAPPED"))</f>
        <v/>
      </c>
    </row>
    <row r="562" customFormat="false" ht="13.5" hidden="false" customHeight="false" outlineLevel="0" collapsed="false">
      <c r="A562" s="1" t="str">
        <f aca="false">IF($C562="","",Controls!$B$7)</f>
        <v/>
      </c>
      <c r="B562" s="1" t="str">
        <f aca="false">IF($H562="","",YEAR($H562)&amp;"-Q"&amp;ROUNDUP(MONTH($H562)/3,0))</f>
        <v/>
      </c>
      <c r="S562" s="1" t="str">
        <f aca="false">IF($C562="","",$C562&amp;"|"&amp;$E562&amp;"|"&amp;$F562&amp;"|"&amp;$L562&amp;"|"&amp;$P562&amp;"|"&amp;TEXT($H562,"yyyy-mm-dd"))</f>
        <v/>
      </c>
      <c r="T562" s="1" t="str">
        <f aca="false">IF($S562="","",IF(COUNTIF($S$2:$S$2991,$S562)&gt;1,"DUPLICATE","OK"))</f>
        <v/>
      </c>
      <c r="U562" s="0" t="str">
        <f aca="false">IF($L562="","",IFERROR(VLOOKUP(--$L562,MM_Income!$Z$5:$AC$204,3,FALSE()),"UNMAPPED"))</f>
        <v/>
      </c>
    </row>
    <row r="563" customFormat="false" ht="13.5" hidden="false" customHeight="false" outlineLevel="0" collapsed="false">
      <c r="A563" s="1" t="str">
        <f aca="false">IF($C563="","",Controls!$B$7)</f>
        <v/>
      </c>
      <c r="B563" s="1" t="str">
        <f aca="false">IF($H563="","",YEAR($H563)&amp;"-Q"&amp;ROUNDUP(MONTH($H563)/3,0))</f>
        <v/>
      </c>
      <c r="S563" s="1" t="str">
        <f aca="false">IF($C563="","",$C563&amp;"|"&amp;$E563&amp;"|"&amp;$F563&amp;"|"&amp;$L563&amp;"|"&amp;$P563&amp;"|"&amp;TEXT($H563,"yyyy-mm-dd"))</f>
        <v/>
      </c>
      <c r="T563" s="1" t="str">
        <f aca="false">IF($S563="","",IF(COUNTIF($S$2:$S$2991,$S563)&gt;1,"DUPLICATE","OK"))</f>
        <v/>
      </c>
      <c r="U563" s="0" t="str">
        <f aca="false">IF($L563="","",IFERROR(VLOOKUP(--$L563,MM_Income!$Z$5:$AC$204,3,FALSE()),"UNMAPPED"))</f>
        <v/>
      </c>
    </row>
    <row r="564" customFormat="false" ht="13.5" hidden="false" customHeight="false" outlineLevel="0" collapsed="false">
      <c r="A564" s="1" t="str">
        <f aca="false">IF($C564="","",Controls!$B$7)</f>
        <v/>
      </c>
      <c r="B564" s="1" t="str">
        <f aca="false">IF($H564="","",YEAR($H564)&amp;"-Q"&amp;ROUNDUP(MONTH($H564)/3,0))</f>
        <v/>
      </c>
      <c r="S564" s="1" t="str">
        <f aca="false">IF($C564="","",$C564&amp;"|"&amp;$E564&amp;"|"&amp;$F564&amp;"|"&amp;$L564&amp;"|"&amp;$P564&amp;"|"&amp;TEXT($H564,"yyyy-mm-dd"))</f>
        <v/>
      </c>
      <c r="T564" s="1" t="str">
        <f aca="false">IF($S564="","",IF(COUNTIF($S$2:$S$2991,$S564)&gt;1,"DUPLICATE","OK"))</f>
        <v/>
      </c>
      <c r="U564" s="0" t="str">
        <f aca="false">IF($L564="","",IFERROR(VLOOKUP(--$L564,MM_Income!$Z$5:$AC$204,3,FALSE()),"UNMAPPED"))</f>
        <v/>
      </c>
    </row>
    <row r="565" customFormat="false" ht="13.5" hidden="false" customHeight="false" outlineLevel="0" collapsed="false">
      <c r="A565" s="1" t="str">
        <f aca="false">IF($C565="","",Controls!$B$7)</f>
        <v/>
      </c>
      <c r="B565" s="1" t="str">
        <f aca="false">IF($H565="","",YEAR($H565)&amp;"-Q"&amp;ROUNDUP(MONTH($H565)/3,0))</f>
        <v/>
      </c>
      <c r="S565" s="1" t="str">
        <f aca="false">IF($C565="","",$C565&amp;"|"&amp;$E565&amp;"|"&amp;$F565&amp;"|"&amp;$L565&amp;"|"&amp;$P565&amp;"|"&amp;TEXT($H565,"yyyy-mm-dd"))</f>
        <v/>
      </c>
      <c r="T565" s="1" t="str">
        <f aca="false">IF($S565="","",IF(COUNTIF($S$2:$S$2991,$S565)&gt;1,"DUPLICATE","OK"))</f>
        <v/>
      </c>
      <c r="U565" s="0" t="str">
        <f aca="false">IF($L565="","",IFERROR(VLOOKUP(--$L565,MM_Income!$Z$5:$AC$204,3,FALSE()),"UNMAPPED"))</f>
        <v/>
      </c>
    </row>
    <row r="566" customFormat="false" ht="13.5" hidden="false" customHeight="false" outlineLevel="0" collapsed="false">
      <c r="A566" s="1" t="str">
        <f aca="false">IF($C566="","",Controls!$B$7)</f>
        <v/>
      </c>
      <c r="B566" s="1" t="str">
        <f aca="false">IF($H566="","",YEAR($H566)&amp;"-Q"&amp;ROUNDUP(MONTH($H566)/3,0))</f>
        <v/>
      </c>
      <c r="S566" s="1" t="str">
        <f aca="false">IF($C566="","",$C566&amp;"|"&amp;$E566&amp;"|"&amp;$F566&amp;"|"&amp;$L566&amp;"|"&amp;$P566&amp;"|"&amp;TEXT($H566,"yyyy-mm-dd"))</f>
        <v/>
      </c>
      <c r="T566" s="1" t="str">
        <f aca="false">IF($S566="","",IF(COUNTIF($S$2:$S$2991,$S566)&gt;1,"DUPLICATE","OK"))</f>
        <v/>
      </c>
      <c r="U566" s="0" t="str">
        <f aca="false">IF($L566="","",IFERROR(VLOOKUP(--$L566,MM_Income!$Z$5:$AC$204,3,FALSE()),"UNMAPPED"))</f>
        <v/>
      </c>
    </row>
    <row r="567" customFormat="false" ht="13.5" hidden="false" customHeight="false" outlineLevel="0" collapsed="false">
      <c r="A567" s="1" t="str">
        <f aca="false">IF($C567="","",Controls!$B$7)</f>
        <v/>
      </c>
      <c r="B567" s="1" t="str">
        <f aca="false">IF($H567="","",YEAR($H567)&amp;"-Q"&amp;ROUNDUP(MONTH($H567)/3,0))</f>
        <v/>
      </c>
      <c r="S567" s="1" t="str">
        <f aca="false">IF($C567="","",$C567&amp;"|"&amp;$E567&amp;"|"&amp;$F567&amp;"|"&amp;$L567&amp;"|"&amp;$P567&amp;"|"&amp;TEXT($H567,"yyyy-mm-dd"))</f>
        <v/>
      </c>
      <c r="T567" s="1" t="str">
        <f aca="false">IF($S567="","",IF(COUNTIF($S$2:$S$2991,$S567)&gt;1,"DUPLICATE","OK"))</f>
        <v/>
      </c>
      <c r="U567" s="0" t="str">
        <f aca="false">IF($L567="","",IFERROR(VLOOKUP(--$L567,MM_Income!$Z$5:$AC$204,3,FALSE()),"UNMAPPED"))</f>
        <v/>
      </c>
    </row>
    <row r="568" customFormat="false" ht="13.5" hidden="false" customHeight="false" outlineLevel="0" collapsed="false">
      <c r="A568" s="1" t="str">
        <f aca="false">IF($C568="","",Controls!$B$7)</f>
        <v/>
      </c>
      <c r="B568" s="1" t="str">
        <f aca="false">IF($H568="","",YEAR($H568)&amp;"-Q"&amp;ROUNDUP(MONTH($H568)/3,0))</f>
        <v/>
      </c>
      <c r="S568" s="1" t="str">
        <f aca="false">IF($C568="","",$C568&amp;"|"&amp;$E568&amp;"|"&amp;$F568&amp;"|"&amp;$L568&amp;"|"&amp;$P568&amp;"|"&amp;TEXT($H568,"yyyy-mm-dd"))</f>
        <v/>
      </c>
      <c r="T568" s="1" t="str">
        <f aca="false">IF($S568="","",IF(COUNTIF($S$2:$S$2991,$S568)&gt;1,"DUPLICATE","OK"))</f>
        <v/>
      </c>
      <c r="U568" s="0" t="str">
        <f aca="false">IF($L568="","",IFERROR(VLOOKUP(--$L568,MM_Income!$Z$5:$AC$204,3,FALSE()),"UNMAPPED"))</f>
        <v/>
      </c>
    </row>
    <row r="569" customFormat="false" ht="13.5" hidden="false" customHeight="false" outlineLevel="0" collapsed="false">
      <c r="A569" s="1" t="str">
        <f aca="false">IF($C569="","",Controls!$B$7)</f>
        <v/>
      </c>
      <c r="B569" s="1" t="str">
        <f aca="false">IF($H569="","",YEAR($H569)&amp;"-Q"&amp;ROUNDUP(MONTH($H569)/3,0))</f>
        <v/>
      </c>
      <c r="S569" s="1" t="str">
        <f aca="false">IF($C569="","",$C569&amp;"|"&amp;$E569&amp;"|"&amp;$F569&amp;"|"&amp;$L569&amp;"|"&amp;$P569&amp;"|"&amp;TEXT($H569,"yyyy-mm-dd"))</f>
        <v/>
      </c>
      <c r="T569" s="1" t="str">
        <f aca="false">IF($S569="","",IF(COUNTIF($S$2:$S$2991,$S569)&gt;1,"DUPLICATE","OK"))</f>
        <v/>
      </c>
      <c r="U569" s="0" t="str">
        <f aca="false">IF($L569="","",IFERROR(VLOOKUP(--$L569,MM_Income!$Z$5:$AC$204,3,FALSE()),"UNMAPPED"))</f>
        <v/>
      </c>
    </row>
    <row r="570" customFormat="false" ht="13.5" hidden="false" customHeight="false" outlineLevel="0" collapsed="false">
      <c r="A570" s="1" t="str">
        <f aca="false">IF($C570="","",Controls!$B$7)</f>
        <v/>
      </c>
      <c r="B570" s="1" t="str">
        <f aca="false">IF($H570="","",YEAR($H570)&amp;"-Q"&amp;ROUNDUP(MONTH($H570)/3,0))</f>
        <v/>
      </c>
      <c r="S570" s="1" t="str">
        <f aca="false">IF($C570="","",$C570&amp;"|"&amp;$E570&amp;"|"&amp;$F570&amp;"|"&amp;$L570&amp;"|"&amp;$P570&amp;"|"&amp;TEXT($H570,"yyyy-mm-dd"))</f>
        <v/>
      </c>
      <c r="T570" s="1" t="str">
        <f aca="false">IF($S570="","",IF(COUNTIF($S$2:$S$2991,$S570)&gt;1,"DUPLICATE","OK"))</f>
        <v/>
      </c>
      <c r="U570" s="0" t="str">
        <f aca="false">IF($L570="","",IFERROR(VLOOKUP(--$L570,MM_Income!$Z$5:$AC$204,3,FALSE()),"UNMAPPED"))</f>
        <v/>
      </c>
    </row>
    <row r="571" customFormat="false" ht="13.5" hidden="false" customHeight="false" outlineLevel="0" collapsed="false">
      <c r="A571" s="1" t="str">
        <f aca="false">IF($C571="","",Controls!$B$7)</f>
        <v/>
      </c>
      <c r="B571" s="1" t="str">
        <f aca="false">IF($H571="","",YEAR($H571)&amp;"-Q"&amp;ROUNDUP(MONTH($H571)/3,0))</f>
        <v/>
      </c>
      <c r="S571" s="1" t="str">
        <f aca="false">IF($C571="","",$C571&amp;"|"&amp;$E571&amp;"|"&amp;$F571&amp;"|"&amp;$L571&amp;"|"&amp;$P571&amp;"|"&amp;TEXT($H571,"yyyy-mm-dd"))</f>
        <v/>
      </c>
      <c r="T571" s="1" t="str">
        <f aca="false">IF($S571="","",IF(COUNTIF($S$2:$S$2991,$S571)&gt;1,"DUPLICATE","OK"))</f>
        <v/>
      </c>
      <c r="U571" s="0" t="str">
        <f aca="false">IF($L571="","",IFERROR(VLOOKUP(--$L571,MM_Income!$Z$5:$AC$204,3,FALSE()),"UNMAPPED"))</f>
        <v/>
      </c>
    </row>
    <row r="572" customFormat="false" ht="13.5" hidden="false" customHeight="false" outlineLevel="0" collapsed="false">
      <c r="A572" s="1" t="str">
        <f aca="false">IF($C572="","",Controls!$B$7)</f>
        <v/>
      </c>
      <c r="B572" s="1" t="str">
        <f aca="false">IF($H572="","",YEAR($H572)&amp;"-Q"&amp;ROUNDUP(MONTH($H572)/3,0))</f>
        <v/>
      </c>
      <c r="S572" s="1" t="str">
        <f aca="false">IF($C572="","",$C572&amp;"|"&amp;$E572&amp;"|"&amp;$F572&amp;"|"&amp;$L572&amp;"|"&amp;$P572&amp;"|"&amp;TEXT($H572,"yyyy-mm-dd"))</f>
        <v/>
      </c>
      <c r="T572" s="1" t="str">
        <f aca="false">IF($S572="","",IF(COUNTIF($S$2:$S$2991,$S572)&gt;1,"DUPLICATE","OK"))</f>
        <v/>
      </c>
      <c r="U572" s="0" t="str">
        <f aca="false">IF($L572="","",IFERROR(VLOOKUP(--$L572,MM_Income!$Z$5:$AC$204,3,FALSE()),"UNMAPPED"))</f>
        <v/>
      </c>
    </row>
    <row r="573" customFormat="false" ht="13.5" hidden="false" customHeight="false" outlineLevel="0" collapsed="false">
      <c r="A573" s="1" t="str">
        <f aca="false">IF($C573="","",Controls!$B$7)</f>
        <v/>
      </c>
      <c r="B573" s="1" t="str">
        <f aca="false">IF($H573="","",YEAR($H573)&amp;"-Q"&amp;ROUNDUP(MONTH($H573)/3,0))</f>
        <v/>
      </c>
      <c r="S573" s="1" t="str">
        <f aca="false">IF($C573="","",$C573&amp;"|"&amp;$E573&amp;"|"&amp;$F573&amp;"|"&amp;$L573&amp;"|"&amp;$P573&amp;"|"&amp;TEXT($H573,"yyyy-mm-dd"))</f>
        <v/>
      </c>
      <c r="T573" s="1" t="str">
        <f aca="false">IF($S573="","",IF(COUNTIF($S$2:$S$2991,$S573)&gt;1,"DUPLICATE","OK"))</f>
        <v/>
      </c>
      <c r="U573" s="0" t="str">
        <f aca="false">IF($L573="","",IFERROR(VLOOKUP(--$L573,MM_Income!$Z$5:$AC$204,3,FALSE()),"UNMAPPED"))</f>
        <v/>
      </c>
    </row>
    <row r="574" customFormat="false" ht="13.5" hidden="false" customHeight="false" outlineLevel="0" collapsed="false">
      <c r="A574" s="1" t="str">
        <f aca="false">IF($C574="","",Controls!$B$7)</f>
        <v/>
      </c>
      <c r="B574" s="1" t="str">
        <f aca="false">IF($H574="","",YEAR($H574)&amp;"-Q"&amp;ROUNDUP(MONTH($H574)/3,0))</f>
        <v/>
      </c>
      <c r="S574" s="1" t="str">
        <f aca="false">IF($C574="","",$C574&amp;"|"&amp;$E574&amp;"|"&amp;$F574&amp;"|"&amp;$L574&amp;"|"&amp;$P574&amp;"|"&amp;TEXT($H574,"yyyy-mm-dd"))</f>
        <v/>
      </c>
      <c r="T574" s="1" t="str">
        <f aca="false">IF($S574="","",IF(COUNTIF($S$2:$S$2991,$S574)&gt;1,"DUPLICATE","OK"))</f>
        <v/>
      </c>
      <c r="U574" s="0" t="str">
        <f aca="false">IF($L574="","",IFERROR(VLOOKUP(--$L574,MM_Income!$Z$5:$AC$204,3,FALSE()),"UNMAPPED"))</f>
        <v/>
      </c>
    </row>
    <row r="575" customFormat="false" ht="13.5" hidden="false" customHeight="false" outlineLevel="0" collapsed="false">
      <c r="A575" s="1" t="str">
        <f aca="false">IF($C575="","",Controls!$B$7)</f>
        <v/>
      </c>
      <c r="B575" s="1" t="str">
        <f aca="false">IF($H575="","",YEAR($H575)&amp;"-Q"&amp;ROUNDUP(MONTH($H575)/3,0))</f>
        <v/>
      </c>
      <c r="S575" s="1" t="str">
        <f aca="false">IF($C575="","",$C575&amp;"|"&amp;$E575&amp;"|"&amp;$F575&amp;"|"&amp;$L575&amp;"|"&amp;$P575&amp;"|"&amp;TEXT($H575,"yyyy-mm-dd"))</f>
        <v/>
      </c>
      <c r="T575" s="1" t="str">
        <f aca="false">IF($S575="","",IF(COUNTIF($S$2:$S$2991,$S575)&gt;1,"DUPLICATE","OK"))</f>
        <v/>
      </c>
      <c r="U575" s="0" t="str">
        <f aca="false">IF($L575="","",IFERROR(VLOOKUP(--$L575,MM_Income!$Z$5:$AC$204,3,FALSE()),"UNMAPPED"))</f>
        <v/>
      </c>
    </row>
    <row r="576" customFormat="false" ht="13.5" hidden="false" customHeight="false" outlineLevel="0" collapsed="false">
      <c r="A576" s="1" t="str">
        <f aca="false">IF($C576="","",Controls!$B$7)</f>
        <v/>
      </c>
      <c r="B576" s="1" t="str">
        <f aca="false">IF($H576="","",YEAR($H576)&amp;"-Q"&amp;ROUNDUP(MONTH($H576)/3,0))</f>
        <v/>
      </c>
      <c r="S576" s="1" t="str">
        <f aca="false">IF($C576="","",$C576&amp;"|"&amp;$E576&amp;"|"&amp;$F576&amp;"|"&amp;$L576&amp;"|"&amp;$P576&amp;"|"&amp;TEXT($H576,"yyyy-mm-dd"))</f>
        <v/>
      </c>
      <c r="T576" s="1" t="str">
        <f aca="false">IF($S576="","",IF(COUNTIF($S$2:$S$2991,$S576)&gt;1,"DUPLICATE","OK"))</f>
        <v/>
      </c>
      <c r="U576" s="0" t="str">
        <f aca="false">IF($L576="","",IFERROR(VLOOKUP(--$L576,MM_Income!$Z$5:$AC$204,3,FALSE()),"UNMAPPED"))</f>
        <v/>
      </c>
    </row>
    <row r="577" customFormat="false" ht="13.5" hidden="false" customHeight="false" outlineLevel="0" collapsed="false">
      <c r="A577" s="1" t="str">
        <f aca="false">IF($C577="","",Controls!$B$7)</f>
        <v/>
      </c>
      <c r="B577" s="1" t="str">
        <f aca="false">IF($H577="","",YEAR($H577)&amp;"-Q"&amp;ROUNDUP(MONTH($H577)/3,0))</f>
        <v/>
      </c>
      <c r="S577" s="1" t="str">
        <f aca="false">IF($C577="","",$C577&amp;"|"&amp;$E577&amp;"|"&amp;$F577&amp;"|"&amp;$L577&amp;"|"&amp;$P577&amp;"|"&amp;TEXT($H577,"yyyy-mm-dd"))</f>
        <v/>
      </c>
      <c r="T577" s="1" t="str">
        <f aca="false">IF($S577="","",IF(COUNTIF($S$2:$S$2991,$S577)&gt;1,"DUPLICATE","OK"))</f>
        <v/>
      </c>
      <c r="U577" s="0" t="str">
        <f aca="false">IF($L577="","",IFERROR(VLOOKUP(--$L577,MM_Income!$Z$5:$AC$204,3,FALSE()),"UNMAPPED"))</f>
        <v/>
      </c>
    </row>
    <row r="578" customFormat="false" ht="13.5" hidden="false" customHeight="false" outlineLevel="0" collapsed="false">
      <c r="A578" s="1" t="str">
        <f aca="false">IF($C578="","",Controls!$B$7)</f>
        <v/>
      </c>
      <c r="B578" s="1" t="str">
        <f aca="false">IF($H578="","",YEAR($H578)&amp;"-Q"&amp;ROUNDUP(MONTH($H578)/3,0))</f>
        <v/>
      </c>
      <c r="S578" s="1" t="str">
        <f aca="false">IF($C578="","",$C578&amp;"|"&amp;$E578&amp;"|"&amp;$F578&amp;"|"&amp;$L578&amp;"|"&amp;$P578&amp;"|"&amp;TEXT($H578,"yyyy-mm-dd"))</f>
        <v/>
      </c>
      <c r="T578" s="1" t="str">
        <f aca="false">IF($S578="","",IF(COUNTIF($S$2:$S$2991,$S578)&gt;1,"DUPLICATE","OK"))</f>
        <v/>
      </c>
      <c r="U578" s="0" t="str">
        <f aca="false">IF($L578="","",IFERROR(VLOOKUP(--$L578,MM_Income!$Z$5:$AC$204,3,FALSE()),"UNMAPPED"))</f>
        <v/>
      </c>
    </row>
    <row r="579" customFormat="false" ht="13.5" hidden="false" customHeight="false" outlineLevel="0" collapsed="false">
      <c r="A579" s="1" t="str">
        <f aca="false">IF($C579="","",Controls!$B$7)</f>
        <v/>
      </c>
      <c r="B579" s="1" t="str">
        <f aca="false">IF($H579="","",YEAR($H579)&amp;"-Q"&amp;ROUNDUP(MONTH($H579)/3,0))</f>
        <v/>
      </c>
      <c r="S579" s="1" t="str">
        <f aca="false">IF($C579="","",$C579&amp;"|"&amp;$E579&amp;"|"&amp;$F579&amp;"|"&amp;$L579&amp;"|"&amp;$P579&amp;"|"&amp;TEXT($H579,"yyyy-mm-dd"))</f>
        <v/>
      </c>
      <c r="T579" s="1" t="str">
        <f aca="false">IF($S579="","",IF(COUNTIF($S$2:$S$2991,$S579)&gt;1,"DUPLICATE","OK"))</f>
        <v/>
      </c>
      <c r="U579" s="0" t="str">
        <f aca="false">IF($L579="","",IFERROR(VLOOKUP(--$L579,MM_Income!$Z$5:$AC$204,3,FALSE()),"UNMAPPED"))</f>
        <v/>
      </c>
    </row>
    <row r="580" customFormat="false" ht="13.5" hidden="false" customHeight="false" outlineLevel="0" collapsed="false">
      <c r="A580" s="1" t="str">
        <f aca="false">IF($C580="","",Controls!$B$7)</f>
        <v/>
      </c>
      <c r="B580" s="1" t="str">
        <f aca="false">IF($H580="","",YEAR($H580)&amp;"-Q"&amp;ROUNDUP(MONTH($H580)/3,0))</f>
        <v/>
      </c>
      <c r="S580" s="1" t="str">
        <f aca="false">IF($C580="","",$C580&amp;"|"&amp;$E580&amp;"|"&amp;$F580&amp;"|"&amp;$L580&amp;"|"&amp;$P580&amp;"|"&amp;TEXT($H580,"yyyy-mm-dd"))</f>
        <v/>
      </c>
      <c r="T580" s="1" t="str">
        <f aca="false">IF($S580="","",IF(COUNTIF($S$2:$S$2991,$S580)&gt;1,"DUPLICATE","OK"))</f>
        <v/>
      </c>
      <c r="U580" s="0" t="str">
        <f aca="false">IF($L580="","",IFERROR(VLOOKUP(--$L580,MM_Income!$Z$5:$AC$204,3,FALSE()),"UNMAPPED"))</f>
        <v/>
      </c>
    </row>
    <row r="581" customFormat="false" ht="13.5" hidden="false" customHeight="false" outlineLevel="0" collapsed="false">
      <c r="A581" s="1" t="str">
        <f aca="false">IF($C581="","",Controls!$B$7)</f>
        <v/>
      </c>
      <c r="B581" s="1" t="str">
        <f aca="false">IF($H581="","",YEAR($H581)&amp;"-Q"&amp;ROUNDUP(MONTH($H581)/3,0))</f>
        <v/>
      </c>
      <c r="S581" s="1" t="str">
        <f aca="false">IF($C581="","",$C581&amp;"|"&amp;$E581&amp;"|"&amp;$F581&amp;"|"&amp;$L581&amp;"|"&amp;$P581&amp;"|"&amp;TEXT($H581,"yyyy-mm-dd"))</f>
        <v/>
      </c>
      <c r="T581" s="1" t="str">
        <f aca="false">IF($S581="","",IF(COUNTIF($S$2:$S$2991,$S581)&gt;1,"DUPLICATE","OK"))</f>
        <v/>
      </c>
      <c r="U581" s="0" t="str">
        <f aca="false">IF($L581="","",IFERROR(VLOOKUP(--$L581,MM_Income!$Z$5:$AC$204,3,FALSE()),"UNMAPPED"))</f>
        <v/>
      </c>
    </row>
    <row r="582" customFormat="false" ht="13.5" hidden="false" customHeight="false" outlineLevel="0" collapsed="false">
      <c r="A582" s="1" t="str">
        <f aca="false">IF($C582="","",Controls!$B$7)</f>
        <v/>
      </c>
      <c r="B582" s="1" t="str">
        <f aca="false">IF($H582="","",YEAR($H582)&amp;"-Q"&amp;ROUNDUP(MONTH($H582)/3,0))</f>
        <v/>
      </c>
      <c r="S582" s="1" t="str">
        <f aca="false">IF($C582="","",$C582&amp;"|"&amp;$E582&amp;"|"&amp;$F582&amp;"|"&amp;$L582&amp;"|"&amp;$P582&amp;"|"&amp;TEXT($H582,"yyyy-mm-dd"))</f>
        <v/>
      </c>
      <c r="T582" s="1" t="str">
        <f aca="false">IF($S582="","",IF(COUNTIF($S$2:$S$2991,$S582)&gt;1,"DUPLICATE","OK"))</f>
        <v/>
      </c>
      <c r="U582" s="0" t="str">
        <f aca="false">IF($L582="","",IFERROR(VLOOKUP(--$L582,MM_Income!$Z$5:$AC$204,3,FALSE()),"UNMAPPED"))</f>
        <v/>
      </c>
    </row>
    <row r="583" customFormat="false" ht="13.5" hidden="false" customHeight="false" outlineLevel="0" collapsed="false">
      <c r="A583" s="1" t="str">
        <f aca="false">IF($C583="","",Controls!$B$7)</f>
        <v/>
      </c>
      <c r="B583" s="1" t="str">
        <f aca="false">IF($H583="","",YEAR($H583)&amp;"-Q"&amp;ROUNDUP(MONTH($H583)/3,0))</f>
        <v/>
      </c>
      <c r="S583" s="1" t="str">
        <f aca="false">IF($C583="","",$C583&amp;"|"&amp;$E583&amp;"|"&amp;$F583&amp;"|"&amp;$L583&amp;"|"&amp;$P583&amp;"|"&amp;TEXT($H583,"yyyy-mm-dd"))</f>
        <v/>
      </c>
      <c r="T583" s="1" t="str">
        <f aca="false">IF($S583="","",IF(COUNTIF($S$2:$S$2991,$S583)&gt;1,"DUPLICATE","OK"))</f>
        <v/>
      </c>
      <c r="U583" s="0" t="str">
        <f aca="false">IF($L583="","",IFERROR(VLOOKUP(--$L583,MM_Income!$Z$5:$AC$204,3,FALSE()),"UNMAPPED"))</f>
        <v/>
      </c>
    </row>
    <row r="584" customFormat="false" ht="13.5" hidden="false" customHeight="false" outlineLevel="0" collapsed="false">
      <c r="A584" s="1" t="str">
        <f aca="false">IF($C584="","",Controls!$B$7)</f>
        <v/>
      </c>
      <c r="B584" s="1" t="str">
        <f aca="false">IF($H584="","",YEAR($H584)&amp;"-Q"&amp;ROUNDUP(MONTH($H584)/3,0))</f>
        <v/>
      </c>
      <c r="S584" s="1" t="str">
        <f aca="false">IF($C584="","",$C584&amp;"|"&amp;$E584&amp;"|"&amp;$F584&amp;"|"&amp;$L584&amp;"|"&amp;$P584&amp;"|"&amp;TEXT($H584,"yyyy-mm-dd"))</f>
        <v/>
      </c>
      <c r="T584" s="1" t="str">
        <f aca="false">IF($S584="","",IF(COUNTIF($S$2:$S$2991,$S584)&gt;1,"DUPLICATE","OK"))</f>
        <v/>
      </c>
      <c r="U584" s="0" t="str">
        <f aca="false">IF($L584="","",IFERROR(VLOOKUP(--$L584,MM_Income!$Z$5:$AC$204,3,FALSE()),"UNMAPPED"))</f>
        <v/>
      </c>
    </row>
    <row r="585" customFormat="false" ht="13.5" hidden="false" customHeight="false" outlineLevel="0" collapsed="false">
      <c r="A585" s="1" t="str">
        <f aca="false">IF($C585="","",Controls!$B$7)</f>
        <v/>
      </c>
      <c r="B585" s="1" t="str">
        <f aca="false">IF($H585="","",YEAR($H585)&amp;"-Q"&amp;ROUNDUP(MONTH($H585)/3,0))</f>
        <v/>
      </c>
      <c r="S585" s="1" t="str">
        <f aca="false">IF($C585="","",$C585&amp;"|"&amp;$E585&amp;"|"&amp;$F585&amp;"|"&amp;$L585&amp;"|"&amp;$P585&amp;"|"&amp;TEXT($H585,"yyyy-mm-dd"))</f>
        <v/>
      </c>
      <c r="T585" s="1" t="str">
        <f aca="false">IF($S585="","",IF(COUNTIF($S$2:$S$2991,$S585)&gt;1,"DUPLICATE","OK"))</f>
        <v/>
      </c>
      <c r="U585" s="0" t="str">
        <f aca="false">IF($L585="","",IFERROR(VLOOKUP(--$L585,MM_Income!$Z$5:$AC$204,3,FALSE()),"UNMAPPED"))</f>
        <v/>
      </c>
    </row>
    <row r="586" customFormat="false" ht="13.5" hidden="false" customHeight="false" outlineLevel="0" collapsed="false">
      <c r="A586" s="1" t="str">
        <f aca="false">IF($C586="","",Controls!$B$7)</f>
        <v/>
      </c>
      <c r="B586" s="1" t="str">
        <f aca="false">IF($H586="","",YEAR($H586)&amp;"-Q"&amp;ROUNDUP(MONTH($H586)/3,0))</f>
        <v/>
      </c>
      <c r="S586" s="1" t="str">
        <f aca="false">IF($C586="","",$C586&amp;"|"&amp;$E586&amp;"|"&amp;$F586&amp;"|"&amp;$L586&amp;"|"&amp;$P586&amp;"|"&amp;TEXT($H586,"yyyy-mm-dd"))</f>
        <v/>
      </c>
      <c r="T586" s="1" t="str">
        <f aca="false">IF($S586="","",IF(COUNTIF($S$2:$S$2991,$S586)&gt;1,"DUPLICATE","OK"))</f>
        <v/>
      </c>
      <c r="U586" s="0" t="str">
        <f aca="false">IF($L586="","",IFERROR(VLOOKUP(--$L586,MM_Income!$Z$5:$AC$204,3,FALSE()),"UNMAPPED"))</f>
        <v/>
      </c>
    </row>
    <row r="587" customFormat="false" ht="13.5" hidden="false" customHeight="false" outlineLevel="0" collapsed="false">
      <c r="A587" s="1" t="str">
        <f aca="false">IF($C587="","",Controls!$B$7)</f>
        <v/>
      </c>
      <c r="B587" s="1" t="str">
        <f aca="false">IF($H587="","",YEAR($H587)&amp;"-Q"&amp;ROUNDUP(MONTH($H587)/3,0))</f>
        <v/>
      </c>
      <c r="S587" s="1" t="str">
        <f aca="false">IF($C587="","",$C587&amp;"|"&amp;$E587&amp;"|"&amp;$F587&amp;"|"&amp;$L587&amp;"|"&amp;$P587&amp;"|"&amp;TEXT($H587,"yyyy-mm-dd"))</f>
        <v/>
      </c>
      <c r="T587" s="1" t="str">
        <f aca="false">IF($S587="","",IF(COUNTIF($S$2:$S$2991,$S587)&gt;1,"DUPLICATE","OK"))</f>
        <v/>
      </c>
      <c r="U587" s="0" t="str">
        <f aca="false">IF($L587="","",IFERROR(VLOOKUP(--$L587,MM_Income!$Z$5:$AC$204,3,FALSE()),"UNMAPPED"))</f>
        <v/>
      </c>
    </row>
    <row r="588" customFormat="false" ht="13.5" hidden="false" customHeight="false" outlineLevel="0" collapsed="false">
      <c r="A588" s="1" t="str">
        <f aca="false">IF($C588="","",Controls!$B$7)</f>
        <v/>
      </c>
      <c r="B588" s="1" t="str">
        <f aca="false">IF($H588="","",YEAR($H588)&amp;"-Q"&amp;ROUNDUP(MONTH($H588)/3,0))</f>
        <v/>
      </c>
      <c r="S588" s="1" t="str">
        <f aca="false">IF($C588="","",$C588&amp;"|"&amp;$E588&amp;"|"&amp;$F588&amp;"|"&amp;$L588&amp;"|"&amp;$P588&amp;"|"&amp;TEXT($H588,"yyyy-mm-dd"))</f>
        <v/>
      </c>
      <c r="T588" s="1" t="str">
        <f aca="false">IF($S588="","",IF(COUNTIF($S$2:$S$2991,$S588)&gt;1,"DUPLICATE","OK"))</f>
        <v/>
      </c>
      <c r="U588" s="0" t="str">
        <f aca="false">IF($L588="","",IFERROR(VLOOKUP(--$L588,MM_Income!$Z$5:$AC$204,3,FALSE()),"UNMAPPED"))</f>
        <v/>
      </c>
    </row>
    <row r="589" customFormat="false" ht="13.5" hidden="false" customHeight="false" outlineLevel="0" collapsed="false">
      <c r="A589" s="1" t="str">
        <f aca="false">IF($C589="","",Controls!$B$7)</f>
        <v/>
      </c>
      <c r="B589" s="1" t="str">
        <f aca="false">IF($H589="","",YEAR($H589)&amp;"-Q"&amp;ROUNDUP(MONTH($H589)/3,0))</f>
        <v/>
      </c>
      <c r="S589" s="1" t="str">
        <f aca="false">IF($C589="","",$C589&amp;"|"&amp;$E589&amp;"|"&amp;$F589&amp;"|"&amp;$L589&amp;"|"&amp;$P589&amp;"|"&amp;TEXT($H589,"yyyy-mm-dd"))</f>
        <v/>
      </c>
      <c r="T589" s="1" t="str">
        <f aca="false">IF($S589="","",IF(COUNTIF($S$2:$S$2991,$S589)&gt;1,"DUPLICATE","OK"))</f>
        <v/>
      </c>
      <c r="U589" s="0" t="str">
        <f aca="false">IF($L589="","",IFERROR(VLOOKUP(--$L589,MM_Income!$Z$5:$AC$204,3,FALSE()),"UNMAPPED"))</f>
        <v/>
      </c>
    </row>
    <row r="590" customFormat="false" ht="13.5" hidden="false" customHeight="false" outlineLevel="0" collapsed="false">
      <c r="A590" s="1" t="str">
        <f aca="false">IF($C590="","",Controls!$B$7)</f>
        <v/>
      </c>
      <c r="B590" s="1" t="str">
        <f aca="false">IF($H590="","",YEAR($H590)&amp;"-Q"&amp;ROUNDUP(MONTH($H590)/3,0))</f>
        <v/>
      </c>
      <c r="S590" s="1" t="str">
        <f aca="false">IF($C590="","",$C590&amp;"|"&amp;$E590&amp;"|"&amp;$F590&amp;"|"&amp;$L590&amp;"|"&amp;$P590&amp;"|"&amp;TEXT($H590,"yyyy-mm-dd"))</f>
        <v/>
      </c>
      <c r="T590" s="1" t="str">
        <f aca="false">IF($S590="","",IF(COUNTIF($S$2:$S$2991,$S590)&gt;1,"DUPLICATE","OK"))</f>
        <v/>
      </c>
      <c r="U590" s="0" t="str">
        <f aca="false">IF($L590="","",IFERROR(VLOOKUP(--$L590,MM_Income!$Z$5:$AC$204,3,FALSE()),"UNMAPPED"))</f>
        <v/>
      </c>
    </row>
    <row r="591" customFormat="false" ht="13.5" hidden="false" customHeight="false" outlineLevel="0" collapsed="false">
      <c r="A591" s="1" t="str">
        <f aca="false">IF($C591="","",Controls!$B$7)</f>
        <v/>
      </c>
      <c r="B591" s="1" t="str">
        <f aca="false">IF($H591="","",YEAR($H591)&amp;"-Q"&amp;ROUNDUP(MONTH($H591)/3,0))</f>
        <v/>
      </c>
      <c r="S591" s="1" t="str">
        <f aca="false">IF($C591="","",$C591&amp;"|"&amp;$E591&amp;"|"&amp;$F591&amp;"|"&amp;$L591&amp;"|"&amp;$P591&amp;"|"&amp;TEXT($H591,"yyyy-mm-dd"))</f>
        <v/>
      </c>
      <c r="T591" s="1" t="str">
        <f aca="false">IF($S591="","",IF(COUNTIF($S$2:$S$2991,$S591)&gt;1,"DUPLICATE","OK"))</f>
        <v/>
      </c>
      <c r="U591" s="0" t="str">
        <f aca="false">IF($L591="","",IFERROR(VLOOKUP(--$L591,MM_Income!$Z$5:$AC$204,3,FALSE()),"UNMAPPED"))</f>
        <v/>
      </c>
    </row>
    <row r="592" customFormat="false" ht="13.5" hidden="false" customHeight="false" outlineLevel="0" collapsed="false">
      <c r="A592" s="1" t="str">
        <f aca="false">IF($C592="","",Controls!$B$7)</f>
        <v/>
      </c>
      <c r="B592" s="1" t="str">
        <f aca="false">IF($H592="","",YEAR($H592)&amp;"-Q"&amp;ROUNDUP(MONTH($H592)/3,0))</f>
        <v/>
      </c>
      <c r="S592" s="1" t="str">
        <f aca="false">IF($C592="","",$C592&amp;"|"&amp;$E592&amp;"|"&amp;$F592&amp;"|"&amp;$L592&amp;"|"&amp;$P592&amp;"|"&amp;TEXT($H592,"yyyy-mm-dd"))</f>
        <v/>
      </c>
      <c r="T592" s="1" t="str">
        <f aca="false">IF($S592="","",IF(COUNTIF($S$2:$S$2991,$S592)&gt;1,"DUPLICATE","OK"))</f>
        <v/>
      </c>
      <c r="U592" s="0" t="str">
        <f aca="false">IF($L592="","",IFERROR(VLOOKUP(--$L592,MM_Income!$Z$5:$AC$204,3,FALSE()),"UNMAPPED"))</f>
        <v/>
      </c>
    </row>
    <row r="593" customFormat="false" ht="13.5" hidden="false" customHeight="false" outlineLevel="0" collapsed="false">
      <c r="A593" s="1" t="str">
        <f aca="false">IF($C593="","",Controls!$B$7)</f>
        <v/>
      </c>
      <c r="B593" s="1" t="str">
        <f aca="false">IF($H593="","",YEAR($H593)&amp;"-Q"&amp;ROUNDUP(MONTH($H593)/3,0))</f>
        <v/>
      </c>
      <c r="S593" s="1" t="str">
        <f aca="false">IF($C593="","",$C593&amp;"|"&amp;$E593&amp;"|"&amp;$F593&amp;"|"&amp;$L593&amp;"|"&amp;$P593&amp;"|"&amp;TEXT($H593,"yyyy-mm-dd"))</f>
        <v/>
      </c>
      <c r="T593" s="1" t="str">
        <f aca="false">IF($S593="","",IF(COUNTIF($S$2:$S$2991,$S593)&gt;1,"DUPLICATE","OK"))</f>
        <v/>
      </c>
      <c r="U593" s="0" t="str">
        <f aca="false">IF($L593="","",IFERROR(VLOOKUP(--$L593,MM_Income!$Z$5:$AC$204,3,FALSE()),"UNMAPPED"))</f>
        <v/>
      </c>
    </row>
    <row r="594" customFormat="false" ht="13.5" hidden="false" customHeight="false" outlineLevel="0" collapsed="false">
      <c r="A594" s="1" t="str">
        <f aca="false">IF($C594="","",Controls!$B$7)</f>
        <v/>
      </c>
      <c r="B594" s="1" t="str">
        <f aca="false">IF($H594="","",YEAR($H594)&amp;"-Q"&amp;ROUNDUP(MONTH($H594)/3,0))</f>
        <v/>
      </c>
      <c r="S594" s="1" t="str">
        <f aca="false">IF($C594="","",$C594&amp;"|"&amp;$E594&amp;"|"&amp;$F594&amp;"|"&amp;$L594&amp;"|"&amp;$P594&amp;"|"&amp;TEXT($H594,"yyyy-mm-dd"))</f>
        <v/>
      </c>
      <c r="T594" s="1" t="str">
        <f aca="false">IF($S594="","",IF(COUNTIF($S$2:$S$2991,$S594)&gt;1,"DUPLICATE","OK"))</f>
        <v/>
      </c>
      <c r="U594" s="0" t="str">
        <f aca="false">IF($L594="","",IFERROR(VLOOKUP(--$L594,MM_Income!$Z$5:$AC$204,3,FALSE()),"UNMAPPED"))</f>
        <v/>
      </c>
    </row>
    <row r="595" customFormat="false" ht="13.5" hidden="false" customHeight="false" outlineLevel="0" collapsed="false">
      <c r="A595" s="1" t="str">
        <f aca="false">IF($C595="","",Controls!$B$7)</f>
        <v/>
      </c>
      <c r="B595" s="1" t="str">
        <f aca="false">IF($H595="","",YEAR($H595)&amp;"-Q"&amp;ROUNDUP(MONTH($H595)/3,0))</f>
        <v/>
      </c>
      <c r="S595" s="1" t="str">
        <f aca="false">IF($C595="","",$C595&amp;"|"&amp;$E595&amp;"|"&amp;$F595&amp;"|"&amp;$L595&amp;"|"&amp;$P595&amp;"|"&amp;TEXT($H595,"yyyy-mm-dd"))</f>
        <v/>
      </c>
      <c r="T595" s="1" t="str">
        <f aca="false">IF($S595="","",IF(COUNTIF($S$2:$S$2991,$S595)&gt;1,"DUPLICATE","OK"))</f>
        <v/>
      </c>
      <c r="U595" s="0" t="str">
        <f aca="false">IF($L595="","",IFERROR(VLOOKUP(--$L595,MM_Income!$Z$5:$AC$204,3,FALSE()),"UNMAPPED"))</f>
        <v/>
      </c>
    </row>
    <row r="596" customFormat="false" ht="13.5" hidden="false" customHeight="false" outlineLevel="0" collapsed="false">
      <c r="A596" s="1" t="str">
        <f aca="false">IF($C596="","",Controls!$B$7)</f>
        <v/>
      </c>
      <c r="B596" s="1" t="str">
        <f aca="false">IF($H596="","",YEAR($H596)&amp;"-Q"&amp;ROUNDUP(MONTH($H596)/3,0))</f>
        <v/>
      </c>
      <c r="S596" s="1" t="str">
        <f aca="false">IF($C596="","",$C596&amp;"|"&amp;$E596&amp;"|"&amp;$F596&amp;"|"&amp;$L596&amp;"|"&amp;$P596&amp;"|"&amp;TEXT($H596,"yyyy-mm-dd"))</f>
        <v/>
      </c>
      <c r="T596" s="1" t="str">
        <f aca="false">IF($S596="","",IF(COUNTIF($S$2:$S$2991,$S596)&gt;1,"DUPLICATE","OK"))</f>
        <v/>
      </c>
      <c r="U596" s="0" t="str">
        <f aca="false">IF($L596="","",IFERROR(VLOOKUP(--$L596,MM_Income!$Z$5:$AC$204,3,FALSE()),"UNMAPPED"))</f>
        <v/>
      </c>
    </row>
    <row r="597" customFormat="false" ht="13.5" hidden="false" customHeight="false" outlineLevel="0" collapsed="false">
      <c r="A597" s="1" t="str">
        <f aca="false">IF($C597="","",Controls!$B$7)</f>
        <v/>
      </c>
      <c r="B597" s="1" t="str">
        <f aca="false">IF($H597="","",YEAR($H597)&amp;"-Q"&amp;ROUNDUP(MONTH($H597)/3,0))</f>
        <v/>
      </c>
      <c r="S597" s="1" t="str">
        <f aca="false">IF($C597="","",$C597&amp;"|"&amp;$E597&amp;"|"&amp;$F597&amp;"|"&amp;$L597&amp;"|"&amp;$P597&amp;"|"&amp;TEXT($H597,"yyyy-mm-dd"))</f>
        <v/>
      </c>
      <c r="T597" s="1" t="str">
        <f aca="false">IF($S597="","",IF(COUNTIF($S$2:$S$2991,$S597)&gt;1,"DUPLICATE","OK"))</f>
        <v/>
      </c>
      <c r="U597" s="0" t="str">
        <f aca="false">IF($L597="","",IFERROR(VLOOKUP(--$L597,MM_Income!$Z$5:$AC$204,3,FALSE()),"UNMAPPED"))</f>
        <v/>
      </c>
    </row>
    <row r="598" customFormat="false" ht="13.5" hidden="false" customHeight="false" outlineLevel="0" collapsed="false">
      <c r="A598" s="1" t="str">
        <f aca="false">IF($C598="","",Controls!$B$7)</f>
        <v/>
      </c>
      <c r="B598" s="1" t="str">
        <f aca="false">IF($H598="","",YEAR($H598)&amp;"-Q"&amp;ROUNDUP(MONTH($H598)/3,0))</f>
        <v/>
      </c>
      <c r="S598" s="1" t="str">
        <f aca="false">IF($C598="","",$C598&amp;"|"&amp;$E598&amp;"|"&amp;$F598&amp;"|"&amp;$L598&amp;"|"&amp;$P598&amp;"|"&amp;TEXT($H598,"yyyy-mm-dd"))</f>
        <v/>
      </c>
      <c r="T598" s="1" t="str">
        <f aca="false">IF($S598="","",IF(COUNTIF($S$2:$S$2991,$S598)&gt;1,"DUPLICATE","OK"))</f>
        <v/>
      </c>
      <c r="U598" s="0" t="str">
        <f aca="false">IF($L598="","",IFERROR(VLOOKUP(--$L598,MM_Income!$Z$5:$AC$204,3,FALSE()),"UNMAPPED"))</f>
        <v/>
      </c>
    </row>
    <row r="599" customFormat="false" ht="13.5" hidden="false" customHeight="false" outlineLevel="0" collapsed="false">
      <c r="A599" s="1" t="str">
        <f aca="false">IF($C599="","",Controls!$B$7)</f>
        <v/>
      </c>
      <c r="B599" s="1" t="str">
        <f aca="false">IF($H599="","",YEAR($H599)&amp;"-Q"&amp;ROUNDUP(MONTH($H599)/3,0))</f>
        <v/>
      </c>
      <c r="S599" s="1" t="str">
        <f aca="false">IF($C599="","",$C599&amp;"|"&amp;$E599&amp;"|"&amp;$F599&amp;"|"&amp;$L599&amp;"|"&amp;$P599&amp;"|"&amp;TEXT($H599,"yyyy-mm-dd"))</f>
        <v/>
      </c>
      <c r="T599" s="1" t="str">
        <f aca="false">IF($S599="","",IF(COUNTIF($S$2:$S$2991,$S599)&gt;1,"DUPLICATE","OK"))</f>
        <v/>
      </c>
      <c r="U599" s="0" t="str">
        <f aca="false">IF($L599="","",IFERROR(VLOOKUP(--$L599,MM_Income!$Z$5:$AC$204,3,FALSE()),"UNMAPPED"))</f>
        <v/>
      </c>
    </row>
    <row r="600" customFormat="false" ht="13.5" hidden="false" customHeight="false" outlineLevel="0" collapsed="false">
      <c r="A600" s="1" t="str">
        <f aca="false">IF($C600="","",Controls!$B$7)</f>
        <v/>
      </c>
      <c r="B600" s="1" t="str">
        <f aca="false">IF($H600="","",YEAR($H600)&amp;"-Q"&amp;ROUNDUP(MONTH($H600)/3,0))</f>
        <v/>
      </c>
      <c r="S600" s="1" t="str">
        <f aca="false">IF($C600="","",$C600&amp;"|"&amp;$E600&amp;"|"&amp;$F600&amp;"|"&amp;$L600&amp;"|"&amp;$P600&amp;"|"&amp;TEXT($H600,"yyyy-mm-dd"))</f>
        <v/>
      </c>
      <c r="T600" s="1" t="str">
        <f aca="false">IF($S600="","",IF(COUNTIF($S$2:$S$2991,$S600)&gt;1,"DUPLICATE","OK"))</f>
        <v/>
      </c>
      <c r="U600" s="0" t="str">
        <f aca="false">IF($L600="","",IFERROR(VLOOKUP(--$L600,MM_Income!$Z$5:$AC$204,3,FALSE()),"UNMAPPED"))</f>
        <v/>
      </c>
    </row>
    <row r="601" customFormat="false" ht="13.5" hidden="false" customHeight="false" outlineLevel="0" collapsed="false">
      <c r="A601" s="1" t="str">
        <f aca="false">IF($C601="","",Controls!$B$7)</f>
        <v/>
      </c>
      <c r="B601" s="1" t="str">
        <f aca="false">IF($H601="","",YEAR($H601)&amp;"-Q"&amp;ROUNDUP(MONTH($H601)/3,0))</f>
        <v/>
      </c>
      <c r="S601" s="1" t="str">
        <f aca="false">IF($C601="","",$C601&amp;"|"&amp;$E601&amp;"|"&amp;$F601&amp;"|"&amp;$L601&amp;"|"&amp;$P601&amp;"|"&amp;TEXT($H601,"yyyy-mm-dd"))</f>
        <v/>
      </c>
      <c r="T601" s="1" t="str">
        <f aca="false">IF($S601="","",IF(COUNTIF($S$2:$S$2991,$S601)&gt;1,"DUPLICATE","OK"))</f>
        <v/>
      </c>
      <c r="U601" s="0" t="str">
        <f aca="false">IF($L601="","",IFERROR(VLOOKUP(--$L601,MM_Income!$Z$5:$AC$204,3,FALSE()),"UNMAPPED"))</f>
        <v/>
      </c>
    </row>
    <row r="602" customFormat="false" ht="13.5" hidden="false" customHeight="false" outlineLevel="0" collapsed="false">
      <c r="A602" s="1" t="str">
        <f aca="false">IF($C602="","",Controls!$B$7)</f>
        <v/>
      </c>
      <c r="B602" s="1" t="str">
        <f aca="false">IF($H602="","",YEAR($H602)&amp;"-Q"&amp;ROUNDUP(MONTH($H602)/3,0))</f>
        <v/>
      </c>
      <c r="S602" s="1" t="str">
        <f aca="false">IF($C602="","",$C602&amp;"|"&amp;$E602&amp;"|"&amp;$F602&amp;"|"&amp;$L602&amp;"|"&amp;$P602&amp;"|"&amp;TEXT($H602,"yyyy-mm-dd"))</f>
        <v/>
      </c>
      <c r="T602" s="1" t="str">
        <f aca="false">IF($S602="","",IF(COUNTIF($S$2:$S$2991,$S602)&gt;1,"DUPLICATE","OK"))</f>
        <v/>
      </c>
      <c r="U602" s="0" t="str">
        <f aca="false">IF($L602="","",IFERROR(VLOOKUP(--$L602,MM_Income!$Z$5:$AC$204,3,FALSE()),"UNMAPPED"))</f>
        <v/>
      </c>
    </row>
    <row r="603" customFormat="false" ht="13.5" hidden="false" customHeight="false" outlineLevel="0" collapsed="false">
      <c r="A603" s="1" t="str">
        <f aca="false">IF($C603="","",Controls!$B$7)</f>
        <v/>
      </c>
      <c r="B603" s="1" t="str">
        <f aca="false">IF($H603="","",YEAR($H603)&amp;"-Q"&amp;ROUNDUP(MONTH($H603)/3,0))</f>
        <v/>
      </c>
      <c r="S603" s="1" t="str">
        <f aca="false">IF($C603="","",$C603&amp;"|"&amp;$E603&amp;"|"&amp;$F603&amp;"|"&amp;$L603&amp;"|"&amp;$P603&amp;"|"&amp;TEXT($H603,"yyyy-mm-dd"))</f>
        <v/>
      </c>
      <c r="T603" s="1" t="str">
        <f aca="false">IF($S603="","",IF(COUNTIF($S$2:$S$2991,$S603)&gt;1,"DUPLICATE","OK"))</f>
        <v/>
      </c>
      <c r="U603" s="0" t="str">
        <f aca="false">IF($L603="","",IFERROR(VLOOKUP(--$L603,MM_Income!$Z$5:$AC$204,3,FALSE()),"UNMAPPED"))</f>
        <v/>
      </c>
    </row>
    <row r="604" customFormat="false" ht="13.5" hidden="false" customHeight="false" outlineLevel="0" collapsed="false">
      <c r="A604" s="1" t="str">
        <f aca="false">IF($C604="","",Controls!$B$7)</f>
        <v/>
      </c>
      <c r="B604" s="1" t="str">
        <f aca="false">IF($H604="","",YEAR($H604)&amp;"-Q"&amp;ROUNDUP(MONTH($H604)/3,0))</f>
        <v/>
      </c>
      <c r="S604" s="1" t="str">
        <f aca="false">IF($C604="","",$C604&amp;"|"&amp;$E604&amp;"|"&amp;$F604&amp;"|"&amp;$L604&amp;"|"&amp;$P604&amp;"|"&amp;TEXT($H604,"yyyy-mm-dd"))</f>
        <v/>
      </c>
      <c r="T604" s="1" t="str">
        <f aca="false">IF($S604="","",IF(COUNTIF($S$2:$S$2991,$S604)&gt;1,"DUPLICATE","OK"))</f>
        <v/>
      </c>
      <c r="U604" s="0" t="str">
        <f aca="false">IF($L604="","",IFERROR(VLOOKUP(--$L604,MM_Income!$Z$5:$AC$204,3,FALSE()),"UNMAPPED"))</f>
        <v/>
      </c>
    </row>
    <row r="605" customFormat="false" ht="13.5" hidden="false" customHeight="false" outlineLevel="0" collapsed="false">
      <c r="A605" s="1" t="str">
        <f aca="false">IF($C605="","",Controls!$B$7)</f>
        <v/>
      </c>
      <c r="B605" s="1" t="str">
        <f aca="false">IF($H605="","",YEAR($H605)&amp;"-Q"&amp;ROUNDUP(MONTH($H605)/3,0))</f>
        <v/>
      </c>
      <c r="S605" s="1" t="str">
        <f aca="false">IF($C605="","",$C605&amp;"|"&amp;$E605&amp;"|"&amp;$F605&amp;"|"&amp;$L605&amp;"|"&amp;$P605&amp;"|"&amp;TEXT($H605,"yyyy-mm-dd"))</f>
        <v/>
      </c>
      <c r="T605" s="1" t="str">
        <f aca="false">IF($S605="","",IF(COUNTIF($S$2:$S$2991,$S605)&gt;1,"DUPLICATE","OK"))</f>
        <v/>
      </c>
      <c r="U605" s="0" t="str">
        <f aca="false">IF($L605="","",IFERROR(VLOOKUP(--$L605,MM_Income!$Z$5:$AC$204,3,FALSE()),"UNMAPPED"))</f>
        <v/>
      </c>
    </row>
    <row r="606" customFormat="false" ht="13.5" hidden="false" customHeight="false" outlineLevel="0" collapsed="false">
      <c r="A606" s="1" t="str">
        <f aca="false">IF($C606="","",Controls!$B$7)</f>
        <v/>
      </c>
      <c r="B606" s="1" t="str">
        <f aca="false">IF($H606="","",YEAR($H606)&amp;"-Q"&amp;ROUNDUP(MONTH($H606)/3,0))</f>
        <v/>
      </c>
      <c r="S606" s="1" t="str">
        <f aca="false">IF($C606="","",$C606&amp;"|"&amp;$E606&amp;"|"&amp;$F606&amp;"|"&amp;$L606&amp;"|"&amp;$P606&amp;"|"&amp;TEXT($H606,"yyyy-mm-dd"))</f>
        <v/>
      </c>
      <c r="T606" s="1" t="str">
        <f aca="false">IF($S606="","",IF(COUNTIF($S$2:$S$2991,$S606)&gt;1,"DUPLICATE","OK"))</f>
        <v/>
      </c>
      <c r="U606" s="0" t="str">
        <f aca="false">IF($L606="","",IFERROR(VLOOKUP(--$L606,MM_Income!$Z$5:$AC$204,3,FALSE()),"UNMAPPED"))</f>
        <v/>
      </c>
    </row>
    <row r="607" customFormat="false" ht="13.5" hidden="false" customHeight="false" outlineLevel="0" collapsed="false">
      <c r="A607" s="1" t="str">
        <f aca="false">IF($C607="","",Controls!$B$7)</f>
        <v/>
      </c>
      <c r="B607" s="1" t="str">
        <f aca="false">IF($H607="","",YEAR($H607)&amp;"-Q"&amp;ROUNDUP(MONTH($H607)/3,0))</f>
        <v/>
      </c>
      <c r="S607" s="1" t="str">
        <f aca="false">IF($C607="","",$C607&amp;"|"&amp;$E607&amp;"|"&amp;$F607&amp;"|"&amp;$L607&amp;"|"&amp;$P607&amp;"|"&amp;TEXT($H607,"yyyy-mm-dd"))</f>
        <v/>
      </c>
      <c r="T607" s="1" t="str">
        <f aca="false">IF($S607="","",IF(COUNTIF($S$2:$S$2991,$S607)&gt;1,"DUPLICATE","OK"))</f>
        <v/>
      </c>
      <c r="U607" s="0" t="str">
        <f aca="false">IF($L607="","",IFERROR(VLOOKUP(--$L607,MM_Income!$Z$5:$AC$204,3,FALSE()),"UNMAPPED"))</f>
        <v/>
      </c>
    </row>
    <row r="608" customFormat="false" ht="13.5" hidden="false" customHeight="false" outlineLevel="0" collapsed="false">
      <c r="A608" s="1" t="str">
        <f aca="false">IF($C608="","",Controls!$B$7)</f>
        <v/>
      </c>
      <c r="B608" s="1" t="str">
        <f aca="false">IF($H608="","",YEAR($H608)&amp;"-Q"&amp;ROUNDUP(MONTH($H608)/3,0))</f>
        <v/>
      </c>
      <c r="S608" s="1" t="str">
        <f aca="false">IF($C608="","",$C608&amp;"|"&amp;$E608&amp;"|"&amp;$F608&amp;"|"&amp;$L608&amp;"|"&amp;$P608&amp;"|"&amp;TEXT($H608,"yyyy-mm-dd"))</f>
        <v/>
      </c>
      <c r="T608" s="1" t="str">
        <f aca="false">IF($S608="","",IF(COUNTIF($S$2:$S$2991,$S608)&gt;1,"DUPLICATE","OK"))</f>
        <v/>
      </c>
      <c r="U608" s="0" t="str">
        <f aca="false">IF($L608="","",IFERROR(VLOOKUP(--$L608,MM_Income!$Z$5:$AC$204,3,FALSE()),"UNMAPPED"))</f>
        <v/>
      </c>
    </row>
    <row r="609" customFormat="false" ht="13.5" hidden="false" customHeight="false" outlineLevel="0" collapsed="false">
      <c r="A609" s="1" t="str">
        <f aca="false">IF($C609="","",Controls!$B$7)</f>
        <v/>
      </c>
      <c r="B609" s="1" t="str">
        <f aca="false">IF($H609="","",YEAR($H609)&amp;"-Q"&amp;ROUNDUP(MONTH($H609)/3,0))</f>
        <v/>
      </c>
      <c r="S609" s="1" t="str">
        <f aca="false">IF($C609="","",$C609&amp;"|"&amp;$E609&amp;"|"&amp;$F609&amp;"|"&amp;$L609&amp;"|"&amp;$P609&amp;"|"&amp;TEXT($H609,"yyyy-mm-dd"))</f>
        <v/>
      </c>
      <c r="T609" s="1" t="str">
        <f aca="false">IF($S609="","",IF(COUNTIF($S$2:$S$2991,$S609)&gt;1,"DUPLICATE","OK"))</f>
        <v/>
      </c>
      <c r="U609" s="0" t="str">
        <f aca="false">IF($L609="","",IFERROR(VLOOKUP(--$L609,MM_Income!$Z$5:$AC$204,3,FALSE()),"UNMAPPED"))</f>
        <v/>
      </c>
    </row>
    <row r="610" customFormat="false" ht="13.5" hidden="false" customHeight="false" outlineLevel="0" collapsed="false">
      <c r="A610" s="1" t="str">
        <f aca="false">IF($C610="","",Controls!$B$7)</f>
        <v/>
      </c>
      <c r="B610" s="1" t="str">
        <f aca="false">IF($H610="","",YEAR($H610)&amp;"-Q"&amp;ROUNDUP(MONTH($H610)/3,0))</f>
        <v/>
      </c>
      <c r="S610" s="1" t="str">
        <f aca="false">IF($C610="","",$C610&amp;"|"&amp;$E610&amp;"|"&amp;$F610&amp;"|"&amp;$L610&amp;"|"&amp;$P610&amp;"|"&amp;TEXT($H610,"yyyy-mm-dd"))</f>
        <v/>
      </c>
      <c r="T610" s="1" t="str">
        <f aca="false">IF($S610="","",IF(COUNTIF($S$2:$S$2991,$S610)&gt;1,"DUPLICATE","OK"))</f>
        <v/>
      </c>
      <c r="U610" s="0" t="str">
        <f aca="false">IF($L610="","",IFERROR(VLOOKUP(--$L610,MM_Income!$Z$5:$AC$204,3,FALSE()),"UNMAPPED"))</f>
        <v/>
      </c>
    </row>
    <row r="611" customFormat="false" ht="13.5" hidden="false" customHeight="false" outlineLevel="0" collapsed="false">
      <c r="A611" s="1" t="str">
        <f aca="false">IF($C611="","",Controls!$B$7)</f>
        <v/>
      </c>
      <c r="B611" s="1" t="str">
        <f aca="false">IF($H611="","",YEAR($H611)&amp;"-Q"&amp;ROUNDUP(MONTH($H611)/3,0))</f>
        <v/>
      </c>
      <c r="S611" s="1" t="str">
        <f aca="false">IF($C611="","",$C611&amp;"|"&amp;$E611&amp;"|"&amp;$F611&amp;"|"&amp;$L611&amp;"|"&amp;$P611&amp;"|"&amp;TEXT($H611,"yyyy-mm-dd"))</f>
        <v/>
      </c>
      <c r="T611" s="1" t="str">
        <f aca="false">IF($S611="","",IF(COUNTIF($S$2:$S$2991,$S611)&gt;1,"DUPLICATE","OK"))</f>
        <v/>
      </c>
      <c r="U611" s="0" t="str">
        <f aca="false">IF($L611="","",IFERROR(VLOOKUP(--$L611,MM_Income!$Z$5:$AC$204,3,FALSE()),"UNMAPPED"))</f>
        <v/>
      </c>
    </row>
    <row r="612" customFormat="false" ht="13.5" hidden="false" customHeight="false" outlineLevel="0" collapsed="false">
      <c r="A612" s="1" t="str">
        <f aca="false">IF($C612="","",Controls!$B$7)</f>
        <v/>
      </c>
      <c r="B612" s="1" t="str">
        <f aca="false">IF($H612="","",YEAR($H612)&amp;"-Q"&amp;ROUNDUP(MONTH($H612)/3,0))</f>
        <v/>
      </c>
      <c r="S612" s="1" t="str">
        <f aca="false">IF($C612="","",$C612&amp;"|"&amp;$E612&amp;"|"&amp;$F612&amp;"|"&amp;$L612&amp;"|"&amp;$P612&amp;"|"&amp;TEXT($H612,"yyyy-mm-dd"))</f>
        <v/>
      </c>
      <c r="T612" s="1" t="str">
        <f aca="false">IF($S612="","",IF(COUNTIF($S$2:$S$2991,$S612)&gt;1,"DUPLICATE","OK"))</f>
        <v/>
      </c>
      <c r="U612" s="0" t="str">
        <f aca="false">IF($L612="","",IFERROR(VLOOKUP(--$L612,MM_Income!$Z$5:$AC$204,3,FALSE()),"UNMAPPED"))</f>
        <v/>
      </c>
    </row>
    <row r="613" customFormat="false" ht="13.5" hidden="false" customHeight="false" outlineLevel="0" collapsed="false">
      <c r="A613" s="1" t="str">
        <f aca="false">IF($C613="","",Controls!$B$7)</f>
        <v/>
      </c>
      <c r="B613" s="1" t="str">
        <f aca="false">IF($H613="","",YEAR($H613)&amp;"-Q"&amp;ROUNDUP(MONTH($H613)/3,0))</f>
        <v/>
      </c>
      <c r="S613" s="1" t="str">
        <f aca="false">IF($C613="","",$C613&amp;"|"&amp;$E613&amp;"|"&amp;$F613&amp;"|"&amp;$L613&amp;"|"&amp;$P613&amp;"|"&amp;TEXT($H613,"yyyy-mm-dd"))</f>
        <v/>
      </c>
      <c r="T613" s="1" t="str">
        <f aca="false">IF($S613="","",IF(COUNTIF($S$2:$S$2991,$S613)&gt;1,"DUPLICATE","OK"))</f>
        <v/>
      </c>
      <c r="U613" s="0" t="str">
        <f aca="false">IF($L613="","",IFERROR(VLOOKUP(--$L613,MM_Income!$Z$5:$AC$204,3,FALSE()),"UNMAPPED"))</f>
        <v/>
      </c>
    </row>
    <row r="614" customFormat="false" ht="13.5" hidden="false" customHeight="false" outlineLevel="0" collapsed="false">
      <c r="A614" s="1" t="str">
        <f aca="false">IF($C614="","",Controls!$B$7)</f>
        <v/>
      </c>
      <c r="B614" s="1" t="str">
        <f aca="false">IF($H614="","",YEAR($H614)&amp;"-Q"&amp;ROUNDUP(MONTH($H614)/3,0))</f>
        <v/>
      </c>
      <c r="S614" s="1" t="str">
        <f aca="false">IF($C614="","",$C614&amp;"|"&amp;$E614&amp;"|"&amp;$F614&amp;"|"&amp;$L614&amp;"|"&amp;$P614&amp;"|"&amp;TEXT($H614,"yyyy-mm-dd"))</f>
        <v/>
      </c>
      <c r="T614" s="1" t="str">
        <f aca="false">IF($S614="","",IF(COUNTIF($S$2:$S$2991,$S614)&gt;1,"DUPLICATE","OK"))</f>
        <v/>
      </c>
      <c r="U614" s="0" t="str">
        <f aca="false">IF($L614="","",IFERROR(VLOOKUP(--$L614,MM_Income!$Z$5:$AC$204,3,FALSE()),"UNMAPPED"))</f>
        <v/>
      </c>
    </row>
    <row r="615" customFormat="false" ht="13.5" hidden="false" customHeight="false" outlineLevel="0" collapsed="false">
      <c r="A615" s="1" t="str">
        <f aca="false">IF($C615="","",Controls!$B$7)</f>
        <v/>
      </c>
      <c r="B615" s="1" t="str">
        <f aca="false">IF($H615="","",YEAR($H615)&amp;"-Q"&amp;ROUNDUP(MONTH($H615)/3,0))</f>
        <v/>
      </c>
      <c r="S615" s="1" t="str">
        <f aca="false">IF($C615="","",$C615&amp;"|"&amp;$E615&amp;"|"&amp;$F615&amp;"|"&amp;$L615&amp;"|"&amp;$P615&amp;"|"&amp;TEXT($H615,"yyyy-mm-dd"))</f>
        <v/>
      </c>
      <c r="T615" s="1" t="str">
        <f aca="false">IF($S615="","",IF(COUNTIF($S$2:$S$2991,$S615)&gt;1,"DUPLICATE","OK"))</f>
        <v/>
      </c>
      <c r="U615" s="0" t="str">
        <f aca="false">IF($L615="","",IFERROR(VLOOKUP(--$L615,MM_Income!$Z$5:$AC$204,3,FALSE()),"UNMAPPED"))</f>
        <v/>
      </c>
    </row>
    <row r="616" customFormat="false" ht="13.5" hidden="false" customHeight="false" outlineLevel="0" collapsed="false">
      <c r="A616" s="1" t="str">
        <f aca="false">IF($C616="","",Controls!$B$7)</f>
        <v/>
      </c>
      <c r="B616" s="1" t="str">
        <f aca="false">IF($H616="","",YEAR($H616)&amp;"-Q"&amp;ROUNDUP(MONTH($H616)/3,0))</f>
        <v/>
      </c>
      <c r="S616" s="1" t="str">
        <f aca="false">IF($C616="","",$C616&amp;"|"&amp;$E616&amp;"|"&amp;$F616&amp;"|"&amp;$L616&amp;"|"&amp;$P616&amp;"|"&amp;TEXT($H616,"yyyy-mm-dd"))</f>
        <v/>
      </c>
      <c r="T616" s="1" t="str">
        <f aca="false">IF($S616="","",IF(COUNTIF($S$2:$S$2991,$S616)&gt;1,"DUPLICATE","OK"))</f>
        <v/>
      </c>
      <c r="U616" s="0" t="str">
        <f aca="false">IF($L616="","",IFERROR(VLOOKUP(--$L616,MM_Income!$Z$5:$AC$204,3,FALSE()),"UNMAPPED"))</f>
        <v/>
      </c>
    </row>
    <row r="617" customFormat="false" ht="13.5" hidden="false" customHeight="false" outlineLevel="0" collapsed="false">
      <c r="A617" s="1" t="str">
        <f aca="false">IF($C617="","",Controls!$B$7)</f>
        <v/>
      </c>
      <c r="B617" s="1" t="str">
        <f aca="false">IF($H617="","",YEAR($H617)&amp;"-Q"&amp;ROUNDUP(MONTH($H617)/3,0))</f>
        <v/>
      </c>
      <c r="S617" s="1" t="str">
        <f aca="false">IF($C617="","",$C617&amp;"|"&amp;$E617&amp;"|"&amp;$F617&amp;"|"&amp;$L617&amp;"|"&amp;$P617&amp;"|"&amp;TEXT($H617,"yyyy-mm-dd"))</f>
        <v/>
      </c>
      <c r="T617" s="1" t="str">
        <f aca="false">IF($S617="","",IF(COUNTIF($S$2:$S$2991,$S617)&gt;1,"DUPLICATE","OK"))</f>
        <v/>
      </c>
      <c r="U617" s="0" t="str">
        <f aca="false">IF($L617="","",IFERROR(VLOOKUP(--$L617,MM_Income!$Z$5:$AC$204,3,FALSE()),"UNMAPPED"))</f>
        <v/>
      </c>
    </row>
    <row r="618" customFormat="false" ht="13.5" hidden="false" customHeight="false" outlineLevel="0" collapsed="false">
      <c r="A618" s="1" t="str">
        <f aca="false">IF($C618="","",Controls!$B$7)</f>
        <v/>
      </c>
      <c r="B618" s="1" t="str">
        <f aca="false">IF($H618="","",YEAR($H618)&amp;"-Q"&amp;ROUNDUP(MONTH($H618)/3,0))</f>
        <v/>
      </c>
      <c r="S618" s="1" t="str">
        <f aca="false">IF($C618="","",$C618&amp;"|"&amp;$E618&amp;"|"&amp;$F618&amp;"|"&amp;$L618&amp;"|"&amp;$P618&amp;"|"&amp;TEXT($H618,"yyyy-mm-dd"))</f>
        <v/>
      </c>
      <c r="T618" s="1" t="str">
        <f aca="false">IF($S618="","",IF(COUNTIF($S$2:$S$2991,$S618)&gt;1,"DUPLICATE","OK"))</f>
        <v/>
      </c>
      <c r="U618" s="0" t="str">
        <f aca="false">IF($L618="","",IFERROR(VLOOKUP(--$L618,MM_Income!$Z$5:$AC$204,3,FALSE()),"UNMAPPED"))</f>
        <v/>
      </c>
    </row>
    <row r="619" customFormat="false" ht="13.5" hidden="false" customHeight="false" outlineLevel="0" collapsed="false">
      <c r="A619" s="1" t="str">
        <f aca="false">IF($C619="","",Controls!$B$7)</f>
        <v/>
      </c>
      <c r="B619" s="1" t="str">
        <f aca="false">IF($H619="","",YEAR($H619)&amp;"-Q"&amp;ROUNDUP(MONTH($H619)/3,0))</f>
        <v/>
      </c>
      <c r="S619" s="1" t="str">
        <f aca="false">IF($C619="","",$C619&amp;"|"&amp;$E619&amp;"|"&amp;$F619&amp;"|"&amp;$L619&amp;"|"&amp;$P619&amp;"|"&amp;TEXT($H619,"yyyy-mm-dd"))</f>
        <v/>
      </c>
      <c r="T619" s="1" t="str">
        <f aca="false">IF($S619="","",IF(COUNTIF($S$2:$S$2991,$S619)&gt;1,"DUPLICATE","OK"))</f>
        <v/>
      </c>
      <c r="U619" s="0" t="str">
        <f aca="false">IF($L619="","",IFERROR(VLOOKUP(--$L619,MM_Income!$Z$5:$AC$204,3,FALSE()),"UNMAPPED"))</f>
        <v/>
      </c>
    </row>
    <row r="620" customFormat="false" ht="13.5" hidden="false" customHeight="false" outlineLevel="0" collapsed="false">
      <c r="A620" s="1" t="str">
        <f aca="false">IF($C620="","",Controls!$B$7)</f>
        <v/>
      </c>
      <c r="B620" s="1" t="str">
        <f aca="false">IF($H620="","",YEAR($H620)&amp;"-Q"&amp;ROUNDUP(MONTH($H620)/3,0))</f>
        <v/>
      </c>
      <c r="S620" s="1" t="str">
        <f aca="false">IF($C620="","",$C620&amp;"|"&amp;$E620&amp;"|"&amp;$F620&amp;"|"&amp;$L620&amp;"|"&amp;$P620&amp;"|"&amp;TEXT($H620,"yyyy-mm-dd"))</f>
        <v/>
      </c>
      <c r="T620" s="1" t="str">
        <f aca="false">IF($S620="","",IF(COUNTIF($S$2:$S$2991,$S620)&gt;1,"DUPLICATE","OK"))</f>
        <v/>
      </c>
      <c r="U620" s="0" t="str">
        <f aca="false">IF($L620="","",IFERROR(VLOOKUP(--$L620,MM_Income!$Z$5:$AC$204,3,FALSE()),"UNMAPPED"))</f>
        <v/>
      </c>
    </row>
    <row r="621" customFormat="false" ht="13.5" hidden="false" customHeight="false" outlineLevel="0" collapsed="false">
      <c r="A621" s="1" t="str">
        <f aca="false">IF($C621="","",Controls!$B$7)</f>
        <v/>
      </c>
      <c r="B621" s="1" t="str">
        <f aca="false">IF($H621="","",YEAR($H621)&amp;"-Q"&amp;ROUNDUP(MONTH($H621)/3,0))</f>
        <v/>
      </c>
      <c r="S621" s="1" t="str">
        <f aca="false">IF($C621="","",$C621&amp;"|"&amp;$E621&amp;"|"&amp;$F621&amp;"|"&amp;$L621&amp;"|"&amp;$P621&amp;"|"&amp;TEXT($H621,"yyyy-mm-dd"))</f>
        <v/>
      </c>
      <c r="T621" s="1" t="str">
        <f aca="false">IF($S621="","",IF(COUNTIF($S$2:$S$2991,$S621)&gt;1,"DUPLICATE","OK"))</f>
        <v/>
      </c>
      <c r="U621" s="0" t="str">
        <f aca="false">IF($L621="","",IFERROR(VLOOKUP(--$L621,MM_Income!$Z$5:$AC$204,3,FALSE()),"UNMAPPED"))</f>
        <v/>
      </c>
    </row>
    <row r="622" customFormat="false" ht="13.5" hidden="false" customHeight="false" outlineLevel="0" collapsed="false">
      <c r="A622" s="1" t="str">
        <f aca="false">IF($C622="","",Controls!$B$7)</f>
        <v/>
      </c>
      <c r="B622" s="1" t="str">
        <f aca="false">IF($H622="","",YEAR($H622)&amp;"-Q"&amp;ROUNDUP(MONTH($H622)/3,0))</f>
        <v/>
      </c>
      <c r="S622" s="1" t="str">
        <f aca="false">IF($C622="","",$C622&amp;"|"&amp;$E622&amp;"|"&amp;$F622&amp;"|"&amp;$L622&amp;"|"&amp;$P622&amp;"|"&amp;TEXT($H622,"yyyy-mm-dd"))</f>
        <v/>
      </c>
      <c r="T622" s="1" t="str">
        <f aca="false">IF($S622="","",IF(COUNTIF($S$2:$S$2991,$S622)&gt;1,"DUPLICATE","OK"))</f>
        <v/>
      </c>
      <c r="U622" s="0" t="str">
        <f aca="false">IF($L622="","",IFERROR(VLOOKUP(--$L622,MM_Income!$Z$5:$AC$204,3,FALSE()),"UNMAPPED"))</f>
        <v/>
      </c>
    </row>
    <row r="623" customFormat="false" ht="13.5" hidden="false" customHeight="false" outlineLevel="0" collapsed="false">
      <c r="A623" s="1" t="str">
        <f aca="false">IF($C623="","",Controls!$B$7)</f>
        <v/>
      </c>
      <c r="B623" s="1" t="str">
        <f aca="false">IF($H623="","",YEAR($H623)&amp;"-Q"&amp;ROUNDUP(MONTH($H623)/3,0))</f>
        <v/>
      </c>
      <c r="S623" s="1" t="str">
        <f aca="false">IF($C623="","",$C623&amp;"|"&amp;$E623&amp;"|"&amp;$F623&amp;"|"&amp;$L623&amp;"|"&amp;$P623&amp;"|"&amp;TEXT($H623,"yyyy-mm-dd"))</f>
        <v/>
      </c>
      <c r="T623" s="1" t="str">
        <f aca="false">IF($S623="","",IF(COUNTIF($S$2:$S$2991,$S623)&gt;1,"DUPLICATE","OK"))</f>
        <v/>
      </c>
      <c r="U623" s="0" t="str">
        <f aca="false">IF($L623="","",IFERROR(VLOOKUP(--$L623,MM_Income!$Z$5:$AC$204,3,FALSE()),"UNMAPPED"))</f>
        <v/>
      </c>
    </row>
    <row r="624" customFormat="false" ht="13.5" hidden="false" customHeight="false" outlineLevel="0" collapsed="false">
      <c r="A624" s="1" t="str">
        <f aca="false">IF($C624="","",Controls!$B$7)</f>
        <v/>
      </c>
      <c r="B624" s="1" t="str">
        <f aca="false">IF($H624="","",YEAR($H624)&amp;"-Q"&amp;ROUNDUP(MONTH($H624)/3,0))</f>
        <v/>
      </c>
      <c r="S624" s="1" t="str">
        <f aca="false">IF($C624="","",$C624&amp;"|"&amp;$E624&amp;"|"&amp;$F624&amp;"|"&amp;$L624&amp;"|"&amp;$P624&amp;"|"&amp;TEXT($H624,"yyyy-mm-dd"))</f>
        <v/>
      </c>
      <c r="T624" s="1" t="str">
        <f aca="false">IF($S624="","",IF(COUNTIF($S$2:$S$2991,$S624)&gt;1,"DUPLICATE","OK"))</f>
        <v/>
      </c>
      <c r="U624" s="0" t="str">
        <f aca="false">IF($L624="","",IFERROR(VLOOKUP(--$L624,MM_Income!$Z$5:$AC$204,3,FALSE()),"UNMAPPED"))</f>
        <v/>
      </c>
    </row>
    <row r="625" customFormat="false" ht="13.5" hidden="false" customHeight="false" outlineLevel="0" collapsed="false">
      <c r="A625" s="1" t="str">
        <f aca="false">IF($C625="","",Controls!$B$7)</f>
        <v/>
      </c>
      <c r="B625" s="1" t="str">
        <f aca="false">IF($H625="","",YEAR($H625)&amp;"-Q"&amp;ROUNDUP(MONTH($H625)/3,0))</f>
        <v/>
      </c>
      <c r="S625" s="1" t="str">
        <f aca="false">IF($C625="","",$C625&amp;"|"&amp;$E625&amp;"|"&amp;$F625&amp;"|"&amp;$L625&amp;"|"&amp;$P625&amp;"|"&amp;TEXT($H625,"yyyy-mm-dd"))</f>
        <v/>
      </c>
      <c r="T625" s="1" t="str">
        <f aca="false">IF($S625="","",IF(COUNTIF($S$2:$S$2991,$S625)&gt;1,"DUPLICATE","OK"))</f>
        <v/>
      </c>
      <c r="U625" s="0" t="str">
        <f aca="false">IF($L625="","",IFERROR(VLOOKUP(--$L625,MM_Income!$Z$5:$AC$204,3,FALSE()),"UNMAPPED"))</f>
        <v/>
      </c>
    </row>
    <row r="626" customFormat="false" ht="13.5" hidden="false" customHeight="false" outlineLevel="0" collapsed="false">
      <c r="A626" s="1" t="str">
        <f aca="false">IF($C626="","",Controls!$B$7)</f>
        <v/>
      </c>
      <c r="B626" s="1" t="str">
        <f aca="false">IF($H626="","",YEAR($H626)&amp;"-Q"&amp;ROUNDUP(MONTH($H626)/3,0))</f>
        <v/>
      </c>
      <c r="S626" s="1" t="str">
        <f aca="false">IF($C626="","",$C626&amp;"|"&amp;$E626&amp;"|"&amp;$F626&amp;"|"&amp;$L626&amp;"|"&amp;$P626&amp;"|"&amp;TEXT($H626,"yyyy-mm-dd"))</f>
        <v/>
      </c>
      <c r="T626" s="1" t="str">
        <f aca="false">IF($S626="","",IF(COUNTIF($S$2:$S$2991,$S626)&gt;1,"DUPLICATE","OK"))</f>
        <v/>
      </c>
      <c r="U626" s="0" t="str">
        <f aca="false">IF($L626="","",IFERROR(VLOOKUP(--$L626,MM_Income!$Z$5:$AC$204,3,FALSE()),"UNMAPPED"))</f>
        <v/>
      </c>
    </row>
    <row r="627" customFormat="false" ht="13.5" hidden="false" customHeight="false" outlineLevel="0" collapsed="false">
      <c r="A627" s="1" t="str">
        <f aca="false">IF($C627="","",Controls!$B$7)</f>
        <v/>
      </c>
      <c r="B627" s="1" t="str">
        <f aca="false">IF($H627="","",YEAR($H627)&amp;"-Q"&amp;ROUNDUP(MONTH($H627)/3,0))</f>
        <v/>
      </c>
      <c r="S627" s="1" t="str">
        <f aca="false">IF($C627="","",$C627&amp;"|"&amp;$E627&amp;"|"&amp;$F627&amp;"|"&amp;$L627&amp;"|"&amp;$P627&amp;"|"&amp;TEXT($H627,"yyyy-mm-dd"))</f>
        <v/>
      </c>
      <c r="T627" s="1" t="str">
        <f aca="false">IF($S627="","",IF(COUNTIF($S$2:$S$2991,$S627)&gt;1,"DUPLICATE","OK"))</f>
        <v/>
      </c>
      <c r="U627" s="0" t="str">
        <f aca="false">IF($L627="","",IFERROR(VLOOKUP(--$L627,MM_Income!$Z$5:$AC$204,3,FALSE()),"UNMAPPED"))</f>
        <v/>
      </c>
    </row>
    <row r="628" customFormat="false" ht="13.5" hidden="false" customHeight="false" outlineLevel="0" collapsed="false">
      <c r="A628" s="1" t="str">
        <f aca="false">IF($C628="","",Controls!$B$7)</f>
        <v/>
      </c>
      <c r="B628" s="1" t="str">
        <f aca="false">IF($H628="","",YEAR($H628)&amp;"-Q"&amp;ROUNDUP(MONTH($H628)/3,0))</f>
        <v/>
      </c>
      <c r="S628" s="1" t="str">
        <f aca="false">IF($C628="","",$C628&amp;"|"&amp;$E628&amp;"|"&amp;$F628&amp;"|"&amp;$L628&amp;"|"&amp;$P628&amp;"|"&amp;TEXT($H628,"yyyy-mm-dd"))</f>
        <v/>
      </c>
      <c r="T628" s="1" t="str">
        <f aca="false">IF($S628="","",IF(COUNTIF($S$2:$S$2991,$S628)&gt;1,"DUPLICATE","OK"))</f>
        <v/>
      </c>
      <c r="U628" s="0" t="str">
        <f aca="false">IF($L628="","",IFERROR(VLOOKUP(--$L628,MM_Income!$Z$5:$AC$204,3,FALSE()),"UNMAPPED"))</f>
        <v/>
      </c>
    </row>
    <row r="629" customFormat="false" ht="13.5" hidden="false" customHeight="false" outlineLevel="0" collapsed="false">
      <c r="A629" s="1" t="str">
        <f aca="false">IF($C629="","",Controls!$B$7)</f>
        <v/>
      </c>
      <c r="B629" s="1" t="str">
        <f aca="false">IF($H629="","",YEAR($H629)&amp;"-Q"&amp;ROUNDUP(MONTH($H629)/3,0))</f>
        <v/>
      </c>
      <c r="S629" s="1" t="str">
        <f aca="false">IF($C629="","",$C629&amp;"|"&amp;$E629&amp;"|"&amp;$F629&amp;"|"&amp;$L629&amp;"|"&amp;$P629&amp;"|"&amp;TEXT($H629,"yyyy-mm-dd"))</f>
        <v/>
      </c>
      <c r="T629" s="1" t="str">
        <f aca="false">IF($S629="","",IF(COUNTIF($S$2:$S$2991,$S629)&gt;1,"DUPLICATE","OK"))</f>
        <v/>
      </c>
      <c r="U629" s="0" t="str">
        <f aca="false">IF($L629="","",IFERROR(VLOOKUP(--$L629,MM_Income!$Z$5:$AC$204,3,FALSE()),"UNMAPPED"))</f>
        <v/>
      </c>
    </row>
    <row r="630" customFormat="false" ht="13.5" hidden="false" customHeight="false" outlineLevel="0" collapsed="false">
      <c r="A630" s="1" t="str">
        <f aca="false">IF($C630="","",Controls!$B$7)</f>
        <v/>
      </c>
      <c r="B630" s="1" t="str">
        <f aca="false">IF($H630="","",YEAR($H630)&amp;"-Q"&amp;ROUNDUP(MONTH($H630)/3,0))</f>
        <v/>
      </c>
      <c r="S630" s="1" t="str">
        <f aca="false">IF($C630="","",$C630&amp;"|"&amp;$E630&amp;"|"&amp;$F630&amp;"|"&amp;$L630&amp;"|"&amp;$P630&amp;"|"&amp;TEXT($H630,"yyyy-mm-dd"))</f>
        <v/>
      </c>
      <c r="T630" s="1" t="str">
        <f aca="false">IF($S630="","",IF(COUNTIF($S$2:$S$2991,$S630)&gt;1,"DUPLICATE","OK"))</f>
        <v/>
      </c>
      <c r="U630" s="0" t="str">
        <f aca="false">IF($L630="","",IFERROR(VLOOKUP(--$L630,MM_Income!$Z$5:$AC$204,3,FALSE()),"UNMAPPED"))</f>
        <v/>
      </c>
    </row>
    <row r="631" customFormat="false" ht="13.5" hidden="false" customHeight="false" outlineLevel="0" collapsed="false">
      <c r="A631" s="1" t="str">
        <f aca="false">IF($C631="","",Controls!$B$7)</f>
        <v/>
      </c>
      <c r="B631" s="1" t="str">
        <f aca="false">IF($H631="","",YEAR($H631)&amp;"-Q"&amp;ROUNDUP(MONTH($H631)/3,0))</f>
        <v/>
      </c>
      <c r="S631" s="1" t="str">
        <f aca="false">IF($C631="","",$C631&amp;"|"&amp;$E631&amp;"|"&amp;$F631&amp;"|"&amp;$L631&amp;"|"&amp;$P631&amp;"|"&amp;TEXT($H631,"yyyy-mm-dd"))</f>
        <v/>
      </c>
      <c r="T631" s="1" t="str">
        <f aca="false">IF($S631="","",IF(COUNTIF($S$2:$S$2991,$S631)&gt;1,"DUPLICATE","OK"))</f>
        <v/>
      </c>
      <c r="U631" s="0" t="str">
        <f aca="false">IF($L631="","",IFERROR(VLOOKUP(--$L631,MM_Income!$Z$5:$AC$204,3,FALSE()),"UNMAPPED"))</f>
        <v/>
      </c>
    </row>
    <row r="632" customFormat="false" ht="13.5" hidden="false" customHeight="false" outlineLevel="0" collapsed="false">
      <c r="A632" s="1" t="str">
        <f aca="false">IF($C632="","",Controls!$B$7)</f>
        <v/>
      </c>
      <c r="B632" s="1" t="str">
        <f aca="false">IF($H632="","",YEAR($H632)&amp;"-Q"&amp;ROUNDUP(MONTH($H632)/3,0))</f>
        <v/>
      </c>
      <c r="S632" s="1" t="str">
        <f aca="false">IF($C632="","",$C632&amp;"|"&amp;$E632&amp;"|"&amp;$F632&amp;"|"&amp;$L632&amp;"|"&amp;$P632&amp;"|"&amp;TEXT($H632,"yyyy-mm-dd"))</f>
        <v/>
      </c>
      <c r="T632" s="1" t="str">
        <f aca="false">IF($S632="","",IF(COUNTIF($S$2:$S$2991,$S632)&gt;1,"DUPLICATE","OK"))</f>
        <v/>
      </c>
      <c r="U632" s="0" t="str">
        <f aca="false">IF($L632="","",IFERROR(VLOOKUP(--$L632,MM_Income!$Z$5:$AC$204,3,FALSE()),"UNMAPPED"))</f>
        <v/>
      </c>
    </row>
    <row r="633" customFormat="false" ht="13.5" hidden="false" customHeight="false" outlineLevel="0" collapsed="false">
      <c r="A633" s="1" t="str">
        <f aca="false">IF($C633="","",Controls!$B$7)</f>
        <v/>
      </c>
      <c r="B633" s="1" t="str">
        <f aca="false">IF($H633="","",YEAR($H633)&amp;"-Q"&amp;ROUNDUP(MONTH($H633)/3,0))</f>
        <v/>
      </c>
      <c r="S633" s="1" t="str">
        <f aca="false">IF($C633="","",$C633&amp;"|"&amp;$E633&amp;"|"&amp;$F633&amp;"|"&amp;$L633&amp;"|"&amp;$P633&amp;"|"&amp;TEXT($H633,"yyyy-mm-dd"))</f>
        <v/>
      </c>
      <c r="T633" s="1" t="str">
        <f aca="false">IF($S633="","",IF(COUNTIF($S$2:$S$2991,$S633)&gt;1,"DUPLICATE","OK"))</f>
        <v/>
      </c>
      <c r="U633" s="0" t="str">
        <f aca="false">IF($L633="","",IFERROR(VLOOKUP(--$L633,MM_Income!$Z$5:$AC$204,3,FALSE()),"UNMAPPED"))</f>
        <v/>
      </c>
    </row>
    <row r="634" customFormat="false" ht="13.5" hidden="false" customHeight="false" outlineLevel="0" collapsed="false">
      <c r="A634" s="1" t="str">
        <f aca="false">IF($C634="","",Controls!$B$7)</f>
        <v/>
      </c>
      <c r="B634" s="1" t="str">
        <f aca="false">IF($H634="","",YEAR($H634)&amp;"-Q"&amp;ROUNDUP(MONTH($H634)/3,0))</f>
        <v/>
      </c>
      <c r="S634" s="1" t="str">
        <f aca="false">IF($C634="","",$C634&amp;"|"&amp;$E634&amp;"|"&amp;$F634&amp;"|"&amp;$L634&amp;"|"&amp;$P634&amp;"|"&amp;TEXT($H634,"yyyy-mm-dd"))</f>
        <v/>
      </c>
      <c r="T634" s="1" t="str">
        <f aca="false">IF($S634="","",IF(COUNTIF($S$2:$S$2991,$S634)&gt;1,"DUPLICATE","OK"))</f>
        <v/>
      </c>
      <c r="U634" s="0" t="str">
        <f aca="false">IF($L634="","",IFERROR(VLOOKUP(--$L634,MM_Income!$Z$5:$AC$204,3,FALSE()),"UNMAPPED"))</f>
        <v/>
      </c>
    </row>
    <row r="635" customFormat="false" ht="13.5" hidden="false" customHeight="false" outlineLevel="0" collapsed="false">
      <c r="A635" s="1" t="str">
        <f aca="false">IF($C635="","",Controls!$B$7)</f>
        <v/>
      </c>
      <c r="B635" s="1" t="str">
        <f aca="false">IF($H635="","",YEAR($H635)&amp;"-Q"&amp;ROUNDUP(MONTH($H635)/3,0))</f>
        <v/>
      </c>
      <c r="S635" s="1" t="str">
        <f aca="false">IF($C635="","",$C635&amp;"|"&amp;$E635&amp;"|"&amp;$F635&amp;"|"&amp;$L635&amp;"|"&amp;$P635&amp;"|"&amp;TEXT($H635,"yyyy-mm-dd"))</f>
        <v/>
      </c>
      <c r="T635" s="1" t="str">
        <f aca="false">IF($S635="","",IF(COUNTIF($S$2:$S$2991,$S635)&gt;1,"DUPLICATE","OK"))</f>
        <v/>
      </c>
      <c r="U635" s="0" t="str">
        <f aca="false">IF($L635="","",IFERROR(VLOOKUP(--$L635,MM_Income!$Z$5:$AC$204,3,FALSE()),"UNMAPPED"))</f>
        <v/>
      </c>
    </row>
    <row r="636" customFormat="false" ht="13.5" hidden="false" customHeight="false" outlineLevel="0" collapsed="false">
      <c r="A636" s="1" t="str">
        <f aca="false">IF($C636="","",Controls!$B$7)</f>
        <v/>
      </c>
      <c r="B636" s="1" t="str">
        <f aca="false">IF($H636="","",YEAR($H636)&amp;"-Q"&amp;ROUNDUP(MONTH($H636)/3,0))</f>
        <v/>
      </c>
      <c r="S636" s="1" t="str">
        <f aca="false">IF($C636="","",$C636&amp;"|"&amp;$E636&amp;"|"&amp;$F636&amp;"|"&amp;$L636&amp;"|"&amp;$P636&amp;"|"&amp;TEXT($H636,"yyyy-mm-dd"))</f>
        <v/>
      </c>
      <c r="T636" s="1" t="str">
        <f aca="false">IF($S636="","",IF(COUNTIF($S$2:$S$2991,$S636)&gt;1,"DUPLICATE","OK"))</f>
        <v/>
      </c>
      <c r="U636" s="0" t="str">
        <f aca="false">IF($L636="","",IFERROR(VLOOKUP(--$L636,MM_Income!$Z$5:$AC$204,3,FALSE()),"UNMAPPED"))</f>
        <v/>
      </c>
    </row>
    <row r="637" customFormat="false" ht="13.5" hidden="false" customHeight="false" outlineLevel="0" collapsed="false">
      <c r="A637" s="1" t="str">
        <f aca="false">IF($C637="","",Controls!$B$7)</f>
        <v/>
      </c>
      <c r="B637" s="1" t="str">
        <f aca="false">IF($H637="","",YEAR($H637)&amp;"-Q"&amp;ROUNDUP(MONTH($H637)/3,0))</f>
        <v/>
      </c>
      <c r="S637" s="1" t="str">
        <f aca="false">IF($C637="","",$C637&amp;"|"&amp;$E637&amp;"|"&amp;$F637&amp;"|"&amp;$L637&amp;"|"&amp;$P637&amp;"|"&amp;TEXT($H637,"yyyy-mm-dd"))</f>
        <v/>
      </c>
      <c r="T637" s="1" t="str">
        <f aca="false">IF($S637="","",IF(COUNTIF($S$2:$S$2991,$S637)&gt;1,"DUPLICATE","OK"))</f>
        <v/>
      </c>
      <c r="U637" s="0" t="str">
        <f aca="false">IF($L637="","",IFERROR(VLOOKUP(--$L637,MM_Income!$Z$5:$AC$204,3,FALSE()),"UNMAPPED"))</f>
        <v/>
      </c>
    </row>
    <row r="638" customFormat="false" ht="13.5" hidden="false" customHeight="false" outlineLevel="0" collapsed="false">
      <c r="A638" s="1" t="str">
        <f aca="false">IF($C638="","",Controls!$B$7)</f>
        <v/>
      </c>
      <c r="B638" s="1" t="str">
        <f aca="false">IF($H638="","",YEAR($H638)&amp;"-Q"&amp;ROUNDUP(MONTH($H638)/3,0))</f>
        <v/>
      </c>
      <c r="S638" s="1" t="str">
        <f aca="false">IF($C638="","",$C638&amp;"|"&amp;$E638&amp;"|"&amp;$F638&amp;"|"&amp;$L638&amp;"|"&amp;$P638&amp;"|"&amp;TEXT($H638,"yyyy-mm-dd"))</f>
        <v/>
      </c>
      <c r="T638" s="1" t="str">
        <f aca="false">IF($S638="","",IF(COUNTIF($S$2:$S$2991,$S638)&gt;1,"DUPLICATE","OK"))</f>
        <v/>
      </c>
      <c r="U638" s="0" t="str">
        <f aca="false">IF($L638="","",IFERROR(VLOOKUP(--$L638,MM_Income!$Z$5:$AC$204,3,FALSE()),"UNMAPPED"))</f>
        <v/>
      </c>
    </row>
    <row r="639" customFormat="false" ht="13.5" hidden="false" customHeight="false" outlineLevel="0" collapsed="false">
      <c r="A639" s="1" t="str">
        <f aca="false">IF($C639="","",Controls!$B$7)</f>
        <v/>
      </c>
      <c r="B639" s="1" t="str">
        <f aca="false">IF($H639="","",YEAR($H639)&amp;"-Q"&amp;ROUNDUP(MONTH($H639)/3,0))</f>
        <v/>
      </c>
      <c r="S639" s="1" t="str">
        <f aca="false">IF($C639="","",$C639&amp;"|"&amp;$E639&amp;"|"&amp;$F639&amp;"|"&amp;$L639&amp;"|"&amp;$P639&amp;"|"&amp;TEXT($H639,"yyyy-mm-dd"))</f>
        <v/>
      </c>
      <c r="T639" s="1" t="str">
        <f aca="false">IF($S639="","",IF(COUNTIF($S$2:$S$2991,$S639)&gt;1,"DUPLICATE","OK"))</f>
        <v/>
      </c>
      <c r="U639" s="0" t="str">
        <f aca="false">IF($L639="","",IFERROR(VLOOKUP(--$L639,MM_Income!$Z$5:$AC$204,3,FALSE()),"UNMAPPED"))</f>
        <v/>
      </c>
    </row>
    <row r="640" customFormat="false" ht="13.5" hidden="false" customHeight="false" outlineLevel="0" collapsed="false">
      <c r="A640" s="1" t="str">
        <f aca="false">IF($C640="","",Controls!$B$7)</f>
        <v/>
      </c>
      <c r="B640" s="1" t="str">
        <f aca="false">IF($H640="","",YEAR($H640)&amp;"-Q"&amp;ROUNDUP(MONTH($H640)/3,0))</f>
        <v/>
      </c>
      <c r="S640" s="1" t="str">
        <f aca="false">IF($C640="","",$C640&amp;"|"&amp;$E640&amp;"|"&amp;$F640&amp;"|"&amp;$L640&amp;"|"&amp;$P640&amp;"|"&amp;TEXT($H640,"yyyy-mm-dd"))</f>
        <v/>
      </c>
      <c r="T640" s="1" t="str">
        <f aca="false">IF($S640="","",IF(COUNTIF($S$2:$S$2991,$S640)&gt;1,"DUPLICATE","OK"))</f>
        <v/>
      </c>
      <c r="U640" s="0" t="str">
        <f aca="false">IF($L640="","",IFERROR(VLOOKUP(--$L640,MM_Income!$Z$5:$AC$204,3,FALSE()),"UNMAPPED"))</f>
        <v/>
      </c>
    </row>
    <row r="641" customFormat="false" ht="13.5" hidden="false" customHeight="false" outlineLevel="0" collapsed="false">
      <c r="A641" s="1" t="str">
        <f aca="false">IF($C641="","",Controls!$B$7)</f>
        <v/>
      </c>
      <c r="B641" s="1" t="str">
        <f aca="false">IF($H641="","",YEAR($H641)&amp;"-Q"&amp;ROUNDUP(MONTH($H641)/3,0))</f>
        <v/>
      </c>
      <c r="S641" s="1" t="str">
        <f aca="false">IF($C641="","",$C641&amp;"|"&amp;$E641&amp;"|"&amp;$F641&amp;"|"&amp;$L641&amp;"|"&amp;$P641&amp;"|"&amp;TEXT($H641,"yyyy-mm-dd"))</f>
        <v/>
      </c>
      <c r="T641" s="1" t="str">
        <f aca="false">IF($S641="","",IF(COUNTIF($S$2:$S$2991,$S641)&gt;1,"DUPLICATE","OK"))</f>
        <v/>
      </c>
      <c r="U641" s="0" t="str">
        <f aca="false">IF($L641="","",IFERROR(VLOOKUP(--$L641,MM_Income!$Z$5:$AC$204,3,FALSE()),"UNMAPPED"))</f>
        <v/>
      </c>
    </row>
    <row r="642" customFormat="false" ht="13.5" hidden="false" customHeight="false" outlineLevel="0" collapsed="false">
      <c r="A642" s="1" t="str">
        <f aca="false">IF($C642="","",Controls!$B$7)</f>
        <v/>
      </c>
      <c r="B642" s="1" t="str">
        <f aca="false">IF($H642="","",YEAR($H642)&amp;"-Q"&amp;ROUNDUP(MONTH($H642)/3,0))</f>
        <v/>
      </c>
      <c r="S642" s="1" t="str">
        <f aca="false">IF($C642="","",$C642&amp;"|"&amp;$E642&amp;"|"&amp;$F642&amp;"|"&amp;$L642&amp;"|"&amp;$P642&amp;"|"&amp;TEXT($H642,"yyyy-mm-dd"))</f>
        <v/>
      </c>
      <c r="T642" s="1" t="str">
        <f aca="false">IF($S642="","",IF(COUNTIF($S$2:$S$2991,$S642)&gt;1,"DUPLICATE","OK"))</f>
        <v/>
      </c>
      <c r="U642" s="0" t="str">
        <f aca="false">IF($L642="","",IFERROR(VLOOKUP(--$L642,MM_Income!$Z$5:$AC$204,3,FALSE()),"UNMAPPED"))</f>
        <v/>
      </c>
    </row>
    <row r="643" customFormat="false" ht="13.5" hidden="false" customHeight="false" outlineLevel="0" collapsed="false">
      <c r="A643" s="1" t="str">
        <f aca="false">IF($C643="","",Controls!$B$7)</f>
        <v/>
      </c>
      <c r="B643" s="1" t="str">
        <f aca="false">IF($H643="","",YEAR($H643)&amp;"-Q"&amp;ROUNDUP(MONTH($H643)/3,0))</f>
        <v/>
      </c>
      <c r="S643" s="1" t="str">
        <f aca="false">IF($C643="","",$C643&amp;"|"&amp;$E643&amp;"|"&amp;$F643&amp;"|"&amp;$L643&amp;"|"&amp;$P643&amp;"|"&amp;TEXT($H643,"yyyy-mm-dd"))</f>
        <v/>
      </c>
      <c r="T643" s="1" t="str">
        <f aca="false">IF($S643="","",IF(COUNTIF($S$2:$S$2991,$S643)&gt;1,"DUPLICATE","OK"))</f>
        <v/>
      </c>
      <c r="U643" s="0" t="str">
        <f aca="false">IF($L643="","",IFERROR(VLOOKUP(--$L643,MM_Income!$Z$5:$AC$204,3,FALSE()),"UNMAPPED"))</f>
        <v/>
      </c>
    </row>
    <row r="644" customFormat="false" ht="13.5" hidden="false" customHeight="false" outlineLevel="0" collapsed="false">
      <c r="A644" s="1" t="str">
        <f aca="false">IF($C644="","",Controls!$B$7)</f>
        <v/>
      </c>
      <c r="B644" s="1" t="str">
        <f aca="false">IF($H644="","",YEAR($H644)&amp;"-Q"&amp;ROUNDUP(MONTH($H644)/3,0))</f>
        <v/>
      </c>
      <c r="S644" s="1" t="str">
        <f aca="false">IF($C644="","",$C644&amp;"|"&amp;$E644&amp;"|"&amp;$F644&amp;"|"&amp;$L644&amp;"|"&amp;$P644&amp;"|"&amp;TEXT($H644,"yyyy-mm-dd"))</f>
        <v/>
      </c>
      <c r="T644" s="1" t="str">
        <f aca="false">IF($S644="","",IF(COUNTIF($S$2:$S$2991,$S644)&gt;1,"DUPLICATE","OK"))</f>
        <v/>
      </c>
      <c r="U644" s="0" t="str">
        <f aca="false">IF($L644="","",IFERROR(VLOOKUP(--$L644,MM_Income!$Z$5:$AC$204,3,FALSE()),"UNMAPPED"))</f>
        <v/>
      </c>
    </row>
    <row r="645" customFormat="false" ht="13.5" hidden="false" customHeight="false" outlineLevel="0" collapsed="false">
      <c r="A645" s="1" t="str">
        <f aca="false">IF($C645="","",Controls!$B$7)</f>
        <v/>
      </c>
      <c r="B645" s="1" t="str">
        <f aca="false">IF($H645="","",YEAR($H645)&amp;"-Q"&amp;ROUNDUP(MONTH($H645)/3,0))</f>
        <v/>
      </c>
      <c r="S645" s="1" t="str">
        <f aca="false">IF($C645="","",$C645&amp;"|"&amp;$E645&amp;"|"&amp;$F645&amp;"|"&amp;$L645&amp;"|"&amp;$P645&amp;"|"&amp;TEXT($H645,"yyyy-mm-dd"))</f>
        <v/>
      </c>
      <c r="T645" s="1" t="str">
        <f aca="false">IF($S645="","",IF(COUNTIF($S$2:$S$2991,$S645)&gt;1,"DUPLICATE","OK"))</f>
        <v/>
      </c>
      <c r="U645" s="0" t="str">
        <f aca="false">IF($L645="","",IFERROR(VLOOKUP(--$L645,MM_Income!$Z$5:$AC$204,3,FALSE()),"UNMAPPED"))</f>
        <v/>
      </c>
    </row>
    <row r="646" customFormat="false" ht="13.5" hidden="false" customHeight="false" outlineLevel="0" collapsed="false">
      <c r="A646" s="1" t="str">
        <f aca="false">IF($C646="","",Controls!$B$7)</f>
        <v/>
      </c>
      <c r="B646" s="1" t="str">
        <f aca="false">IF($H646="","",YEAR($H646)&amp;"-Q"&amp;ROUNDUP(MONTH($H646)/3,0))</f>
        <v/>
      </c>
      <c r="S646" s="1" t="str">
        <f aca="false">IF($C646="","",$C646&amp;"|"&amp;$E646&amp;"|"&amp;$F646&amp;"|"&amp;$L646&amp;"|"&amp;$P646&amp;"|"&amp;TEXT($H646,"yyyy-mm-dd"))</f>
        <v/>
      </c>
      <c r="T646" s="1" t="str">
        <f aca="false">IF($S646="","",IF(COUNTIF($S$2:$S$2991,$S646)&gt;1,"DUPLICATE","OK"))</f>
        <v/>
      </c>
      <c r="U646" s="0" t="str">
        <f aca="false">IF($L646="","",IFERROR(VLOOKUP(--$L646,MM_Income!$Z$5:$AC$204,3,FALSE()),"UNMAPPED"))</f>
        <v/>
      </c>
    </row>
    <row r="647" customFormat="false" ht="13.5" hidden="false" customHeight="false" outlineLevel="0" collapsed="false">
      <c r="A647" s="1" t="str">
        <f aca="false">IF($C647="","",Controls!$B$7)</f>
        <v/>
      </c>
      <c r="B647" s="1" t="str">
        <f aca="false">IF($H647="","",YEAR($H647)&amp;"-Q"&amp;ROUNDUP(MONTH($H647)/3,0))</f>
        <v/>
      </c>
      <c r="S647" s="1" t="str">
        <f aca="false">IF($C647="","",$C647&amp;"|"&amp;$E647&amp;"|"&amp;$F647&amp;"|"&amp;$L647&amp;"|"&amp;$P647&amp;"|"&amp;TEXT($H647,"yyyy-mm-dd"))</f>
        <v/>
      </c>
      <c r="T647" s="1" t="str">
        <f aca="false">IF($S647="","",IF(COUNTIF($S$2:$S$2991,$S647)&gt;1,"DUPLICATE","OK"))</f>
        <v/>
      </c>
      <c r="U647" s="0" t="str">
        <f aca="false">IF($L647="","",IFERROR(VLOOKUP(--$L647,MM_Income!$Z$5:$AC$204,3,FALSE()),"UNMAPPED"))</f>
        <v/>
      </c>
    </row>
    <row r="648" customFormat="false" ht="13.5" hidden="false" customHeight="false" outlineLevel="0" collapsed="false">
      <c r="A648" s="1" t="str">
        <f aca="false">IF($C648="","",Controls!$B$7)</f>
        <v/>
      </c>
      <c r="B648" s="1" t="str">
        <f aca="false">IF($H648="","",YEAR($H648)&amp;"-Q"&amp;ROUNDUP(MONTH($H648)/3,0))</f>
        <v/>
      </c>
      <c r="S648" s="1" t="str">
        <f aca="false">IF($C648="","",$C648&amp;"|"&amp;$E648&amp;"|"&amp;$F648&amp;"|"&amp;$L648&amp;"|"&amp;$P648&amp;"|"&amp;TEXT($H648,"yyyy-mm-dd"))</f>
        <v/>
      </c>
      <c r="T648" s="1" t="str">
        <f aca="false">IF($S648="","",IF(COUNTIF($S$2:$S$2991,$S648)&gt;1,"DUPLICATE","OK"))</f>
        <v/>
      </c>
      <c r="U648" s="0" t="str">
        <f aca="false">IF($L648="","",IFERROR(VLOOKUP(--$L648,MM_Income!$Z$5:$AC$204,3,FALSE()),"UNMAPPED"))</f>
        <v/>
      </c>
    </row>
    <row r="649" customFormat="false" ht="13.5" hidden="false" customHeight="false" outlineLevel="0" collapsed="false">
      <c r="A649" s="1" t="str">
        <f aca="false">IF($C649="","",Controls!$B$7)</f>
        <v/>
      </c>
      <c r="B649" s="1" t="str">
        <f aca="false">IF($H649="","",YEAR($H649)&amp;"-Q"&amp;ROUNDUP(MONTH($H649)/3,0))</f>
        <v/>
      </c>
      <c r="S649" s="1" t="str">
        <f aca="false">IF($C649="","",$C649&amp;"|"&amp;$E649&amp;"|"&amp;$F649&amp;"|"&amp;$L649&amp;"|"&amp;$P649&amp;"|"&amp;TEXT($H649,"yyyy-mm-dd"))</f>
        <v/>
      </c>
      <c r="T649" s="1" t="str">
        <f aca="false">IF($S649="","",IF(COUNTIF($S$2:$S$2991,$S649)&gt;1,"DUPLICATE","OK"))</f>
        <v/>
      </c>
      <c r="U649" s="0" t="str">
        <f aca="false">IF($L649="","",IFERROR(VLOOKUP(--$L649,MM_Income!$Z$5:$AC$204,3,FALSE()),"UNMAPPED"))</f>
        <v/>
      </c>
    </row>
    <row r="650" customFormat="false" ht="13.5" hidden="false" customHeight="false" outlineLevel="0" collapsed="false">
      <c r="A650" s="1" t="str">
        <f aca="false">IF($C650="","",Controls!$B$7)</f>
        <v/>
      </c>
      <c r="B650" s="1" t="str">
        <f aca="false">IF($H650="","",YEAR($H650)&amp;"-Q"&amp;ROUNDUP(MONTH($H650)/3,0))</f>
        <v/>
      </c>
      <c r="S650" s="1" t="str">
        <f aca="false">IF($C650="","",$C650&amp;"|"&amp;$E650&amp;"|"&amp;$F650&amp;"|"&amp;$L650&amp;"|"&amp;$P650&amp;"|"&amp;TEXT($H650,"yyyy-mm-dd"))</f>
        <v/>
      </c>
      <c r="T650" s="1" t="str">
        <f aca="false">IF($S650="","",IF(COUNTIF($S$2:$S$2991,$S650)&gt;1,"DUPLICATE","OK"))</f>
        <v/>
      </c>
      <c r="U650" s="0" t="str">
        <f aca="false">IF($L650="","",IFERROR(VLOOKUP(--$L650,MM_Income!$Z$5:$AC$204,3,FALSE()),"UNMAPPED"))</f>
        <v/>
      </c>
    </row>
    <row r="651" customFormat="false" ht="13.5" hidden="false" customHeight="false" outlineLevel="0" collapsed="false">
      <c r="A651" s="1" t="str">
        <f aca="false">IF($C651="","",Controls!$B$7)</f>
        <v/>
      </c>
      <c r="B651" s="1" t="str">
        <f aca="false">IF($H651="","",YEAR($H651)&amp;"-Q"&amp;ROUNDUP(MONTH($H651)/3,0))</f>
        <v/>
      </c>
      <c r="S651" s="1" t="str">
        <f aca="false">IF($C651="","",$C651&amp;"|"&amp;$E651&amp;"|"&amp;$F651&amp;"|"&amp;$L651&amp;"|"&amp;$P651&amp;"|"&amp;TEXT($H651,"yyyy-mm-dd"))</f>
        <v/>
      </c>
      <c r="T651" s="1" t="str">
        <f aca="false">IF($S651="","",IF(COUNTIF($S$2:$S$2991,$S651)&gt;1,"DUPLICATE","OK"))</f>
        <v/>
      </c>
      <c r="U651" s="0" t="str">
        <f aca="false">IF($L651="","",IFERROR(VLOOKUP(--$L651,MM_Income!$Z$5:$AC$204,3,FALSE()),"UNMAPPED"))</f>
        <v/>
      </c>
    </row>
    <row r="652" customFormat="false" ht="13.5" hidden="false" customHeight="false" outlineLevel="0" collapsed="false">
      <c r="A652" s="1" t="str">
        <f aca="false">IF($C652="","",Controls!$B$7)</f>
        <v/>
      </c>
      <c r="B652" s="1" t="str">
        <f aca="false">IF($H652="","",YEAR($H652)&amp;"-Q"&amp;ROUNDUP(MONTH($H652)/3,0))</f>
        <v/>
      </c>
      <c r="S652" s="1" t="str">
        <f aca="false">IF($C652="","",$C652&amp;"|"&amp;$E652&amp;"|"&amp;$F652&amp;"|"&amp;$L652&amp;"|"&amp;$P652&amp;"|"&amp;TEXT($H652,"yyyy-mm-dd"))</f>
        <v/>
      </c>
      <c r="T652" s="1" t="str">
        <f aca="false">IF($S652="","",IF(COUNTIF($S$2:$S$2991,$S652)&gt;1,"DUPLICATE","OK"))</f>
        <v/>
      </c>
      <c r="U652" s="0" t="str">
        <f aca="false">IF($L652="","",IFERROR(VLOOKUP(--$L652,MM_Income!$Z$5:$AC$204,3,FALSE()),"UNMAPPED"))</f>
        <v/>
      </c>
    </row>
    <row r="653" customFormat="false" ht="13.5" hidden="false" customHeight="false" outlineLevel="0" collapsed="false">
      <c r="A653" s="1" t="str">
        <f aca="false">IF($C653="","",Controls!$B$7)</f>
        <v/>
      </c>
      <c r="B653" s="1" t="str">
        <f aca="false">IF($H653="","",YEAR($H653)&amp;"-Q"&amp;ROUNDUP(MONTH($H653)/3,0))</f>
        <v/>
      </c>
      <c r="S653" s="1" t="str">
        <f aca="false">IF($C653="","",$C653&amp;"|"&amp;$E653&amp;"|"&amp;$F653&amp;"|"&amp;$L653&amp;"|"&amp;$P653&amp;"|"&amp;TEXT($H653,"yyyy-mm-dd"))</f>
        <v/>
      </c>
      <c r="T653" s="1" t="str">
        <f aca="false">IF($S653="","",IF(COUNTIF($S$2:$S$2991,$S653)&gt;1,"DUPLICATE","OK"))</f>
        <v/>
      </c>
      <c r="U653" s="0" t="str">
        <f aca="false">IF($L653="","",IFERROR(VLOOKUP(--$L653,MM_Income!$Z$5:$AC$204,3,FALSE()),"UNMAPPED"))</f>
        <v/>
      </c>
    </row>
    <row r="654" customFormat="false" ht="13.5" hidden="false" customHeight="false" outlineLevel="0" collapsed="false">
      <c r="A654" s="1" t="str">
        <f aca="false">IF($C654="","",Controls!$B$7)</f>
        <v/>
      </c>
      <c r="B654" s="1" t="str">
        <f aca="false">IF($H654="","",YEAR($H654)&amp;"-Q"&amp;ROUNDUP(MONTH($H654)/3,0))</f>
        <v/>
      </c>
      <c r="S654" s="1" t="str">
        <f aca="false">IF($C654="","",$C654&amp;"|"&amp;$E654&amp;"|"&amp;$F654&amp;"|"&amp;$L654&amp;"|"&amp;$P654&amp;"|"&amp;TEXT($H654,"yyyy-mm-dd"))</f>
        <v/>
      </c>
      <c r="T654" s="1" t="str">
        <f aca="false">IF($S654="","",IF(COUNTIF($S$2:$S$2991,$S654)&gt;1,"DUPLICATE","OK"))</f>
        <v/>
      </c>
      <c r="U654" s="0" t="str">
        <f aca="false">IF($L654="","",IFERROR(VLOOKUP(--$L654,MM_Income!$Z$5:$AC$204,3,FALSE()),"UNMAPPED"))</f>
        <v/>
      </c>
    </row>
    <row r="655" customFormat="false" ht="13.5" hidden="false" customHeight="false" outlineLevel="0" collapsed="false">
      <c r="A655" s="1" t="str">
        <f aca="false">IF($C655="","",Controls!$B$7)</f>
        <v/>
      </c>
      <c r="B655" s="1" t="str">
        <f aca="false">IF($H655="","",YEAR($H655)&amp;"-Q"&amp;ROUNDUP(MONTH($H655)/3,0))</f>
        <v/>
      </c>
      <c r="S655" s="1" t="str">
        <f aca="false">IF($C655="","",$C655&amp;"|"&amp;$E655&amp;"|"&amp;$F655&amp;"|"&amp;$L655&amp;"|"&amp;$P655&amp;"|"&amp;TEXT($H655,"yyyy-mm-dd"))</f>
        <v/>
      </c>
      <c r="T655" s="1" t="str">
        <f aca="false">IF($S655="","",IF(COUNTIF($S$2:$S$2991,$S655)&gt;1,"DUPLICATE","OK"))</f>
        <v/>
      </c>
      <c r="U655" s="0" t="str">
        <f aca="false">IF($L655="","",IFERROR(VLOOKUP(--$L655,MM_Income!$Z$5:$AC$204,3,FALSE()),"UNMAPPED"))</f>
        <v/>
      </c>
    </row>
    <row r="656" customFormat="false" ht="13.5" hidden="false" customHeight="false" outlineLevel="0" collapsed="false">
      <c r="A656" s="1" t="str">
        <f aca="false">IF($C656="","",Controls!$B$7)</f>
        <v/>
      </c>
      <c r="B656" s="1" t="str">
        <f aca="false">IF($H656="","",YEAR($H656)&amp;"-Q"&amp;ROUNDUP(MONTH($H656)/3,0))</f>
        <v/>
      </c>
      <c r="S656" s="1" t="str">
        <f aca="false">IF($C656="","",$C656&amp;"|"&amp;$E656&amp;"|"&amp;$F656&amp;"|"&amp;$L656&amp;"|"&amp;$P656&amp;"|"&amp;TEXT($H656,"yyyy-mm-dd"))</f>
        <v/>
      </c>
      <c r="T656" s="1" t="str">
        <f aca="false">IF($S656="","",IF(COUNTIF($S$2:$S$2991,$S656)&gt;1,"DUPLICATE","OK"))</f>
        <v/>
      </c>
      <c r="U656" s="0" t="str">
        <f aca="false">IF($L656="","",IFERROR(VLOOKUP(--$L656,MM_Income!$Z$5:$AC$204,3,FALSE()),"UNMAPPED"))</f>
        <v/>
      </c>
    </row>
    <row r="657" customFormat="false" ht="13.5" hidden="false" customHeight="false" outlineLevel="0" collapsed="false">
      <c r="A657" s="1" t="str">
        <f aca="false">IF($C657="","",Controls!$B$7)</f>
        <v/>
      </c>
      <c r="B657" s="1" t="str">
        <f aca="false">IF($H657="","",YEAR($H657)&amp;"-Q"&amp;ROUNDUP(MONTH($H657)/3,0))</f>
        <v/>
      </c>
      <c r="S657" s="1" t="str">
        <f aca="false">IF($C657="","",$C657&amp;"|"&amp;$E657&amp;"|"&amp;$F657&amp;"|"&amp;$L657&amp;"|"&amp;$P657&amp;"|"&amp;TEXT($H657,"yyyy-mm-dd"))</f>
        <v/>
      </c>
      <c r="T657" s="1" t="str">
        <f aca="false">IF($S657="","",IF(COUNTIF($S$2:$S$2991,$S657)&gt;1,"DUPLICATE","OK"))</f>
        <v/>
      </c>
      <c r="U657" s="0" t="str">
        <f aca="false">IF($L657="","",IFERROR(VLOOKUP(--$L657,MM_Income!$Z$5:$AC$204,3,FALSE()),"UNMAPPED"))</f>
        <v/>
      </c>
    </row>
    <row r="658" customFormat="false" ht="13.5" hidden="false" customHeight="false" outlineLevel="0" collapsed="false">
      <c r="A658" s="1" t="str">
        <f aca="false">IF($C658="","",Controls!$B$7)</f>
        <v/>
      </c>
      <c r="B658" s="1" t="str">
        <f aca="false">IF($H658="","",YEAR($H658)&amp;"-Q"&amp;ROUNDUP(MONTH($H658)/3,0))</f>
        <v/>
      </c>
      <c r="S658" s="1" t="str">
        <f aca="false">IF($C658="","",$C658&amp;"|"&amp;$E658&amp;"|"&amp;$F658&amp;"|"&amp;$L658&amp;"|"&amp;$P658&amp;"|"&amp;TEXT($H658,"yyyy-mm-dd"))</f>
        <v/>
      </c>
      <c r="T658" s="1" t="str">
        <f aca="false">IF($S658="","",IF(COUNTIF($S$2:$S$2991,$S658)&gt;1,"DUPLICATE","OK"))</f>
        <v/>
      </c>
      <c r="U658" s="0" t="str">
        <f aca="false">IF($L658="","",IFERROR(VLOOKUP(--$L658,MM_Income!$Z$5:$AC$204,3,FALSE()),"UNMAPPED"))</f>
        <v/>
      </c>
    </row>
    <row r="659" customFormat="false" ht="13.5" hidden="false" customHeight="false" outlineLevel="0" collapsed="false">
      <c r="A659" s="1" t="str">
        <f aca="false">IF($C659="","",Controls!$B$7)</f>
        <v/>
      </c>
      <c r="B659" s="1" t="str">
        <f aca="false">IF($H659="","",YEAR($H659)&amp;"-Q"&amp;ROUNDUP(MONTH($H659)/3,0))</f>
        <v/>
      </c>
      <c r="S659" s="1" t="str">
        <f aca="false">IF($C659="","",$C659&amp;"|"&amp;$E659&amp;"|"&amp;$F659&amp;"|"&amp;$L659&amp;"|"&amp;$P659&amp;"|"&amp;TEXT($H659,"yyyy-mm-dd"))</f>
        <v/>
      </c>
      <c r="T659" s="1" t="str">
        <f aca="false">IF($S659="","",IF(COUNTIF($S$2:$S$2991,$S659)&gt;1,"DUPLICATE","OK"))</f>
        <v/>
      </c>
      <c r="U659" s="0" t="str">
        <f aca="false">IF($L659="","",IFERROR(VLOOKUP(--$L659,MM_Income!$Z$5:$AC$204,3,FALSE()),"UNMAPPED"))</f>
        <v/>
      </c>
    </row>
    <row r="660" customFormat="false" ht="13.5" hidden="false" customHeight="false" outlineLevel="0" collapsed="false">
      <c r="A660" s="1" t="str">
        <f aca="false">IF($C660="","",Controls!$B$7)</f>
        <v/>
      </c>
      <c r="B660" s="1" t="str">
        <f aca="false">IF($H660="","",YEAR($H660)&amp;"-Q"&amp;ROUNDUP(MONTH($H660)/3,0))</f>
        <v/>
      </c>
      <c r="S660" s="1" t="str">
        <f aca="false">IF($C660="","",$C660&amp;"|"&amp;$E660&amp;"|"&amp;$F660&amp;"|"&amp;$L660&amp;"|"&amp;$P660&amp;"|"&amp;TEXT($H660,"yyyy-mm-dd"))</f>
        <v/>
      </c>
      <c r="T660" s="1" t="str">
        <f aca="false">IF($S660="","",IF(COUNTIF($S$2:$S$2991,$S660)&gt;1,"DUPLICATE","OK"))</f>
        <v/>
      </c>
      <c r="U660" s="0" t="str">
        <f aca="false">IF($L660="","",IFERROR(VLOOKUP(--$L660,MM_Income!$Z$5:$AC$204,3,FALSE()),"UNMAPPED"))</f>
        <v/>
      </c>
    </row>
    <row r="661" customFormat="false" ht="13.5" hidden="false" customHeight="false" outlineLevel="0" collapsed="false">
      <c r="A661" s="1" t="str">
        <f aca="false">IF($C661="","",Controls!$B$7)</f>
        <v/>
      </c>
      <c r="B661" s="1" t="str">
        <f aca="false">IF($H661="","",YEAR($H661)&amp;"-Q"&amp;ROUNDUP(MONTH($H661)/3,0))</f>
        <v/>
      </c>
      <c r="S661" s="1" t="str">
        <f aca="false">IF($C661="","",$C661&amp;"|"&amp;$E661&amp;"|"&amp;$F661&amp;"|"&amp;$L661&amp;"|"&amp;$P661&amp;"|"&amp;TEXT($H661,"yyyy-mm-dd"))</f>
        <v/>
      </c>
      <c r="T661" s="1" t="str">
        <f aca="false">IF($S661="","",IF(COUNTIF($S$2:$S$2991,$S661)&gt;1,"DUPLICATE","OK"))</f>
        <v/>
      </c>
      <c r="U661" s="0" t="str">
        <f aca="false">IF($L661="","",IFERROR(VLOOKUP(--$L661,MM_Income!$Z$5:$AC$204,3,FALSE()),"UNMAPPED"))</f>
        <v/>
      </c>
    </row>
    <row r="662" customFormat="false" ht="13.5" hidden="false" customHeight="false" outlineLevel="0" collapsed="false">
      <c r="A662" s="1" t="str">
        <f aca="false">IF($C662="","",Controls!$B$7)</f>
        <v/>
      </c>
      <c r="B662" s="1" t="str">
        <f aca="false">IF($H662="","",YEAR($H662)&amp;"-Q"&amp;ROUNDUP(MONTH($H662)/3,0))</f>
        <v/>
      </c>
      <c r="S662" s="1" t="str">
        <f aca="false">IF($C662="","",$C662&amp;"|"&amp;$E662&amp;"|"&amp;$F662&amp;"|"&amp;$L662&amp;"|"&amp;$P662&amp;"|"&amp;TEXT($H662,"yyyy-mm-dd"))</f>
        <v/>
      </c>
      <c r="T662" s="1" t="str">
        <f aca="false">IF($S662="","",IF(COUNTIF($S$2:$S$2991,$S662)&gt;1,"DUPLICATE","OK"))</f>
        <v/>
      </c>
      <c r="U662" s="0" t="str">
        <f aca="false">IF($L662="","",IFERROR(VLOOKUP(--$L662,MM_Income!$Z$5:$AC$204,3,FALSE()),"UNMAPPED"))</f>
        <v/>
      </c>
    </row>
    <row r="663" customFormat="false" ht="13.5" hidden="false" customHeight="false" outlineLevel="0" collapsed="false">
      <c r="A663" s="1" t="str">
        <f aca="false">IF($C663="","",Controls!$B$7)</f>
        <v/>
      </c>
      <c r="B663" s="1" t="str">
        <f aca="false">IF($H663="","",YEAR($H663)&amp;"-Q"&amp;ROUNDUP(MONTH($H663)/3,0))</f>
        <v/>
      </c>
      <c r="S663" s="1" t="str">
        <f aca="false">IF($C663="","",$C663&amp;"|"&amp;$E663&amp;"|"&amp;$F663&amp;"|"&amp;$L663&amp;"|"&amp;$P663&amp;"|"&amp;TEXT($H663,"yyyy-mm-dd"))</f>
        <v/>
      </c>
      <c r="T663" s="1" t="str">
        <f aca="false">IF($S663="","",IF(COUNTIF($S$2:$S$2991,$S663)&gt;1,"DUPLICATE","OK"))</f>
        <v/>
      </c>
      <c r="U663" s="0" t="str">
        <f aca="false">IF($L663="","",IFERROR(VLOOKUP(--$L663,MM_Income!$Z$5:$AC$204,3,FALSE()),"UNMAPPED"))</f>
        <v/>
      </c>
    </row>
    <row r="664" customFormat="false" ht="13.5" hidden="false" customHeight="false" outlineLevel="0" collapsed="false">
      <c r="A664" s="1" t="str">
        <f aca="false">IF($C664="","",Controls!$B$7)</f>
        <v/>
      </c>
      <c r="B664" s="1" t="str">
        <f aca="false">IF($H664="","",YEAR($H664)&amp;"-Q"&amp;ROUNDUP(MONTH($H664)/3,0))</f>
        <v/>
      </c>
      <c r="S664" s="1" t="str">
        <f aca="false">IF($C664="","",$C664&amp;"|"&amp;$E664&amp;"|"&amp;$F664&amp;"|"&amp;$L664&amp;"|"&amp;$P664&amp;"|"&amp;TEXT($H664,"yyyy-mm-dd"))</f>
        <v/>
      </c>
      <c r="T664" s="1" t="str">
        <f aca="false">IF($S664="","",IF(COUNTIF($S$2:$S$2991,$S664)&gt;1,"DUPLICATE","OK"))</f>
        <v/>
      </c>
      <c r="U664" s="0" t="str">
        <f aca="false">IF($L664="","",IFERROR(VLOOKUP(--$L664,MM_Income!$Z$5:$AC$204,3,FALSE()),"UNMAPPED"))</f>
        <v/>
      </c>
    </row>
    <row r="665" customFormat="false" ht="13.5" hidden="false" customHeight="false" outlineLevel="0" collapsed="false">
      <c r="A665" s="1" t="str">
        <f aca="false">IF($C665="","",Controls!$B$7)</f>
        <v/>
      </c>
      <c r="B665" s="1" t="str">
        <f aca="false">IF($H665="","",YEAR($H665)&amp;"-Q"&amp;ROUNDUP(MONTH($H665)/3,0))</f>
        <v/>
      </c>
      <c r="S665" s="1" t="str">
        <f aca="false">IF($C665="","",$C665&amp;"|"&amp;$E665&amp;"|"&amp;$F665&amp;"|"&amp;$L665&amp;"|"&amp;$P665&amp;"|"&amp;TEXT($H665,"yyyy-mm-dd"))</f>
        <v/>
      </c>
      <c r="T665" s="1" t="str">
        <f aca="false">IF($S665="","",IF(COUNTIF($S$2:$S$2991,$S665)&gt;1,"DUPLICATE","OK"))</f>
        <v/>
      </c>
      <c r="U665" s="0" t="str">
        <f aca="false">IF($L665="","",IFERROR(VLOOKUP(--$L665,MM_Income!$Z$5:$AC$204,3,FALSE()),"UNMAPPED"))</f>
        <v/>
      </c>
    </row>
    <row r="666" customFormat="false" ht="13.5" hidden="false" customHeight="false" outlineLevel="0" collapsed="false">
      <c r="A666" s="1" t="str">
        <f aca="false">IF($C666="","",Controls!$B$7)</f>
        <v/>
      </c>
      <c r="B666" s="1" t="str">
        <f aca="false">IF($H666="","",YEAR($H666)&amp;"-Q"&amp;ROUNDUP(MONTH($H666)/3,0))</f>
        <v/>
      </c>
      <c r="S666" s="1" t="str">
        <f aca="false">IF($C666="","",$C666&amp;"|"&amp;$E666&amp;"|"&amp;$F666&amp;"|"&amp;$L666&amp;"|"&amp;$P666&amp;"|"&amp;TEXT($H666,"yyyy-mm-dd"))</f>
        <v/>
      </c>
      <c r="T666" s="1" t="str">
        <f aca="false">IF($S666="","",IF(COUNTIF($S$2:$S$2991,$S666)&gt;1,"DUPLICATE","OK"))</f>
        <v/>
      </c>
      <c r="U666" s="0" t="str">
        <f aca="false">IF($L666="","",IFERROR(VLOOKUP(--$L666,MM_Income!$Z$5:$AC$204,3,FALSE()),"UNMAPPED"))</f>
        <v/>
      </c>
    </row>
    <row r="667" customFormat="false" ht="13.5" hidden="false" customHeight="false" outlineLevel="0" collapsed="false">
      <c r="A667" s="1" t="str">
        <f aca="false">IF($C667="","",Controls!$B$7)</f>
        <v/>
      </c>
      <c r="B667" s="1" t="str">
        <f aca="false">IF($H667="","",YEAR($H667)&amp;"-Q"&amp;ROUNDUP(MONTH($H667)/3,0))</f>
        <v/>
      </c>
      <c r="S667" s="1" t="str">
        <f aca="false">IF($C667="","",$C667&amp;"|"&amp;$E667&amp;"|"&amp;$F667&amp;"|"&amp;$L667&amp;"|"&amp;$P667&amp;"|"&amp;TEXT($H667,"yyyy-mm-dd"))</f>
        <v/>
      </c>
      <c r="T667" s="1" t="str">
        <f aca="false">IF($S667="","",IF(COUNTIF($S$2:$S$2991,$S667)&gt;1,"DUPLICATE","OK"))</f>
        <v/>
      </c>
      <c r="U667" s="0" t="str">
        <f aca="false">IF($L667="","",IFERROR(VLOOKUP(--$L667,MM_Income!$Z$5:$AC$204,3,FALSE()),"UNMAPPED"))</f>
        <v/>
      </c>
    </row>
    <row r="668" customFormat="false" ht="13.5" hidden="false" customHeight="false" outlineLevel="0" collapsed="false">
      <c r="A668" s="1" t="str">
        <f aca="false">IF($C668="","",Controls!$B$7)</f>
        <v/>
      </c>
      <c r="B668" s="1" t="str">
        <f aca="false">IF($H668="","",YEAR($H668)&amp;"-Q"&amp;ROUNDUP(MONTH($H668)/3,0))</f>
        <v/>
      </c>
      <c r="S668" s="1" t="str">
        <f aca="false">IF($C668="","",$C668&amp;"|"&amp;$E668&amp;"|"&amp;$F668&amp;"|"&amp;$L668&amp;"|"&amp;$P668&amp;"|"&amp;TEXT($H668,"yyyy-mm-dd"))</f>
        <v/>
      </c>
      <c r="T668" s="1" t="str">
        <f aca="false">IF($S668="","",IF(COUNTIF($S$2:$S$2991,$S668)&gt;1,"DUPLICATE","OK"))</f>
        <v/>
      </c>
      <c r="U668" s="0" t="str">
        <f aca="false">IF($L668="","",IFERROR(VLOOKUP(--$L668,MM_Income!$Z$5:$AC$204,3,FALSE()),"UNMAPPED"))</f>
        <v/>
      </c>
    </row>
    <row r="669" customFormat="false" ht="13.5" hidden="false" customHeight="false" outlineLevel="0" collapsed="false">
      <c r="A669" s="1" t="str">
        <f aca="false">IF($C669="","",Controls!$B$7)</f>
        <v/>
      </c>
      <c r="B669" s="1" t="str">
        <f aca="false">IF($H669="","",YEAR($H669)&amp;"-Q"&amp;ROUNDUP(MONTH($H669)/3,0))</f>
        <v/>
      </c>
      <c r="S669" s="1" t="str">
        <f aca="false">IF($C669="","",$C669&amp;"|"&amp;$E669&amp;"|"&amp;$F669&amp;"|"&amp;$L669&amp;"|"&amp;$P669&amp;"|"&amp;TEXT($H669,"yyyy-mm-dd"))</f>
        <v/>
      </c>
      <c r="T669" s="1" t="str">
        <f aca="false">IF($S669="","",IF(COUNTIF($S$2:$S$2991,$S669)&gt;1,"DUPLICATE","OK"))</f>
        <v/>
      </c>
      <c r="U669" s="0" t="str">
        <f aca="false">IF($L669="","",IFERROR(VLOOKUP(--$L669,MM_Income!$Z$5:$AC$204,3,FALSE()),"UNMAPPED"))</f>
        <v/>
      </c>
    </row>
    <row r="670" customFormat="false" ht="13.5" hidden="false" customHeight="false" outlineLevel="0" collapsed="false">
      <c r="A670" s="1" t="str">
        <f aca="false">IF($C670="","",Controls!$B$7)</f>
        <v/>
      </c>
      <c r="B670" s="1" t="str">
        <f aca="false">IF($H670="","",YEAR($H670)&amp;"-Q"&amp;ROUNDUP(MONTH($H670)/3,0))</f>
        <v/>
      </c>
      <c r="S670" s="1" t="str">
        <f aca="false">IF($C670="","",$C670&amp;"|"&amp;$E670&amp;"|"&amp;$F670&amp;"|"&amp;$L670&amp;"|"&amp;$P670&amp;"|"&amp;TEXT($H670,"yyyy-mm-dd"))</f>
        <v/>
      </c>
      <c r="T670" s="1" t="str">
        <f aca="false">IF($S670="","",IF(COUNTIF($S$2:$S$2991,$S670)&gt;1,"DUPLICATE","OK"))</f>
        <v/>
      </c>
      <c r="U670" s="0" t="str">
        <f aca="false">IF($L670="","",IFERROR(VLOOKUP(--$L670,MM_Income!$Z$5:$AC$204,3,FALSE()),"UNMAPPED"))</f>
        <v/>
      </c>
    </row>
    <row r="671" customFormat="false" ht="13.5" hidden="false" customHeight="false" outlineLevel="0" collapsed="false">
      <c r="A671" s="1" t="str">
        <f aca="false">IF($C671="","",Controls!$B$7)</f>
        <v/>
      </c>
      <c r="B671" s="1" t="str">
        <f aca="false">IF($H671="","",YEAR($H671)&amp;"-Q"&amp;ROUNDUP(MONTH($H671)/3,0))</f>
        <v/>
      </c>
      <c r="S671" s="1" t="str">
        <f aca="false">IF($C671="","",$C671&amp;"|"&amp;$E671&amp;"|"&amp;$F671&amp;"|"&amp;$L671&amp;"|"&amp;$P671&amp;"|"&amp;TEXT($H671,"yyyy-mm-dd"))</f>
        <v/>
      </c>
      <c r="T671" s="1" t="str">
        <f aca="false">IF($S671="","",IF(COUNTIF($S$2:$S$2991,$S671)&gt;1,"DUPLICATE","OK"))</f>
        <v/>
      </c>
      <c r="U671" s="0" t="str">
        <f aca="false">IF($L671="","",IFERROR(VLOOKUP(--$L671,MM_Income!$Z$5:$AC$204,3,FALSE()),"UNMAPPED"))</f>
        <v/>
      </c>
    </row>
    <row r="672" customFormat="false" ht="13.5" hidden="false" customHeight="false" outlineLevel="0" collapsed="false">
      <c r="A672" s="1" t="str">
        <f aca="false">IF($C672="","",Controls!$B$7)</f>
        <v/>
      </c>
      <c r="B672" s="1" t="str">
        <f aca="false">IF($H672="","",YEAR($H672)&amp;"-Q"&amp;ROUNDUP(MONTH($H672)/3,0))</f>
        <v/>
      </c>
      <c r="S672" s="1" t="str">
        <f aca="false">IF($C672="","",$C672&amp;"|"&amp;$E672&amp;"|"&amp;$F672&amp;"|"&amp;$L672&amp;"|"&amp;$P672&amp;"|"&amp;TEXT($H672,"yyyy-mm-dd"))</f>
        <v/>
      </c>
      <c r="T672" s="1" t="str">
        <f aca="false">IF($S672="","",IF(COUNTIF($S$2:$S$2991,$S672)&gt;1,"DUPLICATE","OK"))</f>
        <v/>
      </c>
      <c r="U672" s="0" t="str">
        <f aca="false">IF($L672="","",IFERROR(VLOOKUP(--$L672,MM_Income!$Z$5:$AC$204,3,FALSE()),"UNMAPPED"))</f>
        <v/>
      </c>
    </row>
    <row r="673" customFormat="false" ht="13.5" hidden="false" customHeight="false" outlineLevel="0" collapsed="false">
      <c r="A673" s="1" t="str">
        <f aca="false">IF($C673="","",Controls!$B$7)</f>
        <v/>
      </c>
      <c r="B673" s="1" t="str">
        <f aca="false">IF($H673="","",YEAR($H673)&amp;"-Q"&amp;ROUNDUP(MONTH($H673)/3,0))</f>
        <v/>
      </c>
      <c r="S673" s="1" t="str">
        <f aca="false">IF($C673="","",$C673&amp;"|"&amp;$E673&amp;"|"&amp;$F673&amp;"|"&amp;$L673&amp;"|"&amp;$P673&amp;"|"&amp;TEXT($H673,"yyyy-mm-dd"))</f>
        <v/>
      </c>
      <c r="T673" s="1" t="str">
        <f aca="false">IF($S673="","",IF(COUNTIF($S$2:$S$2991,$S673)&gt;1,"DUPLICATE","OK"))</f>
        <v/>
      </c>
      <c r="U673" s="0" t="str">
        <f aca="false">IF($L673="","",IFERROR(VLOOKUP(--$L673,MM_Income!$Z$5:$AC$204,3,FALSE()),"UNMAPPED"))</f>
        <v/>
      </c>
    </row>
    <row r="674" customFormat="false" ht="13.5" hidden="false" customHeight="false" outlineLevel="0" collapsed="false">
      <c r="A674" s="1" t="str">
        <f aca="false">IF($C674="","",Controls!$B$7)</f>
        <v/>
      </c>
      <c r="B674" s="1" t="str">
        <f aca="false">IF($H674="","",YEAR($H674)&amp;"-Q"&amp;ROUNDUP(MONTH($H674)/3,0))</f>
        <v/>
      </c>
      <c r="S674" s="1" t="str">
        <f aca="false">IF($C674="","",$C674&amp;"|"&amp;$E674&amp;"|"&amp;$F674&amp;"|"&amp;$L674&amp;"|"&amp;$P674&amp;"|"&amp;TEXT($H674,"yyyy-mm-dd"))</f>
        <v/>
      </c>
      <c r="T674" s="1" t="str">
        <f aca="false">IF($S674="","",IF(COUNTIF($S$2:$S$2991,$S674)&gt;1,"DUPLICATE","OK"))</f>
        <v/>
      </c>
      <c r="U674" s="0" t="str">
        <f aca="false">IF($L674="","",IFERROR(VLOOKUP(--$L674,MM_Income!$Z$5:$AC$204,3,FALSE()),"UNMAPPED"))</f>
        <v/>
      </c>
    </row>
    <row r="675" customFormat="false" ht="13.5" hidden="false" customHeight="false" outlineLevel="0" collapsed="false">
      <c r="A675" s="1" t="str">
        <f aca="false">IF($C675="","",Controls!$B$7)</f>
        <v/>
      </c>
      <c r="B675" s="1" t="str">
        <f aca="false">IF($H675="","",YEAR($H675)&amp;"-Q"&amp;ROUNDUP(MONTH($H675)/3,0))</f>
        <v/>
      </c>
      <c r="S675" s="1" t="str">
        <f aca="false">IF($C675="","",$C675&amp;"|"&amp;$E675&amp;"|"&amp;$F675&amp;"|"&amp;$L675&amp;"|"&amp;$P675&amp;"|"&amp;TEXT($H675,"yyyy-mm-dd"))</f>
        <v/>
      </c>
      <c r="T675" s="1" t="str">
        <f aca="false">IF($S675="","",IF(COUNTIF($S$2:$S$2991,$S675)&gt;1,"DUPLICATE","OK"))</f>
        <v/>
      </c>
      <c r="U675" s="0" t="str">
        <f aca="false">IF($L675="","",IFERROR(VLOOKUP(--$L675,MM_Income!$Z$5:$AC$204,3,FALSE()),"UNMAPPED"))</f>
        <v/>
      </c>
    </row>
    <row r="676" customFormat="false" ht="13.5" hidden="false" customHeight="false" outlineLevel="0" collapsed="false">
      <c r="A676" s="1" t="str">
        <f aca="false">IF($C676="","",Controls!$B$7)</f>
        <v/>
      </c>
      <c r="B676" s="1" t="str">
        <f aca="false">IF($H676="","",YEAR($H676)&amp;"-Q"&amp;ROUNDUP(MONTH($H676)/3,0))</f>
        <v/>
      </c>
      <c r="S676" s="1" t="str">
        <f aca="false">IF($C676="","",$C676&amp;"|"&amp;$E676&amp;"|"&amp;$F676&amp;"|"&amp;$L676&amp;"|"&amp;$P676&amp;"|"&amp;TEXT($H676,"yyyy-mm-dd"))</f>
        <v/>
      </c>
      <c r="T676" s="1" t="str">
        <f aca="false">IF($S676="","",IF(COUNTIF($S$2:$S$2991,$S676)&gt;1,"DUPLICATE","OK"))</f>
        <v/>
      </c>
      <c r="U676" s="0" t="str">
        <f aca="false">IF($L676="","",IFERROR(VLOOKUP(--$L676,MM_Income!$Z$5:$AC$204,3,FALSE()),"UNMAPPED"))</f>
        <v/>
      </c>
    </row>
    <row r="677" customFormat="false" ht="13.5" hidden="false" customHeight="false" outlineLevel="0" collapsed="false">
      <c r="A677" s="1" t="str">
        <f aca="false">IF($C677="","",Controls!$B$7)</f>
        <v/>
      </c>
      <c r="B677" s="1" t="str">
        <f aca="false">IF($H677="","",YEAR($H677)&amp;"-Q"&amp;ROUNDUP(MONTH($H677)/3,0))</f>
        <v/>
      </c>
      <c r="S677" s="1" t="str">
        <f aca="false">IF($C677="","",$C677&amp;"|"&amp;$E677&amp;"|"&amp;$F677&amp;"|"&amp;$L677&amp;"|"&amp;$P677&amp;"|"&amp;TEXT($H677,"yyyy-mm-dd"))</f>
        <v/>
      </c>
      <c r="T677" s="1" t="str">
        <f aca="false">IF($S677="","",IF(COUNTIF($S$2:$S$2991,$S677)&gt;1,"DUPLICATE","OK"))</f>
        <v/>
      </c>
      <c r="U677" s="0" t="str">
        <f aca="false">IF($L677="","",IFERROR(VLOOKUP(--$L677,MM_Income!$Z$5:$AC$204,3,FALSE()),"UNMAPPED"))</f>
        <v/>
      </c>
    </row>
    <row r="678" customFormat="false" ht="13.5" hidden="false" customHeight="false" outlineLevel="0" collapsed="false">
      <c r="A678" s="1" t="str">
        <f aca="false">IF($C678="","",Controls!$B$7)</f>
        <v/>
      </c>
      <c r="B678" s="1" t="str">
        <f aca="false">IF($H678="","",YEAR($H678)&amp;"-Q"&amp;ROUNDUP(MONTH($H678)/3,0))</f>
        <v/>
      </c>
      <c r="S678" s="1" t="str">
        <f aca="false">IF($C678="","",$C678&amp;"|"&amp;$E678&amp;"|"&amp;$F678&amp;"|"&amp;$L678&amp;"|"&amp;$P678&amp;"|"&amp;TEXT($H678,"yyyy-mm-dd"))</f>
        <v/>
      </c>
      <c r="T678" s="1" t="str">
        <f aca="false">IF($S678="","",IF(COUNTIF($S$2:$S$2991,$S678)&gt;1,"DUPLICATE","OK"))</f>
        <v/>
      </c>
      <c r="U678" s="0" t="str">
        <f aca="false">IF($L678="","",IFERROR(VLOOKUP(--$L678,MM_Income!$Z$5:$AC$204,3,FALSE()),"UNMAPPED"))</f>
        <v/>
      </c>
    </row>
    <row r="679" customFormat="false" ht="13.5" hidden="false" customHeight="false" outlineLevel="0" collapsed="false">
      <c r="A679" s="1" t="str">
        <f aca="false">IF($C679="","",Controls!$B$7)</f>
        <v/>
      </c>
      <c r="B679" s="1" t="str">
        <f aca="false">IF($H679="","",YEAR($H679)&amp;"-Q"&amp;ROUNDUP(MONTH($H679)/3,0))</f>
        <v/>
      </c>
      <c r="S679" s="1" t="str">
        <f aca="false">IF($C679="","",$C679&amp;"|"&amp;$E679&amp;"|"&amp;$F679&amp;"|"&amp;$L679&amp;"|"&amp;$P679&amp;"|"&amp;TEXT($H679,"yyyy-mm-dd"))</f>
        <v/>
      </c>
      <c r="T679" s="1" t="str">
        <f aca="false">IF($S679="","",IF(COUNTIF($S$2:$S$2991,$S679)&gt;1,"DUPLICATE","OK"))</f>
        <v/>
      </c>
      <c r="U679" s="0" t="str">
        <f aca="false">IF($L679="","",IFERROR(VLOOKUP(--$L679,MM_Income!$Z$5:$AC$204,3,FALSE()),"UNMAPPED"))</f>
        <v/>
      </c>
    </row>
    <row r="680" customFormat="false" ht="13.5" hidden="false" customHeight="false" outlineLevel="0" collapsed="false">
      <c r="A680" s="1" t="str">
        <f aca="false">IF($C680="","",Controls!$B$7)</f>
        <v/>
      </c>
      <c r="B680" s="1" t="str">
        <f aca="false">IF($H680="","",YEAR($H680)&amp;"-Q"&amp;ROUNDUP(MONTH($H680)/3,0))</f>
        <v/>
      </c>
      <c r="S680" s="1" t="str">
        <f aca="false">IF($C680="","",$C680&amp;"|"&amp;$E680&amp;"|"&amp;$F680&amp;"|"&amp;$L680&amp;"|"&amp;$P680&amp;"|"&amp;TEXT($H680,"yyyy-mm-dd"))</f>
        <v/>
      </c>
      <c r="T680" s="1" t="str">
        <f aca="false">IF($S680="","",IF(COUNTIF($S$2:$S$2991,$S680)&gt;1,"DUPLICATE","OK"))</f>
        <v/>
      </c>
      <c r="U680" s="0" t="str">
        <f aca="false">IF($L680="","",IFERROR(VLOOKUP(--$L680,MM_Income!$Z$5:$AC$204,3,FALSE()),"UNMAPPED"))</f>
        <v/>
      </c>
    </row>
    <row r="681" customFormat="false" ht="13.5" hidden="false" customHeight="false" outlineLevel="0" collapsed="false">
      <c r="A681" s="1" t="str">
        <f aca="false">IF($C681="","",Controls!$B$7)</f>
        <v/>
      </c>
      <c r="B681" s="1" t="str">
        <f aca="false">IF($H681="","",YEAR($H681)&amp;"-Q"&amp;ROUNDUP(MONTH($H681)/3,0))</f>
        <v/>
      </c>
      <c r="S681" s="1" t="str">
        <f aca="false">IF($C681="","",$C681&amp;"|"&amp;$E681&amp;"|"&amp;$F681&amp;"|"&amp;$L681&amp;"|"&amp;$P681&amp;"|"&amp;TEXT($H681,"yyyy-mm-dd"))</f>
        <v/>
      </c>
      <c r="T681" s="1" t="str">
        <f aca="false">IF($S681="","",IF(COUNTIF($S$2:$S$2991,$S681)&gt;1,"DUPLICATE","OK"))</f>
        <v/>
      </c>
      <c r="U681" s="0" t="str">
        <f aca="false">IF($L681="","",IFERROR(VLOOKUP(--$L681,MM_Income!$Z$5:$AC$204,3,FALSE()),"UNMAPPED"))</f>
        <v/>
      </c>
    </row>
    <row r="682" customFormat="false" ht="13.5" hidden="false" customHeight="false" outlineLevel="0" collapsed="false">
      <c r="A682" s="1" t="str">
        <f aca="false">IF($C682="","",Controls!$B$7)</f>
        <v/>
      </c>
      <c r="B682" s="1" t="str">
        <f aca="false">IF($H682="","",YEAR($H682)&amp;"-Q"&amp;ROUNDUP(MONTH($H682)/3,0))</f>
        <v/>
      </c>
      <c r="S682" s="1" t="str">
        <f aca="false">IF($C682="","",$C682&amp;"|"&amp;$E682&amp;"|"&amp;$F682&amp;"|"&amp;$L682&amp;"|"&amp;$P682&amp;"|"&amp;TEXT($H682,"yyyy-mm-dd"))</f>
        <v/>
      </c>
      <c r="T682" s="1" t="str">
        <f aca="false">IF($S682="","",IF(COUNTIF($S$2:$S$2991,$S682)&gt;1,"DUPLICATE","OK"))</f>
        <v/>
      </c>
      <c r="U682" s="0" t="str">
        <f aca="false">IF($L682="","",IFERROR(VLOOKUP(--$L682,MM_Income!$Z$5:$AC$204,3,FALSE()),"UNMAPPED"))</f>
        <v/>
      </c>
    </row>
    <row r="683" customFormat="false" ht="13.5" hidden="false" customHeight="false" outlineLevel="0" collapsed="false">
      <c r="A683" s="1" t="str">
        <f aca="false">IF($C683="","",Controls!$B$7)</f>
        <v/>
      </c>
      <c r="B683" s="1" t="str">
        <f aca="false">IF($H683="","",YEAR($H683)&amp;"-Q"&amp;ROUNDUP(MONTH($H683)/3,0))</f>
        <v/>
      </c>
      <c r="S683" s="1" t="str">
        <f aca="false">IF($C683="","",$C683&amp;"|"&amp;$E683&amp;"|"&amp;$F683&amp;"|"&amp;$L683&amp;"|"&amp;$P683&amp;"|"&amp;TEXT($H683,"yyyy-mm-dd"))</f>
        <v/>
      </c>
      <c r="T683" s="1" t="str">
        <f aca="false">IF($S683="","",IF(COUNTIF($S$2:$S$2991,$S683)&gt;1,"DUPLICATE","OK"))</f>
        <v/>
      </c>
      <c r="U683" s="0" t="str">
        <f aca="false">IF($L683="","",IFERROR(VLOOKUP(--$L683,MM_Income!$Z$5:$AC$204,3,FALSE()),"UNMAPPED"))</f>
        <v/>
      </c>
    </row>
    <row r="684" customFormat="false" ht="13.5" hidden="false" customHeight="false" outlineLevel="0" collapsed="false">
      <c r="A684" s="1" t="str">
        <f aca="false">IF($C684="","",Controls!$B$7)</f>
        <v/>
      </c>
      <c r="B684" s="1" t="str">
        <f aca="false">IF($H684="","",YEAR($H684)&amp;"-Q"&amp;ROUNDUP(MONTH($H684)/3,0))</f>
        <v/>
      </c>
      <c r="S684" s="1" t="str">
        <f aca="false">IF($C684="","",$C684&amp;"|"&amp;$E684&amp;"|"&amp;$F684&amp;"|"&amp;$L684&amp;"|"&amp;$P684&amp;"|"&amp;TEXT($H684,"yyyy-mm-dd"))</f>
        <v/>
      </c>
      <c r="T684" s="1" t="str">
        <f aca="false">IF($S684="","",IF(COUNTIF($S$2:$S$2991,$S684)&gt;1,"DUPLICATE","OK"))</f>
        <v/>
      </c>
      <c r="U684" s="0" t="str">
        <f aca="false">IF($L684="","",IFERROR(VLOOKUP(--$L684,MM_Income!$Z$5:$AC$204,3,FALSE()),"UNMAPPED"))</f>
        <v/>
      </c>
    </row>
    <row r="685" customFormat="false" ht="13.5" hidden="false" customHeight="false" outlineLevel="0" collapsed="false">
      <c r="A685" s="1" t="str">
        <f aca="false">IF($C685="","",Controls!$B$7)</f>
        <v/>
      </c>
      <c r="B685" s="1" t="str">
        <f aca="false">IF($H685="","",YEAR($H685)&amp;"-Q"&amp;ROUNDUP(MONTH($H685)/3,0))</f>
        <v/>
      </c>
      <c r="S685" s="1" t="str">
        <f aca="false">IF($C685="","",$C685&amp;"|"&amp;$E685&amp;"|"&amp;$F685&amp;"|"&amp;$L685&amp;"|"&amp;$P685&amp;"|"&amp;TEXT($H685,"yyyy-mm-dd"))</f>
        <v/>
      </c>
      <c r="T685" s="1" t="str">
        <f aca="false">IF($S685="","",IF(COUNTIF($S$2:$S$2991,$S685)&gt;1,"DUPLICATE","OK"))</f>
        <v/>
      </c>
      <c r="U685" s="0" t="str">
        <f aca="false">IF($L685="","",IFERROR(VLOOKUP(--$L685,MM_Income!$Z$5:$AC$204,3,FALSE()),"UNMAPPED"))</f>
        <v/>
      </c>
    </row>
    <row r="686" customFormat="false" ht="13.5" hidden="false" customHeight="false" outlineLevel="0" collapsed="false">
      <c r="A686" s="1" t="str">
        <f aca="false">IF($C686="","",Controls!$B$7)</f>
        <v/>
      </c>
      <c r="B686" s="1" t="str">
        <f aca="false">IF($H686="","",YEAR($H686)&amp;"-Q"&amp;ROUNDUP(MONTH($H686)/3,0))</f>
        <v/>
      </c>
      <c r="S686" s="1" t="str">
        <f aca="false">IF($C686="","",$C686&amp;"|"&amp;$E686&amp;"|"&amp;$F686&amp;"|"&amp;$L686&amp;"|"&amp;$P686&amp;"|"&amp;TEXT($H686,"yyyy-mm-dd"))</f>
        <v/>
      </c>
      <c r="T686" s="1" t="str">
        <f aca="false">IF($S686="","",IF(COUNTIF($S$2:$S$2991,$S686)&gt;1,"DUPLICATE","OK"))</f>
        <v/>
      </c>
      <c r="U686" s="0" t="str">
        <f aca="false">IF($L686="","",IFERROR(VLOOKUP(--$L686,MM_Income!$Z$5:$AC$204,3,FALSE()),"UNMAPPED"))</f>
        <v/>
      </c>
    </row>
    <row r="687" customFormat="false" ht="13.5" hidden="false" customHeight="false" outlineLevel="0" collapsed="false">
      <c r="A687" s="1" t="str">
        <f aca="false">IF($C687="","",Controls!$B$7)</f>
        <v/>
      </c>
      <c r="B687" s="1" t="str">
        <f aca="false">IF($H687="","",YEAR($H687)&amp;"-Q"&amp;ROUNDUP(MONTH($H687)/3,0))</f>
        <v/>
      </c>
      <c r="S687" s="1" t="str">
        <f aca="false">IF($C687="","",$C687&amp;"|"&amp;$E687&amp;"|"&amp;$F687&amp;"|"&amp;$L687&amp;"|"&amp;$P687&amp;"|"&amp;TEXT($H687,"yyyy-mm-dd"))</f>
        <v/>
      </c>
      <c r="T687" s="1" t="str">
        <f aca="false">IF($S687="","",IF(COUNTIF($S$2:$S$2991,$S687)&gt;1,"DUPLICATE","OK"))</f>
        <v/>
      </c>
      <c r="U687" s="0" t="str">
        <f aca="false">IF($L687="","",IFERROR(VLOOKUP(--$L687,MM_Income!$Z$5:$AC$204,3,FALSE()),"UNMAPPED"))</f>
        <v/>
      </c>
    </row>
    <row r="688" customFormat="false" ht="13.5" hidden="false" customHeight="false" outlineLevel="0" collapsed="false">
      <c r="A688" s="1" t="str">
        <f aca="false">IF($C688="","",Controls!$B$7)</f>
        <v/>
      </c>
      <c r="B688" s="1" t="str">
        <f aca="false">IF($H688="","",YEAR($H688)&amp;"-Q"&amp;ROUNDUP(MONTH($H688)/3,0))</f>
        <v/>
      </c>
      <c r="S688" s="1" t="str">
        <f aca="false">IF($C688="","",$C688&amp;"|"&amp;$E688&amp;"|"&amp;$F688&amp;"|"&amp;$L688&amp;"|"&amp;$P688&amp;"|"&amp;TEXT($H688,"yyyy-mm-dd"))</f>
        <v/>
      </c>
      <c r="T688" s="1" t="str">
        <f aca="false">IF($S688="","",IF(COUNTIF($S$2:$S$2991,$S688)&gt;1,"DUPLICATE","OK"))</f>
        <v/>
      </c>
      <c r="U688" s="0" t="str">
        <f aca="false">IF($L688="","",IFERROR(VLOOKUP(--$L688,MM_Income!$Z$5:$AC$204,3,FALSE()),"UNMAPPED"))</f>
        <v/>
      </c>
    </row>
    <row r="689" customFormat="false" ht="13.5" hidden="false" customHeight="false" outlineLevel="0" collapsed="false">
      <c r="A689" s="1" t="str">
        <f aca="false">IF($C689="","",Controls!$B$7)</f>
        <v/>
      </c>
      <c r="B689" s="1" t="str">
        <f aca="false">IF($H689="","",YEAR($H689)&amp;"-Q"&amp;ROUNDUP(MONTH($H689)/3,0))</f>
        <v/>
      </c>
      <c r="S689" s="1" t="str">
        <f aca="false">IF($C689="","",$C689&amp;"|"&amp;$E689&amp;"|"&amp;$F689&amp;"|"&amp;$L689&amp;"|"&amp;$P689&amp;"|"&amp;TEXT($H689,"yyyy-mm-dd"))</f>
        <v/>
      </c>
      <c r="T689" s="1" t="str">
        <f aca="false">IF($S689="","",IF(COUNTIF($S$2:$S$2991,$S689)&gt;1,"DUPLICATE","OK"))</f>
        <v/>
      </c>
      <c r="U689" s="0" t="str">
        <f aca="false">IF($L689="","",IFERROR(VLOOKUP(--$L689,MM_Income!$Z$5:$AC$204,3,FALSE()),"UNMAPPED"))</f>
        <v/>
      </c>
    </row>
    <row r="690" customFormat="false" ht="13.5" hidden="false" customHeight="false" outlineLevel="0" collapsed="false">
      <c r="A690" s="1" t="str">
        <f aca="false">IF($C690="","",Controls!$B$7)</f>
        <v/>
      </c>
      <c r="B690" s="1" t="str">
        <f aca="false">IF($H690="","",YEAR($H690)&amp;"-Q"&amp;ROUNDUP(MONTH($H690)/3,0))</f>
        <v/>
      </c>
      <c r="S690" s="1" t="str">
        <f aca="false">IF($C690="","",$C690&amp;"|"&amp;$E690&amp;"|"&amp;$F690&amp;"|"&amp;$L690&amp;"|"&amp;$P690&amp;"|"&amp;TEXT($H690,"yyyy-mm-dd"))</f>
        <v/>
      </c>
      <c r="T690" s="1" t="str">
        <f aca="false">IF($S690="","",IF(COUNTIF($S$2:$S$2991,$S690)&gt;1,"DUPLICATE","OK"))</f>
        <v/>
      </c>
      <c r="U690" s="0" t="str">
        <f aca="false">IF($L690="","",IFERROR(VLOOKUP(--$L690,MM_Income!$Z$5:$AC$204,3,FALSE()),"UNMAPPED"))</f>
        <v/>
      </c>
    </row>
    <row r="691" customFormat="false" ht="13.5" hidden="false" customHeight="false" outlineLevel="0" collapsed="false">
      <c r="A691" s="1" t="str">
        <f aca="false">IF($C691="","",Controls!$B$7)</f>
        <v/>
      </c>
      <c r="B691" s="1" t="str">
        <f aca="false">IF($H691="","",YEAR($H691)&amp;"-Q"&amp;ROUNDUP(MONTH($H691)/3,0))</f>
        <v/>
      </c>
      <c r="S691" s="1" t="str">
        <f aca="false">IF($C691="","",$C691&amp;"|"&amp;$E691&amp;"|"&amp;$F691&amp;"|"&amp;$L691&amp;"|"&amp;$P691&amp;"|"&amp;TEXT($H691,"yyyy-mm-dd"))</f>
        <v/>
      </c>
      <c r="T691" s="1" t="str">
        <f aca="false">IF($S691="","",IF(COUNTIF($S$2:$S$2991,$S691)&gt;1,"DUPLICATE","OK"))</f>
        <v/>
      </c>
      <c r="U691" s="0" t="str">
        <f aca="false">IF($L691="","",IFERROR(VLOOKUP(--$L691,MM_Income!$Z$5:$AC$204,3,FALSE()),"UNMAPPED"))</f>
        <v/>
      </c>
    </row>
    <row r="692" customFormat="false" ht="13.5" hidden="false" customHeight="false" outlineLevel="0" collapsed="false">
      <c r="A692" s="1" t="str">
        <f aca="false">IF($C692="","",Controls!$B$7)</f>
        <v/>
      </c>
      <c r="B692" s="1" t="str">
        <f aca="false">IF($H692="","",YEAR($H692)&amp;"-Q"&amp;ROUNDUP(MONTH($H692)/3,0))</f>
        <v/>
      </c>
      <c r="S692" s="1" t="str">
        <f aca="false">IF($C692="","",$C692&amp;"|"&amp;$E692&amp;"|"&amp;$F692&amp;"|"&amp;$L692&amp;"|"&amp;$P692&amp;"|"&amp;TEXT($H692,"yyyy-mm-dd"))</f>
        <v/>
      </c>
      <c r="T692" s="1" t="str">
        <f aca="false">IF($S692="","",IF(COUNTIF($S$2:$S$2991,$S692)&gt;1,"DUPLICATE","OK"))</f>
        <v/>
      </c>
      <c r="U692" s="0" t="str">
        <f aca="false">IF($L692="","",IFERROR(VLOOKUP(--$L692,MM_Income!$Z$5:$AC$204,3,FALSE()),"UNMAPPED"))</f>
        <v/>
      </c>
    </row>
    <row r="693" customFormat="false" ht="13.5" hidden="false" customHeight="false" outlineLevel="0" collapsed="false">
      <c r="A693" s="1" t="str">
        <f aca="false">IF($C693="","",Controls!$B$7)</f>
        <v/>
      </c>
      <c r="B693" s="1" t="str">
        <f aca="false">IF($H693="","",YEAR($H693)&amp;"-Q"&amp;ROUNDUP(MONTH($H693)/3,0))</f>
        <v/>
      </c>
      <c r="S693" s="1" t="str">
        <f aca="false">IF($C693="","",$C693&amp;"|"&amp;$E693&amp;"|"&amp;$F693&amp;"|"&amp;$L693&amp;"|"&amp;$P693&amp;"|"&amp;TEXT($H693,"yyyy-mm-dd"))</f>
        <v/>
      </c>
      <c r="T693" s="1" t="str">
        <f aca="false">IF($S693="","",IF(COUNTIF($S$2:$S$2991,$S693)&gt;1,"DUPLICATE","OK"))</f>
        <v/>
      </c>
      <c r="U693" s="0" t="str">
        <f aca="false">IF($L693="","",IFERROR(VLOOKUP(--$L693,MM_Income!$Z$5:$AC$204,3,FALSE()),"UNMAPPED"))</f>
        <v/>
      </c>
    </row>
    <row r="694" customFormat="false" ht="13.5" hidden="false" customHeight="false" outlineLevel="0" collapsed="false">
      <c r="A694" s="1" t="str">
        <f aca="false">IF($C694="","",Controls!$B$7)</f>
        <v/>
      </c>
      <c r="B694" s="1" t="str">
        <f aca="false">IF($H694="","",YEAR($H694)&amp;"-Q"&amp;ROUNDUP(MONTH($H694)/3,0))</f>
        <v/>
      </c>
      <c r="S694" s="1" t="str">
        <f aca="false">IF($C694="","",$C694&amp;"|"&amp;$E694&amp;"|"&amp;$F694&amp;"|"&amp;$L694&amp;"|"&amp;$P694&amp;"|"&amp;TEXT($H694,"yyyy-mm-dd"))</f>
        <v/>
      </c>
      <c r="T694" s="1" t="str">
        <f aca="false">IF($S694="","",IF(COUNTIF($S$2:$S$2991,$S694)&gt;1,"DUPLICATE","OK"))</f>
        <v/>
      </c>
      <c r="U694" s="0" t="str">
        <f aca="false">IF($L694="","",IFERROR(VLOOKUP(--$L694,MM_Income!$Z$5:$AC$204,3,FALSE()),"UNMAPPED"))</f>
        <v/>
      </c>
    </row>
    <row r="695" customFormat="false" ht="13.5" hidden="false" customHeight="false" outlineLevel="0" collapsed="false">
      <c r="A695" s="1" t="str">
        <f aca="false">IF($C695="","",Controls!$B$7)</f>
        <v/>
      </c>
      <c r="B695" s="1" t="str">
        <f aca="false">IF($H695="","",YEAR($H695)&amp;"-Q"&amp;ROUNDUP(MONTH($H695)/3,0))</f>
        <v/>
      </c>
      <c r="S695" s="1" t="str">
        <f aca="false">IF($C695="","",$C695&amp;"|"&amp;$E695&amp;"|"&amp;$F695&amp;"|"&amp;$L695&amp;"|"&amp;$P695&amp;"|"&amp;TEXT($H695,"yyyy-mm-dd"))</f>
        <v/>
      </c>
      <c r="T695" s="1" t="str">
        <f aca="false">IF($S695="","",IF(COUNTIF($S$2:$S$2991,$S695)&gt;1,"DUPLICATE","OK"))</f>
        <v/>
      </c>
      <c r="U695" s="0" t="str">
        <f aca="false">IF($L695="","",IFERROR(VLOOKUP(--$L695,MM_Income!$Z$5:$AC$204,3,FALSE()),"UNMAPPED"))</f>
        <v/>
      </c>
    </row>
    <row r="696" customFormat="false" ht="13.5" hidden="false" customHeight="false" outlineLevel="0" collapsed="false">
      <c r="A696" s="1" t="str">
        <f aca="false">IF($C696="","",Controls!$B$7)</f>
        <v/>
      </c>
      <c r="B696" s="1" t="str">
        <f aca="false">IF($H696="","",YEAR($H696)&amp;"-Q"&amp;ROUNDUP(MONTH($H696)/3,0))</f>
        <v/>
      </c>
      <c r="S696" s="1" t="str">
        <f aca="false">IF($C696="","",$C696&amp;"|"&amp;$E696&amp;"|"&amp;$F696&amp;"|"&amp;$L696&amp;"|"&amp;$P696&amp;"|"&amp;TEXT($H696,"yyyy-mm-dd"))</f>
        <v/>
      </c>
      <c r="T696" s="1" t="str">
        <f aca="false">IF($S696="","",IF(COUNTIF($S$2:$S$2991,$S696)&gt;1,"DUPLICATE","OK"))</f>
        <v/>
      </c>
      <c r="U696" s="0" t="str">
        <f aca="false">IF($L696="","",IFERROR(VLOOKUP(--$L696,MM_Income!$Z$5:$AC$204,3,FALSE()),"UNMAPPED"))</f>
        <v/>
      </c>
    </row>
    <row r="697" customFormat="false" ht="13.5" hidden="false" customHeight="false" outlineLevel="0" collapsed="false">
      <c r="A697" s="1" t="str">
        <f aca="false">IF($C697="","",Controls!$B$7)</f>
        <v/>
      </c>
      <c r="B697" s="1" t="str">
        <f aca="false">IF($H697="","",YEAR($H697)&amp;"-Q"&amp;ROUNDUP(MONTH($H697)/3,0))</f>
        <v/>
      </c>
      <c r="S697" s="1" t="str">
        <f aca="false">IF($C697="","",$C697&amp;"|"&amp;$E697&amp;"|"&amp;$F697&amp;"|"&amp;$L697&amp;"|"&amp;$P697&amp;"|"&amp;TEXT($H697,"yyyy-mm-dd"))</f>
        <v/>
      </c>
      <c r="T697" s="1" t="str">
        <f aca="false">IF($S697="","",IF(COUNTIF($S$2:$S$2991,$S697)&gt;1,"DUPLICATE","OK"))</f>
        <v/>
      </c>
      <c r="U697" s="0" t="str">
        <f aca="false">IF($L697="","",IFERROR(VLOOKUP(--$L697,MM_Income!$Z$5:$AC$204,3,FALSE()),"UNMAPPED"))</f>
        <v/>
      </c>
    </row>
    <row r="698" customFormat="false" ht="13.5" hidden="false" customHeight="false" outlineLevel="0" collapsed="false">
      <c r="A698" s="1" t="str">
        <f aca="false">IF($C698="","",Controls!$B$7)</f>
        <v/>
      </c>
      <c r="B698" s="1" t="str">
        <f aca="false">IF($H698="","",YEAR($H698)&amp;"-Q"&amp;ROUNDUP(MONTH($H698)/3,0))</f>
        <v/>
      </c>
      <c r="S698" s="1" t="str">
        <f aca="false">IF($C698="","",$C698&amp;"|"&amp;$E698&amp;"|"&amp;$F698&amp;"|"&amp;$L698&amp;"|"&amp;$P698&amp;"|"&amp;TEXT($H698,"yyyy-mm-dd"))</f>
        <v/>
      </c>
      <c r="T698" s="1" t="str">
        <f aca="false">IF($S698="","",IF(COUNTIF($S$2:$S$2991,$S698)&gt;1,"DUPLICATE","OK"))</f>
        <v/>
      </c>
      <c r="U698" s="0" t="str">
        <f aca="false">IF($L698="","",IFERROR(VLOOKUP(--$L698,MM_Income!$Z$5:$AC$204,3,FALSE()),"UNMAPPED"))</f>
        <v/>
      </c>
    </row>
    <row r="699" customFormat="false" ht="13.5" hidden="false" customHeight="false" outlineLevel="0" collapsed="false">
      <c r="A699" s="1" t="str">
        <f aca="false">IF($C699="","",Controls!$B$7)</f>
        <v/>
      </c>
      <c r="B699" s="1" t="str">
        <f aca="false">IF($H699="","",YEAR($H699)&amp;"-Q"&amp;ROUNDUP(MONTH($H699)/3,0))</f>
        <v/>
      </c>
      <c r="S699" s="1" t="str">
        <f aca="false">IF($C699="","",$C699&amp;"|"&amp;$E699&amp;"|"&amp;$F699&amp;"|"&amp;$L699&amp;"|"&amp;$P699&amp;"|"&amp;TEXT($H699,"yyyy-mm-dd"))</f>
        <v/>
      </c>
      <c r="T699" s="1" t="str">
        <f aca="false">IF($S699="","",IF(COUNTIF($S$2:$S$2991,$S699)&gt;1,"DUPLICATE","OK"))</f>
        <v/>
      </c>
      <c r="U699" s="0" t="str">
        <f aca="false">IF($L699="","",IFERROR(VLOOKUP(--$L699,MM_Income!$Z$5:$AC$204,3,FALSE()),"UNMAPPED"))</f>
        <v/>
      </c>
    </row>
    <row r="700" customFormat="false" ht="13.5" hidden="false" customHeight="false" outlineLevel="0" collapsed="false">
      <c r="A700" s="1" t="str">
        <f aca="false">IF($C700="","",Controls!$B$7)</f>
        <v/>
      </c>
      <c r="B700" s="1" t="str">
        <f aca="false">IF($H700="","",YEAR($H700)&amp;"-Q"&amp;ROUNDUP(MONTH($H700)/3,0))</f>
        <v/>
      </c>
      <c r="S700" s="1" t="str">
        <f aca="false">IF($C700="","",$C700&amp;"|"&amp;$E700&amp;"|"&amp;$F700&amp;"|"&amp;$L700&amp;"|"&amp;$P700&amp;"|"&amp;TEXT($H700,"yyyy-mm-dd"))</f>
        <v/>
      </c>
      <c r="T700" s="1" t="str">
        <f aca="false">IF($S700="","",IF(COUNTIF($S$2:$S$2991,$S700)&gt;1,"DUPLICATE","OK"))</f>
        <v/>
      </c>
      <c r="U700" s="0" t="str">
        <f aca="false">IF($L700="","",IFERROR(VLOOKUP(--$L700,MM_Income!$Z$5:$AC$204,3,FALSE()),"UNMAPPED"))</f>
        <v/>
      </c>
    </row>
    <row r="701" customFormat="false" ht="13.5" hidden="false" customHeight="false" outlineLevel="0" collapsed="false">
      <c r="A701" s="1" t="str">
        <f aca="false">IF($C701="","",Controls!$B$7)</f>
        <v/>
      </c>
      <c r="B701" s="1" t="str">
        <f aca="false">IF($H701="","",YEAR($H701)&amp;"-Q"&amp;ROUNDUP(MONTH($H701)/3,0))</f>
        <v/>
      </c>
      <c r="S701" s="1" t="str">
        <f aca="false">IF($C701="","",$C701&amp;"|"&amp;$E701&amp;"|"&amp;$F701&amp;"|"&amp;$L701&amp;"|"&amp;$P701&amp;"|"&amp;TEXT($H701,"yyyy-mm-dd"))</f>
        <v/>
      </c>
      <c r="T701" s="1" t="str">
        <f aca="false">IF($S701="","",IF(COUNTIF($S$2:$S$2991,$S701)&gt;1,"DUPLICATE","OK"))</f>
        <v/>
      </c>
      <c r="U701" s="0" t="str">
        <f aca="false">IF($L701="","",IFERROR(VLOOKUP(--$L701,MM_Income!$Z$5:$AC$204,3,FALSE()),"UNMAPPED"))</f>
        <v/>
      </c>
    </row>
    <row r="702" customFormat="false" ht="13.5" hidden="false" customHeight="false" outlineLevel="0" collapsed="false">
      <c r="A702" s="1" t="str">
        <f aca="false">IF($C702="","",Controls!$B$7)</f>
        <v/>
      </c>
      <c r="B702" s="1" t="str">
        <f aca="false">IF($H702="","",YEAR($H702)&amp;"-Q"&amp;ROUNDUP(MONTH($H702)/3,0))</f>
        <v/>
      </c>
      <c r="S702" s="1" t="str">
        <f aca="false">IF($C702="","",$C702&amp;"|"&amp;$E702&amp;"|"&amp;$F702&amp;"|"&amp;$L702&amp;"|"&amp;$P702&amp;"|"&amp;TEXT($H702,"yyyy-mm-dd"))</f>
        <v/>
      </c>
      <c r="T702" s="1" t="str">
        <f aca="false">IF($S702="","",IF(COUNTIF($S$2:$S$2991,$S702)&gt;1,"DUPLICATE","OK"))</f>
        <v/>
      </c>
      <c r="U702" s="0" t="str">
        <f aca="false">IF($L702="","",IFERROR(VLOOKUP(--$L702,MM_Income!$Z$5:$AC$204,3,FALSE()),"UNMAPPED"))</f>
        <v/>
      </c>
    </row>
    <row r="703" customFormat="false" ht="13.5" hidden="false" customHeight="false" outlineLevel="0" collapsed="false">
      <c r="A703" s="1" t="str">
        <f aca="false">IF($C703="","",Controls!$B$7)</f>
        <v/>
      </c>
      <c r="B703" s="1" t="str">
        <f aca="false">IF($H703="","",YEAR($H703)&amp;"-Q"&amp;ROUNDUP(MONTH($H703)/3,0))</f>
        <v/>
      </c>
      <c r="S703" s="1" t="str">
        <f aca="false">IF($C703="","",$C703&amp;"|"&amp;$E703&amp;"|"&amp;$F703&amp;"|"&amp;$L703&amp;"|"&amp;$P703&amp;"|"&amp;TEXT($H703,"yyyy-mm-dd"))</f>
        <v/>
      </c>
      <c r="T703" s="1" t="str">
        <f aca="false">IF($S703="","",IF(COUNTIF($S$2:$S$2991,$S703)&gt;1,"DUPLICATE","OK"))</f>
        <v/>
      </c>
      <c r="U703" s="0" t="str">
        <f aca="false">IF($L703="","",IFERROR(VLOOKUP(--$L703,MM_Income!$Z$5:$AC$204,3,FALSE()),"UNMAPPED"))</f>
        <v/>
      </c>
    </row>
    <row r="704" customFormat="false" ht="13.5" hidden="false" customHeight="false" outlineLevel="0" collapsed="false">
      <c r="A704" s="1" t="str">
        <f aca="false">IF($C704="","",Controls!$B$7)</f>
        <v/>
      </c>
      <c r="B704" s="1" t="str">
        <f aca="false">IF($H704="","",YEAR($H704)&amp;"-Q"&amp;ROUNDUP(MONTH($H704)/3,0))</f>
        <v/>
      </c>
      <c r="S704" s="1" t="str">
        <f aca="false">IF($C704="","",$C704&amp;"|"&amp;$E704&amp;"|"&amp;$F704&amp;"|"&amp;$L704&amp;"|"&amp;$P704&amp;"|"&amp;TEXT($H704,"yyyy-mm-dd"))</f>
        <v/>
      </c>
      <c r="T704" s="1" t="str">
        <f aca="false">IF($S704="","",IF(COUNTIF($S$2:$S$2991,$S704)&gt;1,"DUPLICATE","OK"))</f>
        <v/>
      </c>
      <c r="U704" s="0" t="str">
        <f aca="false">IF($L704="","",IFERROR(VLOOKUP(--$L704,MM_Income!$Z$5:$AC$204,3,FALSE()),"UNMAPPED"))</f>
        <v/>
      </c>
    </row>
    <row r="705" customFormat="false" ht="13.5" hidden="false" customHeight="false" outlineLevel="0" collapsed="false">
      <c r="A705" s="1" t="str">
        <f aca="false">IF($C705="","",Controls!$B$7)</f>
        <v/>
      </c>
      <c r="B705" s="1" t="str">
        <f aca="false">IF($H705="","",YEAR($H705)&amp;"-Q"&amp;ROUNDUP(MONTH($H705)/3,0))</f>
        <v/>
      </c>
      <c r="S705" s="1" t="str">
        <f aca="false">IF($C705="","",$C705&amp;"|"&amp;$E705&amp;"|"&amp;$F705&amp;"|"&amp;$L705&amp;"|"&amp;$P705&amp;"|"&amp;TEXT($H705,"yyyy-mm-dd"))</f>
        <v/>
      </c>
      <c r="T705" s="1" t="str">
        <f aca="false">IF($S705="","",IF(COUNTIF($S$2:$S$2991,$S705)&gt;1,"DUPLICATE","OK"))</f>
        <v/>
      </c>
      <c r="U705" s="0" t="str">
        <f aca="false">IF($L705="","",IFERROR(VLOOKUP(--$L705,MM_Income!$Z$5:$AC$204,3,FALSE()),"UNMAPPED"))</f>
        <v/>
      </c>
    </row>
    <row r="706" customFormat="false" ht="13.5" hidden="false" customHeight="false" outlineLevel="0" collapsed="false">
      <c r="A706" s="1" t="str">
        <f aca="false">IF($C706="","",Controls!$B$7)</f>
        <v/>
      </c>
      <c r="B706" s="1" t="str">
        <f aca="false">IF($H706="","",YEAR($H706)&amp;"-Q"&amp;ROUNDUP(MONTH($H706)/3,0))</f>
        <v/>
      </c>
      <c r="S706" s="1" t="str">
        <f aca="false">IF($C706="","",$C706&amp;"|"&amp;$E706&amp;"|"&amp;$F706&amp;"|"&amp;$L706&amp;"|"&amp;$P706&amp;"|"&amp;TEXT($H706,"yyyy-mm-dd"))</f>
        <v/>
      </c>
      <c r="T706" s="1" t="str">
        <f aca="false">IF($S706="","",IF(COUNTIF($S$2:$S$2991,$S706)&gt;1,"DUPLICATE","OK"))</f>
        <v/>
      </c>
      <c r="U706" s="0" t="str">
        <f aca="false">IF($L706="","",IFERROR(VLOOKUP(--$L706,MM_Income!$Z$5:$AC$204,3,FALSE()),"UNMAPPED"))</f>
        <v/>
      </c>
    </row>
    <row r="707" customFormat="false" ht="13.5" hidden="false" customHeight="false" outlineLevel="0" collapsed="false">
      <c r="A707" s="1" t="str">
        <f aca="false">IF($C707="","",Controls!$B$7)</f>
        <v/>
      </c>
      <c r="B707" s="1" t="str">
        <f aca="false">IF($H707="","",YEAR($H707)&amp;"-Q"&amp;ROUNDUP(MONTH($H707)/3,0))</f>
        <v/>
      </c>
      <c r="S707" s="1" t="str">
        <f aca="false">IF($C707="","",$C707&amp;"|"&amp;$E707&amp;"|"&amp;$F707&amp;"|"&amp;$L707&amp;"|"&amp;$P707&amp;"|"&amp;TEXT($H707,"yyyy-mm-dd"))</f>
        <v/>
      </c>
      <c r="T707" s="1" t="str">
        <f aca="false">IF($S707="","",IF(COUNTIF($S$2:$S$2991,$S707)&gt;1,"DUPLICATE","OK"))</f>
        <v/>
      </c>
      <c r="U707" s="0" t="str">
        <f aca="false">IF($L707="","",IFERROR(VLOOKUP(--$L707,MM_Income!$Z$5:$AC$204,3,FALSE()),"UNMAPPED"))</f>
        <v/>
      </c>
    </row>
    <row r="708" customFormat="false" ht="13.5" hidden="false" customHeight="false" outlineLevel="0" collapsed="false">
      <c r="A708" s="1" t="str">
        <f aca="false">IF($C708="","",Controls!$B$7)</f>
        <v/>
      </c>
      <c r="B708" s="1" t="str">
        <f aca="false">IF($H708="","",YEAR($H708)&amp;"-Q"&amp;ROUNDUP(MONTH($H708)/3,0))</f>
        <v/>
      </c>
      <c r="S708" s="1" t="str">
        <f aca="false">IF($C708="","",$C708&amp;"|"&amp;$E708&amp;"|"&amp;$F708&amp;"|"&amp;$L708&amp;"|"&amp;$P708&amp;"|"&amp;TEXT($H708,"yyyy-mm-dd"))</f>
        <v/>
      </c>
      <c r="T708" s="1" t="str">
        <f aca="false">IF($S708="","",IF(COUNTIF($S$2:$S$2991,$S708)&gt;1,"DUPLICATE","OK"))</f>
        <v/>
      </c>
      <c r="U708" s="0" t="str">
        <f aca="false">IF($L708="","",IFERROR(VLOOKUP(--$L708,MM_Income!$Z$5:$AC$204,3,FALSE()),"UNMAPPED"))</f>
        <v/>
      </c>
    </row>
    <row r="709" customFormat="false" ht="13.5" hidden="false" customHeight="false" outlineLevel="0" collapsed="false">
      <c r="A709" s="1" t="str">
        <f aca="false">IF($C709="","",Controls!$B$7)</f>
        <v/>
      </c>
      <c r="B709" s="1" t="str">
        <f aca="false">IF($H709="","",YEAR($H709)&amp;"-Q"&amp;ROUNDUP(MONTH($H709)/3,0))</f>
        <v/>
      </c>
      <c r="S709" s="1" t="str">
        <f aca="false">IF($C709="","",$C709&amp;"|"&amp;$E709&amp;"|"&amp;$F709&amp;"|"&amp;$L709&amp;"|"&amp;$P709&amp;"|"&amp;TEXT($H709,"yyyy-mm-dd"))</f>
        <v/>
      </c>
      <c r="T709" s="1" t="str">
        <f aca="false">IF($S709="","",IF(COUNTIF($S$2:$S$2991,$S709)&gt;1,"DUPLICATE","OK"))</f>
        <v/>
      </c>
      <c r="U709" s="0" t="str">
        <f aca="false">IF($L709="","",IFERROR(VLOOKUP(--$L709,MM_Income!$Z$5:$AC$204,3,FALSE()),"UNMAPPED"))</f>
        <v/>
      </c>
    </row>
    <row r="710" customFormat="false" ht="13.5" hidden="false" customHeight="false" outlineLevel="0" collapsed="false">
      <c r="A710" s="1" t="str">
        <f aca="false">IF($C710="","",Controls!$B$7)</f>
        <v/>
      </c>
      <c r="B710" s="1" t="str">
        <f aca="false">IF($H710="","",YEAR($H710)&amp;"-Q"&amp;ROUNDUP(MONTH($H710)/3,0))</f>
        <v/>
      </c>
      <c r="S710" s="1" t="str">
        <f aca="false">IF($C710="","",$C710&amp;"|"&amp;$E710&amp;"|"&amp;$F710&amp;"|"&amp;$L710&amp;"|"&amp;$P710&amp;"|"&amp;TEXT($H710,"yyyy-mm-dd"))</f>
        <v/>
      </c>
      <c r="T710" s="1" t="str">
        <f aca="false">IF($S710="","",IF(COUNTIF($S$2:$S$2991,$S710)&gt;1,"DUPLICATE","OK"))</f>
        <v/>
      </c>
      <c r="U710" s="0" t="str">
        <f aca="false">IF($L710="","",IFERROR(VLOOKUP(--$L710,MM_Income!$Z$5:$AC$204,3,FALSE()),"UNMAPPED"))</f>
        <v/>
      </c>
    </row>
    <row r="711" customFormat="false" ht="13.5" hidden="false" customHeight="false" outlineLevel="0" collapsed="false">
      <c r="A711" s="1" t="str">
        <f aca="false">IF($C711="","",Controls!$B$7)</f>
        <v/>
      </c>
      <c r="B711" s="1" t="str">
        <f aca="false">IF($H711="","",YEAR($H711)&amp;"-Q"&amp;ROUNDUP(MONTH($H711)/3,0))</f>
        <v/>
      </c>
      <c r="S711" s="1" t="str">
        <f aca="false">IF($C711="","",$C711&amp;"|"&amp;$E711&amp;"|"&amp;$F711&amp;"|"&amp;$L711&amp;"|"&amp;$P711&amp;"|"&amp;TEXT($H711,"yyyy-mm-dd"))</f>
        <v/>
      </c>
      <c r="T711" s="1" t="str">
        <f aca="false">IF($S711="","",IF(COUNTIF($S$2:$S$2991,$S711)&gt;1,"DUPLICATE","OK"))</f>
        <v/>
      </c>
      <c r="U711" s="0" t="str">
        <f aca="false">IF($L711="","",IFERROR(VLOOKUP(--$L711,MM_Income!$Z$5:$AC$204,3,FALSE()),"UNMAPPED"))</f>
        <v/>
      </c>
    </row>
    <row r="712" customFormat="false" ht="13.5" hidden="false" customHeight="false" outlineLevel="0" collapsed="false">
      <c r="A712" s="1" t="str">
        <f aca="false">IF($C712="","",Controls!$B$7)</f>
        <v/>
      </c>
      <c r="B712" s="1" t="str">
        <f aca="false">IF($H712="","",YEAR($H712)&amp;"-Q"&amp;ROUNDUP(MONTH($H712)/3,0))</f>
        <v/>
      </c>
      <c r="S712" s="1" t="str">
        <f aca="false">IF($C712="","",$C712&amp;"|"&amp;$E712&amp;"|"&amp;$F712&amp;"|"&amp;$L712&amp;"|"&amp;$P712&amp;"|"&amp;TEXT($H712,"yyyy-mm-dd"))</f>
        <v/>
      </c>
      <c r="T712" s="1" t="str">
        <f aca="false">IF($S712="","",IF(COUNTIF($S$2:$S$2991,$S712)&gt;1,"DUPLICATE","OK"))</f>
        <v/>
      </c>
      <c r="U712" s="0" t="str">
        <f aca="false">IF($L712="","",IFERROR(VLOOKUP(--$L712,MM_Income!$Z$5:$AC$204,3,FALSE()),"UNMAPPED"))</f>
        <v/>
      </c>
    </row>
    <row r="713" customFormat="false" ht="13.5" hidden="false" customHeight="false" outlineLevel="0" collapsed="false">
      <c r="A713" s="1" t="str">
        <f aca="false">IF($C713="","",Controls!$B$7)</f>
        <v/>
      </c>
      <c r="B713" s="1" t="str">
        <f aca="false">IF($H713="","",YEAR($H713)&amp;"-Q"&amp;ROUNDUP(MONTH($H713)/3,0))</f>
        <v/>
      </c>
      <c r="S713" s="1" t="str">
        <f aca="false">IF($C713="","",$C713&amp;"|"&amp;$E713&amp;"|"&amp;$F713&amp;"|"&amp;$L713&amp;"|"&amp;$P713&amp;"|"&amp;TEXT($H713,"yyyy-mm-dd"))</f>
        <v/>
      </c>
      <c r="T713" s="1" t="str">
        <f aca="false">IF($S713="","",IF(COUNTIF($S$2:$S$2991,$S713)&gt;1,"DUPLICATE","OK"))</f>
        <v/>
      </c>
      <c r="U713" s="0" t="str">
        <f aca="false">IF($L713="","",IFERROR(VLOOKUP(--$L713,MM_Income!$Z$5:$AC$204,3,FALSE()),"UNMAPPED"))</f>
        <v/>
      </c>
    </row>
    <row r="714" customFormat="false" ht="13.5" hidden="false" customHeight="false" outlineLevel="0" collapsed="false">
      <c r="A714" s="1" t="str">
        <f aca="false">IF($C714="","",Controls!$B$7)</f>
        <v/>
      </c>
      <c r="B714" s="1" t="str">
        <f aca="false">IF($H714="","",YEAR($H714)&amp;"-Q"&amp;ROUNDUP(MONTH($H714)/3,0))</f>
        <v/>
      </c>
      <c r="S714" s="1" t="str">
        <f aca="false">IF($C714="","",$C714&amp;"|"&amp;$E714&amp;"|"&amp;$F714&amp;"|"&amp;$L714&amp;"|"&amp;$P714&amp;"|"&amp;TEXT($H714,"yyyy-mm-dd"))</f>
        <v/>
      </c>
      <c r="T714" s="1" t="str">
        <f aca="false">IF($S714="","",IF(COUNTIF($S$2:$S$2991,$S714)&gt;1,"DUPLICATE","OK"))</f>
        <v/>
      </c>
      <c r="U714" s="0" t="str">
        <f aca="false">IF($L714="","",IFERROR(VLOOKUP(--$L714,MM_Income!$Z$5:$AC$204,3,FALSE()),"UNMAPPED"))</f>
        <v/>
      </c>
    </row>
    <row r="715" customFormat="false" ht="13.5" hidden="false" customHeight="false" outlineLevel="0" collapsed="false">
      <c r="A715" s="1" t="str">
        <f aca="false">IF($C715="","",Controls!$B$7)</f>
        <v/>
      </c>
      <c r="B715" s="1" t="str">
        <f aca="false">IF($H715="","",YEAR($H715)&amp;"-Q"&amp;ROUNDUP(MONTH($H715)/3,0))</f>
        <v/>
      </c>
      <c r="S715" s="1" t="str">
        <f aca="false">IF($C715="","",$C715&amp;"|"&amp;$E715&amp;"|"&amp;$F715&amp;"|"&amp;$L715&amp;"|"&amp;$P715&amp;"|"&amp;TEXT($H715,"yyyy-mm-dd"))</f>
        <v/>
      </c>
      <c r="T715" s="1" t="str">
        <f aca="false">IF($S715="","",IF(COUNTIF($S$2:$S$2991,$S715)&gt;1,"DUPLICATE","OK"))</f>
        <v/>
      </c>
      <c r="U715" s="0" t="str">
        <f aca="false">IF($L715="","",IFERROR(VLOOKUP(--$L715,MM_Income!$Z$5:$AC$204,3,FALSE()),"UNMAPPED"))</f>
        <v/>
      </c>
    </row>
    <row r="716" customFormat="false" ht="13.5" hidden="false" customHeight="false" outlineLevel="0" collapsed="false">
      <c r="A716" s="1" t="str">
        <f aca="false">IF($C716="","",Controls!$B$7)</f>
        <v/>
      </c>
      <c r="B716" s="1" t="str">
        <f aca="false">IF($H716="","",YEAR($H716)&amp;"-Q"&amp;ROUNDUP(MONTH($H716)/3,0))</f>
        <v/>
      </c>
      <c r="S716" s="1" t="str">
        <f aca="false">IF($C716="","",$C716&amp;"|"&amp;$E716&amp;"|"&amp;$F716&amp;"|"&amp;$L716&amp;"|"&amp;$P716&amp;"|"&amp;TEXT($H716,"yyyy-mm-dd"))</f>
        <v/>
      </c>
      <c r="T716" s="1" t="str">
        <f aca="false">IF($S716="","",IF(COUNTIF($S$2:$S$2991,$S716)&gt;1,"DUPLICATE","OK"))</f>
        <v/>
      </c>
      <c r="U716" s="0" t="str">
        <f aca="false">IF($L716="","",IFERROR(VLOOKUP(--$L716,MM_Income!$Z$5:$AC$204,3,FALSE()),"UNMAPPED"))</f>
        <v/>
      </c>
    </row>
    <row r="717" customFormat="false" ht="13.5" hidden="false" customHeight="false" outlineLevel="0" collapsed="false">
      <c r="A717" s="1" t="str">
        <f aca="false">IF($C717="","",Controls!$B$7)</f>
        <v/>
      </c>
      <c r="B717" s="1" t="str">
        <f aca="false">IF($H717="","",YEAR($H717)&amp;"-Q"&amp;ROUNDUP(MONTH($H717)/3,0))</f>
        <v/>
      </c>
      <c r="S717" s="1" t="str">
        <f aca="false">IF($C717="","",$C717&amp;"|"&amp;$E717&amp;"|"&amp;$F717&amp;"|"&amp;$L717&amp;"|"&amp;$P717&amp;"|"&amp;TEXT($H717,"yyyy-mm-dd"))</f>
        <v/>
      </c>
      <c r="T717" s="1" t="str">
        <f aca="false">IF($S717="","",IF(COUNTIF($S$2:$S$2991,$S717)&gt;1,"DUPLICATE","OK"))</f>
        <v/>
      </c>
      <c r="U717" s="0" t="str">
        <f aca="false">IF($L717="","",IFERROR(VLOOKUP(--$L717,MM_Income!$Z$5:$AC$204,3,FALSE()),"UNMAPPED"))</f>
        <v/>
      </c>
    </row>
    <row r="718" customFormat="false" ht="13.5" hidden="false" customHeight="false" outlineLevel="0" collapsed="false">
      <c r="A718" s="1" t="str">
        <f aca="false">IF($C718="","",Controls!$B$7)</f>
        <v/>
      </c>
      <c r="B718" s="1" t="str">
        <f aca="false">IF($H718="","",YEAR($H718)&amp;"-Q"&amp;ROUNDUP(MONTH($H718)/3,0))</f>
        <v/>
      </c>
      <c r="S718" s="1" t="str">
        <f aca="false">IF($C718="","",$C718&amp;"|"&amp;$E718&amp;"|"&amp;$F718&amp;"|"&amp;$L718&amp;"|"&amp;$P718&amp;"|"&amp;TEXT($H718,"yyyy-mm-dd"))</f>
        <v/>
      </c>
      <c r="T718" s="1" t="str">
        <f aca="false">IF($S718="","",IF(COUNTIF($S$2:$S$2991,$S718)&gt;1,"DUPLICATE","OK"))</f>
        <v/>
      </c>
      <c r="U718" s="0" t="str">
        <f aca="false">IF($L718="","",IFERROR(VLOOKUP(--$L718,MM_Income!$Z$5:$AC$204,3,FALSE()),"UNMAPPED"))</f>
        <v/>
      </c>
    </row>
    <row r="719" customFormat="false" ht="13.5" hidden="false" customHeight="false" outlineLevel="0" collapsed="false">
      <c r="A719" s="1" t="str">
        <f aca="false">IF($C719="","",Controls!$B$7)</f>
        <v/>
      </c>
      <c r="B719" s="1" t="str">
        <f aca="false">IF($H719="","",YEAR($H719)&amp;"-Q"&amp;ROUNDUP(MONTH($H719)/3,0))</f>
        <v/>
      </c>
      <c r="S719" s="1" t="str">
        <f aca="false">IF($C719="","",$C719&amp;"|"&amp;$E719&amp;"|"&amp;$F719&amp;"|"&amp;$L719&amp;"|"&amp;$P719&amp;"|"&amp;TEXT($H719,"yyyy-mm-dd"))</f>
        <v/>
      </c>
      <c r="T719" s="1" t="str">
        <f aca="false">IF($S719="","",IF(COUNTIF($S$2:$S$2991,$S719)&gt;1,"DUPLICATE","OK"))</f>
        <v/>
      </c>
      <c r="U719" s="0" t="str">
        <f aca="false">IF($L719="","",IFERROR(VLOOKUP(--$L719,MM_Income!$Z$5:$AC$204,3,FALSE()),"UNMAPPED"))</f>
        <v/>
      </c>
    </row>
    <row r="720" customFormat="false" ht="13.5" hidden="false" customHeight="false" outlineLevel="0" collapsed="false">
      <c r="A720" s="1" t="str">
        <f aca="false">IF($C720="","",Controls!$B$7)</f>
        <v/>
      </c>
      <c r="B720" s="1" t="str">
        <f aca="false">IF($H720="","",YEAR($H720)&amp;"-Q"&amp;ROUNDUP(MONTH($H720)/3,0))</f>
        <v/>
      </c>
      <c r="S720" s="1" t="str">
        <f aca="false">IF($C720="","",$C720&amp;"|"&amp;$E720&amp;"|"&amp;$F720&amp;"|"&amp;$L720&amp;"|"&amp;$P720&amp;"|"&amp;TEXT($H720,"yyyy-mm-dd"))</f>
        <v/>
      </c>
      <c r="T720" s="1" t="str">
        <f aca="false">IF($S720="","",IF(COUNTIF($S$2:$S$2991,$S720)&gt;1,"DUPLICATE","OK"))</f>
        <v/>
      </c>
      <c r="U720" s="0" t="str">
        <f aca="false">IF($L720="","",IFERROR(VLOOKUP(--$L720,MM_Income!$Z$5:$AC$204,3,FALSE()),"UNMAPPED"))</f>
        <v/>
      </c>
    </row>
    <row r="721" customFormat="false" ht="13.5" hidden="false" customHeight="false" outlineLevel="0" collapsed="false">
      <c r="A721" s="1" t="str">
        <f aca="false">IF($C721="","",Controls!$B$7)</f>
        <v/>
      </c>
      <c r="B721" s="1" t="str">
        <f aca="false">IF($H721="","",YEAR($H721)&amp;"-Q"&amp;ROUNDUP(MONTH($H721)/3,0))</f>
        <v/>
      </c>
      <c r="S721" s="1" t="str">
        <f aca="false">IF($C721="","",$C721&amp;"|"&amp;$E721&amp;"|"&amp;$F721&amp;"|"&amp;$L721&amp;"|"&amp;$P721&amp;"|"&amp;TEXT($H721,"yyyy-mm-dd"))</f>
        <v/>
      </c>
      <c r="T721" s="1" t="str">
        <f aca="false">IF($S721="","",IF(COUNTIF($S$2:$S$2991,$S721)&gt;1,"DUPLICATE","OK"))</f>
        <v/>
      </c>
      <c r="U721" s="0" t="str">
        <f aca="false">IF($L721="","",IFERROR(VLOOKUP(--$L721,MM_Income!$Z$5:$AC$204,3,FALSE()),"UNMAPPED"))</f>
        <v/>
      </c>
    </row>
    <row r="722" customFormat="false" ht="13.5" hidden="false" customHeight="false" outlineLevel="0" collapsed="false">
      <c r="A722" s="1" t="str">
        <f aca="false">IF($C722="","",Controls!$B$7)</f>
        <v/>
      </c>
      <c r="B722" s="1" t="str">
        <f aca="false">IF($H722="","",YEAR($H722)&amp;"-Q"&amp;ROUNDUP(MONTH($H722)/3,0))</f>
        <v/>
      </c>
      <c r="S722" s="1" t="str">
        <f aca="false">IF($C722="","",$C722&amp;"|"&amp;$E722&amp;"|"&amp;$F722&amp;"|"&amp;$L722&amp;"|"&amp;$P722&amp;"|"&amp;TEXT($H722,"yyyy-mm-dd"))</f>
        <v/>
      </c>
      <c r="T722" s="1" t="str">
        <f aca="false">IF($S722="","",IF(COUNTIF($S$2:$S$2991,$S722)&gt;1,"DUPLICATE","OK"))</f>
        <v/>
      </c>
      <c r="U722" s="0" t="str">
        <f aca="false">IF($L722="","",IFERROR(VLOOKUP(--$L722,MM_Income!$Z$5:$AC$204,3,FALSE()),"UNMAPPED"))</f>
        <v/>
      </c>
    </row>
    <row r="723" customFormat="false" ht="13.5" hidden="false" customHeight="false" outlineLevel="0" collapsed="false">
      <c r="A723" s="1" t="str">
        <f aca="false">IF($C723="","",Controls!$B$7)</f>
        <v/>
      </c>
      <c r="B723" s="1" t="str">
        <f aca="false">IF($H723="","",YEAR($H723)&amp;"-Q"&amp;ROUNDUP(MONTH($H723)/3,0))</f>
        <v/>
      </c>
      <c r="S723" s="1" t="str">
        <f aca="false">IF($C723="","",$C723&amp;"|"&amp;$E723&amp;"|"&amp;$F723&amp;"|"&amp;$L723&amp;"|"&amp;$P723&amp;"|"&amp;TEXT($H723,"yyyy-mm-dd"))</f>
        <v/>
      </c>
      <c r="T723" s="1" t="str">
        <f aca="false">IF($S723="","",IF(COUNTIF($S$2:$S$2991,$S723)&gt;1,"DUPLICATE","OK"))</f>
        <v/>
      </c>
      <c r="U723" s="0" t="str">
        <f aca="false">IF($L723="","",IFERROR(VLOOKUP(--$L723,MM_Income!$Z$5:$AC$204,3,FALSE()),"UNMAPPED"))</f>
        <v/>
      </c>
    </row>
    <row r="724" customFormat="false" ht="13.5" hidden="false" customHeight="false" outlineLevel="0" collapsed="false">
      <c r="A724" s="1" t="str">
        <f aca="false">IF($C724="","",Controls!$B$7)</f>
        <v/>
      </c>
      <c r="B724" s="1" t="str">
        <f aca="false">IF($H724="","",YEAR($H724)&amp;"-Q"&amp;ROUNDUP(MONTH($H724)/3,0))</f>
        <v/>
      </c>
      <c r="S724" s="1" t="str">
        <f aca="false">IF($C724="","",$C724&amp;"|"&amp;$E724&amp;"|"&amp;$F724&amp;"|"&amp;$L724&amp;"|"&amp;$P724&amp;"|"&amp;TEXT($H724,"yyyy-mm-dd"))</f>
        <v/>
      </c>
      <c r="T724" s="1" t="str">
        <f aca="false">IF($S724="","",IF(COUNTIF($S$2:$S$2991,$S724)&gt;1,"DUPLICATE","OK"))</f>
        <v/>
      </c>
      <c r="U724" s="0" t="str">
        <f aca="false">IF($L724="","",IFERROR(VLOOKUP(--$L724,MM_Income!$Z$5:$AC$204,3,FALSE()),"UNMAPPED"))</f>
        <v/>
      </c>
    </row>
    <row r="725" customFormat="false" ht="13.5" hidden="false" customHeight="false" outlineLevel="0" collapsed="false">
      <c r="A725" s="1" t="str">
        <f aca="false">IF($C725="","",Controls!$B$7)</f>
        <v/>
      </c>
      <c r="B725" s="1" t="str">
        <f aca="false">IF($H725="","",YEAR($H725)&amp;"-Q"&amp;ROUNDUP(MONTH($H725)/3,0))</f>
        <v/>
      </c>
      <c r="S725" s="1" t="str">
        <f aca="false">IF($C725="","",$C725&amp;"|"&amp;$E725&amp;"|"&amp;$F725&amp;"|"&amp;$L725&amp;"|"&amp;$P725&amp;"|"&amp;TEXT($H725,"yyyy-mm-dd"))</f>
        <v/>
      </c>
      <c r="T725" s="1" t="str">
        <f aca="false">IF($S725="","",IF(COUNTIF($S$2:$S$2991,$S725)&gt;1,"DUPLICATE","OK"))</f>
        <v/>
      </c>
      <c r="U725" s="0" t="str">
        <f aca="false">IF($L725="","",IFERROR(VLOOKUP(--$L725,MM_Income!$Z$5:$AC$204,3,FALSE()),"UNMAPPED"))</f>
        <v/>
      </c>
    </row>
    <row r="726" customFormat="false" ht="13.5" hidden="false" customHeight="false" outlineLevel="0" collapsed="false">
      <c r="A726" s="1" t="str">
        <f aca="false">IF($C726="","",Controls!$B$7)</f>
        <v/>
      </c>
      <c r="B726" s="1" t="str">
        <f aca="false">IF($H726="","",YEAR($H726)&amp;"-Q"&amp;ROUNDUP(MONTH($H726)/3,0))</f>
        <v/>
      </c>
      <c r="S726" s="1" t="str">
        <f aca="false">IF($C726="","",$C726&amp;"|"&amp;$E726&amp;"|"&amp;$F726&amp;"|"&amp;$L726&amp;"|"&amp;$P726&amp;"|"&amp;TEXT($H726,"yyyy-mm-dd"))</f>
        <v/>
      </c>
      <c r="T726" s="1" t="str">
        <f aca="false">IF($S726="","",IF(COUNTIF($S$2:$S$2991,$S726)&gt;1,"DUPLICATE","OK"))</f>
        <v/>
      </c>
      <c r="U726" s="0" t="str">
        <f aca="false">IF($L726="","",IFERROR(VLOOKUP(--$L726,MM_Income!$Z$5:$AC$204,3,FALSE()),"UNMAPPED"))</f>
        <v/>
      </c>
    </row>
    <row r="727" customFormat="false" ht="13.5" hidden="false" customHeight="false" outlineLevel="0" collapsed="false">
      <c r="A727" s="1" t="str">
        <f aca="false">IF($C727="","",Controls!$B$7)</f>
        <v/>
      </c>
      <c r="B727" s="1" t="str">
        <f aca="false">IF($H727="","",YEAR($H727)&amp;"-Q"&amp;ROUNDUP(MONTH($H727)/3,0))</f>
        <v/>
      </c>
      <c r="S727" s="1" t="str">
        <f aca="false">IF($C727="","",$C727&amp;"|"&amp;$E727&amp;"|"&amp;$F727&amp;"|"&amp;$L727&amp;"|"&amp;$P727&amp;"|"&amp;TEXT($H727,"yyyy-mm-dd"))</f>
        <v/>
      </c>
      <c r="T727" s="1" t="str">
        <f aca="false">IF($S727="","",IF(COUNTIF($S$2:$S$2991,$S727)&gt;1,"DUPLICATE","OK"))</f>
        <v/>
      </c>
      <c r="U727" s="0" t="str">
        <f aca="false">IF($L727="","",IFERROR(VLOOKUP(--$L727,MM_Income!$Z$5:$AC$204,3,FALSE()),"UNMAPPED"))</f>
        <v/>
      </c>
    </row>
    <row r="728" customFormat="false" ht="13.5" hidden="false" customHeight="false" outlineLevel="0" collapsed="false">
      <c r="A728" s="1" t="str">
        <f aca="false">IF($C728="","",Controls!$B$7)</f>
        <v/>
      </c>
      <c r="B728" s="1" t="str">
        <f aca="false">IF($H728="","",YEAR($H728)&amp;"-Q"&amp;ROUNDUP(MONTH($H728)/3,0))</f>
        <v/>
      </c>
      <c r="S728" s="1" t="str">
        <f aca="false">IF($C728="","",$C728&amp;"|"&amp;$E728&amp;"|"&amp;$F728&amp;"|"&amp;$L728&amp;"|"&amp;$P728&amp;"|"&amp;TEXT($H728,"yyyy-mm-dd"))</f>
        <v/>
      </c>
      <c r="T728" s="1" t="str">
        <f aca="false">IF($S728="","",IF(COUNTIF($S$2:$S$2991,$S728)&gt;1,"DUPLICATE","OK"))</f>
        <v/>
      </c>
      <c r="U728" s="0" t="str">
        <f aca="false">IF($L728="","",IFERROR(VLOOKUP(--$L728,MM_Income!$Z$5:$AC$204,3,FALSE()),"UNMAPPED"))</f>
        <v/>
      </c>
    </row>
    <row r="729" customFormat="false" ht="13.5" hidden="false" customHeight="false" outlineLevel="0" collapsed="false">
      <c r="A729" s="1" t="str">
        <f aca="false">IF($C729="","",Controls!$B$7)</f>
        <v/>
      </c>
      <c r="B729" s="1" t="str">
        <f aca="false">IF($H729="","",YEAR($H729)&amp;"-Q"&amp;ROUNDUP(MONTH($H729)/3,0))</f>
        <v/>
      </c>
      <c r="S729" s="1" t="str">
        <f aca="false">IF($C729="","",$C729&amp;"|"&amp;$E729&amp;"|"&amp;$F729&amp;"|"&amp;$L729&amp;"|"&amp;$P729&amp;"|"&amp;TEXT($H729,"yyyy-mm-dd"))</f>
        <v/>
      </c>
      <c r="T729" s="1" t="str">
        <f aca="false">IF($S729="","",IF(COUNTIF($S$2:$S$2991,$S729)&gt;1,"DUPLICATE","OK"))</f>
        <v/>
      </c>
      <c r="U729" s="0" t="str">
        <f aca="false">IF($L729="","",IFERROR(VLOOKUP(--$L729,MM_Income!$Z$5:$AC$204,3,FALSE()),"UNMAPPED"))</f>
        <v/>
      </c>
    </row>
    <row r="730" customFormat="false" ht="13.5" hidden="false" customHeight="false" outlineLevel="0" collapsed="false">
      <c r="A730" s="1" t="str">
        <f aca="false">IF($C730="","",Controls!$B$7)</f>
        <v/>
      </c>
      <c r="B730" s="1" t="str">
        <f aca="false">IF($H730="","",YEAR($H730)&amp;"-Q"&amp;ROUNDUP(MONTH($H730)/3,0))</f>
        <v/>
      </c>
      <c r="S730" s="1" t="str">
        <f aca="false">IF($C730="","",$C730&amp;"|"&amp;$E730&amp;"|"&amp;$F730&amp;"|"&amp;$L730&amp;"|"&amp;$P730&amp;"|"&amp;TEXT($H730,"yyyy-mm-dd"))</f>
        <v/>
      </c>
      <c r="T730" s="1" t="str">
        <f aca="false">IF($S730="","",IF(COUNTIF($S$2:$S$2991,$S730)&gt;1,"DUPLICATE","OK"))</f>
        <v/>
      </c>
      <c r="U730" s="0" t="str">
        <f aca="false">IF($L730="","",IFERROR(VLOOKUP(--$L730,MM_Income!$Z$5:$AC$204,3,FALSE()),"UNMAPPED"))</f>
        <v/>
      </c>
    </row>
    <row r="731" customFormat="false" ht="13.5" hidden="false" customHeight="false" outlineLevel="0" collapsed="false">
      <c r="A731" s="1" t="str">
        <f aca="false">IF($C731="","",Controls!$B$7)</f>
        <v/>
      </c>
      <c r="B731" s="1" t="str">
        <f aca="false">IF($H731="","",YEAR($H731)&amp;"-Q"&amp;ROUNDUP(MONTH($H731)/3,0))</f>
        <v/>
      </c>
      <c r="S731" s="1" t="str">
        <f aca="false">IF($C731="","",$C731&amp;"|"&amp;$E731&amp;"|"&amp;$F731&amp;"|"&amp;$L731&amp;"|"&amp;$P731&amp;"|"&amp;TEXT($H731,"yyyy-mm-dd"))</f>
        <v/>
      </c>
      <c r="T731" s="1" t="str">
        <f aca="false">IF($S731="","",IF(COUNTIF($S$2:$S$2991,$S731)&gt;1,"DUPLICATE","OK"))</f>
        <v/>
      </c>
      <c r="U731" s="0" t="str">
        <f aca="false">IF($L731="","",IFERROR(VLOOKUP(--$L731,MM_Income!$Z$5:$AC$204,3,FALSE()),"UNMAPPED"))</f>
        <v/>
      </c>
    </row>
    <row r="732" customFormat="false" ht="13.5" hidden="false" customHeight="false" outlineLevel="0" collapsed="false">
      <c r="A732" s="1" t="str">
        <f aca="false">IF($C732="","",Controls!$B$7)</f>
        <v/>
      </c>
      <c r="B732" s="1" t="str">
        <f aca="false">IF($H732="","",YEAR($H732)&amp;"-Q"&amp;ROUNDUP(MONTH($H732)/3,0))</f>
        <v/>
      </c>
      <c r="S732" s="1" t="str">
        <f aca="false">IF($C732="","",$C732&amp;"|"&amp;$E732&amp;"|"&amp;$F732&amp;"|"&amp;$L732&amp;"|"&amp;$P732&amp;"|"&amp;TEXT($H732,"yyyy-mm-dd"))</f>
        <v/>
      </c>
      <c r="T732" s="1" t="str">
        <f aca="false">IF($S732="","",IF(COUNTIF($S$2:$S$2991,$S732)&gt;1,"DUPLICATE","OK"))</f>
        <v/>
      </c>
      <c r="U732" s="0" t="str">
        <f aca="false">IF($L732="","",IFERROR(VLOOKUP(--$L732,MM_Income!$Z$5:$AC$204,3,FALSE()),"UNMAPPED"))</f>
        <v/>
      </c>
    </row>
    <row r="733" customFormat="false" ht="13.5" hidden="false" customHeight="false" outlineLevel="0" collapsed="false">
      <c r="A733" s="1" t="str">
        <f aca="false">IF($C733="","",Controls!$B$7)</f>
        <v/>
      </c>
      <c r="B733" s="1" t="str">
        <f aca="false">IF($H733="","",YEAR($H733)&amp;"-Q"&amp;ROUNDUP(MONTH($H733)/3,0))</f>
        <v/>
      </c>
      <c r="S733" s="1" t="str">
        <f aca="false">IF($C733="","",$C733&amp;"|"&amp;$E733&amp;"|"&amp;$F733&amp;"|"&amp;$L733&amp;"|"&amp;$P733&amp;"|"&amp;TEXT($H733,"yyyy-mm-dd"))</f>
        <v/>
      </c>
      <c r="T733" s="1" t="str">
        <f aca="false">IF($S733="","",IF(COUNTIF($S$2:$S$2991,$S733)&gt;1,"DUPLICATE","OK"))</f>
        <v/>
      </c>
      <c r="U733" s="0" t="str">
        <f aca="false">IF($L733="","",IFERROR(VLOOKUP(--$L733,MM_Income!$Z$5:$AC$204,3,FALSE()),"UNMAPPED"))</f>
        <v/>
      </c>
    </row>
    <row r="734" customFormat="false" ht="13.5" hidden="false" customHeight="false" outlineLevel="0" collapsed="false">
      <c r="A734" s="1" t="str">
        <f aca="false">IF($C734="","",Controls!$B$7)</f>
        <v/>
      </c>
      <c r="B734" s="1" t="str">
        <f aca="false">IF($H734="","",YEAR($H734)&amp;"-Q"&amp;ROUNDUP(MONTH($H734)/3,0))</f>
        <v/>
      </c>
      <c r="S734" s="1" t="str">
        <f aca="false">IF($C734="","",$C734&amp;"|"&amp;$E734&amp;"|"&amp;$F734&amp;"|"&amp;$L734&amp;"|"&amp;$P734&amp;"|"&amp;TEXT($H734,"yyyy-mm-dd"))</f>
        <v/>
      </c>
      <c r="T734" s="1" t="str">
        <f aca="false">IF($S734="","",IF(COUNTIF($S$2:$S$2991,$S734)&gt;1,"DUPLICATE","OK"))</f>
        <v/>
      </c>
      <c r="U734" s="0" t="str">
        <f aca="false">IF($L734="","",IFERROR(VLOOKUP(--$L734,MM_Income!$Z$5:$AC$204,3,FALSE()),"UNMAPPED"))</f>
        <v/>
      </c>
    </row>
    <row r="735" customFormat="false" ht="13.5" hidden="false" customHeight="false" outlineLevel="0" collapsed="false">
      <c r="A735" s="1" t="str">
        <f aca="false">IF($C735="","",Controls!$B$7)</f>
        <v/>
      </c>
      <c r="B735" s="1" t="str">
        <f aca="false">IF($H735="","",YEAR($H735)&amp;"-Q"&amp;ROUNDUP(MONTH($H735)/3,0))</f>
        <v/>
      </c>
      <c r="S735" s="1" t="str">
        <f aca="false">IF($C735="","",$C735&amp;"|"&amp;$E735&amp;"|"&amp;$F735&amp;"|"&amp;$L735&amp;"|"&amp;$P735&amp;"|"&amp;TEXT($H735,"yyyy-mm-dd"))</f>
        <v/>
      </c>
      <c r="T735" s="1" t="str">
        <f aca="false">IF($S735="","",IF(COUNTIF($S$2:$S$2991,$S735)&gt;1,"DUPLICATE","OK"))</f>
        <v/>
      </c>
      <c r="U735" s="0" t="str">
        <f aca="false">IF($L735="","",IFERROR(VLOOKUP(--$L735,MM_Income!$Z$5:$AC$204,3,FALSE()),"UNMAPPED"))</f>
        <v/>
      </c>
    </row>
    <row r="736" customFormat="false" ht="13.5" hidden="false" customHeight="false" outlineLevel="0" collapsed="false">
      <c r="A736" s="1" t="str">
        <f aca="false">IF($C736="","",Controls!$B$7)</f>
        <v/>
      </c>
      <c r="B736" s="1" t="str">
        <f aca="false">IF($H736="","",YEAR($H736)&amp;"-Q"&amp;ROUNDUP(MONTH($H736)/3,0))</f>
        <v/>
      </c>
      <c r="S736" s="1" t="str">
        <f aca="false">IF($C736="","",$C736&amp;"|"&amp;$E736&amp;"|"&amp;$F736&amp;"|"&amp;$L736&amp;"|"&amp;$P736&amp;"|"&amp;TEXT($H736,"yyyy-mm-dd"))</f>
        <v/>
      </c>
      <c r="T736" s="1" t="str">
        <f aca="false">IF($S736="","",IF(COUNTIF($S$2:$S$2991,$S736)&gt;1,"DUPLICATE","OK"))</f>
        <v/>
      </c>
      <c r="U736" s="0" t="str">
        <f aca="false">IF($L736="","",IFERROR(VLOOKUP(--$L736,MM_Income!$Z$5:$AC$204,3,FALSE()),"UNMAPPED"))</f>
        <v/>
      </c>
    </row>
    <row r="737" customFormat="false" ht="13.5" hidden="false" customHeight="false" outlineLevel="0" collapsed="false">
      <c r="A737" s="1" t="str">
        <f aca="false">IF($C737="","",Controls!$B$7)</f>
        <v/>
      </c>
      <c r="B737" s="1" t="str">
        <f aca="false">IF($H737="","",YEAR($H737)&amp;"-Q"&amp;ROUNDUP(MONTH($H737)/3,0))</f>
        <v/>
      </c>
      <c r="S737" s="1" t="str">
        <f aca="false">IF($C737="","",$C737&amp;"|"&amp;$E737&amp;"|"&amp;$F737&amp;"|"&amp;$L737&amp;"|"&amp;$P737&amp;"|"&amp;TEXT($H737,"yyyy-mm-dd"))</f>
        <v/>
      </c>
      <c r="T737" s="1" t="str">
        <f aca="false">IF($S737="","",IF(COUNTIF($S$2:$S$2991,$S737)&gt;1,"DUPLICATE","OK"))</f>
        <v/>
      </c>
      <c r="U737" s="0" t="str">
        <f aca="false">IF($L737="","",IFERROR(VLOOKUP(--$L737,MM_Income!$Z$5:$AC$204,3,FALSE()),"UNMAPPED"))</f>
        <v/>
      </c>
    </row>
    <row r="738" customFormat="false" ht="13.5" hidden="false" customHeight="false" outlineLevel="0" collapsed="false">
      <c r="A738" s="1" t="str">
        <f aca="false">IF($C738="","",Controls!$B$7)</f>
        <v/>
      </c>
      <c r="B738" s="1" t="str">
        <f aca="false">IF($H738="","",YEAR($H738)&amp;"-Q"&amp;ROUNDUP(MONTH($H738)/3,0))</f>
        <v/>
      </c>
      <c r="S738" s="1" t="str">
        <f aca="false">IF($C738="","",$C738&amp;"|"&amp;$E738&amp;"|"&amp;$F738&amp;"|"&amp;$L738&amp;"|"&amp;$P738&amp;"|"&amp;TEXT($H738,"yyyy-mm-dd"))</f>
        <v/>
      </c>
      <c r="T738" s="1" t="str">
        <f aca="false">IF($S738="","",IF(COUNTIF($S$2:$S$2991,$S738)&gt;1,"DUPLICATE","OK"))</f>
        <v/>
      </c>
      <c r="U738" s="0" t="str">
        <f aca="false">IF($L738="","",IFERROR(VLOOKUP(--$L738,MM_Income!$Z$5:$AC$204,3,FALSE()),"UNMAPPED"))</f>
        <v/>
      </c>
    </row>
    <row r="739" customFormat="false" ht="13.5" hidden="false" customHeight="false" outlineLevel="0" collapsed="false">
      <c r="A739" s="1" t="str">
        <f aca="false">IF($C739="","",Controls!$B$7)</f>
        <v/>
      </c>
      <c r="B739" s="1" t="str">
        <f aca="false">IF($H739="","",YEAR($H739)&amp;"-Q"&amp;ROUNDUP(MONTH($H739)/3,0))</f>
        <v/>
      </c>
      <c r="S739" s="1" t="str">
        <f aca="false">IF($C739="","",$C739&amp;"|"&amp;$E739&amp;"|"&amp;$F739&amp;"|"&amp;$L739&amp;"|"&amp;$P739&amp;"|"&amp;TEXT($H739,"yyyy-mm-dd"))</f>
        <v/>
      </c>
      <c r="T739" s="1" t="str">
        <f aca="false">IF($S739="","",IF(COUNTIF($S$2:$S$2991,$S739)&gt;1,"DUPLICATE","OK"))</f>
        <v/>
      </c>
      <c r="U739" s="0" t="str">
        <f aca="false">IF($L739="","",IFERROR(VLOOKUP(--$L739,MM_Income!$Z$5:$AC$204,3,FALSE()),"UNMAPPED"))</f>
        <v/>
      </c>
    </row>
    <row r="740" customFormat="false" ht="13.5" hidden="false" customHeight="false" outlineLevel="0" collapsed="false">
      <c r="A740" s="1" t="str">
        <f aca="false">IF($C740="","",Controls!$B$7)</f>
        <v/>
      </c>
      <c r="B740" s="1" t="str">
        <f aca="false">IF($H740="","",YEAR($H740)&amp;"-Q"&amp;ROUNDUP(MONTH($H740)/3,0))</f>
        <v/>
      </c>
      <c r="S740" s="1" t="str">
        <f aca="false">IF($C740="","",$C740&amp;"|"&amp;$E740&amp;"|"&amp;$F740&amp;"|"&amp;$L740&amp;"|"&amp;$P740&amp;"|"&amp;TEXT($H740,"yyyy-mm-dd"))</f>
        <v/>
      </c>
      <c r="T740" s="1" t="str">
        <f aca="false">IF($S740="","",IF(COUNTIF($S$2:$S$2991,$S740)&gt;1,"DUPLICATE","OK"))</f>
        <v/>
      </c>
      <c r="U740" s="0" t="str">
        <f aca="false">IF($L740="","",IFERROR(VLOOKUP(--$L740,MM_Income!$Z$5:$AC$204,3,FALSE()),"UNMAPPED"))</f>
        <v/>
      </c>
    </row>
    <row r="741" customFormat="false" ht="13.5" hidden="false" customHeight="false" outlineLevel="0" collapsed="false">
      <c r="A741" s="1" t="str">
        <f aca="false">IF($C741="","",Controls!$B$7)</f>
        <v/>
      </c>
      <c r="B741" s="1" t="str">
        <f aca="false">IF($H741="","",YEAR($H741)&amp;"-Q"&amp;ROUNDUP(MONTH($H741)/3,0))</f>
        <v/>
      </c>
      <c r="S741" s="1" t="str">
        <f aca="false">IF($C741="","",$C741&amp;"|"&amp;$E741&amp;"|"&amp;$F741&amp;"|"&amp;$L741&amp;"|"&amp;$P741&amp;"|"&amp;TEXT($H741,"yyyy-mm-dd"))</f>
        <v/>
      </c>
      <c r="T741" s="1" t="str">
        <f aca="false">IF($S741="","",IF(COUNTIF($S$2:$S$2991,$S741)&gt;1,"DUPLICATE","OK"))</f>
        <v/>
      </c>
      <c r="U741" s="0" t="str">
        <f aca="false">IF($L741="","",IFERROR(VLOOKUP(--$L741,MM_Income!$Z$5:$AC$204,3,FALSE()),"UNMAPPED"))</f>
        <v/>
      </c>
    </row>
    <row r="742" customFormat="false" ht="13.5" hidden="false" customHeight="false" outlineLevel="0" collapsed="false">
      <c r="A742" s="1" t="str">
        <f aca="false">IF($C742="","",Controls!$B$7)</f>
        <v/>
      </c>
      <c r="B742" s="1" t="str">
        <f aca="false">IF($H742="","",YEAR($H742)&amp;"-Q"&amp;ROUNDUP(MONTH($H742)/3,0))</f>
        <v/>
      </c>
      <c r="S742" s="1" t="str">
        <f aca="false">IF($C742="","",$C742&amp;"|"&amp;$E742&amp;"|"&amp;$F742&amp;"|"&amp;$L742&amp;"|"&amp;$P742&amp;"|"&amp;TEXT($H742,"yyyy-mm-dd"))</f>
        <v/>
      </c>
      <c r="T742" s="1" t="str">
        <f aca="false">IF($S742="","",IF(COUNTIF($S$2:$S$2991,$S742)&gt;1,"DUPLICATE","OK"))</f>
        <v/>
      </c>
      <c r="U742" s="0" t="str">
        <f aca="false">IF($L742="","",IFERROR(VLOOKUP(--$L742,MM_Income!$Z$5:$AC$204,3,FALSE()),"UNMAPPED"))</f>
        <v/>
      </c>
    </row>
    <row r="743" customFormat="false" ht="13.5" hidden="false" customHeight="false" outlineLevel="0" collapsed="false">
      <c r="A743" s="1" t="str">
        <f aca="false">IF($C743="","",Controls!$B$7)</f>
        <v/>
      </c>
      <c r="B743" s="1" t="str">
        <f aca="false">IF($H743="","",YEAR($H743)&amp;"-Q"&amp;ROUNDUP(MONTH($H743)/3,0))</f>
        <v/>
      </c>
      <c r="S743" s="1" t="str">
        <f aca="false">IF($C743="","",$C743&amp;"|"&amp;$E743&amp;"|"&amp;$F743&amp;"|"&amp;$L743&amp;"|"&amp;$P743&amp;"|"&amp;TEXT($H743,"yyyy-mm-dd"))</f>
        <v/>
      </c>
      <c r="T743" s="1" t="str">
        <f aca="false">IF($S743="","",IF(COUNTIF($S$2:$S$2991,$S743)&gt;1,"DUPLICATE","OK"))</f>
        <v/>
      </c>
      <c r="U743" s="0" t="str">
        <f aca="false">IF($L743="","",IFERROR(VLOOKUP(--$L743,MM_Income!$Z$5:$AC$204,3,FALSE()),"UNMAPPED"))</f>
        <v/>
      </c>
    </row>
    <row r="744" customFormat="false" ht="13.5" hidden="false" customHeight="false" outlineLevel="0" collapsed="false">
      <c r="A744" s="1" t="str">
        <f aca="false">IF($C744="","",Controls!$B$7)</f>
        <v/>
      </c>
      <c r="B744" s="1" t="str">
        <f aca="false">IF($H744="","",YEAR($H744)&amp;"-Q"&amp;ROUNDUP(MONTH($H744)/3,0))</f>
        <v/>
      </c>
      <c r="S744" s="1" t="str">
        <f aca="false">IF($C744="","",$C744&amp;"|"&amp;$E744&amp;"|"&amp;$F744&amp;"|"&amp;$L744&amp;"|"&amp;$P744&amp;"|"&amp;TEXT($H744,"yyyy-mm-dd"))</f>
        <v/>
      </c>
      <c r="T744" s="1" t="str">
        <f aca="false">IF($S744="","",IF(COUNTIF($S$2:$S$2991,$S744)&gt;1,"DUPLICATE","OK"))</f>
        <v/>
      </c>
      <c r="U744" s="0" t="str">
        <f aca="false">IF($L744="","",IFERROR(VLOOKUP(--$L744,MM_Income!$Z$5:$AC$204,3,FALSE()),"UNMAPPED"))</f>
        <v/>
      </c>
    </row>
    <row r="745" customFormat="false" ht="13.5" hidden="false" customHeight="false" outlineLevel="0" collapsed="false">
      <c r="A745" s="1" t="str">
        <f aca="false">IF($C745="","",Controls!$B$7)</f>
        <v/>
      </c>
      <c r="B745" s="1" t="str">
        <f aca="false">IF($H745="","",YEAR($H745)&amp;"-Q"&amp;ROUNDUP(MONTH($H745)/3,0))</f>
        <v/>
      </c>
      <c r="S745" s="1" t="str">
        <f aca="false">IF($C745="","",$C745&amp;"|"&amp;$E745&amp;"|"&amp;$F745&amp;"|"&amp;$L745&amp;"|"&amp;$P745&amp;"|"&amp;TEXT($H745,"yyyy-mm-dd"))</f>
        <v/>
      </c>
      <c r="T745" s="1" t="str">
        <f aca="false">IF($S745="","",IF(COUNTIF($S$2:$S$2991,$S745)&gt;1,"DUPLICATE","OK"))</f>
        <v/>
      </c>
      <c r="U745" s="0" t="str">
        <f aca="false">IF($L745="","",IFERROR(VLOOKUP(--$L745,MM_Income!$Z$5:$AC$204,3,FALSE()),"UNMAPPED"))</f>
        <v/>
      </c>
    </row>
    <row r="746" customFormat="false" ht="13.5" hidden="false" customHeight="false" outlineLevel="0" collapsed="false">
      <c r="A746" s="1" t="str">
        <f aca="false">IF($C746="","",Controls!$B$7)</f>
        <v/>
      </c>
      <c r="B746" s="1" t="str">
        <f aca="false">IF($H746="","",YEAR($H746)&amp;"-Q"&amp;ROUNDUP(MONTH($H746)/3,0))</f>
        <v/>
      </c>
      <c r="S746" s="1" t="str">
        <f aca="false">IF($C746="","",$C746&amp;"|"&amp;$E746&amp;"|"&amp;$F746&amp;"|"&amp;$L746&amp;"|"&amp;$P746&amp;"|"&amp;TEXT($H746,"yyyy-mm-dd"))</f>
        <v/>
      </c>
      <c r="T746" s="1" t="str">
        <f aca="false">IF($S746="","",IF(COUNTIF($S$2:$S$2991,$S746)&gt;1,"DUPLICATE","OK"))</f>
        <v/>
      </c>
      <c r="U746" s="0" t="str">
        <f aca="false">IF($L746="","",IFERROR(VLOOKUP(--$L746,MM_Income!$Z$5:$AC$204,3,FALSE()),"UNMAPPED"))</f>
        <v/>
      </c>
    </row>
    <row r="747" customFormat="false" ht="13.5" hidden="false" customHeight="false" outlineLevel="0" collapsed="false">
      <c r="A747" s="1" t="str">
        <f aca="false">IF($C747="","",Controls!$B$7)</f>
        <v/>
      </c>
      <c r="B747" s="1" t="str">
        <f aca="false">IF($H747="","",YEAR($H747)&amp;"-Q"&amp;ROUNDUP(MONTH($H747)/3,0))</f>
        <v/>
      </c>
      <c r="S747" s="1" t="str">
        <f aca="false">IF($C747="","",$C747&amp;"|"&amp;$E747&amp;"|"&amp;$F747&amp;"|"&amp;$L747&amp;"|"&amp;$P747&amp;"|"&amp;TEXT($H747,"yyyy-mm-dd"))</f>
        <v/>
      </c>
      <c r="T747" s="1" t="str">
        <f aca="false">IF($S747="","",IF(COUNTIF($S$2:$S$2991,$S747)&gt;1,"DUPLICATE","OK"))</f>
        <v/>
      </c>
      <c r="U747" s="0" t="str">
        <f aca="false">IF($L747="","",IFERROR(VLOOKUP(--$L747,MM_Income!$Z$5:$AC$204,3,FALSE()),"UNMAPPED"))</f>
        <v/>
      </c>
    </row>
    <row r="748" customFormat="false" ht="13.5" hidden="false" customHeight="false" outlineLevel="0" collapsed="false">
      <c r="A748" s="1" t="str">
        <f aca="false">IF($C748="","",Controls!$B$7)</f>
        <v/>
      </c>
      <c r="B748" s="1" t="str">
        <f aca="false">IF($H748="","",YEAR($H748)&amp;"-Q"&amp;ROUNDUP(MONTH($H748)/3,0))</f>
        <v/>
      </c>
      <c r="S748" s="1" t="str">
        <f aca="false">IF($C748="","",$C748&amp;"|"&amp;$E748&amp;"|"&amp;$F748&amp;"|"&amp;$L748&amp;"|"&amp;$P748&amp;"|"&amp;TEXT($H748,"yyyy-mm-dd"))</f>
        <v/>
      </c>
      <c r="T748" s="1" t="str">
        <f aca="false">IF($S748="","",IF(COUNTIF($S$2:$S$2991,$S748)&gt;1,"DUPLICATE","OK"))</f>
        <v/>
      </c>
      <c r="U748" s="0" t="str">
        <f aca="false">IF($L748="","",IFERROR(VLOOKUP(--$L748,MM_Income!$Z$5:$AC$204,3,FALSE()),"UNMAPPED"))</f>
        <v/>
      </c>
    </row>
    <row r="749" customFormat="false" ht="13.5" hidden="false" customHeight="false" outlineLevel="0" collapsed="false">
      <c r="A749" s="1" t="str">
        <f aca="false">IF($C749="","",Controls!$B$7)</f>
        <v/>
      </c>
      <c r="B749" s="1" t="str">
        <f aca="false">IF($H749="","",YEAR($H749)&amp;"-Q"&amp;ROUNDUP(MONTH($H749)/3,0))</f>
        <v/>
      </c>
      <c r="S749" s="1" t="str">
        <f aca="false">IF($C749="","",$C749&amp;"|"&amp;$E749&amp;"|"&amp;$F749&amp;"|"&amp;$L749&amp;"|"&amp;$P749&amp;"|"&amp;TEXT($H749,"yyyy-mm-dd"))</f>
        <v/>
      </c>
      <c r="T749" s="1" t="str">
        <f aca="false">IF($S749="","",IF(COUNTIF($S$2:$S$2991,$S749)&gt;1,"DUPLICATE","OK"))</f>
        <v/>
      </c>
      <c r="U749" s="0" t="str">
        <f aca="false">IF($L749="","",IFERROR(VLOOKUP(--$L749,MM_Income!$Z$5:$AC$204,3,FALSE()),"UNMAPPED"))</f>
        <v/>
      </c>
    </row>
    <row r="750" customFormat="false" ht="13.5" hidden="false" customHeight="false" outlineLevel="0" collapsed="false">
      <c r="A750" s="1" t="str">
        <f aca="false">IF($C750="","",Controls!$B$7)</f>
        <v/>
      </c>
      <c r="B750" s="1" t="str">
        <f aca="false">IF($H750="","",YEAR($H750)&amp;"-Q"&amp;ROUNDUP(MONTH($H750)/3,0))</f>
        <v/>
      </c>
      <c r="S750" s="1" t="str">
        <f aca="false">IF($C750="","",$C750&amp;"|"&amp;$E750&amp;"|"&amp;$F750&amp;"|"&amp;$L750&amp;"|"&amp;$P750&amp;"|"&amp;TEXT($H750,"yyyy-mm-dd"))</f>
        <v/>
      </c>
      <c r="T750" s="1" t="str">
        <f aca="false">IF($S750="","",IF(COUNTIF($S$2:$S$2991,$S750)&gt;1,"DUPLICATE","OK"))</f>
        <v/>
      </c>
      <c r="U750" s="0" t="str">
        <f aca="false">IF($L750="","",IFERROR(VLOOKUP(--$L750,MM_Income!$Z$5:$AC$204,3,FALSE()),"UNMAPPED"))</f>
        <v/>
      </c>
    </row>
    <row r="751" customFormat="false" ht="13.5" hidden="false" customHeight="false" outlineLevel="0" collapsed="false">
      <c r="A751" s="1" t="str">
        <f aca="false">IF($C751="","",Controls!$B$7)</f>
        <v/>
      </c>
      <c r="B751" s="1" t="str">
        <f aca="false">IF($H751="","",YEAR($H751)&amp;"-Q"&amp;ROUNDUP(MONTH($H751)/3,0))</f>
        <v/>
      </c>
      <c r="S751" s="1" t="str">
        <f aca="false">IF($C751="","",$C751&amp;"|"&amp;$E751&amp;"|"&amp;$F751&amp;"|"&amp;$L751&amp;"|"&amp;$P751&amp;"|"&amp;TEXT($H751,"yyyy-mm-dd"))</f>
        <v/>
      </c>
      <c r="T751" s="1" t="str">
        <f aca="false">IF($S751="","",IF(COUNTIF($S$2:$S$2991,$S751)&gt;1,"DUPLICATE","OK"))</f>
        <v/>
      </c>
      <c r="U751" s="0" t="str">
        <f aca="false">IF($L751="","",IFERROR(VLOOKUP(--$L751,MM_Income!$Z$5:$AC$204,3,FALSE()),"UNMAPPED"))</f>
        <v/>
      </c>
    </row>
    <row r="752" customFormat="false" ht="13.5" hidden="false" customHeight="false" outlineLevel="0" collapsed="false">
      <c r="A752" s="1" t="str">
        <f aca="false">IF($C752="","",Controls!$B$7)</f>
        <v/>
      </c>
      <c r="B752" s="1" t="str">
        <f aca="false">IF($H752="","",YEAR($H752)&amp;"-Q"&amp;ROUNDUP(MONTH($H752)/3,0))</f>
        <v/>
      </c>
      <c r="S752" s="1" t="str">
        <f aca="false">IF($C752="","",$C752&amp;"|"&amp;$E752&amp;"|"&amp;$F752&amp;"|"&amp;$L752&amp;"|"&amp;$P752&amp;"|"&amp;TEXT($H752,"yyyy-mm-dd"))</f>
        <v/>
      </c>
      <c r="T752" s="1" t="str">
        <f aca="false">IF($S752="","",IF(COUNTIF($S$2:$S$2991,$S752)&gt;1,"DUPLICATE","OK"))</f>
        <v/>
      </c>
      <c r="U752" s="0" t="str">
        <f aca="false">IF($L752="","",IFERROR(VLOOKUP(--$L752,MM_Income!$Z$5:$AC$204,3,FALSE()),"UNMAPPED"))</f>
        <v/>
      </c>
    </row>
    <row r="753" customFormat="false" ht="13.5" hidden="false" customHeight="false" outlineLevel="0" collapsed="false">
      <c r="A753" s="1" t="str">
        <f aca="false">IF($C753="","",Controls!$B$7)</f>
        <v/>
      </c>
      <c r="B753" s="1" t="str">
        <f aca="false">IF($H753="","",YEAR($H753)&amp;"-Q"&amp;ROUNDUP(MONTH($H753)/3,0))</f>
        <v/>
      </c>
      <c r="S753" s="1" t="str">
        <f aca="false">IF($C753="","",$C753&amp;"|"&amp;$E753&amp;"|"&amp;$F753&amp;"|"&amp;$L753&amp;"|"&amp;$P753&amp;"|"&amp;TEXT($H753,"yyyy-mm-dd"))</f>
        <v/>
      </c>
      <c r="T753" s="1" t="str">
        <f aca="false">IF($S753="","",IF(COUNTIF($S$2:$S$2991,$S753)&gt;1,"DUPLICATE","OK"))</f>
        <v/>
      </c>
      <c r="U753" s="0" t="str">
        <f aca="false">IF($L753="","",IFERROR(VLOOKUP(--$L753,MM_Income!$Z$5:$AC$204,3,FALSE()),"UNMAPPED"))</f>
        <v/>
      </c>
    </row>
    <row r="754" customFormat="false" ht="13.5" hidden="false" customHeight="false" outlineLevel="0" collapsed="false">
      <c r="A754" s="1" t="str">
        <f aca="false">IF($C754="","",Controls!$B$7)</f>
        <v/>
      </c>
      <c r="B754" s="1" t="str">
        <f aca="false">IF($H754="","",YEAR($H754)&amp;"-Q"&amp;ROUNDUP(MONTH($H754)/3,0))</f>
        <v/>
      </c>
      <c r="S754" s="1" t="str">
        <f aca="false">IF($C754="","",$C754&amp;"|"&amp;$E754&amp;"|"&amp;$F754&amp;"|"&amp;$L754&amp;"|"&amp;$P754&amp;"|"&amp;TEXT($H754,"yyyy-mm-dd"))</f>
        <v/>
      </c>
      <c r="T754" s="1" t="str">
        <f aca="false">IF($S754="","",IF(COUNTIF($S$2:$S$2991,$S754)&gt;1,"DUPLICATE","OK"))</f>
        <v/>
      </c>
      <c r="U754" s="0" t="str">
        <f aca="false">IF($L754="","",IFERROR(VLOOKUP(--$L754,MM_Income!$Z$5:$AC$204,3,FALSE()),"UNMAPPED"))</f>
        <v/>
      </c>
    </row>
    <row r="755" customFormat="false" ht="13.5" hidden="false" customHeight="false" outlineLevel="0" collapsed="false">
      <c r="A755" s="1" t="str">
        <f aca="false">IF($C755="","",Controls!$B$7)</f>
        <v/>
      </c>
      <c r="B755" s="1" t="str">
        <f aca="false">IF($H755="","",YEAR($H755)&amp;"-Q"&amp;ROUNDUP(MONTH($H755)/3,0))</f>
        <v/>
      </c>
      <c r="S755" s="1" t="str">
        <f aca="false">IF($C755="","",$C755&amp;"|"&amp;$E755&amp;"|"&amp;$F755&amp;"|"&amp;$L755&amp;"|"&amp;$P755&amp;"|"&amp;TEXT($H755,"yyyy-mm-dd"))</f>
        <v/>
      </c>
      <c r="T755" s="1" t="str">
        <f aca="false">IF($S755="","",IF(COUNTIF($S$2:$S$2991,$S755)&gt;1,"DUPLICATE","OK"))</f>
        <v/>
      </c>
      <c r="U755" s="0" t="str">
        <f aca="false">IF($L755="","",IFERROR(VLOOKUP(--$L755,MM_Income!$Z$5:$AC$204,3,FALSE()),"UNMAPPED"))</f>
        <v/>
      </c>
    </row>
    <row r="756" customFormat="false" ht="13.5" hidden="false" customHeight="false" outlineLevel="0" collapsed="false">
      <c r="A756" s="1" t="str">
        <f aca="false">IF($C756="","",Controls!$B$7)</f>
        <v/>
      </c>
      <c r="B756" s="1" t="str">
        <f aca="false">IF($H756="","",YEAR($H756)&amp;"-Q"&amp;ROUNDUP(MONTH($H756)/3,0))</f>
        <v/>
      </c>
      <c r="S756" s="1" t="str">
        <f aca="false">IF($C756="","",$C756&amp;"|"&amp;$E756&amp;"|"&amp;$F756&amp;"|"&amp;$L756&amp;"|"&amp;$P756&amp;"|"&amp;TEXT($H756,"yyyy-mm-dd"))</f>
        <v/>
      </c>
      <c r="T756" s="1" t="str">
        <f aca="false">IF($S756="","",IF(COUNTIF($S$2:$S$2991,$S756)&gt;1,"DUPLICATE","OK"))</f>
        <v/>
      </c>
      <c r="U756" s="0" t="str">
        <f aca="false">IF($L756="","",IFERROR(VLOOKUP(--$L756,MM_Income!$Z$5:$AC$204,3,FALSE()),"UNMAPPED"))</f>
        <v/>
      </c>
    </row>
    <row r="757" customFormat="false" ht="13.5" hidden="false" customHeight="false" outlineLevel="0" collapsed="false">
      <c r="A757" s="1" t="str">
        <f aca="false">IF($C757="","",Controls!$B$7)</f>
        <v/>
      </c>
      <c r="B757" s="1" t="str">
        <f aca="false">IF($H757="","",YEAR($H757)&amp;"-Q"&amp;ROUNDUP(MONTH($H757)/3,0))</f>
        <v/>
      </c>
      <c r="S757" s="1" t="str">
        <f aca="false">IF($C757="","",$C757&amp;"|"&amp;$E757&amp;"|"&amp;$F757&amp;"|"&amp;$L757&amp;"|"&amp;$P757&amp;"|"&amp;TEXT($H757,"yyyy-mm-dd"))</f>
        <v/>
      </c>
      <c r="T757" s="1" t="str">
        <f aca="false">IF($S757="","",IF(COUNTIF($S$2:$S$2991,$S757)&gt;1,"DUPLICATE","OK"))</f>
        <v/>
      </c>
      <c r="U757" s="0" t="str">
        <f aca="false">IF($L757="","",IFERROR(VLOOKUP(--$L757,MM_Income!$Z$5:$AC$204,3,FALSE()),"UNMAPPED"))</f>
        <v/>
      </c>
    </row>
    <row r="758" customFormat="false" ht="13.5" hidden="false" customHeight="false" outlineLevel="0" collapsed="false">
      <c r="A758" s="1" t="str">
        <f aca="false">IF($C758="","",Controls!$B$7)</f>
        <v/>
      </c>
      <c r="B758" s="1" t="str">
        <f aca="false">IF($H758="","",YEAR($H758)&amp;"-Q"&amp;ROUNDUP(MONTH($H758)/3,0))</f>
        <v/>
      </c>
      <c r="S758" s="1" t="str">
        <f aca="false">IF($C758="","",$C758&amp;"|"&amp;$E758&amp;"|"&amp;$F758&amp;"|"&amp;$L758&amp;"|"&amp;$P758&amp;"|"&amp;TEXT($H758,"yyyy-mm-dd"))</f>
        <v/>
      </c>
      <c r="T758" s="1" t="str">
        <f aca="false">IF($S758="","",IF(COUNTIF($S$2:$S$2991,$S758)&gt;1,"DUPLICATE","OK"))</f>
        <v/>
      </c>
      <c r="U758" s="0" t="str">
        <f aca="false">IF($L758="","",IFERROR(VLOOKUP(--$L758,MM_Income!$Z$5:$AC$204,3,FALSE()),"UNMAPPED"))</f>
        <v/>
      </c>
    </row>
    <row r="759" customFormat="false" ht="13.5" hidden="false" customHeight="false" outlineLevel="0" collapsed="false">
      <c r="A759" s="1" t="str">
        <f aca="false">IF($C759="","",Controls!$B$7)</f>
        <v/>
      </c>
      <c r="B759" s="1" t="str">
        <f aca="false">IF($H759="","",YEAR($H759)&amp;"-Q"&amp;ROUNDUP(MONTH($H759)/3,0))</f>
        <v/>
      </c>
      <c r="S759" s="1" t="str">
        <f aca="false">IF($C759="","",$C759&amp;"|"&amp;$E759&amp;"|"&amp;$F759&amp;"|"&amp;$L759&amp;"|"&amp;$P759&amp;"|"&amp;TEXT($H759,"yyyy-mm-dd"))</f>
        <v/>
      </c>
      <c r="T759" s="1" t="str">
        <f aca="false">IF($S759="","",IF(COUNTIF($S$2:$S$2991,$S759)&gt;1,"DUPLICATE","OK"))</f>
        <v/>
      </c>
      <c r="U759" s="0" t="str">
        <f aca="false">IF($L759="","",IFERROR(VLOOKUP(--$L759,MM_Income!$Z$5:$AC$204,3,FALSE()),"UNMAPPED"))</f>
        <v/>
      </c>
    </row>
    <row r="760" customFormat="false" ht="13.5" hidden="false" customHeight="false" outlineLevel="0" collapsed="false">
      <c r="A760" s="1" t="str">
        <f aca="false">IF($C760="","",Controls!$B$7)</f>
        <v/>
      </c>
      <c r="B760" s="1" t="str">
        <f aca="false">IF($H760="","",YEAR($H760)&amp;"-Q"&amp;ROUNDUP(MONTH($H760)/3,0))</f>
        <v/>
      </c>
      <c r="S760" s="1" t="str">
        <f aca="false">IF($C760="","",$C760&amp;"|"&amp;$E760&amp;"|"&amp;$F760&amp;"|"&amp;$L760&amp;"|"&amp;$P760&amp;"|"&amp;TEXT($H760,"yyyy-mm-dd"))</f>
        <v/>
      </c>
      <c r="T760" s="1" t="str">
        <f aca="false">IF($S760="","",IF(COUNTIF($S$2:$S$2991,$S760)&gt;1,"DUPLICATE","OK"))</f>
        <v/>
      </c>
      <c r="U760" s="0" t="str">
        <f aca="false">IF($L760="","",IFERROR(VLOOKUP(--$L760,MM_Income!$Z$5:$AC$204,3,FALSE()),"UNMAPPED"))</f>
        <v/>
      </c>
    </row>
    <row r="761" customFormat="false" ht="13.5" hidden="false" customHeight="false" outlineLevel="0" collapsed="false">
      <c r="A761" s="1" t="str">
        <f aca="false">IF($C761="","",Controls!$B$7)</f>
        <v/>
      </c>
      <c r="B761" s="1" t="str">
        <f aca="false">IF($H761="","",YEAR($H761)&amp;"-Q"&amp;ROUNDUP(MONTH($H761)/3,0))</f>
        <v/>
      </c>
      <c r="S761" s="1" t="str">
        <f aca="false">IF($C761="","",$C761&amp;"|"&amp;$E761&amp;"|"&amp;$F761&amp;"|"&amp;$L761&amp;"|"&amp;$P761&amp;"|"&amp;TEXT($H761,"yyyy-mm-dd"))</f>
        <v/>
      </c>
      <c r="T761" s="1" t="str">
        <f aca="false">IF($S761="","",IF(COUNTIF($S$2:$S$2991,$S761)&gt;1,"DUPLICATE","OK"))</f>
        <v/>
      </c>
      <c r="U761" s="0" t="str">
        <f aca="false">IF($L761="","",IFERROR(VLOOKUP(--$L761,MM_Income!$Z$5:$AC$204,3,FALSE()),"UNMAPPED"))</f>
        <v/>
      </c>
    </row>
    <row r="762" customFormat="false" ht="13.5" hidden="false" customHeight="false" outlineLevel="0" collapsed="false">
      <c r="A762" s="1" t="str">
        <f aca="false">IF($C762="","",Controls!$B$7)</f>
        <v/>
      </c>
      <c r="B762" s="1" t="str">
        <f aca="false">IF($H762="","",YEAR($H762)&amp;"-Q"&amp;ROUNDUP(MONTH($H762)/3,0))</f>
        <v/>
      </c>
      <c r="S762" s="1" t="str">
        <f aca="false">IF($C762="","",$C762&amp;"|"&amp;$E762&amp;"|"&amp;$F762&amp;"|"&amp;$L762&amp;"|"&amp;$P762&amp;"|"&amp;TEXT($H762,"yyyy-mm-dd"))</f>
        <v/>
      </c>
      <c r="T762" s="1" t="str">
        <f aca="false">IF($S762="","",IF(COUNTIF($S$2:$S$2991,$S762)&gt;1,"DUPLICATE","OK"))</f>
        <v/>
      </c>
      <c r="U762" s="0" t="str">
        <f aca="false">IF($L762="","",IFERROR(VLOOKUP(--$L762,MM_Income!$Z$5:$AC$204,3,FALSE()),"UNMAPPED"))</f>
        <v/>
      </c>
    </row>
    <row r="763" customFormat="false" ht="13.5" hidden="false" customHeight="false" outlineLevel="0" collapsed="false">
      <c r="A763" s="1" t="str">
        <f aca="false">IF($C763="","",Controls!$B$7)</f>
        <v/>
      </c>
      <c r="B763" s="1" t="str">
        <f aca="false">IF($H763="","",YEAR($H763)&amp;"-Q"&amp;ROUNDUP(MONTH($H763)/3,0))</f>
        <v/>
      </c>
      <c r="S763" s="1" t="str">
        <f aca="false">IF($C763="","",$C763&amp;"|"&amp;$E763&amp;"|"&amp;$F763&amp;"|"&amp;$L763&amp;"|"&amp;$P763&amp;"|"&amp;TEXT($H763,"yyyy-mm-dd"))</f>
        <v/>
      </c>
      <c r="T763" s="1" t="str">
        <f aca="false">IF($S763="","",IF(COUNTIF($S$2:$S$2991,$S763)&gt;1,"DUPLICATE","OK"))</f>
        <v/>
      </c>
      <c r="U763" s="0" t="str">
        <f aca="false">IF($L763="","",IFERROR(VLOOKUP(--$L763,MM_Income!$Z$5:$AC$204,3,FALSE()),"UNMAPPED"))</f>
        <v/>
      </c>
    </row>
    <row r="764" customFormat="false" ht="13.5" hidden="false" customHeight="false" outlineLevel="0" collapsed="false">
      <c r="A764" s="1" t="str">
        <f aca="false">IF($C764="","",Controls!$B$7)</f>
        <v/>
      </c>
      <c r="B764" s="1" t="str">
        <f aca="false">IF($H764="","",YEAR($H764)&amp;"-Q"&amp;ROUNDUP(MONTH($H764)/3,0))</f>
        <v/>
      </c>
      <c r="S764" s="1" t="str">
        <f aca="false">IF($C764="","",$C764&amp;"|"&amp;$E764&amp;"|"&amp;$F764&amp;"|"&amp;$L764&amp;"|"&amp;$P764&amp;"|"&amp;TEXT($H764,"yyyy-mm-dd"))</f>
        <v/>
      </c>
      <c r="T764" s="1" t="str">
        <f aca="false">IF($S764="","",IF(COUNTIF($S$2:$S$2991,$S764)&gt;1,"DUPLICATE","OK"))</f>
        <v/>
      </c>
      <c r="U764" s="0" t="str">
        <f aca="false">IF($L764="","",IFERROR(VLOOKUP(--$L764,MM_Income!$Z$5:$AC$204,3,FALSE()),"UNMAPPED"))</f>
        <v/>
      </c>
    </row>
    <row r="765" customFormat="false" ht="13.5" hidden="false" customHeight="false" outlineLevel="0" collapsed="false">
      <c r="A765" s="1" t="str">
        <f aca="false">IF($C765="","",Controls!$B$7)</f>
        <v/>
      </c>
      <c r="B765" s="1" t="str">
        <f aca="false">IF($H765="","",YEAR($H765)&amp;"-Q"&amp;ROUNDUP(MONTH($H765)/3,0))</f>
        <v/>
      </c>
      <c r="S765" s="1" t="str">
        <f aca="false">IF($C765="","",$C765&amp;"|"&amp;$E765&amp;"|"&amp;$F765&amp;"|"&amp;$L765&amp;"|"&amp;$P765&amp;"|"&amp;TEXT($H765,"yyyy-mm-dd"))</f>
        <v/>
      </c>
      <c r="T765" s="1" t="str">
        <f aca="false">IF($S765="","",IF(COUNTIF($S$2:$S$2991,$S765)&gt;1,"DUPLICATE","OK"))</f>
        <v/>
      </c>
      <c r="U765" s="0" t="str">
        <f aca="false">IF($L765="","",IFERROR(VLOOKUP(--$L765,MM_Income!$Z$5:$AC$204,3,FALSE()),"UNMAPPED"))</f>
        <v/>
      </c>
    </row>
    <row r="766" customFormat="false" ht="13.5" hidden="false" customHeight="false" outlineLevel="0" collapsed="false">
      <c r="A766" s="1" t="str">
        <f aca="false">IF($C766="","",Controls!$B$7)</f>
        <v/>
      </c>
      <c r="B766" s="1" t="str">
        <f aca="false">IF($H766="","",YEAR($H766)&amp;"-Q"&amp;ROUNDUP(MONTH($H766)/3,0))</f>
        <v/>
      </c>
      <c r="S766" s="1" t="str">
        <f aca="false">IF($C766="","",$C766&amp;"|"&amp;$E766&amp;"|"&amp;$F766&amp;"|"&amp;$L766&amp;"|"&amp;$P766&amp;"|"&amp;TEXT($H766,"yyyy-mm-dd"))</f>
        <v/>
      </c>
      <c r="T766" s="1" t="str">
        <f aca="false">IF($S766="","",IF(COUNTIF($S$2:$S$2991,$S766)&gt;1,"DUPLICATE","OK"))</f>
        <v/>
      </c>
      <c r="U766" s="0" t="str">
        <f aca="false">IF($L766="","",IFERROR(VLOOKUP(--$L766,MM_Income!$Z$5:$AC$204,3,FALSE()),"UNMAPPED"))</f>
        <v/>
      </c>
    </row>
    <row r="767" customFormat="false" ht="13.5" hidden="false" customHeight="false" outlineLevel="0" collapsed="false">
      <c r="A767" s="1" t="str">
        <f aca="false">IF($C767="","",Controls!$B$7)</f>
        <v/>
      </c>
      <c r="B767" s="1" t="str">
        <f aca="false">IF($H767="","",YEAR($H767)&amp;"-Q"&amp;ROUNDUP(MONTH($H767)/3,0))</f>
        <v/>
      </c>
      <c r="S767" s="1" t="str">
        <f aca="false">IF($C767="","",$C767&amp;"|"&amp;$E767&amp;"|"&amp;$F767&amp;"|"&amp;$L767&amp;"|"&amp;$P767&amp;"|"&amp;TEXT($H767,"yyyy-mm-dd"))</f>
        <v/>
      </c>
      <c r="T767" s="1" t="str">
        <f aca="false">IF($S767="","",IF(COUNTIF($S$2:$S$2991,$S767)&gt;1,"DUPLICATE","OK"))</f>
        <v/>
      </c>
      <c r="U767" s="0" t="str">
        <f aca="false">IF($L767="","",IFERROR(VLOOKUP(--$L767,MM_Income!$Z$5:$AC$204,3,FALSE()),"UNMAPPED"))</f>
        <v/>
      </c>
    </row>
    <row r="768" customFormat="false" ht="13.5" hidden="false" customHeight="false" outlineLevel="0" collapsed="false">
      <c r="A768" s="1" t="str">
        <f aca="false">IF($C768="","",Controls!$B$7)</f>
        <v/>
      </c>
      <c r="B768" s="1" t="str">
        <f aca="false">IF($H768="","",YEAR($H768)&amp;"-Q"&amp;ROUNDUP(MONTH($H768)/3,0))</f>
        <v/>
      </c>
      <c r="S768" s="1" t="str">
        <f aca="false">IF($C768="","",$C768&amp;"|"&amp;$E768&amp;"|"&amp;$F768&amp;"|"&amp;$L768&amp;"|"&amp;$P768&amp;"|"&amp;TEXT($H768,"yyyy-mm-dd"))</f>
        <v/>
      </c>
      <c r="T768" s="1" t="str">
        <f aca="false">IF($S768="","",IF(COUNTIF($S$2:$S$2991,$S768)&gt;1,"DUPLICATE","OK"))</f>
        <v/>
      </c>
      <c r="U768" s="0" t="str">
        <f aca="false">IF($L768="","",IFERROR(VLOOKUP(--$L768,MM_Income!$Z$5:$AC$204,3,FALSE()),"UNMAPPED"))</f>
        <v/>
      </c>
    </row>
    <row r="769" customFormat="false" ht="13.5" hidden="false" customHeight="false" outlineLevel="0" collapsed="false">
      <c r="A769" s="1" t="str">
        <f aca="false">IF($C769="","",Controls!$B$7)</f>
        <v/>
      </c>
      <c r="B769" s="1" t="str">
        <f aca="false">IF($H769="","",YEAR($H769)&amp;"-Q"&amp;ROUNDUP(MONTH($H769)/3,0))</f>
        <v/>
      </c>
      <c r="S769" s="1" t="str">
        <f aca="false">IF($C769="","",$C769&amp;"|"&amp;$E769&amp;"|"&amp;$F769&amp;"|"&amp;$L769&amp;"|"&amp;$P769&amp;"|"&amp;TEXT($H769,"yyyy-mm-dd"))</f>
        <v/>
      </c>
      <c r="T769" s="1" t="str">
        <f aca="false">IF($S769="","",IF(COUNTIF($S$2:$S$2991,$S769)&gt;1,"DUPLICATE","OK"))</f>
        <v/>
      </c>
      <c r="U769" s="0" t="str">
        <f aca="false">IF($L769="","",IFERROR(VLOOKUP(--$L769,MM_Income!$Z$5:$AC$204,3,FALSE()),"UNMAPPED"))</f>
        <v/>
      </c>
    </row>
    <row r="770" customFormat="false" ht="13.5" hidden="false" customHeight="false" outlineLevel="0" collapsed="false">
      <c r="A770" s="1" t="str">
        <f aca="false">IF($C770="","",Controls!$B$7)</f>
        <v/>
      </c>
      <c r="B770" s="1" t="str">
        <f aca="false">IF($H770="","",YEAR($H770)&amp;"-Q"&amp;ROUNDUP(MONTH($H770)/3,0))</f>
        <v/>
      </c>
      <c r="S770" s="1" t="str">
        <f aca="false">IF($C770="","",$C770&amp;"|"&amp;$E770&amp;"|"&amp;$F770&amp;"|"&amp;$L770&amp;"|"&amp;$P770&amp;"|"&amp;TEXT($H770,"yyyy-mm-dd"))</f>
        <v/>
      </c>
      <c r="T770" s="1" t="str">
        <f aca="false">IF($S770="","",IF(COUNTIF($S$2:$S$2991,$S770)&gt;1,"DUPLICATE","OK"))</f>
        <v/>
      </c>
      <c r="U770" s="0" t="str">
        <f aca="false">IF($L770="","",IFERROR(VLOOKUP(--$L770,MM_Income!$Z$5:$AC$204,3,FALSE()),"UNMAPPED"))</f>
        <v/>
      </c>
    </row>
    <row r="771" customFormat="false" ht="13.5" hidden="false" customHeight="false" outlineLevel="0" collapsed="false">
      <c r="A771" s="1" t="str">
        <f aca="false">IF($C771="","",Controls!$B$7)</f>
        <v/>
      </c>
      <c r="B771" s="1" t="str">
        <f aca="false">IF($H771="","",YEAR($H771)&amp;"-Q"&amp;ROUNDUP(MONTH($H771)/3,0))</f>
        <v/>
      </c>
      <c r="S771" s="1" t="str">
        <f aca="false">IF($C771="","",$C771&amp;"|"&amp;$E771&amp;"|"&amp;$F771&amp;"|"&amp;$L771&amp;"|"&amp;$P771&amp;"|"&amp;TEXT($H771,"yyyy-mm-dd"))</f>
        <v/>
      </c>
      <c r="T771" s="1" t="str">
        <f aca="false">IF($S771="","",IF(COUNTIF($S$2:$S$2991,$S771)&gt;1,"DUPLICATE","OK"))</f>
        <v/>
      </c>
      <c r="U771" s="0" t="str">
        <f aca="false">IF($L771="","",IFERROR(VLOOKUP(--$L771,MM_Income!$Z$5:$AC$204,3,FALSE()),"UNMAPPED"))</f>
        <v/>
      </c>
    </row>
    <row r="772" customFormat="false" ht="13.5" hidden="false" customHeight="false" outlineLevel="0" collapsed="false">
      <c r="A772" s="1" t="str">
        <f aca="false">IF($C772="","",Controls!$B$7)</f>
        <v/>
      </c>
      <c r="B772" s="1" t="str">
        <f aca="false">IF($H772="","",YEAR($H772)&amp;"-Q"&amp;ROUNDUP(MONTH($H772)/3,0))</f>
        <v/>
      </c>
      <c r="S772" s="1" t="str">
        <f aca="false">IF($C772="","",$C772&amp;"|"&amp;$E772&amp;"|"&amp;$F772&amp;"|"&amp;$L772&amp;"|"&amp;$P772&amp;"|"&amp;TEXT($H772,"yyyy-mm-dd"))</f>
        <v/>
      </c>
      <c r="T772" s="1" t="str">
        <f aca="false">IF($S772="","",IF(COUNTIF($S$2:$S$2991,$S772)&gt;1,"DUPLICATE","OK"))</f>
        <v/>
      </c>
      <c r="U772" s="0" t="str">
        <f aca="false">IF($L772="","",IFERROR(VLOOKUP(--$L772,MM_Income!$Z$5:$AC$204,3,FALSE()),"UNMAPPED"))</f>
        <v/>
      </c>
    </row>
    <row r="773" customFormat="false" ht="13.5" hidden="false" customHeight="false" outlineLevel="0" collapsed="false">
      <c r="A773" s="1" t="str">
        <f aca="false">IF($C773="","",Controls!$B$7)</f>
        <v/>
      </c>
      <c r="B773" s="1" t="str">
        <f aca="false">IF($H773="","",YEAR($H773)&amp;"-Q"&amp;ROUNDUP(MONTH($H773)/3,0))</f>
        <v/>
      </c>
      <c r="S773" s="1" t="str">
        <f aca="false">IF($C773="","",$C773&amp;"|"&amp;$E773&amp;"|"&amp;$F773&amp;"|"&amp;$L773&amp;"|"&amp;$P773&amp;"|"&amp;TEXT($H773,"yyyy-mm-dd"))</f>
        <v/>
      </c>
      <c r="T773" s="1" t="str">
        <f aca="false">IF($S773="","",IF(COUNTIF($S$2:$S$2991,$S773)&gt;1,"DUPLICATE","OK"))</f>
        <v/>
      </c>
      <c r="U773" s="0" t="str">
        <f aca="false">IF($L773="","",IFERROR(VLOOKUP(--$L773,MM_Income!$Z$5:$AC$204,3,FALSE()),"UNMAPPED"))</f>
        <v/>
      </c>
    </row>
    <row r="774" customFormat="false" ht="13.5" hidden="false" customHeight="false" outlineLevel="0" collapsed="false">
      <c r="A774" s="1" t="str">
        <f aca="false">IF($C774="","",Controls!$B$7)</f>
        <v/>
      </c>
      <c r="B774" s="1" t="str">
        <f aca="false">IF($H774="","",YEAR($H774)&amp;"-Q"&amp;ROUNDUP(MONTH($H774)/3,0))</f>
        <v/>
      </c>
      <c r="S774" s="1" t="str">
        <f aca="false">IF($C774="","",$C774&amp;"|"&amp;$E774&amp;"|"&amp;$F774&amp;"|"&amp;$L774&amp;"|"&amp;$P774&amp;"|"&amp;TEXT($H774,"yyyy-mm-dd"))</f>
        <v/>
      </c>
      <c r="T774" s="1" t="str">
        <f aca="false">IF($S774="","",IF(COUNTIF($S$2:$S$2991,$S774)&gt;1,"DUPLICATE","OK"))</f>
        <v/>
      </c>
      <c r="U774" s="0" t="str">
        <f aca="false">IF($L774="","",IFERROR(VLOOKUP(--$L774,MM_Income!$Z$5:$AC$204,3,FALSE()),"UNMAPPED"))</f>
        <v/>
      </c>
    </row>
    <row r="775" customFormat="false" ht="13.5" hidden="false" customHeight="false" outlineLevel="0" collapsed="false">
      <c r="A775" s="1" t="str">
        <f aca="false">IF($C775="","",Controls!$B$7)</f>
        <v/>
      </c>
      <c r="B775" s="1" t="str">
        <f aca="false">IF($H775="","",YEAR($H775)&amp;"-Q"&amp;ROUNDUP(MONTH($H775)/3,0))</f>
        <v/>
      </c>
      <c r="S775" s="1" t="str">
        <f aca="false">IF($C775="","",$C775&amp;"|"&amp;$E775&amp;"|"&amp;$F775&amp;"|"&amp;$L775&amp;"|"&amp;$P775&amp;"|"&amp;TEXT($H775,"yyyy-mm-dd"))</f>
        <v/>
      </c>
      <c r="T775" s="1" t="str">
        <f aca="false">IF($S775="","",IF(COUNTIF($S$2:$S$2991,$S775)&gt;1,"DUPLICATE","OK"))</f>
        <v/>
      </c>
      <c r="U775" s="0" t="str">
        <f aca="false">IF($L775="","",IFERROR(VLOOKUP(--$L775,MM_Income!$Z$5:$AC$204,3,FALSE()),"UNMAPPED"))</f>
        <v/>
      </c>
    </row>
    <row r="776" customFormat="false" ht="13.5" hidden="false" customHeight="false" outlineLevel="0" collapsed="false">
      <c r="A776" s="1" t="str">
        <f aca="false">IF($C776="","",Controls!$B$7)</f>
        <v/>
      </c>
      <c r="B776" s="1" t="str">
        <f aca="false">IF($H776="","",YEAR($H776)&amp;"-Q"&amp;ROUNDUP(MONTH($H776)/3,0))</f>
        <v/>
      </c>
      <c r="S776" s="1" t="str">
        <f aca="false">IF($C776="","",$C776&amp;"|"&amp;$E776&amp;"|"&amp;$F776&amp;"|"&amp;$L776&amp;"|"&amp;$P776&amp;"|"&amp;TEXT($H776,"yyyy-mm-dd"))</f>
        <v/>
      </c>
      <c r="T776" s="1" t="str">
        <f aca="false">IF($S776="","",IF(COUNTIF($S$2:$S$2991,$S776)&gt;1,"DUPLICATE","OK"))</f>
        <v/>
      </c>
      <c r="U776" s="0" t="str">
        <f aca="false">IF($L776="","",IFERROR(VLOOKUP(--$L776,MM_Income!$Z$5:$AC$204,3,FALSE()),"UNMAPPED"))</f>
        <v/>
      </c>
    </row>
    <row r="777" customFormat="false" ht="13.5" hidden="false" customHeight="false" outlineLevel="0" collapsed="false">
      <c r="A777" s="1" t="str">
        <f aca="false">IF($C777="","",Controls!$B$7)</f>
        <v/>
      </c>
      <c r="B777" s="1" t="str">
        <f aca="false">IF($H777="","",YEAR($H777)&amp;"-Q"&amp;ROUNDUP(MONTH($H777)/3,0))</f>
        <v/>
      </c>
      <c r="S777" s="1" t="str">
        <f aca="false">IF($C777="","",$C777&amp;"|"&amp;$E777&amp;"|"&amp;$F777&amp;"|"&amp;$L777&amp;"|"&amp;$P777&amp;"|"&amp;TEXT($H777,"yyyy-mm-dd"))</f>
        <v/>
      </c>
      <c r="T777" s="1" t="str">
        <f aca="false">IF($S777="","",IF(COUNTIF($S$2:$S$2991,$S777)&gt;1,"DUPLICATE","OK"))</f>
        <v/>
      </c>
      <c r="U777" s="0" t="str">
        <f aca="false">IF($L777="","",IFERROR(VLOOKUP(--$L777,MM_Income!$Z$5:$AC$204,3,FALSE()),"UNMAPPED"))</f>
        <v/>
      </c>
    </row>
    <row r="778" customFormat="false" ht="13.5" hidden="false" customHeight="false" outlineLevel="0" collapsed="false">
      <c r="A778" s="1" t="str">
        <f aca="false">IF($C778="","",Controls!$B$7)</f>
        <v/>
      </c>
      <c r="B778" s="1" t="str">
        <f aca="false">IF($H778="","",YEAR($H778)&amp;"-Q"&amp;ROUNDUP(MONTH($H778)/3,0))</f>
        <v/>
      </c>
      <c r="S778" s="1" t="str">
        <f aca="false">IF($C778="","",$C778&amp;"|"&amp;$E778&amp;"|"&amp;$F778&amp;"|"&amp;$L778&amp;"|"&amp;$P778&amp;"|"&amp;TEXT($H778,"yyyy-mm-dd"))</f>
        <v/>
      </c>
      <c r="T778" s="1" t="str">
        <f aca="false">IF($S778="","",IF(COUNTIF($S$2:$S$2991,$S778)&gt;1,"DUPLICATE","OK"))</f>
        <v/>
      </c>
      <c r="U778" s="0" t="str">
        <f aca="false">IF($L778="","",IFERROR(VLOOKUP(--$L778,MM_Income!$Z$5:$AC$204,3,FALSE()),"UNMAPPED"))</f>
        <v/>
      </c>
    </row>
    <row r="779" customFormat="false" ht="13.5" hidden="false" customHeight="false" outlineLevel="0" collapsed="false">
      <c r="A779" s="1" t="str">
        <f aca="false">IF($C779="","",Controls!$B$7)</f>
        <v/>
      </c>
      <c r="B779" s="1" t="str">
        <f aca="false">IF($H779="","",YEAR($H779)&amp;"-Q"&amp;ROUNDUP(MONTH($H779)/3,0))</f>
        <v/>
      </c>
      <c r="S779" s="1" t="str">
        <f aca="false">IF($C779="","",$C779&amp;"|"&amp;$E779&amp;"|"&amp;$F779&amp;"|"&amp;$L779&amp;"|"&amp;$P779&amp;"|"&amp;TEXT($H779,"yyyy-mm-dd"))</f>
        <v/>
      </c>
      <c r="T779" s="1" t="str">
        <f aca="false">IF($S779="","",IF(COUNTIF($S$2:$S$2991,$S779)&gt;1,"DUPLICATE","OK"))</f>
        <v/>
      </c>
      <c r="U779" s="0" t="str">
        <f aca="false">IF($L779="","",IFERROR(VLOOKUP(--$L779,MM_Income!$Z$5:$AC$204,3,FALSE()),"UNMAPPED"))</f>
        <v/>
      </c>
    </row>
    <row r="780" customFormat="false" ht="13.5" hidden="false" customHeight="false" outlineLevel="0" collapsed="false">
      <c r="A780" s="1" t="str">
        <f aca="false">IF($C780="","",Controls!$B$7)</f>
        <v/>
      </c>
      <c r="B780" s="1" t="str">
        <f aca="false">IF($H780="","",YEAR($H780)&amp;"-Q"&amp;ROUNDUP(MONTH($H780)/3,0))</f>
        <v/>
      </c>
      <c r="S780" s="1" t="str">
        <f aca="false">IF($C780="","",$C780&amp;"|"&amp;$E780&amp;"|"&amp;$F780&amp;"|"&amp;$L780&amp;"|"&amp;$P780&amp;"|"&amp;TEXT($H780,"yyyy-mm-dd"))</f>
        <v/>
      </c>
      <c r="T780" s="1" t="str">
        <f aca="false">IF($S780="","",IF(COUNTIF($S$2:$S$2991,$S780)&gt;1,"DUPLICATE","OK"))</f>
        <v/>
      </c>
      <c r="U780" s="0" t="str">
        <f aca="false">IF($L780="","",IFERROR(VLOOKUP(--$L780,MM_Income!$Z$5:$AC$204,3,FALSE()),"UNMAPPED"))</f>
        <v/>
      </c>
    </row>
    <row r="781" customFormat="false" ht="13.5" hidden="false" customHeight="false" outlineLevel="0" collapsed="false">
      <c r="A781" s="1" t="str">
        <f aca="false">IF($C781="","",Controls!$B$7)</f>
        <v/>
      </c>
      <c r="B781" s="1" t="str">
        <f aca="false">IF($H781="","",YEAR($H781)&amp;"-Q"&amp;ROUNDUP(MONTH($H781)/3,0))</f>
        <v/>
      </c>
      <c r="S781" s="1" t="str">
        <f aca="false">IF($C781="","",$C781&amp;"|"&amp;$E781&amp;"|"&amp;$F781&amp;"|"&amp;$L781&amp;"|"&amp;$P781&amp;"|"&amp;TEXT($H781,"yyyy-mm-dd"))</f>
        <v/>
      </c>
      <c r="T781" s="1" t="str">
        <f aca="false">IF($S781="","",IF(COUNTIF($S$2:$S$2991,$S781)&gt;1,"DUPLICATE","OK"))</f>
        <v/>
      </c>
      <c r="U781" s="0" t="str">
        <f aca="false">IF($L781="","",IFERROR(VLOOKUP(--$L781,MM_Income!$Z$5:$AC$204,3,FALSE()),"UNMAPPED"))</f>
        <v/>
      </c>
    </row>
    <row r="782" customFormat="false" ht="13.5" hidden="false" customHeight="false" outlineLevel="0" collapsed="false">
      <c r="A782" s="1" t="str">
        <f aca="false">IF($C782="","",Controls!$B$7)</f>
        <v/>
      </c>
      <c r="B782" s="1" t="str">
        <f aca="false">IF($H782="","",YEAR($H782)&amp;"-Q"&amp;ROUNDUP(MONTH($H782)/3,0))</f>
        <v/>
      </c>
      <c r="S782" s="1" t="str">
        <f aca="false">IF($C782="","",$C782&amp;"|"&amp;$E782&amp;"|"&amp;$F782&amp;"|"&amp;$L782&amp;"|"&amp;$P782&amp;"|"&amp;TEXT($H782,"yyyy-mm-dd"))</f>
        <v/>
      </c>
      <c r="T782" s="1" t="str">
        <f aca="false">IF($S782="","",IF(COUNTIF($S$2:$S$2991,$S782)&gt;1,"DUPLICATE","OK"))</f>
        <v/>
      </c>
      <c r="U782" s="0" t="str">
        <f aca="false">IF($L782="","",IFERROR(VLOOKUP(--$L782,MM_Income!$Z$5:$AC$204,3,FALSE()),"UNMAPPED"))</f>
        <v/>
      </c>
    </row>
    <row r="783" customFormat="false" ht="13.5" hidden="false" customHeight="false" outlineLevel="0" collapsed="false">
      <c r="A783" s="1" t="str">
        <f aca="false">IF($C783="","",Controls!$B$7)</f>
        <v/>
      </c>
      <c r="B783" s="1" t="str">
        <f aca="false">IF($H783="","",YEAR($H783)&amp;"-Q"&amp;ROUNDUP(MONTH($H783)/3,0))</f>
        <v/>
      </c>
      <c r="S783" s="1" t="str">
        <f aca="false">IF($C783="","",$C783&amp;"|"&amp;$E783&amp;"|"&amp;$F783&amp;"|"&amp;$L783&amp;"|"&amp;$P783&amp;"|"&amp;TEXT($H783,"yyyy-mm-dd"))</f>
        <v/>
      </c>
      <c r="T783" s="1" t="str">
        <f aca="false">IF($S783="","",IF(COUNTIF($S$2:$S$2991,$S783)&gt;1,"DUPLICATE","OK"))</f>
        <v/>
      </c>
      <c r="U783" s="0" t="str">
        <f aca="false">IF($L783="","",IFERROR(VLOOKUP(--$L783,MM_Income!$Z$5:$AC$204,3,FALSE()),"UNMAPPED"))</f>
        <v/>
      </c>
    </row>
    <row r="784" customFormat="false" ht="13.5" hidden="false" customHeight="false" outlineLevel="0" collapsed="false">
      <c r="A784" s="1" t="str">
        <f aca="false">IF($C784="","",Controls!$B$7)</f>
        <v/>
      </c>
      <c r="B784" s="1" t="str">
        <f aca="false">IF($H784="","",YEAR($H784)&amp;"-Q"&amp;ROUNDUP(MONTH($H784)/3,0))</f>
        <v/>
      </c>
      <c r="S784" s="1" t="str">
        <f aca="false">IF($C784="","",$C784&amp;"|"&amp;$E784&amp;"|"&amp;$F784&amp;"|"&amp;$L784&amp;"|"&amp;$P784&amp;"|"&amp;TEXT($H784,"yyyy-mm-dd"))</f>
        <v/>
      </c>
      <c r="T784" s="1" t="str">
        <f aca="false">IF($S784="","",IF(COUNTIF($S$2:$S$2991,$S784)&gt;1,"DUPLICATE","OK"))</f>
        <v/>
      </c>
      <c r="U784" s="0" t="str">
        <f aca="false">IF($L784="","",IFERROR(VLOOKUP(--$L784,MM_Income!$Z$5:$AC$204,3,FALSE()),"UNMAPPED"))</f>
        <v/>
      </c>
    </row>
    <row r="785" customFormat="false" ht="13.5" hidden="false" customHeight="false" outlineLevel="0" collapsed="false">
      <c r="A785" s="1" t="str">
        <f aca="false">IF($C785="","",Controls!$B$7)</f>
        <v/>
      </c>
      <c r="B785" s="1" t="str">
        <f aca="false">IF($H785="","",YEAR($H785)&amp;"-Q"&amp;ROUNDUP(MONTH($H785)/3,0))</f>
        <v/>
      </c>
      <c r="S785" s="1" t="str">
        <f aca="false">IF($C785="","",$C785&amp;"|"&amp;$E785&amp;"|"&amp;$F785&amp;"|"&amp;$L785&amp;"|"&amp;$P785&amp;"|"&amp;TEXT($H785,"yyyy-mm-dd"))</f>
        <v/>
      </c>
      <c r="T785" s="1" t="str">
        <f aca="false">IF($S785="","",IF(COUNTIF($S$2:$S$2991,$S785)&gt;1,"DUPLICATE","OK"))</f>
        <v/>
      </c>
      <c r="U785" s="0" t="str">
        <f aca="false">IF($L785="","",IFERROR(VLOOKUP(--$L785,MM_Income!$Z$5:$AC$204,3,FALSE()),"UNMAPPED"))</f>
        <v/>
      </c>
    </row>
    <row r="786" customFormat="false" ht="13.5" hidden="false" customHeight="false" outlineLevel="0" collapsed="false">
      <c r="A786" s="1" t="str">
        <f aca="false">IF($C786="","",Controls!$B$7)</f>
        <v/>
      </c>
      <c r="B786" s="1" t="str">
        <f aca="false">IF($H786="","",YEAR($H786)&amp;"-Q"&amp;ROUNDUP(MONTH($H786)/3,0))</f>
        <v/>
      </c>
      <c r="S786" s="1" t="str">
        <f aca="false">IF($C786="","",$C786&amp;"|"&amp;$E786&amp;"|"&amp;$F786&amp;"|"&amp;$L786&amp;"|"&amp;$P786&amp;"|"&amp;TEXT($H786,"yyyy-mm-dd"))</f>
        <v/>
      </c>
      <c r="T786" s="1" t="str">
        <f aca="false">IF($S786="","",IF(COUNTIF($S$2:$S$2991,$S786)&gt;1,"DUPLICATE","OK"))</f>
        <v/>
      </c>
      <c r="U786" s="0" t="str">
        <f aca="false">IF($L786="","",IFERROR(VLOOKUP(--$L786,MM_Income!$Z$5:$AC$204,3,FALSE()),"UNMAPPED"))</f>
        <v/>
      </c>
    </row>
    <row r="787" customFormat="false" ht="13.5" hidden="false" customHeight="false" outlineLevel="0" collapsed="false">
      <c r="A787" s="1" t="str">
        <f aca="false">IF($C787="","",Controls!$B$7)</f>
        <v/>
      </c>
      <c r="B787" s="1" t="str">
        <f aca="false">IF($H787="","",YEAR($H787)&amp;"-Q"&amp;ROUNDUP(MONTH($H787)/3,0))</f>
        <v/>
      </c>
      <c r="S787" s="1" t="str">
        <f aca="false">IF($C787="","",$C787&amp;"|"&amp;$E787&amp;"|"&amp;$F787&amp;"|"&amp;$L787&amp;"|"&amp;$P787&amp;"|"&amp;TEXT($H787,"yyyy-mm-dd"))</f>
        <v/>
      </c>
      <c r="T787" s="1" t="str">
        <f aca="false">IF($S787="","",IF(COUNTIF($S$2:$S$2991,$S787)&gt;1,"DUPLICATE","OK"))</f>
        <v/>
      </c>
      <c r="U787" s="0" t="str">
        <f aca="false">IF($L787="","",IFERROR(VLOOKUP(--$L787,MM_Income!$Z$5:$AC$204,3,FALSE()),"UNMAPPED"))</f>
        <v/>
      </c>
    </row>
    <row r="788" customFormat="false" ht="13.5" hidden="false" customHeight="false" outlineLevel="0" collapsed="false">
      <c r="A788" s="1" t="str">
        <f aca="false">IF($C788="","",Controls!$B$7)</f>
        <v/>
      </c>
      <c r="B788" s="1" t="str">
        <f aca="false">IF($H788="","",YEAR($H788)&amp;"-Q"&amp;ROUNDUP(MONTH($H788)/3,0))</f>
        <v/>
      </c>
      <c r="S788" s="1" t="str">
        <f aca="false">IF($C788="","",$C788&amp;"|"&amp;$E788&amp;"|"&amp;$F788&amp;"|"&amp;$L788&amp;"|"&amp;$P788&amp;"|"&amp;TEXT($H788,"yyyy-mm-dd"))</f>
        <v/>
      </c>
      <c r="T788" s="1" t="str">
        <f aca="false">IF($S788="","",IF(COUNTIF($S$2:$S$2991,$S788)&gt;1,"DUPLICATE","OK"))</f>
        <v/>
      </c>
      <c r="U788" s="0" t="str">
        <f aca="false">IF($L788="","",IFERROR(VLOOKUP(--$L788,MM_Income!$Z$5:$AC$204,3,FALSE()),"UNMAPPED"))</f>
        <v/>
      </c>
    </row>
    <row r="789" customFormat="false" ht="13.5" hidden="false" customHeight="false" outlineLevel="0" collapsed="false">
      <c r="A789" s="1" t="str">
        <f aca="false">IF($C789="","",Controls!$B$7)</f>
        <v/>
      </c>
      <c r="B789" s="1" t="str">
        <f aca="false">IF($H789="","",YEAR($H789)&amp;"-Q"&amp;ROUNDUP(MONTH($H789)/3,0))</f>
        <v/>
      </c>
      <c r="S789" s="1" t="str">
        <f aca="false">IF($C789="","",$C789&amp;"|"&amp;$E789&amp;"|"&amp;$F789&amp;"|"&amp;$L789&amp;"|"&amp;$P789&amp;"|"&amp;TEXT($H789,"yyyy-mm-dd"))</f>
        <v/>
      </c>
      <c r="T789" s="1" t="str">
        <f aca="false">IF($S789="","",IF(COUNTIF($S$2:$S$2991,$S789)&gt;1,"DUPLICATE","OK"))</f>
        <v/>
      </c>
      <c r="U789" s="0" t="str">
        <f aca="false">IF($L789="","",IFERROR(VLOOKUP(--$L789,MM_Income!$Z$5:$AC$204,3,FALSE()),"UNMAPPED"))</f>
        <v/>
      </c>
    </row>
    <row r="790" customFormat="false" ht="13.5" hidden="false" customHeight="false" outlineLevel="0" collapsed="false">
      <c r="A790" s="1" t="str">
        <f aca="false">IF($C790="","",Controls!$B$7)</f>
        <v/>
      </c>
      <c r="B790" s="1" t="str">
        <f aca="false">IF($H790="","",YEAR($H790)&amp;"-Q"&amp;ROUNDUP(MONTH($H790)/3,0))</f>
        <v/>
      </c>
      <c r="S790" s="1" t="str">
        <f aca="false">IF($C790="","",$C790&amp;"|"&amp;$E790&amp;"|"&amp;$F790&amp;"|"&amp;$L790&amp;"|"&amp;$P790&amp;"|"&amp;TEXT($H790,"yyyy-mm-dd"))</f>
        <v/>
      </c>
      <c r="T790" s="1" t="str">
        <f aca="false">IF($S790="","",IF(COUNTIF($S$2:$S$2991,$S790)&gt;1,"DUPLICATE","OK"))</f>
        <v/>
      </c>
      <c r="U790" s="0" t="str">
        <f aca="false">IF($L790="","",IFERROR(VLOOKUP(--$L790,MM_Income!$Z$5:$AC$204,3,FALSE()),"UNMAPPED"))</f>
        <v/>
      </c>
    </row>
    <row r="791" customFormat="false" ht="13.5" hidden="false" customHeight="false" outlineLevel="0" collapsed="false">
      <c r="A791" s="1" t="str">
        <f aca="false">IF($C791="","",Controls!$B$7)</f>
        <v/>
      </c>
      <c r="B791" s="1" t="str">
        <f aca="false">IF($H791="","",YEAR($H791)&amp;"-Q"&amp;ROUNDUP(MONTH($H791)/3,0))</f>
        <v/>
      </c>
      <c r="S791" s="1" t="str">
        <f aca="false">IF($C791="","",$C791&amp;"|"&amp;$E791&amp;"|"&amp;$F791&amp;"|"&amp;$L791&amp;"|"&amp;$P791&amp;"|"&amp;TEXT($H791,"yyyy-mm-dd"))</f>
        <v/>
      </c>
      <c r="T791" s="1" t="str">
        <f aca="false">IF($S791="","",IF(COUNTIF($S$2:$S$2991,$S791)&gt;1,"DUPLICATE","OK"))</f>
        <v/>
      </c>
      <c r="U791" s="0" t="str">
        <f aca="false">IF($L791="","",IFERROR(VLOOKUP(--$L791,MM_Income!$Z$5:$AC$204,3,FALSE()),"UNMAPPED"))</f>
        <v/>
      </c>
    </row>
    <row r="792" customFormat="false" ht="13.5" hidden="false" customHeight="false" outlineLevel="0" collapsed="false">
      <c r="A792" s="1" t="str">
        <f aca="false">IF($C792="","",Controls!$B$7)</f>
        <v/>
      </c>
      <c r="B792" s="1" t="str">
        <f aca="false">IF($H792="","",YEAR($H792)&amp;"-Q"&amp;ROUNDUP(MONTH($H792)/3,0))</f>
        <v/>
      </c>
      <c r="S792" s="1" t="str">
        <f aca="false">IF($C792="","",$C792&amp;"|"&amp;$E792&amp;"|"&amp;$F792&amp;"|"&amp;$L792&amp;"|"&amp;$P792&amp;"|"&amp;TEXT($H792,"yyyy-mm-dd"))</f>
        <v/>
      </c>
      <c r="T792" s="1" t="str">
        <f aca="false">IF($S792="","",IF(COUNTIF($S$2:$S$2991,$S792)&gt;1,"DUPLICATE","OK"))</f>
        <v/>
      </c>
      <c r="U792" s="0" t="str">
        <f aca="false">IF($L792="","",IFERROR(VLOOKUP(--$L792,MM_Income!$Z$5:$AC$204,3,FALSE()),"UNMAPPED"))</f>
        <v/>
      </c>
    </row>
    <row r="793" customFormat="false" ht="13.5" hidden="false" customHeight="false" outlineLevel="0" collapsed="false">
      <c r="A793" s="1" t="str">
        <f aca="false">IF($C793="","",Controls!$B$7)</f>
        <v/>
      </c>
      <c r="B793" s="1" t="str">
        <f aca="false">IF($H793="","",YEAR($H793)&amp;"-Q"&amp;ROUNDUP(MONTH($H793)/3,0))</f>
        <v/>
      </c>
      <c r="S793" s="1" t="str">
        <f aca="false">IF($C793="","",$C793&amp;"|"&amp;$E793&amp;"|"&amp;$F793&amp;"|"&amp;$L793&amp;"|"&amp;$P793&amp;"|"&amp;TEXT($H793,"yyyy-mm-dd"))</f>
        <v/>
      </c>
      <c r="T793" s="1" t="str">
        <f aca="false">IF($S793="","",IF(COUNTIF($S$2:$S$2991,$S793)&gt;1,"DUPLICATE","OK"))</f>
        <v/>
      </c>
      <c r="U793" s="0" t="str">
        <f aca="false">IF($L793="","",IFERROR(VLOOKUP(--$L793,MM_Income!$Z$5:$AC$204,3,FALSE()),"UNMAPPED"))</f>
        <v/>
      </c>
    </row>
    <row r="794" customFormat="false" ht="13.5" hidden="false" customHeight="false" outlineLevel="0" collapsed="false">
      <c r="A794" s="1" t="str">
        <f aca="false">IF($C794="","",Controls!$B$7)</f>
        <v/>
      </c>
      <c r="B794" s="1" t="str">
        <f aca="false">IF($H794="","",YEAR($H794)&amp;"-Q"&amp;ROUNDUP(MONTH($H794)/3,0))</f>
        <v/>
      </c>
      <c r="S794" s="1" t="str">
        <f aca="false">IF($C794="","",$C794&amp;"|"&amp;$E794&amp;"|"&amp;$F794&amp;"|"&amp;$L794&amp;"|"&amp;$P794&amp;"|"&amp;TEXT($H794,"yyyy-mm-dd"))</f>
        <v/>
      </c>
      <c r="T794" s="1" t="str">
        <f aca="false">IF($S794="","",IF(COUNTIF($S$2:$S$2991,$S794)&gt;1,"DUPLICATE","OK"))</f>
        <v/>
      </c>
      <c r="U794" s="0" t="str">
        <f aca="false">IF($L794="","",IFERROR(VLOOKUP(--$L794,MM_Income!$Z$5:$AC$204,3,FALSE()),"UNMAPPED"))</f>
        <v/>
      </c>
    </row>
    <row r="795" customFormat="false" ht="13.5" hidden="false" customHeight="false" outlineLevel="0" collapsed="false">
      <c r="A795" s="1" t="str">
        <f aca="false">IF($C795="","",Controls!$B$7)</f>
        <v/>
      </c>
      <c r="B795" s="1" t="str">
        <f aca="false">IF($H795="","",YEAR($H795)&amp;"-Q"&amp;ROUNDUP(MONTH($H795)/3,0))</f>
        <v/>
      </c>
      <c r="S795" s="1" t="str">
        <f aca="false">IF($C795="","",$C795&amp;"|"&amp;$E795&amp;"|"&amp;$F795&amp;"|"&amp;$L795&amp;"|"&amp;$P795&amp;"|"&amp;TEXT($H795,"yyyy-mm-dd"))</f>
        <v/>
      </c>
      <c r="T795" s="1" t="str">
        <f aca="false">IF($S795="","",IF(COUNTIF($S$2:$S$2991,$S795)&gt;1,"DUPLICATE","OK"))</f>
        <v/>
      </c>
      <c r="U795" s="0" t="str">
        <f aca="false">IF($L795="","",IFERROR(VLOOKUP(--$L795,MM_Income!$Z$5:$AC$204,3,FALSE()),"UNMAPPED"))</f>
        <v/>
      </c>
    </row>
    <row r="796" customFormat="false" ht="13.5" hidden="false" customHeight="false" outlineLevel="0" collapsed="false">
      <c r="A796" s="1" t="str">
        <f aca="false">IF($C796="","",Controls!$B$7)</f>
        <v/>
      </c>
      <c r="B796" s="1" t="str">
        <f aca="false">IF($H796="","",YEAR($H796)&amp;"-Q"&amp;ROUNDUP(MONTH($H796)/3,0))</f>
        <v/>
      </c>
      <c r="S796" s="1" t="str">
        <f aca="false">IF($C796="","",$C796&amp;"|"&amp;$E796&amp;"|"&amp;$F796&amp;"|"&amp;$L796&amp;"|"&amp;$P796&amp;"|"&amp;TEXT($H796,"yyyy-mm-dd"))</f>
        <v/>
      </c>
      <c r="T796" s="1" t="str">
        <f aca="false">IF($S796="","",IF(COUNTIF($S$2:$S$2991,$S796)&gt;1,"DUPLICATE","OK"))</f>
        <v/>
      </c>
      <c r="U796" s="0" t="str">
        <f aca="false">IF($L796="","",IFERROR(VLOOKUP(--$L796,MM_Income!$Z$5:$AC$204,3,FALSE()),"UNMAPPED"))</f>
        <v/>
      </c>
    </row>
    <row r="797" customFormat="false" ht="13.5" hidden="false" customHeight="false" outlineLevel="0" collapsed="false">
      <c r="A797" s="1" t="str">
        <f aca="false">IF($C797="","",Controls!$B$7)</f>
        <v/>
      </c>
      <c r="B797" s="1" t="str">
        <f aca="false">IF($H797="","",YEAR($H797)&amp;"-Q"&amp;ROUNDUP(MONTH($H797)/3,0))</f>
        <v/>
      </c>
      <c r="S797" s="1" t="str">
        <f aca="false">IF($C797="","",$C797&amp;"|"&amp;$E797&amp;"|"&amp;$F797&amp;"|"&amp;$L797&amp;"|"&amp;$P797&amp;"|"&amp;TEXT($H797,"yyyy-mm-dd"))</f>
        <v/>
      </c>
      <c r="T797" s="1" t="str">
        <f aca="false">IF($S797="","",IF(COUNTIF($S$2:$S$2991,$S797)&gt;1,"DUPLICATE","OK"))</f>
        <v/>
      </c>
      <c r="U797" s="0" t="str">
        <f aca="false">IF($L797="","",IFERROR(VLOOKUP(--$L797,MM_Income!$Z$5:$AC$204,3,FALSE()),"UNMAPPED"))</f>
        <v/>
      </c>
    </row>
    <row r="798" customFormat="false" ht="13.5" hidden="false" customHeight="false" outlineLevel="0" collapsed="false">
      <c r="A798" s="1" t="str">
        <f aca="false">IF($C798="","",Controls!$B$7)</f>
        <v/>
      </c>
      <c r="B798" s="1" t="str">
        <f aca="false">IF($H798="","",YEAR($H798)&amp;"-Q"&amp;ROUNDUP(MONTH($H798)/3,0))</f>
        <v/>
      </c>
      <c r="S798" s="1" t="str">
        <f aca="false">IF($C798="","",$C798&amp;"|"&amp;$E798&amp;"|"&amp;$F798&amp;"|"&amp;$L798&amp;"|"&amp;$P798&amp;"|"&amp;TEXT($H798,"yyyy-mm-dd"))</f>
        <v/>
      </c>
      <c r="T798" s="1" t="str">
        <f aca="false">IF($S798="","",IF(COUNTIF($S$2:$S$2991,$S798)&gt;1,"DUPLICATE","OK"))</f>
        <v/>
      </c>
      <c r="U798" s="0" t="str">
        <f aca="false">IF($L798="","",IFERROR(VLOOKUP(--$L798,MM_Income!$Z$5:$AC$204,3,FALSE()),"UNMAPPED"))</f>
        <v/>
      </c>
    </row>
    <row r="799" customFormat="false" ht="13.5" hidden="false" customHeight="false" outlineLevel="0" collapsed="false">
      <c r="A799" s="1" t="str">
        <f aca="false">IF($C799="","",Controls!$B$7)</f>
        <v/>
      </c>
      <c r="B799" s="1" t="str">
        <f aca="false">IF($H799="","",YEAR($H799)&amp;"-Q"&amp;ROUNDUP(MONTH($H799)/3,0))</f>
        <v/>
      </c>
      <c r="S799" s="1" t="str">
        <f aca="false">IF($C799="","",$C799&amp;"|"&amp;$E799&amp;"|"&amp;$F799&amp;"|"&amp;$L799&amp;"|"&amp;$P799&amp;"|"&amp;TEXT($H799,"yyyy-mm-dd"))</f>
        <v/>
      </c>
      <c r="T799" s="1" t="str">
        <f aca="false">IF($S799="","",IF(COUNTIF($S$2:$S$2991,$S799)&gt;1,"DUPLICATE","OK"))</f>
        <v/>
      </c>
      <c r="U799" s="0" t="str">
        <f aca="false">IF($L799="","",IFERROR(VLOOKUP(--$L799,MM_Income!$Z$5:$AC$204,3,FALSE()),"UNMAPPED"))</f>
        <v/>
      </c>
    </row>
    <row r="800" customFormat="false" ht="13.5" hidden="false" customHeight="false" outlineLevel="0" collapsed="false">
      <c r="A800" s="1" t="str">
        <f aca="false">IF($C800="","",Controls!$B$7)</f>
        <v/>
      </c>
      <c r="B800" s="1" t="str">
        <f aca="false">IF($H800="","",YEAR($H800)&amp;"-Q"&amp;ROUNDUP(MONTH($H800)/3,0))</f>
        <v/>
      </c>
      <c r="S800" s="1" t="str">
        <f aca="false">IF($C800="","",$C800&amp;"|"&amp;$E800&amp;"|"&amp;$F800&amp;"|"&amp;$L800&amp;"|"&amp;$P800&amp;"|"&amp;TEXT($H800,"yyyy-mm-dd"))</f>
        <v/>
      </c>
      <c r="T800" s="1" t="str">
        <f aca="false">IF($S800="","",IF(COUNTIF($S$2:$S$2991,$S800)&gt;1,"DUPLICATE","OK"))</f>
        <v/>
      </c>
      <c r="U800" s="0" t="str">
        <f aca="false">IF($L800="","",IFERROR(VLOOKUP(--$L800,MM_Income!$Z$5:$AC$204,3,FALSE()),"UNMAPPED"))</f>
        <v/>
      </c>
    </row>
    <row r="801" customFormat="false" ht="13.5" hidden="false" customHeight="false" outlineLevel="0" collapsed="false">
      <c r="A801" s="1" t="str">
        <f aca="false">IF($C801="","",Controls!$B$7)</f>
        <v/>
      </c>
      <c r="B801" s="1" t="str">
        <f aca="false">IF($H801="","",YEAR($H801)&amp;"-Q"&amp;ROUNDUP(MONTH($H801)/3,0))</f>
        <v/>
      </c>
      <c r="S801" s="1" t="str">
        <f aca="false">IF($C801="","",$C801&amp;"|"&amp;$E801&amp;"|"&amp;$F801&amp;"|"&amp;$L801&amp;"|"&amp;$P801&amp;"|"&amp;TEXT($H801,"yyyy-mm-dd"))</f>
        <v/>
      </c>
      <c r="T801" s="1" t="str">
        <f aca="false">IF($S801="","",IF(COUNTIF($S$2:$S$2991,$S801)&gt;1,"DUPLICATE","OK"))</f>
        <v/>
      </c>
      <c r="U801" s="0" t="str">
        <f aca="false">IF($L801="","",IFERROR(VLOOKUP(--$L801,MM_Income!$Z$5:$AC$204,3,FALSE()),"UNMAPPED"))</f>
        <v/>
      </c>
    </row>
    <row r="802" customFormat="false" ht="13.5" hidden="false" customHeight="false" outlineLevel="0" collapsed="false">
      <c r="A802" s="1" t="str">
        <f aca="false">IF($C802="","",Controls!$B$7)</f>
        <v/>
      </c>
      <c r="B802" s="1" t="str">
        <f aca="false">IF($H802="","",YEAR($H802)&amp;"-Q"&amp;ROUNDUP(MONTH($H802)/3,0))</f>
        <v/>
      </c>
      <c r="S802" s="1" t="str">
        <f aca="false">IF($C802="","",$C802&amp;"|"&amp;$E802&amp;"|"&amp;$F802&amp;"|"&amp;$L802&amp;"|"&amp;$P802&amp;"|"&amp;TEXT($H802,"yyyy-mm-dd"))</f>
        <v/>
      </c>
      <c r="T802" s="1" t="str">
        <f aca="false">IF($S802="","",IF(COUNTIF($S$2:$S$2991,$S802)&gt;1,"DUPLICATE","OK"))</f>
        <v/>
      </c>
      <c r="U802" s="0" t="str">
        <f aca="false">IF($L802="","",IFERROR(VLOOKUP(--$L802,MM_Income!$Z$5:$AC$204,3,FALSE()),"UNMAPPED"))</f>
        <v/>
      </c>
    </row>
    <row r="803" customFormat="false" ht="13.5" hidden="false" customHeight="false" outlineLevel="0" collapsed="false">
      <c r="A803" s="1" t="str">
        <f aca="false">IF($C803="","",Controls!$B$7)</f>
        <v/>
      </c>
      <c r="B803" s="1" t="str">
        <f aca="false">IF($H803="","",YEAR($H803)&amp;"-Q"&amp;ROUNDUP(MONTH($H803)/3,0))</f>
        <v/>
      </c>
      <c r="S803" s="1" t="str">
        <f aca="false">IF($C803="","",$C803&amp;"|"&amp;$E803&amp;"|"&amp;$F803&amp;"|"&amp;$L803&amp;"|"&amp;$P803&amp;"|"&amp;TEXT($H803,"yyyy-mm-dd"))</f>
        <v/>
      </c>
      <c r="T803" s="1" t="str">
        <f aca="false">IF($S803="","",IF(COUNTIF($S$2:$S$2991,$S803)&gt;1,"DUPLICATE","OK"))</f>
        <v/>
      </c>
      <c r="U803" s="0" t="str">
        <f aca="false">IF($L803="","",IFERROR(VLOOKUP(--$L803,MM_Income!$Z$5:$AC$204,3,FALSE()),"UNMAPPED"))</f>
        <v/>
      </c>
    </row>
    <row r="804" customFormat="false" ht="13.5" hidden="false" customHeight="false" outlineLevel="0" collapsed="false">
      <c r="A804" s="1" t="str">
        <f aca="false">IF($C804="","",Controls!$B$7)</f>
        <v/>
      </c>
      <c r="B804" s="1" t="str">
        <f aca="false">IF($H804="","",YEAR($H804)&amp;"-Q"&amp;ROUNDUP(MONTH($H804)/3,0))</f>
        <v/>
      </c>
      <c r="S804" s="1" t="str">
        <f aca="false">IF($C804="","",$C804&amp;"|"&amp;$E804&amp;"|"&amp;$F804&amp;"|"&amp;$L804&amp;"|"&amp;$P804&amp;"|"&amp;TEXT($H804,"yyyy-mm-dd"))</f>
        <v/>
      </c>
      <c r="T804" s="1" t="str">
        <f aca="false">IF($S804="","",IF(COUNTIF($S$2:$S$2991,$S804)&gt;1,"DUPLICATE","OK"))</f>
        <v/>
      </c>
      <c r="U804" s="0" t="str">
        <f aca="false">IF($L804="","",IFERROR(VLOOKUP(--$L804,MM_Income!$Z$5:$AC$204,3,FALSE()),"UNMAPPED"))</f>
        <v/>
      </c>
    </row>
    <row r="805" customFormat="false" ht="13.5" hidden="false" customHeight="false" outlineLevel="0" collapsed="false">
      <c r="A805" s="1" t="str">
        <f aca="false">IF($C805="","",Controls!$B$7)</f>
        <v/>
      </c>
      <c r="B805" s="1" t="str">
        <f aca="false">IF($H805="","",YEAR($H805)&amp;"-Q"&amp;ROUNDUP(MONTH($H805)/3,0))</f>
        <v/>
      </c>
      <c r="S805" s="1" t="str">
        <f aca="false">IF($C805="","",$C805&amp;"|"&amp;$E805&amp;"|"&amp;$F805&amp;"|"&amp;$L805&amp;"|"&amp;$P805&amp;"|"&amp;TEXT($H805,"yyyy-mm-dd"))</f>
        <v/>
      </c>
      <c r="T805" s="1" t="str">
        <f aca="false">IF($S805="","",IF(COUNTIF($S$2:$S$2991,$S805)&gt;1,"DUPLICATE","OK"))</f>
        <v/>
      </c>
      <c r="U805" s="0" t="str">
        <f aca="false">IF($L805="","",IFERROR(VLOOKUP(--$L805,MM_Income!$Z$5:$AC$204,3,FALSE()),"UNMAPPED"))</f>
        <v/>
      </c>
    </row>
    <row r="806" customFormat="false" ht="13.5" hidden="false" customHeight="false" outlineLevel="0" collapsed="false">
      <c r="A806" s="1" t="str">
        <f aca="false">IF($C806="","",Controls!$B$7)</f>
        <v/>
      </c>
      <c r="B806" s="1" t="str">
        <f aca="false">IF($H806="","",YEAR($H806)&amp;"-Q"&amp;ROUNDUP(MONTH($H806)/3,0))</f>
        <v/>
      </c>
      <c r="S806" s="1" t="str">
        <f aca="false">IF($C806="","",$C806&amp;"|"&amp;$E806&amp;"|"&amp;$F806&amp;"|"&amp;$L806&amp;"|"&amp;$P806&amp;"|"&amp;TEXT($H806,"yyyy-mm-dd"))</f>
        <v/>
      </c>
      <c r="T806" s="1" t="str">
        <f aca="false">IF($S806="","",IF(COUNTIF($S$2:$S$2991,$S806)&gt;1,"DUPLICATE","OK"))</f>
        <v/>
      </c>
      <c r="U806" s="0" t="str">
        <f aca="false">IF($L806="","",IFERROR(VLOOKUP(--$L806,MM_Income!$Z$5:$AC$204,3,FALSE()),"UNMAPPED"))</f>
        <v/>
      </c>
    </row>
    <row r="807" customFormat="false" ht="13.5" hidden="false" customHeight="false" outlineLevel="0" collapsed="false">
      <c r="A807" s="1" t="str">
        <f aca="false">IF($C807="","",Controls!$B$7)</f>
        <v/>
      </c>
      <c r="B807" s="1" t="str">
        <f aca="false">IF($H807="","",YEAR($H807)&amp;"-Q"&amp;ROUNDUP(MONTH($H807)/3,0))</f>
        <v/>
      </c>
      <c r="S807" s="1" t="str">
        <f aca="false">IF($C807="","",$C807&amp;"|"&amp;$E807&amp;"|"&amp;$F807&amp;"|"&amp;$L807&amp;"|"&amp;$P807&amp;"|"&amp;TEXT($H807,"yyyy-mm-dd"))</f>
        <v/>
      </c>
      <c r="T807" s="1" t="str">
        <f aca="false">IF($S807="","",IF(COUNTIF($S$2:$S$2991,$S807)&gt;1,"DUPLICATE","OK"))</f>
        <v/>
      </c>
      <c r="U807" s="0" t="str">
        <f aca="false">IF($L807="","",IFERROR(VLOOKUP(--$L807,MM_Income!$Z$5:$AC$204,3,FALSE()),"UNMAPPED"))</f>
        <v/>
      </c>
    </row>
    <row r="808" customFormat="false" ht="13.5" hidden="false" customHeight="false" outlineLevel="0" collapsed="false">
      <c r="A808" s="1" t="str">
        <f aca="false">IF($C808="","",Controls!$B$7)</f>
        <v/>
      </c>
      <c r="B808" s="1" t="str">
        <f aca="false">IF($H808="","",YEAR($H808)&amp;"-Q"&amp;ROUNDUP(MONTH($H808)/3,0))</f>
        <v/>
      </c>
      <c r="S808" s="1" t="str">
        <f aca="false">IF($C808="","",$C808&amp;"|"&amp;$E808&amp;"|"&amp;$F808&amp;"|"&amp;$L808&amp;"|"&amp;$P808&amp;"|"&amp;TEXT($H808,"yyyy-mm-dd"))</f>
        <v/>
      </c>
      <c r="T808" s="1" t="str">
        <f aca="false">IF($S808="","",IF(COUNTIF($S$2:$S$2991,$S808)&gt;1,"DUPLICATE","OK"))</f>
        <v/>
      </c>
      <c r="U808" s="0" t="str">
        <f aca="false">IF($L808="","",IFERROR(VLOOKUP(--$L808,MM_Income!$Z$5:$AC$204,3,FALSE()),"UNMAPPED"))</f>
        <v/>
      </c>
    </row>
    <row r="809" customFormat="false" ht="13.5" hidden="false" customHeight="false" outlineLevel="0" collapsed="false">
      <c r="A809" s="1" t="str">
        <f aca="false">IF($C809="","",Controls!$B$7)</f>
        <v/>
      </c>
      <c r="B809" s="1" t="str">
        <f aca="false">IF($H809="","",YEAR($H809)&amp;"-Q"&amp;ROUNDUP(MONTH($H809)/3,0))</f>
        <v/>
      </c>
      <c r="S809" s="1" t="str">
        <f aca="false">IF($C809="","",$C809&amp;"|"&amp;$E809&amp;"|"&amp;$F809&amp;"|"&amp;$L809&amp;"|"&amp;$P809&amp;"|"&amp;TEXT($H809,"yyyy-mm-dd"))</f>
        <v/>
      </c>
      <c r="T809" s="1" t="str">
        <f aca="false">IF($S809="","",IF(COUNTIF($S$2:$S$2991,$S809)&gt;1,"DUPLICATE","OK"))</f>
        <v/>
      </c>
      <c r="U809" s="0" t="str">
        <f aca="false">IF($L809="","",IFERROR(VLOOKUP(--$L809,MM_Income!$Z$5:$AC$204,3,FALSE()),"UNMAPPED"))</f>
        <v/>
      </c>
    </row>
    <row r="810" customFormat="false" ht="13.5" hidden="false" customHeight="false" outlineLevel="0" collapsed="false">
      <c r="A810" s="1" t="str">
        <f aca="false">IF($C810="","",Controls!$B$7)</f>
        <v/>
      </c>
      <c r="B810" s="1" t="str">
        <f aca="false">IF($H810="","",YEAR($H810)&amp;"-Q"&amp;ROUNDUP(MONTH($H810)/3,0))</f>
        <v/>
      </c>
      <c r="S810" s="1" t="str">
        <f aca="false">IF($C810="","",$C810&amp;"|"&amp;$E810&amp;"|"&amp;$F810&amp;"|"&amp;$L810&amp;"|"&amp;$P810&amp;"|"&amp;TEXT($H810,"yyyy-mm-dd"))</f>
        <v/>
      </c>
      <c r="T810" s="1" t="str">
        <f aca="false">IF($S810="","",IF(COUNTIF($S$2:$S$2991,$S810)&gt;1,"DUPLICATE","OK"))</f>
        <v/>
      </c>
      <c r="U810" s="0" t="str">
        <f aca="false">IF($L810="","",IFERROR(VLOOKUP(--$L810,MM_Income!$Z$5:$AC$204,3,FALSE()),"UNMAPPED"))</f>
        <v/>
      </c>
    </row>
    <row r="811" customFormat="false" ht="13.5" hidden="false" customHeight="false" outlineLevel="0" collapsed="false">
      <c r="A811" s="1" t="str">
        <f aca="false">IF($C811="","",Controls!$B$7)</f>
        <v/>
      </c>
      <c r="B811" s="1" t="str">
        <f aca="false">IF($H811="","",YEAR($H811)&amp;"-Q"&amp;ROUNDUP(MONTH($H811)/3,0))</f>
        <v/>
      </c>
      <c r="S811" s="1" t="str">
        <f aca="false">IF($C811="","",$C811&amp;"|"&amp;$E811&amp;"|"&amp;$F811&amp;"|"&amp;$L811&amp;"|"&amp;$P811&amp;"|"&amp;TEXT($H811,"yyyy-mm-dd"))</f>
        <v/>
      </c>
      <c r="T811" s="1" t="str">
        <f aca="false">IF($S811="","",IF(COUNTIF($S$2:$S$2991,$S811)&gt;1,"DUPLICATE","OK"))</f>
        <v/>
      </c>
      <c r="U811" s="0" t="str">
        <f aca="false">IF($L811="","",IFERROR(VLOOKUP(--$L811,MM_Income!$Z$5:$AC$204,3,FALSE()),"UNMAPPED"))</f>
        <v/>
      </c>
    </row>
    <row r="812" customFormat="false" ht="13.5" hidden="false" customHeight="false" outlineLevel="0" collapsed="false">
      <c r="A812" s="1" t="str">
        <f aca="false">IF($C812="","",Controls!$B$7)</f>
        <v/>
      </c>
      <c r="B812" s="1" t="str">
        <f aca="false">IF($H812="","",YEAR($H812)&amp;"-Q"&amp;ROUNDUP(MONTH($H812)/3,0))</f>
        <v/>
      </c>
      <c r="S812" s="1" t="str">
        <f aca="false">IF($C812="","",$C812&amp;"|"&amp;$E812&amp;"|"&amp;$F812&amp;"|"&amp;$L812&amp;"|"&amp;$P812&amp;"|"&amp;TEXT($H812,"yyyy-mm-dd"))</f>
        <v/>
      </c>
      <c r="T812" s="1" t="str">
        <f aca="false">IF($S812="","",IF(COUNTIF($S$2:$S$2991,$S812)&gt;1,"DUPLICATE","OK"))</f>
        <v/>
      </c>
      <c r="U812" s="0" t="str">
        <f aca="false">IF($L812="","",IFERROR(VLOOKUP(--$L812,MM_Income!$Z$5:$AC$204,3,FALSE()),"UNMAPPED"))</f>
        <v/>
      </c>
    </row>
    <row r="813" customFormat="false" ht="13.5" hidden="false" customHeight="false" outlineLevel="0" collapsed="false">
      <c r="A813" s="1" t="str">
        <f aca="false">IF($C813="","",Controls!$B$7)</f>
        <v/>
      </c>
      <c r="B813" s="1" t="str">
        <f aca="false">IF($H813="","",YEAR($H813)&amp;"-Q"&amp;ROUNDUP(MONTH($H813)/3,0))</f>
        <v/>
      </c>
      <c r="S813" s="1" t="str">
        <f aca="false">IF($C813="","",$C813&amp;"|"&amp;$E813&amp;"|"&amp;$F813&amp;"|"&amp;$L813&amp;"|"&amp;$P813&amp;"|"&amp;TEXT($H813,"yyyy-mm-dd"))</f>
        <v/>
      </c>
      <c r="T813" s="1" t="str">
        <f aca="false">IF($S813="","",IF(COUNTIF($S$2:$S$2991,$S813)&gt;1,"DUPLICATE","OK"))</f>
        <v/>
      </c>
      <c r="U813" s="0" t="str">
        <f aca="false">IF($L813="","",IFERROR(VLOOKUP(--$L813,MM_Income!$Z$5:$AC$204,3,FALSE()),"UNMAPPED"))</f>
        <v/>
      </c>
    </row>
    <row r="814" customFormat="false" ht="13.5" hidden="false" customHeight="false" outlineLevel="0" collapsed="false">
      <c r="A814" s="1" t="str">
        <f aca="false">IF($C814="","",Controls!$B$7)</f>
        <v/>
      </c>
      <c r="B814" s="1" t="str">
        <f aca="false">IF($H814="","",YEAR($H814)&amp;"-Q"&amp;ROUNDUP(MONTH($H814)/3,0))</f>
        <v/>
      </c>
      <c r="S814" s="1" t="str">
        <f aca="false">IF($C814="","",$C814&amp;"|"&amp;$E814&amp;"|"&amp;$F814&amp;"|"&amp;$L814&amp;"|"&amp;$P814&amp;"|"&amp;TEXT($H814,"yyyy-mm-dd"))</f>
        <v/>
      </c>
      <c r="T814" s="1" t="str">
        <f aca="false">IF($S814="","",IF(COUNTIF($S$2:$S$2991,$S814)&gt;1,"DUPLICATE","OK"))</f>
        <v/>
      </c>
      <c r="U814" s="0" t="str">
        <f aca="false">IF($L814="","",IFERROR(VLOOKUP(--$L814,MM_Income!$Z$5:$AC$204,3,FALSE()),"UNMAPPED"))</f>
        <v/>
      </c>
    </row>
    <row r="815" customFormat="false" ht="13.5" hidden="false" customHeight="false" outlineLevel="0" collapsed="false">
      <c r="A815" s="1" t="str">
        <f aca="false">IF($C815="","",Controls!$B$7)</f>
        <v/>
      </c>
      <c r="B815" s="1" t="str">
        <f aca="false">IF($H815="","",YEAR($H815)&amp;"-Q"&amp;ROUNDUP(MONTH($H815)/3,0))</f>
        <v/>
      </c>
      <c r="S815" s="1" t="str">
        <f aca="false">IF($C815="","",$C815&amp;"|"&amp;$E815&amp;"|"&amp;$F815&amp;"|"&amp;$L815&amp;"|"&amp;$P815&amp;"|"&amp;TEXT($H815,"yyyy-mm-dd"))</f>
        <v/>
      </c>
      <c r="T815" s="1" t="str">
        <f aca="false">IF($S815="","",IF(COUNTIF($S$2:$S$2991,$S815)&gt;1,"DUPLICATE","OK"))</f>
        <v/>
      </c>
      <c r="U815" s="0" t="str">
        <f aca="false">IF($L815="","",IFERROR(VLOOKUP(--$L815,MM_Income!$Z$5:$AC$204,3,FALSE()),"UNMAPPED"))</f>
        <v/>
      </c>
    </row>
    <row r="816" customFormat="false" ht="13.5" hidden="false" customHeight="false" outlineLevel="0" collapsed="false">
      <c r="A816" s="1" t="str">
        <f aca="false">IF($C816="","",Controls!$B$7)</f>
        <v/>
      </c>
      <c r="B816" s="1" t="str">
        <f aca="false">IF($H816="","",YEAR($H816)&amp;"-Q"&amp;ROUNDUP(MONTH($H816)/3,0))</f>
        <v/>
      </c>
      <c r="S816" s="1" t="str">
        <f aca="false">IF($C816="","",$C816&amp;"|"&amp;$E816&amp;"|"&amp;$F816&amp;"|"&amp;$L816&amp;"|"&amp;$P816&amp;"|"&amp;TEXT($H816,"yyyy-mm-dd"))</f>
        <v/>
      </c>
      <c r="T816" s="1" t="str">
        <f aca="false">IF($S816="","",IF(COUNTIF($S$2:$S$2991,$S816)&gt;1,"DUPLICATE","OK"))</f>
        <v/>
      </c>
      <c r="U816" s="0" t="str">
        <f aca="false">IF($L816="","",IFERROR(VLOOKUP(--$L816,MM_Income!$Z$5:$AC$204,3,FALSE()),"UNMAPPED"))</f>
        <v/>
      </c>
    </row>
    <row r="817" customFormat="false" ht="13.5" hidden="false" customHeight="false" outlineLevel="0" collapsed="false">
      <c r="A817" s="1" t="str">
        <f aca="false">IF($C817="","",Controls!$B$7)</f>
        <v/>
      </c>
      <c r="B817" s="1" t="str">
        <f aca="false">IF($H817="","",YEAR($H817)&amp;"-Q"&amp;ROUNDUP(MONTH($H817)/3,0))</f>
        <v/>
      </c>
      <c r="S817" s="1" t="str">
        <f aca="false">IF($C817="","",$C817&amp;"|"&amp;$E817&amp;"|"&amp;$F817&amp;"|"&amp;$L817&amp;"|"&amp;$P817&amp;"|"&amp;TEXT($H817,"yyyy-mm-dd"))</f>
        <v/>
      </c>
      <c r="T817" s="1" t="str">
        <f aca="false">IF($S817="","",IF(COUNTIF($S$2:$S$2991,$S817)&gt;1,"DUPLICATE","OK"))</f>
        <v/>
      </c>
      <c r="U817" s="0" t="str">
        <f aca="false">IF($L817="","",IFERROR(VLOOKUP(--$L817,MM_Income!$Z$5:$AC$204,3,FALSE()),"UNMAPPED"))</f>
        <v/>
      </c>
    </row>
    <row r="818" customFormat="false" ht="13.5" hidden="false" customHeight="false" outlineLevel="0" collapsed="false">
      <c r="A818" s="1" t="str">
        <f aca="false">IF($C818="","",Controls!$B$7)</f>
        <v/>
      </c>
      <c r="B818" s="1" t="str">
        <f aca="false">IF($H818="","",YEAR($H818)&amp;"-Q"&amp;ROUNDUP(MONTH($H818)/3,0))</f>
        <v/>
      </c>
      <c r="S818" s="1" t="str">
        <f aca="false">IF($C818="","",$C818&amp;"|"&amp;$E818&amp;"|"&amp;$F818&amp;"|"&amp;$L818&amp;"|"&amp;$P818&amp;"|"&amp;TEXT($H818,"yyyy-mm-dd"))</f>
        <v/>
      </c>
      <c r="T818" s="1" t="str">
        <f aca="false">IF($S818="","",IF(COUNTIF($S$2:$S$2991,$S818)&gt;1,"DUPLICATE","OK"))</f>
        <v/>
      </c>
      <c r="U818" s="0" t="str">
        <f aca="false">IF($L818="","",IFERROR(VLOOKUP(--$L818,MM_Income!$Z$5:$AC$204,3,FALSE()),"UNMAPPED"))</f>
        <v/>
      </c>
    </row>
    <row r="819" customFormat="false" ht="13.5" hidden="false" customHeight="false" outlineLevel="0" collapsed="false">
      <c r="A819" s="1" t="str">
        <f aca="false">IF($C819="","",Controls!$B$7)</f>
        <v/>
      </c>
      <c r="B819" s="1" t="str">
        <f aca="false">IF($H819="","",YEAR($H819)&amp;"-Q"&amp;ROUNDUP(MONTH($H819)/3,0))</f>
        <v/>
      </c>
      <c r="S819" s="1" t="str">
        <f aca="false">IF($C819="","",$C819&amp;"|"&amp;$E819&amp;"|"&amp;$F819&amp;"|"&amp;$L819&amp;"|"&amp;$P819&amp;"|"&amp;TEXT($H819,"yyyy-mm-dd"))</f>
        <v/>
      </c>
      <c r="T819" s="1" t="str">
        <f aca="false">IF($S819="","",IF(COUNTIF($S$2:$S$2991,$S819)&gt;1,"DUPLICATE","OK"))</f>
        <v/>
      </c>
      <c r="U819" s="0" t="str">
        <f aca="false">IF($L819="","",IFERROR(VLOOKUP(--$L819,MM_Income!$Z$5:$AC$204,3,FALSE()),"UNMAPPED"))</f>
        <v/>
      </c>
    </row>
    <row r="820" customFormat="false" ht="13.5" hidden="false" customHeight="false" outlineLevel="0" collapsed="false">
      <c r="A820" s="1" t="str">
        <f aca="false">IF($C820="","",Controls!$B$7)</f>
        <v/>
      </c>
      <c r="B820" s="1" t="str">
        <f aca="false">IF($H820="","",YEAR($H820)&amp;"-Q"&amp;ROUNDUP(MONTH($H820)/3,0))</f>
        <v/>
      </c>
      <c r="S820" s="1" t="str">
        <f aca="false">IF($C820="","",$C820&amp;"|"&amp;$E820&amp;"|"&amp;$F820&amp;"|"&amp;$L820&amp;"|"&amp;$P820&amp;"|"&amp;TEXT($H820,"yyyy-mm-dd"))</f>
        <v/>
      </c>
      <c r="T820" s="1" t="str">
        <f aca="false">IF($S820="","",IF(COUNTIF($S$2:$S$2991,$S820)&gt;1,"DUPLICATE","OK"))</f>
        <v/>
      </c>
      <c r="U820" s="0" t="str">
        <f aca="false">IF($L820="","",IFERROR(VLOOKUP(--$L820,MM_Income!$Z$5:$AC$204,3,FALSE()),"UNMAPPED"))</f>
        <v/>
      </c>
    </row>
    <row r="821" customFormat="false" ht="13.5" hidden="false" customHeight="false" outlineLevel="0" collapsed="false">
      <c r="A821" s="1" t="str">
        <f aca="false">IF($C821="","",Controls!$B$7)</f>
        <v/>
      </c>
      <c r="B821" s="1" t="str">
        <f aca="false">IF($H821="","",YEAR($H821)&amp;"-Q"&amp;ROUNDUP(MONTH($H821)/3,0))</f>
        <v/>
      </c>
      <c r="S821" s="1" t="str">
        <f aca="false">IF($C821="","",$C821&amp;"|"&amp;$E821&amp;"|"&amp;$F821&amp;"|"&amp;$L821&amp;"|"&amp;$P821&amp;"|"&amp;TEXT($H821,"yyyy-mm-dd"))</f>
        <v/>
      </c>
      <c r="T821" s="1" t="str">
        <f aca="false">IF($S821="","",IF(COUNTIF($S$2:$S$2991,$S821)&gt;1,"DUPLICATE","OK"))</f>
        <v/>
      </c>
      <c r="U821" s="0" t="str">
        <f aca="false">IF($L821="","",IFERROR(VLOOKUP(--$L821,MM_Income!$Z$5:$AC$204,3,FALSE()),"UNMAPPED"))</f>
        <v/>
      </c>
    </row>
    <row r="822" customFormat="false" ht="13.5" hidden="false" customHeight="false" outlineLevel="0" collapsed="false">
      <c r="A822" s="1" t="str">
        <f aca="false">IF($C822="","",Controls!$B$7)</f>
        <v/>
      </c>
      <c r="B822" s="1" t="str">
        <f aca="false">IF($H822="","",YEAR($H822)&amp;"-Q"&amp;ROUNDUP(MONTH($H822)/3,0))</f>
        <v/>
      </c>
      <c r="S822" s="1" t="str">
        <f aca="false">IF($C822="","",$C822&amp;"|"&amp;$E822&amp;"|"&amp;$F822&amp;"|"&amp;$L822&amp;"|"&amp;$P822&amp;"|"&amp;TEXT($H822,"yyyy-mm-dd"))</f>
        <v/>
      </c>
      <c r="T822" s="1" t="str">
        <f aca="false">IF($S822="","",IF(COUNTIF($S$2:$S$2991,$S822)&gt;1,"DUPLICATE","OK"))</f>
        <v/>
      </c>
      <c r="U822" s="0" t="str">
        <f aca="false">IF($L822="","",IFERROR(VLOOKUP(--$L822,MM_Income!$Z$5:$AC$204,3,FALSE()),"UNMAPPED"))</f>
        <v/>
      </c>
    </row>
    <row r="823" customFormat="false" ht="13.5" hidden="false" customHeight="false" outlineLevel="0" collapsed="false">
      <c r="A823" s="1" t="str">
        <f aca="false">IF($C823="","",Controls!$B$7)</f>
        <v/>
      </c>
      <c r="B823" s="1" t="str">
        <f aca="false">IF($H823="","",YEAR($H823)&amp;"-Q"&amp;ROUNDUP(MONTH($H823)/3,0))</f>
        <v/>
      </c>
      <c r="S823" s="1" t="str">
        <f aca="false">IF($C823="","",$C823&amp;"|"&amp;$E823&amp;"|"&amp;$F823&amp;"|"&amp;$L823&amp;"|"&amp;$P823&amp;"|"&amp;TEXT($H823,"yyyy-mm-dd"))</f>
        <v/>
      </c>
      <c r="T823" s="1" t="str">
        <f aca="false">IF($S823="","",IF(COUNTIF($S$2:$S$2991,$S823)&gt;1,"DUPLICATE","OK"))</f>
        <v/>
      </c>
      <c r="U823" s="0" t="str">
        <f aca="false">IF($L823="","",IFERROR(VLOOKUP(--$L823,MM_Income!$Z$5:$AC$204,3,FALSE()),"UNMAPPED"))</f>
        <v/>
      </c>
    </row>
    <row r="824" customFormat="false" ht="13.5" hidden="false" customHeight="false" outlineLevel="0" collapsed="false">
      <c r="A824" s="1" t="str">
        <f aca="false">IF($C824="","",Controls!$B$7)</f>
        <v/>
      </c>
      <c r="B824" s="1" t="str">
        <f aca="false">IF($H824="","",YEAR($H824)&amp;"-Q"&amp;ROUNDUP(MONTH($H824)/3,0))</f>
        <v/>
      </c>
      <c r="S824" s="1" t="str">
        <f aca="false">IF($C824="","",$C824&amp;"|"&amp;$E824&amp;"|"&amp;$F824&amp;"|"&amp;$L824&amp;"|"&amp;$P824&amp;"|"&amp;TEXT($H824,"yyyy-mm-dd"))</f>
        <v/>
      </c>
      <c r="T824" s="1" t="str">
        <f aca="false">IF($S824="","",IF(COUNTIF($S$2:$S$2991,$S824)&gt;1,"DUPLICATE","OK"))</f>
        <v/>
      </c>
      <c r="U824" s="0" t="str">
        <f aca="false">IF($L824="","",IFERROR(VLOOKUP(--$L824,MM_Income!$Z$5:$AC$204,3,FALSE()),"UNMAPPED"))</f>
        <v/>
      </c>
    </row>
    <row r="825" customFormat="false" ht="13.5" hidden="false" customHeight="false" outlineLevel="0" collapsed="false">
      <c r="A825" s="1" t="str">
        <f aca="false">IF($C825="","",Controls!$B$7)</f>
        <v/>
      </c>
      <c r="B825" s="1" t="str">
        <f aca="false">IF($H825="","",YEAR($H825)&amp;"-Q"&amp;ROUNDUP(MONTH($H825)/3,0))</f>
        <v/>
      </c>
      <c r="S825" s="1" t="str">
        <f aca="false">IF($C825="","",$C825&amp;"|"&amp;$E825&amp;"|"&amp;$F825&amp;"|"&amp;$L825&amp;"|"&amp;$P825&amp;"|"&amp;TEXT($H825,"yyyy-mm-dd"))</f>
        <v/>
      </c>
      <c r="T825" s="1" t="str">
        <f aca="false">IF($S825="","",IF(COUNTIF($S$2:$S$2991,$S825)&gt;1,"DUPLICATE","OK"))</f>
        <v/>
      </c>
      <c r="U825" s="0" t="str">
        <f aca="false">IF($L825="","",IFERROR(VLOOKUP(--$L825,MM_Income!$Z$5:$AC$204,3,FALSE()),"UNMAPPED"))</f>
        <v/>
      </c>
    </row>
    <row r="826" customFormat="false" ht="13.5" hidden="false" customHeight="false" outlineLevel="0" collapsed="false">
      <c r="A826" s="1" t="str">
        <f aca="false">IF($C826="","",Controls!$B$7)</f>
        <v/>
      </c>
      <c r="B826" s="1" t="str">
        <f aca="false">IF($H826="","",YEAR($H826)&amp;"-Q"&amp;ROUNDUP(MONTH($H826)/3,0))</f>
        <v/>
      </c>
      <c r="S826" s="1" t="str">
        <f aca="false">IF($C826="","",$C826&amp;"|"&amp;$E826&amp;"|"&amp;$F826&amp;"|"&amp;$L826&amp;"|"&amp;$P826&amp;"|"&amp;TEXT($H826,"yyyy-mm-dd"))</f>
        <v/>
      </c>
      <c r="T826" s="1" t="str">
        <f aca="false">IF($S826="","",IF(COUNTIF($S$2:$S$2991,$S826)&gt;1,"DUPLICATE","OK"))</f>
        <v/>
      </c>
      <c r="U826" s="0" t="str">
        <f aca="false">IF($L826="","",IFERROR(VLOOKUP(--$L826,MM_Income!$Z$5:$AC$204,3,FALSE()),"UNMAPPED"))</f>
        <v/>
      </c>
    </row>
    <row r="827" customFormat="false" ht="13.5" hidden="false" customHeight="false" outlineLevel="0" collapsed="false">
      <c r="A827" s="1" t="str">
        <f aca="false">IF($C827="","",Controls!$B$7)</f>
        <v/>
      </c>
      <c r="B827" s="1" t="str">
        <f aca="false">IF($H827="","",YEAR($H827)&amp;"-Q"&amp;ROUNDUP(MONTH($H827)/3,0))</f>
        <v/>
      </c>
      <c r="S827" s="1" t="str">
        <f aca="false">IF($C827="","",$C827&amp;"|"&amp;$E827&amp;"|"&amp;$F827&amp;"|"&amp;$L827&amp;"|"&amp;$P827&amp;"|"&amp;TEXT($H827,"yyyy-mm-dd"))</f>
        <v/>
      </c>
      <c r="T827" s="1" t="str">
        <f aca="false">IF($S827="","",IF(COUNTIF($S$2:$S$2991,$S827)&gt;1,"DUPLICATE","OK"))</f>
        <v/>
      </c>
      <c r="U827" s="0" t="str">
        <f aca="false">IF($L827="","",IFERROR(VLOOKUP(--$L827,MM_Income!$Z$5:$AC$204,3,FALSE()),"UNMAPPED"))</f>
        <v/>
      </c>
    </row>
    <row r="828" customFormat="false" ht="13.5" hidden="false" customHeight="false" outlineLevel="0" collapsed="false">
      <c r="A828" s="1" t="str">
        <f aca="false">IF($C828="","",Controls!$B$7)</f>
        <v/>
      </c>
      <c r="B828" s="1" t="str">
        <f aca="false">IF($H828="","",YEAR($H828)&amp;"-Q"&amp;ROUNDUP(MONTH($H828)/3,0))</f>
        <v/>
      </c>
      <c r="S828" s="1" t="str">
        <f aca="false">IF($C828="","",$C828&amp;"|"&amp;$E828&amp;"|"&amp;$F828&amp;"|"&amp;$L828&amp;"|"&amp;$P828&amp;"|"&amp;TEXT($H828,"yyyy-mm-dd"))</f>
        <v/>
      </c>
      <c r="T828" s="1" t="str">
        <f aca="false">IF($S828="","",IF(COUNTIF($S$2:$S$2991,$S828)&gt;1,"DUPLICATE","OK"))</f>
        <v/>
      </c>
      <c r="U828" s="0" t="str">
        <f aca="false">IF($L828="","",IFERROR(VLOOKUP(--$L828,MM_Income!$Z$5:$AC$204,3,FALSE()),"UNMAPPED"))</f>
        <v/>
      </c>
    </row>
    <row r="829" customFormat="false" ht="13.5" hidden="false" customHeight="false" outlineLevel="0" collapsed="false">
      <c r="A829" s="1" t="str">
        <f aca="false">IF($C829="","",Controls!$B$7)</f>
        <v/>
      </c>
      <c r="B829" s="1" t="str">
        <f aca="false">IF($H829="","",YEAR($H829)&amp;"-Q"&amp;ROUNDUP(MONTH($H829)/3,0))</f>
        <v/>
      </c>
      <c r="S829" s="1" t="str">
        <f aca="false">IF($C829="","",$C829&amp;"|"&amp;$E829&amp;"|"&amp;$F829&amp;"|"&amp;$L829&amp;"|"&amp;$P829&amp;"|"&amp;TEXT($H829,"yyyy-mm-dd"))</f>
        <v/>
      </c>
      <c r="T829" s="1" t="str">
        <f aca="false">IF($S829="","",IF(COUNTIF($S$2:$S$2991,$S829)&gt;1,"DUPLICATE","OK"))</f>
        <v/>
      </c>
      <c r="U829" s="0" t="str">
        <f aca="false">IF($L829="","",IFERROR(VLOOKUP(--$L829,MM_Income!$Z$5:$AC$204,3,FALSE()),"UNMAPPED"))</f>
        <v/>
      </c>
    </row>
    <row r="830" customFormat="false" ht="13.5" hidden="false" customHeight="false" outlineLevel="0" collapsed="false">
      <c r="A830" s="1" t="str">
        <f aca="false">IF($C830="","",Controls!$B$7)</f>
        <v/>
      </c>
      <c r="B830" s="1" t="str">
        <f aca="false">IF($H830="","",YEAR($H830)&amp;"-Q"&amp;ROUNDUP(MONTH($H830)/3,0))</f>
        <v/>
      </c>
      <c r="S830" s="1" t="str">
        <f aca="false">IF($C830="","",$C830&amp;"|"&amp;$E830&amp;"|"&amp;$F830&amp;"|"&amp;$L830&amp;"|"&amp;$P830&amp;"|"&amp;TEXT($H830,"yyyy-mm-dd"))</f>
        <v/>
      </c>
      <c r="T830" s="1" t="str">
        <f aca="false">IF($S830="","",IF(COUNTIF($S$2:$S$2991,$S830)&gt;1,"DUPLICATE","OK"))</f>
        <v/>
      </c>
      <c r="U830" s="0" t="str">
        <f aca="false">IF($L830="","",IFERROR(VLOOKUP(--$L830,MM_Income!$Z$5:$AC$204,3,FALSE()),"UNMAPPED"))</f>
        <v/>
      </c>
    </row>
    <row r="831" customFormat="false" ht="13.5" hidden="false" customHeight="false" outlineLevel="0" collapsed="false">
      <c r="A831" s="1" t="str">
        <f aca="false">IF($C831="","",Controls!$B$7)</f>
        <v/>
      </c>
      <c r="B831" s="1" t="str">
        <f aca="false">IF($H831="","",YEAR($H831)&amp;"-Q"&amp;ROUNDUP(MONTH($H831)/3,0))</f>
        <v/>
      </c>
      <c r="S831" s="1" t="str">
        <f aca="false">IF($C831="","",$C831&amp;"|"&amp;$E831&amp;"|"&amp;$F831&amp;"|"&amp;$L831&amp;"|"&amp;$P831&amp;"|"&amp;TEXT($H831,"yyyy-mm-dd"))</f>
        <v/>
      </c>
      <c r="T831" s="1" t="str">
        <f aca="false">IF($S831="","",IF(COUNTIF($S$2:$S$2991,$S831)&gt;1,"DUPLICATE","OK"))</f>
        <v/>
      </c>
      <c r="U831" s="0" t="str">
        <f aca="false">IF($L831="","",IFERROR(VLOOKUP(--$L831,MM_Income!$Z$5:$AC$204,3,FALSE()),"UNMAPPED"))</f>
        <v/>
      </c>
    </row>
    <row r="832" customFormat="false" ht="13.5" hidden="false" customHeight="false" outlineLevel="0" collapsed="false">
      <c r="A832" s="1" t="str">
        <f aca="false">IF($C832="","",Controls!$B$7)</f>
        <v/>
      </c>
      <c r="B832" s="1" t="str">
        <f aca="false">IF($H832="","",YEAR($H832)&amp;"-Q"&amp;ROUNDUP(MONTH($H832)/3,0))</f>
        <v/>
      </c>
      <c r="S832" s="1" t="str">
        <f aca="false">IF($C832="","",$C832&amp;"|"&amp;$E832&amp;"|"&amp;$F832&amp;"|"&amp;$L832&amp;"|"&amp;$P832&amp;"|"&amp;TEXT($H832,"yyyy-mm-dd"))</f>
        <v/>
      </c>
      <c r="T832" s="1" t="str">
        <f aca="false">IF($S832="","",IF(COUNTIF($S$2:$S$2991,$S832)&gt;1,"DUPLICATE","OK"))</f>
        <v/>
      </c>
      <c r="U832" s="0" t="str">
        <f aca="false">IF($L832="","",IFERROR(VLOOKUP(--$L832,MM_Income!$Z$5:$AC$204,3,FALSE()),"UNMAPPED"))</f>
        <v/>
      </c>
    </row>
    <row r="833" customFormat="false" ht="13.5" hidden="false" customHeight="false" outlineLevel="0" collapsed="false">
      <c r="A833" s="1" t="str">
        <f aca="false">IF($C833="","",Controls!$B$7)</f>
        <v/>
      </c>
      <c r="B833" s="1" t="str">
        <f aca="false">IF($H833="","",YEAR($H833)&amp;"-Q"&amp;ROUNDUP(MONTH($H833)/3,0))</f>
        <v/>
      </c>
      <c r="S833" s="1" t="str">
        <f aca="false">IF($C833="","",$C833&amp;"|"&amp;$E833&amp;"|"&amp;$F833&amp;"|"&amp;$L833&amp;"|"&amp;$P833&amp;"|"&amp;TEXT($H833,"yyyy-mm-dd"))</f>
        <v/>
      </c>
      <c r="T833" s="1" t="str">
        <f aca="false">IF($S833="","",IF(COUNTIF($S$2:$S$2991,$S833)&gt;1,"DUPLICATE","OK"))</f>
        <v/>
      </c>
      <c r="U833" s="0" t="str">
        <f aca="false">IF($L833="","",IFERROR(VLOOKUP(--$L833,MM_Income!$Z$5:$AC$204,3,FALSE()),"UNMAPPED"))</f>
        <v/>
      </c>
    </row>
    <row r="834" customFormat="false" ht="13.5" hidden="false" customHeight="false" outlineLevel="0" collapsed="false">
      <c r="A834" s="1" t="str">
        <f aca="false">IF($C834="","",Controls!$B$7)</f>
        <v/>
      </c>
      <c r="B834" s="1" t="str">
        <f aca="false">IF($H834="","",YEAR($H834)&amp;"-Q"&amp;ROUNDUP(MONTH($H834)/3,0))</f>
        <v/>
      </c>
      <c r="S834" s="1" t="str">
        <f aca="false">IF($C834="","",$C834&amp;"|"&amp;$E834&amp;"|"&amp;$F834&amp;"|"&amp;$L834&amp;"|"&amp;$P834&amp;"|"&amp;TEXT($H834,"yyyy-mm-dd"))</f>
        <v/>
      </c>
      <c r="T834" s="1" t="str">
        <f aca="false">IF($S834="","",IF(COUNTIF($S$2:$S$2991,$S834)&gt;1,"DUPLICATE","OK"))</f>
        <v/>
      </c>
      <c r="U834" s="0" t="str">
        <f aca="false">IF($L834="","",IFERROR(VLOOKUP(--$L834,MM_Income!$Z$5:$AC$204,3,FALSE()),"UNMAPPED"))</f>
        <v/>
      </c>
    </row>
    <row r="835" customFormat="false" ht="13.5" hidden="false" customHeight="false" outlineLevel="0" collapsed="false">
      <c r="A835" s="1" t="str">
        <f aca="false">IF($C835="","",Controls!$B$7)</f>
        <v/>
      </c>
      <c r="B835" s="1" t="str">
        <f aca="false">IF($H835="","",YEAR($H835)&amp;"-Q"&amp;ROUNDUP(MONTH($H835)/3,0))</f>
        <v/>
      </c>
      <c r="S835" s="1" t="str">
        <f aca="false">IF($C835="","",$C835&amp;"|"&amp;$E835&amp;"|"&amp;$F835&amp;"|"&amp;$L835&amp;"|"&amp;$P835&amp;"|"&amp;TEXT($H835,"yyyy-mm-dd"))</f>
        <v/>
      </c>
      <c r="T835" s="1" t="str">
        <f aca="false">IF($S835="","",IF(COUNTIF($S$2:$S$2991,$S835)&gt;1,"DUPLICATE","OK"))</f>
        <v/>
      </c>
      <c r="U835" s="0" t="str">
        <f aca="false">IF($L835="","",IFERROR(VLOOKUP(--$L835,MM_Income!$Z$5:$AC$204,3,FALSE()),"UNMAPPED"))</f>
        <v/>
      </c>
    </row>
    <row r="836" customFormat="false" ht="13.5" hidden="false" customHeight="false" outlineLevel="0" collapsed="false">
      <c r="A836" s="1" t="str">
        <f aca="false">IF($C836="","",Controls!$B$7)</f>
        <v/>
      </c>
      <c r="B836" s="1" t="str">
        <f aca="false">IF($H836="","",YEAR($H836)&amp;"-Q"&amp;ROUNDUP(MONTH($H836)/3,0))</f>
        <v/>
      </c>
      <c r="S836" s="1" t="str">
        <f aca="false">IF($C836="","",$C836&amp;"|"&amp;$E836&amp;"|"&amp;$F836&amp;"|"&amp;$L836&amp;"|"&amp;$P836&amp;"|"&amp;TEXT($H836,"yyyy-mm-dd"))</f>
        <v/>
      </c>
      <c r="T836" s="1" t="str">
        <f aca="false">IF($S836="","",IF(COUNTIF($S$2:$S$2991,$S836)&gt;1,"DUPLICATE","OK"))</f>
        <v/>
      </c>
      <c r="U836" s="0" t="str">
        <f aca="false">IF($L836="","",IFERROR(VLOOKUP(--$L836,MM_Income!$Z$5:$AC$204,3,FALSE()),"UNMAPPED"))</f>
        <v/>
      </c>
    </row>
    <row r="837" customFormat="false" ht="13.5" hidden="false" customHeight="false" outlineLevel="0" collapsed="false">
      <c r="A837" s="1" t="str">
        <f aca="false">IF($C837="","",Controls!$B$7)</f>
        <v/>
      </c>
      <c r="B837" s="1" t="str">
        <f aca="false">IF($H837="","",YEAR($H837)&amp;"-Q"&amp;ROUNDUP(MONTH($H837)/3,0))</f>
        <v/>
      </c>
      <c r="S837" s="1" t="str">
        <f aca="false">IF($C837="","",$C837&amp;"|"&amp;$E837&amp;"|"&amp;$F837&amp;"|"&amp;$L837&amp;"|"&amp;$P837&amp;"|"&amp;TEXT($H837,"yyyy-mm-dd"))</f>
        <v/>
      </c>
      <c r="T837" s="1" t="str">
        <f aca="false">IF($S837="","",IF(COUNTIF($S$2:$S$2991,$S837)&gt;1,"DUPLICATE","OK"))</f>
        <v/>
      </c>
      <c r="U837" s="0" t="str">
        <f aca="false">IF($L837="","",IFERROR(VLOOKUP(--$L837,MM_Income!$Z$5:$AC$204,3,FALSE()),"UNMAPPED"))</f>
        <v/>
      </c>
    </row>
    <row r="838" customFormat="false" ht="13.5" hidden="false" customHeight="false" outlineLevel="0" collapsed="false">
      <c r="A838" s="1" t="str">
        <f aca="false">IF($C838="","",Controls!$B$7)</f>
        <v/>
      </c>
      <c r="B838" s="1" t="str">
        <f aca="false">IF($H838="","",YEAR($H838)&amp;"-Q"&amp;ROUNDUP(MONTH($H838)/3,0))</f>
        <v/>
      </c>
      <c r="S838" s="1" t="str">
        <f aca="false">IF($C838="","",$C838&amp;"|"&amp;$E838&amp;"|"&amp;$F838&amp;"|"&amp;$L838&amp;"|"&amp;$P838&amp;"|"&amp;TEXT($H838,"yyyy-mm-dd"))</f>
        <v/>
      </c>
      <c r="T838" s="1" t="str">
        <f aca="false">IF($S838="","",IF(COUNTIF($S$2:$S$2991,$S838)&gt;1,"DUPLICATE","OK"))</f>
        <v/>
      </c>
      <c r="U838" s="0" t="str">
        <f aca="false">IF($L838="","",IFERROR(VLOOKUP(--$L838,MM_Income!$Z$5:$AC$204,3,FALSE()),"UNMAPPED"))</f>
        <v/>
      </c>
    </row>
    <row r="839" customFormat="false" ht="13.5" hidden="false" customHeight="false" outlineLevel="0" collapsed="false">
      <c r="A839" s="1" t="str">
        <f aca="false">IF($C839="","",Controls!$B$7)</f>
        <v/>
      </c>
      <c r="B839" s="1" t="str">
        <f aca="false">IF($H839="","",YEAR($H839)&amp;"-Q"&amp;ROUNDUP(MONTH($H839)/3,0))</f>
        <v/>
      </c>
      <c r="S839" s="1" t="str">
        <f aca="false">IF($C839="","",$C839&amp;"|"&amp;$E839&amp;"|"&amp;$F839&amp;"|"&amp;$L839&amp;"|"&amp;$P839&amp;"|"&amp;TEXT($H839,"yyyy-mm-dd"))</f>
        <v/>
      </c>
      <c r="T839" s="1" t="str">
        <f aca="false">IF($S839="","",IF(COUNTIF($S$2:$S$2991,$S839)&gt;1,"DUPLICATE","OK"))</f>
        <v/>
      </c>
      <c r="U839" s="0" t="str">
        <f aca="false">IF($L839="","",IFERROR(VLOOKUP(--$L839,MM_Income!$Z$5:$AC$204,3,FALSE()),"UNMAPPED"))</f>
        <v/>
      </c>
    </row>
    <row r="840" customFormat="false" ht="13.5" hidden="false" customHeight="false" outlineLevel="0" collapsed="false">
      <c r="A840" s="1" t="str">
        <f aca="false">IF($C840="","",Controls!$B$7)</f>
        <v/>
      </c>
      <c r="B840" s="1" t="str">
        <f aca="false">IF($H840="","",YEAR($H840)&amp;"-Q"&amp;ROUNDUP(MONTH($H840)/3,0))</f>
        <v/>
      </c>
      <c r="S840" s="1" t="str">
        <f aca="false">IF($C840="","",$C840&amp;"|"&amp;$E840&amp;"|"&amp;$F840&amp;"|"&amp;$L840&amp;"|"&amp;$P840&amp;"|"&amp;TEXT($H840,"yyyy-mm-dd"))</f>
        <v/>
      </c>
      <c r="T840" s="1" t="str">
        <f aca="false">IF($S840="","",IF(COUNTIF($S$2:$S$2991,$S840)&gt;1,"DUPLICATE","OK"))</f>
        <v/>
      </c>
      <c r="U840" s="0" t="str">
        <f aca="false">IF($L840="","",IFERROR(VLOOKUP(--$L840,MM_Income!$Z$5:$AC$204,3,FALSE()),"UNMAPPED"))</f>
        <v/>
      </c>
    </row>
    <row r="841" customFormat="false" ht="13.5" hidden="false" customHeight="false" outlineLevel="0" collapsed="false">
      <c r="A841" s="1" t="str">
        <f aca="false">IF($C841="","",Controls!$B$7)</f>
        <v/>
      </c>
      <c r="B841" s="1" t="str">
        <f aca="false">IF($H841="","",YEAR($H841)&amp;"-Q"&amp;ROUNDUP(MONTH($H841)/3,0))</f>
        <v/>
      </c>
      <c r="S841" s="1" t="str">
        <f aca="false">IF($C841="","",$C841&amp;"|"&amp;$E841&amp;"|"&amp;$F841&amp;"|"&amp;$L841&amp;"|"&amp;$P841&amp;"|"&amp;TEXT($H841,"yyyy-mm-dd"))</f>
        <v/>
      </c>
      <c r="T841" s="1" t="str">
        <f aca="false">IF($S841="","",IF(COUNTIF($S$2:$S$2991,$S841)&gt;1,"DUPLICATE","OK"))</f>
        <v/>
      </c>
      <c r="U841" s="0" t="str">
        <f aca="false">IF($L841="","",IFERROR(VLOOKUP(--$L841,MM_Income!$Z$5:$AC$204,3,FALSE()),"UNMAPPED"))</f>
        <v/>
      </c>
    </row>
    <row r="842" customFormat="false" ht="13.5" hidden="false" customHeight="false" outlineLevel="0" collapsed="false">
      <c r="A842" s="1" t="str">
        <f aca="false">IF($C842="","",Controls!$B$7)</f>
        <v/>
      </c>
      <c r="B842" s="1" t="str">
        <f aca="false">IF($H842="","",YEAR($H842)&amp;"-Q"&amp;ROUNDUP(MONTH($H842)/3,0))</f>
        <v/>
      </c>
      <c r="S842" s="1" t="str">
        <f aca="false">IF($C842="","",$C842&amp;"|"&amp;$E842&amp;"|"&amp;$F842&amp;"|"&amp;$L842&amp;"|"&amp;$P842&amp;"|"&amp;TEXT($H842,"yyyy-mm-dd"))</f>
        <v/>
      </c>
      <c r="T842" s="1" t="str">
        <f aca="false">IF($S842="","",IF(COUNTIF($S$2:$S$2991,$S842)&gt;1,"DUPLICATE","OK"))</f>
        <v/>
      </c>
      <c r="U842" s="0" t="str">
        <f aca="false">IF($L842="","",IFERROR(VLOOKUP(--$L842,MM_Income!$Z$5:$AC$204,3,FALSE()),"UNMAPPED"))</f>
        <v/>
      </c>
    </row>
    <row r="843" customFormat="false" ht="13.5" hidden="false" customHeight="false" outlineLevel="0" collapsed="false">
      <c r="A843" s="1" t="str">
        <f aca="false">IF($C843="","",Controls!$B$7)</f>
        <v/>
      </c>
      <c r="B843" s="1" t="str">
        <f aca="false">IF($H843="","",YEAR($H843)&amp;"-Q"&amp;ROUNDUP(MONTH($H843)/3,0))</f>
        <v/>
      </c>
      <c r="S843" s="1" t="str">
        <f aca="false">IF($C843="","",$C843&amp;"|"&amp;$E843&amp;"|"&amp;$F843&amp;"|"&amp;$L843&amp;"|"&amp;$P843&amp;"|"&amp;TEXT($H843,"yyyy-mm-dd"))</f>
        <v/>
      </c>
      <c r="T843" s="1" t="str">
        <f aca="false">IF($S843="","",IF(COUNTIF($S$2:$S$2991,$S843)&gt;1,"DUPLICATE","OK"))</f>
        <v/>
      </c>
      <c r="U843" s="0" t="str">
        <f aca="false">IF($L843="","",IFERROR(VLOOKUP(--$L843,MM_Income!$Z$5:$AC$204,3,FALSE()),"UNMAPPED"))</f>
        <v/>
      </c>
    </row>
    <row r="844" customFormat="false" ht="13.5" hidden="false" customHeight="false" outlineLevel="0" collapsed="false">
      <c r="A844" s="1" t="str">
        <f aca="false">IF($C844="","",Controls!$B$7)</f>
        <v/>
      </c>
      <c r="B844" s="1" t="str">
        <f aca="false">IF($H844="","",YEAR($H844)&amp;"-Q"&amp;ROUNDUP(MONTH($H844)/3,0))</f>
        <v/>
      </c>
      <c r="S844" s="1" t="str">
        <f aca="false">IF($C844="","",$C844&amp;"|"&amp;$E844&amp;"|"&amp;$F844&amp;"|"&amp;$L844&amp;"|"&amp;$P844&amp;"|"&amp;TEXT($H844,"yyyy-mm-dd"))</f>
        <v/>
      </c>
      <c r="T844" s="1" t="str">
        <f aca="false">IF($S844="","",IF(COUNTIF($S$2:$S$2991,$S844)&gt;1,"DUPLICATE","OK"))</f>
        <v/>
      </c>
      <c r="U844" s="0" t="str">
        <f aca="false">IF($L844="","",IFERROR(VLOOKUP(--$L844,MM_Income!$Z$5:$AC$204,3,FALSE()),"UNMAPPED"))</f>
        <v/>
      </c>
    </row>
    <row r="845" customFormat="false" ht="13.5" hidden="false" customHeight="false" outlineLevel="0" collapsed="false">
      <c r="A845" s="1" t="str">
        <f aca="false">IF($C845="","",Controls!$B$7)</f>
        <v/>
      </c>
      <c r="B845" s="1" t="str">
        <f aca="false">IF($H845="","",YEAR($H845)&amp;"-Q"&amp;ROUNDUP(MONTH($H845)/3,0))</f>
        <v/>
      </c>
      <c r="S845" s="1" t="str">
        <f aca="false">IF($C845="","",$C845&amp;"|"&amp;$E845&amp;"|"&amp;$F845&amp;"|"&amp;$L845&amp;"|"&amp;$P845&amp;"|"&amp;TEXT($H845,"yyyy-mm-dd"))</f>
        <v/>
      </c>
      <c r="T845" s="1" t="str">
        <f aca="false">IF($S845="","",IF(COUNTIF($S$2:$S$2991,$S845)&gt;1,"DUPLICATE","OK"))</f>
        <v/>
      </c>
      <c r="U845" s="0" t="str">
        <f aca="false">IF($L845="","",IFERROR(VLOOKUP(--$L845,MM_Income!$Z$5:$AC$204,3,FALSE()),"UNMAPPED"))</f>
        <v/>
      </c>
    </row>
    <row r="846" customFormat="false" ht="13.5" hidden="false" customHeight="false" outlineLevel="0" collapsed="false">
      <c r="A846" s="1" t="str">
        <f aca="false">IF($C846="","",Controls!$B$7)</f>
        <v/>
      </c>
      <c r="B846" s="1" t="str">
        <f aca="false">IF($H846="","",YEAR($H846)&amp;"-Q"&amp;ROUNDUP(MONTH($H846)/3,0))</f>
        <v/>
      </c>
      <c r="S846" s="1" t="str">
        <f aca="false">IF($C846="","",$C846&amp;"|"&amp;$E846&amp;"|"&amp;$F846&amp;"|"&amp;$L846&amp;"|"&amp;$P846&amp;"|"&amp;TEXT($H846,"yyyy-mm-dd"))</f>
        <v/>
      </c>
      <c r="T846" s="1" t="str">
        <f aca="false">IF($S846="","",IF(COUNTIF($S$2:$S$2991,$S846)&gt;1,"DUPLICATE","OK"))</f>
        <v/>
      </c>
      <c r="U846" s="0" t="str">
        <f aca="false">IF($L846="","",IFERROR(VLOOKUP(--$L846,MM_Income!$Z$5:$AC$204,3,FALSE()),"UNMAPPED"))</f>
        <v/>
      </c>
    </row>
    <row r="847" customFormat="false" ht="13.5" hidden="false" customHeight="false" outlineLevel="0" collapsed="false">
      <c r="A847" s="1" t="str">
        <f aca="false">IF($C847="","",Controls!$B$7)</f>
        <v/>
      </c>
      <c r="B847" s="1" t="str">
        <f aca="false">IF($H847="","",YEAR($H847)&amp;"-Q"&amp;ROUNDUP(MONTH($H847)/3,0))</f>
        <v/>
      </c>
      <c r="S847" s="1" t="str">
        <f aca="false">IF($C847="","",$C847&amp;"|"&amp;$E847&amp;"|"&amp;$F847&amp;"|"&amp;$L847&amp;"|"&amp;$P847&amp;"|"&amp;TEXT($H847,"yyyy-mm-dd"))</f>
        <v/>
      </c>
      <c r="T847" s="1" t="str">
        <f aca="false">IF($S847="","",IF(COUNTIF($S$2:$S$2991,$S847)&gt;1,"DUPLICATE","OK"))</f>
        <v/>
      </c>
      <c r="U847" s="0" t="str">
        <f aca="false">IF($L847="","",IFERROR(VLOOKUP(--$L847,MM_Income!$Z$5:$AC$204,3,FALSE()),"UNMAPPED"))</f>
        <v/>
      </c>
    </row>
    <row r="848" customFormat="false" ht="13.5" hidden="false" customHeight="false" outlineLevel="0" collapsed="false">
      <c r="A848" s="1" t="str">
        <f aca="false">IF($C848="","",Controls!$B$7)</f>
        <v/>
      </c>
      <c r="B848" s="1" t="str">
        <f aca="false">IF($H848="","",YEAR($H848)&amp;"-Q"&amp;ROUNDUP(MONTH($H848)/3,0))</f>
        <v/>
      </c>
      <c r="S848" s="1" t="str">
        <f aca="false">IF($C848="","",$C848&amp;"|"&amp;$E848&amp;"|"&amp;$F848&amp;"|"&amp;$L848&amp;"|"&amp;$P848&amp;"|"&amp;TEXT($H848,"yyyy-mm-dd"))</f>
        <v/>
      </c>
      <c r="T848" s="1" t="str">
        <f aca="false">IF($S848="","",IF(COUNTIF($S$2:$S$2991,$S848)&gt;1,"DUPLICATE","OK"))</f>
        <v/>
      </c>
      <c r="U848" s="0" t="str">
        <f aca="false">IF($L848="","",IFERROR(VLOOKUP(--$L848,MM_Income!$Z$5:$AC$204,3,FALSE()),"UNMAPPED"))</f>
        <v/>
      </c>
    </row>
    <row r="849" customFormat="false" ht="13.5" hidden="false" customHeight="false" outlineLevel="0" collapsed="false">
      <c r="A849" s="1" t="str">
        <f aca="false">IF($C849="","",Controls!$B$7)</f>
        <v/>
      </c>
      <c r="B849" s="1" t="str">
        <f aca="false">IF($H849="","",YEAR($H849)&amp;"-Q"&amp;ROUNDUP(MONTH($H849)/3,0))</f>
        <v/>
      </c>
      <c r="S849" s="1" t="str">
        <f aca="false">IF($C849="","",$C849&amp;"|"&amp;$E849&amp;"|"&amp;$F849&amp;"|"&amp;$L849&amp;"|"&amp;$P849&amp;"|"&amp;TEXT($H849,"yyyy-mm-dd"))</f>
        <v/>
      </c>
      <c r="T849" s="1" t="str">
        <f aca="false">IF($S849="","",IF(COUNTIF($S$2:$S$2991,$S849)&gt;1,"DUPLICATE","OK"))</f>
        <v/>
      </c>
      <c r="U849" s="0" t="str">
        <f aca="false">IF($L849="","",IFERROR(VLOOKUP(--$L849,MM_Income!$Z$5:$AC$204,3,FALSE()),"UNMAPPED"))</f>
        <v/>
      </c>
    </row>
    <row r="850" customFormat="false" ht="13.5" hidden="false" customHeight="false" outlineLevel="0" collapsed="false">
      <c r="A850" s="1" t="str">
        <f aca="false">IF($C850="","",Controls!$B$7)</f>
        <v/>
      </c>
      <c r="B850" s="1" t="str">
        <f aca="false">IF($H850="","",YEAR($H850)&amp;"-Q"&amp;ROUNDUP(MONTH($H850)/3,0))</f>
        <v/>
      </c>
      <c r="S850" s="1" t="str">
        <f aca="false">IF($C850="","",$C850&amp;"|"&amp;$E850&amp;"|"&amp;$F850&amp;"|"&amp;$L850&amp;"|"&amp;$P850&amp;"|"&amp;TEXT($H850,"yyyy-mm-dd"))</f>
        <v/>
      </c>
      <c r="T850" s="1" t="str">
        <f aca="false">IF($S850="","",IF(COUNTIF($S$2:$S$2991,$S850)&gt;1,"DUPLICATE","OK"))</f>
        <v/>
      </c>
      <c r="U850" s="0" t="str">
        <f aca="false">IF($L850="","",IFERROR(VLOOKUP(--$L850,MM_Income!$Z$5:$AC$204,3,FALSE()),"UNMAPPED"))</f>
        <v/>
      </c>
    </row>
    <row r="851" customFormat="false" ht="13.5" hidden="false" customHeight="false" outlineLevel="0" collapsed="false">
      <c r="A851" s="1" t="str">
        <f aca="false">IF($C851="","",Controls!$B$7)</f>
        <v/>
      </c>
      <c r="B851" s="1" t="str">
        <f aca="false">IF($H851="","",YEAR($H851)&amp;"-Q"&amp;ROUNDUP(MONTH($H851)/3,0))</f>
        <v/>
      </c>
      <c r="S851" s="1" t="str">
        <f aca="false">IF($C851="","",$C851&amp;"|"&amp;$E851&amp;"|"&amp;$F851&amp;"|"&amp;$L851&amp;"|"&amp;$P851&amp;"|"&amp;TEXT($H851,"yyyy-mm-dd"))</f>
        <v/>
      </c>
      <c r="T851" s="1" t="str">
        <f aca="false">IF($S851="","",IF(COUNTIF($S$2:$S$2991,$S851)&gt;1,"DUPLICATE","OK"))</f>
        <v/>
      </c>
      <c r="U851" s="0" t="str">
        <f aca="false">IF($L851="","",IFERROR(VLOOKUP(--$L851,MM_Income!$Z$5:$AC$204,3,FALSE()),"UNMAPPED"))</f>
        <v/>
      </c>
    </row>
    <row r="852" customFormat="false" ht="13.5" hidden="false" customHeight="false" outlineLevel="0" collapsed="false">
      <c r="A852" s="1" t="str">
        <f aca="false">IF($C852="","",Controls!$B$7)</f>
        <v/>
      </c>
      <c r="B852" s="1" t="str">
        <f aca="false">IF($H852="","",YEAR($H852)&amp;"-Q"&amp;ROUNDUP(MONTH($H852)/3,0))</f>
        <v/>
      </c>
      <c r="S852" s="1" t="str">
        <f aca="false">IF($C852="","",$C852&amp;"|"&amp;$E852&amp;"|"&amp;$F852&amp;"|"&amp;$L852&amp;"|"&amp;$P852&amp;"|"&amp;TEXT($H852,"yyyy-mm-dd"))</f>
        <v/>
      </c>
      <c r="T852" s="1" t="str">
        <f aca="false">IF($S852="","",IF(COUNTIF($S$2:$S$2991,$S852)&gt;1,"DUPLICATE","OK"))</f>
        <v/>
      </c>
      <c r="U852" s="0" t="str">
        <f aca="false">IF($L852="","",IFERROR(VLOOKUP(--$L852,MM_Income!$Z$5:$AC$204,3,FALSE()),"UNMAPPED"))</f>
        <v/>
      </c>
    </row>
    <row r="853" customFormat="false" ht="13.5" hidden="false" customHeight="false" outlineLevel="0" collapsed="false">
      <c r="A853" s="1" t="str">
        <f aca="false">IF($C853="","",Controls!$B$7)</f>
        <v/>
      </c>
      <c r="B853" s="1" t="str">
        <f aca="false">IF($H853="","",YEAR($H853)&amp;"-Q"&amp;ROUNDUP(MONTH($H853)/3,0))</f>
        <v/>
      </c>
      <c r="S853" s="1" t="str">
        <f aca="false">IF($C853="","",$C853&amp;"|"&amp;$E853&amp;"|"&amp;$F853&amp;"|"&amp;$L853&amp;"|"&amp;$P853&amp;"|"&amp;TEXT($H853,"yyyy-mm-dd"))</f>
        <v/>
      </c>
      <c r="T853" s="1" t="str">
        <f aca="false">IF($S853="","",IF(COUNTIF($S$2:$S$2991,$S853)&gt;1,"DUPLICATE","OK"))</f>
        <v/>
      </c>
      <c r="U853" s="0" t="str">
        <f aca="false">IF($L853="","",IFERROR(VLOOKUP(--$L853,MM_Income!$Z$5:$AC$204,3,FALSE()),"UNMAPPED"))</f>
        <v/>
      </c>
    </row>
    <row r="854" customFormat="false" ht="13.5" hidden="false" customHeight="false" outlineLevel="0" collapsed="false">
      <c r="A854" s="1" t="str">
        <f aca="false">IF($C854="","",Controls!$B$7)</f>
        <v/>
      </c>
      <c r="B854" s="1" t="str">
        <f aca="false">IF($H854="","",YEAR($H854)&amp;"-Q"&amp;ROUNDUP(MONTH($H854)/3,0))</f>
        <v/>
      </c>
      <c r="S854" s="1" t="str">
        <f aca="false">IF($C854="","",$C854&amp;"|"&amp;$E854&amp;"|"&amp;$F854&amp;"|"&amp;$L854&amp;"|"&amp;$P854&amp;"|"&amp;TEXT($H854,"yyyy-mm-dd"))</f>
        <v/>
      </c>
      <c r="T854" s="1" t="str">
        <f aca="false">IF($S854="","",IF(COUNTIF($S$2:$S$2991,$S854)&gt;1,"DUPLICATE","OK"))</f>
        <v/>
      </c>
      <c r="U854" s="0" t="str">
        <f aca="false">IF($L854="","",IFERROR(VLOOKUP(--$L854,MM_Income!$Z$5:$AC$204,3,FALSE()),"UNMAPPED"))</f>
        <v/>
      </c>
    </row>
    <row r="855" customFormat="false" ht="13.5" hidden="false" customHeight="false" outlineLevel="0" collapsed="false">
      <c r="A855" s="1" t="str">
        <f aca="false">IF($C855="","",Controls!$B$7)</f>
        <v/>
      </c>
      <c r="B855" s="1" t="str">
        <f aca="false">IF($H855="","",YEAR($H855)&amp;"-Q"&amp;ROUNDUP(MONTH($H855)/3,0))</f>
        <v/>
      </c>
      <c r="S855" s="1" t="str">
        <f aca="false">IF($C855="","",$C855&amp;"|"&amp;$E855&amp;"|"&amp;$F855&amp;"|"&amp;$L855&amp;"|"&amp;$P855&amp;"|"&amp;TEXT($H855,"yyyy-mm-dd"))</f>
        <v/>
      </c>
      <c r="T855" s="1" t="str">
        <f aca="false">IF($S855="","",IF(COUNTIF($S$2:$S$2991,$S855)&gt;1,"DUPLICATE","OK"))</f>
        <v/>
      </c>
      <c r="U855" s="0" t="str">
        <f aca="false">IF($L855="","",IFERROR(VLOOKUP(--$L855,MM_Income!$Z$5:$AC$204,3,FALSE()),"UNMAPPED"))</f>
        <v/>
      </c>
    </row>
    <row r="856" customFormat="false" ht="13.5" hidden="false" customHeight="false" outlineLevel="0" collapsed="false">
      <c r="A856" s="1" t="str">
        <f aca="false">IF($C856="","",Controls!$B$7)</f>
        <v/>
      </c>
      <c r="B856" s="1" t="str">
        <f aca="false">IF($H856="","",YEAR($H856)&amp;"-Q"&amp;ROUNDUP(MONTH($H856)/3,0))</f>
        <v/>
      </c>
      <c r="S856" s="1" t="str">
        <f aca="false">IF($C856="","",$C856&amp;"|"&amp;$E856&amp;"|"&amp;$F856&amp;"|"&amp;$L856&amp;"|"&amp;$P856&amp;"|"&amp;TEXT($H856,"yyyy-mm-dd"))</f>
        <v/>
      </c>
      <c r="T856" s="1" t="str">
        <f aca="false">IF($S856="","",IF(COUNTIF($S$2:$S$2991,$S856)&gt;1,"DUPLICATE","OK"))</f>
        <v/>
      </c>
      <c r="U856" s="0" t="str">
        <f aca="false">IF($L856="","",IFERROR(VLOOKUP(--$L856,MM_Income!$Z$5:$AC$204,3,FALSE()),"UNMAPPED"))</f>
        <v/>
      </c>
    </row>
    <row r="857" customFormat="false" ht="13.5" hidden="false" customHeight="false" outlineLevel="0" collapsed="false">
      <c r="A857" s="1" t="str">
        <f aca="false">IF($C857="","",Controls!$B$7)</f>
        <v/>
      </c>
      <c r="B857" s="1" t="str">
        <f aca="false">IF($H857="","",YEAR($H857)&amp;"-Q"&amp;ROUNDUP(MONTH($H857)/3,0))</f>
        <v/>
      </c>
      <c r="S857" s="1" t="str">
        <f aca="false">IF($C857="","",$C857&amp;"|"&amp;$E857&amp;"|"&amp;$F857&amp;"|"&amp;$L857&amp;"|"&amp;$P857&amp;"|"&amp;TEXT($H857,"yyyy-mm-dd"))</f>
        <v/>
      </c>
      <c r="T857" s="1" t="str">
        <f aca="false">IF($S857="","",IF(COUNTIF($S$2:$S$2991,$S857)&gt;1,"DUPLICATE","OK"))</f>
        <v/>
      </c>
      <c r="U857" s="0" t="str">
        <f aca="false">IF($L857="","",IFERROR(VLOOKUP(--$L857,MM_Income!$Z$5:$AC$204,3,FALSE()),"UNMAPPED"))</f>
        <v/>
      </c>
    </row>
    <row r="858" customFormat="false" ht="13.5" hidden="false" customHeight="false" outlineLevel="0" collapsed="false">
      <c r="A858" s="1" t="str">
        <f aca="false">IF($C858="","",Controls!$B$7)</f>
        <v/>
      </c>
      <c r="B858" s="1" t="str">
        <f aca="false">IF($H858="","",YEAR($H858)&amp;"-Q"&amp;ROUNDUP(MONTH($H858)/3,0))</f>
        <v/>
      </c>
      <c r="S858" s="1" t="str">
        <f aca="false">IF($C858="","",$C858&amp;"|"&amp;$E858&amp;"|"&amp;$F858&amp;"|"&amp;$L858&amp;"|"&amp;$P858&amp;"|"&amp;TEXT($H858,"yyyy-mm-dd"))</f>
        <v/>
      </c>
      <c r="T858" s="1" t="str">
        <f aca="false">IF($S858="","",IF(COUNTIF($S$2:$S$2991,$S858)&gt;1,"DUPLICATE","OK"))</f>
        <v/>
      </c>
      <c r="U858" s="0" t="str">
        <f aca="false">IF($L858="","",IFERROR(VLOOKUP(--$L858,MM_Income!$Z$5:$AC$204,3,FALSE()),"UNMAPPED"))</f>
        <v/>
      </c>
    </row>
    <row r="859" customFormat="false" ht="13.5" hidden="false" customHeight="false" outlineLevel="0" collapsed="false">
      <c r="A859" s="1" t="str">
        <f aca="false">IF($C859="","",Controls!$B$7)</f>
        <v/>
      </c>
      <c r="B859" s="1" t="str">
        <f aca="false">IF($H859="","",YEAR($H859)&amp;"-Q"&amp;ROUNDUP(MONTH($H859)/3,0))</f>
        <v/>
      </c>
      <c r="S859" s="1" t="str">
        <f aca="false">IF($C859="","",$C859&amp;"|"&amp;$E859&amp;"|"&amp;$F859&amp;"|"&amp;$L859&amp;"|"&amp;$P859&amp;"|"&amp;TEXT($H859,"yyyy-mm-dd"))</f>
        <v/>
      </c>
      <c r="T859" s="1" t="str">
        <f aca="false">IF($S859="","",IF(COUNTIF($S$2:$S$2991,$S859)&gt;1,"DUPLICATE","OK"))</f>
        <v/>
      </c>
      <c r="U859" s="0" t="str">
        <f aca="false">IF($L859="","",IFERROR(VLOOKUP(--$L859,MM_Income!$Z$5:$AC$204,3,FALSE()),"UNMAPPED"))</f>
        <v/>
      </c>
    </row>
    <row r="860" customFormat="false" ht="13.5" hidden="false" customHeight="false" outlineLevel="0" collapsed="false">
      <c r="A860" s="1" t="str">
        <f aca="false">IF($C860="","",Controls!$B$7)</f>
        <v/>
      </c>
      <c r="B860" s="1" t="str">
        <f aca="false">IF($H860="","",YEAR($H860)&amp;"-Q"&amp;ROUNDUP(MONTH($H860)/3,0))</f>
        <v/>
      </c>
      <c r="S860" s="1" t="str">
        <f aca="false">IF($C860="","",$C860&amp;"|"&amp;$E860&amp;"|"&amp;$F860&amp;"|"&amp;$L860&amp;"|"&amp;$P860&amp;"|"&amp;TEXT($H860,"yyyy-mm-dd"))</f>
        <v/>
      </c>
      <c r="T860" s="1" t="str">
        <f aca="false">IF($S860="","",IF(COUNTIF($S$2:$S$2991,$S860)&gt;1,"DUPLICATE","OK"))</f>
        <v/>
      </c>
      <c r="U860" s="0" t="str">
        <f aca="false">IF($L860="","",IFERROR(VLOOKUP(--$L860,MM_Income!$Z$5:$AC$204,3,FALSE()),"UNMAPPED"))</f>
        <v/>
      </c>
    </row>
    <row r="861" customFormat="false" ht="13.5" hidden="false" customHeight="false" outlineLevel="0" collapsed="false">
      <c r="A861" s="1" t="str">
        <f aca="false">IF($C861="","",Controls!$B$7)</f>
        <v/>
      </c>
      <c r="B861" s="1" t="str">
        <f aca="false">IF($H861="","",YEAR($H861)&amp;"-Q"&amp;ROUNDUP(MONTH($H861)/3,0))</f>
        <v/>
      </c>
      <c r="S861" s="1" t="str">
        <f aca="false">IF($C861="","",$C861&amp;"|"&amp;$E861&amp;"|"&amp;$F861&amp;"|"&amp;$L861&amp;"|"&amp;$P861&amp;"|"&amp;TEXT($H861,"yyyy-mm-dd"))</f>
        <v/>
      </c>
      <c r="T861" s="1" t="str">
        <f aca="false">IF($S861="","",IF(COUNTIF($S$2:$S$2991,$S861)&gt;1,"DUPLICATE","OK"))</f>
        <v/>
      </c>
      <c r="U861" s="0" t="str">
        <f aca="false">IF($L861="","",IFERROR(VLOOKUP(--$L861,MM_Income!$Z$5:$AC$204,3,FALSE()),"UNMAPPED"))</f>
        <v/>
      </c>
    </row>
    <row r="862" customFormat="false" ht="13.5" hidden="false" customHeight="false" outlineLevel="0" collapsed="false">
      <c r="A862" s="1" t="str">
        <f aca="false">IF($C862="","",Controls!$B$7)</f>
        <v/>
      </c>
      <c r="B862" s="1" t="str">
        <f aca="false">IF($H862="","",YEAR($H862)&amp;"-Q"&amp;ROUNDUP(MONTH($H862)/3,0))</f>
        <v/>
      </c>
      <c r="S862" s="1" t="str">
        <f aca="false">IF($C862="","",$C862&amp;"|"&amp;$E862&amp;"|"&amp;$F862&amp;"|"&amp;$L862&amp;"|"&amp;$P862&amp;"|"&amp;TEXT($H862,"yyyy-mm-dd"))</f>
        <v/>
      </c>
      <c r="T862" s="1" t="str">
        <f aca="false">IF($S862="","",IF(COUNTIF($S$2:$S$2991,$S862)&gt;1,"DUPLICATE","OK"))</f>
        <v/>
      </c>
      <c r="U862" s="0" t="str">
        <f aca="false">IF($L862="","",IFERROR(VLOOKUP(--$L862,MM_Income!$Z$5:$AC$204,3,FALSE()),"UNMAPPED"))</f>
        <v/>
      </c>
    </row>
    <row r="863" customFormat="false" ht="13.5" hidden="false" customHeight="false" outlineLevel="0" collapsed="false">
      <c r="A863" s="1" t="str">
        <f aca="false">IF($C863="","",Controls!$B$7)</f>
        <v/>
      </c>
      <c r="B863" s="1" t="str">
        <f aca="false">IF($H863="","",YEAR($H863)&amp;"-Q"&amp;ROUNDUP(MONTH($H863)/3,0))</f>
        <v/>
      </c>
      <c r="S863" s="1" t="str">
        <f aca="false">IF($C863="","",$C863&amp;"|"&amp;$E863&amp;"|"&amp;$F863&amp;"|"&amp;$L863&amp;"|"&amp;$P863&amp;"|"&amp;TEXT($H863,"yyyy-mm-dd"))</f>
        <v/>
      </c>
      <c r="T863" s="1" t="str">
        <f aca="false">IF($S863="","",IF(COUNTIF($S$2:$S$2991,$S863)&gt;1,"DUPLICATE","OK"))</f>
        <v/>
      </c>
      <c r="U863" s="0" t="str">
        <f aca="false">IF($L863="","",IFERROR(VLOOKUP(--$L863,MM_Income!$Z$5:$AC$204,3,FALSE()),"UNMAPPED"))</f>
        <v/>
      </c>
    </row>
    <row r="864" customFormat="false" ht="13.5" hidden="false" customHeight="false" outlineLevel="0" collapsed="false">
      <c r="A864" s="1" t="str">
        <f aca="false">IF($C864="","",Controls!$B$7)</f>
        <v/>
      </c>
      <c r="B864" s="1" t="str">
        <f aca="false">IF($H864="","",YEAR($H864)&amp;"-Q"&amp;ROUNDUP(MONTH($H864)/3,0))</f>
        <v/>
      </c>
      <c r="S864" s="1" t="str">
        <f aca="false">IF($C864="","",$C864&amp;"|"&amp;$E864&amp;"|"&amp;$F864&amp;"|"&amp;$L864&amp;"|"&amp;$P864&amp;"|"&amp;TEXT($H864,"yyyy-mm-dd"))</f>
        <v/>
      </c>
      <c r="T864" s="1" t="str">
        <f aca="false">IF($S864="","",IF(COUNTIF($S$2:$S$2991,$S864)&gt;1,"DUPLICATE","OK"))</f>
        <v/>
      </c>
      <c r="U864" s="0" t="str">
        <f aca="false">IF($L864="","",IFERROR(VLOOKUP(--$L864,MM_Income!$Z$5:$AC$204,3,FALSE()),"UNMAPPED"))</f>
        <v/>
      </c>
    </row>
    <row r="865" customFormat="false" ht="13.5" hidden="false" customHeight="false" outlineLevel="0" collapsed="false">
      <c r="A865" s="1" t="str">
        <f aca="false">IF($C865="","",Controls!$B$7)</f>
        <v/>
      </c>
      <c r="B865" s="1" t="str">
        <f aca="false">IF($H865="","",YEAR($H865)&amp;"-Q"&amp;ROUNDUP(MONTH($H865)/3,0))</f>
        <v/>
      </c>
      <c r="S865" s="1" t="str">
        <f aca="false">IF($C865="","",$C865&amp;"|"&amp;$E865&amp;"|"&amp;$F865&amp;"|"&amp;$L865&amp;"|"&amp;$P865&amp;"|"&amp;TEXT($H865,"yyyy-mm-dd"))</f>
        <v/>
      </c>
      <c r="T865" s="1" t="str">
        <f aca="false">IF($S865="","",IF(COUNTIF($S$2:$S$2991,$S865)&gt;1,"DUPLICATE","OK"))</f>
        <v/>
      </c>
      <c r="U865" s="0" t="str">
        <f aca="false">IF($L865="","",IFERROR(VLOOKUP(--$L865,MM_Income!$Z$5:$AC$204,3,FALSE()),"UNMAPPED"))</f>
        <v/>
      </c>
    </row>
    <row r="866" customFormat="false" ht="13.5" hidden="false" customHeight="false" outlineLevel="0" collapsed="false">
      <c r="A866" s="1" t="str">
        <f aca="false">IF($C866="","",Controls!$B$7)</f>
        <v/>
      </c>
      <c r="B866" s="1" t="str">
        <f aca="false">IF($H866="","",YEAR($H866)&amp;"-Q"&amp;ROUNDUP(MONTH($H866)/3,0))</f>
        <v/>
      </c>
      <c r="S866" s="1" t="str">
        <f aca="false">IF($C866="","",$C866&amp;"|"&amp;$E866&amp;"|"&amp;$F866&amp;"|"&amp;$L866&amp;"|"&amp;$P866&amp;"|"&amp;TEXT($H866,"yyyy-mm-dd"))</f>
        <v/>
      </c>
      <c r="T866" s="1" t="str">
        <f aca="false">IF($S866="","",IF(COUNTIF($S$2:$S$2991,$S866)&gt;1,"DUPLICATE","OK"))</f>
        <v/>
      </c>
      <c r="U866" s="0" t="str">
        <f aca="false">IF($L866="","",IFERROR(VLOOKUP(--$L866,MM_Income!$Z$5:$AC$204,3,FALSE()),"UNMAPPED"))</f>
        <v/>
      </c>
    </row>
    <row r="867" customFormat="false" ht="13.5" hidden="false" customHeight="false" outlineLevel="0" collapsed="false">
      <c r="A867" s="1" t="str">
        <f aca="false">IF($C867="","",Controls!$B$7)</f>
        <v/>
      </c>
      <c r="B867" s="1" t="str">
        <f aca="false">IF($H867="","",YEAR($H867)&amp;"-Q"&amp;ROUNDUP(MONTH($H867)/3,0))</f>
        <v/>
      </c>
      <c r="S867" s="1" t="str">
        <f aca="false">IF($C867="","",$C867&amp;"|"&amp;$E867&amp;"|"&amp;$F867&amp;"|"&amp;$L867&amp;"|"&amp;$P867&amp;"|"&amp;TEXT($H867,"yyyy-mm-dd"))</f>
        <v/>
      </c>
      <c r="T867" s="1" t="str">
        <f aca="false">IF($S867="","",IF(COUNTIF($S$2:$S$2991,$S867)&gt;1,"DUPLICATE","OK"))</f>
        <v/>
      </c>
      <c r="U867" s="0" t="str">
        <f aca="false">IF($L867="","",IFERROR(VLOOKUP(--$L867,MM_Income!$Z$5:$AC$204,3,FALSE()),"UNMAPPED"))</f>
        <v/>
      </c>
    </row>
    <row r="868" customFormat="false" ht="13.5" hidden="false" customHeight="false" outlineLevel="0" collapsed="false">
      <c r="A868" s="1" t="str">
        <f aca="false">IF($C868="","",Controls!$B$7)</f>
        <v/>
      </c>
      <c r="B868" s="1" t="str">
        <f aca="false">IF($H868="","",YEAR($H868)&amp;"-Q"&amp;ROUNDUP(MONTH($H868)/3,0))</f>
        <v/>
      </c>
      <c r="S868" s="1" t="str">
        <f aca="false">IF($C868="","",$C868&amp;"|"&amp;$E868&amp;"|"&amp;$F868&amp;"|"&amp;$L868&amp;"|"&amp;$P868&amp;"|"&amp;TEXT($H868,"yyyy-mm-dd"))</f>
        <v/>
      </c>
      <c r="T868" s="1" t="str">
        <f aca="false">IF($S868="","",IF(COUNTIF($S$2:$S$2991,$S868)&gt;1,"DUPLICATE","OK"))</f>
        <v/>
      </c>
      <c r="U868" s="0" t="str">
        <f aca="false">IF($L868="","",IFERROR(VLOOKUP(--$L868,MM_Income!$Z$5:$AC$204,3,FALSE()),"UNMAPPED"))</f>
        <v/>
      </c>
    </row>
    <row r="869" customFormat="false" ht="13.5" hidden="false" customHeight="false" outlineLevel="0" collapsed="false">
      <c r="A869" s="1" t="str">
        <f aca="false">IF($C869="","",Controls!$B$7)</f>
        <v/>
      </c>
      <c r="B869" s="1" t="str">
        <f aca="false">IF($H869="","",YEAR($H869)&amp;"-Q"&amp;ROUNDUP(MONTH($H869)/3,0))</f>
        <v/>
      </c>
      <c r="S869" s="1" t="str">
        <f aca="false">IF($C869="","",$C869&amp;"|"&amp;$E869&amp;"|"&amp;$F869&amp;"|"&amp;$L869&amp;"|"&amp;$P869&amp;"|"&amp;TEXT($H869,"yyyy-mm-dd"))</f>
        <v/>
      </c>
      <c r="T869" s="1" t="str">
        <f aca="false">IF($S869="","",IF(COUNTIF($S$2:$S$2991,$S869)&gt;1,"DUPLICATE","OK"))</f>
        <v/>
      </c>
      <c r="U869" s="0" t="str">
        <f aca="false">IF($L869="","",IFERROR(VLOOKUP(--$L869,MM_Income!$Z$5:$AC$204,3,FALSE()),"UNMAPPED"))</f>
        <v/>
      </c>
    </row>
    <row r="870" customFormat="false" ht="13.5" hidden="false" customHeight="false" outlineLevel="0" collapsed="false">
      <c r="A870" s="1" t="str">
        <f aca="false">IF($C870="","",Controls!$B$7)</f>
        <v/>
      </c>
      <c r="B870" s="1" t="str">
        <f aca="false">IF($H870="","",YEAR($H870)&amp;"-Q"&amp;ROUNDUP(MONTH($H870)/3,0))</f>
        <v/>
      </c>
      <c r="S870" s="1" t="str">
        <f aca="false">IF($C870="","",$C870&amp;"|"&amp;$E870&amp;"|"&amp;$F870&amp;"|"&amp;$L870&amp;"|"&amp;$P870&amp;"|"&amp;TEXT($H870,"yyyy-mm-dd"))</f>
        <v/>
      </c>
      <c r="T870" s="1" t="str">
        <f aca="false">IF($S870="","",IF(COUNTIF($S$2:$S$2991,$S870)&gt;1,"DUPLICATE","OK"))</f>
        <v/>
      </c>
      <c r="U870" s="0" t="str">
        <f aca="false">IF($L870="","",IFERROR(VLOOKUP(--$L870,MM_Income!$Z$5:$AC$204,3,FALSE()),"UNMAPPED"))</f>
        <v/>
      </c>
    </row>
    <row r="871" customFormat="false" ht="13.5" hidden="false" customHeight="false" outlineLevel="0" collapsed="false">
      <c r="A871" s="1" t="str">
        <f aca="false">IF($C871="","",Controls!$B$7)</f>
        <v/>
      </c>
      <c r="B871" s="1" t="str">
        <f aca="false">IF($H871="","",YEAR($H871)&amp;"-Q"&amp;ROUNDUP(MONTH($H871)/3,0))</f>
        <v/>
      </c>
      <c r="S871" s="1" t="str">
        <f aca="false">IF($C871="","",$C871&amp;"|"&amp;$E871&amp;"|"&amp;$F871&amp;"|"&amp;$L871&amp;"|"&amp;$P871&amp;"|"&amp;TEXT($H871,"yyyy-mm-dd"))</f>
        <v/>
      </c>
      <c r="T871" s="1" t="str">
        <f aca="false">IF($S871="","",IF(COUNTIF($S$2:$S$2991,$S871)&gt;1,"DUPLICATE","OK"))</f>
        <v/>
      </c>
      <c r="U871" s="0" t="str">
        <f aca="false">IF($L871="","",IFERROR(VLOOKUP(--$L871,MM_Income!$Z$5:$AC$204,3,FALSE()),"UNMAPPED"))</f>
        <v/>
      </c>
    </row>
    <row r="872" customFormat="false" ht="13.5" hidden="false" customHeight="false" outlineLevel="0" collapsed="false">
      <c r="A872" s="1" t="str">
        <f aca="false">IF($C872="","",Controls!$B$7)</f>
        <v/>
      </c>
      <c r="B872" s="1" t="str">
        <f aca="false">IF($H872="","",YEAR($H872)&amp;"-Q"&amp;ROUNDUP(MONTH($H872)/3,0))</f>
        <v/>
      </c>
      <c r="S872" s="1" t="str">
        <f aca="false">IF($C872="","",$C872&amp;"|"&amp;$E872&amp;"|"&amp;$F872&amp;"|"&amp;$L872&amp;"|"&amp;$P872&amp;"|"&amp;TEXT($H872,"yyyy-mm-dd"))</f>
        <v/>
      </c>
      <c r="T872" s="1" t="str">
        <f aca="false">IF($S872="","",IF(COUNTIF($S$2:$S$2991,$S872)&gt;1,"DUPLICATE","OK"))</f>
        <v/>
      </c>
      <c r="U872" s="0" t="str">
        <f aca="false">IF($L872="","",IFERROR(VLOOKUP(--$L872,MM_Income!$Z$5:$AC$204,3,FALSE()),"UNMAPPED"))</f>
        <v/>
      </c>
    </row>
    <row r="873" customFormat="false" ht="13.5" hidden="false" customHeight="false" outlineLevel="0" collapsed="false">
      <c r="A873" s="1" t="str">
        <f aca="false">IF($C873="","",Controls!$B$7)</f>
        <v/>
      </c>
      <c r="B873" s="1" t="str">
        <f aca="false">IF($H873="","",YEAR($H873)&amp;"-Q"&amp;ROUNDUP(MONTH($H873)/3,0))</f>
        <v/>
      </c>
      <c r="S873" s="1" t="str">
        <f aca="false">IF($C873="","",$C873&amp;"|"&amp;$E873&amp;"|"&amp;$F873&amp;"|"&amp;$L873&amp;"|"&amp;$P873&amp;"|"&amp;TEXT($H873,"yyyy-mm-dd"))</f>
        <v/>
      </c>
      <c r="T873" s="1" t="str">
        <f aca="false">IF($S873="","",IF(COUNTIF($S$2:$S$2991,$S873)&gt;1,"DUPLICATE","OK"))</f>
        <v/>
      </c>
      <c r="U873" s="0" t="str">
        <f aca="false">IF($L873="","",IFERROR(VLOOKUP(--$L873,MM_Income!$Z$5:$AC$204,3,FALSE()),"UNMAPPED"))</f>
        <v/>
      </c>
    </row>
    <row r="874" customFormat="false" ht="13.5" hidden="false" customHeight="false" outlineLevel="0" collapsed="false">
      <c r="A874" s="1" t="str">
        <f aca="false">IF($C874="","",Controls!$B$7)</f>
        <v/>
      </c>
      <c r="B874" s="1" t="str">
        <f aca="false">IF($H874="","",YEAR($H874)&amp;"-Q"&amp;ROUNDUP(MONTH($H874)/3,0))</f>
        <v/>
      </c>
      <c r="S874" s="1" t="str">
        <f aca="false">IF($C874="","",$C874&amp;"|"&amp;$E874&amp;"|"&amp;$F874&amp;"|"&amp;$L874&amp;"|"&amp;$P874&amp;"|"&amp;TEXT($H874,"yyyy-mm-dd"))</f>
        <v/>
      </c>
      <c r="T874" s="1" t="str">
        <f aca="false">IF($S874="","",IF(COUNTIF($S$2:$S$2991,$S874)&gt;1,"DUPLICATE","OK"))</f>
        <v/>
      </c>
      <c r="U874" s="0" t="str">
        <f aca="false">IF($L874="","",IFERROR(VLOOKUP(--$L874,MM_Income!$Z$5:$AC$204,3,FALSE()),"UNMAPPED"))</f>
        <v/>
      </c>
    </row>
    <row r="875" customFormat="false" ht="13.5" hidden="false" customHeight="false" outlineLevel="0" collapsed="false">
      <c r="A875" s="1" t="str">
        <f aca="false">IF($C875="","",Controls!$B$7)</f>
        <v/>
      </c>
      <c r="B875" s="1" t="str">
        <f aca="false">IF($H875="","",YEAR($H875)&amp;"-Q"&amp;ROUNDUP(MONTH($H875)/3,0))</f>
        <v/>
      </c>
      <c r="S875" s="1" t="str">
        <f aca="false">IF($C875="","",$C875&amp;"|"&amp;$E875&amp;"|"&amp;$F875&amp;"|"&amp;$L875&amp;"|"&amp;$P875&amp;"|"&amp;TEXT($H875,"yyyy-mm-dd"))</f>
        <v/>
      </c>
      <c r="T875" s="1" t="str">
        <f aca="false">IF($S875="","",IF(COUNTIF($S$2:$S$2991,$S875)&gt;1,"DUPLICATE","OK"))</f>
        <v/>
      </c>
      <c r="U875" s="0" t="str">
        <f aca="false">IF($L875="","",IFERROR(VLOOKUP(--$L875,MM_Income!$Z$5:$AC$204,3,FALSE()),"UNMAPPED"))</f>
        <v/>
      </c>
    </row>
    <row r="876" customFormat="false" ht="13.5" hidden="false" customHeight="false" outlineLevel="0" collapsed="false">
      <c r="A876" s="1" t="str">
        <f aca="false">IF($C876="","",Controls!$B$7)</f>
        <v/>
      </c>
      <c r="B876" s="1" t="str">
        <f aca="false">IF($H876="","",YEAR($H876)&amp;"-Q"&amp;ROUNDUP(MONTH($H876)/3,0))</f>
        <v/>
      </c>
      <c r="S876" s="1" t="str">
        <f aca="false">IF($C876="","",$C876&amp;"|"&amp;$E876&amp;"|"&amp;$F876&amp;"|"&amp;$L876&amp;"|"&amp;$P876&amp;"|"&amp;TEXT($H876,"yyyy-mm-dd"))</f>
        <v/>
      </c>
      <c r="T876" s="1" t="str">
        <f aca="false">IF($S876="","",IF(COUNTIF($S$2:$S$2991,$S876)&gt;1,"DUPLICATE","OK"))</f>
        <v/>
      </c>
      <c r="U876" s="0" t="str">
        <f aca="false">IF($L876="","",IFERROR(VLOOKUP(--$L876,MM_Income!$Z$5:$AC$204,3,FALSE()),"UNMAPPED"))</f>
        <v/>
      </c>
    </row>
    <row r="877" customFormat="false" ht="13.5" hidden="false" customHeight="false" outlineLevel="0" collapsed="false">
      <c r="A877" s="1" t="str">
        <f aca="false">IF($C877="","",Controls!$B$7)</f>
        <v/>
      </c>
      <c r="B877" s="1" t="str">
        <f aca="false">IF($H877="","",YEAR($H877)&amp;"-Q"&amp;ROUNDUP(MONTH($H877)/3,0))</f>
        <v/>
      </c>
      <c r="S877" s="1" t="str">
        <f aca="false">IF($C877="","",$C877&amp;"|"&amp;$E877&amp;"|"&amp;$F877&amp;"|"&amp;$L877&amp;"|"&amp;$P877&amp;"|"&amp;TEXT($H877,"yyyy-mm-dd"))</f>
        <v/>
      </c>
      <c r="T877" s="1" t="str">
        <f aca="false">IF($S877="","",IF(COUNTIF($S$2:$S$2991,$S877)&gt;1,"DUPLICATE","OK"))</f>
        <v/>
      </c>
      <c r="U877" s="0" t="str">
        <f aca="false">IF($L877="","",IFERROR(VLOOKUP(--$L877,MM_Income!$Z$5:$AC$204,3,FALSE()),"UNMAPPED"))</f>
        <v/>
      </c>
    </row>
    <row r="878" customFormat="false" ht="13.5" hidden="false" customHeight="false" outlineLevel="0" collapsed="false">
      <c r="A878" s="1" t="str">
        <f aca="false">IF($C878="","",Controls!$B$7)</f>
        <v/>
      </c>
      <c r="B878" s="1" t="str">
        <f aca="false">IF($H878="","",YEAR($H878)&amp;"-Q"&amp;ROUNDUP(MONTH($H878)/3,0))</f>
        <v/>
      </c>
      <c r="S878" s="1" t="str">
        <f aca="false">IF($C878="","",$C878&amp;"|"&amp;$E878&amp;"|"&amp;$F878&amp;"|"&amp;$L878&amp;"|"&amp;$P878&amp;"|"&amp;TEXT($H878,"yyyy-mm-dd"))</f>
        <v/>
      </c>
      <c r="T878" s="1" t="str">
        <f aca="false">IF($S878="","",IF(COUNTIF($S$2:$S$2991,$S878)&gt;1,"DUPLICATE","OK"))</f>
        <v/>
      </c>
      <c r="U878" s="0" t="str">
        <f aca="false">IF($L878="","",IFERROR(VLOOKUP(--$L878,MM_Income!$Z$5:$AC$204,3,FALSE()),"UNMAPPED"))</f>
        <v/>
      </c>
    </row>
    <row r="879" customFormat="false" ht="13.5" hidden="false" customHeight="false" outlineLevel="0" collapsed="false">
      <c r="A879" s="1" t="str">
        <f aca="false">IF($C879="","",Controls!$B$7)</f>
        <v/>
      </c>
      <c r="B879" s="1" t="str">
        <f aca="false">IF($H879="","",YEAR($H879)&amp;"-Q"&amp;ROUNDUP(MONTH($H879)/3,0))</f>
        <v/>
      </c>
      <c r="S879" s="1" t="str">
        <f aca="false">IF($C879="","",$C879&amp;"|"&amp;$E879&amp;"|"&amp;$F879&amp;"|"&amp;$L879&amp;"|"&amp;$P879&amp;"|"&amp;TEXT($H879,"yyyy-mm-dd"))</f>
        <v/>
      </c>
      <c r="T879" s="1" t="str">
        <f aca="false">IF($S879="","",IF(COUNTIF($S$2:$S$2991,$S879)&gt;1,"DUPLICATE","OK"))</f>
        <v/>
      </c>
      <c r="U879" s="0" t="str">
        <f aca="false">IF($L879="","",IFERROR(VLOOKUP(--$L879,MM_Income!$Z$5:$AC$204,3,FALSE()),"UNMAPPED"))</f>
        <v/>
      </c>
    </row>
    <row r="880" customFormat="false" ht="13.5" hidden="false" customHeight="false" outlineLevel="0" collapsed="false">
      <c r="A880" s="1" t="str">
        <f aca="false">IF($C880="","",Controls!$B$7)</f>
        <v/>
      </c>
      <c r="B880" s="1" t="str">
        <f aca="false">IF($H880="","",YEAR($H880)&amp;"-Q"&amp;ROUNDUP(MONTH($H880)/3,0))</f>
        <v/>
      </c>
      <c r="S880" s="1" t="str">
        <f aca="false">IF($C880="","",$C880&amp;"|"&amp;$E880&amp;"|"&amp;$F880&amp;"|"&amp;$L880&amp;"|"&amp;$P880&amp;"|"&amp;TEXT($H880,"yyyy-mm-dd"))</f>
        <v/>
      </c>
      <c r="T880" s="1" t="str">
        <f aca="false">IF($S880="","",IF(COUNTIF($S$2:$S$2991,$S880)&gt;1,"DUPLICATE","OK"))</f>
        <v/>
      </c>
      <c r="U880" s="0" t="str">
        <f aca="false">IF($L880="","",IFERROR(VLOOKUP(--$L880,MM_Income!$Z$5:$AC$204,3,FALSE()),"UNMAPPED"))</f>
        <v/>
      </c>
    </row>
    <row r="881" customFormat="false" ht="13.5" hidden="false" customHeight="false" outlineLevel="0" collapsed="false">
      <c r="A881" s="1" t="str">
        <f aca="false">IF($C881="","",Controls!$B$7)</f>
        <v/>
      </c>
      <c r="B881" s="1" t="str">
        <f aca="false">IF($H881="","",YEAR($H881)&amp;"-Q"&amp;ROUNDUP(MONTH($H881)/3,0))</f>
        <v/>
      </c>
      <c r="S881" s="1" t="str">
        <f aca="false">IF($C881="","",$C881&amp;"|"&amp;$E881&amp;"|"&amp;$F881&amp;"|"&amp;$L881&amp;"|"&amp;$P881&amp;"|"&amp;TEXT($H881,"yyyy-mm-dd"))</f>
        <v/>
      </c>
      <c r="T881" s="1" t="str">
        <f aca="false">IF($S881="","",IF(COUNTIF($S$2:$S$2991,$S881)&gt;1,"DUPLICATE","OK"))</f>
        <v/>
      </c>
      <c r="U881" s="0" t="str">
        <f aca="false">IF($L881="","",IFERROR(VLOOKUP(--$L881,MM_Income!$Z$5:$AC$204,3,FALSE()),"UNMAPPED"))</f>
        <v/>
      </c>
    </row>
    <row r="882" customFormat="false" ht="13.5" hidden="false" customHeight="false" outlineLevel="0" collapsed="false">
      <c r="A882" s="1" t="str">
        <f aca="false">IF($C882="","",Controls!$B$7)</f>
        <v/>
      </c>
      <c r="B882" s="1" t="str">
        <f aca="false">IF($H882="","",YEAR($H882)&amp;"-Q"&amp;ROUNDUP(MONTH($H882)/3,0))</f>
        <v/>
      </c>
      <c r="S882" s="1" t="str">
        <f aca="false">IF($C882="","",$C882&amp;"|"&amp;$E882&amp;"|"&amp;$F882&amp;"|"&amp;$L882&amp;"|"&amp;$P882&amp;"|"&amp;TEXT($H882,"yyyy-mm-dd"))</f>
        <v/>
      </c>
      <c r="T882" s="1" t="str">
        <f aca="false">IF($S882="","",IF(COUNTIF($S$2:$S$2991,$S882)&gt;1,"DUPLICATE","OK"))</f>
        <v/>
      </c>
      <c r="U882" s="0" t="str">
        <f aca="false">IF($L882="","",IFERROR(VLOOKUP(--$L882,MM_Income!$Z$5:$AC$204,3,FALSE()),"UNMAPPED"))</f>
        <v/>
      </c>
    </row>
    <row r="883" customFormat="false" ht="13.5" hidden="false" customHeight="false" outlineLevel="0" collapsed="false">
      <c r="A883" s="1" t="str">
        <f aca="false">IF($C883="","",Controls!$B$7)</f>
        <v/>
      </c>
      <c r="B883" s="1" t="str">
        <f aca="false">IF($H883="","",YEAR($H883)&amp;"-Q"&amp;ROUNDUP(MONTH($H883)/3,0))</f>
        <v/>
      </c>
      <c r="S883" s="1" t="str">
        <f aca="false">IF($C883="","",$C883&amp;"|"&amp;$E883&amp;"|"&amp;$F883&amp;"|"&amp;$L883&amp;"|"&amp;$P883&amp;"|"&amp;TEXT($H883,"yyyy-mm-dd"))</f>
        <v/>
      </c>
      <c r="T883" s="1" t="str">
        <f aca="false">IF($S883="","",IF(COUNTIF($S$2:$S$2991,$S883)&gt;1,"DUPLICATE","OK"))</f>
        <v/>
      </c>
      <c r="U883" s="0" t="str">
        <f aca="false">IF($L883="","",IFERROR(VLOOKUP(--$L883,MM_Income!$Z$5:$AC$204,3,FALSE()),"UNMAPPED"))</f>
        <v/>
      </c>
    </row>
    <row r="884" customFormat="false" ht="13.5" hidden="false" customHeight="false" outlineLevel="0" collapsed="false">
      <c r="A884" s="1" t="str">
        <f aca="false">IF($C884="","",Controls!$B$7)</f>
        <v/>
      </c>
      <c r="B884" s="1" t="str">
        <f aca="false">IF($H884="","",YEAR($H884)&amp;"-Q"&amp;ROUNDUP(MONTH($H884)/3,0))</f>
        <v/>
      </c>
      <c r="S884" s="1" t="str">
        <f aca="false">IF($C884="","",$C884&amp;"|"&amp;$E884&amp;"|"&amp;$F884&amp;"|"&amp;$L884&amp;"|"&amp;$P884&amp;"|"&amp;TEXT($H884,"yyyy-mm-dd"))</f>
        <v/>
      </c>
      <c r="T884" s="1" t="str">
        <f aca="false">IF($S884="","",IF(COUNTIF($S$2:$S$2991,$S884)&gt;1,"DUPLICATE","OK"))</f>
        <v/>
      </c>
      <c r="U884" s="0" t="str">
        <f aca="false">IF($L884="","",IFERROR(VLOOKUP(--$L884,MM_Income!$Z$5:$AC$204,3,FALSE()),"UNMAPPED"))</f>
        <v/>
      </c>
    </row>
    <row r="885" customFormat="false" ht="13.5" hidden="false" customHeight="false" outlineLevel="0" collapsed="false">
      <c r="A885" s="1" t="str">
        <f aca="false">IF($C885="","",Controls!$B$7)</f>
        <v/>
      </c>
      <c r="B885" s="1" t="str">
        <f aca="false">IF($H885="","",YEAR($H885)&amp;"-Q"&amp;ROUNDUP(MONTH($H885)/3,0))</f>
        <v/>
      </c>
      <c r="S885" s="1" t="str">
        <f aca="false">IF($C885="","",$C885&amp;"|"&amp;$E885&amp;"|"&amp;$F885&amp;"|"&amp;$L885&amp;"|"&amp;$P885&amp;"|"&amp;TEXT($H885,"yyyy-mm-dd"))</f>
        <v/>
      </c>
      <c r="T885" s="1" t="str">
        <f aca="false">IF($S885="","",IF(COUNTIF($S$2:$S$2991,$S885)&gt;1,"DUPLICATE","OK"))</f>
        <v/>
      </c>
      <c r="U885" s="0" t="str">
        <f aca="false">IF($L885="","",IFERROR(VLOOKUP(--$L885,MM_Income!$Z$5:$AC$204,3,FALSE()),"UNMAPPED"))</f>
        <v/>
      </c>
    </row>
    <row r="886" customFormat="false" ht="13.5" hidden="false" customHeight="false" outlineLevel="0" collapsed="false">
      <c r="A886" s="1" t="str">
        <f aca="false">IF($C886="","",Controls!$B$7)</f>
        <v/>
      </c>
      <c r="B886" s="1" t="str">
        <f aca="false">IF($H886="","",YEAR($H886)&amp;"-Q"&amp;ROUNDUP(MONTH($H886)/3,0))</f>
        <v/>
      </c>
      <c r="S886" s="1" t="str">
        <f aca="false">IF($C886="","",$C886&amp;"|"&amp;$E886&amp;"|"&amp;$F886&amp;"|"&amp;$L886&amp;"|"&amp;$P886&amp;"|"&amp;TEXT($H886,"yyyy-mm-dd"))</f>
        <v/>
      </c>
      <c r="T886" s="1" t="str">
        <f aca="false">IF($S886="","",IF(COUNTIF($S$2:$S$2991,$S886)&gt;1,"DUPLICATE","OK"))</f>
        <v/>
      </c>
      <c r="U886" s="0" t="str">
        <f aca="false">IF($L886="","",IFERROR(VLOOKUP(--$L886,MM_Income!$Z$5:$AC$204,3,FALSE()),"UNMAPPED"))</f>
        <v/>
      </c>
    </row>
    <row r="887" customFormat="false" ht="13.5" hidden="false" customHeight="false" outlineLevel="0" collapsed="false">
      <c r="A887" s="1" t="str">
        <f aca="false">IF($C887="","",Controls!$B$7)</f>
        <v/>
      </c>
      <c r="B887" s="1" t="str">
        <f aca="false">IF($H887="","",YEAR($H887)&amp;"-Q"&amp;ROUNDUP(MONTH($H887)/3,0))</f>
        <v/>
      </c>
      <c r="S887" s="1" t="str">
        <f aca="false">IF($C887="","",$C887&amp;"|"&amp;$E887&amp;"|"&amp;$F887&amp;"|"&amp;$L887&amp;"|"&amp;$P887&amp;"|"&amp;TEXT($H887,"yyyy-mm-dd"))</f>
        <v/>
      </c>
      <c r="T887" s="1" t="str">
        <f aca="false">IF($S887="","",IF(COUNTIF($S$2:$S$2991,$S887)&gt;1,"DUPLICATE","OK"))</f>
        <v/>
      </c>
      <c r="U887" s="0" t="str">
        <f aca="false">IF($L887="","",IFERROR(VLOOKUP(--$L887,MM_Income!$Z$5:$AC$204,3,FALSE()),"UNMAPPED"))</f>
        <v/>
      </c>
    </row>
    <row r="888" customFormat="false" ht="13.5" hidden="false" customHeight="false" outlineLevel="0" collapsed="false">
      <c r="A888" s="1" t="str">
        <f aca="false">IF($C888="","",Controls!$B$7)</f>
        <v/>
      </c>
      <c r="B888" s="1" t="str">
        <f aca="false">IF($H888="","",YEAR($H888)&amp;"-Q"&amp;ROUNDUP(MONTH($H888)/3,0))</f>
        <v/>
      </c>
      <c r="S888" s="1" t="str">
        <f aca="false">IF($C888="","",$C888&amp;"|"&amp;$E888&amp;"|"&amp;$F888&amp;"|"&amp;$L888&amp;"|"&amp;$P888&amp;"|"&amp;TEXT($H888,"yyyy-mm-dd"))</f>
        <v/>
      </c>
      <c r="T888" s="1" t="str">
        <f aca="false">IF($S888="","",IF(COUNTIF($S$2:$S$2991,$S888)&gt;1,"DUPLICATE","OK"))</f>
        <v/>
      </c>
      <c r="U888" s="0" t="str">
        <f aca="false">IF($L888="","",IFERROR(VLOOKUP(--$L888,MM_Income!$Z$5:$AC$204,3,FALSE()),"UNMAPPED"))</f>
        <v/>
      </c>
    </row>
    <row r="889" customFormat="false" ht="13.5" hidden="false" customHeight="false" outlineLevel="0" collapsed="false">
      <c r="A889" s="1" t="str">
        <f aca="false">IF($C889="","",Controls!$B$7)</f>
        <v/>
      </c>
      <c r="B889" s="1" t="str">
        <f aca="false">IF($H889="","",YEAR($H889)&amp;"-Q"&amp;ROUNDUP(MONTH($H889)/3,0))</f>
        <v/>
      </c>
      <c r="S889" s="1" t="str">
        <f aca="false">IF($C889="","",$C889&amp;"|"&amp;$E889&amp;"|"&amp;$F889&amp;"|"&amp;$L889&amp;"|"&amp;$P889&amp;"|"&amp;TEXT($H889,"yyyy-mm-dd"))</f>
        <v/>
      </c>
      <c r="T889" s="1" t="str">
        <f aca="false">IF($S889="","",IF(COUNTIF($S$2:$S$2991,$S889)&gt;1,"DUPLICATE","OK"))</f>
        <v/>
      </c>
      <c r="U889" s="0" t="str">
        <f aca="false">IF($L889="","",IFERROR(VLOOKUP(--$L889,MM_Income!$Z$5:$AC$204,3,FALSE()),"UNMAPPED"))</f>
        <v/>
      </c>
    </row>
    <row r="890" customFormat="false" ht="13.5" hidden="false" customHeight="false" outlineLevel="0" collapsed="false">
      <c r="A890" s="1" t="str">
        <f aca="false">IF($C890="","",Controls!$B$7)</f>
        <v/>
      </c>
      <c r="B890" s="1" t="str">
        <f aca="false">IF($H890="","",YEAR($H890)&amp;"-Q"&amp;ROUNDUP(MONTH($H890)/3,0))</f>
        <v/>
      </c>
      <c r="S890" s="1" t="str">
        <f aca="false">IF($C890="","",$C890&amp;"|"&amp;$E890&amp;"|"&amp;$F890&amp;"|"&amp;$L890&amp;"|"&amp;$P890&amp;"|"&amp;TEXT($H890,"yyyy-mm-dd"))</f>
        <v/>
      </c>
      <c r="T890" s="1" t="str">
        <f aca="false">IF($S890="","",IF(COUNTIF($S$2:$S$2991,$S890)&gt;1,"DUPLICATE","OK"))</f>
        <v/>
      </c>
      <c r="U890" s="0" t="str">
        <f aca="false">IF($L890="","",IFERROR(VLOOKUP(--$L890,MM_Income!$Z$5:$AC$204,3,FALSE()),"UNMAPPED"))</f>
        <v/>
      </c>
    </row>
    <row r="891" customFormat="false" ht="13.5" hidden="false" customHeight="false" outlineLevel="0" collapsed="false">
      <c r="A891" s="1" t="str">
        <f aca="false">IF($C891="","",Controls!$B$7)</f>
        <v/>
      </c>
      <c r="B891" s="1" t="str">
        <f aca="false">IF($H891="","",YEAR($H891)&amp;"-Q"&amp;ROUNDUP(MONTH($H891)/3,0))</f>
        <v/>
      </c>
      <c r="S891" s="1" t="str">
        <f aca="false">IF($C891="","",$C891&amp;"|"&amp;$E891&amp;"|"&amp;$F891&amp;"|"&amp;$L891&amp;"|"&amp;$P891&amp;"|"&amp;TEXT($H891,"yyyy-mm-dd"))</f>
        <v/>
      </c>
      <c r="T891" s="1" t="str">
        <f aca="false">IF($S891="","",IF(COUNTIF($S$2:$S$2991,$S891)&gt;1,"DUPLICATE","OK"))</f>
        <v/>
      </c>
      <c r="U891" s="0" t="str">
        <f aca="false">IF($L891="","",IFERROR(VLOOKUP(--$L891,MM_Income!$Z$5:$AC$204,3,FALSE()),"UNMAPPED"))</f>
        <v/>
      </c>
    </row>
    <row r="892" customFormat="false" ht="13.5" hidden="false" customHeight="false" outlineLevel="0" collapsed="false">
      <c r="A892" s="1" t="str">
        <f aca="false">IF($C892="","",Controls!$B$7)</f>
        <v/>
      </c>
      <c r="B892" s="1" t="str">
        <f aca="false">IF($H892="","",YEAR($H892)&amp;"-Q"&amp;ROUNDUP(MONTH($H892)/3,0))</f>
        <v/>
      </c>
      <c r="S892" s="1" t="str">
        <f aca="false">IF($C892="","",$C892&amp;"|"&amp;$E892&amp;"|"&amp;$F892&amp;"|"&amp;$L892&amp;"|"&amp;$P892&amp;"|"&amp;TEXT($H892,"yyyy-mm-dd"))</f>
        <v/>
      </c>
      <c r="T892" s="1" t="str">
        <f aca="false">IF($S892="","",IF(COUNTIF($S$2:$S$2991,$S892)&gt;1,"DUPLICATE","OK"))</f>
        <v/>
      </c>
      <c r="U892" s="0" t="str">
        <f aca="false">IF($L892="","",IFERROR(VLOOKUP(--$L892,MM_Income!$Z$5:$AC$204,3,FALSE()),"UNMAPPED"))</f>
        <v/>
      </c>
    </row>
    <row r="893" customFormat="false" ht="13.5" hidden="false" customHeight="false" outlineLevel="0" collapsed="false">
      <c r="A893" s="1" t="str">
        <f aca="false">IF($C893="","",Controls!$B$7)</f>
        <v/>
      </c>
      <c r="B893" s="1" t="str">
        <f aca="false">IF($H893="","",YEAR($H893)&amp;"-Q"&amp;ROUNDUP(MONTH($H893)/3,0))</f>
        <v/>
      </c>
      <c r="S893" s="1" t="str">
        <f aca="false">IF($C893="","",$C893&amp;"|"&amp;$E893&amp;"|"&amp;$F893&amp;"|"&amp;$L893&amp;"|"&amp;$P893&amp;"|"&amp;TEXT($H893,"yyyy-mm-dd"))</f>
        <v/>
      </c>
      <c r="T893" s="1" t="str">
        <f aca="false">IF($S893="","",IF(COUNTIF($S$2:$S$2991,$S893)&gt;1,"DUPLICATE","OK"))</f>
        <v/>
      </c>
      <c r="U893" s="0" t="str">
        <f aca="false">IF($L893="","",IFERROR(VLOOKUP(--$L893,MM_Income!$Z$5:$AC$204,3,FALSE()),"UNMAPPED"))</f>
        <v/>
      </c>
    </row>
    <row r="894" customFormat="false" ht="13.5" hidden="false" customHeight="false" outlineLevel="0" collapsed="false">
      <c r="A894" s="1" t="str">
        <f aca="false">IF($C894="","",Controls!$B$7)</f>
        <v/>
      </c>
      <c r="B894" s="1" t="str">
        <f aca="false">IF($H894="","",YEAR($H894)&amp;"-Q"&amp;ROUNDUP(MONTH($H894)/3,0))</f>
        <v/>
      </c>
      <c r="S894" s="1" t="str">
        <f aca="false">IF($C894="","",$C894&amp;"|"&amp;$E894&amp;"|"&amp;$F894&amp;"|"&amp;$L894&amp;"|"&amp;$P894&amp;"|"&amp;TEXT($H894,"yyyy-mm-dd"))</f>
        <v/>
      </c>
      <c r="T894" s="1" t="str">
        <f aca="false">IF($S894="","",IF(COUNTIF($S$2:$S$2991,$S894)&gt;1,"DUPLICATE","OK"))</f>
        <v/>
      </c>
      <c r="U894" s="0" t="str">
        <f aca="false">IF($L894="","",IFERROR(VLOOKUP(--$L894,MM_Income!$Z$5:$AC$204,3,FALSE()),"UNMAPPED"))</f>
        <v/>
      </c>
    </row>
    <row r="895" customFormat="false" ht="13.5" hidden="false" customHeight="false" outlineLevel="0" collapsed="false">
      <c r="A895" s="1" t="str">
        <f aca="false">IF($C895="","",Controls!$B$7)</f>
        <v/>
      </c>
      <c r="B895" s="1" t="str">
        <f aca="false">IF($H895="","",YEAR($H895)&amp;"-Q"&amp;ROUNDUP(MONTH($H895)/3,0))</f>
        <v/>
      </c>
      <c r="S895" s="1" t="str">
        <f aca="false">IF($C895="","",$C895&amp;"|"&amp;$E895&amp;"|"&amp;$F895&amp;"|"&amp;$L895&amp;"|"&amp;$P895&amp;"|"&amp;TEXT($H895,"yyyy-mm-dd"))</f>
        <v/>
      </c>
      <c r="T895" s="1" t="str">
        <f aca="false">IF($S895="","",IF(COUNTIF($S$2:$S$2991,$S895)&gt;1,"DUPLICATE","OK"))</f>
        <v/>
      </c>
      <c r="U895" s="0" t="str">
        <f aca="false">IF($L895="","",IFERROR(VLOOKUP(--$L895,MM_Income!$Z$5:$AC$204,3,FALSE()),"UNMAPPED"))</f>
        <v/>
      </c>
    </row>
    <row r="896" customFormat="false" ht="13.5" hidden="false" customHeight="false" outlineLevel="0" collapsed="false">
      <c r="A896" s="1" t="str">
        <f aca="false">IF($C896="","",Controls!$B$7)</f>
        <v/>
      </c>
      <c r="B896" s="1" t="str">
        <f aca="false">IF($H896="","",YEAR($H896)&amp;"-Q"&amp;ROUNDUP(MONTH($H896)/3,0))</f>
        <v/>
      </c>
      <c r="S896" s="1" t="str">
        <f aca="false">IF($C896="","",$C896&amp;"|"&amp;$E896&amp;"|"&amp;$F896&amp;"|"&amp;$L896&amp;"|"&amp;$P896&amp;"|"&amp;TEXT($H896,"yyyy-mm-dd"))</f>
        <v/>
      </c>
      <c r="T896" s="1" t="str">
        <f aca="false">IF($S896="","",IF(COUNTIF($S$2:$S$2991,$S896)&gt;1,"DUPLICATE","OK"))</f>
        <v/>
      </c>
      <c r="U896" s="0" t="str">
        <f aca="false">IF($L896="","",IFERROR(VLOOKUP(--$L896,MM_Income!$Z$5:$AC$204,3,FALSE()),"UNMAPPED"))</f>
        <v/>
      </c>
    </row>
    <row r="897" customFormat="false" ht="13.5" hidden="false" customHeight="false" outlineLevel="0" collapsed="false">
      <c r="A897" s="1" t="str">
        <f aca="false">IF($C897="","",Controls!$B$7)</f>
        <v/>
      </c>
      <c r="B897" s="1" t="str">
        <f aca="false">IF($H897="","",YEAR($H897)&amp;"-Q"&amp;ROUNDUP(MONTH($H897)/3,0))</f>
        <v/>
      </c>
      <c r="S897" s="1" t="str">
        <f aca="false">IF($C897="","",$C897&amp;"|"&amp;$E897&amp;"|"&amp;$F897&amp;"|"&amp;$L897&amp;"|"&amp;$P897&amp;"|"&amp;TEXT($H897,"yyyy-mm-dd"))</f>
        <v/>
      </c>
      <c r="T897" s="1" t="str">
        <f aca="false">IF($S897="","",IF(COUNTIF($S$2:$S$2991,$S897)&gt;1,"DUPLICATE","OK"))</f>
        <v/>
      </c>
      <c r="U897" s="0" t="str">
        <f aca="false">IF($L897="","",IFERROR(VLOOKUP(--$L897,MM_Income!$Z$5:$AC$204,3,FALSE()),"UNMAPPED"))</f>
        <v/>
      </c>
    </row>
    <row r="898" customFormat="false" ht="13.5" hidden="false" customHeight="false" outlineLevel="0" collapsed="false">
      <c r="A898" s="1" t="str">
        <f aca="false">IF($C898="","",Controls!$B$7)</f>
        <v/>
      </c>
      <c r="B898" s="1" t="str">
        <f aca="false">IF($H898="","",YEAR($H898)&amp;"-Q"&amp;ROUNDUP(MONTH($H898)/3,0))</f>
        <v/>
      </c>
      <c r="S898" s="1" t="str">
        <f aca="false">IF($C898="","",$C898&amp;"|"&amp;$E898&amp;"|"&amp;$F898&amp;"|"&amp;$L898&amp;"|"&amp;$P898&amp;"|"&amp;TEXT($H898,"yyyy-mm-dd"))</f>
        <v/>
      </c>
      <c r="T898" s="1" t="str">
        <f aca="false">IF($S898="","",IF(COUNTIF($S$2:$S$2991,$S898)&gt;1,"DUPLICATE","OK"))</f>
        <v/>
      </c>
      <c r="U898" s="0" t="str">
        <f aca="false">IF($L898="","",IFERROR(VLOOKUP(--$L898,MM_Income!$Z$5:$AC$204,3,FALSE()),"UNMAPPED"))</f>
        <v/>
      </c>
    </row>
    <row r="899" customFormat="false" ht="13.5" hidden="false" customHeight="false" outlineLevel="0" collapsed="false">
      <c r="A899" s="1" t="str">
        <f aca="false">IF($C899="","",Controls!$B$7)</f>
        <v/>
      </c>
      <c r="B899" s="1" t="str">
        <f aca="false">IF($H899="","",YEAR($H899)&amp;"-Q"&amp;ROUNDUP(MONTH($H899)/3,0))</f>
        <v/>
      </c>
      <c r="S899" s="1" t="str">
        <f aca="false">IF($C899="","",$C899&amp;"|"&amp;$E899&amp;"|"&amp;$F899&amp;"|"&amp;$L899&amp;"|"&amp;$P899&amp;"|"&amp;TEXT($H899,"yyyy-mm-dd"))</f>
        <v/>
      </c>
      <c r="T899" s="1" t="str">
        <f aca="false">IF($S899="","",IF(COUNTIF($S$2:$S$2991,$S899)&gt;1,"DUPLICATE","OK"))</f>
        <v/>
      </c>
      <c r="U899" s="0" t="str">
        <f aca="false">IF($L899="","",IFERROR(VLOOKUP(--$L899,MM_Income!$Z$5:$AC$204,3,FALSE()),"UNMAPPED"))</f>
        <v/>
      </c>
    </row>
    <row r="900" customFormat="false" ht="13.5" hidden="false" customHeight="false" outlineLevel="0" collapsed="false">
      <c r="A900" s="1" t="str">
        <f aca="false">IF($C900="","",Controls!$B$7)</f>
        <v/>
      </c>
      <c r="B900" s="1" t="str">
        <f aca="false">IF($H900="","",YEAR($H900)&amp;"-Q"&amp;ROUNDUP(MONTH($H900)/3,0))</f>
        <v/>
      </c>
      <c r="S900" s="1" t="str">
        <f aca="false">IF($C900="","",$C900&amp;"|"&amp;$E900&amp;"|"&amp;$F900&amp;"|"&amp;$L900&amp;"|"&amp;$P900&amp;"|"&amp;TEXT($H900,"yyyy-mm-dd"))</f>
        <v/>
      </c>
      <c r="T900" s="1" t="str">
        <f aca="false">IF($S900="","",IF(COUNTIF($S$2:$S$2991,$S900)&gt;1,"DUPLICATE","OK"))</f>
        <v/>
      </c>
      <c r="U900" s="0" t="str">
        <f aca="false">IF($L900="","",IFERROR(VLOOKUP(--$L900,MM_Income!$Z$5:$AC$204,3,FALSE()),"UNMAPPED"))</f>
        <v/>
      </c>
    </row>
    <row r="901" customFormat="false" ht="13.5" hidden="false" customHeight="false" outlineLevel="0" collapsed="false">
      <c r="A901" s="1" t="str">
        <f aca="false">IF($C901="","",Controls!$B$7)</f>
        <v/>
      </c>
      <c r="B901" s="1" t="str">
        <f aca="false">IF($H901="","",YEAR($H901)&amp;"-Q"&amp;ROUNDUP(MONTH($H901)/3,0))</f>
        <v/>
      </c>
      <c r="S901" s="1" t="str">
        <f aca="false">IF($C901="","",$C901&amp;"|"&amp;$E901&amp;"|"&amp;$F901&amp;"|"&amp;$L901&amp;"|"&amp;$P901&amp;"|"&amp;TEXT($H901,"yyyy-mm-dd"))</f>
        <v/>
      </c>
      <c r="T901" s="1" t="str">
        <f aca="false">IF($S901="","",IF(COUNTIF($S$2:$S$2991,$S901)&gt;1,"DUPLICATE","OK"))</f>
        <v/>
      </c>
      <c r="U901" s="0" t="str">
        <f aca="false">IF($L901="","",IFERROR(VLOOKUP(--$L901,MM_Income!$Z$5:$AC$204,3,FALSE()),"UNMAPPED"))</f>
        <v/>
      </c>
    </row>
    <row r="902" customFormat="false" ht="13.5" hidden="false" customHeight="false" outlineLevel="0" collapsed="false">
      <c r="A902" s="1" t="str">
        <f aca="false">IF($C902="","",Controls!$B$7)</f>
        <v/>
      </c>
      <c r="B902" s="1" t="str">
        <f aca="false">IF($H902="","",YEAR($H902)&amp;"-Q"&amp;ROUNDUP(MONTH($H902)/3,0))</f>
        <v/>
      </c>
      <c r="S902" s="1" t="str">
        <f aca="false">IF($C902="","",$C902&amp;"|"&amp;$E902&amp;"|"&amp;$F902&amp;"|"&amp;$L902&amp;"|"&amp;$P902&amp;"|"&amp;TEXT($H902,"yyyy-mm-dd"))</f>
        <v/>
      </c>
      <c r="T902" s="1" t="str">
        <f aca="false">IF($S902="","",IF(COUNTIF($S$2:$S$2991,$S902)&gt;1,"DUPLICATE","OK"))</f>
        <v/>
      </c>
      <c r="U902" s="0" t="str">
        <f aca="false">IF($L902="","",IFERROR(VLOOKUP(--$L902,MM_Income!$Z$5:$AC$204,3,FALSE()),"UNMAPPED"))</f>
        <v/>
      </c>
    </row>
    <row r="903" customFormat="false" ht="13.5" hidden="false" customHeight="false" outlineLevel="0" collapsed="false">
      <c r="A903" s="1" t="str">
        <f aca="false">IF($C903="","",Controls!$B$7)</f>
        <v/>
      </c>
      <c r="B903" s="1" t="str">
        <f aca="false">IF($H903="","",YEAR($H903)&amp;"-Q"&amp;ROUNDUP(MONTH($H903)/3,0))</f>
        <v/>
      </c>
      <c r="S903" s="1" t="str">
        <f aca="false">IF($C903="","",$C903&amp;"|"&amp;$E903&amp;"|"&amp;$F903&amp;"|"&amp;$L903&amp;"|"&amp;$P903&amp;"|"&amp;TEXT($H903,"yyyy-mm-dd"))</f>
        <v/>
      </c>
      <c r="T903" s="1" t="str">
        <f aca="false">IF($S903="","",IF(COUNTIF($S$2:$S$2991,$S903)&gt;1,"DUPLICATE","OK"))</f>
        <v/>
      </c>
      <c r="U903" s="0" t="str">
        <f aca="false">IF($L903="","",IFERROR(VLOOKUP(--$L903,MM_Income!$Z$5:$AC$204,3,FALSE()),"UNMAPPED"))</f>
        <v/>
      </c>
    </row>
    <row r="904" customFormat="false" ht="13.5" hidden="false" customHeight="false" outlineLevel="0" collapsed="false">
      <c r="A904" s="1" t="str">
        <f aca="false">IF($C904="","",Controls!$B$7)</f>
        <v/>
      </c>
      <c r="B904" s="1" t="str">
        <f aca="false">IF($H904="","",YEAR($H904)&amp;"-Q"&amp;ROUNDUP(MONTH($H904)/3,0))</f>
        <v/>
      </c>
      <c r="S904" s="1" t="str">
        <f aca="false">IF($C904="","",$C904&amp;"|"&amp;$E904&amp;"|"&amp;$F904&amp;"|"&amp;$L904&amp;"|"&amp;$P904&amp;"|"&amp;TEXT($H904,"yyyy-mm-dd"))</f>
        <v/>
      </c>
      <c r="T904" s="1" t="str">
        <f aca="false">IF($S904="","",IF(COUNTIF($S$2:$S$2991,$S904)&gt;1,"DUPLICATE","OK"))</f>
        <v/>
      </c>
      <c r="U904" s="0" t="str">
        <f aca="false">IF($L904="","",IFERROR(VLOOKUP(--$L904,MM_Income!$Z$5:$AC$204,3,FALSE()),"UNMAPPED"))</f>
        <v/>
      </c>
    </row>
    <row r="905" customFormat="false" ht="13.5" hidden="false" customHeight="false" outlineLevel="0" collapsed="false">
      <c r="A905" s="1" t="str">
        <f aca="false">IF($C905="","",Controls!$B$7)</f>
        <v/>
      </c>
      <c r="B905" s="1" t="str">
        <f aca="false">IF($H905="","",YEAR($H905)&amp;"-Q"&amp;ROUNDUP(MONTH($H905)/3,0))</f>
        <v/>
      </c>
      <c r="S905" s="1" t="str">
        <f aca="false">IF($C905="","",$C905&amp;"|"&amp;$E905&amp;"|"&amp;$F905&amp;"|"&amp;$L905&amp;"|"&amp;$P905&amp;"|"&amp;TEXT($H905,"yyyy-mm-dd"))</f>
        <v/>
      </c>
      <c r="T905" s="1" t="str">
        <f aca="false">IF($S905="","",IF(COUNTIF($S$2:$S$2991,$S905)&gt;1,"DUPLICATE","OK"))</f>
        <v/>
      </c>
      <c r="U905" s="0" t="str">
        <f aca="false">IF($L905="","",IFERROR(VLOOKUP(--$L905,MM_Income!$Z$5:$AC$204,3,FALSE()),"UNMAPPED"))</f>
        <v/>
      </c>
    </row>
    <row r="906" customFormat="false" ht="13.5" hidden="false" customHeight="false" outlineLevel="0" collapsed="false">
      <c r="A906" s="1" t="str">
        <f aca="false">IF($C906="","",Controls!$B$7)</f>
        <v/>
      </c>
      <c r="B906" s="1" t="str">
        <f aca="false">IF($H906="","",YEAR($H906)&amp;"-Q"&amp;ROUNDUP(MONTH($H906)/3,0))</f>
        <v/>
      </c>
      <c r="S906" s="1" t="str">
        <f aca="false">IF($C906="","",$C906&amp;"|"&amp;$E906&amp;"|"&amp;$F906&amp;"|"&amp;$L906&amp;"|"&amp;$P906&amp;"|"&amp;TEXT($H906,"yyyy-mm-dd"))</f>
        <v/>
      </c>
      <c r="T906" s="1" t="str">
        <f aca="false">IF($S906="","",IF(COUNTIF($S$2:$S$2991,$S906)&gt;1,"DUPLICATE","OK"))</f>
        <v/>
      </c>
      <c r="U906" s="0" t="str">
        <f aca="false">IF($L906="","",IFERROR(VLOOKUP(--$L906,MM_Income!$Z$5:$AC$204,3,FALSE()),"UNMAPPED"))</f>
        <v/>
      </c>
    </row>
    <row r="907" customFormat="false" ht="13.5" hidden="false" customHeight="false" outlineLevel="0" collapsed="false">
      <c r="A907" s="1" t="str">
        <f aca="false">IF($C907="","",Controls!$B$7)</f>
        <v/>
      </c>
      <c r="B907" s="1" t="str">
        <f aca="false">IF($H907="","",YEAR($H907)&amp;"-Q"&amp;ROUNDUP(MONTH($H907)/3,0))</f>
        <v/>
      </c>
      <c r="S907" s="1" t="str">
        <f aca="false">IF($C907="","",$C907&amp;"|"&amp;$E907&amp;"|"&amp;$F907&amp;"|"&amp;$L907&amp;"|"&amp;$P907&amp;"|"&amp;TEXT($H907,"yyyy-mm-dd"))</f>
        <v/>
      </c>
      <c r="T907" s="1" t="str">
        <f aca="false">IF($S907="","",IF(COUNTIF($S$2:$S$2991,$S907)&gt;1,"DUPLICATE","OK"))</f>
        <v/>
      </c>
      <c r="U907" s="0" t="str">
        <f aca="false">IF($L907="","",IFERROR(VLOOKUP(--$L907,MM_Income!$Z$5:$AC$204,3,FALSE()),"UNMAPPED"))</f>
        <v/>
      </c>
    </row>
    <row r="908" customFormat="false" ht="13.5" hidden="false" customHeight="false" outlineLevel="0" collapsed="false">
      <c r="A908" s="1" t="str">
        <f aca="false">IF($C908="","",Controls!$B$7)</f>
        <v/>
      </c>
      <c r="B908" s="1" t="str">
        <f aca="false">IF($H908="","",YEAR($H908)&amp;"-Q"&amp;ROUNDUP(MONTH($H908)/3,0))</f>
        <v/>
      </c>
      <c r="S908" s="1" t="str">
        <f aca="false">IF($C908="","",$C908&amp;"|"&amp;$E908&amp;"|"&amp;$F908&amp;"|"&amp;$L908&amp;"|"&amp;$P908&amp;"|"&amp;TEXT($H908,"yyyy-mm-dd"))</f>
        <v/>
      </c>
      <c r="T908" s="1" t="str">
        <f aca="false">IF($S908="","",IF(COUNTIF($S$2:$S$2991,$S908)&gt;1,"DUPLICATE","OK"))</f>
        <v/>
      </c>
      <c r="U908" s="0" t="str">
        <f aca="false">IF($L908="","",IFERROR(VLOOKUP(--$L908,MM_Income!$Z$5:$AC$204,3,FALSE()),"UNMAPPED"))</f>
        <v/>
      </c>
    </row>
    <row r="909" customFormat="false" ht="13.5" hidden="false" customHeight="false" outlineLevel="0" collapsed="false">
      <c r="A909" s="1" t="str">
        <f aca="false">IF($C909="","",Controls!$B$7)</f>
        <v/>
      </c>
      <c r="B909" s="1" t="str">
        <f aca="false">IF($H909="","",YEAR($H909)&amp;"-Q"&amp;ROUNDUP(MONTH($H909)/3,0))</f>
        <v/>
      </c>
      <c r="S909" s="1" t="str">
        <f aca="false">IF($C909="","",$C909&amp;"|"&amp;$E909&amp;"|"&amp;$F909&amp;"|"&amp;$L909&amp;"|"&amp;$P909&amp;"|"&amp;TEXT($H909,"yyyy-mm-dd"))</f>
        <v/>
      </c>
      <c r="T909" s="1" t="str">
        <f aca="false">IF($S909="","",IF(COUNTIF($S$2:$S$2991,$S909)&gt;1,"DUPLICATE","OK"))</f>
        <v/>
      </c>
      <c r="U909" s="0" t="str">
        <f aca="false">IF($L909="","",IFERROR(VLOOKUP(--$L909,MM_Income!$Z$5:$AC$204,3,FALSE()),"UNMAPPED"))</f>
        <v/>
      </c>
    </row>
    <row r="910" customFormat="false" ht="13.5" hidden="false" customHeight="false" outlineLevel="0" collapsed="false">
      <c r="A910" s="1" t="str">
        <f aca="false">IF($C910="","",Controls!$B$7)</f>
        <v/>
      </c>
      <c r="B910" s="1" t="str">
        <f aca="false">IF($H910="","",YEAR($H910)&amp;"-Q"&amp;ROUNDUP(MONTH($H910)/3,0))</f>
        <v/>
      </c>
      <c r="S910" s="1" t="str">
        <f aca="false">IF($C910="","",$C910&amp;"|"&amp;$E910&amp;"|"&amp;$F910&amp;"|"&amp;$L910&amp;"|"&amp;$P910&amp;"|"&amp;TEXT($H910,"yyyy-mm-dd"))</f>
        <v/>
      </c>
      <c r="T910" s="1" t="str">
        <f aca="false">IF($S910="","",IF(COUNTIF($S$2:$S$2991,$S910)&gt;1,"DUPLICATE","OK"))</f>
        <v/>
      </c>
      <c r="U910" s="0" t="str">
        <f aca="false">IF($L910="","",IFERROR(VLOOKUP(--$L910,MM_Income!$Z$5:$AC$204,3,FALSE()),"UNMAPPED"))</f>
        <v/>
      </c>
    </row>
    <row r="911" customFormat="false" ht="13.5" hidden="false" customHeight="false" outlineLevel="0" collapsed="false">
      <c r="A911" s="1" t="str">
        <f aca="false">IF($C911="","",Controls!$B$7)</f>
        <v/>
      </c>
      <c r="B911" s="1" t="str">
        <f aca="false">IF($H911="","",YEAR($H911)&amp;"-Q"&amp;ROUNDUP(MONTH($H911)/3,0))</f>
        <v/>
      </c>
      <c r="S911" s="1" t="str">
        <f aca="false">IF($C911="","",$C911&amp;"|"&amp;$E911&amp;"|"&amp;$F911&amp;"|"&amp;$L911&amp;"|"&amp;$P911&amp;"|"&amp;TEXT($H911,"yyyy-mm-dd"))</f>
        <v/>
      </c>
      <c r="T911" s="1" t="str">
        <f aca="false">IF($S911="","",IF(COUNTIF($S$2:$S$2991,$S911)&gt;1,"DUPLICATE","OK"))</f>
        <v/>
      </c>
      <c r="U911" s="0" t="str">
        <f aca="false">IF($L911="","",IFERROR(VLOOKUP(--$L911,MM_Income!$Z$5:$AC$204,3,FALSE()),"UNMAPPED"))</f>
        <v/>
      </c>
    </row>
    <row r="912" customFormat="false" ht="13.5" hidden="false" customHeight="false" outlineLevel="0" collapsed="false">
      <c r="A912" s="1" t="str">
        <f aca="false">IF($C912="","",Controls!$B$7)</f>
        <v/>
      </c>
      <c r="B912" s="1" t="str">
        <f aca="false">IF($H912="","",YEAR($H912)&amp;"-Q"&amp;ROUNDUP(MONTH($H912)/3,0))</f>
        <v/>
      </c>
      <c r="S912" s="1" t="str">
        <f aca="false">IF($C912="","",$C912&amp;"|"&amp;$E912&amp;"|"&amp;$F912&amp;"|"&amp;$L912&amp;"|"&amp;$P912&amp;"|"&amp;TEXT($H912,"yyyy-mm-dd"))</f>
        <v/>
      </c>
      <c r="T912" s="1" t="str">
        <f aca="false">IF($S912="","",IF(COUNTIF($S$2:$S$2991,$S912)&gt;1,"DUPLICATE","OK"))</f>
        <v/>
      </c>
      <c r="U912" s="0" t="str">
        <f aca="false">IF($L912="","",IFERROR(VLOOKUP(--$L912,MM_Income!$Z$5:$AC$204,3,FALSE()),"UNMAPPED"))</f>
        <v/>
      </c>
    </row>
    <row r="913" customFormat="false" ht="13.5" hidden="false" customHeight="false" outlineLevel="0" collapsed="false">
      <c r="A913" s="1" t="str">
        <f aca="false">IF($C913="","",Controls!$B$7)</f>
        <v/>
      </c>
      <c r="B913" s="1" t="str">
        <f aca="false">IF($H913="","",YEAR($H913)&amp;"-Q"&amp;ROUNDUP(MONTH($H913)/3,0))</f>
        <v/>
      </c>
      <c r="S913" s="1" t="str">
        <f aca="false">IF($C913="","",$C913&amp;"|"&amp;$E913&amp;"|"&amp;$F913&amp;"|"&amp;$L913&amp;"|"&amp;$P913&amp;"|"&amp;TEXT($H913,"yyyy-mm-dd"))</f>
        <v/>
      </c>
      <c r="T913" s="1" t="str">
        <f aca="false">IF($S913="","",IF(COUNTIF($S$2:$S$2991,$S913)&gt;1,"DUPLICATE","OK"))</f>
        <v/>
      </c>
      <c r="U913" s="0" t="str">
        <f aca="false">IF($L913="","",IFERROR(VLOOKUP(--$L913,MM_Income!$Z$5:$AC$204,3,FALSE()),"UNMAPPED"))</f>
        <v/>
      </c>
    </row>
    <row r="914" customFormat="false" ht="13.5" hidden="false" customHeight="false" outlineLevel="0" collapsed="false">
      <c r="A914" s="1" t="str">
        <f aca="false">IF($C914="","",Controls!$B$7)</f>
        <v/>
      </c>
      <c r="B914" s="1" t="str">
        <f aca="false">IF($H914="","",YEAR($H914)&amp;"-Q"&amp;ROUNDUP(MONTH($H914)/3,0))</f>
        <v/>
      </c>
      <c r="S914" s="1" t="str">
        <f aca="false">IF($C914="","",$C914&amp;"|"&amp;$E914&amp;"|"&amp;$F914&amp;"|"&amp;$L914&amp;"|"&amp;$P914&amp;"|"&amp;TEXT($H914,"yyyy-mm-dd"))</f>
        <v/>
      </c>
      <c r="T914" s="1" t="str">
        <f aca="false">IF($S914="","",IF(COUNTIF($S$2:$S$2991,$S914)&gt;1,"DUPLICATE","OK"))</f>
        <v/>
      </c>
      <c r="U914" s="0" t="str">
        <f aca="false">IF($L914="","",IFERROR(VLOOKUP(--$L914,MM_Income!$Z$5:$AC$204,3,FALSE()),"UNMAPPED"))</f>
        <v/>
      </c>
    </row>
    <row r="915" customFormat="false" ht="13.5" hidden="false" customHeight="false" outlineLevel="0" collapsed="false">
      <c r="A915" s="1" t="str">
        <f aca="false">IF($C915="","",Controls!$B$7)</f>
        <v/>
      </c>
      <c r="B915" s="1" t="str">
        <f aca="false">IF($H915="","",YEAR($H915)&amp;"-Q"&amp;ROUNDUP(MONTH($H915)/3,0))</f>
        <v/>
      </c>
      <c r="S915" s="1" t="str">
        <f aca="false">IF($C915="","",$C915&amp;"|"&amp;$E915&amp;"|"&amp;$F915&amp;"|"&amp;$L915&amp;"|"&amp;$P915&amp;"|"&amp;TEXT($H915,"yyyy-mm-dd"))</f>
        <v/>
      </c>
      <c r="T915" s="1" t="str">
        <f aca="false">IF($S915="","",IF(COUNTIF($S$2:$S$2991,$S915)&gt;1,"DUPLICATE","OK"))</f>
        <v/>
      </c>
      <c r="U915" s="0" t="str">
        <f aca="false">IF($L915="","",IFERROR(VLOOKUP(--$L915,MM_Income!$Z$5:$AC$204,3,FALSE()),"UNMAPPED"))</f>
        <v/>
      </c>
    </row>
    <row r="916" customFormat="false" ht="13.5" hidden="false" customHeight="false" outlineLevel="0" collapsed="false">
      <c r="A916" s="1" t="str">
        <f aca="false">IF($C916="","",Controls!$B$7)</f>
        <v/>
      </c>
      <c r="B916" s="1" t="str">
        <f aca="false">IF($H916="","",YEAR($H916)&amp;"-Q"&amp;ROUNDUP(MONTH($H916)/3,0))</f>
        <v/>
      </c>
      <c r="S916" s="1" t="str">
        <f aca="false">IF($C916="","",$C916&amp;"|"&amp;$E916&amp;"|"&amp;$F916&amp;"|"&amp;$L916&amp;"|"&amp;$P916&amp;"|"&amp;TEXT($H916,"yyyy-mm-dd"))</f>
        <v/>
      </c>
      <c r="T916" s="1" t="str">
        <f aca="false">IF($S916="","",IF(COUNTIF($S$2:$S$2991,$S916)&gt;1,"DUPLICATE","OK"))</f>
        <v/>
      </c>
      <c r="U916" s="0" t="str">
        <f aca="false">IF($L916="","",IFERROR(VLOOKUP(--$L916,MM_Income!$Z$5:$AC$204,3,FALSE()),"UNMAPPED"))</f>
        <v/>
      </c>
    </row>
    <row r="917" customFormat="false" ht="13.5" hidden="false" customHeight="false" outlineLevel="0" collapsed="false">
      <c r="A917" s="1" t="str">
        <f aca="false">IF($C917="","",Controls!$B$7)</f>
        <v/>
      </c>
      <c r="B917" s="1" t="str">
        <f aca="false">IF($H917="","",YEAR($H917)&amp;"-Q"&amp;ROUNDUP(MONTH($H917)/3,0))</f>
        <v/>
      </c>
      <c r="S917" s="1" t="str">
        <f aca="false">IF($C917="","",$C917&amp;"|"&amp;$E917&amp;"|"&amp;$F917&amp;"|"&amp;$L917&amp;"|"&amp;$P917&amp;"|"&amp;TEXT($H917,"yyyy-mm-dd"))</f>
        <v/>
      </c>
      <c r="T917" s="1" t="str">
        <f aca="false">IF($S917="","",IF(COUNTIF($S$2:$S$2991,$S917)&gt;1,"DUPLICATE","OK"))</f>
        <v/>
      </c>
      <c r="U917" s="0" t="str">
        <f aca="false">IF($L917="","",IFERROR(VLOOKUP(--$L917,MM_Income!$Z$5:$AC$204,3,FALSE()),"UNMAPPED"))</f>
        <v/>
      </c>
    </row>
    <row r="918" customFormat="false" ht="13.5" hidden="false" customHeight="false" outlineLevel="0" collapsed="false">
      <c r="A918" s="1" t="str">
        <f aca="false">IF($C918="","",Controls!$B$7)</f>
        <v/>
      </c>
      <c r="B918" s="1" t="str">
        <f aca="false">IF($H918="","",YEAR($H918)&amp;"-Q"&amp;ROUNDUP(MONTH($H918)/3,0))</f>
        <v/>
      </c>
      <c r="S918" s="1" t="str">
        <f aca="false">IF($C918="","",$C918&amp;"|"&amp;$E918&amp;"|"&amp;$F918&amp;"|"&amp;$L918&amp;"|"&amp;$P918&amp;"|"&amp;TEXT($H918,"yyyy-mm-dd"))</f>
        <v/>
      </c>
      <c r="T918" s="1" t="str">
        <f aca="false">IF($S918="","",IF(COUNTIF($S$2:$S$2991,$S918)&gt;1,"DUPLICATE","OK"))</f>
        <v/>
      </c>
      <c r="U918" s="0" t="str">
        <f aca="false">IF($L918="","",IFERROR(VLOOKUP(--$L918,MM_Income!$Z$5:$AC$204,3,FALSE()),"UNMAPPED"))</f>
        <v/>
      </c>
    </row>
    <row r="919" customFormat="false" ht="13.5" hidden="false" customHeight="false" outlineLevel="0" collapsed="false">
      <c r="A919" s="1" t="str">
        <f aca="false">IF($C919="","",Controls!$B$7)</f>
        <v/>
      </c>
      <c r="B919" s="1" t="str">
        <f aca="false">IF($H919="","",YEAR($H919)&amp;"-Q"&amp;ROUNDUP(MONTH($H919)/3,0))</f>
        <v/>
      </c>
      <c r="S919" s="1" t="str">
        <f aca="false">IF($C919="","",$C919&amp;"|"&amp;$E919&amp;"|"&amp;$F919&amp;"|"&amp;$L919&amp;"|"&amp;$P919&amp;"|"&amp;TEXT($H919,"yyyy-mm-dd"))</f>
        <v/>
      </c>
      <c r="T919" s="1" t="str">
        <f aca="false">IF($S919="","",IF(COUNTIF($S$2:$S$2991,$S919)&gt;1,"DUPLICATE","OK"))</f>
        <v/>
      </c>
      <c r="U919" s="0" t="str">
        <f aca="false">IF($L919="","",IFERROR(VLOOKUP(--$L919,MM_Income!$Z$5:$AC$204,3,FALSE()),"UNMAPPED"))</f>
        <v/>
      </c>
    </row>
    <row r="920" customFormat="false" ht="13.5" hidden="false" customHeight="false" outlineLevel="0" collapsed="false">
      <c r="A920" s="1" t="str">
        <f aca="false">IF($C920="","",Controls!$B$7)</f>
        <v/>
      </c>
      <c r="B920" s="1" t="str">
        <f aca="false">IF($H920="","",YEAR($H920)&amp;"-Q"&amp;ROUNDUP(MONTH($H920)/3,0))</f>
        <v/>
      </c>
      <c r="S920" s="1" t="str">
        <f aca="false">IF($C920="","",$C920&amp;"|"&amp;$E920&amp;"|"&amp;$F920&amp;"|"&amp;$L920&amp;"|"&amp;$P920&amp;"|"&amp;TEXT($H920,"yyyy-mm-dd"))</f>
        <v/>
      </c>
      <c r="T920" s="1" t="str">
        <f aca="false">IF($S920="","",IF(COUNTIF($S$2:$S$2991,$S920)&gt;1,"DUPLICATE","OK"))</f>
        <v/>
      </c>
      <c r="U920" s="0" t="str">
        <f aca="false">IF($L920="","",IFERROR(VLOOKUP(--$L920,MM_Income!$Z$5:$AC$204,3,FALSE()),"UNMAPPED"))</f>
        <v/>
      </c>
    </row>
    <row r="921" customFormat="false" ht="13.5" hidden="false" customHeight="false" outlineLevel="0" collapsed="false">
      <c r="A921" s="1" t="str">
        <f aca="false">IF($C921="","",Controls!$B$7)</f>
        <v/>
      </c>
      <c r="B921" s="1" t="str">
        <f aca="false">IF($H921="","",YEAR($H921)&amp;"-Q"&amp;ROUNDUP(MONTH($H921)/3,0))</f>
        <v/>
      </c>
      <c r="S921" s="1" t="str">
        <f aca="false">IF($C921="","",$C921&amp;"|"&amp;$E921&amp;"|"&amp;$F921&amp;"|"&amp;$L921&amp;"|"&amp;$P921&amp;"|"&amp;TEXT($H921,"yyyy-mm-dd"))</f>
        <v/>
      </c>
      <c r="T921" s="1" t="str">
        <f aca="false">IF($S921="","",IF(COUNTIF($S$2:$S$2991,$S921)&gt;1,"DUPLICATE","OK"))</f>
        <v/>
      </c>
      <c r="U921" s="0" t="str">
        <f aca="false">IF($L921="","",IFERROR(VLOOKUP(--$L921,MM_Income!$Z$5:$AC$204,3,FALSE()),"UNMAPPED"))</f>
        <v/>
      </c>
    </row>
    <row r="922" customFormat="false" ht="13.5" hidden="false" customHeight="false" outlineLevel="0" collapsed="false">
      <c r="A922" s="1" t="str">
        <f aca="false">IF($C922="","",Controls!$B$7)</f>
        <v/>
      </c>
      <c r="B922" s="1" t="str">
        <f aca="false">IF($H922="","",YEAR($H922)&amp;"-Q"&amp;ROUNDUP(MONTH($H922)/3,0))</f>
        <v/>
      </c>
      <c r="S922" s="1" t="str">
        <f aca="false">IF($C922="","",$C922&amp;"|"&amp;$E922&amp;"|"&amp;$F922&amp;"|"&amp;$L922&amp;"|"&amp;$P922&amp;"|"&amp;TEXT($H922,"yyyy-mm-dd"))</f>
        <v/>
      </c>
      <c r="T922" s="1" t="str">
        <f aca="false">IF($S922="","",IF(COUNTIF($S$2:$S$2991,$S922)&gt;1,"DUPLICATE","OK"))</f>
        <v/>
      </c>
      <c r="U922" s="0" t="str">
        <f aca="false">IF($L922="","",IFERROR(VLOOKUP(--$L922,MM_Income!$Z$5:$AC$204,3,FALSE()),"UNMAPPED"))</f>
        <v/>
      </c>
    </row>
    <row r="923" customFormat="false" ht="13.5" hidden="false" customHeight="false" outlineLevel="0" collapsed="false">
      <c r="A923" s="1" t="str">
        <f aca="false">IF($C923="","",Controls!$B$7)</f>
        <v/>
      </c>
      <c r="B923" s="1" t="str">
        <f aca="false">IF($H923="","",YEAR($H923)&amp;"-Q"&amp;ROUNDUP(MONTH($H923)/3,0))</f>
        <v/>
      </c>
      <c r="S923" s="1" t="str">
        <f aca="false">IF($C923="","",$C923&amp;"|"&amp;$E923&amp;"|"&amp;$F923&amp;"|"&amp;$L923&amp;"|"&amp;$P923&amp;"|"&amp;TEXT($H923,"yyyy-mm-dd"))</f>
        <v/>
      </c>
      <c r="T923" s="1" t="str">
        <f aca="false">IF($S923="","",IF(COUNTIF($S$2:$S$2991,$S923)&gt;1,"DUPLICATE","OK"))</f>
        <v/>
      </c>
      <c r="U923" s="0" t="str">
        <f aca="false">IF($L923="","",IFERROR(VLOOKUP(--$L923,MM_Income!$Z$5:$AC$204,3,FALSE()),"UNMAPPED"))</f>
        <v/>
      </c>
    </row>
    <row r="924" customFormat="false" ht="13.5" hidden="false" customHeight="false" outlineLevel="0" collapsed="false">
      <c r="A924" s="1" t="str">
        <f aca="false">IF($C924="","",Controls!$B$7)</f>
        <v/>
      </c>
      <c r="B924" s="1" t="str">
        <f aca="false">IF($H924="","",YEAR($H924)&amp;"-Q"&amp;ROUNDUP(MONTH($H924)/3,0))</f>
        <v/>
      </c>
      <c r="S924" s="1" t="str">
        <f aca="false">IF($C924="","",$C924&amp;"|"&amp;$E924&amp;"|"&amp;$F924&amp;"|"&amp;$L924&amp;"|"&amp;$P924&amp;"|"&amp;TEXT($H924,"yyyy-mm-dd"))</f>
        <v/>
      </c>
      <c r="T924" s="1" t="str">
        <f aca="false">IF($S924="","",IF(COUNTIF($S$2:$S$2991,$S924)&gt;1,"DUPLICATE","OK"))</f>
        <v/>
      </c>
      <c r="U924" s="0" t="str">
        <f aca="false">IF($L924="","",IFERROR(VLOOKUP(--$L924,MM_Income!$Z$5:$AC$204,3,FALSE()),"UNMAPPED"))</f>
        <v/>
      </c>
    </row>
    <row r="925" customFormat="false" ht="13.5" hidden="false" customHeight="false" outlineLevel="0" collapsed="false">
      <c r="A925" s="1" t="str">
        <f aca="false">IF($C925="","",Controls!$B$7)</f>
        <v/>
      </c>
      <c r="B925" s="1" t="str">
        <f aca="false">IF($H925="","",YEAR($H925)&amp;"-Q"&amp;ROUNDUP(MONTH($H925)/3,0))</f>
        <v/>
      </c>
      <c r="S925" s="1" t="str">
        <f aca="false">IF($C925="","",$C925&amp;"|"&amp;$E925&amp;"|"&amp;$F925&amp;"|"&amp;$L925&amp;"|"&amp;$P925&amp;"|"&amp;TEXT($H925,"yyyy-mm-dd"))</f>
        <v/>
      </c>
      <c r="T925" s="1" t="str">
        <f aca="false">IF($S925="","",IF(COUNTIF($S$2:$S$2991,$S925)&gt;1,"DUPLICATE","OK"))</f>
        <v/>
      </c>
      <c r="U925" s="0" t="str">
        <f aca="false">IF($L925="","",IFERROR(VLOOKUP(--$L925,MM_Income!$Z$5:$AC$204,3,FALSE()),"UNMAPPED"))</f>
        <v/>
      </c>
    </row>
    <row r="926" customFormat="false" ht="13.5" hidden="false" customHeight="false" outlineLevel="0" collapsed="false">
      <c r="A926" s="1" t="str">
        <f aca="false">IF($C926="","",Controls!$B$7)</f>
        <v/>
      </c>
      <c r="B926" s="1" t="str">
        <f aca="false">IF($H926="","",YEAR($H926)&amp;"-Q"&amp;ROUNDUP(MONTH($H926)/3,0))</f>
        <v/>
      </c>
      <c r="S926" s="1" t="str">
        <f aca="false">IF($C926="","",$C926&amp;"|"&amp;$E926&amp;"|"&amp;$F926&amp;"|"&amp;$L926&amp;"|"&amp;$P926&amp;"|"&amp;TEXT($H926,"yyyy-mm-dd"))</f>
        <v/>
      </c>
      <c r="T926" s="1" t="str">
        <f aca="false">IF($S926="","",IF(COUNTIF($S$2:$S$2991,$S926)&gt;1,"DUPLICATE","OK"))</f>
        <v/>
      </c>
      <c r="U926" s="0" t="str">
        <f aca="false">IF($L926="","",IFERROR(VLOOKUP(--$L926,MM_Income!$Z$5:$AC$204,3,FALSE()),"UNMAPPED"))</f>
        <v/>
      </c>
    </row>
    <row r="927" customFormat="false" ht="13.5" hidden="false" customHeight="false" outlineLevel="0" collapsed="false">
      <c r="A927" s="1" t="str">
        <f aca="false">IF($C927="","",Controls!$B$7)</f>
        <v/>
      </c>
      <c r="B927" s="1" t="str">
        <f aca="false">IF($H927="","",YEAR($H927)&amp;"-Q"&amp;ROUNDUP(MONTH($H927)/3,0))</f>
        <v/>
      </c>
      <c r="S927" s="1" t="str">
        <f aca="false">IF($C927="","",$C927&amp;"|"&amp;$E927&amp;"|"&amp;$F927&amp;"|"&amp;$L927&amp;"|"&amp;$P927&amp;"|"&amp;TEXT($H927,"yyyy-mm-dd"))</f>
        <v/>
      </c>
      <c r="T927" s="1" t="str">
        <f aca="false">IF($S927="","",IF(COUNTIF($S$2:$S$2991,$S927)&gt;1,"DUPLICATE","OK"))</f>
        <v/>
      </c>
      <c r="U927" s="0" t="str">
        <f aca="false">IF($L927="","",IFERROR(VLOOKUP(--$L927,MM_Income!$Z$5:$AC$204,3,FALSE()),"UNMAPPED"))</f>
        <v/>
      </c>
    </row>
    <row r="928" customFormat="false" ht="13.5" hidden="false" customHeight="false" outlineLevel="0" collapsed="false">
      <c r="A928" s="1" t="str">
        <f aca="false">IF($C928="","",Controls!$B$7)</f>
        <v/>
      </c>
      <c r="B928" s="1" t="str">
        <f aca="false">IF($H928="","",YEAR($H928)&amp;"-Q"&amp;ROUNDUP(MONTH($H928)/3,0))</f>
        <v/>
      </c>
      <c r="S928" s="1" t="str">
        <f aca="false">IF($C928="","",$C928&amp;"|"&amp;$E928&amp;"|"&amp;$F928&amp;"|"&amp;$L928&amp;"|"&amp;$P928&amp;"|"&amp;TEXT($H928,"yyyy-mm-dd"))</f>
        <v/>
      </c>
      <c r="T928" s="1" t="str">
        <f aca="false">IF($S928="","",IF(COUNTIF($S$2:$S$2991,$S928)&gt;1,"DUPLICATE","OK"))</f>
        <v/>
      </c>
      <c r="U928" s="0" t="str">
        <f aca="false">IF($L928="","",IFERROR(VLOOKUP(--$L928,MM_Income!$Z$5:$AC$204,3,FALSE()),"UNMAPPED"))</f>
        <v/>
      </c>
    </row>
    <row r="929" customFormat="false" ht="13.5" hidden="false" customHeight="false" outlineLevel="0" collapsed="false">
      <c r="A929" s="1" t="str">
        <f aca="false">IF($C929="","",Controls!$B$7)</f>
        <v/>
      </c>
      <c r="B929" s="1" t="str">
        <f aca="false">IF($H929="","",YEAR($H929)&amp;"-Q"&amp;ROUNDUP(MONTH($H929)/3,0))</f>
        <v/>
      </c>
      <c r="S929" s="1" t="str">
        <f aca="false">IF($C929="","",$C929&amp;"|"&amp;$E929&amp;"|"&amp;$F929&amp;"|"&amp;$L929&amp;"|"&amp;$P929&amp;"|"&amp;TEXT($H929,"yyyy-mm-dd"))</f>
        <v/>
      </c>
      <c r="T929" s="1" t="str">
        <f aca="false">IF($S929="","",IF(COUNTIF($S$2:$S$2991,$S929)&gt;1,"DUPLICATE","OK"))</f>
        <v/>
      </c>
      <c r="U929" s="0" t="str">
        <f aca="false">IF($L929="","",IFERROR(VLOOKUP(--$L929,MM_Income!$Z$5:$AC$204,3,FALSE()),"UNMAPPED"))</f>
        <v/>
      </c>
    </row>
    <row r="930" customFormat="false" ht="13.5" hidden="false" customHeight="false" outlineLevel="0" collapsed="false">
      <c r="A930" s="1" t="str">
        <f aca="false">IF($C930="","",Controls!$B$7)</f>
        <v/>
      </c>
      <c r="B930" s="1" t="str">
        <f aca="false">IF($H930="","",YEAR($H930)&amp;"-Q"&amp;ROUNDUP(MONTH($H930)/3,0))</f>
        <v/>
      </c>
      <c r="S930" s="1" t="str">
        <f aca="false">IF($C930="","",$C930&amp;"|"&amp;$E930&amp;"|"&amp;$F930&amp;"|"&amp;$L930&amp;"|"&amp;$P930&amp;"|"&amp;TEXT($H930,"yyyy-mm-dd"))</f>
        <v/>
      </c>
      <c r="T930" s="1" t="str">
        <f aca="false">IF($S930="","",IF(COUNTIF($S$2:$S$2991,$S930)&gt;1,"DUPLICATE","OK"))</f>
        <v/>
      </c>
      <c r="U930" s="0" t="str">
        <f aca="false">IF($L930="","",IFERROR(VLOOKUP(--$L930,MM_Income!$Z$5:$AC$204,3,FALSE()),"UNMAPPED"))</f>
        <v/>
      </c>
    </row>
    <row r="931" customFormat="false" ht="13.5" hidden="false" customHeight="false" outlineLevel="0" collapsed="false">
      <c r="A931" s="1" t="str">
        <f aca="false">IF($C931="","",Controls!$B$7)</f>
        <v/>
      </c>
      <c r="B931" s="1" t="str">
        <f aca="false">IF($H931="","",YEAR($H931)&amp;"-Q"&amp;ROUNDUP(MONTH($H931)/3,0))</f>
        <v/>
      </c>
      <c r="S931" s="1" t="str">
        <f aca="false">IF($C931="","",$C931&amp;"|"&amp;$E931&amp;"|"&amp;$F931&amp;"|"&amp;$L931&amp;"|"&amp;$P931&amp;"|"&amp;TEXT($H931,"yyyy-mm-dd"))</f>
        <v/>
      </c>
      <c r="T931" s="1" t="str">
        <f aca="false">IF($S931="","",IF(COUNTIF($S$2:$S$2991,$S931)&gt;1,"DUPLICATE","OK"))</f>
        <v/>
      </c>
      <c r="U931" s="0" t="str">
        <f aca="false">IF($L931="","",IFERROR(VLOOKUP(--$L931,MM_Income!$Z$5:$AC$204,3,FALSE()),"UNMAPPED"))</f>
        <v/>
      </c>
    </row>
    <row r="932" customFormat="false" ht="13.5" hidden="false" customHeight="false" outlineLevel="0" collapsed="false">
      <c r="A932" s="1" t="str">
        <f aca="false">IF($C932="","",Controls!$B$7)</f>
        <v/>
      </c>
      <c r="B932" s="1" t="str">
        <f aca="false">IF($H932="","",YEAR($H932)&amp;"-Q"&amp;ROUNDUP(MONTH($H932)/3,0))</f>
        <v/>
      </c>
      <c r="S932" s="1" t="str">
        <f aca="false">IF($C932="","",$C932&amp;"|"&amp;$E932&amp;"|"&amp;$F932&amp;"|"&amp;$L932&amp;"|"&amp;$P932&amp;"|"&amp;TEXT($H932,"yyyy-mm-dd"))</f>
        <v/>
      </c>
      <c r="T932" s="1" t="str">
        <f aca="false">IF($S932="","",IF(COUNTIF($S$2:$S$2991,$S932)&gt;1,"DUPLICATE","OK"))</f>
        <v/>
      </c>
      <c r="U932" s="0" t="str">
        <f aca="false">IF($L932="","",IFERROR(VLOOKUP(--$L932,MM_Income!$Z$5:$AC$204,3,FALSE()),"UNMAPPED"))</f>
        <v/>
      </c>
    </row>
    <row r="933" customFormat="false" ht="13.5" hidden="false" customHeight="false" outlineLevel="0" collapsed="false">
      <c r="A933" s="1" t="str">
        <f aca="false">IF($C933="","",Controls!$B$7)</f>
        <v/>
      </c>
      <c r="B933" s="1" t="str">
        <f aca="false">IF($H933="","",YEAR($H933)&amp;"-Q"&amp;ROUNDUP(MONTH($H933)/3,0))</f>
        <v/>
      </c>
      <c r="S933" s="1" t="str">
        <f aca="false">IF($C933="","",$C933&amp;"|"&amp;$E933&amp;"|"&amp;$F933&amp;"|"&amp;$L933&amp;"|"&amp;$P933&amp;"|"&amp;TEXT($H933,"yyyy-mm-dd"))</f>
        <v/>
      </c>
      <c r="T933" s="1" t="str">
        <f aca="false">IF($S933="","",IF(COUNTIF($S$2:$S$2991,$S933)&gt;1,"DUPLICATE","OK"))</f>
        <v/>
      </c>
      <c r="U933" s="0" t="str">
        <f aca="false">IF($L933="","",IFERROR(VLOOKUP(--$L933,MM_Income!$Z$5:$AC$204,3,FALSE()),"UNMAPPED"))</f>
        <v/>
      </c>
    </row>
    <row r="934" customFormat="false" ht="13.5" hidden="false" customHeight="false" outlineLevel="0" collapsed="false">
      <c r="A934" s="1" t="str">
        <f aca="false">IF($C934="","",Controls!$B$7)</f>
        <v/>
      </c>
      <c r="B934" s="1" t="str">
        <f aca="false">IF($H934="","",YEAR($H934)&amp;"-Q"&amp;ROUNDUP(MONTH($H934)/3,0))</f>
        <v/>
      </c>
      <c r="S934" s="1" t="str">
        <f aca="false">IF($C934="","",$C934&amp;"|"&amp;$E934&amp;"|"&amp;$F934&amp;"|"&amp;$L934&amp;"|"&amp;$P934&amp;"|"&amp;TEXT($H934,"yyyy-mm-dd"))</f>
        <v/>
      </c>
      <c r="T934" s="1" t="str">
        <f aca="false">IF($S934="","",IF(COUNTIF($S$2:$S$2991,$S934)&gt;1,"DUPLICATE","OK"))</f>
        <v/>
      </c>
      <c r="U934" s="0" t="str">
        <f aca="false">IF($L934="","",IFERROR(VLOOKUP(--$L934,MM_Income!$Z$5:$AC$204,3,FALSE()),"UNMAPPED"))</f>
        <v/>
      </c>
    </row>
    <row r="935" customFormat="false" ht="13.5" hidden="false" customHeight="false" outlineLevel="0" collapsed="false">
      <c r="A935" s="1" t="str">
        <f aca="false">IF($C935="","",Controls!$B$7)</f>
        <v/>
      </c>
      <c r="B935" s="1" t="str">
        <f aca="false">IF($H935="","",YEAR($H935)&amp;"-Q"&amp;ROUNDUP(MONTH($H935)/3,0))</f>
        <v/>
      </c>
      <c r="S935" s="1" t="str">
        <f aca="false">IF($C935="","",$C935&amp;"|"&amp;$E935&amp;"|"&amp;$F935&amp;"|"&amp;$L935&amp;"|"&amp;$P935&amp;"|"&amp;TEXT($H935,"yyyy-mm-dd"))</f>
        <v/>
      </c>
      <c r="T935" s="1" t="str">
        <f aca="false">IF($S935="","",IF(COUNTIF($S$2:$S$2991,$S935)&gt;1,"DUPLICATE","OK"))</f>
        <v/>
      </c>
      <c r="U935" s="0" t="str">
        <f aca="false">IF($L935="","",IFERROR(VLOOKUP(--$L935,MM_Income!$Z$5:$AC$204,3,FALSE()),"UNMAPPED"))</f>
        <v/>
      </c>
    </row>
    <row r="936" customFormat="false" ht="13.5" hidden="false" customHeight="false" outlineLevel="0" collapsed="false">
      <c r="A936" s="1" t="str">
        <f aca="false">IF($C936="","",Controls!$B$7)</f>
        <v/>
      </c>
      <c r="B936" s="1" t="str">
        <f aca="false">IF($H936="","",YEAR($H936)&amp;"-Q"&amp;ROUNDUP(MONTH($H936)/3,0))</f>
        <v/>
      </c>
      <c r="S936" s="1" t="str">
        <f aca="false">IF($C936="","",$C936&amp;"|"&amp;$E936&amp;"|"&amp;$F936&amp;"|"&amp;$L936&amp;"|"&amp;$P936&amp;"|"&amp;TEXT($H936,"yyyy-mm-dd"))</f>
        <v/>
      </c>
      <c r="T936" s="1" t="str">
        <f aca="false">IF($S936="","",IF(COUNTIF($S$2:$S$2991,$S936)&gt;1,"DUPLICATE","OK"))</f>
        <v/>
      </c>
      <c r="U936" s="0" t="str">
        <f aca="false">IF($L936="","",IFERROR(VLOOKUP(--$L936,MM_Income!$Z$5:$AC$204,3,FALSE()),"UNMAPPED"))</f>
        <v/>
      </c>
    </row>
    <row r="937" customFormat="false" ht="13.5" hidden="false" customHeight="false" outlineLevel="0" collapsed="false">
      <c r="A937" s="1" t="str">
        <f aca="false">IF($C937="","",Controls!$B$7)</f>
        <v/>
      </c>
      <c r="B937" s="1" t="str">
        <f aca="false">IF($H937="","",YEAR($H937)&amp;"-Q"&amp;ROUNDUP(MONTH($H937)/3,0))</f>
        <v/>
      </c>
      <c r="S937" s="1" t="str">
        <f aca="false">IF($C937="","",$C937&amp;"|"&amp;$E937&amp;"|"&amp;$F937&amp;"|"&amp;$L937&amp;"|"&amp;$P937&amp;"|"&amp;TEXT($H937,"yyyy-mm-dd"))</f>
        <v/>
      </c>
      <c r="T937" s="1" t="str">
        <f aca="false">IF($S937="","",IF(COUNTIF($S$2:$S$2991,$S937)&gt;1,"DUPLICATE","OK"))</f>
        <v/>
      </c>
      <c r="U937" s="0" t="str">
        <f aca="false">IF($L937="","",IFERROR(VLOOKUP(--$L937,MM_Income!$Z$5:$AC$204,3,FALSE()),"UNMAPPED"))</f>
        <v/>
      </c>
    </row>
    <row r="938" customFormat="false" ht="13.5" hidden="false" customHeight="false" outlineLevel="0" collapsed="false">
      <c r="A938" s="1" t="str">
        <f aca="false">IF($C938="","",Controls!$B$7)</f>
        <v/>
      </c>
      <c r="B938" s="1" t="str">
        <f aca="false">IF($H938="","",YEAR($H938)&amp;"-Q"&amp;ROUNDUP(MONTH($H938)/3,0))</f>
        <v/>
      </c>
      <c r="S938" s="1" t="str">
        <f aca="false">IF($C938="","",$C938&amp;"|"&amp;$E938&amp;"|"&amp;$F938&amp;"|"&amp;$L938&amp;"|"&amp;$P938&amp;"|"&amp;TEXT($H938,"yyyy-mm-dd"))</f>
        <v/>
      </c>
      <c r="T938" s="1" t="str">
        <f aca="false">IF($S938="","",IF(COUNTIF($S$2:$S$2991,$S938)&gt;1,"DUPLICATE","OK"))</f>
        <v/>
      </c>
      <c r="U938" s="0" t="str">
        <f aca="false">IF($L938="","",IFERROR(VLOOKUP(--$L938,MM_Income!$Z$5:$AC$204,3,FALSE()),"UNMAPPED"))</f>
        <v/>
      </c>
    </row>
    <row r="939" customFormat="false" ht="13.5" hidden="false" customHeight="false" outlineLevel="0" collapsed="false">
      <c r="A939" s="1" t="str">
        <f aca="false">IF($C939="","",Controls!$B$7)</f>
        <v/>
      </c>
      <c r="B939" s="1" t="str">
        <f aca="false">IF($H939="","",YEAR($H939)&amp;"-Q"&amp;ROUNDUP(MONTH($H939)/3,0))</f>
        <v/>
      </c>
      <c r="S939" s="1" t="str">
        <f aca="false">IF($C939="","",$C939&amp;"|"&amp;$E939&amp;"|"&amp;$F939&amp;"|"&amp;$L939&amp;"|"&amp;$P939&amp;"|"&amp;TEXT($H939,"yyyy-mm-dd"))</f>
        <v/>
      </c>
      <c r="T939" s="1" t="str">
        <f aca="false">IF($S939="","",IF(COUNTIF($S$2:$S$2991,$S939)&gt;1,"DUPLICATE","OK"))</f>
        <v/>
      </c>
      <c r="U939" s="0" t="str">
        <f aca="false">IF($L939="","",IFERROR(VLOOKUP(--$L939,MM_Income!$Z$5:$AC$204,3,FALSE()),"UNMAPPED"))</f>
        <v/>
      </c>
    </row>
    <row r="940" customFormat="false" ht="13.5" hidden="false" customHeight="false" outlineLevel="0" collapsed="false">
      <c r="A940" s="1" t="str">
        <f aca="false">IF($C940="","",Controls!$B$7)</f>
        <v/>
      </c>
      <c r="B940" s="1" t="str">
        <f aca="false">IF($H940="","",YEAR($H940)&amp;"-Q"&amp;ROUNDUP(MONTH($H940)/3,0))</f>
        <v/>
      </c>
      <c r="S940" s="1" t="str">
        <f aca="false">IF($C940="","",$C940&amp;"|"&amp;$E940&amp;"|"&amp;$F940&amp;"|"&amp;$L940&amp;"|"&amp;$P940&amp;"|"&amp;TEXT($H940,"yyyy-mm-dd"))</f>
        <v/>
      </c>
      <c r="T940" s="1" t="str">
        <f aca="false">IF($S940="","",IF(COUNTIF($S$2:$S$2991,$S940)&gt;1,"DUPLICATE","OK"))</f>
        <v/>
      </c>
      <c r="U940" s="0" t="str">
        <f aca="false">IF($L940="","",IFERROR(VLOOKUP(--$L940,MM_Income!$Z$5:$AC$204,3,FALSE()),"UNMAPPED"))</f>
        <v/>
      </c>
    </row>
    <row r="941" customFormat="false" ht="13.5" hidden="false" customHeight="false" outlineLevel="0" collapsed="false">
      <c r="A941" s="1" t="str">
        <f aca="false">IF($C941="","",Controls!$B$7)</f>
        <v/>
      </c>
      <c r="B941" s="1" t="str">
        <f aca="false">IF($H941="","",YEAR($H941)&amp;"-Q"&amp;ROUNDUP(MONTH($H941)/3,0))</f>
        <v/>
      </c>
      <c r="S941" s="1" t="str">
        <f aca="false">IF($C941="","",$C941&amp;"|"&amp;$E941&amp;"|"&amp;$F941&amp;"|"&amp;$L941&amp;"|"&amp;$P941&amp;"|"&amp;TEXT($H941,"yyyy-mm-dd"))</f>
        <v/>
      </c>
      <c r="T941" s="1" t="str">
        <f aca="false">IF($S941="","",IF(COUNTIF($S$2:$S$2991,$S941)&gt;1,"DUPLICATE","OK"))</f>
        <v/>
      </c>
      <c r="U941" s="0" t="str">
        <f aca="false">IF($L941="","",IFERROR(VLOOKUP(--$L941,MM_Income!$Z$5:$AC$204,3,FALSE()),"UNMAPPED"))</f>
        <v/>
      </c>
    </row>
    <row r="942" customFormat="false" ht="13.5" hidden="false" customHeight="false" outlineLevel="0" collapsed="false">
      <c r="A942" s="1" t="str">
        <f aca="false">IF($C942="","",Controls!$B$7)</f>
        <v/>
      </c>
      <c r="B942" s="1" t="str">
        <f aca="false">IF($H942="","",YEAR($H942)&amp;"-Q"&amp;ROUNDUP(MONTH($H942)/3,0))</f>
        <v/>
      </c>
      <c r="S942" s="1" t="str">
        <f aca="false">IF($C942="","",$C942&amp;"|"&amp;$E942&amp;"|"&amp;$F942&amp;"|"&amp;$L942&amp;"|"&amp;$P942&amp;"|"&amp;TEXT($H942,"yyyy-mm-dd"))</f>
        <v/>
      </c>
      <c r="T942" s="1" t="str">
        <f aca="false">IF($S942="","",IF(COUNTIF($S$2:$S$2991,$S942)&gt;1,"DUPLICATE","OK"))</f>
        <v/>
      </c>
      <c r="U942" s="0" t="str">
        <f aca="false">IF($L942="","",IFERROR(VLOOKUP(--$L942,MM_Income!$Z$5:$AC$204,3,FALSE()),"UNMAPPED"))</f>
        <v/>
      </c>
    </row>
    <row r="943" customFormat="false" ht="13.5" hidden="false" customHeight="false" outlineLevel="0" collapsed="false">
      <c r="A943" s="1" t="str">
        <f aca="false">IF($C943="","",Controls!$B$7)</f>
        <v/>
      </c>
      <c r="B943" s="1" t="str">
        <f aca="false">IF($H943="","",YEAR($H943)&amp;"-Q"&amp;ROUNDUP(MONTH($H943)/3,0))</f>
        <v/>
      </c>
      <c r="S943" s="1" t="str">
        <f aca="false">IF($C943="","",$C943&amp;"|"&amp;$E943&amp;"|"&amp;$F943&amp;"|"&amp;$L943&amp;"|"&amp;$P943&amp;"|"&amp;TEXT($H943,"yyyy-mm-dd"))</f>
        <v/>
      </c>
      <c r="T943" s="1" t="str">
        <f aca="false">IF($S943="","",IF(COUNTIF($S$2:$S$2991,$S943)&gt;1,"DUPLICATE","OK"))</f>
        <v/>
      </c>
      <c r="U943" s="0" t="str">
        <f aca="false">IF($L943="","",IFERROR(VLOOKUP(--$L943,MM_Income!$Z$5:$AC$204,3,FALSE()),"UNMAPPED"))</f>
        <v/>
      </c>
    </row>
    <row r="944" customFormat="false" ht="13.5" hidden="false" customHeight="false" outlineLevel="0" collapsed="false">
      <c r="A944" s="1" t="str">
        <f aca="false">IF($C944="","",Controls!$B$7)</f>
        <v/>
      </c>
      <c r="B944" s="1" t="str">
        <f aca="false">IF($H944="","",YEAR($H944)&amp;"-Q"&amp;ROUNDUP(MONTH($H944)/3,0))</f>
        <v/>
      </c>
      <c r="S944" s="1" t="str">
        <f aca="false">IF($C944="","",$C944&amp;"|"&amp;$E944&amp;"|"&amp;$F944&amp;"|"&amp;$L944&amp;"|"&amp;$P944&amp;"|"&amp;TEXT($H944,"yyyy-mm-dd"))</f>
        <v/>
      </c>
      <c r="T944" s="1" t="str">
        <f aca="false">IF($S944="","",IF(COUNTIF($S$2:$S$2991,$S944)&gt;1,"DUPLICATE","OK"))</f>
        <v/>
      </c>
      <c r="U944" s="0" t="str">
        <f aca="false">IF($L944="","",IFERROR(VLOOKUP(--$L944,MM_Income!$Z$5:$AC$204,3,FALSE()),"UNMAPPED"))</f>
        <v/>
      </c>
    </row>
    <row r="945" customFormat="false" ht="13.5" hidden="false" customHeight="false" outlineLevel="0" collapsed="false">
      <c r="A945" s="1" t="str">
        <f aca="false">IF($C945="","",Controls!$B$7)</f>
        <v/>
      </c>
      <c r="B945" s="1" t="str">
        <f aca="false">IF($H945="","",YEAR($H945)&amp;"-Q"&amp;ROUNDUP(MONTH($H945)/3,0))</f>
        <v/>
      </c>
      <c r="S945" s="1" t="str">
        <f aca="false">IF($C945="","",$C945&amp;"|"&amp;$E945&amp;"|"&amp;$F945&amp;"|"&amp;$L945&amp;"|"&amp;$P945&amp;"|"&amp;TEXT($H945,"yyyy-mm-dd"))</f>
        <v/>
      </c>
      <c r="T945" s="1" t="str">
        <f aca="false">IF($S945="","",IF(COUNTIF($S$2:$S$2991,$S945)&gt;1,"DUPLICATE","OK"))</f>
        <v/>
      </c>
      <c r="U945" s="0" t="str">
        <f aca="false">IF($L945="","",IFERROR(VLOOKUP(--$L945,MM_Income!$Z$5:$AC$204,3,FALSE()),"UNMAPPED"))</f>
        <v/>
      </c>
    </row>
    <row r="946" customFormat="false" ht="13.5" hidden="false" customHeight="false" outlineLevel="0" collapsed="false">
      <c r="A946" s="1" t="str">
        <f aca="false">IF($C946="","",Controls!$B$7)</f>
        <v/>
      </c>
      <c r="B946" s="1" t="str">
        <f aca="false">IF($H946="","",YEAR($H946)&amp;"-Q"&amp;ROUNDUP(MONTH($H946)/3,0))</f>
        <v/>
      </c>
      <c r="S946" s="1" t="str">
        <f aca="false">IF($C946="","",$C946&amp;"|"&amp;$E946&amp;"|"&amp;$F946&amp;"|"&amp;$L946&amp;"|"&amp;$P946&amp;"|"&amp;TEXT($H946,"yyyy-mm-dd"))</f>
        <v/>
      </c>
      <c r="T946" s="1" t="str">
        <f aca="false">IF($S946="","",IF(COUNTIF($S$2:$S$2991,$S946)&gt;1,"DUPLICATE","OK"))</f>
        <v/>
      </c>
      <c r="U946" s="0" t="str">
        <f aca="false">IF($L946="","",IFERROR(VLOOKUP(--$L946,MM_Income!$Z$5:$AC$204,3,FALSE()),"UNMAPPED"))</f>
        <v/>
      </c>
    </row>
    <row r="947" customFormat="false" ht="13.5" hidden="false" customHeight="false" outlineLevel="0" collapsed="false">
      <c r="A947" s="1" t="str">
        <f aca="false">IF($C947="","",Controls!$B$7)</f>
        <v/>
      </c>
      <c r="B947" s="1" t="str">
        <f aca="false">IF($H947="","",YEAR($H947)&amp;"-Q"&amp;ROUNDUP(MONTH($H947)/3,0))</f>
        <v/>
      </c>
      <c r="S947" s="1" t="str">
        <f aca="false">IF($C947="","",$C947&amp;"|"&amp;$E947&amp;"|"&amp;$F947&amp;"|"&amp;$L947&amp;"|"&amp;$P947&amp;"|"&amp;TEXT($H947,"yyyy-mm-dd"))</f>
        <v/>
      </c>
      <c r="T947" s="1" t="str">
        <f aca="false">IF($S947="","",IF(COUNTIF($S$2:$S$2991,$S947)&gt;1,"DUPLICATE","OK"))</f>
        <v/>
      </c>
      <c r="U947" s="0" t="str">
        <f aca="false">IF($L947="","",IFERROR(VLOOKUP(--$L947,MM_Income!$Z$5:$AC$204,3,FALSE()),"UNMAPPED"))</f>
        <v/>
      </c>
    </row>
    <row r="948" customFormat="false" ht="13.5" hidden="false" customHeight="false" outlineLevel="0" collapsed="false">
      <c r="A948" s="1" t="str">
        <f aca="false">IF($C948="","",Controls!$B$7)</f>
        <v/>
      </c>
      <c r="B948" s="1" t="str">
        <f aca="false">IF($H948="","",YEAR($H948)&amp;"-Q"&amp;ROUNDUP(MONTH($H948)/3,0))</f>
        <v/>
      </c>
      <c r="S948" s="1" t="str">
        <f aca="false">IF($C948="","",$C948&amp;"|"&amp;$E948&amp;"|"&amp;$F948&amp;"|"&amp;$L948&amp;"|"&amp;$P948&amp;"|"&amp;TEXT($H948,"yyyy-mm-dd"))</f>
        <v/>
      </c>
      <c r="T948" s="1" t="str">
        <f aca="false">IF($S948="","",IF(COUNTIF($S$2:$S$2991,$S948)&gt;1,"DUPLICATE","OK"))</f>
        <v/>
      </c>
      <c r="U948" s="0" t="str">
        <f aca="false">IF($L948="","",IFERROR(VLOOKUP(--$L948,MM_Income!$Z$5:$AC$204,3,FALSE()),"UNMAPPED"))</f>
        <v/>
      </c>
    </row>
    <row r="949" customFormat="false" ht="13.5" hidden="false" customHeight="false" outlineLevel="0" collapsed="false">
      <c r="A949" s="1" t="str">
        <f aca="false">IF($C949="","",Controls!$B$7)</f>
        <v/>
      </c>
      <c r="B949" s="1" t="str">
        <f aca="false">IF($H949="","",YEAR($H949)&amp;"-Q"&amp;ROUNDUP(MONTH($H949)/3,0))</f>
        <v/>
      </c>
      <c r="S949" s="1" t="str">
        <f aca="false">IF($C949="","",$C949&amp;"|"&amp;$E949&amp;"|"&amp;$F949&amp;"|"&amp;$L949&amp;"|"&amp;$P949&amp;"|"&amp;TEXT($H949,"yyyy-mm-dd"))</f>
        <v/>
      </c>
      <c r="T949" s="1" t="str">
        <f aca="false">IF($S949="","",IF(COUNTIF($S$2:$S$2991,$S949)&gt;1,"DUPLICATE","OK"))</f>
        <v/>
      </c>
      <c r="U949" s="0" t="str">
        <f aca="false">IF($L949="","",IFERROR(VLOOKUP(--$L949,MM_Income!$Z$5:$AC$204,3,FALSE()),"UNMAPPED"))</f>
        <v/>
      </c>
    </row>
    <row r="950" customFormat="false" ht="13.5" hidden="false" customHeight="false" outlineLevel="0" collapsed="false">
      <c r="A950" s="1" t="str">
        <f aca="false">IF($C950="","",Controls!$B$7)</f>
        <v/>
      </c>
      <c r="B950" s="1" t="str">
        <f aca="false">IF($H950="","",YEAR($H950)&amp;"-Q"&amp;ROUNDUP(MONTH($H950)/3,0))</f>
        <v/>
      </c>
      <c r="S950" s="1" t="str">
        <f aca="false">IF($C950="","",$C950&amp;"|"&amp;$E950&amp;"|"&amp;$F950&amp;"|"&amp;$L950&amp;"|"&amp;$P950&amp;"|"&amp;TEXT($H950,"yyyy-mm-dd"))</f>
        <v/>
      </c>
      <c r="T950" s="1" t="str">
        <f aca="false">IF($S950="","",IF(COUNTIF($S$2:$S$2991,$S950)&gt;1,"DUPLICATE","OK"))</f>
        <v/>
      </c>
      <c r="U950" s="0" t="str">
        <f aca="false">IF($L950="","",IFERROR(VLOOKUP(--$L950,MM_Income!$Z$5:$AC$204,3,FALSE()),"UNMAPPED"))</f>
        <v/>
      </c>
    </row>
    <row r="951" customFormat="false" ht="13.5" hidden="false" customHeight="false" outlineLevel="0" collapsed="false">
      <c r="A951" s="1" t="str">
        <f aca="false">IF($C951="","",Controls!$B$7)</f>
        <v/>
      </c>
      <c r="B951" s="1" t="str">
        <f aca="false">IF($H951="","",YEAR($H951)&amp;"-Q"&amp;ROUNDUP(MONTH($H951)/3,0))</f>
        <v/>
      </c>
      <c r="S951" s="1" t="str">
        <f aca="false">IF($C951="","",$C951&amp;"|"&amp;$E951&amp;"|"&amp;$F951&amp;"|"&amp;$L951&amp;"|"&amp;$P951&amp;"|"&amp;TEXT($H951,"yyyy-mm-dd"))</f>
        <v/>
      </c>
      <c r="T951" s="1" t="str">
        <f aca="false">IF($S951="","",IF(COUNTIF($S$2:$S$2991,$S951)&gt;1,"DUPLICATE","OK"))</f>
        <v/>
      </c>
      <c r="U951" s="0" t="str">
        <f aca="false">IF($L951="","",IFERROR(VLOOKUP(--$L951,MM_Income!$Z$5:$AC$204,3,FALSE()),"UNMAPPED"))</f>
        <v/>
      </c>
    </row>
    <row r="952" customFormat="false" ht="13.5" hidden="false" customHeight="false" outlineLevel="0" collapsed="false">
      <c r="A952" s="1" t="str">
        <f aca="false">IF($C952="","",Controls!$B$7)</f>
        <v/>
      </c>
      <c r="B952" s="1" t="str">
        <f aca="false">IF($H952="","",YEAR($H952)&amp;"-Q"&amp;ROUNDUP(MONTH($H952)/3,0))</f>
        <v/>
      </c>
      <c r="S952" s="1" t="str">
        <f aca="false">IF($C952="","",$C952&amp;"|"&amp;$E952&amp;"|"&amp;$F952&amp;"|"&amp;$L952&amp;"|"&amp;$P952&amp;"|"&amp;TEXT($H952,"yyyy-mm-dd"))</f>
        <v/>
      </c>
      <c r="T952" s="1" t="str">
        <f aca="false">IF($S952="","",IF(COUNTIF($S$2:$S$2991,$S952)&gt;1,"DUPLICATE","OK"))</f>
        <v/>
      </c>
      <c r="U952" s="0" t="str">
        <f aca="false">IF($L952="","",IFERROR(VLOOKUP(--$L952,MM_Income!$Z$5:$AC$204,3,FALSE()),"UNMAPPED"))</f>
        <v/>
      </c>
    </row>
    <row r="953" customFormat="false" ht="13.5" hidden="false" customHeight="false" outlineLevel="0" collapsed="false">
      <c r="A953" s="1" t="str">
        <f aca="false">IF($C953="","",Controls!$B$7)</f>
        <v/>
      </c>
      <c r="B953" s="1" t="str">
        <f aca="false">IF($H953="","",YEAR($H953)&amp;"-Q"&amp;ROUNDUP(MONTH($H953)/3,0))</f>
        <v/>
      </c>
      <c r="S953" s="1" t="str">
        <f aca="false">IF($C953="","",$C953&amp;"|"&amp;$E953&amp;"|"&amp;$F953&amp;"|"&amp;$L953&amp;"|"&amp;$P953&amp;"|"&amp;TEXT($H953,"yyyy-mm-dd"))</f>
        <v/>
      </c>
      <c r="T953" s="1" t="str">
        <f aca="false">IF($S953="","",IF(COUNTIF($S$2:$S$2991,$S953)&gt;1,"DUPLICATE","OK"))</f>
        <v/>
      </c>
      <c r="U953" s="0" t="str">
        <f aca="false">IF($L953="","",IFERROR(VLOOKUP(--$L953,MM_Income!$Z$5:$AC$204,3,FALSE()),"UNMAPPED"))</f>
        <v/>
      </c>
    </row>
    <row r="954" customFormat="false" ht="13.5" hidden="false" customHeight="false" outlineLevel="0" collapsed="false">
      <c r="A954" s="1" t="str">
        <f aca="false">IF($C954="","",Controls!$B$7)</f>
        <v/>
      </c>
      <c r="B954" s="1" t="str">
        <f aca="false">IF($H954="","",YEAR($H954)&amp;"-Q"&amp;ROUNDUP(MONTH($H954)/3,0))</f>
        <v/>
      </c>
      <c r="S954" s="1" t="str">
        <f aca="false">IF($C954="","",$C954&amp;"|"&amp;$E954&amp;"|"&amp;$F954&amp;"|"&amp;$L954&amp;"|"&amp;$P954&amp;"|"&amp;TEXT($H954,"yyyy-mm-dd"))</f>
        <v/>
      </c>
      <c r="T954" s="1" t="str">
        <f aca="false">IF($S954="","",IF(COUNTIF($S$2:$S$2991,$S954)&gt;1,"DUPLICATE","OK"))</f>
        <v/>
      </c>
      <c r="U954" s="0" t="str">
        <f aca="false">IF($L954="","",IFERROR(VLOOKUP(--$L954,MM_Income!$Z$5:$AC$204,3,FALSE()),"UNMAPPED"))</f>
        <v/>
      </c>
    </row>
    <row r="955" customFormat="false" ht="13.5" hidden="false" customHeight="false" outlineLevel="0" collapsed="false">
      <c r="A955" s="1" t="str">
        <f aca="false">IF($C955="","",Controls!$B$7)</f>
        <v/>
      </c>
      <c r="B955" s="1" t="str">
        <f aca="false">IF($H955="","",YEAR($H955)&amp;"-Q"&amp;ROUNDUP(MONTH($H955)/3,0))</f>
        <v/>
      </c>
      <c r="S955" s="1" t="str">
        <f aca="false">IF($C955="","",$C955&amp;"|"&amp;$E955&amp;"|"&amp;$F955&amp;"|"&amp;$L955&amp;"|"&amp;$P955&amp;"|"&amp;TEXT($H955,"yyyy-mm-dd"))</f>
        <v/>
      </c>
      <c r="T955" s="1" t="str">
        <f aca="false">IF($S955="","",IF(COUNTIF($S$2:$S$2991,$S955)&gt;1,"DUPLICATE","OK"))</f>
        <v/>
      </c>
      <c r="U955" s="0" t="str">
        <f aca="false">IF($L955="","",IFERROR(VLOOKUP(--$L955,MM_Income!$Z$5:$AC$204,3,FALSE()),"UNMAPPED"))</f>
        <v/>
      </c>
    </row>
    <row r="956" customFormat="false" ht="13.5" hidden="false" customHeight="false" outlineLevel="0" collapsed="false">
      <c r="A956" s="1" t="str">
        <f aca="false">IF($C956="","",Controls!$B$7)</f>
        <v/>
      </c>
      <c r="B956" s="1" t="str">
        <f aca="false">IF($H956="","",YEAR($H956)&amp;"-Q"&amp;ROUNDUP(MONTH($H956)/3,0))</f>
        <v/>
      </c>
      <c r="S956" s="1" t="str">
        <f aca="false">IF($C956="","",$C956&amp;"|"&amp;$E956&amp;"|"&amp;$F956&amp;"|"&amp;$L956&amp;"|"&amp;$P956&amp;"|"&amp;TEXT($H956,"yyyy-mm-dd"))</f>
        <v/>
      </c>
      <c r="T956" s="1" t="str">
        <f aca="false">IF($S956="","",IF(COUNTIF($S$2:$S$2991,$S956)&gt;1,"DUPLICATE","OK"))</f>
        <v/>
      </c>
      <c r="U956" s="0" t="str">
        <f aca="false">IF($L956="","",IFERROR(VLOOKUP(--$L956,MM_Income!$Z$5:$AC$204,3,FALSE()),"UNMAPPED"))</f>
        <v/>
      </c>
    </row>
    <row r="957" customFormat="false" ht="13.5" hidden="false" customHeight="false" outlineLevel="0" collapsed="false">
      <c r="A957" s="1" t="str">
        <f aca="false">IF($C957="","",Controls!$B$7)</f>
        <v/>
      </c>
      <c r="B957" s="1" t="str">
        <f aca="false">IF($H957="","",YEAR($H957)&amp;"-Q"&amp;ROUNDUP(MONTH($H957)/3,0))</f>
        <v/>
      </c>
      <c r="S957" s="1" t="str">
        <f aca="false">IF($C957="","",$C957&amp;"|"&amp;$E957&amp;"|"&amp;$F957&amp;"|"&amp;$L957&amp;"|"&amp;$P957&amp;"|"&amp;TEXT($H957,"yyyy-mm-dd"))</f>
        <v/>
      </c>
      <c r="T957" s="1" t="str">
        <f aca="false">IF($S957="","",IF(COUNTIF($S$2:$S$2991,$S957)&gt;1,"DUPLICATE","OK"))</f>
        <v/>
      </c>
      <c r="U957" s="0" t="str">
        <f aca="false">IF($L957="","",IFERROR(VLOOKUP(--$L957,MM_Income!$Z$5:$AC$204,3,FALSE()),"UNMAPPED"))</f>
        <v/>
      </c>
    </row>
    <row r="958" customFormat="false" ht="13.5" hidden="false" customHeight="false" outlineLevel="0" collapsed="false">
      <c r="A958" s="1" t="str">
        <f aca="false">IF($C958="","",Controls!$B$7)</f>
        <v/>
      </c>
      <c r="B958" s="1" t="str">
        <f aca="false">IF($H958="","",YEAR($H958)&amp;"-Q"&amp;ROUNDUP(MONTH($H958)/3,0))</f>
        <v/>
      </c>
      <c r="S958" s="1" t="str">
        <f aca="false">IF($C958="","",$C958&amp;"|"&amp;$E958&amp;"|"&amp;$F958&amp;"|"&amp;$L958&amp;"|"&amp;$P958&amp;"|"&amp;TEXT($H958,"yyyy-mm-dd"))</f>
        <v/>
      </c>
      <c r="T958" s="1" t="str">
        <f aca="false">IF($S958="","",IF(COUNTIF($S$2:$S$2991,$S958)&gt;1,"DUPLICATE","OK"))</f>
        <v/>
      </c>
      <c r="U958" s="0" t="str">
        <f aca="false">IF($L958="","",IFERROR(VLOOKUP(--$L958,MM_Income!$Z$5:$AC$204,3,FALSE()),"UNMAPPED"))</f>
        <v/>
      </c>
    </row>
    <row r="959" customFormat="false" ht="13.5" hidden="false" customHeight="false" outlineLevel="0" collapsed="false">
      <c r="A959" s="1" t="str">
        <f aca="false">IF($C959="","",Controls!$B$7)</f>
        <v/>
      </c>
      <c r="B959" s="1" t="str">
        <f aca="false">IF($H959="","",YEAR($H959)&amp;"-Q"&amp;ROUNDUP(MONTH($H959)/3,0))</f>
        <v/>
      </c>
      <c r="S959" s="1" t="str">
        <f aca="false">IF($C959="","",$C959&amp;"|"&amp;$E959&amp;"|"&amp;$F959&amp;"|"&amp;$L959&amp;"|"&amp;$P959&amp;"|"&amp;TEXT($H959,"yyyy-mm-dd"))</f>
        <v/>
      </c>
      <c r="T959" s="1" t="str">
        <f aca="false">IF($S959="","",IF(COUNTIF($S$2:$S$2991,$S959)&gt;1,"DUPLICATE","OK"))</f>
        <v/>
      </c>
      <c r="U959" s="0" t="str">
        <f aca="false">IF($L959="","",IFERROR(VLOOKUP(--$L959,MM_Income!$Z$5:$AC$204,3,FALSE()),"UNMAPPED"))</f>
        <v/>
      </c>
    </row>
    <row r="960" customFormat="false" ht="13.5" hidden="false" customHeight="false" outlineLevel="0" collapsed="false">
      <c r="A960" s="1" t="str">
        <f aca="false">IF($C960="","",Controls!$B$7)</f>
        <v/>
      </c>
      <c r="B960" s="1" t="str">
        <f aca="false">IF($H960="","",YEAR($H960)&amp;"-Q"&amp;ROUNDUP(MONTH($H960)/3,0))</f>
        <v/>
      </c>
      <c r="S960" s="1" t="str">
        <f aca="false">IF($C960="","",$C960&amp;"|"&amp;$E960&amp;"|"&amp;$F960&amp;"|"&amp;$L960&amp;"|"&amp;$P960&amp;"|"&amp;TEXT($H960,"yyyy-mm-dd"))</f>
        <v/>
      </c>
      <c r="T960" s="1" t="str">
        <f aca="false">IF($S960="","",IF(COUNTIF($S$2:$S$2991,$S960)&gt;1,"DUPLICATE","OK"))</f>
        <v/>
      </c>
      <c r="U960" s="0" t="str">
        <f aca="false">IF($L960="","",IFERROR(VLOOKUP(--$L960,MM_Income!$Z$5:$AC$204,3,FALSE()),"UNMAPPED"))</f>
        <v/>
      </c>
    </row>
    <row r="961" customFormat="false" ht="13.5" hidden="false" customHeight="false" outlineLevel="0" collapsed="false">
      <c r="A961" s="1" t="str">
        <f aca="false">IF($C961="","",Controls!$B$7)</f>
        <v/>
      </c>
      <c r="B961" s="1" t="str">
        <f aca="false">IF($H961="","",YEAR($H961)&amp;"-Q"&amp;ROUNDUP(MONTH($H961)/3,0))</f>
        <v/>
      </c>
      <c r="S961" s="1" t="str">
        <f aca="false">IF($C961="","",$C961&amp;"|"&amp;$E961&amp;"|"&amp;$F961&amp;"|"&amp;$L961&amp;"|"&amp;$P961&amp;"|"&amp;TEXT($H961,"yyyy-mm-dd"))</f>
        <v/>
      </c>
      <c r="T961" s="1" t="str">
        <f aca="false">IF($S961="","",IF(COUNTIF($S$2:$S$2991,$S961)&gt;1,"DUPLICATE","OK"))</f>
        <v/>
      </c>
      <c r="U961" s="0" t="str">
        <f aca="false">IF($L961="","",IFERROR(VLOOKUP(--$L961,MM_Income!$Z$5:$AC$204,3,FALSE()),"UNMAPPED"))</f>
        <v/>
      </c>
    </row>
    <row r="962" customFormat="false" ht="13.5" hidden="false" customHeight="false" outlineLevel="0" collapsed="false">
      <c r="A962" s="1" t="str">
        <f aca="false">IF($C962="","",Controls!$B$7)</f>
        <v/>
      </c>
      <c r="B962" s="1" t="str">
        <f aca="false">IF($H962="","",YEAR($H962)&amp;"-Q"&amp;ROUNDUP(MONTH($H962)/3,0))</f>
        <v/>
      </c>
      <c r="S962" s="1" t="str">
        <f aca="false">IF($C962="","",$C962&amp;"|"&amp;$E962&amp;"|"&amp;$F962&amp;"|"&amp;$L962&amp;"|"&amp;$P962&amp;"|"&amp;TEXT($H962,"yyyy-mm-dd"))</f>
        <v/>
      </c>
      <c r="T962" s="1" t="str">
        <f aca="false">IF($S962="","",IF(COUNTIF($S$2:$S$2991,$S962)&gt;1,"DUPLICATE","OK"))</f>
        <v/>
      </c>
      <c r="U962" s="0" t="str">
        <f aca="false">IF($L962="","",IFERROR(VLOOKUP(--$L962,MM_Income!$Z$5:$AC$204,3,FALSE()),"UNMAPPED"))</f>
        <v/>
      </c>
    </row>
    <row r="963" customFormat="false" ht="13.5" hidden="false" customHeight="false" outlineLevel="0" collapsed="false">
      <c r="A963" s="1" t="str">
        <f aca="false">IF($C963="","",Controls!$B$7)</f>
        <v/>
      </c>
      <c r="B963" s="1" t="str">
        <f aca="false">IF($H963="","",YEAR($H963)&amp;"-Q"&amp;ROUNDUP(MONTH($H963)/3,0))</f>
        <v/>
      </c>
      <c r="S963" s="1" t="str">
        <f aca="false">IF($C963="","",$C963&amp;"|"&amp;$E963&amp;"|"&amp;$F963&amp;"|"&amp;$L963&amp;"|"&amp;$P963&amp;"|"&amp;TEXT($H963,"yyyy-mm-dd"))</f>
        <v/>
      </c>
      <c r="T963" s="1" t="str">
        <f aca="false">IF($S963="","",IF(COUNTIF($S$2:$S$2991,$S963)&gt;1,"DUPLICATE","OK"))</f>
        <v/>
      </c>
      <c r="U963" s="0" t="str">
        <f aca="false">IF($L963="","",IFERROR(VLOOKUP(--$L963,MM_Income!$Z$5:$AC$204,3,FALSE()),"UNMAPPED"))</f>
        <v/>
      </c>
    </row>
    <row r="964" customFormat="false" ht="13.5" hidden="false" customHeight="false" outlineLevel="0" collapsed="false">
      <c r="A964" s="1" t="str">
        <f aca="false">IF($C964="","",Controls!$B$7)</f>
        <v/>
      </c>
      <c r="B964" s="1" t="str">
        <f aca="false">IF($H964="","",YEAR($H964)&amp;"-Q"&amp;ROUNDUP(MONTH($H964)/3,0))</f>
        <v/>
      </c>
      <c r="S964" s="1" t="str">
        <f aca="false">IF($C964="","",$C964&amp;"|"&amp;$E964&amp;"|"&amp;$F964&amp;"|"&amp;$L964&amp;"|"&amp;$P964&amp;"|"&amp;TEXT($H964,"yyyy-mm-dd"))</f>
        <v/>
      </c>
      <c r="T964" s="1" t="str">
        <f aca="false">IF($S964="","",IF(COUNTIF($S$2:$S$2991,$S964)&gt;1,"DUPLICATE","OK"))</f>
        <v/>
      </c>
      <c r="U964" s="0" t="str">
        <f aca="false">IF($L964="","",IFERROR(VLOOKUP(--$L964,MM_Income!$Z$5:$AC$204,3,FALSE()),"UNMAPPED"))</f>
        <v/>
      </c>
    </row>
    <row r="965" customFormat="false" ht="13.5" hidden="false" customHeight="false" outlineLevel="0" collapsed="false">
      <c r="A965" s="1" t="str">
        <f aca="false">IF($C965="","",Controls!$B$7)</f>
        <v/>
      </c>
      <c r="B965" s="1" t="str">
        <f aca="false">IF($H965="","",YEAR($H965)&amp;"-Q"&amp;ROUNDUP(MONTH($H965)/3,0))</f>
        <v/>
      </c>
      <c r="S965" s="1" t="str">
        <f aca="false">IF($C965="","",$C965&amp;"|"&amp;$E965&amp;"|"&amp;$F965&amp;"|"&amp;$L965&amp;"|"&amp;$P965&amp;"|"&amp;TEXT($H965,"yyyy-mm-dd"))</f>
        <v/>
      </c>
      <c r="T965" s="1" t="str">
        <f aca="false">IF($S965="","",IF(COUNTIF($S$2:$S$2991,$S965)&gt;1,"DUPLICATE","OK"))</f>
        <v/>
      </c>
      <c r="U965" s="0" t="str">
        <f aca="false">IF($L965="","",IFERROR(VLOOKUP(--$L965,MM_Income!$Z$5:$AC$204,3,FALSE()),"UNMAPPED"))</f>
        <v/>
      </c>
    </row>
    <row r="966" customFormat="false" ht="13.5" hidden="false" customHeight="false" outlineLevel="0" collapsed="false">
      <c r="A966" s="1" t="str">
        <f aca="false">IF($C966="","",Controls!$B$7)</f>
        <v/>
      </c>
      <c r="B966" s="1" t="str">
        <f aca="false">IF($H966="","",YEAR($H966)&amp;"-Q"&amp;ROUNDUP(MONTH($H966)/3,0))</f>
        <v/>
      </c>
      <c r="S966" s="1" t="str">
        <f aca="false">IF($C966="","",$C966&amp;"|"&amp;$E966&amp;"|"&amp;$F966&amp;"|"&amp;$L966&amp;"|"&amp;$P966&amp;"|"&amp;TEXT($H966,"yyyy-mm-dd"))</f>
        <v/>
      </c>
      <c r="T966" s="1" t="str">
        <f aca="false">IF($S966="","",IF(COUNTIF($S$2:$S$2991,$S966)&gt;1,"DUPLICATE","OK"))</f>
        <v/>
      </c>
      <c r="U966" s="0" t="str">
        <f aca="false">IF($L966="","",IFERROR(VLOOKUP(--$L966,MM_Income!$Z$5:$AC$204,3,FALSE()),"UNMAPPED"))</f>
        <v/>
      </c>
    </row>
    <row r="967" customFormat="false" ht="13.5" hidden="false" customHeight="false" outlineLevel="0" collapsed="false">
      <c r="A967" s="1" t="str">
        <f aca="false">IF($C967="","",Controls!$B$7)</f>
        <v/>
      </c>
      <c r="B967" s="1" t="str">
        <f aca="false">IF($H967="","",YEAR($H967)&amp;"-Q"&amp;ROUNDUP(MONTH($H967)/3,0))</f>
        <v/>
      </c>
      <c r="S967" s="1" t="str">
        <f aca="false">IF($C967="","",$C967&amp;"|"&amp;$E967&amp;"|"&amp;$F967&amp;"|"&amp;$L967&amp;"|"&amp;$P967&amp;"|"&amp;TEXT($H967,"yyyy-mm-dd"))</f>
        <v/>
      </c>
      <c r="T967" s="1" t="str">
        <f aca="false">IF($S967="","",IF(COUNTIF($S$2:$S$2991,$S967)&gt;1,"DUPLICATE","OK"))</f>
        <v/>
      </c>
      <c r="U967" s="0" t="str">
        <f aca="false">IF($L967="","",IFERROR(VLOOKUP(--$L967,MM_Income!$Z$5:$AC$204,3,FALSE()),"UNMAPPED"))</f>
        <v/>
      </c>
    </row>
    <row r="968" customFormat="false" ht="13.5" hidden="false" customHeight="false" outlineLevel="0" collapsed="false">
      <c r="A968" s="1" t="str">
        <f aca="false">IF($C968="","",Controls!$B$7)</f>
        <v/>
      </c>
      <c r="B968" s="1" t="str">
        <f aca="false">IF($H968="","",YEAR($H968)&amp;"-Q"&amp;ROUNDUP(MONTH($H968)/3,0))</f>
        <v/>
      </c>
      <c r="S968" s="1" t="str">
        <f aca="false">IF($C968="","",$C968&amp;"|"&amp;$E968&amp;"|"&amp;$F968&amp;"|"&amp;$L968&amp;"|"&amp;$P968&amp;"|"&amp;TEXT($H968,"yyyy-mm-dd"))</f>
        <v/>
      </c>
      <c r="T968" s="1" t="str">
        <f aca="false">IF($S968="","",IF(COUNTIF($S$2:$S$2991,$S968)&gt;1,"DUPLICATE","OK"))</f>
        <v/>
      </c>
      <c r="U968" s="0" t="str">
        <f aca="false">IF($L968="","",IFERROR(VLOOKUP(--$L968,MM_Income!$Z$5:$AC$204,3,FALSE()),"UNMAPPED"))</f>
        <v/>
      </c>
    </row>
    <row r="969" customFormat="false" ht="13.5" hidden="false" customHeight="false" outlineLevel="0" collapsed="false">
      <c r="A969" s="1" t="str">
        <f aca="false">IF($C969="","",Controls!$B$7)</f>
        <v/>
      </c>
      <c r="B969" s="1" t="str">
        <f aca="false">IF($H969="","",YEAR($H969)&amp;"-Q"&amp;ROUNDUP(MONTH($H969)/3,0))</f>
        <v/>
      </c>
      <c r="S969" s="1" t="str">
        <f aca="false">IF($C969="","",$C969&amp;"|"&amp;$E969&amp;"|"&amp;$F969&amp;"|"&amp;$L969&amp;"|"&amp;$P969&amp;"|"&amp;TEXT($H969,"yyyy-mm-dd"))</f>
        <v/>
      </c>
      <c r="T969" s="1" t="str">
        <f aca="false">IF($S969="","",IF(COUNTIF($S$2:$S$2991,$S969)&gt;1,"DUPLICATE","OK"))</f>
        <v/>
      </c>
      <c r="U969" s="0" t="str">
        <f aca="false">IF($L969="","",IFERROR(VLOOKUP(--$L969,MM_Income!$Z$5:$AC$204,3,FALSE()),"UNMAPPED"))</f>
        <v/>
      </c>
    </row>
    <row r="970" customFormat="false" ht="13.5" hidden="false" customHeight="false" outlineLevel="0" collapsed="false">
      <c r="A970" s="1" t="str">
        <f aca="false">IF($C970="","",Controls!$B$7)</f>
        <v/>
      </c>
      <c r="B970" s="1" t="str">
        <f aca="false">IF($H970="","",YEAR($H970)&amp;"-Q"&amp;ROUNDUP(MONTH($H970)/3,0))</f>
        <v/>
      </c>
      <c r="S970" s="1" t="str">
        <f aca="false">IF($C970="","",$C970&amp;"|"&amp;$E970&amp;"|"&amp;$F970&amp;"|"&amp;$L970&amp;"|"&amp;$P970&amp;"|"&amp;TEXT($H970,"yyyy-mm-dd"))</f>
        <v/>
      </c>
      <c r="T970" s="1" t="str">
        <f aca="false">IF($S970="","",IF(COUNTIF($S$2:$S$2991,$S970)&gt;1,"DUPLICATE","OK"))</f>
        <v/>
      </c>
      <c r="U970" s="0" t="str">
        <f aca="false">IF($L970="","",IFERROR(VLOOKUP(--$L970,MM_Income!$Z$5:$AC$204,3,FALSE()),"UNMAPPED"))</f>
        <v/>
      </c>
    </row>
    <row r="971" customFormat="false" ht="13.5" hidden="false" customHeight="false" outlineLevel="0" collapsed="false">
      <c r="A971" s="1" t="str">
        <f aca="false">IF($C971="","",Controls!$B$7)</f>
        <v/>
      </c>
      <c r="B971" s="1" t="str">
        <f aca="false">IF($H971="","",YEAR($H971)&amp;"-Q"&amp;ROUNDUP(MONTH($H971)/3,0))</f>
        <v/>
      </c>
      <c r="S971" s="1" t="str">
        <f aca="false">IF($C971="","",$C971&amp;"|"&amp;$E971&amp;"|"&amp;$F971&amp;"|"&amp;$L971&amp;"|"&amp;$P971&amp;"|"&amp;TEXT($H971,"yyyy-mm-dd"))</f>
        <v/>
      </c>
      <c r="T971" s="1" t="str">
        <f aca="false">IF($S971="","",IF(COUNTIF($S$2:$S$2991,$S971)&gt;1,"DUPLICATE","OK"))</f>
        <v/>
      </c>
      <c r="U971" s="0" t="str">
        <f aca="false">IF($L971="","",IFERROR(VLOOKUP(--$L971,MM_Income!$Z$5:$AC$204,3,FALSE()),"UNMAPPED"))</f>
        <v/>
      </c>
    </row>
    <row r="972" customFormat="false" ht="13.5" hidden="false" customHeight="false" outlineLevel="0" collapsed="false">
      <c r="A972" s="1" t="str">
        <f aca="false">IF($C972="","",Controls!$B$7)</f>
        <v/>
      </c>
      <c r="B972" s="1" t="str">
        <f aca="false">IF($H972="","",YEAR($H972)&amp;"-Q"&amp;ROUNDUP(MONTH($H972)/3,0))</f>
        <v/>
      </c>
      <c r="S972" s="1" t="str">
        <f aca="false">IF($C972="","",$C972&amp;"|"&amp;$E972&amp;"|"&amp;$F972&amp;"|"&amp;$L972&amp;"|"&amp;$P972&amp;"|"&amp;TEXT($H972,"yyyy-mm-dd"))</f>
        <v/>
      </c>
      <c r="T972" s="1" t="str">
        <f aca="false">IF($S972="","",IF(COUNTIF($S$2:$S$2991,$S972)&gt;1,"DUPLICATE","OK"))</f>
        <v/>
      </c>
      <c r="U972" s="0" t="str">
        <f aca="false">IF($L972="","",IFERROR(VLOOKUP(--$L972,MM_Income!$Z$5:$AC$204,3,FALSE()),"UNMAPPED"))</f>
        <v/>
      </c>
    </row>
    <row r="973" customFormat="false" ht="13.5" hidden="false" customHeight="false" outlineLevel="0" collapsed="false">
      <c r="A973" s="1" t="str">
        <f aca="false">IF($C973="","",Controls!$B$7)</f>
        <v/>
      </c>
      <c r="B973" s="1" t="str">
        <f aca="false">IF($H973="","",YEAR($H973)&amp;"-Q"&amp;ROUNDUP(MONTH($H973)/3,0))</f>
        <v/>
      </c>
      <c r="S973" s="1" t="str">
        <f aca="false">IF($C973="","",$C973&amp;"|"&amp;$E973&amp;"|"&amp;$F973&amp;"|"&amp;$L973&amp;"|"&amp;$P973&amp;"|"&amp;TEXT($H973,"yyyy-mm-dd"))</f>
        <v/>
      </c>
      <c r="T973" s="1" t="str">
        <f aca="false">IF($S973="","",IF(COUNTIF($S$2:$S$2991,$S973)&gt;1,"DUPLICATE","OK"))</f>
        <v/>
      </c>
      <c r="U973" s="0" t="str">
        <f aca="false">IF($L973="","",IFERROR(VLOOKUP(--$L973,MM_Income!$Z$5:$AC$204,3,FALSE()),"UNMAPPED"))</f>
        <v/>
      </c>
    </row>
    <row r="974" customFormat="false" ht="13.5" hidden="false" customHeight="false" outlineLevel="0" collapsed="false">
      <c r="A974" s="1" t="str">
        <f aca="false">IF($C974="","",Controls!$B$7)</f>
        <v/>
      </c>
      <c r="B974" s="1" t="str">
        <f aca="false">IF($H974="","",YEAR($H974)&amp;"-Q"&amp;ROUNDUP(MONTH($H974)/3,0))</f>
        <v/>
      </c>
      <c r="S974" s="1" t="str">
        <f aca="false">IF($C974="","",$C974&amp;"|"&amp;$E974&amp;"|"&amp;$F974&amp;"|"&amp;$L974&amp;"|"&amp;$P974&amp;"|"&amp;TEXT($H974,"yyyy-mm-dd"))</f>
        <v/>
      </c>
      <c r="T974" s="1" t="str">
        <f aca="false">IF($S974="","",IF(COUNTIF($S$2:$S$2991,$S974)&gt;1,"DUPLICATE","OK"))</f>
        <v/>
      </c>
      <c r="U974" s="0" t="str">
        <f aca="false">IF($L974="","",IFERROR(VLOOKUP(--$L974,MM_Income!$Z$5:$AC$204,3,FALSE()),"UNMAPPED"))</f>
        <v/>
      </c>
    </row>
    <row r="975" customFormat="false" ht="13.5" hidden="false" customHeight="false" outlineLevel="0" collapsed="false">
      <c r="A975" s="1" t="str">
        <f aca="false">IF($C975="","",Controls!$B$7)</f>
        <v/>
      </c>
      <c r="B975" s="1" t="str">
        <f aca="false">IF($H975="","",YEAR($H975)&amp;"-Q"&amp;ROUNDUP(MONTH($H975)/3,0))</f>
        <v/>
      </c>
      <c r="S975" s="1" t="str">
        <f aca="false">IF($C975="","",$C975&amp;"|"&amp;$E975&amp;"|"&amp;$F975&amp;"|"&amp;$L975&amp;"|"&amp;$P975&amp;"|"&amp;TEXT($H975,"yyyy-mm-dd"))</f>
        <v/>
      </c>
      <c r="T975" s="1" t="str">
        <f aca="false">IF($S975="","",IF(COUNTIF($S$2:$S$2991,$S975)&gt;1,"DUPLICATE","OK"))</f>
        <v/>
      </c>
      <c r="U975" s="0" t="str">
        <f aca="false">IF($L975="","",IFERROR(VLOOKUP(--$L975,MM_Income!$Z$5:$AC$204,3,FALSE()),"UNMAPPED"))</f>
        <v/>
      </c>
    </row>
    <row r="976" customFormat="false" ht="13.5" hidden="false" customHeight="false" outlineLevel="0" collapsed="false">
      <c r="A976" s="1" t="str">
        <f aca="false">IF($C976="","",Controls!$B$7)</f>
        <v/>
      </c>
      <c r="B976" s="1" t="str">
        <f aca="false">IF($H976="","",YEAR($H976)&amp;"-Q"&amp;ROUNDUP(MONTH($H976)/3,0))</f>
        <v/>
      </c>
      <c r="S976" s="1" t="str">
        <f aca="false">IF($C976="","",$C976&amp;"|"&amp;$E976&amp;"|"&amp;$F976&amp;"|"&amp;$L976&amp;"|"&amp;$P976&amp;"|"&amp;TEXT($H976,"yyyy-mm-dd"))</f>
        <v/>
      </c>
      <c r="T976" s="1" t="str">
        <f aca="false">IF($S976="","",IF(COUNTIF($S$2:$S$2991,$S976)&gt;1,"DUPLICATE","OK"))</f>
        <v/>
      </c>
      <c r="U976" s="0" t="str">
        <f aca="false">IF($L976="","",IFERROR(VLOOKUP(--$L976,MM_Income!$Z$5:$AC$204,3,FALSE()),"UNMAPPED"))</f>
        <v/>
      </c>
    </row>
    <row r="977" customFormat="false" ht="13.5" hidden="false" customHeight="false" outlineLevel="0" collapsed="false">
      <c r="A977" s="1" t="str">
        <f aca="false">IF($C977="","",Controls!$B$7)</f>
        <v/>
      </c>
      <c r="B977" s="1" t="str">
        <f aca="false">IF($H977="","",YEAR($H977)&amp;"-Q"&amp;ROUNDUP(MONTH($H977)/3,0))</f>
        <v/>
      </c>
      <c r="S977" s="1" t="str">
        <f aca="false">IF($C977="","",$C977&amp;"|"&amp;$E977&amp;"|"&amp;$F977&amp;"|"&amp;$L977&amp;"|"&amp;$P977&amp;"|"&amp;TEXT($H977,"yyyy-mm-dd"))</f>
        <v/>
      </c>
      <c r="T977" s="1" t="str">
        <f aca="false">IF($S977="","",IF(COUNTIF($S$2:$S$2991,$S977)&gt;1,"DUPLICATE","OK"))</f>
        <v/>
      </c>
      <c r="U977" s="0" t="str">
        <f aca="false">IF($L977="","",IFERROR(VLOOKUP(--$L977,MM_Income!$Z$5:$AC$204,3,FALSE()),"UNMAPPED"))</f>
        <v/>
      </c>
    </row>
    <row r="978" customFormat="false" ht="13.5" hidden="false" customHeight="false" outlineLevel="0" collapsed="false">
      <c r="A978" s="1" t="str">
        <f aca="false">IF($C978="","",Controls!$B$7)</f>
        <v/>
      </c>
      <c r="B978" s="1" t="str">
        <f aca="false">IF($H978="","",YEAR($H978)&amp;"-Q"&amp;ROUNDUP(MONTH($H978)/3,0))</f>
        <v/>
      </c>
      <c r="S978" s="1" t="str">
        <f aca="false">IF($C978="","",$C978&amp;"|"&amp;$E978&amp;"|"&amp;$F978&amp;"|"&amp;$L978&amp;"|"&amp;$P978&amp;"|"&amp;TEXT($H978,"yyyy-mm-dd"))</f>
        <v/>
      </c>
      <c r="T978" s="1" t="str">
        <f aca="false">IF($S978="","",IF(COUNTIF($S$2:$S$2991,$S978)&gt;1,"DUPLICATE","OK"))</f>
        <v/>
      </c>
      <c r="U978" s="0" t="str">
        <f aca="false">IF($L978="","",IFERROR(VLOOKUP(--$L978,MM_Income!$Z$5:$AC$204,3,FALSE()),"UNMAPPED"))</f>
        <v/>
      </c>
    </row>
    <row r="979" customFormat="false" ht="13.5" hidden="false" customHeight="false" outlineLevel="0" collapsed="false">
      <c r="A979" s="1" t="str">
        <f aca="false">IF($C979="","",Controls!$B$7)</f>
        <v/>
      </c>
      <c r="B979" s="1" t="str">
        <f aca="false">IF($H979="","",YEAR($H979)&amp;"-Q"&amp;ROUNDUP(MONTH($H979)/3,0))</f>
        <v/>
      </c>
      <c r="S979" s="1" t="str">
        <f aca="false">IF($C979="","",$C979&amp;"|"&amp;$E979&amp;"|"&amp;$F979&amp;"|"&amp;$L979&amp;"|"&amp;$P979&amp;"|"&amp;TEXT($H979,"yyyy-mm-dd"))</f>
        <v/>
      </c>
      <c r="T979" s="1" t="str">
        <f aca="false">IF($S979="","",IF(COUNTIF($S$2:$S$2991,$S979)&gt;1,"DUPLICATE","OK"))</f>
        <v/>
      </c>
      <c r="U979" s="0" t="str">
        <f aca="false">IF($L979="","",IFERROR(VLOOKUP(--$L979,MM_Income!$Z$5:$AC$204,3,FALSE()),"UNMAPPED"))</f>
        <v/>
      </c>
    </row>
    <row r="980" customFormat="false" ht="13.5" hidden="false" customHeight="false" outlineLevel="0" collapsed="false">
      <c r="A980" s="1" t="str">
        <f aca="false">IF($C980="","",Controls!$B$7)</f>
        <v/>
      </c>
      <c r="B980" s="1" t="str">
        <f aca="false">IF($H980="","",YEAR($H980)&amp;"-Q"&amp;ROUNDUP(MONTH($H980)/3,0))</f>
        <v/>
      </c>
      <c r="S980" s="1" t="str">
        <f aca="false">IF($C980="","",$C980&amp;"|"&amp;$E980&amp;"|"&amp;$F980&amp;"|"&amp;$L980&amp;"|"&amp;$P980&amp;"|"&amp;TEXT($H980,"yyyy-mm-dd"))</f>
        <v/>
      </c>
      <c r="T980" s="1" t="str">
        <f aca="false">IF($S980="","",IF(COUNTIF($S$2:$S$2991,$S980)&gt;1,"DUPLICATE","OK"))</f>
        <v/>
      </c>
      <c r="U980" s="0" t="str">
        <f aca="false">IF($L980="","",IFERROR(VLOOKUP(--$L980,MM_Income!$Z$5:$AC$204,3,FALSE()),"UNMAPPED"))</f>
        <v/>
      </c>
    </row>
    <row r="981" customFormat="false" ht="13.5" hidden="false" customHeight="false" outlineLevel="0" collapsed="false">
      <c r="A981" s="1" t="str">
        <f aca="false">IF($C981="","",Controls!$B$7)</f>
        <v/>
      </c>
      <c r="B981" s="1" t="str">
        <f aca="false">IF($H981="","",YEAR($H981)&amp;"-Q"&amp;ROUNDUP(MONTH($H981)/3,0))</f>
        <v/>
      </c>
      <c r="S981" s="1" t="str">
        <f aca="false">IF($C981="","",$C981&amp;"|"&amp;$E981&amp;"|"&amp;$F981&amp;"|"&amp;$L981&amp;"|"&amp;$P981&amp;"|"&amp;TEXT($H981,"yyyy-mm-dd"))</f>
        <v/>
      </c>
      <c r="T981" s="1" t="str">
        <f aca="false">IF($S981="","",IF(COUNTIF($S$2:$S$2991,$S981)&gt;1,"DUPLICATE","OK"))</f>
        <v/>
      </c>
      <c r="U981" s="0" t="str">
        <f aca="false">IF($L981="","",IFERROR(VLOOKUP(--$L981,MM_Income!$Z$5:$AC$204,3,FALSE()),"UNMAPPED"))</f>
        <v/>
      </c>
    </row>
    <row r="982" customFormat="false" ht="13.5" hidden="false" customHeight="false" outlineLevel="0" collapsed="false">
      <c r="A982" s="1" t="str">
        <f aca="false">IF($C982="","",Controls!$B$7)</f>
        <v/>
      </c>
      <c r="B982" s="1" t="str">
        <f aca="false">IF($H982="","",YEAR($H982)&amp;"-Q"&amp;ROUNDUP(MONTH($H982)/3,0))</f>
        <v/>
      </c>
      <c r="S982" s="1" t="str">
        <f aca="false">IF($C982="","",$C982&amp;"|"&amp;$E982&amp;"|"&amp;$F982&amp;"|"&amp;$L982&amp;"|"&amp;$P982&amp;"|"&amp;TEXT($H982,"yyyy-mm-dd"))</f>
        <v/>
      </c>
      <c r="T982" s="1" t="str">
        <f aca="false">IF($S982="","",IF(COUNTIF($S$2:$S$2991,$S982)&gt;1,"DUPLICATE","OK"))</f>
        <v/>
      </c>
      <c r="U982" s="0" t="str">
        <f aca="false">IF($L982="","",IFERROR(VLOOKUP(--$L982,MM_Income!$Z$5:$AC$204,3,FALSE()),"UNMAPPED"))</f>
        <v/>
      </c>
    </row>
    <row r="983" customFormat="false" ht="13.5" hidden="false" customHeight="false" outlineLevel="0" collapsed="false">
      <c r="A983" s="1" t="str">
        <f aca="false">IF($C983="","",Controls!$B$7)</f>
        <v/>
      </c>
      <c r="B983" s="1" t="str">
        <f aca="false">IF($H983="","",YEAR($H983)&amp;"-Q"&amp;ROUNDUP(MONTH($H983)/3,0))</f>
        <v/>
      </c>
      <c r="S983" s="1" t="str">
        <f aca="false">IF($C983="","",$C983&amp;"|"&amp;$E983&amp;"|"&amp;$F983&amp;"|"&amp;$L983&amp;"|"&amp;$P983&amp;"|"&amp;TEXT($H983,"yyyy-mm-dd"))</f>
        <v/>
      </c>
      <c r="T983" s="1" t="str">
        <f aca="false">IF($S983="","",IF(COUNTIF($S$2:$S$2991,$S983)&gt;1,"DUPLICATE","OK"))</f>
        <v/>
      </c>
      <c r="U983" s="0" t="str">
        <f aca="false">IF($L983="","",IFERROR(VLOOKUP(--$L983,MM_Income!$Z$5:$AC$204,3,FALSE()),"UNMAPPED"))</f>
        <v/>
      </c>
    </row>
    <row r="984" customFormat="false" ht="13.5" hidden="false" customHeight="false" outlineLevel="0" collapsed="false">
      <c r="A984" s="1" t="str">
        <f aca="false">IF($C984="","",Controls!$B$7)</f>
        <v/>
      </c>
      <c r="B984" s="1" t="str">
        <f aca="false">IF($H984="","",YEAR($H984)&amp;"-Q"&amp;ROUNDUP(MONTH($H984)/3,0))</f>
        <v/>
      </c>
      <c r="S984" s="1" t="str">
        <f aca="false">IF($C984="","",$C984&amp;"|"&amp;$E984&amp;"|"&amp;$F984&amp;"|"&amp;$L984&amp;"|"&amp;$P984&amp;"|"&amp;TEXT($H984,"yyyy-mm-dd"))</f>
        <v/>
      </c>
      <c r="T984" s="1" t="str">
        <f aca="false">IF($S984="","",IF(COUNTIF($S$2:$S$2991,$S984)&gt;1,"DUPLICATE","OK"))</f>
        <v/>
      </c>
      <c r="U984" s="0" t="str">
        <f aca="false">IF($L984="","",IFERROR(VLOOKUP(--$L984,MM_Income!$Z$5:$AC$204,3,FALSE()),"UNMAPPED"))</f>
        <v/>
      </c>
    </row>
    <row r="985" customFormat="false" ht="13.5" hidden="false" customHeight="false" outlineLevel="0" collapsed="false">
      <c r="A985" s="1" t="str">
        <f aca="false">IF($C985="","",Controls!$B$7)</f>
        <v/>
      </c>
      <c r="B985" s="1" t="str">
        <f aca="false">IF($H985="","",YEAR($H985)&amp;"-Q"&amp;ROUNDUP(MONTH($H985)/3,0))</f>
        <v/>
      </c>
      <c r="S985" s="1" t="str">
        <f aca="false">IF($C985="","",$C985&amp;"|"&amp;$E985&amp;"|"&amp;$F985&amp;"|"&amp;$L985&amp;"|"&amp;$P985&amp;"|"&amp;TEXT($H985,"yyyy-mm-dd"))</f>
        <v/>
      </c>
      <c r="T985" s="1" t="str">
        <f aca="false">IF($S985="","",IF(COUNTIF($S$2:$S$2991,$S985)&gt;1,"DUPLICATE","OK"))</f>
        <v/>
      </c>
      <c r="U985" s="0" t="str">
        <f aca="false">IF($L985="","",IFERROR(VLOOKUP(--$L985,MM_Income!$Z$5:$AC$204,3,FALSE()),"UNMAPPED"))</f>
        <v/>
      </c>
    </row>
    <row r="986" customFormat="false" ht="13.5" hidden="false" customHeight="false" outlineLevel="0" collapsed="false">
      <c r="A986" s="1" t="str">
        <f aca="false">IF($C986="","",Controls!$B$7)</f>
        <v/>
      </c>
      <c r="B986" s="1" t="str">
        <f aca="false">IF($H986="","",YEAR($H986)&amp;"-Q"&amp;ROUNDUP(MONTH($H986)/3,0))</f>
        <v/>
      </c>
      <c r="S986" s="1" t="str">
        <f aca="false">IF($C986="","",$C986&amp;"|"&amp;$E986&amp;"|"&amp;$F986&amp;"|"&amp;$L986&amp;"|"&amp;$P986&amp;"|"&amp;TEXT($H986,"yyyy-mm-dd"))</f>
        <v/>
      </c>
      <c r="T986" s="1" t="str">
        <f aca="false">IF($S986="","",IF(COUNTIF($S$2:$S$2991,$S986)&gt;1,"DUPLICATE","OK"))</f>
        <v/>
      </c>
      <c r="U986" s="0" t="str">
        <f aca="false">IF($L986="","",IFERROR(VLOOKUP(--$L986,MM_Income!$Z$5:$AC$204,3,FALSE()),"UNMAPPED"))</f>
        <v/>
      </c>
    </row>
    <row r="987" customFormat="false" ht="13.5" hidden="false" customHeight="false" outlineLevel="0" collapsed="false">
      <c r="A987" s="1" t="str">
        <f aca="false">IF($C987="","",Controls!$B$7)</f>
        <v/>
      </c>
      <c r="B987" s="1" t="str">
        <f aca="false">IF($H987="","",YEAR($H987)&amp;"-Q"&amp;ROUNDUP(MONTH($H987)/3,0))</f>
        <v/>
      </c>
      <c r="S987" s="1" t="str">
        <f aca="false">IF($C987="","",$C987&amp;"|"&amp;$E987&amp;"|"&amp;$F987&amp;"|"&amp;$L987&amp;"|"&amp;$P987&amp;"|"&amp;TEXT($H987,"yyyy-mm-dd"))</f>
        <v/>
      </c>
      <c r="T987" s="1" t="str">
        <f aca="false">IF($S987="","",IF(COUNTIF($S$2:$S$2991,$S987)&gt;1,"DUPLICATE","OK"))</f>
        <v/>
      </c>
      <c r="U987" s="0" t="str">
        <f aca="false">IF($L987="","",IFERROR(VLOOKUP(--$L987,MM_Income!$Z$5:$AC$204,3,FALSE()),"UNMAPPED"))</f>
        <v/>
      </c>
    </row>
    <row r="988" customFormat="false" ht="13.5" hidden="false" customHeight="false" outlineLevel="0" collapsed="false">
      <c r="A988" s="1" t="str">
        <f aca="false">IF($C988="","",Controls!$B$7)</f>
        <v/>
      </c>
      <c r="B988" s="1" t="str">
        <f aca="false">IF($H988="","",YEAR($H988)&amp;"-Q"&amp;ROUNDUP(MONTH($H988)/3,0))</f>
        <v/>
      </c>
      <c r="S988" s="1" t="str">
        <f aca="false">IF($C988="","",$C988&amp;"|"&amp;$E988&amp;"|"&amp;$F988&amp;"|"&amp;$L988&amp;"|"&amp;$P988&amp;"|"&amp;TEXT($H988,"yyyy-mm-dd"))</f>
        <v/>
      </c>
      <c r="T988" s="1" t="str">
        <f aca="false">IF($S988="","",IF(COUNTIF($S$2:$S$2991,$S988)&gt;1,"DUPLICATE","OK"))</f>
        <v/>
      </c>
      <c r="U988" s="0" t="str">
        <f aca="false">IF($L988="","",IFERROR(VLOOKUP(--$L988,MM_Income!$Z$5:$AC$204,3,FALSE()),"UNMAPPED"))</f>
        <v/>
      </c>
    </row>
    <row r="989" customFormat="false" ht="13.5" hidden="false" customHeight="false" outlineLevel="0" collapsed="false">
      <c r="A989" s="1" t="str">
        <f aca="false">IF($C989="","",Controls!$B$7)</f>
        <v/>
      </c>
      <c r="B989" s="1" t="str">
        <f aca="false">IF($H989="","",YEAR($H989)&amp;"-Q"&amp;ROUNDUP(MONTH($H989)/3,0))</f>
        <v/>
      </c>
      <c r="S989" s="1" t="str">
        <f aca="false">IF($C989="","",$C989&amp;"|"&amp;$E989&amp;"|"&amp;$F989&amp;"|"&amp;$L989&amp;"|"&amp;$P989&amp;"|"&amp;TEXT($H989,"yyyy-mm-dd"))</f>
        <v/>
      </c>
      <c r="T989" s="1" t="str">
        <f aca="false">IF($S989="","",IF(COUNTIF($S$2:$S$2991,$S989)&gt;1,"DUPLICATE","OK"))</f>
        <v/>
      </c>
      <c r="U989" s="0" t="str">
        <f aca="false">IF($L989="","",IFERROR(VLOOKUP(--$L989,MM_Income!$Z$5:$AC$204,3,FALSE()),"UNMAPPED"))</f>
        <v/>
      </c>
    </row>
    <row r="990" customFormat="false" ht="13.5" hidden="false" customHeight="false" outlineLevel="0" collapsed="false">
      <c r="A990" s="1" t="str">
        <f aca="false">IF($C990="","",Controls!$B$7)</f>
        <v/>
      </c>
      <c r="B990" s="1" t="str">
        <f aca="false">IF($H990="","",YEAR($H990)&amp;"-Q"&amp;ROUNDUP(MONTH($H990)/3,0))</f>
        <v/>
      </c>
      <c r="S990" s="1" t="str">
        <f aca="false">IF($C990="","",$C990&amp;"|"&amp;$E990&amp;"|"&amp;$F990&amp;"|"&amp;$L990&amp;"|"&amp;$P990&amp;"|"&amp;TEXT($H990,"yyyy-mm-dd"))</f>
        <v/>
      </c>
      <c r="T990" s="1" t="str">
        <f aca="false">IF($S990="","",IF(COUNTIF($S$2:$S$2991,$S990)&gt;1,"DUPLICATE","OK"))</f>
        <v/>
      </c>
      <c r="U990" s="0" t="str">
        <f aca="false">IF($L990="","",IFERROR(VLOOKUP(--$L990,MM_Income!$Z$5:$AC$204,3,FALSE()),"UNMAPPED"))</f>
        <v/>
      </c>
    </row>
    <row r="991" customFormat="false" ht="13.5" hidden="false" customHeight="false" outlineLevel="0" collapsed="false">
      <c r="A991" s="1" t="str">
        <f aca="false">IF($C991="","",Controls!$B$7)</f>
        <v/>
      </c>
      <c r="B991" s="1" t="str">
        <f aca="false">IF($H991="","",YEAR($H991)&amp;"-Q"&amp;ROUNDUP(MONTH($H991)/3,0))</f>
        <v/>
      </c>
      <c r="S991" s="1" t="str">
        <f aca="false">IF($C991="","",$C991&amp;"|"&amp;$E991&amp;"|"&amp;$F991&amp;"|"&amp;$L991&amp;"|"&amp;$P991&amp;"|"&amp;TEXT($H991,"yyyy-mm-dd"))</f>
        <v/>
      </c>
      <c r="T991" s="1" t="str">
        <f aca="false">IF($S991="","",IF(COUNTIF($S$2:$S$2991,$S991)&gt;1,"DUPLICATE","OK"))</f>
        <v/>
      </c>
      <c r="U991" s="0" t="str">
        <f aca="false">IF($L991="","",IFERROR(VLOOKUP(--$L991,MM_Income!$Z$5:$AC$204,3,FALSE()),"UNMAPPED"))</f>
        <v/>
      </c>
    </row>
    <row r="992" customFormat="false" ht="13.5" hidden="false" customHeight="false" outlineLevel="0" collapsed="false">
      <c r="A992" s="1" t="str">
        <f aca="false">IF($C992="","",Controls!$B$7)</f>
        <v/>
      </c>
      <c r="B992" s="1" t="str">
        <f aca="false">IF($H992="","",YEAR($H992)&amp;"-Q"&amp;ROUNDUP(MONTH($H992)/3,0))</f>
        <v/>
      </c>
      <c r="S992" s="1" t="str">
        <f aca="false">IF($C992="","",$C992&amp;"|"&amp;$E992&amp;"|"&amp;$F992&amp;"|"&amp;$L992&amp;"|"&amp;$P992&amp;"|"&amp;TEXT($H992,"yyyy-mm-dd"))</f>
        <v/>
      </c>
      <c r="T992" s="1" t="str">
        <f aca="false">IF($S992="","",IF(COUNTIF($S$2:$S$2991,$S992)&gt;1,"DUPLICATE","OK"))</f>
        <v/>
      </c>
      <c r="U992" s="0" t="str">
        <f aca="false">IF($L992="","",IFERROR(VLOOKUP(--$L992,MM_Income!$Z$5:$AC$204,3,FALSE()),"UNMAPPED"))</f>
        <v/>
      </c>
    </row>
    <row r="993" customFormat="false" ht="13.5" hidden="false" customHeight="false" outlineLevel="0" collapsed="false">
      <c r="A993" s="1" t="str">
        <f aca="false">IF($C993="","",Controls!$B$7)</f>
        <v/>
      </c>
      <c r="B993" s="1" t="str">
        <f aca="false">IF($H993="","",YEAR($H993)&amp;"-Q"&amp;ROUNDUP(MONTH($H993)/3,0))</f>
        <v/>
      </c>
      <c r="S993" s="1" t="str">
        <f aca="false">IF($C993="","",$C993&amp;"|"&amp;$E993&amp;"|"&amp;$F993&amp;"|"&amp;$L993&amp;"|"&amp;$P993&amp;"|"&amp;TEXT($H993,"yyyy-mm-dd"))</f>
        <v/>
      </c>
      <c r="T993" s="1" t="str">
        <f aca="false">IF($S993="","",IF(COUNTIF($S$2:$S$2991,$S993)&gt;1,"DUPLICATE","OK"))</f>
        <v/>
      </c>
      <c r="U993" s="0" t="str">
        <f aca="false">IF($L993="","",IFERROR(VLOOKUP(--$L993,MM_Income!$Z$5:$AC$204,3,FALSE()),"UNMAPPED"))</f>
        <v/>
      </c>
    </row>
    <row r="994" customFormat="false" ht="13.5" hidden="false" customHeight="false" outlineLevel="0" collapsed="false">
      <c r="A994" s="1" t="str">
        <f aca="false">IF($C994="","",Controls!$B$7)</f>
        <v/>
      </c>
      <c r="B994" s="1" t="str">
        <f aca="false">IF($H994="","",YEAR($H994)&amp;"-Q"&amp;ROUNDUP(MONTH($H994)/3,0))</f>
        <v/>
      </c>
      <c r="S994" s="1" t="str">
        <f aca="false">IF($C994="","",$C994&amp;"|"&amp;$E994&amp;"|"&amp;$F994&amp;"|"&amp;$L994&amp;"|"&amp;$P994&amp;"|"&amp;TEXT($H994,"yyyy-mm-dd"))</f>
        <v/>
      </c>
      <c r="T994" s="1" t="str">
        <f aca="false">IF($S994="","",IF(COUNTIF($S$2:$S$2991,$S994)&gt;1,"DUPLICATE","OK"))</f>
        <v/>
      </c>
      <c r="U994" s="0" t="str">
        <f aca="false">IF($L994="","",IFERROR(VLOOKUP(--$L994,MM_Income!$Z$5:$AC$204,3,FALSE()),"UNMAPPED"))</f>
        <v/>
      </c>
    </row>
    <row r="995" customFormat="false" ht="13.5" hidden="false" customHeight="false" outlineLevel="0" collapsed="false">
      <c r="A995" s="1" t="str">
        <f aca="false">IF($C995="","",Controls!$B$7)</f>
        <v/>
      </c>
      <c r="B995" s="1" t="str">
        <f aca="false">IF($H995="","",YEAR($H995)&amp;"-Q"&amp;ROUNDUP(MONTH($H995)/3,0))</f>
        <v/>
      </c>
      <c r="S995" s="1" t="str">
        <f aca="false">IF($C995="","",$C995&amp;"|"&amp;$E995&amp;"|"&amp;$F995&amp;"|"&amp;$L995&amp;"|"&amp;$P995&amp;"|"&amp;TEXT($H995,"yyyy-mm-dd"))</f>
        <v/>
      </c>
      <c r="T995" s="1" t="str">
        <f aca="false">IF($S995="","",IF(COUNTIF($S$2:$S$2991,$S995)&gt;1,"DUPLICATE","OK"))</f>
        <v/>
      </c>
      <c r="U995" s="0" t="str">
        <f aca="false">IF($L995="","",IFERROR(VLOOKUP(--$L995,MM_Income!$Z$5:$AC$204,3,FALSE()),"UNMAPPED"))</f>
        <v/>
      </c>
    </row>
    <row r="996" customFormat="false" ht="13.5" hidden="false" customHeight="false" outlineLevel="0" collapsed="false">
      <c r="A996" s="1" t="str">
        <f aca="false">IF($C996="","",Controls!$B$7)</f>
        <v/>
      </c>
      <c r="B996" s="1" t="str">
        <f aca="false">IF($H996="","",YEAR($H996)&amp;"-Q"&amp;ROUNDUP(MONTH($H996)/3,0))</f>
        <v/>
      </c>
      <c r="S996" s="1" t="str">
        <f aca="false">IF($C996="","",$C996&amp;"|"&amp;$E996&amp;"|"&amp;$F996&amp;"|"&amp;$L996&amp;"|"&amp;$P996&amp;"|"&amp;TEXT($H996,"yyyy-mm-dd"))</f>
        <v/>
      </c>
      <c r="T996" s="1" t="str">
        <f aca="false">IF($S996="","",IF(COUNTIF($S$2:$S$2991,$S996)&gt;1,"DUPLICATE","OK"))</f>
        <v/>
      </c>
      <c r="U996" s="0" t="str">
        <f aca="false">IF($L996="","",IFERROR(VLOOKUP(--$L996,MM_Income!$Z$5:$AC$204,3,FALSE()),"UNMAPPED"))</f>
        <v/>
      </c>
    </row>
    <row r="997" customFormat="false" ht="13.5" hidden="false" customHeight="false" outlineLevel="0" collapsed="false">
      <c r="A997" s="1" t="str">
        <f aca="false">IF($C997="","",Controls!$B$7)</f>
        <v/>
      </c>
      <c r="B997" s="1" t="str">
        <f aca="false">IF($H997="","",YEAR($H997)&amp;"-Q"&amp;ROUNDUP(MONTH($H997)/3,0))</f>
        <v/>
      </c>
      <c r="S997" s="1" t="str">
        <f aca="false">IF($C997="","",$C997&amp;"|"&amp;$E997&amp;"|"&amp;$F997&amp;"|"&amp;$L997&amp;"|"&amp;$P997&amp;"|"&amp;TEXT($H997,"yyyy-mm-dd"))</f>
        <v/>
      </c>
      <c r="T997" s="1" t="str">
        <f aca="false">IF($S997="","",IF(COUNTIF($S$2:$S$2991,$S997)&gt;1,"DUPLICATE","OK"))</f>
        <v/>
      </c>
      <c r="U997" s="0" t="str">
        <f aca="false">IF($L997="","",IFERROR(VLOOKUP(--$L997,MM_Income!$Z$5:$AC$204,3,FALSE()),"UNMAPPED"))</f>
        <v/>
      </c>
    </row>
    <row r="998" customFormat="false" ht="13.5" hidden="false" customHeight="false" outlineLevel="0" collapsed="false">
      <c r="A998" s="1" t="str">
        <f aca="false">IF($C998="","",Controls!$B$7)</f>
        <v/>
      </c>
      <c r="B998" s="1" t="str">
        <f aca="false">IF($H998="","",YEAR($H998)&amp;"-Q"&amp;ROUNDUP(MONTH($H998)/3,0))</f>
        <v/>
      </c>
      <c r="S998" s="1" t="str">
        <f aca="false">IF($C998="","",$C998&amp;"|"&amp;$E998&amp;"|"&amp;$F998&amp;"|"&amp;$L998&amp;"|"&amp;$P998&amp;"|"&amp;TEXT($H998,"yyyy-mm-dd"))</f>
        <v/>
      </c>
      <c r="T998" s="1" t="str">
        <f aca="false">IF($S998="","",IF(COUNTIF($S$2:$S$2991,$S998)&gt;1,"DUPLICATE","OK"))</f>
        <v/>
      </c>
      <c r="U998" s="0" t="str">
        <f aca="false">IF($L998="","",IFERROR(VLOOKUP(--$L998,MM_Income!$Z$5:$AC$204,3,FALSE()),"UNMAPPED"))</f>
        <v/>
      </c>
    </row>
    <row r="999" customFormat="false" ht="13.5" hidden="false" customHeight="false" outlineLevel="0" collapsed="false">
      <c r="A999" s="1" t="str">
        <f aca="false">IF($C999="","",Controls!$B$7)</f>
        <v/>
      </c>
      <c r="B999" s="1" t="str">
        <f aca="false">IF($H999="","",YEAR($H999)&amp;"-Q"&amp;ROUNDUP(MONTH($H999)/3,0))</f>
        <v/>
      </c>
      <c r="S999" s="1" t="str">
        <f aca="false">IF($C999="","",$C999&amp;"|"&amp;$E999&amp;"|"&amp;$F999&amp;"|"&amp;$L999&amp;"|"&amp;$P999&amp;"|"&amp;TEXT($H999,"yyyy-mm-dd"))</f>
        <v/>
      </c>
      <c r="T999" s="1" t="str">
        <f aca="false">IF($S999="","",IF(COUNTIF($S$2:$S$2991,$S999)&gt;1,"DUPLICATE","OK"))</f>
        <v/>
      </c>
      <c r="U999" s="0" t="str">
        <f aca="false">IF($L999="","",IFERROR(VLOOKUP(--$L999,MM_Income!$Z$5:$AC$204,3,FALSE()),"UNMAPPED"))</f>
        <v/>
      </c>
    </row>
    <row r="1000" customFormat="false" ht="13.5" hidden="false" customHeight="false" outlineLevel="0" collapsed="false">
      <c r="A1000" s="1" t="str">
        <f aca="false">IF($C1000="","",Controls!$B$7)</f>
        <v/>
      </c>
      <c r="B1000" s="1" t="str">
        <f aca="false">IF($H1000="","",YEAR($H1000)&amp;"-Q"&amp;ROUNDUP(MONTH($H1000)/3,0))</f>
        <v/>
      </c>
      <c r="S1000" s="1" t="str">
        <f aca="false">IF($C1000="","",$C1000&amp;"|"&amp;$E1000&amp;"|"&amp;$F1000&amp;"|"&amp;$L1000&amp;"|"&amp;$P1000&amp;"|"&amp;TEXT($H1000,"yyyy-mm-dd"))</f>
        <v/>
      </c>
      <c r="T1000" s="1" t="str">
        <f aca="false">IF($S1000="","",IF(COUNTIF($S$2:$S$2991,$S1000)&gt;1,"DUPLICATE","OK"))</f>
        <v/>
      </c>
      <c r="U1000" s="0" t="str">
        <f aca="false">IF($L1000="","",IFERROR(VLOOKUP(--$L1000,MM_Income!$Z$5:$AC$204,3,FALSE()),"UNMAPPED"))</f>
        <v/>
      </c>
    </row>
    <row r="1001" customFormat="false" ht="13.5" hidden="false" customHeight="false" outlineLevel="0" collapsed="false">
      <c r="A1001" s="1" t="str">
        <f aca="false">IF($C1001="","",Controls!$B$7)</f>
        <v/>
      </c>
      <c r="B1001" s="1" t="str">
        <f aca="false">IF($H1001="","",YEAR($H1001)&amp;"-Q"&amp;ROUNDUP(MONTH($H1001)/3,0))</f>
        <v/>
      </c>
      <c r="S1001" s="1" t="str">
        <f aca="false">IF($C1001="","",$C1001&amp;"|"&amp;$E1001&amp;"|"&amp;$F1001&amp;"|"&amp;$L1001&amp;"|"&amp;$P1001&amp;"|"&amp;TEXT($H1001,"yyyy-mm-dd"))</f>
        <v/>
      </c>
      <c r="T1001" s="1" t="str">
        <f aca="false">IF($S1001="","",IF(COUNTIF($S$2:$S$2991,$S1001)&gt;1,"DUPLICATE","OK"))</f>
        <v/>
      </c>
      <c r="U1001" s="0" t="str">
        <f aca="false">IF($L1001="","",IFERROR(VLOOKUP(--$L1001,MM_Income!$Z$5:$AC$204,3,FALSE()),"UNMAPPED"))</f>
        <v/>
      </c>
    </row>
    <row r="1002" customFormat="false" ht="13.5" hidden="false" customHeight="false" outlineLevel="0" collapsed="false">
      <c r="A1002" s="1" t="str">
        <f aca="false">IF($C1002="","",Controls!$B$7)</f>
        <v/>
      </c>
      <c r="B1002" s="1" t="str">
        <f aca="false">IF($H1002="","",YEAR($H1002)&amp;"-Q"&amp;ROUNDUP(MONTH($H1002)/3,0))</f>
        <v/>
      </c>
      <c r="S1002" s="1" t="str">
        <f aca="false">IF($C1002="","",$C1002&amp;"|"&amp;$E1002&amp;"|"&amp;$F1002&amp;"|"&amp;$L1002&amp;"|"&amp;$P1002&amp;"|"&amp;TEXT($H1002,"yyyy-mm-dd"))</f>
        <v/>
      </c>
      <c r="T1002" s="1" t="str">
        <f aca="false">IF($S1002="","",IF(COUNTIF($S$2:$S$2991,$S1002)&gt;1,"DUPLICATE","OK"))</f>
        <v/>
      </c>
      <c r="U1002" s="0" t="str">
        <f aca="false">IF($L1002="","",IFERROR(VLOOKUP(--$L1002,MM_Income!$Z$5:$AC$204,3,FALSE()),"UNMAPPED"))</f>
        <v/>
      </c>
    </row>
    <row r="1003" customFormat="false" ht="13.5" hidden="false" customHeight="false" outlineLevel="0" collapsed="false">
      <c r="A1003" s="1" t="str">
        <f aca="false">IF($C1003="","",Controls!$B$7)</f>
        <v/>
      </c>
      <c r="B1003" s="1" t="str">
        <f aca="false">IF($H1003="","",YEAR($H1003)&amp;"-Q"&amp;ROUNDUP(MONTH($H1003)/3,0))</f>
        <v/>
      </c>
      <c r="S1003" s="1" t="str">
        <f aca="false">IF($C1003="","",$C1003&amp;"|"&amp;$E1003&amp;"|"&amp;$F1003&amp;"|"&amp;$L1003&amp;"|"&amp;$P1003&amp;"|"&amp;TEXT($H1003,"yyyy-mm-dd"))</f>
        <v/>
      </c>
      <c r="T1003" s="1" t="str">
        <f aca="false">IF($S1003="","",IF(COUNTIF($S$2:$S$2991,$S1003)&gt;1,"DUPLICATE","OK"))</f>
        <v/>
      </c>
      <c r="U1003" s="0" t="str">
        <f aca="false">IF($L1003="","",IFERROR(VLOOKUP(--$L1003,MM_Income!$Z$5:$AC$204,3,FALSE()),"UNMAPPED"))</f>
        <v/>
      </c>
    </row>
    <row r="1004" customFormat="false" ht="13.5" hidden="false" customHeight="false" outlineLevel="0" collapsed="false">
      <c r="A1004" s="1" t="str">
        <f aca="false">IF($C1004="","",Controls!$B$7)</f>
        <v/>
      </c>
      <c r="B1004" s="1" t="str">
        <f aca="false">IF($H1004="","",YEAR($H1004)&amp;"-Q"&amp;ROUNDUP(MONTH($H1004)/3,0))</f>
        <v/>
      </c>
      <c r="S1004" s="1" t="str">
        <f aca="false">IF($C1004="","",$C1004&amp;"|"&amp;$E1004&amp;"|"&amp;$F1004&amp;"|"&amp;$L1004&amp;"|"&amp;$P1004&amp;"|"&amp;TEXT($H1004,"yyyy-mm-dd"))</f>
        <v/>
      </c>
      <c r="T1004" s="1" t="str">
        <f aca="false">IF($S1004="","",IF(COUNTIF($S$2:$S$2991,$S1004)&gt;1,"DUPLICATE","OK"))</f>
        <v/>
      </c>
      <c r="U1004" s="0" t="str">
        <f aca="false">IF($L1004="","",IFERROR(VLOOKUP(--$L1004,MM_Income!$Z$5:$AC$204,3,FALSE()),"UNMAPPED"))</f>
        <v/>
      </c>
    </row>
    <row r="1005" customFormat="false" ht="13.5" hidden="false" customHeight="false" outlineLevel="0" collapsed="false">
      <c r="A1005" s="1" t="str">
        <f aca="false">IF($C1005="","",Controls!$B$7)</f>
        <v/>
      </c>
      <c r="B1005" s="1" t="str">
        <f aca="false">IF($H1005="","",YEAR($H1005)&amp;"-Q"&amp;ROUNDUP(MONTH($H1005)/3,0))</f>
        <v/>
      </c>
      <c r="S1005" s="1" t="str">
        <f aca="false">IF($C1005="","",$C1005&amp;"|"&amp;$E1005&amp;"|"&amp;$F1005&amp;"|"&amp;$L1005&amp;"|"&amp;$P1005&amp;"|"&amp;TEXT($H1005,"yyyy-mm-dd"))</f>
        <v/>
      </c>
      <c r="T1005" s="1" t="str">
        <f aca="false">IF($S1005="","",IF(COUNTIF($S$2:$S$2991,$S1005)&gt;1,"DUPLICATE","OK"))</f>
        <v/>
      </c>
      <c r="U1005" s="0" t="str">
        <f aca="false">IF($L1005="","",IFERROR(VLOOKUP(--$L1005,MM_Income!$Z$5:$AC$204,3,FALSE()),"UNMAPPED"))</f>
        <v/>
      </c>
    </row>
    <row r="1006" customFormat="false" ht="13.5" hidden="false" customHeight="false" outlineLevel="0" collapsed="false">
      <c r="A1006" s="1" t="str">
        <f aca="false">IF($C1006="","",Controls!$B$7)</f>
        <v/>
      </c>
      <c r="B1006" s="1" t="str">
        <f aca="false">IF($H1006="","",YEAR($H1006)&amp;"-Q"&amp;ROUNDUP(MONTH($H1006)/3,0))</f>
        <v/>
      </c>
      <c r="S1006" s="1" t="str">
        <f aca="false">IF($C1006="","",$C1006&amp;"|"&amp;$E1006&amp;"|"&amp;$F1006&amp;"|"&amp;$L1006&amp;"|"&amp;$P1006&amp;"|"&amp;TEXT($H1006,"yyyy-mm-dd"))</f>
        <v/>
      </c>
      <c r="T1006" s="1" t="str">
        <f aca="false">IF($S1006="","",IF(COUNTIF($S$2:$S$2991,$S1006)&gt;1,"DUPLICATE","OK"))</f>
        <v/>
      </c>
      <c r="U1006" s="0" t="str">
        <f aca="false">IF($L1006="","",IFERROR(VLOOKUP(--$L1006,MM_Income!$Z$5:$AC$204,3,FALSE()),"UNMAPPED"))</f>
        <v/>
      </c>
    </row>
    <row r="1007" customFormat="false" ht="13.5" hidden="false" customHeight="false" outlineLevel="0" collapsed="false">
      <c r="A1007" s="1" t="str">
        <f aca="false">IF($C1007="","",Controls!$B$7)</f>
        <v/>
      </c>
      <c r="B1007" s="1" t="str">
        <f aca="false">IF($H1007="","",YEAR($H1007)&amp;"-Q"&amp;ROUNDUP(MONTH($H1007)/3,0))</f>
        <v/>
      </c>
      <c r="S1007" s="1" t="str">
        <f aca="false">IF($C1007="","",$C1007&amp;"|"&amp;$E1007&amp;"|"&amp;$F1007&amp;"|"&amp;$L1007&amp;"|"&amp;$P1007&amp;"|"&amp;TEXT($H1007,"yyyy-mm-dd"))</f>
        <v/>
      </c>
      <c r="T1007" s="1" t="str">
        <f aca="false">IF($S1007="","",IF(COUNTIF($S$2:$S$2991,$S1007)&gt;1,"DUPLICATE","OK"))</f>
        <v/>
      </c>
      <c r="U1007" s="0" t="str">
        <f aca="false">IF($L1007="","",IFERROR(VLOOKUP(--$L1007,MM_Income!$Z$5:$AC$204,3,FALSE()),"UNMAPPED"))</f>
        <v/>
      </c>
    </row>
    <row r="1008" customFormat="false" ht="13.5" hidden="false" customHeight="false" outlineLevel="0" collapsed="false">
      <c r="A1008" s="1" t="str">
        <f aca="false">IF($C1008="","",Controls!$B$7)</f>
        <v/>
      </c>
      <c r="B1008" s="1" t="str">
        <f aca="false">IF($H1008="","",YEAR($H1008)&amp;"-Q"&amp;ROUNDUP(MONTH($H1008)/3,0))</f>
        <v/>
      </c>
      <c r="S1008" s="1" t="str">
        <f aca="false">IF($C1008="","",$C1008&amp;"|"&amp;$E1008&amp;"|"&amp;$F1008&amp;"|"&amp;$L1008&amp;"|"&amp;$P1008&amp;"|"&amp;TEXT($H1008,"yyyy-mm-dd"))</f>
        <v/>
      </c>
      <c r="T1008" s="1" t="str">
        <f aca="false">IF($S1008="","",IF(COUNTIF($S$2:$S$2991,$S1008)&gt;1,"DUPLICATE","OK"))</f>
        <v/>
      </c>
      <c r="U1008" s="0" t="str">
        <f aca="false">IF($L1008="","",IFERROR(VLOOKUP(--$L1008,MM_Income!$Z$5:$AC$204,3,FALSE()),"UNMAPPED"))</f>
        <v/>
      </c>
    </row>
    <row r="1009" customFormat="false" ht="13.5" hidden="false" customHeight="false" outlineLevel="0" collapsed="false">
      <c r="A1009" s="1" t="str">
        <f aca="false">IF($C1009="","",Controls!$B$7)</f>
        <v/>
      </c>
      <c r="B1009" s="1" t="str">
        <f aca="false">IF($H1009="","",YEAR($H1009)&amp;"-Q"&amp;ROUNDUP(MONTH($H1009)/3,0))</f>
        <v/>
      </c>
      <c r="S1009" s="1" t="str">
        <f aca="false">IF($C1009="","",$C1009&amp;"|"&amp;$E1009&amp;"|"&amp;$F1009&amp;"|"&amp;$L1009&amp;"|"&amp;$P1009&amp;"|"&amp;TEXT($H1009,"yyyy-mm-dd"))</f>
        <v/>
      </c>
      <c r="T1009" s="1" t="str">
        <f aca="false">IF($S1009="","",IF(COUNTIF($S$2:$S$2991,$S1009)&gt;1,"DUPLICATE","OK"))</f>
        <v/>
      </c>
      <c r="U1009" s="0" t="str">
        <f aca="false">IF($L1009="","",IFERROR(VLOOKUP(--$L1009,MM_Income!$Z$5:$AC$204,3,FALSE()),"UNMAPPED"))</f>
        <v/>
      </c>
    </row>
    <row r="1010" customFormat="false" ht="13.5" hidden="false" customHeight="false" outlineLevel="0" collapsed="false">
      <c r="A1010" s="1" t="str">
        <f aca="false">IF($C1010="","",Controls!$B$7)</f>
        <v/>
      </c>
      <c r="B1010" s="1" t="str">
        <f aca="false">IF($H1010="","",YEAR($H1010)&amp;"-Q"&amp;ROUNDUP(MONTH($H1010)/3,0))</f>
        <v/>
      </c>
      <c r="S1010" s="1" t="str">
        <f aca="false">IF($C1010="","",$C1010&amp;"|"&amp;$E1010&amp;"|"&amp;$F1010&amp;"|"&amp;$L1010&amp;"|"&amp;$P1010&amp;"|"&amp;TEXT($H1010,"yyyy-mm-dd"))</f>
        <v/>
      </c>
      <c r="T1010" s="1" t="str">
        <f aca="false">IF($S1010="","",IF(COUNTIF($S$2:$S$2991,$S1010)&gt;1,"DUPLICATE","OK"))</f>
        <v/>
      </c>
      <c r="U1010" s="0" t="str">
        <f aca="false">IF($L1010="","",IFERROR(VLOOKUP(--$L1010,MM_Income!$Z$5:$AC$204,3,FALSE()),"UNMAPPED"))</f>
        <v/>
      </c>
    </row>
    <row r="1011" customFormat="false" ht="13.5" hidden="false" customHeight="false" outlineLevel="0" collapsed="false">
      <c r="A1011" s="1" t="str">
        <f aca="false">IF($C1011="","",Controls!$B$7)</f>
        <v/>
      </c>
      <c r="B1011" s="1" t="str">
        <f aca="false">IF($H1011="","",YEAR($H1011)&amp;"-Q"&amp;ROUNDUP(MONTH($H1011)/3,0))</f>
        <v/>
      </c>
      <c r="S1011" s="1" t="str">
        <f aca="false">IF($C1011="","",$C1011&amp;"|"&amp;$E1011&amp;"|"&amp;$F1011&amp;"|"&amp;$L1011&amp;"|"&amp;$P1011&amp;"|"&amp;TEXT($H1011,"yyyy-mm-dd"))</f>
        <v/>
      </c>
      <c r="T1011" s="1" t="str">
        <f aca="false">IF($S1011="","",IF(COUNTIF($S$2:$S$2991,$S1011)&gt;1,"DUPLICATE","OK"))</f>
        <v/>
      </c>
      <c r="U1011" s="0" t="str">
        <f aca="false">IF($L1011="","",IFERROR(VLOOKUP(--$L1011,MM_Income!$Z$5:$AC$204,3,FALSE()),"UNMAPPED"))</f>
        <v/>
      </c>
    </row>
    <row r="1012" customFormat="false" ht="13.5" hidden="false" customHeight="false" outlineLevel="0" collapsed="false">
      <c r="A1012" s="1" t="str">
        <f aca="false">IF($C1012="","",Controls!$B$7)</f>
        <v/>
      </c>
      <c r="B1012" s="1" t="str">
        <f aca="false">IF($H1012="","",YEAR($H1012)&amp;"-Q"&amp;ROUNDUP(MONTH($H1012)/3,0))</f>
        <v/>
      </c>
      <c r="S1012" s="1" t="str">
        <f aca="false">IF($C1012="","",$C1012&amp;"|"&amp;$E1012&amp;"|"&amp;$F1012&amp;"|"&amp;$L1012&amp;"|"&amp;$P1012&amp;"|"&amp;TEXT($H1012,"yyyy-mm-dd"))</f>
        <v/>
      </c>
      <c r="T1012" s="1" t="str">
        <f aca="false">IF($S1012="","",IF(COUNTIF($S$2:$S$2991,$S1012)&gt;1,"DUPLICATE","OK"))</f>
        <v/>
      </c>
      <c r="U1012" s="0" t="str">
        <f aca="false">IF($L1012="","",IFERROR(VLOOKUP(--$L1012,MM_Income!$Z$5:$AC$204,3,FALSE()),"UNMAPPED"))</f>
        <v/>
      </c>
    </row>
    <row r="1013" customFormat="false" ht="13.5" hidden="false" customHeight="false" outlineLevel="0" collapsed="false">
      <c r="A1013" s="1" t="str">
        <f aca="false">IF($C1013="","",Controls!$B$7)</f>
        <v/>
      </c>
      <c r="B1013" s="1" t="str">
        <f aca="false">IF($H1013="","",YEAR($H1013)&amp;"-Q"&amp;ROUNDUP(MONTH($H1013)/3,0))</f>
        <v/>
      </c>
      <c r="S1013" s="1" t="str">
        <f aca="false">IF($C1013="","",$C1013&amp;"|"&amp;$E1013&amp;"|"&amp;$F1013&amp;"|"&amp;$L1013&amp;"|"&amp;$P1013&amp;"|"&amp;TEXT($H1013,"yyyy-mm-dd"))</f>
        <v/>
      </c>
      <c r="T1013" s="1" t="str">
        <f aca="false">IF($S1013="","",IF(COUNTIF($S$2:$S$2991,$S1013)&gt;1,"DUPLICATE","OK"))</f>
        <v/>
      </c>
      <c r="U1013" s="0" t="str">
        <f aca="false">IF($L1013="","",IFERROR(VLOOKUP(--$L1013,MM_Income!$Z$5:$AC$204,3,FALSE()),"UNMAPPED"))</f>
        <v/>
      </c>
    </row>
    <row r="1014" customFormat="false" ht="13.5" hidden="false" customHeight="false" outlineLevel="0" collapsed="false">
      <c r="A1014" s="1" t="str">
        <f aca="false">IF($C1014="","",Controls!$B$7)</f>
        <v/>
      </c>
      <c r="B1014" s="1" t="str">
        <f aca="false">IF($H1014="","",YEAR($H1014)&amp;"-Q"&amp;ROUNDUP(MONTH($H1014)/3,0))</f>
        <v/>
      </c>
      <c r="S1014" s="1" t="str">
        <f aca="false">IF($C1014="","",$C1014&amp;"|"&amp;$E1014&amp;"|"&amp;$F1014&amp;"|"&amp;$L1014&amp;"|"&amp;$P1014&amp;"|"&amp;TEXT($H1014,"yyyy-mm-dd"))</f>
        <v/>
      </c>
      <c r="T1014" s="1" t="str">
        <f aca="false">IF($S1014="","",IF(COUNTIF($S$2:$S$2991,$S1014)&gt;1,"DUPLICATE","OK"))</f>
        <v/>
      </c>
      <c r="U1014" s="0" t="str">
        <f aca="false">IF($L1014="","",IFERROR(VLOOKUP(--$L1014,MM_Income!$Z$5:$AC$204,3,FALSE()),"UNMAPPED"))</f>
        <v/>
      </c>
    </row>
    <row r="1015" customFormat="false" ht="13.5" hidden="false" customHeight="false" outlineLevel="0" collapsed="false">
      <c r="A1015" s="1" t="str">
        <f aca="false">IF($C1015="","",Controls!$B$7)</f>
        <v/>
      </c>
      <c r="B1015" s="1" t="str">
        <f aca="false">IF($H1015="","",YEAR($H1015)&amp;"-Q"&amp;ROUNDUP(MONTH($H1015)/3,0))</f>
        <v/>
      </c>
      <c r="S1015" s="1" t="str">
        <f aca="false">IF($C1015="","",$C1015&amp;"|"&amp;$E1015&amp;"|"&amp;$F1015&amp;"|"&amp;$L1015&amp;"|"&amp;$P1015&amp;"|"&amp;TEXT($H1015,"yyyy-mm-dd"))</f>
        <v/>
      </c>
      <c r="T1015" s="1" t="str">
        <f aca="false">IF($S1015="","",IF(COUNTIF($S$2:$S$2991,$S1015)&gt;1,"DUPLICATE","OK"))</f>
        <v/>
      </c>
      <c r="U1015" s="0" t="str">
        <f aca="false">IF($L1015="","",IFERROR(VLOOKUP(--$L1015,MM_Income!$Z$5:$AC$204,3,FALSE()),"UNMAPPED"))</f>
        <v/>
      </c>
    </row>
    <row r="1016" customFormat="false" ht="13.5" hidden="false" customHeight="false" outlineLevel="0" collapsed="false">
      <c r="A1016" s="1" t="str">
        <f aca="false">IF($C1016="","",Controls!$B$7)</f>
        <v/>
      </c>
      <c r="B1016" s="1" t="str">
        <f aca="false">IF($H1016="","",YEAR($H1016)&amp;"-Q"&amp;ROUNDUP(MONTH($H1016)/3,0))</f>
        <v/>
      </c>
      <c r="S1016" s="1" t="str">
        <f aca="false">IF($C1016="","",$C1016&amp;"|"&amp;$E1016&amp;"|"&amp;$F1016&amp;"|"&amp;$L1016&amp;"|"&amp;$P1016&amp;"|"&amp;TEXT($H1016,"yyyy-mm-dd"))</f>
        <v/>
      </c>
      <c r="T1016" s="1" t="str">
        <f aca="false">IF($S1016="","",IF(COUNTIF($S$2:$S$2991,$S1016)&gt;1,"DUPLICATE","OK"))</f>
        <v/>
      </c>
      <c r="U1016" s="0" t="str">
        <f aca="false">IF($L1016="","",IFERROR(VLOOKUP(--$L1016,MM_Income!$Z$5:$AC$204,3,FALSE()),"UNMAPPED"))</f>
        <v/>
      </c>
    </row>
    <row r="1017" customFormat="false" ht="13.5" hidden="false" customHeight="false" outlineLevel="0" collapsed="false">
      <c r="A1017" s="1" t="str">
        <f aca="false">IF($C1017="","",Controls!$B$7)</f>
        <v/>
      </c>
      <c r="B1017" s="1" t="str">
        <f aca="false">IF($H1017="","",YEAR($H1017)&amp;"-Q"&amp;ROUNDUP(MONTH($H1017)/3,0))</f>
        <v/>
      </c>
      <c r="S1017" s="1" t="str">
        <f aca="false">IF($C1017="","",$C1017&amp;"|"&amp;$E1017&amp;"|"&amp;$F1017&amp;"|"&amp;$L1017&amp;"|"&amp;$P1017&amp;"|"&amp;TEXT($H1017,"yyyy-mm-dd"))</f>
        <v/>
      </c>
      <c r="T1017" s="1" t="str">
        <f aca="false">IF($S1017="","",IF(COUNTIF($S$2:$S$2991,$S1017)&gt;1,"DUPLICATE","OK"))</f>
        <v/>
      </c>
      <c r="U1017" s="0" t="str">
        <f aca="false">IF($L1017="","",IFERROR(VLOOKUP(--$L1017,MM_Income!$Z$5:$AC$204,3,FALSE()),"UNMAPPED"))</f>
        <v/>
      </c>
    </row>
    <row r="1018" customFormat="false" ht="13.5" hidden="false" customHeight="false" outlineLevel="0" collapsed="false">
      <c r="A1018" s="1" t="str">
        <f aca="false">IF($C1018="","",Controls!$B$7)</f>
        <v/>
      </c>
      <c r="B1018" s="1" t="str">
        <f aca="false">IF($H1018="","",YEAR($H1018)&amp;"-Q"&amp;ROUNDUP(MONTH($H1018)/3,0))</f>
        <v/>
      </c>
      <c r="S1018" s="1" t="str">
        <f aca="false">IF($C1018="","",$C1018&amp;"|"&amp;$E1018&amp;"|"&amp;$F1018&amp;"|"&amp;$L1018&amp;"|"&amp;$P1018&amp;"|"&amp;TEXT($H1018,"yyyy-mm-dd"))</f>
        <v/>
      </c>
      <c r="T1018" s="1" t="str">
        <f aca="false">IF($S1018="","",IF(COUNTIF($S$2:$S$2991,$S1018)&gt;1,"DUPLICATE","OK"))</f>
        <v/>
      </c>
      <c r="U1018" s="0" t="str">
        <f aca="false">IF($L1018="","",IFERROR(VLOOKUP(--$L1018,MM_Income!$Z$5:$AC$204,3,FALSE()),"UNMAPPED"))</f>
        <v/>
      </c>
    </row>
    <row r="1019" customFormat="false" ht="13.5" hidden="false" customHeight="false" outlineLevel="0" collapsed="false">
      <c r="A1019" s="1" t="str">
        <f aca="false">IF($C1019="","",Controls!$B$7)</f>
        <v/>
      </c>
      <c r="B1019" s="1" t="str">
        <f aca="false">IF($H1019="","",YEAR($H1019)&amp;"-Q"&amp;ROUNDUP(MONTH($H1019)/3,0))</f>
        <v/>
      </c>
      <c r="S1019" s="1" t="str">
        <f aca="false">IF($C1019="","",$C1019&amp;"|"&amp;$E1019&amp;"|"&amp;$F1019&amp;"|"&amp;$L1019&amp;"|"&amp;$P1019&amp;"|"&amp;TEXT($H1019,"yyyy-mm-dd"))</f>
        <v/>
      </c>
      <c r="T1019" s="1" t="str">
        <f aca="false">IF($S1019="","",IF(COUNTIF($S$2:$S$2991,$S1019)&gt;1,"DUPLICATE","OK"))</f>
        <v/>
      </c>
      <c r="U1019" s="0" t="str">
        <f aca="false">IF($L1019="","",IFERROR(VLOOKUP(--$L1019,MM_Income!$Z$5:$AC$204,3,FALSE()),"UNMAPPED"))</f>
        <v/>
      </c>
    </row>
    <row r="1020" customFormat="false" ht="13.5" hidden="false" customHeight="false" outlineLevel="0" collapsed="false">
      <c r="A1020" s="1" t="str">
        <f aca="false">IF($C1020="","",Controls!$B$7)</f>
        <v/>
      </c>
      <c r="B1020" s="1" t="str">
        <f aca="false">IF($H1020="","",YEAR($H1020)&amp;"-Q"&amp;ROUNDUP(MONTH($H1020)/3,0))</f>
        <v/>
      </c>
      <c r="S1020" s="1" t="str">
        <f aca="false">IF($C1020="","",$C1020&amp;"|"&amp;$E1020&amp;"|"&amp;$F1020&amp;"|"&amp;$L1020&amp;"|"&amp;$P1020&amp;"|"&amp;TEXT($H1020,"yyyy-mm-dd"))</f>
        <v/>
      </c>
      <c r="T1020" s="1" t="str">
        <f aca="false">IF($S1020="","",IF(COUNTIF($S$2:$S$2991,$S1020)&gt;1,"DUPLICATE","OK"))</f>
        <v/>
      </c>
      <c r="U1020" s="0" t="str">
        <f aca="false">IF($L1020="","",IFERROR(VLOOKUP(--$L1020,MM_Income!$Z$5:$AC$204,3,FALSE()),"UNMAPPED"))</f>
        <v/>
      </c>
    </row>
    <row r="1021" customFormat="false" ht="13.5" hidden="false" customHeight="false" outlineLevel="0" collapsed="false">
      <c r="A1021" s="1" t="str">
        <f aca="false">IF($C1021="","",Controls!$B$7)</f>
        <v/>
      </c>
      <c r="B1021" s="1" t="str">
        <f aca="false">IF($H1021="","",YEAR($H1021)&amp;"-Q"&amp;ROUNDUP(MONTH($H1021)/3,0))</f>
        <v/>
      </c>
      <c r="S1021" s="1" t="str">
        <f aca="false">IF($C1021="","",$C1021&amp;"|"&amp;$E1021&amp;"|"&amp;$F1021&amp;"|"&amp;$L1021&amp;"|"&amp;$P1021&amp;"|"&amp;TEXT($H1021,"yyyy-mm-dd"))</f>
        <v/>
      </c>
      <c r="T1021" s="1" t="str">
        <f aca="false">IF($S1021="","",IF(COUNTIF($S$2:$S$2991,$S1021)&gt;1,"DUPLICATE","OK"))</f>
        <v/>
      </c>
      <c r="U1021" s="0" t="str">
        <f aca="false">IF($L1021="","",IFERROR(VLOOKUP(--$L1021,MM_Income!$Z$5:$AC$204,3,FALSE()),"UNMAPPED"))</f>
        <v/>
      </c>
    </row>
    <row r="1022" customFormat="false" ht="13.5" hidden="false" customHeight="false" outlineLevel="0" collapsed="false">
      <c r="A1022" s="1" t="str">
        <f aca="false">IF($C1022="","",Controls!$B$7)</f>
        <v/>
      </c>
      <c r="B1022" s="1" t="str">
        <f aca="false">IF($H1022="","",YEAR($H1022)&amp;"-Q"&amp;ROUNDUP(MONTH($H1022)/3,0))</f>
        <v/>
      </c>
      <c r="S1022" s="1" t="str">
        <f aca="false">IF($C1022="","",$C1022&amp;"|"&amp;$E1022&amp;"|"&amp;$F1022&amp;"|"&amp;$L1022&amp;"|"&amp;$P1022&amp;"|"&amp;TEXT($H1022,"yyyy-mm-dd"))</f>
        <v/>
      </c>
      <c r="T1022" s="1" t="str">
        <f aca="false">IF($S1022="","",IF(COUNTIF($S$2:$S$2991,$S1022)&gt;1,"DUPLICATE","OK"))</f>
        <v/>
      </c>
      <c r="U1022" s="0" t="str">
        <f aca="false">IF($L1022="","",IFERROR(VLOOKUP(--$L1022,MM_Income!$Z$5:$AC$204,3,FALSE()),"UNMAPPED"))</f>
        <v/>
      </c>
    </row>
    <row r="1023" customFormat="false" ht="13.5" hidden="false" customHeight="false" outlineLevel="0" collapsed="false">
      <c r="A1023" s="1" t="str">
        <f aca="false">IF($C1023="","",Controls!$B$7)</f>
        <v/>
      </c>
      <c r="B1023" s="1" t="str">
        <f aca="false">IF($H1023="","",YEAR($H1023)&amp;"-Q"&amp;ROUNDUP(MONTH($H1023)/3,0))</f>
        <v/>
      </c>
      <c r="S1023" s="1" t="str">
        <f aca="false">IF($C1023="","",$C1023&amp;"|"&amp;$E1023&amp;"|"&amp;$F1023&amp;"|"&amp;$L1023&amp;"|"&amp;$P1023&amp;"|"&amp;TEXT($H1023,"yyyy-mm-dd"))</f>
        <v/>
      </c>
      <c r="T1023" s="1" t="str">
        <f aca="false">IF($S1023="","",IF(COUNTIF($S$2:$S$2991,$S1023)&gt;1,"DUPLICATE","OK"))</f>
        <v/>
      </c>
      <c r="U1023" s="0" t="str">
        <f aca="false">IF($L1023="","",IFERROR(VLOOKUP(--$L1023,MM_Income!$Z$5:$AC$204,3,FALSE()),"UNMAPPED"))</f>
        <v/>
      </c>
    </row>
    <row r="1024" customFormat="false" ht="13.5" hidden="false" customHeight="false" outlineLevel="0" collapsed="false">
      <c r="A1024" s="1" t="str">
        <f aca="false">IF($C1024="","",Controls!$B$7)</f>
        <v/>
      </c>
      <c r="B1024" s="1" t="str">
        <f aca="false">IF($H1024="","",YEAR($H1024)&amp;"-Q"&amp;ROUNDUP(MONTH($H1024)/3,0))</f>
        <v/>
      </c>
      <c r="S1024" s="1" t="str">
        <f aca="false">IF($C1024="","",$C1024&amp;"|"&amp;$E1024&amp;"|"&amp;$F1024&amp;"|"&amp;$L1024&amp;"|"&amp;$P1024&amp;"|"&amp;TEXT($H1024,"yyyy-mm-dd"))</f>
        <v/>
      </c>
      <c r="T1024" s="1" t="str">
        <f aca="false">IF($S1024="","",IF(COUNTIF($S$2:$S$2991,$S1024)&gt;1,"DUPLICATE","OK"))</f>
        <v/>
      </c>
      <c r="U1024" s="0" t="str">
        <f aca="false">IF($L1024="","",IFERROR(VLOOKUP(--$L1024,MM_Income!$Z$5:$AC$204,3,FALSE()),"UNMAPPED"))</f>
        <v/>
      </c>
    </row>
    <row r="1025" customFormat="false" ht="13.5" hidden="false" customHeight="false" outlineLevel="0" collapsed="false">
      <c r="A1025" s="1" t="str">
        <f aca="false">IF($C1025="","",Controls!$B$7)</f>
        <v/>
      </c>
      <c r="B1025" s="1" t="str">
        <f aca="false">IF($H1025="","",YEAR($H1025)&amp;"-Q"&amp;ROUNDUP(MONTH($H1025)/3,0))</f>
        <v/>
      </c>
      <c r="S1025" s="1" t="str">
        <f aca="false">IF($C1025="","",$C1025&amp;"|"&amp;$E1025&amp;"|"&amp;$F1025&amp;"|"&amp;$L1025&amp;"|"&amp;$P1025&amp;"|"&amp;TEXT($H1025,"yyyy-mm-dd"))</f>
        <v/>
      </c>
      <c r="T1025" s="1" t="str">
        <f aca="false">IF($S1025="","",IF(COUNTIF($S$2:$S$2991,$S1025)&gt;1,"DUPLICATE","OK"))</f>
        <v/>
      </c>
      <c r="U1025" s="0" t="str">
        <f aca="false">IF($L1025="","",IFERROR(VLOOKUP(--$L1025,MM_Income!$Z$5:$AC$204,3,FALSE()),"UNMAPPED"))</f>
        <v/>
      </c>
    </row>
    <row r="1026" customFormat="false" ht="13.5" hidden="false" customHeight="false" outlineLevel="0" collapsed="false">
      <c r="A1026" s="1" t="str">
        <f aca="false">IF($C1026="","",Controls!$B$7)</f>
        <v/>
      </c>
      <c r="B1026" s="1" t="str">
        <f aca="false">IF($H1026="","",YEAR($H1026)&amp;"-Q"&amp;ROUNDUP(MONTH($H1026)/3,0))</f>
        <v/>
      </c>
      <c r="S1026" s="1" t="str">
        <f aca="false">IF($C1026="","",$C1026&amp;"|"&amp;$E1026&amp;"|"&amp;$F1026&amp;"|"&amp;$L1026&amp;"|"&amp;$P1026&amp;"|"&amp;TEXT($H1026,"yyyy-mm-dd"))</f>
        <v/>
      </c>
      <c r="T1026" s="1" t="str">
        <f aca="false">IF($S1026="","",IF(COUNTIF($S$2:$S$2991,$S1026)&gt;1,"DUPLICATE","OK"))</f>
        <v/>
      </c>
      <c r="U1026" s="0" t="str">
        <f aca="false">IF($L1026="","",IFERROR(VLOOKUP(--$L1026,MM_Income!$Z$5:$AC$204,3,FALSE()),"UNMAPPED"))</f>
        <v/>
      </c>
    </row>
    <row r="1027" customFormat="false" ht="13.5" hidden="false" customHeight="false" outlineLevel="0" collapsed="false">
      <c r="A1027" s="1" t="str">
        <f aca="false">IF($C1027="","",Controls!$B$7)</f>
        <v/>
      </c>
      <c r="B1027" s="1" t="str">
        <f aca="false">IF($H1027="","",YEAR($H1027)&amp;"-Q"&amp;ROUNDUP(MONTH($H1027)/3,0))</f>
        <v/>
      </c>
      <c r="S1027" s="1" t="str">
        <f aca="false">IF($C1027="","",$C1027&amp;"|"&amp;$E1027&amp;"|"&amp;$F1027&amp;"|"&amp;$L1027&amp;"|"&amp;$P1027&amp;"|"&amp;TEXT($H1027,"yyyy-mm-dd"))</f>
        <v/>
      </c>
      <c r="T1027" s="1" t="str">
        <f aca="false">IF($S1027="","",IF(COUNTIF($S$2:$S$2991,$S1027)&gt;1,"DUPLICATE","OK"))</f>
        <v/>
      </c>
      <c r="U1027" s="0" t="str">
        <f aca="false">IF($L1027="","",IFERROR(VLOOKUP(--$L1027,MM_Income!$Z$5:$AC$204,3,FALSE()),"UNMAPPED"))</f>
        <v/>
      </c>
    </row>
    <row r="1028" customFormat="false" ht="13.5" hidden="false" customHeight="false" outlineLevel="0" collapsed="false">
      <c r="A1028" s="1" t="str">
        <f aca="false">IF($C1028="","",Controls!$B$7)</f>
        <v/>
      </c>
      <c r="B1028" s="1" t="str">
        <f aca="false">IF($H1028="","",YEAR($H1028)&amp;"-Q"&amp;ROUNDUP(MONTH($H1028)/3,0))</f>
        <v/>
      </c>
      <c r="S1028" s="1" t="str">
        <f aca="false">IF($C1028="","",$C1028&amp;"|"&amp;$E1028&amp;"|"&amp;$F1028&amp;"|"&amp;$L1028&amp;"|"&amp;$P1028&amp;"|"&amp;TEXT($H1028,"yyyy-mm-dd"))</f>
        <v/>
      </c>
      <c r="T1028" s="1" t="str">
        <f aca="false">IF($S1028="","",IF(COUNTIF($S$2:$S$2991,$S1028)&gt;1,"DUPLICATE","OK"))</f>
        <v/>
      </c>
      <c r="U1028" s="0" t="str">
        <f aca="false">IF($L1028="","",IFERROR(VLOOKUP(--$L1028,MM_Income!$Z$5:$AC$204,3,FALSE()),"UNMAPPED"))</f>
        <v/>
      </c>
    </row>
    <row r="1029" customFormat="false" ht="13.5" hidden="false" customHeight="false" outlineLevel="0" collapsed="false">
      <c r="A1029" s="1" t="str">
        <f aca="false">IF($C1029="","",Controls!$B$7)</f>
        <v/>
      </c>
      <c r="B1029" s="1" t="str">
        <f aca="false">IF($H1029="","",YEAR($H1029)&amp;"-Q"&amp;ROUNDUP(MONTH($H1029)/3,0))</f>
        <v/>
      </c>
      <c r="S1029" s="1" t="str">
        <f aca="false">IF($C1029="","",$C1029&amp;"|"&amp;$E1029&amp;"|"&amp;$F1029&amp;"|"&amp;$L1029&amp;"|"&amp;$P1029&amp;"|"&amp;TEXT($H1029,"yyyy-mm-dd"))</f>
        <v/>
      </c>
      <c r="T1029" s="1" t="str">
        <f aca="false">IF($S1029="","",IF(COUNTIF($S$2:$S$2991,$S1029)&gt;1,"DUPLICATE","OK"))</f>
        <v/>
      </c>
      <c r="U1029" s="0" t="str">
        <f aca="false">IF($L1029="","",IFERROR(VLOOKUP(--$L1029,MM_Income!$Z$5:$AC$204,3,FALSE()),"UNMAPPED"))</f>
        <v/>
      </c>
    </row>
    <row r="1030" customFormat="false" ht="13.5" hidden="false" customHeight="false" outlineLevel="0" collapsed="false">
      <c r="A1030" s="1" t="str">
        <f aca="false">IF($C1030="","",Controls!$B$7)</f>
        <v/>
      </c>
      <c r="B1030" s="1" t="str">
        <f aca="false">IF($H1030="","",YEAR($H1030)&amp;"-Q"&amp;ROUNDUP(MONTH($H1030)/3,0))</f>
        <v/>
      </c>
      <c r="S1030" s="1" t="str">
        <f aca="false">IF($C1030="","",$C1030&amp;"|"&amp;$E1030&amp;"|"&amp;$F1030&amp;"|"&amp;$L1030&amp;"|"&amp;$P1030&amp;"|"&amp;TEXT($H1030,"yyyy-mm-dd"))</f>
        <v/>
      </c>
      <c r="T1030" s="1" t="str">
        <f aca="false">IF($S1030="","",IF(COUNTIF($S$2:$S$2991,$S1030)&gt;1,"DUPLICATE","OK"))</f>
        <v/>
      </c>
      <c r="U1030" s="0" t="str">
        <f aca="false">IF($L1030="","",IFERROR(VLOOKUP(--$L1030,MM_Income!$Z$5:$AC$204,3,FALSE()),"UNMAPPED"))</f>
        <v/>
      </c>
    </row>
    <row r="1031" customFormat="false" ht="13.5" hidden="false" customHeight="false" outlineLevel="0" collapsed="false">
      <c r="A1031" s="1" t="str">
        <f aca="false">IF($C1031="","",Controls!$B$7)</f>
        <v/>
      </c>
      <c r="B1031" s="1" t="str">
        <f aca="false">IF($H1031="","",YEAR($H1031)&amp;"-Q"&amp;ROUNDUP(MONTH($H1031)/3,0))</f>
        <v/>
      </c>
      <c r="S1031" s="1" t="str">
        <f aca="false">IF($C1031="","",$C1031&amp;"|"&amp;$E1031&amp;"|"&amp;$F1031&amp;"|"&amp;$L1031&amp;"|"&amp;$P1031&amp;"|"&amp;TEXT($H1031,"yyyy-mm-dd"))</f>
        <v/>
      </c>
      <c r="T1031" s="1" t="str">
        <f aca="false">IF($S1031="","",IF(COUNTIF($S$2:$S$2991,$S1031)&gt;1,"DUPLICATE","OK"))</f>
        <v/>
      </c>
      <c r="U1031" s="0" t="str">
        <f aca="false">IF($L1031="","",IFERROR(VLOOKUP(--$L1031,MM_Income!$Z$5:$AC$204,3,FALSE()),"UNMAPPED"))</f>
        <v/>
      </c>
    </row>
    <row r="1032" customFormat="false" ht="13.5" hidden="false" customHeight="false" outlineLevel="0" collapsed="false">
      <c r="A1032" s="1" t="str">
        <f aca="false">IF($C1032="","",Controls!$B$7)</f>
        <v/>
      </c>
      <c r="B1032" s="1" t="str">
        <f aca="false">IF($H1032="","",YEAR($H1032)&amp;"-Q"&amp;ROUNDUP(MONTH($H1032)/3,0))</f>
        <v/>
      </c>
      <c r="S1032" s="1" t="str">
        <f aca="false">IF($C1032="","",$C1032&amp;"|"&amp;$E1032&amp;"|"&amp;$F1032&amp;"|"&amp;$L1032&amp;"|"&amp;$P1032&amp;"|"&amp;TEXT($H1032,"yyyy-mm-dd"))</f>
        <v/>
      </c>
      <c r="T1032" s="1" t="str">
        <f aca="false">IF($S1032="","",IF(COUNTIF($S$2:$S$2991,$S1032)&gt;1,"DUPLICATE","OK"))</f>
        <v/>
      </c>
      <c r="U1032" s="0" t="str">
        <f aca="false">IF($L1032="","",IFERROR(VLOOKUP(--$L1032,MM_Income!$Z$5:$AC$204,3,FALSE()),"UNMAPPED"))</f>
        <v/>
      </c>
    </row>
    <row r="1033" customFormat="false" ht="13.5" hidden="false" customHeight="false" outlineLevel="0" collapsed="false">
      <c r="A1033" s="1" t="str">
        <f aca="false">IF($C1033="","",Controls!$B$7)</f>
        <v/>
      </c>
      <c r="B1033" s="1" t="str">
        <f aca="false">IF($H1033="","",YEAR($H1033)&amp;"-Q"&amp;ROUNDUP(MONTH($H1033)/3,0))</f>
        <v/>
      </c>
      <c r="S1033" s="1" t="str">
        <f aca="false">IF($C1033="","",$C1033&amp;"|"&amp;$E1033&amp;"|"&amp;$F1033&amp;"|"&amp;$L1033&amp;"|"&amp;$P1033&amp;"|"&amp;TEXT($H1033,"yyyy-mm-dd"))</f>
        <v/>
      </c>
      <c r="T1033" s="1" t="str">
        <f aca="false">IF($S1033="","",IF(COUNTIF($S$2:$S$2991,$S1033)&gt;1,"DUPLICATE","OK"))</f>
        <v/>
      </c>
      <c r="U1033" s="0" t="str">
        <f aca="false">IF($L1033="","",IFERROR(VLOOKUP(--$L1033,MM_Income!$Z$5:$AC$204,3,FALSE()),"UNMAPPED"))</f>
        <v/>
      </c>
    </row>
    <row r="1034" customFormat="false" ht="13.5" hidden="false" customHeight="false" outlineLevel="0" collapsed="false">
      <c r="A1034" s="1" t="str">
        <f aca="false">IF($C1034="","",Controls!$B$7)</f>
        <v/>
      </c>
      <c r="B1034" s="1" t="str">
        <f aca="false">IF($H1034="","",YEAR($H1034)&amp;"-Q"&amp;ROUNDUP(MONTH($H1034)/3,0))</f>
        <v/>
      </c>
      <c r="S1034" s="1" t="str">
        <f aca="false">IF($C1034="","",$C1034&amp;"|"&amp;$E1034&amp;"|"&amp;$F1034&amp;"|"&amp;$L1034&amp;"|"&amp;$P1034&amp;"|"&amp;TEXT($H1034,"yyyy-mm-dd"))</f>
        <v/>
      </c>
      <c r="T1034" s="1" t="str">
        <f aca="false">IF($S1034="","",IF(COUNTIF($S$2:$S$2991,$S1034)&gt;1,"DUPLICATE","OK"))</f>
        <v/>
      </c>
      <c r="U1034" s="0" t="str">
        <f aca="false">IF($L1034="","",IFERROR(VLOOKUP(--$L1034,MM_Income!$Z$5:$AC$204,3,FALSE()),"UNMAPPED"))</f>
        <v/>
      </c>
    </row>
    <row r="1035" customFormat="false" ht="13.5" hidden="false" customHeight="false" outlineLevel="0" collapsed="false">
      <c r="A1035" s="1" t="str">
        <f aca="false">IF($C1035="","",Controls!$B$7)</f>
        <v/>
      </c>
      <c r="B1035" s="1" t="str">
        <f aca="false">IF($H1035="","",YEAR($H1035)&amp;"-Q"&amp;ROUNDUP(MONTH($H1035)/3,0))</f>
        <v/>
      </c>
      <c r="S1035" s="1" t="str">
        <f aca="false">IF($C1035="","",$C1035&amp;"|"&amp;$E1035&amp;"|"&amp;$F1035&amp;"|"&amp;$L1035&amp;"|"&amp;$P1035&amp;"|"&amp;TEXT($H1035,"yyyy-mm-dd"))</f>
        <v/>
      </c>
      <c r="T1035" s="1" t="str">
        <f aca="false">IF($S1035="","",IF(COUNTIF($S$2:$S$2991,$S1035)&gt;1,"DUPLICATE","OK"))</f>
        <v/>
      </c>
      <c r="U1035" s="0" t="str">
        <f aca="false">IF($L1035="","",IFERROR(VLOOKUP(--$L1035,MM_Income!$Z$5:$AC$204,3,FALSE()),"UNMAPPED"))</f>
        <v/>
      </c>
    </row>
    <row r="1036" customFormat="false" ht="13.5" hidden="false" customHeight="false" outlineLevel="0" collapsed="false">
      <c r="A1036" s="1" t="str">
        <f aca="false">IF($C1036="","",Controls!$B$7)</f>
        <v/>
      </c>
      <c r="B1036" s="1" t="str">
        <f aca="false">IF($H1036="","",YEAR($H1036)&amp;"-Q"&amp;ROUNDUP(MONTH($H1036)/3,0))</f>
        <v/>
      </c>
      <c r="S1036" s="1" t="str">
        <f aca="false">IF($C1036="","",$C1036&amp;"|"&amp;$E1036&amp;"|"&amp;$F1036&amp;"|"&amp;$L1036&amp;"|"&amp;$P1036&amp;"|"&amp;TEXT($H1036,"yyyy-mm-dd"))</f>
        <v/>
      </c>
      <c r="T1036" s="1" t="str">
        <f aca="false">IF($S1036="","",IF(COUNTIF($S$2:$S$2991,$S1036)&gt;1,"DUPLICATE","OK"))</f>
        <v/>
      </c>
      <c r="U1036" s="0" t="str">
        <f aca="false">IF($L1036="","",IFERROR(VLOOKUP(--$L1036,MM_Income!$Z$5:$AC$204,3,FALSE()),"UNMAPPED"))</f>
        <v/>
      </c>
    </row>
    <row r="1037" customFormat="false" ht="13.5" hidden="false" customHeight="false" outlineLevel="0" collapsed="false">
      <c r="A1037" s="1" t="str">
        <f aca="false">IF($C1037="","",Controls!$B$7)</f>
        <v/>
      </c>
      <c r="B1037" s="1" t="str">
        <f aca="false">IF($H1037="","",YEAR($H1037)&amp;"-Q"&amp;ROUNDUP(MONTH($H1037)/3,0))</f>
        <v/>
      </c>
      <c r="S1037" s="1" t="str">
        <f aca="false">IF($C1037="","",$C1037&amp;"|"&amp;$E1037&amp;"|"&amp;$F1037&amp;"|"&amp;$L1037&amp;"|"&amp;$P1037&amp;"|"&amp;TEXT($H1037,"yyyy-mm-dd"))</f>
        <v/>
      </c>
      <c r="T1037" s="1" t="str">
        <f aca="false">IF($S1037="","",IF(COUNTIF($S$2:$S$2991,$S1037)&gt;1,"DUPLICATE","OK"))</f>
        <v/>
      </c>
      <c r="U1037" s="0" t="str">
        <f aca="false">IF($L1037="","",IFERROR(VLOOKUP(--$L1037,MM_Income!$Z$5:$AC$204,3,FALSE()),"UNMAPPED"))</f>
        <v/>
      </c>
    </row>
    <row r="1038" customFormat="false" ht="13.5" hidden="false" customHeight="false" outlineLevel="0" collapsed="false">
      <c r="A1038" s="1" t="str">
        <f aca="false">IF($C1038="","",Controls!$B$7)</f>
        <v/>
      </c>
      <c r="B1038" s="1" t="str">
        <f aca="false">IF($H1038="","",YEAR($H1038)&amp;"-Q"&amp;ROUNDUP(MONTH($H1038)/3,0))</f>
        <v/>
      </c>
      <c r="S1038" s="1" t="str">
        <f aca="false">IF($C1038="","",$C1038&amp;"|"&amp;$E1038&amp;"|"&amp;$F1038&amp;"|"&amp;$L1038&amp;"|"&amp;$P1038&amp;"|"&amp;TEXT($H1038,"yyyy-mm-dd"))</f>
        <v/>
      </c>
      <c r="T1038" s="1" t="str">
        <f aca="false">IF($S1038="","",IF(COUNTIF($S$2:$S$2991,$S1038)&gt;1,"DUPLICATE","OK"))</f>
        <v/>
      </c>
      <c r="U1038" s="0" t="str">
        <f aca="false">IF($L1038="","",IFERROR(VLOOKUP(--$L1038,MM_Income!$Z$5:$AC$204,3,FALSE()),"UNMAPPED"))</f>
        <v/>
      </c>
    </row>
    <row r="1039" customFormat="false" ht="13.5" hidden="false" customHeight="false" outlineLevel="0" collapsed="false">
      <c r="A1039" s="1" t="str">
        <f aca="false">IF($C1039="","",Controls!$B$7)</f>
        <v/>
      </c>
      <c r="B1039" s="1" t="str">
        <f aca="false">IF($H1039="","",YEAR($H1039)&amp;"-Q"&amp;ROUNDUP(MONTH($H1039)/3,0))</f>
        <v/>
      </c>
      <c r="S1039" s="1" t="str">
        <f aca="false">IF($C1039="","",$C1039&amp;"|"&amp;$E1039&amp;"|"&amp;$F1039&amp;"|"&amp;$L1039&amp;"|"&amp;$P1039&amp;"|"&amp;TEXT($H1039,"yyyy-mm-dd"))</f>
        <v/>
      </c>
      <c r="T1039" s="1" t="str">
        <f aca="false">IF($S1039="","",IF(COUNTIF($S$2:$S$2991,$S1039)&gt;1,"DUPLICATE","OK"))</f>
        <v/>
      </c>
      <c r="U1039" s="0" t="str">
        <f aca="false">IF($L1039="","",IFERROR(VLOOKUP(--$L1039,MM_Income!$Z$5:$AC$204,3,FALSE()),"UNMAPPED"))</f>
        <v/>
      </c>
    </row>
    <row r="1040" customFormat="false" ht="13.5" hidden="false" customHeight="false" outlineLevel="0" collapsed="false">
      <c r="A1040" s="1" t="str">
        <f aca="false">IF($C1040="","",Controls!$B$7)</f>
        <v/>
      </c>
      <c r="B1040" s="1" t="str">
        <f aca="false">IF($H1040="","",YEAR($H1040)&amp;"-Q"&amp;ROUNDUP(MONTH($H1040)/3,0))</f>
        <v/>
      </c>
      <c r="S1040" s="1" t="str">
        <f aca="false">IF($C1040="","",$C1040&amp;"|"&amp;$E1040&amp;"|"&amp;$F1040&amp;"|"&amp;$L1040&amp;"|"&amp;$P1040&amp;"|"&amp;TEXT($H1040,"yyyy-mm-dd"))</f>
        <v/>
      </c>
      <c r="T1040" s="1" t="str">
        <f aca="false">IF($S1040="","",IF(COUNTIF($S$2:$S$2991,$S1040)&gt;1,"DUPLICATE","OK"))</f>
        <v/>
      </c>
      <c r="U1040" s="0" t="str">
        <f aca="false">IF($L1040="","",IFERROR(VLOOKUP(--$L1040,MM_Income!$Z$5:$AC$204,3,FALSE()),"UNMAPPED"))</f>
        <v/>
      </c>
    </row>
    <row r="1041" customFormat="false" ht="13.5" hidden="false" customHeight="false" outlineLevel="0" collapsed="false">
      <c r="A1041" s="1" t="str">
        <f aca="false">IF($C1041="","",Controls!$B$7)</f>
        <v/>
      </c>
      <c r="B1041" s="1" t="str">
        <f aca="false">IF($H1041="","",YEAR($H1041)&amp;"-Q"&amp;ROUNDUP(MONTH($H1041)/3,0))</f>
        <v/>
      </c>
      <c r="S1041" s="1" t="str">
        <f aca="false">IF($C1041="","",$C1041&amp;"|"&amp;$E1041&amp;"|"&amp;$F1041&amp;"|"&amp;$L1041&amp;"|"&amp;$P1041&amp;"|"&amp;TEXT($H1041,"yyyy-mm-dd"))</f>
        <v/>
      </c>
      <c r="T1041" s="1" t="str">
        <f aca="false">IF($S1041="","",IF(COUNTIF($S$2:$S$2991,$S1041)&gt;1,"DUPLICATE","OK"))</f>
        <v/>
      </c>
      <c r="U1041" s="0" t="str">
        <f aca="false">IF($L1041="","",IFERROR(VLOOKUP(--$L1041,MM_Income!$Z$5:$AC$204,3,FALSE()),"UNMAPPED"))</f>
        <v/>
      </c>
    </row>
    <row r="1042" customFormat="false" ht="13.5" hidden="false" customHeight="false" outlineLevel="0" collapsed="false">
      <c r="A1042" s="1" t="str">
        <f aca="false">IF($C1042="","",Controls!$B$7)</f>
        <v/>
      </c>
      <c r="B1042" s="1" t="str">
        <f aca="false">IF($H1042="","",YEAR($H1042)&amp;"-Q"&amp;ROUNDUP(MONTH($H1042)/3,0))</f>
        <v/>
      </c>
      <c r="S1042" s="1" t="str">
        <f aca="false">IF($C1042="","",$C1042&amp;"|"&amp;$E1042&amp;"|"&amp;$F1042&amp;"|"&amp;$L1042&amp;"|"&amp;$P1042&amp;"|"&amp;TEXT($H1042,"yyyy-mm-dd"))</f>
        <v/>
      </c>
      <c r="T1042" s="1" t="str">
        <f aca="false">IF($S1042="","",IF(COUNTIF($S$2:$S$2991,$S1042)&gt;1,"DUPLICATE","OK"))</f>
        <v/>
      </c>
      <c r="U1042" s="0" t="str">
        <f aca="false">IF($L1042="","",IFERROR(VLOOKUP(--$L1042,MM_Income!$Z$5:$AC$204,3,FALSE()),"UNMAPPED"))</f>
        <v/>
      </c>
    </row>
    <row r="1043" customFormat="false" ht="13.5" hidden="false" customHeight="false" outlineLevel="0" collapsed="false">
      <c r="A1043" s="1" t="str">
        <f aca="false">IF($C1043="","",Controls!$B$7)</f>
        <v/>
      </c>
      <c r="B1043" s="1" t="str">
        <f aca="false">IF($H1043="","",YEAR($H1043)&amp;"-Q"&amp;ROUNDUP(MONTH($H1043)/3,0))</f>
        <v/>
      </c>
      <c r="S1043" s="1" t="str">
        <f aca="false">IF($C1043="","",$C1043&amp;"|"&amp;$E1043&amp;"|"&amp;$F1043&amp;"|"&amp;$L1043&amp;"|"&amp;$P1043&amp;"|"&amp;TEXT($H1043,"yyyy-mm-dd"))</f>
        <v/>
      </c>
      <c r="T1043" s="1" t="str">
        <f aca="false">IF($S1043="","",IF(COUNTIF($S$2:$S$2991,$S1043)&gt;1,"DUPLICATE","OK"))</f>
        <v/>
      </c>
      <c r="U1043" s="0" t="str">
        <f aca="false">IF($L1043="","",IFERROR(VLOOKUP(--$L1043,MM_Income!$Z$5:$AC$204,3,FALSE()),"UNMAPPED"))</f>
        <v/>
      </c>
    </row>
    <row r="1044" customFormat="false" ht="13.5" hidden="false" customHeight="false" outlineLevel="0" collapsed="false">
      <c r="A1044" s="1" t="str">
        <f aca="false">IF($C1044="","",Controls!$B$7)</f>
        <v/>
      </c>
      <c r="B1044" s="1" t="str">
        <f aca="false">IF($H1044="","",YEAR($H1044)&amp;"-Q"&amp;ROUNDUP(MONTH($H1044)/3,0))</f>
        <v/>
      </c>
      <c r="S1044" s="1" t="str">
        <f aca="false">IF($C1044="","",$C1044&amp;"|"&amp;$E1044&amp;"|"&amp;$F1044&amp;"|"&amp;$L1044&amp;"|"&amp;$P1044&amp;"|"&amp;TEXT($H1044,"yyyy-mm-dd"))</f>
        <v/>
      </c>
      <c r="T1044" s="1" t="str">
        <f aca="false">IF($S1044="","",IF(COUNTIF($S$2:$S$2991,$S1044)&gt;1,"DUPLICATE","OK"))</f>
        <v/>
      </c>
      <c r="U1044" s="0" t="str">
        <f aca="false">IF($L1044="","",IFERROR(VLOOKUP(--$L1044,MM_Income!$Z$5:$AC$204,3,FALSE()),"UNMAPPED"))</f>
        <v/>
      </c>
    </row>
    <row r="1045" customFormat="false" ht="13.5" hidden="false" customHeight="false" outlineLevel="0" collapsed="false">
      <c r="A1045" s="1" t="str">
        <f aca="false">IF($C1045="","",Controls!$B$7)</f>
        <v/>
      </c>
      <c r="B1045" s="1" t="str">
        <f aca="false">IF($H1045="","",YEAR($H1045)&amp;"-Q"&amp;ROUNDUP(MONTH($H1045)/3,0))</f>
        <v/>
      </c>
      <c r="S1045" s="1" t="str">
        <f aca="false">IF($C1045="","",$C1045&amp;"|"&amp;$E1045&amp;"|"&amp;$F1045&amp;"|"&amp;$L1045&amp;"|"&amp;$P1045&amp;"|"&amp;TEXT($H1045,"yyyy-mm-dd"))</f>
        <v/>
      </c>
      <c r="T1045" s="1" t="str">
        <f aca="false">IF($S1045="","",IF(COUNTIF($S$2:$S$2991,$S1045)&gt;1,"DUPLICATE","OK"))</f>
        <v/>
      </c>
      <c r="U1045" s="0" t="str">
        <f aca="false">IF($L1045="","",IFERROR(VLOOKUP(--$L1045,MM_Income!$Z$5:$AC$204,3,FALSE()),"UNMAPPED"))</f>
        <v/>
      </c>
    </row>
    <row r="1046" customFormat="false" ht="13.5" hidden="false" customHeight="false" outlineLevel="0" collapsed="false">
      <c r="A1046" s="1" t="str">
        <f aca="false">IF($C1046="","",Controls!$B$7)</f>
        <v/>
      </c>
      <c r="B1046" s="1" t="str">
        <f aca="false">IF($H1046="","",YEAR($H1046)&amp;"-Q"&amp;ROUNDUP(MONTH($H1046)/3,0))</f>
        <v/>
      </c>
      <c r="S1046" s="1" t="str">
        <f aca="false">IF($C1046="","",$C1046&amp;"|"&amp;$E1046&amp;"|"&amp;$F1046&amp;"|"&amp;$L1046&amp;"|"&amp;$P1046&amp;"|"&amp;TEXT($H1046,"yyyy-mm-dd"))</f>
        <v/>
      </c>
      <c r="T1046" s="1" t="str">
        <f aca="false">IF($S1046="","",IF(COUNTIF($S$2:$S$2991,$S1046)&gt;1,"DUPLICATE","OK"))</f>
        <v/>
      </c>
      <c r="U1046" s="0" t="str">
        <f aca="false">IF($L1046="","",IFERROR(VLOOKUP(--$L1046,MM_Income!$Z$5:$AC$204,3,FALSE()),"UNMAPPED"))</f>
        <v/>
      </c>
    </row>
    <row r="1047" customFormat="false" ht="13.5" hidden="false" customHeight="false" outlineLevel="0" collapsed="false">
      <c r="A1047" s="1" t="str">
        <f aca="false">IF($C1047="","",Controls!$B$7)</f>
        <v/>
      </c>
      <c r="B1047" s="1" t="str">
        <f aca="false">IF($H1047="","",YEAR($H1047)&amp;"-Q"&amp;ROUNDUP(MONTH($H1047)/3,0))</f>
        <v/>
      </c>
      <c r="S1047" s="1" t="str">
        <f aca="false">IF($C1047="","",$C1047&amp;"|"&amp;$E1047&amp;"|"&amp;$F1047&amp;"|"&amp;$L1047&amp;"|"&amp;$P1047&amp;"|"&amp;TEXT($H1047,"yyyy-mm-dd"))</f>
        <v/>
      </c>
      <c r="T1047" s="1" t="str">
        <f aca="false">IF($S1047="","",IF(COUNTIF($S$2:$S$2991,$S1047)&gt;1,"DUPLICATE","OK"))</f>
        <v/>
      </c>
      <c r="U1047" s="0" t="str">
        <f aca="false">IF($L1047="","",IFERROR(VLOOKUP(--$L1047,MM_Income!$Z$5:$AC$204,3,FALSE()),"UNMAPPED"))</f>
        <v/>
      </c>
    </row>
    <row r="1048" customFormat="false" ht="13.5" hidden="false" customHeight="false" outlineLevel="0" collapsed="false">
      <c r="A1048" s="1" t="str">
        <f aca="false">IF($C1048="","",Controls!$B$7)</f>
        <v/>
      </c>
      <c r="B1048" s="1" t="str">
        <f aca="false">IF($H1048="","",YEAR($H1048)&amp;"-Q"&amp;ROUNDUP(MONTH($H1048)/3,0))</f>
        <v/>
      </c>
      <c r="S1048" s="1" t="str">
        <f aca="false">IF($C1048="","",$C1048&amp;"|"&amp;$E1048&amp;"|"&amp;$F1048&amp;"|"&amp;$L1048&amp;"|"&amp;$P1048&amp;"|"&amp;TEXT($H1048,"yyyy-mm-dd"))</f>
        <v/>
      </c>
      <c r="T1048" s="1" t="str">
        <f aca="false">IF($S1048="","",IF(COUNTIF($S$2:$S$2991,$S1048)&gt;1,"DUPLICATE","OK"))</f>
        <v/>
      </c>
      <c r="U1048" s="0" t="str">
        <f aca="false">IF($L1048="","",IFERROR(VLOOKUP(--$L1048,MM_Income!$Z$5:$AC$204,3,FALSE()),"UNMAPPED"))</f>
        <v/>
      </c>
    </row>
    <row r="1049" customFormat="false" ht="13.5" hidden="false" customHeight="false" outlineLevel="0" collapsed="false">
      <c r="A1049" s="1" t="str">
        <f aca="false">IF($C1049="","",Controls!$B$7)</f>
        <v/>
      </c>
      <c r="B1049" s="1" t="str">
        <f aca="false">IF($H1049="","",YEAR($H1049)&amp;"-Q"&amp;ROUNDUP(MONTH($H1049)/3,0))</f>
        <v/>
      </c>
      <c r="S1049" s="1" t="str">
        <f aca="false">IF($C1049="","",$C1049&amp;"|"&amp;$E1049&amp;"|"&amp;$F1049&amp;"|"&amp;$L1049&amp;"|"&amp;$P1049&amp;"|"&amp;TEXT($H1049,"yyyy-mm-dd"))</f>
        <v/>
      </c>
      <c r="T1049" s="1" t="str">
        <f aca="false">IF($S1049="","",IF(COUNTIF($S$2:$S$2991,$S1049)&gt;1,"DUPLICATE","OK"))</f>
        <v/>
      </c>
      <c r="U1049" s="0" t="str">
        <f aca="false">IF($L1049="","",IFERROR(VLOOKUP(--$L1049,MM_Income!$Z$5:$AC$204,3,FALSE()),"UNMAPPED"))</f>
        <v/>
      </c>
    </row>
    <row r="1050" customFormat="false" ht="13.5" hidden="false" customHeight="false" outlineLevel="0" collapsed="false">
      <c r="A1050" s="1" t="str">
        <f aca="false">IF($C1050="","",Controls!$B$7)</f>
        <v/>
      </c>
      <c r="B1050" s="1" t="str">
        <f aca="false">IF($H1050="","",YEAR($H1050)&amp;"-Q"&amp;ROUNDUP(MONTH($H1050)/3,0))</f>
        <v/>
      </c>
      <c r="S1050" s="1" t="str">
        <f aca="false">IF($C1050="","",$C1050&amp;"|"&amp;$E1050&amp;"|"&amp;$F1050&amp;"|"&amp;$L1050&amp;"|"&amp;$P1050&amp;"|"&amp;TEXT($H1050,"yyyy-mm-dd"))</f>
        <v/>
      </c>
      <c r="T1050" s="1" t="str">
        <f aca="false">IF($S1050="","",IF(COUNTIF($S$2:$S$2991,$S1050)&gt;1,"DUPLICATE","OK"))</f>
        <v/>
      </c>
      <c r="U1050" s="0" t="str">
        <f aca="false">IF($L1050="","",IFERROR(VLOOKUP(--$L1050,MM_Income!$Z$5:$AC$204,3,FALSE()),"UNMAPPED"))</f>
        <v/>
      </c>
    </row>
    <row r="1051" customFormat="false" ht="13.5" hidden="false" customHeight="false" outlineLevel="0" collapsed="false">
      <c r="A1051" s="1" t="str">
        <f aca="false">IF($C1051="","",Controls!$B$7)</f>
        <v/>
      </c>
      <c r="B1051" s="1" t="str">
        <f aca="false">IF($H1051="","",YEAR($H1051)&amp;"-Q"&amp;ROUNDUP(MONTH($H1051)/3,0))</f>
        <v/>
      </c>
      <c r="S1051" s="1" t="str">
        <f aca="false">IF($C1051="","",$C1051&amp;"|"&amp;$E1051&amp;"|"&amp;$F1051&amp;"|"&amp;$L1051&amp;"|"&amp;$P1051&amp;"|"&amp;TEXT($H1051,"yyyy-mm-dd"))</f>
        <v/>
      </c>
      <c r="T1051" s="1" t="str">
        <f aca="false">IF($S1051="","",IF(COUNTIF($S$2:$S$2991,$S1051)&gt;1,"DUPLICATE","OK"))</f>
        <v/>
      </c>
      <c r="U1051" s="0" t="str">
        <f aca="false">IF($L1051="","",IFERROR(VLOOKUP(--$L1051,MM_Income!$Z$5:$AC$204,3,FALSE()),"UNMAPPED"))</f>
        <v/>
      </c>
    </row>
    <row r="1052" customFormat="false" ht="13.5" hidden="false" customHeight="false" outlineLevel="0" collapsed="false">
      <c r="A1052" s="1" t="str">
        <f aca="false">IF($C1052="","",Controls!$B$7)</f>
        <v/>
      </c>
      <c r="B1052" s="1" t="str">
        <f aca="false">IF($H1052="","",YEAR($H1052)&amp;"-Q"&amp;ROUNDUP(MONTH($H1052)/3,0))</f>
        <v/>
      </c>
      <c r="S1052" s="1" t="str">
        <f aca="false">IF($C1052="","",$C1052&amp;"|"&amp;$E1052&amp;"|"&amp;$F1052&amp;"|"&amp;$L1052&amp;"|"&amp;$P1052&amp;"|"&amp;TEXT($H1052,"yyyy-mm-dd"))</f>
        <v/>
      </c>
      <c r="T1052" s="1" t="str">
        <f aca="false">IF($S1052="","",IF(COUNTIF($S$2:$S$2991,$S1052)&gt;1,"DUPLICATE","OK"))</f>
        <v/>
      </c>
      <c r="U1052" s="0" t="str">
        <f aca="false">IF($L1052="","",IFERROR(VLOOKUP(--$L1052,MM_Income!$Z$5:$AC$204,3,FALSE()),"UNMAPPED"))</f>
        <v/>
      </c>
    </row>
    <row r="1053" customFormat="false" ht="13.5" hidden="false" customHeight="false" outlineLevel="0" collapsed="false">
      <c r="A1053" s="1" t="str">
        <f aca="false">IF($C1053="","",Controls!$B$7)</f>
        <v/>
      </c>
      <c r="B1053" s="1" t="str">
        <f aca="false">IF($H1053="","",YEAR($H1053)&amp;"-Q"&amp;ROUNDUP(MONTH($H1053)/3,0))</f>
        <v/>
      </c>
      <c r="S1053" s="1" t="str">
        <f aca="false">IF($C1053="","",$C1053&amp;"|"&amp;$E1053&amp;"|"&amp;$F1053&amp;"|"&amp;$L1053&amp;"|"&amp;$P1053&amp;"|"&amp;TEXT($H1053,"yyyy-mm-dd"))</f>
        <v/>
      </c>
      <c r="T1053" s="1" t="str">
        <f aca="false">IF($S1053="","",IF(COUNTIF($S$2:$S$2991,$S1053)&gt;1,"DUPLICATE","OK"))</f>
        <v/>
      </c>
      <c r="U1053" s="0" t="str">
        <f aca="false">IF($L1053="","",IFERROR(VLOOKUP(--$L1053,MM_Income!$Z$5:$AC$204,3,FALSE()),"UNMAPPED"))</f>
        <v/>
      </c>
    </row>
    <row r="1054" customFormat="false" ht="13.5" hidden="false" customHeight="false" outlineLevel="0" collapsed="false">
      <c r="A1054" s="1" t="str">
        <f aca="false">IF($C1054="","",Controls!$B$7)</f>
        <v/>
      </c>
      <c r="B1054" s="1" t="str">
        <f aca="false">IF($H1054="","",YEAR($H1054)&amp;"-Q"&amp;ROUNDUP(MONTH($H1054)/3,0))</f>
        <v/>
      </c>
      <c r="S1054" s="1" t="str">
        <f aca="false">IF($C1054="","",$C1054&amp;"|"&amp;$E1054&amp;"|"&amp;$F1054&amp;"|"&amp;$L1054&amp;"|"&amp;$P1054&amp;"|"&amp;TEXT($H1054,"yyyy-mm-dd"))</f>
        <v/>
      </c>
      <c r="T1054" s="1" t="str">
        <f aca="false">IF($S1054="","",IF(COUNTIF($S$2:$S$2991,$S1054)&gt;1,"DUPLICATE","OK"))</f>
        <v/>
      </c>
      <c r="U1054" s="0" t="str">
        <f aca="false">IF($L1054="","",IFERROR(VLOOKUP(--$L1054,MM_Income!$Z$5:$AC$204,3,FALSE()),"UNMAPPED"))</f>
        <v/>
      </c>
    </row>
    <row r="1055" customFormat="false" ht="13.5" hidden="false" customHeight="false" outlineLevel="0" collapsed="false">
      <c r="A1055" s="1" t="str">
        <f aca="false">IF($C1055="","",Controls!$B$7)</f>
        <v/>
      </c>
      <c r="B1055" s="1" t="str">
        <f aca="false">IF($H1055="","",YEAR($H1055)&amp;"-Q"&amp;ROUNDUP(MONTH($H1055)/3,0))</f>
        <v/>
      </c>
      <c r="S1055" s="1" t="str">
        <f aca="false">IF($C1055="","",$C1055&amp;"|"&amp;$E1055&amp;"|"&amp;$F1055&amp;"|"&amp;$L1055&amp;"|"&amp;$P1055&amp;"|"&amp;TEXT($H1055,"yyyy-mm-dd"))</f>
        <v/>
      </c>
      <c r="T1055" s="1" t="str">
        <f aca="false">IF($S1055="","",IF(COUNTIF($S$2:$S$2991,$S1055)&gt;1,"DUPLICATE","OK"))</f>
        <v/>
      </c>
      <c r="U1055" s="0" t="str">
        <f aca="false">IF($L1055="","",IFERROR(VLOOKUP(--$L1055,MM_Income!$Z$5:$AC$204,3,FALSE()),"UNMAPPED"))</f>
        <v/>
      </c>
    </row>
    <row r="1056" customFormat="false" ht="13.5" hidden="false" customHeight="false" outlineLevel="0" collapsed="false">
      <c r="A1056" s="1" t="str">
        <f aca="false">IF($C1056="","",Controls!$B$7)</f>
        <v/>
      </c>
      <c r="B1056" s="1" t="str">
        <f aca="false">IF($H1056="","",YEAR($H1056)&amp;"-Q"&amp;ROUNDUP(MONTH($H1056)/3,0))</f>
        <v/>
      </c>
      <c r="S1056" s="1" t="str">
        <f aca="false">IF($C1056="","",$C1056&amp;"|"&amp;$E1056&amp;"|"&amp;$F1056&amp;"|"&amp;$L1056&amp;"|"&amp;$P1056&amp;"|"&amp;TEXT($H1056,"yyyy-mm-dd"))</f>
        <v/>
      </c>
      <c r="T1056" s="1" t="str">
        <f aca="false">IF($S1056="","",IF(COUNTIF($S$2:$S$2991,$S1056)&gt;1,"DUPLICATE","OK"))</f>
        <v/>
      </c>
      <c r="U1056" s="0" t="str">
        <f aca="false">IF($L1056="","",IFERROR(VLOOKUP(--$L1056,MM_Income!$Z$5:$AC$204,3,FALSE()),"UNMAPPED"))</f>
        <v/>
      </c>
    </row>
    <row r="1057" customFormat="false" ht="13.5" hidden="false" customHeight="false" outlineLevel="0" collapsed="false">
      <c r="A1057" s="1" t="str">
        <f aca="false">IF($C1057="","",Controls!$B$7)</f>
        <v/>
      </c>
      <c r="B1057" s="1" t="str">
        <f aca="false">IF($H1057="","",YEAR($H1057)&amp;"-Q"&amp;ROUNDUP(MONTH($H1057)/3,0))</f>
        <v/>
      </c>
      <c r="S1057" s="1" t="str">
        <f aca="false">IF($C1057="","",$C1057&amp;"|"&amp;$E1057&amp;"|"&amp;$F1057&amp;"|"&amp;$L1057&amp;"|"&amp;$P1057&amp;"|"&amp;TEXT($H1057,"yyyy-mm-dd"))</f>
        <v/>
      </c>
      <c r="T1057" s="1" t="str">
        <f aca="false">IF($S1057="","",IF(COUNTIF($S$2:$S$2991,$S1057)&gt;1,"DUPLICATE","OK"))</f>
        <v/>
      </c>
      <c r="U1057" s="0" t="str">
        <f aca="false">IF($L1057="","",IFERROR(VLOOKUP(--$L1057,MM_Income!$Z$5:$AC$204,3,FALSE()),"UNMAPPED"))</f>
        <v/>
      </c>
    </row>
    <row r="1058" customFormat="false" ht="13.5" hidden="false" customHeight="false" outlineLevel="0" collapsed="false">
      <c r="A1058" s="1" t="str">
        <f aca="false">IF($C1058="","",Controls!$B$7)</f>
        <v/>
      </c>
      <c r="B1058" s="1" t="str">
        <f aca="false">IF($H1058="","",YEAR($H1058)&amp;"-Q"&amp;ROUNDUP(MONTH($H1058)/3,0))</f>
        <v/>
      </c>
      <c r="S1058" s="1" t="str">
        <f aca="false">IF($C1058="","",$C1058&amp;"|"&amp;$E1058&amp;"|"&amp;$F1058&amp;"|"&amp;$L1058&amp;"|"&amp;$P1058&amp;"|"&amp;TEXT($H1058,"yyyy-mm-dd"))</f>
        <v/>
      </c>
      <c r="T1058" s="1" t="str">
        <f aca="false">IF($S1058="","",IF(COUNTIF($S$2:$S$2991,$S1058)&gt;1,"DUPLICATE","OK"))</f>
        <v/>
      </c>
      <c r="U1058" s="0" t="str">
        <f aca="false">IF($L1058="","",IFERROR(VLOOKUP(--$L1058,MM_Income!$Z$5:$AC$204,3,FALSE()),"UNMAPPED"))</f>
        <v/>
      </c>
    </row>
    <row r="1059" customFormat="false" ht="13.5" hidden="false" customHeight="false" outlineLevel="0" collapsed="false">
      <c r="A1059" s="1" t="str">
        <f aca="false">IF($C1059="","",Controls!$B$7)</f>
        <v/>
      </c>
      <c r="B1059" s="1" t="str">
        <f aca="false">IF($H1059="","",YEAR($H1059)&amp;"-Q"&amp;ROUNDUP(MONTH($H1059)/3,0))</f>
        <v/>
      </c>
      <c r="S1059" s="1" t="str">
        <f aca="false">IF($C1059="","",$C1059&amp;"|"&amp;$E1059&amp;"|"&amp;$F1059&amp;"|"&amp;$L1059&amp;"|"&amp;$P1059&amp;"|"&amp;TEXT($H1059,"yyyy-mm-dd"))</f>
        <v/>
      </c>
      <c r="T1059" s="1" t="str">
        <f aca="false">IF($S1059="","",IF(COUNTIF($S$2:$S$2991,$S1059)&gt;1,"DUPLICATE","OK"))</f>
        <v/>
      </c>
      <c r="U1059" s="0" t="str">
        <f aca="false">IF($L1059="","",IFERROR(VLOOKUP(--$L1059,MM_Income!$Z$5:$AC$204,3,FALSE()),"UNMAPPED"))</f>
        <v/>
      </c>
    </row>
    <row r="1060" customFormat="false" ht="13.5" hidden="false" customHeight="false" outlineLevel="0" collapsed="false">
      <c r="A1060" s="1" t="str">
        <f aca="false">IF($C1060="","",Controls!$B$7)</f>
        <v/>
      </c>
      <c r="B1060" s="1" t="str">
        <f aca="false">IF($H1060="","",YEAR($H1060)&amp;"-Q"&amp;ROUNDUP(MONTH($H1060)/3,0))</f>
        <v/>
      </c>
      <c r="S1060" s="1" t="str">
        <f aca="false">IF($C1060="","",$C1060&amp;"|"&amp;$E1060&amp;"|"&amp;$F1060&amp;"|"&amp;$L1060&amp;"|"&amp;$P1060&amp;"|"&amp;TEXT($H1060,"yyyy-mm-dd"))</f>
        <v/>
      </c>
      <c r="T1060" s="1" t="str">
        <f aca="false">IF($S1060="","",IF(COUNTIF($S$2:$S$2991,$S1060)&gt;1,"DUPLICATE","OK"))</f>
        <v/>
      </c>
      <c r="U1060" s="0" t="str">
        <f aca="false">IF($L1060="","",IFERROR(VLOOKUP(--$L1060,MM_Income!$Z$5:$AC$204,3,FALSE()),"UNMAPPED"))</f>
        <v/>
      </c>
    </row>
    <row r="1061" customFormat="false" ht="13.5" hidden="false" customHeight="false" outlineLevel="0" collapsed="false">
      <c r="A1061" s="1" t="str">
        <f aca="false">IF($C1061="","",Controls!$B$7)</f>
        <v/>
      </c>
      <c r="B1061" s="1" t="str">
        <f aca="false">IF($H1061="","",YEAR($H1061)&amp;"-Q"&amp;ROUNDUP(MONTH($H1061)/3,0))</f>
        <v/>
      </c>
      <c r="S1061" s="1" t="str">
        <f aca="false">IF($C1061="","",$C1061&amp;"|"&amp;$E1061&amp;"|"&amp;$F1061&amp;"|"&amp;$L1061&amp;"|"&amp;$P1061&amp;"|"&amp;TEXT($H1061,"yyyy-mm-dd"))</f>
        <v/>
      </c>
      <c r="T1061" s="1" t="str">
        <f aca="false">IF($S1061="","",IF(COUNTIF($S$2:$S$2991,$S1061)&gt;1,"DUPLICATE","OK"))</f>
        <v/>
      </c>
      <c r="U1061" s="0" t="str">
        <f aca="false">IF($L1061="","",IFERROR(VLOOKUP(--$L1061,MM_Income!$Z$5:$AC$204,3,FALSE()),"UNMAPPED"))</f>
        <v/>
      </c>
    </row>
    <row r="1062" customFormat="false" ht="13.5" hidden="false" customHeight="false" outlineLevel="0" collapsed="false">
      <c r="A1062" s="1" t="str">
        <f aca="false">IF($C1062="","",Controls!$B$7)</f>
        <v/>
      </c>
      <c r="B1062" s="1" t="str">
        <f aca="false">IF($H1062="","",YEAR($H1062)&amp;"-Q"&amp;ROUNDUP(MONTH($H1062)/3,0))</f>
        <v/>
      </c>
      <c r="S1062" s="1" t="str">
        <f aca="false">IF($C1062="","",$C1062&amp;"|"&amp;$E1062&amp;"|"&amp;$F1062&amp;"|"&amp;$L1062&amp;"|"&amp;$P1062&amp;"|"&amp;TEXT($H1062,"yyyy-mm-dd"))</f>
        <v/>
      </c>
      <c r="T1062" s="1" t="str">
        <f aca="false">IF($S1062="","",IF(COUNTIF($S$2:$S$2991,$S1062)&gt;1,"DUPLICATE","OK"))</f>
        <v/>
      </c>
      <c r="U1062" s="0" t="str">
        <f aca="false">IF($L1062="","",IFERROR(VLOOKUP(--$L1062,MM_Income!$Z$5:$AC$204,3,FALSE()),"UNMAPPED"))</f>
        <v/>
      </c>
    </row>
    <row r="1063" customFormat="false" ht="13.5" hidden="false" customHeight="false" outlineLevel="0" collapsed="false">
      <c r="A1063" s="1" t="str">
        <f aca="false">IF($C1063="","",Controls!$B$7)</f>
        <v/>
      </c>
      <c r="B1063" s="1" t="str">
        <f aca="false">IF($H1063="","",YEAR($H1063)&amp;"-Q"&amp;ROUNDUP(MONTH($H1063)/3,0))</f>
        <v/>
      </c>
      <c r="S1063" s="1" t="str">
        <f aca="false">IF($C1063="","",$C1063&amp;"|"&amp;$E1063&amp;"|"&amp;$F1063&amp;"|"&amp;$L1063&amp;"|"&amp;$P1063&amp;"|"&amp;TEXT($H1063,"yyyy-mm-dd"))</f>
        <v/>
      </c>
      <c r="T1063" s="1" t="str">
        <f aca="false">IF($S1063="","",IF(COUNTIF($S$2:$S$2991,$S1063)&gt;1,"DUPLICATE","OK"))</f>
        <v/>
      </c>
      <c r="U1063" s="0" t="str">
        <f aca="false">IF($L1063="","",IFERROR(VLOOKUP(--$L1063,MM_Income!$Z$5:$AC$204,3,FALSE()),"UNMAPPED"))</f>
        <v/>
      </c>
    </row>
    <row r="1064" customFormat="false" ht="13.5" hidden="false" customHeight="false" outlineLevel="0" collapsed="false">
      <c r="A1064" s="1" t="str">
        <f aca="false">IF($C1064="","",Controls!$B$7)</f>
        <v/>
      </c>
      <c r="B1064" s="1" t="str">
        <f aca="false">IF($H1064="","",YEAR($H1064)&amp;"-Q"&amp;ROUNDUP(MONTH($H1064)/3,0))</f>
        <v/>
      </c>
      <c r="S1064" s="1" t="str">
        <f aca="false">IF($C1064="","",$C1064&amp;"|"&amp;$E1064&amp;"|"&amp;$F1064&amp;"|"&amp;$L1064&amp;"|"&amp;$P1064&amp;"|"&amp;TEXT($H1064,"yyyy-mm-dd"))</f>
        <v/>
      </c>
      <c r="T1064" s="1" t="str">
        <f aca="false">IF($S1064="","",IF(COUNTIF($S$2:$S$2991,$S1064)&gt;1,"DUPLICATE","OK"))</f>
        <v/>
      </c>
      <c r="U1064" s="0" t="str">
        <f aca="false">IF($L1064="","",IFERROR(VLOOKUP(--$L1064,MM_Income!$Z$5:$AC$204,3,FALSE()),"UNMAPPED"))</f>
        <v/>
      </c>
    </row>
    <row r="1065" customFormat="false" ht="13.5" hidden="false" customHeight="false" outlineLevel="0" collapsed="false">
      <c r="A1065" s="1" t="str">
        <f aca="false">IF($C1065="","",Controls!$B$7)</f>
        <v/>
      </c>
      <c r="B1065" s="1" t="str">
        <f aca="false">IF($H1065="","",YEAR($H1065)&amp;"-Q"&amp;ROUNDUP(MONTH($H1065)/3,0))</f>
        <v/>
      </c>
      <c r="S1065" s="1" t="str">
        <f aca="false">IF($C1065="","",$C1065&amp;"|"&amp;$E1065&amp;"|"&amp;$F1065&amp;"|"&amp;$L1065&amp;"|"&amp;$P1065&amp;"|"&amp;TEXT($H1065,"yyyy-mm-dd"))</f>
        <v/>
      </c>
      <c r="T1065" s="1" t="str">
        <f aca="false">IF($S1065="","",IF(COUNTIF($S$2:$S$2991,$S1065)&gt;1,"DUPLICATE","OK"))</f>
        <v/>
      </c>
      <c r="U1065" s="0" t="str">
        <f aca="false">IF($L1065="","",IFERROR(VLOOKUP(--$L1065,MM_Income!$Z$5:$AC$204,3,FALSE()),"UNMAPPED"))</f>
        <v/>
      </c>
    </row>
    <row r="1066" customFormat="false" ht="13.5" hidden="false" customHeight="false" outlineLevel="0" collapsed="false">
      <c r="A1066" s="1" t="str">
        <f aca="false">IF($C1066="","",Controls!$B$7)</f>
        <v/>
      </c>
      <c r="B1066" s="1" t="str">
        <f aca="false">IF($H1066="","",YEAR($H1066)&amp;"-Q"&amp;ROUNDUP(MONTH($H1066)/3,0))</f>
        <v/>
      </c>
      <c r="S1066" s="1" t="str">
        <f aca="false">IF($C1066="","",$C1066&amp;"|"&amp;$E1066&amp;"|"&amp;$F1066&amp;"|"&amp;$L1066&amp;"|"&amp;$P1066&amp;"|"&amp;TEXT($H1066,"yyyy-mm-dd"))</f>
        <v/>
      </c>
      <c r="T1066" s="1" t="str">
        <f aca="false">IF($S1066="","",IF(COUNTIF($S$2:$S$2991,$S1066)&gt;1,"DUPLICATE","OK"))</f>
        <v/>
      </c>
      <c r="U1066" s="0" t="str">
        <f aca="false">IF($L1066="","",IFERROR(VLOOKUP(--$L1066,MM_Income!$Z$5:$AC$204,3,FALSE()),"UNMAPPED"))</f>
        <v/>
      </c>
    </row>
    <row r="1067" customFormat="false" ht="13.5" hidden="false" customHeight="false" outlineLevel="0" collapsed="false">
      <c r="A1067" s="1" t="str">
        <f aca="false">IF($C1067="","",Controls!$B$7)</f>
        <v/>
      </c>
      <c r="B1067" s="1" t="str">
        <f aca="false">IF($H1067="","",YEAR($H1067)&amp;"-Q"&amp;ROUNDUP(MONTH($H1067)/3,0))</f>
        <v/>
      </c>
      <c r="S1067" s="1" t="str">
        <f aca="false">IF($C1067="","",$C1067&amp;"|"&amp;$E1067&amp;"|"&amp;$F1067&amp;"|"&amp;$L1067&amp;"|"&amp;$P1067&amp;"|"&amp;TEXT($H1067,"yyyy-mm-dd"))</f>
        <v/>
      </c>
      <c r="T1067" s="1" t="str">
        <f aca="false">IF($S1067="","",IF(COUNTIF($S$2:$S$2991,$S1067)&gt;1,"DUPLICATE","OK"))</f>
        <v/>
      </c>
      <c r="U1067" s="0" t="str">
        <f aca="false">IF($L1067="","",IFERROR(VLOOKUP(--$L1067,MM_Income!$Z$5:$AC$204,3,FALSE()),"UNMAPPED"))</f>
        <v/>
      </c>
    </row>
    <row r="1068" customFormat="false" ht="13.5" hidden="false" customHeight="false" outlineLevel="0" collapsed="false">
      <c r="A1068" s="1" t="str">
        <f aca="false">IF($C1068="","",Controls!$B$7)</f>
        <v/>
      </c>
      <c r="B1068" s="1" t="str">
        <f aca="false">IF($H1068="","",YEAR($H1068)&amp;"-Q"&amp;ROUNDUP(MONTH($H1068)/3,0))</f>
        <v/>
      </c>
      <c r="S1068" s="1" t="str">
        <f aca="false">IF($C1068="","",$C1068&amp;"|"&amp;$E1068&amp;"|"&amp;$F1068&amp;"|"&amp;$L1068&amp;"|"&amp;$P1068&amp;"|"&amp;TEXT($H1068,"yyyy-mm-dd"))</f>
        <v/>
      </c>
      <c r="T1068" s="1" t="str">
        <f aca="false">IF($S1068="","",IF(COUNTIF($S$2:$S$2991,$S1068)&gt;1,"DUPLICATE","OK"))</f>
        <v/>
      </c>
      <c r="U1068" s="0" t="str">
        <f aca="false">IF($L1068="","",IFERROR(VLOOKUP(--$L1068,MM_Income!$Z$5:$AC$204,3,FALSE()),"UNMAPPED"))</f>
        <v/>
      </c>
    </row>
    <row r="1069" customFormat="false" ht="13.5" hidden="false" customHeight="false" outlineLevel="0" collapsed="false">
      <c r="A1069" s="1" t="str">
        <f aca="false">IF($C1069="","",Controls!$B$7)</f>
        <v/>
      </c>
      <c r="B1069" s="1" t="str">
        <f aca="false">IF($H1069="","",YEAR($H1069)&amp;"-Q"&amp;ROUNDUP(MONTH($H1069)/3,0))</f>
        <v/>
      </c>
      <c r="S1069" s="1" t="str">
        <f aca="false">IF($C1069="","",$C1069&amp;"|"&amp;$E1069&amp;"|"&amp;$F1069&amp;"|"&amp;$L1069&amp;"|"&amp;$P1069&amp;"|"&amp;TEXT($H1069,"yyyy-mm-dd"))</f>
        <v/>
      </c>
      <c r="T1069" s="1" t="str">
        <f aca="false">IF($S1069="","",IF(COUNTIF($S$2:$S$2991,$S1069)&gt;1,"DUPLICATE","OK"))</f>
        <v/>
      </c>
      <c r="U1069" s="0" t="str">
        <f aca="false">IF($L1069="","",IFERROR(VLOOKUP(--$L1069,MM_Income!$Z$5:$AC$204,3,FALSE()),"UNMAPPED"))</f>
        <v/>
      </c>
    </row>
    <row r="1070" customFormat="false" ht="13.5" hidden="false" customHeight="false" outlineLevel="0" collapsed="false">
      <c r="A1070" s="1" t="str">
        <f aca="false">IF($C1070="","",Controls!$B$7)</f>
        <v/>
      </c>
      <c r="B1070" s="1" t="str">
        <f aca="false">IF($H1070="","",YEAR($H1070)&amp;"-Q"&amp;ROUNDUP(MONTH($H1070)/3,0))</f>
        <v/>
      </c>
      <c r="S1070" s="1" t="str">
        <f aca="false">IF($C1070="","",$C1070&amp;"|"&amp;$E1070&amp;"|"&amp;$F1070&amp;"|"&amp;$L1070&amp;"|"&amp;$P1070&amp;"|"&amp;TEXT($H1070,"yyyy-mm-dd"))</f>
        <v/>
      </c>
      <c r="T1070" s="1" t="str">
        <f aca="false">IF($S1070="","",IF(COUNTIF($S$2:$S$2991,$S1070)&gt;1,"DUPLICATE","OK"))</f>
        <v/>
      </c>
      <c r="U1070" s="0" t="str">
        <f aca="false">IF($L1070="","",IFERROR(VLOOKUP(--$L1070,MM_Income!$Z$5:$AC$204,3,FALSE()),"UNMAPPED"))</f>
        <v/>
      </c>
    </row>
    <row r="1071" customFormat="false" ht="13.5" hidden="false" customHeight="false" outlineLevel="0" collapsed="false">
      <c r="A1071" s="1" t="str">
        <f aca="false">IF($C1071="","",Controls!$B$7)</f>
        <v/>
      </c>
      <c r="B1071" s="1" t="str">
        <f aca="false">IF($H1071="","",YEAR($H1071)&amp;"-Q"&amp;ROUNDUP(MONTH($H1071)/3,0))</f>
        <v/>
      </c>
      <c r="S1071" s="1" t="str">
        <f aca="false">IF($C1071="","",$C1071&amp;"|"&amp;$E1071&amp;"|"&amp;$F1071&amp;"|"&amp;$L1071&amp;"|"&amp;$P1071&amp;"|"&amp;TEXT($H1071,"yyyy-mm-dd"))</f>
        <v/>
      </c>
      <c r="T1071" s="1" t="str">
        <f aca="false">IF($S1071="","",IF(COUNTIF($S$2:$S$2991,$S1071)&gt;1,"DUPLICATE","OK"))</f>
        <v/>
      </c>
      <c r="U1071" s="0" t="str">
        <f aca="false">IF($L1071="","",IFERROR(VLOOKUP(--$L1071,MM_Income!$Z$5:$AC$204,3,FALSE()),"UNMAPPED"))</f>
        <v/>
      </c>
    </row>
    <row r="1072" customFormat="false" ht="13.5" hidden="false" customHeight="false" outlineLevel="0" collapsed="false">
      <c r="A1072" s="1" t="str">
        <f aca="false">IF($C1072="","",Controls!$B$7)</f>
        <v/>
      </c>
      <c r="B1072" s="1" t="str">
        <f aca="false">IF($H1072="","",YEAR($H1072)&amp;"-Q"&amp;ROUNDUP(MONTH($H1072)/3,0))</f>
        <v/>
      </c>
      <c r="S1072" s="1" t="str">
        <f aca="false">IF($C1072="","",$C1072&amp;"|"&amp;$E1072&amp;"|"&amp;$F1072&amp;"|"&amp;$L1072&amp;"|"&amp;$P1072&amp;"|"&amp;TEXT($H1072,"yyyy-mm-dd"))</f>
        <v/>
      </c>
      <c r="T1072" s="1" t="str">
        <f aca="false">IF($S1072="","",IF(COUNTIF($S$2:$S$2991,$S1072)&gt;1,"DUPLICATE","OK"))</f>
        <v/>
      </c>
      <c r="U1072" s="0" t="str">
        <f aca="false">IF($L1072="","",IFERROR(VLOOKUP(--$L1072,MM_Income!$Z$5:$AC$204,3,FALSE()),"UNMAPPED"))</f>
        <v/>
      </c>
    </row>
    <row r="1073" customFormat="false" ht="13.5" hidden="false" customHeight="false" outlineLevel="0" collapsed="false">
      <c r="A1073" s="1" t="str">
        <f aca="false">IF($C1073="","",Controls!$B$7)</f>
        <v/>
      </c>
      <c r="B1073" s="1" t="str">
        <f aca="false">IF($H1073="","",YEAR($H1073)&amp;"-Q"&amp;ROUNDUP(MONTH($H1073)/3,0))</f>
        <v/>
      </c>
      <c r="S1073" s="1" t="str">
        <f aca="false">IF($C1073="","",$C1073&amp;"|"&amp;$E1073&amp;"|"&amp;$F1073&amp;"|"&amp;$L1073&amp;"|"&amp;$P1073&amp;"|"&amp;TEXT($H1073,"yyyy-mm-dd"))</f>
        <v/>
      </c>
      <c r="T1073" s="1" t="str">
        <f aca="false">IF($S1073="","",IF(COUNTIF($S$2:$S$2991,$S1073)&gt;1,"DUPLICATE","OK"))</f>
        <v/>
      </c>
      <c r="U1073" s="0" t="str">
        <f aca="false">IF($L1073="","",IFERROR(VLOOKUP(--$L1073,MM_Income!$Z$5:$AC$204,3,FALSE()),"UNMAPPED"))</f>
        <v/>
      </c>
    </row>
    <row r="1074" customFormat="false" ht="13.5" hidden="false" customHeight="false" outlineLevel="0" collapsed="false">
      <c r="A1074" s="1" t="str">
        <f aca="false">IF($C1074="","",Controls!$B$7)</f>
        <v/>
      </c>
      <c r="B1074" s="1" t="str">
        <f aca="false">IF($H1074="","",YEAR($H1074)&amp;"-Q"&amp;ROUNDUP(MONTH($H1074)/3,0))</f>
        <v/>
      </c>
      <c r="S1074" s="1" t="str">
        <f aca="false">IF($C1074="","",$C1074&amp;"|"&amp;$E1074&amp;"|"&amp;$F1074&amp;"|"&amp;$L1074&amp;"|"&amp;$P1074&amp;"|"&amp;TEXT($H1074,"yyyy-mm-dd"))</f>
        <v/>
      </c>
      <c r="T1074" s="1" t="str">
        <f aca="false">IF($S1074="","",IF(COUNTIF($S$2:$S$2991,$S1074)&gt;1,"DUPLICATE","OK"))</f>
        <v/>
      </c>
      <c r="U1074" s="0" t="str">
        <f aca="false">IF($L1074="","",IFERROR(VLOOKUP(--$L1074,MM_Income!$Z$5:$AC$204,3,FALSE()),"UNMAPPED"))</f>
        <v/>
      </c>
    </row>
    <row r="1075" customFormat="false" ht="13.5" hidden="false" customHeight="false" outlineLevel="0" collapsed="false">
      <c r="A1075" s="1" t="str">
        <f aca="false">IF($C1075="","",Controls!$B$7)</f>
        <v/>
      </c>
      <c r="B1075" s="1" t="str">
        <f aca="false">IF($H1075="","",YEAR($H1075)&amp;"-Q"&amp;ROUNDUP(MONTH($H1075)/3,0))</f>
        <v/>
      </c>
      <c r="S1075" s="1" t="str">
        <f aca="false">IF($C1075="","",$C1075&amp;"|"&amp;$E1075&amp;"|"&amp;$F1075&amp;"|"&amp;$L1075&amp;"|"&amp;$P1075&amp;"|"&amp;TEXT($H1075,"yyyy-mm-dd"))</f>
        <v/>
      </c>
      <c r="T1075" s="1" t="str">
        <f aca="false">IF($S1075="","",IF(COUNTIF($S$2:$S$2991,$S1075)&gt;1,"DUPLICATE","OK"))</f>
        <v/>
      </c>
      <c r="U1075" s="0" t="str">
        <f aca="false">IF($L1075="","",IFERROR(VLOOKUP(--$L1075,MM_Income!$Z$5:$AC$204,3,FALSE()),"UNMAPPED"))</f>
        <v/>
      </c>
    </row>
    <row r="1076" customFormat="false" ht="13.5" hidden="false" customHeight="false" outlineLevel="0" collapsed="false">
      <c r="A1076" s="1" t="str">
        <f aca="false">IF($C1076="","",Controls!$B$7)</f>
        <v/>
      </c>
      <c r="B1076" s="1" t="str">
        <f aca="false">IF($H1076="","",YEAR($H1076)&amp;"-Q"&amp;ROUNDUP(MONTH($H1076)/3,0))</f>
        <v/>
      </c>
      <c r="S1076" s="1" t="str">
        <f aca="false">IF($C1076="","",$C1076&amp;"|"&amp;$E1076&amp;"|"&amp;$F1076&amp;"|"&amp;$L1076&amp;"|"&amp;$P1076&amp;"|"&amp;TEXT($H1076,"yyyy-mm-dd"))</f>
        <v/>
      </c>
      <c r="T1076" s="1" t="str">
        <f aca="false">IF($S1076="","",IF(COUNTIF($S$2:$S$2991,$S1076)&gt;1,"DUPLICATE","OK"))</f>
        <v/>
      </c>
      <c r="U1076" s="0" t="str">
        <f aca="false">IF($L1076="","",IFERROR(VLOOKUP(--$L1076,MM_Income!$Z$5:$AC$204,3,FALSE()),"UNMAPPED"))</f>
        <v/>
      </c>
    </row>
    <row r="1077" customFormat="false" ht="13.5" hidden="false" customHeight="false" outlineLevel="0" collapsed="false">
      <c r="A1077" s="1" t="str">
        <f aca="false">IF($C1077="","",Controls!$B$7)</f>
        <v/>
      </c>
      <c r="B1077" s="1" t="str">
        <f aca="false">IF($H1077="","",YEAR($H1077)&amp;"-Q"&amp;ROUNDUP(MONTH($H1077)/3,0))</f>
        <v/>
      </c>
      <c r="S1077" s="1" t="str">
        <f aca="false">IF($C1077="","",$C1077&amp;"|"&amp;$E1077&amp;"|"&amp;$F1077&amp;"|"&amp;$L1077&amp;"|"&amp;$P1077&amp;"|"&amp;TEXT($H1077,"yyyy-mm-dd"))</f>
        <v/>
      </c>
      <c r="T1077" s="1" t="str">
        <f aca="false">IF($S1077="","",IF(COUNTIF($S$2:$S$2991,$S1077)&gt;1,"DUPLICATE","OK"))</f>
        <v/>
      </c>
      <c r="U1077" s="0" t="str">
        <f aca="false">IF($L1077="","",IFERROR(VLOOKUP(--$L1077,MM_Income!$Z$5:$AC$204,3,FALSE()),"UNMAPPED"))</f>
        <v/>
      </c>
    </row>
    <row r="1078" customFormat="false" ht="13.5" hidden="false" customHeight="false" outlineLevel="0" collapsed="false">
      <c r="A1078" s="1" t="str">
        <f aca="false">IF($C1078="","",Controls!$B$7)</f>
        <v/>
      </c>
      <c r="B1078" s="1" t="str">
        <f aca="false">IF($H1078="","",YEAR($H1078)&amp;"-Q"&amp;ROUNDUP(MONTH($H1078)/3,0))</f>
        <v/>
      </c>
      <c r="S1078" s="1" t="str">
        <f aca="false">IF($C1078="","",$C1078&amp;"|"&amp;$E1078&amp;"|"&amp;$F1078&amp;"|"&amp;$L1078&amp;"|"&amp;$P1078&amp;"|"&amp;TEXT($H1078,"yyyy-mm-dd"))</f>
        <v/>
      </c>
      <c r="T1078" s="1" t="str">
        <f aca="false">IF($S1078="","",IF(COUNTIF($S$2:$S$2991,$S1078)&gt;1,"DUPLICATE","OK"))</f>
        <v/>
      </c>
      <c r="U1078" s="0" t="str">
        <f aca="false">IF($L1078="","",IFERROR(VLOOKUP(--$L1078,MM_Income!$Z$5:$AC$204,3,FALSE()),"UNMAPPED"))</f>
        <v/>
      </c>
    </row>
    <row r="1079" customFormat="false" ht="13.5" hidden="false" customHeight="false" outlineLevel="0" collapsed="false">
      <c r="A1079" s="1" t="str">
        <f aca="false">IF($C1079="","",Controls!$B$7)</f>
        <v/>
      </c>
      <c r="B1079" s="1" t="str">
        <f aca="false">IF($H1079="","",YEAR($H1079)&amp;"-Q"&amp;ROUNDUP(MONTH($H1079)/3,0))</f>
        <v/>
      </c>
      <c r="S1079" s="1" t="str">
        <f aca="false">IF($C1079="","",$C1079&amp;"|"&amp;$E1079&amp;"|"&amp;$F1079&amp;"|"&amp;$L1079&amp;"|"&amp;$P1079&amp;"|"&amp;TEXT($H1079,"yyyy-mm-dd"))</f>
        <v/>
      </c>
      <c r="T1079" s="1" t="str">
        <f aca="false">IF($S1079="","",IF(COUNTIF($S$2:$S$2991,$S1079)&gt;1,"DUPLICATE","OK"))</f>
        <v/>
      </c>
      <c r="U1079" s="0" t="str">
        <f aca="false">IF($L1079="","",IFERROR(VLOOKUP(--$L1079,MM_Income!$Z$5:$AC$204,3,FALSE()),"UNMAPPED"))</f>
        <v/>
      </c>
    </row>
    <row r="1080" customFormat="false" ht="13.5" hidden="false" customHeight="false" outlineLevel="0" collapsed="false">
      <c r="A1080" s="1" t="str">
        <f aca="false">IF($C1080="","",Controls!$B$7)</f>
        <v/>
      </c>
      <c r="B1080" s="1" t="str">
        <f aca="false">IF($H1080="","",YEAR($H1080)&amp;"-Q"&amp;ROUNDUP(MONTH($H1080)/3,0))</f>
        <v/>
      </c>
      <c r="S1080" s="1" t="str">
        <f aca="false">IF($C1080="","",$C1080&amp;"|"&amp;$E1080&amp;"|"&amp;$F1080&amp;"|"&amp;$L1080&amp;"|"&amp;$P1080&amp;"|"&amp;TEXT($H1080,"yyyy-mm-dd"))</f>
        <v/>
      </c>
      <c r="T1080" s="1" t="str">
        <f aca="false">IF($S1080="","",IF(COUNTIF($S$2:$S$2991,$S1080)&gt;1,"DUPLICATE","OK"))</f>
        <v/>
      </c>
      <c r="U1080" s="0" t="str">
        <f aca="false">IF($L1080="","",IFERROR(VLOOKUP(--$L1080,MM_Income!$Z$5:$AC$204,3,FALSE()),"UNMAPPED"))</f>
        <v/>
      </c>
    </row>
    <row r="1081" customFormat="false" ht="13.5" hidden="false" customHeight="false" outlineLevel="0" collapsed="false">
      <c r="A1081" s="1" t="str">
        <f aca="false">IF($C1081="","",Controls!$B$7)</f>
        <v/>
      </c>
      <c r="B1081" s="1" t="str">
        <f aca="false">IF($H1081="","",YEAR($H1081)&amp;"-Q"&amp;ROUNDUP(MONTH($H1081)/3,0))</f>
        <v/>
      </c>
      <c r="S1081" s="1" t="str">
        <f aca="false">IF($C1081="","",$C1081&amp;"|"&amp;$E1081&amp;"|"&amp;$F1081&amp;"|"&amp;$L1081&amp;"|"&amp;$P1081&amp;"|"&amp;TEXT($H1081,"yyyy-mm-dd"))</f>
        <v/>
      </c>
      <c r="T1081" s="1" t="str">
        <f aca="false">IF($S1081="","",IF(COUNTIF($S$2:$S$2991,$S1081)&gt;1,"DUPLICATE","OK"))</f>
        <v/>
      </c>
      <c r="U1081" s="0" t="str">
        <f aca="false">IF($L1081="","",IFERROR(VLOOKUP(--$L1081,MM_Income!$Z$5:$AC$204,3,FALSE()),"UNMAPPED"))</f>
        <v/>
      </c>
    </row>
    <row r="1082" customFormat="false" ht="13.5" hidden="false" customHeight="false" outlineLevel="0" collapsed="false">
      <c r="A1082" s="1" t="str">
        <f aca="false">IF($C1082="","",Controls!$B$7)</f>
        <v/>
      </c>
      <c r="B1082" s="1" t="str">
        <f aca="false">IF($H1082="","",YEAR($H1082)&amp;"-Q"&amp;ROUNDUP(MONTH($H1082)/3,0))</f>
        <v/>
      </c>
      <c r="S1082" s="1" t="str">
        <f aca="false">IF($C1082="","",$C1082&amp;"|"&amp;$E1082&amp;"|"&amp;$F1082&amp;"|"&amp;$L1082&amp;"|"&amp;$P1082&amp;"|"&amp;TEXT($H1082,"yyyy-mm-dd"))</f>
        <v/>
      </c>
      <c r="T1082" s="1" t="str">
        <f aca="false">IF($S1082="","",IF(COUNTIF($S$2:$S$2991,$S1082)&gt;1,"DUPLICATE","OK"))</f>
        <v/>
      </c>
      <c r="U1082" s="0" t="str">
        <f aca="false">IF($L1082="","",IFERROR(VLOOKUP(--$L1082,MM_Income!$Z$5:$AC$204,3,FALSE()),"UNMAPPED"))</f>
        <v/>
      </c>
    </row>
    <row r="1083" customFormat="false" ht="13.5" hidden="false" customHeight="false" outlineLevel="0" collapsed="false">
      <c r="A1083" s="1" t="str">
        <f aca="false">IF($C1083="","",Controls!$B$7)</f>
        <v/>
      </c>
      <c r="B1083" s="1" t="str">
        <f aca="false">IF($H1083="","",YEAR($H1083)&amp;"-Q"&amp;ROUNDUP(MONTH($H1083)/3,0))</f>
        <v/>
      </c>
      <c r="S1083" s="1" t="str">
        <f aca="false">IF($C1083="","",$C1083&amp;"|"&amp;$E1083&amp;"|"&amp;$F1083&amp;"|"&amp;$L1083&amp;"|"&amp;$P1083&amp;"|"&amp;TEXT($H1083,"yyyy-mm-dd"))</f>
        <v/>
      </c>
      <c r="T1083" s="1" t="str">
        <f aca="false">IF($S1083="","",IF(COUNTIF($S$2:$S$2991,$S1083)&gt;1,"DUPLICATE","OK"))</f>
        <v/>
      </c>
      <c r="U1083" s="0" t="str">
        <f aca="false">IF($L1083="","",IFERROR(VLOOKUP(--$L1083,MM_Income!$Z$5:$AC$204,3,FALSE()),"UNMAPPED"))</f>
        <v/>
      </c>
    </row>
    <row r="1084" customFormat="false" ht="13.5" hidden="false" customHeight="false" outlineLevel="0" collapsed="false">
      <c r="A1084" s="1" t="str">
        <f aca="false">IF($C1084="","",Controls!$B$7)</f>
        <v/>
      </c>
      <c r="B1084" s="1" t="str">
        <f aca="false">IF($H1084="","",YEAR($H1084)&amp;"-Q"&amp;ROUNDUP(MONTH($H1084)/3,0))</f>
        <v/>
      </c>
      <c r="S1084" s="1" t="str">
        <f aca="false">IF($C1084="","",$C1084&amp;"|"&amp;$E1084&amp;"|"&amp;$F1084&amp;"|"&amp;$L1084&amp;"|"&amp;$P1084&amp;"|"&amp;TEXT($H1084,"yyyy-mm-dd"))</f>
        <v/>
      </c>
      <c r="T1084" s="1" t="str">
        <f aca="false">IF($S1084="","",IF(COUNTIF($S$2:$S$2991,$S1084)&gt;1,"DUPLICATE","OK"))</f>
        <v/>
      </c>
      <c r="U1084" s="0" t="str">
        <f aca="false">IF($L1084="","",IFERROR(VLOOKUP(--$L1084,MM_Income!$Z$5:$AC$204,3,FALSE()),"UNMAPPED"))</f>
        <v/>
      </c>
    </row>
    <row r="1085" customFormat="false" ht="13.5" hidden="false" customHeight="false" outlineLevel="0" collapsed="false">
      <c r="A1085" s="1" t="str">
        <f aca="false">IF($C1085="","",Controls!$B$7)</f>
        <v/>
      </c>
      <c r="B1085" s="1" t="str">
        <f aca="false">IF($H1085="","",YEAR($H1085)&amp;"-Q"&amp;ROUNDUP(MONTH($H1085)/3,0))</f>
        <v/>
      </c>
      <c r="S1085" s="1" t="str">
        <f aca="false">IF($C1085="","",$C1085&amp;"|"&amp;$E1085&amp;"|"&amp;$F1085&amp;"|"&amp;$L1085&amp;"|"&amp;$P1085&amp;"|"&amp;TEXT($H1085,"yyyy-mm-dd"))</f>
        <v/>
      </c>
      <c r="T1085" s="1" t="str">
        <f aca="false">IF($S1085="","",IF(COUNTIF($S$2:$S$2991,$S1085)&gt;1,"DUPLICATE","OK"))</f>
        <v/>
      </c>
      <c r="U1085" s="0" t="str">
        <f aca="false">IF($L1085="","",IFERROR(VLOOKUP(--$L1085,MM_Income!$Z$5:$AC$204,3,FALSE()),"UNMAPPED"))</f>
        <v/>
      </c>
    </row>
    <row r="1086" customFormat="false" ht="13.5" hidden="false" customHeight="false" outlineLevel="0" collapsed="false">
      <c r="A1086" s="1" t="str">
        <f aca="false">IF($C1086="","",Controls!$B$7)</f>
        <v/>
      </c>
      <c r="B1086" s="1" t="str">
        <f aca="false">IF($H1086="","",YEAR($H1086)&amp;"-Q"&amp;ROUNDUP(MONTH($H1086)/3,0))</f>
        <v/>
      </c>
      <c r="S1086" s="1" t="str">
        <f aca="false">IF($C1086="","",$C1086&amp;"|"&amp;$E1086&amp;"|"&amp;$F1086&amp;"|"&amp;$L1086&amp;"|"&amp;$P1086&amp;"|"&amp;TEXT($H1086,"yyyy-mm-dd"))</f>
        <v/>
      </c>
      <c r="T1086" s="1" t="str">
        <f aca="false">IF($S1086="","",IF(COUNTIF($S$2:$S$2991,$S1086)&gt;1,"DUPLICATE","OK"))</f>
        <v/>
      </c>
      <c r="U1086" s="0" t="str">
        <f aca="false">IF($L1086="","",IFERROR(VLOOKUP(--$L1086,MM_Income!$Z$5:$AC$204,3,FALSE()),"UNMAPPED"))</f>
        <v/>
      </c>
    </row>
    <row r="1087" customFormat="false" ht="13.5" hidden="false" customHeight="false" outlineLevel="0" collapsed="false">
      <c r="A1087" s="1" t="str">
        <f aca="false">IF($C1087="","",Controls!$B$7)</f>
        <v/>
      </c>
      <c r="B1087" s="1" t="str">
        <f aca="false">IF($H1087="","",YEAR($H1087)&amp;"-Q"&amp;ROUNDUP(MONTH($H1087)/3,0))</f>
        <v/>
      </c>
      <c r="S1087" s="1" t="str">
        <f aca="false">IF($C1087="","",$C1087&amp;"|"&amp;$E1087&amp;"|"&amp;$F1087&amp;"|"&amp;$L1087&amp;"|"&amp;$P1087&amp;"|"&amp;TEXT($H1087,"yyyy-mm-dd"))</f>
        <v/>
      </c>
      <c r="T1087" s="1" t="str">
        <f aca="false">IF($S1087="","",IF(COUNTIF($S$2:$S$2991,$S1087)&gt;1,"DUPLICATE","OK"))</f>
        <v/>
      </c>
      <c r="U1087" s="0" t="str">
        <f aca="false">IF($L1087="","",IFERROR(VLOOKUP(--$L1087,MM_Income!$Z$5:$AC$204,3,FALSE()),"UNMAPPED"))</f>
        <v/>
      </c>
    </row>
    <row r="1088" customFormat="false" ht="13.5" hidden="false" customHeight="false" outlineLevel="0" collapsed="false">
      <c r="A1088" s="1" t="str">
        <f aca="false">IF($C1088="","",Controls!$B$7)</f>
        <v/>
      </c>
      <c r="B1088" s="1" t="str">
        <f aca="false">IF($H1088="","",YEAR($H1088)&amp;"-Q"&amp;ROUNDUP(MONTH($H1088)/3,0))</f>
        <v/>
      </c>
      <c r="S1088" s="1" t="str">
        <f aca="false">IF($C1088="","",$C1088&amp;"|"&amp;$E1088&amp;"|"&amp;$F1088&amp;"|"&amp;$L1088&amp;"|"&amp;$P1088&amp;"|"&amp;TEXT($H1088,"yyyy-mm-dd"))</f>
        <v/>
      </c>
      <c r="T1088" s="1" t="str">
        <f aca="false">IF($S1088="","",IF(COUNTIF($S$2:$S$2991,$S1088)&gt;1,"DUPLICATE","OK"))</f>
        <v/>
      </c>
      <c r="U1088" s="0" t="str">
        <f aca="false">IF($L1088="","",IFERROR(VLOOKUP(--$L1088,MM_Income!$Z$5:$AC$204,3,FALSE()),"UNMAPPED"))</f>
        <v/>
      </c>
    </row>
    <row r="1089" customFormat="false" ht="13.5" hidden="false" customHeight="false" outlineLevel="0" collapsed="false">
      <c r="A1089" s="1" t="str">
        <f aca="false">IF($C1089="","",Controls!$B$7)</f>
        <v/>
      </c>
      <c r="B1089" s="1" t="str">
        <f aca="false">IF($H1089="","",YEAR($H1089)&amp;"-Q"&amp;ROUNDUP(MONTH($H1089)/3,0))</f>
        <v/>
      </c>
      <c r="S1089" s="1" t="str">
        <f aca="false">IF($C1089="","",$C1089&amp;"|"&amp;$E1089&amp;"|"&amp;$F1089&amp;"|"&amp;$L1089&amp;"|"&amp;$P1089&amp;"|"&amp;TEXT($H1089,"yyyy-mm-dd"))</f>
        <v/>
      </c>
      <c r="T1089" s="1" t="str">
        <f aca="false">IF($S1089="","",IF(COUNTIF($S$2:$S$2991,$S1089)&gt;1,"DUPLICATE","OK"))</f>
        <v/>
      </c>
      <c r="U1089" s="0" t="str">
        <f aca="false">IF($L1089="","",IFERROR(VLOOKUP(--$L1089,MM_Income!$Z$5:$AC$204,3,FALSE()),"UNMAPPED"))</f>
        <v/>
      </c>
    </row>
    <row r="1090" customFormat="false" ht="13.5" hidden="false" customHeight="false" outlineLevel="0" collapsed="false">
      <c r="A1090" s="1" t="str">
        <f aca="false">IF($C1090="","",Controls!$B$7)</f>
        <v/>
      </c>
      <c r="B1090" s="1" t="str">
        <f aca="false">IF($H1090="","",YEAR($H1090)&amp;"-Q"&amp;ROUNDUP(MONTH($H1090)/3,0))</f>
        <v/>
      </c>
      <c r="S1090" s="1" t="str">
        <f aca="false">IF($C1090="","",$C1090&amp;"|"&amp;$E1090&amp;"|"&amp;$F1090&amp;"|"&amp;$L1090&amp;"|"&amp;$P1090&amp;"|"&amp;TEXT($H1090,"yyyy-mm-dd"))</f>
        <v/>
      </c>
      <c r="T1090" s="1" t="str">
        <f aca="false">IF($S1090="","",IF(COUNTIF($S$2:$S$2991,$S1090)&gt;1,"DUPLICATE","OK"))</f>
        <v/>
      </c>
      <c r="U1090" s="0" t="str">
        <f aca="false">IF($L1090="","",IFERROR(VLOOKUP(--$L1090,MM_Income!$Z$5:$AC$204,3,FALSE()),"UNMAPPED"))</f>
        <v/>
      </c>
    </row>
    <row r="1091" customFormat="false" ht="13.5" hidden="false" customHeight="false" outlineLevel="0" collapsed="false">
      <c r="A1091" s="1" t="str">
        <f aca="false">IF($C1091="","",Controls!$B$7)</f>
        <v/>
      </c>
      <c r="B1091" s="1" t="str">
        <f aca="false">IF($H1091="","",YEAR($H1091)&amp;"-Q"&amp;ROUNDUP(MONTH($H1091)/3,0))</f>
        <v/>
      </c>
      <c r="S1091" s="1" t="str">
        <f aca="false">IF($C1091="","",$C1091&amp;"|"&amp;$E1091&amp;"|"&amp;$F1091&amp;"|"&amp;$L1091&amp;"|"&amp;$P1091&amp;"|"&amp;TEXT($H1091,"yyyy-mm-dd"))</f>
        <v/>
      </c>
      <c r="T1091" s="1" t="str">
        <f aca="false">IF($S1091="","",IF(COUNTIF($S$2:$S$2991,$S1091)&gt;1,"DUPLICATE","OK"))</f>
        <v/>
      </c>
      <c r="U1091" s="0" t="str">
        <f aca="false">IF($L1091="","",IFERROR(VLOOKUP(--$L1091,MM_Income!$Z$5:$AC$204,3,FALSE()),"UNMAPPED"))</f>
        <v/>
      </c>
    </row>
    <row r="1092" customFormat="false" ht="13.5" hidden="false" customHeight="false" outlineLevel="0" collapsed="false">
      <c r="A1092" s="1" t="str">
        <f aca="false">IF($C1092="","",Controls!$B$7)</f>
        <v/>
      </c>
      <c r="B1092" s="1" t="str">
        <f aca="false">IF($H1092="","",YEAR($H1092)&amp;"-Q"&amp;ROUNDUP(MONTH($H1092)/3,0))</f>
        <v/>
      </c>
      <c r="S1092" s="1" t="str">
        <f aca="false">IF($C1092="","",$C1092&amp;"|"&amp;$E1092&amp;"|"&amp;$F1092&amp;"|"&amp;$L1092&amp;"|"&amp;$P1092&amp;"|"&amp;TEXT($H1092,"yyyy-mm-dd"))</f>
        <v/>
      </c>
      <c r="T1092" s="1" t="str">
        <f aca="false">IF($S1092="","",IF(COUNTIF($S$2:$S$2991,$S1092)&gt;1,"DUPLICATE","OK"))</f>
        <v/>
      </c>
      <c r="U1092" s="0" t="str">
        <f aca="false">IF($L1092="","",IFERROR(VLOOKUP(--$L1092,MM_Income!$Z$5:$AC$204,3,FALSE()),"UNMAPPED"))</f>
        <v/>
      </c>
    </row>
    <row r="1093" customFormat="false" ht="13.5" hidden="false" customHeight="false" outlineLevel="0" collapsed="false">
      <c r="A1093" s="1" t="str">
        <f aca="false">IF($C1093="","",Controls!$B$7)</f>
        <v/>
      </c>
      <c r="B1093" s="1" t="str">
        <f aca="false">IF($H1093="","",YEAR($H1093)&amp;"-Q"&amp;ROUNDUP(MONTH($H1093)/3,0))</f>
        <v/>
      </c>
      <c r="S1093" s="1" t="str">
        <f aca="false">IF($C1093="","",$C1093&amp;"|"&amp;$E1093&amp;"|"&amp;$F1093&amp;"|"&amp;$L1093&amp;"|"&amp;$P1093&amp;"|"&amp;TEXT($H1093,"yyyy-mm-dd"))</f>
        <v/>
      </c>
      <c r="T1093" s="1" t="str">
        <f aca="false">IF($S1093="","",IF(COUNTIF($S$2:$S$2991,$S1093)&gt;1,"DUPLICATE","OK"))</f>
        <v/>
      </c>
      <c r="U1093" s="0" t="str">
        <f aca="false">IF($L1093="","",IFERROR(VLOOKUP(--$L1093,MM_Income!$Z$5:$AC$204,3,FALSE()),"UNMAPPED"))</f>
        <v/>
      </c>
    </row>
    <row r="1094" customFormat="false" ht="13.5" hidden="false" customHeight="false" outlineLevel="0" collapsed="false">
      <c r="A1094" s="1" t="str">
        <f aca="false">IF($C1094="","",Controls!$B$7)</f>
        <v/>
      </c>
      <c r="B1094" s="1" t="str">
        <f aca="false">IF($H1094="","",YEAR($H1094)&amp;"-Q"&amp;ROUNDUP(MONTH($H1094)/3,0))</f>
        <v/>
      </c>
      <c r="S1094" s="1" t="str">
        <f aca="false">IF($C1094="","",$C1094&amp;"|"&amp;$E1094&amp;"|"&amp;$F1094&amp;"|"&amp;$L1094&amp;"|"&amp;$P1094&amp;"|"&amp;TEXT($H1094,"yyyy-mm-dd"))</f>
        <v/>
      </c>
      <c r="T1094" s="1" t="str">
        <f aca="false">IF($S1094="","",IF(COUNTIF($S$2:$S$2991,$S1094)&gt;1,"DUPLICATE","OK"))</f>
        <v/>
      </c>
      <c r="U1094" s="0" t="str">
        <f aca="false">IF($L1094="","",IFERROR(VLOOKUP(--$L1094,MM_Income!$Z$5:$AC$204,3,FALSE()),"UNMAPPED"))</f>
        <v/>
      </c>
    </row>
    <row r="1095" customFormat="false" ht="13.5" hidden="false" customHeight="false" outlineLevel="0" collapsed="false">
      <c r="A1095" s="1" t="str">
        <f aca="false">IF($C1095="","",Controls!$B$7)</f>
        <v/>
      </c>
      <c r="B1095" s="1" t="str">
        <f aca="false">IF($H1095="","",YEAR($H1095)&amp;"-Q"&amp;ROUNDUP(MONTH($H1095)/3,0))</f>
        <v/>
      </c>
      <c r="S1095" s="1" t="str">
        <f aca="false">IF($C1095="","",$C1095&amp;"|"&amp;$E1095&amp;"|"&amp;$F1095&amp;"|"&amp;$L1095&amp;"|"&amp;$P1095&amp;"|"&amp;TEXT($H1095,"yyyy-mm-dd"))</f>
        <v/>
      </c>
      <c r="T1095" s="1" t="str">
        <f aca="false">IF($S1095="","",IF(COUNTIF($S$2:$S$2991,$S1095)&gt;1,"DUPLICATE","OK"))</f>
        <v/>
      </c>
      <c r="U1095" s="0" t="str">
        <f aca="false">IF($L1095="","",IFERROR(VLOOKUP(--$L1095,MM_Income!$Z$5:$AC$204,3,FALSE()),"UNMAPPED"))</f>
        <v/>
      </c>
    </row>
    <row r="1096" customFormat="false" ht="13.5" hidden="false" customHeight="false" outlineLevel="0" collapsed="false">
      <c r="A1096" s="1" t="str">
        <f aca="false">IF($C1096="","",Controls!$B$7)</f>
        <v/>
      </c>
      <c r="B1096" s="1" t="str">
        <f aca="false">IF($H1096="","",YEAR($H1096)&amp;"-Q"&amp;ROUNDUP(MONTH($H1096)/3,0))</f>
        <v/>
      </c>
      <c r="S1096" s="1" t="str">
        <f aca="false">IF($C1096="","",$C1096&amp;"|"&amp;$E1096&amp;"|"&amp;$F1096&amp;"|"&amp;$L1096&amp;"|"&amp;$P1096&amp;"|"&amp;TEXT($H1096,"yyyy-mm-dd"))</f>
        <v/>
      </c>
      <c r="T1096" s="1" t="str">
        <f aca="false">IF($S1096="","",IF(COUNTIF($S$2:$S$2991,$S1096)&gt;1,"DUPLICATE","OK"))</f>
        <v/>
      </c>
      <c r="U1096" s="0" t="str">
        <f aca="false">IF($L1096="","",IFERROR(VLOOKUP(--$L1096,MM_Income!$Z$5:$AC$204,3,FALSE()),"UNMAPPED"))</f>
        <v/>
      </c>
    </row>
    <row r="1097" customFormat="false" ht="13.5" hidden="false" customHeight="false" outlineLevel="0" collapsed="false">
      <c r="A1097" s="1" t="str">
        <f aca="false">IF($C1097="","",Controls!$B$7)</f>
        <v/>
      </c>
      <c r="B1097" s="1" t="str">
        <f aca="false">IF($H1097="","",YEAR($H1097)&amp;"-Q"&amp;ROUNDUP(MONTH($H1097)/3,0))</f>
        <v/>
      </c>
      <c r="S1097" s="1" t="str">
        <f aca="false">IF($C1097="","",$C1097&amp;"|"&amp;$E1097&amp;"|"&amp;$F1097&amp;"|"&amp;$L1097&amp;"|"&amp;$P1097&amp;"|"&amp;TEXT($H1097,"yyyy-mm-dd"))</f>
        <v/>
      </c>
      <c r="T1097" s="1" t="str">
        <f aca="false">IF($S1097="","",IF(COUNTIF($S$2:$S$2991,$S1097)&gt;1,"DUPLICATE","OK"))</f>
        <v/>
      </c>
      <c r="U1097" s="0" t="str">
        <f aca="false">IF($L1097="","",IFERROR(VLOOKUP(--$L1097,MM_Income!$Z$5:$AC$204,3,FALSE()),"UNMAPPED"))</f>
        <v/>
      </c>
    </row>
    <row r="1098" customFormat="false" ht="13.5" hidden="false" customHeight="false" outlineLevel="0" collapsed="false">
      <c r="A1098" s="1" t="str">
        <f aca="false">IF($C1098="","",Controls!$B$7)</f>
        <v/>
      </c>
      <c r="B1098" s="1" t="str">
        <f aca="false">IF($H1098="","",YEAR($H1098)&amp;"-Q"&amp;ROUNDUP(MONTH($H1098)/3,0))</f>
        <v/>
      </c>
      <c r="S1098" s="1" t="str">
        <f aca="false">IF($C1098="","",$C1098&amp;"|"&amp;$E1098&amp;"|"&amp;$F1098&amp;"|"&amp;$L1098&amp;"|"&amp;$P1098&amp;"|"&amp;TEXT($H1098,"yyyy-mm-dd"))</f>
        <v/>
      </c>
      <c r="T1098" s="1" t="str">
        <f aca="false">IF($S1098="","",IF(COUNTIF($S$2:$S$2991,$S1098)&gt;1,"DUPLICATE","OK"))</f>
        <v/>
      </c>
      <c r="U1098" s="0" t="str">
        <f aca="false">IF($L1098="","",IFERROR(VLOOKUP(--$L1098,MM_Income!$Z$5:$AC$204,3,FALSE()),"UNMAPPED"))</f>
        <v/>
      </c>
    </row>
    <row r="1099" customFormat="false" ht="13.5" hidden="false" customHeight="false" outlineLevel="0" collapsed="false">
      <c r="A1099" s="1" t="str">
        <f aca="false">IF($C1099="","",Controls!$B$7)</f>
        <v/>
      </c>
      <c r="B1099" s="1" t="str">
        <f aca="false">IF($H1099="","",YEAR($H1099)&amp;"-Q"&amp;ROUNDUP(MONTH($H1099)/3,0))</f>
        <v/>
      </c>
      <c r="S1099" s="1" t="str">
        <f aca="false">IF($C1099="","",$C1099&amp;"|"&amp;$E1099&amp;"|"&amp;$F1099&amp;"|"&amp;$L1099&amp;"|"&amp;$P1099&amp;"|"&amp;TEXT($H1099,"yyyy-mm-dd"))</f>
        <v/>
      </c>
      <c r="T1099" s="1" t="str">
        <f aca="false">IF($S1099="","",IF(COUNTIF($S$2:$S$2991,$S1099)&gt;1,"DUPLICATE","OK"))</f>
        <v/>
      </c>
      <c r="U1099" s="0" t="str">
        <f aca="false">IF($L1099="","",IFERROR(VLOOKUP(--$L1099,MM_Income!$Z$5:$AC$204,3,FALSE()),"UNMAPPED"))</f>
        <v/>
      </c>
    </row>
    <row r="1100" customFormat="false" ht="13.5" hidden="false" customHeight="false" outlineLevel="0" collapsed="false">
      <c r="A1100" s="1" t="str">
        <f aca="false">IF($C1100="","",Controls!$B$7)</f>
        <v/>
      </c>
      <c r="B1100" s="1" t="str">
        <f aca="false">IF($H1100="","",YEAR($H1100)&amp;"-Q"&amp;ROUNDUP(MONTH($H1100)/3,0))</f>
        <v/>
      </c>
      <c r="S1100" s="1" t="str">
        <f aca="false">IF($C1100="","",$C1100&amp;"|"&amp;$E1100&amp;"|"&amp;$F1100&amp;"|"&amp;$L1100&amp;"|"&amp;$P1100&amp;"|"&amp;TEXT($H1100,"yyyy-mm-dd"))</f>
        <v/>
      </c>
      <c r="T1100" s="1" t="str">
        <f aca="false">IF($S1100="","",IF(COUNTIF($S$2:$S$2991,$S1100)&gt;1,"DUPLICATE","OK"))</f>
        <v/>
      </c>
      <c r="U1100" s="0" t="str">
        <f aca="false">IF($L1100="","",IFERROR(VLOOKUP(--$L1100,MM_Income!$Z$5:$AC$204,3,FALSE()),"UNMAPPED"))</f>
        <v/>
      </c>
    </row>
    <row r="1101" customFormat="false" ht="13.5" hidden="false" customHeight="false" outlineLevel="0" collapsed="false">
      <c r="A1101" s="1" t="str">
        <f aca="false">IF($C1101="","",Controls!$B$7)</f>
        <v/>
      </c>
      <c r="B1101" s="1" t="str">
        <f aca="false">IF($H1101="","",YEAR($H1101)&amp;"-Q"&amp;ROUNDUP(MONTH($H1101)/3,0))</f>
        <v/>
      </c>
      <c r="S1101" s="1" t="str">
        <f aca="false">IF($C1101="","",$C1101&amp;"|"&amp;$E1101&amp;"|"&amp;$F1101&amp;"|"&amp;$L1101&amp;"|"&amp;$P1101&amp;"|"&amp;TEXT($H1101,"yyyy-mm-dd"))</f>
        <v/>
      </c>
      <c r="T1101" s="1" t="str">
        <f aca="false">IF($S1101="","",IF(COUNTIF($S$2:$S$2991,$S1101)&gt;1,"DUPLICATE","OK"))</f>
        <v/>
      </c>
      <c r="U1101" s="0" t="str">
        <f aca="false">IF($L1101="","",IFERROR(VLOOKUP(--$L1101,MM_Income!$Z$5:$AC$204,3,FALSE()),"UNMAPPED"))</f>
        <v/>
      </c>
    </row>
    <row r="1102" customFormat="false" ht="13.5" hidden="false" customHeight="false" outlineLevel="0" collapsed="false">
      <c r="A1102" s="1" t="str">
        <f aca="false">IF($C1102="","",Controls!$B$7)</f>
        <v/>
      </c>
      <c r="B1102" s="1" t="str">
        <f aca="false">IF($H1102="","",YEAR($H1102)&amp;"-Q"&amp;ROUNDUP(MONTH($H1102)/3,0))</f>
        <v/>
      </c>
      <c r="S1102" s="1" t="str">
        <f aca="false">IF($C1102="","",$C1102&amp;"|"&amp;$E1102&amp;"|"&amp;$F1102&amp;"|"&amp;$L1102&amp;"|"&amp;$P1102&amp;"|"&amp;TEXT($H1102,"yyyy-mm-dd"))</f>
        <v/>
      </c>
      <c r="T1102" s="1" t="str">
        <f aca="false">IF($S1102="","",IF(COUNTIF($S$2:$S$2991,$S1102)&gt;1,"DUPLICATE","OK"))</f>
        <v/>
      </c>
      <c r="U1102" s="0" t="str">
        <f aca="false">IF($L1102="","",IFERROR(VLOOKUP(--$L1102,MM_Income!$Z$5:$AC$204,3,FALSE()),"UNMAPPED"))</f>
        <v/>
      </c>
    </row>
    <row r="1103" customFormat="false" ht="13.5" hidden="false" customHeight="false" outlineLevel="0" collapsed="false">
      <c r="A1103" s="1" t="str">
        <f aca="false">IF($C1103="","",Controls!$B$7)</f>
        <v/>
      </c>
      <c r="B1103" s="1" t="str">
        <f aca="false">IF($H1103="","",YEAR($H1103)&amp;"-Q"&amp;ROUNDUP(MONTH($H1103)/3,0))</f>
        <v/>
      </c>
      <c r="S1103" s="1" t="str">
        <f aca="false">IF($C1103="","",$C1103&amp;"|"&amp;$E1103&amp;"|"&amp;$F1103&amp;"|"&amp;$L1103&amp;"|"&amp;$P1103&amp;"|"&amp;TEXT($H1103,"yyyy-mm-dd"))</f>
        <v/>
      </c>
      <c r="T1103" s="1" t="str">
        <f aca="false">IF($S1103="","",IF(COUNTIF($S$2:$S$2991,$S1103)&gt;1,"DUPLICATE","OK"))</f>
        <v/>
      </c>
      <c r="U1103" s="0" t="str">
        <f aca="false">IF($L1103="","",IFERROR(VLOOKUP(--$L1103,MM_Income!$Z$5:$AC$204,3,FALSE()),"UNMAPPED"))</f>
        <v/>
      </c>
    </row>
    <row r="1104" customFormat="false" ht="13.5" hidden="false" customHeight="false" outlineLevel="0" collapsed="false">
      <c r="A1104" s="1" t="str">
        <f aca="false">IF($C1104="","",Controls!$B$7)</f>
        <v/>
      </c>
      <c r="B1104" s="1" t="str">
        <f aca="false">IF($H1104="","",YEAR($H1104)&amp;"-Q"&amp;ROUNDUP(MONTH($H1104)/3,0))</f>
        <v/>
      </c>
      <c r="S1104" s="1" t="str">
        <f aca="false">IF($C1104="","",$C1104&amp;"|"&amp;$E1104&amp;"|"&amp;$F1104&amp;"|"&amp;$L1104&amp;"|"&amp;$P1104&amp;"|"&amp;TEXT($H1104,"yyyy-mm-dd"))</f>
        <v/>
      </c>
      <c r="T1104" s="1" t="str">
        <f aca="false">IF($S1104="","",IF(COUNTIF($S$2:$S$2991,$S1104)&gt;1,"DUPLICATE","OK"))</f>
        <v/>
      </c>
      <c r="U1104" s="0" t="str">
        <f aca="false">IF($L1104="","",IFERROR(VLOOKUP(--$L1104,MM_Income!$Z$5:$AC$204,3,FALSE()),"UNMAPPED"))</f>
        <v/>
      </c>
    </row>
    <row r="1105" customFormat="false" ht="13.5" hidden="false" customHeight="false" outlineLevel="0" collapsed="false">
      <c r="A1105" s="1" t="str">
        <f aca="false">IF($C1105="","",Controls!$B$7)</f>
        <v/>
      </c>
      <c r="B1105" s="1" t="str">
        <f aca="false">IF($H1105="","",YEAR($H1105)&amp;"-Q"&amp;ROUNDUP(MONTH($H1105)/3,0))</f>
        <v/>
      </c>
      <c r="S1105" s="1" t="str">
        <f aca="false">IF($C1105="","",$C1105&amp;"|"&amp;$E1105&amp;"|"&amp;$F1105&amp;"|"&amp;$L1105&amp;"|"&amp;$P1105&amp;"|"&amp;TEXT($H1105,"yyyy-mm-dd"))</f>
        <v/>
      </c>
      <c r="T1105" s="1" t="str">
        <f aca="false">IF($S1105="","",IF(COUNTIF($S$2:$S$2991,$S1105)&gt;1,"DUPLICATE","OK"))</f>
        <v/>
      </c>
      <c r="U1105" s="0" t="str">
        <f aca="false">IF($L1105="","",IFERROR(VLOOKUP(--$L1105,MM_Income!$Z$5:$AC$204,3,FALSE()),"UNMAPPED"))</f>
        <v/>
      </c>
    </row>
    <row r="1106" customFormat="false" ht="13.5" hidden="false" customHeight="false" outlineLevel="0" collapsed="false">
      <c r="A1106" s="1" t="str">
        <f aca="false">IF($C1106="","",Controls!$B$7)</f>
        <v/>
      </c>
      <c r="B1106" s="1" t="str">
        <f aca="false">IF($H1106="","",YEAR($H1106)&amp;"-Q"&amp;ROUNDUP(MONTH($H1106)/3,0))</f>
        <v/>
      </c>
      <c r="S1106" s="1" t="str">
        <f aca="false">IF($C1106="","",$C1106&amp;"|"&amp;$E1106&amp;"|"&amp;$F1106&amp;"|"&amp;$L1106&amp;"|"&amp;$P1106&amp;"|"&amp;TEXT($H1106,"yyyy-mm-dd"))</f>
        <v/>
      </c>
      <c r="T1106" s="1" t="str">
        <f aca="false">IF($S1106="","",IF(COUNTIF($S$2:$S$2991,$S1106)&gt;1,"DUPLICATE","OK"))</f>
        <v/>
      </c>
      <c r="U1106" s="0" t="str">
        <f aca="false">IF($L1106="","",IFERROR(VLOOKUP(--$L1106,MM_Income!$Z$5:$AC$204,3,FALSE()),"UNMAPPED"))</f>
        <v/>
      </c>
    </row>
    <row r="1107" customFormat="false" ht="13.5" hidden="false" customHeight="false" outlineLevel="0" collapsed="false">
      <c r="A1107" s="1" t="str">
        <f aca="false">IF($C1107="","",Controls!$B$7)</f>
        <v/>
      </c>
      <c r="B1107" s="1" t="str">
        <f aca="false">IF($H1107="","",YEAR($H1107)&amp;"-Q"&amp;ROUNDUP(MONTH($H1107)/3,0))</f>
        <v/>
      </c>
      <c r="S1107" s="1" t="str">
        <f aca="false">IF($C1107="","",$C1107&amp;"|"&amp;$E1107&amp;"|"&amp;$F1107&amp;"|"&amp;$L1107&amp;"|"&amp;$P1107&amp;"|"&amp;TEXT($H1107,"yyyy-mm-dd"))</f>
        <v/>
      </c>
      <c r="T1107" s="1" t="str">
        <f aca="false">IF($S1107="","",IF(COUNTIF($S$2:$S$2991,$S1107)&gt;1,"DUPLICATE","OK"))</f>
        <v/>
      </c>
      <c r="U1107" s="0" t="str">
        <f aca="false">IF($L1107="","",IFERROR(VLOOKUP(--$L1107,MM_Income!$Z$5:$AC$204,3,FALSE()),"UNMAPPED"))</f>
        <v/>
      </c>
    </row>
    <row r="1108" customFormat="false" ht="13.5" hidden="false" customHeight="false" outlineLevel="0" collapsed="false">
      <c r="A1108" s="1" t="str">
        <f aca="false">IF($C1108="","",Controls!$B$7)</f>
        <v/>
      </c>
      <c r="B1108" s="1" t="str">
        <f aca="false">IF($H1108="","",YEAR($H1108)&amp;"-Q"&amp;ROUNDUP(MONTH($H1108)/3,0))</f>
        <v/>
      </c>
      <c r="S1108" s="1" t="str">
        <f aca="false">IF($C1108="","",$C1108&amp;"|"&amp;$E1108&amp;"|"&amp;$F1108&amp;"|"&amp;$L1108&amp;"|"&amp;$P1108&amp;"|"&amp;TEXT($H1108,"yyyy-mm-dd"))</f>
        <v/>
      </c>
      <c r="T1108" s="1" t="str">
        <f aca="false">IF($S1108="","",IF(COUNTIF($S$2:$S$2991,$S1108)&gt;1,"DUPLICATE","OK"))</f>
        <v/>
      </c>
      <c r="U1108" s="0" t="str">
        <f aca="false">IF($L1108="","",IFERROR(VLOOKUP(--$L1108,MM_Income!$Z$5:$AC$204,3,FALSE()),"UNMAPPED"))</f>
        <v/>
      </c>
    </row>
    <row r="1109" customFormat="false" ht="13.5" hidden="false" customHeight="false" outlineLevel="0" collapsed="false">
      <c r="A1109" s="1" t="str">
        <f aca="false">IF($C1109="","",Controls!$B$7)</f>
        <v/>
      </c>
      <c r="B1109" s="1" t="str">
        <f aca="false">IF($H1109="","",YEAR($H1109)&amp;"-Q"&amp;ROUNDUP(MONTH($H1109)/3,0))</f>
        <v/>
      </c>
      <c r="S1109" s="1" t="str">
        <f aca="false">IF($C1109="","",$C1109&amp;"|"&amp;$E1109&amp;"|"&amp;$F1109&amp;"|"&amp;$L1109&amp;"|"&amp;$P1109&amp;"|"&amp;TEXT($H1109,"yyyy-mm-dd"))</f>
        <v/>
      </c>
      <c r="T1109" s="1" t="str">
        <f aca="false">IF($S1109="","",IF(COUNTIF($S$2:$S$2991,$S1109)&gt;1,"DUPLICATE","OK"))</f>
        <v/>
      </c>
      <c r="U1109" s="0" t="str">
        <f aca="false">IF($L1109="","",IFERROR(VLOOKUP(--$L1109,MM_Income!$Z$5:$AC$204,3,FALSE()),"UNMAPPED"))</f>
        <v/>
      </c>
    </row>
    <row r="1110" customFormat="false" ht="13.5" hidden="false" customHeight="false" outlineLevel="0" collapsed="false">
      <c r="A1110" s="1" t="str">
        <f aca="false">IF($C1110="","",Controls!$B$7)</f>
        <v/>
      </c>
      <c r="B1110" s="1" t="str">
        <f aca="false">IF($H1110="","",YEAR($H1110)&amp;"-Q"&amp;ROUNDUP(MONTH($H1110)/3,0))</f>
        <v/>
      </c>
      <c r="S1110" s="1" t="str">
        <f aca="false">IF($C1110="","",$C1110&amp;"|"&amp;$E1110&amp;"|"&amp;$F1110&amp;"|"&amp;$L1110&amp;"|"&amp;$P1110&amp;"|"&amp;TEXT($H1110,"yyyy-mm-dd"))</f>
        <v/>
      </c>
      <c r="T1110" s="1" t="str">
        <f aca="false">IF($S1110="","",IF(COUNTIF($S$2:$S$2991,$S1110)&gt;1,"DUPLICATE","OK"))</f>
        <v/>
      </c>
      <c r="U1110" s="0" t="str">
        <f aca="false">IF($L1110="","",IFERROR(VLOOKUP(--$L1110,MM_Income!$Z$5:$AC$204,3,FALSE()),"UNMAPPED"))</f>
        <v/>
      </c>
    </row>
    <row r="1111" customFormat="false" ht="13.5" hidden="false" customHeight="false" outlineLevel="0" collapsed="false">
      <c r="A1111" s="1" t="str">
        <f aca="false">IF($C1111="","",Controls!$B$7)</f>
        <v/>
      </c>
      <c r="B1111" s="1" t="str">
        <f aca="false">IF($H1111="","",YEAR($H1111)&amp;"-Q"&amp;ROUNDUP(MONTH($H1111)/3,0))</f>
        <v/>
      </c>
      <c r="S1111" s="1" t="str">
        <f aca="false">IF($C1111="","",$C1111&amp;"|"&amp;$E1111&amp;"|"&amp;$F1111&amp;"|"&amp;$L1111&amp;"|"&amp;$P1111&amp;"|"&amp;TEXT($H1111,"yyyy-mm-dd"))</f>
        <v/>
      </c>
      <c r="T1111" s="1" t="str">
        <f aca="false">IF($S1111="","",IF(COUNTIF($S$2:$S$2991,$S1111)&gt;1,"DUPLICATE","OK"))</f>
        <v/>
      </c>
      <c r="U1111" s="0" t="str">
        <f aca="false">IF($L1111="","",IFERROR(VLOOKUP(--$L1111,MM_Income!$Z$5:$AC$204,3,FALSE()),"UNMAPPED"))</f>
        <v/>
      </c>
    </row>
    <row r="1112" customFormat="false" ht="13.5" hidden="false" customHeight="false" outlineLevel="0" collapsed="false">
      <c r="A1112" s="1" t="str">
        <f aca="false">IF($C1112="","",Controls!$B$7)</f>
        <v/>
      </c>
      <c r="B1112" s="1" t="str">
        <f aca="false">IF($H1112="","",YEAR($H1112)&amp;"-Q"&amp;ROUNDUP(MONTH($H1112)/3,0))</f>
        <v/>
      </c>
      <c r="S1112" s="1" t="str">
        <f aca="false">IF($C1112="","",$C1112&amp;"|"&amp;$E1112&amp;"|"&amp;$F1112&amp;"|"&amp;$L1112&amp;"|"&amp;$P1112&amp;"|"&amp;TEXT($H1112,"yyyy-mm-dd"))</f>
        <v/>
      </c>
      <c r="T1112" s="1" t="str">
        <f aca="false">IF($S1112="","",IF(COUNTIF($S$2:$S$2991,$S1112)&gt;1,"DUPLICATE","OK"))</f>
        <v/>
      </c>
      <c r="U1112" s="0" t="str">
        <f aca="false">IF($L1112="","",IFERROR(VLOOKUP(--$L1112,MM_Income!$Z$5:$AC$204,3,FALSE()),"UNMAPPED"))</f>
        <v/>
      </c>
    </row>
    <row r="1113" customFormat="false" ht="13.5" hidden="false" customHeight="false" outlineLevel="0" collapsed="false">
      <c r="A1113" s="1" t="str">
        <f aca="false">IF($C1113="","",Controls!$B$7)</f>
        <v/>
      </c>
      <c r="B1113" s="1" t="str">
        <f aca="false">IF($H1113="","",YEAR($H1113)&amp;"-Q"&amp;ROUNDUP(MONTH($H1113)/3,0))</f>
        <v/>
      </c>
      <c r="S1113" s="1" t="str">
        <f aca="false">IF($C1113="","",$C1113&amp;"|"&amp;$E1113&amp;"|"&amp;$F1113&amp;"|"&amp;$L1113&amp;"|"&amp;$P1113&amp;"|"&amp;TEXT($H1113,"yyyy-mm-dd"))</f>
        <v/>
      </c>
      <c r="T1113" s="1" t="str">
        <f aca="false">IF($S1113="","",IF(COUNTIF($S$2:$S$2991,$S1113)&gt;1,"DUPLICATE","OK"))</f>
        <v/>
      </c>
      <c r="U1113" s="0" t="str">
        <f aca="false">IF($L1113="","",IFERROR(VLOOKUP(--$L1113,MM_Income!$Z$5:$AC$204,3,FALSE()),"UNMAPPED"))</f>
        <v/>
      </c>
    </row>
    <row r="1114" customFormat="false" ht="13.5" hidden="false" customHeight="false" outlineLevel="0" collapsed="false">
      <c r="A1114" s="1" t="str">
        <f aca="false">IF($C1114="","",Controls!$B$7)</f>
        <v/>
      </c>
      <c r="B1114" s="1" t="str">
        <f aca="false">IF($H1114="","",YEAR($H1114)&amp;"-Q"&amp;ROUNDUP(MONTH($H1114)/3,0))</f>
        <v/>
      </c>
      <c r="S1114" s="1" t="str">
        <f aca="false">IF($C1114="","",$C1114&amp;"|"&amp;$E1114&amp;"|"&amp;$F1114&amp;"|"&amp;$L1114&amp;"|"&amp;$P1114&amp;"|"&amp;TEXT($H1114,"yyyy-mm-dd"))</f>
        <v/>
      </c>
      <c r="T1114" s="1" t="str">
        <f aca="false">IF($S1114="","",IF(COUNTIF($S$2:$S$2991,$S1114)&gt;1,"DUPLICATE","OK"))</f>
        <v/>
      </c>
      <c r="U1114" s="0" t="str">
        <f aca="false">IF($L1114="","",IFERROR(VLOOKUP(--$L1114,MM_Income!$Z$5:$AC$204,3,FALSE()),"UNMAPPED"))</f>
        <v/>
      </c>
    </row>
    <row r="1115" customFormat="false" ht="13.5" hidden="false" customHeight="false" outlineLevel="0" collapsed="false">
      <c r="A1115" s="1" t="str">
        <f aca="false">IF($C1115="","",Controls!$B$7)</f>
        <v/>
      </c>
      <c r="B1115" s="1" t="str">
        <f aca="false">IF($H1115="","",YEAR($H1115)&amp;"-Q"&amp;ROUNDUP(MONTH($H1115)/3,0))</f>
        <v/>
      </c>
      <c r="S1115" s="1" t="str">
        <f aca="false">IF($C1115="","",$C1115&amp;"|"&amp;$E1115&amp;"|"&amp;$F1115&amp;"|"&amp;$L1115&amp;"|"&amp;$P1115&amp;"|"&amp;TEXT($H1115,"yyyy-mm-dd"))</f>
        <v/>
      </c>
      <c r="T1115" s="1" t="str">
        <f aca="false">IF($S1115="","",IF(COUNTIF($S$2:$S$2991,$S1115)&gt;1,"DUPLICATE","OK"))</f>
        <v/>
      </c>
      <c r="U1115" s="0" t="str">
        <f aca="false">IF($L1115="","",IFERROR(VLOOKUP(--$L1115,MM_Income!$Z$5:$AC$204,3,FALSE()),"UNMAPPED"))</f>
        <v/>
      </c>
    </row>
    <row r="1116" customFormat="false" ht="13.5" hidden="false" customHeight="false" outlineLevel="0" collapsed="false">
      <c r="A1116" s="1" t="str">
        <f aca="false">IF($C1116="","",Controls!$B$7)</f>
        <v/>
      </c>
      <c r="B1116" s="1" t="str">
        <f aca="false">IF($H1116="","",YEAR($H1116)&amp;"-Q"&amp;ROUNDUP(MONTH($H1116)/3,0))</f>
        <v/>
      </c>
      <c r="S1116" s="1" t="str">
        <f aca="false">IF($C1116="","",$C1116&amp;"|"&amp;$E1116&amp;"|"&amp;$F1116&amp;"|"&amp;$L1116&amp;"|"&amp;$P1116&amp;"|"&amp;TEXT($H1116,"yyyy-mm-dd"))</f>
        <v/>
      </c>
      <c r="T1116" s="1" t="str">
        <f aca="false">IF($S1116="","",IF(COUNTIF($S$2:$S$2991,$S1116)&gt;1,"DUPLICATE","OK"))</f>
        <v/>
      </c>
      <c r="U1116" s="0" t="str">
        <f aca="false">IF($L1116="","",IFERROR(VLOOKUP(--$L1116,MM_Income!$Z$5:$AC$204,3,FALSE()),"UNMAPPED"))</f>
        <v/>
      </c>
    </row>
    <row r="1117" customFormat="false" ht="13.5" hidden="false" customHeight="false" outlineLevel="0" collapsed="false">
      <c r="A1117" s="1" t="str">
        <f aca="false">IF($C1117="","",Controls!$B$7)</f>
        <v/>
      </c>
      <c r="B1117" s="1" t="str">
        <f aca="false">IF($H1117="","",YEAR($H1117)&amp;"-Q"&amp;ROUNDUP(MONTH($H1117)/3,0))</f>
        <v/>
      </c>
      <c r="S1117" s="1" t="str">
        <f aca="false">IF($C1117="","",$C1117&amp;"|"&amp;$E1117&amp;"|"&amp;$F1117&amp;"|"&amp;$L1117&amp;"|"&amp;$P1117&amp;"|"&amp;TEXT($H1117,"yyyy-mm-dd"))</f>
        <v/>
      </c>
      <c r="T1117" s="1" t="str">
        <f aca="false">IF($S1117="","",IF(COUNTIF($S$2:$S$2991,$S1117)&gt;1,"DUPLICATE","OK"))</f>
        <v/>
      </c>
      <c r="U1117" s="0" t="str">
        <f aca="false">IF($L1117="","",IFERROR(VLOOKUP(--$L1117,MM_Income!$Z$5:$AC$204,3,FALSE()),"UNMAPPED"))</f>
        <v/>
      </c>
    </row>
    <row r="1118" customFormat="false" ht="13.5" hidden="false" customHeight="false" outlineLevel="0" collapsed="false">
      <c r="A1118" s="1" t="str">
        <f aca="false">IF($C1118="","",Controls!$B$7)</f>
        <v/>
      </c>
      <c r="B1118" s="1" t="str">
        <f aca="false">IF($H1118="","",YEAR($H1118)&amp;"-Q"&amp;ROUNDUP(MONTH($H1118)/3,0))</f>
        <v/>
      </c>
      <c r="S1118" s="1" t="str">
        <f aca="false">IF($C1118="","",$C1118&amp;"|"&amp;$E1118&amp;"|"&amp;$F1118&amp;"|"&amp;$L1118&amp;"|"&amp;$P1118&amp;"|"&amp;TEXT($H1118,"yyyy-mm-dd"))</f>
        <v/>
      </c>
      <c r="T1118" s="1" t="str">
        <f aca="false">IF($S1118="","",IF(COUNTIF($S$2:$S$2991,$S1118)&gt;1,"DUPLICATE","OK"))</f>
        <v/>
      </c>
      <c r="U1118" s="0" t="str">
        <f aca="false">IF($L1118="","",IFERROR(VLOOKUP(--$L1118,MM_Income!$Z$5:$AC$204,3,FALSE()),"UNMAPPED"))</f>
        <v/>
      </c>
    </row>
    <row r="1119" customFormat="false" ht="13.5" hidden="false" customHeight="false" outlineLevel="0" collapsed="false">
      <c r="A1119" s="1" t="str">
        <f aca="false">IF($C1119="","",Controls!$B$7)</f>
        <v/>
      </c>
      <c r="B1119" s="1" t="str">
        <f aca="false">IF($H1119="","",YEAR($H1119)&amp;"-Q"&amp;ROUNDUP(MONTH($H1119)/3,0))</f>
        <v/>
      </c>
      <c r="S1119" s="1" t="str">
        <f aca="false">IF($C1119="","",$C1119&amp;"|"&amp;$E1119&amp;"|"&amp;$F1119&amp;"|"&amp;$L1119&amp;"|"&amp;$P1119&amp;"|"&amp;TEXT($H1119,"yyyy-mm-dd"))</f>
        <v/>
      </c>
      <c r="T1119" s="1" t="str">
        <f aca="false">IF($S1119="","",IF(COUNTIF($S$2:$S$2991,$S1119)&gt;1,"DUPLICATE","OK"))</f>
        <v/>
      </c>
      <c r="U1119" s="0" t="str">
        <f aca="false">IF($L1119="","",IFERROR(VLOOKUP(--$L1119,MM_Income!$Z$5:$AC$204,3,FALSE()),"UNMAPPED"))</f>
        <v/>
      </c>
    </row>
    <row r="1120" customFormat="false" ht="13.5" hidden="false" customHeight="false" outlineLevel="0" collapsed="false">
      <c r="A1120" s="1" t="str">
        <f aca="false">IF($C1120="","",Controls!$B$7)</f>
        <v/>
      </c>
      <c r="B1120" s="1" t="str">
        <f aca="false">IF($H1120="","",YEAR($H1120)&amp;"-Q"&amp;ROUNDUP(MONTH($H1120)/3,0))</f>
        <v/>
      </c>
      <c r="S1120" s="1" t="str">
        <f aca="false">IF($C1120="","",$C1120&amp;"|"&amp;$E1120&amp;"|"&amp;$F1120&amp;"|"&amp;$L1120&amp;"|"&amp;$P1120&amp;"|"&amp;TEXT($H1120,"yyyy-mm-dd"))</f>
        <v/>
      </c>
      <c r="T1120" s="1" t="str">
        <f aca="false">IF($S1120="","",IF(COUNTIF($S$2:$S$2991,$S1120)&gt;1,"DUPLICATE","OK"))</f>
        <v/>
      </c>
      <c r="U1120" s="0" t="str">
        <f aca="false">IF($L1120="","",IFERROR(VLOOKUP(--$L1120,MM_Income!$Z$5:$AC$204,3,FALSE()),"UNMAPPED"))</f>
        <v/>
      </c>
    </row>
    <row r="1121" customFormat="false" ht="13.5" hidden="false" customHeight="false" outlineLevel="0" collapsed="false">
      <c r="A1121" s="1" t="str">
        <f aca="false">IF($C1121="","",Controls!$B$7)</f>
        <v/>
      </c>
      <c r="B1121" s="1" t="str">
        <f aca="false">IF($H1121="","",YEAR($H1121)&amp;"-Q"&amp;ROUNDUP(MONTH($H1121)/3,0))</f>
        <v/>
      </c>
      <c r="S1121" s="1" t="str">
        <f aca="false">IF($C1121="","",$C1121&amp;"|"&amp;$E1121&amp;"|"&amp;$F1121&amp;"|"&amp;$L1121&amp;"|"&amp;$P1121&amp;"|"&amp;TEXT($H1121,"yyyy-mm-dd"))</f>
        <v/>
      </c>
      <c r="T1121" s="1" t="str">
        <f aca="false">IF($S1121="","",IF(COUNTIF($S$2:$S$2991,$S1121)&gt;1,"DUPLICATE","OK"))</f>
        <v/>
      </c>
      <c r="U1121" s="0" t="str">
        <f aca="false">IF($L1121="","",IFERROR(VLOOKUP(--$L1121,MM_Income!$Z$5:$AC$204,3,FALSE()),"UNMAPPED"))</f>
        <v/>
      </c>
    </row>
    <row r="1122" customFormat="false" ht="13.5" hidden="false" customHeight="false" outlineLevel="0" collapsed="false">
      <c r="A1122" s="1" t="str">
        <f aca="false">IF($C1122="","",Controls!$B$7)</f>
        <v/>
      </c>
      <c r="B1122" s="1" t="str">
        <f aca="false">IF($H1122="","",YEAR($H1122)&amp;"-Q"&amp;ROUNDUP(MONTH($H1122)/3,0))</f>
        <v/>
      </c>
      <c r="S1122" s="1" t="str">
        <f aca="false">IF($C1122="","",$C1122&amp;"|"&amp;$E1122&amp;"|"&amp;$F1122&amp;"|"&amp;$L1122&amp;"|"&amp;$P1122&amp;"|"&amp;TEXT($H1122,"yyyy-mm-dd"))</f>
        <v/>
      </c>
      <c r="T1122" s="1" t="str">
        <f aca="false">IF($S1122="","",IF(COUNTIF($S$2:$S$2991,$S1122)&gt;1,"DUPLICATE","OK"))</f>
        <v/>
      </c>
      <c r="U1122" s="0" t="str">
        <f aca="false">IF($L1122="","",IFERROR(VLOOKUP(--$L1122,MM_Income!$Z$5:$AC$204,3,FALSE()),"UNMAPPED"))</f>
        <v/>
      </c>
    </row>
    <row r="1123" customFormat="false" ht="13.5" hidden="false" customHeight="false" outlineLevel="0" collapsed="false">
      <c r="A1123" s="1" t="str">
        <f aca="false">IF($C1123="","",Controls!$B$7)</f>
        <v/>
      </c>
      <c r="B1123" s="1" t="str">
        <f aca="false">IF($H1123="","",YEAR($H1123)&amp;"-Q"&amp;ROUNDUP(MONTH($H1123)/3,0))</f>
        <v/>
      </c>
      <c r="S1123" s="1" t="str">
        <f aca="false">IF($C1123="","",$C1123&amp;"|"&amp;$E1123&amp;"|"&amp;$F1123&amp;"|"&amp;$L1123&amp;"|"&amp;$P1123&amp;"|"&amp;TEXT($H1123,"yyyy-mm-dd"))</f>
        <v/>
      </c>
      <c r="T1123" s="1" t="str">
        <f aca="false">IF($S1123="","",IF(COUNTIF($S$2:$S$2991,$S1123)&gt;1,"DUPLICATE","OK"))</f>
        <v/>
      </c>
      <c r="U1123" s="0" t="str">
        <f aca="false">IF($L1123="","",IFERROR(VLOOKUP(--$L1123,MM_Income!$Z$5:$AC$204,3,FALSE()),"UNMAPPED"))</f>
        <v/>
      </c>
    </row>
    <row r="1124" customFormat="false" ht="13.5" hidden="false" customHeight="false" outlineLevel="0" collapsed="false">
      <c r="A1124" s="1" t="str">
        <f aca="false">IF($C1124="","",Controls!$B$7)</f>
        <v/>
      </c>
      <c r="B1124" s="1" t="str">
        <f aca="false">IF($H1124="","",YEAR($H1124)&amp;"-Q"&amp;ROUNDUP(MONTH($H1124)/3,0))</f>
        <v/>
      </c>
      <c r="S1124" s="1" t="str">
        <f aca="false">IF($C1124="","",$C1124&amp;"|"&amp;$E1124&amp;"|"&amp;$F1124&amp;"|"&amp;$L1124&amp;"|"&amp;$P1124&amp;"|"&amp;TEXT($H1124,"yyyy-mm-dd"))</f>
        <v/>
      </c>
      <c r="T1124" s="1" t="str">
        <f aca="false">IF($S1124="","",IF(COUNTIF($S$2:$S$2991,$S1124)&gt;1,"DUPLICATE","OK"))</f>
        <v/>
      </c>
      <c r="U1124" s="0" t="str">
        <f aca="false">IF($L1124="","",IFERROR(VLOOKUP(--$L1124,MM_Income!$Z$5:$AC$204,3,FALSE()),"UNMAPPED"))</f>
        <v/>
      </c>
    </row>
    <row r="1125" customFormat="false" ht="13.5" hidden="false" customHeight="false" outlineLevel="0" collapsed="false">
      <c r="A1125" s="1" t="str">
        <f aca="false">IF($C1125="","",Controls!$B$7)</f>
        <v/>
      </c>
      <c r="B1125" s="1" t="str">
        <f aca="false">IF($H1125="","",YEAR($H1125)&amp;"-Q"&amp;ROUNDUP(MONTH($H1125)/3,0))</f>
        <v/>
      </c>
      <c r="S1125" s="1" t="str">
        <f aca="false">IF($C1125="","",$C1125&amp;"|"&amp;$E1125&amp;"|"&amp;$F1125&amp;"|"&amp;$L1125&amp;"|"&amp;$P1125&amp;"|"&amp;TEXT($H1125,"yyyy-mm-dd"))</f>
        <v/>
      </c>
      <c r="T1125" s="1" t="str">
        <f aca="false">IF($S1125="","",IF(COUNTIF($S$2:$S$2991,$S1125)&gt;1,"DUPLICATE","OK"))</f>
        <v/>
      </c>
      <c r="U1125" s="0" t="str">
        <f aca="false">IF($L1125="","",IFERROR(VLOOKUP(--$L1125,MM_Income!$Z$5:$AC$204,3,FALSE()),"UNMAPPED"))</f>
        <v/>
      </c>
    </row>
    <row r="1126" customFormat="false" ht="13.5" hidden="false" customHeight="false" outlineLevel="0" collapsed="false">
      <c r="A1126" s="1" t="str">
        <f aca="false">IF($C1126="","",Controls!$B$7)</f>
        <v/>
      </c>
      <c r="B1126" s="1" t="str">
        <f aca="false">IF($H1126="","",YEAR($H1126)&amp;"-Q"&amp;ROUNDUP(MONTH($H1126)/3,0))</f>
        <v/>
      </c>
      <c r="S1126" s="1" t="str">
        <f aca="false">IF($C1126="","",$C1126&amp;"|"&amp;$E1126&amp;"|"&amp;$F1126&amp;"|"&amp;$L1126&amp;"|"&amp;$P1126&amp;"|"&amp;TEXT($H1126,"yyyy-mm-dd"))</f>
        <v/>
      </c>
      <c r="T1126" s="1" t="str">
        <f aca="false">IF($S1126="","",IF(COUNTIF($S$2:$S$2991,$S1126)&gt;1,"DUPLICATE","OK"))</f>
        <v/>
      </c>
      <c r="U1126" s="0" t="str">
        <f aca="false">IF($L1126="","",IFERROR(VLOOKUP(--$L1126,MM_Income!$Z$5:$AC$204,3,FALSE()),"UNMAPPED"))</f>
        <v/>
      </c>
    </row>
    <row r="1127" customFormat="false" ht="13.5" hidden="false" customHeight="false" outlineLevel="0" collapsed="false">
      <c r="A1127" s="1" t="str">
        <f aca="false">IF($C1127="","",Controls!$B$7)</f>
        <v/>
      </c>
      <c r="B1127" s="1" t="str">
        <f aca="false">IF($H1127="","",YEAR($H1127)&amp;"-Q"&amp;ROUNDUP(MONTH($H1127)/3,0))</f>
        <v/>
      </c>
      <c r="S1127" s="1" t="str">
        <f aca="false">IF($C1127="","",$C1127&amp;"|"&amp;$E1127&amp;"|"&amp;$F1127&amp;"|"&amp;$L1127&amp;"|"&amp;$P1127&amp;"|"&amp;TEXT($H1127,"yyyy-mm-dd"))</f>
        <v/>
      </c>
      <c r="T1127" s="1" t="str">
        <f aca="false">IF($S1127="","",IF(COUNTIF($S$2:$S$2991,$S1127)&gt;1,"DUPLICATE","OK"))</f>
        <v/>
      </c>
      <c r="U1127" s="0" t="str">
        <f aca="false">IF($L1127="","",IFERROR(VLOOKUP(--$L1127,MM_Income!$Z$5:$AC$204,3,FALSE()),"UNMAPPED"))</f>
        <v/>
      </c>
    </row>
    <row r="1128" customFormat="false" ht="13.5" hidden="false" customHeight="false" outlineLevel="0" collapsed="false">
      <c r="A1128" s="1" t="str">
        <f aca="false">IF($C1128="","",Controls!$B$7)</f>
        <v/>
      </c>
      <c r="B1128" s="1" t="str">
        <f aca="false">IF($H1128="","",YEAR($H1128)&amp;"-Q"&amp;ROUNDUP(MONTH($H1128)/3,0))</f>
        <v/>
      </c>
      <c r="S1128" s="1" t="str">
        <f aca="false">IF($C1128="","",$C1128&amp;"|"&amp;$E1128&amp;"|"&amp;$F1128&amp;"|"&amp;$L1128&amp;"|"&amp;$P1128&amp;"|"&amp;TEXT($H1128,"yyyy-mm-dd"))</f>
        <v/>
      </c>
      <c r="T1128" s="1" t="str">
        <f aca="false">IF($S1128="","",IF(COUNTIF($S$2:$S$2991,$S1128)&gt;1,"DUPLICATE","OK"))</f>
        <v/>
      </c>
      <c r="U1128" s="0" t="str">
        <f aca="false">IF($L1128="","",IFERROR(VLOOKUP(--$L1128,MM_Income!$Z$5:$AC$204,3,FALSE()),"UNMAPPED"))</f>
        <v/>
      </c>
    </row>
    <row r="1129" customFormat="false" ht="13.5" hidden="false" customHeight="false" outlineLevel="0" collapsed="false">
      <c r="A1129" s="1" t="str">
        <f aca="false">IF($C1129="","",Controls!$B$7)</f>
        <v/>
      </c>
      <c r="B1129" s="1" t="str">
        <f aca="false">IF($H1129="","",YEAR($H1129)&amp;"-Q"&amp;ROUNDUP(MONTH($H1129)/3,0))</f>
        <v/>
      </c>
      <c r="S1129" s="1" t="str">
        <f aca="false">IF($C1129="","",$C1129&amp;"|"&amp;$E1129&amp;"|"&amp;$F1129&amp;"|"&amp;$L1129&amp;"|"&amp;$P1129&amp;"|"&amp;TEXT($H1129,"yyyy-mm-dd"))</f>
        <v/>
      </c>
      <c r="T1129" s="1" t="str">
        <f aca="false">IF($S1129="","",IF(COUNTIF($S$2:$S$2991,$S1129)&gt;1,"DUPLICATE","OK"))</f>
        <v/>
      </c>
      <c r="U1129" s="0" t="str">
        <f aca="false">IF($L1129="","",IFERROR(VLOOKUP(--$L1129,MM_Income!$Z$5:$AC$204,3,FALSE()),"UNMAPPED"))</f>
        <v/>
      </c>
    </row>
    <row r="1130" customFormat="false" ht="13.5" hidden="false" customHeight="false" outlineLevel="0" collapsed="false">
      <c r="A1130" s="1" t="str">
        <f aca="false">IF($C1130="","",Controls!$B$7)</f>
        <v/>
      </c>
      <c r="B1130" s="1" t="str">
        <f aca="false">IF($H1130="","",YEAR($H1130)&amp;"-Q"&amp;ROUNDUP(MONTH($H1130)/3,0))</f>
        <v/>
      </c>
      <c r="S1130" s="1" t="str">
        <f aca="false">IF($C1130="","",$C1130&amp;"|"&amp;$E1130&amp;"|"&amp;$F1130&amp;"|"&amp;$L1130&amp;"|"&amp;$P1130&amp;"|"&amp;TEXT($H1130,"yyyy-mm-dd"))</f>
        <v/>
      </c>
      <c r="T1130" s="1" t="str">
        <f aca="false">IF($S1130="","",IF(COUNTIF($S$2:$S$2991,$S1130)&gt;1,"DUPLICATE","OK"))</f>
        <v/>
      </c>
      <c r="U1130" s="0" t="str">
        <f aca="false">IF($L1130="","",IFERROR(VLOOKUP(--$L1130,MM_Income!$Z$5:$AC$204,3,FALSE()),"UNMAPPED"))</f>
        <v/>
      </c>
    </row>
    <row r="1131" customFormat="false" ht="13.5" hidden="false" customHeight="false" outlineLevel="0" collapsed="false">
      <c r="A1131" s="1" t="str">
        <f aca="false">IF($C1131="","",Controls!$B$7)</f>
        <v/>
      </c>
      <c r="B1131" s="1" t="str">
        <f aca="false">IF($H1131="","",YEAR($H1131)&amp;"-Q"&amp;ROUNDUP(MONTH($H1131)/3,0))</f>
        <v/>
      </c>
      <c r="S1131" s="1" t="str">
        <f aca="false">IF($C1131="","",$C1131&amp;"|"&amp;$E1131&amp;"|"&amp;$F1131&amp;"|"&amp;$L1131&amp;"|"&amp;$P1131&amp;"|"&amp;TEXT($H1131,"yyyy-mm-dd"))</f>
        <v/>
      </c>
      <c r="T1131" s="1" t="str">
        <f aca="false">IF($S1131="","",IF(COUNTIF($S$2:$S$2991,$S1131)&gt;1,"DUPLICATE","OK"))</f>
        <v/>
      </c>
      <c r="U1131" s="0" t="str">
        <f aca="false">IF($L1131="","",IFERROR(VLOOKUP(--$L1131,MM_Income!$Z$5:$AC$204,3,FALSE()),"UNMAPPED"))</f>
        <v/>
      </c>
    </row>
    <row r="1132" customFormat="false" ht="13.5" hidden="false" customHeight="false" outlineLevel="0" collapsed="false">
      <c r="A1132" s="1" t="str">
        <f aca="false">IF($C1132="","",Controls!$B$7)</f>
        <v/>
      </c>
      <c r="B1132" s="1" t="str">
        <f aca="false">IF($H1132="","",YEAR($H1132)&amp;"-Q"&amp;ROUNDUP(MONTH($H1132)/3,0))</f>
        <v/>
      </c>
      <c r="S1132" s="1" t="str">
        <f aca="false">IF($C1132="","",$C1132&amp;"|"&amp;$E1132&amp;"|"&amp;$F1132&amp;"|"&amp;$L1132&amp;"|"&amp;$P1132&amp;"|"&amp;TEXT($H1132,"yyyy-mm-dd"))</f>
        <v/>
      </c>
      <c r="T1132" s="1" t="str">
        <f aca="false">IF($S1132="","",IF(COUNTIF($S$2:$S$2991,$S1132)&gt;1,"DUPLICATE","OK"))</f>
        <v/>
      </c>
      <c r="U1132" s="0" t="str">
        <f aca="false">IF($L1132="","",IFERROR(VLOOKUP(--$L1132,MM_Income!$Z$5:$AC$204,3,FALSE()),"UNMAPPED"))</f>
        <v/>
      </c>
    </row>
    <row r="1133" customFormat="false" ht="13.5" hidden="false" customHeight="false" outlineLevel="0" collapsed="false">
      <c r="A1133" s="1" t="str">
        <f aca="false">IF($C1133="","",Controls!$B$7)</f>
        <v/>
      </c>
      <c r="B1133" s="1" t="str">
        <f aca="false">IF($H1133="","",YEAR($H1133)&amp;"-Q"&amp;ROUNDUP(MONTH($H1133)/3,0))</f>
        <v/>
      </c>
      <c r="S1133" s="1" t="str">
        <f aca="false">IF($C1133="","",$C1133&amp;"|"&amp;$E1133&amp;"|"&amp;$F1133&amp;"|"&amp;$L1133&amp;"|"&amp;$P1133&amp;"|"&amp;TEXT($H1133,"yyyy-mm-dd"))</f>
        <v/>
      </c>
      <c r="T1133" s="1" t="str">
        <f aca="false">IF($S1133="","",IF(COUNTIF($S$2:$S$2991,$S1133)&gt;1,"DUPLICATE","OK"))</f>
        <v/>
      </c>
      <c r="U1133" s="0" t="str">
        <f aca="false">IF($L1133="","",IFERROR(VLOOKUP(--$L1133,MM_Income!$Z$5:$AC$204,3,FALSE()),"UNMAPPED"))</f>
        <v/>
      </c>
    </row>
    <row r="1134" customFormat="false" ht="13.5" hidden="false" customHeight="false" outlineLevel="0" collapsed="false">
      <c r="A1134" s="1" t="str">
        <f aca="false">IF($C1134="","",Controls!$B$7)</f>
        <v/>
      </c>
      <c r="B1134" s="1" t="str">
        <f aca="false">IF($H1134="","",YEAR($H1134)&amp;"-Q"&amp;ROUNDUP(MONTH($H1134)/3,0))</f>
        <v/>
      </c>
      <c r="S1134" s="1" t="str">
        <f aca="false">IF($C1134="","",$C1134&amp;"|"&amp;$E1134&amp;"|"&amp;$F1134&amp;"|"&amp;$L1134&amp;"|"&amp;$P1134&amp;"|"&amp;TEXT($H1134,"yyyy-mm-dd"))</f>
        <v/>
      </c>
      <c r="T1134" s="1" t="str">
        <f aca="false">IF($S1134="","",IF(COUNTIF($S$2:$S$2991,$S1134)&gt;1,"DUPLICATE","OK"))</f>
        <v/>
      </c>
      <c r="U1134" s="0" t="str">
        <f aca="false">IF($L1134="","",IFERROR(VLOOKUP(--$L1134,MM_Income!$Z$5:$AC$204,3,FALSE()),"UNMAPPED"))</f>
        <v/>
      </c>
    </row>
    <row r="1135" customFormat="false" ht="13.5" hidden="false" customHeight="false" outlineLevel="0" collapsed="false">
      <c r="A1135" s="1" t="str">
        <f aca="false">IF($C1135="","",Controls!$B$7)</f>
        <v/>
      </c>
      <c r="B1135" s="1" t="str">
        <f aca="false">IF($H1135="","",YEAR($H1135)&amp;"-Q"&amp;ROUNDUP(MONTH($H1135)/3,0))</f>
        <v/>
      </c>
      <c r="S1135" s="1" t="str">
        <f aca="false">IF($C1135="","",$C1135&amp;"|"&amp;$E1135&amp;"|"&amp;$F1135&amp;"|"&amp;$L1135&amp;"|"&amp;$P1135&amp;"|"&amp;TEXT($H1135,"yyyy-mm-dd"))</f>
        <v/>
      </c>
      <c r="T1135" s="1" t="str">
        <f aca="false">IF($S1135="","",IF(COUNTIF($S$2:$S$2991,$S1135)&gt;1,"DUPLICATE","OK"))</f>
        <v/>
      </c>
      <c r="U1135" s="0" t="str">
        <f aca="false">IF($L1135="","",IFERROR(VLOOKUP(--$L1135,MM_Income!$Z$5:$AC$204,3,FALSE()),"UNMAPPED"))</f>
        <v/>
      </c>
    </row>
    <row r="1136" customFormat="false" ht="13.5" hidden="false" customHeight="false" outlineLevel="0" collapsed="false">
      <c r="A1136" s="1" t="str">
        <f aca="false">IF($C1136="","",Controls!$B$7)</f>
        <v/>
      </c>
      <c r="B1136" s="1" t="str">
        <f aca="false">IF($H1136="","",YEAR($H1136)&amp;"-Q"&amp;ROUNDUP(MONTH($H1136)/3,0))</f>
        <v/>
      </c>
      <c r="S1136" s="1" t="str">
        <f aca="false">IF($C1136="","",$C1136&amp;"|"&amp;$E1136&amp;"|"&amp;$F1136&amp;"|"&amp;$L1136&amp;"|"&amp;$P1136&amp;"|"&amp;TEXT($H1136,"yyyy-mm-dd"))</f>
        <v/>
      </c>
      <c r="T1136" s="1" t="str">
        <f aca="false">IF($S1136="","",IF(COUNTIF($S$2:$S$2991,$S1136)&gt;1,"DUPLICATE","OK"))</f>
        <v/>
      </c>
      <c r="U1136" s="0" t="str">
        <f aca="false">IF($L1136="","",IFERROR(VLOOKUP(--$L1136,MM_Income!$Z$5:$AC$204,3,FALSE()),"UNMAPPED"))</f>
        <v/>
      </c>
    </row>
    <row r="1137" customFormat="false" ht="13.5" hidden="false" customHeight="false" outlineLevel="0" collapsed="false">
      <c r="A1137" s="1" t="str">
        <f aca="false">IF($C1137="","",Controls!$B$7)</f>
        <v/>
      </c>
      <c r="B1137" s="1" t="str">
        <f aca="false">IF($H1137="","",YEAR($H1137)&amp;"-Q"&amp;ROUNDUP(MONTH($H1137)/3,0))</f>
        <v/>
      </c>
      <c r="S1137" s="1" t="str">
        <f aca="false">IF($C1137="","",$C1137&amp;"|"&amp;$E1137&amp;"|"&amp;$F1137&amp;"|"&amp;$L1137&amp;"|"&amp;$P1137&amp;"|"&amp;TEXT($H1137,"yyyy-mm-dd"))</f>
        <v/>
      </c>
      <c r="T1137" s="1" t="str">
        <f aca="false">IF($S1137="","",IF(COUNTIF($S$2:$S$2991,$S1137)&gt;1,"DUPLICATE","OK"))</f>
        <v/>
      </c>
      <c r="U1137" s="0" t="str">
        <f aca="false">IF($L1137="","",IFERROR(VLOOKUP(--$L1137,MM_Income!$Z$5:$AC$204,3,FALSE()),"UNMAPPED"))</f>
        <v/>
      </c>
    </row>
    <row r="1138" customFormat="false" ht="13.5" hidden="false" customHeight="false" outlineLevel="0" collapsed="false">
      <c r="A1138" s="1" t="str">
        <f aca="false">IF($C1138="","",Controls!$B$7)</f>
        <v/>
      </c>
      <c r="B1138" s="1" t="str">
        <f aca="false">IF($H1138="","",YEAR($H1138)&amp;"-Q"&amp;ROUNDUP(MONTH($H1138)/3,0))</f>
        <v/>
      </c>
      <c r="S1138" s="1" t="str">
        <f aca="false">IF($C1138="","",$C1138&amp;"|"&amp;$E1138&amp;"|"&amp;$F1138&amp;"|"&amp;$L1138&amp;"|"&amp;$P1138&amp;"|"&amp;TEXT($H1138,"yyyy-mm-dd"))</f>
        <v/>
      </c>
      <c r="T1138" s="1" t="str">
        <f aca="false">IF($S1138="","",IF(COUNTIF($S$2:$S$2991,$S1138)&gt;1,"DUPLICATE","OK"))</f>
        <v/>
      </c>
      <c r="U1138" s="0" t="str">
        <f aca="false">IF($L1138="","",IFERROR(VLOOKUP(--$L1138,MM_Income!$Z$5:$AC$204,3,FALSE()),"UNMAPPED"))</f>
        <v/>
      </c>
    </row>
    <row r="1139" customFormat="false" ht="13.5" hidden="false" customHeight="false" outlineLevel="0" collapsed="false">
      <c r="A1139" s="1" t="str">
        <f aca="false">IF($C1139="","",Controls!$B$7)</f>
        <v/>
      </c>
      <c r="B1139" s="1" t="str">
        <f aca="false">IF($H1139="","",YEAR($H1139)&amp;"-Q"&amp;ROUNDUP(MONTH($H1139)/3,0))</f>
        <v/>
      </c>
      <c r="S1139" s="1" t="str">
        <f aca="false">IF($C1139="","",$C1139&amp;"|"&amp;$E1139&amp;"|"&amp;$F1139&amp;"|"&amp;$L1139&amp;"|"&amp;$P1139&amp;"|"&amp;TEXT($H1139,"yyyy-mm-dd"))</f>
        <v/>
      </c>
      <c r="T1139" s="1" t="str">
        <f aca="false">IF($S1139="","",IF(COUNTIF($S$2:$S$2991,$S1139)&gt;1,"DUPLICATE","OK"))</f>
        <v/>
      </c>
      <c r="U1139" s="0" t="str">
        <f aca="false">IF($L1139="","",IFERROR(VLOOKUP(--$L1139,MM_Income!$Z$5:$AC$204,3,FALSE()),"UNMAPPED"))</f>
        <v/>
      </c>
    </row>
    <row r="1140" customFormat="false" ht="13.5" hidden="false" customHeight="false" outlineLevel="0" collapsed="false">
      <c r="A1140" s="1" t="str">
        <f aca="false">IF($C1140="","",Controls!$B$7)</f>
        <v/>
      </c>
      <c r="B1140" s="1" t="str">
        <f aca="false">IF($H1140="","",YEAR($H1140)&amp;"-Q"&amp;ROUNDUP(MONTH($H1140)/3,0))</f>
        <v/>
      </c>
      <c r="S1140" s="1" t="str">
        <f aca="false">IF($C1140="","",$C1140&amp;"|"&amp;$E1140&amp;"|"&amp;$F1140&amp;"|"&amp;$L1140&amp;"|"&amp;$P1140&amp;"|"&amp;TEXT($H1140,"yyyy-mm-dd"))</f>
        <v/>
      </c>
      <c r="T1140" s="1" t="str">
        <f aca="false">IF($S1140="","",IF(COUNTIF($S$2:$S$2991,$S1140)&gt;1,"DUPLICATE","OK"))</f>
        <v/>
      </c>
      <c r="U1140" s="0" t="str">
        <f aca="false">IF($L1140="","",IFERROR(VLOOKUP(--$L1140,MM_Income!$Z$5:$AC$204,3,FALSE()),"UNMAPPED"))</f>
        <v/>
      </c>
    </row>
    <row r="1141" customFormat="false" ht="13.5" hidden="false" customHeight="false" outlineLevel="0" collapsed="false">
      <c r="A1141" s="1" t="str">
        <f aca="false">IF($C1141="","",Controls!$B$7)</f>
        <v/>
      </c>
      <c r="B1141" s="1" t="str">
        <f aca="false">IF($H1141="","",YEAR($H1141)&amp;"-Q"&amp;ROUNDUP(MONTH($H1141)/3,0))</f>
        <v/>
      </c>
      <c r="S1141" s="1" t="str">
        <f aca="false">IF($C1141="","",$C1141&amp;"|"&amp;$E1141&amp;"|"&amp;$F1141&amp;"|"&amp;$L1141&amp;"|"&amp;$P1141&amp;"|"&amp;TEXT($H1141,"yyyy-mm-dd"))</f>
        <v/>
      </c>
      <c r="T1141" s="1" t="str">
        <f aca="false">IF($S1141="","",IF(COUNTIF($S$2:$S$2991,$S1141)&gt;1,"DUPLICATE","OK"))</f>
        <v/>
      </c>
      <c r="U1141" s="0" t="str">
        <f aca="false">IF($L1141="","",IFERROR(VLOOKUP(--$L1141,MM_Income!$Z$5:$AC$204,3,FALSE()),"UNMAPPED"))</f>
        <v/>
      </c>
    </row>
    <row r="1142" customFormat="false" ht="13.5" hidden="false" customHeight="false" outlineLevel="0" collapsed="false">
      <c r="A1142" s="1" t="str">
        <f aca="false">IF($C1142="","",Controls!$B$7)</f>
        <v/>
      </c>
      <c r="B1142" s="1" t="str">
        <f aca="false">IF($H1142="","",YEAR($H1142)&amp;"-Q"&amp;ROUNDUP(MONTH($H1142)/3,0))</f>
        <v/>
      </c>
      <c r="S1142" s="1" t="str">
        <f aca="false">IF($C1142="","",$C1142&amp;"|"&amp;$E1142&amp;"|"&amp;$F1142&amp;"|"&amp;$L1142&amp;"|"&amp;$P1142&amp;"|"&amp;TEXT($H1142,"yyyy-mm-dd"))</f>
        <v/>
      </c>
      <c r="T1142" s="1" t="str">
        <f aca="false">IF($S1142="","",IF(COUNTIF($S$2:$S$2991,$S1142)&gt;1,"DUPLICATE","OK"))</f>
        <v/>
      </c>
      <c r="U1142" s="0" t="str">
        <f aca="false">IF($L1142="","",IFERROR(VLOOKUP(--$L1142,MM_Income!$Z$5:$AC$204,3,FALSE()),"UNMAPPED"))</f>
        <v/>
      </c>
    </row>
    <row r="1143" customFormat="false" ht="13.5" hidden="false" customHeight="false" outlineLevel="0" collapsed="false">
      <c r="A1143" s="1" t="str">
        <f aca="false">IF($C1143="","",Controls!$B$7)</f>
        <v/>
      </c>
      <c r="B1143" s="1" t="str">
        <f aca="false">IF($H1143="","",YEAR($H1143)&amp;"-Q"&amp;ROUNDUP(MONTH($H1143)/3,0))</f>
        <v/>
      </c>
      <c r="S1143" s="1" t="str">
        <f aca="false">IF($C1143="","",$C1143&amp;"|"&amp;$E1143&amp;"|"&amp;$F1143&amp;"|"&amp;$L1143&amp;"|"&amp;$P1143&amp;"|"&amp;TEXT($H1143,"yyyy-mm-dd"))</f>
        <v/>
      </c>
      <c r="T1143" s="1" t="str">
        <f aca="false">IF($S1143="","",IF(COUNTIF($S$2:$S$2991,$S1143)&gt;1,"DUPLICATE","OK"))</f>
        <v/>
      </c>
      <c r="U1143" s="0" t="str">
        <f aca="false">IF($L1143="","",IFERROR(VLOOKUP(--$L1143,MM_Income!$Z$5:$AC$204,3,FALSE()),"UNMAPPED"))</f>
        <v/>
      </c>
    </row>
    <row r="1144" customFormat="false" ht="13.5" hidden="false" customHeight="false" outlineLevel="0" collapsed="false">
      <c r="A1144" s="1" t="str">
        <f aca="false">IF($C1144="","",Controls!$B$7)</f>
        <v/>
      </c>
      <c r="B1144" s="1" t="str">
        <f aca="false">IF($H1144="","",YEAR($H1144)&amp;"-Q"&amp;ROUNDUP(MONTH($H1144)/3,0))</f>
        <v/>
      </c>
      <c r="S1144" s="1" t="str">
        <f aca="false">IF($C1144="","",$C1144&amp;"|"&amp;$E1144&amp;"|"&amp;$F1144&amp;"|"&amp;$L1144&amp;"|"&amp;$P1144&amp;"|"&amp;TEXT($H1144,"yyyy-mm-dd"))</f>
        <v/>
      </c>
      <c r="T1144" s="1" t="str">
        <f aca="false">IF($S1144="","",IF(COUNTIF($S$2:$S$2991,$S1144)&gt;1,"DUPLICATE","OK"))</f>
        <v/>
      </c>
      <c r="U1144" s="0" t="str">
        <f aca="false">IF($L1144="","",IFERROR(VLOOKUP(--$L1144,MM_Income!$Z$5:$AC$204,3,FALSE()),"UNMAPPED"))</f>
        <v/>
      </c>
    </row>
    <row r="1145" customFormat="false" ht="13.5" hidden="false" customHeight="false" outlineLevel="0" collapsed="false">
      <c r="A1145" s="1" t="str">
        <f aca="false">IF($C1145="","",Controls!$B$7)</f>
        <v/>
      </c>
      <c r="B1145" s="1" t="str">
        <f aca="false">IF($H1145="","",YEAR($H1145)&amp;"-Q"&amp;ROUNDUP(MONTH($H1145)/3,0))</f>
        <v/>
      </c>
      <c r="S1145" s="1" t="str">
        <f aca="false">IF($C1145="","",$C1145&amp;"|"&amp;$E1145&amp;"|"&amp;$F1145&amp;"|"&amp;$L1145&amp;"|"&amp;$P1145&amp;"|"&amp;TEXT($H1145,"yyyy-mm-dd"))</f>
        <v/>
      </c>
      <c r="T1145" s="1" t="str">
        <f aca="false">IF($S1145="","",IF(COUNTIF($S$2:$S$2991,$S1145)&gt;1,"DUPLICATE","OK"))</f>
        <v/>
      </c>
      <c r="U1145" s="0" t="str">
        <f aca="false">IF($L1145="","",IFERROR(VLOOKUP(--$L1145,MM_Income!$Z$5:$AC$204,3,FALSE()),"UNMAPPED"))</f>
        <v/>
      </c>
    </row>
    <row r="1146" customFormat="false" ht="13.5" hidden="false" customHeight="false" outlineLevel="0" collapsed="false">
      <c r="A1146" s="1" t="str">
        <f aca="false">IF($C1146="","",Controls!$B$7)</f>
        <v/>
      </c>
      <c r="B1146" s="1" t="str">
        <f aca="false">IF($H1146="","",YEAR($H1146)&amp;"-Q"&amp;ROUNDUP(MONTH($H1146)/3,0))</f>
        <v/>
      </c>
      <c r="S1146" s="1" t="str">
        <f aca="false">IF($C1146="","",$C1146&amp;"|"&amp;$E1146&amp;"|"&amp;$F1146&amp;"|"&amp;$L1146&amp;"|"&amp;$P1146&amp;"|"&amp;TEXT($H1146,"yyyy-mm-dd"))</f>
        <v/>
      </c>
      <c r="T1146" s="1" t="str">
        <f aca="false">IF($S1146="","",IF(COUNTIF($S$2:$S$2991,$S1146)&gt;1,"DUPLICATE","OK"))</f>
        <v/>
      </c>
      <c r="U1146" s="0" t="str">
        <f aca="false">IF($L1146="","",IFERROR(VLOOKUP(--$L1146,MM_Income!$Z$5:$AC$204,3,FALSE()),"UNMAPPED"))</f>
        <v/>
      </c>
    </row>
    <row r="1147" customFormat="false" ht="13.5" hidden="false" customHeight="false" outlineLevel="0" collapsed="false">
      <c r="A1147" s="1" t="str">
        <f aca="false">IF($C1147="","",Controls!$B$7)</f>
        <v/>
      </c>
      <c r="B1147" s="1" t="str">
        <f aca="false">IF($H1147="","",YEAR($H1147)&amp;"-Q"&amp;ROUNDUP(MONTH($H1147)/3,0))</f>
        <v/>
      </c>
      <c r="S1147" s="1" t="str">
        <f aca="false">IF($C1147="","",$C1147&amp;"|"&amp;$E1147&amp;"|"&amp;$F1147&amp;"|"&amp;$L1147&amp;"|"&amp;$P1147&amp;"|"&amp;TEXT($H1147,"yyyy-mm-dd"))</f>
        <v/>
      </c>
      <c r="T1147" s="1" t="str">
        <f aca="false">IF($S1147="","",IF(COUNTIF($S$2:$S$2991,$S1147)&gt;1,"DUPLICATE","OK"))</f>
        <v/>
      </c>
      <c r="U1147" s="0" t="str">
        <f aca="false">IF($L1147="","",IFERROR(VLOOKUP(--$L1147,MM_Income!$Z$5:$AC$204,3,FALSE()),"UNMAPPED"))</f>
        <v/>
      </c>
    </row>
    <row r="1148" customFormat="false" ht="13.5" hidden="false" customHeight="false" outlineLevel="0" collapsed="false">
      <c r="A1148" s="1" t="str">
        <f aca="false">IF($C1148="","",Controls!$B$7)</f>
        <v/>
      </c>
      <c r="B1148" s="1" t="str">
        <f aca="false">IF($H1148="","",YEAR($H1148)&amp;"-Q"&amp;ROUNDUP(MONTH($H1148)/3,0))</f>
        <v/>
      </c>
      <c r="S1148" s="1" t="str">
        <f aca="false">IF($C1148="","",$C1148&amp;"|"&amp;$E1148&amp;"|"&amp;$F1148&amp;"|"&amp;$L1148&amp;"|"&amp;$P1148&amp;"|"&amp;TEXT($H1148,"yyyy-mm-dd"))</f>
        <v/>
      </c>
      <c r="T1148" s="1" t="str">
        <f aca="false">IF($S1148="","",IF(COUNTIF($S$2:$S$2991,$S1148)&gt;1,"DUPLICATE","OK"))</f>
        <v/>
      </c>
      <c r="U1148" s="0" t="str">
        <f aca="false">IF($L1148="","",IFERROR(VLOOKUP(--$L1148,MM_Income!$Z$5:$AC$204,3,FALSE()),"UNMAPPED"))</f>
        <v/>
      </c>
    </row>
    <row r="1149" customFormat="false" ht="13.5" hidden="false" customHeight="false" outlineLevel="0" collapsed="false">
      <c r="A1149" s="1" t="str">
        <f aca="false">IF($C1149="","",Controls!$B$7)</f>
        <v/>
      </c>
      <c r="B1149" s="1" t="str">
        <f aca="false">IF($H1149="","",YEAR($H1149)&amp;"-Q"&amp;ROUNDUP(MONTH($H1149)/3,0))</f>
        <v/>
      </c>
      <c r="S1149" s="1" t="str">
        <f aca="false">IF($C1149="","",$C1149&amp;"|"&amp;$E1149&amp;"|"&amp;$F1149&amp;"|"&amp;$L1149&amp;"|"&amp;$P1149&amp;"|"&amp;TEXT($H1149,"yyyy-mm-dd"))</f>
        <v/>
      </c>
      <c r="T1149" s="1" t="str">
        <f aca="false">IF($S1149="","",IF(COUNTIF($S$2:$S$2991,$S1149)&gt;1,"DUPLICATE","OK"))</f>
        <v/>
      </c>
      <c r="U1149" s="0" t="str">
        <f aca="false">IF($L1149="","",IFERROR(VLOOKUP(--$L1149,MM_Income!$Z$5:$AC$204,3,FALSE()),"UNMAPPED"))</f>
        <v/>
      </c>
    </row>
    <row r="1150" customFormat="false" ht="13.5" hidden="false" customHeight="false" outlineLevel="0" collapsed="false">
      <c r="A1150" s="1" t="str">
        <f aca="false">IF($C1150="","",Controls!$B$7)</f>
        <v/>
      </c>
      <c r="B1150" s="1" t="str">
        <f aca="false">IF($H1150="","",YEAR($H1150)&amp;"-Q"&amp;ROUNDUP(MONTH($H1150)/3,0))</f>
        <v/>
      </c>
      <c r="S1150" s="1" t="str">
        <f aca="false">IF($C1150="","",$C1150&amp;"|"&amp;$E1150&amp;"|"&amp;$F1150&amp;"|"&amp;$L1150&amp;"|"&amp;$P1150&amp;"|"&amp;TEXT($H1150,"yyyy-mm-dd"))</f>
        <v/>
      </c>
      <c r="T1150" s="1" t="str">
        <f aca="false">IF($S1150="","",IF(COUNTIF($S$2:$S$2991,$S1150)&gt;1,"DUPLICATE","OK"))</f>
        <v/>
      </c>
      <c r="U1150" s="0" t="str">
        <f aca="false">IF($L1150="","",IFERROR(VLOOKUP(--$L1150,MM_Income!$Z$5:$AC$204,3,FALSE()),"UNMAPPED"))</f>
        <v/>
      </c>
    </row>
    <row r="1151" customFormat="false" ht="13.5" hidden="false" customHeight="false" outlineLevel="0" collapsed="false">
      <c r="A1151" s="1" t="str">
        <f aca="false">IF($C1151="","",Controls!$B$7)</f>
        <v/>
      </c>
      <c r="B1151" s="1" t="str">
        <f aca="false">IF($H1151="","",YEAR($H1151)&amp;"-Q"&amp;ROUNDUP(MONTH($H1151)/3,0))</f>
        <v/>
      </c>
      <c r="S1151" s="1" t="str">
        <f aca="false">IF($C1151="","",$C1151&amp;"|"&amp;$E1151&amp;"|"&amp;$F1151&amp;"|"&amp;$L1151&amp;"|"&amp;$P1151&amp;"|"&amp;TEXT($H1151,"yyyy-mm-dd"))</f>
        <v/>
      </c>
      <c r="T1151" s="1" t="str">
        <f aca="false">IF($S1151="","",IF(COUNTIF($S$2:$S$2991,$S1151)&gt;1,"DUPLICATE","OK"))</f>
        <v/>
      </c>
      <c r="U1151" s="0" t="str">
        <f aca="false">IF($L1151="","",IFERROR(VLOOKUP(--$L1151,MM_Income!$Z$5:$AC$204,3,FALSE()),"UNMAPPED"))</f>
        <v/>
      </c>
    </row>
    <row r="1152" customFormat="false" ht="13.5" hidden="false" customHeight="false" outlineLevel="0" collapsed="false">
      <c r="A1152" s="1" t="str">
        <f aca="false">IF($C1152="","",Controls!$B$7)</f>
        <v/>
      </c>
      <c r="B1152" s="1" t="str">
        <f aca="false">IF($H1152="","",YEAR($H1152)&amp;"-Q"&amp;ROUNDUP(MONTH($H1152)/3,0))</f>
        <v/>
      </c>
      <c r="S1152" s="1" t="str">
        <f aca="false">IF($C1152="","",$C1152&amp;"|"&amp;$E1152&amp;"|"&amp;$F1152&amp;"|"&amp;$L1152&amp;"|"&amp;$P1152&amp;"|"&amp;TEXT($H1152,"yyyy-mm-dd"))</f>
        <v/>
      </c>
      <c r="T1152" s="1" t="str">
        <f aca="false">IF($S1152="","",IF(COUNTIF($S$2:$S$2991,$S1152)&gt;1,"DUPLICATE","OK"))</f>
        <v/>
      </c>
      <c r="U1152" s="0" t="str">
        <f aca="false">IF($L1152="","",IFERROR(VLOOKUP(--$L1152,MM_Income!$Z$5:$AC$204,3,FALSE()),"UNMAPPED"))</f>
        <v/>
      </c>
    </row>
    <row r="1153" customFormat="false" ht="13.5" hidden="false" customHeight="false" outlineLevel="0" collapsed="false">
      <c r="A1153" s="1" t="str">
        <f aca="false">IF($C1153="","",Controls!$B$7)</f>
        <v/>
      </c>
      <c r="B1153" s="1" t="str">
        <f aca="false">IF($H1153="","",YEAR($H1153)&amp;"-Q"&amp;ROUNDUP(MONTH($H1153)/3,0))</f>
        <v/>
      </c>
      <c r="S1153" s="1" t="str">
        <f aca="false">IF($C1153="","",$C1153&amp;"|"&amp;$E1153&amp;"|"&amp;$F1153&amp;"|"&amp;$L1153&amp;"|"&amp;$P1153&amp;"|"&amp;TEXT($H1153,"yyyy-mm-dd"))</f>
        <v/>
      </c>
      <c r="T1153" s="1" t="str">
        <f aca="false">IF($S1153="","",IF(COUNTIF($S$2:$S$2991,$S1153)&gt;1,"DUPLICATE","OK"))</f>
        <v/>
      </c>
      <c r="U1153" s="0" t="str">
        <f aca="false">IF($L1153="","",IFERROR(VLOOKUP(--$L1153,MM_Income!$Z$5:$AC$204,3,FALSE()),"UNMAPPED"))</f>
        <v/>
      </c>
    </row>
    <row r="1154" customFormat="false" ht="13.5" hidden="false" customHeight="false" outlineLevel="0" collapsed="false">
      <c r="A1154" s="1" t="str">
        <f aca="false">IF($C1154="","",Controls!$B$7)</f>
        <v/>
      </c>
      <c r="B1154" s="1" t="str">
        <f aca="false">IF($H1154="","",YEAR($H1154)&amp;"-Q"&amp;ROUNDUP(MONTH($H1154)/3,0))</f>
        <v/>
      </c>
      <c r="S1154" s="1" t="str">
        <f aca="false">IF($C1154="","",$C1154&amp;"|"&amp;$E1154&amp;"|"&amp;$F1154&amp;"|"&amp;$L1154&amp;"|"&amp;$P1154&amp;"|"&amp;TEXT($H1154,"yyyy-mm-dd"))</f>
        <v/>
      </c>
      <c r="T1154" s="1" t="str">
        <f aca="false">IF($S1154="","",IF(COUNTIF($S$2:$S$2991,$S1154)&gt;1,"DUPLICATE","OK"))</f>
        <v/>
      </c>
      <c r="U1154" s="0" t="str">
        <f aca="false">IF($L1154="","",IFERROR(VLOOKUP(--$L1154,MM_Income!$Z$5:$AC$204,3,FALSE()),"UNMAPPED"))</f>
        <v/>
      </c>
    </row>
    <row r="1155" customFormat="false" ht="13.5" hidden="false" customHeight="false" outlineLevel="0" collapsed="false">
      <c r="A1155" s="1" t="str">
        <f aca="false">IF($C1155="","",Controls!$B$7)</f>
        <v/>
      </c>
      <c r="B1155" s="1" t="str">
        <f aca="false">IF($H1155="","",YEAR($H1155)&amp;"-Q"&amp;ROUNDUP(MONTH($H1155)/3,0))</f>
        <v/>
      </c>
      <c r="S1155" s="1" t="str">
        <f aca="false">IF($C1155="","",$C1155&amp;"|"&amp;$E1155&amp;"|"&amp;$F1155&amp;"|"&amp;$L1155&amp;"|"&amp;$P1155&amp;"|"&amp;TEXT($H1155,"yyyy-mm-dd"))</f>
        <v/>
      </c>
      <c r="T1155" s="1" t="str">
        <f aca="false">IF($S1155="","",IF(COUNTIF($S$2:$S$2991,$S1155)&gt;1,"DUPLICATE","OK"))</f>
        <v/>
      </c>
      <c r="U1155" s="0" t="str">
        <f aca="false">IF($L1155="","",IFERROR(VLOOKUP(--$L1155,MM_Income!$Z$5:$AC$204,3,FALSE()),"UNMAPPED"))</f>
        <v/>
      </c>
    </row>
    <row r="1156" customFormat="false" ht="13.5" hidden="false" customHeight="false" outlineLevel="0" collapsed="false">
      <c r="A1156" s="1" t="str">
        <f aca="false">IF($C1156="","",Controls!$B$7)</f>
        <v/>
      </c>
      <c r="B1156" s="1" t="str">
        <f aca="false">IF($H1156="","",YEAR($H1156)&amp;"-Q"&amp;ROUNDUP(MONTH($H1156)/3,0))</f>
        <v/>
      </c>
      <c r="S1156" s="1" t="str">
        <f aca="false">IF($C1156="","",$C1156&amp;"|"&amp;$E1156&amp;"|"&amp;$F1156&amp;"|"&amp;$L1156&amp;"|"&amp;$P1156&amp;"|"&amp;TEXT($H1156,"yyyy-mm-dd"))</f>
        <v/>
      </c>
      <c r="T1156" s="1" t="str">
        <f aca="false">IF($S1156="","",IF(COUNTIF($S$2:$S$2991,$S1156)&gt;1,"DUPLICATE","OK"))</f>
        <v/>
      </c>
      <c r="U1156" s="0" t="str">
        <f aca="false">IF($L1156="","",IFERROR(VLOOKUP(--$L1156,MM_Income!$Z$5:$AC$204,3,FALSE()),"UNMAPPED"))</f>
        <v/>
      </c>
    </row>
    <row r="1157" customFormat="false" ht="13.5" hidden="false" customHeight="false" outlineLevel="0" collapsed="false">
      <c r="A1157" s="1" t="str">
        <f aca="false">IF($C1157="","",Controls!$B$7)</f>
        <v/>
      </c>
      <c r="B1157" s="1" t="str">
        <f aca="false">IF($H1157="","",YEAR($H1157)&amp;"-Q"&amp;ROUNDUP(MONTH($H1157)/3,0))</f>
        <v/>
      </c>
      <c r="S1157" s="1" t="str">
        <f aca="false">IF($C1157="","",$C1157&amp;"|"&amp;$E1157&amp;"|"&amp;$F1157&amp;"|"&amp;$L1157&amp;"|"&amp;$P1157&amp;"|"&amp;TEXT($H1157,"yyyy-mm-dd"))</f>
        <v/>
      </c>
      <c r="T1157" s="1" t="str">
        <f aca="false">IF($S1157="","",IF(COUNTIF($S$2:$S$2991,$S1157)&gt;1,"DUPLICATE","OK"))</f>
        <v/>
      </c>
      <c r="U1157" s="0" t="str">
        <f aca="false">IF($L1157="","",IFERROR(VLOOKUP(--$L1157,MM_Income!$Z$5:$AC$204,3,FALSE()),"UNMAPPED"))</f>
        <v/>
      </c>
    </row>
    <row r="1158" customFormat="false" ht="13.5" hidden="false" customHeight="false" outlineLevel="0" collapsed="false">
      <c r="A1158" s="1" t="str">
        <f aca="false">IF($C1158="","",Controls!$B$7)</f>
        <v/>
      </c>
      <c r="B1158" s="1" t="str">
        <f aca="false">IF($H1158="","",YEAR($H1158)&amp;"-Q"&amp;ROUNDUP(MONTH($H1158)/3,0))</f>
        <v/>
      </c>
      <c r="S1158" s="1" t="str">
        <f aca="false">IF($C1158="","",$C1158&amp;"|"&amp;$E1158&amp;"|"&amp;$F1158&amp;"|"&amp;$L1158&amp;"|"&amp;$P1158&amp;"|"&amp;TEXT($H1158,"yyyy-mm-dd"))</f>
        <v/>
      </c>
      <c r="T1158" s="1" t="str">
        <f aca="false">IF($S1158="","",IF(COUNTIF($S$2:$S$2991,$S1158)&gt;1,"DUPLICATE","OK"))</f>
        <v/>
      </c>
      <c r="U1158" s="0" t="str">
        <f aca="false">IF($L1158="","",IFERROR(VLOOKUP(--$L1158,MM_Income!$Z$5:$AC$204,3,FALSE()),"UNMAPPED"))</f>
        <v/>
      </c>
    </row>
    <row r="1159" customFormat="false" ht="13.5" hidden="false" customHeight="false" outlineLevel="0" collapsed="false">
      <c r="A1159" s="1" t="str">
        <f aca="false">IF($C1159="","",Controls!$B$7)</f>
        <v/>
      </c>
      <c r="B1159" s="1" t="str">
        <f aca="false">IF($H1159="","",YEAR($H1159)&amp;"-Q"&amp;ROUNDUP(MONTH($H1159)/3,0))</f>
        <v/>
      </c>
      <c r="S1159" s="1" t="str">
        <f aca="false">IF($C1159="","",$C1159&amp;"|"&amp;$E1159&amp;"|"&amp;$F1159&amp;"|"&amp;$L1159&amp;"|"&amp;$P1159&amp;"|"&amp;TEXT($H1159,"yyyy-mm-dd"))</f>
        <v/>
      </c>
      <c r="T1159" s="1" t="str">
        <f aca="false">IF($S1159="","",IF(COUNTIF($S$2:$S$2991,$S1159)&gt;1,"DUPLICATE","OK"))</f>
        <v/>
      </c>
      <c r="U1159" s="0" t="str">
        <f aca="false">IF($L1159="","",IFERROR(VLOOKUP(--$L1159,MM_Income!$Z$5:$AC$204,3,FALSE()),"UNMAPPED"))</f>
        <v/>
      </c>
    </row>
    <row r="1160" customFormat="false" ht="13.5" hidden="false" customHeight="false" outlineLevel="0" collapsed="false">
      <c r="A1160" s="1" t="str">
        <f aca="false">IF($C1160="","",Controls!$B$7)</f>
        <v/>
      </c>
      <c r="B1160" s="1" t="str">
        <f aca="false">IF($H1160="","",YEAR($H1160)&amp;"-Q"&amp;ROUNDUP(MONTH($H1160)/3,0))</f>
        <v/>
      </c>
      <c r="S1160" s="1" t="str">
        <f aca="false">IF($C1160="","",$C1160&amp;"|"&amp;$E1160&amp;"|"&amp;$F1160&amp;"|"&amp;$L1160&amp;"|"&amp;$P1160&amp;"|"&amp;TEXT($H1160,"yyyy-mm-dd"))</f>
        <v/>
      </c>
      <c r="T1160" s="1" t="str">
        <f aca="false">IF($S1160="","",IF(COUNTIF($S$2:$S$2991,$S1160)&gt;1,"DUPLICATE","OK"))</f>
        <v/>
      </c>
      <c r="U1160" s="0" t="str">
        <f aca="false">IF($L1160="","",IFERROR(VLOOKUP(--$L1160,MM_Income!$Z$5:$AC$204,3,FALSE()),"UNMAPPED"))</f>
        <v/>
      </c>
    </row>
    <row r="1161" customFormat="false" ht="13.5" hidden="false" customHeight="false" outlineLevel="0" collapsed="false">
      <c r="A1161" s="1" t="str">
        <f aca="false">IF($C1161="","",Controls!$B$7)</f>
        <v/>
      </c>
      <c r="B1161" s="1" t="str">
        <f aca="false">IF($H1161="","",YEAR($H1161)&amp;"-Q"&amp;ROUNDUP(MONTH($H1161)/3,0))</f>
        <v/>
      </c>
      <c r="S1161" s="1" t="str">
        <f aca="false">IF($C1161="","",$C1161&amp;"|"&amp;$E1161&amp;"|"&amp;$F1161&amp;"|"&amp;$L1161&amp;"|"&amp;$P1161&amp;"|"&amp;TEXT($H1161,"yyyy-mm-dd"))</f>
        <v/>
      </c>
      <c r="T1161" s="1" t="str">
        <f aca="false">IF($S1161="","",IF(COUNTIF($S$2:$S$2991,$S1161)&gt;1,"DUPLICATE","OK"))</f>
        <v/>
      </c>
      <c r="U1161" s="0" t="str">
        <f aca="false">IF($L1161="","",IFERROR(VLOOKUP(--$L1161,MM_Income!$Z$5:$AC$204,3,FALSE()),"UNMAPPED"))</f>
        <v/>
      </c>
    </row>
    <row r="1162" customFormat="false" ht="13.5" hidden="false" customHeight="false" outlineLevel="0" collapsed="false">
      <c r="A1162" s="1" t="str">
        <f aca="false">IF($C1162="","",Controls!$B$7)</f>
        <v/>
      </c>
      <c r="B1162" s="1" t="str">
        <f aca="false">IF($H1162="","",YEAR($H1162)&amp;"-Q"&amp;ROUNDUP(MONTH($H1162)/3,0))</f>
        <v/>
      </c>
      <c r="S1162" s="1" t="str">
        <f aca="false">IF($C1162="","",$C1162&amp;"|"&amp;$E1162&amp;"|"&amp;$F1162&amp;"|"&amp;$L1162&amp;"|"&amp;$P1162&amp;"|"&amp;TEXT($H1162,"yyyy-mm-dd"))</f>
        <v/>
      </c>
      <c r="T1162" s="1" t="str">
        <f aca="false">IF($S1162="","",IF(COUNTIF($S$2:$S$2991,$S1162)&gt;1,"DUPLICATE","OK"))</f>
        <v/>
      </c>
      <c r="U1162" s="0" t="str">
        <f aca="false">IF($L1162="","",IFERROR(VLOOKUP(--$L1162,MM_Income!$Z$5:$AC$204,3,FALSE()),"UNMAPPED"))</f>
        <v/>
      </c>
    </row>
    <row r="1163" customFormat="false" ht="13.5" hidden="false" customHeight="false" outlineLevel="0" collapsed="false">
      <c r="A1163" s="1" t="str">
        <f aca="false">IF($C1163="","",Controls!$B$7)</f>
        <v/>
      </c>
      <c r="B1163" s="1" t="str">
        <f aca="false">IF($H1163="","",YEAR($H1163)&amp;"-Q"&amp;ROUNDUP(MONTH($H1163)/3,0))</f>
        <v/>
      </c>
      <c r="S1163" s="1" t="str">
        <f aca="false">IF($C1163="","",$C1163&amp;"|"&amp;$E1163&amp;"|"&amp;$F1163&amp;"|"&amp;$L1163&amp;"|"&amp;$P1163&amp;"|"&amp;TEXT($H1163,"yyyy-mm-dd"))</f>
        <v/>
      </c>
      <c r="T1163" s="1" t="str">
        <f aca="false">IF($S1163="","",IF(COUNTIF($S$2:$S$2991,$S1163)&gt;1,"DUPLICATE","OK"))</f>
        <v/>
      </c>
      <c r="U1163" s="0" t="str">
        <f aca="false">IF($L1163="","",IFERROR(VLOOKUP(--$L1163,MM_Income!$Z$5:$AC$204,3,FALSE()),"UNMAPPED"))</f>
        <v/>
      </c>
    </row>
    <row r="1164" customFormat="false" ht="13.5" hidden="false" customHeight="false" outlineLevel="0" collapsed="false">
      <c r="A1164" s="1" t="str">
        <f aca="false">IF($C1164="","",Controls!$B$7)</f>
        <v/>
      </c>
      <c r="B1164" s="1" t="str">
        <f aca="false">IF($H1164="","",YEAR($H1164)&amp;"-Q"&amp;ROUNDUP(MONTH($H1164)/3,0))</f>
        <v/>
      </c>
      <c r="S1164" s="1" t="str">
        <f aca="false">IF($C1164="","",$C1164&amp;"|"&amp;$E1164&amp;"|"&amp;$F1164&amp;"|"&amp;$L1164&amp;"|"&amp;$P1164&amp;"|"&amp;TEXT($H1164,"yyyy-mm-dd"))</f>
        <v/>
      </c>
      <c r="T1164" s="1" t="str">
        <f aca="false">IF($S1164="","",IF(COUNTIF($S$2:$S$2991,$S1164)&gt;1,"DUPLICATE","OK"))</f>
        <v/>
      </c>
      <c r="U1164" s="0" t="str">
        <f aca="false">IF($L1164="","",IFERROR(VLOOKUP(--$L1164,MM_Income!$Z$5:$AC$204,3,FALSE()),"UNMAPPED"))</f>
        <v/>
      </c>
    </row>
    <row r="1165" customFormat="false" ht="13.5" hidden="false" customHeight="false" outlineLevel="0" collapsed="false">
      <c r="A1165" s="1" t="str">
        <f aca="false">IF($C1165="","",Controls!$B$7)</f>
        <v/>
      </c>
      <c r="B1165" s="1" t="str">
        <f aca="false">IF($H1165="","",YEAR($H1165)&amp;"-Q"&amp;ROUNDUP(MONTH($H1165)/3,0))</f>
        <v/>
      </c>
      <c r="S1165" s="1" t="str">
        <f aca="false">IF($C1165="","",$C1165&amp;"|"&amp;$E1165&amp;"|"&amp;$F1165&amp;"|"&amp;$L1165&amp;"|"&amp;$P1165&amp;"|"&amp;TEXT($H1165,"yyyy-mm-dd"))</f>
        <v/>
      </c>
      <c r="T1165" s="1" t="str">
        <f aca="false">IF($S1165="","",IF(COUNTIF($S$2:$S$2991,$S1165)&gt;1,"DUPLICATE","OK"))</f>
        <v/>
      </c>
      <c r="U1165" s="0" t="str">
        <f aca="false">IF($L1165="","",IFERROR(VLOOKUP(--$L1165,MM_Income!$Z$5:$AC$204,3,FALSE()),"UNMAPPED"))</f>
        <v/>
      </c>
    </row>
    <row r="1166" customFormat="false" ht="13.5" hidden="false" customHeight="false" outlineLevel="0" collapsed="false">
      <c r="A1166" s="1" t="str">
        <f aca="false">IF($C1166="","",Controls!$B$7)</f>
        <v/>
      </c>
      <c r="B1166" s="1" t="str">
        <f aca="false">IF($H1166="","",YEAR($H1166)&amp;"-Q"&amp;ROUNDUP(MONTH($H1166)/3,0))</f>
        <v/>
      </c>
      <c r="S1166" s="1" t="str">
        <f aca="false">IF($C1166="","",$C1166&amp;"|"&amp;$E1166&amp;"|"&amp;$F1166&amp;"|"&amp;$L1166&amp;"|"&amp;$P1166&amp;"|"&amp;TEXT($H1166,"yyyy-mm-dd"))</f>
        <v/>
      </c>
      <c r="T1166" s="1" t="str">
        <f aca="false">IF($S1166="","",IF(COUNTIF($S$2:$S$2991,$S1166)&gt;1,"DUPLICATE","OK"))</f>
        <v/>
      </c>
      <c r="U1166" s="0" t="str">
        <f aca="false">IF($L1166="","",IFERROR(VLOOKUP(--$L1166,MM_Income!$Z$5:$AC$204,3,FALSE()),"UNMAPPED"))</f>
        <v/>
      </c>
    </row>
    <row r="1167" customFormat="false" ht="13.5" hidden="false" customHeight="false" outlineLevel="0" collapsed="false">
      <c r="A1167" s="1" t="str">
        <f aca="false">IF($C1167="","",Controls!$B$7)</f>
        <v/>
      </c>
      <c r="B1167" s="1" t="str">
        <f aca="false">IF($H1167="","",YEAR($H1167)&amp;"-Q"&amp;ROUNDUP(MONTH($H1167)/3,0))</f>
        <v/>
      </c>
      <c r="S1167" s="1" t="str">
        <f aca="false">IF($C1167="","",$C1167&amp;"|"&amp;$E1167&amp;"|"&amp;$F1167&amp;"|"&amp;$L1167&amp;"|"&amp;$P1167&amp;"|"&amp;TEXT($H1167,"yyyy-mm-dd"))</f>
        <v/>
      </c>
      <c r="T1167" s="1" t="str">
        <f aca="false">IF($S1167="","",IF(COUNTIF($S$2:$S$2991,$S1167)&gt;1,"DUPLICATE","OK"))</f>
        <v/>
      </c>
      <c r="U1167" s="0" t="str">
        <f aca="false">IF($L1167="","",IFERROR(VLOOKUP(--$L1167,MM_Income!$Z$5:$AC$204,3,FALSE()),"UNMAPPED"))</f>
        <v/>
      </c>
    </row>
    <row r="1168" customFormat="false" ht="13.5" hidden="false" customHeight="false" outlineLevel="0" collapsed="false">
      <c r="A1168" s="1" t="str">
        <f aca="false">IF($C1168="","",Controls!$B$7)</f>
        <v/>
      </c>
      <c r="B1168" s="1" t="str">
        <f aca="false">IF($H1168="","",YEAR($H1168)&amp;"-Q"&amp;ROUNDUP(MONTH($H1168)/3,0))</f>
        <v/>
      </c>
      <c r="S1168" s="1" t="str">
        <f aca="false">IF($C1168="","",$C1168&amp;"|"&amp;$E1168&amp;"|"&amp;$F1168&amp;"|"&amp;$L1168&amp;"|"&amp;$P1168&amp;"|"&amp;TEXT($H1168,"yyyy-mm-dd"))</f>
        <v/>
      </c>
      <c r="T1168" s="1" t="str">
        <f aca="false">IF($S1168="","",IF(COUNTIF($S$2:$S$2991,$S1168)&gt;1,"DUPLICATE","OK"))</f>
        <v/>
      </c>
      <c r="U1168" s="0" t="str">
        <f aca="false">IF($L1168="","",IFERROR(VLOOKUP(--$L1168,MM_Income!$Z$5:$AC$204,3,FALSE()),"UNMAPPED"))</f>
        <v/>
      </c>
    </row>
    <row r="1169" customFormat="false" ht="13.5" hidden="false" customHeight="false" outlineLevel="0" collapsed="false">
      <c r="A1169" s="1" t="str">
        <f aca="false">IF($C1169="","",Controls!$B$7)</f>
        <v/>
      </c>
      <c r="B1169" s="1" t="str">
        <f aca="false">IF($H1169="","",YEAR($H1169)&amp;"-Q"&amp;ROUNDUP(MONTH($H1169)/3,0))</f>
        <v/>
      </c>
      <c r="S1169" s="1" t="str">
        <f aca="false">IF($C1169="","",$C1169&amp;"|"&amp;$E1169&amp;"|"&amp;$F1169&amp;"|"&amp;$L1169&amp;"|"&amp;$P1169&amp;"|"&amp;TEXT($H1169,"yyyy-mm-dd"))</f>
        <v/>
      </c>
      <c r="T1169" s="1" t="str">
        <f aca="false">IF($S1169="","",IF(COUNTIF($S$2:$S$2991,$S1169)&gt;1,"DUPLICATE","OK"))</f>
        <v/>
      </c>
      <c r="U1169" s="0" t="str">
        <f aca="false">IF($L1169="","",IFERROR(VLOOKUP(--$L1169,MM_Income!$Z$5:$AC$204,3,FALSE()),"UNMAPPED"))</f>
        <v/>
      </c>
    </row>
    <row r="1170" customFormat="false" ht="13.5" hidden="false" customHeight="false" outlineLevel="0" collapsed="false">
      <c r="A1170" s="1" t="str">
        <f aca="false">IF($C1170="","",Controls!$B$7)</f>
        <v/>
      </c>
      <c r="B1170" s="1" t="str">
        <f aca="false">IF($H1170="","",YEAR($H1170)&amp;"-Q"&amp;ROUNDUP(MONTH($H1170)/3,0))</f>
        <v/>
      </c>
      <c r="S1170" s="1" t="str">
        <f aca="false">IF($C1170="","",$C1170&amp;"|"&amp;$E1170&amp;"|"&amp;$F1170&amp;"|"&amp;$L1170&amp;"|"&amp;$P1170&amp;"|"&amp;TEXT($H1170,"yyyy-mm-dd"))</f>
        <v/>
      </c>
      <c r="T1170" s="1" t="str">
        <f aca="false">IF($S1170="","",IF(COUNTIF($S$2:$S$2991,$S1170)&gt;1,"DUPLICATE","OK"))</f>
        <v/>
      </c>
      <c r="U1170" s="0" t="str">
        <f aca="false">IF($L1170="","",IFERROR(VLOOKUP(--$L1170,MM_Income!$Z$5:$AC$204,3,FALSE()),"UNMAPPED"))</f>
        <v/>
      </c>
    </row>
    <row r="1171" customFormat="false" ht="13.5" hidden="false" customHeight="false" outlineLevel="0" collapsed="false">
      <c r="A1171" s="1" t="str">
        <f aca="false">IF($C1171="","",Controls!$B$7)</f>
        <v/>
      </c>
      <c r="B1171" s="1" t="str">
        <f aca="false">IF($H1171="","",YEAR($H1171)&amp;"-Q"&amp;ROUNDUP(MONTH($H1171)/3,0))</f>
        <v/>
      </c>
      <c r="S1171" s="1" t="str">
        <f aca="false">IF($C1171="","",$C1171&amp;"|"&amp;$E1171&amp;"|"&amp;$F1171&amp;"|"&amp;$L1171&amp;"|"&amp;$P1171&amp;"|"&amp;TEXT($H1171,"yyyy-mm-dd"))</f>
        <v/>
      </c>
      <c r="T1171" s="1" t="str">
        <f aca="false">IF($S1171="","",IF(COUNTIF($S$2:$S$2991,$S1171)&gt;1,"DUPLICATE","OK"))</f>
        <v/>
      </c>
      <c r="U1171" s="0" t="str">
        <f aca="false">IF($L1171="","",IFERROR(VLOOKUP(--$L1171,MM_Income!$Z$5:$AC$204,3,FALSE()),"UNMAPPED"))</f>
        <v/>
      </c>
    </row>
    <row r="1172" customFormat="false" ht="13.5" hidden="false" customHeight="false" outlineLevel="0" collapsed="false">
      <c r="A1172" s="1" t="str">
        <f aca="false">IF($C1172="","",Controls!$B$7)</f>
        <v/>
      </c>
      <c r="B1172" s="1" t="str">
        <f aca="false">IF($H1172="","",YEAR($H1172)&amp;"-Q"&amp;ROUNDUP(MONTH($H1172)/3,0))</f>
        <v/>
      </c>
      <c r="S1172" s="1" t="str">
        <f aca="false">IF($C1172="","",$C1172&amp;"|"&amp;$E1172&amp;"|"&amp;$F1172&amp;"|"&amp;$L1172&amp;"|"&amp;$P1172&amp;"|"&amp;TEXT($H1172,"yyyy-mm-dd"))</f>
        <v/>
      </c>
      <c r="T1172" s="1" t="str">
        <f aca="false">IF($S1172="","",IF(COUNTIF($S$2:$S$2991,$S1172)&gt;1,"DUPLICATE","OK"))</f>
        <v/>
      </c>
      <c r="U1172" s="0" t="str">
        <f aca="false">IF($L1172="","",IFERROR(VLOOKUP(--$L1172,MM_Income!$Z$5:$AC$204,3,FALSE()),"UNMAPPED"))</f>
        <v/>
      </c>
    </row>
    <row r="1173" customFormat="false" ht="13.5" hidden="false" customHeight="false" outlineLevel="0" collapsed="false">
      <c r="A1173" s="1" t="str">
        <f aca="false">IF($C1173="","",Controls!$B$7)</f>
        <v/>
      </c>
      <c r="B1173" s="1" t="str">
        <f aca="false">IF($H1173="","",YEAR($H1173)&amp;"-Q"&amp;ROUNDUP(MONTH($H1173)/3,0))</f>
        <v/>
      </c>
      <c r="S1173" s="1" t="str">
        <f aca="false">IF($C1173="","",$C1173&amp;"|"&amp;$E1173&amp;"|"&amp;$F1173&amp;"|"&amp;$L1173&amp;"|"&amp;$P1173&amp;"|"&amp;TEXT($H1173,"yyyy-mm-dd"))</f>
        <v/>
      </c>
      <c r="T1173" s="1" t="str">
        <f aca="false">IF($S1173="","",IF(COUNTIF($S$2:$S$2991,$S1173)&gt;1,"DUPLICATE","OK"))</f>
        <v/>
      </c>
      <c r="U1173" s="0" t="str">
        <f aca="false">IF($L1173="","",IFERROR(VLOOKUP(--$L1173,MM_Income!$Z$5:$AC$204,3,FALSE()),"UNMAPPED"))</f>
        <v/>
      </c>
    </row>
    <row r="1174" customFormat="false" ht="13.5" hidden="false" customHeight="false" outlineLevel="0" collapsed="false">
      <c r="A1174" s="1" t="str">
        <f aca="false">IF($C1174="","",Controls!$B$7)</f>
        <v/>
      </c>
      <c r="B1174" s="1" t="str">
        <f aca="false">IF($H1174="","",YEAR($H1174)&amp;"-Q"&amp;ROUNDUP(MONTH($H1174)/3,0))</f>
        <v/>
      </c>
      <c r="S1174" s="1" t="str">
        <f aca="false">IF($C1174="","",$C1174&amp;"|"&amp;$E1174&amp;"|"&amp;$F1174&amp;"|"&amp;$L1174&amp;"|"&amp;$P1174&amp;"|"&amp;TEXT($H1174,"yyyy-mm-dd"))</f>
        <v/>
      </c>
      <c r="T1174" s="1" t="str">
        <f aca="false">IF($S1174="","",IF(COUNTIF($S$2:$S$2991,$S1174)&gt;1,"DUPLICATE","OK"))</f>
        <v/>
      </c>
      <c r="U1174" s="0" t="str">
        <f aca="false">IF($L1174="","",IFERROR(VLOOKUP(--$L1174,MM_Income!$Z$5:$AC$204,3,FALSE()),"UNMAPPED"))</f>
        <v/>
      </c>
    </row>
    <row r="1175" customFormat="false" ht="13.5" hidden="false" customHeight="false" outlineLevel="0" collapsed="false">
      <c r="A1175" s="1" t="str">
        <f aca="false">IF($C1175="","",Controls!$B$7)</f>
        <v/>
      </c>
      <c r="B1175" s="1" t="str">
        <f aca="false">IF($H1175="","",YEAR($H1175)&amp;"-Q"&amp;ROUNDUP(MONTH($H1175)/3,0))</f>
        <v/>
      </c>
      <c r="S1175" s="1" t="str">
        <f aca="false">IF($C1175="","",$C1175&amp;"|"&amp;$E1175&amp;"|"&amp;$F1175&amp;"|"&amp;$L1175&amp;"|"&amp;$P1175&amp;"|"&amp;TEXT($H1175,"yyyy-mm-dd"))</f>
        <v/>
      </c>
      <c r="T1175" s="1" t="str">
        <f aca="false">IF($S1175="","",IF(COUNTIF($S$2:$S$2991,$S1175)&gt;1,"DUPLICATE","OK"))</f>
        <v/>
      </c>
      <c r="U1175" s="0" t="str">
        <f aca="false">IF($L1175="","",IFERROR(VLOOKUP(--$L1175,MM_Income!$Z$5:$AC$204,3,FALSE()),"UNMAPPED"))</f>
        <v/>
      </c>
    </row>
    <row r="1176" customFormat="false" ht="13.5" hidden="false" customHeight="false" outlineLevel="0" collapsed="false">
      <c r="A1176" s="1" t="str">
        <f aca="false">IF($C1176="","",Controls!$B$7)</f>
        <v/>
      </c>
      <c r="B1176" s="1" t="str">
        <f aca="false">IF($H1176="","",YEAR($H1176)&amp;"-Q"&amp;ROUNDUP(MONTH($H1176)/3,0))</f>
        <v/>
      </c>
      <c r="S1176" s="1" t="str">
        <f aca="false">IF($C1176="","",$C1176&amp;"|"&amp;$E1176&amp;"|"&amp;$F1176&amp;"|"&amp;$L1176&amp;"|"&amp;$P1176&amp;"|"&amp;TEXT($H1176,"yyyy-mm-dd"))</f>
        <v/>
      </c>
      <c r="T1176" s="1" t="str">
        <f aca="false">IF($S1176="","",IF(COUNTIF($S$2:$S$2991,$S1176)&gt;1,"DUPLICATE","OK"))</f>
        <v/>
      </c>
      <c r="U1176" s="0" t="str">
        <f aca="false">IF($L1176="","",IFERROR(VLOOKUP(--$L1176,MM_Income!$Z$5:$AC$204,3,FALSE()),"UNMAPPED"))</f>
        <v/>
      </c>
    </row>
    <row r="1177" customFormat="false" ht="13.5" hidden="false" customHeight="false" outlineLevel="0" collapsed="false">
      <c r="A1177" s="1" t="str">
        <f aca="false">IF($C1177="","",Controls!$B$7)</f>
        <v/>
      </c>
      <c r="B1177" s="1" t="str">
        <f aca="false">IF($H1177="","",YEAR($H1177)&amp;"-Q"&amp;ROUNDUP(MONTH($H1177)/3,0))</f>
        <v/>
      </c>
      <c r="S1177" s="1" t="str">
        <f aca="false">IF($C1177="","",$C1177&amp;"|"&amp;$E1177&amp;"|"&amp;$F1177&amp;"|"&amp;$L1177&amp;"|"&amp;$P1177&amp;"|"&amp;TEXT($H1177,"yyyy-mm-dd"))</f>
        <v/>
      </c>
      <c r="T1177" s="1" t="str">
        <f aca="false">IF($S1177="","",IF(COUNTIF($S$2:$S$2991,$S1177)&gt;1,"DUPLICATE","OK"))</f>
        <v/>
      </c>
      <c r="U1177" s="0" t="str">
        <f aca="false">IF($L1177="","",IFERROR(VLOOKUP(--$L1177,MM_Income!$Z$5:$AC$204,3,FALSE()),"UNMAPPED"))</f>
        <v/>
      </c>
    </row>
    <row r="1178" customFormat="false" ht="13.5" hidden="false" customHeight="false" outlineLevel="0" collapsed="false">
      <c r="A1178" s="1" t="str">
        <f aca="false">IF($C1178="","",Controls!$B$7)</f>
        <v/>
      </c>
      <c r="B1178" s="1" t="str">
        <f aca="false">IF($H1178="","",YEAR($H1178)&amp;"-Q"&amp;ROUNDUP(MONTH($H1178)/3,0))</f>
        <v/>
      </c>
      <c r="S1178" s="1" t="str">
        <f aca="false">IF($C1178="","",$C1178&amp;"|"&amp;$E1178&amp;"|"&amp;$F1178&amp;"|"&amp;$L1178&amp;"|"&amp;$P1178&amp;"|"&amp;TEXT($H1178,"yyyy-mm-dd"))</f>
        <v/>
      </c>
      <c r="T1178" s="1" t="str">
        <f aca="false">IF($S1178="","",IF(COUNTIF($S$2:$S$2991,$S1178)&gt;1,"DUPLICATE","OK"))</f>
        <v/>
      </c>
      <c r="U1178" s="0" t="str">
        <f aca="false">IF($L1178="","",IFERROR(VLOOKUP(--$L1178,MM_Income!$Z$5:$AC$204,3,FALSE()),"UNMAPPED"))</f>
        <v/>
      </c>
    </row>
    <row r="1179" customFormat="false" ht="13.5" hidden="false" customHeight="false" outlineLevel="0" collapsed="false">
      <c r="A1179" s="1" t="str">
        <f aca="false">IF($C1179="","",Controls!$B$7)</f>
        <v/>
      </c>
      <c r="B1179" s="1" t="str">
        <f aca="false">IF($H1179="","",YEAR($H1179)&amp;"-Q"&amp;ROUNDUP(MONTH($H1179)/3,0))</f>
        <v/>
      </c>
      <c r="S1179" s="1" t="str">
        <f aca="false">IF($C1179="","",$C1179&amp;"|"&amp;$E1179&amp;"|"&amp;$F1179&amp;"|"&amp;$L1179&amp;"|"&amp;$P1179&amp;"|"&amp;TEXT($H1179,"yyyy-mm-dd"))</f>
        <v/>
      </c>
      <c r="T1179" s="1" t="str">
        <f aca="false">IF($S1179="","",IF(COUNTIF($S$2:$S$2991,$S1179)&gt;1,"DUPLICATE","OK"))</f>
        <v/>
      </c>
      <c r="U1179" s="0" t="str">
        <f aca="false">IF($L1179="","",IFERROR(VLOOKUP(--$L1179,MM_Income!$Z$5:$AC$204,3,FALSE()),"UNMAPPED"))</f>
        <v/>
      </c>
    </row>
    <row r="1180" customFormat="false" ht="13.5" hidden="false" customHeight="false" outlineLevel="0" collapsed="false">
      <c r="A1180" s="1" t="str">
        <f aca="false">IF($C1180="","",Controls!$B$7)</f>
        <v/>
      </c>
      <c r="B1180" s="1" t="str">
        <f aca="false">IF($H1180="","",YEAR($H1180)&amp;"-Q"&amp;ROUNDUP(MONTH($H1180)/3,0))</f>
        <v/>
      </c>
      <c r="S1180" s="1" t="str">
        <f aca="false">IF($C1180="","",$C1180&amp;"|"&amp;$E1180&amp;"|"&amp;$F1180&amp;"|"&amp;$L1180&amp;"|"&amp;$P1180&amp;"|"&amp;TEXT($H1180,"yyyy-mm-dd"))</f>
        <v/>
      </c>
      <c r="T1180" s="1" t="str">
        <f aca="false">IF($S1180="","",IF(COUNTIF($S$2:$S$2991,$S1180)&gt;1,"DUPLICATE","OK"))</f>
        <v/>
      </c>
      <c r="U1180" s="0" t="str">
        <f aca="false">IF($L1180="","",IFERROR(VLOOKUP(--$L1180,MM_Income!$Z$5:$AC$204,3,FALSE()),"UNMAPPED"))</f>
        <v/>
      </c>
    </row>
    <row r="1181" customFormat="false" ht="13.5" hidden="false" customHeight="false" outlineLevel="0" collapsed="false">
      <c r="A1181" s="1" t="str">
        <f aca="false">IF($C1181="","",Controls!$B$7)</f>
        <v/>
      </c>
      <c r="B1181" s="1" t="str">
        <f aca="false">IF($H1181="","",YEAR($H1181)&amp;"-Q"&amp;ROUNDUP(MONTH($H1181)/3,0))</f>
        <v/>
      </c>
      <c r="S1181" s="1" t="str">
        <f aca="false">IF($C1181="","",$C1181&amp;"|"&amp;$E1181&amp;"|"&amp;$F1181&amp;"|"&amp;$L1181&amp;"|"&amp;$P1181&amp;"|"&amp;TEXT($H1181,"yyyy-mm-dd"))</f>
        <v/>
      </c>
      <c r="T1181" s="1" t="str">
        <f aca="false">IF($S1181="","",IF(COUNTIF($S$2:$S$2991,$S1181)&gt;1,"DUPLICATE","OK"))</f>
        <v/>
      </c>
      <c r="U1181" s="0" t="str">
        <f aca="false">IF($L1181="","",IFERROR(VLOOKUP(--$L1181,MM_Income!$Z$5:$AC$204,3,FALSE()),"UNMAPPED"))</f>
        <v/>
      </c>
    </row>
    <row r="1182" customFormat="false" ht="13.5" hidden="false" customHeight="false" outlineLevel="0" collapsed="false">
      <c r="A1182" s="1" t="str">
        <f aca="false">IF($C1182="","",Controls!$B$7)</f>
        <v/>
      </c>
      <c r="B1182" s="1" t="str">
        <f aca="false">IF($H1182="","",YEAR($H1182)&amp;"-Q"&amp;ROUNDUP(MONTH($H1182)/3,0))</f>
        <v/>
      </c>
      <c r="S1182" s="1" t="str">
        <f aca="false">IF($C1182="","",$C1182&amp;"|"&amp;$E1182&amp;"|"&amp;$F1182&amp;"|"&amp;$L1182&amp;"|"&amp;$P1182&amp;"|"&amp;TEXT($H1182,"yyyy-mm-dd"))</f>
        <v/>
      </c>
      <c r="T1182" s="1" t="str">
        <f aca="false">IF($S1182="","",IF(COUNTIF($S$2:$S$2991,$S1182)&gt;1,"DUPLICATE","OK"))</f>
        <v/>
      </c>
      <c r="U1182" s="0" t="str">
        <f aca="false">IF($L1182="","",IFERROR(VLOOKUP(--$L1182,MM_Income!$Z$5:$AC$204,3,FALSE()),"UNMAPPED"))</f>
        <v/>
      </c>
    </row>
    <row r="1183" customFormat="false" ht="13.5" hidden="false" customHeight="false" outlineLevel="0" collapsed="false">
      <c r="A1183" s="1" t="str">
        <f aca="false">IF($C1183="","",Controls!$B$7)</f>
        <v/>
      </c>
      <c r="B1183" s="1" t="str">
        <f aca="false">IF($H1183="","",YEAR($H1183)&amp;"-Q"&amp;ROUNDUP(MONTH($H1183)/3,0))</f>
        <v/>
      </c>
      <c r="S1183" s="1" t="str">
        <f aca="false">IF($C1183="","",$C1183&amp;"|"&amp;$E1183&amp;"|"&amp;$F1183&amp;"|"&amp;$L1183&amp;"|"&amp;$P1183&amp;"|"&amp;TEXT($H1183,"yyyy-mm-dd"))</f>
        <v/>
      </c>
      <c r="T1183" s="1" t="str">
        <f aca="false">IF($S1183="","",IF(COUNTIF($S$2:$S$2991,$S1183)&gt;1,"DUPLICATE","OK"))</f>
        <v/>
      </c>
      <c r="U1183" s="0" t="str">
        <f aca="false">IF($L1183="","",IFERROR(VLOOKUP(--$L1183,MM_Income!$Z$5:$AC$204,3,FALSE()),"UNMAPPED"))</f>
        <v/>
      </c>
    </row>
    <row r="1184" customFormat="false" ht="13.5" hidden="false" customHeight="false" outlineLevel="0" collapsed="false">
      <c r="A1184" s="1" t="str">
        <f aca="false">IF($C1184="","",Controls!$B$7)</f>
        <v/>
      </c>
      <c r="B1184" s="1" t="str">
        <f aca="false">IF($H1184="","",YEAR($H1184)&amp;"-Q"&amp;ROUNDUP(MONTH($H1184)/3,0))</f>
        <v/>
      </c>
      <c r="S1184" s="1" t="str">
        <f aca="false">IF($C1184="","",$C1184&amp;"|"&amp;$E1184&amp;"|"&amp;$F1184&amp;"|"&amp;$L1184&amp;"|"&amp;$P1184&amp;"|"&amp;TEXT($H1184,"yyyy-mm-dd"))</f>
        <v/>
      </c>
      <c r="T1184" s="1" t="str">
        <f aca="false">IF($S1184="","",IF(COUNTIF($S$2:$S$2991,$S1184)&gt;1,"DUPLICATE","OK"))</f>
        <v/>
      </c>
      <c r="U1184" s="0" t="str">
        <f aca="false">IF($L1184="","",IFERROR(VLOOKUP(--$L1184,MM_Income!$Z$5:$AC$204,3,FALSE()),"UNMAPPED"))</f>
        <v/>
      </c>
    </row>
    <row r="1185" customFormat="false" ht="13.5" hidden="false" customHeight="false" outlineLevel="0" collapsed="false">
      <c r="A1185" s="1" t="str">
        <f aca="false">IF($C1185="","",Controls!$B$7)</f>
        <v/>
      </c>
      <c r="B1185" s="1" t="str">
        <f aca="false">IF($H1185="","",YEAR($H1185)&amp;"-Q"&amp;ROUNDUP(MONTH($H1185)/3,0))</f>
        <v/>
      </c>
      <c r="S1185" s="1" t="str">
        <f aca="false">IF($C1185="","",$C1185&amp;"|"&amp;$E1185&amp;"|"&amp;$F1185&amp;"|"&amp;$L1185&amp;"|"&amp;$P1185&amp;"|"&amp;TEXT($H1185,"yyyy-mm-dd"))</f>
        <v/>
      </c>
      <c r="T1185" s="1" t="str">
        <f aca="false">IF($S1185="","",IF(COUNTIF($S$2:$S$2991,$S1185)&gt;1,"DUPLICATE","OK"))</f>
        <v/>
      </c>
      <c r="U1185" s="0" t="str">
        <f aca="false">IF($L1185="","",IFERROR(VLOOKUP(--$L1185,MM_Income!$Z$5:$AC$204,3,FALSE()),"UNMAPPED"))</f>
        <v/>
      </c>
    </row>
    <row r="1186" customFormat="false" ht="13.5" hidden="false" customHeight="false" outlineLevel="0" collapsed="false">
      <c r="A1186" s="1" t="str">
        <f aca="false">IF($C1186="","",Controls!$B$7)</f>
        <v/>
      </c>
      <c r="B1186" s="1" t="str">
        <f aca="false">IF($H1186="","",YEAR($H1186)&amp;"-Q"&amp;ROUNDUP(MONTH($H1186)/3,0))</f>
        <v/>
      </c>
      <c r="S1186" s="1" t="str">
        <f aca="false">IF($C1186="","",$C1186&amp;"|"&amp;$E1186&amp;"|"&amp;$F1186&amp;"|"&amp;$L1186&amp;"|"&amp;$P1186&amp;"|"&amp;TEXT($H1186,"yyyy-mm-dd"))</f>
        <v/>
      </c>
      <c r="T1186" s="1" t="str">
        <f aca="false">IF($S1186="","",IF(COUNTIF($S$2:$S$2991,$S1186)&gt;1,"DUPLICATE","OK"))</f>
        <v/>
      </c>
      <c r="U1186" s="0" t="str">
        <f aca="false">IF($L1186="","",IFERROR(VLOOKUP(--$L1186,MM_Income!$Z$5:$AC$204,3,FALSE()),"UNMAPPED"))</f>
        <v/>
      </c>
    </row>
    <row r="1187" customFormat="false" ht="13.5" hidden="false" customHeight="false" outlineLevel="0" collapsed="false">
      <c r="A1187" s="1" t="str">
        <f aca="false">IF($C1187="","",Controls!$B$7)</f>
        <v/>
      </c>
      <c r="B1187" s="1" t="str">
        <f aca="false">IF($H1187="","",YEAR($H1187)&amp;"-Q"&amp;ROUNDUP(MONTH($H1187)/3,0))</f>
        <v/>
      </c>
      <c r="S1187" s="1" t="str">
        <f aca="false">IF($C1187="","",$C1187&amp;"|"&amp;$E1187&amp;"|"&amp;$F1187&amp;"|"&amp;$L1187&amp;"|"&amp;$P1187&amp;"|"&amp;TEXT($H1187,"yyyy-mm-dd"))</f>
        <v/>
      </c>
      <c r="T1187" s="1" t="str">
        <f aca="false">IF($S1187="","",IF(COUNTIF($S$2:$S$2991,$S1187)&gt;1,"DUPLICATE","OK"))</f>
        <v/>
      </c>
      <c r="U1187" s="0" t="str">
        <f aca="false">IF($L1187="","",IFERROR(VLOOKUP(--$L1187,MM_Income!$Z$5:$AC$204,3,FALSE()),"UNMAPPED"))</f>
        <v/>
      </c>
    </row>
    <row r="1188" customFormat="false" ht="13.5" hidden="false" customHeight="false" outlineLevel="0" collapsed="false">
      <c r="A1188" s="1" t="str">
        <f aca="false">IF($C1188="","",Controls!$B$7)</f>
        <v/>
      </c>
      <c r="B1188" s="1" t="str">
        <f aca="false">IF($H1188="","",YEAR($H1188)&amp;"-Q"&amp;ROUNDUP(MONTH($H1188)/3,0))</f>
        <v/>
      </c>
      <c r="S1188" s="1" t="str">
        <f aca="false">IF($C1188="","",$C1188&amp;"|"&amp;$E1188&amp;"|"&amp;$F1188&amp;"|"&amp;$L1188&amp;"|"&amp;$P1188&amp;"|"&amp;TEXT($H1188,"yyyy-mm-dd"))</f>
        <v/>
      </c>
      <c r="T1188" s="1" t="str">
        <f aca="false">IF($S1188="","",IF(COUNTIF($S$2:$S$2991,$S1188)&gt;1,"DUPLICATE","OK"))</f>
        <v/>
      </c>
      <c r="U1188" s="0" t="str">
        <f aca="false">IF($L1188="","",IFERROR(VLOOKUP(--$L1188,MM_Income!$Z$5:$AC$204,3,FALSE()),"UNMAPPED"))</f>
        <v/>
      </c>
    </row>
    <row r="1189" customFormat="false" ht="13.5" hidden="false" customHeight="false" outlineLevel="0" collapsed="false">
      <c r="A1189" s="1" t="str">
        <f aca="false">IF($C1189="","",Controls!$B$7)</f>
        <v/>
      </c>
      <c r="B1189" s="1" t="str">
        <f aca="false">IF($H1189="","",YEAR($H1189)&amp;"-Q"&amp;ROUNDUP(MONTH($H1189)/3,0))</f>
        <v/>
      </c>
      <c r="S1189" s="1" t="str">
        <f aca="false">IF($C1189="","",$C1189&amp;"|"&amp;$E1189&amp;"|"&amp;$F1189&amp;"|"&amp;$L1189&amp;"|"&amp;$P1189&amp;"|"&amp;TEXT($H1189,"yyyy-mm-dd"))</f>
        <v/>
      </c>
      <c r="T1189" s="1" t="str">
        <f aca="false">IF($S1189="","",IF(COUNTIF($S$2:$S$2991,$S1189)&gt;1,"DUPLICATE","OK"))</f>
        <v/>
      </c>
      <c r="U1189" s="0" t="str">
        <f aca="false">IF($L1189="","",IFERROR(VLOOKUP(--$L1189,MM_Income!$Z$5:$AC$204,3,FALSE()),"UNMAPPED"))</f>
        <v/>
      </c>
    </row>
    <row r="1190" customFormat="false" ht="13.5" hidden="false" customHeight="false" outlineLevel="0" collapsed="false">
      <c r="A1190" s="1" t="str">
        <f aca="false">IF($C1190="","",Controls!$B$7)</f>
        <v/>
      </c>
      <c r="B1190" s="1" t="str">
        <f aca="false">IF($H1190="","",YEAR($H1190)&amp;"-Q"&amp;ROUNDUP(MONTH($H1190)/3,0))</f>
        <v/>
      </c>
      <c r="S1190" s="1" t="str">
        <f aca="false">IF($C1190="","",$C1190&amp;"|"&amp;$E1190&amp;"|"&amp;$F1190&amp;"|"&amp;$L1190&amp;"|"&amp;$P1190&amp;"|"&amp;TEXT($H1190,"yyyy-mm-dd"))</f>
        <v/>
      </c>
      <c r="T1190" s="1" t="str">
        <f aca="false">IF($S1190="","",IF(COUNTIF($S$2:$S$2991,$S1190)&gt;1,"DUPLICATE","OK"))</f>
        <v/>
      </c>
      <c r="U1190" s="0" t="str">
        <f aca="false">IF($L1190="","",IFERROR(VLOOKUP(--$L1190,MM_Income!$Z$5:$AC$204,3,FALSE()),"UNMAPPED"))</f>
        <v/>
      </c>
    </row>
    <row r="1191" customFormat="false" ht="13.5" hidden="false" customHeight="false" outlineLevel="0" collapsed="false">
      <c r="A1191" s="1" t="str">
        <f aca="false">IF($C1191="","",Controls!$B$7)</f>
        <v/>
      </c>
      <c r="B1191" s="1" t="str">
        <f aca="false">IF($H1191="","",YEAR($H1191)&amp;"-Q"&amp;ROUNDUP(MONTH($H1191)/3,0))</f>
        <v/>
      </c>
      <c r="S1191" s="1" t="str">
        <f aca="false">IF($C1191="","",$C1191&amp;"|"&amp;$E1191&amp;"|"&amp;$F1191&amp;"|"&amp;$L1191&amp;"|"&amp;$P1191&amp;"|"&amp;TEXT($H1191,"yyyy-mm-dd"))</f>
        <v/>
      </c>
      <c r="T1191" s="1" t="str">
        <f aca="false">IF($S1191="","",IF(COUNTIF($S$2:$S$2991,$S1191)&gt;1,"DUPLICATE","OK"))</f>
        <v/>
      </c>
      <c r="U1191" s="0" t="str">
        <f aca="false">IF($L1191="","",IFERROR(VLOOKUP(--$L1191,MM_Income!$Z$5:$AC$204,3,FALSE()),"UNMAPPED"))</f>
        <v/>
      </c>
    </row>
    <row r="1192" customFormat="false" ht="13.5" hidden="false" customHeight="false" outlineLevel="0" collapsed="false">
      <c r="A1192" s="1" t="str">
        <f aca="false">IF($C1192="","",Controls!$B$7)</f>
        <v/>
      </c>
      <c r="B1192" s="1" t="str">
        <f aca="false">IF($H1192="","",YEAR($H1192)&amp;"-Q"&amp;ROUNDUP(MONTH($H1192)/3,0))</f>
        <v/>
      </c>
      <c r="S1192" s="1" t="str">
        <f aca="false">IF($C1192="","",$C1192&amp;"|"&amp;$E1192&amp;"|"&amp;$F1192&amp;"|"&amp;$L1192&amp;"|"&amp;$P1192&amp;"|"&amp;TEXT($H1192,"yyyy-mm-dd"))</f>
        <v/>
      </c>
      <c r="T1192" s="1" t="str">
        <f aca="false">IF($S1192="","",IF(COUNTIF($S$2:$S$2991,$S1192)&gt;1,"DUPLICATE","OK"))</f>
        <v/>
      </c>
      <c r="U1192" s="0" t="str">
        <f aca="false">IF($L1192="","",IFERROR(VLOOKUP(--$L1192,MM_Income!$Z$5:$AC$204,3,FALSE()),"UNMAPPED"))</f>
        <v/>
      </c>
    </row>
    <row r="1193" customFormat="false" ht="13.5" hidden="false" customHeight="false" outlineLevel="0" collapsed="false">
      <c r="A1193" s="1" t="str">
        <f aca="false">IF($C1193="","",Controls!$B$7)</f>
        <v/>
      </c>
      <c r="B1193" s="1" t="str">
        <f aca="false">IF($H1193="","",YEAR($H1193)&amp;"-Q"&amp;ROUNDUP(MONTH($H1193)/3,0))</f>
        <v/>
      </c>
      <c r="S1193" s="1" t="str">
        <f aca="false">IF($C1193="","",$C1193&amp;"|"&amp;$E1193&amp;"|"&amp;$F1193&amp;"|"&amp;$L1193&amp;"|"&amp;$P1193&amp;"|"&amp;TEXT($H1193,"yyyy-mm-dd"))</f>
        <v/>
      </c>
      <c r="T1193" s="1" t="str">
        <f aca="false">IF($S1193="","",IF(COUNTIF($S$2:$S$2991,$S1193)&gt;1,"DUPLICATE","OK"))</f>
        <v/>
      </c>
      <c r="U1193" s="0" t="str">
        <f aca="false">IF($L1193="","",IFERROR(VLOOKUP(--$L1193,MM_Income!$Z$5:$AC$204,3,FALSE()),"UNMAPPED"))</f>
        <v/>
      </c>
    </row>
    <row r="1194" customFormat="false" ht="13.5" hidden="false" customHeight="false" outlineLevel="0" collapsed="false">
      <c r="A1194" s="1" t="str">
        <f aca="false">IF($C1194="","",Controls!$B$7)</f>
        <v/>
      </c>
      <c r="B1194" s="1" t="str">
        <f aca="false">IF($H1194="","",YEAR($H1194)&amp;"-Q"&amp;ROUNDUP(MONTH($H1194)/3,0))</f>
        <v/>
      </c>
      <c r="S1194" s="1" t="str">
        <f aca="false">IF($C1194="","",$C1194&amp;"|"&amp;$E1194&amp;"|"&amp;$F1194&amp;"|"&amp;$L1194&amp;"|"&amp;$P1194&amp;"|"&amp;TEXT($H1194,"yyyy-mm-dd"))</f>
        <v/>
      </c>
      <c r="T1194" s="1" t="str">
        <f aca="false">IF($S1194="","",IF(COUNTIF($S$2:$S$2991,$S1194)&gt;1,"DUPLICATE","OK"))</f>
        <v/>
      </c>
      <c r="U1194" s="0" t="str">
        <f aca="false">IF($L1194="","",IFERROR(VLOOKUP(--$L1194,MM_Income!$Z$5:$AC$204,3,FALSE()),"UNMAPPED"))</f>
        <v/>
      </c>
    </row>
    <row r="1195" customFormat="false" ht="13.5" hidden="false" customHeight="false" outlineLevel="0" collapsed="false">
      <c r="A1195" s="1" t="str">
        <f aca="false">IF($C1195="","",Controls!$B$7)</f>
        <v/>
      </c>
      <c r="B1195" s="1" t="str">
        <f aca="false">IF($H1195="","",YEAR($H1195)&amp;"-Q"&amp;ROUNDUP(MONTH($H1195)/3,0))</f>
        <v/>
      </c>
      <c r="S1195" s="1" t="str">
        <f aca="false">IF($C1195="","",$C1195&amp;"|"&amp;$E1195&amp;"|"&amp;$F1195&amp;"|"&amp;$L1195&amp;"|"&amp;$P1195&amp;"|"&amp;TEXT($H1195,"yyyy-mm-dd"))</f>
        <v/>
      </c>
      <c r="T1195" s="1" t="str">
        <f aca="false">IF($S1195="","",IF(COUNTIF($S$2:$S$2991,$S1195)&gt;1,"DUPLICATE","OK"))</f>
        <v/>
      </c>
      <c r="U1195" s="0" t="str">
        <f aca="false">IF($L1195="","",IFERROR(VLOOKUP(--$L1195,MM_Income!$Z$5:$AC$204,3,FALSE()),"UNMAPPED"))</f>
        <v/>
      </c>
    </row>
    <row r="1196" customFormat="false" ht="13.5" hidden="false" customHeight="false" outlineLevel="0" collapsed="false">
      <c r="A1196" s="1" t="str">
        <f aca="false">IF($C1196="","",Controls!$B$7)</f>
        <v/>
      </c>
      <c r="B1196" s="1" t="str">
        <f aca="false">IF($H1196="","",YEAR($H1196)&amp;"-Q"&amp;ROUNDUP(MONTH($H1196)/3,0))</f>
        <v/>
      </c>
      <c r="S1196" s="1" t="str">
        <f aca="false">IF($C1196="","",$C1196&amp;"|"&amp;$E1196&amp;"|"&amp;$F1196&amp;"|"&amp;$L1196&amp;"|"&amp;$P1196&amp;"|"&amp;TEXT($H1196,"yyyy-mm-dd"))</f>
        <v/>
      </c>
      <c r="T1196" s="1" t="str">
        <f aca="false">IF($S1196="","",IF(COUNTIF($S$2:$S$2991,$S1196)&gt;1,"DUPLICATE","OK"))</f>
        <v/>
      </c>
      <c r="U1196" s="0" t="str">
        <f aca="false">IF($L1196="","",IFERROR(VLOOKUP(--$L1196,MM_Income!$Z$5:$AC$204,3,FALSE()),"UNMAPPED"))</f>
        <v/>
      </c>
    </row>
    <row r="1197" customFormat="false" ht="13.5" hidden="false" customHeight="false" outlineLevel="0" collapsed="false">
      <c r="A1197" s="1" t="str">
        <f aca="false">IF($C1197="","",Controls!$B$7)</f>
        <v/>
      </c>
      <c r="B1197" s="1" t="str">
        <f aca="false">IF($H1197="","",YEAR($H1197)&amp;"-Q"&amp;ROUNDUP(MONTH($H1197)/3,0))</f>
        <v/>
      </c>
      <c r="S1197" s="1" t="str">
        <f aca="false">IF($C1197="","",$C1197&amp;"|"&amp;$E1197&amp;"|"&amp;$F1197&amp;"|"&amp;$L1197&amp;"|"&amp;$P1197&amp;"|"&amp;TEXT($H1197,"yyyy-mm-dd"))</f>
        <v/>
      </c>
      <c r="T1197" s="1" t="str">
        <f aca="false">IF($S1197="","",IF(COUNTIF($S$2:$S$2991,$S1197)&gt;1,"DUPLICATE","OK"))</f>
        <v/>
      </c>
      <c r="U1197" s="0" t="str">
        <f aca="false">IF($L1197="","",IFERROR(VLOOKUP(--$L1197,MM_Income!$Z$5:$AC$204,3,FALSE()),"UNMAPPED"))</f>
        <v/>
      </c>
    </row>
    <row r="1198" customFormat="false" ht="13.5" hidden="false" customHeight="false" outlineLevel="0" collapsed="false">
      <c r="A1198" s="1" t="str">
        <f aca="false">IF($C1198="","",Controls!$B$7)</f>
        <v/>
      </c>
      <c r="B1198" s="1" t="str">
        <f aca="false">IF($H1198="","",YEAR($H1198)&amp;"-Q"&amp;ROUNDUP(MONTH($H1198)/3,0))</f>
        <v/>
      </c>
      <c r="S1198" s="1" t="str">
        <f aca="false">IF($C1198="","",$C1198&amp;"|"&amp;$E1198&amp;"|"&amp;$F1198&amp;"|"&amp;$L1198&amp;"|"&amp;$P1198&amp;"|"&amp;TEXT($H1198,"yyyy-mm-dd"))</f>
        <v/>
      </c>
      <c r="T1198" s="1" t="str">
        <f aca="false">IF($S1198="","",IF(COUNTIF($S$2:$S$2991,$S1198)&gt;1,"DUPLICATE","OK"))</f>
        <v/>
      </c>
      <c r="U1198" s="0" t="str">
        <f aca="false">IF($L1198="","",IFERROR(VLOOKUP(--$L1198,MM_Income!$Z$5:$AC$204,3,FALSE()),"UNMAPPED"))</f>
        <v/>
      </c>
    </row>
    <row r="1199" customFormat="false" ht="13.5" hidden="false" customHeight="false" outlineLevel="0" collapsed="false">
      <c r="A1199" s="1" t="str">
        <f aca="false">IF($C1199="","",Controls!$B$7)</f>
        <v/>
      </c>
      <c r="B1199" s="1" t="str">
        <f aca="false">IF($H1199="","",YEAR($H1199)&amp;"-Q"&amp;ROUNDUP(MONTH($H1199)/3,0))</f>
        <v/>
      </c>
      <c r="S1199" s="1" t="str">
        <f aca="false">IF($C1199="","",$C1199&amp;"|"&amp;$E1199&amp;"|"&amp;$F1199&amp;"|"&amp;$L1199&amp;"|"&amp;$P1199&amp;"|"&amp;TEXT($H1199,"yyyy-mm-dd"))</f>
        <v/>
      </c>
      <c r="T1199" s="1" t="str">
        <f aca="false">IF($S1199="","",IF(COUNTIF($S$2:$S$2991,$S1199)&gt;1,"DUPLICATE","OK"))</f>
        <v/>
      </c>
      <c r="U1199" s="0" t="str">
        <f aca="false">IF($L1199="","",IFERROR(VLOOKUP(--$L1199,MM_Income!$Z$5:$AC$204,3,FALSE()),"UNMAPPED"))</f>
        <v/>
      </c>
    </row>
    <row r="1200" customFormat="false" ht="13.5" hidden="false" customHeight="false" outlineLevel="0" collapsed="false">
      <c r="A1200" s="1" t="str">
        <f aca="false">IF($C1200="","",Controls!$B$7)</f>
        <v/>
      </c>
      <c r="B1200" s="1" t="str">
        <f aca="false">IF($H1200="","",YEAR($H1200)&amp;"-Q"&amp;ROUNDUP(MONTH($H1200)/3,0))</f>
        <v/>
      </c>
      <c r="S1200" s="1" t="str">
        <f aca="false">IF($C1200="","",$C1200&amp;"|"&amp;$E1200&amp;"|"&amp;$F1200&amp;"|"&amp;$L1200&amp;"|"&amp;$P1200&amp;"|"&amp;TEXT($H1200,"yyyy-mm-dd"))</f>
        <v/>
      </c>
      <c r="T1200" s="1" t="str">
        <f aca="false">IF($S1200="","",IF(COUNTIF($S$2:$S$2991,$S1200)&gt;1,"DUPLICATE","OK"))</f>
        <v/>
      </c>
      <c r="U1200" s="0" t="str">
        <f aca="false">IF($L1200="","",IFERROR(VLOOKUP(--$L1200,MM_Income!$Z$5:$AC$204,3,FALSE()),"UNMAPPED"))</f>
        <v/>
      </c>
    </row>
    <row r="1201" customFormat="false" ht="13.5" hidden="false" customHeight="false" outlineLevel="0" collapsed="false">
      <c r="A1201" s="1" t="str">
        <f aca="false">IF($C1201="","",Controls!$B$7)</f>
        <v/>
      </c>
      <c r="B1201" s="1" t="str">
        <f aca="false">IF($H1201="","",YEAR($H1201)&amp;"-Q"&amp;ROUNDUP(MONTH($H1201)/3,0))</f>
        <v/>
      </c>
      <c r="S1201" s="1" t="str">
        <f aca="false">IF($C1201="","",$C1201&amp;"|"&amp;$E1201&amp;"|"&amp;$F1201&amp;"|"&amp;$L1201&amp;"|"&amp;$P1201&amp;"|"&amp;TEXT($H1201,"yyyy-mm-dd"))</f>
        <v/>
      </c>
      <c r="T1201" s="1" t="str">
        <f aca="false">IF($S1201="","",IF(COUNTIF($S$2:$S$2991,$S1201)&gt;1,"DUPLICATE","OK"))</f>
        <v/>
      </c>
      <c r="U1201" s="0" t="str">
        <f aca="false">IF($L1201="","",IFERROR(VLOOKUP(--$L1201,MM_Income!$Z$5:$AC$204,3,FALSE()),"UNMAPPED"))</f>
        <v/>
      </c>
    </row>
    <row r="1202" customFormat="false" ht="13.5" hidden="false" customHeight="false" outlineLevel="0" collapsed="false">
      <c r="A1202" s="1" t="str">
        <f aca="false">IF($C1202="","",Controls!$B$7)</f>
        <v/>
      </c>
      <c r="B1202" s="1" t="str">
        <f aca="false">IF($H1202="","",YEAR($H1202)&amp;"-Q"&amp;ROUNDUP(MONTH($H1202)/3,0))</f>
        <v/>
      </c>
      <c r="S1202" s="1" t="str">
        <f aca="false">IF($C1202="","",$C1202&amp;"|"&amp;$E1202&amp;"|"&amp;$F1202&amp;"|"&amp;$L1202&amp;"|"&amp;$P1202&amp;"|"&amp;TEXT($H1202,"yyyy-mm-dd"))</f>
        <v/>
      </c>
      <c r="T1202" s="1" t="str">
        <f aca="false">IF($S1202="","",IF(COUNTIF($S$2:$S$2991,$S1202)&gt;1,"DUPLICATE","OK"))</f>
        <v/>
      </c>
      <c r="U1202" s="0" t="str">
        <f aca="false">IF($L1202="","",IFERROR(VLOOKUP(--$L1202,MM_Income!$Z$5:$AC$204,3,FALSE()),"UNMAPPED"))</f>
        <v/>
      </c>
    </row>
    <row r="1203" customFormat="false" ht="13.5" hidden="false" customHeight="false" outlineLevel="0" collapsed="false">
      <c r="A1203" s="1" t="str">
        <f aca="false">IF($C1203="","",Controls!$B$7)</f>
        <v/>
      </c>
      <c r="B1203" s="1" t="str">
        <f aca="false">IF($H1203="","",YEAR($H1203)&amp;"-Q"&amp;ROUNDUP(MONTH($H1203)/3,0))</f>
        <v/>
      </c>
      <c r="S1203" s="1" t="str">
        <f aca="false">IF($C1203="","",$C1203&amp;"|"&amp;$E1203&amp;"|"&amp;$F1203&amp;"|"&amp;$L1203&amp;"|"&amp;$P1203&amp;"|"&amp;TEXT($H1203,"yyyy-mm-dd"))</f>
        <v/>
      </c>
      <c r="T1203" s="1" t="str">
        <f aca="false">IF($S1203="","",IF(COUNTIF($S$2:$S$2991,$S1203)&gt;1,"DUPLICATE","OK"))</f>
        <v/>
      </c>
      <c r="U1203" s="0" t="str">
        <f aca="false">IF($L1203="","",IFERROR(VLOOKUP(--$L1203,MM_Income!$Z$5:$AC$204,3,FALSE()),"UNMAPPED"))</f>
        <v/>
      </c>
    </row>
    <row r="1204" customFormat="false" ht="13.5" hidden="false" customHeight="false" outlineLevel="0" collapsed="false">
      <c r="A1204" s="1" t="str">
        <f aca="false">IF($C1204="","",Controls!$B$7)</f>
        <v/>
      </c>
      <c r="B1204" s="1" t="str">
        <f aca="false">IF($H1204="","",YEAR($H1204)&amp;"-Q"&amp;ROUNDUP(MONTH($H1204)/3,0))</f>
        <v/>
      </c>
      <c r="S1204" s="1" t="str">
        <f aca="false">IF($C1204="","",$C1204&amp;"|"&amp;$E1204&amp;"|"&amp;$F1204&amp;"|"&amp;$L1204&amp;"|"&amp;$P1204&amp;"|"&amp;TEXT($H1204,"yyyy-mm-dd"))</f>
        <v/>
      </c>
      <c r="T1204" s="1" t="str">
        <f aca="false">IF($S1204="","",IF(COUNTIF($S$2:$S$2991,$S1204)&gt;1,"DUPLICATE","OK"))</f>
        <v/>
      </c>
      <c r="U1204" s="0" t="str">
        <f aca="false">IF($L1204="","",IFERROR(VLOOKUP(--$L1204,MM_Income!$Z$5:$AC$204,3,FALSE()),"UNMAPPED"))</f>
        <v/>
      </c>
    </row>
    <row r="1205" customFormat="false" ht="13.5" hidden="false" customHeight="false" outlineLevel="0" collapsed="false">
      <c r="A1205" s="1" t="str">
        <f aca="false">IF($C1205="","",Controls!$B$7)</f>
        <v/>
      </c>
      <c r="B1205" s="1" t="str">
        <f aca="false">IF($H1205="","",YEAR($H1205)&amp;"-Q"&amp;ROUNDUP(MONTH($H1205)/3,0))</f>
        <v/>
      </c>
      <c r="S1205" s="1" t="str">
        <f aca="false">IF($C1205="","",$C1205&amp;"|"&amp;$E1205&amp;"|"&amp;$F1205&amp;"|"&amp;$L1205&amp;"|"&amp;$P1205&amp;"|"&amp;TEXT($H1205,"yyyy-mm-dd"))</f>
        <v/>
      </c>
      <c r="T1205" s="1" t="str">
        <f aca="false">IF($S1205="","",IF(COUNTIF($S$2:$S$2991,$S1205)&gt;1,"DUPLICATE","OK"))</f>
        <v/>
      </c>
      <c r="U1205" s="0" t="str">
        <f aca="false">IF($L1205="","",IFERROR(VLOOKUP(--$L1205,MM_Income!$Z$5:$AC$204,3,FALSE()),"UNMAPPED"))</f>
        <v/>
      </c>
    </row>
    <row r="1206" customFormat="false" ht="13.5" hidden="false" customHeight="false" outlineLevel="0" collapsed="false">
      <c r="A1206" s="1" t="str">
        <f aca="false">IF($C1206="","",Controls!$B$7)</f>
        <v/>
      </c>
      <c r="B1206" s="1" t="str">
        <f aca="false">IF($H1206="","",YEAR($H1206)&amp;"-Q"&amp;ROUNDUP(MONTH($H1206)/3,0))</f>
        <v/>
      </c>
      <c r="S1206" s="1" t="str">
        <f aca="false">IF($C1206="","",$C1206&amp;"|"&amp;$E1206&amp;"|"&amp;$F1206&amp;"|"&amp;$L1206&amp;"|"&amp;$P1206&amp;"|"&amp;TEXT($H1206,"yyyy-mm-dd"))</f>
        <v/>
      </c>
      <c r="T1206" s="1" t="str">
        <f aca="false">IF($S1206="","",IF(COUNTIF($S$2:$S$2991,$S1206)&gt;1,"DUPLICATE","OK"))</f>
        <v/>
      </c>
      <c r="U1206" s="0" t="str">
        <f aca="false">IF($L1206="","",IFERROR(VLOOKUP(--$L1206,MM_Income!$Z$5:$AC$204,3,FALSE()),"UNMAPPED"))</f>
        <v/>
      </c>
    </row>
    <row r="1207" customFormat="false" ht="13.5" hidden="false" customHeight="false" outlineLevel="0" collapsed="false">
      <c r="A1207" s="1" t="str">
        <f aca="false">IF($C1207="","",Controls!$B$7)</f>
        <v/>
      </c>
      <c r="B1207" s="1" t="str">
        <f aca="false">IF($H1207="","",YEAR($H1207)&amp;"-Q"&amp;ROUNDUP(MONTH($H1207)/3,0))</f>
        <v/>
      </c>
      <c r="S1207" s="1" t="str">
        <f aca="false">IF($C1207="","",$C1207&amp;"|"&amp;$E1207&amp;"|"&amp;$F1207&amp;"|"&amp;$L1207&amp;"|"&amp;$P1207&amp;"|"&amp;TEXT($H1207,"yyyy-mm-dd"))</f>
        <v/>
      </c>
      <c r="T1207" s="1" t="str">
        <f aca="false">IF($S1207="","",IF(COUNTIF($S$2:$S$2991,$S1207)&gt;1,"DUPLICATE","OK"))</f>
        <v/>
      </c>
      <c r="U1207" s="0" t="str">
        <f aca="false">IF($L1207="","",IFERROR(VLOOKUP(--$L1207,MM_Income!$Z$5:$AC$204,3,FALSE()),"UNMAPPED"))</f>
        <v/>
      </c>
    </row>
    <row r="1208" customFormat="false" ht="13.5" hidden="false" customHeight="false" outlineLevel="0" collapsed="false">
      <c r="A1208" s="1" t="str">
        <f aca="false">IF($C1208="","",Controls!$B$7)</f>
        <v/>
      </c>
      <c r="B1208" s="1" t="str">
        <f aca="false">IF($H1208="","",YEAR($H1208)&amp;"-Q"&amp;ROUNDUP(MONTH($H1208)/3,0))</f>
        <v/>
      </c>
      <c r="S1208" s="1" t="str">
        <f aca="false">IF($C1208="","",$C1208&amp;"|"&amp;$E1208&amp;"|"&amp;$F1208&amp;"|"&amp;$L1208&amp;"|"&amp;$P1208&amp;"|"&amp;TEXT($H1208,"yyyy-mm-dd"))</f>
        <v/>
      </c>
      <c r="T1208" s="1" t="str">
        <f aca="false">IF($S1208="","",IF(COUNTIF($S$2:$S$2991,$S1208)&gt;1,"DUPLICATE","OK"))</f>
        <v/>
      </c>
      <c r="U1208" s="0" t="str">
        <f aca="false">IF($L1208="","",IFERROR(VLOOKUP(--$L1208,MM_Income!$Z$5:$AC$204,3,FALSE()),"UNMAPPED"))</f>
        <v/>
      </c>
    </row>
    <row r="1209" customFormat="false" ht="13.5" hidden="false" customHeight="false" outlineLevel="0" collapsed="false">
      <c r="A1209" s="1" t="str">
        <f aca="false">IF($C1209="","",Controls!$B$7)</f>
        <v/>
      </c>
      <c r="B1209" s="1" t="str">
        <f aca="false">IF($H1209="","",YEAR($H1209)&amp;"-Q"&amp;ROUNDUP(MONTH($H1209)/3,0))</f>
        <v/>
      </c>
      <c r="S1209" s="1" t="str">
        <f aca="false">IF($C1209="","",$C1209&amp;"|"&amp;$E1209&amp;"|"&amp;$F1209&amp;"|"&amp;$L1209&amp;"|"&amp;$P1209&amp;"|"&amp;TEXT($H1209,"yyyy-mm-dd"))</f>
        <v/>
      </c>
      <c r="T1209" s="1" t="str">
        <f aca="false">IF($S1209="","",IF(COUNTIF($S$2:$S$2991,$S1209)&gt;1,"DUPLICATE","OK"))</f>
        <v/>
      </c>
      <c r="U1209" s="0" t="str">
        <f aca="false">IF($L1209="","",IFERROR(VLOOKUP(--$L1209,MM_Income!$Z$5:$AC$204,3,FALSE()),"UNMAPPED"))</f>
        <v/>
      </c>
    </row>
    <row r="1210" customFormat="false" ht="13.5" hidden="false" customHeight="false" outlineLevel="0" collapsed="false">
      <c r="A1210" s="1" t="str">
        <f aca="false">IF($C1210="","",Controls!$B$7)</f>
        <v/>
      </c>
      <c r="B1210" s="1" t="str">
        <f aca="false">IF($H1210="","",YEAR($H1210)&amp;"-Q"&amp;ROUNDUP(MONTH($H1210)/3,0))</f>
        <v/>
      </c>
      <c r="S1210" s="1" t="str">
        <f aca="false">IF($C1210="","",$C1210&amp;"|"&amp;$E1210&amp;"|"&amp;$F1210&amp;"|"&amp;$L1210&amp;"|"&amp;$P1210&amp;"|"&amp;TEXT($H1210,"yyyy-mm-dd"))</f>
        <v/>
      </c>
      <c r="T1210" s="1" t="str">
        <f aca="false">IF($S1210="","",IF(COUNTIF($S$2:$S$2991,$S1210)&gt;1,"DUPLICATE","OK"))</f>
        <v/>
      </c>
      <c r="U1210" s="0" t="str">
        <f aca="false">IF($L1210="","",IFERROR(VLOOKUP(--$L1210,MM_Income!$Z$5:$AC$204,3,FALSE()),"UNMAPPED"))</f>
        <v/>
      </c>
    </row>
    <row r="1211" customFormat="false" ht="13.5" hidden="false" customHeight="false" outlineLevel="0" collapsed="false">
      <c r="A1211" s="1" t="str">
        <f aca="false">IF($C1211="","",Controls!$B$7)</f>
        <v/>
      </c>
      <c r="B1211" s="1" t="str">
        <f aca="false">IF($H1211="","",YEAR($H1211)&amp;"-Q"&amp;ROUNDUP(MONTH($H1211)/3,0))</f>
        <v/>
      </c>
      <c r="S1211" s="1" t="str">
        <f aca="false">IF($C1211="","",$C1211&amp;"|"&amp;$E1211&amp;"|"&amp;$F1211&amp;"|"&amp;$L1211&amp;"|"&amp;$P1211&amp;"|"&amp;TEXT($H1211,"yyyy-mm-dd"))</f>
        <v/>
      </c>
      <c r="T1211" s="1" t="str">
        <f aca="false">IF($S1211="","",IF(COUNTIF($S$2:$S$2991,$S1211)&gt;1,"DUPLICATE","OK"))</f>
        <v/>
      </c>
      <c r="U1211" s="0" t="str">
        <f aca="false">IF($L1211="","",IFERROR(VLOOKUP(--$L1211,MM_Income!$Z$5:$AC$204,3,FALSE()),"UNMAPPED"))</f>
        <v/>
      </c>
    </row>
    <row r="1212" customFormat="false" ht="13.5" hidden="false" customHeight="false" outlineLevel="0" collapsed="false">
      <c r="A1212" s="1" t="str">
        <f aca="false">IF($C1212="","",Controls!$B$7)</f>
        <v/>
      </c>
      <c r="B1212" s="1" t="str">
        <f aca="false">IF($H1212="","",YEAR($H1212)&amp;"-Q"&amp;ROUNDUP(MONTH($H1212)/3,0))</f>
        <v/>
      </c>
      <c r="S1212" s="1" t="str">
        <f aca="false">IF($C1212="","",$C1212&amp;"|"&amp;$E1212&amp;"|"&amp;$F1212&amp;"|"&amp;$L1212&amp;"|"&amp;$P1212&amp;"|"&amp;TEXT($H1212,"yyyy-mm-dd"))</f>
        <v/>
      </c>
      <c r="T1212" s="1" t="str">
        <f aca="false">IF($S1212="","",IF(COUNTIF($S$2:$S$2991,$S1212)&gt;1,"DUPLICATE","OK"))</f>
        <v/>
      </c>
      <c r="U1212" s="0" t="str">
        <f aca="false">IF($L1212="","",IFERROR(VLOOKUP(--$L1212,MM_Income!$Z$5:$AC$204,3,FALSE()),"UNMAPPED"))</f>
        <v/>
      </c>
    </row>
    <row r="1213" customFormat="false" ht="13.5" hidden="false" customHeight="false" outlineLevel="0" collapsed="false">
      <c r="A1213" s="1" t="str">
        <f aca="false">IF($C1213="","",Controls!$B$7)</f>
        <v/>
      </c>
      <c r="B1213" s="1" t="str">
        <f aca="false">IF($H1213="","",YEAR($H1213)&amp;"-Q"&amp;ROUNDUP(MONTH($H1213)/3,0))</f>
        <v/>
      </c>
      <c r="S1213" s="1" t="str">
        <f aca="false">IF($C1213="","",$C1213&amp;"|"&amp;$E1213&amp;"|"&amp;$F1213&amp;"|"&amp;$L1213&amp;"|"&amp;$P1213&amp;"|"&amp;TEXT($H1213,"yyyy-mm-dd"))</f>
        <v/>
      </c>
      <c r="T1213" s="1" t="str">
        <f aca="false">IF($S1213="","",IF(COUNTIF($S$2:$S$2991,$S1213)&gt;1,"DUPLICATE","OK"))</f>
        <v/>
      </c>
      <c r="U1213" s="0" t="str">
        <f aca="false">IF($L1213="","",IFERROR(VLOOKUP(--$L1213,MM_Income!$Z$5:$AC$204,3,FALSE()),"UNMAPPED"))</f>
        <v/>
      </c>
    </row>
    <row r="1214" customFormat="false" ht="13.5" hidden="false" customHeight="false" outlineLevel="0" collapsed="false">
      <c r="A1214" s="1" t="str">
        <f aca="false">IF($C1214="","",Controls!$B$7)</f>
        <v/>
      </c>
      <c r="B1214" s="1" t="str">
        <f aca="false">IF($H1214="","",YEAR($H1214)&amp;"-Q"&amp;ROUNDUP(MONTH($H1214)/3,0))</f>
        <v/>
      </c>
      <c r="S1214" s="1" t="str">
        <f aca="false">IF($C1214="","",$C1214&amp;"|"&amp;$E1214&amp;"|"&amp;$F1214&amp;"|"&amp;$L1214&amp;"|"&amp;$P1214&amp;"|"&amp;TEXT($H1214,"yyyy-mm-dd"))</f>
        <v/>
      </c>
      <c r="T1214" s="1" t="str">
        <f aca="false">IF($S1214="","",IF(COUNTIF($S$2:$S$2991,$S1214)&gt;1,"DUPLICATE","OK"))</f>
        <v/>
      </c>
      <c r="U1214" s="0" t="str">
        <f aca="false">IF($L1214="","",IFERROR(VLOOKUP(--$L1214,MM_Income!$Z$5:$AC$204,3,FALSE()),"UNMAPPED"))</f>
        <v/>
      </c>
    </row>
    <row r="1215" customFormat="false" ht="13.5" hidden="false" customHeight="false" outlineLevel="0" collapsed="false">
      <c r="A1215" s="1" t="str">
        <f aca="false">IF($C1215="","",Controls!$B$7)</f>
        <v/>
      </c>
      <c r="B1215" s="1" t="str">
        <f aca="false">IF($H1215="","",YEAR($H1215)&amp;"-Q"&amp;ROUNDUP(MONTH($H1215)/3,0))</f>
        <v/>
      </c>
      <c r="S1215" s="1" t="str">
        <f aca="false">IF($C1215="","",$C1215&amp;"|"&amp;$E1215&amp;"|"&amp;$F1215&amp;"|"&amp;$L1215&amp;"|"&amp;$P1215&amp;"|"&amp;TEXT($H1215,"yyyy-mm-dd"))</f>
        <v/>
      </c>
      <c r="T1215" s="1" t="str">
        <f aca="false">IF($S1215="","",IF(COUNTIF($S$2:$S$2991,$S1215)&gt;1,"DUPLICATE","OK"))</f>
        <v/>
      </c>
      <c r="U1215" s="0" t="str">
        <f aca="false">IF($L1215="","",IFERROR(VLOOKUP(--$L1215,MM_Income!$Z$5:$AC$204,3,FALSE()),"UNMAPPED"))</f>
        <v/>
      </c>
    </row>
    <row r="1216" customFormat="false" ht="13.5" hidden="false" customHeight="false" outlineLevel="0" collapsed="false">
      <c r="A1216" s="1" t="str">
        <f aca="false">IF($C1216="","",Controls!$B$7)</f>
        <v/>
      </c>
      <c r="B1216" s="1" t="str">
        <f aca="false">IF($H1216="","",YEAR($H1216)&amp;"-Q"&amp;ROUNDUP(MONTH($H1216)/3,0))</f>
        <v/>
      </c>
      <c r="S1216" s="1" t="str">
        <f aca="false">IF($C1216="","",$C1216&amp;"|"&amp;$E1216&amp;"|"&amp;$F1216&amp;"|"&amp;$L1216&amp;"|"&amp;$P1216&amp;"|"&amp;TEXT($H1216,"yyyy-mm-dd"))</f>
        <v/>
      </c>
      <c r="T1216" s="1" t="str">
        <f aca="false">IF($S1216="","",IF(COUNTIF($S$2:$S$2991,$S1216)&gt;1,"DUPLICATE","OK"))</f>
        <v/>
      </c>
      <c r="U1216" s="0" t="str">
        <f aca="false">IF($L1216="","",IFERROR(VLOOKUP(--$L1216,MM_Income!$Z$5:$AC$204,3,FALSE()),"UNMAPPED"))</f>
        <v/>
      </c>
    </row>
    <row r="1217" customFormat="false" ht="13.5" hidden="false" customHeight="false" outlineLevel="0" collapsed="false">
      <c r="A1217" s="1" t="str">
        <f aca="false">IF($C1217="","",Controls!$B$7)</f>
        <v/>
      </c>
      <c r="B1217" s="1" t="str">
        <f aca="false">IF($H1217="","",YEAR($H1217)&amp;"-Q"&amp;ROUNDUP(MONTH($H1217)/3,0))</f>
        <v/>
      </c>
      <c r="S1217" s="1" t="str">
        <f aca="false">IF($C1217="","",$C1217&amp;"|"&amp;$E1217&amp;"|"&amp;$F1217&amp;"|"&amp;$L1217&amp;"|"&amp;$P1217&amp;"|"&amp;TEXT($H1217,"yyyy-mm-dd"))</f>
        <v/>
      </c>
      <c r="T1217" s="1" t="str">
        <f aca="false">IF($S1217="","",IF(COUNTIF($S$2:$S$2991,$S1217)&gt;1,"DUPLICATE","OK"))</f>
        <v/>
      </c>
      <c r="U1217" s="0" t="str">
        <f aca="false">IF($L1217="","",IFERROR(VLOOKUP(--$L1217,MM_Income!$Z$5:$AC$204,3,FALSE()),"UNMAPPED"))</f>
        <v/>
      </c>
    </row>
    <row r="1218" customFormat="false" ht="13.5" hidden="false" customHeight="false" outlineLevel="0" collapsed="false">
      <c r="A1218" s="1" t="str">
        <f aca="false">IF($C1218="","",Controls!$B$7)</f>
        <v/>
      </c>
      <c r="B1218" s="1" t="str">
        <f aca="false">IF($H1218="","",YEAR($H1218)&amp;"-Q"&amp;ROUNDUP(MONTH($H1218)/3,0))</f>
        <v/>
      </c>
      <c r="S1218" s="1" t="str">
        <f aca="false">IF($C1218="","",$C1218&amp;"|"&amp;$E1218&amp;"|"&amp;$F1218&amp;"|"&amp;$L1218&amp;"|"&amp;$P1218&amp;"|"&amp;TEXT($H1218,"yyyy-mm-dd"))</f>
        <v/>
      </c>
      <c r="T1218" s="1" t="str">
        <f aca="false">IF($S1218="","",IF(COUNTIF($S$2:$S$2991,$S1218)&gt;1,"DUPLICATE","OK"))</f>
        <v/>
      </c>
      <c r="U1218" s="0" t="str">
        <f aca="false">IF($L1218="","",IFERROR(VLOOKUP(--$L1218,MM_Income!$Z$5:$AC$204,3,FALSE()),"UNMAPPED"))</f>
        <v/>
      </c>
    </row>
    <row r="1219" customFormat="false" ht="13.5" hidden="false" customHeight="false" outlineLevel="0" collapsed="false">
      <c r="A1219" s="1" t="str">
        <f aca="false">IF($C1219="","",Controls!$B$7)</f>
        <v/>
      </c>
      <c r="B1219" s="1" t="str">
        <f aca="false">IF($H1219="","",YEAR($H1219)&amp;"-Q"&amp;ROUNDUP(MONTH($H1219)/3,0))</f>
        <v/>
      </c>
      <c r="S1219" s="1" t="str">
        <f aca="false">IF($C1219="","",$C1219&amp;"|"&amp;$E1219&amp;"|"&amp;$F1219&amp;"|"&amp;$L1219&amp;"|"&amp;$P1219&amp;"|"&amp;TEXT($H1219,"yyyy-mm-dd"))</f>
        <v/>
      </c>
      <c r="T1219" s="1" t="str">
        <f aca="false">IF($S1219="","",IF(COUNTIF($S$2:$S$2991,$S1219)&gt;1,"DUPLICATE","OK"))</f>
        <v/>
      </c>
      <c r="U1219" s="0" t="str">
        <f aca="false">IF($L1219="","",IFERROR(VLOOKUP(--$L1219,MM_Income!$Z$5:$AC$204,3,FALSE()),"UNMAPPED"))</f>
        <v/>
      </c>
    </row>
    <row r="1220" customFormat="false" ht="13.5" hidden="false" customHeight="false" outlineLevel="0" collapsed="false">
      <c r="A1220" s="1" t="str">
        <f aca="false">IF($C1220="","",Controls!$B$7)</f>
        <v/>
      </c>
      <c r="B1220" s="1" t="str">
        <f aca="false">IF($H1220="","",YEAR($H1220)&amp;"-Q"&amp;ROUNDUP(MONTH($H1220)/3,0))</f>
        <v/>
      </c>
      <c r="S1220" s="1" t="str">
        <f aca="false">IF($C1220="","",$C1220&amp;"|"&amp;$E1220&amp;"|"&amp;$F1220&amp;"|"&amp;$L1220&amp;"|"&amp;$P1220&amp;"|"&amp;TEXT($H1220,"yyyy-mm-dd"))</f>
        <v/>
      </c>
      <c r="T1220" s="1" t="str">
        <f aca="false">IF($S1220="","",IF(COUNTIF($S$2:$S$2991,$S1220)&gt;1,"DUPLICATE","OK"))</f>
        <v/>
      </c>
      <c r="U1220" s="0" t="str">
        <f aca="false">IF($L1220="","",IFERROR(VLOOKUP(--$L1220,MM_Income!$Z$5:$AC$204,3,FALSE()),"UNMAPPED"))</f>
        <v/>
      </c>
    </row>
    <row r="1221" customFormat="false" ht="13.5" hidden="false" customHeight="false" outlineLevel="0" collapsed="false">
      <c r="A1221" s="1" t="str">
        <f aca="false">IF($C1221="","",Controls!$B$7)</f>
        <v/>
      </c>
      <c r="B1221" s="1" t="str">
        <f aca="false">IF($H1221="","",YEAR($H1221)&amp;"-Q"&amp;ROUNDUP(MONTH($H1221)/3,0))</f>
        <v/>
      </c>
      <c r="S1221" s="1" t="str">
        <f aca="false">IF($C1221="","",$C1221&amp;"|"&amp;$E1221&amp;"|"&amp;$F1221&amp;"|"&amp;$L1221&amp;"|"&amp;$P1221&amp;"|"&amp;TEXT($H1221,"yyyy-mm-dd"))</f>
        <v/>
      </c>
      <c r="T1221" s="1" t="str">
        <f aca="false">IF($S1221="","",IF(COUNTIF($S$2:$S$2991,$S1221)&gt;1,"DUPLICATE","OK"))</f>
        <v/>
      </c>
      <c r="U1221" s="0" t="str">
        <f aca="false">IF($L1221="","",IFERROR(VLOOKUP(--$L1221,MM_Income!$Z$5:$AC$204,3,FALSE()),"UNMAPPED"))</f>
        <v/>
      </c>
    </row>
    <row r="1222" customFormat="false" ht="13.5" hidden="false" customHeight="false" outlineLevel="0" collapsed="false">
      <c r="A1222" s="1" t="str">
        <f aca="false">IF($C1222="","",Controls!$B$7)</f>
        <v/>
      </c>
      <c r="B1222" s="1" t="str">
        <f aca="false">IF($H1222="","",YEAR($H1222)&amp;"-Q"&amp;ROUNDUP(MONTH($H1222)/3,0))</f>
        <v/>
      </c>
      <c r="S1222" s="1" t="str">
        <f aca="false">IF($C1222="","",$C1222&amp;"|"&amp;$E1222&amp;"|"&amp;$F1222&amp;"|"&amp;$L1222&amp;"|"&amp;$P1222&amp;"|"&amp;TEXT($H1222,"yyyy-mm-dd"))</f>
        <v/>
      </c>
      <c r="T1222" s="1" t="str">
        <f aca="false">IF($S1222="","",IF(COUNTIF($S$2:$S$2991,$S1222)&gt;1,"DUPLICATE","OK"))</f>
        <v/>
      </c>
      <c r="U1222" s="0" t="str">
        <f aca="false">IF($L1222="","",IFERROR(VLOOKUP(--$L1222,MM_Income!$Z$5:$AC$204,3,FALSE()),"UNMAPPED"))</f>
        <v/>
      </c>
    </row>
    <row r="1223" customFormat="false" ht="13.5" hidden="false" customHeight="false" outlineLevel="0" collapsed="false">
      <c r="A1223" s="1" t="str">
        <f aca="false">IF($C1223="","",Controls!$B$7)</f>
        <v/>
      </c>
      <c r="B1223" s="1" t="str">
        <f aca="false">IF($H1223="","",YEAR($H1223)&amp;"-Q"&amp;ROUNDUP(MONTH($H1223)/3,0))</f>
        <v/>
      </c>
      <c r="S1223" s="1" t="str">
        <f aca="false">IF($C1223="","",$C1223&amp;"|"&amp;$E1223&amp;"|"&amp;$F1223&amp;"|"&amp;$L1223&amp;"|"&amp;$P1223&amp;"|"&amp;TEXT($H1223,"yyyy-mm-dd"))</f>
        <v/>
      </c>
      <c r="T1223" s="1" t="str">
        <f aca="false">IF($S1223="","",IF(COUNTIF($S$2:$S$2991,$S1223)&gt;1,"DUPLICATE","OK"))</f>
        <v/>
      </c>
      <c r="U1223" s="0" t="str">
        <f aca="false">IF($L1223="","",IFERROR(VLOOKUP(--$L1223,MM_Income!$Z$5:$AC$204,3,FALSE()),"UNMAPPED"))</f>
        <v/>
      </c>
    </row>
    <row r="1224" customFormat="false" ht="13.5" hidden="false" customHeight="false" outlineLevel="0" collapsed="false">
      <c r="A1224" s="1" t="str">
        <f aca="false">IF($C1224="","",Controls!$B$7)</f>
        <v/>
      </c>
      <c r="B1224" s="1" t="str">
        <f aca="false">IF($H1224="","",YEAR($H1224)&amp;"-Q"&amp;ROUNDUP(MONTH($H1224)/3,0))</f>
        <v/>
      </c>
      <c r="S1224" s="1" t="str">
        <f aca="false">IF($C1224="","",$C1224&amp;"|"&amp;$E1224&amp;"|"&amp;$F1224&amp;"|"&amp;$L1224&amp;"|"&amp;$P1224&amp;"|"&amp;TEXT($H1224,"yyyy-mm-dd"))</f>
        <v/>
      </c>
      <c r="T1224" s="1" t="str">
        <f aca="false">IF($S1224="","",IF(COUNTIF($S$2:$S$2991,$S1224)&gt;1,"DUPLICATE","OK"))</f>
        <v/>
      </c>
      <c r="U1224" s="0" t="str">
        <f aca="false">IF($L1224="","",IFERROR(VLOOKUP(--$L1224,MM_Income!$Z$5:$AC$204,3,FALSE()),"UNMAPPED"))</f>
        <v/>
      </c>
    </row>
    <row r="1225" customFormat="false" ht="13.5" hidden="false" customHeight="false" outlineLevel="0" collapsed="false">
      <c r="A1225" s="1" t="str">
        <f aca="false">IF($C1225="","",Controls!$B$7)</f>
        <v/>
      </c>
      <c r="B1225" s="1" t="str">
        <f aca="false">IF($H1225="","",YEAR($H1225)&amp;"-Q"&amp;ROUNDUP(MONTH($H1225)/3,0))</f>
        <v/>
      </c>
      <c r="S1225" s="1" t="str">
        <f aca="false">IF($C1225="","",$C1225&amp;"|"&amp;$E1225&amp;"|"&amp;$F1225&amp;"|"&amp;$L1225&amp;"|"&amp;$P1225&amp;"|"&amp;TEXT($H1225,"yyyy-mm-dd"))</f>
        <v/>
      </c>
      <c r="T1225" s="1" t="str">
        <f aca="false">IF($S1225="","",IF(COUNTIF($S$2:$S$2991,$S1225)&gt;1,"DUPLICATE","OK"))</f>
        <v/>
      </c>
      <c r="U1225" s="0" t="str">
        <f aca="false">IF($L1225="","",IFERROR(VLOOKUP(--$L1225,MM_Income!$Z$5:$AC$204,3,FALSE()),"UNMAPPED"))</f>
        <v/>
      </c>
    </row>
    <row r="1226" customFormat="false" ht="13.5" hidden="false" customHeight="false" outlineLevel="0" collapsed="false">
      <c r="A1226" s="1" t="str">
        <f aca="false">IF($C1226="","",Controls!$B$7)</f>
        <v/>
      </c>
      <c r="B1226" s="1" t="str">
        <f aca="false">IF($H1226="","",YEAR($H1226)&amp;"-Q"&amp;ROUNDUP(MONTH($H1226)/3,0))</f>
        <v/>
      </c>
      <c r="S1226" s="1" t="str">
        <f aca="false">IF($C1226="","",$C1226&amp;"|"&amp;$E1226&amp;"|"&amp;$F1226&amp;"|"&amp;$L1226&amp;"|"&amp;$P1226&amp;"|"&amp;TEXT($H1226,"yyyy-mm-dd"))</f>
        <v/>
      </c>
      <c r="T1226" s="1" t="str">
        <f aca="false">IF($S1226="","",IF(COUNTIF($S$2:$S$2991,$S1226)&gt;1,"DUPLICATE","OK"))</f>
        <v/>
      </c>
      <c r="U1226" s="0" t="str">
        <f aca="false">IF($L1226="","",IFERROR(VLOOKUP(--$L1226,MM_Income!$Z$5:$AC$204,3,FALSE()),"UNMAPPED"))</f>
        <v/>
      </c>
    </row>
    <row r="1227" customFormat="false" ht="13.5" hidden="false" customHeight="false" outlineLevel="0" collapsed="false">
      <c r="A1227" s="1" t="str">
        <f aca="false">IF($C1227="","",Controls!$B$7)</f>
        <v/>
      </c>
      <c r="B1227" s="1" t="str">
        <f aca="false">IF($H1227="","",YEAR($H1227)&amp;"-Q"&amp;ROUNDUP(MONTH($H1227)/3,0))</f>
        <v/>
      </c>
      <c r="S1227" s="1" t="str">
        <f aca="false">IF($C1227="","",$C1227&amp;"|"&amp;$E1227&amp;"|"&amp;$F1227&amp;"|"&amp;$L1227&amp;"|"&amp;$P1227&amp;"|"&amp;TEXT($H1227,"yyyy-mm-dd"))</f>
        <v/>
      </c>
      <c r="T1227" s="1" t="str">
        <f aca="false">IF($S1227="","",IF(COUNTIF($S$2:$S$2991,$S1227)&gt;1,"DUPLICATE","OK"))</f>
        <v/>
      </c>
      <c r="U1227" s="0" t="str">
        <f aca="false">IF($L1227="","",IFERROR(VLOOKUP(--$L1227,MM_Income!$Z$5:$AC$204,3,FALSE()),"UNMAPPED"))</f>
        <v/>
      </c>
    </row>
    <row r="1228" customFormat="false" ht="13.5" hidden="false" customHeight="false" outlineLevel="0" collapsed="false">
      <c r="A1228" s="1" t="str">
        <f aca="false">IF($C1228="","",Controls!$B$7)</f>
        <v/>
      </c>
      <c r="B1228" s="1" t="str">
        <f aca="false">IF($H1228="","",YEAR($H1228)&amp;"-Q"&amp;ROUNDUP(MONTH($H1228)/3,0))</f>
        <v/>
      </c>
      <c r="S1228" s="1" t="str">
        <f aca="false">IF($C1228="","",$C1228&amp;"|"&amp;$E1228&amp;"|"&amp;$F1228&amp;"|"&amp;$L1228&amp;"|"&amp;$P1228&amp;"|"&amp;TEXT($H1228,"yyyy-mm-dd"))</f>
        <v/>
      </c>
      <c r="T1228" s="1" t="str">
        <f aca="false">IF($S1228="","",IF(COUNTIF($S$2:$S$2991,$S1228)&gt;1,"DUPLICATE","OK"))</f>
        <v/>
      </c>
      <c r="U1228" s="0" t="str">
        <f aca="false">IF($L1228="","",IFERROR(VLOOKUP(--$L1228,MM_Income!$Z$5:$AC$204,3,FALSE()),"UNMAPPED"))</f>
        <v/>
      </c>
    </row>
    <row r="1229" customFormat="false" ht="13.5" hidden="false" customHeight="false" outlineLevel="0" collapsed="false">
      <c r="A1229" s="1" t="str">
        <f aca="false">IF($C1229="","",Controls!$B$7)</f>
        <v/>
      </c>
      <c r="B1229" s="1" t="str">
        <f aca="false">IF($H1229="","",YEAR($H1229)&amp;"-Q"&amp;ROUNDUP(MONTH($H1229)/3,0))</f>
        <v/>
      </c>
      <c r="S1229" s="1" t="str">
        <f aca="false">IF($C1229="","",$C1229&amp;"|"&amp;$E1229&amp;"|"&amp;$F1229&amp;"|"&amp;$L1229&amp;"|"&amp;$P1229&amp;"|"&amp;TEXT($H1229,"yyyy-mm-dd"))</f>
        <v/>
      </c>
      <c r="T1229" s="1" t="str">
        <f aca="false">IF($S1229="","",IF(COUNTIF($S$2:$S$2991,$S1229)&gt;1,"DUPLICATE","OK"))</f>
        <v/>
      </c>
      <c r="U1229" s="0" t="str">
        <f aca="false">IF($L1229="","",IFERROR(VLOOKUP(--$L1229,MM_Income!$Z$5:$AC$204,3,FALSE()),"UNMAPPED"))</f>
        <v/>
      </c>
    </row>
    <row r="1230" customFormat="false" ht="13.5" hidden="false" customHeight="false" outlineLevel="0" collapsed="false">
      <c r="A1230" s="1" t="str">
        <f aca="false">IF($C1230="","",Controls!$B$7)</f>
        <v/>
      </c>
      <c r="B1230" s="1" t="str">
        <f aca="false">IF($H1230="","",YEAR($H1230)&amp;"-Q"&amp;ROUNDUP(MONTH($H1230)/3,0))</f>
        <v/>
      </c>
      <c r="S1230" s="1" t="str">
        <f aca="false">IF($C1230="","",$C1230&amp;"|"&amp;$E1230&amp;"|"&amp;$F1230&amp;"|"&amp;$L1230&amp;"|"&amp;$P1230&amp;"|"&amp;TEXT($H1230,"yyyy-mm-dd"))</f>
        <v/>
      </c>
      <c r="T1230" s="1" t="str">
        <f aca="false">IF($S1230="","",IF(COUNTIF($S$2:$S$2991,$S1230)&gt;1,"DUPLICATE","OK"))</f>
        <v/>
      </c>
      <c r="U1230" s="0" t="str">
        <f aca="false">IF($L1230="","",IFERROR(VLOOKUP(--$L1230,MM_Income!$Z$5:$AC$204,3,FALSE()),"UNMAPPED"))</f>
        <v/>
      </c>
    </row>
    <row r="1231" customFormat="false" ht="13.5" hidden="false" customHeight="false" outlineLevel="0" collapsed="false">
      <c r="A1231" s="1" t="str">
        <f aca="false">IF($C1231="","",Controls!$B$7)</f>
        <v/>
      </c>
      <c r="B1231" s="1" t="str">
        <f aca="false">IF($H1231="","",YEAR($H1231)&amp;"-Q"&amp;ROUNDUP(MONTH($H1231)/3,0))</f>
        <v/>
      </c>
      <c r="S1231" s="1" t="str">
        <f aca="false">IF($C1231="","",$C1231&amp;"|"&amp;$E1231&amp;"|"&amp;$F1231&amp;"|"&amp;$L1231&amp;"|"&amp;$P1231&amp;"|"&amp;TEXT($H1231,"yyyy-mm-dd"))</f>
        <v/>
      </c>
      <c r="T1231" s="1" t="str">
        <f aca="false">IF($S1231="","",IF(COUNTIF($S$2:$S$2991,$S1231)&gt;1,"DUPLICATE","OK"))</f>
        <v/>
      </c>
      <c r="U1231" s="0" t="str">
        <f aca="false">IF($L1231="","",IFERROR(VLOOKUP(--$L1231,MM_Income!$Z$5:$AC$204,3,FALSE()),"UNMAPPED"))</f>
        <v/>
      </c>
    </row>
    <row r="1232" customFormat="false" ht="13.5" hidden="false" customHeight="false" outlineLevel="0" collapsed="false">
      <c r="A1232" s="1" t="str">
        <f aca="false">IF($C1232="","",Controls!$B$7)</f>
        <v/>
      </c>
      <c r="B1232" s="1" t="str">
        <f aca="false">IF($H1232="","",YEAR($H1232)&amp;"-Q"&amp;ROUNDUP(MONTH($H1232)/3,0))</f>
        <v/>
      </c>
      <c r="S1232" s="1" t="str">
        <f aca="false">IF($C1232="","",$C1232&amp;"|"&amp;$E1232&amp;"|"&amp;$F1232&amp;"|"&amp;$L1232&amp;"|"&amp;$P1232&amp;"|"&amp;TEXT($H1232,"yyyy-mm-dd"))</f>
        <v/>
      </c>
      <c r="T1232" s="1" t="str">
        <f aca="false">IF($S1232="","",IF(COUNTIF($S$2:$S$2991,$S1232)&gt;1,"DUPLICATE","OK"))</f>
        <v/>
      </c>
      <c r="U1232" s="0" t="str">
        <f aca="false">IF($L1232="","",IFERROR(VLOOKUP(--$L1232,MM_Income!$Z$5:$AC$204,3,FALSE()),"UNMAPPED"))</f>
        <v/>
      </c>
    </row>
    <row r="1233" customFormat="false" ht="13.5" hidden="false" customHeight="false" outlineLevel="0" collapsed="false">
      <c r="A1233" s="1" t="str">
        <f aca="false">IF($C1233="","",Controls!$B$7)</f>
        <v/>
      </c>
      <c r="B1233" s="1" t="str">
        <f aca="false">IF($H1233="","",YEAR($H1233)&amp;"-Q"&amp;ROUNDUP(MONTH($H1233)/3,0))</f>
        <v/>
      </c>
      <c r="S1233" s="1" t="str">
        <f aca="false">IF($C1233="","",$C1233&amp;"|"&amp;$E1233&amp;"|"&amp;$F1233&amp;"|"&amp;$L1233&amp;"|"&amp;$P1233&amp;"|"&amp;TEXT($H1233,"yyyy-mm-dd"))</f>
        <v/>
      </c>
      <c r="T1233" s="1" t="str">
        <f aca="false">IF($S1233="","",IF(COUNTIF($S$2:$S$2991,$S1233)&gt;1,"DUPLICATE","OK"))</f>
        <v/>
      </c>
      <c r="U1233" s="0" t="str">
        <f aca="false">IF($L1233="","",IFERROR(VLOOKUP(--$L1233,MM_Income!$Z$5:$AC$204,3,FALSE()),"UNMAPPED"))</f>
        <v/>
      </c>
    </row>
    <row r="1234" customFormat="false" ht="13.5" hidden="false" customHeight="false" outlineLevel="0" collapsed="false">
      <c r="A1234" s="1" t="str">
        <f aca="false">IF($C1234="","",Controls!$B$7)</f>
        <v/>
      </c>
      <c r="B1234" s="1" t="str">
        <f aca="false">IF($H1234="","",YEAR($H1234)&amp;"-Q"&amp;ROUNDUP(MONTH($H1234)/3,0))</f>
        <v/>
      </c>
      <c r="S1234" s="1" t="str">
        <f aca="false">IF($C1234="","",$C1234&amp;"|"&amp;$E1234&amp;"|"&amp;$F1234&amp;"|"&amp;$L1234&amp;"|"&amp;$P1234&amp;"|"&amp;TEXT($H1234,"yyyy-mm-dd"))</f>
        <v/>
      </c>
      <c r="T1234" s="1" t="str">
        <f aca="false">IF($S1234="","",IF(COUNTIF($S$2:$S$2991,$S1234)&gt;1,"DUPLICATE","OK"))</f>
        <v/>
      </c>
      <c r="U1234" s="0" t="str">
        <f aca="false">IF($L1234="","",IFERROR(VLOOKUP(--$L1234,MM_Income!$Z$5:$AC$204,3,FALSE()),"UNMAPPED"))</f>
        <v/>
      </c>
    </row>
    <row r="1235" customFormat="false" ht="13.5" hidden="false" customHeight="false" outlineLevel="0" collapsed="false">
      <c r="A1235" s="1" t="str">
        <f aca="false">IF($C1235="","",Controls!$B$7)</f>
        <v/>
      </c>
      <c r="B1235" s="1" t="str">
        <f aca="false">IF($H1235="","",YEAR($H1235)&amp;"-Q"&amp;ROUNDUP(MONTH($H1235)/3,0))</f>
        <v/>
      </c>
      <c r="S1235" s="1" t="str">
        <f aca="false">IF($C1235="","",$C1235&amp;"|"&amp;$E1235&amp;"|"&amp;$F1235&amp;"|"&amp;$L1235&amp;"|"&amp;$P1235&amp;"|"&amp;TEXT($H1235,"yyyy-mm-dd"))</f>
        <v/>
      </c>
      <c r="T1235" s="1" t="str">
        <f aca="false">IF($S1235="","",IF(COUNTIF($S$2:$S$2991,$S1235)&gt;1,"DUPLICATE","OK"))</f>
        <v/>
      </c>
      <c r="U1235" s="0" t="str">
        <f aca="false">IF($L1235="","",IFERROR(VLOOKUP(--$L1235,MM_Income!$Z$5:$AC$204,3,FALSE()),"UNMAPPED"))</f>
        <v/>
      </c>
    </row>
    <row r="1236" customFormat="false" ht="13.5" hidden="false" customHeight="false" outlineLevel="0" collapsed="false">
      <c r="A1236" s="1" t="str">
        <f aca="false">IF($C1236="","",Controls!$B$7)</f>
        <v/>
      </c>
      <c r="B1236" s="1" t="str">
        <f aca="false">IF($H1236="","",YEAR($H1236)&amp;"-Q"&amp;ROUNDUP(MONTH($H1236)/3,0))</f>
        <v/>
      </c>
      <c r="S1236" s="1" t="str">
        <f aca="false">IF($C1236="","",$C1236&amp;"|"&amp;$E1236&amp;"|"&amp;$F1236&amp;"|"&amp;$L1236&amp;"|"&amp;$P1236&amp;"|"&amp;TEXT($H1236,"yyyy-mm-dd"))</f>
        <v/>
      </c>
      <c r="T1236" s="1" t="str">
        <f aca="false">IF($S1236="","",IF(COUNTIF($S$2:$S$2991,$S1236)&gt;1,"DUPLICATE","OK"))</f>
        <v/>
      </c>
      <c r="U1236" s="0" t="str">
        <f aca="false">IF($L1236="","",IFERROR(VLOOKUP(--$L1236,MM_Income!$Z$5:$AC$204,3,FALSE()),"UNMAPPED"))</f>
        <v/>
      </c>
    </row>
    <row r="1237" customFormat="false" ht="13.5" hidden="false" customHeight="false" outlineLevel="0" collapsed="false">
      <c r="A1237" s="1" t="str">
        <f aca="false">IF($C1237="","",Controls!$B$7)</f>
        <v/>
      </c>
      <c r="B1237" s="1" t="str">
        <f aca="false">IF($H1237="","",YEAR($H1237)&amp;"-Q"&amp;ROUNDUP(MONTH($H1237)/3,0))</f>
        <v/>
      </c>
      <c r="S1237" s="1" t="str">
        <f aca="false">IF($C1237="","",$C1237&amp;"|"&amp;$E1237&amp;"|"&amp;$F1237&amp;"|"&amp;$L1237&amp;"|"&amp;$P1237&amp;"|"&amp;TEXT($H1237,"yyyy-mm-dd"))</f>
        <v/>
      </c>
      <c r="T1237" s="1" t="str">
        <f aca="false">IF($S1237="","",IF(COUNTIF($S$2:$S$2991,$S1237)&gt;1,"DUPLICATE","OK"))</f>
        <v/>
      </c>
      <c r="U1237" s="0" t="str">
        <f aca="false">IF($L1237="","",IFERROR(VLOOKUP(--$L1237,MM_Income!$Z$5:$AC$204,3,FALSE()),"UNMAPPED"))</f>
        <v/>
      </c>
    </row>
    <row r="1238" customFormat="false" ht="13.5" hidden="false" customHeight="false" outlineLevel="0" collapsed="false">
      <c r="A1238" s="1" t="str">
        <f aca="false">IF($C1238="","",Controls!$B$7)</f>
        <v/>
      </c>
      <c r="B1238" s="1" t="str">
        <f aca="false">IF($H1238="","",YEAR($H1238)&amp;"-Q"&amp;ROUNDUP(MONTH($H1238)/3,0))</f>
        <v/>
      </c>
      <c r="S1238" s="1" t="str">
        <f aca="false">IF($C1238="","",$C1238&amp;"|"&amp;$E1238&amp;"|"&amp;$F1238&amp;"|"&amp;$L1238&amp;"|"&amp;$P1238&amp;"|"&amp;TEXT($H1238,"yyyy-mm-dd"))</f>
        <v/>
      </c>
      <c r="T1238" s="1" t="str">
        <f aca="false">IF($S1238="","",IF(COUNTIF($S$2:$S$2991,$S1238)&gt;1,"DUPLICATE","OK"))</f>
        <v/>
      </c>
      <c r="U1238" s="0" t="str">
        <f aca="false">IF($L1238="","",IFERROR(VLOOKUP(--$L1238,MM_Income!$Z$5:$AC$204,3,FALSE()),"UNMAPPED"))</f>
        <v/>
      </c>
    </row>
    <row r="1239" customFormat="false" ht="13.5" hidden="false" customHeight="false" outlineLevel="0" collapsed="false">
      <c r="A1239" s="1" t="str">
        <f aca="false">IF($C1239="","",Controls!$B$7)</f>
        <v/>
      </c>
      <c r="B1239" s="1" t="str">
        <f aca="false">IF($H1239="","",YEAR($H1239)&amp;"-Q"&amp;ROUNDUP(MONTH($H1239)/3,0))</f>
        <v/>
      </c>
      <c r="S1239" s="1" t="str">
        <f aca="false">IF($C1239="","",$C1239&amp;"|"&amp;$E1239&amp;"|"&amp;$F1239&amp;"|"&amp;$L1239&amp;"|"&amp;$P1239&amp;"|"&amp;TEXT($H1239,"yyyy-mm-dd"))</f>
        <v/>
      </c>
      <c r="T1239" s="1" t="str">
        <f aca="false">IF($S1239="","",IF(COUNTIF($S$2:$S$2991,$S1239)&gt;1,"DUPLICATE","OK"))</f>
        <v/>
      </c>
      <c r="U1239" s="0" t="str">
        <f aca="false">IF($L1239="","",IFERROR(VLOOKUP(--$L1239,MM_Income!$Z$5:$AC$204,3,FALSE()),"UNMAPPED"))</f>
        <v/>
      </c>
    </row>
    <row r="1240" customFormat="false" ht="13.5" hidden="false" customHeight="false" outlineLevel="0" collapsed="false">
      <c r="A1240" s="1" t="str">
        <f aca="false">IF($C1240="","",Controls!$B$7)</f>
        <v/>
      </c>
      <c r="B1240" s="1" t="str">
        <f aca="false">IF($H1240="","",YEAR($H1240)&amp;"-Q"&amp;ROUNDUP(MONTH($H1240)/3,0))</f>
        <v/>
      </c>
      <c r="S1240" s="1" t="str">
        <f aca="false">IF($C1240="","",$C1240&amp;"|"&amp;$E1240&amp;"|"&amp;$F1240&amp;"|"&amp;$L1240&amp;"|"&amp;$P1240&amp;"|"&amp;TEXT($H1240,"yyyy-mm-dd"))</f>
        <v/>
      </c>
      <c r="T1240" s="1" t="str">
        <f aca="false">IF($S1240="","",IF(COUNTIF($S$2:$S$2991,$S1240)&gt;1,"DUPLICATE","OK"))</f>
        <v/>
      </c>
      <c r="U1240" s="0" t="str">
        <f aca="false">IF($L1240="","",IFERROR(VLOOKUP(--$L1240,MM_Income!$Z$5:$AC$204,3,FALSE()),"UNMAPPED"))</f>
        <v/>
      </c>
    </row>
    <row r="1241" customFormat="false" ht="13.5" hidden="false" customHeight="false" outlineLevel="0" collapsed="false">
      <c r="A1241" s="1" t="str">
        <f aca="false">IF($C1241="","",Controls!$B$7)</f>
        <v/>
      </c>
      <c r="B1241" s="1" t="str">
        <f aca="false">IF($H1241="","",YEAR($H1241)&amp;"-Q"&amp;ROUNDUP(MONTH($H1241)/3,0))</f>
        <v/>
      </c>
      <c r="S1241" s="1" t="str">
        <f aca="false">IF($C1241="","",$C1241&amp;"|"&amp;$E1241&amp;"|"&amp;$F1241&amp;"|"&amp;$L1241&amp;"|"&amp;$P1241&amp;"|"&amp;TEXT($H1241,"yyyy-mm-dd"))</f>
        <v/>
      </c>
      <c r="T1241" s="1" t="str">
        <f aca="false">IF($S1241="","",IF(COUNTIF($S$2:$S$2991,$S1241)&gt;1,"DUPLICATE","OK"))</f>
        <v/>
      </c>
      <c r="U1241" s="0" t="str">
        <f aca="false">IF($L1241="","",IFERROR(VLOOKUP(--$L1241,MM_Income!$Z$5:$AC$204,3,FALSE()),"UNMAPPED"))</f>
        <v/>
      </c>
    </row>
    <row r="1242" customFormat="false" ht="13.5" hidden="false" customHeight="false" outlineLevel="0" collapsed="false">
      <c r="A1242" s="1" t="str">
        <f aca="false">IF($C1242="","",Controls!$B$7)</f>
        <v/>
      </c>
      <c r="B1242" s="1" t="str">
        <f aca="false">IF($H1242="","",YEAR($H1242)&amp;"-Q"&amp;ROUNDUP(MONTH($H1242)/3,0))</f>
        <v/>
      </c>
      <c r="S1242" s="1" t="str">
        <f aca="false">IF($C1242="","",$C1242&amp;"|"&amp;$E1242&amp;"|"&amp;$F1242&amp;"|"&amp;$L1242&amp;"|"&amp;$P1242&amp;"|"&amp;TEXT($H1242,"yyyy-mm-dd"))</f>
        <v/>
      </c>
      <c r="T1242" s="1" t="str">
        <f aca="false">IF($S1242="","",IF(COUNTIF($S$2:$S$2991,$S1242)&gt;1,"DUPLICATE","OK"))</f>
        <v/>
      </c>
      <c r="U1242" s="0" t="str">
        <f aca="false">IF($L1242="","",IFERROR(VLOOKUP(--$L1242,MM_Income!$Z$5:$AC$204,3,FALSE()),"UNMAPPED"))</f>
        <v/>
      </c>
    </row>
    <row r="1243" customFormat="false" ht="13.5" hidden="false" customHeight="false" outlineLevel="0" collapsed="false">
      <c r="A1243" s="1" t="str">
        <f aca="false">IF($C1243="","",Controls!$B$7)</f>
        <v/>
      </c>
      <c r="B1243" s="1" t="str">
        <f aca="false">IF($H1243="","",YEAR($H1243)&amp;"-Q"&amp;ROUNDUP(MONTH($H1243)/3,0))</f>
        <v/>
      </c>
      <c r="S1243" s="1" t="str">
        <f aca="false">IF($C1243="","",$C1243&amp;"|"&amp;$E1243&amp;"|"&amp;$F1243&amp;"|"&amp;$L1243&amp;"|"&amp;$P1243&amp;"|"&amp;TEXT($H1243,"yyyy-mm-dd"))</f>
        <v/>
      </c>
      <c r="T1243" s="1" t="str">
        <f aca="false">IF($S1243="","",IF(COUNTIF($S$2:$S$2991,$S1243)&gt;1,"DUPLICATE","OK"))</f>
        <v/>
      </c>
      <c r="U1243" s="0" t="str">
        <f aca="false">IF($L1243="","",IFERROR(VLOOKUP(--$L1243,MM_Income!$Z$5:$AC$204,3,FALSE()),"UNMAPPED"))</f>
        <v/>
      </c>
    </row>
    <row r="1244" customFormat="false" ht="13.5" hidden="false" customHeight="false" outlineLevel="0" collapsed="false">
      <c r="A1244" s="1" t="str">
        <f aca="false">IF($C1244="","",Controls!$B$7)</f>
        <v/>
      </c>
      <c r="B1244" s="1" t="str">
        <f aca="false">IF($H1244="","",YEAR($H1244)&amp;"-Q"&amp;ROUNDUP(MONTH($H1244)/3,0))</f>
        <v/>
      </c>
      <c r="S1244" s="1" t="str">
        <f aca="false">IF($C1244="","",$C1244&amp;"|"&amp;$E1244&amp;"|"&amp;$F1244&amp;"|"&amp;$L1244&amp;"|"&amp;$P1244&amp;"|"&amp;TEXT($H1244,"yyyy-mm-dd"))</f>
        <v/>
      </c>
      <c r="T1244" s="1" t="str">
        <f aca="false">IF($S1244="","",IF(COUNTIF($S$2:$S$2991,$S1244)&gt;1,"DUPLICATE","OK"))</f>
        <v/>
      </c>
      <c r="U1244" s="0" t="str">
        <f aca="false">IF($L1244="","",IFERROR(VLOOKUP(--$L1244,MM_Income!$Z$5:$AC$204,3,FALSE()),"UNMAPPED"))</f>
        <v/>
      </c>
    </row>
    <row r="1245" customFormat="false" ht="13.5" hidden="false" customHeight="false" outlineLevel="0" collapsed="false">
      <c r="A1245" s="1" t="str">
        <f aca="false">IF($C1245="","",Controls!$B$7)</f>
        <v/>
      </c>
      <c r="B1245" s="1" t="str">
        <f aca="false">IF($H1245="","",YEAR($H1245)&amp;"-Q"&amp;ROUNDUP(MONTH($H1245)/3,0))</f>
        <v/>
      </c>
      <c r="S1245" s="1" t="str">
        <f aca="false">IF($C1245="","",$C1245&amp;"|"&amp;$E1245&amp;"|"&amp;$F1245&amp;"|"&amp;$L1245&amp;"|"&amp;$P1245&amp;"|"&amp;TEXT($H1245,"yyyy-mm-dd"))</f>
        <v/>
      </c>
      <c r="T1245" s="1" t="str">
        <f aca="false">IF($S1245="","",IF(COUNTIF($S$2:$S$2991,$S1245)&gt;1,"DUPLICATE","OK"))</f>
        <v/>
      </c>
      <c r="U1245" s="0" t="str">
        <f aca="false">IF($L1245="","",IFERROR(VLOOKUP(--$L1245,MM_Income!$Z$5:$AC$204,3,FALSE()),"UNMAPPED"))</f>
        <v/>
      </c>
    </row>
    <row r="1246" customFormat="false" ht="13.5" hidden="false" customHeight="false" outlineLevel="0" collapsed="false">
      <c r="A1246" s="1" t="str">
        <f aca="false">IF($C1246="","",Controls!$B$7)</f>
        <v/>
      </c>
      <c r="B1246" s="1" t="str">
        <f aca="false">IF($H1246="","",YEAR($H1246)&amp;"-Q"&amp;ROUNDUP(MONTH($H1246)/3,0))</f>
        <v/>
      </c>
      <c r="S1246" s="1" t="str">
        <f aca="false">IF($C1246="","",$C1246&amp;"|"&amp;$E1246&amp;"|"&amp;$F1246&amp;"|"&amp;$L1246&amp;"|"&amp;$P1246&amp;"|"&amp;TEXT($H1246,"yyyy-mm-dd"))</f>
        <v/>
      </c>
      <c r="T1246" s="1" t="str">
        <f aca="false">IF($S1246="","",IF(COUNTIF($S$2:$S$2991,$S1246)&gt;1,"DUPLICATE","OK"))</f>
        <v/>
      </c>
      <c r="U1246" s="0" t="str">
        <f aca="false">IF($L1246="","",IFERROR(VLOOKUP(--$L1246,MM_Income!$Z$5:$AC$204,3,FALSE()),"UNMAPPED"))</f>
        <v/>
      </c>
    </row>
    <row r="1247" customFormat="false" ht="13.5" hidden="false" customHeight="false" outlineLevel="0" collapsed="false">
      <c r="A1247" s="1" t="str">
        <f aca="false">IF($C1247="","",Controls!$B$7)</f>
        <v/>
      </c>
      <c r="B1247" s="1" t="str">
        <f aca="false">IF($H1247="","",YEAR($H1247)&amp;"-Q"&amp;ROUNDUP(MONTH($H1247)/3,0))</f>
        <v/>
      </c>
      <c r="S1247" s="1" t="str">
        <f aca="false">IF($C1247="","",$C1247&amp;"|"&amp;$E1247&amp;"|"&amp;$F1247&amp;"|"&amp;$L1247&amp;"|"&amp;$P1247&amp;"|"&amp;TEXT($H1247,"yyyy-mm-dd"))</f>
        <v/>
      </c>
      <c r="T1247" s="1" t="str">
        <f aca="false">IF($S1247="","",IF(COUNTIF($S$2:$S$2991,$S1247)&gt;1,"DUPLICATE","OK"))</f>
        <v/>
      </c>
      <c r="U1247" s="0" t="str">
        <f aca="false">IF($L1247="","",IFERROR(VLOOKUP(--$L1247,MM_Income!$Z$5:$AC$204,3,FALSE()),"UNMAPPED"))</f>
        <v/>
      </c>
    </row>
    <row r="1248" customFormat="false" ht="13.5" hidden="false" customHeight="false" outlineLevel="0" collapsed="false">
      <c r="A1248" s="1" t="str">
        <f aca="false">IF($C1248="","",Controls!$B$7)</f>
        <v/>
      </c>
      <c r="B1248" s="1" t="str">
        <f aca="false">IF($H1248="","",YEAR($H1248)&amp;"-Q"&amp;ROUNDUP(MONTH($H1248)/3,0))</f>
        <v/>
      </c>
      <c r="S1248" s="1" t="str">
        <f aca="false">IF($C1248="","",$C1248&amp;"|"&amp;$E1248&amp;"|"&amp;$F1248&amp;"|"&amp;$L1248&amp;"|"&amp;$P1248&amp;"|"&amp;TEXT($H1248,"yyyy-mm-dd"))</f>
        <v/>
      </c>
      <c r="T1248" s="1" t="str">
        <f aca="false">IF($S1248="","",IF(COUNTIF($S$2:$S$2991,$S1248)&gt;1,"DUPLICATE","OK"))</f>
        <v/>
      </c>
      <c r="U1248" s="0" t="str">
        <f aca="false">IF($L1248="","",IFERROR(VLOOKUP(--$L1248,MM_Income!$Z$5:$AC$204,3,FALSE()),"UNMAPPED"))</f>
        <v/>
      </c>
    </row>
    <row r="1249" customFormat="false" ht="13.5" hidden="false" customHeight="false" outlineLevel="0" collapsed="false">
      <c r="A1249" s="1" t="str">
        <f aca="false">IF($C1249="","",Controls!$B$7)</f>
        <v/>
      </c>
      <c r="B1249" s="1" t="str">
        <f aca="false">IF($H1249="","",YEAR($H1249)&amp;"-Q"&amp;ROUNDUP(MONTH($H1249)/3,0))</f>
        <v/>
      </c>
      <c r="S1249" s="1" t="str">
        <f aca="false">IF($C1249="","",$C1249&amp;"|"&amp;$E1249&amp;"|"&amp;$F1249&amp;"|"&amp;$L1249&amp;"|"&amp;$P1249&amp;"|"&amp;TEXT($H1249,"yyyy-mm-dd"))</f>
        <v/>
      </c>
      <c r="T1249" s="1" t="str">
        <f aca="false">IF($S1249="","",IF(COUNTIF($S$2:$S$2991,$S1249)&gt;1,"DUPLICATE","OK"))</f>
        <v/>
      </c>
      <c r="U1249" s="0" t="str">
        <f aca="false">IF($L1249="","",IFERROR(VLOOKUP(--$L1249,MM_Income!$Z$5:$AC$204,3,FALSE()),"UNMAPPED"))</f>
        <v/>
      </c>
    </row>
    <row r="1250" customFormat="false" ht="13.5" hidden="false" customHeight="false" outlineLevel="0" collapsed="false">
      <c r="A1250" s="1" t="str">
        <f aca="false">IF($C1250="","",Controls!$B$7)</f>
        <v/>
      </c>
      <c r="B1250" s="1" t="str">
        <f aca="false">IF($H1250="","",YEAR($H1250)&amp;"-Q"&amp;ROUNDUP(MONTH($H1250)/3,0))</f>
        <v/>
      </c>
      <c r="S1250" s="1" t="str">
        <f aca="false">IF($C1250="","",$C1250&amp;"|"&amp;$E1250&amp;"|"&amp;$F1250&amp;"|"&amp;$L1250&amp;"|"&amp;$P1250&amp;"|"&amp;TEXT($H1250,"yyyy-mm-dd"))</f>
        <v/>
      </c>
      <c r="T1250" s="1" t="str">
        <f aca="false">IF($S1250="","",IF(COUNTIF($S$2:$S$2991,$S1250)&gt;1,"DUPLICATE","OK"))</f>
        <v/>
      </c>
      <c r="U1250" s="0" t="str">
        <f aca="false">IF($L1250="","",IFERROR(VLOOKUP(--$L1250,MM_Income!$Z$5:$AC$204,3,FALSE()),"UNMAPPED"))</f>
        <v/>
      </c>
    </row>
    <row r="1251" customFormat="false" ht="13.5" hidden="false" customHeight="false" outlineLevel="0" collapsed="false">
      <c r="A1251" s="1" t="str">
        <f aca="false">IF($C1251="","",Controls!$B$7)</f>
        <v/>
      </c>
      <c r="B1251" s="1" t="str">
        <f aca="false">IF($H1251="","",YEAR($H1251)&amp;"-Q"&amp;ROUNDUP(MONTH($H1251)/3,0))</f>
        <v/>
      </c>
      <c r="S1251" s="1" t="str">
        <f aca="false">IF($C1251="","",$C1251&amp;"|"&amp;$E1251&amp;"|"&amp;$F1251&amp;"|"&amp;$L1251&amp;"|"&amp;$P1251&amp;"|"&amp;TEXT($H1251,"yyyy-mm-dd"))</f>
        <v/>
      </c>
      <c r="T1251" s="1" t="str">
        <f aca="false">IF($S1251="","",IF(COUNTIF($S$2:$S$2991,$S1251)&gt;1,"DUPLICATE","OK"))</f>
        <v/>
      </c>
      <c r="U1251" s="0" t="str">
        <f aca="false">IF($L1251="","",IFERROR(VLOOKUP(--$L1251,MM_Income!$Z$5:$AC$204,3,FALSE()),"UNMAPPED"))</f>
        <v/>
      </c>
    </row>
    <row r="1252" customFormat="false" ht="13.5" hidden="false" customHeight="false" outlineLevel="0" collapsed="false">
      <c r="A1252" s="1" t="str">
        <f aca="false">IF($C1252="","",Controls!$B$7)</f>
        <v/>
      </c>
      <c r="B1252" s="1" t="str">
        <f aca="false">IF($H1252="","",YEAR($H1252)&amp;"-Q"&amp;ROUNDUP(MONTH($H1252)/3,0))</f>
        <v/>
      </c>
      <c r="S1252" s="1" t="str">
        <f aca="false">IF($C1252="","",$C1252&amp;"|"&amp;$E1252&amp;"|"&amp;$F1252&amp;"|"&amp;$L1252&amp;"|"&amp;$P1252&amp;"|"&amp;TEXT($H1252,"yyyy-mm-dd"))</f>
        <v/>
      </c>
      <c r="T1252" s="1" t="str">
        <f aca="false">IF($S1252="","",IF(COUNTIF($S$2:$S$2991,$S1252)&gt;1,"DUPLICATE","OK"))</f>
        <v/>
      </c>
      <c r="U1252" s="0" t="str">
        <f aca="false">IF($L1252="","",IFERROR(VLOOKUP(--$L1252,MM_Income!$Z$5:$AC$204,3,FALSE()),"UNMAPPED"))</f>
        <v/>
      </c>
    </row>
    <row r="1253" customFormat="false" ht="13.5" hidden="false" customHeight="false" outlineLevel="0" collapsed="false">
      <c r="A1253" s="1" t="str">
        <f aca="false">IF($C1253="","",Controls!$B$7)</f>
        <v/>
      </c>
      <c r="B1253" s="1" t="str">
        <f aca="false">IF($H1253="","",YEAR($H1253)&amp;"-Q"&amp;ROUNDUP(MONTH($H1253)/3,0))</f>
        <v/>
      </c>
      <c r="S1253" s="1" t="str">
        <f aca="false">IF($C1253="","",$C1253&amp;"|"&amp;$E1253&amp;"|"&amp;$F1253&amp;"|"&amp;$L1253&amp;"|"&amp;$P1253&amp;"|"&amp;TEXT($H1253,"yyyy-mm-dd"))</f>
        <v/>
      </c>
      <c r="T1253" s="1" t="str">
        <f aca="false">IF($S1253="","",IF(COUNTIF($S$2:$S$2991,$S1253)&gt;1,"DUPLICATE","OK"))</f>
        <v/>
      </c>
      <c r="U1253" s="0" t="str">
        <f aca="false">IF($L1253="","",IFERROR(VLOOKUP(--$L1253,MM_Income!$Z$5:$AC$204,3,FALSE()),"UNMAPPED"))</f>
        <v/>
      </c>
    </row>
    <row r="1254" customFormat="false" ht="13.5" hidden="false" customHeight="false" outlineLevel="0" collapsed="false">
      <c r="A1254" s="1" t="str">
        <f aca="false">IF($C1254="","",Controls!$B$7)</f>
        <v/>
      </c>
      <c r="B1254" s="1" t="str">
        <f aca="false">IF($H1254="","",YEAR($H1254)&amp;"-Q"&amp;ROUNDUP(MONTH($H1254)/3,0))</f>
        <v/>
      </c>
      <c r="S1254" s="1" t="str">
        <f aca="false">IF($C1254="","",$C1254&amp;"|"&amp;$E1254&amp;"|"&amp;$F1254&amp;"|"&amp;$L1254&amp;"|"&amp;$P1254&amp;"|"&amp;TEXT($H1254,"yyyy-mm-dd"))</f>
        <v/>
      </c>
      <c r="T1254" s="1" t="str">
        <f aca="false">IF($S1254="","",IF(COUNTIF($S$2:$S$2991,$S1254)&gt;1,"DUPLICATE","OK"))</f>
        <v/>
      </c>
      <c r="U1254" s="0" t="str">
        <f aca="false">IF($L1254="","",IFERROR(VLOOKUP(--$L1254,MM_Income!$Z$5:$AC$204,3,FALSE()),"UNMAPPED"))</f>
        <v/>
      </c>
    </row>
    <row r="1255" customFormat="false" ht="13.5" hidden="false" customHeight="false" outlineLevel="0" collapsed="false">
      <c r="A1255" s="1" t="str">
        <f aca="false">IF($C1255="","",Controls!$B$7)</f>
        <v/>
      </c>
      <c r="B1255" s="1" t="str">
        <f aca="false">IF($H1255="","",YEAR($H1255)&amp;"-Q"&amp;ROUNDUP(MONTH($H1255)/3,0))</f>
        <v/>
      </c>
      <c r="S1255" s="1" t="str">
        <f aca="false">IF($C1255="","",$C1255&amp;"|"&amp;$E1255&amp;"|"&amp;$F1255&amp;"|"&amp;$L1255&amp;"|"&amp;$P1255&amp;"|"&amp;TEXT($H1255,"yyyy-mm-dd"))</f>
        <v/>
      </c>
      <c r="T1255" s="1" t="str">
        <f aca="false">IF($S1255="","",IF(COUNTIF($S$2:$S$2991,$S1255)&gt;1,"DUPLICATE","OK"))</f>
        <v/>
      </c>
      <c r="U1255" s="0" t="str">
        <f aca="false">IF($L1255="","",IFERROR(VLOOKUP(--$L1255,MM_Income!$Z$5:$AC$204,3,FALSE()),"UNMAPPED"))</f>
        <v/>
      </c>
    </row>
    <row r="1256" customFormat="false" ht="13.5" hidden="false" customHeight="false" outlineLevel="0" collapsed="false">
      <c r="A1256" s="1" t="str">
        <f aca="false">IF($C1256="","",Controls!$B$7)</f>
        <v/>
      </c>
      <c r="B1256" s="1" t="str">
        <f aca="false">IF($H1256="","",YEAR($H1256)&amp;"-Q"&amp;ROUNDUP(MONTH($H1256)/3,0))</f>
        <v/>
      </c>
      <c r="S1256" s="1" t="str">
        <f aca="false">IF($C1256="","",$C1256&amp;"|"&amp;$E1256&amp;"|"&amp;$F1256&amp;"|"&amp;$L1256&amp;"|"&amp;$P1256&amp;"|"&amp;TEXT($H1256,"yyyy-mm-dd"))</f>
        <v/>
      </c>
      <c r="T1256" s="1" t="str">
        <f aca="false">IF($S1256="","",IF(COUNTIF($S$2:$S$2991,$S1256)&gt;1,"DUPLICATE","OK"))</f>
        <v/>
      </c>
      <c r="U1256" s="0" t="str">
        <f aca="false">IF($L1256="","",IFERROR(VLOOKUP(--$L1256,MM_Income!$Z$5:$AC$204,3,FALSE()),"UNMAPPED"))</f>
        <v/>
      </c>
    </row>
    <row r="1257" customFormat="false" ht="13.5" hidden="false" customHeight="false" outlineLevel="0" collapsed="false">
      <c r="A1257" s="1" t="str">
        <f aca="false">IF($C1257="","",Controls!$B$7)</f>
        <v/>
      </c>
      <c r="B1257" s="1" t="str">
        <f aca="false">IF($H1257="","",YEAR($H1257)&amp;"-Q"&amp;ROUNDUP(MONTH($H1257)/3,0))</f>
        <v/>
      </c>
      <c r="S1257" s="1" t="str">
        <f aca="false">IF($C1257="","",$C1257&amp;"|"&amp;$E1257&amp;"|"&amp;$F1257&amp;"|"&amp;$L1257&amp;"|"&amp;$P1257&amp;"|"&amp;TEXT($H1257,"yyyy-mm-dd"))</f>
        <v/>
      </c>
      <c r="T1257" s="1" t="str">
        <f aca="false">IF($S1257="","",IF(COUNTIF($S$2:$S$2991,$S1257)&gt;1,"DUPLICATE","OK"))</f>
        <v/>
      </c>
      <c r="U1257" s="0" t="str">
        <f aca="false">IF($L1257="","",IFERROR(VLOOKUP(--$L1257,MM_Income!$Z$5:$AC$204,3,FALSE()),"UNMAPPED"))</f>
        <v/>
      </c>
    </row>
    <row r="1258" customFormat="false" ht="13.5" hidden="false" customHeight="false" outlineLevel="0" collapsed="false">
      <c r="A1258" s="1" t="str">
        <f aca="false">IF($C1258="","",Controls!$B$7)</f>
        <v/>
      </c>
      <c r="B1258" s="1" t="str">
        <f aca="false">IF($H1258="","",YEAR($H1258)&amp;"-Q"&amp;ROUNDUP(MONTH($H1258)/3,0))</f>
        <v/>
      </c>
      <c r="S1258" s="1" t="str">
        <f aca="false">IF($C1258="","",$C1258&amp;"|"&amp;$E1258&amp;"|"&amp;$F1258&amp;"|"&amp;$L1258&amp;"|"&amp;$P1258&amp;"|"&amp;TEXT($H1258,"yyyy-mm-dd"))</f>
        <v/>
      </c>
      <c r="T1258" s="1" t="str">
        <f aca="false">IF($S1258="","",IF(COUNTIF($S$2:$S$2991,$S1258)&gt;1,"DUPLICATE","OK"))</f>
        <v/>
      </c>
      <c r="U1258" s="0" t="str">
        <f aca="false">IF($L1258="","",IFERROR(VLOOKUP(--$L1258,MM_Income!$Z$5:$AC$204,3,FALSE()),"UNMAPPED"))</f>
        <v/>
      </c>
    </row>
    <row r="1259" customFormat="false" ht="13.5" hidden="false" customHeight="false" outlineLevel="0" collapsed="false">
      <c r="A1259" s="1" t="str">
        <f aca="false">IF($C1259="","",Controls!$B$7)</f>
        <v/>
      </c>
      <c r="B1259" s="1" t="str">
        <f aca="false">IF($H1259="","",YEAR($H1259)&amp;"-Q"&amp;ROUNDUP(MONTH($H1259)/3,0))</f>
        <v/>
      </c>
      <c r="S1259" s="1" t="str">
        <f aca="false">IF($C1259="","",$C1259&amp;"|"&amp;$E1259&amp;"|"&amp;$F1259&amp;"|"&amp;$L1259&amp;"|"&amp;$P1259&amp;"|"&amp;TEXT($H1259,"yyyy-mm-dd"))</f>
        <v/>
      </c>
      <c r="T1259" s="1" t="str">
        <f aca="false">IF($S1259="","",IF(COUNTIF($S$2:$S$2991,$S1259)&gt;1,"DUPLICATE","OK"))</f>
        <v/>
      </c>
      <c r="U1259" s="0" t="str">
        <f aca="false">IF($L1259="","",IFERROR(VLOOKUP(--$L1259,MM_Income!$Z$5:$AC$204,3,FALSE()),"UNMAPPED"))</f>
        <v/>
      </c>
    </row>
    <row r="1260" customFormat="false" ht="13.5" hidden="false" customHeight="false" outlineLevel="0" collapsed="false">
      <c r="A1260" s="1" t="str">
        <f aca="false">IF($C1260="","",Controls!$B$7)</f>
        <v/>
      </c>
      <c r="B1260" s="1" t="str">
        <f aca="false">IF($H1260="","",YEAR($H1260)&amp;"-Q"&amp;ROUNDUP(MONTH($H1260)/3,0))</f>
        <v/>
      </c>
      <c r="S1260" s="1" t="str">
        <f aca="false">IF($C1260="","",$C1260&amp;"|"&amp;$E1260&amp;"|"&amp;$F1260&amp;"|"&amp;$L1260&amp;"|"&amp;$P1260&amp;"|"&amp;TEXT($H1260,"yyyy-mm-dd"))</f>
        <v/>
      </c>
      <c r="T1260" s="1" t="str">
        <f aca="false">IF($S1260="","",IF(COUNTIF($S$2:$S$2991,$S1260)&gt;1,"DUPLICATE","OK"))</f>
        <v/>
      </c>
      <c r="U1260" s="0" t="str">
        <f aca="false">IF($L1260="","",IFERROR(VLOOKUP(--$L1260,MM_Income!$Z$5:$AC$204,3,FALSE()),"UNMAPPED"))</f>
        <v/>
      </c>
    </row>
    <row r="1261" customFormat="false" ht="13.5" hidden="false" customHeight="false" outlineLevel="0" collapsed="false">
      <c r="A1261" s="1" t="str">
        <f aca="false">IF($C1261="","",Controls!$B$7)</f>
        <v/>
      </c>
      <c r="B1261" s="1" t="str">
        <f aca="false">IF($H1261="","",YEAR($H1261)&amp;"-Q"&amp;ROUNDUP(MONTH($H1261)/3,0))</f>
        <v/>
      </c>
      <c r="S1261" s="1" t="str">
        <f aca="false">IF($C1261="","",$C1261&amp;"|"&amp;$E1261&amp;"|"&amp;$F1261&amp;"|"&amp;$L1261&amp;"|"&amp;$P1261&amp;"|"&amp;TEXT($H1261,"yyyy-mm-dd"))</f>
        <v/>
      </c>
      <c r="T1261" s="1" t="str">
        <f aca="false">IF($S1261="","",IF(COUNTIF($S$2:$S$2991,$S1261)&gt;1,"DUPLICATE","OK"))</f>
        <v/>
      </c>
      <c r="U1261" s="0" t="str">
        <f aca="false">IF($L1261="","",IFERROR(VLOOKUP(--$L1261,MM_Income!$Z$5:$AC$204,3,FALSE()),"UNMAPPED"))</f>
        <v/>
      </c>
    </row>
    <row r="1262" customFormat="false" ht="13.5" hidden="false" customHeight="false" outlineLevel="0" collapsed="false">
      <c r="A1262" s="1" t="str">
        <f aca="false">IF($C1262="","",Controls!$B$7)</f>
        <v/>
      </c>
      <c r="B1262" s="1" t="str">
        <f aca="false">IF($H1262="","",YEAR($H1262)&amp;"-Q"&amp;ROUNDUP(MONTH($H1262)/3,0))</f>
        <v/>
      </c>
      <c r="S1262" s="1" t="str">
        <f aca="false">IF($C1262="","",$C1262&amp;"|"&amp;$E1262&amp;"|"&amp;$F1262&amp;"|"&amp;$L1262&amp;"|"&amp;$P1262&amp;"|"&amp;TEXT($H1262,"yyyy-mm-dd"))</f>
        <v/>
      </c>
      <c r="T1262" s="1" t="str">
        <f aca="false">IF($S1262="","",IF(COUNTIF($S$2:$S$2991,$S1262)&gt;1,"DUPLICATE","OK"))</f>
        <v/>
      </c>
      <c r="U1262" s="0" t="str">
        <f aca="false">IF($L1262="","",IFERROR(VLOOKUP(--$L1262,MM_Income!$Z$5:$AC$204,3,FALSE()),"UNMAPPED"))</f>
        <v/>
      </c>
    </row>
    <row r="1263" customFormat="false" ht="13.5" hidden="false" customHeight="false" outlineLevel="0" collapsed="false">
      <c r="A1263" s="1" t="str">
        <f aca="false">IF($C1263="","",Controls!$B$7)</f>
        <v/>
      </c>
      <c r="B1263" s="1" t="str">
        <f aca="false">IF($H1263="","",YEAR($H1263)&amp;"-Q"&amp;ROUNDUP(MONTH($H1263)/3,0))</f>
        <v/>
      </c>
      <c r="S1263" s="1" t="str">
        <f aca="false">IF($C1263="","",$C1263&amp;"|"&amp;$E1263&amp;"|"&amp;$F1263&amp;"|"&amp;$L1263&amp;"|"&amp;$P1263&amp;"|"&amp;TEXT($H1263,"yyyy-mm-dd"))</f>
        <v/>
      </c>
      <c r="T1263" s="1" t="str">
        <f aca="false">IF($S1263="","",IF(COUNTIF($S$2:$S$2991,$S1263)&gt;1,"DUPLICATE","OK"))</f>
        <v/>
      </c>
      <c r="U1263" s="0" t="str">
        <f aca="false">IF($L1263="","",IFERROR(VLOOKUP(--$L1263,MM_Income!$Z$5:$AC$204,3,FALSE()),"UNMAPPED"))</f>
        <v/>
      </c>
    </row>
    <row r="1264" customFormat="false" ht="13.5" hidden="false" customHeight="false" outlineLevel="0" collapsed="false">
      <c r="A1264" s="1" t="str">
        <f aca="false">IF($C1264="","",Controls!$B$7)</f>
        <v/>
      </c>
      <c r="B1264" s="1" t="str">
        <f aca="false">IF($H1264="","",YEAR($H1264)&amp;"-Q"&amp;ROUNDUP(MONTH($H1264)/3,0))</f>
        <v/>
      </c>
      <c r="S1264" s="1" t="str">
        <f aca="false">IF($C1264="","",$C1264&amp;"|"&amp;$E1264&amp;"|"&amp;$F1264&amp;"|"&amp;$L1264&amp;"|"&amp;$P1264&amp;"|"&amp;TEXT($H1264,"yyyy-mm-dd"))</f>
        <v/>
      </c>
      <c r="T1264" s="1" t="str">
        <f aca="false">IF($S1264="","",IF(COUNTIF($S$2:$S$2991,$S1264)&gt;1,"DUPLICATE","OK"))</f>
        <v/>
      </c>
      <c r="U1264" s="0" t="str">
        <f aca="false">IF($L1264="","",IFERROR(VLOOKUP(--$L1264,MM_Income!$Z$5:$AC$204,3,FALSE()),"UNMAPPED"))</f>
        <v/>
      </c>
    </row>
    <row r="1265" customFormat="false" ht="13.5" hidden="false" customHeight="false" outlineLevel="0" collapsed="false">
      <c r="A1265" s="1" t="str">
        <f aca="false">IF($C1265="","",Controls!$B$7)</f>
        <v/>
      </c>
      <c r="B1265" s="1" t="str">
        <f aca="false">IF($H1265="","",YEAR($H1265)&amp;"-Q"&amp;ROUNDUP(MONTH($H1265)/3,0))</f>
        <v/>
      </c>
      <c r="S1265" s="1" t="str">
        <f aca="false">IF($C1265="","",$C1265&amp;"|"&amp;$E1265&amp;"|"&amp;$F1265&amp;"|"&amp;$L1265&amp;"|"&amp;$P1265&amp;"|"&amp;TEXT($H1265,"yyyy-mm-dd"))</f>
        <v/>
      </c>
      <c r="T1265" s="1" t="str">
        <f aca="false">IF($S1265="","",IF(COUNTIF($S$2:$S$2991,$S1265)&gt;1,"DUPLICATE","OK"))</f>
        <v/>
      </c>
      <c r="U1265" s="0" t="str">
        <f aca="false">IF($L1265="","",IFERROR(VLOOKUP(--$L1265,MM_Income!$Z$5:$AC$204,3,FALSE()),"UNMAPPED"))</f>
        <v/>
      </c>
    </row>
    <row r="1266" customFormat="false" ht="13.5" hidden="false" customHeight="false" outlineLevel="0" collapsed="false">
      <c r="A1266" s="1" t="str">
        <f aca="false">IF($C1266="","",Controls!$B$7)</f>
        <v/>
      </c>
      <c r="B1266" s="1" t="str">
        <f aca="false">IF($H1266="","",YEAR($H1266)&amp;"-Q"&amp;ROUNDUP(MONTH($H1266)/3,0))</f>
        <v/>
      </c>
      <c r="S1266" s="1" t="str">
        <f aca="false">IF($C1266="","",$C1266&amp;"|"&amp;$E1266&amp;"|"&amp;$F1266&amp;"|"&amp;$L1266&amp;"|"&amp;$P1266&amp;"|"&amp;TEXT($H1266,"yyyy-mm-dd"))</f>
        <v/>
      </c>
      <c r="T1266" s="1" t="str">
        <f aca="false">IF($S1266="","",IF(COUNTIF($S$2:$S$2991,$S1266)&gt;1,"DUPLICATE","OK"))</f>
        <v/>
      </c>
      <c r="U1266" s="0" t="str">
        <f aca="false">IF($L1266="","",IFERROR(VLOOKUP(--$L1266,MM_Income!$Z$5:$AC$204,3,FALSE()),"UNMAPPED"))</f>
        <v/>
      </c>
    </row>
    <row r="1267" customFormat="false" ht="13.5" hidden="false" customHeight="false" outlineLevel="0" collapsed="false">
      <c r="A1267" s="1" t="str">
        <f aca="false">IF($C1267="","",Controls!$B$7)</f>
        <v/>
      </c>
      <c r="B1267" s="1" t="str">
        <f aca="false">IF($H1267="","",YEAR($H1267)&amp;"-Q"&amp;ROUNDUP(MONTH($H1267)/3,0))</f>
        <v/>
      </c>
      <c r="S1267" s="1" t="str">
        <f aca="false">IF($C1267="","",$C1267&amp;"|"&amp;$E1267&amp;"|"&amp;$F1267&amp;"|"&amp;$L1267&amp;"|"&amp;$P1267&amp;"|"&amp;TEXT($H1267,"yyyy-mm-dd"))</f>
        <v/>
      </c>
      <c r="T1267" s="1" t="str">
        <f aca="false">IF($S1267="","",IF(COUNTIF($S$2:$S$2991,$S1267)&gt;1,"DUPLICATE","OK"))</f>
        <v/>
      </c>
      <c r="U1267" s="0" t="str">
        <f aca="false">IF($L1267="","",IFERROR(VLOOKUP(--$L1267,MM_Income!$Z$5:$AC$204,3,FALSE()),"UNMAPPED"))</f>
        <v/>
      </c>
    </row>
    <row r="1268" customFormat="false" ht="13.5" hidden="false" customHeight="false" outlineLevel="0" collapsed="false">
      <c r="A1268" s="1" t="str">
        <f aca="false">IF($C1268="","",Controls!$B$7)</f>
        <v/>
      </c>
      <c r="B1268" s="1" t="str">
        <f aca="false">IF($H1268="","",YEAR($H1268)&amp;"-Q"&amp;ROUNDUP(MONTH($H1268)/3,0))</f>
        <v/>
      </c>
      <c r="S1268" s="1" t="str">
        <f aca="false">IF($C1268="","",$C1268&amp;"|"&amp;$E1268&amp;"|"&amp;$F1268&amp;"|"&amp;$L1268&amp;"|"&amp;$P1268&amp;"|"&amp;TEXT($H1268,"yyyy-mm-dd"))</f>
        <v/>
      </c>
      <c r="T1268" s="1" t="str">
        <f aca="false">IF($S1268="","",IF(COUNTIF($S$2:$S$2991,$S1268)&gt;1,"DUPLICATE","OK"))</f>
        <v/>
      </c>
      <c r="U1268" s="0" t="str">
        <f aca="false">IF($L1268="","",IFERROR(VLOOKUP(--$L1268,MM_Income!$Z$5:$AC$204,3,FALSE()),"UNMAPPED"))</f>
        <v/>
      </c>
    </row>
    <row r="1269" customFormat="false" ht="13.5" hidden="false" customHeight="false" outlineLevel="0" collapsed="false">
      <c r="A1269" s="1" t="str">
        <f aca="false">IF($C1269="","",Controls!$B$7)</f>
        <v/>
      </c>
      <c r="B1269" s="1" t="str">
        <f aca="false">IF($H1269="","",YEAR($H1269)&amp;"-Q"&amp;ROUNDUP(MONTH($H1269)/3,0))</f>
        <v/>
      </c>
      <c r="S1269" s="1" t="str">
        <f aca="false">IF($C1269="","",$C1269&amp;"|"&amp;$E1269&amp;"|"&amp;$F1269&amp;"|"&amp;$L1269&amp;"|"&amp;$P1269&amp;"|"&amp;TEXT($H1269,"yyyy-mm-dd"))</f>
        <v/>
      </c>
      <c r="T1269" s="1" t="str">
        <f aca="false">IF($S1269="","",IF(COUNTIF($S$2:$S$2991,$S1269)&gt;1,"DUPLICATE","OK"))</f>
        <v/>
      </c>
      <c r="U1269" s="0" t="str">
        <f aca="false">IF($L1269="","",IFERROR(VLOOKUP(--$L1269,MM_Income!$Z$5:$AC$204,3,FALSE()),"UNMAPPED"))</f>
        <v/>
      </c>
    </row>
    <row r="1270" customFormat="false" ht="13.5" hidden="false" customHeight="false" outlineLevel="0" collapsed="false">
      <c r="A1270" s="1" t="str">
        <f aca="false">IF($C1270="","",Controls!$B$7)</f>
        <v/>
      </c>
      <c r="B1270" s="1" t="str">
        <f aca="false">IF($H1270="","",YEAR($H1270)&amp;"-Q"&amp;ROUNDUP(MONTH($H1270)/3,0))</f>
        <v/>
      </c>
      <c r="S1270" s="1" t="str">
        <f aca="false">IF($C1270="","",$C1270&amp;"|"&amp;$E1270&amp;"|"&amp;$F1270&amp;"|"&amp;$L1270&amp;"|"&amp;$P1270&amp;"|"&amp;TEXT($H1270,"yyyy-mm-dd"))</f>
        <v/>
      </c>
      <c r="T1270" s="1" t="str">
        <f aca="false">IF($S1270="","",IF(COUNTIF($S$2:$S$2991,$S1270)&gt;1,"DUPLICATE","OK"))</f>
        <v/>
      </c>
      <c r="U1270" s="0" t="str">
        <f aca="false">IF($L1270="","",IFERROR(VLOOKUP(--$L1270,MM_Income!$Z$5:$AC$204,3,FALSE()),"UNMAPPED"))</f>
        <v/>
      </c>
    </row>
    <row r="1271" customFormat="false" ht="13.5" hidden="false" customHeight="false" outlineLevel="0" collapsed="false">
      <c r="A1271" s="1" t="str">
        <f aca="false">IF($C1271="","",Controls!$B$7)</f>
        <v/>
      </c>
      <c r="B1271" s="1" t="str">
        <f aca="false">IF($H1271="","",YEAR($H1271)&amp;"-Q"&amp;ROUNDUP(MONTH($H1271)/3,0))</f>
        <v/>
      </c>
      <c r="S1271" s="1" t="str">
        <f aca="false">IF($C1271="","",$C1271&amp;"|"&amp;$E1271&amp;"|"&amp;$F1271&amp;"|"&amp;$L1271&amp;"|"&amp;$P1271&amp;"|"&amp;TEXT($H1271,"yyyy-mm-dd"))</f>
        <v/>
      </c>
      <c r="T1271" s="1" t="str">
        <f aca="false">IF($S1271="","",IF(COUNTIF($S$2:$S$2991,$S1271)&gt;1,"DUPLICATE","OK"))</f>
        <v/>
      </c>
      <c r="U1271" s="0" t="str">
        <f aca="false">IF($L1271="","",IFERROR(VLOOKUP(--$L1271,MM_Income!$Z$5:$AC$204,3,FALSE()),"UNMAPPED"))</f>
        <v/>
      </c>
    </row>
    <row r="1272" customFormat="false" ht="13.5" hidden="false" customHeight="false" outlineLevel="0" collapsed="false">
      <c r="A1272" s="1" t="str">
        <f aca="false">IF($C1272="","",Controls!$B$7)</f>
        <v/>
      </c>
      <c r="B1272" s="1" t="str">
        <f aca="false">IF($H1272="","",YEAR($H1272)&amp;"-Q"&amp;ROUNDUP(MONTH($H1272)/3,0))</f>
        <v/>
      </c>
      <c r="S1272" s="1" t="str">
        <f aca="false">IF($C1272="","",$C1272&amp;"|"&amp;$E1272&amp;"|"&amp;$F1272&amp;"|"&amp;$L1272&amp;"|"&amp;$P1272&amp;"|"&amp;TEXT($H1272,"yyyy-mm-dd"))</f>
        <v/>
      </c>
      <c r="T1272" s="1" t="str">
        <f aca="false">IF($S1272="","",IF(COUNTIF($S$2:$S$2991,$S1272)&gt;1,"DUPLICATE","OK"))</f>
        <v/>
      </c>
      <c r="U1272" s="0" t="str">
        <f aca="false">IF($L1272="","",IFERROR(VLOOKUP(--$L1272,MM_Income!$Z$5:$AC$204,3,FALSE()),"UNMAPPED"))</f>
        <v/>
      </c>
    </row>
    <row r="1273" customFormat="false" ht="13.5" hidden="false" customHeight="false" outlineLevel="0" collapsed="false">
      <c r="A1273" s="1" t="str">
        <f aca="false">IF($C1273="","",Controls!$B$7)</f>
        <v/>
      </c>
      <c r="B1273" s="1" t="str">
        <f aca="false">IF($H1273="","",YEAR($H1273)&amp;"-Q"&amp;ROUNDUP(MONTH($H1273)/3,0))</f>
        <v/>
      </c>
      <c r="S1273" s="1" t="str">
        <f aca="false">IF($C1273="","",$C1273&amp;"|"&amp;$E1273&amp;"|"&amp;$F1273&amp;"|"&amp;$L1273&amp;"|"&amp;$P1273&amp;"|"&amp;TEXT($H1273,"yyyy-mm-dd"))</f>
        <v/>
      </c>
      <c r="T1273" s="1" t="str">
        <f aca="false">IF($S1273="","",IF(COUNTIF($S$2:$S$2991,$S1273)&gt;1,"DUPLICATE","OK"))</f>
        <v/>
      </c>
      <c r="U1273" s="0" t="str">
        <f aca="false">IF($L1273="","",IFERROR(VLOOKUP(--$L1273,MM_Income!$Z$5:$AC$204,3,FALSE()),"UNMAPPED"))</f>
        <v/>
      </c>
    </row>
    <row r="1274" customFormat="false" ht="13.5" hidden="false" customHeight="false" outlineLevel="0" collapsed="false">
      <c r="A1274" s="1" t="str">
        <f aca="false">IF($C1274="","",Controls!$B$7)</f>
        <v/>
      </c>
      <c r="B1274" s="1" t="str">
        <f aca="false">IF($H1274="","",YEAR($H1274)&amp;"-Q"&amp;ROUNDUP(MONTH($H1274)/3,0))</f>
        <v/>
      </c>
      <c r="S1274" s="1" t="str">
        <f aca="false">IF($C1274="","",$C1274&amp;"|"&amp;$E1274&amp;"|"&amp;$F1274&amp;"|"&amp;$L1274&amp;"|"&amp;$P1274&amp;"|"&amp;TEXT($H1274,"yyyy-mm-dd"))</f>
        <v/>
      </c>
      <c r="T1274" s="1" t="str">
        <f aca="false">IF($S1274="","",IF(COUNTIF($S$2:$S$2991,$S1274)&gt;1,"DUPLICATE","OK"))</f>
        <v/>
      </c>
      <c r="U1274" s="0" t="str">
        <f aca="false">IF($L1274="","",IFERROR(VLOOKUP(--$L1274,MM_Income!$Z$5:$AC$204,3,FALSE()),"UNMAPPED"))</f>
        <v/>
      </c>
    </row>
    <row r="1275" customFormat="false" ht="13.5" hidden="false" customHeight="false" outlineLevel="0" collapsed="false">
      <c r="A1275" s="1" t="str">
        <f aca="false">IF($C1275="","",Controls!$B$7)</f>
        <v/>
      </c>
      <c r="B1275" s="1" t="str">
        <f aca="false">IF($H1275="","",YEAR($H1275)&amp;"-Q"&amp;ROUNDUP(MONTH($H1275)/3,0))</f>
        <v/>
      </c>
      <c r="S1275" s="1" t="str">
        <f aca="false">IF($C1275="","",$C1275&amp;"|"&amp;$E1275&amp;"|"&amp;$F1275&amp;"|"&amp;$L1275&amp;"|"&amp;$P1275&amp;"|"&amp;TEXT($H1275,"yyyy-mm-dd"))</f>
        <v/>
      </c>
      <c r="T1275" s="1" t="str">
        <f aca="false">IF($S1275="","",IF(COUNTIF($S$2:$S$2991,$S1275)&gt;1,"DUPLICATE","OK"))</f>
        <v/>
      </c>
      <c r="U1275" s="0" t="str">
        <f aca="false">IF($L1275="","",IFERROR(VLOOKUP(--$L1275,MM_Income!$Z$5:$AC$204,3,FALSE()),"UNMAPPED"))</f>
        <v/>
      </c>
    </row>
    <row r="1276" customFormat="false" ht="13.5" hidden="false" customHeight="false" outlineLevel="0" collapsed="false">
      <c r="A1276" s="1" t="str">
        <f aca="false">IF($C1276="","",Controls!$B$7)</f>
        <v/>
      </c>
      <c r="B1276" s="1" t="str">
        <f aca="false">IF($H1276="","",YEAR($H1276)&amp;"-Q"&amp;ROUNDUP(MONTH($H1276)/3,0))</f>
        <v/>
      </c>
      <c r="S1276" s="1" t="str">
        <f aca="false">IF($C1276="","",$C1276&amp;"|"&amp;$E1276&amp;"|"&amp;$F1276&amp;"|"&amp;$L1276&amp;"|"&amp;$P1276&amp;"|"&amp;TEXT($H1276,"yyyy-mm-dd"))</f>
        <v/>
      </c>
      <c r="T1276" s="1" t="str">
        <f aca="false">IF($S1276="","",IF(COUNTIF($S$2:$S$2991,$S1276)&gt;1,"DUPLICATE","OK"))</f>
        <v/>
      </c>
      <c r="U1276" s="0" t="str">
        <f aca="false">IF($L1276="","",IFERROR(VLOOKUP(--$L1276,MM_Income!$Z$5:$AC$204,3,FALSE()),"UNMAPPED"))</f>
        <v/>
      </c>
    </row>
    <row r="1277" customFormat="false" ht="13.5" hidden="false" customHeight="false" outlineLevel="0" collapsed="false">
      <c r="A1277" s="1" t="str">
        <f aca="false">IF($C1277="","",Controls!$B$7)</f>
        <v/>
      </c>
      <c r="B1277" s="1" t="str">
        <f aca="false">IF($H1277="","",YEAR($H1277)&amp;"-Q"&amp;ROUNDUP(MONTH($H1277)/3,0))</f>
        <v/>
      </c>
      <c r="S1277" s="1" t="str">
        <f aca="false">IF($C1277="","",$C1277&amp;"|"&amp;$E1277&amp;"|"&amp;$F1277&amp;"|"&amp;$L1277&amp;"|"&amp;$P1277&amp;"|"&amp;TEXT($H1277,"yyyy-mm-dd"))</f>
        <v/>
      </c>
      <c r="T1277" s="1" t="str">
        <f aca="false">IF($S1277="","",IF(COUNTIF($S$2:$S$2991,$S1277)&gt;1,"DUPLICATE","OK"))</f>
        <v/>
      </c>
      <c r="U1277" s="0" t="str">
        <f aca="false">IF($L1277="","",IFERROR(VLOOKUP(--$L1277,MM_Income!$Z$5:$AC$204,3,FALSE()),"UNMAPPED"))</f>
        <v/>
      </c>
    </row>
    <row r="1278" customFormat="false" ht="13.5" hidden="false" customHeight="false" outlineLevel="0" collapsed="false">
      <c r="A1278" s="1" t="str">
        <f aca="false">IF($C1278="","",Controls!$B$7)</f>
        <v/>
      </c>
      <c r="B1278" s="1" t="str">
        <f aca="false">IF($H1278="","",YEAR($H1278)&amp;"-Q"&amp;ROUNDUP(MONTH($H1278)/3,0))</f>
        <v/>
      </c>
      <c r="S1278" s="1" t="str">
        <f aca="false">IF($C1278="","",$C1278&amp;"|"&amp;$E1278&amp;"|"&amp;$F1278&amp;"|"&amp;$L1278&amp;"|"&amp;$P1278&amp;"|"&amp;TEXT($H1278,"yyyy-mm-dd"))</f>
        <v/>
      </c>
      <c r="T1278" s="1" t="str">
        <f aca="false">IF($S1278="","",IF(COUNTIF($S$2:$S$2991,$S1278)&gt;1,"DUPLICATE","OK"))</f>
        <v/>
      </c>
      <c r="U1278" s="0" t="str">
        <f aca="false">IF($L1278="","",IFERROR(VLOOKUP(--$L1278,MM_Income!$Z$5:$AC$204,3,FALSE()),"UNMAPPED"))</f>
        <v/>
      </c>
    </row>
    <row r="1279" customFormat="false" ht="13.5" hidden="false" customHeight="false" outlineLevel="0" collapsed="false">
      <c r="A1279" s="1" t="str">
        <f aca="false">IF($C1279="","",Controls!$B$7)</f>
        <v/>
      </c>
      <c r="B1279" s="1" t="str">
        <f aca="false">IF($H1279="","",YEAR($H1279)&amp;"-Q"&amp;ROUNDUP(MONTH($H1279)/3,0))</f>
        <v/>
      </c>
      <c r="S1279" s="1" t="str">
        <f aca="false">IF($C1279="","",$C1279&amp;"|"&amp;$E1279&amp;"|"&amp;$F1279&amp;"|"&amp;$L1279&amp;"|"&amp;$P1279&amp;"|"&amp;TEXT($H1279,"yyyy-mm-dd"))</f>
        <v/>
      </c>
      <c r="T1279" s="1" t="str">
        <f aca="false">IF($S1279="","",IF(COUNTIF($S$2:$S$2991,$S1279)&gt;1,"DUPLICATE","OK"))</f>
        <v/>
      </c>
      <c r="U1279" s="0" t="str">
        <f aca="false">IF($L1279="","",IFERROR(VLOOKUP(--$L1279,MM_Income!$Z$5:$AC$204,3,FALSE()),"UNMAPPED"))</f>
        <v/>
      </c>
    </row>
    <row r="1280" customFormat="false" ht="13.5" hidden="false" customHeight="false" outlineLevel="0" collapsed="false">
      <c r="A1280" s="1" t="str">
        <f aca="false">IF($C1280="","",Controls!$B$7)</f>
        <v/>
      </c>
      <c r="B1280" s="1" t="str">
        <f aca="false">IF($H1280="","",YEAR($H1280)&amp;"-Q"&amp;ROUNDUP(MONTH($H1280)/3,0))</f>
        <v/>
      </c>
      <c r="S1280" s="1" t="str">
        <f aca="false">IF($C1280="","",$C1280&amp;"|"&amp;$E1280&amp;"|"&amp;$F1280&amp;"|"&amp;$L1280&amp;"|"&amp;$P1280&amp;"|"&amp;TEXT($H1280,"yyyy-mm-dd"))</f>
        <v/>
      </c>
      <c r="T1280" s="1" t="str">
        <f aca="false">IF($S1280="","",IF(COUNTIF($S$2:$S$2991,$S1280)&gt;1,"DUPLICATE","OK"))</f>
        <v/>
      </c>
      <c r="U1280" s="0" t="str">
        <f aca="false">IF($L1280="","",IFERROR(VLOOKUP(--$L1280,MM_Income!$Z$5:$AC$204,3,FALSE()),"UNMAPPED"))</f>
        <v/>
      </c>
    </row>
    <row r="1281" customFormat="false" ht="13.5" hidden="false" customHeight="false" outlineLevel="0" collapsed="false">
      <c r="A1281" s="1" t="str">
        <f aca="false">IF($C1281="","",Controls!$B$7)</f>
        <v/>
      </c>
      <c r="B1281" s="1" t="str">
        <f aca="false">IF($H1281="","",YEAR($H1281)&amp;"-Q"&amp;ROUNDUP(MONTH($H1281)/3,0))</f>
        <v/>
      </c>
      <c r="S1281" s="1" t="str">
        <f aca="false">IF($C1281="","",$C1281&amp;"|"&amp;$E1281&amp;"|"&amp;$F1281&amp;"|"&amp;$L1281&amp;"|"&amp;$P1281&amp;"|"&amp;TEXT($H1281,"yyyy-mm-dd"))</f>
        <v/>
      </c>
      <c r="T1281" s="1" t="str">
        <f aca="false">IF($S1281="","",IF(COUNTIF($S$2:$S$2991,$S1281)&gt;1,"DUPLICATE","OK"))</f>
        <v/>
      </c>
      <c r="U1281" s="0" t="str">
        <f aca="false">IF($L1281="","",IFERROR(VLOOKUP(--$L1281,MM_Income!$Z$5:$AC$204,3,FALSE()),"UNMAPPED"))</f>
        <v/>
      </c>
    </row>
    <row r="1282" customFormat="false" ht="13.5" hidden="false" customHeight="false" outlineLevel="0" collapsed="false">
      <c r="A1282" s="1" t="str">
        <f aca="false">IF($C1282="","",Controls!$B$7)</f>
        <v/>
      </c>
      <c r="B1282" s="1" t="str">
        <f aca="false">IF($H1282="","",YEAR($H1282)&amp;"-Q"&amp;ROUNDUP(MONTH($H1282)/3,0))</f>
        <v/>
      </c>
      <c r="S1282" s="1" t="str">
        <f aca="false">IF($C1282="","",$C1282&amp;"|"&amp;$E1282&amp;"|"&amp;$F1282&amp;"|"&amp;$L1282&amp;"|"&amp;$P1282&amp;"|"&amp;TEXT($H1282,"yyyy-mm-dd"))</f>
        <v/>
      </c>
      <c r="T1282" s="1" t="str">
        <f aca="false">IF($S1282="","",IF(COUNTIF($S$2:$S$2991,$S1282)&gt;1,"DUPLICATE","OK"))</f>
        <v/>
      </c>
      <c r="U1282" s="0" t="str">
        <f aca="false">IF($L1282="","",IFERROR(VLOOKUP(--$L1282,MM_Income!$Z$5:$AC$204,3,FALSE()),"UNMAPPED"))</f>
        <v/>
      </c>
    </row>
    <row r="1283" customFormat="false" ht="13.5" hidden="false" customHeight="false" outlineLevel="0" collapsed="false">
      <c r="A1283" s="1" t="str">
        <f aca="false">IF($C1283="","",Controls!$B$7)</f>
        <v/>
      </c>
      <c r="B1283" s="1" t="str">
        <f aca="false">IF($H1283="","",YEAR($H1283)&amp;"-Q"&amp;ROUNDUP(MONTH($H1283)/3,0))</f>
        <v/>
      </c>
      <c r="S1283" s="1" t="str">
        <f aca="false">IF($C1283="","",$C1283&amp;"|"&amp;$E1283&amp;"|"&amp;$F1283&amp;"|"&amp;$L1283&amp;"|"&amp;$P1283&amp;"|"&amp;TEXT($H1283,"yyyy-mm-dd"))</f>
        <v/>
      </c>
      <c r="T1283" s="1" t="str">
        <f aca="false">IF($S1283="","",IF(COUNTIF($S$2:$S$2991,$S1283)&gt;1,"DUPLICATE","OK"))</f>
        <v/>
      </c>
      <c r="U1283" s="0" t="str">
        <f aca="false">IF($L1283="","",IFERROR(VLOOKUP(--$L1283,MM_Income!$Z$5:$AC$204,3,FALSE()),"UNMAPPED"))</f>
        <v/>
      </c>
    </row>
    <row r="1284" customFormat="false" ht="13.5" hidden="false" customHeight="false" outlineLevel="0" collapsed="false">
      <c r="A1284" s="1" t="str">
        <f aca="false">IF($C1284="","",Controls!$B$7)</f>
        <v/>
      </c>
      <c r="B1284" s="1" t="str">
        <f aca="false">IF($H1284="","",YEAR($H1284)&amp;"-Q"&amp;ROUNDUP(MONTH($H1284)/3,0))</f>
        <v/>
      </c>
      <c r="S1284" s="1" t="str">
        <f aca="false">IF($C1284="","",$C1284&amp;"|"&amp;$E1284&amp;"|"&amp;$F1284&amp;"|"&amp;$L1284&amp;"|"&amp;$P1284&amp;"|"&amp;TEXT($H1284,"yyyy-mm-dd"))</f>
        <v/>
      </c>
      <c r="T1284" s="1" t="str">
        <f aca="false">IF($S1284="","",IF(COUNTIF($S$2:$S$2991,$S1284)&gt;1,"DUPLICATE","OK"))</f>
        <v/>
      </c>
      <c r="U1284" s="0" t="str">
        <f aca="false">IF($L1284="","",IFERROR(VLOOKUP(--$L1284,MM_Income!$Z$5:$AC$204,3,FALSE()),"UNMAPPED"))</f>
        <v/>
      </c>
    </row>
    <row r="1285" customFormat="false" ht="13.5" hidden="false" customHeight="false" outlineLevel="0" collapsed="false">
      <c r="A1285" s="1" t="str">
        <f aca="false">IF($C1285="","",Controls!$B$7)</f>
        <v/>
      </c>
      <c r="B1285" s="1" t="str">
        <f aca="false">IF($H1285="","",YEAR($H1285)&amp;"-Q"&amp;ROUNDUP(MONTH($H1285)/3,0))</f>
        <v/>
      </c>
      <c r="S1285" s="1" t="str">
        <f aca="false">IF($C1285="","",$C1285&amp;"|"&amp;$E1285&amp;"|"&amp;$F1285&amp;"|"&amp;$L1285&amp;"|"&amp;$P1285&amp;"|"&amp;TEXT($H1285,"yyyy-mm-dd"))</f>
        <v/>
      </c>
      <c r="T1285" s="1" t="str">
        <f aca="false">IF($S1285="","",IF(COUNTIF($S$2:$S$2991,$S1285)&gt;1,"DUPLICATE","OK"))</f>
        <v/>
      </c>
      <c r="U1285" s="0" t="str">
        <f aca="false">IF($L1285="","",IFERROR(VLOOKUP(--$L1285,MM_Income!$Z$5:$AC$204,3,FALSE()),"UNMAPPED"))</f>
        <v/>
      </c>
    </row>
    <row r="1286" customFormat="false" ht="13.5" hidden="false" customHeight="false" outlineLevel="0" collapsed="false">
      <c r="A1286" s="1" t="str">
        <f aca="false">IF($C1286="","",Controls!$B$7)</f>
        <v/>
      </c>
      <c r="B1286" s="1" t="str">
        <f aca="false">IF($H1286="","",YEAR($H1286)&amp;"-Q"&amp;ROUNDUP(MONTH($H1286)/3,0))</f>
        <v/>
      </c>
      <c r="S1286" s="1" t="str">
        <f aca="false">IF($C1286="","",$C1286&amp;"|"&amp;$E1286&amp;"|"&amp;$F1286&amp;"|"&amp;$L1286&amp;"|"&amp;$P1286&amp;"|"&amp;TEXT($H1286,"yyyy-mm-dd"))</f>
        <v/>
      </c>
      <c r="T1286" s="1" t="str">
        <f aca="false">IF($S1286="","",IF(COUNTIF($S$2:$S$2991,$S1286)&gt;1,"DUPLICATE","OK"))</f>
        <v/>
      </c>
      <c r="U1286" s="0" t="str">
        <f aca="false">IF($L1286="","",IFERROR(VLOOKUP(--$L1286,MM_Income!$Z$5:$AC$204,3,FALSE()),"UNMAPPED"))</f>
        <v/>
      </c>
    </row>
    <row r="1287" customFormat="false" ht="13.5" hidden="false" customHeight="false" outlineLevel="0" collapsed="false">
      <c r="A1287" s="1" t="str">
        <f aca="false">IF($C1287="","",Controls!$B$7)</f>
        <v/>
      </c>
      <c r="B1287" s="1" t="str">
        <f aca="false">IF($H1287="","",YEAR($H1287)&amp;"-Q"&amp;ROUNDUP(MONTH($H1287)/3,0))</f>
        <v/>
      </c>
      <c r="S1287" s="1" t="str">
        <f aca="false">IF($C1287="","",$C1287&amp;"|"&amp;$E1287&amp;"|"&amp;$F1287&amp;"|"&amp;$L1287&amp;"|"&amp;$P1287&amp;"|"&amp;TEXT($H1287,"yyyy-mm-dd"))</f>
        <v/>
      </c>
      <c r="T1287" s="1" t="str">
        <f aca="false">IF($S1287="","",IF(COUNTIF($S$2:$S$2991,$S1287)&gt;1,"DUPLICATE","OK"))</f>
        <v/>
      </c>
      <c r="U1287" s="0" t="str">
        <f aca="false">IF($L1287="","",IFERROR(VLOOKUP(--$L1287,MM_Income!$Z$5:$AC$204,3,FALSE()),"UNMAPPED"))</f>
        <v/>
      </c>
    </row>
    <row r="1288" customFormat="false" ht="13.5" hidden="false" customHeight="false" outlineLevel="0" collapsed="false">
      <c r="A1288" s="1" t="str">
        <f aca="false">IF($C1288="","",Controls!$B$7)</f>
        <v/>
      </c>
      <c r="B1288" s="1" t="str">
        <f aca="false">IF($H1288="","",YEAR($H1288)&amp;"-Q"&amp;ROUNDUP(MONTH($H1288)/3,0))</f>
        <v/>
      </c>
      <c r="S1288" s="1" t="str">
        <f aca="false">IF($C1288="","",$C1288&amp;"|"&amp;$E1288&amp;"|"&amp;$F1288&amp;"|"&amp;$L1288&amp;"|"&amp;$P1288&amp;"|"&amp;TEXT($H1288,"yyyy-mm-dd"))</f>
        <v/>
      </c>
      <c r="T1288" s="1" t="str">
        <f aca="false">IF($S1288="","",IF(COUNTIF($S$2:$S$2991,$S1288)&gt;1,"DUPLICATE","OK"))</f>
        <v/>
      </c>
      <c r="U1288" s="0" t="str">
        <f aca="false">IF($L1288="","",IFERROR(VLOOKUP(--$L1288,MM_Income!$Z$5:$AC$204,3,FALSE()),"UNMAPPED"))</f>
        <v/>
      </c>
    </row>
    <row r="1289" customFormat="false" ht="13.5" hidden="false" customHeight="false" outlineLevel="0" collapsed="false">
      <c r="A1289" s="1" t="str">
        <f aca="false">IF($C1289="","",Controls!$B$7)</f>
        <v/>
      </c>
      <c r="B1289" s="1" t="str">
        <f aca="false">IF($H1289="","",YEAR($H1289)&amp;"-Q"&amp;ROUNDUP(MONTH($H1289)/3,0))</f>
        <v/>
      </c>
      <c r="S1289" s="1" t="str">
        <f aca="false">IF($C1289="","",$C1289&amp;"|"&amp;$E1289&amp;"|"&amp;$F1289&amp;"|"&amp;$L1289&amp;"|"&amp;$P1289&amp;"|"&amp;TEXT($H1289,"yyyy-mm-dd"))</f>
        <v/>
      </c>
      <c r="T1289" s="1" t="str">
        <f aca="false">IF($S1289="","",IF(COUNTIF($S$2:$S$2991,$S1289)&gt;1,"DUPLICATE","OK"))</f>
        <v/>
      </c>
      <c r="U1289" s="0" t="str">
        <f aca="false">IF($L1289="","",IFERROR(VLOOKUP(--$L1289,MM_Income!$Z$5:$AC$204,3,FALSE()),"UNMAPPED"))</f>
        <v/>
      </c>
    </row>
    <row r="1290" customFormat="false" ht="13.5" hidden="false" customHeight="false" outlineLevel="0" collapsed="false">
      <c r="A1290" s="1" t="str">
        <f aca="false">IF($C1290="","",Controls!$B$7)</f>
        <v/>
      </c>
      <c r="B1290" s="1" t="str">
        <f aca="false">IF($H1290="","",YEAR($H1290)&amp;"-Q"&amp;ROUNDUP(MONTH($H1290)/3,0))</f>
        <v/>
      </c>
      <c r="S1290" s="1" t="str">
        <f aca="false">IF($C1290="","",$C1290&amp;"|"&amp;$E1290&amp;"|"&amp;$F1290&amp;"|"&amp;$L1290&amp;"|"&amp;$P1290&amp;"|"&amp;TEXT($H1290,"yyyy-mm-dd"))</f>
        <v/>
      </c>
      <c r="T1290" s="1" t="str">
        <f aca="false">IF($S1290="","",IF(COUNTIF($S$2:$S$2991,$S1290)&gt;1,"DUPLICATE","OK"))</f>
        <v/>
      </c>
      <c r="U1290" s="0" t="str">
        <f aca="false">IF($L1290="","",IFERROR(VLOOKUP(--$L1290,MM_Income!$Z$5:$AC$204,3,FALSE()),"UNMAPPED"))</f>
        <v/>
      </c>
    </row>
    <row r="1291" customFormat="false" ht="13.5" hidden="false" customHeight="false" outlineLevel="0" collapsed="false">
      <c r="A1291" s="1" t="str">
        <f aca="false">IF($C1291="","",Controls!$B$7)</f>
        <v/>
      </c>
      <c r="B1291" s="1" t="str">
        <f aca="false">IF($H1291="","",YEAR($H1291)&amp;"-Q"&amp;ROUNDUP(MONTH($H1291)/3,0))</f>
        <v/>
      </c>
      <c r="S1291" s="1" t="str">
        <f aca="false">IF($C1291="","",$C1291&amp;"|"&amp;$E1291&amp;"|"&amp;$F1291&amp;"|"&amp;$L1291&amp;"|"&amp;$P1291&amp;"|"&amp;TEXT($H1291,"yyyy-mm-dd"))</f>
        <v/>
      </c>
      <c r="T1291" s="1" t="str">
        <f aca="false">IF($S1291="","",IF(COUNTIF($S$2:$S$2991,$S1291)&gt;1,"DUPLICATE","OK"))</f>
        <v/>
      </c>
      <c r="U1291" s="0" t="str">
        <f aca="false">IF($L1291="","",IFERROR(VLOOKUP(--$L1291,MM_Income!$Z$5:$AC$204,3,FALSE()),"UNMAPPED"))</f>
        <v/>
      </c>
    </row>
    <row r="1292" customFormat="false" ht="13.5" hidden="false" customHeight="false" outlineLevel="0" collapsed="false">
      <c r="A1292" s="1" t="str">
        <f aca="false">IF($C1292="","",Controls!$B$7)</f>
        <v/>
      </c>
      <c r="B1292" s="1" t="str">
        <f aca="false">IF($H1292="","",YEAR($H1292)&amp;"-Q"&amp;ROUNDUP(MONTH($H1292)/3,0))</f>
        <v/>
      </c>
      <c r="S1292" s="1" t="str">
        <f aca="false">IF($C1292="","",$C1292&amp;"|"&amp;$E1292&amp;"|"&amp;$F1292&amp;"|"&amp;$L1292&amp;"|"&amp;$P1292&amp;"|"&amp;TEXT($H1292,"yyyy-mm-dd"))</f>
        <v/>
      </c>
      <c r="T1292" s="1" t="str">
        <f aca="false">IF($S1292="","",IF(COUNTIF($S$2:$S$2991,$S1292)&gt;1,"DUPLICATE","OK"))</f>
        <v/>
      </c>
      <c r="U1292" s="0" t="str">
        <f aca="false">IF($L1292="","",IFERROR(VLOOKUP(--$L1292,MM_Income!$Z$5:$AC$204,3,FALSE()),"UNMAPPED"))</f>
        <v/>
      </c>
    </row>
    <row r="1293" customFormat="false" ht="13.5" hidden="false" customHeight="false" outlineLevel="0" collapsed="false">
      <c r="A1293" s="1" t="str">
        <f aca="false">IF($C1293="","",Controls!$B$7)</f>
        <v/>
      </c>
      <c r="B1293" s="1" t="str">
        <f aca="false">IF($H1293="","",YEAR($H1293)&amp;"-Q"&amp;ROUNDUP(MONTH($H1293)/3,0))</f>
        <v/>
      </c>
      <c r="S1293" s="1" t="str">
        <f aca="false">IF($C1293="","",$C1293&amp;"|"&amp;$E1293&amp;"|"&amp;$F1293&amp;"|"&amp;$L1293&amp;"|"&amp;$P1293&amp;"|"&amp;TEXT($H1293,"yyyy-mm-dd"))</f>
        <v/>
      </c>
      <c r="T1293" s="1" t="str">
        <f aca="false">IF($S1293="","",IF(COUNTIF($S$2:$S$2991,$S1293)&gt;1,"DUPLICATE","OK"))</f>
        <v/>
      </c>
      <c r="U1293" s="0" t="str">
        <f aca="false">IF($L1293="","",IFERROR(VLOOKUP(--$L1293,MM_Income!$Z$5:$AC$204,3,FALSE()),"UNMAPPED"))</f>
        <v/>
      </c>
    </row>
    <row r="1294" customFormat="false" ht="13.5" hidden="false" customHeight="false" outlineLevel="0" collapsed="false">
      <c r="A1294" s="1" t="str">
        <f aca="false">IF($C1294="","",Controls!$B$7)</f>
        <v/>
      </c>
      <c r="B1294" s="1" t="str">
        <f aca="false">IF($H1294="","",YEAR($H1294)&amp;"-Q"&amp;ROUNDUP(MONTH($H1294)/3,0))</f>
        <v/>
      </c>
      <c r="S1294" s="1" t="str">
        <f aca="false">IF($C1294="","",$C1294&amp;"|"&amp;$E1294&amp;"|"&amp;$F1294&amp;"|"&amp;$L1294&amp;"|"&amp;$P1294&amp;"|"&amp;TEXT($H1294,"yyyy-mm-dd"))</f>
        <v/>
      </c>
      <c r="T1294" s="1" t="str">
        <f aca="false">IF($S1294="","",IF(COUNTIF($S$2:$S$2991,$S1294)&gt;1,"DUPLICATE","OK"))</f>
        <v/>
      </c>
      <c r="U1294" s="0" t="str">
        <f aca="false">IF($L1294="","",IFERROR(VLOOKUP(--$L1294,MM_Income!$Z$5:$AC$204,3,FALSE()),"UNMAPPED"))</f>
        <v/>
      </c>
    </row>
    <row r="1295" customFormat="false" ht="13.5" hidden="false" customHeight="false" outlineLevel="0" collapsed="false">
      <c r="A1295" s="1" t="str">
        <f aca="false">IF($C1295="","",Controls!$B$7)</f>
        <v/>
      </c>
      <c r="B1295" s="1" t="str">
        <f aca="false">IF($H1295="","",YEAR($H1295)&amp;"-Q"&amp;ROUNDUP(MONTH($H1295)/3,0))</f>
        <v/>
      </c>
      <c r="S1295" s="1" t="str">
        <f aca="false">IF($C1295="","",$C1295&amp;"|"&amp;$E1295&amp;"|"&amp;$F1295&amp;"|"&amp;$L1295&amp;"|"&amp;$P1295&amp;"|"&amp;TEXT($H1295,"yyyy-mm-dd"))</f>
        <v/>
      </c>
      <c r="T1295" s="1" t="str">
        <f aca="false">IF($S1295="","",IF(COUNTIF($S$2:$S$2991,$S1295)&gt;1,"DUPLICATE","OK"))</f>
        <v/>
      </c>
      <c r="U1295" s="0" t="str">
        <f aca="false">IF($L1295="","",IFERROR(VLOOKUP(--$L1295,MM_Income!$Z$5:$AC$204,3,FALSE()),"UNMAPPED"))</f>
        <v/>
      </c>
    </row>
    <row r="1296" customFormat="false" ht="13.5" hidden="false" customHeight="false" outlineLevel="0" collapsed="false">
      <c r="A1296" s="1" t="str">
        <f aca="false">IF($C1296="","",Controls!$B$7)</f>
        <v/>
      </c>
      <c r="B1296" s="1" t="str">
        <f aca="false">IF($H1296="","",YEAR($H1296)&amp;"-Q"&amp;ROUNDUP(MONTH($H1296)/3,0))</f>
        <v/>
      </c>
      <c r="S1296" s="1" t="str">
        <f aca="false">IF($C1296="","",$C1296&amp;"|"&amp;$E1296&amp;"|"&amp;$F1296&amp;"|"&amp;$L1296&amp;"|"&amp;$P1296&amp;"|"&amp;TEXT($H1296,"yyyy-mm-dd"))</f>
        <v/>
      </c>
      <c r="T1296" s="1" t="str">
        <f aca="false">IF($S1296="","",IF(COUNTIF($S$2:$S$2991,$S1296)&gt;1,"DUPLICATE","OK"))</f>
        <v/>
      </c>
      <c r="U1296" s="0" t="str">
        <f aca="false">IF($L1296="","",IFERROR(VLOOKUP(--$L1296,MM_Income!$Z$5:$AC$204,3,FALSE()),"UNMAPPED"))</f>
        <v/>
      </c>
    </row>
    <row r="1297" customFormat="false" ht="13.5" hidden="false" customHeight="false" outlineLevel="0" collapsed="false">
      <c r="A1297" s="1" t="str">
        <f aca="false">IF($C1297="","",Controls!$B$7)</f>
        <v/>
      </c>
      <c r="B1297" s="1" t="str">
        <f aca="false">IF($H1297="","",YEAR($H1297)&amp;"-Q"&amp;ROUNDUP(MONTH($H1297)/3,0))</f>
        <v/>
      </c>
      <c r="S1297" s="1" t="str">
        <f aca="false">IF($C1297="","",$C1297&amp;"|"&amp;$E1297&amp;"|"&amp;$F1297&amp;"|"&amp;$L1297&amp;"|"&amp;$P1297&amp;"|"&amp;TEXT($H1297,"yyyy-mm-dd"))</f>
        <v/>
      </c>
      <c r="T1297" s="1" t="str">
        <f aca="false">IF($S1297="","",IF(COUNTIF($S$2:$S$2991,$S1297)&gt;1,"DUPLICATE","OK"))</f>
        <v/>
      </c>
      <c r="U1297" s="0" t="str">
        <f aca="false">IF($L1297="","",IFERROR(VLOOKUP(--$L1297,MM_Income!$Z$5:$AC$204,3,FALSE()),"UNMAPPED"))</f>
        <v/>
      </c>
    </row>
    <row r="1298" customFormat="false" ht="13.5" hidden="false" customHeight="false" outlineLevel="0" collapsed="false">
      <c r="A1298" s="1" t="str">
        <f aca="false">IF($C1298="","",Controls!$B$7)</f>
        <v/>
      </c>
      <c r="B1298" s="1" t="str">
        <f aca="false">IF($H1298="","",YEAR($H1298)&amp;"-Q"&amp;ROUNDUP(MONTH($H1298)/3,0))</f>
        <v/>
      </c>
      <c r="S1298" s="1" t="str">
        <f aca="false">IF($C1298="","",$C1298&amp;"|"&amp;$E1298&amp;"|"&amp;$F1298&amp;"|"&amp;$L1298&amp;"|"&amp;$P1298&amp;"|"&amp;TEXT($H1298,"yyyy-mm-dd"))</f>
        <v/>
      </c>
      <c r="T1298" s="1" t="str">
        <f aca="false">IF($S1298="","",IF(COUNTIF($S$2:$S$2991,$S1298)&gt;1,"DUPLICATE","OK"))</f>
        <v/>
      </c>
      <c r="U1298" s="0" t="str">
        <f aca="false">IF($L1298="","",IFERROR(VLOOKUP(--$L1298,MM_Income!$Z$5:$AC$204,3,FALSE()),"UNMAPPED"))</f>
        <v/>
      </c>
    </row>
    <row r="1299" customFormat="false" ht="13.5" hidden="false" customHeight="false" outlineLevel="0" collapsed="false">
      <c r="A1299" s="1" t="str">
        <f aca="false">IF($C1299="","",Controls!$B$7)</f>
        <v/>
      </c>
      <c r="B1299" s="1" t="str">
        <f aca="false">IF($H1299="","",YEAR($H1299)&amp;"-Q"&amp;ROUNDUP(MONTH($H1299)/3,0))</f>
        <v/>
      </c>
      <c r="S1299" s="1" t="str">
        <f aca="false">IF($C1299="","",$C1299&amp;"|"&amp;$E1299&amp;"|"&amp;$F1299&amp;"|"&amp;$L1299&amp;"|"&amp;$P1299&amp;"|"&amp;TEXT($H1299,"yyyy-mm-dd"))</f>
        <v/>
      </c>
      <c r="T1299" s="1" t="str">
        <f aca="false">IF($S1299="","",IF(COUNTIF($S$2:$S$2991,$S1299)&gt;1,"DUPLICATE","OK"))</f>
        <v/>
      </c>
      <c r="U1299" s="0" t="str">
        <f aca="false">IF($L1299="","",IFERROR(VLOOKUP(--$L1299,MM_Income!$Z$5:$AC$204,3,FALSE()),"UNMAPPED"))</f>
        <v/>
      </c>
    </row>
    <row r="1300" customFormat="false" ht="13.5" hidden="false" customHeight="false" outlineLevel="0" collapsed="false">
      <c r="A1300" s="1" t="str">
        <f aca="false">IF($C1300="","",Controls!$B$7)</f>
        <v/>
      </c>
      <c r="B1300" s="1" t="str">
        <f aca="false">IF($H1300="","",YEAR($H1300)&amp;"-Q"&amp;ROUNDUP(MONTH($H1300)/3,0))</f>
        <v/>
      </c>
      <c r="S1300" s="1" t="str">
        <f aca="false">IF($C1300="","",$C1300&amp;"|"&amp;$E1300&amp;"|"&amp;$F1300&amp;"|"&amp;$L1300&amp;"|"&amp;$P1300&amp;"|"&amp;TEXT($H1300,"yyyy-mm-dd"))</f>
        <v/>
      </c>
      <c r="T1300" s="1" t="str">
        <f aca="false">IF($S1300="","",IF(COUNTIF($S$2:$S$2991,$S1300)&gt;1,"DUPLICATE","OK"))</f>
        <v/>
      </c>
      <c r="U1300" s="0" t="str">
        <f aca="false">IF($L1300="","",IFERROR(VLOOKUP(--$L1300,MM_Income!$Z$5:$AC$204,3,FALSE()),"UNMAPPED"))</f>
        <v/>
      </c>
    </row>
    <row r="1301" customFormat="false" ht="13.5" hidden="false" customHeight="false" outlineLevel="0" collapsed="false">
      <c r="A1301" s="1" t="str">
        <f aca="false">IF($C1301="","",Controls!$B$7)</f>
        <v/>
      </c>
      <c r="B1301" s="1" t="str">
        <f aca="false">IF($H1301="","",YEAR($H1301)&amp;"-Q"&amp;ROUNDUP(MONTH($H1301)/3,0))</f>
        <v/>
      </c>
      <c r="S1301" s="1" t="str">
        <f aca="false">IF($C1301="","",$C1301&amp;"|"&amp;$E1301&amp;"|"&amp;$F1301&amp;"|"&amp;$L1301&amp;"|"&amp;$P1301&amp;"|"&amp;TEXT($H1301,"yyyy-mm-dd"))</f>
        <v/>
      </c>
      <c r="T1301" s="1" t="str">
        <f aca="false">IF($S1301="","",IF(COUNTIF($S$2:$S$2991,$S1301)&gt;1,"DUPLICATE","OK"))</f>
        <v/>
      </c>
      <c r="U1301" s="0" t="str">
        <f aca="false">IF($L1301="","",IFERROR(VLOOKUP(--$L1301,MM_Income!$Z$5:$AC$204,3,FALSE()),"UNMAPPED"))</f>
        <v/>
      </c>
    </row>
    <row r="1302" customFormat="false" ht="13.5" hidden="false" customHeight="false" outlineLevel="0" collapsed="false">
      <c r="A1302" s="1" t="str">
        <f aca="false">IF($C1302="","",Controls!$B$7)</f>
        <v/>
      </c>
      <c r="B1302" s="1" t="str">
        <f aca="false">IF($H1302="","",YEAR($H1302)&amp;"-Q"&amp;ROUNDUP(MONTH($H1302)/3,0))</f>
        <v/>
      </c>
      <c r="S1302" s="1" t="str">
        <f aca="false">IF($C1302="","",$C1302&amp;"|"&amp;$E1302&amp;"|"&amp;$F1302&amp;"|"&amp;$L1302&amp;"|"&amp;$P1302&amp;"|"&amp;TEXT($H1302,"yyyy-mm-dd"))</f>
        <v/>
      </c>
      <c r="T1302" s="1" t="str">
        <f aca="false">IF($S1302="","",IF(COUNTIF($S$2:$S$2991,$S1302)&gt;1,"DUPLICATE","OK"))</f>
        <v/>
      </c>
      <c r="U1302" s="0" t="str">
        <f aca="false">IF($L1302="","",IFERROR(VLOOKUP(--$L1302,MM_Income!$Z$5:$AC$204,3,FALSE()),"UNMAPPED"))</f>
        <v/>
      </c>
    </row>
    <row r="1303" customFormat="false" ht="13.5" hidden="false" customHeight="false" outlineLevel="0" collapsed="false">
      <c r="A1303" s="1" t="str">
        <f aca="false">IF($C1303="","",Controls!$B$7)</f>
        <v/>
      </c>
      <c r="B1303" s="1" t="str">
        <f aca="false">IF($H1303="","",YEAR($H1303)&amp;"-Q"&amp;ROUNDUP(MONTH($H1303)/3,0))</f>
        <v/>
      </c>
      <c r="S1303" s="1" t="str">
        <f aca="false">IF($C1303="","",$C1303&amp;"|"&amp;$E1303&amp;"|"&amp;$F1303&amp;"|"&amp;$L1303&amp;"|"&amp;$P1303&amp;"|"&amp;TEXT($H1303,"yyyy-mm-dd"))</f>
        <v/>
      </c>
      <c r="T1303" s="1" t="str">
        <f aca="false">IF($S1303="","",IF(COUNTIF($S$2:$S$2991,$S1303)&gt;1,"DUPLICATE","OK"))</f>
        <v/>
      </c>
      <c r="U1303" s="0" t="str">
        <f aca="false">IF($L1303="","",IFERROR(VLOOKUP(--$L1303,MM_Income!$Z$5:$AC$204,3,FALSE()),"UNMAPPED"))</f>
        <v/>
      </c>
    </row>
    <row r="1304" customFormat="false" ht="13.5" hidden="false" customHeight="false" outlineLevel="0" collapsed="false">
      <c r="A1304" s="1" t="str">
        <f aca="false">IF($C1304="","",Controls!$B$7)</f>
        <v/>
      </c>
      <c r="B1304" s="1" t="str">
        <f aca="false">IF($H1304="","",YEAR($H1304)&amp;"-Q"&amp;ROUNDUP(MONTH($H1304)/3,0))</f>
        <v/>
      </c>
      <c r="S1304" s="1" t="str">
        <f aca="false">IF($C1304="","",$C1304&amp;"|"&amp;$E1304&amp;"|"&amp;$F1304&amp;"|"&amp;$L1304&amp;"|"&amp;$P1304&amp;"|"&amp;TEXT($H1304,"yyyy-mm-dd"))</f>
        <v/>
      </c>
      <c r="T1304" s="1" t="str">
        <f aca="false">IF($S1304="","",IF(COUNTIF($S$2:$S$2991,$S1304)&gt;1,"DUPLICATE","OK"))</f>
        <v/>
      </c>
      <c r="U1304" s="0" t="str">
        <f aca="false">IF($L1304="","",IFERROR(VLOOKUP(--$L1304,MM_Income!$Z$5:$AC$204,3,FALSE()),"UNMAPPED"))</f>
        <v/>
      </c>
    </row>
    <row r="1305" customFormat="false" ht="13.5" hidden="false" customHeight="false" outlineLevel="0" collapsed="false">
      <c r="A1305" s="1" t="str">
        <f aca="false">IF($C1305="","",Controls!$B$7)</f>
        <v/>
      </c>
      <c r="B1305" s="1" t="str">
        <f aca="false">IF($H1305="","",YEAR($H1305)&amp;"-Q"&amp;ROUNDUP(MONTH($H1305)/3,0))</f>
        <v/>
      </c>
      <c r="S1305" s="1" t="str">
        <f aca="false">IF($C1305="","",$C1305&amp;"|"&amp;$E1305&amp;"|"&amp;$F1305&amp;"|"&amp;$L1305&amp;"|"&amp;$P1305&amp;"|"&amp;TEXT($H1305,"yyyy-mm-dd"))</f>
        <v/>
      </c>
      <c r="T1305" s="1" t="str">
        <f aca="false">IF($S1305="","",IF(COUNTIF($S$2:$S$2991,$S1305)&gt;1,"DUPLICATE","OK"))</f>
        <v/>
      </c>
      <c r="U1305" s="0" t="str">
        <f aca="false">IF($L1305="","",IFERROR(VLOOKUP(--$L1305,MM_Income!$Z$5:$AC$204,3,FALSE()),"UNMAPPED"))</f>
        <v/>
      </c>
    </row>
    <row r="1306" customFormat="false" ht="13.5" hidden="false" customHeight="false" outlineLevel="0" collapsed="false">
      <c r="A1306" s="1" t="str">
        <f aca="false">IF($C1306="","",Controls!$B$7)</f>
        <v/>
      </c>
      <c r="B1306" s="1" t="str">
        <f aca="false">IF($H1306="","",YEAR($H1306)&amp;"-Q"&amp;ROUNDUP(MONTH($H1306)/3,0))</f>
        <v/>
      </c>
      <c r="S1306" s="1" t="str">
        <f aca="false">IF($C1306="","",$C1306&amp;"|"&amp;$E1306&amp;"|"&amp;$F1306&amp;"|"&amp;$L1306&amp;"|"&amp;$P1306&amp;"|"&amp;TEXT($H1306,"yyyy-mm-dd"))</f>
        <v/>
      </c>
      <c r="T1306" s="1" t="str">
        <f aca="false">IF($S1306="","",IF(COUNTIF($S$2:$S$2991,$S1306)&gt;1,"DUPLICATE","OK"))</f>
        <v/>
      </c>
      <c r="U1306" s="0" t="str">
        <f aca="false">IF($L1306="","",IFERROR(VLOOKUP(--$L1306,MM_Income!$Z$5:$AC$204,3,FALSE()),"UNMAPPED"))</f>
        <v/>
      </c>
    </row>
    <row r="1307" customFormat="false" ht="13.5" hidden="false" customHeight="false" outlineLevel="0" collapsed="false">
      <c r="A1307" s="1" t="str">
        <f aca="false">IF($C1307="","",Controls!$B$7)</f>
        <v/>
      </c>
      <c r="B1307" s="1" t="str">
        <f aca="false">IF($H1307="","",YEAR($H1307)&amp;"-Q"&amp;ROUNDUP(MONTH($H1307)/3,0))</f>
        <v/>
      </c>
      <c r="S1307" s="1" t="str">
        <f aca="false">IF($C1307="","",$C1307&amp;"|"&amp;$E1307&amp;"|"&amp;$F1307&amp;"|"&amp;$L1307&amp;"|"&amp;$P1307&amp;"|"&amp;TEXT($H1307,"yyyy-mm-dd"))</f>
        <v/>
      </c>
      <c r="T1307" s="1" t="str">
        <f aca="false">IF($S1307="","",IF(COUNTIF($S$2:$S$2991,$S1307)&gt;1,"DUPLICATE","OK"))</f>
        <v/>
      </c>
      <c r="U1307" s="0" t="str">
        <f aca="false">IF($L1307="","",IFERROR(VLOOKUP(--$L1307,MM_Income!$Z$5:$AC$204,3,FALSE()),"UNMAPPED"))</f>
        <v/>
      </c>
    </row>
    <row r="1308" customFormat="false" ht="13.5" hidden="false" customHeight="false" outlineLevel="0" collapsed="false">
      <c r="A1308" s="1" t="str">
        <f aca="false">IF($C1308="","",Controls!$B$7)</f>
        <v/>
      </c>
      <c r="B1308" s="1" t="str">
        <f aca="false">IF($H1308="","",YEAR($H1308)&amp;"-Q"&amp;ROUNDUP(MONTH($H1308)/3,0))</f>
        <v/>
      </c>
      <c r="S1308" s="1" t="str">
        <f aca="false">IF($C1308="","",$C1308&amp;"|"&amp;$E1308&amp;"|"&amp;$F1308&amp;"|"&amp;$L1308&amp;"|"&amp;$P1308&amp;"|"&amp;TEXT($H1308,"yyyy-mm-dd"))</f>
        <v/>
      </c>
      <c r="T1308" s="1" t="str">
        <f aca="false">IF($S1308="","",IF(COUNTIF($S$2:$S$2991,$S1308)&gt;1,"DUPLICATE","OK"))</f>
        <v/>
      </c>
      <c r="U1308" s="0" t="str">
        <f aca="false">IF($L1308="","",IFERROR(VLOOKUP(--$L1308,MM_Income!$Z$5:$AC$204,3,FALSE()),"UNMAPPED"))</f>
        <v/>
      </c>
    </row>
    <row r="1309" customFormat="false" ht="13.5" hidden="false" customHeight="false" outlineLevel="0" collapsed="false">
      <c r="A1309" s="1" t="str">
        <f aca="false">IF($C1309="","",Controls!$B$7)</f>
        <v/>
      </c>
      <c r="B1309" s="1" t="str">
        <f aca="false">IF($H1309="","",YEAR($H1309)&amp;"-Q"&amp;ROUNDUP(MONTH($H1309)/3,0))</f>
        <v/>
      </c>
      <c r="S1309" s="1" t="str">
        <f aca="false">IF($C1309="","",$C1309&amp;"|"&amp;$E1309&amp;"|"&amp;$F1309&amp;"|"&amp;$L1309&amp;"|"&amp;$P1309&amp;"|"&amp;TEXT($H1309,"yyyy-mm-dd"))</f>
        <v/>
      </c>
      <c r="T1309" s="1" t="str">
        <f aca="false">IF($S1309="","",IF(COUNTIF($S$2:$S$2991,$S1309)&gt;1,"DUPLICATE","OK"))</f>
        <v/>
      </c>
      <c r="U1309" s="0" t="str">
        <f aca="false">IF($L1309="","",IFERROR(VLOOKUP(--$L1309,MM_Income!$Z$5:$AC$204,3,FALSE()),"UNMAPPED"))</f>
        <v/>
      </c>
    </row>
    <row r="1310" customFormat="false" ht="13.5" hidden="false" customHeight="false" outlineLevel="0" collapsed="false">
      <c r="A1310" s="1" t="str">
        <f aca="false">IF($C1310="","",Controls!$B$7)</f>
        <v/>
      </c>
      <c r="B1310" s="1" t="str">
        <f aca="false">IF($H1310="","",YEAR($H1310)&amp;"-Q"&amp;ROUNDUP(MONTH($H1310)/3,0))</f>
        <v/>
      </c>
      <c r="S1310" s="1" t="str">
        <f aca="false">IF($C1310="","",$C1310&amp;"|"&amp;$E1310&amp;"|"&amp;$F1310&amp;"|"&amp;$L1310&amp;"|"&amp;$P1310&amp;"|"&amp;TEXT($H1310,"yyyy-mm-dd"))</f>
        <v/>
      </c>
      <c r="T1310" s="1" t="str">
        <f aca="false">IF($S1310="","",IF(COUNTIF($S$2:$S$2991,$S1310)&gt;1,"DUPLICATE","OK"))</f>
        <v/>
      </c>
      <c r="U1310" s="0" t="str">
        <f aca="false">IF($L1310="","",IFERROR(VLOOKUP(--$L1310,MM_Income!$Z$5:$AC$204,3,FALSE()),"UNMAPPED"))</f>
        <v/>
      </c>
    </row>
    <row r="1311" customFormat="false" ht="13.5" hidden="false" customHeight="false" outlineLevel="0" collapsed="false">
      <c r="A1311" s="1" t="str">
        <f aca="false">IF($C1311="","",Controls!$B$7)</f>
        <v/>
      </c>
      <c r="B1311" s="1" t="str">
        <f aca="false">IF($H1311="","",YEAR($H1311)&amp;"-Q"&amp;ROUNDUP(MONTH($H1311)/3,0))</f>
        <v/>
      </c>
      <c r="S1311" s="1" t="str">
        <f aca="false">IF($C1311="","",$C1311&amp;"|"&amp;$E1311&amp;"|"&amp;$F1311&amp;"|"&amp;$L1311&amp;"|"&amp;$P1311&amp;"|"&amp;TEXT($H1311,"yyyy-mm-dd"))</f>
        <v/>
      </c>
      <c r="T1311" s="1" t="str">
        <f aca="false">IF($S1311="","",IF(COUNTIF($S$2:$S$2991,$S1311)&gt;1,"DUPLICATE","OK"))</f>
        <v/>
      </c>
      <c r="U1311" s="0" t="str">
        <f aca="false">IF($L1311="","",IFERROR(VLOOKUP(--$L1311,MM_Income!$Z$5:$AC$204,3,FALSE()),"UNMAPPED"))</f>
        <v/>
      </c>
    </row>
    <row r="1312" customFormat="false" ht="13.5" hidden="false" customHeight="false" outlineLevel="0" collapsed="false">
      <c r="A1312" s="1" t="str">
        <f aca="false">IF($C1312="","",Controls!$B$7)</f>
        <v/>
      </c>
      <c r="B1312" s="1" t="str">
        <f aca="false">IF($H1312="","",YEAR($H1312)&amp;"-Q"&amp;ROUNDUP(MONTH($H1312)/3,0))</f>
        <v/>
      </c>
      <c r="S1312" s="1" t="str">
        <f aca="false">IF($C1312="","",$C1312&amp;"|"&amp;$E1312&amp;"|"&amp;$F1312&amp;"|"&amp;$L1312&amp;"|"&amp;$P1312&amp;"|"&amp;TEXT($H1312,"yyyy-mm-dd"))</f>
        <v/>
      </c>
      <c r="T1312" s="1" t="str">
        <f aca="false">IF($S1312="","",IF(COUNTIF($S$2:$S$2991,$S1312)&gt;1,"DUPLICATE","OK"))</f>
        <v/>
      </c>
      <c r="U1312" s="0" t="str">
        <f aca="false">IF($L1312="","",IFERROR(VLOOKUP(--$L1312,MM_Income!$Z$5:$AC$204,3,FALSE()),"UNMAPPED"))</f>
        <v/>
      </c>
    </row>
    <row r="1313" customFormat="false" ht="13.5" hidden="false" customHeight="false" outlineLevel="0" collapsed="false">
      <c r="A1313" s="1" t="str">
        <f aca="false">IF($C1313="","",Controls!$B$7)</f>
        <v/>
      </c>
      <c r="B1313" s="1" t="str">
        <f aca="false">IF($H1313="","",YEAR($H1313)&amp;"-Q"&amp;ROUNDUP(MONTH($H1313)/3,0))</f>
        <v/>
      </c>
      <c r="S1313" s="1" t="str">
        <f aca="false">IF($C1313="","",$C1313&amp;"|"&amp;$E1313&amp;"|"&amp;$F1313&amp;"|"&amp;$L1313&amp;"|"&amp;$P1313&amp;"|"&amp;TEXT($H1313,"yyyy-mm-dd"))</f>
        <v/>
      </c>
      <c r="T1313" s="1" t="str">
        <f aca="false">IF($S1313="","",IF(COUNTIF($S$2:$S$2991,$S1313)&gt;1,"DUPLICATE","OK"))</f>
        <v/>
      </c>
      <c r="U1313" s="0" t="str">
        <f aca="false">IF($L1313="","",IFERROR(VLOOKUP(--$L1313,MM_Income!$Z$5:$AC$204,3,FALSE()),"UNMAPPED"))</f>
        <v/>
      </c>
    </row>
    <row r="1314" customFormat="false" ht="13.5" hidden="false" customHeight="false" outlineLevel="0" collapsed="false">
      <c r="A1314" s="1" t="str">
        <f aca="false">IF($C1314="","",Controls!$B$7)</f>
        <v/>
      </c>
      <c r="B1314" s="1" t="str">
        <f aca="false">IF($H1314="","",YEAR($H1314)&amp;"-Q"&amp;ROUNDUP(MONTH($H1314)/3,0))</f>
        <v/>
      </c>
      <c r="S1314" s="1" t="str">
        <f aca="false">IF($C1314="","",$C1314&amp;"|"&amp;$E1314&amp;"|"&amp;$F1314&amp;"|"&amp;$L1314&amp;"|"&amp;$P1314&amp;"|"&amp;TEXT($H1314,"yyyy-mm-dd"))</f>
        <v/>
      </c>
      <c r="T1314" s="1" t="str">
        <f aca="false">IF($S1314="","",IF(COUNTIF($S$2:$S$2991,$S1314)&gt;1,"DUPLICATE","OK"))</f>
        <v/>
      </c>
      <c r="U1314" s="0" t="str">
        <f aca="false">IF($L1314="","",IFERROR(VLOOKUP(--$L1314,MM_Income!$Z$5:$AC$204,3,FALSE()),"UNMAPPED"))</f>
        <v/>
      </c>
    </row>
    <row r="1315" customFormat="false" ht="13.5" hidden="false" customHeight="false" outlineLevel="0" collapsed="false">
      <c r="A1315" s="1" t="str">
        <f aca="false">IF($C1315="","",Controls!$B$7)</f>
        <v/>
      </c>
      <c r="B1315" s="1" t="str">
        <f aca="false">IF($H1315="","",YEAR($H1315)&amp;"-Q"&amp;ROUNDUP(MONTH($H1315)/3,0))</f>
        <v/>
      </c>
      <c r="S1315" s="1" t="str">
        <f aca="false">IF($C1315="","",$C1315&amp;"|"&amp;$E1315&amp;"|"&amp;$F1315&amp;"|"&amp;$L1315&amp;"|"&amp;$P1315&amp;"|"&amp;TEXT($H1315,"yyyy-mm-dd"))</f>
        <v/>
      </c>
      <c r="T1315" s="1" t="str">
        <f aca="false">IF($S1315="","",IF(COUNTIF($S$2:$S$2991,$S1315)&gt;1,"DUPLICATE","OK"))</f>
        <v/>
      </c>
      <c r="U1315" s="0" t="str">
        <f aca="false">IF($L1315="","",IFERROR(VLOOKUP(--$L1315,MM_Income!$Z$5:$AC$204,3,FALSE()),"UNMAPPED"))</f>
        <v/>
      </c>
    </row>
    <row r="1316" customFormat="false" ht="13.5" hidden="false" customHeight="false" outlineLevel="0" collapsed="false">
      <c r="A1316" s="1" t="str">
        <f aca="false">IF($C1316="","",Controls!$B$7)</f>
        <v/>
      </c>
      <c r="B1316" s="1" t="str">
        <f aca="false">IF($H1316="","",YEAR($H1316)&amp;"-Q"&amp;ROUNDUP(MONTH($H1316)/3,0))</f>
        <v/>
      </c>
      <c r="S1316" s="1" t="str">
        <f aca="false">IF($C1316="","",$C1316&amp;"|"&amp;$E1316&amp;"|"&amp;$F1316&amp;"|"&amp;$L1316&amp;"|"&amp;$P1316&amp;"|"&amp;TEXT($H1316,"yyyy-mm-dd"))</f>
        <v/>
      </c>
      <c r="T1316" s="1" t="str">
        <f aca="false">IF($S1316="","",IF(COUNTIF($S$2:$S$2991,$S1316)&gt;1,"DUPLICATE","OK"))</f>
        <v/>
      </c>
      <c r="U1316" s="0" t="str">
        <f aca="false">IF($L1316="","",IFERROR(VLOOKUP(--$L1316,MM_Income!$Z$5:$AC$204,3,FALSE()),"UNMAPPED"))</f>
        <v/>
      </c>
    </row>
    <row r="1317" customFormat="false" ht="13.5" hidden="false" customHeight="false" outlineLevel="0" collapsed="false">
      <c r="A1317" s="1" t="str">
        <f aca="false">IF($C1317="","",Controls!$B$7)</f>
        <v/>
      </c>
      <c r="B1317" s="1" t="str">
        <f aca="false">IF($H1317="","",YEAR($H1317)&amp;"-Q"&amp;ROUNDUP(MONTH($H1317)/3,0))</f>
        <v/>
      </c>
      <c r="S1317" s="1" t="str">
        <f aca="false">IF($C1317="","",$C1317&amp;"|"&amp;$E1317&amp;"|"&amp;$F1317&amp;"|"&amp;$L1317&amp;"|"&amp;$P1317&amp;"|"&amp;TEXT($H1317,"yyyy-mm-dd"))</f>
        <v/>
      </c>
      <c r="T1317" s="1" t="str">
        <f aca="false">IF($S1317="","",IF(COUNTIF($S$2:$S$2991,$S1317)&gt;1,"DUPLICATE","OK"))</f>
        <v/>
      </c>
      <c r="U1317" s="0" t="str">
        <f aca="false">IF($L1317="","",IFERROR(VLOOKUP(--$L1317,MM_Income!$Z$5:$AC$204,3,FALSE()),"UNMAPPED"))</f>
        <v/>
      </c>
    </row>
    <row r="1318" customFormat="false" ht="13.5" hidden="false" customHeight="false" outlineLevel="0" collapsed="false">
      <c r="A1318" s="1" t="str">
        <f aca="false">IF($C1318="","",Controls!$B$7)</f>
        <v/>
      </c>
      <c r="B1318" s="1" t="str">
        <f aca="false">IF($H1318="","",YEAR($H1318)&amp;"-Q"&amp;ROUNDUP(MONTH($H1318)/3,0))</f>
        <v/>
      </c>
      <c r="S1318" s="1" t="str">
        <f aca="false">IF($C1318="","",$C1318&amp;"|"&amp;$E1318&amp;"|"&amp;$F1318&amp;"|"&amp;$L1318&amp;"|"&amp;$P1318&amp;"|"&amp;TEXT($H1318,"yyyy-mm-dd"))</f>
        <v/>
      </c>
      <c r="T1318" s="1" t="str">
        <f aca="false">IF($S1318="","",IF(COUNTIF($S$2:$S$2991,$S1318)&gt;1,"DUPLICATE","OK"))</f>
        <v/>
      </c>
      <c r="U1318" s="0" t="str">
        <f aca="false">IF($L1318="","",IFERROR(VLOOKUP(--$L1318,MM_Income!$Z$5:$AC$204,3,FALSE()),"UNMAPPED"))</f>
        <v/>
      </c>
    </row>
    <row r="1319" customFormat="false" ht="13.5" hidden="false" customHeight="false" outlineLevel="0" collapsed="false">
      <c r="A1319" s="1" t="str">
        <f aca="false">IF($C1319="","",Controls!$B$7)</f>
        <v/>
      </c>
      <c r="B1319" s="1" t="str">
        <f aca="false">IF($H1319="","",YEAR($H1319)&amp;"-Q"&amp;ROUNDUP(MONTH($H1319)/3,0))</f>
        <v/>
      </c>
      <c r="S1319" s="1" t="str">
        <f aca="false">IF($C1319="","",$C1319&amp;"|"&amp;$E1319&amp;"|"&amp;$F1319&amp;"|"&amp;$L1319&amp;"|"&amp;$P1319&amp;"|"&amp;TEXT($H1319,"yyyy-mm-dd"))</f>
        <v/>
      </c>
      <c r="T1319" s="1" t="str">
        <f aca="false">IF($S1319="","",IF(COUNTIF($S$2:$S$2991,$S1319)&gt;1,"DUPLICATE","OK"))</f>
        <v/>
      </c>
      <c r="U1319" s="0" t="str">
        <f aca="false">IF($L1319="","",IFERROR(VLOOKUP(--$L1319,MM_Income!$Z$5:$AC$204,3,FALSE()),"UNMAPPED"))</f>
        <v/>
      </c>
    </row>
    <row r="1320" customFormat="false" ht="13.5" hidden="false" customHeight="false" outlineLevel="0" collapsed="false">
      <c r="A1320" s="1" t="str">
        <f aca="false">IF($C1320="","",Controls!$B$7)</f>
        <v/>
      </c>
      <c r="B1320" s="1" t="str">
        <f aca="false">IF($H1320="","",YEAR($H1320)&amp;"-Q"&amp;ROUNDUP(MONTH($H1320)/3,0))</f>
        <v/>
      </c>
      <c r="S1320" s="1" t="str">
        <f aca="false">IF($C1320="","",$C1320&amp;"|"&amp;$E1320&amp;"|"&amp;$F1320&amp;"|"&amp;$L1320&amp;"|"&amp;$P1320&amp;"|"&amp;TEXT($H1320,"yyyy-mm-dd"))</f>
        <v/>
      </c>
      <c r="T1320" s="1" t="str">
        <f aca="false">IF($S1320="","",IF(COUNTIF($S$2:$S$2991,$S1320)&gt;1,"DUPLICATE","OK"))</f>
        <v/>
      </c>
      <c r="U1320" s="0" t="str">
        <f aca="false">IF($L1320="","",IFERROR(VLOOKUP(--$L1320,MM_Income!$Z$5:$AC$204,3,FALSE()),"UNMAPPED"))</f>
        <v/>
      </c>
    </row>
    <row r="1321" customFormat="false" ht="13.5" hidden="false" customHeight="false" outlineLevel="0" collapsed="false">
      <c r="A1321" s="1" t="str">
        <f aca="false">IF($C1321="","",Controls!$B$7)</f>
        <v/>
      </c>
      <c r="B1321" s="1" t="str">
        <f aca="false">IF($H1321="","",YEAR($H1321)&amp;"-Q"&amp;ROUNDUP(MONTH($H1321)/3,0))</f>
        <v/>
      </c>
      <c r="S1321" s="1" t="str">
        <f aca="false">IF($C1321="","",$C1321&amp;"|"&amp;$E1321&amp;"|"&amp;$F1321&amp;"|"&amp;$L1321&amp;"|"&amp;$P1321&amp;"|"&amp;TEXT($H1321,"yyyy-mm-dd"))</f>
        <v/>
      </c>
      <c r="T1321" s="1" t="str">
        <f aca="false">IF($S1321="","",IF(COUNTIF($S$2:$S$2991,$S1321)&gt;1,"DUPLICATE","OK"))</f>
        <v/>
      </c>
      <c r="U1321" s="0" t="str">
        <f aca="false">IF($L1321="","",IFERROR(VLOOKUP(--$L1321,MM_Income!$Z$5:$AC$204,3,FALSE()),"UNMAPPED"))</f>
        <v/>
      </c>
    </row>
    <row r="1322" customFormat="false" ht="13.5" hidden="false" customHeight="false" outlineLevel="0" collapsed="false">
      <c r="A1322" s="1" t="str">
        <f aca="false">IF($C1322="","",Controls!$B$7)</f>
        <v/>
      </c>
      <c r="B1322" s="1" t="str">
        <f aca="false">IF($H1322="","",YEAR($H1322)&amp;"-Q"&amp;ROUNDUP(MONTH($H1322)/3,0))</f>
        <v/>
      </c>
      <c r="S1322" s="1" t="str">
        <f aca="false">IF($C1322="","",$C1322&amp;"|"&amp;$E1322&amp;"|"&amp;$F1322&amp;"|"&amp;$L1322&amp;"|"&amp;$P1322&amp;"|"&amp;TEXT($H1322,"yyyy-mm-dd"))</f>
        <v/>
      </c>
      <c r="T1322" s="1" t="str">
        <f aca="false">IF($S1322="","",IF(COUNTIF($S$2:$S$2991,$S1322)&gt;1,"DUPLICATE","OK"))</f>
        <v/>
      </c>
      <c r="U1322" s="0" t="str">
        <f aca="false">IF($L1322="","",IFERROR(VLOOKUP(--$L1322,MM_Income!$Z$5:$AC$204,3,FALSE()),"UNMAPPED"))</f>
        <v/>
      </c>
    </row>
    <row r="1323" customFormat="false" ht="13.5" hidden="false" customHeight="false" outlineLevel="0" collapsed="false">
      <c r="A1323" s="1" t="str">
        <f aca="false">IF($C1323="","",Controls!$B$7)</f>
        <v/>
      </c>
      <c r="B1323" s="1" t="str">
        <f aca="false">IF($H1323="","",YEAR($H1323)&amp;"-Q"&amp;ROUNDUP(MONTH($H1323)/3,0))</f>
        <v/>
      </c>
      <c r="S1323" s="1" t="str">
        <f aca="false">IF($C1323="","",$C1323&amp;"|"&amp;$E1323&amp;"|"&amp;$F1323&amp;"|"&amp;$L1323&amp;"|"&amp;$P1323&amp;"|"&amp;TEXT($H1323,"yyyy-mm-dd"))</f>
        <v/>
      </c>
      <c r="T1323" s="1" t="str">
        <f aca="false">IF($S1323="","",IF(COUNTIF($S$2:$S$2991,$S1323)&gt;1,"DUPLICATE","OK"))</f>
        <v/>
      </c>
      <c r="U1323" s="0" t="str">
        <f aca="false">IF($L1323="","",IFERROR(VLOOKUP(--$L1323,MM_Income!$Z$5:$AC$204,3,FALSE()),"UNMAPPED"))</f>
        <v/>
      </c>
    </row>
    <row r="1324" customFormat="false" ht="13.5" hidden="false" customHeight="false" outlineLevel="0" collapsed="false">
      <c r="A1324" s="1" t="str">
        <f aca="false">IF($C1324="","",Controls!$B$7)</f>
        <v/>
      </c>
      <c r="B1324" s="1" t="str">
        <f aca="false">IF($H1324="","",YEAR($H1324)&amp;"-Q"&amp;ROUNDUP(MONTH($H1324)/3,0))</f>
        <v/>
      </c>
      <c r="S1324" s="1" t="str">
        <f aca="false">IF($C1324="","",$C1324&amp;"|"&amp;$E1324&amp;"|"&amp;$F1324&amp;"|"&amp;$L1324&amp;"|"&amp;$P1324&amp;"|"&amp;TEXT($H1324,"yyyy-mm-dd"))</f>
        <v/>
      </c>
      <c r="T1324" s="1" t="str">
        <f aca="false">IF($S1324="","",IF(COUNTIF($S$2:$S$2991,$S1324)&gt;1,"DUPLICATE","OK"))</f>
        <v/>
      </c>
      <c r="U1324" s="0" t="str">
        <f aca="false">IF($L1324="","",IFERROR(VLOOKUP(--$L1324,MM_Income!$Z$5:$AC$204,3,FALSE()),"UNMAPPED"))</f>
        <v/>
      </c>
    </row>
    <row r="1325" customFormat="false" ht="13.5" hidden="false" customHeight="false" outlineLevel="0" collapsed="false">
      <c r="A1325" s="1" t="str">
        <f aca="false">IF($C1325="","",Controls!$B$7)</f>
        <v/>
      </c>
      <c r="B1325" s="1" t="str">
        <f aca="false">IF($H1325="","",YEAR($H1325)&amp;"-Q"&amp;ROUNDUP(MONTH($H1325)/3,0))</f>
        <v/>
      </c>
      <c r="S1325" s="1" t="str">
        <f aca="false">IF($C1325="","",$C1325&amp;"|"&amp;$E1325&amp;"|"&amp;$F1325&amp;"|"&amp;$L1325&amp;"|"&amp;$P1325&amp;"|"&amp;TEXT($H1325,"yyyy-mm-dd"))</f>
        <v/>
      </c>
      <c r="T1325" s="1" t="str">
        <f aca="false">IF($S1325="","",IF(COUNTIF($S$2:$S$2991,$S1325)&gt;1,"DUPLICATE","OK"))</f>
        <v/>
      </c>
      <c r="U1325" s="0" t="str">
        <f aca="false">IF($L1325="","",IFERROR(VLOOKUP(--$L1325,MM_Income!$Z$5:$AC$204,3,FALSE()),"UNMAPPED"))</f>
        <v/>
      </c>
    </row>
    <row r="1326" customFormat="false" ht="13.5" hidden="false" customHeight="false" outlineLevel="0" collapsed="false">
      <c r="A1326" s="1" t="str">
        <f aca="false">IF($C1326="","",Controls!$B$7)</f>
        <v/>
      </c>
      <c r="B1326" s="1" t="str">
        <f aca="false">IF($H1326="","",YEAR($H1326)&amp;"-Q"&amp;ROUNDUP(MONTH($H1326)/3,0))</f>
        <v/>
      </c>
      <c r="S1326" s="1" t="str">
        <f aca="false">IF($C1326="","",$C1326&amp;"|"&amp;$E1326&amp;"|"&amp;$F1326&amp;"|"&amp;$L1326&amp;"|"&amp;$P1326&amp;"|"&amp;TEXT($H1326,"yyyy-mm-dd"))</f>
        <v/>
      </c>
      <c r="T1326" s="1" t="str">
        <f aca="false">IF($S1326="","",IF(COUNTIF($S$2:$S$2991,$S1326)&gt;1,"DUPLICATE","OK"))</f>
        <v/>
      </c>
      <c r="U1326" s="0" t="str">
        <f aca="false">IF($L1326="","",IFERROR(VLOOKUP(--$L1326,MM_Income!$Z$5:$AC$204,3,FALSE()),"UNMAPPED"))</f>
        <v/>
      </c>
    </row>
    <row r="1327" customFormat="false" ht="13.5" hidden="false" customHeight="false" outlineLevel="0" collapsed="false">
      <c r="A1327" s="1" t="str">
        <f aca="false">IF($C1327="","",Controls!$B$7)</f>
        <v/>
      </c>
      <c r="B1327" s="1" t="str">
        <f aca="false">IF($H1327="","",YEAR($H1327)&amp;"-Q"&amp;ROUNDUP(MONTH($H1327)/3,0))</f>
        <v/>
      </c>
      <c r="S1327" s="1" t="str">
        <f aca="false">IF($C1327="","",$C1327&amp;"|"&amp;$E1327&amp;"|"&amp;$F1327&amp;"|"&amp;$L1327&amp;"|"&amp;$P1327&amp;"|"&amp;TEXT($H1327,"yyyy-mm-dd"))</f>
        <v/>
      </c>
      <c r="T1327" s="1" t="str">
        <f aca="false">IF($S1327="","",IF(COUNTIF($S$2:$S$2991,$S1327)&gt;1,"DUPLICATE","OK"))</f>
        <v/>
      </c>
      <c r="U1327" s="0" t="str">
        <f aca="false">IF($L1327="","",IFERROR(VLOOKUP(--$L1327,MM_Income!$Z$5:$AC$204,3,FALSE()),"UNMAPPED"))</f>
        <v/>
      </c>
    </row>
    <row r="1328" customFormat="false" ht="13.5" hidden="false" customHeight="false" outlineLevel="0" collapsed="false">
      <c r="A1328" s="1" t="str">
        <f aca="false">IF($C1328="","",Controls!$B$7)</f>
        <v/>
      </c>
      <c r="B1328" s="1" t="str">
        <f aca="false">IF($H1328="","",YEAR($H1328)&amp;"-Q"&amp;ROUNDUP(MONTH($H1328)/3,0))</f>
        <v/>
      </c>
      <c r="S1328" s="1" t="str">
        <f aca="false">IF($C1328="","",$C1328&amp;"|"&amp;$E1328&amp;"|"&amp;$F1328&amp;"|"&amp;$L1328&amp;"|"&amp;$P1328&amp;"|"&amp;TEXT($H1328,"yyyy-mm-dd"))</f>
        <v/>
      </c>
      <c r="T1328" s="1" t="str">
        <f aca="false">IF($S1328="","",IF(COUNTIF($S$2:$S$2991,$S1328)&gt;1,"DUPLICATE","OK"))</f>
        <v/>
      </c>
      <c r="U1328" s="0" t="str">
        <f aca="false">IF($L1328="","",IFERROR(VLOOKUP(--$L1328,MM_Income!$Z$5:$AC$204,3,FALSE()),"UNMAPPED"))</f>
        <v/>
      </c>
    </row>
    <row r="1329" customFormat="false" ht="13.5" hidden="false" customHeight="false" outlineLevel="0" collapsed="false">
      <c r="A1329" s="1" t="str">
        <f aca="false">IF($C1329="","",Controls!$B$7)</f>
        <v/>
      </c>
      <c r="B1329" s="1" t="str">
        <f aca="false">IF($H1329="","",YEAR($H1329)&amp;"-Q"&amp;ROUNDUP(MONTH($H1329)/3,0))</f>
        <v/>
      </c>
      <c r="S1329" s="1" t="str">
        <f aca="false">IF($C1329="","",$C1329&amp;"|"&amp;$E1329&amp;"|"&amp;$F1329&amp;"|"&amp;$L1329&amp;"|"&amp;$P1329&amp;"|"&amp;TEXT($H1329,"yyyy-mm-dd"))</f>
        <v/>
      </c>
      <c r="T1329" s="1" t="str">
        <f aca="false">IF($S1329="","",IF(COUNTIF($S$2:$S$2991,$S1329)&gt;1,"DUPLICATE","OK"))</f>
        <v/>
      </c>
      <c r="U1329" s="0" t="str">
        <f aca="false">IF($L1329="","",IFERROR(VLOOKUP(--$L1329,MM_Income!$Z$5:$AC$204,3,FALSE()),"UNMAPPED"))</f>
        <v/>
      </c>
    </row>
    <row r="1330" customFormat="false" ht="13.5" hidden="false" customHeight="false" outlineLevel="0" collapsed="false">
      <c r="A1330" s="1" t="str">
        <f aca="false">IF($C1330="","",Controls!$B$7)</f>
        <v/>
      </c>
      <c r="B1330" s="1" t="str">
        <f aca="false">IF($H1330="","",YEAR($H1330)&amp;"-Q"&amp;ROUNDUP(MONTH($H1330)/3,0))</f>
        <v/>
      </c>
      <c r="S1330" s="1" t="str">
        <f aca="false">IF($C1330="","",$C1330&amp;"|"&amp;$E1330&amp;"|"&amp;$F1330&amp;"|"&amp;$L1330&amp;"|"&amp;$P1330&amp;"|"&amp;TEXT($H1330,"yyyy-mm-dd"))</f>
        <v/>
      </c>
      <c r="T1330" s="1" t="str">
        <f aca="false">IF($S1330="","",IF(COUNTIF($S$2:$S$2991,$S1330)&gt;1,"DUPLICATE","OK"))</f>
        <v/>
      </c>
      <c r="U1330" s="0" t="str">
        <f aca="false">IF($L1330="","",IFERROR(VLOOKUP(--$L1330,MM_Income!$Z$5:$AC$204,3,FALSE()),"UNMAPPED"))</f>
        <v/>
      </c>
    </row>
    <row r="1331" customFormat="false" ht="13.5" hidden="false" customHeight="false" outlineLevel="0" collapsed="false">
      <c r="A1331" s="1" t="str">
        <f aca="false">IF($C1331="","",Controls!$B$7)</f>
        <v/>
      </c>
      <c r="B1331" s="1" t="str">
        <f aca="false">IF($H1331="","",YEAR($H1331)&amp;"-Q"&amp;ROUNDUP(MONTH($H1331)/3,0))</f>
        <v/>
      </c>
      <c r="S1331" s="1" t="str">
        <f aca="false">IF($C1331="","",$C1331&amp;"|"&amp;$E1331&amp;"|"&amp;$F1331&amp;"|"&amp;$L1331&amp;"|"&amp;$P1331&amp;"|"&amp;TEXT($H1331,"yyyy-mm-dd"))</f>
        <v/>
      </c>
      <c r="T1331" s="1" t="str">
        <f aca="false">IF($S1331="","",IF(COUNTIF($S$2:$S$2991,$S1331)&gt;1,"DUPLICATE","OK"))</f>
        <v/>
      </c>
      <c r="U1331" s="0" t="str">
        <f aca="false">IF($L1331="","",IFERROR(VLOOKUP(--$L1331,MM_Income!$Z$5:$AC$204,3,FALSE()),"UNMAPPED"))</f>
        <v/>
      </c>
    </row>
    <row r="1332" customFormat="false" ht="13.5" hidden="false" customHeight="false" outlineLevel="0" collapsed="false">
      <c r="A1332" s="1" t="str">
        <f aca="false">IF($C1332="","",Controls!$B$7)</f>
        <v/>
      </c>
      <c r="B1332" s="1" t="str">
        <f aca="false">IF($H1332="","",YEAR($H1332)&amp;"-Q"&amp;ROUNDUP(MONTH($H1332)/3,0))</f>
        <v/>
      </c>
      <c r="S1332" s="1" t="str">
        <f aca="false">IF($C1332="","",$C1332&amp;"|"&amp;$E1332&amp;"|"&amp;$F1332&amp;"|"&amp;$L1332&amp;"|"&amp;$P1332&amp;"|"&amp;TEXT($H1332,"yyyy-mm-dd"))</f>
        <v/>
      </c>
      <c r="T1332" s="1" t="str">
        <f aca="false">IF($S1332="","",IF(COUNTIF($S$2:$S$2991,$S1332)&gt;1,"DUPLICATE","OK"))</f>
        <v/>
      </c>
      <c r="U1332" s="0" t="str">
        <f aca="false">IF($L1332="","",IFERROR(VLOOKUP(--$L1332,MM_Income!$Z$5:$AC$204,3,FALSE()),"UNMAPPED"))</f>
        <v/>
      </c>
    </row>
    <row r="1333" customFormat="false" ht="13.5" hidden="false" customHeight="false" outlineLevel="0" collapsed="false">
      <c r="A1333" s="1" t="str">
        <f aca="false">IF($C1333="","",Controls!$B$7)</f>
        <v/>
      </c>
      <c r="B1333" s="1" t="str">
        <f aca="false">IF($H1333="","",YEAR($H1333)&amp;"-Q"&amp;ROUNDUP(MONTH($H1333)/3,0))</f>
        <v/>
      </c>
      <c r="S1333" s="1" t="str">
        <f aca="false">IF($C1333="","",$C1333&amp;"|"&amp;$E1333&amp;"|"&amp;$F1333&amp;"|"&amp;$L1333&amp;"|"&amp;$P1333&amp;"|"&amp;TEXT($H1333,"yyyy-mm-dd"))</f>
        <v/>
      </c>
      <c r="T1333" s="1" t="str">
        <f aca="false">IF($S1333="","",IF(COUNTIF($S$2:$S$2991,$S1333)&gt;1,"DUPLICATE","OK"))</f>
        <v/>
      </c>
      <c r="U1333" s="0" t="str">
        <f aca="false">IF($L1333="","",IFERROR(VLOOKUP(--$L1333,MM_Income!$Z$5:$AC$204,3,FALSE()),"UNMAPPED"))</f>
        <v/>
      </c>
    </row>
    <row r="1334" customFormat="false" ht="13.5" hidden="false" customHeight="false" outlineLevel="0" collapsed="false">
      <c r="A1334" s="1" t="str">
        <f aca="false">IF($C1334="","",Controls!$B$7)</f>
        <v/>
      </c>
      <c r="B1334" s="1" t="str">
        <f aca="false">IF($H1334="","",YEAR($H1334)&amp;"-Q"&amp;ROUNDUP(MONTH($H1334)/3,0))</f>
        <v/>
      </c>
      <c r="S1334" s="1" t="str">
        <f aca="false">IF($C1334="","",$C1334&amp;"|"&amp;$E1334&amp;"|"&amp;$F1334&amp;"|"&amp;$L1334&amp;"|"&amp;$P1334&amp;"|"&amp;TEXT($H1334,"yyyy-mm-dd"))</f>
        <v/>
      </c>
      <c r="T1334" s="1" t="str">
        <f aca="false">IF($S1334="","",IF(COUNTIF($S$2:$S$2991,$S1334)&gt;1,"DUPLICATE","OK"))</f>
        <v/>
      </c>
      <c r="U1334" s="0" t="str">
        <f aca="false">IF($L1334="","",IFERROR(VLOOKUP(--$L1334,MM_Income!$Z$5:$AC$204,3,FALSE()),"UNMAPPED"))</f>
        <v/>
      </c>
    </row>
    <row r="1335" customFormat="false" ht="13.5" hidden="false" customHeight="false" outlineLevel="0" collapsed="false">
      <c r="A1335" s="1" t="str">
        <f aca="false">IF($C1335="","",Controls!$B$7)</f>
        <v/>
      </c>
      <c r="B1335" s="1" t="str">
        <f aca="false">IF($H1335="","",YEAR($H1335)&amp;"-Q"&amp;ROUNDUP(MONTH($H1335)/3,0))</f>
        <v/>
      </c>
      <c r="S1335" s="1" t="str">
        <f aca="false">IF($C1335="","",$C1335&amp;"|"&amp;$E1335&amp;"|"&amp;$F1335&amp;"|"&amp;$L1335&amp;"|"&amp;$P1335&amp;"|"&amp;TEXT($H1335,"yyyy-mm-dd"))</f>
        <v/>
      </c>
      <c r="T1335" s="1" t="str">
        <f aca="false">IF($S1335="","",IF(COUNTIF($S$2:$S$2991,$S1335)&gt;1,"DUPLICATE","OK"))</f>
        <v/>
      </c>
      <c r="U1335" s="0" t="str">
        <f aca="false">IF($L1335="","",IFERROR(VLOOKUP(--$L1335,MM_Income!$Z$5:$AC$204,3,FALSE()),"UNMAPPED"))</f>
        <v/>
      </c>
    </row>
    <row r="1336" customFormat="false" ht="13.5" hidden="false" customHeight="false" outlineLevel="0" collapsed="false">
      <c r="A1336" s="1" t="str">
        <f aca="false">IF($C1336="","",Controls!$B$7)</f>
        <v/>
      </c>
      <c r="B1336" s="1" t="str">
        <f aca="false">IF($H1336="","",YEAR($H1336)&amp;"-Q"&amp;ROUNDUP(MONTH($H1336)/3,0))</f>
        <v/>
      </c>
      <c r="S1336" s="1" t="str">
        <f aca="false">IF($C1336="","",$C1336&amp;"|"&amp;$E1336&amp;"|"&amp;$F1336&amp;"|"&amp;$L1336&amp;"|"&amp;$P1336&amp;"|"&amp;TEXT($H1336,"yyyy-mm-dd"))</f>
        <v/>
      </c>
      <c r="T1336" s="1" t="str">
        <f aca="false">IF($S1336="","",IF(COUNTIF($S$2:$S$2991,$S1336)&gt;1,"DUPLICATE","OK"))</f>
        <v/>
      </c>
      <c r="U1336" s="0" t="str">
        <f aca="false">IF($L1336="","",IFERROR(VLOOKUP(--$L1336,MM_Income!$Z$5:$AC$204,3,FALSE()),"UNMAPPED"))</f>
        <v/>
      </c>
    </row>
    <row r="1337" customFormat="false" ht="13.5" hidden="false" customHeight="false" outlineLevel="0" collapsed="false">
      <c r="A1337" s="1" t="str">
        <f aca="false">IF($C1337="","",Controls!$B$7)</f>
        <v/>
      </c>
      <c r="B1337" s="1" t="str">
        <f aca="false">IF($H1337="","",YEAR($H1337)&amp;"-Q"&amp;ROUNDUP(MONTH($H1337)/3,0))</f>
        <v/>
      </c>
      <c r="S1337" s="1" t="str">
        <f aca="false">IF($C1337="","",$C1337&amp;"|"&amp;$E1337&amp;"|"&amp;$F1337&amp;"|"&amp;$L1337&amp;"|"&amp;$P1337&amp;"|"&amp;TEXT($H1337,"yyyy-mm-dd"))</f>
        <v/>
      </c>
      <c r="T1337" s="1" t="str">
        <f aca="false">IF($S1337="","",IF(COUNTIF($S$2:$S$2991,$S1337)&gt;1,"DUPLICATE","OK"))</f>
        <v/>
      </c>
      <c r="U1337" s="0" t="str">
        <f aca="false">IF($L1337="","",IFERROR(VLOOKUP(--$L1337,MM_Income!$Z$5:$AC$204,3,FALSE()),"UNMAPPED"))</f>
        <v/>
      </c>
    </row>
    <row r="1338" customFormat="false" ht="13.5" hidden="false" customHeight="false" outlineLevel="0" collapsed="false">
      <c r="A1338" s="1" t="str">
        <f aca="false">IF($C1338="","",Controls!$B$7)</f>
        <v/>
      </c>
      <c r="B1338" s="1" t="str">
        <f aca="false">IF($H1338="","",YEAR($H1338)&amp;"-Q"&amp;ROUNDUP(MONTH($H1338)/3,0))</f>
        <v/>
      </c>
      <c r="S1338" s="1" t="str">
        <f aca="false">IF($C1338="","",$C1338&amp;"|"&amp;$E1338&amp;"|"&amp;$F1338&amp;"|"&amp;$L1338&amp;"|"&amp;$P1338&amp;"|"&amp;TEXT($H1338,"yyyy-mm-dd"))</f>
        <v/>
      </c>
      <c r="T1338" s="1" t="str">
        <f aca="false">IF($S1338="","",IF(COUNTIF($S$2:$S$2991,$S1338)&gt;1,"DUPLICATE","OK"))</f>
        <v/>
      </c>
      <c r="U1338" s="0" t="str">
        <f aca="false">IF($L1338="","",IFERROR(VLOOKUP(--$L1338,MM_Income!$Z$5:$AC$204,3,FALSE()),"UNMAPPED"))</f>
        <v/>
      </c>
    </row>
    <row r="1339" customFormat="false" ht="13.5" hidden="false" customHeight="false" outlineLevel="0" collapsed="false">
      <c r="A1339" s="1" t="str">
        <f aca="false">IF($C1339="","",Controls!$B$7)</f>
        <v/>
      </c>
      <c r="B1339" s="1" t="str">
        <f aca="false">IF($H1339="","",YEAR($H1339)&amp;"-Q"&amp;ROUNDUP(MONTH($H1339)/3,0))</f>
        <v/>
      </c>
      <c r="S1339" s="1" t="str">
        <f aca="false">IF($C1339="","",$C1339&amp;"|"&amp;$E1339&amp;"|"&amp;$F1339&amp;"|"&amp;$L1339&amp;"|"&amp;$P1339&amp;"|"&amp;TEXT($H1339,"yyyy-mm-dd"))</f>
        <v/>
      </c>
      <c r="T1339" s="1" t="str">
        <f aca="false">IF($S1339="","",IF(COUNTIF($S$2:$S$2991,$S1339)&gt;1,"DUPLICATE","OK"))</f>
        <v/>
      </c>
      <c r="U1339" s="0" t="str">
        <f aca="false">IF($L1339="","",IFERROR(VLOOKUP(--$L1339,MM_Income!$Z$5:$AC$204,3,FALSE()),"UNMAPPED"))</f>
        <v/>
      </c>
    </row>
    <row r="1340" customFormat="false" ht="13.5" hidden="false" customHeight="false" outlineLevel="0" collapsed="false">
      <c r="A1340" s="1" t="str">
        <f aca="false">IF($C1340="","",Controls!$B$7)</f>
        <v/>
      </c>
      <c r="B1340" s="1" t="str">
        <f aca="false">IF($H1340="","",YEAR($H1340)&amp;"-Q"&amp;ROUNDUP(MONTH($H1340)/3,0))</f>
        <v/>
      </c>
      <c r="S1340" s="1" t="str">
        <f aca="false">IF($C1340="","",$C1340&amp;"|"&amp;$E1340&amp;"|"&amp;$F1340&amp;"|"&amp;$L1340&amp;"|"&amp;$P1340&amp;"|"&amp;TEXT($H1340,"yyyy-mm-dd"))</f>
        <v/>
      </c>
      <c r="T1340" s="1" t="str">
        <f aca="false">IF($S1340="","",IF(COUNTIF($S$2:$S$2991,$S1340)&gt;1,"DUPLICATE","OK"))</f>
        <v/>
      </c>
      <c r="U1340" s="0" t="str">
        <f aca="false">IF($L1340="","",IFERROR(VLOOKUP(--$L1340,MM_Income!$Z$5:$AC$204,3,FALSE()),"UNMAPPED"))</f>
        <v/>
      </c>
    </row>
    <row r="1341" customFormat="false" ht="13.5" hidden="false" customHeight="false" outlineLevel="0" collapsed="false">
      <c r="A1341" s="1" t="str">
        <f aca="false">IF($C1341="","",Controls!$B$7)</f>
        <v/>
      </c>
      <c r="B1341" s="1" t="str">
        <f aca="false">IF($H1341="","",YEAR($H1341)&amp;"-Q"&amp;ROUNDUP(MONTH($H1341)/3,0))</f>
        <v/>
      </c>
      <c r="S1341" s="1" t="str">
        <f aca="false">IF($C1341="","",$C1341&amp;"|"&amp;$E1341&amp;"|"&amp;$F1341&amp;"|"&amp;$L1341&amp;"|"&amp;$P1341&amp;"|"&amp;TEXT($H1341,"yyyy-mm-dd"))</f>
        <v/>
      </c>
      <c r="T1341" s="1" t="str">
        <f aca="false">IF($S1341="","",IF(COUNTIF($S$2:$S$2991,$S1341)&gt;1,"DUPLICATE","OK"))</f>
        <v/>
      </c>
      <c r="U1341" s="0" t="str">
        <f aca="false">IF($L1341="","",IFERROR(VLOOKUP(--$L1341,MM_Income!$Z$5:$AC$204,3,FALSE()),"UNMAPPED"))</f>
        <v/>
      </c>
    </row>
    <row r="1342" customFormat="false" ht="13.5" hidden="false" customHeight="false" outlineLevel="0" collapsed="false">
      <c r="A1342" s="1" t="str">
        <f aca="false">IF($C1342="","",Controls!$B$7)</f>
        <v/>
      </c>
      <c r="B1342" s="1" t="str">
        <f aca="false">IF($H1342="","",YEAR($H1342)&amp;"-Q"&amp;ROUNDUP(MONTH($H1342)/3,0))</f>
        <v/>
      </c>
      <c r="S1342" s="1" t="str">
        <f aca="false">IF($C1342="","",$C1342&amp;"|"&amp;$E1342&amp;"|"&amp;$F1342&amp;"|"&amp;$L1342&amp;"|"&amp;$P1342&amp;"|"&amp;TEXT($H1342,"yyyy-mm-dd"))</f>
        <v/>
      </c>
      <c r="T1342" s="1" t="str">
        <f aca="false">IF($S1342="","",IF(COUNTIF($S$2:$S$2991,$S1342)&gt;1,"DUPLICATE","OK"))</f>
        <v/>
      </c>
      <c r="U1342" s="0" t="str">
        <f aca="false">IF($L1342="","",IFERROR(VLOOKUP(--$L1342,MM_Income!$Z$5:$AC$204,3,FALSE()),"UNMAPPED"))</f>
        <v/>
      </c>
    </row>
    <row r="1343" customFormat="false" ht="13.5" hidden="false" customHeight="false" outlineLevel="0" collapsed="false">
      <c r="A1343" s="1" t="str">
        <f aca="false">IF($C1343="","",Controls!$B$7)</f>
        <v/>
      </c>
      <c r="B1343" s="1" t="str">
        <f aca="false">IF($H1343="","",YEAR($H1343)&amp;"-Q"&amp;ROUNDUP(MONTH($H1343)/3,0))</f>
        <v/>
      </c>
      <c r="S1343" s="1" t="str">
        <f aca="false">IF($C1343="","",$C1343&amp;"|"&amp;$E1343&amp;"|"&amp;$F1343&amp;"|"&amp;$L1343&amp;"|"&amp;$P1343&amp;"|"&amp;TEXT($H1343,"yyyy-mm-dd"))</f>
        <v/>
      </c>
      <c r="T1343" s="1" t="str">
        <f aca="false">IF($S1343="","",IF(COUNTIF($S$2:$S$2991,$S1343)&gt;1,"DUPLICATE","OK"))</f>
        <v/>
      </c>
      <c r="U1343" s="0" t="str">
        <f aca="false">IF($L1343="","",IFERROR(VLOOKUP(--$L1343,MM_Income!$Z$5:$AC$204,3,FALSE()),"UNMAPPED"))</f>
        <v/>
      </c>
    </row>
    <row r="1344" customFormat="false" ht="13.5" hidden="false" customHeight="false" outlineLevel="0" collapsed="false">
      <c r="A1344" s="1" t="str">
        <f aca="false">IF($C1344="","",Controls!$B$7)</f>
        <v/>
      </c>
      <c r="B1344" s="1" t="str">
        <f aca="false">IF($H1344="","",YEAR($H1344)&amp;"-Q"&amp;ROUNDUP(MONTH($H1344)/3,0))</f>
        <v/>
      </c>
      <c r="S1344" s="1" t="str">
        <f aca="false">IF($C1344="","",$C1344&amp;"|"&amp;$E1344&amp;"|"&amp;$F1344&amp;"|"&amp;$L1344&amp;"|"&amp;$P1344&amp;"|"&amp;TEXT($H1344,"yyyy-mm-dd"))</f>
        <v/>
      </c>
      <c r="T1344" s="1" t="str">
        <f aca="false">IF($S1344="","",IF(COUNTIF($S$2:$S$2991,$S1344)&gt;1,"DUPLICATE","OK"))</f>
        <v/>
      </c>
      <c r="U1344" s="0" t="str">
        <f aca="false">IF($L1344="","",IFERROR(VLOOKUP(--$L1344,MM_Income!$Z$5:$AC$204,3,FALSE()),"UNMAPPED"))</f>
        <v/>
      </c>
    </row>
    <row r="1345" customFormat="false" ht="13.5" hidden="false" customHeight="false" outlineLevel="0" collapsed="false">
      <c r="A1345" s="1" t="str">
        <f aca="false">IF($C1345="","",Controls!$B$7)</f>
        <v/>
      </c>
      <c r="B1345" s="1" t="str">
        <f aca="false">IF($H1345="","",YEAR($H1345)&amp;"-Q"&amp;ROUNDUP(MONTH($H1345)/3,0))</f>
        <v/>
      </c>
      <c r="S1345" s="1" t="str">
        <f aca="false">IF($C1345="","",$C1345&amp;"|"&amp;$E1345&amp;"|"&amp;$F1345&amp;"|"&amp;$L1345&amp;"|"&amp;$P1345&amp;"|"&amp;TEXT($H1345,"yyyy-mm-dd"))</f>
        <v/>
      </c>
      <c r="T1345" s="1" t="str">
        <f aca="false">IF($S1345="","",IF(COUNTIF($S$2:$S$2991,$S1345)&gt;1,"DUPLICATE","OK"))</f>
        <v/>
      </c>
      <c r="U1345" s="0" t="str">
        <f aca="false">IF($L1345="","",IFERROR(VLOOKUP(--$L1345,MM_Income!$Z$5:$AC$204,3,FALSE()),"UNMAPPED"))</f>
        <v/>
      </c>
    </row>
    <row r="1346" customFormat="false" ht="13.5" hidden="false" customHeight="false" outlineLevel="0" collapsed="false">
      <c r="A1346" s="1" t="str">
        <f aca="false">IF($C1346="","",Controls!$B$7)</f>
        <v/>
      </c>
      <c r="B1346" s="1" t="str">
        <f aca="false">IF($H1346="","",YEAR($H1346)&amp;"-Q"&amp;ROUNDUP(MONTH($H1346)/3,0))</f>
        <v/>
      </c>
      <c r="S1346" s="1" t="str">
        <f aca="false">IF($C1346="","",$C1346&amp;"|"&amp;$E1346&amp;"|"&amp;$F1346&amp;"|"&amp;$L1346&amp;"|"&amp;$P1346&amp;"|"&amp;TEXT($H1346,"yyyy-mm-dd"))</f>
        <v/>
      </c>
      <c r="T1346" s="1" t="str">
        <f aca="false">IF($S1346="","",IF(COUNTIF($S$2:$S$2991,$S1346)&gt;1,"DUPLICATE","OK"))</f>
        <v/>
      </c>
      <c r="U1346" s="0" t="str">
        <f aca="false">IF($L1346="","",IFERROR(VLOOKUP(--$L1346,MM_Income!$Z$5:$AC$204,3,FALSE()),"UNMAPPED"))</f>
        <v/>
      </c>
    </row>
    <row r="1347" customFormat="false" ht="13.5" hidden="false" customHeight="false" outlineLevel="0" collapsed="false">
      <c r="A1347" s="1" t="str">
        <f aca="false">IF($C1347="","",Controls!$B$7)</f>
        <v/>
      </c>
      <c r="B1347" s="1" t="str">
        <f aca="false">IF($H1347="","",YEAR($H1347)&amp;"-Q"&amp;ROUNDUP(MONTH($H1347)/3,0))</f>
        <v/>
      </c>
      <c r="S1347" s="1" t="str">
        <f aca="false">IF($C1347="","",$C1347&amp;"|"&amp;$E1347&amp;"|"&amp;$F1347&amp;"|"&amp;$L1347&amp;"|"&amp;$P1347&amp;"|"&amp;TEXT($H1347,"yyyy-mm-dd"))</f>
        <v/>
      </c>
      <c r="T1347" s="1" t="str">
        <f aca="false">IF($S1347="","",IF(COUNTIF($S$2:$S$2991,$S1347)&gt;1,"DUPLICATE","OK"))</f>
        <v/>
      </c>
      <c r="U1347" s="0" t="str">
        <f aca="false">IF($L1347="","",IFERROR(VLOOKUP(--$L1347,MM_Income!$Z$5:$AC$204,3,FALSE()),"UNMAPPED"))</f>
        <v/>
      </c>
    </row>
    <row r="1348" customFormat="false" ht="13.5" hidden="false" customHeight="false" outlineLevel="0" collapsed="false">
      <c r="A1348" s="1" t="str">
        <f aca="false">IF($C1348="","",Controls!$B$7)</f>
        <v/>
      </c>
      <c r="B1348" s="1" t="str">
        <f aca="false">IF($H1348="","",YEAR($H1348)&amp;"-Q"&amp;ROUNDUP(MONTH($H1348)/3,0))</f>
        <v/>
      </c>
      <c r="S1348" s="1" t="str">
        <f aca="false">IF($C1348="","",$C1348&amp;"|"&amp;$E1348&amp;"|"&amp;$F1348&amp;"|"&amp;$L1348&amp;"|"&amp;$P1348&amp;"|"&amp;TEXT($H1348,"yyyy-mm-dd"))</f>
        <v/>
      </c>
      <c r="T1348" s="1" t="str">
        <f aca="false">IF($S1348="","",IF(COUNTIF($S$2:$S$2991,$S1348)&gt;1,"DUPLICATE","OK"))</f>
        <v/>
      </c>
      <c r="U1348" s="0" t="str">
        <f aca="false">IF($L1348="","",IFERROR(VLOOKUP(--$L1348,MM_Income!$Z$5:$AC$204,3,FALSE()),"UNMAPPED"))</f>
        <v/>
      </c>
    </row>
    <row r="1349" customFormat="false" ht="13.5" hidden="false" customHeight="false" outlineLevel="0" collapsed="false">
      <c r="A1349" s="1" t="str">
        <f aca="false">IF($C1349="","",Controls!$B$7)</f>
        <v/>
      </c>
      <c r="B1349" s="1" t="str">
        <f aca="false">IF($H1349="","",YEAR($H1349)&amp;"-Q"&amp;ROUNDUP(MONTH($H1349)/3,0))</f>
        <v/>
      </c>
      <c r="S1349" s="1" t="str">
        <f aca="false">IF($C1349="","",$C1349&amp;"|"&amp;$E1349&amp;"|"&amp;$F1349&amp;"|"&amp;$L1349&amp;"|"&amp;$P1349&amp;"|"&amp;TEXT($H1349,"yyyy-mm-dd"))</f>
        <v/>
      </c>
      <c r="T1349" s="1" t="str">
        <f aca="false">IF($S1349="","",IF(COUNTIF($S$2:$S$2991,$S1349)&gt;1,"DUPLICATE","OK"))</f>
        <v/>
      </c>
      <c r="U1349" s="0" t="str">
        <f aca="false">IF($L1349="","",IFERROR(VLOOKUP(--$L1349,MM_Income!$Z$5:$AC$204,3,FALSE()),"UNMAPPED"))</f>
        <v/>
      </c>
    </row>
    <row r="1350" customFormat="false" ht="13.5" hidden="false" customHeight="false" outlineLevel="0" collapsed="false">
      <c r="A1350" s="1" t="str">
        <f aca="false">IF($C1350="","",Controls!$B$7)</f>
        <v/>
      </c>
      <c r="B1350" s="1" t="str">
        <f aca="false">IF($H1350="","",YEAR($H1350)&amp;"-Q"&amp;ROUNDUP(MONTH($H1350)/3,0))</f>
        <v/>
      </c>
      <c r="S1350" s="1" t="str">
        <f aca="false">IF($C1350="","",$C1350&amp;"|"&amp;$E1350&amp;"|"&amp;$F1350&amp;"|"&amp;$L1350&amp;"|"&amp;$P1350&amp;"|"&amp;TEXT($H1350,"yyyy-mm-dd"))</f>
        <v/>
      </c>
      <c r="T1350" s="1" t="str">
        <f aca="false">IF($S1350="","",IF(COUNTIF($S$2:$S$2991,$S1350)&gt;1,"DUPLICATE","OK"))</f>
        <v/>
      </c>
      <c r="U1350" s="0" t="str">
        <f aca="false">IF($L1350="","",IFERROR(VLOOKUP(--$L1350,MM_Income!$Z$5:$AC$204,3,FALSE()),"UNMAPPED"))</f>
        <v/>
      </c>
    </row>
    <row r="1351" customFormat="false" ht="13.5" hidden="false" customHeight="false" outlineLevel="0" collapsed="false">
      <c r="A1351" s="1" t="str">
        <f aca="false">IF($C1351="","",Controls!$B$7)</f>
        <v/>
      </c>
      <c r="B1351" s="1" t="str">
        <f aca="false">IF($H1351="","",YEAR($H1351)&amp;"-Q"&amp;ROUNDUP(MONTH($H1351)/3,0))</f>
        <v/>
      </c>
      <c r="S1351" s="1" t="str">
        <f aca="false">IF($C1351="","",$C1351&amp;"|"&amp;$E1351&amp;"|"&amp;$F1351&amp;"|"&amp;$L1351&amp;"|"&amp;$P1351&amp;"|"&amp;TEXT($H1351,"yyyy-mm-dd"))</f>
        <v/>
      </c>
      <c r="T1351" s="1" t="str">
        <f aca="false">IF($S1351="","",IF(COUNTIF($S$2:$S$2991,$S1351)&gt;1,"DUPLICATE","OK"))</f>
        <v/>
      </c>
      <c r="U1351" s="0" t="str">
        <f aca="false">IF($L1351="","",IFERROR(VLOOKUP(--$L1351,MM_Income!$Z$5:$AC$204,3,FALSE()),"UNMAPPED"))</f>
        <v/>
      </c>
    </row>
    <row r="1352" customFormat="false" ht="13.5" hidden="false" customHeight="false" outlineLevel="0" collapsed="false">
      <c r="A1352" s="1" t="str">
        <f aca="false">IF($C1352="","",Controls!$B$7)</f>
        <v/>
      </c>
      <c r="B1352" s="1" t="str">
        <f aca="false">IF($H1352="","",YEAR($H1352)&amp;"-Q"&amp;ROUNDUP(MONTH($H1352)/3,0))</f>
        <v/>
      </c>
      <c r="S1352" s="1" t="str">
        <f aca="false">IF($C1352="","",$C1352&amp;"|"&amp;$E1352&amp;"|"&amp;$F1352&amp;"|"&amp;$L1352&amp;"|"&amp;$P1352&amp;"|"&amp;TEXT($H1352,"yyyy-mm-dd"))</f>
        <v/>
      </c>
      <c r="T1352" s="1" t="str">
        <f aca="false">IF($S1352="","",IF(COUNTIF($S$2:$S$2991,$S1352)&gt;1,"DUPLICATE","OK"))</f>
        <v/>
      </c>
      <c r="U1352" s="0" t="str">
        <f aca="false">IF($L1352="","",IFERROR(VLOOKUP(--$L1352,MM_Income!$Z$5:$AC$204,3,FALSE()),"UNMAPPED"))</f>
        <v/>
      </c>
    </row>
    <row r="1353" customFormat="false" ht="13.5" hidden="false" customHeight="false" outlineLevel="0" collapsed="false">
      <c r="A1353" s="1" t="str">
        <f aca="false">IF($C1353="","",Controls!$B$7)</f>
        <v/>
      </c>
      <c r="B1353" s="1" t="str">
        <f aca="false">IF($H1353="","",YEAR($H1353)&amp;"-Q"&amp;ROUNDUP(MONTH($H1353)/3,0))</f>
        <v/>
      </c>
      <c r="S1353" s="1" t="str">
        <f aca="false">IF($C1353="","",$C1353&amp;"|"&amp;$E1353&amp;"|"&amp;$F1353&amp;"|"&amp;$L1353&amp;"|"&amp;$P1353&amp;"|"&amp;TEXT($H1353,"yyyy-mm-dd"))</f>
        <v/>
      </c>
      <c r="T1353" s="1" t="str">
        <f aca="false">IF($S1353="","",IF(COUNTIF($S$2:$S$2991,$S1353)&gt;1,"DUPLICATE","OK"))</f>
        <v/>
      </c>
      <c r="U1353" s="0" t="str">
        <f aca="false">IF($L1353="","",IFERROR(VLOOKUP(--$L1353,MM_Income!$Z$5:$AC$204,3,FALSE()),"UNMAPPED"))</f>
        <v/>
      </c>
    </row>
    <row r="1354" customFormat="false" ht="13.5" hidden="false" customHeight="false" outlineLevel="0" collapsed="false">
      <c r="A1354" s="1" t="str">
        <f aca="false">IF($C1354="","",Controls!$B$7)</f>
        <v/>
      </c>
      <c r="B1354" s="1" t="str">
        <f aca="false">IF($H1354="","",YEAR($H1354)&amp;"-Q"&amp;ROUNDUP(MONTH($H1354)/3,0))</f>
        <v/>
      </c>
      <c r="S1354" s="1" t="str">
        <f aca="false">IF($C1354="","",$C1354&amp;"|"&amp;$E1354&amp;"|"&amp;$F1354&amp;"|"&amp;$L1354&amp;"|"&amp;$P1354&amp;"|"&amp;TEXT($H1354,"yyyy-mm-dd"))</f>
        <v/>
      </c>
      <c r="T1354" s="1" t="str">
        <f aca="false">IF($S1354="","",IF(COUNTIF($S$2:$S$2991,$S1354)&gt;1,"DUPLICATE","OK"))</f>
        <v/>
      </c>
      <c r="U1354" s="0" t="str">
        <f aca="false">IF($L1354="","",IFERROR(VLOOKUP(--$L1354,MM_Income!$Z$5:$AC$204,3,FALSE()),"UNMAPPED"))</f>
        <v/>
      </c>
    </row>
    <row r="1355" customFormat="false" ht="13.5" hidden="false" customHeight="false" outlineLevel="0" collapsed="false">
      <c r="A1355" s="1" t="str">
        <f aca="false">IF($C1355="","",Controls!$B$7)</f>
        <v/>
      </c>
      <c r="B1355" s="1" t="str">
        <f aca="false">IF($H1355="","",YEAR($H1355)&amp;"-Q"&amp;ROUNDUP(MONTH($H1355)/3,0))</f>
        <v/>
      </c>
      <c r="S1355" s="1" t="str">
        <f aca="false">IF($C1355="","",$C1355&amp;"|"&amp;$E1355&amp;"|"&amp;$F1355&amp;"|"&amp;$L1355&amp;"|"&amp;$P1355&amp;"|"&amp;TEXT($H1355,"yyyy-mm-dd"))</f>
        <v/>
      </c>
      <c r="T1355" s="1" t="str">
        <f aca="false">IF($S1355="","",IF(COUNTIF($S$2:$S$2991,$S1355)&gt;1,"DUPLICATE","OK"))</f>
        <v/>
      </c>
      <c r="U1355" s="0" t="str">
        <f aca="false">IF($L1355="","",IFERROR(VLOOKUP(--$L1355,MM_Income!$Z$5:$AC$204,3,FALSE()),"UNMAPPED"))</f>
        <v/>
      </c>
    </row>
    <row r="1356" customFormat="false" ht="13.5" hidden="false" customHeight="false" outlineLevel="0" collapsed="false">
      <c r="A1356" s="1" t="str">
        <f aca="false">IF($C1356="","",Controls!$B$7)</f>
        <v/>
      </c>
      <c r="B1356" s="1" t="str">
        <f aca="false">IF($H1356="","",YEAR($H1356)&amp;"-Q"&amp;ROUNDUP(MONTH($H1356)/3,0))</f>
        <v/>
      </c>
      <c r="S1356" s="1" t="str">
        <f aca="false">IF($C1356="","",$C1356&amp;"|"&amp;$E1356&amp;"|"&amp;$F1356&amp;"|"&amp;$L1356&amp;"|"&amp;$P1356&amp;"|"&amp;TEXT($H1356,"yyyy-mm-dd"))</f>
        <v/>
      </c>
      <c r="T1356" s="1" t="str">
        <f aca="false">IF($S1356="","",IF(COUNTIF($S$2:$S$2991,$S1356)&gt;1,"DUPLICATE","OK"))</f>
        <v/>
      </c>
      <c r="U1356" s="0" t="str">
        <f aca="false">IF($L1356="","",IFERROR(VLOOKUP(--$L1356,MM_Income!$Z$5:$AC$204,3,FALSE()),"UNMAPPED"))</f>
        <v/>
      </c>
    </row>
    <row r="1357" customFormat="false" ht="13.5" hidden="false" customHeight="false" outlineLevel="0" collapsed="false">
      <c r="A1357" s="1" t="str">
        <f aca="false">IF($C1357="","",Controls!$B$7)</f>
        <v/>
      </c>
      <c r="B1357" s="1" t="str">
        <f aca="false">IF($H1357="","",YEAR($H1357)&amp;"-Q"&amp;ROUNDUP(MONTH($H1357)/3,0))</f>
        <v/>
      </c>
      <c r="S1357" s="1" t="str">
        <f aca="false">IF($C1357="","",$C1357&amp;"|"&amp;$E1357&amp;"|"&amp;$F1357&amp;"|"&amp;$L1357&amp;"|"&amp;$P1357&amp;"|"&amp;TEXT($H1357,"yyyy-mm-dd"))</f>
        <v/>
      </c>
      <c r="T1357" s="1" t="str">
        <f aca="false">IF($S1357="","",IF(COUNTIF($S$2:$S$2991,$S1357)&gt;1,"DUPLICATE","OK"))</f>
        <v/>
      </c>
      <c r="U1357" s="0" t="str">
        <f aca="false">IF($L1357="","",IFERROR(VLOOKUP(--$L1357,MM_Income!$Z$5:$AC$204,3,FALSE()),"UNMAPPED"))</f>
        <v/>
      </c>
    </row>
    <row r="1358" customFormat="false" ht="13.5" hidden="false" customHeight="false" outlineLevel="0" collapsed="false">
      <c r="A1358" s="1" t="str">
        <f aca="false">IF($C1358="","",Controls!$B$7)</f>
        <v/>
      </c>
      <c r="B1358" s="1" t="str">
        <f aca="false">IF($H1358="","",YEAR($H1358)&amp;"-Q"&amp;ROUNDUP(MONTH($H1358)/3,0))</f>
        <v/>
      </c>
      <c r="S1358" s="1" t="str">
        <f aca="false">IF($C1358="","",$C1358&amp;"|"&amp;$E1358&amp;"|"&amp;$F1358&amp;"|"&amp;$L1358&amp;"|"&amp;$P1358&amp;"|"&amp;TEXT($H1358,"yyyy-mm-dd"))</f>
        <v/>
      </c>
      <c r="T1358" s="1" t="str">
        <f aca="false">IF($S1358="","",IF(COUNTIF($S$2:$S$2991,$S1358)&gt;1,"DUPLICATE","OK"))</f>
        <v/>
      </c>
      <c r="U1358" s="0" t="str">
        <f aca="false">IF($L1358="","",IFERROR(VLOOKUP(--$L1358,MM_Income!$Z$5:$AC$204,3,FALSE()),"UNMAPPED"))</f>
        <v/>
      </c>
    </row>
    <row r="1359" customFormat="false" ht="13.5" hidden="false" customHeight="false" outlineLevel="0" collapsed="false">
      <c r="A1359" s="1" t="str">
        <f aca="false">IF($C1359="","",Controls!$B$7)</f>
        <v/>
      </c>
      <c r="B1359" s="1" t="str">
        <f aca="false">IF($H1359="","",YEAR($H1359)&amp;"-Q"&amp;ROUNDUP(MONTH($H1359)/3,0))</f>
        <v/>
      </c>
      <c r="S1359" s="1" t="str">
        <f aca="false">IF($C1359="","",$C1359&amp;"|"&amp;$E1359&amp;"|"&amp;$F1359&amp;"|"&amp;$L1359&amp;"|"&amp;$P1359&amp;"|"&amp;TEXT($H1359,"yyyy-mm-dd"))</f>
        <v/>
      </c>
      <c r="T1359" s="1" t="str">
        <f aca="false">IF($S1359="","",IF(COUNTIF($S$2:$S$2991,$S1359)&gt;1,"DUPLICATE","OK"))</f>
        <v/>
      </c>
      <c r="U1359" s="0" t="str">
        <f aca="false">IF($L1359="","",IFERROR(VLOOKUP(--$L1359,MM_Income!$Z$5:$AC$204,3,FALSE()),"UNMAPPED"))</f>
        <v/>
      </c>
    </row>
    <row r="1360" customFormat="false" ht="13.5" hidden="false" customHeight="false" outlineLevel="0" collapsed="false">
      <c r="A1360" s="1" t="str">
        <f aca="false">IF($C1360="","",Controls!$B$7)</f>
        <v/>
      </c>
      <c r="B1360" s="1" t="str">
        <f aca="false">IF($H1360="","",YEAR($H1360)&amp;"-Q"&amp;ROUNDUP(MONTH($H1360)/3,0))</f>
        <v/>
      </c>
      <c r="S1360" s="1" t="str">
        <f aca="false">IF($C1360="","",$C1360&amp;"|"&amp;$E1360&amp;"|"&amp;$F1360&amp;"|"&amp;$L1360&amp;"|"&amp;$P1360&amp;"|"&amp;TEXT($H1360,"yyyy-mm-dd"))</f>
        <v/>
      </c>
      <c r="T1360" s="1" t="str">
        <f aca="false">IF($S1360="","",IF(COUNTIF($S$2:$S$2991,$S1360)&gt;1,"DUPLICATE","OK"))</f>
        <v/>
      </c>
      <c r="U1360" s="0" t="str">
        <f aca="false">IF($L1360="","",IFERROR(VLOOKUP(--$L1360,MM_Income!$Z$5:$AC$204,3,FALSE()),"UNMAPPED"))</f>
        <v/>
      </c>
    </row>
    <row r="1361" customFormat="false" ht="13.5" hidden="false" customHeight="false" outlineLevel="0" collapsed="false">
      <c r="A1361" s="1" t="str">
        <f aca="false">IF($C1361="","",Controls!$B$7)</f>
        <v/>
      </c>
      <c r="B1361" s="1" t="str">
        <f aca="false">IF($H1361="","",YEAR($H1361)&amp;"-Q"&amp;ROUNDUP(MONTH($H1361)/3,0))</f>
        <v/>
      </c>
      <c r="S1361" s="1" t="str">
        <f aca="false">IF($C1361="","",$C1361&amp;"|"&amp;$E1361&amp;"|"&amp;$F1361&amp;"|"&amp;$L1361&amp;"|"&amp;$P1361&amp;"|"&amp;TEXT($H1361,"yyyy-mm-dd"))</f>
        <v/>
      </c>
      <c r="T1361" s="1" t="str">
        <f aca="false">IF($S1361="","",IF(COUNTIF($S$2:$S$2991,$S1361)&gt;1,"DUPLICATE","OK"))</f>
        <v/>
      </c>
      <c r="U1361" s="0" t="str">
        <f aca="false">IF($L1361="","",IFERROR(VLOOKUP(--$L1361,MM_Income!$Z$5:$AC$204,3,FALSE()),"UNMAPPED"))</f>
        <v/>
      </c>
    </row>
    <row r="1362" customFormat="false" ht="13.5" hidden="false" customHeight="false" outlineLevel="0" collapsed="false">
      <c r="A1362" s="1" t="str">
        <f aca="false">IF($C1362="","",Controls!$B$7)</f>
        <v/>
      </c>
      <c r="B1362" s="1" t="str">
        <f aca="false">IF($H1362="","",YEAR($H1362)&amp;"-Q"&amp;ROUNDUP(MONTH($H1362)/3,0))</f>
        <v/>
      </c>
      <c r="S1362" s="1" t="str">
        <f aca="false">IF($C1362="","",$C1362&amp;"|"&amp;$E1362&amp;"|"&amp;$F1362&amp;"|"&amp;$L1362&amp;"|"&amp;$P1362&amp;"|"&amp;TEXT($H1362,"yyyy-mm-dd"))</f>
        <v/>
      </c>
      <c r="T1362" s="1" t="str">
        <f aca="false">IF($S1362="","",IF(COUNTIF($S$2:$S$2991,$S1362)&gt;1,"DUPLICATE","OK"))</f>
        <v/>
      </c>
      <c r="U1362" s="0" t="str">
        <f aca="false">IF($L1362="","",IFERROR(VLOOKUP(--$L1362,MM_Income!$Z$5:$AC$204,3,FALSE()),"UNMAPPED"))</f>
        <v/>
      </c>
    </row>
    <row r="1363" customFormat="false" ht="13.5" hidden="false" customHeight="false" outlineLevel="0" collapsed="false">
      <c r="A1363" s="1" t="str">
        <f aca="false">IF($C1363="","",Controls!$B$7)</f>
        <v/>
      </c>
      <c r="B1363" s="1" t="str">
        <f aca="false">IF($H1363="","",YEAR($H1363)&amp;"-Q"&amp;ROUNDUP(MONTH($H1363)/3,0))</f>
        <v/>
      </c>
      <c r="S1363" s="1" t="str">
        <f aca="false">IF($C1363="","",$C1363&amp;"|"&amp;$E1363&amp;"|"&amp;$F1363&amp;"|"&amp;$L1363&amp;"|"&amp;$P1363&amp;"|"&amp;TEXT($H1363,"yyyy-mm-dd"))</f>
        <v/>
      </c>
      <c r="T1363" s="1" t="str">
        <f aca="false">IF($S1363="","",IF(COUNTIF($S$2:$S$2991,$S1363)&gt;1,"DUPLICATE","OK"))</f>
        <v/>
      </c>
      <c r="U1363" s="0" t="str">
        <f aca="false">IF($L1363="","",IFERROR(VLOOKUP(--$L1363,MM_Income!$Z$5:$AC$204,3,FALSE()),"UNMAPPED"))</f>
        <v/>
      </c>
    </row>
    <row r="1364" customFormat="false" ht="13.5" hidden="false" customHeight="false" outlineLevel="0" collapsed="false">
      <c r="A1364" s="1" t="str">
        <f aca="false">IF($C1364="","",Controls!$B$7)</f>
        <v/>
      </c>
      <c r="B1364" s="1" t="str">
        <f aca="false">IF($H1364="","",YEAR($H1364)&amp;"-Q"&amp;ROUNDUP(MONTH($H1364)/3,0))</f>
        <v/>
      </c>
      <c r="S1364" s="1" t="str">
        <f aca="false">IF($C1364="","",$C1364&amp;"|"&amp;$E1364&amp;"|"&amp;$F1364&amp;"|"&amp;$L1364&amp;"|"&amp;$P1364&amp;"|"&amp;TEXT($H1364,"yyyy-mm-dd"))</f>
        <v/>
      </c>
      <c r="T1364" s="1" t="str">
        <f aca="false">IF($S1364="","",IF(COUNTIF($S$2:$S$2991,$S1364)&gt;1,"DUPLICATE","OK"))</f>
        <v/>
      </c>
      <c r="U1364" s="0" t="str">
        <f aca="false">IF($L1364="","",IFERROR(VLOOKUP(--$L1364,MM_Income!$Z$5:$AC$204,3,FALSE()),"UNMAPPED"))</f>
        <v/>
      </c>
    </row>
    <row r="1365" customFormat="false" ht="13.5" hidden="false" customHeight="false" outlineLevel="0" collapsed="false">
      <c r="A1365" s="1" t="str">
        <f aca="false">IF($C1365="","",Controls!$B$7)</f>
        <v/>
      </c>
      <c r="B1365" s="1" t="str">
        <f aca="false">IF($H1365="","",YEAR($H1365)&amp;"-Q"&amp;ROUNDUP(MONTH($H1365)/3,0))</f>
        <v/>
      </c>
      <c r="S1365" s="1" t="str">
        <f aca="false">IF($C1365="","",$C1365&amp;"|"&amp;$E1365&amp;"|"&amp;$F1365&amp;"|"&amp;$L1365&amp;"|"&amp;$P1365&amp;"|"&amp;TEXT($H1365,"yyyy-mm-dd"))</f>
        <v/>
      </c>
      <c r="T1365" s="1" t="str">
        <f aca="false">IF($S1365="","",IF(COUNTIF($S$2:$S$2991,$S1365)&gt;1,"DUPLICATE","OK"))</f>
        <v/>
      </c>
      <c r="U1365" s="0" t="str">
        <f aca="false">IF($L1365="","",IFERROR(VLOOKUP(--$L1365,MM_Income!$Z$5:$AC$204,3,FALSE()),"UNMAPPED"))</f>
        <v/>
      </c>
    </row>
    <row r="1366" customFormat="false" ht="13.5" hidden="false" customHeight="false" outlineLevel="0" collapsed="false">
      <c r="A1366" s="1" t="str">
        <f aca="false">IF($C1366="","",Controls!$B$7)</f>
        <v/>
      </c>
      <c r="B1366" s="1" t="str">
        <f aca="false">IF($H1366="","",YEAR($H1366)&amp;"-Q"&amp;ROUNDUP(MONTH($H1366)/3,0))</f>
        <v/>
      </c>
      <c r="S1366" s="1" t="str">
        <f aca="false">IF($C1366="","",$C1366&amp;"|"&amp;$E1366&amp;"|"&amp;$F1366&amp;"|"&amp;$L1366&amp;"|"&amp;$P1366&amp;"|"&amp;TEXT($H1366,"yyyy-mm-dd"))</f>
        <v/>
      </c>
      <c r="T1366" s="1" t="str">
        <f aca="false">IF($S1366="","",IF(COUNTIF($S$2:$S$2991,$S1366)&gt;1,"DUPLICATE","OK"))</f>
        <v/>
      </c>
      <c r="U1366" s="0" t="str">
        <f aca="false">IF($L1366="","",IFERROR(VLOOKUP(--$L1366,MM_Income!$Z$5:$AC$204,3,FALSE()),"UNMAPPED"))</f>
        <v/>
      </c>
    </row>
    <row r="1367" customFormat="false" ht="13.5" hidden="false" customHeight="false" outlineLevel="0" collapsed="false">
      <c r="A1367" s="1" t="str">
        <f aca="false">IF($C1367="","",Controls!$B$7)</f>
        <v/>
      </c>
      <c r="B1367" s="1" t="str">
        <f aca="false">IF($H1367="","",YEAR($H1367)&amp;"-Q"&amp;ROUNDUP(MONTH($H1367)/3,0))</f>
        <v/>
      </c>
      <c r="S1367" s="1" t="str">
        <f aca="false">IF($C1367="","",$C1367&amp;"|"&amp;$E1367&amp;"|"&amp;$F1367&amp;"|"&amp;$L1367&amp;"|"&amp;$P1367&amp;"|"&amp;TEXT($H1367,"yyyy-mm-dd"))</f>
        <v/>
      </c>
      <c r="T1367" s="1" t="str">
        <f aca="false">IF($S1367="","",IF(COUNTIF($S$2:$S$2991,$S1367)&gt;1,"DUPLICATE","OK"))</f>
        <v/>
      </c>
      <c r="U1367" s="0" t="str">
        <f aca="false">IF($L1367="","",IFERROR(VLOOKUP(--$L1367,MM_Income!$Z$5:$AC$204,3,FALSE()),"UNMAPPED"))</f>
        <v/>
      </c>
    </row>
    <row r="1368" customFormat="false" ht="13.5" hidden="false" customHeight="false" outlineLevel="0" collapsed="false">
      <c r="A1368" s="1" t="str">
        <f aca="false">IF($C1368="","",Controls!$B$7)</f>
        <v/>
      </c>
      <c r="B1368" s="1" t="str">
        <f aca="false">IF($H1368="","",YEAR($H1368)&amp;"-Q"&amp;ROUNDUP(MONTH($H1368)/3,0))</f>
        <v/>
      </c>
      <c r="S1368" s="1" t="str">
        <f aca="false">IF($C1368="","",$C1368&amp;"|"&amp;$E1368&amp;"|"&amp;$F1368&amp;"|"&amp;$L1368&amp;"|"&amp;$P1368&amp;"|"&amp;TEXT($H1368,"yyyy-mm-dd"))</f>
        <v/>
      </c>
      <c r="T1368" s="1" t="str">
        <f aca="false">IF($S1368="","",IF(COUNTIF($S$2:$S$2991,$S1368)&gt;1,"DUPLICATE","OK"))</f>
        <v/>
      </c>
      <c r="U1368" s="0" t="str">
        <f aca="false">IF($L1368="","",IFERROR(VLOOKUP(--$L1368,MM_Income!$Z$5:$AC$204,3,FALSE()),"UNMAPPED"))</f>
        <v/>
      </c>
    </row>
    <row r="1369" customFormat="false" ht="13.5" hidden="false" customHeight="false" outlineLevel="0" collapsed="false">
      <c r="A1369" s="1" t="str">
        <f aca="false">IF($C1369="","",Controls!$B$7)</f>
        <v/>
      </c>
      <c r="B1369" s="1" t="str">
        <f aca="false">IF($H1369="","",YEAR($H1369)&amp;"-Q"&amp;ROUNDUP(MONTH($H1369)/3,0))</f>
        <v/>
      </c>
      <c r="S1369" s="1" t="str">
        <f aca="false">IF($C1369="","",$C1369&amp;"|"&amp;$E1369&amp;"|"&amp;$F1369&amp;"|"&amp;$L1369&amp;"|"&amp;$P1369&amp;"|"&amp;TEXT($H1369,"yyyy-mm-dd"))</f>
        <v/>
      </c>
      <c r="T1369" s="1" t="str">
        <f aca="false">IF($S1369="","",IF(COUNTIF($S$2:$S$2991,$S1369)&gt;1,"DUPLICATE","OK"))</f>
        <v/>
      </c>
      <c r="U1369" s="0" t="str">
        <f aca="false">IF($L1369="","",IFERROR(VLOOKUP(--$L1369,MM_Income!$Z$5:$AC$204,3,FALSE()),"UNMAPPED"))</f>
        <v/>
      </c>
    </row>
    <row r="1370" customFormat="false" ht="13.5" hidden="false" customHeight="false" outlineLevel="0" collapsed="false">
      <c r="A1370" s="1" t="str">
        <f aca="false">IF($C1370="","",Controls!$B$7)</f>
        <v/>
      </c>
      <c r="B1370" s="1" t="str">
        <f aca="false">IF($H1370="","",YEAR($H1370)&amp;"-Q"&amp;ROUNDUP(MONTH($H1370)/3,0))</f>
        <v/>
      </c>
      <c r="S1370" s="1" t="str">
        <f aca="false">IF($C1370="","",$C1370&amp;"|"&amp;$E1370&amp;"|"&amp;$F1370&amp;"|"&amp;$L1370&amp;"|"&amp;$P1370&amp;"|"&amp;TEXT($H1370,"yyyy-mm-dd"))</f>
        <v/>
      </c>
      <c r="T1370" s="1" t="str">
        <f aca="false">IF($S1370="","",IF(COUNTIF($S$2:$S$2991,$S1370)&gt;1,"DUPLICATE","OK"))</f>
        <v/>
      </c>
      <c r="U1370" s="0" t="str">
        <f aca="false">IF($L1370="","",IFERROR(VLOOKUP(--$L1370,MM_Income!$Z$5:$AC$204,3,FALSE()),"UNMAPPED"))</f>
        <v/>
      </c>
    </row>
    <row r="1371" customFormat="false" ht="13.5" hidden="false" customHeight="false" outlineLevel="0" collapsed="false">
      <c r="A1371" s="1" t="str">
        <f aca="false">IF($C1371="","",Controls!$B$7)</f>
        <v/>
      </c>
      <c r="B1371" s="1" t="str">
        <f aca="false">IF($H1371="","",YEAR($H1371)&amp;"-Q"&amp;ROUNDUP(MONTH($H1371)/3,0))</f>
        <v/>
      </c>
      <c r="S1371" s="1" t="str">
        <f aca="false">IF($C1371="","",$C1371&amp;"|"&amp;$E1371&amp;"|"&amp;$F1371&amp;"|"&amp;$L1371&amp;"|"&amp;$P1371&amp;"|"&amp;TEXT($H1371,"yyyy-mm-dd"))</f>
        <v/>
      </c>
      <c r="T1371" s="1" t="str">
        <f aca="false">IF($S1371="","",IF(COUNTIF($S$2:$S$2991,$S1371)&gt;1,"DUPLICATE","OK"))</f>
        <v/>
      </c>
      <c r="U1371" s="0" t="str">
        <f aca="false">IF($L1371="","",IFERROR(VLOOKUP(--$L1371,MM_Income!$Z$5:$AC$204,3,FALSE()),"UNMAPPED"))</f>
        <v/>
      </c>
    </row>
    <row r="1372" customFormat="false" ht="13.5" hidden="false" customHeight="false" outlineLevel="0" collapsed="false">
      <c r="A1372" s="1" t="str">
        <f aca="false">IF($C1372="","",Controls!$B$7)</f>
        <v/>
      </c>
      <c r="B1372" s="1" t="str">
        <f aca="false">IF($H1372="","",YEAR($H1372)&amp;"-Q"&amp;ROUNDUP(MONTH($H1372)/3,0))</f>
        <v/>
      </c>
      <c r="S1372" s="1" t="str">
        <f aca="false">IF($C1372="","",$C1372&amp;"|"&amp;$E1372&amp;"|"&amp;$F1372&amp;"|"&amp;$L1372&amp;"|"&amp;$P1372&amp;"|"&amp;TEXT($H1372,"yyyy-mm-dd"))</f>
        <v/>
      </c>
      <c r="T1372" s="1" t="str">
        <f aca="false">IF($S1372="","",IF(COUNTIF($S$2:$S$2991,$S1372)&gt;1,"DUPLICATE","OK"))</f>
        <v/>
      </c>
      <c r="U1372" s="0" t="str">
        <f aca="false">IF($L1372="","",IFERROR(VLOOKUP(--$L1372,MM_Income!$Z$5:$AC$204,3,FALSE()),"UNMAPPED"))</f>
        <v/>
      </c>
    </row>
    <row r="1373" customFormat="false" ht="13.5" hidden="false" customHeight="false" outlineLevel="0" collapsed="false">
      <c r="A1373" s="1" t="str">
        <f aca="false">IF($C1373="","",Controls!$B$7)</f>
        <v/>
      </c>
      <c r="B1373" s="1" t="str">
        <f aca="false">IF($H1373="","",YEAR($H1373)&amp;"-Q"&amp;ROUNDUP(MONTH($H1373)/3,0))</f>
        <v/>
      </c>
      <c r="S1373" s="1" t="str">
        <f aca="false">IF($C1373="","",$C1373&amp;"|"&amp;$E1373&amp;"|"&amp;$F1373&amp;"|"&amp;$L1373&amp;"|"&amp;$P1373&amp;"|"&amp;TEXT($H1373,"yyyy-mm-dd"))</f>
        <v/>
      </c>
      <c r="T1373" s="1" t="str">
        <f aca="false">IF($S1373="","",IF(COUNTIF($S$2:$S$2991,$S1373)&gt;1,"DUPLICATE","OK"))</f>
        <v/>
      </c>
      <c r="U1373" s="0" t="str">
        <f aca="false">IF($L1373="","",IFERROR(VLOOKUP(--$L1373,MM_Income!$Z$5:$AC$204,3,FALSE()),"UNMAPPED"))</f>
        <v/>
      </c>
    </row>
    <row r="1374" customFormat="false" ht="13.5" hidden="false" customHeight="false" outlineLevel="0" collapsed="false">
      <c r="A1374" s="1" t="str">
        <f aca="false">IF($C1374="","",Controls!$B$7)</f>
        <v/>
      </c>
      <c r="B1374" s="1" t="str">
        <f aca="false">IF($H1374="","",YEAR($H1374)&amp;"-Q"&amp;ROUNDUP(MONTH($H1374)/3,0))</f>
        <v/>
      </c>
      <c r="S1374" s="1" t="str">
        <f aca="false">IF($C1374="","",$C1374&amp;"|"&amp;$E1374&amp;"|"&amp;$F1374&amp;"|"&amp;$L1374&amp;"|"&amp;$P1374&amp;"|"&amp;TEXT($H1374,"yyyy-mm-dd"))</f>
        <v/>
      </c>
      <c r="T1374" s="1" t="str">
        <f aca="false">IF($S1374="","",IF(COUNTIF($S$2:$S$2991,$S1374)&gt;1,"DUPLICATE","OK"))</f>
        <v/>
      </c>
      <c r="U1374" s="0" t="str">
        <f aca="false">IF($L1374="","",IFERROR(VLOOKUP(--$L1374,MM_Income!$Z$5:$AC$204,3,FALSE()),"UNMAPPED"))</f>
        <v/>
      </c>
    </row>
    <row r="1375" customFormat="false" ht="13.5" hidden="false" customHeight="false" outlineLevel="0" collapsed="false">
      <c r="A1375" s="1" t="str">
        <f aca="false">IF($C1375="","",Controls!$B$7)</f>
        <v/>
      </c>
      <c r="B1375" s="1" t="str">
        <f aca="false">IF($H1375="","",YEAR($H1375)&amp;"-Q"&amp;ROUNDUP(MONTH($H1375)/3,0))</f>
        <v/>
      </c>
      <c r="S1375" s="1" t="str">
        <f aca="false">IF($C1375="","",$C1375&amp;"|"&amp;$E1375&amp;"|"&amp;$F1375&amp;"|"&amp;$L1375&amp;"|"&amp;$P1375&amp;"|"&amp;TEXT($H1375,"yyyy-mm-dd"))</f>
        <v/>
      </c>
      <c r="T1375" s="1" t="str">
        <f aca="false">IF($S1375="","",IF(COUNTIF($S$2:$S$2991,$S1375)&gt;1,"DUPLICATE","OK"))</f>
        <v/>
      </c>
      <c r="U1375" s="0" t="str">
        <f aca="false">IF($L1375="","",IFERROR(VLOOKUP(--$L1375,MM_Income!$Z$5:$AC$204,3,FALSE()),"UNMAPPED"))</f>
        <v/>
      </c>
    </row>
    <row r="1376" customFormat="false" ht="13.5" hidden="false" customHeight="false" outlineLevel="0" collapsed="false">
      <c r="A1376" s="1" t="str">
        <f aca="false">IF($C1376="","",Controls!$B$7)</f>
        <v/>
      </c>
      <c r="B1376" s="1" t="str">
        <f aca="false">IF($H1376="","",YEAR($H1376)&amp;"-Q"&amp;ROUNDUP(MONTH($H1376)/3,0))</f>
        <v/>
      </c>
      <c r="S1376" s="1" t="str">
        <f aca="false">IF($C1376="","",$C1376&amp;"|"&amp;$E1376&amp;"|"&amp;$F1376&amp;"|"&amp;$L1376&amp;"|"&amp;$P1376&amp;"|"&amp;TEXT($H1376,"yyyy-mm-dd"))</f>
        <v/>
      </c>
      <c r="T1376" s="1" t="str">
        <f aca="false">IF($S1376="","",IF(COUNTIF($S$2:$S$2991,$S1376)&gt;1,"DUPLICATE","OK"))</f>
        <v/>
      </c>
      <c r="U1376" s="0" t="str">
        <f aca="false">IF($L1376="","",IFERROR(VLOOKUP(--$L1376,MM_Income!$Z$5:$AC$204,3,FALSE()),"UNMAPPED"))</f>
        <v/>
      </c>
    </row>
    <row r="1377" customFormat="false" ht="13.5" hidden="false" customHeight="false" outlineLevel="0" collapsed="false">
      <c r="A1377" s="1" t="str">
        <f aca="false">IF($C1377="","",Controls!$B$7)</f>
        <v/>
      </c>
      <c r="B1377" s="1" t="str">
        <f aca="false">IF($H1377="","",YEAR($H1377)&amp;"-Q"&amp;ROUNDUP(MONTH($H1377)/3,0))</f>
        <v/>
      </c>
      <c r="S1377" s="1" t="str">
        <f aca="false">IF($C1377="","",$C1377&amp;"|"&amp;$E1377&amp;"|"&amp;$F1377&amp;"|"&amp;$L1377&amp;"|"&amp;$P1377&amp;"|"&amp;TEXT($H1377,"yyyy-mm-dd"))</f>
        <v/>
      </c>
      <c r="T1377" s="1" t="str">
        <f aca="false">IF($S1377="","",IF(COUNTIF($S$2:$S$2991,$S1377)&gt;1,"DUPLICATE","OK"))</f>
        <v/>
      </c>
      <c r="U1377" s="0" t="str">
        <f aca="false">IF($L1377="","",IFERROR(VLOOKUP(--$L1377,MM_Income!$Z$5:$AC$204,3,FALSE()),"UNMAPPED"))</f>
        <v/>
      </c>
    </row>
    <row r="1378" customFormat="false" ht="13.5" hidden="false" customHeight="false" outlineLevel="0" collapsed="false">
      <c r="A1378" s="1" t="str">
        <f aca="false">IF($C1378="","",Controls!$B$7)</f>
        <v/>
      </c>
      <c r="B1378" s="1" t="str">
        <f aca="false">IF($H1378="","",YEAR($H1378)&amp;"-Q"&amp;ROUNDUP(MONTH($H1378)/3,0))</f>
        <v/>
      </c>
      <c r="S1378" s="1" t="str">
        <f aca="false">IF($C1378="","",$C1378&amp;"|"&amp;$E1378&amp;"|"&amp;$F1378&amp;"|"&amp;$L1378&amp;"|"&amp;$P1378&amp;"|"&amp;TEXT($H1378,"yyyy-mm-dd"))</f>
        <v/>
      </c>
      <c r="T1378" s="1" t="str">
        <f aca="false">IF($S1378="","",IF(COUNTIF($S$2:$S$2991,$S1378)&gt;1,"DUPLICATE","OK"))</f>
        <v/>
      </c>
      <c r="U1378" s="0" t="str">
        <f aca="false">IF($L1378="","",IFERROR(VLOOKUP(--$L1378,MM_Income!$Z$5:$AC$204,3,FALSE()),"UNMAPPED"))</f>
        <v/>
      </c>
    </row>
    <row r="1379" customFormat="false" ht="13.5" hidden="false" customHeight="false" outlineLevel="0" collapsed="false">
      <c r="A1379" s="1" t="str">
        <f aca="false">IF($C1379="","",Controls!$B$7)</f>
        <v/>
      </c>
      <c r="B1379" s="1" t="str">
        <f aca="false">IF($H1379="","",YEAR($H1379)&amp;"-Q"&amp;ROUNDUP(MONTH($H1379)/3,0))</f>
        <v/>
      </c>
      <c r="S1379" s="1" t="str">
        <f aca="false">IF($C1379="","",$C1379&amp;"|"&amp;$E1379&amp;"|"&amp;$F1379&amp;"|"&amp;$L1379&amp;"|"&amp;$P1379&amp;"|"&amp;TEXT($H1379,"yyyy-mm-dd"))</f>
        <v/>
      </c>
      <c r="T1379" s="1" t="str">
        <f aca="false">IF($S1379="","",IF(COUNTIF($S$2:$S$2991,$S1379)&gt;1,"DUPLICATE","OK"))</f>
        <v/>
      </c>
      <c r="U1379" s="0" t="str">
        <f aca="false">IF($L1379="","",IFERROR(VLOOKUP(--$L1379,MM_Income!$Z$5:$AC$204,3,FALSE()),"UNMAPPED"))</f>
        <v/>
      </c>
    </row>
    <row r="1380" customFormat="false" ht="13.5" hidden="false" customHeight="false" outlineLevel="0" collapsed="false">
      <c r="A1380" s="1" t="str">
        <f aca="false">IF($C1380="","",Controls!$B$7)</f>
        <v/>
      </c>
      <c r="B1380" s="1" t="str">
        <f aca="false">IF($H1380="","",YEAR($H1380)&amp;"-Q"&amp;ROUNDUP(MONTH($H1380)/3,0))</f>
        <v/>
      </c>
      <c r="S1380" s="1" t="str">
        <f aca="false">IF($C1380="","",$C1380&amp;"|"&amp;$E1380&amp;"|"&amp;$F1380&amp;"|"&amp;$L1380&amp;"|"&amp;$P1380&amp;"|"&amp;TEXT($H1380,"yyyy-mm-dd"))</f>
        <v/>
      </c>
      <c r="T1380" s="1" t="str">
        <f aca="false">IF($S1380="","",IF(COUNTIF($S$2:$S$2991,$S1380)&gt;1,"DUPLICATE","OK"))</f>
        <v/>
      </c>
      <c r="U1380" s="0" t="str">
        <f aca="false">IF($L1380="","",IFERROR(VLOOKUP(--$L1380,MM_Income!$Z$5:$AC$204,3,FALSE()),"UNMAPPED"))</f>
        <v/>
      </c>
    </row>
    <row r="1381" customFormat="false" ht="13.5" hidden="false" customHeight="false" outlineLevel="0" collapsed="false">
      <c r="A1381" s="1" t="str">
        <f aca="false">IF($C1381="","",Controls!$B$7)</f>
        <v/>
      </c>
      <c r="B1381" s="1" t="str">
        <f aca="false">IF($H1381="","",YEAR($H1381)&amp;"-Q"&amp;ROUNDUP(MONTH($H1381)/3,0))</f>
        <v/>
      </c>
      <c r="S1381" s="1" t="str">
        <f aca="false">IF($C1381="","",$C1381&amp;"|"&amp;$E1381&amp;"|"&amp;$F1381&amp;"|"&amp;$L1381&amp;"|"&amp;$P1381&amp;"|"&amp;TEXT($H1381,"yyyy-mm-dd"))</f>
        <v/>
      </c>
      <c r="T1381" s="1" t="str">
        <f aca="false">IF($S1381="","",IF(COUNTIF($S$2:$S$2991,$S1381)&gt;1,"DUPLICATE","OK"))</f>
        <v/>
      </c>
      <c r="U1381" s="0" t="str">
        <f aca="false">IF($L1381="","",IFERROR(VLOOKUP(--$L1381,MM_Income!$Z$5:$AC$204,3,FALSE()),"UNMAPPED"))</f>
        <v/>
      </c>
    </row>
    <row r="1382" customFormat="false" ht="13.5" hidden="false" customHeight="false" outlineLevel="0" collapsed="false">
      <c r="A1382" s="1" t="str">
        <f aca="false">IF($C1382="","",Controls!$B$7)</f>
        <v/>
      </c>
      <c r="B1382" s="1" t="str">
        <f aca="false">IF($H1382="","",YEAR($H1382)&amp;"-Q"&amp;ROUNDUP(MONTH($H1382)/3,0))</f>
        <v/>
      </c>
      <c r="S1382" s="1" t="str">
        <f aca="false">IF($C1382="","",$C1382&amp;"|"&amp;$E1382&amp;"|"&amp;$F1382&amp;"|"&amp;$L1382&amp;"|"&amp;$P1382&amp;"|"&amp;TEXT($H1382,"yyyy-mm-dd"))</f>
        <v/>
      </c>
      <c r="T1382" s="1" t="str">
        <f aca="false">IF($S1382="","",IF(COUNTIF($S$2:$S$2991,$S1382)&gt;1,"DUPLICATE","OK"))</f>
        <v/>
      </c>
      <c r="U1382" s="0" t="str">
        <f aca="false">IF($L1382="","",IFERROR(VLOOKUP(--$L1382,MM_Income!$Z$5:$AC$204,3,FALSE()),"UNMAPPED"))</f>
        <v/>
      </c>
    </row>
    <row r="1383" customFormat="false" ht="13.5" hidden="false" customHeight="false" outlineLevel="0" collapsed="false">
      <c r="A1383" s="1" t="str">
        <f aca="false">IF($C1383="","",Controls!$B$7)</f>
        <v/>
      </c>
      <c r="B1383" s="1" t="str">
        <f aca="false">IF($H1383="","",YEAR($H1383)&amp;"-Q"&amp;ROUNDUP(MONTH($H1383)/3,0))</f>
        <v/>
      </c>
      <c r="S1383" s="1" t="str">
        <f aca="false">IF($C1383="","",$C1383&amp;"|"&amp;$E1383&amp;"|"&amp;$F1383&amp;"|"&amp;$L1383&amp;"|"&amp;$P1383&amp;"|"&amp;TEXT($H1383,"yyyy-mm-dd"))</f>
        <v/>
      </c>
      <c r="T1383" s="1" t="str">
        <f aca="false">IF($S1383="","",IF(COUNTIF($S$2:$S$2991,$S1383)&gt;1,"DUPLICATE","OK"))</f>
        <v/>
      </c>
      <c r="U1383" s="0" t="str">
        <f aca="false">IF($L1383="","",IFERROR(VLOOKUP(--$L1383,MM_Income!$Z$5:$AC$204,3,FALSE()),"UNMAPPED"))</f>
        <v/>
      </c>
    </row>
    <row r="1384" customFormat="false" ht="13.5" hidden="false" customHeight="false" outlineLevel="0" collapsed="false">
      <c r="A1384" s="1" t="str">
        <f aca="false">IF($C1384="","",Controls!$B$7)</f>
        <v/>
      </c>
      <c r="B1384" s="1" t="str">
        <f aca="false">IF($H1384="","",YEAR($H1384)&amp;"-Q"&amp;ROUNDUP(MONTH($H1384)/3,0))</f>
        <v/>
      </c>
      <c r="S1384" s="1" t="str">
        <f aca="false">IF($C1384="","",$C1384&amp;"|"&amp;$E1384&amp;"|"&amp;$F1384&amp;"|"&amp;$L1384&amp;"|"&amp;$P1384&amp;"|"&amp;TEXT($H1384,"yyyy-mm-dd"))</f>
        <v/>
      </c>
      <c r="T1384" s="1" t="str">
        <f aca="false">IF($S1384="","",IF(COUNTIF($S$2:$S$2991,$S1384)&gt;1,"DUPLICATE","OK"))</f>
        <v/>
      </c>
      <c r="U1384" s="0" t="str">
        <f aca="false">IF($L1384="","",IFERROR(VLOOKUP(--$L1384,MM_Income!$Z$5:$AC$204,3,FALSE()),"UNMAPPED"))</f>
        <v/>
      </c>
    </row>
    <row r="1385" customFormat="false" ht="13.5" hidden="false" customHeight="false" outlineLevel="0" collapsed="false">
      <c r="A1385" s="1" t="str">
        <f aca="false">IF($C1385="","",Controls!$B$7)</f>
        <v/>
      </c>
      <c r="B1385" s="1" t="str">
        <f aca="false">IF($H1385="","",YEAR($H1385)&amp;"-Q"&amp;ROUNDUP(MONTH($H1385)/3,0))</f>
        <v/>
      </c>
      <c r="S1385" s="1" t="str">
        <f aca="false">IF($C1385="","",$C1385&amp;"|"&amp;$E1385&amp;"|"&amp;$F1385&amp;"|"&amp;$L1385&amp;"|"&amp;$P1385&amp;"|"&amp;TEXT($H1385,"yyyy-mm-dd"))</f>
        <v/>
      </c>
      <c r="T1385" s="1" t="str">
        <f aca="false">IF($S1385="","",IF(COUNTIF($S$2:$S$2991,$S1385)&gt;1,"DUPLICATE","OK"))</f>
        <v/>
      </c>
      <c r="U1385" s="0" t="str">
        <f aca="false">IF($L1385="","",IFERROR(VLOOKUP(--$L1385,MM_Income!$Z$5:$AC$204,3,FALSE()),"UNMAPPED"))</f>
        <v/>
      </c>
    </row>
    <row r="1386" customFormat="false" ht="13.5" hidden="false" customHeight="false" outlineLevel="0" collapsed="false">
      <c r="A1386" s="1" t="str">
        <f aca="false">IF($C1386="","",Controls!$B$7)</f>
        <v/>
      </c>
      <c r="B1386" s="1" t="str">
        <f aca="false">IF($H1386="","",YEAR($H1386)&amp;"-Q"&amp;ROUNDUP(MONTH($H1386)/3,0))</f>
        <v/>
      </c>
      <c r="S1386" s="1" t="str">
        <f aca="false">IF($C1386="","",$C1386&amp;"|"&amp;$E1386&amp;"|"&amp;$F1386&amp;"|"&amp;$L1386&amp;"|"&amp;$P1386&amp;"|"&amp;TEXT($H1386,"yyyy-mm-dd"))</f>
        <v/>
      </c>
      <c r="T1386" s="1" t="str">
        <f aca="false">IF($S1386="","",IF(COUNTIF($S$2:$S$2991,$S1386)&gt;1,"DUPLICATE","OK"))</f>
        <v/>
      </c>
      <c r="U1386" s="0" t="str">
        <f aca="false">IF($L1386="","",IFERROR(VLOOKUP(--$L1386,MM_Income!$Z$5:$AC$204,3,FALSE()),"UNMAPPED"))</f>
        <v/>
      </c>
    </row>
    <row r="1387" customFormat="false" ht="13.5" hidden="false" customHeight="false" outlineLevel="0" collapsed="false">
      <c r="A1387" s="1" t="str">
        <f aca="false">IF($C1387="","",Controls!$B$7)</f>
        <v/>
      </c>
      <c r="B1387" s="1" t="str">
        <f aca="false">IF($H1387="","",YEAR($H1387)&amp;"-Q"&amp;ROUNDUP(MONTH($H1387)/3,0))</f>
        <v/>
      </c>
      <c r="S1387" s="1" t="str">
        <f aca="false">IF($C1387="","",$C1387&amp;"|"&amp;$E1387&amp;"|"&amp;$F1387&amp;"|"&amp;$L1387&amp;"|"&amp;$P1387&amp;"|"&amp;TEXT($H1387,"yyyy-mm-dd"))</f>
        <v/>
      </c>
      <c r="T1387" s="1" t="str">
        <f aca="false">IF($S1387="","",IF(COUNTIF($S$2:$S$2991,$S1387)&gt;1,"DUPLICATE","OK"))</f>
        <v/>
      </c>
      <c r="U1387" s="0" t="str">
        <f aca="false">IF($L1387="","",IFERROR(VLOOKUP(--$L1387,MM_Income!$Z$5:$AC$204,3,FALSE()),"UNMAPPED"))</f>
        <v/>
      </c>
    </row>
    <row r="1388" customFormat="false" ht="13.5" hidden="false" customHeight="false" outlineLevel="0" collapsed="false">
      <c r="A1388" s="1" t="str">
        <f aca="false">IF($C1388="","",Controls!$B$7)</f>
        <v/>
      </c>
      <c r="B1388" s="1" t="str">
        <f aca="false">IF($H1388="","",YEAR($H1388)&amp;"-Q"&amp;ROUNDUP(MONTH($H1388)/3,0))</f>
        <v/>
      </c>
      <c r="S1388" s="1" t="str">
        <f aca="false">IF($C1388="","",$C1388&amp;"|"&amp;$E1388&amp;"|"&amp;$F1388&amp;"|"&amp;$L1388&amp;"|"&amp;$P1388&amp;"|"&amp;TEXT($H1388,"yyyy-mm-dd"))</f>
        <v/>
      </c>
      <c r="T1388" s="1" t="str">
        <f aca="false">IF($S1388="","",IF(COUNTIF($S$2:$S$2991,$S1388)&gt;1,"DUPLICATE","OK"))</f>
        <v/>
      </c>
      <c r="U1388" s="0" t="str">
        <f aca="false">IF($L1388="","",IFERROR(VLOOKUP(--$L1388,MM_Income!$Z$5:$AC$204,3,FALSE()),"UNMAPPED"))</f>
        <v/>
      </c>
    </row>
    <row r="1389" customFormat="false" ht="13.5" hidden="false" customHeight="false" outlineLevel="0" collapsed="false">
      <c r="A1389" s="1" t="str">
        <f aca="false">IF($C1389="","",Controls!$B$7)</f>
        <v/>
      </c>
      <c r="B1389" s="1" t="str">
        <f aca="false">IF($H1389="","",YEAR($H1389)&amp;"-Q"&amp;ROUNDUP(MONTH($H1389)/3,0))</f>
        <v/>
      </c>
      <c r="S1389" s="1" t="str">
        <f aca="false">IF($C1389="","",$C1389&amp;"|"&amp;$E1389&amp;"|"&amp;$F1389&amp;"|"&amp;$L1389&amp;"|"&amp;$P1389&amp;"|"&amp;TEXT($H1389,"yyyy-mm-dd"))</f>
        <v/>
      </c>
      <c r="T1389" s="1" t="str">
        <f aca="false">IF($S1389="","",IF(COUNTIF($S$2:$S$2991,$S1389)&gt;1,"DUPLICATE","OK"))</f>
        <v/>
      </c>
      <c r="U1389" s="0" t="str">
        <f aca="false">IF($L1389="","",IFERROR(VLOOKUP(--$L1389,MM_Income!$Z$5:$AC$204,3,FALSE()),"UNMAPPED"))</f>
        <v/>
      </c>
    </row>
    <row r="1390" customFormat="false" ht="13.5" hidden="false" customHeight="false" outlineLevel="0" collapsed="false">
      <c r="A1390" s="1" t="str">
        <f aca="false">IF($C1390="","",Controls!$B$7)</f>
        <v/>
      </c>
      <c r="B1390" s="1" t="str">
        <f aca="false">IF($H1390="","",YEAR($H1390)&amp;"-Q"&amp;ROUNDUP(MONTH($H1390)/3,0))</f>
        <v/>
      </c>
      <c r="S1390" s="1" t="str">
        <f aca="false">IF($C1390="","",$C1390&amp;"|"&amp;$E1390&amp;"|"&amp;$F1390&amp;"|"&amp;$L1390&amp;"|"&amp;$P1390&amp;"|"&amp;TEXT($H1390,"yyyy-mm-dd"))</f>
        <v/>
      </c>
      <c r="T1390" s="1" t="str">
        <f aca="false">IF($S1390="","",IF(COUNTIF($S$2:$S$2991,$S1390)&gt;1,"DUPLICATE","OK"))</f>
        <v/>
      </c>
      <c r="U1390" s="0" t="str">
        <f aca="false">IF($L1390="","",IFERROR(VLOOKUP(--$L1390,MM_Income!$Z$5:$AC$204,3,FALSE()),"UNMAPPED"))</f>
        <v/>
      </c>
    </row>
    <row r="1391" customFormat="false" ht="13.5" hidden="false" customHeight="false" outlineLevel="0" collapsed="false">
      <c r="A1391" s="1" t="str">
        <f aca="false">IF($C1391="","",Controls!$B$7)</f>
        <v/>
      </c>
      <c r="B1391" s="1" t="str">
        <f aca="false">IF($H1391="","",YEAR($H1391)&amp;"-Q"&amp;ROUNDUP(MONTH($H1391)/3,0))</f>
        <v/>
      </c>
      <c r="S1391" s="1" t="str">
        <f aca="false">IF($C1391="","",$C1391&amp;"|"&amp;$E1391&amp;"|"&amp;$F1391&amp;"|"&amp;$L1391&amp;"|"&amp;$P1391&amp;"|"&amp;TEXT($H1391,"yyyy-mm-dd"))</f>
        <v/>
      </c>
      <c r="T1391" s="1" t="str">
        <f aca="false">IF($S1391="","",IF(COUNTIF($S$2:$S$2991,$S1391)&gt;1,"DUPLICATE","OK"))</f>
        <v/>
      </c>
      <c r="U1391" s="0" t="str">
        <f aca="false">IF($L1391="","",IFERROR(VLOOKUP(--$L1391,MM_Income!$Z$5:$AC$204,3,FALSE()),"UNMAPPED"))</f>
        <v/>
      </c>
    </row>
    <row r="1392" customFormat="false" ht="13.5" hidden="false" customHeight="false" outlineLevel="0" collapsed="false">
      <c r="A1392" s="1" t="str">
        <f aca="false">IF($C1392="","",Controls!$B$7)</f>
        <v/>
      </c>
      <c r="B1392" s="1" t="str">
        <f aca="false">IF($H1392="","",YEAR($H1392)&amp;"-Q"&amp;ROUNDUP(MONTH($H1392)/3,0))</f>
        <v/>
      </c>
      <c r="S1392" s="1" t="str">
        <f aca="false">IF($C1392="","",$C1392&amp;"|"&amp;$E1392&amp;"|"&amp;$F1392&amp;"|"&amp;$L1392&amp;"|"&amp;$P1392&amp;"|"&amp;TEXT($H1392,"yyyy-mm-dd"))</f>
        <v/>
      </c>
      <c r="T1392" s="1" t="str">
        <f aca="false">IF($S1392="","",IF(COUNTIF($S$2:$S$2991,$S1392)&gt;1,"DUPLICATE","OK"))</f>
        <v/>
      </c>
      <c r="U1392" s="0" t="str">
        <f aca="false">IF($L1392="","",IFERROR(VLOOKUP(--$L1392,MM_Income!$Z$5:$AC$204,3,FALSE()),"UNMAPPED"))</f>
        <v/>
      </c>
    </row>
    <row r="1393" customFormat="false" ht="13.5" hidden="false" customHeight="false" outlineLevel="0" collapsed="false">
      <c r="A1393" s="1" t="str">
        <f aca="false">IF($C1393="","",Controls!$B$7)</f>
        <v/>
      </c>
      <c r="B1393" s="1" t="str">
        <f aca="false">IF($H1393="","",YEAR($H1393)&amp;"-Q"&amp;ROUNDUP(MONTH($H1393)/3,0))</f>
        <v/>
      </c>
      <c r="S1393" s="1" t="str">
        <f aca="false">IF($C1393="","",$C1393&amp;"|"&amp;$E1393&amp;"|"&amp;$F1393&amp;"|"&amp;$L1393&amp;"|"&amp;$P1393&amp;"|"&amp;TEXT($H1393,"yyyy-mm-dd"))</f>
        <v/>
      </c>
      <c r="T1393" s="1" t="str">
        <f aca="false">IF($S1393="","",IF(COUNTIF($S$2:$S$2991,$S1393)&gt;1,"DUPLICATE","OK"))</f>
        <v/>
      </c>
      <c r="U1393" s="0" t="str">
        <f aca="false">IF($L1393="","",IFERROR(VLOOKUP(--$L1393,MM_Income!$Z$5:$AC$204,3,FALSE()),"UNMAPPED"))</f>
        <v/>
      </c>
    </row>
    <row r="1394" customFormat="false" ht="13.5" hidden="false" customHeight="false" outlineLevel="0" collapsed="false">
      <c r="A1394" s="1" t="str">
        <f aca="false">IF($C1394="","",Controls!$B$7)</f>
        <v/>
      </c>
      <c r="B1394" s="1" t="str">
        <f aca="false">IF($H1394="","",YEAR($H1394)&amp;"-Q"&amp;ROUNDUP(MONTH($H1394)/3,0))</f>
        <v/>
      </c>
      <c r="S1394" s="1" t="str">
        <f aca="false">IF($C1394="","",$C1394&amp;"|"&amp;$E1394&amp;"|"&amp;$F1394&amp;"|"&amp;$L1394&amp;"|"&amp;$P1394&amp;"|"&amp;TEXT($H1394,"yyyy-mm-dd"))</f>
        <v/>
      </c>
      <c r="T1394" s="1" t="str">
        <f aca="false">IF($S1394="","",IF(COUNTIF($S$2:$S$2991,$S1394)&gt;1,"DUPLICATE","OK"))</f>
        <v/>
      </c>
      <c r="U1394" s="0" t="str">
        <f aca="false">IF($L1394="","",IFERROR(VLOOKUP(--$L1394,MM_Income!$Z$5:$AC$204,3,FALSE()),"UNMAPPED"))</f>
        <v/>
      </c>
    </row>
    <row r="1395" customFormat="false" ht="13.5" hidden="false" customHeight="false" outlineLevel="0" collapsed="false">
      <c r="A1395" s="1" t="str">
        <f aca="false">IF($C1395="","",Controls!$B$7)</f>
        <v/>
      </c>
      <c r="B1395" s="1" t="str">
        <f aca="false">IF($H1395="","",YEAR($H1395)&amp;"-Q"&amp;ROUNDUP(MONTH($H1395)/3,0))</f>
        <v/>
      </c>
      <c r="S1395" s="1" t="str">
        <f aca="false">IF($C1395="","",$C1395&amp;"|"&amp;$E1395&amp;"|"&amp;$F1395&amp;"|"&amp;$L1395&amp;"|"&amp;$P1395&amp;"|"&amp;TEXT($H1395,"yyyy-mm-dd"))</f>
        <v/>
      </c>
      <c r="T1395" s="1" t="str">
        <f aca="false">IF($S1395="","",IF(COUNTIF($S$2:$S$2991,$S1395)&gt;1,"DUPLICATE","OK"))</f>
        <v/>
      </c>
      <c r="U1395" s="0" t="str">
        <f aca="false">IF($L1395="","",IFERROR(VLOOKUP(--$L1395,MM_Income!$Z$5:$AC$204,3,FALSE()),"UNMAPPED"))</f>
        <v/>
      </c>
    </row>
    <row r="1396" customFormat="false" ht="13.5" hidden="false" customHeight="false" outlineLevel="0" collapsed="false">
      <c r="A1396" s="1" t="str">
        <f aca="false">IF($C1396="","",Controls!$B$7)</f>
        <v/>
      </c>
      <c r="B1396" s="1" t="str">
        <f aca="false">IF($H1396="","",YEAR($H1396)&amp;"-Q"&amp;ROUNDUP(MONTH($H1396)/3,0))</f>
        <v/>
      </c>
      <c r="S1396" s="1" t="str">
        <f aca="false">IF($C1396="","",$C1396&amp;"|"&amp;$E1396&amp;"|"&amp;$F1396&amp;"|"&amp;$L1396&amp;"|"&amp;$P1396&amp;"|"&amp;TEXT($H1396,"yyyy-mm-dd"))</f>
        <v/>
      </c>
      <c r="T1396" s="1" t="str">
        <f aca="false">IF($S1396="","",IF(COUNTIF($S$2:$S$2991,$S1396)&gt;1,"DUPLICATE","OK"))</f>
        <v/>
      </c>
      <c r="U1396" s="0" t="str">
        <f aca="false">IF($L1396="","",IFERROR(VLOOKUP(--$L1396,MM_Income!$Z$5:$AC$204,3,FALSE()),"UNMAPPED"))</f>
        <v/>
      </c>
    </row>
    <row r="1397" customFormat="false" ht="13.5" hidden="false" customHeight="false" outlineLevel="0" collapsed="false">
      <c r="A1397" s="1" t="str">
        <f aca="false">IF($C1397="","",Controls!$B$7)</f>
        <v/>
      </c>
      <c r="B1397" s="1" t="str">
        <f aca="false">IF($H1397="","",YEAR($H1397)&amp;"-Q"&amp;ROUNDUP(MONTH($H1397)/3,0))</f>
        <v/>
      </c>
      <c r="S1397" s="1" t="str">
        <f aca="false">IF($C1397="","",$C1397&amp;"|"&amp;$E1397&amp;"|"&amp;$F1397&amp;"|"&amp;$L1397&amp;"|"&amp;$P1397&amp;"|"&amp;TEXT($H1397,"yyyy-mm-dd"))</f>
        <v/>
      </c>
      <c r="T1397" s="1" t="str">
        <f aca="false">IF($S1397="","",IF(COUNTIF($S$2:$S$2991,$S1397)&gt;1,"DUPLICATE","OK"))</f>
        <v/>
      </c>
      <c r="U1397" s="0" t="str">
        <f aca="false">IF($L1397="","",IFERROR(VLOOKUP(--$L1397,MM_Income!$Z$5:$AC$204,3,FALSE()),"UNMAPPED"))</f>
        <v/>
      </c>
    </row>
    <row r="1398" customFormat="false" ht="13.5" hidden="false" customHeight="false" outlineLevel="0" collapsed="false">
      <c r="A1398" s="1" t="str">
        <f aca="false">IF($C1398="","",Controls!$B$7)</f>
        <v/>
      </c>
      <c r="B1398" s="1" t="str">
        <f aca="false">IF($H1398="","",YEAR($H1398)&amp;"-Q"&amp;ROUNDUP(MONTH($H1398)/3,0))</f>
        <v/>
      </c>
      <c r="S1398" s="1" t="str">
        <f aca="false">IF($C1398="","",$C1398&amp;"|"&amp;$E1398&amp;"|"&amp;$F1398&amp;"|"&amp;$L1398&amp;"|"&amp;$P1398&amp;"|"&amp;TEXT($H1398,"yyyy-mm-dd"))</f>
        <v/>
      </c>
      <c r="T1398" s="1" t="str">
        <f aca="false">IF($S1398="","",IF(COUNTIF($S$2:$S$2991,$S1398)&gt;1,"DUPLICATE","OK"))</f>
        <v/>
      </c>
      <c r="U1398" s="0" t="str">
        <f aca="false">IF($L1398="","",IFERROR(VLOOKUP(--$L1398,MM_Income!$Z$5:$AC$204,3,FALSE()),"UNMAPPED"))</f>
        <v/>
      </c>
    </row>
    <row r="1399" customFormat="false" ht="13.5" hidden="false" customHeight="false" outlineLevel="0" collapsed="false">
      <c r="A1399" s="1" t="str">
        <f aca="false">IF($C1399="","",Controls!$B$7)</f>
        <v/>
      </c>
      <c r="B1399" s="1" t="str">
        <f aca="false">IF($H1399="","",YEAR($H1399)&amp;"-Q"&amp;ROUNDUP(MONTH($H1399)/3,0))</f>
        <v/>
      </c>
      <c r="S1399" s="1" t="str">
        <f aca="false">IF($C1399="","",$C1399&amp;"|"&amp;$E1399&amp;"|"&amp;$F1399&amp;"|"&amp;$L1399&amp;"|"&amp;$P1399&amp;"|"&amp;TEXT($H1399,"yyyy-mm-dd"))</f>
        <v/>
      </c>
      <c r="T1399" s="1" t="str">
        <f aca="false">IF($S1399="","",IF(COUNTIF($S$2:$S$2991,$S1399)&gt;1,"DUPLICATE","OK"))</f>
        <v/>
      </c>
      <c r="U1399" s="0" t="str">
        <f aca="false">IF($L1399="","",IFERROR(VLOOKUP(--$L1399,MM_Income!$Z$5:$AC$204,3,FALSE()),"UNMAPPED"))</f>
        <v/>
      </c>
    </row>
    <row r="1400" customFormat="false" ht="13.5" hidden="false" customHeight="false" outlineLevel="0" collapsed="false">
      <c r="A1400" s="1" t="str">
        <f aca="false">IF($C1400="","",Controls!$B$7)</f>
        <v/>
      </c>
      <c r="B1400" s="1" t="str">
        <f aca="false">IF($H1400="","",YEAR($H1400)&amp;"-Q"&amp;ROUNDUP(MONTH($H1400)/3,0))</f>
        <v/>
      </c>
      <c r="S1400" s="1" t="str">
        <f aca="false">IF($C1400="","",$C1400&amp;"|"&amp;$E1400&amp;"|"&amp;$F1400&amp;"|"&amp;$L1400&amp;"|"&amp;$P1400&amp;"|"&amp;TEXT($H1400,"yyyy-mm-dd"))</f>
        <v/>
      </c>
      <c r="T1400" s="1" t="str">
        <f aca="false">IF($S1400="","",IF(COUNTIF($S$2:$S$2991,$S1400)&gt;1,"DUPLICATE","OK"))</f>
        <v/>
      </c>
      <c r="U1400" s="0" t="str">
        <f aca="false">IF($L1400="","",IFERROR(VLOOKUP(--$L1400,MM_Income!$Z$5:$AC$204,3,FALSE()),"UNMAPPED"))</f>
        <v/>
      </c>
    </row>
    <row r="1401" customFormat="false" ht="13.5" hidden="false" customHeight="false" outlineLevel="0" collapsed="false">
      <c r="A1401" s="1" t="str">
        <f aca="false">IF($C1401="","",Controls!$B$7)</f>
        <v/>
      </c>
      <c r="B1401" s="1" t="str">
        <f aca="false">IF($H1401="","",YEAR($H1401)&amp;"-Q"&amp;ROUNDUP(MONTH($H1401)/3,0))</f>
        <v/>
      </c>
      <c r="S1401" s="1" t="str">
        <f aca="false">IF($C1401="","",$C1401&amp;"|"&amp;$E1401&amp;"|"&amp;$F1401&amp;"|"&amp;$L1401&amp;"|"&amp;$P1401&amp;"|"&amp;TEXT($H1401,"yyyy-mm-dd"))</f>
        <v/>
      </c>
      <c r="T1401" s="1" t="str">
        <f aca="false">IF($S1401="","",IF(COUNTIF($S$2:$S$2991,$S1401)&gt;1,"DUPLICATE","OK"))</f>
        <v/>
      </c>
      <c r="U1401" s="0" t="str">
        <f aca="false">IF($L1401="","",IFERROR(VLOOKUP(--$L1401,MM_Income!$Z$5:$AC$204,3,FALSE()),"UNMAPPED"))</f>
        <v/>
      </c>
    </row>
    <row r="1402" customFormat="false" ht="13.5" hidden="false" customHeight="false" outlineLevel="0" collapsed="false">
      <c r="A1402" s="1" t="str">
        <f aca="false">IF($C1402="","",Controls!$B$7)</f>
        <v/>
      </c>
      <c r="B1402" s="1" t="str">
        <f aca="false">IF($H1402="","",YEAR($H1402)&amp;"-Q"&amp;ROUNDUP(MONTH($H1402)/3,0))</f>
        <v/>
      </c>
      <c r="S1402" s="1" t="str">
        <f aca="false">IF($C1402="","",$C1402&amp;"|"&amp;$E1402&amp;"|"&amp;$F1402&amp;"|"&amp;$L1402&amp;"|"&amp;$P1402&amp;"|"&amp;TEXT($H1402,"yyyy-mm-dd"))</f>
        <v/>
      </c>
      <c r="T1402" s="1" t="str">
        <f aca="false">IF($S1402="","",IF(COUNTIF($S$2:$S$2991,$S1402)&gt;1,"DUPLICATE","OK"))</f>
        <v/>
      </c>
      <c r="U1402" s="0" t="str">
        <f aca="false">IF($L1402="","",IFERROR(VLOOKUP(--$L1402,MM_Income!$Z$5:$AC$204,3,FALSE()),"UNMAPPED"))</f>
        <v/>
      </c>
    </row>
    <row r="1403" customFormat="false" ht="13.5" hidden="false" customHeight="false" outlineLevel="0" collapsed="false">
      <c r="A1403" s="1" t="str">
        <f aca="false">IF($C1403="","",Controls!$B$7)</f>
        <v/>
      </c>
      <c r="B1403" s="1" t="str">
        <f aca="false">IF($H1403="","",YEAR($H1403)&amp;"-Q"&amp;ROUNDUP(MONTH($H1403)/3,0))</f>
        <v/>
      </c>
      <c r="S1403" s="1" t="str">
        <f aca="false">IF($C1403="","",$C1403&amp;"|"&amp;$E1403&amp;"|"&amp;$F1403&amp;"|"&amp;$L1403&amp;"|"&amp;$P1403&amp;"|"&amp;TEXT($H1403,"yyyy-mm-dd"))</f>
        <v/>
      </c>
      <c r="T1403" s="1" t="str">
        <f aca="false">IF($S1403="","",IF(COUNTIF($S$2:$S$2991,$S1403)&gt;1,"DUPLICATE","OK"))</f>
        <v/>
      </c>
      <c r="U1403" s="0" t="str">
        <f aca="false">IF($L1403="","",IFERROR(VLOOKUP(--$L1403,MM_Income!$Z$5:$AC$204,3,FALSE()),"UNMAPPED"))</f>
        <v/>
      </c>
    </row>
    <row r="1404" customFormat="false" ht="13.5" hidden="false" customHeight="false" outlineLevel="0" collapsed="false">
      <c r="A1404" s="1" t="str">
        <f aca="false">IF($C1404="","",Controls!$B$7)</f>
        <v/>
      </c>
      <c r="B1404" s="1" t="str">
        <f aca="false">IF($H1404="","",YEAR($H1404)&amp;"-Q"&amp;ROUNDUP(MONTH($H1404)/3,0))</f>
        <v/>
      </c>
      <c r="S1404" s="1" t="str">
        <f aca="false">IF($C1404="","",$C1404&amp;"|"&amp;$E1404&amp;"|"&amp;$F1404&amp;"|"&amp;$L1404&amp;"|"&amp;$P1404&amp;"|"&amp;TEXT($H1404,"yyyy-mm-dd"))</f>
        <v/>
      </c>
      <c r="T1404" s="1" t="str">
        <f aca="false">IF($S1404="","",IF(COUNTIF($S$2:$S$2991,$S1404)&gt;1,"DUPLICATE","OK"))</f>
        <v/>
      </c>
      <c r="U1404" s="0" t="str">
        <f aca="false">IF($L1404="","",IFERROR(VLOOKUP(--$L1404,MM_Income!$Z$5:$AC$204,3,FALSE()),"UNMAPPED"))</f>
        <v/>
      </c>
    </row>
    <row r="1405" customFormat="false" ht="13.5" hidden="false" customHeight="false" outlineLevel="0" collapsed="false">
      <c r="A1405" s="1" t="str">
        <f aca="false">IF($C1405="","",Controls!$B$7)</f>
        <v/>
      </c>
      <c r="B1405" s="1" t="str">
        <f aca="false">IF($H1405="","",YEAR($H1405)&amp;"-Q"&amp;ROUNDUP(MONTH($H1405)/3,0))</f>
        <v/>
      </c>
      <c r="S1405" s="1" t="str">
        <f aca="false">IF($C1405="","",$C1405&amp;"|"&amp;$E1405&amp;"|"&amp;$F1405&amp;"|"&amp;$L1405&amp;"|"&amp;$P1405&amp;"|"&amp;TEXT($H1405,"yyyy-mm-dd"))</f>
        <v/>
      </c>
      <c r="T1405" s="1" t="str">
        <f aca="false">IF($S1405="","",IF(COUNTIF($S$2:$S$2991,$S1405)&gt;1,"DUPLICATE","OK"))</f>
        <v/>
      </c>
      <c r="U1405" s="0" t="str">
        <f aca="false">IF($L1405="","",IFERROR(VLOOKUP(--$L1405,MM_Income!$Z$5:$AC$204,3,FALSE()),"UNMAPPED"))</f>
        <v/>
      </c>
    </row>
    <row r="1406" customFormat="false" ht="13.5" hidden="false" customHeight="false" outlineLevel="0" collapsed="false">
      <c r="A1406" s="1" t="str">
        <f aca="false">IF($C1406="","",Controls!$B$7)</f>
        <v/>
      </c>
      <c r="B1406" s="1" t="str">
        <f aca="false">IF($H1406="","",YEAR($H1406)&amp;"-Q"&amp;ROUNDUP(MONTH($H1406)/3,0))</f>
        <v/>
      </c>
      <c r="S1406" s="1" t="str">
        <f aca="false">IF($C1406="","",$C1406&amp;"|"&amp;$E1406&amp;"|"&amp;$F1406&amp;"|"&amp;$L1406&amp;"|"&amp;$P1406&amp;"|"&amp;TEXT($H1406,"yyyy-mm-dd"))</f>
        <v/>
      </c>
      <c r="T1406" s="1" t="str">
        <f aca="false">IF($S1406="","",IF(COUNTIF($S$2:$S$2991,$S1406)&gt;1,"DUPLICATE","OK"))</f>
        <v/>
      </c>
      <c r="U1406" s="0" t="str">
        <f aca="false">IF($L1406="","",IFERROR(VLOOKUP(--$L1406,MM_Income!$Z$5:$AC$204,3,FALSE()),"UNMAPPED"))</f>
        <v/>
      </c>
    </row>
    <row r="1407" customFormat="false" ht="13.5" hidden="false" customHeight="false" outlineLevel="0" collapsed="false">
      <c r="A1407" s="1" t="str">
        <f aca="false">IF($C1407="","",Controls!$B$7)</f>
        <v/>
      </c>
      <c r="B1407" s="1" t="str">
        <f aca="false">IF($H1407="","",YEAR($H1407)&amp;"-Q"&amp;ROUNDUP(MONTH($H1407)/3,0))</f>
        <v/>
      </c>
      <c r="S1407" s="1" t="str">
        <f aca="false">IF($C1407="","",$C1407&amp;"|"&amp;$E1407&amp;"|"&amp;$F1407&amp;"|"&amp;$L1407&amp;"|"&amp;$P1407&amp;"|"&amp;TEXT($H1407,"yyyy-mm-dd"))</f>
        <v/>
      </c>
      <c r="T1407" s="1" t="str">
        <f aca="false">IF($S1407="","",IF(COUNTIF($S$2:$S$2991,$S1407)&gt;1,"DUPLICATE","OK"))</f>
        <v/>
      </c>
      <c r="U1407" s="0" t="str">
        <f aca="false">IF($L1407="","",IFERROR(VLOOKUP(--$L1407,MM_Income!$Z$5:$AC$204,3,FALSE()),"UNMAPPED"))</f>
        <v/>
      </c>
    </row>
    <row r="1408" customFormat="false" ht="13.5" hidden="false" customHeight="false" outlineLevel="0" collapsed="false">
      <c r="A1408" s="1" t="str">
        <f aca="false">IF($C1408="","",Controls!$B$7)</f>
        <v/>
      </c>
      <c r="B1408" s="1" t="str">
        <f aca="false">IF($H1408="","",YEAR($H1408)&amp;"-Q"&amp;ROUNDUP(MONTH($H1408)/3,0))</f>
        <v/>
      </c>
      <c r="S1408" s="1" t="str">
        <f aca="false">IF($C1408="","",$C1408&amp;"|"&amp;$E1408&amp;"|"&amp;$F1408&amp;"|"&amp;$L1408&amp;"|"&amp;$P1408&amp;"|"&amp;TEXT($H1408,"yyyy-mm-dd"))</f>
        <v/>
      </c>
      <c r="T1408" s="1" t="str">
        <f aca="false">IF($S1408="","",IF(COUNTIF($S$2:$S$2991,$S1408)&gt;1,"DUPLICATE","OK"))</f>
        <v/>
      </c>
      <c r="U1408" s="0" t="str">
        <f aca="false">IF($L1408="","",IFERROR(VLOOKUP(--$L1408,MM_Income!$Z$5:$AC$204,3,FALSE()),"UNMAPPED"))</f>
        <v/>
      </c>
    </row>
    <row r="1409" customFormat="false" ht="13.5" hidden="false" customHeight="false" outlineLevel="0" collapsed="false">
      <c r="A1409" s="1" t="str">
        <f aca="false">IF($C1409="","",Controls!$B$7)</f>
        <v/>
      </c>
      <c r="B1409" s="1" t="str">
        <f aca="false">IF($H1409="","",YEAR($H1409)&amp;"-Q"&amp;ROUNDUP(MONTH($H1409)/3,0))</f>
        <v/>
      </c>
      <c r="S1409" s="1" t="str">
        <f aca="false">IF($C1409="","",$C1409&amp;"|"&amp;$E1409&amp;"|"&amp;$F1409&amp;"|"&amp;$L1409&amp;"|"&amp;$P1409&amp;"|"&amp;TEXT($H1409,"yyyy-mm-dd"))</f>
        <v/>
      </c>
      <c r="T1409" s="1" t="str">
        <f aca="false">IF($S1409="","",IF(COUNTIF($S$2:$S$2991,$S1409)&gt;1,"DUPLICATE","OK"))</f>
        <v/>
      </c>
      <c r="U1409" s="0" t="str">
        <f aca="false">IF($L1409="","",IFERROR(VLOOKUP(--$L1409,MM_Income!$Z$5:$AC$204,3,FALSE()),"UNMAPPED"))</f>
        <v/>
      </c>
    </row>
    <row r="1410" customFormat="false" ht="13.5" hidden="false" customHeight="false" outlineLevel="0" collapsed="false">
      <c r="A1410" s="1" t="str">
        <f aca="false">IF($C1410="","",Controls!$B$7)</f>
        <v/>
      </c>
      <c r="B1410" s="1" t="str">
        <f aca="false">IF($H1410="","",YEAR($H1410)&amp;"-Q"&amp;ROUNDUP(MONTH($H1410)/3,0))</f>
        <v/>
      </c>
      <c r="S1410" s="1" t="str">
        <f aca="false">IF($C1410="","",$C1410&amp;"|"&amp;$E1410&amp;"|"&amp;$F1410&amp;"|"&amp;$L1410&amp;"|"&amp;$P1410&amp;"|"&amp;TEXT($H1410,"yyyy-mm-dd"))</f>
        <v/>
      </c>
      <c r="T1410" s="1" t="str">
        <f aca="false">IF($S1410="","",IF(COUNTIF($S$2:$S$2991,$S1410)&gt;1,"DUPLICATE","OK"))</f>
        <v/>
      </c>
      <c r="U1410" s="0" t="str">
        <f aca="false">IF($L1410="","",IFERROR(VLOOKUP(--$L1410,MM_Income!$Z$5:$AC$204,3,FALSE()),"UNMAPPED"))</f>
        <v/>
      </c>
    </row>
    <row r="1411" customFormat="false" ht="13.5" hidden="false" customHeight="false" outlineLevel="0" collapsed="false">
      <c r="A1411" s="1" t="str">
        <f aca="false">IF($C1411="","",Controls!$B$7)</f>
        <v/>
      </c>
      <c r="B1411" s="1" t="str">
        <f aca="false">IF($H1411="","",YEAR($H1411)&amp;"-Q"&amp;ROUNDUP(MONTH($H1411)/3,0))</f>
        <v/>
      </c>
      <c r="S1411" s="1" t="str">
        <f aca="false">IF($C1411="","",$C1411&amp;"|"&amp;$E1411&amp;"|"&amp;$F1411&amp;"|"&amp;$L1411&amp;"|"&amp;$P1411&amp;"|"&amp;TEXT($H1411,"yyyy-mm-dd"))</f>
        <v/>
      </c>
      <c r="T1411" s="1" t="str">
        <f aca="false">IF($S1411="","",IF(COUNTIF($S$2:$S$2991,$S1411)&gt;1,"DUPLICATE","OK"))</f>
        <v/>
      </c>
      <c r="U1411" s="0" t="str">
        <f aca="false">IF($L1411="","",IFERROR(VLOOKUP(--$L1411,MM_Income!$Z$5:$AC$204,3,FALSE()),"UNMAPPED"))</f>
        <v/>
      </c>
    </row>
    <row r="1412" customFormat="false" ht="13.5" hidden="false" customHeight="false" outlineLevel="0" collapsed="false">
      <c r="A1412" s="1" t="str">
        <f aca="false">IF($C1412="","",Controls!$B$7)</f>
        <v/>
      </c>
      <c r="B1412" s="1" t="str">
        <f aca="false">IF($H1412="","",YEAR($H1412)&amp;"-Q"&amp;ROUNDUP(MONTH($H1412)/3,0))</f>
        <v/>
      </c>
      <c r="S1412" s="1" t="str">
        <f aca="false">IF($C1412="","",$C1412&amp;"|"&amp;$E1412&amp;"|"&amp;$F1412&amp;"|"&amp;$L1412&amp;"|"&amp;$P1412&amp;"|"&amp;TEXT($H1412,"yyyy-mm-dd"))</f>
        <v/>
      </c>
      <c r="T1412" s="1" t="str">
        <f aca="false">IF($S1412="","",IF(COUNTIF($S$2:$S$2991,$S1412)&gt;1,"DUPLICATE","OK"))</f>
        <v/>
      </c>
      <c r="U1412" s="0" t="str">
        <f aca="false">IF($L1412="","",IFERROR(VLOOKUP(--$L1412,MM_Income!$Z$5:$AC$204,3,FALSE()),"UNMAPPED"))</f>
        <v/>
      </c>
    </row>
    <row r="1413" customFormat="false" ht="13.5" hidden="false" customHeight="false" outlineLevel="0" collapsed="false">
      <c r="A1413" s="1" t="str">
        <f aca="false">IF($C1413="","",Controls!$B$7)</f>
        <v/>
      </c>
      <c r="B1413" s="1" t="str">
        <f aca="false">IF($H1413="","",YEAR($H1413)&amp;"-Q"&amp;ROUNDUP(MONTH($H1413)/3,0))</f>
        <v/>
      </c>
      <c r="S1413" s="1" t="str">
        <f aca="false">IF($C1413="","",$C1413&amp;"|"&amp;$E1413&amp;"|"&amp;$F1413&amp;"|"&amp;$L1413&amp;"|"&amp;$P1413&amp;"|"&amp;TEXT($H1413,"yyyy-mm-dd"))</f>
        <v/>
      </c>
      <c r="T1413" s="1" t="str">
        <f aca="false">IF($S1413="","",IF(COUNTIF($S$2:$S$2991,$S1413)&gt;1,"DUPLICATE","OK"))</f>
        <v/>
      </c>
      <c r="U1413" s="0" t="str">
        <f aca="false">IF($L1413="","",IFERROR(VLOOKUP(--$L1413,MM_Income!$Z$5:$AC$204,3,FALSE()),"UNMAPPED"))</f>
        <v/>
      </c>
    </row>
    <row r="1414" customFormat="false" ht="13.5" hidden="false" customHeight="false" outlineLevel="0" collapsed="false">
      <c r="A1414" s="1" t="str">
        <f aca="false">IF($C1414="","",Controls!$B$7)</f>
        <v/>
      </c>
      <c r="B1414" s="1" t="str">
        <f aca="false">IF($H1414="","",YEAR($H1414)&amp;"-Q"&amp;ROUNDUP(MONTH($H1414)/3,0))</f>
        <v/>
      </c>
      <c r="S1414" s="1" t="str">
        <f aca="false">IF($C1414="","",$C1414&amp;"|"&amp;$E1414&amp;"|"&amp;$F1414&amp;"|"&amp;$L1414&amp;"|"&amp;$P1414&amp;"|"&amp;TEXT($H1414,"yyyy-mm-dd"))</f>
        <v/>
      </c>
      <c r="T1414" s="1" t="str">
        <f aca="false">IF($S1414="","",IF(COUNTIF($S$2:$S$2991,$S1414)&gt;1,"DUPLICATE","OK"))</f>
        <v/>
      </c>
      <c r="U1414" s="0" t="str">
        <f aca="false">IF($L1414="","",IFERROR(VLOOKUP(--$L1414,MM_Income!$Z$5:$AC$204,3,FALSE()),"UNMAPPED"))</f>
        <v/>
      </c>
    </row>
    <row r="1415" customFormat="false" ht="13.5" hidden="false" customHeight="false" outlineLevel="0" collapsed="false">
      <c r="A1415" s="1" t="str">
        <f aca="false">IF($C1415="","",Controls!$B$7)</f>
        <v/>
      </c>
      <c r="B1415" s="1" t="str">
        <f aca="false">IF($H1415="","",YEAR($H1415)&amp;"-Q"&amp;ROUNDUP(MONTH($H1415)/3,0))</f>
        <v/>
      </c>
      <c r="S1415" s="1" t="str">
        <f aca="false">IF($C1415="","",$C1415&amp;"|"&amp;$E1415&amp;"|"&amp;$F1415&amp;"|"&amp;$L1415&amp;"|"&amp;$P1415&amp;"|"&amp;TEXT($H1415,"yyyy-mm-dd"))</f>
        <v/>
      </c>
      <c r="T1415" s="1" t="str">
        <f aca="false">IF($S1415="","",IF(COUNTIF($S$2:$S$2991,$S1415)&gt;1,"DUPLICATE","OK"))</f>
        <v/>
      </c>
      <c r="U1415" s="0" t="str">
        <f aca="false">IF($L1415="","",IFERROR(VLOOKUP(--$L1415,MM_Income!$Z$5:$AC$204,3,FALSE()),"UNMAPPED"))</f>
        <v/>
      </c>
    </row>
    <row r="1416" customFormat="false" ht="13.5" hidden="false" customHeight="false" outlineLevel="0" collapsed="false">
      <c r="A1416" s="1" t="str">
        <f aca="false">IF($C1416="","",Controls!$B$7)</f>
        <v/>
      </c>
      <c r="B1416" s="1" t="str">
        <f aca="false">IF($H1416="","",YEAR($H1416)&amp;"-Q"&amp;ROUNDUP(MONTH($H1416)/3,0))</f>
        <v/>
      </c>
      <c r="S1416" s="1" t="str">
        <f aca="false">IF($C1416="","",$C1416&amp;"|"&amp;$E1416&amp;"|"&amp;$F1416&amp;"|"&amp;$L1416&amp;"|"&amp;$P1416&amp;"|"&amp;TEXT($H1416,"yyyy-mm-dd"))</f>
        <v/>
      </c>
      <c r="T1416" s="1" t="str">
        <f aca="false">IF($S1416="","",IF(COUNTIF($S$2:$S$2991,$S1416)&gt;1,"DUPLICATE","OK"))</f>
        <v/>
      </c>
      <c r="U1416" s="0" t="str">
        <f aca="false">IF($L1416="","",IFERROR(VLOOKUP(--$L1416,MM_Income!$Z$5:$AC$204,3,FALSE()),"UNMAPPED"))</f>
        <v/>
      </c>
    </row>
    <row r="1417" customFormat="false" ht="13.5" hidden="false" customHeight="false" outlineLevel="0" collapsed="false">
      <c r="A1417" s="1" t="str">
        <f aca="false">IF($C1417="","",Controls!$B$7)</f>
        <v/>
      </c>
      <c r="B1417" s="1" t="str">
        <f aca="false">IF($H1417="","",YEAR($H1417)&amp;"-Q"&amp;ROUNDUP(MONTH($H1417)/3,0))</f>
        <v/>
      </c>
      <c r="S1417" s="1" t="str">
        <f aca="false">IF($C1417="","",$C1417&amp;"|"&amp;$E1417&amp;"|"&amp;$F1417&amp;"|"&amp;$L1417&amp;"|"&amp;$P1417&amp;"|"&amp;TEXT($H1417,"yyyy-mm-dd"))</f>
        <v/>
      </c>
      <c r="T1417" s="1" t="str">
        <f aca="false">IF($S1417="","",IF(COUNTIF($S$2:$S$2991,$S1417)&gt;1,"DUPLICATE","OK"))</f>
        <v/>
      </c>
      <c r="U1417" s="0" t="str">
        <f aca="false">IF($L1417="","",IFERROR(VLOOKUP(--$L1417,MM_Income!$Z$5:$AC$204,3,FALSE()),"UNMAPPED"))</f>
        <v/>
      </c>
    </row>
    <row r="1418" customFormat="false" ht="13.5" hidden="false" customHeight="false" outlineLevel="0" collapsed="false">
      <c r="A1418" s="1" t="str">
        <f aca="false">IF($C1418="","",Controls!$B$7)</f>
        <v/>
      </c>
      <c r="B1418" s="1" t="str">
        <f aca="false">IF($H1418="","",YEAR($H1418)&amp;"-Q"&amp;ROUNDUP(MONTH($H1418)/3,0))</f>
        <v/>
      </c>
      <c r="S1418" s="1" t="str">
        <f aca="false">IF($C1418="","",$C1418&amp;"|"&amp;$E1418&amp;"|"&amp;$F1418&amp;"|"&amp;$L1418&amp;"|"&amp;$P1418&amp;"|"&amp;TEXT($H1418,"yyyy-mm-dd"))</f>
        <v/>
      </c>
      <c r="T1418" s="1" t="str">
        <f aca="false">IF($S1418="","",IF(COUNTIF($S$2:$S$2991,$S1418)&gt;1,"DUPLICATE","OK"))</f>
        <v/>
      </c>
      <c r="U1418" s="0" t="str">
        <f aca="false">IF($L1418="","",IFERROR(VLOOKUP(--$L1418,MM_Income!$Z$5:$AC$204,3,FALSE()),"UNMAPPED"))</f>
        <v/>
      </c>
    </row>
    <row r="1419" customFormat="false" ht="13.5" hidden="false" customHeight="false" outlineLevel="0" collapsed="false">
      <c r="A1419" s="1" t="str">
        <f aca="false">IF($C1419="","",Controls!$B$7)</f>
        <v/>
      </c>
      <c r="B1419" s="1" t="str">
        <f aca="false">IF($H1419="","",YEAR($H1419)&amp;"-Q"&amp;ROUNDUP(MONTH($H1419)/3,0))</f>
        <v/>
      </c>
      <c r="S1419" s="1" t="str">
        <f aca="false">IF($C1419="","",$C1419&amp;"|"&amp;$E1419&amp;"|"&amp;$F1419&amp;"|"&amp;$L1419&amp;"|"&amp;$P1419&amp;"|"&amp;TEXT($H1419,"yyyy-mm-dd"))</f>
        <v/>
      </c>
      <c r="T1419" s="1" t="str">
        <f aca="false">IF($S1419="","",IF(COUNTIF($S$2:$S$2991,$S1419)&gt;1,"DUPLICATE","OK"))</f>
        <v/>
      </c>
      <c r="U1419" s="0" t="str">
        <f aca="false">IF($L1419="","",IFERROR(VLOOKUP(--$L1419,MM_Income!$Z$5:$AC$204,3,FALSE()),"UNMAPPED"))</f>
        <v/>
      </c>
    </row>
    <row r="1420" customFormat="false" ht="13.5" hidden="false" customHeight="false" outlineLevel="0" collapsed="false">
      <c r="A1420" s="1" t="str">
        <f aca="false">IF($C1420="","",Controls!$B$7)</f>
        <v/>
      </c>
      <c r="B1420" s="1" t="str">
        <f aca="false">IF($H1420="","",YEAR($H1420)&amp;"-Q"&amp;ROUNDUP(MONTH($H1420)/3,0))</f>
        <v/>
      </c>
      <c r="S1420" s="1" t="str">
        <f aca="false">IF($C1420="","",$C1420&amp;"|"&amp;$E1420&amp;"|"&amp;$F1420&amp;"|"&amp;$L1420&amp;"|"&amp;$P1420&amp;"|"&amp;TEXT($H1420,"yyyy-mm-dd"))</f>
        <v/>
      </c>
      <c r="T1420" s="1" t="str">
        <f aca="false">IF($S1420="","",IF(COUNTIF($S$2:$S$2991,$S1420)&gt;1,"DUPLICATE","OK"))</f>
        <v/>
      </c>
      <c r="U1420" s="0" t="str">
        <f aca="false">IF($L1420="","",IFERROR(VLOOKUP(--$L1420,MM_Income!$Z$5:$AC$204,3,FALSE()),"UNMAPPED"))</f>
        <v/>
      </c>
    </row>
    <row r="1421" customFormat="false" ht="13.5" hidden="false" customHeight="false" outlineLevel="0" collapsed="false">
      <c r="A1421" s="1" t="str">
        <f aca="false">IF($C1421="","",Controls!$B$7)</f>
        <v/>
      </c>
      <c r="B1421" s="1" t="str">
        <f aca="false">IF($H1421="","",YEAR($H1421)&amp;"-Q"&amp;ROUNDUP(MONTH($H1421)/3,0))</f>
        <v/>
      </c>
      <c r="S1421" s="1" t="str">
        <f aca="false">IF($C1421="","",$C1421&amp;"|"&amp;$E1421&amp;"|"&amp;$F1421&amp;"|"&amp;$L1421&amp;"|"&amp;$P1421&amp;"|"&amp;TEXT($H1421,"yyyy-mm-dd"))</f>
        <v/>
      </c>
      <c r="T1421" s="1" t="str">
        <f aca="false">IF($S1421="","",IF(COUNTIF($S$2:$S$2991,$S1421)&gt;1,"DUPLICATE","OK"))</f>
        <v/>
      </c>
      <c r="U1421" s="0" t="str">
        <f aca="false">IF($L1421="","",IFERROR(VLOOKUP(--$L1421,MM_Income!$Z$5:$AC$204,3,FALSE()),"UNMAPPED"))</f>
        <v/>
      </c>
    </row>
    <row r="1422" customFormat="false" ht="13.5" hidden="false" customHeight="false" outlineLevel="0" collapsed="false">
      <c r="A1422" s="1" t="str">
        <f aca="false">IF($C1422="","",Controls!$B$7)</f>
        <v/>
      </c>
      <c r="B1422" s="1" t="str">
        <f aca="false">IF($H1422="","",YEAR($H1422)&amp;"-Q"&amp;ROUNDUP(MONTH($H1422)/3,0))</f>
        <v/>
      </c>
      <c r="S1422" s="1" t="str">
        <f aca="false">IF($C1422="","",$C1422&amp;"|"&amp;$E1422&amp;"|"&amp;$F1422&amp;"|"&amp;$L1422&amp;"|"&amp;$P1422&amp;"|"&amp;TEXT($H1422,"yyyy-mm-dd"))</f>
        <v/>
      </c>
      <c r="T1422" s="1" t="str">
        <f aca="false">IF($S1422="","",IF(COUNTIF($S$2:$S$2991,$S1422)&gt;1,"DUPLICATE","OK"))</f>
        <v/>
      </c>
      <c r="U1422" s="0" t="str">
        <f aca="false">IF($L1422="","",IFERROR(VLOOKUP(--$L1422,MM_Income!$Z$5:$AC$204,3,FALSE()),"UNMAPPED"))</f>
        <v/>
      </c>
    </row>
    <row r="1423" customFormat="false" ht="13.5" hidden="false" customHeight="false" outlineLevel="0" collapsed="false">
      <c r="A1423" s="1" t="str">
        <f aca="false">IF($C1423="","",Controls!$B$7)</f>
        <v/>
      </c>
      <c r="B1423" s="1" t="str">
        <f aca="false">IF($H1423="","",YEAR($H1423)&amp;"-Q"&amp;ROUNDUP(MONTH($H1423)/3,0))</f>
        <v/>
      </c>
      <c r="S1423" s="1" t="str">
        <f aca="false">IF($C1423="","",$C1423&amp;"|"&amp;$E1423&amp;"|"&amp;$F1423&amp;"|"&amp;$L1423&amp;"|"&amp;$P1423&amp;"|"&amp;TEXT($H1423,"yyyy-mm-dd"))</f>
        <v/>
      </c>
      <c r="T1423" s="1" t="str">
        <f aca="false">IF($S1423="","",IF(COUNTIF($S$2:$S$2991,$S1423)&gt;1,"DUPLICATE","OK"))</f>
        <v/>
      </c>
      <c r="U1423" s="0" t="str">
        <f aca="false">IF($L1423="","",IFERROR(VLOOKUP(--$L1423,MM_Income!$Z$5:$AC$204,3,FALSE()),"UNMAPPED"))</f>
        <v/>
      </c>
    </row>
    <row r="1424" customFormat="false" ht="13.5" hidden="false" customHeight="false" outlineLevel="0" collapsed="false">
      <c r="A1424" s="1" t="str">
        <f aca="false">IF($C1424="","",Controls!$B$7)</f>
        <v/>
      </c>
      <c r="B1424" s="1" t="str">
        <f aca="false">IF($H1424="","",YEAR($H1424)&amp;"-Q"&amp;ROUNDUP(MONTH($H1424)/3,0))</f>
        <v/>
      </c>
      <c r="S1424" s="1" t="str">
        <f aca="false">IF($C1424="","",$C1424&amp;"|"&amp;$E1424&amp;"|"&amp;$F1424&amp;"|"&amp;$L1424&amp;"|"&amp;$P1424&amp;"|"&amp;TEXT($H1424,"yyyy-mm-dd"))</f>
        <v/>
      </c>
      <c r="T1424" s="1" t="str">
        <f aca="false">IF($S1424="","",IF(COUNTIF($S$2:$S$2991,$S1424)&gt;1,"DUPLICATE","OK"))</f>
        <v/>
      </c>
      <c r="U1424" s="0" t="str">
        <f aca="false">IF($L1424="","",IFERROR(VLOOKUP(--$L1424,MM_Income!$Z$5:$AC$204,3,FALSE()),"UNMAPPED"))</f>
        <v/>
      </c>
    </row>
    <row r="1425" customFormat="false" ht="13.5" hidden="false" customHeight="false" outlineLevel="0" collapsed="false">
      <c r="A1425" s="1" t="str">
        <f aca="false">IF($C1425="","",Controls!$B$7)</f>
        <v/>
      </c>
      <c r="B1425" s="1" t="str">
        <f aca="false">IF($H1425="","",YEAR($H1425)&amp;"-Q"&amp;ROUNDUP(MONTH($H1425)/3,0))</f>
        <v/>
      </c>
      <c r="S1425" s="1" t="str">
        <f aca="false">IF($C1425="","",$C1425&amp;"|"&amp;$E1425&amp;"|"&amp;$F1425&amp;"|"&amp;$L1425&amp;"|"&amp;$P1425&amp;"|"&amp;TEXT($H1425,"yyyy-mm-dd"))</f>
        <v/>
      </c>
      <c r="T1425" s="1" t="str">
        <f aca="false">IF($S1425="","",IF(COUNTIF($S$2:$S$2991,$S1425)&gt;1,"DUPLICATE","OK"))</f>
        <v/>
      </c>
      <c r="U1425" s="0" t="str">
        <f aca="false">IF($L1425="","",IFERROR(VLOOKUP(--$L1425,MM_Income!$Z$5:$AC$204,3,FALSE()),"UNMAPPED"))</f>
        <v/>
      </c>
    </row>
    <row r="1426" customFormat="false" ht="13.5" hidden="false" customHeight="false" outlineLevel="0" collapsed="false">
      <c r="A1426" s="1" t="str">
        <f aca="false">IF($C1426="","",Controls!$B$7)</f>
        <v/>
      </c>
      <c r="B1426" s="1" t="str">
        <f aca="false">IF($H1426="","",YEAR($H1426)&amp;"-Q"&amp;ROUNDUP(MONTH($H1426)/3,0))</f>
        <v/>
      </c>
      <c r="S1426" s="1" t="str">
        <f aca="false">IF($C1426="","",$C1426&amp;"|"&amp;$E1426&amp;"|"&amp;$F1426&amp;"|"&amp;$L1426&amp;"|"&amp;$P1426&amp;"|"&amp;TEXT($H1426,"yyyy-mm-dd"))</f>
        <v/>
      </c>
      <c r="T1426" s="1" t="str">
        <f aca="false">IF($S1426="","",IF(COUNTIF($S$2:$S$2991,$S1426)&gt;1,"DUPLICATE","OK"))</f>
        <v/>
      </c>
      <c r="U1426" s="0" t="str">
        <f aca="false">IF($L1426="","",IFERROR(VLOOKUP(--$L1426,MM_Income!$Z$5:$AC$204,3,FALSE()),"UNMAPPED"))</f>
        <v/>
      </c>
    </row>
    <row r="1427" customFormat="false" ht="13.5" hidden="false" customHeight="false" outlineLevel="0" collapsed="false">
      <c r="A1427" s="1" t="str">
        <f aca="false">IF($C1427="","",Controls!$B$7)</f>
        <v/>
      </c>
      <c r="B1427" s="1" t="str">
        <f aca="false">IF($H1427="","",YEAR($H1427)&amp;"-Q"&amp;ROUNDUP(MONTH($H1427)/3,0))</f>
        <v/>
      </c>
      <c r="S1427" s="1" t="str">
        <f aca="false">IF($C1427="","",$C1427&amp;"|"&amp;$E1427&amp;"|"&amp;$F1427&amp;"|"&amp;$L1427&amp;"|"&amp;$P1427&amp;"|"&amp;TEXT($H1427,"yyyy-mm-dd"))</f>
        <v/>
      </c>
      <c r="T1427" s="1" t="str">
        <f aca="false">IF($S1427="","",IF(COUNTIF($S$2:$S$2991,$S1427)&gt;1,"DUPLICATE","OK"))</f>
        <v/>
      </c>
      <c r="U1427" s="0" t="str">
        <f aca="false">IF($L1427="","",IFERROR(VLOOKUP(--$L1427,MM_Income!$Z$5:$AC$204,3,FALSE()),"UNMAPPED"))</f>
        <v/>
      </c>
    </row>
    <row r="1428" customFormat="false" ht="13.5" hidden="false" customHeight="false" outlineLevel="0" collapsed="false">
      <c r="A1428" s="1" t="str">
        <f aca="false">IF($C1428="","",Controls!$B$7)</f>
        <v/>
      </c>
      <c r="B1428" s="1" t="str">
        <f aca="false">IF($H1428="","",YEAR($H1428)&amp;"-Q"&amp;ROUNDUP(MONTH($H1428)/3,0))</f>
        <v/>
      </c>
      <c r="S1428" s="1" t="str">
        <f aca="false">IF($C1428="","",$C1428&amp;"|"&amp;$E1428&amp;"|"&amp;$F1428&amp;"|"&amp;$L1428&amp;"|"&amp;$P1428&amp;"|"&amp;TEXT($H1428,"yyyy-mm-dd"))</f>
        <v/>
      </c>
      <c r="T1428" s="1" t="str">
        <f aca="false">IF($S1428="","",IF(COUNTIF($S$2:$S$2991,$S1428)&gt;1,"DUPLICATE","OK"))</f>
        <v/>
      </c>
      <c r="U1428" s="0" t="str">
        <f aca="false">IF($L1428="","",IFERROR(VLOOKUP(--$L1428,MM_Income!$Z$5:$AC$204,3,FALSE()),"UNMAPPED"))</f>
        <v/>
      </c>
    </row>
    <row r="1429" customFormat="false" ht="13.5" hidden="false" customHeight="false" outlineLevel="0" collapsed="false">
      <c r="A1429" s="1" t="str">
        <f aca="false">IF($C1429="","",Controls!$B$7)</f>
        <v/>
      </c>
      <c r="B1429" s="1" t="str">
        <f aca="false">IF($H1429="","",YEAR($H1429)&amp;"-Q"&amp;ROUNDUP(MONTH($H1429)/3,0))</f>
        <v/>
      </c>
      <c r="S1429" s="1" t="str">
        <f aca="false">IF($C1429="","",$C1429&amp;"|"&amp;$E1429&amp;"|"&amp;$F1429&amp;"|"&amp;$L1429&amp;"|"&amp;$P1429&amp;"|"&amp;TEXT($H1429,"yyyy-mm-dd"))</f>
        <v/>
      </c>
      <c r="T1429" s="1" t="str">
        <f aca="false">IF($S1429="","",IF(COUNTIF($S$2:$S$2991,$S1429)&gt;1,"DUPLICATE","OK"))</f>
        <v/>
      </c>
      <c r="U1429" s="0" t="str">
        <f aca="false">IF($L1429="","",IFERROR(VLOOKUP(--$L1429,MM_Income!$Z$5:$AC$204,3,FALSE()),"UNMAPPED"))</f>
        <v/>
      </c>
    </row>
    <row r="1430" customFormat="false" ht="13.5" hidden="false" customHeight="false" outlineLevel="0" collapsed="false">
      <c r="A1430" s="1" t="str">
        <f aca="false">IF($C1430="","",Controls!$B$7)</f>
        <v/>
      </c>
      <c r="B1430" s="1" t="str">
        <f aca="false">IF($H1430="","",YEAR($H1430)&amp;"-Q"&amp;ROUNDUP(MONTH($H1430)/3,0))</f>
        <v/>
      </c>
      <c r="S1430" s="1" t="str">
        <f aca="false">IF($C1430="","",$C1430&amp;"|"&amp;$E1430&amp;"|"&amp;$F1430&amp;"|"&amp;$L1430&amp;"|"&amp;$P1430&amp;"|"&amp;TEXT($H1430,"yyyy-mm-dd"))</f>
        <v/>
      </c>
      <c r="T1430" s="1" t="str">
        <f aca="false">IF($S1430="","",IF(COUNTIF($S$2:$S$2991,$S1430)&gt;1,"DUPLICATE","OK"))</f>
        <v/>
      </c>
      <c r="U1430" s="0" t="str">
        <f aca="false">IF($L1430="","",IFERROR(VLOOKUP(--$L1430,MM_Income!$Z$5:$AC$204,3,FALSE()),"UNMAPPED"))</f>
        <v/>
      </c>
    </row>
    <row r="1431" customFormat="false" ht="13.5" hidden="false" customHeight="false" outlineLevel="0" collapsed="false">
      <c r="A1431" s="1" t="str">
        <f aca="false">IF($C1431="","",Controls!$B$7)</f>
        <v/>
      </c>
      <c r="B1431" s="1" t="str">
        <f aca="false">IF($H1431="","",YEAR($H1431)&amp;"-Q"&amp;ROUNDUP(MONTH($H1431)/3,0))</f>
        <v/>
      </c>
      <c r="S1431" s="1" t="str">
        <f aca="false">IF($C1431="","",$C1431&amp;"|"&amp;$E1431&amp;"|"&amp;$F1431&amp;"|"&amp;$L1431&amp;"|"&amp;$P1431&amp;"|"&amp;TEXT($H1431,"yyyy-mm-dd"))</f>
        <v/>
      </c>
      <c r="T1431" s="1" t="str">
        <f aca="false">IF($S1431="","",IF(COUNTIF($S$2:$S$2991,$S1431)&gt;1,"DUPLICATE","OK"))</f>
        <v/>
      </c>
      <c r="U1431" s="0" t="str">
        <f aca="false">IF($L1431="","",IFERROR(VLOOKUP(--$L1431,MM_Income!$Z$5:$AC$204,3,FALSE()),"UNMAPPED"))</f>
        <v/>
      </c>
    </row>
    <row r="1432" customFormat="false" ht="13.5" hidden="false" customHeight="false" outlineLevel="0" collapsed="false">
      <c r="A1432" s="1" t="str">
        <f aca="false">IF($C1432="","",Controls!$B$7)</f>
        <v/>
      </c>
      <c r="B1432" s="1" t="str">
        <f aca="false">IF($H1432="","",YEAR($H1432)&amp;"-Q"&amp;ROUNDUP(MONTH($H1432)/3,0))</f>
        <v/>
      </c>
      <c r="S1432" s="1" t="str">
        <f aca="false">IF($C1432="","",$C1432&amp;"|"&amp;$E1432&amp;"|"&amp;$F1432&amp;"|"&amp;$L1432&amp;"|"&amp;$P1432&amp;"|"&amp;TEXT($H1432,"yyyy-mm-dd"))</f>
        <v/>
      </c>
      <c r="T1432" s="1" t="str">
        <f aca="false">IF($S1432="","",IF(COUNTIF($S$2:$S$2991,$S1432)&gt;1,"DUPLICATE","OK"))</f>
        <v/>
      </c>
      <c r="U1432" s="0" t="str">
        <f aca="false">IF($L1432="","",IFERROR(VLOOKUP(--$L1432,MM_Income!$Z$5:$AC$204,3,FALSE()),"UNMAPPED"))</f>
        <v/>
      </c>
    </row>
    <row r="1433" customFormat="false" ht="13.5" hidden="false" customHeight="false" outlineLevel="0" collapsed="false">
      <c r="A1433" s="1" t="str">
        <f aca="false">IF($C1433="","",Controls!$B$7)</f>
        <v/>
      </c>
      <c r="B1433" s="1" t="str">
        <f aca="false">IF($H1433="","",YEAR($H1433)&amp;"-Q"&amp;ROUNDUP(MONTH($H1433)/3,0))</f>
        <v/>
      </c>
      <c r="S1433" s="1" t="str">
        <f aca="false">IF($C1433="","",$C1433&amp;"|"&amp;$E1433&amp;"|"&amp;$F1433&amp;"|"&amp;$L1433&amp;"|"&amp;$P1433&amp;"|"&amp;TEXT($H1433,"yyyy-mm-dd"))</f>
        <v/>
      </c>
      <c r="T1433" s="1" t="str">
        <f aca="false">IF($S1433="","",IF(COUNTIF($S$2:$S$2991,$S1433)&gt;1,"DUPLICATE","OK"))</f>
        <v/>
      </c>
      <c r="U1433" s="0" t="str">
        <f aca="false">IF($L1433="","",IFERROR(VLOOKUP(--$L1433,MM_Income!$Z$5:$AC$204,3,FALSE()),"UNMAPPED"))</f>
        <v/>
      </c>
    </row>
    <row r="1434" customFormat="false" ht="13.5" hidden="false" customHeight="false" outlineLevel="0" collapsed="false">
      <c r="A1434" s="1" t="str">
        <f aca="false">IF($C1434="","",Controls!$B$7)</f>
        <v/>
      </c>
      <c r="B1434" s="1" t="str">
        <f aca="false">IF($H1434="","",YEAR($H1434)&amp;"-Q"&amp;ROUNDUP(MONTH($H1434)/3,0))</f>
        <v/>
      </c>
      <c r="S1434" s="1" t="str">
        <f aca="false">IF($C1434="","",$C1434&amp;"|"&amp;$E1434&amp;"|"&amp;$F1434&amp;"|"&amp;$L1434&amp;"|"&amp;$P1434&amp;"|"&amp;TEXT($H1434,"yyyy-mm-dd"))</f>
        <v/>
      </c>
      <c r="T1434" s="1" t="str">
        <f aca="false">IF($S1434="","",IF(COUNTIF($S$2:$S$2991,$S1434)&gt;1,"DUPLICATE","OK"))</f>
        <v/>
      </c>
      <c r="U1434" s="0" t="str">
        <f aca="false">IF($L1434="","",IFERROR(VLOOKUP(--$L1434,MM_Income!$Z$5:$AC$204,3,FALSE()),"UNMAPPED"))</f>
        <v/>
      </c>
    </row>
    <row r="1435" customFormat="false" ht="13.5" hidden="false" customHeight="false" outlineLevel="0" collapsed="false">
      <c r="A1435" s="1" t="str">
        <f aca="false">IF($C1435="","",Controls!$B$7)</f>
        <v/>
      </c>
      <c r="B1435" s="1" t="str">
        <f aca="false">IF($H1435="","",YEAR($H1435)&amp;"-Q"&amp;ROUNDUP(MONTH($H1435)/3,0))</f>
        <v/>
      </c>
      <c r="S1435" s="1" t="str">
        <f aca="false">IF($C1435="","",$C1435&amp;"|"&amp;$E1435&amp;"|"&amp;$F1435&amp;"|"&amp;$L1435&amp;"|"&amp;$P1435&amp;"|"&amp;TEXT($H1435,"yyyy-mm-dd"))</f>
        <v/>
      </c>
      <c r="T1435" s="1" t="str">
        <f aca="false">IF($S1435="","",IF(COUNTIF($S$2:$S$2991,$S1435)&gt;1,"DUPLICATE","OK"))</f>
        <v/>
      </c>
      <c r="U1435" s="0" t="str">
        <f aca="false">IF($L1435="","",IFERROR(VLOOKUP(--$L1435,MM_Income!$Z$5:$AC$204,3,FALSE()),"UNMAPPED"))</f>
        <v/>
      </c>
    </row>
    <row r="1436" customFormat="false" ht="13.5" hidden="false" customHeight="false" outlineLevel="0" collapsed="false">
      <c r="A1436" s="1" t="str">
        <f aca="false">IF($C1436="","",Controls!$B$7)</f>
        <v/>
      </c>
      <c r="B1436" s="1" t="str">
        <f aca="false">IF($H1436="","",YEAR($H1436)&amp;"-Q"&amp;ROUNDUP(MONTH($H1436)/3,0))</f>
        <v/>
      </c>
      <c r="S1436" s="1" t="str">
        <f aca="false">IF($C1436="","",$C1436&amp;"|"&amp;$E1436&amp;"|"&amp;$F1436&amp;"|"&amp;$L1436&amp;"|"&amp;$P1436&amp;"|"&amp;TEXT($H1436,"yyyy-mm-dd"))</f>
        <v/>
      </c>
      <c r="T1436" s="1" t="str">
        <f aca="false">IF($S1436="","",IF(COUNTIF($S$2:$S$2991,$S1436)&gt;1,"DUPLICATE","OK"))</f>
        <v/>
      </c>
      <c r="U1436" s="0" t="str">
        <f aca="false">IF($L1436="","",IFERROR(VLOOKUP(--$L1436,MM_Income!$Z$5:$AC$204,3,FALSE()),"UNMAPPED"))</f>
        <v/>
      </c>
    </row>
    <row r="1437" customFormat="false" ht="13.5" hidden="false" customHeight="false" outlineLevel="0" collapsed="false">
      <c r="A1437" s="1" t="str">
        <f aca="false">IF($C1437="","",Controls!$B$7)</f>
        <v/>
      </c>
      <c r="B1437" s="1" t="str">
        <f aca="false">IF($H1437="","",YEAR($H1437)&amp;"-Q"&amp;ROUNDUP(MONTH($H1437)/3,0))</f>
        <v/>
      </c>
      <c r="S1437" s="1" t="str">
        <f aca="false">IF($C1437="","",$C1437&amp;"|"&amp;$E1437&amp;"|"&amp;$F1437&amp;"|"&amp;$L1437&amp;"|"&amp;$P1437&amp;"|"&amp;TEXT($H1437,"yyyy-mm-dd"))</f>
        <v/>
      </c>
      <c r="T1437" s="1" t="str">
        <f aca="false">IF($S1437="","",IF(COUNTIF($S$2:$S$2991,$S1437)&gt;1,"DUPLICATE","OK"))</f>
        <v/>
      </c>
      <c r="U1437" s="0" t="str">
        <f aca="false">IF($L1437="","",IFERROR(VLOOKUP(--$L1437,MM_Income!$Z$5:$AC$204,3,FALSE()),"UNMAPPED"))</f>
        <v/>
      </c>
    </row>
    <row r="1438" customFormat="false" ht="13.5" hidden="false" customHeight="false" outlineLevel="0" collapsed="false">
      <c r="A1438" s="1" t="str">
        <f aca="false">IF($C1438="","",Controls!$B$7)</f>
        <v/>
      </c>
      <c r="B1438" s="1" t="str">
        <f aca="false">IF($H1438="","",YEAR($H1438)&amp;"-Q"&amp;ROUNDUP(MONTH($H1438)/3,0))</f>
        <v/>
      </c>
      <c r="S1438" s="1" t="str">
        <f aca="false">IF($C1438="","",$C1438&amp;"|"&amp;$E1438&amp;"|"&amp;$F1438&amp;"|"&amp;$L1438&amp;"|"&amp;$P1438&amp;"|"&amp;TEXT($H1438,"yyyy-mm-dd"))</f>
        <v/>
      </c>
      <c r="T1438" s="1" t="str">
        <f aca="false">IF($S1438="","",IF(COUNTIF($S$2:$S$2991,$S1438)&gt;1,"DUPLICATE","OK"))</f>
        <v/>
      </c>
      <c r="U1438" s="0" t="str">
        <f aca="false">IF($L1438="","",IFERROR(VLOOKUP(--$L1438,MM_Income!$Z$5:$AC$204,3,FALSE()),"UNMAPPED"))</f>
        <v/>
      </c>
    </row>
    <row r="1439" customFormat="false" ht="13.5" hidden="false" customHeight="false" outlineLevel="0" collapsed="false">
      <c r="A1439" s="1" t="str">
        <f aca="false">IF($C1439="","",Controls!$B$7)</f>
        <v/>
      </c>
      <c r="B1439" s="1" t="str">
        <f aca="false">IF($H1439="","",YEAR($H1439)&amp;"-Q"&amp;ROUNDUP(MONTH($H1439)/3,0))</f>
        <v/>
      </c>
      <c r="S1439" s="1" t="str">
        <f aca="false">IF($C1439="","",$C1439&amp;"|"&amp;$E1439&amp;"|"&amp;$F1439&amp;"|"&amp;$L1439&amp;"|"&amp;$P1439&amp;"|"&amp;TEXT($H1439,"yyyy-mm-dd"))</f>
        <v/>
      </c>
      <c r="T1439" s="1" t="str">
        <f aca="false">IF($S1439="","",IF(COUNTIF($S$2:$S$2991,$S1439)&gt;1,"DUPLICATE","OK"))</f>
        <v/>
      </c>
      <c r="U1439" s="0" t="str">
        <f aca="false">IF($L1439="","",IFERROR(VLOOKUP(--$L1439,MM_Income!$Z$5:$AC$204,3,FALSE()),"UNMAPPED"))</f>
        <v/>
      </c>
    </row>
    <row r="1440" customFormat="false" ht="13.5" hidden="false" customHeight="false" outlineLevel="0" collapsed="false">
      <c r="A1440" s="1" t="str">
        <f aca="false">IF($C1440="","",Controls!$B$7)</f>
        <v/>
      </c>
      <c r="B1440" s="1" t="str">
        <f aca="false">IF($H1440="","",YEAR($H1440)&amp;"-Q"&amp;ROUNDUP(MONTH($H1440)/3,0))</f>
        <v/>
      </c>
      <c r="S1440" s="1" t="str">
        <f aca="false">IF($C1440="","",$C1440&amp;"|"&amp;$E1440&amp;"|"&amp;$F1440&amp;"|"&amp;$L1440&amp;"|"&amp;$P1440&amp;"|"&amp;TEXT($H1440,"yyyy-mm-dd"))</f>
        <v/>
      </c>
      <c r="T1440" s="1" t="str">
        <f aca="false">IF($S1440="","",IF(COUNTIF($S$2:$S$2991,$S1440)&gt;1,"DUPLICATE","OK"))</f>
        <v/>
      </c>
      <c r="U1440" s="0" t="str">
        <f aca="false">IF($L1440="","",IFERROR(VLOOKUP(--$L1440,MM_Income!$Z$5:$AC$204,3,FALSE()),"UNMAPPED"))</f>
        <v/>
      </c>
    </row>
    <row r="1441" customFormat="false" ht="13.5" hidden="false" customHeight="false" outlineLevel="0" collapsed="false">
      <c r="A1441" s="1" t="str">
        <f aca="false">IF($C1441="","",Controls!$B$7)</f>
        <v/>
      </c>
      <c r="B1441" s="1" t="str">
        <f aca="false">IF($H1441="","",YEAR($H1441)&amp;"-Q"&amp;ROUNDUP(MONTH($H1441)/3,0))</f>
        <v/>
      </c>
      <c r="S1441" s="1" t="str">
        <f aca="false">IF($C1441="","",$C1441&amp;"|"&amp;$E1441&amp;"|"&amp;$F1441&amp;"|"&amp;$L1441&amp;"|"&amp;$P1441&amp;"|"&amp;TEXT($H1441,"yyyy-mm-dd"))</f>
        <v/>
      </c>
      <c r="T1441" s="1" t="str">
        <f aca="false">IF($S1441="","",IF(COUNTIF($S$2:$S$2991,$S1441)&gt;1,"DUPLICATE","OK"))</f>
        <v/>
      </c>
      <c r="U1441" s="0" t="str">
        <f aca="false">IF($L1441="","",IFERROR(VLOOKUP(--$L1441,MM_Income!$Z$5:$AC$204,3,FALSE()),"UNMAPPED"))</f>
        <v/>
      </c>
    </row>
    <row r="1442" customFormat="false" ht="13.5" hidden="false" customHeight="false" outlineLevel="0" collapsed="false">
      <c r="A1442" s="1" t="str">
        <f aca="false">IF($C1442="","",Controls!$B$7)</f>
        <v/>
      </c>
      <c r="B1442" s="1" t="str">
        <f aca="false">IF($H1442="","",YEAR($H1442)&amp;"-Q"&amp;ROUNDUP(MONTH($H1442)/3,0))</f>
        <v/>
      </c>
      <c r="S1442" s="1" t="str">
        <f aca="false">IF($C1442="","",$C1442&amp;"|"&amp;$E1442&amp;"|"&amp;$F1442&amp;"|"&amp;$L1442&amp;"|"&amp;$P1442&amp;"|"&amp;TEXT($H1442,"yyyy-mm-dd"))</f>
        <v/>
      </c>
      <c r="T1442" s="1" t="str">
        <f aca="false">IF($S1442="","",IF(COUNTIF($S$2:$S$2991,$S1442)&gt;1,"DUPLICATE","OK"))</f>
        <v/>
      </c>
      <c r="U1442" s="0" t="str">
        <f aca="false">IF($L1442="","",IFERROR(VLOOKUP(--$L1442,MM_Income!$Z$5:$AC$204,3,FALSE()),"UNMAPPED"))</f>
        <v/>
      </c>
    </row>
    <row r="1443" customFormat="false" ht="13.5" hidden="false" customHeight="false" outlineLevel="0" collapsed="false">
      <c r="A1443" s="1" t="str">
        <f aca="false">IF($C1443="","",Controls!$B$7)</f>
        <v/>
      </c>
      <c r="B1443" s="1" t="str">
        <f aca="false">IF($H1443="","",YEAR($H1443)&amp;"-Q"&amp;ROUNDUP(MONTH($H1443)/3,0))</f>
        <v/>
      </c>
      <c r="S1443" s="1" t="str">
        <f aca="false">IF($C1443="","",$C1443&amp;"|"&amp;$E1443&amp;"|"&amp;$F1443&amp;"|"&amp;$L1443&amp;"|"&amp;$P1443&amp;"|"&amp;TEXT($H1443,"yyyy-mm-dd"))</f>
        <v/>
      </c>
      <c r="T1443" s="1" t="str">
        <f aca="false">IF($S1443="","",IF(COUNTIF($S$2:$S$2991,$S1443)&gt;1,"DUPLICATE","OK"))</f>
        <v/>
      </c>
      <c r="U1443" s="0" t="str">
        <f aca="false">IF($L1443="","",IFERROR(VLOOKUP(--$L1443,MM_Income!$Z$5:$AC$204,3,FALSE()),"UNMAPPED"))</f>
        <v/>
      </c>
    </row>
    <row r="1444" customFormat="false" ht="13.5" hidden="false" customHeight="false" outlineLevel="0" collapsed="false">
      <c r="A1444" s="1" t="str">
        <f aca="false">IF($C1444="","",Controls!$B$7)</f>
        <v/>
      </c>
      <c r="B1444" s="1" t="str">
        <f aca="false">IF($H1444="","",YEAR($H1444)&amp;"-Q"&amp;ROUNDUP(MONTH($H1444)/3,0))</f>
        <v/>
      </c>
      <c r="S1444" s="1" t="str">
        <f aca="false">IF($C1444="","",$C1444&amp;"|"&amp;$E1444&amp;"|"&amp;$F1444&amp;"|"&amp;$L1444&amp;"|"&amp;$P1444&amp;"|"&amp;TEXT($H1444,"yyyy-mm-dd"))</f>
        <v/>
      </c>
      <c r="T1444" s="1" t="str">
        <f aca="false">IF($S1444="","",IF(COUNTIF($S$2:$S$2991,$S1444)&gt;1,"DUPLICATE","OK"))</f>
        <v/>
      </c>
      <c r="U1444" s="0" t="str">
        <f aca="false">IF($L1444="","",IFERROR(VLOOKUP(--$L1444,MM_Income!$Z$5:$AC$204,3,FALSE()),"UNMAPPED"))</f>
        <v/>
      </c>
    </row>
    <row r="1445" customFormat="false" ht="13.5" hidden="false" customHeight="false" outlineLevel="0" collapsed="false">
      <c r="A1445" s="1" t="str">
        <f aca="false">IF($C1445="","",Controls!$B$7)</f>
        <v/>
      </c>
      <c r="B1445" s="1" t="str">
        <f aca="false">IF($H1445="","",YEAR($H1445)&amp;"-Q"&amp;ROUNDUP(MONTH($H1445)/3,0))</f>
        <v/>
      </c>
      <c r="S1445" s="1" t="str">
        <f aca="false">IF($C1445="","",$C1445&amp;"|"&amp;$E1445&amp;"|"&amp;$F1445&amp;"|"&amp;$L1445&amp;"|"&amp;$P1445&amp;"|"&amp;TEXT($H1445,"yyyy-mm-dd"))</f>
        <v/>
      </c>
      <c r="T1445" s="1" t="str">
        <f aca="false">IF($S1445="","",IF(COUNTIF($S$2:$S$2991,$S1445)&gt;1,"DUPLICATE","OK"))</f>
        <v/>
      </c>
      <c r="U1445" s="0" t="str">
        <f aca="false">IF($L1445="","",IFERROR(VLOOKUP(--$L1445,MM_Income!$Z$5:$AC$204,3,FALSE()),"UNMAPPED"))</f>
        <v/>
      </c>
    </row>
    <row r="1446" customFormat="false" ht="13.5" hidden="false" customHeight="false" outlineLevel="0" collapsed="false">
      <c r="A1446" s="1" t="str">
        <f aca="false">IF($C1446="","",Controls!$B$7)</f>
        <v/>
      </c>
      <c r="B1446" s="1" t="str">
        <f aca="false">IF($H1446="","",YEAR($H1446)&amp;"-Q"&amp;ROUNDUP(MONTH($H1446)/3,0))</f>
        <v/>
      </c>
      <c r="S1446" s="1" t="str">
        <f aca="false">IF($C1446="","",$C1446&amp;"|"&amp;$E1446&amp;"|"&amp;$F1446&amp;"|"&amp;$L1446&amp;"|"&amp;$P1446&amp;"|"&amp;TEXT($H1446,"yyyy-mm-dd"))</f>
        <v/>
      </c>
      <c r="T1446" s="1" t="str">
        <f aca="false">IF($S1446="","",IF(COUNTIF($S$2:$S$2991,$S1446)&gt;1,"DUPLICATE","OK"))</f>
        <v/>
      </c>
      <c r="U1446" s="0" t="str">
        <f aca="false">IF($L1446="","",IFERROR(VLOOKUP(--$L1446,MM_Income!$Z$5:$AC$204,3,FALSE()),"UNMAPPED"))</f>
        <v/>
      </c>
    </row>
    <row r="1447" customFormat="false" ht="13.5" hidden="false" customHeight="false" outlineLevel="0" collapsed="false">
      <c r="A1447" s="1" t="str">
        <f aca="false">IF($C1447="","",Controls!$B$7)</f>
        <v/>
      </c>
      <c r="B1447" s="1" t="str">
        <f aca="false">IF($H1447="","",YEAR($H1447)&amp;"-Q"&amp;ROUNDUP(MONTH($H1447)/3,0))</f>
        <v/>
      </c>
      <c r="S1447" s="1" t="str">
        <f aca="false">IF($C1447="","",$C1447&amp;"|"&amp;$E1447&amp;"|"&amp;$F1447&amp;"|"&amp;$L1447&amp;"|"&amp;$P1447&amp;"|"&amp;TEXT($H1447,"yyyy-mm-dd"))</f>
        <v/>
      </c>
      <c r="T1447" s="1" t="str">
        <f aca="false">IF($S1447="","",IF(COUNTIF($S$2:$S$2991,$S1447)&gt;1,"DUPLICATE","OK"))</f>
        <v/>
      </c>
      <c r="U1447" s="0" t="str">
        <f aca="false">IF($L1447="","",IFERROR(VLOOKUP(--$L1447,MM_Income!$Z$5:$AC$204,3,FALSE()),"UNMAPPED"))</f>
        <v/>
      </c>
    </row>
    <row r="1448" customFormat="false" ht="13.5" hidden="false" customHeight="false" outlineLevel="0" collapsed="false">
      <c r="A1448" s="1" t="str">
        <f aca="false">IF($C1448="","",Controls!$B$7)</f>
        <v/>
      </c>
      <c r="B1448" s="1" t="str">
        <f aca="false">IF($H1448="","",YEAR($H1448)&amp;"-Q"&amp;ROUNDUP(MONTH($H1448)/3,0))</f>
        <v/>
      </c>
      <c r="S1448" s="1" t="str">
        <f aca="false">IF($C1448="","",$C1448&amp;"|"&amp;$E1448&amp;"|"&amp;$F1448&amp;"|"&amp;$L1448&amp;"|"&amp;$P1448&amp;"|"&amp;TEXT($H1448,"yyyy-mm-dd"))</f>
        <v/>
      </c>
      <c r="T1448" s="1" t="str">
        <f aca="false">IF($S1448="","",IF(COUNTIF($S$2:$S$2991,$S1448)&gt;1,"DUPLICATE","OK"))</f>
        <v/>
      </c>
      <c r="U1448" s="0" t="str">
        <f aca="false">IF($L1448="","",IFERROR(VLOOKUP(--$L1448,MM_Income!$Z$5:$AC$204,3,FALSE()),"UNMAPPED"))</f>
        <v/>
      </c>
    </row>
    <row r="1449" customFormat="false" ht="13.5" hidden="false" customHeight="false" outlineLevel="0" collapsed="false">
      <c r="A1449" s="1" t="str">
        <f aca="false">IF($C1449="","",Controls!$B$7)</f>
        <v/>
      </c>
      <c r="B1449" s="1" t="str">
        <f aca="false">IF($H1449="","",YEAR($H1449)&amp;"-Q"&amp;ROUNDUP(MONTH($H1449)/3,0))</f>
        <v/>
      </c>
      <c r="S1449" s="1" t="str">
        <f aca="false">IF($C1449="","",$C1449&amp;"|"&amp;$E1449&amp;"|"&amp;$F1449&amp;"|"&amp;$L1449&amp;"|"&amp;$P1449&amp;"|"&amp;TEXT($H1449,"yyyy-mm-dd"))</f>
        <v/>
      </c>
      <c r="T1449" s="1" t="str">
        <f aca="false">IF($S1449="","",IF(COUNTIF($S$2:$S$2991,$S1449)&gt;1,"DUPLICATE","OK"))</f>
        <v/>
      </c>
      <c r="U1449" s="0" t="str">
        <f aca="false">IF($L1449="","",IFERROR(VLOOKUP(--$L1449,MM_Income!$Z$5:$AC$204,3,FALSE()),"UNMAPPED"))</f>
        <v/>
      </c>
    </row>
    <row r="1450" customFormat="false" ht="13.5" hidden="false" customHeight="false" outlineLevel="0" collapsed="false">
      <c r="A1450" s="1" t="str">
        <f aca="false">IF($C1450="","",Controls!$B$7)</f>
        <v/>
      </c>
      <c r="B1450" s="1" t="str">
        <f aca="false">IF($H1450="","",YEAR($H1450)&amp;"-Q"&amp;ROUNDUP(MONTH($H1450)/3,0))</f>
        <v/>
      </c>
      <c r="S1450" s="1" t="str">
        <f aca="false">IF($C1450="","",$C1450&amp;"|"&amp;$E1450&amp;"|"&amp;$F1450&amp;"|"&amp;$L1450&amp;"|"&amp;$P1450&amp;"|"&amp;TEXT($H1450,"yyyy-mm-dd"))</f>
        <v/>
      </c>
      <c r="T1450" s="1" t="str">
        <f aca="false">IF($S1450="","",IF(COUNTIF($S$2:$S$2991,$S1450)&gt;1,"DUPLICATE","OK"))</f>
        <v/>
      </c>
      <c r="U1450" s="0" t="str">
        <f aca="false">IF($L1450="","",IFERROR(VLOOKUP(--$L1450,MM_Income!$Z$5:$AC$204,3,FALSE()),"UNMAPPED"))</f>
        <v/>
      </c>
    </row>
    <row r="1451" customFormat="false" ht="13.5" hidden="false" customHeight="false" outlineLevel="0" collapsed="false">
      <c r="A1451" s="1" t="str">
        <f aca="false">IF($C1451="","",Controls!$B$7)</f>
        <v/>
      </c>
      <c r="B1451" s="1" t="str">
        <f aca="false">IF($H1451="","",YEAR($H1451)&amp;"-Q"&amp;ROUNDUP(MONTH($H1451)/3,0))</f>
        <v/>
      </c>
      <c r="S1451" s="1" t="str">
        <f aca="false">IF($C1451="","",$C1451&amp;"|"&amp;$E1451&amp;"|"&amp;$F1451&amp;"|"&amp;$L1451&amp;"|"&amp;$P1451&amp;"|"&amp;TEXT($H1451,"yyyy-mm-dd"))</f>
        <v/>
      </c>
      <c r="T1451" s="1" t="str">
        <f aca="false">IF($S1451="","",IF(COUNTIF($S$2:$S$2991,$S1451)&gt;1,"DUPLICATE","OK"))</f>
        <v/>
      </c>
      <c r="U1451" s="0" t="str">
        <f aca="false">IF($L1451="","",IFERROR(VLOOKUP(--$L1451,MM_Income!$Z$5:$AC$204,3,FALSE()),"UNMAPPED"))</f>
        <v/>
      </c>
    </row>
    <row r="1452" customFormat="false" ht="13.5" hidden="false" customHeight="false" outlineLevel="0" collapsed="false">
      <c r="A1452" s="1" t="str">
        <f aca="false">IF($C1452="","",Controls!$B$7)</f>
        <v/>
      </c>
      <c r="B1452" s="1" t="str">
        <f aca="false">IF($H1452="","",YEAR($H1452)&amp;"-Q"&amp;ROUNDUP(MONTH($H1452)/3,0))</f>
        <v/>
      </c>
      <c r="S1452" s="1" t="str">
        <f aca="false">IF($C1452="","",$C1452&amp;"|"&amp;$E1452&amp;"|"&amp;$F1452&amp;"|"&amp;$L1452&amp;"|"&amp;$P1452&amp;"|"&amp;TEXT($H1452,"yyyy-mm-dd"))</f>
        <v/>
      </c>
      <c r="T1452" s="1" t="str">
        <f aca="false">IF($S1452="","",IF(COUNTIF($S$2:$S$2991,$S1452)&gt;1,"DUPLICATE","OK"))</f>
        <v/>
      </c>
      <c r="U1452" s="0" t="str">
        <f aca="false">IF($L1452="","",IFERROR(VLOOKUP(--$L1452,MM_Income!$Z$5:$AC$204,3,FALSE()),"UNMAPPED"))</f>
        <v/>
      </c>
    </row>
    <row r="1453" customFormat="false" ht="13.5" hidden="false" customHeight="false" outlineLevel="0" collapsed="false">
      <c r="A1453" s="1" t="str">
        <f aca="false">IF($C1453="","",Controls!$B$7)</f>
        <v/>
      </c>
      <c r="B1453" s="1" t="str">
        <f aca="false">IF($H1453="","",YEAR($H1453)&amp;"-Q"&amp;ROUNDUP(MONTH($H1453)/3,0))</f>
        <v/>
      </c>
      <c r="S1453" s="1" t="str">
        <f aca="false">IF($C1453="","",$C1453&amp;"|"&amp;$E1453&amp;"|"&amp;$F1453&amp;"|"&amp;$L1453&amp;"|"&amp;$P1453&amp;"|"&amp;TEXT($H1453,"yyyy-mm-dd"))</f>
        <v/>
      </c>
      <c r="T1453" s="1" t="str">
        <f aca="false">IF($S1453="","",IF(COUNTIF($S$2:$S$2991,$S1453)&gt;1,"DUPLICATE","OK"))</f>
        <v/>
      </c>
      <c r="U1453" s="0" t="str">
        <f aca="false">IF($L1453="","",IFERROR(VLOOKUP(--$L1453,MM_Income!$Z$5:$AC$204,3,FALSE()),"UNMAPPED"))</f>
        <v/>
      </c>
    </row>
    <row r="1454" customFormat="false" ht="13.5" hidden="false" customHeight="false" outlineLevel="0" collapsed="false">
      <c r="A1454" s="1" t="str">
        <f aca="false">IF($C1454="","",Controls!$B$7)</f>
        <v/>
      </c>
      <c r="B1454" s="1" t="str">
        <f aca="false">IF($H1454="","",YEAR($H1454)&amp;"-Q"&amp;ROUNDUP(MONTH($H1454)/3,0))</f>
        <v/>
      </c>
      <c r="S1454" s="1" t="str">
        <f aca="false">IF($C1454="","",$C1454&amp;"|"&amp;$E1454&amp;"|"&amp;$F1454&amp;"|"&amp;$L1454&amp;"|"&amp;$P1454&amp;"|"&amp;TEXT($H1454,"yyyy-mm-dd"))</f>
        <v/>
      </c>
      <c r="T1454" s="1" t="str">
        <f aca="false">IF($S1454="","",IF(COUNTIF($S$2:$S$2991,$S1454)&gt;1,"DUPLICATE","OK"))</f>
        <v/>
      </c>
      <c r="U1454" s="0" t="str">
        <f aca="false">IF($L1454="","",IFERROR(VLOOKUP(--$L1454,MM_Income!$Z$5:$AC$204,3,FALSE()),"UNMAPPED"))</f>
        <v/>
      </c>
    </row>
    <row r="1455" customFormat="false" ht="13.5" hidden="false" customHeight="false" outlineLevel="0" collapsed="false">
      <c r="A1455" s="1" t="str">
        <f aca="false">IF($C1455="","",Controls!$B$7)</f>
        <v/>
      </c>
      <c r="B1455" s="1" t="str">
        <f aca="false">IF($H1455="","",YEAR($H1455)&amp;"-Q"&amp;ROUNDUP(MONTH($H1455)/3,0))</f>
        <v/>
      </c>
      <c r="S1455" s="1" t="str">
        <f aca="false">IF($C1455="","",$C1455&amp;"|"&amp;$E1455&amp;"|"&amp;$F1455&amp;"|"&amp;$L1455&amp;"|"&amp;$P1455&amp;"|"&amp;TEXT($H1455,"yyyy-mm-dd"))</f>
        <v/>
      </c>
      <c r="T1455" s="1" t="str">
        <f aca="false">IF($S1455="","",IF(COUNTIF($S$2:$S$2991,$S1455)&gt;1,"DUPLICATE","OK"))</f>
        <v/>
      </c>
      <c r="U1455" s="0" t="str">
        <f aca="false">IF($L1455="","",IFERROR(VLOOKUP(--$L1455,MM_Income!$Z$5:$AC$204,3,FALSE()),"UNMAPPED"))</f>
        <v/>
      </c>
    </row>
    <row r="1456" customFormat="false" ht="13.5" hidden="false" customHeight="false" outlineLevel="0" collapsed="false">
      <c r="A1456" s="1" t="str">
        <f aca="false">IF($C1456="","",Controls!$B$7)</f>
        <v/>
      </c>
      <c r="B1456" s="1" t="str">
        <f aca="false">IF($H1456="","",YEAR($H1456)&amp;"-Q"&amp;ROUNDUP(MONTH($H1456)/3,0))</f>
        <v/>
      </c>
      <c r="S1456" s="1" t="str">
        <f aca="false">IF($C1456="","",$C1456&amp;"|"&amp;$E1456&amp;"|"&amp;$F1456&amp;"|"&amp;$L1456&amp;"|"&amp;$P1456&amp;"|"&amp;TEXT($H1456,"yyyy-mm-dd"))</f>
        <v/>
      </c>
      <c r="T1456" s="1" t="str">
        <f aca="false">IF($S1456="","",IF(COUNTIF($S$2:$S$2991,$S1456)&gt;1,"DUPLICATE","OK"))</f>
        <v/>
      </c>
      <c r="U1456" s="0" t="str">
        <f aca="false">IF($L1456="","",IFERROR(VLOOKUP(--$L1456,MM_Income!$Z$5:$AC$204,3,FALSE()),"UNMAPPED"))</f>
        <v/>
      </c>
    </row>
    <row r="1457" customFormat="false" ht="13.5" hidden="false" customHeight="false" outlineLevel="0" collapsed="false">
      <c r="A1457" s="1" t="str">
        <f aca="false">IF($C1457="","",Controls!$B$7)</f>
        <v/>
      </c>
      <c r="B1457" s="1" t="str">
        <f aca="false">IF($H1457="","",YEAR($H1457)&amp;"-Q"&amp;ROUNDUP(MONTH($H1457)/3,0))</f>
        <v/>
      </c>
      <c r="S1457" s="1" t="str">
        <f aca="false">IF($C1457="","",$C1457&amp;"|"&amp;$E1457&amp;"|"&amp;$F1457&amp;"|"&amp;$L1457&amp;"|"&amp;$P1457&amp;"|"&amp;TEXT($H1457,"yyyy-mm-dd"))</f>
        <v/>
      </c>
      <c r="T1457" s="1" t="str">
        <f aca="false">IF($S1457="","",IF(COUNTIF($S$2:$S$2991,$S1457)&gt;1,"DUPLICATE","OK"))</f>
        <v/>
      </c>
      <c r="U1457" s="0" t="str">
        <f aca="false">IF($L1457="","",IFERROR(VLOOKUP(--$L1457,MM_Income!$Z$5:$AC$204,3,FALSE()),"UNMAPPED"))</f>
        <v/>
      </c>
    </row>
    <row r="1458" customFormat="false" ht="13.5" hidden="false" customHeight="false" outlineLevel="0" collapsed="false">
      <c r="A1458" s="1" t="str">
        <f aca="false">IF($C1458="","",Controls!$B$7)</f>
        <v/>
      </c>
      <c r="B1458" s="1" t="str">
        <f aca="false">IF($H1458="","",YEAR($H1458)&amp;"-Q"&amp;ROUNDUP(MONTH($H1458)/3,0))</f>
        <v/>
      </c>
      <c r="S1458" s="1" t="str">
        <f aca="false">IF($C1458="","",$C1458&amp;"|"&amp;$E1458&amp;"|"&amp;$F1458&amp;"|"&amp;$L1458&amp;"|"&amp;$P1458&amp;"|"&amp;TEXT($H1458,"yyyy-mm-dd"))</f>
        <v/>
      </c>
      <c r="T1458" s="1" t="str">
        <f aca="false">IF($S1458="","",IF(COUNTIF($S$2:$S$2991,$S1458)&gt;1,"DUPLICATE","OK"))</f>
        <v/>
      </c>
      <c r="U1458" s="0" t="str">
        <f aca="false">IF($L1458="","",IFERROR(VLOOKUP(--$L1458,MM_Income!$Z$5:$AC$204,3,FALSE()),"UNMAPPED"))</f>
        <v/>
      </c>
    </row>
    <row r="1459" customFormat="false" ht="13.5" hidden="false" customHeight="false" outlineLevel="0" collapsed="false">
      <c r="A1459" s="1" t="str">
        <f aca="false">IF($C1459="","",Controls!$B$7)</f>
        <v/>
      </c>
      <c r="B1459" s="1" t="str">
        <f aca="false">IF($H1459="","",YEAR($H1459)&amp;"-Q"&amp;ROUNDUP(MONTH($H1459)/3,0))</f>
        <v/>
      </c>
      <c r="S1459" s="1" t="str">
        <f aca="false">IF($C1459="","",$C1459&amp;"|"&amp;$E1459&amp;"|"&amp;$F1459&amp;"|"&amp;$L1459&amp;"|"&amp;$P1459&amp;"|"&amp;TEXT($H1459,"yyyy-mm-dd"))</f>
        <v/>
      </c>
      <c r="T1459" s="1" t="str">
        <f aca="false">IF($S1459="","",IF(COUNTIF($S$2:$S$2991,$S1459)&gt;1,"DUPLICATE","OK"))</f>
        <v/>
      </c>
      <c r="U1459" s="0" t="str">
        <f aca="false">IF($L1459="","",IFERROR(VLOOKUP(--$L1459,MM_Income!$Z$5:$AC$204,3,FALSE()),"UNMAPPED"))</f>
        <v/>
      </c>
    </row>
    <row r="1460" customFormat="false" ht="13.5" hidden="false" customHeight="false" outlineLevel="0" collapsed="false">
      <c r="A1460" s="1" t="str">
        <f aca="false">IF($C1460="","",Controls!$B$7)</f>
        <v/>
      </c>
      <c r="B1460" s="1" t="str">
        <f aca="false">IF($H1460="","",YEAR($H1460)&amp;"-Q"&amp;ROUNDUP(MONTH($H1460)/3,0))</f>
        <v/>
      </c>
      <c r="S1460" s="1" t="str">
        <f aca="false">IF($C1460="","",$C1460&amp;"|"&amp;$E1460&amp;"|"&amp;$F1460&amp;"|"&amp;$L1460&amp;"|"&amp;$P1460&amp;"|"&amp;TEXT($H1460,"yyyy-mm-dd"))</f>
        <v/>
      </c>
      <c r="T1460" s="1" t="str">
        <f aca="false">IF($S1460="","",IF(COUNTIF($S$2:$S$2991,$S1460)&gt;1,"DUPLICATE","OK"))</f>
        <v/>
      </c>
      <c r="U1460" s="0" t="str">
        <f aca="false">IF($L1460="","",IFERROR(VLOOKUP(--$L1460,MM_Income!$Z$5:$AC$204,3,FALSE()),"UNMAPPED"))</f>
        <v/>
      </c>
    </row>
    <row r="1461" customFormat="false" ht="13.5" hidden="false" customHeight="false" outlineLevel="0" collapsed="false">
      <c r="A1461" s="1" t="str">
        <f aca="false">IF($C1461="","",Controls!$B$7)</f>
        <v/>
      </c>
      <c r="B1461" s="1" t="str">
        <f aca="false">IF($H1461="","",YEAR($H1461)&amp;"-Q"&amp;ROUNDUP(MONTH($H1461)/3,0))</f>
        <v/>
      </c>
      <c r="S1461" s="1" t="str">
        <f aca="false">IF($C1461="","",$C1461&amp;"|"&amp;$E1461&amp;"|"&amp;$F1461&amp;"|"&amp;$L1461&amp;"|"&amp;$P1461&amp;"|"&amp;TEXT($H1461,"yyyy-mm-dd"))</f>
        <v/>
      </c>
      <c r="T1461" s="1" t="str">
        <f aca="false">IF($S1461="","",IF(COUNTIF($S$2:$S$2991,$S1461)&gt;1,"DUPLICATE","OK"))</f>
        <v/>
      </c>
      <c r="U1461" s="0" t="str">
        <f aca="false">IF($L1461="","",IFERROR(VLOOKUP(--$L1461,MM_Income!$Z$5:$AC$204,3,FALSE()),"UNMAPPED"))</f>
        <v/>
      </c>
    </row>
    <row r="1462" customFormat="false" ht="13.5" hidden="false" customHeight="false" outlineLevel="0" collapsed="false">
      <c r="A1462" s="1" t="str">
        <f aca="false">IF($C1462="","",Controls!$B$7)</f>
        <v/>
      </c>
      <c r="B1462" s="1" t="str">
        <f aca="false">IF($H1462="","",YEAR($H1462)&amp;"-Q"&amp;ROUNDUP(MONTH($H1462)/3,0))</f>
        <v/>
      </c>
      <c r="S1462" s="1" t="str">
        <f aca="false">IF($C1462="","",$C1462&amp;"|"&amp;$E1462&amp;"|"&amp;$F1462&amp;"|"&amp;$L1462&amp;"|"&amp;$P1462&amp;"|"&amp;TEXT($H1462,"yyyy-mm-dd"))</f>
        <v/>
      </c>
      <c r="T1462" s="1" t="str">
        <f aca="false">IF($S1462="","",IF(COUNTIF($S$2:$S$2991,$S1462)&gt;1,"DUPLICATE","OK"))</f>
        <v/>
      </c>
      <c r="U1462" s="0" t="str">
        <f aca="false">IF($L1462="","",IFERROR(VLOOKUP(--$L1462,MM_Income!$Z$5:$AC$204,3,FALSE()),"UNMAPPED"))</f>
        <v/>
      </c>
    </row>
    <row r="1463" customFormat="false" ht="13.5" hidden="false" customHeight="false" outlineLevel="0" collapsed="false">
      <c r="A1463" s="1" t="str">
        <f aca="false">IF($C1463="","",Controls!$B$7)</f>
        <v/>
      </c>
      <c r="B1463" s="1" t="str">
        <f aca="false">IF($H1463="","",YEAR($H1463)&amp;"-Q"&amp;ROUNDUP(MONTH($H1463)/3,0))</f>
        <v/>
      </c>
      <c r="S1463" s="1" t="str">
        <f aca="false">IF($C1463="","",$C1463&amp;"|"&amp;$E1463&amp;"|"&amp;$F1463&amp;"|"&amp;$L1463&amp;"|"&amp;$P1463&amp;"|"&amp;TEXT($H1463,"yyyy-mm-dd"))</f>
        <v/>
      </c>
      <c r="T1463" s="1" t="str">
        <f aca="false">IF($S1463="","",IF(COUNTIF($S$2:$S$2991,$S1463)&gt;1,"DUPLICATE","OK"))</f>
        <v/>
      </c>
      <c r="U1463" s="0" t="str">
        <f aca="false">IF($L1463="","",IFERROR(VLOOKUP(--$L1463,MM_Income!$Z$5:$AC$204,3,FALSE()),"UNMAPPED"))</f>
        <v/>
      </c>
    </row>
    <row r="1464" customFormat="false" ht="13.5" hidden="false" customHeight="false" outlineLevel="0" collapsed="false">
      <c r="A1464" s="1" t="str">
        <f aca="false">IF($C1464="","",Controls!$B$7)</f>
        <v/>
      </c>
      <c r="B1464" s="1" t="str">
        <f aca="false">IF($H1464="","",YEAR($H1464)&amp;"-Q"&amp;ROUNDUP(MONTH($H1464)/3,0))</f>
        <v/>
      </c>
      <c r="S1464" s="1" t="str">
        <f aca="false">IF($C1464="","",$C1464&amp;"|"&amp;$E1464&amp;"|"&amp;$F1464&amp;"|"&amp;$L1464&amp;"|"&amp;$P1464&amp;"|"&amp;TEXT($H1464,"yyyy-mm-dd"))</f>
        <v/>
      </c>
      <c r="T1464" s="1" t="str">
        <f aca="false">IF($S1464="","",IF(COUNTIF($S$2:$S$2991,$S1464)&gt;1,"DUPLICATE","OK"))</f>
        <v/>
      </c>
      <c r="U1464" s="0" t="str">
        <f aca="false">IF($L1464="","",IFERROR(VLOOKUP(--$L1464,MM_Income!$Z$5:$AC$204,3,FALSE()),"UNMAPPED"))</f>
        <v/>
      </c>
    </row>
    <row r="1465" customFormat="false" ht="13.5" hidden="false" customHeight="false" outlineLevel="0" collapsed="false">
      <c r="A1465" s="1" t="str">
        <f aca="false">IF($C1465="","",Controls!$B$7)</f>
        <v/>
      </c>
      <c r="B1465" s="1" t="str">
        <f aca="false">IF($H1465="","",YEAR($H1465)&amp;"-Q"&amp;ROUNDUP(MONTH($H1465)/3,0))</f>
        <v/>
      </c>
      <c r="S1465" s="1" t="str">
        <f aca="false">IF($C1465="","",$C1465&amp;"|"&amp;$E1465&amp;"|"&amp;$F1465&amp;"|"&amp;$L1465&amp;"|"&amp;$P1465&amp;"|"&amp;TEXT($H1465,"yyyy-mm-dd"))</f>
        <v/>
      </c>
      <c r="T1465" s="1" t="str">
        <f aca="false">IF($S1465="","",IF(COUNTIF($S$2:$S$2991,$S1465)&gt;1,"DUPLICATE","OK"))</f>
        <v/>
      </c>
      <c r="U1465" s="0" t="str">
        <f aca="false">IF($L1465="","",IFERROR(VLOOKUP(--$L1465,MM_Income!$Z$5:$AC$204,3,FALSE()),"UNMAPPED"))</f>
        <v/>
      </c>
    </row>
    <row r="1466" customFormat="false" ht="13.5" hidden="false" customHeight="false" outlineLevel="0" collapsed="false">
      <c r="A1466" s="1" t="str">
        <f aca="false">IF($C1466="","",Controls!$B$7)</f>
        <v/>
      </c>
      <c r="B1466" s="1" t="str">
        <f aca="false">IF($H1466="","",YEAR($H1466)&amp;"-Q"&amp;ROUNDUP(MONTH($H1466)/3,0))</f>
        <v/>
      </c>
      <c r="S1466" s="1" t="str">
        <f aca="false">IF($C1466="","",$C1466&amp;"|"&amp;$E1466&amp;"|"&amp;$F1466&amp;"|"&amp;$L1466&amp;"|"&amp;$P1466&amp;"|"&amp;TEXT($H1466,"yyyy-mm-dd"))</f>
        <v/>
      </c>
      <c r="T1466" s="1" t="str">
        <f aca="false">IF($S1466="","",IF(COUNTIF($S$2:$S$2991,$S1466)&gt;1,"DUPLICATE","OK"))</f>
        <v/>
      </c>
      <c r="U1466" s="0" t="str">
        <f aca="false">IF($L1466="","",IFERROR(VLOOKUP(--$L1466,MM_Income!$Z$5:$AC$204,3,FALSE()),"UNMAPPED"))</f>
        <v/>
      </c>
    </row>
    <row r="1467" customFormat="false" ht="13.5" hidden="false" customHeight="false" outlineLevel="0" collapsed="false">
      <c r="A1467" s="1" t="str">
        <f aca="false">IF($C1467="","",Controls!$B$7)</f>
        <v/>
      </c>
      <c r="B1467" s="1" t="str">
        <f aca="false">IF($H1467="","",YEAR($H1467)&amp;"-Q"&amp;ROUNDUP(MONTH($H1467)/3,0))</f>
        <v/>
      </c>
      <c r="S1467" s="1" t="str">
        <f aca="false">IF($C1467="","",$C1467&amp;"|"&amp;$E1467&amp;"|"&amp;$F1467&amp;"|"&amp;$L1467&amp;"|"&amp;$P1467&amp;"|"&amp;TEXT($H1467,"yyyy-mm-dd"))</f>
        <v/>
      </c>
      <c r="T1467" s="1" t="str">
        <f aca="false">IF($S1467="","",IF(COUNTIF($S$2:$S$2991,$S1467)&gt;1,"DUPLICATE","OK"))</f>
        <v/>
      </c>
      <c r="U1467" s="0" t="str">
        <f aca="false">IF($L1467="","",IFERROR(VLOOKUP(--$L1467,MM_Income!$Z$5:$AC$204,3,FALSE()),"UNMAPPED"))</f>
        <v/>
      </c>
    </row>
    <row r="1468" customFormat="false" ht="13.5" hidden="false" customHeight="false" outlineLevel="0" collapsed="false">
      <c r="A1468" s="1" t="str">
        <f aca="false">IF($C1468="","",Controls!$B$7)</f>
        <v/>
      </c>
      <c r="B1468" s="1" t="str">
        <f aca="false">IF($H1468="","",YEAR($H1468)&amp;"-Q"&amp;ROUNDUP(MONTH($H1468)/3,0))</f>
        <v/>
      </c>
      <c r="S1468" s="1" t="str">
        <f aca="false">IF($C1468="","",$C1468&amp;"|"&amp;$E1468&amp;"|"&amp;$F1468&amp;"|"&amp;$L1468&amp;"|"&amp;$P1468&amp;"|"&amp;TEXT($H1468,"yyyy-mm-dd"))</f>
        <v/>
      </c>
      <c r="T1468" s="1" t="str">
        <f aca="false">IF($S1468="","",IF(COUNTIF($S$2:$S$2991,$S1468)&gt;1,"DUPLICATE","OK"))</f>
        <v/>
      </c>
      <c r="U1468" s="0" t="str">
        <f aca="false">IF($L1468="","",IFERROR(VLOOKUP(--$L1468,MM_Income!$Z$5:$AC$204,3,FALSE()),"UNMAPPED"))</f>
        <v/>
      </c>
    </row>
    <row r="1469" customFormat="false" ht="13.5" hidden="false" customHeight="false" outlineLevel="0" collapsed="false">
      <c r="A1469" s="1" t="str">
        <f aca="false">IF($C1469="","",Controls!$B$7)</f>
        <v/>
      </c>
      <c r="B1469" s="1" t="str">
        <f aca="false">IF($H1469="","",YEAR($H1469)&amp;"-Q"&amp;ROUNDUP(MONTH($H1469)/3,0))</f>
        <v/>
      </c>
      <c r="S1469" s="1" t="str">
        <f aca="false">IF($C1469="","",$C1469&amp;"|"&amp;$E1469&amp;"|"&amp;$F1469&amp;"|"&amp;$L1469&amp;"|"&amp;$P1469&amp;"|"&amp;TEXT($H1469,"yyyy-mm-dd"))</f>
        <v/>
      </c>
      <c r="T1469" s="1" t="str">
        <f aca="false">IF($S1469="","",IF(COUNTIF($S$2:$S$2991,$S1469)&gt;1,"DUPLICATE","OK"))</f>
        <v/>
      </c>
      <c r="U1469" s="0" t="str">
        <f aca="false">IF($L1469="","",IFERROR(VLOOKUP(--$L1469,MM_Income!$Z$5:$AC$204,3,FALSE()),"UNMAPPED"))</f>
        <v/>
      </c>
    </row>
    <row r="1470" customFormat="false" ht="13.5" hidden="false" customHeight="false" outlineLevel="0" collapsed="false">
      <c r="A1470" s="1" t="str">
        <f aca="false">IF($C1470="","",Controls!$B$7)</f>
        <v/>
      </c>
      <c r="B1470" s="1" t="str">
        <f aca="false">IF($H1470="","",YEAR($H1470)&amp;"-Q"&amp;ROUNDUP(MONTH($H1470)/3,0))</f>
        <v/>
      </c>
      <c r="S1470" s="1" t="str">
        <f aca="false">IF($C1470="","",$C1470&amp;"|"&amp;$E1470&amp;"|"&amp;$F1470&amp;"|"&amp;$L1470&amp;"|"&amp;$P1470&amp;"|"&amp;TEXT($H1470,"yyyy-mm-dd"))</f>
        <v/>
      </c>
      <c r="T1470" s="1" t="str">
        <f aca="false">IF($S1470="","",IF(COUNTIF($S$2:$S$2991,$S1470)&gt;1,"DUPLICATE","OK"))</f>
        <v/>
      </c>
      <c r="U1470" s="0" t="str">
        <f aca="false">IF($L1470="","",IFERROR(VLOOKUP(--$L1470,MM_Income!$Z$5:$AC$204,3,FALSE()),"UNMAPPED"))</f>
        <v/>
      </c>
    </row>
    <row r="1471" customFormat="false" ht="13.5" hidden="false" customHeight="false" outlineLevel="0" collapsed="false">
      <c r="A1471" s="1" t="str">
        <f aca="false">IF($C1471="","",Controls!$B$7)</f>
        <v/>
      </c>
      <c r="B1471" s="1" t="str">
        <f aca="false">IF($H1471="","",YEAR($H1471)&amp;"-Q"&amp;ROUNDUP(MONTH($H1471)/3,0))</f>
        <v/>
      </c>
      <c r="S1471" s="1" t="str">
        <f aca="false">IF($C1471="","",$C1471&amp;"|"&amp;$E1471&amp;"|"&amp;$F1471&amp;"|"&amp;$L1471&amp;"|"&amp;$P1471&amp;"|"&amp;TEXT($H1471,"yyyy-mm-dd"))</f>
        <v/>
      </c>
      <c r="T1471" s="1" t="str">
        <f aca="false">IF($S1471="","",IF(COUNTIF($S$2:$S$2991,$S1471)&gt;1,"DUPLICATE","OK"))</f>
        <v/>
      </c>
      <c r="U1471" s="0" t="str">
        <f aca="false">IF($L1471="","",IFERROR(VLOOKUP(--$L1471,MM_Income!$Z$5:$AC$204,3,FALSE()),"UNMAPPED"))</f>
        <v/>
      </c>
    </row>
    <row r="1472" customFormat="false" ht="13.5" hidden="false" customHeight="false" outlineLevel="0" collapsed="false">
      <c r="A1472" s="1" t="str">
        <f aca="false">IF($C1472="","",Controls!$B$7)</f>
        <v/>
      </c>
      <c r="B1472" s="1" t="str">
        <f aca="false">IF($H1472="","",YEAR($H1472)&amp;"-Q"&amp;ROUNDUP(MONTH($H1472)/3,0))</f>
        <v/>
      </c>
      <c r="S1472" s="1" t="str">
        <f aca="false">IF($C1472="","",$C1472&amp;"|"&amp;$E1472&amp;"|"&amp;$F1472&amp;"|"&amp;$L1472&amp;"|"&amp;$P1472&amp;"|"&amp;TEXT($H1472,"yyyy-mm-dd"))</f>
        <v/>
      </c>
      <c r="T1472" s="1" t="str">
        <f aca="false">IF($S1472="","",IF(COUNTIF($S$2:$S$2991,$S1472)&gt;1,"DUPLICATE","OK"))</f>
        <v/>
      </c>
      <c r="U1472" s="0" t="str">
        <f aca="false">IF($L1472="","",IFERROR(VLOOKUP(--$L1472,MM_Income!$Z$5:$AC$204,3,FALSE()),"UNMAPPED"))</f>
        <v/>
      </c>
    </row>
    <row r="1473" customFormat="false" ht="13.5" hidden="false" customHeight="false" outlineLevel="0" collapsed="false">
      <c r="A1473" s="1" t="str">
        <f aca="false">IF($C1473="","",Controls!$B$7)</f>
        <v/>
      </c>
      <c r="B1473" s="1" t="str">
        <f aca="false">IF($H1473="","",YEAR($H1473)&amp;"-Q"&amp;ROUNDUP(MONTH($H1473)/3,0))</f>
        <v/>
      </c>
      <c r="S1473" s="1" t="str">
        <f aca="false">IF($C1473="","",$C1473&amp;"|"&amp;$E1473&amp;"|"&amp;$F1473&amp;"|"&amp;$L1473&amp;"|"&amp;$P1473&amp;"|"&amp;TEXT($H1473,"yyyy-mm-dd"))</f>
        <v/>
      </c>
      <c r="T1473" s="1" t="str">
        <f aca="false">IF($S1473="","",IF(COUNTIF($S$2:$S$2991,$S1473)&gt;1,"DUPLICATE","OK"))</f>
        <v/>
      </c>
      <c r="U1473" s="0" t="str">
        <f aca="false">IF($L1473="","",IFERROR(VLOOKUP(--$L1473,MM_Income!$Z$5:$AC$204,3,FALSE()),"UNMAPPED"))</f>
        <v/>
      </c>
    </row>
    <row r="1474" customFormat="false" ht="13.5" hidden="false" customHeight="false" outlineLevel="0" collapsed="false">
      <c r="A1474" s="1" t="str">
        <f aca="false">IF($C1474="","",Controls!$B$7)</f>
        <v/>
      </c>
      <c r="B1474" s="1" t="str">
        <f aca="false">IF($H1474="","",YEAR($H1474)&amp;"-Q"&amp;ROUNDUP(MONTH($H1474)/3,0))</f>
        <v/>
      </c>
      <c r="S1474" s="1" t="str">
        <f aca="false">IF($C1474="","",$C1474&amp;"|"&amp;$E1474&amp;"|"&amp;$F1474&amp;"|"&amp;$L1474&amp;"|"&amp;$P1474&amp;"|"&amp;TEXT($H1474,"yyyy-mm-dd"))</f>
        <v/>
      </c>
      <c r="T1474" s="1" t="str">
        <f aca="false">IF($S1474="","",IF(COUNTIF($S$2:$S$2991,$S1474)&gt;1,"DUPLICATE","OK"))</f>
        <v/>
      </c>
      <c r="U1474" s="0" t="str">
        <f aca="false">IF($L1474="","",IFERROR(VLOOKUP(--$L1474,MM_Income!$Z$5:$AC$204,3,FALSE()),"UNMAPPED"))</f>
        <v/>
      </c>
    </row>
    <row r="1475" customFormat="false" ht="13.5" hidden="false" customHeight="false" outlineLevel="0" collapsed="false">
      <c r="A1475" s="1" t="str">
        <f aca="false">IF($C1475="","",Controls!$B$7)</f>
        <v/>
      </c>
      <c r="B1475" s="1" t="str">
        <f aca="false">IF($H1475="","",YEAR($H1475)&amp;"-Q"&amp;ROUNDUP(MONTH($H1475)/3,0))</f>
        <v/>
      </c>
      <c r="S1475" s="1" t="str">
        <f aca="false">IF($C1475="","",$C1475&amp;"|"&amp;$E1475&amp;"|"&amp;$F1475&amp;"|"&amp;$L1475&amp;"|"&amp;$P1475&amp;"|"&amp;TEXT($H1475,"yyyy-mm-dd"))</f>
        <v/>
      </c>
      <c r="T1475" s="1" t="str">
        <f aca="false">IF($S1475="","",IF(COUNTIF($S$2:$S$2991,$S1475)&gt;1,"DUPLICATE","OK"))</f>
        <v/>
      </c>
      <c r="U1475" s="0" t="str">
        <f aca="false">IF($L1475="","",IFERROR(VLOOKUP(--$L1475,MM_Income!$Z$5:$AC$204,3,FALSE()),"UNMAPPED"))</f>
        <v/>
      </c>
    </row>
    <row r="1476" customFormat="false" ht="13.5" hidden="false" customHeight="false" outlineLevel="0" collapsed="false">
      <c r="A1476" s="1" t="str">
        <f aca="false">IF($C1476="","",Controls!$B$7)</f>
        <v/>
      </c>
      <c r="B1476" s="1" t="str">
        <f aca="false">IF($H1476="","",YEAR($H1476)&amp;"-Q"&amp;ROUNDUP(MONTH($H1476)/3,0))</f>
        <v/>
      </c>
      <c r="S1476" s="1" t="str">
        <f aca="false">IF($C1476="","",$C1476&amp;"|"&amp;$E1476&amp;"|"&amp;$F1476&amp;"|"&amp;$L1476&amp;"|"&amp;$P1476&amp;"|"&amp;TEXT($H1476,"yyyy-mm-dd"))</f>
        <v/>
      </c>
      <c r="T1476" s="1" t="str">
        <f aca="false">IF($S1476="","",IF(COUNTIF($S$2:$S$2991,$S1476)&gt;1,"DUPLICATE","OK"))</f>
        <v/>
      </c>
      <c r="U1476" s="0" t="str">
        <f aca="false">IF($L1476="","",IFERROR(VLOOKUP(--$L1476,MM_Income!$Z$5:$AC$204,3,FALSE()),"UNMAPPED"))</f>
        <v/>
      </c>
    </row>
    <row r="1477" customFormat="false" ht="13.5" hidden="false" customHeight="false" outlineLevel="0" collapsed="false">
      <c r="A1477" s="1" t="str">
        <f aca="false">IF($C1477="","",Controls!$B$7)</f>
        <v/>
      </c>
      <c r="B1477" s="1" t="str">
        <f aca="false">IF($H1477="","",YEAR($H1477)&amp;"-Q"&amp;ROUNDUP(MONTH($H1477)/3,0))</f>
        <v/>
      </c>
      <c r="S1477" s="1" t="str">
        <f aca="false">IF($C1477="","",$C1477&amp;"|"&amp;$E1477&amp;"|"&amp;$F1477&amp;"|"&amp;$L1477&amp;"|"&amp;$P1477&amp;"|"&amp;TEXT($H1477,"yyyy-mm-dd"))</f>
        <v/>
      </c>
      <c r="T1477" s="1" t="str">
        <f aca="false">IF($S1477="","",IF(COUNTIF($S$2:$S$2991,$S1477)&gt;1,"DUPLICATE","OK"))</f>
        <v/>
      </c>
      <c r="U1477" s="0" t="str">
        <f aca="false">IF($L1477="","",IFERROR(VLOOKUP(--$L1477,MM_Income!$Z$5:$AC$204,3,FALSE()),"UNMAPPED"))</f>
        <v/>
      </c>
    </row>
    <row r="1478" customFormat="false" ht="13.5" hidden="false" customHeight="false" outlineLevel="0" collapsed="false">
      <c r="A1478" s="1" t="str">
        <f aca="false">IF($C1478="","",Controls!$B$7)</f>
        <v/>
      </c>
      <c r="B1478" s="1" t="str">
        <f aca="false">IF($H1478="","",YEAR($H1478)&amp;"-Q"&amp;ROUNDUP(MONTH($H1478)/3,0))</f>
        <v/>
      </c>
      <c r="S1478" s="1" t="str">
        <f aca="false">IF($C1478="","",$C1478&amp;"|"&amp;$E1478&amp;"|"&amp;$F1478&amp;"|"&amp;$L1478&amp;"|"&amp;$P1478&amp;"|"&amp;TEXT($H1478,"yyyy-mm-dd"))</f>
        <v/>
      </c>
      <c r="T1478" s="1" t="str">
        <f aca="false">IF($S1478="","",IF(COUNTIF($S$2:$S$2991,$S1478)&gt;1,"DUPLICATE","OK"))</f>
        <v/>
      </c>
      <c r="U1478" s="0" t="str">
        <f aca="false">IF($L1478="","",IFERROR(VLOOKUP(--$L1478,MM_Income!$Z$5:$AC$204,3,FALSE()),"UNMAPPED"))</f>
        <v/>
      </c>
    </row>
    <row r="1479" customFormat="false" ht="13.5" hidden="false" customHeight="false" outlineLevel="0" collapsed="false">
      <c r="A1479" s="1" t="str">
        <f aca="false">IF($C1479="","",Controls!$B$7)</f>
        <v/>
      </c>
      <c r="B1479" s="1" t="str">
        <f aca="false">IF($H1479="","",YEAR($H1479)&amp;"-Q"&amp;ROUNDUP(MONTH($H1479)/3,0))</f>
        <v/>
      </c>
      <c r="S1479" s="1" t="str">
        <f aca="false">IF($C1479="","",$C1479&amp;"|"&amp;$E1479&amp;"|"&amp;$F1479&amp;"|"&amp;$L1479&amp;"|"&amp;$P1479&amp;"|"&amp;TEXT($H1479,"yyyy-mm-dd"))</f>
        <v/>
      </c>
      <c r="T1479" s="1" t="str">
        <f aca="false">IF($S1479="","",IF(COUNTIF($S$2:$S$2991,$S1479)&gt;1,"DUPLICATE","OK"))</f>
        <v/>
      </c>
      <c r="U1479" s="0" t="str">
        <f aca="false">IF($L1479="","",IFERROR(VLOOKUP(--$L1479,MM_Income!$Z$5:$AC$204,3,FALSE()),"UNMAPPED"))</f>
        <v/>
      </c>
    </row>
    <row r="1480" customFormat="false" ht="13.5" hidden="false" customHeight="false" outlineLevel="0" collapsed="false">
      <c r="A1480" s="1" t="str">
        <f aca="false">IF($C1480="","",Controls!$B$7)</f>
        <v/>
      </c>
      <c r="B1480" s="1" t="str">
        <f aca="false">IF($H1480="","",YEAR($H1480)&amp;"-Q"&amp;ROUNDUP(MONTH($H1480)/3,0))</f>
        <v/>
      </c>
      <c r="S1480" s="1" t="str">
        <f aca="false">IF($C1480="","",$C1480&amp;"|"&amp;$E1480&amp;"|"&amp;$F1480&amp;"|"&amp;$L1480&amp;"|"&amp;$P1480&amp;"|"&amp;TEXT($H1480,"yyyy-mm-dd"))</f>
        <v/>
      </c>
      <c r="T1480" s="1" t="str">
        <f aca="false">IF($S1480="","",IF(COUNTIF($S$2:$S$2991,$S1480)&gt;1,"DUPLICATE","OK"))</f>
        <v/>
      </c>
      <c r="U1480" s="0" t="str">
        <f aca="false">IF($L1480="","",IFERROR(VLOOKUP(--$L1480,MM_Income!$Z$5:$AC$204,3,FALSE()),"UNMAPPED"))</f>
        <v/>
      </c>
    </row>
    <row r="1481" customFormat="false" ht="13.5" hidden="false" customHeight="false" outlineLevel="0" collapsed="false">
      <c r="A1481" s="1" t="str">
        <f aca="false">IF($C1481="","",Controls!$B$7)</f>
        <v/>
      </c>
      <c r="B1481" s="1" t="str">
        <f aca="false">IF($H1481="","",YEAR($H1481)&amp;"-Q"&amp;ROUNDUP(MONTH($H1481)/3,0))</f>
        <v/>
      </c>
      <c r="S1481" s="1" t="str">
        <f aca="false">IF($C1481="","",$C1481&amp;"|"&amp;$E1481&amp;"|"&amp;$F1481&amp;"|"&amp;$L1481&amp;"|"&amp;$P1481&amp;"|"&amp;TEXT($H1481,"yyyy-mm-dd"))</f>
        <v/>
      </c>
      <c r="T1481" s="1" t="str">
        <f aca="false">IF($S1481="","",IF(COUNTIF($S$2:$S$2991,$S1481)&gt;1,"DUPLICATE","OK"))</f>
        <v/>
      </c>
      <c r="U1481" s="0" t="str">
        <f aca="false">IF($L1481="","",IFERROR(VLOOKUP(--$L1481,MM_Income!$Z$5:$AC$204,3,FALSE()),"UNMAPPED"))</f>
        <v/>
      </c>
    </row>
    <row r="1482" customFormat="false" ht="13.5" hidden="false" customHeight="false" outlineLevel="0" collapsed="false">
      <c r="A1482" s="1" t="str">
        <f aca="false">IF($C1482="","",Controls!$B$7)</f>
        <v/>
      </c>
      <c r="B1482" s="1" t="str">
        <f aca="false">IF($H1482="","",YEAR($H1482)&amp;"-Q"&amp;ROUNDUP(MONTH($H1482)/3,0))</f>
        <v/>
      </c>
      <c r="S1482" s="1" t="str">
        <f aca="false">IF($C1482="","",$C1482&amp;"|"&amp;$E1482&amp;"|"&amp;$F1482&amp;"|"&amp;$L1482&amp;"|"&amp;$P1482&amp;"|"&amp;TEXT($H1482,"yyyy-mm-dd"))</f>
        <v/>
      </c>
      <c r="T1482" s="1" t="str">
        <f aca="false">IF($S1482="","",IF(COUNTIF($S$2:$S$2991,$S1482)&gt;1,"DUPLICATE","OK"))</f>
        <v/>
      </c>
      <c r="U1482" s="0" t="str">
        <f aca="false">IF($L1482="","",IFERROR(VLOOKUP(--$L1482,MM_Income!$Z$5:$AC$204,3,FALSE()),"UNMAPPED"))</f>
        <v/>
      </c>
    </row>
    <row r="1483" customFormat="false" ht="13.5" hidden="false" customHeight="false" outlineLevel="0" collapsed="false">
      <c r="A1483" s="1" t="str">
        <f aca="false">IF($C1483="","",Controls!$B$7)</f>
        <v/>
      </c>
      <c r="B1483" s="1" t="str">
        <f aca="false">IF($H1483="","",YEAR($H1483)&amp;"-Q"&amp;ROUNDUP(MONTH($H1483)/3,0))</f>
        <v/>
      </c>
      <c r="S1483" s="1" t="str">
        <f aca="false">IF($C1483="","",$C1483&amp;"|"&amp;$E1483&amp;"|"&amp;$F1483&amp;"|"&amp;$L1483&amp;"|"&amp;$P1483&amp;"|"&amp;TEXT($H1483,"yyyy-mm-dd"))</f>
        <v/>
      </c>
      <c r="T1483" s="1" t="str">
        <f aca="false">IF($S1483="","",IF(COUNTIF($S$2:$S$2991,$S1483)&gt;1,"DUPLICATE","OK"))</f>
        <v/>
      </c>
      <c r="U1483" s="0" t="str">
        <f aca="false">IF($L1483="","",IFERROR(VLOOKUP(--$L1483,MM_Income!$Z$5:$AC$204,3,FALSE()),"UNMAPPED"))</f>
        <v/>
      </c>
    </row>
    <row r="1484" customFormat="false" ht="13.5" hidden="false" customHeight="false" outlineLevel="0" collapsed="false">
      <c r="A1484" s="1" t="str">
        <f aca="false">IF($C1484="","",Controls!$B$7)</f>
        <v/>
      </c>
      <c r="B1484" s="1" t="str">
        <f aca="false">IF($H1484="","",YEAR($H1484)&amp;"-Q"&amp;ROUNDUP(MONTH($H1484)/3,0))</f>
        <v/>
      </c>
      <c r="S1484" s="1" t="str">
        <f aca="false">IF($C1484="","",$C1484&amp;"|"&amp;$E1484&amp;"|"&amp;$F1484&amp;"|"&amp;$L1484&amp;"|"&amp;$P1484&amp;"|"&amp;TEXT($H1484,"yyyy-mm-dd"))</f>
        <v/>
      </c>
      <c r="T1484" s="1" t="str">
        <f aca="false">IF($S1484="","",IF(COUNTIF($S$2:$S$2991,$S1484)&gt;1,"DUPLICATE","OK"))</f>
        <v/>
      </c>
      <c r="U1484" s="0" t="str">
        <f aca="false">IF($L1484="","",IFERROR(VLOOKUP(--$L1484,MM_Income!$Z$5:$AC$204,3,FALSE()),"UNMAPPED"))</f>
        <v/>
      </c>
    </row>
    <row r="1485" customFormat="false" ht="13.5" hidden="false" customHeight="false" outlineLevel="0" collapsed="false">
      <c r="A1485" s="1" t="str">
        <f aca="false">IF($C1485="","",Controls!$B$7)</f>
        <v/>
      </c>
      <c r="B1485" s="1" t="str">
        <f aca="false">IF($H1485="","",YEAR($H1485)&amp;"-Q"&amp;ROUNDUP(MONTH($H1485)/3,0))</f>
        <v/>
      </c>
      <c r="S1485" s="1" t="str">
        <f aca="false">IF($C1485="","",$C1485&amp;"|"&amp;$E1485&amp;"|"&amp;$F1485&amp;"|"&amp;$L1485&amp;"|"&amp;$P1485&amp;"|"&amp;TEXT($H1485,"yyyy-mm-dd"))</f>
        <v/>
      </c>
      <c r="T1485" s="1" t="str">
        <f aca="false">IF($S1485="","",IF(COUNTIF($S$2:$S$2991,$S1485)&gt;1,"DUPLICATE","OK"))</f>
        <v/>
      </c>
      <c r="U1485" s="0" t="str">
        <f aca="false">IF($L1485="","",IFERROR(VLOOKUP(--$L1485,MM_Income!$Z$5:$AC$204,3,FALSE()),"UNMAPPED"))</f>
        <v/>
      </c>
    </row>
    <row r="1486" customFormat="false" ht="13.5" hidden="false" customHeight="false" outlineLevel="0" collapsed="false">
      <c r="A1486" s="1" t="str">
        <f aca="false">IF($C1486="","",Controls!$B$7)</f>
        <v/>
      </c>
      <c r="B1486" s="1" t="str">
        <f aca="false">IF($H1486="","",YEAR($H1486)&amp;"-Q"&amp;ROUNDUP(MONTH($H1486)/3,0))</f>
        <v/>
      </c>
      <c r="S1486" s="1" t="str">
        <f aca="false">IF($C1486="","",$C1486&amp;"|"&amp;$E1486&amp;"|"&amp;$F1486&amp;"|"&amp;$L1486&amp;"|"&amp;$P1486&amp;"|"&amp;TEXT($H1486,"yyyy-mm-dd"))</f>
        <v/>
      </c>
      <c r="T1486" s="1" t="str">
        <f aca="false">IF($S1486="","",IF(COUNTIF($S$2:$S$2991,$S1486)&gt;1,"DUPLICATE","OK"))</f>
        <v/>
      </c>
      <c r="U1486" s="0" t="str">
        <f aca="false">IF($L1486="","",IFERROR(VLOOKUP(--$L1486,MM_Income!$Z$5:$AC$204,3,FALSE()),"UNMAPPED"))</f>
        <v/>
      </c>
    </row>
    <row r="1487" customFormat="false" ht="13.5" hidden="false" customHeight="false" outlineLevel="0" collapsed="false">
      <c r="A1487" s="1" t="str">
        <f aca="false">IF($C1487="","",Controls!$B$7)</f>
        <v/>
      </c>
      <c r="B1487" s="1" t="str">
        <f aca="false">IF($H1487="","",YEAR($H1487)&amp;"-Q"&amp;ROUNDUP(MONTH($H1487)/3,0))</f>
        <v/>
      </c>
      <c r="S1487" s="1" t="str">
        <f aca="false">IF($C1487="","",$C1487&amp;"|"&amp;$E1487&amp;"|"&amp;$F1487&amp;"|"&amp;$L1487&amp;"|"&amp;$P1487&amp;"|"&amp;TEXT($H1487,"yyyy-mm-dd"))</f>
        <v/>
      </c>
      <c r="T1487" s="1" t="str">
        <f aca="false">IF($S1487="","",IF(COUNTIF($S$2:$S$2991,$S1487)&gt;1,"DUPLICATE","OK"))</f>
        <v/>
      </c>
      <c r="U1487" s="0" t="str">
        <f aca="false">IF($L1487="","",IFERROR(VLOOKUP(--$L1487,MM_Income!$Z$5:$AC$204,3,FALSE()),"UNMAPPED"))</f>
        <v/>
      </c>
    </row>
    <row r="1488" customFormat="false" ht="13.5" hidden="false" customHeight="false" outlineLevel="0" collapsed="false">
      <c r="A1488" s="1" t="str">
        <f aca="false">IF($C1488="","",Controls!$B$7)</f>
        <v/>
      </c>
      <c r="B1488" s="1" t="str">
        <f aca="false">IF($H1488="","",YEAR($H1488)&amp;"-Q"&amp;ROUNDUP(MONTH($H1488)/3,0))</f>
        <v/>
      </c>
      <c r="S1488" s="1" t="str">
        <f aca="false">IF($C1488="","",$C1488&amp;"|"&amp;$E1488&amp;"|"&amp;$F1488&amp;"|"&amp;$L1488&amp;"|"&amp;$P1488&amp;"|"&amp;TEXT($H1488,"yyyy-mm-dd"))</f>
        <v/>
      </c>
      <c r="T1488" s="1" t="str">
        <f aca="false">IF($S1488="","",IF(COUNTIF($S$2:$S$2991,$S1488)&gt;1,"DUPLICATE","OK"))</f>
        <v/>
      </c>
      <c r="U1488" s="0" t="str">
        <f aca="false">IF($L1488="","",IFERROR(VLOOKUP(--$L1488,MM_Income!$Z$5:$AC$204,3,FALSE()),"UNMAPPED"))</f>
        <v/>
      </c>
    </row>
    <row r="1489" customFormat="false" ht="13.5" hidden="false" customHeight="false" outlineLevel="0" collapsed="false">
      <c r="A1489" s="1" t="str">
        <f aca="false">IF($C1489="","",Controls!$B$7)</f>
        <v/>
      </c>
      <c r="B1489" s="1" t="str">
        <f aca="false">IF($H1489="","",YEAR($H1489)&amp;"-Q"&amp;ROUNDUP(MONTH($H1489)/3,0))</f>
        <v/>
      </c>
      <c r="S1489" s="1" t="str">
        <f aca="false">IF($C1489="","",$C1489&amp;"|"&amp;$E1489&amp;"|"&amp;$F1489&amp;"|"&amp;$L1489&amp;"|"&amp;$P1489&amp;"|"&amp;TEXT($H1489,"yyyy-mm-dd"))</f>
        <v/>
      </c>
      <c r="T1489" s="1" t="str">
        <f aca="false">IF($S1489="","",IF(COUNTIF($S$2:$S$2991,$S1489)&gt;1,"DUPLICATE","OK"))</f>
        <v/>
      </c>
      <c r="U1489" s="0" t="str">
        <f aca="false">IF($L1489="","",IFERROR(VLOOKUP(--$L1489,MM_Income!$Z$5:$AC$204,3,FALSE()),"UNMAPPED"))</f>
        <v/>
      </c>
    </row>
    <row r="1490" customFormat="false" ht="13.5" hidden="false" customHeight="false" outlineLevel="0" collapsed="false">
      <c r="A1490" s="1" t="str">
        <f aca="false">IF($C1490="","",Controls!$B$7)</f>
        <v/>
      </c>
      <c r="B1490" s="1" t="str">
        <f aca="false">IF($H1490="","",YEAR($H1490)&amp;"-Q"&amp;ROUNDUP(MONTH($H1490)/3,0))</f>
        <v/>
      </c>
      <c r="S1490" s="1" t="str">
        <f aca="false">IF($C1490="","",$C1490&amp;"|"&amp;$E1490&amp;"|"&amp;$F1490&amp;"|"&amp;$L1490&amp;"|"&amp;$P1490&amp;"|"&amp;TEXT($H1490,"yyyy-mm-dd"))</f>
        <v/>
      </c>
      <c r="T1490" s="1" t="str">
        <f aca="false">IF($S1490="","",IF(COUNTIF($S$2:$S$2991,$S1490)&gt;1,"DUPLICATE","OK"))</f>
        <v/>
      </c>
      <c r="U1490" s="0" t="str">
        <f aca="false">IF($L1490="","",IFERROR(VLOOKUP(--$L1490,MM_Income!$Z$5:$AC$204,3,FALSE()),"UNMAPPED"))</f>
        <v/>
      </c>
    </row>
    <row r="1491" customFormat="false" ht="13.5" hidden="false" customHeight="false" outlineLevel="0" collapsed="false">
      <c r="A1491" s="1" t="str">
        <f aca="false">IF($C1491="","",Controls!$B$7)</f>
        <v/>
      </c>
      <c r="B1491" s="1" t="str">
        <f aca="false">IF($H1491="","",YEAR($H1491)&amp;"-Q"&amp;ROUNDUP(MONTH($H1491)/3,0))</f>
        <v/>
      </c>
      <c r="S1491" s="1" t="str">
        <f aca="false">IF($C1491="","",$C1491&amp;"|"&amp;$E1491&amp;"|"&amp;$F1491&amp;"|"&amp;$L1491&amp;"|"&amp;$P1491&amp;"|"&amp;TEXT($H1491,"yyyy-mm-dd"))</f>
        <v/>
      </c>
      <c r="T1491" s="1" t="str">
        <f aca="false">IF($S1491="","",IF(COUNTIF($S$2:$S$2991,$S1491)&gt;1,"DUPLICATE","OK"))</f>
        <v/>
      </c>
      <c r="U1491" s="0" t="str">
        <f aca="false">IF($L1491="","",IFERROR(VLOOKUP(--$L1491,MM_Income!$Z$5:$AC$204,3,FALSE()),"UNMAPPED"))</f>
        <v/>
      </c>
    </row>
    <row r="1492" customFormat="false" ht="13.5" hidden="false" customHeight="false" outlineLevel="0" collapsed="false">
      <c r="A1492" s="1" t="str">
        <f aca="false">IF($C1492="","",Controls!$B$7)</f>
        <v/>
      </c>
      <c r="B1492" s="1" t="str">
        <f aca="false">IF($H1492="","",YEAR($H1492)&amp;"-Q"&amp;ROUNDUP(MONTH($H1492)/3,0))</f>
        <v/>
      </c>
      <c r="S1492" s="1" t="str">
        <f aca="false">IF($C1492="","",$C1492&amp;"|"&amp;$E1492&amp;"|"&amp;$F1492&amp;"|"&amp;$L1492&amp;"|"&amp;$P1492&amp;"|"&amp;TEXT($H1492,"yyyy-mm-dd"))</f>
        <v/>
      </c>
      <c r="T1492" s="1" t="str">
        <f aca="false">IF($S1492="","",IF(COUNTIF($S$2:$S$2991,$S1492)&gt;1,"DUPLICATE","OK"))</f>
        <v/>
      </c>
      <c r="U1492" s="0" t="str">
        <f aca="false">IF($L1492="","",IFERROR(VLOOKUP(--$L1492,MM_Income!$Z$5:$AC$204,3,FALSE()),"UNMAPPED"))</f>
        <v/>
      </c>
    </row>
    <row r="1493" customFormat="false" ht="13.5" hidden="false" customHeight="false" outlineLevel="0" collapsed="false">
      <c r="A1493" s="1" t="str">
        <f aca="false">IF($C1493="","",Controls!$B$7)</f>
        <v/>
      </c>
      <c r="B1493" s="1" t="str">
        <f aca="false">IF($H1493="","",YEAR($H1493)&amp;"-Q"&amp;ROUNDUP(MONTH($H1493)/3,0))</f>
        <v/>
      </c>
      <c r="S1493" s="1" t="str">
        <f aca="false">IF($C1493="","",$C1493&amp;"|"&amp;$E1493&amp;"|"&amp;$F1493&amp;"|"&amp;$L1493&amp;"|"&amp;$P1493&amp;"|"&amp;TEXT($H1493,"yyyy-mm-dd"))</f>
        <v/>
      </c>
      <c r="T1493" s="1" t="str">
        <f aca="false">IF($S1493="","",IF(COUNTIF($S$2:$S$2991,$S1493)&gt;1,"DUPLICATE","OK"))</f>
        <v/>
      </c>
      <c r="U1493" s="0" t="str">
        <f aca="false">IF($L1493="","",IFERROR(VLOOKUP(--$L1493,MM_Income!$Z$5:$AC$204,3,FALSE()),"UNMAPPED"))</f>
        <v/>
      </c>
    </row>
    <row r="1494" customFormat="false" ht="13.5" hidden="false" customHeight="false" outlineLevel="0" collapsed="false">
      <c r="A1494" s="1" t="str">
        <f aca="false">IF($C1494="","",Controls!$B$7)</f>
        <v/>
      </c>
      <c r="B1494" s="1" t="str">
        <f aca="false">IF($H1494="","",YEAR($H1494)&amp;"-Q"&amp;ROUNDUP(MONTH($H1494)/3,0))</f>
        <v/>
      </c>
      <c r="S1494" s="1" t="str">
        <f aca="false">IF($C1494="","",$C1494&amp;"|"&amp;$E1494&amp;"|"&amp;$F1494&amp;"|"&amp;$L1494&amp;"|"&amp;$P1494&amp;"|"&amp;TEXT($H1494,"yyyy-mm-dd"))</f>
        <v/>
      </c>
      <c r="T1494" s="1" t="str">
        <f aca="false">IF($S1494="","",IF(COUNTIF($S$2:$S$2991,$S1494)&gt;1,"DUPLICATE","OK"))</f>
        <v/>
      </c>
      <c r="U1494" s="0" t="str">
        <f aca="false">IF($L1494="","",IFERROR(VLOOKUP(--$L1494,MM_Income!$Z$5:$AC$204,3,FALSE()),"UNMAPPED"))</f>
        <v/>
      </c>
    </row>
    <row r="1495" customFormat="false" ht="13.5" hidden="false" customHeight="false" outlineLevel="0" collapsed="false">
      <c r="A1495" s="1" t="str">
        <f aca="false">IF($C1495="","",Controls!$B$7)</f>
        <v/>
      </c>
      <c r="B1495" s="1" t="str">
        <f aca="false">IF($H1495="","",YEAR($H1495)&amp;"-Q"&amp;ROUNDUP(MONTH($H1495)/3,0))</f>
        <v/>
      </c>
      <c r="S1495" s="1" t="str">
        <f aca="false">IF($C1495="","",$C1495&amp;"|"&amp;$E1495&amp;"|"&amp;$F1495&amp;"|"&amp;$L1495&amp;"|"&amp;$P1495&amp;"|"&amp;TEXT($H1495,"yyyy-mm-dd"))</f>
        <v/>
      </c>
      <c r="T1495" s="1" t="str">
        <f aca="false">IF($S1495="","",IF(COUNTIF($S$2:$S$2991,$S1495)&gt;1,"DUPLICATE","OK"))</f>
        <v/>
      </c>
      <c r="U1495" s="0" t="str">
        <f aca="false">IF($L1495="","",IFERROR(VLOOKUP(--$L1495,MM_Income!$Z$5:$AC$204,3,FALSE()),"UNMAPPED"))</f>
        <v/>
      </c>
    </row>
    <row r="1496" customFormat="false" ht="13.5" hidden="false" customHeight="false" outlineLevel="0" collapsed="false">
      <c r="A1496" s="1" t="str">
        <f aca="false">IF($C1496="","",Controls!$B$7)</f>
        <v/>
      </c>
      <c r="B1496" s="1" t="str">
        <f aca="false">IF($H1496="","",YEAR($H1496)&amp;"-Q"&amp;ROUNDUP(MONTH($H1496)/3,0))</f>
        <v/>
      </c>
      <c r="S1496" s="1" t="str">
        <f aca="false">IF($C1496="","",$C1496&amp;"|"&amp;$E1496&amp;"|"&amp;$F1496&amp;"|"&amp;$L1496&amp;"|"&amp;$P1496&amp;"|"&amp;TEXT($H1496,"yyyy-mm-dd"))</f>
        <v/>
      </c>
      <c r="T1496" s="1" t="str">
        <f aca="false">IF($S1496="","",IF(COUNTIF($S$2:$S$2991,$S1496)&gt;1,"DUPLICATE","OK"))</f>
        <v/>
      </c>
      <c r="U1496" s="0" t="str">
        <f aca="false">IF($L1496="","",IFERROR(VLOOKUP(--$L1496,MM_Income!$Z$5:$AC$204,3,FALSE()),"UNMAPPED"))</f>
        <v/>
      </c>
    </row>
    <row r="1497" customFormat="false" ht="13.5" hidden="false" customHeight="false" outlineLevel="0" collapsed="false">
      <c r="A1497" s="1" t="str">
        <f aca="false">IF($C1497="","",Controls!$B$7)</f>
        <v/>
      </c>
      <c r="B1497" s="1" t="str">
        <f aca="false">IF($H1497="","",YEAR($H1497)&amp;"-Q"&amp;ROUNDUP(MONTH($H1497)/3,0))</f>
        <v/>
      </c>
      <c r="S1497" s="1" t="str">
        <f aca="false">IF($C1497="","",$C1497&amp;"|"&amp;$E1497&amp;"|"&amp;$F1497&amp;"|"&amp;$L1497&amp;"|"&amp;$P1497&amp;"|"&amp;TEXT($H1497,"yyyy-mm-dd"))</f>
        <v/>
      </c>
      <c r="T1497" s="1" t="str">
        <f aca="false">IF($S1497="","",IF(COUNTIF($S$2:$S$2991,$S1497)&gt;1,"DUPLICATE","OK"))</f>
        <v/>
      </c>
      <c r="U1497" s="0" t="str">
        <f aca="false">IF($L1497="","",IFERROR(VLOOKUP(--$L1497,MM_Income!$Z$5:$AC$204,3,FALSE()),"UNMAPPED"))</f>
        <v/>
      </c>
    </row>
    <row r="1498" customFormat="false" ht="13.5" hidden="false" customHeight="false" outlineLevel="0" collapsed="false">
      <c r="A1498" s="1" t="str">
        <f aca="false">IF($C1498="","",Controls!$B$7)</f>
        <v/>
      </c>
      <c r="B1498" s="1" t="str">
        <f aca="false">IF($H1498="","",YEAR($H1498)&amp;"-Q"&amp;ROUNDUP(MONTH($H1498)/3,0))</f>
        <v/>
      </c>
      <c r="S1498" s="1" t="str">
        <f aca="false">IF($C1498="","",$C1498&amp;"|"&amp;$E1498&amp;"|"&amp;$F1498&amp;"|"&amp;$L1498&amp;"|"&amp;$P1498&amp;"|"&amp;TEXT($H1498,"yyyy-mm-dd"))</f>
        <v/>
      </c>
      <c r="T1498" s="1" t="str">
        <f aca="false">IF($S1498="","",IF(COUNTIF($S$2:$S$2991,$S1498)&gt;1,"DUPLICATE","OK"))</f>
        <v/>
      </c>
      <c r="U1498" s="0" t="str">
        <f aca="false">IF($L1498="","",IFERROR(VLOOKUP(--$L1498,MM_Income!$Z$5:$AC$204,3,FALSE()),"UNMAPPED"))</f>
        <v/>
      </c>
    </row>
    <row r="1499" customFormat="false" ht="13.5" hidden="false" customHeight="false" outlineLevel="0" collapsed="false">
      <c r="A1499" s="1" t="str">
        <f aca="false">IF($C1499="","",Controls!$B$7)</f>
        <v/>
      </c>
      <c r="B1499" s="1" t="str">
        <f aca="false">IF($H1499="","",YEAR($H1499)&amp;"-Q"&amp;ROUNDUP(MONTH($H1499)/3,0))</f>
        <v/>
      </c>
      <c r="S1499" s="1" t="str">
        <f aca="false">IF($C1499="","",$C1499&amp;"|"&amp;$E1499&amp;"|"&amp;$F1499&amp;"|"&amp;$L1499&amp;"|"&amp;$P1499&amp;"|"&amp;TEXT($H1499,"yyyy-mm-dd"))</f>
        <v/>
      </c>
      <c r="T1499" s="1" t="str">
        <f aca="false">IF($S1499="","",IF(COUNTIF($S$2:$S$2991,$S1499)&gt;1,"DUPLICATE","OK"))</f>
        <v/>
      </c>
      <c r="U1499" s="0" t="str">
        <f aca="false">IF($L1499="","",IFERROR(VLOOKUP(--$L1499,MM_Income!$Z$5:$AC$204,3,FALSE()),"UNMAPPED"))</f>
        <v/>
      </c>
    </row>
    <row r="1500" customFormat="false" ht="13.5" hidden="false" customHeight="false" outlineLevel="0" collapsed="false">
      <c r="A1500" s="1" t="str">
        <f aca="false">IF($C1500="","",Controls!$B$7)</f>
        <v/>
      </c>
      <c r="B1500" s="1" t="str">
        <f aca="false">IF($H1500="","",YEAR($H1500)&amp;"-Q"&amp;ROUNDUP(MONTH($H1500)/3,0))</f>
        <v/>
      </c>
      <c r="S1500" s="1" t="str">
        <f aca="false">IF($C1500="","",$C1500&amp;"|"&amp;$E1500&amp;"|"&amp;$F1500&amp;"|"&amp;$L1500&amp;"|"&amp;$P1500&amp;"|"&amp;TEXT($H1500,"yyyy-mm-dd"))</f>
        <v/>
      </c>
      <c r="T1500" s="1" t="str">
        <f aca="false">IF($S1500="","",IF(COUNTIF($S$2:$S$2991,$S1500)&gt;1,"DUPLICATE","OK"))</f>
        <v/>
      </c>
      <c r="U1500" s="0" t="str">
        <f aca="false">IF($L1500="","",IFERROR(VLOOKUP(--$L1500,MM_Income!$Z$5:$AC$204,3,FALSE()),"UNMAPPED"))</f>
        <v/>
      </c>
    </row>
    <row r="1501" customFormat="false" ht="13.5" hidden="false" customHeight="false" outlineLevel="0" collapsed="false">
      <c r="A1501" s="1" t="str">
        <f aca="false">IF($C1501="","",Controls!$B$7)</f>
        <v/>
      </c>
      <c r="B1501" s="1" t="str">
        <f aca="false">IF($H1501="","",YEAR($H1501)&amp;"-Q"&amp;ROUNDUP(MONTH($H1501)/3,0))</f>
        <v/>
      </c>
      <c r="S1501" s="1" t="str">
        <f aca="false">IF($C1501="","",$C1501&amp;"|"&amp;$E1501&amp;"|"&amp;$F1501&amp;"|"&amp;$L1501&amp;"|"&amp;$P1501&amp;"|"&amp;TEXT($H1501,"yyyy-mm-dd"))</f>
        <v/>
      </c>
      <c r="T1501" s="1" t="str">
        <f aca="false">IF($S1501="","",IF(COUNTIF($S$2:$S$2991,$S1501)&gt;1,"DUPLICATE","OK"))</f>
        <v/>
      </c>
      <c r="U1501" s="0" t="str">
        <f aca="false">IF($L1501="","",IFERROR(VLOOKUP(--$L1501,MM_Income!$Z$5:$AC$204,3,FALSE()),"UNMAPPED"))</f>
        <v/>
      </c>
    </row>
    <row r="1502" customFormat="false" ht="13.5" hidden="false" customHeight="false" outlineLevel="0" collapsed="false">
      <c r="A1502" s="1" t="str">
        <f aca="false">IF($C1502="","",Controls!$B$7)</f>
        <v/>
      </c>
      <c r="B1502" s="1" t="str">
        <f aca="false">IF($H1502="","",YEAR($H1502)&amp;"-Q"&amp;ROUNDUP(MONTH($H1502)/3,0))</f>
        <v/>
      </c>
      <c r="S1502" s="1" t="str">
        <f aca="false">IF($C1502="","",$C1502&amp;"|"&amp;$E1502&amp;"|"&amp;$F1502&amp;"|"&amp;$L1502&amp;"|"&amp;$P1502&amp;"|"&amp;TEXT($H1502,"yyyy-mm-dd"))</f>
        <v/>
      </c>
      <c r="T1502" s="1" t="str">
        <f aca="false">IF($S1502="","",IF(COUNTIF($S$2:$S$2991,$S1502)&gt;1,"DUPLICATE","OK"))</f>
        <v/>
      </c>
      <c r="U1502" s="0" t="str">
        <f aca="false">IF($L1502="","",IFERROR(VLOOKUP(--$L1502,MM_Income!$Z$5:$AC$204,3,FALSE()),"UNMAPPED"))</f>
        <v/>
      </c>
    </row>
    <row r="1503" customFormat="false" ht="13.5" hidden="false" customHeight="false" outlineLevel="0" collapsed="false">
      <c r="A1503" s="1" t="str">
        <f aca="false">IF($C1503="","",Controls!$B$7)</f>
        <v/>
      </c>
      <c r="B1503" s="1" t="str">
        <f aca="false">IF($H1503="","",YEAR($H1503)&amp;"-Q"&amp;ROUNDUP(MONTH($H1503)/3,0))</f>
        <v/>
      </c>
      <c r="S1503" s="1" t="str">
        <f aca="false">IF($C1503="","",$C1503&amp;"|"&amp;$E1503&amp;"|"&amp;$F1503&amp;"|"&amp;$L1503&amp;"|"&amp;$P1503&amp;"|"&amp;TEXT($H1503,"yyyy-mm-dd"))</f>
        <v/>
      </c>
      <c r="T1503" s="1" t="str">
        <f aca="false">IF($S1503="","",IF(COUNTIF($S$2:$S$2991,$S1503)&gt;1,"DUPLICATE","OK"))</f>
        <v/>
      </c>
      <c r="U1503" s="0" t="str">
        <f aca="false">IF($L1503="","",IFERROR(VLOOKUP(--$L1503,MM_Income!$Z$5:$AC$204,3,FALSE()),"UNMAPPED"))</f>
        <v/>
      </c>
    </row>
    <row r="1504" customFormat="false" ht="13.5" hidden="false" customHeight="false" outlineLevel="0" collapsed="false">
      <c r="A1504" s="1" t="str">
        <f aca="false">IF($C1504="","",Controls!$B$7)</f>
        <v/>
      </c>
      <c r="B1504" s="1" t="str">
        <f aca="false">IF($H1504="","",YEAR($H1504)&amp;"-Q"&amp;ROUNDUP(MONTH($H1504)/3,0))</f>
        <v/>
      </c>
      <c r="S1504" s="1" t="str">
        <f aca="false">IF($C1504="","",$C1504&amp;"|"&amp;$E1504&amp;"|"&amp;$F1504&amp;"|"&amp;$L1504&amp;"|"&amp;$P1504&amp;"|"&amp;TEXT($H1504,"yyyy-mm-dd"))</f>
        <v/>
      </c>
      <c r="T1504" s="1" t="str">
        <f aca="false">IF($S1504="","",IF(COUNTIF($S$2:$S$2991,$S1504)&gt;1,"DUPLICATE","OK"))</f>
        <v/>
      </c>
      <c r="U1504" s="0" t="str">
        <f aca="false">IF($L1504="","",IFERROR(VLOOKUP(--$L1504,MM_Income!$Z$5:$AC$204,3,FALSE()),"UNMAPPED"))</f>
        <v/>
      </c>
    </row>
    <row r="1505" customFormat="false" ht="13.5" hidden="false" customHeight="false" outlineLevel="0" collapsed="false">
      <c r="A1505" s="1" t="str">
        <f aca="false">IF($C1505="","",Controls!$B$7)</f>
        <v/>
      </c>
      <c r="B1505" s="1" t="str">
        <f aca="false">IF($H1505="","",YEAR($H1505)&amp;"-Q"&amp;ROUNDUP(MONTH($H1505)/3,0))</f>
        <v/>
      </c>
      <c r="S1505" s="1" t="str">
        <f aca="false">IF($C1505="","",$C1505&amp;"|"&amp;$E1505&amp;"|"&amp;$F1505&amp;"|"&amp;$L1505&amp;"|"&amp;$P1505&amp;"|"&amp;TEXT($H1505,"yyyy-mm-dd"))</f>
        <v/>
      </c>
      <c r="T1505" s="1" t="str">
        <f aca="false">IF($S1505="","",IF(COUNTIF($S$2:$S$2991,$S1505)&gt;1,"DUPLICATE","OK"))</f>
        <v/>
      </c>
      <c r="U1505" s="0" t="str">
        <f aca="false">IF($L1505="","",IFERROR(VLOOKUP(--$L1505,MM_Income!$Z$5:$AC$204,3,FALSE()),"UNMAPPED"))</f>
        <v/>
      </c>
    </row>
    <row r="1506" customFormat="false" ht="13.5" hidden="false" customHeight="false" outlineLevel="0" collapsed="false">
      <c r="A1506" s="1" t="str">
        <f aca="false">IF($C1506="","",Controls!$B$7)</f>
        <v/>
      </c>
      <c r="B1506" s="1" t="str">
        <f aca="false">IF($H1506="","",YEAR($H1506)&amp;"-Q"&amp;ROUNDUP(MONTH($H1506)/3,0))</f>
        <v/>
      </c>
      <c r="S1506" s="1" t="str">
        <f aca="false">IF($C1506="","",$C1506&amp;"|"&amp;$E1506&amp;"|"&amp;$F1506&amp;"|"&amp;$L1506&amp;"|"&amp;$P1506&amp;"|"&amp;TEXT($H1506,"yyyy-mm-dd"))</f>
        <v/>
      </c>
      <c r="T1506" s="1" t="str">
        <f aca="false">IF($S1506="","",IF(COUNTIF($S$2:$S$2991,$S1506)&gt;1,"DUPLICATE","OK"))</f>
        <v/>
      </c>
      <c r="U1506" s="0" t="str">
        <f aca="false">IF($L1506="","",IFERROR(VLOOKUP(--$L1506,MM_Income!$Z$5:$AC$204,3,FALSE()),"UNMAPPED"))</f>
        <v/>
      </c>
    </row>
    <row r="1507" customFormat="false" ht="13.5" hidden="false" customHeight="false" outlineLevel="0" collapsed="false">
      <c r="A1507" s="1" t="str">
        <f aca="false">IF($C1507="","",Controls!$B$7)</f>
        <v/>
      </c>
      <c r="B1507" s="1" t="str">
        <f aca="false">IF($H1507="","",YEAR($H1507)&amp;"-Q"&amp;ROUNDUP(MONTH($H1507)/3,0))</f>
        <v/>
      </c>
      <c r="S1507" s="1" t="str">
        <f aca="false">IF($C1507="","",$C1507&amp;"|"&amp;$E1507&amp;"|"&amp;$F1507&amp;"|"&amp;$L1507&amp;"|"&amp;$P1507&amp;"|"&amp;TEXT($H1507,"yyyy-mm-dd"))</f>
        <v/>
      </c>
      <c r="T1507" s="1" t="str">
        <f aca="false">IF($S1507="","",IF(COUNTIF($S$2:$S$2991,$S1507)&gt;1,"DUPLICATE","OK"))</f>
        <v/>
      </c>
      <c r="U1507" s="0" t="str">
        <f aca="false">IF($L1507="","",IFERROR(VLOOKUP(--$L1507,MM_Income!$Z$5:$AC$204,3,FALSE()),"UNMAPPED"))</f>
        <v/>
      </c>
    </row>
    <row r="1508" customFormat="false" ht="13.5" hidden="false" customHeight="false" outlineLevel="0" collapsed="false">
      <c r="A1508" s="1" t="str">
        <f aca="false">IF($C1508="","",Controls!$B$7)</f>
        <v/>
      </c>
      <c r="B1508" s="1" t="str">
        <f aca="false">IF($H1508="","",YEAR($H1508)&amp;"-Q"&amp;ROUNDUP(MONTH($H1508)/3,0))</f>
        <v/>
      </c>
      <c r="S1508" s="1" t="str">
        <f aca="false">IF($C1508="","",$C1508&amp;"|"&amp;$E1508&amp;"|"&amp;$F1508&amp;"|"&amp;$L1508&amp;"|"&amp;$P1508&amp;"|"&amp;TEXT($H1508,"yyyy-mm-dd"))</f>
        <v/>
      </c>
      <c r="T1508" s="1" t="str">
        <f aca="false">IF($S1508="","",IF(COUNTIF($S$2:$S$2991,$S1508)&gt;1,"DUPLICATE","OK"))</f>
        <v/>
      </c>
      <c r="U1508" s="0" t="str">
        <f aca="false">IF($L1508="","",IFERROR(VLOOKUP(--$L1508,MM_Income!$Z$5:$AC$204,3,FALSE()),"UNMAPPED"))</f>
        <v/>
      </c>
    </row>
    <row r="1509" customFormat="false" ht="13.5" hidden="false" customHeight="false" outlineLevel="0" collapsed="false">
      <c r="A1509" s="1" t="str">
        <f aca="false">IF($C1509="","",Controls!$B$7)</f>
        <v/>
      </c>
      <c r="B1509" s="1" t="str">
        <f aca="false">IF($H1509="","",YEAR($H1509)&amp;"-Q"&amp;ROUNDUP(MONTH($H1509)/3,0))</f>
        <v/>
      </c>
      <c r="S1509" s="1" t="str">
        <f aca="false">IF($C1509="","",$C1509&amp;"|"&amp;$E1509&amp;"|"&amp;$F1509&amp;"|"&amp;$L1509&amp;"|"&amp;$P1509&amp;"|"&amp;TEXT($H1509,"yyyy-mm-dd"))</f>
        <v/>
      </c>
      <c r="T1509" s="1" t="str">
        <f aca="false">IF($S1509="","",IF(COUNTIF($S$2:$S$2991,$S1509)&gt;1,"DUPLICATE","OK"))</f>
        <v/>
      </c>
      <c r="U1509" s="0" t="str">
        <f aca="false">IF($L1509="","",IFERROR(VLOOKUP(--$L1509,MM_Income!$Z$5:$AC$204,3,FALSE()),"UNMAPPED"))</f>
        <v/>
      </c>
    </row>
    <row r="1510" customFormat="false" ht="13.5" hidden="false" customHeight="false" outlineLevel="0" collapsed="false">
      <c r="A1510" s="1" t="str">
        <f aca="false">IF($C1510="","",Controls!$B$7)</f>
        <v/>
      </c>
      <c r="B1510" s="1" t="str">
        <f aca="false">IF($H1510="","",YEAR($H1510)&amp;"-Q"&amp;ROUNDUP(MONTH($H1510)/3,0))</f>
        <v/>
      </c>
      <c r="S1510" s="1" t="str">
        <f aca="false">IF($C1510="","",$C1510&amp;"|"&amp;$E1510&amp;"|"&amp;$F1510&amp;"|"&amp;$L1510&amp;"|"&amp;$P1510&amp;"|"&amp;TEXT($H1510,"yyyy-mm-dd"))</f>
        <v/>
      </c>
      <c r="T1510" s="1" t="str">
        <f aca="false">IF($S1510="","",IF(COUNTIF($S$2:$S$2991,$S1510)&gt;1,"DUPLICATE","OK"))</f>
        <v/>
      </c>
      <c r="U1510" s="0" t="str">
        <f aca="false">IF($L1510="","",IFERROR(VLOOKUP(--$L1510,MM_Income!$Z$5:$AC$204,3,FALSE()),"UNMAPPED"))</f>
        <v/>
      </c>
    </row>
    <row r="1511" customFormat="false" ht="13.5" hidden="false" customHeight="false" outlineLevel="0" collapsed="false">
      <c r="A1511" s="1" t="str">
        <f aca="false">IF($C1511="","",Controls!$B$7)</f>
        <v/>
      </c>
      <c r="B1511" s="1" t="str">
        <f aca="false">IF($H1511="","",YEAR($H1511)&amp;"-Q"&amp;ROUNDUP(MONTH($H1511)/3,0))</f>
        <v/>
      </c>
      <c r="S1511" s="1" t="str">
        <f aca="false">IF($C1511="","",$C1511&amp;"|"&amp;$E1511&amp;"|"&amp;$F1511&amp;"|"&amp;$L1511&amp;"|"&amp;$P1511&amp;"|"&amp;TEXT($H1511,"yyyy-mm-dd"))</f>
        <v/>
      </c>
      <c r="T1511" s="1" t="str">
        <f aca="false">IF($S1511="","",IF(COUNTIF($S$2:$S$2991,$S1511)&gt;1,"DUPLICATE","OK"))</f>
        <v/>
      </c>
      <c r="U1511" s="0" t="str">
        <f aca="false">IF($L1511="","",IFERROR(VLOOKUP(--$L1511,MM_Income!$Z$5:$AC$204,3,FALSE()),"UNMAPPED"))</f>
        <v/>
      </c>
    </row>
    <row r="1512" customFormat="false" ht="13.5" hidden="false" customHeight="false" outlineLevel="0" collapsed="false">
      <c r="A1512" s="1" t="str">
        <f aca="false">IF($C1512="","",Controls!$B$7)</f>
        <v/>
      </c>
      <c r="B1512" s="1" t="str">
        <f aca="false">IF($H1512="","",YEAR($H1512)&amp;"-Q"&amp;ROUNDUP(MONTH($H1512)/3,0))</f>
        <v/>
      </c>
      <c r="S1512" s="1" t="str">
        <f aca="false">IF($C1512="","",$C1512&amp;"|"&amp;$E1512&amp;"|"&amp;$F1512&amp;"|"&amp;$L1512&amp;"|"&amp;$P1512&amp;"|"&amp;TEXT($H1512,"yyyy-mm-dd"))</f>
        <v/>
      </c>
      <c r="T1512" s="1" t="str">
        <f aca="false">IF($S1512="","",IF(COUNTIF($S$2:$S$2991,$S1512)&gt;1,"DUPLICATE","OK"))</f>
        <v/>
      </c>
      <c r="U1512" s="0" t="str">
        <f aca="false">IF($L1512="","",IFERROR(VLOOKUP(--$L1512,MM_Income!$Z$5:$AC$204,3,FALSE()),"UNMAPPED"))</f>
        <v/>
      </c>
    </row>
    <row r="1513" customFormat="false" ht="13.5" hidden="false" customHeight="false" outlineLevel="0" collapsed="false">
      <c r="A1513" s="1" t="str">
        <f aca="false">IF($C1513="","",Controls!$B$7)</f>
        <v/>
      </c>
      <c r="B1513" s="1" t="str">
        <f aca="false">IF($H1513="","",YEAR($H1513)&amp;"-Q"&amp;ROUNDUP(MONTH($H1513)/3,0))</f>
        <v/>
      </c>
      <c r="S1513" s="1" t="str">
        <f aca="false">IF($C1513="","",$C1513&amp;"|"&amp;$E1513&amp;"|"&amp;$F1513&amp;"|"&amp;$L1513&amp;"|"&amp;$P1513&amp;"|"&amp;TEXT($H1513,"yyyy-mm-dd"))</f>
        <v/>
      </c>
      <c r="T1513" s="1" t="str">
        <f aca="false">IF($S1513="","",IF(COUNTIF($S$2:$S$2991,$S1513)&gt;1,"DUPLICATE","OK"))</f>
        <v/>
      </c>
      <c r="U1513" s="0" t="str">
        <f aca="false">IF($L1513="","",IFERROR(VLOOKUP(--$L1513,MM_Income!$Z$5:$AC$204,3,FALSE()),"UNMAPPED"))</f>
        <v/>
      </c>
    </row>
    <row r="1514" customFormat="false" ht="13.5" hidden="false" customHeight="false" outlineLevel="0" collapsed="false">
      <c r="A1514" s="1" t="str">
        <f aca="false">IF($C1514="","",Controls!$B$7)</f>
        <v/>
      </c>
      <c r="B1514" s="1" t="str">
        <f aca="false">IF($H1514="","",YEAR($H1514)&amp;"-Q"&amp;ROUNDUP(MONTH($H1514)/3,0))</f>
        <v/>
      </c>
      <c r="S1514" s="1" t="str">
        <f aca="false">IF($C1514="","",$C1514&amp;"|"&amp;$E1514&amp;"|"&amp;$F1514&amp;"|"&amp;$L1514&amp;"|"&amp;$P1514&amp;"|"&amp;TEXT($H1514,"yyyy-mm-dd"))</f>
        <v/>
      </c>
      <c r="T1514" s="1" t="str">
        <f aca="false">IF($S1514="","",IF(COUNTIF($S$2:$S$2991,$S1514)&gt;1,"DUPLICATE","OK"))</f>
        <v/>
      </c>
      <c r="U1514" s="0" t="str">
        <f aca="false">IF($L1514="","",IFERROR(VLOOKUP(--$L1514,MM_Income!$Z$5:$AC$204,3,FALSE()),"UNMAPPED"))</f>
        <v/>
      </c>
    </row>
    <row r="1515" customFormat="false" ht="13.5" hidden="false" customHeight="false" outlineLevel="0" collapsed="false">
      <c r="A1515" s="1" t="str">
        <f aca="false">IF($C1515="","",Controls!$B$7)</f>
        <v/>
      </c>
      <c r="B1515" s="1" t="str">
        <f aca="false">IF($H1515="","",YEAR($H1515)&amp;"-Q"&amp;ROUNDUP(MONTH($H1515)/3,0))</f>
        <v/>
      </c>
      <c r="S1515" s="1" t="str">
        <f aca="false">IF($C1515="","",$C1515&amp;"|"&amp;$E1515&amp;"|"&amp;$F1515&amp;"|"&amp;$L1515&amp;"|"&amp;$P1515&amp;"|"&amp;TEXT($H1515,"yyyy-mm-dd"))</f>
        <v/>
      </c>
      <c r="T1515" s="1" t="str">
        <f aca="false">IF($S1515="","",IF(COUNTIF($S$2:$S$2991,$S1515)&gt;1,"DUPLICATE","OK"))</f>
        <v/>
      </c>
      <c r="U1515" s="0" t="str">
        <f aca="false">IF($L1515="","",IFERROR(VLOOKUP(--$L1515,MM_Income!$Z$5:$AC$204,3,FALSE()),"UNMAPPED"))</f>
        <v/>
      </c>
    </row>
    <row r="1516" customFormat="false" ht="13.5" hidden="false" customHeight="false" outlineLevel="0" collapsed="false">
      <c r="A1516" s="1" t="str">
        <f aca="false">IF($C1516="","",Controls!$B$7)</f>
        <v/>
      </c>
      <c r="B1516" s="1" t="str">
        <f aca="false">IF($H1516="","",YEAR($H1516)&amp;"-Q"&amp;ROUNDUP(MONTH($H1516)/3,0))</f>
        <v/>
      </c>
      <c r="S1516" s="1" t="str">
        <f aca="false">IF($C1516="","",$C1516&amp;"|"&amp;$E1516&amp;"|"&amp;$F1516&amp;"|"&amp;$L1516&amp;"|"&amp;$P1516&amp;"|"&amp;TEXT($H1516,"yyyy-mm-dd"))</f>
        <v/>
      </c>
      <c r="T1516" s="1" t="str">
        <f aca="false">IF($S1516="","",IF(COUNTIF($S$2:$S$2991,$S1516)&gt;1,"DUPLICATE","OK"))</f>
        <v/>
      </c>
      <c r="U1516" s="0" t="str">
        <f aca="false">IF($L1516="","",IFERROR(VLOOKUP(--$L1516,MM_Income!$Z$5:$AC$204,3,FALSE()),"UNMAPPED"))</f>
        <v/>
      </c>
    </row>
    <row r="1517" customFormat="false" ht="13.5" hidden="false" customHeight="false" outlineLevel="0" collapsed="false">
      <c r="A1517" s="1" t="str">
        <f aca="false">IF($C1517="","",Controls!$B$7)</f>
        <v/>
      </c>
      <c r="B1517" s="1" t="str">
        <f aca="false">IF($H1517="","",YEAR($H1517)&amp;"-Q"&amp;ROUNDUP(MONTH($H1517)/3,0))</f>
        <v/>
      </c>
      <c r="S1517" s="1" t="str">
        <f aca="false">IF($C1517="","",$C1517&amp;"|"&amp;$E1517&amp;"|"&amp;$F1517&amp;"|"&amp;$L1517&amp;"|"&amp;$P1517&amp;"|"&amp;TEXT($H1517,"yyyy-mm-dd"))</f>
        <v/>
      </c>
      <c r="T1517" s="1" t="str">
        <f aca="false">IF($S1517="","",IF(COUNTIF($S$2:$S$2991,$S1517)&gt;1,"DUPLICATE","OK"))</f>
        <v/>
      </c>
      <c r="U1517" s="0" t="str">
        <f aca="false">IF($L1517="","",IFERROR(VLOOKUP(--$L1517,MM_Income!$Z$5:$AC$204,3,FALSE()),"UNMAPPED"))</f>
        <v/>
      </c>
    </row>
    <row r="1518" customFormat="false" ht="13.5" hidden="false" customHeight="false" outlineLevel="0" collapsed="false">
      <c r="A1518" s="1" t="str">
        <f aca="false">IF($C1518="","",Controls!$B$7)</f>
        <v/>
      </c>
      <c r="B1518" s="1" t="str">
        <f aca="false">IF($H1518="","",YEAR($H1518)&amp;"-Q"&amp;ROUNDUP(MONTH($H1518)/3,0))</f>
        <v/>
      </c>
      <c r="S1518" s="1" t="str">
        <f aca="false">IF($C1518="","",$C1518&amp;"|"&amp;$E1518&amp;"|"&amp;$F1518&amp;"|"&amp;$L1518&amp;"|"&amp;$P1518&amp;"|"&amp;TEXT($H1518,"yyyy-mm-dd"))</f>
        <v/>
      </c>
      <c r="T1518" s="1" t="str">
        <f aca="false">IF($S1518="","",IF(COUNTIF($S$2:$S$2991,$S1518)&gt;1,"DUPLICATE","OK"))</f>
        <v/>
      </c>
      <c r="U1518" s="0" t="str">
        <f aca="false">IF($L1518="","",IFERROR(VLOOKUP(--$L1518,MM_Income!$Z$5:$AC$204,3,FALSE()),"UNMAPPED"))</f>
        <v/>
      </c>
    </row>
    <row r="1519" customFormat="false" ht="13.5" hidden="false" customHeight="false" outlineLevel="0" collapsed="false">
      <c r="A1519" s="1" t="str">
        <f aca="false">IF($C1519="","",Controls!$B$7)</f>
        <v/>
      </c>
      <c r="B1519" s="1" t="str">
        <f aca="false">IF($H1519="","",YEAR($H1519)&amp;"-Q"&amp;ROUNDUP(MONTH($H1519)/3,0))</f>
        <v/>
      </c>
      <c r="S1519" s="1" t="str">
        <f aca="false">IF($C1519="","",$C1519&amp;"|"&amp;$E1519&amp;"|"&amp;$F1519&amp;"|"&amp;$L1519&amp;"|"&amp;$P1519&amp;"|"&amp;TEXT($H1519,"yyyy-mm-dd"))</f>
        <v/>
      </c>
      <c r="T1519" s="1" t="str">
        <f aca="false">IF($S1519="","",IF(COUNTIF($S$2:$S$2991,$S1519)&gt;1,"DUPLICATE","OK"))</f>
        <v/>
      </c>
      <c r="U1519" s="0" t="str">
        <f aca="false">IF($L1519="","",IFERROR(VLOOKUP(--$L1519,MM_Income!$Z$5:$AC$204,3,FALSE()),"UNMAPPED"))</f>
        <v/>
      </c>
    </row>
    <row r="1520" customFormat="false" ht="13.5" hidden="false" customHeight="false" outlineLevel="0" collapsed="false">
      <c r="A1520" s="1" t="str">
        <f aca="false">IF($C1520="","",Controls!$B$7)</f>
        <v/>
      </c>
      <c r="B1520" s="1" t="str">
        <f aca="false">IF($H1520="","",YEAR($H1520)&amp;"-Q"&amp;ROUNDUP(MONTH($H1520)/3,0))</f>
        <v/>
      </c>
      <c r="S1520" s="1" t="str">
        <f aca="false">IF($C1520="","",$C1520&amp;"|"&amp;$E1520&amp;"|"&amp;$F1520&amp;"|"&amp;$L1520&amp;"|"&amp;$P1520&amp;"|"&amp;TEXT($H1520,"yyyy-mm-dd"))</f>
        <v/>
      </c>
      <c r="T1520" s="1" t="str">
        <f aca="false">IF($S1520="","",IF(COUNTIF($S$2:$S$2991,$S1520)&gt;1,"DUPLICATE","OK"))</f>
        <v/>
      </c>
      <c r="U1520" s="0" t="str">
        <f aca="false">IF($L1520="","",IFERROR(VLOOKUP(--$L1520,MM_Income!$Z$5:$AC$204,3,FALSE()),"UNMAPPED"))</f>
        <v/>
      </c>
    </row>
    <row r="1521" customFormat="false" ht="13.5" hidden="false" customHeight="false" outlineLevel="0" collapsed="false">
      <c r="A1521" s="1" t="str">
        <f aca="false">IF($C1521="","",Controls!$B$7)</f>
        <v/>
      </c>
      <c r="B1521" s="1" t="str">
        <f aca="false">IF($H1521="","",YEAR($H1521)&amp;"-Q"&amp;ROUNDUP(MONTH($H1521)/3,0))</f>
        <v/>
      </c>
      <c r="S1521" s="1" t="str">
        <f aca="false">IF($C1521="","",$C1521&amp;"|"&amp;$E1521&amp;"|"&amp;$F1521&amp;"|"&amp;$L1521&amp;"|"&amp;$P1521&amp;"|"&amp;TEXT($H1521,"yyyy-mm-dd"))</f>
        <v/>
      </c>
      <c r="T1521" s="1" t="str">
        <f aca="false">IF($S1521="","",IF(COUNTIF($S$2:$S$2991,$S1521)&gt;1,"DUPLICATE","OK"))</f>
        <v/>
      </c>
      <c r="U1521" s="0" t="str">
        <f aca="false">IF($L1521="","",IFERROR(VLOOKUP(--$L1521,MM_Income!$Z$5:$AC$204,3,FALSE()),"UNMAPPED"))</f>
        <v/>
      </c>
    </row>
    <row r="1522" customFormat="false" ht="13.5" hidden="false" customHeight="false" outlineLevel="0" collapsed="false">
      <c r="A1522" s="1" t="str">
        <f aca="false">IF($C1522="","",Controls!$B$7)</f>
        <v/>
      </c>
      <c r="B1522" s="1" t="str">
        <f aca="false">IF($H1522="","",YEAR($H1522)&amp;"-Q"&amp;ROUNDUP(MONTH($H1522)/3,0))</f>
        <v/>
      </c>
      <c r="S1522" s="1" t="str">
        <f aca="false">IF($C1522="","",$C1522&amp;"|"&amp;$E1522&amp;"|"&amp;$F1522&amp;"|"&amp;$L1522&amp;"|"&amp;$P1522&amp;"|"&amp;TEXT($H1522,"yyyy-mm-dd"))</f>
        <v/>
      </c>
      <c r="T1522" s="1" t="str">
        <f aca="false">IF($S1522="","",IF(COUNTIF($S$2:$S$2991,$S1522)&gt;1,"DUPLICATE","OK"))</f>
        <v/>
      </c>
      <c r="U1522" s="0" t="str">
        <f aca="false">IF($L1522="","",IFERROR(VLOOKUP(--$L1522,MM_Income!$Z$5:$AC$204,3,FALSE()),"UNMAPPED"))</f>
        <v/>
      </c>
    </row>
    <row r="1523" customFormat="false" ht="13.5" hidden="false" customHeight="false" outlineLevel="0" collapsed="false">
      <c r="A1523" s="1" t="str">
        <f aca="false">IF($C1523="","",Controls!$B$7)</f>
        <v/>
      </c>
      <c r="B1523" s="1" t="str">
        <f aca="false">IF($H1523="","",YEAR($H1523)&amp;"-Q"&amp;ROUNDUP(MONTH($H1523)/3,0))</f>
        <v/>
      </c>
      <c r="S1523" s="1" t="str">
        <f aca="false">IF($C1523="","",$C1523&amp;"|"&amp;$E1523&amp;"|"&amp;$F1523&amp;"|"&amp;$L1523&amp;"|"&amp;$P1523&amp;"|"&amp;TEXT($H1523,"yyyy-mm-dd"))</f>
        <v/>
      </c>
      <c r="T1523" s="1" t="str">
        <f aca="false">IF($S1523="","",IF(COUNTIF($S$2:$S$2991,$S1523)&gt;1,"DUPLICATE","OK"))</f>
        <v/>
      </c>
      <c r="U1523" s="0" t="str">
        <f aca="false">IF($L1523="","",IFERROR(VLOOKUP(--$L1523,MM_Income!$Z$5:$AC$204,3,FALSE()),"UNMAPPED"))</f>
        <v/>
      </c>
    </row>
    <row r="1524" customFormat="false" ht="13.5" hidden="false" customHeight="false" outlineLevel="0" collapsed="false">
      <c r="A1524" s="1" t="str">
        <f aca="false">IF($C1524="","",Controls!$B$7)</f>
        <v/>
      </c>
      <c r="B1524" s="1" t="str">
        <f aca="false">IF($H1524="","",YEAR($H1524)&amp;"-Q"&amp;ROUNDUP(MONTH($H1524)/3,0))</f>
        <v/>
      </c>
      <c r="S1524" s="1" t="str">
        <f aca="false">IF($C1524="","",$C1524&amp;"|"&amp;$E1524&amp;"|"&amp;$F1524&amp;"|"&amp;$L1524&amp;"|"&amp;$P1524&amp;"|"&amp;TEXT($H1524,"yyyy-mm-dd"))</f>
        <v/>
      </c>
      <c r="T1524" s="1" t="str">
        <f aca="false">IF($S1524="","",IF(COUNTIF($S$2:$S$2991,$S1524)&gt;1,"DUPLICATE","OK"))</f>
        <v/>
      </c>
      <c r="U1524" s="0" t="str">
        <f aca="false">IF($L1524="","",IFERROR(VLOOKUP(--$L1524,MM_Income!$Z$5:$AC$204,3,FALSE()),"UNMAPPED"))</f>
        <v/>
      </c>
    </row>
    <row r="1525" customFormat="false" ht="13.5" hidden="false" customHeight="false" outlineLevel="0" collapsed="false">
      <c r="A1525" s="1" t="str">
        <f aca="false">IF($C1525="","",Controls!$B$7)</f>
        <v/>
      </c>
      <c r="B1525" s="1" t="str">
        <f aca="false">IF($H1525="","",YEAR($H1525)&amp;"-Q"&amp;ROUNDUP(MONTH($H1525)/3,0))</f>
        <v/>
      </c>
      <c r="S1525" s="1" t="str">
        <f aca="false">IF($C1525="","",$C1525&amp;"|"&amp;$E1525&amp;"|"&amp;$F1525&amp;"|"&amp;$L1525&amp;"|"&amp;$P1525&amp;"|"&amp;TEXT($H1525,"yyyy-mm-dd"))</f>
        <v/>
      </c>
      <c r="T1525" s="1" t="str">
        <f aca="false">IF($S1525="","",IF(COUNTIF($S$2:$S$2991,$S1525)&gt;1,"DUPLICATE","OK"))</f>
        <v/>
      </c>
      <c r="U1525" s="0" t="str">
        <f aca="false">IF($L1525="","",IFERROR(VLOOKUP(--$L1525,MM_Income!$Z$5:$AC$204,3,FALSE()),"UNMAPPED"))</f>
        <v/>
      </c>
    </row>
    <row r="1526" customFormat="false" ht="13.5" hidden="false" customHeight="false" outlineLevel="0" collapsed="false">
      <c r="A1526" s="1" t="str">
        <f aca="false">IF($C1526="","",Controls!$B$7)</f>
        <v/>
      </c>
      <c r="B1526" s="1" t="str">
        <f aca="false">IF($H1526="","",YEAR($H1526)&amp;"-Q"&amp;ROUNDUP(MONTH($H1526)/3,0))</f>
        <v/>
      </c>
      <c r="S1526" s="1" t="str">
        <f aca="false">IF($C1526="","",$C1526&amp;"|"&amp;$E1526&amp;"|"&amp;$F1526&amp;"|"&amp;$L1526&amp;"|"&amp;$P1526&amp;"|"&amp;TEXT($H1526,"yyyy-mm-dd"))</f>
        <v/>
      </c>
      <c r="T1526" s="1" t="str">
        <f aca="false">IF($S1526="","",IF(COUNTIF($S$2:$S$2991,$S1526)&gt;1,"DUPLICATE","OK"))</f>
        <v/>
      </c>
      <c r="U1526" s="0" t="str">
        <f aca="false">IF($L1526="","",IFERROR(VLOOKUP(--$L1526,MM_Income!$Z$5:$AC$204,3,FALSE()),"UNMAPPED"))</f>
        <v/>
      </c>
    </row>
    <row r="1527" customFormat="false" ht="13.5" hidden="false" customHeight="false" outlineLevel="0" collapsed="false">
      <c r="A1527" s="1" t="str">
        <f aca="false">IF($C1527="","",Controls!$B$7)</f>
        <v/>
      </c>
      <c r="B1527" s="1" t="str">
        <f aca="false">IF($H1527="","",YEAR($H1527)&amp;"-Q"&amp;ROUNDUP(MONTH($H1527)/3,0))</f>
        <v/>
      </c>
      <c r="S1527" s="1" t="str">
        <f aca="false">IF($C1527="","",$C1527&amp;"|"&amp;$E1527&amp;"|"&amp;$F1527&amp;"|"&amp;$L1527&amp;"|"&amp;$P1527&amp;"|"&amp;TEXT($H1527,"yyyy-mm-dd"))</f>
        <v/>
      </c>
      <c r="T1527" s="1" t="str">
        <f aca="false">IF($S1527="","",IF(COUNTIF($S$2:$S$2991,$S1527)&gt;1,"DUPLICATE","OK"))</f>
        <v/>
      </c>
      <c r="U1527" s="0" t="str">
        <f aca="false">IF($L1527="","",IFERROR(VLOOKUP(--$L1527,MM_Income!$Z$5:$AC$204,3,FALSE()),"UNMAPPED"))</f>
        <v/>
      </c>
    </row>
    <row r="1528" customFormat="false" ht="13.5" hidden="false" customHeight="false" outlineLevel="0" collapsed="false">
      <c r="A1528" s="1" t="str">
        <f aca="false">IF($C1528="","",Controls!$B$7)</f>
        <v/>
      </c>
      <c r="B1528" s="1" t="str">
        <f aca="false">IF($H1528="","",YEAR($H1528)&amp;"-Q"&amp;ROUNDUP(MONTH($H1528)/3,0))</f>
        <v/>
      </c>
      <c r="S1528" s="1" t="str">
        <f aca="false">IF($C1528="","",$C1528&amp;"|"&amp;$E1528&amp;"|"&amp;$F1528&amp;"|"&amp;$L1528&amp;"|"&amp;$P1528&amp;"|"&amp;TEXT($H1528,"yyyy-mm-dd"))</f>
        <v/>
      </c>
      <c r="T1528" s="1" t="str">
        <f aca="false">IF($S1528="","",IF(COUNTIF($S$2:$S$2991,$S1528)&gt;1,"DUPLICATE","OK"))</f>
        <v/>
      </c>
      <c r="U1528" s="0" t="str">
        <f aca="false">IF($L1528="","",IFERROR(VLOOKUP(--$L1528,MM_Income!$Z$5:$AC$204,3,FALSE()),"UNMAPPED"))</f>
        <v/>
      </c>
    </row>
    <row r="1529" customFormat="false" ht="13.5" hidden="false" customHeight="false" outlineLevel="0" collapsed="false">
      <c r="A1529" s="1" t="str">
        <f aca="false">IF($C1529="","",Controls!$B$7)</f>
        <v/>
      </c>
      <c r="B1529" s="1" t="str">
        <f aca="false">IF($H1529="","",YEAR($H1529)&amp;"-Q"&amp;ROUNDUP(MONTH($H1529)/3,0))</f>
        <v/>
      </c>
      <c r="S1529" s="1" t="str">
        <f aca="false">IF($C1529="","",$C1529&amp;"|"&amp;$E1529&amp;"|"&amp;$F1529&amp;"|"&amp;$L1529&amp;"|"&amp;$P1529&amp;"|"&amp;TEXT($H1529,"yyyy-mm-dd"))</f>
        <v/>
      </c>
      <c r="T1529" s="1" t="str">
        <f aca="false">IF($S1529="","",IF(COUNTIF($S$2:$S$2991,$S1529)&gt;1,"DUPLICATE","OK"))</f>
        <v/>
      </c>
      <c r="U1529" s="0" t="str">
        <f aca="false">IF($L1529="","",IFERROR(VLOOKUP(--$L1529,MM_Income!$Z$5:$AC$204,3,FALSE()),"UNMAPPED"))</f>
        <v/>
      </c>
    </row>
    <row r="1530" customFormat="false" ht="13.5" hidden="false" customHeight="false" outlineLevel="0" collapsed="false">
      <c r="A1530" s="1" t="str">
        <f aca="false">IF($C1530="","",Controls!$B$7)</f>
        <v/>
      </c>
      <c r="B1530" s="1" t="str">
        <f aca="false">IF($H1530="","",YEAR($H1530)&amp;"-Q"&amp;ROUNDUP(MONTH($H1530)/3,0))</f>
        <v/>
      </c>
      <c r="S1530" s="1" t="str">
        <f aca="false">IF($C1530="","",$C1530&amp;"|"&amp;$E1530&amp;"|"&amp;$F1530&amp;"|"&amp;$L1530&amp;"|"&amp;$P1530&amp;"|"&amp;TEXT($H1530,"yyyy-mm-dd"))</f>
        <v/>
      </c>
      <c r="T1530" s="1" t="str">
        <f aca="false">IF($S1530="","",IF(COUNTIF($S$2:$S$2991,$S1530)&gt;1,"DUPLICATE","OK"))</f>
        <v/>
      </c>
      <c r="U1530" s="0" t="str">
        <f aca="false">IF($L1530="","",IFERROR(VLOOKUP(--$L1530,MM_Income!$Z$5:$AC$204,3,FALSE()),"UNMAPPED"))</f>
        <v/>
      </c>
    </row>
    <row r="1531" customFormat="false" ht="13.5" hidden="false" customHeight="false" outlineLevel="0" collapsed="false">
      <c r="A1531" s="1" t="str">
        <f aca="false">IF($C1531="","",Controls!$B$7)</f>
        <v/>
      </c>
      <c r="B1531" s="1" t="str">
        <f aca="false">IF($H1531="","",YEAR($H1531)&amp;"-Q"&amp;ROUNDUP(MONTH($H1531)/3,0))</f>
        <v/>
      </c>
      <c r="S1531" s="1" t="str">
        <f aca="false">IF($C1531="","",$C1531&amp;"|"&amp;$E1531&amp;"|"&amp;$F1531&amp;"|"&amp;$L1531&amp;"|"&amp;$P1531&amp;"|"&amp;TEXT($H1531,"yyyy-mm-dd"))</f>
        <v/>
      </c>
      <c r="T1531" s="1" t="str">
        <f aca="false">IF($S1531="","",IF(COUNTIF($S$2:$S$2991,$S1531)&gt;1,"DUPLICATE","OK"))</f>
        <v/>
      </c>
      <c r="U1531" s="0" t="str">
        <f aca="false">IF($L1531="","",IFERROR(VLOOKUP(--$L1531,MM_Income!$Z$5:$AC$204,3,FALSE()),"UNMAPPED"))</f>
        <v/>
      </c>
    </row>
    <row r="1532" customFormat="false" ht="13.5" hidden="false" customHeight="false" outlineLevel="0" collapsed="false">
      <c r="A1532" s="1" t="str">
        <f aca="false">IF($C1532="","",Controls!$B$7)</f>
        <v/>
      </c>
      <c r="B1532" s="1" t="str">
        <f aca="false">IF($H1532="","",YEAR($H1532)&amp;"-Q"&amp;ROUNDUP(MONTH($H1532)/3,0))</f>
        <v/>
      </c>
      <c r="S1532" s="1" t="str">
        <f aca="false">IF($C1532="","",$C1532&amp;"|"&amp;$E1532&amp;"|"&amp;$F1532&amp;"|"&amp;$L1532&amp;"|"&amp;$P1532&amp;"|"&amp;TEXT($H1532,"yyyy-mm-dd"))</f>
        <v/>
      </c>
      <c r="T1532" s="1" t="str">
        <f aca="false">IF($S1532="","",IF(COUNTIF($S$2:$S$2991,$S1532)&gt;1,"DUPLICATE","OK"))</f>
        <v/>
      </c>
      <c r="U1532" s="0" t="str">
        <f aca="false">IF($L1532="","",IFERROR(VLOOKUP(--$L1532,MM_Income!$Z$5:$AC$204,3,FALSE()),"UNMAPPED"))</f>
        <v/>
      </c>
    </row>
    <row r="1533" customFormat="false" ht="13.5" hidden="false" customHeight="false" outlineLevel="0" collapsed="false">
      <c r="A1533" s="1" t="str">
        <f aca="false">IF($C1533="","",Controls!$B$7)</f>
        <v/>
      </c>
      <c r="B1533" s="1" t="str">
        <f aca="false">IF($H1533="","",YEAR($H1533)&amp;"-Q"&amp;ROUNDUP(MONTH($H1533)/3,0))</f>
        <v/>
      </c>
      <c r="S1533" s="1" t="str">
        <f aca="false">IF($C1533="","",$C1533&amp;"|"&amp;$E1533&amp;"|"&amp;$F1533&amp;"|"&amp;$L1533&amp;"|"&amp;$P1533&amp;"|"&amp;TEXT($H1533,"yyyy-mm-dd"))</f>
        <v/>
      </c>
      <c r="T1533" s="1" t="str">
        <f aca="false">IF($S1533="","",IF(COUNTIF($S$2:$S$2991,$S1533)&gt;1,"DUPLICATE","OK"))</f>
        <v/>
      </c>
      <c r="U1533" s="0" t="str">
        <f aca="false">IF($L1533="","",IFERROR(VLOOKUP(--$L1533,MM_Income!$Z$5:$AC$204,3,FALSE()),"UNMAPPED"))</f>
        <v/>
      </c>
    </row>
    <row r="1534" customFormat="false" ht="13.5" hidden="false" customHeight="false" outlineLevel="0" collapsed="false">
      <c r="A1534" s="1" t="str">
        <f aca="false">IF($C1534="","",Controls!$B$7)</f>
        <v/>
      </c>
      <c r="B1534" s="1" t="str">
        <f aca="false">IF($H1534="","",YEAR($H1534)&amp;"-Q"&amp;ROUNDUP(MONTH($H1534)/3,0))</f>
        <v/>
      </c>
      <c r="S1534" s="1" t="str">
        <f aca="false">IF($C1534="","",$C1534&amp;"|"&amp;$E1534&amp;"|"&amp;$F1534&amp;"|"&amp;$L1534&amp;"|"&amp;$P1534&amp;"|"&amp;TEXT($H1534,"yyyy-mm-dd"))</f>
        <v/>
      </c>
      <c r="T1534" s="1" t="str">
        <f aca="false">IF($S1534="","",IF(COUNTIF($S$2:$S$2991,$S1534)&gt;1,"DUPLICATE","OK"))</f>
        <v/>
      </c>
      <c r="U1534" s="0" t="str">
        <f aca="false">IF($L1534="","",IFERROR(VLOOKUP(--$L1534,MM_Income!$Z$5:$AC$204,3,FALSE()),"UNMAPPED"))</f>
        <v/>
      </c>
    </row>
    <row r="1535" customFormat="false" ht="13.5" hidden="false" customHeight="false" outlineLevel="0" collapsed="false">
      <c r="A1535" s="1" t="str">
        <f aca="false">IF($C1535="","",Controls!$B$7)</f>
        <v/>
      </c>
      <c r="B1535" s="1" t="str">
        <f aca="false">IF($H1535="","",YEAR($H1535)&amp;"-Q"&amp;ROUNDUP(MONTH($H1535)/3,0))</f>
        <v/>
      </c>
      <c r="S1535" s="1" t="str">
        <f aca="false">IF($C1535="","",$C1535&amp;"|"&amp;$E1535&amp;"|"&amp;$F1535&amp;"|"&amp;$L1535&amp;"|"&amp;$P1535&amp;"|"&amp;TEXT($H1535,"yyyy-mm-dd"))</f>
        <v/>
      </c>
      <c r="T1535" s="1" t="str">
        <f aca="false">IF($S1535="","",IF(COUNTIF($S$2:$S$2991,$S1535)&gt;1,"DUPLICATE","OK"))</f>
        <v/>
      </c>
      <c r="U1535" s="0" t="str">
        <f aca="false">IF($L1535="","",IFERROR(VLOOKUP(--$L1535,MM_Income!$Z$5:$AC$204,3,FALSE()),"UNMAPPED"))</f>
        <v/>
      </c>
    </row>
    <row r="1536" customFormat="false" ht="13.5" hidden="false" customHeight="false" outlineLevel="0" collapsed="false">
      <c r="A1536" s="1" t="str">
        <f aca="false">IF($C1536="","",Controls!$B$7)</f>
        <v/>
      </c>
      <c r="B1536" s="1" t="str">
        <f aca="false">IF($H1536="","",YEAR($H1536)&amp;"-Q"&amp;ROUNDUP(MONTH($H1536)/3,0))</f>
        <v/>
      </c>
      <c r="S1536" s="1" t="str">
        <f aca="false">IF($C1536="","",$C1536&amp;"|"&amp;$E1536&amp;"|"&amp;$F1536&amp;"|"&amp;$L1536&amp;"|"&amp;$P1536&amp;"|"&amp;TEXT($H1536,"yyyy-mm-dd"))</f>
        <v/>
      </c>
      <c r="T1536" s="1" t="str">
        <f aca="false">IF($S1536="","",IF(COUNTIF($S$2:$S$2991,$S1536)&gt;1,"DUPLICATE","OK"))</f>
        <v/>
      </c>
      <c r="U1536" s="0" t="str">
        <f aca="false">IF($L1536="","",IFERROR(VLOOKUP(--$L1536,MM_Income!$Z$5:$AC$204,3,FALSE()),"UNMAPPED"))</f>
        <v/>
      </c>
    </row>
    <row r="1537" customFormat="false" ht="13.5" hidden="false" customHeight="false" outlineLevel="0" collapsed="false">
      <c r="A1537" s="1" t="str">
        <f aca="false">IF($C1537="","",Controls!$B$7)</f>
        <v/>
      </c>
      <c r="B1537" s="1" t="str">
        <f aca="false">IF($H1537="","",YEAR($H1537)&amp;"-Q"&amp;ROUNDUP(MONTH($H1537)/3,0))</f>
        <v/>
      </c>
      <c r="S1537" s="1" t="str">
        <f aca="false">IF($C1537="","",$C1537&amp;"|"&amp;$E1537&amp;"|"&amp;$F1537&amp;"|"&amp;$L1537&amp;"|"&amp;$P1537&amp;"|"&amp;TEXT($H1537,"yyyy-mm-dd"))</f>
        <v/>
      </c>
      <c r="T1537" s="1" t="str">
        <f aca="false">IF($S1537="","",IF(COUNTIF($S$2:$S$2991,$S1537)&gt;1,"DUPLICATE","OK"))</f>
        <v/>
      </c>
      <c r="U1537" s="0" t="str">
        <f aca="false">IF($L1537="","",IFERROR(VLOOKUP(--$L1537,MM_Income!$Z$5:$AC$204,3,FALSE()),"UNMAPPED"))</f>
        <v/>
      </c>
    </row>
    <row r="1538" customFormat="false" ht="13.5" hidden="false" customHeight="false" outlineLevel="0" collapsed="false">
      <c r="A1538" s="1" t="str">
        <f aca="false">IF($C1538="","",Controls!$B$7)</f>
        <v/>
      </c>
      <c r="B1538" s="1" t="str">
        <f aca="false">IF($H1538="","",YEAR($H1538)&amp;"-Q"&amp;ROUNDUP(MONTH($H1538)/3,0))</f>
        <v/>
      </c>
      <c r="S1538" s="1" t="str">
        <f aca="false">IF($C1538="","",$C1538&amp;"|"&amp;$E1538&amp;"|"&amp;$F1538&amp;"|"&amp;$L1538&amp;"|"&amp;$P1538&amp;"|"&amp;TEXT($H1538,"yyyy-mm-dd"))</f>
        <v/>
      </c>
      <c r="T1538" s="1" t="str">
        <f aca="false">IF($S1538="","",IF(COUNTIF($S$2:$S$2991,$S1538)&gt;1,"DUPLICATE","OK"))</f>
        <v/>
      </c>
      <c r="U1538" s="0" t="str">
        <f aca="false">IF($L1538="","",IFERROR(VLOOKUP(--$L1538,MM_Income!$Z$5:$AC$204,3,FALSE()),"UNMAPPED"))</f>
        <v/>
      </c>
    </row>
    <row r="1539" customFormat="false" ht="13.5" hidden="false" customHeight="false" outlineLevel="0" collapsed="false">
      <c r="A1539" s="1" t="str">
        <f aca="false">IF($C1539="","",Controls!$B$7)</f>
        <v/>
      </c>
      <c r="B1539" s="1" t="str">
        <f aca="false">IF($H1539="","",YEAR($H1539)&amp;"-Q"&amp;ROUNDUP(MONTH($H1539)/3,0))</f>
        <v/>
      </c>
      <c r="S1539" s="1" t="str">
        <f aca="false">IF($C1539="","",$C1539&amp;"|"&amp;$E1539&amp;"|"&amp;$F1539&amp;"|"&amp;$L1539&amp;"|"&amp;$P1539&amp;"|"&amp;TEXT($H1539,"yyyy-mm-dd"))</f>
        <v/>
      </c>
      <c r="T1539" s="1" t="str">
        <f aca="false">IF($S1539="","",IF(COUNTIF($S$2:$S$2991,$S1539)&gt;1,"DUPLICATE","OK"))</f>
        <v/>
      </c>
      <c r="U1539" s="0" t="str">
        <f aca="false">IF($L1539="","",IFERROR(VLOOKUP(--$L1539,MM_Income!$Z$5:$AC$204,3,FALSE()),"UNMAPPED"))</f>
        <v/>
      </c>
    </row>
    <row r="1540" customFormat="false" ht="13.5" hidden="false" customHeight="false" outlineLevel="0" collapsed="false">
      <c r="A1540" s="1" t="str">
        <f aca="false">IF($C1540="","",Controls!$B$7)</f>
        <v/>
      </c>
      <c r="B1540" s="1" t="str">
        <f aca="false">IF($H1540="","",YEAR($H1540)&amp;"-Q"&amp;ROUNDUP(MONTH($H1540)/3,0))</f>
        <v/>
      </c>
      <c r="S1540" s="1" t="str">
        <f aca="false">IF($C1540="","",$C1540&amp;"|"&amp;$E1540&amp;"|"&amp;$F1540&amp;"|"&amp;$L1540&amp;"|"&amp;$P1540&amp;"|"&amp;TEXT($H1540,"yyyy-mm-dd"))</f>
        <v/>
      </c>
      <c r="T1540" s="1" t="str">
        <f aca="false">IF($S1540="","",IF(COUNTIF($S$2:$S$2991,$S1540)&gt;1,"DUPLICATE","OK"))</f>
        <v/>
      </c>
      <c r="U1540" s="0" t="str">
        <f aca="false">IF($L1540="","",IFERROR(VLOOKUP(--$L1540,MM_Income!$Z$5:$AC$204,3,FALSE()),"UNMAPPED"))</f>
        <v/>
      </c>
    </row>
    <row r="1541" customFormat="false" ht="13.5" hidden="false" customHeight="false" outlineLevel="0" collapsed="false">
      <c r="A1541" s="1" t="str">
        <f aca="false">IF($C1541="","",Controls!$B$7)</f>
        <v/>
      </c>
      <c r="B1541" s="1" t="str">
        <f aca="false">IF($H1541="","",YEAR($H1541)&amp;"-Q"&amp;ROUNDUP(MONTH($H1541)/3,0))</f>
        <v/>
      </c>
      <c r="S1541" s="1" t="str">
        <f aca="false">IF($C1541="","",$C1541&amp;"|"&amp;$E1541&amp;"|"&amp;$F1541&amp;"|"&amp;$L1541&amp;"|"&amp;$P1541&amp;"|"&amp;TEXT($H1541,"yyyy-mm-dd"))</f>
        <v/>
      </c>
      <c r="T1541" s="1" t="str">
        <f aca="false">IF($S1541="","",IF(COUNTIF($S$2:$S$2991,$S1541)&gt;1,"DUPLICATE","OK"))</f>
        <v/>
      </c>
      <c r="U1541" s="0" t="str">
        <f aca="false">IF($L1541="","",IFERROR(VLOOKUP(--$L1541,MM_Income!$Z$5:$AC$204,3,FALSE()),"UNMAPPED"))</f>
        <v/>
      </c>
    </row>
    <row r="1542" customFormat="false" ht="13.5" hidden="false" customHeight="false" outlineLevel="0" collapsed="false">
      <c r="A1542" s="1" t="str">
        <f aca="false">IF($C1542="","",Controls!$B$7)</f>
        <v/>
      </c>
      <c r="B1542" s="1" t="str">
        <f aca="false">IF($H1542="","",YEAR($H1542)&amp;"-Q"&amp;ROUNDUP(MONTH($H1542)/3,0))</f>
        <v/>
      </c>
      <c r="S1542" s="1" t="str">
        <f aca="false">IF($C1542="","",$C1542&amp;"|"&amp;$E1542&amp;"|"&amp;$F1542&amp;"|"&amp;$L1542&amp;"|"&amp;$P1542&amp;"|"&amp;TEXT($H1542,"yyyy-mm-dd"))</f>
        <v/>
      </c>
      <c r="T1542" s="1" t="str">
        <f aca="false">IF($S1542="","",IF(COUNTIF($S$2:$S$2991,$S1542)&gt;1,"DUPLICATE","OK"))</f>
        <v/>
      </c>
      <c r="U1542" s="0" t="str">
        <f aca="false">IF($L1542="","",IFERROR(VLOOKUP(--$L1542,MM_Income!$Z$5:$AC$204,3,FALSE()),"UNMAPPED"))</f>
        <v/>
      </c>
    </row>
    <row r="1543" customFormat="false" ht="13.5" hidden="false" customHeight="false" outlineLevel="0" collapsed="false">
      <c r="A1543" s="1" t="str">
        <f aca="false">IF($C1543="","",Controls!$B$7)</f>
        <v/>
      </c>
      <c r="B1543" s="1" t="str">
        <f aca="false">IF($H1543="","",YEAR($H1543)&amp;"-Q"&amp;ROUNDUP(MONTH($H1543)/3,0))</f>
        <v/>
      </c>
      <c r="S1543" s="1" t="str">
        <f aca="false">IF($C1543="","",$C1543&amp;"|"&amp;$E1543&amp;"|"&amp;$F1543&amp;"|"&amp;$L1543&amp;"|"&amp;$P1543&amp;"|"&amp;TEXT($H1543,"yyyy-mm-dd"))</f>
        <v/>
      </c>
      <c r="T1543" s="1" t="str">
        <f aca="false">IF($S1543="","",IF(COUNTIF($S$2:$S$2991,$S1543)&gt;1,"DUPLICATE","OK"))</f>
        <v/>
      </c>
      <c r="U1543" s="0" t="str">
        <f aca="false">IF($L1543="","",IFERROR(VLOOKUP(--$L1543,MM_Income!$Z$5:$AC$204,3,FALSE()),"UNMAPPED"))</f>
        <v/>
      </c>
    </row>
    <row r="1544" customFormat="false" ht="13.5" hidden="false" customHeight="false" outlineLevel="0" collapsed="false">
      <c r="A1544" s="1" t="str">
        <f aca="false">IF($C1544="","",Controls!$B$7)</f>
        <v/>
      </c>
      <c r="B1544" s="1" t="str">
        <f aca="false">IF($H1544="","",YEAR($H1544)&amp;"-Q"&amp;ROUNDUP(MONTH($H1544)/3,0))</f>
        <v/>
      </c>
      <c r="S1544" s="1" t="str">
        <f aca="false">IF($C1544="","",$C1544&amp;"|"&amp;$E1544&amp;"|"&amp;$F1544&amp;"|"&amp;$L1544&amp;"|"&amp;$P1544&amp;"|"&amp;TEXT($H1544,"yyyy-mm-dd"))</f>
        <v/>
      </c>
      <c r="T1544" s="1" t="str">
        <f aca="false">IF($S1544="","",IF(COUNTIF($S$2:$S$2991,$S1544)&gt;1,"DUPLICATE","OK"))</f>
        <v/>
      </c>
      <c r="U1544" s="0" t="str">
        <f aca="false">IF($L1544="","",IFERROR(VLOOKUP(--$L1544,MM_Income!$Z$5:$AC$204,3,FALSE()),"UNMAPPED"))</f>
        <v/>
      </c>
    </row>
    <row r="1545" customFormat="false" ht="13.5" hidden="false" customHeight="false" outlineLevel="0" collapsed="false">
      <c r="A1545" s="1" t="str">
        <f aca="false">IF($C1545="","",Controls!$B$7)</f>
        <v/>
      </c>
      <c r="B1545" s="1" t="str">
        <f aca="false">IF($H1545="","",YEAR($H1545)&amp;"-Q"&amp;ROUNDUP(MONTH($H1545)/3,0))</f>
        <v/>
      </c>
      <c r="S1545" s="1" t="str">
        <f aca="false">IF($C1545="","",$C1545&amp;"|"&amp;$E1545&amp;"|"&amp;$F1545&amp;"|"&amp;$L1545&amp;"|"&amp;$P1545&amp;"|"&amp;TEXT($H1545,"yyyy-mm-dd"))</f>
        <v/>
      </c>
      <c r="T1545" s="1" t="str">
        <f aca="false">IF($S1545="","",IF(COUNTIF($S$2:$S$2991,$S1545)&gt;1,"DUPLICATE","OK"))</f>
        <v/>
      </c>
      <c r="U1545" s="0" t="str">
        <f aca="false">IF($L1545="","",IFERROR(VLOOKUP(--$L1545,MM_Income!$Z$5:$AC$204,3,FALSE()),"UNMAPPED"))</f>
        <v/>
      </c>
    </row>
    <row r="1546" customFormat="false" ht="13.5" hidden="false" customHeight="false" outlineLevel="0" collapsed="false">
      <c r="A1546" s="1" t="str">
        <f aca="false">IF($C1546="","",Controls!$B$7)</f>
        <v/>
      </c>
      <c r="B1546" s="1" t="str">
        <f aca="false">IF($H1546="","",YEAR($H1546)&amp;"-Q"&amp;ROUNDUP(MONTH($H1546)/3,0))</f>
        <v/>
      </c>
      <c r="S1546" s="1" t="str">
        <f aca="false">IF($C1546="","",$C1546&amp;"|"&amp;$E1546&amp;"|"&amp;$F1546&amp;"|"&amp;$L1546&amp;"|"&amp;$P1546&amp;"|"&amp;TEXT($H1546,"yyyy-mm-dd"))</f>
        <v/>
      </c>
      <c r="T1546" s="1" t="str">
        <f aca="false">IF($S1546="","",IF(COUNTIF($S$2:$S$2991,$S1546)&gt;1,"DUPLICATE","OK"))</f>
        <v/>
      </c>
      <c r="U1546" s="0" t="str">
        <f aca="false">IF($L1546="","",IFERROR(VLOOKUP(--$L1546,MM_Income!$Z$5:$AC$204,3,FALSE()),"UNMAPPED"))</f>
        <v/>
      </c>
    </row>
    <row r="1547" customFormat="false" ht="13.5" hidden="false" customHeight="false" outlineLevel="0" collapsed="false">
      <c r="A1547" s="1" t="str">
        <f aca="false">IF($C1547="","",Controls!$B$7)</f>
        <v/>
      </c>
      <c r="B1547" s="1" t="str">
        <f aca="false">IF($H1547="","",YEAR($H1547)&amp;"-Q"&amp;ROUNDUP(MONTH($H1547)/3,0))</f>
        <v/>
      </c>
      <c r="S1547" s="1" t="str">
        <f aca="false">IF($C1547="","",$C1547&amp;"|"&amp;$E1547&amp;"|"&amp;$F1547&amp;"|"&amp;$L1547&amp;"|"&amp;$P1547&amp;"|"&amp;TEXT($H1547,"yyyy-mm-dd"))</f>
        <v/>
      </c>
      <c r="T1547" s="1" t="str">
        <f aca="false">IF($S1547="","",IF(COUNTIF($S$2:$S$2991,$S1547)&gt;1,"DUPLICATE","OK"))</f>
        <v/>
      </c>
      <c r="U1547" s="0" t="str">
        <f aca="false">IF($L1547="","",IFERROR(VLOOKUP(--$L1547,MM_Income!$Z$5:$AC$204,3,FALSE()),"UNMAPPED"))</f>
        <v/>
      </c>
    </row>
    <row r="1548" customFormat="false" ht="13.5" hidden="false" customHeight="false" outlineLevel="0" collapsed="false">
      <c r="A1548" s="1" t="str">
        <f aca="false">IF($C1548="","",Controls!$B$7)</f>
        <v/>
      </c>
      <c r="B1548" s="1" t="str">
        <f aca="false">IF($H1548="","",YEAR($H1548)&amp;"-Q"&amp;ROUNDUP(MONTH($H1548)/3,0))</f>
        <v/>
      </c>
      <c r="S1548" s="1" t="str">
        <f aca="false">IF($C1548="","",$C1548&amp;"|"&amp;$E1548&amp;"|"&amp;$F1548&amp;"|"&amp;$L1548&amp;"|"&amp;$P1548&amp;"|"&amp;TEXT($H1548,"yyyy-mm-dd"))</f>
        <v/>
      </c>
      <c r="T1548" s="1" t="str">
        <f aca="false">IF($S1548="","",IF(COUNTIF($S$2:$S$2991,$S1548)&gt;1,"DUPLICATE","OK"))</f>
        <v/>
      </c>
      <c r="U1548" s="0" t="str">
        <f aca="false">IF($L1548="","",IFERROR(VLOOKUP(--$L1548,MM_Income!$Z$5:$AC$204,3,FALSE()),"UNMAPPED"))</f>
        <v/>
      </c>
    </row>
    <row r="1549" customFormat="false" ht="13.5" hidden="false" customHeight="false" outlineLevel="0" collapsed="false">
      <c r="A1549" s="1" t="str">
        <f aca="false">IF($C1549="","",Controls!$B$7)</f>
        <v/>
      </c>
      <c r="B1549" s="1" t="str">
        <f aca="false">IF($H1549="","",YEAR($H1549)&amp;"-Q"&amp;ROUNDUP(MONTH($H1549)/3,0))</f>
        <v/>
      </c>
      <c r="S1549" s="1" t="str">
        <f aca="false">IF($C1549="","",$C1549&amp;"|"&amp;$E1549&amp;"|"&amp;$F1549&amp;"|"&amp;$L1549&amp;"|"&amp;$P1549&amp;"|"&amp;TEXT($H1549,"yyyy-mm-dd"))</f>
        <v/>
      </c>
      <c r="T1549" s="1" t="str">
        <f aca="false">IF($S1549="","",IF(COUNTIF($S$2:$S$2991,$S1549)&gt;1,"DUPLICATE","OK"))</f>
        <v/>
      </c>
      <c r="U1549" s="0" t="str">
        <f aca="false">IF($L1549="","",IFERROR(VLOOKUP(--$L1549,MM_Income!$Z$5:$AC$204,3,FALSE()),"UNMAPPED"))</f>
        <v/>
      </c>
    </row>
    <row r="1550" customFormat="false" ht="13.5" hidden="false" customHeight="false" outlineLevel="0" collapsed="false">
      <c r="A1550" s="1" t="str">
        <f aca="false">IF($C1550="","",Controls!$B$7)</f>
        <v/>
      </c>
      <c r="B1550" s="1" t="str">
        <f aca="false">IF($H1550="","",YEAR($H1550)&amp;"-Q"&amp;ROUNDUP(MONTH($H1550)/3,0))</f>
        <v/>
      </c>
      <c r="S1550" s="1" t="str">
        <f aca="false">IF($C1550="","",$C1550&amp;"|"&amp;$E1550&amp;"|"&amp;$F1550&amp;"|"&amp;$L1550&amp;"|"&amp;$P1550&amp;"|"&amp;TEXT($H1550,"yyyy-mm-dd"))</f>
        <v/>
      </c>
      <c r="T1550" s="1" t="str">
        <f aca="false">IF($S1550="","",IF(COUNTIF($S$2:$S$2991,$S1550)&gt;1,"DUPLICATE","OK"))</f>
        <v/>
      </c>
      <c r="U1550" s="0" t="str">
        <f aca="false">IF($L1550="","",IFERROR(VLOOKUP(--$L1550,MM_Income!$Z$5:$AC$204,3,FALSE()),"UNMAPPED"))</f>
        <v/>
      </c>
    </row>
    <row r="1551" customFormat="false" ht="13.5" hidden="false" customHeight="false" outlineLevel="0" collapsed="false">
      <c r="A1551" s="1" t="str">
        <f aca="false">IF($C1551="","",Controls!$B$7)</f>
        <v/>
      </c>
      <c r="B1551" s="1" t="str">
        <f aca="false">IF($H1551="","",YEAR($H1551)&amp;"-Q"&amp;ROUNDUP(MONTH($H1551)/3,0))</f>
        <v/>
      </c>
      <c r="S1551" s="1" t="str">
        <f aca="false">IF($C1551="","",$C1551&amp;"|"&amp;$E1551&amp;"|"&amp;$F1551&amp;"|"&amp;$L1551&amp;"|"&amp;$P1551&amp;"|"&amp;TEXT($H1551,"yyyy-mm-dd"))</f>
        <v/>
      </c>
      <c r="T1551" s="1" t="str">
        <f aca="false">IF($S1551="","",IF(COUNTIF($S$2:$S$2991,$S1551)&gt;1,"DUPLICATE","OK"))</f>
        <v/>
      </c>
      <c r="U1551" s="0" t="str">
        <f aca="false">IF($L1551="","",IFERROR(VLOOKUP(--$L1551,MM_Income!$Z$5:$AC$204,3,FALSE()),"UNMAPPED"))</f>
        <v/>
      </c>
    </row>
    <row r="1552" customFormat="false" ht="13.5" hidden="false" customHeight="false" outlineLevel="0" collapsed="false">
      <c r="A1552" s="1" t="str">
        <f aca="false">IF($C1552="","",Controls!$B$7)</f>
        <v/>
      </c>
      <c r="B1552" s="1" t="str">
        <f aca="false">IF($H1552="","",YEAR($H1552)&amp;"-Q"&amp;ROUNDUP(MONTH($H1552)/3,0))</f>
        <v/>
      </c>
      <c r="S1552" s="1" t="str">
        <f aca="false">IF($C1552="","",$C1552&amp;"|"&amp;$E1552&amp;"|"&amp;$F1552&amp;"|"&amp;$L1552&amp;"|"&amp;$P1552&amp;"|"&amp;TEXT($H1552,"yyyy-mm-dd"))</f>
        <v/>
      </c>
      <c r="T1552" s="1" t="str">
        <f aca="false">IF($S1552="","",IF(COUNTIF($S$2:$S$2991,$S1552)&gt;1,"DUPLICATE","OK"))</f>
        <v/>
      </c>
      <c r="U1552" s="0" t="str">
        <f aca="false">IF($L1552="","",IFERROR(VLOOKUP(--$L1552,MM_Income!$Z$5:$AC$204,3,FALSE()),"UNMAPPED"))</f>
        <v/>
      </c>
    </row>
    <row r="1553" customFormat="false" ht="13.5" hidden="false" customHeight="false" outlineLevel="0" collapsed="false">
      <c r="A1553" s="1" t="str">
        <f aca="false">IF($C1553="","",Controls!$B$7)</f>
        <v/>
      </c>
      <c r="B1553" s="1" t="str">
        <f aca="false">IF($H1553="","",YEAR($H1553)&amp;"-Q"&amp;ROUNDUP(MONTH($H1553)/3,0))</f>
        <v/>
      </c>
      <c r="S1553" s="1" t="str">
        <f aca="false">IF($C1553="","",$C1553&amp;"|"&amp;$E1553&amp;"|"&amp;$F1553&amp;"|"&amp;$L1553&amp;"|"&amp;$P1553&amp;"|"&amp;TEXT($H1553,"yyyy-mm-dd"))</f>
        <v/>
      </c>
      <c r="T1553" s="1" t="str">
        <f aca="false">IF($S1553="","",IF(COUNTIF($S$2:$S$2991,$S1553)&gt;1,"DUPLICATE","OK"))</f>
        <v/>
      </c>
      <c r="U1553" s="0" t="str">
        <f aca="false">IF($L1553="","",IFERROR(VLOOKUP(--$L1553,MM_Income!$Z$5:$AC$204,3,FALSE()),"UNMAPPED"))</f>
        <v/>
      </c>
    </row>
    <row r="1554" customFormat="false" ht="13.5" hidden="false" customHeight="false" outlineLevel="0" collapsed="false">
      <c r="A1554" s="1" t="str">
        <f aca="false">IF($C1554="","",Controls!$B$7)</f>
        <v/>
      </c>
      <c r="B1554" s="1" t="str">
        <f aca="false">IF($H1554="","",YEAR($H1554)&amp;"-Q"&amp;ROUNDUP(MONTH($H1554)/3,0))</f>
        <v/>
      </c>
      <c r="S1554" s="1" t="str">
        <f aca="false">IF($C1554="","",$C1554&amp;"|"&amp;$E1554&amp;"|"&amp;$F1554&amp;"|"&amp;$L1554&amp;"|"&amp;$P1554&amp;"|"&amp;TEXT($H1554,"yyyy-mm-dd"))</f>
        <v/>
      </c>
      <c r="T1554" s="1" t="str">
        <f aca="false">IF($S1554="","",IF(COUNTIF($S$2:$S$2991,$S1554)&gt;1,"DUPLICATE","OK"))</f>
        <v/>
      </c>
      <c r="U1554" s="0" t="str">
        <f aca="false">IF($L1554="","",IFERROR(VLOOKUP(--$L1554,MM_Income!$Z$5:$AC$204,3,FALSE()),"UNMAPPED"))</f>
        <v/>
      </c>
    </row>
    <row r="1555" customFormat="false" ht="13.5" hidden="false" customHeight="false" outlineLevel="0" collapsed="false">
      <c r="A1555" s="1" t="str">
        <f aca="false">IF($C1555="","",Controls!$B$7)</f>
        <v/>
      </c>
      <c r="B1555" s="1" t="str">
        <f aca="false">IF($H1555="","",YEAR($H1555)&amp;"-Q"&amp;ROUNDUP(MONTH($H1555)/3,0))</f>
        <v/>
      </c>
      <c r="S1555" s="1" t="str">
        <f aca="false">IF($C1555="","",$C1555&amp;"|"&amp;$E1555&amp;"|"&amp;$F1555&amp;"|"&amp;$L1555&amp;"|"&amp;$P1555&amp;"|"&amp;TEXT($H1555,"yyyy-mm-dd"))</f>
        <v/>
      </c>
      <c r="T1555" s="1" t="str">
        <f aca="false">IF($S1555="","",IF(COUNTIF($S$2:$S$2991,$S1555)&gt;1,"DUPLICATE","OK"))</f>
        <v/>
      </c>
      <c r="U1555" s="0" t="str">
        <f aca="false">IF($L1555="","",IFERROR(VLOOKUP(--$L1555,MM_Income!$Z$5:$AC$204,3,FALSE()),"UNMAPPED"))</f>
        <v/>
      </c>
    </row>
    <row r="1556" customFormat="false" ht="13.5" hidden="false" customHeight="false" outlineLevel="0" collapsed="false">
      <c r="A1556" s="1" t="str">
        <f aca="false">IF($C1556="","",Controls!$B$7)</f>
        <v/>
      </c>
      <c r="B1556" s="1" t="str">
        <f aca="false">IF($H1556="","",YEAR($H1556)&amp;"-Q"&amp;ROUNDUP(MONTH($H1556)/3,0))</f>
        <v/>
      </c>
      <c r="S1556" s="1" t="str">
        <f aca="false">IF($C1556="","",$C1556&amp;"|"&amp;$E1556&amp;"|"&amp;$F1556&amp;"|"&amp;$L1556&amp;"|"&amp;$P1556&amp;"|"&amp;TEXT($H1556,"yyyy-mm-dd"))</f>
        <v/>
      </c>
      <c r="T1556" s="1" t="str">
        <f aca="false">IF($S1556="","",IF(COUNTIF($S$2:$S$2991,$S1556)&gt;1,"DUPLICATE","OK"))</f>
        <v/>
      </c>
      <c r="U1556" s="0" t="str">
        <f aca="false">IF($L1556="","",IFERROR(VLOOKUP(--$L1556,MM_Income!$Z$5:$AC$204,3,FALSE()),"UNMAPPED"))</f>
        <v/>
      </c>
    </row>
    <row r="1557" customFormat="false" ht="13.5" hidden="false" customHeight="false" outlineLevel="0" collapsed="false">
      <c r="A1557" s="1" t="str">
        <f aca="false">IF($C1557="","",Controls!$B$7)</f>
        <v/>
      </c>
      <c r="B1557" s="1" t="str">
        <f aca="false">IF($H1557="","",YEAR($H1557)&amp;"-Q"&amp;ROUNDUP(MONTH($H1557)/3,0))</f>
        <v/>
      </c>
      <c r="S1557" s="1" t="str">
        <f aca="false">IF($C1557="","",$C1557&amp;"|"&amp;$E1557&amp;"|"&amp;$F1557&amp;"|"&amp;$L1557&amp;"|"&amp;$P1557&amp;"|"&amp;TEXT($H1557,"yyyy-mm-dd"))</f>
        <v/>
      </c>
      <c r="T1557" s="1" t="str">
        <f aca="false">IF($S1557="","",IF(COUNTIF($S$2:$S$2991,$S1557)&gt;1,"DUPLICATE","OK"))</f>
        <v/>
      </c>
      <c r="U1557" s="0" t="str">
        <f aca="false">IF($L1557="","",IFERROR(VLOOKUP(--$L1557,MM_Income!$Z$5:$AC$204,3,FALSE()),"UNMAPPED"))</f>
        <v/>
      </c>
    </row>
    <row r="1558" customFormat="false" ht="13.5" hidden="false" customHeight="false" outlineLevel="0" collapsed="false">
      <c r="A1558" s="1" t="str">
        <f aca="false">IF($C1558="","",Controls!$B$7)</f>
        <v/>
      </c>
      <c r="B1558" s="1" t="str">
        <f aca="false">IF($H1558="","",YEAR($H1558)&amp;"-Q"&amp;ROUNDUP(MONTH($H1558)/3,0))</f>
        <v/>
      </c>
      <c r="S1558" s="1" t="str">
        <f aca="false">IF($C1558="","",$C1558&amp;"|"&amp;$E1558&amp;"|"&amp;$F1558&amp;"|"&amp;$L1558&amp;"|"&amp;$P1558&amp;"|"&amp;TEXT($H1558,"yyyy-mm-dd"))</f>
        <v/>
      </c>
      <c r="T1558" s="1" t="str">
        <f aca="false">IF($S1558="","",IF(COUNTIF($S$2:$S$2991,$S1558)&gt;1,"DUPLICATE","OK"))</f>
        <v/>
      </c>
      <c r="U1558" s="0" t="str">
        <f aca="false">IF($L1558="","",IFERROR(VLOOKUP(--$L1558,MM_Income!$Z$5:$AC$204,3,FALSE()),"UNMAPPED"))</f>
        <v/>
      </c>
    </row>
    <row r="1559" customFormat="false" ht="13.5" hidden="false" customHeight="false" outlineLevel="0" collapsed="false">
      <c r="A1559" s="1" t="str">
        <f aca="false">IF($C1559="","",Controls!$B$7)</f>
        <v/>
      </c>
      <c r="B1559" s="1" t="str">
        <f aca="false">IF($H1559="","",YEAR($H1559)&amp;"-Q"&amp;ROUNDUP(MONTH($H1559)/3,0))</f>
        <v/>
      </c>
      <c r="S1559" s="1" t="str">
        <f aca="false">IF($C1559="","",$C1559&amp;"|"&amp;$E1559&amp;"|"&amp;$F1559&amp;"|"&amp;$L1559&amp;"|"&amp;$P1559&amp;"|"&amp;TEXT($H1559,"yyyy-mm-dd"))</f>
        <v/>
      </c>
      <c r="T1559" s="1" t="str">
        <f aca="false">IF($S1559="","",IF(COUNTIF($S$2:$S$2991,$S1559)&gt;1,"DUPLICATE","OK"))</f>
        <v/>
      </c>
      <c r="U1559" s="0" t="str">
        <f aca="false">IF($L1559="","",IFERROR(VLOOKUP(--$L1559,MM_Income!$Z$5:$AC$204,3,FALSE()),"UNMAPPED"))</f>
        <v/>
      </c>
    </row>
    <row r="1560" customFormat="false" ht="13.5" hidden="false" customHeight="false" outlineLevel="0" collapsed="false">
      <c r="A1560" s="1" t="str">
        <f aca="false">IF($C1560="","",Controls!$B$7)</f>
        <v/>
      </c>
      <c r="B1560" s="1" t="str">
        <f aca="false">IF($H1560="","",YEAR($H1560)&amp;"-Q"&amp;ROUNDUP(MONTH($H1560)/3,0))</f>
        <v/>
      </c>
      <c r="S1560" s="1" t="str">
        <f aca="false">IF($C1560="","",$C1560&amp;"|"&amp;$E1560&amp;"|"&amp;$F1560&amp;"|"&amp;$L1560&amp;"|"&amp;$P1560&amp;"|"&amp;TEXT($H1560,"yyyy-mm-dd"))</f>
        <v/>
      </c>
      <c r="T1560" s="1" t="str">
        <f aca="false">IF($S1560="","",IF(COUNTIF($S$2:$S$2991,$S1560)&gt;1,"DUPLICATE","OK"))</f>
        <v/>
      </c>
      <c r="U1560" s="0" t="str">
        <f aca="false">IF($L1560="","",IFERROR(VLOOKUP(--$L1560,MM_Income!$Z$5:$AC$204,3,FALSE()),"UNMAPPED"))</f>
        <v/>
      </c>
    </row>
    <row r="1561" customFormat="false" ht="13.5" hidden="false" customHeight="false" outlineLevel="0" collapsed="false">
      <c r="A1561" s="1" t="str">
        <f aca="false">IF($C1561="","",Controls!$B$7)</f>
        <v/>
      </c>
      <c r="B1561" s="1" t="str">
        <f aca="false">IF($H1561="","",YEAR($H1561)&amp;"-Q"&amp;ROUNDUP(MONTH($H1561)/3,0))</f>
        <v/>
      </c>
      <c r="S1561" s="1" t="str">
        <f aca="false">IF($C1561="","",$C1561&amp;"|"&amp;$E1561&amp;"|"&amp;$F1561&amp;"|"&amp;$L1561&amp;"|"&amp;$P1561&amp;"|"&amp;TEXT($H1561,"yyyy-mm-dd"))</f>
        <v/>
      </c>
      <c r="T1561" s="1" t="str">
        <f aca="false">IF($S1561="","",IF(COUNTIF($S$2:$S$2991,$S1561)&gt;1,"DUPLICATE","OK"))</f>
        <v/>
      </c>
      <c r="U1561" s="0" t="str">
        <f aca="false">IF($L1561="","",IFERROR(VLOOKUP(--$L1561,MM_Income!$Z$5:$AC$204,3,FALSE()),"UNMAPPED"))</f>
        <v/>
      </c>
    </row>
    <row r="1562" customFormat="false" ht="13.5" hidden="false" customHeight="false" outlineLevel="0" collapsed="false">
      <c r="A1562" s="1" t="str">
        <f aca="false">IF($C1562="","",Controls!$B$7)</f>
        <v/>
      </c>
      <c r="B1562" s="1" t="str">
        <f aca="false">IF($H1562="","",YEAR($H1562)&amp;"-Q"&amp;ROUNDUP(MONTH($H1562)/3,0))</f>
        <v/>
      </c>
      <c r="S1562" s="1" t="str">
        <f aca="false">IF($C1562="","",$C1562&amp;"|"&amp;$E1562&amp;"|"&amp;$F1562&amp;"|"&amp;$L1562&amp;"|"&amp;$P1562&amp;"|"&amp;TEXT($H1562,"yyyy-mm-dd"))</f>
        <v/>
      </c>
      <c r="T1562" s="1" t="str">
        <f aca="false">IF($S1562="","",IF(COUNTIF($S$2:$S$2991,$S1562)&gt;1,"DUPLICATE","OK"))</f>
        <v/>
      </c>
      <c r="U1562" s="0" t="str">
        <f aca="false">IF($L1562="","",IFERROR(VLOOKUP(--$L1562,MM_Income!$Z$5:$AC$204,3,FALSE()),"UNMAPPED"))</f>
        <v/>
      </c>
    </row>
    <row r="1563" customFormat="false" ht="13.5" hidden="false" customHeight="false" outlineLevel="0" collapsed="false">
      <c r="A1563" s="1" t="str">
        <f aca="false">IF($C1563="","",Controls!$B$7)</f>
        <v/>
      </c>
      <c r="B1563" s="1" t="str">
        <f aca="false">IF($H1563="","",YEAR($H1563)&amp;"-Q"&amp;ROUNDUP(MONTH($H1563)/3,0))</f>
        <v/>
      </c>
      <c r="S1563" s="1" t="str">
        <f aca="false">IF($C1563="","",$C1563&amp;"|"&amp;$E1563&amp;"|"&amp;$F1563&amp;"|"&amp;$L1563&amp;"|"&amp;$P1563&amp;"|"&amp;TEXT($H1563,"yyyy-mm-dd"))</f>
        <v/>
      </c>
      <c r="T1563" s="1" t="str">
        <f aca="false">IF($S1563="","",IF(COUNTIF($S$2:$S$2991,$S1563)&gt;1,"DUPLICATE","OK"))</f>
        <v/>
      </c>
      <c r="U1563" s="0" t="str">
        <f aca="false">IF($L1563="","",IFERROR(VLOOKUP(--$L1563,MM_Income!$Z$5:$AC$204,3,FALSE()),"UNMAPPED"))</f>
        <v/>
      </c>
    </row>
    <row r="1564" customFormat="false" ht="13.5" hidden="false" customHeight="false" outlineLevel="0" collapsed="false">
      <c r="A1564" s="1" t="str">
        <f aca="false">IF($C1564="","",Controls!$B$7)</f>
        <v/>
      </c>
      <c r="B1564" s="1" t="str">
        <f aca="false">IF($H1564="","",YEAR($H1564)&amp;"-Q"&amp;ROUNDUP(MONTH($H1564)/3,0))</f>
        <v/>
      </c>
      <c r="S1564" s="1" t="str">
        <f aca="false">IF($C1564="","",$C1564&amp;"|"&amp;$E1564&amp;"|"&amp;$F1564&amp;"|"&amp;$L1564&amp;"|"&amp;$P1564&amp;"|"&amp;TEXT($H1564,"yyyy-mm-dd"))</f>
        <v/>
      </c>
      <c r="T1564" s="1" t="str">
        <f aca="false">IF($S1564="","",IF(COUNTIF($S$2:$S$2991,$S1564)&gt;1,"DUPLICATE","OK"))</f>
        <v/>
      </c>
      <c r="U1564" s="0" t="str">
        <f aca="false">IF($L1564="","",IFERROR(VLOOKUP(--$L1564,MM_Income!$Z$5:$AC$204,3,FALSE()),"UNMAPPED"))</f>
        <v/>
      </c>
    </row>
    <row r="1565" customFormat="false" ht="13.5" hidden="false" customHeight="false" outlineLevel="0" collapsed="false">
      <c r="A1565" s="1" t="str">
        <f aca="false">IF($C1565="","",Controls!$B$7)</f>
        <v/>
      </c>
      <c r="B1565" s="1" t="str">
        <f aca="false">IF($H1565="","",YEAR($H1565)&amp;"-Q"&amp;ROUNDUP(MONTH($H1565)/3,0))</f>
        <v/>
      </c>
      <c r="S1565" s="1" t="str">
        <f aca="false">IF($C1565="","",$C1565&amp;"|"&amp;$E1565&amp;"|"&amp;$F1565&amp;"|"&amp;$L1565&amp;"|"&amp;$P1565&amp;"|"&amp;TEXT($H1565,"yyyy-mm-dd"))</f>
        <v/>
      </c>
      <c r="T1565" s="1" t="str">
        <f aca="false">IF($S1565="","",IF(COUNTIF($S$2:$S$2991,$S1565)&gt;1,"DUPLICATE","OK"))</f>
        <v/>
      </c>
      <c r="U1565" s="0" t="str">
        <f aca="false">IF($L1565="","",IFERROR(VLOOKUP(--$L1565,MM_Income!$Z$5:$AC$204,3,FALSE()),"UNMAPPED"))</f>
        <v/>
      </c>
    </row>
    <row r="1566" customFormat="false" ht="13.5" hidden="false" customHeight="false" outlineLevel="0" collapsed="false">
      <c r="A1566" s="1" t="str">
        <f aca="false">IF($C1566="","",Controls!$B$7)</f>
        <v/>
      </c>
      <c r="B1566" s="1" t="str">
        <f aca="false">IF($H1566="","",YEAR($H1566)&amp;"-Q"&amp;ROUNDUP(MONTH($H1566)/3,0))</f>
        <v/>
      </c>
      <c r="S1566" s="1" t="str">
        <f aca="false">IF($C1566="","",$C1566&amp;"|"&amp;$E1566&amp;"|"&amp;$F1566&amp;"|"&amp;$L1566&amp;"|"&amp;$P1566&amp;"|"&amp;TEXT($H1566,"yyyy-mm-dd"))</f>
        <v/>
      </c>
      <c r="T1566" s="1" t="str">
        <f aca="false">IF($S1566="","",IF(COUNTIF($S$2:$S$2991,$S1566)&gt;1,"DUPLICATE","OK"))</f>
        <v/>
      </c>
      <c r="U1566" s="0" t="str">
        <f aca="false">IF($L1566="","",IFERROR(VLOOKUP(--$L1566,MM_Income!$Z$5:$AC$204,3,FALSE()),"UNMAPPED"))</f>
        <v/>
      </c>
    </row>
    <row r="1567" customFormat="false" ht="13.5" hidden="false" customHeight="false" outlineLevel="0" collapsed="false">
      <c r="A1567" s="1" t="str">
        <f aca="false">IF($C1567="","",Controls!$B$7)</f>
        <v/>
      </c>
      <c r="B1567" s="1" t="str">
        <f aca="false">IF($H1567="","",YEAR($H1567)&amp;"-Q"&amp;ROUNDUP(MONTH($H1567)/3,0))</f>
        <v/>
      </c>
      <c r="S1567" s="1" t="str">
        <f aca="false">IF($C1567="","",$C1567&amp;"|"&amp;$E1567&amp;"|"&amp;$F1567&amp;"|"&amp;$L1567&amp;"|"&amp;$P1567&amp;"|"&amp;TEXT($H1567,"yyyy-mm-dd"))</f>
        <v/>
      </c>
      <c r="T1567" s="1" t="str">
        <f aca="false">IF($S1567="","",IF(COUNTIF($S$2:$S$2991,$S1567)&gt;1,"DUPLICATE","OK"))</f>
        <v/>
      </c>
      <c r="U1567" s="0" t="str">
        <f aca="false">IF($L1567="","",IFERROR(VLOOKUP(--$L1567,MM_Income!$Z$5:$AC$204,3,FALSE()),"UNMAPPED"))</f>
        <v/>
      </c>
    </row>
    <row r="1568" customFormat="false" ht="13.5" hidden="false" customHeight="false" outlineLevel="0" collapsed="false">
      <c r="A1568" s="1" t="str">
        <f aca="false">IF($C1568="","",Controls!$B$7)</f>
        <v/>
      </c>
      <c r="B1568" s="1" t="str">
        <f aca="false">IF($H1568="","",YEAR($H1568)&amp;"-Q"&amp;ROUNDUP(MONTH($H1568)/3,0))</f>
        <v/>
      </c>
      <c r="S1568" s="1" t="str">
        <f aca="false">IF($C1568="","",$C1568&amp;"|"&amp;$E1568&amp;"|"&amp;$F1568&amp;"|"&amp;$L1568&amp;"|"&amp;$P1568&amp;"|"&amp;TEXT($H1568,"yyyy-mm-dd"))</f>
        <v/>
      </c>
      <c r="T1568" s="1" t="str">
        <f aca="false">IF($S1568="","",IF(COUNTIF($S$2:$S$2991,$S1568)&gt;1,"DUPLICATE","OK"))</f>
        <v/>
      </c>
      <c r="U1568" s="0" t="str">
        <f aca="false">IF($L1568="","",IFERROR(VLOOKUP(--$L1568,MM_Income!$Z$5:$AC$204,3,FALSE()),"UNMAPPED"))</f>
        <v/>
      </c>
    </row>
    <row r="1569" customFormat="false" ht="13.5" hidden="false" customHeight="false" outlineLevel="0" collapsed="false">
      <c r="A1569" s="1" t="str">
        <f aca="false">IF($C1569="","",Controls!$B$7)</f>
        <v/>
      </c>
      <c r="B1569" s="1" t="str">
        <f aca="false">IF($H1569="","",YEAR($H1569)&amp;"-Q"&amp;ROUNDUP(MONTH($H1569)/3,0))</f>
        <v/>
      </c>
      <c r="S1569" s="1" t="str">
        <f aca="false">IF($C1569="","",$C1569&amp;"|"&amp;$E1569&amp;"|"&amp;$F1569&amp;"|"&amp;$L1569&amp;"|"&amp;$P1569&amp;"|"&amp;TEXT($H1569,"yyyy-mm-dd"))</f>
        <v/>
      </c>
      <c r="T1569" s="1" t="str">
        <f aca="false">IF($S1569="","",IF(COUNTIF($S$2:$S$2991,$S1569)&gt;1,"DUPLICATE","OK"))</f>
        <v/>
      </c>
      <c r="U1569" s="0" t="str">
        <f aca="false">IF($L1569="","",IFERROR(VLOOKUP(--$L1569,MM_Income!$Z$5:$AC$204,3,FALSE()),"UNMAPPED"))</f>
        <v/>
      </c>
    </row>
    <row r="1570" customFormat="false" ht="13.5" hidden="false" customHeight="false" outlineLevel="0" collapsed="false">
      <c r="A1570" s="1" t="str">
        <f aca="false">IF($C1570="","",Controls!$B$7)</f>
        <v/>
      </c>
      <c r="B1570" s="1" t="str">
        <f aca="false">IF($H1570="","",YEAR($H1570)&amp;"-Q"&amp;ROUNDUP(MONTH($H1570)/3,0))</f>
        <v/>
      </c>
      <c r="S1570" s="1" t="str">
        <f aca="false">IF($C1570="","",$C1570&amp;"|"&amp;$E1570&amp;"|"&amp;$F1570&amp;"|"&amp;$L1570&amp;"|"&amp;$P1570&amp;"|"&amp;TEXT($H1570,"yyyy-mm-dd"))</f>
        <v/>
      </c>
      <c r="T1570" s="1" t="str">
        <f aca="false">IF($S1570="","",IF(COUNTIF($S$2:$S$2991,$S1570)&gt;1,"DUPLICATE","OK"))</f>
        <v/>
      </c>
      <c r="U1570" s="0" t="str">
        <f aca="false">IF($L1570="","",IFERROR(VLOOKUP(--$L1570,MM_Income!$Z$5:$AC$204,3,FALSE()),"UNMAPPED"))</f>
        <v/>
      </c>
    </row>
    <row r="1571" customFormat="false" ht="13.5" hidden="false" customHeight="false" outlineLevel="0" collapsed="false">
      <c r="A1571" s="1" t="str">
        <f aca="false">IF($C1571="","",Controls!$B$7)</f>
        <v/>
      </c>
      <c r="B1571" s="1" t="str">
        <f aca="false">IF($H1571="","",YEAR($H1571)&amp;"-Q"&amp;ROUNDUP(MONTH($H1571)/3,0))</f>
        <v/>
      </c>
      <c r="S1571" s="1" t="str">
        <f aca="false">IF($C1571="","",$C1571&amp;"|"&amp;$E1571&amp;"|"&amp;$F1571&amp;"|"&amp;$L1571&amp;"|"&amp;$P1571&amp;"|"&amp;TEXT($H1571,"yyyy-mm-dd"))</f>
        <v/>
      </c>
      <c r="T1571" s="1" t="str">
        <f aca="false">IF($S1571="","",IF(COUNTIF($S$2:$S$2991,$S1571)&gt;1,"DUPLICATE","OK"))</f>
        <v/>
      </c>
      <c r="U1571" s="0" t="str">
        <f aca="false">IF($L1571="","",IFERROR(VLOOKUP(--$L1571,MM_Income!$Z$5:$AC$204,3,FALSE()),"UNMAPPED"))</f>
        <v/>
      </c>
    </row>
    <row r="1572" customFormat="false" ht="13.5" hidden="false" customHeight="false" outlineLevel="0" collapsed="false">
      <c r="A1572" s="1" t="str">
        <f aca="false">IF($C1572="","",Controls!$B$7)</f>
        <v/>
      </c>
      <c r="B1572" s="1" t="str">
        <f aca="false">IF($H1572="","",YEAR($H1572)&amp;"-Q"&amp;ROUNDUP(MONTH($H1572)/3,0))</f>
        <v/>
      </c>
      <c r="S1572" s="1" t="str">
        <f aca="false">IF($C1572="","",$C1572&amp;"|"&amp;$E1572&amp;"|"&amp;$F1572&amp;"|"&amp;$L1572&amp;"|"&amp;$P1572&amp;"|"&amp;TEXT($H1572,"yyyy-mm-dd"))</f>
        <v/>
      </c>
      <c r="T1572" s="1" t="str">
        <f aca="false">IF($S1572="","",IF(COUNTIF($S$2:$S$2991,$S1572)&gt;1,"DUPLICATE","OK"))</f>
        <v/>
      </c>
      <c r="U1572" s="0" t="str">
        <f aca="false">IF($L1572="","",IFERROR(VLOOKUP(--$L1572,MM_Income!$Z$5:$AC$204,3,FALSE()),"UNMAPPED"))</f>
        <v/>
      </c>
    </row>
    <row r="1573" customFormat="false" ht="13.5" hidden="false" customHeight="false" outlineLevel="0" collapsed="false">
      <c r="A1573" s="1" t="str">
        <f aca="false">IF($C1573="","",Controls!$B$7)</f>
        <v/>
      </c>
      <c r="B1573" s="1" t="str">
        <f aca="false">IF($H1573="","",YEAR($H1573)&amp;"-Q"&amp;ROUNDUP(MONTH($H1573)/3,0))</f>
        <v/>
      </c>
      <c r="S1573" s="1" t="str">
        <f aca="false">IF($C1573="","",$C1573&amp;"|"&amp;$E1573&amp;"|"&amp;$F1573&amp;"|"&amp;$L1573&amp;"|"&amp;$P1573&amp;"|"&amp;TEXT($H1573,"yyyy-mm-dd"))</f>
        <v/>
      </c>
      <c r="T1573" s="1" t="str">
        <f aca="false">IF($S1573="","",IF(COUNTIF($S$2:$S$2991,$S1573)&gt;1,"DUPLICATE","OK"))</f>
        <v/>
      </c>
      <c r="U1573" s="0" t="str">
        <f aca="false">IF($L1573="","",IFERROR(VLOOKUP(--$L1573,MM_Income!$Z$5:$AC$204,3,FALSE()),"UNMAPPED"))</f>
        <v/>
      </c>
    </row>
    <row r="1574" customFormat="false" ht="13.5" hidden="false" customHeight="false" outlineLevel="0" collapsed="false">
      <c r="A1574" s="1" t="str">
        <f aca="false">IF($C1574="","",Controls!$B$7)</f>
        <v/>
      </c>
      <c r="B1574" s="1" t="str">
        <f aca="false">IF($H1574="","",YEAR($H1574)&amp;"-Q"&amp;ROUNDUP(MONTH($H1574)/3,0))</f>
        <v/>
      </c>
      <c r="S1574" s="1" t="str">
        <f aca="false">IF($C1574="","",$C1574&amp;"|"&amp;$E1574&amp;"|"&amp;$F1574&amp;"|"&amp;$L1574&amp;"|"&amp;$P1574&amp;"|"&amp;TEXT($H1574,"yyyy-mm-dd"))</f>
        <v/>
      </c>
      <c r="T1574" s="1" t="str">
        <f aca="false">IF($S1574="","",IF(COUNTIF($S$2:$S$2991,$S1574)&gt;1,"DUPLICATE","OK"))</f>
        <v/>
      </c>
      <c r="U1574" s="0" t="str">
        <f aca="false">IF($L1574="","",IFERROR(VLOOKUP(--$L1574,MM_Income!$Z$5:$AC$204,3,FALSE()),"UNMAPPED"))</f>
        <v/>
      </c>
    </row>
    <row r="1575" customFormat="false" ht="13.5" hidden="false" customHeight="false" outlineLevel="0" collapsed="false">
      <c r="A1575" s="1" t="str">
        <f aca="false">IF($C1575="","",Controls!$B$7)</f>
        <v/>
      </c>
      <c r="B1575" s="1" t="str">
        <f aca="false">IF($H1575="","",YEAR($H1575)&amp;"-Q"&amp;ROUNDUP(MONTH($H1575)/3,0))</f>
        <v/>
      </c>
      <c r="S1575" s="1" t="str">
        <f aca="false">IF($C1575="","",$C1575&amp;"|"&amp;$E1575&amp;"|"&amp;$F1575&amp;"|"&amp;$L1575&amp;"|"&amp;$P1575&amp;"|"&amp;TEXT($H1575,"yyyy-mm-dd"))</f>
        <v/>
      </c>
      <c r="T1575" s="1" t="str">
        <f aca="false">IF($S1575="","",IF(COUNTIF($S$2:$S$2991,$S1575)&gt;1,"DUPLICATE","OK"))</f>
        <v/>
      </c>
      <c r="U1575" s="0" t="str">
        <f aca="false">IF($L1575="","",IFERROR(VLOOKUP(--$L1575,MM_Income!$Z$5:$AC$204,3,FALSE()),"UNMAPPED"))</f>
        <v/>
      </c>
    </row>
    <row r="1576" customFormat="false" ht="13.5" hidden="false" customHeight="false" outlineLevel="0" collapsed="false">
      <c r="A1576" s="1" t="str">
        <f aca="false">IF($C1576="","",Controls!$B$7)</f>
        <v/>
      </c>
      <c r="B1576" s="1" t="str">
        <f aca="false">IF($H1576="","",YEAR($H1576)&amp;"-Q"&amp;ROUNDUP(MONTH($H1576)/3,0))</f>
        <v/>
      </c>
      <c r="S1576" s="1" t="str">
        <f aca="false">IF($C1576="","",$C1576&amp;"|"&amp;$E1576&amp;"|"&amp;$F1576&amp;"|"&amp;$L1576&amp;"|"&amp;$P1576&amp;"|"&amp;TEXT($H1576,"yyyy-mm-dd"))</f>
        <v/>
      </c>
      <c r="T1576" s="1" t="str">
        <f aca="false">IF($S1576="","",IF(COUNTIF($S$2:$S$2991,$S1576)&gt;1,"DUPLICATE","OK"))</f>
        <v/>
      </c>
      <c r="U1576" s="0" t="str">
        <f aca="false">IF($L1576="","",IFERROR(VLOOKUP(--$L1576,MM_Income!$Z$5:$AC$204,3,FALSE()),"UNMAPPED"))</f>
        <v/>
      </c>
    </row>
    <row r="1577" customFormat="false" ht="13.5" hidden="false" customHeight="false" outlineLevel="0" collapsed="false">
      <c r="A1577" s="1" t="str">
        <f aca="false">IF($C1577="","",Controls!$B$7)</f>
        <v/>
      </c>
      <c r="B1577" s="1" t="str">
        <f aca="false">IF($H1577="","",YEAR($H1577)&amp;"-Q"&amp;ROUNDUP(MONTH($H1577)/3,0))</f>
        <v/>
      </c>
      <c r="S1577" s="1" t="str">
        <f aca="false">IF($C1577="","",$C1577&amp;"|"&amp;$E1577&amp;"|"&amp;$F1577&amp;"|"&amp;$L1577&amp;"|"&amp;$P1577&amp;"|"&amp;TEXT($H1577,"yyyy-mm-dd"))</f>
        <v/>
      </c>
      <c r="T1577" s="1" t="str">
        <f aca="false">IF($S1577="","",IF(COUNTIF($S$2:$S$2991,$S1577)&gt;1,"DUPLICATE","OK"))</f>
        <v/>
      </c>
      <c r="U1577" s="0" t="str">
        <f aca="false">IF($L1577="","",IFERROR(VLOOKUP(--$L1577,MM_Income!$Z$5:$AC$204,3,FALSE()),"UNMAPPED"))</f>
        <v/>
      </c>
    </row>
    <row r="1578" customFormat="false" ht="13.5" hidden="false" customHeight="false" outlineLevel="0" collapsed="false">
      <c r="A1578" s="1" t="str">
        <f aca="false">IF($C1578="","",Controls!$B$7)</f>
        <v/>
      </c>
      <c r="B1578" s="1" t="str">
        <f aca="false">IF($H1578="","",YEAR($H1578)&amp;"-Q"&amp;ROUNDUP(MONTH($H1578)/3,0))</f>
        <v/>
      </c>
      <c r="S1578" s="1" t="str">
        <f aca="false">IF($C1578="","",$C1578&amp;"|"&amp;$E1578&amp;"|"&amp;$F1578&amp;"|"&amp;$L1578&amp;"|"&amp;$P1578&amp;"|"&amp;TEXT($H1578,"yyyy-mm-dd"))</f>
        <v/>
      </c>
      <c r="T1578" s="1" t="str">
        <f aca="false">IF($S1578="","",IF(COUNTIF($S$2:$S$2991,$S1578)&gt;1,"DUPLICATE","OK"))</f>
        <v/>
      </c>
      <c r="U1578" s="0" t="str">
        <f aca="false">IF($L1578="","",IFERROR(VLOOKUP(--$L1578,MM_Income!$Z$5:$AC$204,3,FALSE()),"UNMAPPED"))</f>
        <v/>
      </c>
    </row>
    <row r="1579" customFormat="false" ht="13.5" hidden="false" customHeight="false" outlineLevel="0" collapsed="false">
      <c r="A1579" s="1" t="str">
        <f aca="false">IF($C1579="","",Controls!$B$7)</f>
        <v/>
      </c>
      <c r="B1579" s="1" t="str">
        <f aca="false">IF($H1579="","",YEAR($H1579)&amp;"-Q"&amp;ROUNDUP(MONTH($H1579)/3,0))</f>
        <v/>
      </c>
      <c r="S1579" s="1" t="str">
        <f aca="false">IF($C1579="","",$C1579&amp;"|"&amp;$E1579&amp;"|"&amp;$F1579&amp;"|"&amp;$L1579&amp;"|"&amp;$P1579&amp;"|"&amp;TEXT($H1579,"yyyy-mm-dd"))</f>
        <v/>
      </c>
      <c r="T1579" s="1" t="str">
        <f aca="false">IF($S1579="","",IF(COUNTIF($S$2:$S$2991,$S1579)&gt;1,"DUPLICATE","OK"))</f>
        <v/>
      </c>
      <c r="U1579" s="0" t="str">
        <f aca="false">IF($L1579="","",IFERROR(VLOOKUP(--$L1579,MM_Income!$Z$5:$AC$204,3,FALSE()),"UNMAPPED"))</f>
        <v/>
      </c>
    </row>
    <row r="1580" customFormat="false" ht="13.5" hidden="false" customHeight="false" outlineLevel="0" collapsed="false">
      <c r="A1580" s="1" t="str">
        <f aca="false">IF($C1580="","",Controls!$B$7)</f>
        <v/>
      </c>
      <c r="B1580" s="1" t="str">
        <f aca="false">IF($H1580="","",YEAR($H1580)&amp;"-Q"&amp;ROUNDUP(MONTH($H1580)/3,0))</f>
        <v/>
      </c>
      <c r="S1580" s="1" t="str">
        <f aca="false">IF($C1580="","",$C1580&amp;"|"&amp;$E1580&amp;"|"&amp;$F1580&amp;"|"&amp;$L1580&amp;"|"&amp;$P1580&amp;"|"&amp;TEXT($H1580,"yyyy-mm-dd"))</f>
        <v/>
      </c>
      <c r="T1580" s="1" t="str">
        <f aca="false">IF($S1580="","",IF(COUNTIF($S$2:$S$2991,$S1580)&gt;1,"DUPLICATE","OK"))</f>
        <v/>
      </c>
      <c r="U1580" s="0" t="str">
        <f aca="false">IF($L1580="","",IFERROR(VLOOKUP(--$L1580,MM_Income!$Z$5:$AC$204,3,FALSE()),"UNMAPPED"))</f>
        <v/>
      </c>
    </row>
    <row r="1581" customFormat="false" ht="13.5" hidden="false" customHeight="false" outlineLevel="0" collapsed="false">
      <c r="A1581" s="1" t="str">
        <f aca="false">IF($C1581="","",Controls!$B$7)</f>
        <v/>
      </c>
      <c r="B1581" s="1" t="str">
        <f aca="false">IF($H1581="","",YEAR($H1581)&amp;"-Q"&amp;ROUNDUP(MONTH($H1581)/3,0))</f>
        <v/>
      </c>
      <c r="S1581" s="1" t="str">
        <f aca="false">IF($C1581="","",$C1581&amp;"|"&amp;$E1581&amp;"|"&amp;$F1581&amp;"|"&amp;$L1581&amp;"|"&amp;$P1581&amp;"|"&amp;TEXT($H1581,"yyyy-mm-dd"))</f>
        <v/>
      </c>
      <c r="T1581" s="1" t="str">
        <f aca="false">IF($S1581="","",IF(COUNTIF($S$2:$S$2991,$S1581)&gt;1,"DUPLICATE","OK"))</f>
        <v/>
      </c>
      <c r="U1581" s="0" t="str">
        <f aca="false">IF($L1581="","",IFERROR(VLOOKUP(--$L1581,MM_Income!$Z$5:$AC$204,3,FALSE()),"UNMAPPED"))</f>
        <v/>
      </c>
    </row>
    <row r="1582" customFormat="false" ht="13.5" hidden="false" customHeight="false" outlineLevel="0" collapsed="false">
      <c r="A1582" s="1" t="str">
        <f aca="false">IF($C1582="","",Controls!$B$7)</f>
        <v/>
      </c>
      <c r="B1582" s="1" t="str">
        <f aca="false">IF($H1582="","",YEAR($H1582)&amp;"-Q"&amp;ROUNDUP(MONTH($H1582)/3,0))</f>
        <v/>
      </c>
      <c r="S1582" s="1" t="str">
        <f aca="false">IF($C1582="","",$C1582&amp;"|"&amp;$E1582&amp;"|"&amp;$F1582&amp;"|"&amp;$L1582&amp;"|"&amp;$P1582&amp;"|"&amp;TEXT($H1582,"yyyy-mm-dd"))</f>
        <v/>
      </c>
      <c r="T1582" s="1" t="str">
        <f aca="false">IF($S1582="","",IF(COUNTIF($S$2:$S$2991,$S1582)&gt;1,"DUPLICATE","OK"))</f>
        <v/>
      </c>
      <c r="U1582" s="0" t="str">
        <f aca="false">IF($L1582="","",IFERROR(VLOOKUP(--$L1582,MM_Income!$Z$5:$AC$204,3,FALSE()),"UNMAPPED"))</f>
        <v/>
      </c>
    </row>
    <row r="1583" customFormat="false" ht="13.5" hidden="false" customHeight="false" outlineLevel="0" collapsed="false">
      <c r="A1583" s="1" t="str">
        <f aca="false">IF($C1583="","",Controls!$B$7)</f>
        <v/>
      </c>
      <c r="B1583" s="1" t="str">
        <f aca="false">IF($H1583="","",YEAR($H1583)&amp;"-Q"&amp;ROUNDUP(MONTH($H1583)/3,0))</f>
        <v/>
      </c>
      <c r="S1583" s="1" t="str">
        <f aca="false">IF($C1583="","",$C1583&amp;"|"&amp;$E1583&amp;"|"&amp;$F1583&amp;"|"&amp;$L1583&amp;"|"&amp;$P1583&amp;"|"&amp;TEXT($H1583,"yyyy-mm-dd"))</f>
        <v/>
      </c>
      <c r="T1583" s="1" t="str">
        <f aca="false">IF($S1583="","",IF(COUNTIF($S$2:$S$2991,$S1583)&gt;1,"DUPLICATE","OK"))</f>
        <v/>
      </c>
      <c r="U1583" s="0" t="str">
        <f aca="false">IF($L1583="","",IFERROR(VLOOKUP(--$L1583,MM_Income!$Z$5:$AC$204,3,FALSE()),"UNMAPPED"))</f>
        <v/>
      </c>
    </row>
    <row r="1584" customFormat="false" ht="13.5" hidden="false" customHeight="false" outlineLevel="0" collapsed="false">
      <c r="A1584" s="1" t="str">
        <f aca="false">IF($C1584="","",Controls!$B$7)</f>
        <v/>
      </c>
      <c r="B1584" s="1" t="str">
        <f aca="false">IF($H1584="","",YEAR($H1584)&amp;"-Q"&amp;ROUNDUP(MONTH($H1584)/3,0))</f>
        <v/>
      </c>
      <c r="S1584" s="1" t="str">
        <f aca="false">IF($C1584="","",$C1584&amp;"|"&amp;$E1584&amp;"|"&amp;$F1584&amp;"|"&amp;$L1584&amp;"|"&amp;$P1584&amp;"|"&amp;TEXT($H1584,"yyyy-mm-dd"))</f>
        <v/>
      </c>
      <c r="T1584" s="1" t="str">
        <f aca="false">IF($S1584="","",IF(COUNTIF($S$2:$S$2991,$S1584)&gt;1,"DUPLICATE","OK"))</f>
        <v/>
      </c>
      <c r="U1584" s="0" t="str">
        <f aca="false">IF($L1584="","",IFERROR(VLOOKUP(--$L1584,MM_Income!$Z$5:$AC$204,3,FALSE()),"UNMAPPED"))</f>
        <v/>
      </c>
    </row>
    <row r="1585" customFormat="false" ht="13.5" hidden="false" customHeight="false" outlineLevel="0" collapsed="false">
      <c r="A1585" s="1" t="str">
        <f aca="false">IF($C1585="","",Controls!$B$7)</f>
        <v/>
      </c>
      <c r="B1585" s="1" t="str">
        <f aca="false">IF($H1585="","",YEAR($H1585)&amp;"-Q"&amp;ROUNDUP(MONTH($H1585)/3,0))</f>
        <v/>
      </c>
      <c r="S1585" s="1" t="str">
        <f aca="false">IF($C1585="","",$C1585&amp;"|"&amp;$E1585&amp;"|"&amp;$F1585&amp;"|"&amp;$L1585&amp;"|"&amp;$P1585&amp;"|"&amp;TEXT($H1585,"yyyy-mm-dd"))</f>
        <v/>
      </c>
      <c r="T1585" s="1" t="str">
        <f aca="false">IF($S1585="","",IF(COUNTIF($S$2:$S$2991,$S1585)&gt;1,"DUPLICATE","OK"))</f>
        <v/>
      </c>
      <c r="U1585" s="0" t="str">
        <f aca="false">IF($L1585="","",IFERROR(VLOOKUP(--$L1585,MM_Income!$Z$5:$AC$204,3,FALSE()),"UNMAPPED"))</f>
        <v/>
      </c>
    </row>
    <row r="1586" customFormat="false" ht="13.5" hidden="false" customHeight="false" outlineLevel="0" collapsed="false">
      <c r="A1586" s="1" t="str">
        <f aca="false">IF($C1586="","",Controls!$B$7)</f>
        <v/>
      </c>
      <c r="B1586" s="1" t="str">
        <f aca="false">IF($H1586="","",YEAR($H1586)&amp;"-Q"&amp;ROUNDUP(MONTH($H1586)/3,0))</f>
        <v/>
      </c>
      <c r="S1586" s="1" t="str">
        <f aca="false">IF($C1586="","",$C1586&amp;"|"&amp;$E1586&amp;"|"&amp;$F1586&amp;"|"&amp;$L1586&amp;"|"&amp;$P1586&amp;"|"&amp;TEXT($H1586,"yyyy-mm-dd"))</f>
        <v/>
      </c>
      <c r="T1586" s="1" t="str">
        <f aca="false">IF($S1586="","",IF(COUNTIF($S$2:$S$2991,$S1586)&gt;1,"DUPLICATE","OK"))</f>
        <v/>
      </c>
      <c r="U1586" s="0" t="str">
        <f aca="false">IF($L1586="","",IFERROR(VLOOKUP(--$L1586,MM_Income!$Z$5:$AC$204,3,FALSE()),"UNMAPPED"))</f>
        <v/>
      </c>
    </row>
    <row r="1587" customFormat="false" ht="13.5" hidden="false" customHeight="false" outlineLevel="0" collapsed="false">
      <c r="A1587" s="1" t="str">
        <f aca="false">IF($C1587="","",Controls!$B$7)</f>
        <v/>
      </c>
      <c r="B1587" s="1" t="str">
        <f aca="false">IF($H1587="","",YEAR($H1587)&amp;"-Q"&amp;ROUNDUP(MONTH($H1587)/3,0))</f>
        <v/>
      </c>
      <c r="S1587" s="1" t="str">
        <f aca="false">IF($C1587="","",$C1587&amp;"|"&amp;$E1587&amp;"|"&amp;$F1587&amp;"|"&amp;$L1587&amp;"|"&amp;$P1587&amp;"|"&amp;TEXT($H1587,"yyyy-mm-dd"))</f>
        <v/>
      </c>
      <c r="T1587" s="1" t="str">
        <f aca="false">IF($S1587="","",IF(COUNTIF($S$2:$S$2991,$S1587)&gt;1,"DUPLICATE","OK"))</f>
        <v/>
      </c>
      <c r="U1587" s="0" t="str">
        <f aca="false">IF($L1587="","",IFERROR(VLOOKUP(--$L1587,MM_Income!$Z$5:$AC$204,3,FALSE()),"UNMAPPED"))</f>
        <v/>
      </c>
    </row>
    <row r="1588" customFormat="false" ht="13.5" hidden="false" customHeight="false" outlineLevel="0" collapsed="false">
      <c r="A1588" s="1" t="str">
        <f aca="false">IF($C1588="","",Controls!$B$7)</f>
        <v/>
      </c>
      <c r="B1588" s="1" t="str">
        <f aca="false">IF($H1588="","",YEAR($H1588)&amp;"-Q"&amp;ROUNDUP(MONTH($H1588)/3,0))</f>
        <v/>
      </c>
      <c r="S1588" s="1" t="str">
        <f aca="false">IF($C1588="","",$C1588&amp;"|"&amp;$E1588&amp;"|"&amp;$F1588&amp;"|"&amp;$L1588&amp;"|"&amp;$P1588&amp;"|"&amp;TEXT($H1588,"yyyy-mm-dd"))</f>
        <v/>
      </c>
      <c r="T1588" s="1" t="str">
        <f aca="false">IF($S1588="","",IF(COUNTIF($S$2:$S$2991,$S1588)&gt;1,"DUPLICATE","OK"))</f>
        <v/>
      </c>
      <c r="U1588" s="0" t="str">
        <f aca="false">IF($L1588="","",IFERROR(VLOOKUP(--$L1588,MM_Income!$Z$5:$AC$204,3,FALSE()),"UNMAPPED"))</f>
        <v/>
      </c>
    </row>
    <row r="1589" customFormat="false" ht="13.5" hidden="false" customHeight="false" outlineLevel="0" collapsed="false">
      <c r="A1589" s="1" t="str">
        <f aca="false">IF($C1589="","",Controls!$B$7)</f>
        <v/>
      </c>
      <c r="B1589" s="1" t="str">
        <f aca="false">IF($H1589="","",YEAR($H1589)&amp;"-Q"&amp;ROUNDUP(MONTH($H1589)/3,0))</f>
        <v/>
      </c>
      <c r="S1589" s="1" t="str">
        <f aca="false">IF($C1589="","",$C1589&amp;"|"&amp;$E1589&amp;"|"&amp;$F1589&amp;"|"&amp;$L1589&amp;"|"&amp;$P1589&amp;"|"&amp;TEXT($H1589,"yyyy-mm-dd"))</f>
        <v/>
      </c>
      <c r="T1589" s="1" t="str">
        <f aca="false">IF($S1589="","",IF(COUNTIF($S$2:$S$2991,$S1589)&gt;1,"DUPLICATE","OK"))</f>
        <v/>
      </c>
      <c r="U1589" s="0" t="str">
        <f aca="false">IF($L1589="","",IFERROR(VLOOKUP(--$L1589,MM_Income!$Z$5:$AC$204,3,FALSE()),"UNMAPPED"))</f>
        <v/>
      </c>
    </row>
    <row r="1590" customFormat="false" ht="13.5" hidden="false" customHeight="false" outlineLevel="0" collapsed="false">
      <c r="A1590" s="1" t="str">
        <f aca="false">IF($C1590="","",Controls!$B$7)</f>
        <v/>
      </c>
      <c r="B1590" s="1" t="str">
        <f aca="false">IF($H1590="","",YEAR($H1590)&amp;"-Q"&amp;ROUNDUP(MONTH($H1590)/3,0))</f>
        <v/>
      </c>
      <c r="S1590" s="1" t="str">
        <f aca="false">IF($C1590="","",$C1590&amp;"|"&amp;$E1590&amp;"|"&amp;$F1590&amp;"|"&amp;$L1590&amp;"|"&amp;$P1590&amp;"|"&amp;TEXT($H1590,"yyyy-mm-dd"))</f>
        <v/>
      </c>
      <c r="T1590" s="1" t="str">
        <f aca="false">IF($S1590="","",IF(COUNTIF($S$2:$S$2991,$S1590)&gt;1,"DUPLICATE","OK"))</f>
        <v/>
      </c>
      <c r="U1590" s="0" t="str">
        <f aca="false">IF($L1590="","",IFERROR(VLOOKUP(--$L1590,MM_Income!$Z$5:$AC$204,3,FALSE()),"UNMAPPED"))</f>
        <v/>
      </c>
    </row>
    <row r="1591" customFormat="false" ht="13.5" hidden="false" customHeight="false" outlineLevel="0" collapsed="false">
      <c r="A1591" s="1" t="str">
        <f aca="false">IF($C1591="","",Controls!$B$7)</f>
        <v/>
      </c>
      <c r="B1591" s="1" t="str">
        <f aca="false">IF($H1591="","",YEAR($H1591)&amp;"-Q"&amp;ROUNDUP(MONTH($H1591)/3,0))</f>
        <v/>
      </c>
      <c r="S1591" s="1" t="str">
        <f aca="false">IF($C1591="","",$C1591&amp;"|"&amp;$E1591&amp;"|"&amp;$F1591&amp;"|"&amp;$L1591&amp;"|"&amp;$P1591&amp;"|"&amp;TEXT($H1591,"yyyy-mm-dd"))</f>
        <v/>
      </c>
      <c r="T1591" s="1" t="str">
        <f aca="false">IF($S1591="","",IF(COUNTIF($S$2:$S$2991,$S1591)&gt;1,"DUPLICATE","OK"))</f>
        <v/>
      </c>
      <c r="U1591" s="0" t="str">
        <f aca="false">IF($L1591="","",IFERROR(VLOOKUP(--$L1591,MM_Income!$Z$5:$AC$204,3,FALSE()),"UNMAPPED"))</f>
        <v/>
      </c>
    </row>
    <row r="1592" customFormat="false" ht="13.5" hidden="false" customHeight="false" outlineLevel="0" collapsed="false">
      <c r="A1592" s="1" t="str">
        <f aca="false">IF($C1592="","",Controls!$B$7)</f>
        <v/>
      </c>
      <c r="B1592" s="1" t="str">
        <f aca="false">IF($H1592="","",YEAR($H1592)&amp;"-Q"&amp;ROUNDUP(MONTH($H1592)/3,0))</f>
        <v/>
      </c>
      <c r="S1592" s="1" t="str">
        <f aca="false">IF($C1592="","",$C1592&amp;"|"&amp;$E1592&amp;"|"&amp;$F1592&amp;"|"&amp;$L1592&amp;"|"&amp;$P1592&amp;"|"&amp;TEXT($H1592,"yyyy-mm-dd"))</f>
        <v/>
      </c>
      <c r="T1592" s="1" t="str">
        <f aca="false">IF($S1592="","",IF(COUNTIF($S$2:$S$2991,$S1592)&gt;1,"DUPLICATE","OK"))</f>
        <v/>
      </c>
      <c r="U1592" s="0" t="str">
        <f aca="false">IF($L1592="","",IFERROR(VLOOKUP(--$L1592,MM_Income!$Z$5:$AC$204,3,FALSE()),"UNMAPPED"))</f>
        <v/>
      </c>
    </row>
    <row r="1593" customFormat="false" ht="13.5" hidden="false" customHeight="false" outlineLevel="0" collapsed="false">
      <c r="A1593" s="1" t="str">
        <f aca="false">IF($C1593="","",Controls!$B$7)</f>
        <v/>
      </c>
      <c r="B1593" s="1" t="str">
        <f aca="false">IF($H1593="","",YEAR($H1593)&amp;"-Q"&amp;ROUNDUP(MONTH($H1593)/3,0))</f>
        <v/>
      </c>
      <c r="S1593" s="1" t="str">
        <f aca="false">IF($C1593="","",$C1593&amp;"|"&amp;$E1593&amp;"|"&amp;$F1593&amp;"|"&amp;$L1593&amp;"|"&amp;$P1593&amp;"|"&amp;TEXT($H1593,"yyyy-mm-dd"))</f>
        <v/>
      </c>
      <c r="T1593" s="1" t="str">
        <f aca="false">IF($S1593="","",IF(COUNTIF($S$2:$S$2991,$S1593)&gt;1,"DUPLICATE","OK"))</f>
        <v/>
      </c>
      <c r="U1593" s="0" t="str">
        <f aca="false">IF($L1593="","",IFERROR(VLOOKUP(--$L1593,MM_Income!$Z$5:$AC$204,3,FALSE()),"UNMAPPED"))</f>
        <v/>
      </c>
    </row>
    <row r="1594" customFormat="false" ht="13.5" hidden="false" customHeight="false" outlineLevel="0" collapsed="false">
      <c r="A1594" s="1" t="str">
        <f aca="false">IF($C1594="","",Controls!$B$7)</f>
        <v/>
      </c>
      <c r="B1594" s="1" t="str">
        <f aca="false">IF($H1594="","",YEAR($H1594)&amp;"-Q"&amp;ROUNDUP(MONTH($H1594)/3,0))</f>
        <v/>
      </c>
      <c r="S1594" s="1" t="str">
        <f aca="false">IF($C1594="","",$C1594&amp;"|"&amp;$E1594&amp;"|"&amp;$F1594&amp;"|"&amp;$L1594&amp;"|"&amp;$P1594&amp;"|"&amp;TEXT($H1594,"yyyy-mm-dd"))</f>
        <v/>
      </c>
      <c r="T1594" s="1" t="str">
        <f aca="false">IF($S1594="","",IF(COUNTIF($S$2:$S$2991,$S1594)&gt;1,"DUPLICATE","OK"))</f>
        <v/>
      </c>
      <c r="U1594" s="0" t="str">
        <f aca="false">IF($L1594="","",IFERROR(VLOOKUP(--$L1594,MM_Income!$Z$5:$AC$204,3,FALSE()),"UNMAPPED"))</f>
        <v/>
      </c>
    </row>
    <row r="1595" customFormat="false" ht="13.5" hidden="false" customHeight="false" outlineLevel="0" collapsed="false">
      <c r="A1595" s="1" t="str">
        <f aca="false">IF($C1595="","",Controls!$B$7)</f>
        <v/>
      </c>
      <c r="B1595" s="1" t="str">
        <f aca="false">IF($H1595="","",YEAR($H1595)&amp;"-Q"&amp;ROUNDUP(MONTH($H1595)/3,0))</f>
        <v/>
      </c>
      <c r="S1595" s="1" t="str">
        <f aca="false">IF($C1595="","",$C1595&amp;"|"&amp;$E1595&amp;"|"&amp;$F1595&amp;"|"&amp;$L1595&amp;"|"&amp;$P1595&amp;"|"&amp;TEXT($H1595,"yyyy-mm-dd"))</f>
        <v/>
      </c>
      <c r="T1595" s="1" t="str">
        <f aca="false">IF($S1595="","",IF(COUNTIF($S$2:$S$2991,$S1595)&gt;1,"DUPLICATE","OK"))</f>
        <v/>
      </c>
      <c r="U1595" s="0" t="str">
        <f aca="false">IF($L1595="","",IFERROR(VLOOKUP(--$L1595,MM_Income!$Z$5:$AC$204,3,FALSE()),"UNMAPPED"))</f>
        <v/>
      </c>
    </row>
    <row r="1596" customFormat="false" ht="13.5" hidden="false" customHeight="false" outlineLevel="0" collapsed="false">
      <c r="A1596" s="1" t="str">
        <f aca="false">IF($C1596="","",Controls!$B$7)</f>
        <v/>
      </c>
      <c r="B1596" s="1" t="str">
        <f aca="false">IF($H1596="","",YEAR($H1596)&amp;"-Q"&amp;ROUNDUP(MONTH($H1596)/3,0))</f>
        <v/>
      </c>
      <c r="S1596" s="1" t="str">
        <f aca="false">IF($C1596="","",$C1596&amp;"|"&amp;$E1596&amp;"|"&amp;$F1596&amp;"|"&amp;$L1596&amp;"|"&amp;$P1596&amp;"|"&amp;TEXT($H1596,"yyyy-mm-dd"))</f>
        <v/>
      </c>
      <c r="T1596" s="1" t="str">
        <f aca="false">IF($S1596="","",IF(COUNTIF($S$2:$S$2991,$S1596)&gt;1,"DUPLICATE","OK"))</f>
        <v/>
      </c>
      <c r="U1596" s="0" t="str">
        <f aca="false">IF($L1596="","",IFERROR(VLOOKUP(--$L1596,MM_Income!$Z$5:$AC$204,3,FALSE()),"UNMAPPED"))</f>
        <v/>
      </c>
    </row>
    <row r="1597" customFormat="false" ht="13.5" hidden="false" customHeight="false" outlineLevel="0" collapsed="false">
      <c r="A1597" s="1" t="str">
        <f aca="false">IF($C1597="","",Controls!$B$7)</f>
        <v/>
      </c>
      <c r="B1597" s="1" t="str">
        <f aca="false">IF($H1597="","",YEAR($H1597)&amp;"-Q"&amp;ROUNDUP(MONTH($H1597)/3,0))</f>
        <v/>
      </c>
      <c r="S1597" s="1" t="str">
        <f aca="false">IF($C1597="","",$C1597&amp;"|"&amp;$E1597&amp;"|"&amp;$F1597&amp;"|"&amp;$L1597&amp;"|"&amp;$P1597&amp;"|"&amp;TEXT($H1597,"yyyy-mm-dd"))</f>
        <v/>
      </c>
      <c r="T1597" s="1" t="str">
        <f aca="false">IF($S1597="","",IF(COUNTIF($S$2:$S$2991,$S1597)&gt;1,"DUPLICATE","OK"))</f>
        <v/>
      </c>
      <c r="U1597" s="0" t="str">
        <f aca="false">IF($L1597="","",IFERROR(VLOOKUP(--$L1597,MM_Income!$Z$5:$AC$204,3,FALSE()),"UNMAPPED"))</f>
        <v/>
      </c>
    </row>
    <row r="1598" customFormat="false" ht="13.5" hidden="false" customHeight="false" outlineLevel="0" collapsed="false">
      <c r="A1598" s="1" t="str">
        <f aca="false">IF($C1598="","",Controls!$B$7)</f>
        <v/>
      </c>
      <c r="B1598" s="1" t="str">
        <f aca="false">IF($H1598="","",YEAR($H1598)&amp;"-Q"&amp;ROUNDUP(MONTH($H1598)/3,0))</f>
        <v/>
      </c>
      <c r="S1598" s="1" t="str">
        <f aca="false">IF($C1598="","",$C1598&amp;"|"&amp;$E1598&amp;"|"&amp;$F1598&amp;"|"&amp;$L1598&amp;"|"&amp;$P1598&amp;"|"&amp;TEXT($H1598,"yyyy-mm-dd"))</f>
        <v/>
      </c>
      <c r="T1598" s="1" t="str">
        <f aca="false">IF($S1598="","",IF(COUNTIF($S$2:$S$2991,$S1598)&gt;1,"DUPLICATE","OK"))</f>
        <v/>
      </c>
      <c r="U1598" s="0" t="str">
        <f aca="false">IF($L1598="","",IFERROR(VLOOKUP(--$L1598,MM_Income!$Z$5:$AC$204,3,FALSE()),"UNMAPPED"))</f>
        <v/>
      </c>
    </row>
    <row r="1599" customFormat="false" ht="13.5" hidden="false" customHeight="false" outlineLevel="0" collapsed="false">
      <c r="A1599" s="1" t="str">
        <f aca="false">IF($C1599="","",Controls!$B$7)</f>
        <v/>
      </c>
      <c r="B1599" s="1" t="str">
        <f aca="false">IF($H1599="","",YEAR($H1599)&amp;"-Q"&amp;ROUNDUP(MONTH($H1599)/3,0))</f>
        <v/>
      </c>
      <c r="S1599" s="1" t="str">
        <f aca="false">IF($C1599="","",$C1599&amp;"|"&amp;$E1599&amp;"|"&amp;$F1599&amp;"|"&amp;$L1599&amp;"|"&amp;$P1599&amp;"|"&amp;TEXT($H1599,"yyyy-mm-dd"))</f>
        <v/>
      </c>
      <c r="T1599" s="1" t="str">
        <f aca="false">IF($S1599="","",IF(COUNTIF($S$2:$S$2991,$S1599)&gt;1,"DUPLICATE","OK"))</f>
        <v/>
      </c>
      <c r="U1599" s="0" t="str">
        <f aca="false">IF($L1599="","",IFERROR(VLOOKUP(--$L1599,MM_Income!$Z$5:$AC$204,3,FALSE()),"UNMAPPED"))</f>
        <v/>
      </c>
    </row>
    <row r="1600" customFormat="false" ht="13.5" hidden="false" customHeight="false" outlineLevel="0" collapsed="false">
      <c r="A1600" s="1" t="str">
        <f aca="false">IF($C1600="","",Controls!$B$7)</f>
        <v/>
      </c>
      <c r="B1600" s="1" t="str">
        <f aca="false">IF($H1600="","",YEAR($H1600)&amp;"-Q"&amp;ROUNDUP(MONTH($H1600)/3,0))</f>
        <v/>
      </c>
      <c r="S1600" s="1" t="str">
        <f aca="false">IF($C1600="","",$C1600&amp;"|"&amp;$E1600&amp;"|"&amp;$F1600&amp;"|"&amp;$L1600&amp;"|"&amp;$P1600&amp;"|"&amp;TEXT($H1600,"yyyy-mm-dd"))</f>
        <v/>
      </c>
      <c r="T1600" s="1" t="str">
        <f aca="false">IF($S1600="","",IF(COUNTIF($S$2:$S$2991,$S1600)&gt;1,"DUPLICATE","OK"))</f>
        <v/>
      </c>
      <c r="U1600" s="0" t="str">
        <f aca="false">IF($L1600="","",IFERROR(VLOOKUP(--$L1600,MM_Income!$Z$5:$AC$204,3,FALSE()),"UNMAPPED"))</f>
        <v/>
      </c>
    </row>
    <row r="1601" customFormat="false" ht="13.5" hidden="false" customHeight="false" outlineLevel="0" collapsed="false">
      <c r="A1601" s="1" t="str">
        <f aca="false">IF($C1601="","",Controls!$B$7)</f>
        <v/>
      </c>
      <c r="B1601" s="1" t="str">
        <f aca="false">IF($H1601="","",YEAR($H1601)&amp;"-Q"&amp;ROUNDUP(MONTH($H1601)/3,0))</f>
        <v/>
      </c>
      <c r="S1601" s="1" t="str">
        <f aca="false">IF($C1601="","",$C1601&amp;"|"&amp;$E1601&amp;"|"&amp;$F1601&amp;"|"&amp;$L1601&amp;"|"&amp;$P1601&amp;"|"&amp;TEXT($H1601,"yyyy-mm-dd"))</f>
        <v/>
      </c>
      <c r="T1601" s="1" t="str">
        <f aca="false">IF($S1601="","",IF(COUNTIF($S$2:$S$2991,$S1601)&gt;1,"DUPLICATE","OK"))</f>
        <v/>
      </c>
      <c r="U1601" s="0" t="str">
        <f aca="false">IF($L1601="","",IFERROR(VLOOKUP(--$L1601,MM_Income!$Z$5:$AC$204,3,FALSE()),"UNMAPPED"))</f>
        <v/>
      </c>
    </row>
    <row r="1602" customFormat="false" ht="13.5" hidden="false" customHeight="false" outlineLevel="0" collapsed="false">
      <c r="A1602" s="1" t="str">
        <f aca="false">IF($C1602="","",Controls!$B$7)</f>
        <v/>
      </c>
      <c r="B1602" s="1" t="str">
        <f aca="false">IF($H1602="","",YEAR($H1602)&amp;"-Q"&amp;ROUNDUP(MONTH($H1602)/3,0))</f>
        <v/>
      </c>
      <c r="S1602" s="1" t="str">
        <f aca="false">IF($C1602="","",$C1602&amp;"|"&amp;$E1602&amp;"|"&amp;$F1602&amp;"|"&amp;$L1602&amp;"|"&amp;$P1602&amp;"|"&amp;TEXT($H1602,"yyyy-mm-dd"))</f>
        <v/>
      </c>
      <c r="T1602" s="1" t="str">
        <f aca="false">IF($S1602="","",IF(COUNTIF($S$2:$S$2991,$S1602)&gt;1,"DUPLICATE","OK"))</f>
        <v/>
      </c>
      <c r="U1602" s="0" t="str">
        <f aca="false">IF($L1602="","",IFERROR(VLOOKUP(--$L1602,MM_Income!$Z$5:$AC$204,3,FALSE()),"UNMAPPED"))</f>
        <v/>
      </c>
    </row>
    <row r="1603" customFormat="false" ht="13.5" hidden="false" customHeight="false" outlineLevel="0" collapsed="false">
      <c r="A1603" s="1" t="str">
        <f aca="false">IF($C1603="","",Controls!$B$7)</f>
        <v/>
      </c>
      <c r="B1603" s="1" t="str">
        <f aca="false">IF($H1603="","",YEAR($H1603)&amp;"-Q"&amp;ROUNDUP(MONTH($H1603)/3,0))</f>
        <v/>
      </c>
      <c r="S1603" s="1" t="str">
        <f aca="false">IF($C1603="","",$C1603&amp;"|"&amp;$E1603&amp;"|"&amp;$F1603&amp;"|"&amp;$L1603&amp;"|"&amp;$P1603&amp;"|"&amp;TEXT($H1603,"yyyy-mm-dd"))</f>
        <v/>
      </c>
      <c r="T1603" s="1" t="str">
        <f aca="false">IF($S1603="","",IF(COUNTIF($S$2:$S$2991,$S1603)&gt;1,"DUPLICATE","OK"))</f>
        <v/>
      </c>
      <c r="U1603" s="0" t="str">
        <f aca="false">IF($L1603="","",IFERROR(VLOOKUP(--$L1603,MM_Income!$Z$5:$AC$204,3,FALSE()),"UNMAPPED"))</f>
        <v/>
      </c>
    </row>
    <row r="1604" customFormat="false" ht="13.5" hidden="false" customHeight="false" outlineLevel="0" collapsed="false">
      <c r="A1604" s="1" t="str">
        <f aca="false">IF($C1604="","",Controls!$B$7)</f>
        <v/>
      </c>
      <c r="B1604" s="1" t="str">
        <f aca="false">IF($H1604="","",YEAR($H1604)&amp;"-Q"&amp;ROUNDUP(MONTH($H1604)/3,0))</f>
        <v/>
      </c>
      <c r="S1604" s="1" t="str">
        <f aca="false">IF($C1604="","",$C1604&amp;"|"&amp;$E1604&amp;"|"&amp;$F1604&amp;"|"&amp;$L1604&amp;"|"&amp;$P1604&amp;"|"&amp;TEXT($H1604,"yyyy-mm-dd"))</f>
        <v/>
      </c>
      <c r="T1604" s="1" t="str">
        <f aca="false">IF($S1604="","",IF(COUNTIF($S$2:$S$2991,$S1604)&gt;1,"DUPLICATE","OK"))</f>
        <v/>
      </c>
      <c r="U1604" s="0" t="str">
        <f aca="false">IF($L1604="","",IFERROR(VLOOKUP(--$L1604,MM_Income!$Z$5:$AC$204,3,FALSE()),"UNMAPPED"))</f>
        <v/>
      </c>
    </row>
    <row r="1605" customFormat="false" ht="13.5" hidden="false" customHeight="false" outlineLevel="0" collapsed="false">
      <c r="A1605" s="1" t="str">
        <f aca="false">IF($C1605="","",Controls!$B$7)</f>
        <v/>
      </c>
      <c r="B1605" s="1" t="str">
        <f aca="false">IF($H1605="","",YEAR($H1605)&amp;"-Q"&amp;ROUNDUP(MONTH($H1605)/3,0))</f>
        <v/>
      </c>
      <c r="S1605" s="1" t="str">
        <f aca="false">IF($C1605="","",$C1605&amp;"|"&amp;$E1605&amp;"|"&amp;$F1605&amp;"|"&amp;$L1605&amp;"|"&amp;$P1605&amp;"|"&amp;TEXT($H1605,"yyyy-mm-dd"))</f>
        <v/>
      </c>
      <c r="T1605" s="1" t="str">
        <f aca="false">IF($S1605="","",IF(COUNTIF($S$2:$S$2991,$S1605)&gt;1,"DUPLICATE","OK"))</f>
        <v/>
      </c>
      <c r="U1605" s="0" t="str">
        <f aca="false">IF($L1605="","",IFERROR(VLOOKUP(--$L1605,MM_Income!$Z$5:$AC$204,3,FALSE()),"UNMAPPED"))</f>
        <v/>
      </c>
    </row>
    <row r="1606" customFormat="false" ht="13.5" hidden="false" customHeight="false" outlineLevel="0" collapsed="false">
      <c r="A1606" s="1" t="str">
        <f aca="false">IF($C1606="","",Controls!$B$7)</f>
        <v/>
      </c>
      <c r="B1606" s="1" t="str">
        <f aca="false">IF($H1606="","",YEAR($H1606)&amp;"-Q"&amp;ROUNDUP(MONTH($H1606)/3,0))</f>
        <v/>
      </c>
      <c r="S1606" s="1" t="str">
        <f aca="false">IF($C1606="","",$C1606&amp;"|"&amp;$E1606&amp;"|"&amp;$F1606&amp;"|"&amp;$L1606&amp;"|"&amp;$P1606&amp;"|"&amp;TEXT($H1606,"yyyy-mm-dd"))</f>
        <v/>
      </c>
      <c r="T1606" s="1" t="str">
        <f aca="false">IF($S1606="","",IF(COUNTIF($S$2:$S$2991,$S1606)&gt;1,"DUPLICATE","OK"))</f>
        <v/>
      </c>
      <c r="U1606" s="0" t="str">
        <f aca="false">IF($L1606="","",IFERROR(VLOOKUP(--$L1606,MM_Income!$Z$5:$AC$204,3,FALSE()),"UNMAPPED"))</f>
        <v/>
      </c>
    </row>
    <row r="1607" customFormat="false" ht="13.5" hidden="false" customHeight="false" outlineLevel="0" collapsed="false">
      <c r="A1607" s="1" t="str">
        <f aca="false">IF($C1607="","",Controls!$B$7)</f>
        <v/>
      </c>
      <c r="B1607" s="1" t="str">
        <f aca="false">IF($H1607="","",YEAR($H1607)&amp;"-Q"&amp;ROUNDUP(MONTH($H1607)/3,0))</f>
        <v/>
      </c>
      <c r="S1607" s="1" t="str">
        <f aca="false">IF($C1607="","",$C1607&amp;"|"&amp;$E1607&amp;"|"&amp;$F1607&amp;"|"&amp;$L1607&amp;"|"&amp;$P1607&amp;"|"&amp;TEXT($H1607,"yyyy-mm-dd"))</f>
        <v/>
      </c>
      <c r="T1607" s="1" t="str">
        <f aca="false">IF($S1607="","",IF(COUNTIF($S$2:$S$2991,$S1607)&gt;1,"DUPLICATE","OK"))</f>
        <v/>
      </c>
      <c r="U1607" s="0" t="str">
        <f aca="false">IF($L1607="","",IFERROR(VLOOKUP(--$L1607,MM_Income!$Z$5:$AC$204,3,FALSE()),"UNMAPPED"))</f>
        <v/>
      </c>
    </row>
    <row r="1608" customFormat="false" ht="13.5" hidden="false" customHeight="false" outlineLevel="0" collapsed="false">
      <c r="A1608" s="1" t="str">
        <f aca="false">IF($C1608="","",Controls!$B$7)</f>
        <v/>
      </c>
      <c r="B1608" s="1" t="str">
        <f aca="false">IF($H1608="","",YEAR($H1608)&amp;"-Q"&amp;ROUNDUP(MONTH($H1608)/3,0))</f>
        <v/>
      </c>
      <c r="S1608" s="1" t="str">
        <f aca="false">IF($C1608="","",$C1608&amp;"|"&amp;$E1608&amp;"|"&amp;$F1608&amp;"|"&amp;$L1608&amp;"|"&amp;$P1608&amp;"|"&amp;TEXT($H1608,"yyyy-mm-dd"))</f>
        <v/>
      </c>
      <c r="T1608" s="1" t="str">
        <f aca="false">IF($S1608="","",IF(COUNTIF($S$2:$S$2991,$S1608)&gt;1,"DUPLICATE","OK"))</f>
        <v/>
      </c>
      <c r="U1608" s="0" t="str">
        <f aca="false">IF($L1608="","",IFERROR(VLOOKUP(--$L1608,MM_Income!$Z$5:$AC$204,3,FALSE()),"UNMAPPED"))</f>
        <v/>
      </c>
    </row>
    <row r="1609" customFormat="false" ht="13.5" hidden="false" customHeight="false" outlineLevel="0" collapsed="false">
      <c r="A1609" s="1" t="str">
        <f aca="false">IF($C1609="","",Controls!$B$7)</f>
        <v/>
      </c>
      <c r="B1609" s="1" t="str">
        <f aca="false">IF($H1609="","",YEAR($H1609)&amp;"-Q"&amp;ROUNDUP(MONTH($H1609)/3,0))</f>
        <v/>
      </c>
      <c r="S1609" s="1" t="str">
        <f aca="false">IF($C1609="","",$C1609&amp;"|"&amp;$E1609&amp;"|"&amp;$F1609&amp;"|"&amp;$L1609&amp;"|"&amp;$P1609&amp;"|"&amp;TEXT($H1609,"yyyy-mm-dd"))</f>
        <v/>
      </c>
      <c r="T1609" s="1" t="str">
        <f aca="false">IF($S1609="","",IF(COUNTIF($S$2:$S$2991,$S1609)&gt;1,"DUPLICATE","OK"))</f>
        <v/>
      </c>
      <c r="U1609" s="0" t="str">
        <f aca="false">IF($L1609="","",IFERROR(VLOOKUP(--$L1609,MM_Income!$Z$5:$AC$204,3,FALSE()),"UNMAPPED"))</f>
        <v/>
      </c>
    </row>
    <row r="1610" customFormat="false" ht="13.5" hidden="false" customHeight="false" outlineLevel="0" collapsed="false">
      <c r="A1610" s="1" t="str">
        <f aca="false">IF($C1610="","",Controls!$B$7)</f>
        <v/>
      </c>
      <c r="B1610" s="1" t="str">
        <f aca="false">IF($H1610="","",YEAR($H1610)&amp;"-Q"&amp;ROUNDUP(MONTH($H1610)/3,0))</f>
        <v/>
      </c>
      <c r="S1610" s="1" t="str">
        <f aca="false">IF($C1610="","",$C1610&amp;"|"&amp;$E1610&amp;"|"&amp;$F1610&amp;"|"&amp;$L1610&amp;"|"&amp;$P1610&amp;"|"&amp;TEXT($H1610,"yyyy-mm-dd"))</f>
        <v/>
      </c>
      <c r="T1610" s="1" t="str">
        <f aca="false">IF($S1610="","",IF(COUNTIF($S$2:$S$2991,$S1610)&gt;1,"DUPLICATE","OK"))</f>
        <v/>
      </c>
      <c r="U1610" s="0" t="str">
        <f aca="false">IF($L1610="","",IFERROR(VLOOKUP(--$L1610,MM_Income!$Z$5:$AC$204,3,FALSE()),"UNMAPPED"))</f>
        <v/>
      </c>
    </row>
    <row r="1611" customFormat="false" ht="13.5" hidden="false" customHeight="false" outlineLevel="0" collapsed="false">
      <c r="A1611" s="1" t="str">
        <f aca="false">IF($C1611="","",Controls!$B$7)</f>
        <v/>
      </c>
      <c r="B1611" s="1" t="str">
        <f aca="false">IF($H1611="","",YEAR($H1611)&amp;"-Q"&amp;ROUNDUP(MONTH($H1611)/3,0))</f>
        <v/>
      </c>
      <c r="S1611" s="1" t="str">
        <f aca="false">IF($C1611="","",$C1611&amp;"|"&amp;$E1611&amp;"|"&amp;$F1611&amp;"|"&amp;$L1611&amp;"|"&amp;$P1611&amp;"|"&amp;TEXT($H1611,"yyyy-mm-dd"))</f>
        <v/>
      </c>
      <c r="T1611" s="1" t="str">
        <f aca="false">IF($S1611="","",IF(COUNTIF($S$2:$S$2991,$S1611)&gt;1,"DUPLICATE","OK"))</f>
        <v/>
      </c>
      <c r="U1611" s="0" t="str">
        <f aca="false">IF($L1611="","",IFERROR(VLOOKUP(--$L1611,MM_Income!$Z$5:$AC$204,3,FALSE()),"UNMAPPED"))</f>
        <v/>
      </c>
    </row>
    <row r="1612" customFormat="false" ht="13.5" hidden="false" customHeight="false" outlineLevel="0" collapsed="false">
      <c r="A1612" s="1" t="str">
        <f aca="false">IF($C1612="","",Controls!$B$7)</f>
        <v/>
      </c>
      <c r="B1612" s="1" t="str">
        <f aca="false">IF($H1612="","",YEAR($H1612)&amp;"-Q"&amp;ROUNDUP(MONTH($H1612)/3,0))</f>
        <v/>
      </c>
      <c r="S1612" s="1" t="str">
        <f aca="false">IF($C1612="","",$C1612&amp;"|"&amp;$E1612&amp;"|"&amp;$F1612&amp;"|"&amp;$L1612&amp;"|"&amp;$P1612&amp;"|"&amp;TEXT($H1612,"yyyy-mm-dd"))</f>
        <v/>
      </c>
      <c r="T1612" s="1" t="str">
        <f aca="false">IF($S1612="","",IF(COUNTIF($S$2:$S$2991,$S1612)&gt;1,"DUPLICATE","OK"))</f>
        <v/>
      </c>
      <c r="U1612" s="0" t="str">
        <f aca="false">IF($L1612="","",IFERROR(VLOOKUP(--$L1612,MM_Income!$Z$5:$AC$204,3,FALSE()),"UNMAPPED"))</f>
        <v/>
      </c>
    </row>
    <row r="1613" customFormat="false" ht="13.5" hidden="false" customHeight="false" outlineLevel="0" collapsed="false">
      <c r="A1613" s="1" t="str">
        <f aca="false">IF($C1613="","",Controls!$B$7)</f>
        <v/>
      </c>
      <c r="B1613" s="1" t="str">
        <f aca="false">IF($H1613="","",YEAR($H1613)&amp;"-Q"&amp;ROUNDUP(MONTH($H1613)/3,0))</f>
        <v/>
      </c>
      <c r="S1613" s="1" t="str">
        <f aca="false">IF($C1613="","",$C1613&amp;"|"&amp;$E1613&amp;"|"&amp;$F1613&amp;"|"&amp;$L1613&amp;"|"&amp;$P1613&amp;"|"&amp;TEXT($H1613,"yyyy-mm-dd"))</f>
        <v/>
      </c>
      <c r="T1613" s="1" t="str">
        <f aca="false">IF($S1613="","",IF(COUNTIF($S$2:$S$2991,$S1613)&gt;1,"DUPLICATE","OK"))</f>
        <v/>
      </c>
      <c r="U1613" s="0" t="str">
        <f aca="false">IF($L1613="","",IFERROR(VLOOKUP(--$L1613,MM_Income!$Z$5:$AC$204,3,FALSE()),"UNMAPPED"))</f>
        <v/>
      </c>
    </row>
    <row r="1614" customFormat="false" ht="13.5" hidden="false" customHeight="false" outlineLevel="0" collapsed="false">
      <c r="A1614" s="1" t="str">
        <f aca="false">IF($C1614="","",Controls!$B$7)</f>
        <v/>
      </c>
      <c r="B1614" s="1" t="str">
        <f aca="false">IF($H1614="","",YEAR($H1614)&amp;"-Q"&amp;ROUNDUP(MONTH($H1614)/3,0))</f>
        <v/>
      </c>
      <c r="S1614" s="1" t="str">
        <f aca="false">IF($C1614="","",$C1614&amp;"|"&amp;$E1614&amp;"|"&amp;$F1614&amp;"|"&amp;$L1614&amp;"|"&amp;$P1614&amp;"|"&amp;TEXT($H1614,"yyyy-mm-dd"))</f>
        <v/>
      </c>
      <c r="T1614" s="1" t="str">
        <f aca="false">IF($S1614="","",IF(COUNTIF($S$2:$S$2991,$S1614)&gt;1,"DUPLICATE","OK"))</f>
        <v/>
      </c>
      <c r="U1614" s="0" t="str">
        <f aca="false">IF($L1614="","",IFERROR(VLOOKUP(--$L1614,MM_Income!$Z$5:$AC$204,3,FALSE()),"UNMAPPED"))</f>
        <v/>
      </c>
    </row>
    <row r="1615" customFormat="false" ht="13.5" hidden="false" customHeight="false" outlineLevel="0" collapsed="false">
      <c r="A1615" s="1" t="str">
        <f aca="false">IF($C1615="","",Controls!$B$7)</f>
        <v/>
      </c>
      <c r="B1615" s="1" t="str">
        <f aca="false">IF($H1615="","",YEAR($H1615)&amp;"-Q"&amp;ROUNDUP(MONTH($H1615)/3,0))</f>
        <v/>
      </c>
      <c r="S1615" s="1" t="str">
        <f aca="false">IF($C1615="","",$C1615&amp;"|"&amp;$E1615&amp;"|"&amp;$F1615&amp;"|"&amp;$L1615&amp;"|"&amp;$P1615&amp;"|"&amp;TEXT($H1615,"yyyy-mm-dd"))</f>
        <v/>
      </c>
      <c r="T1615" s="1" t="str">
        <f aca="false">IF($S1615="","",IF(COUNTIF($S$2:$S$2991,$S1615)&gt;1,"DUPLICATE","OK"))</f>
        <v/>
      </c>
      <c r="U1615" s="0" t="str">
        <f aca="false">IF($L1615="","",IFERROR(VLOOKUP(--$L1615,MM_Income!$Z$5:$AC$204,3,FALSE()),"UNMAPPED"))</f>
        <v/>
      </c>
    </row>
    <row r="1616" customFormat="false" ht="13.5" hidden="false" customHeight="false" outlineLevel="0" collapsed="false">
      <c r="A1616" s="1" t="str">
        <f aca="false">IF($C1616="","",Controls!$B$7)</f>
        <v/>
      </c>
      <c r="B1616" s="1" t="str">
        <f aca="false">IF($H1616="","",YEAR($H1616)&amp;"-Q"&amp;ROUNDUP(MONTH($H1616)/3,0))</f>
        <v/>
      </c>
      <c r="S1616" s="1" t="str">
        <f aca="false">IF($C1616="","",$C1616&amp;"|"&amp;$E1616&amp;"|"&amp;$F1616&amp;"|"&amp;$L1616&amp;"|"&amp;$P1616&amp;"|"&amp;TEXT($H1616,"yyyy-mm-dd"))</f>
        <v/>
      </c>
      <c r="T1616" s="1" t="str">
        <f aca="false">IF($S1616="","",IF(COUNTIF($S$2:$S$2991,$S1616)&gt;1,"DUPLICATE","OK"))</f>
        <v/>
      </c>
      <c r="U1616" s="0" t="str">
        <f aca="false">IF($L1616="","",IFERROR(VLOOKUP(--$L1616,MM_Income!$Z$5:$AC$204,3,FALSE()),"UNMAPPED"))</f>
        <v/>
      </c>
    </row>
    <row r="1617" customFormat="false" ht="13.5" hidden="false" customHeight="false" outlineLevel="0" collapsed="false">
      <c r="A1617" s="1" t="str">
        <f aca="false">IF($C1617="","",Controls!$B$7)</f>
        <v/>
      </c>
      <c r="B1617" s="1" t="str">
        <f aca="false">IF($H1617="","",YEAR($H1617)&amp;"-Q"&amp;ROUNDUP(MONTH($H1617)/3,0))</f>
        <v/>
      </c>
      <c r="S1617" s="1" t="str">
        <f aca="false">IF($C1617="","",$C1617&amp;"|"&amp;$E1617&amp;"|"&amp;$F1617&amp;"|"&amp;$L1617&amp;"|"&amp;$P1617&amp;"|"&amp;TEXT($H1617,"yyyy-mm-dd"))</f>
        <v/>
      </c>
      <c r="T1617" s="1" t="str">
        <f aca="false">IF($S1617="","",IF(COUNTIF($S$2:$S$2991,$S1617)&gt;1,"DUPLICATE","OK"))</f>
        <v/>
      </c>
      <c r="U1617" s="0" t="str">
        <f aca="false">IF($L1617="","",IFERROR(VLOOKUP(--$L1617,MM_Income!$Z$5:$AC$204,3,FALSE()),"UNMAPPED"))</f>
        <v/>
      </c>
    </row>
    <row r="1618" customFormat="false" ht="13.5" hidden="false" customHeight="false" outlineLevel="0" collapsed="false">
      <c r="A1618" s="1" t="str">
        <f aca="false">IF($C1618="","",Controls!$B$7)</f>
        <v/>
      </c>
      <c r="B1618" s="1" t="str">
        <f aca="false">IF($H1618="","",YEAR($H1618)&amp;"-Q"&amp;ROUNDUP(MONTH($H1618)/3,0))</f>
        <v/>
      </c>
      <c r="S1618" s="1" t="str">
        <f aca="false">IF($C1618="","",$C1618&amp;"|"&amp;$E1618&amp;"|"&amp;$F1618&amp;"|"&amp;$L1618&amp;"|"&amp;$P1618&amp;"|"&amp;TEXT($H1618,"yyyy-mm-dd"))</f>
        <v/>
      </c>
      <c r="T1618" s="1" t="str">
        <f aca="false">IF($S1618="","",IF(COUNTIF($S$2:$S$2991,$S1618)&gt;1,"DUPLICATE","OK"))</f>
        <v/>
      </c>
      <c r="U1618" s="0" t="str">
        <f aca="false">IF($L1618="","",IFERROR(VLOOKUP(--$L1618,MM_Income!$Z$5:$AC$204,3,FALSE()),"UNMAPPED"))</f>
        <v/>
      </c>
    </row>
    <row r="1619" customFormat="false" ht="13.5" hidden="false" customHeight="false" outlineLevel="0" collapsed="false">
      <c r="A1619" s="1" t="str">
        <f aca="false">IF($C1619="","",Controls!$B$7)</f>
        <v/>
      </c>
      <c r="B1619" s="1" t="str">
        <f aca="false">IF($H1619="","",YEAR($H1619)&amp;"-Q"&amp;ROUNDUP(MONTH($H1619)/3,0))</f>
        <v/>
      </c>
      <c r="S1619" s="1" t="str">
        <f aca="false">IF($C1619="","",$C1619&amp;"|"&amp;$E1619&amp;"|"&amp;$F1619&amp;"|"&amp;$L1619&amp;"|"&amp;$P1619&amp;"|"&amp;TEXT($H1619,"yyyy-mm-dd"))</f>
        <v/>
      </c>
      <c r="T1619" s="1" t="str">
        <f aca="false">IF($S1619="","",IF(COUNTIF($S$2:$S$2991,$S1619)&gt;1,"DUPLICATE","OK"))</f>
        <v/>
      </c>
      <c r="U1619" s="0" t="str">
        <f aca="false">IF($L1619="","",IFERROR(VLOOKUP(--$L1619,MM_Income!$Z$5:$AC$204,3,FALSE()),"UNMAPPED"))</f>
        <v/>
      </c>
    </row>
    <row r="1620" customFormat="false" ht="13.5" hidden="false" customHeight="false" outlineLevel="0" collapsed="false">
      <c r="A1620" s="1" t="str">
        <f aca="false">IF($C1620="","",Controls!$B$7)</f>
        <v/>
      </c>
      <c r="B1620" s="1" t="str">
        <f aca="false">IF($H1620="","",YEAR($H1620)&amp;"-Q"&amp;ROUNDUP(MONTH($H1620)/3,0))</f>
        <v/>
      </c>
      <c r="S1620" s="1" t="str">
        <f aca="false">IF($C1620="","",$C1620&amp;"|"&amp;$E1620&amp;"|"&amp;$F1620&amp;"|"&amp;$L1620&amp;"|"&amp;$P1620&amp;"|"&amp;TEXT($H1620,"yyyy-mm-dd"))</f>
        <v/>
      </c>
      <c r="T1620" s="1" t="str">
        <f aca="false">IF($S1620="","",IF(COUNTIF($S$2:$S$2991,$S1620)&gt;1,"DUPLICATE","OK"))</f>
        <v/>
      </c>
      <c r="U1620" s="0" t="str">
        <f aca="false">IF($L1620="","",IFERROR(VLOOKUP(--$L1620,MM_Income!$Z$5:$AC$204,3,FALSE()),"UNMAPPED"))</f>
        <v/>
      </c>
    </row>
    <row r="1621" customFormat="false" ht="13.5" hidden="false" customHeight="false" outlineLevel="0" collapsed="false">
      <c r="A1621" s="1" t="str">
        <f aca="false">IF($C1621="","",Controls!$B$7)</f>
        <v/>
      </c>
      <c r="B1621" s="1" t="str">
        <f aca="false">IF($H1621="","",YEAR($H1621)&amp;"-Q"&amp;ROUNDUP(MONTH($H1621)/3,0))</f>
        <v/>
      </c>
      <c r="S1621" s="1" t="str">
        <f aca="false">IF($C1621="","",$C1621&amp;"|"&amp;$E1621&amp;"|"&amp;$F1621&amp;"|"&amp;$L1621&amp;"|"&amp;$P1621&amp;"|"&amp;TEXT($H1621,"yyyy-mm-dd"))</f>
        <v/>
      </c>
      <c r="T1621" s="1" t="str">
        <f aca="false">IF($S1621="","",IF(COUNTIF($S$2:$S$2991,$S1621)&gt;1,"DUPLICATE","OK"))</f>
        <v/>
      </c>
      <c r="U1621" s="0" t="str">
        <f aca="false">IF($L1621="","",IFERROR(VLOOKUP(--$L1621,MM_Income!$Z$5:$AC$204,3,FALSE()),"UNMAPPED"))</f>
        <v/>
      </c>
    </row>
    <row r="1622" customFormat="false" ht="13.5" hidden="false" customHeight="false" outlineLevel="0" collapsed="false">
      <c r="A1622" s="1" t="str">
        <f aca="false">IF($C1622="","",Controls!$B$7)</f>
        <v/>
      </c>
      <c r="B1622" s="1" t="str">
        <f aca="false">IF($H1622="","",YEAR($H1622)&amp;"-Q"&amp;ROUNDUP(MONTH($H1622)/3,0))</f>
        <v/>
      </c>
      <c r="S1622" s="1" t="str">
        <f aca="false">IF($C1622="","",$C1622&amp;"|"&amp;$E1622&amp;"|"&amp;$F1622&amp;"|"&amp;$L1622&amp;"|"&amp;$P1622&amp;"|"&amp;TEXT($H1622,"yyyy-mm-dd"))</f>
        <v/>
      </c>
      <c r="T1622" s="1" t="str">
        <f aca="false">IF($S1622="","",IF(COUNTIF($S$2:$S$2991,$S1622)&gt;1,"DUPLICATE","OK"))</f>
        <v/>
      </c>
      <c r="U1622" s="0" t="str">
        <f aca="false">IF($L1622="","",IFERROR(VLOOKUP(--$L1622,MM_Income!$Z$5:$AC$204,3,FALSE()),"UNMAPPED"))</f>
        <v/>
      </c>
    </row>
    <row r="1623" customFormat="false" ht="13.5" hidden="false" customHeight="false" outlineLevel="0" collapsed="false">
      <c r="A1623" s="1" t="str">
        <f aca="false">IF($C1623="","",Controls!$B$7)</f>
        <v/>
      </c>
      <c r="B1623" s="1" t="str">
        <f aca="false">IF($H1623="","",YEAR($H1623)&amp;"-Q"&amp;ROUNDUP(MONTH($H1623)/3,0))</f>
        <v/>
      </c>
      <c r="S1623" s="1" t="str">
        <f aca="false">IF($C1623="","",$C1623&amp;"|"&amp;$E1623&amp;"|"&amp;$F1623&amp;"|"&amp;$L1623&amp;"|"&amp;$P1623&amp;"|"&amp;TEXT($H1623,"yyyy-mm-dd"))</f>
        <v/>
      </c>
      <c r="T1623" s="1" t="str">
        <f aca="false">IF($S1623="","",IF(COUNTIF($S$2:$S$2991,$S1623)&gt;1,"DUPLICATE","OK"))</f>
        <v/>
      </c>
      <c r="U1623" s="0" t="str">
        <f aca="false">IF($L1623="","",IFERROR(VLOOKUP(--$L1623,MM_Income!$Z$5:$AC$204,3,FALSE()),"UNMAPPED"))</f>
        <v/>
      </c>
    </row>
    <row r="1624" customFormat="false" ht="13.5" hidden="false" customHeight="false" outlineLevel="0" collapsed="false">
      <c r="A1624" s="1" t="str">
        <f aca="false">IF($C1624="","",Controls!$B$7)</f>
        <v/>
      </c>
      <c r="B1624" s="1" t="str">
        <f aca="false">IF($H1624="","",YEAR($H1624)&amp;"-Q"&amp;ROUNDUP(MONTH($H1624)/3,0))</f>
        <v/>
      </c>
      <c r="S1624" s="1" t="str">
        <f aca="false">IF($C1624="","",$C1624&amp;"|"&amp;$E1624&amp;"|"&amp;$F1624&amp;"|"&amp;$L1624&amp;"|"&amp;$P1624&amp;"|"&amp;TEXT($H1624,"yyyy-mm-dd"))</f>
        <v/>
      </c>
      <c r="T1624" s="1" t="str">
        <f aca="false">IF($S1624="","",IF(COUNTIF($S$2:$S$2991,$S1624)&gt;1,"DUPLICATE","OK"))</f>
        <v/>
      </c>
      <c r="U1624" s="0" t="str">
        <f aca="false">IF($L1624="","",IFERROR(VLOOKUP(--$L1624,MM_Income!$Z$5:$AC$204,3,FALSE()),"UNMAPPED"))</f>
        <v/>
      </c>
    </row>
    <row r="1625" customFormat="false" ht="13.5" hidden="false" customHeight="false" outlineLevel="0" collapsed="false">
      <c r="A1625" s="1" t="str">
        <f aca="false">IF($C1625="","",Controls!$B$7)</f>
        <v/>
      </c>
      <c r="B1625" s="1" t="str">
        <f aca="false">IF($H1625="","",YEAR($H1625)&amp;"-Q"&amp;ROUNDUP(MONTH($H1625)/3,0))</f>
        <v/>
      </c>
      <c r="S1625" s="1" t="str">
        <f aca="false">IF($C1625="","",$C1625&amp;"|"&amp;$E1625&amp;"|"&amp;$F1625&amp;"|"&amp;$L1625&amp;"|"&amp;$P1625&amp;"|"&amp;TEXT($H1625,"yyyy-mm-dd"))</f>
        <v/>
      </c>
      <c r="T1625" s="1" t="str">
        <f aca="false">IF($S1625="","",IF(COUNTIF($S$2:$S$2991,$S1625)&gt;1,"DUPLICATE","OK"))</f>
        <v/>
      </c>
      <c r="U1625" s="0" t="str">
        <f aca="false">IF($L1625="","",IFERROR(VLOOKUP(--$L1625,MM_Income!$Z$5:$AC$204,3,FALSE()),"UNMAPPED"))</f>
        <v/>
      </c>
    </row>
    <row r="1626" customFormat="false" ht="13.5" hidden="false" customHeight="false" outlineLevel="0" collapsed="false">
      <c r="A1626" s="1" t="str">
        <f aca="false">IF($C1626="","",Controls!$B$7)</f>
        <v/>
      </c>
      <c r="B1626" s="1" t="str">
        <f aca="false">IF($H1626="","",YEAR($H1626)&amp;"-Q"&amp;ROUNDUP(MONTH($H1626)/3,0))</f>
        <v/>
      </c>
      <c r="S1626" s="1" t="str">
        <f aca="false">IF($C1626="","",$C1626&amp;"|"&amp;$E1626&amp;"|"&amp;$F1626&amp;"|"&amp;$L1626&amp;"|"&amp;$P1626&amp;"|"&amp;TEXT($H1626,"yyyy-mm-dd"))</f>
        <v/>
      </c>
      <c r="T1626" s="1" t="str">
        <f aca="false">IF($S1626="","",IF(COUNTIF($S$2:$S$2991,$S1626)&gt;1,"DUPLICATE","OK"))</f>
        <v/>
      </c>
      <c r="U1626" s="0" t="str">
        <f aca="false">IF($L1626="","",IFERROR(VLOOKUP(--$L1626,MM_Income!$Z$5:$AC$204,3,FALSE()),"UNMAPPED"))</f>
        <v/>
      </c>
    </row>
    <row r="1627" customFormat="false" ht="13.5" hidden="false" customHeight="false" outlineLevel="0" collapsed="false">
      <c r="A1627" s="1" t="str">
        <f aca="false">IF($C1627="","",Controls!$B$7)</f>
        <v/>
      </c>
      <c r="B1627" s="1" t="str">
        <f aca="false">IF($H1627="","",YEAR($H1627)&amp;"-Q"&amp;ROUNDUP(MONTH($H1627)/3,0))</f>
        <v/>
      </c>
      <c r="S1627" s="1" t="str">
        <f aca="false">IF($C1627="","",$C1627&amp;"|"&amp;$E1627&amp;"|"&amp;$F1627&amp;"|"&amp;$L1627&amp;"|"&amp;$P1627&amp;"|"&amp;TEXT($H1627,"yyyy-mm-dd"))</f>
        <v/>
      </c>
      <c r="T1627" s="1" t="str">
        <f aca="false">IF($S1627="","",IF(COUNTIF($S$2:$S$2991,$S1627)&gt;1,"DUPLICATE","OK"))</f>
        <v/>
      </c>
      <c r="U1627" s="0" t="str">
        <f aca="false">IF($L1627="","",IFERROR(VLOOKUP(--$L1627,MM_Income!$Z$5:$AC$204,3,FALSE()),"UNMAPPED"))</f>
        <v/>
      </c>
    </row>
    <row r="1628" customFormat="false" ht="13.5" hidden="false" customHeight="false" outlineLevel="0" collapsed="false">
      <c r="A1628" s="1" t="str">
        <f aca="false">IF($C1628="","",Controls!$B$7)</f>
        <v/>
      </c>
      <c r="B1628" s="1" t="str">
        <f aca="false">IF($H1628="","",YEAR($H1628)&amp;"-Q"&amp;ROUNDUP(MONTH($H1628)/3,0))</f>
        <v/>
      </c>
      <c r="S1628" s="1" t="str">
        <f aca="false">IF($C1628="","",$C1628&amp;"|"&amp;$E1628&amp;"|"&amp;$F1628&amp;"|"&amp;$L1628&amp;"|"&amp;$P1628&amp;"|"&amp;TEXT($H1628,"yyyy-mm-dd"))</f>
        <v/>
      </c>
      <c r="T1628" s="1" t="str">
        <f aca="false">IF($S1628="","",IF(COUNTIF($S$2:$S$2991,$S1628)&gt;1,"DUPLICATE","OK"))</f>
        <v/>
      </c>
      <c r="U1628" s="0" t="str">
        <f aca="false">IF($L1628="","",IFERROR(VLOOKUP(--$L1628,MM_Income!$Z$5:$AC$204,3,FALSE()),"UNMAPPED"))</f>
        <v/>
      </c>
    </row>
    <row r="1629" customFormat="false" ht="13.5" hidden="false" customHeight="false" outlineLevel="0" collapsed="false">
      <c r="A1629" s="1" t="str">
        <f aca="false">IF($C1629="","",Controls!$B$7)</f>
        <v/>
      </c>
      <c r="B1629" s="1" t="str">
        <f aca="false">IF($H1629="","",YEAR($H1629)&amp;"-Q"&amp;ROUNDUP(MONTH($H1629)/3,0))</f>
        <v/>
      </c>
      <c r="S1629" s="1" t="str">
        <f aca="false">IF($C1629="","",$C1629&amp;"|"&amp;$E1629&amp;"|"&amp;$F1629&amp;"|"&amp;$L1629&amp;"|"&amp;$P1629&amp;"|"&amp;TEXT($H1629,"yyyy-mm-dd"))</f>
        <v/>
      </c>
      <c r="T1629" s="1" t="str">
        <f aca="false">IF($S1629="","",IF(COUNTIF($S$2:$S$2991,$S1629)&gt;1,"DUPLICATE","OK"))</f>
        <v/>
      </c>
      <c r="U1629" s="0" t="str">
        <f aca="false">IF($L1629="","",IFERROR(VLOOKUP(--$L1629,MM_Income!$Z$5:$AC$204,3,FALSE()),"UNMAPPED"))</f>
        <v/>
      </c>
    </row>
    <row r="1630" customFormat="false" ht="13.5" hidden="false" customHeight="false" outlineLevel="0" collapsed="false">
      <c r="A1630" s="1" t="str">
        <f aca="false">IF($C1630="","",Controls!$B$7)</f>
        <v/>
      </c>
      <c r="B1630" s="1" t="str">
        <f aca="false">IF($H1630="","",YEAR($H1630)&amp;"-Q"&amp;ROUNDUP(MONTH($H1630)/3,0))</f>
        <v/>
      </c>
      <c r="S1630" s="1" t="str">
        <f aca="false">IF($C1630="","",$C1630&amp;"|"&amp;$E1630&amp;"|"&amp;$F1630&amp;"|"&amp;$L1630&amp;"|"&amp;$P1630&amp;"|"&amp;TEXT($H1630,"yyyy-mm-dd"))</f>
        <v/>
      </c>
      <c r="T1630" s="1" t="str">
        <f aca="false">IF($S1630="","",IF(COUNTIF($S$2:$S$2991,$S1630)&gt;1,"DUPLICATE","OK"))</f>
        <v/>
      </c>
      <c r="U1630" s="0" t="str">
        <f aca="false">IF($L1630="","",IFERROR(VLOOKUP(--$L1630,MM_Income!$Z$5:$AC$204,3,FALSE()),"UNMAPPED"))</f>
        <v/>
      </c>
    </row>
    <row r="1631" customFormat="false" ht="13.5" hidden="false" customHeight="false" outlineLevel="0" collapsed="false">
      <c r="A1631" s="1" t="str">
        <f aca="false">IF($C1631="","",Controls!$B$7)</f>
        <v/>
      </c>
      <c r="B1631" s="1" t="str">
        <f aca="false">IF($H1631="","",YEAR($H1631)&amp;"-Q"&amp;ROUNDUP(MONTH($H1631)/3,0))</f>
        <v/>
      </c>
      <c r="S1631" s="1" t="str">
        <f aca="false">IF($C1631="","",$C1631&amp;"|"&amp;$E1631&amp;"|"&amp;$F1631&amp;"|"&amp;$L1631&amp;"|"&amp;$P1631&amp;"|"&amp;TEXT($H1631,"yyyy-mm-dd"))</f>
        <v/>
      </c>
      <c r="T1631" s="1" t="str">
        <f aca="false">IF($S1631="","",IF(COUNTIF($S$2:$S$2991,$S1631)&gt;1,"DUPLICATE","OK"))</f>
        <v/>
      </c>
      <c r="U1631" s="0" t="str">
        <f aca="false">IF($L1631="","",IFERROR(VLOOKUP(--$L1631,MM_Income!$Z$5:$AC$204,3,FALSE()),"UNMAPPED"))</f>
        <v/>
      </c>
    </row>
    <row r="1632" customFormat="false" ht="13.5" hidden="false" customHeight="false" outlineLevel="0" collapsed="false">
      <c r="A1632" s="1" t="str">
        <f aca="false">IF($C1632="","",Controls!$B$7)</f>
        <v/>
      </c>
      <c r="B1632" s="1" t="str">
        <f aca="false">IF($H1632="","",YEAR($H1632)&amp;"-Q"&amp;ROUNDUP(MONTH($H1632)/3,0))</f>
        <v/>
      </c>
      <c r="S1632" s="1" t="str">
        <f aca="false">IF($C1632="","",$C1632&amp;"|"&amp;$E1632&amp;"|"&amp;$F1632&amp;"|"&amp;$L1632&amp;"|"&amp;$P1632&amp;"|"&amp;TEXT($H1632,"yyyy-mm-dd"))</f>
        <v/>
      </c>
      <c r="T1632" s="1" t="str">
        <f aca="false">IF($S1632="","",IF(COUNTIF($S$2:$S$2991,$S1632)&gt;1,"DUPLICATE","OK"))</f>
        <v/>
      </c>
      <c r="U1632" s="0" t="str">
        <f aca="false">IF($L1632="","",IFERROR(VLOOKUP(--$L1632,MM_Income!$Z$5:$AC$204,3,FALSE()),"UNMAPPED"))</f>
        <v/>
      </c>
    </row>
    <row r="1633" customFormat="false" ht="13.5" hidden="false" customHeight="false" outlineLevel="0" collapsed="false">
      <c r="A1633" s="1" t="str">
        <f aca="false">IF($C1633="","",Controls!$B$7)</f>
        <v/>
      </c>
      <c r="B1633" s="1" t="str">
        <f aca="false">IF($H1633="","",YEAR($H1633)&amp;"-Q"&amp;ROUNDUP(MONTH($H1633)/3,0))</f>
        <v/>
      </c>
      <c r="S1633" s="1" t="str">
        <f aca="false">IF($C1633="","",$C1633&amp;"|"&amp;$E1633&amp;"|"&amp;$F1633&amp;"|"&amp;$L1633&amp;"|"&amp;$P1633&amp;"|"&amp;TEXT($H1633,"yyyy-mm-dd"))</f>
        <v/>
      </c>
      <c r="T1633" s="1" t="str">
        <f aca="false">IF($S1633="","",IF(COUNTIF($S$2:$S$2991,$S1633)&gt;1,"DUPLICATE","OK"))</f>
        <v/>
      </c>
      <c r="U1633" s="0" t="str">
        <f aca="false">IF($L1633="","",IFERROR(VLOOKUP(--$L1633,MM_Income!$Z$5:$AC$204,3,FALSE()),"UNMAPPED"))</f>
        <v/>
      </c>
    </row>
    <row r="1634" customFormat="false" ht="13.5" hidden="false" customHeight="false" outlineLevel="0" collapsed="false">
      <c r="A1634" s="1" t="str">
        <f aca="false">IF($C1634="","",Controls!$B$7)</f>
        <v/>
      </c>
      <c r="B1634" s="1" t="str">
        <f aca="false">IF($H1634="","",YEAR($H1634)&amp;"-Q"&amp;ROUNDUP(MONTH($H1634)/3,0))</f>
        <v/>
      </c>
      <c r="S1634" s="1" t="str">
        <f aca="false">IF($C1634="","",$C1634&amp;"|"&amp;$E1634&amp;"|"&amp;$F1634&amp;"|"&amp;$L1634&amp;"|"&amp;$P1634&amp;"|"&amp;TEXT($H1634,"yyyy-mm-dd"))</f>
        <v/>
      </c>
      <c r="T1634" s="1" t="str">
        <f aca="false">IF($S1634="","",IF(COUNTIF($S$2:$S$2991,$S1634)&gt;1,"DUPLICATE","OK"))</f>
        <v/>
      </c>
      <c r="U1634" s="0" t="str">
        <f aca="false">IF($L1634="","",IFERROR(VLOOKUP(--$L1634,MM_Income!$Z$5:$AC$204,3,FALSE()),"UNMAPPED"))</f>
        <v/>
      </c>
    </row>
    <row r="1635" customFormat="false" ht="13.5" hidden="false" customHeight="false" outlineLevel="0" collapsed="false">
      <c r="A1635" s="1" t="str">
        <f aca="false">IF($C1635="","",Controls!$B$7)</f>
        <v/>
      </c>
      <c r="B1635" s="1" t="str">
        <f aca="false">IF($H1635="","",YEAR($H1635)&amp;"-Q"&amp;ROUNDUP(MONTH($H1635)/3,0))</f>
        <v/>
      </c>
      <c r="S1635" s="1" t="str">
        <f aca="false">IF($C1635="","",$C1635&amp;"|"&amp;$E1635&amp;"|"&amp;$F1635&amp;"|"&amp;$L1635&amp;"|"&amp;$P1635&amp;"|"&amp;TEXT($H1635,"yyyy-mm-dd"))</f>
        <v/>
      </c>
      <c r="T1635" s="1" t="str">
        <f aca="false">IF($S1635="","",IF(COUNTIF($S$2:$S$2991,$S1635)&gt;1,"DUPLICATE","OK"))</f>
        <v/>
      </c>
      <c r="U1635" s="0" t="str">
        <f aca="false">IF($L1635="","",IFERROR(VLOOKUP(--$L1635,MM_Income!$Z$5:$AC$204,3,FALSE()),"UNMAPPED"))</f>
        <v/>
      </c>
    </row>
    <row r="1636" customFormat="false" ht="13.5" hidden="false" customHeight="false" outlineLevel="0" collapsed="false">
      <c r="A1636" s="1" t="str">
        <f aca="false">IF($C1636="","",Controls!$B$7)</f>
        <v/>
      </c>
      <c r="B1636" s="1" t="str">
        <f aca="false">IF($H1636="","",YEAR($H1636)&amp;"-Q"&amp;ROUNDUP(MONTH($H1636)/3,0))</f>
        <v/>
      </c>
      <c r="S1636" s="1" t="str">
        <f aca="false">IF($C1636="","",$C1636&amp;"|"&amp;$E1636&amp;"|"&amp;$F1636&amp;"|"&amp;$L1636&amp;"|"&amp;$P1636&amp;"|"&amp;TEXT($H1636,"yyyy-mm-dd"))</f>
        <v/>
      </c>
      <c r="T1636" s="1" t="str">
        <f aca="false">IF($S1636="","",IF(COUNTIF($S$2:$S$2991,$S1636)&gt;1,"DUPLICATE","OK"))</f>
        <v/>
      </c>
      <c r="U1636" s="0" t="str">
        <f aca="false">IF($L1636="","",IFERROR(VLOOKUP(--$L1636,MM_Income!$Z$5:$AC$204,3,FALSE()),"UNMAPPED"))</f>
        <v/>
      </c>
    </row>
    <row r="1637" customFormat="false" ht="13.5" hidden="false" customHeight="false" outlineLevel="0" collapsed="false">
      <c r="A1637" s="1" t="str">
        <f aca="false">IF($C1637="","",Controls!$B$7)</f>
        <v/>
      </c>
      <c r="B1637" s="1" t="str">
        <f aca="false">IF($H1637="","",YEAR($H1637)&amp;"-Q"&amp;ROUNDUP(MONTH($H1637)/3,0))</f>
        <v/>
      </c>
      <c r="S1637" s="1" t="str">
        <f aca="false">IF($C1637="","",$C1637&amp;"|"&amp;$E1637&amp;"|"&amp;$F1637&amp;"|"&amp;$L1637&amp;"|"&amp;$P1637&amp;"|"&amp;TEXT($H1637,"yyyy-mm-dd"))</f>
        <v/>
      </c>
      <c r="T1637" s="1" t="str">
        <f aca="false">IF($S1637="","",IF(COUNTIF($S$2:$S$2991,$S1637)&gt;1,"DUPLICATE","OK"))</f>
        <v/>
      </c>
      <c r="U1637" s="0" t="str">
        <f aca="false">IF($L1637="","",IFERROR(VLOOKUP(--$L1637,MM_Income!$Z$5:$AC$204,3,FALSE()),"UNMAPPED"))</f>
        <v/>
      </c>
    </row>
    <row r="1638" customFormat="false" ht="13.5" hidden="false" customHeight="false" outlineLevel="0" collapsed="false">
      <c r="A1638" s="1" t="str">
        <f aca="false">IF($C1638="","",Controls!$B$7)</f>
        <v/>
      </c>
      <c r="B1638" s="1" t="str">
        <f aca="false">IF($H1638="","",YEAR($H1638)&amp;"-Q"&amp;ROUNDUP(MONTH($H1638)/3,0))</f>
        <v/>
      </c>
      <c r="S1638" s="1" t="str">
        <f aca="false">IF($C1638="","",$C1638&amp;"|"&amp;$E1638&amp;"|"&amp;$F1638&amp;"|"&amp;$L1638&amp;"|"&amp;$P1638&amp;"|"&amp;TEXT($H1638,"yyyy-mm-dd"))</f>
        <v/>
      </c>
      <c r="T1638" s="1" t="str">
        <f aca="false">IF($S1638="","",IF(COUNTIF($S$2:$S$2991,$S1638)&gt;1,"DUPLICATE","OK"))</f>
        <v/>
      </c>
      <c r="U1638" s="0" t="str">
        <f aca="false">IF($L1638="","",IFERROR(VLOOKUP(--$L1638,MM_Income!$Z$5:$AC$204,3,FALSE()),"UNMAPPED"))</f>
        <v/>
      </c>
    </row>
    <row r="1639" customFormat="false" ht="13.5" hidden="false" customHeight="false" outlineLevel="0" collapsed="false">
      <c r="A1639" s="1" t="str">
        <f aca="false">IF($C1639="","",Controls!$B$7)</f>
        <v/>
      </c>
      <c r="B1639" s="1" t="str">
        <f aca="false">IF($H1639="","",YEAR($H1639)&amp;"-Q"&amp;ROUNDUP(MONTH($H1639)/3,0))</f>
        <v/>
      </c>
      <c r="S1639" s="1" t="str">
        <f aca="false">IF($C1639="","",$C1639&amp;"|"&amp;$E1639&amp;"|"&amp;$F1639&amp;"|"&amp;$L1639&amp;"|"&amp;$P1639&amp;"|"&amp;TEXT($H1639,"yyyy-mm-dd"))</f>
        <v/>
      </c>
      <c r="T1639" s="1" t="str">
        <f aca="false">IF($S1639="","",IF(COUNTIF($S$2:$S$2991,$S1639)&gt;1,"DUPLICATE","OK"))</f>
        <v/>
      </c>
      <c r="U1639" s="0" t="str">
        <f aca="false">IF($L1639="","",IFERROR(VLOOKUP(--$L1639,MM_Income!$Z$5:$AC$204,3,FALSE()),"UNMAPPED"))</f>
        <v/>
      </c>
    </row>
    <row r="1640" customFormat="false" ht="13.5" hidden="false" customHeight="false" outlineLevel="0" collapsed="false">
      <c r="A1640" s="1" t="str">
        <f aca="false">IF($C1640="","",Controls!$B$7)</f>
        <v/>
      </c>
      <c r="B1640" s="1" t="str">
        <f aca="false">IF($H1640="","",YEAR($H1640)&amp;"-Q"&amp;ROUNDUP(MONTH($H1640)/3,0))</f>
        <v/>
      </c>
      <c r="S1640" s="1" t="str">
        <f aca="false">IF($C1640="","",$C1640&amp;"|"&amp;$E1640&amp;"|"&amp;$F1640&amp;"|"&amp;$L1640&amp;"|"&amp;$P1640&amp;"|"&amp;TEXT($H1640,"yyyy-mm-dd"))</f>
        <v/>
      </c>
      <c r="T1640" s="1" t="str">
        <f aca="false">IF($S1640="","",IF(COUNTIF($S$2:$S$2991,$S1640)&gt;1,"DUPLICATE","OK"))</f>
        <v/>
      </c>
      <c r="U1640" s="0" t="str">
        <f aca="false">IF($L1640="","",IFERROR(VLOOKUP(--$L1640,MM_Income!$Z$5:$AC$204,3,FALSE()),"UNMAPPED"))</f>
        <v/>
      </c>
    </row>
    <row r="1641" customFormat="false" ht="13.5" hidden="false" customHeight="false" outlineLevel="0" collapsed="false">
      <c r="A1641" s="1" t="str">
        <f aca="false">IF($C1641="","",Controls!$B$7)</f>
        <v/>
      </c>
      <c r="B1641" s="1" t="str">
        <f aca="false">IF($H1641="","",YEAR($H1641)&amp;"-Q"&amp;ROUNDUP(MONTH($H1641)/3,0))</f>
        <v/>
      </c>
      <c r="S1641" s="1" t="str">
        <f aca="false">IF($C1641="","",$C1641&amp;"|"&amp;$E1641&amp;"|"&amp;$F1641&amp;"|"&amp;$L1641&amp;"|"&amp;$P1641&amp;"|"&amp;TEXT($H1641,"yyyy-mm-dd"))</f>
        <v/>
      </c>
      <c r="T1641" s="1" t="str">
        <f aca="false">IF($S1641="","",IF(COUNTIF($S$2:$S$2991,$S1641)&gt;1,"DUPLICATE","OK"))</f>
        <v/>
      </c>
      <c r="U1641" s="0" t="str">
        <f aca="false">IF($L1641="","",IFERROR(VLOOKUP(--$L1641,MM_Income!$Z$5:$AC$204,3,FALSE()),"UNMAPPED"))</f>
        <v/>
      </c>
    </row>
    <row r="1642" customFormat="false" ht="13.5" hidden="false" customHeight="false" outlineLevel="0" collapsed="false">
      <c r="A1642" s="1" t="str">
        <f aca="false">IF($C1642="","",Controls!$B$7)</f>
        <v/>
      </c>
      <c r="B1642" s="1" t="str">
        <f aca="false">IF($H1642="","",YEAR($H1642)&amp;"-Q"&amp;ROUNDUP(MONTH($H1642)/3,0))</f>
        <v/>
      </c>
      <c r="S1642" s="1" t="str">
        <f aca="false">IF($C1642="","",$C1642&amp;"|"&amp;$E1642&amp;"|"&amp;$F1642&amp;"|"&amp;$L1642&amp;"|"&amp;$P1642&amp;"|"&amp;TEXT($H1642,"yyyy-mm-dd"))</f>
        <v/>
      </c>
      <c r="T1642" s="1" t="str">
        <f aca="false">IF($S1642="","",IF(COUNTIF($S$2:$S$2991,$S1642)&gt;1,"DUPLICATE","OK"))</f>
        <v/>
      </c>
      <c r="U1642" s="0" t="str">
        <f aca="false">IF($L1642="","",IFERROR(VLOOKUP(--$L1642,MM_Income!$Z$5:$AC$204,3,FALSE()),"UNMAPPED"))</f>
        <v/>
      </c>
    </row>
    <row r="1643" customFormat="false" ht="13.5" hidden="false" customHeight="false" outlineLevel="0" collapsed="false">
      <c r="A1643" s="1" t="str">
        <f aca="false">IF($C1643="","",Controls!$B$7)</f>
        <v/>
      </c>
      <c r="B1643" s="1" t="str">
        <f aca="false">IF($H1643="","",YEAR($H1643)&amp;"-Q"&amp;ROUNDUP(MONTH($H1643)/3,0))</f>
        <v/>
      </c>
      <c r="S1643" s="1" t="str">
        <f aca="false">IF($C1643="","",$C1643&amp;"|"&amp;$E1643&amp;"|"&amp;$F1643&amp;"|"&amp;$L1643&amp;"|"&amp;$P1643&amp;"|"&amp;TEXT($H1643,"yyyy-mm-dd"))</f>
        <v/>
      </c>
      <c r="T1643" s="1" t="str">
        <f aca="false">IF($S1643="","",IF(COUNTIF($S$2:$S$2991,$S1643)&gt;1,"DUPLICATE","OK"))</f>
        <v/>
      </c>
      <c r="U1643" s="0" t="str">
        <f aca="false">IF($L1643="","",IFERROR(VLOOKUP(--$L1643,MM_Income!$Z$5:$AC$204,3,FALSE()),"UNMAPPED"))</f>
        <v/>
      </c>
    </row>
    <row r="1644" customFormat="false" ht="13.5" hidden="false" customHeight="false" outlineLevel="0" collapsed="false">
      <c r="A1644" s="1" t="str">
        <f aca="false">IF($C1644="","",Controls!$B$7)</f>
        <v/>
      </c>
      <c r="B1644" s="1" t="str">
        <f aca="false">IF($H1644="","",YEAR($H1644)&amp;"-Q"&amp;ROUNDUP(MONTH($H1644)/3,0))</f>
        <v/>
      </c>
      <c r="S1644" s="1" t="str">
        <f aca="false">IF($C1644="","",$C1644&amp;"|"&amp;$E1644&amp;"|"&amp;$F1644&amp;"|"&amp;$L1644&amp;"|"&amp;$P1644&amp;"|"&amp;TEXT($H1644,"yyyy-mm-dd"))</f>
        <v/>
      </c>
      <c r="T1644" s="1" t="str">
        <f aca="false">IF($S1644="","",IF(COUNTIF($S$2:$S$2991,$S1644)&gt;1,"DUPLICATE","OK"))</f>
        <v/>
      </c>
      <c r="U1644" s="0" t="str">
        <f aca="false">IF($L1644="","",IFERROR(VLOOKUP(--$L1644,MM_Income!$Z$5:$AC$204,3,FALSE()),"UNMAPPED"))</f>
        <v/>
      </c>
    </row>
    <row r="1645" customFormat="false" ht="13.5" hidden="false" customHeight="false" outlineLevel="0" collapsed="false">
      <c r="A1645" s="1" t="str">
        <f aca="false">IF($C1645="","",Controls!$B$7)</f>
        <v/>
      </c>
      <c r="B1645" s="1" t="str">
        <f aca="false">IF($H1645="","",YEAR($H1645)&amp;"-Q"&amp;ROUNDUP(MONTH($H1645)/3,0))</f>
        <v/>
      </c>
      <c r="S1645" s="1" t="str">
        <f aca="false">IF($C1645="","",$C1645&amp;"|"&amp;$E1645&amp;"|"&amp;$F1645&amp;"|"&amp;$L1645&amp;"|"&amp;$P1645&amp;"|"&amp;TEXT($H1645,"yyyy-mm-dd"))</f>
        <v/>
      </c>
      <c r="T1645" s="1" t="str">
        <f aca="false">IF($S1645="","",IF(COUNTIF($S$2:$S$2991,$S1645)&gt;1,"DUPLICATE","OK"))</f>
        <v/>
      </c>
      <c r="U1645" s="0" t="str">
        <f aca="false">IF($L1645="","",IFERROR(VLOOKUP(--$L1645,MM_Income!$Z$5:$AC$204,3,FALSE()),"UNMAPPED"))</f>
        <v/>
      </c>
    </row>
    <row r="1646" customFormat="false" ht="13.5" hidden="false" customHeight="false" outlineLevel="0" collapsed="false">
      <c r="A1646" s="1" t="str">
        <f aca="false">IF($C1646="","",Controls!$B$7)</f>
        <v/>
      </c>
      <c r="B1646" s="1" t="str">
        <f aca="false">IF($H1646="","",YEAR($H1646)&amp;"-Q"&amp;ROUNDUP(MONTH($H1646)/3,0))</f>
        <v/>
      </c>
      <c r="S1646" s="1" t="str">
        <f aca="false">IF($C1646="","",$C1646&amp;"|"&amp;$E1646&amp;"|"&amp;$F1646&amp;"|"&amp;$L1646&amp;"|"&amp;$P1646&amp;"|"&amp;TEXT($H1646,"yyyy-mm-dd"))</f>
        <v/>
      </c>
      <c r="T1646" s="1" t="str">
        <f aca="false">IF($S1646="","",IF(COUNTIF($S$2:$S$2991,$S1646)&gt;1,"DUPLICATE","OK"))</f>
        <v/>
      </c>
      <c r="U1646" s="0" t="str">
        <f aca="false">IF($L1646="","",IFERROR(VLOOKUP(--$L1646,MM_Income!$Z$5:$AC$204,3,FALSE()),"UNMAPPED"))</f>
        <v/>
      </c>
    </row>
    <row r="1647" customFormat="false" ht="13.5" hidden="false" customHeight="false" outlineLevel="0" collapsed="false">
      <c r="A1647" s="1" t="str">
        <f aca="false">IF($C1647="","",Controls!$B$7)</f>
        <v/>
      </c>
      <c r="B1647" s="1" t="str">
        <f aca="false">IF($H1647="","",YEAR($H1647)&amp;"-Q"&amp;ROUNDUP(MONTH($H1647)/3,0))</f>
        <v/>
      </c>
      <c r="S1647" s="1" t="str">
        <f aca="false">IF($C1647="","",$C1647&amp;"|"&amp;$E1647&amp;"|"&amp;$F1647&amp;"|"&amp;$L1647&amp;"|"&amp;$P1647&amp;"|"&amp;TEXT($H1647,"yyyy-mm-dd"))</f>
        <v/>
      </c>
      <c r="T1647" s="1" t="str">
        <f aca="false">IF($S1647="","",IF(COUNTIF($S$2:$S$2991,$S1647)&gt;1,"DUPLICATE","OK"))</f>
        <v/>
      </c>
      <c r="U1647" s="0" t="str">
        <f aca="false">IF($L1647="","",IFERROR(VLOOKUP(--$L1647,MM_Income!$Z$5:$AC$204,3,FALSE()),"UNMAPPED"))</f>
        <v/>
      </c>
    </row>
    <row r="1648" customFormat="false" ht="13.5" hidden="false" customHeight="false" outlineLevel="0" collapsed="false">
      <c r="A1648" s="1" t="str">
        <f aca="false">IF($C1648="","",Controls!$B$7)</f>
        <v/>
      </c>
      <c r="B1648" s="1" t="str">
        <f aca="false">IF($H1648="","",YEAR($H1648)&amp;"-Q"&amp;ROUNDUP(MONTH($H1648)/3,0))</f>
        <v/>
      </c>
      <c r="S1648" s="1" t="str">
        <f aca="false">IF($C1648="","",$C1648&amp;"|"&amp;$E1648&amp;"|"&amp;$F1648&amp;"|"&amp;$L1648&amp;"|"&amp;$P1648&amp;"|"&amp;TEXT($H1648,"yyyy-mm-dd"))</f>
        <v/>
      </c>
      <c r="T1648" s="1" t="str">
        <f aca="false">IF($S1648="","",IF(COUNTIF($S$2:$S$2991,$S1648)&gt;1,"DUPLICATE","OK"))</f>
        <v/>
      </c>
      <c r="U1648" s="0" t="str">
        <f aca="false">IF($L1648="","",IFERROR(VLOOKUP(--$L1648,MM_Income!$Z$5:$AC$204,3,FALSE()),"UNMAPPED"))</f>
        <v/>
      </c>
    </row>
    <row r="1649" customFormat="false" ht="13.5" hidden="false" customHeight="false" outlineLevel="0" collapsed="false">
      <c r="A1649" s="1" t="str">
        <f aca="false">IF($C1649="","",Controls!$B$7)</f>
        <v/>
      </c>
      <c r="B1649" s="1" t="str">
        <f aca="false">IF($H1649="","",YEAR($H1649)&amp;"-Q"&amp;ROUNDUP(MONTH($H1649)/3,0))</f>
        <v/>
      </c>
      <c r="S1649" s="1" t="str">
        <f aca="false">IF($C1649="","",$C1649&amp;"|"&amp;$E1649&amp;"|"&amp;$F1649&amp;"|"&amp;$L1649&amp;"|"&amp;$P1649&amp;"|"&amp;TEXT($H1649,"yyyy-mm-dd"))</f>
        <v/>
      </c>
      <c r="T1649" s="1" t="str">
        <f aca="false">IF($S1649="","",IF(COUNTIF($S$2:$S$2991,$S1649)&gt;1,"DUPLICATE","OK"))</f>
        <v/>
      </c>
      <c r="U1649" s="0" t="str">
        <f aca="false">IF($L1649="","",IFERROR(VLOOKUP(--$L1649,MM_Income!$Z$5:$AC$204,3,FALSE()),"UNMAPPED"))</f>
        <v/>
      </c>
    </row>
    <row r="1650" customFormat="false" ht="13.5" hidden="false" customHeight="false" outlineLevel="0" collapsed="false">
      <c r="A1650" s="1" t="str">
        <f aca="false">IF($C1650="","",Controls!$B$7)</f>
        <v/>
      </c>
      <c r="B1650" s="1" t="str">
        <f aca="false">IF($H1650="","",YEAR($H1650)&amp;"-Q"&amp;ROUNDUP(MONTH($H1650)/3,0))</f>
        <v/>
      </c>
      <c r="S1650" s="1" t="str">
        <f aca="false">IF($C1650="","",$C1650&amp;"|"&amp;$E1650&amp;"|"&amp;$F1650&amp;"|"&amp;$L1650&amp;"|"&amp;$P1650&amp;"|"&amp;TEXT($H1650,"yyyy-mm-dd"))</f>
        <v/>
      </c>
      <c r="T1650" s="1" t="str">
        <f aca="false">IF($S1650="","",IF(COUNTIF($S$2:$S$2991,$S1650)&gt;1,"DUPLICATE","OK"))</f>
        <v/>
      </c>
      <c r="U1650" s="0" t="str">
        <f aca="false">IF($L1650="","",IFERROR(VLOOKUP(--$L1650,MM_Income!$Z$5:$AC$204,3,FALSE()),"UNMAPPED"))</f>
        <v/>
      </c>
    </row>
    <row r="1651" customFormat="false" ht="13.5" hidden="false" customHeight="false" outlineLevel="0" collapsed="false">
      <c r="A1651" s="1" t="str">
        <f aca="false">IF($C1651="","",Controls!$B$7)</f>
        <v/>
      </c>
      <c r="B1651" s="1" t="str">
        <f aca="false">IF($H1651="","",YEAR($H1651)&amp;"-Q"&amp;ROUNDUP(MONTH($H1651)/3,0))</f>
        <v/>
      </c>
      <c r="S1651" s="1" t="str">
        <f aca="false">IF($C1651="","",$C1651&amp;"|"&amp;$E1651&amp;"|"&amp;$F1651&amp;"|"&amp;$L1651&amp;"|"&amp;$P1651&amp;"|"&amp;TEXT($H1651,"yyyy-mm-dd"))</f>
        <v/>
      </c>
      <c r="T1651" s="1" t="str">
        <f aca="false">IF($S1651="","",IF(COUNTIF($S$2:$S$2991,$S1651)&gt;1,"DUPLICATE","OK"))</f>
        <v/>
      </c>
      <c r="U1651" s="0" t="str">
        <f aca="false">IF($L1651="","",IFERROR(VLOOKUP(--$L1651,MM_Income!$Z$5:$AC$204,3,FALSE()),"UNMAPPED"))</f>
        <v/>
      </c>
    </row>
    <row r="1652" customFormat="false" ht="13.5" hidden="false" customHeight="false" outlineLevel="0" collapsed="false">
      <c r="A1652" s="1" t="str">
        <f aca="false">IF($C1652="","",Controls!$B$7)</f>
        <v/>
      </c>
      <c r="B1652" s="1" t="str">
        <f aca="false">IF($H1652="","",YEAR($H1652)&amp;"-Q"&amp;ROUNDUP(MONTH($H1652)/3,0))</f>
        <v/>
      </c>
      <c r="S1652" s="1" t="str">
        <f aca="false">IF($C1652="","",$C1652&amp;"|"&amp;$E1652&amp;"|"&amp;$F1652&amp;"|"&amp;$L1652&amp;"|"&amp;$P1652&amp;"|"&amp;TEXT($H1652,"yyyy-mm-dd"))</f>
        <v/>
      </c>
      <c r="T1652" s="1" t="str">
        <f aca="false">IF($S1652="","",IF(COUNTIF($S$2:$S$2991,$S1652)&gt;1,"DUPLICATE","OK"))</f>
        <v/>
      </c>
      <c r="U1652" s="0" t="str">
        <f aca="false">IF($L1652="","",IFERROR(VLOOKUP(--$L1652,MM_Income!$Z$5:$AC$204,3,FALSE()),"UNMAPPED"))</f>
        <v/>
      </c>
    </row>
    <row r="1653" customFormat="false" ht="13.5" hidden="false" customHeight="false" outlineLevel="0" collapsed="false">
      <c r="A1653" s="1" t="str">
        <f aca="false">IF($C1653="","",Controls!$B$7)</f>
        <v/>
      </c>
      <c r="B1653" s="1" t="str">
        <f aca="false">IF($H1653="","",YEAR($H1653)&amp;"-Q"&amp;ROUNDUP(MONTH($H1653)/3,0))</f>
        <v/>
      </c>
      <c r="S1653" s="1" t="str">
        <f aca="false">IF($C1653="","",$C1653&amp;"|"&amp;$E1653&amp;"|"&amp;$F1653&amp;"|"&amp;$L1653&amp;"|"&amp;$P1653&amp;"|"&amp;TEXT($H1653,"yyyy-mm-dd"))</f>
        <v/>
      </c>
      <c r="T1653" s="1" t="str">
        <f aca="false">IF($S1653="","",IF(COUNTIF($S$2:$S$2991,$S1653)&gt;1,"DUPLICATE","OK"))</f>
        <v/>
      </c>
      <c r="U1653" s="0" t="str">
        <f aca="false">IF($L1653="","",IFERROR(VLOOKUP(--$L1653,MM_Income!$Z$5:$AC$204,3,FALSE()),"UNMAPPED"))</f>
        <v/>
      </c>
    </row>
    <row r="1654" customFormat="false" ht="13.5" hidden="false" customHeight="false" outlineLevel="0" collapsed="false">
      <c r="A1654" s="1" t="str">
        <f aca="false">IF($C1654="","",Controls!$B$7)</f>
        <v/>
      </c>
      <c r="B1654" s="1" t="str">
        <f aca="false">IF($H1654="","",YEAR($H1654)&amp;"-Q"&amp;ROUNDUP(MONTH($H1654)/3,0))</f>
        <v/>
      </c>
      <c r="S1654" s="1" t="str">
        <f aca="false">IF($C1654="","",$C1654&amp;"|"&amp;$E1654&amp;"|"&amp;$F1654&amp;"|"&amp;$L1654&amp;"|"&amp;$P1654&amp;"|"&amp;TEXT($H1654,"yyyy-mm-dd"))</f>
        <v/>
      </c>
      <c r="T1654" s="1" t="str">
        <f aca="false">IF($S1654="","",IF(COUNTIF($S$2:$S$2991,$S1654)&gt;1,"DUPLICATE","OK"))</f>
        <v/>
      </c>
      <c r="U1654" s="0" t="str">
        <f aca="false">IF($L1654="","",IFERROR(VLOOKUP(--$L1654,MM_Income!$Z$5:$AC$204,3,FALSE()),"UNMAPPED"))</f>
        <v/>
      </c>
    </row>
    <row r="1655" customFormat="false" ht="13.5" hidden="false" customHeight="false" outlineLevel="0" collapsed="false">
      <c r="A1655" s="1" t="str">
        <f aca="false">IF($C1655="","",Controls!$B$7)</f>
        <v/>
      </c>
      <c r="B1655" s="1" t="str">
        <f aca="false">IF($H1655="","",YEAR($H1655)&amp;"-Q"&amp;ROUNDUP(MONTH($H1655)/3,0))</f>
        <v/>
      </c>
      <c r="S1655" s="1" t="str">
        <f aca="false">IF($C1655="","",$C1655&amp;"|"&amp;$E1655&amp;"|"&amp;$F1655&amp;"|"&amp;$L1655&amp;"|"&amp;$P1655&amp;"|"&amp;TEXT($H1655,"yyyy-mm-dd"))</f>
        <v/>
      </c>
      <c r="T1655" s="1" t="str">
        <f aca="false">IF($S1655="","",IF(COUNTIF($S$2:$S$2991,$S1655)&gt;1,"DUPLICATE","OK"))</f>
        <v/>
      </c>
      <c r="U1655" s="0" t="str">
        <f aca="false">IF($L1655="","",IFERROR(VLOOKUP(--$L1655,MM_Income!$Z$5:$AC$204,3,FALSE()),"UNMAPPED"))</f>
        <v/>
      </c>
    </row>
    <row r="1656" customFormat="false" ht="13.5" hidden="false" customHeight="false" outlineLevel="0" collapsed="false">
      <c r="A1656" s="1" t="str">
        <f aca="false">IF($C1656="","",Controls!$B$7)</f>
        <v/>
      </c>
      <c r="B1656" s="1" t="str">
        <f aca="false">IF($H1656="","",YEAR($H1656)&amp;"-Q"&amp;ROUNDUP(MONTH($H1656)/3,0))</f>
        <v/>
      </c>
      <c r="S1656" s="1" t="str">
        <f aca="false">IF($C1656="","",$C1656&amp;"|"&amp;$E1656&amp;"|"&amp;$F1656&amp;"|"&amp;$L1656&amp;"|"&amp;$P1656&amp;"|"&amp;TEXT($H1656,"yyyy-mm-dd"))</f>
        <v/>
      </c>
      <c r="T1656" s="1" t="str">
        <f aca="false">IF($S1656="","",IF(COUNTIF($S$2:$S$2991,$S1656)&gt;1,"DUPLICATE","OK"))</f>
        <v/>
      </c>
      <c r="U1656" s="0" t="str">
        <f aca="false">IF($L1656="","",IFERROR(VLOOKUP(--$L1656,MM_Income!$Z$5:$AC$204,3,FALSE()),"UNMAPPED"))</f>
        <v/>
      </c>
    </row>
    <row r="1657" customFormat="false" ht="13.5" hidden="false" customHeight="false" outlineLevel="0" collapsed="false">
      <c r="A1657" s="1" t="str">
        <f aca="false">IF($C1657="","",Controls!$B$7)</f>
        <v/>
      </c>
      <c r="B1657" s="1" t="str">
        <f aca="false">IF($H1657="","",YEAR($H1657)&amp;"-Q"&amp;ROUNDUP(MONTH($H1657)/3,0))</f>
        <v/>
      </c>
      <c r="S1657" s="1" t="str">
        <f aca="false">IF($C1657="","",$C1657&amp;"|"&amp;$E1657&amp;"|"&amp;$F1657&amp;"|"&amp;$L1657&amp;"|"&amp;$P1657&amp;"|"&amp;TEXT($H1657,"yyyy-mm-dd"))</f>
        <v/>
      </c>
      <c r="T1657" s="1" t="str">
        <f aca="false">IF($S1657="","",IF(COUNTIF($S$2:$S$2991,$S1657)&gt;1,"DUPLICATE","OK"))</f>
        <v/>
      </c>
      <c r="U1657" s="0" t="str">
        <f aca="false">IF($L1657="","",IFERROR(VLOOKUP(--$L1657,MM_Income!$Z$5:$AC$204,3,FALSE()),"UNMAPPED"))</f>
        <v/>
      </c>
    </row>
    <row r="1658" customFormat="false" ht="13.5" hidden="false" customHeight="false" outlineLevel="0" collapsed="false">
      <c r="A1658" s="1" t="str">
        <f aca="false">IF($C1658="","",Controls!$B$7)</f>
        <v/>
      </c>
      <c r="B1658" s="1" t="str">
        <f aca="false">IF($H1658="","",YEAR($H1658)&amp;"-Q"&amp;ROUNDUP(MONTH($H1658)/3,0))</f>
        <v/>
      </c>
      <c r="S1658" s="1" t="str">
        <f aca="false">IF($C1658="","",$C1658&amp;"|"&amp;$E1658&amp;"|"&amp;$F1658&amp;"|"&amp;$L1658&amp;"|"&amp;$P1658&amp;"|"&amp;TEXT($H1658,"yyyy-mm-dd"))</f>
        <v/>
      </c>
      <c r="T1658" s="1" t="str">
        <f aca="false">IF($S1658="","",IF(COUNTIF($S$2:$S$2991,$S1658)&gt;1,"DUPLICATE","OK"))</f>
        <v/>
      </c>
      <c r="U1658" s="0" t="str">
        <f aca="false">IF($L1658="","",IFERROR(VLOOKUP(--$L1658,MM_Income!$Z$5:$AC$204,3,FALSE()),"UNMAPPED"))</f>
        <v/>
      </c>
    </row>
    <row r="1659" customFormat="false" ht="13.5" hidden="false" customHeight="false" outlineLevel="0" collapsed="false">
      <c r="A1659" s="1" t="str">
        <f aca="false">IF($C1659="","",Controls!$B$7)</f>
        <v/>
      </c>
      <c r="B1659" s="1" t="str">
        <f aca="false">IF($H1659="","",YEAR($H1659)&amp;"-Q"&amp;ROUNDUP(MONTH($H1659)/3,0))</f>
        <v/>
      </c>
      <c r="S1659" s="1" t="str">
        <f aca="false">IF($C1659="","",$C1659&amp;"|"&amp;$E1659&amp;"|"&amp;$F1659&amp;"|"&amp;$L1659&amp;"|"&amp;$P1659&amp;"|"&amp;TEXT($H1659,"yyyy-mm-dd"))</f>
        <v/>
      </c>
      <c r="T1659" s="1" t="str">
        <f aca="false">IF($S1659="","",IF(COUNTIF($S$2:$S$2991,$S1659)&gt;1,"DUPLICATE","OK"))</f>
        <v/>
      </c>
      <c r="U1659" s="0" t="str">
        <f aca="false">IF($L1659="","",IFERROR(VLOOKUP(--$L1659,MM_Income!$Z$5:$AC$204,3,FALSE()),"UNMAPPED"))</f>
        <v/>
      </c>
    </row>
    <row r="1660" customFormat="false" ht="13.5" hidden="false" customHeight="false" outlineLevel="0" collapsed="false">
      <c r="A1660" s="1" t="str">
        <f aca="false">IF($C1660="","",Controls!$B$7)</f>
        <v/>
      </c>
      <c r="B1660" s="1" t="str">
        <f aca="false">IF($H1660="","",YEAR($H1660)&amp;"-Q"&amp;ROUNDUP(MONTH($H1660)/3,0))</f>
        <v/>
      </c>
      <c r="S1660" s="1" t="str">
        <f aca="false">IF($C1660="","",$C1660&amp;"|"&amp;$E1660&amp;"|"&amp;$F1660&amp;"|"&amp;$L1660&amp;"|"&amp;$P1660&amp;"|"&amp;TEXT($H1660,"yyyy-mm-dd"))</f>
        <v/>
      </c>
      <c r="T1660" s="1" t="str">
        <f aca="false">IF($S1660="","",IF(COUNTIF($S$2:$S$2991,$S1660)&gt;1,"DUPLICATE","OK"))</f>
        <v/>
      </c>
      <c r="U1660" s="0" t="str">
        <f aca="false">IF($L1660="","",IFERROR(VLOOKUP(--$L1660,MM_Income!$Z$5:$AC$204,3,FALSE()),"UNMAPPED"))</f>
        <v/>
      </c>
    </row>
    <row r="1661" customFormat="false" ht="13.5" hidden="false" customHeight="false" outlineLevel="0" collapsed="false">
      <c r="A1661" s="1" t="str">
        <f aca="false">IF($C1661="","",Controls!$B$7)</f>
        <v/>
      </c>
      <c r="B1661" s="1" t="str">
        <f aca="false">IF($H1661="","",YEAR($H1661)&amp;"-Q"&amp;ROUNDUP(MONTH($H1661)/3,0))</f>
        <v/>
      </c>
      <c r="S1661" s="1" t="str">
        <f aca="false">IF($C1661="","",$C1661&amp;"|"&amp;$E1661&amp;"|"&amp;$F1661&amp;"|"&amp;$L1661&amp;"|"&amp;$P1661&amp;"|"&amp;TEXT($H1661,"yyyy-mm-dd"))</f>
        <v/>
      </c>
      <c r="T1661" s="1" t="str">
        <f aca="false">IF($S1661="","",IF(COUNTIF($S$2:$S$2991,$S1661)&gt;1,"DUPLICATE","OK"))</f>
        <v/>
      </c>
      <c r="U1661" s="0" t="str">
        <f aca="false">IF($L1661="","",IFERROR(VLOOKUP(--$L1661,MM_Income!$Z$5:$AC$204,3,FALSE()),"UNMAPPED"))</f>
        <v/>
      </c>
    </row>
    <row r="1662" customFormat="false" ht="13.5" hidden="false" customHeight="false" outlineLevel="0" collapsed="false">
      <c r="A1662" s="1" t="str">
        <f aca="false">IF($C1662="","",Controls!$B$7)</f>
        <v/>
      </c>
      <c r="B1662" s="1" t="str">
        <f aca="false">IF($H1662="","",YEAR($H1662)&amp;"-Q"&amp;ROUNDUP(MONTH($H1662)/3,0))</f>
        <v/>
      </c>
      <c r="S1662" s="1" t="str">
        <f aca="false">IF($C1662="","",$C1662&amp;"|"&amp;$E1662&amp;"|"&amp;$F1662&amp;"|"&amp;$L1662&amp;"|"&amp;$P1662&amp;"|"&amp;TEXT($H1662,"yyyy-mm-dd"))</f>
        <v/>
      </c>
      <c r="T1662" s="1" t="str">
        <f aca="false">IF($S1662="","",IF(COUNTIF($S$2:$S$2991,$S1662)&gt;1,"DUPLICATE","OK"))</f>
        <v/>
      </c>
      <c r="U1662" s="0" t="str">
        <f aca="false">IF($L1662="","",IFERROR(VLOOKUP(--$L1662,MM_Income!$Z$5:$AC$204,3,FALSE()),"UNMAPPED"))</f>
        <v/>
      </c>
    </row>
    <row r="1663" customFormat="false" ht="13.5" hidden="false" customHeight="false" outlineLevel="0" collapsed="false">
      <c r="A1663" s="1" t="str">
        <f aca="false">IF($C1663="","",Controls!$B$7)</f>
        <v/>
      </c>
      <c r="B1663" s="1" t="str">
        <f aca="false">IF($H1663="","",YEAR($H1663)&amp;"-Q"&amp;ROUNDUP(MONTH($H1663)/3,0))</f>
        <v/>
      </c>
      <c r="S1663" s="1" t="str">
        <f aca="false">IF($C1663="","",$C1663&amp;"|"&amp;$E1663&amp;"|"&amp;$F1663&amp;"|"&amp;$L1663&amp;"|"&amp;$P1663&amp;"|"&amp;TEXT($H1663,"yyyy-mm-dd"))</f>
        <v/>
      </c>
      <c r="T1663" s="1" t="str">
        <f aca="false">IF($S1663="","",IF(COUNTIF($S$2:$S$2991,$S1663)&gt;1,"DUPLICATE","OK"))</f>
        <v/>
      </c>
      <c r="U1663" s="0" t="str">
        <f aca="false">IF($L1663="","",IFERROR(VLOOKUP(--$L1663,MM_Income!$Z$5:$AC$204,3,FALSE()),"UNMAPPED"))</f>
        <v/>
      </c>
    </row>
    <row r="1664" customFormat="false" ht="13.5" hidden="false" customHeight="false" outlineLevel="0" collapsed="false">
      <c r="A1664" s="1" t="str">
        <f aca="false">IF($C1664="","",Controls!$B$7)</f>
        <v/>
      </c>
      <c r="B1664" s="1" t="str">
        <f aca="false">IF($H1664="","",YEAR($H1664)&amp;"-Q"&amp;ROUNDUP(MONTH($H1664)/3,0))</f>
        <v/>
      </c>
      <c r="S1664" s="1" t="str">
        <f aca="false">IF($C1664="","",$C1664&amp;"|"&amp;$E1664&amp;"|"&amp;$F1664&amp;"|"&amp;$L1664&amp;"|"&amp;$P1664&amp;"|"&amp;TEXT($H1664,"yyyy-mm-dd"))</f>
        <v/>
      </c>
      <c r="T1664" s="1" t="str">
        <f aca="false">IF($S1664="","",IF(COUNTIF($S$2:$S$2991,$S1664)&gt;1,"DUPLICATE","OK"))</f>
        <v/>
      </c>
      <c r="U1664" s="0" t="str">
        <f aca="false">IF($L1664="","",IFERROR(VLOOKUP(--$L1664,MM_Income!$Z$5:$AC$204,3,FALSE()),"UNMAPPED"))</f>
        <v/>
      </c>
    </row>
    <row r="1665" customFormat="false" ht="13.5" hidden="false" customHeight="false" outlineLevel="0" collapsed="false">
      <c r="A1665" s="1" t="str">
        <f aca="false">IF($C1665="","",Controls!$B$7)</f>
        <v/>
      </c>
      <c r="B1665" s="1" t="str">
        <f aca="false">IF($H1665="","",YEAR($H1665)&amp;"-Q"&amp;ROUNDUP(MONTH($H1665)/3,0))</f>
        <v/>
      </c>
      <c r="S1665" s="1" t="str">
        <f aca="false">IF($C1665="","",$C1665&amp;"|"&amp;$E1665&amp;"|"&amp;$F1665&amp;"|"&amp;$L1665&amp;"|"&amp;$P1665&amp;"|"&amp;TEXT($H1665,"yyyy-mm-dd"))</f>
        <v/>
      </c>
      <c r="T1665" s="1" t="str">
        <f aca="false">IF($S1665="","",IF(COUNTIF($S$2:$S$2991,$S1665)&gt;1,"DUPLICATE","OK"))</f>
        <v/>
      </c>
      <c r="U1665" s="0" t="str">
        <f aca="false">IF($L1665="","",IFERROR(VLOOKUP(--$L1665,MM_Income!$Z$5:$AC$204,3,FALSE()),"UNMAPPED"))</f>
        <v/>
      </c>
    </row>
    <row r="1666" customFormat="false" ht="13.5" hidden="false" customHeight="false" outlineLevel="0" collapsed="false">
      <c r="A1666" s="1" t="str">
        <f aca="false">IF($C1666="","",Controls!$B$7)</f>
        <v/>
      </c>
      <c r="B1666" s="1" t="str">
        <f aca="false">IF($H1666="","",YEAR($H1666)&amp;"-Q"&amp;ROUNDUP(MONTH($H1666)/3,0))</f>
        <v/>
      </c>
      <c r="S1666" s="1" t="str">
        <f aca="false">IF($C1666="","",$C1666&amp;"|"&amp;$E1666&amp;"|"&amp;$F1666&amp;"|"&amp;$L1666&amp;"|"&amp;$P1666&amp;"|"&amp;TEXT($H1666,"yyyy-mm-dd"))</f>
        <v/>
      </c>
      <c r="T1666" s="1" t="str">
        <f aca="false">IF($S1666="","",IF(COUNTIF($S$2:$S$2991,$S1666)&gt;1,"DUPLICATE","OK"))</f>
        <v/>
      </c>
      <c r="U1666" s="0" t="str">
        <f aca="false">IF($L1666="","",IFERROR(VLOOKUP(--$L1666,MM_Income!$Z$5:$AC$204,3,FALSE()),"UNMAPPED"))</f>
        <v/>
      </c>
    </row>
    <row r="1667" customFormat="false" ht="13.5" hidden="false" customHeight="false" outlineLevel="0" collapsed="false">
      <c r="A1667" s="1" t="str">
        <f aca="false">IF($C1667="","",Controls!$B$7)</f>
        <v/>
      </c>
      <c r="B1667" s="1" t="str">
        <f aca="false">IF($H1667="","",YEAR($H1667)&amp;"-Q"&amp;ROUNDUP(MONTH($H1667)/3,0))</f>
        <v/>
      </c>
      <c r="S1667" s="1" t="str">
        <f aca="false">IF($C1667="","",$C1667&amp;"|"&amp;$E1667&amp;"|"&amp;$F1667&amp;"|"&amp;$L1667&amp;"|"&amp;$P1667&amp;"|"&amp;TEXT($H1667,"yyyy-mm-dd"))</f>
        <v/>
      </c>
      <c r="T1667" s="1" t="str">
        <f aca="false">IF($S1667="","",IF(COUNTIF($S$2:$S$2991,$S1667)&gt;1,"DUPLICATE","OK"))</f>
        <v/>
      </c>
      <c r="U1667" s="0" t="str">
        <f aca="false">IF($L1667="","",IFERROR(VLOOKUP(--$L1667,MM_Income!$Z$5:$AC$204,3,FALSE()),"UNMAPPED"))</f>
        <v/>
      </c>
    </row>
    <row r="1668" customFormat="false" ht="13.5" hidden="false" customHeight="false" outlineLevel="0" collapsed="false">
      <c r="A1668" s="1" t="str">
        <f aca="false">IF($C1668="","",Controls!$B$7)</f>
        <v/>
      </c>
      <c r="B1668" s="1" t="str">
        <f aca="false">IF($H1668="","",YEAR($H1668)&amp;"-Q"&amp;ROUNDUP(MONTH($H1668)/3,0))</f>
        <v/>
      </c>
      <c r="S1668" s="1" t="str">
        <f aca="false">IF($C1668="","",$C1668&amp;"|"&amp;$E1668&amp;"|"&amp;$F1668&amp;"|"&amp;$L1668&amp;"|"&amp;$P1668&amp;"|"&amp;TEXT($H1668,"yyyy-mm-dd"))</f>
        <v/>
      </c>
      <c r="T1668" s="1" t="str">
        <f aca="false">IF($S1668="","",IF(COUNTIF($S$2:$S$2991,$S1668)&gt;1,"DUPLICATE","OK"))</f>
        <v/>
      </c>
      <c r="U1668" s="0" t="str">
        <f aca="false">IF($L1668="","",IFERROR(VLOOKUP(--$L1668,MM_Income!$Z$5:$AC$204,3,FALSE()),"UNMAPPED"))</f>
        <v/>
      </c>
    </row>
    <row r="1669" customFormat="false" ht="13.5" hidden="false" customHeight="false" outlineLevel="0" collapsed="false">
      <c r="A1669" s="1" t="str">
        <f aca="false">IF($C1669="","",Controls!$B$7)</f>
        <v/>
      </c>
      <c r="B1669" s="1" t="str">
        <f aca="false">IF($H1669="","",YEAR($H1669)&amp;"-Q"&amp;ROUNDUP(MONTH($H1669)/3,0))</f>
        <v/>
      </c>
      <c r="S1669" s="1" t="str">
        <f aca="false">IF($C1669="","",$C1669&amp;"|"&amp;$E1669&amp;"|"&amp;$F1669&amp;"|"&amp;$L1669&amp;"|"&amp;$P1669&amp;"|"&amp;TEXT($H1669,"yyyy-mm-dd"))</f>
        <v/>
      </c>
      <c r="T1669" s="1" t="str">
        <f aca="false">IF($S1669="","",IF(COUNTIF($S$2:$S$2991,$S1669)&gt;1,"DUPLICATE","OK"))</f>
        <v/>
      </c>
      <c r="U1669" s="0" t="str">
        <f aca="false">IF($L1669="","",IFERROR(VLOOKUP(--$L1669,MM_Income!$Z$5:$AC$204,3,FALSE()),"UNMAPPED"))</f>
        <v/>
      </c>
    </row>
    <row r="1670" customFormat="false" ht="13.5" hidden="false" customHeight="false" outlineLevel="0" collapsed="false">
      <c r="A1670" s="1" t="str">
        <f aca="false">IF($C1670="","",Controls!$B$7)</f>
        <v/>
      </c>
      <c r="B1670" s="1" t="str">
        <f aca="false">IF($H1670="","",YEAR($H1670)&amp;"-Q"&amp;ROUNDUP(MONTH($H1670)/3,0))</f>
        <v/>
      </c>
      <c r="S1670" s="1" t="str">
        <f aca="false">IF($C1670="","",$C1670&amp;"|"&amp;$E1670&amp;"|"&amp;$F1670&amp;"|"&amp;$L1670&amp;"|"&amp;$P1670&amp;"|"&amp;TEXT($H1670,"yyyy-mm-dd"))</f>
        <v/>
      </c>
      <c r="T1670" s="1" t="str">
        <f aca="false">IF($S1670="","",IF(COUNTIF($S$2:$S$2991,$S1670)&gt;1,"DUPLICATE","OK"))</f>
        <v/>
      </c>
      <c r="U1670" s="0" t="str">
        <f aca="false">IF($L1670="","",IFERROR(VLOOKUP(--$L1670,MM_Income!$Z$5:$AC$204,3,FALSE()),"UNMAPPED"))</f>
        <v/>
      </c>
    </row>
    <row r="1671" customFormat="false" ht="13.5" hidden="false" customHeight="false" outlineLevel="0" collapsed="false">
      <c r="A1671" s="1" t="str">
        <f aca="false">IF($C1671="","",Controls!$B$7)</f>
        <v/>
      </c>
      <c r="B1671" s="1" t="str">
        <f aca="false">IF($H1671="","",YEAR($H1671)&amp;"-Q"&amp;ROUNDUP(MONTH($H1671)/3,0))</f>
        <v/>
      </c>
      <c r="S1671" s="1" t="str">
        <f aca="false">IF($C1671="","",$C1671&amp;"|"&amp;$E1671&amp;"|"&amp;$F1671&amp;"|"&amp;$L1671&amp;"|"&amp;$P1671&amp;"|"&amp;TEXT($H1671,"yyyy-mm-dd"))</f>
        <v/>
      </c>
      <c r="T1671" s="1" t="str">
        <f aca="false">IF($S1671="","",IF(COUNTIF($S$2:$S$2991,$S1671)&gt;1,"DUPLICATE","OK"))</f>
        <v/>
      </c>
      <c r="U1671" s="0" t="str">
        <f aca="false">IF($L1671="","",IFERROR(VLOOKUP(--$L1671,MM_Income!$Z$5:$AC$204,3,FALSE()),"UNMAPPED"))</f>
        <v/>
      </c>
    </row>
    <row r="1672" customFormat="false" ht="13.5" hidden="false" customHeight="false" outlineLevel="0" collapsed="false">
      <c r="A1672" s="1" t="str">
        <f aca="false">IF($C1672="","",Controls!$B$7)</f>
        <v/>
      </c>
      <c r="B1672" s="1" t="str">
        <f aca="false">IF($H1672="","",YEAR($H1672)&amp;"-Q"&amp;ROUNDUP(MONTH($H1672)/3,0))</f>
        <v/>
      </c>
      <c r="S1672" s="1" t="str">
        <f aca="false">IF($C1672="","",$C1672&amp;"|"&amp;$E1672&amp;"|"&amp;$F1672&amp;"|"&amp;$L1672&amp;"|"&amp;$P1672&amp;"|"&amp;TEXT($H1672,"yyyy-mm-dd"))</f>
        <v/>
      </c>
      <c r="T1672" s="1" t="str">
        <f aca="false">IF($S1672="","",IF(COUNTIF($S$2:$S$2991,$S1672)&gt;1,"DUPLICATE","OK"))</f>
        <v/>
      </c>
      <c r="U1672" s="0" t="str">
        <f aca="false">IF($L1672="","",IFERROR(VLOOKUP(--$L1672,MM_Income!$Z$5:$AC$204,3,FALSE()),"UNMAPPED"))</f>
        <v/>
      </c>
    </row>
    <row r="1673" customFormat="false" ht="13.5" hidden="false" customHeight="false" outlineLevel="0" collapsed="false">
      <c r="A1673" s="1" t="str">
        <f aca="false">IF($C1673="","",Controls!$B$7)</f>
        <v/>
      </c>
      <c r="B1673" s="1" t="str">
        <f aca="false">IF($H1673="","",YEAR($H1673)&amp;"-Q"&amp;ROUNDUP(MONTH($H1673)/3,0))</f>
        <v/>
      </c>
      <c r="S1673" s="1" t="str">
        <f aca="false">IF($C1673="","",$C1673&amp;"|"&amp;$E1673&amp;"|"&amp;$F1673&amp;"|"&amp;$L1673&amp;"|"&amp;$P1673&amp;"|"&amp;TEXT($H1673,"yyyy-mm-dd"))</f>
        <v/>
      </c>
      <c r="T1673" s="1" t="str">
        <f aca="false">IF($S1673="","",IF(COUNTIF($S$2:$S$2991,$S1673)&gt;1,"DUPLICATE","OK"))</f>
        <v/>
      </c>
      <c r="U1673" s="0" t="str">
        <f aca="false">IF($L1673="","",IFERROR(VLOOKUP(--$L1673,MM_Income!$Z$5:$AC$204,3,FALSE()),"UNMAPPED"))</f>
        <v/>
      </c>
    </row>
    <row r="1674" customFormat="false" ht="13.5" hidden="false" customHeight="false" outlineLevel="0" collapsed="false">
      <c r="A1674" s="1" t="str">
        <f aca="false">IF($C1674="","",Controls!$B$7)</f>
        <v/>
      </c>
      <c r="B1674" s="1" t="str">
        <f aca="false">IF($H1674="","",YEAR($H1674)&amp;"-Q"&amp;ROUNDUP(MONTH($H1674)/3,0))</f>
        <v/>
      </c>
      <c r="S1674" s="1" t="str">
        <f aca="false">IF($C1674="","",$C1674&amp;"|"&amp;$E1674&amp;"|"&amp;$F1674&amp;"|"&amp;$L1674&amp;"|"&amp;$P1674&amp;"|"&amp;TEXT($H1674,"yyyy-mm-dd"))</f>
        <v/>
      </c>
      <c r="T1674" s="1" t="str">
        <f aca="false">IF($S1674="","",IF(COUNTIF($S$2:$S$2991,$S1674)&gt;1,"DUPLICATE","OK"))</f>
        <v/>
      </c>
      <c r="U1674" s="0" t="str">
        <f aca="false">IF($L1674="","",IFERROR(VLOOKUP(--$L1674,MM_Income!$Z$5:$AC$204,3,FALSE()),"UNMAPPED"))</f>
        <v/>
      </c>
    </row>
    <row r="1675" customFormat="false" ht="13.5" hidden="false" customHeight="false" outlineLevel="0" collapsed="false">
      <c r="A1675" s="1" t="str">
        <f aca="false">IF($C1675="","",Controls!$B$7)</f>
        <v/>
      </c>
      <c r="B1675" s="1" t="str">
        <f aca="false">IF($H1675="","",YEAR($H1675)&amp;"-Q"&amp;ROUNDUP(MONTH($H1675)/3,0))</f>
        <v/>
      </c>
      <c r="S1675" s="1" t="str">
        <f aca="false">IF($C1675="","",$C1675&amp;"|"&amp;$E1675&amp;"|"&amp;$F1675&amp;"|"&amp;$L1675&amp;"|"&amp;$P1675&amp;"|"&amp;TEXT($H1675,"yyyy-mm-dd"))</f>
        <v/>
      </c>
      <c r="T1675" s="1" t="str">
        <f aca="false">IF($S1675="","",IF(COUNTIF($S$2:$S$2991,$S1675)&gt;1,"DUPLICATE","OK"))</f>
        <v/>
      </c>
      <c r="U1675" s="0" t="str">
        <f aca="false">IF($L1675="","",IFERROR(VLOOKUP(--$L1675,MM_Income!$Z$5:$AC$204,3,FALSE()),"UNMAPPED"))</f>
        <v/>
      </c>
    </row>
    <row r="1676" customFormat="false" ht="13.5" hidden="false" customHeight="false" outlineLevel="0" collapsed="false">
      <c r="A1676" s="1" t="str">
        <f aca="false">IF($C1676="","",Controls!$B$7)</f>
        <v/>
      </c>
      <c r="B1676" s="1" t="str">
        <f aca="false">IF($H1676="","",YEAR($H1676)&amp;"-Q"&amp;ROUNDUP(MONTH($H1676)/3,0))</f>
        <v/>
      </c>
      <c r="S1676" s="1" t="str">
        <f aca="false">IF($C1676="","",$C1676&amp;"|"&amp;$E1676&amp;"|"&amp;$F1676&amp;"|"&amp;$L1676&amp;"|"&amp;$P1676&amp;"|"&amp;TEXT($H1676,"yyyy-mm-dd"))</f>
        <v/>
      </c>
      <c r="T1676" s="1" t="str">
        <f aca="false">IF($S1676="","",IF(COUNTIF($S$2:$S$2991,$S1676)&gt;1,"DUPLICATE","OK"))</f>
        <v/>
      </c>
      <c r="U1676" s="0" t="str">
        <f aca="false">IF($L1676="","",IFERROR(VLOOKUP(--$L1676,MM_Income!$Z$5:$AC$204,3,FALSE()),"UNMAPPED"))</f>
        <v/>
      </c>
    </row>
    <row r="1677" customFormat="false" ht="13.5" hidden="false" customHeight="false" outlineLevel="0" collapsed="false">
      <c r="A1677" s="1" t="str">
        <f aca="false">IF($C1677="","",Controls!$B$7)</f>
        <v/>
      </c>
      <c r="B1677" s="1" t="str">
        <f aca="false">IF($H1677="","",YEAR($H1677)&amp;"-Q"&amp;ROUNDUP(MONTH($H1677)/3,0))</f>
        <v/>
      </c>
      <c r="S1677" s="1" t="str">
        <f aca="false">IF($C1677="","",$C1677&amp;"|"&amp;$E1677&amp;"|"&amp;$F1677&amp;"|"&amp;$L1677&amp;"|"&amp;$P1677&amp;"|"&amp;TEXT($H1677,"yyyy-mm-dd"))</f>
        <v/>
      </c>
      <c r="T1677" s="1" t="str">
        <f aca="false">IF($S1677="","",IF(COUNTIF($S$2:$S$2991,$S1677)&gt;1,"DUPLICATE","OK"))</f>
        <v/>
      </c>
      <c r="U1677" s="0" t="str">
        <f aca="false">IF($L1677="","",IFERROR(VLOOKUP(--$L1677,MM_Income!$Z$5:$AC$204,3,FALSE()),"UNMAPPED"))</f>
        <v/>
      </c>
    </row>
    <row r="1678" customFormat="false" ht="13.5" hidden="false" customHeight="false" outlineLevel="0" collapsed="false">
      <c r="A1678" s="1" t="str">
        <f aca="false">IF($C1678="","",Controls!$B$7)</f>
        <v/>
      </c>
      <c r="B1678" s="1" t="str">
        <f aca="false">IF($H1678="","",YEAR($H1678)&amp;"-Q"&amp;ROUNDUP(MONTH($H1678)/3,0))</f>
        <v/>
      </c>
      <c r="S1678" s="1" t="str">
        <f aca="false">IF($C1678="","",$C1678&amp;"|"&amp;$E1678&amp;"|"&amp;$F1678&amp;"|"&amp;$L1678&amp;"|"&amp;$P1678&amp;"|"&amp;TEXT($H1678,"yyyy-mm-dd"))</f>
        <v/>
      </c>
      <c r="T1678" s="1" t="str">
        <f aca="false">IF($S1678="","",IF(COUNTIF($S$2:$S$2991,$S1678)&gt;1,"DUPLICATE","OK"))</f>
        <v/>
      </c>
      <c r="U1678" s="0" t="str">
        <f aca="false">IF($L1678="","",IFERROR(VLOOKUP(--$L1678,MM_Income!$Z$5:$AC$204,3,FALSE()),"UNMAPPED"))</f>
        <v/>
      </c>
    </row>
    <row r="1679" customFormat="false" ht="13.5" hidden="false" customHeight="false" outlineLevel="0" collapsed="false">
      <c r="A1679" s="1" t="str">
        <f aca="false">IF($C1679="","",Controls!$B$7)</f>
        <v/>
      </c>
      <c r="B1679" s="1" t="str">
        <f aca="false">IF($H1679="","",YEAR($H1679)&amp;"-Q"&amp;ROUNDUP(MONTH($H1679)/3,0))</f>
        <v/>
      </c>
      <c r="S1679" s="1" t="str">
        <f aca="false">IF($C1679="","",$C1679&amp;"|"&amp;$E1679&amp;"|"&amp;$F1679&amp;"|"&amp;$L1679&amp;"|"&amp;$P1679&amp;"|"&amp;TEXT($H1679,"yyyy-mm-dd"))</f>
        <v/>
      </c>
      <c r="T1679" s="1" t="str">
        <f aca="false">IF($S1679="","",IF(COUNTIF($S$2:$S$2991,$S1679)&gt;1,"DUPLICATE","OK"))</f>
        <v/>
      </c>
      <c r="U1679" s="0" t="str">
        <f aca="false">IF($L1679="","",IFERROR(VLOOKUP(--$L1679,MM_Income!$Z$5:$AC$204,3,FALSE()),"UNMAPPED"))</f>
        <v/>
      </c>
    </row>
    <row r="1680" customFormat="false" ht="13.5" hidden="false" customHeight="false" outlineLevel="0" collapsed="false">
      <c r="A1680" s="1" t="str">
        <f aca="false">IF($C1680="","",Controls!$B$7)</f>
        <v/>
      </c>
      <c r="B1680" s="1" t="str">
        <f aca="false">IF($H1680="","",YEAR($H1680)&amp;"-Q"&amp;ROUNDUP(MONTH($H1680)/3,0))</f>
        <v/>
      </c>
      <c r="S1680" s="1" t="str">
        <f aca="false">IF($C1680="","",$C1680&amp;"|"&amp;$E1680&amp;"|"&amp;$F1680&amp;"|"&amp;$L1680&amp;"|"&amp;$P1680&amp;"|"&amp;TEXT($H1680,"yyyy-mm-dd"))</f>
        <v/>
      </c>
      <c r="T1680" s="1" t="str">
        <f aca="false">IF($S1680="","",IF(COUNTIF($S$2:$S$2991,$S1680)&gt;1,"DUPLICATE","OK"))</f>
        <v/>
      </c>
      <c r="U1680" s="0" t="str">
        <f aca="false">IF($L1680="","",IFERROR(VLOOKUP(--$L1680,MM_Income!$Z$5:$AC$204,3,FALSE()),"UNMAPPED"))</f>
        <v/>
      </c>
    </row>
    <row r="1681" customFormat="false" ht="13.5" hidden="false" customHeight="false" outlineLevel="0" collapsed="false">
      <c r="A1681" s="1" t="str">
        <f aca="false">IF($C1681="","",Controls!$B$7)</f>
        <v/>
      </c>
      <c r="B1681" s="1" t="str">
        <f aca="false">IF($H1681="","",YEAR($H1681)&amp;"-Q"&amp;ROUNDUP(MONTH($H1681)/3,0))</f>
        <v/>
      </c>
      <c r="S1681" s="1" t="str">
        <f aca="false">IF($C1681="","",$C1681&amp;"|"&amp;$E1681&amp;"|"&amp;$F1681&amp;"|"&amp;$L1681&amp;"|"&amp;$P1681&amp;"|"&amp;TEXT($H1681,"yyyy-mm-dd"))</f>
        <v/>
      </c>
      <c r="T1681" s="1" t="str">
        <f aca="false">IF($S1681="","",IF(COUNTIF($S$2:$S$2991,$S1681)&gt;1,"DUPLICATE","OK"))</f>
        <v/>
      </c>
      <c r="U1681" s="0" t="str">
        <f aca="false">IF($L1681="","",IFERROR(VLOOKUP(--$L1681,MM_Income!$Z$5:$AC$204,3,FALSE()),"UNMAPPED"))</f>
        <v/>
      </c>
    </row>
    <row r="1682" customFormat="false" ht="13.5" hidden="false" customHeight="false" outlineLevel="0" collapsed="false">
      <c r="A1682" s="1" t="str">
        <f aca="false">IF($C1682="","",Controls!$B$7)</f>
        <v/>
      </c>
      <c r="B1682" s="1" t="str">
        <f aca="false">IF($H1682="","",YEAR($H1682)&amp;"-Q"&amp;ROUNDUP(MONTH($H1682)/3,0))</f>
        <v/>
      </c>
      <c r="S1682" s="1" t="str">
        <f aca="false">IF($C1682="","",$C1682&amp;"|"&amp;$E1682&amp;"|"&amp;$F1682&amp;"|"&amp;$L1682&amp;"|"&amp;$P1682&amp;"|"&amp;TEXT($H1682,"yyyy-mm-dd"))</f>
        <v/>
      </c>
      <c r="T1682" s="1" t="str">
        <f aca="false">IF($S1682="","",IF(COUNTIF($S$2:$S$2991,$S1682)&gt;1,"DUPLICATE","OK"))</f>
        <v/>
      </c>
      <c r="U1682" s="0" t="str">
        <f aca="false">IF($L1682="","",IFERROR(VLOOKUP(--$L1682,MM_Income!$Z$5:$AC$204,3,FALSE()),"UNMAPPED"))</f>
        <v/>
      </c>
    </row>
    <row r="1683" customFormat="false" ht="13.5" hidden="false" customHeight="false" outlineLevel="0" collapsed="false">
      <c r="A1683" s="1" t="str">
        <f aca="false">IF($C1683="","",Controls!$B$7)</f>
        <v/>
      </c>
      <c r="B1683" s="1" t="str">
        <f aca="false">IF($H1683="","",YEAR($H1683)&amp;"-Q"&amp;ROUNDUP(MONTH($H1683)/3,0))</f>
        <v/>
      </c>
      <c r="S1683" s="1" t="str">
        <f aca="false">IF($C1683="","",$C1683&amp;"|"&amp;$E1683&amp;"|"&amp;$F1683&amp;"|"&amp;$L1683&amp;"|"&amp;$P1683&amp;"|"&amp;TEXT($H1683,"yyyy-mm-dd"))</f>
        <v/>
      </c>
      <c r="T1683" s="1" t="str">
        <f aca="false">IF($S1683="","",IF(COUNTIF($S$2:$S$2991,$S1683)&gt;1,"DUPLICATE","OK"))</f>
        <v/>
      </c>
      <c r="U1683" s="0" t="str">
        <f aca="false">IF($L1683="","",IFERROR(VLOOKUP(--$L1683,MM_Income!$Z$5:$AC$204,3,FALSE()),"UNMAPPED"))</f>
        <v/>
      </c>
    </row>
    <row r="1684" customFormat="false" ht="13.5" hidden="false" customHeight="false" outlineLevel="0" collapsed="false">
      <c r="A1684" s="1" t="str">
        <f aca="false">IF($C1684="","",Controls!$B$7)</f>
        <v/>
      </c>
      <c r="B1684" s="1" t="str">
        <f aca="false">IF($H1684="","",YEAR($H1684)&amp;"-Q"&amp;ROUNDUP(MONTH($H1684)/3,0))</f>
        <v/>
      </c>
      <c r="S1684" s="1" t="str">
        <f aca="false">IF($C1684="","",$C1684&amp;"|"&amp;$E1684&amp;"|"&amp;$F1684&amp;"|"&amp;$L1684&amp;"|"&amp;$P1684&amp;"|"&amp;TEXT($H1684,"yyyy-mm-dd"))</f>
        <v/>
      </c>
      <c r="T1684" s="1" t="str">
        <f aca="false">IF($S1684="","",IF(COUNTIF($S$2:$S$2991,$S1684)&gt;1,"DUPLICATE","OK"))</f>
        <v/>
      </c>
      <c r="U1684" s="0" t="str">
        <f aca="false">IF($L1684="","",IFERROR(VLOOKUP(--$L1684,MM_Income!$Z$5:$AC$204,3,FALSE()),"UNMAPPED"))</f>
        <v/>
      </c>
    </row>
    <row r="1685" customFormat="false" ht="13.5" hidden="false" customHeight="false" outlineLevel="0" collapsed="false">
      <c r="A1685" s="1" t="str">
        <f aca="false">IF($C1685="","",Controls!$B$7)</f>
        <v/>
      </c>
      <c r="B1685" s="1" t="str">
        <f aca="false">IF($H1685="","",YEAR($H1685)&amp;"-Q"&amp;ROUNDUP(MONTH($H1685)/3,0))</f>
        <v/>
      </c>
      <c r="S1685" s="1" t="str">
        <f aca="false">IF($C1685="","",$C1685&amp;"|"&amp;$E1685&amp;"|"&amp;$F1685&amp;"|"&amp;$L1685&amp;"|"&amp;$P1685&amp;"|"&amp;TEXT($H1685,"yyyy-mm-dd"))</f>
        <v/>
      </c>
      <c r="T1685" s="1" t="str">
        <f aca="false">IF($S1685="","",IF(COUNTIF($S$2:$S$2991,$S1685)&gt;1,"DUPLICATE","OK"))</f>
        <v/>
      </c>
      <c r="U1685" s="0" t="str">
        <f aca="false">IF($L1685="","",IFERROR(VLOOKUP(--$L1685,MM_Income!$Z$5:$AC$204,3,FALSE()),"UNMAPPED"))</f>
        <v/>
      </c>
    </row>
    <row r="1686" customFormat="false" ht="13.5" hidden="false" customHeight="false" outlineLevel="0" collapsed="false">
      <c r="A1686" s="1" t="str">
        <f aca="false">IF($C1686="","",Controls!$B$7)</f>
        <v/>
      </c>
      <c r="B1686" s="1" t="str">
        <f aca="false">IF($H1686="","",YEAR($H1686)&amp;"-Q"&amp;ROUNDUP(MONTH($H1686)/3,0))</f>
        <v/>
      </c>
      <c r="S1686" s="1" t="str">
        <f aca="false">IF($C1686="","",$C1686&amp;"|"&amp;$E1686&amp;"|"&amp;$F1686&amp;"|"&amp;$L1686&amp;"|"&amp;$P1686&amp;"|"&amp;TEXT($H1686,"yyyy-mm-dd"))</f>
        <v/>
      </c>
      <c r="T1686" s="1" t="str">
        <f aca="false">IF($S1686="","",IF(COUNTIF($S$2:$S$2991,$S1686)&gt;1,"DUPLICATE","OK"))</f>
        <v/>
      </c>
      <c r="U1686" s="0" t="str">
        <f aca="false">IF($L1686="","",IFERROR(VLOOKUP(--$L1686,MM_Income!$Z$5:$AC$204,3,FALSE()),"UNMAPPED"))</f>
        <v/>
      </c>
    </row>
    <row r="1687" customFormat="false" ht="13.5" hidden="false" customHeight="false" outlineLevel="0" collapsed="false">
      <c r="A1687" s="1" t="str">
        <f aca="false">IF($C1687="","",Controls!$B$7)</f>
        <v/>
      </c>
      <c r="B1687" s="1" t="str">
        <f aca="false">IF($H1687="","",YEAR($H1687)&amp;"-Q"&amp;ROUNDUP(MONTH($H1687)/3,0))</f>
        <v/>
      </c>
      <c r="S1687" s="1" t="str">
        <f aca="false">IF($C1687="","",$C1687&amp;"|"&amp;$E1687&amp;"|"&amp;$F1687&amp;"|"&amp;$L1687&amp;"|"&amp;$P1687&amp;"|"&amp;TEXT($H1687,"yyyy-mm-dd"))</f>
        <v/>
      </c>
      <c r="T1687" s="1" t="str">
        <f aca="false">IF($S1687="","",IF(COUNTIF($S$2:$S$2991,$S1687)&gt;1,"DUPLICATE","OK"))</f>
        <v/>
      </c>
      <c r="U1687" s="0" t="str">
        <f aca="false">IF($L1687="","",IFERROR(VLOOKUP(--$L1687,MM_Income!$Z$5:$AC$204,3,FALSE()),"UNMAPPED"))</f>
        <v/>
      </c>
    </row>
    <row r="1688" customFormat="false" ht="13.5" hidden="false" customHeight="false" outlineLevel="0" collapsed="false">
      <c r="A1688" s="1" t="str">
        <f aca="false">IF($C1688="","",Controls!$B$7)</f>
        <v/>
      </c>
      <c r="B1688" s="1" t="str">
        <f aca="false">IF($H1688="","",YEAR($H1688)&amp;"-Q"&amp;ROUNDUP(MONTH($H1688)/3,0))</f>
        <v/>
      </c>
      <c r="S1688" s="1" t="str">
        <f aca="false">IF($C1688="","",$C1688&amp;"|"&amp;$E1688&amp;"|"&amp;$F1688&amp;"|"&amp;$L1688&amp;"|"&amp;$P1688&amp;"|"&amp;TEXT($H1688,"yyyy-mm-dd"))</f>
        <v/>
      </c>
      <c r="T1688" s="1" t="str">
        <f aca="false">IF($S1688="","",IF(COUNTIF($S$2:$S$2991,$S1688)&gt;1,"DUPLICATE","OK"))</f>
        <v/>
      </c>
      <c r="U1688" s="0" t="str">
        <f aca="false">IF($L1688="","",IFERROR(VLOOKUP(--$L1688,MM_Income!$Z$5:$AC$204,3,FALSE()),"UNMAPPED"))</f>
        <v/>
      </c>
    </row>
    <row r="1689" customFormat="false" ht="13.5" hidden="false" customHeight="false" outlineLevel="0" collapsed="false">
      <c r="A1689" s="1" t="str">
        <f aca="false">IF($C1689="","",Controls!$B$7)</f>
        <v/>
      </c>
      <c r="B1689" s="1" t="str">
        <f aca="false">IF($H1689="","",YEAR($H1689)&amp;"-Q"&amp;ROUNDUP(MONTH($H1689)/3,0))</f>
        <v/>
      </c>
      <c r="S1689" s="1" t="str">
        <f aca="false">IF($C1689="","",$C1689&amp;"|"&amp;$E1689&amp;"|"&amp;$F1689&amp;"|"&amp;$L1689&amp;"|"&amp;$P1689&amp;"|"&amp;TEXT($H1689,"yyyy-mm-dd"))</f>
        <v/>
      </c>
      <c r="T1689" s="1" t="str">
        <f aca="false">IF($S1689="","",IF(COUNTIF($S$2:$S$2991,$S1689)&gt;1,"DUPLICATE","OK"))</f>
        <v/>
      </c>
      <c r="U1689" s="0" t="str">
        <f aca="false">IF($L1689="","",IFERROR(VLOOKUP(--$L1689,MM_Income!$Z$5:$AC$204,3,FALSE()),"UNMAPPED"))</f>
        <v/>
      </c>
    </row>
    <row r="1690" customFormat="false" ht="13.5" hidden="false" customHeight="false" outlineLevel="0" collapsed="false">
      <c r="A1690" s="1" t="str">
        <f aca="false">IF($C1690="","",Controls!$B$7)</f>
        <v/>
      </c>
      <c r="B1690" s="1" t="str">
        <f aca="false">IF($H1690="","",YEAR($H1690)&amp;"-Q"&amp;ROUNDUP(MONTH($H1690)/3,0))</f>
        <v/>
      </c>
      <c r="S1690" s="1" t="str">
        <f aca="false">IF($C1690="","",$C1690&amp;"|"&amp;$E1690&amp;"|"&amp;$F1690&amp;"|"&amp;$L1690&amp;"|"&amp;$P1690&amp;"|"&amp;TEXT($H1690,"yyyy-mm-dd"))</f>
        <v/>
      </c>
      <c r="T1690" s="1" t="str">
        <f aca="false">IF($S1690="","",IF(COUNTIF($S$2:$S$2991,$S1690)&gt;1,"DUPLICATE","OK"))</f>
        <v/>
      </c>
      <c r="U1690" s="0" t="str">
        <f aca="false">IF($L1690="","",IFERROR(VLOOKUP(--$L1690,MM_Income!$Z$5:$AC$204,3,FALSE()),"UNMAPPED"))</f>
        <v/>
      </c>
    </row>
    <row r="1691" customFormat="false" ht="13.5" hidden="false" customHeight="false" outlineLevel="0" collapsed="false">
      <c r="A1691" s="1" t="str">
        <f aca="false">IF($C1691="","",Controls!$B$7)</f>
        <v/>
      </c>
      <c r="B1691" s="1" t="str">
        <f aca="false">IF($H1691="","",YEAR($H1691)&amp;"-Q"&amp;ROUNDUP(MONTH($H1691)/3,0))</f>
        <v/>
      </c>
      <c r="S1691" s="1" t="str">
        <f aca="false">IF($C1691="","",$C1691&amp;"|"&amp;$E1691&amp;"|"&amp;$F1691&amp;"|"&amp;$L1691&amp;"|"&amp;$P1691&amp;"|"&amp;TEXT($H1691,"yyyy-mm-dd"))</f>
        <v/>
      </c>
      <c r="T1691" s="1" t="str">
        <f aca="false">IF($S1691="","",IF(COUNTIF($S$2:$S$2991,$S1691)&gt;1,"DUPLICATE","OK"))</f>
        <v/>
      </c>
      <c r="U1691" s="0" t="str">
        <f aca="false">IF($L1691="","",IFERROR(VLOOKUP(--$L1691,MM_Income!$Z$5:$AC$204,3,FALSE()),"UNMAPPED"))</f>
        <v/>
      </c>
    </row>
    <row r="1692" customFormat="false" ht="13.5" hidden="false" customHeight="false" outlineLevel="0" collapsed="false">
      <c r="A1692" s="1" t="str">
        <f aca="false">IF($C1692="","",Controls!$B$7)</f>
        <v/>
      </c>
      <c r="B1692" s="1" t="str">
        <f aca="false">IF($H1692="","",YEAR($H1692)&amp;"-Q"&amp;ROUNDUP(MONTH($H1692)/3,0))</f>
        <v/>
      </c>
      <c r="S1692" s="1" t="str">
        <f aca="false">IF($C1692="","",$C1692&amp;"|"&amp;$E1692&amp;"|"&amp;$F1692&amp;"|"&amp;$L1692&amp;"|"&amp;$P1692&amp;"|"&amp;TEXT($H1692,"yyyy-mm-dd"))</f>
        <v/>
      </c>
      <c r="T1692" s="1" t="str">
        <f aca="false">IF($S1692="","",IF(COUNTIF($S$2:$S$2991,$S1692)&gt;1,"DUPLICATE","OK"))</f>
        <v/>
      </c>
      <c r="U1692" s="0" t="str">
        <f aca="false">IF($L1692="","",IFERROR(VLOOKUP(--$L1692,MM_Income!$Z$5:$AC$204,3,FALSE()),"UNMAPPED"))</f>
        <v/>
      </c>
    </row>
    <row r="1693" customFormat="false" ht="13.5" hidden="false" customHeight="false" outlineLevel="0" collapsed="false">
      <c r="A1693" s="1" t="str">
        <f aca="false">IF($C1693="","",Controls!$B$7)</f>
        <v/>
      </c>
      <c r="B1693" s="1" t="str">
        <f aca="false">IF($H1693="","",YEAR($H1693)&amp;"-Q"&amp;ROUNDUP(MONTH($H1693)/3,0))</f>
        <v/>
      </c>
      <c r="S1693" s="1" t="str">
        <f aca="false">IF($C1693="","",$C1693&amp;"|"&amp;$E1693&amp;"|"&amp;$F1693&amp;"|"&amp;$L1693&amp;"|"&amp;$P1693&amp;"|"&amp;TEXT($H1693,"yyyy-mm-dd"))</f>
        <v/>
      </c>
      <c r="T1693" s="1" t="str">
        <f aca="false">IF($S1693="","",IF(COUNTIF($S$2:$S$2991,$S1693)&gt;1,"DUPLICATE","OK"))</f>
        <v/>
      </c>
      <c r="U1693" s="0" t="str">
        <f aca="false">IF($L1693="","",IFERROR(VLOOKUP(--$L1693,MM_Income!$Z$5:$AC$204,3,FALSE()),"UNMAPPED"))</f>
        <v/>
      </c>
    </row>
    <row r="1694" customFormat="false" ht="13.5" hidden="false" customHeight="false" outlineLevel="0" collapsed="false">
      <c r="A1694" s="1" t="str">
        <f aca="false">IF($C1694="","",Controls!$B$7)</f>
        <v/>
      </c>
      <c r="B1694" s="1" t="str">
        <f aca="false">IF($H1694="","",YEAR($H1694)&amp;"-Q"&amp;ROUNDUP(MONTH($H1694)/3,0))</f>
        <v/>
      </c>
      <c r="S1694" s="1" t="str">
        <f aca="false">IF($C1694="","",$C1694&amp;"|"&amp;$E1694&amp;"|"&amp;$F1694&amp;"|"&amp;$L1694&amp;"|"&amp;$P1694&amp;"|"&amp;TEXT($H1694,"yyyy-mm-dd"))</f>
        <v/>
      </c>
      <c r="T1694" s="1" t="str">
        <f aca="false">IF($S1694="","",IF(COUNTIF($S$2:$S$2991,$S1694)&gt;1,"DUPLICATE","OK"))</f>
        <v/>
      </c>
      <c r="U1694" s="0" t="str">
        <f aca="false">IF($L1694="","",IFERROR(VLOOKUP(--$L1694,MM_Income!$Z$5:$AC$204,3,FALSE()),"UNMAPPED"))</f>
        <v/>
      </c>
    </row>
    <row r="1695" customFormat="false" ht="13.5" hidden="false" customHeight="false" outlineLevel="0" collapsed="false">
      <c r="A1695" s="1" t="str">
        <f aca="false">IF($C1695="","",Controls!$B$7)</f>
        <v/>
      </c>
      <c r="B1695" s="1" t="str">
        <f aca="false">IF($H1695="","",YEAR($H1695)&amp;"-Q"&amp;ROUNDUP(MONTH($H1695)/3,0))</f>
        <v/>
      </c>
      <c r="S1695" s="1" t="str">
        <f aca="false">IF($C1695="","",$C1695&amp;"|"&amp;$E1695&amp;"|"&amp;$F1695&amp;"|"&amp;$L1695&amp;"|"&amp;$P1695&amp;"|"&amp;TEXT($H1695,"yyyy-mm-dd"))</f>
        <v/>
      </c>
      <c r="T1695" s="1" t="str">
        <f aca="false">IF($S1695="","",IF(COUNTIF($S$2:$S$2991,$S1695)&gt;1,"DUPLICATE","OK"))</f>
        <v/>
      </c>
      <c r="U1695" s="0" t="str">
        <f aca="false">IF($L1695="","",IFERROR(VLOOKUP(--$L1695,MM_Income!$Z$5:$AC$204,3,FALSE()),"UNMAPPED"))</f>
        <v/>
      </c>
    </row>
    <row r="1696" customFormat="false" ht="13.5" hidden="false" customHeight="false" outlineLevel="0" collapsed="false">
      <c r="A1696" s="1" t="str">
        <f aca="false">IF($C1696="","",Controls!$B$7)</f>
        <v/>
      </c>
      <c r="B1696" s="1" t="str">
        <f aca="false">IF($H1696="","",YEAR($H1696)&amp;"-Q"&amp;ROUNDUP(MONTH($H1696)/3,0))</f>
        <v/>
      </c>
      <c r="S1696" s="1" t="str">
        <f aca="false">IF($C1696="","",$C1696&amp;"|"&amp;$E1696&amp;"|"&amp;$F1696&amp;"|"&amp;$L1696&amp;"|"&amp;$P1696&amp;"|"&amp;TEXT($H1696,"yyyy-mm-dd"))</f>
        <v/>
      </c>
      <c r="T1696" s="1" t="str">
        <f aca="false">IF($S1696="","",IF(COUNTIF($S$2:$S$2991,$S1696)&gt;1,"DUPLICATE","OK"))</f>
        <v/>
      </c>
      <c r="U1696" s="0" t="str">
        <f aca="false">IF($L1696="","",IFERROR(VLOOKUP(--$L1696,MM_Income!$Z$5:$AC$204,3,FALSE()),"UNMAPPED"))</f>
        <v/>
      </c>
    </row>
    <row r="1697" customFormat="false" ht="13.5" hidden="false" customHeight="false" outlineLevel="0" collapsed="false">
      <c r="A1697" s="1" t="str">
        <f aca="false">IF($C1697="","",Controls!$B$7)</f>
        <v/>
      </c>
      <c r="B1697" s="1" t="str">
        <f aca="false">IF($H1697="","",YEAR($H1697)&amp;"-Q"&amp;ROUNDUP(MONTH($H1697)/3,0))</f>
        <v/>
      </c>
      <c r="S1697" s="1" t="str">
        <f aca="false">IF($C1697="","",$C1697&amp;"|"&amp;$E1697&amp;"|"&amp;$F1697&amp;"|"&amp;$L1697&amp;"|"&amp;$P1697&amp;"|"&amp;TEXT($H1697,"yyyy-mm-dd"))</f>
        <v/>
      </c>
      <c r="T1697" s="1" t="str">
        <f aca="false">IF($S1697="","",IF(COUNTIF($S$2:$S$2991,$S1697)&gt;1,"DUPLICATE","OK"))</f>
        <v/>
      </c>
      <c r="U1697" s="0" t="str">
        <f aca="false">IF($L1697="","",IFERROR(VLOOKUP(--$L1697,MM_Income!$Z$5:$AC$204,3,FALSE()),"UNMAPPED"))</f>
        <v/>
      </c>
    </row>
    <row r="1698" customFormat="false" ht="13.5" hidden="false" customHeight="false" outlineLevel="0" collapsed="false">
      <c r="A1698" s="1" t="str">
        <f aca="false">IF($C1698="","",Controls!$B$7)</f>
        <v/>
      </c>
      <c r="B1698" s="1" t="str">
        <f aca="false">IF($H1698="","",YEAR($H1698)&amp;"-Q"&amp;ROUNDUP(MONTH($H1698)/3,0))</f>
        <v/>
      </c>
      <c r="S1698" s="1" t="str">
        <f aca="false">IF($C1698="","",$C1698&amp;"|"&amp;$E1698&amp;"|"&amp;$F1698&amp;"|"&amp;$L1698&amp;"|"&amp;$P1698&amp;"|"&amp;TEXT($H1698,"yyyy-mm-dd"))</f>
        <v/>
      </c>
      <c r="T1698" s="1" t="str">
        <f aca="false">IF($S1698="","",IF(COUNTIF($S$2:$S$2991,$S1698)&gt;1,"DUPLICATE","OK"))</f>
        <v/>
      </c>
      <c r="U1698" s="0" t="str">
        <f aca="false">IF($L1698="","",IFERROR(VLOOKUP(--$L1698,MM_Income!$Z$5:$AC$204,3,FALSE()),"UNMAPPED"))</f>
        <v/>
      </c>
    </row>
    <row r="1699" customFormat="false" ht="13.5" hidden="false" customHeight="false" outlineLevel="0" collapsed="false">
      <c r="A1699" s="1" t="str">
        <f aca="false">IF($C1699="","",Controls!$B$7)</f>
        <v/>
      </c>
      <c r="B1699" s="1" t="str">
        <f aca="false">IF($H1699="","",YEAR($H1699)&amp;"-Q"&amp;ROUNDUP(MONTH($H1699)/3,0))</f>
        <v/>
      </c>
      <c r="S1699" s="1" t="str">
        <f aca="false">IF($C1699="","",$C1699&amp;"|"&amp;$E1699&amp;"|"&amp;$F1699&amp;"|"&amp;$L1699&amp;"|"&amp;$P1699&amp;"|"&amp;TEXT($H1699,"yyyy-mm-dd"))</f>
        <v/>
      </c>
      <c r="T1699" s="1" t="str">
        <f aca="false">IF($S1699="","",IF(COUNTIF($S$2:$S$2991,$S1699)&gt;1,"DUPLICATE","OK"))</f>
        <v/>
      </c>
      <c r="U1699" s="0" t="str">
        <f aca="false">IF($L1699="","",IFERROR(VLOOKUP(--$L1699,MM_Income!$Z$5:$AC$204,3,FALSE()),"UNMAPPED"))</f>
        <v/>
      </c>
    </row>
    <row r="1700" customFormat="false" ht="13.5" hidden="false" customHeight="false" outlineLevel="0" collapsed="false">
      <c r="A1700" s="1" t="str">
        <f aca="false">IF($C1700="","",Controls!$B$7)</f>
        <v/>
      </c>
      <c r="B1700" s="1" t="str">
        <f aca="false">IF($H1700="","",YEAR($H1700)&amp;"-Q"&amp;ROUNDUP(MONTH($H1700)/3,0))</f>
        <v/>
      </c>
      <c r="S1700" s="1" t="str">
        <f aca="false">IF($C1700="","",$C1700&amp;"|"&amp;$E1700&amp;"|"&amp;$F1700&amp;"|"&amp;$L1700&amp;"|"&amp;$P1700&amp;"|"&amp;TEXT($H1700,"yyyy-mm-dd"))</f>
        <v/>
      </c>
      <c r="T1700" s="1" t="str">
        <f aca="false">IF($S1700="","",IF(COUNTIF($S$2:$S$2991,$S1700)&gt;1,"DUPLICATE","OK"))</f>
        <v/>
      </c>
      <c r="U1700" s="0" t="str">
        <f aca="false">IF($L1700="","",IFERROR(VLOOKUP(--$L1700,MM_Income!$Z$5:$AC$204,3,FALSE()),"UNMAPPED"))</f>
        <v/>
      </c>
    </row>
    <row r="1701" customFormat="false" ht="13.5" hidden="false" customHeight="false" outlineLevel="0" collapsed="false">
      <c r="A1701" s="1" t="str">
        <f aca="false">IF($C1701="","",Controls!$B$7)</f>
        <v/>
      </c>
      <c r="B1701" s="1" t="str">
        <f aca="false">IF($H1701="","",YEAR($H1701)&amp;"-Q"&amp;ROUNDUP(MONTH($H1701)/3,0))</f>
        <v/>
      </c>
      <c r="S1701" s="1" t="str">
        <f aca="false">IF($C1701="","",$C1701&amp;"|"&amp;$E1701&amp;"|"&amp;$F1701&amp;"|"&amp;$L1701&amp;"|"&amp;$P1701&amp;"|"&amp;TEXT($H1701,"yyyy-mm-dd"))</f>
        <v/>
      </c>
      <c r="T1701" s="1" t="str">
        <f aca="false">IF($S1701="","",IF(COUNTIF($S$2:$S$2991,$S1701)&gt;1,"DUPLICATE","OK"))</f>
        <v/>
      </c>
      <c r="U1701" s="0" t="str">
        <f aca="false">IF($L1701="","",IFERROR(VLOOKUP(--$L1701,MM_Income!$Z$5:$AC$204,3,FALSE()),"UNMAPPED"))</f>
        <v/>
      </c>
    </row>
    <row r="1702" customFormat="false" ht="13.5" hidden="false" customHeight="false" outlineLevel="0" collapsed="false">
      <c r="A1702" s="1" t="str">
        <f aca="false">IF($C1702="","",Controls!$B$7)</f>
        <v/>
      </c>
      <c r="B1702" s="1" t="str">
        <f aca="false">IF($H1702="","",YEAR($H1702)&amp;"-Q"&amp;ROUNDUP(MONTH($H1702)/3,0))</f>
        <v/>
      </c>
      <c r="S1702" s="1" t="str">
        <f aca="false">IF($C1702="","",$C1702&amp;"|"&amp;$E1702&amp;"|"&amp;$F1702&amp;"|"&amp;$L1702&amp;"|"&amp;$P1702&amp;"|"&amp;TEXT($H1702,"yyyy-mm-dd"))</f>
        <v/>
      </c>
      <c r="T1702" s="1" t="str">
        <f aca="false">IF($S1702="","",IF(COUNTIF($S$2:$S$2991,$S1702)&gt;1,"DUPLICATE","OK"))</f>
        <v/>
      </c>
      <c r="U1702" s="0" t="str">
        <f aca="false">IF($L1702="","",IFERROR(VLOOKUP(--$L1702,MM_Income!$Z$5:$AC$204,3,FALSE()),"UNMAPPED"))</f>
        <v/>
      </c>
    </row>
    <row r="1703" customFormat="false" ht="13.5" hidden="false" customHeight="false" outlineLevel="0" collapsed="false">
      <c r="A1703" s="1" t="str">
        <f aca="false">IF($C1703="","",Controls!$B$7)</f>
        <v/>
      </c>
      <c r="B1703" s="1" t="str">
        <f aca="false">IF($H1703="","",YEAR($H1703)&amp;"-Q"&amp;ROUNDUP(MONTH($H1703)/3,0))</f>
        <v/>
      </c>
      <c r="S1703" s="1" t="str">
        <f aca="false">IF($C1703="","",$C1703&amp;"|"&amp;$E1703&amp;"|"&amp;$F1703&amp;"|"&amp;$L1703&amp;"|"&amp;$P1703&amp;"|"&amp;TEXT($H1703,"yyyy-mm-dd"))</f>
        <v/>
      </c>
      <c r="T1703" s="1" t="str">
        <f aca="false">IF($S1703="","",IF(COUNTIF($S$2:$S$2991,$S1703)&gt;1,"DUPLICATE","OK"))</f>
        <v/>
      </c>
      <c r="U1703" s="0" t="str">
        <f aca="false">IF($L1703="","",IFERROR(VLOOKUP(--$L1703,MM_Income!$Z$5:$AC$204,3,FALSE()),"UNMAPPED"))</f>
        <v/>
      </c>
    </row>
    <row r="1704" customFormat="false" ht="13.5" hidden="false" customHeight="false" outlineLevel="0" collapsed="false">
      <c r="A1704" s="1" t="str">
        <f aca="false">IF($C1704="","",Controls!$B$7)</f>
        <v/>
      </c>
      <c r="B1704" s="1" t="str">
        <f aca="false">IF($H1704="","",YEAR($H1704)&amp;"-Q"&amp;ROUNDUP(MONTH($H1704)/3,0))</f>
        <v/>
      </c>
      <c r="S1704" s="1" t="str">
        <f aca="false">IF($C1704="","",$C1704&amp;"|"&amp;$E1704&amp;"|"&amp;$F1704&amp;"|"&amp;$L1704&amp;"|"&amp;$P1704&amp;"|"&amp;TEXT($H1704,"yyyy-mm-dd"))</f>
        <v/>
      </c>
      <c r="T1704" s="1" t="str">
        <f aca="false">IF($S1704="","",IF(COUNTIF($S$2:$S$2991,$S1704)&gt;1,"DUPLICATE","OK"))</f>
        <v/>
      </c>
      <c r="U1704" s="0" t="str">
        <f aca="false">IF($L1704="","",IFERROR(VLOOKUP(--$L1704,MM_Income!$Z$5:$AC$204,3,FALSE()),"UNMAPPED"))</f>
        <v/>
      </c>
    </row>
    <row r="1705" customFormat="false" ht="13.5" hidden="false" customHeight="false" outlineLevel="0" collapsed="false">
      <c r="A1705" s="1" t="str">
        <f aca="false">IF($C1705="","",Controls!$B$7)</f>
        <v/>
      </c>
      <c r="B1705" s="1" t="str">
        <f aca="false">IF($H1705="","",YEAR($H1705)&amp;"-Q"&amp;ROUNDUP(MONTH($H1705)/3,0))</f>
        <v/>
      </c>
      <c r="S1705" s="1" t="str">
        <f aca="false">IF($C1705="","",$C1705&amp;"|"&amp;$E1705&amp;"|"&amp;$F1705&amp;"|"&amp;$L1705&amp;"|"&amp;$P1705&amp;"|"&amp;TEXT($H1705,"yyyy-mm-dd"))</f>
        <v/>
      </c>
      <c r="T1705" s="1" t="str">
        <f aca="false">IF($S1705="","",IF(COUNTIF($S$2:$S$2991,$S1705)&gt;1,"DUPLICATE","OK"))</f>
        <v/>
      </c>
      <c r="U1705" s="0" t="str">
        <f aca="false">IF($L1705="","",IFERROR(VLOOKUP(--$L1705,MM_Income!$Z$5:$AC$204,3,FALSE()),"UNMAPPED"))</f>
        <v/>
      </c>
    </row>
    <row r="1706" customFormat="false" ht="13.5" hidden="false" customHeight="false" outlineLevel="0" collapsed="false">
      <c r="A1706" s="1" t="str">
        <f aca="false">IF($C1706="","",Controls!$B$7)</f>
        <v/>
      </c>
      <c r="B1706" s="1" t="str">
        <f aca="false">IF($H1706="","",YEAR($H1706)&amp;"-Q"&amp;ROUNDUP(MONTH($H1706)/3,0))</f>
        <v/>
      </c>
      <c r="S1706" s="1" t="str">
        <f aca="false">IF($C1706="","",$C1706&amp;"|"&amp;$E1706&amp;"|"&amp;$F1706&amp;"|"&amp;$L1706&amp;"|"&amp;$P1706&amp;"|"&amp;TEXT($H1706,"yyyy-mm-dd"))</f>
        <v/>
      </c>
      <c r="T1706" s="1" t="str">
        <f aca="false">IF($S1706="","",IF(COUNTIF($S$2:$S$2991,$S1706)&gt;1,"DUPLICATE","OK"))</f>
        <v/>
      </c>
      <c r="U1706" s="0" t="str">
        <f aca="false">IF($L1706="","",IFERROR(VLOOKUP(--$L1706,MM_Income!$Z$5:$AC$204,3,FALSE()),"UNMAPPED"))</f>
        <v/>
      </c>
    </row>
    <row r="1707" customFormat="false" ht="13.5" hidden="false" customHeight="false" outlineLevel="0" collapsed="false">
      <c r="A1707" s="1" t="str">
        <f aca="false">IF($C1707="","",Controls!$B$7)</f>
        <v/>
      </c>
      <c r="B1707" s="1" t="str">
        <f aca="false">IF($H1707="","",YEAR($H1707)&amp;"-Q"&amp;ROUNDUP(MONTH($H1707)/3,0))</f>
        <v/>
      </c>
      <c r="S1707" s="1" t="str">
        <f aca="false">IF($C1707="","",$C1707&amp;"|"&amp;$E1707&amp;"|"&amp;$F1707&amp;"|"&amp;$L1707&amp;"|"&amp;$P1707&amp;"|"&amp;TEXT($H1707,"yyyy-mm-dd"))</f>
        <v/>
      </c>
      <c r="T1707" s="1" t="str">
        <f aca="false">IF($S1707="","",IF(COUNTIF($S$2:$S$2991,$S1707)&gt;1,"DUPLICATE","OK"))</f>
        <v/>
      </c>
      <c r="U1707" s="0" t="str">
        <f aca="false">IF($L1707="","",IFERROR(VLOOKUP(--$L1707,MM_Income!$Z$5:$AC$204,3,FALSE()),"UNMAPPED"))</f>
        <v/>
      </c>
    </row>
    <row r="1708" customFormat="false" ht="13.5" hidden="false" customHeight="false" outlineLevel="0" collapsed="false">
      <c r="A1708" s="1" t="str">
        <f aca="false">IF($C1708="","",Controls!$B$7)</f>
        <v/>
      </c>
      <c r="B1708" s="1" t="str">
        <f aca="false">IF($H1708="","",YEAR($H1708)&amp;"-Q"&amp;ROUNDUP(MONTH($H1708)/3,0))</f>
        <v/>
      </c>
      <c r="S1708" s="1" t="str">
        <f aca="false">IF($C1708="","",$C1708&amp;"|"&amp;$E1708&amp;"|"&amp;$F1708&amp;"|"&amp;$L1708&amp;"|"&amp;$P1708&amp;"|"&amp;TEXT($H1708,"yyyy-mm-dd"))</f>
        <v/>
      </c>
      <c r="T1708" s="1" t="str">
        <f aca="false">IF($S1708="","",IF(COUNTIF($S$2:$S$2991,$S1708)&gt;1,"DUPLICATE","OK"))</f>
        <v/>
      </c>
      <c r="U1708" s="0" t="str">
        <f aca="false">IF($L1708="","",IFERROR(VLOOKUP(--$L1708,MM_Income!$Z$5:$AC$204,3,FALSE()),"UNMAPPED"))</f>
        <v/>
      </c>
    </row>
    <row r="1709" customFormat="false" ht="13.5" hidden="false" customHeight="false" outlineLevel="0" collapsed="false">
      <c r="A1709" s="1" t="str">
        <f aca="false">IF($C1709="","",Controls!$B$7)</f>
        <v/>
      </c>
      <c r="B1709" s="1" t="str">
        <f aca="false">IF($H1709="","",YEAR($H1709)&amp;"-Q"&amp;ROUNDUP(MONTH($H1709)/3,0))</f>
        <v/>
      </c>
      <c r="S1709" s="1" t="str">
        <f aca="false">IF($C1709="","",$C1709&amp;"|"&amp;$E1709&amp;"|"&amp;$F1709&amp;"|"&amp;$L1709&amp;"|"&amp;$P1709&amp;"|"&amp;TEXT($H1709,"yyyy-mm-dd"))</f>
        <v/>
      </c>
      <c r="T1709" s="1" t="str">
        <f aca="false">IF($S1709="","",IF(COUNTIF($S$2:$S$2991,$S1709)&gt;1,"DUPLICATE","OK"))</f>
        <v/>
      </c>
      <c r="U1709" s="0" t="str">
        <f aca="false">IF($L1709="","",IFERROR(VLOOKUP(--$L1709,MM_Income!$Z$5:$AC$204,3,FALSE()),"UNMAPPED"))</f>
        <v/>
      </c>
    </row>
    <row r="1710" customFormat="false" ht="13.5" hidden="false" customHeight="false" outlineLevel="0" collapsed="false">
      <c r="A1710" s="1" t="str">
        <f aca="false">IF($C1710="","",Controls!$B$7)</f>
        <v/>
      </c>
      <c r="B1710" s="1" t="str">
        <f aca="false">IF($H1710="","",YEAR($H1710)&amp;"-Q"&amp;ROUNDUP(MONTH($H1710)/3,0))</f>
        <v/>
      </c>
      <c r="S1710" s="1" t="str">
        <f aca="false">IF($C1710="","",$C1710&amp;"|"&amp;$E1710&amp;"|"&amp;$F1710&amp;"|"&amp;$L1710&amp;"|"&amp;$P1710&amp;"|"&amp;TEXT($H1710,"yyyy-mm-dd"))</f>
        <v/>
      </c>
      <c r="T1710" s="1" t="str">
        <f aca="false">IF($S1710="","",IF(COUNTIF($S$2:$S$2991,$S1710)&gt;1,"DUPLICATE","OK"))</f>
        <v/>
      </c>
      <c r="U1710" s="0" t="str">
        <f aca="false">IF($L1710="","",IFERROR(VLOOKUP(--$L1710,MM_Income!$Z$5:$AC$204,3,FALSE()),"UNMAPPED"))</f>
        <v/>
      </c>
    </row>
    <row r="1711" customFormat="false" ht="13.5" hidden="false" customHeight="false" outlineLevel="0" collapsed="false">
      <c r="A1711" s="1" t="str">
        <f aca="false">IF($C1711="","",Controls!$B$7)</f>
        <v/>
      </c>
      <c r="B1711" s="1" t="str">
        <f aca="false">IF($H1711="","",YEAR($H1711)&amp;"-Q"&amp;ROUNDUP(MONTH($H1711)/3,0))</f>
        <v/>
      </c>
      <c r="S1711" s="1" t="str">
        <f aca="false">IF($C1711="","",$C1711&amp;"|"&amp;$E1711&amp;"|"&amp;$F1711&amp;"|"&amp;$L1711&amp;"|"&amp;$P1711&amp;"|"&amp;TEXT($H1711,"yyyy-mm-dd"))</f>
        <v/>
      </c>
      <c r="T1711" s="1" t="str">
        <f aca="false">IF($S1711="","",IF(COUNTIF($S$2:$S$2991,$S1711)&gt;1,"DUPLICATE","OK"))</f>
        <v/>
      </c>
      <c r="U1711" s="0" t="str">
        <f aca="false">IF($L1711="","",IFERROR(VLOOKUP(--$L1711,MM_Income!$Z$5:$AC$204,3,FALSE()),"UNMAPPED"))</f>
        <v/>
      </c>
    </row>
    <row r="1712" customFormat="false" ht="13.5" hidden="false" customHeight="false" outlineLevel="0" collapsed="false">
      <c r="A1712" s="1" t="str">
        <f aca="false">IF($C1712="","",Controls!$B$7)</f>
        <v/>
      </c>
      <c r="B1712" s="1" t="str">
        <f aca="false">IF($H1712="","",YEAR($H1712)&amp;"-Q"&amp;ROUNDUP(MONTH($H1712)/3,0))</f>
        <v/>
      </c>
      <c r="S1712" s="1" t="str">
        <f aca="false">IF($C1712="","",$C1712&amp;"|"&amp;$E1712&amp;"|"&amp;$F1712&amp;"|"&amp;$L1712&amp;"|"&amp;$P1712&amp;"|"&amp;TEXT($H1712,"yyyy-mm-dd"))</f>
        <v/>
      </c>
      <c r="T1712" s="1" t="str">
        <f aca="false">IF($S1712="","",IF(COUNTIF($S$2:$S$2991,$S1712)&gt;1,"DUPLICATE","OK"))</f>
        <v/>
      </c>
      <c r="U1712" s="0" t="str">
        <f aca="false">IF($L1712="","",IFERROR(VLOOKUP(--$L1712,MM_Income!$Z$5:$AC$204,3,FALSE()),"UNMAPPED"))</f>
        <v/>
      </c>
    </row>
    <row r="1713" customFormat="false" ht="13.5" hidden="false" customHeight="false" outlineLevel="0" collapsed="false">
      <c r="A1713" s="1" t="str">
        <f aca="false">IF($C1713="","",Controls!$B$7)</f>
        <v/>
      </c>
      <c r="B1713" s="1" t="str">
        <f aca="false">IF($H1713="","",YEAR($H1713)&amp;"-Q"&amp;ROUNDUP(MONTH($H1713)/3,0))</f>
        <v/>
      </c>
      <c r="S1713" s="1" t="str">
        <f aca="false">IF($C1713="","",$C1713&amp;"|"&amp;$E1713&amp;"|"&amp;$F1713&amp;"|"&amp;$L1713&amp;"|"&amp;$P1713&amp;"|"&amp;TEXT($H1713,"yyyy-mm-dd"))</f>
        <v/>
      </c>
      <c r="T1713" s="1" t="str">
        <f aca="false">IF($S1713="","",IF(COUNTIF($S$2:$S$2991,$S1713)&gt;1,"DUPLICATE","OK"))</f>
        <v/>
      </c>
      <c r="U1713" s="0" t="str">
        <f aca="false">IF($L1713="","",IFERROR(VLOOKUP(--$L1713,MM_Income!$Z$5:$AC$204,3,FALSE()),"UNMAPPED"))</f>
        <v/>
      </c>
    </row>
    <row r="1714" customFormat="false" ht="13.5" hidden="false" customHeight="false" outlineLevel="0" collapsed="false">
      <c r="A1714" s="1" t="str">
        <f aca="false">IF($C1714="","",Controls!$B$7)</f>
        <v/>
      </c>
      <c r="B1714" s="1" t="str">
        <f aca="false">IF($H1714="","",YEAR($H1714)&amp;"-Q"&amp;ROUNDUP(MONTH($H1714)/3,0))</f>
        <v/>
      </c>
      <c r="S1714" s="1" t="str">
        <f aca="false">IF($C1714="","",$C1714&amp;"|"&amp;$E1714&amp;"|"&amp;$F1714&amp;"|"&amp;$L1714&amp;"|"&amp;$P1714&amp;"|"&amp;TEXT($H1714,"yyyy-mm-dd"))</f>
        <v/>
      </c>
      <c r="T1714" s="1" t="str">
        <f aca="false">IF($S1714="","",IF(COUNTIF($S$2:$S$2991,$S1714)&gt;1,"DUPLICATE","OK"))</f>
        <v/>
      </c>
      <c r="U1714" s="0" t="str">
        <f aca="false">IF($L1714="","",IFERROR(VLOOKUP(--$L1714,MM_Income!$Z$5:$AC$204,3,FALSE()),"UNMAPPED"))</f>
        <v/>
      </c>
    </row>
    <row r="1715" customFormat="false" ht="13.5" hidden="false" customHeight="false" outlineLevel="0" collapsed="false">
      <c r="A1715" s="1" t="str">
        <f aca="false">IF($C1715="","",Controls!$B$7)</f>
        <v/>
      </c>
      <c r="B1715" s="1" t="str">
        <f aca="false">IF($H1715="","",YEAR($H1715)&amp;"-Q"&amp;ROUNDUP(MONTH($H1715)/3,0))</f>
        <v/>
      </c>
      <c r="S1715" s="1" t="str">
        <f aca="false">IF($C1715="","",$C1715&amp;"|"&amp;$E1715&amp;"|"&amp;$F1715&amp;"|"&amp;$L1715&amp;"|"&amp;$P1715&amp;"|"&amp;TEXT($H1715,"yyyy-mm-dd"))</f>
        <v/>
      </c>
      <c r="T1715" s="1" t="str">
        <f aca="false">IF($S1715="","",IF(COUNTIF($S$2:$S$2991,$S1715)&gt;1,"DUPLICATE","OK"))</f>
        <v/>
      </c>
      <c r="U1715" s="0" t="str">
        <f aca="false">IF($L1715="","",IFERROR(VLOOKUP(--$L1715,MM_Income!$Z$5:$AC$204,3,FALSE()),"UNMAPPED"))</f>
        <v/>
      </c>
    </row>
    <row r="1716" customFormat="false" ht="13.5" hidden="false" customHeight="false" outlineLevel="0" collapsed="false">
      <c r="A1716" s="1" t="str">
        <f aca="false">IF($C1716="","",Controls!$B$7)</f>
        <v/>
      </c>
      <c r="B1716" s="1" t="str">
        <f aca="false">IF($H1716="","",YEAR($H1716)&amp;"-Q"&amp;ROUNDUP(MONTH($H1716)/3,0))</f>
        <v/>
      </c>
      <c r="S1716" s="1" t="str">
        <f aca="false">IF($C1716="","",$C1716&amp;"|"&amp;$E1716&amp;"|"&amp;$F1716&amp;"|"&amp;$L1716&amp;"|"&amp;$P1716&amp;"|"&amp;TEXT($H1716,"yyyy-mm-dd"))</f>
        <v/>
      </c>
      <c r="T1716" s="1" t="str">
        <f aca="false">IF($S1716="","",IF(COUNTIF($S$2:$S$2991,$S1716)&gt;1,"DUPLICATE","OK"))</f>
        <v/>
      </c>
      <c r="U1716" s="0" t="str">
        <f aca="false">IF($L1716="","",IFERROR(VLOOKUP(--$L1716,MM_Income!$Z$5:$AC$204,3,FALSE()),"UNMAPPED"))</f>
        <v/>
      </c>
    </row>
    <row r="1717" customFormat="false" ht="13.5" hidden="false" customHeight="false" outlineLevel="0" collapsed="false">
      <c r="A1717" s="1" t="str">
        <f aca="false">IF($C1717="","",Controls!$B$7)</f>
        <v/>
      </c>
      <c r="B1717" s="1" t="str">
        <f aca="false">IF($H1717="","",YEAR($H1717)&amp;"-Q"&amp;ROUNDUP(MONTH($H1717)/3,0))</f>
        <v/>
      </c>
      <c r="S1717" s="1" t="str">
        <f aca="false">IF($C1717="","",$C1717&amp;"|"&amp;$E1717&amp;"|"&amp;$F1717&amp;"|"&amp;$L1717&amp;"|"&amp;$P1717&amp;"|"&amp;TEXT($H1717,"yyyy-mm-dd"))</f>
        <v/>
      </c>
      <c r="T1717" s="1" t="str">
        <f aca="false">IF($S1717="","",IF(COUNTIF($S$2:$S$2991,$S1717)&gt;1,"DUPLICATE","OK"))</f>
        <v/>
      </c>
      <c r="U1717" s="0" t="str">
        <f aca="false">IF($L1717="","",IFERROR(VLOOKUP(--$L1717,MM_Income!$Z$5:$AC$204,3,FALSE()),"UNMAPPED"))</f>
        <v/>
      </c>
    </row>
    <row r="1718" customFormat="false" ht="13.5" hidden="false" customHeight="false" outlineLevel="0" collapsed="false">
      <c r="A1718" s="1" t="str">
        <f aca="false">IF($C1718="","",Controls!$B$7)</f>
        <v/>
      </c>
      <c r="B1718" s="1" t="str">
        <f aca="false">IF($H1718="","",YEAR($H1718)&amp;"-Q"&amp;ROUNDUP(MONTH($H1718)/3,0))</f>
        <v/>
      </c>
      <c r="S1718" s="1" t="str">
        <f aca="false">IF($C1718="","",$C1718&amp;"|"&amp;$E1718&amp;"|"&amp;$F1718&amp;"|"&amp;$L1718&amp;"|"&amp;$P1718&amp;"|"&amp;TEXT($H1718,"yyyy-mm-dd"))</f>
        <v/>
      </c>
      <c r="T1718" s="1" t="str">
        <f aca="false">IF($S1718="","",IF(COUNTIF($S$2:$S$2991,$S1718)&gt;1,"DUPLICATE","OK"))</f>
        <v/>
      </c>
      <c r="U1718" s="0" t="str">
        <f aca="false">IF($L1718="","",IFERROR(VLOOKUP(--$L1718,MM_Income!$Z$5:$AC$204,3,FALSE()),"UNMAPPED"))</f>
        <v/>
      </c>
    </row>
    <row r="1719" customFormat="false" ht="13.5" hidden="false" customHeight="false" outlineLevel="0" collapsed="false">
      <c r="A1719" s="1" t="str">
        <f aca="false">IF($C1719="","",Controls!$B$7)</f>
        <v/>
      </c>
      <c r="B1719" s="1" t="str">
        <f aca="false">IF($H1719="","",YEAR($H1719)&amp;"-Q"&amp;ROUNDUP(MONTH($H1719)/3,0))</f>
        <v/>
      </c>
      <c r="S1719" s="1" t="str">
        <f aca="false">IF($C1719="","",$C1719&amp;"|"&amp;$E1719&amp;"|"&amp;$F1719&amp;"|"&amp;$L1719&amp;"|"&amp;$P1719&amp;"|"&amp;TEXT($H1719,"yyyy-mm-dd"))</f>
        <v/>
      </c>
      <c r="T1719" s="1" t="str">
        <f aca="false">IF($S1719="","",IF(COUNTIF($S$2:$S$2991,$S1719)&gt;1,"DUPLICATE","OK"))</f>
        <v/>
      </c>
      <c r="U1719" s="0" t="str">
        <f aca="false">IF($L1719="","",IFERROR(VLOOKUP(--$L1719,MM_Income!$Z$5:$AC$204,3,FALSE()),"UNMAPPED"))</f>
        <v/>
      </c>
    </row>
    <row r="1720" customFormat="false" ht="13.5" hidden="false" customHeight="false" outlineLevel="0" collapsed="false">
      <c r="A1720" s="1" t="str">
        <f aca="false">IF($C1720="","",Controls!$B$7)</f>
        <v/>
      </c>
      <c r="B1720" s="1" t="str">
        <f aca="false">IF($H1720="","",YEAR($H1720)&amp;"-Q"&amp;ROUNDUP(MONTH($H1720)/3,0))</f>
        <v/>
      </c>
      <c r="S1720" s="1" t="str">
        <f aca="false">IF($C1720="","",$C1720&amp;"|"&amp;$E1720&amp;"|"&amp;$F1720&amp;"|"&amp;$L1720&amp;"|"&amp;$P1720&amp;"|"&amp;TEXT($H1720,"yyyy-mm-dd"))</f>
        <v/>
      </c>
      <c r="T1720" s="1" t="str">
        <f aca="false">IF($S1720="","",IF(COUNTIF($S$2:$S$2991,$S1720)&gt;1,"DUPLICATE","OK"))</f>
        <v/>
      </c>
      <c r="U1720" s="0" t="str">
        <f aca="false">IF($L1720="","",IFERROR(VLOOKUP(--$L1720,MM_Income!$Z$5:$AC$204,3,FALSE()),"UNMAPPED"))</f>
        <v/>
      </c>
    </row>
    <row r="1721" customFormat="false" ht="13.5" hidden="false" customHeight="false" outlineLevel="0" collapsed="false">
      <c r="A1721" s="1" t="str">
        <f aca="false">IF($C1721="","",Controls!$B$7)</f>
        <v/>
      </c>
      <c r="B1721" s="1" t="str">
        <f aca="false">IF($H1721="","",YEAR($H1721)&amp;"-Q"&amp;ROUNDUP(MONTH($H1721)/3,0))</f>
        <v/>
      </c>
      <c r="S1721" s="1" t="str">
        <f aca="false">IF($C1721="","",$C1721&amp;"|"&amp;$E1721&amp;"|"&amp;$F1721&amp;"|"&amp;$L1721&amp;"|"&amp;$P1721&amp;"|"&amp;TEXT($H1721,"yyyy-mm-dd"))</f>
        <v/>
      </c>
      <c r="T1721" s="1" t="str">
        <f aca="false">IF($S1721="","",IF(COUNTIF($S$2:$S$2991,$S1721)&gt;1,"DUPLICATE","OK"))</f>
        <v/>
      </c>
      <c r="U1721" s="0" t="str">
        <f aca="false">IF($L1721="","",IFERROR(VLOOKUP(--$L1721,MM_Income!$Z$5:$AC$204,3,FALSE()),"UNMAPPED"))</f>
        <v/>
      </c>
    </row>
    <row r="1722" customFormat="false" ht="13.5" hidden="false" customHeight="false" outlineLevel="0" collapsed="false">
      <c r="A1722" s="1" t="str">
        <f aca="false">IF($C1722="","",Controls!$B$7)</f>
        <v/>
      </c>
      <c r="B1722" s="1" t="str">
        <f aca="false">IF($H1722="","",YEAR($H1722)&amp;"-Q"&amp;ROUNDUP(MONTH($H1722)/3,0))</f>
        <v/>
      </c>
      <c r="S1722" s="1" t="str">
        <f aca="false">IF($C1722="","",$C1722&amp;"|"&amp;$E1722&amp;"|"&amp;$F1722&amp;"|"&amp;$L1722&amp;"|"&amp;$P1722&amp;"|"&amp;TEXT($H1722,"yyyy-mm-dd"))</f>
        <v/>
      </c>
      <c r="T1722" s="1" t="str">
        <f aca="false">IF($S1722="","",IF(COUNTIF($S$2:$S$2991,$S1722)&gt;1,"DUPLICATE","OK"))</f>
        <v/>
      </c>
      <c r="U1722" s="0" t="str">
        <f aca="false">IF($L1722="","",IFERROR(VLOOKUP(--$L1722,MM_Income!$Z$5:$AC$204,3,FALSE()),"UNMAPPED"))</f>
        <v/>
      </c>
    </row>
    <row r="1723" customFormat="false" ht="13.5" hidden="false" customHeight="false" outlineLevel="0" collapsed="false">
      <c r="A1723" s="1" t="str">
        <f aca="false">IF($C1723="","",Controls!$B$7)</f>
        <v/>
      </c>
      <c r="B1723" s="1" t="str">
        <f aca="false">IF($H1723="","",YEAR($H1723)&amp;"-Q"&amp;ROUNDUP(MONTH($H1723)/3,0))</f>
        <v/>
      </c>
      <c r="S1723" s="1" t="str">
        <f aca="false">IF($C1723="","",$C1723&amp;"|"&amp;$E1723&amp;"|"&amp;$F1723&amp;"|"&amp;$L1723&amp;"|"&amp;$P1723&amp;"|"&amp;TEXT($H1723,"yyyy-mm-dd"))</f>
        <v/>
      </c>
      <c r="T1723" s="1" t="str">
        <f aca="false">IF($S1723="","",IF(COUNTIF($S$2:$S$2991,$S1723)&gt;1,"DUPLICATE","OK"))</f>
        <v/>
      </c>
      <c r="U1723" s="0" t="str">
        <f aca="false">IF($L1723="","",IFERROR(VLOOKUP(--$L1723,MM_Income!$Z$5:$AC$204,3,FALSE()),"UNMAPPED"))</f>
        <v/>
      </c>
    </row>
    <row r="1724" customFormat="false" ht="13.5" hidden="false" customHeight="false" outlineLevel="0" collapsed="false">
      <c r="A1724" s="1" t="str">
        <f aca="false">IF($C1724="","",Controls!$B$7)</f>
        <v/>
      </c>
      <c r="B1724" s="1" t="str">
        <f aca="false">IF($H1724="","",YEAR($H1724)&amp;"-Q"&amp;ROUNDUP(MONTH($H1724)/3,0))</f>
        <v/>
      </c>
      <c r="S1724" s="1" t="str">
        <f aca="false">IF($C1724="","",$C1724&amp;"|"&amp;$E1724&amp;"|"&amp;$F1724&amp;"|"&amp;$L1724&amp;"|"&amp;$P1724&amp;"|"&amp;TEXT($H1724,"yyyy-mm-dd"))</f>
        <v/>
      </c>
      <c r="T1724" s="1" t="str">
        <f aca="false">IF($S1724="","",IF(COUNTIF($S$2:$S$2991,$S1724)&gt;1,"DUPLICATE","OK"))</f>
        <v/>
      </c>
      <c r="U1724" s="0" t="str">
        <f aca="false">IF($L1724="","",IFERROR(VLOOKUP(--$L1724,MM_Income!$Z$5:$AC$204,3,FALSE()),"UNMAPPED"))</f>
        <v/>
      </c>
    </row>
    <row r="1725" customFormat="false" ht="13.5" hidden="false" customHeight="false" outlineLevel="0" collapsed="false">
      <c r="A1725" s="1" t="str">
        <f aca="false">IF($C1725="","",Controls!$B$7)</f>
        <v/>
      </c>
      <c r="B1725" s="1" t="str">
        <f aca="false">IF($H1725="","",YEAR($H1725)&amp;"-Q"&amp;ROUNDUP(MONTH($H1725)/3,0))</f>
        <v/>
      </c>
      <c r="S1725" s="1" t="str">
        <f aca="false">IF($C1725="","",$C1725&amp;"|"&amp;$E1725&amp;"|"&amp;$F1725&amp;"|"&amp;$L1725&amp;"|"&amp;$P1725&amp;"|"&amp;TEXT($H1725,"yyyy-mm-dd"))</f>
        <v/>
      </c>
      <c r="T1725" s="1" t="str">
        <f aca="false">IF($S1725="","",IF(COUNTIF($S$2:$S$2991,$S1725)&gt;1,"DUPLICATE","OK"))</f>
        <v/>
      </c>
      <c r="U1725" s="0" t="str">
        <f aca="false">IF($L1725="","",IFERROR(VLOOKUP(--$L1725,MM_Income!$Z$5:$AC$204,3,FALSE()),"UNMAPPED"))</f>
        <v/>
      </c>
    </row>
    <row r="1726" customFormat="false" ht="13.5" hidden="false" customHeight="false" outlineLevel="0" collapsed="false">
      <c r="A1726" s="1" t="str">
        <f aca="false">IF($C1726="","",Controls!$B$7)</f>
        <v/>
      </c>
      <c r="B1726" s="1" t="str">
        <f aca="false">IF($H1726="","",YEAR($H1726)&amp;"-Q"&amp;ROUNDUP(MONTH($H1726)/3,0))</f>
        <v/>
      </c>
      <c r="S1726" s="1" t="str">
        <f aca="false">IF($C1726="","",$C1726&amp;"|"&amp;$E1726&amp;"|"&amp;$F1726&amp;"|"&amp;$L1726&amp;"|"&amp;$P1726&amp;"|"&amp;TEXT($H1726,"yyyy-mm-dd"))</f>
        <v/>
      </c>
      <c r="T1726" s="1" t="str">
        <f aca="false">IF($S1726="","",IF(COUNTIF($S$2:$S$2991,$S1726)&gt;1,"DUPLICATE","OK"))</f>
        <v/>
      </c>
      <c r="U1726" s="0" t="str">
        <f aca="false">IF($L1726="","",IFERROR(VLOOKUP(--$L1726,MM_Income!$Z$5:$AC$204,3,FALSE()),"UNMAPPED"))</f>
        <v/>
      </c>
    </row>
    <row r="1727" customFormat="false" ht="13.5" hidden="false" customHeight="false" outlineLevel="0" collapsed="false">
      <c r="A1727" s="1" t="str">
        <f aca="false">IF($C1727="","",Controls!$B$7)</f>
        <v/>
      </c>
      <c r="B1727" s="1" t="str">
        <f aca="false">IF($H1727="","",YEAR($H1727)&amp;"-Q"&amp;ROUNDUP(MONTH($H1727)/3,0))</f>
        <v/>
      </c>
      <c r="S1727" s="1" t="str">
        <f aca="false">IF($C1727="","",$C1727&amp;"|"&amp;$E1727&amp;"|"&amp;$F1727&amp;"|"&amp;$L1727&amp;"|"&amp;$P1727&amp;"|"&amp;TEXT($H1727,"yyyy-mm-dd"))</f>
        <v/>
      </c>
      <c r="T1727" s="1" t="str">
        <f aca="false">IF($S1727="","",IF(COUNTIF($S$2:$S$2991,$S1727)&gt;1,"DUPLICATE","OK"))</f>
        <v/>
      </c>
      <c r="U1727" s="0" t="str">
        <f aca="false">IF($L1727="","",IFERROR(VLOOKUP(--$L1727,MM_Income!$Z$5:$AC$204,3,FALSE()),"UNMAPPED"))</f>
        <v/>
      </c>
    </row>
    <row r="1728" customFormat="false" ht="13.5" hidden="false" customHeight="false" outlineLevel="0" collapsed="false">
      <c r="A1728" s="1" t="str">
        <f aca="false">IF($C1728="","",Controls!$B$7)</f>
        <v/>
      </c>
      <c r="B1728" s="1" t="str">
        <f aca="false">IF($H1728="","",YEAR($H1728)&amp;"-Q"&amp;ROUNDUP(MONTH($H1728)/3,0))</f>
        <v/>
      </c>
      <c r="S1728" s="1" t="str">
        <f aca="false">IF($C1728="","",$C1728&amp;"|"&amp;$E1728&amp;"|"&amp;$F1728&amp;"|"&amp;$L1728&amp;"|"&amp;$P1728&amp;"|"&amp;TEXT($H1728,"yyyy-mm-dd"))</f>
        <v/>
      </c>
      <c r="T1728" s="1" t="str">
        <f aca="false">IF($S1728="","",IF(COUNTIF($S$2:$S$2991,$S1728)&gt;1,"DUPLICATE","OK"))</f>
        <v/>
      </c>
      <c r="U1728" s="0" t="str">
        <f aca="false">IF($L1728="","",IFERROR(VLOOKUP(--$L1728,MM_Income!$Z$5:$AC$204,3,FALSE()),"UNMAPPED"))</f>
        <v/>
      </c>
    </row>
    <row r="1729" customFormat="false" ht="13.5" hidden="false" customHeight="false" outlineLevel="0" collapsed="false">
      <c r="A1729" s="1" t="str">
        <f aca="false">IF($C1729="","",Controls!$B$7)</f>
        <v/>
      </c>
      <c r="B1729" s="1" t="str">
        <f aca="false">IF($H1729="","",YEAR($H1729)&amp;"-Q"&amp;ROUNDUP(MONTH($H1729)/3,0))</f>
        <v/>
      </c>
      <c r="S1729" s="1" t="str">
        <f aca="false">IF($C1729="","",$C1729&amp;"|"&amp;$E1729&amp;"|"&amp;$F1729&amp;"|"&amp;$L1729&amp;"|"&amp;$P1729&amp;"|"&amp;TEXT($H1729,"yyyy-mm-dd"))</f>
        <v/>
      </c>
      <c r="T1729" s="1" t="str">
        <f aca="false">IF($S1729="","",IF(COUNTIF($S$2:$S$2991,$S1729)&gt;1,"DUPLICATE","OK"))</f>
        <v/>
      </c>
      <c r="U1729" s="0" t="str">
        <f aca="false">IF($L1729="","",IFERROR(VLOOKUP(--$L1729,MM_Income!$Z$5:$AC$204,3,FALSE()),"UNMAPPED"))</f>
        <v/>
      </c>
    </row>
    <row r="1730" customFormat="false" ht="13.5" hidden="false" customHeight="false" outlineLevel="0" collapsed="false">
      <c r="A1730" s="1" t="str">
        <f aca="false">IF($C1730="","",Controls!$B$7)</f>
        <v/>
      </c>
      <c r="B1730" s="1" t="str">
        <f aca="false">IF($H1730="","",YEAR($H1730)&amp;"-Q"&amp;ROUNDUP(MONTH($H1730)/3,0))</f>
        <v/>
      </c>
      <c r="S1730" s="1" t="str">
        <f aca="false">IF($C1730="","",$C1730&amp;"|"&amp;$E1730&amp;"|"&amp;$F1730&amp;"|"&amp;$L1730&amp;"|"&amp;$P1730&amp;"|"&amp;TEXT($H1730,"yyyy-mm-dd"))</f>
        <v/>
      </c>
      <c r="T1730" s="1" t="str">
        <f aca="false">IF($S1730="","",IF(COUNTIF($S$2:$S$2991,$S1730)&gt;1,"DUPLICATE","OK"))</f>
        <v/>
      </c>
      <c r="U1730" s="0" t="str">
        <f aca="false">IF($L1730="","",IFERROR(VLOOKUP(--$L1730,MM_Income!$Z$5:$AC$204,3,FALSE()),"UNMAPPED"))</f>
        <v/>
      </c>
    </row>
    <row r="1731" customFormat="false" ht="13.5" hidden="false" customHeight="false" outlineLevel="0" collapsed="false">
      <c r="A1731" s="1" t="str">
        <f aca="false">IF($C1731="","",Controls!$B$7)</f>
        <v/>
      </c>
      <c r="B1731" s="1" t="str">
        <f aca="false">IF($H1731="","",YEAR($H1731)&amp;"-Q"&amp;ROUNDUP(MONTH($H1731)/3,0))</f>
        <v/>
      </c>
      <c r="S1731" s="1" t="str">
        <f aca="false">IF($C1731="","",$C1731&amp;"|"&amp;$E1731&amp;"|"&amp;$F1731&amp;"|"&amp;$L1731&amp;"|"&amp;$P1731&amp;"|"&amp;TEXT($H1731,"yyyy-mm-dd"))</f>
        <v/>
      </c>
      <c r="T1731" s="1" t="str">
        <f aca="false">IF($S1731="","",IF(COUNTIF($S$2:$S$2991,$S1731)&gt;1,"DUPLICATE","OK"))</f>
        <v/>
      </c>
      <c r="U1731" s="0" t="str">
        <f aca="false">IF($L1731="","",IFERROR(VLOOKUP(--$L1731,MM_Income!$Z$5:$AC$204,3,FALSE()),"UNMAPPED"))</f>
        <v/>
      </c>
    </row>
    <row r="1732" customFormat="false" ht="13.5" hidden="false" customHeight="false" outlineLevel="0" collapsed="false">
      <c r="A1732" s="1" t="str">
        <f aca="false">IF($C1732="","",Controls!$B$7)</f>
        <v/>
      </c>
      <c r="B1732" s="1" t="str">
        <f aca="false">IF($H1732="","",YEAR($H1732)&amp;"-Q"&amp;ROUNDUP(MONTH($H1732)/3,0))</f>
        <v/>
      </c>
      <c r="S1732" s="1" t="str">
        <f aca="false">IF($C1732="","",$C1732&amp;"|"&amp;$E1732&amp;"|"&amp;$F1732&amp;"|"&amp;$L1732&amp;"|"&amp;$P1732&amp;"|"&amp;TEXT($H1732,"yyyy-mm-dd"))</f>
        <v/>
      </c>
      <c r="T1732" s="1" t="str">
        <f aca="false">IF($S1732="","",IF(COUNTIF($S$2:$S$2991,$S1732)&gt;1,"DUPLICATE","OK"))</f>
        <v/>
      </c>
      <c r="U1732" s="0" t="str">
        <f aca="false">IF($L1732="","",IFERROR(VLOOKUP(--$L1732,MM_Income!$Z$5:$AC$204,3,FALSE()),"UNMAPPED"))</f>
        <v/>
      </c>
    </row>
    <row r="1733" customFormat="false" ht="13.5" hidden="false" customHeight="false" outlineLevel="0" collapsed="false">
      <c r="A1733" s="1" t="str">
        <f aca="false">IF($C1733="","",Controls!$B$7)</f>
        <v/>
      </c>
      <c r="B1733" s="1" t="str">
        <f aca="false">IF($H1733="","",YEAR($H1733)&amp;"-Q"&amp;ROUNDUP(MONTH($H1733)/3,0))</f>
        <v/>
      </c>
      <c r="S1733" s="1" t="str">
        <f aca="false">IF($C1733="","",$C1733&amp;"|"&amp;$E1733&amp;"|"&amp;$F1733&amp;"|"&amp;$L1733&amp;"|"&amp;$P1733&amp;"|"&amp;TEXT($H1733,"yyyy-mm-dd"))</f>
        <v/>
      </c>
      <c r="T1733" s="1" t="str">
        <f aca="false">IF($S1733="","",IF(COUNTIF($S$2:$S$2991,$S1733)&gt;1,"DUPLICATE","OK"))</f>
        <v/>
      </c>
      <c r="U1733" s="0" t="str">
        <f aca="false">IF($L1733="","",IFERROR(VLOOKUP(--$L1733,MM_Income!$Z$5:$AC$204,3,FALSE()),"UNMAPPED"))</f>
        <v/>
      </c>
    </row>
    <row r="1734" customFormat="false" ht="13.5" hidden="false" customHeight="false" outlineLevel="0" collapsed="false">
      <c r="A1734" s="1" t="str">
        <f aca="false">IF($C1734="","",Controls!$B$7)</f>
        <v/>
      </c>
      <c r="B1734" s="1" t="str">
        <f aca="false">IF($H1734="","",YEAR($H1734)&amp;"-Q"&amp;ROUNDUP(MONTH($H1734)/3,0))</f>
        <v/>
      </c>
      <c r="S1734" s="1" t="str">
        <f aca="false">IF($C1734="","",$C1734&amp;"|"&amp;$E1734&amp;"|"&amp;$F1734&amp;"|"&amp;$L1734&amp;"|"&amp;$P1734&amp;"|"&amp;TEXT($H1734,"yyyy-mm-dd"))</f>
        <v/>
      </c>
      <c r="T1734" s="1" t="str">
        <f aca="false">IF($S1734="","",IF(COUNTIF($S$2:$S$2991,$S1734)&gt;1,"DUPLICATE","OK"))</f>
        <v/>
      </c>
      <c r="U1734" s="0" t="str">
        <f aca="false">IF($L1734="","",IFERROR(VLOOKUP(--$L1734,MM_Income!$Z$5:$AC$204,3,FALSE()),"UNMAPPED"))</f>
        <v/>
      </c>
    </row>
    <row r="1735" customFormat="false" ht="13.5" hidden="false" customHeight="false" outlineLevel="0" collapsed="false">
      <c r="A1735" s="1" t="str">
        <f aca="false">IF($C1735="","",Controls!$B$7)</f>
        <v/>
      </c>
      <c r="B1735" s="1" t="str">
        <f aca="false">IF($H1735="","",YEAR($H1735)&amp;"-Q"&amp;ROUNDUP(MONTH($H1735)/3,0))</f>
        <v/>
      </c>
      <c r="S1735" s="1" t="str">
        <f aca="false">IF($C1735="","",$C1735&amp;"|"&amp;$E1735&amp;"|"&amp;$F1735&amp;"|"&amp;$L1735&amp;"|"&amp;$P1735&amp;"|"&amp;TEXT($H1735,"yyyy-mm-dd"))</f>
        <v/>
      </c>
      <c r="T1735" s="1" t="str">
        <f aca="false">IF($S1735="","",IF(COUNTIF($S$2:$S$2991,$S1735)&gt;1,"DUPLICATE","OK"))</f>
        <v/>
      </c>
      <c r="U1735" s="0" t="str">
        <f aca="false">IF($L1735="","",IFERROR(VLOOKUP(--$L1735,MM_Income!$Z$5:$AC$204,3,FALSE()),"UNMAPPED"))</f>
        <v/>
      </c>
    </row>
    <row r="1736" customFormat="false" ht="13.5" hidden="false" customHeight="false" outlineLevel="0" collapsed="false">
      <c r="A1736" s="1" t="str">
        <f aca="false">IF($C1736="","",Controls!$B$7)</f>
        <v/>
      </c>
      <c r="B1736" s="1" t="str">
        <f aca="false">IF($H1736="","",YEAR($H1736)&amp;"-Q"&amp;ROUNDUP(MONTH($H1736)/3,0))</f>
        <v/>
      </c>
      <c r="S1736" s="1" t="str">
        <f aca="false">IF($C1736="","",$C1736&amp;"|"&amp;$E1736&amp;"|"&amp;$F1736&amp;"|"&amp;$L1736&amp;"|"&amp;$P1736&amp;"|"&amp;TEXT($H1736,"yyyy-mm-dd"))</f>
        <v/>
      </c>
      <c r="T1736" s="1" t="str">
        <f aca="false">IF($S1736="","",IF(COUNTIF($S$2:$S$2991,$S1736)&gt;1,"DUPLICATE","OK"))</f>
        <v/>
      </c>
      <c r="U1736" s="0" t="str">
        <f aca="false">IF($L1736="","",IFERROR(VLOOKUP(--$L1736,MM_Income!$Z$5:$AC$204,3,FALSE()),"UNMAPPED"))</f>
        <v/>
      </c>
    </row>
    <row r="1737" customFormat="false" ht="13.5" hidden="false" customHeight="false" outlineLevel="0" collapsed="false">
      <c r="A1737" s="1" t="str">
        <f aca="false">IF($C1737="","",Controls!$B$7)</f>
        <v/>
      </c>
      <c r="B1737" s="1" t="str">
        <f aca="false">IF($H1737="","",YEAR($H1737)&amp;"-Q"&amp;ROUNDUP(MONTH($H1737)/3,0))</f>
        <v/>
      </c>
      <c r="S1737" s="1" t="str">
        <f aca="false">IF($C1737="","",$C1737&amp;"|"&amp;$E1737&amp;"|"&amp;$F1737&amp;"|"&amp;$L1737&amp;"|"&amp;$P1737&amp;"|"&amp;TEXT($H1737,"yyyy-mm-dd"))</f>
        <v/>
      </c>
      <c r="T1737" s="1" t="str">
        <f aca="false">IF($S1737="","",IF(COUNTIF($S$2:$S$2991,$S1737)&gt;1,"DUPLICATE","OK"))</f>
        <v/>
      </c>
      <c r="U1737" s="0" t="str">
        <f aca="false">IF($L1737="","",IFERROR(VLOOKUP(--$L1737,MM_Income!$Z$5:$AC$204,3,FALSE()),"UNMAPPED"))</f>
        <v/>
      </c>
    </row>
    <row r="1738" customFormat="false" ht="13.5" hidden="false" customHeight="false" outlineLevel="0" collapsed="false">
      <c r="A1738" s="1" t="str">
        <f aca="false">IF($C1738="","",Controls!$B$7)</f>
        <v/>
      </c>
      <c r="B1738" s="1" t="str">
        <f aca="false">IF($H1738="","",YEAR($H1738)&amp;"-Q"&amp;ROUNDUP(MONTH($H1738)/3,0))</f>
        <v/>
      </c>
      <c r="S1738" s="1" t="str">
        <f aca="false">IF($C1738="","",$C1738&amp;"|"&amp;$E1738&amp;"|"&amp;$F1738&amp;"|"&amp;$L1738&amp;"|"&amp;$P1738&amp;"|"&amp;TEXT($H1738,"yyyy-mm-dd"))</f>
        <v/>
      </c>
      <c r="T1738" s="1" t="str">
        <f aca="false">IF($S1738="","",IF(COUNTIF($S$2:$S$2991,$S1738)&gt;1,"DUPLICATE","OK"))</f>
        <v/>
      </c>
      <c r="U1738" s="0" t="str">
        <f aca="false">IF($L1738="","",IFERROR(VLOOKUP(--$L1738,MM_Income!$Z$5:$AC$204,3,FALSE()),"UNMAPPED"))</f>
        <v/>
      </c>
    </row>
    <row r="1739" customFormat="false" ht="13.5" hidden="false" customHeight="false" outlineLevel="0" collapsed="false">
      <c r="A1739" s="1" t="str">
        <f aca="false">IF($C1739="","",Controls!$B$7)</f>
        <v/>
      </c>
      <c r="B1739" s="1" t="str">
        <f aca="false">IF($H1739="","",YEAR($H1739)&amp;"-Q"&amp;ROUNDUP(MONTH($H1739)/3,0))</f>
        <v/>
      </c>
      <c r="S1739" s="1" t="str">
        <f aca="false">IF($C1739="","",$C1739&amp;"|"&amp;$E1739&amp;"|"&amp;$F1739&amp;"|"&amp;$L1739&amp;"|"&amp;$P1739&amp;"|"&amp;TEXT($H1739,"yyyy-mm-dd"))</f>
        <v/>
      </c>
      <c r="T1739" s="1" t="str">
        <f aca="false">IF($S1739="","",IF(COUNTIF($S$2:$S$2991,$S1739)&gt;1,"DUPLICATE","OK"))</f>
        <v/>
      </c>
      <c r="U1739" s="0" t="str">
        <f aca="false">IF($L1739="","",IFERROR(VLOOKUP(--$L1739,MM_Income!$Z$5:$AC$204,3,FALSE()),"UNMAPPED"))</f>
        <v/>
      </c>
    </row>
    <row r="1740" customFormat="false" ht="13.5" hidden="false" customHeight="false" outlineLevel="0" collapsed="false">
      <c r="A1740" s="1" t="str">
        <f aca="false">IF($C1740="","",Controls!$B$7)</f>
        <v/>
      </c>
      <c r="B1740" s="1" t="str">
        <f aca="false">IF($H1740="","",YEAR($H1740)&amp;"-Q"&amp;ROUNDUP(MONTH($H1740)/3,0))</f>
        <v/>
      </c>
      <c r="S1740" s="1" t="str">
        <f aca="false">IF($C1740="","",$C1740&amp;"|"&amp;$E1740&amp;"|"&amp;$F1740&amp;"|"&amp;$L1740&amp;"|"&amp;$P1740&amp;"|"&amp;TEXT($H1740,"yyyy-mm-dd"))</f>
        <v/>
      </c>
      <c r="T1740" s="1" t="str">
        <f aca="false">IF($S1740="","",IF(COUNTIF($S$2:$S$2991,$S1740)&gt;1,"DUPLICATE","OK"))</f>
        <v/>
      </c>
      <c r="U1740" s="0" t="str">
        <f aca="false">IF($L1740="","",IFERROR(VLOOKUP(--$L1740,MM_Income!$Z$5:$AC$204,3,FALSE()),"UNMAPPED"))</f>
        <v/>
      </c>
    </row>
    <row r="1741" customFormat="false" ht="13.5" hidden="false" customHeight="false" outlineLevel="0" collapsed="false">
      <c r="A1741" s="1" t="str">
        <f aca="false">IF($C1741="","",Controls!$B$7)</f>
        <v/>
      </c>
      <c r="B1741" s="1" t="str">
        <f aca="false">IF($H1741="","",YEAR($H1741)&amp;"-Q"&amp;ROUNDUP(MONTH($H1741)/3,0))</f>
        <v/>
      </c>
      <c r="S1741" s="1" t="str">
        <f aca="false">IF($C1741="","",$C1741&amp;"|"&amp;$E1741&amp;"|"&amp;$F1741&amp;"|"&amp;$L1741&amp;"|"&amp;$P1741&amp;"|"&amp;TEXT($H1741,"yyyy-mm-dd"))</f>
        <v/>
      </c>
      <c r="T1741" s="1" t="str">
        <f aca="false">IF($S1741="","",IF(COUNTIF($S$2:$S$2991,$S1741)&gt;1,"DUPLICATE","OK"))</f>
        <v/>
      </c>
      <c r="U1741" s="0" t="str">
        <f aca="false">IF($L1741="","",IFERROR(VLOOKUP(--$L1741,MM_Income!$Z$5:$AC$204,3,FALSE()),"UNMAPPED"))</f>
        <v/>
      </c>
    </row>
    <row r="1742" customFormat="false" ht="13.5" hidden="false" customHeight="false" outlineLevel="0" collapsed="false">
      <c r="A1742" s="1" t="str">
        <f aca="false">IF($C1742="","",Controls!$B$7)</f>
        <v/>
      </c>
      <c r="B1742" s="1" t="str">
        <f aca="false">IF($H1742="","",YEAR($H1742)&amp;"-Q"&amp;ROUNDUP(MONTH($H1742)/3,0))</f>
        <v/>
      </c>
      <c r="S1742" s="1" t="str">
        <f aca="false">IF($C1742="","",$C1742&amp;"|"&amp;$E1742&amp;"|"&amp;$F1742&amp;"|"&amp;$L1742&amp;"|"&amp;$P1742&amp;"|"&amp;TEXT($H1742,"yyyy-mm-dd"))</f>
        <v/>
      </c>
      <c r="T1742" s="1" t="str">
        <f aca="false">IF($S1742="","",IF(COUNTIF($S$2:$S$2991,$S1742)&gt;1,"DUPLICATE","OK"))</f>
        <v/>
      </c>
      <c r="U1742" s="0" t="str">
        <f aca="false">IF($L1742="","",IFERROR(VLOOKUP(--$L1742,MM_Income!$Z$5:$AC$204,3,FALSE()),"UNMAPPED"))</f>
        <v/>
      </c>
    </row>
    <row r="1743" customFormat="false" ht="13.5" hidden="false" customHeight="false" outlineLevel="0" collapsed="false">
      <c r="A1743" s="1" t="str">
        <f aca="false">IF($C1743="","",Controls!$B$7)</f>
        <v/>
      </c>
      <c r="B1743" s="1" t="str">
        <f aca="false">IF($H1743="","",YEAR($H1743)&amp;"-Q"&amp;ROUNDUP(MONTH($H1743)/3,0))</f>
        <v/>
      </c>
      <c r="S1743" s="1" t="str">
        <f aca="false">IF($C1743="","",$C1743&amp;"|"&amp;$E1743&amp;"|"&amp;$F1743&amp;"|"&amp;$L1743&amp;"|"&amp;$P1743&amp;"|"&amp;TEXT($H1743,"yyyy-mm-dd"))</f>
        <v/>
      </c>
      <c r="T1743" s="1" t="str">
        <f aca="false">IF($S1743="","",IF(COUNTIF($S$2:$S$2991,$S1743)&gt;1,"DUPLICATE","OK"))</f>
        <v/>
      </c>
      <c r="U1743" s="0" t="str">
        <f aca="false">IF($L1743="","",IFERROR(VLOOKUP(--$L1743,MM_Income!$Z$5:$AC$204,3,FALSE()),"UNMAPPED"))</f>
        <v/>
      </c>
    </row>
    <row r="1744" customFormat="false" ht="13.5" hidden="false" customHeight="false" outlineLevel="0" collapsed="false">
      <c r="A1744" s="1" t="str">
        <f aca="false">IF($C1744="","",Controls!$B$7)</f>
        <v/>
      </c>
      <c r="B1744" s="1" t="str">
        <f aca="false">IF($H1744="","",YEAR($H1744)&amp;"-Q"&amp;ROUNDUP(MONTH($H1744)/3,0))</f>
        <v/>
      </c>
      <c r="S1744" s="1" t="str">
        <f aca="false">IF($C1744="","",$C1744&amp;"|"&amp;$E1744&amp;"|"&amp;$F1744&amp;"|"&amp;$L1744&amp;"|"&amp;$P1744&amp;"|"&amp;TEXT($H1744,"yyyy-mm-dd"))</f>
        <v/>
      </c>
      <c r="T1744" s="1" t="str">
        <f aca="false">IF($S1744="","",IF(COUNTIF($S$2:$S$2991,$S1744)&gt;1,"DUPLICATE","OK"))</f>
        <v/>
      </c>
      <c r="U1744" s="0" t="str">
        <f aca="false">IF($L1744="","",IFERROR(VLOOKUP(--$L1744,MM_Income!$Z$5:$AC$204,3,FALSE()),"UNMAPPED"))</f>
        <v/>
      </c>
    </row>
    <row r="1745" customFormat="false" ht="13.5" hidden="false" customHeight="false" outlineLevel="0" collapsed="false">
      <c r="A1745" s="1" t="str">
        <f aca="false">IF($C1745="","",Controls!$B$7)</f>
        <v/>
      </c>
      <c r="B1745" s="1" t="str">
        <f aca="false">IF($H1745="","",YEAR($H1745)&amp;"-Q"&amp;ROUNDUP(MONTH($H1745)/3,0))</f>
        <v/>
      </c>
      <c r="S1745" s="1" t="str">
        <f aca="false">IF($C1745="","",$C1745&amp;"|"&amp;$E1745&amp;"|"&amp;$F1745&amp;"|"&amp;$L1745&amp;"|"&amp;$P1745&amp;"|"&amp;TEXT($H1745,"yyyy-mm-dd"))</f>
        <v/>
      </c>
      <c r="T1745" s="1" t="str">
        <f aca="false">IF($S1745="","",IF(COUNTIF($S$2:$S$2991,$S1745)&gt;1,"DUPLICATE","OK"))</f>
        <v/>
      </c>
      <c r="U1745" s="0" t="str">
        <f aca="false">IF($L1745="","",IFERROR(VLOOKUP(--$L1745,MM_Income!$Z$5:$AC$204,3,FALSE()),"UNMAPPED"))</f>
        <v/>
      </c>
    </row>
    <row r="1746" customFormat="false" ht="13.5" hidden="false" customHeight="false" outlineLevel="0" collapsed="false">
      <c r="A1746" s="1" t="str">
        <f aca="false">IF($C1746="","",Controls!$B$7)</f>
        <v/>
      </c>
      <c r="B1746" s="1" t="str">
        <f aca="false">IF($H1746="","",YEAR($H1746)&amp;"-Q"&amp;ROUNDUP(MONTH($H1746)/3,0))</f>
        <v/>
      </c>
      <c r="S1746" s="1" t="str">
        <f aca="false">IF($C1746="","",$C1746&amp;"|"&amp;$E1746&amp;"|"&amp;$F1746&amp;"|"&amp;$L1746&amp;"|"&amp;$P1746&amp;"|"&amp;TEXT($H1746,"yyyy-mm-dd"))</f>
        <v/>
      </c>
      <c r="T1746" s="1" t="str">
        <f aca="false">IF($S1746="","",IF(COUNTIF($S$2:$S$2991,$S1746)&gt;1,"DUPLICATE","OK"))</f>
        <v/>
      </c>
      <c r="U1746" s="0" t="str">
        <f aca="false">IF($L1746="","",IFERROR(VLOOKUP(--$L1746,MM_Income!$Z$5:$AC$204,3,FALSE()),"UNMAPPED"))</f>
        <v/>
      </c>
    </row>
    <row r="1747" customFormat="false" ht="13.5" hidden="false" customHeight="false" outlineLevel="0" collapsed="false">
      <c r="A1747" s="1" t="str">
        <f aca="false">IF($C1747="","",Controls!$B$7)</f>
        <v/>
      </c>
      <c r="B1747" s="1" t="str">
        <f aca="false">IF($H1747="","",YEAR($H1747)&amp;"-Q"&amp;ROUNDUP(MONTH($H1747)/3,0))</f>
        <v/>
      </c>
      <c r="S1747" s="1" t="str">
        <f aca="false">IF($C1747="","",$C1747&amp;"|"&amp;$E1747&amp;"|"&amp;$F1747&amp;"|"&amp;$L1747&amp;"|"&amp;$P1747&amp;"|"&amp;TEXT($H1747,"yyyy-mm-dd"))</f>
        <v/>
      </c>
      <c r="T1747" s="1" t="str">
        <f aca="false">IF($S1747="","",IF(COUNTIF($S$2:$S$2991,$S1747)&gt;1,"DUPLICATE","OK"))</f>
        <v/>
      </c>
      <c r="U1747" s="0" t="str">
        <f aca="false">IF($L1747="","",IFERROR(VLOOKUP(--$L1747,MM_Income!$Z$5:$AC$204,3,FALSE()),"UNMAPPED"))</f>
        <v/>
      </c>
    </row>
    <row r="1748" customFormat="false" ht="13.5" hidden="false" customHeight="false" outlineLevel="0" collapsed="false">
      <c r="A1748" s="1" t="str">
        <f aca="false">IF($C1748="","",Controls!$B$7)</f>
        <v/>
      </c>
      <c r="B1748" s="1" t="str">
        <f aca="false">IF($H1748="","",YEAR($H1748)&amp;"-Q"&amp;ROUNDUP(MONTH($H1748)/3,0))</f>
        <v/>
      </c>
      <c r="S1748" s="1" t="str">
        <f aca="false">IF($C1748="","",$C1748&amp;"|"&amp;$E1748&amp;"|"&amp;$F1748&amp;"|"&amp;$L1748&amp;"|"&amp;$P1748&amp;"|"&amp;TEXT($H1748,"yyyy-mm-dd"))</f>
        <v/>
      </c>
      <c r="T1748" s="1" t="str">
        <f aca="false">IF($S1748="","",IF(COUNTIF($S$2:$S$2991,$S1748)&gt;1,"DUPLICATE","OK"))</f>
        <v/>
      </c>
      <c r="U1748" s="0" t="str">
        <f aca="false">IF($L1748="","",IFERROR(VLOOKUP(--$L1748,MM_Income!$Z$5:$AC$204,3,FALSE()),"UNMAPPED"))</f>
        <v/>
      </c>
    </row>
    <row r="1749" customFormat="false" ht="13.5" hidden="false" customHeight="false" outlineLevel="0" collapsed="false">
      <c r="A1749" s="1" t="str">
        <f aca="false">IF($C1749="","",Controls!$B$7)</f>
        <v/>
      </c>
      <c r="B1749" s="1" t="str">
        <f aca="false">IF($H1749="","",YEAR($H1749)&amp;"-Q"&amp;ROUNDUP(MONTH($H1749)/3,0))</f>
        <v/>
      </c>
      <c r="S1749" s="1" t="str">
        <f aca="false">IF($C1749="","",$C1749&amp;"|"&amp;$E1749&amp;"|"&amp;$F1749&amp;"|"&amp;$L1749&amp;"|"&amp;$P1749&amp;"|"&amp;TEXT($H1749,"yyyy-mm-dd"))</f>
        <v/>
      </c>
      <c r="T1749" s="1" t="str">
        <f aca="false">IF($S1749="","",IF(COUNTIF($S$2:$S$2991,$S1749)&gt;1,"DUPLICATE","OK"))</f>
        <v/>
      </c>
      <c r="U1749" s="0" t="str">
        <f aca="false">IF($L1749="","",IFERROR(VLOOKUP(--$L1749,MM_Income!$Z$5:$AC$204,3,FALSE()),"UNMAPPED"))</f>
        <v/>
      </c>
    </row>
    <row r="1750" customFormat="false" ht="13.5" hidden="false" customHeight="false" outlineLevel="0" collapsed="false">
      <c r="A1750" s="1" t="str">
        <f aca="false">IF($C1750="","",Controls!$B$7)</f>
        <v/>
      </c>
      <c r="B1750" s="1" t="str">
        <f aca="false">IF($H1750="","",YEAR($H1750)&amp;"-Q"&amp;ROUNDUP(MONTH($H1750)/3,0))</f>
        <v/>
      </c>
      <c r="S1750" s="1" t="str">
        <f aca="false">IF($C1750="","",$C1750&amp;"|"&amp;$E1750&amp;"|"&amp;$F1750&amp;"|"&amp;$L1750&amp;"|"&amp;$P1750&amp;"|"&amp;TEXT($H1750,"yyyy-mm-dd"))</f>
        <v/>
      </c>
      <c r="T1750" s="1" t="str">
        <f aca="false">IF($S1750="","",IF(COUNTIF($S$2:$S$2991,$S1750)&gt;1,"DUPLICATE","OK"))</f>
        <v/>
      </c>
      <c r="U1750" s="0" t="str">
        <f aca="false">IF($L1750="","",IFERROR(VLOOKUP(--$L1750,MM_Income!$Z$5:$AC$204,3,FALSE()),"UNMAPPED"))</f>
        <v/>
      </c>
    </row>
    <row r="1751" customFormat="false" ht="13.5" hidden="false" customHeight="false" outlineLevel="0" collapsed="false">
      <c r="A1751" s="1" t="str">
        <f aca="false">IF($C1751="","",Controls!$B$7)</f>
        <v/>
      </c>
      <c r="B1751" s="1" t="str">
        <f aca="false">IF($H1751="","",YEAR($H1751)&amp;"-Q"&amp;ROUNDUP(MONTH($H1751)/3,0))</f>
        <v/>
      </c>
      <c r="S1751" s="1" t="str">
        <f aca="false">IF($C1751="","",$C1751&amp;"|"&amp;$E1751&amp;"|"&amp;$F1751&amp;"|"&amp;$L1751&amp;"|"&amp;$P1751&amp;"|"&amp;TEXT($H1751,"yyyy-mm-dd"))</f>
        <v/>
      </c>
      <c r="T1751" s="1" t="str">
        <f aca="false">IF($S1751="","",IF(COUNTIF($S$2:$S$2991,$S1751)&gt;1,"DUPLICATE","OK"))</f>
        <v/>
      </c>
      <c r="U1751" s="0" t="str">
        <f aca="false">IF($L1751="","",IFERROR(VLOOKUP(--$L1751,MM_Income!$Z$5:$AC$204,3,FALSE()),"UNMAPPED"))</f>
        <v/>
      </c>
    </row>
    <row r="1752" customFormat="false" ht="13.5" hidden="false" customHeight="false" outlineLevel="0" collapsed="false">
      <c r="A1752" s="1" t="str">
        <f aca="false">IF($C1752="","",Controls!$B$7)</f>
        <v/>
      </c>
      <c r="B1752" s="1" t="str">
        <f aca="false">IF($H1752="","",YEAR($H1752)&amp;"-Q"&amp;ROUNDUP(MONTH($H1752)/3,0))</f>
        <v/>
      </c>
      <c r="S1752" s="1" t="str">
        <f aca="false">IF($C1752="","",$C1752&amp;"|"&amp;$E1752&amp;"|"&amp;$F1752&amp;"|"&amp;$L1752&amp;"|"&amp;$P1752&amp;"|"&amp;TEXT($H1752,"yyyy-mm-dd"))</f>
        <v/>
      </c>
      <c r="T1752" s="1" t="str">
        <f aca="false">IF($S1752="","",IF(COUNTIF($S$2:$S$2991,$S1752)&gt;1,"DUPLICATE","OK"))</f>
        <v/>
      </c>
      <c r="U1752" s="0" t="str">
        <f aca="false">IF($L1752="","",IFERROR(VLOOKUP(--$L1752,MM_Income!$Z$5:$AC$204,3,FALSE()),"UNMAPPED"))</f>
        <v/>
      </c>
    </row>
    <row r="1753" customFormat="false" ht="13.5" hidden="false" customHeight="false" outlineLevel="0" collapsed="false">
      <c r="A1753" s="1" t="str">
        <f aca="false">IF($C1753="","",Controls!$B$7)</f>
        <v/>
      </c>
      <c r="B1753" s="1" t="str">
        <f aca="false">IF($H1753="","",YEAR($H1753)&amp;"-Q"&amp;ROUNDUP(MONTH($H1753)/3,0))</f>
        <v/>
      </c>
      <c r="S1753" s="1" t="str">
        <f aca="false">IF($C1753="","",$C1753&amp;"|"&amp;$E1753&amp;"|"&amp;$F1753&amp;"|"&amp;$L1753&amp;"|"&amp;$P1753&amp;"|"&amp;TEXT($H1753,"yyyy-mm-dd"))</f>
        <v/>
      </c>
      <c r="T1753" s="1" t="str">
        <f aca="false">IF($S1753="","",IF(COUNTIF($S$2:$S$2991,$S1753)&gt;1,"DUPLICATE","OK"))</f>
        <v/>
      </c>
      <c r="U1753" s="0" t="str">
        <f aca="false">IF($L1753="","",IFERROR(VLOOKUP(--$L1753,MM_Income!$Z$5:$AC$204,3,FALSE()),"UNMAPPED"))</f>
        <v/>
      </c>
    </row>
    <row r="1754" customFormat="false" ht="13.5" hidden="false" customHeight="false" outlineLevel="0" collapsed="false">
      <c r="A1754" s="1" t="str">
        <f aca="false">IF($C1754="","",Controls!$B$7)</f>
        <v/>
      </c>
      <c r="B1754" s="1" t="str">
        <f aca="false">IF($H1754="","",YEAR($H1754)&amp;"-Q"&amp;ROUNDUP(MONTH($H1754)/3,0))</f>
        <v/>
      </c>
      <c r="S1754" s="1" t="str">
        <f aca="false">IF($C1754="","",$C1754&amp;"|"&amp;$E1754&amp;"|"&amp;$F1754&amp;"|"&amp;$L1754&amp;"|"&amp;$P1754&amp;"|"&amp;TEXT($H1754,"yyyy-mm-dd"))</f>
        <v/>
      </c>
      <c r="T1754" s="1" t="str">
        <f aca="false">IF($S1754="","",IF(COUNTIF($S$2:$S$2991,$S1754)&gt;1,"DUPLICATE","OK"))</f>
        <v/>
      </c>
      <c r="U1754" s="0" t="str">
        <f aca="false">IF($L1754="","",IFERROR(VLOOKUP(--$L1754,MM_Income!$Z$5:$AC$204,3,FALSE()),"UNMAPPED"))</f>
        <v/>
      </c>
    </row>
    <row r="1755" customFormat="false" ht="13.5" hidden="false" customHeight="false" outlineLevel="0" collapsed="false">
      <c r="A1755" s="1" t="str">
        <f aca="false">IF($C1755="","",Controls!$B$7)</f>
        <v/>
      </c>
      <c r="B1755" s="1" t="str">
        <f aca="false">IF($H1755="","",YEAR($H1755)&amp;"-Q"&amp;ROUNDUP(MONTH($H1755)/3,0))</f>
        <v/>
      </c>
      <c r="S1755" s="1" t="str">
        <f aca="false">IF($C1755="","",$C1755&amp;"|"&amp;$E1755&amp;"|"&amp;$F1755&amp;"|"&amp;$L1755&amp;"|"&amp;$P1755&amp;"|"&amp;TEXT($H1755,"yyyy-mm-dd"))</f>
        <v/>
      </c>
      <c r="T1755" s="1" t="str">
        <f aca="false">IF($S1755="","",IF(COUNTIF($S$2:$S$2991,$S1755)&gt;1,"DUPLICATE","OK"))</f>
        <v/>
      </c>
      <c r="U1755" s="0" t="str">
        <f aca="false">IF($L1755="","",IFERROR(VLOOKUP(--$L1755,MM_Income!$Z$5:$AC$204,3,FALSE()),"UNMAPPED"))</f>
        <v/>
      </c>
    </row>
    <row r="1756" customFormat="false" ht="13.5" hidden="false" customHeight="false" outlineLevel="0" collapsed="false">
      <c r="A1756" s="1" t="str">
        <f aca="false">IF($C1756="","",Controls!$B$7)</f>
        <v/>
      </c>
      <c r="B1756" s="1" t="str">
        <f aca="false">IF($H1756="","",YEAR($H1756)&amp;"-Q"&amp;ROUNDUP(MONTH($H1756)/3,0))</f>
        <v/>
      </c>
      <c r="S1756" s="1" t="str">
        <f aca="false">IF($C1756="","",$C1756&amp;"|"&amp;$E1756&amp;"|"&amp;$F1756&amp;"|"&amp;$L1756&amp;"|"&amp;$P1756&amp;"|"&amp;TEXT($H1756,"yyyy-mm-dd"))</f>
        <v/>
      </c>
      <c r="T1756" s="1" t="str">
        <f aca="false">IF($S1756="","",IF(COUNTIF($S$2:$S$2991,$S1756)&gt;1,"DUPLICATE","OK"))</f>
        <v/>
      </c>
      <c r="U1756" s="0" t="str">
        <f aca="false">IF($L1756="","",IFERROR(VLOOKUP(--$L1756,MM_Income!$Z$5:$AC$204,3,FALSE()),"UNMAPPED"))</f>
        <v/>
      </c>
    </row>
    <row r="1757" customFormat="false" ht="13.5" hidden="false" customHeight="false" outlineLevel="0" collapsed="false">
      <c r="A1757" s="1" t="str">
        <f aca="false">IF($C1757="","",Controls!$B$7)</f>
        <v/>
      </c>
      <c r="B1757" s="1" t="str">
        <f aca="false">IF($H1757="","",YEAR($H1757)&amp;"-Q"&amp;ROUNDUP(MONTH($H1757)/3,0))</f>
        <v/>
      </c>
      <c r="S1757" s="1" t="str">
        <f aca="false">IF($C1757="","",$C1757&amp;"|"&amp;$E1757&amp;"|"&amp;$F1757&amp;"|"&amp;$L1757&amp;"|"&amp;$P1757&amp;"|"&amp;TEXT($H1757,"yyyy-mm-dd"))</f>
        <v/>
      </c>
      <c r="T1757" s="1" t="str">
        <f aca="false">IF($S1757="","",IF(COUNTIF($S$2:$S$2991,$S1757)&gt;1,"DUPLICATE","OK"))</f>
        <v/>
      </c>
      <c r="U1757" s="0" t="str">
        <f aca="false">IF($L1757="","",IFERROR(VLOOKUP(--$L1757,MM_Income!$Z$5:$AC$204,3,FALSE()),"UNMAPPED"))</f>
        <v/>
      </c>
    </row>
    <row r="1758" customFormat="false" ht="13.5" hidden="false" customHeight="false" outlineLevel="0" collapsed="false">
      <c r="A1758" s="1" t="str">
        <f aca="false">IF($C1758="","",Controls!$B$7)</f>
        <v/>
      </c>
      <c r="B1758" s="1" t="str">
        <f aca="false">IF($H1758="","",YEAR($H1758)&amp;"-Q"&amp;ROUNDUP(MONTH($H1758)/3,0))</f>
        <v/>
      </c>
      <c r="S1758" s="1" t="str">
        <f aca="false">IF($C1758="","",$C1758&amp;"|"&amp;$E1758&amp;"|"&amp;$F1758&amp;"|"&amp;$L1758&amp;"|"&amp;$P1758&amp;"|"&amp;TEXT($H1758,"yyyy-mm-dd"))</f>
        <v/>
      </c>
      <c r="T1758" s="1" t="str">
        <f aca="false">IF($S1758="","",IF(COUNTIF($S$2:$S$2991,$S1758)&gt;1,"DUPLICATE","OK"))</f>
        <v/>
      </c>
      <c r="U1758" s="0" t="str">
        <f aca="false">IF($L1758="","",IFERROR(VLOOKUP(--$L1758,MM_Income!$Z$5:$AC$204,3,FALSE()),"UNMAPPED"))</f>
        <v/>
      </c>
    </row>
    <row r="1759" customFormat="false" ht="13.5" hidden="false" customHeight="false" outlineLevel="0" collapsed="false">
      <c r="A1759" s="1" t="str">
        <f aca="false">IF($C1759="","",Controls!$B$7)</f>
        <v/>
      </c>
      <c r="B1759" s="1" t="str">
        <f aca="false">IF($H1759="","",YEAR($H1759)&amp;"-Q"&amp;ROUNDUP(MONTH($H1759)/3,0))</f>
        <v/>
      </c>
      <c r="S1759" s="1" t="str">
        <f aca="false">IF($C1759="","",$C1759&amp;"|"&amp;$E1759&amp;"|"&amp;$F1759&amp;"|"&amp;$L1759&amp;"|"&amp;$P1759&amp;"|"&amp;TEXT($H1759,"yyyy-mm-dd"))</f>
        <v/>
      </c>
      <c r="T1759" s="1" t="str">
        <f aca="false">IF($S1759="","",IF(COUNTIF($S$2:$S$2991,$S1759)&gt;1,"DUPLICATE","OK"))</f>
        <v/>
      </c>
      <c r="U1759" s="0" t="str">
        <f aca="false">IF($L1759="","",IFERROR(VLOOKUP(--$L1759,MM_Income!$Z$5:$AC$204,3,FALSE()),"UNMAPPED"))</f>
        <v/>
      </c>
    </row>
    <row r="1760" customFormat="false" ht="13.5" hidden="false" customHeight="false" outlineLevel="0" collapsed="false">
      <c r="A1760" s="1" t="str">
        <f aca="false">IF($C1760="","",Controls!$B$7)</f>
        <v/>
      </c>
      <c r="B1760" s="1" t="str">
        <f aca="false">IF($H1760="","",YEAR($H1760)&amp;"-Q"&amp;ROUNDUP(MONTH($H1760)/3,0))</f>
        <v/>
      </c>
      <c r="S1760" s="1" t="str">
        <f aca="false">IF($C1760="","",$C1760&amp;"|"&amp;$E1760&amp;"|"&amp;$F1760&amp;"|"&amp;$L1760&amp;"|"&amp;$P1760&amp;"|"&amp;TEXT($H1760,"yyyy-mm-dd"))</f>
        <v/>
      </c>
      <c r="T1760" s="1" t="str">
        <f aca="false">IF($S1760="","",IF(COUNTIF($S$2:$S$2991,$S1760)&gt;1,"DUPLICATE","OK"))</f>
        <v/>
      </c>
      <c r="U1760" s="0" t="str">
        <f aca="false">IF($L1760="","",IFERROR(VLOOKUP(--$L1760,MM_Income!$Z$5:$AC$204,3,FALSE()),"UNMAPPED"))</f>
        <v/>
      </c>
    </row>
    <row r="1761" customFormat="false" ht="13.5" hidden="false" customHeight="false" outlineLevel="0" collapsed="false">
      <c r="A1761" s="1" t="str">
        <f aca="false">IF($C1761="","",Controls!$B$7)</f>
        <v/>
      </c>
      <c r="B1761" s="1" t="str">
        <f aca="false">IF($H1761="","",YEAR($H1761)&amp;"-Q"&amp;ROUNDUP(MONTH($H1761)/3,0))</f>
        <v/>
      </c>
      <c r="S1761" s="1" t="str">
        <f aca="false">IF($C1761="","",$C1761&amp;"|"&amp;$E1761&amp;"|"&amp;$F1761&amp;"|"&amp;$L1761&amp;"|"&amp;$P1761&amp;"|"&amp;TEXT($H1761,"yyyy-mm-dd"))</f>
        <v/>
      </c>
      <c r="T1761" s="1" t="str">
        <f aca="false">IF($S1761="","",IF(COUNTIF($S$2:$S$2991,$S1761)&gt;1,"DUPLICATE","OK"))</f>
        <v/>
      </c>
      <c r="U1761" s="0" t="str">
        <f aca="false">IF($L1761="","",IFERROR(VLOOKUP(--$L1761,MM_Income!$Z$5:$AC$204,3,FALSE()),"UNMAPPED"))</f>
        <v/>
      </c>
    </row>
    <row r="1762" customFormat="false" ht="13.5" hidden="false" customHeight="false" outlineLevel="0" collapsed="false">
      <c r="A1762" s="1" t="str">
        <f aca="false">IF($C1762="","",Controls!$B$7)</f>
        <v/>
      </c>
      <c r="B1762" s="1" t="str">
        <f aca="false">IF($H1762="","",YEAR($H1762)&amp;"-Q"&amp;ROUNDUP(MONTH($H1762)/3,0))</f>
        <v/>
      </c>
      <c r="S1762" s="1" t="str">
        <f aca="false">IF($C1762="","",$C1762&amp;"|"&amp;$E1762&amp;"|"&amp;$F1762&amp;"|"&amp;$L1762&amp;"|"&amp;$P1762&amp;"|"&amp;TEXT($H1762,"yyyy-mm-dd"))</f>
        <v/>
      </c>
      <c r="T1762" s="1" t="str">
        <f aca="false">IF($S1762="","",IF(COUNTIF($S$2:$S$2991,$S1762)&gt;1,"DUPLICATE","OK"))</f>
        <v/>
      </c>
      <c r="U1762" s="0" t="str">
        <f aca="false">IF($L1762="","",IFERROR(VLOOKUP(--$L1762,MM_Income!$Z$5:$AC$204,3,FALSE()),"UNMAPPED"))</f>
        <v/>
      </c>
    </row>
    <row r="1763" customFormat="false" ht="13.5" hidden="false" customHeight="false" outlineLevel="0" collapsed="false">
      <c r="A1763" s="1" t="str">
        <f aca="false">IF($C1763="","",Controls!$B$7)</f>
        <v/>
      </c>
      <c r="B1763" s="1" t="str">
        <f aca="false">IF($H1763="","",YEAR($H1763)&amp;"-Q"&amp;ROUNDUP(MONTH($H1763)/3,0))</f>
        <v/>
      </c>
      <c r="S1763" s="1" t="str">
        <f aca="false">IF($C1763="","",$C1763&amp;"|"&amp;$E1763&amp;"|"&amp;$F1763&amp;"|"&amp;$L1763&amp;"|"&amp;$P1763&amp;"|"&amp;TEXT($H1763,"yyyy-mm-dd"))</f>
        <v/>
      </c>
      <c r="T1763" s="1" t="str">
        <f aca="false">IF($S1763="","",IF(COUNTIF($S$2:$S$2991,$S1763)&gt;1,"DUPLICATE","OK"))</f>
        <v/>
      </c>
      <c r="U1763" s="0" t="str">
        <f aca="false">IF($L1763="","",IFERROR(VLOOKUP(--$L1763,MM_Income!$Z$5:$AC$204,3,FALSE()),"UNMAPPED"))</f>
        <v/>
      </c>
    </row>
    <row r="1764" customFormat="false" ht="13.5" hidden="false" customHeight="false" outlineLevel="0" collapsed="false">
      <c r="A1764" s="1" t="str">
        <f aca="false">IF($C1764="","",Controls!$B$7)</f>
        <v/>
      </c>
      <c r="B1764" s="1" t="str">
        <f aca="false">IF($H1764="","",YEAR($H1764)&amp;"-Q"&amp;ROUNDUP(MONTH($H1764)/3,0))</f>
        <v/>
      </c>
      <c r="S1764" s="1" t="str">
        <f aca="false">IF($C1764="","",$C1764&amp;"|"&amp;$E1764&amp;"|"&amp;$F1764&amp;"|"&amp;$L1764&amp;"|"&amp;$P1764&amp;"|"&amp;TEXT($H1764,"yyyy-mm-dd"))</f>
        <v/>
      </c>
      <c r="T1764" s="1" t="str">
        <f aca="false">IF($S1764="","",IF(COUNTIF($S$2:$S$2991,$S1764)&gt;1,"DUPLICATE","OK"))</f>
        <v/>
      </c>
      <c r="U1764" s="0" t="str">
        <f aca="false">IF($L1764="","",IFERROR(VLOOKUP(--$L1764,MM_Income!$Z$5:$AC$204,3,FALSE()),"UNMAPPED"))</f>
        <v/>
      </c>
    </row>
    <row r="1765" customFormat="false" ht="13.5" hidden="false" customHeight="false" outlineLevel="0" collapsed="false">
      <c r="A1765" s="1" t="str">
        <f aca="false">IF($C1765="","",Controls!$B$7)</f>
        <v/>
      </c>
      <c r="B1765" s="1" t="str">
        <f aca="false">IF($H1765="","",YEAR($H1765)&amp;"-Q"&amp;ROUNDUP(MONTH($H1765)/3,0))</f>
        <v/>
      </c>
      <c r="S1765" s="1" t="str">
        <f aca="false">IF($C1765="","",$C1765&amp;"|"&amp;$E1765&amp;"|"&amp;$F1765&amp;"|"&amp;$L1765&amp;"|"&amp;$P1765&amp;"|"&amp;TEXT($H1765,"yyyy-mm-dd"))</f>
        <v/>
      </c>
      <c r="T1765" s="1" t="str">
        <f aca="false">IF($S1765="","",IF(COUNTIF($S$2:$S$2991,$S1765)&gt;1,"DUPLICATE","OK"))</f>
        <v/>
      </c>
      <c r="U1765" s="0" t="str">
        <f aca="false">IF($L1765="","",IFERROR(VLOOKUP(--$L1765,MM_Income!$Z$5:$AC$204,3,FALSE()),"UNMAPPED"))</f>
        <v/>
      </c>
    </row>
    <row r="1766" customFormat="false" ht="13.5" hidden="false" customHeight="false" outlineLevel="0" collapsed="false">
      <c r="A1766" s="1" t="str">
        <f aca="false">IF($C1766="","",Controls!$B$7)</f>
        <v/>
      </c>
      <c r="B1766" s="1" t="str">
        <f aca="false">IF($H1766="","",YEAR($H1766)&amp;"-Q"&amp;ROUNDUP(MONTH($H1766)/3,0))</f>
        <v/>
      </c>
      <c r="S1766" s="1" t="str">
        <f aca="false">IF($C1766="","",$C1766&amp;"|"&amp;$E1766&amp;"|"&amp;$F1766&amp;"|"&amp;$L1766&amp;"|"&amp;$P1766&amp;"|"&amp;TEXT($H1766,"yyyy-mm-dd"))</f>
        <v/>
      </c>
      <c r="T1766" s="1" t="str">
        <f aca="false">IF($S1766="","",IF(COUNTIF($S$2:$S$2991,$S1766)&gt;1,"DUPLICATE","OK"))</f>
        <v/>
      </c>
      <c r="U1766" s="0" t="str">
        <f aca="false">IF($L1766="","",IFERROR(VLOOKUP(--$L1766,MM_Income!$Z$5:$AC$204,3,FALSE()),"UNMAPPED"))</f>
        <v/>
      </c>
    </row>
    <row r="1767" customFormat="false" ht="13.5" hidden="false" customHeight="false" outlineLevel="0" collapsed="false">
      <c r="A1767" s="1" t="str">
        <f aca="false">IF($C1767="","",Controls!$B$7)</f>
        <v/>
      </c>
      <c r="B1767" s="1" t="str">
        <f aca="false">IF($H1767="","",YEAR($H1767)&amp;"-Q"&amp;ROUNDUP(MONTH($H1767)/3,0))</f>
        <v/>
      </c>
      <c r="S1767" s="1" t="str">
        <f aca="false">IF($C1767="","",$C1767&amp;"|"&amp;$E1767&amp;"|"&amp;$F1767&amp;"|"&amp;$L1767&amp;"|"&amp;$P1767&amp;"|"&amp;TEXT($H1767,"yyyy-mm-dd"))</f>
        <v/>
      </c>
      <c r="T1767" s="1" t="str">
        <f aca="false">IF($S1767="","",IF(COUNTIF($S$2:$S$2991,$S1767)&gt;1,"DUPLICATE","OK"))</f>
        <v/>
      </c>
      <c r="U1767" s="0" t="str">
        <f aca="false">IF($L1767="","",IFERROR(VLOOKUP(--$L1767,MM_Income!$Z$5:$AC$204,3,FALSE()),"UNMAPPED"))</f>
        <v/>
      </c>
    </row>
    <row r="1768" customFormat="false" ht="13.5" hidden="false" customHeight="false" outlineLevel="0" collapsed="false">
      <c r="A1768" s="1" t="str">
        <f aca="false">IF($C1768="","",Controls!$B$7)</f>
        <v/>
      </c>
      <c r="B1768" s="1" t="str">
        <f aca="false">IF($H1768="","",YEAR($H1768)&amp;"-Q"&amp;ROUNDUP(MONTH($H1768)/3,0))</f>
        <v/>
      </c>
      <c r="S1768" s="1" t="str">
        <f aca="false">IF($C1768="","",$C1768&amp;"|"&amp;$E1768&amp;"|"&amp;$F1768&amp;"|"&amp;$L1768&amp;"|"&amp;$P1768&amp;"|"&amp;TEXT($H1768,"yyyy-mm-dd"))</f>
        <v/>
      </c>
      <c r="T1768" s="1" t="str">
        <f aca="false">IF($S1768="","",IF(COUNTIF($S$2:$S$2991,$S1768)&gt;1,"DUPLICATE","OK"))</f>
        <v/>
      </c>
      <c r="U1768" s="0" t="str">
        <f aca="false">IF($L1768="","",IFERROR(VLOOKUP(--$L1768,MM_Income!$Z$5:$AC$204,3,FALSE()),"UNMAPPED"))</f>
        <v/>
      </c>
    </row>
    <row r="1769" customFormat="false" ht="13.5" hidden="false" customHeight="false" outlineLevel="0" collapsed="false">
      <c r="A1769" s="1" t="str">
        <f aca="false">IF($C1769="","",Controls!$B$7)</f>
        <v/>
      </c>
      <c r="B1769" s="1" t="str">
        <f aca="false">IF($H1769="","",YEAR($H1769)&amp;"-Q"&amp;ROUNDUP(MONTH($H1769)/3,0))</f>
        <v/>
      </c>
      <c r="S1769" s="1" t="str">
        <f aca="false">IF($C1769="","",$C1769&amp;"|"&amp;$E1769&amp;"|"&amp;$F1769&amp;"|"&amp;$L1769&amp;"|"&amp;$P1769&amp;"|"&amp;TEXT($H1769,"yyyy-mm-dd"))</f>
        <v/>
      </c>
      <c r="T1769" s="1" t="str">
        <f aca="false">IF($S1769="","",IF(COUNTIF($S$2:$S$2991,$S1769)&gt;1,"DUPLICATE","OK"))</f>
        <v/>
      </c>
      <c r="U1769" s="0" t="str">
        <f aca="false">IF($L1769="","",IFERROR(VLOOKUP(--$L1769,MM_Income!$Z$5:$AC$204,3,FALSE()),"UNMAPPED"))</f>
        <v/>
      </c>
    </row>
    <row r="1770" customFormat="false" ht="13.5" hidden="false" customHeight="false" outlineLevel="0" collapsed="false">
      <c r="A1770" s="1" t="str">
        <f aca="false">IF($C1770="","",Controls!$B$7)</f>
        <v/>
      </c>
      <c r="B1770" s="1" t="str">
        <f aca="false">IF($H1770="","",YEAR($H1770)&amp;"-Q"&amp;ROUNDUP(MONTH($H1770)/3,0))</f>
        <v/>
      </c>
      <c r="S1770" s="1" t="str">
        <f aca="false">IF($C1770="","",$C1770&amp;"|"&amp;$E1770&amp;"|"&amp;$F1770&amp;"|"&amp;$L1770&amp;"|"&amp;$P1770&amp;"|"&amp;TEXT($H1770,"yyyy-mm-dd"))</f>
        <v/>
      </c>
      <c r="T1770" s="1" t="str">
        <f aca="false">IF($S1770="","",IF(COUNTIF($S$2:$S$2991,$S1770)&gt;1,"DUPLICATE","OK"))</f>
        <v/>
      </c>
      <c r="U1770" s="0" t="str">
        <f aca="false">IF($L1770="","",IFERROR(VLOOKUP(--$L1770,MM_Income!$Z$5:$AC$204,3,FALSE()),"UNMAPPED"))</f>
        <v/>
      </c>
    </row>
    <row r="1771" customFormat="false" ht="13.5" hidden="false" customHeight="false" outlineLevel="0" collapsed="false">
      <c r="A1771" s="1" t="str">
        <f aca="false">IF($C1771="","",Controls!$B$7)</f>
        <v/>
      </c>
      <c r="B1771" s="1" t="str">
        <f aca="false">IF($H1771="","",YEAR($H1771)&amp;"-Q"&amp;ROUNDUP(MONTH($H1771)/3,0))</f>
        <v/>
      </c>
      <c r="S1771" s="1" t="str">
        <f aca="false">IF($C1771="","",$C1771&amp;"|"&amp;$E1771&amp;"|"&amp;$F1771&amp;"|"&amp;$L1771&amp;"|"&amp;$P1771&amp;"|"&amp;TEXT($H1771,"yyyy-mm-dd"))</f>
        <v/>
      </c>
      <c r="T1771" s="1" t="str">
        <f aca="false">IF($S1771="","",IF(COUNTIF($S$2:$S$2991,$S1771)&gt;1,"DUPLICATE","OK"))</f>
        <v/>
      </c>
      <c r="U1771" s="0" t="str">
        <f aca="false">IF($L1771="","",IFERROR(VLOOKUP(--$L1771,MM_Income!$Z$5:$AC$204,3,FALSE()),"UNMAPPED"))</f>
        <v/>
      </c>
    </row>
    <row r="1772" customFormat="false" ht="13.5" hidden="false" customHeight="false" outlineLevel="0" collapsed="false">
      <c r="A1772" s="1" t="str">
        <f aca="false">IF($C1772="","",Controls!$B$7)</f>
        <v/>
      </c>
      <c r="B1772" s="1" t="str">
        <f aca="false">IF($H1772="","",YEAR($H1772)&amp;"-Q"&amp;ROUNDUP(MONTH($H1772)/3,0))</f>
        <v/>
      </c>
      <c r="S1772" s="1" t="str">
        <f aca="false">IF($C1772="","",$C1772&amp;"|"&amp;$E1772&amp;"|"&amp;$F1772&amp;"|"&amp;$L1772&amp;"|"&amp;$P1772&amp;"|"&amp;TEXT($H1772,"yyyy-mm-dd"))</f>
        <v/>
      </c>
      <c r="T1772" s="1" t="str">
        <f aca="false">IF($S1772="","",IF(COUNTIF($S$2:$S$2991,$S1772)&gt;1,"DUPLICATE","OK"))</f>
        <v/>
      </c>
      <c r="U1772" s="0" t="str">
        <f aca="false">IF($L1772="","",IFERROR(VLOOKUP(--$L1772,MM_Income!$Z$5:$AC$204,3,FALSE()),"UNMAPPED"))</f>
        <v/>
      </c>
    </row>
    <row r="1773" customFormat="false" ht="13.5" hidden="false" customHeight="false" outlineLevel="0" collapsed="false">
      <c r="A1773" s="1" t="str">
        <f aca="false">IF($C1773="","",Controls!$B$7)</f>
        <v/>
      </c>
      <c r="B1773" s="1" t="str">
        <f aca="false">IF($H1773="","",YEAR($H1773)&amp;"-Q"&amp;ROUNDUP(MONTH($H1773)/3,0))</f>
        <v/>
      </c>
      <c r="S1773" s="1" t="str">
        <f aca="false">IF($C1773="","",$C1773&amp;"|"&amp;$E1773&amp;"|"&amp;$F1773&amp;"|"&amp;$L1773&amp;"|"&amp;$P1773&amp;"|"&amp;TEXT($H1773,"yyyy-mm-dd"))</f>
        <v/>
      </c>
      <c r="T1773" s="1" t="str">
        <f aca="false">IF($S1773="","",IF(COUNTIF($S$2:$S$2991,$S1773)&gt;1,"DUPLICATE","OK"))</f>
        <v/>
      </c>
      <c r="U1773" s="0" t="str">
        <f aca="false">IF($L1773="","",IFERROR(VLOOKUP(--$L1773,MM_Income!$Z$5:$AC$204,3,FALSE()),"UNMAPPED"))</f>
        <v/>
      </c>
    </row>
    <row r="1774" customFormat="false" ht="13.5" hidden="false" customHeight="false" outlineLevel="0" collapsed="false">
      <c r="A1774" s="1" t="str">
        <f aca="false">IF($C1774="","",Controls!$B$7)</f>
        <v/>
      </c>
      <c r="B1774" s="1" t="str">
        <f aca="false">IF($H1774="","",YEAR($H1774)&amp;"-Q"&amp;ROUNDUP(MONTH($H1774)/3,0))</f>
        <v/>
      </c>
      <c r="S1774" s="1" t="str">
        <f aca="false">IF($C1774="","",$C1774&amp;"|"&amp;$E1774&amp;"|"&amp;$F1774&amp;"|"&amp;$L1774&amp;"|"&amp;$P1774&amp;"|"&amp;TEXT($H1774,"yyyy-mm-dd"))</f>
        <v/>
      </c>
      <c r="T1774" s="1" t="str">
        <f aca="false">IF($S1774="","",IF(COUNTIF($S$2:$S$2991,$S1774)&gt;1,"DUPLICATE","OK"))</f>
        <v/>
      </c>
      <c r="U1774" s="0" t="str">
        <f aca="false">IF($L1774="","",IFERROR(VLOOKUP(--$L1774,MM_Income!$Z$5:$AC$204,3,FALSE()),"UNMAPPED"))</f>
        <v/>
      </c>
    </row>
    <row r="1775" customFormat="false" ht="13.5" hidden="false" customHeight="false" outlineLevel="0" collapsed="false">
      <c r="A1775" s="1" t="str">
        <f aca="false">IF($C1775="","",Controls!$B$7)</f>
        <v/>
      </c>
      <c r="B1775" s="1" t="str">
        <f aca="false">IF($H1775="","",YEAR($H1775)&amp;"-Q"&amp;ROUNDUP(MONTH($H1775)/3,0))</f>
        <v/>
      </c>
      <c r="S1775" s="1" t="str">
        <f aca="false">IF($C1775="","",$C1775&amp;"|"&amp;$E1775&amp;"|"&amp;$F1775&amp;"|"&amp;$L1775&amp;"|"&amp;$P1775&amp;"|"&amp;TEXT($H1775,"yyyy-mm-dd"))</f>
        <v/>
      </c>
      <c r="T1775" s="1" t="str">
        <f aca="false">IF($S1775="","",IF(COUNTIF($S$2:$S$2991,$S1775)&gt;1,"DUPLICATE","OK"))</f>
        <v/>
      </c>
      <c r="U1775" s="0" t="str">
        <f aca="false">IF($L1775="","",IFERROR(VLOOKUP(--$L1775,MM_Income!$Z$5:$AC$204,3,FALSE()),"UNMAPPED"))</f>
        <v/>
      </c>
    </row>
    <row r="1776" customFormat="false" ht="13.5" hidden="false" customHeight="false" outlineLevel="0" collapsed="false">
      <c r="A1776" s="1" t="str">
        <f aca="false">IF($C1776="","",Controls!$B$7)</f>
        <v/>
      </c>
      <c r="B1776" s="1" t="str">
        <f aca="false">IF($H1776="","",YEAR($H1776)&amp;"-Q"&amp;ROUNDUP(MONTH($H1776)/3,0))</f>
        <v/>
      </c>
      <c r="S1776" s="1" t="str">
        <f aca="false">IF($C1776="","",$C1776&amp;"|"&amp;$E1776&amp;"|"&amp;$F1776&amp;"|"&amp;$L1776&amp;"|"&amp;$P1776&amp;"|"&amp;TEXT($H1776,"yyyy-mm-dd"))</f>
        <v/>
      </c>
      <c r="T1776" s="1" t="str">
        <f aca="false">IF($S1776="","",IF(COUNTIF($S$2:$S$2991,$S1776)&gt;1,"DUPLICATE","OK"))</f>
        <v/>
      </c>
      <c r="U1776" s="0" t="str">
        <f aca="false">IF($L1776="","",IFERROR(VLOOKUP(--$L1776,MM_Income!$Z$5:$AC$204,3,FALSE()),"UNMAPPED"))</f>
        <v/>
      </c>
    </row>
    <row r="1777" customFormat="false" ht="13.5" hidden="false" customHeight="false" outlineLevel="0" collapsed="false">
      <c r="A1777" s="1" t="str">
        <f aca="false">IF($C1777="","",Controls!$B$7)</f>
        <v/>
      </c>
      <c r="B1777" s="1" t="str">
        <f aca="false">IF($H1777="","",YEAR($H1777)&amp;"-Q"&amp;ROUNDUP(MONTH($H1777)/3,0))</f>
        <v/>
      </c>
      <c r="S1777" s="1" t="str">
        <f aca="false">IF($C1777="","",$C1777&amp;"|"&amp;$E1777&amp;"|"&amp;$F1777&amp;"|"&amp;$L1777&amp;"|"&amp;$P1777&amp;"|"&amp;TEXT($H1777,"yyyy-mm-dd"))</f>
        <v/>
      </c>
      <c r="T1777" s="1" t="str">
        <f aca="false">IF($S1777="","",IF(COUNTIF($S$2:$S$2991,$S1777)&gt;1,"DUPLICATE","OK"))</f>
        <v/>
      </c>
      <c r="U1777" s="0" t="str">
        <f aca="false">IF($L1777="","",IFERROR(VLOOKUP(--$L1777,MM_Income!$Z$5:$AC$204,3,FALSE()),"UNMAPPED"))</f>
        <v/>
      </c>
    </row>
    <row r="1778" customFormat="false" ht="13.5" hidden="false" customHeight="false" outlineLevel="0" collapsed="false">
      <c r="A1778" s="1" t="str">
        <f aca="false">IF($C1778="","",Controls!$B$7)</f>
        <v/>
      </c>
      <c r="B1778" s="1" t="str">
        <f aca="false">IF($H1778="","",YEAR($H1778)&amp;"-Q"&amp;ROUNDUP(MONTH($H1778)/3,0))</f>
        <v/>
      </c>
      <c r="S1778" s="1" t="str">
        <f aca="false">IF($C1778="","",$C1778&amp;"|"&amp;$E1778&amp;"|"&amp;$F1778&amp;"|"&amp;$L1778&amp;"|"&amp;$P1778&amp;"|"&amp;TEXT($H1778,"yyyy-mm-dd"))</f>
        <v/>
      </c>
      <c r="T1778" s="1" t="str">
        <f aca="false">IF($S1778="","",IF(COUNTIF($S$2:$S$2991,$S1778)&gt;1,"DUPLICATE","OK"))</f>
        <v/>
      </c>
      <c r="U1778" s="0" t="str">
        <f aca="false">IF($L1778="","",IFERROR(VLOOKUP(--$L1778,MM_Income!$Z$5:$AC$204,3,FALSE()),"UNMAPPED"))</f>
        <v/>
      </c>
    </row>
    <row r="1779" customFormat="false" ht="13.5" hidden="false" customHeight="false" outlineLevel="0" collapsed="false">
      <c r="A1779" s="1" t="str">
        <f aca="false">IF($C1779="","",Controls!$B$7)</f>
        <v/>
      </c>
      <c r="B1779" s="1" t="str">
        <f aca="false">IF($H1779="","",YEAR($H1779)&amp;"-Q"&amp;ROUNDUP(MONTH($H1779)/3,0))</f>
        <v/>
      </c>
      <c r="S1779" s="1" t="str">
        <f aca="false">IF($C1779="","",$C1779&amp;"|"&amp;$E1779&amp;"|"&amp;$F1779&amp;"|"&amp;$L1779&amp;"|"&amp;$P1779&amp;"|"&amp;TEXT($H1779,"yyyy-mm-dd"))</f>
        <v/>
      </c>
      <c r="T1779" s="1" t="str">
        <f aca="false">IF($S1779="","",IF(COUNTIF($S$2:$S$2991,$S1779)&gt;1,"DUPLICATE","OK"))</f>
        <v/>
      </c>
      <c r="U1779" s="0" t="str">
        <f aca="false">IF($L1779="","",IFERROR(VLOOKUP(--$L1779,MM_Income!$Z$5:$AC$204,3,FALSE()),"UNMAPPED"))</f>
        <v/>
      </c>
    </row>
    <row r="1780" customFormat="false" ht="13.5" hidden="false" customHeight="false" outlineLevel="0" collapsed="false">
      <c r="A1780" s="1" t="str">
        <f aca="false">IF($C1780="","",Controls!$B$7)</f>
        <v/>
      </c>
      <c r="B1780" s="1" t="str">
        <f aca="false">IF($H1780="","",YEAR($H1780)&amp;"-Q"&amp;ROUNDUP(MONTH($H1780)/3,0))</f>
        <v/>
      </c>
      <c r="S1780" s="1" t="str">
        <f aca="false">IF($C1780="","",$C1780&amp;"|"&amp;$E1780&amp;"|"&amp;$F1780&amp;"|"&amp;$L1780&amp;"|"&amp;$P1780&amp;"|"&amp;TEXT($H1780,"yyyy-mm-dd"))</f>
        <v/>
      </c>
      <c r="T1780" s="1" t="str">
        <f aca="false">IF($S1780="","",IF(COUNTIF($S$2:$S$2991,$S1780)&gt;1,"DUPLICATE","OK"))</f>
        <v/>
      </c>
      <c r="U1780" s="0" t="str">
        <f aca="false">IF($L1780="","",IFERROR(VLOOKUP(--$L1780,MM_Income!$Z$5:$AC$204,3,FALSE()),"UNMAPPED"))</f>
        <v/>
      </c>
    </row>
    <row r="1781" customFormat="false" ht="13.5" hidden="false" customHeight="false" outlineLevel="0" collapsed="false">
      <c r="A1781" s="1" t="str">
        <f aca="false">IF($C1781="","",Controls!$B$7)</f>
        <v/>
      </c>
      <c r="B1781" s="1" t="str">
        <f aca="false">IF($H1781="","",YEAR($H1781)&amp;"-Q"&amp;ROUNDUP(MONTH($H1781)/3,0))</f>
        <v/>
      </c>
      <c r="S1781" s="1" t="str">
        <f aca="false">IF($C1781="","",$C1781&amp;"|"&amp;$E1781&amp;"|"&amp;$F1781&amp;"|"&amp;$L1781&amp;"|"&amp;$P1781&amp;"|"&amp;TEXT($H1781,"yyyy-mm-dd"))</f>
        <v/>
      </c>
      <c r="T1781" s="1" t="str">
        <f aca="false">IF($S1781="","",IF(COUNTIF($S$2:$S$2991,$S1781)&gt;1,"DUPLICATE","OK"))</f>
        <v/>
      </c>
      <c r="U1781" s="0" t="str">
        <f aca="false">IF($L1781="","",IFERROR(VLOOKUP(--$L1781,MM_Income!$Z$5:$AC$204,3,FALSE()),"UNMAPPED"))</f>
        <v/>
      </c>
    </row>
    <row r="1782" customFormat="false" ht="13.5" hidden="false" customHeight="false" outlineLevel="0" collapsed="false">
      <c r="A1782" s="1" t="str">
        <f aca="false">IF($C1782="","",Controls!$B$7)</f>
        <v/>
      </c>
      <c r="B1782" s="1" t="str">
        <f aca="false">IF($H1782="","",YEAR($H1782)&amp;"-Q"&amp;ROUNDUP(MONTH($H1782)/3,0))</f>
        <v/>
      </c>
      <c r="S1782" s="1" t="str">
        <f aca="false">IF($C1782="","",$C1782&amp;"|"&amp;$E1782&amp;"|"&amp;$F1782&amp;"|"&amp;$L1782&amp;"|"&amp;$P1782&amp;"|"&amp;TEXT($H1782,"yyyy-mm-dd"))</f>
        <v/>
      </c>
      <c r="T1782" s="1" t="str">
        <f aca="false">IF($S1782="","",IF(COUNTIF($S$2:$S$2991,$S1782)&gt;1,"DUPLICATE","OK"))</f>
        <v/>
      </c>
      <c r="U1782" s="0" t="str">
        <f aca="false">IF($L1782="","",IFERROR(VLOOKUP(--$L1782,MM_Income!$Z$5:$AC$204,3,FALSE()),"UNMAPPED"))</f>
        <v/>
      </c>
    </row>
    <row r="1783" customFormat="false" ht="13.5" hidden="false" customHeight="false" outlineLevel="0" collapsed="false">
      <c r="A1783" s="1" t="str">
        <f aca="false">IF($C1783="","",Controls!$B$7)</f>
        <v/>
      </c>
      <c r="B1783" s="1" t="str">
        <f aca="false">IF($H1783="","",YEAR($H1783)&amp;"-Q"&amp;ROUNDUP(MONTH($H1783)/3,0))</f>
        <v/>
      </c>
      <c r="S1783" s="1" t="str">
        <f aca="false">IF($C1783="","",$C1783&amp;"|"&amp;$E1783&amp;"|"&amp;$F1783&amp;"|"&amp;$L1783&amp;"|"&amp;$P1783&amp;"|"&amp;TEXT($H1783,"yyyy-mm-dd"))</f>
        <v/>
      </c>
      <c r="T1783" s="1" t="str">
        <f aca="false">IF($S1783="","",IF(COUNTIF($S$2:$S$2991,$S1783)&gt;1,"DUPLICATE","OK"))</f>
        <v/>
      </c>
      <c r="U1783" s="0" t="str">
        <f aca="false">IF($L1783="","",IFERROR(VLOOKUP(--$L1783,MM_Income!$Z$5:$AC$204,3,FALSE()),"UNMAPPED"))</f>
        <v/>
      </c>
    </row>
    <row r="1784" customFormat="false" ht="13.5" hidden="false" customHeight="false" outlineLevel="0" collapsed="false">
      <c r="A1784" s="1" t="str">
        <f aca="false">IF($C1784="","",Controls!$B$7)</f>
        <v/>
      </c>
      <c r="B1784" s="1" t="str">
        <f aca="false">IF($H1784="","",YEAR($H1784)&amp;"-Q"&amp;ROUNDUP(MONTH($H1784)/3,0))</f>
        <v/>
      </c>
      <c r="S1784" s="1" t="str">
        <f aca="false">IF($C1784="","",$C1784&amp;"|"&amp;$E1784&amp;"|"&amp;$F1784&amp;"|"&amp;$L1784&amp;"|"&amp;$P1784&amp;"|"&amp;TEXT($H1784,"yyyy-mm-dd"))</f>
        <v/>
      </c>
      <c r="T1784" s="1" t="str">
        <f aca="false">IF($S1784="","",IF(COUNTIF($S$2:$S$2991,$S1784)&gt;1,"DUPLICATE","OK"))</f>
        <v/>
      </c>
      <c r="U1784" s="0" t="str">
        <f aca="false">IF($L1784="","",IFERROR(VLOOKUP(--$L1784,MM_Income!$Z$5:$AC$204,3,FALSE()),"UNMAPPED"))</f>
        <v/>
      </c>
    </row>
    <row r="1785" customFormat="false" ht="13.5" hidden="false" customHeight="false" outlineLevel="0" collapsed="false">
      <c r="A1785" s="1" t="str">
        <f aca="false">IF($C1785="","",Controls!$B$7)</f>
        <v/>
      </c>
      <c r="B1785" s="1" t="str">
        <f aca="false">IF($H1785="","",YEAR($H1785)&amp;"-Q"&amp;ROUNDUP(MONTH($H1785)/3,0))</f>
        <v/>
      </c>
      <c r="S1785" s="1" t="str">
        <f aca="false">IF($C1785="","",$C1785&amp;"|"&amp;$E1785&amp;"|"&amp;$F1785&amp;"|"&amp;$L1785&amp;"|"&amp;$P1785&amp;"|"&amp;TEXT($H1785,"yyyy-mm-dd"))</f>
        <v/>
      </c>
      <c r="T1785" s="1" t="str">
        <f aca="false">IF($S1785="","",IF(COUNTIF($S$2:$S$2991,$S1785)&gt;1,"DUPLICATE","OK"))</f>
        <v/>
      </c>
      <c r="U1785" s="0" t="str">
        <f aca="false">IF($L1785="","",IFERROR(VLOOKUP(--$L1785,MM_Income!$Z$5:$AC$204,3,FALSE()),"UNMAPPED"))</f>
        <v/>
      </c>
    </row>
    <row r="1786" customFormat="false" ht="13.5" hidden="false" customHeight="false" outlineLevel="0" collapsed="false">
      <c r="A1786" s="1" t="str">
        <f aca="false">IF($C1786="","",Controls!$B$7)</f>
        <v/>
      </c>
      <c r="B1786" s="1" t="str">
        <f aca="false">IF($H1786="","",YEAR($H1786)&amp;"-Q"&amp;ROUNDUP(MONTH($H1786)/3,0))</f>
        <v/>
      </c>
      <c r="S1786" s="1" t="str">
        <f aca="false">IF($C1786="","",$C1786&amp;"|"&amp;$E1786&amp;"|"&amp;$F1786&amp;"|"&amp;$L1786&amp;"|"&amp;$P1786&amp;"|"&amp;TEXT($H1786,"yyyy-mm-dd"))</f>
        <v/>
      </c>
      <c r="T1786" s="1" t="str">
        <f aca="false">IF($S1786="","",IF(COUNTIF($S$2:$S$2991,$S1786)&gt;1,"DUPLICATE","OK"))</f>
        <v/>
      </c>
      <c r="U1786" s="0" t="str">
        <f aca="false">IF($L1786="","",IFERROR(VLOOKUP(--$L1786,MM_Income!$Z$5:$AC$204,3,FALSE()),"UNMAPPED"))</f>
        <v/>
      </c>
    </row>
    <row r="1787" customFormat="false" ht="13.5" hidden="false" customHeight="false" outlineLevel="0" collapsed="false">
      <c r="A1787" s="1" t="str">
        <f aca="false">IF($C1787="","",Controls!$B$7)</f>
        <v/>
      </c>
      <c r="B1787" s="1" t="str">
        <f aca="false">IF($H1787="","",YEAR($H1787)&amp;"-Q"&amp;ROUNDUP(MONTH($H1787)/3,0))</f>
        <v/>
      </c>
      <c r="S1787" s="1" t="str">
        <f aca="false">IF($C1787="","",$C1787&amp;"|"&amp;$E1787&amp;"|"&amp;$F1787&amp;"|"&amp;$L1787&amp;"|"&amp;$P1787&amp;"|"&amp;TEXT($H1787,"yyyy-mm-dd"))</f>
        <v/>
      </c>
      <c r="T1787" s="1" t="str">
        <f aca="false">IF($S1787="","",IF(COUNTIF($S$2:$S$2991,$S1787)&gt;1,"DUPLICATE","OK"))</f>
        <v/>
      </c>
      <c r="U1787" s="0" t="str">
        <f aca="false">IF($L1787="","",IFERROR(VLOOKUP(--$L1787,MM_Income!$Z$5:$AC$204,3,FALSE()),"UNMAPPED"))</f>
        <v/>
      </c>
    </row>
    <row r="1788" customFormat="false" ht="13.5" hidden="false" customHeight="false" outlineLevel="0" collapsed="false">
      <c r="A1788" s="1" t="str">
        <f aca="false">IF($C1788="","",Controls!$B$7)</f>
        <v/>
      </c>
      <c r="B1788" s="1" t="str">
        <f aca="false">IF($H1788="","",YEAR($H1788)&amp;"-Q"&amp;ROUNDUP(MONTH($H1788)/3,0))</f>
        <v/>
      </c>
      <c r="S1788" s="1" t="str">
        <f aca="false">IF($C1788="","",$C1788&amp;"|"&amp;$E1788&amp;"|"&amp;$F1788&amp;"|"&amp;$L1788&amp;"|"&amp;$P1788&amp;"|"&amp;TEXT($H1788,"yyyy-mm-dd"))</f>
        <v/>
      </c>
      <c r="T1788" s="1" t="str">
        <f aca="false">IF($S1788="","",IF(COUNTIF($S$2:$S$2991,$S1788)&gt;1,"DUPLICATE","OK"))</f>
        <v/>
      </c>
      <c r="U1788" s="0" t="str">
        <f aca="false">IF($L1788="","",IFERROR(VLOOKUP(--$L1788,MM_Income!$Z$5:$AC$204,3,FALSE()),"UNMAPPED"))</f>
        <v/>
      </c>
    </row>
    <row r="1789" customFormat="false" ht="13.5" hidden="false" customHeight="false" outlineLevel="0" collapsed="false">
      <c r="A1789" s="1" t="str">
        <f aca="false">IF($C1789="","",Controls!$B$7)</f>
        <v/>
      </c>
      <c r="B1789" s="1" t="str">
        <f aca="false">IF($H1789="","",YEAR($H1789)&amp;"-Q"&amp;ROUNDUP(MONTH($H1789)/3,0))</f>
        <v/>
      </c>
      <c r="S1789" s="1" t="str">
        <f aca="false">IF($C1789="","",$C1789&amp;"|"&amp;$E1789&amp;"|"&amp;$F1789&amp;"|"&amp;$L1789&amp;"|"&amp;$P1789&amp;"|"&amp;TEXT($H1789,"yyyy-mm-dd"))</f>
        <v/>
      </c>
      <c r="T1789" s="1" t="str">
        <f aca="false">IF($S1789="","",IF(COUNTIF($S$2:$S$2991,$S1789)&gt;1,"DUPLICATE","OK"))</f>
        <v/>
      </c>
      <c r="U1789" s="0" t="str">
        <f aca="false">IF($L1789="","",IFERROR(VLOOKUP(--$L1789,MM_Income!$Z$5:$AC$204,3,FALSE()),"UNMAPPED"))</f>
        <v/>
      </c>
    </row>
    <row r="1790" customFormat="false" ht="13.5" hidden="false" customHeight="false" outlineLevel="0" collapsed="false">
      <c r="A1790" s="1" t="str">
        <f aca="false">IF($C1790="","",Controls!$B$7)</f>
        <v/>
      </c>
      <c r="B1790" s="1" t="str">
        <f aca="false">IF($H1790="","",YEAR($H1790)&amp;"-Q"&amp;ROUNDUP(MONTH($H1790)/3,0))</f>
        <v/>
      </c>
      <c r="S1790" s="1" t="str">
        <f aca="false">IF($C1790="","",$C1790&amp;"|"&amp;$E1790&amp;"|"&amp;$F1790&amp;"|"&amp;$L1790&amp;"|"&amp;$P1790&amp;"|"&amp;TEXT($H1790,"yyyy-mm-dd"))</f>
        <v/>
      </c>
      <c r="T1790" s="1" t="str">
        <f aca="false">IF($S1790="","",IF(COUNTIF($S$2:$S$2991,$S1790)&gt;1,"DUPLICATE","OK"))</f>
        <v/>
      </c>
      <c r="U1790" s="0" t="str">
        <f aca="false">IF($L1790="","",IFERROR(VLOOKUP(--$L1790,MM_Income!$Z$5:$AC$204,3,FALSE()),"UNMAPPED"))</f>
        <v/>
      </c>
    </row>
    <row r="1791" customFormat="false" ht="13.5" hidden="false" customHeight="false" outlineLevel="0" collapsed="false">
      <c r="A1791" s="1" t="str">
        <f aca="false">IF($C1791="","",Controls!$B$7)</f>
        <v/>
      </c>
      <c r="B1791" s="1" t="str">
        <f aca="false">IF($H1791="","",YEAR($H1791)&amp;"-Q"&amp;ROUNDUP(MONTH($H1791)/3,0))</f>
        <v/>
      </c>
      <c r="S1791" s="1" t="str">
        <f aca="false">IF($C1791="","",$C1791&amp;"|"&amp;$E1791&amp;"|"&amp;$F1791&amp;"|"&amp;$L1791&amp;"|"&amp;$P1791&amp;"|"&amp;TEXT($H1791,"yyyy-mm-dd"))</f>
        <v/>
      </c>
      <c r="T1791" s="1" t="str">
        <f aca="false">IF($S1791="","",IF(COUNTIF($S$2:$S$2991,$S1791)&gt;1,"DUPLICATE","OK"))</f>
        <v/>
      </c>
      <c r="U1791" s="0" t="str">
        <f aca="false">IF($L1791="","",IFERROR(VLOOKUP(--$L1791,MM_Income!$Z$5:$AC$204,3,FALSE()),"UNMAPPED"))</f>
        <v/>
      </c>
    </row>
    <row r="1792" customFormat="false" ht="13.5" hidden="false" customHeight="false" outlineLevel="0" collapsed="false">
      <c r="A1792" s="1" t="str">
        <f aca="false">IF($C1792="","",Controls!$B$7)</f>
        <v/>
      </c>
      <c r="B1792" s="1" t="str">
        <f aca="false">IF($H1792="","",YEAR($H1792)&amp;"-Q"&amp;ROUNDUP(MONTH($H1792)/3,0))</f>
        <v/>
      </c>
      <c r="S1792" s="1" t="str">
        <f aca="false">IF($C1792="","",$C1792&amp;"|"&amp;$E1792&amp;"|"&amp;$F1792&amp;"|"&amp;$L1792&amp;"|"&amp;$P1792&amp;"|"&amp;TEXT($H1792,"yyyy-mm-dd"))</f>
        <v/>
      </c>
      <c r="T1792" s="1" t="str">
        <f aca="false">IF($S1792="","",IF(COUNTIF($S$2:$S$2991,$S1792)&gt;1,"DUPLICATE","OK"))</f>
        <v/>
      </c>
      <c r="U1792" s="0" t="str">
        <f aca="false">IF($L1792="","",IFERROR(VLOOKUP(--$L1792,MM_Income!$Z$5:$AC$204,3,FALSE()),"UNMAPPED"))</f>
        <v/>
      </c>
    </row>
    <row r="1793" customFormat="false" ht="13.5" hidden="false" customHeight="false" outlineLevel="0" collapsed="false">
      <c r="A1793" s="1" t="str">
        <f aca="false">IF($C1793="","",Controls!$B$7)</f>
        <v/>
      </c>
      <c r="B1793" s="1" t="str">
        <f aca="false">IF($H1793="","",YEAR($H1793)&amp;"-Q"&amp;ROUNDUP(MONTH($H1793)/3,0))</f>
        <v/>
      </c>
      <c r="S1793" s="1" t="str">
        <f aca="false">IF($C1793="","",$C1793&amp;"|"&amp;$E1793&amp;"|"&amp;$F1793&amp;"|"&amp;$L1793&amp;"|"&amp;$P1793&amp;"|"&amp;TEXT($H1793,"yyyy-mm-dd"))</f>
        <v/>
      </c>
      <c r="T1793" s="1" t="str">
        <f aca="false">IF($S1793="","",IF(COUNTIF($S$2:$S$2991,$S1793)&gt;1,"DUPLICATE","OK"))</f>
        <v/>
      </c>
      <c r="U1793" s="0" t="str">
        <f aca="false">IF($L1793="","",IFERROR(VLOOKUP(--$L1793,MM_Income!$Z$5:$AC$204,3,FALSE()),"UNMAPPED"))</f>
        <v/>
      </c>
    </row>
    <row r="1794" customFormat="false" ht="13.5" hidden="false" customHeight="false" outlineLevel="0" collapsed="false">
      <c r="A1794" s="1" t="str">
        <f aca="false">IF($C1794="","",Controls!$B$7)</f>
        <v/>
      </c>
      <c r="B1794" s="1" t="str">
        <f aca="false">IF($H1794="","",YEAR($H1794)&amp;"-Q"&amp;ROUNDUP(MONTH($H1794)/3,0))</f>
        <v/>
      </c>
      <c r="S1794" s="1" t="str">
        <f aca="false">IF($C1794="","",$C1794&amp;"|"&amp;$E1794&amp;"|"&amp;$F1794&amp;"|"&amp;$L1794&amp;"|"&amp;$P1794&amp;"|"&amp;TEXT($H1794,"yyyy-mm-dd"))</f>
        <v/>
      </c>
      <c r="T1794" s="1" t="str">
        <f aca="false">IF($S1794="","",IF(COUNTIF($S$2:$S$2991,$S1794)&gt;1,"DUPLICATE","OK"))</f>
        <v/>
      </c>
      <c r="U1794" s="0" t="str">
        <f aca="false">IF($L1794="","",IFERROR(VLOOKUP(--$L1794,MM_Income!$Z$5:$AC$204,3,FALSE()),"UNMAPPED"))</f>
        <v/>
      </c>
    </row>
    <row r="1795" customFormat="false" ht="13.5" hidden="false" customHeight="false" outlineLevel="0" collapsed="false">
      <c r="A1795" s="1" t="str">
        <f aca="false">IF($C1795="","",Controls!$B$7)</f>
        <v/>
      </c>
      <c r="B1795" s="1" t="str">
        <f aca="false">IF($H1795="","",YEAR($H1795)&amp;"-Q"&amp;ROUNDUP(MONTH($H1795)/3,0))</f>
        <v/>
      </c>
      <c r="S1795" s="1" t="str">
        <f aca="false">IF($C1795="","",$C1795&amp;"|"&amp;$E1795&amp;"|"&amp;$F1795&amp;"|"&amp;$L1795&amp;"|"&amp;$P1795&amp;"|"&amp;TEXT($H1795,"yyyy-mm-dd"))</f>
        <v/>
      </c>
      <c r="T1795" s="1" t="str">
        <f aca="false">IF($S1795="","",IF(COUNTIF($S$2:$S$2991,$S1795)&gt;1,"DUPLICATE","OK"))</f>
        <v/>
      </c>
      <c r="U1795" s="0" t="str">
        <f aca="false">IF($L1795="","",IFERROR(VLOOKUP(--$L1795,MM_Income!$Z$5:$AC$204,3,FALSE()),"UNMAPPED"))</f>
        <v/>
      </c>
    </row>
    <row r="1796" customFormat="false" ht="13.5" hidden="false" customHeight="false" outlineLevel="0" collapsed="false">
      <c r="A1796" s="1" t="str">
        <f aca="false">IF($C1796="","",Controls!$B$7)</f>
        <v/>
      </c>
      <c r="B1796" s="1" t="str">
        <f aca="false">IF($H1796="","",YEAR($H1796)&amp;"-Q"&amp;ROUNDUP(MONTH($H1796)/3,0))</f>
        <v/>
      </c>
      <c r="S1796" s="1" t="str">
        <f aca="false">IF($C1796="","",$C1796&amp;"|"&amp;$E1796&amp;"|"&amp;$F1796&amp;"|"&amp;$L1796&amp;"|"&amp;$P1796&amp;"|"&amp;TEXT($H1796,"yyyy-mm-dd"))</f>
        <v/>
      </c>
      <c r="T1796" s="1" t="str">
        <f aca="false">IF($S1796="","",IF(COUNTIF($S$2:$S$2991,$S1796)&gt;1,"DUPLICATE","OK"))</f>
        <v/>
      </c>
      <c r="U1796" s="0" t="str">
        <f aca="false">IF($L1796="","",IFERROR(VLOOKUP(--$L1796,MM_Income!$Z$5:$AC$204,3,FALSE()),"UNMAPPED"))</f>
        <v/>
      </c>
    </row>
    <row r="1797" customFormat="false" ht="13.5" hidden="false" customHeight="false" outlineLevel="0" collapsed="false">
      <c r="A1797" s="1" t="str">
        <f aca="false">IF($C1797="","",Controls!$B$7)</f>
        <v/>
      </c>
      <c r="B1797" s="1" t="str">
        <f aca="false">IF($H1797="","",YEAR($H1797)&amp;"-Q"&amp;ROUNDUP(MONTH($H1797)/3,0))</f>
        <v/>
      </c>
      <c r="S1797" s="1" t="str">
        <f aca="false">IF($C1797="","",$C1797&amp;"|"&amp;$E1797&amp;"|"&amp;$F1797&amp;"|"&amp;$L1797&amp;"|"&amp;$P1797&amp;"|"&amp;TEXT($H1797,"yyyy-mm-dd"))</f>
        <v/>
      </c>
      <c r="T1797" s="1" t="str">
        <f aca="false">IF($S1797="","",IF(COUNTIF($S$2:$S$2991,$S1797)&gt;1,"DUPLICATE","OK"))</f>
        <v/>
      </c>
      <c r="U1797" s="0" t="str">
        <f aca="false">IF($L1797="","",IFERROR(VLOOKUP(--$L1797,MM_Income!$Z$5:$AC$204,3,FALSE()),"UNMAPPED"))</f>
        <v/>
      </c>
    </row>
    <row r="1798" customFormat="false" ht="13.5" hidden="false" customHeight="false" outlineLevel="0" collapsed="false">
      <c r="A1798" s="1" t="str">
        <f aca="false">IF($C1798="","",Controls!$B$7)</f>
        <v/>
      </c>
      <c r="B1798" s="1" t="str">
        <f aca="false">IF($H1798="","",YEAR($H1798)&amp;"-Q"&amp;ROUNDUP(MONTH($H1798)/3,0))</f>
        <v/>
      </c>
      <c r="S1798" s="1" t="str">
        <f aca="false">IF($C1798="","",$C1798&amp;"|"&amp;$E1798&amp;"|"&amp;$F1798&amp;"|"&amp;$L1798&amp;"|"&amp;$P1798&amp;"|"&amp;TEXT($H1798,"yyyy-mm-dd"))</f>
        <v/>
      </c>
      <c r="T1798" s="1" t="str">
        <f aca="false">IF($S1798="","",IF(COUNTIF($S$2:$S$2991,$S1798)&gt;1,"DUPLICATE","OK"))</f>
        <v/>
      </c>
      <c r="U1798" s="0" t="str">
        <f aca="false">IF($L1798="","",IFERROR(VLOOKUP(--$L1798,MM_Income!$Z$5:$AC$204,3,FALSE()),"UNMAPPED"))</f>
        <v/>
      </c>
    </row>
    <row r="1799" customFormat="false" ht="13.5" hidden="false" customHeight="false" outlineLevel="0" collapsed="false">
      <c r="A1799" s="1" t="str">
        <f aca="false">IF($C1799="","",Controls!$B$7)</f>
        <v/>
      </c>
      <c r="B1799" s="1" t="str">
        <f aca="false">IF($H1799="","",YEAR($H1799)&amp;"-Q"&amp;ROUNDUP(MONTH($H1799)/3,0))</f>
        <v/>
      </c>
      <c r="S1799" s="1" t="str">
        <f aca="false">IF($C1799="","",$C1799&amp;"|"&amp;$E1799&amp;"|"&amp;$F1799&amp;"|"&amp;$L1799&amp;"|"&amp;$P1799&amp;"|"&amp;TEXT($H1799,"yyyy-mm-dd"))</f>
        <v/>
      </c>
      <c r="T1799" s="1" t="str">
        <f aca="false">IF($S1799="","",IF(COUNTIF($S$2:$S$2991,$S1799)&gt;1,"DUPLICATE","OK"))</f>
        <v/>
      </c>
      <c r="U1799" s="0" t="str">
        <f aca="false">IF($L1799="","",IFERROR(VLOOKUP(--$L1799,MM_Income!$Z$5:$AC$204,3,FALSE()),"UNMAPPED"))</f>
        <v/>
      </c>
    </row>
    <row r="1800" customFormat="false" ht="13.5" hidden="false" customHeight="false" outlineLevel="0" collapsed="false">
      <c r="A1800" s="1" t="str">
        <f aca="false">IF($C1800="","",Controls!$B$7)</f>
        <v/>
      </c>
      <c r="B1800" s="1" t="str">
        <f aca="false">IF($H1800="","",YEAR($H1800)&amp;"-Q"&amp;ROUNDUP(MONTH($H1800)/3,0))</f>
        <v/>
      </c>
      <c r="S1800" s="1" t="str">
        <f aca="false">IF($C1800="","",$C1800&amp;"|"&amp;$E1800&amp;"|"&amp;$F1800&amp;"|"&amp;$L1800&amp;"|"&amp;$P1800&amp;"|"&amp;TEXT($H1800,"yyyy-mm-dd"))</f>
        <v/>
      </c>
      <c r="T1800" s="1" t="str">
        <f aca="false">IF($S1800="","",IF(COUNTIF($S$2:$S$2991,$S1800)&gt;1,"DUPLICATE","OK"))</f>
        <v/>
      </c>
      <c r="U1800" s="0" t="str">
        <f aca="false">IF($L1800="","",IFERROR(VLOOKUP(--$L1800,MM_Income!$Z$5:$AC$204,3,FALSE()),"UNMAPPED"))</f>
        <v/>
      </c>
    </row>
    <row r="1801" customFormat="false" ht="13.5" hidden="false" customHeight="false" outlineLevel="0" collapsed="false">
      <c r="A1801" s="1" t="str">
        <f aca="false">IF($C1801="","",Controls!$B$7)</f>
        <v/>
      </c>
      <c r="B1801" s="1" t="str">
        <f aca="false">IF($H1801="","",YEAR($H1801)&amp;"-Q"&amp;ROUNDUP(MONTH($H1801)/3,0))</f>
        <v/>
      </c>
      <c r="S1801" s="1" t="str">
        <f aca="false">IF($C1801="","",$C1801&amp;"|"&amp;$E1801&amp;"|"&amp;$F1801&amp;"|"&amp;$L1801&amp;"|"&amp;$P1801&amp;"|"&amp;TEXT($H1801,"yyyy-mm-dd"))</f>
        <v/>
      </c>
      <c r="T1801" s="1" t="str">
        <f aca="false">IF($S1801="","",IF(COUNTIF($S$2:$S$2991,$S1801)&gt;1,"DUPLICATE","OK"))</f>
        <v/>
      </c>
      <c r="U1801" s="0" t="str">
        <f aca="false">IF($L1801="","",IFERROR(VLOOKUP(--$L1801,MM_Income!$Z$5:$AC$204,3,FALSE()),"UNMAPPED"))</f>
        <v/>
      </c>
    </row>
    <row r="1802" customFormat="false" ht="13.5" hidden="false" customHeight="false" outlineLevel="0" collapsed="false">
      <c r="A1802" s="1" t="str">
        <f aca="false">IF($C1802="","",Controls!$B$7)</f>
        <v/>
      </c>
      <c r="B1802" s="1" t="str">
        <f aca="false">IF($H1802="","",YEAR($H1802)&amp;"-Q"&amp;ROUNDUP(MONTH($H1802)/3,0))</f>
        <v/>
      </c>
      <c r="S1802" s="1" t="str">
        <f aca="false">IF($C1802="","",$C1802&amp;"|"&amp;$E1802&amp;"|"&amp;$F1802&amp;"|"&amp;$L1802&amp;"|"&amp;$P1802&amp;"|"&amp;TEXT($H1802,"yyyy-mm-dd"))</f>
        <v/>
      </c>
      <c r="T1802" s="1" t="str">
        <f aca="false">IF($S1802="","",IF(COUNTIF($S$2:$S$2991,$S1802)&gt;1,"DUPLICATE","OK"))</f>
        <v/>
      </c>
      <c r="U1802" s="0" t="str">
        <f aca="false">IF($L1802="","",IFERROR(VLOOKUP(--$L1802,MM_Income!$Z$5:$AC$204,3,FALSE()),"UNMAPPED"))</f>
        <v/>
      </c>
    </row>
    <row r="1803" customFormat="false" ht="13.5" hidden="false" customHeight="false" outlineLevel="0" collapsed="false">
      <c r="A1803" s="1" t="str">
        <f aca="false">IF($C1803="","",Controls!$B$7)</f>
        <v/>
      </c>
      <c r="B1803" s="1" t="str">
        <f aca="false">IF($H1803="","",YEAR($H1803)&amp;"-Q"&amp;ROUNDUP(MONTH($H1803)/3,0))</f>
        <v/>
      </c>
      <c r="S1803" s="1" t="str">
        <f aca="false">IF($C1803="","",$C1803&amp;"|"&amp;$E1803&amp;"|"&amp;$F1803&amp;"|"&amp;$L1803&amp;"|"&amp;$P1803&amp;"|"&amp;TEXT($H1803,"yyyy-mm-dd"))</f>
        <v/>
      </c>
      <c r="T1803" s="1" t="str">
        <f aca="false">IF($S1803="","",IF(COUNTIF($S$2:$S$2991,$S1803)&gt;1,"DUPLICATE","OK"))</f>
        <v/>
      </c>
      <c r="U1803" s="0" t="str">
        <f aca="false">IF($L1803="","",IFERROR(VLOOKUP(--$L1803,MM_Income!$Z$5:$AC$204,3,FALSE()),"UNMAPPED"))</f>
        <v/>
      </c>
    </row>
    <row r="1804" customFormat="false" ht="13.5" hidden="false" customHeight="false" outlineLevel="0" collapsed="false">
      <c r="A1804" s="1" t="str">
        <f aca="false">IF($C1804="","",Controls!$B$7)</f>
        <v/>
      </c>
      <c r="B1804" s="1" t="str">
        <f aca="false">IF($H1804="","",YEAR($H1804)&amp;"-Q"&amp;ROUNDUP(MONTH($H1804)/3,0))</f>
        <v/>
      </c>
      <c r="S1804" s="1" t="str">
        <f aca="false">IF($C1804="","",$C1804&amp;"|"&amp;$E1804&amp;"|"&amp;$F1804&amp;"|"&amp;$L1804&amp;"|"&amp;$P1804&amp;"|"&amp;TEXT($H1804,"yyyy-mm-dd"))</f>
        <v/>
      </c>
      <c r="T1804" s="1" t="str">
        <f aca="false">IF($S1804="","",IF(COUNTIF($S$2:$S$2991,$S1804)&gt;1,"DUPLICATE","OK"))</f>
        <v/>
      </c>
      <c r="U1804" s="0" t="str">
        <f aca="false">IF($L1804="","",IFERROR(VLOOKUP(--$L1804,MM_Income!$Z$5:$AC$204,3,FALSE()),"UNMAPPED"))</f>
        <v/>
      </c>
    </row>
    <row r="1805" customFormat="false" ht="13.5" hidden="false" customHeight="false" outlineLevel="0" collapsed="false">
      <c r="A1805" s="1" t="str">
        <f aca="false">IF($C1805="","",Controls!$B$7)</f>
        <v/>
      </c>
      <c r="B1805" s="1" t="str">
        <f aca="false">IF($H1805="","",YEAR($H1805)&amp;"-Q"&amp;ROUNDUP(MONTH($H1805)/3,0))</f>
        <v/>
      </c>
      <c r="S1805" s="1" t="str">
        <f aca="false">IF($C1805="","",$C1805&amp;"|"&amp;$E1805&amp;"|"&amp;$F1805&amp;"|"&amp;$L1805&amp;"|"&amp;$P1805&amp;"|"&amp;TEXT($H1805,"yyyy-mm-dd"))</f>
        <v/>
      </c>
      <c r="T1805" s="1" t="str">
        <f aca="false">IF($S1805="","",IF(COUNTIF($S$2:$S$2991,$S1805)&gt;1,"DUPLICATE","OK"))</f>
        <v/>
      </c>
      <c r="U1805" s="0" t="str">
        <f aca="false">IF($L1805="","",IFERROR(VLOOKUP(--$L1805,MM_Income!$Z$5:$AC$204,3,FALSE()),"UNMAPPED"))</f>
        <v/>
      </c>
    </row>
    <row r="1806" customFormat="false" ht="13.5" hidden="false" customHeight="false" outlineLevel="0" collapsed="false">
      <c r="A1806" s="1" t="str">
        <f aca="false">IF($C1806="","",Controls!$B$7)</f>
        <v/>
      </c>
      <c r="B1806" s="1" t="str">
        <f aca="false">IF($H1806="","",YEAR($H1806)&amp;"-Q"&amp;ROUNDUP(MONTH($H1806)/3,0))</f>
        <v/>
      </c>
      <c r="S1806" s="1" t="str">
        <f aca="false">IF($C1806="","",$C1806&amp;"|"&amp;$E1806&amp;"|"&amp;$F1806&amp;"|"&amp;$L1806&amp;"|"&amp;$P1806&amp;"|"&amp;TEXT($H1806,"yyyy-mm-dd"))</f>
        <v/>
      </c>
      <c r="T1806" s="1" t="str">
        <f aca="false">IF($S1806="","",IF(COUNTIF($S$2:$S$2991,$S1806)&gt;1,"DUPLICATE","OK"))</f>
        <v/>
      </c>
      <c r="U1806" s="0" t="str">
        <f aca="false">IF($L1806="","",IFERROR(VLOOKUP(--$L1806,MM_Income!$Z$5:$AC$204,3,FALSE()),"UNMAPPED"))</f>
        <v/>
      </c>
    </row>
    <row r="1807" customFormat="false" ht="13.5" hidden="false" customHeight="false" outlineLevel="0" collapsed="false">
      <c r="A1807" s="1" t="str">
        <f aca="false">IF($C1807="","",Controls!$B$7)</f>
        <v/>
      </c>
      <c r="B1807" s="1" t="str">
        <f aca="false">IF($H1807="","",YEAR($H1807)&amp;"-Q"&amp;ROUNDUP(MONTH($H1807)/3,0))</f>
        <v/>
      </c>
      <c r="S1807" s="1" t="str">
        <f aca="false">IF($C1807="","",$C1807&amp;"|"&amp;$E1807&amp;"|"&amp;$F1807&amp;"|"&amp;$L1807&amp;"|"&amp;$P1807&amp;"|"&amp;TEXT($H1807,"yyyy-mm-dd"))</f>
        <v/>
      </c>
      <c r="T1807" s="1" t="str">
        <f aca="false">IF($S1807="","",IF(COUNTIF($S$2:$S$2991,$S1807)&gt;1,"DUPLICATE","OK"))</f>
        <v/>
      </c>
      <c r="U1807" s="0" t="str">
        <f aca="false">IF($L1807="","",IFERROR(VLOOKUP(--$L1807,MM_Income!$Z$5:$AC$204,3,FALSE()),"UNMAPPED"))</f>
        <v/>
      </c>
    </row>
    <row r="1808" customFormat="false" ht="13.5" hidden="false" customHeight="false" outlineLevel="0" collapsed="false">
      <c r="A1808" s="1" t="str">
        <f aca="false">IF($C1808="","",Controls!$B$7)</f>
        <v/>
      </c>
      <c r="B1808" s="1" t="str">
        <f aca="false">IF($H1808="","",YEAR($H1808)&amp;"-Q"&amp;ROUNDUP(MONTH($H1808)/3,0))</f>
        <v/>
      </c>
      <c r="S1808" s="1" t="str">
        <f aca="false">IF($C1808="","",$C1808&amp;"|"&amp;$E1808&amp;"|"&amp;$F1808&amp;"|"&amp;$L1808&amp;"|"&amp;$P1808&amp;"|"&amp;TEXT($H1808,"yyyy-mm-dd"))</f>
        <v/>
      </c>
      <c r="T1808" s="1" t="str">
        <f aca="false">IF($S1808="","",IF(COUNTIF($S$2:$S$2991,$S1808)&gt;1,"DUPLICATE","OK"))</f>
        <v/>
      </c>
      <c r="U1808" s="0" t="str">
        <f aca="false">IF($L1808="","",IFERROR(VLOOKUP(--$L1808,MM_Income!$Z$5:$AC$204,3,FALSE()),"UNMAPPED"))</f>
        <v/>
      </c>
    </row>
    <row r="1809" customFormat="false" ht="13.5" hidden="false" customHeight="false" outlineLevel="0" collapsed="false">
      <c r="A1809" s="1" t="str">
        <f aca="false">IF($C1809="","",Controls!$B$7)</f>
        <v/>
      </c>
      <c r="B1809" s="1" t="str">
        <f aca="false">IF($H1809="","",YEAR($H1809)&amp;"-Q"&amp;ROUNDUP(MONTH($H1809)/3,0))</f>
        <v/>
      </c>
      <c r="S1809" s="1" t="str">
        <f aca="false">IF($C1809="","",$C1809&amp;"|"&amp;$E1809&amp;"|"&amp;$F1809&amp;"|"&amp;$L1809&amp;"|"&amp;$P1809&amp;"|"&amp;TEXT($H1809,"yyyy-mm-dd"))</f>
        <v/>
      </c>
      <c r="T1809" s="1" t="str">
        <f aca="false">IF($S1809="","",IF(COUNTIF($S$2:$S$2991,$S1809)&gt;1,"DUPLICATE","OK"))</f>
        <v/>
      </c>
      <c r="U1809" s="0" t="str">
        <f aca="false">IF($L1809="","",IFERROR(VLOOKUP(--$L1809,MM_Income!$Z$5:$AC$204,3,FALSE()),"UNMAPPED"))</f>
        <v/>
      </c>
    </row>
    <row r="1810" customFormat="false" ht="13.5" hidden="false" customHeight="false" outlineLevel="0" collapsed="false">
      <c r="A1810" s="1" t="str">
        <f aca="false">IF($C1810="","",Controls!$B$7)</f>
        <v/>
      </c>
      <c r="B1810" s="1" t="str">
        <f aca="false">IF($H1810="","",YEAR($H1810)&amp;"-Q"&amp;ROUNDUP(MONTH($H1810)/3,0))</f>
        <v/>
      </c>
      <c r="S1810" s="1" t="str">
        <f aca="false">IF($C1810="","",$C1810&amp;"|"&amp;$E1810&amp;"|"&amp;$F1810&amp;"|"&amp;$L1810&amp;"|"&amp;$P1810&amp;"|"&amp;TEXT($H1810,"yyyy-mm-dd"))</f>
        <v/>
      </c>
      <c r="T1810" s="1" t="str">
        <f aca="false">IF($S1810="","",IF(COUNTIF($S$2:$S$2991,$S1810)&gt;1,"DUPLICATE","OK"))</f>
        <v/>
      </c>
      <c r="U1810" s="0" t="str">
        <f aca="false">IF($L1810="","",IFERROR(VLOOKUP(--$L1810,MM_Income!$Z$5:$AC$204,3,FALSE()),"UNMAPPED"))</f>
        <v/>
      </c>
    </row>
    <row r="1811" customFormat="false" ht="13.5" hidden="false" customHeight="false" outlineLevel="0" collapsed="false">
      <c r="A1811" s="1" t="str">
        <f aca="false">IF($C1811="","",Controls!$B$7)</f>
        <v/>
      </c>
      <c r="B1811" s="1" t="str">
        <f aca="false">IF($H1811="","",YEAR($H1811)&amp;"-Q"&amp;ROUNDUP(MONTH($H1811)/3,0))</f>
        <v/>
      </c>
      <c r="S1811" s="1" t="str">
        <f aca="false">IF($C1811="","",$C1811&amp;"|"&amp;$E1811&amp;"|"&amp;$F1811&amp;"|"&amp;$L1811&amp;"|"&amp;$P1811&amp;"|"&amp;TEXT($H1811,"yyyy-mm-dd"))</f>
        <v/>
      </c>
      <c r="T1811" s="1" t="str">
        <f aca="false">IF($S1811="","",IF(COUNTIF($S$2:$S$2991,$S1811)&gt;1,"DUPLICATE","OK"))</f>
        <v/>
      </c>
      <c r="U1811" s="0" t="str">
        <f aca="false">IF($L1811="","",IFERROR(VLOOKUP(--$L1811,MM_Income!$Z$5:$AC$204,3,FALSE()),"UNMAPPED"))</f>
        <v/>
      </c>
    </row>
    <row r="1812" customFormat="false" ht="13.5" hidden="false" customHeight="false" outlineLevel="0" collapsed="false">
      <c r="A1812" s="1" t="str">
        <f aca="false">IF($C1812="","",Controls!$B$7)</f>
        <v/>
      </c>
      <c r="B1812" s="1" t="str">
        <f aca="false">IF($H1812="","",YEAR($H1812)&amp;"-Q"&amp;ROUNDUP(MONTH($H1812)/3,0))</f>
        <v/>
      </c>
      <c r="S1812" s="1" t="str">
        <f aca="false">IF($C1812="","",$C1812&amp;"|"&amp;$E1812&amp;"|"&amp;$F1812&amp;"|"&amp;$L1812&amp;"|"&amp;$P1812&amp;"|"&amp;TEXT($H1812,"yyyy-mm-dd"))</f>
        <v/>
      </c>
      <c r="T1812" s="1" t="str">
        <f aca="false">IF($S1812="","",IF(COUNTIF($S$2:$S$2991,$S1812)&gt;1,"DUPLICATE","OK"))</f>
        <v/>
      </c>
      <c r="U1812" s="0" t="str">
        <f aca="false">IF($L1812="","",IFERROR(VLOOKUP(--$L1812,MM_Income!$Z$5:$AC$204,3,FALSE()),"UNMAPPED"))</f>
        <v/>
      </c>
    </row>
    <row r="1813" customFormat="false" ht="13.5" hidden="false" customHeight="false" outlineLevel="0" collapsed="false">
      <c r="A1813" s="1" t="str">
        <f aca="false">IF($C1813="","",Controls!$B$7)</f>
        <v/>
      </c>
      <c r="B1813" s="1" t="str">
        <f aca="false">IF($H1813="","",YEAR($H1813)&amp;"-Q"&amp;ROUNDUP(MONTH($H1813)/3,0))</f>
        <v/>
      </c>
      <c r="S1813" s="1" t="str">
        <f aca="false">IF($C1813="","",$C1813&amp;"|"&amp;$E1813&amp;"|"&amp;$F1813&amp;"|"&amp;$L1813&amp;"|"&amp;$P1813&amp;"|"&amp;TEXT($H1813,"yyyy-mm-dd"))</f>
        <v/>
      </c>
      <c r="T1813" s="1" t="str">
        <f aca="false">IF($S1813="","",IF(COUNTIF($S$2:$S$2991,$S1813)&gt;1,"DUPLICATE","OK"))</f>
        <v/>
      </c>
      <c r="U1813" s="0" t="str">
        <f aca="false">IF($L1813="","",IFERROR(VLOOKUP(--$L1813,MM_Income!$Z$5:$AC$204,3,FALSE()),"UNMAPPED"))</f>
        <v/>
      </c>
    </row>
    <row r="1814" customFormat="false" ht="13.5" hidden="false" customHeight="false" outlineLevel="0" collapsed="false">
      <c r="A1814" s="1" t="str">
        <f aca="false">IF($C1814="","",Controls!$B$7)</f>
        <v/>
      </c>
      <c r="B1814" s="1" t="str">
        <f aca="false">IF($H1814="","",YEAR($H1814)&amp;"-Q"&amp;ROUNDUP(MONTH($H1814)/3,0))</f>
        <v/>
      </c>
      <c r="S1814" s="1" t="str">
        <f aca="false">IF($C1814="","",$C1814&amp;"|"&amp;$E1814&amp;"|"&amp;$F1814&amp;"|"&amp;$L1814&amp;"|"&amp;$P1814&amp;"|"&amp;TEXT($H1814,"yyyy-mm-dd"))</f>
        <v/>
      </c>
      <c r="T1814" s="1" t="str">
        <f aca="false">IF($S1814="","",IF(COUNTIF($S$2:$S$2991,$S1814)&gt;1,"DUPLICATE","OK"))</f>
        <v/>
      </c>
      <c r="U1814" s="0" t="str">
        <f aca="false">IF($L1814="","",IFERROR(VLOOKUP(--$L1814,MM_Income!$Z$5:$AC$204,3,FALSE()),"UNMAPPED"))</f>
        <v/>
      </c>
    </row>
    <row r="1815" customFormat="false" ht="13.5" hidden="false" customHeight="false" outlineLevel="0" collapsed="false">
      <c r="A1815" s="1" t="str">
        <f aca="false">IF($C1815="","",Controls!$B$7)</f>
        <v/>
      </c>
      <c r="B1815" s="1" t="str">
        <f aca="false">IF($H1815="","",YEAR($H1815)&amp;"-Q"&amp;ROUNDUP(MONTH($H1815)/3,0))</f>
        <v/>
      </c>
      <c r="S1815" s="1" t="str">
        <f aca="false">IF($C1815="","",$C1815&amp;"|"&amp;$E1815&amp;"|"&amp;$F1815&amp;"|"&amp;$L1815&amp;"|"&amp;$P1815&amp;"|"&amp;TEXT($H1815,"yyyy-mm-dd"))</f>
        <v/>
      </c>
      <c r="T1815" s="1" t="str">
        <f aca="false">IF($S1815="","",IF(COUNTIF($S$2:$S$2991,$S1815)&gt;1,"DUPLICATE","OK"))</f>
        <v/>
      </c>
      <c r="U1815" s="0" t="str">
        <f aca="false">IF($L1815="","",IFERROR(VLOOKUP(--$L1815,MM_Income!$Z$5:$AC$204,3,FALSE()),"UNMAPPED"))</f>
        <v/>
      </c>
    </row>
    <row r="1816" customFormat="false" ht="13.5" hidden="false" customHeight="false" outlineLevel="0" collapsed="false">
      <c r="A1816" s="1" t="str">
        <f aca="false">IF($C1816="","",Controls!$B$7)</f>
        <v/>
      </c>
      <c r="B1816" s="1" t="str">
        <f aca="false">IF($H1816="","",YEAR($H1816)&amp;"-Q"&amp;ROUNDUP(MONTH($H1816)/3,0))</f>
        <v/>
      </c>
      <c r="S1816" s="1" t="str">
        <f aca="false">IF($C1816="","",$C1816&amp;"|"&amp;$E1816&amp;"|"&amp;$F1816&amp;"|"&amp;$L1816&amp;"|"&amp;$P1816&amp;"|"&amp;TEXT($H1816,"yyyy-mm-dd"))</f>
        <v/>
      </c>
      <c r="T1816" s="1" t="str">
        <f aca="false">IF($S1816="","",IF(COUNTIF($S$2:$S$2991,$S1816)&gt;1,"DUPLICATE","OK"))</f>
        <v/>
      </c>
      <c r="U1816" s="0" t="str">
        <f aca="false">IF($L1816="","",IFERROR(VLOOKUP(--$L1816,MM_Income!$Z$5:$AC$204,3,FALSE()),"UNMAPPED"))</f>
        <v/>
      </c>
    </row>
    <row r="1817" customFormat="false" ht="13.5" hidden="false" customHeight="false" outlineLevel="0" collapsed="false">
      <c r="A1817" s="1" t="str">
        <f aca="false">IF($C1817="","",Controls!$B$7)</f>
        <v/>
      </c>
      <c r="B1817" s="1" t="str">
        <f aca="false">IF($H1817="","",YEAR($H1817)&amp;"-Q"&amp;ROUNDUP(MONTH($H1817)/3,0))</f>
        <v/>
      </c>
      <c r="S1817" s="1" t="str">
        <f aca="false">IF($C1817="","",$C1817&amp;"|"&amp;$E1817&amp;"|"&amp;$F1817&amp;"|"&amp;$L1817&amp;"|"&amp;$P1817&amp;"|"&amp;TEXT($H1817,"yyyy-mm-dd"))</f>
        <v/>
      </c>
      <c r="T1817" s="1" t="str">
        <f aca="false">IF($S1817="","",IF(COUNTIF($S$2:$S$2991,$S1817)&gt;1,"DUPLICATE","OK"))</f>
        <v/>
      </c>
      <c r="U1817" s="0" t="str">
        <f aca="false">IF($L1817="","",IFERROR(VLOOKUP(--$L1817,MM_Income!$Z$5:$AC$204,3,FALSE()),"UNMAPPED"))</f>
        <v/>
      </c>
    </row>
    <row r="1818" customFormat="false" ht="13.5" hidden="false" customHeight="false" outlineLevel="0" collapsed="false">
      <c r="A1818" s="1" t="str">
        <f aca="false">IF($C1818="","",Controls!$B$7)</f>
        <v/>
      </c>
      <c r="B1818" s="1" t="str">
        <f aca="false">IF($H1818="","",YEAR($H1818)&amp;"-Q"&amp;ROUNDUP(MONTH($H1818)/3,0))</f>
        <v/>
      </c>
      <c r="S1818" s="1" t="str">
        <f aca="false">IF($C1818="","",$C1818&amp;"|"&amp;$E1818&amp;"|"&amp;$F1818&amp;"|"&amp;$L1818&amp;"|"&amp;$P1818&amp;"|"&amp;TEXT($H1818,"yyyy-mm-dd"))</f>
        <v/>
      </c>
      <c r="T1818" s="1" t="str">
        <f aca="false">IF($S1818="","",IF(COUNTIF($S$2:$S$2991,$S1818)&gt;1,"DUPLICATE","OK"))</f>
        <v/>
      </c>
      <c r="U1818" s="0" t="str">
        <f aca="false">IF($L1818="","",IFERROR(VLOOKUP(--$L1818,MM_Income!$Z$5:$AC$204,3,FALSE()),"UNMAPPED"))</f>
        <v/>
      </c>
    </row>
    <row r="1819" customFormat="false" ht="13.5" hidden="false" customHeight="false" outlineLevel="0" collapsed="false">
      <c r="A1819" s="1" t="str">
        <f aca="false">IF($C1819="","",Controls!$B$7)</f>
        <v/>
      </c>
      <c r="B1819" s="1" t="str">
        <f aca="false">IF($H1819="","",YEAR($H1819)&amp;"-Q"&amp;ROUNDUP(MONTH($H1819)/3,0))</f>
        <v/>
      </c>
      <c r="S1819" s="1" t="str">
        <f aca="false">IF($C1819="","",$C1819&amp;"|"&amp;$E1819&amp;"|"&amp;$F1819&amp;"|"&amp;$L1819&amp;"|"&amp;$P1819&amp;"|"&amp;TEXT($H1819,"yyyy-mm-dd"))</f>
        <v/>
      </c>
      <c r="T1819" s="1" t="str">
        <f aca="false">IF($S1819="","",IF(COUNTIF($S$2:$S$2991,$S1819)&gt;1,"DUPLICATE","OK"))</f>
        <v/>
      </c>
      <c r="U1819" s="0" t="str">
        <f aca="false">IF($L1819="","",IFERROR(VLOOKUP(--$L1819,MM_Income!$Z$5:$AC$204,3,FALSE()),"UNMAPPED"))</f>
        <v/>
      </c>
    </row>
    <row r="1820" customFormat="false" ht="13.5" hidden="false" customHeight="false" outlineLevel="0" collapsed="false">
      <c r="A1820" s="1" t="str">
        <f aca="false">IF($C1820="","",Controls!$B$7)</f>
        <v/>
      </c>
      <c r="B1820" s="1" t="str">
        <f aca="false">IF($H1820="","",YEAR($H1820)&amp;"-Q"&amp;ROUNDUP(MONTH($H1820)/3,0))</f>
        <v/>
      </c>
      <c r="S1820" s="1" t="str">
        <f aca="false">IF($C1820="","",$C1820&amp;"|"&amp;$E1820&amp;"|"&amp;$F1820&amp;"|"&amp;$L1820&amp;"|"&amp;$P1820&amp;"|"&amp;TEXT($H1820,"yyyy-mm-dd"))</f>
        <v/>
      </c>
      <c r="T1820" s="1" t="str">
        <f aca="false">IF($S1820="","",IF(COUNTIF($S$2:$S$2991,$S1820)&gt;1,"DUPLICATE","OK"))</f>
        <v/>
      </c>
      <c r="U1820" s="0" t="str">
        <f aca="false">IF($L1820="","",IFERROR(VLOOKUP(--$L1820,MM_Income!$Z$5:$AC$204,3,FALSE()),"UNMAPPED"))</f>
        <v/>
      </c>
    </row>
    <row r="1821" customFormat="false" ht="13.5" hidden="false" customHeight="false" outlineLevel="0" collapsed="false">
      <c r="A1821" s="1" t="str">
        <f aca="false">IF($C1821="","",Controls!$B$7)</f>
        <v/>
      </c>
      <c r="B1821" s="1" t="str">
        <f aca="false">IF($H1821="","",YEAR($H1821)&amp;"-Q"&amp;ROUNDUP(MONTH($H1821)/3,0))</f>
        <v/>
      </c>
      <c r="S1821" s="1" t="str">
        <f aca="false">IF($C1821="","",$C1821&amp;"|"&amp;$E1821&amp;"|"&amp;$F1821&amp;"|"&amp;$L1821&amp;"|"&amp;$P1821&amp;"|"&amp;TEXT($H1821,"yyyy-mm-dd"))</f>
        <v/>
      </c>
      <c r="T1821" s="1" t="str">
        <f aca="false">IF($S1821="","",IF(COUNTIF($S$2:$S$2991,$S1821)&gt;1,"DUPLICATE","OK"))</f>
        <v/>
      </c>
      <c r="U1821" s="0" t="str">
        <f aca="false">IF($L1821="","",IFERROR(VLOOKUP(--$L1821,MM_Income!$Z$5:$AC$204,3,FALSE()),"UNMAPPED"))</f>
        <v/>
      </c>
    </row>
    <row r="1822" customFormat="false" ht="13.5" hidden="false" customHeight="false" outlineLevel="0" collapsed="false">
      <c r="A1822" s="1" t="str">
        <f aca="false">IF($C1822="","",Controls!$B$7)</f>
        <v/>
      </c>
      <c r="B1822" s="1" t="str">
        <f aca="false">IF($H1822="","",YEAR($H1822)&amp;"-Q"&amp;ROUNDUP(MONTH($H1822)/3,0))</f>
        <v/>
      </c>
      <c r="S1822" s="1" t="str">
        <f aca="false">IF($C1822="","",$C1822&amp;"|"&amp;$E1822&amp;"|"&amp;$F1822&amp;"|"&amp;$L1822&amp;"|"&amp;$P1822&amp;"|"&amp;TEXT($H1822,"yyyy-mm-dd"))</f>
        <v/>
      </c>
      <c r="T1822" s="1" t="str">
        <f aca="false">IF($S1822="","",IF(COUNTIF($S$2:$S$2991,$S1822)&gt;1,"DUPLICATE","OK"))</f>
        <v/>
      </c>
      <c r="U1822" s="0" t="str">
        <f aca="false">IF($L1822="","",IFERROR(VLOOKUP(--$L1822,MM_Income!$Z$5:$AC$204,3,FALSE()),"UNMAPPED"))</f>
        <v/>
      </c>
    </row>
    <row r="1823" customFormat="false" ht="13.5" hidden="false" customHeight="false" outlineLevel="0" collapsed="false">
      <c r="A1823" s="1" t="str">
        <f aca="false">IF($C1823="","",Controls!$B$7)</f>
        <v/>
      </c>
      <c r="B1823" s="1" t="str">
        <f aca="false">IF($H1823="","",YEAR($H1823)&amp;"-Q"&amp;ROUNDUP(MONTH($H1823)/3,0))</f>
        <v/>
      </c>
      <c r="S1823" s="1" t="str">
        <f aca="false">IF($C1823="","",$C1823&amp;"|"&amp;$E1823&amp;"|"&amp;$F1823&amp;"|"&amp;$L1823&amp;"|"&amp;$P1823&amp;"|"&amp;TEXT($H1823,"yyyy-mm-dd"))</f>
        <v/>
      </c>
      <c r="T1823" s="1" t="str">
        <f aca="false">IF($S1823="","",IF(COUNTIF($S$2:$S$2991,$S1823)&gt;1,"DUPLICATE","OK"))</f>
        <v/>
      </c>
      <c r="U1823" s="0" t="str">
        <f aca="false">IF($L1823="","",IFERROR(VLOOKUP(--$L1823,MM_Income!$Z$5:$AC$204,3,FALSE()),"UNMAPPED"))</f>
        <v/>
      </c>
    </row>
    <row r="1824" customFormat="false" ht="13.5" hidden="false" customHeight="false" outlineLevel="0" collapsed="false">
      <c r="A1824" s="1" t="str">
        <f aca="false">IF($C1824="","",Controls!$B$7)</f>
        <v/>
      </c>
      <c r="B1824" s="1" t="str">
        <f aca="false">IF($H1824="","",YEAR($H1824)&amp;"-Q"&amp;ROUNDUP(MONTH($H1824)/3,0))</f>
        <v/>
      </c>
      <c r="S1824" s="1" t="str">
        <f aca="false">IF($C1824="","",$C1824&amp;"|"&amp;$E1824&amp;"|"&amp;$F1824&amp;"|"&amp;$L1824&amp;"|"&amp;$P1824&amp;"|"&amp;TEXT($H1824,"yyyy-mm-dd"))</f>
        <v/>
      </c>
      <c r="T1824" s="1" t="str">
        <f aca="false">IF($S1824="","",IF(COUNTIF($S$2:$S$2991,$S1824)&gt;1,"DUPLICATE","OK"))</f>
        <v/>
      </c>
      <c r="U1824" s="0" t="str">
        <f aca="false">IF($L1824="","",IFERROR(VLOOKUP(--$L1824,MM_Income!$Z$5:$AC$204,3,FALSE()),"UNMAPPED"))</f>
        <v/>
      </c>
    </row>
    <row r="1825" customFormat="false" ht="13.5" hidden="false" customHeight="false" outlineLevel="0" collapsed="false">
      <c r="A1825" s="1" t="str">
        <f aca="false">IF($C1825="","",Controls!$B$7)</f>
        <v/>
      </c>
      <c r="B1825" s="1" t="str">
        <f aca="false">IF($H1825="","",YEAR($H1825)&amp;"-Q"&amp;ROUNDUP(MONTH($H1825)/3,0))</f>
        <v/>
      </c>
      <c r="S1825" s="1" t="str">
        <f aca="false">IF($C1825="","",$C1825&amp;"|"&amp;$E1825&amp;"|"&amp;$F1825&amp;"|"&amp;$L1825&amp;"|"&amp;$P1825&amp;"|"&amp;TEXT($H1825,"yyyy-mm-dd"))</f>
        <v/>
      </c>
      <c r="T1825" s="1" t="str">
        <f aca="false">IF($S1825="","",IF(COUNTIF($S$2:$S$2991,$S1825)&gt;1,"DUPLICATE","OK"))</f>
        <v/>
      </c>
      <c r="U1825" s="0" t="str">
        <f aca="false">IF($L1825="","",IFERROR(VLOOKUP(--$L1825,MM_Income!$Z$5:$AC$204,3,FALSE()),"UNMAPPED"))</f>
        <v/>
      </c>
    </row>
    <row r="1826" customFormat="false" ht="13.5" hidden="false" customHeight="false" outlineLevel="0" collapsed="false">
      <c r="A1826" s="1" t="str">
        <f aca="false">IF($C1826="","",Controls!$B$7)</f>
        <v/>
      </c>
      <c r="B1826" s="1" t="str">
        <f aca="false">IF($H1826="","",YEAR($H1826)&amp;"-Q"&amp;ROUNDUP(MONTH($H1826)/3,0))</f>
        <v/>
      </c>
      <c r="S1826" s="1" t="str">
        <f aca="false">IF($C1826="","",$C1826&amp;"|"&amp;$E1826&amp;"|"&amp;$F1826&amp;"|"&amp;$L1826&amp;"|"&amp;$P1826&amp;"|"&amp;TEXT($H1826,"yyyy-mm-dd"))</f>
        <v/>
      </c>
      <c r="T1826" s="1" t="str">
        <f aca="false">IF($S1826="","",IF(COUNTIF($S$2:$S$2991,$S1826)&gt;1,"DUPLICATE","OK"))</f>
        <v/>
      </c>
      <c r="U1826" s="0" t="str">
        <f aca="false">IF($L1826="","",IFERROR(VLOOKUP(--$L1826,MM_Income!$Z$5:$AC$204,3,FALSE()),"UNMAPPED"))</f>
        <v/>
      </c>
    </row>
    <row r="1827" customFormat="false" ht="13.5" hidden="false" customHeight="false" outlineLevel="0" collapsed="false">
      <c r="A1827" s="1" t="str">
        <f aca="false">IF($C1827="","",Controls!$B$7)</f>
        <v/>
      </c>
      <c r="B1827" s="1" t="str">
        <f aca="false">IF($H1827="","",YEAR($H1827)&amp;"-Q"&amp;ROUNDUP(MONTH($H1827)/3,0))</f>
        <v/>
      </c>
      <c r="S1827" s="1" t="str">
        <f aca="false">IF($C1827="","",$C1827&amp;"|"&amp;$E1827&amp;"|"&amp;$F1827&amp;"|"&amp;$L1827&amp;"|"&amp;$P1827&amp;"|"&amp;TEXT($H1827,"yyyy-mm-dd"))</f>
        <v/>
      </c>
      <c r="T1827" s="1" t="str">
        <f aca="false">IF($S1827="","",IF(COUNTIF($S$2:$S$2991,$S1827)&gt;1,"DUPLICATE","OK"))</f>
        <v/>
      </c>
      <c r="U1827" s="0" t="str">
        <f aca="false">IF($L1827="","",IFERROR(VLOOKUP(--$L1827,MM_Income!$Z$5:$AC$204,3,FALSE()),"UNMAPPED"))</f>
        <v/>
      </c>
    </row>
    <row r="1828" customFormat="false" ht="13.5" hidden="false" customHeight="false" outlineLevel="0" collapsed="false">
      <c r="A1828" s="1" t="str">
        <f aca="false">IF($C1828="","",Controls!$B$7)</f>
        <v/>
      </c>
      <c r="B1828" s="1" t="str">
        <f aca="false">IF($H1828="","",YEAR($H1828)&amp;"-Q"&amp;ROUNDUP(MONTH($H1828)/3,0))</f>
        <v/>
      </c>
      <c r="S1828" s="1" t="str">
        <f aca="false">IF($C1828="","",$C1828&amp;"|"&amp;$E1828&amp;"|"&amp;$F1828&amp;"|"&amp;$L1828&amp;"|"&amp;$P1828&amp;"|"&amp;TEXT($H1828,"yyyy-mm-dd"))</f>
        <v/>
      </c>
      <c r="T1828" s="1" t="str">
        <f aca="false">IF($S1828="","",IF(COUNTIF($S$2:$S$2991,$S1828)&gt;1,"DUPLICATE","OK"))</f>
        <v/>
      </c>
      <c r="U1828" s="0" t="str">
        <f aca="false">IF($L1828="","",IFERROR(VLOOKUP(--$L1828,MM_Income!$Z$5:$AC$204,3,FALSE()),"UNMAPPED"))</f>
        <v/>
      </c>
    </row>
    <row r="1829" customFormat="false" ht="13.5" hidden="false" customHeight="false" outlineLevel="0" collapsed="false">
      <c r="A1829" s="1" t="str">
        <f aca="false">IF($C1829="","",Controls!$B$7)</f>
        <v/>
      </c>
      <c r="B1829" s="1" t="str">
        <f aca="false">IF($H1829="","",YEAR($H1829)&amp;"-Q"&amp;ROUNDUP(MONTH($H1829)/3,0))</f>
        <v/>
      </c>
      <c r="S1829" s="1" t="str">
        <f aca="false">IF($C1829="","",$C1829&amp;"|"&amp;$E1829&amp;"|"&amp;$F1829&amp;"|"&amp;$L1829&amp;"|"&amp;$P1829&amp;"|"&amp;TEXT($H1829,"yyyy-mm-dd"))</f>
        <v/>
      </c>
      <c r="T1829" s="1" t="str">
        <f aca="false">IF($S1829="","",IF(COUNTIF($S$2:$S$2991,$S1829)&gt;1,"DUPLICATE","OK"))</f>
        <v/>
      </c>
      <c r="U1829" s="0" t="str">
        <f aca="false">IF($L1829="","",IFERROR(VLOOKUP(--$L1829,MM_Income!$Z$5:$AC$204,3,FALSE()),"UNMAPPED"))</f>
        <v/>
      </c>
    </row>
    <row r="1830" customFormat="false" ht="13.5" hidden="false" customHeight="false" outlineLevel="0" collapsed="false">
      <c r="A1830" s="1" t="str">
        <f aca="false">IF($C1830="","",Controls!$B$7)</f>
        <v/>
      </c>
      <c r="B1830" s="1" t="str">
        <f aca="false">IF($H1830="","",YEAR($H1830)&amp;"-Q"&amp;ROUNDUP(MONTH($H1830)/3,0))</f>
        <v/>
      </c>
      <c r="S1830" s="1" t="str">
        <f aca="false">IF($C1830="","",$C1830&amp;"|"&amp;$E1830&amp;"|"&amp;$F1830&amp;"|"&amp;$L1830&amp;"|"&amp;$P1830&amp;"|"&amp;TEXT($H1830,"yyyy-mm-dd"))</f>
        <v/>
      </c>
      <c r="T1830" s="1" t="str">
        <f aca="false">IF($S1830="","",IF(COUNTIF($S$2:$S$2991,$S1830)&gt;1,"DUPLICATE","OK"))</f>
        <v/>
      </c>
      <c r="U1830" s="0" t="str">
        <f aca="false">IF($L1830="","",IFERROR(VLOOKUP(--$L1830,MM_Income!$Z$5:$AC$204,3,FALSE()),"UNMAPPED"))</f>
        <v/>
      </c>
    </row>
    <row r="1831" customFormat="false" ht="13.5" hidden="false" customHeight="false" outlineLevel="0" collapsed="false">
      <c r="A1831" s="1" t="str">
        <f aca="false">IF($C1831="","",Controls!$B$7)</f>
        <v/>
      </c>
      <c r="B1831" s="1" t="str">
        <f aca="false">IF($H1831="","",YEAR($H1831)&amp;"-Q"&amp;ROUNDUP(MONTH($H1831)/3,0))</f>
        <v/>
      </c>
      <c r="S1831" s="1" t="str">
        <f aca="false">IF($C1831="","",$C1831&amp;"|"&amp;$E1831&amp;"|"&amp;$F1831&amp;"|"&amp;$L1831&amp;"|"&amp;$P1831&amp;"|"&amp;TEXT($H1831,"yyyy-mm-dd"))</f>
        <v/>
      </c>
      <c r="T1831" s="1" t="str">
        <f aca="false">IF($S1831="","",IF(COUNTIF($S$2:$S$2991,$S1831)&gt;1,"DUPLICATE","OK"))</f>
        <v/>
      </c>
      <c r="U1831" s="0" t="str">
        <f aca="false">IF($L1831="","",IFERROR(VLOOKUP(--$L1831,MM_Income!$Z$5:$AC$204,3,FALSE()),"UNMAPPED"))</f>
        <v/>
      </c>
    </row>
    <row r="1832" customFormat="false" ht="13.5" hidden="false" customHeight="false" outlineLevel="0" collapsed="false">
      <c r="A1832" s="1" t="str">
        <f aca="false">IF($C1832="","",Controls!$B$7)</f>
        <v/>
      </c>
      <c r="B1832" s="1" t="str">
        <f aca="false">IF($H1832="","",YEAR($H1832)&amp;"-Q"&amp;ROUNDUP(MONTH($H1832)/3,0))</f>
        <v/>
      </c>
      <c r="S1832" s="1" t="str">
        <f aca="false">IF($C1832="","",$C1832&amp;"|"&amp;$E1832&amp;"|"&amp;$F1832&amp;"|"&amp;$L1832&amp;"|"&amp;$P1832&amp;"|"&amp;TEXT($H1832,"yyyy-mm-dd"))</f>
        <v/>
      </c>
      <c r="T1832" s="1" t="str">
        <f aca="false">IF($S1832="","",IF(COUNTIF($S$2:$S$2991,$S1832)&gt;1,"DUPLICATE","OK"))</f>
        <v/>
      </c>
      <c r="U1832" s="0" t="str">
        <f aca="false">IF($L1832="","",IFERROR(VLOOKUP(--$L1832,MM_Income!$Z$5:$AC$204,3,FALSE()),"UNMAPPED"))</f>
        <v/>
      </c>
    </row>
    <row r="1833" customFormat="false" ht="13.5" hidden="false" customHeight="false" outlineLevel="0" collapsed="false">
      <c r="A1833" s="1" t="str">
        <f aca="false">IF($C1833="","",Controls!$B$7)</f>
        <v/>
      </c>
      <c r="B1833" s="1" t="str">
        <f aca="false">IF($H1833="","",YEAR($H1833)&amp;"-Q"&amp;ROUNDUP(MONTH($H1833)/3,0))</f>
        <v/>
      </c>
      <c r="S1833" s="1" t="str">
        <f aca="false">IF($C1833="","",$C1833&amp;"|"&amp;$E1833&amp;"|"&amp;$F1833&amp;"|"&amp;$L1833&amp;"|"&amp;$P1833&amp;"|"&amp;TEXT($H1833,"yyyy-mm-dd"))</f>
        <v/>
      </c>
      <c r="T1833" s="1" t="str">
        <f aca="false">IF($S1833="","",IF(COUNTIF($S$2:$S$2991,$S1833)&gt;1,"DUPLICATE","OK"))</f>
        <v/>
      </c>
      <c r="U1833" s="0" t="str">
        <f aca="false">IF($L1833="","",IFERROR(VLOOKUP(--$L1833,MM_Income!$Z$5:$AC$204,3,FALSE()),"UNMAPPED"))</f>
        <v/>
      </c>
    </row>
    <row r="1834" customFormat="false" ht="13.5" hidden="false" customHeight="false" outlineLevel="0" collapsed="false">
      <c r="A1834" s="1" t="str">
        <f aca="false">IF($C1834="","",Controls!$B$7)</f>
        <v/>
      </c>
      <c r="B1834" s="1" t="str">
        <f aca="false">IF($H1834="","",YEAR($H1834)&amp;"-Q"&amp;ROUNDUP(MONTH($H1834)/3,0))</f>
        <v/>
      </c>
      <c r="S1834" s="1" t="str">
        <f aca="false">IF($C1834="","",$C1834&amp;"|"&amp;$E1834&amp;"|"&amp;$F1834&amp;"|"&amp;$L1834&amp;"|"&amp;$P1834&amp;"|"&amp;TEXT($H1834,"yyyy-mm-dd"))</f>
        <v/>
      </c>
      <c r="T1834" s="1" t="str">
        <f aca="false">IF($S1834="","",IF(COUNTIF($S$2:$S$2991,$S1834)&gt;1,"DUPLICATE","OK"))</f>
        <v/>
      </c>
      <c r="U1834" s="0" t="str">
        <f aca="false">IF($L1834="","",IFERROR(VLOOKUP(--$L1834,MM_Income!$Z$5:$AC$204,3,FALSE()),"UNMAPPED"))</f>
        <v/>
      </c>
    </row>
    <row r="1835" customFormat="false" ht="13.5" hidden="false" customHeight="false" outlineLevel="0" collapsed="false">
      <c r="A1835" s="1" t="str">
        <f aca="false">IF($C1835="","",Controls!$B$7)</f>
        <v/>
      </c>
      <c r="B1835" s="1" t="str">
        <f aca="false">IF($H1835="","",YEAR($H1835)&amp;"-Q"&amp;ROUNDUP(MONTH($H1835)/3,0))</f>
        <v/>
      </c>
      <c r="S1835" s="1" t="str">
        <f aca="false">IF($C1835="","",$C1835&amp;"|"&amp;$E1835&amp;"|"&amp;$F1835&amp;"|"&amp;$L1835&amp;"|"&amp;$P1835&amp;"|"&amp;TEXT($H1835,"yyyy-mm-dd"))</f>
        <v/>
      </c>
      <c r="T1835" s="1" t="str">
        <f aca="false">IF($S1835="","",IF(COUNTIF($S$2:$S$2991,$S1835)&gt;1,"DUPLICATE","OK"))</f>
        <v/>
      </c>
      <c r="U1835" s="0" t="str">
        <f aca="false">IF($L1835="","",IFERROR(VLOOKUP(--$L1835,MM_Income!$Z$5:$AC$204,3,FALSE()),"UNMAPPED"))</f>
        <v/>
      </c>
    </row>
    <row r="1836" customFormat="false" ht="13.5" hidden="false" customHeight="false" outlineLevel="0" collapsed="false">
      <c r="A1836" s="1" t="str">
        <f aca="false">IF($C1836="","",Controls!$B$7)</f>
        <v/>
      </c>
      <c r="B1836" s="1" t="str">
        <f aca="false">IF($H1836="","",YEAR($H1836)&amp;"-Q"&amp;ROUNDUP(MONTH($H1836)/3,0))</f>
        <v/>
      </c>
      <c r="S1836" s="1" t="str">
        <f aca="false">IF($C1836="","",$C1836&amp;"|"&amp;$E1836&amp;"|"&amp;$F1836&amp;"|"&amp;$L1836&amp;"|"&amp;$P1836&amp;"|"&amp;TEXT($H1836,"yyyy-mm-dd"))</f>
        <v/>
      </c>
      <c r="T1836" s="1" t="str">
        <f aca="false">IF($S1836="","",IF(COUNTIF($S$2:$S$2991,$S1836)&gt;1,"DUPLICATE","OK"))</f>
        <v/>
      </c>
      <c r="U1836" s="0" t="str">
        <f aca="false">IF($L1836="","",IFERROR(VLOOKUP(--$L1836,MM_Income!$Z$5:$AC$204,3,FALSE()),"UNMAPPED"))</f>
        <v/>
      </c>
    </row>
    <row r="1837" customFormat="false" ht="13.5" hidden="false" customHeight="false" outlineLevel="0" collapsed="false">
      <c r="A1837" s="1" t="str">
        <f aca="false">IF($C1837="","",Controls!$B$7)</f>
        <v/>
      </c>
      <c r="B1837" s="1" t="str">
        <f aca="false">IF($H1837="","",YEAR($H1837)&amp;"-Q"&amp;ROUNDUP(MONTH($H1837)/3,0))</f>
        <v/>
      </c>
      <c r="S1837" s="1" t="str">
        <f aca="false">IF($C1837="","",$C1837&amp;"|"&amp;$E1837&amp;"|"&amp;$F1837&amp;"|"&amp;$L1837&amp;"|"&amp;$P1837&amp;"|"&amp;TEXT($H1837,"yyyy-mm-dd"))</f>
        <v/>
      </c>
      <c r="T1837" s="1" t="str">
        <f aca="false">IF($S1837="","",IF(COUNTIF($S$2:$S$2991,$S1837)&gt;1,"DUPLICATE","OK"))</f>
        <v/>
      </c>
      <c r="U1837" s="0" t="str">
        <f aca="false">IF($L1837="","",IFERROR(VLOOKUP(--$L1837,MM_Income!$Z$5:$AC$204,3,FALSE()),"UNMAPPED"))</f>
        <v/>
      </c>
    </row>
    <row r="1838" customFormat="false" ht="13.5" hidden="false" customHeight="false" outlineLevel="0" collapsed="false">
      <c r="A1838" s="1" t="str">
        <f aca="false">IF($C1838="","",Controls!$B$7)</f>
        <v/>
      </c>
      <c r="B1838" s="1" t="str">
        <f aca="false">IF($H1838="","",YEAR($H1838)&amp;"-Q"&amp;ROUNDUP(MONTH($H1838)/3,0))</f>
        <v/>
      </c>
      <c r="S1838" s="1" t="str">
        <f aca="false">IF($C1838="","",$C1838&amp;"|"&amp;$E1838&amp;"|"&amp;$F1838&amp;"|"&amp;$L1838&amp;"|"&amp;$P1838&amp;"|"&amp;TEXT($H1838,"yyyy-mm-dd"))</f>
        <v/>
      </c>
      <c r="T1838" s="1" t="str">
        <f aca="false">IF($S1838="","",IF(COUNTIF($S$2:$S$2991,$S1838)&gt;1,"DUPLICATE","OK"))</f>
        <v/>
      </c>
      <c r="U1838" s="0" t="str">
        <f aca="false">IF($L1838="","",IFERROR(VLOOKUP(--$L1838,MM_Income!$Z$5:$AC$204,3,FALSE()),"UNMAPPED"))</f>
        <v/>
      </c>
    </row>
    <row r="1839" customFormat="false" ht="13.5" hidden="false" customHeight="false" outlineLevel="0" collapsed="false">
      <c r="A1839" s="1" t="str">
        <f aca="false">IF($C1839="","",Controls!$B$7)</f>
        <v/>
      </c>
      <c r="B1839" s="1" t="str">
        <f aca="false">IF($H1839="","",YEAR($H1839)&amp;"-Q"&amp;ROUNDUP(MONTH($H1839)/3,0))</f>
        <v/>
      </c>
      <c r="S1839" s="1" t="str">
        <f aca="false">IF($C1839="","",$C1839&amp;"|"&amp;$E1839&amp;"|"&amp;$F1839&amp;"|"&amp;$L1839&amp;"|"&amp;$P1839&amp;"|"&amp;TEXT($H1839,"yyyy-mm-dd"))</f>
        <v/>
      </c>
      <c r="T1839" s="1" t="str">
        <f aca="false">IF($S1839="","",IF(COUNTIF($S$2:$S$2991,$S1839)&gt;1,"DUPLICATE","OK"))</f>
        <v/>
      </c>
      <c r="U1839" s="0" t="str">
        <f aca="false">IF($L1839="","",IFERROR(VLOOKUP(--$L1839,MM_Income!$Z$5:$AC$204,3,FALSE()),"UNMAPPED"))</f>
        <v/>
      </c>
    </row>
    <row r="1840" customFormat="false" ht="13.5" hidden="false" customHeight="false" outlineLevel="0" collapsed="false">
      <c r="A1840" s="1" t="str">
        <f aca="false">IF($C1840="","",Controls!$B$7)</f>
        <v/>
      </c>
      <c r="B1840" s="1" t="str">
        <f aca="false">IF($H1840="","",YEAR($H1840)&amp;"-Q"&amp;ROUNDUP(MONTH($H1840)/3,0))</f>
        <v/>
      </c>
      <c r="S1840" s="1" t="str">
        <f aca="false">IF($C1840="","",$C1840&amp;"|"&amp;$E1840&amp;"|"&amp;$F1840&amp;"|"&amp;$L1840&amp;"|"&amp;$P1840&amp;"|"&amp;TEXT($H1840,"yyyy-mm-dd"))</f>
        <v/>
      </c>
      <c r="T1840" s="1" t="str">
        <f aca="false">IF($S1840="","",IF(COUNTIF($S$2:$S$2991,$S1840)&gt;1,"DUPLICATE","OK"))</f>
        <v/>
      </c>
      <c r="U1840" s="0" t="str">
        <f aca="false">IF($L1840="","",IFERROR(VLOOKUP(--$L1840,MM_Income!$Z$5:$AC$204,3,FALSE()),"UNMAPPED"))</f>
        <v/>
      </c>
    </row>
    <row r="1841" customFormat="false" ht="13.5" hidden="false" customHeight="false" outlineLevel="0" collapsed="false">
      <c r="A1841" s="1" t="str">
        <f aca="false">IF($C1841="","",Controls!$B$7)</f>
        <v/>
      </c>
      <c r="B1841" s="1" t="str">
        <f aca="false">IF($H1841="","",YEAR($H1841)&amp;"-Q"&amp;ROUNDUP(MONTH($H1841)/3,0))</f>
        <v/>
      </c>
      <c r="S1841" s="1" t="str">
        <f aca="false">IF($C1841="","",$C1841&amp;"|"&amp;$E1841&amp;"|"&amp;$F1841&amp;"|"&amp;$L1841&amp;"|"&amp;$P1841&amp;"|"&amp;TEXT($H1841,"yyyy-mm-dd"))</f>
        <v/>
      </c>
      <c r="T1841" s="1" t="str">
        <f aca="false">IF($S1841="","",IF(COUNTIF($S$2:$S$2991,$S1841)&gt;1,"DUPLICATE","OK"))</f>
        <v/>
      </c>
      <c r="U1841" s="0" t="str">
        <f aca="false">IF($L1841="","",IFERROR(VLOOKUP(--$L1841,MM_Income!$Z$5:$AC$204,3,FALSE()),"UNMAPPED"))</f>
        <v/>
      </c>
    </row>
    <row r="1842" customFormat="false" ht="13.5" hidden="false" customHeight="false" outlineLevel="0" collapsed="false">
      <c r="A1842" s="1" t="str">
        <f aca="false">IF($C1842="","",Controls!$B$7)</f>
        <v/>
      </c>
      <c r="B1842" s="1" t="str">
        <f aca="false">IF($H1842="","",YEAR($H1842)&amp;"-Q"&amp;ROUNDUP(MONTH($H1842)/3,0))</f>
        <v/>
      </c>
      <c r="S1842" s="1" t="str">
        <f aca="false">IF($C1842="","",$C1842&amp;"|"&amp;$E1842&amp;"|"&amp;$F1842&amp;"|"&amp;$L1842&amp;"|"&amp;$P1842&amp;"|"&amp;TEXT($H1842,"yyyy-mm-dd"))</f>
        <v/>
      </c>
      <c r="T1842" s="1" t="str">
        <f aca="false">IF($S1842="","",IF(COUNTIF($S$2:$S$2991,$S1842)&gt;1,"DUPLICATE","OK"))</f>
        <v/>
      </c>
      <c r="U1842" s="0" t="str">
        <f aca="false">IF($L1842="","",IFERROR(VLOOKUP(--$L1842,MM_Income!$Z$5:$AC$204,3,FALSE()),"UNMAPPED"))</f>
        <v/>
      </c>
    </row>
    <row r="1843" customFormat="false" ht="13.5" hidden="false" customHeight="false" outlineLevel="0" collapsed="false">
      <c r="A1843" s="1" t="str">
        <f aca="false">IF($C1843="","",Controls!$B$7)</f>
        <v/>
      </c>
      <c r="B1843" s="1" t="str">
        <f aca="false">IF($H1843="","",YEAR($H1843)&amp;"-Q"&amp;ROUNDUP(MONTH($H1843)/3,0))</f>
        <v/>
      </c>
      <c r="S1843" s="1" t="str">
        <f aca="false">IF($C1843="","",$C1843&amp;"|"&amp;$E1843&amp;"|"&amp;$F1843&amp;"|"&amp;$L1843&amp;"|"&amp;$P1843&amp;"|"&amp;TEXT($H1843,"yyyy-mm-dd"))</f>
        <v/>
      </c>
      <c r="T1843" s="1" t="str">
        <f aca="false">IF($S1843="","",IF(COUNTIF($S$2:$S$2991,$S1843)&gt;1,"DUPLICATE","OK"))</f>
        <v/>
      </c>
      <c r="U1843" s="0" t="str">
        <f aca="false">IF($L1843="","",IFERROR(VLOOKUP(--$L1843,MM_Income!$Z$5:$AC$204,3,FALSE()),"UNMAPPED"))</f>
        <v/>
      </c>
    </row>
    <row r="1844" customFormat="false" ht="13.5" hidden="false" customHeight="false" outlineLevel="0" collapsed="false">
      <c r="A1844" s="1" t="str">
        <f aca="false">IF($C1844="","",Controls!$B$7)</f>
        <v/>
      </c>
      <c r="B1844" s="1" t="str">
        <f aca="false">IF($H1844="","",YEAR($H1844)&amp;"-Q"&amp;ROUNDUP(MONTH($H1844)/3,0))</f>
        <v/>
      </c>
      <c r="S1844" s="1" t="str">
        <f aca="false">IF($C1844="","",$C1844&amp;"|"&amp;$E1844&amp;"|"&amp;$F1844&amp;"|"&amp;$L1844&amp;"|"&amp;$P1844&amp;"|"&amp;TEXT($H1844,"yyyy-mm-dd"))</f>
        <v/>
      </c>
      <c r="T1844" s="1" t="str">
        <f aca="false">IF($S1844="","",IF(COUNTIF($S$2:$S$2991,$S1844)&gt;1,"DUPLICATE","OK"))</f>
        <v/>
      </c>
      <c r="U1844" s="0" t="str">
        <f aca="false">IF($L1844="","",IFERROR(VLOOKUP(--$L1844,MM_Income!$Z$5:$AC$204,3,FALSE()),"UNMAPPED"))</f>
        <v/>
      </c>
    </row>
    <row r="1845" customFormat="false" ht="13.5" hidden="false" customHeight="false" outlineLevel="0" collapsed="false">
      <c r="A1845" s="1" t="str">
        <f aca="false">IF($C1845="","",Controls!$B$7)</f>
        <v/>
      </c>
      <c r="B1845" s="1" t="str">
        <f aca="false">IF($H1845="","",YEAR($H1845)&amp;"-Q"&amp;ROUNDUP(MONTH($H1845)/3,0))</f>
        <v/>
      </c>
      <c r="S1845" s="1" t="str">
        <f aca="false">IF($C1845="","",$C1845&amp;"|"&amp;$E1845&amp;"|"&amp;$F1845&amp;"|"&amp;$L1845&amp;"|"&amp;$P1845&amp;"|"&amp;TEXT($H1845,"yyyy-mm-dd"))</f>
        <v/>
      </c>
      <c r="T1845" s="1" t="str">
        <f aca="false">IF($S1845="","",IF(COUNTIF($S$2:$S$2991,$S1845)&gt;1,"DUPLICATE","OK"))</f>
        <v/>
      </c>
      <c r="U1845" s="0" t="str">
        <f aca="false">IF($L1845="","",IFERROR(VLOOKUP(--$L1845,MM_Income!$Z$5:$AC$204,3,FALSE()),"UNMAPPED"))</f>
        <v/>
      </c>
    </row>
    <row r="1846" customFormat="false" ht="13.5" hidden="false" customHeight="false" outlineLevel="0" collapsed="false">
      <c r="A1846" s="1" t="str">
        <f aca="false">IF($C1846="","",Controls!$B$7)</f>
        <v/>
      </c>
      <c r="B1846" s="1" t="str">
        <f aca="false">IF($H1846="","",YEAR($H1846)&amp;"-Q"&amp;ROUNDUP(MONTH($H1846)/3,0))</f>
        <v/>
      </c>
      <c r="S1846" s="1" t="str">
        <f aca="false">IF($C1846="","",$C1846&amp;"|"&amp;$E1846&amp;"|"&amp;$F1846&amp;"|"&amp;$L1846&amp;"|"&amp;$P1846&amp;"|"&amp;TEXT($H1846,"yyyy-mm-dd"))</f>
        <v/>
      </c>
      <c r="T1846" s="1" t="str">
        <f aca="false">IF($S1846="","",IF(COUNTIF($S$2:$S$2991,$S1846)&gt;1,"DUPLICATE","OK"))</f>
        <v/>
      </c>
      <c r="U1846" s="0" t="str">
        <f aca="false">IF($L1846="","",IFERROR(VLOOKUP(--$L1846,MM_Income!$Z$5:$AC$204,3,FALSE()),"UNMAPPED"))</f>
        <v/>
      </c>
    </row>
    <row r="1847" customFormat="false" ht="13.5" hidden="false" customHeight="false" outlineLevel="0" collapsed="false">
      <c r="A1847" s="1" t="str">
        <f aca="false">IF($C1847="","",Controls!$B$7)</f>
        <v/>
      </c>
      <c r="B1847" s="1" t="str">
        <f aca="false">IF($H1847="","",YEAR($H1847)&amp;"-Q"&amp;ROUNDUP(MONTH($H1847)/3,0))</f>
        <v/>
      </c>
      <c r="S1847" s="1" t="str">
        <f aca="false">IF($C1847="","",$C1847&amp;"|"&amp;$E1847&amp;"|"&amp;$F1847&amp;"|"&amp;$L1847&amp;"|"&amp;$P1847&amp;"|"&amp;TEXT($H1847,"yyyy-mm-dd"))</f>
        <v/>
      </c>
      <c r="T1847" s="1" t="str">
        <f aca="false">IF($S1847="","",IF(COUNTIF($S$2:$S$2991,$S1847)&gt;1,"DUPLICATE","OK"))</f>
        <v/>
      </c>
      <c r="U1847" s="0" t="str">
        <f aca="false">IF($L1847="","",IFERROR(VLOOKUP(--$L1847,MM_Income!$Z$5:$AC$204,3,FALSE()),"UNMAPPED"))</f>
        <v/>
      </c>
    </row>
    <row r="1848" customFormat="false" ht="13.5" hidden="false" customHeight="false" outlineLevel="0" collapsed="false">
      <c r="A1848" s="1" t="str">
        <f aca="false">IF($C1848="","",Controls!$B$7)</f>
        <v/>
      </c>
      <c r="B1848" s="1" t="str">
        <f aca="false">IF($H1848="","",YEAR($H1848)&amp;"-Q"&amp;ROUNDUP(MONTH($H1848)/3,0))</f>
        <v/>
      </c>
      <c r="S1848" s="1" t="str">
        <f aca="false">IF($C1848="","",$C1848&amp;"|"&amp;$E1848&amp;"|"&amp;$F1848&amp;"|"&amp;$L1848&amp;"|"&amp;$P1848&amp;"|"&amp;TEXT($H1848,"yyyy-mm-dd"))</f>
        <v/>
      </c>
      <c r="T1848" s="1" t="str">
        <f aca="false">IF($S1848="","",IF(COUNTIF($S$2:$S$2991,$S1848)&gt;1,"DUPLICATE","OK"))</f>
        <v/>
      </c>
      <c r="U1848" s="0" t="str">
        <f aca="false">IF($L1848="","",IFERROR(VLOOKUP(--$L1848,MM_Income!$Z$5:$AC$204,3,FALSE()),"UNMAPPED"))</f>
        <v/>
      </c>
    </row>
    <row r="1849" customFormat="false" ht="13.5" hidden="false" customHeight="false" outlineLevel="0" collapsed="false">
      <c r="A1849" s="1" t="str">
        <f aca="false">IF($C1849="","",Controls!$B$7)</f>
        <v/>
      </c>
      <c r="B1849" s="1" t="str">
        <f aca="false">IF($H1849="","",YEAR($H1849)&amp;"-Q"&amp;ROUNDUP(MONTH($H1849)/3,0))</f>
        <v/>
      </c>
      <c r="S1849" s="1" t="str">
        <f aca="false">IF($C1849="","",$C1849&amp;"|"&amp;$E1849&amp;"|"&amp;$F1849&amp;"|"&amp;$L1849&amp;"|"&amp;$P1849&amp;"|"&amp;TEXT($H1849,"yyyy-mm-dd"))</f>
        <v/>
      </c>
      <c r="T1849" s="1" t="str">
        <f aca="false">IF($S1849="","",IF(COUNTIF($S$2:$S$2991,$S1849)&gt;1,"DUPLICATE","OK"))</f>
        <v/>
      </c>
      <c r="U1849" s="0" t="str">
        <f aca="false">IF($L1849="","",IFERROR(VLOOKUP(--$L1849,MM_Income!$Z$5:$AC$204,3,FALSE()),"UNMAPPED"))</f>
        <v/>
      </c>
    </row>
    <row r="1850" customFormat="false" ht="13.5" hidden="false" customHeight="false" outlineLevel="0" collapsed="false">
      <c r="A1850" s="1" t="str">
        <f aca="false">IF($C1850="","",Controls!$B$7)</f>
        <v/>
      </c>
      <c r="B1850" s="1" t="str">
        <f aca="false">IF($H1850="","",YEAR($H1850)&amp;"-Q"&amp;ROUNDUP(MONTH($H1850)/3,0))</f>
        <v/>
      </c>
      <c r="S1850" s="1" t="str">
        <f aca="false">IF($C1850="","",$C1850&amp;"|"&amp;$E1850&amp;"|"&amp;$F1850&amp;"|"&amp;$L1850&amp;"|"&amp;$P1850&amp;"|"&amp;TEXT($H1850,"yyyy-mm-dd"))</f>
        <v/>
      </c>
      <c r="T1850" s="1" t="str">
        <f aca="false">IF($S1850="","",IF(COUNTIF($S$2:$S$2991,$S1850)&gt;1,"DUPLICATE","OK"))</f>
        <v/>
      </c>
      <c r="U1850" s="0" t="str">
        <f aca="false">IF($L1850="","",IFERROR(VLOOKUP(--$L1850,MM_Income!$Z$5:$AC$204,3,FALSE()),"UNMAPPED"))</f>
        <v/>
      </c>
    </row>
    <row r="1851" customFormat="false" ht="13.5" hidden="false" customHeight="false" outlineLevel="0" collapsed="false">
      <c r="A1851" s="1" t="str">
        <f aca="false">IF($C1851="","",Controls!$B$7)</f>
        <v/>
      </c>
      <c r="B1851" s="1" t="str">
        <f aca="false">IF($H1851="","",YEAR($H1851)&amp;"-Q"&amp;ROUNDUP(MONTH($H1851)/3,0))</f>
        <v/>
      </c>
      <c r="S1851" s="1" t="str">
        <f aca="false">IF($C1851="","",$C1851&amp;"|"&amp;$E1851&amp;"|"&amp;$F1851&amp;"|"&amp;$L1851&amp;"|"&amp;$P1851&amp;"|"&amp;TEXT($H1851,"yyyy-mm-dd"))</f>
        <v/>
      </c>
      <c r="T1851" s="1" t="str">
        <f aca="false">IF($S1851="","",IF(COUNTIF($S$2:$S$2991,$S1851)&gt;1,"DUPLICATE","OK"))</f>
        <v/>
      </c>
      <c r="U1851" s="0" t="str">
        <f aca="false">IF($L1851="","",IFERROR(VLOOKUP(--$L1851,MM_Income!$Z$5:$AC$204,3,FALSE()),"UNMAPPED"))</f>
        <v/>
      </c>
    </row>
    <row r="1852" customFormat="false" ht="13.5" hidden="false" customHeight="false" outlineLevel="0" collapsed="false">
      <c r="A1852" s="1" t="str">
        <f aca="false">IF($C1852="","",Controls!$B$7)</f>
        <v/>
      </c>
      <c r="B1852" s="1" t="str">
        <f aca="false">IF($H1852="","",YEAR($H1852)&amp;"-Q"&amp;ROUNDUP(MONTH($H1852)/3,0))</f>
        <v/>
      </c>
      <c r="S1852" s="1" t="str">
        <f aca="false">IF($C1852="","",$C1852&amp;"|"&amp;$E1852&amp;"|"&amp;$F1852&amp;"|"&amp;$L1852&amp;"|"&amp;$P1852&amp;"|"&amp;TEXT($H1852,"yyyy-mm-dd"))</f>
        <v/>
      </c>
      <c r="T1852" s="1" t="str">
        <f aca="false">IF($S1852="","",IF(COUNTIF($S$2:$S$2991,$S1852)&gt;1,"DUPLICATE","OK"))</f>
        <v/>
      </c>
      <c r="U1852" s="0" t="str">
        <f aca="false">IF($L1852="","",IFERROR(VLOOKUP(--$L1852,MM_Income!$Z$5:$AC$204,3,FALSE()),"UNMAPPED"))</f>
        <v/>
      </c>
    </row>
    <row r="1853" customFormat="false" ht="13.5" hidden="false" customHeight="false" outlineLevel="0" collapsed="false">
      <c r="A1853" s="1" t="str">
        <f aca="false">IF($C1853="","",Controls!$B$7)</f>
        <v/>
      </c>
      <c r="B1853" s="1" t="str">
        <f aca="false">IF($H1853="","",YEAR($H1853)&amp;"-Q"&amp;ROUNDUP(MONTH($H1853)/3,0))</f>
        <v/>
      </c>
      <c r="S1853" s="1" t="str">
        <f aca="false">IF($C1853="","",$C1853&amp;"|"&amp;$E1853&amp;"|"&amp;$F1853&amp;"|"&amp;$L1853&amp;"|"&amp;$P1853&amp;"|"&amp;TEXT($H1853,"yyyy-mm-dd"))</f>
        <v/>
      </c>
      <c r="T1853" s="1" t="str">
        <f aca="false">IF($S1853="","",IF(COUNTIF($S$2:$S$2991,$S1853)&gt;1,"DUPLICATE","OK"))</f>
        <v/>
      </c>
      <c r="U1853" s="0" t="str">
        <f aca="false">IF($L1853="","",IFERROR(VLOOKUP(--$L1853,MM_Income!$Z$5:$AC$204,3,FALSE()),"UNMAPPED"))</f>
        <v/>
      </c>
    </row>
    <row r="1854" customFormat="false" ht="13.5" hidden="false" customHeight="false" outlineLevel="0" collapsed="false">
      <c r="A1854" s="1" t="str">
        <f aca="false">IF($C1854="","",Controls!$B$7)</f>
        <v/>
      </c>
      <c r="B1854" s="1" t="str">
        <f aca="false">IF($H1854="","",YEAR($H1854)&amp;"-Q"&amp;ROUNDUP(MONTH($H1854)/3,0))</f>
        <v/>
      </c>
      <c r="S1854" s="1" t="str">
        <f aca="false">IF($C1854="","",$C1854&amp;"|"&amp;$E1854&amp;"|"&amp;$F1854&amp;"|"&amp;$L1854&amp;"|"&amp;$P1854&amp;"|"&amp;TEXT($H1854,"yyyy-mm-dd"))</f>
        <v/>
      </c>
      <c r="T1854" s="1" t="str">
        <f aca="false">IF($S1854="","",IF(COUNTIF($S$2:$S$2991,$S1854)&gt;1,"DUPLICATE","OK"))</f>
        <v/>
      </c>
      <c r="U1854" s="0" t="str">
        <f aca="false">IF($L1854="","",IFERROR(VLOOKUP(--$L1854,MM_Income!$Z$5:$AC$204,3,FALSE()),"UNMAPPED"))</f>
        <v/>
      </c>
    </row>
    <row r="1855" customFormat="false" ht="13.5" hidden="false" customHeight="false" outlineLevel="0" collapsed="false">
      <c r="A1855" s="1" t="str">
        <f aca="false">IF($C1855="","",Controls!$B$7)</f>
        <v/>
      </c>
      <c r="B1855" s="1" t="str">
        <f aca="false">IF($H1855="","",YEAR($H1855)&amp;"-Q"&amp;ROUNDUP(MONTH($H1855)/3,0))</f>
        <v/>
      </c>
      <c r="S1855" s="1" t="str">
        <f aca="false">IF($C1855="","",$C1855&amp;"|"&amp;$E1855&amp;"|"&amp;$F1855&amp;"|"&amp;$L1855&amp;"|"&amp;$P1855&amp;"|"&amp;TEXT($H1855,"yyyy-mm-dd"))</f>
        <v/>
      </c>
      <c r="T1855" s="1" t="str">
        <f aca="false">IF($S1855="","",IF(COUNTIF($S$2:$S$2991,$S1855)&gt;1,"DUPLICATE","OK"))</f>
        <v/>
      </c>
      <c r="U1855" s="0" t="str">
        <f aca="false">IF($L1855="","",IFERROR(VLOOKUP(--$L1855,MM_Income!$Z$5:$AC$204,3,FALSE()),"UNMAPPED"))</f>
        <v/>
      </c>
    </row>
    <row r="1856" customFormat="false" ht="13.5" hidden="false" customHeight="false" outlineLevel="0" collapsed="false">
      <c r="A1856" s="1" t="str">
        <f aca="false">IF($C1856="","",Controls!$B$7)</f>
        <v/>
      </c>
      <c r="B1856" s="1" t="str">
        <f aca="false">IF($H1856="","",YEAR($H1856)&amp;"-Q"&amp;ROUNDUP(MONTH($H1856)/3,0))</f>
        <v/>
      </c>
      <c r="S1856" s="1" t="str">
        <f aca="false">IF($C1856="","",$C1856&amp;"|"&amp;$E1856&amp;"|"&amp;$F1856&amp;"|"&amp;$L1856&amp;"|"&amp;$P1856&amp;"|"&amp;TEXT($H1856,"yyyy-mm-dd"))</f>
        <v/>
      </c>
      <c r="T1856" s="1" t="str">
        <f aca="false">IF($S1856="","",IF(COUNTIF($S$2:$S$2991,$S1856)&gt;1,"DUPLICATE","OK"))</f>
        <v/>
      </c>
      <c r="U1856" s="0" t="str">
        <f aca="false">IF($L1856="","",IFERROR(VLOOKUP(--$L1856,MM_Income!$Z$5:$AC$204,3,FALSE()),"UNMAPPED"))</f>
        <v/>
      </c>
    </row>
    <row r="1857" customFormat="false" ht="13.5" hidden="false" customHeight="false" outlineLevel="0" collapsed="false">
      <c r="A1857" s="1" t="str">
        <f aca="false">IF($C1857="","",Controls!$B$7)</f>
        <v/>
      </c>
      <c r="B1857" s="1" t="str">
        <f aca="false">IF($H1857="","",YEAR($H1857)&amp;"-Q"&amp;ROUNDUP(MONTH($H1857)/3,0))</f>
        <v/>
      </c>
      <c r="S1857" s="1" t="str">
        <f aca="false">IF($C1857="","",$C1857&amp;"|"&amp;$E1857&amp;"|"&amp;$F1857&amp;"|"&amp;$L1857&amp;"|"&amp;$P1857&amp;"|"&amp;TEXT($H1857,"yyyy-mm-dd"))</f>
        <v/>
      </c>
      <c r="T1857" s="1" t="str">
        <f aca="false">IF($S1857="","",IF(COUNTIF($S$2:$S$2991,$S1857)&gt;1,"DUPLICATE","OK"))</f>
        <v/>
      </c>
      <c r="U1857" s="0" t="str">
        <f aca="false">IF($L1857="","",IFERROR(VLOOKUP(--$L1857,MM_Income!$Z$5:$AC$204,3,FALSE()),"UNMAPPED"))</f>
        <v/>
      </c>
    </row>
    <row r="1858" customFormat="false" ht="13.5" hidden="false" customHeight="false" outlineLevel="0" collapsed="false">
      <c r="A1858" s="1" t="str">
        <f aca="false">IF($C1858="","",Controls!$B$7)</f>
        <v/>
      </c>
      <c r="B1858" s="1" t="str">
        <f aca="false">IF($H1858="","",YEAR($H1858)&amp;"-Q"&amp;ROUNDUP(MONTH($H1858)/3,0))</f>
        <v/>
      </c>
      <c r="S1858" s="1" t="str">
        <f aca="false">IF($C1858="","",$C1858&amp;"|"&amp;$E1858&amp;"|"&amp;$F1858&amp;"|"&amp;$L1858&amp;"|"&amp;$P1858&amp;"|"&amp;TEXT($H1858,"yyyy-mm-dd"))</f>
        <v/>
      </c>
      <c r="T1858" s="1" t="str">
        <f aca="false">IF($S1858="","",IF(COUNTIF($S$2:$S$2991,$S1858)&gt;1,"DUPLICATE","OK"))</f>
        <v/>
      </c>
      <c r="U1858" s="0" t="str">
        <f aca="false">IF($L1858="","",IFERROR(VLOOKUP(--$L1858,MM_Income!$Z$5:$AC$204,3,FALSE()),"UNMAPPED"))</f>
        <v/>
      </c>
    </row>
    <row r="1859" customFormat="false" ht="13.5" hidden="false" customHeight="false" outlineLevel="0" collapsed="false">
      <c r="A1859" s="1" t="str">
        <f aca="false">IF($C1859="","",Controls!$B$7)</f>
        <v/>
      </c>
      <c r="B1859" s="1" t="str">
        <f aca="false">IF($H1859="","",YEAR($H1859)&amp;"-Q"&amp;ROUNDUP(MONTH($H1859)/3,0))</f>
        <v/>
      </c>
      <c r="S1859" s="1" t="str">
        <f aca="false">IF($C1859="","",$C1859&amp;"|"&amp;$E1859&amp;"|"&amp;$F1859&amp;"|"&amp;$L1859&amp;"|"&amp;$P1859&amp;"|"&amp;TEXT($H1859,"yyyy-mm-dd"))</f>
        <v/>
      </c>
      <c r="T1859" s="1" t="str">
        <f aca="false">IF($S1859="","",IF(COUNTIF($S$2:$S$2991,$S1859)&gt;1,"DUPLICATE","OK"))</f>
        <v/>
      </c>
      <c r="U1859" s="0" t="str">
        <f aca="false">IF($L1859="","",IFERROR(VLOOKUP(--$L1859,MM_Income!$Z$5:$AC$204,3,FALSE()),"UNMAPPED"))</f>
        <v/>
      </c>
    </row>
    <row r="1860" customFormat="false" ht="13.5" hidden="false" customHeight="false" outlineLevel="0" collapsed="false">
      <c r="A1860" s="1" t="str">
        <f aca="false">IF($C1860="","",Controls!$B$7)</f>
        <v/>
      </c>
      <c r="B1860" s="1" t="str">
        <f aca="false">IF($H1860="","",YEAR($H1860)&amp;"-Q"&amp;ROUNDUP(MONTH($H1860)/3,0))</f>
        <v/>
      </c>
      <c r="S1860" s="1" t="str">
        <f aca="false">IF($C1860="","",$C1860&amp;"|"&amp;$E1860&amp;"|"&amp;$F1860&amp;"|"&amp;$L1860&amp;"|"&amp;$P1860&amp;"|"&amp;TEXT($H1860,"yyyy-mm-dd"))</f>
        <v/>
      </c>
      <c r="T1860" s="1" t="str">
        <f aca="false">IF($S1860="","",IF(COUNTIF($S$2:$S$2991,$S1860)&gt;1,"DUPLICATE","OK"))</f>
        <v/>
      </c>
      <c r="U1860" s="0" t="str">
        <f aca="false">IF($L1860="","",IFERROR(VLOOKUP(--$L1860,MM_Income!$Z$5:$AC$204,3,FALSE()),"UNMAPPED"))</f>
        <v/>
      </c>
    </row>
    <row r="1861" customFormat="false" ht="13.5" hidden="false" customHeight="false" outlineLevel="0" collapsed="false">
      <c r="A1861" s="1" t="str">
        <f aca="false">IF($C1861="","",Controls!$B$7)</f>
        <v/>
      </c>
      <c r="B1861" s="1" t="str">
        <f aca="false">IF($H1861="","",YEAR($H1861)&amp;"-Q"&amp;ROUNDUP(MONTH($H1861)/3,0))</f>
        <v/>
      </c>
      <c r="S1861" s="1" t="str">
        <f aca="false">IF($C1861="","",$C1861&amp;"|"&amp;$E1861&amp;"|"&amp;$F1861&amp;"|"&amp;$L1861&amp;"|"&amp;$P1861&amp;"|"&amp;TEXT($H1861,"yyyy-mm-dd"))</f>
        <v/>
      </c>
      <c r="T1861" s="1" t="str">
        <f aca="false">IF($S1861="","",IF(COUNTIF($S$2:$S$2991,$S1861)&gt;1,"DUPLICATE","OK"))</f>
        <v/>
      </c>
      <c r="U1861" s="0" t="str">
        <f aca="false">IF($L1861="","",IFERROR(VLOOKUP(--$L1861,MM_Income!$Z$5:$AC$204,3,FALSE()),"UNMAPPED"))</f>
        <v/>
      </c>
    </row>
    <row r="1862" customFormat="false" ht="13.5" hidden="false" customHeight="false" outlineLevel="0" collapsed="false">
      <c r="A1862" s="1" t="str">
        <f aca="false">IF($C1862="","",Controls!$B$7)</f>
        <v/>
      </c>
      <c r="B1862" s="1" t="str">
        <f aca="false">IF($H1862="","",YEAR($H1862)&amp;"-Q"&amp;ROUNDUP(MONTH($H1862)/3,0))</f>
        <v/>
      </c>
      <c r="S1862" s="1" t="str">
        <f aca="false">IF($C1862="","",$C1862&amp;"|"&amp;$E1862&amp;"|"&amp;$F1862&amp;"|"&amp;$L1862&amp;"|"&amp;$P1862&amp;"|"&amp;TEXT($H1862,"yyyy-mm-dd"))</f>
        <v/>
      </c>
      <c r="T1862" s="1" t="str">
        <f aca="false">IF($S1862="","",IF(COUNTIF($S$2:$S$2991,$S1862)&gt;1,"DUPLICATE","OK"))</f>
        <v/>
      </c>
      <c r="U1862" s="0" t="str">
        <f aca="false">IF($L1862="","",IFERROR(VLOOKUP(--$L1862,MM_Income!$Z$5:$AC$204,3,FALSE()),"UNMAPPED"))</f>
        <v/>
      </c>
    </row>
    <row r="1863" customFormat="false" ht="13.5" hidden="false" customHeight="false" outlineLevel="0" collapsed="false">
      <c r="A1863" s="1" t="str">
        <f aca="false">IF($C1863="","",Controls!$B$7)</f>
        <v/>
      </c>
      <c r="B1863" s="1" t="str">
        <f aca="false">IF($H1863="","",YEAR($H1863)&amp;"-Q"&amp;ROUNDUP(MONTH($H1863)/3,0))</f>
        <v/>
      </c>
      <c r="S1863" s="1" t="str">
        <f aca="false">IF($C1863="","",$C1863&amp;"|"&amp;$E1863&amp;"|"&amp;$F1863&amp;"|"&amp;$L1863&amp;"|"&amp;$P1863&amp;"|"&amp;TEXT($H1863,"yyyy-mm-dd"))</f>
        <v/>
      </c>
      <c r="T1863" s="1" t="str">
        <f aca="false">IF($S1863="","",IF(COUNTIF($S$2:$S$2991,$S1863)&gt;1,"DUPLICATE","OK"))</f>
        <v/>
      </c>
      <c r="U1863" s="0" t="str">
        <f aca="false">IF($L1863="","",IFERROR(VLOOKUP(--$L1863,MM_Income!$Z$5:$AC$204,3,FALSE()),"UNMAPPED"))</f>
        <v/>
      </c>
    </row>
    <row r="1864" customFormat="false" ht="13.5" hidden="false" customHeight="false" outlineLevel="0" collapsed="false">
      <c r="A1864" s="1" t="str">
        <f aca="false">IF($C1864="","",Controls!$B$7)</f>
        <v/>
      </c>
      <c r="B1864" s="1" t="str">
        <f aca="false">IF($H1864="","",YEAR($H1864)&amp;"-Q"&amp;ROUNDUP(MONTH($H1864)/3,0))</f>
        <v/>
      </c>
      <c r="S1864" s="1" t="str">
        <f aca="false">IF($C1864="","",$C1864&amp;"|"&amp;$E1864&amp;"|"&amp;$F1864&amp;"|"&amp;$L1864&amp;"|"&amp;$P1864&amp;"|"&amp;TEXT($H1864,"yyyy-mm-dd"))</f>
        <v/>
      </c>
      <c r="T1864" s="1" t="str">
        <f aca="false">IF($S1864="","",IF(COUNTIF($S$2:$S$2991,$S1864)&gt;1,"DUPLICATE","OK"))</f>
        <v/>
      </c>
      <c r="U1864" s="0" t="str">
        <f aca="false">IF($L1864="","",IFERROR(VLOOKUP(--$L1864,MM_Income!$Z$5:$AC$204,3,FALSE()),"UNMAPPED"))</f>
        <v/>
      </c>
    </row>
    <row r="1865" customFormat="false" ht="13.5" hidden="false" customHeight="false" outlineLevel="0" collapsed="false">
      <c r="A1865" s="1" t="str">
        <f aca="false">IF($C1865="","",Controls!$B$7)</f>
        <v/>
      </c>
      <c r="B1865" s="1" t="str">
        <f aca="false">IF($H1865="","",YEAR($H1865)&amp;"-Q"&amp;ROUNDUP(MONTH($H1865)/3,0))</f>
        <v/>
      </c>
      <c r="S1865" s="1" t="str">
        <f aca="false">IF($C1865="","",$C1865&amp;"|"&amp;$E1865&amp;"|"&amp;$F1865&amp;"|"&amp;$L1865&amp;"|"&amp;$P1865&amp;"|"&amp;TEXT($H1865,"yyyy-mm-dd"))</f>
        <v/>
      </c>
      <c r="T1865" s="1" t="str">
        <f aca="false">IF($S1865="","",IF(COUNTIF($S$2:$S$2991,$S1865)&gt;1,"DUPLICATE","OK"))</f>
        <v/>
      </c>
      <c r="U1865" s="0" t="str">
        <f aca="false">IF($L1865="","",IFERROR(VLOOKUP(--$L1865,MM_Income!$Z$5:$AC$204,3,FALSE()),"UNMAPPED"))</f>
        <v/>
      </c>
    </row>
    <row r="1866" customFormat="false" ht="13.5" hidden="false" customHeight="false" outlineLevel="0" collapsed="false">
      <c r="A1866" s="1" t="str">
        <f aca="false">IF($C1866="","",Controls!$B$7)</f>
        <v/>
      </c>
      <c r="B1866" s="1" t="str">
        <f aca="false">IF($H1866="","",YEAR($H1866)&amp;"-Q"&amp;ROUNDUP(MONTH($H1866)/3,0))</f>
        <v/>
      </c>
      <c r="S1866" s="1" t="str">
        <f aca="false">IF($C1866="","",$C1866&amp;"|"&amp;$E1866&amp;"|"&amp;$F1866&amp;"|"&amp;$L1866&amp;"|"&amp;$P1866&amp;"|"&amp;TEXT($H1866,"yyyy-mm-dd"))</f>
        <v/>
      </c>
      <c r="T1866" s="1" t="str">
        <f aca="false">IF($S1866="","",IF(COUNTIF($S$2:$S$2991,$S1866)&gt;1,"DUPLICATE","OK"))</f>
        <v/>
      </c>
      <c r="U1866" s="0" t="str">
        <f aca="false">IF($L1866="","",IFERROR(VLOOKUP(--$L1866,MM_Income!$Z$5:$AC$204,3,FALSE()),"UNMAPPED"))</f>
        <v/>
      </c>
    </row>
    <row r="1867" customFormat="false" ht="13.5" hidden="false" customHeight="false" outlineLevel="0" collapsed="false">
      <c r="A1867" s="1" t="str">
        <f aca="false">IF($C1867="","",Controls!$B$7)</f>
        <v/>
      </c>
      <c r="B1867" s="1" t="str">
        <f aca="false">IF($H1867="","",YEAR($H1867)&amp;"-Q"&amp;ROUNDUP(MONTH($H1867)/3,0))</f>
        <v/>
      </c>
      <c r="S1867" s="1" t="str">
        <f aca="false">IF($C1867="","",$C1867&amp;"|"&amp;$E1867&amp;"|"&amp;$F1867&amp;"|"&amp;$L1867&amp;"|"&amp;$P1867&amp;"|"&amp;TEXT($H1867,"yyyy-mm-dd"))</f>
        <v/>
      </c>
      <c r="T1867" s="1" t="str">
        <f aca="false">IF($S1867="","",IF(COUNTIF($S$2:$S$2991,$S1867)&gt;1,"DUPLICATE","OK"))</f>
        <v/>
      </c>
      <c r="U1867" s="0" t="str">
        <f aca="false">IF($L1867="","",IFERROR(VLOOKUP(--$L1867,MM_Income!$Z$5:$AC$204,3,FALSE()),"UNMAPPED"))</f>
        <v/>
      </c>
    </row>
    <row r="1868" customFormat="false" ht="13.5" hidden="false" customHeight="false" outlineLevel="0" collapsed="false">
      <c r="A1868" s="1" t="str">
        <f aca="false">IF($C1868="","",Controls!$B$7)</f>
        <v/>
      </c>
      <c r="B1868" s="1" t="str">
        <f aca="false">IF($H1868="","",YEAR($H1868)&amp;"-Q"&amp;ROUNDUP(MONTH($H1868)/3,0))</f>
        <v/>
      </c>
      <c r="S1868" s="1" t="str">
        <f aca="false">IF($C1868="","",$C1868&amp;"|"&amp;$E1868&amp;"|"&amp;$F1868&amp;"|"&amp;$L1868&amp;"|"&amp;$P1868&amp;"|"&amp;TEXT($H1868,"yyyy-mm-dd"))</f>
        <v/>
      </c>
      <c r="T1868" s="1" t="str">
        <f aca="false">IF($S1868="","",IF(COUNTIF($S$2:$S$2991,$S1868)&gt;1,"DUPLICATE","OK"))</f>
        <v/>
      </c>
      <c r="U1868" s="0" t="str">
        <f aca="false">IF($L1868="","",IFERROR(VLOOKUP(--$L1868,MM_Income!$Z$5:$AC$204,3,FALSE()),"UNMAPPED"))</f>
        <v/>
      </c>
    </row>
    <row r="1869" customFormat="false" ht="13.5" hidden="false" customHeight="false" outlineLevel="0" collapsed="false">
      <c r="A1869" s="1" t="str">
        <f aca="false">IF($C1869="","",Controls!$B$7)</f>
        <v/>
      </c>
      <c r="B1869" s="1" t="str">
        <f aca="false">IF($H1869="","",YEAR($H1869)&amp;"-Q"&amp;ROUNDUP(MONTH($H1869)/3,0))</f>
        <v/>
      </c>
      <c r="S1869" s="1" t="str">
        <f aca="false">IF($C1869="","",$C1869&amp;"|"&amp;$E1869&amp;"|"&amp;$F1869&amp;"|"&amp;$L1869&amp;"|"&amp;$P1869&amp;"|"&amp;TEXT($H1869,"yyyy-mm-dd"))</f>
        <v/>
      </c>
      <c r="T1869" s="1" t="str">
        <f aca="false">IF($S1869="","",IF(COUNTIF($S$2:$S$2991,$S1869)&gt;1,"DUPLICATE","OK"))</f>
        <v/>
      </c>
      <c r="U1869" s="0" t="str">
        <f aca="false">IF($L1869="","",IFERROR(VLOOKUP(--$L1869,MM_Income!$Z$5:$AC$204,3,FALSE()),"UNMAPPED"))</f>
        <v/>
      </c>
    </row>
    <row r="1870" customFormat="false" ht="13.5" hidden="false" customHeight="false" outlineLevel="0" collapsed="false">
      <c r="A1870" s="1" t="str">
        <f aca="false">IF($C1870="","",Controls!$B$7)</f>
        <v/>
      </c>
      <c r="B1870" s="1" t="str">
        <f aca="false">IF($H1870="","",YEAR($H1870)&amp;"-Q"&amp;ROUNDUP(MONTH($H1870)/3,0))</f>
        <v/>
      </c>
      <c r="S1870" s="1" t="str">
        <f aca="false">IF($C1870="","",$C1870&amp;"|"&amp;$E1870&amp;"|"&amp;$F1870&amp;"|"&amp;$L1870&amp;"|"&amp;$P1870&amp;"|"&amp;TEXT($H1870,"yyyy-mm-dd"))</f>
        <v/>
      </c>
      <c r="T1870" s="1" t="str">
        <f aca="false">IF($S1870="","",IF(COUNTIF($S$2:$S$2991,$S1870)&gt;1,"DUPLICATE","OK"))</f>
        <v/>
      </c>
      <c r="U1870" s="0" t="str">
        <f aca="false">IF($L1870="","",IFERROR(VLOOKUP(--$L1870,MM_Income!$Z$5:$AC$204,3,FALSE()),"UNMAPPED"))</f>
        <v/>
      </c>
    </row>
    <row r="1871" customFormat="false" ht="13.5" hidden="false" customHeight="false" outlineLevel="0" collapsed="false">
      <c r="A1871" s="1" t="str">
        <f aca="false">IF($C1871="","",Controls!$B$7)</f>
        <v/>
      </c>
      <c r="B1871" s="1" t="str">
        <f aca="false">IF($H1871="","",YEAR($H1871)&amp;"-Q"&amp;ROUNDUP(MONTH($H1871)/3,0))</f>
        <v/>
      </c>
      <c r="S1871" s="1" t="str">
        <f aca="false">IF($C1871="","",$C1871&amp;"|"&amp;$E1871&amp;"|"&amp;$F1871&amp;"|"&amp;$L1871&amp;"|"&amp;$P1871&amp;"|"&amp;TEXT($H1871,"yyyy-mm-dd"))</f>
        <v/>
      </c>
      <c r="T1871" s="1" t="str">
        <f aca="false">IF($S1871="","",IF(COUNTIF($S$2:$S$2991,$S1871)&gt;1,"DUPLICATE","OK"))</f>
        <v/>
      </c>
      <c r="U1871" s="0" t="str">
        <f aca="false">IF($L1871="","",IFERROR(VLOOKUP(--$L1871,MM_Income!$Z$5:$AC$204,3,FALSE()),"UNMAPPED"))</f>
        <v/>
      </c>
    </row>
    <row r="1872" customFormat="false" ht="13.5" hidden="false" customHeight="false" outlineLevel="0" collapsed="false">
      <c r="A1872" s="1" t="str">
        <f aca="false">IF($C1872="","",Controls!$B$7)</f>
        <v/>
      </c>
      <c r="B1872" s="1" t="str">
        <f aca="false">IF($H1872="","",YEAR($H1872)&amp;"-Q"&amp;ROUNDUP(MONTH($H1872)/3,0))</f>
        <v/>
      </c>
      <c r="S1872" s="1" t="str">
        <f aca="false">IF($C1872="","",$C1872&amp;"|"&amp;$E1872&amp;"|"&amp;$F1872&amp;"|"&amp;$L1872&amp;"|"&amp;$P1872&amp;"|"&amp;TEXT($H1872,"yyyy-mm-dd"))</f>
        <v/>
      </c>
      <c r="T1872" s="1" t="str">
        <f aca="false">IF($S1872="","",IF(COUNTIF($S$2:$S$2991,$S1872)&gt;1,"DUPLICATE","OK"))</f>
        <v/>
      </c>
      <c r="U1872" s="0" t="str">
        <f aca="false">IF($L1872="","",IFERROR(VLOOKUP(--$L1872,MM_Income!$Z$5:$AC$204,3,FALSE()),"UNMAPPED"))</f>
        <v/>
      </c>
    </row>
    <row r="1873" customFormat="false" ht="13.5" hidden="false" customHeight="false" outlineLevel="0" collapsed="false">
      <c r="A1873" s="1" t="str">
        <f aca="false">IF($C1873="","",Controls!$B$7)</f>
        <v/>
      </c>
      <c r="B1873" s="1" t="str">
        <f aca="false">IF($H1873="","",YEAR($H1873)&amp;"-Q"&amp;ROUNDUP(MONTH($H1873)/3,0))</f>
        <v/>
      </c>
      <c r="S1873" s="1" t="str">
        <f aca="false">IF($C1873="","",$C1873&amp;"|"&amp;$E1873&amp;"|"&amp;$F1873&amp;"|"&amp;$L1873&amp;"|"&amp;$P1873&amp;"|"&amp;TEXT($H1873,"yyyy-mm-dd"))</f>
        <v/>
      </c>
      <c r="T1873" s="1" t="str">
        <f aca="false">IF($S1873="","",IF(COUNTIF($S$2:$S$2991,$S1873)&gt;1,"DUPLICATE","OK"))</f>
        <v/>
      </c>
      <c r="U1873" s="0" t="str">
        <f aca="false">IF($L1873="","",IFERROR(VLOOKUP(--$L1873,MM_Income!$Z$5:$AC$204,3,FALSE()),"UNMAPPED"))</f>
        <v/>
      </c>
    </row>
    <row r="1874" customFormat="false" ht="13.5" hidden="false" customHeight="false" outlineLevel="0" collapsed="false">
      <c r="A1874" s="1" t="str">
        <f aca="false">IF($C1874="","",Controls!$B$7)</f>
        <v/>
      </c>
      <c r="B1874" s="1" t="str">
        <f aca="false">IF($H1874="","",YEAR($H1874)&amp;"-Q"&amp;ROUNDUP(MONTH($H1874)/3,0))</f>
        <v/>
      </c>
      <c r="S1874" s="1" t="str">
        <f aca="false">IF($C1874="","",$C1874&amp;"|"&amp;$E1874&amp;"|"&amp;$F1874&amp;"|"&amp;$L1874&amp;"|"&amp;$P1874&amp;"|"&amp;TEXT($H1874,"yyyy-mm-dd"))</f>
        <v/>
      </c>
      <c r="T1874" s="1" t="str">
        <f aca="false">IF($S1874="","",IF(COUNTIF($S$2:$S$2991,$S1874)&gt;1,"DUPLICATE","OK"))</f>
        <v/>
      </c>
      <c r="U1874" s="0" t="str">
        <f aca="false">IF($L1874="","",IFERROR(VLOOKUP(--$L1874,MM_Income!$Z$5:$AC$204,3,FALSE()),"UNMAPPED"))</f>
        <v/>
      </c>
    </row>
    <row r="1875" customFormat="false" ht="13.5" hidden="false" customHeight="false" outlineLevel="0" collapsed="false">
      <c r="A1875" s="1" t="str">
        <f aca="false">IF($C1875="","",Controls!$B$7)</f>
        <v/>
      </c>
      <c r="B1875" s="1" t="str">
        <f aca="false">IF($H1875="","",YEAR($H1875)&amp;"-Q"&amp;ROUNDUP(MONTH($H1875)/3,0))</f>
        <v/>
      </c>
      <c r="S1875" s="1" t="str">
        <f aca="false">IF($C1875="","",$C1875&amp;"|"&amp;$E1875&amp;"|"&amp;$F1875&amp;"|"&amp;$L1875&amp;"|"&amp;$P1875&amp;"|"&amp;TEXT($H1875,"yyyy-mm-dd"))</f>
        <v/>
      </c>
      <c r="T1875" s="1" t="str">
        <f aca="false">IF($S1875="","",IF(COUNTIF($S$2:$S$2991,$S1875)&gt;1,"DUPLICATE","OK"))</f>
        <v/>
      </c>
      <c r="U1875" s="0" t="str">
        <f aca="false">IF($L1875="","",IFERROR(VLOOKUP(--$L1875,MM_Income!$Z$5:$AC$204,3,FALSE()),"UNMAPPED"))</f>
        <v/>
      </c>
    </row>
    <row r="1876" customFormat="false" ht="13.5" hidden="false" customHeight="false" outlineLevel="0" collapsed="false">
      <c r="A1876" s="1" t="str">
        <f aca="false">IF($C1876="","",Controls!$B$7)</f>
        <v/>
      </c>
      <c r="B1876" s="1" t="str">
        <f aca="false">IF($H1876="","",YEAR($H1876)&amp;"-Q"&amp;ROUNDUP(MONTH($H1876)/3,0))</f>
        <v/>
      </c>
      <c r="S1876" s="1" t="str">
        <f aca="false">IF($C1876="","",$C1876&amp;"|"&amp;$E1876&amp;"|"&amp;$F1876&amp;"|"&amp;$L1876&amp;"|"&amp;$P1876&amp;"|"&amp;TEXT($H1876,"yyyy-mm-dd"))</f>
        <v/>
      </c>
      <c r="T1876" s="1" t="str">
        <f aca="false">IF($S1876="","",IF(COUNTIF($S$2:$S$2991,$S1876)&gt;1,"DUPLICATE","OK"))</f>
        <v/>
      </c>
      <c r="U1876" s="0" t="str">
        <f aca="false">IF($L1876="","",IFERROR(VLOOKUP(--$L1876,MM_Income!$Z$5:$AC$204,3,FALSE()),"UNMAPPED"))</f>
        <v/>
      </c>
    </row>
    <row r="1877" customFormat="false" ht="13.5" hidden="false" customHeight="false" outlineLevel="0" collapsed="false">
      <c r="A1877" s="1" t="str">
        <f aca="false">IF($C1877="","",Controls!$B$7)</f>
        <v/>
      </c>
      <c r="B1877" s="1" t="str">
        <f aca="false">IF($H1877="","",YEAR($H1877)&amp;"-Q"&amp;ROUNDUP(MONTH($H1877)/3,0))</f>
        <v/>
      </c>
      <c r="S1877" s="1" t="str">
        <f aca="false">IF($C1877="","",$C1877&amp;"|"&amp;$E1877&amp;"|"&amp;$F1877&amp;"|"&amp;$L1877&amp;"|"&amp;$P1877&amp;"|"&amp;TEXT($H1877,"yyyy-mm-dd"))</f>
        <v/>
      </c>
      <c r="T1877" s="1" t="str">
        <f aca="false">IF($S1877="","",IF(COUNTIF($S$2:$S$2991,$S1877)&gt;1,"DUPLICATE","OK"))</f>
        <v/>
      </c>
      <c r="U1877" s="0" t="str">
        <f aca="false">IF($L1877="","",IFERROR(VLOOKUP(--$L1877,MM_Income!$Z$5:$AC$204,3,FALSE()),"UNMAPPED"))</f>
        <v/>
      </c>
    </row>
    <row r="1878" customFormat="false" ht="13.5" hidden="false" customHeight="false" outlineLevel="0" collapsed="false">
      <c r="A1878" s="1" t="str">
        <f aca="false">IF($C1878="","",Controls!$B$7)</f>
        <v/>
      </c>
      <c r="B1878" s="1" t="str">
        <f aca="false">IF($H1878="","",YEAR($H1878)&amp;"-Q"&amp;ROUNDUP(MONTH($H1878)/3,0))</f>
        <v/>
      </c>
      <c r="S1878" s="1" t="str">
        <f aca="false">IF($C1878="","",$C1878&amp;"|"&amp;$E1878&amp;"|"&amp;$F1878&amp;"|"&amp;$L1878&amp;"|"&amp;$P1878&amp;"|"&amp;TEXT($H1878,"yyyy-mm-dd"))</f>
        <v/>
      </c>
      <c r="T1878" s="1" t="str">
        <f aca="false">IF($S1878="","",IF(COUNTIF($S$2:$S$2991,$S1878)&gt;1,"DUPLICATE","OK"))</f>
        <v/>
      </c>
      <c r="U1878" s="0" t="str">
        <f aca="false">IF($L1878="","",IFERROR(VLOOKUP(--$L1878,MM_Income!$Z$5:$AC$204,3,FALSE()),"UNMAPPED"))</f>
        <v/>
      </c>
    </row>
    <row r="1879" customFormat="false" ht="13.5" hidden="false" customHeight="false" outlineLevel="0" collapsed="false">
      <c r="A1879" s="1" t="str">
        <f aca="false">IF($C1879="","",Controls!$B$7)</f>
        <v/>
      </c>
      <c r="B1879" s="1" t="str">
        <f aca="false">IF($H1879="","",YEAR($H1879)&amp;"-Q"&amp;ROUNDUP(MONTH($H1879)/3,0))</f>
        <v/>
      </c>
      <c r="S1879" s="1" t="str">
        <f aca="false">IF($C1879="","",$C1879&amp;"|"&amp;$E1879&amp;"|"&amp;$F1879&amp;"|"&amp;$L1879&amp;"|"&amp;$P1879&amp;"|"&amp;TEXT($H1879,"yyyy-mm-dd"))</f>
        <v/>
      </c>
      <c r="T1879" s="1" t="str">
        <f aca="false">IF($S1879="","",IF(COUNTIF($S$2:$S$2991,$S1879)&gt;1,"DUPLICATE","OK"))</f>
        <v/>
      </c>
      <c r="U1879" s="0" t="str">
        <f aca="false">IF($L1879="","",IFERROR(VLOOKUP(--$L1879,MM_Income!$Z$5:$AC$204,3,FALSE()),"UNMAPPED"))</f>
        <v/>
      </c>
    </row>
    <row r="1880" customFormat="false" ht="13.5" hidden="false" customHeight="false" outlineLevel="0" collapsed="false">
      <c r="A1880" s="1" t="str">
        <f aca="false">IF($C1880="","",Controls!$B$7)</f>
        <v/>
      </c>
      <c r="B1880" s="1" t="str">
        <f aca="false">IF($H1880="","",YEAR($H1880)&amp;"-Q"&amp;ROUNDUP(MONTH($H1880)/3,0))</f>
        <v/>
      </c>
      <c r="S1880" s="1" t="str">
        <f aca="false">IF($C1880="","",$C1880&amp;"|"&amp;$E1880&amp;"|"&amp;$F1880&amp;"|"&amp;$L1880&amp;"|"&amp;$P1880&amp;"|"&amp;TEXT($H1880,"yyyy-mm-dd"))</f>
        <v/>
      </c>
      <c r="T1880" s="1" t="str">
        <f aca="false">IF($S1880="","",IF(COUNTIF($S$2:$S$2991,$S1880)&gt;1,"DUPLICATE","OK"))</f>
        <v/>
      </c>
      <c r="U1880" s="0" t="str">
        <f aca="false">IF($L1880="","",IFERROR(VLOOKUP(--$L1880,MM_Income!$Z$5:$AC$204,3,FALSE()),"UNMAPPED"))</f>
        <v/>
      </c>
    </row>
    <row r="1881" customFormat="false" ht="13.5" hidden="false" customHeight="false" outlineLevel="0" collapsed="false">
      <c r="A1881" s="1" t="str">
        <f aca="false">IF($C1881="","",Controls!$B$7)</f>
        <v/>
      </c>
      <c r="B1881" s="1" t="str">
        <f aca="false">IF($H1881="","",YEAR($H1881)&amp;"-Q"&amp;ROUNDUP(MONTH($H1881)/3,0))</f>
        <v/>
      </c>
      <c r="S1881" s="1" t="str">
        <f aca="false">IF($C1881="","",$C1881&amp;"|"&amp;$E1881&amp;"|"&amp;$F1881&amp;"|"&amp;$L1881&amp;"|"&amp;$P1881&amp;"|"&amp;TEXT($H1881,"yyyy-mm-dd"))</f>
        <v/>
      </c>
      <c r="T1881" s="1" t="str">
        <f aca="false">IF($S1881="","",IF(COUNTIF($S$2:$S$2991,$S1881)&gt;1,"DUPLICATE","OK"))</f>
        <v/>
      </c>
      <c r="U1881" s="0" t="str">
        <f aca="false">IF($L1881="","",IFERROR(VLOOKUP(--$L1881,MM_Income!$Z$5:$AC$204,3,FALSE()),"UNMAPPED"))</f>
        <v/>
      </c>
    </row>
    <row r="1882" customFormat="false" ht="13.5" hidden="false" customHeight="false" outlineLevel="0" collapsed="false">
      <c r="A1882" s="1" t="str">
        <f aca="false">IF($C1882="","",Controls!$B$7)</f>
        <v/>
      </c>
      <c r="B1882" s="1" t="str">
        <f aca="false">IF($H1882="","",YEAR($H1882)&amp;"-Q"&amp;ROUNDUP(MONTH($H1882)/3,0))</f>
        <v/>
      </c>
      <c r="S1882" s="1" t="str">
        <f aca="false">IF($C1882="","",$C1882&amp;"|"&amp;$E1882&amp;"|"&amp;$F1882&amp;"|"&amp;$L1882&amp;"|"&amp;$P1882&amp;"|"&amp;TEXT($H1882,"yyyy-mm-dd"))</f>
        <v/>
      </c>
      <c r="T1882" s="1" t="str">
        <f aca="false">IF($S1882="","",IF(COUNTIF($S$2:$S$2991,$S1882)&gt;1,"DUPLICATE","OK"))</f>
        <v/>
      </c>
      <c r="U1882" s="0" t="str">
        <f aca="false">IF($L1882="","",IFERROR(VLOOKUP(--$L1882,MM_Income!$Z$5:$AC$204,3,FALSE()),"UNMAPPED"))</f>
        <v/>
      </c>
    </row>
    <row r="1883" customFormat="false" ht="13.5" hidden="false" customHeight="false" outlineLevel="0" collapsed="false">
      <c r="A1883" s="1" t="str">
        <f aca="false">IF($C1883="","",Controls!$B$7)</f>
        <v/>
      </c>
      <c r="B1883" s="1" t="str">
        <f aca="false">IF($H1883="","",YEAR($H1883)&amp;"-Q"&amp;ROUNDUP(MONTH($H1883)/3,0))</f>
        <v/>
      </c>
      <c r="S1883" s="1" t="str">
        <f aca="false">IF($C1883="","",$C1883&amp;"|"&amp;$E1883&amp;"|"&amp;$F1883&amp;"|"&amp;$L1883&amp;"|"&amp;$P1883&amp;"|"&amp;TEXT($H1883,"yyyy-mm-dd"))</f>
        <v/>
      </c>
      <c r="T1883" s="1" t="str">
        <f aca="false">IF($S1883="","",IF(COUNTIF($S$2:$S$2991,$S1883)&gt;1,"DUPLICATE","OK"))</f>
        <v/>
      </c>
      <c r="U1883" s="0" t="str">
        <f aca="false">IF($L1883="","",IFERROR(VLOOKUP(--$L1883,MM_Income!$Z$5:$AC$204,3,FALSE()),"UNMAPPED"))</f>
        <v/>
      </c>
    </row>
    <row r="1884" customFormat="false" ht="13.5" hidden="false" customHeight="false" outlineLevel="0" collapsed="false">
      <c r="A1884" s="1" t="str">
        <f aca="false">IF($C1884="","",Controls!$B$7)</f>
        <v/>
      </c>
      <c r="B1884" s="1" t="str">
        <f aca="false">IF($H1884="","",YEAR($H1884)&amp;"-Q"&amp;ROUNDUP(MONTH($H1884)/3,0))</f>
        <v/>
      </c>
      <c r="S1884" s="1" t="str">
        <f aca="false">IF($C1884="","",$C1884&amp;"|"&amp;$E1884&amp;"|"&amp;$F1884&amp;"|"&amp;$L1884&amp;"|"&amp;$P1884&amp;"|"&amp;TEXT($H1884,"yyyy-mm-dd"))</f>
        <v/>
      </c>
      <c r="T1884" s="1" t="str">
        <f aca="false">IF($S1884="","",IF(COUNTIF($S$2:$S$2991,$S1884)&gt;1,"DUPLICATE","OK"))</f>
        <v/>
      </c>
      <c r="U1884" s="0" t="str">
        <f aca="false">IF($L1884="","",IFERROR(VLOOKUP(--$L1884,MM_Income!$Z$5:$AC$204,3,FALSE()),"UNMAPPED"))</f>
        <v/>
      </c>
    </row>
    <row r="1885" customFormat="false" ht="13.5" hidden="false" customHeight="false" outlineLevel="0" collapsed="false">
      <c r="A1885" s="1" t="str">
        <f aca="false">IF($C1885="","",Controls!$B$7)</f>
        <v/>
      </c>
      <c r="B1885" s="1" t="str">
        <f aca="false">IF($H1885="","",YEAR($H1885)&amp;"-Q"&amp;ROUNDUP(MONTH($H1885)/3,0))</f>
        <v/>
      </c>
      <c r="S1885" s="1" t="str">
        <f aca="false">IF($C1885="","",$C1885&amp;"|"&amp;$E1885&amp;"|"&amp;$F1885&amp;"|"&amp;$L1885&amp;"|"&amp;$P1885&amp;"|"&amp;TEXT($H1885,"yyyy-mm-dd"))</f>
        <v/>
      </c>
      <c r="T1885" s="1" t="str">
        <f aca="false">IF($S1885="","",IF(COUNTIF($S$2:$S$2991,$S1885)&gt;1,"DUPLICATE","OK"))</f>
        <v/>
      </c>
      <c r="U1885" s="0" t="str">
        <f aca="false">IF($L1885="","",IFERROR(VLOOKUP(--$L1885,MM_Income!$Z$5:$AC$204,3,FALSE()),"UNMAPPED"))</f>
        <v/>
      </c>
    </row>
    <row r="1886" customFormat="false" ht="13.5" hidden="false" customHeight="false" outlineLevel="0" collapsed="false">
      <c r="A1886" s="1" t="str">
        <f aca="false">IF($C1886="","",Controls!$B$7)</f>
        <v/>
      </c>
      <c r="B1886" s="1" t="str">
        <f aca="false">IF($H1886="","",YEAR($H1886)&amp;"-Q"&amp;ROUNDUP(MONTH($H1886)/3,0))</f>
        <v/>
      </c>
      <c r="S1886" s="1" t="str">
        <f aca="false">IF($C1886="","",$C1886&amp;"|"&amp;$E1886&amp;"|"&amp;$F1886&amp;"|"&amp;$L1886&amp;"|"&amp;$P1886&amp;"|"&amp;TEXT($H1886,"yyyy-mm-dd"))</f>
        <v/>
      </c>
      <c r="T1886" s="1" t="str">
        <f aca="false">IF($S1886="","",IF(COUNTIF($S$2:$S$2991,$S1886)&gt;1,"DUPLICATE","OK"))</f>
        <v/>
      </c>
      <c r="U1886" s="0" t="str">
        <f aca="false">IF($L1886="","",IFERROR(VLOOKUP(--$L1886,MM_Income!$Z$5:$AC$204,3,FALSE()),"UNMAPPED"))</f>
        <v/>
      </c>
    </row>
    <row r="1887" customFormat="false" ht="13.5" hidden="false" customHeight="false" outlineLevel="0" collapsed="false">
      <c r="A1887" s="1" t="str">
        <f aca="false">IF($C1887="","",Controls!$B$7)</f>
        <v/>
      </c>
      <c r="B1887" s="1" t="str">
        <f aca="false">IF($H1887="","",YEAR($H1887)&amp;"-Q"&amp;ROUNDUP(MONTH($H1887)/3,0))</f>
        <v/>
      </c>
      <c r="S1887" s="1" t="str">
        <f aca="false">IF($C1887="","",$C1887&amp;"|"&amp;$E1887&amp;"|"&amp;$F1887&amp;"|"&amp;$L1887&amp;"|"&amp;$P1887&amp;"|"&amp;TEXT($H1887,"yyyy-mm-dd"))</f>
        <v/>
      </c>
      <c r="T1887" s="1" t="str">
        <f aca="false">IF($S1887="","",IF(COUNTIF($S$2:$S$2991,$S1887)&gt;1,"DUPLICATE","OK"))</f>
        <v/>
      </c>
      <c r="U1887" s="0" t="str">
        <f aca="false">IF($L1887="","",IFERROR(VLOOKUP(--$L1887,MM_Income!$Z$5:$AC$204,3,FALSE()),"UNMAPPED"))</f>
        <v/>
      </c>
    </row>
    <row r="1888" customFormat="false" ht="13.5" hidden="false" customHeight="false" outlineLevel="0" collapsed="false">
      <c r="A1888" s="1" t="str">
        <f aca="false">IF($C1888="","",Controls!$B$7)</f>
        <v/>
      </c>
      <c r="B1888" s="1" t="str">
        <f aca="false">IF($H1888="","",YEAR($H1888)&amp;"-Q"&amp;ROUNDUP(MONTH($H1888)/3,0))</f>
        <v/>
      </c>
      <c r="S1888" s="1" t="str">
        <f aca="false">IF($C1888="","",$C1888&amp;"|"&amp;$E1888&amp;"|"&amp;$F1888&amp;"|"&amp;$L1888&amp;"|"&amp;$P1888&amp;"|"&amp;TEXT($H1888,"yyyy-mm-dd"))</f>
        <v/>
      </c>
      <c r="T1888" s="1" t="str">
        <f aca="false">IF($S1888="","",IF(COUNTIF($S$2:$S$2991,$S1888)&gt;1,"DUPLICATE","OK"))</f>
        <v/>
      </c>
      <c r="U1888" s="0" t="str">
        <f aca="false">IF($L1888="","",IFERROR(VLOOKUP(--$L1888,MM_Income!$Z$5:$AC$204,3,FALSE()),"UNMAPPED"))</f>
        <v/>
      </c>
    </row>
    <row r="1889" customFormat="false" ht="13.5" hidden="false" customHeight="false" outlineLevel="0" collapsed="false">
      <c r="A1889" s="1" t="str">
        <f aca="false">IF($C1889="","",Controls!$B$7)</f>
        <v/>
      </c>
      <c r="B1889" s="1" t="str">
        <f aca="false">IF($H1889="","",YEAR($H1889)&amp;"-Q"&amp;ROUNDUP(MONTH($H1889)/3,0))</f>
        <v/>
      </c>
      <c r="S1889" s="1" t="str">
        <f aca="false">IF($C1889="","",$C1889&amp;"|"&amp;$E1889&amp;"|"&amp;$F1889&amp;"|"&amp;$L1889&amp;"|"&amp;$P1889&amp;"|"&amp;TEXT($H1889,"yyyy-mm-dd"))</f>
        <v/>
      </c>
      <c r="T1889" s="1" t="str">
        <f aca="false">IF($S1889="","",IF(COUNTIF($S$2:$S$2991,$S1889)&gt;1,"DUPLICATE","OK"))</f>
        <v/>
      </c>
      <c r="U1889" s="0" t="str">
        <f aca="false">IF($L1889="","",IFERROR(VLOOKUP(--$L1889,MM_Income!$Z$5:$AC$204,3,FALSE()),"UNMAPPED"))</f>
        <v/>
      </c>
    </row>
    <row r="1890" customFormat="false" ht="13.5" hidden="false" customHeight="false" outlineLevel="0" collapsed="false">
      <c r="A1890" s="1" t="str">
        <f aca="false">IF($C1890="","",Controls!$B$7)</f>
        <v/>
      </c>
      <c r="B1890" s="1" t="str">
        <f aca="false">IF($H1890="","",YEAR($H1890)&amp;"-Q"&amp;ROUNDUP(MONTH($H1890)/3,0))</f>
        <v/>
      </c>
      <c r="S1890" s="1" t="str">
        <f aca="false">IF($C1890="","",$C1890&amp;"|"&amp;$E1890&amp;"|"&amp;$F1890&amp;"|"&amp;$L1890&amp;"|"&amp;$P1890&amp;"|"&amp;TEXT($H1890,"yyyy-mm-dd"))</f>
        <v/>
      </c>
      <c r="T1890" s="1" t="str">
        <f aca="false">IF($S1890="","",IF(COUNTIF($S$2:$S$2991,$S1890)&gt;1,"DUPLICATE","OK"))</f>
        <v/>
      </c>
      <c r="U1890" s="0" t="str">
        <f aca="false">IF($L1890="","",IFERROR(VLOOKUP(--$L1890,MM_Income!$Z$5:$AC$204,3,FALSE()),"UNMAPPED"))</f>
        <v/>
      </c>
    </row>
    <row r="1891" customFormat="false" ht="13.5" hidden="false" customHeight="false" outlineLevel="0" collapsed="false">
      <c r="A1891" s="1" t="str">
        <f aca="false">IF($C1891="","",Controls!$B$7)</f>
        <v/>
      </c>
      <c r="B1891" s="1" t="str">
        <f aca="false">IF($H1891="","",YEAR($H1891)&amp;"-Q"&amp;ROUNDUP(MONTH($H1891)/3,0))</f>
        <v/>
      </c>
      <c r="S1891" s="1" t="str">
        <f aca="false">IF($C1891="","",$C1891&amp;"|"&amp;$E1891&amp;"|"&amp;$F1891&amp;"|"&amp;$L1891&amp;"|"&amp;$P1891&amp;"|"&amp;TEXT($H1891,"yyyy-mm-dd"))</f>
        <v/>
      </c>
      <c r="T1891" s="1" t="str">
        <f aca="false">IF($S1891="","",IF(COUNTIF($S$2:$S$2991,$S1891)&gt;1,"DUPLICATE","OK"))</f>
        <v/>
      </c>
      <c r="U1891" s="0" t="str">
        <f aca="false">IF($L1891="","",IFERROR(VLOOKUP(--$L1891,MM_Income!$Z$5:$AC$204,3,FALSE()),"UNMAPPED"))</f>
        <v/>
      </c>
    </row>
    <row r="1892" customFormat="false" ht="13.5" hidden="false" customHeight="false" outlineLevel="0" collapsed="false">
      <c r="A1892" s="1" t="str">
        <f aca="false">IF($C1892="","",Controls!$B$7)</f>
        <v/>
      </c>
      <c r="B1892" s="1" t="str">
        <f aca="false">IF($H1892="","",YEAR($H1892)&amp;"-Q"&amp;ROUNDUP(MONTH($H1892)/3,0))</f>
        <v/>
      </c>
      <c r="S1892" s="1" t="str">
        <f aca="false">IF($C1892="","",$C1892&amp;"|"&amp;$E1892&amp;"|"&amp;$F1892&amp;"|"&amp;$L1892&amp;"|"&amp;$P1892&amp;"|"&amp;TEXT($H1892,"yyyy-mm-dd"))</f>
        <v/>
      </c>
      <c r="T1892" s="1" t="str">
        <f aca="false">IF($S1892="","",IF(COUNTIF($S$2:$S$2991,$S1892)&gt;1,"DUPLICATE","OK"))</f>
        <v/>
      </c>
      <c r="U1892" s="0" t="str">
        <f aca="false">IF($L1892="","",IFERROR(VLOOKUP(--$L1892,MM_Income!$Z$5:$AC$204,3,FALSE()),"UNMAPPED"))</f>
        <v/>
      </c>
    </row>
    <row r="1893" customFormat="false" ht="13.5" hidden="false" customHeight="false" outlineLevel="0" collapsed="false">
      <c r="A1893" s="1" t="str">
        <f aca="false">IF($C1893="","",Controls!$B$7)</f>
        <v/>
      </c>
      <c r="B1893" s="1" t="str">
        <f aca="false">IF($H1893="","",YEAR($H1893)&amp;"-Q"&amp;ROUNDUP(MONTH($H1893)/3,0))</f>
        <v/>
      </c>
      <c r="S1893" s="1" t="str">
        <f aca="false">IF($C1893="","",$C1893&amp;"|"&amp;$E1893&amp;"|"&amp;$F1893&amp;"|"&amp;$L1893&amp;"|"&amp;$P1893&amp;"|"&amp;TEXT($H1893,"yyyy-mm-dd"))</f>
        <v/>
      </c>
      <c r="T1893" s="1" t="str">
        <f aca="false">IF($S1893="","",IF(COUNTIF($S$2:$S$2991,$S1893)&gt;1,"DUPLICATE","OK"))</f>
        <v/>
      </c>
      <c r="U1893" s="0" t="str">
        <f aca="false">IF($L1893="","",IFERROR(VLOOKUP(--$L1893,MM_Income!$Z$5:$AC$204,3,FALSE()),"UNMAPPED"))</f>
        <v/>
      </c>
    </row>
    <row r="1894" customFormat="false" ht="13.5" hidden="false" customHeight="false" outlineLevel="0" collapsed="false">
      <c r="A1894" s="1" t="str">
        <f aca="false">IF($C1894="","",Controls!$B$7)</f>
        <v/>
      </c>
      <c r="B1894" s="1" t="str">
        <f aca="false">IF($H1894="","",YEAR($H1894)&amp;"-Q"&amp;ROUNDUP(MONTH($H1894)/3,0))</f>
        <v/>
      </c>
      <c r="S1894" s="1" t="str">
        <f aca="false">IF($C1894="","",$C1894&amp;"|"&amp;$E1894&amp;"|"&amp;$F1894&amp;"|"&amp;$L1894&amp;"|"&amp;$P1894&amp;"|"&amp;TEXT($H1894,"yyyy-mm-dd"))</f>
        <v/>
      </c>
      <c r="T1894" s="1" t="str">
        <f aca="false">IF($S1894="","",IF(COUNTIF($S$2:$S$2991,$S1894)&gt;1,"DUPLICATE","OK"))</f>
        <v/>
      </c>
      <c r="U1894" s="0" t="str">
        <f aca="false">IF($L1894="","",IFERROR(VLOOKUP(--$L1894,MM_Income!$Z$5:$AC$204,3,FALSE()),"UNMAPPED"))</f>
        <v/>
      </c>
    </row>
    <row r="1895" customFormat="false" ht="13.5" hidden="false" customHeight="false" outlineLevel="0" collapsed="false">
      <c r="A1895" s="1" t="str">
        <f aca="false">IF($C1895="","",Controls!$B$7)</f>
        <v/>
      </c>
      <c r="B1895" s="1" t="str">
        <f aca="false">IF($H1895="","",YEAR($H1895)&amp;"-Q"&amp;ROUNDUP(MONTH($H1895)/3,0))</f>
        <v/>
      </c>
      <c r="S1895" s="1" t="str">
        <f aca="false">IF($C1895="","",$C1895&amp;"|"&amp;$E1895&amp;"|"&amp;$F1895&amp;"|"&amp;$L1895&amp;"|"&amp;$P1895&amp;"|"&amp;TEXT($H1895,"yyyy-mm-dd"))</f>
        <v/>
      </c>
      <c r="T1895" s="1" t="str">
        <f aca="false">IF($S1895="","",IF(COUNTIF($S$2:$S$2991,$S1895)&gt;1,"DUPLICATE","OK"))</f>
        <v/>
      </c>
      <c r="U1895" s="0" t="str">
        <f aca="false">IF($L1895="","",IFERROR(VLOOKUP(--$L1895,MM_Income!$Z$5:$AC$204,3,FALSE()),"UNMAPPED"))</f>
        <v/>
      </c>
    </row>
    <row r="1896" customFormat="false" ht="13.5" hidden="false" customHeight="false" outlineLevel="0" collapsed="false">
      <c r="A1896" s="1" t="str">
        <f aca="false">IF($C1896="","",Controls!$B$7)</f>
        <v/>
      </c>
      <c r="B1896" s="1" t="str">
        <f aca="false">IF($H1896="","",YEAR($H1896)&amp;"-Q"&amp;ROUNDUP(MONTH($H1896)/3,0))</f>
        <v/>
      </c>
      <c r="S1896" s="1" t="str">
        <f aca="false">IF($C1896="","",$C1896&amp;"|"&amp;$E1896&amp;"|"&amp;$F1896&amp;"|"&amp;$L1896&amp;"|"&amp;$P1896&amp;"|"&amp;TEXT($H1896,"yyyy-mm-dd"))</f>
        <v/>
      </c>
      <c r="T1896" s="1" t="str">
        <f aca="false">IF($S1896="","",IF(COUNTIF($S$2:$S$2991,$S1896)&gt;1,"DUPLICATE","OK"))</f>
        <v/>
      </c>
      <c r="U1896" s="0" t="str">
        <f aca="false">IF($L1896="","",IFERROR(VLOOKUP(--$L1896,MM_Income!$Z$5:$AC$204,3,FALSE()),"UNMAPPED"))</f>
        <v/>
      </c>
    </row>
    <row r="1897" customFormat="false" ht="13.5" hidden="false" customHeight="false" outlineLevel="0" collapsed="false">
      <c r="A1897" s="1" t="str">
        <f aca="false">IF($C1897="","",Controls!$B$7)</f>
        <v/>
      </c>
      <c r="B1897" s="1" t="str">
        <f aca="false">IF($H1897="","",YEAR($H1897)&amp;"-Q"&amp;ROUNDUP(MONTH($H1897)/3,0))</f>
        <v/>
      </c>
      <c r="S1897" s="1" t="str">
        <f aca="false">IF($C1897="","",$C1897&amp;"|"&amp;$E1897&amp;"|"&amp;$F1897&amp;"|"&amp;$L1897&amp;"|"&amp;$P1897&amp;"|"&amp;TEXT($H1897,"yyyy-mm-dd"))</f>
        <v/>
      </c>
      <c r="T1897" s="1" t="str">
        <f aca="false">IF($S1897="","",IF(COUNTIF($S$2:$S$2991,$S1897)&gt;1,"DUPLICATE","OK"))</f>
        <v/>
      </c>
      <c r="U1897" s="0" t="str">
        <f aca="false">IF($L1897="","",IFERROR(VLOOKUP(--$L1897,MM_Income!$Z$5:$AC$204,3,FALSE()),"UNMAPPED"))</f>
        <v/>
      </c>
    </row>
    <row r="1898" customFormat="false" ht="13.5" hidden="false" customHeight="false" outlineLevel="0" collapsed="false">
      <c r="A1898" s="1" t="str">
        <f aca="false">IF($C1898="","",Controls!$B$7)</f>
        <v/>
      </c>
      <c r="B1898" s="1" t="str">
        <f aca="false">IF($H1898="","",YEAR($H1898)&amp;"-Q"&amp;ROUNDUP(MONTH($H1898)/3,0))</f>
        <v/>
      </c>
      <c r="S1898" s="1" t="str">
        <f aca="false">IF($C1898="","",$C1898&amp;"|"&amp;$E1898&amp;"|"&amp;$F1898&amp;"|"&amp;$L1898&amp;"|"&amp;$P1898&amp;"|"&amp;TEXT($H1898,"yyyy-mm-dd"))</f>
        <v/>
      </c>
      <c r="T1898" s="1" t="str">
        <f aca="false">IF($S1898="","",IF(COUNTIF($S$2:$S$2991,$S1898)&gt;1,"DUPLICATE","OK"))</f>
        <v/>
      </c>
      <c r="U1898" s="0" t="str">
        <f aca="false">IF($L1898="","",IFERROR(VLOOKUP(--$L1898,MM_Income!$Z$5:$AC$204,3,FALSE()),"UNMAPPED"))</f>
        <v/>
      </c>
    </row>
    <row r="1899" customFormat="false" ht="13.5" hidden="false" customHeight="false" outlineLevel="0" collapsed="false">
      <c r="A1899" s="1" t="str">
        <f aca="false">IF($C1899="","",Controls!$B$7)</f>
        <v/>
      </c>
      <c r="B1899" s="1" t="str">
        <f aca="false">IF($H1899="","",YEAR($H1899)&amp;"-Q"&amp;ROUNDUP(MONTH($H1899)/3,0))</f>
        <v/>
      </c>
      <c r="S1899" s="1" t="str">
        <f aca="false">IF($C1899="","",$C1899&amp;"|"&amp;$E1899&amp;"|"&amp;$F1899&amp;"|"&amp;$L1899&amp;"|"&amp;$P1899&amp;"|"&amp;TEXT($H1899,"yyyy-mm-dd"))</f>
        <v/>
      </c>
      <c r="T1899" s="1" t="str">
        <f aca="false">IF($S1899="","",IF(COUNTIF($S$2:$S$2991,$S1899)&gt;1,"DUPLICATE","OK"))</f>
        <v/>
      </c>
      <c r="U1899" s="0" t="str">
        <f aca="false">IF($L1899="","",IFERROR(VLOOKUP(--$L1899,MM_Income!$Z$5:$AC$204,3,FALSE()),"UNMAPPED"))</f>
        <v/>
      </c>
    </row>
    <row r="1900" customFormat="false" ht="13.5" hidden="false" customHeight="false" outlineLevel="0" collapsed="false">
      <c r="A1900" s="1" t="str">
        <f aca="false">IF($C1900="","",Controls!$B$7)</f>
        <v/>
      </c>
      <c r="B1900" s="1" t="str">
        <f aca="false">IF($H1900="","",YEAR($H1900)&amp;"-Q"&amp;ROUNDUP(MONTH($H1900)/3,0))</f>
        <v/>
      </c>
      <c r="S1900" s="1" t="str">
        <f aca="false">IF($C1900="","",$C1900&amp;"|"&amp;$E1900&amp;"|"&amp;$F1900&amp;"|"&amp;$L1900&amp;"|"&amp;$P1900&amp;"|"&amp;TEXT($H1900,"yyyy-mm-dd"))</f>
        <v/>
      </c>
      <c r="T1900" s="1" t="str">
        <f aca="false">IF($S1900="","",IF(COUNTIF($S$2:$S$2991,$S1900)&gt;1,"DUPLICATE","OK"))</f>
        <v/>
      </c>
      <c r="U1900" s="0" t="str">
        <f aca="false">IF($L1900="","",IFERROR(VLOOKUP(--$L1900,MM_Income!$Z$5:$AC$204,3,FALSE()),"UNMAPPED"))</f>
        <v/>
      </c>
    </row>
    <row r="1901" customFormat="false" ht="13.5" hidden="false" customHeight="false" outlineLevel="0" collapsed="false">
      <c r="A1901" s="1" t="str">
        <f aca="false">IF($C1901="","",Controls!$B$7)</f>
        <v/>
      </c>
      <c r="B1901" s="1" t="str">
        <f aca="false">IF($H1901="","",YEAR($H1901)&amp;"-Q"&amp;ROUNDUP(MONTH($H1901)/3,0))</f>
        <v/>
      </c>
      <c r="S1901" s="1" t="str">
        <f aca="false">IF($C1901="","",$C1901&amp;"|"&amp;$E1901&amp;"|"&amp;$F1901&amp;"|"&amp;$L1901&amp;"|"&amp;$P1901&amp;"|"&amp;TEXT($H1901,"yyyy-mm-dd"))</f>
        <v/>
      </c>
      <c r="T1901" s="1" t="str">
        <f aca="false">IF($S1901="","",IF(COUNTIF($S$2:$S$2991,$S1901)&gt;1,"DUPLICATE","OK"))</f>
        <v/>
      </c>
      <c r="U1901" s="0" t="str">
        <f aca="false">IF($L1901="","",IFERROR(VLOOKUP(--$L1901,MM_Income!$Z$5:$AC$204,3,FALSE()),"UNMAPPED"))</f>
        <v/>
      </c>
    </row>
    <row r="1902" customFormat="false" ht="13.5" hidden="false" customHeight="false" outlineLevel="0" collapsed="false">
      <c r="A1902" s="1" t="str">
        <f aca="false">IF($C1902="","",Controls!$B$7)</f>
        <v/>
      </c>
      <c r="B1902" s="1" t="str">
        <f aca="false">IF($H1902="","",YEAR($H1902)&amp;"-Q"&amp;ROUNDUP(MONTH($H1902)/3,0))</f>
        <v/>
      </c>
      <c r="S1902" s="1" t="str">
        <f aca="false">IF($C1902="","",$C1902&amp;"|"&amp;$E1902&amp;"|"&amp;$F1902&amp;"|"&amp;$L1902&amp;"|"&amp;$P1902&amp;"|"&amp;TEXT($H1902,"yyyy-mm-dd"))</f>
        <v/>
      </c>
      <c r="T1902" s="1" t="str">
        <f aca="false">IF($S1902="","",IF(COUNTIF($S$2:$S$2991,$S1902)&gt;1,"DUPLICATE","OK"))</f>
        <v/>
      </c>
      <c r="U1902" s="0" t="str">
        <f aca="false">IF($L1902="","",IFERROR(VLOOKUP(--$L1902,MM_Income!$Z$5:$AC$204,3,FALSE()),"UNMAPPED"))</f>
        <v/>
      </c>
    </row>
    <row r="1903" customFormat="false" ht="13.5" hidden="false" customHeight="false" outlineLevel="0" collapsed="false">
      <c r="A1903" s="1" t="str">
        <f aca="false">IF($C1903="","",Controls!$B$7)</f>
        <v/>
      </c>
      <c r="B1903" s="1" t="str">
        <f aca="false">IF($H1903="","",YEAR($H1903)&amp;"-Q"&amp;ROUNDUP(MONTH($H1903)/3,0))</f>
        <v/>
      </c>
      <c r="S1903" s="1" t="str">
        <f aca="false">IF($C1903="","",$C1903&amp;"|"&amp;$E1903&amp;"|"&amp;$F1903&amp;"|"&amp;$L1903&amp;"|"&amp;$P1903&amp;"|"&amp;TEXT($H1903,"yyyy-mm-dd"))</f>
        <v/>
      </c>
      <c r="T1903" s="1" t="str">
        <f aca="false">IF($S1903="","",IF(COUNTIF($S$2:$S$2991,$S1903)&gt;1,"DUPLICATE","OK"))</f>
        <v/>
      </c>
      <c r="U1903" s="0" t="str">
        <f aca="false">IF($L1903="","",IFERROR(VLOOKUP(--$L1903,MM_Income!$Z$5:$AC$204,3,FALSE()),"UNMAPPED"))</f>
        <v/>
      </c>
    </row>
    <row r="1904" customFormat="false" ht="13.5" hidden="false" customHeight="false" outlineLevel="0" collapsed="false">
      <c r="A1904" s="1" t="str">
        <f aca="false">IF($C1904="","",Controls!$B$7)</f>
        <v/>
      </c>
      <c r="B1904" s="1" t="str">
        <f aca="false">IF($H1904="","",YEAR($H1904)&amp;"-Q"&amp;ROUNDUP(MONTH($H1904)/3,0))</f>
        <v/>
      </c>
      <c r="S1904" s="1" t="str">
        <f aca="false">IF($C1904="","",$C1904&amp;"|"&amp;$E1904&amp;"|"&amp;$F1904&amp;"|"&amp;$L1904&amp;"|"&amp;$P1904&amp;"|"&amp;TEXT($H1904,"yyyy-mm-dd"))</f>
        <v/>
      </c>
      <c r="T1904" s="1" t="str">
        <f aca="false">IF($S1904="","",IF(COUNTIF($S$2:$S$2991,$S1904)&gt;1,"DUPLICATE","OK"))</f>
        <v/>
      </c>
      <c r="U1904" s="0" t="str">
        <f aca="false">IF($L1904="","",IFERROR(VLOOKUP(--$L1904,MM_Income!$Z$5:$AC$204,3,FALSE()),"UNMAPPED"))</f>
        <v/>
      </c>
    </row>
    <row r="1905" customFormat="false" ht="13.5" hidden="false" customHeight="false" outlineLevel="0" collapsed="false">
      <c r="A1905" s="1" t="str">
        <f aca="false">IF($C1905="","",Controls!$B$7)</f>
        <v/>
      </c>
      <c r="B1905" s="1" t="str">
        <f aca="false">IF($H1905="","",YEAR($H1905)&amp;"-Q"&amp;ROUNDUP(MONTH($H1905)/3,0))</f>
        <v/>
      </c>
      <c r="S1905" s="1" t="str">
        <f aca="false">IF($C1905="","",$C1905&amp;"|"&amp;$E1905&amp;"|"&amp;$F1905&amp;"|"&amp;$L1905&amp;"|"&amp;$P1905&amp;"|"&amp;TEXT($H1905,"yyyy-mm-dd"))</f>
        <v/>
      </c>
      <c r="T1905" s="1" t="str">
        <f aca="false">IF($S1905="","",IF(COUNTIF($S$2:$S$2991,$S1905)&gt;1,"DUPLICATE","OK"))</f>
        <v/>
      </c>
      <c r="U1905" s="0" t="str">
        <f aca="false">IF($L1905="","",IFERROR(VLOOKUP(--$L1905,MM_Income!$Z$5:$AC$204,3,FALSE()),"UNMAPPED"))</f>
        <v/>
      </c>
    </row>
    <row r="1906" customFormat="false" ht="13.5" hidden="false" customHeight="false" outlineLevel="0" collapsed="false">
      <c r="A1906" s="1" t="str">
        <f aca="false">IF($C1906="","",Controls!$B$7)</f>
        <v/>
      </c>
      <c r="B1906" s="1" t="str">
        <f aca="false">IF($H1906="","",YEAR($H1906)&amp;"-Q"&amp;ROUNDUP(MONTH($H1906)/3,0))</f>
        <v/>
      </c>
      <c r="S1906" s="1" t="str">
        <f aca="false">IF($C1906="","",$C1906&amp;"|"&amp;$E1906&amp;"|"&amp;$F1906&amp;"|"&amp;$L1906&amp;"|"&amp;$P1906&amp;"|"&amp;TEXT($H1906,"yyyy-mm-dd"))</f>
        <v/>
      </c>
      <c r="T1906" s="1" t="str">
        <f aca="false">IF($S1906="","",IF(COUNTIF($S$2:$S$2991,$S1906)&gt;1,"DUPLICATE","OK"))</f>
        <v/>
      </c>
      <c r="U1906" s="0" t="str">
        <f aca="false">IF($L1906="","",IFERROR(VLOOKUP(--$L1906,MM_Income!$Z$5:$AC$204,3,FALSE()),"UNMAPPED"))</f>
        <v/>
      </c>
    </row>
    <row r="1907" customFormat="false" ht="13.5" hidden="false" customHeight="false" outlineLevel="0" collapsed="false">
      <c r="A1907" s="1" t="str">
        <f aca="false">IF($C1907="","",Controls!$B$7)</f>
        <v/>
      </c>
      <c r="B1907" s="1" t="str">
        <f aca="false">IF($H1907="","",YEAR($H1907)&amp;"-Q"&amp;ROUNDUP(MONTH($H1907)/3,0))</f>
        <v/>
      </c>
      <c r="S1907" s="1" t="str">
        <f aca="false">IF($C1907="","",$C1907&amp;"|"&amp;$E1907&amp;"|"&amp;$F1907&amp;"|"&amp;$L1907&amp;"|"&amp;$P1907&amp;"|"&amp;TEXT($H1907,"yyyy-mm-dd"))</f>
        <v/>
      </c>
      <c r="T1907" s="1" t="str">
        <f aca="false">IF($S1907="","",IF(COUNTIF($S$2:$S$2991,$S1907)&gt;1,"DUPLICATE","OK"))</f>
        <v/>
      </c>
      <c r="U1907" s="0" t="str">
        <f aca="false">IF($L1907="","",IFERROR(VLOOKUP(--$L1907,MM_Income!$Z$5:$AC$204,3,FALSE()),"UNMAPPED"))</f>
        <v/>
      </c>
    </row>
    <row r="1908" customFormat="false" ht="13.5" hidden="false" customHeight="false" outlineLevel="0" collapsed="false">
      <c r="A1908" s="1" t="str">
        <f aca="false">IF($C1908="","",Controls!$B$7)</f>
        <v/>
      </c>
      <c r="B1908" s="1" t="str">
        <f aca="false">IF($H1908="","",YEAR($H1908)&amp;"-Q"&amp;ROUNDUP(MONTH($H1908)/3,0))</f>
        <v/>
      </c>
      <c r="S1908" s="1" t="str">
        <f aca="false">IF($C1908="","",$C1908&amp;"|"&amp;$E1908&amp;"|"&amp;$F1908&amp;"|"&amp;$L1908&amp;"|"&amp;$P1908&amp;"|"&amp;TEXT($H1908,"yyyy-mm-dd"))</f>
        <v/>
      </c>
      <c r="T1908" s="1" t="str">
        <f aca="false">IF($S1908="","",IF(COUNTIF($S$2:$S$2991,$S1908)&gt;1,"DUPLICATE","OK"))</f>
        <v/>
      </c>
      <c r="U1908" s="0" t="str">
        <f aca="false">IF($L1908="","",IFERROR(VLOOKUP(--$L1908,MM_Income!$Z$5:$AC$204,3,FALSE()),"UNMAPPED"))</f>
        <v/>
      </c>
    </row>
    <row r="1909" customFormat="false" ht="13.5" hidden="false" customHeight="false" outlineLevel="0" collapsed="false">
      <c r="A1909" s="1" t="str">
        <f aca="false">IF($C1909="","",Controls!$B$7)</f>
        <v/>
      </c>
      <c r="B1909" s="1" t="str">
        <f aca="false">IF($H1909="","",YEAR($H1909)&amp;"-Q"&amp;ROUNDUP(MONTH($H1909)/3,0))</f>
        <v/>
      </c>
      <c r="S1909" s="1" t="str">
        <f aca="false">IF($C1909="","",$C1909&amp;"|"&amp;$E1909&amp;"|"&amp;$F1909&amp;"|"&amp;$L1909&amp;"|"&amp;$P1909&amp;"|"&amp;TEXT($H1909,"yyyy-mm-dd"))</f>
        <v/>
      </c>
      <c r="T1909" s="1" t="str">
        <f aca="false">IF($S1909="","",IF(COUNTIF($S$2:$S$2991,$S1909)&gt;1,"DUPLICATE","OK"))</f>
        <v/>
      </c>
      <c r="U1909" s="0" t="str">
        <f aca="false">IF($L1909="","",IFERROR(VLOOKUP(--$L1909,MM_Income!$Z$5:$AC$204,3,FALSE()),"UNMAPPED"))</f>
        <v/>
      </c>
    </row>
    <row r="1910" customFormat="false" ht="13.5" hidden="false" customHeight="false" outlineLevel="0" collapsed="false">
      <c r="A1910" s="1" t="str">
        <f aca="false">IF($C1910="","",Controls!$B$7)</f>
        <v/>
      </c>
      <c r="B1910" s="1" t="str">
        <f aca="false">IF($H1910="","",YEAR($H1910)&amp;"-Q"&amp;ROUNDUP(MONTH($H1910)/3,0))</f>
        <v/>
      </c>
      <c r="S1910" s="1" t="str">
        <f aca="false">IF($C1910="","",$C1910&amp;"|"&amp;$E1910&amp;"|"&amp;$F1910&amp;"|"&amp;$L1910&amp;"|"&amp;$P1910&amp;"|"&amp;TEXT($H1910,"yyyy-mm-dd"))</f>
        <v/>
      </c>
      <c r="T1910" s="1" t="str">
        <f aca="false">IF($S1910="","",IF(COUNTIF($S$2:$S$2991,$S1910)&gt;1,"DUPLICATE","OK"))</f>
        <v/>
      </c>
      <c r="U1910" s="0" t="str">
        <f aca="false">IF($L1910="","",IFERROR(VLOOKUP(--$L1910,MM_Income!$Z$5:$AC$204,3,FALSE()),"UNMAPPED"))</f>
        <v/>
      </c>
    </row>
    <row r="1911" customFormat="false" ht="13.5" hidden="false" customHeight="false" outlineLevel="0" collapsed="false">
      <c r="A1911" s="1" t="str">
        <f aca="false">IF($C1911="","",Controls!$B$7)</f>
        <v/>
      </c>
      <c r="B1911" s="1" t="str">
        <f aca="false">IF($H1911="","",YEAR($H1911)&amp;"-Q"&amp;ROUNDUP(MONTH($H1911)/3,0))</f>
        <v/>
      </c>
      <c r="S1911" s="1" t="str">
        <f aca="false">IF($C1911="","",$C1911&amp;"|"&amp;$E1911&amp;"|"&amp;$F1911&amp;"|"&amp;$L1911&amp;"|"&amp;$P1911&amp;"|"&amp;TEXT($H1911,"yyyy-mm-dd"))</f>
        <v/>
      </c>
      <c r="T1911" s="1" t="str">
        <f aca="false">IF($S1911="","",IF(COUNTIF($S$2:$S$2991,$S1911)&gt;1,"DUPLICATE","OK"))</f>
        <v/>
      </c>
      <c r="U1911" s="0" t="str">
        <f aca="false">IF($L1911="","",IFERROR(VLOOKUP(--$L1911,MM_Income!$Z$5:$AC$204,3,FALSE()),"UNMAPPED"))</f>
        <v/>
      </c>
    </row>
    <row r="1912" customFormat="false" ht="13.5" hidden="false" customHeight="false" outlineLevel="0" collapsed="false">
      <c r="A1912" s="1" t="str">
        <f aca="false">IF($C1912="","",Controls!$B$7)</f>
        <v/>
      </c>
      <c r="B1912" s="1" t="str">
        <f aca="false">IF($H1912="","",YEAR($H1912)&amp;"-Q"&amp;ROUNDUP(MONTH($H1912)/3,0))</f>
        <v/>
      </c>
      <c r="S1912" s="1" t="str">
        <f aca="false">IF($C1912="","",$C1912&amp;"|"&amp;$E1912&amp;"|"&amp;$F1912&amp;"|"&amp;$L1912&amp;"|"&amp;$P1912&amp;"|"&amp;TEXT($H1912,"yyyy-mm-dd"))</f>
        <v/>
      </c>
      <c r="T1912" s="1" t="str">
        <f aca="false">IF($S1912="","",IF(COUNTIF($S$2:$S$2991,$S1912)&gt;1,"DUPLICATE","OK"))</f>
        <v/>
      </c>
      <c r="U1912" s="0" t="str">
        <f aca="false">IF($L1912="","",IFERROR(VLOOKUP(--$L1912,MM_Income!$Z$5:$AC$204,3,FALSE()),"UNMAPPED"))</f>
        <v/>
      </c>
    </row>
    <row r="1913" customFormat="false" ht="13.5" hidden="false" customHeight="false" outlineLevel="0" collapsed="false">
      <c r="A1913" s="1" t="str">
        <f aca="false">IF($C1913="","",Controls!$B$7)</f>
        <v/>
      </c>
      <c r="B1913" s="1" t="str">
        <f aca="false">IF($H1913="","",YEAR($H1913)&amp;"-Q"&amp;ROUNDUP(MONTH($H1913)/3,0))</f>
        <v/>
      </c>
      <c r="S1913" s="1" t="str">
        <f aca="false">IF($C1913="","",$C1913&amp;"|"&amp;$E1913&amp;"|"&amp;$F1913&amp;"|"&amp;$L1913&amp;"|"&amp;$P1913&amp;"|"&amp;TEXT($H1913,"yyyy-mm-dd"))</f>
        <v/>
      </c>
      <c r="T1913" s="1" t="str">
        <f aca="false">IF($S1913="","",IF(COUNTIF($S$2:$S$2991,$S1913)&gt;1,"DUPLICATE","OK"))</f>
        <v/>
      </c>
      <c r="U1913" s="0" t="str">
        <f aca="false">IF($L1913="","",IFERROR(VLOOKUP(--$L1913,MM_Income!$Z$5:$AC$204,3,FALSE()),"UNMAPPED"))</f>
        <v/>
      </c>
    </row>
    <row r="1914" customFormat="false" ht="13.5" hidden="false" customHeight="false" outlineLevel="0" collapsed="false">
      <c r="A1914" s="1" t="str">
        <f aca="false">IF($C1914="","",Controls!$B$7)</f>
        <v/>
      </c>
      <c r="B1914" s="1" t="str">
        <f aca="false">IF($H1914="","",YEAR($H1914)&amp;"-Q"&amp;ROUNDUP(MONTH($H1914)/3,0))</f>
        <v/>
      </c>
      <c r="S1914" s="1" t="str">
        <f aca="false">IF($C1914="","",$C1914&amp;"|"&amp;$E1914&amp;"|"&amp;$F1914&amp;"|"&amp;$L1914&amp;"|"&amp;$P1914&amp;"|"&amp;TEXT($H1914,"yyyy-mm-dd"))</f>
        <v/>
      </c>
      <c r="T1914" s="1" t="str">
        <f aca="false">IF($S1914="","",IF(COUNTIF($S$2:$S$2991,$S1914)&gt;1,"DUPLICATE","OK"))</f>
        <v/>
      </c>
      <c r="U1914" s="0" t="str">
        <f aca="false">IF($L1914="","",IFERROR(VLOOKUP(--$L1914,MM_Income!$Z$5:$AC$204,3,FALSE()),"UNMAPPED"))</f>
        <v/>
      </c>
    </row>
    <row r="1915" customFormat="false" ht="13.5" hidden="false" customHeight="false" outlineLevel="0" collapsed="false">
      <c r="A1915" s="1" t="str">
        <f aca="false">IF($C1915="","",Controls!$B$7)</f>
        <v/>
      </c>
      <c r="B1915" s="1" t="str">
        <f aca="false">IF($H1915="","",YEAR($H1915)&amp;"-Q"&amp;ROUNDUP(MONTH($H1915)/3,0))</f>
        <v/>
      </c>
      <c r="S1915" s="1" t="str">
        <f aca="false">IF($C1915="","",$C1915&amp;"|"&amp;$E1915&amp;"|"&amp;$F1915&amp;"|"&amp;$L1915&amp;"|"&amp;$P1915&amp;"|"&amp;TEXT($H1915,"yyyy-mm-dd"))</f>
        <v/>
      </c>
      <c r="T1915" s="1" t="str">
        <f aca="false">IF($S1915="","",IF(COUNTIF($S$2:$S$2991,$S1915)&gt;1,"DUPLICATE","OK"))</f>
        <v/>
      </c>
      <c r="U1915" s="0" t="str">
        <f aca="false">IF($L1915="","",IFERROR(VLOOKUP(--$L1915,MM_Income!$Z$5:$AC$204,3,FALSE()),"UNMAPPED"))</f>
        <v/>
      </c>
    </row>
    <row r="1916" customFormat="false" ht="13.5" hidden="false" customHeight="false" outlineLevel="0" collapsed="false">
      <c r="A1916" s="1" t="str">
        <f aca="false">IF($C1916="","",Controls!$B$7)</f>
        <v/>
      </c>
      <c r="B1916" s="1" t="str">
        <f aca="false">IF($H1916="","",YEAR($H1916)&amp;"-Q"&amp;ROUNDUP(MONTH($H1916)/3,0))</f>
        <v/>
      </c>
      <c r="S1916" s="1" t="str">
        <f aca="false">IF($C1916="","",$C1916&amp;"|"&amp;$E1916&amp;"|"&amp;$F1916&amp;"|"&amp;$L1916&amp;"|"&amp;$P1916&amp;"|"&amp;TEXT($H1916,"yyyy-mm-dd"))</f>
        <v/>
      </c>
      <c r="T1916" s="1" t="str">
        <f aca="false">IF($S1916="","",IF(COUNTIF($S$2:$S$2991,$S1916)&gt;1,"DUPLICATE","OK"))</f>
        <v/>
      </c>
      <c r="U1916" s="0" t="str">
        <f aca="false">IF($L1916="","",IFERROR(VLOOKUP(--$L1916,MM_Income!$Z$5:$AC$204,3,FALSE()),"UNMAPPED"))</f>
        <v/>
      </c>
    </row>
    <row r="1917" customFormat="false" ht="13.5" hidden="false" customHeight="false" outlineLevel="0" collapsed="false">
      <c r="A1917" s="1" t="str">
        <f aca="false">IF($C1917="","",Controls!$B$7)</f>
        <v/>
      </c>
      <c r="B1917" s="1" t="str">
        <f aca="false">IF($H1917="","",YEAR($H1917)&amp;"-Q"&amp;ROUNDUP(MONTH($H1917)/3,0))</f>
        <v/>
      </c>
      <c r="S1917" s="1" t="str">
        <f aca="false">IF($C1917="","",$C1917&amp;"|"&amp;$E1917&amp;"|"&amp;$F1917&amp;"|"&amp;$L1917&amp;"|"&amp;$P1917&amp;"|"&amp;TEXT($H1917,"yyyy-mm-dd"))</f>
        <v/>
      </c>
      <c r="T1917" s="1" t="str">
        <f aca="false">IF($S1917="","",IF(COUNTIF($S$2:$S$2991,$S1917)&gt;1,"DUPLICATE","OK"))</f>
        <v/>
      </c>
      <c r="U1917" s="0" t="str">
        <f aca="false">IF($L1917="","",IFERROR(VLOOKUP(--$L1917,MM_Income!$Z$5:$AC$204,3,FALSE()),"UNMAPPED"))</f>
        <v/>
      </c>
    </row>
    <row r="1918" customFormat="false" ht="13.5" hidden="false" customHeight="false" outlineLevel="0" collapsed="false">
      <c r="A1918" s="1" t="str">
        <f aca="false">IF($C1918="","",Controls!$B$7)</f>
        <v/>
      </c>
      <c r="B1918" s="1" t="str">
        <f aca="false">IF($H1918="","",YEAR($H1918)&amp;"-Q"&amp;ROUNDUP(MONTH($H1918)/3,0))</f>
        <v/>
      </c>
      <c r="S1918" s="1" t="str">
        <f aca="false">IF($C1918="","",$C1918&amp;"|"&amp;$E1918&amp;"|"&amp;$F1918&amp;"|"&amp;$L1918&amp;"|"&amp;$P1918&amp;"|"&amp;TEXT($H1918,"yyyy-mm-dd"))</f>
        <v/>
      </c>
      <c r="T1918" s="1" t="str">
        <f aca="false">IF($S1918="","",IF(COUNTIF($S$2:$S$2991,$S1918)&gt;1,"DUPLICATE","OK"))</f>
        <v/>
      </c>
      <c r="U1918" s="0" t="str">
        <f aca="false">IF($L1918="","",IFERROR(VLOOKUP(--$L1918,MM_Income!$Z$5:$AC$204,3,FALSE()),"UNMAPPED"))</f>
        <v/>
      </c>
    </row>
    <row r="1919" customFormat="false" ht="13.5" hidden="false" customHeight="false" outlineLevel="0" collapsed="false">
      <c r="A1919" s="1" t="str">
        <f aca="false">IF($C1919="","",Controls!$B$7)</f>
        <v/>
      </c>
      <c r="B1919" s="1" t="str">
        <f aca="false">IF($H1919="","",YEAR($H1919)&amp;"-Q"&amp;ROUNDUP(MONTH($H1919)/3,0))</f>
        <v/>
      </c>
      <c r="S1919" s="1" t="str">
        <f aca="false">IF($C1919="","",$C1919&amp;"|"&amp;$E1919&amp;"|"&amp;$F1919&amp;"|"&amp;$L1919&amp;"|"&amp;$P1919&amp;"|"&amp;TEXT($H1919,"yyyy-mm-dd"))</f>
        <v/>
      </c>
      <c r="T1919" s="1" t="str">
        <f aca="false">IF($S1919="","",IF(COUNTIF($S$2:$S$2991,$S1919)&gt;1,"DUPLICATE","OK"))</f>
        <v/>
      </c>
      <c r="U1919" s="0" t="str">
        <f aca="false">IF($L1919="","",IFERROR(VLOOKUP(--$L1919,MM_Income!$Z$5:$AC$204,3,FALSE()),"UNMAPPED"))</f>
        <v/>
      </c>
    </row>
    <row r="1920" customFormat="false" ht="13.5" hidden="false" customHeight="false" outlineLevel="0" collapsed="false">
      <c r="A1920" s="1" t="str">
        <f aca="false">IF($C1920="","",Controls!$B$7)</f>
        <v/>
      </c>
      <c r="B1920" s="1" t="str">
        <f aca="false">IF($H1920="","",YEAR($H1920)&amp;"-Q"&amp;ROUNDUP(MONTH($H1920)/3,0))</f>
        <v/>
      </c>
      <c r="S1920" s="1" t="str">
        <f aca="false">IF($C1920="","",$C1920&amp;"|"&amp;$E1920&amp;"|"&amp;$F1920&amp;"|"&amp;$L1920&amp;"|"&amp;$P1920&amp;"|"&amp;TEXT($H1920,"yyyy-mm-dd"))</f>
        <v/>
      </c>
      <c r="T1920" s="1" t="str">
        <f aca="false">IF($S1920="","",IF(COUNTIF($S$2:$S$2991,$S1920)&gt;1,"DUPLICATE","OK"))</f>
        <v/>
      </c>
      <c r="U1920" s="0" t="str">
        <f aca="false">IF($L1920="","",IFERROR(VLOOKUP(--$L1920,MM_Income!$Z$5:$AC$204,3,FALSE()),"UNMAPPED"))</f>
        <v/>
      </c>
    </row>
    <row r="1921" customFormat="false" ht="13.5" hidden="false" customHeight="false" outlineLevel="0" collapsed="false">
      <c r="A1921" s="1" t="str">
        <f aca="false">IF($C1921="","",Controls!$B$7)</f>
        <v/>
      </c>
      <c r="B1921" s="1" t="str">
        <f aca="false">IF($H1921="","",YEAR($H1921)&amp;"-Q"&amp;ROUNDUP(MONTH($H1921)/3,0))</f>
        <v/>
      </c>
      <c r="S1921" s="1" t="str">
        <f aca="false">IF($C1921="","",$C1921&amp;"|"&amp;$E1921&amp;"|"&amp;$F1921&amp;"|"&amp;$L1921&amp;"|"&amp;$P1921&amp;"|"&amp;TEXT($H1921,"yyyy-mm-dd"))</f>
        <v/>
      </c>
      <c r="T1921" s="1" t="str">
        <f aca="false">IF($S1921="","",IF(COUNTIF($S$2:$S$2991,$S1921)&gt;1,"DUPLICATE","OK"))</f>
        <v/>
      </c>
      <c r="U1921" s="0" t="str">
        <f aca="false">IF($L1921="","",IFERROR(VLOOKUP(--$L1921,MM_Income!$Z$5:$AC$204,3,FALSE()),"UNMAPPED"))</f>
        <v/>
      </c>
    </row>
    <row r="1922" customFormat="false" ht="13.5" hidden="false" customHeight="false" outlineLevel="0" collapsed="false">
      <c r="A1922" s="1" t="str">
        <f aca="false">IF($C1922="","",Controls!$B$7)</f>
        <v/>
      </c>
      <c r="B1922" s="1" t="str">
        <f aca="false">IF($H1922="","",YEAR($H1922)&amp;"-Q"&amp;ROUNDUP(MONTH($H1922)/3,0))</f>
        <v/>
      </c>
      <c r="S1922" s="1" t="str">
        <f aca="false">IF($C1922="","",$C1922&amp;"|"&amp;$E1922&amp;"|"&amp;$F1922&amp;"|"&amp;$L1922&amp;"|"&amp;$P1922&amp;"|"&amp;TEXT($H1922,"yyyy-mm-dd"))</f>
        <v/>
      </c>
      <c r="T1922" s="1" t="str">
        <f aca="false">IF($S1922="","",IF(COUNTIF($S$2:$S$2991,$S1922)&gt;1,"DUPLICATE","OK"))</f>
        <v/>
      </c>
      <c r="U1922" s="0" t="str">
        <f aca="false">IF($L1922="","",IFERROR(VLOOKUP(--$L1922,MM_Income!$Z$5:$AC$204,3,FALSE()),"UNMAPPED"))</f>
        <v/>
      </c>
    </row>
    <row r="1923" customFormat="false" ht="13.5" hidden="false" customHeight="false" outlineLevel="0" collapsed="false">
      <c r="A1923" s="1" t="str">
        <f aca="false">IF($C1923="","",Controls!$B$7)</f>
        <v/>
      </c>
      <c r="B1923" s="1" t="str">
        <f aca="false">IF($H1923="","",YEAR($H1923)&amp;"-Q"&amp;ROUNDUP(MONTH($H1923)/3,0))</f>
        <v/>
      </c>
      <c r="S1923" s="1" t="str">
        <f aca="false">IF($C1923="","",$C1923&amp;"|"&amp;$E1923&amp;"|"&amp;$F1923&amp;"|"&amp;$L1923&amp;"|"&amp;$P1923&amp;"|"&amp;TEXT($H1923,"yyyy-mm-dd"))</f>
        <v/>
      </c>
      <c r="T1923" s="1" t="str">
        <f aca="false">IF($S1923="","",IF(COUNTIF($S$2:$S$2991,$S1923)&gt;1,"DUPLICATE","OK"))</f>
        <v/>
      </c>
      <c r="U1923" s="0" t="str">
        <f aca="false">IF($L1923="","",IFERROR(VLOOKUP(--$L1923,MM_Income!$Z$5:$AC$204,3,FALSE()),"UNMAPPED"))</f>
        <v/>
      </c>
    </row>
    <row r="1924" customFormat="false" ht="13.5" hidden="false" customHeight="false" outlineLevel="0" collapsed="false">
      <c r="A1924" s="1" t="str">
        <f aca="false">IF($C1924="","",Controls!$B$7)</f>
        <v/>
      </c>
      <c r="B1924" s="1" t="str">
        <f aca="false">IF($H1924="","",YEAR($H1924)&amp;"-Q"&amp;ROUNDUP(MONTH($H1924)/3,0))</f>
        <v/>
      </c>
      <c r="S1924" s="1" t="str">
        <f aca="false">IF($C1924="","",$C1924&amp;"|"&amp;$E1924&amp;"|"&amp;$F1924&amp;"|"&amp;$L1924&amp;"|"&amp;$P1924&amp;"|"&amp;TEXT($H1924,"yyyy-mm-dd"))</f>
        <v/>
      </c>
      <c r="T1924" s="1" t="str">
        <f aca="false">IF($S1924="","",IF(COUNTIF($S$2:$S$2991,$S1924)&gt;1,"DUPLICATE","OK"))</f>
        <v/>
      </c>
      <c r="U1924" s="0" t="str">
        <f aca="false">IF($L1924="","",IFERROR(VLOOKUP(--$L1924,MM_Income!$Z$5:$AC$204,3,FALSE()),"UNMAPPED"))</f>
        <v/>
      </c>
    </row>
    <row r="1925" customFormat="false" ht="13.5" hidden="false" customHeight="false" outlineLevel="0" collapsed="false">
      <c r="A1925" s="1" t="str">
        <f aca="false">IF($C1925="","",Controls!$B$7)</f>
        <v/>
      </c>
      <c r="B1925" s="1" t="str">
        <f aca="false">IF($H1925="","",YEAR($H1925)&amp;"-Q"&amp;ROUNDUP(MONTH($H1925)/3,0))</f>
        <v/>
      </c>
      <c r="S1925" s="1" t="str">
        <f aca="false">IF($C1925="","",$C1925&amp;"|"&amp;$E1925&amp;"|"&amp;$F1925&amp;"|"&amp;$L1925&amp;"|"&amp;$P1925&amp;"|"&amp;TEXT($H1925,"yyyy-mm-dd"))</f>
        <v/>
      </c>
      <c r="T1925" s="1" t="str">
        <f aca="false">IF($S1925="","",IF(COUNTIF($S$2:$S$2991,$S1925)&gt;1,"DUPLICATE","OK"))</f>
        <v/>
      </c>
      <c r="U1925" s="0" t="str">
        <f aca="false">IF($L1925="","",IFERROR(VLOOKUP(--$L1925,MM_Income!$Z$5:$AC$204,3,FALSE()),"UNMAPPED"))</f>
        <v/>
      </c>
    </row>
    <row r="1926" customFormat="false" ht="13.5" hidden="false" customHeight="false" outlineLevel="0" collapsed="false">
      <c r="A1926" s="1" t="str">
        <f aca="false">IF($C1926="","",Controls!$B$7)</f>
        <v/>
      </c>
      <c r="B1926" s="1" t="str">
        <f aca="false">IF($H1926="","",YEAR($H1926)&amp;"-Q"&amp;ROUNDUP(MONTH($H1926)/3,0))</f>
        <v/>
      </c>
      <c r="S1926" s="1" t="str">
        <f aca="false">IF($C1926="","",$C1926&amp;"|"&amp;$E1926&amp;"|"&amp;$F1926&amp;"|"&amp;$L1926&amp;"|"&amp;$P1926&amp;"|"&amp;TEXT($H1926,"yyyy-mm-dd"))</f>
        <v/>
      </c>
      <c r="T1926" s="1" t="str">
        <f aca="false">IF($S1926="","",IF(COUNTIF($S$2:$S$2991,$S1926)&gt;1,"DUPLICATE","OK"))</f>
        <v/>
      </c>
      <c r="U1926" s="0" t="str">
        <f aca="false">IF($L1926="","",IFERROR(VLOOKUP(--$L1926,MM_Income!$Z$5:$AC$204,3,FALSE()),"UNMAPPED"))</f>
        <v/>
      </c>
    </row>
    <row r="1927" customFormat="false" ht="13.5" hidden="false" customHeight="false" outlineLevel="0" collapsed="false">
      <c r="A1927" s="1" t="str">
        <f aca="false">IF($C1927="","",Controls!$B$7)</f>
        <v/>
      </c>
      <c r="B1927" s="1" t="str">
        <f aca="false">IF($H1927="","",YEAR($H1927)&amp;"-Q"&amp;ROUNDUP(MONTH($H1927)/3,0))</f>
        <v/>
      </c>
      <c r="S1927" s="1" t="str">
        <f aca="false">IF($C1927="","",$C1927&amp;"|"&amp;$E1927&amp;"|"&amp;$F1927&amp;"|"&amp;$L1927&amp;"|"&amp;$P1927&amp;"|"&amp;TEXT($H1927,"yyyy-mm-dd"))</f>
        <v/>
      </c>
      <c r="T1927" s="1" t="str">
        <f aca="false">IF($S1927="","",IF(COUNTIF($S$2:$S$2991,$S1927)&gt;1,"DUPLICATE","OK"))</f>
        <v/>
      </c>
      <c r="U1927" s="0" t="str">
        <f aca="false">IF($L1927="","",IFERROR(VLOOKUP(--$L1927,MM_Income!$Z$5:$AC$204,3,FALSE()),"UNMAPPED"))</f>
        <v/>
      </c>
    </row>
    <row r="1928" customFormat="false" ht="13.5" hidden="false" customHeight="false" outlineLevel="0" collapsed="false">
      <c r="A1928" s="1" t="str">
        <f aca="false">IF($C1928="","",Controls!$B$7)</f>
        <v/>
      </c>
      <c r="B1928" s="1" t="str">
        <f aca="false">IF($H1928="","",YEAR($H1928)&amp;"-Q"&amp;ROUNDUP(MONTH($H1928)/3,0))</f>
        <v/>
      </c>
      <c r="S1928" s="1" t="str">
        <f aca="false">IF($C1928="","",$C1928&amp;"|"&amp;$E1928&amp;"|"&amp;$F1928&amp;"|"&amp;$L1928&amp;"|"&amp;$P1928&amp;"|"&amp;TEXT($H1928,"yyyy-mm-dd"))</f>
        <v/>
      </c>
      <c r="T1928" s="1" t="str">
        <f aca="false">IF($S1928="","",IF(COUNTIF($S$2:$S$2991,$S1928)&gt;1,"DUPLICATE","OK"))</f>
        <v/>
      </c>
      <c r="U1928" s="0" t="str">
        <f aca="false">IF($L1928="","",IFERROR(VLOOKUP(--$L1928,MM_Income!$Z$5:$AC$204,3,FALSE()),"UNMAPPED"))</f>
        <v/>
      </c>
    </row>
    <row r="1929" customFormat="false" ht="13.5" hidden="false" customHeight="false" outlineLevel="0" collapsed="false">
      <c r="A1929" s="1" t="str">
        <f aca="false">IF($C1929="","",Controls!$B$7)</f>
        <v/>
      </c>
      <c r="B1929" s="1" t="str">
        <f aca="false">IF($H1929="","",YEAR($H1929)&amp;"-Q"&amp;ROUNDUP(MONTH($H1929)/3,0))</f>
        <v/>
      </c>
      <c r="S1929" s="1" t="str">
        <f aca="false">IF($C1929="","",$C1929&amp;"|"&amp;$E1929&amp;"|"&amp;$F1929&amp;"|"&amp;$L1929&amp;"|"&amp;$P1929&amp;"|"&amp;TEXT($H1929,"yyyy-mm-dd"))</f>
        <v/>
      </c>
      <c r="T1929" s="1" t="str">
        <f aca="false">IF($S1929="","",IF(COUNTIF($S$2:$S$2991,$S1929)&gt;1,"DUPLICATE","OK"))</f>
        <v/>
      </c>
      <c r="U1929" s="0" t="str">
        <f aca="false">IF($L1929="","",IFERROR(VLOOKUP(--$L1929,MM_Income!$Z$5:$AC$204,3,FALSE()),"UNMAPPED"))</f>
        <v/>
      </c>
    </row>
    <row r="1930" customFormat="false" ht="13.5" hidden="false" customHeight="false" outlineLevel="0" collapsed="false">
      <c r="A1930" s="1" t="str">
        <f aca="false">IF($C1930="","",Controls!$B$7)</f>
        <v/>
      </c>
      <c r="B1930" s="1" t="str">
        <f aca="false">IF($H1930="","",YEAR($H1930)&amp;"-Q"&amp;ROUNDUP(MONTH($H1930)/3,0))</f>
        <v/>
      </c>
      <c r="S1930" s="1" t="str">
        <f aca="false">IF($C1930="","",$C1930&amp;"|"&amp;$E1930&amp;"|"&amp;$F1930&amp;"|"&amp;$L1930&amp;"|"&amp;$P1930&amp;"|"&amp;TEXT($H1930,"yyyy-mm-dd"))</f>
        <v/>
      </c>
      <c r="T1930" s="1" t="str">
        <f aca="false">IF($S1930="","",IF(COUNTIF($S$2:$S$2991,$S1930)&gt;1,"DUPLICATE","OK"))</f>
        <v/>
      </c>
      <c r="U1930" s="0" t="str">
        <f aca="false">IF($L1930="","",IFERROR(VLOOKUP(--$L1930,MM_Income!$Z$5:$AC$204,3,FALSE()),"UNMAPPED"))</f>
        <v/>
      </c>
    </row>
    <row r="1931" customFormat="false" ht="13.5" hidden="false" customHeight="false" outlineLevel="0" collapsed="false">
      <c r="A1931" s="1" t="str">
        <f aca="false">IF($C1931="","",Controls!$B$7)</f>
        <v/>
      </c>
      <c r="B1931" s="1" t="str">
        <f aca="false">IF($H1931="","",YEAR($H1931)&amp;"-Q"&amp;ROUNDUP(MONTH($H1931)/3,0))</f>
        <v/>
      </c>
      <c r="S1931" s="1" t="str">
        <f aca="false">IF($C1931="","",$C1931&amp;"|"&amp;$E1931&amp;"|"&amp;$F1931&amp;"|"&amp;$L1931&amp;"|"&amp;$P1931&amp;"|"&amp;TEXT($H1931,"yyyy-mm-dd"))</f>
        <v/>
      </c>
      <c r="T1931" s="1" t="str">
        <f aca="false">IF($S1931="","",IF(COUNTIF($S$2:$S$2991,$S1931)&gt;1,"DUPLICATE","OK"))</f>
        <v/>
      </c>
      <c r="U1931" s="0" t="str">
        <f aca="false">IF($L1931="","",IFERROR(VLOOKUP(--$L1931,MM_Income!$Z$5:$AC$204,3,FALSE()),"UNMAPPED"))</f>
        <v/>
      </c>
    </row>
    <row r="1932" customFormat="false" ht="13.5" hidden="false" customHeight="false" outlineLevel="0" collapsed="false">
      <c r="A1932" s="1" t="str">
        <f aca="false">IF($C1932="","",Controls!$B$7)</f>
        <v/>
      </c>
      <c r="B1932" s="1" t="str">
        <f aca="false">IF($H1932="","",YEAR($H1932)&amp;"-Q"&amp;ROUNDUP(MONTH($H1932)/3,0))</f>
        <v/>
      </c>
      <c r="S1932" s="1" t="str">
        <f aca="false">IF($C1932="","",$C1932&amp;"|"&amp;$E1932&amp;"|"&amp;$F1932&amp;"|"&amp;$L1932&amp;"|"&amp;$P1932&amp;"|"&amp;TEXT($H1932,"yyyy-mm-dd"))</f>
        <v/>
      </c>
      <c r="T1932" s="1" t="str">
        <f aca="false">IF($S1932="","",IF(COUNTIF($S$2:$S$2991,$S1932)&gt;1,"DUPLICATE","OK"))</f>
        <v/>
      </c>
      <c r="U1932" s="0" t="str">
        <f aca="false">IF($L1932="","",IFERROR(VLOOKUP(--$L1932,MM_Income!$Z$5:$AC$204,3,FALSE()),"UNMAPPED"))</f>
        <v/>
      </c>
    </row>
    <row r="1933" customFormat="false" ht="13.5" hidden="false" customHeight="false" outlineLevel="0" collapsed="false">
      <c r="A1933" s="1" t="str">
        <f aca="false">IF($C1933="","",Controls!$B$7)</f>
        <v/>
      </c>
      <c r="B1933" s="1" t="str">
        <f aca="false">IF($H1933="","",YEAR($H1933)&amp;"-Q"&amp;ROUNDUP(MONTH($H1933)/3,0))</f>
        <v/>
      </c>
      <c r="S1933" s="1" t="str">
        <f aca="false">IF($C1933="","",$C1933&amp;"|"&amp;$E1933&amp;"|"&amp;$F1933&amp;"|"&amp;$L1933&amp;"|"&amp;$P1933&amp;"|"&amp;TEXT($H1933,"yyyy-mm-dd"))</f>
        <v/>
      </c>
      <c r="T1933" s="1" t="str">
        <f aca="false">IF($S1933="","",IF(COUNTIF($S$2:$S$2991,$S1933)&gt;1,"DUPLICATE","OK"))</f>
        <v/>
      </c>
      <c r="U1933" s="0" t="str">
        <f aca="false">IF($L1933="","",IFERROR(VLOOKUP(--$L1933,MM_Income!$Z$5:$AC$204,3,FALSE()),"UNMAPPED"))</f>
        <v/>
      </c>
    </row>
    <row r="1934" customFormat="false" ht="13.5" hidden="false" customHeight="false" outlineLevel="0" collapsed="false">
      <c r="A1934" s="1" t="str">
        <f aca="false">IF($C1934="","",Controls!$B$7)</f>
        <v/>
      </c>
      <c r="B1934" s="1" t="str">
        <f aca="false">IF($H1934="","",YEAR($H1934)&amp;"-Q"&amp;ROUNDUP(MONTH($H1934)/3,0))</f>
        <v/>
      </c>
      <c r="S1934" s="1" t="str">
        <f aca="false">IF($C1934="","",$C1934&amp;"|"&amp;$E1934&amp;"|"&amp;$F1934&amp;"|"&amp;$L1934&amp;"|"&amp;$P1934&amp;"|"&amp;TEXT($H1934,"yyyy-mm-dd"))</f>
        <v/>
      </c>
      <c r="T1934" s="1" t="str">
        <f aca="false">IF($S1934="","",IF(COUNTIF($S$2:$S$2991,$S1934)&gt;1,"DUPLICATE","OK"))</f>
        <v/>
      </c>
      <c r="U1934" s="0" t="str">
        <f aca="false">IF($L1934="","",IFERROR(VLOOKUP(--$L1934,MM_Income!$Z$5:$AC$204,3,FALSE()),"UNMAPPED"))</f>
        <v/>
      </c>
    </row>
    <row r="1935" customFormat="false" ht="13.5" hidden="false" customHeight="false" outlineLevel="0" collapsed="false">
      <c r="A1935" s="1" t="str">
        <f aca="false">IF($C1935="","",Controls!$B$7)</f>
        <v/>
      </c>
      <c r="B1935" s="1" t="str">
        <f aca="false">IF($H1935="","",YEAR($H1935)&amp;"-Q"&amp;ROUNDUP(MONTH($H1935)/3,0))</f>
        <v/>
      </c>
      <c r="S1935" s="1" t="str">
        <f aca="false">IF($C1935="","",$C1935&amp;"|"&amp;$E1935&amp;"|"&amp;$F1935&amp;"|"&amp;$L1935&amp;"|"&amp;$P1935&amp;"|"&amp;TEXT($H1935,"yyyy-mm-dd"))</f>
        <v/>
      </c>
      <c r="T1935" s="1" t="str">
        <f aca="false">IF($S1935="","",IF(COUNTIF($S$2:$S$2991,$S1935)&gt;1,"DUPLICATE","OK"))</f>
        <v/>
      </c>
      <c r="U1935" s="0" t="str">
        <f aca="false">IF($L1935="","",IFERROR(VLOOKUP(--$L1935,MM_Income!$Z$5:$AC$204,3,FALSE()),"UNMAPPED"))</f>
        <v/>
      </c>
    </row>
    <row r="1936" customFormat="false" ht="13.5" hidden="false" customHeight="false" outlineLevel="0" collapsed="false">
      <c r="A1936" s="1" t="str">
        <f aca="false">IF($C1936="","",Controls!$B$7)</f>
        <v/>
      </c>
      <c r="B1936" s="1" t="str">
        <f aca="false">IF($H1936="","",YEAR($H1936)&amp;"-Q"&amp;ROUNDUP(MONTH($H1936)/3,0))</f>
        <v/>
      </c>
      <c r="S1936" s="1" t="str">
        <f aca="false">IF($C1936="","",$C1936&amp;"|"&amp;$E1936&amp;"|"&amp;$F1936&amp;"|"&amp;$L1936&amp;"|"&amp;$P1936&amp;"|"&amp;TEXT($H1936,"yyyy-mm-dd"))</f>
        <v/>
      </c>
      <c r="T1936" s="1" t="str">
        <f aca="false">IF($S1936="","",IF(COUNTIF($S$2:$S$2991,$S1936)&gt;1,"DUPLICATE","OK"))</f>
        <v/>
      </c>
      <c r="U1936" s="0" t="str">
        <f aca="false">IF($L1936="","",IFERROR(VLOOKUP(--$L1936,MM_Income!$Z$5:$AC$204,3,FALSE()),"UNMAPPED"))</f>
        <v/>
      </c>
    </row>
    <row r="1937" customFormat="false" ht="13.5" hidden="false" customHeight="false" outlineLevel="0" collapsed="false">
      <c r="A1937" s="1" t="str">
        <f aca="false">IF($C1937="","",Controls!$B$7)</f>
        <v/>
      </c>
      <c r="B1937" s="1" t="str">
        <f aca="false">IF($H1937="","",YEAR($H1937)&amp;"-Q"&amp;ROUNDUP(MONTH($H1937)/3,0))</f>
        <v/>
      </c>
      <c r="S1937" s="1" t="str">
        <f aca="false">IF($C1937="","",$C1937&amp;"|"&amp;$E1937&amp;"|"&amp;$F1937&amp;"|"&amp;$L1937&amp;"|"&amp;$P1937&amp;"|"&amp;TEXT($H1937,"yyyy-mm-dd"))</f>
        <v/>
      </c>
      <c r="T1937" s="1" t="str">
        <f aca="false">IF($S1937="","",IF(COUNTIF($S$2:$S$2991,$S1937)&gt;1,"DUPLICATE","OK"))</f>
        <v/>
      </c>
      <c r="U1937" s="0" t="str">
        <f aca="false">IF($L1937="","",IFERROR(VLOOKUP(--$L1937,MM_Income!$Z$5:$AC$204,3,FALSE()),"UNMAPPED"))</f>
        <v/>
      </c>
    </row>
    <row r="1938" customFormat="false" ht="13.5" hidden="false" customHeight="false" outlineLevel="0" collapsed="false">
      <c r="A1938" s="1" t="str">
        <f aca="false">IF($C1938="","",Controls!$B$7)</f>
        <v/>
      </c>
      <c r="B1938" s="1" t="str">
        <f aca="false">IF($H1938="","",YEAR($H1938)&amp;"-Q"&amp;ROUNDUP(MONTH($H1938)/3,0))</f>
        <v/>
      </c>
      <c r="S1938" s="1" t="str">
        <f aca="false">IF($C1938="","",$C1938&amp;"|"&amp;$E1938&amp;"|"&amp;$F1938&amp;"|"&amp;$L1938&amp;"|"&amp;$P1938&amp;"|"&amp;TEXT($H1938,"yyyy-mm-dd"))</f>
        <v/>
      </c>
      <c r="T1938" s="1" t="str">
        <f aca="false">IF($S1938="","",IF(COUNTIF($S$2:$S$2991,$S1938)&gt;1,"DUPLICATE","OK"))</f>
        <v/>
      </c>
      <c r="U1938" s="0" t="str">
        <f aca="false">IF($L1938="","",IFERROR(VLOOKUP(--$L1938,MM_Income!$Z$5:$AC$204,3,FALSE()),"UNMAPPED"))</f>
        <v/>
      </c>
    </row>
    <row r="1939" customFormat="false" ht="13.5" hidden="false" customHeight="false" outlineLevel="0" collapsed="false">
      <c r="A1939" s="1" t="str">
        <f aca="false">IF($C1939="","",Controls!$B$7)</f>
        <v/>
      </c>
      <c r="B1939" s="1" t="str">
        <f aca="false">IF($H1939="","",YEAR($H1939)&amp;"-Q"&amp;ROUNDUP(MONTH($H1939)/3,0))</f>
        <v/>
      </c>
      <c r="S1939" s="1" t="str">
        <f aca="false">IF($C1939="","",$C1939&amp;"|"&amp;$E1939&amp;"|"&amp;$F1939&amp;"|"&amp;$L1939&amp;"|"&amp;$P1939&amp;"|"&amp;TEXT($H1939,"yyyy-mm-dd"))</f>
        <v/>
      </c>
      <c r="T1939" s="1" t="str">
        <f aca="false">IF($S1939="","",IF(COUNTIF($S$2:$S$2991,$S1939)&gt;1,"DUPLICATE","OK"))</f>
        <v/>
      </c>
      <c r="U1939" s="0" t="str">
        <f aca="false">IF($L1939="","",IFERROR(VLOOKUP(--$L1939,MM_Income!$Z$5:$AC$204,3,FALSE()),"UNMAPPED"))</f>
        <v/>
      </c>
    </row>
    <row r="1940" customFormat="false" ht="13.5" hidden="false" customHeight="false" outlineLevel="0" collapsed="false">
      <c r="A1940" s="1" t="str">
        <f aca="false">IF($C1940="","",Controls!$B$7)</f>
        <v/>
      </c>
      <c r="B1940" s="1" t="str">
        <f aca="false">IF($H1940="","",YEAR($H1940)&amp;"-Q"&amp;ROUNDUP(MONTH($H1940)/3,0))</f>
        <v/>
      </c>
      <c r="S1940" s="1" t="str">
        <f aca="false">IF($C1940="","",$C1940&amp;"|"&amp;$E1940&amp;"|"&amp;$F1940&amp;"|"&amp;$L1940&amp;"|"&amp;$P1940&amp;"|"&amp;TEXT($H1940,"yyyy-mm-dd"))</f>
        <v/>
      </c>
      <c r="T1940" s="1" t="str">
        <f aca="false">IF($S1940="","",IF(COUNTIF($S$2:$S$2991,$S1940)&gt;1,"DUPLICATE","OK"))</f>
        <v/>
      </c>
      <c r="U1940" s="0" t="str">
        <f aca="false">IF($L1940="","",IFERROR(VLOOKUP(--$L1940,MM_Income!$Z$5:$AC$204,3,FALSE()),"UNMAPPED"))</f>
        <v/>
      </c>
    </row>
    <row r="1941" customFormat="false" ht="13.5" hidden="false" customHeight="false" outlineLevel="0" collapsed="false">
      <c r="A1941" s="1" t="str">
        <f aca="false">IF($C1941="","",Controls!$B$7)</f>
        <v/>
      </c>
      <c r="B1941" s="1" t="str">
        <f aca="false">IF($H1941="","",YEAR($H1941)&amp;"-Q"&amp;ROUNDUP(MONTH($H1941)/3,0))</f>
        <v/>
      </c>
      <c r="S1941" s="1" t="str">
        <f aca="false">IF($C1941="","",$C1941&amp;"|"&amp;$E1941&amp;"|"&amp;$F1941&amp;"|"&amp;$L1941&amp;"|"&amp;$P1941&amp;"|"&amp;TEXT($H1941,"yyyy-mm-dd"))</f>
        <v/>
      </c>
      <c r="T1941" s="1" t="str">
        <f aca="false">IF($S1941="","",IF(COUNTIF($S$2:$S$2991,$S1941)&gt;1,"DUPLICATE","OK"))</f>
        <v/>
      </c>
      <c r="U1941" s="0" t="str">
        <f aca="false">IF($L1941="","",IFERROR(VLOOKUP(--$L1941,MM_Income!$Z$5:$AC$204,3,FALSE()),"UNMAPPED"))</f>
        <v/>
      </c>
    </row>
    <row r="1942" customFormat="false" ht="13.5" hidden="false" customHeight="false" outlineLevel="0" collapsed="false">
      <c r="A1942" s="1" t="str">
        <f aca="false">IF($C1942="","",Controls!$B$7)</f>
        <v/>
      </c>
      <c r="B1942" s="1" t="str">
        <f aca="false">IF($H1942="","",YEAR($H1942)&amp;"-Q"&amp;ROUNDUP(MONTH($H1942)/3,0))</f>
        <v/>
      </c>
      <c r="S1942" s="1" t="str">
        <f aca="false">IF($C1942="","",$C1942&amp;"|"&amp;$E1942&amp;"|"&amp;$F1942&amp;"|"&amp;$L1942&amp;"|"&amp;$P1942&amp;"|"&amp;TEXT($H1942,"yyyy-mm-dd"))</f>
        <v/>
      </c>
      <c r="T1942" s="1" t="str">
        <f aca="false">IF($S1942="","",IF(COUNTIF($S$2:$S$2991,$S1942)&gt;1,"DUPLICATE","OK"))</f>
        <v/>
      </c>
      <c r="U1942" s="0" t="str">
        <f aca="false">IF($L1942="","",IFERROR(VLOOKUP(--$L1942,MM_Income!$Z$5:$AC$204,3,FALSE()),"UNMAPPED"))</f>
        <v/>
      </c>
    </row>
    <row r="1943" customFormat="false" ht="13.5" hidden="false" customHeight="false" outlineLevel="0" collapsed="false">
      <c r="A1943" s="1" t="str">
        <f aca="false">IF($C1943="","",Controls!$B$7)</f>
        <v/>
      </c>
      <c r="B1943" s="1" t="str">
        <f aca="false">IF($H1943="","",YEAR($H1943)&amp;"-Q"&amp;ROUNDUP(MONTH($H1943)/3,0))</f>
        <v/>
      </c>
      <c r="S1943" s="1" t="str">
        <f aca="false">IF($C1943="","",$C1943&amp;"|"&amp;$E1943&amp;"|"&amp;$F1943&amp;"|"&amp;$L1943&amp;"|"&amp;$P1943&amp;"|"&amp;TEXT($H1943,"yyyy-mm-dd"))</f>
        <v/>
      </c>
      <c r="T1943" s="1" t="str">
        <f aca="false">IF($S1943="","",IF(COUNTIF($S$2:$S$2991,$S1943)&gt;1,"DUPLICATE","OK"))</f>
        <v/>
      </c>
      <c r="U1943" s="0" t="str">
        <f aca="false">IF($L1943="","",IFERROR(VLOOKUP(--$L1943,MM_Income!$Z$5:$AC$204,3,FALSE()),"UNMAPPED"))</f>
        <v/>
      </c>
    </row>
    <row r="1944" customFormat="false" ht="13.5" hidden="false" customHeight="false" outlineLevel="0" collapsed="false">
      <c r="A1944" s="1" t="str">
        <f aca="false">IF($C1944="","",Controls!$B$7)</f>
        <v/>
      </c>
      <c r="B1944" s="1" t="str">
        <f aca="false">IF($H1944="","",YEAR($H1944)&amp;"-Q"&amp;ROUNDUP(MONTH($H1944)/3,0))</f>
        <v/>
      </c>
      <c r="S1944" s="1" t="str">
        <f aca="false">IF($C1944="","",$C1944&amp;"|"&amp;$E1944&amp;"|"&amp;$F1944&amp;"|"&amp;$L1944&amp;"|"&amp;$P1944&amp;"|"&amp;TEXT($H1944,"yyyy-mm-dd"))</f>
        <v/>
      </c>
      <c r="T1944" s="1" t="str">
        <f aca="false">IF($S1944="","",IF(COUNTIF($S$2:$S$2991,$S1944)&gt;1,"DUPLICATE","OK"))</f>
        <v/>
      </c>
      <c r="U1944" s="0" t="str">
        <f aca="false">IF($L1944="","",IFERROR(VLOOKUP(--$L1944,MM_Income!$Z$5:$AC$204,3,FALSE()),"UNMAPPED"))</f>
        <v/>
      </c>
    </row>
    <row r="1945" customFormat="false" ht="13.5" hidden="false" customHeight="false" outlineLevel="0" collapsed="false">
      <c r="A1945" s="1" t="str">
        <f aca="false">IF($C1945="","",Controls!$B$7)</f>
        <v/>
      </c>
      <c r="B1945" s="1" t="str">
        <f aca="false">IF($H1945="","",YEAR($H1945)&amp;"-Q"&amp;ROUNDUP(MONTH($H1945)/3,0))</f>
        <v/>
      </c>
      <c r="S1945" s="1" t="str">
        <f aca="false">IF($C1945="","",$C1945&amp;"|"&amp;$E1945&amp;"|"&amp;$F1945&amp;"|"&amp;$L1945&amp;"|"&amp;$P1945&amp;"|"&amp;TEXT($H1945,"yyyy-mm-dd"))</f>
        <v/>
      </c>
      <c r="T1945" s="1" t="str">
        <f aca="false">IF($S1945="","",IF(COUNTIF($S$2:$S$2991,$S1945)&gt;1,"DUPLICATE","OK"))</f>
        <v/>
      </c>
      <c r="U1945" s="0" t="str">
        <f aca="false">IF($L1945="","",IFERROR(VLOOKUP(--$L1945,MM_Income!$Z$5:$AC$204,3,FALSE()),"UNMAPPED"))</f>
        <v/>
      </c>
    </row>
    <row r="1946" customFormat="false" ht="13.5" hidden="false" customHeight="false" outlineLevel="0" collapsed="false">
      <c r="A1946" s="1" t="str">
        <f aca="false">IF($C1946="","",Controls!$B$7)</f>
        <v/>
      </c>
      <c r="B1946" s="1" t="str">
        <f aca="false">IF($H1946="","",YEAR($H1946)&amp;"-Q"&amp;ROUNDUP(MONTH($H1946)/3,0))</f>
        <v/>
      </c>
      <c r="S1946" s="1" t="str">
        <f aca="false">IF($C1946="","",$C1946&amp;"|"&amp;$E1946&amp;"|"&amp;$F1946&amp;"|"&amp;$L1946&amp;"|"&amp;$P1946&amp;"|"&amp;TEXT($H1946,"yyyy-mm-dd"))</f>
        <v/>
      </c>
      <c r="T1946" s="1" t="str">
        <f aca="false">IF($S1946="","",IF(COUNTIF($S$2:$S$2991,$S1946)&gt;1,"DUPLICATE","OK"))</f>
        <v/>
      </c>
      <c r="U1946" s="0" t="str">
        <f aca="false">IF($L1946="","",IFERROR(VLOOKUP(--$L1946,MM_Income!$Z$5:$AC$204,3,FALSE()),"UNMAPPED"))</f>
        <v/>
      </c>
    </row>
    <row r="1947" customFormat="false" ht="13.5" hidden="false" customHeight="false" outlineLevel="0" collapsed="false">
      <c r="A1947" s="1" t="str">
        <f aca="false">IF($C1947="","",Controls!$B$7)</f>
        <v/>
      </c>
      <c r="B1947" s="1" t="str">
        <f aca="false">IF($H1947="","",YEAR($H1947)&amp;"-Q"&amp;ROUNDUP(MONTH($H1947)/3,0))</f>
        <v/>
      </c>
      <c r="S1947" s="1" t="str">
        <f aca="false">IF($C1947="","",$C1947&amp;"|"&amp;$E1947&amp;"|"&amp;$F1947&amp;"|"&amp;$L1947&amp;"|"&amp;$P1947&amp;"|"&amp;TEXT($H1947,"yyyy-mm-dd"))</f>
        <v/>
      </c>
      <c r="T1947" s="1" t="str">
        <f aca="false">IF($S1947="","",IF(COUNTIF($S$2:$S$2991,$S1947)&gt;1,"DUPLICATE","OK"))</f>
        <v/>
      </c>
      <c r="U1947" s="0" t="str">
        <f aca="false">IF($L1947="","",IFERROR(VLOOKUP(--$L1947,MM_Income!$Z$5:$AC$204,3,FALSE()),"UNMAPPED"))</f>
        <v/>
      </c>
    </row>
    <row r="1948" customFormat="false" ht="13.5" hidden="false" customHeight="false" outlineLevel="0" collapsed="false">
      <c r="A1948" s="1" t="str">
        <f aca="false">IF($C1948="","",Controls!$B$7)</f>
        <v/>
      </c>
      <c r="B1948" s="1" t="str">
        <f aca="false">IF($H1948="","",YEAR($H1948)&amp;"-Q"&amp;ROUNDUP(MONTH($H1948)/3,0))</f>
        <v/>
      </c>
      <c r="S1948" s="1" t="str">
        <f aca="false">IF($C1948="","",$C1948&amp;"|"&amp;$E1948&amp;"|"&amp;$F1948&amp;"|"&amp;$L1948&amp;"|"&amp;$P1948&amp;"|"&amp;TEXT($H1948,"yyyy-mm-dd"))</f>
        <v/>
      </c>
      <c r="T1948" s="1" t="str">
        <f aca="false">IF($S1948="","",IF(COUNTIF($S$2:$S$2991,$S1948)&gt;1,"DUPLICATE","OK"))</f>
        <v/>
      </c>
      <c r="U1948" s="0" t="str">
        <f aca="false">IF($L1948="","",IFERROR(VLOOKUP(--$L1948,MM_Income!$Z$5:$AC$204,3,FALSE()),"UNMAPPED"))</f>
        <v/>
      </c>
    </row>
    <row r="1949" customFormat="false" ht="13.5" hidden="false" customHeight="false" outlineLevel="0" collapsed="false">
      <c r="A1949" s="1" t="str">
        <f aca="false">IF($C1949="","",Controls!$B$7)</f>
        <v/>
      </c>
      <c r="B1949" s="1" t="str">
        <f aca="false">IF($H1949="","",YEAR($H1949)&amp;"-Q"&amp;ROUNDUP(MONTH($H1949)/3,0))</f>
        <v/>
      </c>
      <c r="S1949" s="1" t="str">
        <f aca="false">IF($C1949="","",$C1949&amp;"|"&amp;$E1949&amp;"|"&amp;$F1949&amp;"|"&amp;$L1949&amp;"|"&amp;$P1949&amp;"|"&amp;TEXT($H1949,"yyyy-mm-dd"))</f>
        <v/>
      </c>
      <c r="T1949" s="1" t="str">
        <f aca="false">IF($S1949="","",IF(COUNTIF($S$2:$S$2991,$S1949)&gt;1,"DUPLICATE","OK"))</f>
        <v/>
      </c>
      <c r="U1949" s="0" t="str">
        <f aca="false">IF($L1949="","",IFERROR(VLOOKUP(--$L1949,MM_Income!$Z$5:$AC$204,3,FALSE()),"UNMAPPED"))</f>
        <v/>
      </c>
    </row>
    <row r="1950" customFormat="false" ht="13.5" hidden="false" customHeight="false" outlineLevel="0" collapsed="false">
      <c r="A1950" s="1" t="str">
        <f aca="false">IF($C1950="","",Controls!$B$7)</f>
        <v/>
      </c>
      <c r="B1950" s="1" t="str">
        <f aca="false">IF($H1950="","",YEAR($H1950)&amp;"-Q"&amp;ROUNDUP(MONTH($H1950)/3,0))</f>
        <v/>
      </c>
      <c r="S1950" s="1" t="str">
        <f aca="false">IF($C1950="","",$C1950&amp;"|"&amp;$E1950&amp;"|"&amp;$F1950&amp;"|"&amp;$L1950&amp;"|"&amp;$P1950&amp;"|"&amp;TEXT($H1950,"yyyy-mm-dd"))</f>
        <v/>
      </c>
      <c r="T1950" s="1" t="str">
        <f aca="false">IF($S1950="","",IF(COUNTIF($S$2:$S$2991,$S1950)&gt;1,"DUPLICATE","OK"))</f>
        <v/>
      </c>
      <c r="U1950" s="0" t="str">
        <f aca="false">IF($L1950="","",IFERROR(VLOOKUP(--$L1950,MM_Income!$Z$5:$AC$204,3,FALSE()),"UNMAPPED"))</f>
        <v/>
      </c>
    </row>
    <row r="1951" customFormat="false" ht="13.5" hidden="false" customHeight="false" outlineLevel="0" collapsed="false">
      <c r="A1951" s="1" t="str">
        <f aca="false">IF($C1951="","",Controls!$B$7)</f>
        <v/>
      </c>
      <c r="B1951" s="1" t="str">
        <f aca="false">IF($H1951="","",YEAR($H1951)&amp;"-Q"&amp;ROUNDUP(MONTH($H1951)/3,0))</f>
        <v/>
      </c>
      <c r="S1951" s="1" t="str">
        <f aca="false">IF($C1951="","",$C1951&amp;"|"&amp;$E1951&amp;"|"&amp;$F1951&amp;"|"&amp;$L1951&amp;"|"&amp;$P1951&amp;"|"&amp;TEXT($H1951,"yyyy-mm-dd"))</f>
        <v/>
      </c>
      <c r="T1951" s="1" t="str">
        <f aca="false">IF($S1951="","",IF(COUNTIF($S$2:$S$2991,$S1951)&gt;1,"DUPLICATE","OK"))</f>
        <v/>
      </c>
      <c r="U1951" s="0" t="str">
        <f aca="false">IF($L1951="","",IFERROR(VLOOKUP(--$L1951,MM_Income!$Z$5:$AC$204,3,FALSE()),"UNMAPPED"))</f>
        <v/>
      </c>
    </row>
    <row r="1952" customFormat="false" ht="13.5" hidden="false" customHeight="false" outlineLevel="0" collapsed="false">
      <c r="A1952" s="1" t="str">
        <f aca="false">IF($C1952="","",Controls!$B$7)</f>
        <v/>
      </c>
      <c r="B1952" s="1" t="str">
        <f aca="false">IF($H1952="","",YEAR($H1952)&amp;"-Q"&amp;ROUNDUP(MONTH($H1952)/3,0))</f>
        <v/>
      </c>
      <c r="S1952" s="1" t="str">
        <f aca="false">IF($C1952="","",$C1952&amp;"|"&amp;$E1952&amp;"|"&amp;$F1952&amp;"|"&amp;$L1952&amp;"|"&amp;$P1952&amp;"|"&amp;TEXT($H1952,"yyyy-mm-dd"))</f>
        <v/>
      </c>
      <c r="T1952" s="1" t="str">
        <f aca="false">IF($S1952="","",IF(COUNTIF($S$2:$S$2991,$S1952)&gt;1,"DUPLICATE","OK"))</f>
        <v/>
      </c>
      <c r="U1952" s="0" t="str">
        <f aca="false">IF($L1952="","",IFERROR(VLOOKUP(--$L1952,MM_Income!$Z$5:$AC$204,3,FALSE()),"UNMAPPED"))</f>
        <v/>
      </c>
    </row>
    <row r="1953" customFormat="false" ht="13.5" hidden="false" customHeight="false" outlineLevel="0" collapsed="false">
      <c r="A1953" s="1" t="str">
        <f aca="false">IF($C1953="","",Controls!$B$7)</f>
        <v/>
      </c>
      <c r="B1953" s="1" t="str">
        <f aca="false">IF($H1953="","",YEAR($H1953)&amp;"-Q"&amp;ROUNDUP(MONTH($H1953)/3,0))</f>
        <v/>
      </c>
      <c r="S1953" s="1" t="str">
        <f aca="false">IF($C1953="","",$C1953&amp;"|"&amp;$E1953&amp;"|"&amp;$F1953&amp;"|"&amp;$L1953&amp;"|"&amp;$P1953&amp;"|"&amp;TEXT($H1953,"yyyy-mm-dd"))</f>
        <v/>
      </c>
      <c r="T1953" s="1" t="str">
        <f aca="false">IF($S1953="","",IF(COUNTIF($S$2:$S$2991,$S1953)&gt;1,"DUPLICATE","OK"))</f>
        <v/>
      </c>
      <c r="U1953" s="0" t="str">
        <f aca="false">IF($L1953="","",IFERROR(VLOOKUP(--$L1953,MM_Income!$Z$5:$AC$204,3,FALSE()),"UNMAPPED"))</f>
        <v/>
      </c>
    </row>
    <row r="1954" customFormat="false" ht="13.5" hidden="false" customHeight="false" outlineLevel="0" collapsed="false">
      <c r="A1954" s="1" t="str">
        <f aca="false">IF($C1954="","",Controls!$B$7)</f>
        <v/>
      </c>
      <c r="B1954" s="1" t="str">
        <f aca="false">IF($H1954="","",YEAR($H1954)&amp;"-Q"&amp;ROUNDUP(MONTH($H1954)/3,0))</f>
        <v/>
      </c>
      <c r="S1954" s="1" t="str">
        <f aca="false">IF($C1954="","",$C1954&amp;"|"&amp;$E1954&amp;"|"&amp;$F1954&amp;"|"&amp;$L1954&amp;"|"&amp;$P1954&amp;"|"&amp;TEXT($H1954,"yyyy-mm-dd"))</f>
        <v/>
      </c>
      <c r="T1954" s="1" t="str">
        <f aca="false">IF($S1954="","",IF(COUNTIF($S$2:$S$2991,$S1954)&gt;1,"DUPLICATE","OK"))</f>
        <v/>
      </c>
      <c r="U1954" s="0" t="str">
        <f aca="false">IF($L1954="","",IFERROR(VLOOKUP(--$L1954,MM_Income!$Z$5:$AC$204,3,FALSE()),"UNMAPPED"))</f>
        <v/>
      </c>
    </row>
    <row r="1955" customFormat="false" ht="13.5" hidden="false" customHeight="false" outlineLevel="0" collapsed="false">
      <c r="A1955" s="1" t="str">
        <f aca="false">IF($C1955="","",Controls!$B$7)</f>
        <v/>
      </c>
      <c r="B1955" s="1" t="str">
        <f aca="false">IF($H1955="","",YEAR($H1955)&amp;"-Q"&amp;ROUNDUP(MONTH($H1955)/3,0))</f>
        <v/>
      </c>
      <c r="S1955" s="1" t="str">
        <f aca="false">IF($C1955="","",$C1955&amp;"|"&amp;$E1955&amp;"|"&amp;$F1955&amp;"|"&amp;$L1955&amp;"|"&amp;$P1955&amp;"|"&amp;TEXT($H1955,"yyyy-mm-dd"))</f>
        <v/>
      </c>
      <c r="T1955" s="1" t="str">
        <f aca="false">IF($S1955="","",IF(COUNTIF($S$2:$S$2991,$S1955)&gt;1,"DUPLICATE","OK"))</f>
        <v/>
      </c>
      <c r="U1955" s="0" t="str">
        <f aca="false">IF($L1955="","",IFERROR(VLOOKUP(--$L1955,MM_Income!$Z$5:$AC$204,3,FALSE()),"UNMAPPED"))</f>
        <v/>
      </c>
    </row>
    <row r="1956" customFormat="false" ht="13.5" hidden="false" customHeight="false" outlineLevel="0" collapsed="false">
      <c r="A1956" s="1" t="str">
        <f aca="false">IF($C1956="","",Controls!$B$7)</f>
        <v/>
      </c>
      <c r="B1956" s="1" t="str">
        <f aca="false">IF($H1956="","",YEAR($H1956)&amp;"-Q"&amp;ROUNDUP(MONTH($H1956)/3,0))</f>
        <v/>
      </c>
      <c r="S1956" s="1" t="str">
        <f aca="false">IF($C1956="","",$C1956&amp;"|"&amp;$E1956&amp;"|"&amp;$F1956&amp;"|"&amp;$L1956&amp;"|"&amp;$P1956&amp;"|"&amp;TEXT($H1956,"yyyy-mm-dd"))</f>
        <v/>
      </c>
      <c r="T1956" s="1" t="str">
        <f aca="false">IF($S1956="","",IF(COUNTIF($S$2:$S$2991,$S1956)&gt;1,"DUPLICATE","OK"))</f>
        <v/>
      </c>
      <c r="U1956" s="0" t="str">
        <f aca="false">IF($L1956="","",IFERROR(VLOOKUP(--$L1956,MM_Income!$Z$5:$AC$204,3,FALSE()),"UNMAPPED"))</f>
        <v/>
      </c>
    </row>
    <row r="1957" customFormat="false" ht="13.5" hidden="false" customHeight="false" outlineLevel="0" collapsed="false">
      <c r="A1957" s="1" t="str">
        <f aca="false">IF($C1957="","",Controls!$B$7)</f>
        <v/>
      </c>
      <c r="B1957" s="1" t="str">
        <f aca="false">IF($H1957="","",YEAR($H1957)&amp;"-Q"&amp;ROUNDUP(MONTH($H1957)/3,0))</f>
        <v/>
      </c>
      <c r="S1957" s="1" t="str">
        <f aca="false">IF($C1957="","",$C1957&amp;"|"&amp;$E1957&amp;"|"&amp;$F1957&amp;"|"&amp;$L1957&amp;"|"&amp;$P1957&amp;"|"&amp;TEXT($H1957,"yyyy-mm-dd"))</f>
        <v/>
      </c>
      <c r="T1957" s="1" t="str">
        <f aca="false">IF($S1957="","",IF(COUNTIF($S$2:$S$2991,$S1957)&gt;1,"DUPLICATE","OK"))</f>
        <v/>
      </c>
      <c r="U1957" s="0" t="str">
        <f aca="false">IF($L1957="","",IFERROR(VLOOKUP(--$L1957,MM_Income!$Z$5:$AC$204,3,FALSE()),"UNMAPPED"))</f>
        <v/>
      </c>
    </row>
    <row r="1958" customFormat="false" ht="13.5" hidden="false" customHeight="false" outlineLevel="0" collapsed="false">
      <c r="A1958" s="1" t="str">
        <f aca="false">IF($C1958="","",Controls!$B$7)</f>
        <v/>
      </c>
      <c r="B1958" s="1" t="str">
        <f aca="false">IF($H1958="","",YEAR($H1958)&amp;"-Q"&amp;ROUNDUP(MONTH($H1958)/3,0))</f>
        <v/>
      </c>
      <c r="S1958" s="1" t="str">
        <f aca="false">IF($C1958="","",$C1958&amp;"|"&amp;$E1958&amp;"|"&amp;$F1958&amp;"|"&amp;$L1958&amp;"|"&amp;$P1958&amp;"|"&amp;TEXT($H1958,"yyyy-mm-dd"))</f>
        <v/>
      </c>
      <c r="T1958" s="1" t="str">
        <f aca="false">IF($S1958="","",IF(COUNTIF($S$2:$S$2991,$S1958)&gt;1,"DUPLICATE","OK"))</f>
        <v/>
      </c>
      <c r="U1958" s="0" t="str">
        <f aca="false">IF($L1958="","",IFERROR(VLOOKUP(--$L1958,MM_Income!$Z$5:$AC$204,3,FALSE()),"UNMAPPED"))</f>
        <v/>
      </c>
    </row>
    <row r="1959" customFormat="false" ht="13.5" hidden="false" customHeight="false" outlineLevel="0" collapsed="false">
      <c r="A1959" s="1" t="str">
        <f aca="false">IF($C1959="","",Controls!$B$7)</f>
        <v/>
      </c>
      <c r="B1959" s="1" t="str">
        <f aca="false">IF($H1959="","",YEAR($H1959)&amp;"-Q"&amp;ROUNDUP(MONTH($H1959)/3,0))</f>
        <v/>
      </c>
      <c r="S1959" s="1" t="str">
        <f aca="false">IF($C1959="","",$C1959&amp;"|"&amp;$E1959&amp;"|"&amp;$F1959&amp;"|"&amp;$L1959&amp;"|"&amp;$P1959&amp;"|"&amp;TEXT($H1959,"yyyy-mm-dd"))</f>
        <v/>
      </c>
      <c r="T1959" s="1" t="str">
        <f aca="false">IF($S1959="","",IF(COUNTIF($S$2:$S$2991,$S1959)&gt;1,"DUPLICATE","OK"))</f>
        <v/>
      </c>
      <c r="U1959" s="0" t="str">
        <f aca="false">IF($L1959="","",IFERROR(VLOOKUP(--$L1959,MM_Income!$Z$5:$AC$204,3,FALSE()),"UNMAPPED"))</f>
        <v/>
      </c>
    </row>
    <row r="1960" customFormat="false" ht="13.5" hidden="false" customHeight="false" outlineLevel="0" collapsed="false">
      <c r="A1960" s="1" t="str">
        <f aca="false">IF($C1960="","",Controls!$B$7)</f>
        <v/>
      </c>
      <c r="B1960" s="1" t="str">
        <f aca="false">IF($H1960="","",YEAR($H1960)&amp;"-Q"&amp;ROUNDUP(MONTH($H1960)/3,0))</f>
        <v/>
      </c>
      <c r="S1960" s="1" t="str">
        <f aca="false">IF($C1960="","",$C1960&amp;"|"&amp;$E1960&amp;"|"&amp;$F1960&amp;"|"&amp;$L1960&amp;"|"&amp;$P1960&amp;"|"&amp;TEXT($H1960,"yyyy-mm-dd"))</f>
        <v/>
      </c>
      <c r="T1960" s="1" t="str">
        <f aca="false">IF($S1960="","",IF(COUNTIF($S$2:$S$2991,$S1960)&gt;1,"DUPLICATE","OK"))</f>
        <v/>
      </c>
      <c r="U1960" s="0" t="str">
        <f aca="false">IF($L1960="","",IFERROR(VLOOKUP(--$L1960,MM_Income!$Z$5:$AC$204,3,FALSE()),"UNMAPPED"))</f>
        <v/>
      </c>
    </row>
    <row r="1961" customFormat="false" ht="13.5" hidden="false" customHeight="false" outlineLevel="0" collapsed="false">
      <c r="A1961" s="1" t="str">
        <f aca="false">IF($C1961="","",Controls!$B$7)</f>
        <v/>
      </c>
      <c r="B1961" s="1" t="str">
        <f aca="false">IF($H1961="","",YEAR($H1961)&amp;"-Q"&amp;ROUNDUP(MONTH($H1961)/3,0))</f>
        <v/>
      </c>
      <c r="S1961" s="1" t="str">
        <f aca="false">IF($C1961="","",$C1961&amp;"|"&amp;$E1961&amp;"|"&amp;$F1961&amp;"|"&amp;$L1961&amp;"|"&amp;$P1961&amp;"|"&amp;TEXT($H1961,"yyyy-mm-dd"))</f>
        <v/>
      </c>
      <c r="T1961" s="1" t="str">
        <f aca="false">IF($S1961="","",IF(COUNTIF($S$2:$S$2991,$S1961)&gt;1,"DUPLICATE","OK"))</f>
        <v/>
      </c>
      <c r="U1961" s="0" t="str">
        <f aca="false">IF($L1961="","",IFERROR(VLOOKUP(--$L1961,MM_Income!$Z$5:$AC$204,3,FALSE()),"UNMAPPED"))</f>
        <v/>
      </c>
    </row>
    <row r="1962" customFormat="false" ht="13.5" hidden="false" customHeight="false" outlineLevel="0" collapsed="false">
      <c r="A1962" s="1" t="str">
        <f aca="false">IF($C1962="","",Controls!$B$7)</f>
        <v/>
      </c>
      <c r="B1962" s="1" t="str">
        <f aca="false">IF($H1962="","",YEAR($H1962)&amp;"-Q"&amp;ROUNDUP(MONTH($H1962)/3,0))</f>
        <v/>
      </c>
      <c r="S1962" s="1" t="str">
        <f aca="false">IF($C1962="","",$C1962&amp;"|"&amp;$E1962&amp;"|"&amp;$F1962&amp;"|"&amp;$L1962&amp;"|"&amp;$P1962&amp;"|"&amp;TEXT($H1962,"yyyy-mm-dd"))</f>
        <v/>
      </c>
      <c r="T1962" s="1" t="str">
        <f aca="false">IF($S1962="","",IF(COUNTIF($S$2:$S$2991,$S1962)&gt;1,"DUPLICATE","OK"))</f>
        <v/>
      </c>
      <c r="U1962" s="0" t="str">
        <f aca="false">IF($L1962="","",IFERROR(VLOOKUP(--$L1962,MM_Income!$Z$5:$AC$204,3,FALSE()),"UNMAPPED"))</f>
        <v/>
      </c>
    </row>
    <row r="1963" customFormat="false" ht="13.5" hidden="false" customHeight="false" outlineLevel="0" collapsed="false">
      <c r="A1963" s="1" t="str">
        <f aca="false">IF($C1963="","",Controls!$B$7)</f>
        <v/>
      </c>
      <c r="B1963" s="1" t="str">
        <f aca="false">IF($H1963="","",YEAR($H1963)&amp;"-Q"&amp;ROUNDUP(MONTH($H1963)/3,0))</f>
        <v/>
      </c>
      <c r="S1963" s="1" t="str">
        <f aca="false">IF($C1963="","",$C1963&amp;"|"&amp;$E1963&amp;"|"&amp;$F1963&amp;"|"&amp;$L1963&amp;"|"&amp;$P1963&amp;"|"&amp;TEXT($H1963,"yyyy-mm-dd"))</f>
        <v/>
      </c>
      <c r="T1963" s="1" t="str">
        <f aca="false">IF($S1963="","",IF(COUNTIF($S$2:$S$2991,$S1963)&gt;1,"DUPLICATE","OK"))</f>
        <v/>
      </c>
      <c r="U1963" s="0" t="str">
        <f aca="false">IF($L1963="","",IFERROR(VLOOKUP(--$L1963,MM_Income!$Z$5:$AC$204,3,FALSE()),"UNMAPPED"))</f>
        <v/>
      </c>
    </row>
    <row r="1964" customFormat="false" ht="13.5" hidden="false" customHeight="false" outlineLevel="0" collapsed="false">
      <c r="A1964" s="1" t="str">
        <f aca="false">IF($C1964="","",Controls!$B$7)</f>
        <v/>
      </c>
      <c r="B1964" s="1" t="str">
        <f aca="false">IF($H1964="","",YEAR($H1964)&amp;"-Q"&amp;ROUNDUP(MONTH($H1964)/3,0))</f>
        <v/>
      </c>
      <c r="S1964" s="1" t="str">
        <f aca="false">IF($C1964="","",$C1964&amp;"|"&amp;$E1964&amp;"|"&amp;$F1964&amp;"|"&amp;$L1964&amp;"|"&amp;$P1964&amp;"|"&amp;TEXT($H1964,"yyyy-mm-dd"))</f>
        <v/>
      </c>
      <c r="T1964" s="1" t="str">
        <f aca="false">IF($S1964="","",IF(COUNTIF($S$2:$S$2991,$S1964)&gt;1,"DUPLICATE","OK"))</f>
        <v/>
      </c>
      <c r="U1964" s="0" t="str">
        <f aca="false">IF($L1964="","",IFERROR(VLOOKUP(--$L1964,MM_Income!$Z$5:$AC$204,3,FALSE()),"UNMAPPED"))</f>
        <v/>
      </c>
    </row>
    <row r="1965" customFormat="false" ht="13.5" hidden="false" customHeight="false" outlineLevel="0" collapsed="false">
      <c r="A1965" s="1" t="str">
        <f aca="false">IF($C1965="","",Controls!$B$7)</f>
        <v/>
      </c>
      <c r="B1965" s="1" t="str">
        <f aca="false">IF($H1965="","",YEAR($H1965)&amp;"-Q"&amp;ROUNDUP(MONTH($H1965)/3,0))</f>
        <v/>
      </c>
      <c r="S1965" s="1" t="str">
        <f aca="false">IF($C1965="","",$C1965&amp;"|"&amp;$E1965&amp;"|"&amp;$F1965&amp;"|"&amp;$L1965&amp;"|"&amp;$P1965&amp;"|"&amp;TEXT($H1965,"yyyy-mm-dd"))</f>
        <v/>
      </c>
      <c r="T1965" s="1" t="str">
        <f aca="false">IF($S1965="","",IF(COUNTIF($S$2:$S$2991,$S1965)&gt;1,"DUPLICATE","OK"))</f>
        <v/>
      </c>
      <c r="U1965" s="0" t="str">
        <f aca="false">IF($L1965="","",IFERROR(VLOOKUP(--$L1965,MM_Income!$Z$5:$AC$204,3,FALSE()),"UNMAPPED"))</f>
        <v/>
      </c>
    </row>
    <row r="1966" customFormat="false" ht="13.5" hidden="false" customHeight="false" outlineLevel="0" collapsed="false">
      <c r="A1966" s="1" t="str">
        <f aca="false">IF($C1966="","",Controls!$B$7)</f>
        <v/>
      </c>
      <c r="B1966" s="1" t="str">
        <f aca="false">IF($H1966="","",YEAR($H1966)&amp;"-Q"&amp;ROUNDUP(MONTH($H1966)/3,0))</f>
        <v/>
      </c>
      <c r="S1966" s="1" t="str">
        <f aca="false">IF($C1966="","",$C1966&amp;"|"&amp;$E1966&amp;"|"&amp;$F1966&amp;"|"&amp;$L1966&amp;"|"&amp;$P1966&amp;"|"&amp;TEXT($H1966,"yyyy-mm-dd"))</f>
        <v/>
      </c>
      <c r="T1966" s="1" t="str">
        <f aca="false">IF($S1966="","",IF(COUNTIF($S$2:$S$2991,$S1966)&gt;1,"DUPLICATE","OK"))</f>
        <v/>
      </c>
      <c r="U1966" s="0" t="str">
        <f aca="false">IF($L1966="","",IFERROR(VLOOKUP(--$L1966,MM_Income!$Z$5:$AC$204,3,FALSE()),"UNMAPPED"))</f>
        <v/>
      </c>
    </row>
    <row r="1967" customFormat="false" ht="13.5" hidden="false" customHeight="false" outlineLevel="0" collapsed="false">
      <c r="A1967" s="1" t="str">
        <f aca="false">IF($C1967="","",Controls!$B$7)</f>
        <v/>
      </c>
      <c r="B1967" s="1" t="str">
        <f aca="false">IF($H1967="","",YEAR($H1967)&amp;"-Q"&amp;ROUNDUP(MONTH($H1967)/3,0))</f>
        <v/>
      </c>
      <c r="S1967" s="1" t="str">
        <f aca="false">IF($C1967="","",$C1967&amp;"|"&amp;$E1967&amp;"|"&amp;$F1967&amp;"|"&amp;$L1967&amp;"|"&amp;$P1967&amp;"|"&amp;TEXT($H1967,"yyyy-mm-dd"))</f>
        <v/>
      </c>
      <c r="T1967" s="1" t="str">
        <f aca="false">IF($S1967="","",IF(COUNTIF($S$2:$S$2991,$S1967)&gt;1,"DUPLICATE","OK"))</f>
        <v/>
      </c>
      <c r="U1967" s="0" t="str">
        <f aca="false">IF($L1967="","",IFERROR(VLOOKUP(--$L1967,MM_Income!$Z$5:$AC$204,3,FALSE()),"UNMAPPED"))</f>
        <v/>
      </c>
    </row>
    <row r="1968" customFormat="false" ht="13.5" hidden="false" customHeight="false" outlineLevel="0" collapsed="false">
      <c r="A1968" s="1" t="str">
        <f aca="false">IF($C1968="","",Controls!$B$7)</f>
        <v/>
      </c>
      <c r="B1968" s="1" t="str">
        <f aca="false">IF($H1968="","",YEAR($H1968)&amp;"-Q"&amp;ROUNDUP(MONTH($H1968)/3,0))</f>
        <v/>
      </c>
      <c r="S1968" s="1" t="str">
        <f aca="false">IF($C1968="","",$C1968&amp;"|"&amp;$E1968&amp;"|"&amp;$F1968&amp;"|"&amp;$L1968&amp;"|"&amp;$P1968&amp;"|"&amp;TEXT($H1968,"yyyy-mm-dd"))</f>
        <v/>
      </c>
      <c r="T1968" s="1" t="str">
        <f aca="false">IF($S1968="","",IF(COUNTIF($S$2:$S$2991,$S1968)&gt;1,"DUPLICATE","OK"))</f>
        <v/>
      </c>
      <c r="U1968" s="0" t="str">
        <f aca="false">IF($L1968="","",IFERROR(VLOOKUP(--$L1968,MM_Income!$Z$5:$AC$204,3,FALSE()),"UNMAPPED"))</f>
        <v/>
      </c>
    </row>
    <row r="1969" customFormat="false" ht="13.5" hidden="false" customHeight="false" outlineLevel="0" collapsed="false">
      <c r="A1969" s="1" t="str">
        <f aca="false">IF($C1969="","",Controls!$B$7)</f>
        <v/>
      </c>
      <c r="B1969" s="1" t="str">
        <f aca="false">IF($H1969="","",YEAR($H1969)&amp;"-Q"&amp;ROUNDUP(MONTH($H1969)/3,0))</f>
        <v/>
      </c>
      <c r="S1969" s="1" t="str">
        <f aca="false">IF($C1969="","",$C1969&amp;"|"&amp;$E1969&amp;"|"&amp;$F1969&amp;"|"&amp;$L1969&amp;"|"&amp;$P1969&amp;"|"&amp;TEXT($H1969,"yyyy-mm-dd"))</f>
        <v/>
      </c>
      <c r="T1969" s="1" t="str">
        <f aca="false">IF($S1969="","",IF(COUNTIF($S$2:$S$2991,$S1969)&gt;1,"DUPLICATE","OK"))</f>
        <v/>
      </c>
      <c r="U1969" s="0" t="str">
        <f aca="false">IF($L1969="","",IFERROR(VLOOKUP(--$L1969,MM_Income!$Z$5:$AC$204,3,FALSE()),"UNMAPPED"))</f>
        <v/>
      </c>
    </row>
    <row r="1970" customFormat="false" ht="13.5" hidden="false" customHeight="false" outlineLevel="0" collapsed="false">
      <c r="A1970" s="1" t="str">
        <f aca="false">IF($C1970="","",Controls!$B$7)</f>
        <v/>
      </c>
      <c r="B1970" s="1" t="str">
        <f aca="false">IF($H1970="","",YEAR($H1970)&amp;"-Q"&amp;ROUNDUP(MONTH($H1970)/3,0))</f>
        <v/>
      </c>
      <c r="S1970" s="1" t="str">
        <f aca="false">IF($C1970="","",$C1970&amp;"|"&amp;$E1970&amp;"|"&amp;$F1970&amp;"|"&amp;$L1970&amp;"|"&amp;$P1970&amp;"|"&amp;TEXT($H1970,"yyyy-mm-dd"))</f>
        <v/>
      </c>
      <c r="T1970" s="1" t="str">
        <f aca="false">IF($S1970="","",IF(COUNTIF($S$2:$S$2991,$S1970)&gt;1,"DUPLICATE","OK"))</f>
        <v/>
      </c>
      <c r="U1970" s="0" t="str">
        <f aca="false">IF($L1970="","",IFERROR(VLOOKUP(--$L1970,MM_Income!$Z$5:$AC$204,3,FALSE()),"UNMAPPED"))</f>
        <v/>
      </c>
    </row>
    <row r="1971" customFormat="false" ht="13.5" hidden="false" customHeight="false" outlineLevel="0" collapsed="false">
      <c r="A1971" s="1" t="str">
        <f aca="false">IF($C1971="","",Controls!$B$7)</f>
        <v/>
      </c>
      <c r="B1971" s="1" t="str">
        <f aca="false">IF($H1971="","",YEAR($H1971)&amp;"-Q"&amp;ROUNDUP(MONTH($H1971)/3,0))</f>
        <v/>
      </c>
      <c r="S1971" s="1" t="str">
        <f aca="false">IF($C1971="","",$C1971&amp;"|"&amp;$E1971&amp;"|"&amp;$F1971&amp;"|"&amp;$L1971&amp;"|"&amp;$P1971&amp;"|"&amp;TEXT($H1971,"yyyy-mm-dd"))</f>
        <v/>
      </c>
      <c r="T1971" s="1" t="str">
        <f aca="false">IF($S1971="","",IF(COUNTIF($S$2:$S$2991,$S1971)&gt;1,"DUPLICATE","OK"))</f>
        <v/>
      </c>
      <c r="U1971" s="0" t="str">
        <f aca="false">IF($L1971="","",IFERROR(VLOOKUP(--$L1971,MM_Income!$Z$5:$AC$204,3,FALSE()),"UNMAPPED"))</f>
        <v/>
      </c>
    </row>
    <row r="1972" customFormat="false" ht="13.5" hidden="false" customHeight="false" outlineLevel="0" collapsed="false">
      <c r="A1972" s="1" t="str">
        <f aca="false">IF($C1972="","",Controls!$B$7)</f>
        <v/>
      </c>
      <c r="B1972" s="1" t="str">
        <f aca="false">IF($H1972="","",YEAR($H1972)&amp;"-Q"&amp;ROUNDUP(MONTH($H1972)/3,0))</f>
        <v/>
      </c>
      <c r="S1972" s="1" t="str">
        <f aca="false">IF($C1972="","",$C1972&amp;"|"&amp;$E1972&amp;"|"&amp;$F1972&amp;"|"&amp;$L1972&amp;"|"&amp;$P1972&amp;"|"&amp;TEXT($H1972,"yyyy-mm-dd"))</f>
        <v/>
      </c>
      <c r="T1972" s="1" t="str">
        <f aca="false">IF($S1972="","",IF(COUNTIF($S$2:$S$2991,$S1972)&gt;1,"DUPLICATE","OK"))</f>
        <v/>
      </c>
      <c r="U1972" s="0" t="str">
        <f aca="false">IF($L1972="","",IFERROR(VLOOKUP(--$L1972,MM_Income!$Z$5:$AC$204,3,FALSE()),"UNMAPPED"))</f>
        <v/>
      </c>
    </row>
    <row r="1973" customFormat="false" ht="13.5" hidden="false" customHeight="false" outlineLevel="0" collapsed="false">
      <c r="A1973" s="1" t="str">
        <f aca="false">IF($C1973="","",Controls!$B$7)</f>
        <v/>
      </c>
      <c r="B1973" s="1" t="str">
        <f aca="false">IF($H1973="","",YEAR($H1973)&amp;"-Q"&amp;ROUNDUP(MONTH($H1973)/3,0))</f>
        <v/>
      </c>
      <c r="S1973" s="1" t="str">
        <f aca="false">IF($C1973="","",$C1973&amp;"|"&amp;$E1973&amp;"|"&amp;$F1973&amp;"|"&amp;$L1973&amp;"|"&amp;$P1973&amp;"|"&amp;TEXT($H1973,"yyyy-mm-dd"))</f>
        <v/>
      </c>
      <c r="T1973" s="1" t="str">
        <f aca="false">IF($S1973="","",IF(COUNTIF($S$2:$S$2991,$S1973)&gt;1,"DUPLICATE","OK"))</f>
        <v/>
      </c>
      <c r="U1973" s="0" t="str">
        <f aca="false">IF($L1973="","",IFERROR(VLOOKUP(--$L1973,MM_Income!$Z$5:$AC$204,3,FALSE()),"UNMAPPED"))</f>
        <v/>
      </c>
    </row>
    <row r="1974" customFormat="false" ht="13.5" hidden="false" customHeight="false" outlineLevel="0" collapsed="false">
      <c r="A1974" s="1" t="str">
        <f aca="false">IF($C1974="","",Controls!$B$7)</f>
        <v/>
      </c>
      <c r="B1974" s="1" t="str">
        <f aca="false">IF($H1974="","",YEAR($H1974)&amp;"-Q"&amp;ROUNDUP(MONTH($H1974)/3,0))</f>
        <v/>
      </c>
      <c r="S1974" s="1" t="str">
        <f aca="false">IF($C1974="","",$C1974&amp;"|"&amp;$E1974&amp;"|"&amp;$F1974&amp;"|"&amp;$L1974&amp;"|"&amp;$P1974&amp;"|"&amp;TEXT($H1974,"yyyy-mm-dd"))</f>
        <v/>
      </c>
      <c r="T1974" s="1" t="str">
        <f aca="false">IF($S1974="","",IF(COUNTIF($S$2:$S$2991,$S1974)&gt;1,"DUPLICATE","OK"))</f>
        <v/>
      </c>
      <c r="U1974" s="0" t="str">
        <f aca="false">IF($L1974="","",IFERROR(VLOOKUP(--$L1974,MM_Income!$Z$5:$AC$204,3,FALSE()),"UNMAPPED"))</f>
        <v/>
      </c>
    </row>
    <row r="1975" customFormat="false" ht="13.5" hidden="false" customHeight="false" outlineLevel="0" collapsed="false">
      <c r="A1975" s="1" t="str">
        <f aca="false">IF($C1975="","",Controls!$B$7)</f>
        <v/>
      </c>
      <c r="B1975" s="1" t="str">
        <f aca="false">IF($H1975="","",YEAR($H1975)&amp;"-Q"&amp;ROUNDUP(MONTH($H1975)/3,0))</f>
        <v/>
      </c>
      <c r="S1975" s="1" t="str">
        <f aca="false">IF($C1975="","",$C1975&amp;"|"&amp;$E1975&amp;"|"&amp;$F1975&amp;"|"&amp;$L1975&amp;"|"&amp;$P1975&amp;"|"&amp;TEXT($H1975,"yyyy-mm-dd"))</f>
        <v/>
      </c>
      <c r="T1975" s="1" t="str">
        <f aca="false">IF($S1975="","",IF(COUNTIF($S$2:$S$2991,$S1975)&gt;1,"DUPLICATE","OK"))</f>
        <v/>
      </c>
      <c r="U1975" s="0" t="str">
        <f aca="false">IF($L1975="","",IFERROR(VLOOKUP(--$L1975,MM_Income!$Z$5:$AC$204,3,FALSE()),"UNMAPPED"))</f>
        <v/>
      </c>
    </row>
    <row r="1976" customFormat="false" ht="13.5" hidden="false" customHeight="false" outlineLevel="0" collapsed="false">
      <c r="A1976" s="1" t="str">
        <f aca="false">IF($C1976="","",Controls!$B$7)</f>
        <v/>
      </c>
      <c r="B1976" s="1" t="str">
        <f aca="false">IF($H1976="","",YEAR($H1976)&amp;"-Q"&amp;ROUNDUP(MONTH($H1976)/3,0))</f>
        <v/>
      </c>
      <c r="S1976" s="1" t="str">
        <f aca="false">IF($C1976="","",$C1976&amp;"|"&amp;$E1976&amp;"|"&amp;$F1976&amp;"|"&amp;$L1976&amp;"|"&amp;$P1976&amp;"|"&amp;TEXT($H1976,"yyyy-mm-dd"))</f>
        <v/>
      </c>
      <c r="T1976" s="1" t="str">
        <f aca="false">IF($S1976="","",IF(COUNTIF($S$2:$S$2991,$S1976)&gt;1,"DUPLICATE","OK"))</f>
        <v/>
      </c>
      <c r="U1976" s="0" t="str">
        <f aca="false">IF($L1976="","",IFERROR(VLOOKUP(--$L1976,MM_Income!$Z$5:$AC$204,3,FALSE()),"UNMAPPED"))</f>
        <v/>
      </c>
    </row>
    <row r="1977" customFormat="false" ht="13.5" hidden="false" customHeight="false" outlineLevel="0" collapsed="false">
      <c r="A1977" s="1" t="str">
        <f aca="false">IF($C1977="","",Controls!$B$7)</f>
        <v/>
      </c>
      <c r="B1977" s="1" t="str">
        <f aca="false">IF($H1977="","",YEAR($H1977)&amp;"-Q"&amp;ROUNDUP(MONTH($H1977)/3,0))</f>
        <v/>
      </c>
      <c r="S1977" s="1" t="str">
        <f aca="false">IF($C1977="","",$C1977&amp;"|"&amp;$E1977&amp;"|"&amp;$F1977&amp;"|"&amp;$L1977&amp;"|"&amp;$P1977&amp;"|"&amp;TEXT($H1977,"yyyy-mm-dd"))</f>
        <v/>
      </c>
      <c r="T1977" s="1" t="str">
        <f aca="false">IF($S1977="","",IF(COUNTIF($S$2:$S$2991,$S1977)&gt;1,"DUPLICATE","OK"))</f>
        <v/>
      </c>
      <c r="U1977" s="0" t="str">
        <f aca="false">IF($L1977="","",IFERROR(VLOOKUP(--$L1977,MM_Income!$Z$5:$AC$204,3,FALSE()),"UNMAPPED"))</f>
        <v/>
      </c>
    </row>
    <row r="1978" customFormat="false" ht="13.5" hidden="false" customHeight="false" outlineLevel="0" collapsed="false">
      <c r="A1978" s="1" t="str">
        <f aca="false">IF($C1978="","",Controls!$B$7)</f>
        <v/>
      </c>
      <c r="B1978" s="1" t="str">
        <f aca="false">IF($H1978="","",YEAR($H1978)&amp;"-Q"&amp;ROUNDUP(MONTH($H1978)/3,0))</f>
        <v/>
      </c>
      <c r="S1978" s="1" t="str">
        <f aca="false">IF($C1978="","",$C1978&amp;"|"&amp;$E1978&amp;"|"&amp;$F1978&amp;"|"&amp;$L1978&amp;"|"&amp;$P1978&amp;"|"&amp;TEXT($H1978,"yyyy-mm-dd"))</f>
        <v/>
      </c>
      <c r="T1978" s="1" t="str">
        <f aca="false">IF($S1978="","",IF(COUNTIF($S$2:$S$2991,$S1978)&gt;1,"DUPLICATE","OK"))</f>
        <v/>
      </c>
      <c r="U1978" s="0" t="str">
        <f aca="false">IF($L1978="","",IFERROR(VLOOKUP(--$L1978,MM_Income!$Z$5:$AC$204,3,FALSE()),"UNMAPPED"))</f>
        <v/>
      </c>
    </row>
    <row r="1979" customFormat="false" ht="13.5" hidden="false" customHeight="false" outlineLevel="0" collapsed="false">
      <c r="A1979" s="1" t="str">
        <f aca="false">IF($C1979="","",Controls!$B$7)</f>
        <v/>
      </c>
      <c r="B1979" s="1" t="str">
        <f aca="false">IF($H1979="","",YEAR($H1979)&amp;"-Q"&amp;ROUNDUP(MONTH($H1979)/3,0))</f>
        <v/>
      </c>
      <c r="S1979" s="1" t="str">
        <f aca="false">IF($C1979="","",$C1979&amp;"|"&amp;$E1979&amp;"|"&amp;$F1979&amp;"|"&amp;$L1979&amp;"|"&amp;$P1979&amp;"|"&amp;TEXT($H1979,"yyyy-mm-dd"))</f>
        <v/>
      </c>
      <c r="T1979" s="1" t="str">
        <f aca="false">IF($S1979="","",IF(COUNTIF($S$2:$S$2991,$S1979)&gt;1,"DUPLICATE","OK"))</f>
        <v/>
      </c>
      <c r="U1979" s="0" t="str">
        <f aca="false">IF($L1979="","",IFERROR(VLOOKUP(--$L1979,MM_Income!$Z$5:$AC$204,3,FALSE()),"UNMAPPED"))</f>
        <v/>
      </c>
    </row>
    <row r="1980" customFormat="false" ht="13.5" hidden="false" customHeight="false" outlineLevel="0" collapsed="false">
      <c r="A1980" s="1" t="str">
        <f aca="false">IF($C1980="","",Controls!$B$7)</f>
        <v/>
      </c>
      <c r="B1980" s="1" t="str">
        <f aca="false">IF($H1980="","",YEAR($H1980)&amp;"-Q"&amp;ROUNDUP(MONTH($H1980)/3,0))</f>
        <v/>
      </c>
      <c r="S1980" s="1" t="str">
        <f aca="false">IF($C1980="","",$C1980&amp;"|"&amp;$E1980&amp;"|"&amp;$F1980&amp;"|"&amp;$L1980&amp;"|"&amp;$P1980&amp;"|"&amp;TEXT($H1980,"yyyy-mm-dd"))</f>
        <v/>
      </c>
      <c r="T1980" s="1" t="str">
        <f aca="false">IF($S1980="","",IF(COUNTIF($S$2:$S$2991,$S1980)&gt;1,"DUPLICATE","OK"))</f>
        <v/>
      </c>
      <c r="U1980" s="0" t="str">
        <f aca="false">IF($L1980="","",IFERROR(VLOOKUP(--$L1980,MM_Income!$Z$5:$AC$204,3,FALSE()),"UNMAPPED"))</f>
        <v/>
      </c>
    </row>
    <row r="1981" customFormat="false" ht="13.5" hidden="false" customHeight="false" outlineLevel="0" collapsed="false">
      <c r="A1981" s="1" t="str">
        <f aca="false">IF($C1981="","",Controls!$B$7)</f>
        <v/>
      </c>
      <c r="B1981" s="1" t="str">
        <f aca="false">IF($H1981="","",YEAR($H1981)&amp;"-Q"&amp;ROUNDUP(MONTH($H1981)/3,0))</f>
        <v/>
      </c>
      <c r="S1981" s="1" t="str">
        <f aca="false">IF($C1981="","",$C1981&amp;"|"&amp;$E1981&amp;"|"&amp;$F1981&amp;"|"&amp;$L1981&amp;"|"&amp;$P1981&amp;"|"&amp;TEXT($H1981,"yyyy-mm-dd"))</f>
        <v/>
      </c>
      <c r="T1981" s="1" t="str">
        <f aca="false">IF($S1981="","",IF(COUNTIF($S$2:$S$2991,$S1981)&gt;1,"DUPLICATE","OK"))</f>
        <v/>
      </c>
      <c r="U1981" s="0" t="str">
        <f aca="false">IF($L1981="","",IFERROR(VLOOKUP(--$L1981,MM_Income!$Z$5:$AC$204,3,FALSE()),"UNMAPPED"))</f>
        <v/>
      </c>
    </row>
    <row r="1982" customFormat="false" ht="13.5" hidden="false" customHeight="false" outlineLevel="0" collapsed="false">
      <c r="A1982" s="1" t="str">
        <f aca="false">IF($C1982="","",Controls!$B$7)</f>
        <v/>
      </c>
      <c r="B1982" s="1" t="str">
        <f aca="false">IF($H1982="","",YEAR($H1982)&amp;"-Q"&amp;ROUNDUP(MONTH($H1982)/3,0))</f>
        <v/>
      </c>
      <c r="S1982" s="1" t="str">
        <f aca="false">IF($C1982="","",$C1982&amp;"|"&amp;$E1982&amp;"|"&amp;$F1982&amp;"|"&amp;$L1982&amp;"|"&amp;$P1982&amp;"|"&amp;TEXT($H1982,"yyyy-mm-dd"))</f>
        <v/>
      </c>
      <c r="T1982" s="1" t="str">
        <f aca="false">IF($S1982="","",IF(COUNTIF($S$2:$S$2991,$S1982)&gt;1,"DUPLICATE","OK"))</f>
        <v/>
      </c>
      <c r="U1982" s="0" t="str">
        <f aca="false">IF($L1982="","",IFERROR(VLOOKUP(--$L1982,MM_Income!$Z$5:$AC$204,3,FALSE()),"UNMAPPED"))</f>
        <v/>
      </c>
    </row>
    <row r="1983" customFormat="false" ht="13.5" hidden="false" customHeight="false" outlineLevel="0" collapsed="false">
      <c r="A1983" s="1" t="str">
        <f aca="false">IF($C1983="","",Controls!$B$7)</f>
        <v/>
      </c>
      <c r="B1983" s="1" t="str">
        <f aca="false">IF($H1983="","",YEAR($H1983)&amp;"-Q"&amp;ROUNDUP(MONTH($H1983)/3,0))</f>
        <v/>
      </c>
      <c r="S1983" s="1" t="str">
        <f aca="false">IF($C1983="","",$C1983&amp;"|"&amp;$E1983&amp;"|"&amp;$F1983&amp;"|"&amp;$L1983&amp;"|"&amp;$P1983&amp;"|"&amp;TEXT($H1983,"yyyy-mm-dd"))</f>
        <v/>
      </c>
      <c r="T1983" s="1" t="str">
        <f aca="false">IF($S1983="","",IF(COUNTIF($S$2:$S$2991,$S1983)&gt;1,"DUPLICATE","OK"))</f>
        <v/>
      </c>
      <c r="U1983" s="0" t="str">
        <f aca="false">IF($L1983="","",IFERROR(VLOOKUP(--$L1983,MM_Income!$Z$5:$AC$204,3,FALSE()),"UNMAPPED"))</f>
        <v/>
      </c>
    </row>
    <row r="1984" customFormat="false" ht="13.5" hidden="false" customHeight="false" outlineLevel="0" collapsed="false">
      <c r="A1984" s="1" t="str">
        <f aca="false">IF($C1984="","",Controls!$B$7)</f>
        <v/>
      </c>
      <c r="B1984" s="1" t="str">
        <f aca="false">IF($H1984="","",YEAR($H1984)&amp;"-Q"&amp;ROUNDUP(MONTH($H1984)/3,0))</f>
        <v/>
      </c>
      <c r="S1984" s="1" t="str">
        <f aca="false">IF($C1984="","",$C1984&amp;"|"&amp;$E1984&amp;"|"&amp;$F1984&amp;"|"&amp;$L1984&amp;"|"&amp;$P1984&amp;"|"&amp;TEXT($H1984,"yyyy-mm-dd"))</f>
        <v/>
      </c>
      <c r="T1984" s="1" t="str">
        <f aca="false">IF($S1984="","",IF(COUNTIF($S$2:$S$2991,$S1984)&gt;1,"DUPLICATE","OK"))</f>
        <v/>
      </c>
      <c r="U1984" s="0" t="str">
        <f aca="false">IF($L1984="","",IFERROR(VLOOKUP(--$L1984,MM_Income!$Z$5:$AC$204,3,FALSE()),"UNMAPPED"))</f>
        <v/>
      </c>
    </row>
    <row r="1985" customFormat="false" ht="13.5" hidden="false" customHeight="false" outlineLevel="0" collapsed="false">
      <c r="A1985" s="1" t="str">
        <f aca="false">IF($C1985="","",Controls!$B$7)</f>
        <v/>
      </c>
      <c r="B1985" s="1" t="str">
        <f aca="false">IF($H1985="","",YEAR($H1985)&amp;"-Q"&amp;ROUNDUP(MONTH($H1985)/3,0))</f>
        <v/>
      </c>
      <c r="S1985" s="1" t="str">
        <f aca="false">IF($C1985="","",$C1985&amp;"|"&amp;$E1985&amp;"|"&amp;$F1985&amp;"|"&amp;$L1985&amp;"|"&amp;$P1985&amp;"|"&amp;TEXT($H1985,"yyyy-mm-dd"))</f>
        <v/>
      </c>
      <c r="T1985" s="1" t="str">
        <f aca="false">IF($S1985="","",IF(COUNTIF($S$2:$S$2991,$S1985)&gt;1,"DUPLICATE","OK"))</f>
        <v/>
      </c>
      <c r="U1985" s="0" t="str">
        <f aca="false">IF($L1985="","",IFERROR(VLOOKUP(--$L1985,MM_Income!$Z$5:$AC$204,3,FALSE()),"UNMAPPED"))</f>
        <v/>
      </c>
    </row>
    <row r="1986" customFormat="false" ht="13.5" hidden="false" customHeight="false" outlineLevel="0" collapsed="false">
      <c r="A1986" s="1" t="str">
        <f aca="false">IF($C1986="","",Controls!$B$7)</f>
        <v/>
      </c>
      <c r="B1986" s="1" t="str">
        <f aca="false">IF($H1986="","",YEAR($H1986)&amp;"-Q"&amp;ROUNDUP(MONTH($H1986)/3,0))</f>
        <v/>
      </c>
      <c r="S1986" s="1" t="str">
        <f aca="false">IF($C1986="","",$C1986&amp;"|"&amp;$E1986&amp;"|"&amp;$F1986&amp;"|"&amp;$L1986&amp;"|"&amp;$P1986&amp;"|"&amp;TEXT($H1986,"yyyy-mm-dd"))</f>
        <v/>
      </c>
      <c r="T1986" s="1" t="str">
        <f aca="false">IF($S1986="","",IF(COUNTIF($S$2:$S$2991,$S1986)&gt;1,"DUPLICATE","OK"))</f>
        <v/>
      </c>
      <c r="U1986" s="0" t="str">
        <f aca="false">IF($L1986="","",IFERROR(VLOOKUP(--$L1986,MM_Income!$Z$5:$AC$204,3,FALSE()),"UNMAPPED"))</f>
        <v/>
      </c>
    </row>
    <row r="1987" customFormat="false" ht="13.5" hidden="false" customHeight="false" outlineLevel="0" collapsed="false">
      <c r="A1987" s="1" t="str">
        <f aca="false">IF($C1987="","",Controls!$B$7)</f>
        <v/>
      </c>
      <c r="B1987" s="1" t="str">
        <f aca="false">IF($H1987="","",YEAR($H1987)&amp;"-Q"&amp;ROUNDUP(MONTH($H1987)/3,0))</f>
        <v/>
      </c>
      <c r="S1987" s="1" t="str">
        <f aca="false">IF($C1987="","",$C1987&amp;"|"&amp;$E1987&amp;"|"&amp;$F1987&amp;"|"&amp;$L1987&amp;"|"&amp;$P1987&amp;"|"&amp;TEXT($H1987,"yyyy-mm-dd"))</f>
        <v/>
      </c>
      <c r="T1987" s="1" t="str">
        <f aca="false">IF($S1987="","",IF(COUNTIF($S$2:$S$2991,$S1987)&gt;1,"DUPLICATE","OK"))</f>
        <v/>
      </c>
      <c r="U1987" s="0" t="str">
        <f aca="false">IF($L1987="","",IFERROR(VLOOKUP(--$L1987,MM_Income!$Z$5:$AC$204,3,FALSE()),"UNMAPPED"))</f>
        <v/>
      </c>
    </row>
    <row r="1988" customFormat="false" ht="13.5" hidden="false" customHeight="false" outlineLevel="0" collapsed="false">
      <c r="A1988" s="1" t="str">
        <f aca="false">IF($C1988="","",Controls!$B$7)</f>
        <v/>
      </c>
      <c r="B1988" s="1" t="str">
        <f aca="false">IF($H1988="","",YEAR($H1988)&amp;"-Q"&amp;ROUNDUP(MONTH($H1988)/3,0))</f>
        <v/>
      </c>
      <c r="S1988" s="1" t="str">
        <f aca="false">IF($C1988="","",$C1988&amp;"|"&amp;$E1988&amp;"|"&amp;$F1988&amp;"|"&amp;$L1988&amp;"|"&amp;$P1988&amp;"|"&amp;TEXT($H1988,"yyyy-mm-dd"))</f>
        <v/>
      </c>
      <c r="T1988" s="1" t="str">
        <f aca="false">IF($S1988="","",IF(COUNTIF($S$2:$S$2991,$S1988)&gt;1,"DUPLICATE","OK"))</f>
        <v/>
      </c>
      <c r="U1988" s="0" t="str">
        <f aca="false">IF($L1988="","",IFERROR(VLOOKUP(--$L1988,MM_Income!$Z$5:$AC$204,3,FALSE()),"UNMAPPED"))</f>
        <v/>
      </c>
    </row>
    <row r="1989" customFormat="false" ht="13.5" hidden="false" customHeight="false" outlineLevel="0" collapsed="false">
      <c r="A1989" s="1" t="str">
        <f aca="false">IF($C1989="","",Controls!$B$7)</f>
        <v/>
      </c>
      <c r="B1989" s="1" t="str">
        <f aca="false">IF($H1989="","",YEAR($H1989)&amp;"-Q"&amp;ROUNDUP(MONTH($H1989)/3,0))</f>
        <v/>
      </c>
      <c r="S1989" s="1" t="str">
        <f aca="false">IF($C1989="","",$C1989&amp;"|"&amp;$E1989&amp;"|"&amp;$F1989&amp;"|"&amp;$L1989&amp;"|"&amp;$P1989&amp;"|"&amp;TEXT($H1989,"yyyy-mm-dd"))</f>
        <v/>
      </c>
      <c r="T1989" s="1" t="str">
        <f aca="false">IF($S1989="","",IF(COUNTIF($S$2:$S$2991,$S1989)&gt;1,"DUPLICATE","OK"))</f>
        <v/>
      </c>
      <c r="U1989" s="0" t="str">
        <f aca="false">IF($L1989="","",IFERROR(VLOOKUP(--$L1989,MM_Income!$Z$5:$AC$204,3,FALSE()),"UNMAPPED"))</f>
        <v/>
      </c>
    </row>
    <row r="1990" customFormat="false" ht="13.5" hidden="false" customHeight="false" outlineLevel="0" collapsed="false">
      <c r="A1990" s="1" t="str">
        <f aca="false">IF($C1990="","",Controls!$B$7)</f>
        <v/>
      </c>
      <c r="B1990" s="1" t="str">
        <f aca="false">IF($H1990="","",YEAR($H1990)&amp;"-Q"&amp;ROUNDUP(MONTH($H1990)/3,0))</f>
        <v/>
      </c>
      <c r="S1990" s="1" t="str">
        <f aca="false">IF($C1990="","",$C1990&amp;"|"&amp;$E1990&amp;"|"&amp;$F1990&amp;"|"&amp;$L1990&amp;"|"&amp;$P1990&amp;"|"&amp;TEXT($H1990,"yyyy-mm-dd"))</f>
        <v/>
      </c>
      <c r="T1990" s="1" t="str">
        <f aca="false">IF($S1990="","",IF(COUNTIF($S$2:$S$2991,$S1990)&gt;1,"DUPLICATE","OK"))</f>
        <v/>
      </c>
      <c r="U1990" s="0" t="str">
        <f aca="false">IF($L1990="","",IFERROR(VLOOKUP(--$L1990,MM_Income!$Z$5:$AC$204,3,FALSE()),"UNMAPPED"))</f>
        <v/>
      </c>
    </row>
    <row r="1991" customFormat="false" ht="13.5" hidden="false" customHeight="false" outlineLevel="0" collapsed="false">
      <c r="A1991" s="1" t="str">
        <f aca="false">IF($C1991="","",Controls!$B$7)</f>
        <v/>
      </c>
      <c r="B1991" s="1" t="str">
        <f aca="false">IF($H1991="","",YEAR($H1991)&amp;"-Q"&amp;ROUNDUP(MONTH($H1991)/3,0))</f>
        <v/>
      </c>
      <c r="S1991" s="1" t="str">
        <f aca="false">IF($C1991="","",$C1991&amp;"|"&amp;$E1991&amp;"|"&amp;$F1991&amp;"|"&amp;$L1991&amp;"|"&amp;$P1991&amp;"|"&amp;TEXT($H1991,"yyyy-mm-dd"))</f>
        <v/>
      </c>
      <c r="T1991" s="1" t="str">
        <f aca="false">IF($S1991="","",IF(COUNTIF($S$2:$S$2991,$S1991)&gt;1,"DUPLICATE","OK"))</f>
        <v/>
      </c>
      <c r="U1991" s="0" t="str">
        <f aca="false">IF($L1991="","",IFERROR(VLOOKUP(--$L1991,MM_Income!$Z$5:$AC$204,3,FALSE()),"UNMAPPED"))</f>
        <v/>
      </c>
    </row>
    <row r="1992" customFormat="false" ht="13.5" hidden="false" customHeight="false" outlineLevel="0" collapsed="false">
      <c r="A1992" s="1" t="str">
        <f aca="false">IF($C1992="","",Controls!$B$7)</f>
        <v/>
      </c>
      <c r="B1992" s="1" t="str">
        <f aca="false">IF($H1992="","",YEAR($H1992)&amp;"-Q"&amp;ROUNDUP(MONTH($H1992)/3,0))</f>
        <v/>
      </c>
      <c r="S1992" s="1" t="str">
        <f aca="false">IF($C1992="","",$C1992&amp;"|"&amp;$E1992&amp;"|"&amp;$F1992&amp;"|"&amp;$L1992&amp;"|"&amp;$P1992&amp;"|"&amp;TEXT($H1992,"yyyy-mm-dd"))</f>
        <v/>
      </c>
      <c r="T1992" s="1" t="str">
        <f aca="false">IF($S1992="","",IF(COUNTIF($S$2:$S$2991,$S1992)&gt;1,"DUPLICATE","OK"))</f>
        <v/>
      </c>
      <c r="U1992" s="0" t="str">
        <f aca="false">IF($L1992="","",IFERROR(VLOOKUP(--$L1992,MM_Income!$Z$5:$AC$204,3,FALSE()),"UNMAPPED"))</f>
        <v/>
      </c>
    </row>
    <row r="1993" customFormat="false" ht="13.5" hidden="false" customHeight="false" outlineLevel="0" collapsed="false">
      <c r="A1993" s="1" t="str">
        <f aca="false">IF($C1993="","",Controls!$B$7)</f>
        <v/>
      </c>
      <c r="B1993" s="1" t="str">
        <f aca="false">IF($H1993="","",YEAR($H1993)&amp;"-Q"&amp;ROUNDUP(MONTH($H1993)/3,0))</f>
        <v/>
      </c>
      <c r="S1993" s="1" t="str">
        <f aca="false">IF($C1993="","",$C1993&amp;"|"&amp;$E1993&amp;"|"&amp;$F1993&amp;"|"&amp;$L1993&amp;"|"&amp;$P1993&amp;"|"&amp;TEXT($H1993,"yyyy-mm-dd"))</f>
        <v/>
      </c>
      <c r="T1993" s="1" t="str">
        <f aca="false">IF($S1993="","",IF(COUNTIF($S$2:$S$2991,$S1993)&gt;1,"DUPLICATE","OK"))</f>
        <v/>
      </c>
      <c r="U1993" s="0" t="str">
        <f aca="false">IF($L1993="","",IFERROR(VLOOKUP(--$L1993,MM_Income!$Z$5:$AC$204,3,FALSE()),"UNMAPPED"))</f>
        <v/>
      </c>
    </row>
    <row r="1994" customFormat="false" ht="13.5" hidden="false" customHeight="false" outlineLevel="0" collapsed="false">
      <c r="A1994" s="1" t="str">
        <f aca="false">IF($C1994="","",Controls!$B$7)</f>
        <v/>
      </c>
      <c r="B1994" s="1" t="str">
        <f aca="false">IF($H1994="","",YEAR($H1994)&amp;"-Q"&amp;ROUNDUP(MONTH($H1994)/3,0))</f>
        <v/>
      </c>
      <c r="S1994" s="1" t="str">
        <f aca="false">IF($C1994="","",$C1994&amp;"|"&amp;$E1994&amp;"|"&amp;$F1994&amp;"|"&amp;$L1994&amp;"|"&amp;$P1994&amp;"|"&amp;TEXT($H1994,"yyyy-mm-dd"))</f>
        <v/>
      </c>
      <c r="T1994" s="1" t="str">
        <f aca="false">IF($S1994="","",IF(COUNTIF($S$2:$S$2991,$S1994)&gt;1,"DUPLICATE","OK"))</f>
        <v/>
      </c>
      <c r="U1994" s="0" t="str">
        <f aca="false">IF($L1994="","",IFERROR(VLOOKUP(--$L1994,MM_Income!$Z$5:$AC$204,3,FALSE()),"UNMAPPED"))</f>
        <v/>
      </c>
    </row>
    <row r="1995" customFormat="false" ht="13.5" hidden="false" customHeight="false" outlineLevel="0" collapsed="false">
      <c r="A1995" s="1" t="str">
        <f aca="false">IF($C1995="","",Controls!$B$7)</f>
        <v/>
      </c>
      <c r="B1995" s="1" t="str">
        <f aca="false">IF($H1995="","",YEAR($H1995)&amp;"-Q"&amp;ROUNDUP(MONTH($H1995)/3,0))</f>
        <v/>
      </c>
      <c r="S1995" s="1" t="str">
        <f aca="false">IF($C1995="","",$C1995&amp;"|"&amp;$E1995&amp;"|"&amp;$F1995&amp;"|"&amp;$L1995&amp;"|"&amp;$P1995&amp;"|"&amp;TEXT($H1995,"yyyy-mm-dd"))</f>
        <v/>
      </c>
      <c r="T1995" s="1" t="str">
        <f aca="false">IF($S1995="","",IF(COUNTIF($S$2:$S$2991,$S1995)&gt;1,"DUPLICATE","OK"))</f>
        <v/>
      </c>
      <c r="U1995" s="0" t="str">
        <f aca="false">IF($L1995="","",IFERROR(VLOOKUP(--$L1995,MM_Income!$Z$5:$AC$204,3,FALSE()),"UNMAPPED"))</f>
        <v/>
      </c>
    </row>
    <row r="1996" customFormat="false" ht="13.5" hidden="false" customHeight="false" outlineLevel="0" collapsed="false">
      <c r="A1996" s="1" t="str">
        <f aca="false">IF($C1996="","",Controls!$B$7)</f>
        <v/>
      </c>
      <c r="B1996" s="1" t="str">
        <f aca="false">IF($H1996="","",YEAR($H1996)&amp;"-Q"&amp;ROUNDUP(MONTH($H1996)/3,0))</f>
        <v/>
      </c>
      <c r="S1996" s="1" t="str">
        <f aca="false">IF($C1996="","",$C1996&amp;"|"&amp;$E1996&amp;"|"&amp;$F1996&amp;"|"&amp;$L1996&amp;"|"&amp;$P1996&amp;"|"&amp;TEXT($H1996,"yyyy-mm-dd"))</f>
        <v/>
      </c>
      <c r="T1996" s="1" t="str">
        <f aca="false">IF($S1996="","",IF(COUNTIF($S$2:$S$2991,$S1996)&gt;1,"DUPLICATE","OK"))</f>
        <v/>
      </c>
      <c r="U1996" s="0" t="str">
        <f aca="false">IF($L1996="","",IFERROR(VLOOKUP(--$L1996,MM_Income!$Z$5:$AC$204,3,FALSE()),"UNMAPPED"))</f>
        <v/>
      </c>
    </row>
    <row r="1997" customFormat="false" ht="13.5" hidden="false" customHeight="false" outlineLevel="0" collapsed="false">
      <c r="A1997" s="1" t="str">
        <f aca="false">IF($C1997="","",Controls!$B$7)</f>
        <v/>
      </c>
      <c r="B1997" s="1" t="str">
        <f aca="false">IF($H1997="","",YEAR($H1997)&amp;"-Q"&amp;ROUNDUP(MONTH($H1997)/3,0))</f>
        <v/>
      </c>
      <c r="S1997" s="1" t="str">
        <f aca="false">IF($C1997="","",$C1997&amp;"|"&amp;$E1997&amp;"|"&amp;$F1997&amp;"|"&amp;$L1997&amp;"|"&amp;$P1997&amp;"|"&amp;TEXT($H1997,"yyyy-mm-dd"))</f>
        <v/>
      </c>
      <c r="T1997" s="1" t="str">
        <f aca="false">IF($S1997="","",IF(COUNTIF($S$2:$S$2991,$S1997)&gt;1,"DUPLICATE","OK"))</f>
        <v/>
      </c>
      <c r="U1997" s="0" t="str">
        <f aca="false">IF($L1997="","",IFERROR(VLOOKUP(--$L1997,MM_Income!$Z$5:$AC$204,3,FALSE()),"UNMAPPED"))</f>
        <v/>
      </c>
    </row>
    <row r="1998" customFormat="false" ht="13.5" hidden="false" customHeight="false" outlineLevel="0" collapsed="false">
      <c r="A1998" s="1" t="str">
        <f aca="false">IF($C1998="","",Controls!$B$7)</f>
        <v/>
      </c>
      <c r="B1998" s="1" t="str">
        <f aca="false">IF($H1998="","",YEAR($H1998)&amp;"-Q"&amp;ROUNDUP(MONTH($H1998)/3,0))</f>
        <v/>
      </c>
      <c r="S1998" s="1" t="str">
        <f aca="false">IF($C1998="","",$C1998&amp;"|"&amp;$E1998&amp;"|"&amp;$F1998&amp;"|"&amp;$L1998&amp;"|"&amp;$P1998&amp;"|"&amp;TEXT($H1998,"yyyy-mm-dd"))</f>
        <v/>
      </c>
      <c r="T1998" s="1" t="str">
        <f aca="false">IF($S1998="","",IF(COUNTIF($S$2:$S$2991,$S1998)&gt;1,"DUPLICATE","OK"))</f>
        <v/>
      </c>
      <c r="U1998" s="0" t="str">
        <f aca="false">IF($L1998="","",IFERROR(VLOOKUP(--$L1998,MM_Income!$Z$5:$AC$204,3,FALSE()),"UNMAPPED"))</f>
        <v/>
      </c>
    </row>
    <row r="1999" customFormat="false" ht="13.5" hidden="false" customHeight="false" outlineLevel="0" collapsed="false">
      <c r="A1999" s="1" t="str">
        <f aca="false">IF($C1999="","",Controls!$B$7)</f>
        <v/>
      </c>
      <c r="B1999" s="1" t="str">
        <f aca="false">IF($H1999="","",YEAR($H1999)&amp;"-Q"&amp;ROUNDUP(MONTH($H1999)/3,0))</f>
        <v/>
      </c>
      <c r="S1999" s="1" t="str">
        <f aca="false">IF($C1999="","",$C1999&amp;"|"&amp;$E1999&amp;"|"&amp;$F1999&amp;"|"&amp;$L1999&amp;"|"&amp;$P1999&amp;"|"&amp;TEXT($H1999,"yyyy-mm-dd"))</f>
        <v/>
      </c>
      <c r="T1999" s="1" t="str">
        <f aca="false">IF($S1999="","",IF(COUNTIF($S$2:$S$2991,$S1999)&gt;1,"DUPLICATE","OK"))</f>
        <v/>
      </c>
      <c r="U1999" s="0" t="str">
        <f aca="false">IF($L1999="","",IFERROR(VLOOKUP(--$L1999,MM_Income!$Z$5:$AC$204,3,FALSE()),"UNMAPPED"))</f>
        <v/>
      </c>
    </row>
    <row r="2000" customFormat="false" ht="13.5" hidden="false" customHeight="false" outlineLevel="0" collapsed="false">
      <c r="A2000" s="1" t="str">
        <f aca="false">IF($C2000="","",Controls!$B$7)</f>
        <v/>
      </c>
      <c r="B2000" s="1" t="str">
        <f aca="false">IF($H2000="","",YEAR($H2000)&amp;"-Q"&amp;ROUNDUP(MONTH($H2000)/3,0))</f>
        <v/>
      </c>
      <c r="S2000" s="1" t="str">
        <f aca="false">IF($C2000="","",$C2000&amp;"|"&amp;$E2000&amp;"|"&amp;$F2000&amp;"|"&amp;$L2000&amp;"|"&amp;$P2000&amp;"|"&amp;TEXT($H2000,"yyyy-mm-dd"))</f>
        <v/>
      </c>
      <c r="T2000" s="1" t="str">
        <f aca="false">IF($S2000="","",IF(COUNTIF($S$2:$S$2991,$S2000)&gt;1,"DUPLICATE","OK"))</f>
        <v/>
      </c>
      <c r="U2000" s="0" t="str">
        <f aca="false">IF($L2000="","",IFERROR(VLOOKUP(--$L2000,MM_Income!$Z$5:$AC$204,3,FALSE()),"UNMAPPED"))</f>
        <v/>
      </c>
    </row>
    <row r="2001" customFormat="false" ht="13.5" hidden="false" customHeight="false" outlineLevel="0" collapsed="false">
      <c r="A2001" s="1" t="str">
        <f aca="false">IF($C2001="","",Controls!$B$7)</f>
        <v/>
      </c>
      <c r="B2001" s="1" t="str">
        <f aca="false">IF($H2001="","",YEAR($H2001)&amp;"-Q"&amp;ROUNDUP(MONTH($H2001)/3,0))</f>
        <v/>
      </c>
      <c r="S2001" s="1" t="str">
        <f aca="false">IF($C2001="","",$C2001&amp;"|"&amp;$E2001&amp;"|"&amp;$F2001&amp;"|"&amp;$L2001&amp;"|"&amp;$P2001&amp;"|"&amp;TEXT($H2001,"yyyy-mm-dd"))</f>
        <v/>
      </c>
      <c r="T2001" s="1" t="str">
        <f aca="false">IF($S2001="","",IF(COUNTIF($S$2:$S$2991,$S2001)&gt;1,"DUPLICATE","OK"))</f>
        <v/>
      </c>
      <c r="U2001" s="0" t="str">
        <f aca="false">IF($L2001="","",IFERROR(VLOOKUP(--$L2001,MM_Income!$Z$5:$AC$204,3,FALSE()),"UNMAPPED"))</f>
        <v/>
      </c>
    </row>
    <row r="2002" customFormat="false" ht="13.5" hidden="false" customHeight="false" outlineLevel="0" collapsed="false">
      <c r="A2002" s="1" t="str">
        <f aca="false">IF($C2002="","",Controls!$B$7)</f>
        <v/>
      </c>
      <c r="B2002" s="1" t="str">
        <f aca="false">IF($H2002="","",YEAR($H2002)&amp;"-Q"&amp;ROUNDUP(MONTH($H2002)/3,0))</f>
        <v/>
      </c>
      <c r="S2002" s="1" t="str">
        <f aca="false">IF($C2002="","",$C2002&amp;"|"&amp;$E2002&amp;"|"&amp;$F2002&amp;"|"&amp;$L2002&amp;"|"&amp;$P2002&amp;"|"&amp;TEXT($H2002,"yyyy-mm-dd"))</f>
        <v/>
      </c>
      <c r="T2002" s="1" t="str">
        <f aca="false">IF($S2002="","",IF(COUNTIF($S$2:$S$2991,$S2002)&gt;1,"DUPLICATE","OK"))</f>
        <v/>
      </c>
      <c r="U2002" s="0" t="str">
        <f aca="false">IF($L2002="","",IFERROR(VLOOKUP(--$L2002,MM_Income!$Z$5:$AC$204,3,FALSE()),"UNMAPPED"))</f>
        <v/>
      </c>
    </row>
    <row r="2003" customFormat="false" ht="13.5" hidden="false" customHeight="false" outlineLevel="0" collapsed="false">
      <c r="A2003" s="1" t="str">
        <f aca="false">IF($C2003="","",Controls!$B$7)</f>
        <v/>
      </c>
      <c r="B2003" s="1" t="str">
        <f aca="false">IF($H2003="","",YEAR($H2003)&amp;"-Q"&amp;ROUNDUP(MONTH($H2003)/3,0))</f>
        <v/>
      </c>
      <c r="S2003" s="1" t="str">
        <f aca="false">IF($C2003="","",$C2003&amp;"|"&amp;$E2003&amp;"|"&amp;$F2003&amp;"|"&amp;$L2003&amp;"|"&amp;$P2003&amp;"|"&amp;TEXT($H2003,"yyyy-mm-dd"))</f>
        <v/>
      </c>
      <c r="T2003" s="1" t="str">
        <f aca="false">IF($S2003="","",IF(COUNTIF($S$2:$S$2991,$S2003)&gt;1,"DUPLICATE","OK"))</f>
        <v/>
      </c>
      <c r="U2003" s="0" t="str">
        <f aca="false">IF($L2003="","",IFERROR(VLOOKUP(--$L2003,MM_Income!$Z$5:$AC$204,3,FALSE()),"UNMAPPED"))</f>
        <v/>
      </c>
    </row>
    <row r="2004" customFormat="false" ht="13.5" hidden="false" customHeight="false" outlineLevel="0" collapsed="false">
      <c r="A2004" s="1" t="str">
        <f aca="false">IF($C2004="","",Controls!$B$7)</f>
        <v/>
      </c>
      <c r="B2004" s="1" t="str">
        <f aca="false">IF($H2004="","",YEAR($H2004)&amp;"-Q"&amp;ROUNDUP(MONTH($H2004)/3,0))</f>
        <v/>
      </c>
      <c r="S2004" s="1" t="str">
        <f aca="false">IF($C2004="","",$C2004&amp;"|"&amp;$E2004&amp;"|"&amp;$F2004&amp;"|"&amp;$L2004&amp;"|"&amp;$P2004&amp;"|"&amp;TEXT($H2004,"yyyy-mm-dd"))</f>
        <v/>
      </c>
      <c r="T2004" s="1" t="str">
        <f aca="false">IF($S2004="","",IF(COUNTIF($S$2:$S$2991,$S2004)&gt;1,"DUPLICATE","OK"))</f>
        <v/>
      </c>
      <c r="U2004" s="0" t="str">
        <f aca="false">IF($L2004="","",IFERROR(VLOOKUP(--$L2004,MM_Income!$Z$5:$AC$204,3,FALSE()),"UNMAPPED"))</f>
        <v/>
      </c>
    </row>
    <row r="2005" customFormat="false" ht="13.5" hidden="false" customHeight="false" outlineLevel="0" collapsed="false">
      <c r="A2005" s="1" t="str">
        <f aca="false">IF($C2005="","",Controls!$B$7)</f>
        <v/>
      </c>
      <c r="B2005" s="1" t="str">
        <f aca="false">IF($H2005="","",YEAR($H2005)&amp;"-Q"&amp;ROUNDUP(MONTH($H2005)/3,0))</f>
        <v/>
      </c>
      <c r="S2005" s="1" t="str">
        <f aca="false">IF($C2005="","",$C2005&amp;"|"&amp;$E2005&amp;"|"&amp;$F2005&amp;"|"&amp;$L2005&amp;"|"&amp;$P2005&amp;"|"&amp;TEXT($H2005,"yyyy-mm-dd"))</f>
        <v/>
      </c>
      <c r="T2005" s="1" t="str">
        <f aca="false">IF($S2005="","",IF(COUNTIF($S$2:$S$2991,$S2005)&gt;1,"DUPLICATE","OK"))</f>
        <v/>
      </c>
      <c r="U2005" s="0" t="str">
        <f aca="false">IF($L2005="","",IFERROR(VLOOKUP(--$L2005,MM_Income!$Z$5:$AC$204,3,FALSE()),"UNMAPPED"))</f>
        <v/>
      </c>
    </row>
    <row r="2006" customFormat="false" ht="13.5" hidden="false" customHeight="false" outlineLevel="0" collapsed="false">
      <c r="A2006" s="1" t="str">
        <f aca="false">IF($C2006="","",Controls!$B$7)</f>
        <v/>
      </c>
      <c r="B2006" s="1" t="str">
        <f aca="false">IF($H2006="","",YEAR($H2006)&amp;"-Q"&amp;ROUNDUP(MONTH($H2006)/3,0))</f>
        <v/>
      </c>
      <c r="S2006" s="1" t="str">
        <f aca="false">IF($C2006="","",$C2006&amp;"|"&amp;$E2006&amp;"|"&amp;$F2006&amp;"|"&amp;$L2006&amp;"|"&amp;$P2006&amp;"|"&amp;TEXT($H2006,"yyyy-mm-dd"))</f>
        <v/>
      </c>
      <c r="T2006" s="1" t="str">
        <f aca="false">IF($S2006="","",IF(COUNTIF($S$2:$S$2991,$S2006)&gt;1,"DUPLICATE","OK"))</f>
        <v/>
      </c>
      <c r="U2006" s="0" t="str">
        <f aca="false">IF($L2006="","",IFERROR(VLOOKUP(--$L2006,MM_Income!$Z$5:$AC$204,3,FALSE()),"UNMAPPED"))</f>
        <v/>
      </c>
    </row>
    <row r="2007" customFormat="false" ht="13.5" hidden="false" customHeight="false" outlineLevel="0" collapsed="false">
      <c r="A2007" s="1" t="str">
        <f aca="false">IF($C2007="","",Controls!$B$7)</f>
        <v/>
      </c>
      <c r="B2007" s="1" t="str">
        <f aca="false">IF($H2007="","",YEAR($H2007)&amp;"-Q"&amp;ROUNDUP(MONTH($H2007)/3,0))</f>
        <v/>
      </c>
      <c r="S2007" s="1" t="str">
        <f aca="false">IF($C2007="","",$C2007&amp;"|"&amp;$E2007&amp;"|"&amp;$F2007&amp;"|"&amp;$L2007&amp;"|"&amp;$P2007&amp;"|"&amp;TEXT($H2007,"yyyy-mm-dd"))</f>
        <v/>
      </c>
      <c r="T2007" s="1" t="str">
        <f aca="false">IF($S2007="","",IF(COUNTIF($S$2:$S$2991,$S2007)&gt;1,"DUPLICATE","OK"))</f>
        <v/>
      </c>
      <c r="U2007" s="0" t="str">
        <f aca="false">IF($L2007="","",IFERROR(VLOOKUP(--$L2007,MM_Income!$Z$5:$AC$204,3,FALSE()),"UNMAPPED"))</f>
        <v/>
      </c>
    </row>
    <row r="2008" customFormat="false" ht="13.5" hidden="false" customHeight="false" outlineLevel="0" collapsed="false">
      <c r="A2008" s="1" t="str">
        <f aca="false">IF($C2008="","",Controls!$B$7)</f>
        <v/>
      </c>
      <c r="B2008" s="1" t="str">
        <f aca="false">IF($H2008="","",YEAR($H2008)&amp;"-Q"&amp;ROUNDUP(MONTH($H2008)/3,0))</f>
        <v/>
      </c>
      <c r="S2008" s="1" t="str">
        <f aca="false">IF($C2008="","",$C2008&amp;"|"&amp;$E2008&amp;"|"&amp;$F2008&amp;"|"&amp;$L2008&amp;"|"&amp;$P2008&amp;"|"&amp;TEXT($H2008,"yyyy-mm-dd"))</f>
        <v/>
      </c>
      <c r="T2008" s="1" t="str">
        <f aca="false">IF($S2008="","",IF(COUNTIF($S$2:$S$2991,$S2008)&gt;1,"DUPLICATE","OK"))</f>
        <v/>
      </c>
      <c r="U2008" s="0" t="str">
        <f aca="false">IF($L2008="","",IFERROR(VLOOKUP(--$L2008,MM_Income!$Z$5:$AC$204,3,FALSE()),"UNMAPPED"))</f>
        <v/>
      </c>
    </row>
    <row r="2009" customFormat="false" ht="13.5" hidden="false" customHeight="false" outlineLevel="0" collapsed="false">
      <c r="A2009" s="1" t="str">
        <f aca="false">IF($C2009="","",Controls!$B$7)</f>
        <v/>
      </c>
      <c r="B2009" s="1" t="str">
        <f aca="false">IF($H2009="","",YEAR($H2009)&amp;"-Q"&amp;ROUNDUP(MONTH($H2009)/3,0))</f>
        <v/>
      </c>
      <c r="S2009" s="1" t="str">
        <f aca="false">IF($C2009="","",$C2009&amp;"|"&amp;$E2009&amp;"|"&amp;$F2009&amp;"|"&amp;$L2009&amp;"|"&amp;$P2009&amp;"|"&amp;TEXT($H2009,"yyyy-mm-dd"))</f>
        <v/>
      </c>
      <c r="T2009" s="1" t="str">
        <f aca="false">IF($S2009="","",IF(COUNTIF($S$2:$S$2991,$S2009)&gt;1,"DUPLICATE","OK"))</f>
        <v/>
      </c>
      <c r="U2009" s="0" t="str">
        <f aca="false">IF($L2009="","",IFERROR(VLOOKUP(--$L2009,MM_Income!$Z$5:$AC$204,3,FALSE()),"UNMAPPED"))</f>
        <v/>
      </c>
    </row>
    <row r="2010" customFormat="false" ht="13.5" hidden="false" customHeight="false" outlineLevel="0" collapsed="false">
      <c r="A2010" s="1" t="str">
        <f aca="false">IF($C2010="","",Controls!$B$7)</f>
        <v/>
      </c>
      <c r="B2010" s="1" t="str">
        <f aca="false">IF($H2010="","",YEAR($H2010)&amp;"-Q"&amp;ROUNDUP(MONTH($H2010)/3,0))</f>
        <v/>
      </c>
      <c r="S2010" s="1" t="str">
        <f aca="false">IF($C2010="","",$C2010&amp;"|"&amp;$E2010&amp;"|"&amp;$F2010&amp;"|"&amp;$L2010&amp;"|"&amp;$P2010&amp;"|"&amp;TEXT($H2010,"yyyy-mm-dd"))</f>
        <v/>
      </c>
      <c r="T2010" s="1" t="str">
        <f aca="false">IF($S2010="","",IF(COUNTIF($S$2:$S$2991,$S2010)&gt;1,"DUPLICATE","OK"))</f>
        <v/>
      </c>
      <c r="U2010" s="0" t="str">
        <f aca="false">IF($L2010="","",IFERROR(VLOOKUP(--$L2010,MM_Income!$Z$5:$AC$204,3,FALSE()),"UNMAPPED"))</f>
        <v/>
      </c>
    </row>
    <row r="2011" customFormat="false" ht="13.5" hidden="false" customHeight="false" outlineLevel="0" collapsed="false">
      <c r="A2011" s="1" t="str">
        <f aca="false">IF($C2011="","",Controls!$B$7)</f>
        <v/>
      </c>
      <c r="B2011" s="1" t="str">
        <f aca="false">IF($H2011="","",YEAR($H2011)&amp;"-Q"&amp;ROUNDUP(MONTH($H2011)/3,0))</f>
        <v/>
      </c>
      <c r="S2011" s="1" t="str">
        <f aca="false">IF($C2011="","",$C2011&amp;"|"&amp;$E2011&amp;"|"&amp;$F2011&amp;"|"&amp;$L2011&amp;"|"&amp;$P2011&amp;"|"&amp;TEXT($H2011,"yyyy-mm-dd"))</f>
        <v/>
      </c>
      <c r="T2011" s="1" t="str">
        <f aca="false">IF($S2011="","",IF(COUNTIF($S$2:$S$2991,$S2011)&gt;1,"DUPLICATE","OK"))</f>
        <v/>
      </c>
      <c r="U2011" s="0" t="str">
        <f aca="false">IF($L2011="","",IFERROR(VLOOKUP(--$L2011,MM_Income!$Z$5:$AC$204,3,FALSE()),"UNMAPPED"))</f>
        <v/>
      </c>
    </row>
    <row r="2012" customFormat="false" ht="13.5" hidden="false" customHeight="false" outlineLevel="0" collapsed="false">
      <c r="A2012" s="1" t="str">
        <f aca="false">IF($C2012="","",Controls!$B$7)</f>
        <v/>
      </c>
      <c r="B2012" s="1" t="str">
        <f aca="false">IF($H2012="","",YEAR($H2012)&amp;"-Q"&amp;ROUNDUP(MONTH($H2012)/3,0))</f>
        <v/>
      </c>
      <c r="S2012" s="1" t="str">
        <f aca="false">IF($C2012="","",$C2012&amp;"|"&amp;$E2012&amp;"|"&amp;$F2012&amp;"|"&amp;$L2012&amp;"|"&amp;$P2012&amp;"|"&amp;TEXT($H2012,"yyyy-mm-dd"))</f>
        <v/>
      </c>
      <c r="T2012" s="1" t="str">
        <f aca="false">IF($S2012="","",IF(COUNTIF($S$2:$S$2991,$S2012)&gt;1,"DUPLICATE","OK"))</f>
        <v/>
      </c>
      <c r="U2012" s="0" t="str">
        <f aca="false">IF($L2012="","",IFERROR(VLOOKUP(--$L2012,MM_Income!$Z$5:$AC$204,3,FALSE()),"UNMAPPED"))</f>
        <v/>
      </c>
    </row>
    <row r="2013" customFormat="false" ht="13.5" hidden="false" customHeight="false" outlineLevel="0" collapsed="false">
      <c r="A2013" s="1" t="str">
        <f aca="false">IF($C2013="","",Controls!$B$7)</f>
        <v/>
      </c>
      <c r="B2013" s="1" t="str">
        <f aca="false">IF($H2013="","",YEAR($H2013)&amp;"-Q"&amp;ROUNDUP(MONTH($H2013)/3,0))</f>
        <v/>
      </c>
      <c r="S2013" s="1" t="str">
        <f aca="false">IF($C2013="","",$C2013&amp;"|"&amp;$E2013&amp;"|"&amp;$F2013&amp;"|"&amp;$L2013&amp;"|"&amp;$P2013&amp;"|"&amp;TEXT($H2013,"yyyy-mm-dd"))</f>
        <v/>
      </c>
      <c r="T2013" s="1" t="str">
        <f aca="false">IF($S2013="","",IF(COUNTIF($S$2:$S$2991,$S2013)&gt;1,"DUPLICATE","OK"))</f>
        <v/>
      </c>
      <c r="U2013" s="0" t="str">
        <f aca="false">IF($L2013="","",IFERROR(VLOOKUP(--$L2013,MM_Income!$Z$5:$AC$204,3,FALSE()),"UNMAPPED"))</f>
        <v/>
      </c>
    </row>
    <row r="2014" customFormat="false" ht="13.5" hidden="false" customHeight="false" outlineLevel="0" collapsed="false">
      <c r="A2014" s="1" t="str">
        <f aca="false">IF($C2014="","",Controls!$B$7)</f>
        <v/>
      </c>
      <c r="B2014" s="1" t="str">
        <f aca="false">IF($H2014="","",YEAR($H2014)&amp;"-Q"&amp;ROUNDUP(MONTH($H2014)/3,0))</f>
        <v/>
      </c>
      <c r="S2014" s="1" t="str">
        <f aca="false">IF($C2014="","",$C2014&amp;"|"&amp;$E2014&amp;"|"&amp;$F2014&amp;"|"&amp;$L2014&amp;"|"&amp;$P2014&amp;"|"&amp;TEXT($H2014,"yyyy-mm-dd"))</f>
        <v/>
      </c>
      <c r="T2014" s="1" t="str">
        <f aca="false">IF($S2014="","",IF(COUNTIF($S$2:$S$2991,$S2014)&gt;1,"DUPLICATE","OK"))</f>
        <v/>
      </c>
      <c r="U2014" s="0" t="str">
        <f aca="false">IF($L2014="","",IFERROR(VLOOKUP(--$L2014,MM_Income!$Z$5:$AC$204,3,FALSE()),"UNMAPPED"))</f>
        <v/>
      </c>
    </row>
    <row r="2015" customFormat="false" ht="13.5" hidden="false" customHeight="false" outlineLevel="0" collapsed="false">
      <c r="A2015" s="1" t="str">
        <f aca="false">IF($C2015="","",Controls!$B$7)</f>
        <v/>
      </c>
      <c r="B2015" s="1" t="str">
        <f aca="false">IF($H2015="","",YEAR($H2015)&amp;"-Q"&amp;ROUNDUP(MONTH($H2015)/3,0))</f>
        <v/>
      </c>
      <c r="S2015" s="1" t="str">
        <f aca="false">IF($C2015="","",$C2015&amp;"|"&amp;$E2015&amp;"|"&amp;$F2015&amp;"|"&amp;$L2015&amp;"|"&amp;$P2015&amp;"|"&amp;TEXT($H2015,"yyyy-mm-dd"))</f>
        <v/>
      </c>
      <c r="T2015" s="1" t="str">
        <f aca="false">IF($S2015="","",IF(COUNTIF($S$2:$S$2991,$S2015)&gt;1,"DUPLICATE","OK"))</f>
        <v/>
      </c>
      <c r="U2015" s="0" t="str">
        <f aca="false">IF($L2015="","",IFERROR(VLOOKUP(--$L2015,MM_Income!$Z$5:$AC$204,3,FALSE()),"UNMAPPED"))</f>
        <v/>
      </c>
    </row>
    <row r="2016" customFormat="false" ht="13.5" hidden="false" customHeight="false" outlineLevel="0" collapsed="false">
      <c r="A2016" s="1" t="str">
        <f aca="false">IF($C2016="","",Controls!$B$7)</f>
        <v/>
      </c>
      <c r="B2016" s="1" t="str">
        <f aca="false">IF($H2016="","",YEAR($H2016)&amp;"-Q"&amp;ROUNDUP(MONTH($H2016)/3,0))</f>
        <v/>
      </c>
      <c r="S2016" s="1" t="str">
        <f aca="false">IF($C2016="","",$C2016&amp;"|"&amp;$E2016&amp;"|"&amp;$F2016&amp;"|"&amp;$L2016&amp;"|"&amp;$P2016&amp;"|"&amp;TEXT($H2016,"yyyy-mm-dd"))</f>
        <v/>
      </c>
      <c r="T2016" s="1" t="str">
        <f aca="false">IF($S2016="","",IF(COUNTIF($S$2:$S$2991,$S2016)&gt;1,"DUPLICATE","OK"))</f>
        <v/>
      </c>
      <c r="U2016" s="0" t="str">
        <f aca="false">IF($L2016="","",IFERROR(VLOOKUP(--$L2016,MM_Income!$Z$5:$AC$204,3,FALSE()),"UNMAPPED"))</f>
        <v/>
      </c>
    </row>
    <row r="2017" customFormat="false" ht="13.5" hidden="false" customHeight="false" outlineLevel="0" collapsed="false">
      <c r="A2017" s="1" t="str">
        <f aca="false">IF($C2017="","",Controls!$B$7)</f>
        <v/>
      </c>
      <c r="B2017" s="1" t="str">
        <f aca="false">IF($H2017="","",YEAR($H2017)&amp;"-Q"&amp;ROUNDUP(MONTH($H2017)/3,0))</f>
        <v/>
      </c>
      <c r="S2017" s="1" t="str">
        <f aca="false">IF($C2017="","",$C2017&amp;"|"&amp;$E2017&amp;"|"&amp;$F2017&amp;"|"&amp;$L2017&amp;"|"&amp;$P2017&amp;"|"&amp;TEXT($H2017,"yyyy-mm-dd"))</f>
        <v/>
      </c>
      <c r="T2017" s="1" t="str">
        <f aca="false">IF($S2017="","",IF(COUNTIF($S$2:$S$2991,$S2017)&gt;1,"DUPLICATE","OK"))</f>
        <v/>
      </c>
      <c r="U2017" s="0" t="str">
        <f aca="false">IF($L2017="","",IFERROR(VLOOKUP(--$L2017,MM_Income!$Z$5:$AC$204,3,FALSE()),"UNMAPPED"))</f>
        <v/>
      </c>
    </row>
    <row r="2018" customFormat="false" ht="13.5" hidden="false" customHeight="false" outlineLevel="0" collapsed="false">
      <c r="A2018" s="1" t="str">
        <f aca="false">IF($C2018="","",Controls!$B$7)</f>
        <v/>
      </c>
      <c r="B2018" s="1" t="str">
        <f aca="false">IF($H2018="","",YEAR($H2018)&amp;"-Q"&amp;ROUNDUP(MONTH($H2018)/3,0))</f>
        <v/>
      </c>
      <c r="S2018" s="1" t="str">
        <f aca="false">IF($C2018="","",$C2018&amp;"|"&amp;$E2018&amp;"|"&amp;$F2018&amp;"|"&amp;$L2018&amp;"|"&amp;$P2018&amp;"|"&amp;TEXT($H2018,"yyyy-mm-dd"))</f>
        <v/>
      </c>
      <c r="T2018" s="1" t="str">
        <f aca="false">IF($S2018="","",IF(COUNTIF($S$2:$S$2991,$S2018)&gt;1,"DUPLICATE","OK"))</f>
        <v/>
      </c>
      <c r="U2018" s="0" t="str">
        <f aca="false">IF($L2018="","",IFERROR(VLOOKUP(--$L2018,MM_Income!$Z$5:$AC$204,3,FALSE()),"UNMAPPED"))</f>
        <v/>
      </c>
    </row>
    <row r="2019" customFormat="false" ht="13.5" hidden="false" customHeight="false" outlineLevel="0" collapsed="false">
      <c r="A2019" s="1" t="str">
        <f aca="false">IF($C2019="","",Controls!$B$7)</f>
        <v/>
      </c>
      <c r="B2019" s="1" t="str">
        <f aca="false">IF($H2019="","",YEAR($H2019)&amp;"-Q"&amp;ROUNDUP(MONTH($H2019)/3,0))</f>
        <v/>
      </c>
      <c r="S2019" s="1" t="str">
        <f aca="false">IF($C2019="","",$C2019&amp;"|"&amp;$E2019&amp;"|"&amp;$F2019&amp;"|"&amp;$L2019&amp;"|"&amp;$P2019&amp;"|"&amp;TEXT($H2019,"yyyy-mm-dd"))</f>
        <v/>
      </c>
      <c r="T2019" s="1" t="str">
        <f aca="false">IF($S2019="","",IF(COUNTIF($S$2:$S$2991,$S2019)&gt;1,"DUPLICATE","OK"))</f>
        <v/>
      </c>
      <c r="U2019" s="0" t="str">
        <f aca="false">IF($L2019="","",IFERROR(VLOOKUP(--$L2019,MM_Income!$Z$5:$AC$204,3,FALSE()),"UNMAPPED"))</f>
        <v/>
      </c>
    </row>
    <row r="2020" customFormat="false" ht="13.5" hidden="false" customHeight="false" outlineLevel="0" collapsed="false">
      <c r="A2020" s="1" t="str">
        <f aca="false">IF($C2020="","",Controls!$B$7)</f>
        <v/>
      </c>
      <c r="B2020" s="1" t="str">
        <f aca="false">IF($H2020="","",YEAR($H2020)&amp;"-Q"&amp;ROUNDUP(MONTH($H2020)/3,0))</f>
        <v/>
      </c>
      <c r="S2020" s="1" t="str">
        <f aca="false">IF($C2020="","",$C2020&amp;"|"&amp;$E2020&amp;"|"&amp;$F2020&amp;"|"&amp;$L2020&amp;"|"&amp;$P2020&amp;"|"&amp;TEXT($H2020,"yyyy-mm-dd"))</f>
        <v/>
      </c>
      <c r="T2020" s="1" t="str">
        <f aca="false">IF($S2020="","",IF(COUNTIF($S$2:$S$2991,$S2020)&gt;1,"DUPLICATE","OK"))</f>
        <v/>
      </c>
      <c r="U2020" s="0" t="str">
        <f aca="false">IF($L2020="","",IFERROR(VLOOKUP(--$L2020,MM_Income!$Z$5:$AC$204,3,FALSE()),"UNMAPPED"))</f>
        <v/>
      </c>
    </row>
    <row r="2021" customFormat="false" ht="13.5" hidden="false" customHeight="false" outlineLevel="0" collapsed="false">
      <c r="A2021" s="1" t="str">
        <f aca="false">IF($C2021="","",Controls!$B$7)</f>
        <v/>
      </c>
      <c r="B2021" s="1" t="str">
        <f aca="false">IF($H2021="","",YEAR($H2021)&amp;"-Q"&amp;ROUNDUP(MONTH($H2021)/3,0))</f>
        <v/>
      </c>
      <c r="S2021" s="1" t="str">
        <f aca="false">IF($C2021="","",$C2021&amp;"|"&amp;$E2021&amp;"|"&amp;$F2021&amp;"|"&amp;$L2021&amp;"|"&amp;$P2021&amp;"|"&amp;TEXT($H2021,"yyyy-mm-dd"))</f>
        <v/>
      </c>
      <c r="T2021" s="1" t="str">
        <f aca="false">IF($S2021="","",IF(COUNTIF($S$2:$S$2991,$S2021)&gt;1,"DUPLICATE","OK"))</f>
        <v/>
      </c>
      <c r="U2021" s="0" t="str">
        <f aca="false">IF($L2021="","",IFERROR(VLOOKUP(--$L2021,MM_Income!$Z$5:$AC$204,3,FALSE()),"UNMAPPED"))</f>
        <v/>
      </c>
    </row>
    <row r="2022" customFormat="false" ht="13.5" hidden="false" customHeight="false" outlineLevel="0" collapsed="false">
      <c r="A2022" s="1" t="str">
        <f aca="false">IF($C2022="","",Controls!$B$7)</f>
        <v/>
      </c>
      <c r="B2022" s="1" t="str">
        <f aca="false">IF($H2022="","",YEAR($H2022)&amp;"-Q"&amp;ROUNDUP(MONTH($H2022)/3,0))</f>
        <v/>
      </c>
      <c r="S2022" s="1" t="str">
        <f aca="false">IF($C2022="","",$C2022&amp;"|"&amp;$E2022&amp;"|"&amp;$F2022&amp;"|"&amp;$L2022&amp;"|"&amp;$P2022&amp;"|"&amp;TEXT($H2022,"yyyy-mm-dd"))</f>
        <v/>
      </c>
      <c r="T2022" s="1" t="str">
        <f aca="false">IF($S2022="","",IF(COUNTIF($S$2:$S$2991,$S2022)&gt;1,"DUPLICATE","OK"))</f>
        <v/>
      </c>
      <c r="U2022" s="0" t="str">
        <f aca="false">IF($L2022="","",IFERROR(VLOOKUP(--$L2022,MM_Income!$Z$5:$AC$204,3,FALSE()),"UNMAPPED"))</f>
        <v/>
      </c>
    </row>
    <row r="2023" customFormat="false" ht="13.5" hidden="false" customHeight="false" outlineLevel="0" collapsed="false">
      <c r="A2023" s="1" t="str">
        <f aca="false">IF($C2023="","",Controls!$B$7)</f>
        <v/>
      </c>
      <c r="B2023" s="1" t="str">
        <f aca="false">IF($H2023="","",YEAR($H2023)&amp;"-Q"&amp;ROUNDUP(MONTH($H2023)/3,0))</f>
        <v/>
      </c>
      <c r="S2023" s="1" t="str">
        <f aca="false">IF($C2023="","",$C2023&amp;"|"&amp;$E2023&amp;"|"&amp;$F2023&amp;"|"&amp;$L2023&amp;"|"&amp;$P2023&amp;"|"&amp;TEXT($H2023,"yyyy-mm-dd"))</f>
        <v/>
      </c>
      <c r="T2023" s="1" t="str">
        <f aca="false">IF($S2023="","",IF(COUNTIF($S$2:$S$2991,$S2023)&gt;1,"DUPLICATE","OK"))</f>
        <v/>
      </c>
      <c r="U2023" s="0" t="str">
        <f aca="false">IF($L2023="","",IFERROR(VLOOKUP(--$L2023,MM_Income!$Z$5:$AC$204,3,FALSE()),"UNMAPPED"))</f>
        <v/>
      </c>
    </row>
    <row r="2024" customFormat="false" ht="13.5" hidden="false" customHeight="false" outlineLevel="0" collapsed="false">
      <c r="A2024" s="1" t="str">
        <f aca="false">IF($C2024="","",Controls!$B$7)</f>
        <v/>
      </c>
      <c r="B2024" s="1" t="str">
        <f aca="false">IF($H2024="","",YEAR($H2024)&amp;"-Q"&amp;ROUNDUP(MONTH($H2024)/3,0))</f>
        <v/>
      </c>
      <c r="S2024" s="1" t="str">
        <f aca="false">IF($C2024="","",$C2024&amp;"|"&amp;$E2024&amp;"|"&amp;$F2024&amp;"|"&amp;$L2024&amp;"|"&amp;$P2024&amp;"|"&amp;TEXT($H2024,"yyyy-mm-dd"))</f>
        <v/>
      </c>
      <c r="T2024" s="1" t="str">
        <f aca="false">IF($S2024="","",IF(COUNTIF($S$2:$S$2991,$S2024)&gt;1,"DUPLICATE","OK"))</f>
        <v/>
      </c>
      <c r="U2024" s="0" t="str">
        <f aca="false">IF($L2024="","",IFERROR(VLOOKUP(--$L2024,MM_Income!$Z$5:$AC$204,3,FALSE()),"UNMAPPED"))</f>
        <v/>
      </c>
    </row>
    <row r="2025" customFormat="false" ht="13.5" hidden="false" customHeight="false" outlineLevel="0" collapsed="false">
      <c r="A2025" s="1" t="str">
        <f aca="false">IF($C2025="","",Controls!$B$7)</f>
        <v/>
      </c>
      <c r="B2025" s="1" t="str">
        <f aca="false">IF($H2025="","",YEAR($H2025)&amp;"-Q"&amp;ROUNDUP(MONTH($H2025)/3,0))</f>
        <v/>
      </c>
      <c r="S2025" s="1" t="str">
        <f aca="false">IF($C2025="","",$C2025&amp;"|"&amp;$E2025&amp;"|"&amp;$F2025&amp;"|"&amp;$L2025&amp;"|"&amp;$P2025&amp;"|"&amp;TEXT($H2025,"yyyy-mm-dd"))</f>
        <v/>
      </c>
      <c r="T2025" s="1" t="str">
        <f aca="false">IF($S2025="","",IF(COUNTIF($S$2:$S$2991,$S2025)&gt;1,"DUPLICATE","OK"))</f>
        <v/>
      </c>
      <c r="U2025" s="0" t="str">
        <f aca="false">IF($L2025="","",IFERROR(VLOOKUP(--$L2025,MM_Income!$Z$5:$AC$204,3,FALSE()),"UNMAPPED"))</f>
        <v/>
      </c>
    </row>
    <row r="2026" customFormat="false" ht="13.5" hidden="false" customHeight="false" outlineLevel="0" collapsed="false">
      <c r="A2026" s="1" t="str">
        <f aca="false">IF($C2026="","",Controls!$B$7)</f>
        <v/>
      </c>
      <c r="B2026" s="1" t="str">
        <f aca="false">IF($H2026="","",YEAR($H2026)&amp;"-Q"&amp;ROUNDUP(MONTH($H2026)/3,0))</f>
        <v/>
      </c>
      <c r="S2026" s="1" t="str">
        <f aca="false">IF($C2026="","",$C2026&amp;"|"&amp;$E2026&amp;"|"&amp;$F2026&amp;"|"&amp;$L2026&amp;"|"&amp;$P2026&amp;"|"&amp;TEXT($H2026,"yyyy-mm-dd"))</f>
        <v/>
      </c>
      <c r="T2026" s="1" t="str">
        <f aca="false">IF($S2026="","",IF(COUNTIF($S$2:$S$2991,$S2026)&gt;1,"DUPLICATE","OK"))</f>
        <v/>
      </c>
      <c r="U2026" s="0" t="str">
        <f aca="false">IF($L2026="","",IFERROR(VLOOKUP(--$L2026,MM_Income!$Z$5:$AC$204,3,FALSE()),"UNMAPPED"))</f>
        <v/>
      </c>
    </row>
    <row r="2027" customFormat="false" ht="13.5" hidden="false" customHeight="false" outlineLevel="0" collapsed="false">
      <c r="A2027" s="1" t="str">
        <f aca="false">IF($C2027="","",Controls!$B$7)</f>
        <v/>
      </c>
      <c r="B2027" s="1" t="str">
        <f aca="false">IF($H2027="","",YEAR($H2027)&amp;"-Q"&amp;ROUNDUP(MONTH($H2027)/3,0))</f>
        <v/>
      </c>
      <c r="S2027" s="1" t="str">
        <f aca="false">IF($C2027="","",$C2027&amp;"|"&amp;$E2027&amp;"|"&amp;$F2027&amp;"|"&amp;$L2027&amp;"|"&amp;$P2027&amp;"|"&amp;TEXT($H2027,"yyyy-mm-dd"))</f>
        <v/>
      </c>
      <c r="T2027" s="1" t="str">
        <f aca="false">IF($S2027="","",IF(COUNTIF($S$2:$S$2991,$S2027)&gt;1,"DUPLICATE","OK"))</f>
        <v/>
      </c>
      <c r="U2027" s="0" t="str">
        <f aca="false">IF($L2027="","",IFERROR(VLOOKUP(--$L2027,MM_Income!$Z$5:$AC$204,3,FALSE()),"UNMAPPED"))</f>
        <v/>
      </c>
    </row>
    <row r="2028" customFormat="false" ht="13.5" hidden="false" customHeight="false" outlineLevel="0" collapsed="false">
      <c r="A2028" s="1" t="str">
        <f aca="false">IF($C2028="","",Controls!$B$7)</f>
        <v/>
      </c>
      <c r="B2028" s="1" t="str">
        <f aca="false">IF($H2028="","",YEAR($H2028)&amp;"-Q"&amp;ROUNDUP(MONTH($H2028)/3,0))</f>
        <v/>
      </c>
      <c r="S2028" s="1" t="str">
        <f aca="false">IF($C2028="","",$C2028&amp;"|"&amp;$E2028&amp;"|"&amp;$F2028&amp;"|"&amp;$L2028&amp;"|"&amp;$P2028&amp;"|"&amp;TEXT($H2028,"yyyy-mm-dd"))</f>
        <v/>
      </c>
      <c r="T2028" s="1" t="str">
        <f aca="false">IF($S2028="","",IF(COUNTIF($S$2:$S$2991,$S2028)&gt;1,"DUPLICATE","OK"))</f>
        <v/>
      </c>
      <c r="U2028" s="0" t="str">
        <f aca="false">IF($L2028="","",IFERROR(VLOOKUP(--$L2028,MM_Income!$Z$5:$AC$204,3,FALSE()),"UNMAPPED"))</f>
        <v/>
      </c>
    </row>
    <row r="2029" customFormat="false" ht="13.5" hidden="false" customHeight="false" outlineLevel="0" collapsed="false">
      <c r="A2029" s="1" t="str">
        <f aca="false">IF($C2029="","",Controls!$B$7)</f>
        <v/>
      </c>
      <c r="B2029" s="1" t="str">
        <f aca="false">IF($H2029="","",YEAR($H2029)&amp;"-Q"&amp;ROUNDUP(MONTH($H2029)/3,0))</f>
        <v/>
      </c>
      <c r="S2029" s="1" t="str">
        <f aca="false">IF($C2029="","",$C2029&amp;"|"&amp;$E2029&amp;"|"&amp;$F2029&amp;"|"&amp;$L2029&amp;"|"&amp;$P2029&amp;"|"&amp;TEXT($H2029,"yyyy-mm-dd"))</f>
        <v/>
      </c>
      <c r="T2029" s="1" t="str">
        <f aca="false">IF($S2029="","",IF(COUNTIF($S$2:$S$2991,$S2029)&gt;1,"DUPLICATE","OK"))</f>
        <v/>
      </c>
      <c r="U2029" s="0" t="str">
        <f aca="false">IF($L2029="","",IFERROR(VLOOKUP(--$L2029,MM_Income!$Z$5:$AC$204,3,FALSE()),"UNMAPPED"))</f>
        <v/>
      </c>
    </row>
    <row r="2030" customFormat="false" ht="13.5" hidden="false" customHeight="false" outlineLevel="0" collapsed="false">
      <c r="A2030" s="1" t="str">
        <f aca="false">IF($C2030="","",Controls!$B$7)</f>
        <v/>
      </c>
      <c r="B2030" s="1" t="str">
        <f aca="false">IF($H2030="","",YEAR($H2030)&amp;"-Q"&amp;ROUNDUP(MONTH($H2030)/3,0))</f>
        <v/>
      </c>
      <c r="S2030" s="1" t="str">
        <f aca="false">IF($C2030="","",$C2030&amp;"|"&amp;$E2030&amp;"|"&amp;$F2030&amp;"|"&amp;$L2030&amp;"|"&amp;$P2030&amp;"|"&amp;TEXT($H2030,"yyyy-mm-dd"))</f>
        <v/>
      </c>
      <c r="T2030" s="1" t="str">
        <f aca="false">IF($S2030="","",IF(COUNTIF($S$2:$S$2991,$S2030)&gt;1,"DUPLICATE","OK"))</f>
        <v/>
      </c>
      <c r="U2030" s="0" t="str">
        <f aca="false">IF($L2030="","",IFERROR(VLOOKUP(--$L2030,MM_Income!$Z$5:$AC$204,3,FALSE()),"UNMAPPED"))</f>
        <v/>
      </c>
    </row>
    <row r="2031" customFormat="false" ht="13.5" hidden="false" customHeight="false" outlineLevel="0" collapsed="false">
      <c r="A2031" s="1" t="str">
        <f aca="false">IF($C2031="","",Controls!$B$7)</f>
        <v/>
      </c>
      <c r="B2031" s="1" t="str">
        <f aca="false">IF($H2031="","",YEAR($H2031)&amp;"-Q"&amp;ROUNDUP(MONTH($H2031)/3,0))</f>
        <v/>
      </c>
      <c r="S2031" s="1" t="str">
        <f aca="false">IF($C2031="","",$C2031&amp;"|"&amp;$E2031&amp;"|"&amp;$F2031&amp;"|"&amp;$L2031&amp;"|"&amp;$P2031&amp;"|"&amp;TEXT($H2031,"yyyy-mm-dd"))</f>
        <v/>
      </c>
      <c r="T2031" s="1" t="str">
        <f aca="false">IF($S2031="","",IF(COUNTIF($S$2:$S$2991,$S2031)&gt;1,"DUPLICATE","OK"))</f>
        <v/>
      </c>
      <c r="U2031" s="0" t="str">
        <f aca="false">IF($L2031="","",IFERROR(VLOOKUP(--$L2031,MM_Income!$Z$5:$AC$204,3,FALSE()),"UNMAPPED"))</f>
        <v/>
      </c>
    </row>
    <row r="2032" customFormat="false" ht="13.5" hidden="false" customHeight="false" outlineLevel="0" collapsed="false">
      <c r="A2032" s="1" t="str">
        <f aca="false">IF($C2032="","",Controls!$B$7)</f>
        <v/>
      </c>
      <c r="B2032" s="1" t="str">
        <f aca="false">IF($H2032="","",YEAR($H2032)&amp;"-Q"&amp;ROUNDUP(MONTH($H2032)/3,0))</f>
        <v/>
      </c>
      <c r="S2032" s="1" t="str">
        <f aca="false">IF($C2032="","",$C2032&amp;"|"&amp;$E2032&amp;"|"&amp;$F2032&amp;"|"&amp;$L2032&amp;"|"&amp;$P2032&amp;"|"&amp;TEXT($H2032,"yyyy-mm-dd"))</f>
        <v/>
      </c>
      <c r="T2032" s="1" t="str">
        <f aca="false">IF($S2032="","",IF(COUNTIF($S$2:$S$2991,$S2032)&gt;1,"DUPLICATE","OK"))</f>
        <v/>
      </c>
      <c r="U2032" s="0" t="str">
        <f aca="false">IF($L2032="","",IFERROR(VLOOKUP(--$L2032,MM_Income!$Z$5:$AC$204,3,FALSE()),"UNMAPPED"))</f>
        <v/>
      </c>
    </row>
    <row r="2033" customFormat="false" ht="13.5" hidden="false" customHeight="false" outlineLevel="0" collapsed="false">
      <c r="A2033" s="1" t="str">
        <f aca="false">IF($C2033="","",Controls!$B$7)</f>
        <v/>
      </c>
      <c r="B2033" s="1" t="str">
        <f aca="false">IF($H2033="","",YEAR($H2033)&amp;"-Q"&amp;ROUNDUP(MONTH($H2033)/3,0))</f>
        <v/>
      </c>
      <c r="S2033" s="1" t="str">
        <f aca="false">IF($C2033="","",$C2033&amp;"|"&amp;$E2033&amp;"|"&amp;$F2033&amp;"|"&amp;$L2033&amp;"|"&amp;$P2033&amp;"|"&amp;TEXT($H2033,"yyyy-mm-dd"))</f>
        <v/>
      </c>
      <c r="T2033" s="1" t="str">
        <f aca="false">IF($S2033="","",IF(COUNTIF($S$2:$S$2991,$S2033)&gt;1,"DUPLICATE","OK"))</f>
        <v/>
      </c>
      <c r="U2033" s="0" t="str">
        <f aca="false">IF($L2033="","",IFERROR(VLOOKUP(--$L2033,MM_Income!$Z$5:$AC$204,3,FALSE()),"UNMAPPED"))</f>
        <v/>
      </c>
    </row>
    <row r="2034" customFormat="false" ht="13.5" hidden="false" customHeight="false" outlineLevel="0" collapsed="false">
      <c r="A2034" s="1" t="str">
        <f aca="false">IF($C2034="","",Controls!$B$7)</f>
        <v/>
      </c>
      <c r="B2034" s="1" t="str">
        <f aca="false">IF($H2034="","",YEAR($H2034)&amp;"-Q"&amp;ROUNDUP(MONTH($H2034)/3,0))</f>
        <v/>
      </c>
      <c r="S2034" s="1" t="str">
        <f aca="false">IF($C2034="","",$C2034&amp;"|"&amp;$E2034&amp;"|"&amp;$F2034&amp;"|"&amp;$L2034&amp;"|"&amp;$P2034&amp;"|"&amp;TEXT($H2034,"yyyy-mm-dd"))</f>
        <v/>
      </c>
      <c r="T2034" s="1" t="str">
        <f aca="false">IF($S2034="","",IF(COUNTIF($S$2:$S$2991,$S2034)&gt;1,"DUPLICATE","OK"))</f>
        <v/>
      </c>
      <c r="U2034" s="0" t="str">
        <f aca="false">IF($L2034="","",IFERROR(VLOOKUP(--$L2034,MM_Income!$Z$5:$AC$204,3,FALSE()),"UNMAPPED"))</f>
        <v/>
      </c>
    </row>
    <row r="2035" customFormat="false" ht="13.5" hidden="false" customHeight="false" outlineLevel="0" collapsed="false">
      <c r="A2035" s="1" t="str">
        <f aca="false">IF($C2035="","",Controls!$B$7)</f>
        <v/>
      </c>
      <c r="B2035" s="1" t="str">
        <f aca="false">IF($H2035="","",YEAR($H2035)&amp;"-Q"&amp;ROUNDUP(MONTH($H2035)/3,0))</f>
        <v/>
      </c>
      <c r="S2035" s="1" t="str">
        <f aca="false">IF($C2035="","",$C2035&amp;"|"&amp;$E2035&amp;"|"&amp;$F2035&amp;"|"&amp;$L2035&amp;"|"&amp;$P2035&amp;"|"&amp;TEXT($H2035,"yyyy-mm-dd"))</f>
        <v/>
      </c>
      <c r="T2035" s="1" t="str">
        <f aca="false">IF($S2035="","",IF(COUNTIF($S$2:$S$2991,$S2035)&gt;1,"DUPLICATE","OK"))</f>
        <v/>
      </c>
      <c r="U2035" s="0" t="str">
        <f aca="false">IF($L2035="","",IFERROR(VLOOKUP(--$L2035,MM_Income!$Z$5:$AC$204,3,FALSE()),"UNMAPPED"))</f>
        <v/>
      </c>
    </row>
    <row r="2036" customFormat="false" ht="13.5" hidden="false" customHeight="false" outlineLevel="0" collapsed="false">
      <c r="A2036" s="1" t="str">
        <f aca="false">IF($C2036="","",Controls!$B$7)</f>
        <v/>
      </c>
      <c r="B2036" s="1" t="str">
        <f aca="false">IF($H2036="","",YEAR($H2036)&amp;"-Q"&amp;ROUNDUP(MONTH($H2036)/3,0))</f>
        <v/>
      </c>
      <c r="S2036" s="1" t="str">
        <f aca="false">IF($C2036="","",$C2036&amp;"|"&amp;$E2036&amp;"|"&amp;$F2036&amp;"|"&amp;$L2036&amp;"|"&amp;$P2036&amp;"|"&amp;TEXT($H2036,"yyyy-mm-dd"))</f>
        <v/>
      </c>
      <c r="T2036" s="1" t="str">
        <f aca="false">IF($S2036="","",IF(COUNTIF($S$2:$S$2991,$S2036)&gt;1,"DUPLICATE","OK"))</f>
        <v/>
      </c>
      <c r="U2036" s="0" t="str">
        <f aca="false">IF($L2036="","",IFERROR(VLOOKUP(--$L2036,MM_Income!$Z$5:$AC$204,3,FALSE()),"UNMAPPED"))</f>
        <v/>
      </c>
    </row>
    <row r="2037" customFormat="false" ht="13.5" hidden="false" customHeight="false" outlineLevel="0" collapsed="false">
      <c r="A2037" s="1" t="str">
        <f aca="false">IF($C2037="","",Controls!$B$7)</f>
        <v/>
      </c>
      <c r="B2037" s="1" t="str">
        <f aca="false">IF($H2037="","",YEAR($H2037)&amp;"-Q"&amp;ROUNDUP(MONTH($H2037)/3,0))</f>
        <v/>
      </c>
      <c r="S2037" s="1" t="str">
        <f aca="false">IF($C2037="","",$C2037&amp;"|"&amp;$E2037&amp;"|"&amp;$F2037&amp;"|"&amp;$L2037&amp;"|"&amp;$P2037&amp;"|"&amp;TEXT($H2037,"yyyy-mm-dd"))</f>
        <v/>
      </c>
      <c r="T2037" s="1" t="str">
        <f aca="false">IF($S2037="","",IF(COUNTIF($S$2:$S$2991,$S2037)&gt;1,"DUPLICATE","OK"))</f>
        <v/>
      </c>
      <c r="U2037" s="0" t="str">
        <f aca="false">IF($L2037="","",IFERROR(VLOOKUP(--$L2037,MM_Income!$Z$5:$AC$204,3,FALSE()),"UNMAPPED"))</f>
        <v/>
      </c>
    </row>
    <row r="2038" customFormat="false" ht="13.5" hidden="false" customHeight="false" outlineLevel="0" collapsed="false">
      <c r="A2038" s="1" t="str">
        <f aca="false">IF($C2038="","",Controls!$B$7)</f>
        <v/>
      </c>
      <c r="B2038" s="1" t="str">
        <f aca="false">IF($H2038="","",YEAR($H2038)&amp;"-Q"&amp;ROUNDUP(MONTH($H2038)/3,0))</f>
        <v/>
      </c>
      <c r="S2038" s="1" t="str">
        <f aca="false">IF($C2038="","",$C2038&amp;"|"&amp;$E2038&amp;"|"&amp;$F2038&amp;"|"&amp;$L2038&amp;"|"&amp;$P2038&amp;"|"&amp;TEXT($H2038,"yyyy-mm-dd"))</f>
        <v/>
      </c>
      <c r="T2038" s="1" t="str">
        <f aca="false">IF($S2038="","",IF(COUNTIF($S$2:$S$2991,$S2038)&gt;1,"DUPLICATE","OK"))</f>
        <v/>
      </c>
      <c r="U2038" s="0" t="str">
        <f aca="false">IF($L2038="","",IFERROR(VLOOKUP(--$L2038,MM_Income!$Z$5:$AC$204,3,FALSE()),"UNMAPPED"))</f>
        <v/>
      </c>
    </row>
    <row r="2039" customFormat="false" ht="13.5" hidden="false" customHeight="false" outlineLevel="0" collapsed="false">
      <c r="A2039" s="1" t="str">
        <f aca="false">IF($C2039="","",Controls!$B$7)</f>
        <v/>
      </c>
      <c r="B2039" s="1" t="str">
        <f aca="false">IF($H2039="","",YEAR($H2039)&amp;"-Q"&amp;ROUNDUP(MONTH($H2039)/3,0))</f>
        <v/>
      </c>
      <c r="S2039" s="1" t="str">
        <f aca="false">IF($C2039="","",$C2039&amp;"|"&amp;$E2039&amp;"|"&amp;$F2039&amp;"|"&amp;$L2039&amp;"|"&amp;$P2039&amp;"|"&amp;TEXT($H2039,"yyyy-mm-dd"))</f>
        <v/>
      </c>
      <c r="T2039" s="1" t="str">
        <f aca="false">IF($S2039="","",IF(COUNTIF($S$2:$S$2991,$S2039)&gt;1,"DUPLICATE","OK"))</f>
        <v/>
      </c>
      <c r="U2039" s="0" t="str">
        <f aca="false">IF($L2039="","",IFERROR(VLOOKUP(--$L2039,MM_Income!$Z$5:$AC$204,3,FALSE()),"UNMAPPED"))</f>
        <v/>
      </c>
    </row>
    <row r="2040" customFormat="false" ht="13.5" hidden="false" customHeight="false" outlineLevel="0" collapsed="false">
      <c r="A2040" s="1" t="str">
        <f aca="false">IF($C2040="","",Controls!$B$7)</f>
        <v/>
      </c>
      <c r="B2040" s="1" t="str">
        <f aca="false">IF($H2040="","",YEAR($H2040)&amp;"-Q"&amp;ROUNDUP(MONTH($H2040)/3,0))</f>
        <v/>
      </c>
      <c r="S2040" s="1" t="str">
        <f aca="false">IF($C2040="","",$C2040&amp;"|"&amp;$E2040&amp;"|"&amp;$F2040&amp;"|"&amp;$L2040&amp;"|"&amp;$P2040&amp;"|"&amp;TEXT($H2040,"yyyy-mm-dd"))</f>
        <v/>
      </c>
      <c r="T2040" s="1" t="str">
        <f aca="false">IF($S2040="","",IF(COUNTIF($S$2:$S$2991,$S2040)&gt;1,"DUPLICATE","OK"))</f>
        <v/>
      </c>
      <c r="U2040" s="0" t="str">
        <f aca="false">IF($L2040="","",IFERROR(VLOOKUP(--$L2040,MM_Income!$Z$5:$AC$204,3,FALSE()),"UNMAPPED"))</f>
        <v/>
      </c>
    </row>
    <row r="2041" customFormat="false" ht="13.5" hidden="false" customHeight="false" outlineLevel="0" collapsed="false">
      <c r="A2041" s="1" t="str">
        <f aca="false">IF($C2041="","",Controls!$B$7)</f>
        <v/>
      </c>
      <c r="B2041" s="1" t="str">
        <f aca="false">IF($H2041="","",YEAR($H2041)&amp;"-Q"&amp;ROUNDUP(MONTH($H2041)/3,0))</f>
        <v/>
      </c>
      <c r="S2041" s="1" t="str">
        <f aca="false">IF($C2041="","",$C2041&amp;"|"&amp;$E2041&amp;"|"&amp;$F2041&amp;"|"&amp;$L2041&amp;"|"&amp;$P2041&amp;"|"&amp;TEXT($H2041,"yyyy-mm-dd"))</f>
        <v/>
      </c>
      <c r="T2041" s="1" t="str">
        <f aca="false">IF($S2041="","",IF(COUNTIF($S$2:$S$2991,$S2041)&gt;1,"DUPLICATE","OK"))</f>
        <v/>
      </c>
      <c r="U2041" s="0" t="str">
        <f aca="false">IF($L2041="","",IFERROR(VLOOKUP(--$L2041,MM_Income!$Z$5:$AC$204,3,FALSE()),"UNMAPPED"))</f>
        <v/>
      </c>
    </row>
    <row r="2042" customFormat="false" ht="13.5" hidden="false" customHeight="false" outlineLevel="0" collapsed="false">
      <c r="A2042" s="1" t="str">
        <f aca="false">IF($C2042="","",Controls!$B$7)</f>
        <v/>
      </c>
      <c r="B2042" s="1" t="str">
        <f aca="false">IF($H2042="","",YEAR($H2042)&amp;"-Q"&amp;ROUNDUP(MONTH($H2042)/3,0))</f>
        <v/>
      </c>
      <c r="S2042" s="1" t="str">
        <f aca="false">IF($C2042="","",$C2042&amp;"|"&amp;$E2042&amp;"|"&amp;$F2042&amp;"|"&amp;$L2042&amp;"|"&amp;$P2042&amp;"|"&amp;TEXT($H2042,"yyyy-mm-dd"))</f>
        <v/>
      </c>
      <c r="T2042" s="1" t="str">
        <f aca="false">IF($S2042="","",IF(COUNTIF($S$2:$S$2991,$S2042)&gt;1,"DUPLICATE","OK"))</f>
        <v/>
      </c>
      <c r="U2042" s="0" t="str">
        <f aca="false">IF($L2042="","",IFERROR(VLOOKUP(--$L2042,MM_Income!$Z$5:$AC$204,3,FALSE()),"UNMAPPED"))</f>
        <v/>
      </c>
    </row>
    <row r="2043" customFormat="false" ht="13.5" hidden="false" customHeight="false" outlineLevel="0" collapsed="false">
      <c r="A2043" s="1" t="str">
        <f aca="false">IF($C2043="","",Controls!$B$7)</f>
        <v/>
      </c>
      <c r="B2043" s="1" t="str">
        <f aca="false">IF($H2043="","",YEAR($H2043)&amp;"-Q"&amp;ROUNDUP(MONTH($H2043)/3,0))</f>
        <v/>
      </c>
      <c r="S2043" s="1" t="str">
        <f aca="false">IF($C2043="","",$C2043&amp;"|"&amp;$E2043&amp;"|"&amp;$F2043&amp;"|"&amp;$L2043&amp;"|"&amp;$P2043&amp;"|"&amp;TEXT($H2043,"yyyy-mm-dd"))</f>
        <v/>
      </c>
      <c r="T2043" s="1" t="str">
        <f aca="false">IF($S2043="","",IF(COUNTIF($S$2:$S$2991,$S2043)&gt;1,"DUPLICATE","OK"))</f>
        <v/>
      </c>
      <c r="U2043" s="0" t="str">
        <f aca="false">IF($L2043="","",IFERROR(VLOOKUP(--$L2043,MM_Income!$Z$5:$AC$204,3,FALSE()),"UNMAPPED"))</f>
        <v/>
      </c>
    </row>
    <row r="2044" customFormat="false" ht="13.5" hidden="false" customHeight="false" outlineLevel="0" collapsed="false">
      <c r="A2044" s="1" t="str">
        <f aca="false">IF($C2044="","",Controls!$B$7)</f>
        <v/>
      </c>
      <c r="B2044" s="1" t="str">
        <f aca="false">IF($H2044="","",YEAR($H2044)&amp;"-Q"&amp;ROUNDUP(MONTH($H2044)/3,0))</f>
        <v/>
      </c>
      <c r="S2044" s="1" t="str">
        <f aca="false">IF($C2044="","",$C2044&amp;"|"&amp;$E2044&amp;"|"&amp;$F2044&amp;"|"&amp;$L2044&amp;"|"&amp;$P2044&amp;"|"&amp;TEXT($H2044,"yyyy-mm-dd"))</f>
        <v/>
      </c>
      <c r="T2044" s="1" t="str">
        <f aca="false">IF($S2044="","",IF(COUNTIF($S$2:$S$2991,$S2044)&gt;1,"DUPLICATE","OK"))</f>
        <v/>
      </c>
      <c r="U2044" s="0" t="str">
        <f aca="false">IF($L2044="","",IFERROR(VLOOKUP(--$L2044,MM_Income!$Z$5:$AC$204,3,FALSE()),"UNMAPPED"))</f>
        <v/>
      </c>
    </row>
    <row r="2045" customFormat="false" ht="13.5" hidden="false" customHeight="false" outlineLevel="0" collapsed="false">
      <c r="A2045" s="1" t="str">
        <f aca="false">IF($C2045="","",Controls!$B$7)</f>
        <v/>
      </c>
      <c r="B2045" s="1" t="str">
        <f aca="false">IF($H2045="","",YEAR($H2045)&amp;"-Q"&amp;ROUNDUP(MONTH($H2045)/3,0))</f>
        <v/>
      </c>
      <c r="S2045" s="1" t="str">
        <f aca="false">IF($C2045="","",$C2045&amp;"|"&amp;$E2045&amp;"|"&amp;$F2045&amp;"|"&amp;$L2045&amp;"|"&amp;$P2045&amp;"|"&amp;TEXT($H2045,"yyyy-mm-dd"))</f>
        <v/>
      </c>
      <c r="T2045" s="1" t="str">
        <f aca="false">IF($S2045="","",IF(COUNTIF($S$2:$S$2991,$S2045)&gt;1,"DUPLICATE","OK"))</f>
        <v/>
      </c>
      <c r="U2045" s="0" t="str">
        <f aca="false">IF($L2045="","",IFERROR(VLOOKUP(--$L2045,MM_Income!$Z$5:$AC$204,3,FALSE()),"UNMAPPED"))</f>
        <v/>
      </c>
    </row>
    <row r="2046" customFormat="false" ht="13.5" hidden="false" customHeight="false" outlineLevel="0" collapsed="false">
      <c r="A2046" s="1" t="str">
        <f aca="false">IF($C2046="","",Controls!$B$7)</f>
        <v/>
      </c>
      <c r="B2046" s="1" t="str">
        <f aca="false">IF($H2046="","",YEAR($H2046)&amp;"-Q"&amp;ROUNDUP(MONTH($H2046)/3,0))</f>
        <v/>
      </c>
      <c r="S2046" s="1" t="str">
        <f aca="false">IF($C2046="","",$C2046&amp;"|"&amp;$E2046&amp;"|"&amp;$F2046&amp;"|"&amp;$L2046&amp;"|"&amp;$P2046&amp;"|"&amp;TEXT($H2046,"yyyy-mm-dd"))</f>
        <v/>
      </c>
      <c r="T2046" s="1" t="str">
        <f aca="false">IF($S2046="","",IF(COUNTIF($S$2:$S$2991,$S2046)&gt;1,"DUPLICATE","OK"))</f>
        <v/>
      </c>
      <c r="U2046" s="0" t="str">
        <f aca="false">IF($L2046="","",IFERROR(VLOOKUP(--$L2046,MM_Income!$Z$5:$AC$204,3,FALSE()),"UNMAPPED"))</f>
        <v/>
      </c>
    </row>
    <row r="2047" customFormat="false" ht="13.5" hidden="false" customHeight="false" outlineLevel="0" collapsed="false">
      <c r="A2047" s="1" t="str">
        <f aca="false">IF($C2047="","",Controls!$B$7)</f>
        <v/>
      </c>
      <c r="B2047" s="1" t="str">
        <f aca="false">IF($H2047="","",YEAR($H2047)&amp;"-Q"&amp;ROUNDUP(MONTH($H2047)/3,0))</f>
        <v/>
      </c>
      <c r="S2047" s="1" t="str">
        <f aca="false">IF($C2047="","",$C2047&amp;"|"&amp;$E2047&amp;"|"&amp;$F2047&amp;"|"&amp;$L2047&amp;"|"&amp;$P2047&amp;"|"&amp;TEXT($H2047,"yyyy-mm-dd"))</f>
        <v/>
      </c>
      <c r="T2047" s="1" t="str">
        <f aca="false">IF($S2047="","",IF(COUNTIF($S$2:$S$2991,$S2047)&gt;1,"DUPLICATE","OK"))</f>
        <v/>
      </c>
      <c r="U2047" s="0" t="str">
        <f aca="false">IF($L2047="","",IFERROR(VLOOKUP(--$L2047,MM_Income!$Z$5:$AC$204,3,FALSE()),"UNMAPPED"))</f>
        <v/>
      </c>
    </row>
    <row r="2048" customFormat="false" ht="13.5" hidden="false" customHeight="false" outlineLevel="0" collapsed="false">
      <c r="A2048" s="1" t="str">
        <f aca="false">IF($C2048="","",Controls!$B$7)</f>
        <v/>
      </c>
      <c r="B2048" s="1" t="str">
        <f aca="false">IF($H2048="","",YEAR($H2048)&amp;"-Q"&amp;ROUNDUP(MONTH($H2048)/3,0))</f>
        <v/>
      </c>
      <c r="S2048" s="1" t="str">
        <f aca="false">IF($C2048="","",$C2048&amp;"|"&amp;$E2048&amp;"|"&amp;$F2048&amp;"|"&amp;$L2048&amp;"|"&amp;$P2048&amp;"|"&amp;TEXT($H2048,"yyyy-mm-dd"))</f>
        <v/>
      </c>
      <c r="T2048" s="1" t="str">
        <f aca="false">IF($S2048="","",IF(COUNTIF($S$2:$S$2991,$S2048)&gt;1,"DUPLICATE","OK"))</f>
        <v/>
      </c>
      <c r="U2048" s="0" t="str">
        <f aca="false">IF($L2048="","",IFERROR(VLOOKUP(--$L2048,MM_Income!$Z$5:$AC$204,3,FALSE()),"UNMAPPED"))</f>
        <v/>
      </c>
    </row>
    <row r="2049" customFormat="false" ht="13.5" hidden="false" customHeight="false" outlineLevel="0" collapsed="false">
      <c r="A2049" s="1" t="str">
        <f aca="false">IF($C2049="","",Controls!$B$7)</f>
        <v/>
      </c>
      <c r="B2049" s="1" t="str">
        <f aca="false">IF($H2049="","",YEAR($H2049)&amp;"-Q"&amp;ROUNDUP(MONTH($H2049)/3,0))</f>
        <v/>
      </c>
      <c r="S2049" s="1" t="str">
        <f aca="false">IF($C2049="","",$C2049&amp;"|"&amp;$E2049&amp;"|"&amp;$F2049&amp;"|"&amp;$L2049&amp;"|"&amp;$P2049&amp;"|"&amp;TEXT($H2049,"yyyy-mm-dd"))</f>
        <v/>
      </c>
      <c r="T2049" s="1" t="str">
        <f aca="false">IF($S2049="","",IF(COUNTIF($S$2:$S$2991,$S2049)&gt;1,"DUPLICATE","OK"))</f>
        <v/>
      </c>
      <c r="U2049" s="0" t="str">
        <f aca="false">IF($L2049="","",IFERROR(VLOOKUP(--$L2049,MM_Income!$Z$5:$AC$204,3,FALSE()),"UNMAPPED"))</f>
        <v/>
      </c>
    </row>
    <row r="2050" customFormat="false" ht="13.5" hidden="false" customHeight="false" outlineLevel="0" collapsed="false">
      <c r="A2050" s="1" t="str">
        <f aca="false">IF($C2050="","",Controls!$B$7)</f>
        <v/>
      </c>
      <c r="B2050" s="1" t="str">
        <f aca="false">IF($H2050="","",YEAR($H2050)&amp;"-Q"&amp;ROUNDUP(MONTH($H2050)/3,0))</f>
        <v/>
      </c>
      <c r="S2050" s="1" t="str">
        <f aca="false">IF($C2050="","",$C2050&amp;"|"&amp;$E2050&amp;"|"&amp;$F2050&amp;"|"&amp;$L2050&amp;"|"&amp;$P2050&amp;"|"&amp;TEXT($H2050,"yyyy-mm-dd"))</f>
        <v/>
      </c>
      <c r="T2050" s="1" t="str">
        <f aca="false">IF($S2050="","",IF(COUNTIF($S$2:$S$2991,$S2050)&gt;1,"DUPLICATE","OK"))</f>
        <v/>
      </c>
      <c r="U2050" s="0" t="str">
        <f aca="false">IF($L2050="","",IFERROR(VLOOKUP(--$L2050,MM_Income!$Z$5:$AC$204,3,FALSE()),"UNMAPPED"))</f>
        <v/>
      </c>
    </row>
    <row r="2051" customFormat="false" ht="13.5" hidden="false" customHeight="false" outlineLevel="0" collapsed="false">
      <c r="A2051" s="1" t="str">
        <f aca="false">IF($C2051="","",Controls!$B$7)</f>
        <v/>
      </c>
      <c r="B2051" s="1" t="str">
        <f aca="false">IF($H2051="","",YEAR($H2051)&amp;"-Q"&amp;ROUNDUP(MONTH($H2051)/3,0))</f>
        <v/>
      </c>
      <c r="S2051" s="1" t="str">
        <f aca="false">IF($C2051="","",$C2051&amp;"|"&amp;$E2051&amp;"|"&amp;$F2051&amp;"|"&amp;$L2051&amp;"|"&amp;$P2051&amp;"|"&amp;TEXT($H2051,"yyyy-mm-dd"))</f>
        <v/>
      </c>
      <c r="T2051" s="1" t="str">
        <f aca="false">IF($S2051="","",IF(COUNTIF($S$2:$S$2991,$S2051)&gt;1,"DUPLICATE","OK"))</f>
        <v/>
      </c>
      <c r="U2051" s="0" t="str">
        <f aca="false">IF($L2051="","",IFERROR(VLOOKUP(--$L2051,MM_Income!$Z$5:$AC$204,3,FALSE()),"UNMAPPED"))</f>
        <v/>
      </c>
    </row>
    <row r="2052" customFormat="false" ht="13.5" hidden="false" customHeight="false" outlineLevel="0" collapsed="false">
      <c r="A2052" s="1" t="str">
        <f aca="false">IF($C2052="","",Controls!$B$7)</f>
        <v/>
      </c>
      <c r="B2052" s="1" t="str">
        <f aca="false">IF($H2052="","",YEAR($H2052)&amp;"-Q"&amp;ROUNDUP(MONTH($H2052)/3,0))</f>
        <v/>
      </c>
      <c r="S2052" s="1" t="str">
        <f aca="false">IF($C2052="","",$C2052&amp;"|"&amp;$E2052&amp;"|"&amp;$F2052&amp;"|"&amp;$L2052&amp;"|"&amp;$P2052&amp;"|"&amp;TEXT($H2052,"yyyy-mm-dd"))</f>
        <v/>
      </c>
      <c r="T2052" s="1" t="str">
        <f aca="false">IF($S2052="","",IF(COUNTIF($S$2:$S$2991,$S2052)&gt;1,"DUPLICATE","OK"))</f>
        <v/>
      </c>
      <c r="U2052" s="0" t="str">
        <f aca="false">IF($L2052="","",IFERROR(VLOOKUP(--$L2052,MM_Income!$Z$5:$AC$204,3,FALSE()),"UNMAPPED"))</f>
        <v/>
      </c>
    </row>
    <row r="2053" customFormat="false" ht="13.5" hidden="false" customHeight="false" outlineLevel="0" collapsed="false">
      <c r="A2053" s="1" t="str">
        <f aca="false">IF($C2053="","",Controls!$B$7)</f>
        <v/>
      </c>
      <c r="B2053" s="1" t="str">
        <f aca="false">IF($H2053="","",YEAR($H2053)&amp;"-Q"&amp;ROUNDUP(MONTH($H2053)/3,0))</f>
        <v/>
      </c>
      <c r="S2053" s="1" t="str">
        <f aca="false">IF($C2053="","",$C2053&amp;"|"&amp;$E2053&amp;"|"&amp;$F2053&amp;"|"&amp;$L2053&amp;"|"&amp;$P2053&amp;"|"&amp;TEXT($H2053,"yyyy-mm-dd"))</f>
        <v/>
      </c>
      <c r="T2053" s="1" t="str">
        <f aca="false">IF($S2053="","",IF(COUNTIF($S$2:$S$2991,$S2053)&gt;1,"DUPLICATE","OK"))</f>
        <v/>
      </c>
      <c r="U2053" s="0" t="str">
        <f aca="false">IF($L2053="","",IFERROR(VLOOKUP(--$L2053,MM_Income!$Z$5:$AC$204,3,FALSE()),"UNMAPPED"))</f>
        <v/>
      </c>
    </row>
    <row r="2054" customFormat="false" ht="13.5" hidden="false" customHeight="false" outlineLevel="0" collapsed="false">
      <c r="A2054" s="1" t="str">
        <f aca="false">IF($C2054="","",Controls!$B$7)</f>
        <v/>
      </c>
      <c r="B2054" s="1" t="str">
        <f aca="false">IF($H2054="","",YEAR($H2054)&amp;"-Q"&amp;ROUNDUP(MONTH($H2054)/3,0))</f>
        <v/>
      </c>
      <c r="S2054" s="1" t="str">
        <f aca="false">IF($C2054="","",$C2054&amp;"|"&amp;$E2054&amp;"|"&amp;$F2054&amp;"|"&amp;$L2054&amp;"|"&amp;$P2054&amp;"|"&amp;TEXT($H2054,"yyyy-mm-dd"))</f>
        <v/>
      </c>
      <c r="T2054" s="1" t="str">
        <f aca="false">IF($S2054="","",IF(COUNTIF($S$2:$S$2991,$S2054)&gt;1,"DUPLICATE","OK"))</f>
        <v/>
      </c>
      <c r="U2054" s="0" t="str">
        <f aca="false">IF($L2054="","",IFERROR(VLOOKUP(--$L2054,MM_Income!$Z$5:$AC$204,3,FALSE()),"UNMAPPED"))</f>
        <v/>
      </c>
    </row>
    <row r="2055" customFormat="false" ht="13.5" hidden="false" customHeight="false" outlineLevel="0" collapsed="false">
      <c r="A2055" s="1" t="str">
        <f aca="false">IF($C2055="","",Controls!$B$7)</f>
        <v/>
      </c>
      <c r="B2055" s="1" t="str">
        <f aca="false">IF($H2055="","",YEAR($H2055)&amp;"-Q"&amp;ROUNDUP(MONTH($H2055)/3,0))</f>
        <v/>
      </c>
      <c r="S2055" s="1" t="str">
        <f aca="false">IF($C2055="","",$C2055&amp;"|"&amp;$E2055&amp;"|"&amp;$F2055&amp;"|"&amp;$L2055&amp;"|"&amp;$P2055&amp;"|"&amp;TEXT($H2055,"yyyy-mm-dd"))</f>
        <v/>
      </c>
      <c r="T2055" s="1" t="str">
        <f aca="false">IF($S2055="","",IF(COUNTIF($S$2:$S$2991,$S2055)&gt;1,"DUPLICATE","OK"))</f>
        <v/>
      </c>
      <c r="U2055" s="0" t="str">
        <f aca="false">IF($L2055="","",IFERROR(VLOOKUP(--$L2055,MM_Income!$Z$5:$AC$204,3,FALSE()),"UNMAPPED"))</f>
        <v/>
      </c>
    </row>
    <row r="2056" customFormat="false" ht="13.5" hidden="false" customHeight="false" outlineLevel="0" collapsed="false">
      <c r="A2056" s="1" t="str">
        <f aca="false">IF($C2056="","",Controls!$B$7)</f>
        <v/>
      </c>
      <c r="B2056" s="1" t="str">
        <f aca="false">IF($H2056="","",YEAR($H2056)&amp;"-Q"&amp;ROUNDUP(MONTH($H2056)/3,0))</f>
        <v/>
      </c>
      <c r="S2056" s="1" t="str">
        <f aca="false">IF($C2056="","",$C2056&amp;"|"&amp;$E2056&amp;"|"&amp;$F2056&amp;"|"&amp;$L2056&amp;"|"&amp;$P2056&amp;"|"&amp;TEXT($H2056,"yyyy-mm-dd"))</f>
        <v/>
      </c>
      <c r="T2056" s="1" t="str">
        <f aca="false">IF($S2056="","",IF(COUNTIF($S$2:$S$2991,$S2056)&gt;1,"DUPLICATE","OK"))</f>
        <v/>
      </c>
      <c r="U2056" s="0" t="str">
        <f aca="false">IF($L2056="","",IFERROR(VLOOKUP(--$L2056,MM_Income!$Z$5:$AC$204,3,FALSE()),"UNMAPPED"))</f>
        <v/>
      </c>
    </row>
    <row r="2057" customFormat="false" ht="13.5" hidden="false" customHeight="false" outlineLevel="0" collapsed="false">
      <c r="A2057" s="1" t="str">
        <f aca="false">IF($C2057="","",Controls!$B$7)</f>
        <v/>
      </c>
      <c r="B2057" s="1" t="str">
        <f aca="false">IF($H2057="","",YEAR($H2057)&amp;"-Q"&amp;ROUNDUP(MONTH($H2057)/3,0))</f>
        <v/>
      </c>
      <c r="S2057" s="1" t="str">
        <f aca="false">IF($C2057="","",$C2057&amp;"|"&amp;$E2057&amp;"|"&amp;$F2057&amp;"|"&amp;$L2057&amp;"|"&amp;$P2057&amp;"|"&amp;TEXT($H2057,"yyyy-mm-dd"))</f>
        <v/>
      </c>
      <c r="T2057" s="1" t="str">
        <f aca="false">IF($S2057="","",IF(COUNTIF($S$2:$S$2991,$S2057)&gt;1,"DUPLICATE","OK"))</f>
        <v/>
      </c>
      <c r="U2057" s="0" t="str">
        <f aca="false">IF($L2057="","",IFERROR(VLOOKUP(--$L2057,MM_Income!$Z$5:$AC$204,3,FALSE()),"UNMAPPED"))</f>
        <v/>
      </c>
    </row>
    <row r="2058" customFormat="false" ht="13.5" hidden="false" customHeight="false" outlineLevel="0" collapsed="false">
      <c r="A2058" s="1" t="str">
        <f aca="false">IF($C2058="","",Controls!$B$7)</f>
        <v/>
      </c>
      <c r="B2058" s="1" t="str">
        <f aca="false">IF($H2058="","",YEAR($H2058)&amp;"-Q"&amp;ROUNDUP(MONTH($H2058)/3,0))</f>
        <v/>
      </c>
      <c r="S2058" s="1" t="str">
        <f aca="false">IF($C2058="","",$C2058&amp;"|"&amp;$E2058&amp;"|"&amp;$F2058&amp;"|"&amp;$L2058&amp;"|"&amp;$P2058&amp;"|"&amp;TEXT($H2058,"yyyy-mm-dd"))</f>
        <v/>
      </c>
      <c r="T2058" s="1" t="str">
        <f aca="false">IF($S2058="","",IF(COUNTIF($S$2:$S$2991,$S2058)&gt;1,"DUPLICATE","OK"))</f>
        <v/>
      </c>
      <c r="U2058" s="0" t="str">
        <f aca="false">IF($L2058="","",IFERROR(VLOOKUP(--$L2058,MM_Income!$Z$5:$AC$204,3,FALSE()),"UNMAPPED"))</f>
        <v/>
      </c>
    </row>
    <row r="2059" customFormat="false" ht="13.5" hidden="false" customHeight="false" outlineLevel="0" collapsed="false">
      <c r="A2059" s="1" t="str">
        <f aca="false">IF($C2059="","",Controls!$B$7)</f>
        <v/>
      </c>
      <c r="B2059" s="1" t="str">
        <f aca="false">IF($H2059="","",YEAR($H2059)&amp;"-Q"&amp;ROUNDUP(MONTH($H2059)/3,0))</f>
        <v/>
      </c>
      <c r="S2059" s="1" t="str">
        <f aca="false">IF($C2059="","",$C2059&amp;"|"&amp;$E2059&amp;"|"&amp;$F2059&amp;"|"&amp;$L2059&amp;"|"&amp;$P2059&amp;"|"&amp;TEXT($H2059,"yyyy-mm-dd"))</f>
        <v/>
      </c>
      <c r="T2059" s="1" t="str">
        <f aca="false">IF($S2059="","",IF(COUNTIF($S$2:$S$2991,$S2059)&gt;1,"DUPLICATE","OK"))</f>
        <v/>
      </c>
      <c r="U2059" s="0" t="str">
        <f aca="false">IF($L2059="","",IFERROR(VLOOKUP(--$L2059,MM_Income!$Z$5:$AC$204,3,FALSE()),"UNMAPPED"))</f>
        <v/>
      </c>
    </row>
    <row r="2060" customFormat="false" ht="13.5" hidden="false" customHeight="false" outlineLevel="0" collapsed="false">
      <c r="A2060" s="1" t="str">
        <f aca="false">IF($C2060="","",Controls!$B$7)</f>
        <v/>
      </c>
      <c r="B2060" s="1" t="str">
        <f aca="false">IF($H2060="","",YEAR($H2060)&amp;"-Q"&amp;ROUNDUP(MONTH($H2060)/3,0))</f>
        <v/>
      </c>
      <c r="S2060" s="1" t="str">
        <f aca="false">IF($C2060="","",$C2060&amp;"|"&amp;$E2060&amp;"|"&amp;$F2060&amp;"|"&amp;$L2060&amp;"|"&amp;$P2060&amp;"|"&amp;TEXT($H2060,"yyyy-mm-dd"))</f>
        <v/>
      </c>
      <c r="T2060" s="1" t="str">
        <f aca="false">IF($S2060="","",IF(COUNTIF($S$2:$S$2991,$S2060)&gt;1,"DUPLICATE","OK"))</f>
        <v/>
      </c>
      <c r="U2060" s="0" t="str">
        <f aca="false">IF($L2060="","",IFERROR(VLOOKUP(--$L2060,MM_Income!$Z$5:$AC$204,3,FALSE()),"UNMAPPED"))</f>
        <v/>
      </c>
    </row>
    <row r="2061" customFormat="false" ht="13.5" hidden="false" customHeight="false" outlineLevel="0" collapsed="false">
      <c r="A2061" s="1" t="str">
        <f aca="false">IF($C2061="","",Controls!$B$7)</f>
        <v/>
      </c>
      <c r="B2061" s="1" t="str">
        <f aca="false">IF($H2061="","",YEAR($H2061)&amp;"-Q"&amp;ROUNDUP(MONTH($H2061)/3,0))</f>
        <v/>
      </c>
      <c r="S2061" s="1" t="str">
        <f aca="false">IF($C2061="","",$C2061&amp;"|"&amp;$E2061&amp;"|"&amp;$F2061&amp;"|"&amp;$L2061&amp;"|"&amp;$P2061&amp;"|"&amp;TEXT($H2061,"yyyy-mm-dd"))</f>
        <v/>
      </c>
      <c r="T2061" s="1" t="str">
        <f aca="false">IF($S2061="","",IF(COUNTIF($S$2:$S$2991,$S2061)&gt;1,"DUPLICATE","OK"))</f>
        <v/>
      </c>
      <c r="U2061" s="0" t="str">
        <f aca="false">IF($L2061="","",IFERROR(VLOOKUP(--$L2061,MM_Income!$Z$5:$AC$204,3,FALSE()),"UNMAPPED"))</f>
        <v/>
      </c>
    </row>
    <row r="2062" customFormat="false" ht="13.5" hidden="false" customHeight="false" outlineLevel="0" collapsed="false">
      <c r="A2062" s="1" t="str">
        <f aca="false">IF($C2062="","",Controls!$B$7)</f>
        <v/>
      </c>
      <c r="B2062" s="1" t="str">
        <f aca="false">IF($H2062="","",YEAR($H2062)&amp;"-Q"&amp;ROUNDUP(MONTH($H2062)/3,0))</f>
        <v/>
      </c>
      <c r="S2062" s="1" t="str">
        <f aca="false">IF($C2062="","",$C2062&amp;"|"&amp;$E2062&amp;"|"&amp;$F2062&amp;"|"&amp;$L2062&amp;"|"&amp;$P2062&amp;"|"&amp;TEXT($H2062,"yyyy-mm-dd"))</f>
        <v/>
      </c>
      <c r="T2062" s="1" t="str">
        <f aca="false">IF($S2062="","",IF(COUNTIF($S$2:$S$2991,$S2062)&gt;1,"DUPLICATE","OK"))</f>
        <v/>
      </c>
      <c r="U2062" s="0" t="str">
        <f aca="false">IF($L2062="","",IFERROR(VLOOKUP(--$L2062,MM_Income!$Z$5:$AC$204,3,FALSE()),"UNMAPPED"))</f>
        <v/>
      </c>
    </row>
    <row r="2063" customFormat="false" ht="13.5" hidden="false" customHeight="false" outlineLevel="0" collapsed="false">
      <c r="A2063" s="1" t="str">
        <f aca="false">IF($C2063="","",Controls!$B$7)</f>
        <v/>
      </c>
      <c r="B2063" s="1" t="str">
        <f aca="false">IF($H2063="","",YEAR($H2063)&amp;"-Q"&amp;ROUNDUP(MONTH($H2063)/3,0))</f>
        <v/>
      </c>
      <c r="S2063" s="1" t="str">
        <f aca="false">IF($C2063="","",$C2063&amp;"|"&amp;$E2063&amp;"|"&amp;$F2063&amp;"|"&amp;$L2063&amp;"|"&amp;$P2063&amp;"|"&amp;TEXT($H2063,"yyyy-mm-dd"))</f>
        <v/>
      </c>
      <c r="T2063" s="1" t="str">
        <f aca="false">IF($S2063="","",IF(COUNTIF($S$2:$S$2991,$S2063)&gt;1,"DUPLICATE","OK"))</f>
        <v/>
      </c>
      <c r="U2063" s="0" t="str">
        <f aca="false">IF($L2063="","",IFERROR(VLOOKUP(--$L2063,MM_Income!$Z$5:$AC$204,3,FALSE()),"UNMAPPED"))</f>
        <v/>
      </c>
    </row>
    <row r="2064" customFormat="false" ht="13.5" hidden="false" customHeight="false" outlineLevel="0" collapsed="false">
      <c r="A2064" s="1" t="str">
        <f aca="false">IF($C2064="","",Controls!$B$7)</f>
        <v/>
      </c>
      <c r="B2064" s="1" t="str">
        <f aca="false">IF($H2064="","",YEAR($H2064)&amp;"-Q"&amp;ROUNDUP(MONTH($H2064)/3,0))</f>
        <v/>
      </c>
      <c r="S2064" s="1" t="str">
        <f aca="false">IF($C2064="","",$C2064&amp;"|"&amp;$E2064&amp;"|"&amp;$F2064&amp;"|"&amp;$L2064&amp;"|"&amp;$P2064&amp;"|"&amp;TEXT($H2064,"yyyy-mm-dd"))</f>
        <v/>
      </c>
      <c r="T2064" s="1" t="str">
        <f aca="false">IF($S2064="","",IF(COUNTIF($S$2:$S$2991,$S2064)&gt;1,"DUPLICATE","OK"))</f>
        <v/>
      </c>
      <c r="U2064" s="0" t="str">
        <f aca="false">IF($L2064="","",IFERROR(VLOOKUP(--$L2064,MM_Income!$Z$5:$AC$204,3,FALSE()),"UNMAPPED"))</f>
        <v/>
      </c>
    </row>
    <row r="2065" customFormat="false" ht="13.5" hidden="false" customHeight="false" outlineLevel="0" collapsed="false">
      <c r="A2065" s="1" t="str">
        <f aca="false">IF($C2065="","",Controls!$B$7)</f>
        <v/>
      </c>
      <c r="B2065" s="1" t="str">
        <f aca="false">IF($H2065="","",YEAR($H2065)&amp;"-Q"&amp;ROUNDUP(MONTH($H2065)/3,0))</f>
        <v/>
      </c>
      <c r="S2065" s="1" t="str">
        <f aca="false">IF($C2065="","",$C2065&amp;"|"&amp;$E2065&amp;"|"&amp;$F2065&amp;"|"&amp;$L2065&amp;"|"&amp;$P2065&amp;"|"&amp;TEXT($H2065,"yyyy-mm-dd"))</f>
        <v/>
      </c>
      <c r="T2065" s="1" t="str">
        <f aca="false">IF($S2065="","",IF(COUNTIF($S$2:$S$2991,$S2065)&gt;1,"DUPLICATE","OK"))</f>
        <v/>
      </c>
      <c r="U2065" s="0" t="str">
        <f aca="false">IF($L2065="","",IFERROR(VLOOKUP(--$L2065,MM_Income!$Z$5:$AC$204,3,FALSE()),"UNMAPPED"))</f>
        <v/>
      </c>
    </row>
    <row r="2066" customFormat="false" ht="13.5" hidden="false" customHeight="false" outlineLevel="0" collapsed="false">
      <c r="A2066" s="1" t="str">
        <f aca="false">IF($C2066="","",Controls!$B$7)</f>
        <v/>
      </c>
      <c r="B2066" s="1" t="str">
        <f aca="false">IF($H2066="","",YEAR($H2066)&amp;"-Q"&amp;ROUNDUP(MONTH($H2066)/3,0))</f>
        <v/>
      </c>
      <c r="S2066" s="1" t="str">
        <f aca="false">IF($C2066="","",$C2066&amp;"|"&amp;$E2066&amp;"|"&amp;$F2066&amp;"|"&amp;$L2066&amp;"|"&amp;$P2066&amp;"|"&amp;TEXT($H2066,"yyyy-mm-dd"))</f>
        <v/>
      </c>
      <c r="T2066" s="1" t="str">
        <f aca="false">IF($S2066="","",IF(COUNTIF($S$2:$S$2991,$S2066)&gt;1,"DUPLICATE","OK"))</f>
        <v/>
      </c>
      <c r="U2066" s="0" t="str">
        <f aca="false">IF($L2066="","",IFERROR(VLOOKUP(--$L2066,MM_Income!$Z$5:$AC$204,3,FALSE()),"UNMAPPED"))</f>
        <v/>
      </c>
    </row>
    <row r="2067" customFormat="false" ht="13.5" hidden="false" customHeight="false" outlineLevel="0" collapsed="false">
      <c r="A2067" s="1" t="str">
        <f aca="false">IF($C2067="","",Controls!$B$7)</f>
        <v/>
      </c>
      <c r="B2067" s="1" t="str">
        <f aca="false">IF($H2067="","",YEAR($H2067)&amp;"-Q"&amp;ROUNDUP(MONTH($H2067)/3,0))</f>
        <v/>
      </c>
      <c r="S2067" s="1" t="str">
        <f aca="false">IF($C2067="","",$C2067&amp;"|"&amp;$E2067&amp;"|"&amp;$F2067&amp;"|"&amp;$L2067&amp;"|"&amp;$P2067&amp;"|"&amp;TEXT($H2067,"yyyy-mm-dd"))</f>
        <v/>
      </c>
      <c r="T2067" s="1" t="str">
        <f aca="false">IF($S2067="","",IF(COUNTIF($S$2:$S$2991,$S2067)&gt;1,"DUPLICATE","OK"))</f>
        <v/>
      </c>
      <c r="U2067" s="0" t="str">
        <f aca="false">IF($L2067="","",IFERROR(VLOOKUP(--$L2067,MM_Income!$Z$5:$AC$204,3,FALSE()),"UNMAPPED"))</f>
        <v/>
      </c>
    </row>
    <row r="2068" customFormat="false" ht="13.5" hidden="false" customHeight="false" outlineLevel="0" collapsed="false">
      <c r="A2068" s="1" t="str">
        <f aca="false">IF($C2068="","",Controls!$B$7)</f>
        <v/>
      </c>
      <c r="B2068" s="1" t="str">
        <f aca="false">IF($H2068="","",YEAR($H2068)&amp;"-Q"&amp;ROUNDUP(MONTH($H2068)/3,0))</f>
        <v/>
      </c>
      <c r="S2068" s="1" t="str">
        <f aca="false">IF($C2068="","",$C2068&amp;"|"&amp;$E2068&amp;"|"&amp;$F2068&amp;"|"&amp;$L2068&amp;"|"&amp;$P2068&amp;"|"&amp;TEXT($H2068,"yyyy-mm-dd"))</f>
        <v/>
      </c>
      <c r="T2068" s="1" t="str">
        <f aca="false">IF($S2068="","",IF(COUNTIF($S$2:$S$2991,$S2068)&gt;1,"DUPLICATE","OK"))</f>
        <v/>
      </c>
      <c r="U2068" s="0" t="str">
        <f aca="false">IF($L2068="","",IFERROR(VLOOKUP(--$L2068,MM_Income!$Z$5:$AC$204,3,FALSE()),"UNMAPPED"))</f>
        <v/>
      </c>
    </row>
    <row r="2069" customFormat="false" ht="13.5" hidden="false" customHeight="false" outlineLevel="0" collapsed="false">
      <c r="A2069" s="1" t="str">
        <f aca="false">IF($C2069="","",Controls!$B$7)</f>
        <v/>
      </c>
      <c r="B2069" s="1" t="str">
        <f aca="false">IF($H2069="","",YEAR($H2069)&amp;"-Q"&amp;ROUNDUP(MONTH($H2069)/3,0))</f>
        <v/>
      </c>
      <c r="S2069" s="1" t="str">
        <f aca="false">IF($C2069="","",$C2069&amp;"|"&amp;$E2069&amp;"|"&amp;$F2069&amp;"|"&amp;$L2069&amp;"|"&amp;$P2069&amp;"|"&amp;TEXT($H2069,"yyyy-mm-dd"))</f>
        <v/>
      </c>
      <c r="T2069" s="1" t="str">
        <f aca="false">IF($S2069="","",IF(COUNTIF($S$2:$S$2991,$S2069)&gt;1,"DUPLICATE","OK"))</f>
        <v/>
      </c>
      <c r="U2069" s="0" t="str">
        <f aca="false">IF($L2069="","",IFERROR(VLOOKUP(--$L2069,MM_Income!$Z$5:$AC$204,3,FALSE()),"UNMAPPED"))</f>
        <v/>
      </c>
    </row>
    <row r="2070" customFormat="false" ht="13.5" hidden="false" customHeight="false" outlineLevel="0" collapsed="false">
      <c r="A2070" s="1" t="str">
        <f aca="false">IF($C2070="","",Controls!$B$7)</f>
        <v/>
      </c>
      <c r="B2070" s="1" t="str">
        <f aca="false">IF($H2070="","",YEAR($H2070)&amp;"-Q"&amp;ROUNDUP(MONTH($H2070)/3,0))</f>
        <v/>
      </c>
      <c r="S2070" s="1" t="str">
        <f aca="false">IF($C2070="","",$C2070&amp;"|"&amp;$E2070&amp;"|"&amp;$F2070&amp;"|"&amp;$L2070&amp;"|"&amp;$P2070&amp;"|"&amp;TEXT($H2070,"yyyy-mm-dd"))</f>
        <v/>
      </c>
      <c r="T2070" s="1" t="str">
        <f aca="false">IF($S2070="","",IF(COUNTIF($S$2:$S$2991,$S2070)&gt;1,"DUPLICATE","OK"))</f>
        <v/>
      </c>
      <c r="U2070" s="0" t="str">
        <f aca="false">IF($L2070="","",IFERROR(VLOOKUP(--$L2070,MM_Income!$Z$5:$AC$204,3,FALSE()),"UNMAPPED"))</f>
        <v/>
      </c>
    </row>
    <row r="2071" customFormat="false" ht="13.5" hidden="false" customHeight="false" outlineLevel="0" collapsed="false">
      <c r="A2071" s="1" t="str">
        <f aca="false">IF($C2071="","",Controls!$B$7)</f>
        <v/>
      </c>
      <c r="B2071" s="1" t="str">
        <f aca="false">IF($H2071="","",YEAR($H2071)&amp;"-Q"&amp;ROUNDUP(MONTH($H2071)/3,0))</f>
        <v/>
      </c>
      <c r="S2071" s="1" t="str">
        <f aca="false">IF($C2071="","",$C2071&amp;"|"&amp;$E2071&amp;"|"&amp;$F2071&amp;"|"&amp;$L2071&amp;"|"&amp;$P2071&amp;"|"&amp;TEXT($H2071,"yyyy-mm-dd"))</f>
        <v/>
      </c>
      <c r="T2071" s="1" t="str">
        <f aca="false">IF($S2071="","",IF(COUNTIF($S$2:$S$2991,$S2071)&gt;1,"DUPLICATE","OK"))</f>
        <v/>
      </c>
      <c r="U2071" s="0" t="str">
        <f aca="false">IF($L2071="","",IFERROR(VLOOKUP(--$L2071,MM_Income!$Z$5:$AC$204,3,FALSE()),"UNMAPPED"))</f>
        <v/>
      </c>
    </row>
    <row r="2072" customFormat="false" ht="13.5" hidden="false" customHeight="false" outlineLevel="0" collapsed="false">
      <c r="A2072" s="1" t="str">
        <f aca="false">IF($C2072="","",Controls!$B$7)</f>
        <v/>
      </c>
      <c r="B2072" s="1" t="str">
        <f aca="false">IF($H2072="","",YEAR($H2072)&amp;"-Q"&amp;ROUNDUP(MONTH($H2072)/3,0))</f>
        <v/>
      </c>
      <c r="S2072" s="1" t="str">
        <f aca="false">IF($C2072="","",$C2072&amp;"|"&amp;$E2072&amp;"|"&amp;$F2072&amp;"|"&amp;$L2072&amp;"|"&amp;$P2072&amp;"|"&amp;TEXT($H2072,"yyyy-mm-dd"))</f>
        <v/>
      </c>
      <c r="T2072" s="1" t="str">
        <f aca="false">IF($S2072="","",IF(COUNTIF($S$2:$S$2991,$S2072)&gt;1,"DUPLICATE","OK"))</f>
        <v/>
      </c>
      <c r="U2072" s="0" t="str">
        <f aca="false">IF($L2072="","",IFERROR(VLOOKUP(--$L2072,MM_Income!$Z$5:$AC$204,3,FALSE()),"UNMAPPED"))</f>
        <v/>
      </c>
    </row>
    <row r="2073" customFormat="false" ht="13.5" hidden="false" customHeight="false" outlineLevel="0" collapsed="false">
      <c r="A2073" s="1" t="str">
        <f aca="false">IF($C2073="","",Controls!$B$7)</f>
        <v/>
      </c>
      <c r="B2073" s="1" t="str">
        <f aca="false">IF($H2073="","",YEAR($H2073)&amp;"-Q"&amp;ROUNDUP(MONTH($H2073)/3,0))</f>
        <v/>
      </c>
      <c r="S2073" s="1" t="str">
        <f aca="false">IF($C2073="","",$C2073&amp;"|"&amp;$E2073&amp;"|"&amp;$F2073&amp;"|"&amp;$L2073&amp;"|"&amp;$P2073&amp;"|"&amp;TEXT($H2073,"yyyy-mm-dd"))</f>
        <v/>
      </c>
      <c r="T2073" s="1" t="str">
        <f aca="false">IF($S2073="","",IF(COUNTIF($S$2:$S$2991,$S2073)&gt;1,"DUPLICATE","OK"))</f>
        <v/>
      </c>
      <c r="U2073" s="0" t="str">
        <f aca="false">IF($L2073="","",IFERROR(VLOOKUP(--$L2073,MM_Income!$Z$5:$AC$204,3,FALSE()),"UNMAPPED"))</f>
        <v/>
      </c>
    </row>
    <row r="2074" customFormat="false" ht="13.5" hidden="false" customHeight="false" outlineLevel="0" collapsed="false">
      <c r="A2074" s="1" t="str">
        <f aca="false">IF($C2074="","",Controls!$B$7)</f>
        <v/>
      </c>
      <c r="B2074" s="1" t="str">
        <f aca="false">IF($H2074="","",YEAR($H2074)&amp;"-Q"&amp;ROUNDUP(MONTH($H2074)/3,0))</f>
        <v/>
      </c>
      <c r="S2074" s="1" t="str">
        <f aca="false">IF($C2074="","",$C2074&amp;"|"&amp;$E2074&amp;"|"&amp;$F2074&amp;"|"&amp;$L2074&amp;"|"&amp;$P2074&amp;"|"&amp;TEXT($H2074,"yyyy-mm-dd"))</f>
        <v/>
      </c>
      <c r="T2074" s="1" t="str">
        <f aca="false">IF($S2074="","",IF(COUNTIF($S$2:$S$2991,$S2074)&gt;1,"DUPLICATE","OK"))</f>
        <v/>
      </c>
      <c r="U2074" s="0" t="str">
        <f aca="false">IF($L2074="","",IFERROR(VLOOKUP(--$L2074,MM_Income!$Z$5:$AC$204,3,FALSE()),"UNMAPPED"))</f>
        <v/>
      </c>
    </row>
    <row r="2075" customFormat="false" ht="13.5" hidden="false" customHeight="false" outlineLevel="0" collapsed="false">
      <c r="A2075" s="1" t="str">
        <f aca="false">IF($C2075="","",Controls!$B$7)</f>
        <v/>
      </c>
      <c r="B2075" s="1" t="str">
        <f aca="false">IF($H2075="","",YEAR($H2075)&amp;"-Q"&amp;ROUNDUP(MONTH($H2075)/3,0))</f>
        <v/>
      </c>
      <c r="S2075" s="1" t="str">
        <f aca="false">IF($C2075="","",$C2075&amp;"|"&amp;$E2075&amp;"|"&amp;$F2075&amp;"|"&amp;$L2075&amp;"|"&amp;$P2075&amp;"|"&amp;TEXT($H2075,"yyyy-mm-dd"))</f>
        <v/>
      </c>
      <c r="T2075" s="1" t="str">
        <f aca="false">IF($S2075="","",IF(COUNTIF($S$2:$S$2991,$S2075)&gt;1,"DUPLICATE","OK"))</f>
        <v/>
      </c>
      <c r="U2075" s="0" t="str">
        <f aca="false">IF($L2075="","",IFERROR(VLOOKUP(--$L2075,MM_Income!$Z$5:$AC$204,3,FALSE()),"UNMAPPED"))</f>
        <v/>
      </c>
    </row>
    <row r="2076" customFormat="false" ht="13.5" hidden="false" customHeight="false" outlineLevel="0" collapsed="false">
      <c r="A2076" s="1" t="str">
        <f aca="false">IF($C2076="","",Controls!$B$7)</f>
        <v/>
      </c>
      <c r="B2076" s="1" t="str">
        <f aca="false">IF($H2076="","",YEAR($H2076)&amp;"-Q"&amp;ROUNDUP(MONTH($H2076)/3,0))</f>
        <v/>
      </c>
      <c r="S2076" s="1" t="str">
        <f aca="false">IF($C2076="","",$C2076&amp;"|"&amp;$E2076&amp;"|"&amp;$F2076&amp;"|"&amp;$L2076&amp;"|"&amp;$P2076&amp;"|"&amp;TEXT($H2076,"yyyy-mm-dd"))</f>
        <v/>
      </c>
      <c r="T2076" s="1" t="str">
        <f aca="false">IF($S2076="","",IF(COUNTIF($S$2:$S$2991,$S2076)&gt;1,"DUPLICATE","OK"))</f>
        <v/>
      </c>
      <c r="U2076" s="0" t="str">
        <f aca="false">IF($L2076="","",IFERROR(VLOOKUP(--$L2076,MM_Income!$Z$5:$AC$204,3,FALSE()),"UNMAPPED"))</f>
        <v/>
      </c>
    </row>
    <row r="2077" customFormat="false" ht="13.5" hidden="false" customHeight="false" outlineLevel="0" collapsed="false">
      <c r="A2077" s="1" t="str">
        <f aca="false">IF($C2077="","",Controls!$B$7)</f>
        <v/>
      </c>
      <c r="B2077" s="1" t="str">
        <f aca="false">IF($H2077="","",YEAR($H2077)&amp;"-Q"&amp;ROUNDUP(MONTH($H2077)/3,0))</f>
        <v/>
      </c>
      <c r="S2077" s="1" t="str">
        <f aca="false">IF($C2077="","",$C2077&amp;"|"&amp;$E2077&amp;"|"&amp;$F2077&amp;"|"&amp;$L2077&amp;"|"&amp;$P2077&amp;"|"&amp;TEXT($H2077,"yyyy-mm-dd"))</f>
        <v/>
      </c>
      <c r="T2077" s="1" t="str">
        <f aca="false">IF($S2077="","",IF(COUNTIF($S$2:$S$2991,$S2077)&gt;1,"DUPLICATE","OK"))</f>
        <v/>
      </c>
      <c r="U2077" s="0" t="str">
        <f aca="false">IF($L2077="","",IFERROR(VLOOKUP(--$L2077,MM_Income!$Z$5:$AC$204,3,FALSE()),"UNMAPPED"))</f>
        <v/>
      </c>
    </row>
    <row r="2078" customFormat="false" ht="13.5" hidden="false" customHeight="false" outlineLevel="0" collapsed="false">
      <c r="A2078" s="1" t="str">
        <f aca="false">IF($C2078="","",Controls!$B$7)</f>
        <v/>
      </c>
      <c r="B2078" s="1" t="str">
        <f aca="false">IF($H2078="","",YEAR($H2078)&amp;"-Q"&amp;ROUNDUP(MONTH($H2078)/3,0))</f>
        <v/>
      </c>
      <c r="S2078" s="1" t="str">
        <f aca="false">IF($C2078="","",$C2078&amp;"|"&amp;$E2078&amp;"|"&amp;$F2078&amp;"|"&amp;$L2078&amp;"|"&amp;$P2078&amp;"|"&amp;TEXT($H2078,"yyyy-mm-dd"))</f>
        <v/>
      </c>
      <c r="T2078" s="1" t="str">
        <f aca="false">IF($S2078="","",IF(COUNTIF($S$2:$S$2991,$S2078)&gt;1,"DUPLICATE","OK"))</f>
        <v/>
      </c>
      <c r="U2078" s="0" t="str">
        <f aca="false">IF($L2078="","",IFERROR(VLOOKUP(--$L2078,MM_Income!$Z$5:$AC$204,3,FALSE()),"UNMAPPED"))</f>
        <v/>
      </c>
    </row>
    <row r="2079" customFormat="false" ht="13.5" hidden="false" customHeight="false" outlineLevel="0" collapsed="false">
      <c r="A2079" s="1" t="str">
        <f aca="false">IF($C2079="","",Controls!$B$7)</f>
        <v/>
      </c>
      <c r="B2079" s="1" t="str">
        <f aca="false">IF($H2079="","",YEAR($H2079)&amp;"-Q"&amp;ROUNDUP(MONTH($H2079)/3,0))</f>
        <v/>
      </c>
      <c r="S2079" s="1" t="str">
        <f aca="false">IF($C2079="","",$C2079&amp;"|"&amp;$E2079&amp;"|"&amp;$F2079&amp;"|"&amp;$L2079&amp;"|"&amp;$P2079&amp;"|"&amp;TEXT($H2079,"yyyy-mm-dd"))</f>
        <v/>
      </c>
      <c r="T2079" s="1" t="str">
        <f aca="false">IF($S2079="","",IF(COUNTIF($S$2:$S$2991,$S2079)&gt;1,"DUPLICATE","OK"))</f>
        <v/>
      </c>
      <c r="U2079" s="0" t="str">
        <f aca="false">IF($L2079="","",IFERROR(VLOOKUP(--$L2079,MM_Income!$Z$5:$AC$204,3,FALSE()),"UNMAPPED"))</f>
        <v/>
      </c>
    </row>
    <row r="2080" customFormat="false" ht="13.5" hidden="false" customHeight="false" outlineLevel="0" collapsed="false">
      <c r="A2080" s="1" t="str">
        <f aca="false">IF($C2080="","",Controls!$B$7)</f>
        <v/>
      </c>
      <c r="B2080" s="1" t="str">
        <f aca="false">IF($H2080="","",YEAR($H2080)&amp;"-Q"&amp;ROUNDUP(MONTH($H2080)/3,0))</f>
        <v/>
      </c>
      <c r="S2080" s="1" t="str">
        <f aca="false">IF($C2080="","",$C2080&amp;"|"&amp;$E2080&amp;"|"&amp;$F2080&amp;"|"&amp;$L2080&amp;"|"&amp;$P2080&amp;"|"&amp;TEXT($H2080,"yyyy-mm-dd"))</f>
        <v/>
      </c>
      <c r="T2080" s="1" t="str">
        <f aca="false">IF($S2080="","",IF(COUNTIF($S$2:$S$2991,$S2080)&gt;1,"DUPLICATE","OK"))</f>
        <v/>
      </c>
      <c r="U2080" s="0" t="str">
        <f aca="false">IF($L2080="","",IFERROR(VLOOKUP(--$L2080,MM_Income!$Z$5:$AC$204,3,FALSE()),"UNMAPPED"))</f>
        <v/>
      </c>
    </row>
    <row r="2081" customFormat="false" ht="13.5" hidden="false" customHeight="false" outlineLevel="0" collapsed="false">
      <c r="A2081" s="1" t="str">
        <f aca="false">IF($C2081="","",Controls!$B$7)</f>
        <v/>
      </c>
      <c r="B2081" s="1" t="str">
        <f aca="false">IF($H2081="","",YEAR($H2081)&amp;"-Q"&amp;ROUNDUP(MONTH($H2081)/3,0))</f>
        <v/>
      </c>
      <c r="S2081" s="1" t="str">
        <f aca="false">IF($C2081="","",$C2081&amp;"|"&amp;$E2081&amp;"|"&amp;$F2081&amp;"|"&amp;$L2081&amp;"|"&amp;$P2081&amp;"|"&amp;TEXT($H2081,"yyyy-mm-dd"))</f>
        <v/>
      </c>
      <c r="T2081" s="1" t="str">
        <f aca="false">IF($S2081="","",IF(COUNTIF($S$2:$S$2991,$S2081)&gt;1,"DUPLICATE","OK"))</f>
        <v/>
      </c>
      <c r="U2081" s="0" t="str">
        <f aca="false">IF($L2081="","",IFERROR(VLOOKUP(--$L2081,MM_Income!$Z$5:$AC$204,3,FALSE()),"UNMAPPED"))</f>
        <v/>
      </c>
    </row>
    <row r="2082" customFormat="false" ht="13.5" hidden="false" customHeight="false" outlineLevel="0" collapsed="false">
      <c r="A2082" s="1" t="str">
        <f aca="false">IF($C2082="","",Controls!$B$7)</f>
        <v/>
      </c>
      <c r="B2082" s="1" t="str">
        <f aca="false">IF($H2082="","",YEAR($H2082)&amp;"-Q"&amp;ROUNDUP(MONTH($H2082)/3,0))</f>
        <v/>
      </c>
      <c r="S2082" s="1" t="str">
        <f aca="false">IF($C2082="","",$C2082&amp;"|"&amp;$E2082&amp;"|"&amp;$F2082&amp;"|"&amp;$L2082&amp;"|"&amp;$P2082&amp;"|"&amp;TEXT($H2082,"yyyy-mm-dd"))</f>
        <v/>
      </c>
      <c r="T2082" s="1" t="str">
        <f aca="false">IF($S2082="","",IF(COUNTIF($S$2:$S$2991,$S2082)&gt;1,"DUPLICATE","OK"))</f>
        <v/>
      </c>
      <c r="U2082" s="0" t="str">
        <f aca="false">IF($L2082="","",IFERROR(VLOOKUP(--$L2082,MM_Income!$Z$5:$AC$204,3,FALSE()),"UNMAPPED"))</f>
        <v/>
      </c>
    </row>
    <row r="2083" customFormat="false" ht="13.5" hidden="false" customHeight="false" outlineLevel="0" collapsed="false">
      <c r="A2083" s="1" t="str">
        <f aca="false">IF($C2083="","",Controls!$B$7)</f>
        <v/>
      </c>
      <c r="B2083" s="1" t="str">
        <f aca="false">IF($H2083="","",YEAR($H2083)&amp;"-Q"&amp;ROUNDUP(MONTH($H2083)/3,0))</f>
        <v/>
      </c>
      <c r="S2083" s="1" t="str">
        <f aca="false">IF($C2083="","",$C2083&amp;"|"&amp;$E2083&amp;"|"&amp;$F2083&amp;"|"&amp;$L2083&amp;"|"&amp;$P2083&amp;"|"&amp;TEXT($H2083,"yyyy-mm-dd"))</f>
        <v/>
      </c>
      <c r="T2083" s="1" t="str">
        <f aca="false">IF($S2083="","",IF(COUNTIF($S$2:$S$2991,$S2083)&gt;1,"DUPLICATE","OK"))</f>
        <v/>
      </c>
      <c r="U2083" s="0" t="str">
        <f aca="false">IF($L2083="","",IFERROR(VLOOKUP(--$L2083,MM_Income!$Z$5:$AC$204,3,FALSE()),"UNMAPPED"))</f>
        <v/>
      </c>
    </row>
    <row r="2084" customFormat="false" ht="13.5" hidden="false" customHeight="false" outlineLevel="0" collapsed="false">
      <c r="A2084" s="1" t="str">
        <f aca="false">IF($C2084="","",Controls!$B$7)</f>
        <v/>
      </c>
      <c r="B2084" s="1" t="str">
        <f aca="false">IF($H2084="","",YEAR($H2084)&amp;"-Q"&amp;ROUNDUP(MONTH($H2084)/3,0))</f>
        <v/>
      </c>
      <c r="S2084" s="1" t="str">
        <f aca="false">IF($C2084="","",$C2084&amp;"|"&amp;$E2084&amp;"|"&amp;$F2084&amp;"|"&amp;$L2084&amp;"|"&amp;$P2084&amp;"|"&amp;TEXT($H2084,"yyyy-mm-dd"))</f>
        <v/>
      </c>
      <c r="T2084" s="1" t="str">
        <f aca="false">IF($S2084="","",IF(COUNTIF($S$2:$S$2991,$S2084)&gt;1,"DUPLICATE","OK"))</f>
        <v/>
      </c>
      <c r="U2084" s="0" t="str">
        <f aca="false">IF($L2084="","",IFERROR(VLOOKUP(--$L2084,MM_Income!$Z$5:$AC$204,3,FALSE()),"UNMAPPED"))</f>
        <v/>
      </c>
    </row>
    <row r="2085" customFormat="false" ht="13.5" hidden="false" customHeight="false" outlineLevel="0" collapsed="false">
      <c r="A2085" s="1" t="str">
        <f aca="false">IF($C2085="","",Controls!$B$7)</f>
        <v/>
      </c>
      <c r="B2085" s="1" t="str">
        <f aca="false">IF($H2085="","",YEAR($H2085)&amp;"-Q"&amp;ROUNDUP(MONTH($H2085)/3,0))</f>
        <v/>
      </c>
      <c r="S2085" s="1" t="str">
        <f aca="false">IF($C2085="","",$C2085&amp;"|"&amp;$E2085&amp;"|"&amp;$F2085&amp;"|"&amp;$L2085&amp;"|"&amp;$P2085&amp;"|"&amp;TEXT($H2085,"yyyy-mm-dd"))</f>
        <v/>
      </c>
      <c r="T2085" s="1" t="str">
        <f aca="false">IF($S2085="","",IF(COUNTIF($S$2:$S$2991,$S2085)&gt;1,"DUPLICATE","OK"))</f>
        <v/>
      </c>
      <c r="U2085" s="0" t="str">
        <f aca="false">IF($L2085="","",IFERROR(VLOOKUP(--$L2085,MM_Income!$Z$5:$AC$204,3,FALSE()),"UNMAPPED"))</f>
        <v/>
      </c>
    </row>
    <row r="2086" customFormat="false" ht="13.5" hidden="false" customHeight="false" outlineLevel="0" collapsed="false">
      <c r="A2086" s="1" t="str">
        <f aca="false">IF($C2086="","",Controls!$B$7)</f>
        <v/>
      </c>
      <c r="B2086" s="1" t="str">
        <f aca="false">IF($H2086="","",YEAR($H2086)&amp;"-Q"&amp;ROUNDUP(MONTH($H2086)/3,0))</f>
        <v/>
      </c>
      <c r="S2086" s="1" t="str">
        <f aca="false">IF($C2086="","",$C2086&amp;"|"&amp;$E2086&amp;"|"&amp;$F2086&amp;"|"&amp;$L2086&amp;"|"&amp;$P2086&amp;"|"&amp;TEXT($H2086,"yyyy-mm-dd"))</f>
        <v/>
      </c>
      <c r="T2086" s="1" t="str">
        <f aca="false">IF($S2086="","",IF(COUNTIF($S$2:$S$2991,$S2086)&gt;1,"DUPLICATE","OK"))</f>
        <v/>
      </c>
      <c r="U2086" s="0" t="str">
        <f aca="false">IF($L2086="","",IFERROR(VLOOKUP(--$L2086,MM_Income!$Z$5:$AC$204,3,FALSE()),"UNMAPPED"))</f>
        <v/>
      </c>
    </row>
    <row r="2087" customFormat="false" ht="13.5" hidden="false" customHeight="false" outlineLevel="0" collapsed="false">
      <c r="A2087" s="1" t="str">
        <f aca="false">IF($C2087="","",Controls!$B$7)</f>
        <v/>
      </c>
      <c r="B2087" s="1" t="str">
        <f aca="false">IF($H2087="","",YEAR($H2087)&amp;"-Q"&amp;ROUNDUP(MONTH($H2087)/3,0))</f>
        <v/>
      </c>
      <c r="S2087" s="1" t="str">
        <f aca="false">IF($C2087="","",$C2087&amp;"|"&amp;$E2087&amp;"|"&amp;$F2087&amp;"|"&amp;$L2087&amp;"|"&amp;$P2087&amp;"|"&amp;TEXT($H2087,"yyyy-mm-dd"))</f>
        <v/>
      </c>
      <c r="T2087" s="1" t="str">
        <f aca="false">IF($S2087="","",IF(COUNTIF($S$2:$S$2991,$S2087)&gt;1,"DUPLICATE","OK"))</f>
        <v/>
      </c>
      <c r="U2087" s="0" t="str">
        <f aca="false">IF($L2087="","",IFERROR(VLOOKUP(--$L2087,MM_Income!$Z$5:$AC$204,3,FALSE()),"UNMAPPED"))</f>
        <v/>
      </c>
    </row>
    <row r="2088" customFormat="false" ht="13.5" hidden="false" customHeight="false" outlineLevel="0" collapsed="false">
      <c r="A2088" s="1" t="str">
        <f aca="false">IF($C2088="","",Controls!$B$7)</f>
        <v/>
      </c>
      <c r="B2088" s="1" t="str">
        <f aca="false">IF($H2088="","",YEAR($H2088)&amp;"-Q"&amp;ROUNDUP(MONTH($H2088)/3,0))</f>
        <v/>
      </c>
      <c r="S2088" s="1" t="str">
        <f aca="false">IF($C2088="","",$C2088&amp;"|"&amp;$E2088&amp;"|"&amp;$F2088&amp;"|"&amp;$L2088&amp;"|"&amp;$P2088&amp;"|"&amp;TEXT($H2088,"yyyy-mm-dd"))</f>
        <v/>
      </c>
      <c r="T2088" s="1" t="str">
        <f aca="false">IF($S2088="","",IF(COUNTIF($S$2:$S$2991,$S2088)&gt;1,"DUPLICATE","OK"))</f>
        <v/>
      </c>
      <c r="U2088" s="0" t="str">
        <f aca="false">IF($L2088="","",IFERROR(VLOOKUP(--$L2088,MM_Income!$Z$5:$AC$204,3,FALSE()),"UNMAPPED"))</f>
        <v/>
      </c>
    </row>
    <row r="2089" customFormat="false" ht="13.5" hidden="false" customHeight="false" outlineLevel="0" collapsed="false">
      <c r="A2089" s="1" t="str">
        <f aca="false">IF($C2089="","",Controls!$B$7)</f>
        <v/>
      </c>
      <c r="B2089" s="1" t="str">
        <f aca="false">IF($H2089="","",YEAR($H2089)&amp;"-Q"&amp;ROUNDUP(MONTH($H2089)/3,0))</f>
        <v/>
      </c>
      <c r="S2089" s="1" t="str">
        <f aca="false">IF($C2089="","",$C2089&amp;"|"&amp;$E2089&amp;"|"&amp;$F2089&amp;"|"&amp;$L2089&amp;"|"&amp;$P2089&amp;"|"&amp;TEXT($H2089,"yyyy-mm-dd"))</f>
        <v/>
      </c>
      <c r="T2089" s="1" t="str">
        <f aca="false">IF($S2089="","",IF(COUNTIF($S$2:$S$2991,$S2089)&gt;1,"DUPLICATE","OK"))</f>
        <v/>
      </c>
      <c r="U2089" s="0" t="str">
        <f aca="false">IF($L2089="","",IFERROR(VLOOKUP(--$L2089,MM_Income!$Z$5:$AC$204,3,FALSE()),"UNMAPPED"))</f>
        <v/>
      </c>
    </row>
    <row r="2090" customFormat="false" ht="13.5" hidden="false" customHeight="false" outlineLevel="0" collapsed="false">
      <c r="A2090" s="1" t="str">
        <f aca="false">IF($C2090="","",Controls!$B$7)</f>
        <v/>
      </c>
      <c r="B2090" s="1" t="str">
        <f aca="false">IF($H2090="","",YEAR($H2090)&amp;"-Q"&amp;ROUNDUP(MONTH($H2090)/3,0))</f>
        <v/>
      </c>
      <c r="S2090" s="1" t="str">
        <f aca="false">IF($C2090="","",$C2090&amp;"|"&amp;$E2090&amp;"|"&amp;$F2090&amp;"|"&amp;$L2090&amp;"|"&amp;$P2090&amp;"|"&amp;TEXT($H2090,"yyyy-mm-dd"))</f>
        <v/>
      </c>
      <c r="T2090" s="1" t="str">
        <f aca="false">IF($S2090="","",IF(COUNTIF($S$2:$S$2991,$S2090)&gt;1,"DUPLICATE","OK"))</f>
        <v/>
      </c>
      <c r="U2090" s="0" t="str">
        <f aca="false">IF($L2090="","",IFERROR(VLOOKUP(--$L2090,MM_Income!$Z$5:$AC$204,3,FALSE()),"UNMAPPED"))</f>
        <v/>
      </c>
    </row>
    <row r="2091" customFormat="false" ht="13.5" hidden="false" customHeight="false" outlineLevel="0" collapsed="false">
      <c r="A2091" s="1" t="str">
        <f aca="false">IF($C2091="","",Controls!$B$7)</f>
        <v/>
      </c>
      <c r="B2091" s="1" t="str">
        <f aca="false">IF($H2091="","",YEAR($H2091)&amp;"-Q"&amp;ROUNDUP(MONTH($H2091)/3,0))</f>
        <v/>
      </c>
      <c r="S2091" s="1" t="str">
        <f aca="false">IF($C2091="","",$C2091&amp;"|"&amp;$E2091&amp;"|"&amp;$F2091&amp;"|"&amp;$L2091&amp;"|"&amp;$P2091&amp;"|"&amp;TEXT($H2091,"yyyy-mm-dd"))</f>
        <v/>
      </c>
      <c r="T2091" s="1" t="str">
        <f aca="false">IF($S2091="","",IF(COUNTIF($S$2:$S$2991,$S2091)&gt;1,"DUPLICATE","OK"))</f>
        <v/>
      </c>
      <c r="U2091" s="0" t="str">
        <f aca="false">IF($L2091="","",IFERROR(VLOOKUP(--$L2091,MM_Income!$Z$5:$AC$204,3,FALSE()),"UNMAPPED"))</f>
        <v/>
      </c>
    </row>
    <row r="2092" customFormat="false" ht="13.5" hidden="false" customHeight="false" outlineLevel="0" collapsed="false">
      <c r="A2092" s="1" t="str">
        <f aca="false">IF($C2092="","",Controls!$B$7)</f>
        <v/>
      </c>
      <c r="B2092" s="1" t="str">
        <f aca="false">IF($H2092="","",YEAR($H2092)&amp;"-Q"&amp;ROUNDUP(MONTH($H2092)/3,0))</f>
        <v/>
      </c>
      <c r="S2092" s="1" t="str">
        <f aca="false">IF($C2092="","",$C2092&amp;"|"&amp;$E2092&amp;"|"&amp;$F2092&amp;"|"&amp;$L2092&amp;"|"&amp;$P2092&amp;"|"&amp;TEXT($H2092,"yyyy-mm-dd"))</f>
        <v/>
      </c>
      <c r="T2092" s="1" t="str">
        <f aca="false">IF($S2092="","",IF(COUNTIF($S$2:$S$2991,$S2092)&gt;1,"DUPLICATE","OK"))</f>
        <v/>
      </c>
      <c r="U2092" s="0" t="str">
        <f aca="false">IF($L2092="","",IFERROR(VLOOKUP(--$L2092,MM_Income!$Z$5:$AC$204,3,FALSE()),"UNMAPPED"))</f>
        <v/>
      </c>
    </row>
    <row r="2093" customFormat="false" ht="13.5" hidden="false" customHeight="false" outlineLevel="0" collapsed="false">
      <c r="A2093" s="1" t="str">
        <f aca="false">IF($C2093="","",Controls!$B$7)</f>
        <v/>
      </c>
      <c r="B2093" s="1" t="str">
        <f aca="false">IF($H2093="","",YEAR($H2093)&amp;"-Q"&amp;ROUNDUP(MONTH($H2093)/3,0))</f>
        <v/>
      </c>
      <c r="S2093" s="1" t="str">
        <f aca="false">IF($C2093="","",$C2093&amp;"|"&amp;$E2093&amp;"|"&amp;$F2093&amp;"|"&amp;$L2093&amp;"|"&amp;$P2093&amp;"|"&amp;TEXT($H2093,"yyyy-mm-dd"))</f>
        <v/>
      </c>
      <c r="T2093" s="1" t="str">
        <f aca="false">IF($S2093="","",IF(COUNTIF($S$2:$S$2991,$S2093)&gt;1,"DUPLICATE","OK"))</f>
        <v/>
      </c>
      <c r="U2093" s="0" t="str">
        <f aca="false">IF($L2093="","",IFERROR(VLOOKUP(--$L2093,MM_Income!$Z$5:$AC$204,3,FALSE()),"UNMAPPED"))</f>
        <v/>
      </c>
    </row>
    <row r="2094" customFormat="false" ht="13.5" hidden="false" customHeight="false" outlineLevel="0" collapsed="false">
      <c r="A2094" s="1" t="str">
        <f aca="false">IF($C2094="","",Controls!$B$7)</f>
        <v/>
      </c>
      <c r="B2094" s="1" t="str">
        <f aca="false">IF($H2094="","",YEAR($H2094)&amp;"-Q"&amp;ROUNDUP(MONTH($H2094)/3,0))</f>
        <v/>
      </c>
      <c r="S2094" s="1" t="str">
        <f aca="false">IF($C2094="","",$C2094&amp;"|"&amp;$E2094&amp;"|"&amp;$F2094&amp;"|"&amp;$L2094&amp;"|"&amp;$P2094&amp;"|"&amp;TEXT($H2094,"yyyy-mm-dd"))</f>
        <v/>
      </c>
      <c r="T2094" s="1" t="str">
        <f aca="false">IF($S2094="","",IF(COUNTIF($S$2:$S$2991,$S2094)&gt;1,"DUPLICATE","OK"))</f>
        <v/>
      </c>
      <c r="U2094" s="0" t="str">
        <f aca="false">IF($L2094="","",IFERROR(VLOOKUP(--$L2094,MM_Income!$Z$5:$AC$204,3,FALSE()),"UNMAPPED"))</f>
        <v/>
      </c>
    </row>
    <row r="2095" customFormat="false" ht="13.5" hidden="false" customHeight="false" outlineLevel="0" collapsed="false">
      <c r="A2095" s="1" t="str">
        <f aca="false">IF($C2095="","",Controls!$B$7)</f>
        <v/>
      </c>
      <c r="B2095" s="1" t="str">
        <f aca="false">IF($H2095="","",YEAR($H2095)&amp;"-Q"&amp;ROUNDUP(MONTH($H2095)/3,0))</f>
        <v/>
      </c>
      <c r="S2095" s="1" t="str">
        <f aca="false">IF($C2095="","",$C2095&amp;"|"&amp;$E2095&amp;"|"&amp;$F2095&amp;"|"&amp;$L2095&amp;"|"&amp;$P2095&amp;"|"&amp;TEXT($H2095,"yyyy-mm-dd"))</f>
        <v/>
      </c>
      <c r="T2095" s="1" t="str">
        <f aca="false">IF($S2095="","",IF(COUNTIF($S$2:$S$2991,$S2095)&gt;1,"DUPLICATE","OK"))</f>
        <v/>
      </c>
      <c r="U2095" s="0" t="str">
        <f aca="false">IF($L2095="","",IFERROR(VLOOKUP(--$L2095,MM_Income!$Z$5:$AC$204,3,FALSE()),"UNMAPPED"))</f>
        <v/>
      </c>
    </row>
    <row r="2096" customFormat="false" ht="13.5" hidden="false" customHeight="false" outlineLevel="0" collapsed="false">
      <c r="A2096" s="1" t="str">
        <f aca="false">IF($C2096="","",Controls!$B$7)</f>
        <v/>
      </c>
      <c r="B2096" s="1" t="str">
        <f aca="false">IF($H2096="","",YEAR($H2096)&amp;"-Q"&amp;ROUNDUP(MONTH($H2096)/3,0))</f>
        <v/>
      </c>
      <c r="S2096" s="1" t="str">
        <f aca="false">IF($C2096="","",$C2096&amp;"|"&amp;$E2096&amp;"|"&amp;$F2096&amp;"|"&amp;$L2096&amp;"|"&amp;$P2096&amp;"|"&amp;TEXT($H2096,"yyyy-mm-dd"))</f>
        <v/>
      </c>
      <c r="T2096" s="1" t="str">
        <f aca="false">IF($S2096="","",IF(COUNTIF($S$2:$S$2991,$S2096)&gt;1,"DUPLICATE","OK"))</f>
        <v/>
      </c>
      <c r="U2096" s="0" t="str">
        <f aca="false">IF($L2096="","",IFERROR(VLOOKUP(--$L2096,MM_Income!$Z$5:$AC$204,3,FALSE()),"UNMAPPED"))</f>
        <v/>
      </c>
    </row>
    <row r="2097" customFormat="false" ht="13.5" hidden="false" customHeight="false" outlineLevel="0" collapsed="false">
      <c r="A2097" s="1" t="str">
        <f aca="false">IF($C2097="","",Controls!$B$7)</f>
        <v/>
      </c>
      <c r="B2097" s="1" t="str">
        <f aca="false">IF($H2097="","",YEAR($H2097)&amp;"-Q"&amp;ROUNDUP(MONTH($H2097)/3,0))</f>
        <v/>
      </c>
      <c r="S2097" s="1" t="str">
        <f aca="false">IF($C2097="","",$C2097&amp;"|"&amp;$E2097&amp;"|"&amp;$F2097&amp;"|"&amp;$L2097&amp;"|"&amp;$P2097&amp;"|"&amp;TEXT($H2097,"yyyy-mm-dd"))</f>
        <v/>
      </c>
      <c r="T2097" s="1" t="str">
        <f aca="false">IF($S2097="","",IF(COUNTIF($S$2:$S$2991,$S2097)&gt;1,"DUPLICATE","OK"))</f>
        <v/>
      </c>
      <c r="U2097" s="0" t="str">
        <f aca="false">IF($L2097="","",IFERROR(VLOOKUP(--$L2097,MM_Income!$Z$5:$AC$204,3,FALSE()),"UNMAPPED"))</f>
        <v/>
      </c>
    </row>
    <row r="2098" customFormat="false" ht="13.5" hidden="false" customHeight="false" outlineLevel="0" collapsed="false">
      <c r="A2098" s="1" t="str">
        <f aca="false">IF($C2098="","",Controls!$B$7)</f>
        <v/>
      </c>
      <c r="B2098" s="1" t="str">
        <f aca="false">IF($H2098="","",YEAR($H2098)&amp;"-Q"&amp;ROUNDUP(MONTH($H2098)/3,0))</f>
        <v/>
      </c>
      <c r="S2098" s="1" t="str">
        <f aca="false">IF($C2098="","",$C2098&amp;"|"&amp;$E2098&amp;"|"&amp;$F2098&amp;"|"&amp;$L2098&amp;"|"&amp;$P2098&amp;"|"&amp;TEXT($H2098,"yyyy-mm-dd"))</f>
        <v/>
      </c>
      <c r="T2098" s="1" t="str">
        <f aca="false">IF($S2098="","",IF(COUNTIF($S$2:$S$2991,$S2098)&gt;1,"DUPLICATE","OK"))</f>
        <v/>
      </c>
      <c r="U2098" s="0" t="str">
        <f aca="false">IF($L2098="","",IFERROR(VLOOKUP(--$L2098,MM_Income!$Z$5:$AC$204,3,FALSE()),"UNMAPPED"))</f>
        <v/>
      </c>
    </row>
    <row r="2099" customFormat="false" ht="13.5" hidden="false" customHeight="false" outlineLevel="0" collapsed="false">
      <c r="A2099" s="1" t="str">
        <f aca="false">IF($C2099="","",Controls!$B$7)</f>
        <v/>
      </c>
      <c r="B2099" s="1" t="str">
        <f aca="false">IF($H2099="","",YEAR($H2099)&amp;"-Q"&amp;ROUNDUP(MONTH($H2099)/3,0))</f>
        <v/>
      </c>
      <c r="S2099" s="1" t="str">
        <f aca="false">IF($C2099="","",$C2099&amp;"|"&amp;$E2099&amp;"|"&amp;$F2099&amp;"|"&amp;$L2099&amp;"|"&amp;$P2099&amp;"|"&amp;TEXT($H2099,"yyyy-mm-dd"))</f>
        <v/>
      </c>
      <c r="T2099" s="1" t="str">
        <f aca="false">IF($S2099="","",IF(COUNTIF($S$2:$S$2991,$S2099)&gt;1,"DUPLICATE","OK"))</f>
        <v/>
      </c>
      <c r="U2099" s="0" t="str">
        <f aca="false">IF($L2099="","",IFERROR(VLOOKUP(--$L2099,MM_Income!$Z$5:$AC$204,3,FALSE()),"UNMAPPED"))</f>
        <v/>
      </c>
    </row>
    <row r="2100" customFormat="false" ht="13.5" hidden="false" customHeight="false" outlineLevel="0" collapsed="false">
      <c r="A2100" s="1" t="str">
        <f aca="false">IF($C2100="","",Controls!$B$7)</f>
        <v/>
      </c>
      <c r="B2100" s="1" t="str">
        <f aca="false">IF($H2100="","",YEAR($H2100)&amp;"-Q"&amp;ROUNDUP(MONTH($H2100)/3,0))</f>
        <v/>
      </c>
      <c r="S2100" s="1" t="str">
        <f aca="false">IF($C2100="","",$C2100&amp;"|"&amp;$E2100&amp;"|"&amp;$F2100&amp;"|"&amp;$L2100&amp;"|"&amp;$P2100&amp;"|"&amp;TEXT($H2100,"yyyy-mm-dd"))</f>
        <v/>
      </c>
      <c r="T2100" s="1" t="str">
        <f aca="false">IF($S2100="","",IF(COUNTIF($S$2:$S$2991,$S2100)&gt;1,"DUPLICATE","OK"))</f>
        <v/>
      </c>
      <c r="U2100" s="0" t="str">
        <f aca="false">IF($L2100="","",IFERROR(VLOOKUP(--$L2100,MM_Income!$Z$5:$AC$204,3,FALSE()),"UNMAPPED"))</f>
        <v/>
      </c>
    </row>
    <row r="2101" customFormat="false" ht="13.5" hidden="false" customHeight="false" outlineLevel="0" collapsed="false">
      <c r="A2101" s="1" t="str">
        <f aca="false">IF($C2101="","",Controls!$B$7)</f>
        <v/>
      </c>
      <c r="B2101" s="1" t="str">
        <f aca="false">IF($H2101="","",YEAR($H2101)&amp;"-Q"&amp;ROUNDUP(MONTH($H2101)/3,0))</f>
        <v/>
      </c>
      <c r="S2101" s="1" t="str">
        <f aca="false">IF($C2101="","",$C2101&amp;"|"&amp;$E2101&amp;"|"&amp;$F2101&amp;"|"&amp;$L2101&amp;"|"&amp;$P2101&amp;"|"&amp;TEXT($H2101,"yyyy-mm-dd"))</f>
        <v/>
      </c>
      <c r="T2101" s="1" t="str">
        <f aca="false">IF($S2101="","",IF(COUNTIF($S$2:$S$2991,$S2101)&gt;1,"DUPLICATE","OK"))</f>
        <v/>
      </c>
      <c r="U2101" s="0" t="str">
        <f aca="false">IF($L2101="","",IFERROR(VLOOKUP(--$L2101,MM_Income!$Z$5:$AC$204,3,FALSE()),"UNMAPPED"))</f>
        <v/>
      </c>
    </row>
    <row r="2102" customFormat="false" ht="13.5" hidden="false" customHeight="false" outlineLevel="0" collapsed="false">
      <c r="A2102" s="1" t="str">
        <f aca="false">IF($C2102="","",Controls!$B$7)</f>
        <v/>
      </c>
      <c r="B2102" s="1" t="str">
        <f aca="false">IF($H2102="","",YEAR($H2102)&amp;"-Q"&amp;ROUNDUP(MONTH($H2102)/3,0))</f>
        <v/>
      </c>
      <c r="S2102" s="1" t="str">
        <f aca="false">IF($C2102="","",$C2102&amp;"|"&amp;$E2102&amp;"|"&amp;$F2102&amp;"|"&amp;$L2102&amp;"|"&amp;$P2102&amp;"|"&amp;TEXT($H2102,"yyyy-mm-dd"))</f>
        <v/>
      </c>
      <c r="T2102" s="1" t="str">
        <f aca="false">IF($S2102="","",IF(COUNTIF($S$2:$S$2991,$S2102)&gt;1,"DUPLICATE","OK"))</f>
        <v/>
      </c>
      <c r="U2102" s="0" t="str">
        <f aca="false">IF($L2102="","",IFERROR(VLOOKUP(--$L2102,MM_Income!$Z$5:$AC$204,3,FALSE()),"UNMAPPED"))</f>
        <v/>
      </c>
    </row>
    <row r="2103" customFormat="false" ht="13.5" hidden="false" customHeight="false" outlineLevel="0" collapsed="false">
      <c r="A2103" s="1" t="str">
        <f aca="false">IF($C2103="","",Controls!$B$7)</f>
        <v/>
      </c>
      <c r="B2103" s="1" t="str">
        <f aca="false">IF($H2103="","",YEAR($H2103)&amp;"-Q"&amp;ROUNDUP(MONTH($H2103)/3,0))</f>
        <v/>
      </c>
      <c r="S2103" s="1" t="str">
        <f aca="false">IF($C2103="","",$C2103&amp;"|"&amp;$E2103&amp;"|"&amp;$F2103&amp;"|"&amp;$L2103&amp;"|"&amp;$P2103&amp;"|"&amp;TEXT($H2103,"yyyy-mm-dd"))</f>
        <v/>
      </c>
      <c r="T2103" s="1" t="str">
        <f aca="false">IF($S2103="","",IF(COUNTIF($S$2:$S$2991,$S2103)&gt;1,"DUPLICATE","OK"))</f>
        <v/>
      </c>
      <c r="U2103" s="0" t="str">
        <f aca="false">IF($L2103="","",IFERROR(VLOOKUP(--$L2103,MM_Income!$Z$5:$AC$204,3,FALSE()),"UNMAPPED"))</f>
        <v/>
      </c>
    </row>
    <row r="2104" customFormat="false" ht="13.5" hidden="false" customHeight="false" outlineLevel="0" collapsed="false">
      <c r="A2104" s="1" t="str">
        <f aca="false">IF($C2104="","",Controls!$B$7)</f>
        <v/>
      </c>
      <c r="B2104" s="1" t="str">
        <f aca="false">IF($H2104="","",YEAR($H2104)&amp;"-Q"&amp;ROUNDUP(MONTH($H2104)/3,0))</f>
        <v/>
      </c>
      <c r="S2104" s="1" t="str">
        <f aca="false">IF($C2104="","",$C2104&amp;"|"&amp;$E2104&amp;"|"&amp;$F2104&amp;"|"&amp;$L2104&amp;"|"&amp;$P2104&amp;"|"&amp;TEXT($H2104,"yyyy-mm-dd"))</f>
        <v/>
      </c>
      <c r="T2104" s="1" t="str">
        <f aca="false">IF($S2104="","",IF(COUNTIF($S$2:$S$2991,$S2104)&gt;1,"DUPLICATE","OK"))</f>
        <v/>
      </c>
      <c r="U2104" s="0" t="str">
        <f aca="false">IF($L2104="","",IFERROR(VLOOKUP(--$L2104,MM_Income!$Z$5:$AC$204,3,FALSE()),"UNMAPPED"))</f>
        <v/>
      </c>
    </row>
    <row r="2105" customFormat="false" ht="13.5" hidden="false" customHeight="false" outlineLevel="0" collapsed="false">
      <c r="A2105" s="1" t="str">
        <f aca="false">IF($C2105="","",Controls!$B$7)</f>
        <v/>
      </c>
      <c r="B2105" s="1" t="str">
        <f aca="false">IF($H2105="","",YEAR($H2105)&amp;"-Q"&amp;ROUNDUP(MONTH($H2105)/3,0))</f>
        <v/>
      </c>
      <c r="S2105" s="1" t="str">
        <f aca="false">IF($C2105="","",$C2105&amp;"|"&amp;$E2105&amp;"|"&amp;$F2105&amp;"|"&amp;$L2105&amp;"|"&amp;$P2105&amp;"|"&amp;TEXT($H2105,"yyyy-mm-dd"))</f>
        <v/>
      </c>
      <c r="T2105" s="1" t="str">
        <f aca="false">IF($S2105="","",IF(COUNTIF($S$2:$S$2991,$S2105)&gt;1,"DUPLICATE","OK"))</f>
        <v/>
      </c>
      <c r="U2105" s="0" t="str">
        <f aca="false">IF($L2105="","",IFERROR(VLOOKUP(--$L2105,MM_Income!$Z$5:$AC$204,3,FALSE()),"UNMAPPED"))</f>
        <v/>
      </c>
    </row>
    <row r="2106" customFormat="false" ht="13.5" hidden="false" customHeight="false" outlineLevel="0" collapsed="false">
      <c r="A2106" s="1" t="str">
        <f aca="false">IF($C2106="","",Controls!$B$7)</f>
        <v/>
      </c>
      <c r="B2106" s="1" t="str">
        <f aca="false">IF($H2106="","",YEAR($H2106)&amp;"-Q"&amp;ROUNDUP(MONTH($H2106)/3,0))</f>
        <v/>
      </c>
      <c r="S2106" s="1" t="str">
        <f aca="false">IF($C2106="","",$C2106&amp;"|"&amp;$E2106&amp;"|"&amp;$F2106&amp;"|"&amp;$L2106&amp;"|"&amp;$P2106&amp;"|"&amp;TEXT($H2106,"yyyy-mm-dd"))</f>
        <v/>
      </c>
      <c r="T2106" s="1" t="str">
        <f aca="false">IF($S2106="","",IF(COUNTIF($S$2:$S$2991,$S2106)&gt;1,"DUPLICATE","OK"))</f>
        <v/>
      </c>
      <c r="U2106" s="0" t="str">
        <f aca="false">IF($L2106="","",IFERROR(VLOOKUP(--$L2106,MM_Income!$Z$5:$AC$204,3,FALSE()),"UNMAPPED"))</f>
        <v/>
      </c>
    </row>
    <row r="2107" customFormat="false" ht="13.5" hidden="false" customHeight="false" outlineLevel="0" collapsed="false">
      <c r="A2107" s="1" t="str">
        <f aca="false">IF($C2107="","",Controls!$B$7)</f>
        <v/>
      </c>
      <c r="B2107" s="1" t="str">
        <f aca="false">IF($H2107="","",YEAR($H2107)&amp;"-Q"&amp;ROUNDUP(MONTH($H2107)/3,0))</f>
        <v/>
      </c>
      <c r="S2107" s="1" t="str">
        <f aca="false">IF($C2107="","",$C2107&amp;"|"&amp;$E2107&amp;"|"&amp;$F2107&amp;"|"&amp;$L2107&amp;"|"&amp;$P2107&amp;"|"&amp;TEXT($H2107,"yyyy-mm-dd"))</f>
        <v/>
      </c>
      <c r="T2107" s="1" t="str">
        <f aca="false">IF($S2107="","",IF(COUNTIF($S$2:$S$2991,$S2107)&gt;1,"DUPLICATE","OK"))</f>
        <v/>
      </c>
      <c r="U2107" s="0" t="str">
        <f aca="false">IF($L2107="","",IFERROR(VLOOKUP(--$L2107,MM_Income!$Z$5:$AC$204,3,FALSE()),"UNMAPPED"))</f>
        <v/>
      </c>
    </row>
    <row r="2108" customFormat="false" ht="13.5" hidden="false" customHeight="false" outlineLevel="0" collapsed="false">
      <c r="A2108" s="1" t="str">
        <f aca="false">IF($C2108="","",Controls!$B$7)</f>
        <v/>
      </c>
      <c r="B2108" s="1" t="str">
        <f aca="false">IF($H2108="","",YEAR($H2108)&amp;"-Q"&amp;ROUNDUP(MONTH($H2108)/3,0))</f>
        <v/>
      </c>
      <c r="S2108" s="1" t="str">
        <f aca="false">IF($C2108="","",$C2108&amp;"|"&amp;$E2108&amp;"|"&amp;$F2108&amp;"|"&amp;$L2108&amp;"|"&amp;$P2108&amp;"|"&amp;TEXT($H2108,"yyyy-mm-dd"))</f>
        <v/>
      </c>
      <c r="T2108" s="1" t="str">
        <f aca="false">IF($S2108="","",IF(COUNTIF($S$2:$S$2991,$S2108)&gt;1,"DUPLICATE","OK"))</f>
        <v/>
      </c>
      <c r="U2108" s="0" t="str">
        <f aca="false">IF($L2108="","",IFERROR(VLOOKUP(--$L2108,MM_Income!$Z$5:$AC$204,3,FALSE()),"UNMAPPED"))</f>
        <v/>
      </c>
    </row>
    <row r="2109" customFormat="false" ht="13.5" hidden="false" customHeight="false" outlineLevel="0" collapsed="false">
      <c r="A2109" s="1" t="str">
        <f aca="false">IF($C2109="","",Controls!$B$7)</f>
        <v/>
      </c>
      <c r="B2109" s="1" t="str">
        <f aca="false">IF($H2109="","",YEAR($H2109)&amp;"-Q"&amp;ROUNDUP(MONTH($H2109)/3,0))</f>
        <v/>
      </c>
      <c r="S2109" s="1" t="str">
        <f aca="false">IF($C2109="","",$C2109&amp;"|"&amp;$E2109&amp;"|"&amp;$F2109&amp;"|"&amp;$L2109&amp;"|"&amp;$P2109&amp;"|"&amp;TEXT($H2109,"yyyy-mm-dd"))</f>
        <v/>
      </c>
      <c r="T2109" s="1" t="str">
        <f aca="false">IF($S2109="","",IF(COUNTIF($S$2:$S$2991,$S2109)&gt;1,"DUPLICATE","OK"))</f>
        <v/>
      </c>
      <c r="U2109" s="0" t="str">
        <f aca="false">IF($L2109="","",IFERROR(VLOOKUP(--$L2109,MM_Income!$Z$5:$AC$204,3,FALSE()),"UNMAPPED"))</f>
        <v/>
      </c>
    </row>
    <row r="2110" customFormat="false" ht="13.5" hidden="false" customHeight="false" outlineLevel="0" collapsed="false">
      <c r="A2110" s="1" t="str">
        <f aca="false">IF($C2110="","",Controls!$B$7)</f>
        <v/>
      </c>
      <c r="B2110" s="1" t="str">
        <f aca="false">IF($H2110="","",YEAR($H2110)&amp;"-Q"&amp;ROUNDUP(MONTH($H2110)/3,0))</f>
        <v/>
      </c>
      <c r="S2110" s="1" t="str">
        <f aca="false">IF($C2110="","",$C2110&amp;"|"&amp;$E2110&amp;"|"&amp;$F2110&amp;"|"&amp;$L2110&amp;"|"&amp;$P2110&amp;"|"&amp;TEXT($H2110,"yyyy-mm-dd"))</f>
        <v/>
      </c>
      <c r="T2110" s="1" t="str">
        <f aca="false">IF($S2110="","",IF(COUNTIF($S$2:$S$2991,$S2110)&gt;1,"DUPLICATE","OK"))</f>
        <v/>
      </c>
      <c r="U2110" s="0" t="str">
        <f aca="false">IF($L2110="","",IFERROR(VLOOKUP(--$L2110,MM_Income!$Z$5:$AC$204,3,FALSE()),"UNMAPPED"))</f>
        <v/>
      </c>
    </row>
    <row r="2111" customFormat="false" ht="13.5" hidden="false" customHeight="false" outlineLevel="0" collapsed="false">
      <c r="A2111" s="1" t="str">
        <f aca="false">IF($C2111="","",Controls!$B$7)</f>
        <v/>
      </c>
      <c r="B2111" s="1" t="str">
        <f aca="false">IF($H2111="","",YEAR($H2111)&amp;"-Q"&amp;ROUNDUP(MONTH($H2111)/3,0))</f>
        <v/>
      </c>
      <c r="S2111" s="1" t="str">
        <f aca="false">IF($C2111="","",$C2111&amp;"|"&amp;$E2111&amp;"|"&amp;$F2111&amp;"|"&amp;$L2111&amp;"|"&amp;$P2111&amp;"|"&amp;TEXT($H2111,"yyyy-mm-dd"))</f>
        <v/>
      </c>
      <c r="T2111" s="1" t="str">
        <f aca="false">IF($S2111="","",IF(COUNTIF($S$2:$S$2991,$S2111)&gt;1,"DUPLICATE","OK"))</f>
        <v/>
      </c>
      <c r="U2111" s="0" t="str">
        <f aca="false">IF($L2111="","",IFERROR(VLOOKUP(--$L2111,MM_Income!$Z$5:$AC$204,3,FALSE()),"UNMAPPED"))</f>
        <v/>
      </c>
    </row>
    <row r="2112" customFormat="false" ht="13.5" hidden="false" customHeight="false" outlineLevel="0" collapsed="false">
      <c r="A2112" s="1" t="str">
        <f aca="false">IF($C2112="","",Controls!$B$7)</f>
        <v/>
      </c>
      <c r="B2112" s="1" t="str">
        <f aca="false">IF($H2112="","",YEAR($H2112)&amp;"-Q"&amp;ROUNDUP(MONTH($H2112)/3,0))</f>
        <v/>
      </c>
      <c r="S2112" s="1" t="str">
        <f aca="false">IF($C2112="","",$C2112&amp;"|"&amp;$E2112&amp;"|"&amp;$F2112&amp;"|"&amp;$L2112&amp;"|"&amp;$P2112&amp;"|"&amp;TEXT($H2112,"yyyy-mm-dd"))</f>
        <v/>
      </c>
      <c r="T2112" s="1" t="str">
        <f aca="false">IF($S2112="","",IF(COUNTIF($S$2:$S$2991,$S2112)&gt;1,"DUPLICATE","OK"))</f>
        <v/>
      </c>
      <c r="U2112" s="0" t="str">
        <f aca="false">IF($L2112="","",IFERROR(VLOOKUP(--$L2112,MM_Income!$Z$5:$AC$204,3,FALSE()),"UNMAPPED"))</f>
        <v/>
      </c>
    </row>
    <row r="2113" customFormat="false" ht="13.5" hidden="false" customHeight="false" outlineLevel="0" collapsed="false">
      <c r="A2113" s="1" t="str">
        <f aca="false">IF($C2113="","",Controls!$B$7)</f>
        <v/>
      </c>
      <c r="B2113" s="1" t="str">
        <f aca="false">IF($H2113="","",YEAR($H2113)&amp;"-Q"&amp;ROUNDUP(MONTH($H2113)/3,0))</f>
        <v/>
      </c>
      <c r="S2113" s="1" t="str">
        <f aca="false">IF($C2113="","",$C2113&amp;"|"&amp;$E2113&amp;"|"&amp;$F2113&amp;"|"&amp;$L2113&amp;"|"&amp;$P2113&amp;"|"&amp;TEXT($H2113,"yyyy-mm-dd"))</f>
        <v/>
      </c>
      <c r="T2113" s="1" t="str">
        <f aca="false">IF($S2113="","",IF(COUNTIF($S$2:$S$2991,$S2113)&gt;1,"DUPLICATE","OK"))</f>
        <v/>
      </c>
      <c r="U2113" s="0" t="str">
        <f aca="false">IF($L2113="","",IFERROR(VLOOKUP(--$L2113,MM_Income!$Z$5:$AC$204,3,FALSE()),"UNMAPPED"))</f>
        <v/>
      </c>
    </row>
    <row r="2114" customFormat="false" ht="13.5" hidden="false" customHeight="false" outlineLevel="0" collapsed="false">
      <c r="A2114" s="1" t="str">
        <f aca="false">IF($C2114="","",Controls!$B$7)</f>
        <v/>
      </c>
      <c r="B2114" s="1" t="str">
        <f aca="false">IF($H2114="","",YEAR($H2114)&amp;"-Q"&amp;ROUNDUP(MONTH($H2114)/3,0))</f>
        <v/>
      </c>
      <c r="S2114" s="1" t="str">
        <f aca="false">IF($C2114="","",$C2114&amp;"|"&amp;$E2114&amp;"|"&amp;$F2114&amp;"|"&amp;$L2114&amp;"|"&amp;$P2114&amp;"|"&amp;TEXT($H2114,"yyyy-mm-dd"))</f>
        <v/>
      </c>
      <c r="T2114" s="1" t="str">
        <f aca="false">IF($S2114="","",IF(COUNTIF($S$2:$S$2991,$S2114)&gt;1,"DUPLICATE","OK"))</f>
        <v/>
      </c>
      <c r="U2114" s="0" t="str">
        <f aca="false">IF($L2114="","",IFERROR(VLOOKUP(--$L2114,MM_Income!$Z$5:$AC$204,3,FALSE()),"UNMAPPED"))</f>
        <v/>
      </c>
    </row>
    <row r="2115" customFormat="false" ht="13.5" hidden="false" customHeight="false" outlineLevel="0" collapsed="false">
      <c r="A2115" s="1" t="str">
        <f aca="false">IF($C2115="","",Controls!$B$7)</f>
        <v/>
      </c>
      <c r="B2115" s="1" t="str">
        <f aca="false">IF($H2115="","",YEAR($H2115)&amp;"-Q"&amp;ROUNDUP(MONTH($H2115)/3,0))</f>
        <v/>
      </c>
      <c r="S2115" s="1" t="str">
        <f aca="false">IF($C2115="","",$C2115&amp;"|"&amp;$E2115&amp;"|"&amp;$F2115&amp;"|"&amp;$L2115&amp;"|"&amp;$P2115&amp;"|"&amp;TEXT($H2115,"yyyy-mm-dd"))</f>
        <v/>
      </c>
      <c r="T2115" s="1" t="str">
        <f aca="false">IF($S2115="","",IF(COUNTIF($S$2:$S$2991,$S2115)&gt;1,"DUPLICATE","OK"))</f>
        <v/>
      </c>
      <c r="U2115" s="0" t="str">
        <f aca="false">IF($L2115="","",IFERROR(VLOOKUP(--$L2115,MM_Income!$Z$5:$AC$204,3,FALSE()),"UNMAPPED"))</f>
        <v/>
      </c>
    </row>
    <row r="2116" customFormat="false" ht="13.5" hidden="false" customHeight="false" outlineLevel="0" collapsed="false">
      <c r="A2116" s="1" t="str">
        <f aca="false">IF($C2116="","",Controls!$B$7)</f>
        <v/>
      </c>
      <c r="B2116" s="1" t="str">
        <f aca="false">IF($H2116="","",YEAR($H2116)&amp;"-Q"&amp;ROUNDUP(MONTH($H2116)/3,0))</f>
        <v/>
      </c>
      <c r="S2116" s="1" t="str">
        <f aca="false">IF($C2116="","",$C2116&amp;"|"&amp;$E2116&amp;"|"&amp;$F2116&amp;"|"&amp;$L2116&amp;"|"&amp;$P2116&amp;"|"&amp;TEXT($H2116,"yyyy-mm-dd"))</f>
        <v/>
      </c>
      <c r="T2116" s="1" t="str">
        <f aca="false">IF($S2116="","",IF(COUNTIF($S$2:$S$2991,$S2116)&gt;1,"DUPLICATE","OK"))</f>
        <v/>
      </c>
      <c r="U2116" s="0" t="str">
        <f aca="false">IF($L2116="","",IFERROR(VLOOKUP(--$L2116,MM_Income!$Z$5:$AC$204,3,FALSE()),"UNMAPPED"))</f>
        <v/>
      </c>
    </row>
    <row r="2117" customFormat="false" ht="13.5" hidden="false" customHeight="false" outlineLevel="0" collapsed="false">
      <c r="A2117" s="1" t="str">
        <f aca="false">IF($C2117="","",Controls!$B$7)</f>
        <v/>
      </c>
      <c r="B2117" s="1" t="str">
        <f aca="false">IF($H2117="","",YEAR($H2117)&amp;"-Q"&amp;ROUNDUP(MONTH($H2117)/3,0))</f>
        <v/>
      </c>
      <c r="S2117" s="1" t="str">
        <f aca="false">IF($C2117="","",$C2117&amp;"|"&amp;$E2117&amp;"|"&amp;$F2117&amp;"|"&amp;$L2117&amp;"|"&amp;$P2117&amp;"|"&amp;TEXT($H2117,"yyyy-mm-dd"))</f>
        <v/>
      </c>
      <c r="T2117" s="1" t="str">
        <f aca="false">IF($S2117="","",IF(COUNTIF($S$2:$S$2991,$S2117)&gt;1,"DUPLICATE","OK"))</f>
        <v/>
      </c>
      <c r="U2117" s="0" t="str">
        <f aca="false">IF($L2117="","",IFERROR(VLOOKUP(--$L2117,MM_Income!$Z$5:$AC$204,3,FALSE()),"UNMAPPED"))</f>
        <v/>
      </c>
    </row>
    <row r="2118" customFormat="false" ht="13.5" hidden="false" customHeight="false" outlineLevel="0" collapsed="false">
      <c r="A2118" s="1" t="str">
        <f aca="false">IF($C2118="","",Controls!$B$7)</f>
        <v/>
      </c>
      <c r="B2118" s="1" t="str">
        <f aca="false">IF($H2118="","",YEAR($H2118)&amp;"-Q"&amp;ROUNDUP(MONTH($H2118)/3,0))</f>
        <v/>
      </c>
      <c r="S2118" s="1" t="str">
        <f aca="false">IF($C2118="","",$C2118&amp;"|"&amp;$E2118&amp;"|"&amp;$F2118&amp;"|"&amp;$L2118&amp;"|"&amp;$P2118&amp;"|"&amp;TEXT($H2118,"yyyy-mm-dd"))</f>
        <v/>
      </c>
      <c r="T2118" s="1" t="str">
        <f aca="false">IF($S2118="","",IF(COUNTIF($S$2:$S$2991,$S2118)&gt;1,"DUPLICATE","OK"))</f>
        <v/>
      </c>
      <c r="U2118" s="0" t="str">
        <f aca="false">IF($L2118="","",IFERROR(VLOOKUP(--$L2118,MM_Income!$Z$5:$AC$204,3,FALSE()),"UNMAPPED"))</f>
        <v/>
      </c>
    </row>
    <row r="2119" customFormat="false" ht="13.5" hidden="false" customHeight="false" outlineLevel="0" collapsed="false">
      <c r="A2119" s="1" t="str">
        <f aca="false">IF($C2119="","",Controls!$B$7)</f>
        <v/>
      </c>
      <c r="B2119" s="1" t="str">
        <f aca="false">IF($H2119="","",YEAR($H2119)&amp;"-Q"&amp;ROUNDUP(MONTH($H2119)/3,0))</f>
        <v/>
      </c>
      <c r="S2119" s="1" t="str">
        <f aca="false">IF($C2119="","",$C2119&amp;"|"&amp;$E2119&amp;"|"&amp;$F2119&amp;"|"&amp;$L2119&amp;"|"&amp;$P2119&amp;"|"&amp;TEXT($H2119,"yyyy-mm-dd"))</f>
        <v/>
      </c>
      <c r="T2119" s="1" t="str">
        <f aca="false">IF($S2119="","",IF(COUNTIF($S$2:$S$2991,$S2119)&gt;1,"DUPLICATE","OK"))</f>
        <v/>
      </c>
      <c r="U2119" s="0" t="str">
        <f aca="false">IF($L2119="","",IFERROR(VLOOKUP(--$L2119,MM_Income!$Z$5:$AC$204,3,FALSE()),"UNMAPPED"))</f>
        <v/>
      </c>
    </row>
    <row r="2120" customFormat="false" ht="13.5" hidden="false" customHeight="false" outlineLevel="0" collapsed="false">
      <c r="A2120" s="1" t="str">
        <f aca="false">IF($C2120="","",Controls!$B$7)</f>
        <v/>
      </c>
      <c r="B2120" s="1" t="str">
        <f aca="false">IF($H2120="","",YEAR($H2120)&amp;"-Q"&amp;ROUNDUP(MONTH($H2120)/3,0))</f>
        <v/>
      </c>
      <c r="S2120" s="1" t="str">
        <f aca="false">IF($C2120="","",$C2120&amp;"|"&amp;$E2120&amp;"|"&amp;$F2120&amp;"|"&amp;$L2120&amp;"|"&amp;$P2120&amp;"|"&amp;TEXT($H2120,"yyyy-mm-dd"))</f>
        <v/>
      </c>
      <c r="T2120" s="1" t="str">
        <f aca="false">IF($S2120="","",IF(COUNTIF($S$2:$S$2991,$S2120)&gt;1,"DUPLICATE","OK"))</f>
        <v/>
      </c>
      <c r="U2120" s="0" t="str">
        <f aca="false">IF($L2120="","",IFERROR(VLOOKUP(--$L2120,MM_Income!$Z$5:$AC$204,3,FALSE()),"UNMAPPED"))</f>
        <v/>
      </c>
    </row>
    <row r="2121" customFormat="false" ht="13.5" hidden="false" customHeight="false" outlineLevel="0" collapsed="false">
      <c r="A2121" s="1" t="str">
        <f aca="false">IF($C2121="","",Controls!$B$7)</f>
        <v/>
      </c>
      <c r="B2121" s="1" t="str">
        <f aca="false">IF($H2121="","",YEAR($H2121)&amp;"-Q"&amp;ROUNDUP(MONTH($H2121)/3,0))</f>
        <v/>
      </c>
      <c r="S2121" s="1" t="str">
        <f aca="false">IF($C2121="","",$C2121&amp;"|"&amp;$E2121&amp;"|"&amp;$F2121&amp;"|"&amp;$L2121&amp;"|"&amp;$P2121&amp;"|"&amp;TEXT($H2121,"yyyy-mm-dd"))</f>
        <v/>
      </c>
      <c r="T2121" s="1" t="str">
        <f aca="false">IF($S2121="","",IF(COUNTIF($S$2:$S$2991,$S2121)&gt;1,"DUPLICATE","OK"))</f>
        <v/>
      </c>
      <c r="U2121" s="0" t="str">
        <f aca="false">IF($L2121="","",IFERROR(VLOOKUP(--$L2121,MM_Income!$Z$5:$AC$204,3,FALSE()),"UNMAPPED"))</f>
        <v/>
      </c>
    </row>
    <row r="2122" customFormat="false" ht="13.5" hidden="false" customHeight="false" outlineLevel="0" collapsed="false">
      <c r="A2122" s="1" t="str">
        <f aca="false">IF($C2122="","",Controls!$B$7)</f>
        <v/>
      </c>
      <c r="B2122" s="1" t="str">
        <f aca="false">IF($H2122="","",YEAR($H2122)&amp;"-Q"&amp;ROUNDUP(MONTH($H2122)/3,0))</f>
        <v/>
      </c>
      <c r="S2122" s="1" t="str">
        <f aca="false">IF($C2122="","",$C2122&amp;"|"&amp;$E2122&amp;"|"&amp;$F2122&amp;"|"&amp;$L2122&amp;"|"&amp;$P2122&amp;"|"&amp;TEXT($H2122,"yyyy-mm-dd"))</f>
        <v/>
      </c>
      <c r="T2122" s="1" t="str">
        <f aca="false">IF($S2122="","",IF(COUNTIF($S$2:$S$2991,$S2122)&gt;1,"DUPLICATE","OK"))</f>
        <v/>
      </c>
      <c r="U2122" s="0" t="str">
        <f aca="false">IF($L2122="","",IFERROR(VLOOKUP(--$L2122,MM_Income!$Z$5:$AC$204,3,FALSE()),"UNMAPPED"))</f>
        <v/>
      </c>
    </row>
    <row r="2123" customFormat="false" ht="13.5" hidden="false" customHeight="false" outlineLevel="0" collapsed="false">
      <c r="A2123" s="1" t="str">
        <f aca="false">IF($C2123="","",Controls!$B$7)</f>
        <v/>
      </c>
      <c r="B2123" s="1" t="str">
        <f aca="false">IF($H2123="","",YEAR($H2123)&amp;"-Q"&amp;ROUNDUP(MONTH($H2123)/3,0))</f>
        <v/>
      </c>
      <c r="S2123" s="1" t="str">
        <f aca="false">IF($C2123="","",$C2123&amp;"|"&amp;$E2123&amp;"|"&amp;$F2123&amp;"|"&amp;$L2123&amp;"|"&amp;$P2123&amp;"|"&amp;TEXT($H2123,"yyyy-mm-dd"))</f>
        <v/>
      </c>
      <c r="T2123" s="1" t="str">
        <f aca="false">IF($S2123="","",IF(COUNTIF($S$2:$S$2991,$S2123)&gt;1,"DUPLICATE","OK"))</f>
        <v/>
      </c>
      <c r="U2123" s="0" t="str">
        <f aca="false">IF($L2123="","",IFERROR(VLOOKUP(--$L2123,MM_Income!$Z$5:$AC$204,3,FALSE()),"UNMAPPED"))</f>
        <v/>
      </c>
    </row>
    <row r="2124" customFormat="false" ht="13.5" hidden="false" customHeight="false" outlineLevel="0" collapsed="false">
      <c r="A2124" s="1" t="str">
        <f aca="false">IF($C2124="","",Controls!$B$7)</f>
        <v/>
      </c>
      <c r="B2124" s="1" t="str">
        <f aca="false">IF($H2124="","",YEAR($H2124)&amp;"-Q"&amp;ROUNDUP(MONTH($H2124)/3,0))</f>
        <v/>
      </c>
      <c r="S2124" s="1" t="str">
        <f aca="false">IF($C2124="","",$C2124&amp;"|"&amp;$E2124&amp;"|"&amp;$F2124&amp;"|"&amp;$L2124&amp;"|"&amp;$P2124&amp;"|"&amp;TEXT($H2124,"yyyy-mm-dd"))</f>
        <v/>
      </c>
      <c r="T2124" s="1" t="str">
        <f aca="false">IF($S2124="","",IF(COUNTIF($S$2:$S$2991,$S2124)&gt;1,"DUPLICATE","OK"))</f>
        <v/>
      </c>
      <c r="U2124" s="0" t="str">
        <f aca="false">IF($L2124="","",IFERROR(VLOOKUP(--$L2124,MM_Income!$Z$5:$AC$204,3,FALSE()),"UNMAPPED"))</f>
        <v/>
      </c>
    </row>
    <row r="2125" customFormat="false" ht="13.5" hidden="false" customHeight="false" outlineLevel="0" collapsed="false">
      <c r="A2125" s="1" t="str">
        <f aca="false">IF($C2125="","",Controls!$B$7)</f>
        <v/>
      </c>
      <c r="B2125" s="1" t="str">
        <f aca="false">IF($H2125="","",YEAR($H2125)&amp;"-Q"&amp;ROUNDUP(MONTH($H2125)/3,0))</f>
        <v/>
      </c>
      <c r="S2125" s="1" t="str">
        <f aca="false">IF($C2125="","",$C2125&amp;"|"&amp;$E2125&amp;"|"&amp;$F2125&amp;"|"&amp;$L2125&amp;"|"&amp;$P2125&amp;"|"&amp;TEXT($H2125,"yyyy-mm-dd"))</f>
        <v/>
      </c>
      <c r="T2125" s="1" t="str">
        <f aca="false">IF($S2125="","",IF(COUNTIF($S$2:$S$2991,$S2125)&gt;1,"DUPLICATE","OK"))</f>
        <v/>
      </c>
      <c r="U2125" s="0" t="str">
        <f aca="false">IF($L2125="","",IFERROR(VLOOKUP(--$L2125,MM_Income!$Z$5:$AC$204,3,FALSE()),"UNMAPPED"))</f>
        <v/>
      </c>
    </row>
    <row r="2126" customFormat="false" ht="13.5" hidden="false" customHeight="false" outlineLevel="0" collapsed="false">
      <c r="A2126" s="1" t="str">
        <f aca="false">IF($C2126="","",Controls!$B$7)</f>
        <v/>
      </c>
      <c r="B2126" s="1" t="str">
        <f aca="false">IF($H2126="","",YEAR($H2126)&amp;"-Q"&amp;ROUNDUP(MONTH($H2126)/3,0))</f>
        <v/>
      </c>
      <c r="S2126" s="1" t="str">
        <f aca="false">IF($C2126="","",$C2126&amp;"|"&amp;$E2126&amp;"|"&amp;$F2126&amp;"|"&amp;$L2126&amp;"|"&amp;$P2126&amp;"|"&amp;TEXT($H2126,"yyyy-mm-dd"))</f>
        <v/>
      </c>
      <c r="T2126" s="1" t="str">
        <f aca="false">IF($S2126="","",IF(COUNTIF($S$2:$S$2991,$S2126)&gt;1,"DUPLICATE","OK"))</f>
        <v/>
      </c>
      <c r="U2126" s="0" t="str">
        <f aca="false">IF($L2126="","",IFERROR(VLOOKUP(--$L2126,MM_Income!$Z$5:$AC$204,3,FALSE()),"UNMAPPED"))</f>
        <v/>
      </c>
    </row>
    <row r="2127" customFormat="false" ht="13.5" hidden="false" customHeight="false" outlineLevel="0" collapsed="false">
      <c r="A2127" s="1" t="str">
        <f aca="false">IF($C2127="","",Controls!$B$7)</f>
        <v/>
      </c>
      <c r="B2127" s="1" t="str">
        <f aca="false">IF($H2127="","",YEAR($H2127)&amp;"-Q"&amp;ROUNDUP(MONTH($H2127)/3,0))</f>
        <v/>
      </c>
      <c r="S2127" s="1" t="str">
        <f aca="false">IF($C2127="","",$C2127&amp;"|"&amp;$E2127&amp;"|"&amp;$F2127&amp;"|"&amp;$L2127&amp;"|"&amp;$P2127&amp;"|"&amp;TEXT($H2127,"yyyy-mm-dd"))</f>
        <v/>
      </c>
      <c r="T2127" s="1" t="str">
        <f aca="false">IF($S2127="","",IF(COUNTIF($S$2:$S$2991,$S2127)&gt;1,"DUPLICATE","OK"))</f>
        <v/>
      </c>
      <c r="U2127" s="0" t="str">
        <f aca="false">IF($L2127="","",IFERROR(VLOOKUP(--$L2127,MM_Income!$Z$5:$AC$204,3,FALSE()),"UNMAPPED"))</f>
        <v/>
      </c>
    </row>
    <row r="2128" customFormat="false" ht="13.5" hidden="false" customHeight="false" outlineLevel="0" collapsed="false">
      <c r="A2128" s="1" t="str">
        <f aca="false">IF($C2128="","",Controls!$B$7)</f>
        <v/>
      </c>
      <c r="B2128" s="1" t="str">
        <f aca="false">IF($H2128="","",YEAR($H2128)&amp;"-Q"&amp;ROUNDUP(MONTH($H2128)/3,0))</f>
        <v/>
      </c>
      <c r="S2128" s="1" t="str">
        <f aca="false">IF($C2128="","",$C2128&amp;"|"&amp;$E2128&amp;"|"&amp;$F2128&amp;"|"&amp;$L2128&amp;"|"&amp;$P2128&amp;"|"&amp;TEXT($H2128,"yyyy-mm-dd"))</f>
        <v/>
      </c>
      <c r="T2128" s="1" t="str">
        <f aca="false">IF($S2128="","",IF(COUNTIF($S$2:$S$2991,$S2128)&gt;1,"DUPLICATE","OK"))</f>
        <v/>
      </c>
      <c r="U2128" s="0" t="str">
        <f aca="false">IF($L2128="","",IFERROR(VLOOKUP(--$L2128,MM_Income!$Z$5:$AC$204,3,FALSE()),"UNMAPPED"))</f>
        <v/>
      </c>
    </row>
    <row r="2129" customFormat="false" ht="13.5" hidden="false" customHeight="false" outlineLevel="0" collapsed="false">
      <c r="A2129" s="1" t="str">
        <f aca="false">IF($C2129="","",Controls!$B$7)</f>
        <v/>
      </c>
      <c r="B2129" s="1" t="str">
        <f aca="false">IF($H2129="","",YEAR($H2129)&amp;"-Q"&amp;ROUNDUP(MONTH($H2129)/3,0))</f>
        <v/>
      </c>
      <c r="S2129" s="1" t="str">
        <f aca="false">IF($C2129="","",$C2129&amp;"|"&amp;$E2129&amp;"|"&amp;$F2129&amp;"|"&amp;$L2129&amp;"|"&amp;$P2129&amp;"|"&amp;TEXT($H2129,"yyyy-mm-dd"))</f>
        <v/>
      </c>
      <c r="T2129" s="1" t="str">
        <f aca="false">IF($S2129="","",IF(COUNTIF($S$2:$S$2991,$S2129)&gt;1,"DUPLICATE","OK"))</f>
        <v/>
      </c>
      <c r="U2129" s="0" t="str">
        <f aca="false">IF($L2129="","",IFERROR(VLOOKUP(--$L2129,MM_Income!$Z$5:$AC$204,3,FALSE()),"UNMAPPED"))</f>
        <v/>
      </c>
    </row>
    <row r="2130" customFormat="false" ht="13.5" hidden="false" customHeight="false" outlineLevel="0" collapsed="false">
      <c r="A2130" s="1" t="str">
        <f aca="false">IF($C2130="","",Controls!$B$7)</f>
        <v/>
      </c>
      <c r="B2130" s="1" t="str">
        <f aca="false">IF($H2130="","",YEAR($H2130)&amp;"-Q"&amp;ROUNDUP(MONTH($H2130)/3,0))</f>
        <v/>
      </c>
      <c r="S2130" s="1" t="str">
        <f aca="false">IF($C2130="","",$C2130&amp;"|"&amp;$E2130&amp;"|"&amp;$F2130&amp;"|"&amp;$L2130&amp;"|"&amp;$P2130&amp;"|"&amp;TEXT($H2130,"yyyy-mm-dd"))</f>
        <v/>
      </c>
      <c r="T2130" s="1" t="str">
        <f aca="false">IF($S2130="","",IF(COUNTIF($S$2:$S$2991,$S2130)&gt;1,"DUPLICATE","OK"))</f>
        <v/>
      </c>
      <c r="U2130" s="0" t="str">
        <f aca="false">IF($L2130="","",IFERROR(VLOOKUP(--$L2130,MM_Income!$Z$5:$AC$204,3,FALSE()),"UNMAPPED"))</f>
        <v/>
      </c>
    </row>
    <row r="2131" customFormat="false" ht="13.5" hidden="false" customHeight="false" outlineLevel="0" collapsed="false">
      <c r="A2131" s="1" t="str">
        <f aca="false">IF($C2131="","",Controls!$B$7)</f>
        <v/>
      </c>
      <c r="B2131" s="1" t="str">
        <f aca="false">IF($H2131="","",YEAR($H2131)&amp;"-Q"&amp;ROUNDUP(MONTH($H2131)/3,0))</f>
        <v/>
      </c>
      <c r="S2131" s="1" t="str">
        <f aca="false">IF($C2131="","",$C2131&amp;"|"&amp;$E2131&amp;"|"&amp;$F2131&amp;"|"&amp;$L2131&amp;"|"&amp;$P2131&amp;"|"&amp;TEXT($H2131,"yyyy-mm-dd"))</f>
        <v/>
      </c>
      <c r="T2131" s="1" t="str">
        <f aca="false">IF($S2131="","",IF(COUNTIF($S$2:$S$2991,$S2131)&gt;1,"DUPLICATE","OK"))</f>
        <v/>
      </c>
      <c r="U2131" s="0" t="str">
        <f aca="false">IF($L2131="","",IFERROR(VLOOKUP(--$L2131,MM_Income!$Z$5:$AC$204,3,FALSE()),"UNMAPPED"))</f>
        <v/>
      </c>
    </row>
    <row r="2132" customFormat="false" ht="13.5" hidden="false" customHeight="false" outlineLevel="0" collapsed="false">
      <c r="A2132" s="1" t="str">
        <f aca="false">IF($C2132="","",Controls!$B$7)</f>
        <v/>
      </c>
      <c r="B2132" s="1" t="str">
        <f aca="false">IF($H2132="","",YEAR($H2132)&amp;"-Q"&amp;ROUNDUP(MONTH($H2132)/3,0))</f>
        <v/>
      </c>
      <c r="S2132" s="1" t="str">
        <f aca="false">IF($C2132="","",$C2132&amp;"|"&amp;$E2132&amp;"|"&amp;$F2132&amp;"|"&amp;$L2132&amp;"|"&amp;$P2132&amp;"|"&amp;TEXT($H2132,"yyyy-mm-dd"))</f>
        <v/>
      </c>
      <c r="T2132" s="1" t="str">
        <f aca="false">IF($S2132="","",IF(COUNTIF($S$2:$S$2991,$S2132)&gt;1,"DUPLICATE","OK"))</f>
        <v/>
      </c>
      <c r="U2132" s="0" t="str">
        <f aca="false">IF($L2132="","",IFERROR(VLOOKUP(--$L2132,MM_Income!$Z$5:$AC$204,3,FALSE()),"UNMAPPED"))</f>
        <v/>
      </c>
    </row>
    <row r="2133" customFormat="false" ht="13.5" hidden="false" customHeight="false" outlineLevel="0" collapsed="false">
      <c r="A2133" s="1" t="str">
        <f aca="false">IF($C2133="","",Controls!$B$7)</f>
        <v/>
      </c>
      <c r="B2133" s="1" t="str">
        <f aca="false">IF($H2133="","",YEAR($H2133)&amp;"-Q"&amp;ROUNDUP(MONTH($H2133)/3,0))</f>
        <v/>
      </c>
      <c r="S2133" s="1" t="str">
        <f aca="false">IF($C2133="","",$C2133&amp;"|"&amp;$E2133&amp;"|"&amp;$F2133&amp;"|"&amp;$L2133&amp;"|"&amp;$P2133&amp;"|"&amp;TEXT($H2133,"yyyy-mm-dd"))</f>
        <v/>
      </c>
      <c r="T2133" s="1" t="str">
        <f aca="false">IF($S2133="","",IF(COUNTIF($S$2:$S$2991,$S2133)&gt;1,"DUPLICATE","OK"))</f>
        <v/>
      </c>
      <c r="U2133" s="0" t="str">
        <f aca="false">IF($L2133="","",IFERROR(VLOOKUP(--$L2133,MM_Income!$Z$5:$AC$204,3,FALSE()),"UNMAPPED"))</f>
        <v/>
      </c>
    </row>
    <row r="2134" customFormat="false" ht="13.5" hidden="false" customHeight="false" outlineLevel="0" collapsed="false">
      <c r="A2134" s="1" t="str">
        <f aca="false">IF($C2134="","",Controls!$B$7)</f>
        <v/>
      </c>
      <c r="B2134" s="1" t="str">
        <f aca="false">IF($H2134="","",YEAR($H2134)&amp;"-Q"&amp;ROUNDUP(MONTH($H2134)/3,0))</f>
        <v/>
      </c>
      <c r="S2134" s="1" t="str">
        <f aca="false">IF($C2134="","",$C2134&amp;"|"&amp;$E2134&amp;"|"&amp;$F2134&amp;"|"&amp;$L2134&amp;"|"&amp;$P2134&amp;"|"&amp;TEXT($H2134,"yyyy-mm-dd"))</f>
        <v/>
      </c>
      <c r="T2134" s="1" t="str">
        <f aca="false">IF($S2134="","",IF(COUNTIF($S$2:$S$2991,$S2134)&gt;1,"DUPLICATE","OK"))</f>
        <v/>
      </c>
      <c r="U2134" s="0" t="str">
        <f aca="false">IF($L2134="","",IFERROR(VLOOKUP(--$L2134,MM_Income!$Z$5:$AC$204,3,FALSE()),"UNMAPPED"))</f>
        <v/>
      </c>
    </row>
    <row r="2135" customFormat="false" ht="13.5" hidden="false" customHeight="false" outlineLevel="0" collapsed="false">
      <c r="A2135" s="1" t="str">
        <f aca="false">IF($C2135="","",Controls!$B$7)</f>
        <v/>
      </c>
      <c r="B2135" s="1" t="str">
        <f aca="false">IF($H2135="","",YEAR($H2135)&amp;"-Q"&amp;ROUNDUP(MONTH($H2135)/3,0))</f>
        <v/>
      </c>
      <c r="S2135" s="1" t="str">
        <f aca="false">IF($C2135="","",$C2135&amp;"|"&amp;$E2135&amp;"|"&amp;$F2135&amp;"|"&amp;$L2135&amp;"|"&amp;$P2135&amp;"|"&amp;TEXT($H2135,"yyyy-mm-dd"))</f>
        <v/>
      </c>
      <c r="T2135" s="1" t="str">
        <f aca="false">IF($S2135="","",IF(COUNTIF($S$2:$S$2991,$S2135)&gt;1,"DUPLICATE","OK"))</f>
        <v/>
      </c>
      <c r="U2135" s="0" t="str">
        <f aca="false">IF($L2135="","",IFERROR(VLOOKUP(--$L2135,MM_Income!$Z$5:$AC$204,3,FALSE()),"UNMAPPED"))</f>
        <v/>
      </c>
    </row>
    <row r="2136" customFormat="false" ht="13.5" hidden="false" customHeight="false" outlineLevel="0" collapsed="false">
      <c r="A2136" s="1" t="str">
        <f aca="false">IF($C2136="","",Controls!$B$7)</f>
        <v/>
      </c>
      <c r="B2136" s="1" t="str">
        <f aca="false">IF($H2136="","",YEAR($H2136)&amp;"-Q"&amp;ROUNDUP(MONTH($H2136)/3,0))</f>
        <v/>
      </c>
      <c r="S2136" s="1" t="str">
        <f aca="false">IF($C2136="","",$C2136&amp;"|"&amp;$E2136&amp;"|"&amp;$F2136&amp;"|"&amp;$L2136&amp;"|"&amp;$P2136&amp;"|"&amp;TEXT($H2136,"yyyy-mm-dd"))</f>
        <v/>
      </c>
      <c r="T2136" s="1" t="str">
        <f aca="false">IF($S2136="","",IF(COUNTIF($S$2:$S$2991,$S2136)&gt;1,"DUPLICATE","OK"))</f>
        <v/>
      </c>
      <c r="U2136" s="0" t="str">
        <f aca="false">IF($L2136="","",IFERROR(VLOOKUP(--$L2136,MM_Income!$Z$5:$AC$204,3,FALSE()),"UNMAPPED"))</f>
        <v/>
      </c>
    </row>
    <row r="2137" customFormat="false" ht="13.5" hidden="false" customHeight="false" outlineLevel="0" collapsed="false">
      <c r="A2137" s="1" t="str">
        <f aca="false">IF($C2137="","",Controls!$B$7)</f>
        <v/>
      </c>
      <c r="B2137" s="1" t="str">
        <f aca="false">IF($H2137="","",YEAR($H2137)&amp;"-Q"&amp;ROUNDUP(MONTH($H2137)/3,0))</f>
        <v/>
      </c>
      <c r="S2137" s="1" t="str">
        <f aca="false">IF($C2137="","",$C2137&amp;"|"&amp;$E2137&amp;"|"&amp;$F2137&amp;"|"&amp;$L2137&amp;"|"&amp;$P2137&amp;"|"&amp;TEXT($H2137,"yyyy-mm-dd"))</f>
        <v/>
      </c>
      <c r="T2137" s="1" t="str">
        <f aca="false">IF($S2137="","",IF(COUNTIF($S$2:$S$2991,$S2137)&gt;1,"DUPLICATE","OK"))</f>
        <v/>
      </c>
      <c r="U2137" s="0" t="str">
        <f aca="false">IF($L2137="","",IFERROR(VLOOKUP(--$L2137,MM_Income!$Z$5:$AC$204,3,FALSE()),"UNMAPPED"))</f>
        <v/>
      </c>
    </row>
    <row r="2138" customFormat="false" ht="13.5" hidden="false" customHeight="false" outlineLevel="0" collapsed="false">
      <c r="A2138" s="1" t="str">
        <f aca="false">IF($C2138="","",Controls!$B$7)</f>
        <v/>
      </c>
      <c r="B2138" s="1" t="str">
        <f aca="false">IF($H2138="","",YEAR($H2138)&amp;"-Q"&amp;ROUNDUP(MONTH($H2138)/3,0))</f>
        <v/>
      </c>
      <c r="S2138" s="1" t="str">
        <f aca="false">IF($C2138="","",$C2138&amp;"|"&amp;$E2138&amp;"|"&amp;$F2138&amp;"|"&amp;$L2138&amp;"|"&amp;$P2138&amp;"|"&amp;TEXT($H2138,"yyyy-mm-dd"))</f>
        <v/>
      </c>
      <c r="T2138" s="1" t="str">
        <f aca="false">IF($S2138="","",IF(COUNTIF($S$2:$S$2991,$S2138)&gt;1,"DUPLICATE","OK"))</f>
        <v/>
      </c>
      <c r="U2138" s="0" t="str">
        <f aca="false">IF($L2138="","",IFERROR(VLOOKUP(--$L2138,MM_Income!$Z$5:$AC$204,3,FALSE()),"UNMAPPED"))</f>
        <v/>
      </c>
    </row>
    <row r="2139" customFormat="false" ht="13.5" hidden="false" customHeight="false" outlineLevel="0" collapsed="false">
      <c r="A2139" s="1" t="str">
        <f aca="false">IF($C2139="","",Controls!$B$7)</f>
        <v/>
      </c>
      <c r="B2139" s="1" t="str">
        <f aca="false">IF($H2139="","",YEAR($H2139)&amp;"-Q"&amp;ROUNDUP(MONTH($H2139)/3,0))</f>
        <v/>
      </c>
      <c r="S2139" s="1" t="str">
        <f aca="false">IF($C2139="","",$C2139&amp;"|"&amp;$E2139&amp;"|"&amp;$F2139&amp;"|"&amp;$L2139&amp;"|"&amp;$P2139&amp;"|"&amp;TEXT($H2139,"yyyy-mm-dd"))</f>
        <v/>
      </c>
      <c r="T2139" s="1" t="str">
        <f aca="false">IF($S2139="","",IF(COUNTIF($S$2:$S$2991,$S2139)&gt;1,"DUPLICATE","OK"))</f>
        <v/>
      </c>
      <c r="U2139" s="0" t="str">
        <f aca="false">IF($L2139="","",IFERROR(VLOOKUP(--$L2139,MM_Income!$Z$5:$AC$204,3,FALSE()),"UNMAPPED"))</f>
        <v/>
      </c>
    </row>
    <row r="2140" customFormat="false" ht="13.5" hidden="false" customHeight="false" outlineLevel="0" collapsed="false">
      <c r="A2140" s="1" t="str">
        <f aca="false">IF($C2140="","",Controls!$B$7)</f>
        <v/>
      </c>
      <c r="B2140" s="1" t="str">
        <f aca="false">IF($H2140="","",YEAR($H2140)&amp;"-Q"&amp;ROUNDUP(MONTH($H2140)/3,0))</f>
        <v/>
      </c>
      <c r="S2140" s="1" t="str">
        <f aca="false">IF($C2140="","",$C2140&amp;"|"&amp;$E2140&amp;"|"&amp;$F2140&amp;"|"&amp;$L2140&amp;"|"&amp;$P2140&amp;"|"&amp;TEXT($H2140,"yyyy-mm-dd"))</f>
        <v/>
      </c>
      <c r="T2140" s="1" t="str">
        <f aca="false">IF($S2140="","",IF(COUNTIF($S$2:$S$2991,$S2140)&gt;1,"DUPLICATE","OK"))</f>
        <v/>
      </c>
      <c r="U2140" s="0" t="str">
        <f aca="false">IF($L2140="","",IFERROR(VLOOKUP(--$L2140,MM_Income!$Z$5:$AC$204,3,FALSE()),"UNMAPPED"))</f>
        <v/>
      </c>
    </row>
    <row r="2141" customFormat="false" ht="13.5" hidden="false" customHeight="false" outlineLevel="0" collapsed="false">
      <c r="A2141" s="1" t="str">
        <f aca="false">IF($C2141="","",Controls!$B$7)</f>
        <v/>
      </c>
      <c r="B2141" s="1" t="str">
        <f aca="false">IF($H2141="","",YEAR($H2141)&amp;"-Q"&amp;ROUNDUP(MONTH($H2141)/3,0))</f>
        <v/>
      </c>
      <c r="S2141" s="1" t="str">
        <f aca="false">IF($C2141="","",$C2141&amp;"|"&amp;$E2141&amp;"|"&amp;$F2141&amp;"|"&amp;$L2141&amp;"|"&amp;$P2141&amp;"|"&amp;TEXT($H2141,"yyyy-mm-dd"))</f>
        <v/>
      </c>
      <c r="T2141" s="1" t="str">
        <f aca="false">IF($S2141="","",IF(COUNTIF($S$2:$S$2991,$S2141)&gt;1,"DUPLICATE","OK"))</f>
        <v/>
      </c>
      <c r="U2141" s="0" t="str">
        <f aca="false">IF($L2141="","",IFERROR(VLOOKUP(--$L2141,MM_Income!$Z$5:$AC$204,3,FALSE()),"UNMAPPED"))</f>
        <v/>
      </c>
    </row>
    <row r="2142" customFormat="false" ht="13.5" hidden="false" customHeight="false" outlineLevel="0" collapsed="false">
      <c r="A2142" s="1" t="str">
        <f aca="false">IF($C2142="","",Controls!$B$7)</f>
        <v/>
      </c>
      <c r="B2142" s="1" t="str">
        <f aca="false">IF($H2142="","",YEAR($H2142)&amp;"-Q"&amp;ROUNDUP(MONTH($H2142)/3,0))</f>
        <v/>
      </c>
      <c r="S2142" s="1" t="str">
        <f aca="false">IF($C2142="","",$C2142&amp;"|"&amp;$E2142&amp;"|"&amp;$F2142&amp;"|"&amp;$L2142&amp;"|"&amp;$P2142&amp;"|"&amp;TEXT($H2142,"yyyy-mm-dd"))</f>
        <v/>
      </c>
      <c r="T2142" s="1" t="str">
        <f aca="false">IF($S2142="","",IF(COUNTIF($S$2:$S$2991,$S2142)&gt;1,"DUPLICATE","OK"))</f>
        <v/>
      </c>
      <c r="U2142" s="0" t="str">
        <f aca="false">IF($L2142="","",IFERROR(VLOOKUP(--$L2142,MM_Income!$Z$5:$AC$204,3,FALSE()),"UNMAPPED"))</f>
        <v/>
      </c>
    </row>
    <row r="2143" customFormat="false" ht="13.5" hidden="false" customHeight="false" outlineLevel="0" collapsed="false">
      <c r="A2143" s="1" t="str">
        <f aca="false">IF($C2143="","",Controls!$B$7)</f>
        <v/>
      </c>
      <c r="B2143" s="1" t="str">
        <f aca="false">IF($H2143="","",YEAR($H2143)&amp;"-Q"&amp;ROUNDUP(MONTH($H2143)/3,0))</f>
        <v/>
      </c>
      <c r="S2143" s="1" t="str">
        <f aca="false">IF($C2143="","",$C2143&amp;"|"&amp;$E2143&amp;"|"&amp;$F2143&amp;"|"&amp;$L2143&amp;"|"&amp;$P2143&amp;"|"&amp;TEXT($H2143,"yyyy-mm-dd"))</f>
        <v/>
      </c>
      <c r="T2143" s="1" t="str">
        <f aca="false">IF($S2143="","",IF(COUNTIF($S$2:$S$2991,$S2143)&gt;1,"DUPLICATE","OK"))</f>
        <v/>
      </c>
      <c r="U2143" s="0" t="str">
        <f aca="false">IF($L2143="","",IFERROR(VLOOKUP(--$L2143,MM_Income!$Z$5:$AC$204,3,FALSE()),"UNMAPPED"))</f>
        <v/>
      </c>
    </row>
    <row r="2144" customFormat="false" ht="13.5" hidden="false" customHeight="false" outlineLevel="0" collapsed="false">
      <c r="A2144" s="1" t="str">
        <f aca="false">IF($C2144="","",Controls!$B$7)</f>
        <v/>
      </c>
      <c r="B2144" s="1" t="str">
        <f aca="false">IF($H2144="","",YEAR($H2144)&amp;"-Q"&amp;ROUNDUP(MONTH($H2144)/3,0))</f>
        <v/>
      </c>
      <c r="S2144" s="1" t="str">
        <f aca="false">IF($C2144="","",$C2144&amp;"|"&amp;$E2144&amp;"|"&amp;$F2144&amp;"|"&amp;$L2144&amp;"|"&amp;$P2144&amp;"|"&amp;TEXT($H2144,"yyyy-mm-dd"))</f>
        <v/>
      </c>
      <c r="T2144" s="1" t="str">
        <f aca="false">IF($S2144="","",IF(COUNTIF($S$2:$S$2991,$S2144)&gt;1,"DUPLICATE","OK"))</f>
        <v/>
      </c>
      <c r="U2144" s="0" t="str">
        <f aca="false">IF($L2144="","",IFERROR(VLOOKUP(--$L2144,MM_Income!$Z$5:$AC$204,3,FALSE()),"UNMAPPED"))</f>
        <v/>
      </c>
    </row>
    <row r="2145" customFormat="false" ht="13.5" hidden="false" customHeight="false" outlineLevel="0" collapsed="false">
      <c r="A2145" s="1" t="str">
        <f aca="false">IF($C2145="","",Controls!$B$7)</f>
        <v/>
      </c>
      <c r="B2145" s="1" t="str">
        <f aca="false">IF($H2145="","",YEAR($H2145)&amp;"-Q"&amp;ROUNDUP(MONTH($H2145)/3,0))</f>
        <v/>
      </c>
      <c r="S2145" s="1" t="str">
        <f aca="false">IF($C2145="","",$C2145&amp;"|"&amp;$E2145&amp;"|"&amp;$F2145&amp;"|"&amp;$L2145&amp;"|"&amp;$P2145&amp;"|"&amp;TEXT($H2145,"yyyy-mm-dd"))</f>
        <v/>
      </c>
      <c r="T2145" s="1" t="str">
        <f aca="false">IF($S2145="","",IF(COUNTIF($S$2:$S$2991,$S2145)&gt;1,"DUPLICATE","OK"))</f>
        <v/>
      </c>
      <c r="U2145" s="0" t="str">
        <f aca="false">IF($L2145="","",IFERROR(VLOOKUP(--$L2145,MM_Income!$Z$5:$AC$204,3,FALSE()),"UNMAPPED"))</f>
        <v/>
      </c>
    </row>
    <row r="2146" customFormat="false" ht="13.5" hidden="false" customHeight="false" outlineLevel="0" collapsed="false">
      <c r="A2146" s="1" t="str">
        <f aca="false">IF($C2146="","",Controls!$B$7)</f>
        <v/>
      </c>
      <c r="B2146" s="1" t="str">
        <f aca="false">IF($H2146="","",YEAR($H2146)&amp;"-Q"&amp;ROUNDUP(MONTH($H2146)/3,0))</f>
        <v/>
      </c>
      <c r="S2146" s="1" t="str">
        <f aca="false">IF($C2146="","",$C2146&amp;"|"&amp;$E2146&amp;"|"&amp;$F2146&amp;"|"&amp;$L2146&amp;"|"&amp;$P2146&amp;"|"&amp;TEXT($H2146,"yyyy-mm-dd"))</f>
        <v/>
      </c>
      <c r="T2146" s="1" t="str">
        <f aca="false">IF($S2146="","",IF(COUNTIF($S$2:$S$2991,$S2146)&gt;1,"DUPLICATE","OK"))</f>
        <v/>
      </c>
      <c r="U2146" s="0" t="str">
        <f aca="false">IF($L2146="","",IFERROR(VLOOKUP(--$L2146,MM_Income!$Z$5:$AC$204,3,FALSE()),"UNMAPPED"))</f>
        <v/>
      </c>
    </row>
    <row r="2147" customFormat="false" ht="13.5" hidden="false" customHeight="false" outlineLevel="0" collapsed="false">
      <c r="A2147" s="1" t="str">
        <f aca="false">IF($C2147="","",Controls!$B$7)</f>
        <v/>
      </c>
      <c r="B2147" s="1" t="str">
        <f aca="false">IF($H2147="","",YEAR($H2147)&amp;"-Q"&amp;ROUNDUP(MONTH($H2147)/3,0))</f>
        <v/>
      </c>
      <c r="S2147" s="1" t="str">
        <f aca="false">IF($C2147="","",$C2147&amp;"|"&amp;$E2147&amp;"|"&amp;$F2147&amp;"|"&amp;$L2147&amp;"|"&amp;$P2147&amp;"|"&amp;TEXT($H2147,"yyyy-mm-dd"))</f>
        <v/>
      </c>
      <c r="T2147" s="1" t="str">
        <f aca="false">IF($S2147="","",IF(COUNTIF($S$2:$S$2991,$S2147)&gt;1,"DUPLICATE","OK"))</f>
        <v/>
      </c>
      <c r="U2147" s="0" t="str">
        <f aca="false">IF($L2147="","",IFERROR(VLOOKUP(--$L2147,MM_Income!$Z$5:$AC$204,3,FALSE()),"UNMAPPED"))</f>
        <v/>
      </c>
    </row>
    <row r="2148" customFormat="false" ht="13.5" hidden="false" customHeight="false" outlineLevel="0" collapsed="false">
      <c r="A2148" s="1" t="str">
        <f aca="false">IF($C2148="","",Controls!$B$7)</f>
        <v/>
      </c>
      <c r="B2148" s="1" t="str">
        <f aca="false">IF($H2148="","",YEAR($H2148)&amp;"-Q"&amp;ROUNDUP(MONTH($H2148)/3,0))</f>
        <v/>
      </c>
      <c r="S2148" s="1" t="str">
        <f aca="false">IF($C2148="","",$C2148&amp;"|"&amp;$E2148&amp;"|"&amp;$F2148&amp;"|"&amp;$L2148&amp;"|"&amp;$P2148&amp;"|"&amp;TEXT($H2148,"yyyy-mm-dd"))</f>
        <v/>
      </c>
      <c r="T2148" s="1" t="str">
        <f aca="false">IF($S2148="","",IF(COUNTIF($S$2:$S$2991,$S2148)&gt;1,"DUPLICATE","OK"))</f>
        <v/>
      </c>
      <c r="U2148" s="0" t="str">
        <f aca="false">IF($L2148="","",IFERROR(VLOOKUP(--$L2148,MM_Income!$Z$5:$AC$204,3,FALSE()),"UNMAPPED"))</f>
        <v/>
      </c>
    </row>
    <row r="2149" customFormat="false" ht="13.5" hidden="false" customHeight="false" outlineLevel="0" collapsed="false">
      <c r="A2149" s="1" t="str">
        <f aca="false">IF($C2149="","",Controls!$B$7)</f>
        <v/>
      </c>
      <c r="B2149" s="1" t="str">
        <f aca="false">IF($H2149="","",YEAR($H2149)&amp;"-Q"&amp;ROUNDUP(MONTH($H2149)/3,0))</f>
        <v/>
      </c>
      <c r="S2149" s="1" t="str">
        <f aca="false">IF($C2149="","",$C2149&amp;"|"&amp;$E2149&amp;"|"&amp;$F2149&amp;"|"&amp;$L2149&amp;"|"&amp;$P2149&amp;"|"&amp;TEXT($H2149,"yyyy-mm-dd"))</f>
        <v/>
      </c>
      <c r="T2149" s="1" t="str">
        <f aca="false">IF($S2149="","",IF(COUNTIF($S$2:$S$2991,$S2149)&gt;1,"DUPLICATE","OK"))</f>
        <v/>
      </c>
      <c r="U2149" s="0" t="str">
        <f aca="false">IF($L2149="","",IFERROR(VLOOKUP(--$L2149,MM_Income!$Z$5:$AC$204,3,FALSE()),"UNMAPPED"))</f>
        <v/>
      </c>
    </row>
    <row r="2150" customFormat="false" ht="13.5" hidden="false" customHeight="false" outlineLevel="0" collapsed="false">
      <c r="A2150" s="1" t="str">
        <f aca="false">IF($C2150="","",Controls!$B$7)</f>
        <v/>
      </c>
      <c r="B2150" s="1" t="str">
        <f aca="false">IF($H2150="","",YEAR($H2150)&amp;"-Q"&amp;ROUNDUP(MONTH($H2150)/3,0))</f>
        <v/>
      </c>
      <c r="S2150" s="1" t="str">
        <f aca="false">IF($C2150="","",$C2150&amp;"|"&amp;$E2150&amp;"|"&amp;$F2150&amp;"|"&amp;$L2150&amp;"|"&amp;$P2150&amp;"|"&amp;TEXT($H2150,"yyyy-mm-dd"))</f>
        <v/>
      </c>
      <c r="T2150" s="1" t="str">
        <f aca="false">IF($S2150="","",IF(COUNTIF($S$2:$S$2991,$S2150)&gt;1,"DUPLICATE","OK"))</f>
        <v/>
      </c>
      <c r="U2150" s="0" t="str">
        <f aca="false">IF($L2150="","",IFERROR(VLOOKUP(--$L2150,MM_Income!$Z$5:$AC$204,3,FALSE()),"UNMAPPED"))</f>
        <v/>
      </c>
    </row>
    <row r="2151" customFormat="false" ht="13.5" hidden="false" customHeight="false" outlineLevel="0" collapsed="false">
      <c r="A2151" s="1" t="str">
        <f aca="false">IF($C2151="","",Controls!$B$7)</f>
        <v/>
      </c>
      <c r="B2151" s="1" t="str">
        <f aca="false">IF($H2151="","",YEAR($H2151)&amp;"-Q"&amp;ROUNDUP(MONTH($H2151)/3,0))</f>
        <v/>
      </c>
      <c r="S2151" s="1" t="str">
        <f aca="false">IF($C2151="","",$C2151&amp;"|"&amp;$E2151&amp;"|"&amp;$F2151&amp;"|"&amp;$L2151&amp;"|"&amp;$P2151&amp;"|"&amp;TEXT($H2151,"yyyy-mm-dd"))</f>
        <v/>
      </c>
      <c r="T2151" s="1" t="str">
        <f aca="false">IF($S2151="","",IF(COUNTIF($S$2:$S$2991,$S2151)&gt;1,"DUPLICATE","OK"))</f>
        <v/>
      </c>
      <c r="U2151" s="0" t="str">
        <f aca="false">IF($L2151="","",IFERROR(VLOOKUP(--$L2151,MM_Income!$Z$5:$AC$204,3,FALSE()),"UNMAPPED"))</f>
        <v/>
      </c>
    </row>
    <row r="2152" customFormat="false" ht="13.5" hidden="false" customHeight="false" outlineLevel="0" collapsed="false">
      <c r="A2152" s="1" t="str">
        <f aca="false">IF($C2152="","",Controls!$B$7)</f>
        <v/>
      </c>
      <c r="B2152" s="1" t="str">
        <f aca="false">IF($H2152="","",YEAR($H2152)&amp;"-Q"&amp;ROUNDUP(MONTH($H2152)/3,0))</f>
        <v/>
      </c>
      <c r="S2152" s="1" t="str">
        <f aca="false">IF($C2152="","",$C2152&amp;"|"&amp;$E2152&amp;"|"&amp;$F2152&amp;"|"&amp;$L2152&amp;"|"&amp;$P2152&amp;"|"&amp;TEXT($H2152,"yyyy-mm-dd"))</f>
        <v/>
      </c>
      <c r="T2152" s="1" t="str">
        <f aca="false">IF($S2152="","",IF(COUNTIF($S$2:$S$2991,$S2152)&gt;1,"DUPLICATE","OK"))</f>
        <v/>
      </c>
      <c r="U2152" s="0" t="str">
        <f aca="false">IF($L2152="","",IFERROR(VLOOKUP(--$L2152,MM_Income!$Z$5:$AC$204,3,FALSE()),"UNMAPPED"))</f>
        <v/>
      </c>
    </row>
    <row r="2153" customFormat="false" ht="13.5" hidden="false" customHeight="false" outlineLevel="0" collapsed="false">
      <c r="A2153" s="1" t="str">
        <f aca="false">IF($C2153="","",Controls!$B$7)</f>
        <v/>
      </c>
      <c r="B2153" s="1" t="str">
        <f aca="false">IF($H2153="","",YEAR($H2153)&amp;"-Q"&amp;ROUNDUP(MONTH($H2153)/3,0))</f>
        <v/>
      </c>
      <c r="S2153" s="1" t="str">
        <f aca="false">IF($C2153="","",$C2153&amp;"|"&amp;$E2153&amp;"|"&amp;$F2153&amp;"|"&amp;$L2153&amp;"|"&amp;$P2153&amp;"|"&amp;TEXT($H2153,"yyyy-mm-dd"))</f>
        <v/>
      </c>
      <c r="T2153" s="1" t="str">
        <f aca="false">IF($S2153="","",IF(COUNTIF($S$2:$S$2991,$S2153)&gt;1,"DUPLICATE","OK"))</f>
        <v/>
      </c>
      <c r="U2153" s="0" t="str">
        <f aca="false">IF($L2153="","",IFERROR(VLOOKUP(--$L2153,MM_Income!$Z$5:$AC$204,3,FALSE()),"UNMAPPED"))</f>
        <v/>
      </c>
    </row>
    <row r="2154" customFormat="false" ht="13.5" hidden="false" customHeight="false" outlineLevel="0" collapsed="false">
      <c r="A2154" s="1" t="str">
        <f aca="false">IF($C2154="","",Controls!$B$7)</f>
        <v/>
      </c>
      <c r="B2154" s="1" t="str">
        <f aca="false">IF($H2154="","",YEAR($H2154)&amp;"-Q"&amp;ROUNDUP(MONTH($H2154)/3,0))</f>
        <v/>
      </c>
      <c r="S2154" s="1" t="str">
        <f aca="false">IF($C2154="","",$C2154&amp;"|"&amp;$E2154&amp;"|"&amp;$F2154&amp;"|"&amp;$L2154&amp;"|"&amp;$P2154&amp;"|"&amp;TEXT($H2154,"yyyy-mm-dd"))</f>
        <v/>
      </c>
      <c r="T2154" s="1" t="str">
        <f aca="false">IF($S2154="","",IF(COUNTIF($S$2:$S$2991,$S2154)&gt;1,"DUPLICATE","OK"))</f>
        <v/>
      </c>
      <c r="U2154" s="0" t="str">
        <f aca="false">IF($L2154="","",IFERROR(VLOOKUP(--$L2154,MM_Income!$Z$5:$AC$204,3,FALSE()),"UNMAPPED"))</f>
        <v/>
      </c>
    </row>
    <row r="2155" customFormat="false" ht="13.5" hidden="false" customHeight="false" outlineLevel="0" collapsed="false">
      <c r="A2155" s="1" t="str">
        <f aca="false">IF($C2155="","",Controls!$B$7)</f>
        <v/>
      </c>
      <c r="B2155" s="1" t="str">
        <f aca="false">IF($H2155="","",YEAR($H2155)&amp;"-Q"&amp;ROUNDUP(MONTH($H2155)/3,0))</f>
        <v/>
      </c>
      <c r="S2155" s="1" t="str">
        <f aca="false">IF($C2155="","",$C2155&amp;"|"&amp;$E2155&amp;"|"&amp;$F2155&amp;"|"&amp;$L2155&amp;"|"&amp;$P2155&amp;"|"&amp;TEXT($H2155,"yyyy-mm-dd"))</f>
        <v/>
      </c>
      <c r="T2155" s="1" t="str">
        <f aca="false">IF($S2155="","",IF(COUNTIF($S$2:$S$2991,$S2155)&gt;1,"DUPLICATE","OK"))</f>
        <v/>
      </c>
      <c r="U2155" s="0" t="str">
        <f aca="false">IF($L2155="","",IFERROR(VLOOKUP(--$L2155,MM_Income!$Z$5:$AC$204,3,FALSE()),"UNMAPPED"))</f>
        <v/>
      </c>
    </row>
    <row r="2156" customFormat="false" ht="13.5" hidden="false" customHeight="false" outlineLevel="0" collapsed="false">
      <c r="A2156" s="1" t="str">
        <f aca="false">IF($C2156="","",Controls!$B$7)</f>
        <v/>
      </c>
      <c r="B2156" s="1" t="str">
        <f aca="false">IF($H2156="","",YEAR($H2156)&amp;"-Q"&amp;ROUNDUP(MONTH($H2156)/3,0))</f>
        <v/>
      </c>
      <c r="S2156" s="1" t="str">
        <f aca="false">IF($C2156="","",$C2156&amp;"|"&amp;$E2156&amp;"|"&amp;$F2156&amp;"|"&amp;$L2156&amp;"|"&amp;$P2156&amp;"|"&amp;TEXT($H2156,"yyyy-mm-dd"))</f>
        <v/>
      </c>
      <c r="T2156" s="1" t="str">
        <f aca="false">IF($S2156="","",IF(COUNTIF($S$2:$S$2991,$S2156)&gt;1,"DUPLICATE","OK"))</f>
        <v/>
      </c>
      <c r="U2156" s="0" t="str">
        <f aca="false">IF($L2156="","",IFERROR(VLOOKUP(--$L2156,MM_Income!$Z$5:$AC$204,3,FALSE()),"UNMAPPED"))</f>
        <v/>
      </c>
    </row>
    <row r="2157" customFormat="false" ht="13.5" hidden="false" customHeight="false" outlineLevel="0" collapsed="false">
      <c r="A2157" s="1" t="str">
        <f aca="false">IF($C2157="","",Controls!$B$7)</f>
        <v/>
      </c>
      <c r="B2157" s="1" t="str">
        <f aca="false">IF($H2157="","",YEAR($H2157)&amp;"-Q"&amp;ROUNDUP(MONTH($H2157)/3,0))</f>
        <v/>
      </c>
      <c r="S2157" s="1" t="str">
        <f aca="false">IF($C2157="","",$C2157&amp;"|"&amp;$E2157&amp;"|"&amp;$F2157&amp;"|"&amp;$L2157&amp;"|"&amp;$P2157&amp;"|"&amp;TEXT($H2157,"yyyy-mm-dd"))</f>
        <v/>
      </c>
      <c r="T2157" s="1" t="str">
        <f aca="false">IF($S2157="","",IF(COUNTIF($S$2:$S$2991,$S2157)&gt;1,"DUPLICATE","OK"))</f>
        <v/>
      </c>
      <c r="U2157" s="0" t="str">
        <f aca="false">IF($L2157="","",IFERROR(VLOOKUP(--$L2157,MM_Income!$Z$5:$AC$204,3,FALSE()),"UNMAPPED"))</f>
        <v/>
      </c>
    </row>
    <row r="2158" customFormat="false" ht="13.5" hidden="false" customHeight="false" outlineLevel="0" collapsed="false">
      <c r="A2158" s="1" t="str">
        <f aca="false">IF($C2158="","",Controls!$B$7)</f>
        <v/>
      </c>
      <c r="B2158" s="1" t="str">
        <f aca="false">IF($H2158="","",YEAR($H2158)&amp;"-Q"&amp;ROUNDUP(MONTH($H2158)/3,0))</f>
        <v/>
      </c>
      <c r="S2158" s="1" t="str">
        <f aca="false">IF($C2158="","",$C2158&amp;"|"&amp;$E2158&amp;"|"&amp;$F2158&amp;"|"&amp;$L2158&amp;"|"&amp;$P2158&amp;"|"&amp;TEXT($H2158,"yyyy-mm-dd"))</f>
        <v/>
      </c>
      <c r="T2158" s="1" t="str">
        <f aca="false">IF($S2158="","",IF(COUNTIF($S$2:$S$2991,$S2158)&gt;1,"DUPLICATE","OK"))</f>
        <v/>
      </c>
      <c r="U2158" s="0" t="str">
        <f aca="false">IF($L2158="","",IFERROR(VLOOKUP(--$L2158,MM_Income!$Z$5:$AC$204,3,FALSE()),"UNMAPPED"))</f>
        <v/>
      </c>
    </row>
    <row r="2159" customFormat="false" ht="13.5" hidden="false" customHeight="false" outlineLevel="0" collapsed="false">
      <c r="A2159" s="1" t="str">
        <f aca="false">IF($C2159="","",Controls!$B$7)</f>
        <v/>
      </c>
      <c r="B2159" s="1" t="str">
        <f aca="false">IF($H2159="","",YEAR($H2159)&amp;"-Q"&amp;ROUNDUP(MONTH($H2159)/3,0))</f>
        <v/>
      </c>
      <c r="S2159" s="1" t="str">
        <f aca="false">IF($C2159="","",$C2159&amp;"|"&amp;$E2159&amp;"|"&amp;$F2159&amp;"|"&amp;$L2159&amp;"|"&amp;$P2159&amp;"|"&amp;TEXT($H2159,"yyyy-mm-dd"))</f>
        <v/>
      </c>
      <c r="T2159" s="1" t="str">
        <f aca="false">IF($S2159="","",IF(COUNTIF($S$2:$S$2991,$S2159)&gt;1,"DUPLICATE","OK"))</f>
        <v/>
      </c>
      <c r="U2159" s="0" t="str">
        <f aca="false">IF($L2159="","",IFERROR(VLOOKUP(--$L2159,MM_Income!$Z$5:$AC$204,3,FALSE()),"UNMAPPED"))</f>
        <v/>
      </c>
    </row>
    <row r="2160" customFormat="false" ht="13.5" hidden="false" customHeight="false" outlineLevel="0" collapsed="false">
      <c r="A2160" s="1" t="str">
        <f aca="false">IF($C2160="","",Controls!$B$7)</f>
        <v/>
      </c>
      <c r="B2160" s="1" t="str">
        <f aca="false">IF($H2160="","",YEAR($H2160)&amp;"-Q"&amp;ROUNDUP(MONTH($H2160)/3,0))</f>
        <v/>
      </c>
      <c r="S2160" s="1" t="str">
        <f aca="false">IF($C2160="","",$C2160&amp;"|"&amp;$E2160&amp;"|"&amp;$F2160&amp;"|"&amp;$L2160&amp;"|"&amp;$P2160&amp;"|"&amp;TEXT($H2160,"yyyy-mm-dd"))</f>
        <v/>
      </c>
      <c r="T2160" s="1" t="str">
        <f aca="false">IF($S2160="","",IF(COUNTIF($S$2:$S$2991,$S2160)&gt;1,"DUPLICATE","OK"))</f>
        <v/>
      </c>
      <c r="U2160" s="0" t="str">
        <f aca="false">IF($L2160="","",IFERROR(VLOOKUP(--$L2160,MM_Income!$Z$5:$AC$204,3,FALSE()),"UNMAPPED"))</f>
        <v/>
      </c>
    </row>
    <row r="2161" customFormat="false" ht="13.5" hidden="false" customHeight="false" outlineLevel="0" collapsed="false">
      <c r="A2161" s="1" t="str">
        <f aca="false">IF($C2161="","",Controls!$B$7)</f>
        <v/>
      </c>
      <c r="B2161" s="1" t="str">
        <f aca="false">IF($H2161="","",YEAR($H2161)&amp;"-Q"&amp;ROUNDUP(MONTH($H2161)/3,0))</f>
        <v/>
      </c>
      <c r="S2161" s="1" t="str">
        <f aca="false">IF($C2161="","",$C2161&amp;"|"&amp;$E2161&amp;"|"&amp;$F2161&amp;"|"&amp;$L2161&amp;"|"&amp;$P2161&amp;"|"&amp;TEXT($H2161,"yyyy-mm-dd"))</f>
        <v/>
      </c>
      <c r="T2161" s="1" t="str">
        <f aca="false">IF($S2161="","",IF(COUNTIF($S$2:$S$2991,$S2161)&gt;1,"DUPLICATE","OK"))</f>
        <v/>
      </c>
      <c r="U2161" s="0" t="str">
        <f aca="false">IF($L2161="","",IFERROR(VLOOKUP(--$L2161,MM_Income!$Z$5:$AC$204,3,FALSE()),"UNMAPPED"))</f>
        <v/>
      </c>
    </row>
    <row r="2162" customFormat="false" ht="13.5" hidden="false" customHeight="false" outlineLevel="0" collapsed="false">
      <c r="A2162" s="1" t="str">
        <f aca="false">IF($C2162="","",Controls!$B$7)</f>
        <v/>
      </c>
      <c r="B2162" s="1" t="str">
        <f aca="false">IF($H2162="","",YEAR($H2162)&amp;"-Q"&amp;ROUNDUP(MONTH($H2162)/3,0))</f>
        <v/>
      </c>
      <c r="S2162" s="1" t="str">
        <f aca="false">IF($C2162="","",$C2162&amp;"|"&amp;$E2162&amp;"|"&amp;$F2162&amp;"|"&amp;$L2162&amp;"|"&amp;$P2162&amp;"|"&amp;TEXT($H2162,"yyyy-mm-dd"))</f>
        <v/>
      </c>
      <c r="T2162" s="1" t="str">
        <f aca="false">IF($S2162="","",IF(COUNTIF($S$2:$S$2991,$S2162)&gt;1,"DUPLICATE","OK"))</f>
        <v/>
      </c>
      <c r="U2162" s="0" t="str">
        <f aca="false">IF($L2162="","",IFERROR(VLOOKUP(--$L2162,MM_Income!$Z$5:$AC$204,3,FALSE()),"UNMAPPED"))</f>
        <v/>
      </c>
    </row>
    <row r="2163" customFormat="false" ht="13.5" hidden="false" customHeight="false" outlineLevel="0" collapsed="false">
      <c r="A2163" s="1" t="str">
        <f aca="false">IF($C2163="","",Controls!$B$7)</f>
        <v/>
      </c>
      <c r="B2163" s="1" t="str">
        <f aca="false">IF($H2163="","",YEAR($H2163)&amp;"-Q"&amp;ROUNDUP(MONTH($H2163)/3,0))</f>
        <v/>
      </c>
      <c r="S2163" s="1" t="str">
        <f aca="false">IF($C2163="","",$C2163&amp;"|"&amp;$E2163&amp;"|"&amp;$F2163&amp;"|"&amp;$L2163&amp;"|"&amp;$P2163&amp;"|"&amp;TEXT($H2163,"yyyy-mm-dd"))</f>
        <v/>
      </c>
      <c r="T2163" s="1" t="str">
        <f aca="false">IF($S2163="","",IF(COUNTIF($S$2:$S$2991,$S2163)&gt;1,"DUPLICATE","OK"))</f>
        <v/>
      </c>
      <c r="U2163" s="0" t="str">
        <f aca="false">IF($L2163="","",IFERROR(VLOOKUP(--$L2163,MM_Income!$Z$5:$AC$204,3,FALSE()),"UNMAPPED"))</f>
        <v/>
      </c>
    </row>
    <row r="2164" customFormat="false" ht="13.5" hidden="false" customHeight="false" outlineLevel="0" collapsed="false">
      <c r="A2164" s="1" t="str">
        <f aca="false">IF($C2164="","",Controls!$B$7)</f>
        <v/>
      </c>
      <c r="B2164" s="1" t="str">
        <f aca="false">IF($H2164="","",YEAR($H2164)&amp;"-Q"&amp;ROUNDUP(MONTH($H2164)/3,0))</f>
        <v/>
      </c>
      <c r="S2164" s="1" t="str">
        <f aca="false">IF($C2164="","",$C2164&amp;"|"&amp;$E2164&amp;"|"&amp;$F2164&amp;"|"&amp;$L2164&amp;"|"&amp;$P2164&amp;"|"&amp;TEXT($H2164,"yyyy-mm-dd"))</f>
        <v/>
      </c>
      <c r="T2164" s="1" t="str">
        <f aca="false">IF($S2164="","",IF(COUNTIF($S$2:$S$2991,$S2164)&gt;1,"DUPLICATE","OK"))</f>
        <v/>
      </c>
      <c r="U2164" s="0" t="str">
        <f aca="false">IF($L2164="","",IFERROR(VLOOKUP(--$L2164,MM_Income!$Z$5:$AC$204,3,FALSE()),"UNMAPPED"))</f>
        <v/>
      </c>
    </row>
    <row r="2165" customFormat="false" ht="13.5" hidden="false" customHeight="false" outlineLevel="0" collapsed="false">
      <c r="A2165" s="1" t="str">
        <f aca="false">IF($C2165="","",Controls!$B$7)</f>
        <v/>
      </c>
      <c r="B2165" s="1" t="str">
        <f aca="false">IF($H2165="","",YEAR($H2165)&amp;"-Q"&amp;ROUNDUP(MONTH($H2165)/3,0))</f>
        <v/>
      </c>
      <c r="S2165" s="1" t="str">
        <f aca="false">IF($C2165="","",$C2165&amp;"|"&amp;$E2165&amp;"|"&amp;$F2165&amp;"|"&amp;$L2165&amp;"|"&amp;$P2165&amp;"|"&amp;TEXT($H2165,"yyyy-mm-dd"))</f>
        <v/>
      </c>
      <c r="T2165" s="1" t="str">
        <f aca="false">IF($S2165="","",IF(COUNTIF($S$2:$S$2991,$S2165)&gt;1,"DUPLICATE","OK"))</f>
        <v/>
      </c>
      <c r="U2165" s="0" t="str">
        <f aca="false">IF($L2165="","",IFERROR(VLOOKUP(--$L2165,MM_Income!$Z$5:$AC$204,3,FALSE()),"UNMAPPED"))</f>
        <v/>
      </c>
    </row>
    <row r="2166" customFormat="false" ht="13.5" hidden="false" customHeight="false" outlineLevel="0" collapsed="false">
      <c r="A2166" s="1" t="str">
        <f aca="false">IF($C2166="","",Controls!$B$7)</f>
        <v/>
      </c>
      <c r="B2166" s="1" t="str">
        <f aca="false">IF($H2166="","",YEAR($H2166)&amp;"-Q"&amp;ROUNDUP(MONTH($H2166)/3,0))</f>
        <v/>
      </c>
      <c r="S2166" s="1" t="str">
        <f aca="false">IF($C2166="","",$C2166&amp;"|"&amp;$E2166&amp;"|"&amp;$F2166&amp;"|"&amp;$L2166&amp;"|"&amp;$P2166&amp;"|"&amp;TEXT($H2166,"yyyy-mm-dd"))</f>
        <v/>
      </c>
      <c r="T2166" s="1" t="str">
        <f aca="false">IF($S2166="","",IF(COUNTIF($S$2:$S$2991,$S2166)&gt;1,"DUPLICATE","OK"))</f>
        <v/>
      </c>
      <c r="U2166" s="0" t="str">
        <f aca="false">IF($L2166="","",IFERROR(VLOOKUP(--$L2166,MM_Income!$Z$5:$AC$204,3,FALSE()),"UNMAPPED"))</f>
        <v/>
      </c>
    </row>
    <row r="2167" customFormat="false" ht="13.5" hidden="false" customHeight="false" outlineLevel="0" collapsed="false">
      <c r="A2167" s="1" t="str">
        <f aca="false">IF($C2167="","",Controls!$B$7)</f>
        <v/>
      </c>
      <c r="B2167" s="1" t="str">
        <f aca="false">IF($H2167="","",YEAR($H2167)&amp;"-Q"&amp;ROUNDUP(MONTH($H2167)/3,0))</f>
        <v/>
      </c>
      <c r="S2167" s="1" t="str">
        <f aca="false">IF($C2167="","",$C2167&amp;"|"&amp;$E2167&amp;"|"&amp;$F2167&amp;"|"&amp;$L2167&amp;"|"&amp;$P2167&amp;"|"&amp;TEXT($H2167,"yyyy-mm-dd"))</f>
        <v/>
      </c>
      <c r="T2167" s="1" t="str">
        <f aca="false">IF($S2167="","",IF(COUNTIF($S$2:$S$2991,$S2167)&gt;1,"DUPLICATE","OK"))</f>
        <v/>
      </c>
      <c r="U2167" s="0" t="str">
        <f aca="false">IF($L2167="","",IFERROR(VLOOKUP(--$L2167,MM_Income!$Z$5:$AC$204,3,FALSE()),"UNMAPPED"))</f>
        <v/>
      </c>
    </row>
    <row r="2168" customFormat="false" ht="13.5" hidden="false" customHeight="false" outlineLevel="0" collapsed="false">
      <c r="A2168" s="1" t="str">
        <f aca="false">IF($C2168="","",Controls!$B$7)</f>
        <v/>
      </c>
      <c r="B2168" s="1" t="str">
        <f aca="false">IF($H2168="","",YEAR($H2168)&amp;"-Q"&amp;ROUNDUP(MONTH($H2168)/3,0))</f>
        <v/>
      </c>
      <c r="S2168" s="1" t="str">
        <f aca="false">IF($C2168="","",$C2168&amp;"|"&amp;$E2168&amp;"|"&amp;$F2168&amp;"|"&amp;$L2168&amp;"|"&amp;$P2168&amp;"|"&amp;TEXT($H2168,"yyyy-mm-dd"))</f>
        <v/>
      </c>
      <c r="T2168" s="1" t="str">
        <f aca="false">IF($S2168="","",IF(COUNTIF($S$2:$S$2991,$S2168)&gt;1,"DUPLICATE","OK"))</f>
        <v/>
      </c>
      <c r="U2168" s="0" t="str">
        <f aca="false">IF($L2168="","",IFERROR(VLOOKUP(--$L2168,MM_Income!$Z$5:$AC$204,3,FALSE()),"UNMAPPED"))</f>
        <v/>
      </c>
    </row>
    <row r="2169" customFormat="false" ht="13.5" hidden="false" customHeight="false" outlineLevel="0" collapsed="false">
      <c r="A2169" s="1" t="str">
        <f aca="false">IF($C2169="","",Controls!$B$7)</f>
        <v/>
      </c>
      <c r="B2169" s="1" t="str">
        <f aca="false">IF($H2169="","",YEAR($H2169)&amp;"-Q"&amp;ROUNDUP(MONTH($H2169)/3,0))</f>
        <v/>
      </c>
      <c r="S2169" s="1" t="str">
        <f aca="false">IF($C2169="","",$C2169&amp;"|"&amp;$E2169&amp;"|"&amp;$F2169&amp;"|"&amp;$L2169&amp;"|"&amp;$P2169&amp;"|"&amp;TEXT($H2169,"yyyy-mm-dd"))</f>
        <v/>
      </c>
      <c r="T2169" s="1" t="str">
        <f aca="false">IF($S2169="","",IF(COUNTIF($S$2:$S$2991,$S2169)&gt;1,"DUPLICATE","OK"))</f>
        <v/>
      </c>
      <c r="U2169" s="0" t="str">
        <f aca="false">IF($L2169="","",IFERROR(VLOOKUP(--$L2169,MM_Income!$Z$5:$AC$204,3,FALSE()),"UNMAPPED"))</f>
        <v/>
      </c>
    </row>
    <row r="2170" customFormat="false" ht="13.5" hidden="false" customHeight="false" outlineLevel="0" collapsed="false">
      <c r="A2170" s="1" t="str">
        <f aca="false">IF($C2170="","",Controls!$B$7)</f>
        <v/>
      </c>
      <c r="B2170" s="1" t="str">
        <f aca="false">IF($H2170="","",YEAR($H2170)&amp;"-Q"&amp;ROUNDUP(MONTH($H2170)/3,0))</f>
        <v/>
      </c>
      <c r="S2170" s="1" t="str">
        <f aca="false">IF($C2170="","",$C2170&amp;"|"&amp;$E2170&amp;"|"&amp;$F2170&amp;"|"&amp;$L2170&amp;"|"&amp;$P2170&amp;"|"&amp;TEXT($H2170,"yyyy-mm-dd"))</f>
        <v/>
      </c>
      <c r="T2170" s="1" t="str">
        <f aca="false">IF($S2170="","",IF(COUNTIF($S$2:$S$2991,$S2170)&gt;1,"DUPLICATE","OK"))</f>
        <v/>
      </c>
      <c r="U2170" s="0" t="str">
        <f aca="false">IF($L2170="","",IFERROR(VLOOKUP(--$L2170,MM_Income!$Z$5:$AC$204,3,FALSE()),"UNMAPPED"))</f>
        <v/>
      </c>
    </row>
    <row r="2171" customFormat="false" ht="13.5" hidden="false" customHeight="false" outlineLevel="0" collapsed="false">
      <c r="A2171" s="1" t="str">
        <f aca="false">IF($C2171="","",Controls!$B$7)</f>
        <v/>
      </c>
      <c r="B2171" s="1" t="str">
        <f aca="false">IF($H2171="","",YEAR($H2171)&amp;"-Q"&amp;ROUNDUP(MONTH($H2171)/3,0))</f>
        <v/>
      </c>
      <c r="S2171" s="1" t="str">
        <f aca="false">IF($C2171="","",$C2171&amp;"|"&amp;$E2171&amp;"|"&amp;$F2171&amp;"|"&amp;$L2171&amp;"|"&amp;$P2171&amp;"|"&amp;TEXT($H2171,"yyyy-mm-dd"))</f>
        <v/>
      </c>
      <c r="T2171" s="1" t="str">
        <f aca="false">IF($S2171="","",IF(COUNTIF($S$2:$S$2991,$S2171)&gt;1,"DUPLICATE","OK"))</f>
        <v/>
      </c>
      <c r="U2171" s="0" t="str">
        <f aca="false">IF($L2171="","",IFERROR(VLOOKUP(--$L2171,MM_Income!$Z$5:$AC$204,3,FALSE()),"UNMAPPED"))</f>
        <v/>
      </c>
    </row>
    <row r="2172" customFormat="false" ht="13.5" hidden="false" customHeight="false" outlineLevel="0" collapsed="false">
      <c r="A2172" s="1" t="str">
        <f aca="false">IF($C2172="","",Controls!$B$7)</f>
        <v/>
      </c>
      <c r="B2172" s="1" t="str">
        <f aca="false">IF($H2172="","",YEAR($H2172)&amp;"-Q"&amp;ROUNDUP(MONTH($H2172)/3,0))</f>
        <v/>
      </c>
      <c r="S2172" s="1" t="str">
        <f aca="false">IF($C2172="","",$C2172&amp;"|"&amp;$E2172&amp;"|"&amp;$F2172&amp;"|"&amp;$L2172&amp;"|"&amp;$P2172&amp;"|"&amp;TEXT($H2172,"yyyy-mm-dd"))</f>
        <v/>
      </c>
      <c r="T2172" s="1" t="str">
        <f aca="false">IF($S2172="","",IF(COUNTIF($S$2:$S$2991,$S2172)&gt;1,"DUPLICATE","OK"))</f>
        <v/>
      </c>
      <c r="U2172" s="0" t="str">
        <f aca="false">IF($L2172="","",IFERROR(VLOOKUP(--$L2172,MM_Income!$Z$5:$AC$204,3,FALSE()),"UNMAPPED"))</f>
        <v/>
      </c>
    </row>
    <row r="2173" customFormat="false" ht="13.5" hidden="false" customHeight="false" outlineLevel="0" collapsed="false">
      <c r="A2173" s="1" t="str">
        <f aca="false">IF($C2173="","",Controls!$B$7)</f>
        <v/>
      </c>
      <c r="B2173" s="1" t="str">
        <f aca="false">IF($H2173="","",YEAR($H2173)&amp;"-Q"&amp;ROUNDUP(MONTH($H2173)/3,0))</f>
        <v/>
      </c>
      <c r="S2173" s="1" t="str">
        <f aca="false">IF($C2173="","",$C2173&amp;"|"&amp;$E2173&amp;"|"&amp;$F2173&amp;"|"&amp;$L2173&amp;"|"&amp;$P2173&amp;"|"&amp;TEXT($H2173,"yyyy-mm-dd"))</f>
        <v/>
      </c>
      <c r="T2173" s="1" t="str">
        <f aca="false">IF($S2173="","",IF(COUNTIF($S$2:$S$2991,$S2173)&gt;1,"DUPLICATE","OK"))</f>
        <v/>
      </c>
      <c r="U2173" s="0" t="str">
        <f aca="false">IF($L2173="","",IFERROR(VLOOKUP(--$L2173,MM_Income!$Z$5:$AC$204,3,FALSE()),"UNMAPPED"))</f>
        <v/>
      </c>
    </row>
    <row r="2174" customFormat="false" ht="13.5" hidden="false" customHeight="false" outlineLevel="0" collapsed="false">
      <c r="A2174" s="1" t="str">
        <f aca="false">IF($C2174="","",Controls!$B$7)</f>
        <v/>
      </c>
      <c r="B2174" s="1" t="str">
        <f aca="false">IF($H2174="","",YEAR($H2174)&amp;"-Q"&amp;ROUNDUP(MONTH($H2174)/3,0))</f>
        <v/>
      </c>
      <c r="S2174" s="1" t="str">
        <f aca="false">IF($C2174="","",$C2174&amp;"|"&amp;$E2174&amp;"|"&amp;$F2174&amp;"|"&amp;$L2174&amp;"|"&amp;$P2174&amp;"|"&amp;TEXT($H2174,"yyyy-mm-dd"))</f>
        <v/>
      </c>
      <c r="T2174" s="1" t="str">
        <f aca="false">IF($S2174="","",IF(COUNTIF($S$2:$S$2991,$S2174)&gt;1,"DUPLICATE","OK"))</f>
        <v/>
      </c>
      <c r="U2174" s="0" t="str">
        <f aca="false">IF($L2174="","",IFERROR(VLOOKUP(--$L2174,MM_Income!$Z$5:$AC$204,3,FALSE()),"UNMAPPED"))</f>
        <v/>
      </c>
    </row>
    <row r="2175" customFormat="false" ht="13.5" hidden="false" customHeight="false" outlineLevel="0" collapsed="false">
      <c r="A2175" s="1" t="str">
        <f aca="false">IF($C2175="","",Controls!$B$7)</f>
        <v/>
      </c>
      <c r="B2175" s="1" t="str">
        <f aca="false">IF($H2175="","",YEAR($H2175)&amp;"-Q"&amp;ROUNDUP(MONTH($H2175)/3,0))</f>
        <v/>
      </c>
      <c r="S2175" s="1" t="str">
        <f aca="false">IF($C2175="","",$C2175&amp;"|"&amp;$E2175&amp;"|"&amp;$F2175&amp;"|"&amp;$L2175&amp;"|"&amp;$P2175&amp;"|"&amp;TEXT($H2175,"yyyy-mm-dd"))</f>
        <v/>
      </c>
      <c r="T2175" s="1" t="str">
        <f aca="false">IF($S2175="","",IF(COUNTIF($S$2:$S$2991,$S2175)&gt;1,"DUPLICATE","OK"))</f>
        <v/>
      </c>
      <c r="U2175" s="0" t="str">
        <f aca="false">IF($L2175="","",IFERROR(VLOOKUP(--$L2175,MM_Income!$Z$5:$AC$204,3,FALSE()),"UNMAPPED"))</f>
        <v/>
      </c>
    </row>
    <row r="2176" customFormat="false" ht="13.5" hidden="false" customHeight="false" outlineLevel="0" collapsed="false">
      <c r="A2176" s="1" t="str">
        <f aca="false">IF($C2176="","",Controls!$B$7)</f>
        <v/>
      </c>
      <c r="B2176" s="1" t="str">
        <f aca="false">IF($H2176="","",YEAR($H2176)&amp;"-Q"&amp;ROUNDUP(MONTH($H2176)/3,0))</f>
        <v/>
      </c>
      <c r="S2176" s="1" t="str">
        <f aca="false">IF($C2176="","",$C2176&amp;"|"&amp;$E2176&amp;"|"&amp;$F2176&amp;"|"&amp;$L2176&amp;"|"&amp;$P2176&amp;"|"&amp;TEXT($H2176,"yyyy-mm-dd"))</f>
        <v/>
      </c>
      <c r="T2176" s="1" t="str">
        <f aca="false">IF($S2176="","",IF(COUNTIF($S$2:$S$2991,$S2176)&gt;1,"DUPLICATE","OK"))</f>
        <v/>
      </c>
      <c r="U2176" s="0" t="str">
        <f aca="false">IF($L2176="","",IFERROR(VLOOKUP(--$L2176,MM_Income!$Z$5:$AC$204,3,FALSE()),"UNMAPPED"))</f>
        <v/>
      </c>
    </row>
    <row r="2177" customFormat="false" ht="13.5" hidden="false" customHeight="false" outlineLevel="0" collapsed="false">
      <c r="A2177" s="1" t="str">
        <f aca="false">IF($C2177="","",Controls!$B$7)</f>
        <v/>
      </c>
      <c r="B2177" s="1" t="str">
        <f aca="false">IF($H2177="","",YEAR($H2177)&amp;"-Q"&amp;ROUNDUP(MONTH($H2177)/3,0))</f>
        <v/>
      </c>
      <c r="S2177" s="1" t="str">
        <f aca="false">IF($C2177="","",$C2177&amp;"|"&amp;$E2177&amp;"|"&amp;$F2177&amp;"|"&amp;$L2177&amp;"|"&amp;$P2177&amp;"|"&amp;TEXT($H2177,"yyyy-mm-dd"))</f>
        <v/>
      </c>
      <c r="T2177" s="1" t="str">
        <f aca="false">IF($S2177="","",IF(COUNTIF($S$2:$S$2991,$S2177)&gt;1,"DUPLICATE","OK"))</f>
        <v/>
      </c>
      <c r="U2177" s="0" t="str">
        <f aca="false">IF($L2177="","",IFERROR(VLOOKUP(--$L2177,MM_Income!$Z$5:$AC$204,3,FALSE()),"UNMAPPED"))</f>
        <v/>
      </c>
    </row>
    <row r="2178" customFormat="false" ht="13.5" hidden="false" customHeight="false" outlineLevel="0" collapsed="false">
      <c r="A2178" s="1" t="str">
        <f aca="false">IF($C2178="","",Controls!$B$7)</f>
        <v/>
      </c>
      <c r="B2178" s="1" t="str">
        <f aca="false">IF($H2178="","",YEAR($H2178)&amp;"-Q"&amp;ROUNDUP(MONTH($H2178)/3,0))</f>
        <v/>
      </c>
      <c r="S2178" s="1" t="str">
        <f aca="false">IF($C2178="","",$C2178&amp;"|"&amp;$E2178&amp;"|"&amp;$F2178&amp;"|"&amp;$L2178&amp;"|"&amp;$P2178&amp;"|"&amp;TEXT($H2178,"yyyy-mm-dd"))</f>
        <v/>
      </c>
      <c r="T2178" s="1" t="str">
        <f aca="false">IF($S2178="","",IF(COUNTIF($S$2:$S$2991,$S2178)&gt;1,"DUPLICATE","OK"))</f>
        <v/>
      </c>
      <c r="U2178" s="0" t="str">
        <f aca="false">IF($L2178="","",IFERROR(VLOOKUP(--$L2178,MM_Income!$Z$5:$AC$204,3,FALSE()),"UNMAPPED"))</f>
        <v/>
      </c>
    </row>
    <row r="2179" customFormat="false" ht="13.5" hidden="false" customHeight="false" outlineLevel="0" collapsed="false">
      <c r="A2179" s="1" t="str">
        <f aca="false">IF($C2179="","",Controls!$B$7)</f>
        <v/>
      </c>
      <c r="B2179" s="1" t="str">
        <f aca="false">IF($H2179="","",YEAR($H2179)&amp;"-Q"&amp;ROUNDUP(MONTH($H2179)/3,0))</f>
        <v/>
      </c>
      <c r="S2179" s="1" t="str">
        <f aca="false">IF($C2179="","",$C2179&amp;"|"&amp;$E2179&amp;"|"&amp;$F2179&amp;"|"&amp;$L2179&amp;"|"&amp;$P2179&amp;"|"&amp;TEXT($H2179,"yyyy-mm-dd"))</f>
        <v/>
      </c>
      <c r="T2179" s="1" t="str">
        <f aca="false">IF($S2179="","",IF(COUNTIF($S$2:$S$2991,$S2179)&gt;1,"DUPLICATE","OK"))</f>
        <v/>
      </c>
      <c r="U2179" s="0" t="str">
        <f aca="false">IF($L2179="","",IFERROR(VLOOKUP(--$L2179,MM_Income!$Z$5:$AC$204,3,FALSE()),"UNMAPPED"))</f>
        <v/>
      </c>
    </row>
    <row r="2180" customFormat="false" ht="13.5" hidden="false" customHeight="false" outlineLevel="0" collapsed="false">
      <c r="A2180" s="1" t="str">
        <f aca="false">IF($C2180="","",Controls!$B$7)</f>
        <v/>
      </c>
      <c r="B2180" s="1" t="str">
        <f aca="false">IF($H2180="","",YEAR($H2180)&amp;"-Q"&amp;ROUNDUP(MONTH($H2180)/3,0))</f>
        <v/>
      </c>
      <c r="S2180" s="1" t="str">
        <f aca="false">IF($C2180="","",$C2180&amp;"|"&amp;$E2180&amp;"|"&amp;$F2180&amp;"|"&amp;$L2180&amp;"|"&amp;$P2180&amp;"|"&amp;TEXT($H2180,"yyyy-mm-dd"))</f>
        <v/>
      </c>
      <c r="T2180" s="1" t="str">
        <f aca="false">IF($S2180="","",IF(COUNTIF($S$2:$S$2991,$S2180)&gt;1,"DUPLICATE","OK"))</f>
        <v/>
      </c>
      <c r="U2180" s="0" t="str">
        <f aca="false">IF($L2180="","",IFERROR(VLOOKUP(--$L2180,MM_Income!$Z$5:$AC$204,3,FALSE()),"UNMAPPED"))</f>
        <v/>
      </c>
    </row>
    <row r="2181" customFormat="false" ht="13.5" hidden="false" customHeight="false" outlineLevel="0" collapsed="false">
      <c r="A2181" s="1" t="str">
        <f aca="false">IF($C2181="","",Controls!$B$7)</f>
        <v/>
      </c>
      <c r="B2181" s="1" t="str">
        <f aca="false">IF($H2181="","",YEAR($H2181)&amp;"-Q"&amp;ROUNDUP(MONTH($H2181)/3,0))</f>
        <v/>
      </c>
      <c r="S2181" s="1" t="str">
        <f aca="false">IF($C2181="","",$C2181&amp;"|"&amp;$E2181&amp;"|"&amp;$F2181&amp;"|"&amp;$L2181&amp;"|"&amp;$P2181&amp;"|"&amp;TEXT($H2181,"yyyy-mm-dd"))</f>
        <v/>
      </c>
      <c r="T2181" s="1" t="str">
        <f aca="false">IF($S2181="","",IF(COUNTIF($S$2:$S$2991,$S2181)&gt;1,"DUPLICATE","OK"))</f>
        <v/>
      </c>
      <c r="U2181" s="0" t="str">
        <f aca="false">IF($L2181="","",IFERROR(VLOOKUP(--$L2181,MM_Income!$Z$5:$AC$204,3,FALSE()),"UNMAPPED"))</f>
        <v/>
      </c>
    </row>
    <row r="2182" customFormat="false" ht="13.5" hidden="false" customHeight="false" outlineLevel="0" collapsed="false">
      <c r="A2182" s="1" t="str">
        <f aca="false">IF($C2182="","",Controls!$B$7)</f>
        <v/>
      </c>
      <c r="B2182" s="1" t="str">
        <f aca="false">IF($H2182="","",YEAR($H2182)&amp;"-Q"&amp;ROUNDUP(MONTH($H2182)/3,0))</f>
        <v/>
      </c>
      <c r="S2182" s="1" t="str">
        <f aca="false">IF($C2182="","",$C2182&amp;"|"&amp;$E2182&amp;"|"&amp;$F2182&amp;"|"&amp;$L2182&amp;"|"&amp;$P2182&amp;"|"&amp;TEXT($H2182,"yyyy-mm-dd"))</f>
        <v/>
      </c>
      <c r="T2182" s="1" t="str">
        <f aca="false">IF($S2182="","",IF(COUNTIF($S$2:$S$2991,$S2182)&gt;1,"DUPLICATE","OK"))</f>
        <v/>
      </c>
      <c r="U2182" s="0" t="str">
        <f aca="false">IF($L2182="","",IFERROR(VLOOKUP(--$L2182,MM_Income!$Z$5:$AC$204,3,FALSE()),"UNMAPPED"))</f>
        <v/>
      </c>
    </row>
    <row r="2183" customFormat="false" ht="13.5" hidden="false" customHeight="false" outlineLevel="0" collapsed="false">
      <c r="A2183" s="1" t="str">
        <f aca="false">IF($C2183="","",Controls!$B$7)</f>
        <v/>
      </c>
      <c r="B2183" s="1" t="str">
        <f aca="false">IF($H2183="","",YEAR($H2183)&amp;"-Q"&amp;ROUNDUP(MONTH($H2183)/3,0))</f>
        <v/>
      </c>
      <c r="S2183" s="1" t="str">
        <f aca="false">IF($C2183="","",$C2183&amp;"|"&amp;$E2183&amp;"|"&amp;$F2183&amp;"|"&amp;$L2183&amp;"|"&amp;$P2183&amp;"|"&amp;TEXT($H2183,"yyyy-mm-dd"))</f>
        <v/>
      </c>
      <c r="T2183" s="1" t="str">
        <f aca="false">IF($S2183="","",IF(COUNTIF($S$2:$S$2991,$S2183)&gt;1,"DUPLICATE","OK"))</f>
        <v/>
      </c>
      <c r="U2183" s="0" t="str">
        <f aca="false">IF($L2183="","",IFERROR(VLOOKUP(--$L2183,MM_Income!$Z$5:$AC$204,3,FALSE()),"UNMAPPED"))</f>
        <v/>
      </c>
    </row>
    <row r="2184" customFormat="false" ht="13.5" hidden="false" customHeight="false" outlineLevel="0" collapsed="false">
      <c r="A2184" s="1" t="str">
        <f aca="false">IF($C2184="","",Controls!$B$7)</f>
        <v/>
      </c>
      <c r="B2184" s="1" t="str">
        <f aca="false">IF($H2184="","",YEAR($H2184)&amp;"-Q"&amp;ROUNDUP(MONTH($H2184)/3,0))</f>
        <v/>
      </c>
      <c r="S2184" s="1" t="str">
        <f aca="false">IF($C2184="","",$C2184&amp;"|"&amp;$E2184&amp;"|"&amp;$F2184&amp;"|"&amp;$L2184&amp;"|"&amp;$P2184&amp;"|"&amp;TEXT($H2184,"yyyy-mm-dd"))</f>
        <v/>
      </c>
      <c r="T2184" s="1" t="str">
        <f aca="false">IF($S2184="","",IF(COUNTIF($S$2:$S$2991,$S2184)&gt;1,"DUPLICATE","OK"))</f>
        <v/>
      </c>
      <c r="U2184" s="0" t="str">
        <f aca="false">IF($L2184="","",IFERROR(VLOOKUP(--$L2184,MM_Income!$Z$5:$AC$204,3,FALSE()),"UNMAPPED"))</f>
        <v/>
      </c>
    </row>
    <row r="2185" customFormat="false" ht="13.5" hidden="false" customHeight="false" outlineLevel="0" collapsed="false">
      <c r="A2185" s="1" t="str">
        <f aca="false">IF($C2185="","",Controls!$B$7)</f>
        <v/>
      </c>
      <c r="B2185" s="1" t="str">
        <f aca="false">IF($H2185="","",YEAR($H2185)&amp;"-Q"&amp;ROUNDUP(MONTH($H2185)/3,0))</f>
        <v/>
      </c>
      <c r="S2185" s="1" t="str">
        <f aca="false">IF($C2185="","",$C2185&amp;"|"&amp;$E2185&amp;"|"&amp;$F2185&amp;"|"&amp;$L2185&amp;"|"&amp;$P2185&amp;"|"&amp;TEXT($H2185,"yyyy-mm-dd"))</f>
        <v/>
      </c>
      <c r="T2185" s="1" t="str">
        <f aca="false">IF($S2185="","",IF(COUNTIF($S$2:$S$2991,$S2185)&gt;1,"DUPLICATE","OK"))</f>
        <v/>
      </c>
      <c r="U2185" s="0" t="str">
        <f aca="false">IF($L2185="","",IFERROR(VLOOKUP(--$L2185,MM_Income!$Z$5:$AC$204,3,FALSE()),"UNMAPPED"))</f>
        <v/>
      </c>
    </row>
    <row r="2186" customFormat="false" ht="13.5" hidden="false" customHeight="false" outlineLevel="0" collapsed="false">
      <c r="A2186" s="1" t="str">
        <f aca="false">IF($C2186="","",Controls!$B$7)</f>
        <v/>
      </c>
      <c r="B2186" s="1" t="str">
        <f aca="false">IF($H2186="","",YEAR($H2186)&amp;"-Q"&amp;ROUNDUP(MONTH($H2186)/3,0))</f>
        <v/>
      </c>
      <c r="S2186" s="1" t="str">
        <f aca="false">IF($C2186="","",$C2186&amp;"|"&amp;$E2186&amp;"|"&amp;$F2186&amp;"|"&amp;$L2186&amp;"|"&amp;$P2186&amp;"|"&amp;TEXT($H2186,"yyyy-mm-dd"))</f>
        <v/>
      </c>
      <c r="T2186" s="1" t="str">
        <f aca="false">IF($S2186="","",IF(COUNTIF($S$2:$S$2991,$S2186)&gt;1,"DUPLICATE","OK"))</f>
        <v/>
      </c>
      <c r="U2186" s="0" t="str">
        <f aca="false">IF($L2186="","",IFERROR(VLOOKUP(--$L2186,MM_Income!$Z$5:$AC$204,3,FALSE()),"UNMAPPED"))</f>
        <v/>
      </c>
    </row>
    <row r="2187" customFormat="false" ht="13.5" hidden="false" customHeight="false" outlineLevel="0" collapsed="false">
      <c r="A2187" s="1" t="str">
        <f aca="false">IF($C2187="","",Controls!$B$7)</f>
        <v/>
      </c>
      <c r="B2187" s="1" t="str">
        <f aca="false">IF($H2187="","",YEAR($H2187)&amp;"-Q"&amp;ROUNDUP(MONTH($H2187)/3,0))</f>
        <v/>
      </c>
      <c r="S2187" s="1" t="str">
        <f aca="false">IF($C2187="","",$C2187&amp;"|"&amp;$E2187&amp;"|"&amp;$F2187&amp;"|"&amp;$L2187&amp;"|"&amp;$P2187&amp;"|"&amp;TEXT($H2187,"yyyy-mm-dd"))</f>
        <v/>
      </c>
      <c r="T2187" s="1" t="str">
        <f aca="false">IF($S2187="","",IF(COUNTIF($S$2:$S$2991,$S2187)&gt;1,"DUPLICATE","OK"))</f>
        <v/>
      </c>
      <c r="U2187" s="0" t="str">
        <f aca="false">IF($L2187="","",IFERROR(VLOOKUP(--$L2187,MM_Income!$Z$5:$AC$204,3,FALSE()),"UNMAPPED"))</f>
        <v/>
      </c>
    </row>
    <row r="2188" customFormat="false" ht="13.5" hidden="false" customHeight="false" outlineLevel="0" collapsed="false">
      <c r="A2188" s="1" t="str">
        <f aca="false">IF($C2188="","",Controls!$B$7)</f>
        <v/>
      </c>
      <c r="B2188" s="1" t="str">
        <f aca="false">IF($H2188="","",YEAR($H2188)&amp;"-Q"&amp;ROUNDUP(MONTH($H2188)/3,0))</f>
        <v/>
      </c>
      <c r="S2188" s="1" t="str">
        <f aca="false">IF($C2188="","",$C2188&amp;"|"&amp;$E2188&amp;"|"&amp;$F2188&amp;"|"&amp;$L2188&amp;"|"&amp;$P2188&amp;"|"&amp;TEXT($H2188,"yyyy-mm-dd"))</f>
        <v/>
      </c>
      <c r="T2188" s="1" t="str">
        <f aca="false">IF($S2188="","",IF(COUNTIF($S$2:$S$2991,$S2188)&gt;1,"DUPLICATE","OK"))</f>
        <v/>
      </c>
      <c r="U2188" s="0" t="str">
        <f aca="false">IF($L2188="","",IFERROR(VLOOKUP(--$L2188,MM_Income!$Z$5:$AC$204,3,FALSE()),"UNMAPPED"))</f>
        <v/>
      </c>
    </row>
    <row r="2189" customFormat="false" ht="13.5" hidden="false" customHeight="false" outlineLevel="0" collapsed="false">
      <c r="A2189" s="1" t="str">
        <f aca="false">IF($C2189="","",Controls!$B$7)</f>
        <v/>
      </c>
      <c r="B2189" s="1" t="str">
        <f aca="false">IF($H2189="","",YEAR($H2189)&amp;"-Q"&amp;ROUNDUP(MONTH($H2189)/3,0))</f>
        <v/>
      </c>
      <c r="S2189" s="1" t="str">
        <f aca="false">IF($C2189="","",$C2189&amp;"|"&amp;$E2189&amp;"|"&amp;$F2189&amp;"|"&amp;$L2189&amp;"|"&amp;$P2189&amp;"|"&amp;TEXT($H2189,"yyyy-mm-dd"))</f>
        <v/>
      </c>
      <c r="T2189" s="1" t="str">
        <f aca="false">IF($S2189="","",IF(COUNTIF($S$2:$S$2991,$S2189)&gt;1,"DUPLICATE","OK"))</f>
        <v/>
      </c>
      <c r="U2189" s="0" t="str">
        <f aca="false">IF($L2189="","",IFERROR(VLOOKUP(--$L2189,MM_Income!$Z$5:$AC$204,3,FALSE()),"UNMAPPED"))</f>
        <v/>
      </c>
    </row>
    <row r="2190" customFormat="false" ht="13.5" hidden="false" customHeight="false" outlineLevel="0" collapsed="false">
      <c r="A2190" s="1" t="str">
        <f aca="false">IF($C2190="","",Controls!$B$7)</f>
        <v/>
      </c>
      <c r="B2190" s="1" t="str">
        <f aca="false">IF($H2190="","",YEAR($H2190)&amp;"-Q"&amp;ROUNDUP(MONTH($H2190)/3,0))</f>
        <v/>
      </c>
      <c r="S2190" s="1" t="str">
        <f aca="false">IF($C2190="","",$C2190&amp;"|"&amp;$E2190&amp;"|"&amp;$F2190&amp;"|"&amp;$L2190&amp;"|"&amp;$P2190&amp;"|"&amp;TEXT($H2190,"yyyy-mm-dd"))</f>
        <v/>
      </c>
      <c r="T2190" s="1" t="str">
        <f aca="false">IF($S2190="","",IF(COUNTIF($S$2:$S$2991,$S2190)&gt;1,"DUPLICATE","OK"))</f>
        <v/>
      </c>
      <c r="U2190" s="0" t="str">
        <f aca="false">IF($L2190="","",IFERROR(VLOOKUP(--$L2190,MM_Income!$Z$5:$AC$204,3,FALSE()),"UNMAPPED"))</f>
        <v/>
      </c>
    </row>
    <row r="2191" customFormat="false" ht="13.5" hidden="false" customHeight="false" outlineLevel="0" collapsed="false">
      <c r="A2191" s="1" t="str">
        <f aca="false">IF($C2191="","",Controls!$B$7)</f>
        <v/>
      </c>
      <c r="B2191" s="1" t="str">
        <f aca="false">IF($H2191="","",YEAR($H2191)&amp;"-Q"&amp;ROUNDUP(MONTH($H2191)/3,0))</f>
        <v/>
      </c>
      <c r="S2191" s="1" t="str">
        <f aca="false">IF($C2191="","",$C2191&amp;"|"&amp;$E2191&amp;"|"&amp;$F2191&amp;"|"&amp;$L2191&amp;"|"&amp;$P2191&amp;"|"&amp;TEXT($H2191,"yyyy-mm-dd"))</f>
        <v/>
      </c>
      <c r="T2191" s="1" t="str">
        <f aca="false">IF($S2191="","",IF(COUNTIF($S$2:$S$2991,$S2191)&gt;1,"DUPLICATE","OK"))</f>
        <v/>
      </c>
      <c r="U2191" s="0" t="str">
        <f aca="false">IF($L2191="","",IFERROR(VLOOKUP(--$L2191,MM_Income!$Z$5:$AC$204,3,FALSE()),"UNMAPPED"))</f>
        <v/>
      </c>
    </row>
    <row r="2192" customFormat="false" ht="13.5" hidden="false" customHeight="false" outlineLevel="0" collapsed="false">
      <c r="A2192" s="1" t="str">
        <f aca="false">IF($C2192="","",Controls!$B$7)</f>
        <v/>
      </c>
      <c r="B2192" s="1" t="str">
        <f aca="false">IF($H2192="","",YEAR($H2192)&amp;"-Q"&amp;ROUNDUP(MONTH($H2192)/3,0))</f>
        <v/>
      </c>
      <c r="S2192" s="1" t="str">
        <f aca="false">IF($C2192="","",$C2192&amp;"|"&amp;$E2192&amp;"|"&amp;$F2192&amp;"|"&amp;$L2192&amp;"|"&amp;$P2192&amp;"|"&amp;TEXT($H2192,"yyyy-mm-dd"))</f>
        <v/>
      </c>
      <c r="T2192" s="1" t="str">
        <f aca="false">IF($S2192="","",IF(COUNTIF($S$2:$S$2991,$S2192)&gt;1,"DUPLICATE","OK"))</f>
        <v/>
      </c>
      <c r="U2192" s="0" t="str">
        <f aca="false">IF($L2192="","",IFERROR(VLOOKUP(--$L2192,MM_Income!$Z$5:$AC$204,3,FALSE()),"UNMAPPED"))</f>
        <v/>
      </c>
    </row>
    <row r="2193" customFormat="false" ht="13.5" hidden="false" customHeight="false" outlineLevel="0" collapsed="false">
      <c r="A2193" s="1" t="str">
        <f aca="false">IF($C2193="","",Controls!$B$7)</f>
        <v/>
      </c>
      <c r="B2193" s="1" t="str">
        <f aca="false">IF($H2193="","",YEAR($H2193)&amp;"-Q"&amp;ROUNDUP(MONTH($H2193)/3,0))</f>
        <v/>
      </c>
      <c r="S2193" s="1" t="str">
        <f aca="false">IF($C2193="","",$C2193&amp;"|"&amp;$E2193&amp;"|"&amp;$F2193&amp;"|"&amp;$L2193&amp;"|"&amp;$P2193&amp;"|"&amp;TEXT($H2193,"yyyy-mm-dd"))</f>
        <v/>
      </c>
      <c r="T2193" s="1" t="str">
        <f aca="false">IF($S2193="","",IF(COUNTIF($S$2:$S$2991,$S2193)&gt;1,"DUPLICATE","OK"))</f>
        <v/>
      </c>
      <c r="U2193" s="0" t="str">
        <f aca="false">IF($L2193="","",IFERROR(VLOOKUP(--$L2193,MM_Income!$Z$5:$AC$204,3,FALSE()),"UNMAPPED"))</f>
        <v/>
      </c>
    </row>
    <row r="2194" customFormat="false" ht="13.5" hidden="false" customHeight="false" outlineLevel="0" collapsed="false">
      <c r="A2194" s="1" t="str">
        <f aca="false">IF($C2194="","",Controls!$B$7)</f>
        <v/>
      </c>
      <c r="B2194" s="1" t="str">
        <f aca="false">IF($H2194="","",YEAR($H2194)&amp;"-Q"&amp;ROUNDUP(MONTH($H2194)/3,0))</f>
        <v/>
      </c>
      <c r="S2194" s="1" t="str">
        <f aca="false">IF($C2194="","",$C2194&amp;"|"&amp;$E2194&amp;"|"&amp;$F2194&amp;"|"&amp;$L2194&amp;"|"&amp;$P2194&amp;"|"&amp;TEXT($H2194,"yyyy-mm-dd"))</f>
        <v/>
      </c>
      <c r="T2194" s="1" t="str">
        <f aca="false">IF($S2194="","",IF(COUNTIF($S$2:$S$2991,$S2194)&gt;1,"DUPLICATE","OK"))</f>
        <v/>
      </c>
      <c r="U2194" s="0" t="str">
        <f aca="false">IF($L2194="","",IFERROR(VLOOKUP(--$L2194,MM_Income!$Z$5:$AC$204,3,FALSE()),"UNMAPPED"))</f>
        <v/>
      </c>
    </row>
    <row r="2195" customFormat="false" ht="13.5" hidden="false" customHeight="false" outlineLevel="0" collapsed="false">
      <c r="A2195" s="1" t="str">
        <f aca="false">IF($C2195="","",Controls!$B$7)</f>
        <v/>
      </c>
      <c r="B2195" s="1" t="str">
        <f aca="false">IF($H2195="","",YEAR($H2195)&amp;"-Q"&amp;ROUNDUP(MONTH($H2195)/3,0))</f>
        <v/>
      </c>
      <c r="S2195" s="1" t="str">
        <f aca="false">IF($C2195="","",$C2195&amp;"|"&amp;$E2195&amp;"|"&amp;$F2195&amp;"|"&amp;$L2195&amp;"|"&amp;$P2195&amp;"|"&amp;TEXT($H2195,"yyyy-mm-dd"))</f>
        <v/>
      </c>
      <c r="T2195" s="1" t="str">
        <f aca="false">IF($S2195="","",IF(COUNTIF($S$2:$S$2991,$S2195)&gt;1,"DUPLICATE","OK"))</f>
        <v/>
      </c>
      <c r="U2195" s="0" t="str">
        <f aca="false">IF($L2195="","",IFERROR(VLOOKUP(--$L2195,MM_Income!$Z$5:$AC$204,3,FALSE()),"UNMAPPED"))</f>
        <v/>
      </c>
    </row>
    <row r="2196" customFormat="false" ht="13.5" hidden="false" customHeight="false" outlineLevel="0" collapsed="false">
      <c r="A2196" s="1" t="str">
        <f aca="false">IF($C2196="","",Controls!$B$7)</f>
        <v/>
      </c>
      <c r="B2196" s="1" t="str">
        <f aca="false">IF($H2196="","",YEAR($H2196)&amp;"-Q"&amp;ROUNDUP(MONTH($H2196)/3,0))</f>
        <v/>
      </c>
      <c r="S2196" s="1" t="str">
        <f aca="false">IF($C2196="","",$C2196&amp;"|"&amp;$E2196&amp;"|"&amp;$F2196&amp;"|"&amp;$L2196&amp;"|"&amp;$P2196&amp;"|"&amp;TEXT($H2196,"yyyy-mm-dd"))</f>
        <v/>
      </c>
      <c r="T2196" s="1" t="str">
        <f aca="false">IF($S2196="","",IF(COUNTIF($S$2:$S$2991,$S2196)&gt;1,"DUPLICATE","OK"))</f>
        <v/>
      </c>
      <c r="U2196" s="0" t="str">
        <f aca="false">IF($L2196="","",IFERROR(VLOOKUP(--$L2196,MM_Income!$Z$5:$AC$204,3,FALSE()),"UNMAPPED"))</f>
        <v/>
      </c>
    </row>
    <row r="2197" customFormat="false" ht="13.5" hidden="false" customHeight="false" outlineLevel="0" collapsed="false">
      <c r="A2197" s="1" t="str">
        <f aca="false">IF($C2197="","",Controls!$B$7)</f>
        <v/>
      </c>
      <c r="B2197" s="1" t="str">
        <f aca="false">IF($H2197="","",YEAR($H2197)&amp;"-Q"&amp;ROUNDUP(MONTH($H2197)/3,0))</f>
        <v/>
      </c>
      <c r="S2197" s="1" t="str">
        <f aca="false">IF($C2197="","",$C2197&amp;"|"&amp;$E2197&amp;"|"&amp;$F2197&amp;"|"&amp;$L2197&amp;"|"&amp;$P2197&amp;"|"&amp;TEXT($H2197,"yyyy-mm-dd"))</f>
        <v/>
      </c>
      <c r="T2197" s="1" t="str">
        <f aca="false">IF($S2197="","",IF(COUNTIF($S$2:$S$2991,$S2197)&gt;1,"DUPLICATE","OK"))</f>
        <v/>
      </c>
      <c r="U2197" s="0" t="str">
        <f aca="false">IF($L2197="","",IFERROR(VLOOKUP(--$L2197,MM_Income!$Z$5:$AC$204,3,FALSE()),"UNMAPPED"))</f>
        <v/>
      </c>
    </row>
    <row r="2198" customFormat="false" ht="13.5" hidden="false" customHeight="false" outlineLevel="0" collapsed="false">
      <c r="A2198" s="1" t="str">
        <f aca="false">IF($C2198="","",Controls!$B$7)</f>
        <v/>
      </c>
      <c r="B2198" s="1" t="str">
        <f aca="false">IF($H2198="","",YEAR($H2198)&amp;"-Q"&amp;ROUNDUP(MONTH($H2198)/3,0))</f>
        <v/>
      </c>
      <c r="S2198" s="1" t="str">
        <f aca="false">IF($C2198="","",$C2198&amp;"|"&amp;$E2198&amp;"|"&amp;$F2198&amp;"|"&amp;$L2198&amp;"|"&amp;$P2198&amp;"|"&amp;TEXT($H2198,"yyyy-mm-dd"))</f>
        <v/>
      </c>
      <c r="T2198" s="1" t="str">
        <f aca="false">IF($S2198="","",IF(COUNTIF($S$2:$S$2991,$S2198)&gt;1,"DUPLICATE","OK"))</f>
        <v/>
      </c>
      <c r="U2198" s="0" t="str">
        <f aca="false">IF($L2198="","",IFERROR(VLOOKUP(--$L2198,MM_Income!$Z$5:$AC$204,3,FALSE()),"UNMAPPED"))</f>
        <v/>
      </c>
    </row>
    <row r="2199" customFormat="false" ht="13.5" hidden="false" customHeight="false" outlineLevel="0" collapsed="false">
      <c r="A2199" s="1" t="str">
        <f aca="false">IF($C2199="","",Controls!$B$7)</f>
        <v/>
      </c>
      <c r="B2199" s="1" t="str">
        <f aca="false">IF($H2199="","",YEAR($H2199)&amp;"-Q"&amp;ROUNDUP(MONTH($H2199)/3,0))</f>
        <v/>
      </c>
      <c r="S2199" s="1" t="str">
        <f aca="false">IF($C2199="","",$C2199&amp;"|"&amp;$E2199&amp;"|"&amp;$F2199&amp;"|"&amp;$L2199&amp;"|"&amp;$P2199&amp;"|"&amp;TEXT($H2199,"yyyy-mm-dd"))</f>
        <v/>
      </c>
      <c r="T2199" s="1" t="str">
        <f aca="false">IF($S2199="","",IF(COUNTIF($S$2:$S$2991,$S2199)&gt;1,"DUPLICATE","OK"))</f>
        <v/>
      </c>
      <c r="U2199" s="0" t="str">
        <f aca="false">IF($L2199="","",IFERROR(VLOOKUP(--$L2199,MM_Income!$Z$5:$AC$204,3,FALSE()),"UNMAPPED"))</f>
        <v/>
      </c>
    </row>
    <row r="2200" customFormat="false" ht="13.5" hidden="false" customHeight="false" outlineLevel="0" collapsed="false">
      <c r="A2200" s="1" t="str">
        <f aca="false">IF($C2200="","",Controls!$B$7)</f>
        <v/>
      </c>
      <c r="B2200" s="1" t="str">
        <f aca="false">IF($H2200="","",YEAR($H2200)&amp;"-Q"&amp;ROUNDUP(MONTH($H2200)/3,0))</f>
        <v/>
      </c>
      <c r="S2200" s="1" t="str">
        <f aca="false">IF($C2200="","",$C2200&amp;"|"&amp;$E2200&amp;"|"&amp;$F2200&amp;"|"&amp;$L2200&amp;"|"&amp;$P2200&amp;"|"&amp;TEXT($H2200,"yyyy-mm-dd"))</f>
        <v/>
      </c>
      <c r="T2200" s="1" t="str">
        <f aca="false">IF($S2200="","",IF(COUNTIF($S$2:$S$2991,$S2200)&gt;1,"DUPLICATE","OK"))</f>
        <v/>
      </c>
      <c r="U2200" s="0" t="str">
        <f aca="false">IF($L2200="","",IFERROR(VLOOKUP(--$L2200,MM_Income!$Z$5:$AC$204,3,FALSE()),"UNMAPPED"))</f>
        <v/>
      </c>
    </row>
    <row r="2201" customFormat="false" ht="13.5" hidden="false" customHeight="false" outlineLevel="0" collapsed="false">
      <c r="A2201" s="1" t="str">
        <f aca="false">IF($C2201="","",Controls!$B$7)</f>
        <v/>
      </c>
      <c r="B2201" s="1" t="str">
        <f aca="false">IF($H2201="","",YEAR($H2201)&amp;"-Q"&amp;ROUNDUP(MONTH($H2201)/3,0))</f>
        <v/>
      </c>
      <c r="S2201" s="1" t="str">
        <f aca="false">IF($C2201="","",$C2201&amp;"|"&amp;$E2201&amp;"|"&amp;$F2201&amp;"|"&amp;$L2201&amp;"|"&amp;$P2201&amp;"|"&amp;TEXT($H2201,"yyyy-mm-dd"))</f>
        <v/>
      </c>
      <c r="T2201" s="1" t="str">
        <f aca="false">IF($S2201="","",IF(COUNTIF($S$2:$S$2991,$S2201)&gt;1,"DUPLICATE","OK"))</f>
        <v/>
      </c>
      <c r="U2201" s="0" t="str">
        <f aca="false">IF($L2201="","",IFERROR(VLOOKUP(--$L2201,MM_Income!$Z$5:$AC$204,3,FALSE()),"UNMAPPED"))</f>
        <v/>
      </c>
    </row>
    <row r="2202" customFormat="false" ht="13.5" hidden="false" customHeight="false" outlineLevel="0" collapsed="false">
      <c r="A2202" s="1" t="str">
        <f aca="false">IF($C2202="","",Controls!$B$7)</f>
        <v/>
      </c>
      <c r="B2202" s="1" t="str">
        <f aca="false">IF($H2202="","",YEAR($H2202)&amp;"-Q"&amp;ROUNDUP(MONTH($H2202)/3,0))</f>
        <v/>
      </c>
      <c r="S2202" s="1" t="str">
        <f aca="false">IF($C2202="","",$C2202&amp;"|"&amp;$E2202&amp;"|"&amp;$F2202&amp;"|"&amp;$L2202&amp;"|"&amp;$P2202&amp;"|"&amp;TEXT($H2202,"yyyy-mm-dd"))</f>
        <v/>
      </c>
      <c r="T2202" s="1" t="str">
        <f aca="false">IF($S2202="","",IF(COUNTIF($S$2:$S$2991,$S2202)&gt;1,"DUPLICATE","OK"))</f>
        <v/>
      </c>
      <c r="U2202" s="0" t="str">
        <f aca="false">IF($L2202="","",IFERROR(VLOOKUP(--$L2202,MM_Income!$Z$5:$AC$204,3,FALSE()),"UNMAPPED"))</f>
        <v/>
      </c>
    </row>
    <row r="2203" customFormat="false" ht="13.5" hidden="false" customHeight="false" outlineLevel="0" collapsed="false">
      <c r="A2203" s="1" t="str">
        <f aca="false">IF($C2203="","",Controls!$B$7)</f>
        <v/>
      </c>
      <c r="B2203" s="1" t="str">
        <f aca="false">IF($H2203="","",YEAR($H2203)&amp;"-Q"&amp;ROUNDUP(MONTH($H2203)/3,0))</f>
        <v/>
      </c>
      <c r="S2203" s="1" t="str">
        <f aca="false">IF($C2203="","",$C2203&amp;"|"&amp;$E2203&amp;"|"&amp;$F2203&amp;"|"&amp;$L2203&amp;"|"&amp;$P2203&amp;"|"&amp;TEXT($H2203,"yyyy-mm-dd"))</f>
        <v/>
      </c>
      <c r="T2203" s="1" t="str">
        <f aca="false">IF($S2203="","",IF(COUNTIF($S$2:$S$2991,$S2203)&gt;1,"DUPLICATE","OK"))</f>
        <v/>
      </c>
      <c r="U2203" s="0" t="str">
        <f aca="false">IF($L2203="","",IFERROR(VLOOKUP(--$L2203,MM_Income!$Z$5:$AC$204,3,FALSE()),"UNMAPPED"))</f>
        <v/>
      </c>
    </row>
    <row r="2204" customFormat="false" ht="13.5" hidden="false" customHeight="false" outlineLevel="0" collapsed="false">
      <c r="A2204" s="1" t="str">
        <f aca="false">IF($C2204="","",Controls!$B$7)</f>
        <v/>
      </c>
      <c r="B2204" s="1" t="str">
        <f aca="false">IF($H2204="","",YEAR($H2204)&amp;"-Q"&amp;ROUNDUP(MONTH($H2204)/3,0))</f>
        <v/>
      </c>
      <c r="S2204" s="1" t="str">
        <f aca="false">IF($C2204="","",$C2204&amp;"|"&amp;$E2204&amp;"|"&amp;$F2204&amp;"|"&amp;$L2204&amp;"|"&amp;$P2204&amp;"|"&amp;TEXT($H2204,"yyyy-mm-dd"))</f>
        <v/>
      </c>
      <c r="T2204" s="1" t="str">
        <f aca="false">IF($S2204="","",IF(COUNTIF($S$2:$S$2991,$S2204)&gt;1,"DUPLICATE","OK"))</f>
        <v/>
      </c>
      <c r="U2204" s="0" t="str">
        <f aca="false">IF($L2204="","",IFERROR(VLOOKUP(--$L2204,MM_Income!$Z$5:$AC$204,3,FALSE()),"UNMAPPED"))</f>
        <v/>
      </c>
    </row>
    <row r="2205" customFormat="false" ht="13.5" hidden="false" customHeight="false" outlineLevel="0" collapsed="false">
      <c r="A2205" s="1" t="str">
        <f aca="false">IF($C2205="","",Controls!$B$7)</f>
        <v/>
      </c>
      <c r="B2205" s="1" t="str">
        <f aca="false">IF($H2205="","",YEAR($H2205)&amp;"-Q"&amp;ROUNDUP(MONTH($H2205)/3,0))</f>
        <v/>
      </c>
      <c r="S2205" s="1" t="str">
        <f aca="false">IF($C2205="","",$C2205&amp;"|"&amp;$E2205&amp;"|"&amp;$F2205&amp;"|"&amp;$L2205&amp;"|"&amp;$P2205&amp;"|"&amp;TEXT($H2205,"yyyy-mm-dd"))</f>
        <v/>
      </c>
      <c r="T2205" s="1" t="str">
        <f aca="false">IF($S2205="","",IF(COUNTIF($S$2:$S$2991,$S2205)&gt;1,"DUPLICATE","OK"))</f>
        <v/>
      </c>
      <c r="U2205" s="0" t="str">
        <f aca="false">IF($L2205="","",IFERROR(VLOOKUP(--$L2205,MM_Income!$Z$5:$AC$204,3,FALSE()),"UNMAPPED"))</f>
        <v/>
      </c>
    </row>
    <row r="2206" customFormat="false" ht="13.5" hidden="false" customHeight="false" outlineLevel="0" collapsed="false">
      <c r="A2206" s="1" t="str">
        <f aca="false">IF($C2206="","",Controls!$B$7)</f>
        <v/>
      </c>
      <c r="B2206" s="1" t="str">
        <f aca="false">IF($H2206="","",YEAR($H2206)&amp;"-Q"&amp;ROUNDUP(MONTH($H2206)/3,0))</f>
        <v/>
      </c>
      <c r="S2206" s="1" t="str">
        <f aca="false">IF($C2206="","",$C2206&amp;"|"&amp;$E2206&amp;"|"&amp;$F2206&amp;"|"&amp;$L2206&amp;"|"&amp;$P2206&amp;"|"&amp;TEXT($H2206,"yyyy-mm-dd"))</f>
        <v/>
      </c>
      <c r="T2206" s="1" t="str">
        <f aca="false">IF($S2206="","",IF(COUNTIF($S$2:$S$2991,$S2206)&gt;1,"DUPLICATE","OK"))</f>
        <v/>
      </c>
      <c r="U2206" s="0" t="str">
        <f aca="false">IF($L2206="","",IFERROR(VLOOKUP(--$L2206,MM_Income!$Z$5:$AC$204,3,FALSE()),"UNMAPPED"))</f>
        <v/>
      </c>
    </row>
    <row r="2207" customFormat="false" ht="13.5" hidden="false" customHeight="false" outlineLevel="0" collapsed="false">
      <c r="A2207" s="1" t="str">
        <f aca="false">IF($C2207="","",Controls!$B$7)</f>
        <v/>
      </c>
      <c r="B2207" s="1" t="str">
        <f aca="false">IF($H2207="","",YEAR($H2207)&amp;"-Q"&amp;ROUNDUP(MONTH($H2207)/3,0))</f>
        <v/>
      </c>
      <c r="S2207" s="1" t="str">
        <f aca="false">IF($C2207="","",$C2207&amp;"|"&amp;$E2207&amp;"|"&amp;$F2207&amp;"|"&amp;$L2207&amp;"|"&amp;$P2207&amp;"|"&amp;TEXT($H2207,"yyyy-mm-dd"))</f>
        <v/>
      </c>
      <c r="T2207" s="1" t="str">
        <f aca="false">IF($S2207="","",IF(COUNTIF($S$2:$S$2991,$S2207)&gt;1,"DUPLICATE","OK"))</f>
        <v/>
      </c>
      <c r="U2207" s="0" t="str">
        <f aca="false">IF($L2207="","",IFERROR(VLOOKUP(--$L2207,MM_Income!$Z$5:$AC$204,3,FALSE()),"UNMAPPED"))</f>
        <v/>
      </c>
    </row>
    <row r="2208" customFormat="false" ht="13.5" hidden="false" customHeight="false" outlineLevel="0" collapsed="false">
      <c r="A2208" s="1" t="str">
        <f aca="false">IF($C2208="","",Controls!$B$7)</f>
        <v/>
      </c>
      <c r="B2208" s="1" t="str">
        <f aca="false">IF($H2208="","",YEAR($H2208)&amp;"-Q"&amp;ROUNDUP(MONTH($H2208)/3,0))</f>
        <v/>
      </c>
      <c r="S2208" s="1" t="str">
        <f aca="false">IF($C2208="","",$C2208&amp;"|"&amp;$E2208&amp;"|"&amp;$F2208&amp;"|"&amp;$L2208&amp;"|"&amp;$P2208&amp;"|"&amp;TEXT($H2208,"yyyy-mm-dd"))</f>
        <v/>
      </c>
      <c r="T2208" s="1" t="str">
        <f aca="false">IF($S2208="","",IF(COUNTIF($S$2:$S$2991,$S2208)&gt;1,"DUPLICATE","OK"))</f>
        <v/>
      </c>
      <c r="U2208" s="0" t="str">
        <f aca="false">IF($L2208="","",IFERROR(VLOOKUP(--$L2208,MM_Income!$Z$5:$AC$204,3,FALSE()),"UNMAPPED"))</f>
        <v/>
      </c>
    </row>
    <row r="2209" customFormat="false" ht="13.5" hidden="false" customHeight="false" outlineLevel="0" collapsed="false">
      <c r="A2209" s="1" t="str">
        <f aca="false">IF($C2209="","",Controls!$B$7)</f>
        <v/>
      </c>
      <c r="B2209" s="1" t="str">
        <f aca="false">IF($H2209="","",YEAR($H2209)&amp;"-Q"&amp;ROUNDUP(MONTH($H2209)/3,0))</f>
        <v/>
      </c>
      <c r="S2209" s="1" t="str">
        <f aca="false">IF($C2209="","",$C2209&amp;"|"&amp;$E2209&amp;"|"&amp;$F2209&amp;"|"&amp;$L2209&amp;"|"&amp;$P2209&amp;"|"&amp;TEXT($H2209,"yyyy-mm-dd"))</f>
        <v/>
      </c>
      <c r="T2209" s="1" t="str">
        <f aca="false">IF($S2209="","",IF(COUNTIF($S$2:$S$2991,$S2209)&gt;1,"DUPLICATE","OK"))</f>
        <v/>
      </c>
      <c r="U2209" s="0" t="str">
        <f aca="false">IF($L2209="","",IFERROR(VLOOKUP(--$L2209,MM_Income!$Z$5:$AC$204,3,FALSE()),"UNMAPPED"))</f>
        <v/>
      </c>
    </row>
    <row r="2210" customFormat="false" ht="13.5" hidden="false" customHeight="false" outlineLevel="0" collapsed="false">
      <c r="A2210" s="1" t="str">
        <f aca="false">IF($C2210="","",Controls!$B$7)</f>
        <v/>
      </c>
      <c r="B2210" s="1" t="str">
        <f aca="false">IF($H2210="","",YEAR($H2210)&amp;"-Q"&amp;ROUNDUP(MONTH($H2210)/3,0))</f>
        <v/>
      </c>
      <c r="S2210" s="1" t="str">
        <f aca="false">IF($C2210="","",$C2210&amp;"|"&amp;$E2210&amp;"|"&amp;$F2210&amp;"|"&amp;$L2210&amp;"|"&amp;$P2210&amp;"|"&amp;TEXT($H2210,"yyyy-mm-dd"))</f>
        <v/>
      </c>
      <c r="T2210" s="1" t="str">
        <f aca="false">IF($S2210="","",IF(COUNTIF($S$2:$S$2991,$S2210)&gt;1,"DUPLICATE","OK"))</f>
        <v/>
      </c>
      <c r="U2210" s="0" t="str">
        <f aca="false">IF($L2210="","",IFERROR(VLOOKUP(--$L2210,MM_Income!$Z$5:$AC$204,3,FALSE()),"UNMAPPED"))</f>
        <v/>
      </c>
    </row>
    <row r="2211" customFormat="false" ht="13.5" hidden="false" customHeight="false" outlineLevel="0" collapsed="false">
      <c r="A2211" s="1" t="str">
        <f aca="false">IF($C2211="","",Controls!$B$7)</f>
        <v/>
      </c>
      <c r="B2211" s="1" t="str">
        <f aca="false">IF($H2211="","",YEAR($H2211)&amp;"-Q"&amp;ROUNDUP(MONTH($H2211)/3,0))</f>
        <v/>
      </c>
      <c r="S2211" s="1" t="str">
        <f aca="false">IF($C2211="","",$C2211&amp;"|"&amp;$E2211&amp;"|"&amp;$F2211&amp;"|"&amp;$L2211&amp;"|"&amp;$P2211&amp;"|"&amp;TEXT($H2211,"yyyy-mm-dd"))</f>
        <v/>
      </c>
      <c r="T2211" s="1" t="str">
        <f aca="false">IF($S2211="","",IF(COUNTIF($S$2:$S$2991,$S2211)&gt;1,"DUPLICATE","OK"))</f>
        <v/>
      </c>
      <c r="U2211" s="0" t="str">
        <f aca="false">IF($L2211="","",IFERROR(VLOOKUP(--$L2211,MM_Income!$Z$5:$AC$204,3,FALSE()),"UNMAPPED"))</f>
        <v/>
      </c>
    </row>
    <row r="2212" customFormat="false" ht="13.5" hidden="false" customHeight="false" outlineLevel="0" collapsed="false">
      <c r="A2212" s="1" t="str">
        <f aca="false">IF($C2212="","",Controls!$B$7)</f>
        <v/>
      </c>
      <c r="B2212" s="1" t="str">
        <f aca="false">IF($H2212="","",YEAR($H2212)&amp;"-Q"&amp;ROUNDUP(MONTH($H2212)/3,0))</f>
        <v/>
      </c>
      <c r="S2212" s="1" t="str">
        <f aca="false">IF($C2212="","",$C2212&amp;"|"&amp;$E2212&amp;"|"&amp;$F2212&amp;"|"&amp;$L2212&amp;"|"&amp;$P2212&amp;"|"&amp;TEXT($H2212,"yyyy-mm-dd"))</f>
        <v/>
      </c>
      <c r="T2212" s="1" t="str">
        <f aca="false">IF($S2212="","",IF(COUNTIF($S$2:$S$2991,$S2212)&gt;1,"DUPLICATE","OK"))</f>
        <v/>
      </c>
      <c r="U2212" s="0" t="str">
        <f aca="false">IF($L2212="","",IFERROR(VLOOKUP(--$L2212,MM_Income!$Z$5:$AC$204,3,FALSE()),"UNMAPPED"))</f>
        <v/>
      </c>
    </row>
    <row r="2213" customFormat="false" ht="13.5" hidden="false" customHeight="false" outlineLevel="0" collapsed="false">
      <c r="A2213" s="1" t="str">
        <f aca="false">IF($C2213="","",Controls!$B$7)</f>
        <v/>
      </c>
      <c r="B2213" s="1" t="str">
        <f aca="false">IF($H2213="","",YEAR($H2213)&amp;"-Q"&amp;ROUNDUP(MONTH($H2213)/3,0))</f>
        <v/>
      </c>
      <c r="S2213" s="1" t="str">
        <f aca="false">IF($C2213="","",$C2213&amp;"|"&amp;$E2213&amp;"|"&amp;$F2213&amp;"|"&amp;$L2213&amp;"|"&amp;$P2213&amp;"|"&amp;TEXT($H2213,"yyyy-mm-dd"))</f>
        <v/>
      </c>
      <c r="T2213" s="1" t="str">
        <f aca="false">IF($S2213="","",IF(COUNTIF($S$2:$S$2991,$S2213)&gt;1,"DUPLICATE","OK"))</f>
        <v/>
      </c>
      <c r="U2213" s="0" t="str">
        <f aca="false">IF($L2213="","",IFERROR(VLOOKUP(--$L2213,MM_Income!$Z$5:$AC$204,3,FALSE()),"UNMAPPED"))</f>
        <v/>
      </c>
    </row>
    <row r="2214" customFormat="false" ht="13.5" hidden="false" customHeight="false" outlineLevel="0" collapsed="false">
      <c r="A2214" s="1" t="str">
        <f aca="false">IF($C2214="","",Controls!$B$7)</f>
        <v/>
      </c>
      <c r="B2214" s="1" t="str">
        <f aca="false">IF($H2214="","",YEAR($H2214)&amp;"-Q"&amp;ROUNDUP(MONTH($H2214)/3,0))</f>
        <v/>
      </c>
      <c r="S2214" s="1" t="str">
        <f aca="false">IF($C2214="","",$C2214&amp;"|"&amp;$E2214&amp;"|"&amp;$F2214&amp;"|"&amp;$L2214&amp;"|"&amp;$P2214&amp;"|"&amp;TEXT($H2214,"yyyy-mm-dd"))</f>
        <v/>
      </c>
      <c r="T2214" s="1" t="str">
        <f aca="false">IF($S2214="","",IF(COUNTIF($S$2:$S$2991,$S2214)&gt;1,"DUPLICATE","OK"))</f>
        <v/>
      </c>
      <c r="U2214" s="0" t="str">
        <f aca="false">IF($L2214="","",IFERROR(VLOOKUP(--$L2214,MM_Income!$Z$5:$AC$204,3,FALSE()),"UNMAPPED"))</f>
        <v/>
      </c>
    </row>
    <row r="2215" customFormat="false" ht="13.5" hidden="false" customHeight="false" outlineLevel="0" collapsed="false">
      <c r="A2215" s="1" t="str">
        <f aca="false">IF($C2215="","",Controls!$B$7)</f>
        <v/>
      </c>
      <c r="B2215" s="1" t="str">
        <f aca="false">IF($H2215="","",YEAR($H2215)&amp;"-Q"&amp;ROUNDUP(MONTH($H2215)/3,0))</f>
        <v/>
      </c>
      <c r="S2215" s="1" t="str">
        <f aca="false">IF($C2215="","",$C2215&amp;"|"&amp;$E2215&amp;"|"&amp;$F2215&amp;"|"&amp;$L2215&amp;"|"&amp;$P2215&amp;"|"&amp;TEXT($H2215,"yyyy-mm-dd"))</f>
        <v/>
      </c>
      <c r="T2215" s="1" t="str">
        <f aca="false">IF($S2215="","",IF(COUNTIF($S$2:$S$2991,$S2215)&gt;1,"DUPLICATE","OK"))</f>
        <v/>
      </c>
      <c r="U2215" s="0" t="str">
        <f aca="false">IF($L2215="","",IFERROR(VLOOKUP(--$L2215,MM_Income!$Z$5:$AC$204,3,FALSE()),"UNMAPPED"))</f>
        <v/>
      </c>
    </row>
    <row r="2216" customFormat="false" ht="13.5" hidden="false" customHeight="false" outlineLevel="0" collapsed="false">
      <c r="A2216" s="1" t="str">
        <f aca="false">IF($C2216="","",Controls!$B$7)</f>
        <v/>
      </c>
      <c r="B2216" s="1" t="str">
        <f aca="false">IF($H2216="","",YEAR($H2216)&amp;"-Q"&amp;ROUNDUP(MONTH($H2216)/3,0))</f>
        <v/>
      </c>
      <c r="S2216" s="1" t="str">
        <f aca="false">IF($C2216="","",$C2216&amp;"|"&amp;$E2216&amp;"|"&amp;$F2216&amp;"|"&amp;$L2216&amp;"|"&amp;$P2216&amp;"|"&amp;TEXT($H2216,"yyyy-mm-dd"))</f>
        <v/>
      </c>
      <c r="T2216" s="1" t="str">
        <f aca="false">IF($S2216="","",IF(COUNTIF($S$2:$S$2991,$S2216)&gt;1,"DUPLICATE","OK"))</f>
        <v/>
      </c>
      <c r="U2216" s="0" t="str">
        <f aca="false">IF($L2216="","",IFERROR(VLOOKUP(--$L2216,MM_Income!$Z$5:$AC$204,3,FALSE()),"UNMAPPED"))</f>
        <v/>
      </c>
    </row>
    <row r="2217" customFormat="false" ht="13.5" hidden="false" customHeight="false" outlineLevel="0" collapsed="false">
      <c r="A2217" s="1" t="str">
        <f aca="false">IF($C2217="","",Controls!$B$7)</f>
        <v/>
      </c>
      <c r="B2217" s="1" t="str">
        <f aca="false">IF($H2217="","",YEAR($H2217)&amp;"-Q"&amp;ROUNDUP(MONTH($H2217)/3,0))</f>
        <v/>
      </c>
      <c r="S2217" s="1" t="str">
        <f aca="false">IF($C2217="","",$C2217&amp;"|"&amp;$E2217&amp;"|"&amp;$F2217&amp;"|"&amp;$L2217&amp;"|"&amp;$P2217&amp;"|"&amp;TEXT($H2217,"yyyy-mm-dd"))</f>
        <v/>
      </c>
      <c r="T2217" s="1" t="str">
        <f aca="false">IF($S2217="","",IF(COUNTIF($S$2:$S$2991,$S2217)&gt;1,"DUPLICATE","OK"))</f>
        <v/>
      </c>
      <c r="U2217" s="0" t="str">
        <f aca="false">IF($L2217="","",IFERROR(VLOOKUP(--$L2217,MM_Income!$Z$5:$AC$204,3,FALSE()),"UNMAPPED"))</f>
        <v/>
      </c>
    </row>
    <row r="2218" customFormat="false" ht="13.5" hidden="false" customHeight="false" outlineLevel="0" collapsed="false">
      <c r="A2218" s="1" t="str">
        <f aca="false">IF($C2218="","",Controls!$B$7)</f>
        <v/>
      </c>
      <c r="B2218" s="1" t="str">
        <f aca="false">IF($H2218="","",YEAR($H2218)&amp;"-Q"&amp;ROUNDUP(MONTH($H2218)/3,0))</f>
        <v/>
      </c>
      <c r="S2218" s="1" t="str">
        <f aca="false">IF($C2218="","",$C2218&amp;"|"&amp;$E2218&amp;"|"&amp;$F2218&amp;"|"&amp;$L2218&amp;"|"&amp;$P2218&amp;"|"&amp;TEXT($H2218,"yyyy-mm-dd"))</f>
        <v/>
      </c>
      <c r="T2218" s="1" t="str">
        <f aca="false">IF($S2218="","",IF(COUNTIF($S$2:$S$2991,$S2218)&gt;1,"DUPLICATE","OK"))</f>
        <v/>
      </c>
      <c r="U2218" s="0" t="str">
        <f aca="false">IF($L2218="","",IFERROR(VLOOKUP(--$L2218,MM_Income!$Z$5:$AC$204,3,FALSE()),"UNMAPPED"))</f>
        <v/>
      </c>
    </row>
    <row r="2219" customFormat="false" ht="13.5" hidden="false" customHeight="false" outlineLevel="0" collapsed="false">
      <c r="A2219" s="1" t="str">
        <f aca="false">IF($C2219="","",Controls!$B$7)</f>
        <v/>
      </c>
      <c r="B2219" s="1" t="str">
        <f aca="false">IF($H2219="","",YEAR($H2219)&amp;"-Q"&amp;ROUNDUP(MONTH($H2219)/3,0))</f>
        <v/>
      </c>
      <c r="S2219" s="1" t="str">
        <f aca="false">IF($C2219="","",$C2219&amp;"|"&amp;$E2219&amp;"|"&amp;$F2219&amp;"|"&amp;$L2219&amp;"|"&amp;$P2219&amp;"|"&amp;TEXT($H2219,"yyyy-mm-dd"))</f>
        <v/>
      </c>
      <c r="T2219" s="1" t="str">
        <f aca="false">IF($S2219="","",IF(COUNTIF($S$2:$S$2991,$S2219)&gt;1,"DUPLICATE","OK"))</f>
        <v/>
      </c>
      <c r="U2219" s="0" t="str">
        <f aca="false">IF($L2219="","",IFERROR(VLOOKUP(--$L2219,MM_Income!$Z$5:$AC$204,3,FALSE()),"UNMAPPED"))</f>
        <v/>
      </c>
    </row>
    <row r="2220" customFormat="false" ht="13.5" hidden="false" customHeight="false" outlineLevel="0" collapsed="false">
      <c r="A2220" s="1" t="str">
        <f aca="false">IF($C2220="","",Controls!$B$7)</f>
        <v/>
      </c>
      <c r="B2220" s="1" t="str">
        <f aca="false">IF($H2220="","",YEAR($H2220)&amp;"-Q"&amp;ROUNDUP(MONTH($H2220)/3,0))</f>
        <v/>
      </c>
      <c r="S2220" s="1" t="str">
        <f aca="false">IF($C2220="","",$C2220&amp;"|"&amp;$E2220&amp;"|"&amp;$F2220&amp;"|"&amp;$L2220&amp;"|"&amp;$P2220&amp;"|"&amp;TEXT($H2220,"yyyy-mm-dd"))</f>
        <v/>
      </c>
      <c r="T2220" s="1" t="str">
        <f aca="false">IF($S2220="","",IF(COUNTIF($S$2:$S$2991,$S2220)&gt;1,"DUPLICATE","OK"))</f>
        <v/>
      </c>
      <c r="U2220" s="0" t="str">
        <f aca="false">IF($L2220="","",IFERROR(VLOOKUP(--$L2220,MM_Income!$Z$5:$AC$204,3,FALSE()),"UNMAPPED"))</f>
        <v/>
      </c>
    </row>
    <row r="2221" customFormat="false" ht="13.5" hidden="false" customHeight="false" outlineLevel="0" collapsed="false">
      <c r="A2221" s="1" t="str">
        <f aca="false">IF($C2221="","",Controls!$B$7)</f>
        <v/>
      </c>
      <c r="B2221" s="1" t="str">
        <f aca="false">IF($H2221="","",YEAR($H2221)&amp;"-Q"&amp;ROUNDUP(MONTH($H2221)/3,0))</f>
        <v/>
      </c>
      <c r="S2221" s="1" t="str">
        <f aca="false">IF($C2221="","",$C2221&amp;"|"&amp;$E2221&amp;"|"&amp;$F2221&amp;"|"&amp;$L2221&amp;"|"&amp;$P2221&amp;"|"&amp;TEXT($H2221,"yyyy-mm-dd"))</f>
        <v/>
      </c>
      <c r="T2221" s="1" t="str">
        <f aca="false">IF($S2221="","",IF(COUNTIF($S$2:$S$2991,$S2221)&gt;1,"DUPLICATE","OK"))</f>
        <v/>
      </c>
      <c r="U2221" s="0" t="str">
        <f aca="false">IF($L2221="","",IFERROR(VLOOKUP(--$L2221,MM_Income!$Z$5:$AC$204,3,FALSE()),"UNMAPPED"))</f>
        <v/>
      </c>
    </row>
    <row r="2222" customFormat="false" ht="13.5" hidden="false" customHeight="false" outlineLevel="0" collapsed="false">
      <c r="A2222" s="1" t="str">
        <f aca="false">IF($C2222="","",Controls!$B$7)</f>
        <v/>
      </c>
      <c r="B2222" s="1" t="str">
        <f aca="false">IF($H2222="","",YEAR($H2222)&amp;"-Q"&amp;ROUNDUP(MONTH($H2222)/3,0))</f>
        <v/>
      </c>
      <c r="S2222" s="1" t="str">
        <f aca="false">IF($C2222="","",$C2222&amp;"|"&amp;$E2222&amp;"|"&amp;$F2222&amp;"|"&amp;$L2222&amp;"|"&amp;$P2222&amp;"|"&amp;TEXT($H2222,"yyyy-mm-dd"))</f>
        <v/>
      </c>
      <c r="T2222" s="1" t="str">
        <f aca="false">IF($S2222="","",IF(COUNTIF($S$2:$S$2991,$S2222)&gt;1,"DUPLICATE","OK"))</f>
        <v/>
      </c>
      <c r="U2222" s="0" t="str">
        <f aca="false">IF($L2222="","",IFERROR(VLOOKUP(--$L2222,MM_Income!$Z$5:$AC$204,3,FALSE()),"UNMAPPED"))</f>
        <v/>
      </c>
    </row>
    <row r="2223" customFormat="false" ht="13.5" hidden="false" customHeight="false" outlineLevel="0" collapsed="false">
      <c r="A2223" s="1" t="str">
        <f aca="false">IF($C2223="","",Controls!$B$7)</f>
        <v/>
      </c>
      <c r="B2223" s="1" t="str">
        <f aca="false">IF($H2223="","",YEAR($H2223)&amp;"-Q"&amp;ROUNDUP(MONTH($H2223)/3,0))</f>
        <v/>
      </c>
      <c r="S2223" s="1" t="str">
        <f aca="false">IF($C2223="","",$C2223&amp;"|"&amp;$E2223&amp;"|"&amp;$F2223&amp;"|"&amp;$L2223&amp;"|"&amp;$P2223&amp;"|"&amp;TEXT($H2223,"yyyy-mm-dd"))</f>
        <v/>
      </c>
      <c r="T2223" s="1" t="str">
        <f aca="false">IF($S2223="","",IF(COUNTIF($S$2:$S$2991,$S2223)&gt;1,"DUPLICATE","OK"))</f>
        <v/>
      </c>
      <c r="U2223" s="0" t="str">
        <f aca="false">IF($L2223="","",IFERROR(VLOOKUP(--$L2223,MM_Income!$Z$5:$AC$204,3,FALSE()),"UNMAPPED"))</f>
        <v/>
      </c>
    </row>
    <row r="2224" customFormat="false" ht="13.5" hidden="false" customHeight="false" outlineLevel="0" collapsed="false">
      <c r="A2224" s="1" t="str">
        <f aca="false">IF($C2224="","",Controls!$B$7)</f>
        <v/>
      </c>
      <c r="B2224" s="1" t="str">
        <f aca="false">IF($H2224="","",YEAR($H2224)&amp;"-Q"&amp;ROUNDUP(MONTH($H2224)/3,0))</f>
        <v/>
      </c>
      <c r="S2224" s="1" t="str">
        <f aca="false">IF($C2224="","",$C2224&amp;"|"&amp;$E2224&amp;"|"&amp;$F2224&amp;"|"&amp;$L2224&amp;"|"&amp;$P2224&amp;"|"&amp;TEXT($H2224,"yyyy-mm-dd"))</f>
        <v/>
      </c>
      <c r="T2224" s="1" t="str">
        <f aca="false">IF($S2224="","",IF(COUNTIF($S$2:$S$2991,$S2224)&gt;1,"DUPLICATE","OK"))</f>
        <v/>
      </c>
      <c r="U2224" s="0" t="str">
        <f aca="false">IF($L2224="","",IFERROR(VLOOKUP(--$L2224,MM_Income!$Z$5:$AC$204,3,FALSE()),"UNMAPPED"))</f>
        <v/>
      </c>
    </row>
    <row r="2225" customFormat="false" ht="13.5" hidden="false" customHeight="false" outlineLevel="0" collapsed="false">
      <c r="A2225" s="1" t="str">
        <f aca="false">IF($C2225="","",Controls!$B$7)</f>
        <v/>
      </c>
      <c r="B2225" s="1" t="str">
        <f aca="false">IF($H2225="","",YEAR($H2225)&amp;"-Q"&amp;ROUNDUP(MONTH($H2225)/3,0))</f>
        <v/>
      </c>
      <c r="S2225" s="1" t="str">
        <f aca="false">IF($C2225="","",$C2225&amp;"|"&amp;$E2225&amp;"|"&amp;$F2225&amp;"|"&amp;$L2225&amp;"|"&amp;$P2225&amp;"|"&amp;TEXT($H2225,"yyyy-mm-dd"))</f>
        <v/>
      </c>
      <c r="T2225" s="1" t="str">
        <f aca="false">IF($S2225="","",IF(COUNTIF($S$2:$S$2991,$S2225)&gt;1,"DUPLICATE","OK"))</f>
        <v/>
      </c>
      <c r="U2225" s="0" t="str">
        <f aca="false">IF($L2225="","",IFERROR(VLOOKUP(--$L2225,MM_Income!$Z$5:$AC$204,3,FALSE()),"UNMAPPED"))</f>
        <v/>
      </c>
    </row>
    <row r="2226" customFormat="false" ht="13.5" hidden="false" customHeight="false" outlineLevel="0" collapsed="false">
      <c r="A2226" s="1" t="str">
        <f aca="false">IF($C2226="","",Controls!$B$7)</f>
        <v/>
      </c>
      <c r="B2226" s="1" t="str">
        <f aca="false">IF($H2226="","",YEAR($H2226)&amp;"-Q"&amp;ROUNDUP(MONTH($H2226)/3,0))</f>
        <v/>
      </c>
      <c r="S2226" s="1" t="str">
        <f aca="false">IF($C2226="","",$C2226&amp;"|"&amp;$E2226&amp;"|"&amp;$F2226&amp;"|"&amp;$L2226&amp;"|"&amp;$P2226&amp;"|"&amp;TEXT($H2226,"yyyy-mm-dd"))</f>
        <v/>
      </c>
      <c r="T2226" s="1" t="str">
        <f aca="false">IF($S2226="","",IF(COUNTIF($S$2:$S$2991,$S2226)&gt;1,"DUPLICATE","OK"))</f>
        <v/>
      </c>
      <c r="U2226" s="0" t="str">
        <f aca="false">IF($L2226="","",IFERROR(VLOOKUP(--$L2226,MM_Income!$Z$5:$AC$204,3,FALSE()),"UNMAPPED"))</f>
        <v/>
      </c>
    </row>
    <row r="2227" customFormat="false" ht="13.5" hidden="false" customHeight="false" outlineLevel="0" collapsed="false">
      <c r="A2227" s="1" t="str">
        <f aca="false">IF($C2227="","",Controls!$B$7)</f>
        <v/>
      </c>
      <c r="B2227" s="1" t="str">
        <f aca="false">IF($H2227="","",YEAR($H2227)&amp;"-Q"&amp;ROUNDUP(MONTH($H2227)/3,0))</f>
        <v/>
      </c>
      <c r="S2227" s="1" t="str">
        <f aca="false">IF($C2227="","",$C2227&amp;"|"&amp;$E2227&amp;"|"&amp;$F2227&amp;"|"&amp;$L2227&amp;"|"&amp;$P2227&amp;"|"&amp;TEXT($H2227,"yyyy-mm-dd"))</f>
        <v/>
      </c>
      <c r="T2227" s="1" t="str">
        <f aca="false">IF($S2227="","",IF(COUNTIF($S$2:$S$2991,$S2227)&gt;1,"DUPLICATE","OK"))</f>
        <v/>
      </c>
      <c r="U2227" s="0" t="str">
        <f aca="false">IF($L2227="","",IFERROR(VLOOKUP(--$L2227,MM_Income!$Z$5:$AC$204,3,FALSE()),"UNMAPPED"))</f>
        <v/>
      </c>
    </row>
    <row r="2228" customFormat="false" ht="13.5" hidden="false" customHeight="false" outlineLevel="0" collapsed="false">
      <c r="A2228" s="1" t="str">
        <f aca="false">IF($C2228="","",Controls!$B$7)</f>
        <v/>
      </c>
      <c r="B2228" s="1" t="str">
        <f aca="false">IF($H2228="","",YEAR($H2228)&amp;"-Q"&amp;ROUNDUP(MONTH($H2228)/3,0))</f>
        <v/>
      </c>
      <c r="S2228" s="1" t="str">
        <f aca="false">IF($C2228="","",$C2228&amp;"|"&amp;$E2228&amp;"|"&amp;$F2228&amp;"|"&amp;$L2228&amp;"|"&amp;$P2228&amp;"|"&amp;TEXT($H2228,"yyyy-mm-dd"))</f>
        <v/>
      </c>
      <c r="T2228" s="1" t="str">
        <f aca="false">IF($S2228="","",IF(COUNTIF($S$2:$S$2991,$S2228)&gt;1,"DUPLICATE","OK"))</f>
        <v/>
      </c>
      <c r="U2228" s="0" t="str">
        <f aca="false">IF($L2228="","",IFERROR(VLOOKUP(--$L2228,MM_Income!$Z$5:$AC$204,3,FALSE()),"UNMAPPED"))</f>
        <v/>
      </c>
    </row>
    <row r="2229" customFormat="false" ht="13.5" hidden="false" customHeight="false" outlineLevel="0" collapsed="false">
      <c r="A2229" s="1" t="str">
        <f aca="false">IF($C2229="","",Controls!$B$7)</f>
        <v/>
      </c>
      <c r="B2229" s="1" t="str">
        <f aca="false">IF($H2229="","",YEAR($H2229)&amp;"-Q"&amp;ROUNDUP(MONTH($H2229)/3,0))</f>
        <v/>
      </c>
      <c r="S2229" s="1" t="str">
        <f aca="false">IF($C2229="","",$C2229&amp;"|"&amp;$E2229&amp;"|"&amp;$F2229&amp;"|"&amp;$L2229&amp;"|"&amp;$P2229&amp;"|"&amp;TEXT($H2229,"yyyy-mm-dd"))</f>
        <v/>
      </c>
      <c r="T2229" s="1" t="str">
        <f aca="false">IF($S2229="","",IF(COUNTIF($S$2:$S$2991,$S2229)&gt;1,"DUPLICATE","OK"))</f>
        <v/>
      </c>
      <c r="U2229" s="0" t="str">
        <f aca="false">IF($L2229="","",IFERROR(VLOOKUP(--$L2229,MM_Income!$Z$5:$AC$204,3,FALSE()),"UNMAPPED"))</f>
        <v/>
      </c>
    </row>
    <row r="2230" customFormat="false" ht="13.5" hidden="false" customHeight="false" outlineLevel="0" collapsed="false">
      <c r="A2230" s="1" t="str">
        <f aca="false">IF($C2230="","",Controls!$B$7)</f>
        <v/>
      </c>
      <c r="B2230" s="1" t="str">
        <f aca="false">IF($H2230="","",YEAR($H2230)&amp;"-Q"&amp;ROUNDUP(MONTH($H2230)/3,0))</f>
        <v/>
      </c>
      <c r="S2230" s="1" t="str">
        <f aca="false">IF($C2230="","",$C2230&amp;"|"&amp;$E2230&amp;"|"&amp;$F2230&amp;"|"&amp;$L2230&amp;"|"&amp;$P2230&amp;"|"&amp;TEXT($H2230,"yyyy-mm-dd"))</f>
        <v/>
      </c>
      <c r="T2230" s="1" t="str">
        <f aca="false">IF($S2230="","",IF(COUNTIF($S$2:$S$2991,$S2230)&gt;1,"DUPLICATE","OK"))</f>
        <v/>
      </c>
      <c r="U2230" s="0" t="str">
        <f aca="false">IF($L2230="","",IFERROR(VLOOKUP(--$L2230,MM_Income!$Z$5:$AC$204,3,FALSE()),"UNMAPPED"))</f>
        <v/>
      </c>
    </row>
    <row r="2231" customFormat="false" ht="13.5" hidden="false" customHeight="false" outlineLevel="0" collapsed="false">
      <c r="A2231" s="1" t="str">
        <f aca="false">IF($C2231="","",Controls!$B$7)</f>
        <v/>
      </c>
      <c r="B2231" s="1" t="str">
        <f aca="false">IF($H2231="","",YEAR($H2231)&amp;"-Q"&amp;ROUNDUP(MONTH($H2231)/3,0))</f>
        <v/>
      </c>
      <c r="S2231" s="1" t="str">
        <f aca="false">IF($C2231="","",$C2231&amp;"|"&amp;$E2231&amp;"|"&amp;$F2231&amp;"|"&amp;$L2231&amp;"|"&amp;$P2231&amp;"|"&amp;TEXT($H2231,"yyyy-mm-dd"))</f>
        <v/>
      </c>
      <c r="T2231" s="1" t="str">
        <f aca="false">IF($S2231="","",IF(COUNTIF($S$2:$S$2991,$S2231)&gt;1,"DUPLICATE","OK"))</f>
        <v/>
      </c>
      <c r="U2231" s="0" t="str">
        <f aca="false">IF($L2231="","",IFERROR(VLOOKUP(--$L2231,MM_Income!$Z$5:$AC$204,3,FALSE()),"UNMAPPED"))</f>
        <v/>
      </c>
    </row>
    <row r="2232" customFormat="false" ht="13.5" hidden="false" customHeight="false" outlineLevel="0" collapsed="false">
      <c r="A2232" s="1" t="str">
        <f aca="false">IF($C2232="","",Controls!$B$7)</f>
        <v/>
      </c>
      <c r="B2232" s="1" t="str">
        <f aca="false">IF($H2232="","",YEAR($H2232)&amp;"-Q"&amp;ROUNDUP(MONTH($H2232)/3,0))</f>
        <v/>
      </c>
      <c r="S2232" s="1" t="str">
        <f aca="false">IF($C2232="","",$C2232&amp;"|"&amp;$E2232&amp;"|"&amp;$F2232&amp;"|"&amp;$L2232&amp;"|"&amp;$P2232&amp;"|"&amp;TEXT($H2232,"yyyy-mm-dd"))</f>
        <v/>
      </c>
      <c r="T2232" s="1" t="str">
        <f aca="false">IF($S2232="","",IF(COUNTIF($S$2:$S$2991,$S2232)&gt;1,"DUPLICATE","OK"))</f>
        <v/>
      </c>
      <c r="U2232" s="0" t="str">
        <f aca="false">IF($L2232="","",IFERROR(VLOOKUP(--$L2232,MM_Income!$Z$5:$AC$204,3,FALSE()),"UNMAPPED"))</f>
        <v/>
      </c>
    </row>
    <row r="2233" customFormat="false" ht="13.5" hidden="false" customHeight="false" outlineLevel="0" collapsed="false">
      <c r="A2233" s="1" t="str">
        <f aca="false">IF($C2233="","",Controls!$B$7)</f>
        <v/>
      </c>
      <c r="B2233" s="1" t="str">
        <f aca="false">IF($H2233="","",YEAR($H2233)&amp;"-Q"&amp;ROUNDUP(MONTH($H2233)/3,0))</f>
        <v/>
      </c>
      <c r="S2233" s="1" t="str">
        <f aca="false">IF($C2233="","",$C2233&amp;"|"&amp;$E2233&amp;"|"&amp;$F2233&amp;"|"&amp;$L2233&amp;"|"&amp;$P2233&amp;"|"&amp;TEXT($H2233,"yyyy-mm-dd"))</f>
        <v/>
      </c>
      <c r="T2233" s="1" t="str">
        <f aca="false">IF($S2233="","",IF(COUNTIF($S$2:$S$2991,$S2233)&gt;1,"DUPLICATE","OK"))</f>
        <v/>
      </c>
      <c r="U2233" s="0" t="str">
        <f aca="false">IF($L2233="","",IFERROR(VLOOKUP(--$L2233,MM_Income!$Z$5:$AC$204,3,FALSE()),"UNMAPPED"))</f>
        <v/>
      </c>
    </row>
    <row r="2234" customFormat="false" ht="13.5" hidden="false" customHeight="false" outlineLevel="0" collapsed="false">
      <c r="A2234" s="1" t="str">
        <f aca="false">IF($C2234="","",Controls!$B$7)</f>
        <v/>
      </c>
      <c r="B2234" s="1" t="str">
        <f aca="false">IF($H2234="","",YEAR($H2234)&amp;"-Q"&amp;ROUNDUP(MONTH($H2234)/3,0))</f>
        <v/>
      </c>
      <c r="S2234" s="1" t="str">
        <f aca="false">IF($C2234="","",$C2234&amp;"|"&amp;$E2234&amp;"|"&amp;$F2234&amp;"|"&amp;$L2234&amp;"|"&amp;$P2234&amp;"|"&amp;TEXT($H2234,"yyyy-mm-dd"))</f>
        <v/>
      </c>
      <c r="T2234" s="1" t="str">
        <f aca="false">IF($S2234="","",IF(COUNTIF($S$2:$S$2991,$S2234)&gt;1,"DUPLICATE","OK"))</f>
        <v/>
      </c>
      <c r="U2234" s="0" t="str">
        <f aca="false">IF($L2234="","",IFERROR(VLOOKUP(--$L2234,MM_Income!$Z$5:$AC$204,3,FALSE()),"UNMAPPED"))</f>
        <v/>
      </c>
    </row>
    <row r="2235" customFormat="false" ht="13.5" hidden="false" customHeight="false" outlineLevel="0" collapsed="false">
      <c r="A2235" s="1" t="str">
        <f aca="false">IF($C2235="","",Controls!$B$7)</f>
        <v/>
      </c>
      <c r="B2235" s="1" t="str">
        <f aca="false">IF($H2235="","",YEAR($H2235)&amp;"-Q"&amp;ROUNDUP(MONTH($H2235)/3,0))</f>
        <v/>
      </c>
      <c r="S2235" s="1" t="str">
        <f aca="false">IF($C2235="","",$C2235&amp;"|"&amp;$E2235&amp;"|"&amp;$F2235&amp;"|"&amp;$L2235&amp;"|"&amp;$P2235&amp;"|"&amp;TEXT($H2235,"yyyy-mm-dd"))</f>
        <v/>
      </c>
      <c r="T2235" s="1" t="str">
        <f aca="false">IF($S2235="","",IF(COUNTIF($S$2:$S$2991,$S2235)&gt;1,"DUPLICATE","OK"))</f>
        <v/>
      </c>
      <c r="U2235" s="0" t="str">
        <f aca="false">IF($L2235="","",IFERROR(VLOOKUP(--$L2235,MM_Income!$Z$5:$AC$204,3,FALSE()),"UNMAPPED"))</f>
        <v/>
      </c>
    </row>
    <row r="2236" customFormat="false" ht="13.5" hidden="false" customHeight="false" outlineLevel="0" collapsed="false">
      <c r="A2236" s="1" t="str">
        <f aca="false">IF($C2236="","",Controls!$B$7)</f>
        <v/>
      </c>
      <c r="B2236" s="1" t="str">
        <f aca="false">IF($H2236="","",YEAR($H2236)&amp;"-Q"&amp;ROUNDUP(MONTH($H2236)/3,0))</f>
        <v/>
      </c>
      <c r="S2236" s="1" t="str">
        <f aca="false">IF($C2236="","",$C2236&amp;"|"&amp;$E2236&amp;"|"&amp;$F2236&amp;"|"&amp;$L2236&amp;"|"&amp;$P2236&amp;"|"&amp;TEXT($H2236,"yyyy-mm-dd"))</f>
        <v/>
      </c>
      <c r="T2236" s="1" t="str">
        <f aca="false">IF($S2236="","",IF(COUNTIF($S$2:$S$2991,$S2236)&gt;1,"DUPLICATE","OK"))</f>
        <v/>
      </c>
      <c r="U2236" s="0" t="str">
        <f aca="false">IF($L2236="","",IFERROR(VLOOKUP(--$L2236,MM_Income!$Z$5:$AC$204,3,FALSE()),"UNMAPPED"))</f>
        <v/>
      </c>
    </row>
    <row r="2237" customFormat="false" ht="13.5" hidden="false" customHeight="false" outlineLevel="0" collapsed="false">
      <c r="A2237" s="1" t="str">
        <f aca="false">IF($C2237="","",Controls!$B$7)</f>
        <v/>
      </c>
      <c r="B2237" s="1" t="str">
        <f aca="false">IF($H2237="","",YEAR($H2237)&amp;"-Q"&amp;ROUNDUP(MONTH($H2237)/3,0))</f>
        <v/>
      </c>
      <c r="S2237" s="1" t="str">
        <f aca="false">IF($C2237="","",$C2237&amp;"|"&amp;$E2237&amp;"|"&amp;$F2237&amp;"|"&amp;$L2237&amp;"|"&amp;$P2237&amp;"|"&amp;TEXT($H2237,"yyyy-mm-dd"))</f>
        <v/>
      </c>
      <c r="T2237" s="1" t="str">
        <f aca="false">IF($S2237="","",IF(COUNTIF($S$2:$S$2991,$S2237)&gt;1,"DUPLICATE","OK"))</f>
        <v/>
      </c>
      <c r="U2237" s="0" t="str">
        <f aca="false">IF($L2237="","",IFERROR(VLOOKUP(--$L2237,MM_Income!$Z$5:$AC$204,3,FALSE()),"UNMAPPED"))</f>
        <v/>
      </c>
    </row>
    <row r="2238" customFormat="false" ht="13.5" hidden="false" customHeight="false" outlineLevel="0" collapsed="false">
      <c r="A2238" s="1" t="str">
        <f aca="false">IF($C2238="","",Controls!$B$7)</f>
        <v/>
      </c>
      <c r="B2238" s="1" t="str">
        <f aca="false">IF($H2238="","",YEAR($H2238)&amp;"-Q"&amp;ROUNDUP(MONTH($H2238)/3,0))</f>
        <v/>
      </c>
      <c r="S2238" s="1" t="str">
        <f aca="false">IF($C2238="","",$C2238&amp;"|"&amp;$E2238&amp;"|"&amp;$F2238&amp;"|"&amp;$L2238&amp;"|"&amp;$P2238&amp;"|"&amp;TEXT($H2238,"yyyy-mm-dd"))</f>
        <v/>
      </c>
      <c r="T2238" s="1" t="str">
        <f aca="false">IF($S2238="","",IF(COUNTIF($S$2:$S$2991,$S2238)&gt;1,"DUPLICATE","OK"))</f>
        <v/>
      </c>
      <c r="U2238" s="0" t="str">
        <f aca="false">IF($L2238="","",IFERROR(VLOOKUP(--$L2238,MM_Income!$Z$5:$AC$204,3,FALSE()),"UNMAPPED"))</f>
        <v/>
      </c>
    </row>
    <row r="2239" customFormat="false" ht="13.5" hidden="false" customHeight="false" outlineLevel="0" collapsed="false">
      <c r="A2239" s="1" t="str">
        <f aca="false">IF($C2239="","",Controls!$B$7)</f>
        <v/>
      </c>
      <c r="B2239" s="1" t="str">
        <f aca="false">IF($H2239="","",YEAR($H2239)&amp;"-Q"&amp;ROUNDUP(MONTH($H2239)/3,0))</f>
        <v/>
      </c>
      <c r="S2239" s="1" t="str">
        <f aca="false">IF($C2239="","",$C2239&amp;"|"&amp;$E2239&amp;"|"&amp;$F2239&amp;"|"&amp;$L2239&amp;"|"&amp;$P2239&amp;"|"&amp;TEXT($H2239,"yyyy-mm-dd"))</f>
        <v/>
      </c>
      <c r="T2239" s="1" t="str">
        <f aca="false">IF($S2239="","",IF(COUNTIF($S$2:$S$2991,$S2239)&gt;1,"DUPLICATE","OK"))</f>
        <v/>
      </c>
      <c r="U2239" s="0" t="str">
        <f aca="false">IF($L2239="","",IFERROR(VLOOKUP(--$L2239,MM_Income!$Z$5:$AC$204,3,FALSE()),"UNMAPPED"))</f>
        <v/>
      </c>
    </row>
    <row r="2240" customFormat="false" ht="13.5" hidden="false" customHeight="false" outlineLevel="0" collapsed="false">
      <c r="A2240" s="1" t="str">
        <f aca="false">IF($C2240="","",Controls!$B$7)</f>
        <v/>
      </c>
      <c r="B2240" s="1" t="str">
        <f aca="false">IF($H2240="","",YEAR($H2240)&amp;"-Q"&amp;ROUNDUP(MONTH($H2240)/3,0))</f>
        <v/>
      </c>
      <c r="S2240" s="1" t="str">
        <f aca="false">IF($C2240="","",$C2240&amp;"|"&amp;$E2240&amp;"|"&amp;$F2240&amp;"|"&amp;$L2240&amp;"|"&amp;$P2240&amp;"|"&amp;TEXT($H2240,"yyyy-mm-dd"))</f>
        <v/>
      </c>
      <c r="T2240" s="1" t="str">
        <f aca="false">IF($S2240="","",IF(COUNTIF($S$2:$S$2991,$S2240)&gt;1,"DUPLICATE","OK"))</f>
        <v/>
      </c>
      <c r="U2240" s="0" t="str">
        <f aca="false">IF($L2240="","",IFERROR(VLOOKUP(--$L2240,MM_Income!$Z$5:$AC$204,3,FALSE()),"UNMAPPED"))</f>
        <v/>
      </c>
    </row>
    <row r="2241" customFormat="false" ht="13.5" hidden="false" customHeight="false" outlineLevel="0" collapsed="false">
      <c r="A2241" s="1" t="str">
        <f aca="false">IF($C2241="","",Controls!$B$7)</f>
        <v/>
      </c>
      <c r="B2241" s="1" t="str">
        <f aca="false">IF($H2241="","",YEAR($H2241)&amp;"-Q"&amp;ROUNDUP(MONTH($H2241)/3,0))</f>
        <v/>
      </c>
      <c r="S2241" s="1" t="str">
        <f aca="false">IF($C2241="","",$C2241&amp;"|"&amp;$E2241&amp;"|"&amp;$F2241&amp;"|"&amp;$L2241&amp;"|"&amp;$P2241&amp;"|"&amp;TEXT($H2241,"yyyy-mm-dd"))</f>
        <v/>
      </c>
      <c r="T2241" s="1" t="str">
        <f aca="false">IF($S2241="","",IF(COUNTIF($S$2:$S$2991,$S2241)&gt;1,"DUPLICATE","OK"))</f>
        <v/>
      </c>
      <c r="U2241" s="0" t="str">
        <f aca="false">IF($L2241="","",IFERROR(VLOOKUP(--$L2241,MM_Income!$Z$5:$AC$204,3,FALSE()),"UNMAPPED"))</f>
        <v/>
      </c>
    </row>
    <row r="2242" customFormat="false" ht="13.5" hidden="false" customHeight="false" outlineLevel="0" collapsed="false">
      <c r="A2242" s="1" t="str">
        <f aca="false">IF($C2242="","",Controls!$B$7)</f>
        <v/>
      </c>
      <c r="B2242" s="1" t="str">
        <f aca="false">IF($H2242="","",YEAR($H2242)&amp;"-Q"&amp;ROUNDUP(MONTH($H2242)/3,0))</f>
        <v/>
      </c>
      <c r="S2242" s="1" t="str">
        <f aca="false">IF($C2242="","",$C2242&amp;"|"&amp;$E2242&amp;"|"&amp;$F2242&amp;"|"&amp;$L2242&amp;"|"&amp;$P2242&amp;"|"&amp;TEXT($H2242,"yyyy-mm-dd"))</f>
        <v/>
      </c>
      <c r="T2242" s="1" t="str">
        <f aca="false">IF($S2242="","",IF(COUNTIF($S$2:$S$2991,$S2242)&gt;1,"DUPLICATE","OK"))</f>
        <v/>
      </c>
      <c r="U2242" s="0" t="str">
        <f aca="false">IF($L2242="","",IFERROR(VLOOKUP(--$L2242,MM_Income!$Z$5:$AC$204,3,FALSE()),"UNMAPPED"))</f>
        <v/>
      </c>
    </row>
    <row r="2243" customFormat="false" ht="13.5" hidden="false" customHeight="false" outlineLevel="0" collapsed="false">
      <c r="A2243" s="1" t="str">
        <f aca="false">IF($C2243="","",Controls!$B$7)</f>
        <v/>
      </c>
      <c r="B2243" s="1" t="str">
        <f aca="false">IF($H2243="","",YEAR($H2243)&amp;"-Q"&amp;ROUNDUP(MONTH($H2243)/3,0))</f>
        <v/>
      </c>
      <c r="S2243" s="1" t="str">
        <f aca="false">IF($C2243="","",$C2243&amp;"|"&amp;$E2243&amp;"|"&amp;$F2243&amp;"|"&amp;$L2243&amp;"|"&amp;$P2243&amp;"|"&amp;TEXT($H2243,"yyyy-mm-dd"))</f>
        <v/>
      </c>
      <c r="T2243" s="1" t="str">
        <f aca="false">IF($S2243="","",IF(COUNTIF($S$2:$S$2991,$S2243)&gt;1,"DUPLICATE","OK"))</f>
        <v/>
      </c>
      <c r="U2243" s="0" t="str">
        <f aca="false">IF($L2243="","",IFERROR(VLOOKUP(--$L2243,MM_Income!$Z$5:$AC$204,3,FALSE()),"UNMAPPED"))</f>
        <v/>
      </c>
    </row>
    <row r="2244" customFormat="false" ht="13.5" hidden="false" customHeight="false" outlineLevel="0" collapsed="false">
      <c r="A2244" s="1" t="str">
        <f aca="false">IF($C2244="","",Controls!$B$7)</f>
        <v/>
      </c>
      <c r="B2244" s="1" t="str">
        <f aca="false">IF($H2244="","",YEAR($H2244)&amp;"-Q"&amp;ROUNDUP(MONTH($H2244)/3,0))</f>
        <v/>
      </c>
      <c r="S2244" s="1" t="str">
        <f aca="false">IF($C2244="","",$C2244&amp;"|"&amp;$E2244&amp;"|"&amp;$F2244&amp;"|"&amp;$L2244&amp;"|"&amp;$P2244&amp;"|"&amp;TEXT($H2244,"yyyy-mm-dd"))</f>
        <v/>
      </c>
      <c r="T2244" s="1" t="str">
        <f aca="false">IF($S2244="","",IF(COUNTIF($S$2:$S$2991,$S2244)&gt;1,"DUPLICATE","OK"))</f>
        <v/>
      </c>
      <c r="U2244" s="0" t="str">
        <f aca="false">IF($L2244="","",IFERROR(VLOOKUP(--$L2244,MM_Income!$Z$5:$AC$204,3,FALSE()),"UNMAPPED"))</f>
        <v/>
      </c>
    </row>
    <row r="2245" customFormat="false" ht="13.5" hidden="false" customHeight="false" outlineLevel="0" collapsed="false">
      <c r="A2245" s="1" t="str">
        <f aca="false">IF($C2245="","",Controls!$B$7)</f>
        <v/>
      </c>
      <c r="B2245" s="1" t="str">
        <f aca="false">IF($H2245="","",YEAR($H2245)&amp;"-Q"&amp;ROUNDUP(MONTH($H2245)/3,0))</f>
        <v/>
      </c>
      <c r="S2245" s="1" t="str">
        <f aca="false">IF($C2245="","",$C2245&amp;"|"&amp;$E2245&amp;"|"&amp;$F2245&amp;"|"&amp;$L2245&amp;"|"&amp;$P2245&amp;"|"&amp;TEXT($H2245,"yyyy-mm-dd"))</f>
        <v/>
      </c>
      <c r="T2245" s="1" t="str">
        <f aca="false">IF($S2245="","",IF(COUNTIF($S$2:$S$2991,$S2245)&gt;1,"DUPLICATE","OK"))</f>
        <v/>
      </c>
      <c r="U2245" s="0" t="str">
        <f aca="false">IF($L2245="","",IFERROR(VLOOKUP(--$L2245,MM_Income!$Z$5:$AC$204,3,FALSE()),"UNMAPPED"))</f>
        <v/>
      </c>
    </row>
    <row r="2246" customFormat="false" ht="13.5" hidden="false" customHeight="false" outlineLevel="0" collapsed="false">
      <c r="A2246" s="1" t="str">
        <f aca="false">IF($C2246="","",Controls!$B$7)</f>
        <v/>
      </c>
      <c r="B2246" s="1" t="str">
        <f aca="false">IF($H2246="","",YEAR($H2246)&amp;"-Q"&amp;ROUNDUP(MONTH($H2246)/3,0))</f>
        <v/>
      </c>
      <c r="S2246" s="1" t="str">
        <f aca="false">IF($C2246="","",$C2246&amp;"|"&amp;$E2246&amp;"|"&amp;$F2246&amp;"|"&amp;$L2246&amp;"|"&amp;$P2246&amp;"|"&amp;TEXT($H2246,"yyyy-mm-dd"))</f>
        <v/>
      </c>
      <c r="T2246" s="1" t="str">
        <f aca="false">IF($S2246="","",IF(COUNTIF($S$2:$S$2991,$S2246)&gt;1,"DUPLICATE","OK"))</f>
        <v/>
      </c>
      <c r="U2246" s="0" t="str">
        <f aca="false">IF($L2246="","",IFERROR(VLOOKUP(--$L2246,MM_Income!$Z$5:$AC$204,3,FALSE()),"UNMAPPED"))</f>
        <v/>
      </c>
    </row>
    <row r="2247" customFormat="false" ht="13.5" hidden="false" customHeight="false" outlineLevel="0" collapsed="false">
      <c r="A2247" s="1" t="str">
        <f aca="false">IF($C2247="","",Controls!$B$7)</f>
        <v/>
      </c>
      <c r="B2247" s="1" t="str">
        <f aca="false">IF($H2247="","",YEAR($H2247)&amp;"-Q"&amp;ROUNDUP(MONTH($H2247)/3,0))</f>
        <v/>
      </c>
      <c r="S2247" s="1" t="str">
        <f aca="false">IF($C2247="","",$C2247&amp;"|"&amp;$E2247&amp;"|"&amp;$F2247&amp;"|"&amp;$L2247&amp;"|"&amp;$P2247&amp;"|"&amp;TEXT($H2247,"yyyy-mm-dd"))</f>
        <v/>
      </c>
      <c r="T2247" s="1" t="str">
        <f aca="false">IF($S2247="","",IF(COUNTIF($S$2:$S$2991,$S2247)&gt;1,"DUPLICATE","OK"))</f>
        <v/>
      </c>
      <c r="U2247" s="0" t="str">
        <f aca="false">IF($L2247="","",IFERROR(VLOOKUP(--$L2247,MM_Income!$Z$5:$AC$204,3,FALSE()),"UNMAPPED"))</f>
        <v/>
      </c>
    </row>
    <row r="2248" customFormat="false" ht="13.5" hidden="false" customHeight="false" outlineLevel="0" collapsed="false">
      <c r="A2248" s="1" t="str">
        <f aca="false">IF($C2248="","",Controls!$B$7)</f>
        <v/>
      </c>
      <c r="B2248" s="1" t="str">
        <f aca="false">IF($H2248="","",YEAR($H2248)&amp;"-Q"&amp;ROUNDUP(MONTH($H2248)/3,0))</f>
        <v/>
      </c>
      <c r="S2248" s="1" t="str">
        <f aca="false">IF($C2248="","",$C2248&amp;"|"&amp;$E2248&amp;"|"&amp;$F2248&amp;"|"&amp;$L2248&amp;"|"&amp;$P2248&amp;"|"&amp;TEXT($H2248,"yyyy-mm-dd"))</f>
        <v/>
      </c>
      <c r="T2248" s="1" t="str">
        <f aca="false">IF($S2248="","",IF(COUNTIF($S$2:$S$2991,$S2248)&gt;1,"DUPLICATE","OK"))</f>
        <v/>
      </c>
      <c r="U2248" s="0" t="str">
        <f aca="false">IF($L2248="","",IFERROR(VLOOKUP(--$L2248,MM_Income!$Z$5:$AC$204,3,FALSE()),"UNMAPPED"))</f>
        <v/>
      </c>
    </row>
    <row r="2249" customFormat="false" ht="13.5" hidden="false" customHeight="false" outlineLevel="0" collapsed="false">
      <c r="A2249" s="1" t="str">
        <f aca="false">IF($C2249="","",Controls!$B$7)</f>
        <v/>
      </c>
      <c r="B2249" s="1" t="str">
        <f aca="false">IF($H2249="","",YEAR($H2249)&amp;"-Q"&amp;ROUNDUP(MONTH($H2249)/3,0))</f>
        <v/>
      </c>
      <c r="S2249" s="1" t="str">
        <f aca="false">IF($C2249="","",$C2249&amp;"|"&amp;$E2249&amp;"|"&amp;$F2249&amp;"|"&amp;$L2249&amp;"|"&amp;$P2249&amp;"|"&amp;TEXT($H2249,"yyyy-mm-dd"))</f>
        <v/>
      </c>
      <c r="T2249" s="1" t="str">
        <f aca="false">IF($S2249="","",IF(COUNTIF($S$2:$S$2991,$S2249)&gt;1,"DUPLICATE","OK"))</f>
        <v/>
      </c>
      <c r="U2249" s="0" t="str">
        <f aca="false">IF($L2249="","",IFERROR(VLOOKUP(--$L2249,MM_Income!$Z$5:$AC$204,3,FALSE()),"UNMAPPED"))</f>
        <v/>
      </c>
    </row>
    <row r="2250" customFormat="false" ht="13.5" hidden="false" customHeight="false" outlineLevel="0" collapsed="false">
      <c r="A2250" s="1" t="str">
        <f aca="false">IF($C2250="","",Controls!$B$7)</f>
        <v/>
      </c>
      <c r="B2250" s="1" t="str">
        <f aca="false">IF($H2250="","",YEAR($H2250)&amp;"-Q"&amp;ROUNDUP(MONTH($H2250)/3,0))</f>
        <v/>
      </c>
      <c r="S2250" s="1" t="str">
        <f aca="false">IF($C2250="","",$C2250&amp;"|"&amp;$E2250&amp;"|"&amp;$F2250&amp;"|"&amp;$L2250&amp;"|"&amp;$P2250&amp;"|"&amp;TEXT($H2250,"yyyy-mm-dd"))</f>
        <v/>
      </c>
      <c r="T2250" s="1" t="str">
        <f aca="false">IF($S2250="","",IF(COUNTIF($S$2:$S$2991,$S2250)&gt;1,"DUPLICATE","OK"))</f>
        <v/>
      </c>
      <c r="U2250" s="0" t="str">
        <f aca="false">IF($L2250="","",IFERROR(VLOOKUP(--$L2250,MM_Income!$Z$5:$AC$204,3,FALSE()),"UNMAPPED"))</f>
        <v/>
      </c>
    </row>
    <row r="2251" customFormat="false" ht="13.5" hidden="false" customHeight="false" outlineLevel="0" collapsed="false">
      <c r="A2251" s="1" t="str">
        <f aca="false">IF($C2251="","",Controls!$B$7)</f>
        <v/>
      </c>
      <c r="B2251" s="1" t="str">
        <f aca="false">IF($H2251="","",YEAR($H2251)&amp;"-Q"&amp;ROUNDUP(MONTH($H2251)/3,0))</f>
        <v/>
      </c>
      <c r="S2251" s="1" t="str">
        <f aca="false">IF($C2251="","",$C2251&amp;"|"&amp;$E2251&amp;"|"&amp;$F2251&amp;"|"&amp;$L2251&amp;"|"&amp;$P2251&amp;"|"&amp;TEXT($H2251,"yyyy-mm-dd"))</f>
        <v/>
      </c>
      <c r="T2251" s="1" t="str">
        <f aca="false">IF($S2251="","",IF(COUNTIF($S$2:$S$2991,$S2251)&gt;1,"DUPLICATE","OK"))</f>
        <v/>
      </c>
      <c r="U2251" s="0" t="str">
        <f aca="false">IF($L2251="","",IFERROR(VLOOKUP(--$L2251,MM_Income!$Z$5:$AC$204,3,FALSE()),"UNMAPPED"))</f>
        <v/>
      </c>
    </row>
    <row r="2252" customFormat="false" ht="13.5" hidden="false" customHeight="false" outlineLevel="0" collapsed="false">
      <c r="A2252" s="1" t="str">
        <f aca="false">IF($C2252="","",Controls!$B$7)</f>
        <v/>
      </c>
      <c r="B2252" s="1" t="str">
        <f aca="false">IF($H2252="","",YEAR($H2252)&amp;"-Q"&amp;ROUNDUP(MONTH($H2252)/3,0))</f>
        <v/>
      </c>
      <c r="S2252" s="1" t="str">
        <f aca="false">IF($C2252="","",$C2252&amp;"|"&amp;$E2252&amp;"|"&amp;$F2252&amp;"|"&amp;$L2252&amp;"|"&amp;$P2252&amp;"|"&amp;TEXT($H2252,"yyyy-mm-dd"))</f>
        <v/>
      </c>
      <c r="T2252" s="1" t="str">
        <f aca="false">IF($S2252="","",IF(COUNTIF($S$2:$S$2991,$S2252)&gt;1,"DUPLICATE","OK"))</f>
        <v/>
      </c>
      <c r="U2252" s="0" t="str">
        <f aca="false">IF($L2252="","",IFERROR(VLOOKUP(--$L2252,MM_Income!$Z$5:$AC$204,3,FALSE()),"UNMAPPED"))</f>
        <v/>
      </c>
    </row>
    <row r="2253" customFormat="false" ht="13.5" hidden="false" customHeight="false" outlineLevel="0" collapsed="false">
      <c r="A2253" s="1" t="str">
        <f aca="false">IF($C2253="","",Controls!$B$7)</f>
        <v/>
      </c>
      <c r="B2253" s="1" t="str">
        <f aca="false">IF($H2253="","",YEAR($H2253)&amp;"-Q"&amp;ROUNDUP(MONTH($H2253)/3,0))</f>
        <v/>
      </c>
      <c r="S2253" s="1" t="str">
        <f aca="false">IF($C2253="","",$C2253&amp;"|"&amp;$E2253&amp;"|"&amp;$F2253&amp;"|"&amp;$L2253&amp;"|"&amp;$P2253&amp;"|"&amp;TEXT($H2253,"yyyy-mm-dd"))</f>
        <v/>
      </c>
      <c r="T2253" s="1" t="str">
        <f aca="false">IF($S2253="","",IF(COUNTIF($S$2:$S$2991,$S2253)&gt;1,"DUPLICATE","OK"))</f>
        <v/>
      </c>
      <c r="U2253" s="0" t="str">
        <f aca="false">IF($L2253="","",IFERROR(VLOOKUP(--$L2253,MM_Income!$Z$5:$AC$204,3,FALSE()),"UNMAPPED"))</f>
        <v/>
      </c>
    </row>
    <row r="2254" customFormat="false" ht="13.5" hidden="false" customHeight="false" outlineLevel="0" collapsed="false">
      <c r="A2254" s="1" t="str">
        <f aca="false">IF($C2254="","",Controls!$B$7)</f>
        <v/>
      </c>
      <c r="B2254" s="1" t="str">
        <f aca="false">IF($H2254="","",YEAR($H2254)&amp;"-Q"&amp;ROUNDUP(MONTH($H2254)/3,0))</f>
        <v/>
      </c>
      <c r="S2254" s="1" t="str">
        <f aca="false">IF($C2254="","",$C2254&amp;"|"&amp;$E2254&amp;"|"&amp;$F2254&amp;"|"&amp;$L2254&amp;"|"&amp;$P2254&amp;"|"&amp;TEXT($H2254,"yyyy-mm-dd"))</f>
        <v/>
      </c>
      <c r="T2254" s="1" t="str">
        <f aca="false">IF($S2254="","",IF(COUNTIF($S$2:$S$2991,$S2254)&gt;1,"DUPLICATE","OK"))</f>
        <v/>
      </c>
      <c r="U2254" s="0" t="str">
        <f aca="false">IF($L2254="","",IFERROR(VLOOKUP(--$L2254,MM_Income!$Z$5:$AC$204,3,FALSE()),"UNMAPPED"))</f>
        <v/>
      </c>
    </row>
    <row r="2255" customFormat="false" ht="13.5" hidden="false" customHeight="false" outlineLevel="0" collapsed="false">
      <c r="A2255" s="1" t="str">
        <f aca="false">IF($C2255="","",Controls!$B$7)</f>
        <v/>
      </c>
      <c r="B2255" s="1" t="str">
        <f aca="false">IF($H2255="","",YEAR($H2255)&amp;"-Q"&amp;ROUNDUP(MONTH($H2255)/3,0))</f>
        <v/>
      </c>
      <c r="S2255" s="1" t="str">
        <f aca="false">IF($C2255="","",$C2255&amp;"|"&amp;$E2255&amp;"|"&amp;$F2255&amp;"|"&amp;$L2255&amp;"|"&amp;$P2255&amp;"|"&amp;TEXT($H2255,"yyyy-mm-dd"))</f>
        <v/>
      </c>
      <c r="T2255" s="1" t="str">
        <f aca="false">IF($S2255="","",IF(COUNTIF($S$2:$S$2991,$S2255)&gt;1,"DUPLICATE","OK"))</f>
        <v/>
      </c>
      <c r="U2255" s="0" t="str">
        <f aca="false">IF($L2255="","",IFERROR(VLOOKUP(--$L2255,MM_Income!$Z$5:$AC$204,3,FALSE()),"UNMAPPED"))</f>
        <v/>
      </c>
    </row>
    <row r="2256" customFormat="false" ht="13.5" hidden="false" customHeight="false" outlineLevel="0" collapsed="false">
      <c r="A2256" s="1" t="str">
        <f aca="false">IF($C2256="","",Controls!$B$7)</f>
        <v/>
      </c>
      <c r="B2256" s="1" t="str">
        <f aca="false">IF($H2256="","",YEAR($H2256)&amp;"-Q"&amp;ROUNDUP(MONTH($H2256)/3,0))</f>
        <v/>
      </c>
      <c r="S2256" s="1" t="str">
        <f aca="false">IF($C2256="","",$C2256&amp;"|"&amp;$E2256&amp;"|"&amp;$F2256&amp;"|"&amp;$L2256&amp;"|"&amp;$P2256&amp;"|"&amp;TEXT($H2256,"yyyy-mm-dd"))</f>
        <v/>
      </c>
      <c r="T2256" s="1" t="str">
        <f aca="false">IF($S2256="","",IF(COUNTIF($S$2:$S$2991,$S2256)&gt;1,"DUPLICATE","OK"))</f>
        <v/>
      </c>
      <c r="U2256" s="0" t="str">
        <f aca="false">IF($L2256="","",IFERROR(VLOOKUP(--$L2256,MM_Income!$Z$5:$AC$204,3,FALSE()),"UNMAPPED"))</f>
        <v/>
      </c>
    </row>
    <row r="2257" customFormat="false" ht="13.5" hidden="false" customHeight="false" outlineLevel="0" collapsed="false">
      <c r="A2257" s="1" t="str">
        <f aca="false">IF($C2257="","",Controls!$B$7)</f>
        <v/>
      </c>
      <c r="B2257" s="1" t="str">
        <f aca="false">IF($H2257="","",YEAR($H2257)&amp;"-Q"&amp;ROUNDUP(MONTH($H2257)/3,0))</f>
        <v/>
      </c>
      <c r="S2257" s="1" t="str">
        <f aca="false">IF($C2257="","",$C2257&amp;"|"&amp;$E2257&amp;"|"&amp;$F2257&amp;"|"&amp;$L2257&amp;"|"&amp;$P2257&amp;"|"&amp;TEXT($H2257,"yyyy-mm-dd"))</f>
        <v/>
      </c>
      <c r="T2257" s="1" t="str">
        <f aca="false">IF($S2257="","",IF(COUNTIF($S$2:$S$2991,$S2257)&gt;1,"DUPLICATE","OK"))</f>
        <v/>
      </c>
      <c r="U2257" s="0" t="str">
        <f aca="false">IF($L2257="","",IFERROR(VLOOKUP(--$L2257,MM_Income!$Z$5:$AC$204,3,FALSE()),"UNMAPPED"))</f>
        <v/>
      </c>
    </row>
    <row r="2258" customFormat="false" ht="13.5" hidden="false" customHeight="false" outlineLevel="0" collapsed="false">
      <c r="A2258" s="1" t="str">
        <f aca="false">IF($C2258="","",Controls!$B$7)</f>
        <v/>
      </c>
      <c r="B2258" s="1" t="str">
        <f aca="false">IF($H2258="","",YEAR($H2258)&amp;"-Q"&amp;ROUNDUP(MONTH($H2258)/3,0))</f>
        <v/>
      </c>
      <c r="S2258" s="1" t="str">
        <f aca="false">IF($C2258="","",$C2258&amp;"|"&amp;$E2258&amp;"|"&amp;$F2258&amp;"|"&amp;$L2258&amp;"|"&amp;$P2258&amp;"|"&amp;TEXT($H2258,"yyyy-mm-dd"))</f>
        <v/>
      </c>
      <c r="T2258" s="1" t="str">
        <f aca="false">IF($S2258="","",IF(COUNTIF($S$2:$S$2991,$S2258)&gt;1,"DUPLICATE","OK"))</f>
        <v/>
      </c>
      <c r="U2258" s="0" t="str">
        <f aca="false">IF($L2258="","",IFERROR(VLOOKUP(--$L2258,MM_Income!$Z$5:$AC$204,3,FALSE()),"UNMAPPED"))</f>
        <v/>
      </c>
    </row>
    <row r="2259" customFormat="false" ht="13.5" hidden="false" customHeight="false" outlineLevel="0" collapsed="false">
      <c r="A2259" s="1" t="str">
        <f aca="false">IF($C2259="","",Controls!$B$7)</f>
        <v/>
      </c>
      <c r="B2259" s="1" t="str">
        <f aca="false">IF($H2259="","",YEAR($H2259)&amp;"-Q"&amp;ROUNDUP(MONTH($H2259)/3,0))</f>
        <v/>
      </c>
      <c r="S2259" s="1" t="str">
        <f aca="false">IF($C2259="","",$C2259&amp;"|"&amp;$E2259&amp;"|"&amp;$F2259&amp;"|"&amp;$L2259&amp;"|"&amp;$P2259&amp;"|"&amp;TEXT($H2259,"yyyy-mm-dd"))</f>
        <v/>
      </c>
      <c r="T2259" s="1" t="str">
        <f aca="false">IF($S2259="","",IF(COUNTIF($S$2:$S$2991,$S2259)&gt;1,"DUPLICATE","OK"))</f>
        <v/>
      </c>
      <c r="U2259" s="0" t="str">
        <f aca="false">IF($L2259="","",IFERROR(VLOOKUP(--$L2259,MM_Income!$Z$5:$AC$204,3,FALSE()),"UNMAPPED"))</f>
        <v/>
      </c>
    </row>
    <row r="2260" customFormat="false" ht="13.5" hidden="false" customHeight="false" outlineLevel="0" collapsed="false">
      <c r="A2260" s="1" t="str">
        <f aca="false">IF($C2260="","",Controls!$B$7)</f>
        <v/>
      </c>
      <c r="B2260" s="1" t="str">
        <f aca="false">IF($H2260="","",YEAR($H2260)&amp;"-Q"&amp;ROUNDUP(MONTH($H2260)/3,0))</f>
        <v/>
      </c>
      <c r="S2260" s="1" t="str">
        <f aca="false">IF($C2260="","",$C2260&amp;"|"&amp;$E2260&amp;"|"&amp;$F2260&amp;"|"&amp;$L2260&amp;"|"&amp;$P2260&amp;"|"&amp;TEXT($H2260,"yyyy-mm-dd"))</f>
        <v/>
      </c>
      <c r="T2260" s="1" t="str">
        <f aca="false">IF($S2260="","",IF(COUNTIF($S$2:$S$2991,$S2260)&gt;1,"DUPLICATE","OK"))</f>
        <v/>
      </c>
      <c r="U2260" s="0" t="str">
        <f aca="false">IF($L2260="","",IFERROR(VLOOKUP(--$L2260,MM_Income!$Z$5:$AC$204,3,FALSE()),"UNMAPPED"))</f>
        <v/>
      </c>
    </row>
    <row r="2261" customFormat="false" ht="13.5" hidden="false" customHeight="false" outlineLevel="0" collapsed="false">
      <c r="A2261" s="1" t="str">
        <f aca="false">IF($C2261="","",Controls!$B$7)</f>
        <v/>
      </c>
      <c r="B2261" s="1" t="str">
        <f aca="false">IF($H2261="","",YEAR($H2261)&amp;"-Q"&amp;ROUNDUP(MONTH($H2261)/3,0))</f>
        <v/>
      </c>
      <c r="S2261" s="1" t="str">
        <f aca="false">IF($C2261="","",$C2261&amp;"|"&amp;$E2261&amp;"|"&amp;$F2261&amp;"|"&amp;$L2261&amp;"|"&amp;$P2261&amp;"|"&amp;TEXT($H2261,"yyyy-mm-dd"))</f>
        <v/>
      </c>
      <c r="T2261" s="1" t="str">
        <f aca="false">IF($S2261="","",IF(COUNTIF($S$2:$S$2991,$S2261)&gt;1,"DUPLICATE","OK"))</f>
        <v/>
      </c>
      <c r="U2261" s="0" t="str">
        <f aca="false">IF($L2261="","",IFERROR(VLOOKUP(--$L2261,MM_Income!$Z$5:$AC$204,3,FALSE()),"UNMAPPED"))</f>
        <v/>
      </c>
    </row>
    <row r="2262" customFormat="false" ht="13.5" hidden="false" customHeight="false" outlineLevel="0" collapsed="false">
      <c r="A2262" s="1" t="str">
        <f aca="false">IF($C2262="","",Controls!$B$7)</f>
        <v/>
      </c>
      <c r="B2262" s="1" t="str">
        <f aca="false">IF($H2262="","",YEAR($H2262)&amp;"-Q"&amp;ROUNDUP(MONTH($H2262)/3,0))</f>
        <v/>
      </c>
      <c r="S2262" s="1" t="str">
        <f aca="false">IF($C2262="","",$C2262&amp;"|"&amp;$E2262&amp;"|"&amp;$F2262&amp;"|"&amp;$L2262&amp;"|"&amp;$P2262&amp;"|"&amp;TEXT($H2262,"yyyy-mm-dd"))</f>
        <v/>
      </c>
      <c r="T2262" s="1" t="str">
        <f aca="false">IF($S2262="","",IF(COUNTIF($S$2:$S$2991,$S2262)&gt;1,"DUPLICATE","OK"))</f>
        <v/>
      </c>
      <c r="U2262" s="0" t="str">
        <f aca="false">IF($L2262="","",IFERROR(VLOOKUP(--$L2262,MM_Income!$Z$5:$AC$204,3,FALSE()),"UNMAPPED"))</f>
        <v/>
      </c>
    </row>
    <row r="2263" customFormat="false" ht="13.5" hidden="false" customHeight="false" outlineLevel="0" collapsed="false">
      <c r="A2263" s="1" t="str">
        <f aca="false">IF($C2263="","",Controls!$B$7)</f>
        <v/>
      </c>
      <c r="B2263" s="1" t="str">
        <f aca="false">IF($H2263="","",YEAR($H2263)&amp;"-Q"&amp;ROUNDUP(MONTH($H2263)/3,0))</f>
        <v/>
      </c>
      <c r="S2263" s="1" t="str">
        <f aca="false">IF($C2263="","",$C2263&amp;"|"&amp;$E2263&amp;"|"&amp;$F2263&amp;"|"&amp;$L2263&amp;"|"&amp;$P2263&amp;"|"&amp;TEXT($H2263,"yyyy-mm-dd"))</f>
        <v/>
      </c>
      <c r="T2263" s="1" t="str">
        <f aca="false">IF($S2263="","",IF(COUNTIF($S$2:$S$2991,$S2263)&gt;1,"DUPLICATE","OK"))</f>
        <v/>
      </c>
      <c r="U2263" s="0" t="str">
        <f aca="false">IF($L2263="","",IFERROR(VLOOKUP(--$L2263,MM_Income!$Z$5:$AC$204,3,FALSE()),"UNMAPPED"))</f>
        <v/>
      </c>
    </row>
    <row r="2264" customFormat="false" ht="13.5" hidden="false" customHeight="false" outlineLevel="0" collapsed="false">
      <c r="A2264" s="1" t="str">
        <f aca="false">IF($C2264="","",Controls!$B$7)</f>
        <v/>
      </c>
      <c r="B2264" s="1" t="str">
        <f aca="false">IF($H2264="","",YEAR($H2264)&amp;"-Q"&amp;ROUNDUP(MONTH($H2264)/3,0))</f>
        <v/>
      </c>
      <c r="S2264" s="1" t="str">
        <f aca="false">IF($C2264="","",$C2264&amp;"|"&amp;$E2264&amp;"|"&amp;$F2264&amp;"|"&amp;$L2264&amp;"|"&amp;$P2264&amp;"|"&amp;TEXT($H2264,"yyyy-mm-dd"))</f>
        <v/>
      </c>
      <c r="T2264" s="1" t="str">
        <f aca="false">IF($S2264="","",IF(COUNTIF($S$2:$S$2991,$S2264)&gt;1,"DUPLICATE","OK"))</f>
        <v/>
      </c>
      <c r="U2264" s="0" t="str">
        <f aca="false">IF($L2264="","",IFERROR(VLOOKUP(--$L2264,MM_Income!$Z$5:$AC$204,3,FALSE()),"UNMAPPED"))</f>
        <v/>
      </c>
    </row>
    <row r="2265" customFormat="false" ht="13.5" hidden="false" customHeight="false" outlineLevel="0" collapsed="false">
      <c r="A2265" s="1" t="str">
        <f aca="false">IF($C2265="","",Controls!$B$7)</f>
        <v/>
      </c>
      <c r="B2265" s="1" t="str">
        <f aca="false">IF($H2265="","",YEAR($H2265)&amp;"-Q"&amp;ROUNDUP(MONTH($H2265)/3,0))</f>
        <v/>
      </c>
      <c r="S2265" s="1" t="str">
        <f aca="false">IF($C2265="","",$C2265&amp;"|"&amp;$E2265&amp;"|"&amp;$F2265&amp;"|"&amp;$L2265&amp;"|"&amp;$P2265&amp;"|"&amp;TEXT($H2265,"yyyy-mm-dd"))</f>
        <v/>
      </c>
      <c r="T2265" s="1" t="str">
        <f aca="false">IF($S2265="","",IF(COUNTIF($S$2:$S$2991,$S2265)&gt;1,"DUPLICATE","OK"))</f>
        <v/>
      </c>
      <c r="U2265" s="0" t="str">
        <f aca="false">IF($L2265="","",IFERROR(VLOOKUP(--$L2265,MM_Income!$Z$5:$AC$204,3,FALSE()),"UNMAPPED"))</f>
        <v/>
      </c>
    </row>
    <row r="2266" customFormat="false" ht="13.5" hidden="false" customHeight="false" outlineLevel="0" collapsed="false">
      <c r="A2266" s="1" t="str">
        <f aca="false">IF($C2266="","",Controls!$B$7)</f>
        <v/>
      </c>
      <c r="B2266" s="1" t="str">
        <f aca="false">IF($H2266="","",YEAR($H2266)&amp;"-Q"&amp;ROUNDUP(MONTH($H2266)/3,0))</f>
        <v/>
      </c>
      <c r="S2266" s="1" t="str">
        <f aca="false">IF($C2266="","",$C2266&amp;"|"&amp;$E2266&amp;"|"&amp;$F2266&amp;"|"&amp;$L2266&amp;"|"&amp;$P2266&amp;"|"&amp;TEXT($H2266,"yyyy-mm-dd"))</f>
        <v/>
      </c>
      <c r="T2266" s="1" t="str">
        <f aca="false">IF($S2266="","",IF(COUNTIF($S$2:$S$2991,$S2266)&gt;1,"DUPLICATE","OK"))</f>
        <v/>
      </c>
      <c r="U2266" s="0" t="str">
        <f aca="false">IF($L2266="","",IFERROR(VLOOKUP(--$L2266,MM_Income!$Z$5:$AC$204,3,FALSE()),"UNMAPPED"))</f>
        <v/>
      </c>
    </row>
    <row r="2267" customFormat="false" ht="13.5" hidden="false" customHeight="false" outlineLevel="0" collapsed="false">
      <c r="A2267" s="1" t="str">
        <f aca="false">IF($C2267="","",Controls!$B$7)</f>
        <v/>
      </c>
      <c r="B2267" s="1" t="str">
        <f aca="false">IF($H2267="","",YEAR($H2267)&amp;"-Q"&amp;ROUNDUP(MONTH($H2267)/3,0))</f>
        <v/>
      </c>
      <c r="S2267" s="1" t="str">
        <f aca="false">IF($C2267="","",$C2267&amp;"|"&amp;$E2267&amp;"|"&amp;$F2267&amp;"|"&amp;$L2267&amp;"|"&amp;$P2267&amp;"|"&amp;TEXT($H2267,"yyyy-mm-dd"))</f>
        <v/>
      </c>
      <c r="T2267" s="1" t="str">
        <f aca="false">IF($S2267="","",IF(COUNTIF($S$2:$S$2991,$S2267)&gt;1,"DUPLICATE","OK"))</f>
        <v/>
      </c>
      <c r="U2267" s="0" t="str">
        <f aca="false">IF($L2267="","",IFERROR(VLOOKUP(--$L2267,MM_Income!$Z$5:$AC$204,3,FALSE()),"UNMAPPED"))</f>
        <v/>
      </c>
    </row>
    <row r="2268" customFormat="false" ht="13.5" hidden="false" customHeight="false" outlineLevel="0" collapsed="false">
      <c r="A2268" s="1" t="str">
        <f aca="false">IF($C2268="","",Controls!$B$7)</f>
        <v/>
      </c>
      <c r="B2268" s="1" t="str">
        <f aca="false">IF($H2268="","",YEAR($H2268)&amp;"-Q"&amp;ROUNDUP(MONTH($H2268)/3,0))</f>
        <v/>
      </c>
      <c r="S2268" s="1" t="str">
        <f aca="false">IF($C2268="","",$C2268&amp;"|"&amp;$E2268&amp;"|"&amp;$F2268&amp;"|"&amp;$L2268&amp;"|"&amp;$P2268&amp;"|"&amp;TEXT($H2268,"yyyy-mm-dd"))</f>
        <v/>
      </c>
      <c r="T2268" s="1" t="str">
        <f aca="false">IF($S2268="","",IF(COUNTIF($S$2:$S$2991,$S2268)&gt;1,"DUPLICATE","OK"))</f>
        <v/>
      </c>
      <c r="U2268" s="0" t="str">
        <f aca="false">IF($L2268="","",IFERROR(VLOOKUP(--$L2268,MM_Income!$Z$5:$AC$204,3,FALSE()),"UNMAPPED"))</f>
        <v/>
      </c>
    </row>
    <row r="2269" customFormat="false" ht="13.5" hidden="false" customHeight="false" outlineLevel="0" collapsed="false">
      <c r="A2269" s="1" t="str">
        <f aca="false">IF($C2269="","",Controls!$B$7)</f>
        <v/>
      </c>
      <c r="B2269" s="1" t="str">
        <f aca="false">IF($H2269="","",YEAR($H2269)&amp;"-Q"&amp;ROUNDUP(MONTH($H2269)/3,0))</f>
        <v/>
      </c>
      <c r="S2269" s="1" t="str">
        <f aca="false">IF($C2269="","",$C2269&amp;"|"&amp;$E2269&amp;"|"&amp;$F2269&amp;"|"&amp;$L2269&amp;"|"&amp;$P2269&amp;"|"&amp;TEXT($H2269,"yyyy-mm-dd"))</f>
        <v/>
      </c>
      <c r="T2269" s="1" t="str">
        <f aca="false">IF($S2269="","",IF(COUNTIF($S$2:$S$2991,$S2269)&gt;1,"DUPLICATE","OK"))</f>
        <v/>
      </c>
      <c r="U2269" s="0" t="str">
        <f aca="false">IF($L2269="","",IFERROR(VLOOKUP(--$L2269,MM_Income!$Z$5:$AC$204,3,FALSE()),"UNMAPPED"))</f>
        <v/>
      </c>
    </row>
    <row r="2270" customFormat="false" ht="13.5" hidden="false" customHeight="false" outlineLevel="0" collapsed="false">
      <c r="A2270" s="1" t="str">
        <f aca="false">IF($C2270="","",Controls!$B$7)</f>
        <v/>
      </c>
      <c r="B2270" s="1" t="str">
        <f aca="false">IF($H2270="","",YEAR($H2270)&amp;"-Q"&amp;ROUNDUP(MONTH($H2270)/3,0))</f>
        <v/>
      </c>
      <c r="S2270" s="1" t="str">
        <f aca="false">IF($C2270="","",$C2270&amp;"|"&amp;$E2270&amp;"|"&amp;$F2270&amp;"|"&amp;$L2270&amp;"|"&amp;$P2270&amp;"|"&amp;TEXT($H2270,"yyyy-mm-dd"))</f>
        <v/>
      </c>
      <c r="T2270" s="1" t="str">
        <f aca="false">IF($S2270="","",IF(COUNTIF($S$2:$S$2991,$S2270)&gt;1,"DUPLICATE","OK"))</f>
        <v/>
      </c>
      <c r="U2270" s="0" t="str">
        <f aca="false">IF($L2270="","",IFERROR(VLOOKUP(--$L2270,MM_Income!$Z$5:$AC$204,3,FALSE()),"UNMAPPED"))</f>
        <v/>
      </c>
    </row>
    <row r="2271" customFormat="false" ht="13.5" hidden="false" customHeight="false" outlineLevel="0" collapsed="false">
      <c r="A2271" s="1" t="str">
        <f aca="false">IF($C2271="","",Controls!$B$7)</f>
        <v/>
      </c>
      <c r="B2271" s="1" t="str">
        <f aca="false">IF($H2271="","",YEAR($H2271)&amp;"-Q"&amp;ROUNDUP(MONTH($H2271)/3,0))</f>
        <v/>
      </c>
      <c r="S2271" s="1" t="str">
        <f aca="false">IF($C2271="","",$C2271&amp;"|"&amp;$E2271&amp;"|"&amp;$F2271&amp;"|"&amp;$L2271&amp;"|"&amp;$P2271&amp;"|"&amp;TEXT($H2271,"yyyy-mm-dd"))</f>
        <v/>
      </c>
      <c r="T2271" s="1" t="str">
        <f aca="false">IF($S2271="","",IF(COUNTIF($S$2:$S$2991,$S2271)&gt;1,"DUPLICATE","OK"))</f>
        <v/>
      </c>
      <c r="U2271" s="0" t="str">
        <f aca="false">IF($L2271="","",IFERROR(VLOOKUP(--$L2271,MM_Income!$Z$5:$AC$204,3,FALSE()),"UNMAPPED"))</f>
        <v/>
      </c>
    </row>
    <row r="2272" customFormat="false" ht="13.5" hidden="false" customHeight="false" outlineLevel="0" collapsed="false">
      <c r="A2272" s="1" t="str">
        <f aca="false">IF($C2272="","",Controls!$B$7)</f>
        <v/>
      </c>
      <c r="B2272" s="1" t="str">
        <f aca="false">IF($H2272="","",YEAR($H2272)&amp;"-Q"&amp;ROUNDUP(MONTH($H2272)/3,0))</f>
        <v/>
      </c>
      <c r="S2272" s="1" t="str">
        <f aca="false">IF($C2272="","",$C2272&amp;"|"&amp;$E2272&amp;"|"&amp;$F2272&amp;"|"&amp;$L2272&amp;"|"&amp;$P2272&amp;"|"&amp;TEXT($H2272,"yyyy-mm-dd"))</f>
        <v/>
      </c>
      <c r="T2272" s="1" t="str">
        <f aca="false">IF($S2272="","",IF(COUNTIF($S$2:$S$2991,$S2272)&gt;1,"DUPLICATE","OK"))</f>
        <v/>
      </c>
      <c r="U2272" s="0" t="str">
        <f aca="false">IF($L2272="","",IFERROR(VLOOKUP(--$L2272,MM_Income!$Z$5:$AC$204,3,FALSE()),"UNMAPPED"))</f>
        <v/>
      </c>
    </row>
    <row r="2273" customFormat="false" ht="13.5" hidden="false" customHeight="false" outlineLevel="0" collapsed="false">
      <c r="A2273" s="1" t="str">
        <f aca="false">IF($C2273="","",Controls!$B$7)</f>
        <v/>
      </c>
      <c r="B2273" s="1" t="str">
        <f aca="false">IF($H2273="","",YEAR($H2273)&amp;"-Q"&amp;ROUNDUP(MONTH($H2273)/3,0))</f>
        <v/>
      </c>
      <c r="S2273" s="1" t="str">
        <f aca="false">IF($C2273="","",$C2273&amp;"|"&amp;$E2273&amp;"|"&amp;$F2273&amp;"|"&amp;$L2273&amp;"|"&amp;$P2273&amp;"|"&amp;TEXT($H2273,"yyyy-mm-dd"))</f>
        <v/>
      </c>
      <c r="T2273" s="1" t="str">
        <f aca="false">IF($S2273="","",IF(COUNTIF($S$2:$S$2991,$S2273)&gt;1,"DUPLICATE","OK"))</f>
        <v/>
      </c>
      <c r="U2273" s="0" t="str">
        <f aca="false">IF($L2273="","",IFERROR(VLOOKUP(--$L2273,MM_Income!$Z$5:$AC$204,3,FALSE()),"UNMAPPED"))</f>
        <v/>
      </c>
    </row>
    <row r="2274" customFormat="false" ht="13.5" hidden="false" customHeight="false" outlineLevel="0" collapsed="false">
      <c r="A2274" s="1" t="str">
        <f aca="false">IF($C2274="","",Controls!$B$7)</f>
        <v/>
      </c>
      <c r="B2274" s="1" t="str">
        <f aca="false">IF($H2274="","",YEAR($H2274)&amp;"-Q"&amp;ROUNDUP(MONTH($H2274)/3,0))</f>
        <v/>
      </c>
      <c r="S2274" s="1" t="str">
        <f aca="false">IF($C2274="","",$C2274&amp;"|"&amp;$E2274&amp;"|"&amp;$F2274&amp;"|"&amp;$L2274&amp;"|"&amp;$P2274&amp;"|"&amp;TEXT($H2274,"yyyy-mm-dd"))</f>
        <v/>
      </c>
      <c r="T2274" s="1" t="str">
        <f aca="false">IF($S2274="","",IF(COUNTIF($S$2:$S$2991,$S2274)&gt;1,"DUPLICATE","OK"))</f>
        <v/>
      </c>
      <c r="U2274" s="0" t="str">
        <f aca="false">IF($L2274="","",IFERROR(VLOOKUP(--$L2274,MM_Income!$Z$5:$AC$204,3,FALSE()),"UNMAPPED"))</f>
        <v/>
      </c>
    </row>
    <row r="2275" customFormat="false" ht="13.5" hidden="false" customHeight="false" outlineLevel="0" collapsed="false">
      <c r="A2275" s="1" t="str">
        <f aca="false">IF($C2275="","",Controls!$B$7)</f>
        <v/>
      </c>
      <c r="B2275" s="1" t="str">
        <f aca="false">IF($H2275="","",YEAR($H2275)&amp;"-Q"&amp;ROUNDUP(MONTH($H2275)/3,0))</f>
        <v/>
      </c>
      <c r="S2275" s="1" t="str">
        <f aca="false">IF($C2275="","",$C2275&amp;"|"&amp;$E2275&amp;"|"&amp;$F2275&amp;"|"&amp;$L2275&amp;"|"&amp;$P2275&amp;"|"&amp;TEXT($H2275,"yyyy-mm-dd"))</f>
        <v/>
      </c>
      <c r="T2275" s="1" t="str">
        <f aca="false">IF($S2275="","",IF(COUNTIF($S$2:$S$2991,$S2275)&gt;1,"DUPLICATE","OK"))</f>
        <v/>
      </c>
      <c r="U2275" s="0" t="str">
        <f aca="false">IF($L2275="","",IFERROR(VLOOKUP(--$L2275,MM_Income!$Z$5:$AC$204,3,FALSE()),"UNMAPPED"))</f>
        <v/>
      </c>
    </row>
    <row r="2276" customFormat="false" ht="13.5" hidden="false" customHeight="false" outlineLevel="0" collapsed="false">
      <c r="A2276" s="1" t="str">
        <f aca="false">IF($C2276="","",Controls!$B$7)</f>
        <v/>
      </c>
      <c r="B2276" s="1" t="str">
        <f aca="false">IF($H2276="","",YEAR($H2276)&amp;"-Q"&amp;ROUNDUP(MONTH($H2276)/3,0))</f>
        <v/>
      </c>
      <c r="S2276" s="1" t="str">
        <f aca="false">IF($C2276="","",$C2276&amp;"|"&amp;$E2276&amp;"|"&amp;$F2276&amp;"|"&amp;$L2276&amp;"|"&amp;$P2276&amp;"|"&amp;TEXT($H2276,"yyyy-mm-dd"))</f>
        <v/>
      </c>
      <c r="T2276" s="1" t="str">
        <f aca="false">IF($S2276="","",IF(COUNTIF($S$2:$S$2991,$S2276)&gt;1,"DUPLICATE","OK"))</f>
        <v/>
      </c>
      <c r="U2276" s="0" t="str">
        <f aca="false">IF($L2276="","",IFERROR(VLOOKUP(--$L2276,MM_Income!$Z$5:$AC$204,3,FALSE()),"UNMAPPED"))</f>
        <v/>
      </c>
    </row>
    <row r="2277" customFormat="false" ht="13.5" hidden="false" customHeight="false" outlineLevel="0" collapsed="false">
      <c r="A2277" s="1" t="str">
        <f aca="false">IF($C2277="","",Controls!$B$7)</f>
        <v/>
      </c>
      <c r="B2277" s="1" t="str">
        <f aca="false">IF($H2277="","",YEAR($H2277)&amp;"-Q"&amp;ROUNDUP(MONTH($H2277)/3,0))</f>
        <v/>
      </c>
      <c r="S2277" s="1" t="str">
        <f aca="false">IF($C2277="","",$C2277&amp;"|"&amp;$E2277&amp;"|"&amp;$F2277&amp;"|"&amp;$L2277&amp;"|"&amp;$P2277&amp;"|"&amp;TEXT($H2277,"yyyy-mm-dd"))</f>
        <v/>
      </c>
      <c r="T2277" s="1" t="str">
        <f aca="false">IF($S2277="","",IF(COUNTIF($S$2:$S$2991,$S2277)&gt;1,"DUPLICATE","OK"))</f>
        <v/>
      </c>
      <c r="U2277" s="0" t="str">
        <f aca="false">IF($L2277="","",IFERROR(VLOOKUP(--$L2277,MM_Income!$Z$5:$AC$204,3,FALSE()),"UNMAPPED"))</f>
        <v/>
      </c>
    </row>
    <row r="2278" customFormat="false" ht="13.5" hidden="false" customHeight="false" outlineLevel="0" collapsed="false">
      <c r="A2278" s="1" t="str">
        <f aca="false">IF($C2278="","",Controls!$B$7)</f>
        <v/>
      </c>
      <c r="B2278" s="1" t="str">
        <f aca="false">IF($H2278="","",YEAR($H2278)&amp;"-Q"&amp;ROUNDUP(MONTH($H2278)/3,0))</f>
        <v/>
      </c>
      <c r="S2278" s="1" t="str">
        <f aca="false">IF($C2278="","",$C2278&amp;"|"&amp;$E2278&amp;"|"&amp;$F2278&amp;"|"&amp;$L2278&amp;"|"&amp;$P2278&amp;"|"&amp;TEXT($H2278,"yyyy-mm-dd"))</f>
        <v/>
      </c>
      <c r="T2278" s="1" t="str">
        <f aca="false">IF($S2278="","",IF(COUNTIF($S$2:$S$2991,$S2278)&gt;1,"DUPLICATE","OK"))</f>
        <v/>
      </c>
      <c r="U2278" s="0" t="str">
        <f aca="false">IF($L2278="","",IFERROR(VLOOKUP(--$L2278,MM_Income!$Z$5:$AC$204,3,FALSE()),"UNMAPPED"))</f>
        <v/>
      </c>
    </row>
    <row r="2279" customFormat="false" ht="13.5" hidden="false" customHeight="false" outlineLevel="0" collapsed="false">
      <c r="A2279" s="1" t="str">
        <f aca="false">IF($C2279="","",Controls!$B$7)</f>
        <v/>
      </c>
      <c r="B2279" s="1" t="str">
        <f aca="false">IF($H2279="","",YEAR($H2279)&amp;"-Q"&amp;ROUNDUP(MONTH($H2279)/3,0))</f>
        <v/>
      </c>
      <c r="S2279" s="1" t="str">
        <f aca="false">IF($C2279="","",$C2279&amp;"|"&amp;$E2279&amp;"|"&amp;$F2279&amp;"|"&amp;$L2279&amp;"|"&amp;$P2279&amp;"|"&amp;TEXT($H2279,"yyyy-mm-dd"))</f>
        <v/>
      </c>
      <c r="T2279" s="1" t="str">
        <f aca="false">IF($S2279="","",IF(COUNTIF($S$2:$S$2991,$S2279)&gt;1,"DUPLICATE","OK"))</f>
        <v/>
      </c>
      <c r="U2279" s="0" t="str">
        <f aca="false">IF($L2279="","",IFERROR(VLOOKUP(--$L2279,MM_Income!$Z$5:$AC$204,3,FALSE()),"UNMAPPED"))</f>
        <v/>
      </c>
    </row>
    <row r="2280" customFormat="false" ht="13.5" hidden="false" customHeight="false" outlineLevel="0" collapsed="false">
      <c r="A2280" s="1" t="str">
        <f aca="false">IF($C2280="","",Controls!$B$7)</f>
        <v/>
      </c>
      <c r="B2280" s="1" t="str">
        <f aca="false">IF($H2280="","",YEAR($H2280)&amp;"-Q"&amp;ROUNDUP(MONTH($H2280)/3,0))</f>
        <v/>
      </c>
      <c r="S2280" s="1" t="str">
        <f aca="false">IF($C2280="","",$C2280&amp;"|"&amp;$E2280&amp;"|"&amp;$F2280&amp;"|"&amp;$L2280&amp;"|"&amp;$P2280&amp;"|"&amp;TEXT($H2280,"yyyy-mm-dd"))</f>
        <v/>
      </c>
      <c r="T2280" s="1" t="str">
        <f aca="false">IF($S2280="","",IF(COUNTIF($S$2:$S$2991,$S2280)&gt;1,"DUPLICATE","OK"))</f>
        <v/>
      </c>
      <c r="U2280" s="0" t="str">
        <f aca="false">IF($L2280="","",IFERROR(VLOOKUP(--$L2280,MM_Income!$Z$5:$AC$204,3,FALSE()),"UNMAPPED"))</f>
        <v/>
      </c>
    </row>
    <row r="2281" customFormat="false" ht="13.5" hidden="false" customHeight="false" outlineLevel="0" collapsed="false">
      <c r="A2281" s="1" t="str">
        <f aca="false">IF($C2281="","",Controls!$B$7)</f>
        <v/>
      </c>
      <c r="B2281" s="1" t="str">
        <f aca="false">IF($H2281="","",YEAR($H2281)&amp;"-Q"&amp;ROUNDUP(MONTH($H2281)/3,0))</f>
        <v/>
      </c>
      <c r="S2281" s="1" t="str">
        <f aca="false">IF($C2281="","",$C2281&amp;"|"&amp;$E2281&amp;"|"&amp;$F2281&amp;"|"&amp;$L2281&amp;"|"&amp;$P2281&amp;"|"&amp;TEXT($H2281,"yyyy-mm-dd"))</f>
        <v/>
      </c>
      <c r="T2281" s="1" t="str">
        <f aca="false">IF($S2281="","",IF(COUNTIF($S$2:$S$2991,$S2281)&gt;1,"DUPLICATE","OK"))</f>
        <v/>
      </c>
      <c r="U2281" s="0" t="str">
        <f aca="false">IF($L2281="","",IFERROR(VLOOKUP(--$L2281,MM_Income!$Z$5:$AC$204,3,FALSE()),"UNMAPPED"))</f>
        <v/>
      </c>
    </row>
    <row r="2282" customFormat="false" ht="13.5" hidden="false" customHeight="false" outlineLevel="0" collapsed="false">
      <c r="A2282" s="1" t="str">
        <f aca="false">IF($C2282="","",Controls!$B$7)</f>
        <v/>
      </c>
      <c r="B2282" s="1" t="str">
        <f aca="false">IF($H2282="","",YEAR($H2282)&amp;"-Q"&amp;ROUNDUP(MONTH($H2282)/3,0))</f>
        <v/>
      </c>
      <c r="S2282" s="1" t="str">
        <f aca="false">IF($C2282="","",$C2282&amp;"|"&amp;$E2282&amp;"|"&amp;$F2282&amp;"|"&amp;$L2282&amp;"|"&amp;$P2282&amp;"|"&amp;TEXT($H2282,"yyyy-mm-dd"))</f>
        <v/>
      </c>
      <c r="T2282" s="1" t="str">
        <f aca="false">IF($S2282="","",IF(COUNTIF($S$2:$S$2991,$S2282)&gt;1,"DUPLICATE","OK"))</f>
        <v/>
      </c>
      <c r="U2282" s="0" t="str">
        <f aca="false">IF($L2282="","",IFERROR(VLOOKUP(--$L2282,MM_Income!$Z$5:$AC$204,3,FALSE()),"UNMAPPED"))</f>
        <v/>
      </c>
    </row>
    <row r="2283" customFormat="false" ht="13.5" hidden="false" customHeight="false" outlineLevel="0" collapsed="false">
      <c r="A2283" s="1" t="str">
        <f aca="false">IF($C2283="","",Controls!$B$7)</f>
        <v/>
      </c>
      <c r="B2283" s="1" t="str">
        <f aca="false">IF($H2283="","",YEAR($H2283)&amp;"-Q"&amp;ROUNDUP(MONTH($H2283)/3,0))</f>
        <v/>
      </c>
      <c r="S2283" s="1" t="str">
        <f aca="false">IF($C2283="","",$C2283&amp;"|"&amp;$E2283&amp;"|"&amp;$F2283&amp;"|"&amp;$L2283&amp;"|"&amp;$P2283&amp;"|"&amp;TEXT($H2283,"yyyy-mm-dd"))</f>
        <v/>
      </c>
      <c r="T2283" s="1" t="str">
        <f aca="false">IF($S2283="","",IF(COUNTIF($S$2:$S$2991,$S2283)&gt;1,"DUPLICATE","OK"))</f>
        <v/>
      </c>
      <c r="U2283" s="0" t="str">
        <f aca="false">IF($L2283="","",IFERROR(VLOOKUP(--$L2283,MM_Income!$Z$5:$AC$204,3,FALSE()),"UNMAPPED"))</f>
        <v/>
      </c>
    </row>
    <row r="2284" customFormat="false" ht="13.5" hidden="false" customHeight="false" outlineLevel="0" collapsed="false">
      <c r="A2284" s="1" t="str">
        <f aca="false">IF($C2284="","",Controls!$B$7)</f>
        <v/>
      </c>
      <c r="B2284" s="1" t="str">
        <f aca="false">IF($H2284="","",YEAR($H2284)&amp;"-Q"&amp;ROUNDUP(MONTH($H2284)/3,0))</f>
        <v/>
      </c>
      <c r="S2284" s="1" t="str">
        <f aca="false">IF($C2284="","",$C2284&amp;"|"&amp;$E2284&amp;"|"&amp;$F2284&amp;"|"&amp;$L2284&amp;"|"&amp;$P2284&amp;"|"&amp;TEXT($H2284,"yyyy-mm-dd"))</f>
        <v/>
      </c>
      <c r="T2284" s="1" t="str">
        <f aca="false">IF($S2284="","",IF(COUNTIF($S$2:$S$2991,$S2284)&gt;1,"DUPLICATE","OK"))</f>
        <v/>
      </c>
      <c r="U2284" s="0" t="str">
        <f aca="false">IF($L2284="","",IFERROR(VLOOKUP(--$L2284,MM_Income!$Z$5:$AC$204,3,FALSE()),"UNMAPPED"))</f>
        <v/>
      </c>
    </row>
    <row r="2285" customFormat="false" ht="13.5" hidden="false" customHeight="false" outlineLevel="0" collapsed="false">
      <c r="A2285" s="1" t="str">
        <f aca="false">IF($C2285="","",Controls!$B$7)</f>
        <v/>
      </c>
      <c r="B2285" s="1" t="str">
        <f aca="false">IF($H2285="","",YEAR($H2285)&amp;"-Q"&amp;ROUNDUP(MONTH($H2285)/3,0))</f>
        <v/>
      </c>
      <c r="S2285" s="1" t="str">
        <f aca="false">IF($C2285="","",$C2285&amp;"|"&amp;$E2285&amp;"|"&amp;$F2285&amp;"|"&amp;$L2285&amp;"|"&amp;$P2285&amp;"|"&amp;TEXT($H2285,"yyyy-mm-dd"))</f>
        <v/>
      </c>
      <c r="T2285" s="1" t="str">
        <f aca="false">IF($S2285="","",IF(COUNTIF($S$2:$S$2991,$S2285)&gt;1,"DUPLICATE","OK"))</f>
        <v/>
      </c>
      <c r="U2285" s="0" t="str">
        <f aca="false">IF($L2285="","",IFERROR(VLOOKUP(--$L2285,MM_Income!$Z$5:$AC$204,3,FALSE()),"UNMAPPED"))</f>
        <v/>
      </c>
    </row>
    <row r="2286" customFormat="false" ht="13.5" hidden="false" customHeight="false" outlineLevel="0" collapsed="false">
      <c r="A2286" s="1" t="str">
        <f aca="false">IF($C2286="","",Controls!$B$7)</f>
        <v/>
      </c>
      <c r="B2286" s="1" t="str">
        <f aca="false">IF($H2286="","",YEAR($H2286)&amp;"-Q"&amp;ROUNDUP(MONTH($H2286)/3,0))</f>
        <v/>
      </c>
      <c r="S2286" s="1" t="str">
        <f aca="false">IF($C2286="","",$C2286&amp;"|"&amp;$E2286&amp;"|"&amp;$F2286&amp;"|"&amp;$L2286&amp;"|"&amp;$P2286&amp;"|"&amp;TEXT($H2286,"yyyy-mm-dd"))</f>
        <v/>
      </c>
      <c r="T2286" s="1" t="str">
        <f aca="false">IF($S2286="","",IF(COUNTIF($S$2:$S$2991,$S2286)&gt;1,"DUPLICATE","OK"))</f>
        <v/>
      </c>
      <c r="U2286" s="0" t="str">
        <f aca="false">IF($L2286="","",IFERROR(VLOOKUP(--$L2286,MM_Income!$Z$5:$AC$204,3,FALSE()),"UNMAPPED"))</f>
        <v/>
      </c>
    </row>
    <row r="2287" customFormat="false" ht="13.5" hidden="false" customHeight="false" outlineLevel="0" collapsed="false">
      <c r="A2287" s="1" t="str">
        <f aca="false">IF($C2287="","",Controls!$B$7)</f>
        <v/>
      </c>
      <c r="B2287" s="1" t="str">
        <f aca="false">IF($H2287="","",YEAR($H2287)&amp;"-Q"&amp;ROUNDUP(MONTH($H2287)/3,0))</f>
        <v/>
      </c>
      <c r="S2287" s="1" t="str">
        <f aca="false">IF($C2287="","",$C2287&amp;"|"&amp;$E2287&amp;"|"&amp;$F2287&amp;"|"&amp;$L2287&amp;"|"&amp;$P2287&amp;"|"&amp;TEXT($H2287,"yyyy-mm-dd"))</f>
        <v/>
      </c>
      <c r="T2287" s="1" t="str">
        <f aca="false">IF($S2287="","",IF(COUNTIF($S$2:$S$2991,$S2287)&gt;1,"DUPLICATE","OK"))</f>
        <v/>
      </c>
      <c r="U2287" s="0" t="str">
        <f aca="false">IF($L2287="","",IFERROR(VLOOKUP(--$L2287,MM_Income!$Z$5:$AC$204,3,FALSE()),"UNMAPPED"))</f>
        <v/>
      </c>
    </row>
    <row r="2288" customFormat="false" ht="13.5" hidden="false" customHeight="false" outlineLevel="0" collapsed="false">
      <c r="A2288" s="1" t="str">
        <f aca="false">IF($C2288="","",Controls!$B$7)</f>
        <v/>
      </c>
      <c r="B2288" s="1" t="str">
        <f aca="false">IF($H2288="","",YEAR($H2288)&amp;"-Q"&amp;ROUNDUP(MONTH($H2288)/3,0))</f>
        <v/>
      </c>
      <c r="S2288" s="1" t="str">
        <f aca="false">IF($C2288="","",$C2288&amp;"|"&amp;$E2288&amp;"|"&amp;$F2288&amp;"|"&amp;$L2288&amp;"|"&amp;$P2288&amp;"|"&amp;TEXT($H2288,"yyyy-mm-dd"))</f>
        <v/>
      </c>
      <c r="T2288" s="1" t="str">
        <f aca="false">IF($S2288="","",IF(COUNTIF($S$2:$S$2991,$S2288)&gt;1,"DUPLICATE","OK"))</f>
        <v/>
      </c>
      <c r="U2288" s="0" t="str">
        <f aca="false">IF($L2288="","",IFERROR(VLOOKUP(--$L2288,MM_Income!$Z$5:$AC$204,3,FALSE()),"UNMAPPED"))</f>
        <v/>
      </c>
    </row>
    <row r="2289" customFormat="false" ht="13.5" hidden="false" customHeight="false" outlineLevel="0" collapsed="false">
      <c r="A2289" s="1" t="str">
        <f aca="false">IF($C2289="","",Controls!$B$7)</f>
        <v/>
      </c>
      <c r="B2289" s="1" t="str">
        <f aca="false">IF($H2289="","",YEAR($H2289)&amp;"-Q"&amp;ROUNDUP(MONTH($H2289)/3,0))</f>
        <v/>
      </c>
      <c r="S2289" s="1" t="str">
        <f aca="false">IF($C2289="","",$C2289&amp;"|"&amp;$E2289&amp;"|"&amp;$F2289&amp;"|"&amp;$L2289&amp;"|"&amp;$P2289&amp;"|"&amp;TEXT($H2289,"yyyy-mm-dd"))</f>
        <v/>
      </c>
      <c r="T2289" s="1" t="str">
        <f aca="false">IF($S2289="","",IF(COUNTIF($S$2:$S$2991,$S2289)&gt;1,"DUPLICATE","OK"))</f>
        <v/>
      </c>
      <c r="U2289" s="0" t="str">
        <f aca="false">IF($L2289="","",IFERROR(VLOOKUP(--$L2289,MM_Income!$Z$5:$AC$204,3,FALSE()),"UNMAPPED"))</f>
        <v/>
      </c>
    </row>
    <row r="2290" customFormat="false" ht="13.5" hidden="false" customHeight="false" outlineLevel="0" collapsed="false">
      <c r="A2290" s="1" t="str">
        <f aca="false">IF($C2290="","",Controls!$B$7)</f>
        <v/>
      </c>
      <c r="B2290" s="1" t="str">
        <f aca="false">IF($H2290="","",YEAR($H2290)&amp;"-Q"&amp;ROUNDUP(MONTH($H2290)/3,0))</f>
        <v/>
      </c>
      <c r="S2290" s="1" t="str">
        <f aca="false">IF($C2290="","",$C2290&amp;"|"&amp;$E2290&amp;"|"&amp;$F2290&amp;"|"&amp;$L2290&amp;"|"&amp;$P2290&amp;"|"&amp;TEXT($H2290,"yyyy-mm-dd"))</f>
        <v/>
      </c>
      <c r="T2290" s="1" t="str">
        <f aca="false">IF($S2290="","",IF(COUNTIF($S$2:$S$2991,$S2290)&gt;1,"DUPLICATE","OK"))</f>
        <v/>
      </c>
      <c r="U2290" s="0" t="str">
        <f aca="false">IF($L2290="","",IFERROR(VLOOKUP(--$L2290,MM_Income!$Z$5:$AC$204,3,FALSE()),"UNMAPPED"))</f>
        <v/>
      </c>
    </row>
    <row r="2291" customFormat="false" ht="13.5" hidden="false" customHeight="false" outlineLevel="0" collapsed="false">
      <c r="A2291" s="1" t="str">
        <f aca="false">IF($C2291="","",Controls!$B$7)</f>
        <v/>
      </c>
      <c r="B2291" s="1" t="str">
        <f aca="false">IF($H2291="","",YEAR($H2291)&amp;"-Q"&amp;ROUNDUP(MONTH($H2291)/3,0))</f>
        <v/>
      </c>
      <c r="S2291" s="1" t="str">
        <f aca="false">IF($C2291="","",$C2291&amp;"|"&amp;$E2291&amp;"|"&amp;$F2291&amp;"|"&amp;$L2291&amp;"|"&amp;$P2291&amp;"|"&amp;TEXT($H2291,"yyyy-mm-dd"))</f>
        <v/>
      </c>
      <c r="T2291" s="1" t="str">
        <f aca="false">IF($S2291="","",IF(COUNTIF($S$2:$S$2991,$S2291)&gt;1,"DUPLICATE","OK"))</f>
        <v/>
      </c>
      <c r="U2291" s="0" t="str">
        <f aca="false">IF($L2291="","",IFERROR(VLOOKUP(--$L2291,MM_Income!$Z$5:$AC$204,3,FALSE()),"UNMAPPED"))</f>
        <v/>
      </c>
    </row>
    <row r="2292" customFormat="false" ht="13.5" hidden="false" customHeight="false" outlineLevel="0" collapsed="false">
      <c r="A2292" s="1" t="str">
        <f aca="false">IF($C2292="","",Controls!$B$7)</f>
        <v/>
      </c>
      <c r="B2292" s="1" t="str">
        <f aca="false">IF($H2292="","",YEAR($H2292)&amp;"-Q"&amp;ROUNDUP(MONTH($H2292)/3,0))</f>
        <v/>
      </c>
      <c r="S2292" s="1" t="str">
        <f aca="false">IF($C2292="","",$C2292&amp;"|"&amp;$E2292&amp;"|"&amp;$F2292&amp;"|"&amp;$L2292&amp;"|"&amp;$P2292&amp;"|"&amp;TEXT($H2292,"yyyy-mm-dd"))</f>
        <v/>
      </c>
      <c r="T2292" s="1" t="str">
        <f aca="false">IF($S2292="","",IF(COUNTIF($S$2:$S$2991,$S2292)&gt;1,"DUPLICATE","OK"))</f>
        <v/>
      </c>
      <c r="U2292" s="0" t="str">
        <f aca="false">IF($L2292="","",IFERROR(VLOOKUP(--$L2292,MM_Income!$Z$5:$AC$204,3,FALSE()),"UNMAPPED"))</f>
        <v/>
      </c>
    </row>
    <row r="2293" customFormat="false" ht="13.5" hidden="false" customHeight="false" outlineLevel="0" collapsed="false">
      <c r="A2293" s="1" t="str">
        <f aca="false">IF($C2293="","",Controls!$B$7)</f>
        <v/>
      </c>
      <c r="B2293" s="1" t="str">
        <f aca="false">IF($H2293="","",YEAR($H2293)&amp;"-Q"&amp;ROUNDUP(MONTH($H2293)/3,0))</f>
        <v/>
      </c>
      <c r="S2293" s="1" t="str">
        <f aca="false">IF($C2293="","",$C2293&amp;"|"&amp;$E2293&amp;"|"&amp;$F2293&amp;"|"&amp;$L2293&amp;"|"&amp;$P2293&amp;"|"&amp;TEXT($H2293,"yyyy-mm-dd"))</f>
        <v/>
      </c>
      <c r="T2293" s="1" t="str">
        <f aca="false">IF($S2293="","",IF(COUNTIF($S$2:$S$2991,$S2293)&gt;1,"DUPLICATE","OK"))</f>
        <v/>
      </c>
      <c r="U2293" s="0" t="str">
        <f aca="false">IF($L2293="","",IFERROR(VLOOKUP(--$L2293,MM_Income!$Z$5:$AC$204,3,FALSE()),"UNMAPPED"))</f>
        <v/>
      </c>
    </row>
    <row r="2294" customFormat="false" ht="13.5" hidden="false" customHeight="false" outlineLevel="0" collapsed="false">
      <c r="A2294" s="1" t="str">
        <f aca="false">IF($C2294="","",Controls!$B$7)</f>
        <v/>
      </c>
      <c r="B2294" s="1" t="str">
        <f aca="false">IF($H2294="","",YEAR($H2294)&amp;"-Q"&amp;ROUNDUP(MONTH($H2294)/3,0))</f>
        <v/>
      </c>
      <c r="S2294" s="1" t="str">
        <f aca="false">IF($C2294="","",$C2294&amp;"|"&amp;$E2294&amp;"|"&amp;$F2294&amp;"|"&amp;$L2294&amp;"|"&amp;$P2294&amp;"|"&amp;TEXT($H2294,"yyyy-mm-dd"))</f>
        <v/>
      </c>
      <c r="T2294" s="1" t="str">
        <f aca="false">IF($S2294="","",IF(COUNTIF($S$2:$S$2991,$S2294)&gt;1,"DUPLICATE","OK"))</f>
        <v/>
      </c>
      <c r="U2294" s="0" t="str">
        <f aca="false">IF($L2294="","",IFERROR(VLOOKUP(--$L2294,MM_Income!$Z$5:$AC$204,3,FALSE()),"UNMAPPED"))</f>
        <v/>
      </c>
    </row>
    <row r="2295" customFormat="false" ht="13.5" hidden="false" customHeight="false" outlineLevel="0" collapsed="false">
      <c r="A2295" s="1" t="str">
        <f aca="false">IF($C2295="","",Controls!$B$7)</f>
        <v/>
      </c>
      <c r="B2295" s="1" t="str">
        <f aca="false">IF($H2295="","",YEAR($H2295)&amp;"-Q"&amp;ROUNDUP(MONTH($H2295)/3,0))</f>
        <v/>
      </c>
      <c r="S2295" s="1" t="str">
        <f aca="false">IF($C2295="","",$C2295&amp;"|"&amp;$E2295&amp;"|"&amp;$F2295&amp;"|"&amp;$L2295&amp;"|"&amp;$P2295&amp;"|"&amp;TEXT($H2295,"yyyy-mm-dd"))</f>
        <v/>
      </c>
      <c r="T2295" s="1" t="str">
        <f aca="false">IF($S2295="","",IF(COUNTIF($S$2:$S$2991,$S2295)&gt;1,"DUPLICATE","OK"))</f>
        <v/>
      </c>
      <c r="U2295" s="0" t="str">
        <f aca="false">IF($L2295="","",IFERROR(VLOOKUP(--$L2295,MM_Income!$Z$5:$AC$204,3,FALSE()),"UNMAPPED"))</f>
        <v/>
      </c>
    </row>
    <row r="2296" customFormat="false" ht="13.5" hidden="false" customHeight="false" outlineLevel="0" collapsed="false">
      <c r="A2296" s="1" t="str">
        <f aca="false">IF($C2296="","",Controls!$B$7)</f>
        <v/>
      </c>
      <c r="B2296" s="1" t="str">
        <f aca="false">IF($H2296="","",YEAR($H2296)&amp;"-Q"&amp;ROUNDUP(MONTH($H2296)/3,0))</f>
        <v/>
      </c>
      <c r="S2296" s="1" t="str">
        <f aca="false">IF($C2296="","",$C2296&amp;"|"&amp;$E2296&amp;"|"&amp;$F2296&amp;"|"&amp;$L2296&amp;"|"&amp;$P2296&amp;"|"&amp;TEXT($H2296,"yyyy-mm-dd"))</f>
        <v/>
      </c>
      <c r="T2296" s="1" t="str">
        <f aca="false">IF($S2296="","",IF(COUNTIF($S$2:$S$2991,$S2296)&gt;1,"DUPLICATE","OK"))</f>
        <v/>
      </c>
      <c r="U2296" s="0" t="str">
        <f aca="false">IF($L2296="","",IFERROR(VLOOKUP(--$L2296,MM_Income!$Z$5:$AC$204,3,FALSE()),"UNMAPPED"))</f>
        <v/>
      </c>
    </row>
    <row r="2297" customFormat="false" ht="13.5" hidden="false" customHeight="false" outlineLevel="0" collapsed="false">
      <c r="A2297" s="1" t="str">
        <f aca="false">IF($C2297="","",Controls!$B$7)</f>
        <v/>
      </c>
      <c r="B2297" s="1" t="str">
        <f aca="false">IF($H2297="","",YEAR($H2297)&amp;"-Q"&amp;ROUNDUP(MONTH($H2297)/3,0))</f>
        <v/>
      </c>
      <c r="S2297" s="1" t="str">
        <f aca="false">IF($C2297="","",$C2297&amp;"|"&amp;$E2297&amp;"|"&amp;$F2297&amp;"|"&amp;$L2297&amp;"|"&amp;$P2297&amp;"|"&amp;TEXT($H2297,"yyyy-mm-dd"))</f>
        <v/>
      </c>
      <c r="T2297" s="1" t="str">
        <f aca="false">IF($S2297="","",IF(COUNTIF($S$2:$S$2991,$S2297)&gt;1,"DUPLICATE","OK"))</f>
        <v/>
      </c>
      <c r="U2297" s="0" t="str">
        <f aca="false">IF($L2297="","",IFERROR(VLOOKUP(--$L2297,MM_Income!$Z$5:$AC$204,3,FALSE()),"UNMAPPED"))</f>
        <v/>
      </c>
    </row>
    <row r="2298" customFormat="false" ht="13.5" hidden="false" customHeight="false" outlineLevel="0" collapsed="false">
      <c r="A2298" s="1" t="str">
        <f aca="false">IF($C2298="","",Controls!$B$7)</f>
        <v/>
      </c>
      <c r="B2298" s="1" t="str">
        <f aca="false">IF($H2298="","",YEAR($H2298)&amp;"-Q"&amp;ROUNDUP(MONTH($H2298)/3,0))</f>
        <v/>
      </c>
      <c r="S2298" s="1" t="str">
        <f aca="false">IF($C2298="","",$C2298&amp;"|"&amp;$E2298&amp;"|"&amp;$F2298&amp;"|"&amp;$L2298&amp;"|"&amp;$P2298&amp;"|"&amp;TEXT($H2298,"yyyy-mm-dd"))</f>
        <v/>
      </c>
      <c r="T2298" s="1" t="str">
        <f aca="false">IF($S2298="","",IF(COUNTIF($S$2:$S$2991,$S2298)&gt;1,"DUPLICATE","OK"))</f>
        <v/>
      </c>
      <c r="U2298" s="0" t="str">
        <f aca="false">IF($L2298="","",IFERROR(VLOOKUP(--$L2298,MM_Income!$Z$5:$AC$204,3,FALSE()),"UNMAPPED"))</f>
        <v/>
      </c>
    </row>
    <row r="2299" customFormat="false" ht="13.5" hidden="false" customHeight="false" outlineLevel="0" collapsed="false">
      <c r="A2299" s="1" t="str">
        <f aca="false">IF($C2299="","",Controls!$B$7)</f>
        <v/>
      </c>
      <c r="B2299" s="1" t="str">
        <f aca="false">IF($H2299="","",YEAR($H2299)&amp;"-Q"&amp;ROUNDUP(MONTH($H2299)/3,0))</f>
        <v/>
      </c>
      <c r="S2299" s="1" t="str">
        <f aca="false">IF($C2299="","",$C2299&amp;"|"&amp;$E2299&amp;"|"&amp;$F2299&amp;"|"&amp;$L2299&amp;"|"&amp;$P2299&amp;"|"&amp;TEXT($H2299,"yyyy-mm-dd"))</f>
        <v/>
      </c>
      <c r="T2299" s="1" t="str">
        <f aca="false">IF($S2299="","",IF(COUNTIF($S$2:$S$2991,$S2299)&gt;1,"DUPLICATE","OK"))</f>
        <v/>
      </c>
      <c r="U2299" s="0" t="str">
        <f aca="false">IF($L2299="","",IFERROR(VLOOKUP(--$L2299,MM_Income!$Z$5:$AC$204,3,FALSE()),"UNMAPPED"))</f>
        <v/>
      </c>
    </row>
    <row r="2300" customFormat="false" ht="13.5" hidden="false" customHeight="false" outlineLevel="0" collapsed="false">
      <c r="A2300" s="1" t="str">
        <f aca="false">IF($C2300="","",Controls!$B$7)</f>
        <v/>
      </c>
      <c r="B2300" s="1" t="str">
        <f aca="false">IF($H2300="","",YEAR($H2300)&amp;"-Q"&amp;ROUNDUP(MONTH($H2300)/3,0))</f>
        <v/>
      </c>
      <c r="S2300" s="1" t="str">
        <f aca="false">IF($C2300="","",$C2300&amp;"|"&amp;$E2300&amp;"|"&amp;$F2300&amp;"|"&amp;$L2300&amp;"|"&amp;$P2300&amp;"|"&amp;TEXT($H2300,"yyyy-mm-dd"))</f>
        <v/>
      </c>
      <c r="T2300" s="1" t="str">
        <f aca="false">IF($S2300="","",IF(COUNTIF($S$2:$S$2991,$S2300)&gt;1,"DUPLICATE","OK"))</f>
        <v/>
      </c>
      <c r="U2300" s="0" t="str">
        <f aca="false">IF($L2300="","",IFERROR(VLOOKUP(--$L2300,MM_Income!$Z$5:$AC$204,3,FALSE()),"UNMAPPED"))</f>
        <v/>
      </c>
    </row>
    <row r="2301" customFormat="false" ht="13.5" hidden="false" customHeight="false" outlineLevel="0" collapsed="false">
      <c r="A2301" s="1" t="str">
        <f aca="false">IF($C2301="","",Controls!$B$7)</f>
        <v/>
      </c>
      <c r="B2301" s="1" t="str">
        <f aca="false">IF($H2301="","",YEAR($H2301)&amp;"-Q"&amp;ROUNDUP(MONTH($H2301)/3,0))</f>
        <v/>
      </c>
      <c r="S2301" s="1" t="str">
        <f aca="false">IF($C2301="","",$C2301&amp;"|"&amp;$E2301&amp;"|"&amp;$F2301&amp;"|"&amp;$L2301&amp;"|"&amp;$P2301&amp;"|"&amp;TEXT($H2301,"yyyy-mm-dd"))</f>
        <v/>
      </c>
      <c r="T2301" s="1" t="str">
        <f aca="false">IF($S2301="","",IF(COUNTIF($S$2:$S$2991,$S2301)&gt;1,"DUPLICATE","OK"))</f>
        <v/>
      </c>
      <c r="U2301" s="0" t="str">
        <f aca="false">IF($L2301="","",IFERROR(VLOOKUP(--$L2301,MM_Income!$Z$5:$AC$204,3,FALSE()),"UNMAPPED"))</f>
        <v/>
      </c>
    </row>
    <row r="2302" customFormat="false" ht="13.5" hidden="false" customHeight="false" outlineLevel="0" collapsed="false">
      <c r="A2302" s="1" t="str">
        <f aca="false">IF($C2302="","",Controls!$B$7)</f>
        <v/>
      </c>
      <c r="B2302" s="1" t="str">
        <f aca="false">IF($H2302="","",YEAR($H2302)&amp;"-Q"&amp;ROUNDUP(MONTH($H2302)/3,0))</f>
        <v/>
      </c>
      <c r="S2302" s="1" t="str">
        <f aca="false">IF($C2302="","",$C2302&amp;"|"&amp;$E2302&amp;"|"&amp;$F2302&amp;"|"&amp;$L2302&amp;"|"&amp;$P2302&amp;"|"&amp;TEXT($H2302,"yyyy-mm-dd"))</f>
        <v/>
      </c>
      <c r="T2302" s="1" t="str">
        <f aca="false">IF($S2302="","",IF(COUNTIF($S$2:$S$2991,$S2302)&gt;1,"DUPLICATE","OK"))</f>
        <v/>
      </c>
      <c r="U2302" s="0" t="str">
        <f aca="false">IF($L2302="","",IFERROR(VLOOKUP(--$L2302,MM_Income!$Z$5:$AC$204,3,FALSE()),"UNMAPPED"))</f>
        <v/>
      </c>
    </row>
    <row r="2303" customFormat="false" ht="13.5" hidden="false" customHeight="false" outlineLevel="0" collapsed="false">
      <c r="A2303" s="1" t="str">
        <f aca="false">IF($C2303="","",Controls!$B$7)</f>
        <v/>
      </c>
      <c r="B2303" s="1" t="str">
        <f aca="false">IF($H2303="","",YEAR($H2303)&amp;"-Q"&amp;ROUNDUP(MONTH($H2303)/3,0))</f>
        <v/>
      </c>
      <c r="S2303" s="1" t="str">
        <f aca="false">IF($C2303="","",$C2303&amp;"|"&amp;$E2303&amp;"|"&amp;$F2303&amp;"|"&amp;$L2303&amp;"|"&amp;$P2303&amp;"|"&amp;TEXT($H2303,"yyyy-mm-dd"))</f>
        <v/>
      </c>
      <c r="T2303" s="1" t="str">
        <f aca="false">IF($S2303="","",IF(COUNTIF($S$2:$S$2991,$S2303)&gt;1,"DUPLICATE","OK"))</f>
        <v/>
      </c>
      <c r="U2303" s="0" t="str">
        <f aca="false">IF($L2303="","",IFERROR(VLOOKUP(--$L2303,MM_Income!$Z$5:$AC$204,3,FALSE()),"UNMAPPED"))</f>
        <v/>
      </c>
    </row>
    <row r="2304" customFormat="false" ht="13.5" hidden="false" customHeight="false" outlineLevel="0" collapsed="false">
      <c r="A2304" s="1" t="str">
        <f aca="false">IF($C2304="","",Controls!$B$7)</f>
        <v/>
      </c>
      <c r="B2304" s="1" t="str">
        <f aca="false">IF($H2304="","",YEAR($H2304)&amp;"-Q"&amp;ROUNDUP(MONTH($H2304)/3,0))</f>
        <v/>
      </c>
      <c r="S2304" s="1" t="str">
        <f aca="false">IF($C2304="","",$C2304&amp;"|"&amp;$E2304&amp;"|"&amp;$F2304&amp;"|"&amp;$L2304&amp;"|"&amp;$P2304&amp;"|"&amp;TEXT($H2304,"yyyy-mm-dd"))</f>
        <v/>
      </c>
      <c r="T2304" s="1" t="str">
        <f aca="false">IF($S2304="","",IF(COUNTIF($S$2:$S$2991,$S2304)&gt;1,"DUPLICATE","OK"))</f>
        <v/>
      </c>
      <c r="U2304" s="0" t="str">
        <f aca="false">IF($L2304="","",IFERROR(VLOOKUP(--$L2304,MM_Income!$Z$5:$AC$204,3,FALSE()),"UNMAPPED"))</f>
        <v/>
      </c>
    </row>
    <row r="2305" customFormat="false" ht="13.5" hidden="false" customHeight="false" outlineLevel="0" collapsed="false">
      <c r="A2305" s="1" t="str">
        <f aca="false">IF($C2305="","",Controls!$B$7)</f>
        <v/>
      </c>
      <c r="B2305" s="1" t="str">
        <f aca="false">IF($H2305="","",YEAR($H2305)&amp;"-Q"&amp;ROUNDUP(MONTH($H2305)/3,0))</f>
        <v/>
      </c>
      <c r="S2305" s="1" t="str">
        <f aca="false">IF($C2305="","",$C2305&amp;"|"&amp;$E2305&amp;"|"&amp;$F2305&amp;"|"&amp;$L2305&amp;"|"&amp;$P2305&amp;"|"&amp;TEXT($H2305,"yyyy-mm-dd"))</f>
        <v/>
      </c>
      <c r="T2305" s="1" t="str">
        <f aca="false">IF($S2305="","",IF(COUNTIF($S$2:$S$2991,$S2305)&gt;1,"DUPLICATE","OK"))</f>
        <v/>
      </c>
      <c r="U2305" s="0" t="str">
        <f aca="false">IF($L2305="","",IFERROR(VLOOKUP(--$L2305,MM_Income!$Z$5:$AC$204,3,FALSE()),"UNMAPPED"))</f>
        <v/>
      </c>
    </row>
    <row r="2306" customFormat="false" ht="13.5" hidden="false" customHeight="false" outlineLevel="0" collapsed="false">
      <c r="A2306" s="1" t="str">
        <f aca="false">IF($C2306="","",Controls!$B$7)</f>
        <v/>
      </c>
      <c r="B2306" s="1" t="str">
        <f aca="false">IF($H2306="","",YEAR($H2306)&amp;"-Q"&amp;ROUNDUP(MONTH($H2306)/3,0))</f>
        <v/>
      </c>
      <c r="S2306" s="1" t="str">
        <f aca="false">IF($C2306="","",$C2306&amp;"|"&amp;$E2306&amp;"|"&amp;$F2306&amp;"|"&amp;$L2306&amp;"|"&amp;$P2306&amp;"|"&amp;TEXT($H2306,"yyyy-mm-dd"))</f>
        <v/>
      </c>
      <c r="T2306" s="1" t="str">
        <f aca="false">IF($S2306="","",IF(COUNTIF($S$2:$S$2991,$S2306)&gt;1,"DUPLICATE","OK"))</f>
        <v/>
      </c>
      <c r="U2306" s="0" t="str">
        <f aca="false">IF($L2306="","",IFERROR(VLOOKUP(--$L2306,MM_Income!$Z$5:$AC$204,3,FALSE()),"UNMAPPED"))</f>
        <v/>
      </c>
    </row>
    <row r="2307" customFormat="false" ht="13.5" hidden="false" customHeight="false" outlineLevel="0" collapsed="false">
      <c r="A2307" s="1" t="str">
        <f aca="false">IF($C2307="","",Controls!$B$7)</f>
        <v/>
      </c>
      <c r="B2307" s="1" t="str">
        <f aca="false">IF($H2307="","",YEAR($H2307)&amp;"-Q"&amp;ROUNDUP(MONTH($H2307)/3,0))</f>
        <v/>
      </c>
      <c r="S2307" s="1" t="str">
        <f aca="false">IF($C2307="","",$C2307&amp;"|"&amp;$E2307&amp;"|"&amp;$F2307&amp;"|"&amp;$L2307&amp;"|"&amp;$P2307&amp;"|"&amp;TEXT($H2307,"yyyy-mm-dd"))</f>
        <v/>
      </c>
      <c r="T2307" s="1" t="str">
        <f aca="false">IF($S2307="","",IF(COUNTIF($S$2:$S$2991,$S2307)&gt;1,"DUPLICATE","OK"))</f>
        <v/>
      </c>
      <c r="U2307" s="0" t="str">
        <f aca="false">IF($L2307="","",IFERROR(VLOOKUP(--$L2307,MM_Income!$Z$5:$AC$204,3,FALSE()),"UNMAPPED"))</f>
        <v/>
      </c>
    </row>
    <row r="2308" customFormat="false" ht="13.5" hidden="false" customHeight="false" outlineLevel="0" collapsed="false">
      <c r="A2308" s="1" t="str">
        <f aca="false">IF($C2308="","",Controls!$B$7)</f>
        <v/>
      </c>
      <c r="B2308" s="1" t="str">
        <f aca="false">IF($H2308="","",YEAR($H2308)&amp;"-Q"&amp;ROUNDUP(MONTH($H2308)/3,0))</f>
        <v/>
      </c>
      <c r="S2308" s="1" t="str">
        <f aca="false">IF($C2308="","",$C2308&amp;"|"&amp;$E2308&amp;"|"&amp;$F2308&amp;"|"&amp;$L2308&amp;"|"&amp;$P2308&amp;"|"&amp;TEXT($H2308,"yyyy-mm-dd"))</f>
        <v/>
      </c>
      <c r="T2308" s="1" t="str">
        <f aca="false">IF($S2308="","",IF(COUNTIF($S$2:$S$2991,$S2308)&gt;1,"DUPLICATE","OK"))</f>
        <v/>
      </c>
      <c r="U2308" s="0" t="str">
        <f aca="false">IF($L2308="","",IFERROR(VLOOKUP(--$L2308,MM_Income!$Z$5:$AC$204,3,FALSE()),"UNMAPPED"))</f>
        <v/>
      </c>
    </row>
    <row r="2309" customFormat="false" ht="13.5" hidden="false" customHeight="false" outlineLevel="0" collapsed="false">
      <c r="A2309" s="1" t="str">
        <f aca="false">IF($C2309="","",Controls!$B$7)</f>
        <v/>
      </c>
      <c r="B2309" s="1" t="str">
        <f aca="false">IF($H2309="","",YEAR($H2309)&amp;"-Q"&amp;ROUNDUP(MONTH($H2309)/3,0))</f>
        <v/>
      </c>
      <c r="S2309" s="1" t="str">
        <f aca="false">IF($C2309="","",$C2309&amp;"|"&amp;$E2309&amp;"|"&amp;$F2309&amp;"|"&amp;$L2309&amp;"|"&amp;$P2309&amp;"|"&amp;TEXT($H2309,"yyyy-mm-dd"))</f>
        <v/>
      </c>
      <c r="T2309" s="1" t="str">
        <f aca="false">IF($S2309="","",IF(COUNTIF($S$2:$S$2991,$S2309)&gt;1,"DUPLICATE","OK"))</f>
        <v/>
      </c>
      <c r="U2309" s="0" t="str">
        <f aca="false">IF($L2309="","",IFERROR(VLOOKUP(--$L2309,MM_Income!$Z$5:$AC$204,3,FALSE()),"UNMAPPED"))</f>
        <v/>
      </c>
    </row>
    <row r="2310" customFormat="false" ht="13.5" hidden="false" customHeight="false" outlineLevel="0" collapsed="false">
      <c r="A2310" s="1" t="str">
        <f aca="false">IF($C2310="","",Controls!$B$7)</f>
        <v/>
      </c>
      <c r="B2310" s="1" t="str">
        <f aca="false">IF($H2310="","",YEAR($H2310)&amp;"-Q"&amp;ROUNDUP(MONTH($H2310)/3,0))</f>
        <v/>
      </c>
      <c r="S2310" s="1" t="str">
        <f aca="false">IF($C2310="","",$C2310&amp;"|"&amp;$E2310&amp;"|"&amp;$F2310&amp;"|"&amp;$L2310&amp;"|"&amp;$P2310&amp;"|"&amp;TEXT($H2310,"yyyy-mm-dd"))</f>
        <v/>
      </c>
      <c r="T2310" s="1" t="str">
        <f aca="false">IF($S2310="","",IF(COUNTIF($S$2:$S$2991,$S2310)&gt;1,"DUPLICATE","OK"))</f>
        <v/>
      </c>
      <c r="U2310" s="0" t="str">
        <f aca="false">IF($L2310="","",IFERROR(VLOOKUP(--$L2310,MM_Income!$Z$5:$AC$204,3,FALSE()),"UNMAPPED"))</f>
        <v/>
      </c>
    </row>
    <row r="2311" customFormat="false" ht="13.5" hidden="false" customHeight="false" outlineLevel="0" collapsed="false">
      <c r="A2311" s="1" t="str">
        <f aca="false">IF($C2311="","",Controls!$B$7)</f>
        <v/>
      </c>
      <c r="B2311" s="1" t="str">
        <f aca="false">IF($H2311="","",YEAR($H2311)&amp;"-Q"&amp;ROUNDUP(MONTH($H2311)/3,0))</f>
        <v/>
      </c>
      <c r="S2311" s="1" t="str">
        <f aca="false">IF($C2311="","",$C2311&amp;"|"&amp;$E2311&amp;"|"&amp;$F2311&amp;"|"&amp;$L2311&amp;"|"&amp;$P2311&amp;"|"&amp;TEXT($H2311,"yyyy-mm-dd"))</f>
        <v/>
      </c>
      <c r="T2311" s="1" t="str">
        <f aca="false">IF($S2311="","",IF(COUNTIF($S$2:$S$2991,$S2311)&gt;1,"DUPLICATE","OK"))</f>
        <v/>
      </c>
      <c r="U2311" s="0" t="str">
        <f aca="false">IF($L2311="","",IFERROR(VLOOKUP(--$L2311,MM_Income!$Z$5:$AC$204,3,FALSE()),"UNMAPPED"))</f>
        <v/>
      </c>
    </row>
    <row r="2312" customFormat="false" ht="13.5" hidden="false" customHeight="false" outlineLevel="0" collapsed="false">
      <c r="A2312" s="1" t="str">
        <f aca="false">IF($C2312="","",Controls!$B$7)</f>
        <v/>
      </c>
      <c r="B2312" s="1" t="str">
        <f aca="false">IF($H2312="","",YEAR($H2312)&amp;"-Q"&amp;ROUNDUP(MONTH($H2312)/3,0))</f>
        <v/>
      </c>
      <c r="S2312" s="1" t="str">
        <f aca="false">IF($C2312="","",$C2312&amp;"|"&amp;$E2312&amp;"|"&amp;$F2312&amp;"|"&amp;$L2312&amp;"|"&amp;$P2312&amp;"|"&amp;TEXT($H2312,"yyyy-mm-dd"))</f>
        <v/>
      </c>
      <c r="T2312" s="1" t="str">
        <f aca="false">IF($S2312="","",IF(COUNTIF($S$2:$S$2991,$S2312)&gt;1,"DUPLICATE","OK"))</f>
        <v/>
      </c>
      <c r="U2312" s="0" t="str">
        <f aca="false">IF($L2312="","",IFERROR(VLOOKUP(--$L2312,MM_Income!$Z$5:$AC$204,3,FALSE()),"UNMAPPED"))</f>
        <v/>
      </c>
    </row>
    <row r="2313" customFormat="false" ht="13.5" hidden="false" customHeight="false" outlineLevel="0" collapsed="false">
      <c r="A2313" s="1" t="str">
        <f aca="false">IF($C2313="","",Controls!$B$7)</f>
        <v/>
      </c>
      <c r="B2313" s="1" t="str">
        <f aca="false">IF($H2313="","",YEAR($H2313)&amp;"-Q"&amp;ROUNDUP(MONTH($H2313)/3,0))</f>
        <v/>
      </c>
      <c r="S2313" s="1" t="str">
        <f aca="false">IF($C2313="","",$C2313&amp;"|"&amp;$E2313&amp;"|"&amp;$F2313&amp;"|"&amp;$L2313&amp;"|"&amp;$P2313&amp;"|"&amp;TEXT($H2313,"yyyy-mm-dd"))</f>
        <v/>
      </c>
      <c r="T2313" s="1" t="str">
        <f aca="false">IF($S2313="","",IF(COUNTIF($S$2:$S$2991,$S2313)&gt;1,"DUPLICATE","OK"))</f>
        <v/>
      </c>
      <c r="U2313" s="0" t="str">
        <f aca="false">IF($L2313="","",IFERROR(VLOOKUP(--$L2313,MM_Income!$Z$5:$AC$204,3,FALSE()),"UNMAPPED"))</f>
        <v/>
      </c>
    </row>
    <row r="2314" customFormat="false" ht="13.5" hidden="false" customHeight="false" outlineLevel="0" collapsed="false">
      <c r="A2314" s="1" t="str">
        <f aca="false">IF($C2314="","",Controls!$B$7)</f>
        <v/>
      </c>
      <c r="B2314" s="1" t="str">
        <f aca="false">IF($H2314="","",YEAR($H2314)&amp;"-Q"&amp;ROUNDUP(MONTH($H2314)/3,0))</f>
        <v/>
      </c>
      <c r="S2314" s="1" t="str">
        <f aca="false">IF($C2314="","",$C2314&amp;"|"&amp;$E2314&amp;"|"&amp;$F2314&amp;"|"&amp;$L2314&amp;"|"&amp;$P2314&amp;"|"&amp;TEXT($H2314,"yyyy-mm-dd"))</f>
        <v/>
      </c>
      <c r="T2314" s="1" t="str">
        <f aca="false">IF($S2314="","",IF(COUNTIF($S$2:$S$2991,$S2314)&gt;1,"DUPLICATE","OK"))</f>
        <v/>
      </c>
      <c r="U2314" s="0" t="str">
        <f aca="false">IF($L2314="","",IFERROR(VLOOKUP(--$L2314,MM_Income!$Z$5:$AC$204,3,FALSE()),"UNMAPPED"))</f>
        <v/>
      </c>
    </row>
    <row r="2315" customFormat="false" ht="13.5" hidden="false" customHeight="false" outlineLevel="0" collapsed="false">
      <c r="A2315" s="1" t="str">
        <f aca="false">IF($C2315="","",Controls!$B$7)</f>
        <v/>
      </c>
      <c r="B2315" s="1" t="str">
        <f aca="false">IF($H2315="","",YEAR($H2315)&amp;"-Q"&amp;ROUNDUP(MONTH($H2315)/3,0))</f>
        <v/>
      </c>
      <c r="S2315" s="1" t="str">
        <f aca="false">IF($C2315="","",$C2315&amp;"|"&amp;$E2315&amp;"|"&amp;$F2315&amp;"|"&amp;$L2315&amp;"|"&amp;$P2315&amp;"|"&amp;TEXT($H2315,"yyyy-mm-dd"))</f>
        <v/>
      </c>
      <c r="T2315" s="1" t="str">
        <f aca="false">IF($S2315="","",IF(COUNTIF($S$2:$S$2991,$S2315)&gt;1,"DUPLICATE","OK"))</f>
        <v/>
      </c>
      <c r="U2315" s="0" t="str">
        <f aca="false">IF($L2315="","",IFERROR(VLOOKUP(--$L2315,MM_Income!$Z$5:$AC$204,3,FALSE()),"UNMAPPED"))</f>
        <v/>
      </c>
    </row>
    <row r="2316" customFormat="false" ht="13.5" hidden="false" customHeight="false" outlineLevel="0" collapsed="false">
      <c r="A2316" s="1" t="str">
        <f aca="false">IF($C2316="","",Controls!$B$7)</f>
        <v/>
      </c>
      <c r="B2316" s="1" t="str">
        <f aca="false">IF($H2316="","",YEAR($H2316)&amp;"-Q"&amp;ROUNDUP(MONTH($H2316)/3,0))</f>
        <v/>
      </c>
      <c r="S2316" s="1" t="str">
        <f aca="false">IF($C2316="","",$C2316&amp;"|"&amp;$E2316&amp;"|"&amp;$F2316&amp;"|"&amp;$L2316&amp;"|"&amp;$P2316&amp;"|"&amp;TEXT($H2316,"yyyy-mm-dd"))</f>
        <v/>
      </c>
      <c r="T2316" s="1" t="str">
        <f aca="false">IF($S2316="","",IF(COUNTIF($S$2:$S$2991,$S2316)&gt;1,"DUPLICATE","OK"))</f>
        <v/>
      </c>
      <c r="U2316" s="0" t="str">
        <f aca="false">IF($L2316="","",IFERROR(VLOOKUP(--$L2316,MM_Income!$Z$5:$AC$204,3,FALSE()),"UNMAPPED"))</f>
        <v/>
      </c>
    </row>
    <row r="2317" customFormat="false" ht="13.5" hidden="false" customHeight="false" outlineLevel="0" collapsed="false">
      <c r="A2317" s="1" t="str">
        <f aca="false">IF($C2317="","",Controls!$B$7)</f>
        <v/>
      </c>
      <c r="B2317" s="1" t="str">
        <f aca="false">IF($H2317="","",YEAR($H2317)&amp;"-Q"&amp;ROUNDUP(MONTH($H2317)/3,0))</f>
        <v/>
      </c>
      <c r="S2317" s="1" t="str">
        <f aca="false">IF($C2317="","",$C2317&amp;"|"&amp;$E2317&amp;"|"&amp;$F2317&amp;"|"&amp;$L2317&amp;"|"&amp;$P2317&amp;"|"&amp;TEXT($H2317,"yyyy-mm-dd"))</f>
        <v/>
      </c>
      <c r="T2317" s="1" t="str">
        <f aca="false">IF($S2317="","",IF(COUNTIF($S$2:$S$2991,$S2317)&gt;1,"DUPLICATE","OK"))</f>
        <v/>
      </c>
      <c r="U2317" s="0" t="str">
        <f aca="false">IF($L2317="","",IFERROR(VLOOKUP(--$L2317,MM_Income!$Z$5:$AC$204,3,FALSE()),"UNMAPPED"))</f>
        <v/>
      </c>
    </row>
    <row r="2318" customFormat="false" ht="13.5" hidden="false" customHeight="false" outlineLevel="0" collapsed="false">
      <c r="A2318" s="1" t="str">
        <f aca="false">IF($C2318="","",Controls!$B$7)</f>
        <v/>
      </c>
      <c r="B2318" s="1" t="str">
        <f aca="false">IF($H2318="","",YEAR($H2318)&amp;"-Q"&amp;ROUNDUP(MONTH($H2318)/3,0))</f>
        <v/>
      </c>
      <c r="S2318" s="1" t="str">
        <f aca="false">IF($C2318="","",$C2318&amp;"|"&amp;$E2318&amp;"|"&amp;$F2318&amp;"|"&amp;$L2318&amp;"|"&amp;$P2318&amp;"|"&amp;TEXT($H2318,"yyyy-mm-dd"))</f>
        <v/>
      </c>
      <c r="T2318" s="1" t="str">
        <f aca="false">IF($S2318="","",IF(COUNTIF($S$2:$S$2991,$S2318)&gt;1,"DUPLICATE","OK"))</f>
        <v/>
      </c>
      <c r="U2318" s="0" t="str">
        <f aca="false">IF($L2318="","",IFERROR(VLOOKUP(--$L2318,MM_Income!$Z$5:$AC$204,3,FALSE()),"UNMAPPED"))</f>
        <v/>
      </c>
    </row>
    <row r="2319" customFormat="false" ht="13.5" hidden="false" customHeight="false" outlineLevel="0" collapsed="false">
      <c r="A2319" s="1" t="str">
        <f aca="false">IF($C2319="","",Controls!$B$7)</f>
        <v/>
      </c>
      <c r="B2319" s="1" t="str">
        <f aca="false">IF($H2319="","",YEAR($H2319)&amp;"-Q"&amp;ROUNDUP(MONTH($H2319)/3,0))</f>
        <v/>
      </c>
      <c r="S2319" s="1" t="str">
        <f aca="false">IF($C2319="","",$C2319&amp;"|"&amp;$E2319&amp;"|"&amp;$F2319&amp;"|"&amp;$L2319&amp;"|"&amp;$P2319&amp;"|"&amp;TEXT($H2319,"yyyy-mm-dd"))</f>
        <v/>
      </c>
      <c r="T2319" s="1" t="str">
        <f aca="false">IF($S2319="","",IF(COUNTIF($S$2:$S$2991,$S2319)&gt;1,"DUPLICATE","OK"))</f>
        <v/>
      </c>
      <c r="U2319" s="0" t="str">
        <f aca="false">IF($L2319="","",IFERROR(VLOOKUP(--$L2319,MM_Income!$Z$5:$AC$204,3,FALSE()),"UNMAPPED"))</f>
        <v/>
      </c>
    </row>
    <row r="2320" customFormat="false" ht="13.5" hidden="false" customHeight="false" outlineLevel="0" collapsed="false">
      <c r="A2320" s="1" t="str">
        <f aca="false">IF($C2320="","",Controls!$B$7)</f>
        <v/>
      </c>
      <c r="B2320" s="1" t="str">
        <f aca="false">IF($H2320="","",YEAR($H2320)&amp;"-Q"&amp;ROUNDUP(MONTH($H2320)/3,0))</f>
        <v/>
      </c>
      <c r="S2320" s="1" t="str">
        <f aca="false">IF($C2320="","",$C2320&amp;"|"&amp;$E2320&amp;"|"&amp;$F2320&amp;"|"&amp;$L2320&amp;"|"&amp;$P2320&amp;"|"&amp;TEXT($H2320,"yyyy-mm-dd"))</f>
        <v/>
      </c>
      <c r="T2320" s="1" t="str">
        <f aca="false">IF($S2320="","",IF(COUNTIF($S$2:$S$2991,$S2320)&gt;1,"DUPLICATE","OK"))</f>
        <v/>
      </c>
      <c r="U2320" s="0" t="str">
        <f aca="false">IF($L2320="","",IFERROR(VLOOKUP(--$L2320,MM_Income!$Z$5:$AC$204,3,FALSE()),"UNMAPPED"))</f>
        <v/>
      </c>
    </row>
    <row r="2321" customFormat="false" ht="13.5" hidden="false" customHeight="false" outlineLevel="0" collapsed="false">
      <c r="A2321" s="1" t="str">
        <f aca="false">IF($C2321="","",Controls!$B$7)</f>
        <v/>
      </c>
      <c r="B2321" s="1" t="str">
        <f aca="false">IF($H2321="","",YEAR($H2321)&amp;"-Q"&amp;ROUNDUP(MONTH($H2321)/3,0))</f>
        <v/>
      </c>
      <c r="S2321" s="1" t="str">
        <f aca="false">IF($C2321="","",$C2321&amp;"|"&amp;$E2321&amp;"|"&amp;$F2321&amp;"|"&amp;$L2321&amp;"|"&amp;$P2321&amp;"|"&amp;TEXT($H2321,"yyyy-mm-dd"))</f>
        <v/>
      </c>
      <c r="T2321" s="1" t="str">
        <f aca="false">IF($S2321="","",IF(COUNTIF($S$2:$S$2991,$S2321)&gt;1,"DUPLICATE","OK"))</f>
        <v/>
      </c>
      <c r="U2321" s="0" t="str">
        <f aca="false">IF($L2321="","",IFERROR(VLOOKUP(--$L2321,MM_Income!$Z$5:$AC$204,3,FALSE()),"UNMAPPED"))</f>
        <v/>
      </c>
    </row>
    <row r="2322" customFormat="false" ht="13.5" hidden="false" customHeight="false" outlineLevel="0" collapsed="false">
      <c r="A2322" s="1" t="str">
        <f aca="false">IF($C2322="","",Controls!$B$7)</f>
        <v/>
      </c>
      <c r="B2322" s="1" t="str">
        <f aca="false">IF($H2322="","",YEAR($H2322)&amp;"-Q"&amp;ROUNDUP(MONTH($H2322)/3,0))</f>
        <v/>
      </c>
      <c r="S2322" s="1" t="str">
        <f aca="false">IF($C2322="","",$C2322&amp;"|"&amp;$E2322&amp;"|"&amp;$F2322&amp;"|"&amp;$L2322&amp;"|"&amp;$P2322&amp;"|"&amp;TEXT($H2322,"yyyy-mm-dd"))</f>
        <v/>
      </c>
      <c r="T2322" s="1" t="str">
        <f aca="false">IF($S2322="","",IF(COUNTIF($S$2:$S$2991,$S2322)&gt;1,"DUPLICATE","OK"))</f>
        <v/>
      </c>
      <c r="U2322" s="0" t="str">
        <f aca="false">IF($L2322="","",IFERROR(VLOOKUP(--$L2322,MM_Income!$Z$5:$AC$204,3,FALSE()),"UNMAPPED"))</f>
        <v/>
      </c>
    </row>
    <row r="2323" customFormat="false" ht="13.5" hidden="false" customHeight="false" outlineLevel="0" collapsed="false">
      <c r="A2323" s="1" t="str">
        <f aca="false">IF($C2323="","",Controls!$B$7)</f>
        <v/>
      </c>
      <c r="B2323" s="1" t="str">
        <f aca="false">IF($H2323="","",YEAR($H2323)&amp;"-Q"&amp;ROUNDUP(MONTH($H2323)/3,0))</f>
        <v/>
      </c>
      <c r="S2323" s="1" t="str">
        <f aca="false">IF($C2323="","",$C2323&amp;"|"&amp;$E2323&amp;"|"&amp;$F2323&amp;"|"&amp;$L2323&amp;"|"&amp;$P2323&amp;"|"&amp;TEXT($H2323,"yyyy-mm-dd"))</f>
        <v/>
      </c>
      <c r="T2323" s="1" t="str">
        <f aca="false">IF($S2323="","",IF(COUNTIF($S$2:$S$2991,$S2323)&gt;1,"DUPLICATE","OK"))</f>
        <v/>
      </c>
      <c r="U2323" s="0" t="str">
        <f aca="false">IF($L2323="","",IFERROR(VLOOKUP(--$L2323,MM_Income!$Z$5:$AC$204,3,FALSE()),"UNMAPPED"))</f>
        <v/>
      </c>
    </row>
    <row r="2324" customFormat="false" ht="13.5" hidden="false" customHeight="false" outlineLevel="0" collapsed="false">
      <c r="A2324" s="1" t="str">
        <f aca="false">IF($C2324="","",Controls!$B$7)</f>
        <v/>
      </c>
      <c r="B2324" s="1" t="str">
        <f aca="false">IF($H2324="","",YEAR($H2324)&amp;"-Q"&amp;ROUNDUP(MONTH($H2324)/3,0))</f>
        <v/>
      </c>
      <c r="S2324" s="1" t="str">
        <f aca="false">IF($C2324="","",$C2324&amp;"|"&amp;$E2324&amp;"|"&amp;$F2324&amp;"|"&amp;$L2324&amp;"|"&amp;$P2324&amp;"|"&amp;TEXT($H2324,"yyyy-mm-dd"))</f>
        <v/>
      </c>
      <c r="T2324" s="1" t="str">
        <f aca="false">IF($S2324="","",IF(COUNTIF($S$2:$S$2991,$S2324)&gt;1,"DUPLICATE","OK"))</f>
        <v/>
      </c>
      <c r="U2324" s="0" t="str">
        <f aca="false">IF($L2324="","",IFERROR(VLOOKUP(--$L2324,MM_Income!$Z$5:$AC$204,3,FALSE()),"UNMAPPED"))</f>
        <v/>
      </c>
    </row>
    <row r="2325" customFormat="false" ht="13.5" hidden="false" customHeight="false" outlineLevel="0" collapsed="false">
      <c r="A2325" s="1" t="str">
        <f aca="false">IF($C2325="","",Controls!$B$7)</f>
        <v/>
      </c>
      <c r="B2325" s="1" t="str">
        <f aca="false">IF($H2325="","",YEAR($H2325)&amp;"-Q"&amp;ROUNDUP(MONTH($H2325)/3,0))</f>
        <v/>
      </c>
      <c r="S2325" s="1" t="str">
        <f aca="false">IF($C2325="","",$C2325&amp;"|"&amp;$E2325&amp;"|"&amp;$F2325&amp;"|"&amp;$L2325&amp;"|"&amp;$P2325&amp;"|"&amp;TEXT($H2325,"yyyy-mm-dd"))</f>
        <v/>
      </c>
      <c r="T2325" s="1" t="str">
        <f aca="false">IF($S2325="","",IF(COUNTIF($S$2:$S$2991,$S2325)&gt;1,"DUPLICATE","OK"))</f>
        <v/>
      </c>
      <c r="U2325" s="0" t="str">
        <f aca="false">IF($L2325="","",IFERROR(VLOOKUP(--$L2325,MM_Income!$Z$5:$AC$204,3,FALSE()),"UNMAPPED"))</f>
        <v/>
      </c>
    </row>
    <row r="2326" customFormat="false" ht="13.5" hidden="false" customHeight="false" outlineLevel="0" collapsed="false">
      <c r="A2326" s="1" t="str">
        <f aca="false">IF($C2326="","",Controls!$B$7)</f>
        <v/>
      </c>
      <c r="B2326" s="1" t="str">
        <f aca="false">IF($H2326="","",YEAR($H2326)&amp;"-Q"&amp;ROUNDUP(MONTH($H2326)/3,0))</f>
        <v/>
      </c>
      <c r="S2326" s="1" t="str">
        <f aca="false">IF($C2326="","",$C2326&amp;"|"&amp;$E2326&amp;"|"&amp;$F2326&amp;"|"&amp;$L2326&amp;"|"&amp;$P2326&amp;"|"&amp;TEXT($H2326,"yyyy-mm-dd"))</f>
        <v/>
      </c>
      <c r="T2326" s="1" t="str">
        <f aca="false">IF($S2326="","",IF(COUNTIF($S$2:$S$2991,$S2326)&gt;1,"DUPLICATE","OK"))</f>
        <v/>
      </c>
      <c r="U2326" s="0" t="str">
        <f aca="false">IF($L2326="","",IFERROR(VLOOKUP(--$L2326,MM_Income!$Z$5:$AC$204,3,FALSE()),"UNMAPPED"))</f>
        <v/>
      </c>
    </row>
    <row r="2327" customFormat="false" ht="13.5" hidden="false" customHeight="false" outlineLevel="0" collapsed="false">
      <c r="A2327" s="1" t="str">
        <f aca="false">IF($C2327="","",Controls!$B$7)</f>
        <v/>
      </c>
      <c r="B2327" s="1" t="str">
        <f aca="false">IF($H2327="","",YEAR($H2327)&amp;"-Q"&amp;ROUNDUP(MONTH($H2327)/3,0))</f>
        <v/>
      </c>
      <c r="S2327" s="1" t="str">
        <f aca="false">IF($C2327="","",$C2327&amp;"|"&amp;$E2327&amp;"|"&amp;$F2327&amp;"|"&amp;$L2327&amp;"|"&amp;$P2327&amp;"|"&amp;TEXT($H2327,"yyyy-mm-dd"))</f>
        <v/>
      </c>
      <c r="T2327" s="1" t="str">
        <f aca="false">IF($S2327="","",IF(COUNTIF($S$2:$S$2991,$S2327)&gt;1,"DUPLICATE","OK"))</f>
        <v/>
      </c>
      <c r="U2327" s="0" t="str">
        <f aca="false">IF($L2327="","",IFERROR(VLOOKUP(--$L2327,MM_Income!$Z$5:$AC$204,3,FALSE()),"UNMAPPED"))</f>
        <v/>
      </c>
    </row>
    <row r="2328" customFormat="false" ht="13.5" hidden="false" customHeight="false" outlineLevel="0" collapsed="false">
      <c r="A2328" s="1" t="str">
        <f aca="false">IF($C2328="","",Controls!$B$7)</f>
        <v/>
      </c>
      <c r="B2328" s="1" t="str">
        <f aca="false">IF($H2328="","",YEAR($H2328)&amp;"-Q"&amp;ROUNDUP(MONTH($H2328)/3,0))</f>
        <v/>
      </c>
      <c r="S2328" s="1" t="str">
        <f aca="false">IF($C2328="","",$C2328&amp;"|"&amp;$E2328&amp;"|"&amp;$F2328&amp;"|"&amp;$L2328&amp;"|"&amp;$P2328&amp;"|"&amp;TEXT($H2328,"yyyy-mm-dd"))</f>
        <v/>
      </c>
      <c r="T2328" s="1" t="str">
        <f aca="false">IF($S2328="","",IF(COUNTIF($S$2:$S$2991,$S2328)&gt;1,"DUPLICATE","OK"))</f>
        <v/>
      </c>
      <c r="U2328" s="0" t="str">
        <f aca="false">IF($L2328="","",IFERROR(VLOOKUP(--$L2328,MM_Income!$Z$5:$AC$204,3,FALSE()),"UNMAPPED"))</f>
        <v/>
      </c>
    </row>
    <row r="2329" customFormat="false" ht="13.5" hidden="false" customHeight="false" outlineLevel="0" collapsed="false">
      <c r="A2329" s="1" t="str">
        <f aca="false">IF($C2329="","",Controls!$B$7)</f>
        <v/>
      </c>
      <c r="B2329" s="1" t="str">
        <f aca="false">IF($H2329="","",YEAR($H2329)&amp;"-Q"&amp;ROUNDUP(MONTH($H2329)/3,0))</f>
        <v/>
      </c>
      <c r="S2329" s="1" t="str">
        <f aca="false">IF($C2329="","",$C2329&amp;"|"&amp;$E2329&amp;"|"&amp;$F2329&amp;"|"&amp;$L2329&amp;"|"&amp;$P2329&amp;"|"&amp;TEXT($H2329,"yyyy-mm-dd"))</f>
        <v/>
      </c>
      <c r="T2329" s="1" t="str">
        <f aca="false">IF($S2329="","",IF(COUNTIF($S$2:$S$2991,$S2329)&gt;1,"DUPLICATE","OK"))</f>
        <v/>
      </c>
      <c r="U2329" s="0" t="str">
        <f aca="false">IF($L2329="","",IFERROR(VLOOKUP(--$L2329,MM_Income!$Z$5:$AC$204,3,FALSE()),"UNMAPPED"))</f>
        <v/>
      </c>
    </row>
    <row r="2330" customFormat="false" ht="13.5" hidden="false" customHeight="false" outlineLevel="0" collapsed="false">
      <c r="A2330" s="1" t="str">
        <f aca="false">IF($C2330="","",Controls!$B$7)</f>
        <v/>
      </c>
      <c r="B2330" s="1" t="str">
        <f aca="false">IF($H2330="","",YEAR($H2330)&amp;"-Q"&amp;ROUNDUP(MONTH($H2330)/3,0))</f>
        <v/>
      </c>
      <c r="S2330" s="1" t="str">
        <f aca="false">IF($C2330="","",$C2330&amp;"|"&amp;$E2330&amp;"|"&amp;$F2330&amp;"|"&amp;$L2330&amp;"|"&amp;$P2330&amp;"|"&amp;TEXT($H2330,"yyyy-mm-dd"))</f>
        <v/>
      </c>
      <c r="T2330" s="1" t="str">
        <f aca="false">IF($S2330="","",IF(COUNTIF($S$2:$S$2991,$S2330)&gt;1,"DUPLICATE","OK"))</f>
        <v/>
      </c>
      <c r="U2330" s="0" t="str">
        <f aca="false">IF($L2330="","",IFERROR(VLOOKUP(--$L2330,MM_Income!$Z$5:$AC$204,3,FALSE()),"UNMAPPED"))</f>
        <v/>
      </c>
    </row>
    <row r="2331" customFormat="false" ht="13.5" hidden="false" customHeight="false" outlineLevel="0" collapsed="false">
      <c r="A2331" s="1" t="str">
        <f aca="false">IF($C2331="","",Controls!$B$7)</f>
        <v/>
      </c>
      <c r="B2331" s="1" t="str">
        <f aca="false">IF($H2331="","",YEAR($H2331)&amp;"-Q"&amp;ROUNDUP(MONTH($H2331)/3,0))</f>
        <v/>
      </c>
      <c r="S2331" s="1" t="str">
        <f aca="false">IF($C2331="","",$C2331&amp;"|"&amp;$E2331&amp;"|"&amp;$F2331&amp;"|"&amp;$L2331&amp;"|"&amp;$P2331&amp;"|"&amp;TEXT($H2331,"yyyy-mm-dd"))</f>
        <v/>
      </c>
      <c r="T2331" s="1" t="str">
        <f aca="false">IF($S2331="","",IF(COUNTIF($S$2:$S$2991,$S2331)&gt;1,"DUPLICATE","OK"))</f>
        <v/>
      </c>
      <c r="U2331" s="0" t="str">
        <f aca="false">IF($L2331="","",IFERROR(VLOOKUP(--$L2331,MM_Income!$Z$5:$AC$204,3,FALSE()),"UNMAPPED"))</f>
        <v/>
      </c>
    </row>
    <row r="2332" customFormat="false" ht="13.5" hidden="false" customHeight="false" outlineLevel="0" collapsed="false">
      <c r="A2332" s="1" t="str">
        <f aca="false">IF($C2332="","",Controls!$B$7)</f>
        <v/>
      </c>
      <c r="B2332" s="1" t="str">
        <f aca="false">IF($H2332="","",YEAR($H2332)&amp;"-Q"&amp;ROUNDUP(MONTH($H2332)/3,0))</f>
        <v/>
      </c>
      <c r="S2332" s="1" t="str">
        <f aca="false">IF($C2332="","",$C2332&amp;"|"&amp;$E2332&amp;"|"&amp;$F2332&amp;"|"&amp;$L2332&amp;"|"&amp;$P2332&amp;"|"&amp;TEXT($H2332,"yyyy-mm-dd"))</f>
        <v/>
      </c>
      <c r="T2332" s="1" t="str">
        <f aca="false">IF($S2332="","",IF(COUNTIF($S$2:$S$2991,$S2332)&gt;1,"DUPLICATE","OK"))</f>
        <v/>
      </c>
      <c r="U2332" s="0" t="str">
        <f aca="false">IF($L2332="","",IFERROR(VLOOKUP(--$L2332,MM_Income!$Z$5:$AC$204,3,FALSE()),"UNMAPPED"))</f>
        <v/>
      </c>
    </row>
    <row r="2333" customFormat="false" ht="13.5" hidden="false" customHeight="false" outlineLevel="0" collapsed="false">
      <c r="A2333" s="1" t="str">
        <f aca="false">IF($C2333="","",Controls!$B$7)</f>
        <v/>
      </c>
      <c r="B2333" s="1" t="str">
        <f aca="false">IF($H2333="","",YEAR($H2333)&amp;"-Q"&amp;ROUNDUP(MONTH($H2333)/3,0))</f>
        <v/>
      </c>
      <c r="S2333" s="1" t="str">
        <f aca="false">IF($C2333="","",$C2333&amp;"|"&amp;$E2333&amp;"|"&amp;$F2333&amp;"|"&amp;$L2333&amp;"|"&amp;$P2333&amp;"|"&amp;TEXT($H2333,"yyyy-mm-dd"))</f>
        <v/>
      </c>
      <c r="T2333" s="1" t="str">
        <f aca="false">IF($S2333="","",IF(COUNTIF($S$2:$S$2991,$S2333)&gt;1,"DUPLICATE","OK"))</f>
        <v/>
      </c>
      <c r="U2333" s="0" t="str">
        <f aca="false">IF($L2333="","",IFERROR(VLOOKUP(--$L2333,MM_Income!$Z$5:$AC$204,3,FALSE()),"UNMAPPED"))</f>
        <v/>
      </c>
    </row>
    <row r="2334" customFormat="false" ht="13.5" hidden="false" customHeight="false" outlineLevel="0" collapsed="false">
      <c r="A2334" s="1" t="str">
        <f aca="false">IF($C2334="","",Controls!$B$7)</f>
        <v/>
      </c>
      <c r="B2334" s="1" t="str">
        <f aca="false">IF($H2334="","",YEAR($H2334)&amp;"-Q"&amp;ROUNDUP(MONTH($H2334)/3,0))</f>
        <v/>
      </c>
      <c r="S2334" s="1" t="str">
        <f aca="false">IF($C2334="","",$C2334&amp;"|"&amp;$E2334&amp;"|"&amp;$F2334&amp;"|"&amp;$L2334&amp;"|"&amp;$P2334&amp;"|"&amp;TEXT($H2334,"yyyy-mm-dd"))</f>
        <v/>
      </c>
      <c r="T2334" s="1" t="str">
        <f aca="false">IF($S2334="","",IF(COUNTIF($S$2:$S$2991,$S2334)&gt;1,"DUPLICATE","OK"))</f>
        <v/>
      </c>
      <c r="U2334" s="0" t="str">
        <f aca="false">IF($L2334="","",IFERROR(VLOOKUP(--$L2334,MM_Income!$Z$5:$AC$204,3,FALSE()),"UNMAPPED"))</f>
        <v/>
      </c>
    </row>
    <row r="2335" customFormat="false" ht="13.5" hidden="false" customHeight="false" outlineLevel="0" collapsed="false">
      <c r="A2335" s="1" t="str">
        <f aca="false">IF($C2335="","",Controls!$B$7)</f>
        <v/>
      </c>
      <c r="B2335" s="1" t="str">
        <f aca="false">IF($H2335="","",YEAR($H2335)&amp;"-Q"&amp;ROUNDUP(MONTH($H2335)/3,0))</f>
        <v/>
      </c>
      <c r="S2335" s="1" t="str">
        <f aca="false">IF($C2335="","",$C2335&amp;"|"&amp;$E2335&amp;"|"&amp;$F2335&amp;"|"&amp;$L2335&amp;"|"&amp;$P2335&amp;"|"&amp;TEXT($H2335,"yyyy-mm-dd"))</f>
        <v/>
      </c>
      <c r="T2335" s="1" t="str">
        <f aca="false">IF($S2335="","",IF(COUNTIF($S$2:$S$2991,$S2335)&gt;1,"DUPLICATE","OK"))</f>
        <v/>
      </c>
      <c r="U2335" s="0" t="str">
        <f aca="false">IF($L2335="","",IFERROR(VLOOKUP(--$L2335,MM_Income!$Z$5:$AC$204,3,FALSE()),"UNMAPPED"))</f>
        <v/>
      </c>
    </row>
    <row r="2336" customFormat="false" ht="13.5" hidden="false" customHeight="false" outlineLevel="0" collapsed="false">
      <c r="A2336" s="1" t="str">
        <f aca="false">IF($C2336="","",Controls!$B$7)</f>
        <v/>
      </c>
      <c r="B2336" s="1" t="str">
        <f aca="false">IF($H2336="","",YEAR($H2336)&amp;"-Q"&amp;ROUNDUP(MONTH($H2336)/3,0))</f>
        <v/>
      </c>
      <c r="S2336" s="1" t="str">
        <f aca="false">IF($C2336="","",$C2336&amp;"|"&amp;$E2336&amp;"|"&amp;$F2336&amp;"|"&amp;$L2336&amp;"|"&amp;$P2336&amp;"|"&amp;TEXT($H2336,"yyyy-mm-dd"))</f>
        <v/>
      </c>
      <c r="T2336" s="1" t="str">
        <f aca="false">IF($S2336="","",IF(COUNTIF($S$2:$S$2991,$S2336)&gt;1,"DUPLICATE","OK"))</f>
        <v/>
      </c>
      <c r="U2336" s="0" t="str">
        <f aca="false">IF($L2336="","",IFERROR(VLOOKUP(--$L2336,MM_Income!$Z$5:$AC$204,3,FALSE()),"UNMAPPED"))</f>
        <v/>
      </c>
    </row>
    <row r="2337" customFormat="false" ht="13.5" hidden="false" customHeight="false" outlineLevel="0" collapsed="false">
      <c r="A2337" s="1" t="str">
        <f aca="false">IF($C2337="","",Controls!$B$7)</f>
        <v/>
      </c>
      <c r="B2337" s="1" t="str">
        <f aca="false">IF($H2337="","",YEAR($H2337)&amp;"-Q"&amp;ROUNDUP(MONTH($H2337)/3,0))</f>
        <v/>
      </c>
      <c r="S2337" s="1" t="str">
        <f aca="false">IF($C2337="","",$C2337&amp;"|"&amp;$E2337&amp;"|"&amp;$F2337&amp;"|"&amp;$L2337&amp;"|"&amp;$P2337&amp;"|"&amp;TEXT($H2337,"yyyy-mm-dd"))</f>
        <v/>
      </c>
      <c r="T2337" s="1" t="str">
        <f aca="false">IF($S2337="","",IF(COUNTIF($S$2:$S$2991,$S2337)&gt;1,"DUPLICATE","OK"))</f>
        <v/>
      </c>
      <c r="U2337" s="0" t="str">
        <f aca="false">IF($L2337="","",IFERROR(VLOOKUP(--$L2337,MM_Income!$Z$5:$AC$204,3,FALSE()),"UNMAPPED"))</f>
        <v/>
      </c>
    </row>
    <row r="2338" customFormat="false" ht="13.5" hidden="false" customHeight="false" outlineLevel="0" collapsed="false">
      <c r="A2338" s="1" t="str">
        <f aca="false">IF($C2338="","",Controls!$B$7)</f>
        <v/>
      </c>
      <c r="B2338" s="1" t="str">
        <f aca="false">IF($H2338="","",YEAR($H2338)&amp;"-Q"&amp;ROUNDUP(MONTH($H2338)/3,0))</f>
        <v/>
      </c>
      <c r="S2338" s="1" t="str">
        <f aca="false">IF($C2338="","",$C2338&amp;"|"&amp;$E2338&amp;"|"&amp;$F2338&amp;"|"&amp;$L2338&amp;"|"&amp;$P2338&amp;"|"&amp;TEXT($H2338,"yyyy-mm-dd"))</f>
        <v/>
      </c>
      <c r="T2338" s="1" t="str">
        <f aca="false">IF($S2338="","",IF(COUNTIF($S$2:$S$2991,$S2338)&gt;1,"DUPLICATE","OK"))</f>
        <v/>
      </c>
      <c r="U2338" s="0" t="str">
        <f aca="false">IF($L2338="","",IFERROR(VLOOKUP(--$L2338,MM_Income!$Z$5:$AC$204,3,FALSE()),"UNMAPPED"))</f>
        <v/>
      </c>
    </row>
    <row r="2339" customFormat="false" ht="13.5" hidden="false" customHeight="false" outlineLevel="0" collapsed="false">
      <c r="A2339" s="1" t="str">
        <f aca="false">IF($C2339="","",Controls!$B$7)</f>
        <v/>
      </c>
      <c r="B2339" s="1" t="str">
        <f aca="false">IF($H2339="","",YEAR($H2339)&amp;"-Q"&amp;ROUNDUP(MONTH($H2339)/3,0))</f>
        <v/>
      </c>
      <c r="S2339" s="1" t="str">
        <f aca="false">IF($C2339="","",$C2339&amp;"|"&amp;$E2339&amp;"|"&amp;$F2339&amp;"|"&amp;$L2339&amp;"|"&amp;$P2339&amp;"|"&amp;TEXT($H2339,"yyyy-mm-dd"))</f>
        <v/>
      </c>
      <c r="T2339" s="1" t="str">
        <f aca="false">IF($S2339="","",IF(COUNTIF($S$2:$S$2991,$S2339)&gt;1,"DUPLICATE","OK"))</f>
        <v/>
      </c>
      <c r="U2339" s="0" t="str">
        <f aca="false">IF($L2339="","",IFERROR(VLOOKUP(--$L2339,MM_Income!$Z$5:$AC$204,3,FALSE()),"UNMAPPED"))</f>
        <v/>
      </c>
    </row>
    <row r="2340" customFormat="false" ht="13.5" hidden="false" customHeight="false" outlineLevel="0" collapsed="false">
      <c r="A2340" s="1" t="str">
        <f aca="false">IF($C2340="","",Controls!$B$7)</f>
        <v/>
      </c>
      <c r="B2340" s="1" t="str">
        <f aca="false">IF($H2340="","",YEAR($H2340)&amp;"-Q"&amp;ROUNDUP(MONTH($H2340)/3,0))</f>
        <v/>
      </c>
      <c r="S2340" s="1" t="str">
        <f aca="false">IF($C2340="","",$C2340&amp;"|"&amp;$E2340&amp;"|"&amp;$F2340&amp;"|"&amp;$L2340&amp;"|"&amp;$P2340&amp;"|"&amp;TEXT($H2340,"yyyy-mm-dd"))</f>
        <v/>
      </c>
      <c r="T2340" s="1" t="str">
        <f aca="false">IF($S2340="","",IF(COUNTIF($S$2:$S$2991,$S2340)&gt;1,"DUPLICATE","OK"))</f>
        <v/>
      </c>
      <c r="U2340" s="0" t="str">
        <f aca="false">IF($L2340="","",IFERROR(VLOOKUP(--$L2340,MM_Income!$Z$5:$AC$204,3,FALSE()),"UNMAPPED"))</f>
        <v/>
      </c>
    </row>
    <row r="2341" customFormat="false" ht="13.5" hidden="false" customHeight="false" outlineLevel="0" collapsed="false">
      <c r="A2341" s="1" t="str">
        <f aca="false">IF($C2341="","",Controls!$B$7)</f>
        <v/>
      </c>
      <c r="B2341" s="1" t="str">
        <f aca="false">IF($H2341="","",YEAR($H2341)&amp;"-Q"&amp;ROUNDUP(MONTH($H2341)/3,0))</f>
        <v/>
      </c>
      <c r="S2341" s="1" t="str">
        <f aca="false">IF($C2341="","",$C2341&amp;"|"&amp;$E2341&amp;"|"&amp;$F2341&amp;"|"&amp;$L2341&amp;"|"&amp;$P2341&amp;"|"&amp;TEXT($H2341,"yyyy-mm-dd"))</f>
        <v/>
      </c>
      <c r="T2341" s="1" t="str">
        <f aca="false">IF($S2341="","",IF(COUNTIF($S$2:$S$2991,$S2341)&gt;1,"DUPLICATE","OK"))</f>
        <v/>
      </c>
      <c r="U2341" s="0" t="str">
        <f aca="false">IF($L2341="","",IFERROR(VLOOKUP(--$L2341,MM_Income!$Z$5:$AC$204,3,FALSE()),"UNMAPPED"))</f>
        <v/>
      </c>
    </row>
    <row r="2342" customFormat="false" ht="13.5" hidden="false" customHeight="false" outlineLevel="0" collapsed="false">
      <c r="A2342" s="1" t="str">
        <f aca="false">IF($C2342="","",Controls!$B$7)</f>
        <v/>
      </c>
      <c r="B2342" s="1" t="str">
        <f aca="false">IF($H2342="","",YEAR($H2342)&amp;"-Q"&amp;ROUNDUP(MONTH($H2342)/3,0))</f>
        <v/>
      </c>
      <c r="S2342" s="1" t="str">
        <f aca="false">IF($C2342="","",$C2342&amp;"|"&amp;$E2342&amp;"|"&amp;$F2342&amp;"|"&amp;$L2342&amp;"|"&amp;$P2342&amp;"|"&amp;TEXT($H2342,"yyyy-mm-dd"))</f>
        <v/>
      </c>
      <c r="T2342" s="1" t="str">
        <f aca="false">IF($S2342="","",IF(COUNTIF($S$2:$S$2991,$S2342)&gt;1,"DUPLICATE","OK"))</f>
        <v/>
      </c>
      <c r="U2342" s="0" t="str">
        <f aca="false">IF($L2342="","",IFERROR(VLOOKUP(--$L2342,MM_Income!$Z$5:$AC$204,3,FALSE()),"UNMAPPED"))</f>
        <v/>
      </c>
    </row>
    <row r="2343" customFormat="false" ht="13.5" hidden="false" customHeight="false" outlineLevel="0" collapsed="false">
      <c r="A2343" s="1" t="str">
        <f aca="false">IF($C2343="","",Controls!$B$7)</f>
        <v/>
      </c>
      <c r="B2343" s="1" t="str">
        <f aca="false">IF($H2343="","",YEAR($H2343)&amp;"-Q"&amp;ROUNDUP(MONTH($H2343)/3,0))</f>
        <v/>
      </c>
      <c r="S2343" s="1" t="str">
        <f aca="false">IF($C2343="","",$C2343&amp;"|"&amp;$E2343&amp;"|"&amp;$F2343&amp;"|"&amp;$L2343&amp;"|"&amp;$P2343&amp;"|"&amp;TEXT($H2343,"yyyy-mm-dd"))</f>
        <v/>
      </c>
      <c r="T2343" s="1" t="str">
        <f aca="false">IF($S2343="","",IF(COUNTIF($S$2:$S$2991,$S2343)&gt;1,"DUPLICATE","OK"))</f>
        <v/>
      </c>
      <c r="U2343" s="0" t="str">
        <f aca="false">IF($L2343="","",IFERROR(VLOOKUP(--$L2343,MM_Income!$Z$5:$AC$204,3,FALSE()),"UNMAPPED"))</f>
        <v/>
      </c>
    </row>
    <row r="2344" customFormat="false" ht="13.5" hidden="false" customHeight="false" outlineLevel="0" collapsed="false">
      <c r="A2344" s="1" t="str">
        <f aca="false">IF($C2344="","",Controls!$B$7)</f>
        <v/>
      </c>
      <c r="B2344" s="1" t="str">
        <f aca="false">IF($H2344="","",YEAR($H2344)&amp;"-Q"&amp;ROUNDUP(MONTH($H2344)/3,0))</f>
        <v/>
      </c>
      <c r="S2344" s="1" t="str">
        <f aca="false">IF($C2344="","",$C2344&amp;"|"&amp;$E2344&amp;"|"&amp;$F2344&amp;"|"&amp;$L2344&amp;"|"&amp;$P2344&amp;"|"&amp;TEXT($H2344,"yyyy-mm-dd"))</f>
        <v/>
      </c>
      <c r="T2344" s="1" t="str">
        <f aca="false">IF($S2344="","",IF(COUNTIF($S$2:$S$2991,$S2344)&gt;1,"DUPLICATE","OK"))</f>
        <v/>
      </c>
      <c r="U2344" s="0" t="str">
        <f aca="false">IF($L2344="","",IFERROR(VLOOKUP(--$L2344,MM_Income!$Z$5:$AC$204,3,FALSE()),"UNMAPPED"))</f>
        <v/>
      </c>
    </row>
    <row r="2345" customFormat="false" ht="13.5" hidden="false" customHeight="false" outlineLevel="0" collapsed="false">
      <c r="A2345" s="1" t="str">
        <f aca="false">IF($C2345="","",Controls!$B$7)</f>
        <v/>
      </c>
      <c r="B2345" s="1" t="str">
        <f aca="false">IF($H2345="","",YEAR($H2345)&amp;"-Q"&amp;ROUNDUP(MONTH($H2345)/3,0))</f>
        <v/>
      </c>
      <c r="S2345" s="1" t="str">
        <f aca="false">IF($C2345="","",$C2345&amp;"|"&amp;$E2345&amp;"|"&amp;$F2345&amp;"|"&amp;$L2345&amp;"|"&amp;$P2345&amp;"|"&amp;TEXT($H2345,"yyyy-mm-dd"))</f>
        <v/>
      </c>
      <c r="T2345" s="1" t="str">
        <f aca="false">IF($S2345="","",IF(COUNTIF($S$2:$S$2991,$S2345)&gt;1,"DUPLICATE","OK"))</f>
        <v/>
      </c>
      <c r="U2345" s="0" t="str">
        <f aca="false">IF($L2345="","",IFERROR(VLOOKUP(--$L2345,MM_Income!$Z$5:$AC$204,3,FALSE()),"UNMAPPED"))</f>
        <v/>
      </c>
    </row>
    <row r="2346" customFormat="false" ht="13.5" hidden="false" customHeight="false" outlineLevel="0" collapsed="false">
      <c r="A2346" s="1" t="str">
        <f aca="false">IF($C2346="","",Controls!$B$7)</f>
        <v/>
      </c>
      <c r="B2346" s="1" t="str">
        <f aca="false">IF($H2346="","",YEAR($H2346)&amp;"-Q"&amp;ROUNDUP(MONTH($H2346)/3,0))</f>
        <v/>
      </c>
      <c r="S2346" s="1" t="str">
        <f aca="false">IF($C2346="","",$C2346&amp;"|"&amp;$E2346&amp;"|"&amp;$F2346&amp;"|"&amp;$L2346&amp;"|"&amp;$P2346&amp;"|"&amp;TEXT($H2346,"yyyy-mm-dd"))</f>
        <v/>
      </c>
      <c r="T2346" s="1" t="str">
        <f aca="false">IF($S2346="","",IF(COUNTIF($S$2:$S$2991,$S2346)&gt;1,"DUPLICATE","OK"))</f>
        <v/>
      </c>
      <c r="U2346" s="0" t="str">
        <f aca="false">IF($L2346="","",IFERROR(VLOOKUP(--$L2346,MM_Income!$Z$5:$AC$204,3,FALSE()),"UNMAPPED"))</f>
        <v/>
      </c>
    </row>
    <row r="2347" customFormat="false" ht="13.5" hidden="false" customHeight="false" outlineLevel="0" collapsed="false">
      <c r="A2347" s="1" t="str">
        <f aca="false">IF($C2347="","",Controls!$B$7)</f>
        <v/>
      </c>
      <c r="B2347" s="1" t="str">
        <f aca="false">IF($H2347="","",YEAR($H2347)&amp;"-Q"&amp;ROUNDUP(MONTH($H2347)/3,0))</f>
        <v/>
      </c>
      <c r="S2347" s="1" t="str">
        <f aca="false">IF($C2347="","",$C2347&amp;"|"&amp;$E2347&amp;"|"&amp;$F2347&amp;"|"&amp;$L2347&amp;"|"&amp;$P2347&amp;"|"&amp;TEXT($H2347,"yyyy-mm-dd"))</f>
        <v/>
      </c>
      <c r="T2347" s="1" t="str">
        <f aca="false">IF($S2347="","",IF(COUNTIF($S$2:$S$2991,$S2347)&gt;1,"DUPLICATE","OK"))</f>
        <v/>
      </c>
      <c r="U2347" s="0" t="str">
        <f aca="false">IF($L2347="","",IFERROR(VLOOKUP(--$L2347,MM_Income!$Z$5:$AC$204,3,FALSE()),"UNMAPPED"))</f>
        <v/>
      </c>
    </row>
    <row r="2348" customFormat="false" ht="13.5" hidden="false" customHeight="false" outlineLevel="0" collapsed="false">
      <c r="A2348" s="1" t="str">
        <f aca="false">IF($C2348="","",Controls!$B$7)</f>
        <v/>
      </c>
      <c r="B2348" s="1" t="str">
        <f aca="false">IF($H2348="","",YEAR($H2348)&amp;"-Q"&amp;ROUNDUP(MONTH($H2348)/3,0))</f>
        <v/>
      </c>
      <c r="S2348" s="1" t="str">
        <f aca="false">IF($C2348="","",$C2348&amp;"|"&amp;$E2348&amp;"|"&amp;$F2348&amp;"|"&amp;$L2348&amp;"|"&amp;$P2348&amp;"|"&amp;TEXT($H2348,"yyyy-mm-dd"))</f>
        <v/>
      </c>
      <c r="T2348" s="1" t="str">
        <f aca="false">IF($S2348="","",IF(COUNTIF($S$2:$S$2991,$S2348)&gt;1,"DUPLICATE","OK"))</f>
        <v/>
      </c>
      <c r="U2348" s="0" t="str">
        <f aca="false">IF($L2348="","",IFERROR(VLOOKUP(--$L2348,MM_Income!$Z$5:$AC$204,3,FALSE()),"UNMAPPED"))</f>
        <v/>
      </c>
    </row>
    <row r="2349" customFormat="false" ht="13.5" hidden="false" customHeight="false" outlineLevel="0" collapsed="false">
      <c r="A2349" s="1" t="str">
        <f aca="false">IF($C2349="","",Controls!$B$7)</f>
        <v/>
      </c>
      <c r="B2349" s="1" t="str">
        <f aca="false">IF($H2349="","",YEAR($H2349)&amp;"-Q"&amp;ROUNDUP(MONTH($H2349)/3,0))</f>
        <v/>
      </c>
      <c r="S2349" s="1" t="str">
        <f aca="false">IF($C2349="","",$C2349&amp;"|"&amp;$E2349&amp;"|"&amp;$F2349&amp;"|"&amp;$L2349&amp;"|"&amp;$P2349&amp;"|"&amp;TEXT($H2349,"yyyy-mm-dd"))</f>
        <v/>
      </c>
      <c r="T2349" s="1" t="str">
        <f aca="false">IF($S2349="","",IF(COUNTIF($S$2:$S$2991,$S2349)&gt;1,"DUPLICATE","OK"))</f>
        <v/>
      </c>
      <c r="U2349" s="0" t="str">
        <f aca="false">IF($L2349="","",IFERROR(VLOOKUP(--$L2349,MM_Income!$Z$5:$AC$204,3,FALSE()),"UNMAPPED"))</f>
        <v/>
      </c>
    </row>
    <row r="2350" customFormat="false" ht="13.5" hidden="false" customHeight="false" outlineLevel="0" collapsed="false">
      <c r="A2350" s="1" t="str">
        <f aca="false">IF($C2350="","",Controls!$B$7)</f>
        <v/>
      </c>
      <c r="B2350" s="1" t="str">
        <f aca="false">IF($H2350="","",YEAR($H2350)&amp;"-Q"&amp;ROUNDUP(MONTH($H2350)/3,0))</f>
        <v/>
      </c>
      <c r="S2350" s="1" t="str">
        <f aca="false">IF($C2350="","",$C2350&amp;"|"&amp;$E2350&amp;"|"&amp;$F2350&amp;"|"&amp;$L2350&amp;"|"&amp;$P2350&amp;"|"&amp;TEXT($H2350,"yyyy-mm-dd"))</f>
        <v/>
      </c>
      <c r="T2350" s="1" t="str">
        <f aca="false">IF($S2350="","",IF(COUNTIF($S$2:$S$2991,$S2350)&gt;1,"DUPLICATE","OK"))</f>
        <v/>
      </c>
      <c r="U2350" s="0" t="str">
        <f aca="false">IF($L2350="","",IFERROR(VLOOKUP(--$L2350,MM_Income!$Z$5:$AC$204,3,FALSE()),"UNMAPPED"))</f>
        <v/>
      </c>
    </row>
    <row r="2351" customFormat="false" ht="13.5" hidden="false" customHeight="false" outlineLevel="0" collapsed="false">
      <c r="A2351" s="1" t="str">
        <f aca="false">IF($C2351="","",Controls!$B$7)</f>
        <v/>
      </c>
      <c r="B2351" s="1" t="str">
        <f aca="false">IF($H2351="","",YEAR($H2351)&amp;"-Q"&amp;ROUNDUP(MONTH($H2351)/3,0))</f>
        <v/>
      </c>
      <c r="S2351" s="1" t="str">
        <f aca="false">IF($C2351="","",$C2351&amp;"|"&amp;$E2351&amp;"|"&amp;$F2351&amp;"|"&amp;$L2351&amp;"|"&amp;$P2351&amp;"|"&amp;TEXT($H2351,"yyyy-mm-dd"))</f>
        <v/>
      </c>
      <c r="T2351" s="1" t="str">
        <f aca="false">IF($S2351="","",IF(COUNTIF($S$2:$S$2991,$S2351)&gt;1,"DUPLICATE","OK"))</f>
        <v/>
      </c>
      <c r="U2351" s="0" t="str">
        <f aca="false">IF($L2351="","",IFERROR(VLOOKUP(--$L2351,MM_Income!$Z$5:$AC$204,3,FALSE()),"UNMAPPED"))</f>
        <v/>
      </c>
    </row>
    <row r="2352" customFormat="false" ht="13.5" hidden="false" customHeight="false" outlineLevel="0" collapsed="false">
      <c r="A2352" s="1" t="str">
        <f aca="false">IF($C2352="","",Controls!$B$7)</f>
        <v/>
      </c>
      <c r="B2352" s="1" t="str">
        <f aca="false">IF($H2352="","",YEAR($H2352)&amp;"-Q"&amp;ROUNDUP(MONTH($H2352)/3,0))</f>
        <v/>
      </c>
      <c r="S2352" s="1" t="str">
        <f aca="false">IF($C2352="","",$C2352&amp;"|"&amp;$E2352&amp;"|"&amp;$F2352&amp;"|"&amp;$L2352&amp;"|"&amp;$P2352&amp;"|"&amp;TEXT($H2352,"yyyy-mm-dd"))</f>
        <v/>
      </c>
      <c r="T2352" s="1" t="str">
        <f aca="false">IF($S2352="","",IF(COUNTIF($S$2:$S$2991,$S2352)&gt;1,"DUPLICATE","OK"))</f>
        <v/>
      </c>
      <c r="U2352" s="0" t="str">
        <f aca="false">IF($L2352="","",IFERROR(VLOOKUP(--$L2352,MM_Income!$Z$5:$AC$204,3,FALSE()),"UNMAPPED"))</f>
        <v/>
      </c>
    </row>
    <row r="2353" customFormat="false" ht="13.5" hidden="false" customHeight="false" outlineLevel="0" collapsed="false">
      <c r="A2353" s="1" t="str">
        <f aca="false">IF($C2353="","",Controls!$B$7)</f>
        <v/>
      </c>
      <c r="B2353" s="1" t="str">
        <f aca="false">IF($H2353="","",YEAR($H2353)&amp;"-Q"&amp;ROUNDUP(MONTH($H2353)/3,0))</f>
        <v/>
      </c>
      <c r="S2353" s="1" t="str">
        <f aca="false">IF($C2353="","",$C2353&amp;"|"&amp;$E2353&amp;"|"&amp;$F2353&amp;"|"&amp;$L2353&amp;"|"&amp;$P2353&amp;"|"&amp;TEXT($H2353,"yyyy-mm-dd"))</f>
        <v/>
      </c>
      <c r="T2353" s="1" t="str">
        <f aca="false">IF($S2353="","",IF(COUNTIF($S$2:$S$2991,$S2353)&gt;1,"DUPLICATE","OK"))</f>
        <v/>
      </c>
      <c r="U2353" s="0" t="str">
        <f aca="false">IF($L2353="","",IFERROR(VLOOKUP(--$L2353,MM_Income!$Z$5:$AC$204,3,FALSE()),"UNMAPPED"))</f>
        <v/>
      </c>
    </row>
    <row r="2354" customFormat="false" ht="13.5" hidden="false" customHeight="false" outlineLevel="0" collapsed="false">
      <c r="A2354" s="1" t="str">
        <f aca="false">IF($C2354="","",Controls!$B$7)</f>
        <v/>
      </c>
      <c r="B2354" s="1" t="str">
        <f aca="false">IF($H2354="","",YEAR($H2354)&amp;"-Q"&amp;ROUNDUP(MONTH($H2354)/3,0))</f>
        <v/>
      </c>
      <c r="S2354" s="1" t="str">
        <f aca="false">IF($C2354="","",$C2354&amp;"|"&amp;$E2354&amp;"|"&amp;$F2354&amp;"|"&amp;$L2354&amp;"|"&amp;$P2354&amp;"|"&amp;TEXT($H2354,"yyyy-mm-dd"))</f>
        <v/>
      </c>
      <c r="T2354" s="1" t="str">
        <f aca="false">IF($S2354="","",IF(COUNTIF($S$2:$S$2991,$S2354)&gt;1,"DUPLICATE","OK"))</f>
        <v/>
      </c>
      <c r="U2354" s="0" t="str">
        <f aca="false">IF($L2354="","",IFERROR(VLOOKUP(--$L2354,MM_Income!$Z$5:$AC$204,3,FALSE()),"UNMAPPED"))</f>
        <v/>
      </c>
    </row>
    <row r="2355" customFormat="false" ht="13.5" hidden="false" customHeight="false" outlineLevel="0" collapsed="false">
      <c r="A2355" s="1" t="str">
        <f aca="false">IF($C2355="","",Controls!$B$7)</f>
        <v/>
      </c>
      <c r="B2355" s="1" t="str">
        <f aca="false">IF($H2355="","",YEAR($H2355)&amp;"-Q"&amp;ROUNDUP(MONTH($H2355)/3,0))</f>
        <v/>
      </c>
      <c r="S2355" s="1" t="str">
        <f aca="false">IF($C2355="","",$C2355&amp;"|"&amp;$E2355&amp;"|"&amp;$F2355&amp;"|"&amp;$L2355&amp;"|"&amp;$P2355&amp;"|"&amp;TEXT($H2355,"yyyy-mm-dd"))</f>
        <v/>
      </c>
      <c r="T2355" s="1" t="str">
        <f aca="false">IF($S2355="","",IF(COUNTIF($S$2:$S$2991,$S2355)&gt;1,"DUPLICATE","OK"))</f>
        <v/>
      </c>
      <c r="U2355" s="0" t="str">
        <f aca="false">IF($L2355="","",IFERROR(VLOOKUP(--$L2355,MM_Income!$Z$5:$AC$204,3,FALSE()),"UNMAPPED"))</f>
        <v/>
      </c>
    </row>
    <row r="2356" customFormat="false" ht="13.5" hidden="false" customHeight="false" outlineLevel="0" collapsed="false">
      <c r="A2356" s="1" t="str">
        <f aca="false">IF($C2356="","",Controls!$B$7)</f>
        <v/>
      </c>
      <c r="B2356" s="1" t="str">
        <f aca="false">IF($H2356="","",YEAR($H2356)&amp;"-Q"&amp;ROUNDUP(MONTH($H2356)/3,0))</f>
        <v/>
      </c>
      <c r="S2356" s="1" t="str">
        <f aca="false">IF($C2356="","",$C2356&amp;"|"&amp;$E2356&amp;"|"&amp;$F2356&amp;"|"&amp;$L2356&amp;"|"&amp;$P2356&amp;"|"&amp;TEXT($H2356,"yyyy-mm-dd"))</f>
        <v/>
      </c>
      <c r="T2356" s="1" t="str">
        <f aca="false">IF($S2356="","",IF(COUNTIF($S$2:$S$2991,$S2356)&gt;1,"DUPLICATE","OK"))</f>
        <v/>
      </c>
      <c r="U2356" s="0" t="str">
        <f aca="false">IF($L2356="","",IFERROR(VLOOKUP(--$L2356,MM_Income!$Z$5:$AC$204,3,FALSE()),"UNMAPPED"))</f>
        <v/>
      </c>
    </row>
    <row r="2357" customFormat="false" ht="13.5" hidden="false" customHeight="false" outlineLevel="0" collapsed="false">
      <c r="A2357" s="1" t="str">
        <f aca="false">IF($C2357="","",Controls!$B$7)</f>
        <v/>
      </c>
      <c r="B2357" s="1" t="str">
        <f aca="false">IF($H2357="","",YEAR($H2357)&amp;"-Q"&amp;ROUNDUP(MONTH($H2357)/3,0))</f>
        <v/>
      </c>
      <c r="S2357" s="1" t="str">
        <f aca="false">IF($C2357="","",$C2357&amp;"|"&amp;$E2357&amp;"|"&amp;$F2357&amp;"|"&amp;$L2357&amp;"|"&amp;$P2357&amp;"|"&amp;TEXT($H2357,"yyyy-mm-dd"))</f>
        <v/>
      </c>
      <c r="T2357" s="1" t="str">
        <f aca="false">IF($S2357="","",IF(COUNTIF($S$2:$S$2991,$S2357)&gt;1,"DUPLICATE","OK"))</f>
        <v/>
      </c>
      <c r="U2357" s="0" t="str">
        <f aca="false">IF($L2357="","",IFERROR(VLOOKUP(--$L2357,MM_Income!$Z$5:$AC$204,3,FALSE()),"UNMAPPED"))</f>
        <v/>
      </c>
    </row>
    <row r="2358" customFormat="false" ht="13.5" hidden="false" customHeight="false" outlineLevel="0" collapsed="false">
      <c r="A2358" s="1" t="str">
        <f aca="false">IF($C2358="","",Controls!$B$7)</f>
        <v/>
      </c>
      <c r="B2358" s="1" t="str">
        <f aca="false">IF($H2358="","",YEAR($H2358)&amp;"-Q"&amp;ROUNDUP(MONTH($H2358)/3,0))</f>
        <v/>
      </c>
      <c r="S2358" s="1" t="str">
        <f aca="false">IF($C2358="","",$C2358&amp;"|"&amp;$E2358&amp;"|"&amp;$F2358&amp;"|"&amp;$L2358&amp;"|"&amp;$P2358&amp;"|"&amp;TEXT($H2358,"yyyy-mm-dd"))</f>
        <v/>
      </c>
      <c r="T2358" s="1" t="str">
        <f aca="false">IF($S2358="","",IF(COUNTIF($S$2:$S$2991,$S2358)&gt;1,"DUPLICATE","OK"))</f>
        <v/>
      </c>
      <c r="U2358" s="0" t="str">
        <f aca="false">IF($L2358="","",IFERROR(VLOOKUP(--$L2358,MM_Income!$Z$5:$AC$204,3,FALSE()),"UNMAPPED"))</f>
        <v/>
      </c>
    </row>
    <row r="2359" customFormat="false" ht="13.5" hidden="false" customHeight="false" outlineLevel="0" collapsed="false">
      <c r="A2359" s="1" t="str">
        <f aca="false">IF($C2359="","",Controls!$B$7)</f>
        <v/>
      </c>
      <c r="B2359" s="1" t="str">
        <f aca="false">IF($H2359="","",YEAR($H2359)&amp;"-Q"&amp;ROUNDUP(MONTH($H2359)/3,0))</f>
        <v/>
      </c>
      <c r="S2359" s="1" t="str">
        <f aca="false">IF($C2359="","",$C2359&amp;"|"&amp;$E2359&amp;"|"&amp;$F2359&amp;"|"&amp;$L2359&amp;"|"&amp;$P2359&amp;"|"&amp;TEXT($H2359,"yyyy-mm-dd"))</f>
        <v/>
      </c>
      <c r="T2359" s="1" t="str">
        <f aca="false">IF($S2359="","",IF(COUNTIF($S$2:$S$2991,$S2359)&gt;1,"DUPLICATE","OK"))</f>
        <v/>
      </c>
      <c r="U2359" s="0" t="str">
        <f aca="false">IF($L2359="","",IFERROR(VLOOKUP(--$L2359,MM_Income!$Z$5:$AC$204,3,FALSE()),"UNMAPPED"))</f>
        <v/>
      </c>
    </row>
    <row r="2360" customFormat="false" ht="13.5" hidden="false" customHeight="false" outlineLevel="0" collapsed="false">
      <c r="A2360" s="1" t="str">
        <f aca="false">IF($C2360="","",Controls!$B$7)</f>
        <v/>
      </c>
      <c r="B2360" s="1" t="str">
        <f aca="false">IF($H2360="","",YEAR($H2360)&amp;"-Q"&amp;ROUNDUP(MONTH($H2360)/3,0))</f>
        <v/>
      </c>
      <c r="S2360" s="1" t="str">
        <f aca="false">IF($C2360="","",$C2360&amp;"|"&amp;$E2360&amp;"|"&amp;$F2360&amp;"|"&amp;$L2360&amp;"|"&amp;$P2360&amp;"|"&amp;TEXT($H2360,"yyyy-mm-dd"))</f>
        <v/>
      </c>
      <c r="T2360" s="1" t="str">
        <f aca="false">IF($S2360="","",IF(COUNTIF($S$2:$S$2991,$S2360)&gt;1,"DUPLICATE","OK"))</f>
        <v/>
      </c>
      <c r="U2360" s="0" t="str">
        <f aca="false">IF($L2360="","",IFERROR(VLOOKUP(--$L2360,MM_Income!$Z$5:$AC$204,3,FALSE()),"UNMAPPED"))</f>
        <v/>
      </c>
    </row>
    <row r="2361" customFormat="false" ht="13.5" hidden="false" customHeight="false" outlineLevel="0" collapsed="false">
      <c r="A2361" s="1" t="str">
        <f aca="false">IF($C2361="","",Controls!$B$7)</f>
        <v/>
      </c>
      <c r="B2361" s="1" t="str">
        <f aca="false">IF($H2361="","",YEAR($H2361)&amp;"-Q"&amp;ROUNDUP(MONTH($H2361)/3,0))</f>
        <v/>
      </c>
      <c r="S2361" s="1" t="str">
        <f aca="false">IF($C2361="","",$C2361&amp;"|"&amp;$E2361&amp;"|"&amp;$F2361&amp;"|"&amp;$L2361&amp;"|"&amp;$P2361&amp;"|"&amp;TEXT($H2361,"yyyy-mm-dd"))</f>
        <v/>
      </c>
      <c r="T2361" s="1" t="str">
        <f aca="false">IF($S2361="","",IF(COUNTIF($S$2:$S$2991,$S2361)&gt;1,"DUPLICATE","OK"))</f>
        <v/>
      </c>
      <c r="U2361" s="0" t="str">
        <f aca="false">IF($L2361="","",IFERROR(VLOOKUP(--$L2361,MM_Income!$Z$5:$AC$204,3,FALSE()),"UNMAPPED"))</f>
        <v/>
      </c>
    </row>
    <row r="2362" customFormat="false" ht="13.5" hidden="false" customHeight="false" outlineLevel="0" collapsed="false">
      <c r="A2362" s="1" t="str">
        <f aca="false">IF($C2362="","",Controls!$B$7)</f>
        <v/>
      </c>
      <c r="B2362" s="1" t="str">
        <f aca="false">IF($H2362="","",YEAR($H2362)&amp;"-Q"&amp;ROUNDUP(MONTH($H2362)/3,0))</f>
        <v/>
      </c>
      <c r="S2362" s="1" t="str">
        <f aca="false">IF($C2362="","",$C2362&amp;"|"&amp;$E2362&amp;"|"&amp;$F2362&amp;"|"&amp;$L2362&amp;"|"&amp;$P2362&amp;"|"&amp;TEXT($H2362,"yyyy-mm-dd"))</f>
        <v/>
      </c>
      <c r="T2362" s="1" t="str">
        <f aca="false">IF($S2362="","",IF(COUNTIF($S$2:$S$2991,$S2362)&gt;1,"DUPLICATE","OK"))</f>
        <v/>
      </c>
      <c r="U2362" s="0" t="str">
        <f aca="false">IF($L2362="","",IFERROR(VLOOKUP(--$L2362,MM_Income!$Z$5:$AC$204,3,FALSE()),"UNMAPPED"))</f>
        <v/>
      </c>
    </row>
    <row r="2363" customFormat="false" ht="13.5" hidden="false" customHeight="false" outlineLevel="0" collapsed="false">
      <c r="A2363" s="1" t="str">
        <f aca="false">IF($C2363="","",Controls!$B$7)</f>
        <v/>
      </c>
      <c r="B2363" s="1" t="str">
        <f aca="false">IF($H2363="","",YEAR($H2363)&amp;"-Q"&amp;ROUNDUP(MONTH($H2363)/3,0))</f>
        <v/>
      </c>
      <c r="S2363" s="1" t="str">
        <f aca="false">IF($C2363="","",$C2363&amp;"|"&amp;$E2363&amp;"|"&amp;$F2363&amp;"|"&amp;$L2363&amp;"|"&amp;$P2363&amp;"|"&amp;TEXT($H2363,"yyyy-mm-dd"))</f>
        <v/>
      </c>
      <c r="T2363" s="1" t="str">
        <f aca="false">IF($S2363="","",IF(COUNTIF($S$2:$S$2991,$S2363)&gt;1,"DUPLICATE","OK"))</f>
        <v/>
      </c>
      <c r="U2363" s="0" t="str">
        <f aca="false">IF($L2363="","",IFERROR(VLOOKUP(--$L2363,MM_Income!$Z$5:$AC$204,3,FALSE()),"UNMAPPED"))</f>
        <v/>
      </c>
    </row>
    <row r="2364" customFormat="false" ht="13.5" hidden="false" customHeight="false" outlineLevel="0" collapsed="false">
      <c r="A2364" s="1" t="str">
        <f aca="false">IF($C2364="","",Controls!$B$7)</f>
        <v/>
      </c>
      <c r="B2364" s="1" t="str">
        <f aca="false">IF($H2364="","",YEAR($H2364)&amp;"-Q"&amp;ROUNDUP(MONTH($H2364)/3,0))</f>
        <v/>
      </c>
      <c r="S2364" s="1" t="str">
        <f aca="false">IF($C2364="","",$C2364&amp;"|"&amp;$E2364&amp;"|"&amp;$F2364&amp;"|"&amp;$L2364&amp;"|"&amp;$P2364&amp;"|"&amp;TEXT($H2364,"yyyy-mm-dd"))</f>
        <v/>
      </c>
      <c r="T2364" s="1" t="str">
        <f aca="false">IF($S2364="","",IF(COUNTIF($S$2:$S$2991,$S2364)&gt;1,"DUPLICATE","OK"))</f>
        <v/>
      </c>
      <c r="U2364" s="0" t="str">
        <f aca="false">IF($L2364="","",IFERROR(VLOOKUP(--$L2364,MM_Income!$Z$5:$AC$204,3,FALSE()),"UNMAPPED"))</f>
        <v/>
      </c>
    </row>
    <row r="2365" customFormat="false" ht="13.5" hidden="false" customHeight="false" outlineLevel="0" collapsed="false">
      <c r="A2365" s="1" t="str">
        <f aca="false">IF($C2365="","",Controls!$B$7)</f>
        <v/>
      </c>
      <c r="B2365" s="1" t="str">
        <f aca="false">IF($H2365="","",YEAR($H2365)&amp;"-Q"&amp;ROUNDUP(MONTH($H2365)/3,0))</f>
        <v/>
      </c>
      <c r="S2365" s="1" t="str">
        <f aca="false">IF($C2365="","",$C2365&amp;"|"&amp;$E2365&amp;"|"&amp;$F2365&amp;"|"&amp;$L2365&amp;"|"&amp;$P2365&amp;"|"&amp;TEXT($H2365,"yyyy-mm-dd"))</f>
        <v/>
      </c>
      <c r="T2365" s="1" t="str">
        <f aca="false">IF($S2365="","",IF(COUNTIF($S$2:$S$2991,$S2365)&gt;1,"DUPLICATE","OK"))</f>
        <v/>
      </c>
      <c r="U2365" s="0" t="str">
        <f aca="false">IF($L2365="","",IFERROR(VLOOKUP(--$L2365,MM_Income!$Z$5:$AC$204,3,FALSE()),"UNMAPPED"))</f>
        <v/>
      </c>
    </row>
    <row r="2366" customFormat="false" ht="13.5" hidden="false" customHeight="false" outlineLevel="0" collapsed="false">
      <c r="A2366" s="1" t="str">
        <f aca="false">IF($C2366="","",Controls!$B$7)</f>
        <v/>
      </c>
      <c r="B2366" s="1" t="str">
        <f aca="false">IF($H2366="","",YEAR($H2366)&amp;"-Q"&amp;ROUNDUP(MONTH($H2366)/3,0))</f>
        <v/>
      </c>
      <c r="S2366" s="1" t="str">
        <f aca="false">IF($C2366="","",$C2366&amp;"|"&amp;$E2366&amp;"|"&amp;$F2366&amp;"|"&amp;$L2366&amp;"|"&amp;$P2366&amp;"|"&amp;TEXT($H2366,"yyyy-mm-dd"))</f>
        <v/>
      </c>
      <c r="T2366" s="1" t="str">
        <f aca="false">IF($S2366="","",IF(COUNTIF($S$2:$S$2991,$S2366)&gt;1,"DUPLICATE","OK"))</f>
        <v/>
      </c>
      <c r="U2366" s="0" t="str">
        <f aca="false">IF($L2366="","",IFERROR(VLOOKUP(--$L2366,MM_Income!$Z$5:$AC$204,3,FALSE()),"UNMAPPED"))</f>
        <v/>
      </c>
    </row>
    <row r="2367" customFormat="false" ht="13.5" hidden="false" customHeight="false" outlineLevel="0" collapsed="false">
      <c r="A2367" s="1" t="str">
        <f aca="false">IF($C2367="","",Controls!$B$7)</f>
        <v/>
      </c>
      <c r="B2367" s="1" t="str">
        <f aca="false">IF($H2367="","",YEAR($H2367)&amp;"-Q"&amp;ROUNDUP(MONTH($H2367)/3,0))</f>
        <v/>
      </c>
      <c r="S2367" s="1" t="str">
        <f aca="false">IF($C2367="","",$C2367&amp;"|"&amp;$E2367&amp;"|"&amp;$F2367&amp;"|"&amp;$L2367&amp;"|"&amp;$P2367&amp;"|"&amp;TEXT($H2367,"yyyy-mm-dd"))</f>
        <v/>
      </c>
      <c r="T2367" s="1" t="str">
        <f aca="false">IF($S2367="","",IF(COUNTIF($S$2:$S$2991,$S2367)&gt;1,"DUPLICATE","OK"))</f>
        <v/>
      </c>
      <c r="U2367" s="0" t="str">
        <f aca="false">IF($L2367="","",IFERROR(VLOOKUP(--$L2367,MM_Income!$Z$5:$AC$204,3,FALSE()),"UNMAPPED"))</f>
        <v/>
      </c>
    </row>
    <row r="2368" customFormat="false" ht="13.5" hidden="false" customHeight="false" outlineLevel="0" collapsed="false">
      <c r="A2368" s="1" t="str">
        <f aca="false">IF($C2368="","",Controls!$B$7)</f>
        <v/>
      </c>
      <c r="B2368" s="1" t="str">
        <f aca="false">IF($H2368="","",YEAR($H2368)&amp;"-Q"&amp;ROUNDUP(MONTH($H2368)/3,0))</f>
        <v/>
      </c>
      <c r="S2368" s="1" t="str">
        <f aca="false">IF($C2368="","",$C2368&amp;"|"&amp;$E2368&amp;"|"&amp;$F2368&amp;"|"&amp;$L2368&amp;"|"&amp;$P2368&amp;"|"&amp;TEXT($H2368,"yyyy-mm-dd"))</f>
        <v/>
      </c>
      <c r="T2368" s="1" t="str">
        <f aca="false">IF($S2368="","",IF(COUNTIF($S$2:$S$2991,$S2368)&gt;1,"DUPLICATE","OK"))</f>
        <v/>
      </c>
      <c r="U2368" s="0" t="str">
        <f aca="false">IF($L2368="","",IFERROR(VLOOKUP(--$L2368,MM_Income!$Z$5:$AC$204,3,FALSE()),"UNMAPPED"))</f>
        <v/>
      </c>
    </row>
    <row r="2369" customFormat="false" ht="13.5" hidden="false" customHeight="false" outlineLevel="0" collapsed="false">
      <c r="A2369" s="1" t="str">
        <f aca="false">IF($C2369="","",Controls!$B$7)</f>
        <v/>
      </c>
      <c r="B2369" s="1" t="str">
        <f aca="false">IF($H2369="","",YEAR($H2369)&amp;"-Q"&amp;ROUNDUP(MONTH($H2369)/3,0))</f>
        <v/>
      </c>
      <c r="S2369" s="1" t="str">
        <f aca="false">IF($C2369="","",$C2369&amp;"|"&amp;$E2369&amp;"|"&amp;$F2369&amp;"|"&amp;$L2369&amp;"|"&amp;$P2369&amp;"|"&amp;TEXT($H2369,"yyyy-mm-dd"))</f>
        <v/>
      </c>
      <c r="T2369" s="1" t="str">
        <f aca="false">IF($S2369="","",IF(COUNTIF($S$2:$S$2991,$S2369)&gt;1,"DUPLICATE","OK"))</f>
        <v/>
      </c>
      <c r="U2369" s="0" t="str">
        <f aca="false">IF($L2369="","",IFERROR(VLOOKUP(--$L2369,MM_Income!$Z$5:$AC$204,3,FALSE()),"UNMAPPED"))</f>
        <v/>
      </c>
    </row>
    <row r="2370" customFormat="false" ht="13.5" hidden="false" customHeight="false" outlineLevel="0" collapsed="false">
      <c r="A2370" s="1" t="str">
        <f aca="false">IF($C2370="","",Controls!$B$7)</f>
        <v/>
      </c>
      <c r="B2370" s="1" t="str">
        <f aca="false">IF($H2370="","",YEAR($H2370)&amp;"-Q"&amp;ROUNDUP(MONTH($H2370)/3,0))</f>
        <v/>
      </c>
      <c r="S2370" s="1" t="str">
        <f aca="false">IF($C2370="","",$C2370&amp;"|"&amp;$E2370&amp;"|"&amp;$F2370&amp;"|"&amp;$L2370&amp;"|"&amp;$P2370&amp;"|"&amp;TEXT($H2370,"yyyy-mm-dd"))</f>
        <v/>
      </c>
      <c r="T2370" s="1" t="str">
        <f aca="false">IF($S2370="","",IF(COUNTIF($S$2:$S$2991,$S2370)&gt;1,"DUPLICATE","OK"))</f>
        <v/>
      </c>
      <c r="U2370" s="0" t="str">
        <f aca="false">IF($L2370="","",IFERROR(VLOOKUP(--$L2370,MM_Income!$Z$5:$AC$204,3,FALSE()),"UNMAPPED"))</f>
        <v/>
      </c>
    </row>
    <row r="2371" customFormat="false" ht="13.5" hidden="false" customHeight="false" outlineLevel="0" collapsed="false">
      <c r="A2371" s="1" t="str">
        <f aca="false">IF($C2371="","",Controls!$B$7)</f>
        <v/>
      </c>
      <c r="B2371" s="1" t="str">
        <f aca="false">IF($H2371="","",YEAR($H2371)&amp;"-Q"&amp;ROUNDUP(MONTH($H2371)/3,0))</f>
        <v/>
      </c>
      <c r="S2371" s="1" t="str">
        <f aca="false">IF($C2371="","",$C2371&amp;"|"&amp;$E2371&amp;"|"&amp;$F2371&amp;"|"&amp;$L2371&amp;"|"&amp;$P2371&amp;"|"&amp;TEXT($H2371,"yyyy-mm-dd"))</f>
        <v/>
      </c>
      <c r="T2371" s="1" t="str">
        <f aca="false">IF($S2371="","",IF(COUNTIF($S$2:$S$2991,$S2371)&gt;1,"DUPLICATE","OK"))</f>
        <v/>
      </c>
      <c r="U2371" s="0" t="str">
        <f aca="false">IF($L2371="","",IFERROR(VLOOKUP(--$L2371,MM_Income!$Z$5:$AC$204,3,FALSE()),"UNMAPPED"))</f>
        <v/>
      </c>
    </row>
    <row r="2372" customFormat="false" ht="13.5" hidden="false" customHeight="false" outlineLevel="0" collapsed="false">
      <c r="A2372" s="1" t="str">
        <f aca="false">IF($C2372="","",Controls!$B$7)</f>
        <v/>
      </c>
      <c r="B2372" s="1" t="str">
        <f aca="false">IF($H2372="","",YEAR($H2372)&amp;"-Q"&amp;ROUNDUP(MONTH($H2372)/3,0))</f>
        <v/>
      </c>
      <c r="S2372" s="1" t="str">
        <f aca="false">IF($C2372="","",$C2372&amp;"|"&amp;$E2372&amp;"|"&amp;$F2372&amp;"|"&amp;$L2372&amp;"|"&amp;$P2372&amp;"|"&amp;TEXT($H2372,"yyyy-mm-dd"))</f>
        <v/>
      </c>
      <c r="T2372" s="1" t="str">
        <f aca="false">IF($S2372="","",IF(COUNTIF($S$2:$S$2991,$S2372)&gt;1,"DUPLICATE","OK"))</f>
        <v/>
      </c>
      <c r="U2372" s="0" t="str">
        <f aca="false">IF($L2372="","",IFERROR(VLOOKUP(--$L2372,MM_Income!$Z$5:$AC$204,3,FALSE()),"UNMAPPED"))</f>
        <v/>
      </c>
    </row>
    <row r="2373" customFormat="false" ht="13.5" hidden="false" customHeight="false" outlineLevel="0" collapsed="false">
      <c r="A2373" s="1" t="str">
        <f aca="false">IF($C2373="","",Controls!$B$7)</f>
        <v/>
      </c>
      <c r="B2373" s="1" t="str">
        <f aca="false">IF($H2373="","",YEAR($H2373)&amp;"-Q"&amp;ROUNDUP(MONTH($H2373)/3,0))</f>
        <v/>
      </c>
      <c r="S2373" s="1" t="str">
        <f aca="false">IF($C2373="","",$C2373&amp;"|"&amp;$E2373&amp;"|"&amp;$F2373&amp;"|"&amp;$L2373&amp;"|"&amp;$P2373&amp;"|"&amp;TEXT($H2373,"yyyy-mm-dd"))</f>
        <v/>
      </c>
      <c r="T2373" s="1" t="str">
        <f aca="false">IF($S2373="","",IF(COUNTIF($S$2:$S$2991,$S2373)&gt;1,"DUPLICATE","OK"))</f>
        <v/>
      </c>
      <c r="U2373" s="0" t="str">
        <f aca="false">IF($L2373="","",IFERROR(VLOOKUP(--$L2373,MM_Income!$Z$5:$AC$204,3,FALSE()),"UNMAPPED"))</f>
        <v/>
      </c>
    </row>
    <row r="2374" customFormat="false" ht="13.5" hidden="false" customHeight="false" outlineLevel="0" collapsed="false">
      <c r="A2374" s="1" t="str">
        <f aca="false">IF($C2374="","",Controls!$B$7)</f>
        <v/>
      </c>
      <c r="B2374" s="1" t="str">
        <f aca="false">IF($H2374="","",YEAR($H2374)&amp;"-Q"&amp;ROUNDUP(MONTH($H2374)/3,0))</f>
        <v/>
      </c>
      <c r="S2374" s="1" t="str">
        <f aca="false">IF($C2374="","",$C2374&amp;"|"&amp;$E2374&amp;"|"&amp;$F2374&amp;"|"&amp;$L2374&amp;"|"&amp;$P2374&amp;"|"&amp;TEXT($H2374,"yyyy-mm-dd"))</f>
        <v/>
      </c>
      <c r="T2374" s="1" t="str">
        <f aca="false">IF($S2374="","",IF(COUNTIF($S$2:$S$2991,$S2374)&gt;1,"DUPLICATE","OK"))</f>
        <v/>
      </c>
      <c r="U2374" s="0" t="str">
        <f aca="false">IF($L2374="","",IFERROR(VLOOKUP(--$L2374,MM_Income!$Z$5:$AC$204,3,FALSE()),"UNMAPPED"))</f>
        <v/>
      </c>
    </row>
    <row r="2375" customFormat="false" ht="13.5" hidden="false" customHeight="false" outlineLevel="0" collapsed="false">
      <c r="A2375" s="1" t="str">
        <f aca="false">IF($C2375="","",Controls!$B$7)</f>
        <v/>
      </c>
      <c r="B2375" s="1" t="str">
        <f aca="false">IF($H2375="","",YEAR($H2375)&amp;"-Q"&amp;ROUNDUP(MONTH($H2375)/3,0))</f>
        <v/>
      </c>
      <c r="S2375" s="1" t="str">
        <f aca="false">IF($C2375="","",$C2375&amp;"|"&amp;$E2375&amp;"|"&amp;$F2375&amp;"|"&amp;$L2375&amp;"|"&amp;$P2375&amp;"|"&amp;TEXT($H2375,"yyyy-mm-dd"))</f>
        <v/>
      </c>
      <c r="T2375" s="1" t="str">
        <f aca="false">IF($S2375="","",IF(COUNTIF($S$2:$S$2991,$S2375)&gt;1,"DUPLICATE","OK"))</f>
        <v/>
      </c>
      <c r="U2375" s="0" t="str">
        <f aca="false">IF($L2375="","",IFERROR(VLOOKUP(--$L2375,MM_Income!$Z$5:$AC$204,3,FALSE()),"UNMAPPED"))</f>
        <v/>
      </c>
    </row>
    <row r="2376" customFormat="false" ht="13.5" hidden="false" customHeight="false" outlineLevel="0" collapsed="false">
      <c r="A2376" s="1" t="str">
        <f aca="false">IF($C2376="","",Controls!$B$7)</f>
        <v/>
      </c>
      <c r="B2376" s="1" t="str">
        <f aca="false">IF($H2376="","",YEAR($H2376)&amp;"-Q"&amp;ROUNDUP(MONTH($H2376)/3,0))</f>
        <v/>
      </c>
      <c r="S2376" s="1" t="str">
        <f aca="false">IF($C2376="","",$C2376&amp;"|"&amp;$E2376&amp;"|"&amp;$F2376&amp;"|"&amp;$L2376&amp;"|"&amp;$P2376&amp;"|"&amp;TEXT($H2376,"yyyy-mm-dd"))</f>
        <v/>
      </c>
      <c r="T2376" s="1" t="str">
        <f aca="false">IF($S2376="","",IF(COUNTIF($S$2:$S$2991,$S2376)&gt;1,"DUPLICATE","OK"))</f>
        <v/>
      </c>
      <c r="U2376" s="0" t="str">
        <f aca="false">IF($L2376="","",IFERROR(VLOOKUP(--$L2376,MM_Income!$Z$5:$AC$204,3,FALSE()),"UNMAPPED"))</f>
        <v/>
      </c>
    </row>
    <row r="2377" customFormat="false" ht="13.5" hidden="false" customHeight="false" outlineLevel="0" collapsed="false">
      <c r="A2377" s="1" t="str">
        <f aca="false">IF($C2377="","",Controls!$B$7)</f>
        <v/>
      </c>
      <c r="B2377" s="1" t="str">
        <f aca="false">IF($H2377="","",YEAR($H2377)&amp;"-Q"&amp;ROUNDUP(MONTH($H2377)/3,0))</f>
        <v/>
      </c>
      <c r="S2377" s="1" t="str">
        <f aca="false">IF($C2377="","",$C2377&amp;"|"&amp;$E2377&amp;"|"&amp;$F2377&amp;"|"&amp;$L2377&amp;"|"&amp;$P2377&amp;"|"&amp;TEXT($H2377,"yyyy-mm-dd"))</f>
        <v/>
      </c>
      <c r="T2377" s="1" t="str">
        <f aca="false">IF($S2377="","",IF(COUNTIF($S$2:$S$2991,$S2377)&gt;1,"DUPLICATE","OK"))</f>
        <v/>
      </c>
      <c r="U2377" s="0" t="str">
        <f aca="false">IF($L2377="","",IFERROR(VLOOKUP(--$L2377,MM_Income!$Z$5:$AC$204,3,FALSE()),"UNMAPPED"))</f>
        <v/>
      </c>
    </row>
    <row r="2378" customFormat="false" ht="13.5" hidden="false" customHeight="false" outlineLevel="0" collapsed="false">
      <c r="A2378" s="1" t="str">
        <f aca="false">IF($C2378="","",Controls!$B$7)</f>
        <v/>
      </c>
      <c r="B2378" s="1" t="str">
        <f aca="false">IF($H2378="","",YEAR($H2378)&amp;"-Q"&amp;ROUNDUP(MONTH($H2378)/3,0))</f>
        <v/>
      </c>
      <c r="S2378" s="1" t="str">
        <f aca="false">IF($C2378="","",$C2378&amp;"|"&amp;$E2378&amp;"|"&amp;$F2378&amp;"|"&amp;$L2378&amp;"|"&amp;$P2378&amp;"|"&amp;TEXT($H2378,"yyyy-mm-dd"))</f>
        <v/>
      </c>
      <c r="T2378" s="1" t="str">
        <f aca="false">IF($S2378="","",IF(COUNTIF($S$2:$S$2991,$S2378)&gt;1,"DUPLICATE","OK"))</f>
        <v/>
      </c>
      <c r="U2378" s="0" t="str">
        <f aca="false">IF($L2378="","",IFERROR(VLOOKUP(--$L2378,MM_Income!$Z$5:$AC$204,3,FALSE()),"UNMAPPED"))</f>
        <v/>
      </c>
    </row>
    <row r="2379" customFormat="false" ht="13.5" hidden="false" customHeight="false" outlineLevel="0" collapsed="false">
      <c r="A2379" s="1" t="str">
        <f aca="false">IF($C2379="","",Controls!$B$7)</f>
        <v/>
      </c>
      <c r="B2379" s="1" t="str">
        <f aca="false">IF($H2379="","",YEAR($H2379)&amp;"-Q"&amp;ROUNDUP(MONTH($H2379)/3,0))</f>
        <v/>
      </c>
      <c r="S2379" s="1" t="str">
        <f aca="false">IF($C2379="","",$C2379&amp;"|"&amp;$E2379&amp;"|"&amp;$F2379&amp;"|"&amp;$L2379&amp;"|"&amp;$P2379&amp;"|"&amp;TEXT($H2379,"yyyy-mm-dd"))</f>
        <v/>
      </c>
      <c r="T2379" s="1" t="str">
        <f aca="false">IF($S2379="","",IF(COUNTIF($S$2:$S$2991,$S2379)&gt;1,"DUPLICATE","OK"))</f>
        <v/>
      </c>
      <c r="U2379" s="0" t="str">
        <f aca="false">IF($L2379="","",IFERROR(VLOOKUP(--$L2379,MM_Income!$Z$5:$AC$204,3,FALSE()),"UNMAPPED"))</f>
        <v/>
      </c>
    </row>
    <row r="2380" customFormat="false" ht="13.5" hidden="false" customHeight="false" outlineLevel="0" collapsed="false">
      <c r="A2380" s="1" t="str">
        <f aca="false">IF($C2380="","",Controls!$B$7)</f>
        <v/>
      </c>
      <c r="B2380" s="1" t="str">
        <f aca="false">IF($H2380="","",YEAR($H2380)&amp;"-Q"&amp;ROUNDUP(MONTH($H2380)/3,0))</f>
        <v/>
      </c>
      <c r="S2380" s="1" t="str">
        <f aca="false">IF($C2380="","",$C2380&amp;"|"&amp;$E2380&amp;"|"&amp;$F2380&amp;"|"&amp;$L2380&amp;"|"&amp;$P2380&amp;"|"&amp;TEXT($H2380,"yyyy-mm-dd"))</f>
        <v/>
      </c>
      <c r="T2380" s="1" t="str">
        <f aca="false">IF($S2380="","",IF(COUNTIF($S$2:$S$2991,$S2380)&gt;1,"DUPLICATE","OK"))</f>
        <v/>
      </c>
      <c r="U2380" s="0" t="str">
        <f aca="false">IF($L2380="","",IFERROR(VLOOKUP(--$L2380,MM_Income!$Z$5:$AC$204,3,FALSE()),"UNMAPPED"))</f>
        <v/>
      </c>
    </row>
    <row r="2381" customFormat="false" ht="13.5" hidden="false" customHeight="false" outlineLevel="0" collapsed="false">
      <c r="A2381" s="1" t="str">
        <f aca="false">IF($C2381="","",Controls!$B$7)</f>
        <v/>
      </c>
      <c r="B2381" s="1" t="str">
        <f aca="false">IF($H2381="","",YEAR($H2381)&amp;"-Q"&amp;ROUNDUP(MONTH($H2381)/3,0))</f>
        <v/>
      </c>
      <c r="S2381" s="1" t="str">
        <f aca="false">IF($C2381="","",$C2381&amp;"|"&amp;$E2381&amp;"|"&amp;$F2381&amp;"|"&amp;$L2381&amp;"|"&amp;$P2381&amp;"|"&amp;TEXT($H2381,"yyyy-mm-dd"))</f>
        <v/>
      </c>
      <c r="T2381" s="1" t="str">
        <f aca="false">IF($S2381="","",IF(COUNTIF($S$2:$S$2991,$S2381)&gt;1,"DUPLICATE","OK"))</f>
        <v/>
      </c>
      <c r="U2381" s="0" t="str">
        <f aca="false">IF($L2381="","",IFERROR(VLOOKUP(--$L2381,MM_Income!$Z$5:$AC$204,3,FALSE()),"UNMAPPED"))</f>
        <v/>
      </c>
    </row>
    <row r="2382" customFormat="false" ht="13.5" hidden="false" customHeight="false" outlineLevel="0" collapsed="false">
      <c r="A2382" s="1" t="str">
        <f aca="false">IF($C2382="","",Controls!$B$7)</f>
        <v/>
      </c>
      <c r="B2382" s="1" t="str">
        <f aca="false">IF($H2382="","",YEAR($H2382)&amp;"-Q"&amp;ROUNDUP(MONTH($H2382)/3,0))</f>
        <v/>
      </c>
      <c r="S2382" s="1" t="str">
        <f aca="false">IF($C2382="","",$C2382&amp;"|"&amp;$E2382&amp;"|"&amp;$F2382&amp;"|"&amp;$L2382&amp;"|"&amp;$P2382&amp;"|"&amp;TEXT($H2382,"yyyy-mm-dd"))</f>
        <v/>
      </c>
      <c r="T2382" s="1" t="str">
        <f aca="false">IF($S2382="","",IF(COUNTIF($S$2:$S$2991,$S2382)&gt;1,"DUPLICATE","OK"))</f>
        <v/>
      </c>
      <c r="U2382" s="0" t="str">
        <f aca="false">IF($L2382="","",IFERROR(VLOOKUP(--$L2382,MM_Income!$Z$5:$AC$204,3,FALSE()),"UNMAPPED"))</f>
        <v/>
      </c>
    </row>
    <row r="2383" customFormat="false" ht="13.5" hidden="false" customHeight="false" outlineLevel="0" collapsed="false">
      <c r="A2383" s="1" t="str">
        <f aca="false">IF($C2383="","",Controls!$B$7)</f>
        <v/>
      </c>
      <c r="B2383" s="1" t="str">
        <f aca="false">IF($H2383="","",YEAR($H2383)&amp;"-Q"&amp;ROUNDUP(MONTH($H2383)/3,0))</f>
        <v/>
      </c>
      <c r="S2383" s="1" t="str">
        <f aca="false">IF($C2383="","",$C2383&amp;"|"&amp;$E2383&amp;"|"&amp;$F2383&amp;"|"&amp;$L2383&amp;"|"&amp;$P2383&amp;"|"&amp;TEXT($H2383,"yyyy-mm-dd"))</f>
        <v/>
      </c>
      <c r="T2383" s="1" t="str">
        <f aca="false">IF($S2383="","",IF(COUNTIF($S$2:$S$2991,$S2383)&gt;1,"DUPLICATE","OK"))</f>
        <v/>
      </c>
      <c r="U2383" s="0" t="str">
        <f aca="false">IF($L2383="","",IFERROR(VLOOKUP(--$L2383,MM_Income!$Z$5:$AC$204,3,FALSE()),"UNMAPPED"))</f>
        <v/>
      </c>
    </row>
    <row r="2384" customFormat="false" ht="13.5" hidden="false" customHeight="false" outlineLevel="0" collapsed="false">
      <c r="A2384" s="1" t="str">
        <f aca="false">IF($C2384="","",Controls!$B$7)</f>
        <v/>
      </c>
      <c r="B2384" s="1" t="str">
        <f aca="false">IF($H2384="","",YEAR($H2384)&amp;"-Q"&amp;ROUNDUP(MONTH($H2384)/3,0))</f>
        <v/>
      </c>
      <c r="S2384" s="1" t="str">
        <f aca="false">IF($C2384="","",$C2384&amp;"|"&amp;$E2384&amp;"|"&amp;$F2384&amp;"|"&amp;$L2384&amp;"|"&amp;$P2384&amp;"|"&amp;TEXT($H2384,"yyyy-mm-dd"))</f>
        <v/>
      </c>
      <c r="T2384" s="1" t="str">
        <f aca="false">IF($S2384="","",IF(COUNTIF($S$2:$S$2991,$S2384)&gt;1,"DUPLICATE","OK"))</f>
        <v/>
      </c>
      <c r="U2384" s="0" t="str">
        <f aca="false">IF($L2384="","",IFERROR(VLOOKUP(--$L2384,MM_Income!$Z$5:$AC$204,3,FALSE()),"UNMAPPED"))</f>
        <v/>
      </c>
    </row>
    <row r="2385" customFormat="false" ht="13.5" hidden="false" customHeight="false" outlineLevel="0" collapsed="false">
      <c r="A2385" s="1" t="str">
        <f aca="false">IF($C2385="","",Controls!$B$7)</f>
        <v/>
      </c>
      <c r="B2385" s="1" t="str">
        <f aca="false">IF($H2385="","",YEAR($H2385)&amp;"-Q"&amp;ROUNDUP(MONTH($H2385)/3,0))</f>
        <v/>
      </c>
      <c r="S2385" s="1" t="str">
        <f aca="false">IF($C2385="","",$C2385&amp;"|"&amp;$E2385&amp;"|"&amp;$F2385&amp;"|"&amp;$L2385&amp;"|"&amp;$P2385&amp;"|"&amp;TEXT($H2385,"yyyy-mm-dd"))</f>
        <v/>
      </c>
      <c r="T2385" s="1" t="str">
        <f aca="false">IF($S2385="","",IF(COUNTIF($S$2:$S$2991,$S2385)&gt;1,"DUPLICATE","OK"))</f>
        <v/>
      </c>
      <c r="U2385" s="0" t="str">
        <f aca="false">IF($L2385="","",IFERROR(VLOOKUP(--$L2385,MM_Income!$Z$5:$AC$204,3,FALSE()),"UNMAPPED"))</f>
        <v/>
      </c>
    </row>
    <row r="2386" customFormat="false" ht="13.5" hidden="false" customHeight="false" outlineLevel="0" collapsed="false">
      <c r="A2386" s="1" t="str">
        <f aca="false">IF($C2386="","",Controls!$B$7)</f>
        <v/>
      </c>
      <c r="B2386" s="1" t="str">
        <f aca="false">IF($H2386="","",YEAR($H2386)&amp;"-Q"&amp;ROUNDUP(MONTH($H2386)/3,0))</f>
        <v/>
      </c>
      <c r="S2386" s="1" t="str">
        <f aca="false">IF($C2386="","",$C2386&amp;"|"&amp;$E2386&amp;"|"&amp;$F2386&amp;"|"&amp;$L2386&amp;"|"&amp;$P2386&amp;"|"&amp;TEXT($H2386,"yyyy-mm-dd"))</f>
        <v/>
      </c>
      <c r="T2386" s="1" t="str">
        <f aca="false">IF($S2386="","",IF(COUNTIF($S$2:$S$2991,$S2386)&gt;1,"DUPLICATE","OK"))</f>
        <v/>
      </c>
      <c r="U2386" s="0" t="str">
        <f aca="false">IF($L2386="","",IFERROR(VLOOKUP(--$L2386,MM_Income!$Z$5:$AC$204,3,FALSE()),"UNMAPPED"))</f>
        <v/>
      </c>
    </row>
    <row r="2387" customFormat="false" ht="13.5" hidden="false" customHeight="false" outlineLevel="0" collapsed="false">
      <c r="A2387" s="1" t="str">
        <f aca="false">IF($C2387="","",Controls!$B$7)</f>
        <v/>
      </c>
      <c r="B2387" s="1" t="str">
        <f aca="false">IF($H2387="","",YEAR($H2387)&amp;"-Q"&amp;ROUNDUP(MONTH($H2387)/3,0))</f>
        <v/>
      </c>
      <c r="S2387" s="1" t="str">
        <f aca="false">IF($C2387="","",$C2387&amp;"|"&amp;$E2387&amp;"|"&amp;$F2387&amp;"|"&amp;$L2387&amp;"|"&amp;$P2387&amp;"|"&amp;TEXT($H2387,"yyyy-mm-dd"))</f>
        <v/>
      </c>
      <c r="T2387" s="1" t="str">
        <f aca="false">IF($S2387="","",IF(COUNTIF($S$2:$S$2991,$S2387)&gt;1,"DUPLICATE","OK"))</f>
        <v/>
      </c>
      <c r="U2387" s="0" t="str">
        <f aca="false">IF($L2387="","",IFERROR(VLOOKUP(--$L2387,MM_Income!$Z$5:$AC$204,3,FALSE()),"UNMAPPED"))</f>
        <v/>
      </c>
    </row>
    <row r="2388" customFormat="false" ht="13.5" hidden="false" customHeight="false" outlineLevel="0" collapsed="false">
      <c r="A2388" s="1" t="str">
        <f aca="false">IF($C2388="","",Controls!$B$7)</f>
        <v/>
      </c>
      <c r="B2388" s="1" t="str">
        <f aca="false">IF($H2388="","",YEAR($H2388)&amp;"-Q"&amp;ROUNDUP(MONTH($H2388)/3,0))</f>
        <v/>
      </c>
      <c r="S2388" s="1" t="str">
        <f aca="false">IF($C2388="","",$C2388&amp;"|"&amp;$E2388&amp;"|"&amp;$F2388&amp;"|"&amp;$L2388&amp;"|"&amp;$P2388&amp;"|"&amp;TEXT($H2388,"yyyy-mm-dd"))</f>
        <v/>
      </c>
      <c r="T2388" s="1" t="str">
        <f aca="false">IF($S2388="","",IF(COUNTIF($S$2:$S$2991,$S2388)&gt;1,"DUPLICATE","OK"))</f>
        <v/>
      </c>
      <c r="U2388" s="0" t="str">
        <f aca="false">IF($L2388="","",IFERROR(VLOOKUP(--$L2388,MM_Income!$Z$5:$AC$204,3,FALSE()),"UNMAPPED"))</f>
        <v/>
      </c>
    </row>
    <row r="2389" customFormat="false" ht="13.5" hidden="false" customHeight="false" outlineLevel="0" collapsed="false">
      <c r="A2389" s="1" t="str">
        <f aca="false">IF($C2389="","",Controls!$B$7)</f>
        <v/>
      </c>
      <c r="B2389" s="1" t="str">
        <f aca="false">IF($H2389="","",YEAR($H2389)&amp;"-Q"&amp;ROUNDUP(MONTH($H2389)/3,0))</f>
        <v/>
      </c>
      <c r="S2389" s="1" t="str">
        <f aca="false">IF($C2389="","",$C2389&amp;"|"&amp;$E2389&amp;"|"&amp;$F2389&amp;"|"&amp;$L2389&amp;"|"&amp;$P2389&amp;"|"&amp;TEXT($H2389,"yyyy-mm-dd"))</f>
        <v/>
      </c>
      <c r="T2389" s="1" t="str">
        <f aca="false">IF($S2389="","",IF(COUNTIF($S$2:$S$2991,$S2389)&gt;1,"DUPLICATE","OK"))</f>
        <v/>
      </c>
      <c r="U2389" s="0" t="str">
        <f aca="false">IF($L2389="","",IFERROR(VLOOKUP(--$L2389,MM_Income!$Z$5:$AC$204,3,FALSE()),"UNMAPPED"))</f>
        <v/>
      </c>
    </row>
    <row r="2390" customFormat="false" ht="13.5" hidden="false" customHeight="false" outlineLevel="0" collapsed="false">
      <c r="A2390" s="1" t="str">
        <f aca="false">IF($C2390="","",Controls!$B$7)</f>
        <v/>
      </c>
      <c r="B2390" s="1" t="str">
        <f aca="false">IF($H2390="","",YEAR($H2390)&amp;"-Q"&amp;ROUNDUP(MONTH($H2390)/3,0))</f>
        <v/>
      </c>
      <c r="S2390" s="1" t="str">
        <f aca="false">IF($C2390="","",$C2390&amp;"|"&amp;$E2390&amp;"|"&amp;$F2390&amp;"|"&amp;$L2390&amp;"|"&amp;$P2390&amp;"|"&amp;TEXT($H2390,"yyyy-mm-dd"))</f>
        <v/>
      </c>
      <c r="T2390" s="1" t="str">
        <f aca="false">IF($S2390="","",IF(COUNTIF($S$2:$S$2991,$S2390)&gt;1,"DUPLICATE","OK"))</f>
        <v/>
      </c>
      <c r="U2390" s="0" t="str">
        <f aca="false">IF($L2390="","",IFERROR(VLOOKUP(--$L2390,MM_Income!$Z$5:$AC$204,3,FALSE()),"UNMAPPED"))</f>
        <v/>
      </c>
    </row>
    <row r="2391" customFormat="false" ht="13.5" hidden="false" customHeight="false" outlineLevel="0" collapsed="false">
      <c r="A2391" s="1" t="str">
        <f aca="false">IF($C2391="","",Controls!$B$7)</f>
        <v/>
      </c>
      <c r="B2391" s="1" t="str">
        <f aca="false">IF($H2391="","",YEAR($H2391)&amp;"-Q"&amp;ROUNDUP(MONTH($H2391)/3,0))</f>
        <v/>
      </c>
      <c r="S2391" s="1" t="str">
        <f aca="false">IF($C2391="","",$C2391&amp;"|"&amp;$E2391&amp;"|"&amp;$F2391&amp;"|"&amp;$L2391&amp;"|"&amp;$P2391&amp;"|"&amp;TEXT($H2391,"yyyy-mm-dd"))</f>
        <v/>
      </c>
      <c r="T2391" s="1" t="str">
        <f aca="false">IF($S2391="","",IF(COUNTIF($S$2:$S$2991,$S2391)&gt;1,"DUPLICATE","OK"))</f>
        <v/>
      </c>
      <c r="U2391" s="0" t="str">
        <f aca="false">IF($L2391="","",IFERROR(VLOOKUP(--$L2391,MM_Income!$Z$5:$AC$204,3,FALSE()),"UNMAPPED"))</f>
        <v/>
      </c>
    </row>
    <row r="2392" customFormat="false" ht="13.5" hidden="false" customHeight="false" outlineLevel="0" collapsed="false">
      <c r="A2392" s="1" t="str">
        <f aca="false">IF($C2392="","",Controls!$B$7)</f>
        <v/>
      </c>
      <c r="B2392" s="1" t="str">
        <f aca="false">IF($H2392="","",YEAR($H2392)&amp;"-Q"&amp;ROUNDUP(MONTH($H2392)/3,0))</f>
        <v/>
      </c>
      <c r="S2392" s="1" t="str">
        <f aca="false">IF($C2392="","",$C2392&amp;"|"&amp;$E2392&amp;"|"&amp;$F2392&amp;"|"&amp;$L2392&amp;"|"&amp;$P2392&amp;"|"&amp;TEXT($H2392,"yyyy-mm-dd"))</f>
        <v/>
      </c>
      <c r="T2392" s="1" t="str">
        <f aca="false">IF($S2392="","",IF(COUNTIF($S$2:$S$2991,$S2392)&gt;1,"DUPLICATE","OK"))</f>
        <v/>
      </c>
      <c r="U2392" s="0" t="str">
        <f aca="false">IF($L2392="","",IFERROR(VLOOKUP(--$L2392,MM_Income!$Z$5:$AC$204,3,FALSE()),"UNMAPPED"))</f>
        <v/>
      </c>
    </row>
    <row r="2393" customFormat="false" ht="13.5" hidden="false" customHeight="false" outlineLevel="0" collapsed="false">
      <c r="A2393" s="1" t="str">
        <f aca="false">IF($C2393="","",Controls!$B$7)</f>
        <v/>
      </c>
      <c r="B2393" s="1" t="str">
        <f aca="false">IF($H2393="","",YEAR($H2393)&amp;"-Q"&amp;ROUNDUP(MONTH($H2393)/3,0))</f>
        <v/>
      </c>
      <c r="S2393" s="1" t="str">
        <f aca="false">IF($C2393="","",$C2393&amp;"|"&amp;$E2393&amp;"|"&amp;$F2393&amp;"|"&amp;$L2393&amp;"|"&amp;$P2393&amp;"|"&amp;TEXT($H2393,"yyyy-mm-dd"))</f>
        <v/>
      </c>
      <c r="T2393" s="1" t="str">
        <f aca="false">IF($S2393="","",IF(COUNTIF($S$2:$S$2991,$S2393)&gt;1,"DUPLICATE","OK"))</f>
        <v/>
      </c>
      <c r="U2393" s="0" t="str">
        <f aca="false">IF($L2393="","",IFERROR(VLOOKUP(--$L2393,MM_Income!$Z$5:$AC$204,3,FALSE()),"UNMAPPED"))</f>
        <v/>
      </c>
    </row>
    <row r="2394" customFormat="false" ht="13.5" hidden="false" customHeight="false" outlineLevel="0" collapsed="false">
      <c r="A2394" s="1" t="str">
        <f aca="false">IF($C2394="","",Controls!$B$7)</f>
        <v/>
      </c>
      <c r="B2394" s="1" t="str">
        <f aca="false">IF($H2394="","",YEAR($H2394)&amp;"-Q"&amp;ROUNDUP(MONTH($H2394)/3,0))</f>
        <v/>
      </c>
      <c r="S2394" s="1" t="str">
        <f aca="false">IF($C2394="","",$C2394&amp;"|"&amp;$E2394&amp;"|"&amp;$F2394&amp;"|"&amp;$L2394&amp;"|"&amp;$P2394&amp;"|"&amp;TEXT($H2394,"yyyy-mm-dd"))</f>
        <v/>
      </c>
      <c r="T2394" s="1" t="str">
        <f aca="false">IF($S2394="","",IF(COUNTIF($S$2:$S$2991,$S2394)&gt;1,"DUPLICATE","OK"))</f>
        <v/>
      </c>
      <c r="U2394" s="0" t="str">
        <f aca="false">IF($L2394="","",IFERROR(VLOOKUP(--$L2394,MM_Income!$Z$5:$AC$204,3,FALSE()),"UNMAPPED"))</f>
        <v/>
      </c>
    </row>
    <row r="2395" customFormat="false" ht="13.5" hidden="false" customHeight="false" outlineLevel="0" collapsed="false">
      <c r="A2395" s="1" t="str">
        <f aca="false">IF($C2395="","",Controls!$B$7)</f>
        <v/>
      </c>
      <c r="B2395" s="1" t="str">
        <f aca="false">IF($H2395="","",YEAR($H2395)&amp;"-Q"&amp;ROUNDUP(MONTH($H2395)/3,0))</f>
        <v/>
      </c>
      <c r="S2395" s="1" t="str">
        <f aca="false">IF($C2395="","",$C2395&amp;"|"&amp;$E2395&amp;"|"&amp;$F2395&amp;"|"&amp;$L2395&amp;"|"&amp;$P2395&amp;"|"&amp;TEXT($H2395,"yyyy-mm-dd"))</f>
        <v/>
      </c>
      <c r="T2395" s="1" t="str">
        <f aca="false">IF($S2395="","",IF(COUNTIF($S$2:$S$2991,$S2395)&gt;1,"DUPLICATE","OK"))</f>
        <v/>
      </c>
      <c r="U2395" s="0" t="str">
        <f aca="false">IF($L2395="","",IFERROR(VLOOKUP(--$L2395,MM_Income!$Z$5:$AC$204,3,FALSE()),"UNMAPPED"))</f>
        <v/>
      </c>
    </row>
    <row r="2396" customFormat="false" ht="13.5" hidden="false" customHeight="false" outlineLevel="0" collapsed="false">
      <c r="A2396" s="1" t="str">
        <f aca="false">IF($C2396="","",Controls!$B$7)</f>
        <v/>
      </c>
      <c r="B2396" s="1" t="str">
        <f aca="false">IF($H2396="","",YEAR($H2396)&amp;"-Q"&amp;ROUNDUP(MONTH($H2396)/3,0))</f>
        <v/>
      </c>
      <c r="S2396" s="1" t="str">
        <f aca="false">IF($C2396="","",$C2396&amp;"|"&amp;$E2396&amp;"|"&amp;$F2396&amp;"|"&amp;$L2396&amp;"|"&amp;$P2396&amp;"|"&amp;TEXT($H2396,"yyyy-mm-dd"))</f>
        <v/>
      </c>
      <c r="T2396" s="1" t="str">
        <f aca="false">IF($S2396="","",IF(COUNTIF($S$2:$S$2991,$S2396)&gt;1,"DUPLICATE","OK"))</f>
        <v/>
      </c>
      <c r="U2396" s="0" t="str">
        <f aca="false">IF($L2396="","",IFERROR(VLOOKUP(--$L2396,MM_Income!$Z$5:$AC$204,3,FALSE()),"UNMAPPED"))</f>
        <v/>
      </c>
    </row>
    <row r="2397" customFormat="false" ht="13.5" hidden="false" customHeight="false" outlineLevel="0" collapsed="false">
      <c r="A2397" s="1" t="str">
        <f aca="false">IF($C2397="","",Controls!$B$7)</f>
        <v/>
      </c>
      <c r="B2397" s="1" t="str">
        <f aca="false">IF($H2397="","",YEAR($H2397)&amp;"-Q"&amp;ROUNDUP(MONTH($H2397)/3,0))</f>
        <v/>
      </c>
      <c r="S2397" s="1" t="str">
        <f aca="false">IF($C2397="","",$C2397&amp;"|"&amp;$E2397&amp;"|"&amp;$F2397&amp;"|"&amp;$L2397&amp;"|"&amp;$P2397&amp;"|"&amp;TEXT($H2397,"yyyy-mm-dd"))</f>
        <v/>
      </c>
      <c r="T2397" s="1" t="str">
        <f aca="false">IF($S2397="","",IF(COUNTIF($S$2:$S$2991,$S2397)&gt;1,"DUPLICATE","OK"))</f>
        <v/>
      </c>
      <c r="U2397" s="0" t="str">
        <f aca="false">IF($L2397="","",IFERROR(VLOOKUP(--$L2397,MM_Income!$Z$5:$AC$204,3,FALSE()),"UNMAPPED"))</f>
        <v/>
      </c>
    </row>
    <row r="2398" customFormat="false" ht="13.5" hidden="false" customHeight="false" outlineLevel="0" collapsed="false">
      <c r="A2398" s="1" t="str">
        <f aca="false">IF($C2398="","",Controls!$B$7)</f>
        <v/>
      </c>
      <c r="B2398" s="1" t="str">
        <f aca="false">IF($H2398="","",YEAR($H2398)&amp;"-Q"&amp;ROUNDUP(MONTH($H2398)/3,0))</f>
        <v/>
      </c>
      <c r="S2398" s="1" t="str">
        <f aca="false">IF($C2398="","",$C2398&amp;"|"&amp;$E2398&amp;"|"&amp;$F2398&amp;"|"&amp;$L2398&amp;"|"&amp;$P2398&amp;"|"&amp;TEXT($H2398,"yyyy-mm-dd"))</f>
        <v/>
      </c>
      <c r="T2398" s="1" t="str">
        <f aca="false">IF($S2398="","",IF(COUNTIF($S$2:$S$2991,$S2398)&gt;1,"DUPLICATE","OK"))</f>
        <v/>
      </c>
      <c r="U2398" s="0" t="str">
        <f aca="false">IF($L2398="","",IFERROR(VLOOKUP(--$L2398,MM_Income!$Z$5:$AC$204,3,FALSE()),"UNMAPPED"))</f>
        <v/>
      </c>
    </row>
    <row r="2399" customFormat="false" ht="13.5" hidden="false" customHeight="false" outlineLevel="0" collapsed="false">
      <c r="A2399" s="1" t="str">
        <f aca="false">IF($C2399="","",Controls!$B$7)</f>
        <v/>
      </c>
      <c r="B2399" s="1" t="str">
        <f aca="false">IF($H2399="","",YEAR($H2399)&amp;"-Q"&amp;ROUNDUP(MONTH($H2399)/3,0))</f>
        <v/>
      </c>
      <c r="S2399" s="1" t="str">
        <f aca="false">IF($C2399="","",$C2399&amp;"|"&amp;$E2399&amp;"|"&amp;$F2399&amp;"|"&amp;$L2399&amp;"|"&amp;$P2399&amp;"|"&amp;TEXT($H2399,"yyyy-mm-dd"))</f>
        <v/>
      </c>
      <c r="T2399" s="1" t="str">
        <f aca="false">IF($S2399="","",IF(COUNTIF($S$2:$S$2991,$S2399)&gt;1,"DUPLICATE","OK"))</f>
        <v/>
      </c>
      <c r="U2399" s="0" t="str">
        <f aca="false">IF($L2399="","",IFERROR(VLOOKUP(--$L2399,MM_Income!$Z$5:$AC$204,3,FALSE()),"UNMAPPED"))</f>
        <v/>
      </c>
    </row>
    <row r="2400" customFormat="false" ht="13.5" hidden="false" customHeight="false" outlineLevel="0" collapsed="false">
      <c r="A2400" s="1" t="str">
        <f aca="false">IF($C2400="","",Controls!$B$7)</f>
        <v/>
      </c>
      <c r="B2400" s="1" t="str">
        <f aca="false">IF($H2400="","",YEAR($H2400)&amp;"-Q"&amp;ROUNDUP(MONTH($H2400)/3,0))</f>
        <v/>
      </c>
      <c r="S2400" s="1" t="str">
        <f aca="false">IF($C2400="","",$C2400&amp;"|"&amp;$E2400&amp;"|"&amp;$F2400&amp;"|"&amp;$L2400&amp;"|"&amp;$P2400&amp;"|"&amp;TEXT($H2400,"yyyy-mm-dd"))</f>
        <v/>
      </c>
      <c r="T2400" s="1" t="str">
        <f aca="false">IF($S2400="","",IF(COUNTIF($S$2:$S$2991,$S2400)&gt;1,"DUPLICATE","OK"))</f>
        <v/>
      </c>
      <c r="U2400" s="0" t="str">
        <f aca="false">IF($L2400="","",IFERROR(VLOOKUP(--$L2400,MM_Income!$Z$5:$AC$204,3,FALSE()),"UNMAPPED"))</f>
        <v/>
      </c>
    </row>
    <row r="2401" customFormat="false" ht="13.5" hidden="false" customHeight="false" outlineLevel="0" collapsed="false">
      <c r="A2401" s="1" t="str">
        <f aca="false">IF($C2401="","",Controls!$B$7)</f>
        <v/>
      </c>
      <c r="B2401" s="1" t="str">
        <f aca="false">IF($H2401="","",YEAR($H2401)&amp;"-Q"&amp;ROUNDUP(MONTH($H2401)/3,0))</f>
        <v/>
      </c>
      <c r="S2401" s="1" t="str">
        <f aca="false">IF($C2401="","",$C2401&amp;"|"&amp;$E2401&amp;"|"&amp;$F2401&amp;"|"&amp;$L2401&amp;"|"&amp;$P2401&amp;"|"&amp;TEXT($H2401,"yyyy-mm-dd"))</f>
        <v/>
      </c>
      <c r="T2401" s="1" t="str">
        <f aca="false">IF($S2401="","",IF(COUNTIF($S$2:$S$2991,$S2401)&gt;1,"DUPLICATE","OK"))</f>
        <v/>
      </c>
      <c r="U2401" s="0" t="str">
        <f aca="false">IF($L2401="","",IFERROR(VLOOKUP(--$L2401,MM_Income!$Z$5:$AC$204,3,FALSE()),"UNMAPPED"))</f>
        <v/>
      </c>
    </row>
    <row r="2402" customFormat="false" ht="13.5" hidden="false" customHeight="false" outlineLevel="0" collapsed="false">
      <c r="A2402" s="1" t="str">
        <f aca="false">IF($C2402="","",Controls!$B$7)</f>
        <v/>
      </c>
      <c r="B2402" s="1" t="str">
        <f aca="false">IF($H2402="","",YEAR($H2402)&amp;"-Q"&amp;ROUNDUP(MONTH($H2402)/3,0))</f>
        <v/>
      </c>
      <c r="S2402" s="1" t="str">
        <f aca="false">IF($C2402="","",$C2402&amp;"|"&amp;$E2402&amp;"|"&amp;$F2402&amp;"|"&amp;$L2402&amp;"|"&amp;$P2402&amp;"|"&amp;TEXT($H2402,"yyyy-mm-dd"))</f>
        <v/>
      </c>
      <c r="T2402" s="1" t="str">
        <f aca="false">IF($S2402="","",IF(COUNTIF($S$2:$S$2991,$S2402)&gt;1,"DUPLICATE","OK"))</f>
        <v/>
      </c>
      <c r="U2402" s="0" t="str">
        <f aca="false">IF($L2402="","",IFERROR(VLOOKUP(--$L2402,MM_Income!$Z$5:$AC$204,3,FALSE()),"UNMAPPED"))</f>
        <v/>
      </c>
    </row>
    <row r="2403" customFormat="false" ht="13.5" hidden="false" customHeight="false" outlineLevel="0" collapsed="false">
      <c r="A2403" s="1" t="str">
        <f aca="false">IF($C2403="","",Controls!$B$7)</f>
        <v/>
      </c>
      <c r="B2403" s="1" t="str">
        <f aca="false">IF($H2403="","",YEAR($H2403)&amp;"-Q"&amp;ROUNDUP(MONTH($H2403)/3,0))</f>
        <v/>
      </c>
      <c r="S2403" s="1" t="str">
        <f aca="false">IF($C2403="","",$C2403&amp;"|"&amp;$E2403&amp;"|"&amp;$F2403&amp;"|"&amp;$L2403&amp;"|"&amp;$P2403&amp;"|"&amp;TEXT($H2403,"yyyy-mm-dd"))</f>
        <v/>
      </c>
      <c r="T2403" s="1" t="str">
        <f aca="false">IF($S2403="","",IF(COUNTIF($S$2:$S$2991,$S2403)&gt;1,"DUPLICATE","OK"))</f>
        <v/>
      </c>
      <c r="U2403" s="0" t="str">
        <f aca="false">IF($L2403="","",IFERROR(VLOOKUP(--$L2403,MM_Income!$Z$5:$AC$204,3,FALSE()),"UNMAPPED"))</f>
        <v/>
      </c>
    </row>
    <row r="2404" customFormat="false" ht="13.5" hidden="false" customHeight="false" outlineLevel="0" collapsed="false">
      <c r="A2404" s="1" t="str">
        <f aca="false">IF($C2404="","",Controls!$B$7)</f>
        <v/>
      </c>
      <c r="B2404" s="1" t="str">
        <f aca="false">IF($H2404="","",YEAR($H2404)&amp;"-Q"&amp;ROUNDUP(MONTH($H2404)/3,0))</f>
        <v/>
      </c>
      <c r="S2404" s="1" t="str">
        <f aca="false">IF($C2404="","",$C2404&amp;"|"&amp;$E2404&amp;"|"&amp;$F2404&amp;"|"&amp;$L2404&amp;"|"&amp;$P2404&amp;"|"&amp;TEXT($H2404,"yyyy-mm-dd"))</f>
        <v/>
      </c>
      <c r="T2404" s="1" t="str">
        <f aca="false">IF($S2404="","",IF(COUNTIF($S$2:$S$2991,$S2404)&gt;1,"DUPLICATE","OK"))</f>
        <v/>
      </c>
      <c r="U2404" s="0" t="str">
        <f aca="false">IF($L2404="","",IFERROR(VLOOKUP(--$L2404,MM_Income!$Z$5:$AC$204,3,FALSE()),"UNMAPPED"))</f>
        <v/>
      </c>
    </row>
    <row r="2405" customFormat="false" ht="13.5" hidden="false" customHeight="false" outlineLevel="0" collapsed="false">
      <c r="A2405" s="1" t="str">
        <f aca="false">IF($C2405="","",Controls!$B$7)</f>
        <v/>
      </c>
      <c r="B2405" s="1" t="str">
        <f aca="false">IF($H2405="","",YEAR($H2405)&amp;"-Q"&amp;ROUNDUP(MONTH($H2405)/3,0))</f>
        <v/>
      </c>
      <c r="S2405" s="1" t="str">
        <f aca="false">IF($C2405="","",$C2405&amp;"|"&amp;$E2405&amp;"|"&amp;$F2405&amp;"|"&amp;$L2405&amp;"|"&amp;$P2405&amp;"|"&amp;TEXT($H2405,"yyyy-mm-dd"))</f>
        <v/>
      </c>
      <c r="T2405" s="1" t="str">
        <f aca="false">IF($S2405="","",IF(COUNTIF($S$2:$S$2991,$S2405)&gt;1,"DUPLICATE","OK"))</f>
        <v/>
      </c>
      <c r="U2405" s="0" t="str">
        <f aca="false">IF($L2405="","",IFERROR(VLOOKUP(--$L2405,MM_Income!$Z$5:$AC$204,3,FALSE()),"UNMAPPED"))</f>
        <v/>
      </c>
    </row>
    <row r="2406" customFormat="false" ht="13.5" hidden="false" customHeight="false" outlineLevel="0" collapsed="false">
      <c r="A2406" s="1" t="str">
        <f aca="false">IF($C2406="","",Controls!$B$7)</f>
        <v/>
      </c>
      <c r="B2406" s="1" t="str">
        <f aca="false">IF($H2406="","",YEAR($H2406)&amp;"-Q"&amp;ROUNDUP(MONTH($H2406)/3,0))</f>
        <v/>
      </c>
      <c r="S2406" s="1" t="str">
        <f aca="false">IF($C2406="","",$C2406&amp;"|"&amp;$E2406&amp;"|"&amp;$F2406&amp;"|"&amp;$L2406&amp;"|"&amp;$P2406&amp;"|"&amp;TEXT($H2406,"yyyy-mm-dd"))</f>
        <v/>
      </c>
      <c r="T2406" s="1" t="str">
        <f aca="false">IF($S2406="","",IF(COUNTIF($S$2:$S$2991,$S2406)&gt;1,"DUPLICATE","OK"))</f>
        <v/>
      </c>
      <c r="U2406" s="0" t="str">
        <f aca="false">IF($L2406="","",IFERROR(VLOOKUP(--$L2406,MM_Income!$Z$5:$AC$204,3,FALSE()),"UNMAPPED"))</f>
        <v/>
      </c>
    </row>
    <row r="2407" customFormat="false" ht="13.5" hidden="false" customHeight="false" outlineLevel="0" collapsed="false">
      <c r="A2407" s="1" t="str">
        <f aca="false">IF($C2407="","",Controls!$B$7)</f>
        <v/>
      </c>
      <c r="B2407" s="1" t="str">
        <f aca="false">IF($H2407="","",YEAR($H2407)&amp;"-Q"&amp;ROUNDUP(MONTH($H2407)/3,0))</f>
        <v/>
      </c>
      <c r="S2407" s="1" t="str">
        <f aca="false">IF($C2407="","",$C2407&amp;"|"&amp;$E2407&amp;"|"&amp;$F2407&amp;"|"&amp;$L2407&amp;"|"&amp;$P2407&amp;"|"&amp;TEXT($H2407,"yyyy-mm-dd"))</f>
        <v/>
      </c>
      <c r="T2407" s="1" t="str">
        <f aca="false">IF($S2407="","",IF(COUNTIF($S$2:$S$2991,$S2407)&gt;1,"DUPLICATE","OK"))</f>
        <v/>
      </c>
      <c r="U2407" s="0" t="str">
        <f aca="false">IF($L2407="","",IFERROR(VLOOKUP(--$L2407,MM_Income!$Z$5:$AC$204,3,FALSE()),"UNMAPPED"))</f>
        <v/>
      </c>
    </row>
    <row r="2408" customFormat="false" ht="13.5" hidden="false" customHeight="false" outlineLevel="0" collapsed="false">
      <c r="A2408" s="1" t="str">
        <f aca="false">IF($C2408="","",Controls!$B$7)</f>
        <v/>
      </c>
      <c r="B2408" s="1" t="str">
        <f aca="false">IF($H2408="","",YEAR($H2408)&amp;"-Q"&amp;ROUNDUP(MONTH($H2408)/3,0))</f>
        <v/>
      </c>
      <c r="S2408" s="1" t="str">
        <f aca="false">IF($C2408="","",$C2408&amp;"|"&amp;$E2408&amp;"|"&amp;$F2408&amp;"|"&amp;$L2408&amp;"|"&amp;$P2408&amp;"|"&amp;TEXT($H2408,"yyyy-mm-dd"))</f>
        <v/>
      </c>
      <c r="T2408" s="1" t="str">
        <f aca="false">IF($S2408="","",IF(COUNTIF($S$2:$S$2991,$S2408)&gt;1,"DUPLICATE","OK"))</f>
        <v/>
      </c>
      <c r="U2408" s="0" t="str">
        <f aca="false">IF($L2408="","",IFERROR(VLOOKUP(--$L2408,MM_Income!$Z$5:$AC$204,3,FALSE()),"UNMAPPED"))</f>
        <v/>
      </c>
    </row>
    <row r="2409" customFormat="false" ht="13.5" hidden="false" customHeight="false" outlineLevel="0" collapsed="false">
      <c r="A2409" s="1" t="str">
        <f aca="false">IF($C2409="","",Controls!$B$7)</f>
        <v/>
      </c>
      <c r="B2409" s="1" t="str">
        <f aca="false">IF($H2409="","",YEAR($H2409)&amp;"-Q"&amp;ROUNDUP(MONTH($H2409)/3,0))</f>
        <v/>
      </c>
      <c r="S2409" s="1" t="str">
        <f aca="false">IF($C2409="","",$C2409&amp;"|"&amp;$E2409&amp;"|"&amp;$F2409&amp;"|"&amp;$L2409&amp;"|"&amp;$P2409&amp;"|"&amp;TEXT($H2409,"yyyy-mm-dd"))</f>
        <v/>
      </c>
      <c r="T2409" s="1" t="str">
        <f aca="false">IF($S2409="","",IF(COUNTIF($S$2:$S$2991,$S2409)&gt;1,"DUPLICATE","OK"))</f>
        <v/>
      </c>
      <c r="U2409" s="0" t="str">
        <f aca="false">IF($L2409="","",IFERROR(VLOOKUP(--$L2409,MM_Income!$Z$5:$AC$204,3,FALSE()),"UNMAPPED"))</f>
        <v/>
      </c>
    </row>
    <row r="2410" customFormat="false" ht="13.5" hidden="false" customHeight="false" outlineLevel="0" collapsed="false">
      <c r="A2410" s="1" t="str">
        <f aca="false">IF($C2410="","",Controls!$B$7)</f>
        <v/>
      </c>
      <c r="B2410" s="1" t="str">
        <f aca="false">IF($H2410="","",YEAR($H2410)&amp;"-Q"&amp;ROUNDUP(MONTH($H2410)/3,0))</f>
        <v/>
      </c>
      <c r="S2410" s="1" t="str">
        <f aca="false">IF($C2410="","",$C2410&amp;"|"&amp;$E2410&amp;"|"&amp;$F2410&amp;"|"&amp;$L2410&amp;"|"&amp;$P2410&amp;"|"&amp;TEXT($H2410,"yyyy-mm-dd"))</f>
        <v/>
      </c>
      <c r="T2410" s="1" t="str">
        <f aca="false">IF($S2410="","",IF(COUNTIF($S$2:$S$2991,$S2410)&gt;1,"DUPLICATE","OK"))</f>
        <v/>
      </c>
      <c r="U2410" s="0" t="str">
        <f aca="false">IF($L2410="","",IFERROR(VLOOKUP(--$L2410,MM_Income!$Z$5:$AC$204,3,FALSE()),"UNMAPPED"))</f>
        <v/>
      </c>
    </row>
    <row r="2411" customFormat="false" ht="13.5" hidden="false" customHeight="false" outlineLevel="0" collapsed="false">
      <c r="A2411" s="1" t="str">
        <f aca="false">IF($C2411="","",Controls!$B$7)</f>
        <v/>
      </c>
      <c r="B2411" s="1" t="str">
        <f aca="false">IF($H2411="","",YEAR($H2411)&amp;"-Q"&amp;ROUNDUP(MONTH($H2411)/3,0))</f>
        <v/>
      </c>
      <c r="S2411" s="1" t="str">
        <f aca="false">IF($C2411="","",$C2411&amp;"|"&amp;$E2411&amp;"|"&amp;$F2411&amp;"|"&amp;$L2411&amp;"|"&amp;$P2411&amp;"|"&amp;TEXT($H2411,"yyyy-mm-dd"))</f>
        <v/>
      </c>
      <c r="T2411" s="1" t="str">
        <f aca="false">IF($S2411="","",IF(COUNTIF($S$2:$S$2991,$S2411)&gt;1,"DUPLICATE","OK"))</f>
        <v/>
      </c>
      <c r="U2411" s="0" t="str">
        <f aca="false">IF($L2411="","",IFERROR(VLOOKUP(--$L2411,MM_Income!$Z$5:$AC$204,3,FALSE()),"UNMAPPED"))</f>
        <v/>
      </c>
    </row>
    <row r="2412" customFormat="false" ht="13.5" hidden="false" customHeight="false" outlineLevel="0" collapsed="false">
      <c r="A2412" s="1" t="str">
        <f aca="false">IF($C2412="","",Controls!$B$7)</f>
        <v/>
      </c>
      <c r="B2412" s="1" t="str">
        <f aca="false">IF($H2412="","",YEAR($H2412)&amp;"-Q"&amp;ROUNDUP(MONTH($H2412)/3,0))</f>
        <v/>
      </c>
      <c r="S2412" s="1" t="str">
        <f aca="false">IF($C2412="","",$C2412&amp;"|"&amp;$E2412&amp;"|"&amp;$F2412&amp;"|"&amp;$L2412&amp;"|"&amp;$P2412&amp;"|"&amp;TEXT($H2412,"yyyy-mm-dd"))</f>
        <v/>
      </c>
      <c r="T2412" s="1" t="str">
        <f aca="false">IF($S2412="","",IF(COUNTIF($S$2:$S$2991,$S2412)&gt;1,"DUPLICATE","OK"))</f>
        <v/>
      </c>
      <c r="U2412" s="0" t="str">
        <f aca="false">IF($L2412="","",IFERROR(VLOOKUP(--$L2412,MM_Income!$Z$5:$AC$204,3,FALSE()),"UNMAPPED"))</f>
        <v/>
      </c>
    </row>
    <row r="2413" customFormat="false" ht="13.5" hidden="false" customHeight="false" outlineLevel="0" collapsed="false">
      <c r="A2413" s="1" t="str">
        <f aca="false">IF($C2413="","",Controls!$B$7)</f>
        <v/>
      </c>
      <c r="B2413" s="1" t="str">
        <f aca="false">IF($H2413="","",YEAR($H2413)&amp;"-Q"&amp;ROUNDUP(MONTH($H2413)/3,0))</f>
        <v/>
      </c>
      <c r="S2413" s="1" t="str">
        <f aca="false">IF($C2413="","",$C2413&amp;"|"&amp;$E2413&amp;"|"&amp;$F2413&amp;"|"&amp;$L2413&amp;"|"&amp;$P2413&amp;"|"&amp;TEXT($H2413,"yyyy-mm-dd"))</f>
        <v/>
      </c>
      <c r="T2413" s="1" t="str">
        <f aca="false">IF($S2413="","",IF(COUNTIF($S$2:$S$2991,$S2413)&gt;1,"DUPLICATE","OK"))</f>
        <v/>
      </c>
      <c r="U2413" s="0" t="str">
        <f aca="false">IF($L2413="","",IFERROR(VLOOKUP(--$L2413,MM_Income!$Z$5:$AC$204,3,FALSE()),"UNMAPPED"))</f>
        <v/>
      </c>
    </row>
    <row r="2414" customFormat="false" ht="13.5" hidden="false" customHeight="false" outlineLevel="0" collapsed="false">
      <c r="A2414" s="1" t="str">
        <f aca="false">IF($C2414="","",Controls!$B$7)</f>
        <v/>
      </c>
      <c r="B2414" s="1" t="str">
        <f aca="false">IF($H2414="","",YEAR($H2414)&amp;"-Q"&amp;ROUNDUP(MONTH($H2414)/3,0))</f>
        <v/>
      </c>
      <c r="S2414" s="1" t="str">
        <f aca="false">IF($C2414="","",$C2414&amp;"|"&amp;$E2414&amp;"|"&amp;$F2414&amp;"|"&amp;$L2414&amp;"|"&amp;$P2414&amp;"|"&amp;TEXT($H2414,"yyyy-mm-dd"))</f>
        <v/>
      </c>
      <c r="T2414" s="1" t="str">
        <f aca="false">IF($S2414="","",IF(COUNTIF($S$2:$S$2991,$S2414)&gt;1,"DUPLICATE","OK"))</f>
        <v/>
      </c>
      <c r="U2414" s="0" t="str">
        <f aca="false">IF($L2414="","",IFERROR(VLOOKUP(--$L2414,MM_Income!$Z$5:$AC$204,3,FALSE()),"UNMAPPED"))</f>
        <v/>
      </c>
    </row>
    <row r="2415" customFormat="false" ht="13.5" hidden="false" customHeight="false" outlineLevel="0" collapsed="false">
      <c r="A2415" s="1" t="str">
        <f aca="false">IF($C2415="","",Controls!$B$7)</f>
        <v/>
      </c>
      <c r="B2415" s="1" t="str">
        <f aca="false">IF($H2415="","",YEAR($H2415)&amp;"-Q"&amp;ROUNDUP(MONTH($H2415)/3,0))</f>
        <v/>
      </c>
      <c r="S2415" s="1" t="str">
        <f aca="false">IF($C2415="","",$C2415&amp;"|"&amp;$E2415&amp;"|"&amp;$F2415&amp;"|"&amp;$L2415&amp;"|"&amp;$P2415&amp;"|"&amp;TEXT($H2415,"yyyy-mm-dd"))</f>
        <v/>
      </c>
      <c r="T2415" s="1" t="str">
        <f aca="false">IF($S2415="","",IF(COUNTIF($S$2:$S$2991,$S2415)&gt;1,"DUPLICATE","OK"))</f>
        <v/>
      </c>
      <c r="U2415" s="0" t="str">
        <f aca="false">IF($L2415="","",IFERROR(VLOOKUP(--$L2415,MM_Income!$Z$5:$AC$204,3,FALSE()),"UNMAPPED"))</f>
        <v/>
      </c>
    </row>
    <row r="2416" customFormat="false" ht="13.5" hidden="false" customHeight="false" outlineLevel="0" collapsed="false">
      <c r="A2416" s="1" t="str">
        <f aca="false">IF($C2416="","",Controls!$B$7)</f>
        <v/>
      </c>
      <c r="B2416" s="1" t="str">
        <f aca="false">IF($H2416="","",YEAR($H2416)&amp;"-Q"&amp;ROUNDUP(MONTH($H2416)/3,0))</f>
        <v/>
      </c>
      <c r="S2416" s="1" t="str">
        <f aca="false">IF($C2416="","",$C2416&amp;"|"&amp;$E2416&amp;"|"&amp;$F2416&amp;"|"&amp;$L2416&amp;"|"&amp;$P2416&amp;"|"&amp;TEXT($H2416,"yyyy-mm-dd"))</f>
        <v/>
      </c>
      <c r="T2416" s="1" t="str">
        <f aca="false">IF($S2416="","",IF(COUNTIF($S$2:$S$2991,$S2416)&gt;1,"DUPLICATE","OK"))</f>
        <v/>
      </c>
      <c r="U2416" s="0" t="str">
        <f aca="false">IF($L2416="","",IFERROR(VLOOKUP(--$L2416,MM_Income!$Z$5:$AC$204,3,FALSE()),"UNMAPPED"))</f>
        <v/>
      </c>
    </row>
    <row r="2417" customFormat="false" ht="13.5" hidden="false" customHeight="false" outlineLevel="0" collapsed="false">
      <c r="A2417" s="1" t="str">
        <f aca="false">IF($C2417="","",Controls!$B$7)</f>
        <v/>
      </c>
      <c r="B2417" s="1" t="str">
        <f aca="false">IF($H2417="","",YEAR($H2417)&amp;"-Q"&amp;ROUNDUP(MONTH($H2417)/3,0))</f>
        <v/>
      </c>
      <c r="S2417" s="1" t="str">
        <f aca="false">IF($C2417="","",$C2417&amp;"|"&amp;$E2417&amp;"|"&amp;$F2417&amp;"|"&amp;$L2417&amp;"|"&amp;$P2417&amp;"|"&amp;TEXT($H2417,"yyyy-mm-dd"))</f>
        <v/>
      </c>
      <c r="T2417" s="1" t="str">
        <f aca="false">IF($S2417="","",IF(COUNTIF($S$2:$S$2991,$S2417)&gt;1,"DUPLICATE","OK"))</f>
        <v/>
      </c>
      <c r="U2417" s="0" t="str">
        <f aca="false">IF($L2417="","",IFERROR(VLOOKUP(--$L2417,MM_Income!$Z$5:$AC$204,3,FALSE()),"UNMAPPED"))</f>
        <v/>
      </c>
    </row>
    <row r="2418" customFormat="false" ht="13.5" hidden="false" customHeight="false" outlineLevel="0" collapsed="false">
      <c r="A2418" s="1" t="str">
        <f aca="false">IF($C2418="","",Controls!$B$7)</f>
        <v/>
      </c>
      <c r="B2418" s="1" t="str">
        <f aca="false">IF($H2418="","",YEAR($H2418)&amp;"-Q"&amp;ROUNDUP(MONTH($H2418)/3,0))</f>
        <v/>
      </c>
      <c r="S2418" s="1" t="str">
        <f aca="false">IF($C2418="","",$C2418&amp;"|"&amp;$E2418&amp;"|"&amp;$F2418&amp;"|"&amp;$L2418&amp;"|"&amp;$P2418&amp;"|"&amp;TEXT($H2418,"yyyy-mm-dd"))</f>
        <v/>
      </c>
      <c r="T2418" s="1" t="str">
        <f aca="false">IF($S2418="","",IF(COUNTIF($S$2:$S$2991,$S2418)&gt;1,"DUPLICATE","OK"))</f>
        <v/>
      </c>
      <c r="U2418" s="0" t="str">
        <f aca="false">IF($L2418="","",IFERROR(VLOOKUP(--$L2418,MM_Income!$Z$5:$AC$204,3,FALSE()),"UNMAPPED"))</f>
        <v/>
      </c>
    </row>
    <row r="2419" customFormat="false" ht="13.5" hidden="false" customHeight="false" outlineLevel="0" collapsed="false">
      <c r="A2419" s="1" t="str">
        <f aca="false">IF($C2419="","",Controls!$B$7)</f>
        <v/>
      </c>
      <c r="B2419" s="1" t="str">
        <f aca="false">IF($H2419="","",YEAR($H2419)&amp;"-Q"&amp;ROUNDUP(MONTH($H2419)/3,0))</f>
        <v/>
      </c>
      <c r="S2419" s="1" t="str">
        <f aca="false">IF($C2419="","",$C2419&amp;"|"&amp;$E2419&amp;"|"&amp;$F2419&amp;"|"&amp;$L2419&amp;"|"&amp;$P2419&amp;"|"&amp;TEXT($H2419,"yyyy-mm-dd"))</f>
        <v/>
      </c>
      <c r="T2419" s="1" t="str">
        <f aca="false">IF($S2419="","",IF(COUNTIF($S$2:$S$2991,$S2419)&gt;1,"DUPLICATE","OK"))</f>
        <v/>
      </c>
      <c r="U2419" s="0" t="str">
        <f aca="false">IF($L2419="","",IFERROR(VLOOKUP(--$L2419,MM_Income!$Z$5:$AC$204,3,FALSE()),"UNMAPPED"))</f>
        <v/>
      </c>
    </row>
    <row r="2420" customFormat="false" ht="13.5" hidden="false" customHeight="false" outlineLevel="0" collapsed="false">
      <c r="A2420" s="1" t="str">
        <f aca="false">IF($C2420="","",Controls!$B$7)</f>
        <v/>
      </c>
      <c r="B2420" s="1" t="str">
        <f aca="false">IF($H2420="","",YEAR($H2420)&amp;"-Q"&amp;ROUNDUP(MONTH($H2420)/3,0))</f>
        <v/>
      </c>
      <c r="S2420" s="1" t="str">
        <f aca="false">IF($C2420="","",$C2420&amp;"|"&amp;$E2420&amp;"|"&amp;$F2420&amp;"|"&amp;$L2420&amp;"|"&amp;$P2420&amp;"|"&amp;TEXT($H2420,"yyyy-mm-dd"))</f>
        <v/>
      </c>
      <c r="T2420" s="1" t="str">
        <f aca="false">IF($S2420="","",IF(COUNTIF($S$2:$S$2991,$S2420)&gt;1,"DUPLICATE","OK"))</f>
        <v/>
      </c>
      <c r="U2420" s="0" t="str">
        <f aca="false">IF($L2420="","",IFERROR(VLOOKUP(--$L2420,MM_Income!$Z$5:$AC$204,3,FALSE()),"UNMAPPED"))</f>
        <v/>
      </c>
    </row>
    <row r="2421" customFormat="false" ht="13.5" hidden="false" customHeight="false" outlineLevel="0" collapsed="false">
      <c r="A2421" s="1" t="str">
        <f aca="false">IF($C2421="","",Controls!$B$7)</f>
        <v/>
      </c>
      <c r="B2421" s="1" t="str">
        <f aca="false">IF($H2421="","",YEAR($H2421)&amp;"-Q"&amp;ROUNDUP(MONTH($H2421)/3,0))</f>
        <v/>
      </c>
      <c r="S2421" s="1" t="str">
        <f aca="false">IF($C2421="","",$C2421&amp;"|"&amp;$E2421&amp;"|"&amp;$F2421&amp;"|"&amp;$L2421&amp;"|"&amp;$P2421&amp;"|"&amp;TEXT($H2421,"yyyy-mm-dd"))</f>
        <v/>
      </c>
      <c r="T2421" s="1" t="str">
        <f aca="false">IF($S2421="","",IF(COUNTIF($S$2:$S$2991,$S2421)&gt;1,"DUPLICATE","OK"))</f>
        <v/>
      </c>
      <c r="U2421" s="0" t="str">
        <f aca="false">IF($L2421="","",IFERROR(VLOOKUP(--$L2421,MM_Income!$Z$5:$AC$204,3,FALSE()),"UNMAPPED"))</f>
        <v/>
      </c>
    </row>
    <row r="2422" customFormat="false" ht="13.5" hidden="false" customHeight="false" outlineLevel="0" collapsed="false">
      <c r="A2422" s="1" t="str">
        <f aca="false">IF($C2422="","",Controls!$B$7)</f>
        <v/>
      </c>
      <c r="B2422" s="1" t="str">
        <f aca="false">IF($H2422="","",YEAR($H2422)&amp;"-Q"&amp;ROUNDUP(MONTH($H2422)/3,0))</f>
        <v/>
      </c>
      <c r="S2422" s="1" t="str">
        <f aca="false">IF($C2422="","",$C2422&amp;"|"&amp;$E2422&amp;"|"&amp;$F2422&amp;"|"&amp;$L2422&amp;"|"&amp;$P2422&amp;"|"&amp;TEXT($H2422,"yyyy-mm-dd"))</f>
        <v/>
      </c>
      <c r="T2422" s="1" t="str">
        <f aca="false">IF($S2422="","",IF(COUNTIF($S$2:$S$2991,$S2422)&gt;1,"DUPLICATE","OK"))</f>
        <v/>
      </c>
      <c r="U2422" s="0" t="str">
        <f aca="false">IF($L2422="","",IFERROR(VLOOKUP(--$L2422,MM_Income!$Z$5:$AC$204,3,FALSE()),"UNMAPPED"))</f>
        <v/>
      </c>
    </row>
    <row r="2423" customFormat="false" ht="13.5" hidden="false" customHeight="false" outlineLevel="0" collapsed="false">
      <c r="A2423" s="1" t="str">
        <f aca="false">IF($C2423="","",Controls!$B$7)</f>
        <v/>
      </c>
      <c r="B2423" s="1" t="str">
        <f aca="false">IF($H2423="","",YEAR($H2423)&amp;"-Q"&amp;ROUNDUP(MONTH($H2423)/3,0))</f>
        <v/>
      </c>
      <c r="S2423" s="1" t="str">
        <f aca="false">IF($C2423="","",$C2423&amp;"|"&amp;$E2423&amp;"|"&amp;$F2423&amp;"|"&amp;$L2423&amp;"|"&amp;$P2423&amp;"|"&amp;TEXT($H2423,"yyyy-mm-dd"))</f>
        <v/>
      </c>
      <c r="T2423" s="1" t="str">
        <f aca="false">IF($S2423="","",IF(COUNTIF($S$2:$S$2991,$S2423)&gt;1,"DUPLICATE","OK"))</f>
        <v/>
      </c>
      <c r="U2423" s="0" t="str">
        <f aca="false">IF($L2423="","",IFERROR(VLOOKUP(--$L2423,MM_Income!$Z$5:$AC$204,3,FALSE()),"UNMAPPED"))</f>
        <v/>
      </c>
    </row>
    <row r="2424" customFormat="false" ht="13.5" hidden="false" customHeight="false" outlineLevel="0" collapsed="false">
      <c r="A2424" s="1" t="str">
        <f aca="false">IF($C2424="","",Controls!$B$7)</f>
        <v/>
      </c>
      <c r="B2424" s="1" t="str">
        <f aca="false">IF($H2424="","",YEAR($H2424)&amp;"-Q"&amp;ROUNDUP(MONTH($H2424)/3,0))</f>
        <v/>
      </c>
      <c r="S2424" s="1" t="str">
        <f aca="false">IF($C2424="","",$C2424&amp;"|"&amp;$E2424&amp;"|"&amp;$F2424&amp;"|"&amp;$L2424&amp;"|"&amp;$P2424&amp;"|"&amp;TEXT($H2424,"yyyy-mm-dd"))</f>
        <v/>
      </c>
      <c r="T2424" s="1" t="str">
        <f aca="false">IF($S2424="","",IF(COUNTIF($S$2:$S$2991,$S2424)&gt;1,"DUPLICATE","OK"))</f>
        <v/>
      </c>
      <c r="U2424" s="0" t="str">
        <f aca="false">IF($L2424="","",IFERROR(VLOOKUP(--$L2424,MM_Income!$Z$5:$AC$204,3,FALSE()),"UNMAPPED"))</f>
        <v/>
      </c>
    </row>
    <row r="2425" customFormat="false" ht="13.5" hidden="false" customHeight="false" outlineLevel="0" collapsed="false">
      <c r="A2425" s="1" t="str">
        <f aca="false">IF($C2425="","",Controls!$B$7)</f>
        <v/>
      </c>
      <c r="B2425" s="1" t="str">
        <f aca="false">IF($H2425="","",YEAR($H2425)&amp;"-Q"&amp;ROUNDUP(MONTH($H2425)/3,0))</f>
        <v/>
      </c>
      <c r="S2425" s="1" t="str">
        <f aca="false">IF($C2425="","",$C2425&amp;"|"&amp;$E2425&amp;"|"&amp;$F2425&amp;"|"&amp;$L2425&amp;"|"&amp;$P2425&amp;"|"&amp;TEXT($H2425,"yyyy-mm-dd"))</f>
        <v/>
      </c>
      <c r="T2425" s="1" t="str">
        <f aca="false">IF($S2425="","",IF(COUNTIF($S$2:$S$2991,$S2425)&gt;1,"DUPLICATE","OK"))</f>
        <v/>
      </c>
      <c r="U2425" s="0" t="str">
        <f aca="false">IF($L2425="","",IFERROR(VLOOKUP(--$L2425,MM_Income!$Z$5:$AC$204,3,FALSE()),"UNMAPPED"))</f>
        <v/>
      </c>
    </row>
    <row r="2426" customFormat="false" ht="13.5" hidden="false" customHeight="false" outlineLevel="0" collapsed="false">
      <c r="A2426" s="1" t="str">
        <f aca="false">IF($C2426="","",Controls!$B$7)</f>
        <v/>
      </c>
      <c r="B2426" s="1" t="str">
        <f aca="false">IF($H2426="","",YEAR($H2426)&amp;"-Q"&amp;ROUNDUP(MONTH($H2426)/3,0))</f>
        <v/>
      </c>
      <c r="S2426" s="1" t="str">
        <f aca="false">IF($C2426="","",$C2426&amp;"|"&amp;$E2426&amp;"|"&amp;$F2426&amp;"|"&amp;$L2426&amp;"|"&amp;$P2426&amp;"|"&amp;TEXT($H2426,"yyyy-mm-dd"))</f>
        <v/>
      </c>
      <c r="T2426" s="1" t="str">
        <f aca="false">IF($S2426="","",IF(COUNTIF($S$2:$S$2991,$S2426)&gt;1,"DUPLICATE","OK"))</f>
        <v/>
      </c>
      <c r="U2426" s="0" t="str">
        <f aca="false">IF($L2426="","",IFERROR(VLOOKUP(--$L2426,MM_Income!$Z$5:$AC$204,3,FALSE()),"UNMAPPED"))</f>
        <v/>
      </c>
    </row>
    <row r="2427" customFormat="false" ht="13.5" hidden="false" customHeight="false" outlineLevel="0" collapsed="false">
      <c r="A2427" s="1" t="str">
        <f aca="false">IF($C2427="","",Controls!$B$7)</f>
        <v/>
      </c>
      <c r="B2427" s="1" t="str">
        <f aca="false">IF($H2427="","",YEAR($H2427)&amp;"-Q"&amp;ROUNDUP(MONTH($H2427)/3,0))</f>
        <v/>
      </c>
      <c r="S2427" s="1" t="str">
        <f aca="false">IF($C2427="","",$C2427&amp;"|"&amp;$E2427&amp;"|"&amp;$F2427&amp;"|"&amp;$L2427&amp;"|"&amp;$P2427&amp;"|"&amp;TEXT($H2427,"yyyy-mm-dd"))</f>
        <v/>
      </c>
      <c r="T2427" s="1" t="str">
        <f aca="false">IF($S2427="","",IF(COUNTIF($S$2:$S$2991,$S2427)&gt;1,"DUPLICATE","OK"))</f>
        <v/>
      </c>
      <c r="U2427" s="0" t="str">
        <f aca="false">IF($L2427="","",IFERROR(VLOOKUP(--$L2427,MM_Income!$Z$5:$AC$204,3,FALSE()),"UNMAPPED"))</f>
        <v/>
      </c>
    </row>
    <row r="2428" customFormat="false" ht="13.5" hidden="false" customHeight="false" outlineLevel="0" collapsed="false">
      <c r="A2428" s="1" t="str">
        <f aca="false">IF($C2428="","",Controls!$B$7)</f>
        <v/>
      </c>
      <c r="B2428" s="1" t="str">
        <f aca="false">IF($H2428="","",YEAR($H2428)&amp;"-Q"&amp;ROUNDUP(MONTH($H2428)/3,0))</f>
        <v/>
      </c>
      <c r="S2428" s="1" t="str">
        <f aca="false">IF($C2428="","",$C2428&amp;"|"&amp;$E2428&amp;"|"&amp;$F2428&amp;"|"&amp;$L2428&amp;"|"&amp;$P2428&amp;"|"&amp;TEXT($H2428,"yyyy-mm-dd"))</f>
        <v/>
      </c>
      <c r="T2428" s="1" t="str">
        <f aca="false">IF($S2428="","",IF(COUNTIF($S$2:$S$2991,$S2428)&gt;1,"DUPLICATE","OK"))</f>
        <v/>
      </c>
      <c r="U2428" s="0" t="str">
        <f aca="false">IF($L2428="","",IFERROR(VLOOKUP(--$L2428,MM_Income!$Z$5:$AC$204,3,FALSE()),"UNMAPPED"))</f>
        <v/>
      </c>
    </row>
    <row r="2429" customFormat="false" ht="13.5" hidden="false" customHeight="false" outlineLevel="0" collapsed="false">
      <c r="A2429" s="1" t="str">
        <f aca="false">IF($C2429="","",Controls!$B$7)</f>
        <v/>
      </c>
      <c r="B2429" s="1" t="str">
        <f aca="false">IF($H2429="","",YEAR($H2429)&amp;"-Q"&amp;ROUNDUP(MONTH($H2429)/3,0))</f>
        <v/>
      </c>
      <c r="S2429" s="1" t="str">
        <f aca="false">IF($C2429="","",$C2429&amp;"|"&amp;$E2429&amp;"|"&amp;$F2429&amp;"|"&amp;$L2429&amp;"|"&amp;$P2429&amp;"|"&amp;TEXT($H2429,"yyyy-mm-dd"))</f>
        <v/>
      </c>
      <c r="T2429" s="1" t="str">
        <f aca="false">IF($S2429="","",IF(COUNTIF($S$2:$S$2991,$S2429)&gt;1,"DUPLICATE","OK"))</f>
        <v/>
      </c>
      <c r="U2429" s="0" t="str">
        <f aca="false">IF($L2429="","",IFERROR(VLOOKUP(--$L2429,MM_Income!$Z$5:$AC$204,3,FALSE()),"UNMAPPED"))</f>
        <v/>
      </c>
    </row>
    <row r="2430" customFormat="false" ht="13.5" hidden="false" customHeight="false" outlineLevel="0" collapsed="false">
      <c r="A2430" s="1" t="str">
        <f aca="false">IF($C2430="","",Controls!$B$7)</f>
        <v/>
      </c>
      <c r="B2430" s="1" t="str">
        <f aca="false">IF($H2430="","",YEAR($H2430)&amp;"-Q"&amp;ROUNDUP(MONTH($H2430)/3,0))</f>
        <v/>
      </c>
      <c r="S2430" s="1" t="str">
        <f aca="false">IF($C2430="","",$C2430&amp;"|"&amp;$E2430&amp;"|"&amp;$F2430&amp;"|"&amp;$L2430&amp;"|"&amp;$P2430&amp;"|"&amp;TEXT($H2430,"yyyy-mm-dd"))</f>
        <v/>
      </c>
      <c r="T2430" s="1" t="str">
        <f aca="false">IF($S2430="","",IF(COUNTIF($S$2:$S$2991,$S2430)&gt;1,"DUPLICATE","OK"))</f>
        <v/>
      </c>
      <c r="U2430" s="0" t="str">
        <f aca="false">IF($L2430="","",IFERROR(VLOOKUP(--$L2430,MM_Income!$Z$5:$AC$204,3,FALSE()),"UNMAPPED"))</f>
        <v/>
      </c>
    </row>
    <row r="2431" customFormat="false" ht="13.5" hidden="false" customHeight="false" outlineLevel="0" collapsed="false">
      <c r="A2431" s="1" t="str">
        <f aca="false">IF($C2431="","",Controls!$B$7)</f>
        <v/>
      </c>
      <c r="B2431" s="1" t="str">
        <f aca="false">IF($H2431="","",YEAR($H2431)&amp;"-Q"&amp;ROUNDUP(MONTH($H2431)/3,0))</f>
        <v/>
      </c>
      <c r="S2431" s="1" t="str">
        <f aca="false">IF($C2431="","",$C2431&amp;"|"&amp;$E2431&amp;"|"&amp;$F2431&amp;"|"&amp;$L2431&amp;"|"&amp;$P2431&amp;"|"&amp;TEXT($H2431,"yyyy-mm-dd"))</f>
        <v/>
      </c>
      <c r="T2431" s="1" t="str">
        <f aca="false">IF($S2431="","",IF(COUNTIF($S$2:$S$2991,$S2431)&gt;1,"DUPLICATE","OK"))</f>
        <v/>
      </c>
      <c r="U2431" s="0" t="str">
        <f aca="false">IF($L2431="","",IFERROR(VLOOKUP(--$L2431,MM_Income!$Z$5:$AC$204,3,FALSE()),"UNMAPPED"))</f>
        <v/>
      </c>
    </row>
    <row r="2432" customFormat="false" ht="13.5" hidden="false" customHeight="false" outlineLevel="0" collapsed="false">
      <c r="A2432" s="1" t="str">
        <f aca="false">IF($C2432="","",Controls!$B$7)</f>
        <v/>
      </c>
      <c r="B2432" s="1" t="str">
        <f aca="false">IF($H2432="","",YEAR($H2432)&amp;"-Q"&amp;ROUNDUP(MONTH($H2432)/3,0))</f>
        <v/>
      </c>
      <c r="S2432" s="1" t="str">
        <f aca="false">IF($C2432="","",$C2432&amp;"|"&amp;$E2432&amp;"|"&amp;$F2432&amp;"|"&amp;$L2432&amp;"|"&amp;$P2432&amp;"|"&amp;TEXT($H2432,"yyyy-mm-dd"))</f>
        <v/>
      </c>
      <c r="T2432" s="1" t="str">
        <f aca="false">IF($S2432="","",IF(COUNTIF($S$2:$S$2991,$S2432)&gt;1,"DUPLICATE","OK"))</f>
        <v/>
      </c>
      <c r="U2432" s="0" t="str">
        <f aca="false">IF($L2432="","",IFERROR(VLOOKUP(--$L2432,MM_Income!$Z$5:$AC$204,3,FALSE()),"UNMAPPED"))</f>
        <v/>
      </c>
    </row>
    <row r="2433" customFormat="false" ht="13.5" hidden="false" customHeight="false" outlineLevel="0" collapsed="false">
      <c r="A2433" s="1" t="str">
        <f aca="false">IF($C2433="","",Controls!$B$7)</f>
        <v/>
      </c>
      <c r="B2433" s="1" t="str">
        <f aca="false">IF($H2433="","",YEAR($H2433)&amp;"-Q"&amp;ROUNDUP(MONTH($H2433)/3,0))</f>
        <v/>
      </c>
      <c r="S2433" s="1" t="str">
        <f aca="false">IF($C2433="","",$C2433&amp;"|"&amp;$E2433&amp;"|"&amp;$F2433&amp;"|"&amp;$L2433&amp;"|"&amp;$P2433&amp;"|"&amp;TEXT($H2433,"yyyy-mm-dd"))</f>
        <v/>
      </c>
      <c r="T2433" s="1" t="str">
        <f aca="false">IF($S2433="","",IF(COUNTIF($S$2:$S$2991,$S2433)&gt;1,"DUPLICATE","OK"))</f>
        <v/>
      </c>
      <c r="U2433" s="0" t="str">
        <f aca="false">IF($L2433="","",IFERROR(VLOOKUP(--$L2433,MM_Income!$Z$5:$AC$204,3,FALSE()),"UNMAPPED"))</f>
        <v/>
      </c>
    </row>
    <row r="2434" customFormat="false" ht="13.5" hidden="false" customHeight="false" outlineLevel="0" collapsed="false">
      <c r="A2434" s="1" t="str">
        <f aca="false">IF($C2434="","",Controls!$B$7)</f>
        <v/>
      </c>
      <c r="B2434" s="1" t="str">
        <f aca="false">IF($H2434="","",YEAR($H2434)&amp;"-Q"&amp;ROUNDUP(MONTH($H2434)/3,0))</f>
        <v/>
      </c>
      <c r="S2434" s="1" t="str">
        <f aca="false">IF($C2434="","",$C2434&amp;"|"&amp;$E2434&amp;"|"&amp;$F2434&amp;"|"&amp;$L2434&amp;"|"&amp;$P2434&amp;"|"&amp;TEXT($H2434,"yyyy-mm-dd"))</f>
        <v/>
      </c>
      <c r="T2434" s="1" t="str">
        <f aca="false">IF($S2434="","",IF(COUNTIF($S$2:$S$2991,$S2434)&gt;1,"DUPLICATE","OK"))</f>
        <v/>
      </c>
      <c r="U2434" s="0" t="str">
        <f aca="false">IF($L2434="","",IFERROR(VLOOKUP(--$L2434,MM_Income!$Z$5:$AC$204,3,FALSE()),"UNMAPPED"))</f>
        <v/>
      </c>
    </row>
    <row r="2435" customFormat="false" ht="13.5" hidden="false" customHeight="false" outlineLevel="0" collapsed="false">
      <c r="A2435" s="1" t="str">
        <f aca="false">IF($C2435="","",Controls!$B$7)</f>
        <v/>
      </c>
      <c r="B2435" s="1" t="str">
        <f aca="false">IF($H2435="","",YEAR($H2435)&amp;"-Q"&amp;ROUNDUP(MONTH($H2435)/3,0))</f>
        <v/>
      </c>
      <c r="S2435" s="1" t="str">
        <f aca="false">IF($C2435="","",$C2435&amp;"|"&amp;$E2435&amp;"|"&amp;$F2435&amp;"|"&amp;$L2435&amp;"|"&amp;$P2435&amp;"|"&amp;TEXT($H2435,"yyyy-mm-dd"))</f>
        <v/>
      </c>
      <c r="T2435" s="1" t="str">
        <f aca="false">IF($S2435="","",IF(COUNTIF($S$2:$S$2991,$S2435)&gt;1,"DUPLICATE","OK"))</f>
        <v/>
      </c>
      <c r="U2435" s="0" t="str">
        <f aca="false">IF($L2435="","",IFERROR(VLOOKUP(--$L2435,MM_Income!$Z$5:$AC$204,3,FALSE()),"UNMAPPED"))</f>
        <v/>
      </c>
    </row>
    <row r="2436" customFormat="false" ht="13.5" hidden="false" customHeight="false" outlineLevel="0" collapsed="false">
      <c r="A2436" s="1" t="str">
        <f aca="false">IF($C2436="","",Controls!$B$7)</f>
        <v/>
      </c>
      <c r="B2436" s="1" t="str">
        <f aca="false">IF($H2436="","",YEAR($H2436)&amp;"-Q"&amp;ROUNDUP(MONTH($H2436)/3,0))</f>
        <v/>
      </c>
      <c r="S2436" s="1" t="str">
        <f aca="false">IF($C2436="","",$C2436&amp;"|"&amp;$E2436&amp;"|"&amp;$F2436&amp;"|"&amp;$L2436&amp;"|"&amp;$P2436&amp;"|"&amp;TEXT($H2436,"yyyy-mm-dd"))</f>
        <v/>
      </c>
      <c r="T2436" s="1" t="str">
        <f aca="false">IF($S2436="","",IF(COUNTIF($S$2:$S$2991,$S2436)&gt;1,"DUPLICATE","OK"))</f>
        <v/>
      </c>
      <c r="U2436" s="0" t="str">
        <f aca="false">IF($L2436="","",IFERROR(VLOOKUP(--$L2436,MM_Income!$Z$5:$AC$204,3,FALSE()),"UNMAPPED"))</f>
        <v/>
      </c>
    </row>
    <row r="2437" customFormat="false" ht="13.5" hidden="false" customHeight="false" outlineLevel="0" collapsed="false">
      <c r="A2437" s="1" t="str">
        <f aca="false">IF($C2437="","",Controls!$B$7)</f>
        <v/>
      </c>
      <c r="B2437" s="1" t="str">
        <f aca="false">IF($H2437="","",YEAR($H2437)&amp;"-Q"&amp;ROUNDUP(MONTH($H2437)/3,0))</f>
        <v/>
      </c>
      <c r="S2437" s="1" t="str">
        <f aca="false">IF($C2437="","",$C2437&amp;"|"&amp;$E2437&amp;"|"&amp;$F2437&amp;"|"&amp;$L2437&amp;"|"&amp;$P2437&amp;"|"&amp;TEXT($H2437,"yyyy-mm-dd"))</f>
        <v/>
      </c>
      <c r="T2437" s="1" t="str">
        <f aca="false">IF($S2437="","",IF(COUNTIF($S$2:$S$2991,$S2437)&gt;1,"DUPLICATE","OK"))</f>
        <v/>
      </c>
      <c r="U2437" s="0" t="str">
        <f aca="false">IF($L2437="","",IFERROR(VLOOKUP(--$L2437,MM_Income!$Z$5:$AC$204,3,FALSE()),"UNMAPPED"))</f>
        <v/>
      </c>
    </row>
    <row r="2438" customFormat="false" ht="13.5" hidden="false" customHeight="false" outlineLevel="0" collapsed="false">
      <c r="A2438" s="1" t="str">
        <f aca="false">IF($C2438="","",Controls!$B$7)</f>
        <v/>
      </c>
      <c r="B2438" s="1" t="str">
        <f aca="false">IF($H2438="","",YEAR($H2438)&amp;"-Q"&amp;ROUNDUP(MONTH($H2438)/3,0))</f>
        <v/>
      </c>
      <c r="S2438" s="1" t="str">
        <f aca="false">IF($C2438="","",$C2438&amp;"|"&amp;$E2438&amp;"|"&amp;$F2438&amp;"|"&amp;$L2438&amp;"|"&amp;$P2438&amp;"|"&amp;TEXT($H2438,"yyyy-mm-dd"))</f>
        <v/>
      </c>
      <c r="T2438" s="1" t="str">
        <f aca="false">IF($S2438="","",IF(COUNTIF($S$2:$S$2991,$S2438)&gt;1,"DUPLICATE","OK"))</f>
        <v/>
      </c>
      <c r="U2438" s="0" t="str">
        <f aca="false">IF($L2438="","",IFERROR(VLOOKUP(--$L2438,MM_Income!$Z$5:$AC$204,3,FALSE()),"UNMAPPED"))</f>
        <v/>
      </c>
    </row>
    <row r="2439" customFormat="false" ht="13.5" hidden="false" customHeight="false" outlineLevel="0" collapsed="false">
      <c r="A2439" s="1" t="str">
        <f aca="false">IF($C2439="","",Controls!$B$7)</f>
        <v/>
      </c>
      <c r="B2439" s="1" t="str">
        <f aca="false">IF($H2439="","",YEAR($H2439)&amp;"-Q"&amp;ROUNDUP(MONTH($H2439)/3,0))</f>
        <v/>
      </c>
      <c r="S2439" s="1" t="str">
        <f aca="false">IF($C2439="","",$C2439&amp;"|"&amp;$E2439&amp;"|"&amp;$F2439&amp;"|"&amp;$L2439&amp;"|"&amp;$P2439&amp;"|"&amp;TEXT($H2439,"yyyy-mm-dd"))</f>
        <v/>
      </c>
      <c r="T2439" s="1" t="str">
        <f aca="false">IF($S2439="","",IF(COUNTIF($S$2:$S$2991,$S2439)&gt;1,"DUPLICATE","OK"))</f>
        <v/>
      </c>
      <c r="U2439" s="0" t="str">
        <f aca="false">IF($L2439="","",IFERROR(VLOOKUP(--$L2439,MM_Income!$Z$5:$AC$204,3,FALSE()),"UNMAPPED"))</f>
        <v/>
      </c>
    </row>
    <row r="2440" customFormat="false" ht="13.5" hidden="false" customHeight="false" outlineLevel="0" collapsed="false">
      <c r="A2440" s="1" t="str">
        <f aca="false">IF($C2440="","",Controls!$B$7)</f>
        <v/>
      </c>
      <c r="B2440" s="1" t="str">
        <f aca="false">IF($H2440="","",YEAR($H2440)&amp;"-Q"&amp;ROUNDUP(MONTH($H2440)/3,0))</f>
        <v/>
      </c>
      <c r="S2440" s="1" t="str">
        <f aca="false">IF($C2440="","",$C2440&amp;"|"&amp;$E2440&amp;"|"&amp;$F2440&amp;"|"&amp;$L2440&amp;"|"&amp;$P2440&amp;"|"&amp;TEXT($H2440,"yyyy-mm-dd"))</f>
        <v/>
      </c>
      <c r="T2440" s="1" t="str">
        <f aca="false">IF($S2440="","",IF(COUNTIF($S$2:$S$2991,$S2440)&gt;1,"DUPLICATE","OK"))</f>
        <v/>
      </c>
      <c r="U2440" s="0" t="str">
        <f aca="false">IF($L2440="","",IFERROR(VLOOKUP(--$L2440,MM_Income!$Z$5:$AC$204,3,FALSE()),"UNMAPPED"))</f>
        <v/>
      </c>
    </row>
    <row r="2441" customFormat="false" ht="13.5" hidden="false" customHeight="false" outlineLevel="0" collapsed="false">
      <c r="A2441" s="1" t="str">
        <f aca="false">IF($C2441="","",Controls!$B$7)</f>
        <v/>
      </c>
      <c r="B2441" s="1" t="str">
        <f aca="false">IF($H2441="","",YEAR($H2441)&amp;"-Q"&amp;ROUNDUP(MONTH($H2441)/3,0))</f>
        <v/>
      </c>
      <c r="S2441" s="1" t="str">
        <f aca="false">IF($C2441="","",$C2441&amp;"|"&amp;$E2441&amp;"|"&amp;$F2441&amp;"|"&amp;$L2441&amp;"|"&amp;$P2441&amp;"|"&amp;TEXT($H2441,"yyyy-mm-dd"))</f>
        <v/>
      </c>
      <c r="T2441" s="1" t="str">
        <f aca="false">IF($S2441="","",IF(COUNTIF($S$2:$S$2991,$S2441)&gt;1,"DUPLICATE","OK"))</f>
        <v/>
      </c>
      <c r="U2441" s="0" t="str">
        <f aca="false">IF($L2441="","",IFERROR(VLOOKUP(--$L2441,MM_Income!$Z$5:$AC$204,3,FALSE()),"UNMAPPED"))</f>
        <v/>
      </c>
    </row>
    <row r="2442" customFormat="false" ht="13.5" hidden="false" customHeight="false" outlineLevel="0" collapsed="false">
      <c r="A2442" s="1" t="str">
        <f aca="false">IF($C2442="","",Controls!$B$7)</f>
        <v/>
      </c>
      <c r="B2442" s="1" t="str">
        <f aca="false">IF($H2442="","",YEAR($H2442)&amp;"-Q"&amp;ROUNDUP(MONTH($H2442)/3,0))</f>
        <v/>
      </c>
      <c r="S2442" s="1" t="str">
        <f aca="false">IF($C2442="","",$C2442&amp;"|"&amp;$E2442&amp;"|"&amp;$F2442&amp;"|"&amp;$L2442&amp;"|"&amp;$P2442&amp;"|"&amp;TEXT($H2442,"yyyy-mm-dd"))</f>
        <v/>
      </c>
      <c r="T2442" s="1" t="str">
        <f aca="false">IF($S2442="","",IF(COUNTIF($S$2:$S$2991,$S2442)&gt;1,"DUPLICATE","OK"))</f>
        <v/>
      </c>
      <c r="U2442" s="0" t="str">
        <f aca="false">IF($L2442="","",IFERROR(VLOOKUP(--$L2442,MM_Income!$Z$5:$AC$204,3,FALSE()),"UNMAPPED"))</f>
        <v/>
      </c>
    </row>
    <row r="2443" customFormat="false" ht="13.5" hidden="false" customHeight="false" outlineLevel="0" collapsed="false">
      <c r="A2443" s="1" t="str">
        <f aca="false">IF($C2443="","",Controls!$B$7)</f>
        <v/>
      </c>
      <c r="B2443" s="1" t="str">
        <f aca="false">IF($H2443="","",YEAR($H2443)&amp;"-Q"&amp;ROUNDUP(MONTH($H2443)/3,0))</f>
        <v/>
      </c>
      <c r="S2443" s="1" t="str">
        <f aca="false">IF($C2443="","",$C2443&amp;"|"&amp;$E2443&amp;"|"&amp;$F2443&amp;"|"&amp;$L2443&amp;"|"&amp;$P2443&amp;"|"&amp;TEXT($H2443,"yyyy-mm-dd"))</f>
        <v/>
      </c>
      <c r="T2443" s="1" t="str">
        <f aca="false">IF($S2443="","",IF(COUNTIF($S$2:$S$2991,$S2443)&gt;1,"DUPLICATE","OK"))</f>
        <v/>
      </c>
      <c r="U2443" s="0" t="str">
        <f aca="false">IF($L2443="","",IFERROR(VLOOKUP(--$L2443,MM_Income!$Z$5:$AC$204,3,FALSE()),"UNMAPPED"))</f>
        <v/>
      </c>
    </row>
    <row r="2444" customFormat="false" ht="13.5" hidden="false" customHeight="false" outlineLevel="0" collapsed="false">
      <c r="A2444" s="1" t="str">
        <f aca="false">IF($C2444="","",Controls!$B$7)</f>
        <v/>
      </c>
      <c r="B2444" s="1" t="str">
        <f aca="false">IF($H2444="","",YEAR($H2444)&amp;"-Q"&amp;ROUNDUP(MONTH($H2444)/3,0))</f>
        <v/>
      </c>
      <c r="S2444" s="1" t="str">
        <f aca="false">IF($C2444="","",$C2444&amp;"|"&amp;$E2444&amp;"|"&amp;$F2444&amp;"|"&amp;$L2444&amp;"|"&amp;$P2444&amp;"|"&amp;TEXT($H2444,"yyyy-mm-dd"))</f>
        <v/>
      </c>
      <c r="T2444" s="1" t="str">
        <f aca="false">IF($S2444="","",IF(COUNTIF($S$2:$S$2991,$S2444)&gt;1,"DUPLICATE","OK"))</f>
        <v/>
      </c>
      <c r="U2444" s="0" t="str">
        <f aca="false">IF($L2444="","",IFERROR(VLOOKUP(--$L2444,MM_Income!$Z$5:$AC$204,3,FALSE()),"UNMAPPED"))</f>
        <v/>
      </c>
    </row>
    <row r="2445" customFormat="false" ht="13.5" hidden="false" customHeight="false" outlineLevel="0" collapsed="false">
      <c r="A2445" s="1" t="str">
        <f aca="false">IF($C2445="","",Controls!$B$7)</f>
        <v/>
      </c>
      <c r="B2445" s="1" t="str">
        <f aca="false">IF($H2445="","",YEAR($H2445)&amp;"-Q"&amp;ROUNDUP(MONTH($H2445)/3,0))</f>
        <v/>
      </c>
      <c r="S2445" s="1" t="str">
        <f aca="false">IF($C2445="","",$C2445&amp;"|"&amp;$E2445&amp;"|"&amp;$F2445&amp;"|"&amp;$L2445&amp;"|"&amp;$P2445&amp;"|"&amp;TEXT($H2445,"yyyy-mm-dd"))</f>
        <v/>
      </c>
      <c r="T2445" s="1" t="str">
        <f aca="false">IF($S2445="","",IF(COUNTIF($S$2:$S$2991,$S2445)&gt;1,"DUPLICATE","OK"))</f>
        <v/>
      </c>
      <c r="U2445" s="0" t="str">
        <f aca="false">IF($L2445="","",IFERROR(VLOOKUP(--$L2445,MM_Income!$Z$5:$AC$204,3,FALSE()),"UNMAPPED"))</f>
        <v/>
      </c>
    </row>
    <row r="2446" customFormat="false" ht="13.5" hidden="false" customHeight="false" outlineLevel="0" collapsed="false">
      <c r="A2446" s="1" t="str">
        <f aca="false">IF($C2446="","",Controls!$B$7)</f>
        <v/>
      </c>
      <c r="B2446" s="1" t="str">
        <f aca="false">IF($H2446="","",YEAR($H2446)&amp;"-Q"&amp;ROUNDUP(MONTH($H2446)/3,0))</f>
        <v/>
      </c>
      <c r="S2446" s="1" t="str">
        <f aca="false">IF($C2446="","",$C2446&amp;"|"&amp;$E2446&amp;"|"&amp;$F2446&amp;"|"&amp;$L2446&amp;"|"&amp;$P2446&amp;"|"&amp;TEXT($H2446,"yyyy-mm-dd"))</f>
        <v/>
      </c>
      <c r="T2446" s="1" t="str">
        <f aca="false">IF($S2446="","",IF(COUNTIF($S$2:$S$2991,$S2446)&gt;1,"DUPLICATE","OK"))</f>
        <v/>
      </c>
      <c r="U2446" s="0" t="str">
        <f aca="false">IF($L2446="","",IFERROR(VLOOKUP(--$L2446,MM_Income!$Z$5:$AC$204,3,FALSE()),"UNMAPPED"))</f>
        <v/>
      </c>
    </row>
    <row r="2447" customFormat="false" ht="13.5" hidden="false" customHeight="false" outlineLevel="0" collapsed="false">
      <c r="A2447" s="1" t="str">
        <f aca="false">IF($C2447="","",Controls!$B$7)</f>
        <v/>
      </c>
      <c r="B2447" s="1" t="str">
        <f aca="false">IF($H2447="","",YEAR($H2447)&amp;"-Q"&amp;ROUNDUP(MONTH($H2447)/3,0))</f>
        <v/>
      </c>
      <c r="S2447" s="1" t="str">
        <f aca="false">IF($C2447="","",$C2447&amp;"|"&amp;$E2447&amp;"|"&amp;$F2447&amp;"|"&amp;$L2447&amp;"|"&amp;$P2447&amp;"|"&amp;TEXT($H2447,"yyyy-mm-dd"))</f>
        <v/>
      </c>
      <c r="T2447" s="1" t="str">
        <f aca="false">IF($S2447="","",IF(COUNTIF($S$2:$S$2991,$S2447)&gt;1,"DUPLICATE","OK"))</f>
        <v/>
      </c>
      <c r="U2447" s="0" t="str">
        <f aca="false">IF($L2447="","",IFERROR(VLOOKUP(--$L2447,MM_Income!$Z$5:$AC$204,3,FALSE()),"UNMAPPED"))</f>
        <v/>
      </c>
    </row>
    <row r="2448" customFormat="false" ht="13.5" hidden="false" customHeight="false" outlineLevel="0" collapsed="false">
      <c r="A2448" s="1" t="str">
        <f aca="false">IF($C2448="","",Controls!$B$7)</f>
        <v/>
      </c>
      <c r="B2448" s="1" t="str">
        <f aca="false">IF($H2448="","",YEAR($H2448)&amp;"-Q"&amp;ROUNDUP(MONTH($H2448)/3,0))</f>
        <v/>
      </c>
      <c r="S2448" s="1" t="str">
        <f aca="false">IF($C2448="","",$C2448&amp;"|"&amp;$E2448&amp;"|"&amp;$F2448&amp;"|"&amp;$L2448&amp;"|"&amp;$P2448&amp;"|"&amp;TEXT($H2448,"yyyy-mm-dd"))</f>
        <v/>
      </c>
      <c r="T2448" s="1" t="str">
        <f aca="false">IF($S2448="","",IF(COUNTIF($S$2:$S$2991,$S2448)&gt;1,"DUPLICATE","OK"))</f>
        <v/>
      </c>
      <c r="U2448" s="0" t="str">
        <f aca="false">IF($L2448="","",IFERROR(VLOOKUP(--$L2448,MM_Income!$Z$5:$AC$204,3,FALSE()),"UNMAPPED"))</f>
        <v/>
      </c>
    </row>
    <row r="2449" customFormat="false" ht="13.5" hidden="false" customHeight="false" outlineLevel="0" collapsed="false">
      <c r="A2449" s="1" t="str">
        <f aca="false">IF($C2449="","",Controls!$B$7)</f>
        <v/>
      </c>
      <c r="B2449" s="1" t="str">
        <f aca="false">IF($H2449="","",YEAR($H2449)&amp;"-Q"&amp;ROUNDUP(MONTH($H2449)/3,0))</f>
        <v/>
      </c>
      <c r="S2449" s="1" t="str">
        <f aca="false">IF($C2449="","",$C2449&amp;"|"&amp;$E2449&amp;"|"&amp;$F2449&amp;"|"&amp;$L2449&amp;"|"&amp;$P2449&amp;"|"&amp;TEXT($H2449,"yyyy-mm-dd"))</f>
        <v/>
      </c>
      <c r="T2449" s="1" t="str">
        <f aca="false">IF($S2449="","",IF(COUNTIF($S$2:$S$2991,$S2449)&gt;1,"DUPLICATE","OK"))</f>
        <v/>
      </c>
      <c r="U2449" s="0" t="str">
        <f aca="false">IF($L2449="","",IFERROR(VLOOKUP(--$L2449,MM_Income!$Z$5:$AC$204,3,FALSE()),"UNMAPPED"))</f>
        <v/>
      </c>
    </row>
    <row r="2450" customFormat="false" ht="13.5" hidden="false" customHeight="false" outlineLevel="0" collapsed="false">
      <c r="A2450" s="1" t="str">
        <f aca="false">IF($C2450="","",Controls!$B$7)</f>
        <v/>
      </c>
      <c r="B2450" s="1" t="str">
        <f aca="false">IF($H2450="","",YEAR($H2450)&amp;"-Q"&amp;ROUNDUP(MONTH($H2450)/3,0))</f>
        <v/>
      </c>
      <c r="S2450" s="1" t="str">
        <f aca="false">IF($C2450="","",$C2450&amp;"|"&amp;$E2450&amp;"|"&amp;$F2450&amp;"|"&amp;$L2450&amp;"|"&amp;$P2450&amp;"|"&amp;TEXT($H2450,"yyyy-mm-dd"))</f>
        <v/>
      </c>
      <c r="T2450" s="1" t="str">
        <f aca="false">IF($S2450="","",IF(COUNTIF($S$2:$S$2991,$S2450)&gt;1,"DUPLICATE","OK"))</f>
        <v/>
      </c>
      <c r="U2450" s="0" t="str">
        <f aca="false">IF($L2450="","",IFERROR(VLOOKUP(--$L2450,MM_Income!$Z$5:$AC$204,3,FALSE()),"UNMAPPED"))</f>
        <v/>
      </c>
    </row>
    <row r="2451" customFormat="false" ht="13.5" hidden="false" customHeight="false" outlineLevel="0" collapsed="false">
      <c r="A2451" s="1" t="str">
        <f aca="false">IF($C2451="","",Controls!$B$7)</f>
        <v/>
      </c>
      <c r="B2451" s="1" t="str">
        <f aca="false">IF($H2451="","",YEAR($H2451)&amp;"-Q"&amp;ROUNDUP(MONTH($H2451)/3,0))</f>
        <v/>
      </c>
      <c r="S2451" s="1" t="str">
        <f aca="false">IF($C2451="","",$C2451&amp;"|"&amp;$E2451&amp;"|"&amp;$F2451&amp;"|"&amp;$L2451&amp;"|"&amp;$P2451&amp;"|"&amp;TEXT($H2451,"yyyy-mm-dd"))</f>
        <v/>
      </c>
      <c r="T2451" s="1" t="str">
        <f aca="false">IF($S2451="","",IF(COUNTIF($S$2:$S$2991,$S2451)&gt;1,"DUPLICATE","OK"))</f>
        <v/>
      </c>
      <c r="U2451" s="0" t="str">
        <f aca="false">IF($L2451="","",IFERROR(VLOOKUP(--$L2451,MM_Income!$Z$5:$AC$204,3,FALSE()),"UNMAPPED"))</f>
        <v/>
      </c>
    </row>
    <row r="2452" customFormat="false" ht="13.5" hidden="false" customHeight="false" outlineLevel="0" collapsed="false">
      <c r="A2452" s="1" t="str">
        <f aca="false">IF($C2452="","",Controls!$B$7)</f>
        <v/>
      </c>
      <c r="B2452" s="1" t="str">
        <f aca="false">IF($H2452="","",YEAR($H2452)&amp;"-Q"&amp;ROUNDUP(MONTH($H2452)/3,0))</f>
        <v/>
      </c>
      <c r="S2452" s="1" t="str">
        <f aca="false">IF($C2452="","",$C2452&amp;"|"&amp;$E2452&amp;"|"&amp;$F2452&amp;"|"&amp;$L2452&amp;"|"&amp;$P2452&amp;"|"&amp;TEXT($H2452,"yyyy-mm-dd"))</f>
        <v/>
      </c>
      <c r="T2452" s="1" t="str">
        <f aca="false">IF($S2452="","",IF(COUNTIF($S$2:$S$2991,$S2452)&gt;1,"DUPLICATE","OK"))</f>
        <v/>
      </c>
      <c r="U2452" s="0" t="str">
        <f aca="false">IF($L2452="","",IFERROR(VLOOKUP(--$L2452,MM_Income!$Z$5:$AC$204,3,FALSE()),"UNMAPPED"))</f>
        <v/>
      </c>
    </row>
    <row r="2453" customFormat="false" ht="13.5" hidden="false" customHeight="false" outlineLevel="0" collapsed="false">
      <c r="A2453" s="1" t="str">
        <f aca="false">IF($C2453="","",Controls!$B$7)</f>
        <v/>
      </c>
      <c r="B2453" s="1" t="str">
        <f aca="false">IF($H2453="","",YEAR($H2453)&amp;"-Q"&amp;ROUNDUP(MONTH($H2453)/3,0))</f>
        <v/>
      </c>
      <c r="S2453" s="1" t="str">
        <f aca="false">IF($C2453="","",$C2453&amp;"|"&amp;$E2453&amp;"|"&amp;$F2453&amp;"|"&amp;$L2453&amp;"|"&amp;$P2453&amp;"|"&amp;TEXT($H2453,"yyyy-mm-dd"))</f>
        <v/>
      </c>
      <c r="T2453" s="1" t="str">
        <f aca="false">IF($S2453="","",IF(COUNTIF($S$2:$S$2991,$S2453)&gt;1,"DUPLICATE","OK"))</f>
        <v/>
      </c>
      <c r="U2453" s="0" t="str">
        <f aca="false">IF($L2453="","",IFERROR(VLOOKUP(--$L2453,MM_Income!$Z$5:$AC$204,3,FALSE()),"UNMAPPED"))</f>
        <v/>
      </c>
    </row>
    <row r="2454" customFormat="false" ht="13.5" hidden="false" customHeight="false" outlineLevel="0" collapsed="false">
      <c r="A2454" s="1" t="str">
        <f aca="false">IF($C2454="","",Controls!$B$7)</f>
        <v/>
      </c>
      <c r="B2454" s="1" t="str">
        <f aca="false">IF($H2454="","",YEAR($H2454)&amp;"-Q"&amp;ROUNDUP(MONTH($H2454)/3,0))</f>
        <v/>
      </c>
      <c r="S2454" s="1" t="str">
        <f aca="false">IF($C2454="","",$C2454&amp;"|"&amp;$E2454&amp;"|"&amp;$F2454&amp;"|"&amp;$L2454&amp;"|"&amp;$P2454&amp;"|"&amp;TEXT($H2454,"yyyy-mm-dd"))</f>
        <v/>
      </c>
      <c r="T2454" s="1" t="str">
        <f aca="false">IF($S2454="","",IF(COUNTIF($S$2:$S$2991,$S2454)&gt;1,"DUPLICATE","OK"))</f>
        <v/>
      </c>
      <c r="U2454" s="0" t="str">
        <f aca="false">IF($L2454="","",IFERROR(VLOOKUP(--$L2454,MM_Income!$Z$5:$AC$204,3,FALSE()),"UNMAPPED"))</f>
        <v/>
      </c>
    </row>
    <row r="2455" customFormat="false" ht="13.5" hidden="false" customHeight="false" outlineLevel="0" collapsed="false">
      <c r="A2455" s="1" t="str">
        <f aca="false">IF($C2455="","",Controls!$B$7)</f>
        <v/>
      </c>
      <c r="B2455" s="1" t="str">
        <f aca="false">IF($H2455="","",YEAR($H2455)&amp;"-Q"&amp;ROUNDUP(MONTH($H2455)/3,0))</f>
        <v/>
      </c>
      <c r="S2455" s="1" t="str">
        <f aca="false">IF($C2455="","",$C2455&amp;"|"&amp;$E2455&amp;"|"&amp;$F2455&amp;"|"&amp;$L2455&amp;"|"&amp;$P2455&amp;"|"&amp;TEXT($H2455,"yyyy-mm-dd"))</f>
        <v/>
      </c>
      <c r="T2455" s="1" t="str">
        <f aca="false">IF($S2455="","",IF(COUNTIF($S$2:$S$2991,$S2455)&gt;1,"DUPLICATE","OK"))</f>
        <v/>
      </c>
      <c r="U2455" s="0" t="str">
        <f aca="false">IF($L2455="","",IFERROR(VLOOKUP(--$L2455,MM_Income!$Z$5:$AC$204,3,FALSE()),"UNMAPPED"))</f>
        <v/>
      </c>
    </row>
    <row r="2456" customFormat="false" ht="13.5" hidden="false" customHeight="false" outlineLevel="0" collapsed="false">
      <c r="A2456" s="1" t="str">
        <f aca="false">IF($C2456="","",Controls!$B$7)</f>
        <v/>
      </c>
      <c r="B2456" s="1" t="str">
        <f aca="false">IF($H2456="","",YEAR($H2456)&amp;"-Q"&amp;ROUNDUP(MONTH($H2456)/3,0))</f>
        <v/>
      </c>
      <c r="S2456" s="1" t="str">
        <f aca="false">IF($C2456="","",$C2456&amp;"|"&amp;$E2456&amp;"|"&amp;$F2456&amp;"|"&amp;$L2456&amp;"|"&amp;$P2456&amp;"|"&amp;TEXT($H2456,"yyyy-mm-dd"))</f>
        <v/>
      </c>
      <c r="T2456" s="1" t="str">
        <f aca="false">IF($S2456="","",IF(COUNTIF($S$2:$S$2991,$S2456)&gt;1,"DUPLICATE","OK"))</f>
        <v/>
      </c>
      <c r="U2456" s="0" t="str">
        <f aca="false">IF($L2456="","",IFERROR(VLOOKUP(--$L2456,MM_Income!$Z$5:$AC$204,3,FALSE()),"UNMAPPED"))</f>
        <v/>
      </c>
    </row>
    <row r="2457" customFormat="false" ht="13.5" hidden="false" customHeight="false" outlineLevel="0" collapsed="false">
      <c r="A2457" s="1" t="str">
        <f aca="false">IF($C2457="","",Controls!$B$7)</f>
        <v/>
      </c>
      <c r="B2457" s="1" t="str">
        <f aca="false">IF($H2457="","",YEAR($H2457)&amp;"-Q"&amp;ROUNDUP(MONTH($H2457)/3,0))</f>
        <v/>
      </c>
      <c r="S2457" s="1" t="str">
        <f aca="false">IF($C2457="","",$C2457&amp;"|"&amp;$E2457&amp;"|"&amp;$F2457&amp;"|"&amp;$L2457&amp;"|"&amp;$P2457&amp;"|"&amp;TEXT($H2457,"yyyy-mm-dd"))</f>
        <v/>
      </c>
      <c r="T2457" s="1" t="str">
        <f aca="false">IF($S2457="","",IF(COUNTIF($S$2:$S$2991,$S2457)&gt;1,"DUPLICATE","OK"))</f>
        <v/>
      </c>
      <c r="U2457" s="0" t="str">
        <f aca="false">IF($L2457="","",IFERROR(VLOOKUP(--$L2457,MM_Income!$Z$5:$AC$204,3,FALSE()),"UNMAPPED"))</f>
        <v/>
      </c>
    </row>
    <row r="2458" customFormat="false" ht="13.5" hidden="false" customHeight="false" outlineLevel="0" collapsed="false">
      <c r="A2458" s="1" t="str">
        <f aca="false">IF($C2458="","",Controls!$B$7)</f>
        <v/>
      </c>
      <c r="B2458" s="1" t="str">
        <f aca="false">IF($H2458="","",YEAR($H2458)&amp;"-Q"&amp;ROUNDUP(MONTH($H2458)/3,0))</f>
        <v/>
      </c>
      <c r="S2458" s="1" t="str">
        <f aca="false">IF($C2458="","",$C2458&amp;"|"&amp;$E2458&amp;"|"&amp;$F2458&amp;"|"&amp;$L2458&amp;"|"&amp;$P2458&amp;"|"&amp;TEXT($H2458,"yyyy-mm-dd"))</f>
        <v/>
      </c>
      <c r="T2458" s="1" t="str">
        <f aca="false">IF($S2458="","",IF(COUNTIF($S$2:$S$2991,$S2458)&gt;1,"DUPLICATE","OK"))</f>
        <v/>
      </c>
      <c r="U2458" s="0" t="str">
        <f aca="false">IF($L2458="","",IFERROR(VLOOKUP(--$L2458,MM_Income!$Z$5:$AC$204,3,FALSE()),"UNMAPPED"))</f>
        <v/>
      </c>
    </row>
    <row r="2459" customFormat="false" ht="13.5" hidden="false" customHeight="false" outlineLevel="0" collapsed="false">
      <c r="A2459" s="1" t="str">
        <f aca="false">IF($C2459="","",Controls!$B$7)</f>
        <v/>
      </c>
      <c r="B2459" s="1" t="str">
        <f aca="false">IF($H2459="","",YEAR($H2459)&amp;"-Q"&amp;ROUNDUP(MONTH($H2459)/3,0))</f>
        <v/>
      </c>
      <c r="S2459" s="1" t="str">
        <f aca="false">IF($C2459="","",$C2459&amp;"|"&amp;$E2459&amp;"|"&amp;$F2459&amp;"|"&amp;$L2459&amp;"|"&amp;$P2459&amp;"|"&amp;TEXT($H2459,"yyyy-mm-dd"))</f>
        <v/>
      </c>
      <c r="T2459" s="1" t="str">
        <f aca="false">IF($S2459="","",IF(COUNTIF($S$2:$S$2991,$S2459)&gt;1,"DUPLICATE","OK"))</f>
        <v/>
      </c>
      <c r="U2459" s="0" t="str">
        <f aca="false">IF($L2459="","",IFERROR(VLOOKUP(--$L2459,MM_Income!$Z$5:$AC$204,3,FALSE()),"UNMAPPED"))</f>
        <v/>
      </c>
    </row>
    <row r="2460" customFormat="false" ht="13.5" hidden="false" customHeight="false" outlineLevel="0" collapsed="false">
      <c r="A2460" s="1" t="str">
        <f aca="false">IF($C2460="","",Controls!$B$7)</f>
        <v/>
      </c>
      <c r="B2460" s="1" t="str">
        <f aca="false">IF($H2460="","",YEAR($H2460)&amp;"-Q"&amp;ROUNDUP(MONTH($H2460)/3,0))</f>
        <v/>
      </c>
      <c r="S2460" s="1" t="str">
        <f aca="false">IF($C2460="","",$C2460&amp;"|"&amp;$E2460&amp;"|"&amp;$F2460&amp;"|"&amp;$L2460&amp;"|"&amp;$P2460&amp;"|"&amp;TEXT($H2460,"yyyy-mm-dd"))</f>
        <v/>
      </c>
      <c r="T2460" s="1" t="str">
        <f aca="false">IF($S2460="","",IF(COUNTIF($S$2:$S$2991,$S2460)&gt;1,"DUPLICATE","OK"))</f>
        <v/>
      </c>
      <c r="U2460" s="0" t="str">
        <f aca="false">IF($L2460="","",IFERROR(VLOOKUP(--$L2460,MM_Income!$Z$5:$AC$204,3,FALSE()),"UNMAPPED"))</f>
        <v/>
      </c>
    </row>
    <row r="2461" customFormat="false" ht="13.5" hidden="false" customHeight="false" outlineLevel="0" collapsed="false">
      <c r="A2461" s="1" t="str">
        <f aca="false">IF($C2461="","",Controls!$B$7)</f>
        <v/>
      </c>
      <c r="B2461" s="1" t="str">
        <f aca="false">IF($H2461="","",YEAR($H2461)&amp;"-Q"&amp;ROUNDUP(MONTH($H2461)/3,0))</f>
        <v/>
      </c>
      <c r="S2461" s="1" t="str">
        <f aca="false">IF($C2461="","",$C2461&amp;"|"&amp;$E2461&amp;"|"&amp;$F2461&amp;"|"&amp;$L2461&amp;"|"&amp;$P2461&amp;"|"&amp;TEXT($H2461,"yyyy-mm-dd"))</f>
        <v/>
      </c>
      <c r="T2461" s="1" t="str">
        <f aca="false">IF($S2461="","",IF(COUNTIF($S$2:$S$2991,$S2461)&gt;1,"DUPLICATE","OK"))</f>
        <v/>
      </c>
      <c r="U2461" s="0" t="str">
        <f aca="false">IF($L2461="","",IFERROR(VLOOKUP(--$L2461,MM_Income!$Z$5:$AC$204,3,FALSE()),"UNMAPPED"))</f>
        <v/>
      </c>
    </row>
    <row r="2462" customFormat="false" ht="13.5" hidden="false" customHeight="false" outlineLevel="0" collapsed="false">
      <c r="A2462" s="1" t="str">
        <f aca="false">IF($C2462="","",Controls!$B$7)</f>
        <v/>
      </c>
      <c r="B2462" s="1" t="str">
        <f aca="false">IF($H2462="","",YEAR($H2462)&amp;"-Q"&amp;ROUNDUP(MONTH($H2462)/3,0))</f>
        <v/>
      </c>
      <c r="S2462" s="1" t="str">
        <f aca="false">IF($C2462="","",$C2462&amp;"|"&amp;$E2462&amp;"|"&amp;$F2462&amp;"|"&amp;$L2462&amp;"|"&amp;$P2462&amp;"|"&amp;TEXT($H2462,"yyyy-mm-dd"))</f>
        <v/>
      </c>
      <c r="T2462" s="1" t="str">
        <f aca="false">IF($S2462="","",IF(COUNTIF($S$2:$S$2991,$S2462)&gt;1,"DUPLICATE","OK"))</f>
        <v/>
      </c>
      <c r="U2462" s="0" t="str">
        <f aca="false">IF($L2462="","",IFERROR(VLOOKUP(--$L2462,MM_Income!$Z$5:$AC$204,3,FALSE()),"UNMAPPED"))</f>
        <v/>
      </c>
    </row>
    <row r="2463" customFormat="false" ht="13.5" hidden="false" customHeight="false" outlineLevel="0" collapsed="false">
      <c r="A2463" s="1" t="str">
        <f aca="false">IF($C2463="","",Controls!$B$7)</f>
        <v/>
      </c>
      <c r="B2463" s="1" t="str">
        <f aca="false">IF($H2463="","",YEAR($H2463)&amp;"-Q"&amp;ROUNDUP(MONTH($H2463)/3,0))</f>
        <v/>
      </c>
      <c r="S2463" s="1" t="str">
        <f aca="false">IF($C2463="","",$C2463&amp;"|"&amp;$E2463&amp;"|"&amp;$F2463&amp;"|"&amp;$L2463&amp;"|"&amp;$P2463&amp;"|"&amp;TEXT($H2463,"yyyy-mm-dd"))</f>
        <v/>
      </c>
      <c r="T2463" s="1" t="str">
        <f aca="false">IF($S2463="","",IF(COUNTIF($S$2:$S$2991,$S2463)&gt;1,"DUPLICATE","OK"))</f>
        <v/>
      </c>
      <c r="U2463" s="0" t="str">
        <f aca="false">IF($L2463="","",IFERROR(VLOOKUP(--$L2463,MM_Income!$Z$5:$AC$204,3,FALSE()),"UNMAPPED"))</f>
        <v/>
      </c>
    </row>
    <row r="2464" customFormat="false" ht="13.5" hidden="false" customHeight="false" outlineLevel="0" collapsed="false">
      <c r="A2464" s="1" t="str">
        <f aca="false">IF($C2464="","",Controls!$B$7)</f>
        <v/>
      </c>
      <c r="B2464" s="1" t="str">
        <f aca="false">IF($H2464="","",YEAR($H2464)&amp;"-Q"&amp;ROUNDUP(MONTH($H2464)/3,0))</f>
        <v/>
      </c>
      <c r="S2464" s="1" t="str">
        <f aca="false">IF($C2464="","",$C2464&amp;"|"&amp;$E2464&amp;"|"&amp;$F2464&amp;"|"&amp;$L2464&amp;"|"&amp;$P2464&amp;"|"&amp;TEXT($H2464,"yyyy-mm-dd"))</f>
        <v/>
      </c>
      <c r="T2464" s="1" t="str">
        <f aca="false">IF($S2464="","",IF(COUNTIF($S$2:$S$2991,$S2464)&gt;1,"DUPLICATE","OK"))</f>
        <v/>
      </c>
      <c r="U2464" s="0" t="str">
        <f aca="false">IF($L2464="","",IFERROR(VLOOKUP(--$L2464,MM_Income!$Z$5:$AC$204,3,FALSE()),"UNMAPPED"))</f>
        <v/>
      </c>
    </row>
    <row r="2465" customFormat="false" ht="13.5" hidden="false" customHeight="false" outlineLevel="0" collapsed="false">
      <c r="A2465" s="1" t="str">
        <f aca="false">IF($C2465="","",Controls!$B$7)</f>
        <v/>
      </c>
      <c r="B2465" s="1" t="str">
        <f aca="false">IF($H2465="","",YEAR($H2465)&amp;"-Q"&amp;ROUNDUP(MONTH($H2465)/3,0))</f>
        <v/>
      </c>
      <c r="S2465" s="1" t="str">
        <f aca="false">IF($C2465="","",$C2465&amp;"|"&amp;$E2465&amp;"|"&amp;$F2465&amp;"|"&amp;$L2465&amp;"|"&amp;$P2465&amp;"|"&amp;TEXT($H2465,"yyyy-mm-dd"))</f>
        <v/>
      </c>
      <c r="T2465" s="1" t="str">
        <f aca="false">IF($S2465="","",IF(COUNTIF($S$2:$S$2991,$S2465)&gt;1,"DUPLICATE","OK"))</f>
        <v/>
      </c>
      <c r="U2465" s="0" t="str">
        <f aca="false">IF($L2465="","",IFERROR(VLOOKUP(--$L2465,MM_Income!$Z$5:$AC$204,3,FALSE()),"UNMAPPED"))</f>
        <v/>
      </c>
    </row>
    <row r="2466" customFormat="false" ht="13.5" hidden="false" customHeight="false" outlineLevel="0" collapsed="false">
      <c r="A2466" s="1" t="str">
        <f aca="false">IF($C2466="","",Controls!$B$7)</f>
        <v/>
      </c>
      <c r="B2466" s="1" t="str">
        <f aca="false">IF($H2466="","",YEAR($H2466)&amp;"-Q"&amp;ROUNDUP(MONTH($H2466)/3,0))</f>
        <v/>
      </c>
      <c r="S2466" s="1" t="str">
        <f aca="false">IF($C2466="","",$C2466&amp;"|"&amp;$E2466&amp;"|"&amp;$F2466&amp;"|"&amp;$L2466&amp;"|"&amp;$P2466&amp;"|"&amp;TEXT($H2466,"yyyy-mm-dd"))</f>
        <v/>
      </c>
      <c r="T2466" s="1" t="str">
        <f aca="false">IF($S2466="","",IF(COUNTIF($S$2:$S$2991,$S2466)&gt;1,"DUPLICATE","OK"))</f>
        <v/>
      </c>
      <c r="U2466" s="0" t="str">
        <f aca="false">IF($L2466="","",IFERROR(VLOOKUP(--$L2466,MM_Income!$Z$5:$AC$204,3,FALSE()),"UNMAPPED"))</f>
        <v/>
      </c>
    </row>
    <row r="2467" customFormat="false" ht="13.5" hidden="false" customHeight="false" outlineLevel="0" collapsed="false">
      <c r="A2467" s="1" t="str">
        <f aca="false">IF($C2467="","",Controls!$B$7)</f>
        <v/>
      </c>
      <c r="B2467" s="1" t="str">
        <f aca="false">IF($H2467="","",YEAR($H2467)&amp;"-Q"&amp;ROUNDUP(MONTH($H2467)/3,0))</f>
        <v/>
      </c>
      <c r="S2467" s="1" t="str">
        <f aca="false">IF($C2467="","",$C2467&amp;"|"&amp;$E2467&amp;"|"&amp;$F2467&amp;"|"&amp;$L2467&amp;"|"&amp;$P2467&amp;"|"&amp;TEXT($H2467,"yyyy-mm-dd"))</f>
        <v/>
      </c>
      <c r="T2467" s="1" t="str">
        <f aca="false">IF($S2467="","",IF(COUNTIF($S$2:$S$2991,$S2467)&gt;1,"DUPLICATE","OK"))</f>
        <v/>
      </c>
      <c r="U2467" s="0" t="str">
        <f aca="false">IF($L2467="","",IFERROR(VLOOKUP(--$L2467,MM_Income!$Z$5:$AC$204,3,FALSE()),"UNMAPPED"))</f>
        <v/>
      </c>
    </row>
    <row r="2468" customFormat="false" ht="13.5" hidden="false" customHeight="false" outlineLevel="0" collapsed="false">
      <c r="A2468" s="1" t="str">
        <f aca="false">IF($C2468="","",Controls!$B$7)</f>
        <v/>
      </c>
      <c r="B2468" s="1" t="str">
        <f aca="false">IF($H2468="","",YEAR($H2468)&amp;"-Q"&amp;ROUNDUP(MONTH($H2468)/3,0))</f>
        <v/>
      </c>
      <c r="S2468" s="1" t="str">
        <f aca="false">IF($C2468="","",$C2468&amp;"|"&amp;$E2468&amp;"|"&amp;$F2468&amp;"|"&amp;$L2468&amp;"|"&amp;$P2468&amp;"|"&amp;TEXT($H2468,"yyyy-mm-dd"))</f>
        <v/>
      </c>
      <c r="T2468" s="1" t="str">
        <f aca="false">IF($S2468="","",IF(COUNTIF($S$2:$S$2991,$S2468)&gt;1,"DUPLICATE","OK"))</f>
        <v/>
      </c>
      <c r="U2468" s="0" t="str">
        <f aca="false">IF($L2468="","",IFERROR(VLOOKUP(--$L2468,MM_Income!$Z$5:$AC$204,3,FALSE()),"UNMAPPED"))</f>
        <v/>
      </c>
    </row>
    <row r="2469" customFormat="false" ht="13.5" hidden="false" customHeight="false" outlineLevel="0" collapsed="false">
      <c r="A2469" s="1" t="str">
        <f aca="false">IF($C2469="","",Controls!$B$7)</f>
        <v/>
      </c>
      <c r="B2469" s="1" t="str">
        <f aca="false">IF($H2469="","",YEAR($H2469)&amp;"-Q"&amp;ROUNDUP(MONTH($H2469)/3,0))</f>
        <v/>
      </c>
      <c r="S2469" s="1" t="str">
        <f aca="false">IF($C2469="","",$C2469&amp;"|"&amp;$E2469&amp;"|"&amp;$F2469&amp;"|"&amp;$L2469&amp;"|"&amp;$P2469&amp;"|"&amp;TEXT($H2469,"yyyy-mm-dd"))</f>
        <v/>
      </c>
      <c r="T2469" s="1" t="str">
        <f aca="false">IF($S2469="","",IF(COUNTIF($S$2:$S$2991,$S2469)&gt;1,"DUPLICATE","OK"))</f>
        <v/>
      </c>
      <c r="U2469" s="0" t="str">
        <f aca="false">IF($L2469="","",IFERROR(VLOOKUP(--$L2469,MM_Income!$Z$5:$AC$204,3,FALSE()),"UNMAPPED"))</f>
        <v/>
      </c>
    </row>
    <row r="2470" customFormat="false" ht="13.5" hidden="false" customHeight="false" outlineLevel="0" collapsed="false">
      <c r="A2470" s="1" t="str">
        <f aca="false">IF($C2470="","",Controls!$B$7)</f>
        <v/>
      </c>
      <c r="B2470" s="1" t="str">
        <f aca="false">IF($H2470="","",YEAR($H2470)&amp;"-Q"&amp;ROUNDUP(MONTH($H2470)/3,0))</f>
        <v/>
      </c>
      <c r="S2470" s="1" t="str">
        <f aca="false">IF($C2470="","",$C2470&amp;"|"&amp;$E2470&amp;"|"&amp;$F2470&amp;"|"&amp;$L2470&amp;"|"&amp;$P2470&amp;"|"&amp;TEXT($H2470,"yyyy-mm-dd"))</f>
        <v/>
      </c>
      <c r="T2470" s="1" t="str">
        <f aca="false">IF($S2470="","",IF(COUNTIF($S$2:$S$2991,$S2470)&gt;1,"DUPLICATE","OK"))</f>
        <v/>
      </c>
      <c r="U2470" s="0" t="str">
        <f aca="false">IF($L2470="","",IFERROR(VLOOKUP(--$L2470,MM_Income!$Z$5:$AC$204,3,FALSE()),"UNMAPPED"))</f>
        <v/>
      </c>
    </row>
    <row r="2471" customFormat="false" ht="13.5" hidden="false" customHeight="false" outlineLevel="0" collapsed="false">
      <c r="A2471" s="1" t="str">
        <f aca="false">IF($C2471="","",Controls!$B$7)</f>
        <v/>
      </c>
      <c r="B2471" s="1" t="str">
        <f aca="false">IF($H2471="","",YEAR($H2471)&amp;"-Q"&amp;ROUNDUP(MONTH($H2471)/3,0))</f>
        <v/>
      </c>
      <c r="S2471" s="1" t="str">
        <f aca="false">IF($C2471="","",$C2471&amp;"|"&amp;$E2471&amp;"|"&amp;$F2471&amp;"|"&amp;$L2471&amp;"|"&amp;$P2471&amp;"|"&amp;TEXT($H2471,"yyyy-mm-dd"))</f>
        <v/>
      </c>
      <c r="T2471" s="1" t="str">
        <f aca="false">IF($S2471="","",IF(COUNTIF($S$2:$S$2991,$S2471)&gt;1,"DUPLICATE","OK"))</f>
        <v/>
      </c>
      <c r="U2471" s="0" t="str">
        <f aca="false">IF($L2471="","",IFERROR(VLOOKUP(--$L2471,MM_Income!$Z$5:$AC$204,3,FALSE()),"UNMAPPED"))</f>
        <v/>
      </c>
    </row>
    <row r="2472" customFormat="false" ht="13.5" hidden="false" customHeight="false" outlineLevel="0" collapsed="false">
      <c r="A2472" s="1" t="str">
        <f aca="false">IF($C2472="","",Controls!$B$7)</f>
        <v/>
      </c>
      <c r="B2472" s="1" t="str">
        <f aca="false">IF($H2472="","",YEAR($H2472)&amp;"-Q"&amp;ROUNDUP(MONTH($H2472)/3,0))</f>
        <v/>
      </c>
      <c r="S2472" s="1" t="str">
        <f aca="false">IF($C2472="","",$C2472&amp;"|"&amp;$E2472&amp;"|"&amp;$F2472&amp;"|"&amp;$L2472&amp;"|"&amp;$P2472&amp;"|"&amp;TEXT($H2472,"yyyy-mm-dd"))</f>
        <v/>
      </c>
      <c r="T2472" s="1" t="str">
        <f aca="false">IF($S2472="","",IF(COUNTIF($S$2:$S$2991,$S2472)&gt;1,"DUPLICATE","OK"))</f>
        <v/>
      </c>
      <c r="U2472" s="0" t="str">
        <f aca="false">IF($L2472="","",IFERROR(VLOOKUP(--$L2472,MM_Income!$Z$5:$AC$204,3,FALSE()),"UNMAPPED"))</f>
        <v/>
      </c>
    </row>
    <row r="2473" customFormat="false" ht="13.5" hidden="false" customHeight="false" outlineLevel="0" collapsed="false">
      <c r="A2473" s="1" t="str">
        <f aca="false">IF($C2473="","",Controls!$B$7)</f>
        <v/>
      </c>
      <c r="B2473" s="1" t="str">
        <f aca="false">IF($H2473="","",YEAR($H2473)&amp;"-Q"&amp;ROUNDUP(MONTH($H2473)/3,0))</f>
        <v/>
      </c>
      <c r="S2473" s="1" t="str">
        <f aca="false">IF($C2473="","",$C2473&amp;"|"&amp;$E2473&amp;"|"&amp;$F2473&amp;"|"&amp;$L2473&amp;"|"&amp;$P2473&amp;"|"&amp;TEXT($H2473,"yyyy-mm-dd"))</f>
        <v/>
      </c>
      <c r="T2473" s="1" t="str">
        <f aca="false">IF($S2473="","",IF(COUNTIF($S$2:$S$2991,$S2473)&gt;1,"DUPLICATE","OK"))</f>
        <v/>
      </c>
      <c r="U2473" s="0" t="str">
        <f aca="false">IF($L2473="","",IFERROR(VLOOKUP(--$L2473,MM_Income!$Z$5:$AC$204,3,FALSE()),"UNMAPPED"))</f>
        <v/>
      </c>
    </row>
    <row r="2474" customFormat="false" ht="13.5" hidden="false" customHeight="false" outlineLevel="0" collapsed="false">
      <c r="A2474" s="1" t="str">
        <f aca="false">IF($C2474="","",Controls!$B$7)</f>
        <v/>
      </c>
      <c r="B2474" s="1" t="str">
        <f aca="false">IF($H2474="","",YEAR($H2474)&amp;"-Q"&amp;ROUNDUP(MONTH($H2474)/3,0))</f>
        <v/>
      </c>
      <c r="S2474" s="1" t="str">
        <f aca="false">IF($C2474="","",$C2474&amp;"|"&amp;$E2474&amp;"|"&amp;$F2474&amp;"|"&amp;$L2474&amp;"|"&amp;$P2474&amp;"|"&amp;TEXT($H2474,"yyyy-mm-dd"))</f>
        <v/>
      </c>
      <c r="T2474" s="1" t="str">
        <f aca="false">IF($S2474="","",IF(COUNTIF($S$2:$S$2991,$S2474)&gt;1,"DUPLICATE","OK"))</f>
        <v/>
      </c>
      <c r="U2474" s="0" t="str">
        <f aca="false">IF($L2474="","",IFERROR(VLOOKUP(--$L2474,MM_Income!$Z$5:$AC$204,3,FALSE()),"UNMAPPED"))</f>
        <v/>
      </c>
    </row>
    <row r="2475" customFormat="false" ht="13.5" hidden="false" customHeight="false" outlineLevel="0" collapsed="false">
      <c r="A2475" s="1" t="str">
        <f aca="false">IF($C2475="","",Controls!$B$7)</f>
        <v/>
      </c>
      <c r="B2475" s="1" t="str">
        <f aca="false">IF($H2475="","",YEAR($H2475)&amp;"-Q"&amp;ROUNDUP(MONTH($H2475)/3,0))</f>
        <v/>
      </c>
      <c r="S2475" s="1" t="str">
        <f aca="false">IF($C2475="","",$C2475&amp;"|"&amp;$E2475&amp;"|"&amp;$F2475&amp;"|"&amp;$L2475&amp;"|"&amp;$P2475&amp;"|"&amp;TEXT($H2475,"yyyy-mm-dd"))</f>
        <v/>
      </c>
      <c r="T2475" s="1" t="str">
        <f aca="false">IF($S2475="","",IF(COUNTIF($S$2:$S$2991,$S2475)&gt;1,"DUPLICATE","OK"))</f>
        <v/>
      </c>
      <c r="U2475" s="0" t="str">
        <f aca="false">IF($L2475="","",IFERROR(VLOOKUP(--$L2475,MM_Income!$Z$5:$AC$204,3,FALSE()),"UNMAPPED"))</f>
        <v/>
      </c>
    </row>
    <row r="2476" customFormat="false" ht="13.5" hidden="false" customHeight="false" outlineLevel="0" collapsed="false">
      <c r="A2476" s="1" t="str">
        <f aca="false">IF($C2476="","",Controls!$B$7)</f>
        <v/>
      </c>
      <c r="B2476" s="1" t="str">
        <f aca="false">IF($H2476="","",YEAR($H2476)&amp;"-Q"&amp;ROUNDUP(MONTH($H2476)/3,0))</f>
        <v/>
      </c>
      <c r="S2476" s="1" t="str">
        <f aca="false">IF($C2476="","",$C2476&amp;"|"&amp;$E2476&amp;"|"&amp;$F2476&amp;"|"&amp;$L2476&amp;"|"&amp;$P2476&amp;"|"&amp;TEXT($H2476,"yyyy-mm-dd"))</f>
        <v/>
      </c>
      <c r="T2476" s="1" t="str">
        <f aca="false">IF($S2476="","",IF(COUNTIF($S$2:$S$2991,$S2476)&gt;1,"DUPLICATE","OK"))</f>
        <v/>
      </c>
      <c r="U2476" s="0" t="str">
        <f aca="false">IF($L2476="","",IFERROR(VLOOKUP(--$L2476,MM_Income!$Z$5:$AC$204,3,FALSE()),"UNMAPPED"))</f>
        <v/>
      </c>
    </row>
    <row r="2477" customFormat="false" ht="13.5" hidden="false" customHeight="false" outlineLevel="0" collapsed="false">
      <c r="A2477" s="1" t="str">
        <f aca="false">IF($C2477="","",Controls!$B$7)</f>
        <v/>
      </c>
      <c r="B2477" s="1" t="str">
        <f aca="false">IF($H2477="","",YEAR($H2477)&amp;"-Q"&amp;ROUNDUP(MONTH($H2477)/3,0))</f>
        <v/>
      </c>
      <c r="S2477" s="1" t="str">
        <f aca="false">IF($C2477="","",$C2477&amp;"|"&amp;$E2477&amp;"|"&amp;$F2477&amp;"|"&amp;$L2477&amp;"|"&amp;$P2477&amp;"|"&amp;TEXT($H2477,"yyyy-mm-dd"))</f>
        <v/>
      </c>
      <c r="T2477" s="1" t="str">
        <f aca="false">IF($S2477="","",IF(COUNTIF($S$2:$S$2991,$S2477)&gt;1,"DUPLICATE","OK"))</f>
        <v/>
      </c>
      <c r="U2477" s="0" t="str">
        <f aca="false">IF($L2477="","",IFERROR(VLOOKUP(--$L2477,MM_Income!$Z$5:$AC$204,3,FALSE()),"UNMAPPED"))</f>
        <v/>
      </c>
    </row>
    <row r="2478" customFormat="false" ht="13.5" hidden="false" customHeight="false" outlineLevel="0" collapsed="false">
      <c r="A2478" s="1" t="str">
        <f aca="false">IF($C2478="","",Controls!$B$7)</f>
        <v/>
      </c>
      <c r="B2478" s="1" t="str">
        <f aca="false">IF($H2478="","",YEAR($H2478)&amp;"-Q"&amp;ROUNDUP(MONTH($H2478)/3,0))</f>
        <v/>
      </c>
      <c r="S2478" s="1" t="str">
        <f aca="false">IF($C2478="","",$C2478&amp;"|"&amp;$E2478&amp;"|"&amp;$F2478&amp;"|"&amp;$L2478&amp;"|"&amp;$P2478&amp;"|"&amp;TEXT($H2478,"yyyy-mm-dd"))</f>
        <v/>
      </c>
      <c r="T2478" s="1" t="str">
        <f aca="false">IF($S2478="","",IF(COUNTIF($S$2:$S$2991,$S2478)&gt;1,"DUPLICATE","OK"))</f>
        <v/>
      </c>
      <c r="U2478" s="0" t="str">
        <f aca="false">IF($L2478="","",IFERROR(VLOOKUP(--$L2478,MM_Income!$Z$5:$AC$204,3,FALSE()),"UNMAPPED"))</f>
        <v/>
      </c>
    </row>
    <row r="2479" customFormat="false" ht="13.5" hidden="false" customHeight="false" outlineLevel="0" collapsed="false">
      <c r="A2479" s="1" t="str">
        <f aca="false">IF($C2479="","",Controls!$B$7)</f>
        <v/>
      </c>
      <c r="B2479" s="1" t="str">
        <f aca="false">IF($H2479="","",YEAR($H2479)&amp;"-Q"&amp;ROUNDUP(MONTH($H2479)/3,0))</f>
        <v/>
      </c>
      <c r="S2479" s="1" t="str">
        <f aca="false">IF($C2479="","",$C2479&amp;"|"&amp;$E2479&amp;"|"&amp;$F2479&amp;"|"&amp;$L2479&amp;"|"&amp;$P2479&amp;"|"&amp;TEXT($H2479,"yyyy-mm-dd"))</f>
        <v/>
      </c>
      <c r="T2479" s="1" t="str">
        <f aca="false">IF($S2479="","",IF(COUNTIF($S$2:$S$2991,$S2479)&gt;1,"DUPLICATE","OK"))</f>
        <v/>
      </c>
      <c r="U2479" s="0" t="str">
        <f aca="false">IF($L2479="","",IFERROR(VLOOKUP(--$L2479,MM_Income!$Z$5:$AC$204,3,FALSE()),"UNMAPPED"))</f>
        <v/>
      </c>
    </row>
    <row r="2480" customFormat="false" ht="13.5" hidden="false" customHeight="false" outlineLevel="0" collapsed="false">
      <c r="A2480" s="1" t="str">
        <f aca="false">IF($C2480="","",Controls!$B$7)</f>
        <v/>
      </c>
      <c r="B2480" s="1" t="str">
        <f aca="false">IF($H2480="","",YEAR($H2480)&amp;"-Q"&amp;ROUNDUP(MONTH($H2480)/3,0))</f>
        <v/>
      </c>
      <c r="S2480" s="1" t="str">
        <f aca="false">IF($C2480="","",$C2480&amp;"|"&amp;$E2480&amp;"|"&amp;$F2480&amp;"|"&amp;$L2480&amp;"|"&amp;$P2480&amp;"|"&amp;TEXT($H2480,"yyyy-mm-dd"))</f>
        <v/>
      </c>
      <c r="T2480" s="1" t="str">
        <f aca="false">IF($S2480="","",IF(COUNTIF($S$2:$S$2991,$S2480)&gt;1,"DUPLICATE","OK"))</f>
        <v/>
      </c>
      <c r="U2480" s="0" t="str">
        <f aca="false">IF($L2480="","",IFERROR(VLOOKUP(--$L2480,MM_Income!$Z$5:$AC$204,3,FALSE()),"UNMAPPED"))</f>
        <v/>
      </c>
    </row>
    <row r="2481" customFormat="false" ht="13.5" hidden="false" customHeight="false" outlineLevel="0" collapsed="false">
      <c r="A2481" s="1" t="str">
        <f aca="false">IF($C2481="","",Controls!$B$7)</f>
        <v/>
      </c>
      <c r="B2481" s="1" t="str">
        <f aca="false">IF($H2481="","",YEAR($H2481)&amp;"-Q"&amp;ROUNDUP(MONTH($H2481)/3,0))</f>
        <v/>
      </c>
      <c r="S2481" s="1" t="str">
        <f aca="false">IF($C2481="","",$C2481&amp;"|"&amp;$E2481&amp;"|"&amp;$F2481&amp;"|"&amp;$L2481&amp;"|"&amp;$P2481&amp;"|"&amp;TEXT($H2481,"yyyy-mm-dd"))</f>
        <v/>
      </c>
      <c r="T2481" s="1" t="str">
        <f aca="false">IF($S2481="","",IF(COUNTIF($S$2:$S$2991,$S2481)&gt;1,"DUPLICATE","OK"))</f>
        <v/>
      </c>
      <c r="U2481" s="0" t="str">
        <f aca="false">IF($L2481="","",IFERROR(VLOOKUP(--$L2481,MM_Income!$Z$5:$AC$204,3,FALSE()),"UNMAPPED"))</f>
        <v/>
      </c>
    </row>
    <row r="2482" customFormat="false" ht="13.5" hidden="false" customHeight="false" outlineLevel="0" collapsed="false">
      <c r="A2482" s="1" t="str">
        <f aca="false">IF($C2482="","",Controls!$B$7)</f>
        <v/>
      </c>
      <c r="B2482" s="1" t="str">
        <f aca="false">IF($H2482="","",YEAR($H2482)&amp;"-Q"&amp;ROUNDUP(MONTH($H2482)/3,0))</f>
        <v/>
      </c>
      <c r="S2482" s="1" t="str">
        <f aca="false">IF($C2482="","",$C2482&amp;"|"&amp;$E2482&amp;"|"&amp;$F2482&amp;"|"&amp;$L2482&amp;"|"&amp;$P2482&amp;"|"&amp;TEXT($H2482,"yyyy-mm-dd"))</f>
        <v/>
      </c>
      <c r="T2482" s="1" t="str">
        <f aca="false">IF($S2482="","",IF(COUNTIF($S$2:$S$2991,$S2482)&gt;1,"DUPLICATE","OK"))</f>
        <v/>
      </c>
      <c r="U2482" s="0" t="str">
        <f aca="false">IF($L2482="","",IFERROR(VLOOKUP(--$L2482,MM_Income!$Z$5:$AC$204,3,FALSE()),"UNMAPPED"))</f>
        <v/>
      </c>
    </row>
    <row r="2483" customFormat="false" ht="13.5" hidden="false" customHeight="false" outlineLevel="0" collapsed="false">
      <c r="A2483" s="1" t="str">
        <f aca="false">IF($C2483="","",Controls!$B$7)</f>
        <v/>
      </c>
      <c r="B2483" s="1" t="str">
        <f aca="false">IF($H2483="","",YEAR($H2483)&amp;"-Q"&amp;ROUNDUP(MONTH($H2483)/3,0))</f>
        <v/>
      </c>
      <c r="S2483" s="1" t="str">
        <f aca="false">IF($C2483="","",$C2483&amp;"|"&amp;$E2483&amp;"|"&amp;$F2483&amp;"|"&amp;$L2483&amp;"|"&amp;$P2483&amp;"|"&amp;TEXT($H2483,"yyyy-mm-dd"))</f>
        <v/>
      </c>
      <c r="T2483" s="1" t="str">
        <f aca="false">IF($S2483="","",IF(COUNTIF($S$2:$S$2991,$S2483)&gt;1,"DUPLICATE","OK"))</f>
        <v/>
      </c>
      <c r="U2483" s="0" t="str">
        <f aca="false">IF($L2483="","",IFERROR(VLOOKUP(--$L2483,MM_Income!$Z$5:$AC$204,3,FALSE()),"UNMAPPED"))</f>
        <v/>
      </c>
    </row>
    <row r="2484" customFormat="false" ht="13.5" hidden="false" customHeight="false" outlineLevel="0" collapsed="false">
      <c r="A2484" s="1" t="str">
        <f aca="false">IF($C2484="","",Controls!$B$7)</f>
        <v/>
      </c>
      <c r="B2484" s="1" t="str">
        <f aca="false">IF($H2484="","",YEAR($H2484)&amp;"-Q"&amp;ROUNDUP(MONTH($H2484)/3,0))</f>
        <v/>
      </c>
      <c r="S2484" s="1" t="str">
        <f aca="false">IF($C2484="","",$C2484&amp;"|"&amp;$E2484&amp;"|"&amp;$F2484&amp;"|"&amp;$L2484&amp;"|"&amp;$P2484&amp;"|"&amp;TEXT($H2484,"yyyy-mm-dd"))</f>
        <v/>
      </c>
      <c r="T2484" s="1" t="str">
        <f aca="false">IF($S2484="","",IF(COUNTIF($S$2:$S$2991,$S2484)&gt;1,"DUPLICATE","OK"))</f>
        <v/>
      </c>
      <c r="U2484" s="0" t="str">
        <f aca="false">IF($L2484="","",IFERROR(VLOOKUP(--$L2484,MM_Income!$Z$5:$AC$204,3,FALSE()),"UNMAPPED"))</f>
        <v/>
      </c>
    </row>
    <row r="2485" customFormat="false" ht="13.5" hidden="false" customHeight="false" outlineLevel="0" collapsed="false">
      <c r="A2485" s="1" t="str">
        <f aca="false">IF($C2485="","",Controls!$B$7)</f>
        <v/>
      </c>
      <c r="B2485" s="1" t="str">
        <f aca="false">IF($H2485="","",YEAR($H2485)&amp;"-Q"&amp;ROUNDUP(MONTH($H2485)/3,0))</f>
        <v/>
      </c>
      <c r="S2485" s="1" t="str">
        <f aca="false">IF($C2485="","",$C2485&amp;"|"&amp;$E2485&amp;"|"&amp;$F2485&amp;"|"&amp;$L2485&amp;"|"&amp;$P2485&amp;"|"&amp;TEXT($H2485,"yyyy-mm-dd"))</f>
        <v/>
      </c>
      <c r="T2485" s="1" t="str">
        <f aca="false">IF($S2485="","",IF(COUNTIF($S$2:$S$2991,$S2485)&gt;1,"DUPLICATE","OK"))</f>
        <v/>
      </c>
      <c r="U2485" s="0" t="str">
        <f aca="false">IF($L2485="","",IFERROR(VLOOKUP(--$L2485,MM_Income!$Z$5:$AC$204,3,FALSE()),"UNMAPPED"))</f>
        <v/>
      </c>
    </row>
    <row r="2486" customFormat="false" ht="13.5" hidden="false" customHeight="false" outlineLevel="0" collapsed="false">
      <c r="A2486" s="1" t="str">
        <f aca="false">IF($C2486="","",Controls!$B$7)</f>
        <v/>
      </c>
      <c r="B2486" s="1" t="str">
        <f aca="false">IF($H2486="","",YEAR($H2486)&amp;"-Q"&amp;ROUNDUP(MONTH($H2486)/3,0))</f>
        <v/>
      </c>
      <c r="S2486" s="1" t="str">
        <f aca="false">IF($C2486="","",$C2486&amp;"|"&amp;$E2486&amp;"|"&amp;$F2486&amp;"|"&amp;$L2486&amp;"|"&amp;$P2486&amp;"|"&amp;TEXT($H2486,"yyyy-mm-dd"))</f>
        <v/>
      </c>
      <c r="T2486" s="1" t="str">
        <f aca="false">IF($S2486="","",IF(COUNTIF($S$2:$S$2991,$S2486)&gt;1,"DUPLICATE","OK"))</f>
        <v/>
      </c>
      <c r="U2486" s="0" t="str">
        <f aca="false">IF($L2486="","",IFERROR(VLOOKUP(--$L2486,MM_Income!$Z$5:$AC$204,3,FALSE()),"UNMAPPED"))</f>
        <v/>
      </c>
    </row>
    <row r="2487" customFormat="false" ht="13.5" hidden="false" customHeight="false" outlineLevel="0" collapsed="false">
      <c r="A2487" s="1" t="str">
        <f aca="false">IF($C2487="","",Controls!$B$7)</f>
        <v/>
      </c>
      <c r="B2487" s="1" t="str">
        <f aca="false">IF($H2487="","",YEAR($H2487)&amp;"-Q"&amp;ROUNDUP(MONTH($H2487)/3,0))</f>
        <v/>
      </c>
      <c r="S2487" s="1" t="str">
        <f aca="false">IF($C2487="","",$C2487&amp;"|"&amp;$E2487&amp;"|"&amp;$F2487&amp;"|"&amp;$L2487&amp;"|"&amp;$P2487&amp;"|"&amp;TEXT($H2487,"yyyy-mm-dd"))</f>
        <v/>
      </c>
      <c r="T2487" s="1" t="str">
        <f aca="false">IF($S2487="","",IF(COUNTIF($S$2:$S$2991,$S2487)&gt;1,"DUPLICATE","OK"))</f>
        <v/>
      </c>
      <c r="U2487" s="0" t="str">
        <f aca="false">IF($L2487="","",IFERROR(VLOOKUP(--$L2487,MM_Income!$Z$5:$AC$204,3,FALSE()),"UNMAPPED"))</f>
        <v/>
      </c>
    </row>
    <row r="2488" customFormat="false" ht="13.5" hidden="false" customHeight="false" outlineLevel="0" collapsed="false">
      <c r="A2488" s="1" t="str">
        <f aca="false">IF($C2488="","",Controls!$B$7)</f>
        <v/>
      </c>
      <c r="B2488" s="1" t="str">
        <f aca="false">IF($H2488="","",YEAR($H2488)&amp;"-Q"&amp;ROUNDUP(MONTH($H2488)/3,0))</f>
        <v/>
      </c>
      <c r="S2488" s="1" t="str">
        <f aca="false">IF($C2488="","",$C2488&amp;"|"&amp;$E2488&amp;"|"&amp;$F2488&amp;"|"&amp;$L2488&amp;"|"&amp;$P2488&amp;"|"&amp;TEXT($H2488,"yyyy-mm-dd"))</f>
        <v/>
      </c>
      <c r="T2488" s="1" t="str">
        <f aca="false">IF($S2488="","",IF(COUNTIF($S$2:$S$2991,$S2488)&gt;1,"DUPLICATE","OK"))</f>
        <v/>
      </c>
      <c r="U2488" s="0" t="str">
        <f aca="false">IF($L2488="","",IFERROR(VLOOKUP(--$L2488,MM_Income!$Z$5:$AC$204,3,FALSE()),"UNMAPPED"))</f>
        <v/>
      </c>
    </row>
    <row r="2489" customFormat="false" ht="13.5" hidden="false" customHeight="false" outlineLevel="0" collapsed="false">
      <c r="A2489" s="1" t="str">
        <f aca="false">IF($C2489="","",Controls!$B$7)</f>
        <v/>
      </c>
      <c r="B2489" s="1" t="str">
        <f aca="false">IF($H2489="","",YEAR($H2489)&amp;"-Q"&amp;ROUNDUP(MONTH($H2489)/3,0))</f>
        <v/>
      </c>
      <c r="S2489" s="1" t="str">
        <f aca="false">IF($C2489="","",$C2489&amp;"|"&amp;$E2489&amp;"|"&amp;$F2489&amp;"|"&amp;$L2489&amp;"|"&amp;$P2489&amp;"|"&amp;TEXT($H2489,"yyyy-mm-dd"))</f>
        <v/>
      </c>
      <c r="T2489" s="1" t="str">
        <f aca="false">IF($S2489="","",IF(COUNTIF($S$2:$S$2991,$S2489)&gt;1,"DUPLICATE","OK"))</f>
        <v/>
      </c>
      <c r="U2489" s="0" t="str">
        <f aca="false">IF($L2489="","",IFERROR(VLOOKUP(--$L2489,MM_Income!$Z$5:$AC$204,3,FALSE()),"UNMAPPED"))</f>
        <v/>
      </c>
    </row>
    <row r="2490" customFormat="false" ht="13.5" hidden="false" customHeight="false" outlineLevel="0" collapsed="false">
      <c r="A2490" s="1" t="str">
        <f aca="false">IF($C2490="","",Controls!$B$7)</f>
        <v/>
      </c>
      <c r="B2490" s="1" t="str">
        <f aca="false">IF($H2490="","",YEAR($H2490)&amp;"-Q"&amp;ROUNDUP(MONTH($H2490)/3,0))</f>
        <v/>
      </c>
      <c r="S2490" s="1" t="str">
        <f aca="false">IF($C2490="","",$C2490&amp;"|"&amp;$E2490&amp;"|"&amp;$F2490&amp;"|"&amp;$L2490&amp;"|"&amp;$P2490&amp;"|"&amp;TEXT($H2490,"yyyy-mm-dd"))</f>
        <v/>
      </c>
      <c r="T2490" s="1" t="str">
        <f aca="false">IF($S2490="","",IF(COUNTIF($S$2:$S$2991,$S2490)&gt;1,"DUPLICATE","OK"))</f>
        <v/>
      </c>
      <c r="U2490" s="0" t="str">
        <f aca="false">IF($L2490="","",IFERROR(VLOOKUP(--$L2490,MM_Income!$Z$5:$AC$204,3,FALSE()),"UNMAPPED"))</f>
        <v/>
      </c>
    </row>
    <row r="2491" customFormat="false" ht="13.5" hidden="false" customHeight="false" outlineLevel="0" collapsed="false">
      <c r="A2491" s="1" t="str">
        <f aca="false">IF($C2491="","",Controls!$B$7)</f>
        <v/>
      </c>
      <c r="B2491" s="1" t="str">
        <f aca="false">IF($H2491="","",YEAR($H2491)&amp;"-Q"&amp;ROUNDUP(MONTH($H2491)/3,0))</f>
        <v/>
      </c>
      <c r="S2491" s="1" t="str">
        <f aca="false">IF($C2491="","",$C2491&amp;"|"&amp;$E2491&amp;"|"&amp;$F2491&amp;"|"&amp;$L2491&amp;"|"&amp;$P2491&amp;"|"&amp;TEXT($H2491,"yyyy-mm-dd"))</f>
        <v/>
      </c>
      <c r="T2491" s="1" t="str">
        <f aca="false">IF($S2491="","",IF(COUNTIF($S$2:$S$2991,$S2491)&gt;1,"DUPLICATE","OK"))</f>
        <v/>
      </c>
      <c r="U2491" s="0" t="str">
        <f aca="false">IF($L2491="","",IFERROR(VLOOKUP(--$L2491,MM_Income!$Z$5:$AC$204,3,FALSE()),"UNMAPPED"))</f>
        <v/>
      </c>
    </row>
    <row r="2492" customFormat="false" ht="13.5" hidden="false" customHeight="false" outlineLevel="0" collapsed="false">
      <c r="A2492" s="1" t="str">
        <f aca="false">IF($C2492="","",Controls!$B$7)</f>
        <v/>
      </c>
      <c r="B2492" s="1" t="str">
        <f aca="false">IF($H2492="","",YEAR($H2492)&amp;"-Q"&amp;ROUNDUP(MONTH($H2492)/3,0))</f>
        <v/>
      </c>
      <c r="S2492" s="1" t="str">
        <f aca="false">IF($C2492="","",$C2492&amp;"|"&amp;$E2492&amp;"|"&amp;$F2492&amp;"|"&amp;$L2492&amp;"|"&amp;$P2492&amp;"|"&amp;TEXT($H2492,"yyyy-mm-dd"))</f>
        <v/>
      </c>
      <c r="T2492" s="1" t="str">
        <f aca="false">IF($S2492="","",IF(COUNTIF($S$2:$S$2991,$S2492)&gt;1,"DUPLICATE","OK"))</f>
        <v/>
      </c>
      <c r="U2492" s="0" t="str">
        <f aca="false">IF($L2492="","",IFERROR(VLOOKUP(--$L2492,MM_Income!$Z$5:$AC$204,3,FALSE()),"UNMAPPED"))</f>
        <v/>
      </c>
    </row>
    <row r="2493" customFormat="false" ht="13.5" hidden="false" customHeight="false" outlineLevel="0" collapsed="false">
      <c r="A2493" s="1" t="str">
        <f aca="false">IF($C2493="","",Controls!$B$7)</f>
        <v/>
      </c>
      <c r="B2493" s="1" t="str">
        <f aca="false">IF($H2493="","",YEAR($H2493)&amp;"-Q"&amp;ROUNDUP(MONTH($H2493)/3,0))</f>
        <v/>
      </c>
      <c r="S2493" s="1" t="str">
        <f aca="false">IF($C2493="","",$C2493&amp;"|"&amp;$E2493&amp;"|"&amp;$F2493&amp;"|"&amp;$L2493&amp;"|"&amp;$P2493&amp;"|"&amp;TEXT($H2493,"yyyy-mm-dd"))</f>
        <v/>
      </c>
      <c r="T2493" s="1" t="str">
        <f aca="false">IF($S2493="","",IF(COUNTIF($S$2:$S$2991,$S2493)&gt;1,"DUPLICATE","OK"))</f>
        <v/>
      </c>
      <c r="U2493" s="0" t="str">
        <f aca="false">IF($L2493="","",IFERROR(VLOOKUP(--$L2493,MM_Income!$Z$5:$AC$204,3,FALSE()),"UNMAPPED"))</f>
        <v/>
      </c>
    </row>
    <row r="2494" customFormat="false" ht="13.5" hidden="false" customHeight="false" outlineLevel="0" collapsed="false">
      <c r="A2494" s="1" t="str">
        <f aca="false">IF($C2494="","",Controls!$B$7)</f>
        <v/>
      </c>
      <c r="B2494" s="1" t="str">
        <f aca="false">IF($H2494="","",YEAR($H2494)&amp;"-Q"&amp;ROUNDUP(MONTH($H2494)/3,0))</f>
        <v/>
      </c>
      <c r="S2494" s="1" t="str">
        <f aca="false">IF($C2494="","",$C2494&amp;"|"&amp;$E2494&amp;"|"&amp;$F2494&amp;"|"&amp;$L2494&amp;"|"&amp;$P2494&amp;"|"&amp;TEXT($H2494,"yyyy-mm-dd"))</f>
        <v/>
      </c>
      <c r="T2494" s="1" t="str">
        <f aca="false">IF($S2494="","",IF(COUNTIF($S$2:$S$2991,$S2494)&gt;1,"DUPLICATE","OK"))</f>
        <v/>
      </c>
      <c r="U2494" s="0" t="str">
        <f aca="false">IF($L2494="","",IFERROR(VLOOKUP(--$L2494,MM_Income!$Z$5:$AC$204,3,FALSE()),"UNMAPPED"))</f>
        <v/>
      </c>
    </row>
    <row r="2495" customFormat="false" ht="13.5" hidden="false" customHeight="false" outlineLevel="0" collapsed="false">
      <c r="A2495" s="1" t="str">
        <f aca="false">IF($C2495="","",Controls!$B$7)</f>
        <v/>
      </c>
      <c r="B2495" s="1" t="str">
        <f aca="false">IF($H2495="","",YEAR($H2495)&amp;"-Q"&amp;ROUNDUP(MONTH($H2495)/3,0))</f>
        <v/>
      </c>
      <c r="S2495" s="1" t="str">
        <f aca="false">IF($C2495="","",$C2495&amp;"|"&amp;$E2495&amp;"|"&amp;$F2495&amp;"|"&amp;$L2495&amp;"|"&amp;$P2495&amp;"|"&amp;TEXT($H2495,"yyyy-mm-dd"))</f>
        <v/>
      </c>
      <c r="T2495" s="1" t="str">
        <f aca="false">IF($S2495="","",IF(COUNTIF($S$2:$S$2991,$S2495)&gt;1,"DUPLICATE","OK"))</f>
        <v/>
      </c>
      <c r="U2495" s="0" t="str">
        <f aca="false">IF($L2495="","",IFERROR(VLOOKUP(--$L2495,MM_Income!$Z$5:$AC$204,3,FALSE()),"UNMAPPED"))</f>
        <v/>
      </c>
    </row>
    <row r="2496" customFormat="false" ht="13.5" hidden="false" customHeight="false" outlineLevel="0" collapsed="false">
      <c r="A2496" s="1" t="str">
        <f aca="false">IF($C2496="","",Controls!$B$7)</f>
        <v/>
      </c>
      <c r="B2496" s="1" t="str">
        <f aca="false">IF($H2496="","",YEAR($H2496)&amp;"-Q"&amp;ROUNDUP(MONTH($H2496)/3,0))</f>
        <v/>
      </c>
      <c r="S2496" s="1" t="str">
        <f aca="false">IF($C2496="","",$C2496&amp;"|"&amp;$E2496&amp;"|"&amp;$F2496&amp;"|"&amp;$L2496&amp;"|"&amp;$P2496&amp;"|"&amp;TEXT($H2496,"yyyy-mm-dd"))</f>
        <v/>
      </c>
      <c r="T2496" s="1" t="str">
        <f aca="false">IF($S2496="","",IF(COUNTIF($S$2:$S$2991,$S2496)&gt;1,"DUPLICATE","OK"))</f>
        <v/>
      </c>
      <c r="U2496" s="0" t="str">
        <f aca="false">IF($L2496="","",IFERROR(VLOOKUP(--$L2496,MM_Income!$Z$5:$AC$204,3,FALSE()),"UNMAPPED"))</f>
        <v/>
      </c>
    </row>
    <row r="2497" customFormat="false" ht="13.5" hidden="false" customHeight="false" outlineLevel="0" collapsed="false">
      <c r="A2497" s="1" t="str">
        <f aca="false">IF($C2497="","",Controls!$B$7)</f>
        <v/>
      </c>
      <c r="B2497" s="1" t="str">
        <f aca="false">IF($H2497="","",YEAR($H2497)&amp;"-Q"&amp;ROUNDUP(MONTH($H2497)/3,0))</f>
        <v/>
      </c>
      <c r="S2497" s="1" t="str">
        <f aca="false">IF($C2497="","",$C2497&amp;"|"&amp;$E2497&amp;"|"&amp;$F2497&amp;"|"&amp;$L2497&amp;"|"&amp;$P2497&amp;"|"&amp;TEXT($H2497,"yyyy-mm-dd"))</f>
        <v/>
      </c>
      <c r="T2497" s="1" t="str">
        <f aca="false">IF($S2497="","",IF(COUNTIF($S$2:$S$2991,$S2497)&gt;1,"DUPLICATE","OK"))</f>
        <v/>
      </c>
      <c r="U2497" s="0" t="str">
        <f aca="false">IF($L2497="","",IFERROR(VLOOKUP(--$L2497,MM_Income!$Z$5:$AC$204,3,FALSE()),"UNMAPPED"))</f>
        <v/>
      </c>
    </row>
    <row r="2498" customFormat="false" ht="13.5" hidden="false" customHeight="false" outlineLevel="0" collapsed="false">
      <c r="A2498" s="1" t="str">
        <f aca="false">IF($C2498="","",Controls!$B$7)</f>
        <v/>
      </c>
      <c r="B2498" s="1" t="str">
        <f aca="false">IF($H2498="","",YEAR($H2498)&amp;"-Q"&amp;ROUNDUP(MONTH($H2498)/3,0))</f>
        <v/>
      </c>
      <c r="S2498" s="1" t="str">
        <f aca="false">IF($C2498="","",$C2498&amp;"|"&amp;$E2498&amp;"|"&amp;$F2498&amp;"|"&amp;$L2498&amp;"|"&amp;$P2498&amp;"|"&amp;TEXT($H2498,"yyyy-mm-dd"))</f>
        <v/>
      </c>
      <c r="T2498" s="1" t="str">
        <f aca="false">IF($S2498="","",IF(COUNTIF($S$2:$S$2991,$S2498)&gt;1,"DUPLICATE","OK"))</f>
        <v/>
      </c>
      <c r="U2498" s="0" t="str">
        <f aca="false">IF($L2498="","",IFERROR(VLOOKUP(--$L2498,MM_Income!$Z$5:$AC$204,3,FALSE()),"UNMAPPED"))</f>
        <v/>
      </c>
    </row>
    <row r="2499" customFormat="false" ht="13.5" hidden="false" customHeight="false" outlineLevel="0" collapsed="false">
      <c r="A2499" s="1" t="str">
        <f aca="false">IF($C2499="","",Controls!$B$7)</f>
        <v/>
      </c>
      <c r="B2499" s="1" t="str">
        <f aca="false">IF($H2499="","",YEAR($H2499)&amp;"-Q"&amp;ROUNDUP(MONTH($H2499)/3,0))</f>
        <v/>
      </c>
      <c r="S2499" s="1" t="str">
        <f aca="false">IF($C2499="","",$C2499&amp;"|"&amp;$E2499&amp;"|"&amp;$F2499&amp;"|"&amp;$L2499&amp;"|"&amp;$P2499&amp;"|"&amp;TEXT($H2499,"yyyy-mm-dd"))</f>
        <v/>
      </c>
      <c r="T2499" s="1" t="str">
        <f aca="false">IF($S2499="","",IF(COUNTIF($S$2:$S$2991,$S2499)&gt;1,"DUPLICATE","OK"))</f>
        <v/>
      </c>
      <c r="U2499" s="0" t="str">
        <f aca="false">IF($L2499="","",IFERROR(VLOOKUP(--$L2499,MM_Income!$Z$5:$AC$204,3,FALSE()),"UNMAPPED"))</f>
        <v/>
      </c>
    </row>
    <row r="2500" customFormat="false" ht="13.5" hidden="false" customHeight="false" outlineLevel="0" collapsed="false">
      <c r="A2500" s="1" t="str">
        <f aca="false">IF($C2500="","",Controls!$B$7)</f>
        <v/>
      </c>
      <c r="B2500" s="1" t="str">
        <f aca="false">IF($H2500="","",YEAR($H2500)&amp;"-Q"&amp;ROUNDUP(MONTH($H2500)/3,0))</f>
        <v/>
      </c>
      <c r="S2500" s="1" t="str">
        <f aca="false">IF($C2500="","",$C2500&amp;"|"&amp;$E2500&amp;"|"&amp;$F2500&amp;"|"&amp;$L2500&amp;"|"&amp;$P2500&amp;"|"&amp;TEXT($H2500,"yyyy-mm-dd"))</f>
        <v/>
      </c>
      <c r="T2500" s="1" t="str">
        <f aca="false">IF($S2500="","",IF(COUNTIF($S$2:$S$2991,$S2500)&gt;1,"DUPLICATE","OK"))</f>
        <v/>
      </c>
      <c r="U2500" s="0" t="str">
        <f aca="false">IF($L2500="","",IFERROR(VLOOKUP(--$L2500,MM_Income!$Z$5:$AC$204,3,FALSE()),"UNMAPPED"))</f>
        <v/>
      </c>
    </row>
    <row r="2501" customFormat="false" ht="13.5" hidden="false" customHeight="false" outlineLevel="0" collapsed="false">
      <c r="A2501" s="1" t="str">
        <f aca="false">IF($C2501="","",Controls!$B$7)</f>
        <v/>
      </c>
      <c r="B2501" s="1" t="str">
        <f aca="false">IF($H2501="","",YEAR($H2501)&amp;"-Q"&amp;ROUNDUP(MONTH($H2501)/3,0))</f>
        <v/>
      </c>
      <c r="S2501" s="1" t="str">
        <f aca="false">IF($C2501="","",$C2501&amp;"|"&amp;$E2501&amp;"|"&amp;$F2501&amp;"|"&amp;$L2501&amp;"|"&amp;$P2501&amp;"|"&amp;TEXT($H2501,"yyyy-mm-dd"))</f>
        <v/>
      </c>
      <c r="T2501" s="1" t="str">
        <f aca="false">IF($S2501="","",IF(COUNTIF($S$2:$S$2991,$S2501)&gt;1,"DUPLICATE","OK"))</f>
        <v/>
      </c>
      <c r="U2501" s="0" t="str">
        <f aca="false">IF($L2501="","",IFERROR(VLOOKUP(--$L2501,MM_Income!$Z$5:$AC$204,3,FALSE()),"UNMAPPED"))</f>
        <v/>
      </c>
    </row>
    <row r="2502" customFormat="false" ht="13.5" hidden="false" customHeight="false" outlineLevel="0" collapsed="false">
      <c r="A2502" s="1" t="str">
        <f aca="false">IF($C2502="","",Controls!$B$7)</f>
        <v/>
      </c>
      <c r="B2502" s="1" t="str">
        <f aca="false">IF($H2502="","",YEAR($H2502)&amp;"-Q"&amp;ROUNDUP(MONTH($H2502)/3,0))</f>
        <v/>
      </c>
      <c r="S2502" s="1" t="str">
        <f aca="false">IF($C2502="","",$C2502&amp;"|"&amp;$E2502&amp;"|"&amp;$F2502&amp;"|"&amp;$L2502&amp;"|"&amp;$P2502&amp;"|"&amp;TEXT($H2502,"yyyy-mm-dd"))</f>
        <v/>
      </c>
      <c r="T2502" s="1" t="str">
        <f aca="false">IF($S2502="","",IF(COUNTIF($S$2:$S$2991,$S2502)&gt;1,"DUPLICATE","OK"))</f>
        <v/>
      </c>
      <c r="U2502" s="0" t="str">
        <f aca="false">IF($L2502="","",IFERROR(VLOOKUP(--$L2502,MM_Income!$Z$5:$AC$204,3,FALSE()),"UNMAPPED"))</f>
        <v/>
      </c>
    </row>
    <row r="2503" customFormat="false" ht="13.5" hidden="false" customHeight="false" outlineLevel="0" collapsed="false">
      <c r="A2503" s="1" t="str">
        <f aca="false">IF($C2503="","",Controls!$B$7)</f>
        <v/>
      </c>
      <c r="B2503" s="1" t="str">
        <f aca="false">IF($H2503="","",YEAR($H2503)&amp;"-Q"&amp;ROUNDUP(MONTH($H2503)/3,0))</f>
        <v/>
      </c>
      <c r="S2503" s="1" t="str">
        <f aca="false">IF($C2503="","",$C2503&amp;"|"&amp;$E2503&amp;"|"&amp;$F2503&amp;"|"&amp;$L2503&amp;"|"&amp;$P2503&amp;"|"&amp;TEXT($H2503,"yyyy-mm-dd"))</f>
        <v/>
      </c>
      <c r="T2503" s="1" t="str">
        <f aca="false">IF($S2503="","",IF(COUNTIF($S$2:$S$2991,$S2503)&gt;1,"DUPLICATE","OK"))</f>
        <v/>
      </c>
      <c r="U2503" s="0" t="str">
        <f aca="false">IF($L2503="","",IFERROR(VLOOKUP(--$L2503,MM_Income!$Z$5:$AC$204,3,FALSE()),"UNMAPPED"))</f>
        <v/>
      </c>
    </row>
    <row r="2504" customFormat="false" ht="13.5" hidden="false" customHeight="false" outlineLevel="0" collapsed="false">
      <c r="A2504" s="1" t="str">
        <f aca="false">IF($C2504="","",Controls!$B$7)</f>
        <v/>
      </c>
      <c r="B2504" s="1" t="str">
        <f aca="false">IF($H2504="","",YEAR($H2504)&amp;"-Q"&amp;ROUNDUP(MONTH($H2504)/3,0))</f>
        <v/>
      </c>
      <c r="S2504" s="1" t="str">
        <f aca="false">IF($C2504="","",$C2504&amp;"|"&amp;$E2504&amp;"|"&amp;$F2504&amp;"|"&amp;$L2504&amp;"|"&amp;$P2504&amp;"|"&amp;TEXT($H2504,"yyyy-mm-dd"))</f>
        <v/>
      </c>
      <c r="T2504" s="1" t="str">
        <f aca="false">IF($S2504="","",IF(COUNTIF($S$2:$S$2991,$S2504)&gt;1,"DUPLICATE","OK"))</f>
        <v/>
      </c>
      <c r="U2504" s="0" t="str">
        <f aca="false">IF($L2504="","",IFERROR(VLOOKUP(--$L2504,MM_Income!$Z$5:$AC$204,3,FALSE()),"UNMAPPED"))</f>
        <v/>
      </c>
    </row>
    <row r="2505" customFormat="false" ht="13.5" hidden="false" customHeight="false" outlineLevel="0" collapsed="false">
      <c r="A2505" s="1" t="str">
        <f aca="false">IF($C2505="","",Controls!$B$7)</f>
        <v/>
      </c>
      <c r="B2505" s="1" t="str">
        <f aca="false">IF($H2505="","",YEAR($H2505)&amp;"-Q"&amp;ROUNDUP(MONTH($H2505)/3,0))</f>
        <v/>
      </c>
      <c r="S2505" s="1" t="str">
        <f aca="false">IF($C2505="","",$C2505&amp;"|"&amp;$E2505&amp;"|"&amp;$F2505&amp;"|"&amp;$L2505&amp;"|"&amp;$P2505&amp;"|"&amp;TEXT($H2505,"yyyy-mm-dd"))</f>
        <v/>
      </c>
      <c r="T2505" s="1" t="str">
        <f aca="false">IF($S2505="","",IF(COUNTIF($S$2:$S$2991,$S2505)&gt;1,"DUPLICATE","OK"))</f>
        <v/>
      </c>
      <c r="U2505" s="0" t="str">
        <f aca="false">IF($L2505="","",IFERROR(VLOOKUP(--$L2505,MM_Income!$Z$5:$AC$204,3,FALSE()),"UNMAPPED"))</f>
        <v/>
      </c>
    </row>
    <row r="2506" customFormat="false" ht="13.5" hidden="false" customHeight="false" outlineLevel="0" collapsed="false">
      <c r="A2506" s="1" t="str">
        <f aca="false">IF($C2506="","",Controls!$B$7)</f>
        <v/>
      </c>
      <c r="B2506" s="1" t="str">
        <f aca="false">IF($H2506="","",YEAR($H2506)&amp;"-Q"&amp;ROUNDUP(MONTH($H2506)/3,0))</f>
        <v/>
      </c>
      <c r="S2506" s="1" t="str">
        <f aca="false">IF($C2506="","",$C2506&amp;"|"&amp;$E2506&amp;"|"&amp;$F2506&amp;"|"&amp;$L2506&amp;"|"&amp;$P2506&amp;"|"&amp;TEXT($H2506,"yyyy-mm-dd"))</f>
        <v/>
      </c>
      <c r="T2506" s="1" t="str">
        <f aca="false">IF($S2506="","",IF(COUNTIF($S$2:$S$2991,$S2506)&gt;1,"DUPLICATE","OK"))</f>
        <v/>
      </c>
      <c r="U2506" s="0" t="str">
        <f aca="false">IF($L2506="","",IFERROR(VLOOKUP(--$L2506,MM_Income!$Z$5:$AC$204,3,FALSE()),"UNMAPPED"))</f>
        <v/>
      </c>
    </row>
    <row r="2507" customFormat="false" ht="13.5" hidden="false" customHeight="false" outlineLevel="0" collapsed="false">
      <c r="A2507" s="1" t="str">
        <f aca="false">IF($C2507="","",Controls!$B$7)</f>
        <v/>
      </c>
      <c r="B2507" s="1" t="str">
        <f aca="false">IF($H2507="","",YEAR($H2507)&amp;"-Q"&amp;ROUNDUP(MONTH($H2507)/3,0))</f>
        <v/>
      </c>
      <c r="S2507" s="1" t="str">
        <f aca="false">IF($C2507="","",$C2507&amp;"|"&amp;$E2507&amp;"|"&amp;$F2507&amp;"|"&amp;$L2507&amp;"|"&amp;$P2507&amp;"|"&amp;TEXT($H2507,"yyyy-mm-dd"))</f>
        <v/>
      </c>
      <c r="T2507" s="1" t="str">
        <f aca="false">IF($S2507="","",IF(COUNTIF($S$2:$S$2991,$S2507)&gt;1,"DUPLICATE","OK"))</f>
        <v/>
      </c>
      <c r="U2507" s="0" t="str">
        <f aca="false">IF($L2507="","",IFERROR(VLOOKUP(--$L2507,MM_Income!$Z$5:$AC$204,3,FALSE()),"UNMAPPED"))</f>
        <v/>
      </c>
    </row>
    <row r="2508" customFormat="false" ht="13.5" hidden="false" customHeight="false" outlineLevel="0" collapsed="false">
      <c r="A2508" s="1" t="str">
        <f aca="false">IF($C2508="","",Controls!$B$7)</f>
        <v/>
      </c>
      <c r="B2508" s="1" t="str">
        <f aca="false">IF($H2508="","",YEAR($H2508)&amp;"-Q"&amp;ROUNDUP(MONTH($H2508)/3,0))</f>
        <v/>
      </c>
      <c r="S2508" s="1" t="str">
        <f aca="false">IF($C2508="","",$C2508&amp;"|"&amp;$E2508&amp;"|"&amp;$F2508&amp;"|"&amp;$L2508&amp;"|"&amp;$P2508&amp;"|"&amp;TEXT($H2508,"yyyy-mm-dd"))</f>
        <v/>
      </c>
      <c r="T2508" s="1" t="str">
        <f aca="false">IF($S2508="","",IF(COUNTIF($S$2:$S$2991,$S2508)&gt;1,"DUPLICATE","OK"))</f>
        <v/>
      </c>
      <c r="U2508" s="0" t="str">
        <f aca="false">IF($L2508="","",IFERROR(VLOOKUP(--$L2508,MM_Income!$Z$5:$AC$204,3,FALSE()),"UNMAPPED"))</f>
        <v/>
      </c>
    </row>
    <row r="2509" customFormat="false" ht="13.5" hidden="false" customHeight="false" outlineLevel="0" collapsed="false">
      <c r="A2509" s="1" t="str">
        <f aca="false">IF($C2509="","",Controls!$B$7)</f>
        <v/>
      </c>
      <c r="B2509" s="1" t="str">
        <f aca="false">IF($H2509="","",YEAR($H2509)&amp;"-Q"&amp;ROUNDUP(MONTH($H2509)/3,0))</f>
        <v/>
      </c>
      <c r="S2509" s="1" t="str">
        <f aca="false">IF($C2509="","",$C2509&amp;"|"&amp;$E2509&amp;"|"&amp;$F2509&amp;"|"&amp;$L2509&amp;"|"&amp;$P2509&amp;"|"&amp;TEXT($H2509,"yyyy-mm-dd"))</f>
        <v/>
      </c>
      <c r="T2509" s="1" t="str">
        <f aca="false">IF($S2509="","",IF(COUNTIF($S$2:$S$2991,$S2509)&gt;1,"DUPLICATE","OK"))</f>
        <v/>
      </c>
      <c r="U2509" s="0" t="str">
        <f aca="false">IF($L2509="","",IFERROR(VLOOKUP(--$L2509,MM_Income!$Z$5:$AC$204,3,FALSE()),"UNMAPPED"))</f>
        <v/>
      </c>
    </row>
    <row r="2510" customFormat="false" ht="13.5" hidden="false" customHeight="false" outlineLevel="0" collapsed="false">
      <c r="A2510" s="1" t="str">
        <f aca="false">IF($C2510="","",Controls!$B$7)</f>
        <v/>
      </c>
      <c r="B2510" s="1" t="str">
        <f aca="false">IF($H2510="","",YEAR($H2510)&amp;"-Q"&amp;ROUNDUP(MONTH($H2510)/3,0))</f>
        <v/>
      </c>
      <c r="S2510" s="1" t="str">
        <f aca="false">IF($C2510="","",$C2510&amp;"|"&amp;$E2510&amp;"|"&amp;$F2510&amp;"|"&amp;$L2510&amp;"|"&amp;$P2510&amp;"|"&amp;TEXT($H2510,"yyyy-mm-dd"))</f>
        <v/>
      </c>
      <c r="T2510" s="1" t="str">
        <f aca="false">IF($S2510="","",IF(COUNTIF($S$2:$S$2991,$S2510)&gt;1,"DUPLICATE","OK"))</f>
        <v/>
      </c>
      <c r="U2510" s="0" t="str">
        <f aca="false">IF($L2510="","",IFERROR(VLOOKUP(--$L2510,MM_Income!$Z$5:$AC$204,3,FALSE()),"UNMAPPED"))</f>
        <v/>
      </c>
    </row>
    <row r="2511" customFormat="false" ht="13.5" hidden="false" customHeight="false" outlineLevel="0" collapsed="false">
      <c r="A2511" s="1" t="str">
        <f aca="false">IF($C2511="","",Controls!$B$7)</f>
        <v/>
      </c>
      <c r="B2511" s="1" t="str">
        <f aca="false">IF($H2511="","",YEAR($H2511)&amp;"-Q"&amp;ROUNDUP(MONTH($H2511)/3,0))</f>
        <v/>
      </c>
      <c r="S2511" s="1" t="str">
        <f aca="false">IF($C2511="","",$C2511&amp;"|"&amp;$E2511&amp;"|"&amp;$F2511&amp;"|"&amp;$L2511&amp;"|"&amp;$P2511&amp;"|"&amp;TEXT($H2511,"yyyy-mm-dd"))</f>
        <v/>
      </c>
      <c r="T2511" s="1" t="str">
        <f aca="false">IF($S2511="","",IF(COUNTIF($S$2:$S$2991,$S2511)&gt;1,"DUPLICATE","OK"))</f>
        <v/>
      </c>
      <c r="U2511" s="0" t="str">
        <f aca="false">IF($L2511="","",IFERROR(VLOOKUP(--$L2511,MM_Income!$Z$5:$AC$204,3,FALSE()),"UNMAPPED"))</f>
        <v/>
      </c>
    </row>
    <row r="2512" customFormat="false" ht="13.5" hidden="false" customHeight="false" outlineLevel="0" collapsed="false">
      <c r="A2512" s="1" t="str">
        <f aca="false">IF($C2512="","",Controls!$B$7)</f>
        <v/>
      </c>
      <c r="B2512" s="1" t="str">
        <f aca="false">IF($H2512="","",YEAR($H2512)&amp;"-Q"&amp;ROUNDUP(MONTH($H2512)/3,0))</f>
        <v/>
      </c>
      <c r="S2512" s="1" t="str">
        <f aca="false">IF($C2512="","",$C2512&amp;"|"&amp;$E2512&amp;"|"&amp;$F2512&amp;"|"&amp;$L2512&amp;"|"&amp;$P2512&amp;"|"&amp;TEXT($H2512,"yyyy-mm-dd"))</f>
        <v/>
      </c>
      <c r="T2512" s="1" t="str">
        <f aca="false">IF($S2512="","",IF(COUNTIF($S$2:$S$2991,$S2512)&gt;1,"DUPLICATE","OK"))</f>
        <v/>
      </c>
      <c r="U2512" s="0" t="str">
        <f aca="false">IF($L2512="","",IFERROR(VLOOKUP(--$L2512,MM_Income!$Z$5:$AC$204,3,FALSE()),"UNMAPPED"))</f>
        <v/>
      </c>
    </row>
    <row r="2513" customFormat="false" ht="13.5" hidden="false" customHeight="false" outlineLevel="0" collapsed="false">
      <c r="A2513" s="1" t="str">
        <f aca="false">IF($C2513="","",Controls!$B$7)</f>
        <v/>
      </c>
      <c r="B2513" s="1" t="str">
        <f aca="false">IF($H2513="","",YEAR($H2513)&amp;"-Q"&amp;ROUNDUP(MONTH($H2513)/3,0))</f>
        <v/>
      </c>
      <c r="S2513" s="1" t="str">
        <f aca="false">IF($C2513="","",$C2513&amp;"|"&amp;$E2513&amp;"|"&amp;$F2513&amp;"|"&amp;$L2513&amp;"|"&amp;$P2513&amp;"|"&amp;TEXT($H2513,"yyyy-mm-dd"))</f>
        <v/>
      </c>
      <c r="T2513" s="1" t="str">
        <f aca="false">IF($S2513="","",IF(COUNTIF($S$2:$S$2991,$S2513)&gt;1,"DUPLICATE","OK"))</f>
        <v/>
      </c>
      <c r="U2513" s="0" t="str">
        <f aca="false">IF($L2513="","",IFERROR(VLOOKUP(--$L2513,MM_Income!$Z$5:$AC$204,3,FALSE()),"UNMAPPED"))</f>
        <v/>
      </c>
    </row>
    <row r="2514" customFormat="false" ht="13.5" hidden="false" customHeight="false" outlineLevel="0" collapsed="false">
      <c r="A2514" s="1" t="str">
        <f aca="false">IF($C2514="","",Controls!$B$7)</f>
        <v/>
      </c>
      <c r="B2514" s="1" t="str">
        <f aca="false">IF($H2514="","",YEAR($H2514)&amp;"-Q"&amp;ROUNDUP(MONTH($H2514)/3,0))</f>
        <v/>
      </c>
      <c r="S2514" s="1" t="str">
        <f aca="false">IF($C2514="","",$C2514&amp;"|"&amp;$E2514&amp;"|"&amp;$F2514&amp;"|"&amp;$L2514&amp;"|"&amp;$P2514&amp;"|"&amp;TEXT($H2514,"yyyy-mm-dd"))</f>
        <v/>
      </c>
      <c r="T2514" s="1" t="str">
        <f aca="false">IF($S2514="","",IF(COUNTIF($S$2:$S$2991,$S2514)&gt;1,"DUPLICATE","OK"))</f>
        <v/>
      </c>
      <c r="U2514" s="0" t="str">
        <f aca="false">IF($L2514="","",IFERROR(VLOOKUP(--$L2514,MM_Income!$Z$5:$AC$204,3,FALSE()),"UNMAPPED"))</f>
        <v/>
      </c>
    </row>
    <row r="2515" customFormat="false" ht="13.5" hidden="false" customHeight="false" outlineLevel="0" collapsed="false">
      <c r="A2515" s="1" t="str">
        <f aca="false">IF($C2515="","",Controls!$B$7)</f>
        <v/>
      </c>
      <c r="B2515" s="1" t="str">
        <f aca="false">IF($H2515="","",YEAR($H2515)&amp;"-Q"&amp;ROUNDUP(MONTH($H2515)/3,0))</f>
        <v/>
      </c>
      <c r="S2515" s="1" t="str">
        <f aca="false">IF($C2515="","",$C2515&amp;"|"&amp;$E2515&amp;"|"&amp;$F2515&amp;"|"&amp;$L2515&amp;"|"&amp;$P2515&amp;"|"&amp;TEXT($H2515,"yyyy-mm-dd"))</f>
        <v/>
      </c>
      <c r="T2515" s="1" t="str">
        <f aca="false">IF($S2515="","",IF(COUNTIF($S$2:$S$2991,$S2515)&gt;1,"DUPLICATE","OK"))</f>
        <v/>
      </c>
      <c r="U2515" s="0" t="str">
        <f aca="false">IF($L2515="","",IFERROR(VLOOKUP(--$L2515,MM_Income!$Z$5:$AC$204,3,FALSE()),"UNMAPPED"))</f>
        <v/>
      </c>
    </row>
    <row r="2516" customFormat="false" ht="13.5" hidden="false" customHeight="false" outlineLevel="0" collapsed="false">
      <c r="A2516" s="1" t="str">
        <f aca="false">IF($C2516="","",Controls!$B$7)</f>
        <v/>
      </c>
      <c r="B2516" s="1" t="str">
        <f aca="false">IF($H2516="","",YEAR($H2516)&amp;"-Q"&amp;ROUNDUP(MONTH($H2516)/3,0))</f>
        <v/>
      </c>
      <c r="S2516" s="1" t="str">
        <f aca="false">IF($C2516="","",$C2516&amp;"|"&amp;$E2516&amp;"|"&amp;$F2516&amp;"|"&amp;$L2516&amp;"|"&amp;$P2516&amp;"|"&amp;TEXT($H2516,"yyyy-mm-dd"))</f>
        <v/>
      </c>
      <c r="T2516" s="1" t="str">
        <f aca="false">IF($S2516="","",IF(COUNTIF($S$2:$S$2991,$S2516)&gt;1,"DUPLICATE","OK"))</f>
        <v/>
      </c>
      <c r="U2516" s="0" t="str">
        <f aca="false">IF($L2516="","",IFERROR(VLOOKUP(--$L2516,MM_Income!$Z$5:$AC$204,3,FALSE()),"UNMAPPED"))</f>
        <v/>
      </c>
    </row>
    <row r="2517" customFormat="false" ht="13.5" hidden="false" customHeight="false" outlineLevel="0" collapsed="false">
      <c r="A2517" s="1" t="str">
        <f aca="false">IF($C2517="","",Controls!$B$7)</f>
        <v/>
      </c>
      <c r="B2517" s="1" t="str">
        <f aca="false">IF($H2517="","",YEAR($H2517)&amp;"-Q"&amp;ROUNDUP(MONTH($H2517)/3,0))</f>
        <v/>
      </c>
      <c r="S2517" s="1" t="str">
        <f aca="false">IF($C2517="","",$C2517&amp;"|"&amp;$E2517&amp;"|"&amp;$F2517&amp;"|"&amp;$L2517&amp;"|"&amp;$P2517&amp;"|"&amp;TEXT($H2517,"yyyy-mm-dd"))</f>
        <v/>
      </c>
      <c r="T2517" s="1" t="str">
        <f aca="false">IF($S2517="","",IF(COUNTIF($S$2:$S$2991,$S2517)&gt;1,"DUPLICATE","OK"))</f>
        <v/>
      </c>
      <c r="U2517" s="0" t="str">
        <f aca="false">IF($L2517="","",IFERROR(VLOOKUP(--$L2517,MM_Income!$Z$5:$AC$204,3,FALSE()),"UNMAPPED"))</f>
        <v/>
      </c>
    </row>
    <row r="2518" customFormat="false" ht="13.5" hidden="false" customHeight="false" outlineLevel="0" collapsed="false">
      <c r="A2518" s="1" t="str">
        <f aca="false">IF($C2518="","",Controls!$B$7)</f>
        <v/>
      </c>
      <c r="B2518" s="1" t="str">
        <f aca="false">IF($H2518="","",YEAR($H2518)&amp;"-Q"&amp;ROUNDUP(MONTH($H2518)/3,0))</f>
        <v/>
      </c>
      <c r="S2518" s="1" t="str">
        <f aca="false">IF($C2518="","",$C2518&amp;"|"&amp;$E2518&amp;"|"&amp;$F2518&amp;"|"&amp;$L2518&amp;"|"&amp;$P2518&amp;"|"&amp;TEXT($H2518,"yyyy-mm-dd"))</f>
        <v/>
      </c>
      <c r="T2518" s="1" t="str">
        <f aca="false">IF($S2518="","",IF(COUNTIF($S$2:$S$2991,$S2518)&gt;1,"DUPLICATE","OK"))</f>
        <v/>
      </c>
      <c r="U2518" s="0" t="str">
        <f aca="false">IF($L2518="","",IFERROR(VLOOKUP(--$L2518,MM_Income!$Z$5:$AC$204,3,FALSE()),"UNMAPPED"))</f>
        <v/>
      </c>
    </row>
    <row r="2519" customFormat="false" ht="13.5" hidden="false" customHeight="false" outlineLevel="0" collapsed="false">
      <c r="A2519" s="1" t="str">
        <f aca="false">IF($C2519="","",Controls!$B$7)</f>
        <v/>
      </c>
      <c r="B2519" s="1" t="str">
        <f aca="false">IF($H2519="","",YEAR($H2519)&amp;"-Q"&amp;ROUNDUP(MONTH($H2519)/3,0))</f>
        <v/>
      </c>
      <c r="S2519" s="1" t="str">
        <f aca="false">IF($C2519="","",$C2519&amp;"|"&amp;$E2519&amp;"|"&amp;$F2519&amp;"|"&amp;$L2519&amp;"|"&amp;$P2519&amp;"|"&amp;TEXT($H2519,"yyyy-mm-dd"))</f>
        <v/>
      </c>
      <c r="T2519" s="1" t="str">
        <f aca="false">IF($S2519="","",IF(COUNTIF($S$2:$S$2991,$S2519)&gt;1,"DUPLICATE","OK"))</f>
        <v/>
      </c>
      <c r="U2519" s="0" t="str">
        <f aca="false">IF($L2519="","",IFERROR(VLOOKUP(--$L2519,MM_Income!$Z$5:$AC$204,3,FALSE()),"UNMAPPED"))</f>
        <v/>
      </c>
    </row>
    <row r="2520" customFormat="false" ht="13.5" hidden="false" customHeight="false" outlineLevel="0" collapsed="false">
      <c r="A2520" s="1" t="str">
        <f aca="false">IF($C2520="","",Controls!$B$7)</f>
        <v/>
      </c>
      <c r="B2520" s="1" t="str">
        <f aca="false">IF($H2520="","",YEAR($H2520)&amp;"-Q"&amp;ROUNDUP(MONTH($H2520)/3,0))</f>
        <v/>
      </c>
      <c r="S2520" s="1" t="str">
        <f aca="false">IF($C2520="","",$C2520&amp;"|"&amp;$E2520&amp;"|"&amp;$F2520&amp;"|"&amp;$L2520&amp;"|"&amp;$P2520&amp;"|"&amp;TEXT($H2520,"yyyy-mm-dd"))</f>
        <v/>
      </c>
      <c r="T2520" s="1" t="str">
        <f aca="false">IF($S2520="","",IF(COUNTIF($S$2:$S$2991,$S2520)&gt;1,"DUPLICATE","OK"))</f>
        <v/>
      </c>
      <c r="U2520" s="0" t="str">
        <f aca="false">IF($L2520="","",IFERROR(VLOOKUP(--$L2520,MM_Income!$Z$5:$AC$204,3,FALSE()),"UNMAPPED"))</f>
        <v/>
      </c>
    </row>
    <row r="2521" customFormat="false" ht="13.5" hidden="false" customHeight="false" outlineLevel="0" collapsed="false">
      <c r="A2521" s="1" t="str">
        <f aca="false">IF($C2521="","",Controls!$B$7)</f>
        <v/>
      </c>
      <c r="B2521" s="1" t="str">
        <f aca="false">IF($H2521="","",YEAR($H2521)&amp;"-Q"&amp;ROUNDUP(MONTH($H2521)/3,0))</f>
        <v/>
      </c>
      <c r="S2521" s="1" t="str">
        <f aca="false">IF($C2521="","",$C2521&amp;"|"&amp;$E2521&amp;"|"&amp;$F2521&amp;"|"&amp;$L2521&amp;"|"&amp;$P2521&amp;"|"&amp;TEXT($H2521,"yyyy-mm-dd"))</f>
        <v/>
      </c>
      <c r="T2521" s="1" t="str">
        <f aca="false">IF($S2521="","",IF(COUNTIF($S$2:$S$2991,$S2521)&gt;1,"DUPLICATE","OK"))</f>
        <v/>
      </c>
      <c r="U2521" s="0" t="str">
        <f aca="false">IF($L2521="","",IFERROR(VLOOKUP(--$L2521,MM_Income!$Z$5:$AC$204,3,FALSE()),"UNMAPPED"))</f>
        <v/>
      </c>
    </row>
    <row r="2522" customFormat="false" ht="13.5" hidden="false" customHeight="false" outlineLevel="0" collapsed="false">
      <c r="A2522" s="1" t="str">
        <f aca="false">IF($C2522="","",Controls!$B$7)</f>
        <v/>
      </c>
      <c r="B2522" s="1" t="str">
        <f aca="false">IF($H2522="","",YEAR($H2522)&amp;"-Q"&amp;ROUNDUP(MONTH($H2522)/3,0))</f>
        <v/>
      </c>
      <c r="S2522" s="1" t="str">
        <f aca="false">IF($C2522="","",$C2522&amp;"|"&amp;$E2522&amp;"|"&amp;$F2522&amp;"|"&amp;$L2522&amp;"|"&amp;$P2522&amp;"|"&amp;TEXT($H2522,"yyyy-mm-dd"))</f>
        <v/>
      </c>
      <c r="T2522" s="1" t="str">
        <f aca="false">IF($S2522="","",IF(COUNTIF($S$2:$S$2991,$S2522)&gt;1,"DUPLICATE","OK"))</f>
        <v/>
      </c>
      <c r="U2522" s="0" t="str">
        <f aca="false">IF($L2522="","",IFERROR(VLOOKUP(--$L2522,MM_Income!$Z$5:$AC$204,3,FALSE()),"UNMAPPED"))</f>
        <v/>
      </c>
    </row>
    <row r="2523" customFormat="false" ht="13.5" hidden="false" customHeight="false" outlineLevel="0" collapsed="false">
      <c r="A2523" s="1" t="str">
        <f aca="false">IF($C2523="","",Controls!$B$7)</f>
        <v/>
      </c>
      <c r="B2523" s="1" t="str">
        <f aca="false">IF($H2523="","",YEAR($H2523)&amp;"-Q"&amp;ROUNDUP(MONTH($H2523)/3,0))</f>
        <v/>
      </c>
      <c r="S2523" s="1" t="str">
        <f aca="false">IF($C2523="","",$C2523&amp;"|"&amp;$E2523&amp;"|"&amp;$F2523&amp;"|"&amp;$L2523&amp;"|"&amp;$P2523&amp;"|"&amp;TEXT($H2523,"yyyy-mm-dd"))</f>
        <v/>
      </c>
      <c r="T2523" s="1" t="str">
        <f aca="false">IF($S2523="","",IF(COUNTIF($S$2:$S$2991,$S2523)&gt;1,"DUPLICATE","OK"))</f>
        <v/>
      </c>
      <c r="U2523" s="0" t="str">
        <f aca="false">IF($L2523="","",IFERROR(VLOOKUP(--$L2523,MM_Income!$Z$5:$AC$204,3,FALSE()),"UNMAPPED"))</f>
        <v/>
      </c>
    </row>
    <row r="2524" customFormat="false" ht="13.5" hidden="false" customHeight="false" outlineLevel="0" collapsed="false">
      <c r="A2524" s="1" t="str">
        <f aca="false">IF($C2524="","",Controls!$B$7)</f>
        <v/>
      </c>
      <c r="B2524" s="1" t="str">
        <f aca="false">IF($H2524="","",YEAR($H2524)&amp;"-Q"&amp;ROUNDUP(MONTH($H2524)/3,0))</f>
        <v/>
      </c>
      <c r="S2524" s="1" t="str">
        <f aca="false">IF($C2524="","",$C2524&amp;"|"&amp;$E2524&amp;"|"&amp;$F2524&amp;"|"&amp;$L2524&amp;"|"&amp;$P2524&amp;"|"&amp;TEXT($H2524,"yyyy-mm-dd"))</f>
        <v/>
      </c>
      <c r="T2524" s="1" t="str">
        <f aca="false">IF($S2524="","",IF(COUNTIF($S$2:$S$2991,$S2524)&gt;1,"DUPLICATE","OK"))</f>
        <v/>
      </c>
      <c r="U2524" s="0" t="str">
        <f aca="false">IF($L2524="","",IFERROR(VLOOKUP(--$L2524,MM_Income!$Z$5:$AC$204,3,FALSE()),"UNMAPPED"))</f>
        <v/>
      </c>
    </row>
    <row r="2525" customFormat="false" ht="13.5" hidden="false" customHeight="false" outlineLevel="0" collapsed="false">
      <c r="A2525" s="1" t="str">
        <f aca="false">IF($C2525="","",Controls!$B$7)</f>
        <v/>
      </c>
      <c r="B2525" s="1" t="str">
        <f aca="false">IF($H2525="","",YEAR($H2525)&amp;"-Q"&amp;ROUNDUP(MONTH($H2525)/3,0))</f>
        <v/>
      </c>
      <c r="S2525" s="1" t="str">
        <f aca="false">IF($C2525="","",$C2525&amp;"|"&amp;$E2525&amp;"|"&amp;$F2525&amp;"|"&amp;$L2525&amp;"|"&amp;$P2525&amp;"|"&amp;TEXT($H2525,"yyyy-mm-dd"))</f>
        <v/>
      </c>
      <c r="T2525" s="1" t="str">
        <f aca="false">IF($S2525="","",IF(COUNTIF($S$2:$S$2991,$S2525)&gt;1,"DUPLICATE","OK"))</f>
        <v/>
      </c>
      <c r="U2525" s="0" t="str">
        <f aca="false">IF($L2525="","",IFERROR(VLOOKUP(--$L2525,MM_Income!$Z$5:$AC$204,3,FALSE()),"UNMAPPED"))</f>
        <v/>
      </c>
    </row>
    <row r="2526" customFormat="false" ht="13.5" hidden="false" customHeight="false" outlineLevel="0" collapsed="false">
      <c r="A2526" s="1" t="str">
        <f aca="false">IF($C2526="","",Controls!$B$7)</f>
        <v/>
      </c>
      <c r="B2526" s="1" t="str">
        <f aca="false">IF($H2526="","",YEAR($H2526)&amp;"-Q"&amp;ROUNDUP(MONTH($H2526)/3,0))</f>
        <v/>
      </c>
      <c r="S2526" s="1" t="str">
        <f aca="false">IF($C2526="","",$C2526&amp;"|"&amp;$E2526&amp;"|"&amp;$F2526&amp;"|"&amp;$L2526&amp;"|"&amp;$P2526&amp;"|"&amp;TEXT($H2526,"yyyy-mm-dd"))</f>
        <v/>
      </c>
      <c r="T2526" s="1" t="str">
        <f aca="false">IF($S2526="","",IF(COUNTIF($S$2:$S$2991,$S2526)&gt;1,"DUPLICATE","OK"))</f>
        <v/>
      </c>
      <c r="U2526" s="0" t="str">
        <f aca="false">IF($L2526="","",IFERROR(VLOOKUP(--$L2526,MM_Income!$Z$5:$AC$204,3,FALSE()),"UNMAPPED"))</f>
        <v/>
      </c>
    </row>
    <row r="2527" customFormat="false" ht="13.5" hidden="false" customHeight="false" outlineLevel="0" collapsed="false">
      <c r="A2527" s="1" t="str">
        <f aca="false">IF($C2527="","",Controls!$B$7)</f>
        <v/>
      </c>
      <c r="B2527" s="1" t="str">
        <f aca="false">IF($H2527="","",YEAR($H2527)&amp;"-Q"&amp;ROUNDUP(MONTH($H2527)/3,0))</f>
        <v/>
      </c>
      <c r="S2527" s="1" t="str">
        <f aca="false">IF($C2527="","",$C2527&amp;"|"&amp;$E2527&amp;"|"&amp;$F2527&amp;"|"&amp;$L2527&amp;"|"&amp;$P2527&amp;"|"&amp;TEXT($H2527,"yyyy-mm-dd"))</f>
        <v/>
      </c>
      <c r="T2527" s="1" t="str">
        <f aca="false">IF($S2527="","",IF(COUNTIF($S$2:$S$2991,$S2527)&gt;1,"DUPLICATE","OK"))</f>
        <v/>
      </c>
      <c r="U2527" s="0" t="str">
        <f aca="false">IF($L2527="","",IFERROR(VLOOKUP(--$L2527,MM_Income!$Z$5:$AC$204,3,FALSE()),"UNMAPPED"))</f>
        <v/>
      </c>
    </row>
    <row r="2528" customFormat="false" ht="13.5" hidden="false" customHeight="false" outlineLevel="0" collapsed="false">
      <c r="A2528" s="1" t="str">
        <f aca="false">IF($C2528="","",Controls!$B$7)</f>
        <v/>
      </c>
      <c r="B2528" s="1" t="str">
        <f aca="false">IF($H2528="","",YEAR($H2528)&amp;"-Q"&amp;ROUNDUP(MONTH($H2528)/3,0))</f>
        <v/>
      </c>
      <c r="S2528" s="1" t="str">
        <f aca="false">IF($C2528="","",$C2528&amp;"|"&amp;$E2528&amp;"|"&amp;$F2528&amp;"|"&amp;$L2528&amp;"|"&amp;$P2528&amp;"|"&amp;TEXT($H2528,"yyyy-mm-dd"))</f>
        <v/>
      </c>
      <c r="T2528" s="1" t="str">
        <f aca="false">IF($S2528="","",IF(COUNTIF($S$2:$S$2991,$S2528)&gt;1,"DUPLICATE","OK"))</f>
        <v/>
      </c>
      <c r="U2528" s="0" t="str">
        <f aca="false">IF($L2528="","",IFERROR(VLOOKUP(--$L2528,MM_Income!$Z$5:$AC$204,3,FALSE()),"UNMAPPED"))</f>
        <v/>
      </c>
    </row>
    <row r="2529" customFormat="false" ht="13.5" hidden="false" customHeight="false" outlineLevel="0" collapsed="false">
      <c r="A2529" s="1" t="str">
        <f aca="false">IF($C2529="","",Controls!$B$7)</f>
        <v/>
      </c>
      <c r="B2529" s="1" t="str">
        <f aca="false">IF($H2529="","",YEAR($H2529)&amp;"-Q"&amp;ROUNDUP(MONTH($H2529)/3,0))</f>
        <v/>
      </c>
      <c r="S2529" s="1" t="str">
        <f aca="false">IF($C2529="","",$C2529&amp;"|"&amp;$E2529&amp;"|"&amp;$F2529&amp;"|"&amp;$L2529&amp;"|"&amp;$P2529&amp;"|"&amp;TEXT($H2529,"yyyy-mm-dd"))</f>
        <v/>
      </c>
      <c r="T2529" s="1" t="str">
        <f aca="false">IF($S2529="","",IF(COUNTIF($S$2:$S$2991,$S2529)&gt;1,"DUPLICATE","OK"))</f>
        <v/>
      </c>
      <c r="U2529" s="0" t="str">
        <f aca="false">IF($L2529="","",IFERROR(VLOOKUP(--$L2529,MM_Income!$Z$5:$AC$204,3,FALSE()),"UNMAPPED"))</f>
        <v/>
      </c>
    </row>
    <row r="2530" customFormat="false" ht="13.5" hidden="false" customHeight="false" outlineLevel="0" collapsed="false">
      <c r="A2530" s="1" t="str">
        <f aca="false">IF($C2530="","",Controls!$B$7)</f>
        <v/>
      </c>
      <c r="B2530" s="1" t="str">
        <f aca="false">IF($H2530="","",YEAR($H2530)&amp;"-Q"&amp;ROUNDUP(MONTH($H2530)/3,0))</f>
        <v/>
      </c>
      <c r="S2530" s="1" t="str">
        <f aca="false">IF($C2530="","",$C2530&amp;"|"&amp;$E2530&amp;"|"&amp;$F2530&amp;"|"&amp;$L2530&amp;"|"&amp;$P2530&amp;"|"&amp;TEXT($H2530,"yyyy-mm-dd"))</f>
        <v/>
      </c>
      <c r="T2530" s="1" t="str">
        <f aca="false">IF($S2530="","",IF(COUNTIF($S$2:$S$2991,$S2530)&gt;1,"DUPLICATE","OK"))</f>
        <v/>
      </c>
      <c r="U2530" s="0" t="str">
        <f aca="false">IF($L2530="","",IFERROR(VLOOKUP(--$L2530,MM_Income!$Z$5:$AC$204,3,FALSE()),"UNMAPPED"))</f>
        <v/>
      </c>
    </row>
    <row r="2531" customFormat="false" ht="13.5" hidden="false" customHeight="false" outlineLevel="0" collapsed="false">
      <c r="A2531" s="1" t="str">
        <f aca="false">IF($C2531="","",Controls!$B$7)</f>
        <v/>
      </c>
      <c r="B2531" s="1" t="str">
        <f aca="false">IF($H2531="","",YEAR($H2531)&amp;"-Q"&amp;ROUNDUP(MONTH($H2531)/3,0))</f>
        <v/>
      </c>
      <c r="S2531" s="1" t="str">
        <f aca="false">IF($C2531="","",$C2531&amp;"|"&amp;$E2531&amp;"|"&amp;$F2531&amp;"|"&amp;$L2531&amp;"|"&amp;$P2531&amp;"|"&amp;TEXT($H2531,"yyyy-mm-dd"))</f>
        <v/>
      </c>
      <c r="T2531" s="1" t="str">
        <f aca="false">IF($S2531="","",IF(COUNTIF($S$2:$S$2991,$S2531)&gt;1,"DUPLICATE","OK"))</f>
        <v/>
      </c>
      <c r="U2531" s="0" t="str">
        <f aca="false">IF($L2531="","",IFERROR(VLOOKUP(--$L2531,MM_Income!$Z$5:$AC$204,3,FALSE()),"UNMAPPED"))</f>
        <v/>
      </c>
    </row>
    <row r="2532" customFormat="false" ht="13.5" hidden="false" customHeight="false" outlineLevel="0" collapsed="false">
      <c r="A2532" s="1" t="str">
        <f aca="false">IF($C2532="","",Controls!$B$7)</f>
        <v/>
      </c>
      <c r="B2532" s="1" t="str">
        <f aca="false">IF($H2532="","",YEAR($H2532)&amp;"-Q"&amp;ROUNDUP(MONTH($H2532)/3,0))</f>
        <v/>
      </c>
      <c r="S2532" s="1" t="str">
        <f aca="false">IF($C2532="","",$C2532&amp;"|"&amp;$E2532&amp;"|"&amp;$F2532&amp;"|"&amp;$L2532&amp;"|"&amp;$P2532&amp;"|"&amp;TEXT($H2532,"yyyy-mm-dd"))</f>
        <v/>
      </c>
      <c r="T2532" s="1" t="str">
        <f aca="false">IF($S2532="","",IF(COUNTIF($S$2:$S$2991,$S2532)&gt;1,"DUPLICATE","OK"))</f>
        <v/>
      </c>
      <c r="U2532" s="0" t="str">
        <f aca="false">IF($L2532="","",IFERROR(VLOOKUP(--$L2532,MM_Income!$Z$5:$AC$204,3,FALSE()),"UNMAPPED"))</f>
        <v/>
      </c>
    </row>
    <row r="2533" customFormat="false" ht="13.5" hidden="false" customHeight="false" outlineLevel="0" collapsed="false">
      <c r="A2533" s="1" t="str">
        <f aca="false">IF($C2533="","",Controls!$B$7)</f>
        <v/>
      </c>
      <c r="B2533" s="1" t="str">
        <f aca="false">IF($H2533="","",YEAR($H2533)&amp;"-Q"&amp;ROUNDUP(MONTH($H2533)/3,0))</f>
        <v/>
      </c>
      <c r="S2533" s="1" t="str">
        <f aca="false">IF($C2533="","",$C2533&amp;"|"&amp;$E2533&amp;"|"&amp;$F2533&amp;"|"&amp;$L2533&amp;"|"&amp;$P2533&amp;"|"&amp;TEXT($H2533,"yyyy-mm-dd"))</f>
        <v/>
      </c>
      <c r="T2533" s="1" t="str">
        <f aca="false">IF($S2533="","",IF(COUNTIF($S$2:$S$2991,$S2533)&gt;1,"DUPLICATE","OK"))</f>
        <v/>
      </c>
      <c r="U2533" s="0" t="str">
        <f aca="false">IF($L2533="","",IFERROR(VLOOKUP(--$L2533,MM_Income!$Z$5:$AC$204,3,FALSE()),"UNMAPPED"))</f>
        <v/>
      </c>
    </row>
    <row r="2534" customFormat="false" ht="13.5" hidden="false" customHeight="false" outlineLevel="0" collapsed="false">
      <c r="A2534" s="1" t="str">
        <f aca="false">IF($C2534="","",Controls!$B$7)</f>
        <v/>
      </c>
      <c r="B2534" s="1" t="str">
        <f aca="false">IF($H2534="","",YEAR($H2534)&amp;"-Q"&amp;ROUNDUP(MONTH($H2534)/3,0))</f>
        <v/>
      </c>
      <c r="S2534" s="1" t="str">
        <f aca="false">IF($C2534="","",$C2534&amp;"|"&amp;$E2534&amp;"|"&amp;$F2534&amp;"|"&amp;$L2534&amp;"|"&amp;$P2534&amp;"|"&amp;TEXT($H2534,"yyyy-mm-dd"))</f>
        <v/>
      </c>
      <c r="T2534" s="1" t="str">
        <f aca="false">IF($S2534="","",IF(COUNTIF($S$2:$S$2991,$S2534)&gt;1,"DUPLICATE","OK"))</f>
        <v/>
      </c>
      <c r="U2534" s="0" t="str">
        <f aca="false">IF($L2534="","",IFERROR(VLOOKUP(--$L2534,MM_Income!$Z$5:$AC$204,3,FALSE()),"UNMAPPED"))</f>
        <v/>
      </c>
    </row>
    <row r="2535" customFormat="false" ht="13.5" hidden="false" customHeight="false" outlineLevel="0" collapsed="false">
      <c r="A2535" s="1" t="str">
        <f aca="false">IF($C2535="","",Controls!$B$7)</f>
        <v/>
      </c>
      <c r="B2535" s="1" t="str">
        <f aca="false">IF($H2535="","",YEAR($H2535)&amp;"-Q"&amp;ROUNDUP(MONTH($H2535)/3,0))</f>
        <v/>
      </c>
      <c r="S2535" s="1" t="str">
        <f aca="false">IF($C2535="","",$C2535&amp;"|"&amp;$E2535&amp;"|"&amp;$F2535&amp;"|"&amp;$L2535&amp;"|"&amp;$P2535&amp;"|"&amp;TEXT($H2535,"yyyy-mm-dd"))</f>
        <v/>
      </c>
      <c r="T2535" s="1" t="str">
        <f aca="false">IF($S2535="","",IF(COUNTIF($S$2:$S$2991,$S2535)&gt;1,"DUPLICATE","OK"))</f>
        <v/>
      </c>
      <c r="U2535" s="0" t="str">
        <f aca="false">IF($L2535="","",IFERROR(VLOOKUP(--$L2535,MM_Income!$Z$5:$AC$204,3,FALSE()),"UNMAPPED"))</f>
        <v/>
      </c>
    </row>
    <row r="2536" customFormat="false" ht="13.5" hidden="false" customHeight="false" outlineLevel="0" collapsed="false">
      <c r="A2536" s="1" t="str">
        <f aca="false">IF($C2536="","",Controls!$B$7)</f>
        <v/>
      </c>
      <c r="B2536" s="1" t="str">
        <f aca="false">IF($H2536="","",YEAR($H2536)&amp;"-Q"&amp;ROUNDUP(MONTH($H2536)/3,0))</f>
        <v/>
      </c>
      <c r="S2536" s="1" t="str">
        <f aca="false">IF($C2536="","",$C2536&amp;"|"&amp;$E2536&amp;"|"&amp;$F2536&amp;"|"&amp;$L2536&amp;"|"&amp;$P2536&amp;"|"&amp;TEXT($H2536,"yyyy-mm-dd"))</f>
        <v/>
      </c>
      <c r="T2536" s="1" t="str">
        <f aca="false">IF($S2536="","",IF(COUNTIF($S$2:$S$2991,$S2536)&gt;1,"DUPLICATE","OK"))</f>
        <v/>
      </c>
      <c r="U2536" s="0" t="str">
        <f aca="false">IF($L2536="","",IFERROR(VLOOKUP(--$L2536,MM_Income!$Z$5:$AC$204,3,FALSE()),"UNMAPPED"))</f>
        <v/>
      </c>
    </row>
    <row r="2537" customFormat="false" ht="13.5" hidden="false" customHeight="false" outlineLevel="0" collapsed="false">
      <c r="A2537" s="1" t="str">
        <f aca="false">IF($C2537="","",Controls!$B$7)</f>
        <v/>
      </c>
      <c r="B2537" s="1" t="str">
        <f aca="false">IF($H2537="","",YEAR($H2537)&amp;"-Q"&amp;ROUNDUP(MONTH($H2537)/3,0))</f>
        <v/>
      </c>
      <c r="S2537" s="1" t="str">
        <f aca="false">IF($C2537="","",$C2537&amp;"|"&amp;$E2537&amp;"|"&amp;$F2537&amp;"|"&amp;$L2537&amp;"|"&amp;$P2537&amp;"|"&amp;TEXT($H2537,"yyyy-mm-dd"))</f>
        <v/>
      </c>
      <c r="T2537" s="1" t="str">
        <f aca="false">IF($S2537="","",IF(COUNTIF($S$2:$S$2991,$S2537)&gt;1,"DUPLICATE","OK"))</f>
        <v/>
      </c>
      <c r="U2537" s="0" t="str">
        <f aca="false">IF($L2537="","",IFERROR(VLOOKUP(--$L2537,MM_Income!$Z$5:$AC$204,3,FALSE()),"UNMAPPED"))</f>
        <v/>
      </c>
    </row>
    <row r="2538" customFormat="false" ht="13.5" hidden="false" customHeight="false" outlineLevel="0" collapsed="false">
      <c r="A2538" s="1" t="str">
        <f aca="false">IF($C2538="","",Controls!$B$7)</f>
        <v/>
      </c>
      <c r="B2538" s="1" t="str">
        <f aca="false">IF($H2538="","",YEAR($H2538)&amp;"-Q"&amp;ROUNDUP(MONTH($H2538)/3,0))</f>
        <v/>
      </c>
      <c r="S2538" s="1" t="str">
        <f aca="false">IF($C2538="","",$C2538&amp;"|"&amp;$E2538&amp;"|"&amp;$F2538&amp;"|"&amp;$L2538&amp;"|"&amp;$P2538&amp;"|"&amp;TEXT($H2538,"yyyy-mm-dd"))</f>
        <v/>
      </c>
      <c r="T2538" s="1" t="str">
        <f aca="false">IF($S2538="","",IF(COUNTIF($S$2:$S$2991,$S2538)&gt;1,"DUPLICATE","OK"))</f>
        <v/>
      </c>
      <c r="U2538" s="0" t="str">
        <f aca="false">IF($L2538="","",IFERROR(VLOOKUP(--$L2538,MM_Income!$Z$5:$AC$204,3,FALSE()),"UNMAPPED"))</f>
        <v/>
      </c>
    </row>
    <row r="2539" customFormat="false" ht="13.5" hidden="false" customHeight="false" outlineLevel="0" collapsed="false">
      <c r="A2539" s="1" t="str">
        <f aca="false">IF($C2539="","",Controls!$B$7)</f>
        <v/>
      </c>
      <c r="B2539" s="1" t="str">
        <f aca="false">IF($H2539="","",YEAR($H2539)&amp;"-Q"&amp;ROUNDUP(MONTH($H2539)/3,0))</f>
        <v/>
      </c>
      <c r="S2539" s="1" t="str">
        <f aca="false">IF($C2539="","",$C2539&amp;"|"&amp;$E2539&amp;"|"&amp;$F2539&amp;"|"&amp;$L2539&amp;"|"&amp;$P2539&amp;"|"&amp;TEXT($H2539,"yyyy-mm-dd"))</f>
        <v/>
      </c>
      <c r="T2539" s="1" t="str">
        <f aca="false">IF($S2539="","",IF(COUNTIF($S$2:$S$2991,$S2539)&gt;1,"DUPLICATE","OK"))</f>
        <v/>
      </c>
      <c r="U2539" s="0" t="str">
        <f aca="false">IF($L2539="","",IFERROR(VLOOKUP(--$L2539,MM_Income!$Z$5:$AC$204,3,FALSE()),"UNMAPPED"))</f>
        <v/>
      </c>
    </row>
    <row r="2540" customFormat="false" ht="13.5" hidden="false" customHeight="false" outlineLevel="0" collapsed="false">
      <c r="A2540" s="1" t="str">
        <f aca="false">IF($C2540="","",Controls!$B$7)</f>
        <v/>
      </c>
      <c r="B2540" s="1" t="str">
        <f aca="false">IF($H2540="","",YEAR($H2540)&amp;"-Q"&amp;ROUNDUP(MONTH($H2540)/3,0))</f>
        <v/>
      </c>
      <c r="S2540" s="1" t="str">
        <f aca="false">IF($C2540="","",$C2540&amp;"|"&amp;$E2540&amp;"|"&amp;$F2540&amp;"|"&amp;$L2540&amp;"|"&amp;$P2540&amp;"|"&amp;TEXT($H2540,"yyyy-mm-dd"))</f>
        <v/>
      </c>
      <c r="T2540" s="1" t="str">
        <f aca="false">IF($S2540="","",IF(COUNTIF($S$2:$S$2991,$S2540)&gt;1,"DUPLICATE","OK"))</f>
        <v/>
      </c>
      <c r="U2540" s="0" t="str">
        <f aca="false">IF($L2540="","",IFERROR(VLOOKUP(--$L2540,MM_Income!$Z$5:$AC$204,3,FALSE()),"UNMAPPED"))</f>
        <v/>
      </c>
    </row>
    <row r="2541" customFormat="false" ht="13.5" hidden="false" customHeight="false" outlineLevel="0" collapsed="false">
      <c r="A2541" s="1" t="str">
        <f aca="false">IF($C2541="","",Controls!$B$7)</f>
        <v/>
      </c>
      <c r="B2541" s="1" t="str">
        <f aca="false">IF($H2541="","",YEAR($H2541)&amp;"-Q"&amp;ROUNDUP(MONTH($H2541)/3,0))</f>
        <v/>
      </c>
      <c r="S2541" s="1" t="str">
        <f aca="false">IF($C2541="","",$C2541&amp;"|"&amp;$E2541&amp;"|"&amp;$F2541&amp;"|"&amp;$L2541&amp;"|"&amp;$P2541&amp;"|"&amp;TEXT($H2541,"yyyy-mm-dd"))</f>
        <v/>
      </c>
      <c r="T2541" s="1" t="str">
        <f aca="false">IF($S2541="","",IF(COUNTIF($S$2:$S$2991,$S2541)&gt;1,"DUPLICATE","OK"))</f>
        <v/>
      </c>
      <c r="U2541" s="0" t="str">
        <f aca="false">IF($L2541="","",IFERROR(VLOOKUP(--$L2541,MM_Income!$Z$5:$AC$204,3,FALSE()),"UNMAPPED"))</f>
        <v/>
      </c>
    </row>
    <row r="2542" customFormat="false" ht="13.5" hidden="false" customHeight="false" outlineLevel="0" collapsed="false">
      <c r="A2542" s="1" t="str">
        <f aca="false">IF($C2542="","",Controls!$B$7)</f>
        <v/>
      </c>
      <c r="B2542" s="1" t="str">
        <f aca="false">IF($H2542="","",YEAR($H2542)&amp;"-Q"&amp;ROUNDUP(MONTH($H2542)/3,0))</f>
        <v/>
      </c>
      <c r="S2542" s="1" t="str">
        <f aca="false">IF($C2542="","",$C2542&amp;"|"&amp;$E2542&amp;"|"&amp;$F2542&amp;"|"&amp;$L2542&amp;"|"&amp;$P2542&amp;"|"&amp;TEXT($H2542,"yyyy-mm-dd"))</f>
        <v/>
      </c>
      <c r="T2542" s="1" t="str">
        <f aca="false">IF($S2542="","",IF(COUNTIF($S$2:$S$2991,$S2542)&gt;1,"DUPLICATE","OK"))</f>
        <v/>
      </c>
      <c r="U2542" s="0" t="str">
        <f aca="false">IF($L2542="","",IFERROR(VLOOKUP(--$L2542,MM_Income!$Z$5:$AC$204,3,FALSE()),"UNMAPPED"))</f>
        <v/>
      </c>
    </row>
    <row r="2543" customFormat="false" ht="13.5" hidden="false" customHeight="false" outlineLevel="0" collapsed="false">
      <c r="A2543" s="1" t="str">
        <f aca="false">IF($C2543="","",Controls!$B$7)</f>
        <v/>
      </c>
      <c r="B2543" s="1" t="str">
        <f aca="false">IF($H2543="","",YEAR($H2543)&amp;"-Q"&amp;ROUNDUP(MONTH($H2543)/3,0))</f>
        <v/>
      </c>
      <c r="S2543" s="1" t="str">
        <f aca="false">IF($C2543="","",$C2543&amp;"|"&amp;$E2543&amp;"|"&amp;$F2543&amp;"|"&amp;$L2543&amp;"|"&amp;$P2543&amp;"|"&amp;TEXT($H2543,"yyyy-mm-dd"))</f>
        <v/>
      </c>
      <c r="T2543" s="1" t="str">
        <f aca="false">IF($S2543="","",IF(COUNTIF($S$2:$S$2991,$S2543)&gt;1,"DUPLICATE","OK"))</f>
        <v/>
      </c>
      <c r="U2543" s="0" t="str">
        <f aca="false">IF($L2543="","",IFERROR(VLOOKUP(--$L2543,MM_Income!$Z$5:$AC$204,3,FALSE()),"UNMAPPED"))</f>
        <v/>
      </c>
    </row>
    <row r="2544" customFormat="false" ht="13.5" hidden="false" customHeight="false" outlineLevel="0" collapsed="false">
      <c r="A2544" s="1" t="str">
        <f aca="false">IF($C2544="","",Controls!$B$7)</f>
        <v/>
      </c>
      <c r="B2544" s="1" t="str">
        <f aca="false">IF($H2544="","",YEAR($H2544)&amp;"-Q"&amp;ROUNDUP(MONTH($H2544)/3,0))</f>
        <v/>
      </c>
      <c r="S2544" s="1" t="str">
        <f aca="false">IF($C2544="","",$C2544&amp;"|"&amp;$E2544&amp;"|"&amp;$F2544&amp;"|"&amp;$L2544&amp;"|"&amp;$P2544&amp;"|"&amp;TEXT($H2544,"yyyy-mm-dd"))</f>
        <v/>
      </c>
      <c r="T2544" s="1" t="str">
        <f aca="false">IF($S2544="","",IF(COUNTIF($S$2:$S$2991,$S2544)&gt;1,"DUPLICATE","OK"))</f>
        <v/>
      </c>
      <c r="U2544" s="0" t="str">
        <f aca="false">IF($L2544="","",IFERROR(VLOOKUP(--$L2544,MM_Income!$Z$5:$AC$204,3,FALSE()),"UNMAPPED"))</f>
        <v/>
      </c>
    </row>
    <row r="2545" customFormat="false" ht="13.5" hidden="false" customHeight="false" outlineLevel="0" collapsed="false">
      <c r="A2545" s="1" t="str">
        <f aca="false">IF($C2545="","",Controls!$B$7)</f>
        <v/>
      </c>
      <c r="B2545" s="1" t="str">
        <f aca="false">IF($H2545="","",YEAR($H2545)&amp;"-Q"&amp;ROUNDUP(MONTH($H2545)/3,0))</f>
        <v/>
      </c>
      <c r="S2545" s="1" t="str">
        <f aca="false">IF($C2545="","",$C2545&amp;"|"&amp;$E2545&amp;"|"&amp;$F2545&amp;"|"&amp;$L2545&amp;"|"&amp;$P2545&amp;"|"&amp;TEXT($H2545,"yyyy-mm-dd"))</f>
        <v/>
      </c>
      <c r="T2545" s="1" t="str">
        <f aca="false">IF($S2545="","",IF(COUNTIF($S$2:$S$2991,$S2545)&gt;1,"DUPLICATE","OK"))</f>
        <v/>
      </c>
      <c r="U2545" s="0" t="str">
        <f aca="false">IF($L2545="","",IFERROR(VLOOKUP(--$L2545,MM_Income!$Z$5:$AC$204,3,FALSE()),"UNMAPPED"))</f>
        <v/>
      </c>
    </row>
    <row r="2546" customFormat="false" ht="13.5" hidden="false" customHeight="false" outlineLevel="0" collapsed="false">
      <c r="A2546" s="1" t="str">
        <f aca="false">IF($C2546="","",Controls!$B$7)</f>
        <v/>
      </c>
      <c r="B2546" s="1" t="str">
        <f aca="false">IF($H2546="","",YEAR($H2546)&amp;"-Q"&amp;ROUNDUP(MONTH($H2546)/3,0))</f>
        <v/>
      </c>
      <c r="S2546" s="1" t="str">
        <f aca="false">IF($C2546="","",$C2546&amp;"|"&amp;$E2546&amp;"|"&amp;$F2546&amp;"|"&amp;$L2546&amp;"|"&amp;$P2546&amp;"|"&amp;TEXT($H2546,"yyyy-mm-dd"))</f>
        <v/>
      </c>
      <c r="T2546" s="1" t="str">
        <f aca="false">IF($S2546="","",IF(COUNTIF($S$2:$S$2991,$S2546)&gt;1,"DUPLICATE","OK"))</f>
        <v/>
      </c>
      <c r="U2546" s="0" t="str">
        <f aca="false">IF($L2546="","",IFERROR(VLOOKUP(--$L2546,MM_Income!$Z$5:$AC$204,3,FALSE()),"UNMAPPED"))</f>
        <v/>
      </c>
    </row>
    <row r="2547" customFormat="false" ht="13.5" hidden="false" customHeight="false" outlineLevel="0" collapsed="false">
      <c r="A2547" s="1" t="str">
        <f aca="false">IF($C2547="","",Controls!$B$7)</f>
        <v/>
      </c>
      <c r="B2547" s="1" t="str">
        <f aca="false">IF($H2547="","",YEAR($H2547)&amp;"-Q"&amp;ROUNDUP(MONTH($H2547)/3,0))</f>
        <v/>
      </c>
      <c r="S2547" s="1" t="str">
        <f aca="false">IF($C2547="","",$C2547&amp;"|"&amp;$E2547&amp;"|"&amp;$F2547&amp;"|"&amp;$L2547&amp;"|"&amp;$P2547&amp;"|"&amp;TEXT($H2547,"yyyy-mm-dd"))</f>
        <v/>
      </c>
      <c r="T2547" s="1" t="str">
        <f aca="false">IF($S2547="","",IF(COUNTIF($S$2:$S$2991,$S2547)&gt;1,"DUPLICATE","OK"))</f>
        <v/>
      </c>
      <c r="U2547" s="0" t="str">
        <f aca="false">IF($L2547="","",IFERROR(VLOOKUP(--$L2547,MM_Income!$Z$5:$AC$204,3,FALSE()),"UNMAPPED"))</f>
        <v/>
      </c>
    </row>
    <row r="2548" customFormat="false" ht="13.5" hidden="false" customHeight="false" outlineLevel="0" collapsed="false">
      <c r="A2548" s="1" t="str">
        <f aca="false">IF($C2548="","",Controls!$B$7)</f>
        <v/>
      </c>
      <c r="B2548" s="1" t="str">
        <f aca="false">IF($H2548="","",YEAR($H2548)&amp;"-Q"&amp;ROUNDUP(MONTH($H2548)/3,0))</f>
        <v/>
      </c>
      <c r="S2548" s="1" t="str">
        <f aca="false">IF($C2548="","",$C2548&amp;"|"&amp;$E2548&amp;"|"&amp;$F2548&amp;"|"&amp;$L2548&amp;"|"&amp;$P2548&amp;"|"&amp;TEXT($H2548,"yyyy-mm-dd"))</f>
        <v/>
      </c>
      <c r="T2548" s="1" t="str">
        <f aca="false">IF($S2548="","",IF(COUNTIF($S$2:$S$2991,$S2548)&gt;1,"DUPLICATE","OK"))</f>
        <v/>
      </c>
      <c r="U2548" s="0" t="str">
        <f aca="false">IF($L2548="","",IFERROR(VLOOKUP(--$L2548,MM_Income!$Z$5:$AC$204,3,FALSE()),"UNMAPPED"))</f>
        <v/>
      </c>
    </row>
    <row r="2549" customFormat="false" ht="13.5" hidden="false" customHeight="false" outlineLevel="0" collapsed="false">
      <c r="A2549" s="1" t="str">
        <f aca="false">IF($C2549="","",Controls!$B$7)</f>
        <v/>
      </c>
      <c r="B2549" s="1" t="str">
        <f aca="false">IF($H2549="","",YEAR($H2549)&amp;"-Q"&amp;ROUNDUP(MONTH($H2549)/3,0))</f>
        <v/>
      </c>
      <c r="S2549" s="1" t="str">
        <f aca="false">IF($C2549="","",$C2549&amp;"|"&amp;$E2549&amp;"|"&amp;$F2549&amp;"|"&amp;$L2549&amp;"|"&amp;$P2549&amp;"|"&amp;TEXT($H2549,"yyyy-mm-dd"))</f>
        <v/>
      </c>
      <c r="T2549" s="1" t="str">
        <f aca="false">IF($S2549="","",IF(COUNTIF($S$2:$S$2991,$S2549)&gt;1,"DUPLICATE","OK"))</f>
        <v/>
      </c>
      <c r="U2549" s="0" t="str">
        <f aca="false">IF($L2549="","",IFERROR(VLOOKUP(--$L2549,MM_Income!$Z$5:$AC$204,3,FALSE()),"UNMAPPED"))</f>
        <v/>
      </c>
    </row>
    <row r="2550" customFormat="false" ht="13.5" hidden="false" customHeight="false" outlineLevel="0" collapsed="false">
      <c r="A2550" s="1" t="str">
        <f aca="false">IF($C2550="","",Controls!$B$7)</f>
        <v/>
      </c>
      <c r="B2550" s="1" t="str">
        <f aca="false">IF($H2550="","",YEAR($H2550)&amp;"-Q"&amp;ROUNDUP(MONTH($H2550)/3,0))</f>
        <v/>
      </c>
      <c r="S2550" s="1" t="str">
        <f aca="false">IF($C2550="","",$C2550&amp;"|"&amp;$E2550&amp;"|"&amp;$F2550&amp;"|"&amp;$L2550&amp;"|"&amp;$P2550&amp;"|"&amp;TEXT($H2550,"yyyy-mm-dd"))</f>
        <v/>
      </c>
      <c r="T2550" s="1" t="str">
        <f aca="false">IF($S2550="","",IF(COUNTIF($S$2:$S$2991,$S2550)&gt;1,"DUPLICATE","OK"))</f>
        <v/>
      </c>
      <c r="U2550" s="0" t="str">
        <f aca="false">IF($L2550="","",IFERROR(VLOOKUP(--$L2550,MM_Income!$Z$5:$AC$204,3,FALSE()),"UNMAPPED"))</f>
        <v/>
      </c>
    </row>
    <row r="2551" customFormat="false" ht="13.5" hidden="false" customHeight="false" outlineLevel="0" collapsed="false">
      <c r="A2551" s="1" t="str">
        <f aca="false">IF($C2551="","",Controls!$B$7)</f>
        <v/>
      </c>
      <c r="B2551" s="1" t="str">
        <f aca="false">IF($H2551="","",YEAR($H2551)&amp;"-Q"&amp;ROUNDUP(MONTH($H2551)/3,0))</f>
        <v/>
      </c>
      <c r="S2551" s="1" t="str">
        <f aca="false">IF($C2551="","",$C2551&amp;"|"&amp;$E2551&amp;"|"&amp;$F2551&amp;"|"&amp;$L2551&amp;"|"&amp;$P2551&amp;"|"&amp;TEXT($H2551,"yyyy-mm-dd"))</f>
        <v/>
      </c>
      <c r="T2551" s="1" t="str">
        <f aca="false">IF($S2551="","",IF(COUNTIF($S$2:$S$2991,$S2551)&gt;1,"DUPLICATE","OK"))</f>
        <v/>
      </c>
      <c r="U2551" s="0" t="str">
        <f aca="false">IF($L2551="","",IFERROR(VLOOKUP(--$L2551,MM_Income!$Z$5:$AC$204,3,FALSE()),"UNMAPPED"))</f>
        <v/>
      </c>
    </row>
    <row r="2552" customFormat="false" ht="13.5" hidden="false" customHeight="false" outlineLevel="0" collapsed="false">
      <c r="A2552" s="1" t="str">
        <f aca="false">IF($C2552="","",Controls!$B$7)</f>
        <v/>
      </c>
      <c r="B2552" s="1" t="str">
        <f aca="false">IF($H2552="","",YEAR($H2552)&amp;"-Q"&amp;ROUNDUP(MONTH($H2552)/3,0))</f>
        <v/>
      </c>
      <c r="S2552" s="1" t="str">
        <f aca="false">IF($C2552="","",$C2552&amp;"|"&amp;$E2552&amp;"|"&amp;$F2552&amp;"|"&amp;$L2552&amp;"|"&amp;$P2552&amp;"|"&amp;TEXT($H2552,"yyyy-mm-dd"))</f>
        <v/>
      </c>
      <c r="T2552" s="1" t="str">
        <f aca="false">IF($S2552="","",IF(COUNTIF($S$2:$S$2991,$S2552)&gt;1,"DUPLICATE","OK"))</f>
        <v/>
      </c>
      <c r="U2552" s="0" t="str">
        <f aca="false">IF($L2552="","",IFERROR(VLOOKUP(--$L2552,MM_Income!$Z$5:$AC$204,3,FALSE()),"UNMAPPED"))</f>
        <v/>
      </c>
    </row>
    <row r="2553" customFormat="false" ht="13.5" hidden="false" customHeight="false" outlineLevel="0" collapsed="false">
      <c r="A2553" s="1" t="str">
        <f aca="false">IF($C2553="","",Controls!$B$7)</f>
        <v/>
      </c>
      <c r="B2553" s="1" t="str">
        <f aca="false">IF($H2553="","",YEAR($H2553)&amp;"-Q"&amp;ROUNDUP(MONTH($H2553)/3,0))</f>
        <v/>
      </c>
      <c r="S2553" s="1" t="str">
        <f aca="false">IF($C2553="","",$C2553&amp;"|"&amp;$E2553&amp;"|"&amp;$F2553&amp;"|"&amp;$L2553&amp;"|"&amp;$P2553&amp;"|"&amp;TEXT($H2553,"yyyy-mm-dd"))</f>
        <v/>
      </c>
      <c r="T2553" s="1" t="str">
        <f aca="false">IF($S2553="","",IF(COUNTIF($S$2:$S$2991,$S2553)&gt;1,"DUPLICATE","OK"))</f>
        <v/>
      </c>
      <c r="U2553" s="0" t="str">
        <f aca="false">IF($L2553="","",IFERROR(VLOOKUP(--$L2553,MM_Income!$Z$5:$AC$204,3,FALSE()),"UNMAPPED"))</f>
        <v/>
      </c>
    </row>
    <row r="2554" customFormat="false" ht="13.5" hidden="false" customHeight="false" outlineLevel="0" collapsed="false">
      <c r="A2554" s="1" t="str">
        <f aca="false">IF($C2554="","",Controls!$B$7)</f>
        <v/>
      </c>
      <c r="B2554" s="1" t="str">
        <f aca="false">IF($H2554="","",YEAR($H2554)&amp;"-Q"&amp;ROUNDUP(MONTH($H2554)/3,0))</f>
        <v/>
      </c>
      <c r="S2554" s="1" t="str">
        <f aca="false">IF($C2554="","",$C2554&amp;"|"&amp;$E2554&amp;"|"&amp;$F2554&amp;"|"&amp;$L2554&amp;"|"&amp;$P2554&amp;"|"&amp;TEXT($H2554,"yyyy-mm-dd"))</f>
        <v/>
      </c>
      <c r="T2554" s="1" t="str">
        <f aca="false">IF($S2554="","",IF(COUNTIF($S$2:$S$2991,$S2554)&gt;1,"DUPLICATE","OK"))</f>
        <v/>
      </c>
      <c r="U2554" s="0" t="str">
        <f aca="false">IF($L2554="","",IFERROR(VLOOKUP(--$L2554,MM_Income!$Z$5:$AC$204,3,FALSE()),"UNMAPPED"))</f>
        <v/>
      </c>
    </row>
    <row r="2555" customFormat="false" ht="13.5" hidden="false" customHeight="false" outlineLevel="0" collapsed="false">
      <c r="A2555" s="1" t="str">
        <f aca="false">IF($C2555="","",Controls!$B$7)</f>
        <v/>
      </c>
      <c r="B2555" s="1" t="str">
        <f aca="false">IF($H2555="","",YEAR($H2555)&amp;"-Q"&amp;ROUNDUP(MONTH($H2555)/3,0))</f>
        <v/>
      </c>
      <c r="S2555" s="1" t="str">
        <f aca="false">IF($C2555="","",$C2555&amp;"|"&amp;$E2555&amp;"|"&amp;$F2555&amp;"|"&amp;$L2555&amp;"|"&amp;$P2555&amp;"|"&amp;TEXT($H2555,"yyyy-mm-dd"))</f>
        <v/>
      </c>
      <c r="T2555" s="1" t="str">
        <f aca="false">IF($S2555="","",IF(COUNTIF($S$2:$S$2991,$S2555)&gt;1,"DUPLICATE","OK"))</f>
        <v/>
      </c>
      <c r="U2555" s="0" t="str">
        <f aca="false">IF($L2555="","",IFERROR(VLOOKUP(--$L2555,MM_Income!$Z$5:$AC$204,3,FALSE()),"UNMAPPED"))</f>
        <v/>
      </c>
    </row>
    <row r="2556" customFormat="false" ht="13.5" hidden="false" customHeight="false" outlineLevel="0" collapsed="false">
      <c r="A2556" s="1" t="str">
        <f aca="false">IF($C2556="","",Controls!$B$7)</f>
        <v/>
      </c>
      <c r="B2556" s="1" t="str">
        <f aca="false">IF($H2556="","",YEAR($H2556)&amp;"-Q"&amp;ROUNDUP(MONTH($H2556)/3,0))</f>
        <v/>
      </c>
      <c r="S2556" s="1" t="str">
        <f aca="false">IF($C2556="","",$C2556&amp;"|"&amp;$E2556&amp;"|"&amp;$F2556&amp;"|"&amp;$L2556&amp;"|"&amp;$P2556&amp;"|"&amp;TEXT($H2556,"yyyy-mm-dd"))</f>
        <v/>
      </c>
      <c r="T2556" s="1" t="str">
        <f aca="false">IF($S2556="","",IF(COUNTIF($S$2:$S$2991,$S2556)&gt;1,"DUPLICATE","OK"))</f>
        <v/>
      </c>
      <c r="U2556" s="0" t="str">
        <f aca="false">IF($L2556="","",IFERROR(VLOOKUP(--$L2556,MM_Income!$Z$5:$AC$204,3,FALSE()),"UNMAPPED"))</f>
        <v/>
      </c>
    </row>
    <row r="2557" customFormat="false" ht="13.5" hidden="false" customHeight="false" outlineLevel="0" collapsed="false">
      <c r="A2557" s="1" t="str">
        <f aca="false">IF($C2557="","",Controls!$B$7)</f>
        <v/>
      </c>
      <c r="B2557" s="1" t="str">
        <f aca="false">IF($H2557="","",YEAR($H2557)&amp;"-Q"&amp;ROUNDUP(MONTH($H2557)/3,0))</f>
        <v/>
      </c>
      <c r="S2557" s="1" t="str">
        <f aca="false">IF($C2557="","",$C2557&amp;"|"&amp;$E2557&amp;"|"&amp;$F2557&amp;"|"&amp;$L2557&amp;"|"&amp;$P2557&amp;"|"&amp;TEXT($H2557,"yyyy-mm-dd"))</f>
        <v/>
      </c>
      <c r="T2557" s="1" t="str">
        <f aca="false">IF($S2557="","",IF(COUNTIF($S$2:$S$2991,$S2557)&gt;1,"DUPLICATE","OK"))</f>
        <v/>
      </c>
      <c r="U2557" s="0" t="str">
        <f aca="false">IF($L2557="","",IFERROR(VLOOKUP(--$L2557,MM_Income!$Z$5:$AC$204,3,FALSE()),"UNMAPPED"))</f>
        <v/>
      </c>
    </row>
    <row r="2558" customFormat="false" ht="13.5" hidden="false" customHeight="false" outlineLevel="0" collapsed="false">
      <c r="A2558" s="1" t="str">
        <f aca="false">IF($C2558="","",Controls!$B$7)</f>
        <v/>
      </c>
      <c r="B2558" s="1" t="str">
        <f aca="false">IF($H2558="","",YEAR($H2558)&amp;"-Q"&amp;ROUNDUP(MONTH($H2558)/3,0))</f>
        <v/>
      </c>
      <c r="S2558" s="1" t="str">
        <f aca="false">IF($C2558="","",$C2558&amp;"|"&amp;$E2558&amp;"|"&amp;$F2558&amp;"|"&amp;$L2558&amp;"|"&amp;$P2558&amp;"|"&amp;TEXT($H2558,"yyyy-mm-dd"))</f>
        <v/>
      </c>
      <c r="T2558" s="1" t="str">
        <f aca="false">IF($S2558="","",IF(COUNTIF($S$2:$S$2991,$S2558)&gt;1,"DUPLICATE","OK"))</f>
        <v/>
      </c>
      <c r="U2558" s="0" t="str">
        <f aca="false">IF($L2558="","",IFERROR(VLOOKUP(--$L2558,MM_Income!$Z$5:$AC$204,3,FALSE()),"UNMAPPED"))</f>
        <v/>
      </c>
    </row>
    <row r="2559" customFormat="false" ht="13.5" hidden="false" customHeight="false" outlineLevel="0" collapsed="false">
      <c r="A2559" s="1" t="str">
        <f aca="false">IF($C2559="","",Controls!$B$7)</f>
        <v/>
      </c>
      <c r="B2559" s="1" t="str">
        <f aca="false">IF($H2559="","",YEAR($H2559)&amp;"-Q"&amp;ROUNDUP(MONTH($H2559)/3,0))</f>
        <v/>
      </c>
      <c r="S2559" s="1" t="str">
        <f aca="false">IF($C2559="","",$C2559&amp;"|"&amp;$E2559&amp;"|"&amp;$F2559&amp;"|"&amp;$L2559&amp;"|"&amp;$P2559&amp;"|"&amp;TEXT($H2559,"yyyy-mm-dd"))</f>
        <v/>
      </c>
      <c r="T2559" s="1" t="str">
        <f aca="false">IF($S2559="","",IF(COUNTIF($S$2:$S$2991,$S2559)&gt;1,"DUPLICATE","OK"))</f>
        <v/>
      </c>
      <c r="U2559" s="0" t="str">
        <f aca="false">IF($L2559="","",IFERROR(VLOOKUP(--$L2559,MM_Income!$Z$5:$AC$204,3,FALSE()),"UNMAPPED"))</f>
        <v/>
      </c>
    </row>
    <row r="2560" customFormat="false" ht="13.5" hidden="false" customHeight="false" outlineLevel="0" collapsed="false">
      <c r="A2560" s="1" t="str">
        <f aca="false">IF($C2560="","",Controls!$B$7)</f>
        <v/>
      </c>
      <c r="B2560" s="1" t="str">
        <f aca="false">IF($H2560="","",YEAR($H2560)&amp;"-Q"&amp;ROUNDUP(MONTH($H2560)/3,0))</f>
        <v/>
      </c>
      <c r="S2560" s="1" t="str">
        <f aca="false">IF($C2560="","",$C2560&amp;"|"&amp;$E2560&amp;"|"&amp;$F2560&amp;"|"&amp;$L2560&amp;"|"&amp;$P2560&amp;"|"&amp;TEXT($H2560,"yyyy-mm-dd"))</f>
        <v/>
      </c>
      <c r="T2560" s="1" t="str">
        <f aca="false">IF($S2560="","",IF(COUNTIF($S$2:$S$2991,$S2560)&gt;1,"DUPLICATE","OK"))</f>
        <v/>
      </c>
      <c r="U2560" s="0" t="str">
        <f aca="false">IF($L2560="","",IFERROR(VLOOKUP(--$L2560,MM_Income!$Z$5:$AC$204,3,FALSE()),"UNMAPPED"))</f>
        <v/>
      </c>
    </row>
    <row r="2561" customFormat="false" ht="13.5" hidden="false" customHeight="false" outlineLevel="0" collapsed="false">
      <c r="A2561" s="1" t="str">
        <f aca="false">IF($C2561="","",Controls!$B$7)</f>
        <v/>
      </c>
      <c r="B2561" s="1" t="str">
        <f aca="false">IF($H2561="","",YEAR($H2561)&amp;"-Q"&amp;ROUNDUP(MONTH($H2561)/3,0))</f>
        <v/>
      </c>
      <c r="S2561" s="1" t="str">
        <f aca="false">IF($C2561="","",$C2561&amp;"|"&amp;$E2561&amp;"|"&amp;$F2561&amp;"|"&amp;$L2561&amp;"|"&amp;$P2561&amp;"|"&amp;TEXT($H2561,"yyyy-mm-dd"))</f>
        <v/>
      </c>
      <c r="T2561" s="1" t="str">
        <f aca="false">IF($S2561="","",IF(COUNTIF($S$2:$S$2991,$S2561)&gt;1,"DUPLICATE","OK"))</f>
        <v/>
      </c>
      <c r="U2561" s="0" t="str">
        <f aca="false">IF($L2561="","",IFERROR(VLOOKUP(--$L2561,MM_Income!$Z$5:$AC$204,3,FALSE()),"UNMAPPED"))</f>
        <v/>
      </c>
    </row>
    <row r="2562" customFormat="false" ht="13.5" hidden="false" customHeight="false" outlineLevel="0" collapsed="false">
      <c r="A2562" s="1" t="str">
        <f aca="false">IF($C2562="","",Controls!$B$7)</f>
        <v/>
      </c>
      <c r="B2562" s="1" t="str">
        <f aca="false">IF($H2562="","",YEAR($H2562)&amp;"-Q"&amp;ROUNDUP(MONTH($H2562)/3,0))</f>
        <v/>
      </c>
      <c r="S2562" s="1" t="str">
        <f aca="false">IF($C2562="","",$C2562&amp;"|"&amp;$E2562&amp;"|"&amp;$F2562&amp;"|"&amp;$L2562&amp;"|"&amp;$P2562&amp;"|"&amp;TEXT($H2562,"yyyy-mm-dd"))</f>
        <v/>
      </c>
      <c r="T2562" s="1" t="str">
        <f aca="false">IF($S2562="","",IF(COUNTIF($S$2:$S$2991,$S2562)&gt;1,"DUPLICATE","OK"))</f>
        <v/>
      </c>
      <c r="U2562" s="0" t="str">
        <f aca="false">IF($L2562="","",IFERROR(VLOOKUP(--$L2562,MM_Income!$Z$5:$AC$204,3,FALSE()),"UNMAPPED"))</f>
        <v/>
      </c>
    </row>
    <row r="2563" customFormat="false" ht="13.5" hidden="false" customHeight="false" outlineLevel="0" collapsed="false">
      <c r="A2563" s="1" t="str">
        <f aca="false">IF($C2563="","",Controls!$B$7)</f>
        <v/>
      </c>
      <c r="B2563" s="1" t="str">
        <f aca="false">IF($H2563="","",YEAR($H2563)&amp;"-Q"&amp;ROUNDUP(MONTH($H2563)/3,0))</f>
        <v/>
      </c>
      <c r="S2563" s="1" t="str">
        <f aca="false">IF($C2563="","",$C2563&amp;"|"&amp;$E2563&amp;"|"&amp;$F2563&amp;"|"&amp;$L2563&amp;"|"&amp;$P2563&amp;"|"&amp;TEXT($H2563,"yyyy-mm-dd"))</f>
        <v/>
      </c>
      <c r="T2563" s="1" t="str">
        <f aca="false">IF($S2563="","",IF(COUNTIF($S$2:$S$2991,$S2563)&gt;1,"DUPLICATE","OK"))</f>
        <v/>
      </c>
      <c r="U2563" s="0" t="str">
        <f aca="false">IF($L2563="","",IFERROR(VLOOKUP(--$L2563,MM_Income!$Z$5:$AC$204,3,FALSE()),"UNMAPPED"))</f>
        <v/>
      </c>
    </row>
    <row r="2564" customFormat="false" ht="13.5" hidden="false" customHeight="false" outlineLevel="0" collapsed="false">
      <c r="A2564" s="1" t="str">
        <f aca="false">IF($C2564="","",Controls!$B$7)</f>
        <v/>
      </c>
      <c r="B2564" s="1" t="str">
        <f aca="false">IF($H2564="","",YEAR($H2564)&amp;"-Q"&amp;ROUNDUP(MONTH($H2564)/3,0))</f>
        <v/>
      </c>
      <c r="S2564" s="1" t="str">
        <f aca="false">IF($C2564="","",$C2564&amp;"|"&amp;$E2564&amp;"|"&amp;$F2564&amp;"|"&amp;$L2564&amp;"|"&amp;$P2564&amp;"|"&amp;TEXT($H2564,"yyyy-mm-dd"))</f>
        <v/>
      </c>
      <c r="T2564" s="1" t="str">
        <f aca="false">IF($S2564="","",IF(COUNTIF($S$2:$S$2991,$S2564)&gt;1,"DUPLICATE","OK"))</f>
        <v/>
      </c>
      <c r="U2564" s="0" t="str">
        <f aca="false">IF($L2564="","",IFERROR(VLOOKUP(--$L2564,MM_Income!$Z$5:$AC$204,3,FALSE()),"UNMAPPED"))</f>
        <v/>
      </c>
    </row>
    <row r="2565" customFormat="false" ht="13.5" hidden="false" customHeight="false" outlineLevel="0" collapsed="false">
      <c r="A2565" s="1" t="str">
        <f aca="false">IF($C2565="","",Controls!$B$7)</f>
        <v/>
      </c>
      <c r="B2565" s="1" t="str">
        <f aca="false">IF($H2565="","",YEAR($H2565)&amp;"-Q"&amp;ROUNDUP(MONTH($H2565)/3,0))</f>
        <v/>
      </c>
      <c r="S2565" s="1" t="str">
        <f aca="false">IF($C2565="","",$C2565&amp;"|"&amp;$E2565&amp;"|"&amp;$F2565&amp;"|"&amp;$L2565&amp;"|"&amp;$P2565&amp;"|"&amp;TEXT($H2565,"yyyy-mm-dd"))</f>
        <v/>
      </c>
      <c r="T2565" s="1" t="str">
        <f aca="false">IF($S2565="","",IF(COUNTIF($S$2:$S$2991,$S2565)&gt;1,"DUPLICATE","OK"))</f>
        <v/>
      </c>
      <c r="U2565" s="0" t="str">
        <f aca="false">IF($L2565="","",IFERROR(VLOOKUP(--$L2565,MM_Income!$Z$5:$AC$204,3,FALSE()),"UNMAPPED"))</f>
        <v/>
      </c>
    </row>
    <row r="2566" customFormat="false" ht="13.5" hidden="false" customHeight="false" outlineLevel="0" collapsed="false">
      <c r="A2566" s="1" t="str">
        <f aca="false">IF($C2566="","",Controls!$B$7)</f>
        <v/>
      </c>
      <c r="B2566" s="1" t="str">
        <f aca="false">IF($H2566="","",YEAR($H2566)&amp;"-Q"&amp;ROUNDUP(MONTH($H2566)/3,0))</f>
        <v/>
      </c>
      <c r="S2566" s="1" t="str">
        <f aca="false">IF($C2566="","",$C2566&amp;"|"&amp;$E2566&amp;"|"&amp;$F2566&amp;"|"&amp;$L2566&amp;"|"&amp;$P2566&amp;"|"&amp;TEXT($H2566,"yyyy-mm-dd"))</f>
        <v/>
      </c>
      <c r="T2566" s="1" t="str">
        <f aca="false">IF($S2566="","",IF(COUNTIF($S$2:$S$2991,$S2566)&gt;1,"DUPLICATE","OK"))</f>
        <v/>
      </c>
      <c r="U2566" s="0" t="str">
        <f aca="false">IF($L2566="","",IFERROR(VLOOKUP(--$L2566,MM_Income!$Z$5:$AC$204,3,FALSE()),"UNMAPPED"))</f>
        <v/>
      </c>
    </row>
    <row r="2567" customFormat="false" ht="13.5" hidden="false" customHeight="false" outlineLevel="0" collapsed="false">
      <c r="A2567" s="1" t="str">
        <f aca="false">IF($C2567="","",Controls!$B$7)</f>
        <v/>
      </c>
      <c r="B2567" s="1" t="str">
        <f aca="false">IF($H2567="","",YEAR($H2567)&amp;"-Q"&amp;ROUNDUP(MONTH($H2567)/3,0))</f>
        <v/>
      </c>
      <c r="S2567" s="1" t="str">
        <f aca="false">IF($C2567="","",$C2567&amp;"|"&amp;$E2567&amp;"|"&amp;$F2567&amp;"|"&amp;$L2567&amp;"|"&amp;$P2567&amp;"|"&amp;TEXT($H2567,"yyyy-mm-dd"))</f>
        <v/>
      </c>
      <c r="T2567" s="1" t="str">
        <f aca="false">IF($S2567="","",IF(COUNTIF($S$2:$S$2991,$S2567)&gt;1,"DUPLICATE","OK"))</f>
        <v/>
      </c>
      <c r="U2567" s="0" t="str">
        <f aca="false">IF($L2567="","",IFERROR(VLOOKUP(--$L2567,MM_Income!$Z$5:$AC$204,3,FALSE()),"UNMAPPED"))</f>
        <v/>
      </c>
    </row>
    <row r="2568" customFormat="false" ht="13.5" hidden="false" customHeight="false" outlineLevel="0" collapsed="false">
      <c r="A2568" s="1" t="str">
        <f aca="false">IF($C2568="","",Controls!$B$7)</f>
        <v/>
      </c>
      <c r="B2568" s="1" t="str">
        <f aca="false">IF($H2568="","",YEAR($H2568)&amp;"-Q"&amp;ROUNDUP(MONTH($H2568)/3,0))</f>
        <v/>
      </c>
      <c r="S2568" s="1" t="str">
        <f aca="false">IF($C2568="","",$C2568&amp;"|"&amp;$E2568&amp;"|"&amp;$F2568&amp;"|"&amp;$L2568&amp;"|"&amp;$P2568&amp;"|"&amp;TEXT($H2568,"yyyy-mm-dd"))</f>
        <v/>
      </c>
      <c r="T2568" s="1" t="str">
        <f aca="false">IF($S2568="","",IF(COUNTIF($S$2:$S$2991,$S2568)&gt;1,"DUPLICATE","OK"))</f>
        <v/>
      </c>
      <c r="U2568" s="0" t="str">
        <f aca="false">IF($L2568="","",IFERROR(VLOOKUP(--$L2568,MM_Income!$Z$5:$AC$204,3,FALSE()),"UNMAPPED"))</f>
        <v/>
      </c>
    </row>
    <row r="2569" customFormat="false" ht="13.5" hidden="false" customHeight="false" outlineLevel="0" collapsed="false">
      <c r="A2569" s="1" t="str">
        <f aca="false">IF($C2569="","",Controls!$B$7)</f>
        <v/>
      </c>
      <c r="B2569" s="1" t="str">
        <f aca="false">IF($H2569="","",YEAR($H2569)&amp;"-Q"&amp;ROUNDUP(MONTH($H2569)/3,0))</f>
        <v/>
      </c>
      <c r="S2569" s="1" t="str">
        <f aca="false">IF($C2569="","",$C2569&amp;"|"&amp;$E2569&amp;"|"&amp;$F2569&amp;"|"&amp;$L2569&amp;"|"&amp;$P2569&amp;"|"&amp;TEXT($H2569,"yyyy-mm-dd"))</f>
        <v/>
      </c>
      <c r="T2569" s="1" t="str">
        <f aca="false">IF($S2569="","",IF(COUNTIF($S$2:$S$2991,$S2569)&gt;1,"DUPLICATE","OK"))</f>
        <v/>
      </c>
      <c r="U2569" s="0" t="str">
        <f aca="false">IF($L2569="","",IFERROR(VLOOKUP(--$L2569,MM_Income!$Z$5:$AC$204,3,FALSE()),"UNMAPPED"))</f>
        <v/>
      </c>
    </row>
    <row r="2570" customFormat="false" ht="13.5" hidden="false" customHeight="false" outlineLevel="0" collapsed="false">
      <c r="A2570" s="1" t="str">
        <f aca="false">IF($C2570="","",Controls!$B$7)</f>
        <v/>
      </c>
      <c r="B2570" s="1" t="str">
        <f aca="false">IF($H2570="","",YEAR($H2570)&amp;"-Q"&amp;ROUNDUP(MONTH($H2570)/3,0))</f>
        <v/>
      </c>
      <c r="S2570" s="1" t="str">
        <f aca="false">IF($C2570="","",$C2570&amp;"|"&amp;$E2570&amp;"|"&amp;$F2570&amp;"|"&amp;$L2570&amp;"|"&amp;$P2570&amp;"|"&amp;TEXT($H2570,"yyyy-mm-dd"))</f>
        <v/>
      </c>
      <c r="T2570" s="1" t="str">
        <f aca="false">IF($S2570="","",IF(COUNTIF($S$2:$S$2991,$S2570)&gt;1,"DUPLICATE","OK"))</f>
        <v/>
      </c>
      <c r="U2570" s="0" t="str">
        <f aca="false">IF($L2570="","",IFERROR(VLOOKUP(--$L2570,MM_Income!$Z$5:$AC$204,3,FALSE()),"UNMAPPED"))</f>
        <v/>
      </c>
    </row>
    <row r="2571" customFormat="false" ht="13.5" hidden="false" customHeight="false" outlineLevel="0" collapsed="false">
      <c r="A2571" s="1" t="str">
        <f aca="false">IF($C2571="","",Controls!$B$7)</f>
        <v/>
      </c>
      <c r="B2571" s="1" t="str">
        <f aca="false">IF($H2571="","",YEAR($H2571)&amp;"-Q"&amp;ROUNDUP(MONTH($H2571)/3,0))</f>
        <v/>
      </c>
      <c r="S2571" s="1" t="str">
        <f aca="false">IF($C2571="","",$C2571&amp;"|"&amp;$E2571&amp;"|"&amp;$F2571&amp;"|"&amp;$L2571&amp;"|"&amp;$P2571&amp;"|"&amp;TEXT($H2571,"yyyy-mm-dd"))</f>
        <v/>
      </c>
      <c r="T2571" s="1" t="str">
        <f aca="false">IF($S2571="","",IF(COUNTIF($S$2:$S$2991,$S2571)&gt;1,"DUPLICATE","OK"))</f>
        <v/>
      </c>
      <c r="U2571" s="0" t="str">
        <f aca="false">IF($L2571="","",IFERROR(VLOOKUP(--$L2571,MM_Income!$Z$5:$AC$204,3,FALSE()),"UNMAPPED"))</f>
        <v/>
      </c>
    </row>
    <row r="2572" customFormat="false" ht="13.5" hidden="false" customHeight="false" outlineLevel="0" collapsed="false">
      <c r="A2572" s="1" t="str">
        <f aca="false">IF($C2572="","",Controls!$B$7)</f>
        <v/>
      </c>
      <c r="B2572" s="1" t="str">
        <f aca="false">IF($H2572="","",YEAR($H2572)&amp;"-Q"&amp;ROUNDUP(MONTH($H2572)/3,0))</f>
        <v/>
      </c>
      <c r="S2572" s="1" t="str">
        <f aca="false">IF($C2572="","",$C2572&amp;"|"&amp;$E2572&amp;"|"&amp;$F2572&amp;"|"&amp;$L2572&amp;"|"&amp;$P2572&amp;"|"&amp;TEXT($H2572,"yyyy-mm-dd"))</f>
        <v/>
      </c>
      <c r="T2572" s="1" t="str">
        <f aca="false">IF($S2572="","",IF(COUNTIF($S$2:$S$2991,$S2572)&gt;1,"DUPLICATE","OK"))</f>
        <v/>
      </c>
      <c r="U2572" s="0" t="str">
        <f aca="false">IF($L2572="","",IFERROR(VLOOKUP(--$L2572,MM_Income!$Z$5:$AC$204,3,FALSE()),"UNMAPPED"))</f>
        <v/>
      </c>
    </row>
    <row r="2573" customFormat="false" ht="13.5" hidden="false" customHeight="false" outlineLevel="0" collapsed="false">
      <c r="A2573" s="1" t="str">
        <f aca="false">IF($C2573="","",Controls!$B$7)</f>
        <v/>
      </c>
      <c r="B2573" s="1" t="str">
        <f aca="false">IF($H2573="","",YEAR($H2573)&amp;"-Q"&amp;ROUNDUP(MONTH($H2573)/3,0))</f>
        <v/>
      </c>
      <c r="S2573" s="1" t="str">
        <f aca="false">IF($C2573="","",$C2573&amp;"|"&amp;$E2573&amp;"|"&amp;$F2573&amp;"|"&amp;$L2573&amp;"|"&amp;$P2573&amp;"|"&amp;TEXT($H2573,"yyyy-mm-dd"))</f>
        <v/>
      </c>
      <c r="T2573" s="1" t="str">
        <f aca="false">IF($S2573="","",IF(COUNTIF($S$2:$S$2991,$S2573)&gt;1,"DUPLICATE","OK"))</f>
        <v/>
      </c>
      <c r="U2573" s="0" t="str">
        <f aca="false">IF($L2573="","",IFERROR(VLOOKUP(--$L2573,MM_Income!$Z$5:$AC$204,3,FALSE()),"UNMAPPED"))</f>
        <v/>
      </c>
    </row>
    <row r="2574" customFormat="false" ht="13.5" hidden="false" customHeight="false" outlineLevel="0" collapsed="false">
      <c r="A2574" s="1" t="str">
        <f aca="false">IF($C2574="","",Controls!$B$7)</f>
        <v/>
      </c>
      <c r="B2574" s="1" t="str">
        <f aca="false">IF($H2574="","",YEAR($H2574)&amp;"-Q"&amp;ROUNDUP(MONTH($H2574)/3,0))</f>
        <v/>
      </c>
      <c r="S2574" s="1" t="str">
        <f aca="false">IF($C2574="","",$C2574&amp;"|"&amp;$E2574&amp;"|"&amp;$F2574&amp;"|"&amp;$L2574&amp;"|"&amp;$P2574&amp;"|"&amp;TEXT($H2574,"yyyy-mm-dd"))</f>
        <v/>
      </c>
      <c r="T2574" s="1" t="str">
        <f aca="false">IF($S2574="","",IF(COUNTIF($S$2:$S$2991,$S2574)&gt;1,"DUPLICATE","OK"))</f>
        <v/>
      </c>
      <c r="U2574" s="0" t="str">
        <f aca="false">IF($L2574="","",IFERROR(VLOOKUP(--$L2574,MM_Income!$Z$5:$AC$204,3,FALSE()),"UNMAPPED"))</f>
        <v/>
      </c>
    </row>
    <row r="2575" customFormat="false" ht="13.5" hidden="false" customHeight="false" outlineLevel="0" collapsed="false">
      <c r="A2575" s="1" t="str">
        <f aca="false">IF($C2575="","",Controls!$B$7)</f>
        <v/>
      </c>
      <c r="B2575" s="1" t="str">
        <f aca="false">IF($H2575="","",YEAR($H2575)&amp;"-Q"&amp;ROUNDUP(MONTH($H2575)/3,0))</f>
        <v/>
      </c>
      <c r="S2575" s="1" t="str">
        <f aca="false">IF($C2575="","",$C2575&amp;"|"&amp;$E2575&amp;"|"&amp;$F2575&amp;"|"&amp;$L2575&amp;"|"&amp;$P2575&amp;"|"&amp;TEXT($H2575,"yyyy-mm-dd"))</f>
        <v/>
      </c>
      <c r="T2575" s="1" t="str">
        <f aca="false">IF($S2575="","",IF(COUNTIF($S$2:$S$2991,$S2575)&gt;1,"DUPLICATE","OK"))</f>
        <v/>
      </c>
      <c r="U2575" s="0" t="str">
        <f aca="false">IF($L2575="","",IFERROR(VLOOKUP(--$L2575,MM_Income!$Z$5:$AC$204,3,FALSE()),"UNMAPPED"))</f>
        <v/>
      </c>
    </row>
    <row r="2576" customFormat="false" ht="13.5" hidden="false" customHeight="false" outlineLevel="0" collapsed="false">
      <c r="A2576" s="1" t="str">
        <f aca="false">IF($C2576="","",Controls!$B$7)</f>
        <v/>
      </c>
      <c r="B2576" s="1" t="str">
        <f aca="false">IF($H2576="","",YEAR($H2576)&amp;"-Q"&amp;ROUNDUP(MONTH($H2576)/3,0))</f>
        <v/>
      </c>
      <c r="S2576" s="1" t="str">
        <f aca="false">IF($C2576="","",$C2576&amp;"|"&amp;$E2576&amp;"|"&amp;$F2576&amp;"|"&amp;$L2576&amp;"|"&amp;$P2576&amp;"|"&amp;TEXT($H2576,"yyyy-mm-dd"))</f>
        <v/>
      </c>
      <c r="T2576" s="1" t="str">
        <f aca="false">IF($S2576="","",IF(COUNTIF($S$2:$S$2991,$S2576)&gt;1,"DUPLICATE","OK"))</f>
        <v/>
      </c>
      <c r="U2576" s="0" t="str">
        <f aca="false">IF($L2576="","",IFERROR(VLOOKUP(--$L2576,MM_Income!$Z$5:$AC$204,3,FALSE()),"UNMAPPED"))</f>
        <v/>
      </c>
    </row>
    <row r="2577" customFormat="false" ht="13.5" hidden="false" customHeight="false" outlineLevel="0" collapsed="false">
      <c r="A2577" s="1" t="str">
        <f aca="false">IF($C2577="","",Controls!$B$7)</f>
        <v/>
      </c>
      <c r="B2577" s="1" t="str">
        <f aca="false">IF($H2577="","",YEAR($H2577)&amp;"-Q"&amp;ROUNDUP(MONTH($H2577)/3,0))</f>
        <v/>
      </c>
      <c r="S2577" s="1" t="str">
        <f aca="false">IF($C2577="","",$C2577&amp;"|"&amp;$E2577&amp;"|"&amp;$F2577&amp;"|"&amp;$L2577&amp;"|"&amp;$P2577&amp;"|"&amp;TEXT($H2577,"yyyy-mm-dd"))</f>
        <v/>
      </c>
      <c r="T2577" s="1" t="str">
        <f aca="false">IF($S2577="","",IF(COUNTIF($S$2:$S$2991,$S2577)&gt;1,"DUPLICATE","OK"))</f>
        <v/>
      </c>
      <c r="U2577" s="0" t="str">
        <f aca="false">IF($L2577="","",IFERROR(VLOOKUP(--$L2577,MM_Income!$Z$5:$AC$204,3,FALSE()),"UNMAPPED"))</f>
        <v/>
      </c>
    </row>
    <row r="2578" customFormat="false" ht="13.5" hidden="false" customHeight="false" outlineLevel="0" collapsed="false">
      <c r="A2578" s="1" t="str">
        <f aca="false">IF($C2578="","",Controls!$B$7)</f>
        <v/>
      </c>
      <c r="B2578" s="1" t="str">
        <f aca="false">IF($H2578="","",YEAR($H2578)&amp;"-Q"&amp;ROUNDUP(MONTH($H2578)/3,0))</f>
        <v/>
      </c>
      <c r="S2578" s="1" t="str">
        <f aca="false">IF($C2578="","",$C2578&amp;"|"&amp;$E2578&amp;"|"&amp;$F2578&amp;"|"&amp;$L2578&amp;"|"&amp;$P2578&amp;"|"&amp;TEXT($H2578,"yyyy-mm-dd"))</f>
        <v/>
      </c>
      <c r="T2578" s="1" t="str">
        <f aca="false">IF($S2578="","",IF(COUNTIF($S$2:$S$2991,$S2578)&gt;1,"DUPLICATE","OK"))</f>
        <v/>
      </c>
      <c r="U2578" s="0" t="str">
        <f aca="false">IF($L2578="","",IFERROR(VLOOKUP(--$L2578,MM_Income!$Z$5:$AC$204,3,FALSE()),"UNMAPPED"))</f>
        <v/>
      </c>
    </row>
    <row r="2579" customFormat="false" ht="13.5" hidden="false" customHeight="false" outlineLevel="0" collapsed="false">
      <c r="A2579" s="1" t="str">
        <f aca="false">IF($C2579="","",Controls!$B$7)</f>
        <v/>
      </c>
      <c r="B2579" s="1" t="str">
        <f aca="false">IF($H2579="","",YEAR($H2579)&amp;"-Q"&amp;ROUNDUP(MONTH($H2579)/3,0))</f>
        <v/>
      </c>
      <c r="S2579" s="1" t="str">
        <f aca="false">IF($C2579="","",$C2579&amp;"|"&amp;$E2579&amp;"|"&amp;$F2579&amp;"|"&amp;$L2579&amp;"|"&amp;$P2579&amp;"|"&amp;TEXT($H2579,"yyyy-mm-dd"))</f>
        <v/>
      </c>
      <c r="T2579" s="1" t="str">
        <f aca="false">IF($S2579="","",IF(COUNTIF($S$2:$S$2991,$S2579)&gt;1,"DUPLICATE","OK"))</f>
        <v/>
      </c>
      <c r="U2579" s="0" t="str">
        <f aca="false">IF($L2579="","",IFERROR(VLOOKUP(--$L2579,MM_Income!$Z$5:$AC$204,3,FALSE()),"UNMAPPED"))</f>
        <v/>
      </c>
    </row>
    <row r="2580" customFormat="false" ht="13.5" hidden="false" customHeight="false" outlineLevel="0" collapsed="false">
      <c r="A2580" s="1" t="str">
        <f aca="false">IF($C2580="","",Controls!$B$7)</f>
        <v/>
      </c>
      <c r="B2580" s="1" t="str">
        <f aca="false">IF($H2580="","",YEAR($H2580)&amp;"-Q"&amp;ROUNDUP(MONTH($H2580)/3,0))</f>
        <v/>
      </c>
      <c r="S2580" s="1" t="str">
        <f aca="false">IF($C2580="","",$C2580&amp;"|"&amp;$E2580&amp;"|"&amp;$F2580&amp;"|"&amp;$L2580&amp;"|"&amp;$P2580&amp;"|"&amp;TEXT($H2580,"yyyy-mm-dd"))</f>
        <v/>
      </c>
      <c r="T2580" s="1" t="str">
        <f aca="false">IF($S2580="","",IF(COUNTIF($S$2:$S$2991,$S2580)&gt;1,"DUPLICATE","OK"))</f>
        <v/>
      </c>
      <c r="U2580" s="0" t="str">
        <f aca="false">IF($L2580="","",IFERROR(VLOOKUP(--$L2580,MM_Income!$Z$5:$AC$204,3,FALSE()),"UNMAPPED"))</f>
        <v/>
      </c>
    </row>
    <row r="2581" customFormat="false" ht="13.5" hidden="false" customHeight="false" outlineLevel="0" collapsed="false">
      <c r="A2581" s="1" t="str">
        <f aca="false">IF($C2581="","",Controls!$B$7)</f>
        <v/>
      </c>
      <c r="B2581" s="1" t="str">
        <f aca="false">IF($H2581="","",YEAR($H2581)&amp;"-Q"&amp;ROUNDUP(MONTH($H2581)/3,0))</f>
        <v/>
      </c>
      <c r="S2581" s="1" t="str">
        <f aca="false">IF($C2581="","",$C2581&amp;"|"&amp;$E2581&amp;"|"&amp;$F2581&amp;"|"&amp;$L2581&amp;"|"&amp;$P2581&amp;"|"&amp;TEXT($H2581,"yyyy-mm-dd"))</f>
        <v/>
      </c>
      <c r="T2581" s="1" t="str">
        <f aca="false">IF($S2581="","",IF(COUNTIF($S$2:$S$2991,$S2581)&gt;1,"DUPLICATE","OK"))</f>
        <v/>
      </c>
      <c r="U2581" s="0" t="str">
        <f aca="false">IF($L2581="","",IFERROR(VLOOKUP(--$L2581,MM_Income!$Z$5:$AC$204,3,FALSE()),"UNMAPPED"))</f>
        <v/>
      </c>
    </row>
    <row r="2582" customFormat="false" ht="13.5" hidden="false" customHeight="false" outlineLevel="0" collapsed="false">
      <c r="A2582" s="1" t="str">
        <f aca="false">IF($C2582="","",Controls!$B$7)</f>
        <v/>
      </c>
      <c r="B2582" s="1" t="str">
        <f aca="false">IF($H2582="","",YEAR($H2582)&amp;"-Q"&amp;ROUNDUP(MONTH($H2582)/3,0))</f>
        <v/>
      </c>
      <c r="S2582" s="1" t="str">
        <f aca="false">IF($C2582="","",$C2582&amp;"|"&amp;$E2582&amp;"|"&amp;$F2582&amp;"|"&amp;$L2582&amp;"|"&amp;$P2582&amp;"|"&amp;TEXT($H2582,"yyyy-mm-dd"))</f>
        <v/>
      </c>
      <c r="T2582" s="1" t="str">
        <f aca="false">IF($S2582="","",IF(COUNTIF($S$2:$S$2991,$S2582)&gt;1,"DUPLICATE","OK"))</f>
        <v/>
      </c>
      <c r="U2582" s="0" t="str">
        <f aca="false">IF($L2582="","",IFERROR(VLOOKUP(--$L2582,MM_Income!$Z$5:$AC$204,3,FALSE()),"UNMAPPED"))</f>
        <v/>
      </c>
    </row>
    <row r="2583" customFormat="false" ht="13.5" hidden="false" customHeight="false" outlineLevel="0" collapsed="false">
      <c r="A2583" s="1" t="str">
        <f aca="false">IF($C2583="","",Controls!$B$7)</f>
        <v/>
      </c>
      <c r="B2583" s="1" t="str">
        <f aca="false">IF($H2583="","",YEAR($H2583)&amp;"-Q"&amp;ROUNDUP(MONTH($H2583)/3,0))</f>
        <v/>
      </c>
      <c r="S2583" s="1" t="str">
        <f aca="false">IF($C2583="","",$C2583&amp;"|"&amp;$E2583&amp;"|"&amp;$F2583&amp;"|"&amp;$L2583&amp;"|"&amp;$P2583&amp;"|"&amp;TEXT($H2583,"yyyy-mm-dd"))</f>
        <v/>
      </c>
      <c r="T2583" s="1" t="str">
        <f aca="false">IF($S2583="","",IF(COUNTIF($S$2:$S$2991,$S2583)&gt;1,"DUPLICATE","OK"))</f>
        <v/>
      </c>
      <c r="U2583" s="0" t="str">
        <f aca="false">IF($L2583="","",IFERROR(VLOOKUP(--$L2583,MM_Income!$Z$5:$AC$204,3,FALSE()),"UNMAPPED"))</f>
        <v/>
      </c>
    </row>
    <row r="2584" customFormat="false" ht="13.5" hidden="false" customHeight="false" outlineLevel="0" collapsed="false">
      <c r="A2584" s="1" t="str">
        <f aca="false">IF($C2584="","",Controls!$B$7)</f>
        <v/>
      </c>
      <c r="B2584" s="1" t="str">
        <f aca="false">IF($H2584="","",YEAR($H2584)&amp;"-Q"&amp;ROUNDUP(MONTH($H2584)/3,0))</f>
        <v/>
      </c>
      <c r="S2584" s="1" t="str">
        <f aca="false">IF($C2584="","",$C2584&amp;"|"&amp;$E2584&amp;"|"&amp;$F2584&amp;"|"&amp;$L2584&amp;"|"&amp;$P2584&amp;"|"&amp;TEXT($H2584,"yyyy-mm-dd"))</f>
        <v/>
      </c>
      <c r="T2584" s="1" t="str">
        <f aca="false">IF($S2584="","",IF(COUNTIF($S$2:$S$2991,$S2584)&gt;1,"DUPLICATE","OK"))</f>
        <v/>
      </c>
      <c r="U2584" s="0" t="str">
        <f aca="false">IF($L2584="","",IFERROR(VLOOKUP(--$L2584,MM_Income!$Z$5:$AC$204,3,FALSE()),"UNMAPPED"))</f>
        <v/>
      </c>
    </row>
    <row r="2585" customFormat="false" ht="13.5" hidden="false" customHeight="false" outlineLevel="0" collapsed="false">
      <c r="A2585" s="1" t="str">
        <f aca="false">IF($C2585="","",Controls!$B$7)</f>
        <v/>
      </c>
      <c r="B2585" s="1" t="str">
        <f aca="false">IF($H2585="","",YEAR($H2585)&amp;"-Q"&amp;ROUNDUP(MONTH($H2585)/3,0))</f>
        <v/>
      </c>
      <c r="S2585" s="1" t="str">
        <f aca="false">IF($C2585="","",$C2585&amp;"|"&amp;$E2585&amp;"|"&amp;$F2585&amp;"|"&amp;$L2585&amp;"|"&amp;$P2585&amp;"|"&amp;TEXT($H2585,"yyyy-mm-dd"))</f>
        <v/>
      </c>
      <c r="T2585" s="1" t="str">
        <f aca="false">IF($S2585="","",IF(COUNTIF($S$2:$S$2991,$S2585)&gt;1,"DUPLICATE","OK"))</f>
        <v/>
      </c>
      <c r="U2585" s="0" t="str">
        <f aca="false">IF($L2585="","",IFERROR(VLOOKUP(--$L2585,MM_Income!$Z$5:$AC$204,3,FALSE()),"UNMAPPED"))</f>
        <v/>
      </c>
    </row>
    <row r="2586" customFormat="false" ht="13.5" hidden="false" customHeight="false" outlineLevel="0" collapsed="false">
      <c r="A2586" s="1" t="str">
        <f aca="false">IF($C2586="","",Controls!$B$7)</f>
        <v/>
      </c>
      <c r="B2586" s="1" t="str">
        <f aca="false">IF($H2586="","",YEAR($H2586)&amp;"-Q"&amp;ROUNDUP(MONTH($H2586)/3,0))</f>
        <v/>
      </c>
      <c r="S2586" s="1" t="str">
        <f aca="false">IF($C2586="","",$C2586&amp;"|"&amp;$E2586&amp;"|"&amp;$F2586&amp;"|"&amp;$L2586&amp;"|"&amp;$P2586&amp;"|"&amp;TEXT($H2586,"yyyy-mm-dd"))</f>
        <v/>
      </c>
      <c r="T2586" s="1" t="str">
        <f aca="false">IF($S2586="","",IF(COUNTIF($S$2:$S$2991,$S2586)&gt;1,"DUPLICATE","OK"))</f>
        <v/>
      </c>
      <c r="U2586" s="0" t="str">
        <f aca="false">IF($L2586="","",IFERROR(VLOOKUP(--$L2586,MM_Income!$Z$5:$AC$204,3,FALSE()),"UNMAPPED"))</f>
        <v/>
      </c>
    </row>
    <row r="2587" customFormat="false" ht="13.5" hidden="false" customHeight="false" outlineLevel="0" collapsed="false">
      <c r="A2587" s="1" t="str">
        <f aca="false">IF($C2587="","",Controls!$B$7)</f>
        <v/>
      </c>
      <c r="B2587" s="1" t="str">
        <f aca="false">IF($H2587="","",YEAR($H2587)&amp;"-Q"&amp;ROUNDUP(MONTH($H2587)/3,0))</f>
        <v/>
      </c>
      <c r="S2587" s="1" t="str">
        <f aca="false">IF($C2587="","",$C2587&amp;"|"&amp;$E2587&amp;"|"&amp;$F2587&amp;"|"&amp;$L2587&amp;"|"&amp;$P2587&amp;"|"&amp;TEXT($H2587,"yyyy-mm-dd"))</f>
        <v/>
      </c>
      <c r="T2587" s="1" t="str">
        <f aca="false">IF($S2587="","",IF(COUNTIF($S$2:$S$2991,$S2587)&gt;1,"DUPLICATE","OK"))</f>
        <v/>
      </c>
      <c r="U2587" s="0" t="str">
        <f aca="false">IF($L2587="","",IFERROR(VLOOKUP(--$L2587,MM_Income!$Z$5:$AC$204,3,FALSE()),"UNMAPPED"))</f>
        <v/>
      </c>
    </row>
    <row r="2588" customFormat="false" ht="13.5" hidden="false" customHeight="false" outlineLevel="0" collapsed="false">
      <c r="A2588" s="1" t="str">
        <f aca="false">IF($C2588="","",Controls!$B$7)</f>
        <v/>
      </c>
      <c r="B2588" s="1" t="str">
        <f aca="false">IF($H2588="","",YEAR($H2588)&amp;"-Q"&amp;ROUNDUP(MONTH($H2588)/3,0))</f>
        <v/>
      </c>
      <c r="S2588" s="1" t="str">
        <f aca="false">IF($C2588="","",$C2588&amp;"|"&amp;$E2588&amp;"|"&amp;$F2588&amp;"|"&amp;$L2588&amp;"|"&amp;$P2588&amp;"|"&amp;TEXT($H2588,"yyyy-mm-dd"))</f>
        <v/>
      </c>
      <c r="T2588" s="1" t="str">
        <f aca="false">IF($S2588="","",IF(COUNTIF($S$2:$S$2991,$S2588)&gt;1,"DUPLICATE","OK"))</f>
        <v/>
      </c>
      <c r="U2588" s="0" t="str">
        <f aca="false">IF($L2588="","",IFERROR(VLOOKUP(--$L2588,MM_Income!$Z$5:$AC$204,3,FALSE()),"UNMAPPED"))</f>
        <v/>
      </c>
    </row>
    <row r="2589" customFormat="false" ht="13.5" hidden="false" customHeight="false" outlineLevel="0" collapsed="false">
      <c r="A2589" s="1" t="str">
        <f aca="false">IF($C2589="","",Controls!$B$7)</f>
        <v/>
      </c>
      <c r="B2589" s="1" t="str">
        <f aca="false">IF($H2589="","",YEAR($H2589)&amp;"-Q"&amp;ROUNDUP(MONTH($H2589)/3,0))</f>
        <v/>
      </c>
      <c r="S2589" s="1" t="str">
        <f aca="false">IF($C2589="","",$C2589&amp;"|"&amp;$E2589&amp;"|"&amp;$F2589&amp;"|"&amp;$L2589&amp;"|"&amp;$P2589&amp;"|"&amp;TEXT($H2589,"yyyy-mm-dd"))</f>
        <v/>
      </c>
      <c r="T2589" s="1" t="str">
        <f aca="false">IF($S2589="","",IF(COUNTIF($S$2:$S$2991,$S2589)&gt;1,"DUPLICATE","OK"))</f>
        <v/>
      </c>
      <c r="U2589" s="0" t="str">
        <f aca="false">IF($L2589="","",IFERROR(VLOOKUP(--$L2589,MM_Income!$Z$5:$AC$204,3,FALSE()),"UNMAPPED"))</f>
        <v/>
      </c>
    </row>
    <row r="2590" customFormat="false" ht="13.5" hidden="false" customHeight="false" outlineLevel="0" collapsed="false">
      <c r="A2590" s="1" t="str">
        <f aca="false">IF($C2590="","",Controls!$B$7)</f>
        <v/>
      </c>
      <c r="B2590" s="1" t="str">
        <f aca="false">IF($H2590="","",YEAR($H2590)&amp;"-Q"&amp;ROUNDUP(MONTH($H2590)/3,0))</f>
        <v/>
      </c>
      <c r="S2590" s="1" t="str">
        <f aca="false">IF($C2590="","",$C2590&amp;"|"&amp;$E2590&amp;"|"&amp;$F2590&amp;"|"&amp;$L2590&amp;"|"&amp;$P2590&amp;"|"&amp;TEXT($H2590,"yyyy-mm-dd"))</f>
        <v/>
      </c>
      <c r="T2590" s="1" t="str">
        <f aca="false">IF($S2590="","",IF(COUNTIF($S$2:$S$2991,$S2590)&gt;1,"DUPLICATE","OK"))</f>
        <v/>
      </c>
      <c r="U2590" s="0" t="str">
        <f aca="false">IF($L2590="","",IFERROR(VLOOKUP(--$L2590,MM_Income!$Z$5:$AC$204,3,FALSE()),"UNMAPPED"))</f>
        <v/>
      </c>
    </row>
    <row r="2591" customFormat="false" ht="13.5" hidden="false" customHeight="false" outlineLevel="0" collapsed="false">
      <c r="A2591" s="1" t="str">
        <f aca="false">IF($C2591="","",Controls!$B$7)</f>
        <v/>
      </c>
      <c r="B2591" s="1" t="str">
        <f aca="false">IF($H2591="","",YEAR($H2591)&amp;"-Q"&amp;ROUNDUP(MONTH($H2591)/3,0))</f>
        <v/>
      </c>
      <c r="S2591" s="1" t="str">
        <f aca="false">IF($C2591="","",$C2591&amp;"|"&amp;$E2591&amp;"|"&amp;$F2591&amp;"|"&amp;$L2591&amp;"|"&amp;$P2591&amp;"|"&amp;TEXT($H2591,"yyyy-mm-dd"))</f>
        <v/>
      </c>
      <c r="T2591" s="1" t="str">
        <f aca="false">IF($S2591="","",IF(COUNTIF($S$2:$S$2991,$S2591)&gt;1,"DUPLICATE","OK"))</f>
        <v/>
      </c>
      <c r="U2591" s="0" t="str">
        <f aca="false">IF($L2591="","",IFERROR(VLOOKUP(--$L2591,MM_Income!$Z$5:$AC$204,3,FALSE()),"UNMAPPED"))</f>
        <v/>
      </c>
    </row>
    <row r="2592" customFormat="false" ht="13.5" hidden="false" customHeight="false" outlineLevel="0" collapsed="false">
      <c r="A2592" s="1" t="str">
        <f aca="false">IF($C2592="","",Controls!$B$7)</f>
        <v/>
      </c>
      <c r="B2592" s="1" t="str">
        <f aca="false">IF($H2592="","",YEAR($H2592)&amp;"-Q"&amp;ROUNDUP(MONTH($H2592)/3,0))</f>
        <v/>
      </c>
      <c r="S2592" s="1" t="str">
        <f aca="false">IF($C2592="","",$C2592&amp;"|"&amp;$E2592&amp;"|"&amp;$F2592&amp;"|"&amp;$L2592&amp;"|"&amp;$P2592&amp;"|"&amp;TEXT($H2592,"yyyy-mm-dd"))</f>
        <v/>
      </c>
      <c r="T2592" s="1" t="str">
        <f aca="false">IF($S2592="","",IF(COUNTIF($S$2:$S$2991,$S2592)&gt;1,"DUPLICATE","OK"))</f>
        <v/>
      </c>
      <c r="U2592" s="0" t="str">
        <f aca="false">IF($L2592="","",IFERROR(VLOOKUP(--$L2592,MM_Income!$Z$5:$AC$204,3,FALSE()),"UNMAPPED"))</f>
        <v/>
      </c>
    </row>
    <row r="2593" customFormat="false" ht="13.5" hidden="false" customHeight="false" outlineLevel="0" collapsed="false">
      <c r="A2593" s="1" t="str">
        <f aca="false">IF($C2593="","",Controls!$B$7)</f>
        <v/>
      </c>
      <c r="B2593" s="1" t="str">
        <f aca="false">IF($H2593="","",YEAR($H2593)&amp;"-Q"&amp;ROUNDUP(MONTH($H2593)/3,0))</f>
        <v/>
      </c>
      <c r="S2593" s="1" t="str">
        <f aca="false">IF($C2593="","",$C2593&amp;"|"&amp;$E2593&amp;"|"&amp;$F2593&amp;"|"&amp;$L2593&amp;"|"&amp;$P2593&amp;"|"&amp;TEXT($H2593,"yyyy-mm-dd"))</f>
        <v/>
      </c>
      <c r="T2593" s="1" t="str">
        <f aca="false">IF($S2593="","",IF(COUNTIF($S$2:$S$2991,$S2593)&gt;1,"DUPLICATE","OK"))</f>
        <v/>
      </c>
      <c r="U2593" s="0" t="str">
        <f aca="false">IF($L2593="","",IFERROR(VLOOKUP(--$L2593,MM_Income!$Z$5:$AC$204,3,FALSE()),"UNMAPPED"))</f>
        <v/>
      </c>
    </row>
    <row r="2594" customFormat="false" ht="13.5" hidden="false" customHeight="false" outlineLevel="0" collapsed="false">
      <c r="A2594" s="1" t="str">
        <f aca="false">IF($C2594="","",Controls!$B$7)</f>
        <v/>
      </c>
      <c r="B2594" s="1" t="str">
        <f aca="false">IF($H2594="","",YEAR($H2594)&amp;"-Q"&amp;ROUNDUP(MONTH($H2594)/3,0))</f>
        <v/>
      </c>
      <c r="S2594" s="1" t="str">
        <f aca="false">IF($C2594="","",$C2594&amp;"|"&amp;$E2594&amp;"|"&amp;$F2594&amp;"|"&amp;$L2594&amp;"|"&amp;$P2594&amp;"|"&amp;TEXT($H2594,"yyyy-mm-dd"))</f>
        <v/>
      </c>
      <c r="T2594" s="1" t="str">
        <f aca="false">IF($S2594="","",IF(COUNTIF($S$2:$S$2991,$S2594)&gt;1,"DUPLICATE","OK"))</f>
        <v/>
      </c>
      <c r="U2594" s="0" t="str">
        <f aca="false">IF($L2594="","",IFERROR(VLOOKUP(--$L2594,MM_Income!$Z$5:$AC$204,3,FALSE()),"UNMAPPED"))</f>
        <v/>
      </c>
    </row>
    <row r="2595" customFormat="false" ht="13.5" hidden="false" customHeight="false" outlineLevel="0" collapsed="false">
      <c r="A2595" s="1" t="str">
        <f aca="false">IF($C2595="","",Controls!$B$7)</f>
        <v/>
      </c>
      <c r="B2595" s="1" t="str">
        <f aca="false">IF($H2595="","",YEAR($H2595)&amp;"-Q"&amp;ROUNDUP(MONTH($H2595)/3,0))</f>
        <v/>
      </c>
      <c r="S2595" s="1" t="str">
        <f aca="false">IF($C2595="","",$C2595&amp;"|"&amp;$E2595&amp;"|"&amp;$F2595&amp;"|"&amp;$L2595&amp;"|"&amp;$P2595&amp;"|"&amp;TEXT($H2595,"yyyy-mm-dd"))</f>
        <v/>
      </c>
      <c r="T2595" s="1" t="str">
        <f aca="false">IF($S2595="","",IF(COUNTIF($S$2:$S$2991,$S2595)&gt;1,"DUPLICATE","OK"))</f>
        <v/>
      </c>
      <c r="U2595" s="0" t="str">
        <f aca="false">IF($L2595="","",IFERROR(VLOOKUP(--$L2595,MM_Income!$Z$5:$AC$204,3,FALSE()),"UNMAPPED"))</f>
        <v/>
      </c>
    </row>
    <row r="2596" customFormat="false" ht="13.5" hidden="false" customHeight="false" outlineLevel="0" collapsed="false">
      <c r="A2596" s="1" t="str">
        <f aca="false">IF($C2596="","",Controls!$B$7)</f>
        <v/>
      </c>
      <c r="B2596" s="1" t="str">
        <f aca="false">IF($H2596="","",YEAR($H2596)&amp;"-Q"&amp;ROUNDUP(MONTH($H2596)/3,0))</f>
        <v/>
      </c>
      <c r="S2596" s="1" t="str">
        <f aca="false">IF($C2596="","",$C2596&amp;"|"&amp;$E2596&amp;"|"&amp;$F2596&amp;"|"&amp;$L2596&amp;"|"&amp;$P2596&amp;"|"&amp;TEXT($H2596,"yyyy-mm-dd"))</f>
        <v/>
      </c>
      <c r="T2596" s="1" t="str">
        <f aca="false">IF($S2596="","",IF(COUNTIF($S$2:$S$2991,$S2596)&gt;1,"DUPLICATE","OK"))</f>
        <v/>
      </c>
      <c r="U2596" s="0" t="str">
        <f aca="false">IF($L2596="","",IFERROR(VLOOKUP(--$L2596,MM_Income!$Z$5:$AC$204,3,FALSE()),"UNMAPPED"))</f>
        <v/>
      </c>
    </row>
    <row r="2597" customFormat="false" ht="13.5" hidden="false" customHeight="false" outlineLevel="0" collapsed="false">
      <c r="A2597" s="1" t="str">
        <f aca="false">IF($C2597="","",Controls!$B$7)</f>
        <v/>
      </c>
      <c r="B2597" s="1" t="str">
        <f aca="false">IF($H2597="","",YEAR($H2597)&amp;"-Q"&amp;ROUNDUP(MONTH($H2597)/3,0))</f>
        <v/>
      </c>
      <c r="S2597" s="1" t="str">
        <f aca="false">IF($C2597="","",$C2597&amp;"|"&amp;$E2597&amp;"|"&amp;$F2597&amp;"|"&amp;$L2597&amp;"|"&amp;$P2597&amp;"|"&amp;TEXT($H2597,"yyyy-mm-dd"))</f>
        <v/>
      </c>
      <c r="T2597" s="1" t="str">
        <f aca="false">IF($S2597="","",IF(COUNTIF($S$2:$S$2991,$S2597)&gt;1,"DUPLICATE","OK"))</f>
        <v/>
      </c>
      <c r="U2597" s="0" t="str">
        <f aca="false">IF($L2597="","",IFERROR(VLOOKUP(--$L2597,MM_Income!$Z$5:$AC$204,3,FALSE()),"UNMAPPED"))</f>
        <v/>
      </c>
    </row>
    <row r="2598" customFormat="false" ht="13.5" hidden="false" customHeight="false" outlineLevel="0" collapsed="false">
      <c r="A2598" s="1" t="str">
        <f aca="false">IF($C2598="","",Controls!$B$7)</f>
        <v/>
      </c>
      <c r="B2598" s="1" t="str">
        <f aca="false">IF($H2598="","",YEAR($H2598)&amp;"-Q"&amp;ROUNDUP(MONTH($H2598)/3,0))</f>
        <v/>
      </c>
      <c r="S2598" s="1" t="str">
        <f aca="false">IF($C2598="","",$C2598&amp;"|"&amp;$E2598&amp;"|"&amp;$F2598&amp;"|"&amp;$L2598&amp;"|"&amp;$P2598&amp;"|"&amp;TEXT($H2598,"yyyy-mm-dd"))</f>
        <v/>
      </c>
      <c r="T2598" s="1" t="str">
        <f aca="false">IF($S2598="","",IF(COUNTIF($S$2:$S$2991,$S2598)&gt;1,"DUPLICATE","OK"))</f>
        <v/>
      </c>
      <c r="U2598" s="0" t="str">
        <f aca="false">IF($L2598="","",IFERROR(VLOOKUP(--$L2598,MM_Income!$Z$5:$AC$204,3,FALSE()),"UNMAPPED"))</f>
        <v/>
      </c>
    </row>
    <row r="2599" customFormat="false" ht="13.5" hidden="false" customHeight="false" outlineLevel="0" collapsed="false">
      <c r="A2599" s="1" t="str">
        <f aca="false">IF($C2599="","",Controls!$B$7)</f>
        <v/>
      </c>
      <c r="B2599" s="1" t="str">
        <f aca="false">IF($H2599="","",YEAR($H2599)&amp;"-Q"&amp;ROUNDUP(MONTH($H2599)/3,0))</f>
        <v/>
      </c>
      <c r="S2599" s="1" t="str">
        <f aca="false">IF($C2599="","",$C2599&amp;"|"&amp;$E2599&amp;"|"&amp;$F2599&amp;"|"&amp;$L2599&amp;"|"&amp;$P2599&amp;"|"&amp;TEXT($H2599,"yyyy-mm-dd"))</f>
        <v/>
      </c>
      <c r="T2599" s="1" t="str">
        <f aca="false">IF($S2599="","",IF(COUNTIF($S$2:$S$2991,$S2599)&gt;1,"DUPLICATE","OK"))</f>
        <v/>
      </c>
      <c r="U2599" s="0" t="str">
        <f aca="false">IF($L2599="","",IFERROR(VLOOKUP(--$L2599,MM_Income!$Z$5:$AC$204,3,FALSE()),"UNMAPPED"))</f>
        <v/>
      </c>
    </row>
    <row r="2600" customFormat="false" ht="13.5" hidden="false" customHeight="false" outlineLevel="0" collapsed="false">
      <c r="A2600" s="1" t="str">
        <f aca="false">IF($C2600="","",Controls!$B$7)</f>
        <v/>
      </c>
      <c r="B2600" s="1" t="str">
        <f aca="false">IF($H2600="","",YEAR($H2600)&amp;"-Q"&amp;ROUNDUP(MONTH($H2600)/3,0))</f>
        <v/>
      </c>
      <c r="S2600" s="1" t="str">
        <f aca="false">IF($C2600="","",$C2600&amp;"|"&amp;$E2600&amp;"|"&amp;$F2600&amp;"|"&amp;$L2600&amp;"|"&amp;$P2600&amp;"|"&amp;TEXT($H2600,"yyyy-mm-dd"))</f>
        <v/>
      </c>
      <c r="T2600" s="1" t="str">
        <f aca="false">IF($S2600="","",IF(COUNTIF($S$2:$S$2991,$S2600)&gt;1,"DUPLICATE","OK"))</f>
        <v/>
      </c>
      <c r="U2600" s="0" t="str">
        <f aca="false">IF($L2600="","",IFERROR(VLOOKUP(--$L2600,MM_Income!$Z$5:$AC$204,3,FALSE()),"UNMAPPED"))</f>
        <v/>
      </c>
    </row>
    <row r="2601" customFormat="false" ht="13.5" hidden="false" customHeight="false" outlineLevel="0" collapsed="false">
      <c r="A2601" s="1" t="str">
        <f aca="false">IF($C2601="","",Controls!$B$7)</f>
        <v/>
      </c>
      <c r="B2601" s="1" t="str">
        <f aca="false">IF($H2601="","",YEAR($H2601)&amp;"-Q"&amp;ROUNDUP(MONTH($H2601)/3,0))</f>
        <v/>
      </c>
      <c r="S2601" s="1" t="str">
        <f aca="false">IF($C2601="","",$C2601&amp;"|"&amp;$E2601&amp;"|"&amp;$F2601&amp;"|"&amp;$L2601&amp;"|"&amp;$P2601&amp;"|"&amp;TEXT($H2601,"yyyy-mm-dd"))</f>
        <v/>
      </c>
      <c r="T2601" s="1" t="str">
        <f aca="false">IF($S2601="","",IF(COUNTIF($S$2:$S$2991,$S2601)&gt;1,"DUPLICATE","OK"))</f>
        <v/>
      </c>
      <c r="U2601" s="0" t="str">
        <f aca="false">IF($L2601="","",IFERROR(VLOOKUP(--$L2601,MM_Income!$Z$5:$AC$204,3,FALSE()),"UNMAPPED"))</f>
        <v/>
      </c>
    </row>
    <row r="2602" customFormat="false" ht="13.5" hidden="false" customHeight="false" outlineLevel="0" collapsed="false">
      <c r="A2602" s="1" t="str">
        <f aca="false">IF($C2602="","",Controls!$B$7)</f>
        <v/>
      </c>
      <c r="B2602" s="1" t="str">
        <f aca="false">IF($H2602="","",YEAR($H2602)&amp;"-Q"&amp;ROUNDUP(MONTH($H2602)/3,0))</f>
        <v/>
      </c>
      <c r="S2602" s="1" t="str">
        <f aca="false">IF($C2602="","",$C2602&amp;"|"&amp;$E2602&amp;"|"&amp;$F2602&amp;"|"&amp;$L2602&amp;"|"&amp;$P2602&amp;"|"&amp;TEXT($H2602,"yyyy-mm-dd"))</f>
        <v/>
      </c>
      <c r="T2602" s="1" t="str">
        <f aca="false">IF($S2602="","",IF(COUNTIF($S$2:$S$2991,$S2602)&gt;1,"DUPLICATE","OK"))</f>
        <v/>
      </c>
      <c r="U2602" s="0" t="str">
        <f aca="false">IF($L2602="","",IFERROR(VLOOKUP(--$L2602,MM_Income!$Z$5:$AC$204,3,FALSE()),"UNMAPPED"))</f>
        <v/>
      </c>
    </row>
    <row r="2603" customFormat="false" ht="13.5" hidden="false" customHeight="false" outlineLevel="0" collapsed="false">
      <c r="A2603" s="1" t="str">
        <f aca="false">IF($C2603="","",Controls!$B$7)</f>
        <v/>
      </c>
      <c r="B2603" s="1" t="str">
        <f aca="false">IF($H2603="","",YEAR($H2603)&amp;"-Q"&amp;ROUNDUP(MONTH($H2603)/3,0))</f>
        <v/>
      </c>
      <c r="S2603" s="1" t="str">
        <f aca="false">IF($C2603="","",$C2603&amp;"|"&amp;$E2603&amp;"|"&amp;$F2603&amp;"|"&amp;$L2603&amp;"|"&amp;$P2603&amp;"|"&amp;TEXT($H2603,"yyyy-mm-dd"))</f>
        <v/>
      </c>
      <c r="T2603" s="1" t="str">
        <f aca="false">IF($S2603="","",IF(COUNTIF($S$2:$S$2991,$S2603)&gt;1,"DUPLICATE","OK"))</f>
        <v/>
      </c>
      <c r="U2603" s="0" t="str">
        <f aca="false">IF($L2603="","",IFERROR(VLOOKUP(--$L2603,MM_Income!$Z$5:$AC$204,3,FALSE()),"UNMAPPED"))</f>
        <v/>
      </c>
    </row>
    <row r="2604" customFormat="false" ht="13.5" hidden="false" customHeight="false" outlineLevel="0" collapsed="false">
      <c r="A2604" s="1" t="str">
        <f aca="false">IF($C2604="","",Controls!$B$7)</f>
        <v/>
      </c>
      <c r="B2604" s="1" t="str">
        <f aca="false">IF($H2604="","",YEAR($H2604)&amp;"-Q"&amp;ROUNDUP(MONTH($H2604)/3,0))</f>
        <v/>
      </c>
      <c r="S2604" s="1" t="str">
        <f aca="false">IF($C2604="","",$C2604&amp;"|"&amp;$E2604&amp;"|"&amp;$F2604&amp;"|"&amp;$L2604&amp;"|"&amp;$P2604&amp;"|"&amp;TEXT($H2604,"yyyy-mm-dd"))</f>
        <v/>
      </c>
      <c r="T2604" s="1" t="str">
        <f aca="false">IF($S2604="","",IF(COUNTIF($S$2:$S$2991,$S2604)&gt;1,"DUPLICATE","OK"))</f>
        <v/>
      </c>
      <c r="U2604" s="0" t="str">
        <f aca="false">IF($L2604="","",IFERROR(VLOOKUP(--$L2604,MM_Income!$Z$5:$AC$204,3,FALSE()),"UNMAPPED"))</f>
        <v/>
      </c>
    </row>
    <row r="2605" customFormat="false" ht="13.5" hidden="false" customHeight="false" outlineLevel="0" collapsed="false">
      <c r="A2605" s="1" t="str">
        <f aca="false">IF($C2605="","",Controls!$B$7)</f>
        <v/>
      </c>
      <c r="B2605" s="1" t="str">
        <f aca="false">IF($H2605="","",YEAR($H2605)&amp;"-Q"&amp;ROUNDUP(MONTH($H2605)/3,0))</f>
        <v/>
      </c>
      <c r="S2605" s="1" t="str">
        <f aca="false">IF($C2605="","",$C2605&amp;"|"&amp;$E2605&amp;"|"&amp;$F2605&amp;"|"&amp;$L2605&amp;"|"&amp;$P2605&amp;"|"&amp;TEXT($H2605,"yyyy-mm-dd"))</f>
        <v/>
      </c>
      <c r="T2605" s="1" t="str">
        <f aca="false">IF($S2605="","",IF(COUNTIF($S$2:$S$2991,$S2605)&gt;1,"DUPLICATE","OK"))</f>
        <v/>
      </c>
      <c r="U2605" s="0" t="str">
        <f aca="false">IF($L2605="","",IFERROR(VLOOKUP(--$L2605,MM_Income!$Z$5:$AC$204,3,FALSE()),"UNMAPPED"))</f>
        <v/>
      </c>
    </row>
    <row r="2606" customFormat="false" ht="13.5" hidden="false" customHeight="false" outlineLevel="0" collapsed="false">
      <c r="A2606" s="1" t="str">
        <f aca="false">IF($C2606="","",Controls!$B$7)</f>
        <v/>
      </c>
      <c r="B2606" s="1" t="str">
        <f aca="false">IF($H2606="","",YEAR($H2606)&amp;"-Q"&amp;ROUNDUP(MONTH($H2606)/3,0))</f>
        <v/>
      </c>
      <c r="S2606" s="1" t="str">
        <f aca="false">IF($C2606="","",$C2606&amp;"|"&amp;$E2606&amp;"|"&amp;$F2606&amp;"|"&amp;$L2606&amp;"|"&amp;$P2606&amp;"|"&amp;TEXT($H2606,"yyyy-mm-dd"))</f>
        <v/>
      </c>
      <c r="T2606" s="1" t="str">
        <f aca="false">IF($S2606="","",IF(COUNTIF($S$2:$S$2991,$S2606)&gt;1,"DUPLICATE","OK"))</f>
        <v/>
      </c>
      <c r="U2606" s="0" t="str">
        <f aca="false">IF($L2606="","",IFERROR(VLOOKUP(--$L2606,MM_Income!$Z$5:$AC$204,3,FALSE()),"UNMAPPED"))</f>
        <v/>
      </c>
    </row>
    <row r="2607" customFormat="false" ht="13.5" hidden="false" customHeight="false" outlineLevel="0" collapsed="false">
      <c r="A2607" s="1" t="str">
        <f aca="false">IF($C2607="","",Controls!$B$7)</f>
        <v/>
      </c>
      <c r="B2607" s="1" t="str">
        <f aca="false">IF($H2607="","",YEAR($H2607)&amp;"-Q"&amp;ROUNDUP(MONTH($H2607)/3,0))</f>
        <v/>
      </c>
      <c r="S2607" s="1" t="str">
        <f aca="false">IF($C2607="","",$C2607&amp;"|"&amp;$E2607&amp;"|"&amp;$F2607&amp;"|"&amp;$L2607&amp;"|"&amp;$P2607&amp;"|"&amp;TEXT($H2607,"yyyy-mm-dd"))</f>
        <v/>
      </c>
      <c r="T2607" s="1" t="str">
        <f aca="false">IF($S2607="","",IF(COUNTIF($S$2:$S$2991,$S2607)&gt;1,"DUPLICATE","OK"))</f>
        <v/>
      </c>
      <c r="U2607" s="0" t="str">
        <f aca="false">IF($L2607="","",IFERROR(VLOOKUP(--$L2607,MM_Income!$Z$5:$AC$204,3,FALSE()),"UNMAPPED"))</f>
        <v/>
      </c>
    </row>
    <row r="2608" customFormat="false" ht="13.5" hidden="false" customHeight="false" outlineLevel="0" collapsed="false">
      <c r="A2608" s="1" t="str">
        <f aca="false">IF($C2608="","",Controls!$B$7)</f>
        <v/>
      </c>
      <c r="B2608" s="1" t="str">
        <f aca="false">IF($H2608="","",YEAR($H2608)&amp;"-Q"&amp;ROUNDUP(MONTH($H2608)/3,0))</f>
        <v/>
      </c>
      <c r="S2608" s="1" t="str">
        <f aca="false">IF($C2608="","",$C2608&amp;"|"&amp;$E2608&amp;"|"&amp;$F2608&amp;"|"&amp;$L2608&amp;"|"&amp;$P2608&amp;"|"&amp;TEXT($H2608,"yyyy-mm-dd"))</f>
        <v/>
      </c>
      <c r="T2608" s="1" t="str">
        <f aca="false">IF($S2608="","",IF(COUNTIF($S$2:$S$2991,$S2608)&gt;1,"DUPLICATE","OK"))</f>
        <v/>
      </c>
      <c r="U2608" s="0" t="str">
        <f aca="false">IF($L2608="","",IFERROR(VLOOKUP(--$L2608,MM_Income!$Z$5:$AC$204,3,FALSE()),"UNMAPPED"))</f>
        <v/>
      </c>
    </row>
    <row r="2609" customFormat="false" ht="13.5" hidden="false" customHeight="false" outlineLevel="0" collapsed="false">
      <c r="A2609" s="1" t="str">
        <f aca="false">IF($C2609="","",Controls!$B$7)</f>
        <v/>
      </c>
      <c r="B2609" s="1" t="str">
        <f aca="false">IF($H2609="","",YEAR($H2609)&amp;"-Q"&amp;ROUNDUP(MONTH($H2609)/3,0))</f>
        <v/>
      </c>
      <c r="S2609" s="1" t="str">
        <f aca="false">IF($C2609="","",$C2609&amp;"|"&amp;$E2609&amp;"|"&amp;$F2609&amp;"|"&amp;$L2609&amp;"|"&amp;$P2609&amp;"|"&amp;TEXT($H2609,"yyyy-mm-dd"))</f>
        <v/>
      </c>
      <c r="T2609" s="1" t="str">
        <f aca="false">IF($S2609="","",IF(COUNTIF($S$2:$S$2991,$S2609)&gt;1,"DUPLICATE","OK"))</f>
        <v/>
      </c>
      <c r="U2609" s="0" t="str">
        <f aca="false">IF($L2609="","",IFERROR(VLOOKUP(--$L2609,MM_Income!$Z$5:$AC$204,3,FALSE()),"UNMAPPED"))</f>
        <v/>
      </c>
    </row>
    <row r="2610" customFormat="false" ht="13.5" hidden="false" customHeight="false" outlineLevel="0" collapsed="false">
      <c r="A2610" s="1" t="str">
        <f aca="false">IF($C2610="","",Controls!$B$7)</f>
        <v/>
      </c>
      <c r="B2610" s="1" t="str">
        <f aca="false">IF($H2610="","",YEAR($H2610)&amp;"-Q"&amp;ROUNDUP(MONTH($H2610)/3,0))</f>
        <v/>
      </c>
      <c r="S2610" s="1" t="str">
        <f aca="false">IF($C2610="","",$C2610&amp;"|"&amp;$E2610&amp;"|"&amp;$F2610&amp;"|"&amp;$L2610&amp;"|"&amp;$P2610&amp;"|"&amp;TEXT($H2610,"yyyy-mm-dd"))</f>
        <v/>
      </c>
      <c r="T2610" s="1" t="str">
        <f aca="false">IF($S2610="","",IF(COUNTIF($S$2:$S$2991,$S2610)&gt;1,"DUPLICATE","OK"))</f>
        <v/>
      </c>
      <c r="U2610" s="0" t="str">
        <f aca="false">IF($L2610="","",IFERROR(VLOOKUP(--$L2610,MM_Income!$Z$5:$AC$204,3,FALSE()),"UNMAPPED"))</f>
        <v/>
      </c>
    </row>
    <row r="2611" customFormat="false" ht="13.5" hidden="false" customHeight="false" outlineLevel="0" collapsed="false">
      <c r="A2611" s="1" t="str">
        <f aca="false">IF($C2611="","",Controls!$B$7)</f>
        <v/>
      </c>
      <c r="B2611" s="1" t="str">
        <f aca="false">IF($H2611="","",YEAR($H2611)&amp;"-Q"&amp;ROUNDUP(MONTH($H2611)/3,0))</f>
        <v/>
      </c>
      <c r="S2611" s="1" t="str">
        <f aca="false">IF($C2611="","",$C2611&amp;"|"&amp;$E2611&amp;"|"&amp;$F2611&amp;"|"&amp;$L2611&amp;"|"&amp;$P2611&amp;"|"&amp;TEXT($H2611,"yyyy-mm-dd"))</f>
        <v/>
      </c>
      <c r="T2611" s="1" t="str">
        <f aca="false">IF($S2611="","",IF(COUNTIF($S$2:$S$2991,$S2611)&gt;1,"DUPLICATE","OK"))</f>
        <v/>
      </c>
      <c r="U2611" s="0" t="str">
        <f aca="false">IF($L2611="","",IFERROR(VLOOKUP(--$L2611,MM_Income!$Z$5:$AC$204,3,FALSE()),"UNMAPPED"))</f>
        <v/>
      </c>
    </row>
    <row r="2612" customFormat="false" ht="13.5" hidden="false" customHeight="false" outlineLevel="0" collapsed="false">
      <c r="A2612" s="1" t="str">
        <f aca="false">IF($C2612="","",Controls!$B$7)</f>
        <v/>
      </c>
      <c r="B2612" s="1" t="str">
        <f aca="false">IF($H2612="","",YEAR($H2612)&amp;"-Q"&amp;ROUNDUP(MONTH($H2612)/3,0))</f>
        <v/>
      </c>
      <c r="S2612" s="1" t="str">
        <f aca="false">IF($C2612="","",$C2612&amp;"|"&amp;$E2612&amp;"|"&amp;$F2612&amp;"|"&amp;$L2612&amp;"|"&amp;$P2612&amp;"|"&amp;TEXT($H2612,"yyyy-mm-dd"))</f>
        <v/>
      </c>
      <c r="T2612" s="1" t="str">
        <f aca="false">IF($S2612="","",IF(COUNTIF($S$2:$S$2991,$S2612)&gt;1,"DUPLICATE","OK"))</f>
        <v/>
      </c>
      <c r="U2612" s="0" t="str">
        <f aca="false">IF($L2612="","",IFERROR(VLOOKUP(--$L2612,MM_Income!$Z$5:$AC$204,3,FALSE()),"UNMAPPED"))</f>
        <v/>
      </c>
    </row>
    <row r="2613" customFormat="false" ht="13.5" hidden="false" customHeight="false" outlineLevel="0" collapsed="false">
      <c r="A2613" s="1" t="str">
        <f aca="false">IF($C2613="","",Controls!$B$7)</f>
        <v/>
      </c>
      <c r="B2613" s="1" t="str">
        <f aca="false">IF($H2613="","",YEAR($H2613)&amp;"-Q"&amp;ROUNDUP(MONTH($H2613)/3,0))</f>
        <v/>
      </c>
      <c r="S2613" s="1" t="str">
        <f aca="false">IF($C2613="","",$C2613&amp;"|"&amp;$E2613&amp;"|"&amp;$F2613&amp;"|"&amp;$L2613&amp;"|"&amp;$P2613&amp;"|"&amp;TEXT($H2613,"yyyy-mm-dd"))</f>
        <v/>
      </c>
      <c r="T2613" s="1" t="str">
        <f aca="false">IF($S2613="","",IF(COUNTIF($S$2:$S$2991,$S2613)&gt;1,"DUPLICATE","OK"))</f>
        <v/>
      </c>
      <c r="U2613" s="0" t="str">
        <f aca="false">IF($L2613="","",IFERROR(VLOOKUP(--$L2613,MM_Income!$Z$5:$AC$204,3,FALSE()),"UNMAPPED"))</f>
        <v/>
      </c>
    </row>
    <row r="2614" customFormat="false" ht="13.5" hidden="false" customHeight="false" outlineLevel="0" collapsed="false">
      <c r="A2614" s="1" t="str">
        <f aca="false">IF($C2614="","",Controls!$B$7)</f>
        <v/>
      </c>
      <c r="B2614" s="1" t="str">
        <f aca="false">IF($H2614="","",YEAR($H2614)&amp;"-Q"&amp;ROUNDUP(MONTH($H2614)/3,0))</f>
        <v/>
      </c>
      <c r="S2614" s="1" t="str">
        <f aca="false">IF($C2614="","",$C2614&amp;"|"&amp;$E2614&amp;"|"&amp;$F2614&amp;"|"&amp;$L2614&amp;"|"&amp;$P2614&amp;"|"&amp;TEXT($H2614,"yyyy-mm-dd"))</f>
        <v/>
      </c>
      <c r="T2614" s="1" t="str">
        <f aca="false">IF($S2614="","",IF(COUNTIF($S$2:$S$2991,$S2614)&gt;1,"DUPLICATE","OK"))</f>
        <v/>
      </c>
      <c r="U2614" s="0" t="str">
        <f aca="false">IF($L2614="","",IFERROR(VLOOKUP(--$L2614,MM_Income!$Z$5:$AC$204,3,FALSE()),"UNMAPPED"))</f>
        <v/>
      </c>
    </row>
    <row r="2615" customFormat="false" ht="13.5" hidden="false" customHeight="false" outlineLevel="0" collapsed="false">
      <c r="A2615" s="1" t="str">
        <f aca="false">IF($C2615="","",Controls!$B$7)</f>
        <v/>
      </c>
      <c r="B2615" s="1" t="str">
        <f aca="false">IF($H2615="","",YEAR($H2615)&amp;"-Q"&amp;ROUNDUP(MONTH($H2615)/3,0))</f>
        <v/>
      </c>
      <c r="S2615" s="1" t="str">
        <f aca="false">IF($C2615="","",$C2615&amp;"|"&amp;$E2615&amp;"|"&amp;$F2615&amp;"|"&amp;$L2615&amp;"|"&amp;$P2615&amp;"|"&amp;TEXT($H2615,"yyyy-mm-dd"))</f>
        <v/>
      </c>
      <c r="T2615" s="1" t="str">
        <f aca="false">IF($S2615="","",IF(COUNTIF($S$2:$S$2991,$S2615)&gt;1,"DUPLICATE","OK"))</f>
        <v/>
      </c>
      <c r="U2615" s="0" t="str">
        <f aca="false">IF($L2615="","",IFERROR(VLOOKUP(--$L2615,MM_Income!$Z$5:$AC$204,3,FALSE()),"UNMAPPED"))</f>
        <v/>
      </c>
    </row>
    <row r="2616" customFormat="false" ht="13.5" hidden="false" customHeight="false" outlineLevel="0" collapsed="false">
      <c r="A2616" s="1" t="str">
        <f aca="false">IF($C2616="","",Controls!$B$7)</f>
        <v/>
      </c>
      <c r="B2616" s="1" t="str">
        <f aca="false">IF($H2616="","",YEAR($H2616)&amp;"-Q"&amp;ROUNDUP(MONTH($H2616)/3,0))</f>
        <v/>
      </c>
      <c r="S2616" s="1" t="str">
        <f aca="false">IF($C2616="","",$C2616&amp;"|"&amp;$E2616&amp;"|"&amp;$F2616&amp;"|"&amp;$L2616&amp;"|"&amp;$P2616&amp;"|"&amp;TEXT($H2616,"yyyy-mm-dd"))</f>
        <v/>
      </c>
      <c r="T2616" s="1" t="str">
        <f aca="false">IF($S2616="","",IF(COUNTIF($S$2:$S$2991,$S2616)&gt;1,"DUPLICATE","OK"))</f>
        <v/>
      </c>
      <c r="U2616" s="0" t="str">
        <f aca="false">IF($L2616="","",IFERROR(VLOOKUP(--$L2616,MM_Income!$Z$5:$AC$204,3,FALSE()),"UNMAPPED"))</f>
        <v/>
      </c>
    </row>
    <row r="2617" customFormat="false" ht="13.5" hidden="false" customHeight="false" outlineLevel="0" collapsed="false">
      <c r="A2617" s="1" t="str">
        <f aca="false">IF($C2617="","",Controls!$B$7)</f>
        <v/>
      </c>
      <c r="B2617" s="1" t="str">
        <f aca="false">IF($H2617="","",YEAR($H2617)&amp;"-Q"&amp;ROUNDUP(MONTH($H2617)/3,0))</f>
        <v/>
      </c>
      <c r="S2617" s="1" t="str">
        <f aca="false">IF($C2617="","",$C2617&amp;"|"&amp;$E2617&amp;"|"&amp;$F2617&amp;"|"&amp;$L2617&amp;"|"&amp;$P2617&amp;"|"&amp;TEXT($H2617,"yyyy-mm-dd"))</f>
        <v/>
      </c>
      <c r="T2617" s="1" t="str">
        <f aca="false">IF($S2617="","",IF(COUNTIF($S$2:$S$2991,$S2617)&gt;1,"DUPLICATE","OK"))</f>
        <v/>
      </c>
      <c r="U2617" s="0" t="str">
        <f aca="false">IF($L2617="","",IFERROR(VLOOKUP(--$L2617,MM_Income!$Z$5:$AC$204,3,FALSE()),"UNMAPPED"))</f>
        <v/>
      </c>
    </row>
    <row r="2618" customFormat="false" ht="13.5" hidden="false" customHeight="false" outlineLevel="0" collapsed="false">
      <c r="A2618" s="1" t="str">
        <f aca="false">IF($C2618="","",Controls!$B$7)</f>
        <v/>
      </c>
      <c r="B2618" s="1" t="str">
        <f aca="false">IF($H2618="","",YEAR($H2618)&amp;"-Q"&amp;ROUNDUP(MONTH($H2618)/3,0))</f>
        <v/>
      </c>
      <c r="S2618" s="1" t="str">
        <f aca="false">IF($C2618="","",$C2618&amp;"|"&amp;$E2618&amp;"|"&amp;$F2618&amp;"|"&amp;$L2618&amp;"|"&amp;$P2618&amp;"|"&amp;TEXT($H2618,"yyyy-mm-dd"))</f>
        <v/>
      </c>
      <c r="T2618" s="1" t="str">
        <f aca="false">IF($S2618="","",IF(COUNTIF($S$2:$S$2991,$S2618)&gt;1,"DUPLICATE","OK"))</f>
        <v/>
      </c>
      <c r="U2618" s="0" t="str">
        <f aca="false">IF($L2618="","",IFERROR(VLOOKUP(--$L2618,MM_Income!$Z$5:$AC$204,3,FALSE()),"UNMAPPED"))</f>
        <v/>
      </c>
    </row>
    <row r="2619" customFormat="false" ht="13.5" hidden="false" customHeight="false" outlineLevel="0" collapsed="false">
      <c r="A2619" s="1" t="str">
        <f aca="false">IF($C2619="","",Controls!$B$7)</f>
        <v/>
      </c>
      <c r="B2619" s="1" t="str">
        <f aca="false">IF($H2619="","",YEAR($H2619)&amp;"-Q"&amp;ROUNDUP(MONTH($H2619)/3,0))</f>
        <v/>
      </c>
      <c r="S2619" s="1" t="str">
        <f aca="false">IF($C2619="","",$C2619&amp;"|"&amp;$E2619&amp;"|"&amp;$F2619&amp;"|"&amp;$L2619&amp;"|"&amp;$P2619&amp;"|"&amp;TEXT($H2619,"yyyy-mm-dd"))</f>
        <v/>
      </c>
      <c r="T2619" s="1" t="str">
        <f aca="false">IF($S2619="","",IF(COUNTIF($S$2:$S$2991,$S2619)&gt;1,"DUPLICATE","OK"))</f>
        <v/>
      </c>
      <c r="U2619" s="0" t="str">
        <f aca="false">IF($L2619="","",IFERROR(VLOOKUP(--$L2619,MM_Income!$Z$5:$AC$204,3,FALSE()),"UNMAPPED"))</f>
        <v/>
      </c>
    </row>
    <row r="2620" customFormat="false" ht="13.5" hidden="false" customHeight="false" outlineLevel="0" collapsed="false">
      <c r="A2620" s="1" t="str">
        <f aca="false">IF($C2620="","",Controls!$B$7)</f>
        <v/>
      </c>
      <c r="B2620" s="1" t="str">
        <f aca="false">IF($H2620="","",YEAR($H2620)&amp;"-Q"&amp;ROUNDUP(MONTH($H2620)/3,0))</f>
        <v/>
      </c>
      <c r="S2620" s="1" t="str">
        <f aca="false">IF($C2620="","",$C2620&amp;"|"&amp;$E2620&amp;"|"&amp;$F2620&amp;"|"&amp;$L2620&amp;"|"&amp;$P2620&amp;"|"&amp;TEXT($H2620,"yyyy-mm-dd"))</f>
        <v/>
      </c>
      <c r="T2620" s="1" t="str">
        <f aca="false">IF($S2620="","",IF(COUNTIF($S$2:$S$2991,$S2620)&gt;1,"DUPLICATE","OK"))</f>
        <v/>
      </c>
      <c r="U2620" s="0" t="str">
        <f aca="false">IF($L2620="","",IFERROR(VLOOKUP(--$L2620,MM_Income!$Z$5:$AC$204,3,FALSE()),"UNMAPPED"))</f>
        <v/>
      </c>
    </row>
    <row r="2621" customFormat="false" ht="13.5" hidden="false" customHeight="false" outlineLevel="0" collapsed="false">
      <c r="A2621" s="1" t="str">
        <f aca="false">IF($C2621="","",Controls!$B$7)</f>
        <v/>
      </c>
      <c r="B2621" s="1" t="str">
        <f aca="false">IF($H2621="","",YEAR($H2621)&amp;"-Q"&amp;ROUNDUP(MONTH($H2621)/3,0))</f>
        <v/>
      </c>
      <c r="S2621" s="1" t="str">
        <f aca="false">IF($C2621="","",$C2621&amp;"|"&amp;$E2621&amp;"|"&amp;$F2621&amp;"|"&amp;$L2621&amp;"|"&amp;$P2621&amp;"|"&amp;TEXT($H2621,"yyyy-mm-dd"))</f>
        <v/>
      </c>
      <c r="T2621" s="1" t="str">
        <f aca="false">IF($S2621="","",IF(COUNTIF($S$2:$S$2991,$S2621)&gt;1,"DUPLICATE","OK"))</f>
        <v/>
      </c>
      <c r="U2621" s="0" t="str">
        <f aca="false">IF($L2621="","",IFERROR(VLOOKUP(--$L2621,MM_Income!$Z$5:$AC$204,3,FALSE()),"UNMAPPED"))</f>
        <v/>
      </c>
    </row>
    <row r="2622" customFormat="false" ht="13.5" hidden="false" customHeight="false" outlineLevel="0" collapsed="false">
      <c r="A2622" s="1" t="str">
        <f aca="false">IF($C2622="","",Controls!$B$7)</f>
        <v/>
      </c>
      <c r="B2622" s="1" t="str">
        <f aca="false">IF($H2622="","",YEAR($H2622)&amp;"-Q"&amp;ROUNDUP(MONTH($H2622)/3,0))</f>
        <v/>
      </c>
      <c r="S2622" s="1" t="str">
        <f aca="false">IF($C2622="","",$C2622&amp;"|"&amp;$E2622&amp;"|"&amp;$F2622&amp;"|"&amp;$L2622&amp;"|"&amp;$P2622&amp;"|"&amp;TEXT($H2622,"yyyy-mm-dd"))</f>
        <v/>
      </c>
      <c r="T2622" s="1" t="str">
        <f aca="false">IF($S2622="","",IF(COUNTIF($S$2:$S$2991,$S2622)&gt;1,"DUPLICATE","OK"))</f>
        <v/>
      </c>
      <c r="U2622" s="0" t="str">
        <f aca="false">IF($L2622="","",IFERROR(VLOOKUP(--$L2622,MM_Income!$Z$5:$AC$204,3,FALSE()),"UNMAPPED"))</f>
        <v/>
      </c>
    </row>
    <row r="2623" customFormat="false" ht="13.5" hidden="false" customHeight="false" outlineLevel="0" collapsed="false">
      <c r="A2623" s="1" t="str">
        <f aca="false">IF($C2623="","",Controls!$B$7)</f>
        <v/>
      </c>
      <c r="B2623" s="1" t="str">
        <f aca="false">IF($H2623="","",YEAR($H2623)&amp;"-Q"&amp;ROUNDUP(MONTH($H2623)/3,0))</f>
        <v/>
      </c>
      <c r="S2623" s="1" t="str">
        <f aca="false">IF($C2623="","",$C2623&amp;"|"&amp;$E2623&amp;"|"&amp;$F2623&amp;"|"&amp;$L2623&amp;"|"&amp;$P2623&amp;"|"&amp;TEXT($H2623,"yyyy-mm-dd"))</f>
        <v/>
      </c>
      <c r="T2623" s="1" t="str">
        <f aca="false">IF($S2623="","",IF(COUNTIF($S$2:$S$2991,$S2623)&gt;1,"DUPLICATE","OK"))</f>
        <v/>
      </c>
      <c r="U2623" s="0" t="str">
        <f aca="false">IF($L2623="","",IFERROR(VLOOKUP(--$L2623,MM_Income!$Z$5:$AC$204,3,FALSE()),"UNMAPPED"))</f>
        <v/>
      </c>
    </row>
    <row r="2624" customFormat="false" ht="13.5" hidden="false" customHeight="false" outlineLevel="0" collapsed="false">
      <c r="A2624" s="1" t="str">
        <f aca="false">IF($C2624="","",Controls!$B$7)</f>
        <v/>
      </c>
      <c r="B2624" s="1" t="str">
        <f aca="false">IF($H2624="","",YEAR($H2624)&amp;"-Q"&amp;ROUNDUP(MONTH($H2624)/3,0))</f>
        <v/>
      </c>
      <c r="S2624" s="1" t="str">
        <f aca="false">IF($C2624="","",$C2624&amp;"|"&amp;$E2624&amp;"|"&amp;$F2624&amp;"|"&amp;$L2624&amp;"|"&amp;$P2624&amp;"|"&amp;TEXT($H2624,"yyyy-mm-dd"))</f>
        <v/>
      </c>
      <c r="T2624" s="1" t="str">
        <f aca="false">IF($S2624="","",IF(COUNTIF($S$2:$S$2991,$S2624)&gt;1,"DUPLICATE","OK"))</f>
        <v/>
      </c>
      <c r="U2624" s="0" t="str">
        <f aca="false">IF($L2624="","",IFERROR(VLOOKUP(--$L2624,MM_Income!$Z$5:$AC$204,3,FALSE()),"UNMAPPED"))</f>
        <v/>
      </c>
    </row>
    <row r="2625" customFormat="false" ht="13.5" hidden="false" customHeight="false" outlineLevel="0" collapsed="false">
      <c r="A2625" s="1" t="str">
        <f aca="false">IF($C2625="","",Controls!$B$7)</f>
        <v/>
      </c>
      <c r="B2625" s="1" t="str">
        <f aca="false">IF($H2625="","",YEAR($H2625)&amp;"-Q"&amp;ROUNDUP(MONTH($H2625)/3,0))</f>
        <v/>
      </c>
      <c r="S2625" s="1" t="str">
        <f aca="false">IF($C2625="","",$C2625&amp;"|"&amp;$E2625&amp;"|"&amp;$F2625&amp;"|"&amp;$L2625&amp;"|"&amp;$P2625&amp;"|"&amp;TEXT($H2625,"yyyy-mm-dd"))</f>
        <v/>
      </c>
      <c r="T2625" s="1" t="str">
        <f aca="false">IF($S2625="","",IF(COUNTIF($S$2:$S$2991,$S2625)&gt;1,"DUPLICATE","OK"))</f>
        <v/>
      </c>
      <c r="U2625" s="0" t="str">
        <f aca="false">IF($L2625="","",IFERROR(VLOOKUP(--$L2625,MM_Income!$Z$5:$AC$204,3,FALSE()),"UNMAPPED"))</f>
        <v/>
      </c>
    </row>
    <row r="2626" customFormat="false" ht="13.5" hidden="false" customHeight="false" outlineLevel="0" collapsed="false">
      <c r="A2626" s="1" t="str">
        <f aca="false">IF($C2626="","",Controls!$B$7)</f>
        <v/>
      </c>
      <c r="B2626" s="1" t="str">
        <f aca="false">IF($H2626="","",YEAR($H2626)&amp;"-Q"&amp;ROUNDUP(MONTH($H2626)/3,0))</f>
        <v/>
      </c>
      <c r="S2626" s="1" t="str">
        <f aca="false">IF($C2626="","",$C2626&amp;"|"&amp;$E2626&amp;"|"&amp;$F2626&amp;"|"&amp;$L2626&amp;"|"&amp;$P2626&amp;"|"&amp;TEXT($H2626,"yyyy-mm-dd"))</f>
        <v/>
      </c>
      <c r="T2626" s="1" t="str">
        <f aca="false">IF($S2626="","",IF(COUNTIF($S$2:$S$2991,$S2626)&gt;1,"DUPLICATE","OK"))</f>
        <v/>
      </c>
      <c r="U2626" s="0" t="str">
        <f aca="false">IF($L2626="","",IFERROR(VLOOKUP(--$L2626,MM_Income!$Z$5:$AC$204,3,FALSE()),"UNMAPPED"))</f>
        <v/>
      </c>
    </row>
    <row r="2627" customFormat="false" ht="13.5" hidden="false" customHeight="false" outlineLevel="0" collapsed="false">
      <c r="A2627" s="1" t="str">
        <f aca="false">IF($C2627="","",Controls!$B$7)</f>
        <v/>
      </c>
      <c r="B2627" s="1" t="str">
        <f aca="false">IF($H2627="","",YEAR($H2627)&amp;"-Q"&amp;ROUNDUP(MONTH($H2627)/3,0))</f>
        <v/>
      </c>
      <c r="S2627" s="1" t="str">
        <f aca="false">IF($C2627="","",$C2627&amp;"|"&amp;$E2627&amp;"|"&amp;$F2627&amp;"|"&amp;$L2627&amp;"|"&amp;$P2627&amp;"|"&amp;TEXT($H2627,"yyyy-mm-dd"))</f>
        <v/>
      </c>
      <c r="T2627" s="1" t="str">
        <f aca="false">IF($S2627="","",IF(COUNTIF($S$2:$S$2991,$S2627)&gt;1,"DUPLICATE","OK"))</f>
        <v/>
      </c>
      <c r="U2627" s="0" t="str">
        <f aca="false">IF($L2627="","",IFERROR(VLOOKUP(--$L2627,MM_Income!$Z$5:$AC$204,3,FALSE()),"UNMAPPED"))</f>
        <v/>
      </c>
    </row>
    <row r="2628" customFormat="false" ht="13.5" hidden="false" customHeight="false" outlineLevel="0" collapsed="false">
      <c r="A2628" s="1" t="str">
        <f aca="false">IF($C2628="","",Controls!$B$7)</f>
        <v/>
      </c>
      <c r="B2628" s="1" t="str">
        <f aca="false">IF($H2628="","",YEAR($H2628)&amp;"-Q"&amp;ROUNDUP(MONTH($H2628)/3,0))</f>
        <v/>
      </c>
      <c r="S2628" s="1" t="str">
        <f aca="false">IF($C2628="","",$C2628&amp;"|"&amp;$E2628&amp;"|"&amp;$F2628&amp;"|"&amp;$L2628&amp;"|"&amp;$P2628&amp;"|"&amp;TEXT($H2628,"yyyy-mm-dd"))</f>
        <v/>
      </c>
      <c r="T2628" s="1" t="str">
        <f aca="false">IF($S2628="","",IF(COUNTIF($S$2:$S$2991,$S2628)&gt;1,"DUPLICATE","OK"))</f>
        <v/>
      </c>
      <c r="U2628" s="0" t="str">
        <f aca="false">IF($L2628="","",IFERROR(VLOOKUP(--$L2628,MM_Income!$Z$5:$AC$204,3,FALSE()),"UNMAPPED"))</f>
        <v/>
      </c>
    </row>
    <row r="2629" customFormat="false" ht="13.5" hidden="false" customHeight="false" outlineLevel="0" collapsed="false">
      <c r="A2629" s="1" t="str">
        <f aca="false">IF($C2629="","",Controls!$B$7)</f>
        <v/>
      </c>
      <c r="B2629" s="1" t="str">
        <f aca="false">IF($H2629="","",YEAR($H2629)&amp;"-Q"&amp;ROUNDUP(MONTH($H2629)/3,0))</f>
        <v/>
      </c>
      <c r="S2629" s="1" t="str">
        <f aca="false">IF($C2629="","",$C2629&amp;"|"&amp;$E2629&amp;"|"&amp;$F2629&amp;"|"&amp;$L2629&amp;"|"&amp;$P2629&amp;"|"&amp;TEXT($H2629,"yyyy-mm-dd"))</f>
        <v/>
      </c>
      <c r="T2629" s="1" t="str">
        <f aca="false">IF($S2629="","",IF(COUNTIF($S$2:$S$2991,$S2629)&gt;1,"DUPLICATE","OK"))</f>
        <v/>
      </c>
      <c r="U2629" s="0" t="str">
        <f aca="false">IF($L2629="","",IFERROR(VLOOKUP(--$L2629,MM_Income!$Z$5:$AC$204,3,FALSE()),"UNMAPPED"))</f>
        <v/>
      </c>
    </row>
    <row r="2630" customFormat="false" ht="13.5" hidden="false" customHeight="false" outlineLevel="0" collapsed="false">
      <c r="A2630" s="1" t="str">
        <f aca="false">IF($C2630="","",Controls!$B$7)</f>
        <v/>
      </c>
      <c r="B2630" s="1" t="str">
        <f aca="false">IF($H2630="","",YEAR($H2630)&amp;"-Q"&amp;ROUNDUP(MONTH($H2630)/3,0))</f>
        <v/>
      </c>
      <c r="S2630" s="1" t="str">
        <f aca="false">IF($C2630="","",$C2630&amp;"|"&amp;$E2630&amp;"|"&amp;$F2630&amp;"|"&amp;$L2630&amp;"|"&amp;$P2630&amp;"|"&amp;TEXT($H2630,"yyyy-mm-dd"))</f>
        <v/>
      </c>
      <c r="T2630" s="1" t="str">
        <f aca="false">IF($S2630="","",IF(COUNTIF($S$2:$S$2991,$S2630)&gt;1,"DUPLICATE","OK"))</f>
        <v/>
      </c>
      <c r="U2630" s="0" t="str">
        <f aca="false">IF($L2630="","",IFERROR(VLOOKUP(--$L2630,MM_Income!$Z$5:$AC$204,3,FALSE()),"UNMAPPED"))</f>
        <v/>
      </c>
    </row>
    <row r="2631" customFormat="false" ht="13.5" hidden="false" customHeight="false" outlineLevel="0" collapsed="false">
      <c r="A2631" s="1" t="str">
        <f aca="false">IF($C2631="","",Controls!$B$7)</f>
        <v/>
      </c>
      <c r="B2631" s="1" t="str">
        <f aca="false">IF($H2631="","",YEAR($H2631)&amp;"-Q"&amp;ROUNDUP(MONTH($H2631)/3,0))</f>
        <v/>
      </c>
      <c r="S2631" s="1" t="str">
        <f aca="false">IF($C2631="","",$C2631&amp;"|"&amp;$E2631&amp;"|"&amp;$F2631&amp;"|"&amp;$L2631&amp;"|"&amp;$P2631&amp;"|"&amp;TEXT($H2631,"yyyy-mm-dd"))</f>
        <v/>
      </c>
      <c r="T2631" s="1" t="str">
        <f aca="false">IF($S2631="","",IF(COUNTIF($S$2:$S$2991,$S2631)&gt;1,"DUPLICATE","OK"))</f>
        <v/>
      </c>
      <c r="U2631" s="0" t="str">
        <f aca="false">IF($L2631="","",IFERROR(VLOOKUP(--$L2631,MM_Income!$Z$5:$AC$204,3,FALSE()),"UNMAPPED"))</f>
        <v/>
      </c>
    </row>
    <row r="2632" customFormat="false" ht="13.5" hidden="false" customHeight="false" outlineLevel="0" collapsed="false">
      <c r="A2632" s="1" t="str">
        <f aca="false">IF($C2632="","",Controls!$B$7)</f>
        <v/>
      </c>
      <c r="B2632" s="1" t="str">
        <f aca="false">IF($H2632="","",YEAR($H2632)&amp;"-Q"&amp;ROUNDUP(MONTH($H2632)/3,0))</f>
        <v/>
      </c>
      <c r="S2632" s="1" t="str">
        <f aca="false">IF($C2632="","",$C2632&amp;"|"&amp;$E2632&amp;"|"&amp;$F2632&amp;"|"&amp;$L2632&amp;"|"&amp;$P2632&amp;"|"&amp;TEXT($H2632,"yyyy-mm-dd"))</f>
        <v/>
      </c>
      <c r="T2632" s="1" t="str">
        <f aca="false">IF($S2632="","",IF(COUNTIF($S$2:$S$2991,$S2632)&gt;1,"DUPLICATE","OK"))</f>
        <v/>
      </c>
      <c r="U2632" s="0" t="str">
        <f aca="false">IF($L2632="","",IFERROR(VLOOKUP(--$L2632,MM_Income!$Z$5:$AC$204,3,FALSE()),"UNMAPPED"))</f>
        <v/>
      </c>
    </row>
    <row r="2633" customFormat="false" ht="13.5" hidden="false" customHeight="false" outlineLevel="0" collapsed="false">
      <c r="A2633" s="1" t="str">
        <f aca="false">IF($C2633="","",Controls!$B$7)</f>
        <v/>
      </c>
      <c r="B2633" s="1" t="str">
        <f aca="false">IF($H2633="","",YEAR($H2633)&amp;"-Q"&amp;ROUNDUP(MONTH($H2633)/3,0))</f>
        <v/>
      </c>
      <c r="S2633" s="1" t="str">
        <f aca="false">IF($C2633="","",$C2633&amp;"|"&amp;$E2633&amp;"|"&amp;$F2633&amp;"|"&amp;$L2633&amp;"|"&amp;$P2633&amp;"|"&amp;TEXT($H2633,"yyyy-mm-dd"))</f>
        <v/>
      </c>
      <c r="T2633" s="1" t="str">
        <f aca="false">IF($S2633="","",IF(COUNTIF($S$2:$S$2991,$S2633)&gt;1,"DUPLICATE","OK"))</f>
        <v/>
      </c>
      <c r="U2633" s="0" t="str">
        <f aca="false">IF($L2633="","",IFERROR(VLOOKUP(--$L2633,MM_Income!$Z$5:$AC$204,3,FALSE()),"UNMAPPED"))</f>
        <v/>
      </c>
    </row>
    <row r="2634" customFormat="false" ht="13.5" hidden="false" customHeight="false" outlineLevel="0" collapsed="false">
      <c r="A2634" s="1" t="str">
        <f aca="false">IF($C2634="","",Controls!$B$7)</f>
        <v/>
      </c>
      <c r="B2634" s="1" t="str">
        <f aca="false">IF($H2634="","",YEAR($H2634)&amp;"-Q"&amp;ROUNDUP(MONTH($H2634)/3,0))</f>
        <v/>
      </c>
      <c r="S2634" s="1" t="str">
        <f aca="false">IF($C2634="","",$C2634&amp;"|"&amp;$E2634&amp;"|"&amp;$F2634&amp;"|"&amp;$L2634&amp;"|"&amp;$P2634&amp;"|"&amp;TEXT($H2634,"yyyy-mm-dd"))</f>
        <v/>
      </c>
      <c r="T2634" s="1" t="str">
        <f aca="false">IF($S2634="","",IF(COUNTIF($S$2:$S$2991,$S2634)&gt;1,"DUPLICATE","OK"))</f>
        <v/>
      </c>
      <c r="U2634" s="0" t="str">
        <f aca="false">IF($L2634="","",IFERROR(VLOOKUP(--$L2634,MM_Income!$Z$5:$AC$204,3,FALSE()),"UNMAPPED"))</f>
        <v/>
      </c>
    </row>
    <row r="2635" customFormat="false" ht="13.5" hidden="false" customHeight="false" outlineLevel="0" collapsed="false">
      <c r="A2635" s="1" t="str">
        <f aca="false">IF($C2635="","",Controls!$B$7)</f>
        <v/>
      </c>
      <c r="B2635" s="1" t="str">
        <f aca="false">IF($H2635="","",YEAR($H2635)&amp;"-Q"&amp;ROUNDUP(MONTH($H2635)/3,0))</f>
        <v/>
      </c>
      <c r="S2635" s="1" t="str">
        <f aca="false">IF($C2635="","",$C2635&amp;"|"&amp;$E2635&amp;"|"&amp;$F2635&amp;"|"&amp;$L2635&amp;"|"&amp;$P2635&amp;"|"&amp;TEXT($H2635,"yyyy-mm-dd"))</f>
        <v/>
      </c>
      <c r="T2635" s="1" t="str">
        <f aca="false">IF($S2635="","",IF(COUNTIF($S$2:$S$2991,$S2635)&gt;1,"DUPLICATE","OK"))</f>
        <v/>
      </c>
      <c r="U2635" s="0" t="str">
        <f aca="false">IF($L2635="","",IFERROR(VLOOKUP(--$L2635,MM_Income!$Z$5:$AC$204,3,FALSE()),"UNMAPPED"))</f>
        <v/>
      </c>
    </row>
    <row r="2636" customFormat="false" ht="13.5" hidden="false" customHeight="false" outlineLevel="0" collapsed="false">
      <c r="A2636" s="1" t="str">
        <f aca="false">IF($C2636="","",Controls!$B$7)</f>
        <v/>
      </c>
      <c r="B2636" s="1" t="str">
        <f aca="false">IF($H2636="","",YEAR($H2636)&amp;"-Q"&amp;ROUNDUP(MONTH($H2636)/3,0))</f>
        <v/>
      </c>
      <c r="S2636" s="1" t="str">
        <f aca="false">IF($C2636="","",$C2636&amp;"|"&amp;$E2636&amp;"|"&amp;$F2636&amp;"|"&amp;$L2636&amp;"|"&amp;$P2636&amp;"|"&amp;TEXT($H2636,"yyyy-mm-dd"))</f>
        <v/>
      </c>
      <c r="T2636" s="1" t="str">
        <f aca="false">IF($S2636="","",IF(COUNTIF($S$2:$S$2991,$S2636)&gt;1,"DUPLICATE","OK"))</f>
        <v/>
      </c>
      <c r="U2636" s="0" t="str">
        <f aca="false">IF($L2636="","",IFERROR(VLOOKUP(--$L2636,MM_Income!$Z$5:$AC$204,3,FALSE()),"UNMAPPED"))</f>
        <v/>
      </c>
    </row>
    <row r="2637" customFormat="false" ht="13.5" hidden="false" customHeight="false" outlineLevel="0" collapsed="false">
      <c r="A2637" s="1" t="str">
        <f aca="false">IF($C2637="","",Controls!$B$7)</f>
        <v/>
      </c>
      <c r="B2637" s="1" t="str">
        <f aca="false">IF($H2637="","",YEAR($H2637)&amp;"-Q"&amp;ROUNDUP(MONTH($H2637)/3,0))</f>
        <v/>
      </c>
      <c r="S2637" s="1" t="str">
        <f aca="false">IF($C2637="","",$C2637&amp;"|"&amp;$E2637&amp;"|"&amp;$F2637&amp;"|"&amp;$L2637&amp;"|"&amp;$P2637&amp;"|"&amp;TEXT($H2637,"yyyy-mm-dd"))</f>
        <v/>
      </c>
      <c r="T2637" s="1" t="str">
        <f aca="false">IF($S2637="","",IF(COUNTIF($S$2:$S$2991,$S2637)&gt;1,"DUPLICATE","OK"))</f>
        <v/>
      </c>
      <c r="U2637" s="0" t="str">
        <f aca="false">IF($L2637="","",IFERROR(VLOOKUP(--$L2637,MM_Income!$Z$5:$AC$204,3,FALSE()),"UNMAPPED"))</f>
        <v/>
      </c>
    </row>
    <row r="2638" customFormat="false" ht="13.5" hidden="false" customHeight="false" outlineLevel="0" collapsed="false">
      <c r="A2638" s="1" t="str">
        <f aca="false">IF($C2638="","",Controls!$B$7)</f>
        <v/>
      </c>
      <c r="B2638" s="1" t="str">
        <f aca="false">IF($H2638="","",YEAR($H2638)&amp;"-Q"&amp;ROUNDUP(MONTH($H2638)/3,0))</f>
        <v/>
      </c>
      <c r="S2638" s="1" t="str">
        <f aca="false">IF($C2638="","",$C2638&amp;"|"&amp;$E2638&amp;"|"&amp;$F2638&amp;"|"&amp;$L2638&amp;"|"&amp;$P2638&amp;"|"&amp;TEXT($H2638,"yyyy-mm-dd"))</f>
        <v/>
      </c>
      <c r="T2638" s="1" t="str">
        <f aca="false">IF($S2638="","",IF(COUNTIF($S$2:$S$2991,$S2638)&gt;1,"DUPLICATE","OK"))</f>
        <v/>
      </c>
      <c r="U2638" s="0" t="str">
        <f aca="false">IF($L2638="","",IFERROR(VLOOKUP(--$L2638,MM_Income!$Z$5:$AC$204,3,FALSE()),"UNMAPPED"))</f>
        <v/>
      </c>
    </row>
    <row r="2639" customFormat="false" ht="13.5" hidden="false" customHeight="false" outlineLevel="0" collapsed="false">
      <c r="A2639" s="1" t="str">
        <f aca="false">IF($C2639="","",Controls!$B$7)</f>
        <v/>
      </c>
      <c r="B2639" s="1" t="str">
        <f aca="false">IF($H2639="","",YEAR($H2639)&amp;"-Q"&amp;ROUNDUP(MONTH($H2639)/3,0))</f>
        <v/>
      </c>
      <c r="S2639" s="1" t="str">
        <f aca="false">IF($C2639="","",$C2639&amp;"|"&amp;$E2639&amp;"|"&amp;$F2639&amp;"|"&amp;$L2639&amp;"|"&amp;$P2639&amp;"|"&amp;TEXT($H2639,"yyyy-mm-dd"))</f>
        <v/>
      </c>
      <c r="T2639" s="1" t="str">
        <f aca="false">IF($S2639="","",IF(COUNTIF($S$2:$S$2991,$S2639)&gt;1,"DUPLICATE","OK"))</f>
        <v/>
      </c>
      <c r="U2639" s="0" t="str">
        <f aca="false">IF($L2639="","",IFERROR(VLOOKUP(--$L2639,MM_Income!$Z$5:$AC$204,3,FALSE()),"UNMAPPED"))</f>
        <v/>
      </c>
    </row>
    <row r="2640" customFormat="false" ht="13.5" hidden="false" customHeight="false" outlineLevel="0" collapsed="false">
      <c r="A2640" s="1" t="str">
        <f aca="false">IF($C2640="","",Controls!$B$7)</f>
        <v/>
      </c>
      <c r="B2640" s="1" t="str">
        <f aca="false">IF($H2640="","",YEAR($H2640)&amp;"-Q"&amp;ROUNDUP(MONTH($H2640)/3,0))</f>
        <v/>
      </c>
      <c r="S2640" s="1" t="str">
        <f aca="false">IF($C2640="","",$C2640&amp;"|"&amp;$E2640&amp;"|"&amp;$F2640&amp;"|"&amp;$L2640&amp;"|"&amp;$P2640&amp;"|"&amp;TEXT($H2640,"yyyy-mm-dd"))</f>
        <v/>
      </c>
      <c r="T2640" s="1" t="str">
        <f aca="false">IF($S2640="","",IF(COUNTIF($S$2:$S$2991,$S2640)&gt;1,"DUPLICATE","OK"))</f>
        <v/>
      </c>
      <c r="U2640" s="0" t="str">
        <f aca="false">IF($L2640="","",IFERROR(VLOOKUP(--$L2640,MM_Income!$Z$5:$AC$204,3,FALSE()),"UNMAPPED"))</f>
        <v/>
      </c>
    </row>
    <row r="2641" customFormat="false" ht="13.5" hidden="false" customHeight="false" outlineLevel="0" collapsed="false">
      <c r="A2641" s="1" t="str">
        <f aca="false">IF($C2641="","",Controls!$B$7)</f>
        <v/>
      </c>
      <c r="B2641" s="1" t="str">
        <f aca="false">IF($H2641="","",YEAR($H2641)&amp;"-Q"&amp;ROUNDUP(MONTH($H2641)/3,0))</f>
        <v/>
      </c>
      <c r="S2641" s="1" t="str">
        <f aca="false">IF($C2641="","",$C2641&amp;"|"&amp;$E2641&amp;"|"&amp;$F2641&amp;"|"&amp;$L2641&amp;"|"&amp;$P2641&amp;"|"&amp;TEXT($H2641,"yyyy-mm-dd"))</f>
        <v/>
      </c>
      <c r="T2641" s="1" t="str">
        <f aca="false">IF($S2641="","",IF(COUNTIF($S$2:$S$2991,$S2641)&gt;1,"DUPLICATE","OK"))</f>
        <v/>
      </c>
      <c r="U2641" s="0" t="str">
        <f aca="false">IF($L2641="","",IFERROR(VLOOKUP(--$L2641,MM_Income!$Z$5:$AC$204,3,FALSE()),"UNMAPPED"))</f>
        <v/>
      </c>
    </row>
    <row r="2642" customFormat="false" ht="13.5" hidden="false" customHeight="false" outlineLevel="0" collapsed="false">
      <c r="A2642" s="1" t="str">
        <f aca="false">IF($C2642="","",Controls!$B$7)</f>
        <v/>
      </c>
      <c r="B2642" s="1" t="str">
        <f aca="false">IF($H2642="","",YEAR($H2642)&amp;"-Q"&amp;ROUNDUP(MONTH($H2642)/3,0))</f>
        <v/>
      </c>
      <c r="S2642" s="1" t="str">
        <f aca="false">IF($C2642="","",$C2642&amp;"|"&amp;$E2642&amp;"|"&amp;$F2642&amp;"|"&amp;$L2642&amp;"|"&amp;$P2642&amp;"|"&amp;TEXT($H2642,"yyyy-mm-dd"))</f>
        <v/>
      </c>
      <c r="T2642" s="1" t="str">
        <f aca="false">IF($S2642="","",IF(COUNTIF($S$2:$S$2991,$S2642)&gt;1,"DUPLICATE","OK"))</f>
        <v/>
      </c>
      <c r="U2642" s="0" t="str">
        <f aca="false">IF($L2642="","",IFERROR(VLOOKUP(--$L2642,MM_Income!$Z$5:$AC$204,3,FALSE()),"UNMAPPED"))</f>
        <v/>
      </c>
    </row>
    <row r="2643" customFormat="false" ht="13.5" hidden="false" customHeight="false" outlineLevel="0" collapsed="false">
      <c r="A2643" s="1" t="str">
        <f aca="false">IF($C2643="","",Controls!$B$7)</f>
        <v/>
      </c>
      <c r="B2643" s="1" t="str">
        <f aca="false">IF($H2643="","",YEAR($H2643)&amp;"-Q"&amp;ROUNDUP(MONTH($H2643)/3,0))</f>
        <v/>
      </c>
      <c r="S2643" s="1" t="str">
        <f aca="false">IF($C2643="","",$C2643&amp;"|"&amp;$E2643&amp;"|"&amp;$F2643&amp;"|"&amp;$L2643&amp;"|"&amp;$P2643&amp;"|"&amp;TEXT($H2643,"yyyy-mm-dd"))</f>
        <v/>
      </c>
      <c r="T2643" s="1" t="str">
        <f aca="false">IF($S2643="","",IF(COUNTIF($S$2:$S$2991,$S2643)&gt;1,"DUPLICATE","OK"))</f>
        <v/>
      </c>
      <c r="U2643" s="0" t="str">
        <f aca="false">IF($L2643="","",IFERROR(VLOOKUP(--$L2643,MM_Income!$Z$5:$AC$204,3,FALSE()),"UNMAPPED"))</f>
        <v/>
      </c>
    </row>
    <row r="2644" customFormat="false" ht="13.5" hidden="false" customHeight="false" outlineLevel="0" collapsed="false">
      <c r="A2644" s="1" t="str">
        <f aca="false">IF($C2644="","",Controls!$B$7)</f>
        <v/>
      </c>
      <c r="B2644" s="1" t="str">
        <f aca="false">IF($H2644="","",YEAR($H2644)&amp;"-Q"&amp;ROUNDUP(MONTH($H2644)/3,0))</f>
        <v/>
      </c>
      <c r="S2644" s="1" t="str">
        <f aca="false">IF($C2644="","",$C2644&amp;"|"&amp;$E2644&amp;"|"&amp;$F2644&amp;"|"&amp;$L2644&amp;"|"&amp;$P2644&amp;"|"&amp;TEXT($H2644,"yyyy-mm-dd"))</f>
        <v/>
      </c>
      <c r="T2644" s="1" t="str">
        <f aca="false">IF($S2644="","",IF(COUNTIF($S$2:$S$2991,$S2644)&gt;1,"DUPLICATE","OK"))</f>
        <v/>
      </c>
      <c r="U2644" s="0" t="str">
        <f aca="false">IF($L2644="","",IFERROR(VLOOKUP(--$L2644,MM_Income!$Z$5:$AC$204,3,FALSE()),"UNMAPPED"))</f>
        <v/>
      </c>
    </row>
    <row r="2645" customFormat="false" ht="13.5" hidden="false" customHeight="false" outlineLevel="0" collapsed="false">
      <c r="A2645" s="1" t="str">
        <f aca="false">IF($C2645="","",Controls!$B$7)</f>
        <v/>
      </c>
      <c r="B2645" s="1" t="str">
        <f aca="false">IF($H2645="","",YEAR($H2645)&amp;"-Q"&amp;ROUNDUP(MONTH($H2645)/3,0))</f>
        <v/>
      </c>
      <c r="S2645" s="1" t="str">
        <f aca="false">IF($C2645="","",$C2645&amp;"|"&amp;$E2645&amp;"|"&amp;$F2645&amp;"|"&amp;$L2645&amp;"|"&amp;$P2645&amp;"|"&amp;TEXT($H2645,"yyyy-mm-dd"))</f>
        <v/>
      </c>
      <c r="T2645" s="1" t="str">
        <f aca="false">IF($S2645="","",IF(COUNTIF($S$2:$S$2991,$S2645)&gt;1,"DUPLICATE","OK"))</f>
        <v/>
      </c>
      <c r="U2645" s="0" t="str">
        <f aca="false">IF($L2645="","",IFERROR(VLOOKUP(--$L2645,MM_Income!$Z$5:$AC$204,3,FALSE()),"UNMAPPED"))</f>
        <v/>
      </c>
    </row>
    <row r="2646" customFormat="false" ht="13.5" hidden="false" customHeight="false" outlineLevel="0" collapsed="false">
      <c r="A2646" s="1" t="str">
        <f aca="false">IF($C2646="","",Controls!$B$7)</f>
        <v/>
      </c>
      <c r="B2646" s="1" t="str">
        <f aca="false">IF($H2646="","",YEAR($H2646)&amp;"-Q"&amp;ROUNDUP(MONTH($H2646)/3,0))</f>
        <v/>
      </c>
      <c r="S2646" s="1" t="str">
        <f aca="false">IF($C2646="","",$C2646&amp;"|"&amp;$E2646&amp;"|"&amp;$F2646&amp;"|"&amp;$L2646&amp;"|"&amp;$P2646&amp;"|"&amp;TEXT($H2646,"yyyy-mm-dd"))</f>
        <v/>
      </c>
      <c r="T2646" s="1" t="str">
        <f aca="false">IF($S2646="","",IF(COUNTIF($S$2:$S$2991,$S2646)&gt;1,"DUPLICATE","OK"))</f>
        <v/>
      </c>
      <c r="U2646" s="0" t="str">
        <f aca="false">IF($L2646="","",IFERROR(VLOOKUP(--$L2646,MM_Income!$Z$5:$AC$204,3,FALSE()),"UNMAPPED"))</f>
        <v/>
      </c>
    </row>
    <row r="2647" customFormat="false" ht="13.5" hidden="false" customHeight="false" outlineLevel="0" collapsed="false">
      <c r="A2647" s="1" t="str">
        <f aca="false">IF($C2647="","",Controls!$B$7)</f>
        <v/>
      </c>
      <c r="B2647" s="1" t="str">
        <f aca="false">IF($H2647="","",YEAR($H2647)&amp;"-Q"&amp;ROUNDUP(MONTH($H2647)/3,0))</f>
        <v/>
      </c>
      <c r="S2647" s="1" t="str">
        <f aca="false">IF($C2647="","",$C2647&amp;"|"&amp;$E2647&amp;"|"&amp;$F2647&amp;"|"&amp;$L2647&amp;"|"&amp;$P2647&amp;"|"&amp;TEXT($H2647,"yyyy-mm-dd"))</f>
        <v/>
      </c>
      <c r="T2647" s="1" t="str">
        <f aca="false">IF($S2647="","",IF(COUNTIF($S$2:$S$2991,$S2647)&gt;1,"DUPLICATE","OK"))</f>
        <v/>
      </c>
      <c r="U2647" s="0" t="str">
        <f aca="false">IF($L2647="","",IFERROR(VLOOKUP(--$L2647,MM_Income!$Z$5:$AC$204,3,FALSE()),"UNMAPPED"))</f>
        <v/>
      </c>
    </row>
    <row r="2648" customFormat="false" ht="13.5" hidden="false" customHeight="false" outlineLevel="0" collapsed="false">
      <c r="A2648" s="1" t="str">
        <f aca="false">IF($C2648="","",Controls!$B$7)</f>
        <v/>
      </c>
      <c r="B2648" s="1" t="str">
        <f aca="false">IF($H2648="","",YEAR($H2648)&amp;"-Q"&amp;ROUNDUP(MONTH($H2648)/3,0))</f>
        <v/>
      </c>
      <c r="S2648" s="1" t="str">
        <f aca="false">IF($C2648="","",$C2648&amp;"|"&amp;$E2648&amp;"|"&amp;$F2648&amp;"|"&amp;$L2648&amp;"|"&amp;$P2648&amp;"|"&amp;TEXT($H2648,"yyyy-mm-dd"))</f>
        <v/>
      </c>
      <c r="T2648" s="1" t="str">
        <f aca="false">IF($S2648="","",IF(COUNTIF($S$2:$S$2991,$S2648)&gt;1,"DUPLICATE","OK"))</f>
        <v/>
      </c>
      <c r="U2648" s="0" t="str">
        <f aca="false">IF($L2648="","",IFERROR(VLOOKUP(--$L2648,MM_Income!$Z$5:$AC$204,3,FALSE()),"UNMAPPED"))</f>
        <v/>
      </c>
    </row>
    <row r="2649" customFormat="false" ht="13.5" hidden="false" customHeight="false" outlineLevel="0" collapsed="false">
      <c r="A2649" s="1" t="str">
        <f aca="false">IF($C2649="","",Controls!$B$7)</f>
        <v/>
      </c>
      <c r="B2649" s="1" t="str">
        <f aca="false">IF($H2649="","",YEAR($H2649)&amp;"-Q"&amp;ROUNDUP(MONTH($H2649)/3,0))</f>
        <v/>
      </c>
      <c r="S2649" s="1" t="str">
        <f aca="false">IF($C2649="","",$C2649&amp;"|"&amp;$E2649&amp;"|"&amp;$F2649&amp;"|"&amp;$L2649&amp;"|"&amp;$P2649&amp;"|"&amp;TEXT($H2649,"yyyy-mm-dd"))</f>
        <v/>
      </c>
      <c r="T2649" s="1" t="str">
        <f aca="false">IF($S2649="","",IF(COUNTIF($S$2:$S$2991,$S2649)&gt;1,"DUPLICATE","OK"))</f>
        <v/>
      </c>
      <c r="U2649" s="0" t="str">
        <f aca="false">IF($L2649="","",IFERROR(VLOOKUP(--$L2649,MM_Income!$Z$5:$AC$204,3,FALSE()),"UNMAPPED"))</f>
        <v/>
      </c>
    </row>
    <row r="2650" customFormat="false" ht="13.5" hidden="false" customHeight="false" outlineLevel="0" collapsed="false">
      <c r="A2650" s="1" t="str">
        <f aca="false">IF($C2650="","",Controls!$B$7)</f>
        <v/>
      </c>
      <c r="B2650" s="1" t="str">
        <f aca="false">IF($H2650="","",YEAR($H2650)&amp;"-Q"&amp;ROUNDUP(MONTH($H2650)/3,0))</f>
        <v/>
      </c>
      <c r="S2650" s="1" t="str">
        <f aca="false">IF($C2650="","",$C2650&amp;"|"&amp;$E2650&amp;"|"&amp;$F2650&amp;"|"&amp;$L2650&amp;"|"&amp;$P2650&amp;"|"&amp;TEXT($H2650,"yyyy-mm-dd"))</f>
        <v/>
      </c>
      <c r="T2650" s="1" t="str">
        <f aca="false">IF($S2650="","",IF(COUNTIF($S$2:$S$2991,$S2650)&gt;1,"DUPLICATE","OK"))</f>
        <v/>
      </c>
      <c r="U2650" s="0" t="str">
        <f aca="false">IF($L2650="","",IFERROR(VLOOKUP(--$L2650,MM_Income!$Z$5:$AC$204,3,FALSE()),"UNMAPPED"))</f>
        <v/>
      </c>
    </row>
    <row r="2651" customFormat="false" ht="13.5" hidden="false" customHeight="false" outlineLevel="0" collapsed="false">
      <c r="A2651" s="1" t="str">
        <f aca="false">IF($C2651="","",Controls!$B$7)</f>
        <v/>
      </c>
      <c r="B2651" s="1" t="str">
        <f aca="false">IF($H2651="","",YEAR($H2651)&amp;"-Q"&amp;ROUNDUP(MONTH($H2651)/3,0))</f>
        <v/>
      </c>
      <c r="S2651" s="1" t="str">
        <f aca="false">IF($C2651="","",$C2651&amp;"|"&amp;$E2651&amp;"|"&amp;$F2651&amp;"|"&amp;$L2651&amp;"|"&amp;$P2651&amp;"|"&amp;TEXT($H2651,"yyyy-mm-dd"))</f>
        <v/>
      </c>
      <c r="T2651" s="1" t="str">
        <f aca="false">IF($S2651="","",IF(COUNTIF($S$2:$S$2991,$S2651)&gt;1,"DUPLICATE","OK"))</f>
        <v/>
      </c>
      <c r="U2651" s="0" t="str">
        <f aca="false">IF($L2651="","",IFERROR(VLOOKUP(--$L2651,MM_Income!$Z$5:$AC$204,3,FALSE()),"UNMAPPED"))</f>
        <v/>
      </c>
    </row>
    <row r="2652" customFormat="false" ht="13.5" hidden="false" customHeight="false" outlineLevel="0" collapsed="false">
      <c r="A2652" s="1" t="str">
        <f aca="false">IF($C2652="","",Controls!$B$7)</f>
        <v/>
      </c>
      <c r="B2652" s="1" t="str">
        <f aca="false">IF($H2652="","",YEAR($H2652)&amp;"-Q"&amp;ROUNDUP(MONTH($H2652)/3,0))</f>
        <v/>
      </c>
      <c r="S2652" s="1" t="str">
        <f aca="false">IF($C2652="","",$C2652&amp;"|"&amp;$E2652&amp;"|"&amp;$F2652&amp;"|"&amp;$L2652&amp;"|"&amp;$P2652&amp;"|"&amp;TEXT($H2652,"yyyy-mm-dd"))</f>
        <v/>
      </c>
      <c r="T2652" s="1" t="str">
        <f aca="false">IF($S2652="","",IF(COUNTIF($S$2:$S$2991,$S2652)&gt;1,"DUPLICATE","OK"))</f>
        <v/>
      </c>
      <c r="U2652" s="0" t="str">
        <f aca="false">IF($L2652="","",IFERROR(VLOOKUP(--$L2652,MM_Income!$Z$5:$AC$204,3,FALSE()),"UNMAPPED"))</f>
        <v/>
      </c>
    </row>
    <row r="2653" customFormat="false" ht="13.5" hidden="false" customHeight="false" outlineLevel="0" collapsed="false">
      <c r="A2653" s="1" t="str">
        <f aca="false">IF($C2653="","",Controls!$B$7)</f>
        <v/>
      </c>
      <c r="B2653" s="1" t="str">
        <f aca="false">IF($H2653="","",YEAR($H2653)&amp;"-Q"&amp;ROUNDUP(MONTH($H2653)/3,0))</f>
        <v/>
      </c>
      <c r="S2653" s="1" t="str">
        <f aca="false">IF($C2653="","",$C2653&amp;"|"&amp;$E2653&amp;"|"&amp;$F2653&amp;"|"&amp;$L2653&amp;"|"&amp;$P2653&amp;"|"&amp;TEXT($H2653,"yyyy-mm-dd"))</f>
        <v/>
      </c>
      <c r="T2653" s="1" t="str">
        <f aca="false">IF($S2653="","",IF(COUNTIF($S$2:$S$2991,$S2653)&gt;1,"DUPLICATE","OK"))</f>
        <v/>
      </c>
      <c r="U2653" s="0" t="str">
        <f aca="false">IF($L2653="","",IFERROR(VLOOKUP(--$L2653,MM_Income!$Z$5:$AC$204,3,FALSE()),"UNMAPPED"))</f>
        <v/>
      </c>
    </row>
    <row r="2654" customFormat="false" ht="13.5" hidden="false" customHeight="false" outlineLevel="0" collapsed="false">
      <c r="A2654" s="1" t="str">
        <f aca="false">IF($C2654="","",Controls!$B$7)</f>
        <v/>
      </c>
      <c r="B2654" s="1" t="str">
        <f aca="false">IF($H2654="","",YEAR($H2654)&amp;"-Q"&amp;ROUNDUP(MONTH($H2654)/3,0))</f>
        <v/>
      </c>
      <c r="S2654" s="1" t="str">
        <f aca="false">IF($C2654="","",$C2654&amp;"|"&amp;$E2654&amp;"|"&amp;$F2654&amp;"|"&amp;$L2654&amp;"|"&amp;$P2654&amp;"|"&amp;TEXT($H2654,"yyyy-mm-dd"))</f>
        <v/>
      </c>
      <c r="T2654" s="1" t="str">
        <f aca="false">IF($S2654="","",IF(COUNTIF($S$2:$S$2991,$S2654)&gt;1,"DUPLICATE","OK"))</f>
        <v/>
      </c>
      <c r="U2654" s="0" t="str">
        <f aca="false">IF($L2654="","",IFERROR(VLOOKUP(--$L2654,MM_Income!$Z$5:$AC$204,3,FALSE()),"UNMAPPED"))</f>
        <v/>
      </c>
    </row>
    <row r="2655" customFormat="false" ht="13.5" hidden="false" customHeight="false" outlineLevel="0" collapsed="false">
      <c r="A2655" s="1" t="str">
        <f aca="false">IF($C2655="","",Controls!$B$7)</f>
        <v/>
      </c>
      <c r="B2655" s="1" t="str">
        <f aca="false">IF($H2655="","",YEAR($H2655)&amp;"-Q"&amp;ROUNDUP(MONTH($H2655)/3,0))</f>
        <v/>
      </c>
      <c r="S2655" s="1" t="str">
        <f aca="false">IF($C2655="","",$C2655&amp;"|"&amp;$E2655&amp;"|"&amp;$F2655&amp;"|"&amp;$L2655&amp;"|"&amp;$P2655&amp;"|"&amp;TEXT($H2655,"yyyy-mm-dd"))</f>
        <v/>
      </c>
      <c r="T2655" s="1" t="str">
        <f aca="false">IF($S2655="","",IF(COUNTIF($S$2:$S$2991,$S2655)&gt;1,"DUPLICATE","OK"))</f>
        <v/>
      </c>
      <c r="U2655" s="0" t="str">
        <f aca="false">IF($L2655="","",IFERROR(VLOOKUP(--$L2655,MM_Income!$Z$5:$AC$204,3,FALSE()),"UNMAPPED"))</f>
        <v/>
      </c>
    </row>
    <row r="2656" customFormat="false" ht="13.5" hidden="false" customHeight="false" outlineLevel="0" collapsed="false">
      <c r="A2656" s="1" t="str">
        <f aca="false">IF($C2656="","",Controls!$B$7)</f>
        <v/>
      </c>
      <c r="B2656" s="1" t="str">
        <f aca="false">IF($H2656="","",YEAR($H2656)&amp;"-Q"&amp;ROUNDUP(MONTH($H2656)/3,0))</f>
        <v/>
      </c>
      <c r="S2656" s="1" t="str">
        <f aca="false">IF($C2656="","",$C2656&amp;"|"&amp;$E2656&amp;"|"&amp;$F2656&amp;"|"&amp;$L2656&amp;"|"&amp;$P2656&amp;"|"&amp;TEXT($H2656,"yyyy-mm-dd"))</f>
        <v/>
      </c>
      <c r="T2656" s="1" t="str">
        <f aca="false">IF($S2656="","",IF(COUNTIF($S$2:$S$2991,$S2656)&gt;1,"DUPLICATE","OK"))</f>
        <v/>
      </c>
      <c r="U2656" s="0" t="str">
        <f aca="false">IF($L2656="","",IFERROR(VLOOKUP(--$L2656,MM_Income!$Z$5:$AC$204,3,FALSE()),"UNMAPPED"))</f>
        <v/>
      </c>
    </row>
    <row r="2657" customFormat="false" ht="13.5" hidden="false" customHeight="false" outlineLevel="0" collapsed="false">
      <c r="A2657" s="1" t="str">
        <f aca="false">IF($C2657="","",Controls!$B$7)</f>
        <v/>
      </c>
      <c r="B2657" s="1" t="str">
        <f aca="false">IF($H2657="","",YEAR($H2657)&amp;"-Q"&amp;ROUNDUP(MONTH($H2657)/3,0))</f>
        <v/>
      </c>
      <c r="S2657" s="1" t="str">
        <f aca="false">IF($C2657="","",$C2657&amp;"|"&amp;$E2657&amp;"|"&amp;$F2657&amp;"|"&amp;$L2657&amp;"|"&amp;$P2657&amp;"|"&amp;TEXT($H2657,"yyyy-mm-dd"))</f>
        <v/>
      </c>
      <c r="T2657" s="1" t="str">
        <f aca="false">IF($S2657="","",IF(COUNTIF($S$2:$S$2991,$S2657)&gt;1,"DUPLICATE","OK"))</f>
        <v/>
      </c>
      <c r="U2657" s="0" t="str">
        <f aca="false">IF($L2657="","",IFERROR(VLOOKUP(--$L2657,MM_Income!$Z$5:$AC$204,3,FALSE()),"UNMAPPED"))</f>
        <v/>
      </c>
    </row>
    <row r="2658" customFormat="false" ht="13.5" hidden="false" customHeight="false" outlineLevel="0" collapsed="false">
      <c r="A2658" s="1" t="str">
        <f aca="false">IF($C2658="","",Controls!$B$7)</f>
        <v/>
      </c>
      <c r="B2658" s="1" t="str">
        <f aca="false">IF($H2658="","",YEAR($H2658)&amp;"-Q"&amp;ROUNDUP(MONTH($H2658)/3,0))</f>
        <v/>
      </c>
      <c r="S2658" s="1" t="str">
        <f aca="false">IF($C2658="","",$C2658&amp;"|"&amp;$E2658&amp;"|"&amp;$F2658&amp;"|"&amp;$L2658&amp;"|"&amp;$P2658&amp;"|"&amp;TEXT($H2658,"yyyy-mm-dd"))</f>
        <v/>
      </c>
      <c r="T2658" s="1" t="str">
        <f aca="false">IF($S2658="","",IF(COUNTIF($S$2:$S$2991,$S2658)&gt;1,"DUPLICATE","OK"))</f>
        <v/>
      </c>
      <c r="U2658" s="0" t="str">
        <f aca="false">IF($L2658="","",IFERROR(VLOOKUP(--$L2658,MM_Income!$Z$5:$AC$204,3,FALSE()),"UNMAPPED"))</f>
        <v/>
      </c>
    </row>
    <row r="2659" customFormat="false" ht="13.5" hidden="false" customHeight="false" outlineLevel="0" collapsed="false">
      <c r="A2659" s="1" t="str">
        <f aca="false">IF($C2659="","",Controls!$B$7)</f>
        <v/>
      </c>
      <c r="B2659" s="1" t="str">
        <f aca="false">IF($H2659="","",YEAR($H2659)&amp;"-Q"&amp;ROUNDUP(MONTH($H2659)/3,0))</f>
        <v/>
      </c>
      <c r="S2659" s="1" t="str">
        <f aca="false">IF($C2659="","",$C2659&amp;"|"&amp;$E2659&amp;"|"&amp;$F2659&amp;"|"&amp;$L2659&amp;"|"&amp;$P2659&amp;"|"&amp;TEXT($H2659,"yyyy-mm-dd"))</f>
        <v/>
      </c>
      <c r="T2659" s="1" t="str">
        <f aca="false">IF($S2659="","",IF(COUNTIF($S$2:$S$2991,$S2659)&gt;1,"DUPLICATE","OK"))</f>
        <v/>
      </c>
      <c r="U2659" s="0" t="str">
        <f aca="false">IF($L2659="","",IFERROR(VLOOKUP(--$L2659,MM_Income!$Z$5:$AC$204,3,FALSE()),"UNMAPPED"))</f>
        <v/>
      </c>
    </row>
    <row r="2660" customFormat="false" ht="13.5" hidden="false" customHeight="false" outlineLevel="0" collapsed="false">
      <c r="A2660" s="1" t="str">
        <f aca="false">IF($C2660="","",Controls!$B$7)</f>
        <v/>
      </c>
      <c r="B2660" s="1" t="str">
        <f aca="false">IF($H2660="","",YEAR($H2660)&amp;"-Q"&amp;ROUNDUP(MONTH($H2660)/3,0))</f>
        <v/>
      </c>
      <c r="S2660" s="1" t="str">
        <f aca="false">IF($C2660="","",$C2660&amp;"|"&amp;$E2660&amp;"|"&amp;$F2660&amp;"|"&amp;$L2660&amp;"|"&amp;$P2660&amp;"|"&amp;TEXT($H2660,"yyyy-mm-dd"))</f>
        <v/>
      </c>
      <c r="T2660" s="1" t="str">
        <f aca="false">IF($S2660="","",IF(COUNTIF($S$2:$S$2991,$S2660)&gt;1,"DUPLICATE","OK"))</f>
        <v/>
      </c>
      <c r="U2660" s="0" t="str">
        <f aca="false">IF($L2660="","",IFERROR(VLOOKUP(--$L2660,MM_Income!$Z$5:$AC$204,3,FALSE()),"UNMAPPED"))</f>
        <v/>
      </c>
    </row>
    <row r="2661" customFormat="false" ht="13.5" hidden="false" customHeight="false" outlineLevel="0" collapsed="false">
      <c r="A2661" s="1" t="str">
        <f aca="false">IF($C2661="","",Controls!$B$7)</f>
        <v/>
      </c>
      <c r="B2661" s="1" t="str">
        <f aca="false">IF($H2661="","",YEAR($H2661)&amp;"-Q"&amp;ROUNDUP(MONTH($H2661)/3,0))</f>
        <v/>
      </c>
      <c r="S2661" s="1" t="str">
        <f aca="false">IF($C2661="","",$C2661&amp;"|"&amp;$E2661&amp;"|"&amp;$F2661&amp;"|"&amp;$L2661&amp;"|"&amp;$P2661&amp;"|"&amp;TEXT($H2661,"yyyy-mm-dd"))</f>
        <v/>
      </c>
      <c r="T2661" s="1" t="str">
        <f aca="false">IF($S2661="","",IF(COUNTIF($S$2:$S$2991,$S2661)&gt;1,"DUPLICATE","OK"))</f>
        <v/>
      </c>
      <c r="U2661" s="0" t="str">
        <f aca="false">IF($L2661="","",IFERROR(VLOOKUP(--$L2661,MM_Income!$Z$5:$AC$204,3,FALSE()),"UNMAPPED"))</f>
        <v/>
      </c>
    </row>
    <row r="2662" customFormat="false" ht="13.5" hidden="false" customHeight="false" outlineLevel="0" collapsed="false">
      <c r="A2662" s="1" t="str">
        <f aca="false">IF($C2662="","",Controls!$B$7)</f>
        <v/>
      </c>
      <c r="B2662" s="1" t="str">
        <f aca="false">IF($H2662="","",YEAR($H2662)&amp;"-Q"&amp;ROUNDUP(MONTH($H2662)/3,0))</f>
        <v/>
      </c>
      <c r="S2662" s="1" t="str">
        <f aca="false">IF($C2662="","",$C2662&amp;"|"&amp;$E2662&amp;"|"&amp;$F2662&amp;"|"&amp;$L2662&amp;"|"&amp;$P2662&amp;"|"&amp;TEXT($H2662,"yyyy-mm-dd"))</f>
        <v/>
      </c>
      <c r="T2662" s="1" t="str">
        <f aca="false">IF($S2662="","",IF(COUNTIF($S$2:$S$2991,$S2662)&gt;1,"DUPLICATE","OK"))</f>
        <v/>
      </c>
      <c r="U2662" s="0" t="str">
        <f aca="false">IF($L2662="","",IFERROR(VLOOKUP(--$L2662,MM_Income!$Z$5:$AC$204,3,FALSE()),"UNMAPPED"))</f>
        <v/>
      </c>
    </row>
    <row r="2663" customFormat="false" ht="13.5" hidden="false" customHeight="false" outlineLevel="0" collapsed="false">
      <c r="A2663" s="1" t="str">
        <f aca="false">IF($C2663="","",Controls!$B$7)</f>
        <v/>
      </c>
      <c r="B2663" s="1" t="str">
        <f aca="false">IF($H2663="","",YEAR($H2663)&amp;"-Q"&amp;ROUNDUP(MONTH($H2663)/3,0))</f>
        <v/>
      </c>
      <c r="S2663" s="1" t="str">
        <f aca="false">IF($C2663="","",$C2663&amp;"|"&amp;$E2663&amp;"|"&amp;$F2663&amp;"|"&amp;$L2663&amp;"|"&amp;$P2663&amp;"|"&amp;TEXT($H2663,"yyyy-mm-dd"))</f>
        <v/>
      </c>
      <c r="T2663" s="1" t="str">
        <f aca="false">IF($S2663="","",IF(COUNTIF($S$2:$S$2991,$S2663)&gt;1,"DUPLICATE","OK"))</f>
        <v/>
      </c>
      <c r="U2663" s="0" t="str">
        <f aca="false">IF($L2663="","",IFERROR(VLOOKUP(--$L2663,MM_Income!$Z$5:$AC$204,3,FALSE()),"UNMAPPED"))</f>
        <v/>
      </c>
    </row>
    <row r="2664" customFormat="false" ht="13.5" hidden="false" customHeight="false" outlineLevel="0" collapsed="false">
      <c r="A2664" s="1" t="str">
        <f aca="false">IF($C2664="","",Controls!$B$7)</f>
        <v/>
      </c>
      <c r="B2664" s="1" t="str">
        <f aca="false">IF($H2664="","",YEAR($H2664)&amp;"-Q"&amp;ROUNDUP(MONTH($H2664)/3,0))</f>
        <v/>
      </c>
      <c r="S2664" s="1" t="str">
        <f aca="false">IF($C2664="","",$C2664&amp;"|"&amp;$E2664&amp;"|"&amp;$F2664&amp;"|"&amp;$L2664&amp;"|"&amp;$P2664&amp;"|"&amp;TEXT($H2664,"yyyy-mm-dd"))</f>
        <v/>
      </c>
      <c r="T2664" s="1" t="str">
        <f aca="false">IF($S2664="","",IF(COUNTIF($S$2:$S$2991,$S2664)&gt;1,"DUPLICATE","OK"))</f>
        <v/>
      </c>
      <c r="U2664" s="0" t="str">
        <f aca="false">IF($L2664="","",IFERROR(VLOOKUP(--$L2664,MM_Income!$Z$5:$AC$204,3,FALSE()),"UNMAPPED"))</f>
        <v/>
      </c>
    </row>
    <row r="2665" customFormat="false" ht="13.5" hidden="false" customHeight="false" outlineLevel="0" collapsed="false">
      <c r="A2665" s="1" t="str">
        <f aca="false">IF($C2665="","",Controls!$B$7)</f>
        <v/>
      </c>
      <c r="B2665" s="1" t="str">
        <f aca="false">IF($H2665="","",YEAR($H2665)&amp;"-Q"&amp;ROUNDUP(MONTH($H2665)/3,0))</f>
        <v/>
      </c>
      <c r="S2665" s="1" t="str">
        <f aca="false">IF($C2665="","",$C2665&amp;"|"&amp;$E2665&amp;"|"&amp;$F2665&amp;"|"&amp;$L2665&amp;"|"&amp;$P2665&amp;"|"&amp;TEXT($H2665,"yyyy-mm-dd"))</f>
        <v/>
      </c>
      <c r="T2665" s="1" t="str">
        <f aca="false">IF($S2665="","",IF(COUNTIF($S$2:$S$2991,$S2665)&gt;1,"DUPLICATE","OK"))</f>
        <v/>
      </c>
      <c r="U2665" s="0" t="str">
        <f aca="false">IF($L2665="","",IFERROR(VLOOKUP(--$L2665,MM_Income!$Z$5:$AC$204,3,FALSE()),"UNMAPPED"))</f>
        <v/>
      </c>
    </row>
    <row r="2666" customFormat="false" ht="13.5" hidden="false" customHeight="false" outlineLevel="0" collapsed="false">
      <c r="A2666" s="1" t="str">
        <f aca="false">IF($C2666="","",Controls!$B$7)</f>
        <v/>
      </c>
      <c r="B2666" s="1" t="str">
        <f aca="false">IF($H2666="","",YEAR($H2666)&amp;"-Q"&amp;ROUNDUP(MONTH($H2666)/3,0))</f>
        <v/>
      </c>
      <c r="S2666" s="1" t="str">
        <f aca="false">IF($C2666="","",$C2666&amp;"|"&amp;$E2666&amp;"|"&amp;$F2666&amp;"|"&amp;$L2666&amp;"|"&amp;$P2666&amp;"|"&amp;TEXT($H2666,"yyyy-mm-dd"))</f>
        <v/>
      </c>
      <c r="T2666" s="1" t="str">
        <f aca="false">IF($S2666="","",IF(COUNTIF($S$2:$S$2991,$S2666)&gt;1,"DUPLICATE","OK"))</f>
        <v/>
      </c>
      <c r="U2666" s="0" t="str">
        <f aca="false">IF($L2666="","",IFERROR(VLOOKUP(--$L2666,MM_Income!$Z$5:$AC$204,3,FALSE()),"UNMAPPED"))</f>
        <v/>
      </c>
    </row>
    <row r="2667" customFormat="false" ht="13.5" hidden="false" customHeight="false" outlineLevel="0" collapsed="false">
      <c r="A2667" s="1" t="str">
        <f aca="false">IF($C2667="","",Controls!$B$7)</f>
        <v/>
      </c>
      <c r="B2667" s="1" t="str">
        <f aca="false">IF($H2667="","",YEAR($H2667)&amp;"-Q"&amp;ROUNDUP(MONTH($H2667)/3,0))</f>
        <v/>
      </c>
      <c r="S2667" s="1" t="str">
        <f aca="false">IF($C2667="","",$C2667&amp;"|"&amp;$E2667&amp;"|"&amp;$F2667&amp;"|"&amp;$L2667&amp;"|"&amp;$P2667&amp;"|"&amp;TEXT($H2667,"yyyy-mm-dd"))</f>
        <v/>
      </c>
      <c r="T2667" s="1" t="str">
        <f aca="false">IF($S2667="","",IF(COUNTIF($S$2:$S$2991,$S2667)&gt;1,"DUPLICATE","OK"))</f>
        <v/>
      </c>
      <c r="U2667" s="0" t="str">
        <f aca="false">IF($L2667="","",IFERROR(VLOOKUP(--$L2667,MM_Income!$Z$5:$AC$204,3,FALSE()),"UNMAPPED"))</f>
        <v/>
      </c>
    </row>
    <row r="2668" customFormat="false" ht="13.5" hidden="false" customHeight="false" outlineLevel="0" collapsed="false">
      <c r="A2668" s="1" t="str">
        <f aca="false">IF($C2668="","",Controls!$B$7)</f>
        <v/>
      </c>
      <c r="B2668" s="1" t="str">
        <f aca="false">IF($H2668="","",YEAR($H2668)&amp;"-Q"&amp;ROUNDUP(MONTH($H2668)/3,0))</f>
        <v/>
      </c>
      <c r="S2668" s="1" t="str">
        <f aca="false">IF($C2668="","",$C2668&amp;"|"&amp;$E2668&amp;"|"&amp;$F2668&amp;"|"&amp;$L2668&amp;"|"&amp;$P2668&amp;"|"&amp;TEXT($H2668,"yyyy-mm-dd"))</f>
        <v/>
      </c>
      <c r="T2668" s="1" t="str">
        <f aca="false">IF($S2668="","",IF(COUNTIF($S$2:$S$2991,$S2668)&gt;1,"DUPLICATE","OK"))</f>
        <v/>
      </c>
      <c r="U2668" s="0" t="str">
        <f aca="false">IF($L2668="","",IFERROR(VLOOKUP(--$L2668,MM_Income!$Z$5:$AC$204,3,FALSE()),"UNMAPPED"))</f>
        <v/>
      </c>
    </row>
    <row r="2669" customFormat="false" ht="13.5" hidden="false" customHeight="false" outlineLevel="0" collapsed="false">
      <c r="A2669" s="1" t="str">
        <f aca="false">IF($C2669="","",Controls!$B$7)</f>
        <v/>
      </c>
      <c r="B2669" s="1" t="str">
        <f aca="false">IF($H2669="","",YEAR($H2669)&amp;"-Q"&amp;ROUNDUP(MONTH($H2669)/3,0))</f>
        <v/>
      </c>
      <c r="S2669" s="1" t="str">
        <f aca="false">IF($C2669="","",$C2669&amp;"|"&amp;$E2669&amp;"|"&amp;$F2669&amp;"|"&amp;$L2669&amp;"|"&amp;$P2669&amp;"|"&amp;TEXT($H2669,"yyyy-mm-dd"))</f>
        <v/>
      </c>
      <c r="T2669" s="1" t="str">
        <f aca="false">IF($S2669="","",IF(COUNTIF($S$2:$S$2991,$S2669)&gt;1,"DUPLICATE","OK"))</f>
        <v/>
      </c>
      <c r="U2669" s="0" t="str">
        <f aca="false">IF($L2669="","",IFERROR(VLOOKUP(--$L2669,MM_Income!$Z$5:$AC$204,3,FALSE()),"UNMAPPED"))</f>
        <v/>
      </c>
    </row>
    <row r="2670" customFormat="false" ht="13.5" hidden="false" customHeight="false" outlineLevel="0" collapsed="false">
      <c r="A2670" s="1" t="str">
        <f aca="false">IF($C2670="","",Controls!$B$7)</f>
        <v/>
      </c>
      <c r="B2670" s="1" t="str">
        <f aca="false">IF($H2670="","",YEAR($H2670)&amp;"-Q"&amp;ROUNDUP(MONTH($H2670)/3,0))</f>
        <v/>
      </c>
      <c r="S2670" s="1" t="str">
        <f aca="false">IF($C2670="","",$C2670&amp;"|"&amp;$E2670&amp;"|"&amp;$F2670&amp;"|"&amp;$L2670&amp;"|"&amp;$P2670&amp;"|"&amp;TEXT($H2670,"yyyy-mm-dd"))</f>
        <v/>
      </c>
      <c r="T2670" s="1" t="str">
        <f aca="false">IF($S2670="","",IF(COUNTIF($S$2:$S$2991,$S2670)&gt;1,"DUPLICATE","OK"))</f>
        <v/>
      </c>
      <c r="U2670" s="0" t="str">
        <f aca="false">IF($L2670="","",IFERROR(VLOOKUP(--$L2670,MM_Income!$Z$5:$AC$204,3,FALSE()),"UNMAPPED"))</f>
        <v/>
      </c>
    </row>
    <row r="2671" customFormat="false" ht="13.5" hidden="false" customHeight="false" outlineLevel="0" collapsed="false">
      <c r="A2671" s="1" t="str">
        <f aca="false">IF($C2671="","",Controls!$B$7)</f>
        <v/>
      </c>
      <c r="B2671" s="1" t="str">
        <f aca="false">IF($H2671="","",YEAR($H2671)&amp;"-Q"&amp;ROUNDUP(MONTH($H2671)/3,0))</f>
        <v/>
      </c>
      <c r="S2671" s="1" t="str">
        <f aca="false">IF($C2671="","",$C2671&amp;"|"&amp;$E2671&amp;"|"&amp;$F2671&amp;"|"&amp;$L2671&amp;"|"&amp;$P2671&amp;"|"&amp;TEXT($H2671,"yyyy-mm-dd"))</f>
        <v/>
      </c>
      <c r="T2671" s="1" t="str">
        <f aca="false">IF($S2671="","",IF(COUNTIF($S$2:$S$2991,$S2671)&gt;1,"DUPLICATE","OK"))</f>
        <v/>
      </c>
      <c r="U2671" s="0" t="str">
        <f aca="false">IF($L2671="","",IFERROR(VLOOKUP(--$L2671,MM_Income!$Z$5:$AC$204,3,FALSE()),"UNMAPPED"))</f>
        <v/>
      </c>
    </row>
    <row r="2672" customFormat="false" ht="13.5" hidden="false" customHeight="false" outlineLevel="0" collapsed="false">
      <c r="A2672" s="1" t="str">
        <f aca="false">IF($C2672="","",Controls!$B$7)</f>
        <v/>
      </c>
      <c r="B2672" s="1" t="str">
        <f aca="false">IF($H2672="","",YEAR($H2672)&amp;"-Q"&amp;ROUNDUP(MONTH($H2672)/3,0))</f>
        <v/>
      </c>
      <c r="S2672" s="1" t="str">
        <f aca="false">IF($C2672="","",$C2672&amp;"|"&amp;$E2672&amp;"|"&amp;$F2672&amp;"|"&amp;$L2672&amp;"|"&amp;$P2672&amp;"|"&amp;TEXT($H2672,"yyyy-mm-dd"))</f>
        <v/>
      </c>
      <c r="T2672" s="1" t="str">
        <f aca="false">IF($S2672="","",IF(COUNTIF($S$2:$S$2991,$S2672)&gt;1,"DUPLICATE","OK"))</f>
        <v/>
      </c>
      <c r="U2672" s="0" t="str">
        <f aca="false">IF($L2672="","",IFERROR(VLOOKUP(--$L2672,MM_Income!$Z$5:$AC$204,3,FALSE()),"UNMAPPED"))</f>
        <v/>
      </c>
    </row>
    <row r="2673" customFormat="false" ht="13.5" hidden="false" customHeight="false" outlineLevel="0" collapsed="false">
      <c r="A2673" s="1" t="str">
        <f aca="false">IF($C2673="","",Controls!$B$7)</f>
        <v/>
      </c>
      <c r="B2673" s="1" t="str">
        <f aca="false">IF($H2673="","",YEAR($H2673)&amp;"-Q"&amp;ROUNDUP(MONTH($H2673)/3,0))</f>
        <v/>
      </c>
      <c r="S2673" s="1" t="str">
        <f aca="false">IF($C2673="","",$C2673&amp;"|"&amp;$E2673&amp;"|"&amp;$F2673&amp;"|"&amp;$L2673&amp;"|"&amp;$P2673&amp;"|"&amp;TEXT($H2673,"yyyy-mm-dd"))</f>
        <v/>
      </c>
      <c r="T2673" s="1" t="str">
        <f aca="false">IF($S2673="","",IF(COUNTIF($S$2:$S$2991,$S2673)&gt;1,"DUPLICATE","OK"))</f>
        <v/>
      </c>
      <c r="U2673" s="0" t="str">
        <f aca="false">IF($L2673="","",IFERROR(VLOOKUP(--$L2673,MM_Income!$Z$5:$AC$204,3,FALSE()),"UNMAPPED"))</f>
        <v/>
      </c>
    </row>
    <row r="2674" customFormat="false" ht="13.5" hidden="false" customHeight="false" outlineLevel="0" collapsed="false">
      <c r="A2674" s="1" t="str">
        <f aca="false">IF($C2674="","",Controls!$B$7)</f>
        <v/>
      </c>
      <c r="B2674" s="1" t="str">
        <f aca="false">IF($H2674="","",YEAR($H2674)&amp;"-Q"&amp;ROUNDUP(MONTH($H2674)/3,0))</f>
        <v/>
      </c>
      <c r="S2674" s="1" t="str">
        <f aca="false">IF($C2674="","",$C2674&amp;"|"&amp;$E2674&amp;"|"&amp;$F2674&amp;"|"&amp;$L2674&amp;"|"&amp;$P2674&amp;"|"&amp;TEXT($H2674,"yyyy-mm-dd"))</f>
        <v/>
      </c>
      <c r="T2674" s="1" t="str">
        <f aca="false">IF($S2674="","",IF(COUNTIF($S$2:$S$2991,$S2674)&gt;1,"DUPLICATE","OK"))</f>
        <v/>
      </c>
      <c r="U2674" s="0" t="str">
        <f aca="false">IF($L2674="","",IFERROR(VLOOKUP(--$L2674,MM_Income!$Z$5:$AC$204,3,FALSE()),"UNMAPPED"))</f>
        <v/>
      </c>
    </row>
    <row r="2675" customFormat="false" ht="13.5" hidden="false" customHeight="false" outlineLevel="0" collapsed="false">
      <c r="A2675" s="1" t="str">
        <f aca="false">IF($C2675="","",Controls!$B$7)</f>
        <v/>
      </c>
      <c r="B2675" s="1" t="str">
        <f aca="false">IF($H2675="","",YEAR($H2675)&amp;"-Q"&amp;ROUNDUP(MONTH($H2675)/3,0))</f>
        <v/>
      </c>
      <c r="S2675" s="1" t="str">
        <f aca="false">IF($C2675="","",$C2675&amp;"|"&amp;$E2675&amp;"|"&amp;$F2675&amp;"|"&amp;$L2675&amp;"|"&amp;$P2675&amp;"|"&amp;TEXT($H2675,"yyyy-mm-dd"))</f>
        <v/>
      </c>
      <c r="T2675" s="1" t="str">
        <f aca="false">IF($S2675="","",IF(COUNTIF($S$2:$S$2991,$S2675)&gt;1,"DUPLICATE","OK"))</f>
        <v/>
      </c>
      <c r="U2675" s="0" t="str">
        <f aca="false">IF($L2675="","",IFERROR(VLOOKUP(--$L2675,MM_Income!$Z$5:$AC$204,3,FALSE()),"UNMAPPED"))</f>
        <v/>
      </c>
    </row>
    <row r="2676" customFormat="false" ht="13.5" hidden="false" customHeight="false" outlineLevel="0" collapsed="false">
      <c r="A2676" s="1" t="str">
        <f aca="false">IF($C2676="","",Controls!$B$7)</f>
        <v/>
      </c>
      <c r="B2676" s="1" t="str">
        <f aca="false">IF($H2676="","",YEAR($H2676)&amp;"-Q"&amp;ROUNDUP(MONTH($H2676)/3,0))</f>
        <v/>
      </c>
      <c r="S2676" s="1" t="str">
        <f aca="false">IF($C2676="","",$C2676&amp;"|"&amp;$E2676&amp;"|"&amp;$F2676&amp;"|"&amp;$L2676&amp;"|"&amp;$P2676&amp;"|"&amp;TEXT($H2676,"yyyy-mm-dd"))</f>
        <v/>
      </c>
      <c r="T2676" s="1" t="str">
        <f aca="false">IF($S2676="","",IF(COUNTIF($S$2:$S$2991,$S2676)&gt;1,"DUPLICATE","OK"))</f>
        <v/>
      </c>
      <c r="U2676" s="0" t="str">
        <f aca="false">IF($L2676="","",IFERROR(VLOOKUP(--$L2676,MM_Income!$Z$5:$AC$204,3,FALSE()),"UNMAPPED"))</f>
        <v/>
      </c>
    </row>
    <row r="2677" customFormat="false" ht="13.5" hidden="false" customHeight="false" outlineLevel="0" collapsed="false">
      <c r="A2677" s="1" t="str">
        <f aca="false">IF($C2677="","",Controls!$B$7)</f>
        <v/>
      </c>
      <c r="B2677" s="1" t="str">
        <f aca="false">IF($H2677="","",YEAR($H2677)&amp;"-Q"&amp;ROUNDUP(MONTH($H2677)/3,0))</f>
        <v/>
      </c>
      <c r="S2677" s="1" t="str">
        <f aca="false">IF($C2677="","",$C2677&amp;"|"&amp;$E2677&amp;"|"&amp;$F2677&amp;"|"&amp;$L2677&amp;"|"&amp;$P2677&amp;"|"&amp;TEXT($H2677,"yyyy-mm-dd"))</f>
        <v/>
      </c>
      <c r="T2677" s="1" t="str">
        <f aca="false">IF($S2677="","",IF(COUNTIF($S$2:$S$2991,$S2677)&gt;1,"DUPLICATE","OK"))</f>
        <v/>
      </c>
      <c r="U2677" s="0" t="str">
        <f aca="false">IF($L2677="","",IFERROR(VLOOKUP(--$L2677,MM_Income!$Z$5:$AC$204,3,FALSE()),"UNMAPPED"))</f>
        <v/>
      </c>
    </row>
    <row r="2678" customFormat="false" ht="13.5" hidden="false" customHeight="false" outlineLevel="0" collapsed="false">
      <c r="A2678" s="1" t="str">
        <f aca="false">IF($C2678="","",Controls!$B$7)</f>
        <v/>
      </c>
      <c r="B2678" s="1" t="str">
        <f aca="false">IF($H2678="","",YEAR($H2678)&amp;"-Q"&amp;ROUNDUP(MONTH($H2678)/3,0))</f>
        <v/>
      </c>
      <c r="S2678" s="1" t="str">
        <f aca="false">IF($C2678="","",$C2678&amp;"|"&amp;$E2678&amp;"|"&amp;$F2678&amp;"|"&amp;$L2678&amp;"|"&amp;$P2678&amp;"|"&amp;TEXT($H2678,"yyyy-mm-dd"))</f>
        <v/>
      </c>
      <c r="T2678" s="1" t="str">
        <f aca="false">IF($S2678="","",IF(COUNTIF($S$2:$S$2991,$S2678)&gt;1,"DUPLICATE","OK"))</f>
        <v/>
      </c>
      <c r="U2678" s="0" t="str">
        <f aca="false">IF($L2678="","",IFERROR(VLOOKUP(--$L2678,MM_Income!$Z$5:$AC$204,3,FALSE()),"UNMAPPED"))</f>
        <v/>
      </c>
    </row>
    <row r="2679" customFormat="false" ht="13.5" hidden="false" customHeight="false" outlineLevel="0" collapsed="false">
      <c r="A2679" s="1" t="str">
        <f aca="false">IF($C2679="","",Controls!$B$7)</f>
        <v/>
      </c>
      <c r="B2679" s="1" t="str">
        <f aca="false">IF($H2679="","",YEAR($H2679)&amp;"-Q"&amp;ROUNDUP(MONTH($H2679)/3,0))</f>
        <v/>
      </c>
      <c r="S2679" s="1" t="str">
        <f aca="false">IF($C2679="","",$C2679&amp;"|"&amp;$E2679&amp;"|"&amp;$F2679&amp;"|"&amp;$L2679&amp;"|"&amp;$P2679&amp;"|"&amp;TEXT($H2679,"yyyy-mm-dd"))</f>
        <v/>
      </c>
      <c r="T2679" s="1" t="str">
        <f aca="false">IF($S2679="","",IF(COUNTIF($S$2:$S$2991,$S2679)&gt;1,"DUPLICATE","OK"))</f>
        <v/>
      </c>
      <c r="U2679" s="0" t="str">
        <f aca="false">IF($L2679="","",IFERROR(VLOOKUP(--$L2679,MM_Income!$Z$5:$AC$204,3,FALSE()),"UNMAPPED"))</f>
        <v/>
      </c>
    </row>
    <row r="2680" customFormat="false" ht="13.5" hidden="false" customHeight="false" outlineLevel="0" collapsed="false">
      <c r="A2680" s="1" t="str">
        <f aca="false">IF($C2680="","",Controls!$B$7)</f>
        <v/>
      </c>
      <c r="B2680" s="1" t="str">
        <f aca="false">IF($H2680="","",YEAR($H2680)&amp;"-Q"&amp;ROUNDUP(MONTH($H2680)/3,0))</f>
        <v/>
      </c>
      <c r="S2680" s="1" t="str">
        <f aca="false">IF($C2680="","",$C2680&amp;"|"&amp;$E2680&amp;"|"&amp;$F2680&amp;"|"&amp;$L2680&amp;"|"&amp;$P2680&amp;"|"&amp;TEXT($H2680,"yyyy-mm-dd"))</f>
        <v/>
      </c>
      <c r="T2680" s="1" t="str">
        <f aca="false">IF($S2680="","",IF(COUNTIF($S$2:$S$2991,$S2680)&gt;1,"DUPLICATE","OK"))</f>
        <v/>
      </c>
      <c r="U2680" s="0" t="str">
        <f aca="false">IF($L2680="","",IFERROR(VLOOKUP(--$L2680,MM_Income!$Z$5:$AC$204,3,FALSE()),"UNMAPPED"))</f>
        <v/>
      </c>
    </row>
    <row r="2681" customFormat="false" ht="13.5" hidden="false" customHeight="false" outlineLevel="0" collapsed="false">
      <c r="A2681" s="1" t="str">
        <f aca="false">IF($C2681="","",Controls!$B$7)</f>
        <v/>
      </c>
      <c r="B2681" s="1" t="str">
        <f aca="false">IF($H2681="","",YEAR($H2681)&amp;"-Q"&amp;ROUNDUP(MONTH($H2681)/3,0))</f>
        <v/>
      </c>
      <c r="S2681" s="1" t="str">
        <f aca="false">IF($C2681="","",$C2681&amp;"|"&amp;$E2681&amp;"|"&amp;$F2681&amp;"|"&amp;$L2681&amp;"|"&amp;$P2681&amp;"|"&amp;TEXT($H2681,"yyyy-mm-dd"))</f>
        <v/>
      </c>
      <c r="T2681" s="1" t="str">
        <f aca="false">IF($S2681="","",IF(COUNTIF($S$2:$S$2991,$S2681)&gt;1,"DUPLICATE","OK"))</f>
        <v/>
      </c>
      <c r="U2681" s="0" t="str">
        <f aca="false">IF($L2681="","",IFERROR(VLOOKUP(--$L2681,MM_Income!$Z$5:$AC$204,3,FALSE()),"UNMAPPED"))</f>
        <v/>
      </c>
    </row>
    <row r="2682" customFormat="false" ht="13.5" hidden="false" customHeight="false" outlineLevel="0" collapsed="false">
      <c r="A2682" s="1" t="str">
        <f aca="false">IF($C2682="","",Controls!$B$7)</f>
        <v/>
      </c>
      <c r="B2682" s="1" t="str">
        <f aca="false">IF($H2682="","",YEAR($H2682)&amp;"-Q"&amp;ROUNDUP(MONTH($H2682)/3,0))</f>
        <v/>
      </c>
      <c r="S2682" s="1" t="str">
        <f aca="false">IF($C2682="","",$C2682&amp;"|"&amp;$E2682&amp;"|"&amp;$F2682&amp;"|"&amp;$L2682&amp;"|"&amp;$P2682&amp;"|"&amp;TEXT($H2682,"yyyy-mm-dd"))</f>
        <v/>
      </c>
      <c r="T2682" s="1" t="str">
        <f aca="false">IF($S2682="","",IF(COUNTIF($S$2:$S$2991,$S2682)&gt;1,"DUPLICATE","OK"))</f>
        <v/>
      </c>
      <c r="U2682" s="0" t="str">
        <f aca="false">IF($L2682="","",IFERROR(VLOOKUP(--$L2682,MM_Income!$Z$5:$AC$204,3,FALSE()),"UNMAPPED"))</f>
        <v/>
      </c>
    </row>
    <row r="2683" customFormat="false" ht="13.5" hidden="false" customHeight="false" outlineLevel="0" collapsed="false">
      <c r="A2683" s="1" t="str">
        <f aca="false">IF($C2683="","",Controls!$B$7)</f>
        <v/>
      </c>
      <c r="B2683" s="1" t="str">
        <f aca="false">IF($H2683="","",YEAR($H2683)&amp;"-Q"&amp;ROUNDUP(MONTH($H2683)/3,0))</f>
        <v/>
      </c>
      <c r="S2683" s="1" t="str">
        <f aca="false">IF($C2683="","",$C2683&amp;"|"&amp;$E2683&amp;"|"&amp;$F2683&amp;"|"&amp;$L2683&amp;"|"&amp;$P2683&amp;"|"&amp;TEXT($H2683,"yyyy-mm-dd"))</f>
        <v/>
      </c>
      <c r="T2683" s="1" t="str">
        <f aca="false">IF($S2683="","",IF(COUNTIF($S$2:$S$2991,$S2683)&gt;1,"DUPLICATE","OK"))</f>
        <v/>
      </c>
      <c r="U2683" s="0" t="str">
        <f aca="false">IF($L2683="","",IFERROR(VLOOKUP(--$L2683,MM_Income!$Z$5:$AC$204,3,FALSE()),"UNMAPPED"))</f>
        <v/>
      </c>
    </row>
    <row r="2684" customFormat="false" ht="13.5" hidden="false" customHeight="false" outlineLevel="0" collapsed="false">
      <c r="A2684" s="1" t="str">
        <f aca="false">IF($C2684="","",Controls!$B$7)</f>
        <v/>
      </c>
      <c r="B2684" s="1" t="str">
        <f aca="false">IF($H2684="","",YEAR($H2684)&amp;"-Q"&amp;ROUNDUP(MONTH($H2684)/3,0))</f>
        <v/>
      </c>
      <c r="S2684" s="1" t="str">
        <f aca="false">IF($C2684="","",$C2684&amp;"|"&amp;$E2684&amp;"|"&amp;$F2684&amp;"|"&amp;$L2684&amp;"|"&amp;$P2684&amp;"|"&amp;TEXT($H2684,"yyyy-mm-dd"))</f>
        <v/>
      </c>
      <c r="T2684" s="1" t="str">
        <f aca="false">IF($S2684="","",IF(COUNTIF($S$2:$S$2991,$S2684)&gt;1,"DUPLICATE","OK"))</f>
        <v/>
      </c>
      <c r="U2684" s="0" t="str">
        <f aca="false">IF($L2684="","",IFERROR(VLOOKUP(--$L2684,MM_Income!$Z$5:$AC$204,3,FALSE()),"UNMAPPED"))</f>
        <v/>
      </c>
    </row>
    <row r="2685" customFormat="false" ht="13.5" hidden="false" customHeight="false" outlineLevel="0" collapsed="false">
      <c r="A2685" s="1" t="str">
        <f aca="false">IF($C2685="","",Controls!$B$7)</f>
        <v/>
      </c>
      <c r="B2685" s="1" t="str">
        <f aca="false">IF($H2685="","",YEAR($H2685)&amp;"-Q"&amp;ROUNDUP(MONTH($H2685)/3,0))</f>
        <v/>
      </c>
      <c r="S2685" s="1" t="str">
        <f aca="false">IF($C2685="","",$C2685&amp;"|"&amp;$E2685&amp;"|"&amp;$F2685&amp;"|"&amp;$L2685&amp;"|"&amp;$P2685&amp;"|"&amp;TEXT($H2685,"yyyy-mm-dd"))</f>
        <v/>
      </c>
      <c r="T2685" s="1" t="str">
        <f aca="false">IF($S2685="","",IF(COUNTIF($S$2:$S$2991,$S2685)&gt;1,"DUPLICATE","OK"))</f>
        <v/>
      </c>
      <c r="U2685" s="0" t="str">
        <f aca="false">IF($L2685="","",IFERROR(VLOOKUP(--$L2685,MM_Income!$Z$5:$AC$204,3,FALSE()),"UNMAPPED"))</f>
        <v/>
      </c>
    </row>
    <row r="2686" customFormat="false" ht="13.5" hidden="false" customHeight="false" outlineLevel="0" collapsed="false">
      <c r="A2686" s="1" t="str">
        <f aca="false">IF($C2686="","",Controls!$B$7)</f>
        <v/>
      </c>
      <c r="B2686" s="1" t="str">
        <f aca="false">IF($H2686="","",YEAR($H2686)&amp;"-Q"&amp;ROUNDUP(MONTH($H2686)/3,0))</f>
        <v/>
      </c>
      <c r="S2686" s="1" t="str">
        <f aca="false">IF($C2686="","",$C2686&amp;"|"&amp;$E2686&amp;"|"&amp;$F2686&amp;"|"&amp;$L2686&amp;"|"&amp;$P2686&amp;"|"&amp;TEXT($H2686,"yyyy-mm-dd"))</f>
        <v/>
      </c>
      <c r="T2686" s="1" t="str">
        <f aca="false">IF($S2686="","",IF(COUNTIF($S$2:$S$2991,$S2686)&gt;1,"DUPLICATE","OK"))</f>
        <v/>
      </c>
      <c r="U2686" s="0" t="str">
        <f aca="false">IF($L2686="","",IFERROR(VLOOKUP(--$L2686,MM_Income!$Z$5:$AC$204,3,FALSE()),"UNMAPPED"))</f>
        <v/>
      </c>
    </row>
    <row r="2687" customFormat="false" ht="13.5" hidden="false" customHeight="false" outlineLevel="0" collapsed="false">
      <c r="A2687" s="1" t="str">
        <f aca="false">IF($C2687="","",Controls!$B$7)</f>
        <v/>
      </c>
      <c r="B2687" s="1" t="str">
        <f aca="false">IF($H2687="","",YEAR($H2687)&amp;"-Q"&amp;ROUNDUP(MONTH($H2687)/3,0))</f>
        <v/>
      </c>
      <c r="S2687" s="1" t="str">
        <f aca="false">IF($C2687="","",$C2687&amp;"|"&amp;$E2687&amp;"|"&amp;$F2687&amp;"|"&amp;$L2687&amp;"|"&amp;$P2687&amp;"|"&amp;TEXT($H2687,"yyyy-mm-dd"))</f>
        <v/>
      </c>
      <c r="T2687" s="1" t="str">
        <f aca="false">IF($S2687="","",IF(COUNTIF($S$2:$S$2991,$S2687)&gt;1,"DUPLICATE","OK"))</f>
        <v/>
      </c>
      <c r="U2687" s="0" t="str">
        <f aca="false">IF($L2687="","",IFERROR(VLOOKUP(--$L2687,MM_Income!$Z$5:$AC$204,3,FALSE()),"UNMAPPED"))</f>
        <v/>
      </c>
    </row>
    <row r="2688" customFormat="false" ht="13.5" hidden="false" customHeight="false" outlineLevel="0" collapsed="false">
      <c r="A2688" s="1" t="str">
        <f aca="false">IF($C2688="","",Controls!$B$7)</f>
        <v/>
      </c>
      <c r="B2688" s="1" t="str">
        <f aca="false">IF($H2688="","",YEAR($H2688)&amp;"-Q"&amp;ROUNDUP(MONTH($H2688)/3,0))</f>
        <v/>
      </c>
      <c r="S2688" s="1" t="str">
        <f aca="false">IF($C2688="","",$C2688&amp;"|"&amp;$E2688&amp;"|"&amp;$F2688&amp;"|"&amp;$L2688&amp;"|"&amp;$P2688&amp;"|"&amp;TEXT($H2688,"yyyy-mm-dd"))</f>
        <v/>
      </c>
      <c r="T2688" s="1" t="str">
        <f aca="false">IF($S2688="","",IF(COUNTIF($S$2:$S$2991,$S2688)&gt;1,"DUPLICATE","OK"))</f>
        <v/>
      </c>
      <c r="U2688" s="0" t="str">
        <f aca="false">IF($L2688="","",IFERROR(VLOOKUP(--$L2688,MM_Income!$Z$5:$AC$204,3,FALSE()),"UNMAPPED"))</f>
        <v/>
      </c>
    </row>
    <row r="2689" customFormat="false" ht="13.5" hidden="false" customHeight="false" outlineLevel="0" collapsed="false">
      <c r="A2689" s="1" t="str">
        <f aca="false">IF($C2689="","",Controls!$B$7)</f>
        <v/>
      </c>
      <c r="B2689" s="1" t="str">
        <f aca="false">IF($H2689="","",YEAR($H2689)&amp;"-Q"&amp;ROUNDUP(MONTH($H2689)/3,0))</f>
        <v/>
      </c>
      <c r="S2689" s="1" t="str">
        <f aca="false">IF($C2689="","",$C2689&amp;"|"&amp;$E2689&amp;"|"&amp;$F2689&amp;"|"&amp;$L2689&amp;"|"&amp;$P2689&amp;"|"&amp;TEXT($H2689,"yyyy-mm-dd"))</f>
        <v/>
      </c>
      <c r="T2689" s="1" t="str">
        <f aca="false">IF($S2689="","",IF(COUNTIF($S$2:$S$2991,$S2689)&gt;1,"DUPLICATE","OK"))</f>
        <v/>
      </c>
      <c r="U2689" s="0" t="str">
        <f aca="false">IF($L2689="","",IFERROR(VLOOKUP(--$L2689,MM_Income!$Z$5:$AC$204,3,FALSE()),"UNMAPPED"))</f>
        <v/>
      </c>
    </row>
    <row r="2690" customFormat="false" ht="13.5" hidden="false" customHeight="false" outlineLevel="0" collapsed="false">
      <c r="A2690" s="1" t="str">
        <f aca="false">IF($C2690="","",Controls!$B$7)</f>
        <v/>
      </c>
      <c r="B2690" s="1" t="str">
        <f aca="false">IF($H2690="","",YEAR($H2690)&amp;"-Q"&amp;ROUNDUP(MONTH($H2690)/3,0))</f>
        <v/>
      </c>
      <c r="S2690" s="1" t="str">
        <f aca="false">IF($C2690="","",$C2690&amp;"|"&amp;$E2690&amp;"|"&amp;$F2690&amp;"|"&amp;$L2690&amp;"|"&amp;$P2690&amp;"|"&amp;TEXT($H2690,"yyyy-mm-dd"))</f>
        <v/>
      </c>
      <c r="T2690" s="1" t="str">
        <f aca="false">IF($S2690="","",IF(COUNTIF($S$2:$S$2991,$S2690)&gt;1,"DUPLICATE","OK"))</f>
        <v/>
      </c>
      <c r="U2690" s="0" t="str">
        <f aca="false">IF($L2690="","",IFERROR(VLOOKUP(--$L2690,MM_Income!$Z$5:$AC$204,3,FALSE()),"UNMAPPED"))</f>
        <v/>
      </c>
    </row>
    <row r="2691" customFormat="false" ht="13.5" hidden="false" customHeight="false" outlineLevel="0" collapsed="false">
      <c r="A2691" s="1" t="str">
        <f aca="false">IF($C2691="","",Controls!$B$7)</f>
        <v/>
      </c>
      <c r="B2691" s="1" t="str">
        <f aca="false">IF($H2691="","",YEAR($H2691)&amp;"-Q"&amp;ROUNDUP(MONTH($H2691)/3,0))</f>
        <v/>
      </c>
      <c r="S2691" s="1" t="str">
        <f aca="false">IF($C2691="","",$C2691&amp;"|"&amp;$E2691&amp;"|"&amp;$F2691&amp;"|"&amp;$L2691&amp;"|"&amp;$P2691&amp;"|"&amp;TEXT($H2691,"yyyy-mm-dd"))</f>
        <v/>
      </c>
      <c r="T2691" s="1" t="str">
        <f aca="false">IF($S2691="","",IF(COUNTIF($S$2:$S$2991,$S2691)&gt;1,"DUPLICATE","OK"))</f>
        <v/>
      </c>
      <c r="U2691" s="0" t="str">
        <f aca="false">IF($L2691="","",IFERROR(VLOOKUP(--$L2691,MM_Income!$Z$5:$AC$204,3,FALSE()),"UNMAPPED"))</f>
        <v/>
      </c>
    </row>
    <row r="2692" customFormat="false" ht="13.5" hidden="false" customHeight="false" outlineLevel="0" collapsed="false">
      <c r="A2692" s="1" t="str">
        <f aca="false">IF($C2692="","",Controls!$B$7)</f>
        <v/>
      </c>
      <c r="B2692" s="1" t="str">
        <f aca="false">IF($H2692="","",YEAR($H2692)&amp;"-Q"&amp;ROUNDUP(MONTH($H2692)/3,0))</f>
        <v/>
      </c>
      <c r="S2692" s="1" t="str">
        <f aca="false">IF($C2692="","",$C2692&amp;"|"&amp;$E2692&amp;"|"&amp;$F2692&amp;"|"&amp;$L2692&amp;"|"&amp;$P2692&amp;"|"&amp;TEXT($H2692,"yyyy-mm-dd"))</f>
        <v/>
      </c>
      <c r="T2692" s="1" t="str">
        <f aca="false">IF($S2692="","",IF(COUNTIF($S$2:$S$2991,$S2692)&gt;1,"DUPLICATE","OK"))</f>
        <v/>
      </c>
      <c r="U2692" s="0" t="str">
        <f aca="false">IF($L2692="","",IFERROR(VLOOKUP(--$L2692,MM_Income!$Z$5:$AC$204,3,FALSE()),"UNMAPPED"))</f>
        <v/>
      </c>
    </row>
    <row r="2693" customFormat="false" ht="13.5" hidden="false" customHeight="false" outlineLevel="0" collapsed="false">
      <c r="A2693" s="1" t="str">
        <f aca="false">IF($C2693="","",Controls!$B$7)</f>
        <v/>
      </c>
      <c r="B2693" s="1" t="str">
        <f aca="false">IF($H2693="","",YEAR($H2693)&amp;"-Q"&amp;ROUNDUP(MONTH($H2693)/3,0))</f>
        <v/>
      </c>
      <c r="S2693" s="1" t="str">
        <f aca="false">IF($C2693="","",$C2693&amp;"|"&amp;$E2693&amp;"|"&amp;$F2693&amp;"|"&amp;$L2693&amp;"|"&amp;$P2693&amp;"|"&amp;TEXT($H2693,"yyyy-mm-dd"))</f>
        <v/>
      </c>
      <c r="T2693" s="1" t="str">
        <f aca="false">IF($S2693="","",IF(COUNTIF($S$2:$S$2991,$S2693)&gt;1,"DUPLICATE","OK"))</f>
        <v/>
      </c>
      <c r="U2693" s="0" t="str">
        <f aca="false">IF($L2693="","",IFERROR(VLOOKUP(--$L2693,MM_Income!$Z$5:$AC$204,3,FALSE()),"UNMAPPED"))</f>
        <v/>
      </c>
    </row>
    <row r="2694" customFormat="false" ht="13.5" hidden="false" customHeight="false" outlineLevel="0" collapsed="false">
      <c r="A2694" s="1" t="str">
        <f aca="false">IF($C2694="","",Controls!$B$7)</f>
        <v/>
      </c>
      <c r="B2694" s="1" t="str">
        <f aca="false">IF($H2694="","",YEAR($H2694)&amp;"-Q"&amp;ROUNDUP(MONTH($H2694)/3,0))</f>
        <v/>
      </c>
      <c r="S2694" s="1" t="str">
        <f aca="false">IF($C2694="","",$C2694&amp;"|"&amp;$E2694&amp;"|"&amp;$F2694&amp;"|"&amp;$L2694&amp;"|"&amp;$P2694&amp;"|"&amp;TEXT($H2694,"yyyy-mm-dd"))</f>
        <v/>
      </c>
      <c r="T2694" s="1" t="str">
        <f aca="false">IF($S2694="","",IF(COUNTIF($S$2:$S$2991,$S2694)&gt;1,"DUPLICATE","OK"))</f>
        <v/>
      </c>
      <c r="U2694" s="0" t="str">
        <f aca="false">IF($L2694="","",IFERROR(VLOOKUP(--$L2694,MM_Income!$Z$5:$AC$204,3,FALSE()),"UNMAPPED"))</f>
        <v/>
      </c>
    </row>
    <row r="2695" customFormat="false" ht="13.5" hidden="false" customHeight="false" outlineLevel="0" collapsed="false">
      <c r="A2695" s="1" t="str">
        <f aca="false">IF($C2695="","",Controls!$B$7)</f>
        <v/>
      </c>
      <c r="B2695" s="1" t="str">
        <f aca="false">IF($H2695="","",YEAR($H2695)&amp;"-Q"&amp;ROUNDUP(MONTH($H2695)/3,0))</f>
        <v/>
      </c>
      <c r="S2695" s="1" t="str">
        <f aca="false">IF($C2695="","",$C2695&amp;"|"&amp;$E2695&amp;"|"&amp;$F2695&amp;"|"&amp;$L2695&amp;"|"&amp;$P2695&amp;"|"&amp;TEXT($H2695,"yyyy-mm-dd"))</f>
        <v/>
      </c>
      <c r="T2695" s="1" t="str">
        <f aca="false">IF($S2695="","",IF(COUNTIF($S$2:$S$2991,$S2695)&gt;1,"DUPLICATE","OK"))</f>
        <v/>
      </c>
      <c r="U2695" s="0" t="str">
        <f aca="false">IF($L2695="","",IFERROR(VLOOKUP(--$L2695,MM_Income!$Z$5:$AC$204,3,FALSE()),"UNMAPPED"))</f>
        <v/>
      </c>
    </row>
    <row r="2696" customFormat="false" ht="13.5" hidden="false" customHeight="false" outlineLevel="0" collapsed="false">
      <c r="A2696" s="1" t="str">
        <f aca="false">IF($C2696="","",Controls!$B$7)</f>
        <v/>
      </c>
      <c r="B2696" s="1" t="str">
        <f aca="false">IF($H2696="","",YEAR($H2696)&amp;"-Q"&amp;ROUNDUP(MONTH($H2696)/3,0))</f>
        <v/>
      </c>
      <c r="S2696" s="1" t="str">
        <f aca="false">IF($C2696="","",$C2696&amp;"|"&amp;$E2696&amp;"|"&amp;$F2696&amp;"|"&amp;$L2696&amp;"|"&amp;$P2696&amp;"|"&amp;TEXT($H2696,"yyyy-mm-dd"))</f>
        <v/>
      </c>
      <c r="T2696" s="1" t="str">
        <f aca="false">IF($S2696="","",IF(COUNTIF($S$2:$S$2991,$S2696)&gt;1,"DUPLICATE","OK"))</f>
        <v/>
      </c>
      <c r="U2696" s="0" t="str">
        <f aca="false">IF($L2696="","",IFERROR(VLOOKUP(--$L2696,MM_Income!$Z$5:$AC$204,3,FALSE()),"UNMAPPED"))</f>
        <v/>
      </c>
    </row>
    <row r="2697" customFormat="false" ht="13.5" hidden="false" customHeight="false" outlineLevel="0" collapsed="false">
      <c r="A2697" s="1" t="str">
        <f aca="false">IF($C2697="","",Controls!$B$7)</f>
        <v/>
      </c>
      <c r="B2697" s="1" t="str">
        <f aca="false">IF($H2697="","",YEAR($H2697)&amp;"-Q"&amp;ROUNDUP(MONTH($H2697)/3,0))</f>
        <v/>
      </c>
      <c r="S2697" s="1" t="str">
        <f aca="false">IF($C2697="","",$C2697&amp;"|"&amp;$E2697&amp;"|"&amp;$F2697&amp;"|"&amp;$L2697&amp;"|"&amp;$P2697&amp;"|"&amp;TEXT($H2697,"yyyy-mm-dd"))</f>
        <v/>
      </c>
      <c r="T2697" s="1" t="str">
        <f aca="false">IF($S2697="","",IF(COUNTIF($S$2:$S$2991,$S2697)&gt;1,"DUPLICATE","OK"))</f>
        <v/>
      </c>
      <c r="U2697" s="0" t="str">
        <f aca="false">IF($L2697="","",IFERROR(VLOOKUP(--$L2697,MM_Income!$Z$5:$AC$204,3,FALSE()),"UNMAPPED"))</f>
        <v/>
      </c>
    </row>
    <row r="2698" customFormat="false" ht="13.5" hidden="false" customHeight="false" outlineLevel="0" collapsed="false">
      <c r="A2698" s="1" t="str">
        <f aca="false">IF($C2698="","",Controls!$B$7)</f>
        <v/>
      </c>
      <c r="B2698" s="1" t="str">
        <f aca="false">IF($H2698="","",YEAR($H2698)&amp;"-Q"&amp;ROUNDUP(MONTH($H2698)/3,0))</f>
        <v/>
      </c>
      <c r="S2698" s="1" t="str">
        <f aca="false">IF($C2698="","",$C2698&amp;"|"&amp;$E2698&amp;"|"&amp;$F2698&amp;"|"&amp;$L2698&amp;"|"&amp;$P2698&amp;"|"&amp;TEXT($H2698,"yyyy-mm-dd"))</f>
        <v/>
      </c>
      <c r="T2698" s="1" t="str">
        <f aca="false">IF($S2698="","",IF(COUNTIF($S$2:$S$2991,$S2698)&gt;1,"DUPLICATE","OK"))</f>
        <v/>
      </c>
      <c r="U2698" s="0" t="str">
        <f aca="false">IF($L2698="","",IFERROR(VLOOKUP(--$L2698,MM_Income!$Z$5:$AC$204,3,FALSE()),"UNMAPPED"))</f>
        <v/>
      </c>
    </row>
    <row r="2699" customFormat="false" ht="13.5" hidden="false" customHeight="false" outlineLevel="0" collapsed="false">
      <c r="A2699" s="1" t="str">
        <f aca="false">IF($C2699="","",Controls!$B$7)</f>
        <v/>
      </c>
      <c r="B2699" s="1" t="str">
        <f aca="false">IF($H2699="","",YEAR($H2699)&amp;"-Q"&amp;ROUNDUP(MONTH($H2699)/3,0))</f>
        <v/>
      </c>
      <c r="S2699" s="1" t="str">
        <f aca="false">IF($C2699="","",$C2699&amp;"|"&amp;$E2699&amp;"|"&amp;$F2699&amp;"|"&amp;$L2699&amp;"|"&amp;$P2699&amp;"|"&amp;TEXT($H2699,"yyyy-mm-dd"))</f>
        <v/>
      </c>
      <c r="T2699" s="1" t="str">
        <f aca="false">IF($S2699="","",IF(COUNTIF($S$2:$S$2991,$S2699)&gt;1,"DUPLICATE","OK"))</f>
        <v/>
      </c>
      <c r="U2699" s="0" t="str">
        <f aca="false">IF($L2699="","",IFERROR(VLOOKUP(--$L2699,MM_Income!$Z$5:$AC$204,3,FALSE()),"UNMAPPED"))</f>
        <v/>
      </c>
    </row>
    <row r="2700" customFormat="false" ht="13.5" hidden="false" customHeight="false" outlineLevel="0" collapsed="false">
      <c r="A2700" s="1" t="str">
        <f aca="false">IF($C2700="","",Controls!$B$7)</f>
        <v/>
      </c>
      <c r="B2700" s="1" t="str">
        <f aca="false">IF($H2700="","",YEAR($H2700)&amp;"-Q"&amp;ROUNDUP(MONTH($H2700)/3,0))</f>
        <v/>
      </c>
      <c r="S2700" s="1" t="str">
        <f aca="false">IF($C2700="","",$C2700&amp;"|"&amp;$E2700&amp;"|"&amp;$F2700&amp;"|"&amp;$L2700&amp;"|"&amp;$P2700&amp;"|"&amp;TEXT($H2700,"yyyy-mm-dd"))</f>
        <v/>
      </c>
      <c r="T2700" s="1" t="str">
        <f aca="false">IF($S2700="","",IF(COUNTIF($S$2:$S$2991,$S2700)&gt;1,"DUPLICATE","OK"))</f>
        <v/>
      </c>
      <c r="U2700" s="0" t="str">
        <f aca="false">IF($L2700="","",IFERROR(VLOOKUP(--$L2700,MM_Income!$Z$5:$AC$204,3,FALSE()),"UNMAPPED"))</f>
        <v/>
      </c>
    </row>
    <row r="2701" customFormat="false" ht="13.5" hidden="false" customHeight="false" outlineLevel="0" collapsed="false">
      <c r="A2701" s="1" t="str">
        <f aca="false">IF($C2701="","",Controls!$B$7)</f>
        <v/>
      </c>
      <c r="B2701" s="1" t="str">
        <f aca="false">IF($H2701="","",YEAR($H2701)&amp;"-Q"&amp;ROUNDUP(MONTH($H2701)/3,0))</f>
        <v/>
      </c>
      <c r="S2701" s="1" t="str">
        <f aca="false">IF($C2701="","",$C2701&amp;"|"&amp;$E2701&amp;"|"&amp;$F2701&amp;"|"&amp;$L2701&amp;"|"&amp;$P2701&amp;"|"&amp;TEXT($H2701,"yyyy-mm-dd"))</f>
        <v/>
      </c>
      <c r="T2701" s="1" t="str">
        <f aca="false">IF($S2701="","",IF(COUNTIF($S$2:$S$2991,$S2701)&gt;1,"DUPLICATE","OK"))</f>
        <v/>
      </c>
      <c r="U2701" s="0" t="str">
        <f aca="false">IF($L2701="","",IFERROR(VLOOKUP(--$L2701,MM_Income!$Z$5:$AC$204,3,FALSE()),"UNMAPPED"))</f>
        <v/>
      </c>
    </row>
    <row r="2702" customFormat="false" ht="13.5" hidden="false" customHeight="false" outlineLevel="0" collapsed="false">
      <c r="A2702" s="1" t="str">
        <f aca="false">IF($C2702="","",Controls!$B$7)</f>
        <v/>
      </c>
      <c r="B2702" s="1" t="str">
        <f aca="false">IF($H2702="","",YEAR($H2702)&amp;"-Q"&amp;ROUNDUP(MONTH($H2702)/3,0))</f>
        <v/>
      </c>
      <c r="S2702" s="1" t="str">
        <f aca="false">IF($C2702="","",$C2702&amp;"|"&amp;$E2702&amp;"|"&amp;$F2702&amp;"|"&amp;$L2702&amp;"|"&amp;$P2702&amp;"|"&amp;TEXT($H2702,"yyyy-mm-dd"))</f>
        <v/>
      </c>
      <c r="T2702" s="1" t="str">
        <f aca="false">IF($S2702="","",IF(COUNTIF($S$2:$S$2991,$S2702)&gt;1,"DUPLICATE","OK"))</f>
        <v/>
      </c>
      <c r="U2702" s="0" t="str">
        <f aca="false">IF($L2702="","",IFERROR(VLOOKUP(--$L2702,MM_Income!$Z$5:$AC$204,3,FALSE()),"UNMAPPED"))</f>
        <v/>
      </c>
    </row>
    <row r="2703" customFormat="false" ht="13.5" hidden="false" customHeight="false" outlineLevel="0" collapsed="false">
      <c r="A2703" s="1" t="str">
        <f aca="false">IF($C2703="","",Controls!$B$7)</f>
        <v/>
      </c>
      <c r="B2703" s="1" t="str">
        <f aca="false">IF($H2703="","",YEAR($H2703)&amp;"-Q"&amp;ROUNDUP(MONTH($H2703)/3,0))</f>
        <v/>
      </c>
      <c r="S2703" s="1" t="str">
        <f aca="false">IF($C2703="","",$C2703&amp;"|"&amp;$E2703&amp;"|"&amp;$F2703&amp;"|"&amp;$L2703&amp;"|"&amp;$P2703&amp;"|"&amp;TEXT($H2703,"yyyy-mm-dd"))</f>
        <v/>
      </c>
      <c r="T2703" s="1" t="str">
        <f aca="false">IF($S2703="","",IF(COUNTIF($S$2:$S$2991,$S2703)&gt;1,"DUPLICATE","OK"))</f>
        <v/>
      </c>
      <c r="U2703" s="0" t="str">
        <f aca="false">IF($L2703="","",IFERROR(VLOOKUP(--$L2703,MM_Income!$Z$5:$AC$204,3,FALSE()),"UNMAPPED"))</f>
        <v/>
      </c>
    </row>
    <row r="2704" customFormat="false" ht="13.5" hidden="false" customHeight="false" outlineLevel="0" collapsed="false">
      <c r="A2704" s="1" t="str">
        <f aca="false">IF($C2704="","",Controls!$B$7)</f>
        <v/>
      </c>
      <c r="B2704" s="1" t="str">
        <f aca="false">IF($H2704="","",YEAR($H2704)&amp;"-Q"&amp;ROUNDUP(MONTH($H2704)/3,0))</f>
        <v/>
      </c>
      <c r="S2704" s="1" t="str">
        <f aca="false">IF($C2704="","",$C2704&amp;"|"&amp;$E2704&amp;"|"&amp;$F2704&amp;"|"&amp;$L2704&amp;"|"&amp;$P2704&amp;"|"&amp;TEXT($H2704,"yyyy-mm-dd"))</f>
        <v/>
      </c>
      <c r="T2704" s="1" t="str">
        <f aca="false">IF($S2704="","",IF(COUNTIF($S$2:$S$2991,$S2704)&gt;1,"DUPLICATE","OK"))</f>
        <v/>
      </c>
      <c r="U2704" s="0" t="str">
        <f aca="false">IF($L2704="","",IFERROR(VLOOKUP(--$L2704,MM_Income!$Z$5:$AC$204,3,FALSE()),"UNMAPPED"))</f>
        <v/>
      </c>
    </row>
    <row r="2705" customFormat="false" ht="13.5" hidden="false" customHeight="false" outlineLevel="0" collapsed="false">
      <c r="A2705" s="1" t="str">
        <f aca="false">IF($C2705="","",Controls!$B$7)</f>
        <v/>
      </c>
      <c r="B2705" s="1" t="str">
        <f aca="false">IF($H2705="","",YEAR($H2705)&amp;"-Q"&amp;ROUNDUP(MONTH($H2705)/3,0))</f>
        <v/>
      </c>
      <c r="S2705" s="1" t="str">
        <f aca="false">IF($C2705="","",$C2705&amp;"|"&amp;$E2705&amp;"|"&amp;$F2705&amp;"|"&amp;$L2705&amp;"|"&amp;$P2705&amp;"|"&amp;TEXT($H2705,"yyyy-mm-dd"))</f>
        <v/>
      </c>
      <c r="T2705" s="1" t="str">
        <f aca="false">IF($S2705="","",IF(COUNTIF($S$2:$S$2991,$S2705)&gt;1,"DUPLICATE","OK"))</f>
        <v/>
      </c>
      <c r="U2705" s="0" t="str">
        <f aca="false">IF($L2705="","",IFERROR(VLOOKUP(--$L2705,MM_Income!$Z$5:$AC$204,3,FALSE()),"UNMAPPED"))</f>
        <v/>
      </c>
    </row>
    <row r="2706" customFormat="false" ht="13.5" hidden="false" customHeight="false" outlineLevel="0" collapsed="false">
      <c r="A2706" s="1" t="str">
        <f aca="false">IF($C2706="","",Controls!$B$7)</f>
        <v/>
      </c>
      <c r="B2706" s="1" t="str">
        <f aca="false">IF($H2706="","",YEAR($H2706)&amp;"-Q"&amp;ROUNDUP(MONTH($H2706)/3,0))</f>
        <v/>
      </c>
      <c r="S2706" s="1" t="str">
        <f aca="false">IF($C2706="","",$C2706&amp;"|"&amp;$E2706&amp;"|"&amp;$F2706&amp;"|"&amp;$L2706&amp;"|"&amp;$P2706&amp;"|"&amp;TEXT($H2706,"yyyy-mm-dd"))</f>
        <v/>
      </c>
      <c r="T2706" s="1" t="str">
        <f aca="false">IF($S2706="","",IF(COUNTIF($S$2:$S$2991,$S2706)&gt;1,"DUPLICATE","OK"))</f>
        <v/>
      </c>
      <c r="U2706" s="0" t="str">
        <f aca="false">IF($L2706="","",IFERROR(VLOOKUP(--$L2706,MM_Income!$Z$5:$AC$204,3,FALSE()),"UNMAPPED"))</f>
        <v/>
      </c>
    </row>
    <row r="2707" customFormat="false" ht="13.5" hidden="false" customHeight="false" outlineLevel="0" collapsed="false">
      <c r="A2707" s="1" t="str">
        <f aca="false">IF($C2707="","",Controls!$B$7)</f>
        <v/>
      </c>
      <c r="B2707" s="1" t="str">
        <f aca="false">IF($H2707="","",YEAR($H2707)&amp;"-Q"&amp;ROUNDUP(MONTH($H2707)/3,0))</f>
        <v/>
      </c>
      <c r="S2707" s="1" t="str">
        <f aca="false">IF($C2707="","",$C2707&amp;"|"&amp;$E2707&amp;"|"&amp;$F2707&amp;"|"&amp;$L2707&amp;"|"&amp;$P2707&amp;"|"&amp;TEXT($H2707,"yyyy-mm-dd"))</f>
        <v/>
      </c>
      <c r="T2707" s="1" t="str">
        <f aca="false">IF($S2707="","",IF(COUNTIF($S$2:$S$2991,$S2707)&gt;1,"DUPLICATE","OK"))</f>
        <v/>
      </c>
      <c r="U2707" s="0" t="str">
        <f aca="false">IF($L2707="","",IFERROR(VLOOKUP(--$L2707,MM_Income!$Z$5:$AC$204,3,FALSE()),"UNMAPPED"))</f>
        <v/>
      </c>
    </row>
    <row r="2708" customFormat="false" ht="13.5" hidden="false" customHeight="false" outlineLevel="0" collapsed="false">
      <c r="A2708" s="1" t="str">
        <f aca="false">IF($C2708="","",Controls!$B$7)</f>
        <v/>
      </c>
      <c r="B2708" s="1" t="str">
        <f aca="false">IF($H2708="","",YEAR($H2708)&amp;"-Q"&amp;ROUNDUP(MONTH($H2708)/3,0))</f>
        <v/>
      </c>
      <c r="S2708" s="1" t="str">
        <f aca="false">IF($C2708="","",$C2708&amp;"|"&amp;$E2708&amp;"|"&amp;$F2708&amp;"|"&amp;$L2708&amp;"|"&amp;$P2708&amp;"|"&amp;TEXT($H2708,"yyyy-mm-dd"))</f>
        <v/>
      </c>
      <c r="T2708" s="1" t="str">
        <f aca="false">IF($S2708="","",IF(COUNTIF($S$2:$S$2991,$S2708)&gt;1,"DUPLICATE","OK"))</f>
        <v/>
      </c>
      <c r="U2708" s="0" t="str">
        <f aca="false">IF($L2708="","",IFERROR(VLOOKUP(--$L2708,MM_Income!$Z$5:$AC$204,3,FALSE()),"UNMAPPED"))</f>
        <v/>
      </c>
    </row>
    <row r="2709" customFormat="false" ht="13.5" hidden="false" customHeight="false" outlineLevel="0" collapsed="false">
      <c r="A2709" s="1" t="str">
        <f aca="false">IF($C2709="","",Controls!$B$7)</f>
        <v/>
      </c>
      <c r="B2709" s="1" t="str">
        <f aca="false">IF($H2709="","",YEAR($H2709)&amp;"-Q"&amp;ROUNDUP(MONTH($H2709)/3,0))</f>
        <v/>
      </c>
      <c r="S2709" s="1" t="str">
        <f aca="false">IF($C2709="","",$C2709&amp;"|"&amp;$E2709&amp;"|"&amp;$F2709&amp;"|"&amp;$L2709&amp;"|"&amp;$P2709&amp;"|"&amp;TEXT($H2709,"yyyy-mm-dd"))</f>
        <v/>
      </c>
      <c r="T2709" s="1" t="str">
        <f aca="false">IF($S2709="","",IF(COUNTIF($S$2:$S$2991,$S2709)&gt;1,"DUPLICATE","OK"))</f>
        <v/>
      </c>
      <c r="U2709" s="0" t="str">
        <f aca="false">IF($L2709="","",IFERROR(VLOOKUP(--$L2709,MM_Income!$Z$5:$AC$204,3,FALSE()),"UNMAPPED"))</f>
        <v/>
      </c>
    </row>
    <row r="2710" customFormat="false" ht="13.5" hidden="false" customHeight="false" outlineLevel="0" collapsed="false">
      <c r="A2710" s="1" t="str">
        <f aca="false">IF($C2710="","",Controls!$B$7)</f>
        <v/>
      </c>
      <c r="B2710" s="1" t="str">
        <f aca="false">IF($H2710="","",YEAR($H2710)&amp;"-Q"&amp;ROUNDUP(MONTH($H2710)/3,0))</f>
        <v/>
      </c>
      <c r="S2710" s="1" t="str">
        <f aca="false">IF($C2710="","",$C2710&amp;"|"&amp;$E2710&amp;"|"&amp;$F2710&amp;"|"&amp;$L2710&amp;"|"&amp;$P2710&amp;"|"&amp;TEXT($H2710,"yyyy-mm-dd"))</f>
        <v/>
      </c>
      <c r="T2710" s="1" t="str">
        <f aca="false">IF($S2710="","",IF(COUNTIF($S$2:$S$2991,$S2710)&gt;1,"DUPLICATE","OK"))</f>
        <v/>
      </c>
      <c r="U2710" s="0" t="str">
        <f aca="false">IF($L2710="","",IFERROR(VLOOKUP(--$L2710,MM_Income!$Z$5:$AC$204,3,FALSE()),"UNMAPPED"))</f>
        <v/>
      </c>
    </row>
    <row r="2711" customFormat="false" ht="13.5" hidden="false" customHeight="false" outlineLevel="0" collapsed="false">
      <c r="A2711" s="1" t="str">
        <f aca="false">IF($C2711="","",Controls!$B$7)</f>
        <v/>
      </c>
      <c r="B2711" s="1" t="str">
        <f aca="false">IF($H2711="","",YEAR($H2711)&amp;"-Q"&amp;ROUNDUP(MONTH($H2711)/3,0))</f>
        <v/>
      </c>
      <c r="S2711" s="1" t="str">
        <f aca="false">IF($C2711="","",$C2711&amp;"|"&amp;$E2711&amp;"|"&amp;$F2711&amp;"|"&amp;$L2711&amp;"|"&amp;$P2711&amp;"|"&amp;TEXT($H2711,"yyyy-mm-dd"))</f>
        <v/>
      </c>
      <c r="T2711" s="1" t="str">
        <f aca="false">IF($S2711="","",IF(COUNTIF($S$2:$S$2991,$S2711)&gt;1,"DUPLICATE","OK"))</f>
        <v/>
      </c>
      <c r="U2711" s="0" t="str">
        <f aca="false">IF($L2711="","",IFERROR(VLOOKUP(--$L2711,MM_Income!$Z$5:$AC$204,3,FALSE()),"UNMAPPED"))</f>
        <v/>
      </c>
    </row>
    <row r="2712" customFormat="false" ht="13.5" hidden="false" customHeight="false" outlineLevel="0" collapsed="false">
      <c r="A2712" s="1" t="str">
        <f aca="false">IF($C2712="","",Controls!$B$7)</f>
        <v/>
      </c>
      <c r="B2712" s="1" t="str">
        <f aca="false">IF($H2712="","",YEAR($H2712)&amp;"-Q"&amp;ROUNDUP(MONTH($H2712)/3,0))</f>
        <v/>
      </c>
      <c r="S2712" s="1" t="str">
        <f aca="false">IF($C2712="","",$C2712&amp;"|"&amp;$E2712&amp;"|"&amp;$F2712&amp;"|"&amp;$L2712&amp;"|"&amp;$P2712&amp;"|"&amp;TEXT($H2712,"yyyy-mm-dd"))</f>
        <v/>
      </c>
      <c r="T2712" s="1" t="str">
        <f aca="false">IF($S2712="","",IF(COUNTIF($S$2:$S$2991,$S2712)&gt;1,"DUPLICATE","OK"))</f>
        <v/>
      </c>
      <c r="U2712" s="0" t="str">
        <f aca="false">IF($L2712="","",IFERROR(VLOOKUP(--$L2712,MM_Income!$Z$5:$AC$204,3,FALSE()),"UNMAPPED"))</f>
        <v/>
      </c>
    </row>
    <row r="2713" customFormat="false" ht="13.5" hidden="false" customHeight="false" outlineLevel="0" collapsed="false">
      <c r="A2713" s="1" t="str">
        <f aca="false">IF($C2713="","",Controls!$B$7)</f>
        <v/>
      </c>
      <c r="B2713" s="1" t="str">
        <f aca="false">IF($H2713="","",YEAR($H2713)&amp;"-Q"&amp;ROUNDUP(MONTH($H2713)/3,0))</f>
        <v/>
      </c>
      <c r="S2713" s="1" t="str">
        <f aca="false">IF($C2713="","",$C2713&amp;"|"&amp;$E2713&amp;"|"&amp;$F2713&amp;"|"&amp;$L2713&amp;"|"&amp;$P2713&amp;"|"&amp;TEXT($H2713,"yyyy-mm-dd"))</f>
        <v/>
      </c>
      <c r="T2713" s="1" t="str">
        <f aca="false">IF($S2713="","",IF(COUNTIF($S$2:$S$2991,$S2713)&gt;1,"DUPLICATE","OK"))</f>
        <v/>
      </c>
      <c r="U2713" s="0" t="str">
        <f aca="false">IF($L2713="","",IFERROR(VLOOKUP(--$L2713,MM_Income!$Z$5:$AC$204,3,FALSE()),"UNMAPPED"))</f>
        <v/>
      </c>
    </row>
    <row r="2714" customFormat="false" ht="13.5" hidden="false" customHeight="false" outlineLevel="0" collapsed="false">
      <c r="A2714" s="1" t="str">
        <f aca="false">IF($C2714="","",Controls!$B$7)</f>
        <v/>
      </c>
      <c r="B2714" s="1" t="str">
        <f aca="false">IF($H2714="","",YEAR($H2714)&amp;"-Q"&amp;ROUNDUP(MONTH($H2714)/3,0))</f>
        <v/>
      </c>
      <c r="S2714" s="1" t="str">
        <f aca="false">IF($C2714="","",$C2714&amp;"|"&amp;$E2714&amp;"|"&amp;$F2714&amp;"|"&amp;$L2714&amp;"|"&amp;$P2714&amp;"|"&amp;TEXT($H2714,"yyyy-mm-dd"))</f>
        <v/>
      </c>
      <c r="T2714" s="1" t="str">
        <f aca="false">IF($S2714="","",IF(COUNTIF($S$2:$S$2991,$S2714)&gt;1,"DUPLICATE","OK"))</f>
        <v/>
      </c>
      <c r="U2714" s="0" t="str">
        <f aca="false">IF($L2714="","",IFERROR(VLOOKUP(--$L2714,MM_Income!$Z$5:$AC$204,3,FALSE()),"UNMAPPED"))</f>
        <v/>
      </c>
    </row>
    <row r="2715" customFormat="false" ht="13.5" hidden="false" customHeight="false" outlineLevel="0" collapsed="false">
      <c r="A2715" s="1" t="str">
        <f aca="false">IF($C2715="","",Controls!$B$7)</f>
        <v/>
      </c>
      <c r="B2715" s="1" t="str">
        <f aca="false">IF($H2715="","",YEAR($H2715)&amp;"-Q"&amp;ROUNDUP(MONTH($H2715)/3,0))</f>
        <v/>
      </c>
      <c r="S2715" s="1" t="str">
        <f aca="false">IF($C2715="","",$C2715&amp;"|"&amp;$E2715&amp;"|"&amp;$F2715&amp;"|"&amp;$L2715&amp;"|"&amp;$P2715&amp;"|"&amp;TEXT($H2715,"yyyy-mm-dd"))</f>
        <v/>
      </c>
      <c r="T2715" s="1" t="str">
        <f aca="false">IF($S2715="","",IF(COUNTIF($S$2:$S$2991,$S2715)&gt;1,"DUPLICATE","OK"))</f>
        <v/>
      </c>
      <c r="U2715" s="0" t="str">
        <f aca="false">IF($L2715="","",IFERROR(VLOOKUP(--$L2715,MM_Income!$Z$5:$AC$204,3,FALSE()),"UNMAPPED"))</f>
        <v/>
      </c>
    </row>
    <row r="2716" customFormat="false" ht="13.5" hidden="false" customHeight="false" outlineLevel="0" collapsed="false">
      <c r="A2716" s="1" t="str">
        <f aca="false">IF($C2716="","",Controls!$B$7)</f>
        <v/>
      </c>
      <c r="B2716" s="1" t="str">
        <f aca="false">IF($H2716="","",YEAR($H2716)&amp;"-Q"&amp;ROUNDUP(MONTH($H2716)/3,0))</f>
        <v/>
      </c>
      <c r="S2716" s="1" t="str">
        <f aca="false">IF($C2716="","",$C2716&amp;"|"&amp;$E2716&amp;"|"&amp;$F2716&amp;"|"&amp;$L2716&amp;"|"&amp;$P2716&amp;"|"&amp;TEXT($H2716,"yyyy-mm-dd"))</f>
        <v/>
      </c>
      <c r="T2716" s="1" t="str">
        <f aca="false">IF($S2716="","",IF(COUNTIF($S$2:$S$2991,$S2716)&gt;1,"DUPLICATE","OK"))</f>
        <v/>
      </c>
      <c r="U2716" s="0" t="str">
        <f aca="false">IF($L2716="","",IFERROR(VLOOKUP(--$L2716,MM_Income!$Z$5:$AC$204,3,FALSE()),"UNMAPPED"))</f>
        <v/>
      </c>
    </row>
    <row r="2717" customFormat="false" ht="13.5" hidden="false" customHeight="false" outlineLevel="0" collapsed="false">
      <c r="A2717" s="1" t="str">
        <f aca="false">IF($C2717="","",Controls!$B$7)</f>
        <v/>
      </c>
      <c r="B2717" s="1" t="str">
        <f aca="false">IF($H2717="","",YEAR($H2717)&amp;"-Q"&amp;ROUNDUP(MONTH($H2717)/3,0))</f>
        <v/>
      </c>
      <c r="S2717" s="1" t="str">
        <f aca="false">IF($C2717="","",$C2717&amp;"|"&amp;$E2717&amp;"|"&amp;$F2717&amp;"|"&amp;$L2717&amp;"|"&amp;$P2717&amp;"|"&amp;TEXT($H2717,"yyyy-mm-dd"))</f>
        <v/>
      </c>
      <c r="T2717" s="1" t="str">
        <f aca="false">IF($S2717="","",IF(COUNTIF($S$2:$S$2991,$S2717)&gt;1,"DUPLICATE","OK"))</f>
        <v/>
      </c>
      <c r="U2717" s="0" t="str">
        <f aca="false">IF($L2717="","",IFERROR(VLOOKUP(--$L2717,MM_Income!$Z$5:$AC$204,3,FALSE()),"UNMAPPED"))</f>
        <v/>
      </c>
    </row>
    <row r="2718" customFormat="false" ht="13.5" hidden="false" customHeight="false" outlineLevel="0" collapsed="false">
      <c r="A2718" s="1" t="str">
        <f aca="false">IF($C2718="","",Controls!$B$7)</f>
        <v/>
      </c>
      <c r="B2718" s="1" t="str">
        <f aca="false">IF($H2718="","",YEAR($H2718)&amp;"-Q"&amp;ROUNDUP(MONTH($H2718)/3,0))</f>
        <v/>
      </c>
      <c r="S2718" s="1" t="str">
        <f aca="false">IF($C2718="","",$C2718&amp;"|"&amp;$E2718&amp;"|"&amp;$F2718&amp;"|"&amp;$L2718&amp;"|"&amp;$P2718&amp;"|"&amp;TEXT($H2718,"yyyy-mm-dd"))</f>
        <v/>
      </c>
      <c r="T2718" s="1" t="str">
        <f aca="false">IF($S2718="","",IF(COUNTIF($S$2:$S$2991,$S2718)&gt;1,"DUPLICATE","OK"))</f>
        <v/>
      </c>
      <c r="U2718" s="0" t="str">
        <f aca="false">IF($L2718="","",IFERROR(VLOOKUP(--$L2718,MM_Income!$Z$5:$AC$204,3,FALSE()),"UNMAPPED"))</f>
        <v/>
      </c>
    </row>
    <row r="2719" customFormat="false" ht="13.5" hidden="false" customHeight="false" outlineLevel="0" collapsed="false">
      <c r="A2719" s="1" t="str">
        <f aca="false">IF($C2719="","",Controls!$B$7)</f>
        <v/>
      </c>
      <c r="B2719" s="1" t="str">
        <f aca="false">IF($H2719="","",YEAR($H2719)&amp;"-Q"&amp;ROUNDUP(MONTH($H2719)/3,0))</f>
        <v/>
      </c>
      <c r="S2719" s="1" t="str">
        <f aca="false">IF($C2719="","",$C2719&amp;"|"&amp;$E2719&amp;"|"&amp;$F2719&amp;"|"&amp;$L2719&amp;"|"&amp;$P2719&amp;"|"&amp;TEXT($H2719,"yyyy-mm-dd"))</f>
        <v/>
      </c>
      <c r="T2719" s="1" t="str">
        <f aca="false">IF($S2719="","",IF(COUNTIF($S$2:$S$2991,$S2719)&gt;1,"DUPLICATE","OK"))</f>
        <v/>
      </c>
      <c r="U2719" s="0" t="str">
        <f aca="false">IF($L2719="","",IFERROR(VLOOKUP(--$L2719,MM_Income!$Z$5:$AC$204,3,FALSE()),"UNMAPPED"))</f>
        <v/>
      </c>
    </row>
    <row r="2720" customFormat="false" ht="13.5" hidden="false" customHeight="false" outlineLevel="0" collapsed="false">
      <c r="A2720" s="1" t="str">
        <f aca="false">IF($C2720="","",Controls!$B$7)</f>
        <v/>
      </c>
      <c r="B2720" s="1" t="str">
        <f aca="false">IF($H2720="","",YEAR($H2720)&amp;"-Q"&amp;ROUNDUP(MONTH($H2720)/3,0))</f>
        <v/>
      </c>
      <c r="S2720" s="1" t="str">
        <f aca="false">IF($C2720="","",$C2720&amp;"|"&amp;$E2720&amp;"|"&amp;$F2720&amp;"|"&amp;$L2720&amp;"|"&amp;$P2720&amp;"|"&amp;TEXT($H2720,"yyyy-mm-dd"))</f>
        <v/>
      </c>
      <c r="T2720" s="1" t="str">
        <f aca="false">IF($S2720="","",IF(COUNTIF($S$2:$S$2991,$S2720)&gt;1,"DUPLICATE","OK"))</f>
        <v/>
      </c>
      <c r="U2720" s="0" t="str">
        <f aca="false">IF($L2720="","",IFERROR(VLOOKUP(--$L2720,MM_Income!$Z$5:$AC$204,3,FALSE()),"UNMAPPED"))</f>
        <v/>
      </c>
    </row>
    <row r="2721" customFormat="false" ht="13.5" hidden="false" customHeight="false" outlineLevel="0" collapsed="false">
      <c r="A2721" s="1" t="str">
        <f aca="false">IF($C2721="","",Controls!$B$7)</f>
        <v/>
      </c>
      <c r="B2721" s="1" t="str">
        <f aca="false">IF($H2721="","",YEAR($H2721)&amp;"-Q"&amp;ROUNDUP(MONTH($H2721)/3,0))</f>
        <v/>
      </c>
      <c r="S2721" s="1" t="str">
        <f aca="false">IF($C2721="","",$C2721&amp;"|"&amp;$E2721&amp;"|"&amp;$F2721&amp;"|"&amp;$L2721&amp;"|"&amp;$P2721&amp;"|"&amp;TEXT($H2721,"yyyy-mm-dd"))</f>
        <v/>
      </c>
      <c r="T2721" s="1" t="str">
        <f aca="false">IF($S2721="","",IF(COUNTIF($S$2:$S$2991,$S2721)&gt;1,"DUPLICATE","OK"))</f>
        <v/>
      </c>
      <c r="U2721" s="0" t="str">
        <f aca="false">IF($L2721="","",IFERROR(VLOOKUP(--$L2721,MM_Income!$Z$5:$AC$204,3,FALSE()),"UNMAPPED"))</f>
        <v/>
      </c>
    </row>
    <row r="2722" customFormat="false" ht="13.5" hidden="false" customHeight="false" outlineLevel="0" collapsed="false">
      <c r="A2722" s="1" t="str">
        <f aca="false">IF($C2722="","",Controls!$B$7)</f>
        <v/>
      </c>
      <c r="B2722" s="1" t="str">
        <f aca="false">IF($H2722="","",YEAR($H2722)&amp;"-Q"&amp;ROUNDUP(MONTH($H2722)/3,0))</f>
        <v/>
      </c>
      <c r="S2722" s="1" t="str">
        <f aca="false">IF($C2722="","",$C2722&amp;"|"&amp;$E2722&amp;"|"&amp;$F2722&amp;"|"&amp;$L2722&amp;"|"&amp;$P2722&amp;"|"&amp;TEXT($H2722,"yyyy-mm-dd"))</f>
        <v/>
      </c>
      <c r="T2722" s="1" t="str">
        <f aca="false">IF($S2722="","",IF(COUNTIF($S$2:$S$2991,$S2722)&gt;1,"DUPLICATE","OK"))</f>
        <v/>
      </c>
      <c r="U2722" s="0" t="str">
        <f aca="false">IF($L2722="","",IFERROR(VLOOKUP(--$L2722,MM_Income!$Z$5:$AC$204,3,FALSE()),"UNMAPPED"))</f>
        <v/>
      </c>
    </row>
    <row r="2723" customFormat="false" ht="13.5" hidden="false" customHeight="false" outlineLevel="0" collapsed="false">
      <c r="A2723" s="1" t="str">
        <f aca="false">IF($C2723="","",Controls!$B$7)</f>
        <v/>
      </c>
      <c r="B2723" s="1" t="str">
        <f aca="false">IF($H2723="","",YEAR($H2723)&amp;"-Q"&amp;ROUNDUP(MONTH($H2723)/3,0))</f>
        <v/>
      </c>
      <c r="S2723" s="1" t="str">
        <f aca="false">IF($C2723="","",$C2723&amp;"|"&amp;$E2723&amp;"|"&amp;$F2723&amp;"|"&amp;$L2723&amp;"|"&amp;$P2723&amp;"|"&amp;TEXT($H2723,"yyyy-mm-dd"))</f>
        <v/>
      </c>
      <c r="T2723" s="1" t="str">
        <f aca="false">IF($S2723="","",IF(COUNTIF($S$2:$S$2991,$S2723)&gt;1,"DUPLICATE","OK"))</f>
        <v/>
      </c>
      <c r="U2723" s="0" t="str">
        <f aca="false">IF($L2723="","",IFERROR(VLOOKUP(--$L2723,MM_Income!$Z$5:$AC$204,3,FALSE()),"UNMAPPED"))</f>
        <v/>
      </c>
    </row>
    <row r="2724" customFormat="false" ht="13.5" hidden="false" customHeight="false" outlineLevel="0" collapsed="false">
      <c r="A2724" s="1" t="str">
        <f aca="false">IF($C2724="","",Controls!$B$7)</f>
        <v/>
      </c>
      <c r="B2724" s="1" t="str">
        <f aca="false">IF($H2724="","",YEAR($H2724)&amp;"-Q"&amp;ROUNDUP(MONTH($H2724)/3,0))</f>
        <v/>
      </c>
      <c r="S2724" s="1" t="str">
        <f aca="false">IF($C2724="","",$C2724&amp;"|"&amp;$E2724&amp;"|"&amp;$F2724&amp;"|"&amp;$L2724&amp;"|"&amp;$P2724&amp;"|"&amp;TEXT($H2724,"yyyy-mm-dd"))</f>
        <v/>
      </c>
      <c r="T2724" s="1" t="str">
        <f aca="false">IF($S2724="","",IF(COUNTIF($S$2:$S$2991,$S2724)&gt;1,"DUPLICATE","OK"))</f>
        <v/>
      </c>
      <c r="U2724" s="0" t="str">
        <f aca="false">IF($L2724="","",IFERROR(VLOOKUP(--$L2724,MM_Income!$Z$5:$AC$204,3,FALSE()),"UNMAPPED"))</f>
        <v/>
      </c>
    </row>
    <row r="2725" customFormat="false" ht="13.5" hidden="false" customHeight="false" outlineLevel="0" collapsed="false">
      <c r="A2725" s="1" t="str">
        <f aca="false">IF($C2725="","",Controls!$B$7)</f>
        <v/>
      </c>
      <c r="B2725" s="1" t="str">
        <f aca="false">IF($H2725="","",YEAR($H2725)&amp;"-Q"&amp;ROUNDUP(MONTH($H2725)/3,0))</f>
        <v/>
      </c>
      <c r="S2725" s="1" t="str">
        <f aca="false">IF($C2725="","",$C2725&amp;"|"&amp;$E2725&amp;"|"&amp;$F2725&amp;"|"&amp;$L2725&amp;"|"&amp;$P2725&amp;"|"&amp;TEXT($H2725,"yyyy-mm-dd"))</f>
        <v/>
      </c>
      <c r="T2725" s="1" t="str">
        <f aca="false">IF($S2725="","",IF(COUNTIF($S$2:$S$2991,$S2725)&gt;1,"DUPLICATE","OK"))</f>
        <v/>
      </c>
      <c r="U2725" s="0" t="str">
        <f aca="false">IF($L2725="","",IFERROR(VLOOKUP(--$L2725,MM_Income!$Z$5:$AC$204,3,FALSE()),"UNMAPPED"))</f>
        <v/>
      </c>
    </row>
    <row r="2726" customFormat="false" ht="13.5" hidden="false" customHeight="false" outlineLevel="0" collapsed="false">
      <c r="A2726" s="1" t="str">
        <f aca="false">IF($C2726="","",Controls!$B$7)</f>
        <v/>
      </c>
      <c r="B2726" s="1" t="str">
        <f aca="false">IF($H2726="","",YEAR($H2726)&amp;"-Q"&amp;ROUNDUP(MONTH($H2726)/3,0))</f>
        <v/>
      </c>
      <c r="S2726" s="1" t="str">
        <f aca="false">IF($C2726="","",$C2726&amp;"|"&amp;$E2726&amp;"|"&amp;$F2726&amp;"|"&amp;$L2726&amp;"|"&amp;$P2726&amp;"|"&amp;TEXT($H2726,"yyyy-mm-dd"))</f>
        <v/>
      </c>
      <c r="T2726" s="1" t="str">
        <f aca="false">IF($S2726="","",IF(COUNTIF($S$2:$S$2991,$S2726)&gt;1,"DUPLICATE","OK"))</f>
        <v/>
      </c>
      <c r="U2726" s="0" t="str">
        <f aca="false">IF($L2726="","",IFERROR(VLOOKUP(--$L2726,MM_Income!$Z$5:$AC$204,3,FALSE()),"UNMAPPED"))</f>
        <v/>
      </c>
    </row>
    <row r="2727" customFormat="false" ht="13.5" hidden="false" customHeight="false" outlineLevel="0" collapsed="false">
      <c r="A2727" s="1" t="str">
        <f aca="false">IF($C2727="","",Controls!$B$7)</f>
        <v/>
      </c>
      <c r="B2727" s="1" t="str">
        <f aca="false">IF($H2727="","",YEAR($H2727)&amp;"-Q"&amp;ROUNDUP(MONTH($H2727)/3,0))</f>
        <v/>
      </c>
      <c r="S2727" s="1" t="str">
        <f aca="false">IF($C2727="","",$C2727&amp;"|"&amp;$E2727&amp;"|"&amp;$F2727&amp;"|"&amp;$L2727&amp;"|"&amp;$P2727&amp;"|"&amp;TEXT($H2727,"yyyy-mm-dd"))</f>
        <v/>
      </c>
      <c r="T2727" s="1" t="str">
        <f aca="false">IF($S2727="","",IF(COUNTIF($S$2:$S$2991,$S2727)&gt;1,"DUPLICATE","OK"))</f>
        <v/>
      </c>
      <c r="U2727" s="0" t="str">
        <f aca="false">IF($L2727="","",IFERROR(VLOOKUP(--$L2727,MM_Income!$Z$5:$AC$204,3,FALSE()),"UNMAPPED"))</f>
        <v/>
      </c>
    </row>
    <row r="2728" customFormat="false" ht="13.5" hidden="false" customHeight="false" outlineLevel="0" collapsed="false">
      <c r="A2728" s="1" t="str">
        <f aca="false">IF($C2728="","",Controls!$B$7)</f>
        <v/>
      </c>
      <c r="B2728" s="1" t="str">
        <f aca="false">IF($H2728="","",YEAR($H2728)&amp;"-Q"&amp;ROUNDUP(MONTH($H2728)/3,0))</f>
        <v/>
      </c>
      <c r="S2728" s="1" t="str">
        <f aca="false">IF($C2728="","",$C2728&amp;"|"&amp;$E2728&amp;"|"&amp;$F2728&amp;"|"&amp;$L2728&amp;"|"&amp;$P2728&amp;"|"&amp;TEXT($H2728,"yyyy-mm-dd"))</f>
        <v/>
      </c>
      <c r="T2728" s="1" t="str">
        <f aca="false">IF($S2728="","",IF(COUNTIF($S$2:$S$2991,$S2728)&gt;1,"DUPLICATE","OK"))</f>
        <v/>
      </c>
      <c r="U2728" s="0" t="str">
        <f aca="false">IF($L2728="","",IFERROR(VLOOKUP(--$L2728,MM_Income!$Z$5:$AC$204,3,FALSE()),"UNMAPPED"))</f>
        <v/>
      </c>
    </row>
    <row r="2729" customFormat="false" ht="13.5" hidden="false" customHeight="false" outlineLevel="0" collapsed="false">
      <c r="A2729" s="1" t="str">
        <f aca="false">IF($C2729="","",Controls!$B$7)</f>
        <v/>
      </c>
      <c r="B2729" s="1" t="str">
        <f aca="false">IF($H2729="","",YEAR($H2729)&amp;"-Q"&amp;ROUNDUP(MONTH($H2729)/3,0))</f>
        <v/>
      </c>
      <c r="S2729" s="1" t="str">
        <f aca="false">IF($C2729="","",$C2729&amp;"|"&amp;$E2729&amp;"|"&amp;$F2729&amp;"|"&amp;$L2729&amp;"|"&amp;$P2729&amp;"|"&amp;TEXT($H2729,"yyyy-mm-dd"))</f>
        <v/>
      </c>
      <c r="T2729" s="1" t="str">
        <f aca="false">IF($S2729="","",IF(COUNTIF($S$2:$S$2991,$S2729)&gt;1,"DUPLICATE","OK"))</f>
        <v/>
      </c>
      <c r="U2729" s="0" t="str">
        <f aca="false">IF($L2729="","",IFERROR(VLOOKUP(--$L2729,MM_Income!$Z$5:$AC$204,3,FALSE()),"UNMAPPED"))</f>
        <v/>
      </c>
    </row>
    <row r="2730" customFormat="false" ht="13.5" hidden="false" customHeight="false" outlineLevel="0" collapsed="false">
      <c r="A2730" s="1" t="str">
        <f aca="false">IF($C2730="","",Controls!$B$7)</f>
        <v/>
      </c>
      <c r="B2730" s="1" t="str">
        <f aca="false">IF($H2730="","",YEAR($H2730)&amp;"-Q"&amp;ROUNDUP(MONTH($H2730)/3,0))</f>
        <v/>
      </c>
      <c r="S2730" s="1" t="str">
        <f aca="false">IF($C2730="","",$C2730&amp;"|"&amp;$E2730&amp;"|"&amp;$F2730&amp;"|"&amp;$L2730&amp;"|"&amp;$P2730&amp;"|"&amp;TEXT($H2730,"yyyy-mm-dd"))</f>
        <v/>
      </c>
      <c r="T2730" s="1" t="str">
        <f aca="false">IF($S2730="","",IF(COUNTIF($S$2:$S$2991,$S2730)&gt;1,"DUPLICATE","OK"))</f>
        <v/>
      </c>
      <c r="U2730" s="0" t="str">
        <f aca="false">IF($L2730="","",IFERROR(VLOOKUP(--$L2730,MM_Income!$Z$5:$AC$204,3,FALSE()),"UNMAPPED"))</f>
        <v/>
      </c>
    </row>
    <row r="2731" customFormat="false" ht="13.5" hidden="false" customHeight="false" outlineLevel="0" collapsed="false">
      <c r="A2731" s="1" t="str">
        <f aca="false">IF($C2731="","",Controls!$B$7)</f>
        <v/>
      </c>
      <c r="B2731" s="1" t="str">
        <f aca="false">IF($H2731="","",YEAR($H2731)&amp;"-Q"&amp;ROUNDUP(MONTH($H2731)/3,0))</f>
        <v/>
      </c>
      <c r="S2731" s="1" t="str">
        <f aca="false">IF($C2731="","",$C2731&amp;"|"&amp;$E2731&amp;"|"&amp;$F2731&amp;"|"&amp;$L2731&amp;"|"&amp;$P2731&amp;"|"&amp;TEXT($H2731,"yyyy-mm-dd"))</f>
        <v/>
      </c>
      <c r="T2731" s="1" t="str">
        <f aca="false">IF($S2731="","",IF(COUNTIF($S$2:$S$2991,$S2731)&gt;1,"DUPLICATE","OK"))</f>
        <v/>
      </c>
      <c r="U2731" s="0" t="str">
        <f aca="false">IF($L2731="","",IFERROR(VLOOKUP(--$L2731,MM_Income!$Z$5:$AC$204,3,FALSE()),"UNMAPPED"))</f>
        <v/>
      </c>
    </row>
    <row r="2732" customFormat="false" ht="13.5" hidden="false" customHeight="false" outlineLevel="0" collapsed="false">
      <c r="A2732" s="1" t="str">
        <f aca="false">IF($C2732="","",Controls!$B$7)</f>
        <v/>
      </c>
      <c r="B2732" s="1" t="str">
        <f aca="false">IF($H2732="","",YEAR($H2732)&amp;"-Q"&amp;ROUNDUP(MONTH($H2732)/3,0))</f>
        <v/>
      </c>
      <c r="S2732" s="1" t="str">
        <f aca="false">IF($C2732="","",$C2732&amp;"|"&amp;$E2732&amp;"|"&amp;$F2732&amp;"|"&amp;$L2732&amp;"|"&amp;$P2732&amp;"|"&amp;TEXT($H2732,"yyyy-mm-dd"))</f>
        <v/>
      </c>
      <c r="T2732" s="1" t="str">
        <f aca="false">IF($S2732="","",IF(COUNTIF($S$2:$S$2991,$S2732)&gt;1,"DUPLICATE","OK"))</f>
        <v/>
      </c>
      <c r="U2732" s="0" t="str">
        <f aca="false">IF($L2732="","",IFERROR(VLOOKUP(--$L2732,MM_Income!$Z$5:$AC$204,3,FALSE()),"UNMAPPED"))</f>
        <v/>
      </c>
    </row>
    <row r="2733" customFormat="false" ht="13.5" hidden="false" customHeight="false" outlineLevel="0" collapsed="false">
      <c r="A2733" s="1" t="str">
        <f aca="false">IF($C2733="","",Controls!$B$7)</f>
        <v/>
      </c>
      <c r="B2733" s="1" t="str">
        <f aca="false">IF($H2733="","",YEAR($H2733)&amp;"-Q"&amp;ROUNDUP(MONTH($H2733)/3,0))</f>
        <v/>
      </c>
      <c r="S2733" s="1" t="str">
        <f aca="false">IF($C2733="","",$C2733&amp;"|"&amp;$E2733&amp;"|"&amp;$F2733&amp;"|"&amp;$L2733&amp;"|"&amp;$P2733&amp;"|"&amp;TEXT($H2733,"yyyy-mm-dd"))</f>
        <v/>
      </c>
      <c r="T2733" s="1" t="str">
        <f aca="false">IF($S2733="","",IF(COUNTIF($S$2:$S$2991,$S2733)&gt;1,"DUPLICATE","OK"))</f>
        <v/>
      </c>
      <c r="U2733" s="0" t="str">
        <f aca="false">IF($L2733="","",IFERROR(VLOOKUP(--$L2733,MM_Income!$Z$5:$AC$204,3,FALSE()),"UNMAPPED"))</f>
        <v/>
      </c>
    </row>
    <row r="2734" customFormat="false" ht="13.5" hidden="false" customHeight="false" outlineLevel="0" collapsed="false">
      <c r="A2734" s="1" t="str">
        <f aca="false">IF($C2734="","",Controls!$B$7)</f>
        <v/>
      </c>
      <c r="B2734" s="1" t="str">
        <f aca="false">IF($H2734="","",YEAR($H2734)&amp;"-Q"&amp;ROUNDUP(MONTH($H2734)/3,0))</f>
        <v/>
      </c>
      <c r="S2734" s="1" t="str">
        <f aca="false">IF($C2734="","",$C2734&amp;"|"&amp;$E2734&amp;"|"&amp;$F2734&amp;"|"&amp;$L2734&amp;"|"&amp;$P2734&amp;"|"&amp;TEXT($H2734,"yyyy-mm-dd"))</f>
        <v/>
      </c>
      <c r="T2734" s="1" t="str">
        <f aca="false">IF($S2734="","",IF(COUNTIF($S$2:$S$2991,$S2734)&gt;1,"DUPLICATE","OK"))</f>
        <v/>
      </c>
      <c r="U2734" s="0" t="str">
        <f aca="false">IF($L2734="","",IFERROR(VLOOKUP(--$L2734,MM_Income!$Z$5:$AC$204,3,FALSE()),"UNMAPPED"))</f>
        <v/>
      </c>
    </row>
    <row r="2735" customFormat="false" ht="13.5" hidden="false" customHeight="false" outlineLevel="0" collapsed="false">
      <c r="A2735" s="1" t="str">
        <f aca="false">IF($C2735="","",Controls!$B$7)</f>
        <v/>
      </c>
      <c r="B2735" s="1" t="str">
        <f aca="false">IF($H2735="","",YEAR($H2735)&amp;"-Q"&amp;ROUNDUP(MONTH($H2735)/3,0))</f>
        <v/>
      </c>
      <c r="S2735" s="1" t="str">
        <f aca="false">IF($C2735="","",$C2735&amp;"|"&amp;$E2735&amp;"|"&amp;$F2735&amp;"|"&amp;$L2735&amp;"|"&amp;$P2735&amp;"|"&amp;TEXT($H2735,"yyyy-mm-dd"))</f>
        <v/>
      </c>
      <c r="T2735" s="1" t="str">
        <f aca="false">IF($S2735="","",IF(COUNTIF($S$2:$S$2991,$S2735)&gt;1,"DUPLICATE","OK"))</f>
        <v/>
      </c>
      <c r="U2735" s="0" t="str">
        <f aca="false">IF($L2735="","",IFERROR(VLOOKUP(--$L2735,MM_Income!$Z$5:$AC$204,3,FALSE()),"UNMAPPED"))</f>
        <v/>
      </c>
    </row>
    <row r="2736" customFormat="false" ht="13.5" hidden="false" customHeight="false" outlineLevel="0" collapsed="false">
      <c r="A2736" s="1" t="str">
        <f aca="false">IF($C2736="","",Controls!$B$7)</f>
        <v/>
      </c>
      <c r="B2736" s="1" t="str">
        <f aca="false">IF($H2736="","",YEAR($H2736)&amp;"-Q"&amp;ROUNDUP(MONTH($H2736)/3,0))</f>
        <v/>
      </c>
      <c r="S2736" s="1" t="str">
        <f aca="false">IF($C2736="","",$C2736&amp;"|"&amp;$E2736&amp;"|"&amp;$F2736&amp;"|"&amp;$L2736&amp;"|"&amp;$P2736&amp;"|"&amp;TEXT($H2736,"yyyy-mm-dd"))</f>
        <v/>
      </c>
      <c r="T2736" s="1" t="str">
        <f aca="false">IF($S2736="","",IF(COUNTIF($S$2:$S$2991,$S2736)&gt;1,"DUPLICATE","OK"))</f>
        <v/>
      </c>
      <c r="U2736" s="0" t="str">
        <f aca="false">IF($L2736="","",IFERROR(VLOOKUP(--$L2736,MM_Income!$Z$5:$AC$204,3,FALSE()),"UNMAPPED"))</f>
        <v/>
      </c>
    </row>
    <row r="2737" customFormat="false" ht="13.5" hidden="false" customHeight="false" outlineLevel="0" collapsed="false">
      <c r="A2737" s="1" t="str">
        <f aca="false">IF($C2737="","",Controls!$B$7)</f>
        <v/>
      </c>
      <c r="B2737" s="1" t="str">
        <f aca="false">IF($H2737="","",YEAR($H2737)&amp;"-Q"&amp;ROUNDUP(MONTH($H2737)/3,0))</f>
        <v/>
      </c>
      <c r="S2737" s="1" t="str">
        <f aca="false">IF($C2737="","",$C2737&amp;"|"&amp;$E2737&amp;"|"&amp;$F2737&amp;"|"&amp;$L2737&amp;"|"&amp;$P2737&amp;"|"&amp;TEXT($H2737,"yyyy-mm-dd"))</f>
        <v/>
      </c>
      <c r="T2737" s="1" t="str">
        <f aca="false">IF($S2737="","",IF(COUNTIF($S$2:$S$2991,$S2737)&gt;1,"DUPLICATE","OK"))</f>
        <v/>
      </c>
      <c r="U2737" s="0" t="str">
        <f aca="false">IF($L2737="","",IFERROR(VLOOKUP(--$L2737,MM_Income!$Z$5:$AC$204,3,FALSE()),"UNMAPPED"))</f>
        <v/>
      </c>
    </row>
    <row r="2738" customFormat="false" ht="13.5" hidden="false" customHeight="false" outlineLevel="0" collapsed="false">
      <c r="A2738" s="1" t="str">
        <f aca="false">IF($C2738="","",Controls!$B$7)</f>
        <v/>
      </c>
      <c r="B2738" s="1" t="str">
        <f aca="false">IF($H2738="","",YEAR($H2738)&amp;"-Q"&amp;ROUNDUP(MONTH($H2738)/3,0))</f>
        <v/>
      </c>
      <c r="S2738" s="1" t="str">
        <f aca="false">IF($C2738="","",$C2738&amp;"|"&amp;$E2738&amp;"|"&amp;$F2738&amp;"|"&amp;$L2738&amp;"|"&amp;$P2738&amp;"|"&amp;TEXT($H2738,"yyyy-mm-dd"))</f>
        <v/>
      </c>
      <c r="T2738" s="1" t="str">
        <f aca="false">IF($S2738="","",IF(COUNTIF($S$2:$S$2991,$S2738)&gt;1,"DUPLICATE","OK"))</f>
        <v/>
      </c>
      <c r="U2738" s="0" t="str">
        <f aca="false">IF($L2738="","",IFERROR(VLOOKUP(--$L2738,MM_Income!$Z$5:$AC$204,3,FALSE()),"UNMAPPED"))</f>
        <v/>
      </c>
    </row>
    <row r="2739" customFormat="false" ht="13.5" hidden="false" customHeight="false" outlineLevel="0" collapsed="false">
      <c r="A2739" s="1" t="str">
        <f aca="false">IF($C2739="","",Controls!$B$7)</f>
        <v/>
      </c>
      <c r="B2739" s="1" t="str">
        <f aca="false">IF($H2739="","",YEAR($H2739)&amp;"-Q"&amp;ROUNDUP(MONTH($H2739)/3,0))</f>
        <v/>
      </c>
      <c r="S2739" s="1" t="str">
        <f aca="false">IF($C2739="","",$C2739&amp;"|"&amp;$E2739&amp;"|"&amp;$F2739&amp;"|"&amp;$L2739&amp;"|"&amp;$P2739&amp;"|"&amp;TEXT($H2739,"yyyy-mm-dd"))</f>
        <v/>
      </c>
      <c r="T2739" s="1" t="str">
        <f aca="false">IF($S2739="","",IF(COUNTIF($S$2:$S$2991,$S2739)&gt;1,"DUPLICATE","OK"))</f>
        <v/>
      </c>
      <c r="U2739" s="0" t="str">
        <f aca="false">IF($L2739="","",IFERROR(VLOOKUP(--$L2739,MM_Income!$Z$5:$AC$204,3,FALSE()),"UNMAPPED"))</f>
        <v/>
      </c>
    </row>
    <row r="2740" customFormat="false" ht="13.5" hidden="false" customHeight="false" outlineLevel="0" collapsed="false">
      <c r="A2740" s="1" t="str">
        <f aca="false">IF($C2740="","",Controls!$B$7)</f>
        <v/>
      </c>
      <c r="B2740" s="1" t="str">
        <f aca="false">IF($H2740="","",YEAR($H2740)&amp;"-Q"&amp;ROUNDUP(MONTH($H2740)/3,0))</f>
        <v/>
      </c>
      <c r="S2740" s="1" t="str">
        <f aca="false">IF($C2740="","",$C2740&amp;"|"&amp;$E2740&amp;"|"&amp;$F2740&amp;"|"&amp;$L2740&amp;"|"&amp;$P2740&amp;"|"&amp;TEXT($H2740,"yyyy-mm-dd"))</f>
        <v/>
      </c>
      <c r="T2740" s="1" t="str">
        <f aca="false">IF($S2740="","",IF(COUNTIF($S$2:$S$2991,$S2740)&gt;1,"DUPLICATE","OK"))</f>
        <v/>
      </c>
      <c r="U2740" s="0" t="str">
        <f aca="false">IF($L2740="","",IFERROR(VLOOKUP(--$L2740,MM_Income!$Z$5:$AC$204,3,FALSE()),"UNMAPPED"))</f>
        <v/>
      </c>
    </row>
    <row r="2741" customFormat="false" ht="13.5" hidden="false" customHeight="false" outlineLevel="0" collapsed="false">
      <c r="A2741" s="1" t="str">
        <f aca="false">IF($C2741="","",Controls!$B$7)</f>
        <v/>
      </c>
      <c r="B2741" s="1" t="str">
        <f aca="false">IF($H2741="","",YEAR($H2741)&amp;"-Q"&amp;ROUNDUP(MONTH($H2741)/3,0))</f>
        <v/>
      </c>
      <c r="S2741" s="1" t="str">
        <f aca="false">IF($C2741="","",$C2741&amp;"|"&amp;$E2741&amp;"|"&amp;$F2741&amp;"|"&amp;$L2741&amp;"|"&amp;$P2741&amp;"|"&amp;TEXT($H2741,"yyyy-mm-dd"))</f>
        <v/>
      </c>
      <c r="T2741" s="1" t="str">
        <f aca="false">IF($S2741="","",IF(COUNTIF($S$2:$S$2991,$S2741)&gt;1,"DUPLICATE","OK"))</f>
        <v/>
      </c>
      <c r="U2741" s="0" t="str">
        <f aca="false">IF($L2741="","",IFERROR(VLOOKUP(--$L2741,MM_Income!$Z$5:$AC$204,3,FALSE()),"UNMAPPED"))</f>
        <v/>
      </c>
    </row>
    <row r="2742" customFormat="false" ht="13.5" hidden="false" customHeight="false" outlineLevel="0" collapsed="false">
      <c r="A2742" s="1" t="str">
        <f aca="false">IF($C2742="","",Controls!$B$7)</f>
        <v/>
      </c>
      <c r="B2742" s="1" t="str">
        <f aca="false">IF($H2742="","",YEAR($H2742)&amp;"-Q"&amp;ROUNDUP(MONTH($H2742)/3,0))</f>
        <v/>
      </c>
      <c r="S2742" s="1" t="str">
        <f aca="false">IF($C2742="","",$C2742&amp;"|"&amp;$E2742&amp;"|"&amp;$F2742&amp;"|"&amp;$L2742&amp;"|"&amp;$P2742&amp;"|"&amp;TEXT($H2742,"yyyy-mm-dd"))</f>
        <v/>
      </c>
      <c r="T2742" s="1" t="str">
        <f aca="false">IF($S2742="","",IF(COUNTIF($S$2:$S$2991,$S2742)&gt;1,"DUPLICATE","OK"))</f>
        <v/>
      </c>
      <c r="U2742" s="0" t="str">
        <f aca="false">IF($L2742="","",IFERROR(VLOOKUP(--$L2742,MM_Income!$Z$5:$AC$204,3,FALSE()),"UNMAPPED"))</f>
        <v/>
      </c>
    </row>
    <row r="2743" customFormat="false" ht="13.5" hidden="false" customHeight="false" outlineLevel="0" collapsed="false">
      <c r="A2743" s="1" t="str">
        <f aca="false">IF($C2743="","",Controls!$B$7)</f>
        <v/>
      </c>
      <c r="B2743" s="1" t="str">
        <f aca="false">IF($H2743="","",YEAR($H2743)&amp;"-Q"&amp;ROUNDUP(MONTH($H2743)/3,0))</f>
        <v/>
      </c>
      <c r="S2743" s="1" t="str">
        <f aca="false">IF($C2743="","",$C2743&amp;"|"&amp;$E2743&amp;"|"&amp;$F2743&amp;"|"&amp;$L2743&amp;"|"&amp;$P2743&amp;"|"&amp;TEXT($H2743,"yyyy-mm-dd"))</f>
        <v/>
      </c>
      <c r="T2743" s="1" t="str">
        <f aca="false">IF($S2743="","",IF(COUNTIF($S$2:$S$2991,$S2743)&gt;1,"DUPLICATE","OK"))</f>
        <v/>
      </c>
      <c r="U2743" s="0" t="str">
        <f aca="false">IF($L2743="","",IFERROR(VLOOKUP(--$L2743,MM_Income!$Z$5:$AC$204,3,FALSE()),"UNMAPPED"))</f>
        <v/>
      </c>
    </row>
    <row r="2744" customFormat="false" ht="13.5" hidden="false" customHeight="false" outlineLevel="0" collapsed="false">
      <c r="A2744" s="1" t="str">
        <f aca="false">IF($C2744="","",Controls!$B$7)</f>
        <v/>
      </c>
      <c r="B2744" s="1" t="str">
        <f aca="false">IF($H2744="","",YEAR($H2744)&amp;"-Q"&amp;ROUNDUP(MONTH($H2744)/3,0))</f>
        <v/>
      </c>
      <c r="S2744" s="1" t="str">
        <f aca="false">IF($C2744="","",$C2744&amp;"|"&amp;$E2744&amp;"|"&amp;$F2744&amp;"|"&amp;$L2744&amp;"|"&amp;$P2744&amp;"|"&amp;TEXT($H2744,"yyyy-mm-dd"))</f>
        <v/>
      </c>
      <c r="T2744" s="1" t="str">
        <f aca="false">IF($S2744="","",IF(COUNTIF($S$2:$S$2991,$S2744)&gt;1,"DUPLICATE","OK"))</f>
        <v/>
      </c>
      <c r="U2744" s="0" t="str">
        <f aca="false">IF($L2744="","",IFERROR(VLOOKUP(--$L2744,MM_Income!$Z$5:$AC$204,3,FALSE()),"UNMAPPED"))</f>
        <v/>
      </c>
    </row>
    <row r="2745" customFormat="false" ht="13.5" hidden="false" customHeight="false" outlineLevel="0" collapsed="false">
      <c r="A2745" s="1" t="str">
        <f aca="false">IF($C2745="","",Controls!$B$7)</f>
        <v/>
      </c>
      <c r="B2745" s="1" t="str">
        <f aca="false">IF($H2745="","",YEAR($H2745)&amp;"-Q"&amp;ROUNDUP(MONTH($H2745)/3,0))</f>
        <v/>
      </c>
      <c r="S2745" s="1" t="str">
        <f aca="false">IF($C2745="","",$C2745&amp;"|"&amp;$E2745&amp;"|"&amp;$F2745&amp;"|"&amp;$L2745&amp;"|"&amp;$P2745&amp;"|"&amp;TEXT($H2745,"yyyy-mm-dd"))</f>
        <v/>
      </c>
      <c r="T2745" s="1" t="str">
        <f aca="false">IF($S2745="","",IF(COUNTIF($S$2:$S$2991,$S2745)&gt;1,"DUPLICATE","OK"))</f>
        <v/>
      </c>
      <c r="U2745" s="0" t="str">
        <f aca="false">IF($L2745="","",IFERROR(VLOOKUP(--$L2745,MM_Income!$Z$5:$AC$204,3,FALSE()),"UNMAPPED"))</f>
        <v/>
      </c>
    </row>
    <row r="2746" customFormat="false" ht="13.5" hidden="false" customHeight="false" outlineLevel="0" collapsed="false">
      <c r="A2746" s="1" t="str">
        <f aca="false">IF($C2746="","",Controls!$B$7)</f>
        <v/>
      </c>
      <c r="B2746" s="1" t="str">
        <f aca="false">IF($H2746="","",YEAR($H2746)&amp;"-Q"&amp;ROUNDUP(MONTH($H2746)/3,0))</f>
        <v/>
      </c>
      <c r="S2746" s="1" t="str">
        <f aca="false">IF($C2746="","",$C2746&amp;"|"&amp;$E2746&amp;"|"&amp;$F2746&amp;"|"&amp;$L2746&amp;"|"&amp;$P2746&amp;"|"&amp;TEXT($H2746,"yyyy-mm-dd"))</f>
        <v/>
      </c>
      <c r="T2746" s="1" t="str">
        <f aca="false">IF($S2746="","",IF(COUNTIF($S$2:$S$2991,$S2746)&gt;1,"DUPLICATE","OK"))</f>
        <v/>
      </c>
      <c r="U2746" s="0" t="str">
        <f aca="false">IF($L2746="","",IFERROR(VLOOKUP(--$L2746,MM_Income!$Z$5:$AC$204,3,FALSE()),"UNMAPPED"))</f>
        <v/>
      </c>
    </row>
    <row r="2747" customFormat="false" ht="13.5" hidden="false" customHeight="false" outlineLevel="0" collapsed="false">
      <c r="A2747" s="1" t="str">
        <f aca="false">IF($C2747="","",Controls!$B$7)</f>
        <v/>
      </c>
      <c r="B2747" s="1" t="str">
        <f aca="false">IF($H2747="","",YEAR($H2747)&amp;"-Q"&amp;ROUNDUP(MONTH($H2747)/3,0))</f>
        <v/>
      </c>
      <c r="S2747" s="1" t="str">
        <f aca="false">IF($C2747="","",$C2747&amp;"|"&amp;$E2747&amp;"|"&amp;$F2747&amp;"|"&amp;$L2747&amp;"|"&amp;$P2747&amp;"|"&amp;TEXT($H2747,"yyyy-mm-dd"))</f>
        <v/>
      </c>
      <c r="T2747" s="1" t="str">
        <f aca="false">IF($S2747="","",IF(COUNTIF($S$2:$S$2991,$S2747)&gt;1,"DUPLICATE","OK"))</f>
        <v/>
      </c>
      <c r="U2747" s="0" t="str">
        <f aca="false">IF($L2747="","",IFERROR(VLOOKUP(--$L2747,MM_Income!$Z$5:$AC$204,3,FALSE()),"UNMAPPED"))</f>
        <v/>
      </c>
    </row>
    <row r="2748" customFormat="false" ht="13.5" hidden="false" customHeight="false" outlineLevel="0" collapsed="false">
      <c r="A2748" s="1" t="str">
        <f aca="false">IF($C2748="","",Controls!$B$7)</f>
        <v/>
      </c>
      <c r="B2748" s="1" t="str">
        <f aca="false">IF($H2748="","",YEAR($H2748)&amp;"-Q"&amp;ROUNDUP(MONTH($H2748)/3,0))</f>
        <v/>
      </c>
      <c r="S2748" s="1" t="str">
        <f aca="false">IF($C2748="","",$C2748&amp;"|"&amp;$E2748&amp;"|"&amp;$F2748&amp;"|"&amp;$L2748&amp;"|"&amp;$P2748&amp;"|"&amp;TEXT($H2748,"yyyy-mm-dd"))</f>
        <v/>
      </c>
      <c r="T2748" s="1" t="str">
        <f aca="false">IF($S2748="","",IF(COUNTIF($S$2:$S$2991,$S2748)&gt;1,"DUPLICATE","OK"))</f>
        <v/>
      </c>
      <c r="U2748" s="0" t="str">
        <f aca="false">IF($L2748="","",IFERROR(VLOOKUP(--$L2748,MM_Income!$Z$5:$AC$204,3,FALSE()),"UNMAPPED"))</f>
        <v/>
      </c>
    </row>
    <row r="2749" customFormat="false" ht="13.5" hidden="false" customHeight="false" outlineLevel="0" collapsed="false">
      <c r="A2749" s="1" t="str">
        <f aca="false">IF($C2749="","",Controls!$B$7)</f>
        <v/>
      </c>
      <c r="B2749" s="1" t="str">
        <f aca="false">IF($H2749="","",YEAR($H2749)&amp;"-Q"&amp;ROUNDUP(MONTH($H2749)/3,0))</f>
        <v/>
      </c>
      <c r="S2749" s="1" t="str">
        <f aca="false">IF($C2749="","",$C2749&amp;"|"&amp;$E2749&amp;"|"&amp;$F2749&amp;"|"&amp;$L2749&amp;"|"&amp;$P2749&amp;"|"&amp;TEXT($H2749,"yyyy-mm-dd"))</f>
        <v/>
      </c>
      <c r="T2749" s="1" t="str">
        <f aca="false">IF($S2749="","",IF(COUNTIF($S$2:$S$2991,$S2749)&gt;1,"DUPLICATE","OK"))</f>
        <v/>
      </c>
      <c r="U2749" s="0" t="str">
        <f aca="false">IF($L2749="","",IFERROR(VLOOKUP(--$L2749,MM_Income!$Z$5:$AC$204,3,FALSE()),"UNMAPPED"))</f>
        <v/>
      </c>
    </row>
    <row r="2750" customFormat="false" ht="13.5" hidden="false" customHeight="false" outlineLevel="0" collapsed="false">
      <c r="A2750" s="1" t="str">
        <f aca="false">IF($C2750="","",Controls!$B$7)</f>
        <v/>
      </c>
      <c r="B2750" s="1" t="str">
        <f aca="false">IF($H2750="","",YEAR($H2750)&amp;"-Q"&amp;ROUNDUP(MONTH($H2750)/3,0))</f>
        <v/>
      </c>
      <c r="S2750" s="1" t="str">
        <f aca="false">IF($C2750="","",$C2750&amp;"|"&amp;$E2750&amp;"|"&amp;$F2750&amp;"|"&amp;$L2750&amp;"|"&amp;$P2750&amp;"|"&amp;TEXT($H2750,"yyyy-mm-dd"))</f>
        <v/>
      </c>
      <c r="T2750" s="1" t="str">
        <f aca="false">IF($S2750="","",IF(COUNTIF($S$2:$S$2991,$S2750)&gt;1,"DUPLICATE","OK"))</f>
        <v/>
      </c>
      <c r="U2750" s="0" t="str">
        <f aca="false">IF($L2750="","",IFERROR(VLOOKUP(--$L2750,MM_Income!$Z$5:$AC$204,3,FALSE()),"UNMAPPED"))</f>
        <v/>
      </c>
    </row>
    <row r="2751" customFormat="false" ht="13.5" hidden="false" customHeight="false" outlineLevel="0" collapsed="false">
      <c r="A2751" s="1" t="str">
        <f aca="false">IF($C2751="","",Controls!$B$7)</f>
        <v/>
      </c>
      <c r="B2751" s="1" t="str">
        <f aca="false">IF($H2751="","",YEAR($H2751)&amp;"-Q"&amp;ROUNDUP(MONTH($H2751)/3,0))</f>
        <v/>
      </c>
      <c r="S2751" s="1" t="str">
        <f aca="false">IF($C2751="","",$C2751&amp;"|"&amp;$E2751&amp;"|"&amp;$F2751&amp;"|"&amp;$L2751&amp;"|"&amp;$P2751&amp;"|"&amp;TEXT($H2751,"yyyy-mm-dd"))</f>
        <v/>
      </c>
      <c r="T2751" s="1" t="str">
        <f aca="false">IF($S2751="","",IF(COUNTIF($S$2:$S$2991,$S2751)&gt;1,"DUPLICATE","OK"))</f>
        <v/>
      </c>
      <c r="U2751" s="0" t="str">
        <f aca="false">IF($L2751="","",IFERROR(VLOOKUP(--$L2751,MM_Income!$Z$5:$AC$204,3,FALSE()),"UNMAPPED"))</f>
        <v/>
      </c>
    </row>
    <row r="2752" customFormat="false" ht="13.5" hidden="false" customHeight="false" outlineLevel="0" collapsed="false">
      <c r="A2752" s="1" t="str">
        <f aca="false">IF($C2752="","",Controls!$B$7)</f>
        <v/>
      </c>
      <c r="B2752" s="1" t="str">
        <f aca="false">IF($H2752="","",YEAR($H2752)&amp;"-Q"&amp;ROUNDUP(MONTH($H2752)/3,0))</f>
        <v/>
      </c>
      <c r="S2752" s="1" t="str">
        <f aca="false">IF($C2752="","",$C2752&amp;"|"&amp;$E2752&amp;"|"&amp;$F2752&amp;"|"&amp;$L2752&amp;"|"&amp;$P2752&amp;"|"&amp;TEXT($H2752,"yyyy-mm-dd"))</f>
        <v/>
      </c>
      <c r="T2752" s="1" t="str">
        <f aca="false">IF($S2752="","",IF(COUNTIF($S$2:$S$2991,$S2752)&gt;1,"DUPLICATE","OK"))</f>
        <v/>
      </c>
      <c r="U2752" s="0" t="str">
        <f aca="false">IF($L2752="","",IFERROR(VLOOKUP(--$L2752,MM_Income!$Z$5:$AC$204,3,FALSE()),"UNMAPPED"))</f>
        <v/>
      </c>
    </row>
    <row r="2753" customFormat="false" ht="13.5" hidden="false" customHeight="false" outlineLevel="0" collapsed="false">
      <c r="A2753" s="1" t="str">
        <f aca="false">IF($C2753="","",Controls!$B$7)</f>
        <v/>
      </c>
      <c r="B2753" s="1" t="str">
        <f aca="false">IF($H2753="","",YEAR($H2753)&amp;"-Q"&amp;ROUNDUP(MONTH($H2753)/3,0))</f>
        <v/>
      </c>
      <c r="S2753" s="1" t="str">
        <f aca="false">IF($C2753="","",$C2753&amp;"|"&amp;$E2753&amp;"|"&amp;$F2753&amp;"|"&amp;$L2753&amp;"|"&amp;$P2753&amp;"|"&amp;TEXT($H2753,"yyyy-mm-dd"))</f>
        <v/>
      </c>
      <c r="T2753" s="1" t="str">
        <f aca="false">IF($S2753="","",IF(COUNTIF($S$2:$S$2991,$S2753)&gt;1,"DUPLICATE","OK"))</f>
        <v/>
      </c>
      <c r="U2753" s="0" t="str">
        <f aca="false">IF($L2753="","",IFERROR(VLOOKUP(--$L2753,MM_Income!$Z$5:$AC$204,3,FALSE()),"UNMAPPED"))</f>
        <v/>
      </c>
    </row>
    <row r="2754" customFormat="false" ht="13.5" hidden="false" customHeight="false" outlineLevel="0" collapsed="false">
      <c r="A2754" s="1" t="str">
        <f aca="false">IF($C2754="","",Controls!$B$7)</f>
        <v/>
      </c>
      <c r="B2754" s="1" t="str">
        <f aca="false">IF($H2754="","",YEAR($H2754)&amp;"-Q"&amp;ROUNDUP(MONTH($H2754)/3,0))</f>
        <v/>
      </c>
      <c r="S2754" s="1" t="str">
        <f aca="false">IF($C2754="","",$C2754&amp;"|"&amp;$E2754&amp;"|"&amp;$F2754&amp;"|"&amp;$L2754&amp;"|"&amp;$P2754&amp;"|"&amp;TEXT($H2754,"yyyy-mm-dd"))</f>
        <v/>
      </c>
      <c r="T2754" s="1" t="str">
        <f aca="false">IF($S2754="","",IF(COUNTIF($S$2:$S$2991,$S2754)&gt;1,"DUPLICATE","OK"))</f>
        <v/>
      </c>
      <c r="U2754" s="0" t="str">
        <f aca="false">IF($L2754="","",IFERROR(VLOOKUP(--$L2754,MM_Income!$Z$5:$AC$204,3,FALSE()),"UNMAPPED"))</f>
        <v/>
      </c>
    </row>
    <row r="2755" customFormat="false" ht="13.5" hidden="false" customHeight="false" outlineLevel="0" collapsed="false">
      <c r="A2755" s="1" t="str">
        <f aca="false">IF($C2755="","",Controls!$B$7)</f>
        <v/>
      </c>
      <c r="B2755" s="1" t="str">
        <f aca="false">IF($H2755="","",YEAR($H2755)&amp;"-Q"&amp;ROUNDUP(MONTH($H2755)/3,0))</f>
        <v/>
      </c>
      <c r="S2755" s="1" t="str">
        <f aca="false">IF($C2755="","",$C2755&amp;"|"&amp;$E2755&amp;"|"&amp;$F2755&amp;"|"&amp;$L2755&amp;"|"&amp;$P2755&amp;"|"&amp;TEXT($H2755,"yyyy-mm-dd"))</f>
        <v/>
      </c>
      <c r="T2755" s="1" t="str">
        <f aca="false">IF($S2755="","",IF(COUNTIF($S$2:$S$2991,$S2755)&gt;1,"DUPLICATE","OK"))</f>
        <v/>
      </c>
      <c r="U2755" s="0" t="str">
        <f aca="false">IF($L2755="","",IFERROR(VLOOKUP(--$L2755,MM_Income!$Z$5:$AC$204,3,FALSE()),"UNMAPPED"))</f>
        <v/>
      </c>
    </row>
    <row r="2756" customFormat="false" ht="13.5" hidden="false" customHeight="false" outlineLevel="0" collapsed="false">
      <c r="A2756" s="1" t="str">
        <f aca="false">IF($C2756="","",Controls!$B$7)</f>
        <v/>
      </c>
      <c r="B2756" s="1" t="str">
        <f aca="false">IF($H2756="","",YEAR($H2756)&amp;"-Q"&amp;ROUNDUP(MONTH($H2756)/3,0))</f>
        <v/>
      </c>
      <c r="S2756" s="1" t="str">
        <f aca="false">IF($C2756="","",$C2756&amp;"|"&amp;$E2756&amp;"|"&amp;$F2756&amp;"|"&amp;$L2756&amp;"|"&amp;$P2756&amp;"|"&amp;TEXT($H2756,"yyyy-mm-dd"))</f>
        <v/>
      </c>
      <c r="T2756" s="1" t="str">
        <f aca="false">IF($S2756="","",IF(COUNTIF($S$2:$S$2991,$S2756)&gt;1,"DUPLICATE","OK"))</f>
        <v/>
      </c>
      <c r="U2756" s="0" t="str">
        <f aca="false">IF($L2756="","",IFERROR(VLOOKUP(--$L2756,MM_Income!$Z$5:$AC$204,3,FALSE()),"UNMAPPED"))</f>
        <v/>
      </c>
    </row>
    <row r="2757" customFormat="false" ht="13.5" hidden="false" customHeight="false" outlineLevel="0" collapsed="false">
      <c r="A2757" s="1" t="str">
        <f aca="false">IF($C2757="","",Controls!$B$7)</f>
        <v/>
      </c>
      <c r="B2757" s="1" t="str">
        <f aca="false">IF($H2757="","",YEAR($H2757)&amp;"-Q"&amp;ROUNDUP(MONTH($H2757)/3,0))</f>
        <v/>
      </c>
      <c r="S2757" s="1" t="str">
        <f aca="false">IF($C2757="","",$C2757&amp;"|"&amp;$E2757&amp;"|"&amp;$F2757&amp;"|"&amp;$L2757&amp;"|"&amp;$P2757&amp;"|"&amp;TEXT($H2757,"yyyy-mm-dd"))</f>
        <v/>
      </c>
      <c r="T2757" s="1" t="str">
        <f aca="false">IF($S2757="","",IF(COUNTIF($S$2:$S$2991,$S2757)&gt;1,"DUPLICATE","OK"))</f>
        <v/>
      </c>
      <c r="U2757" s="0" t="str">
        <f aca="false">IF($L2757="","",IFERROR(VLOOKUP(--$L2757,MM_Income!$Z$5:$AC$204,3,FALSE()),"UNMAPPED"))</f>
        <v/>
      </c>
    </row>
    <row r="2758" customFormat="false" ht="13.5" hidden="false" customHeight="false" outlineLevel="0" collapsed="false">
      <c r="A2758" s="1" t="str">
        <f aca="false">IF($C2758="","",Controls!$B$7)</f>
        <v/>
      </c>
      <c r="B2758" s="1" t="str">
        <f aca="false">IF($H2758="","",YEAR($H2758)&amp;"-Q"&amp;ROUNDUP(MONTH($H2758)/3,0))</f>
        <v/>
      </c>
      <c r="S2758" s="1" t="str">
        <f aca="false">IF($C2758="","",$C2758&amp;"|"&amp;$E2758&amp;"|"&amp;$F2758&amp;"|"&amp;$L2758&amp;"|"&amp;$P2758&amp;"|"&amp;TEXT($H2758,"yyyy-mm-dd"))</f>
        <v/>
      </c>
      <c r="T2758" s="1" t="str">
        <f aca="false">IF($S2758="","",IF(COUNTIF($S$2:$S$2991,$S2758)&gt;1,"DUPLICATE","OK"))</f>
        <v/>
      </c>
      <c r="U2758" s="0" t="str">
        <f aca="false">IF($L2758="","",IFERROR(VLOOKUP(--$L2758,MM_Income!$Z$5:$AC$204,3,FALSE()),"UNMAPPED"))</f>
        <v/>
      </c>
    </row>
    <row r="2759" customFormat="false" ht="13.5" hidden="false" customHeight="false" outlineLevel="0" collapsed="false">
      <c r="A2759" s="1" t="str">
        <f aca="false">IF($C2759="","",Controls!$B$7)</f>
        <v/>
      </c>
      <c r="B2759" s="1" t="str">
        <f aca="false">IF($H2759="","",YEAR($H2759)&amp;"-Q"&amp;ROUNDUP(MONTH($H2759)/3,0))</f>
        <v/>
      </c>
      <c r="S2759" s="1" t="str">
        <f aca="false">IF($C2759="","",$C2759&amp;"|"&amp;$E2759&amp;"|"&amp;$F2759&amp;"|"&amp;$L2759&amp;"|"&amp;$P2759&amp;"|"&amp;TEXT($H2759,"yyyy-mm-dd"))</f>
        <v/>
      </c>
      <c r="T2759" s="1" t="str">
        <f aca="false">IF($S2759="","",IF(COUNTIF($S$2:$S$2991,$S2759)&gt;1,"DUPLICATE","OK"))</f>
        <v/>
      </c>
      <c r="U2759" s="0" t="str">
        <f aca="false">IF($L2759="","",IFERROR(VLOOKUP(--$L2759,MM_Income!$Z$5:$AC$204,3,FALSE()),"UNMAPPED"))</f>
        <v/>
      </c>
    </row>
    <row r="2760" customFormat="false" ht="13.5" hidden="false" customHeight="false" outlineLevel="0" collapsed="false">
      <c r="A2760" s="1" t="str">
        <f aca="false">IF($C2760="","",Controls!$B$7)</f>
        <v/>
      </c>
      <c r="B2760" s="1" t="str">
        <f aca="false">IF($H2760="","",YEAR($H2760)&amp;"-Q"&amp;ROUNDUP(MONTH($H2760)/3,0))</f>
        <v/>
      </c>
      <c r="S2760" s="1" t="str">
        <f aca="false">IF($C2760="","",$C2760&amp;"|"&amp;$E2760&amp;"|"&amp;$F2760&amp;"|"&amp;$L2760&amp;"|"&amp;$P2760&amp;"|"&amp;TEXT($H2760,"yyyy-mm-dd"))</f>
        <v/>
      </c>
      <c r="T2760" s="1" t="str">
        <f aca="false">IF($S2760="","",IF(COUNTIF($S$2:$S$2991,$S2760)&gt;1,"DUPLICATE","OK"))</f>
        <v/>
      </c>
      <c r="U2760" s="0" t="str">
        <f aca="false">IF($L2760="","",IFERROR(VLOOKUP(--$L2760,MM_Income!$Z$5:$AC$204,3,FALSE()),"UNMAPPED"))</f>
        <v/>
      </c>
    </row>
    <row r="2761" customFormat="false" ht="13.5" hidden="false" customHeight="false" outlineLevel="0" collapsed="false">
      <c r="A2761" s="1" t="str">
        <f aca="false">IF($C2761="","",Controls!$B$7)</f>
        <v/>
      </c>
      <c r="B2761" s="1" t="str">
        <f aca="false">IF($H2761="","",YEAR($H2761)&amp;"-Q"&amp;ROUNDUP(MONTH($H2761)/3,0))</f>
        <v/>
      </c>
      <c r="S2761" s="1" t="str">
        <f aca="false">IF($C2761="","",$C2761&amp;"|"&amp;$E2761&amp;"|"&amp;$F2761&amp;"|"&amp;$L2761&amp;"|"&amp;$P2761&amp;"|"&amp;TEXT($H2761,"yyyy-mm-dd"))</f>
        <v/>
      </c>
      <c r="T2761" s="1" t="str">
        <f aca="false">IF($S2761="","",IF(COUNTIF($S$2:$S$2991,$S2761)&gt;1,"DUPLICATE","OK"))</f>
        <v/>
      </c>
      <c r="U2761" s="0" t="str">
        <f aca="false">IF($L2761="","",IFERROR(VLOOKUP(--$L2761,MM_Income!$Z$5:$AC$204,3,FALSE()),"UNMAPPED"))</f>
        <v/>
      </c>
    </row>
    <row r="2762" customFormat="false" ht="13.5" hidden="false" customHeight="false" outlineLevel="0" collapsed="false">
      <c r="A2762" s="1" t="str">
        <f aca="false">IF($C2762="","",Controls!$B$7)</f>
        <v/>
      </c>
      <c r="B2762" s="1" t="str">
        <f aca="false">IF($H2762="","",YEAR($H2762)&amp;"-Q"&amp;ROUNDUP(MONTH($H2762)/3,0))</f>
        <v/>
      </c>
      <c r="S2762" s="1" t="str">
        <f aca="false">IF($C2762="","",$C2762&amp;"|"&amp;$E2762&amp;"|"&amp;$F2762&amp;"|"&amp;$L2762&amp;"|"&amp;$P2762&amp;"|"&amp;TEXT($H2762,"yyyy-mm-dd"))</f>
        <v/>
      </c>
      <c r="T2762" s="1" t="str">
        <f aca="false">IF($S2762="","",IF(COUNTIF($S$2:$S$2991,$S2762)&gt;1,"DUPLICATE","OK"))</f>
        <v/>
      </c>
      <c r="U2762" s="0" t="str">
        <f aca="false">IF($L2762="","",IFERROR(VLOOKUP(--$L2762,MM_Income!$Z$5:$AC$204,3,FALSE()),"UNMAPPED"))</f>
        <v/>
      </c>
    </row>
    <row r="2763" customFormat="false" ht="13.5" hidden="false" customHeight="false" outlineLevel="0" collapsed="false">
      <c r="A2763" s="1" t="str">
        <f aca="false">IF($C2763="","",Controls!$B$7)</f>
        <v/>
      </c>
      <c r="B2763" s="1" t="str">
        <f aca="false">IF($H2763="","",YEAR($H2763)&amp;"-Q"&amp;ROUNDUP(MONTH($H2763)/3,0))</f>
        <v/>
      </c>
      <c r="S2763" s="1" t="str">
        <f aca="false">IF($C2763="","",$C2763&amp;"|"&amp;$E2763&amp;"|"&amp;$F2763&amp;"|"&amp;$L2763&amp;"|"&amp;$P2763&amp;"|"&amp;TEXT($H2763,"yyyy-mm-dd"))</f>
        <v/>
      </c>
      <c r="T2763" s="1" t="str">
        <f aca="false">IF($S2763="","",IF(COUNTIF($S$2:$S$2991,$S2763)&gt;1,"DUPLICATE","OK"))</f>
        <v/>
      </c>
      <c r="U2763" s="0" t="str">
        <f aca="false">IF($L2763="","",IFERROR(VLOOKUP(--$L2763,MM_Income!$Z$5:$AC$204,3,FALSE()),"UNMAPPED"))</f>
        <v/>
      </c>
    </row>
    <row r="2764" customFormat="false" ht="13.5" hidden="false" customHeight="false" outlineLevel="0" collapsed="false">
      <c r="A2764" s="1" t="str">
        <f aca="false">IF($C2764="","",Controls!$B$7)</f>
        <v/>
      </c>
      <c r="B2764" s="1" t="str">
        <f aca="false">IF($H2764="","",YEAR($H2764)&amp;"-Q"&amp;ROUNDUP(MONTH($H2764)/3,0))</f>
        <v/>
      </c>
      <c r="S2764" s="1" t="str">
        <f aca="false">IF($C2764="","",$C2764&amp;"|"&amp;$E2764&amp;"|"&amp;$F2764&amp;"|"&amp;$L2764&amp;"|"&amp;$P2764&amp;"|"&amp;TEXT($H2764,"yyyy-mm-dd"))</f>
        <v/>
      </c>
      <c r="T2764" s="1" t="str">
        <f aca="false">IF($S2764="","",IF(COUNTIF($S$2:$S$2991,$S2764)&gt;1,"DUPLICATE","OK"))</f>
        <v/>
      </c>
      <c r="U2764" s="0" t="str">
        <f aca="false">IF($L2764="","",IFERROR(VLOOKUP(--$L2764,MM_Income!$Z$5:$AC$204,3,FALSE()),"UNMAPPED"))</f>
        <v/>
      </c>
    </row>
    <row r="2765" customFormat="false" ht="13.5" hidden="false" customHeight="false" outlineLevel="0" collapsed="false">
      <c r="A2765" s="1" t="str">
        <f aca="false">IF($C2765="","",Controls!$B$7)</f>
        <v/>
      </c>
      <c r="B2765" s="1" t="str">
        <f aca="false">IF($H2765="","",YEAR($H2765)&amp;"-Q"&amp;ROUNDUP(MONTH($H2765)/3,0))</f>
        <v/>
      </c>
      <c r="S2765" s="1" t="str">
        <f aca="false">IF($C2765="","",$C2765&amp;"|"&amp;$E2765&amp;"|"&amp;$F2765&amp;"|"&amp;$L2765&amp;"|"&amp;$P2765&amp;"|"&amp;TEXT($H2765,"yyyy-mm-dd"))</f>
        <v/>
      </c>
      <c r="T2765" s="1" t="str">
        <f aca="false">IF($S2765="","",IF(COUNTIF($S$2:$S$2991,$S2765)&gt;1,"DUPLICATE","OK"))</f>
        <v/>
      </c>
      <c r="U2765" s="0" t="str">
        <f aca="false">IF($L2765="","",IFERROR(VLOOKUP(--$L2765,MM_Income!$Z$5:$AC$204,3,FALSE()),"UNMAPPED"))</f>
        <v/>
      </c>
    </row>
    <row r="2766" customFormat="false" ht="13.5" hidden="false" customHeight="false" outlineLevel="0" collapsed="false">
      <c r="A2766" s="1" t="str">
        <f aca="false">IF($C2766="","",Controls!$B$7)</f>
        <v/>
      </c>
      <c r="B2766" s="1" t="str">
        <f aca="false">IF($H2766="","",YEAR($H2766)&amp;"-Q"&amp;ROUNDUP(MONTH($H2766)/3,0))</f>
        <v/>
      </c>
      <c r="S2766" s="1" t="str">
        <f aca="false">IF($C2766="","",$C2766&amp;"|"&amp;$E2766&amp;"|"&amp;$F2766&amp;"|"&amp;$L2766&amp;"|"&amp;$P2766&amp;"|"&amp;TEXT($H2766,"yyyy-mm-dd"))</f>
        <v/>
      </c>
      <c r="T2766" s="1" t="str">
        <f aca="false">IF($S2766="","",IF(COUNTIF($S$2:$S$2991,$S2766)&gt;1,"DUPLICATE","OK"))</f>
        <v/>
      </c>
      <c r="U2766" s="0" t="str">
        <f aca="false">IF($L2766="","",IFERROR(VLOOKUP(--$L2766,MM_Income!$Z$5:$AC$204,3,FALSE()),"UNMAPPED"))</f>
        <v/>
      </c>
    </row>
    <row r="2767" customFormat="false" ht="13.5" hidden="false" customHeight="false" outlineLevel="0" collapsed="false">
      <c r="A2767" s="1" t="str">
        <f aca="false">IF($C2767="","",Controls!$B$7)</f>
        <v/>
      </c>
      <c r="B2767" s="1" t="str">
        <f aca="false">IF($H2767="","",YEAR($H2767)&amp;"-Q"&amp;ROUNDUP(MONTH($H2767)/3,0))</f>
        <v/>
      </c>
      <c r="S2767" s="1" t="str">
        <f aca="false">IF($C2767="","",$C2767&amp;"|"&amp;$E2767&amp;"|"&amp;$F2767&amp;"|"&amp;$L2767&amp;"|"&amp;$P2767&amp;"|"&amp;TEXT($H2767,"yyyy-mm-dd"))</f>
        <v/>
      </c>
      <c r="T2767" s="1" t="str">
        <f aca="false">IF($S2767="","",IF(COUNTIF($S$2:$S$2991,$S2767)&gt;1,"DUPLICATE","OK"))</f>
        <v/>
      </c>
      <c r="U2767" s="0" t="str">
        <f aca="false">IF($L2767="","",IFERROR(VLOOKUP(--$L2767,MM_Income!$Z$5:$AC$204,3,FALSE()),"UNMAPPED"))</f>
        <v/>
      </c>
    </row>
    <row r="2768" customFormat="false" ht="13.5" hidden="false" customHeight="false" outlineLevel="0" collapsed="false">
      <c r="A2768" s="1" t="str">
        <f aca="false">IF($C2768="","",Controls!$B$7)</f>
        <v/>
      </c>
      <c r="B2768" s="1" t="str">
        <f aca="false">IF($H2768="","",YEAR($H2768)&amp;"-Q"&amp;ROUNDUP(MONTH($H2768)/3,0))</f>
        <v/>
      </c>
      <c r="S2768" s="1" t="str">
        <f aca="false">IF($C2768="","",$C2768&amp;"|"&amp;$E2768&amp;"|"&amp;$F2768&amp;"|"&amp;$L2768&amp;"|"&amp;$P2768&amp;"|"&amp;TEXT($H2768,"yyyy-mm-dd"))</f>
        <v/>
      </c>
      <c r="T2768" s="1" t="str">
        <f aca="false">IF($S2768="","",IF(COUNTIF($S$2:$S$2991,$S2768)&gt;1,"DUPLICATE","OK"))</f>
        <v/>
      </c>
      <c r="U2768" s="0" t="str">
        <f aca="false">IF($L2768="","",IFERROR(VLOOKUP(--$L2768,MM_Income!$Z$5:$AC$204,3,FALSE()),"UNMAPPED"))</f>
        <v/>
      </c>
    </row>
    <row r="2769" customFormat="false" ht="13.5" hidden="false" customHeight="false" outlineLevel="0" collapsed="false">
      <c r="A2769" s="1" t="str">
        <f aca="false">IF($C2769="","",Controls!$B$7)</f>
        <v/>
      </c>
      <c r="B2769" s="1" t="str">
        <f aca="false">IF($H2769="","",YEAR($H2769)&amp;"-Q"&amp;ROUNDUP(MONTH($H2769)/3,0))</f>
        <v/>
      </c>
      <c r="S2769" s="1" t="str">
        <f aca="false">IF($C2769="","",$C2769&amp;"|"&amp;$E2769&amp;"|"&amp;$F2769&amp;"|"&amp;$L2769&amp;"|"&amp;$P2769&amp;"|"&amp;TEXT($H2769,"yyyy-mm-dd"))</f>
        <v/>
      </c>
      <c r="T2769" s="1" t="str">
        <f aca="false">IF($S2769="","",IF(COUNTIF($S$2:$S$2991,$S2769)&gt;1,"DUPLICATE","OK"))</f>
        <v/>
      </c>
      <c r="U2769" s="0" t="str">
        <f aca="false">IF($L2769="","",IFERROR(VLOOKUP(--$L2769,MM_Income!$Z$5:$AC$204,3,FALSE()),"UNMAPPED"))</f>
        <v/>
      </c>
    </row>
    <row r="2770" customFormat="false" ht="13.5" hidden="false" customHeight="false" outlineLevel="0" collapsed="false">
      <c r="A2770" s="1" t="str">
        <f aca="false">IF($C2770="","",Controls!$B$7)</f>
        <v/>
      </c>
      <c r="B2770" s="1" t="str">
        <f aca="false">IF($H2770="","",YEAR($H2770)&amp;"-Q"&amp;ROUNDUP(MONTH($H2770)/3,0))</f>
        <v/>
      </c>
      <c r="S2770" s="1" t="str">
        <f aca="false">IF($C2770="","",$C2770&amp;"|"&amp;$E2770&amp;"|"&amp;$F2770&amp;"|"&amp;$L2770&amp;"|"&amp;$P2770&amp;"|"&amp;TEXT($H2770,"yyyy-mm-dd"))</f>
        <v/>
      </c>
      <c r="T2770" s="1" t="str">
        <f aca="false">IF($S2770="","",IF(COUNTIF($S$2:$S$2991,$S2770)&gt;1,"DUPLICATE","OK"))</f>
        <v/>
      </c>
      <c r="U2770" s="0" t="str">
        <f aca="false">IF($L2770="","",IFERROR(VLOOKUP(--$L2770,MM_Income!$Z$5:$AC$204,3,FALSE()),"UNMAPPED"))</f>
        <v/>
      </c>
    </row>
    <row r="2771" customFormat="false" ht="13.5" hidden="false" customHeight="false" outlineLevel="0" collapsed="false">
      <c r="A2771" s="1" t="str">
        <f aca="false">IF($C2771="","",Controls!$B$7)</f>
        <v/>
      </c>
      <c r="B2771" s="1" t="str">
        <f aca="false">IF($H2771="","",YEAR($H2771)&amp;"-Q"&amp;ROUNDUP(MONTH($H2771)/3,0))</f>
        <v/>
      </c>
      <c r="S2771" s="1" t="str">
        <f aca="false">IF($C2771="","",$C2771&amp;"|"&amp;$E2771&amp;"|"&amp;$F2771&amp;"|"&amp;$L2771&amp;"|"&amp;$P2771&amp;"|"&amp;TEXT($H2771,"yyyy-mm-dd"))</f>
        <v/>
      </c>
      <c r="T2771" s="1" t="str">
        <f aca="false">IF($S2771="","",IF(COUNTIF($S$2:$S$2991,$S2771)&gt;1,"DUPLICATE","OK"))</f>
        <v/>
      </c>
      <c r="U2771" s="0" t="str">
        <f aca="false">IF($L2771="","",IFERROR(VLOOKUP(--$L2771,MM_Income!$Z$5:$AC$204,3,FALSE()),"UNMAPPED"))</f>
        <v/>
      </c>
    </row>
    <row r="2772" customFormat="false" ht="13.5" hidden="false" customHeight="false" outlineLevel="0" collapsed="false">
      <c r="A2772" s="1" t="str">
        <f aca="false">IF($C2772="","",Controls!$B$7)</f>
        <v/>
      </c>
      <c r="B2772" s="1" t="str">
        <f aca="false">IF($H2772="","",YEAR($H2772)&amp;"-Q"&amp;ROUNDUP(MONTH($H2772)/3,0))</f>
        <v/>
      </c>
      <c r="S2772" s="1" t="str">
        <f aca="false">IF($C2772="","",$C2772&amp;"|"&amp;$E2772&amp;"|"&amp;$F2772&amp;"|"&amp;$L2772&amp;"|"&amp;$P2772&amp;"|"&amp;TEXT($H2772,"yyyy-mm-dd"))</f>
        <v/>
      </c>
      <c r="T2772" s="1" t="str">
        <f aca="false">IF($S2772="","",IF(COUNTIF($S$2:$S$2991,$S2772)&gt;1,"DUPLICATE","OK"))</f>
        <v/>
      </c>
      <c r="U2772" s="0" t="str">
        <f aca="false">IF($L2772="","",IFERROR(VLOOKUP(--$L2772,MM_Income!$Z$5:$AC$204,3,FALSE()),"UNMAPPED"))</f>
        <v/>
      </c>
    </row>
    <row r="2773" customFormat="false" ht="13.5" hidden="false" customHeight="false" outlineLevel="0" collapsed="false">
      <c r="A2773" s="1" t="str">
        <f aca="false">IF($C2773="","",Controls!$B$7)</f>
        <v/>
      </c>
      <c r="B2773" s="1" t="str">
        <f aca="false">IF($H2773="","",YEAR($H2773)&amp;"-Q"&amp;ROUNDUP(MONTH($H2773)/3,0))</f>
        <v/>
      </c>
      <c r="S2773" s="1" t="str">
        <f aca="false">IF($C2773="","",$C2773&amp;"|"&amp;$E2773&amp;"|"&amp;$F2773&amp;"|"&amp;$L2773&amp;"|"&amp;$P2773&amp;"|"&amp;TEXT($H2773,"yyyy-mm-dd"))</f>
        <v/>
      </c>
      <c r="T2773" s="1" t="str">
        <f aca="false">IF($S2773="","",IF(COUNTIF($S$2:$S$2991,$S2773)&gt;1,"DUPLICATE","OK"))</f>
        <v/>
      </c>
      <c r="U2773" s="0" t="str">
        <f aca="false">IF($L2773="","",IFERROR(VLOOKUP(--$L2773,MM_Income!$Z$5:$AC$204,3,FALSE()),"UNMAPPED"))</f>
        <v/>
      </c>
    </row>
    <row r="2774" customFormat="false" ht="13.5" hidden="false" customHeight="false" outlineLevel="0" collapsed="false">
      <c r="A2774" s="1" t="str">
        <f aca="false">IF($C2774="","",Controls!$B$7)</f>
        <v/>
      </c>
      <c r="B2774" s="1" t="str">
        <f aca="false">IF($H2774="","",YEAR($H2774)&amp;"-Q"&amp;ROUNDUP(MONTH($H2774)/3,0))</f>
        <v/>
      </c>
      <c r="S2774" s="1" t="str">
        <f aca="false">IF($C2774="","",$C2774&amp;"|"&amp;$E2774&amp;"|"&amp;$F2774&amp;"|"&amp;$L2774&amp;"|"&amp;$P2774&amp;"|"&amp;TEXT($H2774,"yyyy-mm-dd"))</f>
        <v/>
      </c>
      <c r="T2774" s="1" t="str">
        <f aca="false">IF($S2774="","",IF(COUNTIF($S$2:$S$2991,$S2774)&gt;1,"DUPLICATE","OK"))</f>
        <v/>
      </c>
      <c r="U2774" s="0" t="str">
        <f aca="false">IF($L2774="","",IFERROR(VLOOKUP(--$L2774,MM_Income!$Z$5:$AC$204,3,FALSE()),"UNMAPPED"))</f>
        <v/>
      </c>
    </row>
    <row r="2775" customFormat="false" ht="13.5" hidden="false" customHeight="false" outlineLevel="0" collapsed="false">
      <c r="A2775" s="1" t="str">
        <f aca="false">IF($C2775="","",Controls!$B$7)</f>
        <v/>
      </c>
      <c r="B2775" s="1" t="str">
        <f aca="false">IF($H2775="","",YEAR($H2775)&amp;"-Q"&amp;ROUNDUP(MONTH($H2775)/3,0))</f>
        <v/>
      </c>
      <c r="S2775" s="1" t="str">
        <f aca="false">IF($C2775="","",$C2775&amp;"|"&amp;$E2775&amp;"|"&amp;$F2775&amp;"|"&amp;$L2775&amp;"|"&amp;$P2775&amp;"|"&amp;TEXT($H2775,"yyyy-mm-dd"))</f>
        <v/>
      </c>
      <c r="T2775" s="1" t="str">
        <f aca="false">IF($S2775="","",IF(COUNTIF($S$2:$S$2991,$S2775)&gt;1,"DUPLICATE","OK"))</f>
        <v/>
      </c>
      <c r="U2775" s="0" t="str">
        <f aca="false">IF($L2775="","",IFERROR(VLOOKUP(--$L2775,MM_Income!$Z$5:$AC$204,3,FALSE()),"UNMAPPED"))</f>
        <v/>
      </c>
    </row>
    <row r="2776" customFormat="false" ht="13.5" hidden="false" customHeight="false" outlineLevel="0" collapsed="false">
      <c r="A2776" s="1" t="str">
        <f aca="false">IF($C2776="","",Controls!$B$7)</f>
        <v/>
      </c>
      <c r="B2776" s="1" t="str">
        <f aca="false">IF($H2776="","",YEAR($H2776)&amp;"-Q"&amp;ROUNDUP(MONTH($H2776)/3,0))</f>
        <v/>
      </c>
      <c r="S2776" s="1" t="str">
        <f aca="false">IF($C2776="","",$C2776&amp;"|"&amp;$E2776&amp;"|"&amp;$F2776&amp;"|"&amp;$L2776&amp;"|"&amp;$P2776&amp;"|"&amp;TEXT($H2776,"yyyy-mm-dd"))</f>
        <v/>
      </c>
      <c r="T2776" s="1" t="str">
        <f aca="false">IF($S2776="","",IF(COUNTIF($S$2:$S$2991,$S2776)&gt;1,"DUPLICATE","OK"))</f>
        <v/>
      </c>
      <c r="U2776" s="0" t="str">
        <f aca="false">IF($L2776="","",IFERROR(VLOOKUP(--$L2776,MM_Income!$Z$5:$AC$204,3,FALSE()),"UNMAPPED"))</f>
        <v/>
      </c>
    </row>
    <row r="2777" customFormat="false" ht="13.5" hidden="false" customHeight="false" outlineLevel="0" collapsed="false">
      <c r="A2777" s="1" t="str">
        <f aca="false">IF($C2777="","",Controls!$B$7)</f>
        <v/>
      </c>
      <c r="B2777" s="1" t="str">
        <f aca="false">IF($H2777="","",YEAR($H2777)&amp;"-Q"&amp;ROUNDUP(MONTH($H2777)/3,0))</f>
        <v/>
      </c>
      <c r="S2777" s="1" t="str">
        <f aca="false">IF($C2777="","",$C2777&amp;"|"&amp;$E2777&amp;"|"&amp;$F2777&amp;"|"&amp;$L2777&amp;"|"&amp;$P2777&amp;"|"&amp;TEXT($H2777,"yyyy-mm-dd"))</f>
        <v/>
      </c>
      <c r="T2777" s="1" t="str">
        <f aca="false">IF($S2777="","",IF(COUNTIF($S$2:$S$2991,$S2777)&gt;1,"DUPLICATE","OK"))</f>
        <v/>
      </c>
      <c r="U2777" s="0" t="str">
        <f aca="false">IF($L2777="","",IFERROR(VLOOKUP(--$L2777,MM_Income!$Z$5:$AC$204,3,FALSE()),"UNMAPPED"))</f>
        <v/>
      </c>
    </row>
    <row r="2778" customFormat="false" ht="13.5" hidden="false" customHeight="false" outlineLevel="0" collapsed="false">
      <c r="A2778" s="1" t="str">
        <f aca="false">IF($C2778="","",Controls!$B$7)</f>
        <v/>
      </c>
      <c r="B2778" s="1" t="str">
        <f aca="false">IF($H2778="","",YEAR($H2778)&amp;"-Q"&amp;ROUNDUP(MONTH($H2778)/3,0))</f>
        <v/>
      </c>
      <c r="S2778" s="1" t="str">
        <f aca="false">IF($C2778="","",$C2778&amp;"|"&amp;$E2778&amp;"|"&amp;$F2778&amp;"|"&amp;$L2778&amp;"|"&amp;$P2778&amp;"|"&amp;TEXT($H2778,"yyyy-mm-dd"))</f>
        <v/>
      </c>
      <c r="T2778" s="1" t="str">
        <f aca="false">IF($S2778="","",IF(COUNTIF($S$2:$S$2991,$S2778)&gt;1,"DUPLICATE","OK"))</f>
        <v/>
      </c>
      <c r="U2778" s="0" t="str">
        <f aca="false">IF($L2778="","",IFERROR(VLOOKUP(--$L2778,MM_Income!$Z$5:$AC$204,3,FALSE()),"UNMAPPED"))</f>
        <v/>
      </c>
    </row>
    <row r="2779" customFormat="false" ht="13.5" hidden="false" customHeight="false" outlineLevel="0" collapsed="false">
      <c r="A2779" s="1" t="str">
        <f aca="false">IF($C2779="","",Controls!$B$7)</f>
        <v/>
      </c>
      <c r="B2779" s="1" t="str">
        <f aca="false">IF($H2779="","",YEAR($H2779)&amp;"-Q"&amp;ROUNDUP(MONTH($H2779)/3,0))</f>
        <v/>
      </c>
      <c r="S2779" s="1" t="str">
        <f aca="false">IF($C2779="","",$C2779&amp;"|"&amp;$E2779&amp;"|"&amp;$F2779&amp;"|"&amp;$L2779&amp;"|"&amp;$P2779&amp;"|"&amp;TEXT($H2779,"yyyy-mm-dd"))</f>
        <v/>
      </c>
      <c r="T2779" s="1" t="str">
        <f aca="false">IF($S2779="","",IF(COUNTIF($S$2:$S$2991,$S2779)&gt;1,"DUPLICATE","OK"))</f>
        <v/>
      </c>
      <c r="U2779" s="0" t="str">
        <f aca="false">IF($L2779="","",IFERROR(VLOOKUP(--$L2779,MM_Income!$Z$5:$AC$204,3,FALSE()),"UNMAPPED"))</f>
        <v/>
      </c>
    </row>
    <row r="2780" customFormat="false" ht="13.5" hidden="false" customHeight="false" outlineLevel="0" collapsed="false">
      <c r="A2780" s="1" t="str">
        <f aca="false">IF($C2780="","",Controls!$B$7)</f>
        <v/>
      </c>
      <c r="B2780" s="1" t="str">
        <f aca="false">IF($H2780="","",YEAR($H2780)&amp;"-Q"&amp;ROUNDUP(MONTH($H2780)/3,0))</f>
        <v/>
      </c>
      <c r="S2780" s="1" t="str">
        <f aca="false">IF($C2780="","",$C2780&amp;"|"&amp;$E2780&amp;"|"&amp;$F2780&amp;"|"&amp;$L2780&amp;"|"&amp;$P2780&amp;"|"&amp;TEXT($H2780,"yyyy-mm-dd"))</f>
        <v/>
      </c>
      <c r="T2780" s="1" t="str">
        <f aca="false">IF($S2780="","",IF(COUNTIF($S$2:$S$2991,$S2780)&gt;1,"DUPLICATE","OK"))</f>
        <v/>
      </c>
      <c r="U2780" s="0" t="str">
        <f aca="false">IF($L2780="","",IFERROR(VLOOKUP(--$L2780,MM_Income!$Z$5:$AC$204,3,FALSE()),"UNMAPPED"))</f>
        <v/>
      </c>
    </row>
    <row r="2781" customFormat="false" ht="13.5" hidden="false" customHeight="false" outlineLevel="0" collapsed="false">
      <c r="A2781" s="1" t="str">
        <f aca="false">IF($C2781="","",Controls!$B$7)</f>
        <v/>
      </c>
      <c r="B2781" s="1" t="str">
        <f aca="false">IF($H2781="","",YEAR($H2781)&amp;"-Q"&amp;ROUNDUP(MONTH($H2781)/3,0))</f>
        <v/>
      </c>
      <c r="S2781" s="1" t="str">
        <f aca="false">IF($C2781="","",$C2781&amp;"|"&amp;$E2781&amp;"|"&amp;$F2781&amp;"|"&amp;$L2781&amp;"|"&amp;$P2781&amp;"|"&amp;TEXT($H2781,"yyyy-mm-dd"))</f>
        <v/>
      </c>
      <c r="T2781" s="1" t="str">
        <f aca="false">IF($S2781="","",IF(COUNTIF($S$2:$S$2991,$S2781)&gt;1,"DUPLICATE","OK"))</f>
        <v/>
      </c>
      <c r="U2781" s="0" t="str">
        <f aca="false">IF($L2781="","",IFERROR(VLOOKUP(--$L2781,MM_Income!$Z$5:$AC$204,3,FALSE()),"UNMAPPED"))</f>
        <v/>
      </c>
    </row>
    <row r="2782" customFormat="false" ht="13.5" hidden="false" customHeight="false" outlineLevel="0" collapsed="false">
      <c r="A2782" s="1" t="str">
        <f aca="false">IF($C2782="","",Controls!$B$7)</f>
        <v/>
      </c>
      <c r="B2782" s="1" t="str">
        <f aca="false">IF($H2782="","",YEAR($H2782)&amp;"-Q"&amp;ROUNDUP(MONTH($H2782)/3,0))</f>
        <v/>
      </c>
      <c r="S2782" s="1" t="str">
        <f aca="false">IF($C2782="","",$C2782&amp;"|"&amp;$E2782&amp;"|"&amp;$F2782&amp;"|"&amp;$L2782&amp;"|"&amp;$P2782&amp;"|"&amp;TEXT($H2782,"yyyy-mm-dd"))</f>
        <v/>
      </c>
      <c r="T2782" s="1" t="str">
        <f aca="false">IF($S2782="","",IF(COUNTIF($S$2:$S$2991,$S2782)&gt;1,"DUPLICATE","OK"))</f>
        <v/>
      </c>
      <c r="U2782" s="0" t="str">
        <f aca="false">IF($L2782="","",IFERROR(VLOOKUP(--$L2782,MM_Income!$Z$5:$AC$204,3,FALSE()),"UNMAPPED"))</f>
        <v/>
      </c>
    </row>
    <row r="2783" customFormat="false" ht="13.5" hidden="false" customHeight="false" outlineLevel="0" collapsed="false">
      <c r="A2783" s="1" t="str">
        <f aca="false">IF($C2783="","",Controls!$B$7)</f>
        <v/>
      </c>
      <c r="B2783" s="1" t="str">
        <f aca="false">IF($H2783="","",YEAR($H2783)&amp;"-Q"&amp;ROUNDUP(MONTH($H2783)/3,0))</f>
        <v/>
      </c>
      <c r="S2783" s="1" t="str">
        <f aca="false">IF($C2783="","",$C2783&amp;"|"&amp;$E2783&amp;"|"&amp;$F2783&amp;"|"&amp;$L2783&amp;"|"&amp;$P2783&amp;"|"&amp;TEXT($H2783,"yyyy-mm-dd"))</f>
        <v/>
      </c>
      <c r="T2783" s="1" t="str">
        <f aca="false">IF($S2783="","",IF(COUNTIF($S$2:$S$2991,$S2783)&gt;1,"DUPLICATE","OK"))</f>
        <v/>
      </c>
      <c r="U2783" s="0" t="str">
        <f aca="false">IF($L2783="","",IFERROR(VLOOKUP(--$L2783,MM_Income!$Z$5:$AC$204,3,FALSE()),"UNMAPPED"))</f>
        <v/>
      </c>
    </row>
    <row r="2784" customFormat="false" ht="13.5" hidden="false" customHeight="false" outlineLevel="0" collapsed="false">
      <c r="A2784" s="1" t="str">
        <f aca="false">IF($C2784="","",Controls!$B$7)</f>
        <v/>
      </c>
      <c r="B2784" s="1" t="str">
        <f aca="false">IF($H2784="","",YEAR($H2784)&amp;"-Q"&amp;ROUNDUP(MONTH($H2784)/3,0))</f>
        <v/>
      </c>
      <c r="S2784" s="1" t="str">
        <f aca="false">IF($C2784="","",$C2784&amp;"|"&amp;$E2784&amp;"|"&amp;$F2784&amp;"|"&amp;$L2784&amp;"|"&amp;$P2784&amp;"|"&amp;TEXT($H2784,"yyyy-mm-dd"))</f>
        <v/>
      </c>
      <c r="T2784" s="1" t="str">
        <f aca="false">IF($S2784="","",IF(COUNTIF($S$2:$S$2991,$S2784)&gt;1,"DUPLICATE","OK"))</f>
        <v/>
      </c>
      <c r="U2784" s="0" t="str">
        <f aca="false">IF($L2784="","",IFERROR(VLOOKUP(--$L2784,MM_Income!$Z$5:$AC$204,3,FALSE()),"UNMAPPED"))</f>
        <v/>
      </c>
    </row>
    <row r="2785" customFormat="false" ht="13.5" hidden="false" customHeight="false" outlineLevel="0" collapsed="false">
      <c r="A2785" s="1" t="str">
        <f aca="false">IF($C2785="","",Controls!$B$7)</f>
        <v/>
      </c>
      <c r="B2785" s="1" t="str">
        <f aca="false">IF($H2785="","",YEAR($H2785)&amp;"-Q"&amp;ROUNDUP(MONTH($H2785)/3,0))</f>
        <v/>
      </c>
      <c r="S2785" s="1" t="str">
        <f aca="false">IF($C2785="","",$C2785&amp;"|"&amp;$E2785&amp;"|"&amp;$F2785&amp;"|"&amp;$L2785&amp;"|"&amp;$P2785&amp;"|"&amp;TEXT($H2785,"yyyy-mm-dd"))</f>
        <v/>
      </c>
      <c r="T2785" s="1" t="str">
        <f aca="false">IF($S2785="","",IF(COUNTIF($S$2:$S$2991,$S2785)&gt;1,"DUPLICATE","OK"))</f>
        <v/>
      </c>
      <c r="U2785" s="0" t="str">
        <f aca="false">IF($L2785="","",IFERROR(VLOOKUP(--$L2785,MM_Income!$Z$5:$AC$204,3,FALSE()),"UNMAPPED"))</f>
        <v/>
      </c>
    </row>
    <row r="2786" customFormat="false" ht="13.5" hidden="false" customHeight="false" outlineLevel="0" collapsed="false">
      <c r="A2786" s="1" t="str">
        <f aca="false">IF($C2786="","",Controls!$B$7)</f>
        <v/>
      </c>
      <c r="B2786" s="1" t="str">
        <f aca="false">IF($H2786="","",YEAR($H2786)&amp;"-Q"&amp;ROUNDUP(MONTH($H2786)/3,0))</f>
        <v/>
      </c>
      <c r="S2786" s="1" t="str">
        <f aca="false">IF($C2786="","",$C2786&amp;"|"&amp;$E2786&amp;"|"&amp;$F2786&amp;"|"&amp;$L2786&amp;"|"&amp;$P2786&amp;"|"&amp;TEXT($H2786,"yyyy-mm-dd"))</f>
        <v/>
      </c>
      <c r="T2786" s="1" t="str">
        <f aca="false">IF($S2786="","",IF(COUNTIF($S$2:$S$2991,$S2786)&gt;1,"DUPLICATE","OK"))</f>
        <v/>
      </c>
      <c r="U2786" s="0" t="str">
        <f aca="false">IF($L2786="","",IFERROR(VLOOKUP(--$L2786,MM_Income!$Z$5:$AC$204,3,FALSE()),"UNMAPPED"))</f>
        <v/>
      </c>
    </row>
    <row r="2787" customFormat="false" ht="13.5" hidden="false" customHeight="false" outlineLevel="0" collapsed="false">
      <c r="A2787" s="1" t="str">
        <f aca="false">IF($C2787="","",Controls!$B$7)</f>
        <v/>
      </c>
      <c r="B2787" s="1" t="str">
        <f aca="false">IF($H2787="","",YEAR($H2787)&amp;"-Q"&amp;ROUNDUP(MONTH($H2787)/3,0))</f>
        <v/>
      </c>
      <c r="S2787" s="1" t="str">
        <f aca="false">IF($C2787="","",$C2787&amp;"|"&amp;$E2787&amp;"|"&amp;$F2787&amp;"|"&amp;$L2787&amp;"|"&amp;$P2787&amp;"|"&amp;TEXT($H2787,"yyyy-mm-dd"))</f>
        <v/>
      </c>
      <c r="T2787" s="1" t="str">
        <f aca="false">IF($S2787="","",IF(COUNTIF($S$2:$S$2991,$S2787)&gt;1,"DUPLICATE","OK"))</f>
        <v/>
      </c>
      <c r="U2787" s="0" t="str">
        <f aca="false">IF($L2787="","",IFERROR(VLOOKUP(--$L2787,MM_Income!$Z$5:$AC$204,3,FALSE()),"UNMAPPED"))</f>
        <v/>
      </c>
    </row>
    <row r="2788" customFormat="false" ht="13.5" hidden="false" customHeight="false" outlineLevel="0" collapsed="false">
      <c r="A2788" s="1" t="str">
        <f aca="false">IF($C2788="","",Controls!$B$7)</f>
        <v/>
      </c>
      <c r="B2788" s="1" t="str">
        <f aca="false">IF($H2788="","",YEAR($H2788)&amp;"-Q"&amp;ROUNDUP(MONTH($H2788)/3,0))</f>
        <v/>
      </c>
      <c r="S2788" s="1" t="str">
        <f aca="false">IF($C2788="","",$C2788&amp;"|"&amp;$E2788&amp;"|"&amp;$F2788&amp;"|"&amp;$L2788&amp;"|"&amp;$P2788&amp;"|"&amp;TEXT($H2788,"yyyy-mm-dd"))</f>
        <v/>
      </c>
      <c r="T2788" s="1" t="str">
        <f aca="false">IF($S2788="","",IF(COUNTIF($S$2:$S$2991,$S2788)&gt;1,"DUPLICATE","OK"))</f>
        <v/>
      </c>
      <c r="U2788" s="0" t="str">
        <f aca="false">IF($L2788="","",IFERROR(VLOOKUP(--$L2788,MM_Income!$Z$5:$AC$204,3,FALSE()),"UNMAPPED"))</f>
        <v/>
      </c>
    </row>
    <row r="2789" customFormat="false" ht="13.5" hidden="false" customHeight="false" outlineLevel="0" collapsed="false">
      <c r="A2789" s="1" t="str">
        <f aca="false">IF($C2789="","",Controls!$B$7)</f>
        <v/>
      </c>
      <c r="B2789" s="1" t="str">
        <f aca="false">IF($H2789="","",YEAR($H2789)&amp;"-Q"&amp;ROUNDUP(MONTH($H2789)/3,0))</f>
        <v/>
      </c>
      <c r="S2789" s="1" t="str">
        <f aca="false">IF($C2789="","",$C2789&amp;"|"&amp;$E2789&amp;"|"&amp;$F2789&amp;"|"&amp;$L2789&amp;"|"&amp;$P2789&amp;"|"&amp;TEXT($H2789,"yyyy-mm-dd"))</f>
        <v/>
      </c>
      <c r="T2789" s="1" t="str">
        <f aca="false">IF($S2789="","",IF(COUNTIF($S$2:$S$2991,$S2789)&gt;1,"DUPLICATE","OK"))</f>
        <v/>
      </c>
      <c r="U2789" s="0" t="str">
        <f aca="false">IF($L2789="","",IFERROR(VLOOKUP(--$L2789,MM_Income!$Z$5:$AC$204,3,FALSE()),"UNMAPPED"))</f>
        <v/>
      </c>
    </row>
    <row r="2790" customFormat="false" ht="13.5" hidden="false" customHeight="false" outlineLevel="0" collapsed="false">
      <c r="A2790" s="1" t="str">
        <f aca="false">IF($C2790="","",Controls!$B$7)</f>
        <v/>
      </c>
      <c r="B2790" s="1" t="str">
        <f aca="false">IF($H2790="","",YEAR($H2790)&amp;"-Q"&amp;ROUNDUP(MONTH($H2790)/3,0))</f>
        <v/>
      </c>
      <c r="S2790" s="1" t="str">
        <f aca="false">IF($C2790="","",$C2790&amp;"|"&amp;$E2790&amp;"|"&amp;$F2790&amp;"|"&amp;$L2790&amp;"|"&amp;$P2790&amp;"|"&amp;TEXT($H2790,"yyyy-mm-dd"))</f>
        <v/>
      </c>
      <c r="T2790" s="1" t="str">
        <f aca="false">IF($S2790="","",IF(COUNTIF($S$2:$S$2991,$S2790)&gt;1,"DUPLICATE","OK"))</f>
        <v/>
      </c>
      <c r="U2790" s="0" t="str">
        <f aca="false">IF($L2790="","",IFERROR(VLOOKUP(--$L2790,MM_Income!$Z$5:$AC$204,3,FALSE()),"UNMAPPED"))</f>
        <v/>
      </c>
    </row>
    <row r="2791" customFormat="false" ht="13.5" hidden="false" customHeight="false" outlineLevel="0" collapsed="false">
      <c r="A2791" s="1" t="str">
        <f aca="false">IF($C2791="","",Controls!$B$7)</f>
        <v/>
      </c>
      <c r="B2791" s="1" t="str">
        <f aca="false">IF($H2791="","",YEAR($H2791)&amp;"-Q"&amp;ROUNDUP(MONTH($H2791)/3,0))</f>
        <v/>
      </c>
      <c r="S2791" s="1" t="str">
        <f aca="false">IF($C2791="","",$C2791&amp;"|"&amp;$E2791&amp;"|"&amp;$F2791&amp;"|"&amp;$L2791&amp;"|"&amp;$P2791&amp;"|"&amp;TEXT($H2791,"yyyy-mm-dd"))</f>
        <v/>
      </c>
      <c r="T2791" s="1" t="str">
        <f aca="false">IF($S2791="","",IF(COUNTIF($S$2:$S$2991,$S2791)&gt;1,"DUPLICATE","OK"))</f>
        <v/>
      </c>
      <c r="U2791" s="0" t="str">
        <f aca="false">IF($L2791="","",IFERROR(VLOOKUP(--$L2791,MM_Income!$Z$5:$AC$204,3,FALSE()),"UNMAPPED"))</f>
        <v/>
      </c>
    </row>
    <row r="2792" customFormat="false" ht="13.5" hidden="false" customHeight="false" outlineLevel="0" collapsed="false">
      <c r="A2792" s="1" t="str">
        <f aca="false">IF($C2792="","",Controls!$B$7)</f>
        <v/>
      </c>
      <c r="B2792" s="1" t="str">
        <f aca="false">IF($H2792="","",YEAR($H2792)&amp;"-Q"&amp;ROUNDUP(MONTH($H2792)/3,0))</f>
        <v/>
      </c>
      <c r="S2792" s="1" t="str">
        <f aca="false">IF($C2792="","",$C2792&amp;"|"&amp;$E2792&amp;"|"&amp;$F2792&amp;"|"&amp;$L2792&amp;"|"&amp;$P2792&amp;"|"&amp;TEXT($H2792,"yyyy-mm-dd"))</f>
        <v/>
      </c>
      <c r="T2792" s="1" t="str">
        <f aca="false">IF($S2792="","",IF(COUNTIF($S$2:$S$2991,$S2792)&gt;1,"DUPLICATE","OK"))</f>
        <v/>
      </c>
      <c r="U2792" s="0" t="str">
        <f aca="false">IF($L2792="","",IFERROR(VLOOKUP(--$L2792,MM_Income!$Z$5:$AC$204,3,FALSE()),"UNMAPPED"))</f>
        <v/>
      </c>
    </row>
    <row r="2793" customFormat="false" ht="13.5" hidden="false" customHeight="false" outlineLevel="0" collapsed="false">
      <c r="A2793" s="1" t="str">
        <f aca="false">IF($C2793="","",Controls!$B$7)</f>
        <v/>
      </c>
      <c r="B2793" s="1" t="str">
        <f aca="false">IF($H2793="","",YEAR($H2793)&amp;"-Q"&amp;ROUNDUP(MONTH($H2793)/3,0))</f>
        <v/>
      </c>
      <c r="S2793" s="1" t="str">
        <f aca="false">IF($C2793="","",$C2793&amp;"|"&amp;$E2793&amp;"|"&amp;$F2793&amp;"|"&amp;$L2793&amp;"|"&amp;$P2793&amp;"|"&amp;TEXT($H2793,"yyyy-mm-dd"))</f>
        <v/>
      </c>
      <c r="T2793" s="1" t="str">
        <f aca="false">IF($S2793="","",IF(COUNTIF($S$2:$S$2991,$S2793)&gt;1,"DUPLICATE","OK"))</f>
        <v/>
      </c>
      <c r="U2793" s="0" t="str">
        <f aca="false">IF($L2793="","",IFERROR(VLOOKUP(--$L2793,MM_Income!$Z$5:$AC$204,3,FALSE()),"UNMAPPED"))</f>
        <v/>
      </c>
    </row>
    <row r="2794" customFormat="false" ht="13.5" hidden="false" customHeight="false" outlineLevel="0" collapsed="false">
      <c r="A2794" s="1" t="str">
        <f aca="false">IF($C2794="","",Controls!$B$7)</f>
        <v/>
      </c>
      <c r="B2794" s="1" t="str">
        <f aca="false">IF($H2794="","",YEAR($H2794)&amp;"-Q"&amp;ROUNDUP(MONTH($H2794)/3,0))</f>
        <v/>
      </c>
      <c r="S2794" s="1" t="str">
        <f aca="false">IF($C2794="","",$C2794&amp;"|"&amp;$E2794&amp;"|"&amp;$F2794&amp;"|"&amp;$L2794&amp;"|"&amp;$P2794&amp;"|"&amp;TEXT($H2794,"yyyy-mm-dd"))</f>
        <v/>
      </c>
      <c r="T2794" s="1" t="str">
        <f aca="false">IF($S2794="","",IF(COUNTIF($S$2:$S$2991,$S2794)&gt;1,"DUPLICATE","OK"))</f>
        <v/>
      </c>
      <c r="U2794" s="0" t="str">
        <f aca="false">IF($L2794="","",IFERROR(VLOOKUP(--$L2794,MM_Income!$Z$5:$AC$204,3,FALSE()),"UNMAPPED"))</f>
        <v/>
      </c>
    </row>
    <row r="2795" customFormat="false" ht="13.5" hidden="false" customHeight="false" outlineLevel="0" collapsed="false">
      <c r="A2795" s="1" t="str">
        <f aca="false">IF($C2795="","",Controls!$B$7)</f>
        <v/>
      </c>
      <c r="B2795" s="1" t="str">
        <f aca="false">IF($H2795="","",YEAR($H2795)&amp;"-Q"&amp;ROUNDUP(MONTH($H2795)/3,0))</f>
        <v/>
      </c>
      <c r="S2795" s="1" t="str">
        <f aca="false">IF($C2795="","",$C2795&amp;"|"&amp;$E2795&amp;"|"&amp;$F2795&amp;"|"&amp;$L2795&amp;"|"&amp;$P2795&amp;"|"&amp;TEXT($H2795,"yyyy-mm-dd"))</f>
        <v/>
      </c>
      <c r="T2795" s="1" t="str">
        <f aca="false">IF($S2795="","",IF(COUNTIF($S$2:$S$2991,$S2795)&gt;1,"DUPLICATE","OK"))</f>
        <v/>
      </c>
      <c r="U2795" s="0" t="str">
        <f aca="false">IF($L2795="","",IFERROR(VLOOKUP(--$L2795,MM_Income!$Z$5:$AC$204,3,FALSE()),"UNMAPPED"))</f>
        <v/>
      </c>
    </row>
    <row r="2796" customFormat="false" ht="13.5" hidden="false" customHeight="false" outlineLevel="0" collapsed="false">
      <c r="A2796" s="1" t="str">
        <f aca="false">IF($C2796="","",Controls!$B$7)</f>
        <v/>
      </c>
      <c r="B2796" s="1" t="str">
        <f aca="false">IF($H2796="","",YEAR($H2796)&amp;"-Q"&amp;ROUNDUP(MONTH($H2796)/3,0))</f>
        <v/>
      </c>
      <c r="S2796" s="1" t="str">
        <f aca="false">IF($C2796="","",$C2796&amp;"|"&amp;$E2796&amp;"|"&amp;$F2796&amp;"|"&amp;$L2796&amp;"|"&amp;$P2796&amp;"|"&amp;TEXT($H2796,"yyyy-mm-dd"))</f>
        <v/>
      </c>
      <c r="T2796" s="1" t="str">
        <f aca="false">IF($S2796="","",IF(COUNTIF($S$2:$S$2991,$S2796)&gt;1,"DUPLICATE","OK"))</f>
        <v/>
      </c>
      <c r="U2796" s="0" t="str">
        <f aca="false">IF($L2796="","",IFERROR(VLOOKUP(--$L2796,MM_Income!$Z$5:$AC$204,3,FALSE()),"UNMAPPED"))</f>
        <v/>
      </c>
    </row>
    <row r="2797" customFormat="false" ht="13.5" hidden="false" customHeight="false" outlineLevel="0" collapsed="false">
      <c r="A2797" s="1" t="str">
        <f aca="false">IF($C2797="","",Controls!$B$7)</f>
        <v/>
      </c>
      <c r="B2797" s="1" t="str">
        <f aca="false">IF($H2797="","",YEAR($H2797)&amp;"-Q"&amp;ROUNDUP(MONTH($H2797)/3,0))</f>
        <v/>
      </c>
      <c r="S2797" s="1" t="str">
        <f aca="false">IF($C2797="","",$C2797&amp;"|"&amp;$E2797&amp;"|"&amp;$F2797&amp;"|"&amp;$L2797&amp;"|"&amp;$P2797&amp;"|"&amp;TEXT($H2797,"yyyy-mm-dd"))</f>
        <v/>
      </c>
      <c r="T2797" s="1" t="str">
        <f aca="false">IF($S2797="","",IF(COUNTIF($S$2:$S$2991,$S2797)&gt;1,"DUPLICATE","OK"))</f>
        <v/>
      </c>
      <c r="U2797" s="0" t="str">
        <f aca="false">IF($L2797="","",IFERROR(VLOOKUP(--$L2797,MM_Income!$Z$5:$AC$204,3,FALSE()),"UNMAPPED"))</f>
        <v/>
      </c>
    </row>
    <row r="2798" customFormat="false" ht="13.5" hidden="false" customHeight="false" outlineLevel="0" collapsed="false">
      <c r="A2798" s="1" t="str">
        <f aca="false">IF($C2798="","",Controls!$B$7)</f>
        <v/>
      </c>
      <c r="B2798" s="1" t="str">
        <f aca="false">IF($H2798="","",YEAR($H2798)&amp;"-Q"&amp;ROUNDUP(MONTH($H2798)/3,0))</f>
        <v/>
      </c>
      <c r="S2798" s="1" t="str">
        <f aca="false">IF($C2798="","",$C2798&amp;"|"&amp;$E2798&amp;"|"&amp;$F2798&amp;"|"&amp;$L2798&amp;"|"&amp;$P2798&amp;"|"&amp;TEXT($H2798,"yyyy-mm-dd"))</f>
        <v/>
      </c>
      <c r="T2798" s="1" t="str">
        <f aca="false">IF($S2798="","",IF(COUNTIF($S$2:$S$2991,$S2798)&gt;1,"DUPLICATE","OK"))</f>
        <v/>
      </c>
      <c r="U2798" s="0" t="str">
        <f aca="false">IF($L2798="","",IFERROR(VLOOKUP(--$L2798,MM_Income!$Z$5:$AC$204,3,FALSE()),"UNMAPPED"))</f>
        <v/>
      </c>
    </row>
    <row r="2799" customFormat="false" ht="13.5" hidden="false" customHeight="false" outlineLevel="0" collapsed="false">
      <c r="A2799" s="1" t="str">
        <f aca="false">IF($C2799="","",Controls!$B$7)</f>
        <v/>
      </c>
      <c r="B2799" s="1" t="str">
        <f aca="false">IF($H2799="","",YEAR($H2799)&amp;"-Q"&amp;ROUNDUP(MONTH($H2799)/3,0))</f>
        <v/>
      </c>
      <c r="S2799" s="1" t="str">
        <f aca="false">IF($C2799="","",$C2799&amp;"|"&amp;$E2799&amp;"|"&amp;$F2799&amp;"|"&amp;$L2799&amp;"|"&amp;$P2799&amp;"|"&amp;TEXT($H2799,"yyyy-mm-dd"))</f>
        <v/>
      </c>
      <c r="T2799" s="1" t="str">
        <f aca="false">IF($S2799="","",IF(COUNTIF($S$2:$S$2991,$S2799)&gt;1,"DUPLICATE","OK"))</f>
        <v/>
      </c>
      <c r="U2799" s="0" t="str">
        <f aca="false">IF($L2799="","",IFERROR(VLOOKUP(--$L2799,MM_Income!$Z$5:$AC$204,3,FALSE()),"UNMAPPED"))</f>
        <v/>
      </c>
    </row>
    <row r="2800" customFormat="false" ht="13.5" hidden="false" customHeight="false" outlineLevel="0" collapsed="false">
      <c r="A2800" s="1" t="str">
        <f aca="false">IF($C2800="","",Controls!$B$7)</f>
        <v/>
      </c>
      <c r="B2800" s="1" t="str">
        <f aca="false">IF($H2800="","",YEAR($H2800)&amp;"-Q"&amp;ROUNDUP(MONTH($H2800)/3,0))</f>
        <v/>
      </c>
      <c r="S2800" s="1" t="str">
        <f aca="false">IF($C2800="","",$C2800&amp;"|"&amp;$E2800&amp;"|"&amp;$F2800&amp;"|"&amp;$L2800&amp;"|"&amp;$P2800&amp;"|"&amp;TEXT($H2800,"yyyy-mm-dd"))</f>
        <v/>
      </c>
      <c r="T2800" s="1" t="str">
        <f aca="false">IF($S2800="","",IF(COUNTIF($S$2:$S$2991,$S2800)&gt;1,"DUPLICATE","OK"))</f>
        <v/>
      </c>
      <c r="U2800" s="0" t="str">
        <f aca="false">IF($L2800="","",IFERROR(VLOOKUP(--$L2800,MM_Income!$Z$5:$AC$204,3,FALSE()),"UNMAPPED"))</f>
        <v/>
      </c>
    </row>
    <row r="2801" customFormat="false" ht="13.5" hidden="false" customHeight="false" outlineLevel="0" collapsed="false">
      <c r="A2801" s="1" t="str">
        <f aca="false">IF($C2801="","",Controls!$B$7)</f>
        <v/>
      </c>
      <c r="B2801" s="1" t="str">
        <f aca="false">IF($H2801="","",YEAR($H2801)&amp;"-Q"&amp;ROUNDUP(MONTH($H2801)/3,0))</f>
        <v/>
      </c>
      <c r="S2801" s="1" t="str">
        <f aca="false">IF($C2801="","",$C2801&amp;"|"&amp;$E2801&amp;"|"&amp;$F2801&amp;"|"&amp;$L2801&amp;"|"&amp;$P2801&amp;"|"&amp;TEXT($H2801,"yyyy-mm-dd"))</f>
        <v/>
      </c>
      <c r="T2801" s="1" t="str">
        <f aca="false">IF($S2801="","",IF(COUNTIF($S$2:$S$2991,$S2801)&gt;1,"DUPLICATE","OK"))</f>
        <v/>
      </c>
      <c r="U2801" s="0" t="str">
        <f aca="false">IF($L2801="","",IFERROR(VLOOKUP(--$L2801,MM_Income!$Z$5:$AC$204,3,FALSE()),"UNMAPPED"))</f>
        <v/>
      </c>
    </row>
    <row r="2802" customFormat="false" ht="13.5" hidden="false" customHeight="false" outlineLevel="0" collapsed="false">
      <c r="A2802" s="1" t="str">
        <f aca="false">IF($C2802="","",Controls!$B$7)</f>
        <v/>
      </c>
      <c r="B2802" s="1" t="str">
        <f aca="false">IF($H2802="","",YEAR($H2802)&amp;"-Q"&amp;ROUNDUP(MONTH($H2802)/3,0))</f>
        <v/>
      </c>
      <c r="S2802" s="1" t="str">
        <f aca="false">IF($C2802="","",$C2802&amp;"|"&amp;$E2802&amp;"|"&amp;$F2802&amp;"|"&amp;$L2802&amp;"|"&amp;$P2802&amp;"|"&amp;TEXT($H2802,"yyyy-mm-dd"))</f>
        <v/>
      </c>
      <c r="T2802" s="1" t="str">
        <f aca="false">IF($S2802="","",IF(COUNTIF($S$2:$S$2991,$S2802)&gt;1,"DUPLICATE","OK"))</f>
        <v/>
      </c>
      <c r="U2802" s="0" t="str">
        <f aca="false">IF($L2802="","",IFERROR(VLOOKUP(--$L2802,MM_Income!$Z$5:$AC$204,3,FALSE()),"UNMAPPED"))</f>
        <v/>
      </c>
    </row>
    <row r="2803" customFormat="false" ht="13.5" hidden="false" customHeight="false" outlineLevel="0" collapsed="false">
      <c r="A2803" s="1" t="str">
        <f aca="false">IF($C2803="","",Controls!$B$7)</f>
        <v/>
      </c>
      <c r="B2803" s="1" t="str">
        <f aca="false">IF($H2803="","",YEAR($H2803)&amp;"-Q"&amp;ROUNDUP(MONTH($H2803)/3,0))</f>
        <v/>
      </c>
      <c r="S2803" s="1" t="str">
        <f aca="false">IF($C2803="","",$C2803&amp;"|"&amp;$E2803&amp;"|"&amp;$F2803&amp;"|"&amp;$L2803&amp;"|"&amp;$P2803&amp;"|"&amp;TEXT($H2803,"yyyy-mm-dd"))</f>
        <v/>
      </c>
      <c r="T2803" s="1" t="str">
        <f aca="false">IF($S2803="","",IF(COUNTIF($S$2:$S$2991,$S2803)&gt;1,"DUPLICATE","OK"))</f>
        <v/>
      </c>
      <c r="U2803" s="0" t="str">
        <f aca="false">IF($L2803="","",IFERROR(VLOOKUP(--$L2803,MM_Income!$Z$5:$AC$204,3,FALSE()),"UNMAPPED"))</f>
        <v/>
      </c>
    </row>
    <row r="2804" customFormat="false" ht="13.5" hidden="false" customHeight="false" outlineLevel="0" collapsed="false">
      <c r="A2804" s="1" t="str">
        <f aca="false">IF($C2804="","",Controls!$B$7)</f>
        <v/>
      </c>
      <c r="B2804" s="1" t="str">
        <f aca="false">IF($H2804="","",YEAR($H2804)&amp;"-Q"&amp;ROUNDUP(MONTH($H2804)/3,0))</f>
        <v/>
      </c>
      <c r="S2804" s="1" t="str">
        <f aca="false">IF($C2804="","",$C2804&amp;"|"&amp;$E2804&amp;"|"&amp;$F2804&amp;"|"&amp;$L2804&amp;"|"&amp;$P2804&amp;"|"&amp;TEXT($H2804,"yyyy-mm-dd"))</f>
        <v/>
      </c>
      <c r="T2804" s="1" t="str">
        <f aca="false">IF($S2804="","",IF(COUNTIF($S$2:$S$2991,$S2804)&gt;1,"DUPLICATE","OK"))</f>
        <v/>
      </c>
      <c r="U2804" s="0" t="str">
        <f aca="false">IF($L2804="","",IFERROR(VLOOKUP(--$L2804,MM_Income!$Z$5:$AC$204,3,FALSE()),"UNMAPPED"))</f>
        <v/>
      </c>
    </row>
    <row r="2805" customFormat="false" ht="13.5" hidden="false" customHeight="false" outlineLevel="0" collapsed="false">
      <c r="A2805" s="1" t="str">
        <f aca="false">IF($C2805="","",Controls!$B$7)</f>
        <v/>
      </c>
      <c r="B2805" s="1" t="str">
        <f aca="false">IF($H2805="","",YEAR($H2805)&amp;"-Q"&amp;ROUNDUP(MONTH($H2805)/3,0))</f>
        <v/>
      </c>
      <c r="S2805" s="1" t="str">
        <f aca="false">IF($C2805="","",$C2805&amp;"|"&amp;$E2805&amp;"|"&amp;$F2805&amp;"|"&amp;$L2805&amp;"|"&amp;$P2805&amp;"|"&amp;TEXT($H2805,"yyyy-mm-dd"))</f>
        <v/>
      </c>
      <c r="T2805" s="1" t="str">
        <f aca="false">IF($S2805="","",IF(COUNTIF($S$2:$S$2991,$S2805)&gt;1,"DUPLICATE","OK"))</f>
        <v/>
      </c>
      <c r="U2805" s="0" t="str">
        <f aca="false">IF($L2805="","",IFERROR(VLOOKUP(--$L2805,MM_Income!$Z$5:$AC$204,3,FALSE()),"UNMAPPED"))</f>
        <v/>
      </c>
    </row>
    <row r="2806" customFormat="false" ht="13.5" hidden="false" customHeight="false" outlineLevel="0" collapsed="false">
      <c r="A2806" s="1" t="str">
        <f aca="false">IF($C2806="","",Controls!$B$7)</f>
        <v/>
      </c>
      <c r="B2806" s="1" t="str">
        <f aca="false">IF($H2806="","",YEAR($H2806)&amp;"-Q"&amp;ROUNDUP(MONTH($H2806)/3,0))</f>
        <v/>
      </c>
      <c r="S2806" s="1" t="str">
        <f aca="false">IF($C2806="","",$C2806&amp;"|"&amp;$E2806&amp;"|"&amp;$F2806&amp;"|"&amp;$L2806&amp;"|"&amp;$P2806&amp;"|"&amp;TEXT($H2806,"yyyy-mm-dd"))</f>
        <v/>
      </c>
      <c r="T2806" s="1" t="str">
        <f aca="false">IF($S2806="","",IF(COUNTIF($S$2:$S$2991,$S2806)&gt;1,"DUPLICATE","OK"))</f>
        <v/>
      </c>
      <c r="U2806" s="0" t="str">
        <f aca="false">IF($L2806="","",IFERROR(VLOOKUP(--$L2806,MM_Income!$Z$5:$AC$204,3,FALSE()),"UNMAPPED"))</f>
        <v/>
      </c>
    </row>
    <row r="2807" customFormat="false" ht="13.5" hidden="false" customHeight="false" outlineLevel="0" collapsed="false">
      <c r="A2807" s="1" t="str">
        <f aca="false">IF($C2807="","",Controls!$B$7)</f>
        <v/>
      </c>
      <c r="B2807" s="1" t="str">
        <f aca="false">IF($H2807="","",YEAR($H2807)&amp;"-Q"&amp;ROUNDUP(MONTH($H2807)/3,0))</f>
        <v/>
      </c>
      <c r="S2807" s="1" t="str">
        <f aca="false">IF($C2807="","",$C2807&amp;"|"&amp;$E2807&amp;"|"&amp;$F2807&amp;"|"&amp;$L2807&amp;"|"&amp;$P2807&amp;"|"&amp;TEXT($H2807,"yyyy-mm-dd"))</f>
        <v/>
      </c>
      <c r="T2807" s="1" t="str">
        <f aca="false">IF($S2807="","",IF(COUNTIF($S$2:$S$2991,$S2807)&gt;1,"DUPLICATE","OK"))</f>
        <v/>
      </c>
      <c r="U2807" s="0" t="str">
        <f aca="false">IF($L2807="","",IFERROR(VLOOKUP(--$L2807,MM_Income!$Z$5:$AC$204,3,FALSE()),"UNMAPPED"))</f>
        <v/>
      </c>
    </row>
    <row r="2808" customFormat="false" ht="13.5" hidden="false" customHeight="false" outlineLevel="0" collapsed="false">
      <c r="A2808" s="1" t="str">
        <f aca="false">IF($C2808="","",Controls!$B$7)</f>
        <v/>
      </c>
      <c r="B2808" s="1" t="str">
        <f aca="false">IF($H2808="","",YEAR($H2808)&amp;"-Q"&amp;ROUNDUP(MONTH($H2808)/3,0))</f>
        <v/>
      </c>
      <c r="S2808" s="1" t="str">
        <f aca="false">IF($C2808="","",$C2808&amp;"|"&amp;$E2808&amp;"|"&amp;$F2808&amp;"|"&amp;$L2808&amp;"|"&amp;$P2808&amp;"|"&amp;TEXT($H2808,"yyyy-mm-dd"))</f>
        <v/>
      </c>
      <c r="T2808" s="1" t="str">
        <f aca="false">IF($S2808="","",IF(COUNTIF($S$2:$S$2991,$S2808)&gt;1,"DUPLICATE","OK"))</f>
        <v/>
      </c>
      <c r="U2808" s="0" t="str">
        <f aca="false">IF($L2808="","",IFERROR(VLOOKUP(--$L2808,MM_Income!$Z$5:$AC$204,3,FALSE()),"UNMAPPED"))</f>
        <v/>
      </c>
    </row>
    <row r="2809" customFormat="false" ht="13.5" hidden="false" customHeight="false" outlineLevel="0" collapsed="false">
      <c r="A2809" s="1" t="str">
        <f aca="false">IF($C2809="","",Controls!$B$7)</f>
        <v/>
      </c>
      <c r="B2809" s="1" t="str">
        <f aca="false">IF($H2809="","",YEAR($H2809)&amp;"-Q"&amp;ROUNDUP(MONTH($H2809)/3,0))</f>
        <v/>
      </c>
      <c r="S2809" s="1" t="str">
        <f aca="false">IF($C2809="","",$C2809&amp;"|"&amp;$E2809&amp;"|"&amp;$F2809&amp;"|"&amp;$L2809&amp;"|"&amp;$P2809&amp;"|"&amp;TEXT($H2809,"yyyy-mm-dd"))</f>
        <v/>
      </c>
      <c r="T2809" s="1" t="str">
        <f aca="false">IF($S2809="","",IF(COUNTIF($S$2:$S$2991,$S2809)&gt;1,"DUPLICATE","OK"))</f>
        <v/>
      </c>
      <c r="U2809" s="0" t="str">
        <f aca="false">IF($L2809="","",IFERROR(VLOOKUP(--$L2809,MM_Income!$Z$5:$AC$204,3,FALSE()),"UNMAPPED"))</f>
        <v/>
      </c>
    </row>
    <row r="2810" customFormat="false" ht="13.5" hidden="false" customHeight="false" outlineLevel="0" collapsed="false">
      <c r="A2810" s="1" t="str">
        <f aca="false">IF($C2810="","",Controls!$B$7)</f>
        <v/>
      </c>
      <c r="B2810" s="1" t="str">
        <f aca="false">IF($H2810="","",YEAR($H2810)&amp;"-Q"&amp;ROUNDUP(MONTH($H2810)/3,0))</f>
        <v/>
      </c>
      <c r="S2810" s="1" t="str">
        <f aca="false">IF($C2810="","",$C2810&amp;"|"&amp;$E2810&amp;"|"&amp;$F2810&amp;"|"&amp;$L2810&amp;"|"&amp;$P2810&amp;"|"&amp;TEXT($H2810,"yyyy-mm-dd"))</f>
        <v/>
      </c>
      <c r="T2810" s="1" t="str">
        <f aca="false">IF($S2810="","",IF(COUNTIF($S$2:$S$2991,$S2810)&gt;1,"DUPLICATE","OK"))</f>
        <v/>
      </c>
      <c r="U2810" s="0" t="str">
        <f aca="false">IF($L2810="","",IFERROR(VLOOKUP(--$L2810,MM_Income!$Z$5:$AC$204,3,FALSE()),"UNMAPPED"))</f>
        <v/>
      </c>
    </row>
    <row r="2811" customFormat="false" ht="13.5" hidden="false" customHeight="false" outlineLevel="0" collapsed="false">
      <c r="A2811" s="1" t="str">
        <f aca="false">IF($C2811="","",Controls!$B$7)</f>
        <v/>
      </c>
      <c r="B2811" s="1" t="str">
        <f aca="false">IF($H2811="","",YEAR($H2811)&amp;"-Q"&amp;ROUNDUP(MONTH($H2811)/3,0))</f>
        <v/>
      </c>
      <c r="S2811" s="1" t="str">
        <f aca="false">IF($C2811="","",$C2811&amp;"|"&amp;$E2811&amp;"|"&amp;$F2811&amp;"|"&amp;$L2811&amp;"|"&amp;$P2811&amp;"|"&amp;TEXT($H2811,"yyyy-mm-dd"))</f>
        <v/>
      </c>
      <c r="T2811" s="1" t="str">
        <f aca="false">IF($S2811="","",IF(COUNTIF($S$2:$S$2991,$S2811)&gt;1,"DUPLICATE","OK"))</f>
        <v/>
      </c>
      <c r="U2811" s="0" t="str">
        <f aca="false">IF($L2811="","",IFERROR(VLOOKUP(--$L2811,MM_Income!$Z$5:$AC$204,3,FALSE()),"UNMAPPED"))</f>
        <v/>
      </c>
    </row>
    <row r="2812" customFormat="false" ht="13.5" hidden="false" customHeight="false" outlineLevel="0" collapsed="false">
      <c r="A2812" s="1" t="str">
        <f aca="false">IF($C2812="","",Controls!$B$7)</f>
        <v/>
      </c>
      <c r="B2812" s="1" t="str">
        <f aca="false">IF($H2812="","",YEAR($H2812)&amp;"-Q"&amp;ROUNDUP(MONTH($H2812)/3,0))</f>
        <v/>
      </c>
      <c r="S2812" s="1" t="str">
        <f aca="false">IF($C2812="","",$C2812&amp;"|"&amp;$E2812&amp;"|"&amp;$F2812&amp;"|"&amp;$L2812&amp;"|"&amp;$P2812&amp;"|"&amp;TEXT($H2812,"yyyy-mm-dd"))</f>
        <v/>
      </c>
      <c r="T2812" s="1" t="str">
        <f aca="false">IF($S2812="","",IF(COUNTIF($S$2:$S$2991,$S2812)&gt;1,"DUPLICATE","OK"))</f>
        <v/>
      </c>
      <c r="U2812" s="0" t="str">
        <f aca="false">IF($L2812="","",IFERROR(VLOOKUP(--$L2812,MM_Income!$Z$5:$AC$204,3,FALSE()),"UNMAPPED"))</f>
        <v/>
      </c>
    </row>
    <row r="2813" customFormat="false" ht="13.5" hidden="false" customHeight="false" outlineLevel="0" collapsed="false">
      <c r="A2813" s="1" t="str">
        <f aca="false">IF($C2813="","",Controls!$B$7)</f>
        <v/>
      </c>
      <c r="B2813" s="1" t="str">
        <f aca="false">IF($H2813="","",YEAR($H2813)&amp;"-Q"&amp;ROUNDUP(MONTH($H2813)/3,0))</f>
        <v/>
      </c>
      <c r="S2813" s="1" t="str">
        <f aca="false">IF($C2813="","",$C2813&amp;"|"&amp;$E2813&amp;"|"&amp;$F2813&amp;"|"&amp;$L2813&amp;"|"&amp;$P2813&amp;"|"&amp;TEXT($H2813,"yyyy-mm-dd"))</f>
        <v/>
      </c>
      <c r="T2813" s="1" t="str">
        <f aca="false">IF($S2813="","",IF(COUNTIF($S$2:$S$2991,$S2813)&gt;1,"DUPLICATE","OK"))</f>
        <v/>
      </c>
      <c r="U2813" s="0" t="str">
        <f aca="false">IF($L2813="","",IFERROR(VLOOKUP(--$L2813,MM_Income!$Z$5:$AC$204,3,FALSE()),"UNMAPPED"))</f>
        <v/>
      </c>
    </row>
    <row r="2814" customFormat="false" ht="13.5" hidden="false" customHeight="false" outlineLevel="0" collapsed="false">
      <c r="A2814" s="1" t="str">
        <f aca="false">IF($C2814="","",Controls!$B$7)</f>
        <v/>
      </c>
      <c r="B2814" s="1" t="str">
        <f aca="false">IF($H2814="","",YEAR($H2814)&amp;"-Q"&amp;ROUNDUP(MONTH($H2814)/3,0))</f>
        <v/>
      </c>
      <c r="S2814" s="1" t="str">
        <f aca="false">IF($C2814="","",$C2814&amp;"|"&amp;$E2814&amp;"|"&amp;$F2814&amp;"|"&amp;$L2814&amp;"|"&amp;$P2814&amp;"|"&amp;TEXT($H2814,"yyyy-mm-dd"))</f>
        <v/>
      </c>
      <c r="T2814" s="1" t="str">
        <f aca="false">IF($S2814="","",IF(COUNTIF($S$2:$S$2991,$S2814)&gt;1,"DUPLICATE","OK"))</f>
        <v/>
      </c>
      <c r="U2814" s="0" t="str">
        <f aca="false">IF($L2814="","",IFERROR(VLOOKUP(--$L2814,MM_Income!$Z$5:$AC$204,3,FALSE()),"UNMAPPED"))</f>
        <v/>
      </c>
    </row>
    <row r="2815" customFormat="false" ht="13.5" hidden="false" customHeight="false" outlineLevel="0" collapsed="false">
      <c r="A2815" s="1" t="str">
        <f aca="false">IF($C2815="","",Controls!$B$7)</f>
        <v/>
      </c>
      <c r="B2815" s="1" t="str">
        <f aca="false">IF($H2815="","",YEAR($H2815)&amp;"-Q"&amp;ROUNDUP(MONTH($H2815)/3,0))</f>
        <v/>
      </c>
      <c r="S2815" s="1" t="str">
        <f aca="false">IF($C2815="","",$C2815&amp;"|"&amp;$E2815&amp;"|"&amp;$F2815&amp;"|"&amp;$L2815&amp;"|"&amp;$P2815&amp;"|"&amp;TEXT($H2815,"yyyy-mm-dd"))</f>
        <v/>
      </c>
      <c r="T2815" s="1" t="str">
        <f aca="false">IF($S2815="","",IF(COUNTIF($S$2:$S$2991,$S2815)&gt;1,"DUPLICATE","OK"))</f>
        <v/>
      </c>
      <c r="U2815" s="0" t="str">
        <f aca="false">IF($L2815="","",IFERROR(VLOOKUP(--$L2815,MM_Income!$Z$5:$AC$204,3,FALSE()),"UNMAPPED"))</f>
        <v/>
      </c>
    </row>
    <row r="2816" customFormat="false" ht="13.5" hidden="false" customHeight="false" outlineLevel="0" collapsed="false">
      <c r="A2816" s="1" t="str">
        <f aca="false">IF($C2816="","",Controls!$B$7)</f>
        <v/>
      </c>
      <c r="B2816" s="1" t="str">
        <f aca="false">IF($H2816="","",YEAR($H2816)&amp;"-Q"&amp;ROUNDUP(MONTH($H2816)/3,0))</f>
        <v/>
      </c>
      <c r="S2816" s="1" t="str">
        <f aca="false">IF($C2816="","",$C2816&amp;"|"&amp;$E2816&amp;"|"&amp;$F2816&amp;"|"&amp;$L2816&amp;"|"&amp;$P2816&amp;"|"&amp;TEXT($H2816,"yyyy-mm-dd"))</f>
        <v/>
      </c>
      <c r="T2816" s="1" t="str">
        <f aca="false">IF($S2816="","",IF(COUNTIF($S$2:$S$2991,$S2816)&gt;1,"DUPLICATE","OK"))</f>
        <v/>
      </c>
      <c r="U2816" s="0" t="str">
        <f aca="false">IF($L2816="","",IFERROR(VLOOKUP(--$L2816,MM_Income!$Z$5:$AC$204,3,FALSE()),"UNMAPPED"))</f>
        <v/>
      </c>
    </row>
    <row r="2817" customFormat="false" ht="13.5" hidden="false" customHeight="false" outlineLevel="0" collapsed="false">
      <c r="A2817" s="1" t="str">
        <f aca="false">IF($C2817="","",Controls!$B$7)</f>
        <v/>
      </c>
      <c r="B2817" s="1" t="str">
        <f aca="false">IF($H2817="","",YEAR($H2817)&amp;"-Q"&amp;ROUNDUP(MONTH($H2817)/3,0))</f>
        <v/>
      </c>
      <c r="S2817" s="1" t="str">
        <f aca="false">IF($C2817="","",$C2817&amp;"|"&amp;$E2817&amp;"|"&amp;$F2817&amp;"|"&amp;$L2817&amp;"|"&amp;$P2817&amp;"|"&amp;TEXT($H2817,"yyyy-mm-dd"))</f>
        <v/>
      </c>
      <c r="T2817" s="1" t="str">
        <f aca="false">IF($S2817="","",IF(COUNTIF($S$2:$S$2991,$S2817)&gt;1,"DUPLICATE","OK"))</f>
        <v/>
      </c>
      <c r="U2817" s="0" t="str">
        <f aca="false">IF($L2817="","",IFERROR(VLOOKUP(--$L2817,MM_Income!$Z$5:$AC$204,3,FALSE()),"UNMAPPED"))</f>
        <v/>
      </c>
    </row>
    <row r="2818" customFormat="false" ht="13.5" hidden="false" customHeight="false" outlineLevel="0" collapsed="false">
      <c r="A2818" s="1" t="str">
        <f aca="false">IF($C2818="","",Controls!$B$7)</f>
        <v/>
      </c>
      <c r="B2818" s="1" t="str">
        <f aca="false">IF($H2818="","",YEAR($H2818)&amp;"-Q"&amp;ROUNDUP(MONTH($H2818)/3,0))</f>
        <v/>
      </c>
      <c r="S2818" s="1" t="str">
        <f aca="false">IF($C2818="","",$C2818&amp;"|"&amp;$E2818&amp;"|"&amp;$F2818&amp;"|"&amp;$L2818&amp;"|"&amp;$P2818&amp;"|"&amp;TEXT($H2818,"yyyy-mm-dd"))</f>
        <v/>
      </c>
      <c r="T2818" s="1" t="str">
        <f aca="false">IF($S2818="","",IF(COUNTIF($S$2:$S$2991,$S2818)&gt;1,"DUPLICATE","OK"))</f>
        <v/>
      </c>
      <c r="U2818" s="0" t="str">
        <f aca="false">IF($L2818="","",IFERROR(VLOOKUP(--$L2818,MM_Income!$Z$5:$AC$204,3,FALSE()),"UNMAPPED"))</f>
        <v/>
      </c>
    </row>
    <row r="2819" customFormat="false" ht="13.5" hidden="false" customHeight="false" outlineLevel="0" collapsed="false">
      <c r="A2819" s="1" t="str">
        <f aca="false">IF($C2819="","",Controls!$B$7)</f>
        <v/>
      </c>
      <c r="B2819" s="1" t="str">
        <f aca="false">IF($H2819="","",YEAR($H2819)&amp;"-Q"&amp;ROUNDUP(MONTH($H2819)/3,0))</f>
        <v/>
      </c>
      <c r="S2819" s="1" t="str">
        <f aca="false">IF($C2819="","",$C2819&amp;"|"&amp;$E2819&amp;"|"&amp;$F2819&amp;"|"&amp;$L2819&amp;"|"&amp;$P2819&amp;"|"&amp;TEXT($H2819,"yyyy-mm-dd"))</f>
        <v/>
      </c>
      <c r="T2819" s="1" t="str">
        <f aca="false">IF($S2819="","",IF(COUNTIF($S$2:$S$2991,$S2819)&gt;1,"DUPLICATE","OK"))</f>
        <v/>
      </c>
      <c r="U2819" s="0" t="str">
        <f aca="false">IF($L2819="","",IFERROR(VLOOKUP(--$L2819,MM_Income!$Z$5:$AC$204,3,FALSE()),"UNMAPPED"))</f>
        <v/>
      </c>
    </row>
    <row r="2820" customFormat="false" ht="13.5" hidden="false" customHeight="false" outlineLevel="0" collapsed="false">
      <c r="A2820" s="1" t="str">
        <f aca="false">IF($C2820="","",Controls!$B$7)</f>
        <v/>
      </c>
      <c r="B2820" s="1" t="str">
        <f aca="false">IF($H2820="","",YEAR($H2820)&amp;"-Q"&amp;ROUNDUP(MONTH($H2820)/3,0))</f>
        <v/>
      </c>
      <c r="S2820" s="1" t="str">
        <f aca="false">IF($C2820="","",$C2820&amp;"|"&amp;$E2820&amp;"|"&amp;$F2820&amp;"|"&amp;$L2820&amp;"|"&amp;$P2820&amp;"|"&amp;TEXT($H2820,"yyyy-mm-dd"))</f>
        <v/>
      </c>
      <c r="T2820" s="1" t="str">
        <f aca="false">IF($S2820="","",IF(COUNTIF($S$2:$S$2991,$S2820)&gt;1,"DUPLICATE","OK"))</f>
        <v/>
      </c>
      <c r="U2820" s="0" t="str">
        <f aca="false">IF($L2820="","",IFERROR(VLOOKUP(--$L2820,MM_Income!$Z$5:$AC$204,3,FALSE()),"UNMAPPED"))</f>
        <v/>
      </c>
    </row>
    <row r="2821" customFormat="false" ht="13.5" hidden="false" customHeight="false" outlineLevel="0" collapsed="false">
      <c r="A2821" s="1" t="str">
        <f aca="false">IF($C2821="","",Controls!$B$7)</f>
        <v/>
      </c>
      <c r="B2821" s="1" t="str">
        <f aca="false">IF($H2821="","",YEAR($H2821)&amp;"-Q"&amp;ROUNDUP(MONTH($H2821)/3,0))</f>
        <v/>
      </c>
      <c r="S2821" s="1" t="str">
        <f aca="false">IF($C2821="","",$C2821&amp;"|"&amp;$E2821&amp;"|"&amp;$F2821&amp;"|"&amp;$L2821&amp;"|"&amp;$P2821&amp;"|"&amp;TEXT($H2821,"yyyy-mm-dd"))</f>
        <v/>
      </c>
      <c r="T2821" s="1" t="str">
        <f aca="false">IF($S2821="","",IF(COUNTIF($S$2:$S$2991,$S2821)&gt;1,"DUPLICATE","OK"))</f>
        <v/>
      </c>
      <c r="U2821" s="0" t="str">
        <f aca="false">IF($L2821="","",IFERROR(VLOOKUP(--$L2821,MM_Income!$Z$5:$AC$204,3,FALSE()),"UNMAPPED"))</f>
        <v/>
      </c>
    </row>
    <row r="2822" customFormat="false" ht="13.5" hidden="false" customHeight="false" outlineLevel="0" collapsed="false">
      <c r="A2822" s="1" t="str">
        <f aca="false">IF($C2822="","",Controls!$B$7)</f>
        <v/>
      </c>
      <c r="B2822" s="1" t="str">
        <f aca="false">IF($H2822="","",YEAR($H2822)&amp;"-Q"&amp;ROUNDUP(MONTH($H2822)/3,0))</f>
        <v/>
      </c>
      <c r="S2822" s="1" t="str">
        <f aca="false">IF($C2822="","",$C2822&amp;"|"&amp;$E2822&amp;"|"&amp;$F2822&amp;"|"&amp;$L2822&amp;"|"&amp;$P2822&amp;"|"&amp;TEXT($H2822,"yyyy-mm-dd"))</f>
        <v/>
      </c>
      <c r="T2822" s="1" t="str">
        <f aca="false">IF($S2822="","",IF(COUNTIF($S$2:$S$2991,$S2822)&gt;1,"DUPLICATE","OK"))</f>
        <v/>
      </c>
      <c r="U2822" s="0" t="str">
        <f aca="false">IF($L2822="","",IFERROR(VLOOKUP(--$L2822,MM_Income!$Z$5:$AC$204,3,FALSE()),"UNMAPPED"))</f>
        <v/>
      </c>
    </row>
    <row r="2823" customFormat="false" ht="13.5" hidden="false" customHeight="false" outlineLevel="0" collapsed="false">
      <c r="A2823" s="1" t="str">
        <f aca="false">IF($C2823="","",Controls!$B$7)</f>
        <v/>
      </c>
      <c r="B2823" s="1" t="str">
        <f aca="false">IF($H2823="","",YEAR($H2823)&amp;"-Q"&amp;ROUNDUP(MONTH($H2823)/3,0))</f>
        <v/>
      </c>
      <c r="S2823" s="1" t="str">
        <f aca="false">IF($C2823="","",$C2823&amp;"|"&amp;$E2823&amp;"|"&amp;$F2823&amp;"|"&amp;$L2823&amp;"|"&amp;$P2823&amp;"|"&amp;TEXT($H2823,"yyyy-mm-dd"))</f>
        <v/>
      </c>
      <c r="T2823" s="1" t="str">
        <f aca="false">IF($S2823="","",IF(COUNTIF($S$2:$S$2991,$S2823)&gt;1,"DUPLICATE","OK"))</f>
        <v/>
      </c>
      <c r="U2823" s="0" t="str">
        <f aca="false">IF($L2823="","",IFERROR(VLOOKUP(--$L2823,MM_Income!$Z$5:$AC$204,3,FALSE()),"UNMAPPED"))</f>
        <v/>
      </c>
    </row>
    <row r="2824" customFormat="false" ht="13.5" hidden="false" customHeight="false" outlineLevel="0" collapsed="false">
      <c r="A2824" s="1" t="str">
        <f aca="false">IF($C2824="","",Controls!$B$7)</f>
        <v/>
      </c>
      <c r="B2824" s="1" t="str">
        <f aca="false">IF($H2824="","",YEAR($H2824)&amp;"-Q"&amp;ROUNDUP(MONTH($H2824)/3,0))</f>
        <v/>
      </c>
      <c r="S2824" s="1" t="str">
        <f aca="false">IF($C2824="","",$C2824&amp;"|"&amp;$E2824&amp;"|"&amp;$F2824&amp;"|"&amp;$L2824&amp;"|"&amp;$P2824&amp;"|"&amp;TEXT($H2824,"yyyy-mm-dd"))</f>
        <v/>
      </c>
      <c r="T2824" s="1" t="str">
        <f aca="false">IF($S2824="","",IF(COUNTIF($S$2:$S$2991,$S2824)&gt;1,"DUPLICATE","OK"))</f>
        <v/>
      </c>
      <c r="U2824" s="0" t="str">
        <f aca="false">IF($L2824="","",IFERROR(VLOOKUP(--$L2824,MM_Income!$Z$5:$AC$204,3,FALSE()),"UNMAPPED"))</f>
        <v/>
      </c>
    </row>
    <row r="2825" customFormat="false" ht="13.5" hidden="false" customHeight="false" outlineLevel="0" collapsed="false">
      <c r="A2825" s="1" t="str">
        <f aca="false">IF($C2825="","",Controls!$B$7)</f>
        <v/>
      </c>
      <c r="B2825" s="1" t="str">
        <f aca="false">IF($H2825="","",YEAR($H2825)&amp;"-Q"&amp;ROUNDUP(MONTH($H2825)/3,0))</f>
        <v/>
      </c>
      <c r="S2825" s="1" t="str">
        <f aca="false">IF($C2825="","",$C2825&amp;"|"&amp;$E2825&amp;"|"&amp;$F2825&amp;"|"&amp;$L2825&amp;"|"&amp;$P2825&amp;"|"&amp;TEXT($H2825,"yyyy-mm-dd"))</f>
        <v/>
      </c>
      <c r="T2825" s="1" t="str">
        <f aca="false">IF($S2825="","",IF(COUNTIF($S$2:$S$2991,$S2825)&gt;1,"DUPLICATE","OK"))</f>
        <v/>
      </c>
      <c r="U2825" s="0" t="str">
        <f aca="false">IF($L2825="","",IFERROR(VLOOKUP(--$L2825,MM_Income!$Z$5:$AC$204,3,FALSE()),"UNMAPPED"))</f>
        <v/>
      </c>
    </row>
    <row r="2826" customFormat="false" ht="13.5" hidden="false" customHeight="false" outlineLevel="0" collapsed="false">
      <c r="A2826" s="1" t="str">
        <f aca="false">IF($C2826="","",Controls!$B$7)</f>
        <v/>
      </c>
      <c r="B2826" s="1" t="str">
        <f aca="false">IF($H2826="","",YEAR($H2826)&amp;"-Q"&amp;ROUNDUP(MONTH($H2826)/3,0))</f>
        <v/>
      </c>
      <c r="S2826" s="1" t="str">
        <f aca="false">IF($C2826="","",$C2826&amp;"|"&amp;$E2826&amp;"|"&amp;$F2826&amp;"|"&amp;$L2826&amp;"|"&amp;$P2826&amp;"|"&amp;TEXT($H2826,"yyyy-mm-dd"))</f>
        <v/>
      </c>
      <c r="T2826" s="1" t="str">
        <f aca="false">IF($S2826="","",IF(COUNTIF($S$2:$S$2991,$S2826)&gt;1,"DUPLICATE","OK"))</f>
        <v/>
      </c>
      <c r="U2826" s="0" t="str">
        <f aca="false">IF($L2826="","",IFERROR(VLOOKUP(--$L2826,MM_Income!$Z$5:$AC$204,3,FALSE()),"UNMAPPED"))</f>
        <v/>
      </c>
    </row>
    <row r="2827" customFormat="false" ht="13.5" hidden="false" customHeight="false" outlineLevel="0" collapsed="false">
      <c r="A2827" s="1" t="str">
        <f aca="false">IF($C2827="","",Controls!$B$7)</f>
        <v/>
      </c>
      <c r="B2827" s="1" t="str">
        <f aca="false">IF($H2827="","",YEAR($H2827)&amp;"-Q"&amp;ROUNDUP(MONTH($H2827)/3,0))</f>
        <v/>
      </c>
      <c r="S2827" s="1" t="str">
        <f aca="false">IF($C2827="","",$C2827&amp;"|"&amp;$E2827&amp;"|"&amp;$F2827&amp;"|"&amp;$L2827&amp;"|"&amp;$P2827&amp;"|"&amp;TEXT($H2827,"yyyy-mm-dd"))</f>
        <v/>
      </c>
      <c r="T2827" s="1" t="str">
        <f aca="false">IF($S2827="","",IF(COUNTIF($S$2:$S$2991,$S2827)&gt;1,"DUPLICATE","OK"))</f>
        <v/>
      </c>
      <c r="U2827" s="0" t="str">
        <f aca="false">IF($L2827="","",IFERROR(VLOOKUP(--$L2827,MM_Income!$Z$5:$AC$204,3,FALSE()),"UNMAPPED"))</f>
        <v/>
      </c>
    </row>
    <row r="2828" customFormat="false" ht="13.5" hidden="false" customHeight="false" outlineLevel="0" collapsed="false">
      <c r="A2828" s="1" t="str">
        <f aca="false">IF($C2828="","",Controls!$B$7)</f>
        <v/>
      </c>
      <c r="B2828" s="1" t="str">
        <f aca="false">IF($H2828="","",YEAR($H2828)&amp;"-Q"&amp;ROUNDUP(MONTH($H2828)/3,0))</f>
        <v/>
      </c>
      <c r="S2828" s="1" t="str">
        <f aca="false">IF($C2828="","",$C2828&amp;"|"&amp;$E2828&amp;"|"&amp;$F2828&amp;"|"&amp;$L2828&amp;"|"&amp;$P2828&amp;"|"&amp;TEXT($H2828,"yyyy-mm-dd"))</f>
        <v/>
      </c>
      <c r="T2828" s="1" t="str">
        <f aca="false">IF($S2828="","",IF(COUNTIF($S$2:$S$2991,$S2828)&gt;1,"DUPLICATE","OK"))</f>
        <v/>
      </c>
      <c r="U2828" s="0" t="str">
        <f aca="false">IF($L2828="","",IFERROR(VLOOKUP(--$L2828,MM_Income!$Z$5:$AC$204,3,FALSE()),"UNMAPPED"))</f>
        <v/>
      </c>
    </row>
    <row r="2829" customFormat="false" ht="13.5" hidden="false" customHeight="false" outlineLevel="0" collapsed="false">
      <c r="A2829" s="1" t="str">
        <f aca="false">IF($C2829="","",Controls!$B$7)</f>
        <v/>
      </c>
      <c r="B2829" s="1" t="str">
        <f aca="false">IF($H2829="","",YEAR($H2829)&amp;"-Q"&amp;ROUNDUP(MONTH($H2829)/3,0))</f>
        <v/>
      </c>
      <c r="S2829" s="1" t="str">
        <f aca="false">IF($C2829="","",$C2829&amp;"|"&amp;$E2829&amp;"|"&amp;$F2829&amp;"|"&amp;$L2829&amp;"|"&amp;$P2829&amp;"|"&amp;TEXT($H2829,"yyyy-mm-dd"))</f>
        <v/>
      </c>
      <c r="T2829" s="1" t="str">
        <f aca="false">IF($S2829="","",IF(COUNTIF($S$2:$S$2991,$S2829)&gt;1,"DUPLICATE","OK"))</f>
        <v/>
      </c>
      <c r="U2829" s="0" t="str">
        <f aca="false">IF($L2829="","",IFERROR(VLOOKUP(--$L2829,MM_Income!$Z$5:$AC$204,3,FALSE()),"UNMAPPED"))</f>
        <v/>
      </c>
    </row>
    <row r="2830" customFormat="false" ht="13.5" hidden="false" customHeight="false" outlineLevel="0" collapsed="false">
      <c r="A2830" s="1" t="str">
        <f aca="false">IF($C2830="","",Controls!$B$7)</f>
        <v/>
      </c>
      <c r="B2830" s="1" t="str">
        <f aca="false">IF($H2830="","",YEAR($H2830)&amp;"-Q"&amp;ROUNDUP(MONTH($H2830)/3,0))</f>
        <v/>
      </c>
      <c r="S2830" s="1" t="str">
        <f aca="false">IF($C2830="","",$C2830&amp;"|"&amp;$E2830&amp;"|"&amp;$F2830&amp;"|"&amp;$L2830&amp;"|"&amp;$P2830&amp;"|"&amp;TEXT($H2830,"yyyy-mm-dd"))</f>
        <v/>
      </c>
      <c r="T2830" s="1" t="str">
        <f aca="false">IF($S2830="","",IF(COUNTIF($S$2:$S$2991,$S2830)&gt;1,"DUPLICATE","OK"))</f>
        <v/>
      </c>
      <c r="U2830" s="0" t="str">
        <f aca="false">IF($L2830="","",IFERROR(VLOOKUP(--$L2830,MM_Income!$Z$5:$AC$204,3,FALSE()),"UNMAPPED"))</f>
        <v/>
      </c>
    </row>
    <row r="2831" customFormat="false" ht="13.5" hidden="false" customHeight="false" outlineLevel="0" collapsed="false">
      <c r="A2831" s="1" t="str">
        <f aca="false">IF($C2831="","",Controls!$B$7)</f>
        <v/>
      </c>
      <c r="B2831" s="1" t="str">
        <f aca="false">IF($H2831="","",YEAR($H2831)&amp;"-Q"&amp;ROUNDUP(MONTH($H2831)/3,0))</f>
        <v/>
      </c>
      <c r="S2831" s="1" t="str">
        <f aca="false">IF($C2831="","",$C2831&amp;"|"&amp;$E2831&amp;"|"&amp;$F2831&amp;"|"&amp;$L2831&amp;"|"&amp;$P2831&amp;"|"&amp;TEXT($H2831,"yyyy-mm-dd"))</f>
        <v/>
      </c>
      <c r="T2831" s="1" t="str">
        <f aca="false">IF($S2831="","",IF(COUNTIF($S$2:$S$2991,$S2831)&gt;1,"DUPLICATE","OK"))</f>
        <v/>
      </c>
      <c r="U2831" s="0" t="str">
        <f aca="false">IF($L2831="","",IFERROR(VLOOKUP(--$L2831,MM_Income!$Z$5:$AC$204,3,FALSE()),"UNMAPPED"))</f>
        <v/>
      </c>
    </row>
    <row r="2832" customFormat="false" ht="13.5" hidden="false" customHeight="false" outlineLevel="0" collapsed="false">
      <c r="A2832" s="1" t="str">
        <f aca="false">IF($C2832="","",Controls!$B$7)</f>
        <v/>
      </c>
      <c r="B2832" s="1" t="str">
        <f aca="false">IF($H2832="","",YEAR($H2832)&amp;"-Q"&amp;ROUNDUP(MONTH($H2832)/3,0))</f>
        <v/>
      </c>
      <c r="S2832" s="1" t="str">
        <f aca="false">IF($C2832="","",$C2832&amp;"|"&amp;$E2832&amp;"|"&amp;$F2832&amp;"|"&amp;$L2832&amp;"|"&amp;$P2832&amp;"|"&amp;TEXT($H2832,"yyyy-mm-dd"))</f>
        <v/>
      </c>
      <c r="T2832" s="1" t="str">
        <f aca="false">IF($S2832="","",IF(COUNTIF($S$2:$S$2991,$S2832)&gt;1,"DUPLICATE","OK"))</f>
        <v/>
      </c>
      <c r="U2832" s="0" t="str">
        <f aca="false">IF($L2832="","",IFERROR(VLOOKUP(--$L2832,MM_Income!$Z$5:$AC$204,3,FALSE()),"UNMAPPED"))</f>
        <v/>
      </c>
    </row>
    <row r="2833" customFormat="false" ht="13.5" hidden="false" customHeight="false" outlineLevel="0" collapsed="false">
      <c r="A2833" s="1" t="str">
        <f aca="false">IF($C2833="","",Controls!$B$7)</f>
        <v/>
      </c>
      <c r="B2833" s="1" t="str">
        <f aca="false">IF($H2833="","",YEAR($H2833)&amp;"-Q"&amp;ROUNDUP(MONTH($H2833)/3,0))</f>
        <v/>
      </c>
      <c r="S2833" s="1" t="str">
        <f aca="false">IF($C2833="","",$C2833&amp;"|"&amp;$E2833&amp;"|"&amp;$F2833&amp;"|"&amp;$L2833&amp;"|"&amp;$P2833&amp;"|"&amp;TEXT($H2833,"yyyy-mm-dd"))</f>
        <v/>
      </c>
      <c r="T2833" s="1" t="str">
        <f aca="false">IF($S2833="","",IF(COUNTIF($S$2:$S$2991,$S2833)&gt;1,"DUPLICATE","OK"))</f>
        <v/>
      </c>
      <c r="U2833" s="0" t="str">
        <f aca="false">IF($L2833="","",IFERROR(VLOOKUP(--$L2833,MM_Income!$Z$5:$AC$204,3,FALSE()),"UNMAPPED"))</f>
        <v/>
      </c>
    </row>
    <row r="2834" customFormat="false" ht="13.5" hidden="false" customHeight="false" outlineLevel="0" collapsed="false">
      <c r="A2834" s="1" t="str">
        <f aca="false">IF($C2834="","",Controls!$B$7)</f>
        <v/>
      </c>
      <c r="B2834" s="1" t="str">
        <f aca="false">IF($H2834="","",YEAR($H2834)&amp;"-Q"&amp;ROUNDUP(MONTH($H2834)/3,0))</f>
        <v/>
      </c>
      <c r="S2834" s="1" t="str">
        <f aca="false">IF($C2834="","",$C2834&amp;"|"&amp;$E2834&amp;"|"&amp;$F2834&amp;"|"&amp;$L2834&amp;"|"&amp;$P2834&amp;"|"&amp;TEXT($H2834,"yyyy-mm-dd"))</f>
        <v/>
      </c>
      <c r="T2834" s="1" t="str">
        <f aca="false">IF($S2834="","",IF(COUNTIF($S$2:$S$2991,$S2834)&gt;1,"DUPLICATE","OK"))</f>
        <v/>
      </c>
      <c r="U2834" s="0" t="str">
        <f aca="false">IF($L2834="","",IFERROR(VLOOKUP(--$L2834,MM_Income!$Z$5:$AC$204,3,FALSE()),"UNMAPPED"))</f>
        <v/>
      </c>
    </row>
    <row r="2835" customFormat="false" ht="13.5" hidden="false" customHeight="false" outlineLevel="0" collapsed="false">
      <c r="A2835" s="1" t="str">
        <f aca="false">IF($C2835="","",Controls!$B$7)</f>
        <v/>
      </c>
      <c r="B2835" s="1" t="str">
        <f aca="false">IF($H2835="","",YEAR($H2835)&amp;"-Q"&amp;ROUNDUP(MONTH($H2835)/3,0))</f>
        <v/>
      </c>
      <c r="S2835" s="1" t="str">
        <f aca="false">IF($C2835="","",$C2835&amp;"|"&amp;$E2835&amp;"|"&amp;$F2835&amp;"|"&amp;$L2835&amp;"|"&amp;$P2835&amp;"|"&amp;TEXT($H2835,"yyyy-mm-dd"))</f>
        <v/>
      </c>
      <c r="T2835" s="1" t="str">
        <f aca="false">IF($S2835="","",IF(COUNTIF($S$2:$S$2991,$S2835)&gt;1,"DUPLICATE","OK"))</f>
        <v/>
      </c>
      <c r="U2835" s="0" t="str">
        <f aca="false">IF($L2835="","",IFERROR(VLOOKUP(--$L2835,MM_Income!$Z$5:$AC$204,3,FALSE()),"UNMAPPED"))</f>
        <v/>
      </c>
    </row>
    <row r="2836" customFormat="false" ht="13.5" hidden="false" customHeight="false" outlineLevel="0" collapsed="false">
      <c r="A2836" s="1" t="str">
        <f aca="false">IF($C2836="","",Controls!$B$7)</f>
        <v/>
      </c>
      <c r="B2836" s="1" t="str">
        <f aca="false">IF($H2836="","",YEAR($H2836)&amp;"-Q"&amp;ROUNDUP(MONTH($H2836)/3,0))</f>
        <v/>
      </c>
      <c r="S2836" s="1" t="str">
        <f aca="false">IF($C2836="","",$C2836&amp;"|"&amp;$E2836&amp;"|"&amp;$F2836&amp;"|"&amp;$L2836&amp;"|"&amp;$P2836&amp;"|"&amp;TEXT($H2836,"yyyy-mm-dd"))</f>
        <v/>
      </c>
      <c r="T2836" s="1" t="str">
        <f aca="false">IF($S2836="","",IF(COUNTIF($S$2:$S$2991,$S2836)&gt;1,"DUPLICATE","OK"))</f>
        <v/>
      </c>
      <c r="U2836" s="0" t="str">
        <f aca="false">IF($L2836="","",IFERROR(VLOOKUP(--$L2836,MM_Income!$Z$5:$AC$204,3,FALSE()),"UNMAPPED"))</f>
        <v/>
      </c>
    </row>
    <row r="2837" customFormat="false" ht="13.5" hidden="false" customHeight="false" outlineLevel="0" collapsed="false">
      <c r="A2837" s="1" t="str">
        <f aca="false">IF($C2837="","",Controls!$B$7)</f>
        <v/>
      </c>
      <c r="B2837" s="1" t="str">
        <f aca="false">IF($H2837="","",YEAR($H2837)&amp;"-Q"&amp;ROUNDUP(MONTH($H2837)/3,0))</f>
        <v/>
      </c>
      <c r="S2837" s="1" t="str">
        <f aca="false">IF($C2837="","",$C2837&amp;"|"&amp;$E2837&amp;"|"&amp;$F2837&amp;"|"&amp;$L2837&amp;"|"&amp;$P2837&amp;"|"&amp;TEXT($H2837,"yyyy-mm-dd"))</f>
        <v/>
      </c>
      <c r="T2837" s="1" t="str">
        <f aca="false">IF($S2837="","",IF(COUNTIF($S$2:$S$2991,$S2837)&gt;1,"DUPLICATE","OK"))</f>
        <v/>
      </c>
      <c r="U2837" s="0" t="str">
        <f aca="false">IF($L2837="","",IFERROR(VLOOKUP(--$L2837,MM_Income!$Z$5:$AC$204,3,FALSE()),"UNMAPPED"))</f>
        <v/>
      </c>
    </row>
    <row r="2838" customFormat="false" ht="13.5" hidden="false" customHeight="false" outlineLevel="0" collapsed="false">
      <c r="A2838" s="1" t="str">
        <f aca="false">IF($C2838="","",Controls!$B$7)</f>
        <v/>
      </c>
      <c r="B2838" s="1" t="str">
        <f aca="false">IF($H2838="","",YEAR($H2838)&amp;"-Q"&amp;ROUNDUP(MONTH($H2838)/3,0))</f>
        <v/>
      </c>
      <c r="S2838" s="1" t="str">
        <f aca="false">IF($C2838="","",$C2838&amp;"|"&amp;$E2838&amp;"|"&amp;$F2838&amp;"|"&amp;$L2838&amp;"|"&amp;$P2838&amp;"|"&amp;TEXT($H2838,"yyyy-mm-dd"))</f>
        <v/>
      </c>
      <c r="T2838" s="1" t="str">
        <f aca="false">IF($S2838="","",IF(COUNTIF($S$2:$S$2991,$S2838)&gt;1,"DUPLICATE","OK"))</f>
        <v/>
      </c>
      <c r="U2838" s="0" t="str">
        <f aca="false">IF($L2838="","",IFERROR(VLOOKUP(--$L2838,MM_Income!$Z$5:$AC$204,3,FALSE()),"UNMAPPED"))</f>
        <v/>
      </c>
    </row>
    <row r="2839" customFormat="false" ht="13.5" hidden="false" customHeight="false" outlineLevel="0" collapsed="false">
      <c r="A2839" s="1" t="str">
        <f aca="false">IF($C2839="","",Controls!$B$7)</f>
        <v/>
      </c>
      <c r="B2839" s="1" t="str">
        <f aca="false">IF($H2839="","",YEAR($H2839)&amp;"-Q"&amp;ROUNDUP(MONTH($H2839)/3,0))</f>
        <v/>
      </c>
      <c r="S2839" s="1" t="str">
        <f aca="false">IF($C2839="","",$C2839&amp;"|"&amp;$E2839&amp;"|"&amp;$F2839&amp;"|"&amp;$L2839&amp;"|"&amp;$P2839&amp;"|"&amp;TEXT($H2839,"yyyy-mm-dd"))</f>
        <v/>
      </c>
      <c r="T2839" s="1" t="str">
        <f aca="false">IF($S2839="","",IF(COUNTIF($S$2:$S$2991,$S2839)&gt;1,"DUPLICATE","OK"))</f>
        <v/>
      </c>
      <c r="U2839" s="0" t="str">
        <f aca="false">IF($L2839="","",IFERROR(VLOOKUP(--$L2839,MM_Income!$Z$5:$AC$204,3,FALSE()),"UNMAPPED"))</f>
        <v/>
      </c>
    </row>
    <row r="2840" customFormat="false" ht="13.5" hidden="false" customHeight="false" outlineLevel="0" collapsed="false">
      <c r="A2840" s="1" t="str">
        <f aca="false">IF($C2840="","",Controls!$B$7)</f>
        <v/>
      </c>
      <c r="B2840" s="1" t="str">
        <f aca="false">IF($H2840="","",YEAR($H2840)&amp;"-Q"&amp;ROUNDUP(MONTH($H2840)/3,0))</f>
        <v/>
      </c>
      <c r="S2840" s="1" t="str">
        <f aca="false">IF($C2840="","",$C2840&amp;"|"&amp;$E2840&amp;"|"&amp;$F2840&amp;"|"&amp;$L2840&amp;"|"&amp;$P2840&amp;"|"&amp;TEXT($H2840,"yyyy-mm-dd"))</f>
        <v/>
      </c>
      <c r="T2840" s="1" t="str">
        <f aca="false">IF($S2840="","",IF(COUNTIF($S$2:$S$2991,$S2840)&gt;1,"DUPLICATE","OK"))</f>
        <v/>
      </c>
      <c r="U2840" s="0" t="str">
        <f aca="false">IF($L2840="","",IFERROR(VLOOKUP(--$L2840,MM_Income!$Z$5:$AC$204,3,FALSE()),"UNMAPPED"))</f>
        <v/>
      </c>
    </row>
    <row r="2841" customFormat="false" ht="13.5" hidden="false" customHeight="false" outlineLevel="0" collapsed="false">
      <c r="A2841" s="1" t="str">
        <f aca="false">IF($C2841="","",Controls!$B$7)</f>
        <v/>
      </c>
      <c r="B2841" s="1" t="str">
        <f aca="false">IF($H2841="","",YEAR($H2841)&amp;"-Q"&amp;ROUNDUP(MONTH($H2841)/3,0))</f>
        <v/>
      </c>
      <c r="S2841" s="1" t="str">
        <f aca="false">IF($C2841="","",$C2841&amp;"|"&amp;$E2841&amp;"|"&amp;$F2841&amp;"|"&amp;$L2841&amp;"|"&amp;$P2841&amp;"|"&amp;TEXT($H2841,"yyyy-mm-dd"))</f>
        <v/>
      </c>
      <c r="T2841" s="1" t="str">
        <f aca="false">IF($S2841="","",IF(COUNTIF($S$2:$S$2991,$S2841)&gt;1,"DUPLICATE","OK"))</f>
        <v/>
      </c>
      <c r="U2841" s="0" t="str">
        <f aca="false">IF($L2841="","",IFERROR(VLOOKUP(--$L2841,MM_Income!$Z$5:$AC$204,3,FALSE()),"UNMAPPED"))</f>
        <v/>
      </c>
    </row>
    <row r="2842" customFormat="false" ht="13.5" hidden="false" customHeight="false" outlineLevel="0" collapsed="false">
      <c r="A2842" s="1" t="str">
        <f aca="false">IF($C2842="","",Controls!$B$7)</f>
        <v/>
      </c>
      <c r="B2842" s="1" t="str">
        <f aca="false">IF($H2842="","",YEAR($H2842)&amp;"-Q"&amp;ROUNDUP(MONTH($H2842)/3,0))</f>
        <v/>
      </c>
      <c r="S2842" s="1" t="str">
        <f aca="false">IF($C2842="","",$C2842&amp;"|"&amp;$E2842&amp;"|"&amp;$F2842&amp;"|"&amp;$L2842&amp;"|"&amp;$P2842&amp;"|"&amp;TEXT($H2842,"yyyy-mm-dd"))</f>
        <v/>
      </c>
      <c r="T2842" s="1" t="str">
        <f aca="false">IF($S2842="","",IF(COUNTIF($S$2:$S$2991,$S2842)&gt;1,"DUPLICATE","OK"))</f>
        <v/>
      </c>
      <c r="U2842" s="0" t="str">
        <f aca="false">IF($L2842="","",IFERROR(VLOOKUP(--$L2842,MM_Income!$Z$5:$AC$204,3,FALSE()),"UNMAPPED"))</f>
        <v/>
      </c>
    </row>
    <row r="2843" customFormat="false" ht="13.5" hidden="false" customHeight="false" outlineLevel="0" collapsed="false">
      <c r="A2843" s="1" t="str">
        <f aca="false">IF($C2843="","",Controls!$B$7)</f>
        <v/>
      </c>
      <c r="B2843" s="1" t="str">
        <f aca="false">IF($H2843="","",YEAR($H2843)&amp;"-Q"&amp;ROUNDUP(MONTH($H2843)/3,0))</f>
        <v/>
      </c>
      <c r="S2843" s="1" t="str">
        <f aca="false">IF($C2843="","",$C2843&amp;"|"&amp;$E2843&amp;"|"&amp;$F2843&amp;"|"&amp;$L2843&amp;"|"&amp;$P2843&amp;"|"&amp;TEXT($H2843,"yyyy-mm-dd"))</f>
        <v/>
      </c>
      <c r="T2843" s="1" t="str">
        <f aca="false">IF($S2843="","",IF(COUNTIF($S$2:$S$2991,$S2843)&gt;1,"DUPLICATE","OK"))</f>
        <v/>
      </c>
      <c r="U2843" s="0" t="str">
        <f aca="false">IF($L2843="","",IFERROR(VLOOKUP(--$L2843,MM_Income!$Z$5:$AC$204,3,FALSE()),"UNMAPPED"))</f>
        <v/>
      </c>
    </row>
    <row r="2844" customFormat="false" ht="13.5" hidden="false" customHeight="false" outlineLevel="0" collapsed="false">
      <c r="A2844" s="1" t="str">
        <f aca="false">IF($C2844="","",Controls!$B$7)</f>
        <v/>
      </c>
      <c r="B2844" s="1" t="str">
        <f aca="false">IF($H2844="","",YEAR($H2844)&amp;"-Q"&amp;ROUNDUP(MONTH($H2844)/3,0))</f>
        <v/>
      </c>
      <c r="S2844" s="1" t="str">
        <f aca="false">IF($C2844="","",$C2844&amp;"|"&amp;$E2844&amp;"|"&amp;$F2844&amp;"|"&amp;$L2844&amp;"|"&amp;$P2844&amp;"|"&amp;TEXT($H2844,"yyyy-mm-dd"))</f>
        <v/>
      </c>
      <c r="T2844" s="1" t="str">
        <f aca="false">IF($S2844="","",IF(COUNTIF($S$2:$S$2991,$S2844)&gt;1,"DUPLICATE","OK"))</f>
        <v/>
      </c>
      <c r="U2844" s="0" t="str">
        <f aca="false">IF($L2844="","",IFERROR(VLOOKUP(--$L2844,MM_Income!$Z$5:$AC$204,3,FALSE()),"UNMAPPED"))</f>
        <v/>
      </c>
    </row>
    <row r="2845" customFormat="false" ht="13.5" hidden="false" customHeight="false" outlineLevel="0" collapsed="false">
      <c r="A2845" s="1" t="str">
        <f aca="false">IF($C2845="","",Controls!$B$7)</f>
        <v/>
      </c>
      <c r="B2845" s="1" t="str">
        <f aca="false">IF($H2845="","",YEAR($H2845)&amp;"-Q"&amp;ROUNDUP(MONTH($H2845)/3,0))</f>
        <v/>
      </c>
      <c r="S2845" s="1" t="str">
        <f aca="false">IF($C2845="","",$C2845&amp;"|"&amp;$E2845&amp;"|"&amp;$F2845&amp;"|"&amp;$L2845&amp;"|"&amp;$P2845&amp;"|"&amp;TEXT($H2845,"yyyy-mm-dd"))</f>
        <v/>
      </c>
      <c r="T2845" s="1" t="str">
        <f aca="false">IF($S2845="","",IF(COUNTIF($S$2:$S$2991,$S2845)&gt;1,"DUPLICATE","OK"))</f>
        <v/>
      </c>
      <c r="U2845" s="0" t="str">
        <f aca="false">IF($L2845="","",IFERROR(VLOOKUP(--$L2845,MM_Income!$Z$5:$AC$204,3,FALSE()),"UNMAPPED"))</f>
        <v/>
      </c>
    </row>
    <row r="2846" customFormat="false" ht="13.5" hidden="false" customHeight="false" outlineLevel="0" collapsed="false">
      <c r="A2846" s="1" t="str">
        <f aca="false">IF($C2846="","",Controls!$B$7)</f>
        <v/>
      </c>
      <c r="B2846" s="1" t="str">
        <f aca="false">IF($H2846="","",YEAR($H2846)&amp;"-Q"&amp;ROUNDUP(MONTH($H2846)/3,0))</f>
        <v/>
      </c>
      <c r="S2846" s="1" t="str">
        <f aca="false">IF($C2846="","",$C2846&amp;"|"&amp;$E2846&amp;"|"&amp;$F2846&amp;"|"&amp;$L2846&amp;"|"&amp;$P2846&amp;"|"&amp;TEXT($H2846,"yyyy-mm-dd"))</f>
        <v/>
      </c>
      <c r="T2846" s="1" t="str">
        <f aca="false">IF($S2846="","",IF(COUNTIF($S$2:$S$2991,$S2846)&gt;1,"DUPLICATE","OK"))</f>
        <v/>
      </c>
      <c r="U2846" s="0" t="str">
        <f aca="false">IF($L2846="","",IFERROR(VLOOKUP(--$L2846,MM_Income!$Z$5:$AC$204,3,FALSE()),"UNMAPPED"))</f>
        <v/>
      </c>
    </row>
    <row r="2847" customFormat="false" ht="13.5" hidden="false" customHeight="false" outlineLevel="0" collapsed="false">
      <c r="A2847" s="1" t="str">
        <f aca="false">IF($C2847="","",Controls!$B$7)</f>
        <v/>
      </c>
      <c r="B2847" s="1" t="str">
        <f aca="false">IF($H2847="","",YEAR($H2847)&amp;"-Q"&amp;ROUNDUP(MONTH($H2847)/3,0))</f>
        <v/>
      </c>
      <c r="S2847" s="1" t="str">
        <f aca="false">IF($C2847="","",$C2847&amp;"|"&amp;$E2847&amp;"|"&amp;$F2847&amp;"|"&amp;$L2847&amp;"|"&amp;$P2847&amp;"|"&amp;TEXT($H2847,"yyyy-mm-dd"))</f>
        <v/>
      </c>
      <c r="T2847" s="1" t="str">
        <f aca="false">IF($S2847="","",IF(COUNTIF($S$2:$S$2991,$S2847)&gt;1,"DUPLICATE","OK"))</f>
        <v/>
      </c>
      <c r="U2847" s="0" t="str">
        <f aca="false">IF($L2847="","",IFERROR(VLOOKUP(--$L2847,MM_Income!$Z$5:$AC$204,3,FALSE()),"UNMAPPED"))</f>
        <v/>
      </c>
    </row>
    <row r="2848" customFormat="false" ht="13.5" hidden="false" customHeight="false" outlineLevel="0" collapsed="false">
      <c r="A2848" s="1" t="str">
        <f aca="false">IF($C2848="","",Controls!$B$7)</f>
        <v/>
      </c>
      <c r="B2848" s="1" t="str">
        <f aca="false">IF($H2848="","",YEAR($H2848)&amp;"-Q"&amp;ROUNDUP(MONTH($H2848)/3,0))</f>
        <v/>
      </c>
      <c r="S2848" s="1" t="str">
        <f aca="false">IF($C2848="","",$C2848&amp;"|"&amp;$E2848&amp;"|"&amp;$F2848&amp;"|"&amp;$L2848&amp;"|"&amp;$P2848&amp;"|"&amp;TEXT($H2848,"yyyy-mm-dd"))</f>
        <v/>
      </c>
      <c r="T2848" s="1" t="str">
        <f aca="false">IF($S2848="","",IF(COUNTIF($S$2:$S$2991,$S2848)&gt;1,"DUPLICATE","OK"))</f>
        <v/>
      </c>
      <c r="U2848" s="0" t="str">
        <f aca="false">IF($L2848="","",IFERROR(VLOOKUP(--$L2848,MM_Income!$Z$5:$AC$204,3,FALSE()),"UNMAPPED"))</f>
        <v/>
      </c>
    </row>
    <row r="2849" customFormat="false" ht="13.5" hidden="false" customHeight="false" outlineLevel="0" collapsed="false">
      <c r="A2849" s="1" t="str">
        <f aca="false">IF($C2849="","",Controls!$B$7)</f>
        <v/>
      </c>
      <c r="B2849" s="1" t="str">
        <f aca="false">IF($H2849="","",YEAR($H2849)&amp;"-Q"&amp;ROUNDUP(MONTH($H2849)/3,0))</f>
        <v/>
      </c>
      <c r="S2849" s="1" t="str">
        <f aca="false">IF($C2849="","",$C2849&amp;"|"&amp;$E2849&amp;"|"&amp;$F2849&amp;"|"&amp;$L2849&amp;"|"&amp;$P2849&amp;"|"&amp;TEXT($H2849,"yyyy-mm-dd"))</f>
        <v/>
      </c>
      <c r="T2849" s="1" t="str">
        <f aca="false">IF($S2849="","",IF(COUNTIF($S$2:$S$2991,$S2849)&gt;1,"DUPLICATE","OK"))</f>
        <v/>
      </c>
      <c r="U2849" s="0" t="str">
        <f aca="false">IF($L2849="","",IFERROR(VLOOKUP(--$L2849,MM_Income!$Z$5:$AC$204,3,FALSE()),"UNMAPPED"))</f>
        <v/>
      </c>
    </row>
    <row r="2850" customFormat="false" ht="13.5" hidden="false" customHeight="false" outlineLevel="0" collapsed="false">
      <c r="A2850" s="1" t="str">
        <f aca="false">IF($C2850="","",Controls!$B$7)</f>
        <v/>
      </c>
      <c r="B2850" s="1" t="str">
        <f aca="false">IF($H2850="","",YEAR($H2850)&amp;"-Q"&amp;ROUNDUP(MONTH($H2850)/3,0))</f>
        <v/>
      </c>
      <c r="S2850" s="1" t="str">
        <f aca="false">IF($C2850="","",$C2850&amp;"|"&amp;$E2850&amp;"|"&amp;$F2850&amp;"|"&amp;$L2850&amp;"|"&amp;$P2850&amp;"|"&amp;TEXT($H2850,"yyyy-mm-dd"))</f>
        <v/>
      </c>
      <c r="T2850" s="1" t="str">
        <f aca="false">IF($S2850="","",IF(COUNTIF($S$2:$S$2991,$S2850)&gt;1,"DUPLICATE","OK"))</f>
        <v/>
      </c>
      <c r="U2850" s="0" t="str">
        <f aca="false">IF($L2850="","",IFERROR(VLOOKUP(--$L2850,MM_Income!$Z$5:$AC$204,3,FALSE()),"UNMAPPED"))</f>
        <v/>
      </c>
    </row>
    <row r="2851" customFormat="false" ht="13.5" hidden="false" customHeight="false" outlineLevel="0" collapsed="false">
      <c r="A2851" s="1" t="str">
        <f aca="false">IF($C2851="","",Controls!$B$7)</f>
        <v/>
      </c>
      <c r="B2851" s="1" t="str">
        <f aca="false">IF($H2851="","",YEAR($H2851)&amp;"-Q"&amp;ROUNDUP(MONTH($H2851)/3,0))</f>
        <v/>
      </c>
      <c r="S2851" s="1" t="str">
        <f aca="false">IF($C2851="","",$C2851&amp;"|"&amp;$E2851&amp;"|"&amp;$F2851&amp;"|"&amp;$L2851&amp;"|"&amp;$P2851&amp;"|"&amp;TEXT($H2851,"yyyy-mm-dd"))</f>
        <v/>
      </c>
      <c r="T2851" s="1" t="str">
        <f aca="false">IF($S2851="","",IF(COUNTIF($S$2:$S$2991,$S2851)&gt;1,"DUPLICATE","OK"))</f>
        <v/>
      </c>
      <c r="U2851" s="0" t="str">
        <f aca="false">IF($L2851="","",IFERROR(VLOOKUP(--$L2851,MM_Income!$Z$5:$AC$204,3,FALSE()),"UNMAPPED"))</f>
        <v/>
      </c>
    </row>
    <row r="2852" customFormat="false" ht="13.5" hidden="false" customHeight="false" outlineLevel="0" collapsed="false">
      <c r="A2852" s="1" t="str">
        <f aca="false">IF($C2852="","",Controls!$B$7)</f>
        <v/>
      </c>
      <c r="B2852" s="1" t="str">
        <f aca="false">IF($H2852="","",YEAR($H2852)&amp;"-Q"&amp;ROUNDUP(MONTH($H2852)/3,0))</f>
        <v/>
      </c>
      <c r="S2852" s="1" t="str">
        <f aca="false">IF($C2852="","",$C2852&amp;"|"&amp;$E2852&amp;"|"&amp;$F2852&amp;"|"&amp;$L2852&amp;"|"&amp;$P2852&amp;"|"&amp;TEXT($H2852,"yyyy-mm-dd"))</f>
        <v/>
      </c>
      <c r="T2852" s="1" t="str">
        <f aca="false">IF($S2852="","",IF(COUNTIF($S$2:$S$2991,$S2852)&gt;1,"DUPLICATE","OK"))</f>
        <v/>
      </c>
      <c r="U2852" s="0" t="str">
        <f aca="false">IF($L2852="","",IFERROR(VLOOKUP(--$L2852,MM_Income!$Z$5:$AC$204,3,FALSE()),"UNMAPPED"))</f>
        <v/>
      </c>
    </row>
    <row r="2853" customFormat="false" ht="13.5" hidden="false" customHeight="false" outlineLevel="0" collapsed="false">
      <c r="A2853" s="1" t="str">
        <f aca="false">IF($C2853="","",Controls!$B$7)</f>
        <v/>
      </c>
      <c r="B2853" s="1" t="str">
        <f aca="false">IF($H2853="","",YEAR($H2853)&amp;"-Q"&amp;ROUNDUP(MONTH($H2853)/3,0))</f>
        <v/>
      </c>
      <c r="S2853" s="1" t="str">
        <f aca="false">IF($C2853="","",$C2853&amp;"|"&amp;$E2853&amp;"|"&amp;$F2853&amp;"|"&amp;$L2853&amp;"|"&amp;$P2853&amp;"|"&amp;TEXT($H2853,"yyyy-mm-dd"))</f>
        <v/>
      </c>
      <c r="T2853" s="1" t="str">
        <f aca="false">IF($S2853="","",IF(COUNTIF($S$2:$S$2991,$S2853)&gt;1,"DUPLICATE","OK"))</f>
        <v/>
      </c>
      <c r="U2853" s="0" t="str">
        <f aca="false">IF($L2853="","",IFERROR(VLOOKUP(--$L2853,MM_Income!$Z$5:$AC$204,3,FALSE()),"UNMAPPED"))</f>
        <v/>
      </c>
    </row>
    <row r="2854" customFormat="false" ht="13.5" hidden="false" customHeight="false" outlineLevel="0" collapsed="false">
      <c r="A2854" s="1" t="str">
        <f aca="false">IF($C2854="","",Controls!$B$7)</f>
        <v/>
      </c>
      <c r="B2854" s="1" t="str">
        <f aca="false">IF($H2854="","",YEAR($H2854)&amp;"-Q"&amp;ROUNDUP(MONTH($H2854)/3,0))</f>
        <v/>
      </c>
      <c r="S2854" s="1" t="str">
        <f aca="false">IF($C2854="","",$C2854&amp;"|"&amp;$E2854&amp;"|"&amp;$F2854&amp;"|"&amp;$L2854&amp;"|"&amp;$P2854&amp;"|"&amp;TEXT($H2854,"yyyy-mm-dd"))</f>
        <v/>
      </c>
      <c r="T2854" s="1" t="str">
        <f aca="false">IF($S2854="","",IF(COUNTIF($S$2:$S$2991,$S2854)&gt;1,"DUPLICATE","OK"))</f>
        <v/>
      </c>
      <c r="U2854" s="0" t="str">
        <f aca="false">IF($L2854="","",IFERROR(VLOOKUP(--$L2854,MM_Income!$Z$5:$AC$204,3,FALSE()),"UNMAPPED"))</f>
        <v/>
      </c>
    </row>
    <row r="2855" customFormat="false" ht="13.5" hidden="false" customHeight="false" outlineLevel="0" collapsed="false">
      <c r="A2855" s="1" t="str">
        <f aca="false">IF($C2855="","",Controls!$B$7)</f>
        <v/>
      </c>
      <c r="B2855" s="1" t="str">
        <f aca="false">IF($H2855="","",YEAR($H2855)&amp;"-Q"&amp;ROUNDUP(MONTH($H2855)/3,0))</f>
        <v/>
      </c>
      <c r="S2855" s="1" t="str">
        <f aca="false">IF($C2855="","",$C2855&amp;"|"&amp;$E2855&amp;"|"&amp;$F2855&amp;"|"&amp;$L2855&amp;"|"&amp;$P2855&amp;"|"&amp;TEXT($H2855,"yyyy-mm-dd"))</f>
        <v/>
      </c>
      <c r="T2855" s="1" t="str">
        <f aca="false">IF($S2855="","",IF(COUNTIF($S$2:$S$2991,$S2855)&gt;1,"DUPLICATE","OK"))</f>
        <v/>
      </c>
      <c r="U2855" s="0" t="str">
        <f aca="false">IF($L2855="","",IFERROR(VLOOKUP(--$L2855,MM_Income!$Z$5:$AC$204,3,FALSE()),"UNMAPPED"))</f>
        <v/>
      </c>
    </row>
    <row r="2856" customFormat="false" ht="13.5" hidden="false" customHeight="false" outlineLevel="0" collapsed="false">
      <c r="A2856" s="1" t="str">
        <f aca="false">IF($C2856="","",Controls!$B$7)</f>
        <v/>
      </c>
      <c r="B2856" s="1" t="str">
        <f aca="false">IF($H2856="","",YEAR($H2856)&amp;"-Q"&amp;ROUNDUP(MONTH($H2856)/3,0))</f>
        <v/>
      </c>
      <c r="S2856" s="1" t="str">
        <f aca="false">IF($C2856="","",$C2856&amp;"|"&amp;$E2856&amp;"|"&amp;$F2856&amp;"|"&amp;$L2856&amp;"|"&amp;$P2856&amp;"|"&amp;TEXT($H2856,"yyyy-mm-dd"))</f>
        <v/>
      </c>
      <c r="T2856" s="1" t="str">
        <f aca="false">IF($S2856="","",IF(COUNTIF($S$2:$S$2991,$S2856)&gt;1,"DUPLICATE","OK"))</f>
        <v/>
      </c>
      <c r="U2856" s="0" t="str">
        <f aca="false">IF($L2856="","",IFERROR(VLOOKUP(--$L2856,MM_Income!$Z$5:$AC$204,3,FALSE()),"UNMAPPED"))</f>
        <v/>
      </c>
    </row>
    <row r="2857" customFormat="false" ht="13.5" hidden="false" customHeight="false" outlineLevel="0" collapsed="false">
      <c r="A2857" s="1" t="str">
        <f aca="false">IF($C2857="","",Controls!$B$7)</f>
        <v/>
      </c>
      <c r="B2857" s="1" t="str">
        <f aca="false">IF($H2857="","",YEAR($H2857)&amp;"-Q"&amp;ROUNDUP(MONTH($H2857)/3,0))</f>
        <v/>
      </c>
      <c r="S2857" s="1" t="str">
        <f aca="false">IF($C2857="","",$C2857&amp;"|"&amp;$E2857&amp;"|"&amp;$F2857&amp;"|"&amp;$L2857&amp;"|"&amp;$P2857&amp;"|"&amp;TEXT($H2857,"yyyy-mm-dd"))</f>
        <v/>
      </c>
      <c r="T2857" s="1" t="str">
        <f aca="false">IF($S2857="","",IF(COUNTIF($S$2:$S$2991,$S2857)&gt;1,"DUPLICATE","OK"))</f>
        <v/>
      </c>
      <c r="U2857" s="0" t="str">
        <f aca="false">IF($L2857="","",IFERROR(VLOOKUP(--$L2857,MM_Income!$Z$5:$AC$204,3,FALSE()),"UNMAPPED"))</f>
        <v/>
      </c>
    </row>
    <row r="2858" customFormat="false" ht="13.5" hidden="false" customHeight="false" outlineLevel="0" collapsed="false">
      <c r="A2858" s="1" t="str">
        <f aca="false">IF($C2858="","",Controls!$B$7)</f>
        <v/>
      </c>
      <c r="B2858" s="1" t="str">
        <f aca="false">IF($H2858="","",YEAR($H2858)&amp;"-Q"&amp;ROUNDUP(MONTH($H2858)/3,0))</f>
        <v/>
      </c>
      <c r="S2858" s="1" t="str">
        <f aca="false">IF($C2858="","",$C2858&amp;"|"&amp;$E2858&amp;"|"&amp;$F2858&amp;"|"&amp;$L2858&amp;"|"&amp;$P2858&amp;"|"&amp;TEXT($H2858,"yyyy-mm-dd"))</f>
        <v/>
      </c>
      <c r="T2858" s="1" t="str">
        <f aca="false">IF($S2858="","",IF(COUNTIF($S$2:$S$2991,$S2858)&gt;1,"DUPLICATE","OK"))</f>
        <v/>
      </c>
      <c r="U2858" s="0" t="str">
        <f aca="false">IF($L2858="","",IFERROR(VLOOKUP(--$L2858,MM_Income!$Z$5:$AC$204,3,FALSE()),"UNMAPPED"))</f>
        <v/>
      </c>
    </row>
    <row r="2859" customFormat="false" ht="13.5" hidden="false" customHeight="false" outlineLevel="0" collapsed="false">
      <c r="A2859" s="1" t="str">
        <f aca="false">IF($C2859="","",Controls!$B$7)</f>
        <v/>
      </c>
      <c r="B2859" s="1" t="str">
        <f aca="false">IF($H2859="","",YEAR($H2859)&amp;"-Q"&amp;ROUNDUP(MONTH($H2859)/3,0))</f>
        <v/>
      </c>
      <c r="S2859" s="1" t="str">
        <f aca="false">IF($C2859="","",$C2859&amp;"|"&amp;$E2859&amp;"|"&amp;$F2859&amp;"|"&amp;$L2859&amp;"|"&amp;$P2859&amp;"|"&amp;TEXT($H2859,"yyyy-mm-dd"))</f>
        <v/>
      </c>
      <c r="T2859" s="1" t="str">
        <f aca="false">IF($S2859="","",IF(COUNTIF($S$2:$S$2991,$S2859)&gt;1,"DUPLICATE","OK"))</f>
        <v/>
      </c>
      <c r="U2859" s="0" t="str">
        <f aca="false">IF($L2859="","",IFERROR(VLOOKUP(--$L2859,MM_Income!$Z$5:$AC$204,3,FALSE()),"UNMAPPED"))</f>
        <v/>
      </c>
    </row>
    <row r="2860" customFormat="false" ht="13.5" hidden="false" customHeight="false" outlineLevel="0" collapsed="false">
      <c r="A2860" s="1" t="str">
        <f aca="false">IF($C2860="","",Controls!$B$7)</f>
        <v/>
      </c>
      <c r="B2860" s="1" t="str">
        <f aca="false">IF($H2860="","",YEAR($H2860)&amp;"-Q"&amp;ROUNDUP(MONTH($H2860)/3,0))</f>
        <v/>
      </c>
      <c r="S2860" s="1" t="str">
        <f aca="false">IF($C2860="","",$C2860&amp;"|"&amp;$E2860&amp;"|"&amp;$F2860&amp;"|"&amp;$L2860&amp;"|"&amp;$P2860&amp;"|"&amp;TEXT($H2860,"yyyy-mm-dd"))</f>
        <v/>
      </c>
      <c r="T2860" s="1" t="str">
        <f aca="false">IF($S2860="","",IF(COUNTIF($S$2:$S$2991,$S2860)&gt;1,"DUPLICATE","OK"))</f>
        <v/>
      </c>
      <c r="U2860" s="0" t="str">
        <f aca="false">IF($L2860="","",IFERROR(VLOOKUP(--$L2860,MM_Income!$Z$5:$AC$204,3,FALSE()),"UNMAPPED"))</f>
        <v/>
      </c>
    </row>
    <row r="2861" customFormat="false" ht="13.5" hidden="false" customHeight="false" outlineLevel="0" collapsed="false">
      <c r="A2861" s="1" t="str">
        <f aca="false">IF($C2861="","",Controls!$B$7)</f>
        <v/>
      </c>
      <c r="B2861" s="1" t="str">
        <f aca="false">IF($H2861="","",YEAR($H2861)&amp;"-Q"&amp;ROUNDUP(MONTH($H2861)/3,0))</f>
        <v/>
      </c>
      <c r="S2861" s="1" t="str">
        <f aca="false">IF($C2861="","",$C2861&amp;"|"&amp;$E2861&amp;"|"&amp;$F2861&amp;"|"&amp;$L2861&amp;"|"&amp;$P2861&amp;"|"&amp;TEXT($H2861,"yyyy-mm-dd"))</f>
        <v/>
      </c>
      <c r="T2861" s="1" t="str">
        <f aca="false">IF($S2861="","",IF(COUNTIF($S$2:$S$2991,$S2861)&gt;1,"DUPLICATE","OK"))</f>
        <v/>
      </c>
      <c r="U2861" s="0" t="str">
        <f aca="false">IF($L2861="","",IFERROR(VLOOKUP(--$L2861,MM_Income!$Z$5:$AC$204,3,FALSE()),"UNMAPPED"))</f>
        <v/>
      </c>
    </row>
    <row r="2862" customFormat="false" ht="13.5" hidden="false" customHeight="false" outlineLevel="0" collapsed="false">
      <c r="A2862" s="1" t="str">
        <f aca="false">IF($C2862="","",Controls!$B$7)</f>
        <v/>
      </c>
      <c r="B2862" s="1" t="str">
        <f aca="false">IF($H2862="","",YEAR($H2862)&amp;"-Q"&amp;ROUNDUP(MONTH($H2862)/3,0))</f>
        <v/>
      </c>
      <c r="S2862" s="1" t="str">
        <f aca="false">IF($C2862="","",$C2862&amp;"|"&amp;$E2862&amp;"|"&amp;$F2862&amp;"|"&amp;$L2862&amp;"|"&amp;$P2862&amp;"|"&amp;TEXT($H2862,"yyyy-mm-dd"))</f>
        <v/>
      </c>
      <c r="T2862" s="1" t="str">
        <f aca="false">IF($S2862="","",IF(COUNTIF($S$2:$S$2991,$S2862)&gt;1,"DUPLICATE","OK"))</f>
        <v/>
      </c>
      <c r="U2862" s="0" t="str">
        <f aca="false">IF($L2862="","",IFERROR(VLOOKUP(--$L2862,MM_Income!$Z$5:$AC$204,3,FALSE()),"UNMAPPED"))</f>
        <v/>
      </c>
    </row>
    <row r="2863" customFormat="false" ht="13.5" hidden="false" customHeight="false" outlineLevel="0" collapsed="false">
      <c r="A2863" s="1" t="str">
        <f aca="false">IF($C2863="","",Controls!$B$7)</f>
        <v/>
      </c>
      <c r="B2863" s="1" t="str">
        <f aca="false">IF($H2863="","",YEAR($H2863)&amp;"-Q"&amp;ROUNDUP(MONTH($H2863)/3,0))</f>
        <v/>
      </c>
      <c r="S2863" s="1" t="str">
        <f aca="false">IF($C2863="","",$C2863&amp;"|"&amp;$E2863&amp;"|"&amp;$F2863&amp;"|"&amp;$L2863&amp;"|"&amp;$P2863&amp;"|"&amp;TEXT($H2863,"yyyy-mm-dd"))</f>
        <v/>
      </c>
      <c r="T2863" s="1" t="str">
        <f aca="false">IF($S2863="","",IF(COUNTIF($S$2:$S$2991,$S2863)&gt;1,"DUPLICATE","OK"))</f>
        <v/>
      </c>
      <c r="U2863" s="0" t="str">
        <f aca="false">IF($L2863="","",IFERROR(VLOOKUP(--$L2863,MM_Income!$Z$5:$AC$204,3,FALSE()),"UNMAPPED"))</f>
        <v/>
      </c>
    </row>
    <row r="2864" customFormat="false" ht="13.5" hidden="false" customHeight="false" outlineLevel="0" collapsed="false">
      <c r="A2864" s="1" t="str">
        <f aca="false">IF($C2864="","",Controls!$B$7)</f>
        <v/>
      </c>
      <c r="B2864" s="1" t="str">
        <f aca="false">IF($H2864="","",YEAR($H2864)&amp;"-Q"&amp;ROUNDUP(MONTH($H2864)/3,0))</f>
        <v/>
      </c>
      <c r="S2864" s="1" t="str">
        <f aca="false">IF($C2864="","",$C2864&amp;"|"&amp;$E2864&amp;"|"&amp;$F2864&amp;"|"&amp;$L2864&amp;"|"&amp;$P2864&amp;"|"&amp;TEXT($H2864,"yyyy-mm-dd"))</f>
        <v/>
      </c>
      <c r="T2864" s="1" t="str">
        <f aca="false">IF($S2864="","",IF(COUNTIF($S$2:$S$2991,$S2864)&gt;1,"DUPLICATE","OK"))</f>
        <v/>
      </c>
      <c r="U2864" s="0" t="str">
        <f aca="false">IF($L2864="","",IFERROR(VLOOKUP(--$L2864,MM_Income!$Z$5:$AC$204,3,FALSE()),"UNMAPPED"))</f>
        <v/>
      </c>
    </row>
    <row r="2865" customFormat="false" ht="13.5" hidden="false" customHeight="false" outlineLevel="0" collapsed="false">
      <c r="A2865" s="1" t="str">
        <f aca="false">IF($C2865="","",Controls!$B$7)</f>
        <v/>
      </c>
      <c r="B2865" s="1" t="str">
        <f aca="false">IF($H2865="","",YEAR($H2865)&amp;"-Q"&amp;ROUNDUP(MONTH($H2865)/3,0))</f>
        <v/>
      </c>
      <c r="S2865" s="1" t="str">
        <f aca="false">IF($C2865="","",$C2865&amp;"|"&amp;$E2865&amp;"|"&amp;$F2865&amp;"|"&amp;$L2865&amp;"|"&amp;$P2865&amp;"|"&amp;TEXT($H2865,"yyyy-mm-dd"))</f>
        <v/>
      </c>
      <c r="T2865" s="1" t="str">
        <f aca="false">IF($S2865="","",IF(COUNTIF($S$2:$S$2991,$S2865)&gt;1,"DUPLICATE","OK"))</f>
        <v/>
      </c>
      <c r="U2865" s="0" t="str">
        <f aca="false">IF($L2865="","",IFERROR(VLOOKUP(--$L2865,MM_Income!$Z$5:$AC$204,3,FALSE()),"UNMAPPED"))</f>
        <v/>
      </c>
    </row>
    <row r="2866" customFormat="false" ht="13.5" hidden="false" customHeight="false" outlineLevel="0" collapsed="false">
      <c r="A2866" s="1" t="str">
        <f aca="false">IF($C2866="","",Controls!$B$7)</f>
        <v/>
      </c>
      <c r="B2866" s="1" t="str">
        <f aca="false">IF($H2866="","",YEAR($H2866)&amp;"-Q"&amp;ROUNDUP(MONTH($H2866)/3,0))</f>
        <v/>
      </c>
      <c r="S2866" s="1" t="str">
        <f aca="false">IF($C2866="","",$C2866&amp;"|"&amp;$E2866&amp;"|"&amp;$F2866&amp;"|"&amp;$L2866&amp;"|"&amp;$P2866&amp;"|"&amp;TEXT($H2866,"yyyy-mm-dd"))</f>
        <v/>
      </c>
      <c r="T2866" s="1" t="str">
        <f aca="false">IF($S2866="","",IF(COUNTIF($S$2:$S$2991,$S2866)&gt;1,"DUPLICATE","OK"))</f>
        <v/>
      </c>
      <c r="U2866" s="0" t="str">
        <f aca="false">IF($L2866="","",IFERROR(VLOOKUP(--$L2866,MM_Income!$Z$5:$AC$204,3,FALSE()),"UNMAPPED"))</f>
        <v/>
      </c>
    </row>
    <row r="2867" customFormat="false" ht="13.5" hidden="false" customHeight="false" outlineLevel="0" collapsed="false">
      <c r="A2867" s="1" t="str">
        <f aca="false">IF($C2867="","",Controls!$B$7)</f>
        <v/>
      </c>
      <c r="B2867" s="1" t="str">
        <f aca="false">IF($H2867="","",YEAR($H2867)&amp;"-Q"&amp;ROUNDUP(MONTH($H2867)/3,0))</f>
        <v/>
      </c>
      <c r="S2867" s="1" t="str">
        <f aca="false">IF($C2867="","",$C2867&amp;"|"&amp;$E2867&amp;"|"&amp;$F2867&amp;"|"&amp;$L2867&amp;"|"&amp;$P2867&amp;"|"&amp;TEXT($H2867,"yyyy-mm-dd"))</f>
        <v/>
      </c>
      <c r="T2867" s="1" t="str">
        <f aca="false">IF($S2867="","",IF(COUNTIF($S$2:$S$2991,$S2867)&gt;1,"DUPLICATE","OK"))</f>
        <v/>
      </c>
      <c r="U2867" s="0" t="str">
        <f aca="false">IF($L2867="","",IFERROR(VLOOKUP(--$L2867,MM_Income!$Z$5:$AC$204,3,FALSE()),"UNMAPPED"))</f>
        <v/>
      </c>
    </row>
    <row r="2868" customFormat="false" ht="13.5" hidden="false" customHeight="false" outlineLevel="0" collapsed="false">
      <c r="A2868" s="1" t="str">
        <f aca="false">IF($C2868="","",Controls!$B$7)</f>
        <v/>
      </c>
      <c r="B2868" s="1" t="str">
        <f aca="false">IF($H2868="","",YEAR($H2868)&amp;"-Q"&amp;ROUNDUP(MONTH($H2868)/3,0))</f>
        <v/>
      </c>
      <c r="S2868" s="1" t="str">
        <f aca="false">IF($C2868="","",$C2868&amp;"|"&amp;$E2868&amp;"|"&amp;$F2868&amp;"|"&amp;$L2868&amp;"|"&amp;$P2868&amp;"|"&amp;TEXT($H2868,"yyyy-mm-dd"))</f>
        <v/>
      </c>
      <c r="T2868" s="1" t="str">
        <f aca="false">IF($S2868="","",IF(COUNTIF($S$2:$S$2991,$S2868)&gt;1,"DUPLICATE","OK"))</f>
        <v/>
      </c>
      <c r="U2868" s="0" t="str">
        <f aca="false">IF($L2868="","",IFERROR(VLOOKUP(--$L2868,MM_Income!$Z$5:$AC$204,3,FALSE()),"UNMAPPED"))</f>
        <v/>
      </c>
    </row>
    <row r="2869" customFormat="false" ht="13.5" hidden="false" customHeight="false" outlineLevel="0" collapsed="false">
      <c r="A2869" s="1" t="str">
        <f aca="false">IF($C2869="","",Controls!$B$7)</f>
        <v/>
      </c>
      <c r="B2869" s="1" t="str">
        <f aca="false">IF($H2869="","",YEAR($H2869)&amp;"-Q"&amp;ROUNDUP(MONTH($H2869)/3,0))</f>
        <v/>
      </c>
      <c r="S2869" s="1" t="str">
        <f aca="false">IF($C2869="","",$C2869&amp;"|"&amp;$E2869&amp;"|"&amp;$F2869&amp;"|"&amp;$L2869&amp;"|"&amp;$P2869&amp;"|"&amp;TEXT($H2869,"yyyy-mm-dd"))</f>
        <v/>
      </c>
      <c r="T2869" s="1" t="str">
        <f aca="false">IF($S2869="","",IF(COUNTIF($S$2:$S$2991,$S2869)&gt;1,"DUPLICATE","OK"))</f>
        <v/>
      </c>
      <c r="U2869" s="0" t="str">
        <f aca="false">IF($L2869="","",IFERROR(VLOOKUP(--$L2869,MM_Income!$Z$5:$AC$204,3,FALSE()),"UNMAPPED"))</f>
        <v/>
      </c>
    </row>
    <row r="2870" customFormat="false" ht="13.5" hidden="false" customHeight="false" outlineLevel="0" collapsed="false">
      <c r="A2870" s="1" t="str">
        <f aca="false">IF($C2870="","",Controls!$B$7)</f>
        <v/>
      </c>
      <c r="B2870" s="1" t="str">
        <f aca="false">IF($H2870="","",YEAR($H2870)&amp;"-Q"&amp;ROUNDUP(MONTH($H2870)/3,0))</f>
        <v/>
      </c>
      <c r="S2870" s="1" t="str">
        <f aca="false">IF($C2870="","",$C2870&amp;"|"&amp;$E2870&amp;"|"&amp;$F2870&amp;"|"&amp;$L2870&amp;"|"&amp;$P2870&amp;"|"&amp;TEXT($H2870,"yyyy-mm-dd"))</f>
        <v/>
      </c>
      <c r="T2870" s="1" t="str">
        <f aca="false">IF($S2870="","",IF(COUNTIF($S$2:$S$2991,$S2870)&gt;1,"DUPLICATE","OK"))</f>
        <v/>
      </c>
      <c r="U2870" s="0" t="str">
        <f aca="false">IF($L2870="","",IFERROR(VLOOKUP(--$L2870,MM_Income!$Z$5:$AC$204,3,FALSE()),"UNMAPPED"))</f>
        <v/>
      </c>
    </row>
    <row r="2871" customFormat="false" ht="13.5" hidden="false" customHeight="false" outlineLevel="0" collapsed="false">
      <c r="A2871" s="1" t="str">
        <f aca="false">IF($C2871="","",Controls!$B$7)</f>
        <v/>
      </c>
      <c r="B2871" s="1" t="str">
        <f aca="false">IF($H2871="","",YEAR($H2871)&amp;"-Q"&amp;ROUNDUP(MONTH($H2871)/3,0))</f>
        <v/>
      </c>
      <c r="S2871" s="1" t="str">
        <f aca="false">IF($C2871="","",$C2871&amp;"|"&amp;$E2871&amp;"|"&amp;$F2871&amp;"|"&amp;$L2871&amp;"|"&amp;$P2871&amp;"|"&amp;TEXT($H2871,"yyyy-mm-dd"))</f>
        <v/>
      </c>
      <c r="T2871" s="1" t="str">
        <f aca="false">IF($S2871="","",IF(COUNTIF($S$2:$S$2991,$S2871)&gt;1,"DUPLICATE","OK"))</f>
        <v/>
      </c>
      <c r="U2871" s="0" t="str">
        <f aca="false">IF($L2871="","",IFERROR(VLOOKUP(--$L2871,MM_Income!$Z$5:$AC$204,3,FALSE()),"UNMAPPED"))</f>
        <v/>
      </c>
    </row>
    <row r="2872" customFormat="false" ht="13.5" hidden="false" customHeight="false" outlineLevel="0" collapsed="false">
      <c r="A2872" s="1" t="str">
        <f aca="false">IF($C2872="","",Controls!$B$7)</f>
        <v/>
      </c>
      <c r="B2872" s="1" t="str">
        <f aca="false">IF($H2872="","",YEAR($H2872)&amp;"-Q"&amp;ROUNDUP(MONTH($H2872)/3,0))</f>
        <v/>
      </c>
      <c r="S2872" s="1" t="str">
        <f aca="false">IF($C2872="","",$C2872&amp;"|"&amp;$E2872&amp;"|"&amp;$F2872&amp;"|"&amp;$L2872&amp;"|"&amp;$P2872&amp;"|"&amp;TEXT($H2872,"yyyy-mm-dd"))</f>
        <v/>
      </c>
      <c r="T2872" s="1" t="str">
        <f aca="false">IF($S2872="","",IF(COUNTIF($S$2:$S$2991,$S2872)&gt;1,"DUPLICATE","OK"))</f>
        <v/>
      </c>
      <c r="U2872" s="0" t="str">
        <f aca="false">IF($L2872="","",IFERROR(VLOOKUP(--$L2872,MM_Income!$Z$5:$AC$204,3,FALSE()),"UNMAPPED"))</f>
        <v/>
      </c>
    </row>
    <row r="2873" customFormat="false" ht="13.5" hidden="false" customHeight="false" outlineLevel="0" collapsed="false">
      <c r="A2873" s="1" t="str">
        <f aca="false">IF($C2873="","",Controls!$B$7)</f>
        <v/>
      </c>
      <c r="B2873" s="1" t="str">
        <f aca="false">IF($H2873="","",YEAR($H2873)&amp;"-Q"&amp;ROUNDUP(MONTH($H2873)/3,0))</f>
        <v/>
      </c>
      <c r="S2873" s="1" t="str">
        <f aca="false">IF($C2873="","",$C2873&amp;"|"&amp;$E2873&amp;"|"&amp;$F2873&amp;"|"&amp;$L2873&amp;"|"&amp;$P2873&amp;"|"&amp;TEXT($H2873,"yyyy-mm-dd"))</f>
        <v/>
      </c>
      <c r="T2873" s="1" t="str">
        <f aca="false">IF($S2873="","",IF(COUNTIF($S$2:$S$2991,$S2873)&gt;1,"DUPLICATE","OK"))</f>
        <v/>
      </c>
      <c r="U2873" s="0" t="str">
        <f aca="false">IF($L2873="","",IFERROR(VLOOKUP(--$L2873,MM_Income!$Z$5:$AC$204,3,FALSE()),"UNMAPPED"))</f>
        <v/>
      </c>
    </row>
    <row r="2874" customFormat="false" ht="13.5" hidden="false" customHeight="false" outlineLevel="0" collapsed="false">
      <c r="A2874" s="1" t="str">
        <f aca="false">IF($C2874="","",Controls!$B$7)</f>
        <v/>
      </c>
      <c r="B2874" s="1" t="str">
        <f aca="false">IF($H2874="","",YEAR($H2874)&amp;"-Q"&amp;ROUNDUP(MONTH($H2874)/3,0))</f>
        <v/>
      </c>
      <c r="S2874" s="1" t="str">
        <f aca="false">IF($C2874="","",$C2874&amp;"|"&amp;$E2874&amp;"|"&amp;$F2874&amp;"|"&amp;$L2874&amp;"|"&amp;$P2874&amp;"|"&amp;TEXT($H2874,"yyyy-mm-dd"))</f>
        <v/>
      </c>
      <c r="T2874" s="1" t="str">
        <f aca="false">IF($S2874="","",IF(COUNTIF($S$2:$S$2991,$S2874)&gt;1,"DUPLICATE","OK"))</f>
        <v/>
      </c>
      <c r="U2874" s="0" t="str">
        <f aca="false">IF($L2874="","",IFERROR(VLOOKUP(--$L2874,MM_Income!$Z$5:$AC$204,3,FALSE()),"UNMAPPED"))</f>
        <v/>
      </c>
    </row>
    <row r="2875" customFormat="false" ht="13.5" hidden="false" customHeight="false" outlineLevel="0" collapsed="false">
      <c r="A2875" s="1" t="str">
        <f aca="false">IF($C2875="","",Controls!$B$7)</f>
        <v/>
      </c>
      <c r="B2875" s="1" t="str">
        <f aca="false">IF($H2875="","",YEAR($H2875)&amp;"-Q"&amp;ROUNDUP(MONTH($H2875)/3,0))</f>
        <v/>
      </c>
      <c r="S2875" s="1" t="str">
        <f aca="false">IF($C2875="","",$C2875&amp;"|"&amp;$E2875&amp;"|"&amp;$F2875&amp;"|"&amp;$L2875&amp;"|"&amp;$P2875&amp;"|"&amp;TEXT($H2875,"yyyy-mm-dd"))</f>
        <v/>
      </c>
      <c r="T2875" s="1" t="str">
        <f aca="false">IF($S2875="","",IF(COUNTIF($S$2:$S$2991,$S2875)&gt;1,"DUPLICATE","OK"))</f>
        <v/>
      </c>
      <c r="U2875" s="0" t="str">
        <f aca="false">IF($L2875="","",IFERROR(VLOOKUP(--$L2875,MM_Income!$Z$5:$AC$204,3,FALSE()),"UNMAPPED"))</f>
        <v/>
      </c>
    </row>
    <row r="2876" customFormat="false" ht="13.5" hidden="false" customHeight="false" outlineLevel="0" collapsed="false">
      <c r="A2876" s="1" t="str">
        <f aca="false">IF($C2876="","",Controls!$B$7)</f>
        <v/>
      </c>
      <c r="B2876" s="1" t="str">
        <f aca="false">IF($H2876="","",YEAR($H2876)&amp;"-Q"&amp;ROUNDUP(MONTH($H2876)/3,0))</f>
        <v/>
      </c>
      <c r="S2876" s="1" t="str">
        <f aca="false">IF($C2876="","",$C2876&amp;"|"&amp;$E2876&amp;"|"&amp;$F2876&amp;"|"&amp;$L2876&amp;"|"&amp;$P2876&amp;"|"&amp;TEXT($H2876,"yyyy-mm-dd"))</f>
        <v/>
      </c>
      <c r="T2876" s="1" t="str">
        <f aca="false">IF($S2876="","",IF(COUNTIF($S$2:$S$2991,$S2876)&gt;1,"DUPLICATE","OK"))</f>
        <v/>
      </c>
      <c r="U2876" s="0" t="str">
        <f aca="false">IF($L2876="","",IFERROR(VLOOKUP(--$L2876,MM_Income!$Z$5:$AC$204,3,FALSE()),"UNMAPPED"))</f>
        <v/>
      </c>
    </row>
    <row r="2877" customFormat="false" ht="13.5" hidden="false" customHeight="false" outlineLevel="0" collapsed="false">
      <c r="A2877" s="1" t="str">
        <f aca="false">IF($C2877="","",Controls!$B$7)</f>
        <v/>
      </c>
      <c r="B2877" s="1" t="str">
        <f aca="false">IF($H2877="","",YEAR($H2877)&amp;"-Q"&amp;ROUNDUP(MONTH($H2877)/3,0))</f>
        <v/>
      </c>
      <c r="S2877" s="1" t="str">
        <f aca="false">IF($C2877="","",$C2877&amp;"|"&amp;$E2877&amp;"|"&amp;$F2877&amp;"|"&amp;$L2877&amp;"|"&amp;$P2877&amp;"|"&amp;TEXT($H2877,"yyyy-mm-dd"))</f>
        <v/>
      </c>
      <c r="T2877" s="1" t="str">
        <f aca="false">IF($S2877="","",IF(COUNTIF($S$2:$S$2991,$S2877)&gt;1,"DUPLICATE","OK"))</f>
        <v/>
      </c>
      <c r="U2877" s="0" t="str">
        <f aca="false">IF($L2877="","",IFERROR(VLOOKUP(--$L2877,MM_Income!$Z$5:$AC$204,3,FALSE()),"UNMAPPED"))</f>
        <v/>
      </c>
    </row>
    <row r="2878" customFormat="false" ht="13.5" hidden="false" customHeight="false" outlineLevel="0" collapsed="false">
      <c r="A2878" s="1" t="str">
        <f aca="false">IF($C2878="","",Controls!$B$7)</f>
        <v/>
      </c>
      <c r="B2878" s="1" t="str">
        <f aca="false">IF($H2878="","",YEAR($H2878)&amp;"-Q"&amp;ROUNDUP(MONTH($H2878)/3,0))</f>
        <v/>
      </c>
      <c r="S2878" s="1" t="str">
        <f aca="false">IF($C2878="","",$C2878&amp;"|"&amp;$E2878&amp;"|"&amp;$F2878&amp;"|"&amp;$L2878&amp;"|"&amp;$P2878&amp;"|"&amp;TEXT($H2878,"yyyy-mm-dd"))</f>
        <v/>
      </c>
      <c r="T2878" s="1" t="str">
        <f aca="false">IF($S2878="","",IF(COUNTIF($S$2:$S$2991,$S2878)&gt;1,"DUPLICATE","OK"))</f>
        <v/>
      </c>
      <c r="U2878" s="0" t="str">
        <f aca="false">IF($L2878="","",IFERROR(VLOOKUP(--$L2878,MM_Income!$Z$5:$AC$204,3,FALSE()),"UNMAPPED"))</f>
        <v/>
      </c>
    </row>
    <row r="2879" customFormat="false" ht="13.5" hidden="false" customHeight="false" outlineLevel="0" collapsed="false">
      <c r="A2879" s="1" t="str">
        <f aca="false">IF($C2879="","",Controls!$B$7)</f>
        <v/>
      </c>
      <c r="B2879" s="1" t="str">
        <f aca="false">IF($H2879="","",YEAR($H2879)&amp;"-Q"&amp;ROUNDUP(MONTH($H2879)/3,0))</f>
        <v/>
      </c>
      <c r="S2879" s="1" t="str">
        <f aca="false">IF($C2879="","",$C2879&amp;"|"&amp;$E2879&amp;"|"&amp;$F2879&amp;"|"&amp;$L2879&amp;"|"&amp;$P2879&amp;"|"&amp;TEXT($H2879,"yyyy-mm-dd"))</f>
        <v/>
      </c>
      <c r="T2879" s="1" t="str">
        <f aca="false">IF($S2879="","",IF(COUNTIF($S$2:$S$2991,$S2879)&gt;1,"DUPLICATE","OK"))</f>
        <v/>
      </c>
      <c r="U2879" s="0" t="str">
        <f aca="false">IF($L2879="","",IFERROR(VLOOKUP(--$L2879,MM_Income!$Z$5:$AC$204,3,FALSE()),"UNMAPPED"))</f>
        <v/>
      </c>
    </row>
    <row r="2880" customFormat="false" ht="13.5" hidden="false" customHeight="false" outlineLevel="0" collapsed="false">
      <c r="A2880" s="1" t="str">
        <f aca="false">IF($C2880="","",Controls!$B$7)</f>
        <v/>
      </c>
      <c r="B2880" s="1" t="str">
        <f aca="false">IF($H2880="","",YEAR($H2880)&amp;"-Q"&amp;ROUNDUP(MONTH($H2880)/3,0))</f>
        <v/>
      </c>
      <c r="S2880" s="1" t="str">
        <f aca="false">IF($C2880="","",$C2880&amp;"|"&amp;$E2880&amp;"|"&amp;$F2880&amp;"|"&amp;$L2880&amp;"|"&amp;$P2880&amp;"|"&amp;TEXT($H2880,"yyyy-mm-dd"))</f>
        <v/>
      </c>
      <c r="T2880" s="1" t="str">
        <f aca="false">IF($S2880="","",IF(COUNTIF($S$2:$S$2991,$S2880)&gt;1,"DUPLICATE","OK"))</f>
        <v/>
      </c>
      <c r="U2880" s="0" t="str">
        <f aca="false">IF($L2880="","",IFERROR(VLOOKUP(--$L2880,MM_Income!$Z$5:$AC$204,3,FALSE()),"UNMAPPED"))</f>
        <v/>
      </c>
    </row>
    <row r="2881" customFormat="false" ht="13.5" hidden="false" customHeight="false" outlineLevel="0" collapsed="false">
      <c r="A2881" s="1" t="str">
        <f aca="false">IF($C2881="","",Controls!$B$7)</f>
        <v/>
      </c>
      <c r="B2881" s="1" t="str">
        <f aca="false">IF($H2881="","",YEAR($H2881)&amp;"-Q"&amp;ROUNDUP(MONTH($H2881)/3,0))</f>
        <v/>
      </c>
      <c r="S2881" s="1" t="str">
        <f aca="false">IF($C2881="","",$C2881&amp;"|"&amp;$E2881&amp;"|"&amp;$F2881&amp;"|"&amp;$L2881&amp;"|"&amp;$P2881&amp;"|"&amp;TEXT($H2881,"yyyy-mm-dd"))</f>
        <v/>
      </c>
      <c r="T2881" s="1" t="str">
        <f aca="false">IF($S2881="","",IF(COUNTIF($S$2:$S$2991,$S2881)&gt;1,"DUPLICATE","OK"))</f>
        <v/>
      </c>
      <c r="U2881" s="0" t="str">
        <f aca="false">IF($L2881="","",IFERROR(VLOOKUP(--$L2881,MM_Income!$Z$5:$AC$204,3,FALSE()),"UNMAPPED"))</f>
        <v/>
      </c>
    </row>
    <row r="2882" customFormat="false" ht="13.5" hidden="false" customHeight="false" outlineLevel="0" collapsed="false">
      <c r="A2882" s="1" t="str">
        <f aca="false">IF($C2882="","",Controls!$B$7)</f>
        <v/>
      </c>
      <c r="B2882" s="1" t="str">
        <f aca="false">IF($H2882="","",YEAR($H2882)&amp;"-Q"&amp;ROUNDUP(MONTH($H2882)/3,0))</f>
        <v/>
      </c>
      <c r="S2882" s="1" t="str">
        <f aca="false">IF($C2882="","",$C2882&amp;"|"&amp;$E2882&amp;"|"&amp;$F2882&amp;"|"&amp;$L2882&amp;"|"&amp;$P2882&amp;"|"&amp;TEXT($H2882,"yyyy-mm-dd"))</f>
        <v/>
      </c>
      <c r="T2882" s="1" t="str">
        <f aca="false">IF($S2882="","",IF(COUNTIF($S$2:$S$2991,$S2882)&gt;1,"DUPLICATE","OK"))</f>
        <v/>
      </c>
      <c r="U2882" s="0" t="str">
        <f aca="false">IF($L2882="","",IFERROR(VLOOKUP(--$L2882,MM_Income!$Z$5:$AC$204,3,FALSE()),"UNMAPPED"))</f>
        <v/>
      </c>
    </row>
    <row r="2883" customFormat="false" ht="13.5" hidden="false" customHeight="false" outlineLevel="0" collapsed="false">
      <c r="A2883" s="1" t="str">
        <f aca="false">IF($C2883="","",Controls!$B$7)</f>
        <v/>
      </c>
      <c r="B2883" s="1" t="str">
        <f aca="false">IF($H2883="","",YEAR($H2883)&amp;"-Q"&amp;ROUNDUP(MONTH($H2883)/3,0))</f>
        <v/>
      </c>
      <c r="S2883" s="1" t="str">
        <f aca="false">IF($C2883="","",$C2883&amp;"|"&amp;$E2883&amp;"|"&amp;$F2883&amp;"|"&amp;$L2883&amp;"|"&amp;$P2883&amp;"|"&amp;TEXT($H2883,"yyyy-mm-dd"))</f>
        <v/>
      </c>
      <c r="T2883" s="1" t="str">
        <f aca="false">IF($S2883="","",IF(COUNTIF($S$2:$S$2991,$S2883)&gt;1,"DUPLICATE","OK"))</f>
        <v/>
      </c>
      <c r="U2883" s="0" t="str">
        <f aca="false">IF($L2883="","",IFERROR(VLOOKUP(--$L2883,MM_Income!$Z$5:$AC$204,3,FALSE()),"UNMAPPED"))</f>
        <v/>
      </c>
    </row>
    <row r="2884" customFormat="false" ht="13.5" hidden="false" customHeight="false" outlineLevel="0" collapsed="false">
      <c r="A2884" s="1" t="str">
        <f aca="false">IF($C2884="","",Controls!$B$7)</f>
        <v/>
      </c>
      <c r="B2884" s="1" t="str">
        <f aca="false">IF($H2884="","",YEAR($H2884)&amp;"-Q"&amp;ROUNDUP(MONTH($H2884)/3,0))</f>
        <v/>
      </c>
      <c r="S2884" s="1" t="str">
        <f aca="false">IF($C2884="","",$C2884&amp;"|"&amp;$E2884&amp;"|"&amp;$F2884&amp;"|"&amp;$L2884&amp;"|"&amp;$P2884&amp;"|"&amp;TEXT($H2884,"yyyy-mm-dd"))</f>
        <v/>
      </c>
      <c r="T2884" s="1" t="str">
        <f aca="false">IF($S2884="","",IF(COUNTIF($S$2:$S$2991,$S2884)&gt;1,"DUPLICATE","OK"))</f>
        <v/>
      </c>
      <c r="U2884" s="0" t="str">
        <f aca="false">IF($L2884="","",IFERROR(VLOOKUP(--$L2884,MM_Income!$Z$5:$AC$204,3,FALSE()),"UNMAPPED"))</f>
        <v/>
      </c>
    </row>
    <row r="2885" customFormat="false" ht="13.5" hidden="false" customHeight="false" outlineLevel="0" collapsed="false">
      <c r="A2885" s="1" t="str">
        <f aca="false">IF($C2885="","",Controls!$B$7)</f>
        <v/>
      </c>
      <c r="B2885" s="1" t="str">
        <f aca="false">IF($H2885="","",YEAR($H2885)&amp;"-Q"&amp;ROUNDUP(MONTH($H2885)/3,0))</f>
        <v/>
      </c>
      <c r="S2885" s="1" t="str">
        <f aca="false">IF($C2885="","",$C2885&amp;"|"&amp;$E2885&amp;"|"&amp;$F2885&amp;"|"&amp;$L2885&amp;"|"&amp;$P2885&amp;"|"&amp;TEXT($H2885,"yyyy-mm-dd"))</f>
        <v/>
      </c>
      <c r="T2885" s="1" t="str">
        <f aca="false">IF($S2885="","",IF(COUNTIF($S$2:$S$2991,$S2885)&gt;1,"DUPLICATE","OK"))</f>
        <v/>
      </c>
      <c r="U2885" s="0" t="str">
        <f aca="false">IF($L2885="","",IFERROR(VLOOKUP(--$L2885,MM_Income!$Z$5:$AC$204,3,FALSE()),"UNMAPPED"))</f>
        <v/>
      </c>
    </row>
    <row r="2886" customFormat="false" ht="13.5" hidden="false" customHeight="false" outlineLevel="0" collapsed="false">
      <c r="A2886" s="1" t="str">
        <f aca="false">IF($C2886="","",Controls!$B$7)</f>
        <v/>
      </c>
      <c r="B2886" s="1" t="str">
        <f aca="false">IF($H2886="","",YEAR($H2886)&amp;"-Q"&amp;ROUNDUP(MONTH($H2886)/3,0))</f>
        <v/>
      </c>
      <c r="S2886" s="1" t="str">
        <f aca="false">IF($C2886="","",$C2886&amp;"|"&amp;$E2886&amp;"|"&amp;$F2886&amp;"|"&amp;$L2886&amp;"|"&amp;$P2886&amp;"|"&amp;TEXT($H2886,"yyyy-mm-dd"))</f>
        <v/>
      </c>
      <c r="T2886" s="1" t="str">
        <f aca="false">IF($S2886="","",IF(COUNTIF($S$2:$S$2991,$S2886)&gt;1,"DUPLICATE","OK"))</f>
        <v/>
      </c>
      <c r="U2886" s="0" t="str">
        <f aca="false">IF($L2886="","",IFERROR(VLOOKUP(--$L2886,MM_Income!$Z$5:$AC$204,3,FALSE()),"UNMAPPED"))</f>
        <v/>
      </c>
    </row>
    <row r="2887" customFormat="false" ht="13.5" hidden="false" customHeight="false" outlineLevel="0" collapsed="false">
      <c r="A2887" s="1" t="str">
        <f aca="false">IF($C2887="","",Controls!$B$7)</f>
        <v/>
      </c>
      <c r="B2887" s="1" t="str">
        <f aca="false">IF($H2887="","",YEAR($H2887)&amp;"-Q"&amp;ROUNDUP(MONTH($H2887)/3,0))</f>
        <v/>
      </c>
      <c r="S2887" s="1" t="str">
        <f aca="false">IF($C2887="","",$C2887&amp;"|"&amp;$E2887&amp;"|"&amp;$F2887&amp;"|"&amp;$L2887&amp;"|"&amp;$P2887&amp;"|"&amp;TEXT($H2887,"yyyy-mm-dd"))</f>
        <v/>
      </c>
      <c r="T2887" s="1" t="str">
        <f aca="false">IF($S2887="","",IF(COUNTIF($S$2:$S$2991,$S2887)&gt;1,"DUPLICATE","OK"))</f>
        <v/>
      </c>
      <c r="U2887" s="0" t="str">
        <f aca="false">IF($L2887="","",IFERROR(VLOOKUP(--$L2887,MM_Income!$Z$5:$AC$204,3,FALSE()),"UNMAPPED"))</f>
        <v/>
      </c>
    </row>
    <row r="2888" customFormat="false" ht="13.5" hidden="false" customHeight="false" outlineLevel="0" collapsed="false">
      <c r="A2888" s="1" t="str">
        <f aca="false">IF($C2888="","",Controls!$B$7)</f>
        <v/>
      </c>
      <c r="B2888" s="1" t="str">
        <f aca="false">IF($H2888="","",YEAR($H2888)&amp;"-Q"&amp;ROUNDUP(MONTH($H2888)/3,0))</f>
        <v/>
      </c>
      <c r="S2888" s="1" t="str">
        <f aca="false">IF($C2888="","",$C2888&amp;"|"&amp;$E2888&amp;"|"&amp;$F2888&amp;"|"&amp;$L2888&amp;"|"&amp;$P2888&amp;"|"&amp;TEXT($H2888,"yyyy-mm-dd"))</f>
        <v/>
      </c>
      <c r="T2888" s="1" t="str">
        <f aca="false">IF($S2888="","",IF(COUNTIF($S$2:$S$2991,$S2888)&gt;1,"DUPLICATE","OK"))</f>
        <v/>
      </c>
      <c r="U2888" s="0" t="str">
        <f aca="false">IF($L2888="","",IFERROR(VLOOKUP(--$L2888,MM_Income!$Z$5:$AC$204,3,FALSE()),"UNMAPPED"))</f>
        <v/>
      </c>
    </row>
    <row r="2889" customFormat="false" ht="13.5" hidden="false" customHeight="false" outlineLevel="0" collapsed="false">
      <c r="A2889" s="1" t="str">
        <f aca="false">IF($C2889="","",Controls!$B$7)</f>
        <v/>
      </c>
      <c r="B2889" s="1" t="str">
        <f aca="false">IF($H2889="","",YEAR($H2889)&amp;"-Q"&amp;ROUNDUP(MONTH($H2889)/3,0))</f>
        <v/>
      </c>
      <c r="S2889" s="1" t="str">
        <f aca="false">IF($C2889="","",$C2889&amp;"|"&amp;$E2889&amp;"|"&amp;$F2889&amp;"|"&amp;$L2889&amp;"|"&amp;$P2889&amp;"|"&amp;TEXT($H2889,"yyyy-mm-dd"))</f>
        <v/>
      </c>
      <c r="T2889" s="1" t="str">
        <f aca="false">IF($S2889="","",IF(COUNTIF($S$2:$S$2991,$S2889)&gt;1,"DUPLICATE","OK"))</f>
        <v/>
      </c>
      <c r="U2889" s="0" t="str">
        <f aca="false">IF($L2889="","",IFERROR(VLOOKUP(--$L2889,MM_Income!$Z$5:$AC$204,3,FALSE()),"UNMAPPED"))</f>
        <v/>
      </c>
    </row>
    <row r="2890" customFormat="false" ht="13.5" hidden="false" customHeight="false" outlineLevel="0" collapsed="false">
      <c r="A2890" s="1" t="str">
        <f aca="false">IF($C2890="","",Controls!$B$7)</f>
        <v/>
      </c>
      <c r="B2890" s="1" t="str">
        <f aca="false">IF($H2890="","",YEAR($H2890)&amp;"-Q"&amp;ROUNDUP(MONTH($H2890)/3,0))</f>
        <v/>
      </c>
      <c r="S2890" s="1" t="str">
        <f aca="false">IF($C2890="","",$C2890&amp;"|"&amp;$E2890&amp;"|"&amp;$F2890&amp;"|"&amp;$L2890&amp;"|"&amp;$P2890&amp;"|"&amp;TEXT($H2890,"yyyy-mm-dd"))</f>
        <v/>
      </c>
      <c r="T2890" s="1" t="str">
        <f aca="false">IF($S2890="","",IF(COUNTIF($S$2:$S$2991,$S2890)&gt;1,"DUPLICATE","OK"))</f>
        <v/>
      </c>
      <c r="U2890" s="0" t="str">
        <f aca="false">IF($L2890="","",IFERROR(VLOOKUP(--$L2890,MM_Income!$Z$5:$AC$204,3,FALSE()),"UNMAPPED"))</f>
        <v/>
      </c>
    </row>
    <row r="2891" customFormat="false" ht="13.5" hidden="false" customHeight="false" outlineLevel="0" collapsed="false">
      <c r="A2891" s="1" t="str">
        <f aca="false">IF($C2891="","",Controls!$B$7)</f>
        <v/>
      </c>
      <c r="B2891" s="1" t="str">
        <f aca="false">IF($H2891="","",YEAR($H2891)&amp;"-Q"&amp;ROUNDUP(MONTH($H2891)/3,0))</f>
        <v/>
      </c>
      <c r="S2891" s="1" t="str">
        <f aca="false">IF($C2891="","",$C2891&amp;"|"&amp;$E2891&amp;"|"&amp;$F2891&amp;"|"&amp;$L2891&amp;"|"&amp;$P2891&amp;"|"&amp;TEXT($H2891,"yyyy-mm-dd"))</f>
        <v/>
      </c>
      <c r="T2891" s="1" t="str">
        <f aca="false">IF($S2891="","",IF(COUNTIF($S$2:$S$2991,$S2891)&gt;1,"DUPLICATE","OK"))</f>
        <v/>
      </c>
      <c r="U2891" s="0" t="str">
        <f aca="false">IF($L2891="","",IFERROR(VLOOKUP(--$L2891,MM_Income!$Z$5:$AC$204,3,FALSE()),"UNMAPPED"))</f>
        <v/>
      </c>
    </row>
    <row r="2892" customFormat="false" ht="13.5" hidden="false" customHeight="false" outlineLevel="0" collapsed="false">
      <c r="A2892" s="1" t="str">
        <f aca="false">IF($C2892="","",Controls!$B$7)</f>
        <v/>
      </c>
      <c r="B2892" s="1" t="str">
        <f aca="false">IF($H2892="","",YEAR($H2892)&amp;"-Q"&amp;ROUNDUP(MONTH($H2892)/3,0))</f>
        <v/>
      </c>
      <c r="S2892" s="1" t="str">
        <f aca="false">IF($C2892="","",$C2892&amp;"|"&amp;$E2892&amp;"|"&amp;$F2892&amp;"|"&amp;$L2892&amp;"|"&amp;$P2892&amp;"|"&amp;TEXT($H2892,"yyyy-mm-dd"))</f>
        <v/>
      </c>
      <c r="T2892" s="1" t="str">
        <f aca="false">IF($S2892="","",IF(COUNTIF($S$2:$S$2991,$S2892)&gt;1,"DUPLICATE","OK"))</f>
        <v/>
      </c>
      <c r="U2892" s="0" t="str">
        <f aca="false">IF($L2892="","",IFERROR(VLOOKUP(--$L2892,MM_Income!$Z$5:$AC$204,3,FALSE()),"UNMAPPED"))</f>
        <v/>
      </c>
    </row>
    <row r="2893" customFormat="false" ht="13.5" hidden="false" customHeight="false" outlineLevel="0" collapsed="false">
      <c r="A2893" s="1" t="str">
        <f aca="false">IF($C2893="","",Controls!$B$7)</f>
        <v/>
      </c>
      <c r="B2893" s="1" t="str">
        <f aca="false">IF($H2893="","",YEAR($H2893)&amp;"-Q"&amp;ROUNDUP(MONTH($H2893)/3,0))</f>
        <v/>
      </c>
      <c r="S2893" s="1" t="str">
        <f aca="false">IF($C2893="","",$C2893&amp;"|"&amp;$E2893&amp;"|"&amp;$F2893&amp;"|"&amp;$L2893&amp;"|"&amp;$P2893&amp;"|"&amp;TEXT($H2893,"yyyy-mm-dd"))</f>
        <v/>
      </c>
      <c r="T2893" s="1" t="str">
        <f aca="false">IF($S2893="","",IF(COUNTIF($S$2:$S$2991,$S2893)&gt;1,"DUPLICATE","OK"))</f>
        <v/>
      </c>
      <c r="U2893" s="0" t="str">
        <f aca="false">IF($L2893="","",IFERROR(VLOOKUP(--$L2893,MM_Income!$Z$5:$AC$204,3,FALSE()),"UNMAPPED"))</f>
        <v/>
      </c>
    </row>
    <row r="2894" customFormat="false" ht="13.5" hidden="false" customHeight="false" outlineLevel="0" collapsed="false">
      <c r="A2894" s="1" t="str">
        <f aca="false">IF($C2894="","",Controls!$B$7)</f>
        <v/>
      </c>
      <c r="B2894" s="1" t="str">
        <f aca="false">IF($H2894="","",YEAR($H2894)&amp;"-Q"&amp;ROUNDUP(MONTH($H2894)/3,0))</f>
        <v/>
      </c>
      <c r="S2894" s="1" t="str">
        <f aca="false">IF($C2894="","",$C2894&amp;"|"&amp;$E2894&amp;"|"&amp;$F2894&amp;"|"&amp;$L2894&amp;"|"&amp;$P2894&amp;"|"&amp;TEXT($H2894,"yyyy-mm-dd"))</f>
        <v/>
      </c>
      <c r="T2894" s="1" t="str">
        <f aca="false">IF($S2894="","",IF(COUNTIF($S$2:$S$2991,$S2894)&gt;1,"DUPLICATE","OK"))</f>
        <v/>
      </c>
      <c r="U2894" s="0" t="str">
        <f aca="false">IF($L2894="","",IFERROR(VLOOKUP(--$L2894,MM_Income!$Z$5:$AC$204,3,FALSE()),"UNMAPPED"))</f>
        <v/>
      </c>
    </row>
    <row r="2895" customFormat="false" ht="13.5" hidden="false" customHeight="false" outlineLevel="0" collapsed="false">
      <c r="A2895" s="1" t="str">
        <f aca="false">IF($C2895="","",Controls!$B$7)</f>
        <v/>
      </c>
      <c r="B2895" s="1" t="str">
        <f aca="false">IF($H2895="","",YEAR($H2895)&amp;"-Q"&amp;ROUNDUP(MONTH($H2895)/3,0))</f>
        <v/>
      </c>
      <c r="S2895" s="1" t="str">
        <f aca="false">IF($C2895="","",$C2895&amp;"|"&amp;$E2895&amp;"|"&amp;$F2895&amp;"|"&amp;$L2895&amp;"|"&amp;$P2895&amp;"|"&amp;TEXT($H2895,"yyyy-mm-dd"))</f>
        <v/>
      </c>
      <c r="T2895" s="1" t="str">
        <f aca="false">IF($S2895="","",IF(COUNTIF($S$2:$S$2991,$S2895)&gt;1,"DUPLICATE","OK"))</f>
        <v/>
      </c>
      <c r="U2895" s="0" t="str">
        <f aca="false">IF($L2895="","",IFERROR(VLOOKUP(--$L2895,MM_Income!$Z$5:$AC$204,3,FALSE()),"UNMAPPED"))</f>
        <v/>
      </c>
    </row>
    <row r="2896" customFormat="false" ht="13.5" hidden="false" customHeight="false" outlineLevel="0" collapsed="false">
      <c r="A2896" s="1" t="str">
        <f aca="false">IF($C2896="","",Controls!$B$7)</f>
        <v/>
      </c>
      <c r="B2896" s="1" t="str">
        <f aca="false">IF($H2896="","",YEAR($H2896)&amp;"-Q"&amp;ROUNDUP(MONTH($H2896)/3,0))</f>
        <v/>
      </c>
      <c r="S2896" s="1" t="str">
        <f aca="false">IF($C2896="","",$C2896&amp;"|"&amp;$E2896&amp;"|"&amp;$F2896&amp;"|"&amp;$L2896&amp;"|"&amp;$P2896&amp;"|"&amp;TEXT($H2896,"yyyy-mm-dd"))</f>
        <v/>
      </c>
      <c r="T2896" s="1" t="str">
        <f aca="false">IF($S2896="","",IF(COUNTIF($S$2:$S$2991,$S2896)&gt;1,"DUPLICATE","OK"))</f>
        <v/>
      </c>
      <c r="U2896" s="0" t="str">
        <f aca="false">IF($L2896="","",IFERROR(VLOOKUP(--$L2896,MM_Income!$Z$5:$AC$204,3,FALSE()),"UNMAPPED"))</f>
        <v/>
      </c>
    </row>
    <row r="2897" customFormat="false" ht="13.5" hidden="false" customHeight="false" outlineLevel="0" collapsed="false">
      <c r="A2897" s="1" t="str">
        <f aca="false">IF($C2897="","",Controls!$B$7)</f>
        <v/>
      </c>
      <c r="B2897" s="1" t="str">
        <f aca="false">IF($H2897="","",YEAR($H2897)&amp;"-Q"&amp;ROUNDUP(MONTH($H2897)/3,0))</f>
        <v/>
      </c>
      <c r="S2897" s="1" t="str">
        <f aca="false">IF($C2897="","",$C2897&amp;"|"&amp;$E2897&amp;"|"&amp;$F2897&amp;"|"&amp;$L2897&amp;"|"&amp;$P2897&amp;"|"&amp;TEXT($H2897,"yyyy-mm-dd"))</f>
        <v/>
      </c>
      <c r="T2897" s="1" t="str">
        <f aca="false">IF($S2897="","",IF(COUNTIF($S$2:$S$2991,$S2897)&gt;1,"DUPLICATE","OK"))</f>
        <v/>
      </c>
      <c r="U2897" s="0" t="str">
        <f aca="false">IF($L2897="","",IFERROR(VLOOKUP(--$L2897,MM_Income!$Z$5:$AC$204,3,FALSE()),"UNMAPPED"))</f>
        <v/>
      </c>
    </row>
    <row r="2898" customFormat="false" ht="13.5" hidden="false" customHeight="false" outlineLevel="0" collapsed="false">
      <c r="A2898" s="1" t="str">
        <f aca="false">IF($C2898="","",Controls!$B$7)</f>
        <v/>
      </c>
      <c r="B2898" s="1" t="str">
        <f aca="false">IF($H2898="","",YEAR($H2898)&amp;"-Q"&amp;ROUNDUP(MONTH($H2898)/3,0))</f>
        <v/>
      </c>
      <c r="S2898" s="1" t="str">
        <f aca="false">IF($C2898="","",$C2898&amp;"|"&amp;$E2898&amp;"|"&amp;$F2898&amp;"|"&amp;$L2898&amp;"|"&amp;$P2898&amp;"|"&amp;TEXT($H2898,"yyyy-mm-dd"))</f>
        <v/>
      </c>
      <c r="T2898" s="1" t="str">
        <f aca="false">IF($S2898="","",IF(COUNTIF($S$2:$S$2991,$S2898)&gt;1,"DUPLICATE","OK"))</f>
        <v/>
      </c>
      <c r="U2898" s="0" t="str">
        <f aca="false">IF($L2898="","",IFERROR(VLOOKUP(--$L2898,MM_Income!$Z$5:$AC$204,3,FALSE()),"UNMAPPED"))</f>
        <v/>
      </c>
    </row>
    <row r="2899" customFormat="false" ht="13.5" hidden="false" customHeight="false" outlineLevel="0" collapsed="false">
      <c r="A2899" s="1" t="str">
        <f aca="false">IF($C2899="","",Controls!$B$7)</f>
        <v/>
      </c>
      <c r="B2899" s="1" t="str">
        <f aca="false">IF($H2899="","",YEAR($H2899)&amp;"-Q"&amp;ROUNDUP(MONTH($H2899)/3,0))</f>
        <v/>
      </c>
      <c r="S2899" s="1" t="str">
        <f aca="false">IF($C2899="","",$C2899&amp;"|"&amp;$E2899&amp;"|"&amp;$F2899&amp;"|"&amp;$L2899&amp;"|"&amp;$P2899&amp;"|"&amp;TEXT($H2899,"yyyy-mm-dd"))</f>
        <v/>
      </c>
      <c r="T2899" s="1" t="str">
        <f aca="false">IF($S2899="","",IF(COUNTIF($S$2:$S$2991,$S2899)&gt;1,"DUPLICATE","OK"))</f>
        <v/>
      </c>
      <c r="U2899" s="0" t="str">
        <f aca="false">IF($L2899="","",IFERROR(VLOOKUP(--$L2899,MM_Income!$Z$5:$AC$204,3,FALSE()),"UNMAPPED"))</f>
        <v/>
      </c>
    </row>
    <row r="2900" customFormat="false" ht="13.5" hidden="false" customHeight="false" outlineLevel="0" collapsed="false">
      <c r="A2900" s="1" t="str">
        <f aca="false">IF($C2900="","",Controls!$B$7)</f>
        <v/>
      </c>
      <c r="B2900" s="1" t="str">
        <f aca="false">IF($H2900="","",YEAR($H2900)&amp;"-Q"&amp;ROUNDUP(MONTH($H2900)/3,0))</f>
        <v/>
      </c>
      <c r="S2900" s="1" t="str">
        <f aca="false">IF($C2900="","",$C2900&amp;"|"&amp;$E2900&amp;"|"&amp;$F2900&amp;"|"&amp;$L2900&amp;"|"&amp;$P2900&amp;"|"&amp;TEXT($H2900,"yyyy-mm-dd"))</f>
        <v/>
      </c>
      <c r="T2900" s="1" t="str">
        <f aca="false">IF($S2900="","",IF(COUNTIF($S$2:$S$2991,$S2900)&gt;1,"DUPLICATE","OK"))</f>
        <v/>
      </c>
      <c r="U2900" s="0" t="str">
        <f aca="false">IF($L2900="","",IFERROR(VLOOKUP(--$L2900,MM_Income!$Z$5:$AC$204,3,FALSE()),"UNMAPPED"))</f>
        <v/>
      </c>
    </row>
    <row r="2901" customFormat="false" ht="13.5" hidden="false" customHeight="false" outlineLevel="0" collapsed="false">
      <c r="A2901" s="1" t="str">
        <f aca="false">IF($C2901="","",Controls!$B$7)</f>
        <v/>
      </c>
      <c r="B2901" s="1" t="str">
        <f aca="false">IF($H2901="","",YEAR($H2901)&amp;"-Q"&amp;ROUNDUP(MONTH($H2901)/3,0))</f>
        <v/>
      </c>
      <c r="S2901" s="1" t="str">
        <f aca="false">IF($C2901="","",$C2901&amp;"|"&amp;$E2901&amp;"|"&amp;$F2901&amp;"|"&amp;$L2901&amp;"|"&amp;$P2901&amp;"|"&amp;TEXT($H2901,"yyyy-mm-dd"))</f>
        <v/>
      </c>
      <c r="T2901" s="1" t="str">
        <f aca="false">IF($S2901="","",IF(COUNTIF($S$2:$S$2991,$S2901)&gt;1,"DUPLICATE","OK"))</f>
        <v/>
      </c>
      <c r="U2901" s="0" t="str">
        <f aca="false">IF($L2901="","",IFERROR(VLOOKUP(--$L2901,MM_Income!$Z$5:$AC$204,3,FALSE()),"UNMAPPED"))</f>
        <v/>
      </c>
    </row>
    <row r="2902" customFormat="false" ht="13.5" hidden="false" customHeight="false" outlineLevel="0" collapsed="false">
      <c r="A2902" s="1" t="str">
        <f aca="false">IF($C2902="","",Controls!$B$7)</f>
        <v/>
      </c>
      <c r="B2902" s="1" t="str">
        <f aca="false">IF($H2902="","",YEAR($H2902)&amp;"-Q"&amp;ROUNDUP(MONTH($H2902)/3,0))</f>
        <v/>
      </c>
      <c r="S2902" s="1" t="str">
        <f aca="false">IF($C2902="","",$C2902&amp;"|"&amp;$E2902&amp;"|"&amp;$F2902&amp;"|"&amp;$L2902&amp;"|"&amp;$P2902&amp;"|"&amp;TEXT($H2902,"yyyy-mm-dd"))</f>
        <v/>
      </c>
      <c r="T2902" s="1" t="str">
        <f aca="false">IF($S2902="","",IF(COUNTIF($S$2:$S$2991,$S2902)&gt;1,"DUPLICATE","OK"))</f>
        <v/>
      </c>
      <c r="U2902" s="0" t="str">
        <f aca="false">IF($L2902="","",IFERROR(VLOOKUP(--$L2902,MM_Income!$Z$5:$AC$204,3,FALSE()),"UNMAPPED"))</f>
        <v/>
      </c>
    </row>
    <row r="2903" customFormat="false" ht="13.5" hidden="false" customHeight="false" outlineLevel="0" collapsed="false">
      <c r="A2903" s="1" t="str">
        <f aca="false">IF($C2903="","",Controls!$B$7)</f>
        <v/>
      </c>
      <c r="B2903" s="1" t="str">
        <f aca="false">IF($H2903="","",YEAR($H2903)&amp;"-Q"&amp;ROUNDUP(MONTH($H2903)/3,0))</f>
        <v/>
      </c>
      <c r="S2903" s="1" t="str">
        <f aca="false">IF($C2903="","",$C2903&amp;"|"&amp;$E2903&amp;"|"&amp;$F2903&amp;"|"&amp;$L2903&amp;"|"&amp;$P2903&amp;"|"&amp;TEXT($H2903,"yyyy-mm-dd"))</f>
        <v/>
      </c>
      <c r="T2903" s="1" t="str">
        <f aca="false">IF($S2903="","",IF(COUNTIF($S$2:$S$2991,$S2903)&gt;1,"DUPLICATE","OK"))</f>
        <v/>
      </c>
      <c r="U2903" s="0" t="str">
        <f aca="false">IF($L2903="","",IFERROR(VLOOKUP(--$L2903,MM_Income!$Z$5:$AC$204,3,FALSE()),"UNMAPPED"))</f>
        <v/>
      </c>
    </row>
    <row r="2904" customFormat="false" ht="13.5" hidden="false" customHeight="false" outlineLevel="0" collapsed="false">
      <c r="A2904" s="1" t="str">
        <f aca="false">IF($C2904="","",Controls!$B$7)</f>
        <v/>
      </c>
      <c r="B2904" s="1" t="str">
        <f aca="false">IF($H2904="","",YEAR($H2904)&amp;"-Q"&amp;ROUNDUP(MONTH($H2904)/3,0))</f>
        <v/>
      </c>
      <c r="S2904" s="1" t="str">
        <f aca="false">IF($C2904="","",$C2904&amp;"|"&amp;$E2904&amp;"|"&amp;$F2904&amp;"|"&amp;$L2904&amp;"|"&amp;$P2904&amp;"|"&amp;TEXT($H2904,"yyyy-mm-dd"))</f>
        <v/>
      </c>
      <c r="T2904" s="1" t="str">
        <f aca="false">IF($S2904="","",IF(COUNTIF($S$2:$S$2991,$S2904)&gt;1,"DUPLICATE","OK"))</f>
        <v/>
      </c>
      <c r="U2904" s="0" t="str">
        <f aca="false">IF($L2904="","",IFERROR(VLOOKUP(--$L2904,MM_Income!$Z$5:$AC$204,3,FALSE()),"UNMAPPED"))</f>
        <v/>
      </c>
    </row>
    <row r="2905" customFormat="false" ht="13.5" hidden="false" customHeight="false" outlineLevel="0" collapsed="false">
      <c r="A2905" s="1" t="str">
        <f aca="false">IF($C2905="","",Controls!$B$7)</f>
        <v/>
      </c>
      <c r="B2905" s="1" t="str">
        <f aca="false">IF($H2905="","",YEAR($H2905)&amp;"-Q"&amp;ROUNDUP(MONTH($H2905)/3,0))</f>
        <v/>
      </c>
      <c r="S2905" s="1" t="str">
        <f aca="false">IF($C2905="","",$C2905&amp;"|"&amp;$E2905&amp;"|"&amp;$F2905&amp;"|"&amp;$L2905&amp;"|"&amp;$P2905&amp;"|"&amp;TEXT($H2905,"yyyy-mm-dd"))</f>
        <v/>
      </c>
      <c r="T2905" s="1" t="str">
        <f aca="false">IF($S2905="","",IF(COUNTIF($S$2:$S$2991,$S2905)&gt;1,"DUPLICATE","OK"))</f>
        <v/>
      </c>
      <c r="U2905" s="0" t="str">
        <f aca="false">IF($L2905="","",IFERROR(VLOOKUP(--$L2905,MM_Income!$Z$5:$AC$204,3,FALSE()),"UNMAPPED"))</f>
        <v/>
      </c>
    </row>
    <row r="2906" customFormat="false" ht="13.5" hidden="false" customHeight="false" outlineLevel="0" collapsed="false">
      <c r="A2906" s="1" t="str">
        <f aca="false">IF($C2906="","",Controls!$B$7)</f>
        <v/>
      </c>
      <c r="B2906" s="1" t="str">
        <f aca="false">IF($H2906="","",YEAR($H2906)&amp;"-Q"&amp;ROUNDUP(MONTH($H2906)/3,0))</f>
        <v/>
      </c>
      <c r="S2906" s="1" t="str">
        <f aca="false">IF($C2906="","",$C2906&amp;"|"&amp;$E2906&amp;"|"&amp;$F2906&amp;"|"&amp;$L2906&amp;"|"&amp;$P2906&amp;"|"&amp;TEXT($H2906,"yyyy-mm-dd"))</f>
        <v/>
      </c>
      <c r="T2906" s="1" t="str">
        <f aca="false">IF($S2906="","",IF(COUNTIF($S$2:$S$2991,$S2906)&gt;1,"DUPLICATE","OK"))</f>
        <v/>
      </c>
      <c r="U2906" s="0" t="str">
        <f aca="false">IF($L2906="","",IFERROR(VLOOKUP(--$L2906,MM_Income!$Z$5:$AC$204,3,FALSE()),"UNMAPPED"))</f>
        <v/>
      </c>
    </row>
    <row r="2907" customFormat="false" ht="13.5" hidden="false" customHeight="false" outlineLevel="0" collapsed="false">
      <c r="A2907" s="1" t="str">
        <f aca="false">IF($C2907="","",Controls!$B$7)</f>
        <v/>
      </c>
      <c r="B2907" s="1" t="str">
        <f aca="false">IF($H2907="","",YEAR($H2907)&amp;"-Q"&amp;ROUNDUP(MONTH($H2907)/3,0))</f>
        <v/>
      </c>
      <c r="S2907" s="1" t="str">
        <f aca="false">IF($C2907="","",$C2907&amp;"|"&amp;$E2907&amp;"|"&amp;$F2907&amp;"|"&amp;$L2907&amp;"|"&amp;$P2907&amp;"|"&amp;TEXT($H2907,"yyyy-mm-dd"))</f>
        <v/>
      </c>
      <c r="T2907" s="1" t="str">
        <f aca="false">IF($S2907="","",IF(COUNTIF($S$2:$S$2991,$S2907)&gt;1,"DUPLICATE","OK"))</f>
        <v/>
      </c>
      <c r="U2907" s="0" t="str">
        <f aca="false">IF($L2907="","",IFERROR(VLOOKUP(--$L2907,MM_Income!$Z$5:$AC$204,3,FALSE()),"UNMAPPED"))</f>
        <v/>
      </c>
    </row>
    <row r="2908" customFormat="false" ht="13.5" hidden="false" customHeight="false" outlineLevel="0" collapsed="false">
      <c r="A2908" s="1" t="str">
        <f aca="false">IF($C2908="","",Controls!$B$7)</f>
        <v/>
      </c>
      <c r="B2908" s="1" t="str">
        <f aca="false">IF($H2908="","",YEAR($H2908)&amp;"-Q"&amp;ROUNDUP(MONTH($H2908)/3,0))</f>
        <v/>
      </c>
      <c r="S2908" s="1" t="str">
        <f aca="false">IF($C2908="","",$C2908&amp;"|"&amp;$E2908&amp;"|"&amp;$F2908&amp;"|"&amp;$L2908&amp;"|"&amp;$P2908&amp;"|"&amp;TEXT($H2908,"yyyy-mm-dd"))</f>
        <v/>
      </c>
      <c r="T2908" s="1" t="str">
        <f aca="false">IF($S2908="","",IF(COUNTIF($S$2:$S$2991,$S2908)&gt;1,"DUPLICATE","OK"))</f>
        <v/>
      </c>
      <c r="U2908" s="0" t="str">
        <f aca="false">IF($L2908="","",IFERROR(VLOOKUP(--$L2908,MM_Income!$Z$5:$AC$204,3,FALSE()),"UNMAPPED"))</f>
        <v/>
      </c>
    </row>
    <row r="2909" customFormat="false" ht="13.5" hidden="false" customHeight="false" outlineLevel="0" collapsed="false">
      <c r="A2909" s="1" t="str">
        <f aca="false">IF($C2909="","",Controls!$B$7)</f>
        <v/>
      </c>
      <c r="B2909" s="1" t="str">
        <f aca="false">IF($H2909="","",YEAR($H2909)&amp;"-Q"&amp;ROUNDUP(MONTH($H2909)/3,0))</f>
        <v/>
      </c>
      <c r="S2909" s="1" t="str">
        <f aca="false">IF($C2909="","",$C2909&amp;"|"&amp;$E2909&amp;"|"&amp;$F2909&amp;"|"&amp;$L2909&amp;"|"&amp;$P2909&amp;"|"&amp;TEXT($H2909,"yyyy-mm-dd"))</f>
        <v/>
      </c>
      <c r="T2909" s="1" t="str">
        <f aca="false">IF($S2909="","",IF(COUNTIF($S$2:$S$2991,$S2909)&gt;1,"DUPLICATE","OK"))</f>
        <v/>
      </c>
      <c r="U2909" s="0" t="str">
        <f aca="false">IF($L2909="","",IFERROR(VLOOKUP(--$L2909,MM_Income!$Z$5:$AC$204,3,FALSE()),"UNMAPPED"))</f>
        <v/>
      </c>
    </row>
    <row r="2910" customFormat="false" ht="13.5" hidden="false" customHeight="false" outlineLevel="0" collapsed="false">
      <c r="A2910" s="1" t="str">
        <f aca="false">IF($C2910="","",Controls!$B$7)</f>
        <v/>
      </c>
      <c r="B2910" s="1" t="str">
        <f aca="false">IF($H2910="","",YEAR($H2910)&amp;"-Q"&amp;ROUNDUP(MONTH($H2910)/3,0))</f>
        <v/>
      </c>
      <c r="S2910" s="1" t="str">
        <f aca="false">IF($C2910="","",$C2910&amp;"|"&amp;$E2910&amp;"|"&amp;$F2910&amp;"|"&amp;$L2910&amp;"|"&amp;$P2910&amp;"|"&amp;TEXT($H2910,"yyyy-mm-dd"))</f>
        <v/>
      </c>
      <c r="T2910" s="1" t="str">
        <f aca="false">IF($S2910="","",IF(COUNTIF($S$2:$S$2991,$S2910)&gt;1,"DUPLICATE","OK"))</f>
        <v/>
      </c>
      <c r="U2910" s="0" t="str">
        <f aca="false">IF($L2910="","",IFERROR(VLOOKUP(--$L2910,MM_Income!$Z$5:$AC$204,3,FALSE()),"UNMAPPED"))</f>
        <v/>
      </c>
    </row>
    <row r="2911" customFormat="false" ht="13.5" hidden="false" customHeight="false" outlineLevel="0" collapsed="false">
      <c r="A2911" s="1" t="str">
        <f aca="false">IF($C2911="","",Controls!$B$7)</f>
        <v/>
      </c>
      <c r="B2911" s="1" t="str">
        <f aca="false">IF($H2911="","",YEAR($H2911)&amp;"-Q"&amp;ROUNDUP(MONTH($H2911)/3,0))</f>
        <v/>
      </c>
      <c r="S2911" s="1" t="str">
        <f aca="false">IF($C2911="","",$C2911&amp;"|"&amp;$E2911&amp;"|"&amp;$F2911&amp;"|"&amp;$L2911&amp;"|"&amp;$P2911&amp;"|"&amp;TEXT($H2911,"yyyy-mm-dd"))</f>
        <v/>
      </c>
      <c r="T2911" s="1" t="str">
        <f aca="false">IF($S2911="","",IF(COUNTIF($S$2:$S$2991,$S2911)&gt;1,"DUPLICATE","OK"))</f>
        <v/>
      </c>
      <c r="U2911" s="0" t="str">
        <f aca="false">IF($L2911="","",IFERROR(VLOOKUP(--$L2911,MM_Income!$Z$5:$AC$204,3,FALSE()),"UNMAPPED"))</f>
        <v/>
      </c>
    </row>
    <row r="2912" customFormat="false" ht="13.5" hidden="false" customHeight="false" outlineLevel="0" collapsed="false">
      <c r="A2912" s="1" t="str">
        <f aca="false">IF($C2912="","",Controls!$B$7)</f>
        <v/>
      </c>
      <c r="B2912" s="1" t="str">
        <f aca="false">IF($H2912="","",YEAR($H2912)&amp;"-Q"&amp;ROUNDUP(MONTH($H2912)/3,0))</f>
        <v/>
      </c>
      <c r="S2912" s="1" t="str">
        <f aca="false">IF($C2912="","",$C2912&amp;"|"&amp;$E2912&amp;"|"&amp;$F2912&amp;"|"&amp;$L2912&amp;"|"&amp;$P2912&amp;"|"&amp;TEXT($H2912,"yyyy-mm-dd"))</f>
        <v/>
      </c>
      <c r="T2912" s="1" t="str">
        <f aca="false">IF($S2912="","",IF(COUNTIF($S$2:$S$2991,$S2912)&gt;1,"DUPLICATE","OK"))</f>
        <v/>
      </c>
      <c r="U2912" s="0" t="str">
        <f aca="false">IF($L2912="","",IFERROR(VLOOKUP(--$L2912,MM_Income!$Z$5:$AC$204,3,FALSE()),"UNMAPPED"))</f>
        <v/>
      </c>
    </row>
    <row r="2913" customFormat="false" ht="13.5" hidden="false" customHeight="false" outlineLevel="0" collapsed="false">
      <c r="A2913" s="1" t="str">
        <f aca="false">IF($C2913="","",Controls!$B$7)</f>
        <v/>
      </c>
      <c r="B2913" s="1" t="str">
        <f aca="false">IF($H2913="","",YEAR($H2913)&amp;"-Q"&amp;ROUNDUP(MONTH($H2913)/3,0))</f>
        <v/>
      </c>
      <c r="S2913" s="1" t="str">
        <f aca="false">IF($C2913="","",$C2913&amp;"|"&amp;$E2913&amp;"|"&amp;$F2913&amp;"|"&amp;$L2913&amp;"|"&amp;$P2913&amp;"|"&amp;TEXT($H2913,"yyyy-mm-dd"))</f>
        <v/>
      </c>
      <c r="T2913" s="1" t="str">
        <f aca="false">IF($S2913="","",IF(COUNTIF($S$2:$S$2991,$S2913)&gt;1,"DUPLICATE","OK"))</f>
        <v/>
      </c>
      <c r="U2913" s="0" t="str">
        <f aca="false">IF($L2913="","",IFERROR(VLOOKUP(--$L2913,MM_Income!$Z$5:$AC$204,3,FALSE()),"UNMAPPED"))</f>
        <v/>
      </c>
    </row>
    <row r="2914" customFormat="false" ht="13.5" hidden="false" customHeight="false" outlineLevel="0" collapsed="false">
      <c r="A2914" s="1" t="str">
        <f aca="false">IF($C2914="","",Controls!$B$7)</f>
        <v/>
      </c>
      <c r="B2914" s="1" t="str">
        <f aca="false">IF($H2914="","",YEAR($H2914)&amp;"-Q"&amp;ROUNDUP(MONTH($H2914)/3,0))</f>
        <v/>
      </c>
      <c r="S2914" s="1" t="str">
        <f aca="false">IF($C2914="","",$C2914&amp;"|"&amp;$E2914&amp;"|"&amp;$F2914&amp;"|"&amp;$L2914&amp;"|"&amp;$P2914&amp;"|"&amp;TEXT($H2914,"yyyy-mm-dd"))</f>
        <v/>
      </c>
      <c r="T2914" s="1" t="str">
        <f aca="false">IF($S2914="","",IF(COUNTIF($S$2:$S$2991,$S2914)&gt;1,"DUPLICATE","OK"))</f>
        <v/>
      </c>
      <c r="U2914" s="0" t="str">
        <f aca="false">IF($L2914="","",IFERROR(VLOOKUP(--$L2914,MM_Income!$Z$5:$AC$204,3,FALSE()),"UNMAPPED"))</f>
        <v/>
      </c>
    </row>
    <row r="2915" customFormat="false" ht="13.5" hidden="false" customHeight="false" outlineLevel="0" collapsed="false">
      <c r="A2915" s="1" t="str">
        <f aca="false">IF($C2915="","",Controls!$B$7)</f>
        <v/>
      </c>
      <c r="B2915" s="1" t="str">
        <f aca="false">IF($H2915="","",YEAR($H2915)&amp;"-Q"&amp;ROUNDUP(MONTH($H2915)/3,0))</f>
        <v/>
      </c>
      <c r="S2915" s="1" t="str">
        <f aca="false">IF($C2915="","",$C2915&amp;"|"&amp;$E2915&amp;"|"&amp;$F2915&amp;"|"&amp;$L2915&amp;"|"&amp;$P2915&amp;"|"&amp;TEXT($H2915,"yyyy-mm-dd"))</f>
        <v/>
      </c>
      <c r="T2915" s="1" t="str">
        <f aca="false">IF($S2915="","",IF(COUNTIF($S$2:$S$2991,$S2915)&gt;1,"DUPLICATE","OK"))</f>
        <v/>
      </c>
      <c r="U2915" s="0" t="str">
        <f aca="false">IF($L2915="","",IFERROR(VLOOKUP(--$L2915,MM_Income!$Z$5:$AC$204,3,FALSE()),"UNMAPPED"))</f>
        <v/>
      </c>
    </row>
    <row r="2916" customFormat="false" ht="13.5" hidden="false" customHeight="false" outlineLevel="0" collapsed="false">
      <c r="A2916" s="1" t="str">
        <f aca="false">IF($C2916="","",Controls!$B$7)</f>
        <v/>
      </c>
      <c r="B2916" s="1" t="str">
        <f aca="false">IF($H2916="","",YEAR($H2916)&amp;"-Q"&amp;ROUNDUP(MONTH($H2916)/3,0))</f>
        <v/>
      </c>
      <c r="S2916" s="1" t="str">
        <f aca="false">IF($C2916="","",$C2916&amp;"|"&amp;$E2916&amp;"|"&amp;$F2916&amp;"|"&amp;$L2916&amp;"|"&amp;$P2916&amp;"|"&amp;TEXT($H2916,"yyyy-mm-dd"))</f>
        <v/>
      </c>
      <c r="T2916" s="1" t="str">
        <f aca="false">IF($S2916="","",IF(COUNTIF($S$2:$S$2991,$S2916)&gt;1,"DUPLICATE","OK"))</f>
        <v/>
      </c>
      <c r="U2916" s="0" t="str">
        <f aca="false">IF($L2916="","",IFERROR(VLOOKUP(--$L2916,MM_Income!$Z$5:$AC$204,3,FALSE()),"UNMAPPED"))</f>
        <v/>
      </c>
    </row>
    <row r="2917" customFormat="false" ht="13.5" hidden="false" customHeight="false" outlineLevel="0" collapsed="false">
      <c r="A2917" s="1" t="str">
        <f aca="false">IF($C2917="","",Controls!$B$7)</f>
        <v/>
      </c>
      <c r="B2917" s="1" t="str">
        <f aca="false">IF($H2917="","",YEAR($H2917)&amp;"-Q"&amp;ROUNDUP(MONTH($H2917)/3,0))</f>
        <v/>
      </c>
      <c r="S2917" s="1" t="str">
        <f aca="false">IF($C2917="","",$C2917&amp;"|"&amp;$E2917&amp;"|"&amp;$F2917&amp;"|"&amp;$L2917&amp;"|"&amp;$P2917&amp;"|"&amp;TEXT($H2917,"yyyy-mm-dd"))</f>
        <v/>
      </c>
      <c r="T2917" s="1" t="str">
        <f aca="false">IF($S2917="","",IF(COUNTIF($S$2:$S$2991,$S2917)&gt;1,"DUPLICATE","OK"))</f>
        <v/>
      </c>
      <c r="U2917" s="0" t="str">
        <f aca="false">IF($L2917="","",IFERROR(VLOOKUP(--$L2917,MM_Income!$Z$5:$AC$204,3,FALSE()),"UNMAPPED"))</f>
        <v/>
      </c>
    </row>
    <row r="2918" customFormat="false" ht="13.5" hidden="false" customHeight="false" outlineLevel="0" collapsed="false">
      <c r="A2918" s="1" t="str">
        <f aca="false">IF($C2918="","",Controls!$B$7)</f>
        <v/>
      </c>
      <c r="B2918" s="1" t="str">
        <f aca="false">IF($H2918="","",YEAR($H2918)&amp;"-Q"&amp;ROUNDUP(MONTH($H2918)/3,0))</f>
        <v/>
      </c>
      <c r="S2918" s="1" t="str">
        <f aca="false">IF($C2918="","",$C2918&amp;"|"&amp;$E2918&amp;"|"&amp;$F2918&amp;"|"&amp;$L2918&amp;"|"&amp;$P2918&amp;"|"&amp;TEXT($H2918,"yyyy-mm-dd"))</f>
        <v/>
      </c>
      <c r="T2918" s="1" t="str">
        <f aca="false">IF($S2918="","",IF(COUNTIF($S$2:$S$2991,$S2918)&gt;1,"DUPLICATE","OK"))</f>
        <v/>
      </c>
      <c r="U2918" s="0" t="str">
        <f aca="false">IF($L2918="","",IFERROR(VLOOKUP(--$L2918,MM_Income!$Z$5:$AC$204,3,FALSE()),"UNMAPPED"))</f>
        <v/>
      </c>
    </row>
    <row r="2919" customFormat="false" ht="13.5" hidden="false" customHeight="false" outlineLevel="0" collapsed="false">
      <c r="A2919" s="1" t="str">
        <f aca="false">IF($C2919="","",Controls!$B$7)</f>
        <v/>
      </c>
      <c r="B2919" s="1" t="str">
        <f aca="false">IF($H2919="","",YEAR($H2919)&amp;"-Q"&amp;ROUNDUP(MONTH($H2919)/3,0))</f>
        <v/>
      </c>
      <c r="S2919" s="1" t="str">
        <f aca="false">IF($C2919="","",$C2919&amp;"|"&amp;$E2919&amp;"|"&amp;$F2919&amp;"|"&amp;$L2919&amp;"|"&amp;$P2919&amp;"|"&amp;TEXT($H2919,"yyyy-mm-dd"))</f>
        <v/>
      </c>
      <c r="T2919" s="1" t="str">
        <f aca="false">IF($S2919="","",IF(COUNTIF($S$2:$S$2991,$S2919)&gt;1,"DUPLICATE","OK"))</f>
        <v/>
      </c>
      <c r="U2919" s="0" t="str">
        <f aca="false">IF($L2919="","",IFERROR(VLOOKUP(--$L2919,MM_Income!$Z$5:$AC$204,3,FALSE()),"UNMAPPED"))</f>
        <v/>
      </c>
    </row>
    <row r="2920" customFormat="false" ht="13.5" hidden="false" customHeight="false" outlineLevel="0" collapsed="false">
      <c r="A2920" s="1" t="str">
        <f aca="false">IF($C2920="","",Controls!$B$7)</f>
        <v/>
      </c>
      <c r="B2920" s="1" t="str">
        <f aca="false">IF($H2920="","",YEAR($H2920)&amp;"-Q"&amp;ROUNDUP(MONTH($H2920)/3,0))</f>
        <v/>
      </c>
      <c r="S2920" s="1" t="str">
        <f aca="false">IF($C2920="","",$C2920&amp;"|"&amp;$E2920&amp;"|"&amp;$F2920&amp;"|"&amp;$L2920&amp;"|"&amp;$P2920&amp;"|"&amp;TEXT($H2920,"yyyy-mm-dd"))</f>
        <v/>
      </c>
      <c r="T2920" s="1" t="str">
        <f aca="false">IF($S2920="","",IF(COUNTIF($S$2:$S$2991,$S2920)&gt;1,"DUPLICATE","OK"))</f>
        <v/>
      </c>
      <c r="U2920" s="0" t="str">
        <f aca="false">IF($L2920="","",IFERROR(VLOOKUP(--$L2920,MM_Income!$Z$5:$AC$204,3,FALSE()),"UNMAPPED"))</f>
        <v/>
      </c>
    </row>
    <row r="2921" customFormat="false" ht="13.5" hidden="false" customHeight="false" outlineLevel="0" collapsed="false">
      <c r="A2921" s="1" t="str">
        <f aca="false">IF($C2921="","",Controls!$B$7)</f>
        <v/>
      </c>
      <c r="B2921" s="1" t="str">
        <f aca="false">IF($H2921="","",YEAR($H2921)&amp;"-Q"&amp;ROUNDUP(MONTH($H2921)/3,0))</f>
        <v/>
      </c>
      <c r="S2921" s="1" t="str">
        <f aca="false">IF($C2921="","",$C2921&amp;"|"&amp;$E2921&amp;"|"&amp;$F2921&amp;"|"&amp;$L2921&amp;"|"&amp;$P2921&amp;"|"&amp;TEXT($H2921,"yyyy-mm-dd"))</f>
        <v/>
      </c>
      <c r="T2921" s="1" t="str">
        <f aca="false">IF($S2921="","",IF(COUNTIF($S$2:$S$2991,$S2921)&gt;1,"DUPLICATE","OK"))</f>
        <v/>
      </c>
      <c r="U2921" s="0" t="str">
        <f aca="false">IF($L2921="","",IFERROR(VLOOKUP(--$L2921,MM_Income!$Z$5:$AC$204,3,FALSE()),"UNMAPPED"))</f>
        <v/>
      </c>
    </row>
    <row r="2922" customFormat="false" ht="13.5" hidden="false" customHeight="false" outlineLevel="0" collapsed="false">
      <c r="A2922" s="1" t="str">
        <f aca="false">IF($C2922="","",Controls!$B$7)</f>
        <v/>
      </c>
      <c r="B2922" s="1" t="str">
        <f aca="false">IF($H2922="","",YEAR($H2922)&amp;"-Q"&amp;ROUNDUP(MONTH($H2922)/3,0))</f>
        <v/>
      </c>
      <c r="S2922" s="1" t="str">
        <f aca="false">IF($C2922="","",$C2922&amp;"|"&amp;$E2922&amp;"|"&amp;$F2922&amp;"|"&amp;$L2922&amp;"|"&amp;$P2922&amp;"|"&amp;TEXT($H2922,"yyyy-mm-dd"))</f>
        <v/>
      </c>
      <c r="T2922" s="1" t="str">
        <f aca="false">IF($S2922="","",IF(COUNTIF($S$2:$S$2991,$S2922)&gt;1,"DUPLICATE","OK"))</f>
        <v/>
      </c>
      <c r="U2922" s="0" t="str">
        <f aca="false">IF($L2922="","",IFERROR(VLOOKUP(--$L2922,MM_Income!$Z$5:$AC$204,3,FALSE()),"UNMAPPED"))</f>
        <v/>
      </c>
    </row>
    <row r="2923" customFormat="false" ht="13.5" hidden="false" customHeight="false" outlineLevel="0" collapsed="false">
      <c r="A2923" s="1" t="str">
        <f aca="false">IF($C2923="","",Controls!$B$7)</f>
        <v/>
      </c>
      <c r="B2923" s="1" t="str">
        <f aca="false">IF($H2923="","",YEAR($H2923)&amp;"-Q"&amp;ROUNDUP(MONTH($H2923)/3,0))</f>
        <v/>
      </c>
      <c r="S2923" s="1" t="str">
        <f aca="false">IF($C2923="","",$C2923&amp;"|"&amp;$E2923&amp;"|"&amp;$F2923&amp;"|"&amp;$L2923&amp;"|"&amp;$P2923&amp;"|"&amp;TEXT($H2923,"yyyy-mm-dd"))</f>
        <v/>
      </c>
      <c r="T2923" s="1" t="str">
        <f aca="false">IF($S2923="","",IF(COUNTIF($S$2:$S$2991,$S2923)&gt;1,"DUPLICATE","OK"))</f>
        <v/>
      </c>
      <c r="U2923" s="0" t="str">
        <f aca="false">IF($L2923="","",IFERROR(VLOOKUP(--$L2923,MM_Income!$Z$5:$AC$204,3,FALSE()),"UNMAPPED"))</f>
        <v/>
      </c>
    </row>
    <row r="2924" customFormat="false" ht="13.5" hidden="false" customHeight="false" outlineLevel="0" collapsed="false">
      <c r="A2924" s="1" t="str">
        <f aca="false">IF($C2924="","",Controls!$B$7)</f>
        <v/>
      </c>
      <c r="B2924" s="1" t="str">
        <f aca="false">IF($H2924="","",YEAR($H2924)&amp;"-Q"&amp;ROUNDUP(MONTH($H2924)/3,0))</f>
        <v/>
      </c>
      <c r="S2924" s="1" t="str">
        <f aca="false">IF($C2924="","",$C2924&amp;"|"&amp;$E2924&amp;"|"&amp;$F2924&amp;"|"&amp;$L2924&amp;"|"&amp;$P2924&amp;"|"&amp;TEXT($H2924,"yyyy-mm-dd"))</f>
        <v/>
      </c>
      <c r="T2924" s="1" t="str">
        <f aca="false">IF($S2924="","",IF(COUNTIF($S$2:$S$2991,$S2924)&gt;1,"DUPLICATE","OK"))</f>
        <v/>
      </c>
      <c r="U2924" s="0" t="str">
        <f aca="false">IF($L2924="","",IFERROR(VLOOKUP(--$L2924,MM_Income!$Z$5:$AC$204,3,FALSE()),"UNMAPPED"))</f>
        <v/>
      </c>
    </row>
    <row r="2925" customFormat="false" ht="13.5" hidden="false" customHeight="false" outlineLevel="0" collapsed="false">
      <c r="A2925" s="1" t="str">
        <f aca="false">IF($C2925="","",Controls!$B$7)</f>
        <v/>
      </c>
      <c r="B2925" s="1" t="str">
        <f aca="false">IF($H2925="","",YEAR($H2925)&amp;"-Q"&amp;ROUNDUP(MONTH($H2925)/3,0))</f>
        <v/>
      </c>
      <c r="S2925" s="1" t="str">
        <f aca="false">IF($C2925="","",$C2925&amp;"|"&amp;$E2925&amp;"|"&amp;$F2925&amp;"|"&amp;$L2925&amp;"|"&amp;$P2925&amp;"|"&amp;TEXT($H2925,"yyyy-mm-dd"))</f>
        <v/>
      </c>
      <c r="T2925" s="1" t="str">
        <f aca="false">IF($S2925="","",IF(COUNTIF($S$2:$S$2991,$S2925)&gt;1,"DUPLICATE","OK"))</f>
        <v/>
      </c>
      <c r="U2925" s="0" t="str">
        <f aca="false">IF($L2925="","",IFERROR(VLOOKUP(--$L2925,MM_Income!$Z$5:$AC$204,3,FALSE()),"UNMAPPED"))</f>
        <v/>
      </c>
    </row>
    <row r="2926" customFormat="false" ht="13.5" hidden="false" customHeight="false" outlineLevel="0" collapsed="false">
      <c r="A2926" s="1" t="str">
        <f aca="false">IF($C2926="","",Controls!$B$7)</f>
        <v/>
      </c>
      <c r="B2926" s="1" t="str">
        <f aca="false">IF($H2926="","",YEAR($H2926)&amp;"-Q"&amp;ROUNDUP(MONTH($H2926)/3,0))</f>
        <v/>
      </c>
      <c r="S2926" s="1" t="str">
        <f aca="false">IF($C2926="","",$C2926&amp;"|"&amp;$E2926&amp;"|"&amp;$F2926&amp;"|"&amp;$L2926&amp;"|"&amp;$P2926&amp;"|"&amp;TEXT($H2926,"yyyy-mm-dd"))</f>
        <v/>
      </c>
      <c r="T2926" s="1" t="str">
        <f aca="false">IF($S2926="","",IF(COUNTIF($S$2:$S$2991,$S2926)&gt;1,"DUPLICATE","OK"))</f>
        <v/>
      </c>
      <c r="U2926" s="0" t="str">
        <f aca="false">IF($L2926="","",IFERROR(VLOOKUP(--$L2926,MM_Income!$Z$5:$AC$204,3,FALSE()),"UNMAPPED"))</f>
        <v/>
      </c>
    </row>
    <row r="2927" customFormat="false" ht="13.5" hidden="false" customHeight="false" outlineLevel="0" collapsed="false">
      <c r="A2927" s="1" t="str">
        <f aca="false">IF($C2927="","",Controls!$B$7)</f>
        <v/>
      </c>
      <c r="B2927" s="1" t="str">
        <f aca="false">IF($H2927="","",YEAR($H2927)&amp;"-Q"&amp;ROUNDUP(MONTH($H2927)/3,0))</f>
        <v/>
      </c>
      <c r="S2927" s="1" t="str">
        <f aca="false">IF($C2927="","",$C2927&amp;"|"&amp;$E2927&amp;"|"&amp;$F2927&amp;"|"&amp;$L2927&amp;"|"&amp;$P2927&amp;"|"&amp;TEXT($H2927,"yyyy-mm-dd"))</f>
        <v/>
      </c>
      <c r="T2927" s="1" t="str">
        <f aca="false">IF($S2927="","",IF(COUNTIF($S$2:$S$2991,$S2927)&gt;1,"DUPLICATE","OK"))</f>
        <v/>
      </c>
      <c r="U2927" s="0" t="str">
        <f aca="false">IF($L2927="","",IFERROR(VLOOKUP(--$L2927,MM_Income!$Z$5:$AC$204,3,FALSE()),"UNMAPPED"))</f>
        <v/>
      </c>
    </row>
    <row r="2928" customFormat="false" ht="13.5" hidden="false" customHeight="false" outlineLevel="0" collapsed="false">
      <c r="A2928" s="1" t="str">
        <f aca="false">IF($C2928="","",Controls!$B$7)</f>
        <v/>
      </c>
      <c r="B2928" s="1" t="str">
        <f aca="false">IF($H2928="","",YEAR($H2928)&amp;"-Q"&amp;ROUNDUP(MONTH($H2928)/3,0))</f>
        <v/>
      </c>
      <c r="S2928" s="1" t="str">
        <f aca="false">IF($C2928="","",$C2928&amp;"|"&amp;$E2928&amp;"|"&amp;$F2928&amp;"|"&amp;$L2928&amp;"|"&amp;$P2928&amp;"|"&amp;TEXT($H2928,"yyyy-mm-dd"))</f>
        <v/>
      </c>
      <c r="T2928" s="1" t="str">
        <f aca="false">IF($S2928="","",IF(COUNTIF($S$2:$S$2991,$S2928)&gt;1,"DUPLICATE","OK"))</f>
        <v/>
      </c>
      <c r="U2928" s="0" t="str">
        <f aca="false">IF($L2928="","",IFERROR(VLOOKUP(--$L2928,MM_Income!$Z$5:$AC$204,3,FALSE()),"UNMAPPED"))</f>
        <v/>
      </c>
    </row>
    <row r="2929" customFormat="false" ht="13.5" hidden="false" customHeight="false" outlineLevel="0" collapsed="false">
      <c r="A2929" s="1" t="str">
        <f aca="false">IF($C2929="","",Controls!$B$7)</f>
        <v/>
      </c>
      <c r="B2929" s="1" t="str">
        <f aca="false">IF($H2929="","",YEAR($H2929)&amp;"-Q"&amp;ROUNDUP(MONTH($H2929)/3,0))</f>
        <v/>
      </c>
      <c r="S2929" s="1" t="str">
        <f aca="false">IF($C2929="","",$C2929&amp;"|"&amp;$E2929&amp;"|"&amp;$F2929&amp;"|"&amp;$L2929&amp;"|"&amp;$P2929&amp;"|"&amp;TEXT($H2929,"yyyy-mm-dd"))</f>
        <v/>
      </c>
      <c r="T2929" s="1" t="str">
        <f aca="false">IF($S2929="","",IF(COUNTIF($S$2:$S$2991,$S2929)&gt;1,"DUPLICATE","OK"))</f>
        <v/>
      </c>
      <c r="U2929" s="0" t="str">
        <f aca="false">IF($L2929="","",IFERROR(VLOOKUP(--$L2929,MM_Income!$Z$5:$AC$204,3,FALSE()),"UNMAPPED"))</f>
        <v/>
      </c>
    </row>
    <row r="2930" customFormat="false" ht="13.5" hidden="false" customHeight="false" outlineLevel="0" collapsed="false">
      <c r="A2930" s="1" t="str">
        <f aca="false">IF($C2930="","",Controls!$B$7)</f>
        <v/>
      </c>
      <c r="B2930" s="1" t="str">
        <f aca="false">IF($H2930="","",YEAR($H2930)&amp;"-Q"&amp;ROUNDUP(MONTH($H2930)/3,0))</f>
        <v/>
      </c>
      <c r="S2930" s="1" t="str">
        <f aca="false">IF($C2930="","",$C2930&amp;"|"&amp;$E2930&amp;"|"&amp;$F2930&amp;"|"&amp;$L2930&amp;"|"&amp;$P2930&amp;"|"&amp;TEXT($H2930,"yyyy-mm-dd"))</f>
        <v/>
      </c>
      <c r="T2930" s="1" t="str">
        <f aca="false">IF($S2930="","",IF(COUNTIF($S$2:$S$2991,$S2930)&gt;1,"DUPLICATE","OK"))</f>
        <v/>
      </c>
      <c r="U2930" s="0" t="str">
        <f aca="false">IF($L2930="","",IFERROR(VLOOKUP(--$L2930,MM_Income!$Z$5:$AC$204,3,FALSE()),"UNMAPPED"))</f>
        <v/>
      </c>
    </row>
    <row r="2931" customFormat="false" ht="13.5" hidden="false" customHeight="false" outlineLevel="0" collapsed="false">
      <c r="A2931" s="1" t="str">
        <f aca="false">IF($C2931="","",Controls!$B$7)</f>
        <v/>
      </c>
      <c r="B2931" s="1" t="str">
        <f aca="false">IF($H2931="","",YEAR($H2931)&amp;"-Q"&amp;ROUNDUP(MONTH($H2931)/3,0))</f>
        <v/>
      </c>
      <c r="S2931" s="1" t="str">
        <f aca="false">IF($C2931="","",$C2931&amp;"|"&amp;$E2931&amp;"|"&amp;$F2931&amp;"|"&amp;$L2931&amp;"|"&amp;$P2931&amp;"|"&amp;TEXT($H2931,"yyyy-mm-dd"))</f>
        <v/>
      </c>
      <c r="T2931" s="1" t="str">
        <f aca="false">IF($S2931="","",IF(COUNTIF($S$2:$S$2991,$S2931)&gt;1,"DUPLICATE","OK"))</f>
        <v/>
      </c>
      <c r="U2931" s="0" t="str">
        <f aca="false">IF($L2931="","",IFERROR(VLOOKUP(--$L2931,MM_Income!$Z$5:$AC$204,3,FALSE()),"UNMAPPED"))</f>
        <v/>
      </c>
    </row>
    <row r="2932" customFormat="false" ht="13.5" hidden="false" customHeight="false" outlineLevel="0" collapsed="false">
      <c r="A2932" s="1" t="str">
        <f aca="false">IF($C2932="","",Controls!$B$7)</f>
        <v/>
      </c>
      <c r="B2932" s="1" t="str">
        <f aca="false">IF($H2932="","",YEAR($H2932)&amp;"-Q"&amp;ROUNDUP(MONTH($H2932)/3,0))</f>
        <v/>
      </c>
      <c r="S2932" s="1" t="str">
        <f aca="false">IF($C2932="","",$C2932&amp;"|"&amp;$E2932&amp;"|"&amp;$F2932&amp;"|"&amp;$L2932&amp;"|"&amp;$P2932&amp;"|"&amp;TEXT($H2932,"yyyy-mm-dd"))</f>
        <v/>
      </c>
      <c r="T2932" s="1" t="str">
        <f aca="false">IF($S2932="","",IF(COUNTIF($S$2:$S$2991,$S2932)&gt;1,"DUPLICATE","OK"))</f>
        <v/>
      </c>
      <c r="U2932" s="0" t="str">
        <f aca="false">IF($L2932="","",IFERROR(VLOOKUP(--$L2932,MM_Income!$Z$5:$AC$204,3,FALSE()),"UNMAPPED"))</f>
        <v/>
      </c>
    </row>
    <row r="2933" customFormat="false" ht="13.5" hidden="false" customHeight="false" outlineLevel="0" collapsed="false">
      <c r="A2933" s="1" t="str">
        <f aca="false">IF($C2933="","",Controls!$B$7)</f>
        <v/>
      </c>
      <c r="B2933" s="1" t="str">
        <f aca="false">IF($H2933="","",YEAR($H2933)&amp;"-Q"&amp;ROUNDUP(MONTH($H2933)/3,0))</f>
        <v/>
      </c>
      <c r="S2933" s="1" t="str">
        <f aca="false">IF($C2933="","",$C2933&amp;"|"&amp;$E2933&amp;"|"&amp;$F2933&amp;"|"&amp;$L2933&amp;"|"&amp;$P2933&amp;"|"&amp;TEXT($H2933,"yyyy-mm-dd"))</f>
        <v/>
      </c>
      <c r="T2933" s="1" t="str">
        <f aca="false">IF($S2933="","",IF(COUNTIF($S$2:$S$2991,$S2933)&gt;1,"DUPLICATE","OK"))</f>
        <v/>
      </c>
      <c r="U2933" s="0" t="str">
        <f aca="false">IF($L2933="","",IFERROR(VLOOKUP(--$L2933,MM_Income!$Z$5:$AC$204,3,FALSE()),"UNMAPPED"))</f>
        <v/>
      </c>
    </row>
    <row r="2934" customFormat="false" ht="13.5" hidden="false" customHeight="false" outlineLevel="0" collapsed="false">
      <c r="A2934" s="1" t="str">
        <f aca="false">IF($C2934="","",Controls!$B$7)</f>
        <v/>
      </c>
      <c r="B2934" s="1" t="str">
        <f aca="false">IF($H2934="","",YEAR($H2934)&amp;"-Q"&amp;ROUNDUP(MONTH($H2934)/3,0))</f>
        <v/>
      </c>
      <c r="S2934" s="1" t="str">
        <f aca="false">IF($C2934="","",$C2934&amp;"|"&amp;$E2934&amp;"|"&amp;$F2934&amp;"|"&amp;$L2934&amp;"|"&amp;$P2934&amp;"|"&amp;TEXT($H2934,"yyyy-mm-dd"))</f>
        <v/>
      </c>
      <c r="T2934" s="1" t="str">
        <f aca="false">IF($S2934="","",IF(COUNTIF($S$2:$S$2991,$S2934)&gt;1,"DUPLICATE","OK"))</f>
        <v/>
      </c>
      <c r="U2934" s="0" t="str">
        <f aca="false">IF($L2934="","",IFERROR(VLOOKUP(--$L2934,MM_Income!$Z$5:$AC$204,3,FALSE()),"UNMAPPED"))</f>
        <v/>
      </c>
    </row>
    <row r="2935" customFormat="false" ht="13.5" hidden="false" customHeight="false" outlineLevel="0" collapsed="false">
      <c r="A2935" s="1" t="str">
        <f aca="false">IF($C2935="","",Controls!$B$7)</f>
        <v/>
      </c>
      <c r="B2935" s="1" t="str">
        <f aca="false">IF($H2935="","",YEAR($H2935)&amp;"-Q"&amp;ROUNDUP(MONTH($H2935)/3,0))</f>
        <v/>
      </c>
      <c r="S2935" s="1" t="str">
        <f aca="false">IF($C2935="","",$C2935&amp;"|"&amp;$E2935&amp;"|"&amp;$F2935&amp;"|"&amp;$L2935&amp;"|"&amp;$P2935&amp;"|"&amp;TEXT($H2935,"yyyy-mm-dd"))</f>
        <v/>
      </c>
      <c r="T2935" s="1" t="str">
        <f aca="false">IF($S2935="","",IF(COUNTIF($S$2:$S$2991,$S2935)&gt;1,"DUPLICATE","OK"))</f>
        <v/>
      </c>
      <c r="U2935" s="0" t="str">
        <f aca="false">IF($L2935="","",IFERROR(VLOOKUP(--$L2935,MM_Income!$Z$5:$AC$204,3,FALSE()),"UNMAPPED"))</f>
        <v/>
      </c>
    </row>
    <row r="2936" customFormat="false" ht="13.5" hidden="false" customHeight="false" outlineLevel="0" collapsed="false">
      <c r="A2936" s="1" t="str">
        <f aca="false">IF($C2936="","",Controls!$B$7)</f>
        <v/>
      </c>
      <c r="B2936" s="1" t="str">
        <f aca="false">IF($H2936="","",YEAR($H2936)&amp;"-Q"&amp;ROUNDUP(MONTH($H2936)/3,0))</f>
        <v/>
      </c>
      <c r="S2936" s="1" t="str">
        <f aca="false">IF($C2936="","",$C2936&amp;"|"&amp;$E2936&amp;"|"&amp;$F2936&amp;"|"&amp;$L2936&amp;"|"&amp;$P2936&amp;"|"&amp;TEXT($H2936,"yyyy-mm-dd"))</f>
        <v/>
      </c>
      <c r="T2936" s="1" t="str">
        <f aca="false">IF($S2936="","",IF(COUNTIF($S$2:$S$2991,$S2936)&gt;1,"DUPLICATE","OK"))</f>
        <v/>
      </c>
      <c r="U2936" s="0" t="str">
        <f aca="false">IF($L2936="","",IFERROR(VLOOKUP(--$L2936,MM_Income!$Z$5:$AC$204,3,FALSE()),"UNMAPPED"))</f>
        <v/>
      </c>
    </row>
    <row r="2937" customFormat="false" ht="13.5" hidden="false" customHeight="false" outlineLevel="0" collapsed="false">
      <c r="A2937" s="1" t="str">
        <f aca="false">IF($C2937="","",Controls!$B$7)</f>
        <v/>
      </c>
      <c r="B2937" s="1" t="str">
        <f aca="false">IF($H2937="","",YEAR($H2937)&amp;"-Q"&amp;ROUNDUP(MONTH($H2937)/3,0))</f>
        <v/>
      </c>
      <c r="S2937" s="1" t="str">
        <f aca="false">IF($C2937="","",$C2937&amp;"|"&amp;$E2937&amp;"|"&amp;$F2937&amp;"|"&amp;$L2937&amp;"|"&amp;$P2937&amp;"|"&amp;TEXT($H2937,"yyyy-mm-dd"))</f>
        <v/>
      </c>
      <c r="T2937" s="1" t="str">
        <f aca="false">IF($S2937="","",IF(COUNTIF($S$2:$S$2991,$S2937)&gt;1,"DUPLICATE","OK"))</f>
        <v/>
      </c>
      <c r="U2937" s="0" t="str">
        <f aca="false">IF($L2937="","",IFERROR(VLOOKUP(--$L2937,MM_Income!$Z$5:$AC$204,3,FALSE()),"UNMAPPED"))</f>
        <v/>
      </c>
    </row>
    <row r="2938" customFormat="false" ht="13.5" hidden="false" customHeight="false" outlineLevel="0" collapsed="false">
      <c r="A2938" s="1" t="str">
        <f aca="false">IF($C2938="","",Controls!$B$7)</f>
        <v/>
      </c>
      <c r="B2938" s="1" t="str">
        <f aca="false">IF($H2938="","",YEAR($H2938)&amp;"-Q"&amp;ROUNDUP(MONTH($H2938)/3,0))</f>
        <v/>
      </c>
      <c r="S2938" s="1" t="str">
        <f aca="false">IF($C2938="","",$C2938&amp;"|"&amp;$E2938&amp;"|"&amp;$F2938&amp;"|"&amp;$L2938&amp;"|"&amp;$P2938&amp;"|"&amp;TEXT($H2938,"yyyy-mm-dd"))</f>
        <v/>
      </c>
      <c r="T2938" s="1" t="str">
        <f aca="false">IF($S2938="","",IF(COUNTIF($S$2:$S$2991,$S2938)&gt;1,"DUPLICATE","OK"))</f>
        <v/>
      </c>
      <c r="U2938" s="0" t="str">
        <f aca="false">IF($L2938="","",IFERROR(VLOOKUP(--$L2938,MM_Income!$Z$5:$AC$204,3,FALSE()),"UNMAPPED"))</f>
        <v/>
      </c>
    </row>
    <row r="2939" customFormat="false" ht="13.5" hidden="false" customHeight="false" outlineLevel="0" collapsed="false">
      <c r="A2939" s="1" t="str">
        <f aca="false">IF($C2939="","",Controls!$B$7)</f>
        <v/>
      </c>
      <c r="B2939" s="1" t="str">
        <f aca="false">IF($H2939="","",YEAR($H2939)&amp;"-Q"&amp;ROUNDUP(MONTH($H2939)/3,0))</f>
        <v/>
      </c>
      <c r="S2939" s="1" t="str">
        <f aca="false">IF($C2939="","",$C2939&amp;"|"&amp;$E2939&amp;"|"&amp;$F2939&amp;"|"&amp;$L2939&amp;"|"&amp;$P2939&amp;"|"&amp;TEXT($H2939,"yyyy-mm-dd"))</f>
        <v/>
      </c>
      <c r="T2939" s="1" t="str">
        <f aca="false">IF($S2939="","",IF(COUNTIF($S$2:$S$2991,$S2939)&gt;1,"DUPLICATE","OK"))</f>
        <v/>
      </c>
      <c r="U2939" s="0" t="str">
        <f aca="false">IF($L2939="","",IFERROR(VLOOKUP(--$L2939,MM_Income!$Z$5:$AC$204,3,FALSE()),"UNMAPPED"))</f>
        <v/>
      </c>
    </row>
    <row r="2940" customFormat="false" ht="13.5" hidden="false" customHeight="false" outlineLevel="0" collapsed="false">
      <c r="A2940" s="1" t="str">
        <f aca="false">IF($C2940="","",Controls!$B$7)</f>
        <v/>
      </c>
      <c r="B2940" s="1" t="str">
        <f aca="false">IF($H2940="","",YEAR($H2940)&amp;"-Q"&amp;ROUNDUP(MONTH($H2940)/3,0))</f>
        <v/>
      </c>
      <c r="S2940" s="1" t="str">
        <f aca="false">IF($C2940="","",$C2940&amp;"|"&amp;$E2940&amp;"|"&amp;$F2940&amp;"|"&amp;$L2940&amp;"|"&amp;$P2940&amp;"|"&amp;TEXT($H2940,"yyyy-mm-dd"))</f>
        <v/>
      </c>
      <c r="T2940" s="1" t="str">
        <f aca="false">IF($S2940="","",IF(COUNTIF($S$2:$S$2991,$S2940)&gt;1,"DUPLICATE","OK"))</f>
        <v/>
      </c>
      <c r="U2940" s="0" t="str">
        <f aca="false">IF($L2940="","",IFERROR(VLOOKUP(--$L2940,MM_Income!$Z$5:$AC$204,3,FALSE()),"UNMAPPED"))</f>
        <v/>
      </c>
    </row>
    <row r="2941" customFormat="false" ht="13.5" hidden="false" customHeight="false" outlineLevel="0" collapsed="false">
      <c r="A2941" s="1" t="str">
        <f aca="false">IF($C2941="","",Controls!$B$7)</f>
        <v/>
      </c>
      <c r="B2941" s="1" t="str">
        <f aca="false">IF($H2941="","",YEAR($H2941)&amp;"-Q"&amp;ROUNDUP(MONTH($H2941)/3,0))</f>
        <v/>
      </c>
      <c r="S2941" s="1" t="str">
        <f aca="false">IF($C2941="","",$C2941&amp;"|"&amp;$E2941&amp;"|"&amp;$F2941&amp;"|"&amp;$L2941&amp;"|"&amp;$P2941&amp;"|"&amp;TEXT($H2941,"yyyy-mm-dd"))</f>
        <v/>
      </c>
      <c r="T2941" s="1" t="str">
        <f aca="false">IF($S2941="","",IF(COUNTIF($S$2:$S$2991,$S2941)&gt;1,"DUPLICATE","OK"))</f>
        <v/>
      </c>
      <c r="U2941" s="0" t="str">
        <f aca="false">IF($L2941="","",IFERROR(VLOOKUP(--$L2941,MM_Income!$Z$5:$AC$204,3,FALSE()),"UNMAPPED"))</f>
        <v/>
      </c>
    </row>
    <row r="2942" customFormat="false" ht="13.5" hidden="false" customHeight="false" outlineLevel="0" collapsed="false">
      <c r="A2942" s="1" t="str">
        <f aca="false">IF($C2942="","",Controls!$B$7)</f>
        <v/>
      </c>
      <c r="B2942" s="1" t="str">
        <f aca="false">IF($H2942="","",YEAR($H2942)&amp;"-Q"&amp;ROUNDUP(MONTH($H2942)/3,0))</f>
        <v/>
      </c>
      <c r="S2942" s="1" t="str">
        <f aca="false">IF($C2942="","",$C2942&amp;"|"&amp;$E2942&amp;"|"&amp;$F2942&amp;"|"&amp;$L2942&amp;"|"&amp;$P2942&amp;"|"&amp;TEXT($H2942,"yyyy-mm-dd"))</f>
        <v/>
      </c>
      <c r="T2942" s="1" t="str">
        <f aca="false">IF($S2942="","",IF(COUNTIF($S$2:$S$2991,$S2942)&gt;1,"DUPLICATE","OK"))</f>
        <v/>
      </c>
      <c r="U2942" s="0" t="str">
        <f aca="false">IF($L2942="","",IFERROR(VLOOKUP(--$L2942,MM_Income!$Z$5:$AC$204,3,FALSE()),"UNMAPPED"))</f>
        <v/>
      </c>
    </row>
    <row r="2943" customFormat="false" ht="13.5" hidden="false" customHeight="false" outlineLevel="0" collapsed="false">
      <c r="A2943" s="1" t="str">
        <f aca="false">IF($C2943="","",Controls!$B$7)</f>
        <v/>
      </c>
      <c r="B2943" s="1" t="str">
        <f aca="false">IF($H2943="","",YEAR($H2943)&amp;"-Q"&amp;ROUNDUP(MONTH($H2943)/3,0))</f>
        <v/>
      </c>
      <c r="S2943" s="1" t="str">
        <f aca="false">IF($C2943="","",$C2943&amp;"|"&amp;$E2943&amp;"|"&amp;$F2943&amp;"|"&amp;$L2943&amp;"|"&amp;$P2943&amp;"|"&amp;TEXT($H2943,"yyyy-mm-dd"))</f>
        <v/>
      </c>
      <c r="T2943" s="1" t="str">
        <f aca="false">IF($S2943="","",IF(COUNTIF($S$2:$S$2991,$S2943)&gt;1,"DUPLICATE","OK"))</f>
        <v/>
      </c>
      <c r="U2943" s="0" t="str">
        <f aca="false">IF($L2943="","",IFERROR(VLOOKUP(--$L2943,MM_Income!$Z$5:$AC$204,3,FALSE()),"UNMAPPED"))</f>
        <v/>
      </c>
    </row>
    <row r="2944" customFormat="false" ht="13.5" hidden="false" customHeight="false" outlineLevel="0" collapsed="false">
      <c r="A2944" s="1" t="str">
        <f aca="false">IF($C2944="","",Controls!$B$7)</f>
        <v/>
      </c>
      <c r="B2944" s="1" t="str">
        <f aca="false">IF($H2944="","",YEAR($H2944)&amp;"-Q"&amp;ROUNDUP(MONTH($H2944)/3,0))</f>
        <v/>
      </c>
      <c r="S2944" s="1" t="str">
        <f aca="false">IF($C2944="","",$C2944&amp;"|"&amp;$E2944&amp;"|"&amp;$F2944&amp;"|"&amp;$L2944&amp;"|"&amp;$P2944&amp;"|"&amp;TEXT($H2944,"yyyy-mm-dd"))</f>
        <v/>
      </c>
      <c r="T2944" s="1" t="str">
        <f aca="false">IF($S2944="","",IF(COUNTIF($S$2:$S$2991,$S2944)&gt;1,"DUPLICATE","OK"))</f>
        <v/>
      </c>
      <c r="U2944" s="0" t="str">
        <f aca="false">IF($L2944="","",IFERROR(VLOOKUP(--$L2944,MM_Income!$Z$5:$AC$204,3,FALSE()),"UNMAPPED"))</f>
        <v/>
      </c>
    </row>
    <row r="2945" customFormat="false" ht="13.5" hidden="false" customHeight="false" outlineLevel="0" collapsed="false">
      <c r="A2945" s="1" t="str">
        <f aca="false">IF($C2945="","",Controls!$B$7)</f>
        <v/>
      </c>
      <c r="B2945" s="1" t="str">
        <f aca="false">IF($H2945="","",YEAR($H2945)&amp;"-Q"&amp;ROUNDUP(MONTH($H2945)/3,0))</f>
        <v/>
      </c>
      <c r="S2945" s="1" t="str">
        <f aca="false">IF($C2945="","",$C2945&amp;"|"&amp;$E2945&amp;"|"&amp;$F2945&amp;"|"&amp;$L2945&amp;"|"&amp;$P2945&amp;"|"&amp;TEXT($H2945,"yyyy-mm-dd"))</f>
        <v/>
      </c>
      <c r="T2945" s="1" t="str">
        <f aca="false">IF($S2945="","",IF(COUNTIF($S$2:$S$2991,$S2945)&gt;1,"DUPLICATE","OK"))</f>
        <v/>
      </c>
      <c r="U2945" s="0" t="str">
        <f aca="false">IF($L2945="","",IFERROR(VLOOKUP(--$L2945,MM_Income!$Z$5:$AC$204,3,FALSE()),"UNMAPPED"))</f>
        <v/>
      </c>
    </row>
    <row r="2946" customFormat="false" ht="13.5" hidden="false" customHeight="false" outlineLevel="0" collapsed="false">
      <c r="A2946" s="1" t="str">
        <f aca="false">IF($C2946="","",Controls!$B$7)</f>
        <v/>
      </c>
      <c r="B2946" s="1" t="str">
        <f aca="false">IF($H2946="","",YEAR($H2946)&amp;"-Q"&amp;ROUNDUP(MONTH($H2946)/3,0))</f>
        <v/>
      </c>
      <c r="S2946" s="1" t="str">
        <f aca="false">IF($C2946="","",$C2946&amp;"|"&amp;$E2946&amp;"|"&amp;$F2946&amp;"|"&amp;$L2946&amp;"|"&amp;$P2946&amp;"|"&amp;TEXT($H2946,"yyyy-mm-dd"))</f>
        <v/>
      </c>
      <c r="T2946" s="1" t="str">
        <f aca="false">IF($S2946="","",IF(COUNTIF($S$2:$S$2991,$S2946)&gt;1,"DUPLICATE","OK"))</f>
        <v/>
      </c>
      <c r="U2946" s="0" t="str">
        <f aca="false">IF($L2946="","",IFERROR(VLOOKUP(--$L2946,MM_Income!$Z$5:$AC$204,3,FALSE()),"UNMAPPED"))</f>
        <v/>
      </c>
    </row>
    <row r="2947" customFormat="false" ht="13.5" hidden="false" customHeight="false" outlineLevel="0" collapsed="false">
      <c r="A2947" s="1" t="str">
        <f aca="false">IF($C2947="","",Controls!$B$7)</f>
        <v/>
      </c>
      <c r="B2947" s="1" t="str">
        <f aca="false">IF($H2947="","",YEAR($H2947)&amp;"-Q"&amp;ROUNDUP(MONTH($H2947)/3,0))</f>
        <v/>
      </c>
      <c r="S2947" s="1" t="str">
        <f aca="false">IF($C2947="","",$C2947&amp;"|"&amp;$E2947&amp;"|"&amp;$F2947&amp;"|"&amp;$L2947&amp;"|"&amp;$P2947&amp;"|"&amp;TEXT($H2947,"yyyy-mm-dd"))</f>
        <v/>
      </c>
      <c r="T2947" s="1" t="str">
        <f aca="false">IF($S2947="","",IF(COUNTIF($S$2:$S$2991,$S2947)&gt;1,"DUPLICATE","OK"))</f>
        <v/>
      </c>
      <c r="U2947" s="0" t="str">
        <f aca="false">IF($L2947="","",IFERROR(VLOOKUP(--$L2947,MM_Income!$Z$5:$AC$204,3,FALSE()),"UNMAPPED"))</f>
        <v/>
      </c>
    </row>
    <row r="2948" customFormat="false" ht="13.5" hidden="false" customHeight="false" outlineLevel="0" collapsed="false">
      <c r="A2948" s="1" t="str">
        <f aca="false">IF($C2948="","",Controls!$B$7)</f>
        <v/>
      </c>
      <c r="B2948" s="1" t="str">
        <f aca="false">IF($H2948="","",YEAR($H2948)&amp;"-Q"&amp;ROUNDUP(MONTH($H2948)/3,0))</f>
        <v/>
      </c>
      <c r="S2948" s="1" t="str">
        <f aca="false">IF($C2948="","",$C2948&amp;"|"&amp;$E2948&amp;"|"&amp;$F2948&amp;"|"&amp;$L2948&amp;"|"&amp;$P2948&amp;"|"&amp;TEXT($H2948,"yyyy-mm-dd"))</f>
        <v/>
      </c>
      <c r="T2948" s="1" t="str">
        <f aca="false">IF($S2948="","",IF(COUNTIF($S$2:$S$2991,$S2948)&gt;1,"DUPLICATE","OK"))</f>
        <v/>
      </c>
      <c r="U2948" s="0" t="str">
        <f aca="false">IF($L2948="","",IFERROR(VLOOKUP(--$L2948,MM_Income!$Z$5:$AC$204,3,FALSE()),"UNMAPPED"))</f>
        <v/>
      </c>
    </row>
    <row r="2949" customFormat="false" ht="13.5" hidden="false" customHeight="false" outlineLevel="0" collapsed="false">
      <c r="A2949" s="1" t="str">
        <f aca="false">IF($C2949="","",Controls!$B$7)</f>
        <v/>
      </c>
      <c r="B2949" s="1" t="str">
        <f aca="false">IF($H2949="","",YEAR($H2949)&amp;"-Q"&amp;ROUNDUP(MONTH($H2949)/3,0))</f>
        <v/>
      </c>
      <c r="S2949" s="1" t="str">
        <f aca="false">IF($C2949="","",$C2949&amp;"|"&amp;$E2949&amp;"|"&amp;$F2949&amp;"|"&amp;$L2949&amp;"|"&amp;$P2949&amp;"|"&amp;TEXT($H2949,"yyyy-mm-dd"))</f>
        <v/>
      </c>
      <c r="T2949" s="1" t="str">
        <f aca="false">IF($S2949="","",IF(COUNTIF($S$2:$S$2991,$S2949)&gt;1,"DUPLICATE","OK"))</f>
        <v/>
      </c>
      <c r="U2949" s="0" t="str">
        <f aca="false">IF($L2949="","",IFERROR(VLOOKUP(--$L2949,MM_Income!$Z$5:$AC$204,3,FALSE()),"UNMAPPED"))</f>
        <v/>
      </c>
    </row>
    <row r="2950" customFormat="false" ht="13.5" hidden="false" customHeight="false" outlineLevel="0" collapsed="false">
      <c r="A2950" s="1" t="str">
        <f aca="false">IF($C2950="","",Controls!$B$7)</f>
        <v/>
      </c>
      <c r="B2950" s="1" t="str">
        <f aca="false">IF($H2950="","",YEAR($H2950)&amp;"-Q"&amp;ROUNDUP(MONTH($H2950)/3,0))</f>
        <v/>
      </c>
      <c r="S2950" s="1" t="str">
        <f aca="false">IF($C2950="","",$C2950&amp;"|"&amp;$E2950&amp;"|"&amp;$F2950&amp;"|"&amp;$L2950&amp;"|"&amp;$P2950&amp;"|"&amp;TEXT($H2950,"yyyy-mm-dd"))</f>
        <v/>
      </c>
      <c r="T2950" s="1" t="str">
        <f aca="false">IF($S2950="","",IF(COUNTIF($S$2:$S$2991,$S2950)&gt;1,"DUPLICATE","OK"))</f>
        <v/>
      </c>
      <c r="U2950" s="0" t="str">
        <f aca="false">IF($L2950="","",IFERROR(VLOOKUP(--$L2950,MM_Income!$Z$5:$AC$204,3,FALSE()),"UNMAPPED"))</f>
        <v/>
      </c>
    </row>
    <row r="2951" customFormat="false" ht="13.5" hidden="false" customHeight="false" outlineLevel="0" collapsed="false">
      <c r="A2951" s="1" t="str">
        <f aca="false">IF($C2951="","",Controls!$B$7)</f>
        <v/>
      </c>
      <c r="B2951" s="1" t="str">
        <f aca="false">IF($H2951="","",YEAR($H2951)&amp;"-Q"&amp;ROUNDUP(MONTH($H2951)/3,0))</f>
        <v/>
      </c>
      <c r="S2951" s="1" t="str">
        <f aca="false">IF($C2951="","",$C2951&amp;"|"&amp;$E2951&amp;"|"&amp;$F2951&amp;"|"&amp;$L2951&amp;"|"&amp;$P2951&amp;"|"&amp;TEXT($H2951,"yyyy-mm-dd"))</f>
        <v/>
      </c>
      <c r="T2951" s="1" t="str">
        <f aca="false">IF($S2951="","",IF(COUNTIF($S$2:$S$2991,$S2951)&gt;1,"DUPLICATE","OK"))</f>
        <v/>
      </c>
      <c r="U2951" s="0" t="str">
        <f aca="false">IF($L2951="","",IFERROR(VLOOKUP(--$L2951,MM_Income!$Z$5:$AC$204,3,FALSE()),"UNMAPPED"))</f>
        <v/>
      </c>
    </row>
    <row r="2952" customFormat="false" ht="13.5" hidden="false" customHeight="false" outlineLevel="0" collapsed="false">
      <c r="A2952" s="1" t="str">
        <f aca="false">IF($C2952="","",Controls!$B$7)</f>
        <v/>
      </c>
      <c r="B2952" s="1" t="str">
        <f aca="false">IF($H2952="","",YEAR($H2952)&amp;"-Q"&amp;ROUNDUP(MONTH($H2952)/3,0))</f>
        <v/>
      </c>
      <c r="S2952" s="1" t="str">
        <f aca="false">IF($C2952="","",$C2952&amp;"|"&amp;$E2952&amp;"|"&amp;$F2952&amp;"|"&amp;$L2952&amp;"|"&amp;$P2952&amp;"|"&amp;TEXT($H2952,"yyyy-mm-dd"))</f>
        <v/>
      </c>
      <c r="T2952" s="1" t="str">
        <f aca="false">IF($S2952="","",IF(COUNTIF($S$2:$S$2991,$S2952)&gt;1,"DUPLICATE","OK"))</f>
        <v/>
      </c>
      <c r="U2952" s="0" t="str">
        <f aca="false">IF($L2952="","",IFERROR(VLOOKUP(--$L2952,MM_Income!$Z$5:$AC$204,3,FALSE()),"UNMAPPED"))</f>
        <v/>
      </c>
    </row>
    <row r="2953" customFormat="false" ht="13.5" hidden="false" customHeight="false" outlineLevel="0" collapsed="false">
      <c r="A2953" s="1" t="str">
        <f aca="false">IF($C2953="","",Controls!$B$7)</f>
        <v/>
      </c>
      <c r="B2953" s="1" t="str">
        <f aca="false">IF($H2953="","",YEAR($H2953)&amp;"-Q"&amp;ROUNDUP(MONTH($H2953)/3,0))</f>
        <v/>
      </c>
      <c r="S2953" s="1" t="str">
        <f aca="false">IF($C2953="","",$C2953&amp;"|"&amp;$E2953&amp;"|"&amp;$F2953&amp;"|"&amp;$L2953&amp;"|"&amp;$P2953&amp;"|"&amp;TEXT($H2953,"yyyy-mm-dd"))</f>
        <v/>
      </c>
      <c r="T2953" s="1" t="str">
        <f aca="false">IF($S2953="","",IF(COUNTIF($S$2:$S$2991,$S2953)&gt;1,"DUPLICATE","OK"))</f>
        <v/>
      </c>
      <c r="U2953" s="0" t="str">
        <f aca="false">IF($L2953="","",IFERROR(VLOOKUP(--$L2953,MM_Income!$Z$5:$AC$204,3,FALSE()),"UNMAPPED"))</f>
        <v/>
      </c>
    </row>
    <row r="2954" customFormat="false" ht="13.5" hidden="false" customHeight="false" outlineLevel="0" collapsed="false">
      <c r="A2954" s="1" t="str">
        <f aca="false">IF($C2954="","",Controls!$B$7)</f>
        <v/>
      </c>
      <c r="B2954" s="1" t="str">
        <f aca="false">IF($H2954="","",YEAR($H2954)&amp;"-Q"&amp;ROUNDUP(MONTH($H2954)/3,0))</f>
        <v/>
      </c>
      <c r="S2954" s="1" t="str">
        <f aca="false">IF($C2954="","",$C2954&amp;"|"&amp;$E2954&amp;"|"&amp;$F2954&amp;"|"&amp;$L2954&amp;"|"&amp;$P2954&amp;"|"&amp;TEXT($H2954,"yyyy-mm-dd"))</f>
        <v/>
      </c>
      <c r="T2954" s="1" t="str">
        <f aca="false">IF($S2954="","",IF(COUNTIF($S$2:$S$2991,$S2954)&gt;1,"DUPLICATE","OK"))</f>
        <v/>
      </c>
      <c r="U2954" s="0" t="str">
        <f aca="false">IF($L2954="","",IFERROR(VLOOKUP(--$L2954,MM_Income!$Z$5:$AC$204,3,FALSE()),"UNMAPPED"))</f>
        <v/>
      </c>
    </row>
    <row r="2955" customFormat="false" ht="13.5" hidden="false" customHeight="false" outlineLevel="0" collapsed="false">
      <c r="A2955" s="1" t="str">
        <f aca="false">IF($C2955="","",Controls!$B$7)</f>
        <v/>
      </c>
      <c r="B2955" s="1" t="str">
        <f aca="false">IF($H2955="","",YEAR($H2955)&amp;"-Q"&amp;ROUNDUP(MONTH($H2955)/3,0))</f>
        <v/>
      </c>
      <c r="S2955" s="1" t="str">
        <f aca="false">IF($C2955="","",$C2955&amp;"|"&amp;$E2955&amp;"|"&amp;$F2955&amp;"|"&amp;$L2955&amp;"|"&amp;$P2955&amp;"|"&amp;TEXT($H2955,"yyyy-mm-dd"))</f>
        <v/>
      </c>
      <c r="T2955" s="1" t="str">
        <f aca="false">IF($S2955="","",IF(COUNTIF($S$2:$S$2991,$S2955)&gt;1,"DUPLICATE","OK"))</f>
        <v/>
      </c>
      <c r="U2955" s="0" t="str">
        <f aca="false">IF($L2955="","",IFERROR(VLOOKUP(--$L2955,MM_Income!$Z$5:$AC$204,3,FALSE()),"UNMAPPED"))</f>
        <v/>
      </c>
    </row>
    <row r="2956" customFormat="false" ht="13.5" hidden="false" customHeight="false" outlineLevel="0" collapsed="false">
      <c r="A2956" s="1" t="str">
        <f aca="false">IF($C2956="","",Controls!$B$7)</f>
        <v/>
      </c>
      <c r="B2956" s="1" t="str">
        <f aca="false">IF($H2956="","",YEAR($H2956)&amp;"-Q"&amp;ROUNDUP(MONTH($H2956)/3,0))</f>
        <v/>
      </c>
      <c r="S2956" s="1" t="str">
        <f aca="false">IF($C2956="","",$C2956&amp;"|"&amp;$E2956&amp;"|"&amp;$F2956&amp;"|"&amp;$L2956&amp;"|"&amp;$P2956&amp;"|"&amp;TEXT($H2956,"yyyy-mm-dd"))</f>
        <v/>
      </c>
      <c r="T2956" s="1" t="str">
        <f aca="false">IF($S2956="","",IF(COUNTIF($S$2:$S$2991,$S2956)&gt;1,"DUPLICATE","OK"))</f>
        <v/>
      </c>
      <c r="U2956" s="0" t="str">
        <f aca="false">IF($L2956="","",IFERROR(VLOOKUP(--$L2956,MM_Income!$Z$5:$AC$204,3,FALSE()),"UNMAPPED"))</f>
        <v/>
      </c>
    </row>
    <row r="2957" customFormat="false" ht="13.5" hidden="false" customHeight="false" outlineLevel="0" collapsed="false">
      <c r="A2957" s="1" t="str">
        <f aca="false">IF($C2957="","",Controls!$B$7)</f>
        <v/>
      </c>
      <c r="B2957" s="1" t="str">
        <f aca="false">IF($H2957="","",YEAR($H2957)&amp;"-Q"&amp;ROUNDUP(MONTH($H2957)/3,0))</f>
        <v/>
      </c>
      <c r="S2957" s="1" t="str">
        <f aca="false">IF($C2957="","",$C2957&amp;"|"&amp;$E2957&amp;"|"&amp;$F2957&amp;"|"&amp;$L2957&amp;"|"&amp;$P2957&amp;"|"&amp;TEXT($H2957,"yyyy-mm-dd"))</f>
        <v/>
      </c>
      <c r="T2957" s="1" t="str">
        <f aca="false">IF($S2957="","",IF(COUNTIF($S$2:$S$2991,$S2957)&gt;1,"DUPLICATE","OK"))</f>
        <v/>
      </c>
      <c r="U2957" s="0" t="str">
        <f aca="false">IF($L2957="","",IFERROR(VLOOKUP(--$L2957,MM_Income!$Z$5:$AC$204,3,FALSE()),"UNMAPPED"))</f>
        <v/>
      </c>
    </row>
    <row r="2958" customFormat="false" ht="13.5" hidden="false" customHeight="false" outlineLevel="0" collapsed="false">
      <c r="A2958" s="1" t="str">
        <f aca="false">IF($C2958="","",Controls!$B$7)</f>
        <v/>
      </c>
      <c r="B2958" s="1" t="str">
        <f aca="false">IF($H2958="","",YEAR($H2958)&amp;"-Q"&amp;ROUNDUP(MONTH($H2958)/3,0))</f>
        <v/>
      </c>
      <c r="S2958" s="1" t="str">
        <f aca="false">IF($C2958="","",$C2958&amp;"|"&amp;$E2958&amp;"|"&amp;$F2958&amp;"|"&amp;$L2958&amp;"|"&amp;$P2958&amp;"|"&amp;TEXT($H2958,"yyyy-mm-dd"))</f>
        <v/>
      </c>
      <c r="T2958" s="1" t="str">
        <f aca="false">IF($S2958="","",IF(COUNTIF($S$2:$S$2991,$S2958)&gt;1,"DUPLICATE","OK"))</f>
        <v/>
      </c>
      <c r="U2958" s="0" t="str">
        <f aca="false">IF($L2958="","",IFERROR(VLOOKUP(--$L2958,MM_Income!$Z$5:$AC$204,3,FALSE()),"UNMAPPED"))</f>
        <v/>
      </c>
    </row>
    <row r="2959" customFormat="false" ht="13.5" hidden="false" customHeight="false" outlineLevel="0" collapsed="false">
      <c r="A2959" s="1" t="str">
        <f aca="false">IF($C2959="","",Controls!$B$7)</f>
        <v/>
      </c>
      <c r="B2959" s="1" t="str">
        <f aca="false">IF($H2959="","",YEAR($H2959)&amp;"-Q"&amp;ROUNDUP(MONTH($H2959)/3,0))</f>
        <v/>
      </c>
      <c r="S2959" s="1" t="str">
        <f aca="false">IF($C2959="","",$C2959&amp;"|"&amp;$E2959&amp;"|"&amp;$F2959&amp;"|"&amp;$L2959&amp;"|"&amp;$P2959&amp;"|"&amp;TEXT($H2959,"yyyy-mm-dd"))</f>
        <v/>
      </c>
      <c r="T2959" s="1" t="str">
        <f aca="false">IF($S2959="","",IF(COUNTIF($S$2:$S$2991,$S2959)&gt;1,"DUPLICATE","OK"))</f>
        <v/>
      </c>
      <c r="U2959" s="0" t="str">
        <f aca="false">IF($L2959="","",IFERROR(VLOOKUP(--$L2959,MM_Income!$Z$5:$AC$204,3,FALSE()),"UNMAPPED"))</f>
        <v/>
      </c>
    </row>
    <row r="2960" customFormat="false" ht="13.5" hidden="false" customHeight="false" outlineLevel="0" collapsed="false">
      <c r="A2960" s="1" t="str">
        <f aca="false">IF($C2960="","",Controls!$B$7)</f>
        <v/>
      </c>
      <c r="B2960" s="1" t="str">
        <f aca="false">IF($H2960="","",YEAR($H2960)&amp;"-Q"&amp;ROUNDUP(MONTH($H2960)/3,0))</f>
        <v/>
      </c>
      <c r="S2960" s="1" t="str">
        <f aca="false">IF($C2960="","",$C2960&amp;"|"&amp;$E2960&amp;"|"&amp;$F2960&amp;"|"&amp;$L2960&amp;"|"&amp;$P2960&amp;"|"&amp;TEXT($H2960,"yyyy-mm-dd"))</f>
        <v/>
      </c>
      <c r="T2960" s="1" t="str">
        <f aca="false">IF($S2960="","",IF(COUNTIF($S$2:$S$2991,$S2960)&gt;1,"DUPLICATE","OK"))</f>
        <v/>
      </c>
      <c r="U2960" s="0" t="str">
        <f aca="false">IF($L2960="","",IFERROR(VLOOKUP(--$L2960,MM_Income!$Z$5:$AC$204,3,FALSE()),"UNMAPPED"))</f>
        <v/>
      </c>
    </row>
    <row r="2961" customFormat="false" ht="13.5" hidden="false" customHeight="false" outlineLevel="0" collapsed="false">
      <c r="A2961" s="1" t="str">
        <f aca="false">IF($C2961="","",Controls!$B$7)</f>
        <v/>
      </c>
      <c r="B2961" s="1" t="str">
        <f aca="false">IF($H2961="","",YEAR($H2961)&amp;"-Q"&amp;ROUNDUP(MONTH($H2961)/3,0))</f>
        <v/>
      </c>
      <c r="S2961" s="1" t="str">
        <f aca="false">IF($C2961="","",$C2961&amp;"|"&amp;$E2961&amp;"|"&amp;$F2961&amp;"|"&amp;$L2961&amp;"|"&amp;$P2961&amp;"|"&amp;TEXT($H2961,"yyyy-mm-dd"))</f>
        <v/>
      </c>
      <c r="T2961" s="1" t="str">
        <f aca="false">IF($S2961="","",IF(COUNTIF($S$2:$S$2991,$S2961)&gt;1,"DUPLICATE","OK"))</f>
        <v/>
      </c>
      <c r="U2961" s="0" t="str">
        <f aca="false">IF($L2961="","",IFERROR(VLOOKUP(--$L2961,MM_Income!$Z$5:$AC$204,3,FALSE()),"UNMAPPED"))</f>
        <v/>
      </c>
    </row>
    <row r="2962" customFormat="false" ht="13.5" hidden="false" customHeight="false" outlineLevel="0" collapsed="false">
      <c r="A2962" s="1" t="str">
        <f aca="false">IF($C2962="","",Controls!$B$7)</f>
        <v/>
      </c>
      <c r="B2962" s="1" t="str">
        <f aca="false">IF($H2962="","",YEAR($H2962)&amp;"-Q"&amp;ROUNDUP(MONTH($H2962)/3,0))</f>
        <v/>
      </c>
      <c r="S2962" s="1" t="str">
        <f aca="false">IF($C2962="","",$C2962&amp;"|"&amp;$E2962&amp;"|"&amp;$F2962&amp;"|"&amp;$L2962&amp;"|"&amp;$P2962&amp;"|"&amp;TEXT($H2962,"yyyy-mm-dd"))</f>
        <v/>
      </c>
      <c r="T2962" s="1" t="str">
        <f aca="false">IF($S2962="","",IF(COUNTIF($S$2:$S$2991,$S2962)&gt;1,"DUPLICATE","OK"))</f>
        <v/>
      </c>
      <c r="U2962" s="0" t="str">
        <f aca="false">IF($L2962="","",IFERROR(VLOOKUP(--$L2962,MM_Income!$Z$5:$AC$204,3,FALSE()),"UNMAPPED"))</f>
        <v/>
      </c>
    </row>
    <row r="2963" customFormat="false" ht="13.5" hidden="false" customHeight="false" outlineLevel="0" collapsed="false">
      <c r="A2963" s="1" t="str">
        <f aca="false">IF($C2963="","",Controls!$B$7)</f>
        <v/>
      </c>
      <c r="B2963" s="1" t="str">
        <f aca="false">IF($H2963="","",YEAR($H2963)&amp;"-Q"&amp;ROUNDUP(MONTH($H2963)/3,0))</f>
        <v/>
      </c>
      <c r="S2963" s="1" t="str">
        <f aca="false">IF($C2963="","",$C2963&amp;"|"&amp;$E2963&amp;"|"&amp;$F2963&amp;"|"&amp;$L2963&amp;"|"&amp;$P2963&amp;"|"&amp;TEXT($H2963,"yyyy-mm-dd"))</f>
        <v/>
      </c>
      <c r="T2963" s="1" t="str">
        <f aca="false">IF($S2963="","",IF(COUNTIF($S$2:$S$2991,$S2963)&gt;1,"DUPLICATE","OK"))</f>
        <v/>
      </c>
      <c r="U2963" s="0" t="str">
        <f aca="false">IF($L2963="","",IFERROR(VLOOKUP(--$L2963,MM_Income!$Z$5:$AC$204,3,FALSE()),"UNMAPPED"))</f>
        <v/>
      </c>
    </row>
    <row r="2964" customFormat="false" ht="13.5" hidden="false" customHeight="false" outlineLevel="0" collapsed="false">
      <c r="A2964" s="1" t="str">
        <f aca="false">IF($C2964="","",Controls!$B$7)</f>
        <v/>
      </c>
      <c r="B2964" s="1" t="str">
        <f aca="false">IF($H2964="","",YEAR($H2964)&amp;"-Q"&amp;ROUNDUP(MONTH($H2964)/3,0))</f>
        <v/>
      </c>
      <c r="S2964" s="1" t="str">
        <f aca="false">IF($C2964="","",$C2964&amp;"|"&amp;$E2964&amp;"|"&amp;$F2964&amp;"|"&amp;$L2964&amp;"|"&amp;$P2964&amp;"|"&amp;TEXT($H2964,"yyyy-mm-dd"))</f>
        <v/>
      </c>
      <c r="T2964" s="1" t="str">
        <f aca="false">IF($S2964="","",IF(COUNTIF($S$2:$S$2991,$S2964)&gt;1,"DUPLICATE","OK"))</f>
        <v/>
      </c>
      <c r="U2964" s="0" t="str">
        <f aca="false">IF($L2964="","",IFERROR(VLOOKUP(--$L2964,MM_Income!$Z$5:$AC$204,3,FALSE()),"UNMAPPED"))</f>
        <v/>
      </c>
    </row>
    <row r="2965" customFormat="false" ht="13.5" hidden="false" customHeight="false" outlineLevel="0" collapsed="false">
      <c r="A2965" s="1" t="str">
        <f aca="false">IF($C2965="","",Controls!$B$7)</f>
        <v/>
      </c>
      <c r="B2965" s="1" t="str">
        <f aca="false">IF($H2965="","",YEAR($H2965)&amp;"-Q"&amp;ROUNDUP(MONTH($H2965)/3,0))</f>
        <v/>
      </c>
      <c r="S2965" s="1" t="str">
        <f aca="false">IF($C2965="","",$C2965&amp;"|"&amp;$E2965&amp;"|"&amp;$F2965&amp;"|"&amp;$L2965&amp;"|"&amp;$P2965&amp;"|"&amp;TEXT($H2965,"yyyy-mm-dd"))</f>
        <v/>
      </c>
      <c r="T2965" s="1" t="str">
        <f aca="false">IF($S2965="","",IF(COUNTIF($S$2:$S$2991,$S2965)&gt;1,"DUPLICATE","OK"))</f>
        <v/>
      </c>
      <c r="U2965" s="0" t="str">
        <f aca="false">IF($L2965="","",IFERROR(VLOOKUP(--$L2965,MM_Income!$Z$5:$AC$204,3,FALSE()),"UNMAPPED"))</f>
        <v/>
      </c>
    </row>
    <row r="2966" customFormat="false" ht="13.5" hidden="false" customHeight="false" outlineLevel="0" collapsed="false">
      <c r="A2966" s="1" t="str">
        <f aca="false">IF($C2966="","",Controls!$B$7)</f>
        <v/>
      </c>
      <c r="B2966" s="1" t="str">
        <f aca="false">IF($H2966="","",YEAR($H2966)&amp;"-Q"&amp;ROUNDUP(MONTH($H2966)/3,0))</f>
        <v/>
      </c>
      <c r="S2966" s="1" t="str">
        <f aca="false">IF($C2966="","",$C2966&amp;"|"&amp;$E2966&amp;"|"&amp;$F2966&amp;"|"&amp;$L2966&amp;"|"&amp;$P2966&amp;"|"&amp;TEXT($H2966,"yyyy-mm-dd"))</f>
        <v/>
      </c>
      <c r="T2966" s="1" t="str">
        <f aca="false">IF($S2966="","",IF(COUNTIF($S$2:$S$2991,$S2966)&gt;1,"DUPLICATE","OK"))</f>
        <v/>
      </c>
      <c r="U2966" s="0" t="str">
        <f aca="false">IF($L2966="","",IFERROR(VLOOKUP(--$L2966,MM_Income!$Z$5:$AC$204,3,FALSE()),"UNMAPPED"))</f>
        <v/>
      </c>
    </row>
    <row r="2967" customFormat="false" ht="13.5" hidden="false" customHeight="false" outlineLevel="0" collapsed="false">
      <c r="A2967" s="1" t="str">
        <f aca="false">IF($C2967="","",Controls!$B$7)</f>
        <v/>
      </c>
      <c r="B2967" s="1" t="str">
        <f aca="false">IF($H2967="","",YEAR($H2967)&amp;"-Q"&amp;ROUNDUP(MONTH($H2967)/3,0))</f>
        <v/>
      </c>
      <c r="S2967" s="1" t="str">
        <f aca="false">IF($C2967="","",$C2967&amp;"|"&amp;$E2967&amp;"|"&amp;$F2967&amp;"|"&amp;$L2967&amp;"|"&amp;$P2967&amp;"|"&amp;TEXT($H2967,"yyyy-mm-dd"))</f>
        <v/>
      </c>
      <c r="T2967" s="1" t="str">
        <f aca="false">IF($S2967="","",IF(COUNTIF($S$2:$S$2991,$S2967)&gt;1,"DUPLICATE","OK"))</f>
        <v/>
      </c>
      <c r="U2967" s="0" t="str">
        <f aca="false">IF($L2967="","",IFERROR(VLOOKUP(--$L2967,MM_Income!$Z$5:$AC$204,3,FALSE()),"UNMAPPED"))</f>
        <v/>
      </c>
    </row>
    <row r="2968" customFormat="false" ht="13.5" hidden="false" customHeight="false" outlineLevel="0" collapsed="false">
      <c r="A2968" s="1" t="str">
        <f aca="false">IF($C2968="","",Controls!$B$7)</f>
        <v/>
      </c>
      <c r="B2968" s="1" t="str">
        <f aca="false">IF($H2968="","",YEAR($H2968)&amp;"-Q"&amp;ROUNDUP(MONTH($H2968)/3,0))</f>
        <v/>
      </c>
      <c r="S2968" s="1" t="str">
        <f aca="false">IF($C2968="","",$C2968&amp;"|"&amp;$E2968&amp;"|"&amp;$F2968&amp;"|"&amp;$L2968&amp;"|"&amp;$P2968&amp;"|"&amp;TEXT($H2968,"yyyy-mm-dd"))</f>
        <v/>
      </c>
      <c r="T2968" s="1" t="str">
        <f aca="false">IF($S2968="","",IF(COUNTIF($S$2:$S$2991,$S2968)&gt;1,"DUPLICATE","OK"))</f>
        <v/>
      </c>
      <c r="U2968" s="0" t="str">
        <f aca="false">IF($L2968="","",IFERROR(VLOOKUP(--$L2968,MM_Income!$Z$5:$AC$204,3,FALSE()),"UNMAPPED"))</f>
        <v/>
      </c>
    </row>
    <row r="2969" customFormat="false" ht="13.5" hidden="false" customHeight="false" outlineLevel="0" collapsed="false">
      <c r="A2969" s="1" t="str">
        <f aca="false">IF($C2969="","",Controls!$B$7)</f>
        <v/>
      </c>
      <c r="B2969" s="1" t="str">
        <f aca="false">IF($H2969="","",YEAR($H2969)&amp;"-Q"&amp;ROUNDUP(MONTH($H2969)/3,0))</f>
        <v/>
      </c>
      <c r="S2969" s="1" t="str">
        <f aca="false">IF($C2969="","",$C2969&amp;"|"&amp;$E2969&amp;"|"&amp;$F2969&amp;"|"&amp;$L2969&amp;"|"&amp;$P2969&amp;"|"&amp;TEXT($H2969,"yyyy-mm-dd"))</f>
        <v/>
      </c>
      <c r="T2969" s="1" t="str">
        <f aca="false">IF($S2969="","",IF(COUNTIF($S$2:$S$2991,$S2969)&gt;1,"DUPLICATE","OK"))</f>
        <v/>
      </c>
      <c r="U2969" s="0" t="str">
        <f aca="false">IF($L2969="","",IFERROR(VLOOKUP(--$L2969,MM_Income!$Z$5:$AC$204,3,FALSE()),"UNMAPPED"))</f>
        <v/>
      </c>
    </row>
    <row r="2970" customFormat="false" ht="13.5" hidden="false" customHeight="false" outlineLevel="0" collapsed="false">
      <c r="A2970" s="1" t="str">
        <f aca="false">IF($C2970="","",Controls!$B$7)</f>
        <v/>
      </c>
      <c r="B2970" s="1" t="str">
        <f aca="false">IF($H2970="","",YEAR($H2970)&amp;"-Q"&amp;ROUNDUP(MONTH($H2970)/3,0))</f>
        <v/>
      </c>
      <c r="S2970" s="1" t="str">
        <f aca="false">IF($C2970="","",$C2970&amp;"|"&amp;$E2970&amp;"|"&amp;$F2970&amp;"|"&amp;$L2970&amp;"|"&amp;$P2970&amp;"|"&amp;TEXT($H2970,"yyyy-mm-dd"))</f>
        <v/>
      </c>
      <c r="T2970" s="1" t="str">
        <f aca="false">IF($S2970="","",IF(COUNTIF($S$2:$S$2991,$S2970)&gt;1,"DUPLICATE","OK"))</f>
        <v/>
      </c>
      <c r="U2970" s="0" t="str">
        <f aca="false">IF($L2970="","",IFERROR(VLOOKUP(--$L2970,MM_Income!$Z$5:$AC$204,3,FALSE()),"UNMAPPED"))</f>
        <v/>
      </c>
    </row>
    <row r="2971" customFormat="false" ht="13.5" hidden="false" customHeight="false" outlineLevel="0" collapsed="false">
      <c r="A2971" s="1" t="str">
        <f aca="false">IF($C2971="","",Controls!$B$7)</f>
        <v/>
      </c>
      <c r="B2971" s="1" t="str">
        <f aca="false">IF($H2971="","",YEAR($H2971)&amp;"-Q"&amp;ROUNDUP(MONTH($H2971)/3,0))</f>
        <v/>
      </c>
      <c r="S2971" s="1" t="str">
        <f aca="false">IF($C2971="","",$C2971&amp;"|"&amp;$E2971&amp;"|"&amp;$F2971&amp;"|"&amp;$L2971&amp;"|"&amp;$P2971&amp;"|"&amp;TEXT($H2971,"yyyy-mm-dd"))</f>
        <v/>
      </c>
      <c r="T2971" s="1" t="str">
        <f aca="false">IF($S2971="","",IF(COUNTIF($S$2:$S$2991,$S2971)&gt;1,"DUPLICATE","OK"))</f>
        <v/>
      </c>
      <c r="U2971" s="0" t="str">
        <f aca="false">IF($L2971="","",IFERROR(VLOOKUP(--$L2971,MM_Income!$Z$5:$AC$204,3,FALSE()),"UNMAPPED"))</f>
        <v/>
      </c>
    </row>
    <row r="2972" customFormat="false" ht="13.5" hidden="false" customHeight="false" outlineLevel="0" collapsed="false">
      <c r="A2972" s="1" t="str">
        <f aca="false">IF($C2972="","",Controls!$B$7)</f>
        <v/>
      </c>
      <c r="B2972" s="1" t="str">
        <f aca="false">IF($H2972="","",YEAR($H2972)&amp;"-Q"&amp;ROUNDUP(MONTH($H2972)/3,0))</f>
        <v/>
      </c>
      <c r="S2972" s="1" t="str">
        <f aca="false">IF($C2972="","",$C2972&amp;"|"&amp;$E2972&amp;"|"&amp;$F2972&amp;"|"&amp;$L2972&amp;"|"&amp;$P2972&amp;"|"&amp;TEXT($H2972,"yyyy-mm-dd"))</f>
        <v/>
      </c>
      <c r="T2972" s="1" t="str">
        <f aca="false">IF($S2972="","",IF(COUNTIF($S$2:$S$2991,$S2972)&gt;1,"DUPLICATE","OK"))</f>
        <v/>
      </c>
      <c r="U2972" s="0" t="str">
        <f aca="false">IF($L2972="","",IFERROR(VLOOKUP(--$L2972,MM_Income!$Z$5:$AC$204,3,FALSE()),"UNMAPPED"))</f>
        <v/>
      </c>
    </row>
    <row r="2973" customFormat="false" ht="13.5" hidden="false" customHeight="false" outlineLevel="0" collapsed="false">
      <c r="A2973" s="1" t="str">
        <f aca="false">IF($C2973="","",Controls!$B$7)</f>
        <v/>
      </c>
      <c r="B2973" s="1" t="str">
        <f aca="false">IF($H2973="","",YEAR($H2973)&amp;"-Q"&amp;ROUNDUP(MONTH($H2973)/3,0))</f>
        <v/>
      </c>
      <c r="S2973" s="1" t="str">
        <f aca="false">IF($C2973="","",$C2973&amp;"|"&amp;$E2973&amp;"|"&amp;$F2973&amp;"|"&amp;$L2973&amp;"|"&amp;$P2973&amp;"|"&amp;TEXT($H2973,"yyyy-mm-dd"))</f>
        <v/>
      </c>
      <c r="T2973" s="1" t="str">
        <f aca="false">IF($S2973="","",IF(COUNTIF($S$2:$S$2991,$S2973)&gt;1,"DUPLICATE","OK"))</f>
        <v/>
      </c>
      <c r="U2973" s="0" t="str">
        <f aca="false">IF($L2973="","",IFERROR(VLOOKUP(--$L2973,MM_Income!$Z$5:$AC$204,3,FALSE()),"UNMAPPED"))</f>
        <v/>
      </c>
    </row>
    <row r="2974" customFormat="false" ht="13.5" hidden="false" customHeight="false" outlineLevel="0" collapsed="false">
      <c r="A2974" s="1" t="str">
        <f aca="false">IF($C2974="","",Controls!$B$7)</f>
        <v/>
      </c>
      <c r="B2974" s="1" t="str">
        <f aca="false">IF($H2974="","",YEAR($H2974)&amp;"-Q"&amp;ROUNDUP(MONTH($H2974)/3,0))</f>
        <v/>
      </c>
      <c r="S2974" s="1" t="str">
        <f aca="false">IF($C2974="","",$C2974&amp;"|"&amp;$E2974&amp;"|"&amp;$F2974&amp;"|"&amp;$L2974&amp;"|"&amp;$P2974&amp;"|"&amp;TEXT($H2974,"yyyy-mm-dd"))</f>
        <v/>
      </c>
      <c r="T2974" s="1" t="str">
        <f aca="false">IF($S2974="","",IF(COUNTIF($S$2:$S$2991,$S2974)&gt;1,"DUPLICATE","OK"))</f>
        <v/>
      </c>
      <c r="U2974" s="0" t="str">
        <f aca="false">IF($L2974="","",IFERROR(VLOOKUP(--$L2974,MM_Income!$Z$5:$AC$204,3,FALSE()),"UNMAPPED"))</f>
        <v/>
      </c>
    </row>
    <row r="2975" customFormat="false" ht="13.5" hidden="false" customHeight="false" outlineLevel="0" collapsed="false">
      <c r="A2975" s="1" t="str">
        <f aca="false">IF($C2975="","",Controls!$B$7)</f>
        <v/>
      </c>
      <c r="B2975" s="1" t="str">
        <f aca="false">IF($H2975="","",YEAR($H2975)&amp;"-Q"&amp;ROUNDUP(MONTH($H2975)/3,0))</f>
        <v/>
      </c>
      <c r="S2975" s="1" t="str">
        <f aca="false">IF($C2975="","",$C2975&amp;"|"&amp;$E2975&amp;"|"&amp;$F2975&amp;"|"&amp;$L2975&amp;"|"&amp;$P2975&amp;"|"&amp;TEXT($H2975,"yyyy-mm-dd"))</f>
        <v/>
      </c>
      <c r="T2975" s="1" t="str">
        <f aca="false">IF($S2975="","",IF(COUNTIF($S$2:$S$2991,$S2975)&gt;1,"DUPLICATE","OK"))</f>
        <v/>
      </c>
      <c r="U2975" s="0" t="str">
        <f aca="false">IF($L2975="","",IFERROR(VLOOKUP(--$L2975,MM_Income!$Z$5:$AC$204,3,FALSE()),"UNMAPPED"))</f>
        <v/>
      </c>
    </row>
    <row r="2976" customFormat="false" ht="13.5" hidden="false" customHeight="false" outlineLevel="0" collapsed="false">
      <c r="A2976" s="1" t="str">
        <f aca="false">IF($C2976="","",Controls!$B$7)</f>
        <v/>
      </c>
      <c r="B2976" s="1" t="str">
        <f aca="false">IF($H2976="","",YEAR($H2976)&amp;"-Q"&amp;ROUNDUP(MONTH($H2976)/3,0))</f>
        <v/>
      </c>
      <c r="S2976" s="1" t="str">
        <f aca="false">IF($C2976="","",$C2976&amp;"|"&amp;$E2976&amp;"|"&amp;$F2976&amp;"|"&amp;$L2976&amp;"|"&amp;$P2976&amp;"|"&amp;TEXT($H2976,"yyyy-mm-dd"))</f>
        <v/>
      </c>
      <c r="T2976" s="1" t="str">
        <f aca="false">IF($S2976="","",IF(COUNTIF($S$2:$S$2991,$S2976)&gt;1,"DUPLICATE","OK"))</f>
        <v/>
      </c>
      <c r="U2976" s="0" t="str">
        <f aca="false">IF($L2976="","",IFERROR(VLOOKUP(--$L2976,MM_Income!$Z$5:$AC$204,3,FALSE()),"UNMAPPED"))</f>
        <v/>
      </c>
    </row>
    <row r="2977" customFormat="false" ht="13.5" hidden="false" customHeight="false" outlineLevel="0" collapsed="false">
      <c r="A2977" s="1" t="str">
        <f aca="false">IF($C2977="","",Controls!$B$7)</f>
        <v/>
      </c>
      <c r="B2977" s="1" t="str">
        <f aca="false">IF($H2977="","",YEAR($H2977)&amp;"-Q"&amp;ROUNDUP(MONTH($H2977)/3,0))</f>
        <v/>
      </c>
      <c r="S2977" s="1" t="str">
        <f aca="false">IF($C2977="","",$C2977&amp;"|"&amp;$E2977&amp;"|"&amp;$F2977&amp;"|"&amp;$L2977&amp;"|"&amp;$P2977&amp;"|"&amp;TEXT($H2977,"yyyy-mm-dd"))</f>
        <v/>
      </c>
      <c r="T2977" s="1" t="str">
        <f aca="false">IF($S2977="","",IF(COUNTIF($S$2:$S$2991,$S2977)&gt;1,"DUPLICATE","OK"))</f>
        <v/>
      </c>
      <c r="U2977" s="0" t="str">
        <f aca="false">IF($L2977="","",IFERROR(VLOOKUP(--$L2977,MM_Income!$Z$5:$AC$204,3,FALSE()),"UNMAPPED"))</f>
        <v/>
      </c>
    </row>
    <row r="2978" customFormat="false" ht="13.5" hidden="false" customHeight="false" outlineLevel="0" collapsed="false">
      <c r="A2978" s="1" t="str">
        <f aca="false">IF($C2978="","",Controls!$B$7)</f>
        <v/>
      </c>
      <c r="B2978" s="1" t="str">
        <f aca="false">IF($H2978="","",YEAR($H2978)&amp;"-Q"&amp;ROUNDUP(MONTH($H2978)/3,0))</f>
        <v/>
      </c>
      <c r="S2978" s="1" t="str">
        <f aca="false">IF($C2978="","",$C2978&amp;"|"&amp;$E2978&amp;"|"&amp;$F2978&amp;"|"&amp;$L2978&amp;"|"&amp;$P2978&amp;"|"&amp;TEXT($H2978,"yyyy-mm-dd"))</f>
        <v/>
      </c>
      <c r="T2978" s="1" t="str">
        <f aca="false">IF($S2978="","",IF(COUNTIF($S$2:$S$2991,$S2978)&gt;1,"DUPLICATE","OK"))</f>
        <v/>
      </c>
      <c r="U2978" s="0" t="str">
        <f aca="false">IF($L2978="","",IFERROR(VLOOKUP(--$L2978,MM_Income!$Z$5:$AC$204,3,FALSE()),"UNMAPPED"))</f>
        <v/>
      </c>
    </row>
    <row r="2979" customFormat="false" ht="13.5" hidden="false" customHeight="false" outlineLevel="0" collapsed="false">
      <c r="A2979" s="1" t="str">
        <f aca="false">IF($C2979="","",Controls!$B$7)</f>
        <v/>
      </c>
      <c r="B2979" s="1" t="str">
        <f aca="false">IF($H2979="","",YEAR($H2979)&amp;"-Q"&amp;ROUNDUP(MONTH($H2979)/3,0))</f>
        <v/>
      </c>
      <c r="S2979" s="1" t="str">
        <f aca="false">IF($C2979="","",$C2979&amp;"|"&amp;$E2979&amp;"|"&amp;$F2979&amp;"|"&amp;$L2979&amp;"|"&amp;$P2979&amp;"|"&amp;TEXT($H2979,"yyyy-mm-dd"))</f>
        <v/>
      </c>
      <c r="T2979" s="1" t="str">
        <f aca="false">IF($S2979="","",IF(COUNTIF($S$2:$S$2991,$S2979)&gt;1,"DUPLICATE","OK"))</f>
        <v/>
      </c>
      <c r="U2979" s="0" t="str">
        <f aca="false">IF($L2979="","",IFERROR(VLOOKUP(--$L2979,MM_Income!$Z$5:$AC$204,3,FALSE()),"UNMAPPED"))</f>
        <v/>
      </c>
    </row>
    <row r="2980" customFormat="false" ht="13.5" hidden="false" customHeight="false" outlineLevel="0" collapsed="false">
      <c r="A2980" s="1" t="str">
        <f aca="false">IF($C2980="","",Controls!$B$7)</f>
        <v/>
      </c>
      <c r="B2980" s="1" t="str">
        <f aca="false">IF($H2980="","",YEAR($H2980)&amp;"-Q"&amp;ROUNDUP(MONTH($H2980)/3,0))</f>
        <v/>
      </c>
      <c r="S2980" s="1" t="str">
        <f aca="false">IF($C2980="","",$C2980&amp;"|"&amp;$E2980&amp;"|"&amp;$F2980&amp;"|"&amp;$L2980&amp;"|"&amp;$P2980&amp;"|"&amp;TEXT($H2980,"yyyy-mm-dd"))</f>
        <v/>
      </c>
      <c r="T2980" s="1" t="str">
        <f aca="false">IF($S2980="","",IF(COUNTIF($S$2:$S$2991,$S2980)&gt;1,"DUPLICATE","OK"))</f>
        <v/>
      </c>
      <c r="U2980" s="0" t="str">
        <f aca="false">IF($L2980="","",IFERROR(VLOOKUP(--$L2980,MM_Income!$Z$5:$AC$204,3,FALSE()),"UNMAPPED"))</f>
        <v/>
      </c>
    </row>
    <row r="2981" customFormat="false" ht="13.5" hidden="false" customHeight="false" outlineLevel="0" collapsed="false">
      <c r="A2981" s="1" t="str">
        <f aca="false">IF($C2981="","",Controls!$B$7)</f>
        <v/>
      </c>
      <c r="B2981" s="1" t="str">
        <f aca="false">IF($H2981="","",YEAR($H2981)&amp;"-Q"&amp;ROUNDUP(MONTH($H2981)/3,0))</f>
        <v/>
      </c>
      <c r="S2981" s="1" t="str">
        <f aca="false">IF($C2981="","",$C2981&amp;"|"&amp;$E2981&amp;"|"&amp;$F2981&amp;"|"&amp;$L2981&amp;"|"&amp;$P2981&amp;"|"&amp;TEXT($H2981,"yyyy-mm-dd"))</f>
        <v/>
      </c>
      <c r="T2981" s="1" t="str">
        <f aca="false">IF($S2981="","",IF(COUNTIF($S$2:$S$2991,$S2981)&gt;1,"DUPLICATE","OK"))</f>
        <v/>
      </c>
      <c r="U2981" s="0" t="str">
        <f aca="false">IF($L2981="","",IFERROR(VLOOKUP(--$L2981,MM_Income!$Z$5:$AC$204,3,FALSE()),"UNMAPPED"))</f>
        <v/>
      </c>
    </row>
    <row r="2982" customFormat="false" ht="13.5" hidden="false" customHeight="false" outlineLevel="0" collapsed="false">
      <c r="A2982" s="1" t="str">
        <f aca="false">IF($C2982="","",Controls!$B$7)</f>
        <v/>
      </c>
      <c r="B2982" s="1" t="str">
        <f aca="false">IF($H2982="","",YEAR($H2982)&amp;"-Q"&amp;ROUNDUP(MONTH($H2982)/3,0))</f>
        <v/>
      </c>
      <c r="S2982" s="1" t="str">
        <f aca="false">IF($C2982="","",$C2982&amp;"|"&amp;$E2982&amp;"|"&amp;$F2982&amp;"|"&amp;$L2982&amp;"|"&amp;$P2982&amp;"|"&amp;TEXT($H2982,"yyyy-mm-dd"))</f>
        <v/>
      </c>
      <c r="T2982" s="1" t="str">
        <f aca="false">IF($S2982="","",IF(COUNTIF($S$2:$S$2991,$S2982)&gt;1,"DUPLICATE","OK"))</f>
        <v/>
      </c>
      <c r="U2982" s="0" t="str">
        <f aca="false">IF($L2982="","",IFERROR(VLOOKUP(--$L2982,MM_Income!$Z$5:$AC$204,3,FALSE()),"UNMAPPED"))</f>
        <v/>
      </c>
    </row>
    <row r="2983" customFormat="false" ht="13.5" hidden="false" customHeight="false" outlineLevel="0" collapsed="false">
      <c r="A2983" s="1" t="str">
        <f aca="false">IF($C2983="","",Controls!$B$7)</f>
        <v/>
      </c>
      <c r="B2983" s="1" t="str">
        <f aca="false">IF($H2983="","",YEAR($H2983)&amp;"-Q"&amp;ROUNDUP(MONTH($H2983)/3,0))</f>
        <v/>
      </c>
      <c r="S2983" s="1" t="str">
        <f aca="false">IF($C2983="","",$C2983&amp;"|"&amp;$E2983&amp;"|"&amp;$F2983&amp;"|"&amp;$L2983&amp;"|"&amp;$P2983&amp;"|"&amp;TEXT($H2983,"yyyy-mm-dd"))</f>
        <v/>
      </c>
      <c r="T2983" s="1" t="str">
        <f aca="false">IF($S2983="","",IF(COUNTIF($S$2:$S$2991,$S2983)&gt;1,"DUPLICATE","OK"))</f>
        <v/>
      </c>
      <c r="U2983" s="0" t="str">
        <f aca="false">IF($L2983="","",IFERROR(VLOOKUP(--$L2983,MM_Income!$Z$5:$AC$204,3,FALSE()),"UNMAPPED"))</f>
        <v/>
      </c>
    </row>
    <row r="2984" customFormat="false" ht="13.5" hidden="false" customHeight="false" outlineLevel="0" collapsed="false">
      <c r="A2984" s="1" t="str">
        <f aca="false">IF($C2984="","",Controls!$B$7)</f>
        <v/>
      </c>
      <c r="B2984" s="1" t="str">
        <f aca="false">IF($H2984="","",YEAR($H2984)&amp;"-Q"&amp;ROUNDUP(MONTH($H2984)/3,0))</f>
        <v/>
      </c>
      <c r="S2984" s="1" t="str">
        <f aca="false">IF($C2984="","",$C2984&amp;"|"&amp;$E2984&amp;"|"&amp;$F2984&amp;"|"&amp;$L2984&amp;"|"&amp;$P2984&amp;"|"&amp;TEXT($H2984,"yyyy-mm-dd"))</f>
        <v/>
      </c>
      <c r="T2984" s="1" t="str">
        <f aca="false">IF($S2984="","",IF(COUNTIF($S$2:$S$2991,$S2984)&gt;1,"DUPLICATE","OK"))</f>
        <v/>
      </c>
      <c r="U2984" s="0" t="str">
        <f aca="false">IF($L2984="","",IFERROR(VLOOKUP(--$L2984,MM_Income!$Z$5:$AC$204,3,FALSE()),"UNMAPPED"))</f>
        <v/>
      </c>
    </row>
    <row r="2985" customFormat="false" ht="13.5" hidden="false" customHeight="false" outlineLevel="0" collapsed="false">
      <c r="A2985" s="1" t="str">
        <f aca="false">IF($C2985="","",Controls!$B$7)</f>
        <v/>
      </c>
      <c r="B2985" s="1" t="str">
        <f aca="false">IF($H2985="","",YEAR($H2985)&amp;"-Q"&amp;ROUNDUP(MONTH($H2985)/3,0))</f>
        <v/>
      </c>
      <c r="S2985" s="1" t="str">
        <f aca="false">IF($C2985="","",$C2985&amp;"|"&amp;$E2985&amp;"|"&amp;$F2985&amp;"|"&amp;$L2985&amp;"|"&amp;$P2985&amp;"|"&amp;TEXT($H2985,"yyyy-mm-dd"))</f>
        <v/>
      </c>
      <c r="T2985" s="1" t="str">
        <f aca="false">IF($S2985="","",IF(COUNTIF($S$2:$S$2991,$S2985)&gt;1,"DUPLICATE","OK"))</f>
        <v/>
      </c>
      <c r="U2985" s="0" t="str">
        <f aca="false">IF($L2985="","",IFERROR(VLOOKUP(--$L2985,MM_Income!$Z$5:$AC$204,3,FALSE()),"UNMAPPED"))</f>
        <v/>
      </c>
    </row>
    <row r="2986" customFormat="false" ht="13.5" hidden="false" customHeight="false" outlineLevel="0" collapsed="false">
      <c r="A2986" s="1" t="str">
        <f aca="false">IF($C2986="","",Controls!$B$7)</f>
        <v/>
      </c>
      <c r="B2986" s="1" t="str">
        <f aca="false">IF($H2986="","",YEAR($H2986)&amp;"-Q"&amp;ROUNDUP(MONTH($H2986)/3,0))</f>
        <v/>
      </c>
      <c r="S2986" s="1" t="str">
        <f aca="false">IF($C2986="","",$C2986&amp;"|"&amp;$E2986&amp;"|"&amp;$F2986&amp;"|"&amp;$L2986&amp;"|"&amp;$P2986&amp;"|"&amp;TEXT($H2986,"yyyy-mm-dd"))</f>
        <v/>
      </c>
      <c r="T2986" s="1" t="str">
        <f aca="false">IF($S2986="","",IF(COUNTIF($S$2:$S$2991,$S2986)&gt;1,"DUPLICATE","OK"))</f>
        <v/>
      </c>
      <c r="U2986" s="0" t="str">
        <f aca="false">IF($L2986="","",IFERROR(VLOOKUP(--$L2986,MM_Income!$Z$5:$AC$204,3,FALSE()),"UNMAPPED"))</f>
        <v/>
      </c>
    </row>
    <row r="2987" customFormat="false" ht="13.5" hidden="false" customHeight="false" outlineLevel="0" collapsed="false">
      <c r="A2987" s="1" t="str">
        <f aca="false">IF($C2987="","",Controls!$B$7)</f>
        <v/>
      </c>
      <c r="B2987" s="1" t="str">
        <f aca="false">IF($H2987="","",YEAR($H2987)&amp;"-Q"&amp;ROUNDUP(MONTH($H2987)/3,0))</f>
        <v/>
      </c>
      <c r="S2987" s="1" t="str">
        <f aca="false">IF($C2987="","",$C2987&amp;"|"&amp;$E2987&amp;"|"&amp;$F2987&amp;"|"&amp;$L2987&amp;"|"&amp;$P2987&amp;"|"&amp;TEXT($H2987,"yyyy-mm-dd"))</f>
        <v/>
      </c>
      <c r="T2987" s="1" t="str">
        <f aca="false">IF($S2987="","",IF(COUNTIF($S$2:$S$2991,$S2987)&gt;1,"DUPLICATE","OK"))</f>
        <v/>
      </c>
      <c r="U2987" s="0" t="str">
        <f aca="false">IF($L2987="","",IFERROR(VLOOKUP(--$L2987,MM_Income!$Z$5:$AC$204,3,FALSE()),"UNMAPPED"))</f>
        <v/>
      </c>
    </row>
    <row r="2988" customFormat="false" ht="13.5" hidden="false" customHeight="false" outlineLevel="0" collapsed="false">
      <c r="A2988" s="1" t="str">
        <f aca="false">IF($C2988="","",Controls!$B$7)</f>
        <v/>
      </c>
      <c r="B2988" s="1" t="str">
        <f aca="false">IF($H2988="","",YEAR($H2988)&amp;"-Q"&amp;ROUNDUP(MONTH($H2988)/3,0))</f>
        <v/>
      </c>
      <c r="S2988" s="1" t="str">
        <f aca="false">IF($C2988="","",$C2988&amp;"|"&amp;$E2988&amp;"|"&amp;$F2988&amp;"|"&amp;$L2988&amp;"|"&amp;$P2988&amp;"|"&amp;TEXT($H2988,"yyyy-mm-dd"))</f>
        <v/>
      </c>
      <c r="T2988" s="1" t="str">
        <f aca="false">IF($S2988="","",IF(COUNTIF($S$2:$S$2991,$S2988)&gt;1,"DUPLICATE","OK"))</f>
        <v/>
      </c>
      <c r="U2988" s="0" t="str">
        <f aca="false">IF($L2988="","",IFERROR(VLOOKUP(--$L2988,MM_Income!$Z$5:$AC$204,3,FALSE()),"UNMAPPED"))</f>
        <v/>
      </c>
    </row>
    <row r="2989" customFormat="false" ht="13.5" hidden="false" customHeight="false" outlineLevel="0" collapsed="false">
      <c r="A2989" s="1" t="str">
        <f aca="false">IF($C2989="","",Controls!$B$7)</f>
        <v/>
      </c>
      <c r="B2989" s="1" t="str">
        <f aca="false">IF($H2989="","",YEAR($H2989)&amp;"-Q"&amp;ROUNDUP(MONTH($H2989)/3,0))</f>
        <v/>
      </c>
      <c r="S2989" s="1" t="str">
        <f aca="false">IF($C2989="","",$C2989&amp;"|"&amp;$E2989&amp;"|"&amp;$F2989&amp;"|"&amp;$L2989&amp;"|"&amp;$P2989&amp;"|"&amp;TEXT($H2989,"yyyy-mm-dd"))</f>
        <v/>
      </c>
      <c r="T2989" s="1" t="str">
        <f aca="false">IF($S2989="","",IF(COUNTIF($S$2:$S$2991,$S2989)&gt;1,"DUPLICATE","OK"))</f>
        <v/>
      </c>
      <c r="U2989" s="0" t="str">
        <f aca="false">IF($L2989="","",IFERROR(VLOOKUP(--$L2989,MM_Income!$Z$5:$AC$204,3,FALSE()),"UNMAPPED"))</f>
        <v/>
      </c>
    </row>
    <row r="2990" customFormat="false" ht="13.5" hidden="false" customHeight="false" outlineLevel="0" collapsed="false">
      <c r="A2990" s="1" t="str">
        <f aca="false">IF($C2990="","",Controls!$B$7)</f>
        <v/>
      </c>
      <c r="B2990" s="1" t="str">
        <f aca="false">IF($H2990="","",YEAR($H2990)&amp;"-Q"&amp;ROUNDUP(MONTH($H2990)/3,0))</f>
        <v/>
      </c>
      <c r="S2990" s="1" t="str">
        <f aca="false">IF($C2990="","",$C2990&amp;"|"&amp;$E2990&amp;"|"&amp;$F2990&amp;"|"&amp;$L2990&amp;"|"&amp;$P2990&amp;"|"&amp;TEXT($H2990,"yyyy-mm-dd"))</f>
        <v/>
      </c>
      <c r="T2990" s="1" t="str">
        <f aca="false">IF($S2990="","",IF(COUNTIF($S$2:$S$2991,$S2990)&gt;1,"DUPLICATE","OK"))</f>
        <v/>
      </c>
      <c r="U2990" s="0" t="str">
        <f aca="false">IF($L2990="","",IFERROR(VLOOKUP(--$L2990,MM_Income!$Z$5:$AC$204,3,FALSE()),"UNMAPPED"))</f>
        <v/>
      </c>
    </row>
    <row r="2991" customFormat="false" ht="13.5" hidden="false" customHeight="false" outlineLevel="0" collapsed="false">
      <c r="A2991" s="1" t="str">
        <f aca="false">IF($C2991="","",Controls!$B$7)</f>
        <v/>
      </c>
      <c r="B2991" s="1" t="str">
        <f aca="false">IF($H2991="","",YEAR($H2991)&amp;"-Q"&amp;ROUNDUP(MONTH($H2991)/3,0))</f>
        <v/>
      </c>
      <c r="S2991" s="1" t="str">
        <f aca="false">IF($C2991="","",$C2991&amp;"|"&amp;$E2991&amp;"|"&amp;$F2991&amp;"|"&amp;$L2991&amp;"|"&amp;$P2991&amp;"|"&amp;TEXT($H2991,"yyyy-mm-dd"))</f>
        <v/>
      </c>
      <c r="T2991" s="1" t="str">
        <f aca="false">IF($S2991="","",IF(COUNTIF($S$2:$S$2991,$S2991)&gt;1,"DUPLICATE","OK"))</f>
        <v/>
      </c>
      <c r="U2991" s="0" t="str">
        <f aca="false">IF($L2991="","",IFERROR(VLOOKUP(--$L2991,MM_Income!$Z$5:$AC$204,3,FALSE()),"UNMAPPED"))</f>
        <v/>
      </c>
    </row>
  </sheetData>
  <conditionalFormatting sqref="T2:T46">
    <cfRule type="containsText" priority="2" operator="containsText" aboveAverage="0" equalAverage="0" bottom="0" percent="0" rank="0" text="DUPLICATE" dxfId="17">
      <formula>NOT(ISERROR(SEARCH("DUPLICATE",T2)))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51" activeCellId="0" sqref="A5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8.64"/>
    <col collapsed="false" customWidth="true" hidden="false" outlineLevel="0" max="2" min="2" style="1" width="10.64"/>
    <col collapsed="false" customWidth="true" hidden="false" outlineLevel="0" max="3" min="3" style="1" width="11.64"/>
    <col collapsed="false" customWidth="true" hidden="false" outlineLevel="0" max="4" min="4" style="1" width="42.64"/>
    <col collapsed="false" customWidth="true" hidden="false" outlineLevel="0" max="6" min="5" style="1" width="22.64"/>
    <col collapsed="false" customWidth="true" hidden="false" outlineLevel="0" max="7" min="7" style="1" width="12.64"/>
    <col collapsed="false" customWidth="true" hidden="false" outlineLevel="0" max="8" min="8" style="1" width="18.64"/>
    <col collapsed="false" customWidth="true" hidden="false" outlineLevel="0" max="9" min="9" style="1" width="20.64"/>
    <col collapsed="false" customWidth="true" hidden="false" outlineLevel="0" max="10" min="10" style="1" width="8.64"/>
    <col collapsed="false" customWidth="true" hidden="false" outlineLevel="0" max="11" min="11" style="1" width="16.64"/>
    <col collapsed="false" customWidth="true" hidden="false" outlineLevel="0" max="12" min="12" style="1" width="14.64"/>
    <col collapsed="false" customWidth="true" hidden="false" outlineLevel="0" max="13" min="13" style="1" width="11.64"/>
    <col collapsed="false" customWidth="true" hidden="false" outlineLevel="0" max="20" min="14" style="1" width="14.64"/>
    <col collapsed="false" customWidth="true" hidden="false" outlineLevel="0" max="21" min="21" style="1" width="17.71"/>
    <col collapsed="false" customWidth="true" hidden="false" outlineLevel="0" max="25" min="22" style="1" width="12"/>
    <col collapsed="false" customWidth="true" hidden="false" outlineLevel="0" max="26" min="26" style="1" width="9"/>
    <col collapsed="false" customWidth="true" hidden="false" outlineLevel="0" max="27" min="27" style="1" width="12"/>
    <col collapsed="false" customWidth="true" hidden="false" outlineLevel="0" max="28" min="28" style="1" width="9"/>
    <col collapsed="false" customWidth="true" hidden="false" outlineLevel="0" max="29" min="29" style="1" width="12"/>
    <col collapsed="false" customWidth="true" hidden="false" outlineLevel="0" max="31" min="30" style="1" width="14.64"/>
    <col collapsed="false" customWidth="true" hidden="false" outlineLevel="0" max="33" min="32" style="1" width="24.64"/>
    <col collapsed="false" customWidth="true" hidden="false" outlineLevel="0" max="34" min="34" style="1" width="34.64"/>
    <col collapsed="false" customWidth="true" hidden="false" outlineLevel="0" max="35" min="35" style="1" width="14.64"/>
    <col collapsed="false" customWidth="true" hidden="false" outlineLevel="0" max="36" min="36" style="1" width="18"/>
    <col collapsed="false" customWidth="true" hidden="false" outlineLevel="0" max="37" min="37" style="1" width="24"/>
    <col collapsed="false" customWidth="true" hidden="false" outlineLevel="0" max="38" min="38" style="1" width="30"/>
    <col collapsed="false" customWidth="true" hidden="false" outlineLevel="0" max="39" min="39" style="1" width="12"/>
  </cols>
  <sheetData>
    <row r="1" s="142" customFormat="true" ht="54" hidden="false" customHeight="true" outlineLevel="0" collapsed="false">
      <c r="A1" s="141" t="s">
        <v>3</v>
      </c>
      <c r="B1" s="141" t="s">
        <v>71</v>
      </c>
      <c r="C1" s="141" t="s">
        <v>822</v>
      </c>
      <c r="D1" s="141" t="s">
        <v>823</v>
      </c>
      <c r="E1" s="141" t="s">
        <v>276</v>
      </c>
      <c r="F1" s="141" t="s">
        <v>1183</v>
      </c>
      <c r="G1" s="141" t="s">
        <v>343</v>
      </c>
      <c r="H1" s="141" t="s">
        <v>373</v>
      </c>
      <c r="I1" s="141" t="s">
        <v>376</v>
      </c>
      <c r="J1" s="141" t="s">
        <v>1184</v>
      </c>
      <c r="K1" s="141" t="s">
        <v>103</v>
      </c>
      <c r="L1" s="141" t="s">
        <v>1185</v>
      </c>
      <c r="M1" s="141" t="s">
        <v>1186</v>
      </c>
      <c r="N1" s="141" t="s">
        <v>278</v>
      </c>
      <c r="O1" s="141" t="s">
        <v>375</v>
      </c>
      <c r="P1" s="141" t="s">
        <v>1187</v>
      </c>
      <c r="Q1" s="141" t="s">
        <v>1188</v>
      </c>
      <c r="R1" s="141" t="s">
        <v>1189</v>
      </c>
      <c r="S1" s="141" t="s">
        <v>1190</v>
      </c>
      <c r="T1" s="141" t="s">
        <v>1191</v>
      </c>
      <c r="U1" s="141" t="s">
        <v>1192</v>
      </c>
      <c r="V1" s="141" t="s">
        <v>1193</v>
      </c>
      <c r="W1" s="141" t="s">
        <v>1194</v>
      </c>
      <c r="X1" s="141" t="s">
        <v>1195</v>
      </c>
      <c r="Y1" s="141" t="s">
        <v>1196</v>
      </c>
      <c r="Z1" s="141" t="s">
        <v>1197</v>
      </c>
      <c r="AA1" s="141" t="s">
        <v>1198</v>
      </c>
      <c r="AB1" s="141" t="s">
        <v>1199</v>
      </c>
      <c r="AC1" s="141" t="s">
        <v>1200</v>
      </c>
      <c r="AD1" s="141" t="s">
        <v>1201</v>
      </c>
      <c r="AE1" s="141" t="s">
        <v>348</v>
      </c>
      <c r="AF1" s="141" t="s">
        <v>1202</v>
      </c>
      <c r="AG1" s="141" t="s">
        <v>812</v>
      </c>
      <c r="AH1" s="141" t="s">
        <v>524</v>
      </c>
      <c r="AI1" s="141" t="s">
        <v>1203</v>
      </c>
    </row>
    <row r="2" customFormat="false" ht="13.5" hidden="false" customHeight="false" outlineLevel="0" collapsed="false">
      <c r="A2" s="95" t="str">
        <f aca="false">IF($C2="","",Controls!$B$7)</f>
        <v>PCGH</v>
      </c>
      <c r="B2" s="95" t="str">
        <f aca="false">IF($C2="","",Controls!$B$30)</f>
        <v>2026-Q2</v>
      </c>
      <c r="C2" s="95" t="str">
        <f aca="false">IF(MM_Income!$A5="","",MM_Income!$A5)</f>
        <v>PCGH693</v>
      </c>
      <c r="D2" s="95" t="str">
        <f aca="false">IF($C2="","",INDEX(MM_Income!$B$5:$B$204,MATCH($C2,MM_Income!$A$5:$A$204,0)))</f>
        <v>Barnsley Integrated HCV-HCS Assessment</v>
      </c>
      <c r="E2" s="95" t="str">
        <f aca="false">IF($C2="","",INDEX(MM_Income!$C$5:$C$204,MATCH($C2,MM_Income!$A$5:$A$204,0)))</f>
        <v>Responsible Production</v>
      </c>
      <c r="F2" s="95" t="str">
        <f aca="false">IF($C2="","",INDEX(MM_Income!$F$5:$F$204,MATCH($C2,MM_Income!$A$5:$A$204,0)))</f>
        <v>Responsible Production</v>
      </c>
      <c r="G2" s="95" t="str">
        <f aca="false">IF($C2="","",INDEX(MM_Income!$G$5:$G$204,MATCH($C2,MM_Income!$A$5:$A$204,0)))</f>
        <v>External</v>
      </c>
      <c r="H2" s="95" t="str">
        <f aca="false">IF($C2="","",INDEX(MM_Income!$H$5:$H$204,MATCH($C2,MM_Income!$A$5:$A$204,0)))</f>
        <v>Oil Palm</v>
      </c>
      <c r="I2" s="95" t="str">
        <f aca="false">IF($C2="","",INDEX(MM_Income!$I$5:$I$204,MATCH($C2,MM_Income!$A$5:$A$204,0)))</f>
        <v>Barnsley</v>
      </c>
      <c r="J2" s="95" t="str">
        <f aca="false">IF($C2="","",INDEX(MM_Income!$D$5:$D$204,MATCH($C2,MM_Income!$A$5:$A$204,0)))</f>
        <v>ArB</v>
      </c>
      <c r="K2" s="95" t="str">
        <f aca="false">IF($C2="","",INDEX(MM_Income!$E$5:$E$204,MATCH($C2,MM_Income!$A$5:$A$204,0)))</f>
        <v>Current</v>
      </c>
      <c r="L2" s="95" t="str">
        <f aca="false">IF($C2="","",INDEX(MM_Income!$U$5:$U$204,MATCH($C2,MM_Income!$A$5:$A$204,0)))</f>
        <v>Secured</v>
      </c>
      <c r="M2" s="143" t="n">
        <f aca="false">IF($C2="","",INDEX(MM_Income!$V$5:$V$204,MATCH($C2,MM_Income!$A$5:$A$204,0)))</f>
        <v>1</v>
      </c>
      <c r="N2" s="144" t="n">
        <f aca="false">IF($C2="","",INDEX(MM_Income!$T$5:$T$204,MATCH($C2,MM_Income!$A$5:$A$204,0)))</f>
        <v>171767.1</v>
      </c>
      <c r="O2" s="94" t="n">
        <f aca="false">IF($C2="","",-SUMIFS(Project_Activity!$P$2:$P$5000,Project_Activity!$C$2:$C$5000,$C2,Project_Activity!$U$2:$U$5000,"Invoiced Income",Project_Activity!$H$2:$H$5000,"&gt;="&amp;DATE(VALUE(LEFT($B2,4)),1,1),Project_Activity!$H$2:$H$5000,"&lt;="&amp;EOMONTH(DATE(VALUE(LEFT($B2,4)),VALUE(RIGHT($B2,1))*3,1),0)))</f>
        <v>-0</v>
      </c>
      <c r="P2" s="94" t="n">
        <f aca="false">IF($C2="","",SUMIFS(Project_Activity!$P$2:$P$5000,Project_Activity!$C$2:$C$5000,$C2,Project_Activity!$U$2:$U$5000,"Subcontractor",Project_Activity!$H$2:$H$5000,"&gt;="&amp;DATE(VALUE(LEFT($B2,4)),1,1),Project_Activity!$H$2:$H$5000,"&lt;="&amp;EOMONTH(DATE(VALUE(LEFT($B2,4)),VALUE(RIGHT($B2,1))*3,1),0)))</f>
        <v>0</v>
      </c>
      <c r="Q2" s="94" t="n">
        <f aca="false">IF($C2="","",SUMIFS(Project_Activity!$P$2:$P$5000,Project_Activity!$C$2:$C$5000,$C2,Project_Activity!$U$2:$U$5000,"Project Inclusive",Project_Activity!$H$2:$H$5000,"&gt;="&amp;DATE(VALUE(LEFT($B2,4)),1,1),Project_Activity!$H$2:$H$5000,"&lt;="&amp;EOMONTH(DATE(VALUE(LEFT($B2,4)),VALUE(RIGHT($B2,1))*3,1),0)))</f>
        <v>0</v>
      </c>
      <c r="R2" s="94" t="n">
        <f aca="false">IF($C2="","",SUMIFS(Project_Activity!$P$2:$P$5000,Project_Activity!$C$2:$C$5000,$C2,Project_Activity!$U$2:$U$5000,"Non-Recoverable",Project_Activity!$H$2:$H$5000,"&gt;="&amp;DATE(VALUE(LEFT($B2,4)),1,1),Project_Activity!$H$2:$H$5000,"&lt;="&amp;EOMONTH(DATE(VALUE(LEFT($B2,4)),VALUE(RIGHT($B2,1))*3,1),0)))</f>
        <v>0</v>
      </c>
      <c r="S2" s="94" t="n">
        <f aca="false">IF($C2="","",$O2-$P2-$Q2-$R2)</f>
        <v>-0</v>
      </c>
      <c r="T2" s="94" t="n">
        <f aca="false">IF($C2="","",SUMIFS(Project_Activity!$P$2:$P$5000,Project_Activity!$C$2:$C$5000,$C2,Project_Activity!$U$2:$U$5000,"Recoverable",Project_Activity!$H$2:$H$5000,"&gt;="&amp;DATE(VALUE(LEFT($B2,4)),1,1),Project_Activity!$H$2:$H$5000,"&lt;="&amp;EOMONTH(DATE(VALUE(LEFT($B2,4)),VALUE(RIGHT($B2,1))*3,1),0)))</f>
        <v>0</v>
      </c>
      <c r="U2" s="94" t="n">
        <f aca="false">IF($C2="","",-SUMIFS(Project_Activity!$P$2:$P$5000,Project_Activity!$C$2:$C$5000,$C2,Project_Activity!$U$2:$U$5000,"Recovered Expenses",Project_Activity!$H$2:$H$5000,"&gt;="&amp;DATE(VALUE(LEFT($B2,4)),1,1),Project_Activity!$H$2:$H$5000,"&lt;="&amp;EOMONTH(DATE(VALUE(LEFT($B2,4)),VALUE(RIGHT($B2,1))*3,1),0)))</f>
        <v>-0</v>
      </c>
      <c r="V2" s="145" t="n">
        <v>0.7</v>
      </c>
      <c r="W2" s="94" t="n">
        <f aca="false">IF($C2="","",$V2*$N2)</f>
        <v>120236.97</v>
      </c>
      <c r="X2" s="145" t="n">
        <v>0.05</v>
      </c>
      <c r="Y2" s="94" t="n">
        <f aca="false">IF($C2="","",$X2*$N2)</f>
        <v>8588.355</v>
      </c>
      <c r="Z2" s="145" t="n">
        <v>0.2</v>
      </c>
      <c r="AA2" s="94" t="n">
        <f aca="false">IF($C2="","",$Z2*$N2)</f>
        <v>34353.42</v>
      </c>
      <c r="AB2" s="145" t="n">
        <v>0.05</v>
      </c>
      <c r="AC2" s="94" t="n">
        <f aca="false">IF($C2="","",$AB2*$N2)</f>
        <v>8588.355</v>
      </c>
      <c r="AD2" s="94" t="n">
        <f aca="false">IF($C2="","",SUMPRODUCT((VALUE(MID($B2,7,1))&gt;={1,2,3,4})*CHOOSE({1,2,3,4},$W2,$Y2,$AA2,$AC2)))</f>
        <v>128825.325</v>
      </c>
      <c r="AE2" s="94" t="n">
        <f aca="false">IF($C2="","",$W2+$Y2+$AA2+$AC2-$AD2)</f>
        <v>42941.775</v>
      </c>
      <c r="AF2" s="146"/>
      <c r="AG2" s="146"/>
      <c r="AH2" s="146" t="s">
        <v>844</v>
      </c>
      <c r="AI2" s="147" t="str">
        <f aca="false">IF($C2="","",IF(OR($L2="Pipeline",$N2&lt;0,$O2&gt;$N2+1,($V2+$X2+$Z2+$AB2)&gt;1.0001,ISNUMBER(SEARCH("not signed",$AF2))),"REVIEW","OK"))</f>
        <v>OK</v>
      </c>
    </row>
    <row r="3" customFormat="false" ht="13.5" hidden="false" customHeight="false" outlineLevel="0" collapsed="false">
      <c r="A3" s="95" t="str">
        <f aca="false">IF($C3="","",Controls!$B$7)</f>
        <v>PCGH</v>
      </c>
      <c r="B3" s="95" t="str">
        <f aca="false">IF($C3="","",Controls!$B$30)</f>
        <v>2026-Q2</v>
      </c>
      <c r="C3" s="95" t="str">
        <f aca="false">IF(MM_Income!$A6="","",MM_Income!$A6)</f>
        <v>PCGH722</v>
      </c>
      <c r="D3" s="95" t="str">
        <f aca="false">IF($C3="","",INDEX(MM_Income!$B$5:$B$204,MATCH($C3,MM_Income!$A$5:$A$204,0)))</f>
        <v>HCV_HCS_Full_Assessment_Sucrivoire</v>
      </c>
      <c r="E3" s="95" t="str">
        <f aca="false">IF($C3="","",INDEX(MM_Income!$C$5:$C$204,MATCH($C3,MM_Income!$A$5:$A$204,0)))</f>
        <v>Responsible Production</v>
      </c>
      <c r="F3" s="95" t="str">
        <f aca="false">IF($C3="","",INDEX(MM_Income!$F$5:$F$204,MATCH($C3,MM_Income!$A$5:$A$204,0)))</f>
        <v>Responsible Production</v>
      </c>
      <c r="G3" s="95" t="str">
        <f aca="false">IF($C3="","",INDEX(MM_Income!$G$5:$G$204,MATCH($C3,MM_Income!$A$5:$A$204,0)))</f>
        <v>External</v>
      </c>
      <c r="H3" s="95" t="str">
        <f aca="false">IF($C3="","",INDEX(MM_Income!$H$5:$H$204,MATCH($C3,MM_Income!$A$5:$A$204,0)))</f>
        <v>Sugar</v>
      </c>
      <c r="I3" s="95" t="str">
        <f aca="false">IF($C3="","",INDEX(MM_Income!$I$5:$I$204,MATCH($C3,MM_Income!$A$5:$A$204,0)))</f>
        <v>Sucrivoire</v>
      </c>
      <c r="J3" s="95" t="str">
        <f aca="false">IF($C3="","",INDEX(MM_Income!$D$5:$D$204,MATCH($C3,MM_Income!$A$5:$A$204,0)))</f>
        <v>PO</v>
      </c>
      <c r="K3" s="95" t="str">
        <f aca="false">IF($C3="","",INDEX(MM_Income!$E$5:$E$204,MATCH($C3,MM_Income!$A$5:$A$204,0)))</f>
        <v>Current</v>
      </c>
      <c r="L3" s="95" t="str">
        <f aca="false">IF($C3="","",INDEX(MM_Income!$U$5:$U$204,MATCH($C3,MM_Income!$A$5:$A$204,0)))</f>
        <v>Secured</v>
      </c>
      <c r="M3" s="143" t="n">
        <f aca="false">IF($C3="","",INDEX(MM_Income!$V$5:$V$204,MATCH($C3,MM_Income!$A$5:$A$204,0)))</f>
        <v>1</v>
      </c>
      <c r="N3" s="144" t="n">
        <f aca="false">IF($C3="","",INDEX(MM_Income!$T$5:$T$204,MATCH($C3,MM_Income!$A$5:$A$204,0)))</f>
        <v>44911.9005</v>
      </c>
      <c r="O3" s="94" t="n">
        <f aca="false">IF($C3="","",-SUMIFS(Project_Activity!$P$2:$P$5000,Project_Activity!$C$2:$C$5000,$C3,Project_Activity!$U$2:$U$5000,"Invoiced Income",Project_Activity!$H$2:$H$5000,"&gt;="&amp;DATE(VALUE(LEFT($B3,4)),1,1),Project_Activity!$H$2:$H$5000,"&lt;="&amp;EOMONTH(DATE(VALUE(LEFT($B3,4)),VALUE(RIGHT($B3,1))*3,1),0)))</f>
        <v>-0</v>
      </c>
      <c r="P3" s="94" t="n">
        <f aca="false">IF($C3="","",SUMIFS(Project_Activity!$P$2:$P$5000,Project_Activity!$C$2:$C$5000,$C3,Project_Activity!$U$2:$U$5000,"Subcontractor",Project_Activity!$H$2:$H$5000,"&gt;="&amp;DATE(VALUE(LEFT($B3,4)),1,1),Project_Activity!$H$2:$H$5000,"&lt;="&amp;EOMONTH(DATE(VALUE(LEFT($B3,4)),VALUE(RIGHT($B3,1))*3,1),0)))</f>
        <v>0</v>
      </c>
      <c r="Q3" s="94" t="n">
        <f aca="false">IF($C3="","",SUMIFS(Project_Activity!$P$2:$P$5000,Project_Activity!$C$2:$C$5000,$C3,Project_Activity!$U$2:$U$5000,"Project Inclusive",Project_Activity!$H$2:$H$5000,"&gt;="&amp;DATE(VALUE(LEFT($B3,4)),1,1),Project_Activity!$H$2:$H$5000,"&lt;="&amp;EOMONTH(DATE(VALUE(LEFT($B3,4)),VALUE(RIGHT($B3,1))*3,1),0)))</f>
        <v>0</v>
      </c>
      <c r="R3" s="94" t="n">
        <f aca="false">IF($C3="","",SUMIFS(Project_Activity!$P$2:$P$5000,Project_Activity!$C$2:$C$5000,$C3,Project_Activity!$U$2:$U$5000,"Non-Recoverable",Project_Activity!$H$2:$H$5000,"&gt;="&amp;DATE(VALUE(LEFT($B3,4)),1,1),Project_Activity!$H$2:$H$5000,"&lt;="&amp;EOMONTH(DATE(VALUE(LEFT($B3,4)),VALUE(RIGHT($B3,1))*3,1),0)))</f>
        <v>47240.74</v>
      </c>
      <c r="S3" s="94" t="n">
        <f aca="false">IF($C3="","",$O3-$P3-$Q3-$R3)</f>
        <v>-47240.74</v>
      </c>
      <c r="T3" s="94" t="n">
        <f aca="false">IF($C3="","",SUMIFS(Project_Activity!$P$2:$P$5000,Project_Activity!$C$2:$C$5000,$C3,Project_Activity!$U$2:$U$5000,"Recoverable",Project_Activity!$H$2:$H$5000,"&gt;="&amp;DATE(VALUE(LEFT($B3,4)),1,1),Project_Activity!$H$2:$H$5000,"&lt;="&amp;EOMONTH(DATE(VALUE(LEFT($B3,4)),VALUE(RIGHT($B3,1))*3,1),0)))</f>
        <v>0</v>
      </c>
      <c r="U3" s="94" t="n">
        <f aca="false">IF($C3="","",-SUMIFS(Project_Activity!$P$2:$P$5000,Project_Activity!$C$2:$C$5000,$C3,Project_Activity!$U$2:$U$5000,"Recovered Expenses",Project_Activity!$H$2:$H$5000,"&gt;="&amp;DATE(VALUE(LEFT($B3,4)),1,1),Project_Activity!$H$2:$H$5000,"&lt;="&amp;EOMONTH(DATE(VALUE(LEFT($B3,4)),VALUE(RIGHT($B3,1))*3,1),0)))</f>
        <v>216878.63</v>
      </c>
      <c r="V3" s="145" t="n">
        <v>0.5</v>
      </c>
      <c r="W3" s="94" t="n">
        <f aca="false">IF($C3="","",$V3*$N3)</f>
        <v>22455.95025</v>
      </c>
      <c r="X3" s="145" t="n">
        <v>0</v>
      </c>
      <c r="Y3" s="94" t="n">
        <f aca="false">IF($C3="","",$X3*$N3)</f>
        <v>0</v>
      </c>
      <c r="Z3" s="145" t="n">
        <v>0.5</v>
      </c>
      <c r="AA3" s="94" t="n">
        <f aca="false">IF($C3="","",$Z3*$N3)</f>
        <v>22455.95025</v>
      </c>
      <c r="AB3" s="145" t="n">
        <v>0</v>
      </c>
      <c r="AC3" s="94" t="n">
        <f aca="false">IF($C3="","",$AB3*$N3)</f>
        <v>0</v>
      </c>
      <c r="AD3" s="94" t="n">
        <f aca="false">IF($C3="","",SUMPRODUCT((VALUE(MID($B3,7,1))&gt;={1,2,3,4})*CHOOSE({1,2,3,4},$W3,$Y3,$AA3,$AC3)))</f>
        <v>22455.95025</v>
      </c>
      <c r="AE3" s="94" t="n">
        <f aca="false">IF($C3="","",$W3+$Y3+$AA3+$AC3-$AD3)</f>
        <v>22455.95025</v>
      </c>
      <c r="AF3" s="146"/>
      <c r="AG3" s="146"/>
      <c r="AH3" s="146" t="s">
        <v>1204</v>
      </c>
      <c r="AI3" s="147" t="str">
        <f aca="false">IF($C3="","",IF(OR($L3="Pipeline",$N3&lt;0,$O3&gt;$N3+1,($V3+$X3+$Z3+$AB3)&gt;1.0001,ISNUMBER(SEARCH("not signed",$AF3))),"REVIEW","OK"))</f>
        <v>OK</v>
      </c>
    </row>
    <row r="4" customFormat="false" ht="13.5" hidden="false" customHeight="false" outlineLevel="0" collapsed="false">
      <c r="A4" s="95" t="str">
        <f aca="false">IF($C4="","",Controls!$B$7)</f>
        <v>PCGH</v>
      </c>
      <c r="B4" s="95" t="str">
        <f aca="false">IF($C4="","",Controls!$B$30)</f>
        <v>2026-Q2</v>
      </c>
      <c r="C4" s="95" t="str">
        <f aca="false">IF(MM_Income!$A7="","",MM_Income!$A7)</f>
        <v>PCGH738</v>
      </c>
      <c r="D4" s="95" t="str">
        <f aca="false">IF($C4="","",INDEX(MM_Income!$B$5:$B$204,MATCH($C4,MM_Income!$A$5:$A$204,0)))</f>
        <v>Barnsley2_integrated_HCV-HCS_assessment</v>
      </c>
      <c r="E4" s="95" t="str">
        <f aca="false">IF($C4="","",INDEX(MM_Income!$C$5:$C$204,MATCH($C4,MM_Income!$A$5:$A$204,0)))</f>
        <v>Responsible Production</v>
      </c>
      <c r="F4" s="95" t="str">
        <f aca="false">IF($C4="","",INDEX(MM_Income!$F$5:$F$204,MATCH($C4,MM_Income!$A$5:$A$204,0)))</f>
        <v>Responsible Production</v>
      </c>
      <c r="G4" s="95" t="str">
        <f aca="false">IF($C4="","",INDEX(MM_Income!$G$5:$G$204,MATCH($C4,MM_Income!$A$5:$A$204,0)))</f>
        <v>External</v>
      </c>
      <c r="H4" s="95" t="str">
        <f aca="false">IF($C4="","",INDEX(MM_Income!$H$5:$H$204,MATCH($C4,MM_Income!$A$5:$A$204,0)))</f>
        <v>Oil Palm</v>
      </c>
      <c r="I4" s="95" t="str">
        <f aca="false">IF($C4="","",INDEX(MM_Income!$I$5:$I$204,MATCH($C4,MM_Income!$A$5:$A$204,0)))</f>
        <v>Barnsley</v>
      </c>
      <c r="J4" s="95" t="str">
        <f aca="false">IF($C4="","",INDEX(MM_Income!$D$5:$D$204,MATCH($C4,MM_Income!$A$5:$A$204,0)))</f>
        <v>SD</v>
      </c>
      <c r="K4" s="95" t="str">
        <f aca="false">IF($C4="","",INDEX(MM_Income!$E$5:$E$204,MATCH($C4,MM_Income!$A$5:$A$204,0)))</f>
        <v>Current</v>
      </c>
      <c r="L4" s="95" t="str">
        <f aca="false">IF($C4="","",INDEX(MM_Income!$U$5:$U$204,MATCH($C4,MM_Income!$A$5:$A$204,0)))</f>
        <v>Secured</v>
      </c>
      <c r="M4" s="143" t="n">
        <f aca="false">IF($C4="","",INDEX(MM_Income!$V$5:$V$204,MATCH($C4,MM_Income!$A$5:$A$204,0)))</f>
        <v>1</v>
      </c>
      <c r="N4" s="144" t="n">
        <f aca="false">IF($C4="","",INDEX(MM_Income!$T$5:$T$204,MATCH($C4,MM_Income!$A$5:$A$204,0)))</f>
        <v>380545.5</v>
      </c>
      <c r="O4" s="94" t="n">
        <f aca="false">IF($C4="","",-SUMIFS(Project_Activity!$P$2:$P$5000,Project_Activity!$C$2:$C$5000,$C4,Project_Activity!$U$2:$U$5000,"Invoiced Income",Project_Activity!$H$2:$H$5000,"&gt;="&amp;DATE(VALUE(LEFT($B4,4)),1,1),Project_Activity!$H$2:$H$5000,"&lt;="&amp;EOMONTH(DATE(VALUE(LEFT($B4,4)),VALUE(RIGHT($B4,1))*3,1),0)))</f>
        <v>196496.06</v>
      </c>
      <c r="P4" s="94" t="n">
        <f aca="false">IF($C4="","",SUMIFS(Project_Activity!$P$2:$P$5000,Project_Activity!$C$2:$C$5000,$C4,Project_Activity!$U$2:$U$5000,"Subcontractor",Project_Activity!$H$2:$H$5000,"&gt;="&amp;DATE(VALUE(LEFT($B4,4)),1,1),Project_Activity!$H$2:$H$5000,"&lt;="&amp;EOMONTH(DATE(VALUE(LEFT($B4,4)),VALUE(RIGHT($B4,1))*3,1),0)))</f>
        <v>33824.54</v>
      </c>
      <c r="Q4" s="94" t="n">
        <f aca="false">IF($C4="","",SUMIFS(Project_Activity!$P$2:$P$5000,Project_Activity!$C$2:$C$5000,$C4,Project_Activity!$U$2:$U$5000,"Project Inclusive",Project_Activity!$H$2:$H$5000,"&gt;="&amp;DATE(VALUE(LEFT($B4,4)),1,1),Project_Activity!$H$2:$H$5000,"&lt;="&amp;EOMONTH(DATE(VALUE(LEFT($B4,4)),VALUE(RIGHT($B4,1))*3,1),0)))</f>
        <v>0</v>
      </c>
      <c r="R4" s="94" t="n">
        <f aca="false">IF($C4="","",SUMIFS(Project_Activity!$P$2:$P$5000,Project_Activity!$C$2:$C$5000,$C4,Project_Activity!$U$2:$U$5000,"Non-Recoverable",Project_Activity!$H$2:$H$5000,"&gt;="&amp;DATE(VALUE(LEFT($B4,4)),1,1),Project_Activity!$H$2:$H$5000,"&lt;="&amp;EOMONTH(DATE(VALUE(LEFT($B4,4)),VALUE(RIGHT($B4,1))*3,1),0)))</f>
        <v>0</v>
      </c>
      <c r="S4" s="94" t="n">
        <f aca="false">IF($C4="","",$O4-$P4-$Q4-$R4)</f>
        <v>162671.52</v>
      </c>
      <c r="T4" s="94" t="n">
        <f aca="false">IF($C4="","",SUMIFS(Project_Activity!$P$2:$P$5000,Project_Activity!$C$2:$C$5000,$C4,Project_Activity!$U$2:$U$5000,"Recoverable",Project_Activity!$H$2:$H$5000,"&gt;="&amp;DATE(VALUE(LEFT($B4,4)),1,1),Project_Activity!$H$2:$H$5000,"&lt;="&amp;EOMONTH(DATE(VALUE(LEFT($B4,4)),VALUE(RIGHT($B4,1))*3,1),0)))</f>
        <v>0</v>
      </c>
      <c r="U4" s="94" t="n">
        <f aca="false">IF($C4="","",-SUMIFS(Project_Activity!$P$2:$P$5000,Project_Activity!$C$2:$C$5000,$C4,Project_Activity!$U$2:$U$5000,"Recovered Expenses",Project_Activity!$H$2:$H$5000,"&gt;="&amp;DATE(VALUE(LEFT($B4,4)),1,1),Project_Activity!$H$2:$H$5000,"&lt;="&amp;EOMONTH(DATE(VALUE(LEFT($B4,4)),VALUE(RIGHT($B4,1))*3,1),0)))</f>
        <v>-0</v>
      </c>
      <c r="V4" s="145" t="n">
        <v>0.7</v>
      </c>
      <c r="W4" s="94" t="n">
        <f aca="false">IF($C4="","",$V4*$N4)</f>
        <v>266381.85</v>
      </c>
      <c r="X4" s="145" t="n">
        <v>0.05</v>
      </c>
      <c r="Y4" s="94" t="n">
        <f aca="false">IF($C4="","",$X4*$N4)</f>
        <v>19027.275</v>
      </c>
      <c r="Z4" s="145" t="n">
        <v>0.2</v>
      </c>
      <c r="AA4" s="94" t="n">
        <f aca="false">IF($C4="","",$Z4*$N4)</f>
        <v>76109.1</v>
      </c>
      <c r="AB4" s="145" t="n">
        <v>0.05</v>
      </c>
      <c r="AC4" s="94" t="n">
        <f aca="false">IF($C4="","",$AB4*$N4)</f>
        <v>19027.275</v>
      </c>
      <c r="AD4" s="94" t="n">
        <f aca="false">IF($C4="","",SUMPRODUCT((VALUE(MID($B4,7,1))&gt;={1,2,3,4})*CHOOSE({1,2,3,4},$W4,$Y4,$AA4,$AC4)))</f>
        <v>285409.125</v>
      </c>
      <c r="AE4" s="94" t="n">
        <f aca="false">IF($C4="","",$W4+$Y4+$AA4+$AC4-$AD4)</f>
        <v>95136.375</v>
      </c>
      <c r="AF4" s="146"/>
      <c r="AG4" s="146"/>
      <c r="AH4" s="146" t="s">
        <v>844</v>
      </c>
      <c r="AI4" s="147" t="str">
        <f aca="false">IF($C4="","",IF(OR($L4="Pipeline",$N4&lt;0,$O4&gt;$N4+1,($V4+$X4+$Z4+$AB4)&gt;1.0001,ISNUMBER(SEARCH("not signed",$AF4))),"REVIEW","OK"))</f>
        <v>OK</v>
      </c>
    </row>
    <row r="5" customFormat="false" ht="13.5" hidden="false" customHeight="false" outlineLevel="0" collapsed="false">
      <c r="A5" s="95" t="str">
        <f aca="false">IF($C5="","",Controls!$B$7)</f>
        <v>PCGH</v>
      </c>
      <c r="B5" s="95" t="str">
        <f aca="false">IF($C5="","",Controls!$B$30)</f>
        <v>2026-Q2</v>
      </c>
      <c r="C5" s="95" t="str">
        <f aca="false">IF(MM_Income!$A8="","",MM_Income!$A8)</f>
        <v>PCGH761</v>
      </c>
      <c r="D5" s="95" t="str">
        <f aca="false">IF($C5="","",INDEX(MM_Income!$B$5:$B$204,MATCH($C5,MM_Income!$A$5:$A$204,0)))</f>
        <v>Participatory Land Use Plan_Wologizi_Wonegizi_Landscape</v>
      </c>
      <c r="E5" s="95" t="str">
        <f aca="false">IF($C5="","",INDEX(MM_Income!$C$5:$C$204,MATCH($C5,MM_Income!$A$5:$A$204,0)))</f>
        <v>Responsible Production</v>
      </c>
      <c r="F5" s="95" t="str">
        <f aca="false">IF($C5="","",INDEX(MM_Income!$F$5:$F$204,MATCH($C5,MM_Income!$A$5:$A$204,0)))</f>
        <v>Responsible Production</v>
      </c>
      <c r="G5" s="95" t="str">
        <f aca="false">IF($C5="","",INDEX(MM_Income!$G$5:$G$204,MATCH($C5,MM_Income!$A$5:$A$204,0)))</f>
        <v>External</v>
      </c>
      <c r="H5" s="95" t="str">
        <f aca="false">IF($C5="","",INDEX(MM_Income!$H$5:$H$204,MATCH($C5,MM_Income!$A$5:$A$204,0)))</f>
        <v>Forest</v>
      </c>
      <c r="I5" s="95" t="str">
        <f aca="false">IF($C5="","",INDEX(MM_Income!$I$5:$I$204,MATCH($C5,MM_Income!$A$5:$A$204,0)))</f>
        <v>Fauna &amp; Flora</v>
      </c>
      <c r="J5" s="95" t="str">
        <f aca="false">IF($C5="","",INDEX(MM_Income!$D$5:$D$204,MATCH($C5,MM_Income!$A$5:$A$204,0)))</f>
        <v>ENT</v>
      </c>
      <c r="K5" s="95" t="str">
        <f aca="false">IF($C5="","",INDEX(MM_Income!$E$5:$E$204,MATCH($C5,MM_Income!$A$5:$A$204,0)))</f>
        <v>Current</v>
      </c>
      <c r="L5" s="95" t="str">
        <f aca="false">IF($C5="","",INDEX(MM_Income!$U$5:$U$204,MATCH($C5,MM_Income!$A$5:$A$204,0)))</f>
        <v>Secured</v>
      </c>
      <c r="M5" s="143" t="n">
        <f aca="false">IF($C5="","",INDEX(MM_Income!$V$5:$V$204,MATCH($C5,MM_Income!$A$5:$A$204,0)))</f>
        <v>1</v>
      </c>
      <c r="N5" s="144" t="n">
        <f aca="false">IF($C5="","",INDEX(MM_Income!$T$5:$T$204,MATCH($C5,MM_Income!$A$5:$A$204,0)))</f>
        <v>322438.08</v>
      </c>
      <c r="O5" s="94" t="n">
        <f aca="false">IF($C5="","",-SUMIFS(Project_Activity!$P$2:$P$5000,Project_Activity!$C$2:$C$5000,$C5,Project_Activity!$U$2:$U$5000,"Invoiced Income",Project_Activity!$H$2:$H$5000,"&gt;="&amp;DATE(VALUE(LEFT($B5,4)),1,1),Project_Activity!$H$2:$H$5000,"&lt;="&amp;EOMONTH(DATE(VALUE(LEFT($B5,4)),VALUE(RIGHT($B5,1))*3,1),0)))</f>
        <v>-0</v>
      </c>
      <c r="P5" s="94" t="n">
        <f aca="false">IF($C5="","",SUMIFS(Project_Activity!$P$2:$P$5000,Project_Activity!$C$2:$C$5000,$C5,Project_Activity!$U$2:$U$5000,"Subcontractor",Project_Activity!$H$2:$H$5000,"&gt;="&amp;DATE(VALUE(LEFT($B5,4)),1,1),Project_Activity!$H$2:$H$5000,"&lt;="&amp;EOMONTH(DATE(VALUE(LEFT($B5,4)),VALUE(RIGHT($B5,1))*3,1),0)))</f>
        <v>0</v>
      </c>
      <c r="Q5" s="94" t="n">
        <f aca="false">IF($C5="","",SUMIFS(Project_Activity!$P$2:$P$5000,Project_Activity!$C$2:$C$5000,$C5,Project_Activity!$U$2:$U$5000,"Project Inclusive",Project_Activity!$H$2:$H$5000,"&gt;="&amp;DATE(VALUE(LEFT($B5,4)),1,1),Project_Activity!$H$2:$H$5000,"&lt;="&amp;EOMONTH(DATE(VALUE(LEFT($B5,4)),VALUE(RIGHT($B5,1))*3,1),0)))</f>
        <v>0</v>
      </c>
      <c r="R5" s="94" t="n">
        <f aca="false">IF($C5="","",SUMIFS(Project_Activity!$P$2:$P$5000,Project_Activity!$C$2:$C$5000,$C5,Project_Activity!$U$2:$U$5000,"Non-Recoverable",Project_Activity!$H$2:$H$5000,"&gt;="&amp;DATE(VALUE(LEFT($B5,4)),1,1),Project_Activity!$H$2:$H$5000,"&lt;="&amp;EOMONTH(DATE(VALUE(LEFT($B5,4)),VALUE(RIGHT($B5,1))*3,1),0)))</f>
        <v>0</v>
      </c>
      <c r="S5" s="94" t="n">
        <f aca="false">IF($C5="","",$O5-$P5-$Q5-$R5)</f>
        <v>-0</v>
      </c>
      <c r="T5" s="94" t="n">
        <f aca="false">IF($C5="","",SUMIFS(Project_Activity!$P$2:$P$5000,Project_Activity!$C$2:$C$5000,$C5,Project_Activity!$U$2:$U$5000,"Recoverable",Project_Activity!$H$2:$H$5000,"&gt;="&amp;DATE(VALUE(LEFT($B5,4)),1,1),Project_Activity!$H$2:$H$5000,"&lt;="&amp;EOMONTH(DATE(VALUE(LEFT($B5,4)),VALUE(RIGHT($B5,1))*3,1),0)))</f>
        <v>0</v>
      </c>
      <c r="U5" s="94" t="n">
        <f aca="false">IF($C5="","",-SUMIFS(Project_Activity!$P$2:$P$5000,Project_Activity!$C$2:$C$5000,$C5,Project_Activity!$U$2:$U$5000,"Recovered Expenses",Project_Activity!$H$2:$H$5000,"&gt;="&amp;DATE(VALUE(LEFT($B5,4)),1,1),Project_Activity!$H$2:$H$5000,"&lt;="&amp;EOMONTH(DATE(VALUE(LEFT($B5,4)),VALUE(RIGHT($B5,1))*3,1),0)))</f>
        <v>-0</v>
      </c>
      <c r="V5" s="145" t="n">
        <v>0.5</v>
      </c>
      <c r="W5" s="94" t="n">
        <f aca="false">IF($C5="","",$V5*$N5)</f>
        <v>161219.04</v>
      </c>
      <c r="X5" s="145" t="n">
        <v>0</v>
      </c>
      <c r="Y5" s="94" t="n">
        <f aca="false">IF($C5="","",$X5*$N5)</f>
        <v>0</v>
      </c>
      <c r="Z5" s="145" t="n">
        <v>0.25</v>
      </c>
      <c r="AA5" s="94" t="n">
        <f aca="false">IF($C5="","",$Z5*$N5)</f>
        <v>80609.52</v>
      </c>
      <c r="AB5" s="145" t="n">
        <v>0.15</v>
      </c>
      <c r="AC5" s="94" t="n">
        <f aca="false">IF($C5="","",$AB5*$N5)</f>
        <v>48365.712</v>
      </c>
      <c r="AD5" s="94" t="n">
        <f aca="false">IF($C5="","",SUMPRODUCT((VALUE(MID($B5,7,1))&gt;={1,2,3,4})*CHOOSE({1,2,3,4},$W5,$Y5,$AA5,$AC5)))</f>
        <v>161219.04</v>
      </c>
      <c r="AE5" s="94" t="n">
        <f aca="false">IF($C5="","",$W5+$Y5+$AA5+$AC5-$AD5)</f>
        <v>128975.232</v>
      </c>
      <c r="AF5" s="146"/>
      <c r="AG5" s="146"/>
      <c r="AH5" s="146" t="s">
        <v>844</v>
      </c>
      <c r="AI5" s="147" t="str">
        <f aca="false">IF($C5="","",IF(OR($L5="Pipeline",$N5&lt;0,$O5&gt;$N5+1,($V5+$X5+$Z5+$AB5)&gt;1.0001,ISNUMBER(SEARCH("not signed",$AF5))),"REVIEW","OK"))</f>
        <v>OK</v>
      </c>
    </row>
    <row r="6" customFormat="false" ht="13.5" hidden="false" customHeight="false" outlineLevel="0" collapsed="false">
      <c r="A6" s="95" t="str">
        <f aca="false">IF($C6="","",Controls!$B$7)</f>
        <v>PCGH</v>
      </c>
      <c r="B6" s="95" t="str">
        <f aca="false">IF($C6="","",Controls!$B$30)</f>
        <v>2026-Q2</v>
      </c>
      <c r="C6" s="95" t="str">
        <f aca="false">IF(MM_Income!$A9="","",MM_Income!$A9)</f>
        <v>PCGH762</v>
      </c>
      <c r="D6" s="95" t="str">
        <f aca="false">IF($C6="","",INDEX(MM_Income!$B$5:$B$204,MATCH($C6,MM_Income!$A$5:$A$204,0)))</f>
        <v>GVL_HCSA_Restoration_Project</v>
      </c>
      <c r="E6" s="95" t="str">
        <f aca="false">IF($C6="","",INDEX(MM_Income!$C$5:$C$204,MATCH($C6,MM_Income!$A$5:$A$204,0)))</f>
        <v>Responsible Production</v>
      </c>
      <c r="F6" s="95" t="str">
        <f aca="false">IF($C6="","",INDEX(MM_Income!$F$5:$F$204,MATCH($C6,MM_Income!$A$5:$A$204,0)))</f>
        <v>Responsible Production</v>
      </c>
      <c r="G6" s="95" t="str">
        <f aca="false">IF($C6="","",INDEX(MM_Income!$G$5:$G$204,MATCH($C6,MM_Income!$A$5:$A$204,0)))</f>
        <v>External</v>
      </c>
      <c r="H6" s="95" t="str">
        <f aca="false">IF($C6="","",INDEX(MM_Income!$H$5:$H$204,MATCH($C6,MM_Income!$A$5:$A$204,0)))</f>
        <v>Forest</v>
      </c>
      <c r="I6" s="95" t="str">
        <f aca="false">IF($C6="","",INDEX(MM_Income!$I$5:$I$204,MATCH($C6,MM_Income!$A$5:$A$204,0)))</f>
        <v>GVL</v>
      </c>
      <c r="J6" s="95" t="str">
        <f aca="false">IF($C6="","",INDEX(MM_Income!$D$5:$D$204,MATCH($C6,MM_Income!$A$5:$A$204,0)))</f>
        <v>KNB</v>
      </c>
      <c r="K6" s="95" t="str">
        <f aca="false">IF($C6="","",INDEX(MM_Income!$E$5:$E$204,MATCH($C6,MM_Income!$A$5:$A$204,0)))</f>
        <v>Current</v>
      </c>
      <c r="L6" s="95" t="str">
        <f aca="false">IF($C6="","",INDEX(MM_Income!$U$5:$U$204,MATCH($C6,MM_Income!$A$5:$A$204,0)))</f>
        <v>Secured</v>
      </c>
      <c r="M6" s="143" t="n">
        <f aca="false">IF($C6="","",INDEX(MM_Income!$V$5:$V$204,MATCH($C6,MM_Income!$A$5:$A$204,0)))</f>
        <v>1</v>
      </c>
      <c r="N6" s="144" t="n">
        <f aca="false">IF($C6="","",INDEX(MM_Income!$T$5:$T$204,MATCH($C6,MM_Income!$A$5:$A$204,0)))</f>
        <v>1141155</v>
      </c>
      <c r="O6" s="94" t="n">
        <f aca="false">IF($C6="","",-SUMIFS(Project_Activity!$P$2:$P$5000,Project_Activity!$C$2:$C$5000,$C6,Project_Activity!$U$2:$U$5000,"Invoiced Income",Project_Activity!$H$2:$H$5000,"&gt;="&amp;DATE(VALUE(LEFT($B6,4)),1,1),Project_Activity!$H$2:$H$5000,"&lt;="&amp;EOMONTH(DATE(VALUE(LEFT($B6,4)),VALUE(RIGHT($B6,1))*3,1),0)))</f>
        <v>510225.54</v>
      </c>
      <c r="P6" s="94" t="n">
        <f aca="false">IF($C6="","",SUMIFS(Project_Activity!$P$2:$P$5000,Project_Activity!$C$2:$C$5000,$C6,Project_Activity!$U$2:$U$5000,"Subcontractor",Project_Activity!$H$2:$H$5000,"&gt;="&amp;DATE(VALUE(LEFT($B6,4)),1,1),Project_Activity!$H$2:$H$5000,"&lt;="&amp;EOMONTH(DATE(VALUE(LEFT($B6,4)),VALUE(RIGHT($B6,1))*3,1),0)))</f>
        <v>89216.78</v>
      </c>
      <c r="Q6" s="94" t="n">
        <f aca="false">IF($C6="","",SUMIFS(Project_Activity!$P$2:$P$5000,Project_Activity!$C$2:$C$5000,$C6,Project_Activity!$U$2:$U$5000,"Project Inclusive",Project_Activity!$H$2:$H$5000,"&gt;="&amp;DATE(VALUE(LEFT($B6,4)),1,1),Project_Activity!$H$2:$H$5000,"&lt;="&amp;EOMONTH(DATE(VALUE(LEFT($B6,4)),VALUE(RIGHT($B6,1))*3,1),0)))</f>
        <v>0</v>
      </c>
      <c r="R6" s="94" t="n">
        <f aca="false">IF($C6="","",SUMIFS(Project_Activity!$P$2:$P$5000,Project_Activity!$C$2:$C$5000,$C6,Project_Activity!$U$2:$U$5000,"Non-Recoverable",Project_Activity!$H$2:$H$5000,"&gt;="&amp;DATE(VALUE(LEFT($B6,4)),1,1),Project_Activity!$H$2:$H$5000,"&lt;="&amp;EOMONTH(DATE(VALUE(LEFT($B6,4)),VALUE(RIGHT($B6,1))*3,1),0)))</f>
        <v>0</v>
      </c>
      <c r="S6" s="94" t="n">
        <v>424753</v>
      </c>
      <c r="T6" s="94" t="n">
        <f aca="false">IF($C6="","",SUMIFS(Project_Activity!$P$2:$P$5000,Project_Activity!$C$2:$C$5000,$C6,Project_Activity!$U$2:$U$5000,"Recoverable",Project_Activity!$H$2:$H$5000,"&gt;="&amp;DATE(VALUE(LEFT($B6,4)),1,1),Project_Activity!$H$2:$H$5000,"&lt;="&amp;EOMONTH(DATE(VALUE(LEFT($B6,4)),VALUE(RIGHT($B6,1))*3,1),0)))</f>
        <v>57873.65</v>
      </c>
      <c r="U6" s="94" t="n">
        <f aca="false">IF($C6="","",-SUMIFS(Project_Activity!$P$2:$P$5000,Project_Activity!$C$2:$C$5000,$C6,Project_Activity!$U$2:$U$5000,"Recovered Expenses",Project_Activity!$H$2:$H$5000,"&gt;="&amp;DATE(VALUE(LEFT($B6,4)),1,1),Project_Activity!$H$2:$H$5000,"&lt;="&amp;EOMONTH(DATE(VALUE(LEFT($B6,4)),VALUE(RIGHT($B6,1))*3,1),0)))</f>
        <v>61618.23</v>
      </c>
      <c r="V6" s="145" t="n">
        <v>0.4</v>
      </c>
      <c r="W6" s="94" t="n">
        <f aca="false">IF($C6="","",$V6*$N6)</f>
        <v>456462</v>
      </c>
      <c r="X6" s="145" t="n">
        <v>0.2</v>
      </c>
      <c r="Y6" s="94" t="n">
        <f aca="false">IF($C6="","",$X6*$N6)</f>
        <v>228231</v>
      </c>
      <c r="Z6" s="145" t="n">
        <v>0.2</v>
      </c>
      <c r="AA6" s="94" t="n">
        <f aca="false">IF($C6="","",$Z6*$N6)</f>
        <v>228231</v>
      </c>
      <c r="AB6" s="145" t="n">
        <v>0.2</v>
      </c>
      <c r="AC6" s="94" t="n">
        <f aca="false">IF($C6="","",$AB6*$N6)</f>
        <v>228231</v>
      </c>
      <c r="AD6" s="94" t="n">
        <f aca="false">IF($C6="","",SUMPRODUCT((VALUE(MID($B6,7,1))&gt;={1,2,3,4})*CHOOSE({1,2,3,4},$W6,$Y6,$AA6,$AC6)))</f>
        <v>684693</v>
      </c>
      <c r="AE6" s="94" t="n">
        <f aca="false">IF($C6="","",$W6+$Y6+$AA6+$AC6-$AD6)</f>
        <v>456462</v>
      </c>
      <c r="AF6" s="146"/>
      <c r="AG6" s="146"/>
      <c r="AH6" s="146" t="s">
        <v>1204</v>
      </c>
      <c r="AI6" s="147" t="str">
        <f aca="false">IF($C6="","",IF(OR($L6="Pipeline",$N6&lt;0,$O6&gt;$N6+1,($V6+$X6+$Z6+$AB6)&gt;1.0001,ISNUMBER(SEARCH("not signed",$AF6))),"REVIEW","OK"))</f>
        <v>OK</v>
      </c>
    </row>
    <row r="7" customFormat="false" ht="13.5" hidden="false" customHeight="false" outlineLevel="0" collapsed="false">
      <c r="A7" s="95" t="str">
        <f aca="false">IF($C7="","",Controls!$B$7)</f>
        <v>PCGH</v>
      </c>
      <c r="B7" s="95" t="str">
        <f aca="false">IF($C7="","",Controls!$B$30)</f>
        <v>2026-Q2</v>
      </c>
      <c r="C7" s="95" t="str">
        <f aca="false">IF(MM_Income!$A10="","",MM_Income!$A10)</f>
        <v>PCGH767</v>
      </c>
      <c r="D7" s="95" t="str">
        <f aca="false">IF($C7="","",INDEX(MM_Income!$B$5:$B$204,MATCH($C7,MM_Income!$A$5:$A$204,0)))</f>
        <v>Presco_HCV_HCS-Scoping</v>
      </c>
      <c r="E7" s="95" t="str">
        <f aca="false">IF($C7="","",INDEX(MM_Income!$C$5:$C$204,MATCH($C7,MM_Income!$A$5:$A$204,0)))</f>
        <v>Responsible Production</v>
      </c>
      <c r="F7" s="95" t="str">
        <f aca="false">IF($C7="","",INDEX(MM_Income!$F$5:$F$204,MATCH($C7,MM_Income!$A$5:$A$204,0)))</f>
        <v>Responsible Production</v>
      </c>
      <c r="G7" s="95" t="str">
        <f aca="false">IF($C7="","",INDEX(MM_Income!$G$5:$G$204,MATCH($C7,MM_Income!$A$5:$A$204,0)))</f>
        <v>External</v>
      </c>
      <c r="H7" s="95" t="str">
        <f aca="false">IF($C7="","",INDEX(MM_Income!$H$5:$H$204,MATCH($C7,MM_Income!$A$5:$A$204,0)))</f>
        <v>Oil Palm</v>
      </c>
      <c r="I7" s="95" t="str">
        <f aca="false">IF($C7="","",INDEX(MM_Income!$I$5:$I$204,MATCH($C7,MM_Income!$A$5:$A$204,0)))</f>
        <v>Presco</v>
      </c>
      <c r="J7" s="95" t="str">
        <f aca="false">IF($C7="","",INDEX(MM_Income!$D$5:$D$204,MATCH($C7,MM_Income!$A$5:$A$204,0)))</f>
        <v>SD</v>
      </c>
      <c r="K7" s="95" t="str">
        <f aca="false">IF($C7="","",INDEX(MM_Income!$E$5:$E$204,MATCH($C7,MM_Income!$A$5:$A$204,0)))</f>
        <v>Completed</v>
      </c>
      <c r="L7" s="95" t="str">
        <f aca="false">IF($C7="","",INDEX(MM_Income!$U$5:$U$204,MATCH($C7,MM_Income!$A$5:$A$204,0)))</f>
        <v>Secured</v>
      </c>
      <c r="M7" s="143" t="n">
        <f aca="false">IF($C7="","",INDEX(MM_Income!$V$5:$V$204,MATCH($C7,MM_Income!$A$5:$A$204,0)))</f>
        <v>1</v>
      </c>
      <c r="N7" s="144" t="n">
        <f aca="false">IF($C7="","",INDEX(MM_Income!$T$5:$T$204,MATCH($C7,MM_Income!$A$5:$A$204,0)))</f>
        <v>88275</v>
      </c>
      <c r="O7" s="94" t="n">
        <f aca="false">IF($C7="","",-SUMIFS(Project_Activity!$P$2:$P$5000,Project_Activity!$C$2:$C$5000,$C7,Project_Activity!$U$2:$U$5000,"Invoiced Income",Project_Activity!$H$2:$H$5000,"&gt;="&amp;DATE(VALUE(LEFT($B7,4)),1,1),Project_Activity!$H$2:$H$5000,"&lt;="&amp;EOMONTH(DATE(VALUE(LEFT($B7,4)),VALUE(RIGHT($B7,1))*3,1),0)))</f>
        <v>130227.27</v>
      </c>
      <c r="P7" s="94" t="n">
        <f aca="false">IF($C7="","",SUMIFS(Project_Activity!$P$2:$P$5000,Project_Activity!$C$2:$C$5000,$C7,Project_Activity!$U$2:$U$5000,"Subcontractor",Project_Activity!$H$2:$H$5000,"&gt;="&amp;DATE(VALUE(LEFT($B7,4)),1,1),Project_Activity!$H$2:$H$5000,"&lt;="&amp;EOMONTH(DATE(VALUE(LEFT($B7,4)),VALUE(RIGHT($B7,1))*3,1),0)))</f>
        <v>0</v>
      </c>
      <c r="Q7" s="94" t="n">
        <f aca="false">IF($C7="","",SUMIFS(Project_Activity!$P$2:$P$5000,Project_Activity!$C$2:$C$5000,$C7,Project_Activity!$U$2:$U$5000,"Project Inclusive",Project_Activity!$H$2:$H$5000,"&gt;="&amp;DATE(VALUE(LEFT($B7,4)),1,1),Project_Activity!$H$2:$H$5000,"&lt;="&amp;EOMONTH(DATE(VALUE(LEFT($B7,4)),VALUE(RIGHT($B7,1))*3,1),0)))</f>
        <v>0</v>
      </c>
      <c r="R7" s="94" t="n">
        <f aca="false">IF($C7="","",SUMIFS(Project_Activity!$P$2:$P$5000,Project_Activity!$C$2:$C$5000,$C7,Project_Activity!$U$2:$U$5000,"Non-Recoverable",Project_Activity!$H$2:$H$5000,"&gt;="&amp;DATE(VALUE(LEFT($B7,4)),1,1),Project_Activity!$H$2:$H$5000,"&lt;="&amp;EOMONTH(DATE(VALUE(LEFT($B7,4)),VALUE(RIGHT($B7,1))*3,1),0)))</f>
        <v>0</v>
      </c>
      <c r="S7" s="94" t="n">
        <f aca="false">IF($C7="","",$O7-$P7-$Q7-$R7)</f>
        <v>130227.27</v>
      </c>
      <c r="T7" s="94" t="n">
        <f aca="false">IF($C7="","",SUMIFS(Project_Activity!$P$2:$P$5000,Project_Activity!$C$2:$C$5000,$C7,Project_Activity!$U$2:$U$5000,"Recoverable",Project_Activity!$H$2:$H$5000,"&gt;="&amp;DATE(VALUE(LEFT($B7,4)),1,1),Project_Activity!$H$2:$H$5000,"&lt;="&amp;EOMONTH(DATE(VALUE(LEFT($B7,4)),VALUE(RIGHT($B7,1))*3,1),0)))</f>
        <v>0</v>
      </c>
      <c r="U7" s="94" t="n">
        <f aca="false">IF($C7="","",-SUMIFS(Project_Activity!$P$2:$P$5000,Project_Activity!$C$2:$C$5000,$C7,Project_Activity!$U$2:$U$5000,"Recovered Expenses",Project_Activity!$H$2:$H$5000,"&gt;="&amp;DATE(VALUE(LEFT($B7,4)),1,1),Project_Activity!$H$2:$H$5000,"&lt;="&amp;EOMONTH(DATE(VALUE(LEFT($B7,4)),VALUE(RIGHT($B7,1))*3,1),0)))</f>
        <v>-0</v>
      </c>
      <c r="V7" s="145" t="n">
        <v>1</v>
      </c>
      <c r="W7" s="94" t="n">
        <f aca="false">IF($C7="","",$V7*$N7)</f>
        <v>88275</v>
      </c>
      <c r="X7" s="145" t="n">
        <v>0</v>
      </c>
      <c r="Y7" s="94" t="n">
        <f aca="false">IF($C7="","",$X7*$N7)</f>
        <v>0</v>
      </c>
      <c r="Z7" s="145" t="n">
        <v>0</v>
      </c>
      <c r="AA7" s="94" t="n">
        <f aca="false">IF($C7="","",$Z7*$N7)</f>
        <v>0</v>
      </c>
      <c r="AB7" s="145" t="n">
        <v>0</v>
      </c>
      <c r="AC7" s="94" t="n">
        <f aca="false">IF($C7="","",$AB7*$N7)</f>
        <v>0</v>
      </c>
      <c r="AD7" s="94" t="n">
        <f aca="false">IF($C7="","",SUMPRODUCT((VALUE(MID($B7,7,1))&gt;={1,2,3,4})*CHOOSE({1,2,3,4},$W7,$Y7,$AA7,$AC7)))</f>
        <v>88275</v>
      </c>
      <c r="AE7" s="94" t="n">
        <f aca="false">IF($C7="","",$W7+$Y7+$AA7+$AC7-$AD7)</f>
        <v>0</v>
      </c>
      <c r="AF7" s="146"/>
      <c r="AG7" s="146"/>
      <c r="AH7" s="146" t="s">
        <v>1204</v>
      </c>
      <c r="AI7" s="147" t="str">
        <f aca="false">IF($C7="","",IF(OR($L7="Pipeline",$N7&lt;0,$O7&gt;$N7+1,($V7+$X7+$Z7+$AB7)&gt;1.0001,ISNUMBER(SEARCH("not signed",$AF7))),"REVIEW","OK"))</f>
        <v>REVIEW</v>
      </c>
    </row>
    <row r="8" customFormat="false" ht="13.5" hidden="false" customHeight="false" outlineLevel="0" collapsed="false">
      <c r="A8" s="95" t="str">
        <f aca="false">IF($C8="","",Controls!$B$7)</f>
        <v>PCGH</v>
      </c>
      <c r="B8" s="95" t="str">
        <f aca="false">IF($C8="","",Controls!$B$30)</f>
        <v>2026-Q2</v>
      </c>
      <c r="C8" s="95" t="str">
        <f aca="false">IF(MM_Income!$A11="","",MM_Income!$A11)</f>
        <v>PCGH769</v>
      </c>
      <c r="D8" s="95" t="str">
        <f aca="false">IF($C8="","",INDEX(MM_Income!$B$5:$B$204,MATCH($C8,MM_Income!$A$5:$A$204,0)))</f>
        <v>BPL_HCV_HCSA Assessment &amp; GHG</v>
      </c>
      <c r="E8" s="95" t="str">
        <f aca="false">IF($C8="","",INDEX(MM_Income!$C$5:$C$204,MATCH($C8,MM_Income!$A$5:$A$204,0)))</f>
        <v>Responsible Production</v>
      </c>
      <c r="F8" s="95" t="str">
        <f aca="false">IF($C8="","",INDEX(MM_Income!$F$5:$F$204,MATCH($C8,MM_Income!$A$5:$A$204,0)))</f>
        <v>Responsible Production</v>
      </c>
      <c r="G8" s="95" t="str">
        <f aca="false">IF($C8="","",INDEX(MM_Income!$G$5:$G$204,MATCH($C8,MM_Income!$A$5:$A$204,0)))</f>
        <v>External</v>
      </c>
      <c r="H8" s="95" t="str">
        <f aca="false">IF($C8="","",INDEX(MM_Income!$H$5:$H$204,MATCH($C8,MM_Income!$A$5:$A$204,0)))</f>
        <v>Oil Palm</v>
      </c>
      <c r="I8" s="95" t="str">
        <f aca="false">IF($C8="","",INDEX(MM_Income!$I$5:$I$204,MATCH($C8,MM_Income!$A$5:$A$204,0)))</f>
        <v>BPL</v>
      </c>
      <c r="J8" s="95" t="str">
        <f aca="false">IF($C8="","",INDEX(MM_Income!$D$5:$D$204,MATCH($C8,MM_Income!$A$5:$A$204,0)))</f>
        <v>SD</v>
      </c>
      <c r="K8" s="95" t="str">
        <f aca="false">IF($C8="","",INDEX(MM_Income!$E$5:$E$204,MATCH($C8,MM_Income!$A$5:$A$204,0)))</f>
        <v>Completed</v>
      </c>
      <c r="L8" s="95" t="str">
        <f aca="false">IF($C8="","",INDEX(MM_Income!$U$5:$U$204,MATCH($C8,MM_Income!$A$5:$A$204,0)))</f>
        <v>Secured</v>
      </c>
      <c r="M8" s="143" t="n">
        <f aca="false">IF($C8="","",INDEX(MM_Income!$V$5:$V$204,MATCH($C8,MM_Income!$A$5:$A$204,0)))</f>
        <v>1</v>
      </c>
      <c r="N8" s="144" t="n">
        <f aca="false">IF($C8="","",INDEX(MM_Income!$T$5:$T$204,MATCH($C8,MM_Income!$A$5:$A$204,0)))</f>
        <v>204798</v>
      </c>
      <c r="O8" s="94" t="n">
        <f aca="false">IF($C8="","",-SUMIFS(Project_Activity!$P$2:$P$5000,Project_Activity!$C$2:$C$5000,$C8,Project_Activity!$U$2:$U$5000,"Invoiced Income",Project_Activity!$H$2:$H$5000,"&gt;="&amp;DATE(VALUE(LEFT($B8,4)),1,1),Project_Activity!$H$2:$H$5000,"&lt;="&amp;EOMONTH(DATE(VALUE(LEFT($B8,4)),VALUE(RIGHT($B8,1))*3,1),0)))</f>
        <v>217238.33</v>
      </c>
      <c r="P8" s="94" t="n">
        <f aca="false">IF($C8="","",SUMIFS(Project_Activity!$P$2:$P$5000,Project_Activity!$C$2:$C$5000,$C8,Project_Activity!$U$2:$U$5000,"Subcontractor",Project_Activity!$H$2:$H$5000,"&gt;="&amp;DATE(VALUE(LEFT($B8,4)),1,1),Project_Activity!$H$2:$H$5000,"&lt;="&amp;EOMONTH(DATE(VALUE(LEFT($B8,4)),VALUE(RIGHT($B8,1))*3,1),0)))</f>
        <v>0</v>
      </c>
      <c r="Q8" s="94" t="n">
        <f aca="false">IF($C8="","",SUMIFS(Project_Activity!$P$2:$P$5000,Project_Activity!$C$2:$C$5000,$C8,Project_Activity!$U$2:$U$5000,"Project Inclusive",Project_Activity!$H$2:$H$5000,"&gt;="&amp;DATE(VALUE(LEFT($B8,4)),1,1),Project_Activity!$H$2:$H$5000,"&lt;="&amp;EOMONTH(DATE(VALUE(LEFT($B8,4)),VALUE(RIGHT($B8,1))*3,1),0)))</f>
        <v>0</v>
      </c>
      <c r="R8" s="94" t="n">
        <f aca="false">IF($C8="","",SUMIFS(Project_Activity!$P$2:$P$5000,Project_Activity!$C$2:$C$5000,$C8,Project_Activity!$U$2:$U$5000,"Non-Recoverable",Project_Activity!$H$2:$H$5000,"&gt;="&amp;DATE(VALUE(LEFT($B8,4)),1,1),Project_Activity!$H$2:$H$5000,"&lt;="&amp;EOMONTH(DATE(VALUE(LEFT($B8,4)),VALUE(RIGHT($B8,1))*3,1),0)))</f>
        <v>36460.04</v>
      </c>
      <c r="S8" s="94" t="n">
        <f aca="false">IF($C8="","",$O8-$P8-$Q8-$R8)</f>
        <v>180778.29</v>
      </c>
      <c r="T8" s="94" t="n">
        <f aca="false">IF($C8="","",SUMIFS(Project_Activity!$P$2:$P$5000,Project_Activity!$C$2:$C$5000,$C8,Project_Activity!$U$2:$U$5000,"Recoverable",Project_Activity!$H$2:$H$5000,"&gt;="&amp;DATE(VALUE(LEFT($B8,4)),1,1),Project_Activity!$H$2:$H$5000,"&lt;="&amp;EOMONTH(DATE(VALUE(LEFT($B8,4)),VALUE(RIGHT($B8,1))*3,1),0)))</f>
        <v>0</v>
      </c>
      <c r="U8" s="94" t="n">
        <f aca="false">IF($C8="","",-SUMIFS(Project_Activity!$P$2:$P$5000,Project_Activity!$C$2:$C$5000,$C8,Project_Activity!$U$2:$U$5000,"Recovered Expenses",Project_Activity!$H$2:$H$5000,"&gt;="&amp;DATE(VALUE(LEFT($B8,4)),1,1),Project_Activity!$H$2:$H$5000,"&lt;="&amp;EOMONTH(DATE(VALUE(LEFT($B8,4)),VALUE(RIGHT($B8,1))*3,1),0)))</f>
        <v>113779.54</v>
      </c>
      <c r="V8" s="145" t="n">
        <v>0.8</v>
      </c>
      <c r="W8" s="94" t="n">
        <f aca="false">IF($C8="","",$V8*$N8)</f>
        <v>163838.4</v>
      </c>
      <c r="X8" s="145" t="n">
        <v>0.2</v>
      </c>
      <c r="Y8" s="94" t="n">
        <f aca="false">IF($C8="","",$X8*$N8)</f>
        <v>40959.6</v>
      </c>
      <c r="Z8" s="145" t="n">
        <v>0</v>
      </c>
      <c r="AA8" s="94" t="n">
        <f aca="false">IF($C8="","",$Z8*$N8)</f>
        <v>0</v>
      </c>
      <c r="AB8" s="145" t="n">
        <v>0</v>
      </c>
      <c r="AC8" s="94" t="n">
        <f aca="false">IF($C8="","",$AB8*$N8)</f>
        <v>0</v>
      </c>
      <c r="AD8" s="94" t="n">
        <f aca="false">IF($C8="","",SUMPRODUCT((VALUE(MID($B8,7,1))&gt;={1,2,3,4})*CHOOSE({1,2,3,4},$W8,$Y8,$AA8,$AC8)))</f>
        <v>204798</v>
      </c>
      <c r="AE8" s="94" t="n">
        <f aca="false">IF($C8="","",$W8+$Y8+$AA8+$AC8-$AD8)</f>
        <v>0</v>
      </c>
      <c r="AF8" s="146"/>
      <c r="AG8" s="146"/>
      <c r="AH8" s="146" t="s">
        <v>1204</v>
      </c>
      <c r="AI8" s="147" t="str">
        <f aca="false">IF($C8="","",IF(OR($L8="Pipeline",$N8&lt;0,$O8&gt;$N8+1,($V8+$X8+$Z8+$AB8)&gt;1.0001,ISNUMBER(SEARCH("not signed",$AF8))),"REVIEW","OK"))</f>
        <v>REVIEW</v>
      </c>
    </row>
    <row r="9" customFormat="false" ht="13.5" hidden="false" customHeight="false" outlineLevel="0" collapsed="false">
      <c r="A9" s="95" t="str">
        <f aca="false">IF($C9="","",Controls!$B$7)</f>
        <v>PCGH</v>
      </c>
      <c r="B9" s="95" t="str">
        <f aca="false">IF($C9="","",Controls!$B$30)</f>
        <v>2026-Q2</v>
      </c>
      <c r="C9" s="95" t="str">
        <f aca="false">IF(MM_Income!$A12="","",MM_Income!$A12)</f>
        <v>PCGH772</v>
      </c>
      <c r="D9" s="95" t="str">
        <f aca="false">IF($C9="","",INDEX(MM_Income!$B$5:$B$204,MATCH($C9,MM_Income!$A$5:$A$204,0)))</f>
        <v>Presco Ext III_HCV_HCSA Assessment</v>
      </c>
      <c r="E9" s="95" t="str">
        <f aca="false">IF($C9="","",INDEX(MM_Income!$C$5:$C$204,MATCH($C9,MM_Income!$A$5:$A$204,0)))</f>
        <v>Responsible Production</v>
      </c>
      <c r="F9" s="95" t="str">
        <f aca="false">IF($C9="","",INDEX(MM_Income!$F$5:$F$204,MATCH($C9,MM_Income!$A$5:$A$204,0)))</f>
        <v>Responsible Production</v>
      </c>
      <c r="G9" s="95" t="str">
        <f aca="false">IF($C9="","",INDEX(MM_Income!$G$5:$G$204,MATCH($C9,MM_Income!$A$5:$A$204,0)))</f>
        <v>External</v>
      </c>
      <c r="H9" s="95" t="str">
        <f aca="false">IF($C9="","",INDEX(MM_Income!$H$5:$H$204,MATCH($C9,MM_Income!$A$5:$A$204,0)))</f>
        <v>Oil Palm</v>
      </c>
      <c r="I9" s="95" t="str">
        <f aca="false">IF($C9="","",INDEX(MM_Income!$I$5:$I$204,MATCH($C9,MM_Income!$A$5:$A$204,0)))</f>
        <v>Presco</v>
      </c>
      <c r="J9" s="95" t="str">
        <f aca="false">IF($C9="","",INDEX(MM_Income!$D$5:$D$204,MATCH($C9,MM_Income!$A$5:$A$204,0)))</f>
        <v>SD</v>
      </c>
      <c r="K9" s="95" t="str">
        <f aca="false">IF($C9="","",INDEX(MM_Income!$E$5:$E$204,MATCH($C9,MM_Income!$A$5:$A$204,0)))</f>
        <v>Current</v>
      </c>
      <c r="L9" s="95" t="str">
        <f aca="false">IF($C9="","",INDEX(MM_Income!$U$5:$U$204,MATCH($C9,MM_Income!$A$5:$A$204,0)))</f>
        <v>Secured</v>
      </c>
      <c r="M9" s="143" t="n">
        <f aca="false">IF($C9="","",INDEX(MM_Income!$V$5:$V$204,MATCH($C9,MM_Income!$A$5:$A$204,0)))</f>
        <v>1</v>
      </c>
      <c r="N9" s="144" t="n">
        <f aca="false">IF($C9="","",INDEX(MM_Income!$T$5:$T$204,MATCH($C9,MM_Income!$A$5:$A$204,0)))</f>
        <v>133536</v>
      </c>
      <c r="O9" s="94" t="n">
        <f aca="false">IF($C9="","",-SUMIFS(Project_Activity!$P$2:$P$5000,Project_Activity!$C$2:$C$5000,$C9,Project_Activity!$U$2:$U$5000,"Invoiced Income",Project_Activity!$H$2:$H$5000,"&gt;="&amp;DATE(VALUE(LEFT($B9,4)),1,1),Project_Activity!$H$2:$H$5000,"&lt;="&amp;EOMONTH(DATE(VALUE(LEFT($B9,4)),VALUE(RIGHT($B9,1))*3,1),0)))</f>
        <v>-0</v>
      </c>
      <c r="P9" s="94" t="n">
        <f aca="false">IF($C9="","",SUMIFS(Project_Activity!$P$2:$P$5000,Project_Activity!$C$2:$C$5000,$C9,Project_Activity!$U$2:$U$5000,"Subcontractor",Project_Activity!$H$2:$H$5000,"&gt;="&amp;DATE(VALUE(LEFT($B9,4)),1,1),Project_Activity!$H$2:$H$5000,"&lt;="&amp;EOMONTH(DATE(VALUE(LEFT($B9,4)),VALUE(RIGHT($B9,1))*3,1),0)))</f>
        <v>32099.98</v>
      </c>
      <c r="Q9" s="94" t="n">
        <f aca="false">IF($C9="","",SUMIFS(Project_Activity!$P$2:$P$5000,Project_Activity!$C$2:$C$5000,$C9,Project_Activity!$U$2:$U$5000,"Project Inclusive",Project_Activity!$H$2:$H$5000,"&gt;="&amp;DATE(VALUE(LEFT($B9,4)),1,1),Project_Activity!$H$2:$H$5000,"&lt;="&amp;EOMONTH(DATE(VALUE(LEFT($B9,4)),VALUE(RIGHT($B9,1))*3,1),0)))</f>
        <v>0</v>
      </c>
      <c r="R9" s="94" t="n">
        <f aca="false">IF($C9="","",SUMIFS(Project_Activity!$P$2:$P$5000,Project_Activity!$C$2:$C$5000,$C9,Project_Activity!$U$2:$U$5000,"Non-Recoverable",Project_Activity!$H$2:$H$5000,"&gt;="&amp;DATE(VALUE(LEFT($B9,4)),1,1),Project_Activity!$H$2:$H$5000,"&lt;="&amp;EOMONTH(DATE(VALUE(LEFT($B9,4)),VALUE(RIGHT($B9,1))*3,1),0)))</f>
        <v>0</v>
      </c>
      <c r="S9" s="94" t="n">
        <f aca="false">IF($C9="","",$O9-$P9-$Q9-$R9)</f>
        <v>-32099.98</v>
      </c>
      <c r="T9" s="94" t="n">
        <f aca="false">IF($C9="","",SUMIFS(Project_Activity!$P$2:$P$5000,Project_Activity!$C$2:$C$5000,$C9,Project_Activity!$U$2:$U$5000,"Recoverable",Project_Activity!$H$2:$H$5000,"&gt;="&amp;DATE(VALUE(LEFT($B9,4)),1,1),Project_Activity!$H$2:$H$5000,"&lt;="&amp;EOMONTH(DATE(VALUE(LEFT($B9,4)),VALUE(RIGHT($B9,1))*3,1),0)))</f>
        <v>1974.45</v>
      </c>
      <c r="U9" s="94" t="n">
        <f aca="false">IF($C9="","",-SUMIFS(Project_Activity!$P$2:$P$5000,Project_Activity!$C$2:$C$5000,$C9,Project_Activity!$U$2:$U$5000,"Recovered Expenses",Project_Activity!$H$2:$H$5000,"&gt;="&amp;DATE(VALUE(LEFT($B9,4)),1,1),Project_Activity!$H$2:$H$5000,"&lt;="&amp;EOMONTH(DATE(VALUE(LEFT($B9,4)),VALUE(RIGHT($B9,1))*3,1),0)))</f>
        <v>-0</v>
      </c>
      <c r="V9" s="145" t="n">
        <v>0.6</v>
      </c>
      <c r="W9" s="94" t="n">
        <f aca="false">IF($C9="","",$V9*$N9)</f>
        <v>80121.6</v>
      </c>
      <c r="X9" s="145" t="n">
        <v>0.1</v>
      </c>
      <c r="Y9" s="94" t="n">
        <f aca="false">IF($C9="","",$X9*$N9)</f>
        <v>13353.6</v>
      </c>
      <c r="Z9" s="145" t="n">
        <v>0.1</v>
      </c>
      <c r="AA9" s="94" t="n">
        <f aca="false">IF($C9="","",$Z9*$N9)</f>
        <v>13353.6</v>
      </c>
      <c r="AB9" s="145" t="n">
        <v>0.2</v>
      </c>
      <c r="AC9" s="94" t="n">
        <f aca="false">IF($C9="","",$AB9*$N9)</f>
        <v>26707.2</v>
      </c>
      <c r="AD9" s="94" t="n">
        <f aca="false">IF($C9="","",SUMPRODUCT((VALUE(MID($B9,7,1))&gt;={1,2,3,4})*CHOOSE({1,2,3,4},$W9,$Y9,$AA9,$AC9)))</f>
        <v>93475.2</v>
      </c>
      <c r="AE9" s="94" t="n">
        <f aca="false">IF($C9="","",$W9+$Y9+$AA9+$AC9-$AD9)</f>
        <v>40060.8</v>
      </c>
      <c r="AF9" s="146"/>
      <c r="AG9" s="146"/>
      <c r="AH9" s="146" t="s">
        <v>844</v>
      </c>
      <c r="AI9" s="147" t="str">
        <f aca="false">IF($C9="","",IF(OR($L9="Pipeline",$N9&lt;0,$O9&gt;$N9+1,($V9+$X9+$Z9+$AB9)&gt;1.0001,ISNUMBER(SEARCH("not signed",$AF9))),"REVIEW","OK"))</f>
        <v>OK</v>
      </c>
    </row>
    <row r="10" customFormat="false" ht="13.5" hidden="false" customHeight="false" outlineLevel="0" collapsed="false">
      <c r="A10" s="95" t="str">
        <f aca="false">IF($C10="","",Controls!$B$7)</f>
        <v>PCGH</v>
      </c>
      <c r="B10" s="95" t="str">
        <f aca="false">IF($C10="","",Controls!$B$30)</f>
        <v>2026-Q2</v>
      </c>
      <c r="C10" s="95" t="str">
        <f aca="false">IF(MM_Income!$A13="","",MM_Income!$A13)</f>
        <v>PCGH773</v>
      </c>
      <c r="D10" s="95" t="str">
        <f aca="false">IF($C10="","",INDEX(MM_Income!$B$5:$B$204,MATCH($C10,MM_Income!$A$5:$A$204,0)))</f>
        <v>Basrnsley 1&amp; 2 LUCA &amp; GHG Assessment</v>
      </c>
      <c r="E10" s="95" t="str">
        <f aca="false">IF($C10="","",INDEX(MM_Income!$C$5:$C$204,MATCH($C10,MM_Income!$A$5:$A$204,0)))</f>
        <v>Responsible Production</v>
      </c>
      <c r="F10" s="95" t="str">
        <f aca="false">IF($C10="","",INDEX(MM_Income!$F$5:$F$204,MATCH($C10,MM_Income!$A$5:$A$204,0)))</f>
        <v>Responsible Production</v>
      </c>
      <c r="G10" s="95" t="str">
        <f aca="false">IF($C10="","",INDEX(MM_Income!$G$5:$G$204,MATCH($C10,MM_Income!$A$5:$A$204,0)))</f>
        <v>External</v>
      </c>
      <c r="H10" s="95" t="str">
        <f aca="false">IF($C10="","",INDEX(MM_Income!$H$5:$H$204,MATCH($C10,MM_Income!$A$5:$A$204,0)))</f>
        <v>Oil Palm</v>
      </c>
      <c r="I10" s="95" t="str">
        <f aca="false">IF($C10="","",INDEX(MM_Income!$I$5:$I$204,MATCH($C10,MM_Income!$A$5:$A$204,0)))</f>
        <v>Barnsley</v>
      </c>
      <c r="J10" s="95" t="str">
        <f aca="false">IF($C10="","",INDEX(MM_Income!$D$5:$D$204,MATCH($C10,MM_Income!$A$5:$A$204,0)))</f>
        <v>SD</v>
      </c>
      <c r="K10" s="95" t="str">
        <f aca="false">IF($C10="","",INDEX(MM_Income!$E$5:$E$204,MATCH($C10,MM_Income!$A$5:$A$204,0)))</f>
        <v>Current</v>
      </c>
      <c r="L10" s="95" t="str">
        <f aca="false">IF($C10="","",INDEX(MM_Income!$U$5:$U$204,MATCH($C10,MM_Income!$A$5:$A$204,0)))</f>
        <v>Secured</v>
      </c>
      <c r="M10" s="143" t="n">
        <f aca="false">IF($C10="","",INDEX(MM_Income!$V$5:$V$204,MATCH($C10,MM_Income!$A$5:$A$204,0)))</f>
        <v>1</v>
      </c>
      <c r="N10" s="144" t="n">
        <f aca="false">IF($C10="","",INDEX(MM_Income!$T$5:$T$204,MATCH($C10,MM_Income!$A$5:$A$204,0)))</f>
        <v>299428.8</v>
      </c>
      <c r="O10" s="94" t="n">
        <f aca="false">IF($C10="","",-SUMIFS(Project_Activity!$P$2:$P$5000,Project_Activity!$C$2:$C$5000,$C10,Project_Activity!$U$2:$U$5000,"Invoiced Income",Project_Activity!$H$2:$H$5000,"&gt;="&amp;DATE(VALUE(LEFT($B10,4)),1,1),Project_Activity!$H$2:$H$5000,"&lt;="&amp;EOMONTH(DATE(VALUE(LEFT($B10,4)),VALUE(RIGHT($B10,1))*3,1),0)))</f>
        <v>-0</v>
      </c>
      <c r="P10" s="94" t="n">
        <f aca="false">IF($C10="","",SUMIFS(Project_Activity!$P$2:$P$5000,Project_Activity!$C$2:$C$5000,$C10,Project_Activity!$U$2:$U$5000,"Subcontractor",Project_Activity!$H$2:$H$5000,"&gt;="&amp;DATE(VALUE(LEFT($B10,4)),1,1),Project_Activity!$H$2:$H$5000,"&lt;="&amp;EOMONTH(DATE(VALUE(LEFT($B10,4)),VALUE(RIGHT($B10,1))*3,1),0)))</f>
        <v>0</v>
      </c>
      <c r="Q10" s="94" t="n">
        <f aca="false">IF($C10="","",SUMIFS(Project_Activity!$P$2:$P$5000,Project_Activity!$C$2:$C$5000,$C10,Project_Activity!$U$2:$U$5000,"Project Inclusive",Project_Activity!$H$2:$H$5000,"&gt;="&amp;DATE(VALUE(LEFT($B10,4)),1,1),Project_Activity!$H$2:$H$5000,"&lt;="&amp;EOMONTH(DATE(VALUE(LEFT($B10,4)),VALUE(RIGHT($B10,1))*3,1),0)))</f>
        <v>0</v>
      </c>
      <c r="R10" s="94" t="n">
        <f aca="false">IF($C10="","",SUMIFS(Project_Activity!$P$2:$P$5000,Project_Activity!$C$2:$C$5000,$C10,Project_Activity!$U$2:$U$5000,"Non-Recoverable",Project_Activity!$H$2:$H$5000,"&gt;="&amp;DATE(VALUE(LEFT($B10,4)),1,1),Project_Activity!$H$2:$H$5000,"&lt;="&amp;EOMONTH(DATE(VALUE(LEFT($B10,4)),VALUE(RIGHT($B10,1))*3,1),0)))</f>
        <v>0</v>
      </c>
      <c r="S10" s="94" t="n">
        <f aca="false">IF($C10="","",$O10-$P10-$Q10-$R10)</f>
        <v>-0</v>
      </c>
      <c r="T10" s="94" t="n">
        <f aca="false">IF($C10="","",SUMIFS(Project_Activity!$P$2:$P$5000,Project_Activity!$C$2:$C$5000,$C10,Project_Activity!$U$2:$U$5000,"Recoverable",Project_Activity!$H$2:$H$5000,"&gt;="&amp;DATE(VALUE(LEFT($B10,4)),1,1),Project_Activity!$H$2:$H$5000,"&lt;="&amp;EOMONTH(DATE(VALUE(LEFT($B10,4)),VALUE(RIGHT($B10,1))*3,1),0)))</f>
        <v>0</v>
      </c>
      <c r="U10" s="94" t="n">
        <f aca="false">IF($C10="","",-SUMIFS(Project_Activity!$P$2:$P$5000,Project_Activity!$C$2:$C$5000,$C10,Project_Activity!$U$2:$U$5000,"Recovered Expenses",Project_Activity!$H$2:$H$5000,"&gt;="&amp;DATE(VALUE(LEFT($B10,4)),1,1),Project_Activity!$H$2:$H$5000,"&lt;="&amp;EOMONTH(DATE(VALUE(LEFT($B10,4)),VALUE(RIGHT($B10,1))*3,1),0)))</f>
        <v>-0</v>
      </c>
      <c r="V10" s="145" t="n">
        <v>0.5</v>
      </c>
      <c r="W10" s="94" t="n">
        <f aca="false">IF($C10="","",$V10*$N10)</f>
        <v>149714.4</v>
      </c>
      <c r="X10" s="145" t="n">
        <v>0</v>
      </c>
      <c r="Y10" s="94" t="n">
        <f aca="false">IF($C10="","",$X10*$N10)</f>
        <v>0</v>
      </c>
      <c r="Z10" s="145" t="n">
        <v>0</v>
      </c>
      <c r="AA10" s="94" t="n">
        <f aca="false">IF($C10="","",$Z10*$N10)</f>
        <v>0</v>
      </c>
      <c r="AB10" s="145" t="n">
        <v>0.2</v>
      </c>
      <c r="AC10" s="94" t="n">
        <f aca="false">IF($C10="","",$AB10*$N10)</f>
        <v>59885.76</v>
      </c>
      <c r="AD10" s="94" t="n">
        <f aca="false">IF($C10="","",SUMPRODUCT((VALUE(MID($B10,7,1))&gt;={1,2,3,4})*CHOOSE({1,2,3,4},$W10,$Y10,$AA10,$AC10)))</f>
        <v>149714.4</v>
      </c>
      <c r="AE10" s="94" t="n">
        <f aca="false">IF($C10="","",$W10+$Y10+$AA10+$AC10-$AD10)</f>
        <v>59885.76</v>
      </c>
      <c r="AF10" s="146"/>
      <c r="AG10" s="146"/>
      <c r="AH10" s="146" t="s">
        <v>844</v>
      </c>
      <c r="AI10" s="147" t="str">
        <f aca="false">IF($C10="","",IF(OR($L10="Pipeline",$N10&lt;0,$O10&gt;$N10+1,($V10+$X10+$Z10+$AB10)&gt;1.0001,ISNUMBER(SEARCH("not signed",$AF10))),"REVIEW","OK"))</f>
        <v>OK</v>
      </c>
    </row>
    <row r="11" customFormat="false" ht="13.5" hidden="false" customHeight="false" outlineLevel="0" collapsed="false">
      <c r="A11" s="95" t="str">
        <f aca="false">IF($C11="","",Controls!$B$7)</f>
        <v>PCGH</v>
      </c>
      <c r="B11" s="95" t="str">
        <f aca="false">IF($C11="","",Controls!$B$30)</f>
        <v>2026-Q2</v>
      </c>
      <c r="C11" s="95" t="str">
        <f aca="false">IF(MM_Income!$A14="","",MM_Income!$A14)</f>
        <v>PCGH774</v>
      </c>
      <c r="D11" s="95" t="str">
        <f aca="false">IF($C11="","",INDEX(MM_Income!$B$5:$B$204,MATCH($C11,MM_Income!$A$5:$A$204,0)))</f>
        <v>Evaluation_Deep-Dive_action Plan by Socfin Group</v>
      </c>
      <c r="E11" s="95" t="str">
        <f aca="false">IF($C11="","",INDEX(MM_Income!$C$5:$C$204,MATCH($C11,MM_Income!$A$5:$A$204,0)))</f>
        <v>Responsible Production</v>
      </c>
      <c r="F11" s="95" t="str">
        <f aca="false">IF($C11="","",INDEX(MM_Income!$F$5:$F$204,MATCH($C11,MM_Income!$A$5:$A$204,0)))</f>
        <v>Responsible Production</v>
      </c>
      <c r="G11" s="95" t="str">
        <f aca="false">IF($C11="","",INDEX(MM_Income!$G$5:$G$204,MATCH($C11,MM_Income!$A$5:$A$204,0)))</f>
        <v>External</v>
      </c>
      <c r="H11" s="95" t="str">
        <f aca="false">IF($C11="","",INDEX(MM_Income!$H$5:$H$204,MATCH($C11,MM_Income!$A$5:$A$204,0)))</f>
        <v>Oil Palm</v>
      </c>
      <c r="I11" s="95" t="str">
        <f aca="false">IF($C11="","",INDEX(MM_Income!$I$5:$I$204,MATCH($C11,MM_Income!$A$5:$A$204,0)))</f>
        <v>Socfin Group</v>
      </c>
      <c r="J11" s="95" t="str">
        <f aca="false">IF($C11="","",INDEX(MM_Income!$D$5:$D$204,MATCH($C11,MM_Income!$A$5:$A$204,0)))</f>
        <v>Abe</v>
      </c>
      <c r="K11" s="95" t="str">
        <f aca="false">IF($C11="","",INDEX(MM_Income!$E$5:$E$204,MATCH($C11,MM_Income!$A$5:$A$204,0)))</f>
        <v>Completed</v>
      </c>
      <c r="L11" s="95" t="str">
        <f aca="false">IF($C11="","",INDEX(MM_Income!$U$5:$U$204,MATCH($C11,MM_Income!$A$5:$A$204,0)))</f>
        <v>Secured</v>
      </c>
      <c r="M11" s="143" t="n">
        <f aca="false">IF($C11="","",INDEX(MM_Income!$V$5:$V$204,MATCH($C11,MM_Income!$A$5:$A$204,0)))</f>
        <v>1</v>
      </c>
      <c r="N11" s="144" t="n">
        <f aca="false">IF($C11="","",INDEX(MM_Income!$T$5:$T$204,MATCH($C11,MM_Income!$A$5:$A$204,0)))</f>
        <v>1494469</v>
      </c>
      <c r="O11" s="94" t="n">
        <f aca="false">IF($C11="","",-SUMIFS(Project_Activity!$P$2:$P$5000,Project_Activity!$C$2:$C$5000,$C11,Project_Activity!$U$2:$U$5000,"Invoiced Income",Project_Activity!$H$2:$H$5000,"&gt;="&amp;DATE(VALUE(LEFT($B11,4)),1,1),Project_Activity!$H$2:$H$5000,"&lt;="&amp;EOMONTH(DATE(VALUE(LEFT($B11,4)),VALUE(RIGHT($B11,1))*3,1),0)))</f>
        <v>786124.25</v>
      </c>
      <c r="P11" s="94" t="n">
        <f aca="false">IF($C11="","",SUMIFS(Project_Activity!$P$2:$P$5000,Project_Activity!$C$2:$C$5000,$C11,Project_Activity!$U$2:$U$5000,"Subcontractor",Project_Activity!$H$2:$H$5000,"&gt;="&amp;DATE(VALUE(LEFT($B11,4)),1,1),Project_Activity!$H$2:$H$5000,"&lt;="&amp;EOMONTH(DATE(VALUE(LEFT($B11,4)),VALUE(RIGHT($B11,1))*3,1),0)))</f>
        <v>117400.33</v>
      </c>
      <c r="Q11" s="94" t="n">
        <f aca="false">IF($C11="","",SUMIFS(Project_Activity!$P$2:$P$5000,Project_Activity!$C$2:$C$5000,$C11,Project_Activity!$U$2:$U$5000,"Project Inclusive",Project_Activity!$H$2:$H$5000,"&gt;="&amp;DATE(VALUE(LEFT($B11,4)),1,1),Project_Activity!$H$2:$H$5000,"&lt;="&amp;EOMONTH(DATE(VALUE(LEFT($B11,4)),VALUE(RIGHT($B11,1))*3,1),0)))</f>
        <v>0</v>
      </c>
      <c r="R11" s="94" t="n">
        <f aca="false">IF($C11="","",SUMIFS(Project_Activity!$P$2:$P$5000,Project_Activity!$C$2:$C$5000,$C11,Project_Activity!$U$2:$U$5000,"Non-Recoverable",Project_Activity!$H$2:$H$5000,"&gt;="&amp;DATE(VALUE(LEFT($B11,4)),1,1),Project_Activity!$H$2:$H$5000,"&lt;="&amp;EOMONTH(DATE(VALUE(LEFT($B11,4)),VALUE(RIGHT($B11,1))*3,1),0)))</f>
        <v>0</v>
      </c>
      <c r="S11" s="94" t="n">
        <f aca="false">IF($C11="","",$O11-$P11-$Q11-$R11)</f>
        <v>668723.92</v>
      </c>
      <c r="T11" s="94" t="n">
        <f aca="false">IF($C11="","",SUMIFS(Project_Activity!$P$2:$P$5000,Project_Activity!$C$2:$C$5000,$C11,Project_Activity!$U$2:$U$5000,"Recoverable",Project_Activity!$H$2:$H$5000,"&gt;="&amp;DATE(VALUE(LEFT($B11,4)),1,1),Project_Activity!$H$2:$H$5000,"&lt;="&amp;EOMONTH(DATE(VALUE(LEFT($B11,4)),VALUE(RIGHT($B11,1))*3,1),0)))</f>
        <v>36524.46</v>
      </c>
      <c r="U11" s="94" t="n">
        <f aca="false">IF($C11="","",-SUMIFS(Project_Activity!$P$2:$P$5000,Project_Activity!$C$2:$C$5000,$C11,Project_Activity!$U$2:$U$5000,"Recovered Expenses",Project_Activity!$H$2:$H$5000,"&gt;="&amp;DATE(VALUE(LEFT($B11,4)),1,1),Project_Activity!$H$2:$H$5000,"&lt;="&amp;EOMONTH(DATE(VALUE(LEFT($B11,4)),VALUE(RIGHT($B11,1))*3,1),0)))</f>
        <v>-0</v>
      </c>
      <c r="V11" s="145" t="n">
        <v>0.45</v>
      </c>
      <c r="W11" s="94" t="n">
        <f aca="false">IF($C11="","",$V11*$N11)</f>
        <v>672511.05</v>
      </c>
      <c r="X11" s="145" t="n">
        <v>0.05</v>
      </c>
      <c r="Y11" s="94" t="n">
        <f aca="false">IF($C11="","",$X11*$N11)</f>
        <v>74723.45</v>
      </c>
      <c r="Z11" s="145" t="n">
        <v>0.25</v>
      </c>
      <c r="AA11" s="94" t="n">
        <f aca="false">IF($C11="","",$Z11*$N11)</f>
        <v>373617.25</v>
      </c>
      <c r="AB11" s="145" t="n">
        <v>0.25</v>
      </c>
      <c r="AC11" s="94" t="n">
        <f aca="false">IF($C11="","",$AB11*$N11)</f>
        <v>373617.25</v>
      </c>
      <c r="AD11" s="94" t="n">
        <f aca="false">IF($C11="","",SUMPRODUCT((VALUE(MID($B11,7,1))&gt;={1,2,3,4})*CHOOSE({1,2,3,4},$W11,$Y11,$AA11,$AC11)))</f>
        <v>747234.5</v>
      </c>
      <c r="AE11" s="94" t="n">
        <f aca="false">IF($C11="","",$W11+$Y11+$AA11+$AC11-$AD11)</f>
        <v>747234.5</v>
      </c>
      <c r="AF11" s="146"/>
      <c r="AG11" s="146"/>
      <c r="AH11" s="146" t="s">
        <v>844</v>
      </c>
      <c r="AI11" s="147" t="str">
        <f aca="false">IF($C11="","",IF(OR($L11="Pipeline",$N11&lt;0,$O11&gt;$N11+1,($V11+$X11+$Z11+$AB11)&gt;1.0001,ISNUMBER(SEARCH("not signed",$AF11))),"REVIEW","OK"))</f>
        <v>OK</v>
      </c>
    </row>
    <row r="12" customFormat="false" ht="13.5" hidden="false" customHeight="false" outlineLevel="0" collapsed="false">
      <c r="A12" s="95" t="str">
        <f aca="false">IF($C12="","",Controls!$B$7)</f>
        <v>PCGH</v>
      </c>
      <c r="B12" s="95" t="str">
        <f aca="false">IF($C12="","",Controls!$B$30)</f>
        <v>2026-Q2</v>
      </c>
      <c r="C12" s="95" t="str">
        <f aca="false">IF(MM_Income!$A15="","",MM_Income!$A15)</f>
        <v>PCGH775</v>
      </c>
      <c r="D12" s="95" t="str">
        <f aca="false">IF($C12="","",INDEX(MM_Income!$B$5:$B$204,MATCH($C12,MM_Income!$A$5:$A$204,0)))</f>
        <v>ESDD OF VALENCY OPERATIONS FOR FMO</v>
      </c>
      <c r="E12" s="95" t="str">
        <f aca="false">IF($C12="","",INDEX(MM_Income!$C$5:$C$204,MATCH($C12,MM_Income!$A$5:$A$204,0)))</f>
        <v>Responsible Finance</v>
      </c>
      <c r="F12" s="95" t="str">
        <f aca="false">IF($C12="","",INDEX(MM_Income!$F$5:$F$204,MATCH($C12,MM_Income!$A$5:$A$204,0)))</f>
        <v>Responsible Finance</v>
      </c>
      <c r="G12" s="95" t="str">
        <f aca="false">IF($C12="","",INDEX(MM_Income!$G$5:$G$204,MATCH($C12,MM_Income!$A$5:$A$204,0)))</f>
        <v>External</v>
      </c>
      <c r="H12" s="95" t="str">
        <f aca="false">IF($C12="","",INDEX(MM_Income!$H$5:$H$204,MATCH($C12,MM_Income!$A$5:$A$204,0)))</f>
        <v>Multiple Commodity</v>
      </c>
      <c r="I12" s="95" t="str">
        <f aca="false">IF($C12="","",INDEX(MM_Income!$I$5:$I$204,MATCH($C12,MM_Income!$A$5:$A$204,0)))</f>
        <v>Valency</v>
      </c>
      <c r="J12" s="95" t="str">
        <f aca="false">IF($C12="","",INDEX(MM_Income!$D$5:$D$204,MATCH($C12,MM_Income!$A$5:$A$204,0)))</f>
        <v>Abe</v>
      </c>
      <c r="K12" s="95" t="str">
        <f aca="false">IF($C12="","",INDEX(MM_Income!$E$5:$E$204,MATCH($C12,MM_Income!$A$5:$A$204,0)))</f>
        <v>Current</v>
      </c>
      <c r="L12" s="95" t="str">
        <f aca="false">IF($C12="","",INDEX(MM_Income!$U$5:$U$204,MATCH($C12,MM_Income!$A$5:$A$204,0)))</f>
        <v>Secured</v>
      </c>
      <c r="M12" s="143" t="n">
        <f aca="false">IF($C12="","",INDEX(MM_Income!$V$5:$V$204,MATCH($C12,MM_Income!$A$5:$A$204,0)))</f>
        <v>1</v>
      </c>
      <c r="N12" s="144" t="n">
        <f aca="false">IF($C12="","",INDEX(MM_Income!$T$5:$T$204,MATCH($C12,MM_Income!$A$5:$A$204,0)))</f>
        <v>603159</v>
      </c>
      <c r="O12" s="94" t="n">
        <f aca="false">IF($C12="","",-SUMIFS(Project_Activity!$P$2:$P$5000,Project_Activity!$C$2:$C$5000,$C12,Project_Activity!$U$2:$U$5000,"Invoiced Income",Project_Activity!$H$2:$H$5000,"&gt;="&amp;DATE(VALUE(LEFT($B12,4)),1,1),Project_Activity!$H$2:$H$5000,"&lt;="&amp;EOMONTH(DATE(VALUE(LEFT($B12,4)),VALUE(RIGHT($B12,1))*3,1),0)))</f>
        <v>641708.64</v>
      </c>
      <c r="P12" s="94" t="n">
        <f aca="false">IF($C12="","",SUMIFS(Project_Activity!$P$2:$P$5000,Project_Activity!$C$2:$C$5000,$C12,Project_Activity!$U$2:$U$5000,"Subcontractor",Project_Activity!$H$2:$H$5000,"&gt;="&amp;DATE(VALUE(LEFT($B12,4)),1,1),Project_Activity!$H$2:$H$5000,"&lt;="&amp;EOMONTH(DATE(VALUE(LEFT($B12,4)),VALUE(RIGHT($B12,1))*3,1),0)))</f>
        <v>0</v>
      </c>
      <c r="Q12" s="94" t="n">
        <f aca="false">IF($C12="","",SUMIFS(Project_Activity!$P$2:$P$5000,Project_Activity!$C$2:$C$5000,$C12,Project_Activity!$U$2:$U$5000,"Project Inclusive",Project_Activity!$H$2:$H$5000,"&gt;="&amp;DATE(VALUE(LEFT($B12,4)),1,1),Project_Activity!$H$2:$H$5000,"&lt;="&amp;EOMONTH(DATE(VALUE(LEFT($B12,4)),VALUE(RIGHT($B12,1))*3,1),0)))</f>
        <v>0</v>
      </c>
      <c r="R12" s="94" t="n">
        <f aca="false">IF($C12="","",SUMIFS(Project_Activity!$P$2:$P$5000,Project_Activity!$C$2:$C$5000,$C12,Project_Activity!$U$2:$U$5000,"Non-Recoverable",Project_Activity!$H$2:$H$5000,"&gt;="&amp;DATE(VALUE(LEFT($B12,4)),1,1),Project_Activity!$H$2:$H$5000,"&lt;="&amp;EOMONTH(DATE(VALUE(LEFT($B12,4)),VALUE(RIGHT($B12,1))*3,1),0)))</f>
        <v>0</v>
      </c>
      <c r="S12" s="94" t="n">
        <v>644209</v>
      </c>
      <c r="T12" s="94" t="n">
        <f aca="false">IF($C12="","",SUMIFS(Project_Activity!$P$2:$P$5000,Project_Activity!$C$2:$C$5000,$C12,Project_Activity!$U$2:$U$5000,"Recoverable",Project_Activity!$H$2:$H$5000,"&gt;="&amp;DATE(VALUE(LEFT($B12,4)),1,1),Project_Activity!$H$2:$H$5000,"&lt;="&amp;EOMONTH(DATE(VALUE(LEFT($B12,4)),VALUE(RIGHT($B12,1))*3,1),0)))</f>
        <v>32943.48</v>
      </c>
      <c r="U12" s="94" t="n">
        <f aca="false">IF($C12="","",-SUMIFS(Project_Activity!$P$2:$P$5000,Project_Activity!$C$2:$C$5000,$C12,Project_Activity!$U$2:$U$5000,"Recovered Expenses",Project_Activity!$H$2:$H$5000,"&gt;="&amp;DATE(VALUE(LEFT($B12,4)),1,1),Project_Activity!$H$2:$H$5000,"&lt;="&amp;EOMONTH(DATE(VALUE(LEFT($B12,4)),VALUE(RIGHT($B12,1))*3,1),0)))</f>
        <v>35444.29</v>
      </c>
      <c r="V12" s="145" t="n">
        <v>0.95</v>
      </c>
      <c r="W12" s="94" t="n">
        <f aca="false">IF($C12="","",$V12*$N12)</f>
        <v>573001.05</v>
      </c>
      <c r="X12" s="145" t="n">
        <v>0.05</v>
      </c>
      <c r="Y12" s="94" t="n">
        <f aca="false">IF($C12="","",$X12*$N12)</f>
        <v>30157.95</v>
      </c>
      <c r="Z12" s="145" t="n">
        <v>0</v>
      </c>
      <c r="AA12" s="94" t="n">
        <f aca="false">IF($C12="","",$Z12*$N12)</f>
        <v>0</v>
      </c>
      <c r="AB12" s="145" t="n">
        <v>0</v>
      </c>
      <c r="AC12" s="94" t="n">
        <f aca="false">IF($C12="","",$AB12*$N12)</f>
        <v>0</v>
      </c>
      <c r="AD12" s="94" t="n">
        <f aca="false">IF($C12="","",SUMPRODUCT((VALUE(MID($B12,7,1))&gt;={1,2,3,4})*CHOOSE({1,2,3,4},$W12,$Y12,$AA12,$AC12)))</f>
        <v>603159</v>
      </c>
      <c r="AE12" s="94" t="n">
        <f aca="false">IF($C12="","",$W12+$Y12+$AA12+$AC12-$AD12)</f>
        <v>0</v>
      </c>
      <c r="AF12" s="146"/>
      <c r="AG12" s="146"/>
      <c r="AH12" s="146" t="s">
        <v>1204</v>
      </c>
      <c r="AI12" s="147" t="str">
        <f aca="false">IF($C12="","",IF(OR($L12="Pipeline",$N12&lt;0,$O12&gt;$N12+1,($V12+$X12+$Z12+$AB12)&gt;1.0001,ISNUMBER(SEARCH("not signed",$AF12))),"REVIEW","OK"))</f>
        <v>REVIEW</v>
      </c>
    </row>
    <row r="13" customFormat="false" ht="13.5" hidden="false" customHeight="false" outlineLevel="0" collapsed="false">
      <c r="A13" s="95" t="str">
        <f aca="false">IF($C13="","",Controls!$B$7)</f>
        <v>PCGH</v>
      </c>
      <c r="B13" s="95" t="str">
        <f aca="false">IF($C13="","",Controls!$B$30)</f>
        <v>2026-Q2</v>
      </c>
      <c r="C13" s="95" t="str">
        <f aca="false">IF(MM_Income!$A16="","",MM_Income!$A16)</f>
        <v>PCGH776</v>
      </c>
      <c r="D13" s="95" t="str">
        <f aca="false">IF($C13="","",INDEX(MM_Income!$B$5:$B$204,MATCH($C13,MM_Income!$A$5:$A$204,0)))</f>
        <v>DEFORESTATION_RISK_ASSESSMENT_CASHEW COAST</v>
      </c>
      <c r="E13" s="95" t="str">
        <f aca="false">IF($C13="","",INDEX(MM_Income!$C$5:$C$204,MATCH($C13,MM_Income!$A$5:$A$204,0)))</f>
        <v>Responsible Production</v>
      </c>
      <c r="F13" s="95" t="str">
        <f aca="false">IF($C13="","",INDEX(MM_Income!$F$5:$F$204,MATCH($C13,MM_Income!$A$5:$A$204,0)))</f>
        <v>Responsible Production</v>
      </c>
      <c r="G13" s="95" t="str">
        <f aca="false">IF($C13="","",INDEX(MM_Income!$G$5:$G$204,MATCH($C13,MM_Income!$A$5:$A$204,0)))</f>
        <v>External</v>
      </c>
      <c r="H13" s="95" t="str">
        <f aca="false">IF($C13="","",INDEX(MM_Income!$H$5:$H$204,MATCH($C13,MM_Income!$A$5:$A$204,0)))</f>
        <v>Cashew</v>
      </c>
      <c r="I13" s="95" t="str">
        <f aca="false">IF($C13="","",INDEX(MM_Income!$I$5:$I$204,MATCH($C13,MM_Income!$A$5:$A$204,0)))</f>
        <v>Cashew Coast</v>
      </c>
      <c r="J13" s="95" t="str">
        <f aca="false">IF($C13="","",INDEX(MM_Income!$D$5:$D$204,MATCH($C13,MM_Income!$A$5:$A$204,0)))</f>
        <v>Abe</v>
      </c>
      <c r="K13" s="95" t="str">
        <f aca="false">IF($C13="","",INDEX(MM_Income!$E$5:$E$204,MATCH($C13,MM_Income!$A$5:$A$204,0)))</f>
        <v>Current</v>
      </c>
      <c r="L13" s="95" t="str">
        <f aca="false">IF($C13="","",INDEX(MM_Income!$U$5:$U$204,MATCH($C13,MM_Income!$A$5:$A$204,0)))</f>
        <v>Secured</v>
      </c>
      <c r="M13" s="143" t="n">
        <f aca="false">IF($C13="","",INDEX(MM_Income!$V$5:$V$204,MATCH($C13,MM_Income!$A$5:$A$204,0)))</f>
        <v>1</v>
      </c>
      <c r="N13" s="144" t="n">
        <f aca="false">IF($C13="","",INDEX(MM_Income!$T$5:$T$204,MATCH($C13,MM_Income!$A$5:$A$204,0)))</f>
        <v>522962.5</v>
      </c>
      <c r="O13" s="94" t="n">
        <f aca="false">IF($C13="","",-SUMIFS(Project_Activity!$P$2:$P$5000,Project_Activity!$C$2:$C$5000,$C13,Project_Activity!$U$2:$U$5000,"Invoiced Income",Project_Activity!$H$2:$H$5000,"&gt;="&amp;DATE(VALUE(LEFT($B13,4)),1,1),Project_Activity!$H$2:$H$5000,"&lt;="&amp;EOMONTH(DATE(VALUE(LEFT($B13,4)),VALUE(RIGHT($B13,1))*3,1),0)))</f>
        <v>536744.58</v>
      </c>
      <c r="P13" s="94" t="n">
        <f aca="false">IF($C13="","",SUMIFS(Project_Activity!$P$2:$P$5000,Project_Activity!$C$2:$C$5000,$C13,Project_Activity!$U$2:$U$5000,"Subcontractor",Project_Activity!$H$2:$H$5000,"&gt;="&amp;DATE(VALUE(LEFT($B13,4)),1,1),Project_Activity!$H$2:$H$5000,"&lt;="&amp;EOMONTH(DATE(VALUE(LEFT($B13,4)),VALUE(RIGHT($B13,1))*3,1),0)))</f>
        <v>0</v>
      </c>
      <c r="Q13" s="94" t="n">
        <f aca="false">IF($C13="","",SUMIFS(Project_Activity!$P$2:$P$5000,Project_Activity!$C$2:$C$5000,$C13,Project_Activity!$U$2:$U$5000,"Project Inclusive",Project_Activity!$H$2:$H$5000,"&gt;="&amp;DATE(VALUE(LEFT($B13,4)),1,1),Project_Activity!$H$2:$H$5000,"&lt;="&amp;EOMONTH(DATE(VALUE(LEFT($B13,4)),VALUE(RIGHT($B13,1))*3,1),0)))</f>
        <v>0</v>
      </c>
      <c r="R13" s="94" t="n">
        <f aca="false">IF($C13="","",SUMIFS(Project_Activity!$P$2:$P$5000,Project_Activity!$C$2:$C$5000,$C13,Project_Activity!$U$2:$U$5000,"Non-Recoverable",Project_Activity!$H$2:$H$5000,"&gt;="&amp;DATE(VALUE(LEFT($B13,4)),1,1),Project_Activity!$H$2:$H$5000,"&lt;="&amp;EOMONTH(DATE(VALUE(LEFT($B13,4)),VALUE(RIGHT($B13,1))*3,1),0)))</f>
        <v>0</v>
      </c>
      <c r="S13" s="94" t="n">
        <f aca="false">IF($C13="","",$O13-$P13-$Q13-$R13)</f>
        <v>536744.58</v>
      </c>
      <c r="T13" s="94" t="n">
        <f aca="false">IF($C13="","",SUMIFS(Project_Activity!$P$2:$P$5000,Project_Activity!$C$2:$C$5000,$C13,Project_Activity!$U$2:$U$5000,"Recoverable",Project_Activity!$H$2:$H$5000,"&gt;="&amp;DATE(VALUE(LEFT($B13,4)),1,1),Project_Activity!$H$2:$H$5000,"&lt;="&amp;EOMONTH(DATE(VALUE(LEFT($B13,4)),VALUE(RIGHT($B13,1))*3,1),0)))</f>
        <v>96522.27</v>
      </c>
      <c r="U13" s="94" t="n">
        <f aca="false">IF($C13="","",-SUMIFS(Project_Activity!$P$2:$P$5000,Project_Activity!$C$2:$C$5000,$C13,Project_Activity!$U$2:$U$5000,"Recovered Expenses",Project_Activity!$H$2:$H$5000,"&gt;="&amp;DATE(VALUE(LEFT($B13,4)),1,1),Project_Activity!$H$2:$H$5000,"&lt;="&amp;EOMONTH(DATE(VALUE(LEFT($B13,4)),VALUE(RIGHT($B13,1))*3,1),0)))</f>
        <v>-0</v>
      </c>
      <c r="V13" s="145" t="n">
        <v>0.5</v>
      </c>
      <c r="W13" s="94" t="n">
        <f aca="false">IF($C13="","",$V13*$N13)</f>
        <v>261481.25</v>
      </c>
      <c r="X13" s="145" t="n">
        <v>0.45</v>
      </c>
      <c r="Y13" s="94" t="n">
        <f aca="false">IF($C13="","",$X13*$N13)</f>
        <v>235333.125</v>
      </c>
      <c r="Z13" s="145" t="n">
        <v>0.05</v>
      </c>
      <c r="AA13" s="94" t="n">
        <f aca="false">IF($C13="","",$Z13*$N13)</f>
        <v>26148.125</v>
      </c>
      <c r="AB13" s="145" t="n">
        <v>0</v>
      </c>
      <c r="AC13" s="94" t="n">
        <f aca="false">IF($C13="","",$AB13*$N13)</f>
        <v>0</v>
      </c>
      <c r="AD13" s="94" t="n">
        <f aca="false">IF($C13="","",SUMPRODUCT((VALUE(MID($B13,7,1))&gt;={1,2,3,4})*CHOOSE({1,2,3,4},$W13,$Y13,$AA13,$AC13)))</f>
        <v>496814.375</v>
      </c>
      <c r="AE13" s="94" t="n">
        <f aca="false">IF($C13="","",$W13+$Y13+$AA13+$AC13-$AD13)</f>
        <v>26148.125</v>
      </c>
      <c r="AF13" s="146"/>
      <c r="AG13" s="146"/>
      <c r="AH13" s="146" t="s">
        <v>844</v>
      </c>
      <c r="AI13" s="147" t="str">
        <f aca="false">IF($C13="","",IF(OR($L13="Pipeline",$N13&lt;0,$O13&gt;$N13+1,($V13+$X13+$Z13+$AB13)&gt;1.0001,ISNUMBER(SEARCH("not signed",$AF13))),"REVIEW","OK"))</f>
        <v>REVIEW</v>
      </c>
    </row>
    <row r="14" customFormat="false" ht="13.5" hidden="false" customHeight="false" outlineLevel="0" collapsed="false">
      <c r="A14" s="95" t="str">
        <f aca="false">IF($C14="","",Controls!$B$7)</f>
        <v>PCGH</v>
      </c>
      <c r="B14" s="95" t="str">
        <f aca="false">IF($C14="","",Controls!$B$30)</f>
        <v>2026-Q2</v>
      </c>
      <c r="C14" s="95" t="str">
        <f aca="false">IF(MM_Income!$A17="","",MM_Income!$A17)</f>
        <v>PCGH777</v>
      </c>
      <c r="D14" s="95" t="str">
        <f aca="false">IF($C14="","",INDEX(MM_Income!$B$5:$B$204,MATCH($C14,MM_Income!$A$5:$A$204,0)))</f>
        <v>GENERAL_MILLS_COCOA_LAND USE CHANGE EMMISSIONS</v>
      </c>
      <c r="E14" s="95" t="str">
        <f aca="false">IF($C14="","",INDEX(MM_Income!$C$5:$C$204,MATCH($C14,MM_Income!$A$5:$A$204,0)))</f>
        <v>Responsible Sourcing</v>
      </c>
      <c r="F14" s="95" t="str">
        <f aca="false">IF($C14="","",INDEX(MM_Income!$F$5:$F$204,MATCH($C14,MM_Income!$A$5:$A$204,0)))</f>
        <v>Responsible Sourcing</v>
      </c>
      <c r="G14" s="95" t="str">
        <f aca="false">IF($C14="","",INDEX(MM_Income!$G$5:$G$204,MATCH($C14,MM_Income!$A$5:$A$204,0)))</f>
        <v>Internal</v>
      </c>
      <c r="H14" s="95" t="str">
        <f aca="false">IF($C14="","",INDEX(MM_Income!$H$5:$H$204,MATCH($C14,MM_Income!$A$5:$A$204,0)))</f>
        <v>Cocoa</v>
      </c>
      <c r="I14" s="95" t="str">
        <f aca="false">IF($C14="","",INDEX(MM_Income!$I$5:$I$204,MATCH($C14,MM_Income!$A$5:$A$204,0)))</f>
        <v>General Mills</v>
      </c>
      <c r="J14" s="95" t="str">
        <f aca="false">IF($C14="","",INDEX(MM_Income!$D$5:$D$204,MATCH($C14,MM_Income!$A$5:$A$204,0)))</f>
        <v>COM</v>
      </c>
      <c r="K14" s="95" t="str">
        <f aca="false">IF($C14="","",INDEX(MM_Income!$E$5:$E$204,MATCH($C14,MM_Income!$A$5:$A$204,0)))</f>
        <v>Completed</v>
      </c>
      <c r="L14" s="95" t="str">
        <f aca="false">IF($C14="","",INDEX(MM_Income!$U$5:$U$204,MATCH($C14,MM_Income!$A$5:$A$204,0)))</f>
        <v>Secured</v>
      </c>
      <c r="M14" s="143" t="n">
        <f aca="false">IF($C14="","",INDEX(MM_Income!$V$5:$V$204,MATCH($C14,MM_Income!$A$5:$A$204,0)))</f>
        <v>1</v>
      </c>
      <c r="N14" s="144" t="n">
        <f aca="false">IF($C14="","",INDEX(MM_Income!$T$5:$T$204,MATCH($C14,MM_Income!$A$5:$A$204,0)))</f>
        <v>433630.05</v>
      </c>
      <c r="O14" s="94" t="n">
        <f aca="false">IF($C14="","",-SUMIFS(Project_Activity!$P$2:$P$5000,Project_Activity!$C$2:$C$5000,$C14,Project_Activity!$U$2:$U$5000,"Invoiced Income",Project_Activity!$H$2:$H$5000,"&gt;="&amp;DATE(VALUE(LEFT($B14,4)),1,1),Project_Activity!$H$2:$H$5000,"&lt;="&amp;EOMONTH(DATE(VALUE(LEFT($B14,4)),VALUE(RIGHT($B14,1))*3,1),0)))</f>
        <v>614078.94</v>
      </c>
      <c r="P14" s="94" t="n">
        <f aca="false">IF($C14="","",SUMIFS(Project_Activity!$P$2:$P$5000,Project_Activity!$C$2:$C$5000,$C14,Project_Activity!$U$2:$U$5000,"Subcontractor",Project_Activity!$H$2:$H$5000,"&gt;="&amp;DATE(VALUE(LEFT($B14,4)),1,1),Project_Activity!$H$2:$H$5000,"&lt;="&amp;EOMONTH(DATE(VALUE(LEFT($B14,4)),VALUE(RIGHT($B14,1))*3,1),0)))</f>
        <v>179200</v>
      </c>
      <c r="Q14" s="94" t="n">
        <f aca="false">IF($C14="","",SUMIFS(Project_Activity!$P$2:$P$5000,Project_Activity!$C$2:$C$5000,$C14,Project_Activity!$U$2:$U$5000,"Project Inclusive",Project_Activity!$H$2:$H$5000,"&gt;="&amp;DATE(VALUE(LEFT($B14,4)),1,1),Project_Activity!$H$2:$H$5000,"&lt;="&amp;EOMONTH(DATE(VALUE(LEFT($B14,4)),VALUE(RIGHT($B14,1))*3,1),0)))</f>
        <v>0</v>
      </c>
      <c r="R14" s="94" t="n">
        <f aca="false">IF($C14="","",SUMIFS(Project_Activity!$P$2:$P$5000,Project_Activity!$C$2:$C$5000,$C14,Project_Activity!$U$2:$U$5000,"Non-Recoverable",Project_Activity!$H$2:$H$5000,"&gt;="&amp;DATE(VALUE(LEFT($B14,4)),1,1),Project_Activity!$H$2:$H$5000,"&lt;="&amp;EOMONTH(DATE(VALUE(LEFT($B14,4)),VALUE(RIGHT($B14,1))*3,1),0)))</f>
        <v>0</v>
      </c>
      <c r="S14" s="94" t="n">
        <f aca="false">IF($C14="","",$O14-$P14-$Q14-$R14)</f>
        <v>434878.94</v>
      </c>
      <c r="T14" s="94" t="n">
        <f aca="false">IF($C14="","",SUMIFS(Project_Activity!$P$2:$P$5000,Project_Activity!$C$2:$C$5000,$C14,Project_Activity!$U$2:$U$5000,"Recoverable",Project_Activity!$H$2:$H$5000,"&gt;="&amp;DATE(VALUE(LEFT($B14,4)),1,1),Project_Activity!$H$2:$H$5000,"&lt;="&amp;EOMONTH(DATE(VALUE(LEFT($B14,4)),VALUE(RIGHT($B14,1))*3,1),0)))</f>
        <v>63090.95</v>
      </c>
      <c r="U14" s="94" t="n">
        <f aca="false">IF($C14="","",-SUMIFS(Project_Activity!$P$2:$P$5000,Project_Activity!$C$2:$C$5000,$C14,Project_Activity!$U$2:$U$5000,"Recovered Expenses",Project_Activity!$H$2:$H$5000,"&gt;="&amp;DATE(VALUE(LEFT($B14,4)),1,1),Project_Activity!$H$2:$H$5000,"&lt;="&amp;EOMONTH(DATE(VALUE(LEFT($B14,4)),VALUE(RIGHT($B14,1))*3,1),0)))</f>
        <v>63091.27</v>
      </c>
      <c r="V14" s="145" t="n">
        <v>0.8</v>
      </c>
      <c r="W14" s="94" t="n">
        <f aca="false">IF($C14="","",$V14*$N14)</f>
        <v>346904.04</v>
      </c>
      <c r="X14" s="145" t="n">
        <v>0.2</v>
      </c>
      <c r="Y14" s="94" t="n">
        <f aca="false">IF($C14="","",$X14*$N14)</f>
        <v>86726.01</v>
      </c>
      <c r="Z14" s="145" t="n">
        <v>0</v>
      </c>
      <c r="AA14" s="94" t="n">
        <f aca="false">IF($C14="","",$Z14*$N14)</f>
        <v>0</v>
      </c>
      <c r="AB14" s="145" t="n">
        <v>0</v>
      </c>
      <c r="AC14" s="94" t="n">
        <f aca="false">IF($C14="","",$AB14*$N14)</f>
        <v>0</v>
      </c>
      <c r="AD14" s="94" t="n">
        <f aca="false">IF($C14="","",SUMPRODUCT((VALUE(MID($B14,7,1))&gt;={1,2,3,4})*CHOOSE({1,2,3,4},$W14,$Y14,$AA14,$AC14)))</f>
        <v>433630.05</v>
      </c>
      <c r="AE14" s="94" t="n">
        <f aca="false">IF($C14="","",$W14+$Y14+$AA14+$AC14-$AD14)</f>
        <v>0</v>
      </c>
      <c r="AF14" s="146"/>
      <c r="AG14" s="146"/>
      <c r="AH14" s="146" t="s">
        <v>1204</v>
      </c>
      <c r="AI14" s="147" t="str">
        <f aca="false">IF($C14="","",IF(OR($L14="Pipeline",$N14&lt;0,$O14&gt;$N14+1,($V14+$X14+$Z14+$AB14)&gt;1.0001,ISNUMBER(SEARCH("not signed",$AF14))),"REVIEW","OK"))</f>
        <v>REVIEW</v>
      </c>
    </row>
    <row r="15" customFormat="false" ht="13.5" hidden="false" customHeight="false" outlineLevel="0" collapsed="false">
      <c r="A15" s="95" t="str">
        <f aca="false">IF($C15="","",Controls!$B$7)</f>
        <v>PCGH</v>
      </c>
      <c r="B15" s="95" t="str">
        <f aca="false">IF($C15="","",Controls!$B$30)</f>
        <v>2026-Q2</v>
      </c>
      <c r="C15" s="95" t="str">
        <f aca="false">IF(MM_Income!$A18="","",MM_Income!$A18)</f>
        <v>PCGH778</v>
      </c>
      <c r="D15" s="95" t="str">
        <f aca="false">IF($C15="","",INDEX(MM_Income!$B$5:$B$204,MATCH($C15,MM_Income!$A$5:$A$204,0)))</f>
        <v>MIRROR_PCUK111_NESTLE_RS_SUGAR_2026_A_GENERAL_SUPPORT</v>
      </c>
      <c r="E15" s="95" t="str">
        <f aca="false">IF($C15="","",INDEX(MM_Income!$C$5:$C$204,MATCH($C15,MM_Income!$A$5:$A$204,0)))</f>
        <v>Responsible Sourcing</v>
      </c>
      <c r="F15" s="95" t="str">
        <f aca="false">IF($C15="","",INDEX(MM_Income!$F$5:$F$204,MATCH($C15,MM_Income!$A$5:$A$204,0)))</f>
        <v>Responsible Sourcing</v>
      </c>
      <c r="G15" s="95" t="str">
        <f aca="false">IF($C15="","",INDEX(MM_Income!$G$5:$G$204,MATCH($C15,MM_Income!$A$5:$A$204,0)))</f>
        <v>Internal</v>
      </c>
      <c r="H15" s="95" t="str">
        <f aca="false">IF($C15="","",INDEX(MM_Income!$H$5:$H$204,MATCH($C15,MM_Income!$A$5:$A$204,0)))</f>
        <v>Sugar</v>
      </c>
      <c r="I15" s="95" t="str">
        <f aca="false">IF($C15="","",INDEX(MM_Income!$I$5:$I$204,MATCH($C15,MM_Income!$A$5:$A$204,0)))</f>
        <v>Nestlé (via PCUK)</v>
      </c>
      <c r="J15" s="95" t="str">
        <f aca="false">IF($C15="","",INDEX(MM_Income!$D$5:$D$204,MATCH($C15,MM_Income!$A$5:$A$204,0)))</f>
        <v>PO</v>
      </c>
      <c r="K15" s="95" t="str">
        <f aca="false">IF($C15="","",INDEX(MM_Income!$E$5:$E$204,MATCH($C15,MM_Income!$A$5:$A$204,0)))</f>
        <v>Current</v>
      </c>
      <c r="L15" s="95" t="str">
        <f aca="false">IF($C15="","",INDEX(MM_Income!$U$5:$U$204,MATCH($C15,MM_Income!$A$5:$A$204,0)))</f>
        <v>Secured</v>
      </c>
      <c r="M15" s="143" t="n">
        <f aca="false">IF($C15="","",INDEX(MM_Income!$V$5:$V$204,MATCH($C15,MM_Income!$A$5:$A$204,0)))</f>
        <v>1</v>
      </c>
      <c r="N15" s="144" t="n">
        <f aca="false">IF($C15="","",INDEX(MM_Income!$T$5:$T$204,MATCH($C15,MM_Income!$A$5:$A$204,0)))</f>
        <v>831799.8</v>
      </c>
      <c r="O15" s="94" t="n">
        <f aca="false">IF($C15="","",-SUMIFS(Project_Activity!$P$2:$P$5000,Project_Activity!$C$2:$C$5000,$C15,Project_Activity!$U$2:$U$5000,"Invoiced Income",Project_Activity!$H$2:$H$5000,"&gt;="&amp;DATE(VALUE(LEFT($B15,4)),1,1),Project_Activity!$H$2:$H$5000,"&lt;="&amp;EOMONTH(DATE(VALUE(LEFT($B15,4)),VALUE(RIGHT($B15,1))*3,1),0)))</f>
        <v>415780.65</v>
      </c>
      <c r="P15" s="94" t="n">
        <f aca="false">IF($C15="","",SUMIFS(Project_Activity!$P$2:$P$5000,Project_Activity!$C$2:$C$5000,$C15,Project_Activity!$U$2:$U$5000,"Subcontractor",Project_Activity!$H$2:$H$5000,"&gt;="&amp;DATE(VALUE(LEFT($B15,4)),1,1),Project_Activity!$H$2:$H$5000,"&lt;="&amp;EOMONTH(DATE(VALUE(LEFT($B15,4)),VALUE(RIGHT($B15,1))*3,1),0)))</f>
        <v>0</v>
      </c>
      <c r="Q15" s="94" t="n">
        <f aca="false">IF($C15="","",SUMIFS(Project_Activity!$P$2:$P$5000,Project_Activity!$C$2:$C$5000,$C15,Project_Activity!$U$2:$U$5000,"Project Inclusive",Project_Activity!$H$2:$H$5000,"&gt;="&amp;DATE(VALUE(LEFT($B15,4)),1,1),Project_Activity!$H$2:$H$5000,"&lt;="&amp;EOMONTH(DATE(VALUE(LEFT($B15,4)),VALUE(RIGHT($B15,1))*3,1),0)))</f>
        <v>0</v>
      </c>
      <c r="R15" s="94" t="n">
        <f aca="false">IF($C15="","",SUMIFS(Project_Activity!$P$2:$P$5000,Project_Activity!$C$2:$C$5000,$C15,Project_Activity!$U$2:$U$5000,"Non-Recoverable",Project_Activity!$H$2:$H$5000,"&gt;="&amp;DATE(VALUE(LEFT($B15,4)),1,1),Project_Activity!$H$2:$H$5000,"&lt;="&amp;EOMONTH(DATE(VALUE(LEFT($B15,4)),VALUE(RIGHT($B15,1))*3,1),0)))</f>
        <v>0</v>
      </c>
      <c r="S15" s="94" t="n">
        <f aca="false">IF($C15="","",$O15-$P15-$Q15-$R15)</f>
        <v>415780.65</v>
      </c>
      <c r="T15" s="94" t="n">
        <f aca="false">IF($C15="","",SUMIFS(Project_Activity!$P$2:$P$5000,Project_Activity!$C$2:$C$5000,$C15,Project_Activity!$U$2:$U$5000,"Recoverable",Project_Activity!$H$2:$H$5000,"&gt;="&amp;DATE(VALUE(LEFT($B15,4)),1,1),Project_Activity!$H$2:$H$5000,"&lt;="&amp;EOMONTH(DATE(VALUE(LEFT($B15,4)),VALUE(RIGHT($B15,1))*3,1),0)))</f>
        <v>79321.84</v>
      </c>
      <c r="U15" s="94" t="n">
        <f aca="false">IF($C15="","",-SUMIFS(Project_Activity!$P$2:$P$5000,Project_Activity!$C$2:$C$5000,$C15,Project_Activity!$U$2:$U$5000,"Recovered Expenses",Project_Activity!$H$2:$H$5000,"&gt;="&amp;DATE(VALUE(LEFT($B15,4)),1,1),Project_Activity!$H$2:$H$5000,"&lt;="&amp;EOMONTH(DATE(VALUE(LEFT($B15,4)),VALUE(RIGHT($B15,1))*3,1),0)))</f>
        <v>62465.62</v>
      </c>
      <c r="V15" s="145" t="n">
        <v>0.37</v>
      </c>
      <c r="W15" s="94" t="n">
        <f aca="false">IF($C15="","",$V15*$N15)</f>
        <v>307765.926</v>
      </c>
      <c r="X15" s="145" t="n">
        <v>0.08</v>
      </c>
      <c r="Y15" s="94" t="n">
        <f aca="false">IF($C15="","",$X15*$N15)</f>
        <v>66543.984</v>
      </c>
      <c r="Z15" s="145" t="n">
        <v>0.3</v>
      </c>
      <c r="AA15" s="94" t="n">
        <f aca="false">IF($C15="","",$Z15*$N15)</f>
        <v>249539.94</v>
      </c>
      <c r="AB15" s="145" t="n">
        <v>0.15</v>
      </c>
      <c r="AC15" s="94" t="n">
        <f aca="false">IF($C15="","",$AB15*$N15)</f>
        <v>124769.97</v>
      </c>
      <c r="AD15" s="94" t="n">
        <f aca="false">IF($C15="","",SUMPRODUCT((VALUE(MID($B15,7,1))&gt;={1,2,3,4})*CHOOSE({1,2,3,4},$W15,$Y15,$AA15,$AC15)))</f>
        <v>374309.91</v>
      </c>
      <c r="AE15" s="94" t="n">
        <f aca="false">IF($C15="","",$W15+$Y15+$AA15+$AC15-$AD15)</f>
        <v>374309.91</v>
      </c>
      <c r="AF15" s="146"/>
      <c r="AG15" s="146"/>
      <c r="AH15" s="146" t="s">
        <v>844</v>
      </c>
      <c r="AI15" s="147" t="str">
        <f aca="false">IF($C15="","",IF(OR($L15="Pipeline",$N15&lt;0,$O15&gt;$N15+1,($V15+$X15+$Z15+$AB15)&gt;1.0001,ISNUMBER(SEARCH("not signed",$AF15))),"REVIEW","OK"))</f>
        <v>OK</v>
      </c>
    </row>
    <row r="16" customFormat="false" ht="13.5" hidden="false" customHeight="false" outlineLevel="0" collapsed="false">
      <c r="A16" s="95" t="str">
        <f aca="false">IF($C16="","",Controls!$B$7)</f>
        <v>PCGH</v>
      </c>
      <c r="B16" s="95" t="str">
        <f aca="false">IF($C16="","",Controls!$B$30)</f>
        <v>2026-Q2</v>
      </c>
      <c r="C16" s="95" t="str">
        <f aca="false">IF(MM_Income!$A19="","",MM_Income!$A19)</f>
        <v>PCGH779</v>
      </c>
      <c r="D16" s="95" t="str">
        <f aca="false">IF($C16="","",INDEX(MM_Income!$B$5:$B$204,MATCH($C16,MM_Income!$A$5:$A$204,0)))</f>
        <v>MIRROR_PCUK111_NESTLE_RS_SUGAR_2026_B_CIV</v>
      </c>
      <c r="E16" s="95" t="str">
        <f aca="false">IF($C16="","",INDEX(MM_Income!$C$5:$C$204,MATCH($C16,MM_Income!$A$5:$A$204,0)))</f>
        <v>Responsible Sourcing</v>
      </c>
      <c r="F16" s="95" t="str">
        <f aca="false">IF($C16="","",INDEX(MM_Income!$F$5:$F$204,MATCH($C16,MM_Income!$A$5:$A$204,0)))</f>
        <v>Responsible Sourcing</v>
      </c>
      <c r="G16" s="95" t="str">
        <f aca="false">IF($C16="","",INDEX(MM_Income!$G$5:$G$204,MATCH($C16,MM_Income!$A$5:$A$204,0)))</f>
        <v>Internal</v>
      </c>
      <c r="H16" s="95" t="str">
        <f aca="false">IF($C16="","",INDEX(MM_Income!$H$5:$H$204,MATCH($C16,MM_Income!$A$5:$A$204,0)))</f>
        <v>Sugar</v>
      </c>
      <c r="I16" s="95" t="str">
        <f aca="false">IF($C16="","",INDEX(MM_Income!$I$5:$I$204,MATCH($C16,MM_Income!$A$5:$A$204,0)))</f>
        <v>Nestlé (via PCUK)</v>
      </c>
      <c r="J16" s="95" t="str">
        <f aca="false">IF($C16="","",INDEX(MM_Income!$D$5:$D$204,MATCH($C16,MM_Income!$A$5:$A$204,0)))</f>
        <v>PO</v>
      </c>
      <c r="K16" s="95" t="str">
        <f aca="false">IF($C16="","",INDEX(MM_Income!$E$5:$E$204,MATCH($C16,MM_Income!$A$5:$A$204,0)))</f>
        <v>Current</v>
      </c>
      <c r="L16" s="95" t="str">
        <f aca="false">IF($C16="","",INDEX(MM_Income!$U$5:$U$204,MATCH($C16,MM_Income!$A$5:$A$204,0)))</f>
        <v>Secured</v>
      </c>
      <c r="M16" s="143" t="n">
        <f aca="false">IF($C16="","",INDEX(MM_Income!$V$5:$V$204,MATCH($C16,MM_Income!$A$5:$A$204,0)))</f>
        <v>1</v>
      </c>
      <c r="N16" s="144" t="n">
        <f aca="false">IF($C16="","",INDEX(MM_Income!$T$5:$T$204,MATCH($C16,MM_Income!$A$5:$A$204,0)))</f>
        <v>849327.65</v>
      </c>
      <c r="O16" s="94" t="n">
        <f aca="false">IF($C16="","",-SUMIFS(Project_Activity!$P$2:$P$5000,Project_Activity!$C$2:$C$5000,$C16,Project_Activity!$U$2:$U$5000,"Invoiced Income",Project_Activity!$H$2:$H$5000,"&gt;="&amp;DATE(VALUE(LEFT($B16,4)),1,1),Project_Activity!$H$2:$H$5000,"&lt;="&amp;EOMONTH(DATE(VALUE(LEFT($B16,4)),VALUE(RIGHT($B16,1))*3,1),0)))</f>
        <v>424542.07</v>
      </c>
      <c r="P16" s="94" t="n">
        <f aca="false">IF($C16="","",SUMIFS(Project_Activity!$P$2:$P$5000,Project_Activity!$C$2:$C$5000,$C16,Project_Activity!$U$2:$U$5000,"Subcontractor",Project_Activity!$H$2:$H$5000,"&gt;="&amp;DATE(VALUE(LEFT($B16,4)),1,1),Project_Activity!$H$2:$H$5000,"&lt;="&amp;EOMONTH(DATE(VALUE(LEFT($B16,4)),VALUE(RIGHT($B16,1))*3,1),0)))</f>
        <v>0</v>
      </c>
      <c r="Q16" s="94" t="n">
        <f aca="false">IF($C16="","",SUMIFS(Project_Activity!$P$2:$P$5000,Project_Activity!$C$2:$C$5000,$C16,Project_Activity!$U$2:$U$5000,"Project Inclusive",Project_Activity!$H$2:$H$5000,"&gt;="&amp;DATE(VALUE(LEFT($B16,4)),1,1),Project_Activity!$H$2:$H$5000,"&lt;="&amp;EOMONTH(DATE(VALUE(LEFT($B16,4)),VALUE(RIGHT($B16,1))*3,1),0)))</f>
        <v>0</v>
      </c>
      <c r="R16" s="94" t="n">
        <f aca="false">IF($C16="","",SUMIFS(Project_Activity!$P$2:$P$5000,Project_Activity!$C$2:$C$5000,$C16,Project_Activity!$U$2:$U$5000,"Non-Recoverable",Project_Activity!$H$2:$H$5000,"&gt;="&amp;DATE(VALUE(LEFT($B16,4)),1,1),Project_Activity!$H$2:$H$5000,"&lt;="&amp;EOMONTH(DATE(VALUE(LEFT($B16,4)),VALUE(RIGHT($B16,1))*3,1),0)))</f>
        <v>0</v>
      </c>
      <c r="S16" s="94" t="n">
        <f aca="false">IF($C16="","",$O16-$P16-$Q16-$R16)</f>
        <v>424542.07</v>
      </c>
      <c r="T16" s="94" t="n">
        <f aca="false">IF($C16="","",SUMIFS(Project_Activity!$P$2:$P$5000,Project_Activity!$C$2:$C$5000,$C16,Project_Activity!$U$2:$U$5000,"Recoverable",Project_Activity!$H$2:$H$5000,"&gt;="&amp;DATE(VALUE(LEFT($B16,4)),1,1),Project_Activity!$H$2:$H$5000,"&lt;="&amp;EOMONTH(DATE(VALUE(LEFT($B16,4)),VALUE(RIGHT($B16,1))*3,1),0)))</f>
        <v>16722.74</v>
      </c>
      <c r="U16" s="94" t="n">
        <f aca="false">IF($C16="","",-SUMIFS(Project_Activity!$P$2:$P$5000,Project_Activity!$C$2:$C$5000,$C16,Project_Activity!$U$2:$U$5000,"Recovered Expenses",Project_Activity!$H$2:$H$5000,"&gt;="&amp;DATE(VALUE(LEFT($B16,4)),1,1),Project_Activity!$H$2:$H$5000,"&lt;="&amp;EOMONTH(DATE(VALUE(LEFT($B16,4)),VALUE(RIGHT($B16,1))*3,1),0)))</f>
        <v>-0</v>
      </c>
      <c r="V16" s="145" t="n">
        <v>0.25</v>
      </c>
      <c r="W16" s="94" t="n">
        <f aca="false">IF($C16="","",$V16*$N16)</f>
        <v>212331.9125</v>
      </c>
      <c r="X16" s="145" t="n">
        <v>0.15</v>
      </c>
      <c r="Y16" s="94" t="n">
        <f aca="false">IF($C16="","",$X16*$N16)</f>
        <v>127399.1475</v>
      </c>
      <c r="Z16" s="145" t="n">
        <v>0.35</v>
      </c>
      <c r="AA16" s="94" t="n">
        <f aca="false">IF($C16="","",$Z16*$N16)</f>
        <v>297264.6775</v>
      </c>
      <c r="AB16" s="145" t="n">
        <v>0.25</v>
      </c>
      <c r="AC16" s="94" t="n">
        <f aca="false">IF($C16="","",$AB16*$N16)</f>
        <v>212331.9125</v>
      </c>
      <c r="AD16" s="94" t="n">
        <f aca="false">IF($C16="","",SUMPRODUCT((VALUE(MID($B16,7,1))&gt;={1,2,3,4})*CHOOSE({1,2,3,4},$W16,$Y16,$AA16,$AC16)))</f>
        <v>339731.06</v>
      </c>
      <c r="AE16" s="94" t="n">
        <f aca="false">IF($C16="","",$W16+$Y16+$AA16+$AC16-$AD16)</f>
        <v>509596.59</v>
      </c>
      <c r="AF16" s="146"/>
      <c r="AG16" s="146"/>
      <c r="AH16" s="146" t="s">
        <v>844</v>
      </c>
      <c r="AI16" s="147" t="str">
        <f aca="false">IF($C16="","",IF(OR($L16="Pipeline",$N16&lt;0,$O16&gt;$N16+1,($V16+$X16+$Z16+$AB16)&gt;1.0001,ISNUMBER(SEARCH("not signed",$AF16))),"REVIEW","OK"))</f>
        <v>OK</v>
      </c>
    </row>
    <row r="17" customFormat="false" ht="13.5" hidden="false" customHeight="false" outlineLevel="0" collapsed="false">
      <c r="A17" s="95" t="str">
        <f aca="false">IF($C17="","",Controls!$B$7)</f>
        <v>PCGH</v>
      </c>
      <c r="B17" s="95" t="str">
        <f aca="false">IF($C17="","",Controls!$B$30)</f>
        <v>2026-Q2</v>
      </c>
      <c r="C17" s="95" t="str">
        <f aca="false">IF(MM_Income!$A20="","",MM_Income!$A20)</f>
        <v>PCGH780</v>
      </c>
      <c r="D17" s="95" t="str">
        <f aca="false">IF($C17="","",INDEX(MM_Income!$B$5:$B$204,MATCH($C17,MM_Income!$A$5:$A$204,0)))</f>
        <v>MIRROR_PCUK111_NESTLE_RS_SUGAR_2026_C_NIG</v>
      </c>
      <c r="E17" s="95" t="str">
        <f aca="false">IF($C17="","",INDEX(MM_Income!$C$5:$C$204,MATCH($C17,MM_Income!$A$5:$A$204,0)))</f>
        <v>Responsible Sourcing</v>
      </c>
      <c r="F17" s="95" t="str">
        <f aca="false">IF($C17="","",INDEX(MM_Income!$F$5:$F$204,MATCH($C17,MM_Income!$A$5:$A$204,0)))</f>
        <v>Responsible Sourcing</v>
      </c>
      <c r="G17" s="95" t="str">
        <f aca="false">IF($C17="","",INDEX(MM_Income!$G$5:$G$204,MATCH($C17,MM_Income!$A$5:$A$204,0)))</f>
        <v>Internal</v>
      </c>
      <c r="H17" s="95" t="str">
        <f aca="false">IF($C17="","",INDEX(MM_Income!$H$5:$H$204,MATCH($C17,MM_Income!$A$5:$A$204,0)))</f>
        <v>Sugar</v>
      </c>
      <c r="I17" s="95" t="str">
        <f aca="false">IF($C17="","",INDEX(MM_Income!$I$5:$I$204,MATCH($C17,MM_Income!$A$5:$A$204,0)))</f>
        <v>Nestlé (via PCUK)</v>
      </c>
      <c r="J17" s="95" t="str">
        <f aca="false">IF($C17="","",INDEX(MM_Income!$D$5:$D$204,MATCH($C17,MM_Income!$A$5:$A$204,0)))</f>
        <v>PO</v>
      </c>
      <c r="K17" s="95" t="str">
        <f aca="false">IF($C17="","",INDEX(MM_Income!$E$5:$E$204,MATCH($C17,MM_Income!$A$5:$A$204,0)))</f>
        <v>Current</v>
      </c>
      <c r="L17" s="95" t="str">
        <f aca="false">IF($C17="","",INDEX(MM_Income!$U$5:$U$204,MATCH($C17,MM_Income!$A$5:$A$204,0)))</f>
        <v>Secured</v>
      </c>
      <c r="M17" s="143" t="n">
        <f aca="false">IF($C17="","",INDEX(MM_Income!$V$5:$V$204,MATCH($C17,MM_Income!$A$5:$A$204,0)))</f>
        <v>1</v>
      </c>
      <c r="N17" s="144" t="n">
        <f aca="false">IF($C17="","",INDEX(MM_Income!$T$5:$T$204,MATCH($C17,MM_Income!$A$5:$A$204,0)))</f>
        <v>893862.55</v>
      </c>
      <c r="O17" s="94" t="n">
        <f aca="false">IF($C17="","",-SUMIFS(Project_Activity!$P$2:$P$5000,Project_Activity!$C$2:$C$5000,$C17,Project_Activity!$U$2:$U$5000,"Invoiced Income",Project_Activity!$H$2:$H$5000,"&gt;="&amp;DATE(VALUE(LEFT($B17,4)),1,1),Project_Activity!$H$2:$H$5000,"&lt;="&amp;EOMONTH(DATE(VALUE(LEFT($B17,4)),VALUE(RIGHT($B17,1))*3,1),0)))</f>
        <v>446803.13</v>
      </c>
      <c r="P17" s="94" t="n">
        <f aca="false">IF($C17="","",SUMIFS(Project_Activity!$P$2:$P$5000,Project_Activity!$C$2:$C$5000,$C17,Project_Activity!$U$2:$U$5000,"Subcontractor",Project_Activity!$H$2:$H$5000,"&gt;="&amp;DATE(VALUE(LEFT($B17,4)),1,1),Project_Activity!$H$2:$H$5000,"&lt;="&amp;EOMONTH(DATE(VALUE(LEFT($B17,4)),VALUE(RIGHT($B17,1))*3,1),0)))</f>
        <v>0</v>
      </c>
      <c r="Q17" s="94" t="n">
        <f aca="false">IF($C17="","",SUMIFS(Project_Activity!$P$2:$P$5000,Project_Activity!$C$2:$C$5000,$C17,Project_Activity!$U$2:$U$5000,"Project Inclusive",Project_Activity!$H$2:$H$5000,"&gt;="&amp;DATE(VALUE(LEFT($B17,4)),1,1),Project_Activity!$H$2:$H$5000,"&lt;="&amp;EOMONTH(DATE(VALUE(LEFT($B17,4)),VALUE(RIGHT($B17,1))*3,1),0)))</f>
        <v>0</v>
      </c>
      <c r="R17" s="94" t="n">
        <f aca="false">IF($C17="","",SUMIFS(Project_Activity!$P$2:$P$5000,Project_Activity!$C$2:$C$5000,$C17,Project_Activity!$U$2:$U$5000,"Non-Recoverable",Project_Activity!$H$2:$H$5000,"&gt;="&amp;DATE(VALUE(LEFT($B17,4)),1,1),Project_Activity!$H$2:$H$5000,"&lt;="&amp;EOMONTH(DATE(VALUE(LEFT($B17,4)),VALUE(RIGHT($B17,1))*3,1),0)))</f>
        <v>0</v>
      </c>
      <c r="S17" s="94" t="n">
        <f aca="false">IF($C17="","",$O17-$P17-$Q17-$R17)</f>
        <v>446803.13</v>
      </c>
      <c r="T17" s="94" t="n">
        <f aca="false">IF($C17="","",SUMIFS(Project_Activity!$P$2:$P$5000,Project_Activity!$C$2:$C$5000,$C17,Project_Activity!$U$2:$U$5000,"Recoverable",Project_Activity!$H$2:$H$5000,"&gt;="&amp;DATE(VALUE(LEFT($B17,4)),1,1),Project_Activity!$H$2:$H$5000,"&lt;="&amp;EOMONTH(DATE(VALUE(LEFT($B17,4)),VALUE(RIGHT($B17,1))*3,1),0)))</f>
        <v>484807.08</v>
      </c>
      <c r="U17" s="94" t="n">
        <f aca="false">IF($C17="","",-SUMIFS(Project_Activity!$P$2:$P$5000,Project_Activity!$C$2:$C$5000,$C17,Project_Activity!$U$2:$U$5000,"Recovered Expenses",Project_Activity!$H$2:$H$5000,"&gt;="&amp;DATE(VALUE(LEFT($B17,4)),1,1),Project_Activity!$H$2:$H$5000,"&lt;="&amp;EOMONTH(DATE(VALUE(LEFT($B17,4)),VALUE(RIGHT($B17,1))*3,1),0)))</f>
        <v>319251.56</v>
      </c>
      <c r="V17" s="145" t="n">
        <v>0.3</v>
      </c>
      <c r="W17" s="94" t="n">
        <f aca="false">IF($C17="","",$V17*$N17)</f>
        <v>268158.765</v>
      </c>
      <c r="X17" s="145" t="n">
        <v>0.2</v>
      </c>
      <c r="Y17" s="94" t="n">
        <f aca="false">IF($C17="","",$X17*$N17)</f>
        <v>178772.51</v>
      </c>
      <c r="Z17" s="145" t="n">
        <v>0.25</v>
      </c>
      <c r="AA17" s="94" t="n">
        <f aca="false">IF($C17="","",$Z17*$N17)</f>
        <v>223465.6375</v>
      </c>
      <c r="AB17" s="145" t="n">
        <v>0.25</v>
      </c>
      <c r="AC17" s="94" t="n">
        <f aca="false">IF($C17="","",$AB17*$N17)</f>
        <v>223465.6375</v>
      </c>
      <c r="AD17" s="94" t="n">
        <f aca="false">IF($C17="","",SUMPRODUCT((VALUE(MID($B17,7,1))&gt;={1,2,3,4})*CHOOSE({1,2,3,4},$W17,$Y17,$AA17,$AC17)))</f>
        <v>446931.275</v>
      </c>
      <c r="AE17" s="94" t="n">
        <f aca="false">IF($C17="","",$W17+$Y17+$AA17+$AC17-$AD17)</f>
        <v>446931.275</v>
      </c>
      <c r="AF17" s="146"/>
      <c r="AG17" s="146"/>
      <c r="AH17" s="146" t="s">
        <v>844</v>
      </c>
      <c r="AI17" s="147" t="str">
        <f aca="false">IF($C17="","",IF(OR($L17="Pipeline",$N17&lt;0,$O17&gt;$N17+1,($V17+$X17+$Z17+$AB17)&gt;1.0001,ISNUMBER(SEARCH("not signed",$AF17))),"REVIEW","OK"))</f>
        <v>OK</v>
      </c>
    </row>
    <row r="18" customFormat="false" ht="13.5" hidden="false" customHeight="false" outlineLevel="0" collapsed="false">
      <c r="A18" s="95" t="str">
        <f aca="false">IF($C18="","",Controls!$B$7)</f>
        <v>PCGH</v>
      </c>
      <c r="B18" s="95" t="str">
        <f aca="false">IF($C18="","",Controls!$B$30)</f>
        <v>2026-Q2</v>
      </c>
      <c r="C18" s="95" t="str">
        <f aca="false">IF(MM_Income!$A21="","",MM_Income!$A21)</f>
        <v>PCGH781</v>
      </c>
      <c r="D18" s="95" t="str">
        <f aca="false">IF($C18="","",INDEX(MM_Income!$B$5:$B$204,MATCH($C18,MM_Income!$A$5:$A$204,0)))</f>
        <v>MIRROR_PCUK111_NESTLE_RS_SUGAR_2026_D_SA</v>
      </c>
      <c r="E18" s="95" t="str">
        <f aca="false">IF($C18="","",INDEX(MM_Income!$C$5:$C$204,MATCH($C18,MM_Income!$A$5:$A$204,0)))</f>
        <v>Responsible Sourcing</v>
      </c>
      <c r="F18" s="95" t="str">
        <f aca="false">IF($C18="","",INDEX(MM_Income!$F$5:$F$204,MATCH($C18,MM_Income!$A$5:$A$204,0)))</f>
        <v>Responsible Sourcing</v>
      </c>
      <c r="G18" s="95" t="str">
        <f aca="false">IF($C18="","",INDEX(MM_Income!$G$5:$G$204,MATCH($C18,MM_Income!$A$5:$A$204,0)))</f>
        <v>Internal</v>
      </c>
      <c r="H18" s="95" t="str">
        <f aca="false">IF($C18="","",INDEX(MM_Income!$H$5:$H$204,MATCH($C18,MM_Income!$A$5:$A$204,0)))</f>
        <v>Sugar</v>
      </c>
      <c r="I18" s="95" t="str">
        <f aca="false">IF($C18="","",INDEX(MM_Income!$I$5:$I$204,MATCH($C18,MM_Income!$A$5:$A$204,0)))</f>
        <v>Nestlé (via PCUK)</v>
      </c>
      <c r="J18" s="95" t="str">
        <f aca="false">IF($C18="","",INDEX(MM_Income!$D$5:$D$204,MATCH($C18,MM_Income!$A$5:$A$204,0)))</f>
        <v>PO</v>
      </c>
      <c r="K18" s="95" t="str">
        <f aca="false">IF($C18="","",INDEX(MM_Income!$E$5:$E$204,MATCH($C18,MM_Income!$A$5:$A$204,0)))</f>
        <v>Current</v>
      </c>
      <c r="L18" s="95" t="str">
        <f aca="false">IF($C18="","",INDEX(MM_Income!$U$5:$U$204,MATCH($C18,MM_Income!$A$5:$A$204,0)))</f>
        <v>Secured</v>
      </c>
      <c r="M18" s="143" t="n">
        <f aca="false">IF($C18="","",INDEX(MM_Income!$V$5:$V$204,MATCH($C18,MM_Income!$A$5:$A$204,0)))</f>
        <v>1</v>
      </c>
      <c r="N18" s="144" t="n">
        <f aca="false">IF($C18="","",INDEX(MM_Income!$T$5:$T$204,MATCH($C18,MM_Income!$A$5:$A$204,0)))</f>
        <v>63262.1</v>
      </c>
      <c r="O18" s="94" t="n">
        <f aca="false">IF($C18="","",-SUMIFS(Project_Activity!$P$2:$P$5000,Project_Activity!$C$2:$C$5000,$C18,Project_Activity!$U$2:$U$5000,"Invoiced Income",Project_Activity!$H$2:$H$5000,"&gt;="&amp;DATE(VALUE(LEFT($B18,4)),1,1),Project_Activity!$H$2:$H$5000,"&lt;="&amp;EOMONTH(DATE(VALUE(LEFT($B18,4)),VALUE(RIGHT($B18,1))*3,1),0)))</f>
        <v>-0</v>
      </c>
      <c r="P18" s="94" t="n">
        <f aca="false">IF($C18="","",SUMIFS(Project_Activity!$P$2:$P$5000,Project_Activity!$C$2:$C$5000,$C18,Project_Activity!$U$2:$U$5000,"Subcontractor",Project_Activity!$H$2:$H$5000,"&gt;="&amp;DATE(VALUE(LEFT($B18,4)),1,1),Project_Activity!$H$2:$H$5000,"&lt;="&amp;EOMONTH(DATE(VALUE(LEFT($B18,4)),VALUE(RIGHT($B18,1))*3,1),0)))</f>
        <v>0</v>
      </c>
      <c r="Q18" s="94" t="n">
        <f aca="false">IF($C18="","",SUMIFS(Project_Activity!$P$2:$P$5000,Project_Activity!$C$2:$C$5000,$C18,Project_Activity!$U$2:$U$5000,"Project Inclusive",Project_Activity!$H$2:$H$5000,"&gt;="&amp;DATE(VALUE(LEFT($B18,4)),1,1),Project_Activity!$H$2:$H$5000,"&lt;="&amp;EOMONTH(DATE(VALUE(LEFT($B18,4)),VALUE(RIGHT($B18,1))*3,1),0)))</f>
        <v>0</v>
      </c>
      <c r="R18" s="94" t="n">
        <f aca="false">IF($C18="","",SUMIFS(Project_Activity!$P$2:$P$5000,Project_Activity!$C$2:$C$5000,$C18,Project_Activity!$U$2:$U$5000,"Non-Recoverable",Project_Activity!$H$2:$H$5000,"&gt;="&amp;DATE(VALUE(LEFT($B18,4)),1,1),Project_Activity!$H$2:$H$5000,"&lt;="&amp;EOMONTH(DATE(VALUE(LEFT($B18,4)),VALUE(RIGHT($B18,1))*3,1),0)))</f>
        <v>0</v>
      </c>
      <c r="S18" s="94" t="n">
        <f aca="false">IF($C18="","",$O18-$P18-$Q18-$R18)</f>
        <v>-0</v>
      </c>
      <c r="T18" s="94" t="n">
        <f aca="false">IF($C18="","",SUMIFS(Project_Activity!$P$2:$P$5000,Project_Activity!$C$2:$C$5000,$C18,Project_Activity!$U$2:$U$5000,"Recoverable",Project_Activity!$H$2:$H$5000,"&gt;="&amp;DATE(VALUE(LEFT($B18,4)),1,1),Project_Activity!$H$2:$H$5000,"&lt;="&amp;EOMONTH(DATE(VALUE(LEFT($B18,4)),VALUE(RIGHT($B18,1))*3,1),0)))</f>
        <v>0</v>
      </c>
      <c r="U18" s="94" t="n">
        <f aca="false">IF($C18="","",-SUMIFS(Project_Activity!$P$2:$P$5000,Project_Activity!$C$2:$C$5000,$C18,Project_Activity!$U$2:$U$5000,"Recovered Expenses",Project_Activity!$H$2:$H$5000,"&gt;="&amp;DATE(VALUE(LEFT($B18,4)),1,1),Project_Activity!$H$2:$H$5000,"&lt;="&amp;EOMONTH(DATE(VALUE(LEFT($B18,4)),VALUE(RIGHT($B18,1))*3,1),0)))</f>
        <v>-0</v>
      </c>
      <c r="V18" s="145" t="n">
        <v>0</v>
      </c>
      <c r="W18" s="94" t="n">
        <f aca="false">IF($C18="","",$V18*$N18)</f>
        <v>0</v>
      </c>
      <c r="X18" s="145" t="n">
        <v>0</v>
      </c>
      <c r="Y18" s="94" t="n">
        <f aca="false">IF($C18="","",$X18*$N18)</f>
        <v>0</v>
      </c>
      <c r="Z18" s="145" t="n">
        <v>0.5</v>
      </c>
      <c r="AA18" s="94" t="n">
        <f aca="false">IF($C18="","",$Z18*$N18)</f>
        <v>31631.05</v>
      </c>
      <c r="AB18" s="145" t="n">
        <v>0.5</v>
      </c>
      <c r="AC18" s="94" t="n">
        <f aca="false">IF($C18="","",$AB18*$N18)</f>
        <v>31631.05</v>
      </c>
      <c r="AD18" s="94" t="n">
        <f aca="false">IF($C18="","",SUMPRODUCT((VALUE(MID($B18,7,1))&gt;={1,2,3,4})*CHOOSE({1,2,3,4},$W18,$Y18,$AA18,$AC18)))</f>
        <v>0</v>
      </c>
      <c r="AE18" s="94" t="n">
        <f aca="false">IF($C18="","",$W18+$Y18+$AA18+$AC18-$AD18)</f>
        <v>63262.1</v>
      </c>
      <c r="AF18" s="146"/>
      <c r="AG18" s="146"/>
      <c r="AH18" s="146" t="s">
        <v>844</v>
      </c>
      <c r="AI18" s="147" t="str">
        <f aca="false">IF($C18="","",IF(OR($L18="Pipeline",$N18&lt;0,$O18&gt;$N18+1,($V18+$X18+$Z18+$AB18)&gt;1.0001,ISNUMBER(SEARCH("not signed",$AF18))),"REVIEW","OK"))</f>
        <v>OK</v>
      </c>
    </row>
    <row r="19" customFormat="false" ht="13.5" hidden="false" customHeight="false" outlineLevel="0" collapsed="false">
      <c r="A19" s="95" t="str">
        <f aca="false">IF($C19="","",Controls!$B$7)</f>
        <v>PCGH</v>
      </c>
      <c r="B19" s="95" t="str">
        <f aca="false">IF($C19="","",Controls!$B$30)</f>
        <v>2026-Q2</v>
      </c>
      <c r="C19" s="95" t="str">
        <f aca="false">IF(MM_Income!$A22="","",MM_Income!$A22)</f>
        <v>PCGH782</v>
      </c>
      <c r="D19" s="95" t="str">
        <f aca="false">IF($C19="","",INDEX(MM_Income!$B$5:$B$204,MATCH($C19,MM_Income!$A$5:$A$204,0)))</f>
        <v>MIRROR_PCUK111_NESTLE_RS_SUGAR_2026_E_CAM</v>
      </c>
      <c r="E19" s="95" t="str">
        <f aca="false">IF($C19="","",INDEX(MM_Income!$C$5:$C$204,MATCH($C19,MM_Income!$A$5:$A$204,0)))</f>
        <v>Responsible Sourcing</v>
      </c>
      <c r="F19" s="95" t="str">
        <f aca="false">IF($C19="","",INDEX(MM_Income!$F$5:$F$204,MATCH($C19,MM_Income!$A$5:$A$204,0)))</f>
        <v>Responsible Sourcing</v>
      </c>
      <c r="G19" s="95" t="str">
        <f aca="false">IF($C19="","",INDEX(MM_Income!$G$5:$G$204,MATCH($C19,MM_Income!$A$5:$A$204,0)))</f>
        <v>Internal</v>
      </c>
      <c r="H19" s="95" t="str">
        <f aca="false">IF($C19="","",INDEX(MM_Income!$H$5:$H$204,MATCH($C19,MM_Income!$A$5:$A$204,0)))</f>
        <v>Sugar</v>
      </c>
      <c r="I19" s="95" t="str">
        <f aca="false">IF($C19="","",INDEX(MM_Income!$I$5:$I$204,MATCH($C19,MM_Income!$A$5:$A$204,0)))</f>
        <v>Nestlé (via PCUK)</v>
      </c>
      <c r="J19" s="95" t="str">
        <f aca="false">IF($C19="","",INDEX(MM_Income!$D$5:$D$204,MATCH($C19,MM_Income!$A$5:$A$204,0)))</f>
        <v>PO</v>
      </c>
      <c r="K19" s="95" t="str">
        <f aca="false">IF($C19="","",INDEX(MM_Income!$E$5:$E$204,MATCH($C19,MM_Income!$A$5:$A$204,0)))</f>
        <v>Current</v>
      </c>
      <c r="L19" s="95" t="str">
        <f aca="false">IF($C19="","",INDEX(MM_Income!$U$5:$U$204,MATCH($C19,MM_Income!$A$5:$A$204,0)))</f>
        <v>Secured</v>
      </c>
      <c r="M19" s="143" t="n">
        <f aca="false">IF($C19="","",INDEX(MM_Income!$V$5:$V$204,MATCH($C19,MM_Income!$A$5:$A$204,0)))</f>
        <v>1</v>
      </c>
      <c r="N19" s="144" t="n">
        <f aca="false">IF($C19="","",INDEX(MM_Income!$T$5:$T$204,MATCH($C19,MM_Income!$A$5:$A$204,0)))</f>
        <v>313463.85</v>
      </c>
      <c r="O19" s="94" t="n">
        <f aca="false">IF($C19="","",-SUMIFS(Project_Activity!$P$2:$P$5000,Project_Activity!$C$2:$C$5000,$C19,Project_Activity!$U$2:$U$5000,"Invoiced Income",Project_Activity!$H$2:$H$5000,"&gt;="&amp;DATE(VALUE(LEFT($B19,4)),1,1),Project_Activity!$H$2:$H$5000,"&lt;="&amp;EOMONTH(DATE(VALUE(LEFT($B19,4)),VALUE(RIGHT($B19,1))*3,1),0)))</f>
        <v>-0</v>
      </c>
      <c r="P19" s="94" t="n">
        <f aca="false">IF($C19="","",SUMIFS(Project_Activity!$P$2:$P$5000,Project_Activity!$C$2:$C$5000,$C19,Project_Activity!$U$2:$U$5000,"Subcontractor",Project_Activity!$H$2:$H$5000,"&gt;="&amp;DATE(VALUE(LEFT($B19,4)),1,1),Project_Activity!$H$2:$H$5000,"&lt;="&amp;EOMONTH(DATE(VALUE(LEFT($B19,4)),VALUE(RIGHT($B19,1))*3,1),0)))</f>
        <v>0</v>
      </c>
      <c r="Q19" s="94" t="n">
        <f aca="false">IF($C19="","",SUMIFS(Project_Activity!$P$2:$P$5000,Project_Activity!$C$2:$C$5000,$C19,Project_Activity!$U$2:$U$5000,"Project Inclusive",Project_Activity!$H$2:$H$5000,"&gt;="&amp;DATE(VALUE(LEFT($B19,4)),1,1),Project_Activity!$H$2:$H$5000,"&lt;="&amp;EOMONTH(DATE(VALUE(LEFT($B19,4)),VALUE(RIGHT($B19,1))*3,1),0)))</f>
        <v>0</v>
      </c>
      <c r="R19" s="94" t="n">
        <f aca="false">IF($C19="","",SUMIFS(Project_Activity!$P$2:$P$5000,Project_Activity!$C$2:$C$5000,$C19,Project_Activity!$U$2:$U$5000,"Non-Recoverable",Project_Activity!$H$2:$H$5000,"&gt;="&amp;DATE(VALUE(LEFT($B19,4)),1,1),Project_Activity!$H$2:$H$5000,"&lt;="&amp;EOMONTH(DATE(VALUE(LEFT($B19,4)),VALUE(RIGHT($B19,1))*3,1),0)))</f>
        <v>0</v>
      </c>
      <c r="S19" s="94" t="n">
        <f aca="false">IF($C19="","",$O19-$P19-$Q19-$R19)</f>
        <v>-0</v>
      </c>
      <c r="T19" s="94" t="n">
        <f aca="false">IF($C19="","",SUMIFS(Project_Activity!$P$2:$P$5000,Project_Activity!$C$2:$C$5000,$C19,Project_Activity!$U$2:$U$5000,"Recoverable",Project_Activity!$H$2:$H$5000,"&gt;="&amp;DATE(VALUE(LEFT($B19,4)),1,1),Project_Activity!$H$2:$H$5000,"&lt;="&amp;EOMONTH(DATE(VALUE(LEFT($B19,4)),VALUE(RIGHT($B19,1))*3,1),0)))</f>
        <v>0</v>
      </c>
      <c r="U19" s="94" t="n">
        <f aca="false">IF($C19="","",-SUMIFS(Project_Activity!$P$2:$P$5000,Project_Activity!$C$2:$C$5000,$C19,Project_Activity!$U$2:$U$5000,"Recovered Expenses",Project_Activity!$H$2:$H$5000,"&gt;="&amp;DATE(VALUE(LEFT($B19,4)),1,1),Project_Activity!$H$2:$H$5000,"&lt;="&amp;EOMONTH(DATE(VALUE(LEFT($B19,4)),VALUE(RIGHT($B19,1))*3,1),0)))</f>
        <v>-0</v>
      </c>
      <c r="V19" s="145" t="n">
        <v>0</v>
      </c>
      <c r="W19" s="94" t="n">
        <f aca="false">IF($C19="","",$V19*$N19)</f>
        <v>0</v>
      </c>
      <c r="X19" s="145" t="n">
        <v>0</v>
      </c>
      <c r="Y19" s="94" t="n">
        <f aca="false">IF($C19="","",$X19*$N19)</f>
        <v>0</v>
      </c>
      <c r="Z19" s="145" t="n">
        <v>0</v>
      </c>
      <c r="AA19" s="94" t="n">
        <f aca="false">IF($C19="","",$Z19*$N19)</f>
        <v>0</v>
      </c>
      <c r="AB19" s="145" t="n">
        <v>0</v>
      </c>
      <c r="AC19" s="94" t="n">
        <f aca="false">IF($C19="","",$AB19*$N19)</f>
        <v>0</v>
      </c>
      <c r="AD19" s="94" t="n">
        <f aca="false">IF($C19="","",SUMPRODUCT((VALUE(MID($B19,7,1))&gt;={1,2,3,4})*CHOOSE({1,2,3,4},$W19,$Y19,$AA19,$AC19)))</f>
        <v>0</v>
      </c>
      <c r="AE19" s="94" t="n">
        <f aca="false">IF($C19="","",$W19+$Y19+$AA19+$AC19-$AD19)</f>
        <v>0</v>
      </c>
      <c r="AF19" s="146"/>
      <c r="AG19" s="146"/>
      <c r="AH19" s="146" t="s">
        <v>844</v>
      </c>
      <c r="AI19" s="147" t="str">
        <f aca="false">IF($C19="","",IF(OR($L19="Pipeline",$N19&lt;0,$O19&gt;$N19+1,($V19+$X19+$Z19+$AB19)&gt;1.0001,ISNUMBER(SEARCH("not signed",$AF19))),"REVIEW","OK"))</f>
        <v>OK</v>
      </c>
    </row>
    <row r="20" customFormat="false" ht="13.5" hidden="false" customHeight="false" outlineLevel="0" collapsed="false">
      <c r="A20" s="95" t="str">
        <f aca="false">IF($C20="","",Controls!$B$7)</f>
        <v>PCGH</v>
      </c>
      <c r="B20" s="95" t="str">
        <f aca="false">IF($C20="","",Controls!$B$30)</f>
        <v>2026-Q2</v>
      </c>
      <c r="C20" s="95" t="str">
        <f aca="false">IF(MM_Income!$A23="","",MM_Income!$A23)</f>
        <v>PCGH783</v>
      </c>
      <c r="D20" s="95" t="str">
        <f aca="false">IF($C20="","",INDEX(MM_Income!$B$5:$B$204,MATCH($C20,MM_Income!$A$5:$A$204,0)))</f>
        <v>MIRROR_PCUK111_NESTLE_RS_SUGAR_2026_F_ZIM</v>
      </c>
      <c r="E20" s="95" t="str">
        <f aca="false">IF($C20="","",INDEX(MM_Income!$C$5:$C$204,MATCH($C20,MM_Income!$A$5:$A$204,0)))</f>
        <v>Responsible Sourcing</v>
      </c>
      <c r="F20" s="95" t="str">
        <f aca="false">IF($C20="","",INDEX(MM_Income!$F$5:$F$204,MATCH($C20,MM_Income!$A$5:$A$204,0)))</f>
        <v>Responsible Sourcing</v>
      </c>
      <c r="G20" s="95" t="str">
        <f aca="false">IF($C20="","",INDEX(MM_Income!$G$5:$G$204,MATCH($C20,MM_Income!$A$5:$A$204,0)))</f>
        <v>Internal</v>
      </c>
      <c r="H20" s="95" t="str">
        <f aca="false">IF($C20="","",INDEX(MM_Income!$H$5:$H$204,MATCH($C20,MM_Income!$A$5:$A$204,0)))</f>
        <v>Sugar</v>
      </c>
      <c r="I20" s="95" t="str">
        <f aca="false">IF($C20="","",INDEX(MM_Income!$I$5:$I$204,MATCH($C20,MM_Income!$A$5:$A$204,0)))</f>
        <v>Nestlé (via PCUK)</v>
      </c>
      <c r="J20" s="95" t="str">
        <f aca="false">IF($C20="","",INDEX(MM_Income!$D$5:$D$204,MATCH($C20,MM_Income!$A$5:$A$204,0)))</f>
        <v>PO</v>
      </c>
      <c r="K20" s="95" t="str">
        <f aca="false">IF($C20="","",INDEX(MM_Income!$E$5:$E$204,MATCH($C20,MM_Income!$A$5:$A$204,0)))</f>
        <v>Current</v>
      </c>
      <c r="L20" s="95" t="str">
        <f aca="false">IF($C20="","",INDEX(MM_Income!$U$5:$U$204,MATCH($C20,MM_Income!$A$5:$A$204,0)))</f>
        <v>Secured</v>
      </c>
      <c r="M20" s="143" t="n">
        <f aca="false">IF($C20="","",INDEX(MM_Income!$V$5:$V$204,MATCH($C20,MM_Income!$A$5:$A$204,0)))</f>
        <v>1</v>
      </c>
      <c r="N20" s="144" t="n">
        <f aca="false">IF($C20="","",INDEX(MM_Income!$T$5:$T$204,MATCH($C20,MM_Income!$A$5:$A$204,0)))</f>
        <v>204568.65</v>
      </c>
      <c r="O20" s="94" t="n">
        <f aca="false">IF($C20="","",-SUMIFS(Project_Activity!$P$2:$P$5000,Project_Activity!$C$2:$C$5000,$C20,Project_Activity!$U$2:$U$5000,"Invoiced Income",Project_Activity!$H$2:$H$5000,"&gt;="&amp;DATE(VALUE(LEFT($B20,4)),1,1),Project_Activity!$H$2:$H$5000,"&lt;="&amp;EOMONTH(DATE(VALUE(LEFT($B20,4)),VALUE(RIGHT($B20,1))*3,1),0)))</f>
        <v>102255</v>
      </c>
      <c r="P20" s="94" t="n">
        <f aca="false">IF($C20="","",SUMIFS(Project_Activity!$P$2:$P$5000,Project_Activity!$C$2:$C$5000,$C20,Project_Activity!$U$2:$U$5000,"Subcontractor",Project_Activity!$H$2:$H$5000,"&gt;="&amp;DATE(VALUE(LEFT($B20,4)),1,1),Project_Activity!$H$2:$H$5000,"&lt;="&amp;EOMONTH(DATE(VALUE(LEFT($B20,4)),VALUE(RIGHT($B20,1))*3,1),0)))</f>
        <v>0</v>
      </c>
      <c r="Q20" s="94" t="n">
        <f aca="false">IF($C20="","",SUMIFS(Project_Activity!$P$2:$P$5000,Project_Activity!$C$2:$C$5000,$C20,Project_Activity!$U$2:$U$5000,"Project Inclusive",Project_Activity!$H$2:$H$5000,"&gt;="&amp;DATE(VALUE(LEFT($B20,4)),1,1),Project_Activity!$H$2:$H$5000,"&lt;="&amp;EOMONTH(DATE(VALUE(LEFT($B20,4)),VALUE(RIGHT($B20,1))*3,1),0)))</f>
        <v>0</v>
      </c>
      <c r="R20" s="94" t="n">
        <f aca="false">IF($C20="","",SUMIFS(Project_Activity!$P$2:$P$5000,Project_Activity!$C$2:$C$5000,$C20,Project_Activity!$U$2:$U$5000,"Non-Recoverable",Project_Activity!$H$2:$H$5000,"&gt;="&amp;DATE(VALUE(LEFT($B20,4)),1,1),Project_Activity!$H$2:$H$5000,"&lt;="&amp;EOMONTH(DATE(VALUE(LEFT($B20,4)),VALUE(RIGHT($B20,1))*3,1),0)))</f>
        <v>0</v>
      </c>
      <c r="S20" s="94" t="n">
        <f aca="false">IF($C20="","",$O20-$P20-$Q20-$R20)</f>
        <v>102255</v>
      </c>
      <c r="T20" s="94" t="n">
        <f aca="false">IF($C20="","",SUMIFS(Project_Activity!$P$2:$P$5000,Project_Activity!$C$2:$C$5000,$C20,Project_Activity!$U$2:$U$5000,"Recoverable",Project_Activity!$H$2:$H$5000,"&gt;="&amp;DATE(VALUE(LEFT($B20,4)),1,1),Project_Activity!$H$2:$H$5000,"&lt;="&amp;EOMONTH(DATE(VALUE(LEFT($B20,4)),VALUE(RIGHT($B20,1))*3,1),0)))</f>
        <v>0</v>
      </c>
      <c r="U20" s="94" t="n">
        <f aca="false">IF($C20="","",-SUMIFS(Project_Activity!$P$2:$P$5000,Project_Activity!$C$2:$C$5000,$C20,Project_Activity!$U$2:$U$5000,"Recovered Expenses",Project_Activity!$H$2:$H$5000,"&gt;="&amp;DATE(VALUE(LEFT($B20,4)),1,1),Project_Activity!$H$2:$H$5000,"&lt;="&amp;EOMONTH(DATE(VALUE(LEFT($B20,4)),VALUE(RIGHT($B20,1))*3,1),0)))</f>
        <v>-0</v>
      </c>
      <c r="V20" s="145" t="n">
        <v>0.4</v>
      </c>
      <c r="W20" s="94" t="n">
        <f aca="false">IF($C20="","",$V20*$N20)</f>
        <v>81827.46</v>
      </c>
      <c r="X20" s="145" t="n">
        <v>0.1</v>
      </c>
      <c r="Y20" s="94" t="n">
        <f aca="false">IF($C20="","",$X20*$N20)</f>
        <v>20456.865</v>
      </c>
      <c r="Z20" s="145" t="n">
        <v>0.25</v>
      </c>
      <c r="AA20" s="94" t="n">
        <f aca="false">IF($C20="","",$Z20*$N20)</f>
        <v>51142.1625</v>
      </c>
      <c r="AB20" s="145" t="n">
        <v>0.25</v>
      </c>
      <c r="AC20" s="94" t="n">
        <f aca="false">IF($C20="","",$AB20*$N20)</f>
        <v>51142.1625</v>
      </c>
      <c r="AD20" s="94" t="n">
        <f aca="false">IF($C20="","",SUMPRODUCT((VALUE(MID($B20,7,1))&gt;={1,2,3,4})*CHOOSE({1,2,3,4},$W20,$Y20,$AA20,$AC20)))</f>
        <v>102284.325</v>
      </c>
      <c r="AE20" s="94" t="n">
        <f aca="false">IF($C20="","",$W20+$Y20+$AA20+$AC20-$AD20)</f>
        <v>102284.325</v>
      </c>
      <c r="AF20" s="146"/>
      <c r="AG20" s="146"/>
      <c r="AH20" s="146" t="s">
        <v>844</v>
      </c>
      <c r="AI20" s="147" t="str">
        <f aca="false">IF($C20="","",IF(OR($L20="Pipeline",$N20&lt;0,$O20&gt;$N20+1,($V20+$X20+$Z20+$AB20)&gt;1.0001,ISNUMBER(SEARCH("not signed",$AF20))),"REVIEW","OK"))</f>
        <v>OK</v>
      </c>
    </row>
    <row r="21" customFormat="false" ht="13.5" hidden="false" customHeight="false" outlineLevel="0" collapsed="false">
      <c r="A21" s="95" t="str">
        <f aca="false">IF($C21="","",Controls!$B$7)</f>
        <v>PCGH</v>
      </c>
      <c r="B21" s="95" t="str">
        <f aca="false">IF($C21="","",Controls!$B$30)</f>
        <v>2026-Q2</v>
      </c>
      <c r="C21" s="95" t="str">
        <f aca="false">IF(MM_Income!$A24="","",MM_Income!$A24)</f>
        <v>PCGH784</v>
      </c>
      <c r="D21" s="95" t="str">
        <f aca="false">IF($C21="","",INDEX(MM_Income!$B$5:$B$204,MATCH($C21,MM_Income!$A$5:$A$204,0)))</f>
        <v>RENL_ERUA_HCV-HCSA ASSESSMENT</v>
      </c>
      <c r="E21" s="95" t="str">
        <f aca="false">IF($C21="","",INDEX(MM_Income!$C$5:$C$204,MATCH($C21,MM_Income!$A$5:$A$204,0)))</f>
        <v>Responsible Production</v>
      </c>
      <c r="F21" s="95" t="str">
        <f aca="false">IF($C21="","",INDEX(MM_Income!$F$5:$F$204,MATCH($C21,MM_Income!$A$5:$A$204,0)))</f>
        <v>Responsible Production</v>
      </c>
      <c r="G21" s="95" t="str">
        <f aca="false">IF($C21="","",INDEX(MM_Income!$G$5:$G$204,MATCH($C21,MM_Income!$A$5:$A$204,0)))</f>
        <v>External</v>
      </c>
      <c r="H21" s="95" t="str">
        <f aca="false">IF($C21="","",INDEX(MM_Income!$H$5:$H$204,MATCH($C21,MM_Income!$A$5:$A$204,0)))</f>
        <v>Rubber</v>
      </c>
      <c r="I21" s="95" t="str">
        <f aca="false">IF($C21="","",INDEX(MM_Income!$I$5:$I$204,MATCH($C21,MM_Income!$A$5:$A$204,0)))</f>
        <v>RENL</v>
      </c>
      <c r="J21" s="95" t="str">
        <f aca="false">IF($C21="","",INDEX(MM_Income!$D$5:$D$204,MATCH($C21,MM_Income!$A$5:$A$204,0)))</f>
        <v>SD</v>
      </c>
      <c r="K21" s="95" t="str">
        <f aca="false">IF($C21="","",INDEX(MM_Income!$E$5:$E$204,MATCH($C21,MM_Income!$A$5:$A$204,0)))</f>
        <v>Current</v>
      </c>
      <c r="L21" s="95" t="str">
        <f aca="false">IF($C21="","",INDEX(MM_Income!$U$5:$U$204,MATCH($C21,MM_Income!$A$5:$A$204,0)))</f>
        <v>Secured</v>
      </c>
      <c r="M21" s="143" t="n">
        <f aca="false">IF($C21="","",INDEX(MM_Income!$V$5:$V$204,MATCH($C21,MM_Income!$A$5:$A$204,0)))</f>
        <v>1</v>
      </c>
      <c r="N21" s="144" t="n">
        <f aca="false">IF($C21="","",INDEX(MM_Income!$T$5:$T$204,MATCH($C21,MM_Income!$A$5:$A$204,0)))</f>
        <v>474438</v>
      </c>
      <c r="O21" s="94" t="n">
        <f aca="false">IF($C21="","",-SUMIFS(Project_Activity!$P$2:$P$5000,Project_Activity!$C$2:$C$5000,$C21,Project_Activity!$U$2:$U$5000,"Invoiced Income",Project_Activity!$H$2:$H$5000,"&gt;="&amp;DATE(VALUE(LEFT($B21,4)),1,1),Project_Activity!$H$2:$H$5000,"&lt;="&amp;EOMONTH(DATE(VALUE(LEFT($B21,4)),VALUE(RIGHT($B21,1))*3,1),0)))</f>
        <v>506537.7</v>
      </c>
      <c r="P21" s="94" t="n">
        <f aca="false">IF($C21="","",SUMIFS(Project_Activity!$P$2:$P$5000,Project_Activity!$C$2:$C$5000,$C21,Project_Activity!$U$2:$U$5000,"Subcontractor",Project_Activity!$H$2:$H$5000,"&gt;="&amp;DATE(VALUE(LEFT($B21,4)),1,1),Project_Activity!$H$2:$H$5000,"&lt;="&amp;EOMONTH(DATE(VALUE(LEFT($B21,4)),VALUE(RIGHT($B21,1))*3,1),0)))</f>
        <v>0</v>
      </c>
      <c r="Q21" s="94" t="n">
        <f aca="false">IF($C21="","",SUMIFS(Project_Activity!$P$2:$P$5000,Project_Activity!$C$2:$C$5000,$C21,Project_Activity!$U$2:$U$5000,"Project Inclusive",Project_Activity!$H$2:$H$5000,"&gt;="&amp;DATE(VALUE(LEFT($B21,4)),1,1),Project_Activity!$H$2:$H$5000,"&lt;="&amp;EOMONTH(DATE(VALUE(LEFT($B21,4)),VALUE(RIGHT($B21,1))*3,1),0)))</f>
        <v>0</v>
      </c>
      <c r="R21" s="94" t="n">
        <f aca="false">IF($C21="","",SUMIFS(Project_Activity!$P$2:$P$5000,Project_Activity!$C$2:$C$5000,$C21,Project_Activity!$U$2:$U$5000,"Non-Recoverable",Project_Activity!$H$2:$H$5000,"&gt;="&amp;DATE(VALUE(LEFT($B21,4)),1,1),Project_Activity!$H$2:$H$5000,"&lt;="&amp;EOMONTH(DATE(VALUE(LEFT($B21,4)),VALUE(RIGHT($B21,1))*3,1),0)))</f>
        <v>0</v>
      </c>
      <c r="S21" s="94" t="n">
        <f aca="false">IF($C21="","",$O21-$P21-$Q21-$R21)</f>
        <v>506537.7</v>
      </c>
      <c r="T21" s="94" t="n">
        <f aca="false">IF($C21="","",SUMIFS(Project_Activity!$P$2:$P$5000,Project_Activity!$C$2:$C$5000,$C21,Project_Activity!$U$2:$U$5000,"Recoverable",Project_Activity!$H$2:$H$5000,"&gt;="&amp;DATE(VALUE(LEFT($B21,4)),1,1),Project_Activity!$H$2:$H$5000,"&lt;="&amp;EOMONTH(DATE(VALUE(LEFT($B21,4)),VALUE(RIGHT($B21,1))*3,1),0)))</f>
        <v>0</v>
      </c>
      <c r="U21" s="94" t="n">
        <f aca="false">IF($C21="","",-SUMIFS(Project_Activity!$P$2:$P$5000,Project_Activity!$C$2:$C$5000,$C21,Project_Activity!$U$2:$U$5000,"Recovered Expenses",Project_Activity!$H$2:$H$5000,"&gt;="&amp;DATE(VALUE(LEFT($B21,4)),1,1),Project_Activity!$H$2:$H$5000,"&lt;="&amp;EOMONTH(DATE(VALUE(LEFT($B21,4)),VALUE(RIGHT($B21,1))*3,1),0)))</f>
        <v>-0</v>
      </c>
      <c r="V21" s="145" t="n">
        <v>0.7</v>
      </c>
      <c r="W21" s="94" t="n">
        <f aca="false">IF($C21="","",$V21*$N21)</f>
        <v>332106.6</v>
      </c>
      <c r="X21" s="145" t="n">
        <v>0.1</v>
      </c>
      <c r="Y21" s="94" t="n">
        <f aca="false">IF($C21="","",$X21*$N21)</f>
        <v>47443.8</v>
      </c>
      <c r="Z21" s="145" t="n">
        <v>0.1</v>
      </c>
      <c r="AA21" s="94" t="n">
        <f aca="false">IF($C21="","",$Z21*$N21)</f>
        <v>47443.8</v>
      </c>
      <c r="AB21" s="145" t="n">
        <v>0.1</v>
      </c>
      <c r="AC21" s="94" t="n">
        <f aca="false">IF($C21="","",$AB21*$N21)</f>
        <v>47443.8</v>
      </c>
      <c r="AD21" s="94" t="n">
        <f aca="false">IF($C21="","",SUMPRODUCT((VALUE(MID($B21,7,1))&gt;={1,2,3,4})*CHOOSE({1,2,3,4},$W21,$Y21,$AA21,$AC21)))</f>
        <v>379550.4</v>
      </c>
      <c r="AE21" s="94" t="n">
        <f aca="false">IF($C21="","",$W21+$Y21+$AA21+$AC21-$AD21)</f>
        <v>94887.6</v>
      </c>
      <c r="AF21" s="146"/>
      <c r="AG21" s="146"/>
      <c r="AH21" s="146" t="s">
        <v>844</v>
      </c>
      <c r="AI21" s="147" t="str">
        <f aca="false">IF($C21="","",IF(OR($L21="Pipeline",$N21&lt;0,$O21&gt;$N21+1,($V21+$X21+$Z21+$AB21)&gt;1.0001,ISNUMBER(SEARCH("not signed",$AF21))),"REVIEW","OK"))</f>
        <v>REVIEW</v>
      </c>
    </row>
    <row r="22" customFormat="false" ht="13.5" hidden="false" customHeight="false" outlineLevel="0" collapsed="false">
      <c r="A22" s="95" t="str">
        <f aca="false">IF($C22="","",Controls!$B$7)</f>
        <v>PCGH</v>
      </c>
      <c r="B22" s="95" t="str">
        <f aca="false">IF($C22="","",Controls!$B$30)</f>
        <v>2026-Q2</v>
      </c>
      <c r="C22" s="95" t="str">
        <f aca="false">IF(MM_Income!$A25="","",MM_Income!$A25)</f>
        <v>PCGH785</v>
      </c>
      <c r="D22" s="95" t="str">
        <f aca="false">IF($C22="","",INDEX(MM_Income!$B$5:$B$204,MATCH($C22,MM_Income!$A$5:$A$204,0)))</f>
        <v>RENL_AGO-IWOYE_HCV-HCSA NEW SCOPING</v>
      </c>
      <c r="E22" s="95" t="str">
        <f aca="false">IF($C22="","",INDEX(MM_Income!$C$5:$C$204,MATCH($C22,MM_Income!$A$5:$A$204,0)))</f>
        <v>Responsible Production</v>
      </c>
      <c r="F22" s="95" t="str">
        <f aca="false">IF($C22="","",INDEX(MM_Income!$F$5:$F$204,MATCH($C22,MM_Income!$A$5:$A$204,0)))</f>
        <v>Responsible Production</v>
      </c>
      <c r="G22" s="95" t="str">
        <f aca="false">IF($C22="","",INDEX(MM_Income!$G$5:$G$204,MATCH($C22,MM_Income!$A$5:$A$204,0)))</f>
        <v>External</v>
      </c>
      <c r="H22" s="95" t="str">
        <f aca="false">IF($C22="","",INDEX(MM_Income!$H$5:$H$204,MATCH($C22,MM_Income!$A$5:$A$204,0)))</f>
        <v>Rubber</v>
      </c>
      <c r="I22" s="95" t="str">
        <f aca="false">IF($C22="","",INDEX(MM_Income!$I$5:$I$204,MATCH($C22,MM_Income!$A$5:$A$204,0)))</f>
        <v>RENL</v>
      </c>
      <c r="J22" s="95" t="str">
        <f aca="false">IF($C22="","",INDEX(MM_Income!$D$5:$D$204,MATCH($C22,MM_Income!$A$5:$A$204,0)))</f>
        <v>Abe</v>
      </c>
      <c r="K22" s="95" t="str">
        <f aca="false">IF($C22="","",INDEX(MM_Income!$E$5:$E$204,MATCH($C22,MM_Income!$A$5:$A$204,0)))</f>
        <v>Completed</v>
      </c>
      <c r="L22" s="95" t="str">
        <f aca="false">IF($C22="","",INDEX(MM_Income!$U$5:$U$204,MATCH($C22,MM_Income!$A$5:$A$204,0)))</f>
        <v>Secured</v>
      </c>
      <c r="M22" s="143" t="n">
        <f aca="false">IF($C22="","",INDEX(MM_Income!$V$5:$V$204,MATCH($C22,MM_Income!$A$5:$A$204,0)))</f>
        <v>1</v>
      </c>
      <c r="N22" s="144" t="n">
        <f aca="false">IF($C22="","",INDEX(MM_Income!$T$5:$T$204,MATCH($C22,MM_Income!$A$5:$A$204,0)))</f>
        <v>168739</v>
      </c>
      <c r="O22" s="94" t="n">
        <f aca="false">IF($C22="","",-SUMIFS(Project_Activity!$P$2:$P$5000,Project_Activity!$C$2:$C$5000,$C22,Project_Activity!$U$2:$U$5000,"Invoiced Income",Project_Activity!$H$2:$H$5000,"&gt;="&amp;DATE(VALUE(LEFT($B22,4)),1,1),Project_Activity!$H$2:$H$5000,"&lt;="&amp;EOMONTH(DATE(VALUE(LEFT($B22,4)),VALUE(RIGHT($B22,1))*3,1),0)))</f>
        <v>168738.9</v>
      </c>
      <c r="P22" s="94" t="n">
        <f aca="false">IF($C22="","",SUMIFS(Project_Activity!$P$2:$P$5000,Project_Activity!$C$2:$C$5000,$C22,Project_Activity!$U$2:$U$5000,"Subcontractor",Project_Activity!$H$2:$H$5000,"&gt;="&amp;DATE(VALUE(LEFT($B22,4)),1,1),Project_Activity!$H$2:$H$5000,"&lt;="&amp;EOMONTH(DATE(VALUE(LEFT($B22,4)),VALUE(RIGHT($B22,1))*3,1),0)))</f>
        <v>0</v>
      </c>
      <c r="Q22" s="94" t="n">
        <f aca="false">IF($C22="","",SUMIFS(Project_Activity!$P$2:$P$5000,Project_Activity!$C$2:$C$5000,$C22,Project_Activity!$U$2:$U$5000,"Project Inclusive",Project_Activity!$H$2:$H$5000,"&gt;="&amp;DATE(VALUE(LEFT($B22,4)),1,1),Project_Activity!$H$2:$H$5000,"&lt;="&amp;EOMONTH(DATE(VALUE(LEFT($B22,4)),VALUE(RIGHT($B22,1))*3,1),0)))</f>
        <v>0</v>
      </c>
      <c r="R22" s="94" t="n">
        <f aca="false">IF($C22="","",SUMIFS(Project_Activity!$P$2:$P$5000,Project_Activity!$C$2:$C$5000,$C22,Project_Activity!$U$2:$U$5000,"Non-Recoverable",Project_Activity!$H$2:$H$5000,"&gt;="&amp;DATE(VALUE(LEFT($B22,4)),1,1),Project_Activity!$H$2:$H$5000,"&lt;="&amp;EOMONTH(DATE(VALUE(LEFT($B22,4)),VALUE(RIGHT($B22,1))*3,1),0)))</f>
        <v>239</v>
      </c>
      <c r="S22" s="94" t="n">
        <f aca="false">IF($C22="","",$O22-$P22-$Q22-$R22)</f>
        <v>168499.9</v>
      </c>
      <c r="T22" s="94" t="n">
        <f aca="false">IF($C22="","",SUMIFS(Project_Activity!$P$2:$P$5000,Project_Activity!$C$2:$C$5000,$C22,Project_Activity!$U$2:$U$5000,"Recoverable",Project_Activity!$H$2:$H$5000,"&gt;="&amp;DATE(VALUE(LEFT($B22,4)),1,1),Project_Activity!$H$2:$H$5000,"&lt;="&amp;EOMONTH(DATE(VALUE(LEFT($B22,4)),VALUE(RIGHT($B22,1))*3,1),0)))</f>
        <v>0</v>
      </c>
      <c r="U22" s="94" t="n">
        <f aca="false">IF($C22="","",-SUMIFS(Project_Activity!$P$2:$P$5000,Project_Activity!$C$2:$C$5000,$C22,Project_Activity!$U$2:$U$5000,"Recovered Expenses",Project_Activity!$H$2:$H$5000,"&gt;="&amp;DATE(VALUE(LEFT($B22,4)),1,1),Project_Activity!$H$2:$H$5000,"&lt;="&amp;EOMONTH(DATE(VALUE(LEFT($B22,4)),VALUE(RIGHT($B22,1))*3,1),0)))</f>
        <v>-0</v>
      </c>
      <c r="V22" s="145" t="n">
        <v>0</v>
      </c>
      <c r="W22" s="94" t="n">
        <f aca="false">IF($C22="","",$V22*$N22)</f>
        <v>0</v>
      </c>
      <c r="X22" s="145" t="n">
        <v>1</v>
      </c>
      <c r="Y22" s="94" t="n">
        <f aca="false">IF($C22="","",$X22*$N22)</f>
        <v>168739</v>
      </c>
      <c r="Z22" s="145" t="n">
        <v>0</v>
      </c>
      <c r="AA22" s="94" t="n">
        <f aca="false">IF($C22="","",$Z22*$N22)</f>
        <v>0</v>
      </c>
      <c r="AB22" s="145" t="n">
        <v>0</v>
      </c>
      <c r="AC22" s="94" t="n">
        <f aca="false">IF($C22="","",$AB22*$N22)</f>
        <v>0</v>
      </c>
      <c r="AD22" s="94" t="n">
        <f aca="false">IF($C22="","",SUMPRODUCT((VALUE(MID($B22,7,1))&gt;={1,2,3,4})*CHOOSE({1,2,3,4},$W22,$Y22,$AA22,$AC22)))</f>
        <v>168739</v>
      </c>
      <c r="AE22" s="94" t="n">
        <f aca="false">IF($C22="","",$W22+$Y22+$AA22+$AC22-$AD22)</f>
        <v>0</v>
      </c>
      <c r="AF22" s="146"/>
      <c r="AG22" s="146"/>
      <c r="AH22" s="146" t="s">
        <v>844</v>
      </c>
      <c r="AI22" s="147" t="str">
        <f aca="false">IF($C22="","",IF(OR($L22="Pipeline",$N22&lt;0,$O22&gt;$N22+1,($V22+$X22+$Z22+$AB22)&gt;1.0001,ISNUMBER(SEARCH("not signed",$AF22))),"REVIEW","OK"))</f>
        <v>OK</v>
      </c>
    </row>
    <row r="23" customFormat="false" ht="13.5" hidden="false" customHeight="false" outlineLevel="0" collapsed="false">
      <c r="A23" s="95" t="str">
        <f aca="false">IF($C23="","",Controls!$B$7)</f>
        <v>PCGH</v>
      </c>
      <c r="B23" s="95" t="str">
        <f aca="false">IF($C23="","",Controls!$B$30)</f>
        <v>2026-Q2</v>
      </c>
      <c r="C23" s="95" t="str">
        <f aca="false">IF(MM_Income!$A26="","",MM_Income!$A26)</f>
        <v>PCGH786</v>
      </c>
      <c r="D23" s="95" t="str">
        <f aca="false">IF($C23="","",INDEX(MM_Income!$B$5:$B$204,MATCH($C23,MM_Income!$A$5:$A$204,0)))</f>
        <v>IMPACT LEVEL BASELINE ASSESSMENT FOR FGMC - REVENUE ASSESSMENT</v>
      </c>
      <c r="E23" s="95" t="str">
        <f aca="false">IF($C23="","",INDEX(MM_Income!$C$5:$C$204,MATCH($C23,MM_Income!$A$5:$A$204,0)))</f>
        <v>Responsible Production</v>
      </c>
      <c r="F23" s="95" t="str">
        <f aca="false">IF($C23="","",INDEX(MM_Income!$F$5:$F$204,MATCH($C23,MM_Income!$A$5:$A$204,0)))</f>
        <v>Responsible Production</v>
      </c>
      <c r="G23" s="95" t="str">
        <f aca="false">IF($C23="","",INDEX(MM_Income!$G$5:$G$204,MATCH($C23,MM_Income!$A$5:$A$204,0)))</f>
        <v>External</v>
      </c>
      <c r="H23" s="95" t="str">
        <f aca="false">IF($C23="","",INDEX(MM_Income!$H$5:$H$204,MATCH($C23,MM_Income!$A$5:$A$204,0)))</f>
        <v>Forest</v>
      </c>
      <c r="I23" s="95" t="str">
        <f aca="false">IF($C23="","",INDEX(MM_Income!$I$5:$I$204,MATCH($C23,MM_Income!$A$5:$A$204,0)))</f>
        <v>FGMC</v>
      </c>
      <c r="J23" s="95" t="str">
        <f aca="false">IF($C23="","",INDEX(MM_Income!$D$5:$D$204,MATCH($C23,MM_Income!$A$5:$A$204,0)))</f>
        <v>Abe</v>
      </c>
      <c r="K23" s="95" t="str">
        <f aca="false">IF($C23="","",INDEX(MM_Income!$E$5:$E$204,MATCH($C23,MM_Income!$A$5:$A$204,0)))</f>
        <v>Completed</v>
      </c>
      <c r="L23" s="95" t="str">
        <f aca="false">IF($C23="","",INDEX(MM_Income!$U$5:$U$204,MATCH($C23,MM_Income!$A$5:$A$204,0)))</f>
        <v>Secured</v>
      </c>
      <c r="M23" s="143" t="n">
        <f aca="false">IF($C23="","",INDEX(MM_Income!$V$5:$V$204,MATCH($C23,MM_Income!$A$5:$A$204,0)))</f>
        <v>1</v>
      </c>
      <c r="N23" s="144" t="n">
        <f aca="false">IF($C23="","",INDEX(MM_Income!$T$5:$T$204,MATCH($C23,MM_Income!$A$5:$A$204,0)))</f>
        <v>417503.85</v>
      </c>
      <c r="O23" s="94" t="n">
        <f aca="false">IF($C23="","",-SUMIFS(Project_Activity!$P$2:$P$5000,Project_Activity!$C$2:$C$5000,$C23,Project_Activity!$U$2:$U$5000,"Invoiced Income",Project_Activity!$H$2:$H$5000,"&gt;="&amp;DATE(VALUE(LEFT($B23,4)),1,1),Project_Activity!$H$2:$H$5000,"&lt;="&amp;EOMONTH(DATE(VALUE(LEFT($B23,4)),VALUE(RIGHT($B23,1))*3,1),0)))</f>
        <v>466927.3</v>
      </c>
      <c r="P23" s="94" t="n">
        <f aca="false">IF($C23="","",SUMIFS(Project_Activity!$P$2:$P$5000,Project_Activity!$C$2:$C$5000,$C23,Project_Activity!$U$2:$U$5000,"Subcontractor",Project_Activity!$H$2:$H$5000,"&gt;="&amp;DATE(VALUE(LEFT($B23,4)),1,1),Project_Activity!$H$2:$H$5000,"&lt;="&amp;EOMONTH(DATE(VALUE(LEFT($B23,4)),VALUE(RIGHT($B23,1))*3,1),0)))</f>
        <v>46680.57</v>
      </c>
      <c r="Q23" s="94" t="n">
        <f aca="false">IF($C23="","",SUMIFS(Project_Activity!$P$2:$P$5000,Project_Activity!$C$2:$C$5000,$C23,Project_Activity!$U$2:$U$5000,"Project Inclusive",Project_Activity!$H$2:$H$5000,"&gt;="&amp;DATE(VALUE(LEFT($B23,4)),1,1),Project_Activity!$H$2:$H$5000,"&lt;="&amp;EOMONTH(DATE(VALUE(LEFT($B23,4)),VALUE(RIGHT($B23,1))*3,1),0)))</f>
        <v>1050</v>
      </c>
      <c r="R23" s="94" t="n">
        <f aca="false">IF($C23="","",SUMIFS(Project_Activity!$P$2:$P$5000,Project_Activity!$C$2:$C$5000,$C23,Project_Activity!$U$2:$U$5000,"Non-Recoverable",Project_Activity!$H$2:$H$5000,"&gt;="&amp;DATE(VALUE(LEFT($B23,4)),1,1),Project_Activity!$H$2:$H$5000,"&lt;="&amp;EOMONTH(DATE(VALUE(LEFT($B23,4)),VALUE(RIGHT($B23,1))*3,1),0)))</f>
        <v>0</v>
      </c>
      <c r="S23" s="94" t="n">
        <v>421714</v>
      </c>
      <c r="T23" s="94" t="n">
        <f aca="false">IF($C23="","",SUMIFS(Project_Activity!$P$2:$P$5000,Project_Activity!$C$2:$C$5000,$C23,Project_Activity!$U$2:$U$5000,"Recoverable",Project_Activity!$H$2:$H$5000,"&gt;="&amp;DATE(VALUE(LEFT($B23,4)),1,1),Project_Activity!$H$2:$H$5000,"&lt;="&amp;EOMONTH(DATE(VALUE(LEFT($B23,4)),VALUE(RIGHT($B23,1))*3,1),0)))</f>
        <v>44310.7</v>
      </c>
      <c r="U23" s="94" t="n">
        <f aca="false">IF($C23="","",-SUMIFS(Project_Activity!$P$2:$P$5000,Project_Activity!$C$2:$C$5000,$C23,Project_Activity!$U$2:$U$5000,"Recovered Expenses",Project_Activity!$H$2:$H$5000,"&gt;="&amp;DATE(VALUE(LEFT($B23,4)),1,1),Project_Activity!$H$2:$H$5000,"&lt;="&amp;EOMONTH(DATE(VALUE(LEFT($B23,4)),VALUE(RIGHT($B23,1))*3,1),0)))</f>
        <v>45777.82</v>
      </c>
      <c r="V23" s="145" t="n">
        <v>0.3</v>
      </c>
      <c r="W23" s="94" t="n">
        <f aca="false">IF($C23="","",$V23*$N23)</f>
        <v>125251.155</v>
      </c>
      <c r="X23" s="145" t="n">
        <v>0.7</v>
      </c>
      <c r="Y23" s="94" t="n">
        <f aca="false">IF($C23="","",$X23*$N23)</f>
        <v>292252.695</v>
      </c>
      <c r="Z23" s="145" t="n">
        <v>0</v>
      </c>
      <c r="AA23" s="94" t="n">
        <f aca="false">IF($C23="","",$Z23*$N23)</f>
        <v>0</v>
      </c>
      <c r="AB23" s="145" t="n">
        <v>0</v>
      </c>
      <c r="AC23" s="94" t="n">
        <f aca="false">IF($C23="","",$AB23*$N23)</f>
        <v>0</v>
      </c>
      <c r="AD23" s="94" t="n">
        <f aca="false">IF($C23="","",SUMPRODUCT((VALUE(MID($B23,7,1))&gt;={1,2,3,4})*CHOOSE({1,2,3,4},$W23,$Y23,$AA23,$AC23)))</f>
        <v>417503.85</v>
      </c>
      <c r="AE23" s="94" t="n">
        <f aca="false">IF($C23="","",$W23+$Y23+$AA23+$AC23-$AD23)</f>
        <v>0</v>
      </c>
      <c r="AF23" s="146"/>
      <c r="AG23" s="146"/>
      <c r="AH23" s="146" t="s">
        <v>844</v>
      </c>
      <c r="AI23" s="147" t="str">
        <f aca="false">IF($C23="","",IF(OR($L23="Pipeline",$N23&lt;0,$O23&gt;$N23+1,($V23+$X23+$Z23+$AB23)&gt;1.0001,ISNUMBER(SEARCH("not signed",$AF23))),"REVIEW","OK"))</f>
        <v>REVIEW</v>
      </c>
    </row>
    <row r="24" customFormat="false" ht="13.5" hidden="false" customHeight="false" outlineLevel="0" collapsed="false">
      <c r="A24" s="95" t="str">
        <f aca="false">IF($C24="","",Controls!$B$7)</f>
        <v>PCGH</v>
      </c>
      <c r="B24" s="95" t="str">
        <f aca="false">IF($C24="","",Controls!$B$30)</f>
        <v>2026-Q2</v>
      </c>
      <c r="C24" s="95" t="str">
        <f aca="false">IF(MM_Income!$A27="","",MM_Income!$A27)</f>
        <v>PCGH787</v>
      </c>
      <c r="D24" s="95" t="str">
        <f aca="false">IF($C24="","",INDEX(MM_Income!$B$5:$B$204,MATCH($C24,MM_Income!$A$5:$A$204,0)))</f>
        <v>MIRROR_PCUK1184_HERSHEY_INTEGRATED_DD_PHASE 2</v>
      </c>
      <c r="E24" s="95" t="str">
        <f aca="false">IF($C24="","",INDEX(MM_Income!$C$5:$C$204,MATCH($C24,MM_Income!$A$5:$A$204,0)))</f>
        <v>Responsible Finance</v>
      </c>
      <c r="F24" s="95" t="str">
        <f aca="false">IF($C24="","",INDEX(MM_Income!$F$5:$F$204,MATCH($C24,MM_Income!$A$5:$A$204,0)))</f>
        <v>Responsible Finance</v>
      </c>
      <c r="G24" s="95" t="str">
        <f aca="false">IF($C24="","",INDEX(MM_Income!$G$5:$G$204,MATCH($C24,MM_Income!$A$5:$A$204,0)))</f>
        <v>Internal</v>
      </c>
      <c r="H24" s="95" t="str">
        <f aca="false">IF($C24="","",INDEX(MM_Income!$H$5:$H$204,MATCH($C24,MM_Income!$A$5:$A$204,0)))</f>
        <v>Cocoa</v>
      </c>
      <c r="I24" s="95" t="str">
        <f aca="false">IF($C24="","",INDEX(MM_Income!$I$5:$I$204,MATCH($C24,MM_Income!$A$5:$A$204,0)))</f>
        <v>Hershey (via PCUK)</v>
      </c>
      <c r="J24" s="95" t="str">
        <f aca="false">IF($C24="","",INDEX(MM_Income!$D$5:$D$204,MATCH($C24,MM_Income!$A$5:$A$204,0)))</f>
        <v>LD</v>
      </c>
      <c r="K24" s="95" t="str">
        <f aca="false">IF($C24="","",INDEX(MM_Income!$E$5:$E$204,MATCH($C24,MM_Income!$A$5:$A$204,0)))</f>
        <v>Current</v>
      </c>
      <c r="L24" s="95" t="str">
        <f aca="false">IF($C24="","",INDEX(MM_Income!$U$5:$U$204,MATCH($C24,MM_Income!$A$5:$A$204,0)))</f>
        <v>Secured</v>
      </c>
      <c r="M24" s="143" t="n">
        <f aca="false">IF($C24="","",INDEX(MM_Income!$V$5:$V$204,MATCH($C24,MM_Income!$A$5:$A$204,0)))</f>
        <v>1</v>
      </c>
      <c r="N24" s="144" t="n">
        <f aca="false">IF($C24="","",INDEX(MM_Income!$T$5:$T$204,MATCH($C24,MM_Income!$A$5:$A$204,0)))</f>
        <v>244444.4365</v>
      </c>
      <c r="O24" s="94" t="n">
        <f aca="false">IF($C24="","",-SUMIFS(Project_Activity!$P$2:$P$5000,Project_Activity!$C$2:$C$5000,$C24,Project_Activity!$U$2:$U$5000,"Invoiced Income",Project_Activity!$H$2:$H$5000,"&gt;="&amp;DATE(VALUE(LEFT($B24,4)),1,1),Project_Activity!$H$2:$H$5000,"&lt;="&amp;EOMONTH(DATE(VALUE(LEFT($B24,4)),VALUE(RIGHT($B24,1))*3,1),0)))</f>
        <v>122187.25</v>
      </c>
      <c r="P24" s="94" t="n">
        <f aca="false">IF($C24="","",SUMIFS(Project_Activity!$P$2:$P$5000,Project_Activity!$C$2:$C$5000,$C24,Project_Activity!$U$2:$U$5000,"Subcontractor",Project_Activity!$H$2:$H$5000,"&gt;="&amp;DATE(VALUE(LEFT($B24,4)),1,1),Project_Activity!$H$2:$H$5000,"&lt;="&amp;EOMONTH(DATE(VALUE(LEFT($B24,4)),VALUE(RIGHT($B24,1))*3,1),0)))</f>
        <v>0</v>
      </c>
      <c r="Q24" s="94" t="n">
        <f aca="false">IF($C24="","",SUMIFS(Project_Activity!$P$2:$P$5000,Project_Activity!$C$2:$C$5000,$C24,Project_Activity!$U$2:$U$5000,"Project Inclusive",Project_Activity!$H$2:$H$5000,"&gt;="&amp;DATE(VALUE(LEFT($B24,4)),1,1),Project_Activity!$H$2:$H$5000,"&lt;="&amp;EOMONTH(DATE(VALUE(LEFT($B24,4)),VALUE(RIGHT($B24,1))*3,1),0)))</f>
        <v>0</v>
      </c>
      <c r="R24" s="94" t="n">
        <f aca="false">IF($C24="","",SUMIFS(Project_Activity!$P$2:$P$5000,Project_Activity!$C$2:$C$5000,$C24,Project_Activity!$U$2:$U$5000,"Non-Recoverable",Project_Activity!$H$2:$H$5000,"&gt;="&amp;DATE(VALUE(LEFT($B24,4)),1,1),Project_Activity!$H$2:$H$5000,"&lt;="&amp;EOMONTH(DATE(VALUE(LEFT($B24,4)),VALUE(RIGHT($B24,1))*3,1),0)))</f>
        <v>0</v>
      </c>
      <c r="S24" s="94" t="n">
        <f aca="false">IF($C24="","",$O24-$P24-$Q24-$R24)</f>
        <v>122187.25</v>
      </c>
      <c r="T24" s="94" t="n">
        <f aca="false">IF($C24="","",SUMIFS(Project_Activity!$P$2:$P$5000,Project_Activity!$C$2:$C$5000,$C24,Project_Activity!$U$2:$U$5000,"Recoverable",Project_Activity!$H$2:$H$5000,"&gt;="&amp;DATE(VALUE(LEFT($B24,4)),1,1),Project_Activity!$H$2:$H$5000,"&lt;="&amp;EOMONTH(DATE(VALUE(LEFT($B24,4)),VALUE(RIGHT($B24,1))*3,1),0)))</f>
        <v>0</v>
      </c>
      <c r="U24" s="94" t="n">
        <f aca="false">IF($C24="","",-SUMIFS(Project_Activity!$P$2:$P$5000,Project_Activity!$C$2:$C$5000,$C24,Project_Activity!$U$2:$U$5000,"Recovered Expenses",Project_Activity!$H$2:$H$5000,"&gt;="&amp;DATE(VALUE(LEFT($B24,4)),1,1),Project_Activity!$H$2:$H$5000,"&lt;="&amp;EOMONTH(DATE(VALUE(LEFT($B24,4)),VALUE(RIGHT($B24,1))*3,1),0)))</f>
        <v>-0</v>
      </c>
      <c r="V24" s="145" t="n">
        <v>0</v>
      </c>
      <c r="W24" s="94" t="n">
        <f aca="false">IF($C24="","",$V24*$N24)</f>
        <v>0</v>
      </c>
      <c r="X24" s="145" t="n">
        <v>0.8</v>
      </c>
      <c r="Y24" s="94" t="n">
        <f aca="false">IF($C24="","",$X24*$N24)</f>
        <v>195555.5492</v>
      </c>
      <c r="Z24" s="145" t="n">
        <v>0.2</v>
      </c>
      <c r="AA24" s="94" t="n">
        <f aca="false">IF($C24="","",$Z24*$N24)</f>
        <v>48888.8873</v>
      </c>
      <c r="AB24" s="145" t="n">
        <v>0</v>
      </c>
      <c r="AC24" s="94" t="n">
        <f aca="false">IF($C24="","",$AB24*$N24)</f>
        <v>0</v>
      </c>
      <c r="AD24" s="94" t="n">
        <f aca="false">IF($C24="","",SUMPRODUCT((VALUE(MID($B24,7,1))&gt;={1,2,3,4})*CHOOSE({1,2,3,4},$W24,$Y24,$AA24,$AC24)))</f>
        <v>195555.5492</v>
      </c>
      <c r="AE24" s="94" t="n">
        <f aca="false">IF($C24="","",$W24+$Y24+$AA24+$AC24-$AD24)</f>
        <v>48888.8873</v>
      </c>
      <c r="AF24" s="146"/>
      <c r="AG24" s="146"/>
      <c r="AH24" s="146" t="s">
        <v>844</v>
      </c>
      <c r="AI24" s="147" t="str">
        <f aca="false">IF($C24="","",IF(OR($L24="Pipeline",$N24&lt;0,$O24&gt;$N24+1,($V24+$X24+$Z24+$AB24)&gt;1.0001,ISNUMBER(SEARCH("not signed",$AF24))),"REVIEW","OK"))</f>
        <v>OK</v>
      </c>
    </row>
    <row r="25" customFormat="false" ht="13.5" hidden="false" customHeight="false" outlineLevel="0" collapsed="false">
      <c r="A25" s="95" t="str">
        <f aca="false">IF($C25="","",Controls!$B$7)</f>
        <v>PCGH</v>
      </c>
      <c r="B25" s="95" t="str">
        <f aca="false">IF($C25="","",Controls!$B$30)</f>
        <v>2026-Q2</v>
      </c>
      <c r="C25" s="95" t="str">
        <f aca="false">IF(MM_Income!$A28="","",MM_Income!$A28)</f>
        <v>PCGH788</v>
      </c>
      <c r="D25" s="95" t="str">
        <f aca="false">IF($C25="","",INDEX(MM_Income!$B$5:$B$204,MATCH($C25,MM_Income!$A$5:$A$204,0)))</f>
        <v>CDC_BOA &amp; MONDONI_HCV-HCSA SCOPING</v>
      </c>
      <c r="E25" s="95" t="str">
        <f aca="false">IF($C25="","",INDEX(MM_Income!$C$5:$C$204,MATCH($C25,MM_Income!$A$5:$A$204,0)))</f>
        <v>Responsible Production</v>
      </c>
      <c r="F25" s="95" t="str">
        <f aca="false">IF($C25="","",INDEX(MM_Income!$F$5:$F$204,MATCH($C25,MM_Income!$A$5:$A$204,0)))</f>
        <v>Responsible Production</v>
      </c>
      <c r="G25" s="95" t="str">
        <f aca="false">IF($C25="","",INDEX(MM_Income!$G$5:$G$204,MATCH($C25,MM_Income!$A$5:$A$204,0)))</f>
        <v>External</v>
      </c>
      <c r="H25" s="95" t="str">
        <f aca="false">IF($C25="","",INDEX(MM_Income!$H$5:$H$204,MATCH($C25,MM_Income!$A$5:$A$204,0)))</f>
        <v>Oil Palm</v>
      </c>
      <c r="I25" s="95" t="str">
        <f aca="false">IF($C25="","",INDEX(MM_Income!$I$5:$I$204,MATCH($C25,MM_Income!$A$5:$A$204,0)))</f>
        <v>CDC</v>
      </c>
      <c r="J25" s="95" t="str">
        <f aca="false">IF($C25="","",INDEX(MM_Income!$D$5:$D$204,MATCH($C25,MM_Income!$A$5:$A$204,0)))</f>
        <v>SD</v>
      </c>
      <c r="K25" s="95" t="str">
        <f aca="false">IF($C25="","",INDEX(MM_Income!$E$5:$E$204,MATCH($C25,MM_Income!$A$5:$A$204,0)))</f>
        <v>Completed</v>
      </c>
      <c r="L25" s="95" t="str">
        <f aca="false">IF($C25="","",INDEX(MM_Income!$U$5:$U$204,MATCH($C25,MM_Income!$A$5:$A$204,0)))</f>
        <v>Secured</v>
      </c>
      <c r="M25" s="143" t="n">
        <f aca="false">IF($C25="","",INDEX(MM_Income!$V$5:$V$204,MATCH($C25,MM_Income!$A$5:$A$204,0)))</f>
        <v>1</v>
      </c>
      <c r="N25" s="144" t="n">
        <f aca="false">IF($C25="","",INDEX(MM_Income!$T$5:$T$204,MATCH($C25,MM_Income!$A$5:$A$204,0)))</f>
        <v>317469</v>
      </c>
      <c r="O25" s="94" t="n">
        <f aca="false">IF($C25="","",-SUMIFS(Project_Activity!$P$2:$P$5000,Project_Activity!$C$2:$C$5000,$C25,Project_Activity!$U$2:$U$5000,"Invoiced Income",Project_Activity!$H$2:$H$5000,"&gt;="&amp;DATE(VALUE(LEFT($B25,4)),1,1),Project_Activity!$H$2:$H$5000,"&lt;="&amp;EOMONTH(DATE(VALUE(LEFT($B25,4)),VALUE(RIGHT($B25,1))*3,1),0)))</f>
        <v>-0</v>
      </c>
      <c r="P25" s="94" t="n">
        <f aca="false">IF($C25="","",SUMIFS(Project_Activity!$P$2:$P$5000,Project_Activity!$C$2:$C$5000,$C25,Project_Activity!$U$2:$U$5000,"Subcontractor",Project_Activity!$H$2:$H$5000,"&gt;="&amp;DATE(VALUE(LEFT($B25,4)),1,1),Project_Activity!$H$2:$H$5000,"&lt;="&amp;EOMONTH(DATE(VALUE(LEFT($B25,4)),VALUE(RIGHT($B25,1))*3,1),0)))</f>
        <v>0</v>
      </c>
      <c r="Q25" s="94" t="n">
        <f aca="false">IF($C25="","",SUMIFS(Project_Activity!$P$2:$P$5000,Project_Activity!$C$2:$C$5000,$C25,Project_Activity!$U$2:$U$5000,"Project Inclusive",Project_Activity!$H$2:$H$5000,"&gt;="&amp;DATE(VALUE(LEFT($B25,4)),1,1),Project_Activity!$H$2:$H$5000,"&lt;="&amp;EOMONTH(DATE(VALUE(LEFT($B25,4)),VALUE(RIGHT($B25,1))*3,1),0)))</f>
        <v>0</v>
      </c>
      <c r="R25" s="94" t="n">
        <f aca="false">IF($C25="","",SUMIFS(Project_Activity!$P$2:$P$5000,Project_Activity!$C$2:$C$5000,$C25,Project_Activity!$U$2:$U$5000,"Non-Recoverable",Project_Activity!$H$2:$H$5000,"&gt;="&amp;DATE(VALUE(LEFT($B25,4)),1,1),Project_Activity!$H$2:$H$5000,"&lt;="&amp;EOMONTH(DATE(VALUE(LEFT($B25,4)),VALUE(RIGHT($B25,1))*3,1),0)))</f>
        <v>0</v>
      </c>
      <c r="S25" s="94" t="n">
        <f aca="false">IF($C25="","",$O25-$P25-$Q25-$R25)</f>
        <v>-0</v>
      </c>
      <c r="T25" s="94" t="n">
        <f aca="false">IF($C25="","",SUMIFS(Project_Activity!$P$2:$P$5000,Project_Activity!$C$2:$C$5000,$C25,Project_Activity!$U$2:$U$5000,"Recoverable",Project_Activity!$H$2:$H$5000,"&gt;="&amp;DATE(VALUE(LEFT($B25,4)),1,1),Project_Activity!$H$2:$H$5000,"&lt;="&amp;EOMONTH(DATE(VALUE(LEFT($B25,4)),VALUE(RIGHT($B25,1))*3,1),0)))</f>
        <v>2280.87</v>
      </c>
      <c r="U25" s="94" t="n">
        <f aca="false">IF($C25="","",-SUMIFS(Project_Activity!$P$2:$P$5000,Project_Activity!$C$2:$C$5000,$C25,Project_Activity!$U$2:$U$5000,"Recovered Expenses",Project_Activity!$H$2:$H$5000,"&gt;="&amp;DATE(VALUE(LEFT($B25,4)),1,1),Project_Activity!$H$2:$H$5000,"&lt;="&amp;EOMONTH(DATE(VALUE(LEFT($B25,4)),VALUE(RIGHT($B25,1))*3,1),0)))</f>
        <v>-0</v>
      </c>
      <c r="V25" s="145" t="n">
        <v>0.5</v>
      </c>
      <c r="W25" s="94" t="n">
        <f aca="false">IF($C25="","",$V25*$N25)</f>
        <v>158734.5</v>
      </c>
      <c r="X25" s="145" t="n">
        <v>0.5</v>
      </c>
      <c r="Y25" s="94" t="n">
        <f aca="false">IF($C25="","",$X25*$N25)</f>
        <v>158734.5</v>
      </c>
      <c r="Z25" s="145" t="n">
        <v>0</v>
      </c>
      <c r="AA25" s="94" t="n">
        <f aca="false">IF($C25="","",$Z25*$N25)</f>
        <v>0</v>
      </c>
      <c r="AB25" s="145" t="n">
        <v>0</v>
      </c>
      <c r="AC25" s="94" t="n">
        <f aca="false">IF($C25="","",$AB25*$N25)</f>
        <v>0</v>
      </c>
      <c r="AD25" s="94" t="n">
        <f aca="false">IF($C25="","",SUMPRODUCT((VALUE(MID($B25,7,1))&gt;={1,2,3,4})*CHOOSE({1,2,3,4},$W25,$Y25,$AA25,$AC25)))</f>
        <v>317469</v>
      </c>
      <c r="AE25" s="94" t="n">
        <f aca="false">IF($C25="","",$W25+$Y25+$AA25+$AC25-$AD25)</f>
        <v>0</v>
      </c>
      <c r="AF25" s="146"/>
      <c r="AG25" s="146"/>
      <c r="AH25" s="146" t="s">
        <v>844</v>
      </c>
      <c r="AI25" s="147" t="str">
        <f aca="false">IF($C25="","",IF(OR($L25="Pipeline",$N25&lt;0,$O25&gt;$N25+1,($V25+$X25+$Z25+$AB25)&gt;1.0001,ISNUMBER(SEARCH("not signed",$AF25))),"REVIEW","OK"))</f>
        <v>OK</v>
      </c>
    </row>
    <row r="26" customFormat="false" ht="13.5" hidden="false" customHeight="false" outlineLevel="0" collapsed="false">
      <c r="A26" s="95" t="str">
        <f aca="false">IF($C26="","",Controls!$B$7)</f>
        <v>PCGH</v>
      </c>
      <c r="B26" s="95" t="str">
        <f aca="false">IF($C26="","",Controls!$B$30)</f>
        <v>2026-Q2</v>
      </c>
      <c r="C26" s="95" t="str">
        <f aca="false">IF(MM_Income!$A29="","",MM_Income!$A29)</f>
        <v>PCGH789</v>
      </c>
      <c r="D26" s="95" t="str">
        <f aca="false">IF($C26="","",INDEX(MM_Income!$B$5:$B$204,MATCH($C26,MM_Income!$A$5:$A$204,0)))</f>
        <v>EHS&amp;S AUDIT FOR VALENCY MSMO PROJECT</v>
      </c>
      <c r="E26" s="95" t="str">
        <f aca="false">IF($C26="","",INDEX(MM_Income!$C$5:$C$204,MATCH($C26,MM_Income!$A$5:$A$204,0)))</f>
        <v>Responsible Finance</v>
      </c>
      <c r="F26" s="95" t="str">
        <f aca="false">IF($C26="","",INDEX(MM_Income!$F$5:$F$204,MATCH($C26,MM_Income!$A$5:$A$204,0)))</f>
        <v>Responsible Finance</v>
      </c>
      <c r="G26" s="95" t="str">
        <f aca="false">IF($C26="","",INDEX(MM_Income!$G$5:$G$204,MATCH($C26,MM_Income!$A$5:$A$204,0)))</f>
        <v>External</v>
      </c>
      <c r="H26" s="95" t="str">
        <f aca="false">IF($C26="","",INDEX(MM_Income!$H$5:$H$204,MATCH($C26,MM_Income!$A$5:$A$204,0)))</f>
        <v>Multiple Commodity</v>
      </c>
      <c r="I26" s="95" t="str">
        <f aca="false">IF($C26="","",INDEX(MM_Income!$I$5:$I$204,MATCH($C26,MM_Income!$A$5:$A$204,0)))</f>
        <v>Valency</v>
      </c>
      <c r="J26" s="95" t="str">
        <f aca="false">IF($C26="","",INDEX(MM_Income!$D$5:$D$204,MATCH($C26,MM_Income!$A$5:$A$204,0)))</f>
        <v>SD</v>
      </c>
      <c r="K26" s="95" t="str">
        <f aca="false">IF($C26="","",INDEX(MM_Income!$E$5:$E$204,MATCH($C26,MM_Income!$A$5:$A$204,0)))</f>
        <v>Current</v>
      </c>
      <c r="L26" s="95" t="str">
        <f aca="false">IF($C26="","",INDEX(MM_Income!$U$5:$U$204,MATCH($C26,MM_Income!$A$5:$A$204,0)))</f>
        <v>Secured</v>
      </c>
      <c r="M26" s="143" t="n">
        <f aca="false">IF($C26="","",INDEX(MM_Income!$V$5:$V$204,MATCH($C26,MM_Income!$A$5:$A$204,0)))</f>
        <v>1</v>
      </c>
      <c r="N26" s="144" t="n">
        <f aca="false">IF($C26="","",INDEX(MM_Income!$T$5:$T$204,MATCH($C26,MM_Income!$A$5:$A$204,0)))</f>
        <v>310086</v>
      </c>
      <c r="O26" s="94" t="n">
        <f aca="false">IF($C26="","",-SUMIFS(Project_Activity!$P$2:$P$5000,Project_Activity!$C$2:$C$5000,$C26,Project_Activity!$U$2:$U$5000,"Invoiced Income",Project_Activity!$H$2:$H$5000,"&gt;="&amp;DATE(VALUE(LEFT($B26,4)),1,1),Project_Activity!$H$2:$H$5000,"&lt;="&amp;EOMONTH(DATE(VALUE(LEFT($B26,4)),VALUE(RIGHT($B26,1))*3,1),0)))</f>
        <v>160114.04</v>
      </c>
      <c r="P26" s="94" t="n">
        <f aca="false">IF($C26="","",SUMIFS(Project_Activity!$P$2:$P$5000,Project_Activity!$C$2:$C$5000,$C26,Project_Activity!$U$2:$U$5000,"Subcontractor",Project_Activity!$H$2:$H$5000,"&gt;="&amp;DATE(VALUE(LEFT($B26,4)),1,1),Project_Activity!$H$2:$H$5000,"&lt;="&amp;EOMONTH(DATE(VALUE(LEFT($B26,4)),VALUE(RIGHT($B26,1))*3,1),0)))</f>
        <v>0</v>
      </c>
      <c r="Q26" s="94" t="n">
        <f aca="false">IF($C26="","",SUMIFS(Project_Activity!$P$2:$P$5000,Project_Activity!$C$2:$C$5000,$C26,Project_Activity!$U$2:$U$5000,"Project Inclusive",Project_Activity!$H$2:$H$5000,"&gt;="&amp;DATE(VALUE(LEFT($B26,4)),1,1),Project_Activity!$H$2:$H$5000,"&lt;="&amp;EOMONTH(DATE(VALUE(LEFT($B26,4)),VALUE(RIGHT($B26,1))*3,1),0)))</f>
        <v>0</v>
      </c>
      <c r="R26" s="94" t="n">
        <f aca="false">IF($C26="","",SUMIFS(Project_Activity!$P$2:$P$5000,Project_Activity!$C$2:$C$5000,$C26,Project_Activity!$U$2:$U$5000,"Non-Recoverable",Project_Activity!$H$2:$H$5000,"&gt;="&amp;DATE(VALUE(LEFT($B26,4)),1,1),Project_Activity!$H$2:$H$5000,"&lt;="&amp;EOMONTH(DATE(VALUE(LEFT($B26,4)),VALUE(RIGHT($B26,1))*3,1),0)))</f>
        <v>0</v>
      </c>
      <c r="S26" s="94" t="n">
        <f aca="false">IF($C26="","",$O26-$P26-$Q26-$R26)</f>
        <v>160114.04</v>
      </c>
      <c r="T26" s="94" t="n">
        <f aca="false">IF($C26="","",SUMIFS(Project_Activity!$P$2:$P$5000,Project_Activity!$C$2:$C$5000,$C26,Project_Activity!$U$2:$U$5000,"Recoverable",Project_Activity!$H$2:$H$5000,"&gt;="&amp;DATE(VALUE(LEFT($B26,4)),1,1),Project_Activity!$H$2:$H$5000,"&lt;="&amp;EOMONTH(DATE(VALUE(LEFT($B26,4)),VALUE(RIGHT($B26,1))*3,1),0)))</f>
        <v>199</v>
      </c>
      <c r="U26" s="94" t="n">
        <f aca="false">IF($C26="","",-SUMIFS(Project_Activity!$P$2:$P$5000,Project_Activity!$C$2:$C$5000,$C26,Project_Activity!$U$2:$U$5000,"Recovered Expenses",Project_Activity!$H$2:$H$5000,"&gt;="&amp;DATE(VALUE(LEFT($B26,4)),1,1),Project_Activity!$H$2:$H$5000,"&lt;="&amp;EOMONTH(DATE(VALUE(LEFT($B26,4)),VALUE(RIGHT($B26,1))*3,1),0)))</f>
        <v>-0</v>
      </c>
      <c r="V26" s="145" t="n">
        <v>0.2</v>
      </c>
      <c r="W26" s="94" t="n">
        <f aca="false">IF($C26="","",$V26*$N26)</f>
        <v>62017.2</v>
      </c>
      <c r="X26" s="145" t="n">
        <v>0.1</v>
      </c>
      <c r="Y26" s="94" t="n">
        <f aca="false">IF($C26="","",$X26*$N26)</f>
        <v>31008.6</v>
      </c>
      <c r="Z26" s="145" t="n">
        <v>0.4</v>
      </c>
      <c r="AA26" s="94" t="n">
        <f aca="false">IF($C26="","",$Z26*$N26)</f>
        <v>124034.4</v>
      </c>
      <c r="AB26" s="145" t="n">
        <v>0.3</v>
      </c>
      <c r="AC26" s="94" t="n">
        <f aca="false">IF($C26="","",$AB26*$N26)</f>
        <v>93025.8</v>
      </c>
      <c r="AD26" s="94" t="n">
        <f aca="false">IF($C26="","",SUMPRODUCT((VALUE(MID($B26,7,1))&gt;={1,2,3,4})*CHOOSE({1,2,3,4},$W26,$Y26,$AA26,$AC26)))</f>
        <v>93025.8</v>
      </c>
      <c r="AE26" s="94" t="n">
        <f aca="false">IF($C26="","",$W26+$Y26+$AA26+$AC26-$AD26)</f>
        <v>217060.2</v>
      </c>
      <c r="AF26" s="146"/>
      <c r="AG26" s="146"/>
      <c r="AH26" s="146" t="s">
        <v>844</v>
      </c>
      <c r="AI26" s="147" t="str">
        <f aca="false">IF($C26="","",IF(OR($L26="Pipeline",$N26&lt;0,$O26&gt;$N26+1,($V26+$X26+$Z26+$AB26)&gt;1.0001,ISNUMBER(SEARCH("not signed",$AF26))),"REVIEW","OK"))</f>
        <v>OK</v>
      </c>
    </row>
    <row r="27" customFormat="false" ht="13.5" hidden="false" customHeight="false" outlineLevel="0" collapsed="false">
      <c r="A27" s="95" t="str">
        <f aca="false">IF($C27="","",Controls!$B$7)</f>
        <v>PCGH</v>
      </c>
      <c r="B27" s="95" t="str">
        <f aca="false">IF($C27="","",Controls!$B$30)</f>
        <v>2026-Q2</v>
      </c>
      <c r="C27" s="95" t="str">
        <f aca="false">IF(MM_Income!$A30="","",MM_Income!$A30)</f>
        <v>PCGH790</v>
      </c>
      <c r="D27" s="95" t="str">
        <f aca="false">IF($C27="","",INDEX(MM_Income!$B$5:$B$204,MATCH($C27,MM_Income!$A$5:$A$204,0)))</f>
        <v>NESTLE SOY</v>
      </c>
      <c r="E27" s="95" t="str">
        <f aca="false">IF($C27="","",INDEX(MM_Income!$C$5:$C$204,MATCH($C27,MM_Income!$A$5:$A$204,0)))</f>
        <v>Responsible Sourcing</v>
      </c>
      <c r="F27" s="95" t="str">
        <f aca="false">IF($C27="","",INDEX(MM_Income!$F$5:$F$204,MATCH($C27,MM_Income!$A$5:$A$204,0)))</f>
        <v>Responsible Sourcing</v>
      </c>
      <c r="G27" s="95" t="str">
        <f aca="false">IF($C27="","",INDEX(MM_Income!$G$5:$G$204,MATCH($C27,MM_Income!$A$5:$A$204,0)))</f>
        <v>Internal</v>
      </c>
      <c r="H27" s="95" t="str">
        <f aca="false">IF($C27="","",INDEX(MM_Income!$H$5:$H$204,MATCH($C27,MM_Income!$A$5:$A$204,0)))</f>
        <v>Soy</v>
      </c>
      <c r="I27" s="95" t="str">
        <f aca="false">IF($C27="","",INDEX(MM_Income!$I$5:$I$204,MATCH($C27,MM_Income!$A$5:$A$204,0)))</f>
        <v>Nestlé</v>
      </c>
      <c r="J27" s="95" t="str">
        <f aca="false">IF($C27="","",INDEX(MM_Income!$D$5:$D$204,MATCH($C27,MM_Income!$A$5:$A$204,0)))</f>
        <v>FA</v>
      </c>
      <c r="K27" s="95" t="str">
        <f aca="false">IF($C27="","",INDEX(MM_Income!$E$5:$E$204,MATCH($C27,MM_Income!$A$5:$A$204,0)))</f>
        <v>Current</v>
      </c>
      <c r="L27" s="95" t="str">
        <f aca="false">IF($C27="","",INDEX(MM_Income!$U$5:$U$204,MATCH($C27,MM_Income!$A$5:$A$204,0)))</f>
        <v>Secured</v>
      </c>
      <c r="M27" s="143" t="n">
        <f aca="false">IF($C27="","",INDEX(MM_Income!$V$5:$V$204,MATCH($C27,MM_Income!$A$5:$A$204,0)))</f>
        <v>1</v>
      </c>
      <c r="N27" s="144" t="n">
        <f aca="false">IF($C27="","",INDEX(MM_Income!$T$5:$T$204,MATCH($C27,MM_Income!$A$5:$A$204,0)))</f>
        <v>500460.4</v>
      </c>
      <c r="O27" s="94" t="n">
        <f aca="false">IF($C27="","",-SUMIFS(Project_Activity!$P$2:$P$5000,Project_Activity!$C$2:$C$5000,$C27,Project_Activity!$U$2:$U$5000,"Invoiced Income",Project_Activity!$H$2:$H$5000,"&gt;="&amp;DATE(VALUE(LEFT($B27,4)),1,1),Project_Activity!$H$2:$H$5000,"&lt;="&amp;EOMONTH(DATE(VALUE(LEFT($B27,4)),VALUE(RIGHT($B27,1))*3,1),0)))</f>
        <v>291532.03</v>
      </c>
      <c r="P27" s="94" t="n">
        <f aca="false">IF($C27="","",SUMIFS(Project_Activity!$P$2:$P$5000,Project_Activity!$C$2:$C$5000,$C27,Project_Activity!$U$2:$U$5000,"Subcontractor",Project_Activity!$H$2:$H$5000,"&gt;="&amp;DATE(VALUE(LEFT($B27,4)),1,1),Project_Activity!$H$2:$H$5000,"&lt;="&amp;EOMONTH(DATE(VALUE(LEFT($B27,4)),VALUE(RIGHT($B27,1))*3,1),0)))</f>
        <v>0</v>
      </c>
      <c r="Q27" s="94" t="n">
        <f aca="false">IF($C27="","",SUMIFS(Project_Activity!$P$2:$P$5000,Project_Activity!$C$2:$C$5000,$C27,Project_Activity!$U$2:$U$5000,"Project Inclusive",Project_Activity!$H$2:$H$5000,"&gt;="&amp;DATE(VALUE(LEFT($B27,4)),1,1),Project_Activity!$H$2:$H$5000,"&lt;="&amp;EOMONTH(DATE(VALUE(LEFT($B27,4)),VALUE(RIGHT($B27,1))*3,1),0)))</f>
        <v>0</v>
      </c>
      <c r="R27" s="94" t="n">
        <f aca="false">IF($C27="","",SUMIFS(Project_Activity!$P$2:$P$5000,Project_Activity!$C$2:$C$5000,$C27,Project_Activity!$U$2:$U$5000,"Non-Recoverable",Project_Activity!$H$2:$H$5000,"&gt;="&amp;DATE(VALUE(LEFT($B27,4)),1,1),Project_Activity!$H$2:$H$5000,"&lt;="&amp;EOMONTH(DATE(VALUE(LEFT($B27,4)),VALUE(RIGHT($B27,1))*3,1),0)))</f>
        <v>0</v>
      </c>
      <c r="S27" s="94" t="n">
        <f aca="false">IF($C27="","",$O27-$P27-$Q27-$R27)</f>
        <v>291532.03</v>
      </c>
      <c r="T27" s="94" t="n">
        <f aca="false">IF($C27="","",SUMIFS(Project_Activity!$P$2:$P$5000,Project_Activity!$C$2:$C$5000,$C27,Project_Activity!$U$2:$U$5000,"Recoverable",Project_Activity!$H$2:$H$5000,"&gt;="&amp;DATE(VALUE(LEFT($B27,4)),1,1),Project_Activity!$H$2:$H$5000,"&lt;="&amp;EOMONTH(DATE(VALUE(LEFT($B27,4)),VALUE(RIGHT($B27,1))*3,1),0)))</f>
        <v>0</v>
      </c>
      <c r="U27" s="94" t="n">
        <f aca="false">IF($C27="","",-SUMIFS(Project_Activity!$P$2:$P$5000,Project_Activity!$C$2:$C$5000,$C27,Project_Activity!$U$2:$U$5000,"Recovered Expenses",Project_Activity!$H$2:$H$5000,"&gt;="&amp;DATE(VALUE(LEFT($B27,4)),1,1),Project_Activity!$H$2:$H$5000,"&lt;="&amp;EOMONTH(DATE(VALUE(LEFT($B27,4)),VALUE(RIGHT($B27,1))*3,1),0)))</f>
        <v>-0</v>
      </c>
      <c r="V27" s="145" t="n">
        <v>0</v>
      </c>
      <c r="W27" s="94" t="n">
        <f aca="false">IF($C27="","",$V27*$N27)</f>
        <v>0</v>
      </c>
      <c r="X27" s="145" t="n">
        <v>0.3</v>
      </c>
      <c r="Y27" s="94" t="n">
        <f aca="false">IF($C27="","",$X27*$N27)</f>
        <v>150138.12</v>
      </c>
      <c r="Z27" s="145" t="n">
        <v>0.2</v>
      </c>
      <c r="AA27" s="94" t="n">
        <f aca="false">IF($C27="","",$Z27*$N27)</f>
        <v>100092.08</v>
      </c>
      <c r="AB27" s="145" t="n">
        <v>0.35</v>
      </c>
      <c r="AC27" s="94" t="n">
        <f aca="false">IF($C27="","",$AB27*$N27)</f>
        <v>175161.14</v>
      </c>
      <c r="AD27" s="94" t="n">
        <f aca="false">IF($C27="","",SUMPRODUCT((VALUE(MID($B27,7,1))&gt;={1,2,3,4})*CHOOSE({1,2,3,4},$W27,$Y27,$AA27,$AC27)))</f>
        <v>150138.12</v>
      </c>
      <c r="AE27" s="94" t="n">
        <f aca="false">IF($C27="","",$W27+$Y27+$AA27+$AC27-$AD27)</f>
        <v>275253.22</v>
      </c>
      <c r="AF27" s="146"/>
      <c r="AG27" s="146"/>
      <c r="AH27" s="146" t="s">
        <v>844</v>
      </c>
      <c r="AI27" s="147" t="str">
        <f aca="false">IF($C27="","",IF(OR($L27="Pipeline",$N27&lt;0,$O27&gt;$N27+1,($V27+$X27+$Z27+$AB27)&gt;1.0001,ISNUMBER(SEARCH("not signed",$AF27))),"REVIEW","OK"))</f>
        <v>OK</v>
      </c>
    </row>
    <row r="28" customFormat="false" ht="13.5" hidden="false" customHeight="false" outlineLevel="0" collapsed="false">
      <c r="A28" s="95" t="str">
        <f aca="false">IF($C28="","",Controls!$B$7)</f>
        <v>PCGH</v>
      </c>
      <c r="B28" s="95" t="str">
        <f aca="false">IF($C28="","",Controls!$B$30)</f>
        <v>2026-Q2</v>
      </c>
      <c r="C28" s="95" t="str">
        <f aca="false">IF(MM_Income!$A31="","",MM_Income!$A31)</f>
        <v>PCGH791</v>
      </c>
      <c r="D28" s="95" t="str">
        <f aca="false">IF($C28="","",INDEX(MM_Income!$B$5:$B$204,MATCH($C28,MM_Income!$A$5:$A$204,0)))</f>
        <v>RA_AFI_2026</v>
      </c>
      <c r="E28" s="95" t="str">
        <f aca="false">IF($C28="","",INDEX(MM_Income!$C$5:$C$204,MATCH($C28,MM_Income!$A$5:$A$204,0)))</f>
        <v>Collaboration</v>
      </c>
      <c r="F28" s="95" t="str">
        <f aca="false">IF($C28="","",INDEX(MM_Income!$F$5:$F$204,MATCH($C28,MM_Income!$A$5:$A$204,0)))</f>
        <v>Collaboration</v>
      </c>
      <c r="G28" s="95" t="str">
        <f aca="false">IF($C28="","",INDEX(MM_Income!$G$5:$G$204,MATCH($C28,MM_Income!$A$5:$A$204,0)))</f>
        <v>External</v>
      </c>
      <c r="H28" s="95" t="str">
        <f aca="false">IF($C28="","",INDEX(MM_Income!$H$5:$H$204,MATCH($C28,MM_Income!$A$5:$A$204,0)))</f>
        <v>Multiple Commodity</v>
      </c>
      <c r="I28" s="95" t="str">
        <f aca="false">IF($C28="","",INDEX(MM_Income!$I$5:$I$204,MATCH($C28,MM_Income!$A$5:$A$204,0)))</f>
        <v>Rainforest Alliance</v>
      </c>
      <c r="J28" s="95" t="str">
        <f aca="false">IF($C28="","",INDEX(MM_Income!$D$5:$D$204,MATCH($C28,MM_Income!$A$5:$A$204,0)))</f>
        <v>SD</v>
      </c>
      <c r="K28" s="95" t="str">
        <f aca="false">IF($C28="","",INDEX(MM_Income!$E$5:$E$204,MATCH($C28,MM_Income!$A$5:$A$204,0)))</f>
        <v>Current</v>
      </c>
      <c r="L28" s="95" t="str">
        <f aca="false">IF($C28="","",INDEX(MM_Income!$U$5:$U$204,MATCH($C28,MM_Income!$A$5:$A$204,0)))</f>
        <v>Secured</v>
      </c>
      <c r="M28" s="143" t="n">
        <f aca="false">IF($C28="","",INDEX(MM_Income!$V$5:$V$204,MATCH($C28,MM_Income!$A$5:$A$204,0)))</f>
        <v>1</v>
      </c>
      <c r="N28" s="144" t="n">
        <f aca="false">IF($C28="","",INDEX(MM_Income!$T$5:$T$204,MATCH($C28,MM_Income!$A$5:$A$204,0)))</f>
        <v>128400</v>
      </c>
      <c r="O28" s="94" t="n">
        <f aca="false">IF($C28="","",-SUMIFS(Project_Activity!$P$2:$P$5000,Project_Activity!$C$2:$C$5000,$C28,Project_Activity!$U$2:$U$5000,"Invoiced Income",Project_Activity!$H$2:$H$5000,"&gt;="&amp;DATE(VALUE(LEFT($B28,4)),1,1),Project_Activity!$H$2:$H$5000,"&lt;="&amp;EOMONTH(DATE(VALUE(LEFT($B28,4)),VALUE(RIGHT($B28,1))*3,1),0)))</f>
        <v>-0</v>
      </c>
      <c r="P28" s="94" t="n">
        <f aca="false">IF($C28="","",SUMIFS(Project_Activity!$P$2:$P$5000,Project_Activity!$C$2:$C$5000,$C28,Project_Activity!$U$2:$U$5000,"Subcontractor",Project_Activity!$H$2:$H$5000,"&gt;="&amp;DATE(VALUE(LEFT($B28,4)),1,1),Project_Activity!$H$2:$H$5000,"&lt;="&amp;EOMONTH(DATE(VALUE(LEFT($B28,4)),VALUE(RIGHT($B28,1))*3,1),0)))</f>
        <v>0</v>
      </c>
      <c r="Q28" s="94" t="n">
        <f aca="false">IF($C28="","",SUMIFS(Project_Activity!$P$2:$P$5000,Project_Activity!$C$2:$C$5000,$C28,Project_Activity!$U$2:$U$5000,"Project Inclusive",Project_Activity!$H$2:$H$5000,"&gt;="&amp;DATE(VALUE(LEFT($B28,4)),1,1),Project_Activity!$H$2:$H$5000,"&lt;="&amp;EOMONTH(DATE(VALUE(LEFT($B28,4)),VALUE(RIGHT($B28,1))*3,1),0)))</f>
        <v>0</v>
      </c>
      <c r="R28" s="94" t="n">
        <f aca="false">IF($C28="","",SUMIFS(Project_Activity!$P$2:$P$5000,Project_Activity!$C$2:$C$5000,$C28,Project_Activity!$U$2:$U$5000,"Non-Recoverable",Project_Activity!$H$2:$H$5000,"&gt;="&amp;DATE(VALUE(LEFT($B28,4)),1,1),Project_Activity!$H$2:$H$5000,"&lt;="&amp;EOMONTH(DATE(VALUE(LEFT($B28,4)),VALUE(RIGHT($B28,1))*3,1),0)))</f>
        <v>0</v>
      </c>
      <c r="S28" s="94" t="n">
        <f aca="false">IF($C28="","",$O28-$P28-$Q28-$R28)</f>
        <v>-0</v>
      </c>
      <c r="T28" s="94" t="n">
        <f aca="false">IF($C28="","",SUMIFS(Project_Activity!$P$2:$P$5000,Project_Activity!$C$2:$C$5000,$C28,Project_Activity!$U$2:$U$5000,"Recoverable",Project_Activity!$H$2:$H$5000,"&gt;="&amp;DATE(VALUE(LEFT($B28,4)),1,1),Project_Activity!$H$2:$H$5000,"&lt;="&amp;EOMONTH(DATE(VALUE(LEFT($B28,4)),VALUE(RIGHT($B28,1))*3,1),0)))</f>
        <v>0</v>
      </c>
      <c r="U28" s="94" t="n">
        <f aca="false">IF($C28="","",-SUMIFS(Project_Activity!$P$2:$P$5000,Project_Activity!$C$2:$C$5000,$C28,Project_Activity!$U$2:$U$5000,"Recovered Expenses",Project_Activity!$H$2:$H$5000,"&gt;="&amp;DATE(VALUE(LEFT($B28,4)),1,1),Project_Activity!$H$2:$H$5000,"&lt;="&amp;EOMONTH(DATE(VALUE(LEFT($B28,4)),VALUE(RIGHT($B28,1))*3,1),0)))</f>
        <v>-0</v>
      </c>
      <c r="V28" s="145"/>
      <c r="W28" s="94" t="n">
        <f aca="false">IF($C28="","",$V28*$N28)</f>
        <v>0</v>
      </c>
      <c r="X28" s="145" t="n">
        <v>0.5</v>
      </c>
      <c r="Y28" s="94" t="n">
        <f aca="false">IF($C28="","",$X28*$N28)</f>
        <v>64200</v>
      </c>
      <c r="Z28" s="145" t="n">
        <v>0.25</v>
      </c>
      <c r="AA28" s="94" t="n">
        <f aca="false">IF($C28="","",$Z28*$N28)</f>
        <v>32100</v>
      </c>
      <c r="AB28" s="145" t="n">
        <v>0.25</v>
      </c>
      <c r="AC28" s="94" t="n">
        <f aca="false">IF($C28="","",$AB28*$N28)</f>
        <v>32100</v>
      </c>
      <c r="AD28" s="94" t="n">
        <f aca="false">IF($C28="","",SUMPRODUCT((VALUE(MID($B28,7,1))&gt;={1,2,3,4})*CHOOSE({1,2,3,4},$W28,$Y28,$AA28,$AC28)))</f>
        <v>64200</v>
      </c>
      <c r="AE28" s="94" t="n">
        <f aca="false">IF($C28="","",$W28+$Y28+$AA28+$AC28-$AD28)</f>
        <v>64200</v>
      </c>
      <c r="AF28" s="146"/>
      <c r="AG28" s="146"/>
      <c r="AH28" s="146" t="s">
        <v>844</v>
      </c>
      <c r="AI28" s="147" t="str">
        <f aca="false">IF($C28="","",IF(OR($L28="Pipeline",$N28&lt;0,$O28&gt;$N28+1,($V28+$X28+$Z28+$AB28)&gt;1.0001,ISNUMBER(SEARCH("not signed",$AF28))),"REVIEW","OK"))</f>
        <v>OK</v>
      </c>
    </row>
    <row r="29" customFormat="false" ht="13.5" hidden="false" customHeight="false" outlineLevel="0" collapsed="false">
      <c r="A29" s="95" t="str">
        <f aca="false">IF($C29="","",Controls!$B$7)</f>
        <v>PCGH</v>
      </c>
      <c r="B29" s="95" t="str">
        <f aca="false">IF($C29="","",Controls!$B$30)</f>
        <v>2026-Q2</v>
      </c>
      <c r="C29" s="95" t="str">
        <f aca="false">IF(MM_Income!$A32="","",MM_Income!$A32)</f>
        <v>PCGH792</v>
      </c>
      <c r="D29" s="95" t="str">
        <f aca="false">IF($C29="","",INDEX(MM_Income!$B$5:$B$204,MATCH($C29,MM_Income!$A$5:$A$204,0)))</f>
        <v>HCV_HCSA_Scoping Study_RENL_Isi Concession</v>
      </c>
      <c r="E29" s="95" t="str">
        <f aca="false">IF($C29="","",INDEX(MM_Income!$C$5:$C$204,MATCH($C29,MM_Income!$A$5:$A$204,0)))</f>
        <v>Responsible Production</v>
      </c>
      <c r="F29" s="95" t="str">
        <f aca="false">IF($C29="","",INDEX(MM_Income!$F$5:$F$204,MATCH($C29,MM_Income!$A$5:$A$204,0)))</f>
        <v>Responsible Production</v>
      </c>
      <c r="G29" s="95" t="str">
        <f aca="false">IF($C29="","",INDEX(MM_Income!$G$5:$G$204,MATCH($C29,MM_Income!$A$5:$A$204,0)))</f>
        <v>External</v>
      </c>
      <c r="H29" s="95" t="str">
        <f aca="false">IF($C29="","",INDEX(MM_Income!$H$5:$H$204,MATCH($C29,MM_Income!$A$5:$A$204,0)))</f>
        <v>Rubber</v>
      </c>
      <c r="I29" s="95" t="str">
        <f aca="false">IF($C29="","",INDEX(MM_Income!$I$5:$I$204,MATCH($C29,MM_Income!$A$5:$A$204,0)))</f>
        <v>RENL</v>
      </c>
      <c r="J29" s="95" t="str">
        <f aca="false">IF($C29="","",INDEX(MM_Income!$D$5:$D$204,MATCH($C29,MM_Income!$A$5:$A$204,0)))</f>
        <v>SD</v>
      </c>
      <c r="K29" s="95" t="str">
        <f aca="false">IF($C29="","",INDEX(MM_Income!$E$5:$E$204,MATCH($C29,MM_Income!$A$5:$A$204,0)))</f>
        <v>Completed</v>
      </c>
      <c r="L29" s="95" t="str">
        <f aca="false">IF($C29="","",INDEX(MM_Income!$U$5:$U$204,MATCH($C29,MM_Income!$A$5:$A$204,0)))</f>
        <v>Secured</v>
      </c>
      <c r="M29" s="143" t="n">
        <f aca="false">IF($C29="","",INDEX(MM_Income!$V$5:$V$204,MATCH($C29,MM_Income!$A$5:$A$204,0)))</f>
        <v>1</v>
      </c>
      <c r="N29" s="144" t="n">
        <f aca="false">IF($C29="","",INDEX(MM_Income!$T$5:$T$204,MATCH($C29,MM_Income!$A$5:$A$204,0)))</f>
        <v>158734.5</v>
      </c>
      <c r="O29" s="94" t="n">
        <f aca="false">IF($C29="","",-SUMIFS(Project_Activity!$P$2:$P$5000,Project_Activity!$C$2:$C$5000,$C29,Project_Activity!$U$2:$U$5000,"Invoiced Income",Project_Activity!$H$2:$H$5000,"&gt;="&amp;DATE(VALUE(LEFT($B29,4)),1,1),Project_Activity!$H$2:$H$5000,"&lt;="&amp;EOMONTH(DATE(VALUE(LEFT($B29,4)),VALUE(RIGHT($B29,1))*3,1),0)))</f>
        <v>166715.14</v>
      </c>
      <c r="P29" s="94" t="n">
        <f aca="false">IF($C29="","",SUMIFS(Project_Activity!$P$2:$P$5000,Project_Activity!$C$2:$C$5000,$C29,Project_Activity!$U$2:$U$5000,"Subcontractor",Project_Activity!$H$2:$H$5000,"&gt;="&amp;DATE(VALUE(LEFT($B29,4)),1,1),Project_Activity!$H$2:$H$5000,"&lt;="&amp;EOMONTH(DATE(VALUE(LEFT($B29,4)),VALUE(RIGHT($B29,1))*3,1),0)))</f>
        <v>0</v>
      </c>
      <c r="Q29" s="94" t="n">
        <f aca="false">IF($C29="","",SUMIFS(Project_Activity!$P$2:$P$5000,Project_Activity!$C$2:$C$5000,$C29,Project_Activity!$U$2:$U$5000,"Project Inclusive",Project_Activity!$H$2:$H$5000,"&gt;="&amp;DATE(VALUE(LEFT($B29,4)),1,1),Project_Activity!$H$2:$H$5000,"&lt;="&amp;EOMONTH(DATE(VALUE(LEFT($B29,4)),VALUE(RIGHT($B29,1))*3,1),0)))</f>
        <v>0</v>
      </c>
      <c r="R29" s="94" t="n">
        <f aca="false">IF($C29="","",SUMIFS(Project_Activity!$P$2:$P$5000,Project_Activity!$C$2:$C$5000,$C29,Project_Activity!$U$2:$U$5000,"Non-Recoverable",Project_Activity!$H$2:$H$5000,"&gt;="&amp;DATE(VALUE(LEFT($B29,4)),1,1),Project_Activity!$H$2:$H$5000,"&lt;="&amp;EOMONTH(DATE(VALUE(LEFT($B29,4)),VALUE(RIGHT($B29,1))*3,1),0)))</f>
        <v>0</v>
      </c>
      <c r="S29" s="94" t="n">
        <f aca="false">IF($C29="","",$O29-$P29-$Q29-$R29)</f>
        <v>166715.14</v>
      </c>
      <c r="T29" s="94" t="n">
        <f aca="false">IF($C29="","",SUMIFS(Project_Activity!$P$2:$P$5000,Project_Activity!$C$2:$C$5000,$C29,Project_Activity!$U$2:$U$5000,"Recoverable",Project_Activity!$H$2:$H$5000,"&gt;="&amp;DATE(VALUE(LEFT($B29,4)),1,1),Project_Activity!$H$2:$H$5000,"&lt;="&amp;EOMONTH(DATE(VALUE(LEFT($B29,4)),VALUE(RIGHT($B29,1))*3,1),0)))</f>
        <v>0</v>
      </c>
      <c r="U29" s="94" t="n">
        <f aca="false">IF($C29="","",-SUMIFS(Project_Activity!$P$2:$P$5000,Project_Activity!$C$2:$C$5000,$C29,Project_Activity!$U$2:$U$5000,"Recovered Expenses",Project_Activity!$H$2:$H$5000,"&gt;="&amp;DATE(VALUE(LEFT($B29,4)),1,1),Project_Activity!$H$2:$H$5000,"&lt;="&amp;EOMONTH(DATE(VALUE(LEFT($B29,4)),VALUE(RIGHT($B29,1))*3,1),0)))</f>
        <v>-0</v>
      </c>
      <c r="V29" s="145"/>
      <c r="W29" s="94" t="n">
        <f aca="false">IF($C29="","",$V29*$N29)</f>
        <v>0</v>
      </c>
      <c r="X29" s="145" t="n">
        <v>1</v>
      </c>
      <c r="Y29" s="94" t="n">
        <f aca="false">IF($C29="","",$X29*$N29)</f>
        <v>158734.5</v>
      </c>
      <c r="Z29" s="145" t="n">
        <v>0</v>
      </c>
      <c r="AA29" s="94" t="n">
        <f aca="false">IF($C29="","",$Z29*$N29)</f>
        <v>0</v>
      </c>
      <c r="AB29" s="145" t="n">
        <v>0</v>
      </c>
      <c r="AC29" s="94" t="n">
        <f aca="false">IF($C29="","",$AB29*$N29)</f>
        <v>0</v>
      </c>
      <c r="AD29" s="94" t="n">
        <f aca="false">IF($C29="","",SUMPRODUCT((VALUE(MID($B29,7,1))&gt;={1,2,3,4})*CHOOSE({1,2,3,4},$W29,$Y29,$AA29,$AC29)))</f>
        <v>158734.5</v>
      </c>
      <c r="AE29" s="94" t="n">
        <f aca="false">IF($C29="","",$W29+$Y29+$AA29+$AC29-$AD29)</f>
        <v>0</v>
      </c>
      <c r="AF29" s="146"/>
      <c r="AG29" s="146"/>
      <c r="AH29" s="146" t="s">
        <v>844</v>
      </c>
      <c r="AI29" s="147" t="str">
        <f aca="false">IF($C29="","",IF(OR($L29="Pipeline",$N29&lt;0,$O29&gt;$N29+1,($V29+$X29+$Z29+$AB29)&gt;1.0001,ISNUMBER(SEARCH("not signed",$AF29))),"REVIEW","OK"))</f>
        <v>REVIEW</v>
      </c>
    </row>
    <row r="30" customFormat="false" ht="13.5" hidden="false" customHeight="false" outlineLevel="0" collapsed="false">
      <c r="A30" s="95" t="str">
        <f aca="false">IF($C30="","",Controls!$B$7)</f>
        <v>PCGH</v>
      </c>
      <c r="B30" s="95" t="str">
        <f aca="false">IF($C30="","",Controls!$B$30)</f>
        <v>2026-Q2</v>
      </c>
      <c r="C30" s="95" t="str">
        <f aca="false">IF(MM_Income!$A33="","",MM_Income!$A33)</f>
        <v>PCGH793</v>
      </c>
      <c r="D30" s="95" t="str">
        <f aca="false">IF($C30="","",INDEX(MM_Income!$B$5:$B$204,MATCH($C30,MM_Income!$A$5:$A$204,0)))</f>
        <v>HCV_HCSA_Scoping_RENL_Calabar Concession</v>
      </c>
      <c r="E30" s="95" t="str">
        <f aca="false">IF($C30="","",INDEX(MM_Income!$C$5:$C$204,MATCH($C30,MM_Income!$A$5:$A$204,0)))</f>
        <v>Responsible Production</v>
      </c>
      <c r="F30" s="95" t="str">
        <f aca="false">IF($C30="","",INDEX(MM_Income!$F$5:$F$204,MATCH($C30,MM_Income!$A$5:$A$204,0)))</f>
        <v>Responsible Production</v>
      </c>
      <c r="G30" s="95" t="str">
        <f aca="false">IF($C30="","",INDEX(MM_Income!$G$5:$G$204,MATCH($C30,MM_Income!$A$5:$A$204,0)))</f>
        <v>External</v>
      </c>
      <c r="H30" s="95" t="str">
        <f aca="false">IF($C30="","",INDEX(MM_Income!$H$5:$H$204,MATCH($C30,MM_Income!$A$5:$A$204,0)))</f>
        <v>Rubber</v>
      </c>
      <c r="I30" s="95" t="str">
        <f aca="false">IF($C30="","",INDEX(MM_Income!$I$5:$I$204,MATCH($C30,MM_Income!$A$5:$A$204,0)))</f>
        <v>RENL</v>
      </c>
      <c r="J30" s="95" t="str">
        <f aca="false">IF($C30="","",INDEX(MM_Income!$D$5:$D$204,MATCH($C30,MM_Income!$A$5:$A$204,0)))</f>
        <v>SD</v>
      </c>
      <c r="K30" s="95" t="str">
        <f aca="false">IF($C30="","",INDEX(MM_Income!$E$5:$E$204,MATCH($C30,MM_Income!$A$5:$A$204,0)))</f>
        <v>Current</v>
      </c>
      <c r="L30" s="95" t="str">
        <f aca="false">IF($C30="","",INDEX(MM_Income!$U$5:$U$204,MATCH($C30,MM_Income!$A$5:$A$204,0)))</f>
        <v>Secured</v>
      </c>
      <c r="M30" s="143" t="n">
        <f aca="false">IF($C30="","",INDEX(MM_Income!$V$5:$V$204,MATCH($C30,MM_Income!$A$5:$A$204,0)))</f>
        <v>1</v>
      </c>
      <c r="N30" s="144" t="n">
        <f aca="false">IF($C30="","",INDEX(MM_Income!$T$5:$T$204,MATCH($C30,MM_Income!$A$5:$A$204,0)))</f>
        <v>302649.5</v>
      </c>
      <c r="O30" s="94" t="n">
        <f aca="false">IF($C30="","",-SUMIFS(Project_Activity!$P$2:$P$5000,Project_Activity!$C$2:$C$5000,$C30,Project_Activity!$U$2:$U$5000,"Invoiced Income",Project_Activity!$H$2:$H$5000,"&gt;="&amp;DATE(VALUE(LEFT($B30,4)),1,1),Project_Activity!$H$2:$H$5000,"&lt;="&amp;EOMONTH(DATE(VALUE(LEFT($B30,4)),VALUE(RIGHT($B30,1))*3,1),0)))</f>
        <v>166541.06</v>
      </c>
      <c r="P30" s="94" t="n">
        <f aca="false">IF($C30="","",SUMIFS(Project_Activity!$P$2:$P$5000,Project_Activity!$C$2:$C$5000,$C30,Project_Activity!$U$2:$U$5000,"Subcontractor",Project_Activity!$H$2:$H$5000,"&gt;="&amp;DATE(VALUE(LEFT($B30,4)),1,1),Project_Activity!$H$2:$H$5000,"&lt;="&amp;EOMONTH(DATE(VALUE(LEFT($B30,4)),VALUE(RIGHT($B30,1))*3,1),0)))</f>
        <v>0</v>
      </c>
      <c r="Q30" s="94" t="n">
        <f aca="false">IF($C30="","",SUMIFS(Project_Activity!$P$2:$P$5000,Project_Activity!$C$2:$C$5000,$C30,Project_Activity!$U$2:$U$5000,"Project Inclusive",Project_Activity!$H$2:$H$5000,"&gt;="&amp;DATE(VALUE(LEFT($B30,4)),1,1),Project_Activity!$H$2:$H$5000,"&lt;="&amp;EOMONTH(DATE(VALUE(LEFT($B30,4)),VALUE(RIGHT($B30,1))*3,1),0)))</f>
        <v>0</v>
      </c>
      <c r="R30" s="94" t="n">
        <f aca="false">IF($C30="","",SUMIFS(Project_Activity!$P$2:$P$5000,Project_Activity!$C$2:$C$5000,$C30,Project_Activity!$U$2:$U$5000,"Non-Recoverable",Project_Activity!$H$2:$H$5000,"&gt;="&amp;DATE(VALUE(LEFT($B30,4)),1,1),Project_Activity!$H$2:$H$5000,"&lt;="&amp;EOMONTH(DATE(VALUE(LEFT($B30,4)),VALUE(RIGHT($B30,1))*3,1),0)))</f>
        <v>1148.51</v>
      </c>
      <c r="S30" s="94" t="n">
        <f aca="false">IF($C30="","",$O30-$P30-$Q30-$R30)</f>
        <v>165392.55</v>
      </c>
      <c r="T30" s="94" t="n">
        <f aca="false">IF($C30="","",SUMIFS(Project_Activity!$P$2:$P$5000,Project_Activity!$C$2:$C$5000,$C30,Project_Activity!$U$2:$U$5000,"Recoverable",Project_Activity!$H$2:$H$5000,"&gt;="&amp;DATE(VALUE(LEFT($B30,4)),1,1),Project_Activity!$H$2:$H$5000,"&lt;="&amp;EOMONTH(DATE(VALUE(LEFT($B30,4)),VALUE(RIGHT($B30,1))*3,1),0)))</f>
        <v>0</v>
      </c>
      <c r="U30" s="94" t="n">
        <f aca="false">IF($C30="","",-SUMIFS(Project_Activity!$P$2:$P$5000,Project_Activity!$C$2:$C$5000,$C30,Project_Activity!$U$2:$U$5000,"Recovered Expenses",Project_Activity!$H$2:$H$5000,"&gt;="&amp;DATE(VALUE(LEFT($B30,4)),1,1),Project_Activity!$H$2:$H$5000,"&lt;="&amp;EOMONTH(DATE(VALUE(LEFT($B30,4)),VALUE(RIGHT($B30,1))*3,1),0)))</f>
        <v>-0</v>
      </c>
      <c r="V30" s="145"/>
      <c r="W30" s="94" t="n">
        <f aca="false">IF($C30="","",$V30*$N30)</f>
        <v>0</v>
      </c>
      <c r="X30" s="145" t="n">
        <v>0.5</v>
      </c>
      <c r="Y30" s="94" t="n">
        <f aca="false">IF($C30="","",$X30*$N30)</f>
        <v>151324.75</v>
      </c>
      <c r="Z30" s="145" t="n">
        <v>0.25</v>
      </c>
      <c r="AA30" s="94" t="n">
        <f aca="false">IF($C30="","",$Z30*$N30)</f>
        <v>75662.375</v>
      </c>
      <c r="AB30" s="145" t="n">
        <v>0.25</v>
      </c>
      <c r="AC30" s="94" t="n">
        <f aca="false">IF($C30="","",$AB30*$N30)</f>
        <v>75662.375</v>
      </c>
      <c r="AD30" s="94" t="n">
        <f aca="false">IF($C30="","",SUMPRODUCT((VALUE(MID($B30,7,1))&gt;={1,2,3,4})*CHOOSE({1,2,3,4},$W30,$Y30,$AA30,$AC30)))</f>
        <v>151324.75</v>
      </c>
      <c r="AE30" s="94" t="n">
        <f aca="false">IF($C30="","",$W30+$Y30+$AA30+$AC30-$AD30)</f>
        <v>151324.75</v>
      </c>
      <c r="AF30" s="146"/>
      <c r="AG30" s="146"/>
      <c r="AH30" s="146" t="s">
        <v>844</v>
      </c>
      <c r="AI30" s="147" t="str">
        <f aca="false">IF($C30="","",IF(OR($L30="Pipeline",$N30&lt;0,$O30&gt;$N30+1,($V30+$X30+$Z30+$AB30)&gt;1.0001,ISNUMBER(SEARCH("not signed",$AF30))),"REVIEW","OK"))</f>
        <v>OK</v>
      </c>
    </row>
    <row r="31" customFormat="false" ht="13.5" hidden="false" customHeight="false" outlineLevel="0" collapsed="false">
      <c r="A31" s="95" t="str">
        <f aca="false">IF($C31="","",Controls!$B$7)</f>
        <v>PCGH</v>
      </c>
      <c r="B31" s="95" t="str">
        <f aca="false">IF($C31="","",Controls!$B$30)</f>
        <v>2026-Q2</v>
      </c>
      <c r="C31" s="95" t="str">
        <f aca="false">IF(MM_Income!$A34="","",MM_Income!$A34)</f>
        <v>TBC-01</v>
      </c>
      <c r="D31" s="95" t="str">
        <f aca="false">IF($C31="","",INDEX(MM_Income!$B$5:$B$204,MATCH($C31,MM_Income!$A$5:$A$204,0)))</f>
        <v>Hershey Nigeria - Scoping Study</v>
      </c>
      <c r="E31" s="95" t="str">
        <f aca="false">IF($C31="","",INDEX(MM_Income!$C$5:$C$204,MATCH($C31,MM_Income!$A$5:$A$204,0)))</f>
        <v>Responsible Finance</v>
      </c>
      <c r="F31" s="95" t="str">
        <f aca="false">IF($C31="","",INDEX(MM_Income!$F$5:$F$204,MATCH($C31,MM_Income!$A$5:$A$204,0)))</f>
        <v>Responsible Finance</v>
      </c>
      <c r="G31" s="95" t="str">
        <f aca="false">IF($C31="","",INDEX(MM_Income!$G$5:$G$204,MATCH($C31,MM_Income!$A$5:$A$204,0)))</f>
        <v>Internal</v>
      </c>
      <c r="H31" s="95" t="str">
        <f aca="false">IF($C31="","",INDEX(MM_Income!$H$5:$H$204,MATCH($C31,MM_Income!$A$5:$A$204,0)))</f>
        <v>Cocoa</v>
      </c>
      <c r="I31" s="95" t="str">
        <f aca="false">IF($C31="","",INDEX(MM_Income!$I$5:$I$204,MATCH($C31,MM_Income!$A$5:$A$204,0)))</f>
        <v>Hershey (via PCUK)</v>
      </c>
      <c r="J31" s="95" t="str">
        <f aca="false">IF($C31="","",INDEX(MM_Income!$D$5:$D$204,MATCH($C31,MM_Income!$A$5:$A$204,0)))</f>
        <v>TBC</v>
      </c>
      <c r="K31" s="95" t="str">
        <f aca="false">IF($C31="","",INDEX(MM_Income!$E$5:$E$204,MATCH($C31,MM_Income!$A$5:$A$204,0)))</f>
        <v>Pipeline</v>
      </c>
      <c r="L31" s="95" t="str">
        <f aca="false">IF($C31="","",INDEX(MM_Income!$U$5:$U$204,MATCH($C31,MM_Income!$A$5:$A$204,0)))</f>
        <v>Pipeline</v>
      </c>
      <c r="M31" s="143" t="n">
        <f aca="false">IF($C31="","",INDEX(MM_Income!$V$5:$V$204,MATCH($C31,MM_Income!$A$5:$A$204,0)))</f>
        <v>1</v>
      </c>
      <c r="N31" s="144" t="n">
        <f aca="false">IF($C31="","",INDEX(MM_Income!$T$5:$T$204,MATCH($C31,MM_Income!$A$5:$A$204,0)))</f>
        <v>409275</v>
      </c>
      <c r="O31" s="94" t="n">
        <f aca="false">IF($C31="","",-SUMIFS(Project_Activity!$P$2:$P$5000,Project_Activity!$C$2:$C$5000,$C31,Project_Activity!$U$2:$U$5000,"Invoiced Income",Project_Activity!$H$2:$H$5000,"&gt;="&amp;DATE(VALUE(LEFT($B31,4)),1,1),Project_Activity!$H$2:$H$5000,"&lt;="&amp;EOMONTH(DATE(VALUE(LEFT($B31,4)),VALUE(RIGHT($B31,1))*3,1),0)))</f>
        <v>-0</v>
      </c>
      <c r="P31" s="94" t="n">
        <f aca="false">IF($C31="","",SUMIFS(Project_Activity!$P$2:$P$5000,Project_Activity!$C$2:$C$5000,$C31,Project_Activity!$U$2:$U$5000,"Subcontractor",Project_Activity!$H$2:$H$5000,"&gt;="&amp;DATE(VALUE(LEFT($B31,4)),1,1),Project_Activity!$H$2:$H$5000,"&lt;="&amp;EOMONTH(DATE(VALUE(LEFT($B31,4)),VALUE(RIGHT($B31,1))*3,1),0)))</f>
        <v>0</v>
      </c>
      <c r="Q31" s="94" t="n">
        <f aca="false">IF($C31="","",SUMIFS(Project_Activity!$P$2:$P$5000,Project_Activity!$C$2:$C$5000,$C31,Project_Activity!$U$2:$U$5000,"Project Inclusive",Project_Activity!$H$2:$H$5000,"&gt;="&amp;DATE(VALUE(LEFT($B31,4)),1,1),Project_Activity!$H$2:$H$5000,"&lt;="&amp;EOMONTH(DATE(VALUE(LEFT($B31,4)),VALUE(RIGHT($B31,1))*3,1),0)))</f>
        <v>0</v>
      </c>
      <c r="R31" s="94" t="n">
        <f aca="false">IF($C31="","",SUMIFS(Project_Activity!$P$2:$P$5000,Project_Activity!$C$2:$C$5000,$C31,Project_Activity!$U$2:$U$5000,"Non-Recoverable",Project_Activity!$H$2:$H$5000,"&gt;="&amp;DATE(VALUE(LEFT($B31,4)),1,1),Project_Activity!$H$2:$H$5000,"&lt;="&amp;EOMONTH(DATE(VALUE(LEFT($B31,4)),VALUE(RIGHT($B31,1))*3,1),0)))</f>
        <v>0</v>
      </c>
      <c r="S31" s="94" t="n">
        <f aca="false">IF($C31="","",$O31-$P31-$Q31-$R31)</f>
        <v>-0</v>
      </c>
      <c r="T31" s="94" t="n">
        <f aca="false">IF($C31="","",SUMIFS(Project_Activity!$P$2:$P$5000,Project_Activity!$C$2:$C$5000,$C31,Project_Activity!$U$2:$U$5000,"Recoverable",Project_Activity!$H$2:$H$5000,"&gt;="&amp;DATE(VALUE(LEFT($B31,4)),1,1),Project_Activity!$H$2:$H$5000,"&lt;="&amp;EOMONTH(DATE(VALUE(LEFT($B31,4)),VALUE(RIGHT($B31,1))*3,1),0)))</f>
        <v>0</v>
      </c>
      <c r="U31" s="94" t="n">
        <f aca="false">IF($C31="","",-SUMIFS(Project_Activity!$P$2:$P$5000,Project_Activity!$C$2:$C$5000,$C31,Project_Activity!$U$2:$U$5000,"Recovered Expenses",Project_Activity!$H$2:$H$5000,"&gt;="&amp;DATE(VALUE(LEFT($B31,4)),1,1),Project_Activity!$H$2:$H$5000,"&lt;="&amp;EOMONTH(DATE(VALUE(LEFT($B31,4)),VALUE(RIGHT($B31,1))*3,1),0)))</f>
        <v>-0</v>
      </c>
      <c r="V31" s="145"/>
      <c r="W31" s="94" t="n">
        <f aca="false">IF($C31="","",$V31*$N31)</f>
        <v>0</v>
      </c>
      <c r="X31" s="145"/>
      <c r="Y31" s="94" t="n">
        <f aca="false">IF($C31="","",$X31*$N31)</f>
        <v>0</v>
      </c>
      <c r="Z31" s="145"/>
      <c r="AA31" s="94" t="n">
        <f aca="false">IF($C31="","",$Z31*$N31)</f>
        <v>0</v>
      </c>
      <c r="AB31" s="145"/>
      <c r="AC31" s="94" t="n">
        <f aca="false">IF($C31="","",$AB31*$N31)</f>
        <v>0</v>
      </c>
      <c r="AD31" s="94" t="n">
        <f aca="false">IF($C31="","",SUMPRODUCT((VALUE(MID($B31,7,1))&gt;={1,2,3,4})*CHOOSE({1,2,3,4},$W31,$Y31,$AA31,$AC31)))</f>
        <v>0</v>
      </c>
      <c r="AE31" s="94" t="n">
        <f aca="false">IF($C31="","",$W31+$Y31+$AA31+$AC31-$AD31)</f>
        <v>0</v>
      </c>
      <c r="AF31" s="146"/>
      <c r="AG31" s="146"/>
      <c r="AH31" s="146"/>
      <c r="AI31" s="147" t="str">
        <f aca="false">IF($C31="","",IF(OR($L31="Pipeline",$N31&lt;0,$O31&gt;$N31+1,($V31+$X31+$Z31+$AB31)&gt;1.0001,ISNUMBER(SEARCH("not signed",$AF31))),"REVIEW","OK"))</f>
        <v>REVIEW</v>
      </c>
    </row>
    <row r="32" customFormat="false" ht="13.5" hidden="false" customHeight="false" outlineLevel="0" collapsed="false">
      <c r="A32" s="95" t="str">
        <f aca="false">IF($C32="","",Controls!$B$7)</f>
        <v>PCGH</v>
      </c>
      <c r="B32" s="95" t="str">
        <f aca="false">IF($C32="","",Controls!$B$30)</f>
        <v>2026-Q2</v>
      </c>
      <c r="C32" s="95" t="str">
        <f aca="false">IF(MM_Income!$A35="","",MM_Income!$A35)</f>
        <v>TBC-02</v>
      </c>
      <c r="D32" s="95" t="str">
        <f aca="false">IF($C32="","",INDEX(MM_Income!$B$5:$B$204,MATCH($C32,MM_Income!$A$5:$A$204,0)))</f>
        <v>CDC_BOA &amp; MONDONI_HCV-HCSA Assessment</v>
      </c>
      <c r="E32" s="95" t="str">
        <f aca="false">IF($C32="","",INDEX(MM_Income!$C$5:$C$204,MATCH($C32,MM_Income!$A$5:$A$204,0)))</f>
        <v>Responsible Production</v>
      </c>
      <c r="F32" s="95" t="str">
        <f aca="false">IF($C32="","",INDEX(MM_Income!$F$5:$F$204,MATCH($C32,MM_Income!$A$5:$A$204,0)))</f>
        <v>Responsible Production</v>
      </c>
      <c r="G32" s="95" t="str">
        <f aca="false">IF($C32="","",INDEX(MM_Income!$G$5:$G$204,MATCH($C32,MM_Income!$A$5:$A$204,0)))</f>
        <v>External</v>
      </c>
      <c r="H32" s="95" t="str">
        <f aca="false">IF($C32="","",INDEX(MM_Income!$H$5:$H$204,MATCH($C32,MM_Income!$A$5:$A$204,0)))</f>
        <v>Oil Palm</v>
      </c>
      <c r="I32" s="95" t="str">
        <f aca="false">IF($C32="","",INDEX(MM_Income!$I$5:$I$204,MATCH($C32,MM_Income!$A$5:$A$204,0)))</f>
        <v>CDC</v>
      </c>
      <c r="J32" s="95" t="str">
        <f aca="false">IF($C32="","",INDEX(MM_Income!$D$5:$D$204,MATCH($C32,MM_Income!$A$5:$A$204,0)))</f>
        <v>TBC</v>
      </c>
      <c r="K32" s="95" t="str">
        <f aca="false">IF($C32="","",INDEX(MM_Income!$E$5:$E$204,MATCH($C32,MM_Income!$A$5:$A$204,0)))</f>
        <v>Pipeline</v>
      </c>
      <c r="L32" s="95" t="str">
        <f aca="false">IF($C32="","",INDEX(MM_Income!$U$5:$U$204,MATCH($C32,MM_Income!$A$5:$A$204,0)))</f>
        <v>Pipeline</v>
      </c>
      <c r="M32" s="143" t="n">
        <f aca="false">IF($C32="","",INDEX(MM_Income!$V$5:$V$204,MATCH($C32,MM_Income!$A$5:$A$204,0)))</f>
        <v>1</v>
      </c>
      <c r="N32" s="144" t="n">
        <f aca="false">IF($C32="","",INDEX(MM_Income!$T$5:$T$204,MATCH($C32,MM_Income!$A$5:$A$204,0)))</f>
        <v>1098783</v>
      </c>
      <c r="O32" s="94" t="n">
        <f aca="false">IF($C32="","",-SUMIFS(Project_Activity!$P$2:$P$5000,Project_Activity!$C$2:$C$5000,$C32,Project_Activity!$U$2:$U$5000,"Invoiced Income",Project_Activity!$H$2:$H$5000,"&gt;="&amp;DATE(VALUE(LEFT($B32,4)),1,1),Project_Activity!$H$2:$H$5000,"&lt;="&amp;EOMONTH(DATE(VALUE(LEFT($B32,4)),VALUE(RIGHT($B32,1))*3,1),0)))</f>
        <v>-0</v>
      </c>
      <c r="P32" s="94" t="n">
        <f aca="false">IF($C32="","",SUMIFS(Project_Activity!$P$2:$P$5000,Project_Activity!$C$2:$C$5000,$C32,Project_Activity!$U$2:$U$5000,"Subcontractor",Project_Activity!$H$2:$H$5000,"&gt;="&amp;DATE(VALUE(LEFT($B32,4)),1,1),Project_Activity!$H$2:$H$5000,"&lt;="&amp;EOMONTH(DATE(VALUE(LEFT($B32,4)),VALUE(RIGHT($B32,1))*3,1),0)))</f>
        <v>0</v>
      </c>
      <c r="Q32" s="94" t="n">
        <f aca="false">IF($C32="","",SUMIFS(Project_Activity!$P$2:$P$5000,Project_Activity!$C$2:$C$5000,$C32,Project_Activity!$U$2:$U$5000,"Project Inclusive",Project_Activity!$H$2:$H$5000,"&gt;="&amp;DATE(VALUE(LEFT($B32,4)),1,1),Project_Activity!$H$2:$H$5000,"&lt;="&amp;EOMONTH(DATE(VALUE(LEFT($B32,4)),VALUE(RIGHT($B32,1))*3,1),0)))</f>
        <v>0</v>
      </c>
      <c r="R32" s="94" t="n">
        <f aca="false">IF($C32="","",SUMIFS(Project_Activity!$P$2:$P$5000,Project_Activity!$C$2:$C$5000,$C32,Project_Activity!$U$2:$U$5000,"Non-Recoverable",Project_Activity!$H$2:$H$5000,"&gt;="&amp;DATE(VALUE(LEFT($B32,4)),1,1),Project_Activity!$H$2:$H$5000,"&lt;="&amp;EOMONTH(DATE(VALUE(LEFT($B32,4)),VALUE(RIGHT($B32,1))*3,1),0)))</f>
        <v>0</v>
      </c>
      <c r="S32" s="94" t="n">
        <f aca="false">IF($C32="","",$O32-$P32-$Q32-$R32)</f>
        <v>-0</v>
      </c>
      <c r="T32" s="94" t="n">
        <f aca="false">IF($C32="","",SUMIFS(Project_Activity!$P$2:$P$5000,Project_Activity!$C$2:$C$5000,$C32,Project_Activity!$U$2:$U$5000,"Recoverable",Project_Activity!$H$2:$H$5000,"&gt;="&amp;DATE(VALUE(LEFT($B32,4)),1,1),Project_Activity!$H$2:$H$5000,"&lt;="&amp;EOMONTH(DATE(VALUE(LEFT($B32,4)),VALUE(RIGHT($B32,1))*3,1),0)))</f>
        <v>0</v>
      </c>
      <c r="U32" s="94" t="n">
        <f aca="false">IF($C32="","",-SUMIFS(Project_Activity!$P$2:$P$5000,Project_Activity!$C$2:$C$5000,$C32,Project_Activity!$U$2:$U$5000,"Recovered Expenses",Project_Activity!$H$2:$H$5000,"&gt;="&amp;DATE(VALUE(LEFT($B32,4)),1,1),Project_Activity!$H$2:$H$5000,"&lt;="&amp;EOMONTH(DATE(VALUE(LEFT($B32,4)),VALUE(RIGHT($B32,1))*3,1),0)))</f>
        <v>-0</v>
      </c>
      <c r="V32" s="145"/>
      <c r="W32" s="94" t="n">
        <f aca="false">IF($C32="","",$V32*$N32)</f>
        <v>0</v>
      </c>
      <c r="X32" s="145"/>
      <c r="Y32" s="94" t="n">
        <f aca="false">IF($C32="","",$X32*$N32)</f>
        <v>0</v>
      </c>
      <c r="Z32" s="145"/>
      <c r="AA32" s="94" t="n">
        <f aca="false">IF($C32="","",$Z32*$N32)</f>
        <v>0</v>
      </c>
      <c r="AB32" s="145"/>
      <c r="AC32" s="94" t="n">
        <f aca="false">IF($C32="","",$AB32*$N32)</f>
        <v>0</v>
      </c>
      <c r="AD32" s="94" t="n">
        <f aca="false">IF($C32="","",SUMPRODUCT((VALUE(MID($B32,7,1))&gt;={1,2,3,4})*CHOOSE({1,2,3,4},$W32,$Y32,$AA32,$AC32)))</f>
        <v>0</v>
      </c>
      <c r="AE32" s="94" t="n">
        <f aca="false">IF($C32="","",$W32+$Y32+$AA32+$AC32-$AD32)</f>
        <v>0</v>
      </c>
      <c r="AF32" s="146"/>
      <c r="AG32" s="146"/>
      <c r="AH32" s="146"/>
      <c r="AI32" s="147" t="str">
        <f aca="false">IF($C32="","",IF(OR($L32="Pipeline",$N32&lt;0,$O32&gt;$N32+1,($V32+$X32+$Z32+$AB32)&gt;1.0001,ISNUMBER(SEARCH("not signed",$AF32))),"REVIEW","OK"))</f>
        <v>REVIEW</v>
      </c>
    </row>
    <row r="33" customFormat="false" ht="13.5" hidden="false" customHeight="false" outlineLevel="0" collapsed="false">
      <c r="A33" s="95" t="str">
        <f aca="false">IF($C33="","",Controls!$B$7)</f>
        <v>PCGH</v>
      </c>
      <c r="B33" s="95" t="str">
        <f aca="false">IF($C33="","",Controls!$B$30)</f>
        <v>2026-Q2</v>
      </c>
      <c r="C33" s="95" t="str">
        <f aca="false">IF(MM_Income!$A36="","",MM_Income!$A36)</f>
        <v>TBC-03</v>
      </c>
      <c r="D33" s="95" t="str">
        <f aca="false">IF($C33="","",INDEX(MM_Income!$B$5:$B$204,MATCH($C33,MM_Income!$A$5:$A$204,0)))</f>
        <v>Environmental and Social Compliance Training and Traceability System Design and Deployment for the Palm and Cashew Value Chains In Ghana</v>
      </c>
      <c r="E33" s="95" t="str">
        <f aca="false">IF($C33="","",INDEX(MM_Income!$C$5:$C$204,MATCH($C33,MM_Income!$A$5:$A$204,0)))</f>
        <v>Responsible Production</v>
      </c>
      <c r="F33" s="95" t="str">
        <f aca="false">IF($C33="","",INDEX(MM_Income!$F$5:$F$204,MATCH($C33,MM_Income!$A$5:$A$204,0)))</f>
        <v>Responsible Production</v>
      </c>
      <c r="G33" s="95" t="str">
        <f aca="false">IF($C33="","",INDEX(MM_Income!$G$5:$G$204,MATCH($C33,MM_Income!$A$5:$A$204,0)))</f>
        <v>External</v>
      </c>
      <c r="H33" s="95" t="str">
        <f aca="false">IF($C33="","",INDEX(MM_Income!$H$5:$H$204,MATCH($C33,MM_Income!$A$5:$A$204,0)))</f>
        <v>Multiple Commodity</v>
      </c>
      <c r="I33" s="95" t="str">
        <f aca="false">IF($C33="","",INDEX(MM_Income!$I$5:$I$204,MATCH($C33,MM_Income!$A$5:$A$204,0)))</f>
        <v>Presco</v>
      </c>
      <c r="J33" s="95" t="str">
        <f aca="false">IF($C33="","",INDEX(MM_Income!$D$5:$D$204,MATCH($C33,MM_Income!$A$5:$A$204,0)))</f>
        <v>TBC</v>
      </c>
      <c r="K33" s="95" t="str">
        <f aca="false">IF($C33="","",INDEX(MM_Income!$E$5:$E$204,MATCH($C33,MM_Income!$A$5:$A$204,0)))</f>
        <v>Pipeline</v>
      </c>
      <c r="L33" s="95" t="str">
        <f aca="false">IF($C33="","",INDEX(MM_Income!$U$5:$U$204,MATCH($C33,MM_Income!$A$5:$A$204,0)))</f>
        <v>Pipeline</v>
      </c>
      <c r="M33" s="143" t="n">
        <f aca="false">IF($C33="","",INDEX(MM_Income!$V$5:$V$204,MATCH($C33,MM_Income!$A$5:$A$204,0)))</f>
        <v>1</v>
      </c>
      <c r="N33" s="144" t="n">
        <f aca="false">IF($C33="","",INDEX(MM_Income!$T$5:$T$204,MATCH($C33,MM_Income!$A$5:$A$204,0)))</f>
        <v>1025702</v>
      </c>
      <c r="O33" s="94" t="n">
        <f aca="false">IF($C33="","",-SUMIFS(Project_Activity!$P$2:$P$5000,Project_Activity!$C$2:$C$5000,$C33,Project_Activity!$U$2:$U$5000,"Invoiced Income",Project_Activity!$H$2:$H$5000,"&gt;="&amp;DATE(VALUE(LEFT($B33,4)),1,1),Project_Activity!$H$2:$H$5000,"&lt;="&amp;EOMONTH(DATE(VALUE(LEFT($B33,4)),VALUE(RIGHT($B33,1))*3,1),0)))</f>
        <v>-0</v>
      </c>
      <c r="P33" s="94" t="n">
        <f aca="false">IF($C33="","",SUMIFS(Project_Activity!$P$2:$P$5000,Project_Activity!$C$2:$C$5000,$C33,Project_Activity!$U$2:$U$5000,"Subcontractor",Project_Activity!$H$2:$H$5000,"&gt;="&amp;DATE(VALUE(LEFT($B33,4)),1,1),Project_Activity!$H$2:$H$5000,"&lt;="&amp;EOMONTH(DATE(VALUE(LEFT($B33,4)),VALUE(RIGHT($B33,1))*3,1),0)))</f>
        <v>0</v>
      </c>
      <c r="Q33" s="94" t="n">
        <f aca="false">IF($C33="","",SUMIFS(Project_Activity!$P$2:$P$5000,Project_Activity!$C$2:$C$5000,$C33,Project_Activity!$U$2:$U$5000,"Project Inclusive",Project_Activity!$H$2:$H$5000,"&gt;="&amp;DATE(VALUE(LEFT($B33,4)),1,1),Project_Activity!$H$2:$H$5000,"&lt;="&amp;EOMONTH(DATE(VALUE(LEFT($B33,4)),VALUE(RIGHT($B33,1))*3,1),0)))</f>
        <v>0</v>
      </c>
      <c r="R33" s="94" t="n">
        <f aca="false">IF($C33="","",SUMIFS(Project_Activity!$P$2:$P$5000,Project_Activity!$C$2:$C$5000,$C33,Project_Activity!$U$2:$U$5000,"Non-Recoverable",Project_Activity!$H$2:$H$5000,"&gt;="&amp;DATE(VALUE(LEFT($B33,4)),1,1),Project_Activity!$H$2:$H$5000,"&lt;="&amp;EOMONTH(DATE(VALUE(LEFT($B33,4)),VALUE(RIGHT($B33,1))*3,1),0)))</f>
        <v>0</v>
      </c>
      <c r="S33" s="94" t="n">
        <f aca="false">IF($C33="","",$O33-$P33-$Q33-$R33)</f>
        <v>-0</v>
      </c>
      <c r="T33" s="94" t="n">
        <f aca="false">IF($C33="","",SUMIFS(Project_Activity!$P$2:$P$5000,Project_Activity!$C$2:$C$5000,$C33,Project_Activity!$U$2:$U$5000,"Recoverable",Project_Activity!$H$2:$H$5000,"&gt;="&amp;DATE(VALUE(LEFT($B33,4)),1,1),Project_Activity!$H$2:$H$5000,"&lt;="&amp;EOMONTH(DATE(VALUE(LEFT($B33,4)),VALUE(RIGHT($B33,1))*3,1),0)))</f>
        <v>0</v>
      </c>
      <c r="U33" s="94" t="n">
        <f aca="false">IF($C33="","",-SUMIFS(Project_Activity!$P$2:$P$5000,Project_Activity!$C$2:$C$5000,$C33,Project_Activity!$U$2:$U$5000,"Recovered Expenses",Project_Activity!$H$2:$H$5000,"&gt;="&amp;DATE(VALUE(LEFT($B33,4)),1,1),Project_Activity!$H$2:$H$5000,"&lt;="&amp;EOMONTH(DATE(VALUE(LEFT($B33,4)),VALUE(RIGHT($B33,1))*3,1),0)))</f>
        <v>-0</v>
      </c>
      <c r="V33" s="145"/>
      <c r="W33" s="94" t="n">
        <f aca="false">IF($C33="","",$V33*$N33)</f>
        <v>0</v>
      </c>
      <c r="X33" s="145"/>
      <c r="Y33" s="94" t="n">
        <f aca="false">IF($C33="","",$X33*$N33)</f>
        <v>0</v>
      </c>
      <c r="Z33" s="145"/>
      <c r="AA33" s="94" t="n">
        <f aca="false">IF($C33="","",$Z33*$N33)</f>
        <v>0</v>
      </c>
      <c r="AB33" s="145"/>
      <c r="AC33" s="94" t="n">
        <f aca="false">IF($C33="","",$AB33*$N33)</f>
        <v>0</v>
      </c>
      <c r="AD33" s="94" t="n">
        <f aca="false">IF($C33="","",SUMPRODUCT((VALUE(MID($B33,7,1))&gt;={1,2,3,4})*CHOOSE({1,2,3,4},$W33,$Y33,$AA33,$AC33)))</f>
        <v>0</v>
      </c>
      <c r="AE33" s="94" t="n">
        <f aca="false">IF($C33="","",$W33+$Y33+$AA33+$AC33-$AD33)</f>
        <v>0</v>
      </c>
      <c r="AF33" s="146"/>
      <c r="AG33" s="146"/>
      <c r="AH33" s="146"/>
      <c r="AI33" s="147" t="str">
        <f aca="false">IF($C33="","",IF(OR($L33="Pipeline",$N33&lt;0,$O33&gt;$N33+1,($V33+$X33+$Z33+$AB33)&gt;1.0001,ISNUMBER(SEARCH("not signed",$AF33))),"REVIEW","OK"))</f>
        <v>REVIEW</v>
      </c>
    </row>
    <row r="34" customFormat="false" ht="13.5" hidden="false" customHeight="false" outlineLevel="0" collapsed="false">
      <c r="A34" s="95" t="str">
        <f aca="false">IF($C34="","",Controls!$B$7)</f>
        <v>PCGH</v>
      </c>
      <c r="B34" s="95" t="str">
        <f aca="false">IF($C34="","",Controls!$B$30)</f>
        <v>2026-Q2</v>
      </c>
      <c r="C34" s="95" t="str">
        <f aca="false">IF(MM_Income!$A37="","",MM_Income!$A37)</f>
        <v>TBC-04</v>
      </c>
      <c r="D34" s="95" t="str">
        <f aca="false">IF($C34="","",INDEX(MM_Income!$B$5:$B$204,MATCH($C34,MM_Income!$A$5:$A$204,0)))</f>
        <v>Integrated HCV-HCSA Scoping Study for Presco Plc's Nsadop Concession in Cross River State Nigeria</v>
      </c>
      <c r="E34" s="95" t="str">
        <f aca="false">IF($C34="","",INDEX(MM_Income!$C$5:$C$204,MATCH($C34,MM_Income!$A$5:$A$204,0)))</f>
        <v>Responsible Production</v>
      </c>
      <c r="F34" s="95" t="str">
        <f aca="false">IF($C34="","",INDEX(MM_Income!$F$5:$F$204,MATCH($C34,MM_Income!$A$5:$A$204,0)))</f>
        <v>Responsible Production</v>
      </c>
      <c r="G34" s="95" t="str">
        <f aca="false">IF($C34="","",INDEX(MM_Income!$G$5:$G$204,MATCH($C34,MM_Income!$A$5:$A$204,0)))</f>
        <v>External</v>
      </c>
      <c r="H34" s="95" t="str">
        <f aca="false">IF($C34="","",INDEX(MM_Income!$H$5:$H$204,MATCH($C34,MM_Income!$A$5:$A$204,0)))</f>
        <v>Oil Palm</v>
      </c>
      <c r="I34" s="95" t="str">
        <f aca="false">IF($C34="","",INDEX(MM_Income!$I$5:$I$204,MATCH($C34,MM_Income!$A$5:$A$204,0)))</f>
        <v>Presco</v>
      </c>
      <c r="J34" s="95" t="str">
        <f aca="false">IF($C34="","",INDEX(MM_Income!$D$5:$D$204,MATCH($C34,MM_Income!$A$5:$A$204,0)))</f>
        <v>TBC</v>
      </c>
      <c r="K34" s="95" t="str">
        <f aca="false">IF($C34="","",INDEX(MM_Income!$E$5:$E$204,MATCH($C34,MM_Income!$A$5:$A$204,0)))</f>
        <v>Pipeline</v>
      </c>
      <c r="L34" s="95" t="str">
        <f aca="false">IF($C34="","",INDEX(MM_Income!$U$5:$U$204,MATCH($C34,MM_Income!$A$5:$A$204,0)))</f>
        <v>Pipeline</v>
      </c>
      <c r="M34" s="143" t="n">
        <f aca="false">IF($C34="","",INDEX(MM_Income!$V$5:$V$204,MATCH($C34,MM_Income!$A$5:$A$204,0)))</f>
        <v>1</v>
      </c>
      <c r="N34" s="144" t="n">
        <f aca="false">IF($C34="","",INDEX(MM_Income!$T$5:$T$204,MATCH($C34,MM_Income!$A$5:$A$204,0)))</f>
        <v>193509.5</v>
      </c>
      <c r="O34" s="94" t="n">
        <f aca="false">IF($C34="","",-SUMIFS(Project_Activity!$P$2:$P$5000,Project_Activity!$C$2:$C$5000,$C34,Project_Activity!$U$2:$U$5000,"Invoiced Income",Project_Activity!$H$2:$H$5000,"&gt;="&amp;DATE(VALUE(LEFT($B34,4)),1,1),Project_Activity!$H$2:$H$5000,"&lt;="&amp;EOMONTH(DATE(VALUE(LEFT($B34,4)),VALUE(RIGHT($B34,1))*3,1),0)))</f>
        <v>-0</v>
      </c>
      <c r="P34" s="94" t="n">
        <f aca="false">IF($C34="","",SUMIFS(Project_Activity!$P$2:$P$5000,Project_Activity!$C$2:$C$5000,$C34,Project_Activity!$U$2:$U$5000,"Subcontractor",Project_Activity!$H$2:$H$5000,"&gt;="&amp;DATE(VALUE(LEFT($B34,4)),1,1),Project_Activity!$H$2:$H$5000,"&lt;="&amp;EOMONTH(DATE(VALUE(LEFT($B34,4)),VALUE(RIGHT($B34,1))*3,1),0)))</f>
        <v>0</v>
      </c>
      <c r="Q34" s="94" t="n">
        <f aca="false">IF($C34="","",SUMIFS(Project_Activity!$P$2:$P$5000,Project_Activity!$C$2:$C$5000,$C34,Project_Activity!$U$2:$U$5000,"Project Inclusive",Project_Activity!$H$2:$H$5000,"&gt;="&amp;DATE(VALUE(LEFT($B34,4)),1,1),Project_Activity!$H$2:$H$5000,"&lt;="&amp;EOMONTH(DATE(VALUE(LEFT($B34,4)),VALUE(RIGHT($B34,1))*3,1),0)))</f>
        <v>0</v>
      </c>
      <c r="R34" s="94" t="n">
        <f aca="false">IF($C34="","",SUMIFS(Project_Activity!$P$2:$P$5000,Project_Activity!$C$2:$C$5000,$C34,Project_Activity!$U$2:$U$5000,"Non-Recoverable",Project_Activity!$H$2:$H$5000,"&gt;="&amp;DATE(VALUE(LEFT($B34,4)),1,1),Project_Activity!$H$2:$H$5000,"&lt;="&amp;EOMONTH(DATE(VALUE(LEFT($B34,4)),VALUE(RIGHT($B34,1))*3,1),0)))</f>
        <v>0</v>
      </c>
      <c r="S34" s="94" t="n">
        <f aca="false">IF($C34="","",$O34-$P34-$Q34-$R34)</f>
        <v>-0</v>
      </c>
      <c r="T34" s="94" t="n">
        <f aca="false">IF($C34="","",SUMIFS(Project_Activity!$P$2:$P$5000,Project_Activity!$C$2:$C$5000,$C34,Project_Activity!$U$2:$U$5000,"Recoverable",Project_Activity!$H$2:$H$5000,"&gt;="&amp;DATE(VALUE(LEFT($B34,4)),1,1),Project_Activity!$H$2:$H$5000,"&lt;="&amp;EOMONTH(DATE(VALUE(LEFT($B34,4)),VALUE(RIGHT($B34,1))*3,1),0)))</f>
        <v>0</v>
      </c>
      <c r="U34" s="94" t="n">
        <f aca="false">IF($C34="","",-SUMIFS(Project_Activity!$P$2:$P$5000,Project_Activity!$C$2:$C$5000,$C34,Project_Activity!$U$2:$U$5000,"Recovered Expenses",Project_Activity!$H$2:$H$5000,"&gt;="&amp;DATE(VALUE(LEFT($B34,4)),1,1),Project_Activity!$H$2:$H$5000,"&lt;="&amp;EOMONTH(DATE(VALUE(LEFT($B34,4)),VALUE(RIGHT($B34,1))*3,1),0)))</f>
        <v>-0</v>
      </c>
      <c r="V34" s="145"/>
      <c r="W34" s="94" t="n">
        <f aca="false">IF($C34="","",$V34*$N34)</f>
        <v>0</v>
      </c>
      <c r="X34" s="145"/>
      <c r="Y34" s="94" t="n">
        <f aca="false">IF($C34="","",$X34*$N34)</f>
        <v>0</v>
      </c>
      <c r="Z34" s="145"/>
      <c r="AA34" s="94" t="n">
        <f aca="false">IF($C34="","",$Z34*$N34)</f>
        <v>0</v>
      </c>
      <c r="AB34" s="145"/>
      <c r="AC34" s="94" t="n">
        <f aca="false">IF($C34="","",$AB34*$N34)</f>
        <v>0</v>
      </c>
      <c r="AD34" s="94" t="n">
        <f aca="false">IF($C34="","",SUMPRODUCT((VALUE(MID($B34,7,1))&gt;={1,2,3,4})*CHOOSE({1,2,3,4},$W34,$Y34,$AA34,$AC34)))</f>
        <v>0</v>
      </c>
      <c r="AE34" s="94" t="n">
        <f aca="false">IF($C34="","",$W34+$Y34+$AA34+$AC34-$AD34)</f>
        <v>0</v>
      </c>
      <c r="AF34" s="146"/>
      <c r="AG34" s="146"/>
      <c r="AH34" s="146"/>
      <c r="AI34" s="147" t="str">
        <f aca="false">IF($C34="","",IF(OR($L34="Pipeline",$N34&lt;0,$O34&gt;$N34+1,($V34+$X34+$Z34+$AB34)&gt;1.0001,ISNUMBER(SEARCH("not signed",$AF34))),"REVIEW","OK"))</f>
        <v>REVIEW</v>
      </c>
    </row>
    <row r="35" customFormat="false" ht="13.5" hidden="false" customHeight="false" outlineLevel="0" collapsed="false">
      <c r="A35" s="95" t="str">
        <f aca="false">IF($C35="","",Controls!$B$7)</f>
        <v>PCGH</v>
      </c>
      <c r="B35" s="95" t="str">
        <f aca="false">IF($C35="","",Controls!$B$30)</f>
        <v>2026-Q2</v>
      </c>
      <c r="C35" s="95" t="str">
        <f aca="false">IF(MM_Income!$A38="","",MM_Income!$A38)</f>
        <v>TBC-05</v>
      </c>
      <c r="D35" s="95" t="str">
        <f aca="false">IF($C35="","",INDEX(MM_Income!$B$5:$B$204,MATCH($C35,MM_Income!$A$5:$A$204,0)))</f>
        <v>Bonsucro Chain of Custody Standard Baseline Assessment and Gap Analyses for BUA Foods Plc. Sugar Refineries in Apapa, Lagos and FZE, Port Harcourt, Nigeria</v>
      </c>
      <c r="E35" s="95" t="str">
        <f aca="false">IF($C35="","",INDEX(MM_Income!$C$5:$C$204,MATCH($C35,MM_Income!$A$5:$A$204,0)))</f>
        <v>Responsible Production</v>
      </c>
      <c r="F35" s="95" t="str">
        <f aca="false">IF($C35="","",INDEX(MM_Income!$F$5:$F$204,MATCH($C35,MM_Income!$A$5:$A$204,0)))</f>
        <v>Responsible Production</v>
      </c>
      <c r="G35" s="95" t="str">
        <f aca="false">IF($C35="","",INDEX(MM_Income!$G$5:$G$204,MATCH($C35,MM_Income!$A$5:$A$204,0)))</f>
        <v>External</v>
      </c>
      <c r="H35" s="95" t="str">
        <f aca="false">IF($C35="","",INDEX(MM_Income!$H$5:$H$204,MATCH($C35,MM_Income!$A$5:$A$204,0)))</f>
        <v>Sugar</v>
      </c>
      <c r="I35" s="95" t="str">
        <f aca="false">IF($C35="","",INDEX(MM_Income!$I$5:$I$204,MATCH($C35,MM_Income!$A$5:$A$204,0)))</f>
        <v>BUA Foods</v>
      </c>
      <c r="J35" s="95" t="str">
        <f aca="false">IF($C35="","",INDEX(MM_Income!$D$5:$D$204,MATCH($C35,MM_Income!$A$5:$A$204,0)))</f>
        <v>TBC</v>
      </c>
      <c r="K35" s="95" t="str">
        <f aca="false">IF($C35="","",INDEX(MM_Income!$E$5:$E$204,MATCH($C35,MM_Income!$A$5:$A$204,0)))</f>
        <v>Pipeline</v>
      </c>
      <c r="L35" s="95" t="str">
        <f aca="false">IF($C35="","",INDEX(MM_Income!$U$5:$U$204,MATCH($C35,MM_Income!$A$5:$A$204,0)))</f>
        <v>Pipeline</v>
      </c>
      <c r="M35" s="143" t="n">
        <f aca="false">IF($C35="","",INDEX(MM_Income!$V$5:$V$204,MATCH($C35,MM_Income!$A$5:$A$204,0)))</f>
        <v>0.5</v>
      </c>
      <c r="N35" s="144" t="n">
        <f aca="false">IF($C35="","",INDEX(MM_Income!$T$5:$T$204,MATCH($C35,MM_Income!$A$5:$A$204,0)))</f>
        <v>274390.8</v>
      </c>
      <c r="O35" s="94" t="n">
        <f aca="false">IF($C35="","",-SUMIFS(Project_Activity!$P$2:$P$5000,Project_Activity!$C$2:$C$5000,$C35,Project_Activity!$U$2:$U$5000,"Invoiced Income",Project_Activity!$H$2:$H$5000,"&gt;="&amp;DATE(VALUE(LEFT($B35,4)),1,1),Project_Activity!$H$2:$H$5000,"&lt;="&amp;EOMONTH(DATE(VALUE(LEFT($B35,4)),VALUE(RIGHT($B35,1))*3,1),0)))</f>
        <v>-0</v>
      </c>
      <c r="P35" s="94" t="n">
        <f aca="false">IF($C35="","",SUMIFS(Project_Activity!$P$2:$P$5000,Project_Activity!$C$2:$C$5000,$C35,Project_Activity!$U$2:$U$5000,"Subcontractor",Project_Activity!$H$2:$H$5000,"&gt;="&amp;DATE(VALUE(LEFT($B35,4)),1,1),Project_Activity!$H$2:$H$5000,"&lt;="&amp;EOMONTH(DATE(VALUE(LEFT($B35,4)),VALUE(RIGHT($B35,1))*3,1),0)))</f>
        <v>0</v>
      </c>
      <c r="Q35" s="94" t="n">
        <f aca="false">IF($C35="","",SUMIFS(Project_Activity!$P$2:$P$5000,Project_Activity!$C$2:$C$5000,$C35,Project_Activity!$U$2:$U$5000,"Project Inclusive",Project_Activity!$H$2:$H$5000,"&gt;="&amp;DATE(VALUE(LEFT($B35,4)),1,1),Project_Activity!$H$2:$H$5000,"&lt;="&amp;EOMONTH(DATE(VALUE(LEFT($B35,4)),VALUE(RIGHT($B35,1))*3,1),0)))</f>
        <v>0</v>
      </c>
      <c r="R35" s="94" t="n">
        <f aca="false">IF($C35="","",SUMIFS(Project_Activity!$P$2:$P$5000,Project_Activity!$C$2:$C$5000,$C35,Project_Activity!$U$2:$U$5000,"Non-Recoverable",Project_Activity!$H$2:$H$5000,"&gt;="&amp;DATE(VALUE(LEFT($B35,4)),1,1),Project_Activity!$H$2:$H$5000,"&lt;="&amp;EOMONTH(DATE(VALUE(LEFT($B35,4)),VALUE(RIGHT($B35,1))*3,1),0)))</f>
        <v>0</v>
      </c>
      <c r="S35" s="94" t="n">
        <f aca="false">IF($C35="","",$O35-$P35-$Q35-$R35)</f>
        <v>-0</v>
      </c>
      <c r="T35" s="94" t="n">
        <f aca="false">IF($C35="","",SUMIFS(Project_Activity!$P$2:$P$5000,Project_Activity!$C$2:$C$5000,$C35,Project_Activity!$U$2:$U$5000,"Recoverable",Project_Activity!$H$2:$H$5000,"&gt;="&amp;DATE(VALUE(LEFT($B35,4)),1,1),Project_Activity!$H$2:$H$5000,"&lt;="&amp;EOMONTH(DATE(VALUE(LEFT($B35,4)),VALUE(RIGHT($B35,1))*3,1),0)))</f>
        <v>0</v>
      </c>
      <c r="U35" s="94" t="n">
        <f aca="false">IF($C35="","",-SUMIFS(Project_Activity!$P$2:$P$5000,Project_Activity!$C$2:$C$5000,$C35,Project_Activity!$U$2:$U$5000,"Recovered Expenses",Project_Activity!$H$2:$H$5000,"&gt;="&amp;DATE(VALUE(LEFT($B35,4)),1,1),Project_Activity!$H$2:$H$5000,"&lt;="&amp;EOMONTH(DATE(VALUE(LEFT($B35,4)),VALUE(RIGHT($B35,1))*3,1),0)))</f>
        <v>-0</v>
      </c>
      <c r="V35" s="145"/>
      <c r="W35" s="94" t="n">
        <f aca="false">IF($C35="","",$V35*$N35)</f>
        <v>0</v>
      </c>
      <c r="X35" s="145"/>
      <c r="Y35" s="94" t="n">
        <f aca="false">IF($C35="","",$X35*$N35)</f>
        <v>0</v>
      </c>
      <c r="Z35" s="145"/>
      <c r="AA35" s="94" t="n">
        <f aca="false">IF($C35="","",$Z35*$N35)</f>
        <v>0</v>
      </c>
      <c r="AB35" s="145"/>
      <c r="AC35" s="94" t="n">
        <f aca="false">IF($C35="","",$AB35*$N35)</f>
        <v>0</v>
      </c>
      <c r="AD35" s="94" t="n">
        <f aca="false">IF($C35="","",SUMPRODUCT((VALUE(MID($B35,7,1))&gt;={1,2,3,4})*CHOOSE({1,2,3,4},$W35,$Y35,$AA35,$AC35)))</f>
        <v>0</v>
      </c>
      <c r="AE35" s="94" t="n">
        <f aca="false">IF($C35="","",$W35+$Y35+$AA35+$AC35-$AD35)</f>
        <v>0</v>
      </c>
      <c r="AF35" s="146"/>
      <c r="AG35" s="146"/>
      <c r="AH35" s="146"/>
      <c r="AI35" s="147" t="str">
        <f aca="false">IF($C35="","",IF(OR($L35="Pipeline",$N35&lt;0,$O35&gt;$N35+1,($V35+$X35+$Z35+$AB35)&gt;1.0001,ISNUMBER(SEARCH("not signed",$AF35))),"REVIEW","OK"))</f>
        <v>REVIEW</v>
      </c>
    </row>
    <row r="36" customFormat="false" ht="13.5" hidden="false" customHeight="false" outlineLevel="0" collapsed="false">
      <c r="A36" s="95" t="str">
        <f aca="false">IF($C36="","",Controls!$B$7)</f>
        <v>PCGH</v>
      </c>
      <c r="B36" s="95" t="str">
        <f aca="false">IF($C36="","",Controls!$B$30)</f>
        <v>2026-Q2</v>
      </c>
      <c r="C36" s="95" t="str">
        <f aca="false">IF(MM_Income!$A39="","",MM_Income!$A39)</f>
        <v>TBC-06</v>
      </c>
      <c r="D36" s="95" t="str">
        <f aca="false">IF($C36="","",INDEX(MM_Income!$B$5:$B$204,MATCH($C36,MM_Income!$A$5:$A$204,0)))</f>
        <v>Integrated HCV-HCSA Scoping Study for Dangote Sugar Refinery's Savannah Sugar Estate Concession in Numan, Adamawa State, Nigeria</v>
      </c>
      <c r="E36" s="95" t="str">
        <f aca="false">IF($C36="","",INDEX(MM_Income!$C$5:$C$204,MATCH($C36,MM_Income!$A$5:$A$204,0)))</f>
        <v>Responsible Production</v>
      </c>
      <c r="F36" s="95" t="str">
        <f aca="false">IF($C36="","",INDEX(MM_Income!$F$5:$F$204,MATCH($C36,MM_Income!$A$5:$A$204,0)))</f>
        <v>Responsible Production</v>
      </c>
      <c r="G36" s="95" t="str">
        <f aca="false">IF($C36="","",INDEX(MM_Income!$G$5:$G$204,MATCH($C36,MM_Income!$A$5:$A$204,0)))</f>
        <v>External</v>
      </c>
      <c r="H36" s="95" t="str">
        <f aca="false">IF($C36="","",INDEX(MM_Income!$H$5:$H$204,MATCH($C36,MM_Income!$A$5:$A$204,0)))</f>
        <v>Sugar</v>
      </c>
      <c r="I36" s="95" t="str">
        <f aca="false">IF($C36="","",INDEX(MM_Income!$I$5:$I$204,MATCH($C36,MM_Income!$A$5:$A$204,0)))</f>
        <v>Dangote</v>
      </c>
      <c r="J36" s="95" t="str">
        <f aca="false">IF($C36="","",INDEX(MM_Income!$D$5:$D$204,MATCH($C36,MM_Income!$A$5:$A$204,0)))</f>
        <v>TBC</v>
      </c>
      <c r="K36" s="95" t="str">
        <f aca="false">IF($C36="","",INDEX(MM_Income!$E$5:$E$204,MATCH($C36,MM_Income!$A$5:$A$204,0)))</f>
        <v>Pipeline</v>
      </c>
      <c r="L36" s="95" t="str">
        <f aca="false">IF($C36="","",INDEX(MM_Income!$U$5:$U$204,MATCH($C36,MM_Income!$A$5:$A$204,0)))</f>
        <v>Pipeline</v>
      </c>
      <c r="M36" s="143" t="n">
        <f aca="false">IF($C36="","",INDEX(MM_Income!$V$5:$V$204,MATCH($C36,MM_Income!$A$5:$A$204,0)))</f>
        <v>0.5</v>
      </c>
      <c r="N36" s="144" t="n">
        <f aca="false">IF($C36="","",INDEX(MM_Income!$T$5:$T$204,MATCH($C36,MM_Income!$A$5:$A$204,0)))</f>
        <v>175854.5</v>
      </c>
      <c r="O36" s="94" t="n">
        <f aca="false">IF($C36="","",-SUMIFS(Project_Activity!$P$2:$P$5000,Project_Activity!$C$2:$C$5000,$C36,Project_Activity!$U$2:$U$5000,"Invoiced Income",Project_Activity!$H$2:$H$5000,"&gt;="&amp;DATE(VALUE(LEFT($B36,4)),1,1),Project_Activity!$H$2:$H$5000,"&lt;="&amp;EOMONTH(DATE(VALUE(LEFT($B36,4)),VALUE(RIGHT($B36,1))*3,1),0)))</f>
        <v>-0</v>
      </c>
      <c r="P36" s="94" t="n">
        <f aca="false">IF($C36="","",SUMIFS(Project_Activity!$P$2:$P$5000,Project_Activity!$C$2:$C$5000,$C36,Project_Activity!$U$2:$U$5000,"Subcontractor",Project_Activity!$H$2:$H$5000,"&gt;="&amp;DATE(VALUE(LEFT($B36,4)),1,1),Project_Activity!$H$2:$H$5000,"&lt;="&amp;EOMONTH(DATE(VALUE(LEFT($B36,4)),VALUE(RIGHT($B36,1))*3,1),0)))</f>
        <v>0</v>
      </c>
      <c r="Q36" s="94" t="n">
        <f aca="false">IF($C36="","",SUMIFS(Project_Activity!$P$2:$P$5000,Project_Activity!$C$2:$C$5000,$C36,Project_Activity!$U$2:$U$5000,"Project Inclusive",Project_Activity!$H$2:$H$5000,"&gt;="&amp;DATE(VALUE(LEFT($B36,4)),1,1),Project_Activity!$H$2:$H$5000,"&lt;="&amp;EOMONTH(DATE(VALUE(LEFT($B36,4)),VALUE(RIGHT($B36,1))*3,1),0)))</f>
        <v>0</v>
      </c>
      <c r="R36" s="94" t="n">
        <f aca="false">IF($C36="","",SUMIFS(Project_Activity!$P$2:$P$5000,Project_Activity!$C$2:$C$5000,$C36,Project_Activity!$U$2:$U$5000,"Non-Recoverable",Project_Activity!$H$2:$H$5000,"&gt;="&amp;DATE(VALUE(LEFT($B36,4)),1,1),Project_Activity!$H$2:$H$5000,"&lt;="&amp;EOMONTH(DATE(VALUE(LEFT($B36,4)),VALUE(RIGHT($B36,1))*3,1),0)))</f>
        <v>0</v>
      </c>
      <c r="S36" s="94" t="n">
        <f aca="false">IF($C36="","",$O36-$P36-$Q36-$R36)</f>
        <v>-0</v>
      </c>
      <c r="T36" s="94" t="n">
        <f aca="false">IF($C36="","",SUMIFS(Project_Activity!$P$2:$P$5000,Project_Activity!$C$2:$C$5000,$C36,Project_Activity!$U$2:$U$5000,"Recoverable",Project_Activity!$H$2:$H$5000,"&gt;="&amp;DATE(VALUE(LEFT($B36,4)),1,1),Project_Activity!$H$2:$H$5000,"&lt;="&amp;EOMONTH(DATE(VALUE(LEFT($B36,4)),VALUE(RIGHT($B36,1))*3,1),0)))</f>
        <v>0</v>
      </c>
      <c r="U36" s="94" t="n">
        <f aca="false">IF($C36="","",-SUMIFS(Project_Activity!$P$2:$P$5000,Project_Activity!$C$2:$C$5000,$C36,Project_Activity!$U$2:$U$5000,"Recovered Expenses",Project_Activity!$H$2:$H$5000,"&gt;="&amp;DATE(VALUE(LEFT($B36,4)),1,1),Project_Activity!$H$2:$H$5000,"&lt;="&amp;EOMONTH(DATE(VALUE(LEFT($B36,4)),VALUE(RIGHT($B36,1))*3,1),0)))</f>
        <v>-0</v>
      </c>
      <c r="V36" s="145"/>
      <c r="W36" s="94" t="n">
        <f aca="false">IF($C36="","",$V36*$N36)</f>
        <v>0</v>
      </c>
      <c r="X36" s="145"/>
      <c r="Y36" s="94" t="n">
        <f aca="false">IF($C36="","",$X36*$N36)</f>
        <v>0</v>
      </c>
      <c r="Z36" s="145"/>
      <c r="AA36" s="94" t="n">
        <f aca="false">IF($C36="","",$Z36*$N36)</f>
        <v>0</v>
      </c>
      <c r="AB36" s="145"/>
      <c r="AC36" s="94" t="n">
        <f aca="false">IF($C36="","",$AB36*$N36)</f>
        <v>0</v>
      </c>
      <c r="AD36" s="94" t="n">
        <f aca="false">IF($C36="","",SUMPRODUCT((VALUE(MID($B36,7,1))&gt;={1,2,3,4})*CHOOSE({1,2,3,4},$W36,$Y36,$AA36,$AC36)))</f>
        <v>0</v>
      </c>
      <c r="AE36" s="94" t="n">
        <f aca="false">IF($C36="","",$W36+$Y36+$AA36+$AC36-$AD36)</f>
        <v>0</v>
      </c>
      <c r="AF36" s="146"/>
      <c r="AG36" s="146"/>
      <c r="AH36" s="146"/>
      <c r="AI36" s="147" t="str">
        <f aca="false">IF($C36="","",IF(OR($L36="Pipeline",$N36&lt;0,$O36&gt;$N36+1,($V36+$X36+$Z36+$AB36)&gt;1.0001,ISNUMBER(SEARCH("not signed",$AF36))),"REVIEW","OK"))</f>
        <v>REVIEW</v>
      </c>
    </row>
    <row r="37" customFormat="false" ht="13.5" hidden="false" customHeight="false" outlineLevel="0" collapsed="false">
      <c r="A37" s="95" t="str">
        <f aca="false">IF($C37="","",Controls!$B$7)</f>
        <v>PCGH</v>
      </c>
      <c r="B37" s="95" t="str">
        <f aca="false">IF($C37="","",Controls!$B$30)</f>
        <v>2026-Q2</v>
      </c>
      <c r="C37" s="95" t="str">
        <f aca="false">IF(MM_Income!$A40="","",MM_Income!$A40)</f>
        <v>TBC-07</v>
      </c>
      <c r="D37" s="95" t="str">
        <f aca="false">IF($C37="","",INDEX(MM_Income!$B$5:$B$204,MATCH($C37,MM_Income!$A$5:$A$204,0)))</f>
        <v>Bonsucro Chain of Custody Standard Baseline Assessment and Gap Analyses for Dangote Suagr Refinery in Apapa, Lagos State, Nigeria</v>
      </c>
      <c r="E37" s="95" t="str">
        <f aca="false">IF($C37="","",INDEX(MM_Income!$C$5:$C$204,MATCH($C37,MM_Income!$A$5:$A$204,0)))</f>
        <v>Responsible Production</v>
      </c>
      <c r="F37" s="95" t="str">
        <f aca="false">IF($C37="","",INDEX(MM_Income!$F$5:$F$204,MATCH($C37,MM_Income!$A$5:$A$204,0)))</f>
        <v>Responsible Production</v>
      </c>
      <c r="G37" s="95" t="str">
        <f aca="false">IF($C37="","",INDEX(MM_Income!$G$5:$G$204,MATCH($C37,MM_Income!$A$5:$A$204,0)))</f>
        <v>External</v>
      </c>
      <c r="H37" s="95" t="str">
        <f aca="false">IF($C37="","",INDEX(MM_Income!$H$5:$H$204,MATCH($C37,MM_Income!$A$5:$A$204,0)))</f>
        <v>Sugar</v>
      </c>
      <c r="I37" s="95" t="str">
        <f aca="false">IF($C37="","",INDEX(MM_Income!$I$5:$I$204,MATCH($C37,MM_Income!$A$5:$A$204,0)))</f>
        <v>Dangote</v>
      </c>
      <c r="J37" s="95" t="str">
        <f aca="false">IF($C37="","",INDEX(MM_Income!$D$5:$D$204,MATCH($C37,MM_Income!$A$5:$A$204,0)))</f>
        <v>TBC</v>
      </c>
      <c r="K37" s="95" t="str">
        <f aca="false">IF($C37="","",INDEX(MM_Income!$E$5:$E$204,MATCH($C37,MM_Income!$A$5:$A$204,0)))</f>
        <v>Pipeline</v>
      </c>
      <c r="L37" s="95" t="str">
        <f aca="false">IF($C37="","",INDEX(MM_Income!$U$5:$U$204,MATCH($C37,MM_Income!$A$5:$A$204,0)))</f>
        <v>Pipeline</v>
      </c>
      <c r="M37" s="143" t="n">
        <f aca="false">IF($C37="","",INDEX(MM_Income!$V$5:$V$204,MATCH($C37,MM_Income!$A$5:$A$204,0)))</f>
        <v>0.5</v>
      </c>
      <c r="N37" s="144" t="n">
        <f aca="false">IF($C37="","",INDEX(MM_Income!$T$5:$T$204,MATCH($C37,MM_Income!$A$5:$A$204,0)))</f>
        <v>159162.5</v>
      </c>
      <c r="O37" s="94" t="n">
        <f aca="false">IF($C37="","",-SUMIFS(Project_Activity!$P$2:$P$5000,Project_Activity!$C$2:$C$5000,$C37,Project_Activity!$U$2:$U$5000,"Invoiced Income",Project_Activity!$H$2:$H$5000,"&gt;="&amp;DATE(VALUE(LEFT($B37,4)),1,1),Project_Activity!$H$2:$H$5000,"&lt;="&amp;EOMONTH(DATE(VALUE(LEFT($B37,4)),VALUE(RIGHT($B37,1))*3,1),0)))</f>
        <v>-0</v>
      </c>
      <c r="P37" s="94" t="n">
        <f aca="false">IF($C37="","",SUMIFS(Project_Activity!$P$2:$P$5000,Project_Activity!$C$2:$C$5000,$C37,Project_Activity!$U$2:$U$5000,"Subcontractor",Project_Activity!$H$2:$H$5000,"&gt;="&amp;DATE(VALUE(LEFT($B37,4)),1,1),Project_Activity!$H$2:$H$5000,"&lt;="&amp;EOMONTH(DATE(VALUE(LEFT($B37,4)),VALUE(RIGHT($B37,1))*3,1),0)))</f>
        <v>0</v>
      </c>
      <c r="Q37" s="94" t="n">
        <f aca="false">IF($C37="","",SUMIFS(Project_Activity!$P$2:$P$5000,Project_Activity!$C$2:$C$5000,$C37,Project_Activity!$U$2:$U$5000,"Project Inclusive",Project_Activity!$H$2:$H$5000,"&gt;="&amp;DATE(VALUE(LEFT($B37,4)),1,1),Project_Activity!$H$2:$H$5000,"&lt;="&amp;EOMONTH(DATE(VALUE(LEFT($B37,4)),VALUE(RIGHT($B37,1))*3,1),0)))</f>
        <v>0</v>
      </c>
      <c r="R37" s="94" t="n">
        <f aca="false">IF($C37="","",SUMIFS(Project_Activity!$P$2:$P$5000,Project_Activity!$C$2:$C$5000,$C37,Project_Activity!$U$2:$U$5000,"Non-Recoverable",Project_Activity!$H$2:$H$5000,"&gt;="&amp;DATE(VALUE(LEFT($B37,4)),1,1),Project_Activity!$H$2:$H$5000,"&lt;="&amp;EOMONTH(DATE(VALUE(LEFT($B37,4)),VALUE(RIGHT($B37,1))*3,1),0)))</f>
        <v>0</v>
      </c>
      <c r="S37" s="94" t="n">
        <f aca="false">IF($C37="","",$O37-$P37-$Q37-$R37)</f>
        <v>-0</v>
      </c>
      <c r="T37" s="94" t="n">
        <f aca="false">IF($C37="","",SUMIFS(Project_Activity!$P$2:$P$5000,Project_Activity!$C$2:$C$5000,$C37,Project_Activity!$U$2:$U$5000,"Recoverable",Project_Activity!$H$2:$H$5000,"&gt;="&amp;DATE(VALUE(LEFT($B37,4)),1,1),Project_Activity!$H$2:$H$5000,"&lt;="&amp;EOMONTH(DATE(VALUE(LEFT($B37,4)),VALUE(RIGHT($B37,1))*3,1),0)))</f>
        <v>0</v>
      </c>
      <c r="U37" s="94" t="n">
        <f aca="false">IF($C37="","",-SUMIFS(Project_Activity!$P$2:$P$5000,Project_Activity!$C$2:$C$5000,$C37,Project_Activity!$U$2:$U$5000,"Recovered Expenses",Project_Activity!$H$2:$H$5000,"&gt;="&amp;DATE(VALUE(LEFT($B37,4)),1,1),Project_Activity!$H$2:$H$5000,"&lt;="&amp;EOMONTH(DATE(VALUE(LEFT($B37,4)),VALUE(RIGHT($B37,1))*3,1),0)))</f>
        <v>-0</v>
      </c>
      <c r="V37" s="145"/>
      <c r="W37" s="94" t="n">
        <f aca="false">IF($C37="","",$V37*$N37)</f>
        <v>0</v>
      </c>
      <c r="X37" s="145"/>
      <c r="Y37" s="94" t="n">
        <f aca="false">IF($C37="","",$X37*$N37)</f>
        <v>0</v>
      </c>
      <c r="Z37" s="145"/>
      <c r="AA37" s="94" t="n">
        <f aca="false">IF($C37="","",$Z37*$N37)</f>
        <v>0</v>
      </c>
      <c r="AB37" s="145"/>
      <c r="AC37" s="94" t="n">
        <f aca="false">IF($C37="","",$AB37*$N37)</f>
        <v>0</v>
      </c>
      <c r="AD37" s="94" t="n">
        <f aca="false">IF($C37="","",SUMPRODUCT((VALUE(MID($B37,7,1))&gt;={1,2,3,4})*CHOOSE({1,2,3,4},$W37,$Y37,$AA37,$AC37)))</f>
        <v>0</v>
      </c>
      <c r="AE37" s="94" t="n">
        <f aca="false">IF($C37="","",$W37+$Y37+$AA37+$AC37-$AD37)</f>
        <v>0</v>
      </c>
      <c r="AF37" s="146"/>
      <c r="AG37" s="146"/>
      <c r="AH37" s="146"/>
      <c r="AI37" s="147" t="str">
        <f aca="false">IF($C37="","",IF(OR($L37="Pipeline",$N37&lt;0,$O37&gt;$N37+1,($V37+$X37+$Z37+$AB37)&gt;1.0001,ISNUMBER(SEARCH("not signed",$AF37))),"REVIEW","OK"))</f>
        <v>REVIEW</v>
      </c>
    </row>
    <row r="38" customFormat="false" ht="13.5" hidden="false" customHeight="false" outlineLevel="0" collapsed="false">
      <c r="A38" s="95" t="str">
        <f aca="false">IF($C38="","",Controls!$B$7)</f>
        <v>PCGH</v>
      </c>
      <c r="B38" s="95" t="str">
        <f aca="false">IF($C38="","",Controls!$B$30)</f>
        <v>2026-Q2</v>
      </c>
      <c r="C38" s="95" t="str">
        <f aca="false">IF(MM_Income!$A41="","",MM_Income!$A41)</f>
        <v>TBC-08</v>
      </c>
      <c r="D38" s="95" t="str">
        <f aca="false">IF($C38="","",INDEX(MM_Income!$B$5:$B$204,MATCH($C38,MM_Income!$A$5:$A$204,0)))</f>
        <v>Bonsucro Production Standard Baseline Assessment and Gap Analyses of Dangote's Savannah Sugar Estate Operations in Numan, Adamawa State, Nigeria</v>
      </c>
      <c r="E38" s="95" t="str">
        <f aca="false">IF($C38="","",INDEX(MM_Income!$C$5:$C$204,MATCH($C38,MM_Income!$A$5:$A$204,0)))</f>
        <v>Responsible Production</v>
      </c>
      <c r="F38" s="95" t="str">
        <f aca="false">IF($C38="","",INDEX(MM_Income!$F$5:$F$204,MATCH($C38,MM_Income!$A$5:$A$204,0)))</f>
        <v>Responsible Production</v>
      </c>
      <c r="G38" s="95" t="str">
        <f aca="false">IF($C38="","",INDEX(MM_Income!$G$5:$G$204,MATCH($C38,MM_Income!$A$5:$A$204,0)))</f>
        <v>External</v>
      </c>
      <c r="H38" s="95" t="str">
        <f aca="false">IF($C38="","",INDEX(MM_Income!$H$5:$H$204,MATCH($C38,MM_Income!$A$5:$A$204,0)))</f>
        <v>Sugar</v>
      </c>
      <c r="I38" s="95" t="str">
        <f aca="false">IF($C38="","",INDEX(MM_Income!$I$5:$I$204,MATCH($C38,MM_Income!$A$5:$A$204,0)))</f>
        <v>Dangote</v>
      </c>
      <c r="J38" s="95" t="str">
        <f aca="false">IF($C38="","",INDEX(MM_Income!$D$5:$D$204,MATCH($C38,MM_Income!$A$5:$A$204,0)))</f>
        <v>TBC</v>
      </c>
      <c r="K38" s="95" t="str">
        <f aca="false">IF($C38="","",INDEX(MM_Income!$E$5:$E$204,MATCH($C38,MM_Income!$A$5:$A$204,0)))</f>
        <v>Pipeline</v>
      </c>
      <c r="L38" s="95" t="str">
        <f aca="false">IF($C38="","",INDEX(MM_Income!$U$5:$U$204,MATCH($C38,MM_Income!$A$5:$A$204,0)))</f>
        <v>Pipeline</v>
      </c>
      <c r="M38" s="143" t="n">
        <f aca="false">IF($C38="","",INDEX(MM_Income!$V$5:$V$204,MATCH($C38,MM_Income!$A$5:$A$204,0)))</f>
        <v>0.5</v>
      </c>
      <c r="N38" s="144" t="n">
        <f aca="false">IF($C38="","",INDEX(MM_Income!$T$5:$T$204,MATCH($C38,MM_Income!$A$5:$A$204,0)))</f>
        <v>188855</v>
      </c>
      <c r="O38" s="94" t="n">
        <f aca="false">IF($C38="","",-SUMIFS(Project_Activity!$P$2:$P$5000,Project_Activity!$C$2:$C$5000,$C38,Project_Activity!$U$2:$U$5000,"Invoiced Income",Project_Activity!$H$2:$H$5000,"&gt;="&amp;DATE(VALUE(LEFT($B38,4)),1,1),Project_Activity!$H$2:$H$5000,"&lt;="&amp;EOMONTH(DATE(VALUE(LEFT($B38,4)),VALUE(RIGHT($B38,1))*3,1),0)))</f>
        <v>-0</v>
      </c>
      <c r="P38" s="94" t="n">
        <f aca="false">IF($C38="","",SUMIFS(Project_Activity!$P$2:$P$5000,Project_Activity!$C$2:$C$5000,$C38,Project_Activity!$U$2:$U$5000,"Subcontractor",Project_Activity!$H$2:$H$5000,"&gt;="&amp;DATE(VALUE(LEFT($B38,4)),1,1),Project_Activity!$H$2:$H$5000,"&lt;="&amp;EOMONTH(DATE(VALUE(LEFT($B38,4)),VALUE(RIGHT($B38,1))*3,1),0)))</f>
        <v>0</v>
      </c>
      <c r="Q38" s="94" t="n">
        <f aca="false">IF($C38="","",SUMIFS(Project_Activity!$P$2:$P$5000,Project_Activity!$C$2:$C$5000,$C38,Project_Activity!$U$2:$U$5000,"Project Inclusive",Project_Activity!$H$2:$H$5000,"&gt;="&amp;DATE(VALUE(LEFT($B38,4)),1,1),Project_Activity!$H$2:$H$5000,"&lt;="&amp;EOMONTH(DATE(VALUE(LEFT($B38,4)),VALUE(RIGHT($B38,1))*3,1),0)))</f>
        <v>0</v>
      </c>
      <c r="R38" s="94" t="n">
        <f aca="false">IF($C38="","",SUMIFS(Project_Activity!$P$2:$P$5000,Project_Activity!$C$2:$C$5000,$C38,Project_Activity!$U$2:$U$5000,"Non-Recoverable",Project_Activity!$H$2:$H$5000,"&gt;="&amp;DATE(VALUE(LEFT($B38,4)),1,1),Project_Activity!$H$2:$H$5000,"&lt;="&amp;EOMONTH(DATE(VALUE(LEFT($B38,4)),VALUE(RIGHT($B38,1))*3,1),0)))</f>
        <v>0</v>
      </c>
      <c r="S38" s="94" t="n">
        <f aca="false">IF($C38="","",$O38-$P38-$Q38-$R38)</f>
        <v>-0</v>
      </c>
      <c r="T38" s="94" t="n">
        <f aca="false">IF($C38="","",SUMIFS(Project_Activity!$P$2:$P$5000,Project_Activity!$C$2:$C$5000,$C38,Project_Activity!$U$2:$U$5000,"Recoverable",Project_Activity!$H$2:$H$5000,"&gt;="&amp;DATE(VALUE(LEFT($B38,4)),1,1),Project_Activity!$H$2:$H$5000,"&lt;="&amp;EOMONTH(DATE(VALUE(LEFT($B38,4)),VALUE(RIGHT($B38,1))*3,1),0)))</f>
        <v>0</v>
      </c>
      <c r="U38" s="94" t="n">
        <f aca="false">IF($C38="","",-SUMIFS(Project_Activity!$P$2:$P$5000,Project_Activity!$C$2:$C$5000,$C38,Project_Activity!$U$2:$U$5000,"Recovered Expenses",Project_Activity!$H$2:$H$5000,"&gt;="&amp;DATE(VALUE(LEFT($B38,4)),1,1),Project_Activity!$H$2:$H$5000,"&lt;="&amp;EOMONTH(DATE(VALUE(LEFT($B38,4)),VALUE(RIGHT($B38,1))*3,1),0)))</f>
        <v>-0</v>
      </c>
      <c r="V38" s="145"/>
      <c r="W38" s="94" t="n">
        <f aca="false">IF($C38="","",$V38*$N38)</f>
        <v>0</v>
      </c>
      <c r="X38" s="145"/>
      <c r="Y38" s="94" t="n">
        <f aca="false">IF($C38="","",$X38*$N38)</f>
        <v>0</v>
      </c>
      <c r="Z38" s="145"/>
      <c r="AA38" s="94" t="n">
        <f aca="false">IF($C38="","",$Z38*$N38)</f>
        <v>0</v>
      </c>
      <c r="AB38" s="145"/>
      <c r="AC38" s="94" t="n">
        <f aca="false">IF($C38="","",$AB38*$N38)</f>
        <v>0</v>
      </c>
      <c r="AD38" s="94" t="n">
        <f aca="false">IF($C38="","",SUMPRODUCT((VALUE(MID($B38,7,1))&gt;={1,2,3,4})*CHOOSE({1,2,3,4},$W38,$Y38,$AA38,$AC38)))</f>
        <v>0</v>
      </c>
      <c r="AE38" s="94" t="n">
        <f aca="false">IF($C38="","",$W38+$Y38+$AA38+$AC38-$AD38)</f>
        <v>0</v>
      </c>
      <c r="AF38" s="146"/>
      <c r="AG38" s="146"/>
      <c r="AH38" s="146"/>
      <c r="AI38" s="147" t="str">
        <f aca="false">IF($C38="","",IF(OR($L38="Pipeline",$N38&lt;0,$O38&gt;$N38+1,($V38+$X38+$Z38+$AB38)&gt;1.0001,ISNUMBER(SEARCH("not signed",$AF38))),"REVIEW","OK"))</f>
        <v>REVIEW</v>
      </c>
    </row>
    <row r="39" customFormat="false" ht="13.5" hidden="false" customHeight="false" outlineLevel="0" collapsed="false">
      <c r="A39" s="95" t="str">
        <f aca="false">IF($C39="","",Controls!$B$7)</f>
        <v/>
      </c>
      <c r="B39" s="95" t="str">
        <f aca="false">IF($C39="","",Controls!$B$30)</f>
        <v/>
      </c>
      <c r="C39" s="95" t="str">
        <f aca="false">IF(MM_Income!$A42="","",MM_Income!$A42)</f>
        <v/>
      </c>
      <c r="D39" s="95" t="str">
        <f aca="false">IF($C39="","",INDEX(MM_Income!$B$5:$B$204,MATCH($C39,MM_Income!$A$5:$A$204,0)))</f>
        <v/>
      </c>
      <c r="E39" s="95" t="str">
        <f aca="false">IF($C39="","",INDEX(MM_Income!$C$5:$C$204,MATCH($C39,MM_Income!$A$5:$A$204,0)))</f>
        <v/>
      </c>
      <c r="F39" s="95" t="str">
        <f aca="false">IF($C39="","",INDEX(MM_Income!$F$5:$F$204,MATCH($C39,MM_Income!$A$5:$A$204,0)))</f>
        <v/>
      </c>
      <c r="G39" s="95" t="str">
        <f aca="false">IF($C39="","",INDEX(MM_Income!$G$5:$G$204,MATCH($C39,MM_Income!$A$5:$A$204,0)))</f>
        <v/>
      </c>
      <c r="H39" s="95" t="str">
        <f aca="false">IF($C39="","",INDEX(MM_Income!$H$5:$H$204,MATCH($C39,MM_Income!$A$5:$A$204,0)))</f>
        <v/>
      </c>
      <c r="I39" s="95" t="str">
        <f aca="false">IF($C39="","",INDEX(MM_Income!$I$5:$I$204,MATCH($C39,MM_Income!$A$5:$A$204,0)))</f>
        <v/>
      </c>
      <c r="J39" s="95" t="str">
        <f aca="false">IF($C39="","",INDEX(MM_Income!$D$5:$D$204,MATCH($C39,MM_Income!$A$5:$A$204,0)))</f>
        <v/>
      </c>
      <c r="K39" s="95" t="str">
        <f aca="false">IF($C39="","",INDEX(MM_Income!$E$5:$E$204,MATCH($C39,MM_Income!$A$5:$A$204,0)))</f>
        <v/>
      </c>
      <c r="L39" s="95" t="str">
        <f aca="false">IF($C39="","",INDEX(MM_Income!$U$5:$U$204,MATCH($C39,MM_Income!$A$5:$A$204,0)))</f>
        <v/>
      </c>
      <c r="M39" s="143" t="str">
        <f aca="false">IF($C39="","",INDEX(MM_Income!$V$5:$V$204,MATCH($C39,MM_Income!$A$5:$A$204,0)))</f>
        <v/>
      </c>
      <c r="N39" s="144" t="str">
        <f aca="false">IF($C39="","",INDEX(MM_Income!$T$5:$T$204,MATCH($C39,MM_Income!$A$5:$A$204,0)))</f>
        <v/>
      </c>
      <c r="O39" s="94" t="str">
        <f aca="false">IF($C39="","",-SUMIFS(Project_Activity!$P$2:$P$5000,Project_Activity!$C$2:$C$5000,$C39,Project_Activity!$U$2:$U$5000,"Invoiced Income",Project_Activity!$H$2:$H$5000,"&gt;="&amp;DATE(VALUE(LEFT($B39,4)),1,1),Project_Activity!$H$2:$H$5000,"&lt;="&amp;EOMONTH(DATE(VALUE(LEFT($B39,4)),VALUE(RIGHT($B39,1))*3,1),0)))</f>
        <v/>
      </c>
      <c r="P39" s="94" t="str">
        <f aca="false">IF($C39="","",SUMIFS(Project_Activity!$P$2:$P$5000,Project_Activity!$C$2:$C$5000,$C39,Project_Activity!$U$2:$U$5000,"Subcontractor",Project_Activity!$H$2:$H$5000,"&gt;="&amp;DATE(VALUE(LEFT($B39,4)),1,1),Project_Activity!$H$2:$H$5000,"&lt;="&amp;EOMONTH(DATE(VALUE(LEFT($B39,4)),VALUE(RIGHT($B39,1))*3,1),0)))</f>
        <v/>
      </c>
      <c r="Q39" s="94" t="str">
        <f aca="false">IF($C39="","",SUMIFS(Project_Activity!$P$2:$P$5000,Project_Activity!$C$2:$C$5000,$C39,Project_Activity!$U$2:$U$5000,"Project Inclusive",Project_Activity!$H$2:$H$5000,"&gt;="&amp;DATE(VALUE(LEFT($B39,4)),1,1),Project_Activity!$H$2:$H$5000,"&lt;="&amp;EOMONTH(DATE(VALUE(LEFT($B39,4)),VALUE(RIGHT($B39,1))*3,1),0)))</f>
        <v/>
      </c>
      <c r="R39" s="94" t="str">
        <f aca="false">IF($C39="","",SUMIFS(Project_Activity!$P$2:$P$5000,Project_Activity!$C$2:$C$5000,$C39,Project_Activity!$U$2:$U$5000,"Non-Recoverable",Project_Activity!$H$2:$H$5000,"&gt;="&amp;DATE(VALUE(LEFT($B39,4)),1,1),Project_Activity!$H$2:$H$5000,"&lt;="&amp;EOMONTH(DATE(VALUE(LEFT($B39,4)),VALUE(RIGHT($B39,1))*3,1),0)))</f>
        <v/>
      </c>
      <c r="S39" s="94" t="str">
        <f aca="false">IF($C39="","",$O39-$P39-$Q39-$R39)</f>
        <v/>
      </c>
      <c r="T39" s="94" t="str">
        <f aca="false">IF($C39="","",SUMIFS(Project_Activity!$P$2:$P$5000,Project_Activity!$C$2:$C$5000,$C39,Project_Activity!$U$2:$U$5000,"Recoverable",Project_Activity!$H$2:$H$5000,"&gt;="&amp;DATE(VALUE(LEFT($B39,4)),1,1),Project_Activity!$H$2:$H$5000,"&lt;="&amp;EOMONTH(DATE(VALUE(LEFT($B39,4)),VALUE(RIGHT($B39,1))*3,1),0)))</f>
        <v/>
      </c>
      <c r="U39" s="94" t="str">
        <f aca="false">IF($C39="","",-SUMIFS(Project_Activity!$P$2:$P$5000,Project_Activity!$C$2:$C$5000,$C39,Project_Activity!$U$2:$U$5000,"Recovered Expenses",Project_Activity!$H$2:$H$5000,"&gt;="&amp;DATE(VALUE(LEFT($B39,4)),1,1),Project_Activity!$H$2:$H$5000,"&lt;="&amp;EOMONTH(DATE(VALUE(LEFT($B39,4)),VALUE(RIGHT($B39,1))*3,1),0)))</f>
        <v/>
      </c>
      <c r="V39" s="145"/>
      <c r="W39" s="94" t="str">
        <f aca="false">IF($C39="","",$V39*$N39)</f>
        <v/>
      </c>
      <c r="X39" s="145"/>
      <c r="Y39" s="94" t="str">
        <f aca="false">IF($C39="","",$X39*$N39)</f>
        <v/>
      </c>
      <c r="Z39" s="145"/>
      <c r="AA39" s="94" t="str">
        <f aca="false">IF($C39="","",$Z39*$N39)</f>
        <v/>
      </c>
      <c r="AB39" s="145"/>
      <c r="AC39" s="94" t="str">
        <f aca="false">IF($C39="","",$AB39*$N39)</f>
        <v/>
      </c>
      <c r="AD39" s="94" t="str">
        <f aca="false">IF($C39="","",SUMPRODUCT((VALUE(MID($B39,7,1))&gt;={1,2,3,4})*CHOOSE({1,2,3,4},$W39,$Y39,$AA39,$AC39)))</f>
        <v/>
      </c>
      <c r="AE39" s="94" t="str">
        <f aca="false">IF($C39="","",$W39+$Y39+$AA39+$AC39-$AD39)</f>
        <v/>
      </c>
      <c r="AF39" s="146"/>
      <c r="AG39" s="146"/>
      <c r="AH39" s="146"/>
      <c r="AI39" s="147" t="str">
        <f aca="false">IF($C39="","",IF(OR($L39="Pipeline",$N39&lt;0,$O39&gt;$N39+1,($V39+$X39+$Z39+$AB39)&gt;1.0001,ISNUMBER(SEARCH("not signed",$AF39))),"REVIEW","OK"))</f>
        <v/>
      </c>
    </row>
    <row r="40" customFormat="false" ht="13.5" hidden="false" customHeight="false" outlineLevel="0" collapsed="false">
      <c r="A40" s="95" t="str">
        <f aca="false">IF($C40="","",Controls!$B$7)</f>
        <v/>
      </c>
      <c r="B40" s="95" t="str">
        <f aca="false">IF($C40="","",Controls!$B$30)</f>
        <v/>
      </c>
      <c r="C40" s="95" t="str">
        <f aca="false">IF(MM_Income!$A43="","",MM_Income!$A43)</f>
        <v/>
      </c>
      <c r="D40" s="95" t="str">
        <f aca="false">IF($C40="","",INDEX(MM_Income!$B$5:$B$204,MATCH($C40,MM_Income!$A$5:$A$204,0)))</f>
        <v/>
      </c>
      <c r="E40" s="95" t="str">
        <f aca="false">IF($C40="","",INDEX(MM_Income!$C$5:$C$204,MATCH($C40,MM_Income!$A$5:$A$204,0)))</f>
        <v/>
      </c>
      <c r="F40" s="95" t="str">
        <f aca="false">IF($C40="","",INDEX(MM_Income!$F$5:$F$204,MATCH($C40,MM_Income!$A$5:$A$204,0)))</f>
        <v/>
      </c>
      <c r="G40" s="95" t="str">
        <f aca="false">IF($C40="","",INDEX(MM_Income!$G$5:$G$204,MATCH($C40,MM_Income!$A$5:$A$204,0)))</f>
        <v/>
      </c>
      <c r="H40" s="95" t="str">
        <f aca="false">IF($C40="","",INDEX(MM_Income!$H$5:$H$204,MATCH($C40,MM_Income!$A$5:$A$204,0)))</f>
        <v/>
      </c>
      <c r="I40" s="95" t="str">
        <f aca="false">IF($C40="","",INDEX(MM_Income!$I$5:$I$204,MATCH($C40,MM_Income!$A$5:$A$204,0)))</f>
        <v/>
      </c>
      <c r="J40" s="95" t="str">
        <f aca="false">IF($C40="","",INDEX(MM_Income!$D$5:$D$204,MATCH($C40,MM_Income!$A$5:$A$204,0)))</f>
        <v/>
      </c>
      <c r="K40" s="95" t="str">
        <f aca="false">IF($C40="","",INDEX(MM_Income!$E$5:$E$204,MATCH($C40,MM_Income!$A$5:$A$204,0)))</f>
        <v/>
      </c>
      <c r="L40" s="95" t="str">
        <f aca="false">IF($C40="","",INDEX(MM_Income!$U$5:$U$204,MATCH($C40,MM_Income!$A$5:$A$204,0)))</f>
        <v/>
      </c>
      <c r="M40" s="143" t="str">
        <f aca="false">IF($C40="","",INDEX(MM_Income!$V$5:$V$204,MATCH($C40,MM_Income!$A$5:$A$204,0)))</f>
        <v/>
      </c>
      <c r="N40" s="144" t="str">
        <f aca="false">IF($C40="","",INDEX(MM_Income!$T$5:$T$204,MATCH($C40,MM_Income!$A$5:$A$204,0)))</f>
        <v/>
      </c>
      <c r="O40" s="94" t="str">
        <f aca="false">IF($C40="","",-SUMIFS(Project_Activity!$P$2:$P$5000,Project_Activity!$C$2:$C$5000,$C40,Project_Activity!$U$2:$U$5000,"Invoiced Income",Project_Activity!$H$2:$H$5000,"&gt;="&amp;DATE(VALUE(LEFT($B40,4)),1,1),Project_Activity!$H$2:$H$5000,"&lt;="&amp;EOMONTH(DATE(VALUE(LEFT($B40,4)),VALUE(RIGHT($B40,1))*3,1),0)))</f>
        <v/>
      </c>
      <c r="P40" s="94" t="str">
        <f aca="false">IF($C40="","",SUMIFS(Project_Activity!$P$2:$P$5000,Project_Activity!$C$2:$C$5000,$C40,Project_Activity!$U$2:$U$5000,"Subcontractor",Project_Activity!$H$2:$H$5000,"&gt;="&amp;DATE(VALUE(LEFT($B40,4)),1,1),Project_Activity!$H$2:$H$5000,"&lt;="&amp;EOMONTH(DATE(VALUE(LEFT($B40,4)),VALUE(RIGHT($B40,1))*3,1),0)))</f>
        <v/>
      </c>
      <c r="Q40" s="94" t="str">
        <f aca="false">IF($C40="","",SUMIFS(Project_Activity!$P$2:$P$5000,Project_Activity!$C$2:$C$5000,$C40,Project_Activity!$U$2:$U$5000,"Project Inclusive",Project_Activity!$H$2:$H$5000,"&gt;="&amp;DATE(VALUE(LEFT($B40,4)),1,1),Project_Activity!$H$2:$H$5000,"&lt;="&amp;EOMONTH(DATE(VALUE(LEFT($B40,4)),VALUE(RIGHT($B40,1))*3,1),0)))</f>
        <v/>
      </c>
      <c r="R40" s="94" t="str">
        <f aca="false">IF($C40="","",SUMIFS(Project_Activity!$P$2:$P$5000,Project_Activity!$C$2:$C$5000,$C40,Project_Activity!$U$2:$U$5000,"Non-Recoverable",Project_Activity!$H$2:$H$5000,"&gt;="&amp;DATE(VALUE(LEFT($B40,4)),1,1),Project_Activity!$H$2:$H$5000,"&lt;="&amp;EOMONTH(DATE(VALUE(LEFT($B40,4)),VALUE(RIGHT($B40,1))*3,1),0)))</f>
        <v/>
      </c>
      <c r="S40" s="94" t="str">
        <f aca="false">IF($C40="","",$O40-$P40-$Q40-$R40)</f>
        <v/>
      </c>
      <c r="T40" s="94" t="str">
        <f aca="false">IF($C40="","",SUMIFS(Project_Activity!$P$2:$P$5000,Project_Activity!$C$2:$C$5000,$C40,Project_Activity!$U$2:$U$5000,"Recoverable",Project_Activity!$H$2:$H$5000,"&gt;="&amp;DATE(VALUE(LEFT($B40,4)),1,1),Project_Activity!$H$2:$H$5000,"&lt;="&amp;EOMONTH(DATE(VALUE(LEFT($B40,4)),VALUE(RIGHT($B40,1))*3,1),0)))</f>
        <v/>
      </c>
      <c r="U40" s="94" t="str">
        <f aca="false">IF($C40="","",-SUMIFS(Project_Activity!$P$2:$P$5000,Project_Activity!$C$2:$C$5000,$C40,Project_Activity!$U$2:$U$5000,"Recovered Expenses",Project_Activity!$H$2:$H$5000,"&gt;="&amp;DATE(VALUE(LEFT($B40,4)),1,1),Project_Activity!$H$2:$H$5000,"&lt;="&amp;EOMONTH(DATE(VALUE(LEFT($B40,4)),VALUE(RIGHT($B40,1))*3,1),0)))</f>
        <v/>
      </c>
      <c r="V40" s="145"/>
      <c r="W40" s="94" t="str">
        <f aca="false">IF($C40="","",$V40*$N40)</f>
        <v/>
      </c>
      <c r="X40" s="145"/>
      <c r="Y40" s="94" t="str">
        <f aca="false">IF($C40="","",$X40*$N40)</f>
        <v/>
      </c>
      <c r="Z40" s="145"/>
      <c r="AA40" s="94" t="str">
        <f aca="false">IF($C40="","",$Z40*$N40)</f>
        <v/>
      </c>
      <c r="AB40" s="145"/>
      <c r="AC40" s="94" t="str">
        <f aca="false">IF($C40="","",$AB40*$N40)</f>
        <v/>
      </c>
      <c r="AD40" s="94" t="str">
        <f aca="false">IF($C40="","",SUMPRODUCT((VALUE(MID($B40,7,1))&gt;={1,2,3,4})*CHOOSE({1,2,3,4},$W40,$Y40,$AA40,$AC40)))</f>
        <v/>
      </c>
      <c r="AE40" s="94" t="str">
        <f aca="false">IF($C40="","",$W40+$Y40+$AA40+$AC40-$AD40)</f>
        <v/>
      </c>
      <c r="AF40" s="146"/>
      <c r="AG40" s="146"/>
      <c r="AH40" s="146"/>
      <c r="AI40" s="147" t="str">
        <f aca="false">IF($C40="","",IF(OR($L40="Pipeline",$N40&lt;0,$O40&gt;$N40+1,($V40+$X40+$Z40+$AB40)&gt;1.0001,ISNUMBER(SEARCH("not signed",$AF40))),"REVIEW","OK"))</f>
        <v/>
      </c>
    </row>
    <row r="41" customFormat="false" ht="13.5" hidden="false" customHeight="false" outlineLevel="0" collapsed="false">
      <c r="A41" s="95" t="str">
        <f aca="false">IF($C41="","",Controls!$B$7)</f>
        <v/>
      </c>
      <c r="B41" s="95" t="str">
        <f aca="false">IF($C41="","",Controls!$B$30)</f>
        <v/>
      </c>
      <c r="C41" s="95" t="str">
        <f aca="false">IF(MM_Income!$A44="","",MM_Income!$A44)</f>
        <v/>
      </c>
      <c r="D41" s="95" t="str">
        <f aca="false">IF($C41="","",INDEX(MM_Income!$B$5:$B$204,MATCH($C41,MM_Income!$A$5:$A$204,0)))</f>
        <v/>
      </c>
      <c r="E41" s="95" t="str">
        <f aca="false">IF($C41="","",INDEX(MM_Income!$C$5:$C$204,MATCH($C41,MM_Income!$A$5:$A$204,0)))</f>
        <v/>
      </c>
      <c r="F41" s="95" t="str">
        <f aca="false">IF($C41="","",INDEX(MM_Income!$F$5:$F$204,MATCH($C41,MM_Income!$A$5:$A$204,0)))</f>
        <v/>
      </c>
      <c r="G41" s="95" t="str">
        <f aca="false">IF($C41="","",INDEX(MM_Income!$G$5:$G$204,MATCH($C41,MM_Income!$A$5:$A$204,0)))</f>
        <v/>
      </c>
      <c r="H41" s="95" t="str">
        <f aca="false">IF($C41="","",INDEX(MM_Income!$H$5:$H$204,MATCH($C41,MM_Income!$A$5:$A$204,0)))</f>
        <v/>
      </c>
      <c r="I41" s="95" t="str">
        <f aca="false">IF($C41="","",INDEX(MM_Income!$I$5:$I$204,MATCH($C41,MM_Income!$A$5:$A$204,0)))</f>
        <v/>
      </c>
      <c r="J41" s="95" t="str">
        <f aca="false">IF($C41="","",INDEX(MM_Income!$D$5:$D$204,MATCH($C41,MM_Income!$A$5:$A$204,0)))</f>
        <v/>
      </c>
      <c r="K41" s="95" t="str">
        <f aca="false">IF($C41="","",INDEX(MM_Income!$E$5:$E$204,MATCH($C41,MM_Income!$A$5:$A$204,0)))</f>
        <v/>
      </c>
      <c r="L41" s="95" t="str">
        <f aca="false">IF($C41="","",INDEX(MM_Income!$U$5:$U$204,MATCH($C41,MM_Income!$A$5:$A$204,0)))</f>
        <v/>
      </c>
      <c r="M41" s="143" t="str">
        <f aca="false">IF($C41="","",INDEX(MM_Income!$V$5:$V$204,MATCH($C41,MM_Income!$A$5:$A$204,0)))</f>
        <v/>
      </c>
      <c r="N41" s="144" t="str">
        <f aca="false">IF($C41="","",INDEX(MM_Income!$T$5:$T$204,MATCH($C41,MM_Income!$A$5:$A$204,0)))</f>
        <v/>
      </c>
      <c r="O41" s="94" t="str">
        <f aca="false">IF($C41="","",-SUMIFS(Project_Activity!$P$2:$P$5000,Project_Activity!$C$2:$C$5000,$C41,Project_Activity!$U$2:$U$5000,"Invoiced Income",Project_Activity!$H$2:$H$5000,"&gt;="&amp;DATE(VALUE(LEFT($B41,4)),1,1),Project_Activity!$H$2:$H$5000,"&lt;="&amp;EOMONTH(DATE(VALUE(LEFT($B41,4)),VALUE(RIGHT($B41,1))*3,1),0)))</f>
        <v/>
      </c>
      <c r="P41" s="94" t="str">
        <f aca="false">IF($C41="","",SUMIFS(Project_Activity!$P$2:$P$5000,Project_Activity!$C$2:$C$5000,$C41,Project_Activity!$U$2:$U$5000,"Subcontractor",Project_Activity!$H$2:$H$5000,"&gt;="&amp;DATE(VALUE(LEFT($B41,4)),1,1),Project_Activity!$H$2:$H$5000,"&lt;="&amp;EOMONTH(DATE(VALUE(LEFT($B41,4)),VALUE(RIGHT($B41,1))*3,1),0)))</f>
        <v/>
      </c>
      <c r="Q41" s="94" t="str">
        <f aca="false">IF($C41="","",SUMIFS(Project_Activity!$P$2:$P$5000,Project_Activity!$C$2:$C$5000,$C41,Project_Activity!$U$2:$U$5000,"Project Inclusive",Project_Activity!$H$2:$H$5000,"&gt;="&amp;DATE(VALUE(LEFT($B41,4)),1,1),Project_Activity!$H$2:$H$5000,"&lt;="&amp;EOMONTH(DATE(VALUE(LEFT($B41,4)),VALUE(RIGHT($B41,1))*3,1),0)))</f>
        <v/>
      </c>
      <c r="R41" s="94" t="str">
        <f aca="false">IF($C41="","",SUMIFS(Project_Activity!$P$2:$P$5000,Project_Activity!$C$2:$C$5000,$C41,Project_Activity!$U$2:$U$5000,"Non-Recoverable",Project_Activity!$H$2:$H$5000,"&gt;="&amp;DATE(VALUE(LEFT($B41,4)),1,1),Project_Activity!$H$2:$H$5000,"&lt;="&amp;EOMONTH(DATE(VALUE(LEFT($B41,4)),VALUE(RIGHT($B41,1))*3,1),0)))</f>
        <v/>
      </c>
      <c r="S41" s="94" t="str">
        <f aca="false">IF($C41="","",$O41-$P41-$Q41-$R41)</f>
        <v/>
      </c>
      <c r="T41" s="94" t="str">
        <f aca="false">IF($C41="","",SUMIFS(Project_Activity!$P$2:$P$5000,Project_Activity!$C$2:$C$5000,$C41,Project_Activity!$U$2:$U$5000,"Recoverable",Project_Activity!$H$2:$H$5000,"&gt;="&amp;DATE(VALUE(LEFT($B41,4)),1,1),Project_Activity!$H$2:$H$5000,"&lt;="&amp;EOMONTH(DATE(VALUE(LEFT($B41,4)),VALUE(RIGHT($B41,1))*3,1),0)))</f>
        <v/>
      </c>
      <c r="U41" s="94" t="str">
        <f aca="false">IF($C41="","",-SUMIFS(Project_Activity!$P$2:$P$5000,Project_Activity!$C$2:$C$5000,$C41,Project_Activity!$U$2:$U$5000,"Recovered Expenses",Project_Activity!$H$2:$H$5000,"&gt;="&amp;DATE(VALUE(LEFT($B41,4)),1,1),Project_Activity!$H$2:$H$5000,"&lt;="&amp;EOMONTH(DATE(VALUE(LEFT($B41,4)),VALUE(RIGHT($B41,1))*3,1),0)))</f>
        <v/>
      </c>
      <c r="V41" s="145"/>
      <c r="W41" s="94" t="str">
        <f aca="false">IF($C41="","",$V41*$N41)</f>
        <v/>
      </c>
      <c r="X41" s="145"/>
      <c r="Y41" s="94" t="str">
        <f aca="false">IF($C41="","",$X41*$N41)</f>
        <v/>
      </c>
      <c r="Z41" s="145"/>
      <c r="AA41" s="94" t="str">
        <f aca="false">IF($C41="","",$Z41*$N41)</f>
        <v/>
      </c>
      <c r="AB41" s="145"/>
      <c r="AC41" s="94" t="str">
        <f aca="false">IF($C41="","",$AB41*$N41)</f>
        <v/>
      </c>
      <c r="AD41" s="94" t="str">
        <f aca="false">IF($C41="","",SUMPRODUCT((VALUE(MID($B41,7,1))&gt;={1,2,3,4})*CHOOSE({1,2,3,4},$W41,$Y41,$AA41,$AC41)))</f>
        <v/>
      </c>
      <c r="AE41" s="94" t="str">
        <f aca="false">IF($C41="","",$W41+$Y41+$AA41+$AC41-$AD41)</f>
        <v/>
      </c>
      <c r="AF41" s="146"/>
      <c r="AG41" s="146"/>
      <c r="AH41" s="146"/>
      <c r="AI41" s="147" t="str">
        <f aca="false">IF($C41="","",IF(OR($L41="Pipeline",$N41&lt;0,$O41&gt;$N41+1,($V41+$X41+$Z41+$AB41)&gt;1.0001,ISNUMBER(SEARCH("not signed",$AF41))),"REVIEW","OK"))</f>
        <v/>
      </c>
    </row>
    <row r="42" customFormat="false" ht="13.5" hidden="false" customHeight="false" outlineLevel="0" collapsed="false">
      <c r="A42" s="95" t="str">
        <f aca="false">IF($C42="","",Controls!$B$7)</f>
        <v/>
      </c>
      <c r="B42" s="95" t="str">
        <f aca="false">IF($C42="","",Controls!$B$30)</f>
        <v/>
      </c>
      <c r="C42" s="95" t="str">
        <f aca="false">IF(MM_Income!$A45="","",MM_Income!$A45)</f>
        <v/>
      </c>
      <c r="D42" s="95" t="str">
        <f aca="false">IF($C42="","",INDEX(MM_Income!$B$5:$B$204,MATCH($C42,MM_Income!$A$5:$A$204,0)))</f>
        <v/>
      </c>
      <c r="E42" s="95" t="str">
        <f aca="false">IF($C42="","",INDEX(MM_Income!$C$5:$C$204,MATCH($C42,MM_Income!$A$5:$A$204,0)))</f>
        <v/>
      </c>
      <c r="F42" s="95" t="str">
        <f aca="false">IF($C42="","",INDEX(MM_Income!$F$5:$F$204,MATCH($C42,MM_Income!$A$5:$A$204,0)))</f>
        <v/>
      </c>
      <c r="G42" s="95" t="str">
        <f aca="false">IF($C42="","",INDEX(MM_Income!$G$5:$G$204,MATCH($C42,MM_Income!$A$5:$A$204,0)))</f>
        <v/>
      </c>
      <c r="H42" s="95" t="str">
        <f aca="false">IF($C42="","",INDEX(MM_Income!$H$5:$H$204,MATCH($C42,MM_Income!$A$5:$A$204,0)))</f>
        <v/>
      </c>
      <c r="I42" s="95" t="str">
        <f aca="false">IF($C42="","",INDEX(MM_Income!$I$5:$I$204,MATCH($C42,MM_Income!$A$5:$A$204,0)))</f>
        <v/>
      </c>
      <c r="J42" s="95" t="str">
        <f aca="false">IF($C42="","",INDEX(MM_Income!$D$5:$D$204,MATCH($C42,MM_Income!$A$5:$A$204,0)))</f>
        <v/>
      </c>
      <c r="K42" s="95" t="str">
        <f aca="false">IF($C42="","",INDEX(MM_Income!$E$5:$E$204,MATCH($C42,MM_Income!$A$5:$A$204,0)))</f>
        <v/>
      </c>
      <c r="L42" s="95" t="str">
        <f aca="false">IF($C42="","",INDEX(MM_Income!$U$5:$U$204,MATCH($C42,MM_Income!$A$5:$A$204,0)))</f>
        <v/>
      </c>
      <c r="M42" s="143" t="str">
        <f aca="false">IF($C42="","",INDEX(MM_Income!$V$5:$V$204,MATCH($C42,MM_Income!$A$5:$A$204,0)))</f>
        <v/>
      </c>
      <c r="N42" s="144" t="str">
        <f aca="false">IF($C42="","",INDEX(MM_Income!$T$5:$T$204,MATCH($C42,MM_Income!$A$5:$A$204,0)))</f>
        <v/>
      </c>
      <c r="O42" s="94" t="str">
        <f aca="false">IF($C42="","",-SUMIFS(Project_Activity!$P$2:$P$5000,Project_Activity!$C$2:$C$5000,$C42,Project_Activity!$U$2:$U$5000,"Invoiced Income",Project_Activity!$H$2:$H$5000,"&gt;="&amp;DATE(VALUE(LEFT($B42,4)),1,1),Project_Activity!$H$2:$H$5000,"&lt;="&amp;EOMONTH(DATE(VALUE(LEFT($B42,4)),VALUE(RIGHT($B42,1))*3,1),0)))</f>
        <v/>
      </c>
      <c r="P42" s="94" t="str">
        <f aca="false">IF($C42="","",SUMIFS(Project_Activity!$P$2:$P$5000,Project_Activity!$C$2:$C$5000,$C42,Project_Activity!$U$2:$U$5000,"Subcontractor",Project_Activity!$H$2:$H$5000,"&gt;="&amp;DATE(VALUE(LEFT($B42,4)),1,1),Project_Activity!$H$2:$H$5000,"&lt;="&amp;EOMONTH(DATE(VALUE(LEFT($B42,4)),VALUE(RIGHT($B42,1))*3,1),0)))</f>
        <v/>
      </c>
      <c r="Q42" s="94" t="str">
        <f aca="false">IF($C42="","",SUMIFS(Project_Activity!$P$2:$P$5000,Project_Activity!$C$2:$C$5000,$C42,Project_Activity!$U$2:$U$5000,"Project Inclusive",Project_Activity!$H$2:$H$5000,"&gt;="&amp;DATE(VALUE(LEFT($B42,4)),1,1),Project_Activity!$H$2:$H$5000,"&lt;="&amp;EOMONTH(DATE(VALUE(LEFT($B42,4)),VALUE(RIGHT($B42,1))*3,1),0)))</f>
        <v/>
      </c>
      <c r="R42" s="94" t="str">
        <f aca="false">IF($C42="","",SUMIFS(Project_Activity!$P$2:$P$5000,Project_Activity!$C$2:$C$5000,$C42,Project_Activity!$U$2:$U$5000,"Non-Recoverable",Project_Activity!$H$2:$H$5000,"&gt;="&amp;DATE(VALUE(LEFT($B42,4)),1,1),Project_Activity!$H$2:$H$5000,"&lt;="&amp;EOMONTH(DATE(VALUE(LEFT($B42,4)),VALUE(RIGHT($B42,1))*3,1),0)))</f>
        <v/>
      </c>
      <c r="S42" s="94" t="str">
        <f aca="false">IF($C42="","",$O42-$P42-$Q42-$R42)</f>
        <v/>
      </c>
      <c r="T42" s="94" t="str">
        <f aca="false">IF($C42="","",SUMIFS(Project_Activity!$P$2:$P$5000,Project_Activity!$C$2:$C$5000,$C42,Project_Activity!$U$2:$U$5000,"Recoverable",Project_Activity!$H$2:$H$5000,"&gt;="&amp;DATE(VALUE(LEFT($B42,4)),1,1),Project_Activity!$H$2:$H$5000,"&lt;="&amp;EOMONTH(DATE(VALUE(LEFT($B42,4)),VALUE(RIGHT($B42,1))*3,1),0)))</f>
        <v/>
      </c>
      <c r="U42" s="94" t="str">
        <f aca="false">IF($C42="","",-SUMIFS(Project_Activity!$P$2:$P$5000,Project_Activity!$C$2:$C$5000,$C42,Project_Activity!$U$2:$U$5000,"Recovered Expenses",Project_Activity!$H$2:$H$5000,"&gt;="&amp;DATE(VALUE(LEFT($B42,4)),1,1),Project_Activity!$H$2:$H$5000,"&lt;="&amp;EOMONTH(DATE(VALUE(LEFT($B42,4)),VALUE(RIGHT($B42,1))*3,1),0)))</f>
        <v/>
      </c>
      <c r="V42" s="145"/>
      <c r="W42" s="94" t="str">
        <f aca="false">IF($C42="","",$V42*$N42)</f>
        <v/>
      </c>
      <c r="X42" s="145"/>
      <c r="Y42" s="94" t="str">
        <f aca="false">IF($C42="","",$X42*$N42)</f>
        <v/>
      </c>
      <c r="Z42" s="145"/>
      <c r="AA42" s="94" t="str">
        <f aca="false">IF($C42="","",$Z42*$N42)</f>
        <v/>
      </c>
      <c r="AB42" s="145"/>
      <c r="AC42" s="94" t="str">
        <f aca="false">IF($C42="","",$AB42*$N42)</f>
        <v/>
      </c>
      <c r="AD42" s="94" t="str">
        <f aca="false">IF($C42="","",SUMPRODUCT((VALUE(MID($B42,7,1))&gt;={1,2,3,4})*CHOOSE({1,2,3,4},$W42,$Y42,$AA42,$AC42)))</f>
        <v/>
      </c>
      <c r="AE42" s="94" t="str">
        <f aca="false">IF($C42="","",$W42+$Y42+$AA42+$AC42-$AD42)</f>
        <v/>
      </c>
      <c r="AF42" s="146"/>
      <c r="AG42" s="146"/>
      <c r="AH42" s="146"/>
      <c r="AI42" s="147" t="str">
        <f aca="false">IF($C42="","",IF(OR($L42="Pipeline",$N42&lt;0,$O42&gt;$N42+1,($V42+$X42+$Z42+$AB42)&gt;1.0001,ISNUMBER(SEARCH("not signed",$AF42))),"REVIEW","OK"))</f>
        <v/>
      </c>
    </row>
    <row r="43" customFormat="false" ht="13.5" hidden="false" customHeight="false" outlineLevel="0" collapsed="false">
      <c r="A43" s="95" t="str">
        <f aca="false">IF($C43="","",Controls!$B$7)</f>
        <v/>
      </c>
      <c r="B43" s="95" t="str">
        <f aca="false">IF($C43="","",Controls!$B$30)</f>
        <v/>
      </c>
      <c r="C43" s="95" t="str">
        <f aca="false">IF(MM_Income!$A46="","",MM_Income!$A46)</f>
        <v/>
      </c>
      <c r="D43" s="95" t="str">
        <f aca="false">IF($C43="","",INDEX(MM_Income!$B$5:$B$204,MATCH($C43,MM_Income!$A$5:$A$204,0)))</f>
        <v/>
      </c>
      <c r="E43" s="95" t="str">
        <f aca="false">IF($C43="","",INDEX(MM_Income!$C$5:$C$204,MATCH($C43,MM_Income!$A$5:$A$204,0)))</f>
        <v/>
      </c>
      <c r="F43" s="95" t="str">
        <f aca="false">IF($C43="","",INDEX(MM_Income!$F$5:$F$204,MATCH($C43,MM_Income!$A$5:$A$204,0)))</f>
        <v/>
      </c>
      <c r="G43" s="95" t="str">
        <f aca="false">IF($C43="","",INDEX(MM_Income!$G$5:$G$204,MATCH($C43,MM_Income!$A$5:$A$204,0)))</f>
        <v/>
      </c>
      <c r="H43" s="95" t="str">
        <f aca="false">IF($C43="","",INDEX(MM_Income!$H$5:$H$204,MATCH($C43,MM_Income!$A$5:$A$204,0)))</f>
        <v/>
      </c>
      <c r="I43" s="95" t="str">
        <f aca="false">IF($C43="","",INDEX(MM_Income!$I$5:$I$204,MATCH($C43,MM_Income!$A$5:$A$204,0)))</f>
        <v/>
      </c>
      <c r="J43" s="95" t="str">
        <f aca="false">IF($C43="","",INDEX(MM_Income!$D$5:$D$204,MATCH($C43,MM_Income!$A$5:$A$204,0)))</f>
        <v/>
      </c>
      <c r="K43" s="95" t="str">
        <f aca="false">IF($C43="","",INDEX(MM_Income!$E$5:$E$204,MATCH($C43,MM_Income!$A$5:$A$204,0)))</f>
        <v/>
      </c>
      <c r="L43" s="95" t="str">
        <f aca="false">IF($C43="","",INDEX(MM_Income!$U$5:$U$204,MATCH($C43,MM_Income!$A$5:$A$204,0)))</f>
        <v/>
      </c>
      <c r="M43" s="143" t="str">
        <f aca="false">IF($C43="","",INDEX(MM_Income!$V$5:$V$204,MATCH($C43,MM_Income!$A$5:$A$204,0)))</f>
        <v/>
      </c>
      <c r="N43" s="144" t="str">
        <f aca="false">IF($C43="","",INDEX(MM_Income!$T$5:$T$204,MATCH($C43,MM_Income!$A$5:$A$204,0)))</f>
        <v/>
      </c>
      <c r="O43" s="94" t="str">
        <f aca="false">IF($C43="","",-SUMIFS(Project_Activity!$P$2:$P$5000,Project_Activity!$C$2:$C$5000,$C43,Project_Activity!$U$2:$U$5000,"Invoiced Income",Project_Activity!$H$2:$H$5000,"&gt;="&amp;DATE(VALUE(LEFT($B43,4)),1,1),Project_Activity!$H$2:$H$5000,"&lt;="&amp;EOMONTH(DATE(VALUE(LEFT($B43,4)),VALUE(RIGHT($B43,1))*3,1),0)))</f>
        <v/>
      </c>
      <c r="P43" s="94" t="str">
        <f aca="false">IF($C43="","",SUMIFS(Project_Activity!$P$2:$P$5000,Project_Activity!$C$2:$C$5000,$C43,Project_Activity!$U$2:$U$5000,"Subcontractor",Project_Activity!$H$2:$H$5000,"&gt;="&amp;DATE(VALUE(LEFT($B43,4)),1,1),Project_Activity!$H$2:$H$5000,"&lt;="&amp;EOMONTH(DATE(VALUE(LEFT($B43,4)),VALUE(RIGHT($B43,1))*3,1),0)))</f>
        <v/>
      </c>
      <c r="Q43" s="94" t="str">
        <f aca="false">IF($C43="","",SUMIFS(Project_Activity!$P$2:$P$5000,Project_Activity!$C$2:$C$5000,$C43,Project_Activity!$U$2:$U$5000,"Project Inclusive",Project_Activity!$H$2:$H$5000,"&gt;="&amp;DATE(VALUE(LEFT($B43,4)),1,1),Project_Activity!$H$2:$H$5000,"&lt;="&amp;EOMONTH(DATE(VALUE(LEFT($B43,4)),VALUE(RIGHT($B43,1))*3,1),0)))</f>
        <v/>
      </c>
      <c r="R43" s="94" t="str">
        <f aca="false">IF($C43="","",SUMIFS(Project_Activity!$P$2:$P$5000,Project_Activity!$C$2:$C$5000,$C43,Project_Activity!$U$2:$U$5000,"Non-Recoverable",Project_Activity!$H$2:$H$5000,"&gt;="&amp;DATE(VALUE(LEFT($B43,4)),1,1),Project_Activity!$H$2:$H$5000,"&lt;="&amp;EOMONTH(DATE(VALUE(LEFT($B43,4)),VALUE(RIGHT($B43,1))*3,1),0)))</f>
        <v/>
      </c>
      <c r="S43" s="94" t="str">
        <f aca="false">IF($C43="","",$O43-$P43-$Q43-$R43)</f>
        <v/>
      </c>
      <c r="T43" s="94" t="str">
        <f aca="false">IF($C43="","",SUMIFS(Project_Activity!$P$2:$P$5000,Project_Activity!$C$2:$C$5000,$C43,Project_Activity!$U$2:$U$5000,"Recoverable",Project_Activity!$H$2:$H$5000,"&gt;="&amp;DATE(VALUE(LEFT($B43,4)),1,1),Project_Activity!$H$2:$H$5000,"&lt;="&amp;EOMONTH(DATE(VALUE(LEFT($B43,4)),VALUE(RIGHT($B43,1))*3,1),0)))</f>
        <v/>
      </c>
      <c r="U43" s="94" t="str">
        <f aca="false">IF($C43="","",-SUMIFS(Project_Activity!$P$2:$P$5000,Project_Activity!$C$2:$C$5000,$C43,Project_Activity!$U$2:$U$5000,"Recovered Expenses",Project_Activity!$H$2:$H$5000,"&gt;="&amp;DATE(VALUE(LEFT($B43,4)),1,1),Project_Activity!$H$2:$H$5000,"&lt;="&amp;EOMONTH(DATE(VALUE(LEFT($B43,4)),VALUE(RIGHT($B43,1))*3,1),0)))</f>
        <v/>
      </c>
      <c r="V43" s="145"/>
      <c r="W43" s="94" t="str">
        <f aca="false">IF($C43="","",$V43*$N43)</f>
        <v/>
      </c>
      <c r="X43" s="145"/>
      <c r="Y43" s="94" t="str">
        <f aca="false">IF($C43="","",$X43*$N43)</f>
        <v/>
      </c>
      <c r="Z43" s="145"/>
      <c r="AA43" s="94" t="str">
        <f aca="false">IF($C43="","",$Z43*$N43)</f>
        <v/>
      </c>
      <c r="AB43" s="145"/>
      <c r="AC43" s="94" t="str">
        <f aca="false">IF($C43="","",$AB43*$N43)</f>
        <v/>
      </c>
      <c r="AD43" s="94" t="str">
        <f aca="false">IF($C43="","",SUMPRODUCT((VALUE(MID($B43,7,1))&gt;={1,2,3,4})*CHOOSE({1,2,3,4},$W43,$Y43,$AA43,$AC43)))</f>
        <v/>
      </c>
      <c r="AE43" s="94" t="str">
        <f aca="false">IF($C43="","",$W43+$Y43+$AA43+$AC43-$AD43)</f>
        <v/>
      </c>
      <c r="AF43" s="146"/>
      <c r="AG43" s="146"/>
      <c r="AH43" s="146"/>
      <c r="AI43" s="147" t="str">
        <f aca="false">IF($C43="","",IF(OR($L43="Pipeline",$N43&lt;0,$O43&gt;$N43+1,($V43+$X43+$Z43+$AB43)&gt;1.0001,ISNUMBER(SEARCH("not signed",$AF43))),"REVIEW","OK"))</f>
        <v/>
      </c>
    </row>
    <row r="44" customFormat="false" ht="13.5" hidden="false" customHeight="false" outlineLevel="0" collapsed="false">
      <c r="A44" s="95" t="str">
        <f aca="false">IF($C44="","",Controls!$B$7)</f>
        <v/>
      </c>
      <c r="B44" s="95" t="str">
        <f aca="false">IF($C44="","",Controls!$B$30)</f>
        <v/>
      </c>
      <c r="C44" s="95" t="str">
        <f aca="false">IF(MM_Income!$A47="","",MM_Income!$A47)</f>
        <v/>
      </c>
      <c r="D44" s="95" t="str">
        <f aca="false">IF($C44="","",INDEX(MM_Income!$B$5:$B$204,MATCH($C44,MM_Income!$A$5:$A$204,0)))</f>
        <v/>
      </c>
      <c r="E44" s="95" t="str">
        <f aca="false">IF($C44="","",INDEX(MM_Income!$C$5:$C$204,MATCH($C44,MM_Income!$A$5:$A$204,0)))</f>
        <v/>
      </c>
      <c r="F44" s="95" t="str">
        <f aca="false">IF($C44="","",INDEX(MM_Income!$F$5:$F$204,MATCH($C44,MM_Income!$A$5:$A$204,0)))</f>
        <v/>
      </c>
      <c r="G44" s="95" t="str">
        <f aca="false">IF($C44="","",INDEX(MM_Income!$G$5:$G$204,MATCH($C44,MM_Income!$A$5:$A$204,0)))</f>
        <v/>
      </c>
      <c r="H44" s="95" t="str">
        <f aca="false">IF($C44="","",INDEX(MM_Income!$H$5:$H$204,MATCH($C44,MM_Income!$A$5:$A$204,0)))</f>
        <v/>
      </c>
      <c r="I44" s="95" t="str">
        <f aca="false">IF($C44="","",INDEX(MM_Income!$I$5:$I$204,MATCH($C44,MM_Income!$A$5:$A$204,0)))</f>
        <v/>
      </c>
      <c r="J44" s="95" t="str">
        <f aca="false">IF($C44="","",INDEX(MM_Income!$D$5:$D$204,MATCH($C44,MM_Income!$A$5:$A$204,0)))</f>
        <v/>
      </c>
      <c r="K44" s="95" t="str">
        <f aca="false">IF($C44="","",INDEX(MM_Income!$E$5:$E$204,MATCH($C44,MM_Income!$A$5:$A$204,0)))</f>
        <v/>
      </c>
      <c r="L44" s="95" t="str">
        <f aca="false">IF($C44="","",INDEX(MM_Income!$U$5:$U$204,MATCH($C44,MM_Income!$A$5:$A$204,0)))</f>
        <v/>
      </c>
      <c r="M44" s="143" t="str">
        <f aca="false">IF($C44="","",INDEX(MM_Income!$V$5:$V$204,MATCH($C44,MM_Income!$A$5:$A$204,0)))</f>
        <v/>
      </c>
      <c r="N44" s="144" t="str">
        <f aca="false">IF($C44="","",INDEX(MM_Income!$T$5:$T$204,MATCH($C44,MM_Income!$A$5:$A$204,0)))</f>
        <v/>
      </c>
      <c r="O44" s="94" t="str">
        <f aca="false">IF($C44="","",-SUMIFS(Project_Activity!$P$2:$P$5000,Project_Activity!$C$2:$C$5000,$C44,Project_Activity!$U$2:$U$5000,"Invoiced Income",Project_Activity!$H$2:$H$5000,"&gt;="&amp;DATE(VALUE(LEFT($B44,4)),1,1),Project_Activity!$H$2:$H$5000,"&lt;="&amp;EOMONTH(DATE(VALUE(LEFT($B44,4)),VALUE(RIGHT($B44,1))*3,1),0)))</f>
        <v/>
      </c>
      <c r="P44" s="94" t="str">
        <f aca="false">IF($C44="","",SUMIFS(Project_Activity!$P$2:$P$5000,Project_Activity!$C$2:$C$5000,$C44,Project_Activity!$U$2:$U$5000,"Subcontractor",Project_Activity!$H$2:$H$5000,"&gt;="&amp;DATE(VALUE(LEFT($B44,4)),1,1),Project_Activity!$H$2:$H$5000,"&lt;="&amp;EOMONTH(DATE(VALUE(LEFT($B44,4)),VALUE(RIGHT($B44,1))*3,1),0)))</f>
        <v/>
      </c>
      <c r="Q44" s="94" t="str">
        <f aca="false">IF($C44="","",SUMIFS(Project_Activity!$P$2:$P$5000,Project_Activity!$C$2:$C$5000,$C44,Project_Activity!$U$2:$U$5000,"Project Inclusive",Project_Activity!$H$2:$H$5000,"&gt;="&amp;DATE(VALUE(LEFT($B44,4)),1,1),Project_Activity!$H$2:$H$5000,"&lt;="&amp;EOMONTH(DATE(VALUE(LEFT($B44,4)),VALUE(RIGHT($B44,1))*3,1),0)))</f>
        <v/>
      </c>
      <c r="R44" s="94" t="str">
        <f aca="false">IF($C44="","",SUMIFS(Project_Activity!$P$2:$P$5000,Project_Activity!$C$2:$C$5000,$C44,Project_Activity!$U$2:$U$5000,"Non-Recoverable",Project_Activity!$H$2:$H$5000,"&gt;="&amp;DATE(VALUE(LEFT($B44,4)),1,1),Project_Activity!$H$2:$H$5000,"&lt;="&amp;EOMONTH(DATE(VALUE(LEFT($B44,4)),VALUE(RIGHT($B44,1))*3,1),0)))</f>
        <v/>
      </c>
      <c r="S44" s="94" t="str">
        <f aca="false">IF($C44="","",$O44-$P44-$Q44-$R44)</f>
        <v/>
      </c>
      <c r="T44" s="94" t="str">
        <f aca="false">IF($C44="","",SUMIFS(Project_Activity!$P$2:$P$5000,Project_Activity!$C$2:$C$5000,$C44,Project_Activity!$U$2:$U$5000,"Recoverable",Project_Activity!$H$2:$H$5000,"&gt;="&amp;DATE(VALUE(LEFT($B44,4)),1,1),Project_Activity!$H$2:$H$5000,"&lt;="&amp;EOMONTH(DATE(VALUE(LEFT($B44,4)),VALUE(RIGHT($B44,1))*3,1),0)))</f>
        <v/>
      </c>
      <c r="U44" s="94" t="str">
        <f aca="false">IF($C44="","",-SUMIFS(Project_Activity!$P$2:$P$5000,Project_Activity!$C$2:$C$5000,$C44,Project_Activity!$U$2:$U$5000,"Recovered Expenses",Project_Activity!$H$2:$H$5000,"&gt;="&amp;DATE(VALUE(LEFT($B44,4)),1,1),Project_Activity!$H$2:$H$5000,"&lt;="&amp;EOMONTH(DATE(VALUE(LEFT($B44,4)),VALUE(RIGHT($B44,1))*3,1),0)))</f>
        <v/>
      </c>
      <c r="V44" s="145"/>
      <c r="W44" s="94" t="str">
        <f aca="false">IF($C44="","",$V44*$N44)</f>
        <v/>
      </c>
      <c r="X44" s="145"/>
      <c r="Y44" s="94" t="str">
        <f aca="false">IF($C44="","",$X44*$N44)</f>
        <v/>
      </c>
      <c r="Z44" s="145"/>
      <c r="AA44" s="94" t="str">
        <f aca="false">IF($C44="","",$Z44*$N44)</f>
        <v/>
      </c>
      <c r="AB44" s="145"/>
      <c r="AC44" s="94" t="str">
        <f aca="false">IF($C44="","",$AB44*$N44)</f>
        <v/>
      </c>
      <c r="AD44" s="94" t="str">
        <f aca="false">IF($C44="","",SUMPRODUCT((VALUE(MID($B44,7,1))&gt;={1,2,3,4})*CHOOSE({1,2,3,4},$W44,$Y44,$AA44,$AC44)))</f>
        <v/>
      </c>
      <c r="AE44" s="94" t="str">
        <f aca="false">IF($C44="","",$W44+$Y44+$AA44+$AC44-$AD44)</f>
        <v/>
      </c>
      <c r="AF44" s="146"/>
      <c r="AG44" s="146"/>
      <c r="AH44" s="146"/>
      <c r="AI44" s="147" t="str">
        <f aca="false">IF($C44="","",IF(OR($L44="Pipeline",$N44&lt;0,$O44&gt;$N44+1,($V44+$X44+$Z44+$AB44)&gt;1.0001,ISNUMBER(SEARCH("not signed",$AF44))),"REVIEW","OK"))</f>
        <v/>
      </c>
    </row>
    <row r="45" customFormat="false" ht="13.5" hidden="false" customHeight="false" outlineLevel="0" collapsed="false">
      <c r="A45" s="95" t="str">
        <f aca="false">IF($C45="","",Controls!$B$7)</f>
        <v/>
      </c>
      <c r="B45" s="95" t="str">
        <f aca="false">IF($C45="","",Controls!$B$30)</f>
        <v/>
      </c>
      <c r="C45" s="95" t="str">
        <f aca="false">IF(MM_Income!$A48="","",MM_Income!$A48)</f>
        <v/>
      </c>
      <c r="D45" s="95" t="str">
        <f aca="false">IF($C45="","",INDEX(MM_Income!$B$5:$B$204,MATCH($C45,MM_Income!$A$5:$A$204,0)))</f>
        <v/>
      </c>
      <c r="E45" s="95" t="str">
        <f aca="false">IF($C45="","",INDEX(MM_Income!$C$5:$C$204,MATCH($C45,MM_Income!$A$5:$A$204,0)))</f>
        <v/>
      </c>
      <c r="F45" s="95" t="str">
        <f aca="false">IF($C45="","",INDEX(MM_Income!$F$5:$F$204,MATCH($C45,MM_Income!$A$5:$A$204,0)))</f>
        <v/>
      </c>
      <c r="G45" s="95" t="str">
        <f aca="false">IF($C45="","",INDEX(MM_Income!$G$5:$G$204,MATCH($C45,MM_Income!$A$5:$A$204,0)))</f>
        <v/>
      </c>
      <c r="H45" s="95" t="str">
        <f aca="false">IF($C45="","",INDEX(MM_Income!$H$5:$H$204,MATCH($C45,MM_Income!$A$5:$A$204,0)))</f>
        <v/>
      </c>
      <c r="I45" s="95" t="str">
        <f aca="false">IF($C45="","",INDEX(MM_Income!$I$5:$I$204,MATCH($C45,MM_Income!$A$5:$A$204,0)))</f>
        <v/>
      </c>
      <c r="J45" s="95" t="str">
        <f aca="false">IF($C45="","",INDEX(MM_Income!$D$5:$D$204,MATCH($C45,MM_Income!$A$5:$A$204,0)))</f>
        <v/>
      </c>
      <c r="K45" s="95" t="str">
        <f aca="false">IF($C45="","",INDEX(MM_Income!$E$5:$E$204,MATCH($C45,MM_Income!$A$5:$A$204,0)))</f>
        <v/>
      </c>
      <c r="L45" s="95" t="str">
        <f aca="false">IF($C45="","",INDEX(MM_Income!$U$5:$U$204,MATCH($C45,MM_Income!$A$5:$A$204,0)))</f>
        <v/>
      </c>
      <c r="M45" s="143" t="str">
        <f aca="false">IF($C45="","",INDEX(MM_Income!$V$5:$V$204,MATCH($C45,MM_Income!$A$5:$A$204,0)))</f>
        <v/>
      </c>
      <c r="N45" s="144" t="str">
        <f aca="false">IF($C45="","",INDEX(MM_Income!$T$5:$T$204,MATCH($C45,MM_Income!$A$5:$A$204,0)))</f>
        <v/>
      </c>
      <c r="O45" s="94" t="str">
        <f aca="false">IF($C45="","",-SUMIFS(Project_Activity!$P$2:$P$5000,Project_Activity!$C$2:$C$5000,$C45,Project_Activity!$U$2:$U$5000,"Invoiced Income",Project_Activity!$H$2:$H$5000,"&gt;="&amp;DATE(VALUE(LEFT($B45,4)),1,1),Project_Activity!$H$2:$H$5000,"&lt;="&amp;EOMONTH(DATE(VALUE(LEFT($B45,4)),VALUE(RIGHT($B45,1))*3,1),0)))</f>
        <v/>
      </c>
      <c r="P45" s="94" t="str">
        <f aca="false">IF($C45="","",SUMIFS(Project_Activity!$P$2:$P$5000,Project_Activity!$C$2:$C$5000,$C45,Project_Activity!$U$2:$U$5000,"Subcontractor",Project_Activity!$H$2:$H$5000,"&gt;="&amp;DATE(VALUE(LEFT($B45,4)),1,1),Project_Activity!$H$2:$H$5000,"&lt;="&amp;EOMONTH(DATE(VALUE(LEFT($B45,4)),VALUE(RIGHT($B45,1))*3,1),0)))</f>
        <v/>
      </c>
      <c r="Q45" s="94" t="str">
        <f aca="false">IF($C45="","",SUMIFS(Project_Activity!$P$2:$P$5000,Project_Activity!$C$2:$C$5000,$C45,Project_Activity!$U$2:$U$5000,"Project Inclusive",Project_Activity!$H$2:$H$5000,"&gt;="&amp;DATE(VALUE(LEFT($B45,4)),1,1),Project_Activity!$H$2:$H$5000,"&lt;="&amp;EOMONTH(DATE(VALUE(LEFT($B45,4)),VALUE(RIGHT($B45,1))*3,1),0)))</f>
        <v/>
      </c>
      <c r="R45" s="94" t="str">
        <f aca="false">IF($C45="","",SUMIFS(Project_Activity!$P$2:$P$5000,Project_Activity!$C$2:$C$5000,$C45,Project_Activity!$U$2:$U$5000,"Non-Recoverable",Project_Activity!$H$2:$H$5000,"&gt;="&amp;DATE(VALUE(LEFT($B45,4)),1,1),Project_Activity!$H$2:$H$5000,"&lt;="&amp;EOMONTH(DATE(VALUE(LEFT($B45,4)),VALUE(RIGHT($B45,1))*3,1),0)))</f>
        <v/>
      </c>
      <c r="S45" s="94" t="str">
        <f aca="false">IF($C45="","",$O45-$P45-$Q45-$R45)</f>
        <v/>
      </c>
      <c r="T45" s="94" t="str">
        <f aca="false">IF($C45="","",SUMIFS(Project_Activity!$P$2:$P$5000,Project_Activity!$C$2:$C$5000,$C45,Project_Activity!$U$2:$U$5000,"Recoverable",Project_Activity!$H$2:$H$5000,"&gt;="&amp;DATE(VALUE(LEFT($B45,4)),1,1),Project_Activity!$H$2:$H$5000,"&lt;="&amp;EOMONTH(DATE(VALUE(LEFT($B45,4)),VALUE(RIGHT($B45,1))*3,1),0)))</f>
        <v/>
      </c>
      <c r="U45" s="94" t="str">
        <f aca="false">IF($C45="","",-SUMIFS(Project_Activity!$P$2:$P$5000,Project_Activity!$C$2:$C$5000,$C45,Project_Activity!$U$2:$U$5000,"Recovered Expenses",Project_Activity!$H$2:$H$5000,"&gt;="&amp;DATE(VALUE(LEFT($B45,4)),1,1),Project_Activity!$H$2:$H$5000,"&lt;="&amp;EOMONTH(DATE(VALUE(LEFT($B45,4)),VALUE(RIGHT($B45,1))*3,1),0)))</f>
        <v/>
      </c>
      <c r="V45" s="145"/>
      <c r="W45" s="94" t="str">
        <f aca="false">IF($C45="","",$V45*$N45)</f>
        <v/>
      </c>
      <c r="X45" s="145"/>
      <c r="Y45" s="94" t="str">
        <f aca="false">IF($C45="","",$X45*$N45)</f>
        <v/>
      </c>
      <c r="Z45" s="145"/>
      <c r="AA45" s="94" t="str">
        <f aca="false">IF($C45="","",$Z45*$N45)</f>
        <v/>
      </c>
      <c r="AB45" s="145"/>
      <c r="AC45" s="94" t="str">
        <f aca="false">IF($C45="","",$AB45*$N45)</f>
        <v/>
      </c>
      <c r="AD45" s="94" t="str">
        <f aca="false">IF($C45="","",SUMPRODUCT((VALUE(MID($B45,7,1))&gt;={1,2,3,4})*CHOOSE({1,2,3,4},$W45,$Y45,$AA45,$AC45)))</f>
        <v/>
      </c>
      <c r="AE45" s="94" t="str">
        <f aca="false">IF($C45="","",$W45+$Y45+$AA45+$AC45-$AD45)</f>
        <v/>
      </c>
      <c r="AF45" s="146"/>
      <c r="AG45" s="146"/>
      <c r="AH45" s="146"/>
      <c r="AI45" s="147" t="str">
        <f aca="false">IF($C45="","",IF(OR($L45="Pipeline",$N45&lt;0,$O45&gt;$N45+1,($V45+$X45+$Z45+$AB45)&gt;1.0001,ISNUMBER(SEARCH("not signed",$AF45))),"REVIEW","OK"))</f>
        <v/>
      </c>
    </row>
    <row r="46" customFormat="false" ht="13.5" hidden="false" customHeight="false" outlineLevel="0" collapsed="false">
      <c r="A46" s="95" t="str">
        <f aca="false">IF($C46="","",Controls!$B$7)</f>
        <v/>
      </c>
      <c r="B46" s="95" t="str">
        <f aca="false">IF($C46="","",Controls!$B$30)</f>
        <v/>
      </c>
      <c r="C46" s="95" t="str">
        <f aca="false">IF(MM_Income!$A49="","",MM_Income!$A49)</f>
        <v/>
      </c>
      <c r="D46" s="95" t="str">
        <f aca="false">IF($C46="","",INDEX(MM_Income!$B$5:$B$204,MATCH($C46,MM_Income!$A$5:$A$204,0)))</f>
        <v/>
      </c>
      <c r="E46" s="95" t="str">
        <f aca="false">IF($C46="","",INDEX(MM_Income!$C$5:$C$204,MATCH($C46,MM_Income!$A$5:$A$204,0)))</f>
        <v/>
      </c>
      <c r="F46" s="95" t="str">
        <f aca="false">IF($C46="","",INDEX(MM_Income!$F$5:$F$204,MATCH($C46,MM_Income!$A$5:$A$204,0)))</f>
        <v/>
      </c>
      <c r="G46" s="95" t="str">
        <f aca="false">IF($C46="","",INDEX(MM_Income!$G$5:$G$204,MATCH($C46,MM_Income!$A$5:$A$204,0)))</f>
        <v/>
      </c>
      <c r="H46" s="95" t="str">
        <f aca="false">IF($C46="","",INDEX(MM_Income!$H$5:$H$204,MATCH($C46,MM_Income!$A$5:$A$204,0)))</f>
        <v/>
      </c>
      <c r="I46" s="95" t="str">
        <f aca="false">IF($C46="","",INDEX(MM_Income!$I$5:$I$204,MATCH($C46,MM_Income!$A$5:$A$204,0)))</f>
        <v/>
      </c>
      <c r="J46" s="95" t="str">
        <f aca="false">IF($C46="","",INDEX(MM_Income!$D$5:$D$204,MATCH($C46,MM_Income!$A$5:$A$204,0)))</f>
        <v/>
      </c>
      <c r="K46" s="95" t="str">
        <f aca="false">IF($C46="","",INDEX(MM_Income!$E$5:$E$204,MATCH($C46,MM_Income!$A$5:$A$204,0)))</f>
        <v/>
      </c>
      <c r="L46" s="95" t="str">
        <f aca="false">IF($C46="","",INDEX(MM_Income!$U$5:$U$204,MATCH($C46,MM_Income!$A$5:$A$204,0)))</f>
        <v/>
      </c>
      <c r="M46" s="143" t="str">
        <f aca="false">IF($C46="","",INDEX(MM_Income!$V$5:$V$204,MATCH($C46,MM_Income!$A$5:$A$204,0)))</f>
        <v/>
      </c>
      <c r="N46" s="144" t="str">
        <f aca="false">IF($C46="","",INDEX(MM_Income!$T$5:$T$204,MATCH($C46,MM_Income!$A$5:$A$204,0)))</f>
        <v/>
      </c>
      <c r="O46" s="94" t="str">
        <f aca="false">IF($C46="","",-SUMIFS(Project_Activity!$P$2:$P$5000,Project_Activity!$C$2:$C$5000,$C46,Project_Activity!$U$2:$U$5000,"Invoiced Income",Project_Activity!$H$2:$H$5000,"&gt;="&amp;DATE(VALUE(LEFT($B46,4)),1,1),Project_Activity!$H$2:$H$5000,"&lt;="&amp;EOMONTH(DATE(VALUE(LEFT($B46,4)),VALUE(RIGHT($B46,1))*3,1),0)))</f>
        <v/>
      </c>
      <c r="P46" s="94" t="str">
        <f aca="false">IF($C46="","",SUMIFS(Project_Activity!$P$2:$P$5000,Project_Activity!$C$2:$C$5000,$C46,Project_Activity!$U$2:$U$5000,"Subcontractor",Project_Activity!$H$2:$H$5000,"&gt;="&amp;DATE(VALUE(LEFT($B46,4)),1,1),Project_Activity!$H$2:$H$5000,"&lt;="&amp;EOMONTH(DATE(VALUE(LEFT($B46,4)),VALUE(RIGHT($B46,1))*3,1),0)))</f>
        <v/>
      </c>
      <c r="Q46" s="94" t="str">
        <f aca="false">IF($C46="","",SUMIFS(Project_Activity!$P$2:$P$5000,Project_Activity!$C$2:$C$5000,$C46,Project_Activity!$U$2:$U$5000,"Project Inclusive",Project_Activity!$H$2:$H$5000,"&gt;="&amp;DATE(VALUE(LEFT($B46,4)),1,1),Project_Activity!$H$2:$H$5000,"&lt;="&amp;EOMONTH(DATE(VALUE(LEFT($B46,4)),VALUE(RIGHT($B46,1))*3,1),0)))</f>
        <v/>
      </c>
      <c r="R46" s="94" t="str">
        <f aca="false">IF($C46="","",SUMIFS(Project_Activity!$P$2:$P$5000,Project_Activity!$C$2:$C$5000,$C46,Project_Activity!$U$2:$U$5000,"Non-Recoverable",Project_Activity!$H$2:$H$5000,"&gt;="&amp;DATE(VALUE(LEFT($B46,4)),1,1),Project_Activity!$H$2:$H$5000,"&lt;="&amp;EOMONTH(DATE(VALUE(LEFT($B46,4)),VALUE(RIGHT($B46,1))*3,1),0)))</f>
        <v/>
      </c>
      <c r="S46" s="94" t="str">
        <f aca="false">IF($C46="","",$O46-$P46-$Q46-$R46)</f>
        <v/>
      </c>
      <c r="T46" s="94" t="str">
        <f aca="false">IF($C46="","",SUMIFS(Project_Activity!$P$2:$P$5000,Project_Activity!$C$2:$C$5000,$C46,Project_Activity!$U$2:$U$5000,"Recoverable",Project_Activity!$H$2:$H$5000,"&gt;="&amp;DATE(VALUE(LEFT($B46,4)),1,1),Project_Activity!$H$2:$H$5000,"&lt;="&amp;EOMONTH(DATE(VALUE(LEFT($B46,4)),VALUE(RIGHT($B46,1))*3,1),0)))</f>
        <v/>
      </c>
      <c r="U46" s="94" t="str">
        <f aca="false">IF($C46="","",-SUMIFS(Project_Activity!$P$2:$P$5000,Project_Activity!$C$2:$C$5000,$C46,Project_Activity!$U$2:$U$5000,"Recovered Expenses",Project_Activity!$H$2:$H$5000,"&gt;="&amp;DATE(VALUE(LEFT($B46,4)),1,1),Project_Activity!$H$2:$H$5000,"&lt;="&amp;EOMONTH(DATE(VALUE(LEFT($B46,4)),VALUE(RIGHT($B46,1))*3,1),0)))</f>
        <v/>
      </c>
      <c r="V46" s="145"/>
      <c r="W46" s="94" t="str">
        <f aca="false">IF($C46="","",$V46*$N46)</f>
        <v/>
      </c>
      <c r="X46" s="145"/>
      <c r="Y46" s="94" t="str">
        <f aca="false">IF($C46="","",$X46*$N46)</f>
        <v/>
      </c>
      <c r="Z46" s="145"/>
      <c r="AA46" s="94" t="str">
        <f aca="false">IF($C46="","",$Z46*$N46)</f>
        <v/>
      </c>
      <c r="AB46" s="145"/>
      <c r="AC46" s="94" t="str">
        <f aca="false">IF($C46="","",$AB46*$N46)</f>
        <v/>
      </c>
      <c r="AD46" s="94" t="str">
        <f aca="false">IF($C46="","",SUMPRODUCT((VALUE(MID($B46,7,1))&gt;={1,2,3,4})*CHOOSE({1,2,3,4},$W46,$Y46,$AA46,$AC46)))</f>
        <v/>
      </c>
      <c r="AE46" s="94" t="str">
        <f aca="false">IF($C46="","",$W46+$Y46+$AA46+$AC46-$AD46)</f>
        <v/>
      </c>
      <c r="AF46" s="146"/>
      <c r="AG46" s="146"/>
      <c r="AH46" s="146"/>
      <c r="AI46" s="147" t="str">
        <f aca="false">IF($C46="","",IF(OR($L46="Pipeline",$N46&lt;0,$O46&gt;$N46+1,($V46+$X46+$Z46+$AB46)&gt;1.0001,ISNUMBER(SEARCH("not signed",$AF46))),"REVIEW","OK"))</f>
        <v/>
      </c>
    </row>
    <row r="47" customFormat="false" ht="13.5" hidden="false" customHeight="false" outlineLevel="0" collapsed="false">
      <c r="A47" s="95" t="str">
        <f aca="false">IF($C47="","",Controls!$B$7)</f>
        <v/>
      </c>
      <c r="B47" s="95" t="str">
        <f aca="false">IF($C47="","",Controls!$B$30)</f>
        <v/>
      </c>
      <c r="C47" s="95" t="str">
        <f aca="false">IF(MM_Income!$A50="","",MM_Income!$A50)</f>
        <v/>
      </c>
      <c r="D47" s="95" t="str">
        <f aca="false">IF($C47="","",INDEX(MM_Income!$B$5:$B$204,MATCH($C47,MM_Income!$A$5:$A$204,0)))</f>
        <v/>
      </c>
      <c r="E47" s="95" t="str">
        <f aca="false">IF($C47="","",INDEX(MM_Income!$C$5:$C$204,MATCH($C47,MM_Income!$A$5:$A$204,0)))</f>
        <v/>
      </c>
      <c r="F47" s="95" t="str">
        <f aca="false">IF($C47="","",INDEX(MM_Income!$F$5:$F$204,MATCH($C47,MM_Income!$A$5:$A$204,0)))</f>
        <v/>
      </c>
      <c r="G47" s="95" t="str">
        <f aca="false">IF($C47="","",INDEX(MM_Income!$G$5:$G$204,MATCH($C47,MM_Income!$A$5:$A$204,0)))</f>
        <v/>
      </c>
      <c r="H47" s="95" t="str">
        <f aca="false">IF($C47="","",INDEX(MM_Income!$H$5:$H$204,MATCH($C47,MM_Income!$A$5:$A$204,0)))</f>
        <v/>
      </c>
      <c r="I47" s="95" t="str">
        <f aca="false">IF($C47="","",INDEX(MM_Income!$I$5:$I$204,MATCH($C47,MM_Income!$A$5:$A$204,0)))</f>
        <v/>
      </c>
      <c r="J47" s="95" t="str">
        <f aca="false">IF($C47="","",INDEX(MM_Income!$D$5:$D$204,MATCH($C47,MM_Income!$A$5:$A$204,0)))</f>
        <v/>
      </c>
      <c r="K47" s="95" t="str">
        <f aca="false">IF($C47="","",INDEX(MM_Income!$E$5:$E$204,MATCH($C47,MM_Income!$A$5:$A$204,0)))</f>
        <v/>
      </c>
      <c r="L47" s="95" t="str">
        <f aca="false">IF($C47="","",INDEX(MM_Income!$U$5:$U$204,MATCH($C47,MM_Income!$A$5:$A$204,0)))</f>
        <v/>
      </c>
      <c r="M47" s="143" t="str">
        <f aca="false">IF($C47="","",INDEX(MM_Income!$V$5:$V$204,MATCH($C47,MM_Income!$A$5:$A$204,0)))</f>
        <v/>
      </c>
      <c r="N47" s="144" t="str">
        <f aca="false">IF($C47="","",INDEX(MM_Income!$T$5:$T$204,MATCH($C47,MM_Income!$A$5:$A$204,0)))</f>
        <v/>
      </c>
      <c r="O47" s="94" t="str">
        <f aca="false">IF($C47="","",-SUMIFS(Project_Activity!$P$2:$P$5000,Project_Activity!$C$2:$C$5000,$C47,Project_Activity!$U$2:$U$5000,"Invoiced Income",Project_Activity!$H$2:$H$5000,"&gt;="&amp;DATE(VALUE(LEFT($B47,4)),1,1),Project_Activity!$H$2:$H$5000,"&lt;="&amp;EOMONTH(DATE(VALUE(LEFT($B47,4)),VALUE(RIGHT($B47,1))*3,1),0)))</f>
        <v/>
      </c>
      <c r="P47" s="94" t="str">
        <f aca="false">IF($C47="","",SUMIFS(Project_Activity!$P$2:$P$5000,Project_Activity!$C$2:$C$5000,$C47,Project_Activity!$U$2:$U$5000,"Subcontractor",Project_Activity!$H$2:$H$5000,"&gt;="&amp;DATE(VALUE(LEFT($B47,4)),1,1),Project_Activity!$H$2:$H$5000,"&lt;="&amp;EOMONTH(DATE(VALUE(LEFT($B47,4)),VALUE(RIGHT($B47,1))*3,1),0)))</f>
        <v/>
      </c>
      <c r="Q47" s="94" t="str">
        <f aca="false">IF($C47="","",SUMIFS(Project_Activity!$P$2:$P$5000,Project_Activity!$C$2:$C$5000,$C47,Project_Activity!$U$2:$U$5000,"Project Inclusive",Project_Activity!$H$2:$H$5000,"&gt;="&amp;DATE(VALUE(LEFT($B47,4)),1,1),Project_Activity!$H$2:$H$5000,"&lt;="&amp;EOMONTH(DATE(VALUE(LEFT($B47,4)),VALUE(RIGHT($B47,1))*3,1),0)))</f>
        <v/>
      </c>
      <c r="R47" s="94" t="str">
        <f aca="false">IF($C47="","",SUMIFS(Project_Activity!$P$2:$P$5000,Project_Activity!$C$2:$C$5000,$C47,Project_Activity!$U$2:$U$5000,"Non-Recoverable",Project_Activity!$H$2:$H$5000,"&gt;="&amp;DATE(VALUE(LEFT($B47,4)),1,1),Project_Activity!$H$2:$H$5000,"&lt;="&amp;EOMONTH(DATE(VALUE(LEFT($B47,4)),VALUE(RIGHT($B47,1))*3,1),0)))</f>
        <v/>
      </c>
      <c r="S47" s="94" t="str">
        <f aca="false">IF($C47="","",$O47-$P47-$Q47-$R47)</f>
        <v/>
      </c>
      <c r="T47" s="94" t="str">
        <f aca="false">IF($C47="","",SUMIFS(Project_Activity!$P$2:$P$5000,Project_Activity!$C$2:$C$5000,$C47,Project_Activity!$U$2:$U$5000,"Recoverable",Project_Activity!$H$2:$H$5000,"&gt;="&amp;DATE(VALUE(LEFT($B47,4)),1,1),Project_Activity!$H$2:$H$5000,"&lt;="&amp;EOMONTH(DATE(VALUE(LEFT($B47,4)),VALUE(RIGHT($B47,1))*3,1),0)))</f>
        <v/>
      </c>
      <c r="U47" s="94" t="str">
        <f aca="false">IF($C47="","",-SUMIFS(Project_Activity!$P$2:$P$5000,Project_Activity!$C$2:$C$5000,$C47,Project_Activity!$U$2:$U$5000,"Recovered Expenses",Project_Activity!$H$2:$H$5000,"&gt;="&amp;DATE(VALUE(LEFT($B47,4)),1,1),Project_Activity!$H$2:$H$5000,"&lt;="&amp;EOMONTH(DATE(VALUE(LEFT($B47,4)),VALUE(RIGHT($B47,1))*3,1),0)))</f>
        <v/>
      </c>
      <c r="V47" s="145"/>
      <c r="W47" s="94" t="str">
        <f aca="false">IF($C47="","",$V47*$N47)</f>
        <v/>
      </c>
      <c r="X47" s="145"/>
      <c r="Y47" s="94" t="str">
        <f aca="false">IF($C47="","",$X47*$N47)</f>
        <v/>
      </c>
      <c r="Z47" s="145"/>
      <c r="AA47" s="94" t="str">
        <f aca="false">IF($C47="","",$Z47*$N47)</f>
        <v/>
      </c>
      <c r="AB47" s="145"/>
      <c r="AC47" s="94" t="str">
        <f aca="false">IF($C47="","",$AB47*$N47)</f>
        <v/>
      </c>
      <c r="AD47" s="94" t="str">
        <f aca="false">IF($C47="","",SUMPRODUCT((VALUE(MID($B47,7,1))&gt;={1,2,3,4})*CHOOSE({1,2,3,4},$W47,$Y47,$AA47,$AC47)))</f>
        <v/>
      </c>
      <c r="AE47" s="94" t="str">
        <f aca="false">IF($C47="","",$W47+$Y47+$AA47+$AC47-$AD47)</f>
        <v/>
      </c>
      <c r="AF47" s="146"/>
      <c r="AG47" s="146"/>
      <c r="AH47" s="146"/>
      <c r="AI47" s="147" t="str">
        <f aca="false">IF($C47="","",IF(OR($L47="Pipeline",$N47&lt;0,$O47&gt;$N47+1,($V47+$X47+$Z47+$AB47)&gt;1.0001,ISNUMBER(SEARCH("not signed",$AF47))),"REVIEW","OK"))</f>
        <v/>
      </c>
    </row>
    <row r="48" customFormat="false" ht="13.5" hidden="false" customHeight="false" outlineLevel="0" collapsed="false">
      <c r="A48" s="95" t="str">
        <f aca="false">IF($C48="","",Controls!$B$7)</f>
        <v/>
      </c>
      <c r="B48" s="95" t="str">
        <f aca="false">IF($C48="","",Controls!$B$30)</f>
        <v/>
      </c>
      <c r="C48" s="95" t="str">
        <f aca="false">IF(MM_Income!$A51="","",MM_Income!$A51)</f>
        <v/>
      </c>
      <c r="D48" s="95" t="str">
        <f aca="false">IF($C48="","",INDEX(MM_Income!$B$5:$B$204,MATCH($C48,MM_Income!$A$5:$A$204,0)))</f>
        <v/>
      </c>
      <c r="E48" s="95" t="str">
        <f aca="false">IF($C48="","",INDEX(MM_Income!$C$5:$C$204,MATCH($C48,MM_Income!$A$5:$A$204,0)))</f>
        <v/>
      </c>
      <c r="F48" s="95" t="str">
        <f aca="false">IF($C48="","",INDEX(MM_Income!$F$5:$F$204,MATCH($C48,MM_Income!$A$5:$A$204,0)))</f>
        <v/>
      </c>
      <c r="G48" s="95" t="str">
        <f aca="false">IF($C48="","",INDEX(MM_Income!$G$5:$G$204,MATCH($C48,MM_Income!$A$5:$A$204,0)))</f>
        <v/>
      </c>
      <c r="H48" s="95" t="str">
        <f aca="false">IF($C48="","",INDEX(MM_Income!$H$5:$H$204,MATCH($C48,MM_Income!$A$5:$A$204,0)))</f>
        <v/>
      </c>
      <c r="I48" s="95" t="str">
        <f aca="false">IF($C48="","",INDEX(MM_Income!$I$5:$I$204,MATCH($C48,MM_Income!$A$5:$A$204,0)))</f>
        <v/>
      </c>
      <c r="J48" s="95" t="str">
        <f aca="false">IF($C48="","",INDEX(MM_Income!$D$5:$D$204,MATCH($C48,MM_Income!$A$5:$A$204,0)))</f>
        <v/>
      </c>
      <c r="K48" s="95" t="str">
        <f aca="false">IF($C48="","",INDEX(MM_Income!$E$5:$E$204,MATCH($C48,MM_Income!$A$5:$A$204,0)))</f>
        <v/>
      </c>
      <c r="L48" s="95" t="str">
        <f aca="false">IF($C48="","",INDEX(MM_Income!$U$5:$U$204,MATCH($C48,MM_Income!$A$5:$A$204,0)))</f>
        <v/>
      </c>
      <c r="M48" s="143" t="str">
        <f aca="false">IF($C48="","",INDEX(MM_Income!$V$5:$V$204,MATCH($C48,MM_Income!$A$5:$A$204,0)))</f>
        <v/>
      </c>
      <c r="N48" s="144" t="str">
        <f aca="false">IF($C48="","",INDEX(MM_Income!$T$5:$T$204,MATCH($C48,MM_Income!$A$5:$A$204,0)))</f>
        <v/>
      </c>
      <c r="O48" s="94" t="str">
        <f aca="false">IF($C48="","",-SUMIFS(Project_Activity!$P$2:$P$5000,Project_Activity!$C$2:$C$5000,$C48,Project_Activity!$U$2:$U$5000,"Invoiced Income",Project_Activity!$H$2:$H$5000,"&gt;="&amp;DATE(VALUE(LEFT($B48,4)),1,1),Project_Activity!$H$2:$H$5000,"&lt;="&amp;EOMONTH(DATE(VALUE(LEFT($B48,4)),VALUE(RIGHT($B48,1))*3,1),0)))</f>
        <v/>
      </c>
      <c r="P48" s="94" t="str">
        <f aca="false">IF($C48="","",SUMIFS(Project_Activity!$P$2:$P$5000,Project_Activity!$C$2:$C$5000,$C48,Project_Activity!$U$2:$U$5000,"Subcontractor",Project_Activity!$H$2:$H$5000,"&gt;="&amp;DATE(VALUE(LEFT($B48,4)),1,1),Project_Activity!$H$2:$H$5000,"&lt;="&amp;EOMONTH(DATE(VALUE(LEFT($B48,4)),VALUE(RIGHT($B48,1))*3,1),0)))</f>
        <v/>
      </c>
      <c r="Q48" s="94" t="str">
        <f aca="false">IF($C48="","",SUMIFS(Project_Activity!$P$2:$P$5000,Project_Activity!$C$2:$C$5000,$C48,Project_Activity!$U$2:$U$5000,"Project Inclusive",Project_Activity!$H$2:$H$5000,"&gt;="&amp;DATE(VALUE(LEFT($B48,4)),1,1),Project_Activity!$H$2:$H$5000,"&lt;="&amp;EOMONTH(DATE(VALUE(LEFT($B48,4)),VALUE(RIGHT($B48,1))*3,1),0)))</f>
        <v/>
      </c>
      <c r="R48" s="94" t="str">
        <f aca="false">IF($C48="","",SUMIFS(Project_Activity!$P$2:$P$5000,Project_Activity!$C$2:$C$5000,$C48,Project_Activity!$U$2:$U$5000,"Non-Recoverable",Project_Activity!$H$2:$H$5000,"&gt;="&amp;DATE(VALUE(LEFT($B48,4)),1,1),Project_Activity!$H$2:$H$5000,"&lt;="&amp;EOMONTH(DATE(VALUE(LEFT($B48,4)),VALUE(RIGHT($B48,1))*3,1),0)))</f>
        <v/>
      </c>
      <c r="S48" s="94" t="str">
        <f aca="false">IF($C48="","",$O48-$P48-$Q48-$R48)</f>
        <v/>
      </c>
      <c r="T48" s="94" t="str">
        <f aca="false">IF($C48="","",SUMIFS(Project_Activity!$P$2:$P$5000,Project_Activity!$C$2:$C$5000,$C48,Project_Activity!$U$2:$U$5000,"Recoverable",Project_Activity!$H$2:$H$5000,"&gt;="&amp;DATE(VALUE(LEFT($B48,4)),1,1),Project_Activity!$H$2:$H$5000,"&lt;="&amp;EOMONTH(DATE(VALUE(LEFT($B48,4)),VALUE(RIGHT($B48,1))*3,1),0)))</f>
        <v/>
      </c>
      <c r="U48" s="94" t="str">
        <f aca="false">IF($C48="","",-SUMIFS(Project_Activity!$P$2:$P$5000,Project_Activity!$C$2:$C$5000,$C48,Project_Activity!$U$2:$U$5000,"Recovered Expenses",Project_Activity!$H$2:$H$5000,"&gt;="&amp;DATE(VALUE(LEFT($B48,4)),1,1),Project_Activity!$H$2:$H$5000,"&lt;="&amp;EOMONTH(DATE(VALUE(LEFT($B48,4)),VALUE(RIGHT($B48,1))*3,1),0)))</f>
        <v/>
      </c>
      <c r="V48" s="145"/>
      <c r="W48" s="94" t="str">
        <f aca="false">IF($C48="","",$V48*$N48)</f>
        <v/>
      </c>
      <c r="X48" s="145"/>
      <c r="Y48" s="94" t="str">
        <f aca="false">IF($C48="","",$X48*$N48)</f>
        <v/>
      </c>
      <c r="Z48" s="145"/>
      <c r="AA48" s="94" t="str">
        <f aca="false">IF($C48="","",$Z48*$N48)</f>
        <v/>
      </c>
      <c r="AB48" s="145"/>
      <c r="AC48" s="94" t="str">
        <f aca="false">IF($C48="","",$AB48*$N48)</f>
        <v/>
      </c>
      <c r="AD48" s="94" t="str">
        <f aca="false">IF($C48="","",SUMPRODUCT((VALUE(MID($B48,7,1))&gt;={1,2,3,4})*CHOOSE({1,2,3,4},$W48,$Y48,$AA48,$AC48)))</f>
        <v/>
      </c>
      <c r="AE48" s="94" t="str">
        <f aca="false">IF($C48="","",$W48+$Y48+$AA48+$AC48-$AD48)</f>
        <v/>
      </c>
      <c r="AF48" s="146"/>
      <c r="AG48" s="146"/>
      <c r="AH48" s="146"/>
      <c r="AI48" s="147" t="str">
        <f aca="false">IF($C48="","",IF(OR($L48="Pipeline",$N48&lt;0,$O48&gt;$N48+1,($V48+$X48+$Z48+$AB48)&gt;1.0001,ISNUMBER(SEARCH("not signed",$AF48))),"REVIEW","OK"))</f>
        <v/>
      </c>
    </row>
    <row r="49" customFormat="false" ht="13.5" hidden="false" customHeight="false" outlineLevel="0" collapsed="false">
      <c r="A49" s="95" t="str">
        <f aca="false">IF($C49="","",Controls!$B$7)</f>
        <v/>
      </c>
      <c r="B49" s="95" t="str">
        <f aca="false">IF($C49="","",Controls!$B$30)</f>
        <v/>
      </c>
      <c r="C49" s="95" t="str">
        <f aca="false">IF(MM_Income!$A52="","",MM_Income!$A52)</f>
        <v/>
      </c>
      <c r="D49" s="95" t="str">
        <f aca="false">IF($C49="","",INDEX(MM_Income!$B$5:$B$204,MATCH($C49,MM_Income!$A$5:$A$204,0)))</f>
        <v/>
      </c>
      <c r="E49" s="95" t="str">
        <f aca="false">IF($C49="","",INDEX(MM_Income!$C$5:$C$204,MATCH($C49,MM_Income!$A$5:$A$204,0)))</f>
        <v/>
      </c>
      <c r="F49" s="95" t="str">
        <f aca="false">IF($C49="","",INDEX(MM_Income!$F$5:$F$204,MATCH($C49,MM_Income!$A$5:$A$204,0)))</f>
        <v/>
      </c>
      <c r="G49" s="95" t="str">
        <f aca="false">IF($C49="","",INDEX(MM_Income!$G$5:$G$204,MATCH($C49,MM_Income!$A$5:$A$204,0)))</f>
        <v/>
      </c>
      <c r="H49" s="95" t="str">
        <f aca="false">IF($C49="","",INDEX(MM_Income!$H$5:$H$204,MATCH($C49,MM_Income!$A$5:$A$204,0)))</f>
        <v/>
      </c>
      <c r="I49" s="95" t="str">
        <f aca="false">IF($C49="","",INDEX(MM_Income!$I$5:$I$204,MATCH($C49,MM_Income!$A$5:$A$204,0)))</f>
        <v/>
      </c>
      <c r="J49" s="95" t="str">
        <f aca="false">IF($C49="","",INDEX(MM_Income!$D$5:$D$204,MATCH($C49,MM_Income!$A$5:$A$204,0)))</f>
        <v/>
      </c>
      <c r="K49" s="95" t="str">
        <f aca="false">IF($C49="","",INDEX(MM_Income!$E$5:$E$204,MATCH($C49,MM_Income!$A$5:$A$204,0)))</f>
        <v/>
      </c>
      <c r="L49" s="95" t="str">
        <f aca="false">IF($C49="","",INDEX(MM_Income!$U$5:$U$204,MATCH($C49,MM_Income!$A$5:$A$204,0)))</f>
        <v/>
      </c>
      <c r="M49" s="143" t="str">
        <f aca="false">IF($C49="","",INDEX(MM_Income!$V$5:$V$204,MATCH($C49,MM_Income!$A$5:$A$204,0)))</f>
        <v/>
      </c>
      <c r="N49" s="144" t="str">
        <f aca="false">IF($C49="","",INDEX(MM_Income!$T$5:$T$204,MATCH($C49,MM_Income!$A$5:$A$204,0)))</f>
        <v/>
      </c>
      <c r="O49" s="94" t="str">
        <f aca="false">IF($C49="","",-SUMIFS(Project_Activity!$P$2:$P$5000,Project_Activity!$C$2:$C$5000,$C49,Project_Activity!$U$2:$U$5000,"Invoiced Income",Project_Activity!$H$2:$H$5000,"&gt;="&amp;DATE(VALUE(LEFT($B49,4)),1,1),Project_Activity!$H$2:$H$5000,"&lt;="&amp;EOMONTH(DATE(VALUE(LEFT($B49,4)),VALUE(RIGHT($B49,1))*3,1),0)))</f>
        <v/>
      </c>
      <c r="P49" s="94" t="str">
        <f aca="false">IF($C49="","",SUMIFS(Project_Activity!$P$2:$P$5000,Project_Activity!$C$2:$C$5000,$C49,Project_Activity!$U$2:$U$5000,"Subcontractor",Project_Activity!$H$2:$H$5000,"&gt;="&amp;DATE(VALUE(LEFT($B49,4)),1,1),Project_Activity!$H$2:$H$5000,"&lt;="&amp;EOMONTH(DATE(VALUE(LEFT($B49,4)),VALUE(RIGHT($B49,1))*3,1),0)))</f>
        <v/>
      </c>
      <c r="Q49" s="94" t="str">
        <f aca="false">IF($C49="","",SUMIFS(Project_Activity!$P$2:$P$5000,Project_Activity!$C$2:$C$5000,$C49,Project_Activity!$U$2:$U$5000,"Project Inclusive",Project_Activity!$H$2:$H$5000,"&gt;="&amp;DATE(VALUE(LEFT($B49,4)),1,1),Project_Activity!$H$2:$H$5000,"&lt;="&amp;EOMONTH(DATE(VALUE(LEFT($B49,4)),VALUE(RIGHT($B49,1))*3,1),0)))</f>
        <v/>
      </c>
      <c r="R49" s="94" t="str">
        <f aca="false">IF($C49="","",SUMIFS(Project_Activity!$P$2:$P$5000,Project_Activity!$C$2:$C$5000,$C49,Project_Activity!$U$2:$U$5000,"Non-Recoverable",Project_Activity!$H$2:$H$5000,"&gt;="&amp;DATE(VALUE(LEFT($B49,4)),1,1),Project_Activity!$H$2:$H$5000,"&lt;="&amp;EOMONTH(DATE(VALUE(LEFT($B49,4)),VALUE(RIGHT($B49,1))*3,1),0)))</f>
        <v/>
      </c>
      <c r="S49" s="94" t="str">
        <f aca="false">IF($C49="","",$O49-$P49-$Q49-$R49)</f>
        <v/>
      </c>
      <c r="T49" s="94" t="str">
        <f aca="false">IF($C49="","",SUMIFS(Project_Activity!$P$2:$P$5000,Project_Activity!$C$2:$C$5000,$C49,Project_Activity!$U$2:$U$5000,"Recoverable",Project_Activity!$H$2:$H$5000,"&gt;="&amp;DATE(VALUE(LEFT($B49,4)),1,1),Project_Activity!$H$2:$H$5000,"&lt;="&amp;EOMONTH(DATE(VALUE(LEFT($B49,4)),VALUE(RIGHT($B49,1))*3,1),0)))</f>
        <v/>
      </c>
      <c r="U49" s="94" t="str">
        <f aca="false">IF($C49="","",-SUMIFS(Project_Activity!$P$2:$P$5000,Project_Activity!$C$2:$C$5000,$C49,Project_Activity!$U$2:$U$5000,"Recovered Expenses",Project_Activity!$H$2:$H$5000,"&gt;="&amp;DATE(VALUE(LEFT($B49,4)),1,1),Project_Activity!$H$2:$H$5000,"&lt;="&amp;EOMONTH(DATE(VALUE(LEFT($B49,4)),VALUE(RIGHT($B49,1))*3,1),0)))</f>
        <v/>
      </c>
      <c r="V49" s="145"/>
      <c r="W49" s="94" t="str">
        <f aca="false">IF($C49="","",$V49*$N49)</f>
        <v/>
      </c>
      <c r="X49" s="145"/>
      <c r="Y49" s="94" t="str">
        <f aca="false">IF($C49="","",$X49*$N49)</f>
        <v/>
      </c>
      <c r="Z49" s="145"/>
      <c r="AA49" s="94" t="str">
        <f aca="false">IF($C49="","",$Z49*$N49)</f>
        <v/>
      </c>
      <c r="AB49" s="145"/>
      <c r="AC49" s="94" t="str">
        <f aca="false">IF($C49="","",$AB49*$N49)</f>
        <v/>
      </c>
      <c r="AD49" s="94" t="str">
        <f aca="false">IF($C49="","",SUMPRODUCT((VALUE(MID($B49,7,1))&gt;={1,2,3,4})*CHOOSE({1,2,3,4},$W49,$Y49,$AA49,$AC49)))</f>
        <v/>
      </c>
      <c r="AE49" s="94" t="str">
        <f aca="false">IF($C49="","",$W49+$Y49+$AA49+$AC49-$AD49)</f>
        <v/>
      </c>
      <c r="AF49" s="146"/>
      <c r="AG49" s="146"/>
      <c r="AH49" s="146"/>
      <c r="AI49" s="147" t="str">
        <f aca="false">IF($C49="","",IF(OR($L49="Pipeline",$N49&lt;0,$O49&gt;$N49+1,($V49+$X49+$Z49+$AB49)&gt;1.0001,ISNUMBER(SEARCH("not signed",$AF49))),"REVIEW","OK"))</f>
        <v/>
      </c>
    </row>
    <row r="50" customFormat="false" ht="13.5" hidden="false" customHeight="false" outlineLevel="0" collapsed="false">
      <c r="A50" s="95" t="str">
        <f aca="false">IF($C50="","",Controls!$B$7)</f>
        <v/>
      </c>
      <c r="B50" s="95" t="str">
        <f aca="false">IF($C50="","",Controls!$B$30)</f>
        <v/>
      </c>
      <c r="C50" s="95" t="str">
        <f aca="false">IF(MM_Income!$A53="","",MM_Income!$A53)</f>
        <v/>
      </c>
      <c r="D50" s="95" t="str">
        <f aca="false">IF($C50="","",INDEX(MM_Income!$B$5:$B$204,MATCH($C50,MM_Income!$A$5:$A$204,0)))</f>
        <v/>
      </c>
      <c r="E50" s="95" t="str">
        <f aca="false">IF($C50="","",INDEX(MM_Income!$C$5:$C$204,MATCH($C50,MM_Income!$A$5:$A$204,0)))</f>
        <v/>
      </c>
      <c r="F50" s="95" t="str">
        <f aca="false">IF($C50="","",INDEX(MM_Income!$F$5:$F$204,MATCH($C50,MM_Income!$A$5:$A$204,0)))</f>
        <v/>
      </c>
      <c r="G50" s="95" t="str">
        <f aca="false">IF($C50="","",INDEX(MM_Income!$G$5:$G$204,MATCH($C50,MM_Income!$A$5:$A$204,0)))</f>
        <v/>
      </c>
      <c r="H50" s="95" t="str">
        <f aca="false">IF($C50="","",INDEX(MM_Income!$H$5:$H$204,MATCH($C50,MM_Income!$A$5:$A$204,0)))</f>
        <v/>
      </c>
      <c r="I50" s="95" t="str">
        <f aca="false">IF($C50="","",INDEX(MM_Income!$I$5:$I$204,MATCH($C50,MM_Income!$A$5:$A$204,0)))</f>
        <v/>
      </c>
      <c r="J50" s="95" t="str">
        <f aca="false">IF($C50="","",INDEX(MM_Income!$D$5:$D$204,MATCH($C50,MM_Income!$A$5:$A$204,0)))</f>
        <v/>
      </c>
      <c r="K50" s="95" t="str">
        <f aca="false">IF($C50="","",INDEX(MM_Income!$E$5:$E$204,MATCH($C50,MM_Income!$A$5:$A$204,0)))</f>
        <v/>
      </c>
      <c r="L50" s="95" t="str">
        <f aca="false">IF($C50="","",INDEX(MM_Income!$U$5:$U$204,MATCH($C50,MM_Income!$A$5:$A$204,0)))</f>
        <v/>
      </c>
      <c r="M50" s="143" t="str">
        <f aca="false">IF($C50="","",INDEX(MM_Income!$V$5:$V$204,MATCH($C50,MM_Income!$A$5:$A$204,0)))</f>
        <v/>
      </c>
      <c r="N50" s="144" t="str">
        <f aca="false">IF($C50="","",INDEX(MM_Income!$T$5:$T$204,MATCH($C50,MM_Income!$A$5:$A$204,0)))</f>
        <v/>
      </c>
      <c r="O50" s="94" t="str">
        <f aca="false">IF($C50="","",-SUMIFS(Project_Activity!$P$2:$P$5000,Project_Activity!$C$2:$C$5000,$C50,Project_Activity!$U$2:$U$5000,"Invoiced Income",Project_Activity!$H$2:$H$5000,"&gt;="&amp;DATE(VALUE(LEFT($B50,4)),1,1),Project_Activity!$H$2:$H$5000,"&lt;="&amp;EOMONTH(DATE(VALUE(LEFT($B50,4)),VALUE(RIGHT($B50,1))*3,1),0)))</f>
        <v/>
      </c>
      <c r="P50" s="94" t="str">
        <f aca="false">IF($C50="","",SUMIFS(Project_Activity!$P$2:$P$5000,Project_Activity!$C$2:$C$5000,$C50,Project_Activity!$U$2:$U$5000,"Subcontractor",Project_Activity!$H$2:$H$5000,"&gt;="&amp;DATE(VALUE(LEFT($B50,4)),1,1),Project_Activity!$H$2:$H$5000,"&lt;="&amp;EOMONTH(DATE(VALUE(LEFT($B50,4)),VALUE(RIGHT($B50,1))*3,1),0)))</f>
        <v/>
      </c>
      <c r="Q50" s="94" t="str">
        <f aca="false">IF($C50="","",SUMIFS(Project_Activity!$P$2:$P$5000,Project_Activity!$C$2:$C$5000,$C50,Project_Activity!$U$2:$U$5000,"Project Inclusive",Project_Activity!$H$2:$H$5000,"&gt;="&amp;DATE(VALUE(LEFT($B50,4)),1,1),Project_Activity!$H$2:$H$5000,"&lt;="&amp;EOMONTH(DATE(VALUE(LEFT($B50,4)),VALUE(RIGHT($B50,1))*3,1),0)))</f>
        <v/>
      </c>
      <c r="R50" s="94" t="str">
        <f aca="false">IF($C50="","",SUMIFS(Project_Activity!$P$2:$P$5000,Project_Activity!$C$2:$C$5000,$C50,Project_Activity!$U$2:$U$5000,"Non-Recoverable",Project_Activity!$H$2:$H$5000,"&gt;="&amp;DATE(VALUE(LEFT($B50,4)),1,1),Project_Activity!$H$2:$H$5000,"&lt;="&amp;EOMONTH(DATE(VALUE(LEFT($B50,4)),VALUE(RIGHT($B50,1))*3,1),0)))</f>
        <v/>
      </c>
      <c r="S50" s="94" t="str">
        <f aca="false">IF($C50="","",$O50-$P50-$Q50-$R50)</f>
        <v/>
      </c>
      <c r="T50" s="94" t="str">
        <f aca="false">IF($C50="","",SUMIFS(Project_Activity!$P$2:$P$5000,Project_Activity!$C$2:$C$5000,$C50,Project_Activity!$U$2:$U$5000,"Recoverable",Project_Activity!$H$2:$H$5000,"&gt;="&amp;DATE(VALUE(LEFT($B50,4)),1,1),Project_Activity!$H$2:$H$5000,"&lt;="&amp;EOMONTH(DATE(VALUE(LEFT($B50,4)),VALUE(RIGHT($B50,1))*3,1),0)))</f>
        <v/>
      </c>
      <c r="U50" s="94" t="str">
        <f aca="false">IF($C50="","",-SUMIFS(Project_Activity!$P$2:$P$5000,Project_Activity!$C$2:$C$5000,$C50,Project_Activity!$U$2:$U$5000,"Recovered Expenses",Project_Activity!$H$2:$H$5000,"&gt;="&amp;DATE(VALUE(LEFT($B50,4)),1,1),Project_Activity!$H$2:$H$5000,"&lt;="&amp;EOMONTH(DATE(VALUE(LEFT($B50,4)),VALUE(RIGHT($B50,1))*3,1),0)))</f>
        <v/>
      </c>
      <c r="V50" s="145"/>
      <c r="W50" s="94" t="str">
        <f aca="false">IF($C50="","",$V50*$N50)</f>
        <v/>
      </c>
      <c r="X50" s="145"/>
      <c r="Y50" s="94" t="str">
        <f aca="false">IF($C50="","",$X50*$N50)</f>
        <v/>
      </c>
      <c r="Z50" s="145"/>
      <c r="AA50" s="94" t="str">
        <f aca="false">IF($C50="","",$Z50*$N50)</f>
        <v/>
      </c>
      <c r="AB50" s="145"/>
      <c r="AC50" s="94" t="str">
        <f aca="false">IF($C50="","",$AB50*$N50)</f>
        <v/>
      </c>
      <c r="AD50" s="94" t="str">
        <f aca="false">IF($C50="","",SUMPRODUCT((VALUE(MID($B50,7,1))&gt;={1,2,3,4})*CHOOSE({1,2,3,4},$W50,$Y50,$AA50,$AC50)))</f>
        <v/>
      </c>
      <c r="AE50" s="94" t="str">
        <f aca="false">IF($C50="","",$W50+$Y50+$AA50+$AC50-$AD50)</f>
        <v/>
      </c>
      <c r="AF50" s="146"/>
      <c r="AG50" s="146"/>
      <c r="AH50" s="146"/>
      <c r="AI50" s="147" t="str">
        <f aca="false">IF($C50="","",IF(OR($L50="Pipeline",$N50&lt;0,$O50&gt;$N50+1,($V50+$X50+$Z50+$AB50)&gt;1.0001,ISNUMBER(SEARCH("not signed",$AF50))),"REVIEW","OK"))</f>
        <v/>
      </c>
    </row>
    <row r="51" customFormat="false" ht="13.5" hidden="false" customHeight="false" outlineLevel="0" collapsed="false">
      <c r="A51" s="95" t="str">
        <f aca="false">IF($C51="","",Controls!$B$7)</f>
        <v/>
      </c>
      <c r="B51" s="95" t="str">
        <f aca="false">IF($C51="","",Controls!$B$30)</f>
        <v/>
      </c>
      <c r="C51" s="95" t="str">
        <f aca="false">IF(MM_Income!$A54="","",MM_Income!$A54)</f>
        <v/>
      </c>
      <c r="D51" s="95" t="str">
        <f aca="false">IF($C51="","",INDEX(MM_Income!$B$5:$B$204,MATCH($C51,MM_Income!$A$5:$A$204,0)))</f>
        <v/>
      </c>
      <c r="E51" s="95" t="str">
        <f aca="false">IF($C51="","",INDEX(MM_Income!$C$5:$C$204,MATCH($C51,MM_Income!$A$5:$A$204,0)))</f>
        <v/>
      </c>
      <c r="F51" s="95" t="str">
        <f aca="false">IF($C51="","",INDEX(MM_Income!$F$5:$F$204,MATCH($C51,MM_Income!$A$5:$A$204,0)))</f>
        <v/>
      </c>
      <c r="G51" s="95" t="str">
        <f aca="false">IF($C51="","",INDEX(MM_Income!$G$5:$G$204,MATCH($C51,MM_Income!$A$5:$A$204,0)))</f>
        <v/>
      </c>
      <c r="H51" s="95" t="str">
        <f aca="false">IF($C51="","",INDEX(MM_Income!$H$5:$H$204,MATCH($C51,MM_Income!$A$5:$A$204,0)))</f>
        <v/>
      </c>
      <c r="I51" s="95" t="str">
        <f aca="false">IF($C51="","",INDEX(MM_Income!$I$5:$I$204,MATCH($C51,MM_Income!$A$5:$A$204,0)))</f>
        <v/>
      </c>
      <c r="J51" s="95" t="str">
        <f aca="false">IF($C51="","",INDEX(MM_Income!$D$5:$D$204,MATCH($C51,MM_Income!$A$5:$A$204,0)))</f>
        <v/>
      </c>
      <c r="K51" s="95" t="str">
        <f aca="false">IF($C51="","",INDEX(MM_Income!$E$5:$E$204,MATCH($C51,MM_Income!$A$5:$A$204,0)))</f>
        <v/>
      </c>
      <c r="L51" s="95" t="str">
        <f aca="false">IF($C51="","",INDEX(MM_Income!$U$5:$U$204,MATCH($C51,MM_Income!$A$5:$A$204,0)))</f>
        <v/>
      </c>
      <c r="M51" s="143" t="str">
        <f aca="false">IF($C51="","",INDEX(MM_Income!$V$5:$V$204,MATCH($C51,MM_Income!$A$5:$A$204,0)))</f>
        <v/>
      </c>
      <c r="N51" s="144" t="str">
        <f aca="false">IF($C51="","",INDEX(MM_Income!$T$5:$T$204,MATCH($C51,MM_Income!$A$5:$A$204,0)))</f>
        <v/>
      </c>
      <c r="O51" s="94" t="str">
        <f aca="false">IF($C51="","",-SUMIFS(Project_Activity!$P$2:$P$5000,Project_Activity!$C$2:$C$5000,$C51,Project_Activity!$U$2:$U$5000,"Invoiced Income",Project_Activity!$H$2:$H$5000,"&gt;="&amp;DATE(VALUE(LEFT($B51,4)),1,1),Project_Activity!$H$2:$H$5000,"&lt;="&amp;EOMONTH(DATE(VALUE(LEFT($B51,4)),VALUE(RIGHT($B51,1))*3,1),0)))</f>
        <v/>
      </c>
      <c r="P51" s="94" t="str">
        <f aca="false">IF($C51="","",SUMIFS(Project_Activity!$P$2:$P$5000,Project_Activity!$C$2:$C$5000,$C51,Project_Activity!$U$2:$U$5000,"Subcontractor",Project_Activity!$H$2:$H$5000,"&gt;="&amp;DATE(VALUE(LEFT($B51,4)),1,1),Project_Activity!$H$2:$H$5000,"&lt;="&amp;EOMONTH(DATE(VALUE(LEFT($B51,4)),VALUE(RIGHT($B51,1))*3,1),0)))</f>
        <v/>
      </c>
      <c r="Q51" s="94" t="str">
        <f aca="false">IF($C51="","",SUMIFS(Project_Activity!$P$2:$P$5000,Project_Activity!$C$2:$C$5000,$C51,Project_Activity!$U$2:$U$5000,"Project Inclusive",Project_Activity!$H$2:$H$5000,"&gt;="&amp;DATE(VALUE(LEFT($B51,4)),1,1),Project_Activity!$H$2:$H$5000,"&lt;="&amp;EOMONTH(DATE(VALUE(LEFT($B51,4)),VALUE(RIGHT($B51,1))*3,1),0)))</f>
        <v/>
      </c>
      <c r="R51" s="94" t="str">
        <f aca="false">IF($C51="","",SUMIFS(Project_Activity!$P$2:$P$5000,Project_Activity!$C$2:$C$5000,$C51,Project_Activity!$U$2:$U$5000,"Non-Recoverable",Project_Activity!$H$2:$H$5000,"&gt;="&amp;DATE(VALUE(LEFT($B51,4)),1,1),Project_Activity!$H$2:$H$5000,"&lt;="&amp;EOMONTH(DATE(VALUE(LEFT($B51,4)),VALUE(RIGHT($B51,1))*3,1),0)))</f>
        <v/>
      </c>
      <c r="S51" s="94" t="str">
        <f aca="false">IF($C51="","",$O51-$P51-$Q51-$R51)</f>
        <v/>
      </c>
      <c r="T51" s="94" t="str">
        <f aca="false">IF($C51="","",SUMIFS(Project_Activity!$P$2:$P$5000,Project_Activity!$C$2:$C$5000,$C51,Project_Activity!$U$2:$U$5000,"Recoverable",Project_Activity!$H$2:$H$5000,"&gt;="&amp;DATE(VALUE(LEFT($B51,4)),1,1),Project_Activity!$H$2:$H$5000,"&lt;="&amp;EOMONTH(DATE(VALUE(LEFT($B51,4)),VALUE(RIGHT($B51,1))*3,1),0)))</f>
        <v/>
      </c>
      <c r="U51" s="94" t="str">
        <f aca="false">IF($C51="","",-SUMIFS(Project_Activity!$P$2:$P$5000,Project_Activity!$C$2:$C$5000,$C51,Project_Activity!$U$2:$U$5000,"Recovered Expenses",Project_Activity!$H$2:$H$5000,"&gt;="&amp;DATE(VALUE(LEFT($B51,4)),1,1),Project_Activity!$H$2:$H$5000,"&lt;="&amp;EOMONTH(DATE(VALUE(LEFT($B51,4)),VALUE(RIGHT($B51,1))*3,1),0)))</f>
        <v/>
      </c>
      <c r="V51" s="145"/>
      <c r="W51" s="94" t="str">
        <f aca="false">IF($C51="","",$V51*$N51)</f>
        <v/>
      </c>
      <c r="X51" s="145"/>
      <c r="Y51" s="94" t="str">
        <f aca="false">IF($C51="","",$X51*$N51)</f>
        <v/>
      </c>
      <c r="Z51" s="145"/>
      <c r="AA51" s="94" t="str">
        <f aca="false">IF($C51="","",$Z51*$N51)</f>
        <v/>
      </c>
      <c r="AB51" s="145"/>
      <c r="AC51" s="94" t="str">
        <f aca="false">IF($C51="","",$AB51*$N51)</f>
        <v/>
      </c>
      <c r="AD51" s="94" t="str">
        <f aca="false">IF($C51="","",SUMPRODUCT((VALUE(MID($B51,7,1))&gt;={1,2,3,4})*CHOOSE({1,2,3,4},$W51,$Y51,$AA51,$AC51)))</f>
        <v/>
      </c>
      <c r="AE51" s="94" t="str">
        <f aca="false">IF($C51="","",$W51+$Y51+$AA51+$AC51-$AD51)</f>
        <v/>
      </c>
      <c r="AF51" s="146"/>
      <c r="AG51" s="146"/>
      <c r="AH51" s="146"/>
      <c r="AI51" s="147" t="str">
        <f aca="false">IF($C51="","",IF(OR($L51="Pipeline",$N51&lt;0,$O51&gt;$N51+1,($V51+$X51+$Z51+$AB51)&gt;1.0001,ISNUMBER(SEARCH("not signed",$AF51))),"REVIEW","OK"))</f>
        <v/>
      </c>
    </row>
    <row r="52" customFormat="false" ht="13.5" hidden="false" customHeight="false" outlineLevel="0" collapsed="false">
      <c r="A52" s="95" t="str">
        <f aca="false">IF($C52="","",Controls!$B$7)</f>
        <v/>
      </c>
      <c r="B52" s="95" t="str">
        <f aca="false">IF($C52="","",Controls!$B$30)</f>
        <v/>
      </c>
      <c r="C52" s="95" t="str">
        <f aca="false">IF(MM_Income!$A55="","",MM_Income!$A55)</f>
        <v/>
      </c>
      <c r="D52" s="95" t="str">
        <f aca="false">IF($C52="","",INDEX(MM_Income!$B$5:$B$204,MATCH($C52,MM_Income!$A$5:$A$204,0)))</f>
        <v/>
      </c>
      <c r="E52" s="95" t="str">
        <f aca="false">IF($C52="","",INDEX(MM_Income!$C$5:$C$204,MATCH($C52,MM_Income!$A$5:$A$204,0)))</f>
        <v/>
      </c>
      <c r="F52" s="95" t="str">
        <f aca="false">IF($C52="","",INDEX(MM_Income!$F$5:$F$204,MATCH($C52,MM_Income!$A$5:$A$204,0)))</f>
        <v/>
      </c>
      <c r="G52" s="95" t="str">
        <f aca="false">IF($C52="","",INDEX(MM_Income!$G$5:$G$204,MATCH($C52,MM_Income!$A$5:$A$204,0)))</f>
        <v/>
      </c>
      <c r="H52" s="95" t="str">
        <f aca="false">IF($C52="","",INDEX(MM_Income!$H$5:$H$204,MATCH($C52,MM_Income!$A$5:$A$204,0)))</f>
        <v/>
      </c>
      <c r="I52" s="95" t="str">
        <f aca="false">IF($C52="","",INDEX(MM_Income!$I$5:$I$204,MATCH($C52,MM_Income!$A$5:$A$204,0)))</f>
        <v/>
      </c>
      <c r="J52" s="95" t="str">
        <f aca="false">IF($C52="","",INDEX(MM_Income!$D$5:$D$204,MATCH($C52,MM_Income!$A$5:$A$204,0)))</f>
        <v/>
      </c>
      <c r="K52" s="95" t="str">
        <f aca="false">IF($C52="","",INDEX(MM_Income!$E$5:$E$204,MATCH($C52,MM_Income!$A$5:$A$204,0)))</f>
        <v/>
      </c>
      <c r="L52" s="95" t="str">
        <f aca="false">IF($C52="","",INDEX(MM_Income!$U$5:$U$204,MATCH($C52,MM_Income!$A$5:$A$204,0)))</f>
        <v/>
      </c>
      <c r="M52" s="143" t="str">
        <f aca="false">IF($C52="","",INDEX(MM_Income!$V$5:$V$204,MATCH($C52,MM_Income!$A$5:$A$204,0)))</f>
        <v/>
      </c>
      <c r="N52" s="144" t="str">
        <f aca="false">IF($C52="","",INDEX(MM_Income!$T$5:$T$204,MATCH($C52,MM_Income!$A$5:$A$204,0)))</f>
        <v/>
      </c>
      <c r="O52" s="94" t="str">
        <f aca="false">IF($C52="","",-SUMIFS(Project_Activity!$P$2:$P$5000,Project_Activity!$C$2:$C$5000,$C52,Project_Activity!$U$2:$U$5000,"Invoiced Income",Project_Activity!$H$2:$H$5000,"&gt;="&amp;DATE(VALUE(LEFT($B52,4)),1,1),Project_Activity!$H$2:$H$5000,"&lt;="&amp;EOMONTH(DATE(VALUE(LEFT($B52,4)),VALUE(RIGHT($B52,1))*3,1),0)))</f>
        <v/>
      </c>
      <c r="P52" s="94" t="str">
        <f aca="false">IF($C52="","",SUMIFS(Project_Activity!$P$2:$P$5000,Project_Activity!$C$2:$C$5000,$C52,Project_Activity!$U$2:$U$5000,"Subcontractor",Project_Activity!$H$2:$H$5000,"&gt;="&amp;DATE(VALUE(LEFT($B52,4)),1,1),Project_Activity!$H$2:$H$5000,"&lt;="&amp;EOMONTH(DATE(VALUE(LEFT($B52,4)),VALUE(RIGHT($B52,1))*3,1),0)))</f>
        <v/>
      </c>
      <c r="Q52" s="94" t="str">
        <f aca="false">IF($C52="","",SUMIFS(Project_Activity!$P$2:$P$5000,Project_Activity!$C$2:$C$5000,$C52,Project_Activity!$U$2:$U$5000,"Project Inclusive",Project_Activity!$H$2:$H$5000,"&gt;="&amp;DATE(VALUE(LEFT($B52,4)),1,1),Project_Activity!$H$2:$H$5000,"&lt;="&amp;EOMONTH(DATE(VALUE(LEFT($B52,4)),VALUE(RIGHT($B52,1))*3,1),0)))</f>
        <v/>
      </c>
      <c r="R52" s="94" t="str">
        <f aca="false">IF($C52="","",SUMIFS(Project_Activity!$P$2:$P$5000,Project_Activity!$C$2:$C$5000,$C52,Project_Activity!$U$2:$U$5000,"Non-Recoverable",Project_Activity!$H$2:$H$5000,"&gt;="&amp;DATE(VALUE(LEFT($B52,4)),1,1),Project_Activity!$H$2:$H$5000,"&lt;="&amp;EOMONTH(DATE(VALUE(LEFT($B52,4)),VALUE(RIGHT($B52,1))*3,1),0)))</f>
        <v/>
      </c>
      <c r="S52" s="94" t="str">
        <f aca="false">IF($C52="","",$O52-$P52-$Q52-$R52)</f>
        <v/>
      </c>
      <c r="T52" s="94" t="str">
        <f aca="false">IF($C52="","",SUMIFS(Project_Activity!$P$2:$P$5000,Project_Activity!$C$2:$C$5000,$C52,Project_Activity!$U$2:$U$5000,"Recoverable",Project_Activity!$H$2:$H$5000,"&gt;="&amp;DATE(VALUE(LEFT($B52,4)),1,1),Project_Activity!$H$2:$H$5000,"&lt;="&amp;EOMONTH(DATE(VALUE(LEFT($B52,4)),VALUE(RIGHT($B52,1))*3,1),0)))</f>
        <v/>
      </c>
      <c r="U52" s="94" t="str">
        <f aca="false">IF($C52="","",-SUMIFS(Project_Activity!$P$2:$P$5000,Project_Activity!$C$2:$C$5000,$C52,Project_Activity!$U$2:$U$5000,"Recovered Expenses",Project_Activity!$H$2:$H$5000,"&gt;="&amp;DATE(VALUE(LEFT($B52,4)),1,1),Project_Activity!$H$2:$H$5000,"&lt;="&amp;EOMONTH(DATE(VALUE(LEFT($B52,4)),VALUE(RIGHT($B52,1))*3,1),0)))</f>
        <v/>
      </c>
      <c r="V52" s="145"/>
      <c r="W52" s="94" t="str">
        <f aca="false">IF($C52="","",$V52*$N52)</f>
        <v/>
      </c>
      <c r="X52" s="145"/>
      <c r="Y52" s="94" t="str">
        <f aca="false">IF($C52="","",$X52*$N52)</f>
        <v/>
      </c>
      <c r="Z52" s="145"/>
      <c r="AA52" s="94" t="str">
        <f aca="false">IF($C52="","",$Z52*$N52)</f>
        <v/>
      </c>
      <c r="AB52" s="145"/>
      <c r="AC52" s="94" t="str">
        <f aca="false">IF($C52="","",$AB52*$N52)</f>
        <v/>
      </c>
      <c r="AD52" s="94" t="str">
        <f aca="false">IF($C52="","",SUMPRODUCT((VALUE(MID($B52,7,1))&gt;={1,2,3,4})*CHOOSE({1,2,3,4},$W52,$Y52,$AA52,$AC52)))</f>
        <v/>
      </c>
      <c r="AE52" s="94" t="str">
        <f aca="false">IF($C52="","",$W52+$Y52+$AA52+$AC52-$AD52)</f>
        <v/>
      </c>
      <c r="AF52" s="146"/>
      <c r="AG52" s="146"/>
      <c r="AH52" s="146"/>
      <c r="AI52" s="147" t="str">
        <f aca="false">IF($C52="","",IF(OR($L52="Pipeline",$N52&lt;0,$O52&gt;$N52+1,($V52+$X52+$Z52+$AB52)&gt;1.0001,ISNUMBER(SEARCH("not signed",$AF52))),"REVIEW","OK"))</f>
        <v/>
      </c>
    </row>
    <row r="53" customFormat="false" ht="13.5" hidden="false" customHeight="false" outlineLevel="0" collapsed="false">
      <c r="A53" s="95" t="str">
        <f aca="false">IF($C53="","",Controls!$B$7)</f>
        <v/>
      </c>
      <c r="B53" s="95" t="str">
        <f aca="false">IF($C53="","",Controls!$B$30)</f>
        <v/>
      </c>
      <c r="C53" s="95" t="str">
        <f aca="false">IF(MM_Income!$A56="","",MM_Income!$A56)</f>
        <v/>
      </c>
      <c r="D53" s="95" t="str">
        <f aca="false">IF($C53="","",INDEX(MM_Income!$B$5:$B$204,MATCH($C53,MM_Income!$A$5:$A$204,0)))</f>
        <v/>
      </c>
      <c r="E53" s="95" t="str">
        <f aca="false">IF($C53="","",INDEX(MM_Income!$C$5:$C$204,MATCH($C53,MM_Income!$A$5:$A$204,0)))</f>
        <v/>
      </c>
      <c r="F53" s="95" t="str">
        <f aca="false">IF($C53="","",INDEX(MM_Income!$F$5:$F$204,MATCH($C53,MM_Income!$A$5:$A$204,0)))</f>
        <v/>
      </c>
      <c r="G53" s="95" t="str">
        <f aca="false">IF($C53="","",INDEX(MM_Income!$G$5:$G$204,MATCH($C53,MM_Income!$A$5:$A$204,0)))</f>
        <v/>
      </c>
      <c r="H53" s="95" t="str">
        <f aca="false">IF($C53="","",INDEX(MM_Income!$H$5:$H$204,MATCH($C53,MM_Income!$A$5:$A$204,0)))</f>
        <v/>
      </c>
      <c r="I53" s="95" t="str">
        <f aca="false">IF($C53="","",INDEX(MM_Income!$I$5:$I$204,MATCH($C53,MM_Income!$A$5:$A$204,0)))</f>
        <v/>
      </c>
      <c r="J53" s="95" t="str">
        <f aca="false">IF($C53="","",INDEX(MM_Income!$D$5:$D$204,MATCH($C53,MM_Income!$A$5:$A$204,0)))</f>
        <v/>
      </c>
      <c r="K53" s="95" t="str">
        <f aca="false">IF($C53="","",INDEX(MM_Income!$E$5:$E$204,MATCH($C53,MM_Income!$A$5:$A$204,0)))</f>
        <v/>
      </c>
      <c r="L53" s="95" t="str">
        <f aca="false">IF($C53="","",INDEX(MM_Income!$U$5:$U$204,MATCH($C53,MM_Income!$A$5:$A$204,0)))</f>
        <v/>
      </c>
      <c r="M53" s="143" t="str">
        <f aca="false">IF($C53="","",INDEX(MM_Income!$V$5:$V$204,MATCH($C53,MM_Income!$A$5:$A$204,0)))</f>
        <v/>
      </c>
      <c r="N53" s="144" t="str">
        <f aca="false">IF($C53="","",INDEX(MM_Income!$T$5:$T$204,MATCH($C53,MM_Income!$A$5:$A$204,0)))</f>
        <v/>
      </c>
      <c r="O53" s="94" t="str">
        <f aca="false">IF($C53="","",-SUMIFS(Project_Activity!$P$2:$P$5000,Project_Activity!$C$2:$C$5000,$C53,Project_Activity!$U$2:$U$5000,"Invoiced Income",Project_Activity!$H$2:$H$5000,"&gt;="&amp;DATE(VALUE(LEFT($B53,4)),1,1),Project_Activity!$H$2:$H$5000,"&lt;="&amp;EOMONTH(DATE(VALUE(LEFT($B53,4)),VALUE(RIGHT($B53,1))*3,1),0)))</f>
        <v/>
      </c>
      <c r="P53" s="94" t="str">
        <f aca="false">IF($C53="","",SUMIFS(Project_Activity!$P$2:$P$5000,Project_Activity!$C$2:$C$5000,$C53,Project_Activity!$U$2:$U$5000,"Subcontractor",Project_Activity!$H$2:$H$5000,"&gt;="&amp;DATE(VALUE(LEFT($B53,4)),1,1),Project_Activity!$H$2:$H$5000,"&lt;="&amp;EOMONTH(DATE(VALUE(LEFT($B53,4)),VALUE(RIGHT($B53,1))*3,1),0)))</f>
        <v/>
      </c>
      <c r="Q53" s="94" t="str">
        <f aca="false">IF($C53="","",SUMIFS(Project_Activity!$P$2:$P$5000,Project_Activity!$C$2:$C$5000,$C53,Project_Activity!$U$2:$U$5000,"Project Inclusive",Project_Activity!$H$2:$H$5000,"&gt;="&amp;DATE(VALUE(LEFT($B53,4)),1,1),Project_Activity!$H$2:$H$5000,"&lt;="&amp;EOMONTH(DATE(VALUE(LEFT($B53,4)),VALUE(RIGHT($B53,1))*3,1),0)))</f>
        <v/>
      </c>
      <c r="R53" s="94" t="str">
        <f aca="false">IF($C53="","",SUMIFS(Project_Activity!$P$2:$P$5000,Project_Activity!$C$2:$C$5000,$C53,Project_Activity!$U$2:$U$5000,"Non-Recoverable",Project_Activity!$H$2:$H$5000,"&gt;="&amp;DATE(VALUE(LEFT($B53,4)),1,1),Project_Activity!$H$2:$H$5000,"&lt;="&amp;EOMONTH(DATE(VALUE(LEFT($B53,4)),VALUE(RIGHT($B53,1))*3,1),0)))</f>
        <v/>
      </c>
      <c r="S53" s="94" t="str">
        <f aca="false">IF($C53="","",$O53-$P53-$Q53-$R53)</f>
        <v/>
      </c>
      <c r="T53" s="94" t="str">
        <f aca="false">IF($C53="","",SUMIFS(Project_Activity!$P$2:$P$5000,Project_Activity!$C$2:$C$5000,$C53,Project_Activity!$U$2:$U$5000,"Recoverable",Project_Activity!$H$2:$H$5000,"&gt;="&amp;DATE(VALUE(LEFT($B53,4)),1,1),Project_Activity!$H$2:$H$5000,"&lt;="&amp;EOMONTH(DATE(VALUE(LEFT($B53,4)),VALUE(RIGHT($B53,1))*3,1),0)))</f>
        <v/>
      </c>
      <c r="U53" s="94" t="str">
        <f aca="false">IF($C53="","",-SUMIFS(Project_Activity!$P$2:$P$5000,Project_Activity!$C$2:$C$5000,$C53,Project_Activity!$U$2:$U$5000,"Recovered Expenses",Project_Activity!$H$2:$H$5000,"&gt;="&amp;DATE(VALUE(LEFT($B53,4)),1,1),Project_Activity!$H$2:$H$5000,"&lt;="&amp;EOMONTH(DATE(VALUE(LEFT($B53,4)),VALUE(RIGHT($B53,1))*3,1),0)))</f>
        <v/>
      </c>
      <c r="V53" s="145"/>
      <c r="W53" s="94" t="str">
        <f aca="false">IF($C53="","",$V53*$N53)</f>
        <v/>
      </c>
      <c r="X53" s="145"/>
      <c r="Y53" s="94" t="str">
        <f aca="false">IF($C53="","",$X53*$N53)</f>
        <v/>
      </c>
      <c r="Z53" s="145"/>
      <c r="AA53" s="94" t="str">
        <f aca="false">IF($C53="","",$Z53*$N53)</f>
        <v/>
      </c>
      <c r="AB53" s="145"/>
      <c r="AC53" s="94" t="str">
        <f aca="false">IF($C53="","",$AB53*$N53)</f>
        <v/>
      </c>
      <c r="AD53" s="94" t="str">
        <f aca="false">IF($C53="","",SUMPRODUCT((VALUE(MID($B53,7,1))&gt;={1,2,3,4})*CHOOSE({1,2,3,4},$W53,$Y53,$AA53,$AC53)))</f>
        <v/>
      </c>
      <c r="AE53" s="94" t="str">
        <f aca="false">IF($C53="","",$W53+$Y53+$AA53+$AC53-$AD53)</f>
        <v/>
      </c>
      <c r="AF53" s="146"/>
      <c r="AG53" s="146"/>
      <c r="AH53" s="146"/>
      <c r="AI53" s="147" t="str">
        <f aca="false">IF($C53="","",IF(OR($L53="Pipeline",$N53&lt;0,$O53&gt;$N53+1,($V53+$X53+$Z53+$AB53)&gt;1.0001,ISNUMBER(SEARCH("not signed",$AF53))),"REVIEW","OK"))</f>
        <v/>
      </c>
    </row>
    <row r="54" customFormat="false" ht="13.5" hidden="false" customHeight="false" outlineLevel="0" collapsed="false">
      <c r="A54" s="95" t="str">
        <f aca="false">IF($C54="","",Controls!$B$7)</f>
        <v/>
      </c>
      <c r="B54" s="95" t="str">
        <f aca="false">IF($C54="","",Controls!$B$30)</f>
        <v/>
      </c>
      <c r="C54" s="95" t="str">
        <f aca="false">IF(MM_Income!$A57="","",MM_Income!$A57)</f>
        <v/>
      </c>
      <c r="D54" s="95" t="str">
        <f aca="false">IF($C54="","",INDEX(MM_Income!$B$5:$B$204,MATCH($C54,MM_Income!$A$5:$A$204,0)))</f>
        <v/>
      </c>
      <c r="E54" s="95" t="str">
        <f aca="false">IF($C54="","",INDEX(MM_Income!$C$5:$C$204,MATCH($C54,MM_Income!$A$5:$A$204,0)))</f>
        <v/>
      </c>
      <c r="F54" s="95" t="str">
        <f aca="false">IF($C54="","",INDEX(MM_Income!$F$5:$F$204,MATCH($C54,MM_Income!$A$5:$A$204,0)))</f>
        <v/>
      </c>
      <c r="G54" s="95" t="str">
        <f aca="false">IF($C54="","",INDEX(MM_Income!$G$5:$G$204,MATCH($C54,MM_Income!$A$5:$A$204,0)))</f>
        <v/>
      </c>
      <c r="H54" s="95" t="str">
        <f aca="false">IF($C54="","",INDEX(MM_Income!$H$5:$H$204,MATCH($C54,MM_Income!$A$5:$A$204,0)))</f>
        <v/>
      </c>
      <c r="I54" s="95" t="str">
        <f aca="false">IF($C54="","",INDEX(MM_Income!$I$5:$I$204,MATCH($C54,MM_Income!$A$5:$A$204,0)))</f>
        <v/>
      </c>
      <c r="J54" s="95" t="str">
        <f aca="false">IF($C54="","",INDEX(MM_Income!$D$5:$D$204,MATCH($C54,MM_Income!$A$5:$A$204,0)))</f>
        <v/>
      </c>
      <c r="K54" s="95" t="str">
        <f aca="false">IF($C54="","",INDEX(MM_Income!$E$5:$E$204,MATCH($C54,MM_Income!$A$5:$A$204,0)))</f>
        <v/>
      </c>
      <c r="L54" s="95" t="str">
        <f aca="false">IF($C54="","",INDEX(MM_Income!$U$5:$U$204,MATCH($C54,MM_Income!$A$5:$A$204,0)))</f>
        <v/>
      </c>
      <c r="M54" s="143" t="str">
        <f aca="false">IF($C54="","",INDEX(MM_Income!$V$5:$V$204,MATCH($C54,MM_Income!$A$5:$A$204,0)))</f>
        <v/>
      </c>
      <c r="N54" s="144" t="str">
        <f aca="false">IF($C54="","",INDEX(MM_Income!$T$5:$T$204,MATCH($C54,MM_Income!$A$5:$A$204,0)))</f>
        <v/>
      </c>
      <c r="O54" s="94" t="str">
        <f aca="false">IF($C54="","",-SUMIFS(Project_Activity!$P$2:$P$5000,Project_Activity!$C$2:$C$5000,$C54,Project_Activity!$U$2:$U$5000,"Invoiced Income",Project_Activity!$H$2:$H$5000,"&gt;="&amp;DATE(VALUE(LEFT($B54,4)),1,1),Project_Activity!$H$2:$H$5000,"&lt;="&amp;EOMONTH(DATE(VALUE(LEFT($B54,4)),VALUE(RIGHT($B54,1))*3,1),0)))</f>
        <v/>
      </c>
      <c r="P54" s="94" t="str">
        <f aca="false">IF($C54="","",SUMIFS(Project_Activity!$P$2:$P$5000,Project_Activity!$C$2:$C$5000,$C54,Project_Activity!$U$2:$U$5000,"Subcontractor",Project_Activity!$H$2:$H$5000,"&gt;="&amp;DATE(VALUE(LEFT($B54,4)),1,1),Project_Activity!$H$2:$H$5000,"&lt;="&amp;EOMONTH(DATE(VALUE(LEFT($B54,4)),VALUE(RIGHT($B54,1))*3,1),0)))</f>
        <v/>
      </c>
      <c r="Q54" s="94" t="str">
        <f aca="false">IF($C54="","",SUMIFS(Project_Activity!$P$2:$P$5000,Project_Activity!$C$2:$C$5000,$C54,Project_Activity!$U$2:$U$5000,"Project Inclusive",Project_Activity!$H$2:$H$5000,"&gt;="&amp;DATE(VALUE(LEFT($B54,4)),1,1),Project_Activity!$H$2:$H$5000,"&lt;="&amp;EOMONTH(DATE(VALUE(LEFT($B54,4)),VALUE(RIGHT($B54,1))*3,1),0)))</f>
        <v/>
      </c>
      <c r="R54" s="94" t="str">
        <f aca="false">IF($C54="","",SUMIFS(Project_Activity!$P$2:$P$5000,Project_Activity!$C$2:$C$5000,$C54,Project_Activity!$U$2:$U$5000,"Non-Recoverable",Project_Activity!$H$2:$H$5000,"&gt;="&amp;DATE(VALUE(LEFT($B54,4)),1,1),Project_Activity!$H$2:$H$5000,"&lt;="&amp;EOMONTH(DATE(VALUE(LEFT($B54,4)),VALUE(RIGHT($B54,1))*3,1),0)))</f>
        <v/>
      </c>
      <c r="S54" s="94" t="str">
        <f aca="false">IF($C54="","",$O54-$P54-$Q54-$R54)</f>
        <v/>
      </c>
      <c r="T54" s="94" t="str">
        <f aca="false">IF($C54="","",SUMIFS(Project_Activity!$P$2:$P$5000,Project_Activity!$C$2:$C$5000,$C54,Project_Activity!$U$2:$U$5000,"Recoverable",Project_Activity!$H$2:$H$5000,"&gt;="&amp;DATE(VALUE(LEFT($B54,4)),1,1),Project_Activity!$H$2:$H$5000,"&lt;="&amp;EOMONTH(DATE(VALUE(LEFT($B54,4)),VALUE(RIGHT($B54,1))*3,1),0)))</f>
        <v/>
      </c>
      <c r="U54" s="94" t="str">
        <f aca="false">IF($C54="","",-SUMIFS(Project_Activity!$P$2:$P$5000,Project_Activity!$C$2:$C$5000,$C54,Project_Activity!$U$2:$U$5000,"Recovered Expenses",Project_Activity!$H$2:$H$5000,"&gt;="&amp;DATE(VALUE(LEFT($B54,4)),1,1),Project_Activity!$H$2:$H$5000,"&lt;="&amp;EOMONTH(DATE(VALUE(LEFT($B54,4)),VALUE(RIGHT($B54,1))*3,1),0)))</f>
        <v/>
      </c>
      <c r="V54" s="145"/>
      <c r="W54" s="94" t="str">
        <f aca="false">IF($C54="","",$V54*$N54)</f>
        <v/>
      </c>
      <c r="X54" s="145"/>
      <c r="Y54" s="94" t="str">
        <f aca="false">IF($C54="","",$X54*$N54)</f>
        <v/>
      </c>
      <c r="Z54" s="145"/>
      <c r="AA54" s="94" t="str">
        <f aca="false">IF($C54="","",$Z54*$N54)</f>
        <v/>
      </c>
      <c r="AB54" s="145"/>
      <c r="AC54" s="94" t="str">
        <f aca="false">IF($C54="","",$AB54*$N54)</f>
        <v/>
      </c>
      <c r="AD54" s="94" t="str">
        <f aca="false">IF($C54="","",SUMPRODUCT((VALUE(MID($B54,7,1))&gt;={1,2,3,4})*CHOOSE({1,2,3,4},$W54,$Y54,$AA54,$AC54)))</f>
        <v/>
      </c>
      <c r="AE54" s="94" t="str">
        <f aca="false">IF($C54="","",$W54+$Y54+$AA54+$AC54-$AD54)</f>
        <v/>
      </c>
      <c r="AF54" s="146"/>
      <c r="AG54" s="146"/>
      <c r="AH54" s="146"/>
      <c r="AI54" s="147" t="str">
        <f aca="false">IF($C54="","",IF(OR($L54="Pipeline",$N54&lt;0,$O54&gt;$N54+1,($V54+$X54+$Z54+$AB54)&gt;1.0001,ISNUMBER(SEARCH("not signed",$AF54))),"REVIEW","OK"))</f>
        <v/>
      </c>
    </row>
    <row r="55" customFormat="false" ht="13.5" hidden="false" customHeight="false" outlineLevel="0" collapsed="false">
      <c r="A55" s="95" t="str">
        <f aca="false">IF($C55="","",Controls!$B$7)</f>
        <v/>
      </c>
      <c r="B55" s="95" t="str">
        <f aca="false">IF($C55="","",Controls!$B$30)</f>
        <v/>
      </c>
      <c r="C55" s="95" t="str">
        <f aca="false">IF(MM_Income!$A58="","",MM_Income!$A58)</f>
        <v/>
      </c>
      <c r="D55" s="95" t="str">
        <f aca="false">IF($C55="","",INDEX(MM_Income!$B$5:$B$204,MATCH($C55,MM_Income!$A$5:$A$204,0)))</f>
        <v/>
      </c>
      <c r="E55" s="95" t="str">
        <f aca="false">IF($C55="","",INDEX(MM_Income!$C$5:$C$204,MATCH($C55,MM_Income!$A$5:$A$204,0)))</f>
        <v/>
      </c>
      <c r="F55" s="95" t="str">
        <f aca="false">IF($C55="","",INDEX(MM_Income!$F$5:$F$204,MATCH($C55,MM_Income!$A$5:$A$204,0)))</f>
        <v/>
      </c>
      <c r="G55" s="95" t="str">
        <f aca="false">IF($C55="","",INDEX(MM_Income!$G$5:$G$204,MATCH($C55,MM_Income!$A$5:$A$204,0)))</f>
        <v/>
      </c>
      <c r="H55" s="95" t="str">
        <f aca="false">IF($C55="","",INDEX(MM_Income!$H$5:$H$204,MATCH($C55,MM_Income!$A$5:$A$204,0)))</f>
        <v/>
      </c>
      <c r="I55" s="95" t="str">
        <f aca="false">IF($C55="","",INDEX(MM_Income!$I$5:$I$204,MATCH($C55,MM_Income!$A$5:$A$204,0)))</f>
        <v/>
      </c>
      <c r="J55" s="95" t="str">
        <f aca="false">IF($C55="","",INDEX(MM_Income!$D$5:$D$204,MATCH($C55,MM_Income!$A$5:$A$204,0)))</f>
        <v/>
      </c>
      <c r="K55" s="95" t="str">
        <f aca="false">IF($C55="","",INDEX(MM_Income!$E$5:$E$204,MATCH($C55,MM_Income!$A$5:$A$204,0)))</f>
        <v/>
      </c>
      <c r="L55" s="95" t="str">
        <f aca="false">IF($C55="","",INDEX(MM_Income!$U$5:$U$204,MATCH($C55,MM_Income!$A$5:$A$204,0)))</f>
        <v/>
      </c>
      <c r="M55" s="143" t="str">
        <f aca="false">IF($C55="","",INDEX(MM_Income!$V$5:$V$204,MATCH($C55,MM_Income!$A$5:$A$204,0)))</f>
        <v/>
      </c>
      <c r="N55" s="144" t="str">
        <f aca="false">IF($C55="","",INDEX(MM_Income!$T$5:$T$204,MATCH($C55,MM_Income!$A$5:$A$204,0)))</f>
        <v/>
      </c>
      <c r="O55" s="94" t="str">
        <f aca="false">IF($C55="","",-SUMIFS(Project_Activity!$P$2:$P$5000,Project_Activity!$C$2:$C$5000,$C55,Project_Activity!$U$2:$U$5000,"Invoiced Income",Project_Activity!$H$2:$H$5000,"&gt;="&amp;DATE(VALUE(LEFT($B55,4)),1,1),Project_Activity!$H$2:$H$5000,"&lt;="&amp;EOMONTH(DATE(VALUE(LEFT($B55,4)),VALUE(RIGHT($B55,1))*3,1),0)))</f>
        <v/>
      </c>
      <c r="P55" s="94" t="str">
        <f aca="false">IF($C55="","",SUMIFS(Project_Activity!$P$2:$P$5000,Project_Activity!$C$2:$C$5000,$C55,Project_Activity!$U$2:$U$5000,"Subcontractor",Project_Activity!$H$2:$H$5000,"&gt;="&amp;DATE(VALUE(LEFT($B55,4)),1,1),Project_Activity!$H$2:$H$5000,"&lt;="&amp;EOMONTH(DATE(VALUE(LEFT($B55,4)),VALUE(RIGHT($B55,1))*3,1),0)))</f>
        <v/>
      </c>
      <c r="Q55" s="94" t="str">
        <f aca="false">IF($C55="","",SUMIFS(Project_Activity!$P$2:$P$5000,Project_Activity!$C$2:$C$5000,$C55,Project_Activity!$U$2:$U$5000,"Project Inclusive",Project_Activity!$H$2:$H$5000,"&gt;="&amp;DATE(VALUE(LEFT($B55,4)),1,1),Project_Activity!$H$2:$H$5000,"&lt;="&amp;EOMONTH(DATE(VALUE(LEFT($B55,4)),VALUE(RIGHT($B55,1))*3,1),0)))</f>
        <v/>
      </c>
      <c r="R55" s="94" t="str">
        <f aca="false">IF($C55="","",SUMIFS(Project_Activity!$P$2:$P$5000,Project_Activity!$C$2:$C$5000,$C55,Project_Activity!$U$2:$U$5000,"Non-Recoverable",Project_Activity!$H$2:$H$5000,"&gt;="&amp;DATE(VALUE(LEFT($B55,4)),1,1),Project_Activity!$H$2:$H$5000,"&lt;="&amp;EOMONTH(DATE(VALUE(LEFT($B55,4)),VALUE(RIGHT($B55,1))*3,1),0)))</f>
        <v/>
      </c>
      <c r="S55" s="94" t="str">
        <f aca="false">IF($C55="","",$O55-$P55-$Q55-$R55)</f>
        <v/>
      </c>
      <c r="T55" s="94" t="str">
        <f aca="false">IF($C55="","",SUMIFS(Project_Activity!$P$2:$P$5000,Project_Activity!$C$2:$C$5000,$C55,Project_Activity!$U$2:$U$5000,"Recoverable",Project_Activity!$H$2:$H$5000,"&gt;="&amp;DATE(VALUE(LEFT($B55,4)),1,1),Project_Activity!$H$2:$H$5000,"&lt;="&amp;EOMONTH(DATE(VALUE(LEFT($B55,4)),VALUE(RIGHT($B55,1))*3,1),0)))</f>
        <v/>
      </c>
      <c r="U55" s="94" t="str">
        <f aca="false">IF($C55="","",-SUMIFS(Project_Activity!$P$2:$P$5000,Project_Activity!$C$2:$C$5000,$C55,Project_Activity!$U$2:$U$5000,"Recovered Expenses",Project_Activity!$H$2:$H$5000,"&gt;="&amp;DATE(VALUE(LEFT($B55,4)),1,1),Project_Activity!$H$2:$H$5000,"&lt;="&amp;EOMONTH(DATE(VALUE(LEFT($B55,4)),VALUE(RIGHT($B55,1))*3,1),0)))</f>
        <v/>
      </c>
      <c r="V55" s="145"/>
      <c r="W55" s="94" t="str">
        <f aca="false">IF($C55="","",$V55*$N55)</f>
        <v/>
      </c>
      <c r="X55" s="145"/>
      <c r="Y55" s="94" t="str">
        <f aca="false">IF($C55="","",$X55*$N55)</f>
        <v/>
      </c>
      <c r="Z55" s="145"/>
      <c r="AA55" s="94" t="str">
        <f aca="false">IF($C55="","",$Z55*$N55)</f>
        <v/>
      </c>
      <c r="AB55" s="145"/>
      <c r="AC55" s="94" t="str">
        <f aca="false">IF($C55="","",$AB55*$N55)</f>
        <v/>
      </c>
      <c r="AD55" s="94" t="str">
        <f aca="false">IF($C55="","",SUMPRODUCT((VALUE(MID($B55,7,1))&gt;={1,2,3,4})*CHOOSE({1,2,3,4},$W55,$Y55,$AA55,$AC55)))</f>
        <v/>
      </c>
      <c r="AE55" s="94" t="str">
        <f aca="false">IF($C55="","",$W55+$Y55+$AA55+$AC55-$AD55)</f>
        <v/>
      </c>
      <c r="AF55" s="146"/>
      <c r="AG55" s="146"/>
      <c r="AH55" s="146"/>
      <c r="AI55" s="147" t="str">
        <f aca="false">IF($C55="","",IF(OR($L55="Pipeline",$N55&lt;0,$O55&gt;$N55+1,($V55+$X55+$Z55+$AB55)&gt;1.0001,ISNUMBER(SEARCH("not signed",$AF55))),"REVIEW","OK"))</f>
        <v/>
      </c>
    </row>
    <row r="56" customFormat="false" ht="13.5" hidden="false" customHeight="false" outlineLevel="0" collapsed="false">
      <c r="A56" s="95" t="str">
        <f aca="false">IF($C56="","",Controls!$B$7)</f>
        <v/>
      </c>
      <c r="B56" s="95" t="str">
        <f aca="false">IF($C56="","",Controls!$B$30)</f>
        <v/>
      </c>
      <c r="C56" s="95" t="str">
        <f aca="false">IF(MM_Income!$A59="","",MM_Income!$A59)</f>
        <v/>
      </c>
      <c r="D56" s="95" t="str">
        <f aca="false">IF($C56="","",INDEX(MM_Income!$B$5:$B$204,MATCH($C56,MM_Income!$A$5:$A$204,0)))</f>
        <v/>
      </c>
      <c r="E56" s="95" t="str">
        <f aca="false">IF($C56="","",INDEX(MM_Income!$C$5:$C$204,MATCH($C56,MM_Income!$A$5:$A$204,0)))</f>
        <v/>
      </c>
      <c r="F56" s="95" t="str">
        <f aca="false">IF($C56="","",INDEX(MM_Income!$F$5:$F$204,MATCH($C56,MM_Income!$A$5:$A$204,0)))</f>
        <v/>
      </c>
      <c r="G56" s="95" t="str">
        <f aca="false">IF($C56="","",INDEX(MM_Income!$G$5:$G$204,MATCH($C56,MM_Income!$A$5:$A$204,0)))</f>
        <v/>
      </c>
      <c r="H56" s="95" t="str">
        <f aca="false">IF($C56="","",INDEX(MM_Income!$H$5:$H$204,MATCH($C56,MM_Income!$A$5:$A$204,0)))</f>
        <v/>
      </c>
      <c r="I56" s="95" t="str">
        <f aca="false">IF($C56="","",INDEX(MM_Income!$I$5:$I$204,MATCH($C56,MM_Income!$A$5:$A$204,0)))</f>
        <v/>
      </c>
      <c r="J56" s="95" t="str">
        <f aca="false">IF($C56="","",INDEX(MM_Income!$D$5:$D$204,MATCH($C56,MM_Income!$A$5:$A$204,0)))</f>
        <v/>
      </c>
      <c r="K56" s="95" t="str">
        <f aca="false">IF($C56="","",INDEX(MM_Income!$E$5:$E$204,MATCH($C56,MM_Income!$A$5:$A$204,0)))</f>
        <v/>
      </c>
      <c r="L56" s="95" t="str">
        <f aca="false">IF($C56="","",INDEX(MM_Income!$U$5:$U$204,MATCH($C56,MM_Income!$A$5:$A$204,0)))</f>
        <v/>
      </c>
      <c r="M56" s="143" t="str">
        <f aca="false">IF($C56="","",INDEX(MM_Income!$V$5:$V$204,MATCH($C56,MM_Income!$A$5:$A$204,0)))</f>
        <v/>
      </c>
      <c r="N56" s="144" t="str">
        <f aca="false">IF($C56="","",INDEX(MM_Income!$T$5:$T$204,MATCH($C56,MM_Income!$A$5:$A$204,0)))</f>
        <v/>
      </c>
      <c r="O56" s="94" t="str">
        <f aca="false">IF($C56="","",-SUMIFS(Project_Activity!$P$2:$P$5000,Project_Activity!$C$2:$C$5000,$C56,Project_Activity!$U$2:$U$5000,"Invoiced Income",Project_Activity!$H$2:$H$5000,"&gt;="&amp;DATE(VALUE(LEFT($B56,4)),1,1),Project_Activity!$H$2:$H$5000,"&lt;="&amp;EOMONTH(DATE(VALUE(LEFT($B56,4)),VALUE(RIGHT($B56,1))*3,1),0)))</f>
        <v/>
      </c>
      <c r="P56" s="94" t="str">
        <f aca="false">IF($C56="","",SUMIFS(Project_Activity!$P$2:$P$5000,Project_Activity!$C$2:$C$5000,$C56,Project_Activity!$U$2:$U$5000,"Subcontractor",Project_Activity!$H$2:$H$5000,"&gt;="&amp;DATE(VALUE(LEFT($B56,4)),1,1),Project_Activity!$H$2:$H$5000,"&lt;="&amp;EOMONTH(DATE(VALUE(LEFT($B56,4)),VALUE(RIGHT($B56,1))*3,1),0)))</f>
        <v/>
      </c>
      <c r="Q56" s="94" t="str">
        <f aca="false">IF($C56="","",SUMIFS(Project_Activity!$P$2:$P$5000,Project_Activity!$C$2:$C$5000,$C56,Project_Activity!$U$2:$U$5000,"Project Inclusive",Project_Activity!$H$2:$H$5000,"&gt;="&amp;DATE(VALUE(LEFT($B56,4)),1,1),Project_Activity!$H$2:$H$5000,"&lt;="&amp;EOMONTH(DATE(VALUE(LEFT($B56,4)),VALUE(RIGHT($B56,1))*3,1),0)))</f>
        <v/>
      </c>
      <c r="R56" s="94" t="str">
        <f aca="false">IF($C56="","",SUMIFS(Project_Activity!$P$2:$P$5000,Project_Activity!$C$2:$C$5000,$C56,Project_Activity!$U$2:$U$5000,"Non-Recoverable",Project_Activity!$H$2:$H$5000,"&gt;="&amp;DATE(VALUE(LEFT($B56,4)),1,1),Project_Activity!$H$2:$H$5000,"&lt;="&amp;EOMONTH(DATE(VALUE(LEFT($B56,4)),VALUE(RIGHT($B56,1))*3,1),0)))</f>
        <v/>
      </c>
      <c r="S56" s="94" t="str">
        <f aca="false">IF($C56="","",$O56-$P56-$Q56-$R56)</f>
        <v/>
      </c>
      <c r="T56" s="94" t="str">
        <f aca="false">IF($C56="","",SUMIFS(Project_Activity!$P$2:$P$5000,Project_Activity!$C$2:$C$5000,$C56,Project_Activity!$U$2:$U$5000,"Recoverable",Project_Activity!$H$2:$H$5000,"&gt;="&amp;DATE(VALUE(LEFT($B56,4)),1,1),Project_Activity!$H$2:$H$5000,"&lt;="&amp;EOMONTH(DATE(VALUE(LEFT($B56,4)),VALUE(RIGHT($B56,1))*3,1),0)))</f>
        <v/>
      </c>
      <c r="U56" s="94" t="str">
        <f aca="false">IF($C56="","",-SUMIFS(Project_Activity!$P$2:$P$5000,Project_Activity!$C$2:$C$5000,$C56,Project_Activity!$U$2:$U$5000,"Recovered Expenses",Project_Activity!$H$2:$H$5000,"&gt;="&amp;DATE(VALUE(LEFT($B56,4)),1,1),Project_Activity!$H$2:$H$5000,"&lt;="&amp;EOMONTH(DATE(VALUE(LEFT($B56,4)),VALUE(RIGHT($B56,1))*3,1),0)))</f>
        <v/>
      </c>
      <c r="V56" s="145"/>
      <c r="W56" s="94" t="str">
        <f aca="false">IF($C56="","",$V56*$N56)</f>
        <v/>
      </c>
      <c r="X56" s="145"/>
      <c r="Y56" s="94" t="str">
        <f aca="false">IF($C56="","",$X56*$N56)</f>
        <v/>
      </c>
      <c r="Z56" s="145"/>
      <c r="AA56" s="94" t="str">
        <f aca="false">IF($C56="","",$Z56*$N56)</f>
        <v/>
      </c>
      <c r="AB56" s="145"/>
      <c r="AC56" s="94" t="str">
        <f aca="false">IF($C56="","",$AB56*$N56)</f>
        <v/>
      </c>
      <c r="AD56" s="94" t="str">
        <f aca="false">IF($C56="","",SUMPRODUCT((VALUE(MID($B56,7,1))&gt;={1,2,3,4})*CHOOSE({1,2,3,4},$W56,$Y56,$AA56,$AC56)))</f>
        <v/>
      </c>
      <c r="AE56" s="94" t="str">
        <f aca="false">IF($C56="","",$W56+$Y56+$AA56+$AC56-$AD56)</f>
        <v/>
      </c>
      <c r="AF56" s="146"/>
      <c r="AG56" s="146"/>
      <c r="AH56" s="146"/>
      <c r="AI56" s="147" t="str">
        <f aca="false">IF($C56="","",IF(OR($L56="Pipeline",$N56&lt;0,$O56&gt;$N56+1,($V56+$X56+$Z56+$AB56)&gt;1.0001,ISNUMBER(SEARCH("not signed",$AF56))),"REVIEW","OK"))</f>
        <v/>
      </c>
    </row>
    <row r="57" customFormat="false" ht="13.5" hidden="false" customHeight="false" outlineLevel="0" collapsed="false">
      <c r="A57" s="95" t="str">
        <f aca="false">IF($C57="","",Controls!$B$7)</f>
        <v/>
      </c>
      <c r="B57" s="95" t="str">
        <f aca="false">IF($C57="","",Controls!$B$30)</f>
        <v/>
      </c>
      <c r="C57" s="95" t="str">
        <f aca="false">IF(MM_Income!$A60="","",MM_Income!$A60)</f>
        <v/>
      </c>
      <c r="D57" s="95" t="str">
        <f aca="false">IF($C57="","",INDEX(MM_Income!$B$5:$B$204,MATCH($C57,MM_Income!$A$5:$A$204,0)))</f>
        <v/>
      </c>
      <c r="E57" s="95" t="str">
        <f aca="false">IF($C57="","",INDEX(MM_Income!$C$5:$C$204,MATCH($C57,MM_Income!$A$5:$A$204,0)))</f>
        <v/>
      </c>
      <c r="F57" s="95" t="str">
        <f aca="false">IF($C57="","",INDEX(MM_Income!$F$5:$F$204,MATCH($C57,MM_Income!$A$5:$A$204,0)))</f>
        <v/>
      </c>
      <c r="G57" s="95" t="str">
        <f aca="false">IF($C57="","",INDEX(MM_Income!$G$5:$G$204,MATCH($C57,MM_Income!$A$5:$A$204,0)))</f>
        <v/>
      </c>
      <c r="H57" s="95" t="str">
        <f aca="false">IF($C57="","",INDEX(MM_Income!$H$5:$H$204,MATCH($C57,MM_Income!$A$5:$A$204,0)))</f>
        <v/>
      </c>
      <c r="I57" s="95" t="str">
        <f aca="false">IF($C57="","",INDEX(MM_Income!$I$5:$I$204,MATCH($C57,MM_Income!$A$5:$A$204,0)))</f>
        <v/>
      </c>
      <c r="J57" s="95" t="str">
        <f aca="false">IF($C57="","",INDEX(MM_Income!$D$5:$D$204,MATCH($C57,MM_Income!$A$5:$A$204,0)))</f>
        <v/>
      </c>
      <c r="K57" s="95" t="str">
        <f aca="false">IF($C57="","",INDEX(MM_Income!$E$5:$E$204,MATCH($C57,MM_Income!$A$5:$A$204,0)))</f>
        <v/>
      </c>
      <c r="L57" s="95" t="str">
        <f aca="false">IF($C57="","",INDEX(MM_Income!$U$5:$U$204,MATCH($C57,MM_Income!$A$5:$A$204,0)))</f>
        <v/>
      </c>
      <c r="M57" s="143" t="str">
        <f aca="false">IF($C57="","",INDEX(MM_Income!$V$5:$V$204,MATCH($C57,MM_Income!$A$5:$A$204,0)))</f>
        <v/>
      </c>
      <c r="N57" s="144" t="str">
        <f aca="false">IF($C57="","",INDEX(MM_Income!$T$5:$T$204,MATCH($C57,MM_Income!$A$5:$A$204,0)))</f>
        <v/>
      </c>
      <c r="O57" s="94" t="str">
        <f aca="false">IF($C57="","",-SUMIFS(Project_Activity!$P$2:$P$5000,Project_Activity!$C$2:$C$5000,$C57,Project_Activity!$U$2:$U$5000,"Invoiced Income",Project_Activity!$H$2:$H$5000,"&gt;="&amp;DATE(VALUE(LEFT($B57,4)),1,1),Project_Activity!$H$2:$H$5000,"&lt;="&amp;EOMONTH(DATE(VALUE(LEFT($B57,4)),VALUE(RIGHT($B57,1))*3,1),0)))</f>
        <v/>
      </c>
      <c r="P57" s="94" t="str">
        <f aca="false">IF($C57="","",SUMIFS(Project_Activity!$P$2:$P$5000,Project_Activity!$C$2:$C$5000,$C57,Project_Activity!$U$2:$U$5000,"Subcontractor",Project_Activity!$H$2:$H$5000,"&gt;="&amp;DATE(VALUE(LEFT($B57,4)),1,1),Project_Activity!$H$2:$H$5000,"&lt;="&amp;EOMONTH(DATE(VALUE(LEFT($B57,4)),VALUE(RIGHT($B57,1))*3,1),0)))</f>
        <v/>
      </c>
      <c r="Q57" s="94" t="str">
        <f aca="false">IF($C57="","",SUMIFS(Project_Activity!$P$2:$P$5000,Project_Activity!$C$2:$C$5000,$C57,Project_Activity!$U$2:$U$5000,"Project Inclusive",Project_Activity!$H$2:$H$5000,"&gt;="&amp;DATE(VALUE(LEFT($B57,4)),1,1),Project_Activity!$H$2:$H$5000,"&lt;="&amp;EOMONTH(DATE(VALUE(LEFT($B57,4)),VALUE(RIGHT($B57,1))*3,1),0)))</f>
        <v/>
      </c>
      <c r="R57" s="94" t="str">
        <f aca="false">IF($C57="","",SUMIFS(Project_Activity!$P$2:$P$5000,Project_Activity!$C$2:$C$5000,$C57,Project_Activity!$U$2:$U$5000,"Non-Recoverable",Project_Activity!$H$2:$H$5000,"&gt;="&amp;DATE(VALUE(LEFT($B57,4)),1,1),Project_Activity!$H$2:$H$5000,"&lt;="&amp;EOMONTH(DATE(VALUE(LEFT($B57,4)),VALUE(RIGHT($B57,1))*3,1),0)))</f>
        <v/>
      </c>
      <c r="S57" s="94" t="str">
        <f aca="false">IF($C57="","",$O57-$P57-$Q57-$R57)</f>
        <v/>
      </c>
      <c r="T57" s="94" t="str">
        <f aca="false">IF($C57="","",SUMIFS(Project_Activity!$P$2:$P$5000,Project_Activity!$C$2:$C$5000,$C57,Project_Activity!$U$2:$U$5000,"Recoverable",Project_Activity!$H$2:$H$5000,"&gt;="&amp;DATE(VALUE(LEFT($B57,4)),1,1),Project_Activity!$H$2:$H$5000,"&lt;="&amp;EOMONTH(DATE(VALUE(LEFT($B57,4)),VALUE(RIGHT($B57,1))*3,1),0)))</f>
        <v/>
      </c>
      <c r="U57" s="94" t="str">
        <f aca="false">IF($C57="","",-SUMIFS(Project_Activity!$P$2:$P$5000,Project_Activity!$C$2:$C$5000,$C57,Project_Activity!$U$2:$U$5000,"Recovered Expenses",Project_Activity!$H$2:$H$5000,"&gt;="&amp;DATE(VALUE(LEFT($B57,4)),1,1),Project_Activity!$H$2:$H$5000,"&lt;="&amp;EOMONTH(DATE(VALUE(LEFT($B57,4)),VALUE(RIGHT($B57,1))*3,1),0)))</f>
        <v/>
      </c>
      <c r="V57" s="145"/>
      <c r="W57" s="94" t="str">
        <f aca="false">IF($C57="","",$V57*$N57)</f>
        <v/>
      </c>
      <c r="X57" s="145"/>
      <c r="Y57" s="94" t="str">
        <f aca="false">IF($C57="","",$X57*$N57)</f>
        <v/>
      </c>
      <c r="Z57" s="145"/>
      <c r="AA57" s="94" t="str">
        <f aca="false">IF($C57="","",$Z57*$N57)</f>
        <v/>
      </c>
      <c r="AB57" s="145"/>
      <c r="AC57" s="94" t="str">
        <f aca="false">IF($C57="","",$AB57*$N57)</f>
        <v/>
      </c>
      <c r="AD57" s="94" t="str">
        <f aca="false">IF($C57="","",SUMPRODUCT((VALUE(MID($B57,7,1))&gt;={1,2,3,4})*CHOOSE({1,2,3,4},$W57,$Y57,$AA57,$AC57)))</f>
        <v/>
      </c>
      <c r="AE57" s="94" t="str">
        <f aca="false">IF($C57="","",$W57+$Y57+$AA57+$AC57-$AD57)</f>
        <v/>
      </c>
      <c r="AF57" s="146"/>
      <c r="AG57" s="146"/>
      <c r="AH57" s="146"/>
      <c r="AI57" s="147" t="str">
        <f aca="false">IF($C57="","",IF(OR($L57="Pipeline",$N57&lt;0,$O57&gt;$N57+1,($V57+$X57+$Z57+$AB57)&gt;1.0001,ISNUMBER(SEARCH("not signed",$AF57))),"REVIEW","OK"))</f>
        <v/>
      </c>
    </row>
    <row r="58" customFormat="false" ht="13.5" hidden="false" customHeight="false" outlineLevel="0" collapsed="false">
      <c r="A58" s="95" t="str">
        <f aca="false">IF($C58="","",Controls!$B$7)</f>
        <v/>
      </c>
      <c r="B58" s="95" t="str">
        <f aca="false">IF($C58="","",Controls!$B$30)</f>
        <v/>
      </c>
      <c r="C58" s="95" t="str">
        <f aca="false">IF(MM_Income!$A61="","",MM_Income!$A61)</f>
        <v/>
      </c>
      <c r="D58" s="95" t="str">
        <f aca="false">IF($C58="","",INDEX(MM_Income!$B$5:$B$204,MATCH($C58,MM_Income!$A$5:$A$204,0)))</f>
        <v/>
      </c>
      <c r="E58" s="95" t="str">
        <f aca="false">IF($C58="","",INDEX(MM_Income!$C$5:$C$204,MATCH($C58,MM_Income!$A$5:$A$204,0)))</f>
        <v/>
      </c>
      <c r="F58" s="95" t="str">
        <f aca="false">IF($C58="","",INDEX(MM_Income!$F$5:$F$204,MATCH($C58,MM_Income!$A$5:$A$204,0)))</f>
        <v/>
      </c>
      <c r="G58" s="95" t="str">
        <f aca="false">IF($C58="","",INDEX(MM_Income!$G$5:$G$204,MATCH($C58,MM_Income!$A$5:$A$204,0)))</f>
        <v/>
      </c>
      <c r="H58" s="95" t="str">
        <f aca="false">IF($C58="","",INDEX(MM_Income!$H$5:$H$204,MATCH($C58,MM_Income!$A$5:$A$204,0)))</f>
        <v/>
      </c>
      <c r="I58" s="95" t="str">
        <f aca="false">IF($C58="","",INDEX(MM_Income!$I$5:$I$204,MATCH($C58,MM_Income!$A$5:$A$204,0)))</f>
        <v/>
      </c>
      <c r="J58" s="95" t="str">
        <f aca="false">IF($C58="","",INDEX(MM_Income!$D$5:$D$204,MATCH($C58,MM_Income!$A$5:$A$204,0)))</f>
        <v/>
      </c>
      <c r="K58" s="95" t="str">
        <f aca="false">IF($C58="","",INDEX(MM_Income!$E$5:$E$204,MATCH($C58,MM_Income!$A$5:$A$204,0)))</f>
        <v/>
      </c>
      <c r="L58" s="95" t="str">
        <f aca="false">IF($C58="","",INDEX(MM_Income!$U$5:$U$204,MATCH($C58,MM_Income!$A$5:$A$204,0)))</f>
        <v/>
      </c>
      <c r="M58" s="143" t="str">
        <f aca="false">IF($C58="","",INDEX(MM_Income!$V$5:$V$204,MATCH($C58,MM_Income!$A$5:$A$204,0)))</f>
        <v/>
      </c>
      <c r="N58" s="144" t="str">
        <f aca="false">IF($C58="","",INDEX(MM_Income!$T$5:$T$204,MATCH($C58,MM_Income!$A$5:$A$204,0)))</f>
        <v/>
      </c>
      <c r="O58" s="94" t="str">
        <f aca="false">IF($C58="","",-SUMIFS(Project_Activity!$P$2:$P$5000,Project_Activity!$C$2:$C$5000,$C58,Project_Activity!$U$2:$U$5000,"Invoiced Income",Project_Activity!$H$2:$H$5000,"&gt;="&amp;DATE(VALUE(LEFT($B58,4)),1,1),Project_Activity!$H$2:$H$5000,"&lt;="&amp;EOMONTH(DATE(VALUE(LEFT($B58,4)),VALUE(RIGHT($B58,1))*3,1),0)))</f>
        <v/>
      </c>
      <c r="P58" s="94" t="str">
        <f aca="false">IF($C58="","",SUMIFS(Project_Activity!$P$2:$P$5000,Project_Activity!$C$2:$C$5000,$C58,Project_Activity!$U$2:$U$5000,"Subcontractor",Project_Activity!$H$2:$H$5000,"&gt;="&amp;DATE(VALUE(LEFT($B58,4)),1,1),Project_Activity!$H$2:$H$5000,"&lt;="&amp;EOMONTH(DATE(VALUE(LEFT($B58,4)),VALUE(RIGHT($B58,1))*3,1),0)))</f>
        <v/>
      </c>
      <c r="Q58" s="94" t="str">
        <f aca="false">IF($C58="","",SUMIFS(Project_Activity!$P$2:$P$5000,Project_Activity!$C$2:$C$5000,$C58,Project_Activity!$U$2:$U$5000,"Project Inclusive",Project_Activity!$H$2:$H$5000,"&gt;="&amp;DATE(VALUE(LEFT($B58,4)),1,1),Project_Activity!$H$2:$H$5000,"&lt;="&amp;EOMONTH(DATE(VALUE(LEFT($B58,4)),VALUE(RIGHT($B58,1))*3,1),0)))</f>
        <v/>
      </c>
      <c r="R58" s="94" t="str">
        <f aca="false">IF($C58="","",SUMIFS(Project_Activity!$P$2:$P$5000,Project_Activity!$C$2:$C$5000,$C58,Project_Activity!$U$2:$U$5000,"Non-Recoverable",Project_Activity!$H$2:$H$5000,"&gt;="&amp;DATE(VALUE(LEFT($B58,4)),1,1),Project_Activity!$H$2:$H$5000,"&lt;="&amp;EOMONTH(DATE(VALUE(LEFT($B58,4)),VALUE(RIGHT($B58,1))*3,1),0)))</f>
        <v/>
      </c>
      <c r="S58" s="94" t="str">
        <f aca="false">IF($C58="","",$O58-$P58-$Q58-$R58)</f>
        <v/>
      </c>
      <c r="T58" s="94" t="str">
        <f aca="false">IF($C58="","",SUMIFS(Project_Activity!$P$2:$P$5000,Project_Activity!$C$2:$C$5000,$C58,Project_Activity!$U$2:$U$5000,"Recoverable",Project_Activity!$H$2:$H$5000,"&gt;="&amp;DATE(VALUE(LEFT($B58,4)),1,1),Project_Activity!$H$2:$H$5000,"&lt;="&amp;EOMONTH(DATE(VALUE(LEFT($B58,4)),VALUE(RIGHT($B58,1))*3,1),0)))</f>
        <v/>
      </c>
      <c r="U58" s="94" t="str">
        <f aca="false">IF($C58="","",-SUMIFS(Project_Activity!$P$2:$P$5000,Project_Activity!$C$2:$C$5000,$C58,Project_Activity!$U$2:$U$5000,"Recovered Expenses",Project_Activity!$H$2:$H$5000,"&gt;="&amp;DATE(VALUE(LEFT($B58,4)),1,1),Project_Activity!$H$2:$H$5000,"&lt;="&amp;EOMONTH(DATE(VALUE(LEFT($B58,4)),VALUE(RIGHT($B58,1))*3,1),0)))</f>
        <v/>
      </c>
      <c r="V58" s="145"/>
      <c r="W58" s="94" t="str">
        <f aca="false">IF($C58="","",$V58*$N58)</f>
        <v/>
      </c>
      <c r="X58" s="145"/>
      <c r="Y58" s="94" t="str">
        <f aca="false">IF($C58="","",$X58*$N58)</f>
        <v/>
      </c>
      <c r="Z58" s="145"/>
      <c r="AA58" s="94" t="str">
        <f aca="false">IF($C58="","",$Z58*$N58)</f>
        <v/>
      </c>
      <c r="AB58" s="145"/>
      <c r="AC58" s="94" t="str">
        <f aca="false">IF($C58="","",$AB58*$N58)</f>
        <v/>
      </c>
      <c r="AD58" s="94" t="str">
        <f aca="false">IF($C58="","",SUMPRODUCT((VALUE(MID($B58,7,1))&gt;={1,2,3,4})*CHOOSE({1,2,3,4},$W58,$Y58,$AA58,$AC58)))</f>
        <v/>
      </c>
      <c r="AE58" s="94" t="str">
        <f aca="false">IF($C58="","",$W58+$Y58+$AA58+$AC58-$AD58)</f>
        <v/>
      </c>
      <c r="AF58" s="146"/>
      <c r="AG58" s="146"/>
      <c r="AH58" s="146"/>
      <c r="AI58" s="147" t="str">
        <f aca="false">IF($C58="","",IF(OR($L58="Pipeline",$N58&lt;0,$O58&gt;$N58+1,($V58+$X58+$Z58+$AB58)&gt;1.0001,ISNUMBER(SEARCH("not signed",$AF58))),"REVIEW","OK"))</f>
        <v/>
      </c>
    </row>
    <row r="59" customFormat="false" ht="13.5" hidden="false" customHeight="false" outlineLevel="0" collapsed="false">
      <c r="A59" s="95" t="str">
        <f aca="false">IF($C59="","",Controls!$B$7)</f>
        <v/>
      </c>
      <c r="B59" s="95" t="str">
        <f aca="false">IF($C59="","",Controls!$B$30)</f>
        <v/>
      </c>
      <c r="C59" s="95" t="str">
        <f aca="false">IF(MM_Income!$A62="","",MM_Income!$A62)</f>
        <v/>
      </c>
      <c r="D59" s="95" t="str">
        <f aca="false">IF($C59="","",INDEX(MM_Income!$B$5:$B$204,MATCH($C59,MM_Income!$A$5:$A$204,0)))</f>
        <v/>
      </c>
      <c r="E59" s="95" t="str">
        <f aca="false">IF($C59="","",INDEX(MM_Income!$C$5:$C$204,MATCH($C59,MM_Income!$A$5:$A$204,0)))</f>
        <v/>
      </c>
      <c r="F59" s="95" t="str">
        <f aca="false">IF($C59="","",INDEX(MM_Income!$F$5:$F$204,MATCH($C59,MM_Income!$A$5:$A$204,0)))</f>
        <v/>
      </c>
      <c r="G59" s="95" t="str">
        <f aca="false">IF($C59="","",INDEX(MM_Income!$G$5:$G$204,MATCH($C59,MM_Income!$A$5:$A$204,0)))</f>
        <v/>
      </c>
      <c r="H59" s="95" t="str">
        <f aca="false">IF($C59="","",INDEX(MM_Income!$H$5:$H$204,MATCH($C59,MM_Income!$A$5:$A$204,0)))</f>
        <v/>
      </c>
      <c r="I59" s="95" t="str">
        <f aca="false">IF($C59="","",INDEX(MM_Income!$I$5:$I$204,MATCH($C59,MM_Income!$A$5:$A$204,0)))</f>
        <v/>
      </c>
      <c r="J59" s="95" t="str">
        <f aca="false">IF($C59="","",INDEX(MM_Income!$D$5:$D$204,MATCH($C59,MM_Income!$A$5:$A$204,0)))</f>
        <v/>
      </c>
      <c r="K59" s="95" t="str">
        <f aca="false">IF($C59="","",INDEX(MM_Income!$E$5:$E$204,MATCH($C59,MM_Income!$A$5:$A$204,0)))</f>
        <v/>
      </c>
      <c r="L59" s="95" t="str">
        <f aca="false">IF($C59="","",INDEX(MM_Income!$U$5:$U$204,MATCH($C59,MM_Income!$A$5:$A$204,0)))</f>
        <v/>
      </c>
      <c r="M59" s="143" t="str">
        <f aca="false">IF($C59="","",INDEX(MM_Income!$V$5:$V$204,MATCH($C59,MM_Income!$A$5:$A$204,0)))</f>
        <v/>
      </c>
      <c r="N59" s="144" t="str">
        <f aca="false">IF($C59="","",INDEX(MM_Income!$T$5:$T$204,MATCH($C59,MM_Income!$A$5:$A$204,0)))</f>
        <v/>
      </c>
      <c r="O59" s="94" t="str">
        <f aca="false">IF($C59="","",-SUMIFS(Project_Activity!$P$2:$P$5000,Project_Activity!$C$2:$C$5000,$C59,Project_Activity!$U$2:$U$5000,"Invoiced Income",Project_Activity!$H$2:$H$5000,"&gt;="&amp;DATE(VALUE(LEFT($B59,4)),1,1),Project_Activity!$H$2:$H$5000,"&lt;="&amp;EOMONTH(DATE(VALUE(LEFT($B59,4)),VALUE(RIGHT($B59,1))*3,1),0)))</f>
        <v/>
      </c>
      <c r="P59" s="94" t="str">
        <f aca="false">IF($C59="","",SUMIFS(Project_Activity!$P$2:$P$5000,Project_Activity!$C$2:$C$5000,$C59,Project_Activity!$U$2:$U$5000,"Subcontractor",Project_Activity!$H$2:$H$5000,"&gt;="&amp;DATE(VALUE(LEFT($B59,4)),1,1),Project_Activity!$H$2:$H$5000,"&lt;="&amp;EOMONTH(DATE(VALUE(LEFT($B59,4)),VALUE(RIGHT($B59,1))*3,1),0)))</f>
        <v/>
      </c>
      <c r="Q59" s="94" t="str">
        <f aca="false">IF($C59="","",SUMIFS(Project_Activity!$P$2:$P$5000,Project_Activity!$C$2:$C$5000,$C59,Project_Activity!$U$2:$U$5000,"Project Inclusive",Project_Activity!$H$2:$H$5000,"&gt;="&amp;DATE(VALUE(LEFT($B59,4)),1,1),Project_Activity!$H$2:$H$5000,"&lt;="&amp;EOMONTH(DATE(VALUE(LEFT($B59,4)),VALUE(RIGHT($B59,1))*3,1),0)))</f>
        <v/>
      </c>
      <c r="R59" s="94" t="str">
        <f aca="false">IF($C59="","",SUMIFS(Project_Activity!$P$2:$P$5000,Project_Activity!$C$2:$C$5000,$C59,Project_Activity!$U$2:$U$5000,"Non-Recoverable",Project_Activity!$H$2:$H$5000,"&gt;="&amp;DATE(VALUE(LEFT($B59,4)),1,1),Project_Activity!$H$2:$H$5000,"&lt;="&amp;EOMONTH(DATE(VALUE(LEFT($B59,4)),VALUE(RIGHT($B59,1))*3,1),0)))</f>
        <v/>
      </c>
      <c r="S59" s="94" t="str">
        <f aca="false">IF($C59="","",$O59-$P59-$Q59-$R59)</f>
        <v/>
      </c>
      <c r="T59" s="94" t="str">
        <f aca="false">IF($C59="","",SUMIFS(Project_Activity!$P$2:$P$5000,Project_Activity!$C$2:$C$5000,$C59,Project_Activity!$U$2:$U$5000,"Recoverable",Project_Activity!$H$2:$H$5000,"&gt;="&amp;DATE(VALUE(LEFT($B59,4)),1,1),Project_Activity!$H$2:$H$5000,"&lt;="&amp;EOMONTH(DATE(VALUE(LEFT($B59,4)),VALUE(RIGHT($B59,1))*3,1),0)))</f>
        <v/>
      </c>
      <c r="U59" s="94" t="str">
        <f aca="false">IF($C59="","",-SUMIFS(Project_Activity!$P$2:$P$5000,Project_Activity!$C$2:$C$5000,$C59,Project_Activity!$U$2:$U$5000,"Recovered Expenses",Project_Activity!$H$2:$H$5000,"&gt;="&amp;DATE(VALUE(LEFT($B59,4)),1,1),Project_Activity!$H$2:$H$5000,"&lt;="&amp;EOMONTH(DATE(VALUE(LEFT($B59,4)),VALUE(RIGHT($B59,1))*3,1),0)))</f>
        <v/>
      </c>
      <c r="V59" s="145"/>
      <c r="W59" s="94" t="str">
        <f aca="false">IF($C59="","",$V59*$N59)</f>
        <v/>
      </c>
      <c r="X59" s="145"/>
      <c r="Y59" s="94" t="str">
        <f aca="false">IF($C59="","",$X59*$N59)</f>
        <v/>
      </c>
      <c r="Z59" s="145"/>
      <c r="AA59" s="94" t="str">
        <f aca="false">IF($C59="","",$Z59*$N59)</f>
        <v/>
      </c>
      <c r="AB59" s="145"/>
      <c r="AC59" s="94" t="str">
        <f aca="false">IF($C59="","",$AB59*$N59)</f>
        <v/>
      </c>
      <c r="AD59" s="94" t="str">
        <f aca="false">IF($C59="","",SUMPRODUCT((VALUE(MID($B59,7,1))&gt;={1,2,3,4})*CHOOSE({1,2,3,4},$W59,$Y59,$AA59,$AC59)))</f>
        <v/>
      </c>
      <c r="AE59" s="94" t="str">
        <f aca="false">IF($C59="","",$W59+$Y59+$AA59+$AC59-$AD59)</f>
        <v/>
      </c>
      <c r="AF59" s="146"/>
      <c r="AG59" s="146"/>
      <c r="AH59" s="146"/>
      <c r="AI59" s="147" t="str">
        <f aca="false">IF($C59="","",IF(OR($L59="Pipeline",$N59&lt;0,$O59&gt;$N59+1,($V59+$X59+$Z59+$AB59)&gt;1.0001,ISNUMBER(SEARCH("not signed",$AF59))),"REVIEW","OK"))</f>
        <v/>
      </c>
    </row>
    <row r="60" customFormat="false" ht="13.5" hidden="false" customHeight="false" outlineLevel="0" collapsed="false">
      <c r="A60" s="95" t="str">
        <f aca="false">IF($C60="","",Controls!$B$7)</f>
        <v/>
      </c>
      <c r="B60" s="95" t="str">
        <f aca="false">IF($C60="","",Controls!$B$30)</f>
        <v/>
      </c>
      <c r="C60" s="95" t="str">
        <f aca="false">IF(MM_Income!$A63="","",MM_Income!$A63)</f>
        <v/>
      </c>
      <c r="D60" s="95" t="str">
        <f aca="false">IF($C60="","",INDEX(MM_Income!$B$5:$B$204,MATCH($C60,MM_Income!$A$5:$A$204,0)))</f>
        <v/>
      </c>
      <c r="E60" s="95" t="str">
        <f aca="false">IF($C60="","",INDEX(MM_Income!$C$5:$C$204,MATCH($C60,MM_Income!$A$5:$A$204,0)))</f>
        <v/>
      </c>
      <c r="F60" s="95" t="str">
        <f aca="false">IF($C60="","",INDEX(MM_Income!$F$5:$F$204,MATCH($C60,MM_Income!$A$5:$A$204,0)))</f>
        <v/>
      </c>
      <c r="G60" s="95" t="str">
        <f aca="false">IF($C60="","",INDEX(MM_Income!$G$5:$G$204,MATCH($C60,MM_Income!$A$5:$A$204,0)))</f>
        <v/>
      </c>
      <c r="H60" s="95" t="str">
        <f aca="false">IF($C60="","",INDEX(MM_Income!$H$5:$H$204,MATCH($C60,MM_Income!$A$5:$A$204,0)))</f>
        <v/>
      </c>
      <c r="I60" s="95" t="str">
        <f aca="false">IF($C60="","",INDEX(MM_Income!$I$5:$I$204,MATCH($C60,MM_Income!$A$5:$A$204,0)))</f>
        <v/>
      </c>
      <c r="J60" s="95" t="str">
        <f aca="false">IF($C60="","",INDEX(MM_Income!$D$5:$D$204,MATCH($C60,MM_Income!$A$5:$A$204,0)))</f>
        <v/>
      </c>
      <c r="K60" s="95" t="str">
        <f aca="false">IF($C60="","",INDEX(MM_Income!$E$5:$E$204,MATCH($C60,MM_Income!$A$5:$A$204,0)))</f>
        <v/>
      </c>
      <c r="L60" s="95" t="str">
        <f aca="false">IF($C60="","",INDEX(MM_Income!$U$5:$U$204,MATCH($C60,MM_Income!$A$5:$A$204,0)))</f>
        <v/>
      </c>
      <c r="M60" s="143" t="str">
        <f aca="false">IF($C60="","",INDEX(MM_Income!$V$5:$V$204,MATCH($C60,MM_Income!$A$5:$A$204,0)))</f>
        <v/>
      </c>
      <c r="N60" s="144" t="str">
        <f aca="false">IF($C60="","",INDEX(MM_Income!$T$5:$T$204,MATCH($C60,MM_Income!$A$5:$A$204,0)))</f>
        <v/>
      </c>
      <c r="O60" s="94" t="str">
        <f aca="false">IF($C60="","",-SUMIFS(Project_Activity!$P$2:$P$5000,Project_Activity!$C$2:$C$5000,$C60,Project_Activity!$U$2:$U$5000,"Invoiced Income",Project_Activity!$H$2:$H$5000,"&gt;="&amp;DATE(VALUE(LEFT($B60,4)),1,1),Project_Activity!$H$2:$H$5000,"&lt;="&amp;EOMONTH(DATE(VALUE(LEFT($B60,4)),VALUE(RIGHT($B60,1))*3,1),0)))</f>
        <v/>
      </c>
      <c r="P60" s="94" t="str">
        <f aca="false">IF($C60="","",SUMIFS(Project_Activity!$P$2:$P$5000,Project_Activity!$C$2:$C$5000,$C60,Project_Activity!$U$2:$U$5000,"Subcontractor",Project_Activity!$H$2:$H$5000,"&gt;="&amp;DATE(VALUE(LEFT($B60,4)),1,1),Project_Activity!$H$2:$H$5000,"&lt;="&amp;EOMONTH(DATE(VALUE(LEFT($B60,4)),VALUE(RIGHT($B60,1))*3,1),0)))</f>
        <v/>
      </c>
      <c r="Q60" s="94" t="str">
        <f aca="false">IF($C60="","",SUMIFS(Project_Activity!$P$2:$P$5000,Project_Activity!$C$2:$C$5000,$C60,Project_Activity!$U$2:$U$5000,"Project Inclusive",Project_Activity!$H$2:$H$5000,"&gt;="&amp;DATE(VALUE(LEFT($B60,4)),1,1),Project_Activity!$H$2:$H$5000,"&lt;="&amp;EOMONTH(DATE(VALUE(LEFT($B60,4)),VALUE(RIGHT($B60,1))*3,1),0)))</f>
        <v/>
      </c>
      <c r="R60" s="94" t="str">
        <f aca="false">IF($C60="","",SUMIFS(Project_Activity!$P$2:$P$5000,Project_Activity!$C$2:$C$5000,$C60,Project_Activity!$U$2:$U$5000,"Non-Recoverable",Project_Activity!$H$2:$H$5000,"&gt;="&amp;DATE(VALUE(LEFT($B60,4)),1,1),Project_Activity!$H$2:$H$5000,"&lt;="&amp;EOMONTH(DATE(VALUE(LEFT($B60,4)),VALUE(RIGHT($B60,1))*3,1),0)))</f>
        <v/>
      </c>
      <c r="S60" s="94" t="str">
        <f aca="false">IF($C60="","",$O60-$P60-$Q60-$R60)</f>
        <v/>
      </c>
      <c r="T60" s="94" t="str">
        <f aca="false">IF($C60="","",SUMIFS(Project_Activity!$P$2:$P$5000,Project_Activity!$C$2:$C$5000,$C60,Project_Activity!$U$2:$U$5000,"Recoverable",Project_Activity!$H$2:$H$5000,"&gt;="&amp;DATE(VALUE(LEFT($B60,4)),1,1),Project_Activity!$H$2:$H$5000,"&lt;="&amp;EOMONTH(DATE(VALUE(LEFT($B60,4)),VALUE(RIGHT($B60,1))*3,1),0)))</f>
        <v/>
      </c>
      <c r="U60" s="94" t="str">
        <f aca="false">IF($C60="","",-SUMIFS(Project_Activity!$P$2:$P$5000,Project_Activity!$C$2:$C$5000,$C60,Project_Activity!$U$2:$U$5000,"Recovered Expenses",Project_Activity!$H$2:$H$5000,"&gt;="&amp;DATE(VALUE(LEFT($B60,4)),1,1),Project_Activity!$H$2:$H$5000,"&lt;="&amp;EOMONTH(DATE(VALUE(LEFT($B60,4)),VALUE(RIGHT($B60,1))*3,1),0)))</f>
        <v/>
      </c>
      <c r="V60" s="145"/>
      <c r="W60" s="94" t="str">
        <f aca="false">IF($C60="","",$V60*$N60)</f>
        <v/>
      </c>
      <c r="X60" s="145"/>
      <c r="Y60" s="94" t="str">
        <f aca="false">IF($C60="","",$X60*$N60)</f>
        <v/>
      </c>
      <c r="Z60" s="145"/>
      <c r="AA60" s="94" t="str">
        <f aca="false">IF($C60="","",$Z60*$N60)</f>
        <v/>
      </c>
      <c r="AB60" s="145"/>
      <c r="AC60" s="94" t="str">
        <f aca="false">IF($C60="","",$AB60*$N60)</f>
        <v/>
      </c>
      <c r="AD60" s="94" t="str">
        <f aca="false">IF($C60="","",SUMPRODUCT((VALUE(MID($B60,7,1))&gt;={1,2,3,4})*CHOOSE({1,2,3,4},$W60,$Y60,$AA60,$AC60)))</f>
        <v/>
      </c>
      <c r="AE60" s="94" t="str">
        <f aca="false">IF($C60="","",$W60+$Y60+$AA60+$AC60-$AD60)</f>
        <v/>
      </c>
      <c r="AF60" s="146"/>
      <c r="AG60" s="146"/>
      <c r="AH60" s="146"/>
      <c r="AI60" s="147" t="str">
        <f aca="false">IF($C60="","",IF(OR($L60="Pipeline",$N60&lt;0,$O60&gt;$N60+1,($V60+$X60+$Z60+$AB60)&gt;1.0001,ISNUMBER(SEARCH("not signed",$AF60))),"REVIEW","OK"))</f>
        <v/>
      </c>
    </row>
    <row r="61" customFormat="false" ht="13.5" hidden="false" customHeight="false" outlineLevel="0" collapsed="false">
      <c r="A61" s="95" t="str">
        <f aca="false">IF($C61="","",Controls!$B$7)</f>
        <v/>
      </c>
      <c r="B61" s="95" t="str">
        <f aca="false">IF($C61="","",Controls!$B$30)</f>
        <v/>
      </c>
      <c r="C61" s="95" t="str">
        <f aca="false">IF(MM_Income!$A64="","",MM_Income!$A64)</f>
        <v/>
      </c>
      <c r="D61" s="95" t="str">
        <f aca="false">IF($C61="","",INDEX(MM_Income!$B$5:$B$204,MATCH($C61,MM_Income!$A$5:$A$204,0)))</f>
        <v/>
      </c>
      <c r="E61" s="95" t="str">
        <f aca="false">IF($C61="","",INDEX(MM_Income!$C$5:$C$204,MATCH($C61,MM_Income!$A$5:$A$204,0)))</f>
        <v/>
      </c>
      <c r="F61" s="95" t="str">
        <f aca="false">IF($C61="","",INDEX(MM_Income!$F$5:$F$204,MATCH($C61,MM_Income!$A$5:$A$204,0)))</f>
        <v/>
      </c>
      <c r="G61" s="95" t="str">
        <f aca="false">IF($C61="","",INDEX(MM_Income!$G$5:$G$204,MATCH($C61,MM_Income!$A$5:$A$204,0)))</f>
        <v/>
      </c>
      <c r="H61" s="95" t="str">
        <f aca="false">IF($C61="","",INDEX(MM_Income!$H$5:$H$204,MATCH($C61,MM_Income!$A$5:$A$204,0)))</f>
        <v/>
      </c>
      <c r="I61" s="95" t="str">
        <f aca="false">IF($C61="","",INDEX(MM_Income!$I$5:$I$204,MATCH($C61,MM_Income!$A$5:$A$204,0)))</f>
        <v/>
      </c>
      <c r="J61" s="95" t="str">
        <f aca="false">IF($C61="","",INDEX(MM_Income!$D$5:$D$204,MATCH($C61,MM_Income!$A$5:$A$204,0)))</f>
        <v/>
      </c>
      <c r="K61" s="95" t="str">
        <f aca="false">IF($C61="","",INDEX(MM_Income!$E$5:$E$204,MATCH($C61,MM_Income!$A$5:$A$204,0)))</f>
        <v/>
      </c>
      <c r="L61" s="95" t="str">
        <f aca="false">IF($C61="","",INDEX(MM_Income!$U$5:$U$204,MATCH($C61,MM_Income!$A$5:$A$204,0)))</f>
        <v/>
      </c>
      <c r="M61" s="143" t="str">
        <f aca="false">IF($C61="","",INDEX(MM_Income!$V$5:$V$204,MATCH($C61,MM_Income!$A$5:$A$204,0)))</f>
        <v/>
      </c>
      <c r="N61" s="144" t="str">
        <f aca="false">IF($C61="","",INDEX(MM_Income!$T$5:$T$204,MATCH($C61,MM_Income!$A$5:$A$204,0)))</f>
        <v/>
      </c>
      <c r="O61" s="94" t="str">
        <f aca="false">IF($C61="","",-SUMIFS(Project_Activity!$P$2:$P$5000,Project_Activity!$C$2:$C$5000,$C61,Project_Activity!$U$2:$U$5000,"Invoiced Income",Project_Activity!$H$2:$H$5000,"&gt;="&amp;DATE(VALUE(LEFT($B61,4)),1,1),Project_Activity!$H$2:$H$5000,"&lt;="&amp;EOMONTH(DATE(VALUE(LEFT($B61,4)),VALUE(RIGHT($B61,1))*3,1),0)))</f>
        <v/>
      </c>
      <c r="P61" s="94" t="str">
        <f aca="false">IF($C61="","",SUMIFS(Project_Activity!$P$2:$P$5000,Project_Activity!$C$2:$C$5000,$C61,Project_Activity!$U$2:$U$5000,"Subcontractor",Project_Activity!$H$2:$H$5000,"&gt;="&amp;DATE(VALUE(LEFT($B61,4)),1,1),Project_Activity!$H$2:$H$5000,"&lt;="&amp;EOMONTH(DATE(VALUE(LEFT($B61,4)),VALUE(RIGHT($B61,1))*3,1),0)))</f>
        <v/>
      </c>
      <c r="Q61" s="94" t="str">
        <f aca="false">IF($C61="","",SUMIFS(Project_Activity!$P$2:$P$5000,Project_Activity!$C$2:$C$5000,$C61,Project_Activity!$U$2:$U$5000,"Project Inclusive",Project_Activity!$H$2:$H$5000,"&gt;="&amp;DATE(VALUE(LEFT($B61,4)),1,1),Project_Activity!$H$2:$H$5000,"&lt;="&amp;EOMONTH(DATE(VALUE(LEFT($B61,4)),VALUE(RIGHT($B61,1))*3,1),0)))</f>
        <v/>
      </c>
      <c r="R61" s="94" t="str">
        <f aca="false">IF($C61="","",SUMIFS(Project_Activity!$P$2:$P$5000,Project_Activity!$C$2:$C$5000,$C61,Project_Activity!$U$2:$U$5000,"Non-Recoverable",Project_Activity!$H$2:$H$5000,"&gt;="&amp;DATE(VALUE(LEFT($B61,4)),1,1),Project_Activity!$H$2:$H$5000,"&lt;="&amp;EOMONTH(DATE(VALUE(LEFT($B61,4)),VALUE(RIGHT($B61,1))*3,1),0)))</f>
        <v/>
      </c>
      <c r="S61" s="94" t="str">
        <f aca="false">IF($C61="","",$O61-$P61-$Q61-$R61)</f>
        <v/>
      </c>
      <c r="T61" s="94" t="str">
        <f aca="false">IF($C61="","",SUMIFS(Project_Activity!$P$2:$P$5000,Project_Activity!$C$2:$C$5000,$C61,Project_Activity!$U$2:$U$5000,"Recoverable",Project_Activity!$H$2:$H$5000,"&gt;="&amp;DATE(VALUE(LEFT($B61,4)),1,1),Project_Activity!$H$2:$H$5000,"&lt;="&amp;EOMONTH(DATE(VALUE(LEFT($B61,4)),VALUE(RIGHT($B61,1))*3,1),0)))</f>
        <v/>
      </c>
      <c r="U61" s="94" t="str">
        <f aca="false">IF($C61="","",-SUMIFS(Project_Activity!$P$2:$P$5000,Project_Activity!$C$2:$C$5000,$C61,Project_Activity!$U$2:$U$5000,"Recovered Expenses",Project_Activity!$H$2:$H$5000,"&gt;="&amp;DATE(VALUE(LEFT($B61,4)),1,1),Project_Activity!$H$2:$H$5000,"&lt;="&amp;EOMONTH(DATE(VALUE(LEFT($B61,4)),VALUE(RIGHT($B61,1))*3,1),0)))</f>
        <v/>
      </c>
      <c r="V61" s="145"/>
      <c r="W61" s="94" t="str">
        <f aca="false">IF($C61="","",$V61*$N61)</f>
        <v/>
      </c>
      <c r="X61" s="145"/>
      <c r="Y61" s="94" t="str">
        <f aca="false">IF($C61="","",$X61*$N61)</f>
        <v/>
      </c>
      <c r="Z61" s="145"/>
      <c r="AA61" s="94" t="str">
        <f aca="false">IF($C61="","",$Z61*$N61)</f>
        <v/>
      </c>
      <c r="AB61" s="145"/>
      <c r="AC61" s="94" t="str">
        <f aca="false">IF($C61="","",$AB61*$N61)</f>
        <v/>
      </c>
      <c r="AD61" s="94" t="str">
        <f aca="false">IF($C61="","",SUMPRODUCT((VALUE(MID($B61,7,1))&gt;={1,2,3,4})*CHOOSE({1,2,3,4},$W61,$Y61,$AA61,$AC61)))</f>
        <v/>
      </c>
      <c r="AE61" s="94" t="str">
        <f aca="false">IF($C61="","",$W61+$Y61+$AA61+$AC61-$AD61)</f>
        <v/>
      </c>
      <c r="AF61" s="146"/>
      <c r="AG61" s="146"/>
      <c r="AH61" s="146"/>
      <c r="AI61" s="147" t="str">
        <f aca="false">IF($C61="","",IF(OR($L61="Pipeline",$N61&lt;0,$O61&gt;$N61+1,($V61+$X61+$Z61+$AB61)&gt;1.0001,ISNUMBER(SEARCH("not signed",$AF61))),"REVIEW","OK"))</f>
        <v/>
      </c>
    </row>
    <row r="62" customFormat="false" ht="13.5" hidden="false" customHeight="false" outlineLevel="0" collapsed="false">
      <c r="A62" s="95" t="str">
        <f aca="false">IF($C62="","",Controls!$B$7)</f>
        <v/>
      </c>
      <c r="B62" s="95" t="str">
        <f aca="false">IF($C62="","",Controls!$B$30)</f>
        <v/>
      </c>
      <c r="C62" s="95" t="str">
        <f aca="false">IF(MM_Income!$A65="","",MM_Income!$A65)</f>
        <v/>
      </c>
      <c r="D62" s="95" t="str">
        <f aca="false">IF($C62="","",INDEX(MM_Income!$B$5:$B$204,MATCH($C62,MM_Income!$A$5:$A$204,0)))</f>
        <v/>
      </c>
      <c r="E62" s="95" t="str">
        <f aca="false">IF($C62="","",INDEX(MM_Income!$C$5:$C$204,MATCH($C62,MM_Income!$A$5:$A$204,0)))</f>
        <v/>
      </c>
      <c r="F62" s="95" t="str">
        <f aca="false">IF($C62="","",INDEX(MM_Income!$F$5:$F$204,MATCH($C62,MM_Income!$A$5:$A$204,0)))</f>
        <v/>
      </c>
      <c r="G62" s="95" t="str">
        <f aca="false">IF($C62="","",INDEX(MM_Income!$G$5:$G$204,MATCH($C62,MM_Income!$A$5:$A$204,0)))</f>
        <v/>
      </c>
      <c r="H62" s="95" t="str">
        <f aca="false">IF($C62="","",INDEX(MM_Income!$H$5:$H$204,MATCH($C62,MM_Income!$A$5:$A$204,0)))</f>
        <v/>
      </c>
      <c r="I62" s="95" t="str">
        <f aca="false">IF($C62="","",INDEX(MM_Income!$I$5:$I$204,MATCH($C62,MM_Income!$A$5:$A$204,0)))</f>
        <v/>
      </c>
      <c r="J62" s="95" t="str">
        <f aca="false">IF($C62="","",INDEX(MM_Income!$D$5:$D$204,MATCH($C62,MM_Income!$A$5:$A$204,0)))</f>
        <v/>
      </c>
      <c r="K62" s="95" t="str">
        <f aca="false">IF($C62="","",INDEX(MM_Income!$E$5:$E$204,MATCH($C62,MM_Income!$A$5:$A$204,0)))</f>
        <v/>
      </c>
      <c r="L62" s="95" t="str">
        <f aca="false">IF($C62="","",INDEX(MM_Income!$U$5:$U$204,MATCH($C62,MM_Income!$A$5:$A$204,0)))</f>
        <v/>
      </c>
      <c r="M62" s="143" t="str">
        <f aca="false">IF($C62="","",INDEX(MM_Income!$V$5:$V$204,MATCH($C62,MM_Income!$A$5:$A$204,0)))</f>
        <v/>
      </c>
      <c r="N62" s="144" t="str">
        <f aca="false">IF($C62="","",INDEX(MM_Income!$T$5:$T$204,MATCH($C62,MM_Income!$A$5:$A$204,0)))</f>
        <v/>
      </c>
      <c r="O62" s="94" t="str">
        <f aca="false">IF($C62="","",-SUMIFS(Project_Activity!$P$2:$P$5000,Project_Activity!$C$2:$C$5000,$C62,Project_Activity!$U$2:$U$5000,"Invoiced Income",Project_Activity!$H$2:$H$5000,"&gt;="&amp;DATE(VALUE(LEFT($B62,4)),1,1),Project_Activity!$H$2:$H$5000,"&lt;="&amp;EOMONTH(DATE(VALUE(LEFT($B62,4)),VALUE(RIGHT($B62,1))*3,1),0)))</f>
        <v/>
      </c>
      <c r="P62" s="94" t="str">
        <f aca="false">IF($C62="","",SUMIFS(Project_Activity!$P$2:$P$5000,Project_Activity!$C$2:$C$5000,$C62,Project_Activity!$U$2:$U$5000,"Subcontractor",Project_Activity!$H$2:$H$5000,"&gt;="&amp;DATE(VALUE(LEFT($B62,4)),1,1),Project_Activity!$H$2:$H$5000,"&lt;="&amp;EOMONTH(DATE(VALUE(LEFT($B62,4)),VALUE(RIGHT($B62,1))*3,1),0)))</f>
        <v/>
      </c>
      <c r="Q62" s="94" t="str">
        <f aca="false">IF($C62="","",SUMIFS(Project_Activity!$P$2:$P$5000,Project_Activity!$C$2:$C$5000,$C62,Project_Activity!$U$2:$U$5000,"Project Inclusive",Project_Activity!$H$2:$H$5000,"&gt;="&amp;DATE(VALUE(LEFT($B62,4)),1,1),Project_Activity!$H$2:$H$5000,"&lt;="&amp;EOMONTH(DATE(VALUE(LEFT($B62,4)),VALUE(RIGHT($B62,1))*3,1),0)))</f>
        <v/>
      </c>
      <c r="R62" s="94" t="str">
        <f aca="false">IF($C62="","",SUMIFS(Project_Activity!$P$2:$P$5000,Project_Activity!$C$2:$C$5000,$C62,Project_Activity!$U$2:$U$5000,"Non-Recoverable",Project_Activity!$H$2:$H$5000,"&gt;="&amp;DATE(VALUE(LEFT($B62,4)),1,1),Project_Activity!$H$2:$H$5000,"&lt;="&amp;EOMONTH(DATE(VALUE(LEFT($B62,4)),VALUE(RIGHT($B62,1))*3,1),0)))</f>
        <v/>
      </c>
      <c r="S62" s="94" t="str">
        <f aca="false">IF($C62="","",$O62-$P62-$Q62-$R62)</f>
        <v/>
      </c>
      <c r="T62" s="94" t="str">
        <f aca="false">IF($C62="","",SUMIFS(Project_Activity!$P$2:$P$5000,Project_Activity!$C$2:$C$5000,$C62,Project_Activity!$U$2:$U$5000,"Recoverable",Project_Activity!$H$2:$H$5000,"&gt;="&amp;DATE(VALUE(LEFT($B62,4)),1,1),Project_Activity!$H$2:$H$5000,"&lt;="&amp;EOMONTH(DATE(VALUE(LEFT($B62,4)),VALUE(RIGHT($B62,1))*3,1),0)))</f>
        <v/>
      </c>
      <c r="U62" s="94" t="str">
        <f aca="false">IF($C62="","",-SUMIFS(Project_Activity!$P$2:$P$5000,Project_Activity!$C$2:$C$5000,$C62,Project_Activity!$U$2:$U$5000,"Recovered Expenses",Project_Activity!$H$2:$H$5000,"&gt;="&amp;DATE(VALUE(LEFT($B62,4)),1,1),Project_Activity!$H$2:$H$5000,"&lt;="&amp;EOMONTH(DATE(VALUE(LEFT($B62,4)),VALUE(RIGHT($B62,1))*3,1),0)))</f>
        <v/>
      </c>
      <c r="V62" s="145"/>
      <c r="W62" s="94" t="str">
        <f aca="false">IF($C62="","",$V62*$N62)</f>
        <v/>
      </c>
      <c r="X62" s="145"/>
      <c r="Y62" s="94" t="str">
        <f aca="false">IF($C62="","",$X62*$N62)</f>
        <v/>
      </c>
      <c r="Z62" s="145"/>
      <c r="AA62" s="94" t="str">
        <f aca="false">IF($C62="","",$Z62*$N62)</f>
        <v/>
      </c>
      <c r="AB62" s="145"/>
      <c r="AC62" s="94" t="str">
        <f aca="false">IF($C62="","",$AB62*$N62)</f>
        <v/>
      </c>
      <c r="AD62" s="94" t="str">
        <f aca="false">IF($C62="","",SUMPRODUCT((VALUE(MID($B62,7,1))&gt;={1,2,3,4})*CHOOSE({1,2,3,4},$W62,$Y62,$AA62,$AC62)))</f>
        <v/>
      </c>
      <c r="AE62" s="94" t="str">
        <f aca="false">IF($C62="","",$W62+$Y62+$AA62+$AC62-$AD62)</f>
        <v/>
      </c>
      <c r="AF62" s="146"/>
      <c r="AG62" s="146"/>
      <c r="AH62" s="146"/>
      <c r="AI62" s="147" t="str">
        <f aca="false">IF($C62="","",IF(OR($L62="Pipeline",$N62&lt;0,$O62&gt;$N62+1,($V62+$X62+$Z62+$AB62)&gt;1.0001,ISNUMBER(SEARCH("not signed",$AF62))),"REVIEW","OK"))</f>
        <v/>
      </c>
    </row>
    <row r="63" customFormat="false" ht="13.5" hidden="false" customHeight="false" outlineLevel="0" collapsed="false">
      <c r="A63" s="95" t="str">
        <f aca="false">IF($C63="","",Controls!$B$7)</f>
        <v/>
      </c>
      <c r="B63" s="95" t="str">
        <f aca="false">IF($C63="","",Controls!$B$30)</f>
        <v/>
      </c>
      <c r="C63" s="95" t="str">
        <f aca="false">IF(MM_Income!$A66="","",MM_Income!$A66)</f>
        <v/>
      </c>
      <c r="D63" s="95" t="str">
        <f aca="false">IF($C63="","",INDEX(MM_Income!$B$5:$B$204,MATCH($C63,MM_Income!$A$5:$A$204,0)))</f>
        <v/>
      </c>
      <c r="E63" s="95" t="str">
        <f aca="false">IF($C63="","",INDEX(MM_Income!$C$5:$C$204,MATCH($C63,MM_Income!$A$5:$A$204,0)))</f>
        <v/>
      </c>
      <c r="F63" s="95" t="str">
        <f aca="false">IF($C63="","",INDEX(MM_Income!$F$5:$F$204,MATCH($C63,MM_Income!$A$5:$A$204,0)))</f>
        <v/>
      </c>
      <c r="G63" s="95" t="str">
        <f aca="false">IF($C63="","",INDEX(MM_Income!$G$5:$G$204,MATCH($C63,MM_Income!$A$5:$A$204,0)))</f>
        <v/>
      </c>
      <c r="H63" s="95" t="str">
        <f aca="false">IF($C63="","",INDEX(MM_Income!$H$5:$H$204,MATCH($C63,MM_Income!$A$5:$A$204,0)))</f>
        <v/>
      </c>
      <c r="I63" s="95" t="str">
        <f aca="false">IF($C63="","",INDEX(MM_Income!$I$5:$I$204,MATCH($C63,MM_Income!$A$5:$A$204,0)))</f>
        <v/>
      </c>
      <c r="J63" s="95" t="str">
        <f aca="false">IF($C63="","",INDEX(MM_Income!$D$5:$D$204,MATCH($C63,MM_Income!$A$5:$A$204,0)))</f>
        <v/>
      </c>
      <c r="K63" s="95" t="str">
        <f aca="false">IF($C63="","",INDEX(MM_Income!$E$5:$E$204,MATCH($C63,MM_Income!$A$5:$A$204,0)))</f>
        <v/>
      </c>
      <c r="L63" s="95" t="str">
        <f aca="false">IF($C63="","",INDEX(MM_Income!$U$5:$U$204,MATCH($C63,MM_Income!$A$5:$A$204,0)))</f>
        <v/>
      </c>
      <c r="M63" s="143" t="str">
        <f aca="false">IF($C63="","",INDEX(MM_Income!$V$5:$V$204,MATCH($C63,MM_Income!$A$5:$A$204,0)))</f>
        <v/>
      </c>
      <c r="N63" s="144" t="str">
        <f aca="false">IF($C63="","",INDEX(MM_Income!$T$5:$T$204,MATCH($C63,MM_Income!$A$5:$A$204,0)))</f>
        <v/>
      </c>
      <c r="O63" s="94" t="str">
        <f aca="false">IF($C63="","",-SUMIFS(Project_Activity!$P$2:$P$5000,Project_Activity!$C$2:$C$5000,$C63,Project_Activity!$U$2:$U$5000,"Invoiced Income",Project_Activity!$H$2:$H$5000,"&gt;="&amp;DATE(VALUE(LEFT($B63,4)),1,1),Project_Activity!$H$2:$H$5000,"&lt;="&amp;EOMONTH(DATE(VALUE(LEFT($B63,4)),VALUE(RIGHT($B63,1))*3,1),0)))</f>
        <v/>
      </c>
      <c r="P63" s="94" t="str">
        <f aca="false">IF($C63="","",SUMIFS(Project_Activity!$P$2:$P$5000,Project_Activity!$C$2:$C$5000,$C63,Project_Activity!$U$2:$U$5000,"Subcontractor",Project_Activity!$H$2:$H$5000,"&gt;="&amp;DATE(VALUE(LEFT($B63,4)),1,1),Project_Activity!$H$2:$H$5000,"&lt;="&amp;EOMONTH(DATE(VALUE(LEFT($B63,4)),VALUE(RIGHT($B63,1))*3,1),0)))</f>
        <v/>
      </c>
      <c r="Q63" s="94" t="str">
        <f aca="false">IF($C63="","",SUMIFS(Project_Activity!$P$2:$P$5000,Project_Activity!$C$2:$C$5000,$C63,Project_Activity!$U$2:$U$5000,"Project Inclusive",Project_Activity!$H$2:$H$5000,"&gt;="&amp;DATE(VALUE(LEFT($B63,4)),1,1),Project_Activity!$H$2:$H$5000,"&lt;="&amp;EOMONTH(DATE(VALUE(LEFT($B63,4)),VALUE(RIGHT($B63,1))*3,1),0)))</f>
        <v/>
      </c>
      <c r="R63" s="94" t="str">
        <f aca="false">IF($C63="","",SUMIFS(Project_Activity!$P$2:$P$5000,Project_Activity!$C$2:$C$5000,$C63,Project_Activity!$U$2:$U$5000,"Non-Recoverable",Project_Activity!$H$2:$H$5000,"&gt;="&amp;DATE(VALUE(LEFT($B63,4)),1,1),Project_Activity!$H$2:$H$5000,"&lt;="&amp;EOMONTH(DATE(VALUE(LEFT($B63,4)),VALUE(RIGHT($B63,1))*3,1),0)))</f>
        <v/>
      </c>
      <c r="S63" s="94" t="str">
        <f aca="false">IF($C63="","",$O63-$P63-$Q63-$R63)</f>
        <v/>
      </c>
      <c r="T63" s="94" t="str">
        <f aca="false">IF($C63="","",SUMIFS(Project_Activity!$P$2:$P$5000,Project_Activity!$C$2:$C$5000,$C63,Project_Activity!$U$2:$U$5000,"Recoverable",Project_Activity!$H$2:$H$5000,"&gt;="&amp;DATE(VALUE(LEFT($B63,4)),1,1),Project_Activity!$H$2:$H$5000,"&lt;="&amp;EOMONTH(DATE(VALUE(LEFT($B63,4)),VALUE(RIGHT($B63,1))*3,1),0)))</f>
        <v/>
      </c>
      <c r="U63" s="94" t="str">
        <f aca="false">IF($C63="","",-SUMIFS(Project_Activity!$P$2:$P$5000,Project_Activity!$C$2:$C$5000,$C63,Project_Activity!$U$2:$U$5000,"Recovered Expenses",Project_Activity!$H$2:$H$5000,"&gt;="&amp;DATE(VALUE(LEFT($B63,4)),1,1),Project_Activity!$H$2:$H$5000,"&lt;="&amp;EOMONTH(DATE(VALUE(LEFT($B63,4)),VALUE(RIGHT($B63,1))*3,1),0)))</f>
        <v/>
      </c>
      <c r="V63" s="145"/>
      <c r="W63" s="94" t="str">
        <f aca="false">IF($C63="","",$V63*$N63)</f>
        <v/>
      </c>
      <c r="X63" s="145"/>
      <c r="Y63" s="94" t="str">
        <f aca="false">IF($C63="","",$X63*$N63)</f>
        <v/>
      </c>
      <c r="Z63" s="145"/>
      <c r="AA63" s="94" t="str">
        <f aca="false">IF($C63="","",$Z63*$N63)</f>
        <v/>
      </c>
      <c r="AB63" s="145"/>
      <c r="AC63" s="94" t="str">
        <f aca="false">IF($C63="","",$AB63*$N63)</f>
        <v/>
      </c>
      <c r="AD63" s="94" t="str">
        <f aca="false">IF($C63="","",SUMPRODUCT((VALUE(MID($B63,7,1))&gt;={1,2,3,4})*CHOOSE({1,2,3,4},$W63,$Y63,$AA63,$AC63)))</f>
        <v/>
      </c>
      <c r="AE63" s="94" t="str">
        <f aca="false">IF($C63="","",$W63+$Y63+$AA63+$AC63-$AD63)</f>
        <v/>
      </c>
      <c r="AF63" s="146"/>
      <c r="AG63" s="146"/>
      <c r="AH63" s="146"/>
      <c r="AI63" s="147" t="str">
        <f aca="false">IF($C63="","",IF(OR($L63="Pipeline",$N63&lt;0,$O63&gt;$N63+1,($V63+$X63+$Z63+$AB63)&gt;1.0001,ISNUMBER(SEARCH("not signed",$AF63))),"REVIEW","OK"))</f>
        <v/>
      </c>
    </row>
    <row r="64" customFormat="false" ht="13.5" hidden="false" customHeight="false" outlineLevel="0" collapsed="false">
      <c r="A64" s="95" t="str">
        <f aca="false">IF($C64="","",Controls!$B$7)</f>
        <v/>
      </c>
      <c r="B64" s="95" t="str">
        <f aca="false">IF($C64="","",Controls!$B$30)</f>
        <v/>
      </c>
      <c r="C64" s="95" t="str">
        <f aca="false">IF(MM_Income!$A67="","",MM_Income!$A67)</f>
        <v/>
      </c>
      <c r="D64" s="95" t="str">
        <f aca="false">IF($C64="","",INDEX(MM_Income!$B$5:$B$204,MATCH($C64,MM_Income!$A$5:$A$204,0)))</f>
        <v/>
      </c>
      <c r="E64" s="95" t="str">
        <f aca="false">IF($C64="","",INDEX(MM_Income!$C$5:$C$204,MATCH($C64,MM_Income!$A$5:$A$204,0)))</f>
        <v/>
      </c>
      <c r="F64" s="95" t="str">
        <f aca="false">IF($C64="","",INDEX(MM_Income!$F$5:$F$204,MATCH($C64,MM_Income!$A$5:$A$204,0)))</f>
        <v/>
      </c>
      <c r="G64" s="95" t="str">
        <f aca="false">IF($C64="","",INDEX(MM_Income!$G$5:$G$204,MATCH($C64,MM_Income!$A$5:$A$204,0)))</f>
        <v/>
      </c>
      <c r="H64" s="95" t="str">
        <f aca="false">IF($C64="","",INDEX(MM_Income!$H$5:$H$204,MATCH($C64,MM_Income!$A$5:$A$204,0)))</f>
        <v/>
      </c>
      <c r="I64" s="95" t="str">
        <f aca="false">IF($C64="","",INDEX(MM_Income!$I$5:$I$204,MATCH($C64,MM_Income!$A$5:$A$204,0)))</f>
        <v/>
      </c>
      <c r="J64" s="95" t="str">
        <f aca="false">IF($C64="","",INDEX(MM_Income!$D$5:$D$204,MATCH($C64,MM_Income!$A$5:$A$204,0)))</f>
        <v/>
      </c>
      <c r="K64" s="95" t="str">
        <f aca="false">IF($C64="","",INDEX(MM_Income!$E$5:$E$204,MATCH($C64,MM_Income!$A$5:$A$204,0)))</f>
        <v/>
      </c>
      <c r="L64" s="95" t="str">
        <f aca="false">IF($C64="","",INDEX(MM_Income!$U$5:$U$204,MATCH($C64,MM_Income!$A$5:$A$204,0)))</f>
        <v/>
      </c>
      <c r="M64" s="143" t="str">
        <f aca="false">IF($C64="","",INDEX(MM_Income!$V$5:$V$204,MATCH($C64,MM_Income!$A$5:$A$204,0)))</f>
        <v/>
      </c>
      <c r="N64" s="144" t="str">
        <f aca="false">IF($C64="","",INDEX(MM_Income!$T$5:$T$204,MATCH($C64,MM_Income!$A$5:$A$204,0)))</f>
        <v/>
      </c>
      <c r="O64" s="94" t="str">
        <f aca="false">IF($C64="","",-SUMIFS(Project_Activity!$P$2:$P$5000,Project_Activity!$C$2:$C$5000,$C64,Project_Activity!$U$2:$U$5000,"Invoiced Income",Project_Activity!$H$2:$H$5000,"&gt;="&amp;DATE(VALUE(LEFT($B64,4)),1,1),Project_Activity!$H$2:$H$5000,"&lt;="&amp;EOMONTH(DATE(VALUE(LEFT($B64,4)),VALUE(RIGHT($B64,1))*3,1),0)))</f>
        <v/>
      </c>
      <c r="P64" s="94" t="str">
        <f aca="false">IF($C64="","",SUMIFS(Project_Activity!$P$2:$P$5000,Project_Activity!$C$2:$C$5000,$C64,Project_Activity!$U$2:$U$5000,"Subcontractor",Project_Activity!$H$2:$H$5000,"&gt;="&amp;DATE(VALUE(LEFT($B64,4)),1,1),Project_Activity!$H$2:$H$5000,"&lt;="&amp;EOMONTH(DATE(VALUE(LEFT($B64,4)),VALUE(RIGHT($B64,1))*3,1),0)))</f>
        <v/>
      </c>
      <c r="Q64" s="94" t="str">
        <f aca="false">IF($C64="","",SUMIFS(Project_Activity!$P$2:$P$5000,Project_Activity!$C$2:$C$5000,$C64,Project_Activity!$U$2:$U$5000,"Project Inclusive",Project_Activity!$H$2:$H$5000,"&gt;="&amp;DATE(VALUE(LEFT($B64,4)),1,1),Project_Activity!$H$2:$H$5000,"&lt;="&amp;EOMONTH(DATE(VALUE(LEFT($B64,4)),VALUE(RIGHT($B64,1))*3,1),0)))</f>
        <v/>
      </c>
      <c r="R64" s="94" t="str">
        <f aca="false">IF($C64="","",SUMIFS(Project_Activity!$P$2:$P$5000,Project_Activity!$C$2:$C$5000,$C64,Project_Activity!$U$2:$U$5000,"Non-Recoverable",Project_Activity!$H$2:$H$5000,"&gt;="&amp;DATE(VALUE(LEFT($B64,4)),1,1),Project_Activity!$H$2:$H$5000,"&lt;="&amp;EOMONTH(DATE(VALUE(LEFT($B64,4)),VALUE(RIGHT($B64,1))*3,1),0)))</f>
        <v/>
      </c>
      <c r="S64" s="94" t="str">
        <f aca="false">IF($C64="","",$O64-$P64-$Q64-$R64)</f>
        <v/>
      </c>
      <c r="T64" s="94" t="str">
        <f aca="false">IF($C64="","",SUMIFS(Project_Activity!$P$2:$P$5000,Project_Activity!$C$2:$C$5000,$C64,Project_Activity!$U$2:$U$5000,"Recoverable",Project_Activity!$H$2:$H$5000,"&gt;="&amp;DATE(VALUE(LEFT($B64,4)),1,1),Project_Activity!$H$2:$H$5000,"&lt;="&amp;EOMONTH(DATE(VALUE(LEFT($B64,4)),VALUE(RIGHT($B64,1))*3,1),0)))</f>
        <v/>
      </c>
      <c r="U64" s="94" t="str">
        <f aca="false">IF($C64="","",-SUMIFS(Project_Activity!$P$2:$P$5000,Project_Activity!$C$2:$C$5000,$C64,Project_Activity!$U$2:$U$5000,"Recovered Expenses",Project_Activity!$H$2:$H$5000,"&gt;="&amp;DATE(VALUE(LEFT($B64,4)),1,1),Project_Activity!$H$2:$H$5000,"&lt;="&amp;EOMONTH(DATE(VALUE(LEFT($B64,4)),VALUE(RIGHT($B64,1))*3,1),0)))</f>
        <v/>
      </c>
      <c r="V64" s="145"/>
      <c r="W64" s="94" t="str">
        <f aca="false">IF($C64="","",$V64*$N64)</f>
        <v/>
      </c>
      <c r="X64" s="145"/>
      <c r="Y64" s="94" t="str">
        <f aca="false">IF($C64="","",$X64*$N64)</f>
        <v/>
      </c>
      <c r="Z64" s="145"/>
      <c r="AA64" s="94" t="str">
        <f aca="false">IF($C64="","",$Z64*$N64)</f>
        <v/>
      </c>
      <c r="AB64" s="145"/>
      <c r="AC64" s="94" t="str">
        <f aca="false">IF($C64="","",$AB64*$N64)</f>
        <v/>
      </c>
      <c r="AD64" s="94" t="str">
        <f aca="false">IF($C64="","",SUMPRODUCT((VALUE(MID($B64,7,1))&gt;={1,2,3,4})*CHOOSE({1,2,3,4},$W64,$Y64,$AA64,$AC64)))</f>
        <v/>
      </c>
      <c r="AE64" s="94" t="str">
        <f aca="false">IF($C64="","",$W64+$Y64+$AA64+$AC64-$AD64)</f>
        <v/>
      </c>
      <c r="AF64" s="146"/>
      <c r="AG64" s="146"/>
      <c r="AH64" s="146"/>
      <c r="AI64" s="147" t="str">
        <f aca="false">IF($C64="","",IF(OR($L64="Pipeline",$N64&lt;0,$O64&gt;$N64+1,($V64+$X64+$Z64+$AB64)&gt;1.0001,ISNUMBER(SEARCH("not signed",$AF64))),"REVIEW","OK"))</f>
        <v/>
      </c>
    </row>
    <row r="65" customFormat="false" ht="13.5" hidden="false" customHeight="false" outlineLevel="0" collapsed="false">
      <c r="A65" s="95" t="str">
        <f aca="false">IF($C65="","",Controls!$B$7)</f>
        <v/>
      </c>
      <c r="B65" s="95" t="str">
        <f aca="false">IF($C65="","",Controls!$B$30)</f>
        <v/>
      </c>
      <c r="C65" s="95" t="str">
        <f aca="false">IF(MM_Income!$A68="","",MM_Income!$A68)</f>
        <v/>
      </c>
      <c r="D65" s="95" t="str">
        <f aca="false">IF($C65="","",INDEX(MM_Income!$B$5:$B$204,MATCH($C65,MM_Income!$A$5:$A$204,0)))</f>
        <v/>
      </c>
      <c r="E65" s="95" t="str">
        <f aca="false">IF($C65="","",INDEX(MM_Income!$C$5:$C$204,MATCH($C65,MM_Income!$A$5:$A$204,0)))</f>
        <v/>
      </c>
      <c r="F65" s="95" t="str">
        <f aca="false">IF($C65="","",INDEX(MM_Income!$F$5:$F$204,MATCH($C65,MM_Income!$A$5:$A$204,0)))</f>
        <v/>
      </c>
      <c r="G65" s="95" t="str">
        <f aca="false">IF($C65="","",INDEX(MM_Income!$G$5:$G$204,MATCH($C65,MM_Income!$A$5:$A$204,0)))</f>
        <v/>
      </c>
      <c r="H65" s="95" t="str">
        <f aca="false">IF($C65="","",INDEX(MM_Income!$H$5:$H$204,MATCH($C65,MM_Income!$A$5:$A$204,0)))</f>
        <v/>
      </c>
      <c r="I65" s="95" t="str">
        <f aca="false">IF($C65="","",INDEX(MM_Income!$I$5:$I$204,MATCH($C65,MM_Income!$A$5:$A$204,0)))</f>
        <v/>
      </c>
      <c r="J65" s="95" t="str">
        <f aca="false">IF($C65="","",INDEX(MM_Income!$D$5:$D$204,MATCH($C65,MM_Income!$A$5:$A$204,0)))</f>
        <v/>
      </c>
      <c r="K65" s="95" t="str">
        <f aca="false">IF($C65="","",INDEX(MM_Income!$E$5:$E$204,MATCH($C65,MM_Income!$A$5:$A$204,0)))</f>
        <v/>
      </c>
      <c r="L65" s="95" t="str">
        <f aca="false">IF($C65="","",INDEX(MM_Income!$U$5:$U$204,MATCH($C65,MM_Income!$A$5:$A$204,0)))</f>
        <v/>
      </c>
      <c r="M65" s="143" t="str">
        <f aca="false">IF($C65="","",INDEX(MM_Income!$V$5:$V$204,MATCH($C65,MM_Income!$A$5:$A$204,0)))</f>
        <v/>
      </c>
      <c r="N65" s="144" t="str">
        <f aca="false">IF($C65="","",INDEX(MM_Income!$T$5:$T$204,MATCH($C65,MM_Income!$A$5:$A$204,0)))</f>
        <v/>
      </c>
      <c r="O65" s="94" t="str">
        <f aca="false">IF($C65="","",-SUMIFS(Project_Activity!$P$2:$P$5000,Project_Activity!$C$2:$C$5000,$C65,Project_Activity!$U$2:$U$5000,"Invoiced Income",Project_Activity!$H$2:$H$5000,"&gt;="&amp;DATE(VALUE(LEFT($B65,4)),1,1),Project_Activity!$H$2:$H$5000,"&lt;="&amp;EOMONTH(DATE(VALUE(LEFT($B65,4)),VALUE(RIGHT($B65,1))*3,1),0)))</f>
        <v/>
      </c>
      <c r="P65" s="94" t="str">
        <f aca="false">IF($C65="","",SUMIFS(Project_Activity!$P$2:$P$5000,Project_Activity!$C$2:$C$5000,$C65,Project_Activity!$U$2:$U$5000,"Subcontractor",Project_Activity!$H$2:$H$5000,"&gt;="&amp;DATE(VALUE(LEFT($B65,4)),1,1),Project_Activity!$H$2:$H$5000,"&lt;="&amp;EOMONTH(DATE(VALUE(LEFT($B65,4)),VALUE(RIGHT($B65,1))*3,1),0)))</f>
        <v/>
      </c>
      <c r="Q65" s="94" t="str">
        <f aca="false">IF($C65="","",SUMIFS(Project_Activity!$P$2:$P$5000,Project_Activity!$C$2:$C$5000,$C65,Project_Activity!$U$2:$U$5000,"Project Inclusive",Project_Activity!$H$2:$H$5000,"&gt;="&amp;DATE(VALUE(LEFT($B65,4)),1,1),Project_Activity!$H$2:$H$5000,"&lt;="&amp;EOMONTH(DATE(VALUE(LEFT($B65,4)),VALUE(RIGHT($B65,1))*3,1),0)))</f>
        <v/>
      </c>
      <c r="R65" s="94" t="str">
        <f aca="false">IF($C65="","",SUMIFS(Project_Activity!$P$2:$P$5000,Project_Activity!$C$2:$C$5000,$C65,Project_Activity!$U$2:$U$5000,"Non-Recoverable",Project_Activity!$H$2:$H$5000,"&gt;="&amp;DATE(VALUE(LEFT($B65,4)),1,1),Project_Activity!$H$2:$H$5000,"&lt;="&amp;EOMONTH(DATE(VALUE(LEFT($B65,4)),VALUE(RIGHT($B65,1))*3,1),0)))</f>
        <v/>
      </c>
      <c r="S65" s="94" t="str">
        <f aca="false">IF($C65="","",$O65-$P65-$Q65-$R65)</f>
        <v/>
      </c>
      <c r="T65" s="94" t="str">
        <f aca="false">IF($C65="","",SUMIFS(Project_Activity!$P$2:$P$5000,Project_Activity!$C$2:$C$5000,$C65,Project_Activity!$U$2:$U$5000,"Recoverable",Project_Activity!$H$2:$H$5000,"&gt;="&amp;DATE(VALUE(LEFT($B65,4)),1,1),Project_Activity!$H$2:$H$5000,"&lt;="&amp;EOMONTH(DATE(VALUE(LEFT($B65,4)),VALUE(RIGHT($B65,1))*3,1),0)))</f>
        <v/>
      </c>
      <c r="U65" s="94" t="str">
        <f aca="false">IF($C65="","",-SUMIFS(Project_Activity!$P$2:$P$5000,Project_Activity!$C$2:$C$5000,$C65,Project_Activity!$U$2:$U$5000,"Recovered Expenses",Project_Activity!$H$2:$H$5000,"&gt;="&amp;DATE(VALUE(LEFT($B65,4)),1,1),Project_Activity!$H$2:$H$5000,"&lt;="&amp;EOMONTH(DATE(VALUE(LEFT($B65,4)),VALUE(RIGHT($B65,1))*3,1),0)))</f>
        <v/>
      </c>
      <c r="V65" s="145"/>
      <c r="W65" s="94" t="str">
        <f aca="false">IF($C65="","",$V65*$N65)</f>
        <v/>
      </c>
      <c r="X65" s="145"/>
      <c r="Y65" s="94" t="str">
        <f aca="false">IF($C65="","",$X65*$N65)</f>
        <v/>
      </c>
      <c r="Z65" s="145"/>
      <c r="AA65" s="94" t="str">
        <f aca="false">IF($C65="","",$Z65*$N65)</f>
        <v/>
      </c>
      <c r="AB65" s="145"/>
      <c r="AC65" s="94" t="str">
        <f aca="false">IF($C65="","",$AB65*$N65)</f>
        <v/>
      </c>
      <c r="AD65" s="94" t="str">
        <f aca="false">IF($C65="","",SUMPRODUCT((VALUE(MID($B65,7,1))&gt;={1,2,3,4})*CHOOSE({1,2,3,4},$W65,$Y65,$AA65,$AC65)))</f>
        <v/>
      </c>
      <c r="AE65" s="94" t="str">
        <f aca="false">IF($C65="","",$W65+$Y65+$AA65+$AC65-$AD65)</f>
        <v/>
      </c>
      <c r="AF65" s="146"/>
      <c r="AG65" s="146"/>
      <c r="AH65" s="146"/>
      <c r="AI65" s="147" t="str">
        <f aca="false">IF($C65="","",IF(OR($L65="Pipeline",$N65&lt;0,$O65&gt;$N65+1,($V65+$X65+$Z65+$AB65)&gt;1.0001,ISNUMBER(SEARCH("not signed",$AF65))),"REVIEW","OK"))</f>
        <v/>
      </c>
    </row>
    <row r="66" customFormat="false" ht="13.5" hidden="false" customHeight="false" outlineLevel="0" collapsed="false">
      <c r="A66" s="95" t="str">
        <f aca="false">IF($C66="","",Controls!$B$7)</f>
        <v/>
      </c>
      <c r="B66" s="95" t="str">
        <f aca="false">IF($C66="","",Controls!$B$30)</f>
        <v/>
      </c>
      <c r="C66" s="95" t="str">
        <f aca="false">IF(MM_Income!$A69="","",MM_Income!$A69)</f>
        <v/>
      </c>
      <c r="D66" s="95" t="str">
        <f aca="false">IF($C66="","",INDEX(MM_Income!$B$5:$B$204,MATCH($C66,MM_Income!$A$5:$A$204,0)))</f>
        <v/>
      </c>
      <c r="E66" s="95" t="str">
        <f aca="false">IF($C66="","",INDEX(MM_Income!$C$5:$C$204,MATCH($C66,MM_Income!$A$5:$A$204,0)))</f>
        <v/>
      </c>
      <c r="F66" s="95" t="str">
        <f aca="false">IF($C66="","",INDEX(MM_Income!$F$5:$F$204,MATCH($C66,MM_Income!$A$5:$A$204,0)))</f>
        <v/>
      </c>
      <c r="G66" s="95" t="str">
        <f aca="false">IF($C66="","",INDEX(MM_Income!$G$5:$G$204,MATCH($C66,MM_Income!$A$5:$A$204,0)))</f>
        <v/>
      </c>
      <c r="H66" s="95" t="str">
        <f aca="false">IF($C66="","",INDEX(MM_Income!$H$5:$H$204,MATCH($C66,MM_Income!$A$5:$A$204,0)))</f>
        <v/>
      </c>
      <c r="I66" s="95" t="str">
        <f aca="false">IF($C66="","",INDEX(MM_Income!$I$5:$I$204,MATCH($C66,MM_Income!$A$5:$A$204,0)))</f>
        <v/>
      </c>
      <c r="J66" s="95" t="str">
        <f aca="false">IF($C66="","",INDEX(MM_Income!$D$5:$D$204,MATCH($C66,MM_Income!$A$5:$A$204,0)))</f>
        <v/>
      </c>
      <c r="K66" s="95" t="str">
        <f aca="false">IF($C66="","",INDEX(MM_Income!$E$5:$E$204,MATCH($C66,MM_Income!$A$5:$A$204,0)))</f>
        <v/>
      </c>
      <c r="L66" s="95" t="str">
        <f aca="false">IF($C66="","",INDEX(MM_Income!$U$5:$U$204,MATCH($C66,MM_Income!$A$5:$A$204,0)))</f>
        <v/>
      </c>
      <c r="M66" s="143" t="str">
        <f aca="false">IF($C66="","",INDEX(MM_Income!$V$5:$V$204,MATCH($C66,MM_Income!$A$5:$A$204,0)))</f>
        <v/>
      </c>
      <c r="N66" s="144" t="str">
        <f aca="false">IF($C66="","",INDEX(MM_Income!$T$5:$T$204,MATCH($C66,MM_Income!$A$5:$A$204,0)))</f>
        <v/>
      </c>
      <c r="O66" s="94" t="str">
        <f aca="false">IF($C66="","",-SUMIFS(Project_Activity!$P$2:$P$5000,Project_Activity!$C$2:$C$5000,$C66,Project_Activity!$U$2:$U$5000,"Invoiced Income",Project_Activity!$H$2:$H$5000,"&gt;="&amp;DATE(VALUE(LEFT($B66,4)),1,1),Project_Activity!$H$2:$H$5000,"&lt;="&amp;EOMONTH(DATE(VALUE(LEFT($B66,4)),VALUE(RIGHT($B66,1))*3,1),0)))</f>
        <v/>
      </c>
      <c r="P66" s="94" t="str">
        <f aca="false">IF($C66="","",SUMIFS(Project_Activity!$P$2:$P$5000,Project_Activity!$C$2:$C$5000,$C66,Project_Activity!$U$2:$U$5000,"Subcontractor",Project_Activity!$H$2:$H$5000,"&gt;="&amp;DATE(VALUE(LEFT($B66,4)),1,1),Project_Activity!$H$2:$H$5000,"&lt;="&amp;EOMONTH(DATE(VALUE(LEFT($B66,4)),VALUE(RIGHT($B66,1))*3,1),0)))</f>
        <v/>
      </c>
      <c r="Q66" s="94" t="str">
        <f aca="false">IF($C66="","",SUMIFS(Project_Activity!$P$2:$P$5000,Project_Activity!$C$2:$C$5000,$C66,Project_Activity!$U$2:$U$5000,"Project Inclusive",Project_Activity!$H$2:$H$5000,"&gt;="&amp;DATE(VALUE(LEFT($B66,4)),1,1),Project_Activity!$H$2:$H$5000,"&lt;="&amp;EOMONTH(DATE(VALUE(LEFT($B66,4)),VALUE(RIGHT($B66,1))*3,1),0)))</f>
        <v/>
      </c>
      <c r="R66" s="94" t="str">
        <f aca="false">IF($C66="","",SUMIFS(Project_Activity!$P$2:$P$5000,Project_Activity!$C$2:$C$5000,$C66,Project_Activity!$U$2:$U$5000,"Non-Recoverable",Project_Activity!$H$2:$H$5000,"&gt;="&amp;DATE(VALUE(LEFT($B66,4)),1,1),Project_Activity!$H$2:$H$5000,"&lt;="&amp;EOMONTH(DATE(VALUE(LEFT($B66,4)),VALUE(RIGHT($B66,1))*3,1),0)))</f>
        <v/>
      </c>
      <c r="S66" s="94" t="str">
        <f aca="false">IF($C66="","",$O66-$P66-$Q66-$R66)</f>
        <v/>
      </c>
      <c r="T66" s="94" t="str">
        <f aca="false">IF($C66="","",SUMIFS(Project_Activity!$P$2:$P$5000,Project_Activity!$C$2:$C$5000,$C66,Project_Activity!$U$2:$U$5000,"Recoverable",Project_Activity!$H$2:$H$5000,"&gt;="&amp;DATE(VALUE(LEFT($B66,4)),1,1),Project_Activity!$H$2:$H$5000,"&lt;="&amp;EOMONTH(DATE(VALUE(LEFT($B66,4)),VALUE(RIGHT($B66,1))*3,1),0)))</f>
        <v/>
      </c>
      <c r="U66" s="94" t="str">
        <f aca="false">IF($C66="","",-SUMIFS(Project_Activity!$P$2:$P$5000,Project_Activity!$C$2:$C$5000,$C66,Project_Activity!$U$2:$U$5000,"Recovered Expenses",Project_Activity!$H$2:$H$5000,"&gt;="&amp;DATE(VALUE(LEFT($B66,4)),1,1),Project_Activity!$H$2:$H$5000,"&lt;="&amp;EOMONTH(DATE(VALUE(LEFT($B66,4)),VALUE(RIGHT($B66,1))*3,1),0)))</f>
        <v/>
      </c>
      <c r="V66" s="145"/>
      <c r="W66" s="94" t="str">
        <f aca="false">IF($C66="","",$V66*$N66)</f>
        <v/>
      </c>
      <c r="X66" s="145"/>
      <c r="Y66" s="94" t="str">
        <f aca="false">IF($C66="","",$X66*$N66)</f>
        <v/>
      </c>
      <c r="Z66" s="145"/>
      <c r="AA66" s="94" t="str">
        <f aca="false">IF($C66="","",$Z66*$N66)</f>
        <v/>
      </c>
      <c r="AB66" s="145"/>
      <c r="AC66" s="94" t="str">
        <f aca="false">IF($C66="","",$AB66*$N66)</f>
        <v/>
      </c>
      <c r="AD66" s="94" t="str">
        <f aca="false">IF($C66="","",SUMPRODUCT((VALUE(MID($B66,7,1))&gt;={1,2,3,4})*CHOOSE({1,2,3,4},$W66,$Y66,$AA66,$AC66)))</f>
        <v/>
      </c>
      <c r="AE66" s="94" t="str">
        <f aca="false">IF($C66="","",$W66+$Y66+$AA66+$AC66-$AD66)</f>
        <v/>
      </c>
      <c r="AF66" s="146"/>
      <c r="AG66" s="146"/>
      <c r="AH66" s="146"/>
      <c r="AI66" s="147" t="str">
        <f aca="false">IF($C66="","",IF(OR($L66="Pipeline",$N66&lt;0,$O66&gt;$N66+1,($V66+$X66+$Z66+$AB66)&gt;1.0001,ISNUMBER(SEARCH("not signed",$AF66))),"REVIEW","OK"))</f>
        <v/>
      </c>
    </row>
    <row r="67" customFormat="false" ht="13.5" hidden="false" customHeight="false" outlineLevel="0" collapsed="false">
      <c r="A67" s="95" t="str">
        <f aca="false">IF($C67="","",Controls!$B$7)</f>
        <v/>
      </c>
      <c r="B67" s="95" t="str">
        <f aca="false">IF($C67="","",Controls!$B$30)</f>
        <v/>
      </c>
      <c r="C67" s="95" t="str">
        <f aca="false">IF(MM_Income!$A70="","",MM_Income!$A70)</f>
        <v/>
      </c>
      <c r="D67" s="95" t="str">
        <f aca="false">IF($C67="","",INDEX(MM_Income!$B$5:$B$204,MATCH($C67,MM_Income!$A$5:$A$204,0)))</f>
        <v/>
      </c>
      <c r="E67" s="95" t="str">
        <f aca="false">IF($C67="","",INDEX(MM_Income!$C$5:$C$204,MATCH($C67,MM_Income!$A$5:$A$204,0)))</f>
        <v/>
      </c>
      <c r="F67" s="95" t="str">
        <f aca="false">IF($C67="","",INDEX(MM_Income!$F$5:$F$204,MATCH($C67,MM_Income!$A$5:$A$204,0)))</f>
        <v/>
      </c>
      <c r="G67" s="95" t="str">
        <f aca="false">IF($C67="","",INDEX(MM_Income!$G$5:$G$204,MATCH($C67,MM_Income!$A$5:$A$204,0)))</f>
        <v/>
      </c>
      <c r="H67" s="95" t="str">
        <f aca="false">IF($C67="","",INDEX(MM_Income!$H$5:$H$204,MATCH($C67,MM_Income!$A$5:$A$204,0)))</f>
        <v/>
      </c>
      <c r="I67" s="95" t="str">
        <f aca="false">IF($C67="","",INDEX(MM_Income!$I$5:$I$204,MATCH($C67,MM_Income!$A$5:$A$204,0)))</f>
        <v/>
      </c>
      <c r="J67" s="95" t="str">
        <f aca="false">IF($C67="","",INDEX(MM_Income!$D$5:$D$204,MATCH($C67,MM_Income!$A$5:$A$204,0)))</f>
        <v/>
      </c>
      <c r="K67" s="95" t="str">
        <f aca="false">IF($C67="","",INDEX(MM_Income!$E$5:$E$204,MATCH($C67,MM_Income!$A$5:$A$204,0)))</f>
        <v/>
      </c>
      <c r="L67" s="95" t="str">
        <f aca="false">IF($C67="","",INDEX(MM_Income!$U$5:$U$204,MATCH($C67,MM_Income!$A$5:$A$204,0)))</f>
        <v/>
      </c>
      <c r="M67" s="143" t="str">
        <f aca="false">IF($C67="","",INDEX(MM_Income!$V$5:$V$204,MATCH($C67,MM_Income!$A$5:$A$204,0)))</f>
        <v/>
      </c>
      <c r="N67" s="144" t="str">
        <f aca="false">IF($C67="","",INDEX(MM_Income!$T$5:$T$204,MATCH($C67,MM_Income!$A$5:$A$204,0)))</f>
        <v/>
      </c>
      <c r="O67" s="94" t="str">
        <f aca="false">IF($C67="","",-SUMIFS(Project_Activity!$P$2:$P$5000,Project_Activity!$C$2:$C$5000,$C67,Project_Activity!$U$2:$U$5000,"Invoiced Income",Project_Activity!$H$2:$H$5000,"&gt;="&amp;DATE(VALUE(LEFT($B67,4)),1,1),Project_Activity!$H$2:$H$5000,"&lt;="&amp;EOMONTH(DATE(VALUE(LEFT($B67,4)),VALUE(RIGHT($B67,1))*3,1),0)))</f>
        <v/>
      </c>
      <c r="P67" s="94" t="str">
        <f aca="false">IF($C67="","",SUMIFS(Project_Activity!$P$2:$P$5000,Project_Activity!$C$2:$C$5000,$C67,Project_Activity!$U$2:$U$5000,"Subcontractor",Project_Activity!$H$2:$H$5000,"&gt;="&amp;DATE(VALUE(LEFT($B67,4)),1,1),Project_Activity!$H$2:$H$5000,"&lt;="&amp;EOMONTH(DATE(VALUE(LEFT($B67,4)),VALUE(RIGHT($B67,1))*3,1),0)))</f>
        <v/>
      </c>
      <c r="Q67" s="94" t="str">
        <f aca="false">IF($C67="","",SUMIFS(Project_Activity!$P$2:$P$5000,Project_Activity!$C$2:$C$5000,$C67,Project_Activity!$U$2:$U$5000,"Project Inclusive",Project_Activity!$H$2:$H$5000,"&gt;="&amp;DATE(VALUE(LEFT($B67,4)),1,1),Project_Activity!$H$2:$H$5000,"&lt;="&amp;EOMONTH(DATE(VALUE(LEFT($B67,4)),VALUE(RIGHT($B67,1))*3,1),0)))</f>
        <v/>
      </c>
      <c r="R67" s="94" t="str">
        <f aca="false">IF($C67="","",SUMIFS(Project_Activity!$P$2:$P$5000,Project_Activity!$C$2:$C$5000,$C67,Project_Activity!$U$2:$U$5000,"Non-Recoverable",Project_Activity!$H$2:$H$5000,"&gt;="&amp;DATE(VALUE(LEFT($B67,4)),1,1),Project_Activity!$H$2:$H$5000,"&lt;="&amp;EOMONTH(DATE(VALUE(LEFT($B67,4)),VALUE(RIGHT($B67,1))*3,1),0)))</f>
        <v/>
      </c>
      <c r="S67" s="94" t="str">
        <f aca="false">IF($C67="","",$O67-$P67-$Q67-$R67)</f>
        <v/>
      </c>
      <c r="T67" s="94" t="str">
        <f aca="false">IF($C67="","",SUMIFS(Project_Activity!$P$2:$P$5000,Project_Activity!$C$2:$C$5000,$C67,Project_Activity!$U$2:$U$5000,"Recoverable",Project_Activity!$H$2:$H$5000,"&gt;="&amp;DATE(VALUE(LEFT($B67,4)),1,1),Project_Activity!$H$2:$H$5000,"&lt;="&amp;EOMONTH(DATE(VALUE(LEFT($B67,4)),VALUE(RIGHT($B67,1))*3,1),0)))</f>
        <v/>
      </c>
      <c r="U67" s="94" t="str">
        <f aca="false">IF($C67="","",-SUMIFS(Project_Activity!$P$2:$P$5000,Project_Activity!$C$2:$C$5000,$C67,Project_Activity!$U$2:$U$5000,"Recovered Expenses",Project_Activity!$H$2:$H$5000,"&gt;="&amp;DATE(VALUE(LEFT($B67,4)),1,1),Project_Activity!$H$2:$H$5000,"&lt;="&amp;EOMONTH(DATE(VALUE(LEFT($B67,4)),VALUE(RIGHT($B67,1))*3,1),0)))</f>
        <v/>
      </c>
      <c r="V67" s="145"/>
      <c r="W67" s="94" t="str">
        <f aca="false">IF($C67="","",$V67*$N67)</f>
        <v/>
      </c>
      <c r="X67" s="145"/>
      <c r="Y67" s="94" t="str">
        <f aca="false">IF($C67="","",$X67*$N67)</f>
        <v/>
      </c>
      <c r="Z67" s="145"/>
      <c r="AA67" s="94" t="str">
        <f aca="false">IF($C67="","",$Z67*$N67)</f>
        <v/>
      </c>
      <c r="AB67" s="145"/>
      <c r="AC67" s="94" t="str">
        <f aca="false">IF($C67="","",$AB67*$N67)</f>
        <v/>
      </c>
      <c r="AD67" s="94" t="str">
        <f aca="false">IF($C67="","",SUMPRODUCT((VALUE(MID($B67,7,1))&gt;={1,2,3,4})*CHOOSE({1,2,3,4},$W67,$Y67,$AA67,$AC67)))</f>
        <v/>
      </c>
      <c r="AE67" s="94" t="str">
        <f aca="false">IF($C67="","",$W67+$Y67+$AA67+$AC67-$AD67)</f>
        <v/>
      </c>
      <c r="AF67" s="146"/>
      <c r="AG67" s="146"/>
      <c r="AH67" s="146"/>
      <c r="AI67" s="147" t="str">
        <f aca="false">IF($C67="","",IF(OR($L67="Pipeline",$N67&lt;0,$O67&gt;$N67+1,($V67+$X67+$Z67+$AB67)&gt;1.0001,ISNUMBER(SEARCH("not signed",$AF67))),"REVIEW","OK"))</f>
        <v/>
      </c>
    </row>
    <row r="68" customFormat="false" ht="13.5" hidden="false" customHeight="false" outlineLevel="0" collapsed="false">
      <c r="A68" s="95" t="str">
        <f aca="false">IF($C68="","",Controls!$B$7)</f>
        <v/>
      </c>
      <c r="B68" s="95" t="str">
        <f aca="false">IF($C68="","",Controls!$B$30)</f>
        <v/>
      </c>
      <c r="C68" s="95" t="str">
        <f aca="false">IF(MM_Income!$A71="","",MM_Income!$A71)</f>
        <v/>
      </c>
      <c r="D68" s="95" t="str">
        <f aca="false">IF($C68="","",INDEX(MM_Income!$B$5:$B$204,MATCH($C68,MM_Income!$A$5:$A$204,0)))</f>
        <v/>
      </c>
      <c r="E68" s="95" t="str">
        <f aca="false">IF($C68="","",INDEX(MM_Income!$C$5:$C$204,MATCH($C68,MM_Income!$A$5:$A$204,0)))</f>
        <v/>
      </c>
      <c r="F68" s="95" t="str">
        <f aca="false">IF($C68="","",INDEX(MM_Income!$F$5:$F$204,MATCH($C68,MM_Income!$A$5:$A$204,0)))</f>
        <v/>
      </c>
      <c r="G68" s="95" t="str">
        <f aca="false">IF($C68="","",INDEX(MM_Income!$G$5:$G$204,MATCH($C68,MM_Income!$A$5:$A$204,0)))</f>
        <v/>
      </c>
      <c r="H68" s="95" t="str">
        <f aca="false">IF($C68="","",INDEX(MM_Income!$H$5:$H$204,MATCH($C68,MM_Income!$A$5:$A$204,0)))</f>
        <v/>
      </c>
      <c r="I68" s="95" t="str">
        <f aca="false">IF($C68="","",INDEX(MM_Income!$I$5:$I$204,MATCH($C68,MM_Income!$A$5:$A$204,0)))</f>
        <v/>
      </c>
      <c r="J68" s="95" t="str">
        <f aca="false">IF($C68="","",INDEX(MM_Income!$D$5:$D$204,MATCH($C68,MM_Income!$A$5:$A$204,0)))</f>
        <v/>
      </c>
      <c r="K68" s="95" t="str">
        <f aca="false">IF($C68="","",INDEX(MM_Income!$E$5:$E$204,MATCH($C68,MM_Income!$A$5:$A$204,0)))</f>
        <v/>
      </c>
      <c r="L68" s="95" t="str">
        <f aca="false">IF($C68="","",INDEX(MM_Income!$U$5:$U$204,MATCH($C68,MM_Income!$A$5:$A$204,0)))</f>
        <v/>
      </c>
      <c r="M68" s="143" t="str">
        <f aca="false">IF($C68="","",INDEX(MM_Income!$V$5:$V$204,MATCH($C68,MM_Income!$A$5:$A$204,0)))</f>
        <v/>
      </c>
      <c r="N68" s="144" t="str">
        <f aca="false">IF($C68="","",INDEX(MM_Income!$T$5:$T$204,MATCH($C68,MM_Income!$A$5:$A$204,0)))</f>
        <v/>
      </c>
      <c r="O68" s="94" t="str">
        <f aca="false">IF($C68="","",-SUMIFS(Project_Activity!$P$2:$P$5000,Project_Activity!$C$2:$C$5000,$C68,Project_Activity!$U$2:$U$5000,"Invoiced Income",Project_Activity!$H$2:$H$5000,"&gt;="&amp;DATE(VALUE(LEFT($B68,4)),1,1),Project_Activity!$H$2:$H$5000,"&lt;="&amp;EOMONTH(DATE(VALUE(LEFT($B68,4)),VALUE(RIGHT($B68,1))*3,1),0)))</f>
        <v/>
      </c>
      <c r="P68" s="94" t="str">
        <f aca="false">IF($C68="","",SUMIFS(Project_Activity!$P$2:$P$5000,Project_Activity!$C$2:$C$5000,$C68,Project_Activity!$U$2:$U$5000,"Subcontractor",Project_Activity!$H$2:$H$5000,"&gt;="&amp;DATE(VALUE(LEFT($B68,4)),1,1),Project_Activity!$H$2:$H$5000,"&lt;="&amp;EOMONTH(DATE(VALUE(LEFT($B68,4)),VALUE(RIGHT($B68,1))*3,1),0)))</f>
        <v/>
      </c>
      <c r="Q68" s="94" t="str">
        <f aca="false">IF($C68="","",SUMIFS(Project_Activity!$P$2:$P$5000,Project_Activity!$C$2:$C$5000,$C68,Project_Activity!$U$2:$U$5000,"Project Inclusive",Project_Activity!$H$2:$H$5000,"&gt;="&amp;DATE(VALUE(LEFT($B68,4)),1,1),Project_Activity!$H$2:$H$5000,"&lt;="&amp;EOMONTH(DATE(VALUE(LEFT($B68,4)),VALUE(RIGHT($B68,1))*3,1),0)))</f>
        <v/>
      </c>
      <c r="R68" s="94" t="str">
        <f aca="false">IF($C68="","",SUMIFS(Project_Activity!$P$2:$P$5000,Project_Activity!$C$2:$C$5000,$C68,Project_Activity!$U$2:$U$5000,"Non-Recoverable",Project_Activity!$H$2:$H$5000,"&gt;="&amp;DATE(VALUE(LEFT($B68,4)),1,1),Project_Activity!$H$2:$H$5000,"&lt;="&amp;EOMONTH(DATE(VALUE(LEFT($B68,4)),VALUE(RIGHT($B68,1))*3,1),0)))</f>
        <v/>
      </c>
      <c r="S68" s="94" t="str">
        <f aca="false">IF($C68="","",$O68-$P68-$Q68-$R68)</f>
        <v/>
      </c>
      <c r="T68" s="94" t="str">
        <f aca="false">IF($C68="","",SUMIFS(Project_Activity!$P$2:$P$5000,Project_Activity!$C$2:$C$5000,$C68,Project_Activity!$U$2:$U$5000,"Recoverable",Project_Activity!$H$2:$H$5000,"&gt;="&amp;DATE(VALUE(LEFT($B68,4)),1,1),Project_Activity!$H$2:$H$5000,"&lt;="&amp;EOMONTH(DATE(VALUE(LEFT($B68,4)),VALUE(RIGHT($B68,1))*3,1),0)))</f>
        <v/>
      </c>
      <c r="U68" s="94" t="str">
        <f aca="false">IF($C68="","",-SUMIFS(Project_Activity!$P$2:$P$5000,Project_Activity!$C$2:$C$5000,$C68,Project_Activity!$U$2:$U$5000,"Recovered Expenses",Project_Activity!$H$2:$H$5000,"&gt;="&amp;DATE(VALUE(LEFT($B68,4)),1,1),Project_Activity!$H$2:$H$5000,"&lt;="&amp;EOMONTH(DATE(VALUE(LEFT($B68,4)),VALUE(RIGHT($B68,1))*3,1),0)))</f>
        <v/>
      </c>
      <c r="V68" s="145"/>
      <c r="W68" s="94" t="str">
        <f aca="false">IF($C68="","",$V68*$N68)</f>
        <v/>
      </c>
      <c r="X68" s="145"/>
      <c r="Y68" s="94" t="str">
        <f aca="false">IF($C68="","",$X68*$N68)</f>
        <v/>
      </c>
      <c r="Z68" s="145"/>
      <c r="AA68" s="94" t="str">
        <f aca="false">IF($C68="","",$Z68*$N68)</f>
        <v/>
      </c>
      <c r="AB68" s="145"/>
      <c r="AC68" s="94" t="str">
        <f aca="false">IF($C68="","",$AB68*$N68)</f>
        <v/>
      </c>
      <c r="AD68" s="94" t="str">
        <f aca="false">IF($C68="","",SUMPRODUCT((VALUE(MID($B68,7,1))&gt;={1,2,3,4})*CHOOSE({1,2,3,4},$W68,$Y68,$AA68,$AC68)))</f>
        <v/>
      </c>
      <c r="AE68" s="94" t="str">
        <f aca="false">IF($C68="","",$W68+$Y68+$AA68+$AC68-$AD68)</f>
        <v/>
      </c>
      <c r="AF68" s="146"/>
      <c r="AG68" s="146"/>
      <c r="AH68" s="146"/>
      <c r="AI68" s="147" t="str">
        <f aca="false">IF($C68="","",IF(OR($L68="Pipeline",$N68&lt;0,$O68&gt;$N68+1,($V68+$X68+$Z68+$AB68)&gt;1.0001,ISNUMBER(SEARCH("not signed",$AF68))),"REVIEW","OK"))</f>
        <v/>
      </c>
    </row>
    <row r="69" customFormat="false" ht="13.5" hidden="false" customHeight="false" outlineLevel="0" collapsed="false">
      <c r="A69" s="95" t="str">
        <f aca="false">IF($C69="","",Controls!$B$7)</f>
        <v/>
      </c>
      <c r="B69" s="95" t="str">
        <f aca="false">IF($C69="","",Controls!$B$30)</f>
        <v/>
      </c>
      <c r="C69" s="95" t="str">
        <f aca="false">IF(MM_Income!$A72="","",MM_Income!$A72)</f>
        <v/>
      </c>
      <c r="D69" s="95" t="str">
        <f aca="false">IF($C69="","",INDEX(MM_Income!$B$5:$B$204,MATCH($C69,MM_Income!$A$5:$A$204,0)))</f>
        <v/>
      </c>
      <c r="E69" s="95" t="str">
        <f aca="false">IF($C69="","",INDEX(MM_Income!$C$5:$C$204,MATCH($C69,MM_Income!$A$5:$A$204,0)))</f>
        <v/>
      </c>
      <c r="F69" s="95" t="str">
        <f aca="false">IF($C69="","",INDEX(MM_Income!$F$5:$F$204,MATCH($C69,MM_Income!$A$5:$A$204,0)))</f>
        <v/>
      </c>
      <c r="G69" s="95" t="str">
        <f aca="false">IF($C69="","",INDEX(MM_Income!$G$5:$G$204,MATCH($C69,MM_Income!$A$5:$A$204,0)))</f>
        <v/>
      </c>
      <c r="H69" s="95" t="str">
        <f aca="false">IF($C69="","",INDEX(MM_Income!$H$5:$H$204,MATCH($C69,MM_Income!$A$5:$A$204,0)))</f>
        <v/>
      </c>
      <c r="I69" s="95" t="str">
        <f aca="false">IF($C69="","",INDEX(MM_Income!$I$5:$I$204,MATCH($C69,MM_Income!$A$5:$A$204,0)))</f>
        <v/>
      </c>
      <c r="J69" s="95" t="str">
        <f aca="false">IF($C69="","",INDEX(MM_Income!$D$5:$D$204,MATCH($C69,MM_Income!$A$5:$A$204,0)))</f>
        <v/>
      </c>
      <c r="K69" s="95" t="str">
        <f aca="false">IF($C69="","",INDEX(MM_Income!$E$5:$E$204,MATCH($C69,MM_Income!$A$5:$A$204,0)))</f>
        <v/>
      </c>
      <c r="L69" s="95" t="str">
        <f aca="false">IF($C69="","",INDEX(MM_Income!$U$5:$U$204,MATCH($C69,MM_Income!$A$5:$A$204,0)))</f>
        <v/>
      </c>
      <c r="M69" s="143" t="str">
        <f aca="false">IF($C69="","",INDEX(MM_Income!$V$5:$V$204,MATCH($C69,MM_Income!$A$5:$A$204,0)))</f>
        <v/>
      </c>
      <c r="N69" s="144" t="str">
        <f aca="false">IF($C69="","",INDEX(MM_Income!$T$5:$T$204,MATCH($C69,MM_Income!$A$5:$A$204,0)))</f>
        <v/>
      </c>
      <c r="O69" s="94" t="str">
        <f aca="false">IF($C69="","",-SUMIFS(Project_Activity!$P$2:$P$5000,Project_Activity!$C$2:$C$5000,$C69,Project_Activity!$U$2:$U$5000,"Invoiced Income",Project_Activity!$H$2:$H$5000,"&gt;="&amp;DATE(VALUE(LEFT($B69,4)),1,1),Project_Activity!$H$2:$H$5000,"&lt;="&amp;EOMONTH(DATE(VALUE(LEFT($B69,4)),VALUE(RIGHT($B69,1))*3,1),0)))</f>
        <v/>
      </c>
      <c r="P69" s="94" t="str">
        <f aca="false">IF($C69="","",SUMIFS(Project_Activity!$P$2:$P$5000,Project_Activity!$C$2:$C$5000,$C69,Project_Activity!$U$2:$U$5000,"Subcontractor",Project_Activity!$H$2:$H$5000,"&gt;="&amp;DATE(VALUE(LEFT($B69,4)),1,1),Project_Activity!$H$2:$H$5000,"&lt;="&amp;EOMONTH(DATE(VALUE(LEFT($B69,4)),VALUE(RIGHT($B69,1))*3,1),0)))</f>
        <v/>
      </c>
      <c r="Q69" s="94" t="str">
        <f aca="false">IF($C69="","",SUMIFS(Project_Activity!$P$2:$P$5000,Project_Activity!$C$2:$C$5000,$C69,Project_Activity!$U$2:$U$5000,"Project Inclusive",Project_Activity!$H$2:$H$5000,"&gt;="&amp;DATE(VALUE(LEFT($B69,4)),1,1),Project_Activity!$H$2:$H$5000,"&lt;="&amp;EOMONTH(DATE(VALUE(LEFT($B69,4)),VALUE(RIGHT($B69,1))*3,1),0)))</f>
        <v/>
      </c>
      <c r="R69" s="94" t="str">
        <f aca="false">IF($C69="","",SUMIFS(Project_Activity!$P$2:$P$5000,Project_Activity!$C$2:$C$5000,$C69,Project_Activity!$U$2:$U$5000,"Non-Recoverable",Project_Activity!$H$2:$H$5000,"&gt;="&amp;DATE(VALUE(LEFT($B69,4)),1,1),Project_Activity!$H$2:$H$5000,"&lt;="&amp;EOMONTH(DATE(VALUE(LEFT($B69,4)),VALUE(RIGHT($B69,1))*3,1),0)))</f>
        <v/>
      </c>
      <c r="S69" s="94" t="str">
        <f aca="false">IF($C69="","",$O69-$P69-$Q69-$R69)</f>
        <v/>
      </c>
      <c r="T69" s="94" t="str">
        <f aca="false">IF($C69="","",SUMIFS(Project_Activity!$P$2:$P$5000,Project_Activity!$C$2:$C$5000,$C69,Project_Activity!$U$2:$U$5000,"Recoverable",Project_Activity!$H$2:$H$5000,"&gt;="&amp;DATE(VALUE(LEFT($B69,4)),1,1),Project_Activity!$H$2:$H$5000,"&lt;="&amp;EOMONTH(DATE(VALUE(LEFT($B69,4)),VALUE(RIGHT($B69,1))*3,1),0)))</f>
        <v/>
      </c>
      <c r="U69" s="94" t="str">
        <f aca="false">IF($C69="","",-SUMIFS(Project_Activity!$P$2:$P$5000,Project_Activity!$C$2:$C$5000,$C69,Project_Activity!$U$2:$U$5000,"Recovered Expenses",Project_Activity!$H$2:$H$5000,"&gt;="&amp;DATE(VALUE(LEFT($B69,4)),1,1),Project_Activity!$H$2:$H$5000,"&lt;="&amp;EOMONTH(DATE(VALUE(LEFT($B69,4)),VALUE(RIGHT($B69,1))*3,1),0)))</f>
        <v/>
      </c>
      <c r="V69" s="145"/>
      <c r="W69" s="94" t="str">
        <f aca="false">IF($C69="","",$V69*$N69)</f>
        <v/>
      </c>
      <c r="X69" s="145"/>
      <c r="Y69" s="94" t="str">
        <f aca="false">IF($C69="","",$X69*$N69)</f>
        <v/>
      </c>
      <c r="Z69" s="145"/>
      <c r="AA69" s="94" t="str">
        <f aca="false">IF($C69="","",$Z69*$N69)</f>
        <v/>
      </c>
      <c r="AB69" s="145"/>
      <c r="AC69" s="94" t="str">
        <f aca="false">IF($C69="","",$AB69*$N69)</f>
        <v/>
      </c>
      <c r="AD69" s="94" t="str">
        <f aca="false">IF($C69="","",SUMPRODUCT((VALUE(MID($B69,7,1))&gt;={1,2,3,4})*CHOOSE({1,2,3,4},$W69,$Y69,$AA69,$AC69)))</f>
        <v/>
      </c>
      <c r="AE69" s="94" t="str">
        <f aca="false">IF($C69="","",$W69+$Y69+$AA69+$AC69-$AD69)</f>
        <v/>
      </c>
      <c r="AF69" s="146"/>
      <c r="AG69" s="146"/>
      <c r="AH69" s="146"/>
      <c r="AI69" s="147" t="str">
        <f aca="false">IF($C69="","",IF(OR($L69="Pipeline",$N69&lt;0,$O69&gt;$N69+1,($V69+$X69+$Z69+$AB69)&gt;1.0001,ISNUMBER(SEARCH("not signed",$AF69))),"REVIEW","OK"))</f>
        <v/>
      </c>
    </row>
    <row r="70" customFormat="false" ht="13.5" hidden="false" customHeight="false" outlineLevel="0" collapsed="false">
      <c r="A70" s="95" t="str">
        <f aca="false">IF($C70="","",Controls!$B$7)</f>
        <v/>
      </c>
      <c r="B70" s="95" t="str">
        <f aca="false">IF($C70="","",Controls!$B$30)</f>
        <v/>
      </c>
      <c r="C70" s="95" t="str">
        <f aca="false">IF(MM_Income!$A73="","",MM_Income!$A73)</f>
        <v/>
      </c>
      <c r="D70" s="95" t="str">
        <f aca="false">IF($C70="","",INDEX(MM_Income!$B$5:$B$204,MATCH($C70,MM_Income!$A$5:$A$204,0)))</f>
        <v/>
      </c>
      <c r="E70" s="95" t="str">
        <f aca="false">IF($C70="","",INDEX(MM_Income!$C$5:$C$204,MATCH($C70,MM_Income!$A$5:$A$204,0)))</f>
        <v/>
      </c>
      <c r="F70" s="95" t="str">
        <f aca="false">IF($C70="","",INDEX(MM_Income!$F$5:$F$204,MATCH($C70,MM_Income!$A$5:$A$204,0)))</f>
        <v/>
      </c>
      <c r="G70" s="95" t="str">
        <f aca="false">IF($C70="","",INDEX(MM_Income!$G$5:$G$204,MATCH($C70,MM_Income!$A$5:$A$204,0)))</f>
        <v/>
      </c>
      <c r="H70" s="95" t="str">
        <f aca="false">IF($C70="","",INDEX(MM_Income!$H$5:$H$204,MATCH($C70,MM_Income!$A$5:$A$204,0)))</f>
        <v/>
      </c>
      <c r="I70" s="95" t="str">
        <f aca="false">IF($C70="","",INDEX(MM_Income!$I$5:$I$204,MATCH($C70,MM_Income!$A$5:$A$204,0)))</f>
        <v/>
      </c>
      <c r="J70" s="95" t="str">
        <f aca="false">IF($C70="","",INDEX(MM_Income!$D$5:$D$204,MATCH($C70,MM_Income!$A$5:$A$204,0)))</f>
        <v/>
      </c>
      <c r="K70" s="95" t="str">
        <f aca="false">IF($C70="","",INDEX(MM_Income!$E$5:$E$204,MATCH($C70,MM_Income!$A$5:$A$204,0)))</f>
        <v/>
      </c>
      <c r="L70" s="95" t="str">
        <f aca="false">IF($C70="","",INDEX(MM_Income!$U$5:$U$204,MATCH($C70,MM_Income!$A$5:$A$204,0)))</f>
        <v/>
      </c>
      <c r="M70" s="143" t="str">
        <f aca="false">IF($C70="","",INDEX(MM_Income!$V$5:$V$204,MATCH($C70,MM_Income!$A$5:$A$204,0)))</f>
        <v/>
      </c>
      <c r="N70" s="144" t="str">
        <f aca="false">IF($C70="","",INDEX(MM_Income!$T$5:$T$204,MATCH($C70,MM_Income!$A$5:$A$204,0)))</f>
        <v/>
      </c>
      <c r="O70" s="94" t="str">
        <f aca="false">IF($C70="","",-SUMIFS(Project_Activity!$P$2:$P$5000,Project_Activity!$C$2:$C$5000,$C70,Project_Activity!$U$2:$U$5000,"Invoiced Income",Project_Activity!$H$2:$H$5000,"&gt;="&amp;DATE(VALUE(LEFT($B70,4)),1,1),Project_Activity!$H$2:$H$5000,"&lt;="&amp;EOMONTH(DATE(VALUE(LEFT($B70,4)),VALUE(RIGHT($B70,1))*3,1),0)))</f>
        <v/>
      </c>
      <c r="P70" s="94" t="str">
        <f aca="false">IF($C70="","",SUMIFS(Project_Activity!$P$2:$P$5000,Project_Activity!$C$2:$C$5000,$C70,Project_Activity!$U$2:$U$5000,"Subcontractor",Project_Activity!$H$2:$H$5000,"&gt;="&amp;DATE(VALUE(LEFT($B70,4)),1,1),Project_Activity!$H$2:$H$5000,"&lt;="&amp;EOMONTH(DATE(VALUE(LEFT($B70,4)),VALUE(RIGHT($B70,1))*3,1),0)))</f>
        <v/>
      </c>
      <c r="Q70" s="94" t="str">
        <f aca="false">IF($C70="","",SUMIFS(Project_Activity!$P$2:$P$5000,Project_Activity!$C$2:$C$5000,$C70,Project_Activity!$U$2:$U$5000,"Project Inclusive",Project_Activity!$H$2:$H$5000,"&gt;="&amp;DATE(VALUE(LEFT($B70,4)),1,1),Project_Activity!$H$2:$H$5000,"&lt;="&amp;EOMONTH(DATE(VALUE(LEFT($B70,4)),VALUE(RIGHT($B70,1))*3,1),0)))</f>
        <v/>
      </c>
      <c r="R70" s="94" t="str">
        <f aca="false">IF($C70="","",SUMIFS(Project_Activity!$P$2:$P$5000,Project_Activity!$C$2:$C$5000,$C70,Project_Activity!$U$2:$U$5000,"Non-Recoverable",Project_Activity!$H$2:$H$5000,"&gt;="&amp;DATE(VALUE(LEFT($B70,4)),1,1),Project_Activity!$H$2:$H$5000,"&lt;="&amp;EOMONTH(DATE(VALUE(LEFT($B70,4)),VALUE(RIGHT($B70,1))*3,1),0)))</f>
        <v/>
      </c>
      <c r="S70" s="94" t="str">
        <f aca="false">IF($C70="","",$O70-$P70-$Q70-$R70)</f>
        <v/>
      </c>
      <c r="T70" s="94" t="str">
        <f aca="false">IF($C70="","",SUMIFS(Project_Activity!$P$2:$P$5000,Project_Activity!$C$2:$C$5000,$C70,Project_Activity!$U$2:$U$5000,"Recoverable",Project_Activity!$H$2:$H$5000,"&gt;="&amp;DATE(VALUE(LEFT($B70,4)),1,1),Project_Activity!$H$2:$H$5000,"&lt;="&amp;EOMONTH(DATE(VALUE(LEFT($B70,4)),VALUE(RIGHT($B70,1))*3,1),0)))</f>
        <v/>
      </c>
      <c r="U70" s="94" t="str">
        <f aca="false">IF($C70="","",-SUMIFS(Project_Activity!$P$2:$P$5000,Project_Activity!$C$2:$C$5000,$C70,Project_Activity!$U$2:$U$5000,"Recovered Expenses",Project_Activity!$H$2:$H$5000,"&gt;="&amp;DATE(VALUE(LEFT($B70,4)),1,1),Project_Activity!$H$2:$H$5000,"&lt;="&amp;EOMONTH(DATE(VALUE(LEFT($B70,4)),VALUE(RIGHT($B70,1))*3,1),0)))</f>
        <v/>
      </c>
      <c r="V70" s="145"/>
      <c r="W70" s="94" t="str">
        <f aca="false">IF($C70="","",$V70*$N70)</f>
        <v/>
      </c>
      <c r="X70" s="145"/>
      <c r="Y70" s="94" t="str">
        <f aca="false">IF($C70="","",$X70*$N70)</f>
        <v/>
      </c>
      <c r="Z70" s="145"/>
      <c r="AA70" s="94" t="str">
        <f aca="false">IF($C70="","",$Z70*$N70)</f>
        <v/>
      </c>
      <c r="AB70" s="145"/>
      <c r="AC70" s="94" t="str">
        <f aca="false">IF($C70="","",$AB70*$N70)</f>
        <v/>
      </c>
      <c r="AD70" s="94" t="str">
        <f aca="false">IF($C70="","",SUMPRODUCT((VALUE(MID($B70,7,1))&gt;={1,2,3,4})*CHOOSE({1,2,3,4},$W70,$Y70,$AA70,$AC70)))</f>
        <v/>
      </c>
      <c r="AE70" s="94" t="str">
        <f aca="false">IF($C70="","",$W70+$Y70+$AA70+$AC70-$AD70)</f>
        <v/>
      </c>
      <c r="AF70" s="146"/>
      <c r="AG70" s="146"/>
      <c r="AH70" s="146"/>
      <c r="AI70" s="147" t="str">
        <f aca="false">IF($C70="","",IF(OR($L70="Pipeline",$N70&lt;0,$O70&gt;$N70+1,($V70+$X70+$Z70+$AB70)&gt;1.0001,ISNUMBER(SEARCH("not signed",$AF70))),"REVIEW","OK"))</f>
        <v/>
      </c>
    </row>
    <row r="71" customFormat="false" ht="13.5" hidden="false" customHeight="false" outlineLevel="0" collapsed="false">
      <c r="A71" s="95" t="str">
        <f aca="false">IF($C71="","",Controls!$B$7)</f>
        <v/>
      </c>
      <c r="B71" s="95" t="str">
        <f aca="false">IF($C71="","",Controls!$B$30)</f>
        <v/>
      </c>
      <c r="C71" s="95" t="str">
        <f aca="false">IF(MM_Income!$A74="","",MM_Income!$A74)</f>
        <v/>
      </c>
      <c r="D71" s="95" t="str">
        <f aca="false">IF($C71="","",INDEX(MM_Income!$B$5:$B$204,MATCH($C71,MM_Income!$A$5:$A$204,0)))</f>
        <v/>
      </c>
      <c r="E71" s="95" t="str">
        <f aca="false">IF($C71="","",INDEX(MM_Income!$C$5:$C$204,MATCH($C71,MM_Income!$A$5:$A$204,0)))</f>
        <v/>
      </c>
      <c r="F71" s="95" t="str">
        <f aca="false">IF($C71="","",INDEX(MM_Income!$F$5:$F$204,MATCH($C71,MM_Income!$A$5:$A$204,0)))</f>
        <v/>
      </c>
      <c r="G71" s="95" t="str">
        <f aca="false">IF($C71="","",INDEX(MM_Income!$G$5:$G$204,MATCH($C71,MM_Income!$A$5:$A$204,0)))</f>
        <v/>
      </c>
      <c r="H71" s="95" t="str">
        <f aca="false">IF($C71="","",INDEX(MM_Income!$H$5:$H$204,MATCH($C71,MM_Income!$A$5:$A$204,0)))</f>
        <v/>
      </c>
      <c r="I71" s="95" t="str">
        <f aca="false">IF($C71="","",INDEX(MM_Income!$I$5:$I$204,MATCH($C71,MM_Income!$A$5:$A$204,0)))</f>
        <v/>
      </c>
      <c r="J71" s="95" t="str">
        <f aca="false">IF($C71="","",INDEX(MM_Income!$D$5:$D$204,MATCH($C71,MM_Income!$A$5:$A$204,0)))</f>
        <v/>
      </c>
      <c r="K71" s="95" t="str">
        <f aca="false">IF($C71="","",INDEX(MM_Income!$E$5:$E$204,MATCH($C71,MM_Income!$A$5:$A$204,0)))</f>
        <v/>
      </c>
      <c r="L71" s="95" t="str">
        <f aca="false">IF($C71="","",INDEX(MM_Income!$U$5:$U$204,MATCH($C71,MM_Income!$A$5:$A$204,0)))</f>
        <v/>
      </c>
      <c r="M71" s="143" t="str">
        <f aca="false">IF($C71="","",INDEX(MM_Income!$V$5:$V$204,MATCH($C71,MM_Income!$A$5:$A$204,0)))</f>
        <v/>
      </c>
      <c r="N71" s="144" t="str">
        <f aca="false">IF($C71="","",INDEX(MM_Income!$T$5:$T$204,MATCH($C71,MM_Income!$A$5:$A$204,0)))</f>
        <v/>
      </c>
      <c r="O71" s="94" t="str">
        <f aca="false">IF($C71="","",-SUMIFS(Project_Activity!$P$2:$P$5000,Project_Activity!$C$2:$C$5000,$C71,Project_Activity!$U$2:$U$5000,"Invoiced Income",Project_Activity!$H$2:$H$5000,"&gt;="&amp;DATE(VALUE(LEFT($B71,4)),1,1),Project_Activity!$H$2:$H$5000,"&lt;="&amp;EOMONTH(DATE(VALUE(LEFT($B71,4)),VALUE(RIGHT($B71,1))*3,1),0)))</f>
        <v/>
      </c>
      <c r="P71" s="94" t="str">
        <f aca="false">IF($C71="","",SUMIFS(Project_Activity!$P$2:$P$5000,Project_Activity!$C$2:$C$5000,$C71,Project_Activity!$U$2:$U$5000,"Subcontractor",Project_Activity!$H$2:$H$5000,"&gt;="&amp;DATE(VALUE(LEFT($B71,4)),1,1),Project_Activity!$H$2:$H$5000,"&lt;="&amp;EOMONTH(DATE(VALUE(LEFT($B71,4)),VALUE(RIGHT($B71,1))*3,1),0)))</f>
        <v/>
      </c>
      <c r="Q71" s="94" t="str">
        <f aca="false">IF($C71="","",SUMIFS(Project_Activity!$P$2:$P$5000,Project_Activity!$C$2:$C$5000,$C71,Project_Activity!$U$2:$U$5000,"Project Inclusive",Project_Activity!$H$2:$H$5000,"&gt;="&amp;DATE(VALUE(LEFT($B71,4)),1,1),Project_Activity!$H$2:$H$5000,"&lt;="&amp;EOMONTH(DATE(VALUE(LEFT($B71,4)),VALUE(RIGHT($B71,1))*3,1),0)))</f>
        <v/>
      </c>
      <c r="R71" s="94" t="str">
        <f aca="false">IF($C71="","",SUMIFS(Project_Activity!$P$2:$P$5000,Project_Activity!$C$2:$C$5000,$C71,Project_Activity!$U$2:$U$5000,"Non-Recoverable",Project_Activity!$H$2:$H$5000,"&gt;="&amp;DATE(VALUE(LEFT($B71,4)),1,1),Project_Activity!$H$2:$H$5000,"&lt;="&amp;EOMONTH(DATE(VALUE(LEFT($B71,4)),VALUE(RIGHT($B71,1))*3,1),0)))</f>
        <v/>
      </c>
      <c r="S71" s="94" t="str">
        <f aca="false">IF($C71="","",$O71-$P71-$Q71-$R71)</f>
        <v/>
      </c>
      <c r="T71" s="94" t="str">
        <f aca="false">IF($C71="","",SUMIFS(Project_Activity!$P$2:$P$5000,Project_Activity!$C$2:$C$5000,$C71,Project_Activity!$U$2:$U$5000,"Recoverable",Project_Activity!$H$2:$H$5000,"&gt;="&amp;DATE(VALUE(LEFT($B71,4)),1,1),Project_Activity!$H$2:$H$5000,"&lt;="&amp;EOMONTH(DATE(VALUE(LEFT($B71,4)),VALUE(RIGHT($B71,1))*3,1),0)))</f>
        <v/>
      </c>
      <c r="U71" s="94" t="str">
        <f aca="false">IF($C71="","",-SUMIFS(Project_Activity!$P$2:$P$5000,Project_Activity!$C$2:$C$5000,$C71,Project_Activity!$U$2:$U$5000,"Recovered Expenses",Project_Activity!$H$2:$H$5000,"&gt;="&amp;DATE(VALUE(LEFT($B71,4)),1,1),Project_Activity!$H$2:$H$5000,"&lt;="&amp;EOMONTH(DATE(VALUE(LEFT($B71,4)),VALUE(RIGHT($B71,1))*3,1),0)))</f>
        <v/>
      </c>
      <c r="V71" s="145"/>
      <c r="W71" s="94" t="str">
        <f aca="false">IF($C71="","",$V71*$N71)</f>
        <v/>
      </c>
      <c r="X71" s="145"/>
      <c r="Y71" s="94" t="str">
        <f aca="false">IF($C71="","",$X71*$N71)</f>
        <v/>
      </c>
      <c r="Z71" s="145"/>
      <c r="AA71" s="94" t="str">
        <f aca="false">IF($C71="","",$Z71*$N71)</f>
        <v/>
      </c>
      <c r="AB71" s="145"/>
      <c r="AC71" s="94" t="str">
        <f aca="false">IF($C71="","",$AB71*$N71)</f>
        <v/>
      </c>
      <c r="AD71" s="94" t="str">
        <f aca="false">IF($C71="","",SUMPRODUCT((VALUE(MID($B71,7,1))&gt;={1,2,3,4})*CHOOSE({1,2,3,4},$W71,$Y71,$AA71,$AC71)))</f>
        <v/>
      </c>
      <c r="AE71" s="94" t="str">
        <f aca="false">IF($C71="","",$W71+$Y71+$AA71+$AC71-$AD71)</f>
        <v/>
      </c>
      <c r="AF71" s="146"/>
      <c r="AG71" s="146"/>
      <c r="AH71" s="146"/>
      <c r="AI71" s="147" t="str">
        <f aca="false">IF($C71="","",IF(OR($L71="Pipeline",$N71&lt;0,$O71&gt;$N71+1,($V71+$X71+$Z71+$AB71)&gt;1.0001,ISNUMBER(SEARCH("not signed",$AF71))),"REVIEW","OK"))</f>
        <v/>
      </c>
    </row>
    <row r="72" customFormat="false" ht="13.5" hidden="false" customHeight="false" outlineLevel="0" collapsed="false">
      <c r="A72" s="95" t="str">
        <f aca="false">IF($C72="","",Controls!$B$7)</f>
        <v/>
      </c>
      <c r="B72" s="95" t="str">
        <f aca="false">IF($C72="","",Controls!$B$30)</f>
        <v/>
      </c>
      <c r="C72" s="95" t="str">
        <f aca="false">IF(MM_Income!$A75="","",MM_Income!$A75)</f>
        <v/>
      </c>
      <c r="D72" s="95" t="str">
        <f aca="false">IF($C72="","",INDEX(MM_Income!$B$5:$B$204,MATCH($C72,MM_Income!$A$5:$A$204,0)))</f>
        <v/>
      </c>
      <c r="E72" s="95" t="str">
        <f aca="false">IF($C72="","",INDEX(MM_Income!$C$5:$C$204,MATCH($C72,MM_Income!$A$5:$A$204,0)))</f>
        <v/>
      </c>
      <c r="F72" s="95" t="str">
        <f aca="false">IF($C72="","",INDEX(MM_Income!$F$5:$F$204,MATCH($C72,MM_Income!$A$5:$A$204,0)))</f>
        <v/>
      </c>
      <c r="G72" s="95" t="str">
        <f aca="false">IF($C72="","",INDEX(MM_Income!$G$5:$G$204,MATCH($C72,MM_Income!$A$5:$A$204,0)))</f>
        <v/>
      </c>
      <c r="H72" s="95" t="str">
        <f aca="false">IF($C72="","",INDEX(MM_Income!$H$5:$H$204,MATCH($C72,MM_Income!$A$5:$A$204,0)))</f>
        <v/>
      </c>
      <c r="I72" s="95" t="str">
        <f aca="false">IF($C72="","",INDEX(MM_Income!$I$5:$I$204,MATCH($C72,MM_Income!$A$5:$A$204,0)))</f>
        <v/>
      </c>
      <c r="J72" s="95" t="str">
        <f aca="false">IF($C72="","",INDEX(MM_Income!$D$5:$D$204,MATCH($C72,MM_Income!$A$5:$A$204,0)))</f>
        <v/>
      </c>
      <c r="K72" s="95" t="str">
        <f aca="false">IF($C72="","",INDEX(MM_Income!$E$5:$E$204,MATCH($C72,MM_Income!$A$5:$A$204,0)))</f>
        <v/>
      </c>
      <c r="L72" s="95" t="str">
        <f aca="false">IF($C72="","",INDEX(MM_Income!$U$5:$U$204,MATCH($C72,MM_Income!$A$5:$A$204,0)))</f>
        <v/>
      </c>
      <c r="M72" s="143" t="str">
        <f aca="false">IF($C72="","",INDEX(MM_Income!$V$5:$V$204,MATCH($C72,MM_Income!$A$5:$A$204,0)))</f>
        <v/>
      </c>
      <c r="N72" s="144" t="str">
        <f aca="false">IF($C72="","",INDEX(MM_Income!$T$5:$T$204,MATCH($C72,MM_Income!$A$5:$A$204,0)))</f>
        <v/>
      </c>
      <c r="O72" s="94" t="str">
        <f aca="false">IF($C72="","",-SUMIFS(Project_Activity!$P$2:$P$5000,Project_Activity!$C$2:$C$5000,$C72,Project_Activity!$U$2:$U$5000,"Invoiced Income",Project_Activity!$H$2:$H$5000,"&gt;="&amp;DATE(VALUE(LEFT($B72,4)),1,1),Project_Activity!$H$2:$H$5000,"&lt;="&amp;EOMONTH(DATE(VALUE(LEFT($B72,4)),VALUE(RIGHT($B72,1))*3,1),0)))</f>
        <v/>
      </c>
      <c r="P72" s="94" t="str">
        <f aca="false">IF($C72="","",SUMIFS(Project_Activity!$P$2:$P$5000,Project_Activity!$C$2:$C$5000,$C72,Project_Activity!$U$2:$U$5000,"Subcontractor",Project_Activity!$H$2:$H$5000,"&gt;="&amp;DATE(VALUE(LEFT($B72,4)),1,1),Project_Activity!$H$2:$H$5000,"&lt;="&amp;EOMONTH(DATE(VALUE(LEFT($B72,4)),VALUE(RIGHT($B72,1))*3,1),0)))</f>
        <v/>
      </c>
      <c r="Q72" s="94" t="str">
        <f aca="false">IF($C72="","",SUMIFS(Project_Activity!$P$2:$P$5000,Project_Activity!$C$2:$C$5000,$C72,Project_Activity!$U$2:$U$5000,"Project Inclusive",Project_Activity!$H$2:$H$5000,"&gt;="&amp;DATE(VALUE(LEFT($B72,4)),1,1),Project_Activity!$H$2:$H$5000,"&lt;="&amp;EOMONTH(DATE(VALUE(LEFT($B72,4)),VALUE(RIGHT($B72,1))*3,1),0)))</f>
        <v/>
      </c>
      <c r="R72" s="94" t="str">
        <f aca="false">IF($C72="","",SUMIFS(Project_Activity!$P$2:$P$5000,Project_Activity!$C$2:$C$5000,$C72,Project_Activity!$U$2:$U$5000,"Non-Recoverable",Project_Activity!$H$2:$H$5000,"&gt;="&amp;DATE(VALUE(LEFT($B72,4)),1,1),Project_Activity!$H$2:$H$5000,"&lt;="&amp;EOMONTH(DATE(VALUE(LEFT($B72,4)),VALUE(RIGHT($B72,1))*3,1),0)))</f>
        <v/>
      </c>
      <c r="S72" s="94" t="str">
        <f aca="false">IF($C72="","",$O72-$P72-$Q72-$R72)</f>
        <v/>
      </c>
      <c r="T72" s="94" t="str">
        <f aca="false">IF($C72="","",SUMIFS(Project_Activity!$P$2:$P$5000,Project_Activity!$C$2:$C$5000,$C72,Project_Activity!$U$2:$U$5000,"Recoverable",Project_Activity!$H$2:$H$5000,"&gt;="&amp;DATE(VALUE(LEFT($B72,4)),1,1),Project_Activity!$H$2:$H$5000,"&lt;="&amp;EOMONTH(DATE(VALUE(LEFT($B72,4)),VALUE(RIGHT($B72,1))*3,1),0)))</f>
        <v/>
      </c>
      <c r="U72" s="94" t="str">
        <f aca="false">IF($C72="","",-SUMIFS(Project_Activity!$P$2:$P$5000,Project_Activity!$C$2:$C$5000,$C72,Project_Activity!$U$2:$U$5000,"Recovered Expenses",Project_Activity!$H$2:$H$5000,"&gt;="&amp;DATE(VALUE(LEFT($B72,4)),1,1),Project_Activity!$H$2:$H$5000,"&lt;="&amp;EOMONTH(DATE(VALUE(LEFT($B72,4)),VALUE(RIGHT($B72,1))*3,1),0)))</f>
        <v/>
      </c>
      <c r="V72" s="145"/>
      <c r="W72" s="94" t="str">
        <f aca="false">IF($C72="","",$V72*$N72)</f>
        <v/>
      </c>
      <c r="X72" s="145"/>
      <c r="Y72" s="94" t="str">
        <f aca="false">IF($C72="","",$X72*$N72)</f>
        <v/>
      </c>
      <c r="Z72" s="145"/>
      <c r="AA72" s="94" t="str">
        <f aca="false">IF($C72="","",$Z72*$N72)</f>
        <v/>
      </c>
      <c r="AB72" s="145"/>
      <c r="AC72" s="94" t="str">
        <f aca="false">IF($C72="","",$AB72*$N72)</f>
        <v/>
      </c>
      <c r="AD72" s="94" t="str">
        <f aca="false">IF($C72="","",SUMPRODUCT((VALUE(MID($B72,7,1))&gt;={1,2,3,4})*CHOOSE({1,2,3,4},$W72,$Y72,$AA72,$AC72)))</f>
        <v/>
      </c>
      <c r="AE72" s="94" t="str">
        <f aca="false">IF($C72="","",$W72+$Y72+$AA72+$AC72-$AD72)</f>
        <v/>
      </c>
      <c r="AF72" s="146"/>
      <c r="AG72" s="146"/>
      <c r="AH72" s="146"/>
      <c r="AI72" s="147" t="str">
        <f aca="false">IF($C72="","",IF(OR($L72="Pipeline",$N72&lt;0,$O72&gt;$N72+1,($V72+$X72+$Z72+$AB72)&gt;1.0001,ISNUMBER(SEARCH("not signed",$AF72))),"REVIEW","OK"))</f>
        <v/>
      </c>
    </row>
    <row r="73" customFormat="false" ht="13.5" hidden="false" customHeight="false" outlineLevel="0" collapsed="false">
      <c r="A73" s="95" t="str">
        <f aca="false">IF($C73="","",Controls!$B$7)</f>
        <v/>
      </c>
      <c r="B73" s="95" t="str">
        <f aca="false">IF($C73="","",Controls!$B$30)</f>
        <v/>
      </c>
      <c r="C73" s="95" t="str">
        <f aca="false">IF(MM_Income!$A76="","",MM_Income!$A76)</f>
        <v/>
      </c>
      <c r="D73" s="95" t="str">
        <f aca="false">IF($C73="","",INDEX(MM_Income!$B$5:$B$204,MATCH($C73,MM_Income!$A$5:$A$204,0)))</f>
        <v/>
      </c>
      <c r="E73" s="95" t="str">
        <f aca="false">IF($C73="","",INDEX(MM_Income!$C$5:$C$204,MATCH($C73,MM_Income!$A$5:$A$204,0)))</f>
        <v/>
      </c>
      <c r="F73" s="95" t="str">
        <f aca="false">IF($C73="","",INDEX(MM_Income!$F$5:$F$204,MATCH($C73,MM_Income!$A$5:$A$204,0)))</f>
        <v/>
      </c>
      <c r="G73" s="95" t="str">
        <f aca="false">IF($C73="","",INDEX(MM_Income!$G$5:$G$204,MATCH($C73,MM_Income!$A$5:$A$204,0)))</f>
        <v/>
      </c>
      <c r="H73" s="95" t="str">
        <f aca="false">IF($C73="","",INDEX(MM_Income!$H$5:$H$204,MATCH($C73,MM_Income!$A$5:$A$204,0)))</f>
        <v/>
      </c>
      <c r="I73" s="95" t="str">
        <f aca="false">IF($C73="","",INDEX(MM_Income!$I$5:$I$204,MATCH($C73,MM_Income!$A$5:$A$204,0)))</f>
        <v/>
      </c>
      <c r="J73" s="95" t="str">
        <f aca="false">IF($C73="","",INDEX(MM_Income!$D$5:$D$204,MATCH($C73,MM_Income!$A$5:$A$204,0)))</f>
        <v/>
      </c>
      <c r="K73" s="95" t="str">
        <f aca="false">IF($C73="","",INDEX(MM_Income!$E$5:$E$204,MATCH($C73,MM_Income!$A$5:$A$204,0)))</f>
        <v/>
      </c>
      <c r="L73" s="95" t="str">
        <f aca="false">IF($C73="","",INDEX(MM_Income!$U$5:$U$204,MATCH($C73,MM_Income!$A$5:$A$204,0)))</f>
        <v/>
      </c>
      <c r="M73" s="143" t="str">
        <f aca="false">IF($C73="","",INDEX(MM_Income!$V$5:$V$204,MATCH($C73,MM_Income!$A$5:$A$204,0)))</f>
        <v/>
      </c>
      <c r="N73" s="144" t="str">
        <f aca="false">IF($C73="","",INDEX(MM_Income!$T$5:$T$204,MATCH($C73,MM_Income!$A$5:$A$204,0)))</f>
        <v/>
      </c>
      <c r="O73" s="94" t="str">
        <f aca="false">IF($C73="","",-SUMIFS(Project_Activity!$P$2:$P$5000,Project_Activity!$C$2:$C$5000,$C73,Project_Activity!$U$2:$U$5000,"Invoiced Income",Project_Activity!$H$2:$H$5000,"&gt;="&amp;DATE(VALUE(LEFT($B73,4)),1,1),Project_Activity!$H$2:$H$5000,"&lt;="&amp;EOMONTH(DATE(VALUE(LEFT($B73,4)),VALUE(RIGHT($B73,1))*3,1),0)))</f>
        <v/>
      </c>
      <c r="P73" s="94" t="str">
        <f aca="false">IF($C73="","",SUMIFS(Project_Activity!$P$2:$P$5000,Project_Activity!$C$2:$C$5000,$C73,Project_Activity!$U$2:$U$5000,"Subcontractor",Project_Activity!$H$2:$H$5000,"&gt;="&amp;DATE(VALUE(LEFT($B73,4)),1,1),Project_Activity!$H$2:$H$5000,"&lt;="&amp;EOMONTH(DATE(VALUE(LEFT($B73,4)),VALUE(RIGHT($B73,1))*3,1),0)))</f>
        <v/>
      </c>
      <c r="Q73" s="94" t="str">
        <f aca="false">IF($C73="","",SUMIFS(Project_Activity!$P$2:$P$5000,Project_Activity!$C$2:$C$5000,$C73,Project_Activity!$U$2:$U$5000,"Project Inclusive",Project_Activity!$H$2:$H$5000,"&gt;="&amp;DATE(VALUE(LEFT($B73,4)),1,1),Project_Activity!$H$2:$H$5000,"&lt;="&amp;EOMONTH(DATE(VALUE(LEFT($B73,4)),VALUE(RIGHT($B73,1))*3,1),0)))</f>
        <v/>
      </c>
      <c r="R73" s="94" t="str">
        <f aca="false">IF($C73="","",SUMIFS(Project_Activity!$P$2:$P$5000,Project_Activity!$C$2:$C$5000,$C73,Project_Activity!$U$2:$U$5000,"Non-Recoverable",Project_Activity!$H$2:$H$5000,"&gt;="&amp;DATE(VALUE(LEFT($B73,4)),1,1),Project_Activity!$H$2:$H$5000,"&lt;="&amp;EOMONTH(DATE(VALUE(LEFT($B73,4)),VALUE(RIGHT($B73,1))*3,1),0)))</f>
        <v/>
      </c>
      <c r="S73" s="94" t="str">
        <f aca="false">IF($C73="","",$O73-$P73-$Q73-$R73)</f>
        <v/>
      </c>
      <c r="T73" s="94" t="str">
        <f aca="false">IF($C73="","",SUMIFS(Project_Activity!$P$2:$P$5000,Project_Activity!$C$2:$C$5000,$C73,Project_Activity!$U$2:$U$5000,"Recoverable",Project_Activity!$H$2:$H$5000,"&gt;="&amp;DATE(VALUE(LEFT($B73,4)),1,1),Project_Activity!$H$2:$H$5000,"&lt;="&amp;EOMONTH(DATE(VALUE(LEFT($B73,4)),VALUE(RIGHT($B73,1))*3,1),0)))</f>
        <v/>
      </c>
      <c r="U73" s="94" t="str">
        <f aca="false">IF($C73="","",-SUMIFS(Project_Activity!$P$2:$P$5000,Project_Activity!$C$2:$C$5000,$C73,Project_Activity!$U$2:$U$5000,"Recovered Expenses",Project_Activity!$H$2:$H$5000,"&gt;="&amp;DATE(VALUE(LEFT($B73,4)),1,1),Project_Activity!$H$2:$H$5000,"&lt;="&amp;EOMONTH(DATE(VALUE(LEFT($B73,4)),VALUE(RIGHT($B73,1))*3,1),0)))</f>
        <v/>
      </c>
      <c r="V73" s="145"/>
      <c r="W73" s="94" t="str">
        <f aca="false">IF($C73="","",$V73*$N73)</f>
        <v/>
      </c>
      <c r="X73" s="145"/>
      <c r="Y73" s="94" t="str">
        <f aca="false">IF($C73="","",$X73*$N73)</f>
        <v/>
      </c>
      <c r="Z73" s="145"/>
      <c r="AA73" s="94" t="str">
        <f aca="false">IF($C73="","",$Z73*$N73)</f>
        <v/>
      </c>
      <c r="AB73" s="145"/>
      <c r="AC73" s="94" t="str">
        <f aca="false">IF($C73="","",$AB73*$N73)</f>
        <v/>
      </c>
      <c r="AD73" s="94" t="str">
        <f aca="false">IF($C73="","",SUMPRODUCT((VALUE(MID($B73,7,1))&gt;={1,2,3,4})*CHOOSE({1,2,3,4},$W73,$Y73,$AA73,$AC73)))</f>
        <v/>
      </c>
      <c r="AE73" s="94" t="str">
        <f aca="false">IF($C73="","",$W73+$Y73+$AA73+$AC73-$AD73)</f>
        <v/>
      </c>
      <c r="AF73" s="146"/>
      <c r="AG73" s="146"/>
      <c r="AH73" s="146"/>
      <c r="AI73" s="147" t="str">
        <f aca="false">IF($C73="","",IF(OR($L73="Pipeline",$N73&lt;0,$O73&gt;$N73+1,($V73+$X73+$Z73+$AB73)&gt;1.0001,ISNUMBER(SEARCH("not signed",$AF73))),"REVIEW","OK"))</f>
        <v/>
      </c>
    </row>
    <row r="74" customFormat="false" ht="13.5" hidden="false" customHeight="false" outlineLevel="0" collapsed="false">
      <c r="A74" s="95" t="str">
        <f aca="false">IF($C74="","",Controls!$B$7)</f>
        <v/>
      </c>
      <c r="B74" s="95" t="str">
        <f aca="false">IF($C74="","",Controls!$B$30)</f>
        <v/>
      </c>
      <c r="C74" s="95" t="str">
        <f aca="false">IF(MM_Income!$A77="","",MM_Income!$A77)</f>
        <v/>
      </c>
      <c r="D74" s="95" t="str">
        <f aca="false">IF($C74="","",INDEX(MM_Income!$B$5:$B$204,MATCH($C74,MM_Income!$A$5:$A$204,0)))</f>
        <v/>
      </c>
      <c r="E74" s="95" t="str">
        <f aca="false">IF($C74="","",INDEX(MM_Income!$C$5:$C$204,MATCH($C74,MM_Income!$A$5:$A$204,0)))</f>
        <v/>
      </c>
      <c r="F74" s="95" t="str">
        <f aca="false">IF($C74="","",INDEX(MM_Income!$F$5:$F$204,MATCH($C74,MM_Income!$A$5:$A$204,0)))</f>
        <v/>
      </c>
      <c r="G74" s="95" t="str">
        <f aca="false">IF($C74="","",INDEX(MM_Income!$G$5:$G$204,MATCH($C74,MM_Income!$A$5:$A$204,0)))</f>
        <v/>
      </c>
      <c r="H74" s="95" t="str">
        <f aca="false">IF($C74="","",INDEX(MM_Income!$H$5:$H$204,MATCH($C74,MM_Income!$A$5:$A$204,0)))</f>
        <v/>
      </c>
      <c r="I74" s="95" t="str">
        <f aca="false">IF($C74="","",INDEX(MM_Income!$I$5:$I$204,MATCH($C74,MM_Income!$A$5:$A$204,0)))</f>
        <v/>
      </c>
      <c r="J74" s="95" t="str">
        <f aca="false">IF($C74="","",INDEX(MM_Income!$D$5:$D$204,MATCH($C74,MM_Income!$A$5:$A$204,0)))</f>
        <v/>
      </c>
      <c r="K74" s="95" t="str">
        <f aca="false">IF($C74="","",INDEX(MM_Income!$E$5:$E$204,MATCH($C74,MM_Income!$A$5:$A$204,0)))</f>
        <v/>
      </c>
      <c r="L74" s="95" t="str">
        <f aca="false">IF($C74="","",INDEX(MM_Income!$U$5:$U$204,MATCH($C74,MM_Income!$A$5:$A$204,0)))</f>
        <v/>
      </c>
      <c r="M74" s="143" t="str">
        <f aca="false">IF($C74="","",INDEX(MM_Income!$V$5:$V$204,MATCH($C74,MM_Income!$A$5:$A$204,0)))</f>
        <v/>
      </c>
      <c r="N74" s="144" t="str">
        <f aca="false">IF($C74="","",INDEX(MM_Income!$T$5:$T$204,MATCH($C74,MM_Income!$A$5:$A$204,0)))</f>
        <v/>
      </c>
      <c r="O74" s="94" t="str">
        <f aca="false">IF($C74="","",-SUMIFS(Project_Activity!$P$2:$P$5000,Project_Activity!$C$2:$C$5000,$C74,Project_Activity!$U$2:$U$5000,"Invoiced Income",Project_Activity!$H$2:$H$5000,"&gt;="&amp;DATE(VALUE(LEFT($B74,4)),1,1),Project_Activity!$H$2:$H$5000,"&lt;="&amp;EOMONTH(DATE(VALUE(LEFT($B74,4)),VALUE(RIGHT($B74,1))*3,1),0)))</f>
        <v/>
      </c>
      <c r="P74" s="94" t="str">
        <f aca="false">IF($C74="","",SUMIFS(Project_Activity!$P$2:$P$5000,Project_Activity!$C$2:$C$5000,$C74,Project_Activity!$U$2:$U$5000,"Subcontractor",Project_Activity!$H$2:$H$5000,"&gt;="&amp;DATE(VALUE(LEFT($B74,4)),1,1),Project_Activity!$H$2:$H$5000,"&lt;="&amp;EOMONTH(DATE(VALUE(LEFT($B74,4)),VALUE(RIGHT($B74,1))*3,1),0)))</f>
        <v/>
      </c>
      <c r="Q74" s="94" t="str">
        <f aca="false">IF($C74="","",SUMIFS(Project_Activity!$P$2:$P$5000,Project_Activity!$C$2:$C$5000,$C74,Project_Activity!$U$2:$U$5000,"Project Inclusive",Project_Activity!$H$2:$H$5000,"&gt;="&amp;DATE(VALUE(LEFT($B74,4)),1,1),Project_Activity!$H$2:$H$5000,"&lt;="&amp;EOMONTH(DATE(VALUE(LEFT($B74,4)),VALUE(RIGHT($B74,1))*3,1),0)))</f>
        <v/>
      </c>
      <c r="R74" s="94" t="str">
        <f aca="false">IF($C74="","",SUMIFS(Project_Activity!$P$2:$P$5000,Project_Activity!$C$2:$C$5000,$C74,Project_Activity!$U$2:$U$5000,"Non-Recoverable",Project_Activity!$H$2:$H$5000,"&gt;="&amp;DATE(VALUE(LEFT($B74,4)),1,1),Project_Activity!$H$2:$H$5000,"&lt;="&amp;EOMONTH(DATE(VALUE(LEFT($B74,4)),VALUE(RIGHT($B74,1))*3,1),0)))</f>
        <v/>
      </c>
      <c r="S74" s="94" t="str">
        <f aca="false">IF($C74="","",$O74-$P74-$Q74-$R74)</f>
        <v/>
      </c>
      <c r="T74" s="94" t="str">
        <f aca="false">IF($C74="","",SUMIFS(Project_Activity!$P$2:$P$5000,Project_Activity!$C$2:$C$5000,$C74,Project_Activity!$U$2:$U$5000,"Recoverable",Project_Activity!$H$2:$H$5000,"&gt;="&amp;DATE(VALUE(LEFT($B74,4)),1,1),Project_Activity!$H$2:$H$5000,"&lt;="&amp;EOMONTH(DATE(VALUE(LEFT($B74,4)),VALUE(RIGHT($B74,1))*3,1),0)))</f>
        <v/>
      </c>
      <c r="U74" s="94" t="str">
        <f aca="false">IF($C74="","",-SUMIFS(Project_Activity!$P$2:$P$5000,Project_Activity!$C$2:$C$5000,$C74,Project_Activity!$U$2:$U$5000,"Recovered Expenses",Project_Activity!$H$2:$H$5000,"&gt;="&amp;DATE(VALUE(LEFT($B74,4)),1,1),Project_Activity!$H$2:$H$5000,"&lt;="&amp;EOMONTH(DATE(VALUE(LEFT($B74,4)),VALUE(RIGHT($B74,1))*3,1),0)))</f>
        <v/>
      </c>
      <c r="V74" s="145"/>
      <c r="W74" s="94" t="str">
        <f aca="false">IF($C74="","",$V74*$N74)</f>
        <v/>
      </c>
      <c r="X74" s="145"/>
      <c r="Y74" s="94" t="str">
        <f aca="false">IF($C74="","",$X74*$N74)</f>
        <v/>
      </c>
      <c r="Z74" s="145"/>
      <c r="AA74" s="94" t="str">
        <f aca="false">IF($C74="","",$Z74*$N74)</f>
        <v/>
      </c>
      <c r="AB74" s="145"/>
      <c r="AC74" s="94" t="str">
        <f aca="false">IF($C74="","",$AB74*$N74)</f>
        <v/>
      </c>
      <c r="AD74" s="94" t="str">
        <f aca="false">IF($C74="","",SUMPRODUCT((VALUE(MID($B74,7,1))&gt;={1,2,3,4})*CHOOSE({1,2,3,4},$W74,$Y74,$AA74,$AC74)))</f>
        <v/>
      </c>
      <c r="AE74" s="94" t="str">
        <f aca="false">IF($C74="","",$W74+$Y74+$AA74+$AC74-$AD74)</f>
        <v/>
      </c>
      <c r="AF74" s="146"/>
      <c r="AG74" s="146"/>
      <c r="AH74" s="146"/>
      <c r="AI74" s="147" t="str">
        <f aca="false">IF($C74="","",IF(OR($L74="Pipeline",$N74&lt;0,$O74&gt;$N74+1,($V74+$X74+$Z74+$AB74)&gt;1.0001,ISNUMBER(SEARCH("not signed",$AF74))),"REVIEW","OK"))</f>
        <v/>
      </c>
    </row>
    <row r="75" customFormat="false" ht="13.5" hidden="false" customHeight="false" outlineLevel="0" collapsed="false">
      <c r="A75" s="95" t="str">
        <f aca="false">IF($C75="","",Controls!$B$7)</f>
        <v/>
      </c>
      <c r="B75" s="95" t="str">
        <f aca="false">IF($C75="","",Controls!$B$30)</f>
        <v/>
      </c>
      <c r="C75" s="95" t="str">
        <f aca="false">IF(MM_Income!$A78="","",MM_Income!$A78)</f>
        <v/>
      </c>
      <c r="D75" s="95" t="str">
        <f aca="false">IF($C75="","",INDEX(MM_Income!$B$5:$B$204,MATCH($C75,MM_Income!$A$5:$A$204,0)))</f>
        <v/>
      </c>
      <c r="E75" s="95" t="str">
        <f aca="false">IF($C75="","",INDEX(MM_Income!$C$5:$C$204,MATCH($C75,MM_Income!$A$5:$A$204,0)))</f>
        <v/>
      </c>
      <c r="F75" s="95" t="str">
        <f aca="false">IF($C75="","",INDEX(MM_Income!$F$5:$F$204,MATCH($C75,MM_Income!$A$5:$A$204,0)))</f>
        <v/>
      </c>
      <c r="G75" s="95" t="str">
        <f aca="false">IF($C75="","",INDEX(MM_Income!$G$5:$G$204,MATCH($C75,MM_Income!$A$5:$A$204,0)))</f>
        <v/>
      </c>
      <c r="H75" s="95" t="str">
        <f aca="false">IF($C75="","",INDEX(MM_Income!$H$5:$H$204,MATCH($C75,MM_Income!$A$5:$A$204,0)))</f>
        <v/>
      </c>
      <c r="I75" s="95" t="str">
        <f aca="false">IF($C75="","",INDEX(MM_Income!$I$5:$I$204,MATCH($C75,MM_Income!$A$5:$A$204,0)))</f>
        <v/>
      </c>
      <c r="J75" s="95" t="str">
        <f aca="false">IF($C75="","",INDEX(MM_Income!$D$5:$D$204,MATCH($C75,MM_Income!$A$5:$A$204,0)))</f>
        <v/>
      </c>
      <c r="K75" s="95" t="str">
        <f aca="false">IF($C75="","",INDEX(MM_Income!$E$5:$E$204,MATCH($C75,MM_Income!$A$5:$A$204,0)))</f>
        <v/>
      </c>
      <c r="L75" s="95" t="str">
        <f aca="false">IF($C75="","",INDEX(MM_Income!$U$5:$U$204,MATCH($C75,MM_Income!$A$5:$A$204,0)))</f>
        <v/>
      </c>
      <c r="M75" s="143" t="str">
        <f aca="false">IF($C75="","",INDEX(MM_Income!$V$5:$V$204,MATCH($C75,MM_Income!$A$5:$A$204,0)))</f>
        <v/>
      </c>
      <c r="N75" s="144" t="str">
        <f aca="false">IF($C75="","",INDEX(MM_Income!$T$5:$T$204,MATCH($C75,MM_Income!$A$5:$A$204,0)))</f>
        <v/>
      </c>
      <c r="O75" s="94" t="str">
        <f aca="false">IF($C75="","",-SUMIFS(Project_Activity!$P$2:$P$5000,Project_Activity!$C$2:$C$5000,$C75,Project_Activity!$U$2:$U$5000,"Invoiced Income",Project_Activity!$H$2:$H$5000,"&gt;="&amp;DATE(VALUE(LEFT($B75,4)),1,1),Project_Activity!$H$2:$H$5000,"&lt;="&amp;EOMONTH(DATE(VALUE(LEFT($B75,4)),VALUE(RIGHT($B75,1))*3,1),0)))</f>
        <v/>
      </c>
      <c r="P75" s="94" t="str">
        <f aca="false">IF($C75="","",SUMIFS(Project_Activity!$P$2:$P$5000,Project_Activity!$C$2:$C$5000,$C75,Project_Activity!$U$2:$U$5000,"Subcontractor",Project_Activity!$H$2:$H$5000,"&gt;="&amp;DATE(VALUE(LEFT($B75,4)),1,1),Project_Activity!$H$2:$H$5000,"&lt;="&amp;EOMONTH(DATE(VALUE(LEFT($B75,4)),VALUE(RIGHT($B75,1))*3,1),0)))</f>
        <v/>
      </c>
      <c r="Q75" s="94" t="str">
        <f aca="false">IF($C75="","",SUMIFS(Project_Activity!$P$2:$P$5000,Project_Activity!$C$2:$C$5000,$C75,Project_Activity!$U$2:$U$5000,"Project Inclusive",Project_Activity!$H$2:$H$5000,"&gt;="&amp;DATE(VALUE(LEFT($B75,4)),1,1),Project_Activity!$H$2:$H$5000,"&lt;="&amp;EOMONTH(DATE(VALUE(LEFT($B75,4)),VALUE(RIGHT($B75,1))*3,1),0)))</f>
        <v/>
      </c>
      <c r="R75" s="94" t="str">
        <f aca="false">IF($C75="","",SUMIFS(Project_Activity!$P$2:$P$5000,Project_Activity!$C$2:$C$5000,$C75,Project_Activity!$U$2:$U$5000,"Non-Recoverable",Project_Activity!$H$2:$H$5000,"&gt;="&amp;DATE(VALUE(LEFT($B75,4)),1,1),Project_Activity!$H$2:$H$5000,"&lt;="&amp;EOMONTH(DATE(VALUE(LEFT($B75,4)),VALUE(RIGHT($B75,1))*3,1),0)))</f>
        <v/>
      </c>
      <c r="S75" s="94" t="str">
        <f aca="false">IF($C75="","",$O75-$P75-$Q75-$R75)</f>
        <v/>
      </c>
      <c r="T75" s="94" t="str">
        <f aca="false">IF($C75="","",SUMIFS(Project_Activity!$P$2:$P$5000,Project_Activity!$C$2:$C$5000,$C75,Project_Activity!$U$2:$U$5000,"Recoverable",Project_Activity!$H$2:$H$5000,"&gt;="&amp;DATE(VALUE(LEFT($B75,4)),1,1),Project_Activity!$H$2:$H$5000,"&lt;="&amp;EOMONTH(DATE(VALUE(LEFT($B75,4)),VALUE(RIGHT($B75,1))*3,1),0)))</f>
        <v/>
      </c>
      <c r="U75" s="94" t="str">
        <f aca="false">IF($C75="","",-SUMIFS(Project_Activity!$P$2:$P$5000,Project_Activity!$C$2:$C$5000,$C75,Project_Activity!$U$2:$U$5000,"Recovered Expenses",Project_Activity!$H$2:$H$5000,"&gt;="&amp;DATE(VALUE(LEFT($B75,4)),1,1),Project_Activity!$H$2:$H$5000,"&lt;="&amp;EOMONTH(DATE(VALUE(LEFT($B75,4)),VALUE(RIGHT($B75,1))*3,1),0)))</f>
        <v/>
      </c>
      <c r="V75" s="145"/>
      <c r="W75" s="94" t="str">
        <f aca="false">IF($C75="","",$V75*$N75)</f>
        <v/>
      </c>
      <c r="X75" s="145"/>
      <c r="Y75" s="94" t="str">
        <f aca="false">IF($C75="","",$X75*$N75)</f>
        <v/>
      </c>
      <c r="Z75" s="145"/>
      <c r="AA75" s="94" t="str">
        <f aca="false">IF($C75="","",$Z75*$N75)</f>
        <v/>
      </c>
      <c r="AB75" s="145"/>
      <c r="AC75" s="94" t="str">
        <f aca="false">IF($C75="","",$AB75*$N75)</f>
        <v/>
      </c>
      <c r="AD75" s="94" t="str">
        <f aca="false">IF($C75="","",SUMPRODUCT((VALUE(MID($B75,7,1))&gt;={1,2,3,4})*CHOOSE({1,2,3,4},$W75,$Y75,$AA75,$AC75)))</f>
        <v/>
      </c>
      <c r="AE75" s="94" t="str">
        <f aca="false">IF($C75="","",$W75+$Y75+$AA75+$AC75-$AD75)</f>
        <v/>
      </c>
      <c r="AF75" s="146"/>
      <c r="AG75" s="146"/>
      <c r="AH75" s="146"/>
      <c r="AI75" s="147" t="str">
        <f aca="false">IF($C75="","",IF(OR($L75="Pipeline",$N75&lt;0,$O75&gt;$N75+1,($V75+$X75+$Z75+$AB75)&gt;1.0001,ISNUMBER(SEARCH("not signed",$AF75))),"REVIEW","OK"))</f>
        <v/>
      </c>
    </row>
    <row r="76" customFormat="false" ht="13.5" hidden="false" customHeight="false" outlineLevel="0" collapsed="false">
      <c r="A76" s="95" t="str">
        <f aca="false">IF($C76="","",Controls!$B$7)</f>
        <v/>
      </c>
      <c r="B76" s="95" t="str">
        <f aca="false">IF($C76="","",Controls!$B$30)</f>
        <v/>
      </c>
      <c r="C76" s="95" t="str">
        <f aca="false">IF(MM_Income!$A79="","",MM_Income!$A79)</f>
        <v/>
      </c>
      <c r="D76" s="95" t="str">
        <f aca="false">IF($C76="","",INDEX(MM_Income!$B$5:$B$204,MATCH($C76,MM_Income!$A$5:$A$204,0)))</f>
        <v/>
      </c>
      <c r="E76" s="95" t="str">
        <f aca="false">IF($C76="","",INDEX(MM_Income!$C$5:$C$204,MATCH($C76,MM_Income!$A$5:$A$204,0)))</f>
        <v/>
      </c>
      <c r="F76" s="95" t="str">
        <f aca="false">IF($C76="","",INDEX(MM_Income!$F$5:$F$204,MATCH($C76,MM_Income!$A$5:$A$204,0)))</f>
        <v/>
      </c>
      <c r="G76" s="95" t="str">
        <f aca="false">IF($C76="","",INDEX(MM_Income!$G$5:$G$204,MATCH($C76,MM_Income!$A$5:$A$204,0)))</f>
        <v/>
      </c>
      <c r="H76" s="95" t="str">
        <f aca="false">IF($C76="","",INDEX(MM_Income!$H$5:$H$204,MATCH($C76,MM_Income!$A$5:$A$204,0)))</f>
        <v/>
      </c>
      <c r="I76" s="95" t="str">
        <f aca="false">IF($C76="","",INDEX(MM_Income!$I$5:$I$204,MATCH($C76,MM_Income!$A$5:$A$204,0)))</f>
        <v/>
      </c>
      <c r="J76" s="95" t="str">
        <f aca="false">IF($C76="","",INDEX(MM_Income!$D$5:$D$204,MATCH($C76,MM_Income!$A$5:$A$204,0)))</f>
        <v/>
      </c>
      <c r="K76" s="95" t="str">
        <f aca="false">IF($C76="","",INDEX(MM_Income!$E$5:$E$204,MATCH($C76,MM_Income!$A$5:$A$204,0)))</f>
        <v/>
      </c>
      <c r="L76" s="95" t="str">
        <f aca="false">IF($C76="","",INDEX(MM_Income!$U$5:$U$204,MATCH($C76,MM_Income!$A$5:$A$204,0)))</f>
        <v/>
      </c>
      <c r="M76" s="143" t="str">
        <f aca="false">IF($C76="","",INDEX(MM_Income!$V$5:$V$204,MATCH($C76,MM_Income!$A$5:$A$204,0)))</f>
        <v/>
      </c>
      <c r="N76" s="144" t="str">
        <f aca="false">IF($C76="","",INDEX(MM_Income!$T$5:$T$204,MATCH($C76,MM_Income!$A$5:$A$204,0)))</f>
        <v/>
      </c>
      <c r="O76" s="94" t="str">
        <f aca="false">IF($C76="","",-SUMIFS(Project_Activity!$P$2:$P$5000,Project_Activity!$C$2:$C$5000,$C76,Project_Activity!$U$2:$U$5000,"Invoiced Income",Project_Activity!$H$2:$H$5000,"&gt;="&amp;DATE(VALUE(LEFT($B76,4)),1,1),Project_Activity!$H$2:$H$5000,"&lt;="&amp;EOMONTH(DATE(VALUE(LEFT($B76,4)),VALUE(RIGHT($B76,1))*3,1),0)))</f>
        <v/>
      </c>
      <c r="P76" s="94" t="str">
        <f aca="false">IF($C76="","",SUMIFS(Project_Activity!$P$2:$P$5000,Project_Activity!$C$2:$C$5000,$C76,Project_Activity!$U$2:$U$5000,"Subcontractor",Project_Activity!$H$2:$H$5000,"&gt;="&amp;DATE(VALUE(LEFT($B76,4)),1,1),Project_Activity!$H$2:$H$5000,"&lt;="&amp;EOMONTH(DATE(VALUE(LEFT($B76,4)),VALUE(RIGHT($B76,1))*3,1),0)))</f>
        <v/>
      </c>
      <c r="Q76" s="94" t="str">
        <f aca="false">IF($C76="","",SUMIFS(Project_Activity!$P$2:$P$5000,Project_Activity!$C$2:$C$5000,$C76,Project_Activity!$U$2:$U$5000,"Project Inclusive",Project_Activity!$H$2:$H$5000,"&gt;="&amp;DATE(VALUE(LEFT($B76,4)),1,1),Project_Activity!$H$2:$H$5000,"&lt;="&amp;EOMONTH(DATE(VALUE(LEFT($B76,4)),VALUE(RIGHT($B76,1))*3,1),0)))</f>
        <v/>
      </c>
      <c r="R76" s="94" t="str">
        <f aca="false">IF($C76="","",SUMIFS(Project_Activity!$P$2:$P$5000,Project_Activity!$C$2:$C$5000,$C76,Project_Activity!$U$2:$U$5000,"Non-Recoverable",Project_Activity!$H$2:$H$5000,"&gt;="&amp;DATE(VALUE(LEFT($B76,4)),1,1),Project_Activity!$H$2:$H$5000,"&lt;="&amp;EOMONTH(DATE(VALUE(LEFT($B76,4)),VALUE(RIGHT($B76,1))*3,1),0)))</f>
        <v/>
      </c>
      <c r="S76" s="94" t="str">
        <f aca="false">IF($C76="","",$O76-$P76-$Q76-$R76)</f>
        <v/>
      </c>
      <c r="T76" s="94" t="str">
        <f aca="false">IF($C76="","",SUMIFS(Project_Activity!$P$2:$P$5000,Project_Activity!$C$2:$C$5000,$C76,Project_Activity!$U$2:$U$5000,"Recoverable",Project_Activity!$H$2:$H$5000,"&gt;="&amp;DATE(VALUE(LEFT($B76,4)),1,1),Project_Activity!$H$2:$H$5000,"&lt;="&amp;EOMONTH(DATE(VALUE(LEFT($B76,4)),VALUE(RIGHT($B76,1))*3,1),0)))</f>
        <v/>
      </c>
      <c r="U76" s="94" t="str">
        <f aca="false">IF($C76="","",-SUMIFS(Project_Activity!$P$2:$P$5000,Project_Activity!$C$2:$C$5000,$C76,Project_Activity!$U$2:$U$5000,"Recovered Expenses",Project_Activity!$H$2:$H$5000,"&gt;="&amp;DATE(VALUE(LEFT($B76,4)),1,1),Project_Activity!$H$2:$H$5000,"&lt;="&amp;EOMONTH(DATE(VALUE(LEFT($B76,4)),VALUE(RIGHT($B76,1))*3,1),0)))</f>
        <v/>
      </c>
      <c r="V76" s="145"/>
      <c r="W76" s="94" t="str">
        <f aca="false">IF($C76="","",$V76*$N76)</f>
        <v/>
      </c>
      <c r="X76" s="145"/>
      <c r="Y76" s="94" t="str">
        <f aca="false">IF($C76="","",$X76*$N76)</f>
        <v/>
      </c>
      <c r="Z76" s="145"/>
      <c r="AA76" s="94" t="str">
        <f aca="false">IF($C76="","",$Z76*$N76)</f>
        <v/>
      </c>
      <c r="AB76" s="145"/>
      <c r="AC76" s="94" t="str">
        <f aca="false">IF($C76="","",$AB76*$N76)</f>
        <v/>
      </c>
      <c r="AD76" s="94" t="str">
        <f aca="false">IF($C76="","",SUMPRODUCT((VALUE(MID($B76,7,1))&gt;={1,2,3,4})*CHOOSE({1,2,3,4},$W76,$Y76,$AA76,$AC76)))</f>
        <v/>
      </c>
      <c r="AE76" s="94" t="str">
        <f aca="false">IF($C76="","",$W76+$Y76+$AA76+$AC76-$AD76)</f>
        <v/>
      </c>
      <c r="AF76" s="146"/>
      <c r="AG76" s="146"/>
      <c r="AH76" s="146"/>
      <c r="AI76" s="147" t="str">
        <f aca="false">IF($C76="","",IF(OR($L76="Pipeline",$N76&lt;0,$O76&gt;$N76+1,($V76+$X76+$Z76+$AB76)&gt;1.0001,ISNUMBER(SEARCH("not signed",$AF76))),"REVIEW","OK"))</f>
        <v/>
      </c>
    </row>
    <row r="77" customFormat="false" ht="13.5" hidden="false" customHeight="false" outlineLevel="0" collapsed="false">
      <c r="A77" s="95" t="str">
        <f aca="false">IF($C77="","",Controls!$B$7)</f>
        <v/>
      </c>
      <c r="B77" s="95" t="str">
        <f aca="false">IF($C77="","",Controls!$B$30)</f>
        <v/>
      </c>
      <c r="C77" s="95" t="str">
        <f aca="false">IF(MM_Income!$A80="","",MM_Income!$A80)</f>
        <v/>
      </c>
      <c r="D77" s="95" t="str">
        <f aca="false">IF($C77="","",INDEX(MM_Income!$B$5:$B$204,MATCH($C77,MM_Income!$A$5:$A$204,0)))</f>
        <v/>
      </c>
      <c r="E77" s="95" t="str">
        <f aca="false">IF($C77="","",INDEX(MM_Income!$C$5:$C$204,MATCH($C77,MM_Income!$A$5:$A$204,0)))</f>
        <v/>
      </c>
      <c r="F77" s="95" t="str">
        <f aca="false">IF($C77="","",INDEX(MM_Income!$F$5:$F$204,MATCH($C77,MM_Income!$A$5:$A$204,0)))</f>
        <v/>
      </c>
      <c r="G77" s="95" t="str">
        <f aca="false">IF($C77="","",INDEX(MM_Income!$G$5:$G$204,MATCH($C77,MM_Income!$A$5:$A$204,0)))</f>
        <v/>
      </c>
      <c r="H77" s="95" t="str">
        <f aca="false">IF($C77="","",INDEX(MM_Income!$H$5:$H$204,MATCH($C77,MM_Income!$A$5:$A$204,0)))</f>
        <v/>
      </c>
      <c r="I77" s="95" t="str">
        <f aca="false">IF($C77="","",INDEX(MM_Income!$I$5:$I$204,MATCH($C77,MM_Income!$A$5:$A$204,0)))</f>
        <v/>
      </c>
      <c r="J77" s="95" t="str">
        <f aca="false">IF($C77="","",INDEX(MM_Income!$D$5:$D$204,MATCH($C77,MM_Income!$A$5:$A$204,0)))</f>
        <v/>
      </c>
      <c r="K77" s="95" t="str">
        <f aca="false">IF($C77="","",INDEX(MM_Income!$E$5:$E$204,MATCH($C77,MM_Income!$A$5:$A$204,0)))</f>
        <v/>
      </c>
      <c r="L77" s="95" t="str">
        <f aca="false">IF($C77="","",INDEX(MM_Income!$U$5:$U$204,MATCH($C77,MM_Income!$A$5:$A$204,0)))</f>
        <v/>
      </c>
      <c r="M77" s="143" t="str">
        <f aca="false">IF($C77="","",INDEX(MM_Income!$V$5:$V$204,MATCH($C77,MM_Income!$A$5:$A$204,0)))</f>
        <v/>
      </c>
      <c r="N77" s="144" t="str">
        <f aca="false">IF($C77="","",INDEX(MM_Income!$T$5:$T$204,MATCH($C77,MM_Income!$A$5:$A$204,0)))</f>
        <v/>
      </c>
      <c r="O77" s="94" t="str">
        <f aca="false">IF($C77="","",-SUMIFS(Project_Activity!$P$2:$P$5000,Project_Activity!$C$2:$C$5000,$C77,Project_Activity!$U$2:$U$5000,"Invoiced Income",Project_Activity!$H$2:$H$5000,"&gt;="&amp;DATE(VALUE(LEFT($B77,4)),1,1),Project_Activity!$H$2:$H$5000,"&lt;="&amp;EOMONTH(DATE(VALUE(LEFT($B77,4)),VALUE(RIGHT($B77,1))*3,1),0)))</f>
        <v/>
      </c>
      <c r="P77" s="94" t="str">
        <f aca="false">IF($C77="","",SUMIFS(Project_Activity!$P$2:$P$5000,Project_Activity!$C$2:$C$5000,$C77,Project_Activity!$U$2:$U$5000,"Subcontractor",Project_Activity!$H$2:$H$5000,"&gt;="&amp;DATE(VALUE(LEFT($B77,4)),1,1),Project_Activity!$H$2:$H$5000,"&lt;="&amp;EOMONTH(DATE(VALUE(LEFT($B77,4)),VALUE(RIGHT($B77,1))*3,1),0)))</f>
        <v/>
      </c>
      <c r="Q77" s="94" t="str">
        <f aca="false">IF($C77="","",SUMIFS(Project_Activity!$P$2:$P$5000,Project_Activity!$C$2:$C$5000,$C77,Project_Activity!$U$2:$U$5000,"Project Inclusive",Project_Activity!$H$2:$H$5000,"&gt;="&amp;DATE(VALUE(LEFT($B77,4)),1,1),Project_Activity!$H$2:$H$5000,"&lt;="&amp;EOMONTH(DATE(VALUE(LEFT($B77,4)),VALUE(RIGHT($B77,1))*3,1),0)))</f>
        <v/>
      </c>
      <c r="R77" s="94" t="str">
        <f aca="false">IF($C77="","",SUMIFS(Project_Activity!$P$2:$P$5000,Project_Activity!$C$2:$C$5000,$C77,Project_Activity!$U$2:$U$5000,"Non-Recoverable",Project_Activity!$H$2:$H$5000,"&gt;="&amp;DATE(VALUE(LEFT($B77,4)),1,1),Project_Activity!$H$2:$H$5000,"&lt;="&amp;EOMONTH(DATE(VALUE(LEFT($B77,4)),VALUE(RIGHT($B77,1))*3,1),0)))</f>
        <v/>
      </c>
      <c r="S77" s="94" t="str">
        <f aca="false">IF($C77="","",$O77-$P77-$Q77-$R77)</f>
        <v/>
      </c>
      <c r="T77" s="94" t="str">
        <f aca="false">IF($C77="","",SUMIFS(Project_Activity!$P$2:$P$5000,Project_Activity!$C$2:$C$5000,$C77,Project_Activity!$U$2:$U$5000,"Recoverable",Project_Activity!$H$2:$H$5000,"&gt;="&amp;DATE(VALUE(LEFT($B77,4)),1,1),Project_Activity!$H$2:$H$5000,"&lt;="&amp;EOMONTH(DATE(VALUE(LEFT($B77,4)),VALUE(RIGHT($B77,1))*3,1),0)))</f>
        <v/>
      </c>
      <c r="U77" s="94" t="str">
        <f aca="false">IF($C77="","",-SUMIFS(Project_Activity!$P$2:$P$5000,Project_Activity!$C$2:$C$5000,$C77,Project_Activity!$U$2:$U$5000,"Recovered Expenses",Project_Activity!$H$2:$H$5000,"&gt;="&amp;DATE(VALUE(LEFT($B77,4)),1,1),Project_Activity!$H$2:$H$5000,"&lt;="&amp;EOMONTH(DATE(VALUE(LEFT($B77,4)),VALUE(RIGHT($B77,1))*3,1),0)))</f>
        <v/>
      </c>
      <c r="V77" s="145"/>
      <c r="W77" s="94" t="str">
        <f aca="false">IF($C77="","",$V77*$N77)</f>
        <v/>
      </c>
      <c r="X77" s="145"/>
      <c r="Y77" s="94" t="str">
        <f aca="false">IF($C77="","",$X77*$N77)</f>
        <v/>
      </c>
      <c r="Z77" s="145"/>
      <c r="AA77" s="94" t="str">
        <f aca="false">IF($C77="","",$Z77*$N77)</f>
        <v/>
      </c>
      <c r="AB77" s="145"/>
      <c r="AC77" s="94" t="str">
        <f aca="false">IF($C77="","",$AB77*$N77)</f>
        <v/>
      </c>
      <c r="AD77" s="94" t="str">
        <f aca="false">IF($C77="","",SUMPRODUCT((VALUE(MID($B77,7,1))&gt;={1,2,3,4})*CHOOSE({1,2,3,4},$W77,$Y77,$AA77,$AC77)))</f>
        <v/>
      </c>
      <c r="AE77" s="94" t="str">
        <f aca="false">IF($C77="","",$W77+$Y77+$AA77+$AC77-$AD77)</f>
        <v/>
      </c>
      <c r="AF77" s="146"/>
      <c r="AG77" s="146"/>
      <c r="AH77" s="146"/>
      <c r="AI77" s="147" t="str">
        <f aca="false">IF($C77="","",IF(OR($L77="Pipeline",$N77&lt;0,$O77&gt;$N77+1,($V77+$X77+$Z77+$AB77)&gt;1.0001,ISNUMBER(SEARCH("not signed",$AF77))),"REVIEW","OK"))</f>
        <v/>
      </c>
    </row>
    <row r="78" customFormat="false" ht="13.5" hidden="false" customHeight="false" outlineLevel="0" collapsed="false">
      <c r="A78" s="95" t="str">
        <f aca="false">IF($C78="","",Controls!$B$7)</f>
        <v/>
      </c>
      <c r="B78" s="95" t="str">
        <f aca="false">IF($C78="","",Controls!$B$30)</f>
        <v/>
      </c>
      <c r="C78" s="95" t="str">
        <f aca="false">IF(MM_Income!$A81="","",MM_Income!$A81)</f>
        <v/>
      </c>
      <c r="D78" s="95" t="str">
        <f aca="false">IF($C78="","",INDEX(MM_Income!$B$5:$B$204,MATCH($C78,MM_Income!$A$5:$A$204,0)))</f>
        <v/>
      </c>
      <c r="E78" s="95" t="str">
        <f aca="false">IF($C78="","",INDEX(MM_Income!$C$5:$C$204,MATCH($C78,MM_Income!$A$5:$A$204,0)))</f>
        <v/>
      </c>
      <c r="F78" s="95" t="str">
        <f aca="false">IF($C78="","",INDEX(MM_Income!$F$5:$F$204,MATCH($C78,MM_Income!$A$5:$A$204,0)))</f>
        <v/>
      </c>
      <c r="G78" s="95" t="str">
        <f aca="false">IF($C78="","",INDEX(MM_Income!$G$5:$G$204,MATCH($C78,MM_Income!$A$5:$A$204,0)))</f>
        <v/>
      </c>
      <c r="H78" s="95" t="str">
        <f aca="false">IF($C78="","",INDEX(MM_Income!$H$5:$H$204,MATCH($C78,MM_Income!$A$5:$A$204,0)))</f>
        <v/>
      </c>
      <c r="I78" s="95" t="str">
        <f aca="false">IF($C78="","",INDEX(MM_Income!$I$5:$I$204,MATCH($C78,MM_Income!$A$5:$A$204,0)))</f>
        <v/>
      </c>
      <c r="J78" s="95" t="str">
        <f aca="false">IF($C78="","",INDEX(MM_Income!$D$5:$D$204,MATCH($C78,MM_Income!$A$5:$A$204,0)))</f>
        <v/>
      </c>
      <c r="K78" s="95" t="str">
        <f aca="false">IF($C78="","",INDEX(MM_Income!$E$5:$E$204,MATCH($C78,MM_Income!$A$5:$A$204,0)))</f>
        <v/>
      </c>
      <c r="L78" s="95" t="str">
        <f aca="false">IF($C78="","",INDEX(MM_Income!$U$5:$U$204,MATCH($C78,MM_Income!$A$5:$A$204,0)))</f>
        <v/>
      </c>
      <c r="M78" s="143" t="str">
        <f aca="false">IF($C78="","",INDEX(MM_Income!$V$5:$V$204,MATCH($C78,MM_Income!$A$5:$A$204,0)))</f>
        <v/>
      </c>
      <c r="N78" s="144" t="str">
        <f aca="false">IF($C78="","",INDEX(MM_Income!$T$5:$T$204,MATCH($C78,MM_Income!$A$5:$A$204,0)))</f>
        <v/>
      </c>
      <c r="O78" s="94" t="str">
        <f aca="false">IF($C78="","",-SUMIFS(Project_Activity!$P$2:$P$5000,Project_Activity!$C$2:$C$5000,$C78,Project_Activity!$U$2:$U$5000,"Invoiced Income",Project_Activity!$H$2:$H$5000,"&gt;="&amp;DATE(VALUE(LEFT($B78,4)),1,1),Project_Activity!$H$2:$H$5000,"&lt;="&amp;EOMONTH(DATE(VALUE(LEFT($B78,4)),VALUE(RIGHT($B78,1))*3,1),0)))</f>
        <v/>
      </c>
      <c r="P78" s="94" t="str">
        <f aca="false">IF($C78="","",SUMIFS(Project_Activity!$P$2:$P$5000,Project_Activity!$C$2:$C$5000,$C78,Project_Activity!$U$2:$U$5000,"Subcontractor",Project_Activity!$H$2:$H$5000,"&gt;="&amp;DATE(VALUE(LEFT($B78,4)),1,1),Project_Activity!$H$2:$H$5000,"&lt;="&amp;EOMONTH(DATE(VALUE(LEFT($B78,4)),VALUE(RIGHT($B78,1))*3,1),0)))</f>
        <v/>
      </c>
      <c r="Q78" s="94" t="str">
        <f aca="false">IF($C78="","",SUMIFS(Project_Activity!$P$2:$P$5000,Project_Activity!$C$2:$C$5000,$C78,Project_Activity!$U$2:$U$5000,"Project Inclusive",Project_Activity!$H$2:$H$5000,"&gt;="&amp;DATE(VALUE(LEFT($B78,4)),1,1),Project_Activity!$H$2:$H$5000,"&lt;="&amp;EOMONTH(DATE(VALUE(LEFT($B78,4)),VALUE(RIGHT($B78,1))*3,1),0)))</f>
        <v/>
      </c>
      <c r="R78" s="94" t="str">
        <f aca="false">IF($C78="","",SUMIFS(Project_Activity!$P$2:$P$5000,Project_Activity!$C$2:$C$5000,$C78,Project_Activity!$U$2:$U$5000,"Non-Recoverable",Project_Activity!$H$2:$H$5000,"&gt;="&amp;DATE(VALUE(LEFT($B78,4)),1,1),Project_Activity!$H$2:$H$5000,"&lt;="&amp;EOMONTH(DATE(VALUE(LEFT($B78,4)),VALUE(RIGHT($B78,1))*3,1),0)))</f>
        <v/>
      </c>
      <c r="S78" s="94" t="str">
        <f aca="false">IF($C78="","",$O78-$P78-$Q78-$R78)</f>
        <v/>
      </c>
      <c r="T78" s="94" t="str">
        <f aca="false">IF($C78="","",SUMIFS(Project_Activity!$P$2:$P$5000,Project_Activity!$C$2:$C$5000,$C78,Project_Activity!$U$2:$U$5000,"Recoverable",Project_Activity!$H$2:$H$5000,"&gt;="&amp;DATE(VALUE(LEFT($B78,4)),1,1),Project_Activity!$H$2:$H$5000,"&lt;="&amp;EOMONTH(DATE(VALUE(LEFT($B78,4)),VALUE(RIGHT($B78,1))*3,1),0)))</f>
        <v/>
      </c>
      <c r="U78" s="94" t="str">
        <f aca="false">IF($C78="","",-SUMIFS(Project_Activity!$P$2:$P$5000,Project_Activity!$C$2:$C$5000,$C78,Project_Activity!$U$2:$U$5000,"Recovered Expenses",Project_Activity!$H$2:$H$5000,"&gt;="&amp;DATE(VALUE(LEFT($B78,4)),1,1),Project_Activity!$H$2:$H$5000,"&lt;="&amp;EOMONTH(DATE(VALUE(LEFT($B78,4)),VALUE(RIGHT($B78,1))*3,1),0)))</f>
        <v/>
      </c>
      <c r="V78" s="145"/>
      <c r="W78" s="94" t="str">
        <f aca="false">IF($C78="","",$V78*$N78)</f>
        <v/>
      </c>
      <c r="X78" s="145"/>
      <c r="Y78" s="94" t="str">
        <f aca="false">IF($C78="","",$X78*$N78)</f>
        <v/>
      </c>
      <c r="Z78" s="145"/>
      <c r="AA78" s="94" t="str">
        <f aca="false">IF($C78="","",$Z78*$N78)</f>
        <v/>
      </c>
      <c r="AB78" s="145"/>
      <c r="AC78" s="94" t="str">
        <f aca="false">IF($C78="","",$AB78*$N78)</f>
        <v/>
      </c>
      <c r="AD78" s="94" t="str">
        <f aca="false">IF($C78="","",SUMPRODUCT((VALUE(MID($B78,7,1))&gt;={1,2,3,4})*CHOOSE({1,2,3,4},$W78,$Y78,$AA78,$AC78)))</f>
        <v/>
      </c>
      <c r="AE78" s="94" t="str">
        <f aca="false">IF($C78="","",$W78+$Y78+$AA78+$AC78-$AD78)</f>
        <v/>
      </c>
      <c r="AF78" s="146"/>
      <c r="AG78" s="146"/>
      <c r="AH78" s="146"/>
      <c r="AI78" s="147" t="str">
        <f aca="false">IF($C78="","",IF(OR($L78="Pipeline",$N78&lt;0,$O78&gt;$N78+1,($V78+$X78+$Z78+$AB78)&gt;1.0001,ISNUMBER(SEARCH("not signed",$AF78))),"REVIEW","OK"))</f>
        <v/>
      </c>
    </row>
    <row r="79" customFormat="false" ht="13.5" hidden="false" customHeight="false" outlineLevel="0" collapsed="false">
      <c r="A79" s="95" t="str">
        <f aca="false">IF($C79="","",Controls!$B$7)</f>
        <v/>
      </c>
      <c r="B79" s="95" t="str">
        <f aca="false">IF($C79="","",Controls!$B$30)</f>
        <v/>
      </c>
      <c r="C79" s="95" t="str">
        <f aca="false">IF(MM_Income!$A82="","",MM_Income!$A82)</f>
        <v/>
      </c>
      <c r="D79" s="95" t="str">
        <f aca="false">IF($C79="","",INDEX(MM_Income!$B$5:$B$204,MATCH($C79,MM_Income!$A$5:$A$204,0)))</f>
        <v/>
      </c>
      <c r="E79" s="95" t="str">
        <f aca="false">IF($C79="","",INDEX(MM_Income!$C$5:$C$204,MATCH($C79,MM_Income!$A$5:$A$204,0)))</f>
        <v/>
      </c>
      <c r="F79" s="95" t="str">
        <f aca="false">IF($C79="","",INDEX(MM_Income!$F$5:$F$204,MATCH($C79,MM_Income!$A$5:$A$204,0)))</f>
        <v/>
      </c>
      <c r="G79" s="95" t="str">
        <f aca="false">IF($C79="","",INDEX(MM_Income!$G$5:$G$204,MATCH($C79,MM_Income!$A$5:$A$204,0)))</f>
        <v/>
      </c>
      <c r="H79" s="95" t="str">
        <f aca="false">IF($C79="","",INDEX(MM_Income!$H$5:$H$204,MATCH($C79,MM_Income!$A$5:$A$204,0)))</f>
        <v/>
      </c>
      <c r="I79" s="95" t="str">
        <f aca="false">IF($C79="","",INDEX(MM_Income!$I$5:$I$204,MATCH($C79,MM_Income!$A$5:$A$204,0)))</f>
        <v/>
      </c>
      <c r="J79" s="95" t="str">
        <f aca="false">IF($C79="","",INDEX(MM_Income!$D$5:$D$204,MATCH($C79,MM_Income!$A$5:$A$204,0)))</f>
        <v/>
      </c>
      <c r="K79" s="95" t="str">
        <f aca="false">IF($C79="","",INDEX(MM_Income!$E$5:$E$204,MATCH($C79,MM_Income!$A$5:$A$204,0)))</f>
        <v/>
      </c>
      <c r="L79" s="95" t="str">
        <f aca="false">IF($C79="","",INDEX(MM_Income!$U$5:$U$204,MATCH($C79,MM_Income!$A$5:$A$204,0)))</f>
        <v/>
      </c>
      <c r="M79" s="143" t="str">
        <f aca="false">IF($C79="","",INDEX(MM_Income!$V$5:$V$204,MATCH($C79,MM_Income!$A$5:$A$204,0)))</f>
        <v/>
      </c>
      <c r="N79" s="144" t="str">
        <f aca="false">IF($C79="","",INDEX(MM_Income!$T$5:$T$204,MATCH($C79,MM_Income!$A$5:$A$204,0)))</f>
        <v/>
      </c>
      <c r="O79" s="94" t="str">
        <f aca="false">IF($C79="","",-SUMIFS(Project_Activity!$P$2:$P$5000,Project_Activity!$C$2:$C$5000,$C79,Project_Activity!$U$2:$U$5000,"Invoiced Income",Project_Activity!$H$2:$H$5000,"&gt;="&amp;DATE(VALUE(LEFT($B79,4)),1,1),Project_Activity!$H$2:$H$5000,"&lt;="&amp;EOMONTH(DATE(VALUE(LEFT($B79,4)),VALUE(RIGHT($B79,1))*3,1),0)))</f>
        <v/>
      </c>
      <c r="P79" s="94" t="str">
        <f aca="false">IF($C79="","",SUMIFS(Project_Activity!$P$2:$P$5000,Project_Activity!$C$2:$C$5000,$C79,Project_Activity!$U$2:$U$5000,"Subcontractor",Project_Activity!$H$2:$H$5000,"&gt;="&amp;DATE(VALUE(LEFT($B79,4)),1,1),Project_Activity!$H$2:$H$5000,"&lt;="&amp;EOMONTH(DATE(VALUE(LEFT($B79,4)),VALUE(RIGHT($B79,1))*3,1),0)))</f>
        <v/>
      </c>
      <c r="Q79" s="94" t="str">
        <f aca="false">IF($C79="","",SUMIFS(Project_Activity!$P$2:$P$5000,Project_Activity!$C$2:$C$5000,$C79,Project_Activity!$U$2:$U$5000,"Project Inclusive",Project_Activity!$H$2:$H$5000,"&gt;="&amp;DATE(VALUE(LEFT($B79,4)),1,1),Project_Activity!$H$2:$H$5000,"&lt;="&amp;EOMONTH(DATE(VALUE(LEFT($B79,4)),VALUE(RIGHT($B79,1))*3,1),0)))</f>
        <v/>
      </c>
      <c r="R79" s="94" t="str">
        <f aca="false">IF($C79="","",SUMIFS(Project_Activity!$P$2:$P$5000,Project_Activity!$C$2:$C$5000,$C79,Project_Activity!$U$2:$U$5000,"Non-Recoverable",Project_Activity!$H$2:$H$5000,"&gt;="&amp;DATE(VALUE(LEFT($B79,4)),1,1),Project_Activity!$H$2:$H$5000,"&lt;="&amp;EOMONTH(DATE(VALUE(LEFT($B79,4)),VALUE(RIGHT($B79,1))*3,1),0)))</f>
        <v/>
      </c>
      <c r="S79" s="94" t="str">
        <f aca="false">IF($C79="","",$O79-$P79-$Q79-$R79)</f>
        <v/>
      </c>
      <c r="T79" s="94" t="str">
        <f aca="false">IF($C79="","",SUMIFS(Project_Activity!$P$2:$P$5000,Project_Activity!$C$2:$C$5000,$C79,Project_Activity!$U$2:$U$5000,"Recoverable",Project_Activity!$H$2:$H$5000,"&gt;="&amp;DATE(VALUE(LEFT($B79,4)),1,1),Project_Activity!$H$2:$H$5000,"&lt;="&amp;EOMONTH(DATE(VALUE(LEFT($B79,4)),VALUE(RIGHT($B79,1))*3,1),0)))</f>
        <v/>
      </c>
      <c r="U79" s="94" t="str">
        <f aca="false">IF($C79="","",-SUMIFS(Project_Activity!$P$2:$P$5000,Project_Activity!$C$2:$C$5000,$C79,Project_Activity!$U$2:$U$5000,"Recovered Expenses",Project_Activity!$H$2:$H$5000,"&gt;="&amp;DATE(VALUE(LEFT($B79,4)),1,1),Project_Activity!$H$2:$H$5000,"&lt;="&amp;EOMONTH(DATE(VALUE(LEFT($B79,4)),VALUE(RIGHT($B79,1))*3,1),0)))</f>
        <v/>
      </c>
      <c r="V79" s="145"/>
      <c r="W79" s="94" t="str">
        <f aca="false">IF($C79="","",$V79*$N79)</f>
        <v/>
      </c>
      <c r="X79" s="145"/>
      <c r="Y79" s="94" t="str">
        <f aca="false">IF($C79="","",$X79*$N79)</f>
        <v/>
      </c>
      <c r="Z79" s="145"/>
      <c r="AA79" s="94" t="str">
        <f aca="false">IF($C79="","",$Z79*$N79)</f>
        <v/>
      </c>
      <c r="AB79" s="145"/>
      <c r="AC79" s="94" t="str">
        <f aca="false">IF($C79="","",$AB79*$N79)</f>
        <v/>
      </c>
      <c r="AD79" s="94" t="str">
        <f aca="false">IF($C79="","",SUMPRODUCT((VALUE(MID($B79,7,1))&gt;={1,2,3,4})*CHOOSE({1,2,3,4},$W79,$Y79,$AA79,$AC79)))</f>
        <v/>
      </c>
      <c r="AE79" s="94" t="str">
        <f aca="false">IF($C79="","",$W79+$Y79+$AA79+$AC79-$AD79)</f>
        <v/>
      </c>
      <c r="AF79" s="146"/>
      <c r="AG79" s="146"/>
      <c r="AH79" s="146"/>
      <c r="AI79" s="147" t="str">
        <f aca="false">IF($C79="","",IF(OR($L79="Pipeline",$N79&lt;0,$O79&gt;$N79+1,($V79+$X79+$Z79+$AB79)&gt;1.0001,ISNUMBER(SEARCH("not signed",$AF79))),"REVIEW","OK"))</f>
        <v/>
      </c>
    </row>
    <row r="80" customFormat="false" ht="13.5" hidden="false" customHeight="false" outlineLevel="0" collapsed="false">
      <c r="A80" s="95" t="str">
        <f aca="false">IF($C80="","",Controls!$B$7)</f>
        <v/>
      </c>
      <c r="B80" s="95" t="str">
        <f aca="false">IF($C80="","",Controls!$B$30)</f>
        <v/>
      </c>
      <c r="C80" s="95" t="str">
        <f aca="false">IF(MM_Income!$A83="","",MM_Income!$A83)</f>
        <v/>
      </c>
      <c r="D80" s="95" t="str">
        <f aca="false">IF($C80="","",INDEX(MM_Income!$B$5:$B$204,MATCH($C80,MM_Income!$A$5:$A$204,0)))</f>
        <v/>
      </c>
      <c r="E80" s="95" t="str">
        <f aca="false">IF($C80="","",INDEX(MM_Income!$C$5:$C$204,MATCH($C80,MM_Income!$A$5:$A$204,0)))</f>
        <v/>
      </c>
      <c r="F80" s="95" t="str">
        <f aca="false">IF($C80="","",INDEX(MM_Income!$F$5:$F$204,MATCH($C80,MM_Income!$A$5:$A$204,0)))</f>
        <v/>
      </c>
      <c r="G80" s="95" t="str">
        <f aca="false">IF($C80="","",INDEX(MM_Income!$G$5:$G$204,MATCH($C80,MM_Income!$A$5:$A$204,0)))</f>
        <v/>
      </c>
      <c r="H80" s="95" t="str">
        <f aca="false">IF($C80="","",INDEX(MM_Income!$H$5:$H$204,MATCH($C80,MM_Income!$A$5:$A$204,0)))</f>
        <v/>
      </c>
      <c r="I80" s="95" t="str">
        <f aca="false">IF($C80="","",INDEX(MM_Income!$I$5:$I$204,MATCH($C80,MM_Income!$A$5:$A$204,0)))</f>
        <v/>
      </c>
      <c r="J80" s="95" t="str">
        <f aca="false">IF($C80="","",INDEX(MM_Income!$D$5:$D$204,MATCH($C80,MM_Income!$A$5:$A$204,0)))</f>
        <v/>
      </c>
      <c r="K80" s="95" t="str">
        <f aca="false">IF($C80="","",INDEX(MM_Income!$E$5:$E$204,MATCH($C80,MM_Income!$A$5:$A$204,0)))</f>
        <v/>
      </c>
      <c r="L80" s="95" t="str">
        <f aca="false">IF($C80="","",INDEX(MM_Income!$U$5:$U$204,MATCH($C80,MM_Income!$A$5:$A$204,0)))</f>
        <v/>
      </c>
      <c r="M80" s="143" t="str">
        <f aca="false">IF($C80="","",INDEX(MM_Income!$V$5:$V$204,MATCH($C80,MM_Income!$A$5:$A$204,0)))</f>
        <v/>
      </c>
      <c r="N80" s="144" t="str">
        <f aca="false">IF($C80="","",INDEX(MM_Income!$T$5:$T$204,MATCH($C80,MM_Income!$A$5:$A$204,0)))</f>
        <v/>
      </c>
      <c r="O80" s="94" t="str">
        <f aca="false">IF($C80="","",-SUMIFS(Project_Activity!$P$2:$P$5000,Project_Activity!$C$2:$C$5000,$C80,Project_Activity!$U$2:$U$5000,"Invoiced Income",Project_Activity!$H$2:$H$5000,"&gt;="&amp;DATE(VALUE(LEFT($B80,4)),1,1),Project_Activity!$H$2:$H$5000,"&lt;="&amp;EOMONTH(DATE(VALUE(LEFT($B80,4)),VALUE(RIGHT($B80,1))*3,1),0)))</f>
        <v/>
      </c>
      <c r="P80" s="94" t="str">
        <f aca="false">IF($C80="","",SUMIFS(Project_Activity!$P$2:$P$5000,Project_Activity!$C$2:$C$5000,$C80,Project_Activity!$U$2:$U$5000,"Subcontractor",Project_Activity!$H$2:$H$5000,"&gt;="&amp;DATE(VALUE(LEFT($B80,4)),1,1),Project_Activity!$H$2:$H$5000,"&lt;="&amp;EOMONTH(DATE(VALUE(LEFT($B80,4)),VALUE(RIGHT($B80,1))*3,1),0)))</f>
        <v/>
      </c>
      <c r="Q80" s="94" t="str">
        <f aca="false">IF($C80="","",SUMIFS(Project_Activity!$P$2:$P$5000,Project_Activity!$C$2:$C$5000,$C80,Project_Activity!$U$2:$U$5000,"Project Inclusive",Project_Activity!$H$2:$H$5000,"&gt;="&amp;DATE(VALUE(LEFT($B80,4)),1,1),Project_Activity!$H$2:$H$5000,"&lt;="&amp;EOMONTH(DATE(VALUE(LEFT($B80,4)),VALUE(RIGHT($B80,1))*3,1),0)))</f>
        <v/>
      </c>
      <c r="R80" s="94" t="str">
        <f aca="false">IF($C80="","",SUMIFS(Project_Activity!$P$2:$P$5000,Project_Activity!$C$2:$C$5000,$C80,Project_Activity!$U$2:$U$5000,"Non-Recoverable",Project_Activity!$H$2:$H$5000,"&gt;="&amp;DATE(VALUE(LEFT($B80,4)),1,1),Project_Activity!$H$2:$H$5000,"&lt;="&amp;EOMONTH(DATE(VALUE(LEFT($B80,4)),VALUE(RIGHT($B80,1))*3,1),0)))</f>
        <v/>
      </c>
      <c r="S80" s="94" t="str">
        <f aca="false">IF($C80="","",$O80-$P80-$Q80-$R80)</f>
        <v/>
      </c>
      <c r="T80" s="94" t="str">
        <f aca="false">IF($C80="","",SUMIFS(Project_Activity!$P$2:$P$5000,Project_Activity!$C$2:$C$5000,$C80,Project_Activity!$U$2:$U$5000,"Recoverable",Project_Activity!$H$2:$H$5000,"&gt;="&amp;DATE(VALUE(LEFT($B80,4)),1,1),Project_Activity!$H$2:$H$5000,"&lt;="&amp;EOMONTH(DATE(VALUE(LEFT($B80,4)),VALUE(RIGHT($B80,1))*3,1),0)))</f>
        <v/>
      </c>
      <c r="U80" s="94" t="str">
        <f aca="false">IF($C80="","",-SUMIFS(Project_Activity!$P$2:$P$5000,Project_Activity!$C$2:$C$5000,$C80,Project_Activity!$U$2:$U$5000,"Recovered Expenses",Project_Activity!$H$2:$H$5000,"&gt;="&amp;DATE(VALUE(LEFT($B80,4)),1,1),Project_Activity!$H$2:$H$5000,"&lt;="&amp;EOMONTH(DATE(VALUE(LEFT($B80,4)),VALUE(RIGHT($B80,1))*3,1),0)))</f>
        <v/>
      </c>
      <c r="V80" s="145"/>
      <c r="W80" s="94" t="str">
        <f aca="false">IF($C80="","",$V80*$N80)</f>
        <v/>
      </c>
      <c r="X80" s="145"/>
      <c r="Y80" s="94" t="str">
        <f aca="false">IF($C80="","",$X80*$N80)</f>
        <v/>
      </c>
      <c r="Z80" s="145"/>
      <c r="AA80" s="94" t="str">
        <f aca="false">IF($C80="","",$Z80*$N80)</f>
        <v/>
      </c>
      <c r="AB80" s="145"/>
      <c r="AC80" s="94" t="str">
        <f aca="false">IF($C80="","",$AB80*$N80)</f>
        <v/>
      </c>
      <c r="AD80" s="94" t="str">
        <f aca="false">IF($C80="","",SUMPRODUCT((VALUE(MID($B80,7,1))&gt;={1,2,3,4})*CHOOSE({1,2,3,4},$W80,$Y80,$AA80,$AC80)))</f>
        <v/>
      </c>
      <c r="AE80" s="94" t="str">
        <f aca="false">IF($C80="","",$W80+$Y80+$AA80+$AC80-$AD80)</f>
        <v/>
      </c>
      <c r="AF80" s="146"/>
      <c r="AG80" s="146"/>
      <c r="AH80" s="146"/>
      <c r="AI80" s="147" t="str">
        <f aca="false">IF($C80="","",IF(OR($L80="Pipeline",$N80&lt;0,$O80&gt;$N80+1,($V80+$X80+$Z80+$AB80)&gt;1.0001,ISNUMBER(SEARCH("not signed",$AF80))),"REVIEW","OK"))</f>
        <v/>
      </c>
    </row>
    <row r="81" customFormat="false" ht="13.5" hidden="false" customHeight="false" outlineLevel="0" collapsed="false">
      <c r="A81" s="95" t="str">
        <f aca="false">IF($C81="","",Controls!$B$7)</f>
        <v/>
      </c>
      <c r="B81" s="95" t="str">
        <f aca="false">IF($C81="","",Controls!$B$30)</f>
        <v/>
      </c>
      <c r="C81" s="95" t="str">
        <f aca="false">IF(MM_Income!$A84="","",MM_Income!$A84)</f>
        <v/>
      </c>
      <c r="D81" s="95" t="str">
        <f aca="false">IF($C81="","",INDEX(MM_Income!$B$5:$B$204,MATCH($C81,MM_Income!$A$5:$A$204,0)))</f>
        <v/>
      </c>
      <c r="E81" s="95" t="str">
        <f aca="false">IF($C81="","",INDEX(MM_Income!$C$5:$C$204,MATCH($C81,MM_Income!$A$5:$A$204,0)))</f>
        <v/>
      </c>
      <c r="F81" s="95" t="str">
        <f aca="false">IF($C81="","",INDEX(MM_Income!$F$5:$F$204,MATCH($C81,MM_Income!$A$5:$A$204,0)))</f>
        <v/>
      </c>
      <c r="G81" s="95" t="str">
        <f aca="false">IF($C81="","",INDEX(MM_Income!$G$5:$G$204,MATCH($C81,MM_Income!$A$5:$A$204,0)))</f>
        <v/>
      </c>
      <c r="H81" s="95" t="str">
        <f aca="false">IF($C81="","",INDEX(MM_Income!$H$5:$H$204,MATCH($C81,MM_Income!$A$5:$A$204,0)))</f>
        <v/>
      </c>
      <c r="I81" s="95" t="str">
        <f aca="false">IF($C81="","",INDEX(MM_Income!$I$5:$I$204,MATCH($C81,MM_Income!$A$5:$A$204,0)))</f>
        <v/>
      </c>
      <c r="J81" s="95" t="str">
        <f aca="false">IF($C81="","",INDEX(MM_Income!$D$5:$D$204,MATCH($C81,MM_Income!$A$5:$A$204,0)))</f>
        <v/>
      </c>
      <c r="K81" s="95" t="str">
        <f aca="false">IF($C81="","",INDEX(MM_Income!$E$5:$E$204,MATCH($C81,MM_Income!$A$5:$A$204,0)))</f>
        <v/>
      </c>
      <c r="L81" s="95" t="str">
        <f aca="false">IF($C81="","",INDEX(MM_Income!$U$5:$U$204,MATCH($C81,MM_Income!$A$5:$A$204,0)))</f>
        <v/>
      </c>
      <c r="M81" s="143" t="str">
        <f aca="false">IF($C81="","",INDEX(MM_Income!$V$5:$V$204,MATCH($C81,MM_Income!$A$5:$A$204,0)))</f>
        <v/>
      </c>
      <c r="N81" s="144" t="str">
        <f aca="false">IF($C81="","",INDEX(MM_Income!$T$5:$T$204,MATCH($C81,MM_Income!$A$5:$A$204,0)))</f>
        <v/>
      </c>
      <c r="O81" s="94" t="str">
        <f aca="false">IF($C81="","",-SUMIFS(Project_Activity!$P$2:$P$5000,Project_Activity!$C$2:$C$5000,$C81,Project_Activity!$U$2:$U$5000,"Invoiced Income",Project_Activity!$H$2:$H$5000,"&gt;="&amp;DATE(VALUE(LEFT($B81,4)),1,1),Project_Activity!$H$2:$H$5000,"&lt;="&amp;EOMONTH(DATE(VALUE(LEFT($B81,4)),VALUE(RIGHT($B81,1))*3,1),0)))</f>
        <v/>
      </c>
      <c r="P81" s="94" t="str">
        <f aca="false">IF($C81="","",SUMIFS(Project_Activity!$P$2:$P$5000,Project_Activity!$C$2:$C$5000,$C81,Project_Activity!$U$2:$U$5000,"Subcontractor",Project_Activity!$H$2:$H$5000,"&gt;="&amp;DATE(VALUE(LEFT($B81,4)),1,1),Project_Activity!$H$2:$H$5000,"&lt;="&amp;EOMONTH(DATE(VALUE(LEFT($B81,4)),VALUE(RIGHT($B81,1))*3,1),0)))</f>
        <v/>
      </c>
      <c r="Q81" s="94" t="str">
        <f aca="false">IF($C81="","",SUMIFS(Project_Activity!$P$2:$P$5000,Project_Activity!$C$2:$C$5000,$C81,Project_Activity!$U$2:$U$5000,"Project Inclusive",Project_Activity!$H$2:$H$5000,"&gt;="&amp;DATE(VALUE(LEFT($B81,4)),1,1),Project_Activity!$H$2:$H$5000,"&lt;="&amp;EOMONTH(DATE(VALUE(LEFT($B81,4)),VALUE(RIGHT($B81,1))*3,1),0)))</f>
        <v/>
      </c>
      <c r="R81" s="94" t="str">
        <f aca="false">IF($C81="","",SUMIFS(Project_Activity!$P$2:$P$5000,Project_Activity!$C$2:$C$5000,$C81,Project_Activity!$U$2:$U$5000,"Non-Recoverable",Project_Activity!$H$2:$H$5000,"&gt;="&amp;DATE(VALUE(LEFT($B81,4)),1,1),Project_Activity!$H$2:$H$5000,"&lt;="&amp;EOMONTH(DATE(VALUE(LEFT($B81,4)),VALUE(RIGHT($B81,1))*3,1),0)))</f>
        <v/>
      </c>
      <c r="S81" s="94" t="str">
        <f aca="false">IF($C81="","",$O81-$P81-$Q81-$R81)</f>
        <v/>
      </c>
      <c r="T81" s="94" t="str">
        <f aca="false">IF($C81="","",SUMIFS(Project_Activity!$P$2:$P$5000,Project_Activity!$C$2:$C$5000,$C81,Project_Activity!$U$2:$U$5000,"Recoverable",Project_Activity!$H$2:$H$5000,"&gt;="&amp;DATE(VALUE(LEFT($B81,4)),1,1),Project_Activity!$H$2:$H$5000,"&lt;="&amp;EOMONTH(DATE(VALUE(LEFT($B81,4)),VALUE(RIGHT($B81,1))*3,1),0)))</f>
        <v/>
      </c>
      <c r="U81" s="94" t="str">
        <f aca="false">IF($C81="","",-SUMIFS(Project_Activity!$P$2:$P$5000,Project_Activity!$C$2:$C$5000,$C81,Project_Activity!$U$2:$U$5000,"Recovered Expenses",Project_Activity!$H$2:$H$5000,"&gt;="&amp;DATE(VALUE(LEFT($B81,4)),1,1),Project_Activity!$H$2:$H$5000,"&lt;="&amp;EOMONTH(DATE(VALUE(LEFT($B81,4)),VALUE(RIGHT($B81,1))*3,1),0)))</f>
        <v/>
      </c>
      <c r="V81" s="145"/>
      <c r="W81" s="94" t="str">
        <f aca="false">IF($C81="","",$V81*$N81)</f>
        <v/>
      </c>
      <c r="X81" s="145"/>
      <c r="Y81" s="94" t="str">
        <f aca="false">IF($C81="","",$X81*$N81)</f>
        <v/>
      </c>
      <c r="Z81" s="145"/>
      <c r="AA81" s="94" t="str">
        <f aca="false">IF($C81="","",$Z81*$N81)</f>
        <v/>
      </c>
      <c r="AB81" s="145"/>
      <c r="AC81" s="94" t="str">
        <f aca="false">IF($C81="","",$AB81*$N81)</f>
        <v/>
      </c>
      <c r="AD81" s="94" t="str">
        <f aca="false">IF($C81="","",SUMPRODUCT((VALUE(MID($B81,7,1))&gt;={1,2,3,4})*CHOOSE({1,2,3,4},$W81,$Y81,$AA81,$AC81)))</f>
        <v/>
      </c>
      <c r="AE81" s="94" t="str">
        <f aca="false">IF($C81="","",$W81+$Y81+$AA81+$AC81-$AD81)</f>
        <v/>
      </c>
      <c r="AF81" s="146"/>
      <c r="AG81" s="146"/>
      <c r="AH81" s="146"/>
      <c r="AI81" s="147" t="str">
        <f aca="false">IF($C81="","",IF(OR($L81="Pipeline",$N81&lt;0,$O81&gt;$N81+1,($V81+$X81+$Z81+$AB81)&gt;1.0001,ISNUMBER(SEARCH("not signed",$AF81))),"REVIEW","OK"))</f>
        <v/>
      </c>
    </row>
    <row r="82" customFormat="false" ht="13.5" hidden="false" customHeight="false" outlineLevel="0" collapsed="false">
      <c r="A82" s="95" t="str">
        <f aca="false">IF($C82="","",Controls!$B$7)</f>
        <v/>
      </c>
      <c r="B82" s="95" t="str">
        <f aca="false">IF($C82="","",Controls!$B$30)</f>
        <v/>
      </c>
      <c r="C82" s="95" t="str">
        <f aca="false">IF(MM_Income!$A85="","",MM_Income!$A85)</f>
        <v/>
      </c>
      <c r="D82" s="95" t="str">
        <f aca="false">IF($C82="","",INDEX(MM_Income!$B$5:$B$204,MATCH($C82,MM_Income!$A$5:$A$204,0)))</f>
        <v/>
      </c>
      <c r="E82" s="95" t="str">
        <f aca="false">IF($C82="","",INDEX(MM_Income!$C$5:$C$204,MATCH($C82,MM_Income!$A$5:$A$204,0)))</f>
        <v/>
      </c>
      <c r="F82" s="95" t="str">
        <f aca="false">IF($C82="","",INDEX(MM_Income!$F$5:$F$204,MATCH($C82,MM_Income!$A$5:$A$204,0)))</f>
        <v/>
      </c>
      <c r="G82" s="95" t="str">
        <f aca="false">IF($C82="","",INDEX(MM_Income!$G$5:$G$204,MATCH($C82,MM_Income!$A$5:$A$204,0)))</f>
        <v/>
      </c>
      <c r="H82" s="95" t="str">
        <f aca="false">IF($C82="","",INDEX(MM_Income!$H$5:$H$204,MATCH($C82,MM_Income!$A$5:$A$204,0)))</f>
        <v/>
      </c>
      <c r="I82" s="95" t="str">
        <f aca="false">IF($C82="","",INDEX(MM_Income!$I$5:$I$204,MATCH($C82,MM_Income!$A$5:$A$204,0)))</f>
        <v/>
      </c>
      <c r="J82" s="95" t="str">
        <f aca="false">IF($C82="","",INDEX(MM_Income!$D$5:$D$204,MATCH($C82,MM_Income!$A$5:$A$204,0)))</f>
        <v/>
      </c>
      <c r="K82" s="95" t="str">
        <f aca="false">IF($C82="","",INDEX(MM_Income!$E$5:$E$204,MATCH($C82,MM_Income!$A$5:$A$204,0)))</f>
        <v/>
      </c>
      <c r="L82" s="95" t="str">
        <f aca="false">IF($C82="","",INDEX(MM_Income!$U$5:$U$204,MATCH($C82,MM_Income!$A$5:$A$204,0)))</f>
        <v/>
      </c>
      <c r="M82" s="143" t="str">
        <f aca="false">IF($C82="","",INDEX(MM_Income!$V$5:$V$204,MATCH($C82,MM_Income!$A$5:$A$204,0)))</f>
        <v/>
      </c>
      <c r="N82" s="144" t="str">
        <f aca="false">IF($C82="","",INDEX(MM_Income!$T$5:$T$204,MATCH($C82,MM_Income!$A$5:$A$204,0)))</f>
        <v/>
      </c>
      <c r="O82" s="94" t="str">
        <f aca="false">IF($C82="","",-SUMIFS(Project_Activity!$P$2:$P$5000,Project_Activity!$C$2:$C$5000,$C82,Project_Activity!$U$2:$U$5000,"Invoiced Income",Project_Activity!$H$2:$H$5000,"&gt;="&amp;DATE(VALUE(LEFT($B82,4)),1,1),Project_Activity!$H$2:$H$5000,"&lt;="&amp;EOMONTH(DATE(VALUE(LEFT($B82,4)),VALUE(RIGHT($B82,1))*3,1),0)))</f>
        <v/>
      </c>
      <c r="P82" s="94" t="str">
        <f aca="false">IF($C82="","",SUMIFS(Project_Activity!$P$2:$P$5000,Project_Activity!$C$2:$C$5000,$C82,Project_Activity!$U$2:$U$5000,"Subcontractor",Project_Activity!$H$2:$H$5000,"&gt;="&amp;DATE(VALUE(LEFT($B82,4)),1,1),Project_Activity!$H$2:$H$5000,"&lt;="&amp;EOMONTH(DATE(VALUE(LEFT($B82,4)),VALUE(RIGHT($B82,1))*3,1),0)))</f>
        <v/>
      </c>
      <c r="Q82" s="94" t="str">
        <f aca="false">IF($C82="","",SUMIFS(Project_Activity!$P$2:$P$5000,Project_Activity!$C$2:$C$5000,$C82,Project_Activity!$U$2:$U$5000,"Project Inclusive",Project_Activity!$H$2:$H$5000,"&gt;="&amp;DATE(VALUE(LEFT($B82,4)),1,1),Project_Activity!$H$2:$H$5000,"&lt;="&amp;EOMONTH(DATE(VALUE(LEFT($B82,4)),VALUE(RIGHT($B82,1))*3,1),0)))</f>
        <v/>
      </c>
      <c r="R82" s="94" t="str">
        <f aca="false">IF($C82="","",SUMIFS(Project_Activity!$P$2:$P$5000,Project_Activity!$C$2:$C$5000,$C82,Project_Activity!$U$2:$U$5000,"Non-Recoverable",Project_Activity!$H$2:$H$5000,"&gt;="&amp;DATE(VALUE(LEFT($B82,4)),1,1),Project_Activity!$H$2:$H$5000,"&lt;="&amp;EOMONTH(DATE(VALUE(LEFT($B82,4)),VALUE(RIGHT($B82,1))*3,1),0)))</f>
        <v/>
      </c>
      <c r="S82" s="94" t="str">
        <f aca="false">IF($C82="","",$O82-$P82-$Q82-$R82)</f>
        <v/>
      </c>
      <c r="T82" s="94" t="str">
        <f aca="false">IF($C82="","",SUMIFS(Project_Activity!$P$2:$P$5000,Project_Activity!$C$2:$C$5000,$C82,Project_Activity!$U$2:$U$5000,"Recoverable",Project_Activity!$H$2:$H$5000,"&gt;="&amp;DATE(VALUE(LEFT($B82,4)),1,1),Project_Activity!$H$2:$H$5000,"&lt;="&amp;EOMONTH(DATE(VALUE(LEFT($B82,4)),VALUE(RIGHT($B82,1))*3,1),0)))</f>
        <v/>
      </c>
      <c r="U82" s="94" t="str">
        <f aca="false">IF($C82="","",-SUMIFS(Project_Activity!$P$2:$P$5000,Project_Activity!$C$2:$C$5000,$C82,Project_Activity!$U$2:$U$5000,"Recovered Expenses",Project_Activity!$H$2:$H$5000,"&gt;="&amp;DATE(VALUE(LEFT($B82,4)),1,1),Project_Activity!$H$2:$H$5000,"&lt;="&amp;EOMONTH(DATE(VALUE(LEFT($B82,4)),VALUE(RIGHT($B82,1))*3,1),0)))</f>
        <v/>
      </c>
      <c r="V82" s="145"/>
      <c r="W82" s="94" t="str">
        <f aca="false">IF($C82="","",$V82*$N82)</f>
        <v/>
      </c>
      <c r="X82" s="145"/>
      <c r="Y82" s="94" t="str">
        <f aca="false">IF($C82="","",$X82*$N82)</f>
        <v/>
      </c>
      <c r="Z82" s="145"/>
      <c r="AA82" s="94" t="str">
        <f aca="false">IF($C82="","",$Z82*$N82)</f>
        <v/>
      </c>
      <c r="AB82" s="145"/>
      <c r="AC82" s="94" t="str">
        <f aca="false">IF($C82="","",$AB82*$N82)</f>
        <v/>
      </c>
      <c r="AD82" s="94" t="str">
        <f aca="false">IF($C82="","",SUMPRODUCT((VALUE(MID($B82,7,1))&gt;={1,2,3,4})*CHOOSE({1,2,3,4},$W82,$Y82,$AA82,$AC82)))</f>
        <v/>
      </c>
      <c r="AE82" s="94" t="str">
        <f aca="false">IF($C82="","",$W82+$Y82+$AA82+$AC82-$AD82)</f>
        <v/>
      </c>
      <c r="AF82" s="146"/>
      <c r="AG82" s="146"/>
      <c r="AH82" s="146"/>
      <c r="AI82" s="147" t="str">
        <f aca="false">IF($C82="","",IF(OR($L82="Pipeline",$N82&lt;0,$O82&gt;$N82+1,($V82+$X82+$Z82+$AB82)&gt;1.0001,ISNUMBER(SEARCH("not signed",$AF82))),"REVIEW","OK"))</f>
        <v/>
      </c>
    </row>
    <row r="83" customFormat="false" ht="13.5" hidden="false" customHeight="false" outlineLevel="0" collapsed="false">
      <c r="A83" s="95" t="str">
        <f aca="false">IF($C83="","",Controls!$B$7)</f>
        <v/>
      </c>
      <c r="B83" s="95" t="str">
        <f aca="false">IF($C83="","",Controls!$B$30)</f>
        <v/>
      </c>
      <c r="C83" s="95" t="str">
        <f aca="false">IF(MM_Income!$A86="","",MM_Income!$A86)</f>
        <v/>
      </c>
      <c r="D83" s="95" t="str">
        <f aca="false">IF($C83="","",INDEX(MM_Income!$B$5:$B$204,MATCH($C83,MM_Income!$A$5:$A$204,0)))</f>
        <v/>
      </c>
      <c r="E83" s="95" t="str">
        <f aca="false">IF($C83="","",INDEX(MM_Income!$C$5:$C$204,MATCH($C83,MM_Income!$A$5:$A$204,0)))</f>
        <v/>
      </c>
      <c r="F83" s="95" t="str">
        <f aca="false">IF($C83="","",INDEX(MM_Income!$F$5:$F$204,MATCH($C83,MM_Income!$A$5:$A$204,0)))</f>
        <v/>
      </c>
      <c r="G83" s="95" t="str">
        <f aca="false">IF($C83="","",INDEX(MM_Income!$G$5:$G$204,MATCH($C83,MM_Income!$A$5:$A$204,0)))</f>
        <v/>
      </c>
      <c r="H83" s="95" t="str">
        <f aca="false">IF($C83="","",INDEX(MM_Income!$H$5:$H$204,MATCH($C83,MM_Income!$A$5:$A$204,0)))</f>
        <v/>
      </c>
      <c r="I83" s="95" t="str">
        <f aca="false">IF($C83="","",INDEX(MM_Income!$I$5:$I$204,MATCH($C83,MM_Income!$A$5:$A$204,0)))</f>
        <v/>
      </c>
      <c r="J83" s="95" t="str">
        <f aca="false">IF($C83="","",INDEX(MM_Income!$D$5:$D$204,MATCH($C83,MM_Income!$A$5:$A$204,0)))</f>
        <v/>
      </c>
      <c r="K83" s="95" t="str">
        <f aca="false">IF($C83="","",INDEX(MM_Income!$E$5:$E$204,MATCH($C83,MM_Income!$A$5:$A$204,0)))</f>
        <v/>
      </c>
      <c r="L83" s="95" t="str">
        <f aca="false">IF($C83="","",INDEX(MM_Income!$U$5:$U$204,MATCH($C83,MM_Income!$A$5:$A$204,0)))</f>
        <v/>
      </c>
      <c r="M83" s="143" t="str">
        <f aca="false">IF($C83="","",INDEX(MM_Income!$V$5:$V$204,MATCH($C83,MM_Income!$A$5:$A$204,0)))</f>
        <v/>
      </c>
      <c r="N83" s="144" t="str">
        <f aca="false">IF($C83="","",INDEX(MM_Income!$T$5:$T$204,MATCH($C83,MM_Income!$A$5:$A$204,0)))</f>
        <v/>
      </c>
      <c r="O83" s="94" t="str">
        <f aca="false">IF($C83="","",-SUMIFS(Project_Activity!$P$2:$P$5000,Project_Activity!$C$2:$C$5000,$C83,Project_Activity!$U$2:$U$5000,"Invoiced Income",Project_Activity!$H$2:$H$5000,"&gt;="&amp;DATE(VALUE(LEFT($B83,4)),1,1),Project_Activity!$H$2:$H$5000,"&lt;="&amp;EOMONTH(DATE(VALUE(LEFT($B83,4)),VALUE(RIGHT($B83,1))*3,1),0)))</f>
        <v/>
      </c>
      <c r="P83" s="94" t="str">
        <f aca="false">IF($C83="","",SUMIFS(Project_Activity!$P$2:$P$5000,Project_Activity!$C$2:$C$5000,$C83,Project_Activity!$U$2:$U$5000,"Subcontractor",Project_Activity!$H$2:$H$5000,"&gt;="&amp;DATE(VALUE(LEFT($B83,4)),1,1),Project_Activity!$H$2:$H$5000,"&lt;="&amp;EOMONTH(DATE(VALUE(LEFT($B83,4)),VALUE(RIGHT($B83,1))*3,1),0)))</f>
        <v/>
      </c>
      <c r="Q83" s="94" t="str">
        <f aca="false">IF($C83="","",SUMIFS(Project_Activity!$P$2:$P$5000,Project_Activity!$C$2:$C$5000,$C83,Project_Activity!$U$2:$U$5000,"Project Inclusive",Project_Activity!$H$2:$H$5000,"&gt;="&amp;DATE(VALUE(LEFT($B83,4)),1,1),Project_Activity!$H$2:$H$5000,"&lt;="&amp;EOMONTH(DATE(VALUE(LEFT($B83,4)),VALUE(RIGHT($B83,1))*3,1),0)))</f>
        <v/>
      </c>
      <c r="R83" s="94" t="str">
        <f aca="false">IF($C83="","",SUMIFS(Project_Activity!$P$2:$P$5000,Project_Activity!$C$2:$C$5000,$C83,Project_Activity!$U$2:$U$5000,"Non-Recoverable",Project_Activity!$H$2:$H$5000,"&gt;="&amp;DATE(VALUE(LEFT($B83,4)),1,1),Project_Activity!$H$2:$H$5000,"&lt;="&amp;EOMONTH(DATE(VALUE(LEFT($B83,4)),VALUE(RIGHT($B83,1))*3,1),0)))</f>
        <v/>
      </c>
      <c r="S83" s="94" t="str">
        <f aca="false">IF($C83="","",$O83-$P83-$Q83-$R83)</f>
        <v/>
      </c>
      <c r="T83" s="94" t="str">
        <f aca="false">IF($C83="","",SUMIFS(Project_Activity!$P$2:$P$5000,Project_Activity!$C$2:$C$5000,$C83,Project_Activity!$U$2:$U$5000,"Recoverable",Project_Activity!$H$2:$H$5000,"&gt;="&amp;DATE(VALUE(LEFT($B83,4)),1,1),Project_Activity!$H$2:$H$5000,"&lt;="&amp;EOMONTH(DATE(VALUE(LEFT($B83,4)),VALUE(RIGHT($B83,1))*3,1),0)))</f>
        <v/>
      </c>
      <c r="U83" s="94" t="str">
        <f aca="false">IF($C83="","",-SUMIFS(Project_Activity!$P$2:$P$5000,Project_Activity!$C$2:$C$5000,$C83,Project_Activity!$U$2:$U$5000,"Recovered Expenses",Project_Activity!$H$2:$H$5000,"&gt;="&amp;DATE(VALUE(LEFT($B83,4)),1,1),Project_Activity!$H$2:$H$5000,"&lt;="&amp;EOMONTH(DATE(VALUE(LEFT($B83,4)),VALUE(RIGHT($B83,1))*3,1),0)))</f>
        <v/>
      </c>
      <c r="V83" s="145"/>
      <c r="W83" s="94" t="str">
        <f aca="false">IF($C83="","",$V83*$N83)</f>
        <v/>
      </c>
      <c r="X83" s="145"/>
      <c r="Y83" s="94" t="str">
        <f aca="false">IF($C83="","",$X83*$N83)</f>
        <v/>
      </c>
      <c r="Z83" s="145"/>
      <c r="AA83" s="94" t="str">
        <f aca="false">IF($C83="","",$Z83*$N83)</f>
        <v/>
      </c>
      <c r="AB83" s="145"/>
      <c r="AC83" s="94" t="str">
        <f aca="false">IF($C83="","",$AB83*$N83)</f>
        <v/>
      </c>
      <c r="AD83" s="94" t="str">
        <f aca="false">IF($C83="","",SUMPRODUCT((VALUE(MID($B83,7,1))&gt;={1,2,3,4})*CHOOSE({1,2,3,4},$W83,$Y83,$AA83,$AC83)))</f>
        <v/>
      </c>
      <c r="AE83" s="94" t="str">
        <f aca="false">IF($C83="","",$W83+$Y83+$AA83+$AC83-$AD83)</f>
        <v/>
      </c>
      <c r="AF83" s="146"/>
      <c r="AG83" s="146"/>
      <c r="AH83" s="146"/>
      <c r="AI83" s="147" t="str">
        <f aca="false">IF($C83="","",IF(OR($L83="Pipeline",$N83&lt;0,$O83&gt;$N83+1,($V83+$X83+$Z83+$AB83)&gt;1.0001,ISNUMBER(SEARCH("not signed",$AF83))),"REVIEW","OK"))</f>
        <v/>
      </c>
    </row>
    <row r="84" customFormat="false" ht="13.5" hidden="false" customHeight="false" outlineLevel="0" collapsed="false">
      <c r="A84" s="95" t="str">
        <f aca="false">IF($C84="","",Controls!$B$7)</f>
        <v/>
      </c>
      <c r="B84" s="95" t="str">
        <f aca="false">IF($C84="","",Controls!$B$30)</f>
        <v/>
      </c>
      <c r="C84" s="95" t="str">
        <f aca="false">IF(MM_Income!$A87="","",MM_Income!$A87)</f>
        <v/>
      </c>
      <c r="D84" s="95" t="str">
        <f aca="false">IF($C84="","",INDEX(MM_Income!$B$5:$B$204,MATCH($C84,MM_Income!$A$5:$A$204,0)))</f>
        <v/>
      </c>
      <c r="E84" s="95" t="str">
        <f aca="false">IF($C84="","",INDEX(MM_Income!$C$5:$C$204,MATCH($C84,MM_Income!$A$5:$A$204,0)))</f>
        <v/>
      </c>
      <c r="F84" s="95" t="str">
        <f aca="false">IF($C84="","",INDEX(MM_Income!$F$5:$F$204,MATCH($C84,MM_Income!$A$5:$A$204,0)))</f>
        <v/>
      </c>
      <c r="G84" s="95" t="str">
        <f aca="false">IF($C84="","",INDEX(MM_Income!$G$5:$G$204,MATCH($C84,MM_Income!$A$5:$A$204,0)))</f>
        <v/>
      </c>
      <c r="H84" s="95" t="str">
        <f aca="false">IF($C84="","",INDEX(MM_Income!$H$5:$H$204,MATCH($C84,MM_Income!$A$5:$A$204,0)))</f>
        <v/>
      </c>
      <c r="I84" s="95" t="str">
        <f aca="false">IF($C84="","",INDEX(MM_Income!$I$5:$I$204,MATCH($C84,MM_Income!$A$5:$A$204,0)))</f>
        <v/>
      </c>
      <c r="J84" s="95" t="str">
        <f aca="false">IF($C84="","",INDEX(MM_Income!$D$5:$D$204,MATCH($C84,MM_Income!$A$5:$A$204,0)))</f>
        <v/>
      </c>
      <c r="K84" s="95" t="str">
        <f aca="false">IF($C84="","",INDEX(MM_Income!$E$5:$E$204,MATCH($C84,MM_Income!$A$5:$A$204,0)))</f>
        <v/>
      </c>
      <c r="L84" s="95" t="str">
        <f aca="false">IF($C84="","",INDEX(MM_Income!$U$5:$U$204,MATCH($C84,MM_Income!$A$5:$A$204,0)))</f>
        <v/>
      </c>
      <c r="M84" s="143" t="str">
        <f aca="false">IF($C84="","",INDEX(MM_Income!$V$5:$V$204,MATCH($C84,MM_Income!$A$5:$A$204,0)))</f>
        <v/>
      </c>
      <c r="N84" s="144" t="str">
        <f aca="false">IF($C84="","",INDEX(MM_Income!$T$5:$T$204,MATCH($C84,MM_Income!$A$5:$A$204,0)))</f>
        <v/>
      </c>
      <c r="O84" s="94" t="str">
        <f aca="false">IF($C84="","",-SUMIFS(Project_Activity!$P$2:$P$5000,Project_Activity!$C$2:$C$5000,$C84,Project_Activity!$U$2:$U$5000,"Invoiced Income",Project_Activity!$H$2:$H$5000,"&gt;="&amp;DATE(VALUE(LEFT($B84,4)),1,1),Project_Activity!$H$2:$H$5000,"&lt;="&amp;EOMONTH(DATE(VALUE(LEFT($B84,4)),VALUE(RIGHT($B84,1))*3,1),0)))</f>
        <v/>
      </c>
      <c r="P84" s="94" t="str">
        <f aca="false">IF($C84="","",SUMIFS(Project_Activity!$P$2:$P$5000,Project_Activity!$C$2:$C$5000,$C84,Project_Activity!$U$2:$U$5000,"Subcontractor",Project_Activity!$H$2:$H$5000,"&gt;="&amp;DATE(VALUE(LEFT($B84,4)),1,1),Project_Activity!$H$2:$H$5000,"&lt;="&amp;EOMONTH(DATE(VALUE(LEFT($B84,4)),VALUE(RIGHT($B84,1))*3,1),0)))</f>
        <v/>
      </c>
      <c r="Q84" s="94" t="str">
        <f aca="false">IF($C84="","",SUMIFS(Project_Activity!$P$2:$P$5000,Project_Activity!$C$2:$C$5000,$C84,Project_Activity!$U$2:$U$5000,"Project Inclusive",Project_Activity!$H$2:$H$5000,"&gt;="&amp;DATE(VALUE(LEFT($B84,4)),1,1),Project_Activity!$H$2:$H$5000,"&lt;="&amp;EOMONTH(DATE(VALUE(LEFT($B84,4)),VALUE(RIGHT($B84,1))*3,1),0)))</f>
        <v/>
      </c>
      <c r="R84" s="94" t="str">
        <f aca="false">IF($C84="","",SUMIFS(Project_Activity!$P$2:$P$5000,Project_Activity!$C$2:$C$5000,$C84,Project_Activity!$U$2:$U$5000,"Non-Recoverable",Project_Activity!$H$2:$H$5000,"&gt;="&amp;DATE(VALUE(LEFT($B84,4)),1,1),Project_Activity!$H$2:$H$5000,"&lt;="&amp;EOMONTH(DATE(VALUE(LEFT($B84,4)),VALUE(RIGHT($B84,1))*3,1),0)))</f>
        <v/>
      </c>
      <c r="S84" s="94" t="str">
        <f aca="false">IF($C84="","",$O84-$P84-$Q84-$R84)</f>
        <v/>
      </c>
      <c r="T84" s="94" t="str">
        <f aca="false">IF($C84="","",SUMIFS(Project_Activity!$P$2:$P$5000,Project_Activity!$C$2:$C$5000,$C84,Project_Activity!$U$2:$U$5000,"Recoverable",Project_Activity!$H$2:$H$5000,"&gt;="&amp;DATE(VALUE(LEFT($B84,4)),1,1),Project_Activity!$H$2:$H$5000,"&lt;="&amp;EOMONTH(DATE(VALUE(LEFT($B84,4)),VALUE(RIGHT($B84,1))*3,1),0)))</f>
        <v/>
      </c>
      <c r="U84" s="94" t="str">
        <f aca="false">IF($C84="","",-SUMIFS(Project_Activity!$P$2:$P$5000,Project_Activity!$C$2:$C$5000,$C84,Project_Activity!$U$2:$U$5000,"Recovered Expenses",Project_Activity!$H$2:$H$5000,"&gt;="&amp;DATE(VALUE(LEFT($B84,4)),1,1),Project_Activity!$H$2:$H$5000,"&lt;="&amp;EOMONTH(DATE(VALUE(LEFT($B84,4)),VALUE(RIGHT($B84,1))*3,1),0)))</f>
        <v/>
      </c>
      <c r="V84" s="145"/>
      <c r="W84" s="94" t="str">
        <f aca="false">IF($C84="","",$V84*$N84)</f>
        <v/>
      </c>
      <c r="X84" s="145"/>
      <c r="Y84" s="94" t="str">
        <f aca="false">IF($C84="","",$X84*$N84)</f>
        <v/>
      </c>
      <c r="Z84" s="145"/>
      <c r="AA84" s="94" t="str">
        <f aca="false">IF($C84="","",$Z84*$N84)</f>
        <v/>
      </c>
      <c r="AB84" s="145"/>
      <c r="AC84" s="94" t="str">
        <f aca="false">IF($C84="","",$AB84*$N84)</f>
        <v/>
      </c>
      <c r="AD84" s="94" t="str">
        <f aca="false">IF($C84="","",SUMPRODUCT((VALUE(MID($B84,7,1))&gt;={1,2,3,4})*CHOOSE({1,2,3,4},$W84,$Y84,$AA84,$AC84)))</f>
        <v/>
      </c>
      <c r="AE84" s="94" t="str">
        <f aca="false">IF($C84="","",$W84+$Y84+$AA84+$AC84-$AD84)</f>
        <v/>
      </c>
      <c r="AF84" s="146"/>
      <c r="AG84" s="146"/>
      <c r="AH84" s="146"/>
      <c r="AI84" s="147" t="str">
        <f aca="false">IF($C84="","",IF(OR($L84="Pipeline",$N84&lt;0,$O84&gt;$N84+1,($V84+$X84+$Z84+$AB84)&gt;1.0001,ISNUMBER(SEARCH("not signed",$AF84))),"REVIEW","OK"))</f>
        <v/>
      </c>
    </row>
    <row r="85" customFormat="false" ht="13.5" hidden="false" customHeight="false" outlineLevel="0" collapsed="false">
      <c r="A85" s="95" t="str">
        <f aca="false">IF($C85="","",Controls!$B$7)</f>
        <v/>
      </c>
      <c r="B85" s="95" t="str">
        <f aca="false">IF($C85="","",Controls!$B$30)</f>
        <v/>
      </c>
      <c r="C85" s="95" t="str">
        <f aca="false">IF(MM_Income!$A88="","",MM_Income!$A88)</f>
        <v/>
      </c>
      <c r="D85" s="95" t="str">
        <f aca="false">IF($C85="","",INDEX(MM_Income!$B$5:$B$204,MATCH($C85,MM_Income!$A$5:$A$204,0)))</f>
        <v/>
      </c>
      <c r="E85" s="95" t="str">
        <f aca="false">IF($C85="","",INDEX(MM_Income!$C$5:$C$204,MATCH($C85,MM_Income!$A$5:$A$204,0)))</f>
        <v/>
      </c>
      <c r="F85" s="95" t="str">
        <f aca="false">IF($C85="","",INDEX(MM_Income!$F$5:$F$204,MATCH($C85,MM_Income!$A$5:$A$204,0)))</f>
        <v/>
      </c>
      <c r="G85" s="95" t="str">
        <f aca="false">IF($C85="","",INDEX(MM_Income!$G$5:$G$204,MATCH($C85,MM_Income!$A$5:$A$204,0)))</f>
        <v/>
      </c>
      <c r="H85" s="95" t="str">
        <f aca="false">IF($C85="","",INDEX(MM_Income!$H$5:$H$204,MATCH($C85,MM_Income!$A$5:$A$204,0)))</f>
        <v/>
      </c>
      <c r="I85" s="95" t="str">
        <f aca="false">IF($C85="","",INDEX(MM_Income!$I$5:$I$204,MATCH($C85,MM_Income!$A$5:$A$204,0)))</f>
        <v/>
      </c>
      <c r="J85" s="95" t="str">
        <f aca="false">IF($C85="","",INDEX(MM_Income!$D$5:$D$204,MATCH($C85,MM_Income!$A$5:$A$204,0)))</f>
        <v/>
      </c>
      <c r="K85" s="95" t="str">
        <f aca="false">IF($C85="","",INDEX(MM_Income!$E$5:$E$204,MATCH($C85,MM_Income!$A$5:$A$204,0)))</f>
        <v/>
      </c>
      <c r="L85" s="95" t="str">
        <f aca="false">IF($C85="","",INDEX(MM_Income!$U$5:$U$204,MATCH($C85,MM_Income!$A$5:$A$204,0)))</f>
        <v/>
      </c>
      <c r="M85" s="143" t="str">
        <f aca="false">IF($C85="","",INDEX(MM_Income!$V$5:$V$204,MATCH($C85,MM_Income!$A$5:$A$204,0)))</f>
        <v/>
      </c>
      <c r="N85" s="144" t="str">
        <f aca="false">IF($C85="","",INDEX(MM_Income!$T$5:$T$204,MATCH($C85,MM_Income!$A$5:$A$204,0)))</f>
        <v/>
      </c>
      <c r="O85" s="94" t="str">
        <f aca="false">IF($C85="","",-SUMIFS(Project_Activity!$P$2:$P$5000,Project_Activity!$C$2:$C$5000,$C85,Project_Activity!$U$2:$U$5000,"Invoiced Income",Project_Activity!$H$2:$H$5000,"&gt;="&amp;DATE(VALUE(LEFT($B85,4)),1,1),Project_Activity!$H$2:$H$5000,"&lt;="&amp;EOMONTH(DATE(VALUE(LEFT($B85,4)),VALUE(RIGHT($B85,1))*3,1),0)))</f>
        <v/>
      </c>
      <c r="P85" s="94" t="str">
        <f aca="false">IF($C85="","",SUMIFS(Project_Activity!$P$2:$P$5000,Project_Activity!$C$2:$C$5000,$C85,Project_Activity!$U$2:$U$5000,"Subcontractor",Project_Activity!$H$2:$H$5000,"&gt;="&amp;DATE(VALUE(LEFT($B85,4)),1,1),Project_Activity!$H$2:$H$5000,"&lt;="&amp;EOMONTH(DATE(VALUE(LEFT($B85,4)),VALUE(RIGHT($B85,1))*3,1),0)))</f>
        <v/>
      </c>
      <c r="Q85" s="94" t="str">
        <f aca="false">IF($C85="","",SUMIFS(Project_Activity!$P$2:$P$5000,Project_Activity!$C$2:$C$5000,$C85,Project_Activity!$U$2:$U$5000,"Project Inclusive",Project_Activity!$H$2:$H$5000,"&gt;="&amp;DATE(VALUE(LEFT($B85,4)),1,1),Project_Activity!$H$2:$H$5000,"&lt;="&amp;EOMONTH(DATE(VALUE(LEFT($B85,4)),VALUE(RIGHT($B85,1))*3,1),0)))</f>
        <v/>
      </c>
      <c r="R85" s="94" t="str">
        <f aca="false">IF($C85="","",SUMIFS(Project_Activity!$P$2:$P$5000,Project_Activity!$C$2:$C$5000,$C85,Project_Activity!$U$2:$U$5000,"Non-Recoverable",Project_Activity!$H$2:$H$5000,"&gt;="&amp;DATE(VALUE(LEFT($B85,4)),1,1),Project_Activity!$H$2:$H$5000,"&lt;="&amp;EOMONTH(DATE(VALUE(LEFT($B85,4)),VALUE(RIGHT($B85,1))*3,1),0)))</f>
        <v/>
      </c>
      <c r="S85" s="94" t="str">
        <f aca="false">IF($C85="","",$O85-$P85-$Q85-$R85)</f>
        <v/>
      </c>
      <c r="T85" s="94" t="str">
        <f aca="false">IF($C85="","",SUMIFS(Project_Activity!$P$2:$P$5000,Project_Activity!$C$2:$C$5000,$C85,Project_Activity!$U$2:$U$5000,"Recoverable",Project_Activity!$H$2:$H$5000,"&gt;="&amp;DATE(VALUE(LEFT($B85,4)),1,1),Project_Activity!$H$2:$H$5000,"&lt;="&amp;EOMONTH(DATE(VALUE(LEFT($B85,4)),VALUE(RIGHT($B85,1))*3,1),0)))</f>
        <v/>
      </c>
      <c r="U85" s="94" t="str">
        <f aca="false">IF($C85="","",-SUMIFS(Project_Activity!$P$2:$P$5000,Project_Activity!$C$2:$C$5000,$C85,Project_Activity!$U$2:$U$5000,"Recovered Expenses",Project_Activity!$H$2:$H$5000,"&gt;="&amp;DATE(VALUE(LEFT($B85,4)),1,1),Project_Activity!$H$2:$H$5000,"&lt;="&amp;EOMONTH(DATE(VALUE(LEFT($B85,4)),VALUE(RIGHT($B85,1))*3,1),0)))</f>
        <v/>
      </c>
      <c r="V85" s="145"/>
      <c r="W85" s="94" t="str">
        <f aca="false">IF($C85="","",$V85*$N85)</f>
        <v/>
      </c>
      <c r="X85" s="145"/>
      <c r="Y85" s="94" t="str">
        <f aca="false">IF($C85="","",$X85*$N85)</f>
        <v/>
      </c>
      <c r="Z85" s="145"/>
      <c r="AA85" s="94" t="str">
        <f aca="false">IF($C85="","",$Z85*$N85)</f>
        <v/>
      </c>
      <c r="AB85" s="145"/>
      <c r="AC85" s="94" t="str">
        <f aca="false">IF($C85="","",$AB85*$N85)</f>
        <v/>
      </c>
      <c r="AD85" s="94" t="str">
        <f aca="false">IF($C85="","",SUMPRODUCT((VALUE(MID($B85,7,1))&gt;={1,2,3,4})*CHOOSE({1,2,3,4},$W85,$Y85,$AA85,$AC85)))</f>
        <v/>
      </c>
      <c r="AE85" s="94" t="str">
        <f aca="false">IF($C85="","",$W85+$Y85+$AA85+$AC85-$AD85)</f>
        <v/>
      </c>
      <c r="AF85" s="146"/>
      <c r="AG85" s="146"/>
      <c r="AH85" s="146"/>
      <c r="AI85" s="147" t="str">
        <f aca="false">IF($C85="","",IF(OR($L85="Pipeline",$N85&lt;0,$O85&gt;$N85+1,($V85+$X85+$Z85+$AB85)&gt;1.0001,ISNUMBER(SEARCH("not signed",$AF85))),"REVIEW","OK"))</f>
        <v/>
      </c>
    </row>
    <row r="86" customFormat="false" ht="13.5" hidden="false" customHeight="false" outlineLevel="0" collapsed="false">
      <c r="A86" s="95" t="str">
        <f aca="false">IF($C86="","",Controls!$B$7)</f>
        <v/>
      </c>
      <c r="B86" s="95" t="str">
        <f aca="false">IF($C86="","",Controls!$B$30)</f>
        <v/>
      </c>
      <c r="C86" s="95" t="str">
        <f aca="false">IF(MM_Income!$A89="","",MM_Income!$A89)</f>
        <v/>
      </c>
      <c r="D86" s="95" t="str">
        <f aca="false">IF($C86="","",INDEX(MM_Income!$B$5:$B$204,MATCH($C86,MM_Income!$A$5:$A$204,0)))</f>
        <v/>
      </c>
      <c r="E86" s="95" t="str">
        <f aca="false">IF($C86="","",INDEX(MM_Income!$C$5:$C$204,MATCH($C86,MM_Income!$A$5:$A$204,0)))</f>
        <v/>
      </c>
      <c r="F86" s="95" t="str">
        <f aca="false">IF($C86="","",INDEX(MM_Income!$F$5:$F$204,MATCH($C86,MM_Income!$A$5:$A$204,0)))</f>
        <v/>
      </c>
      <c r="G86" s="95" t="str">
        <f aca="false">IF($C86="","",INDEX(MM_Income!$G$5:$G$204,MATCH($C86,MM_Income!$A$5:$A$204,0)))</f>
        <v/>
      </c>
      <c r="H86" s="95" t="str">
        <f aca="false">IF($C86="","",INDEX(MM_Income!$H$5:$H$204,MATCH($C86,MM_Income!$A$5:$A$204,0)))</f>
        <v/>
      </c>
      <c r="I86" s="95" t="str">
        <f aca="false">IF($C86="","",INDEX(MM_Income!$I$5:$I$204,MATCH($C86,MM_Income!$A$5:$A$204,0)))</f>
        <v/>
      </c>
      <c r="J86" s="95" t="str">
        <f aca="false">IF($C86="","",INDEX(MM_Income!$D$5:$D$204,MATCH($C86,MM_Income!$A$5:$A$204,0)))</f>
        <v/>
      </c>
      <c r="K86" s="95" t="str">
        <f aca="false">IF($C86="","",INDEX(MM_Income!$E$5:$E$204,MATCH($C86,MM_Income!$A$5:$A$204,0)))</f>
        <v/>
      </c>
      <c r="L86" s="95" t="str">
        <f aca="false">IF($C86="","",INDEX(MM_Income!$U$5:$U$204,MATCH($C86,MM_Income!$A$5:$A$204,0)))</f>
        <v/>
      </c>
      <c r="M86" s="143" t="str">
        <f aca="false">IF($C86="","",INDEX(MM_Income!$V$5:$V$204,MATCH($C86,MM_Income!$A$5:$A$204,0)))</f>
        <v/>
      </c>
      <c r="N86" s="144" t="str">
        <f aca="false">IF($C86="","",INDEX(MM_Income!$T$5:$T$204,MATCH($C86,MM_Income!$A$5:$A$204,0)))</f>
        <v/>
      </c>
      <c r="O86" s="94" t="str">
        <f aca="false">IF($C86="","",-SUMIFS(Project_Activity!$P$2:$P$5000,Project_Activity!$C$2:$C$5000,$C86,Project_Activity!$U$2:$U$5000,"Invoiced Income",Project_Activity!$H$2:$H$5000,"&gt;="&amp;DATE(VALUE(LEFT($B86,4)),1,1),Project_Activity!$H$2:$H$5000,"&lt;="&amp;EOMONTH(DATE(VALUE(LEFT($B86,4)),VALUE(RIGHT($B86,1))*3,1),0)))</f>
        <v/>
      </c>
      <c r="P86" s="94" t="str">
        <f aca="false">IF($C86="","",SUMIFS(Project_Activity!$P$2:$P$5000,Project_Activity!$C$2:$C$5000,$C86,Project_Activity!$U$2:$U$5000,"Subcontractor",Project_Activity!$H$2:$H$5000,"&gt;="&amp;DATE(VALUE(LEFT($B86,4)),1,1),Project_Activity!$H$2:$H$5000,"&lt;="&amp;EOMONTH(DATE(VALUE(LEFT($B86,4)),VALUE(RIGHT($B86,1))*3,1),0)))</f>
        <v/>
      </c>
      <c r="Q86" s="94" t="str">
        <f aca="false">IF($C86="","",SUMIFS(Project_Activity!$P$2:$P$5000,Project_Activity!$C$2:$C$5000,$C86,Project_Activity!$U$2:$U$5000,"Project Inclusive",Project_Activity!$H$2:$H$5000,"&gt;="&amp;DATE(VALUE(LEFT($B86,4)),1,1),Project_Activity!$H$2:$H$5000,"&lt;="&amp;EOMONTH(DATE(VALUE(LEFT($B86,4)),VALUE(RIGHT($B86,1))*3,1),0)))</f>
        <v/>
      </c>
      <c r="R86" s="94" t="str">
        <f aca="false">IF($C86="","",SUMIFS(Project_Activity!$P$2:$P$5000,Project_Activity!$C$2:$C$5000,$C86,Project_Activity!$U$2:$U$5000,"Non-Recoverable",Project_Activity!$H$2:$H$5000,"&gt;="&amp;DATE(VALUE(LEFT($B86,4)),1,1),Project_Activity!$H$2:$H$5000,"&lt;="&amp;EOMONTH(DATE(VALUE(LEFT($B86,4)),VALUE(RIGHT($B86,1))*3,1),0)))</f>
        <v/>
      </c>
      <c r="S86" s="94" t="str">
        <f aca="false">IF($C86="","",$O86-$P86-$Q86-$R86)</f>
        <v/>
      </c>
      <c r="T86" s="94" t="str">
        <f aca="false">IF($C86="","",SUMIFS(Project_Activity!$P$2:$P$5000,Project_Activity!$C$2:$C$5000,$C86,Project_Activity!$U$2:$U$5000,"Recoverable",Project_Activity!$H$2:$H$5000,"&gt;="&amp;DATE(VALUE(LEFT($B86,4)),1,1),Project_Activity!$H$2:$H$5000,"&lt;="&amp;EOMONTH(DATE(VALUE(LEFT($B86,4)),VALUE(RIGHT($B86,1))*3,1),0)))</f>
        <v/>
      </c>
      <c r="U86" s="94" t="str">
        <f aca="false">IF($C86="","",-SUMIFS(Project_Activity!$P$2:$P$5000,Project_Activity!$C$2:$C$5000,$C86,Project_Activity!$U$2:$U$5000,"Recovered Expenses",Project_Activity!$H$2:$H$5000,"&gt;="&amp;DATE(VALUE(LEFT($B86,4)),1,1),Project_Activity!$H$2:$H$5000,"&lt;="&amp;EOMONTH(DATE(VALUE(LEFT($B86,4)),VALUE(RIGHT($B86,1))*3,1),0)))</f>
        <v/>
      </c>
      <c r="V86" s="145"/>
      <c r="W86" s="94" t="str">
        <f aca="false">IF($C86="","",$V86*$N86)</f>
        <v/>
      </c>
      <c r="X86" s="145"/>
      <c r="Y86" s="94" t="str">
        <f aca="false">IF($C86="","",$X86*$N86)</f>
        <v/>
      </c>
      <c r="Z86" s="145"/>
      <c r="AA86" s="94" t="str">
        <f aca="false">IF($C86="","",$Z86*$N86)</f>
        <v/>
      </c>
      <c r="AB86" s="145"/>
      <c r="AC86" s="94" t="str">
        <f aca="false">IF($C86="","",$AB86*$N86)</f>
        <v/>
      </c>
      <c r="AD86" s="94" t="str">
        <f aca="false">IF($C86="","",SUMPRODUCT((VALUE(MID($B86,7,1))&gt;={1,2,3,4})*CHOOSE({1,2,3,4},$W86,$Y86,$AA86,$AC86)))</f>
        <v/>
      </c>
      <c r="AE86" s="94" t="str">
        <f aca="false">IF($C86="","",$W86+$Y86+$AA86+$AC86-$AD86)</f>
        <v/>
      </c>
      <c r="AF86" s="146"/>
      <c r="AG86" s="146"/>
      <c r="AH86" s="146"/>
      <c r="AI86" s="147" t="str">
        <f aca="false">IF($C86="","",IF(OR($L86="Pipeline",$N86&lt;0,$O86&gt;$N86+1,($V86+$X86+$Z86+$AB86)&gt;1.0001,ISNUMBER(SEARCH("not signed",$AF86))),"REVIEW","OK"))</f>
        <v/>
      </c>
    </row>
    <row r="87" customFormat="false" ht="13.5" hidden="false" customHeight="false" outlineLevel="0" collapsed="false">
      <c r="A87" s="95" t="str">
        <f aca="false">IF($C87="","",Controls!$B$7)</f>
        <v/>
      </c>
      <c r="B87" s="95" t="str">
        <f aca="false">IF($C87="","",Controls!$B$30)</f>
        <v/>
      </c>
      <c r="C87" s="95" t="str">
        <f aca="false">IF(MM_Income!$A90="","",MM_Income!$A90)</f>
        <v/>
      </c>
      <c r="D87" s="95" t="str">
        <f aca="false">IF($C87="","",INDEX(MM_Income!$B$5:$B$204,MATCH($C87,MM_Income!$A$5:$A$204,0)))</f>
        <v/>
      </c>
      <c r="E87" s="95" t="str">
        <f aca="false">IF($C87="","",INDEX(MM_Income!$C$5:$C$204,MATCH($C87,MM_Income!$A$5:$A$204,0)))</f>
        <v/>
      </c>
      <c r="F87" s="95" t="str">
        <f aca="false">IF($C87="","",INDEX(MM_Income!$F$5:$F$204,MATCH($C87,MM_Income!$A$5:$A$204,0)))</f>
        <v/>
      </c>
      <c r="G87" s="95" t="str">
        <f aca="false">IF($C87="","",INDEX(MM_Income!$G$5:$G$204,MATCH($C87,MM_Income!$A$5:$A$204,0)))</f>
        <v/>
      </c>
      <c r="H87" s="95" t="str">
        <f aca="false">IF($C87="","",INDEX(MM_Income!$H$5:$H$204,MATCH($C87,MM_Income!$A$5:$A$204,0)))</f>
        <v/>
      </c>
      <c r="I87" s="95" t="str">
        <f aca="false">IF($C87="","",INDEX(MM_Income!$I$5:$I$204,MATCH($C87,MM_Income!$A$5:$A$204,0)))</f>
        <v/>
      </c>
      <c r="J87" s="95" t="str">
        <f aca="false">IF($C87="","",INDEX(MM_Income!$D$5:$D$204,MATCH($C87,MM_Income!$A$5:$A$204,0)))</f>
        <v/>
      </c>
      <c r="K87" s="95" t="str">
        <f aca="false">IF($C87="","",INDEX(MM_Income!$E$5:$E$204,MATCH($C87,MM_Income!$A$5:$A$204,0)))</f>
        <v/>
      </c>
      <c r="L87" s="95" t="str">
        <f aca="false">IF($C87="","",INDEX(MM_Income!$U$5:$U$204,MATCH($C87,MM_Income!$A$5:$A$204,0)))</f>
        <v/>
      </c>
      <c r="M87" s="143" t="str">
        <f aca="false">IF($C87="","",INDEX(MM_Income!$V$5:$V$204,MATCH($C87,MM_Income!$A$5:$A$204,0)))</f>
        <v/>
      </c>
      <c r="N87" s="144" t="str">
        <f aca="false">IF($C87="","",INDEX(MM_Income!$T$5:$T$204,MATCH($C87,MM_Income!$A$5:$A$204,0)))</f>
        <v/>
      </c>
      <c r="O87" s="94" t="str">
        <f aca="false">IF($C87="","",-SUMIFS(Project_Activity!$P$2:$P$5000,Project_Activity!$C$2:$C$5000,$C87,Project_Activity!$U$2:$U$5000,"Invoiced Income",Project_Activity!$H$2:$H$5000,"&gt;="&amp;DATE(VALUE(LEFT($B87,4)),1,1),Project_Activity!$H$2:$H$5000,"&lt;="&amp;EOMONTH(DATE(VALUE(LEFT($B87,4)),VALUE(RIGHT($B87,1))*3,1),0)))</f>
        <v/>
      </c>
      <c r="P87" s="94" t="str">
        <f aca="false">IF($C87="","",SUMIFS(Project_Activity!$P$2:$P$5000,Project_Activity!$C$2:$C$5000,$C87,Project_Activity!$U$2:$U$5000,"Subcontractor",Project_Activity!$H$2:$H$5000,"&gt;="&amp;DATE(VALUE(LEFT($B87,4)),1,1),Project_Activity!$H$2:$H$5000,"&lt;="&amp;EOMONTH(DATE(VALUE(LEFT($B87,4)),VALUE(RIGHT($B87,1))*3,1),0)))</f>
        <v/>
      </c>
      <c r="Q87" s="94" t="str">
        <f aca="false">IF($C87="","",SUMIFS(Project_Activity!$P$2:$P$5000,Project_Activity!$C$2:$C$5000,$C87,Project_Activity!$U$2:$U$5000,"Project Inclusive",Project_Activity!$H$2:$H$5000,"&gt;="&amp;DATE(VALUE(LEFT($B87,4)),1,1),Project_Activity!$H$2:$H$5000,"&lt;="&amp;EOMONTH(DATE(VALUE(LEFT($B87,4)),VALUE(RIGHT($B87,1))*3,1),0)))</f>
        <v/>
      </c>
      <c r="R87" s="94" t="str">
        <f aca="false">IF($C87="","",SUMIFS(Project_Activity!$P$2:$P$5000,Project_Activity!$C$2:$C$5000,$C87,Project_Activity!$U$2:$U$5000,"Non-Recoverable",Project_Activity!$H$2:$H$5000,"&gt;="&amp;DATE(VALUE(LEFT($B87,4)),1,1),Project_Activity!$H$2:$H$5000,"&lt;="&amp;EOMONTH(DATE(VALUE(LEFT($B87,4)),VALUE(RIGHT($B87,1))*3,1),0)))</f>
        <v/>
      </c>
      <c r="S87" s="94" t="str">
        <f aca="false">IF($C87="","",$O87-$P87-$Q87-$R87)</f>
        <v/>
      </c>
      <c r="T87" s="94" t="str">
        <f aca="false">IF($C87="","",SUMIFS(Project_Activity!$P$2:$P$5000,Project_Activity!$C$2:$C$5000,$C87,Project_Activity!$U$2:$U$5000,"Recoverable",Project_Activity!$H$2:$H$5000,"&gt;="&amp;DATE(VALUE(LEFT($B87,4)),1,1),Project_Activity!$H$2:$H$5000,"&lt;="&amp;EOMONTH(DATE(VALUE(LEFT($B87,4)),VALUE(RIGHT($B87,1))*3,1),0)))</f>
        <v/>
      </c>
      <c r="U87" s="94" t="str">
        <f aca="false">IF($C87="","",-SUMIFS(Project_Activity!$P$2:$P$5000,Project_Activity!$C$2:$C$5000,$C87,Project_Activity!$U$2:$U$5000,"Recovered Expenses",Project_Activity!$H$2:$H$5000,"&gt;="&amp;DATE(VALUE(LEFT($B87,4)),1,1),Project_Activity!$H$2:$H$5000,"&lt;="&amp;EOMONTH(DATE(VALUE(LEFT($B87,4)),VALUE(RIGHT($B87,1))*3,1),0)))</f>
        <v/>
      </c>
      <c r="V87" s="145"/>
      <c r="W87" s="94" t="str">
        <f aca="false">IF($C87="","",$V87*$N87)</f>
        <v/>
      </c>
      <c r="X87" s="145"/>
      <c r="Y87" s="94" t="str">
        <f aca="false">IF($C87="","",$X87*$N87)</f>
        <v/>
      </c>
      <c r="Z87" s="145"/>
      <c r="AA87" s="94" t="str">
        <f aca="false">IF($C87="","",$Z87*$N87)</f>
        <v/>
      </c>
      <c r="AB87" s="145"/>
      <c r="AC87" s="94" t="str">
        <f aca="false">IF($C87="","",$AB87*$N87)</f>
        <v/>
      </c>
      <c r="AD87" s="94" t="str">
        <f aca="false">IF($C87="","",SUMPRODUCT((VALUE(MID($B87,7,1))&gt;={1,2,3,4})*CHOOSE({1,2,3,4},$W87,$Y87,$AA87,$AC87)))</f>
        <v/>
      </c>
      <c r="AE87" s="94" t="str">
        <f aca="false">IF($C87="","",$W87+$Y87+$AA87+$AC87-$AD87)</f>
        <v/>
      </c>
      <c r="AF87" s="146"/>
      <c r="AG87" s="146"/>
      <c r="AH87" s="146"/>
      <c r="AI87" s="147" t="str">
        <f aca="false">IF($C87="","",IF(OR($L87="Pipeline",$N87&lt;0,$O87&gt;$N87+1,($V87+$X87+$Z87+$AB87)&gt;1.0001,ISNUMBER(SEARCH("not signed",$AF87))),"REVIEW","OK"))</f>
        <v/>
      </c>
    </row>
    <row r="88" customFormat="false" ht="13.5" hidden="false" customHeight="false" outlineLevel="0" collapsed="false">
      <c r="A88" s="95" t="str">
        <f aca="false">IF($C88="","",Controls!$B$7)</f>
        <v/>
      </c>
      <c r="B88" s="95" t="str">
        <f aca="false">IF($C88="","",Controls!$B$30)</f>
        <v/>
      </c>
      <c r="C88" s="95" t="str">
        <f aca="false">IF(MM_Income!$A91="","",MM_Income!$A91)</f>
        <v/>
      </c>
      <c r="D88" s="95" t="str">
        <f aca="false">IF($C88="","",INDEX(MM_Income!$B$5:$B$204,MATCH($C88,MM_Income!$A$5:$A$204,0)))</f>
        <v/>
      </c>
      <c r="E88" s="95" t="str">
        <f aca="false">IF($C88="","",INDEX(MM_Income!$C$5:$C$204,MATCH($C88,MM_Income!$A$5:$A$204,0)))</f>
        <v/>
      </c>
      <c r="F88" s="95" t="str">
        <f aca="false">IF($C88="","",INDEX(MM_Income!$F$5:$F$204,MATCH($C88,MM_Income!$A$5:$A$204,0)))</f>
        <v/>
      </c>
      <c r="G88" s="95" t="str">
        <f aca="false">IF($C88="","",INDEX(MM_Income!$G$5:$G$204,MATCH($C88,MM_Income!$A$5:$A$204,0)))</f>
        <v/>
      </c>
      <c r="H88" s="95" t="str">
        <f aca="false">IF($C88="","",INDEX(MM_Income!$H$5:$H$204,MATCH($C88,MM_Income!$A$5:$A$204,0)))</f>
        <v/>
      </c>
      <c r="I88" s="95" t="str">
        <f aca="false">IF($C88="","",INDEX(MM_Income!$I$5:$I$204,MATCH($C88,MM_Income!$A$5:$A$204,0)))</f>
        <v/>
      </c>
      <c r="J88" s="95" t="str">
        <f aca="false">IF($C88="","",INDEX(MM_Income!$D$5:$D$204,MATCH($C88,MM_Income!$A$5:$A$204,0)))</f>
        <v/>
      </c>
      <c r="K88" s="95" t="str">
        <f aca="false">IF($C88="","",INDEX(MM_Income!$E$5:$E$204,MATCH($C88,MM_Income!$A$5:$A$204,0)))</f>
        <v/>
      </c>
      <c r="L88" s="95" t="str">
        <f aca="false">IF($C88="","",INDEX(MM_Income!$U$5:$U$204,MATCH($C88,MM_Income!$A$5:$A$204,0)))</f>
        <v/>
      </c>
      <c r="M88" s="143" t="str">
        <f aca="false">IF($C88="","",INDEX(MM_Income!$V$5:$V$204,MATCH($C88,MM_Income!$A$5:$A$204,0)))</f>
        <v/>
      </c>
      <c r="N88" s="144" t="str">
        <f aca="false">IF($C88="","",INDEX(MM_Income!$T$5:$T$204,MATCH($C88,MM_Income!$A$5:$A$204,0)))</f>
        <v/>
      </c>
      <c r="O88" s="94" t="str">
        <f aca="false">IF($C88="","",-SUMIFS(Project_Activity!$P$2:$P$5000,Project_Activity!$C$2:$C$5000,$C88,Project_Activity!$U$2:$U$5000,"Invoiced Income",Project_Activity!$H$2:$H$5000,"&gt;="&amp;DATE(VALUE(LEFT($B88,4)),1,1),Project_Activity!$H$2:$H$5000,"&lt;="&amp;EOMONTH(DATE(VALUE(LEFT($B88,4)),VALUE(RIGHT($B88,1))*3,1),0)))</f>
        <v/>
      </c>
      <c r="P88" s="94" t="str">
        <f aca="false">IF($C88="","",SUMIFS(Project_Activity!$P$2:$P$5000,Project_Activity!$C$2:$C$5000,$C88,Project_Activity!$U$2:$U$5000,"Subcontractor",Project_Activity!$H$2:$H$5000,"&gt;="&amp;DATE(VALUE(LEFT($B88,4)),1,1),Project_Activity!$H$2:$H$5000,"&lt;="&amp;EOMONTH(DATE(VALUE(LEFT($B88,4)),VALUE(RIGHT($B88,1))*3,1),0)))</f>
        <v/>
      </c>
      <c r="Q88" s="94" t="str">
        <f aca="false">IF($C88="","",SUMIFS(Project_Activity!$P$2:$P$5000,Project_Activity!$C$2:$C$5000,$C88,Project_Activity!$U$2:$U$5000,"Project Inclusive",Project_Activity!$H$2:$H$5000,"&gt;="&amp;DATE(VALUE(LEFT($B88,4)),1,1),Project_Activity!$H$2:$H$5000,"&lt;="&amp;EOMONTH(DATE(VALUE(LEFT($B88,4)),VALUE(RIGHT($B88,1))*3,1),0)))</f>
        <v/>
      </c>
      <c r="R88" s="94" t="str">
        <f aca="false">IF($C88="","",SUMIFS(Project_Activity!$P$2:$P$5000,Project_Activity!$C$2:$C$5000,$C88,Project_Activity!$U$2:$U$5000,"Non-Recoverable",Project_Activity!$H$2:$H$5000,"&gt;="&amp;DATE(VALUE(LEFT($B88,4)),1,1),Project_Activity!$H$2:$H$5000,"&lt;="&amp;EOMONTH(DATE(VALUE(LEFT($B88,4)),VALUE(RIGHT($B88,1))*3,1),0)))</f>
        <v/>
      </c>
      <c r="S88" s="94" t="str">
        <f aca="false">IF($C88="","",$O88-$P88-$Q88-$R88)</f>
        <v/>
      </c>
      <c r="T88" s="94" t="str">
        <f aca="false">IF($C88="","",SUMIFS(Project_Activity!$P$2:$P$5000,Project_Activity!$C$2:$C$5000,$C88,Project_Activity!$U$2:$U$5000,"Recoverable",Project_Activity!$H$2:$H$5000,"&gt;="&amp;DATE(VALUE(LEFT($B88,4)),1,1),Project_Activity!$H$2:$H$5000,"&lt;="&amp;EOMONTH(DATE(VALUE(LEFT($B88,4)),VALUE(RIGHT($B88,1))*3,1),0)))</f>
        <v/>
      </c>
      <c r="U88" s="94" t="str">
        <f aca="false">IF($C88="","",-SUMIFS(Project_Activity!$P$2:$P$5000,Project_Activity!$C$2:$C$5000,$C88,Project_Activity!$U$2:$U$5000,"Recovered Expenses",Project_Activity!$H$2:$H$5000,"&gt;="&amp;DATE(VALUE(LEFT($B88,4)),1,1),Project_Activity!$H$2:$H$5000,"&lt;="&amp;EOMONTH(DATE(VALUE(LEFT($B88,4)),VALUE(RIGHT($B88,1))*3,1),0)))</f>
        <v/>
      </c>
      <c r="V88" s="145"/>
      <c r="W88" s="94" t="str">
        <f aca="false">IF($C88="","",$V88*$N88)</f>
        <v/>
      </c>
      <c r="X88" s="145"/>
      <c r="Y88" s="94" t="str">
        <f aca="false">IF($C88="","",$X88*$N88)</f>
        <v/>
      </c>
      <c r="Z88" s="145"/>
      <c r="AA88" s="94" t="str">
        <f aca="false">IF($C88="","",$Z88*$N88)</f>
        <v/>
      </c>
      <c r="AB88" s="145"/>
      <c r="AC88" s="94" t="str">
        <f aca="false">IF($C88="","",$AB88*$N88)</f>
        <v/>
      </c>
      <c r="AD88" s="94" t="str">
        <f aca="false">IF($C88="","",SUMPRODUCT((VALUE(MID($B88,7,1))&gt;={1,2,3,4})*CHOOSE({1,2,3,4},$W88,$Y88,$AA88,$AC88)))</f>
        <v/>
      </c>
      <c r="AE88" s="94" t="str">
        <f aca="false">IF($C88="","",$W88+$Y88+$AA88+$AC88-$AD88)</f>
        <v/>
      </c>
      <c r="AF88" s="146"/>
      <c r="AG88" s="146"/>
      <c r="AH88" s="146"/>
      <c r="AI88" s="147" t="str">
        <f aca="false">IF($C88="","",IF(OR($L88="Pipeline",$N88&lt;0,$O88&gt;$N88+1,($V88+$X88+$Z88+$AB88)&gt;1.0001,ISNUMBER(SEARCH("not signed",$AF88))),"REVIEW","OK"))</f>
        <v/>
      </c>
    </row>
    <row r="89" customFormat="false" ht="13.5" hidden="false" customHeight="false" outlineLevel="0" collapsed="false">
      <c r="A89" s="95" t="str">
        <f aca="false">IF($C89="","",Controls!$B$7)</f>
        <v/>
      </c>
      <c r="B89" s="95" t="str">
        <f aca="false">IF($C89="","",Controls!$B$30)</f>
        <v/>
      </c>
      <c r="C89" s="95" t="str">
        <f aca="false">IF(MM_Income!$A92="","",MM_Income!$A92)</f>
        <v/>
      </c>
      <c r="D89" s="95" t="str">
        <f aca="false">IF($C89="","",INDEX(MM_Income!$B$5:$B$204,MATCH($C89,MM_Income!$A$5:$A$204,0)))</f>
        <v/>
      </c>
      <c r="E89" s="95" t="str">
        <f aca="false">IF($C89="","",INDEX(MM_Income!$C$5:$C$204,MATCH($C89,MM_Income!$A$5:$A$204,0)))</f>
        <v/>
      </c>
      <c r="F89" s="95" t="str">
        <f aca="false">IF($C89="","",INDEX(MM_Income!$F$5:$F$204,MATCH($C89,MM_Income!$A$5:$A$204,0)))</f>
        <v/>
      </c>
      <c r="G89" s="95" t="str">
        <f aca="false">IF($C89="","",INDEX(MM_Income!$G$5:$G$204,MATCH($C89,MM_Income!$A$5:$A$204,0)))</f>
        <v/>
      </c>
      <c r="H89" s="95" t="str">
        <f aca="false">IF($C89="","",INDEX(MM_Income!$H$5:$H$204,MATCH($C89,MM_Income!$A$5:$A$204,0)))</f>
        <v/>
      </c>
      <c r="I89" s="95" t="str">
        <f aca="false">IF($C89="","",INDEX(MM_Income!$I$5:$I$204,MATCH($C89,MM_Income!$A$5:$A$204,0)))</f>
        <v/>
      </c>
      <c r="J89" s="95" t="str">
        <f aca="false">IF($C89="","",INDEX(MM_Income!$D$5:$D$204,MATCH($C89,MM_Income!$A$5:$A$204,0)))</f>
        <v/>
      </c>
      <c r="K89" s="95" t="str">
        <f aca="false">IF($C89="","",INDEX(MM_Income!$E$5:$E$204,MATCH($C89,MM_Income!$A$5:$A$204,0)))</f>
        <v/>
      </c>
      <c r="L89" s="95" t="str">
        <f aca="false">IF($C89="","",INDEX(MM_Income!$U$5:$U$204,MATCH($C89,MM_Income!$A$5:$A$204,0)))</f>
        <v/>
      </c>
      <c r="M89" s="143" t="str">
        <f aca="false">IF($C89="","",INDEX(MM_Income!$V$5:$V$204,MATCH($C89,MM_Income!$A$5:$A$204,0)))</f>
        <v/>
      </c>
      <c r="N89" s="144" t="str">
        <f aca="false">IF($C89="","",INDEX(MM_Income!$T$5:$T$204,MATCH($C89,MM_Income!$A$5:$A$204,0)))</f>
        <v/>
      </c>
      <c r="O89" s="94" t="str">
        <f aca="false">IF($C89="","",-SUMIFS(Project_Activity!$P$2:$P$5000,Project_Activity!$C$2:$C$5000,$C89,Project_Activity!$U$2:$U$5000,"Invoiced Income",Project_Activity!$H$2:$H$5000,"&gt;="&amp;DATE(VALUE(LEFT($B89,4)),1,1),Project_Activity!$H$2:$H$5000,"&lt;="&amp;EOMONTH(DATE(VALUE(LEFT($B89,4)),VALUE(RIGHT($B89,1))*3,1),0)))</f>
        <v/>
      </c>
      <c r="P89" s="94" t="str">
        <f aca="false">IF($C89="","",SUMIFS(Project_Activity!$P$2:$P$5000,Project_Activity!$C$2:$C$5000,$C89,Project_Activity!$U$2:$U$5000,"Subcontractor",Project_Activity!$H$2:$H$5000,"&gt;="&amp;DATE(VALUE(LEFT($B89,4)),1,1),Project_Activity!$H$2:$H$5000,"&lt;="&amp;EOMONTH(DATE(VALUE(LEFT($B89,4)),VALUE(RIGHT($B89,1))*3,1),0)))</f>
        <v/>
      </c>
      <c r="Q89" s="94" t="str">
        <f aca="false">IF($C89="","",SUMIFS(Project_Activity!$P$2:$P$5000,Project_Activity!$C$2:$C$5000,$C89,Project_Activity!$U$2:$U$5000,"Project Inclusive",Project_Activity!$H$2:$H$5000,"&gt;="&amp;DATE(VALUE(LEFT($B89,4)),1,1),Project_Activity!$H$2:$H$5000,"&lt;="&amp;EOMONTH(DATE(VALUE(LEFT($B89,4)),VALUE(RIGHT($B89,1))*3,1),0)))</f>
        <v/>
      </c>
      <c r="R89" s="94" t="str">
        <f aca="false">IF($C89="","",SUMIFS(Project_Activity!$P$2:$P$5000,Project_Activity!$C$2:$C$5000,$C89,Project_Activity!$U$2:$U$5000,"Non-Recoverable",Project_Activity!$H$2:$H$5000,"&gt;="&amp;DATE(VALUE(LEFT($B89,4)),1,1),Project_Activity!$H$2:$H$5000,"&lt;="&amp;EOMONTH(DATE(VALUE(LEFT($B89,4)),VALUE(RIGHT($B89,1))*3,1),0)))</f>
        <v/>
      </c>
      <c r="S89" s="94" t="str">
        <f aca="false">IF($C89="","",$O89-$P89-$Q89-$R89)</f>
        <v/>
      </c>
      <c r="T89" s="94" t="str">
        <f aca="false">IF($C89="","",SUMIFS(Project_Activity!$P$2:$P$5000,Project_Activity!$C$2:$C$5000,$C89,Project_Activity!$U$2:$U$5000,"Recoverable",Project_Activity!$H$2:$H$5000,"&gt;="&amp;DATE(VALUE(LEFT($B89,4)),1,1),Project_Activity!$H$2:$H$5000,"&lt;="&amp;EOMONTH(DATE(VALUE(LEFT($B89,4)),VALUE(RIGHT($B89,1))*3,1),0)))</f>
        <v/>
      </c>
      <c r="U89" s="94" t="str">
        <f aca="false">IF($C89="","",-SUMIFS(Project_Activity!$P$2:$P$5000,Project_Activity!$C$2:$C$5000,$C89,Project_Activity!$U$2:$U$5000,"Recovered Expenses",Project_Activity!$H$2:$H$5000,"&gt;="&amp;DATE(VALUE(LEFT($B89,4)),1,1),Project_Activity!$H$2:$H$5000,"&lt;="&amp;EOMONTH(DATE(VALUE(LEFT($B89,4)),VALUE(RIGHT($B89,1))*3,1),0)))</f>
        <v/>
      </c>
      <c r="V89" s="145"/>
      <c r="W89" s="94" t="str">
        <f aca="false">IF($C89="","",$V89*$N89)</f>
        <v/>
      </c>
      <c r="X89" s="145"/>
      <c r="Y89" s="94" t="str">
        <f aca="false">IF($C89="","",$X89*$N89)</f>
        <v/>
      </c>
      <c r="Z89" s="145"/>
      <c r="AA89" s="94" t="str">
        <f aca="false">IF($C89="","",$Z89*$N89)</f>
        <v/>
      </c>
      <c r="AB89" s="145"/>
      <c r="AC89" s="94" t="str">
        <f aca="false">IF($C89="","",$AB89*$N89)</f>
        <v/>
      </c>
      <c r="AD89" s="94" t="str">
        <f aca="false">IF($C89="","",SUMPRODUCT((VALUE(MID($B89,7,1))&gt;={1,2,3,4})*CHOOSE({1,2,3,4},$W89,$Y89,$AA89,$AC89)))</f>
        <v/>
      </c>
      <c r="AE89" s="94" t="str">
        <f aca="false">IF($C89="","",$W89+$Y89+$AA89+$AC89-$AD89)</f>
        <v/>
      </c>
      <c r="AF89" s="146"/>
      <c r="AG89" s="146"/>
      <c r="AH89" s="146"/>
      <c r="AI89" s="147" t="str">
        <f aca="false">IF($C89="","",IF(OR($L89="Pipeline",$N89&lt;0,$O89&gt;$N89+1,($V89+$X89+$Z89+$AB89)&gt;1.0001,ISNUMBER(SEARCH("not signed",$AF89))),"REVIEW","OK"))</f>
        <v/>
      </c>
    </row>
    <row r="90" customFormat="false" ht="13.5" hidden="false" customHeight="false" outlineLevel="0" collapsed="false">
      <c r="A90" s="95" t="str">
        <f aca="false">IF($C90="","",Controls!$B$7)</f>
        <v/>
      </c>
      <c r="B90" s="95" t="str">
        <f aca="false">IF($C90="","",Controls!$B$30)</f>
        <v/>
      </c>
      <c r="C90" s="95" t="str">
        <f aca="false">IF(MM_Income!$A93="","",MM_Income!$A93)</f>
        <v/>
      </c>
      <c r="D90" s="95" t="str">
        <f aca="false">IF($C90="","",INDEX(MM_Income!$B$5:$B$204,MATCH($C90,MM_Income!$A$5:$A$204,0)))</f>
        <v/>
      </c>
      <c r="E90" s="95" t="str">
        <f aca="false">IF($C90="","",INDEX(MM_Income!$C$5:$C$204,MATCH($C90,MM_Income!$A$5:$A$204,0)))</f>
        <v/>
      </c>
      <c r="F90" s="95" t="str">
        <f aca="false">IF($C90="","",INDEX(MM_Income!$F$5:$F$204,MATCH($C90,MM_Income!$A$5:$A$204,0)))</f>
        <v/>
      </c>
      <c r="G90" s="95" t="str">
        <f aca="false">IF($C90="","",INDEX(MM_Income!$G$5:$G$204,MATCH($C90,MM_Income!$A$5:$A$204,0)))</f>
        <v/>
      </c>
      <c r="H90" s="95" t="str">
        <f aca="false">IF($C90="","",INDEX(MM_Income!$H$5:$H$204,MATCH($C90,MM_Income!$A$5:$A$204,0)))</f>
        <v/>
      </c>
      <c r="I90" s="95" t="str">
        <f aca="false">IF($C90="","",INDEX(MM_Income!$I$5:$I$204,MATCH($C90,MM_Income!$A$5:$A$204,0)))</f>
        <v/>
      </c>
      <c r="J90" s="95" t="str">
        <f aca="false">IF($C90="","",INDEX(MM_Income!$D$5:$D$204,MATCH($C90,MM_Income!$A$5:$A$204,0)))</f>
        <v/>
      </c>
      <c r="K90" s="95" t="str">
        <f aca="false">IF($C90="","",INDEX(MM_Income!$E$5:$E$204,MATCH($C90,MM_Income!$A$5:$A$204,0)))</f>
        <v/>
      </c>
      <c r="L90" s="95" t="str">
        <f aca="false">IF($C90="","",INDEX(MM_Income!$U$5:$U$204,MATCH($C90,MM_Income!$A$5:$A$204,0)))</f>
        <v/>
      </c>
      <c r="M90" s="143" t="str">
        <f aca="false">IF($C90="","",INDEX(MM_Income!$V$5:$V$204,MATCH($C90,MM_Income!$A$5:$A$204,0)))</f>
        <v/>
      </c>
      <c r="N90" s="144" t="str">
        <f aca="false">IF($C90="","",INDEX(MM_Income!$T$5:$T$204,MATCH($C90,MM_Income!$A$5:$A$204,0)))</f>
        <v/>
      </c>
      <c r="O90" s="94" t="str">
        <f aca="false">IF($C90="","",-SUMIFS(Project_Activity!$P$2:$P$5000,Project_Activity!$C$2:$C$5000,$C90,Project_Activity!$U$2:$U$5000,"Invoiced Income",Project_Activity!$H$2:$H$5000,"&gt;="&amp;DATE(VALUE(LEFT($B90,4)),1,1),Project_Activity!$H$2:$H$5000,"&lt;="&amp;EOMONTH(DATE(VALUE(LEFT($B90,4)),VALUE(RIGHT($B90,1))*3,1),0)))</f>
        <v/>
      </c>
      <c r="P90" s="94" t="str">
        <f aca="false">IF($C90="","",SUMIFS(Project_Activity!$P$2:$P$5000,Project_Activity!$C$2:$C$5000,$C90,Project_Activity!$U$2:$U$5000,"Subcontractor",Project_Activity!$H$2:$H$5000,"&gt;="&amp;DATE(VALUE(LEFT($B90,4)),1,1),Project_Activity!$H$2:$H$5000,"&lt;="&amp;EOMONTH(DATE(VALUE(LEFT($B90,4)),VALUE(RIGHT($B90,1))*3,1),0)))</f>
        <v/>
      </c>
      <c r="Q90" s="94" t="str">
        <f aca="false">IF($C90="","",SUMIFS(Project_Activity!$P$2:$P$5000,Project_Activity!$C$2:$C$5000,$C90,Project_Activity!$U$2:$U$5000,"Project Inclusive",Project_Activity!$H$2:$H$5000,"&gt;="&amp;DATE(VALUE(LEFT($B90,4)),1,1),Project_Activity!$H$2:$H$5000,"&lt;="&amp;EOMONTH(DATE(VALUE(LEFT($B90,4)),VALUE(RIGHT($B90,1))*3,1),0)))</f>
        <v/>
      </c>
      <c r="R90" s="94" t="str">
        <f aca="false">IF($C90="","",SUMIFS(Project_Activity!$P$2:$P$5000,Project_Activity!$C$2:$C$5000,$C90,Project_Activity!$U$2:$U$5000,"Non-Recoverable",Project_Activity!$H$2:$H$5000,"&gt;="&amp;DATE(VALUE(LEFT($B90,4)),1,1),Project_Activity!$H$2:$H$5000,"&lt;="&amp;EOMONTH(DATE(VALUE(LEFT($B90,4)),VALUE(RIGHT($B90,1))*3,1),0)))</f>
        <v/>
      </c>
      <c r="S90" s="94" t="str">
        <f aca="false">IF($C90="","",$O90-$P90-$Q90-$R90)</f>
        <v/>
      </c>
      <c r="T90" s="94" t="str">
        <f aca="false">IF($C90="","",SUMIFS(Project_Activity!$P$2:$P$5000,Project_Activity!$C$2:$C$5000,$C90,Project_Activity!$U$2:$U$5000,"Recoverable",Project_Activity!$H$2:$H$5000,"&gt;="&amp;DATE(VALUE(LEFT($B90,4)),1,1),Project_Activity!$H$2:$H$5000,"&lt;="&amp;EOMONTH(DATE(VALUE(LEFT($B90,4)),VALUE(RIGHT($B90,1))*3,1),0)))</f>
        <v/>
      </c>
      <c r="U90" s="94" t="str">
        <f aca="false">IF($C90="","",-SUMIFS(Project_Activity!$P$2:$P$5000,Project_Activity!$C$2:$C$5000,$C90,Project_Activity!$U$2:$U$5000,"Recovered Expenses",Project_Activity!$H$2:$H$5000,"&gt;="&amp;DATE(VALUE(LEFT($B90,4)),1,1),Project_Activity!$H$2:$H$5000,"&lt;="&amp;EOMONTH(DATE(VALUE(LEFT($B90,4)),VALUE(RIGHT($B90,1))*3,1),0)))</f>
        <v/>
      </c>
      <c r="V90" s="145"/>
      <c r="W90" s="94" t="str">
        <f aca="false">IF($C90="","",$V90*$N90)</f>
        <v/>
      </c>
      <c r="X90" s="145"/>
      <c r="Y90" s="94" t="str">
        <f aca="false">IF($C90="","",$X90*$N90)</f>
        <v/>
      </c>
      <c r="Z90" s="145"/>
      <c r="AA90" s="94" t="str">
        <f aca="false">IF($C90="","",$Z90*$N90)</f>
        <v/>
      </c>
      <c r="AB90" s="145"/>
      <c r="AC90" s="94" t="str">
        <f aca="false">IF($C90="","",$AB90*$N90)</f>
        <v/>
      </c>
      <c r="AD90" s="94" t="str">
        <f aca="false">IF($C90="","",SUMPRODUCT((VALUE(MID($B90,7,1))&gt;={1,2,3,4})*CHOOSE({1,2,3,4},$W90,$Y90,$AA90,$AC90)))</f>
        <v/>
      </c>
      <c r="AE90" s="94" t="str">
        <f aca="false">IF($C90="","",$W90+$Y90+$AA90+$AC90-$AD90)</f>
        <v/>
      </c>
      <c r="AF90" s="146"/>
      <c r="AG90" s="146"/>
      <c r="AH90" s="146"/>
      <c r="AI90" s="147" t="str">
        <f aca="false">IF($C90="","",IF(OR($L90="Pipeline",$N90&lt;0,$O90&gt;$N90+1,($V90+$X90+$Z90+$AB90)&gt;1.0001,ISNUMBER(SEARCH("not signed",$AF90))),"REVIEW","OK"))</f>
        <v/>
      </c>
    </row>
    <row r="91" customFormat="false" ht="13.5" hidden="false" customHeight="false" outlineLevel="0" collapsed="false">
      <c r="A91" s="95" t="str">
        <f aca="false">IF($C91="","",Controls!$B$7)</f>
        <v/>
      </c>
      <c r="B91" s="95" t="str">
        <f aca="false">IF($C91="","",Controls!$B$30)</f>
        <v/>
      </c>
      <c r="C91" s="95" t="str">
        <f aca="false">IF(MM_Income!$A94="","",MM_Income!$A94)</f>
        <v/>
      </c>
      <c r="D91" s="95" t="str">
        <f aca="false">IF($C91="","",INDEX(MM_Income!$B$5:$B$204,MATCH($C91,MM_Income!$A$5:$A$204,0)))</f>
        <v/>
      </c>
      <c r="E91" s="95" t="str">
        <f aca="false">IF($C91="","",INDEX(MM_Income!$C$5:$C$204,MATCH($C91,MM_Income!$A$5:$A$204,0)))</f>
        <v/>
      </c>
      <c r="F91" s="95" t="str">
        <f aca="false">IF($C91="","",INDEX(MM_Income!$F$5:$F$204,MATCH($C91,MM_Income!$A$5:$A$204,0)))</f>
        <v/>
      </c>
      <c r="G91" s="95" t="str">
        <f aca="false">IF($C91="","",INDEX(MM_Income!$G$5:$G$204,MATCH($C91,MM_Income!$A$5:$A$204,0)))</f>
        <v/>
      </c>
      <c r="H91" s="95" t="str">
        <f aca="false">IF($C91="","",INDEX(MM_Income!$H$5:$H$204,MATCH($C91,MM_Income!$A$5:$A$204,0)))</f>
        <v/>
      </c>
      <c r="I91" s="95" t="str">
        <f aca="false">IF($C91="","",INDEX(MM_Income!$I$5:$I$204,MATCH($C91,MM_Income!$A$5:$A$204,0)))</f>
        <v/>
      </c>
      <c r="J91" s="95" t="str">
        <f aca="false">IF($C91="","",INDEX(MM_Income!$D$5:$D$204,MATCH($C91,MM_Income!$A$5:$A$204,0)))</f>
        <v/>
      </c>
      <c r="K91" s="95" t="str">
        <f aca="false">IF($C91="","",INDEX(MM_Income!$E$5:$E$204,MATCH($C91,MM_Income!$A$5:$A$204,0)))</f>
        <v/>
      </c>
      <c r="L91" s="95" t="str">
        <f aca="false">IF($C91="","",INDEX(MM_Income!$U$5:$U$204,MATCH($C91,MM_Income!$A$5:$A$204,0)))</f>
        <v/>
      </c>
      <c r="M91" s="143" t="str">
        <f aca="false">IF($C91="","",INDEX(MM_Income!$V$5:$V$204,MATCH($C91,MM_Income!$A$5:$A$204,0)))</f>
        <v/>
      </c>
      <c r="N91" s="144" t="str">
        <f aca="false">IF($C91="","",INDEX(MM_Income!$T$5:$T$204,MATCH($C91,MM_Income!$A$5:$A$204,0)))</f>
        <v/>
      </c>
      <c r="O91" s="94" t="str">
        <f aca="false">IF($C91="","",-SUMIFS(Project_Activity!$P$2:$P$5000,Project_Activity!$C$2:$C$5000,$C91,Project_Activity!$U$2:$U$5000,"Invoiced Income",Project_Activity!$H$2:$H$5000,"&gt;="&amp;DATE(VALUE(LEFT($B91,4)),1,1),Project_Activity!$H$2:$H$5000,"&lt;="&amp;EOMONTH(DATE(VALUE(LEFT($B91,4)),VALUE(RIGHT($B91,1))*3,1),0)))</f>
        <v/>
      </c>
      <c r="P91" s="94" t="str">
        <f aca="false">IF($C91="","",SUMIFS(Project_Activity!$P$2:$P$5000,Project_Activity!$C$2:$C$5000,$C91,Project_Activity!$U$2:$U$5000,"Subcontractor",Project_Activity!$H$2:$H$5000,"&gt;="&amp;DATE(VALUE(LEFT($B91,4)),1,1),Project_Activity!$H$2:$H$5000,"&lt;="&amp;EOMONTH(DATE(VALUE(LEFT($B91,4)),VALUE(RIGHT($B91,1))*3,1),0)))</f>
        <v/>
      </c>
      <c r="Q91" s="94" t="str">
        <f aca="false">IF($C91="","",SUMIFS(Project_Activity!$P$2:$P$5000,Project_Activity!$C$2:$C$5000,$C91,Project_Activity!$U$2:$U$5000,"Project Inclusive",Project_Activity!$H$2:$H$5000,"&gt;="&amp;DATE(VALUE(LEFT($B91,4)),1,1),Project_Activity!$H$2:$H$5000,"&lt;="&amp;EOMONTH(DATE(VALUE(LEFT($B91,4)),VALUE(RIGHT($B91,1))*3,1),0)))</f>
        <v/>
      </c>
      <c r="R91" s="94" t="str">
        <f aca="false">IF($C91="","",SUMIFS(Project_Activity!$P$2:$P$5000,Project_Activity!$C$2:$C$5000,$C91,Project_Activity!$U$2:$U$5000,"Non-Recoverable",Project_Activity!$H$2:$H$5000,"&gt;="&amp;DATE(VALUE(LEFT($B91,4)),1,1),Project_Activity!$H$2:$H$5000,"&lt;="&amp;EOMONTH(DATE(VALUE(LEFT($B91,4)),VALUE(RIGHT($B91,1))*3,1),0)))</f>
        <v/>
      </c>
      <c r="S91" s="94" t="str">
        <f aca="false">IF($C91="","",$O91-$P91-$Q91-$R91)</f>
        <v/>
      </c>
      <c r="T91" s="94" t="str">
        <f aca="false">IF($C91="","",SUMIFS(Project_Activity!$P$2:$P$5000,Project_Activity!$C$2:$C$5000,$C91,Project_Activity!$U$2:$U$5000,"Recoverable",Project_Activity!$H$2:$H$5000,"&gt;="&amp;DATE(VALUE(LEFT($B91,4)),1,1),Project_Activity!$H$2:$H$5000,"&lt;="&amp;EOMONTH(DATE(VALUE(LEFT($B91,4)),VALUE(RIGHT($B91,1))*3,1),0)))</f>
        <v/>
      </c>
      <c r="U91" s="94" t="str">
        <f aca="false">IF($C91="","",-SUMIFS(Project_Activity!$P$2:$P$5000,Project_Activity!$C$2:$C$5000,$C91,Project_Activity!$U$2:$U$5000,"Recovered Expenses",Project_Activity!$H$2:$H$5000,"&gt;="&amp;DATE(VALUE(LEFT($B91,4)),1,1),Project_Activity!$H$2:$H$5000,"&lt;="&amp;EOMONTH(DATE(VALUE(LEFT($B91,4)),VALUE(RIGHT($B91,1))*3,1),0)))</f>
        <v/>
      </c>
      <c r="V91" s="145"/>
      <c r="W91" s="94" t="str">
        <f aca="false">IF($C91="","",$V91*$N91)</f>
        <v/>
      </c>
      <c r="X91" s="145"/>
      <c r="Y91" s="94" t="str">
        <f aca="false">IF($C91="","",$X91*$N91)</f>
        <v/>
      </c>
      <c r="Z91" s="145"/>
      <c r="AA91" s="94" t="str">
        <f aca="false">IF($C91="","",$Z91*$N91)</f>
        <v/>
      </c>
      <c r="AB91" s="145"/>
      <c r="AC91" s="94" t="str">
        <f aca="false">IF($C91="","",$AB91*$N91)</f>
        <v/>
      </c>
      <c r="AD91" s="94" t="str">
        <f aca="false">IF($C91="","",SUMPRODUCT((VALUE(MID($B91,7,1))&gt;={1,2,3,4})*CHOOSE({1,2,3,4},$W91,$Y91,$AA91,$AC91)))</f>
        <v/>
      </c>
      <c r="AE91" s="94" t="str">
        <f aca="false">IF($C91="","",$W91+$Y91+$AA91+$AC91-$AD91)</f>
        <v/>
      </c>
      <c r="AF91" s="146"/>
      <c r="AG91" s="146"/>
      <c r="AH91" s="146"/>
      <c r="AI91" s="147" t="str">
        <f aca="false">IF($C91="","",IF(OR($L91="Pipeline",$N91&lt;0,$O91&gt;$N91+1,($V91+$X91+$Z91+$AB91)&gt;1.0001,ISNUMBER(SEARCH("not signed",$AF91))),"REVIEW","OK"))</f>
        <v/>
      </c>
    </row>
    <row r="92" customFormat="false" ht="13.5" hidden="false" customHeight="false" outlineLevel="0" collapsed="false">
      <c r="A92" s="95" t="str">
        <f aca="false">IF($C92="","",Controls!$B$7)</f>
        <v/>
      </c>
      <c r="B92" s="95" t="str">
        <f aca="false">IF($C92="","",Controls!$B$30)</f>
        <v/>
      </c>
      <c r="C92" s="95" t="str">
        <f aca="false">IF(MM_Income!$A95="","",MM_Income!$A95)</f>
        <v/>
      </c>
      <c r="D92" s="95" t="str">
        <f aca="false">IF($C92="","",INDEX(MM_Income!$B$5:$B$204,MATCH($C92,MM_Income!$A$5:$A$204,0)))</f>
        <v/>
      </c>
      <c r="E92" s="95" t="str">
        <f aca="false">IF($C92="","",INDEX(MM_Income!$C$5:$C$204,MATCH($C92,MM_Income!$A$5:$A$204,0)))</f>
        <v/>
      </c>
      <c r="F92" s="95" t="str">
        <f aca="false">IF($C92="","",INDEX(MM_Income!$F$5:$F$204,MATCH($C92,MM_Income!$A$5:$A$204,0)))</f>
        <v/>
      </c>
      <c r="G92" s="95" t="str">
        <f aca="false">IF($C92="","",INDEX(MM_Income!$G$5:$G$204,MATCH($C92,MM_Income!$A$5:$A$204,0)))</f>
        <v/>
      </c>
      <c r="H92" s="95" t="str">
        <f aca="false">IF($C92="","",INDEX(MM_Income!$H$5:$H$204,MATCH($C92,MM_Income!$A$5:$A$204,0)))</f>
        <v/>
      </c>
      <c r="I92" s="95" t="str">
        <f aca="false">IF($C92="","",INDEX(MM_Income!$I$5:$I$204,MATCH($C92,MM_Income!$A$5:$A$204,0)))</f>
        <v/>
      </c>
      <c r="J92" s="95" t="str">
        <f aca="false">IF($C92="","",INDEX(MM_Income!$D$5:$D$204,MATCH($C92,MM_Income!$A$5:$A$204,0)))</f>
        <v/>
      </c>
      <c r="K92" s="95" t="str">
        <f aca="false">IF($C92="","",INDEX(MM_Income!$E$5:$E$204,MATCH($C92,MM_Income!$A$5:$A$204,0)))</f>
        <v/>
      </c>
      <c r="L92" s="95" t="str">
        <f aca="false">IF($C92="","",INDEX(MM_Income!$U$5:$U$204,MATCH($C92,MM_Income!$A$5:$A$204,0)))</f>
        <v/>
      </c>
      <c r="M92" s="143" t="str">
        <f aca="false">IF($C92="","",INDEX(MM_Income!$V$5:$V$204,MATCH($C92,MM_Income!$A$5:$A$204,0)))</f>
        <v/>
      </c>
      <c r="N92" s="144" t="str">
        <f aca="false">IF($C92="","",INDEX(MM_Income!$T$5:$T$204,MATCH($C92,MM_Income!$A$5:$A$204,0)))</f>
        <v/>
      </c>
      <c r="O92" s="94" t="str">
        <f aca="false">IF($C92="","",-SUMIFS(Project_Activity!$P$2:$P$5000,Project_Activity!$C$2:$C$5000,$C92,Project_Activity!$U$2:$U$5000,"Invoiced Income",Project_Activity!$H$2:$H$5000,"&gt;="&amp;DATE(VALUE(LEFT($B92,4)),1,1),Project_Activity!$H$2:$H$5000,"&lt;="&amp;EOMONTH(DATE(VALUE(LEFT($B92,4)),VALUE(RIGHT($B92,1))*3,1),0)))</f>
        <v/>
      </c>
      <c r="P92" s="94" t="str">
        <f aca="false">IF($C92="","",SUMIFS(Project_Activity!$P$2:$P$5000,Project_Activity!$C$2:$C$5000,$C92,Project_Activity!$U$2:$U$5000,"Subcontractor",Project_Activity!$H$2:$H$5000,"&gt;="&amp;DATE(VALUE(LEFT($B92,4)),1,1),Project_Activity!$H$2:$H$5000,"&lt;="&amp;EOMONTH(DATE(VALUE(LEFT($B92,4)),VALUE(RIGHT($B92,1))*3,1),0)))</f>
        <v/>
      </c>
      <c r="Q92" s="94" t="str">
        <f aca="false">IF($C92="","",SUMIFS(Project_Activity!$P$2:$P$5000,Project_Activity!$C$2:$C$5000,$C92,Project_Activity!$U$2:$U$5000,"Project Inclusive",Project_Activity!$H$2:$H$5000,"&gt;="&amp;DATE(VALUE(LEFT($B92,4)),1,1),Project_Activity!$H$2:$H$5000,"&lt;="&amp;EOMONTH(DATE(VALUE(LEFT($B92,4)),VALUE(RIGHT($B92,1))*3,1),0)))</f>
        <v/>
      </c>
      <c r="R92" s="94" t="str">
        <f aca="false">IF($C92="","",SUMIFS(Project_Activity!$P$2:$P$5000,Project_Activity!$C$2:$C$5000,$C92,Project_Activity!$U$2:$U$5000,"Non-Recoverable",Project_Activity!$H$2:$H$5000,"&gt;="&amp;DATE(VALUE(LEFT($B92,4)),1,1),Project_Activity!$H$2:$H$5000,"&lt;="&amp;EOMONTH(DATE(VALUE(LEFT($B92,4)),VALUE(RIGHT($B92,1))*3,1),0)))</f>
        <v/>
      </c>
      <c r="S92" s="94" t="str">
        <f aca="false">IF($C92="","",$O92-$P92-$Q92-$R92)</f>
        <v/>
      </c>
      <c r="T92" s="94" t="str">
        <f aca="false">IF($C92="","",SUMIFS(Project_Activity!$P$2:$P$5000,Project_Activity!$C$2:$C$5000,$C92,Project_Activity!$U$2:$U$5000,"Recoverable",Project_Activity!$H$2:$H$5000,"&gt;="&amp;DATE(VALUE(LEFT($B92,4)),1,1),Project_Activity!$H$2:$H$5000,"&lt;="&amp;EOMONTH(DATE(VALUE(LEFT($B92,4)),VALUE(RIGHT($B92,1))*3,1),0)))</f>
        <v/>
      </c>
      <c r="U92" s="94" t="str">
        <f aca="false">IF($C92="","",-SUMIFS(Project_Activity!$P$2:$P$5000,Project_Activity!$C$2:$C$5000,$C92,Project_Activity!$U$2:$U$5000,"Recovered Expenses",Project_Activity!$H$2:$H$5000,"&gt;="&amp;DATE(VALUE(LEFT($B92,4)),1,1),Project_Activity!$H$2:$H$5000,"&lt;="&amp;EOMONTH(DATE(VALUE(LEFT($B92,4)),VALUE(RIGHT($B92,1))*3,1),0)))</f>
        <v/>
      </c>
      <c r="V92" s="145"/>
      <c r="W92" s="94" t="str">
        <f aca="false">IF($C92="","",$V92*$N92)</f>
        <v/>
      </c>
      <c r="X92" s="145"/>
      <c r="Y92" s="94" t="str">
        <f aca="false">IF($C92="","",$X92*$N92)</f>
        <v/>
      </c>
      <c r="Z92" s="145"/>
      <c r="AA92" s="94" t="str">
        <f aca="false">IF($C92="","",$Z92*$N92)</f>
        <v/>
      </c>
      <c r="AB92" s="145"/>
      <c r="AC92" s="94" t="str">
        <f aca="false">IF($C92="","",$AB92*$N92)</f>
        <v/>
      </c>
      <c r="AD92" s="94" t="str">
        <f aca="false">IF($C92="","",SUMPRODUCT((VALUE(MID($B92,7,1))&gt;={1,2,3,4})*CHOOSE({1,2,3,4},$W92,$Y92,$AA92,$AC92)))</f>
        <v/>
      </c>
      <c r="AE92" s="94" t="str">
        <f aca="false">IF($C92="","",$W92+$Y92+$AA92+$AC92-$AD92)</f>
        <v/>
      </c>
      <c r="AF92" s="146"/>
      <c r="AG92" s="146"/>
      <c r="AH92" s="146"/>
      <c r="AI92" s="147" t="str">
        <f aca="false">IF($C92="","",IF(OR($L92="Pipeline",$N92&lt;0,$O92&gt;$N92+1,($V92+$X92+$Z92+$AB92)&gt;1.0001,ISNUMBER(SEARCH("not signed",$AF92))),"REVIEW","OK"))</f>
        <v/>
      </c>
    </row>
    <row r="93" customFormat="false" ht="13.5" hidden="false" customHeight="false" outlineLevel="0" collapsed="false">
      <c r="A93" s="95" t="str">
        <f aca="false">IF($C93="","",Controls!$B$7)</f>
        <v/>
      </c>
      <c r="B93" s="95" t="str">
        <f aca="false">IF($C93="","",Controls!$B$30)</f>
        <v/>
      </c>
      <c r="C93" s="95" t="str">
        <f aca="false">IF(MM_Income!$A96="","",MM_Income!$A96)</f>
        <v/>
      </c>
      <c r="D93" s="95" t="str">
        <f aca="false">IF($C93="","",INDEX(MM_Income!$B$5:$B$204,MATCH($C93,MM_Income!$A$5:$A$204,0)))</f>
        <v/>
      </c>
      <c r="E93" s="95" t="str">
        <f aca="false">IF($C93="","",INDEX(MM_Income!$C$5:$C$204,MATCH($C93,MM_Income!$A$5:$A$204,0)))</f>
        <v/>
      </c>
      <c r="F93" s="95" t="str">
        <f aca="false">IF($C93="","",INDEX(MM_Income!$F$5:$F$204,MATCH($C93,MM_Income!$A$5:$A$204,0)))</f>
        <v/>
      </c>
      <c r="G93" s="95" t="str">
        <f aca="false">IF($C93="","",INDEX(MM_Income!$G$5:$G$204,MATCH($C93,MM_Income!$A$5:$A$204,0)))</f>
        <v/>
      </c>
      <c r="H93" s="95" t="str">
        <f aca="false">IF($C93="","",INDEX(MM_Income!$H$5:$H$204,MATCH($C93,MM_Income!$A$5:$A$204,0)))</f>
        <v/>
      </c>
      <c r="I93" s="95" t="str">
        <f aca="false">IF($C93="","",INDEX(MM_Income!$I$5:$I$204,MATCH($C93,MM_Income!$A$5:$A$204,0)))</f>
        <v/>
      </c>
      <c r="J93" s="95" t="str">
        <f aca="false">IF($C93="","",INDEX(MM_Income!$D$5:$D$204,MATCH($C93,MM_Income!$A$5:$A$204,0)))</f>
        <v/>
      </c>
      <c r="K93" s="95" t="str">
        <f aca="false">IF($C93="","",INDEX(MM_Income!$E$5:$E$204,MATCH($C93,MM_Income!$A$5:$A$204,0)))</f>
        <v/>
      </c>
      <c r="L93" s="95" t="str">
        <f aca="false">IF($C93="","",INDEX(MM_Income!$U$5:$U$204,MATCH($C93,MM_Income!$A$5:$A$204,0)))</f>
        <v/>
      </c>
      <c r="M93" s="143" t="str">
        <f aca="false">IF($C93="","",INDEX(MM_Income!$V$5:$V$204,MATCH($C93,MM_Income!$A$5:$A$204,0)))</f>
        <v/>
      </c>
      <c r="N93" s="144" t="str">
        <f aca="false">IF($C93="","",INDEX(MM_Income!$T$5:$T$204,MATCH($C93,MM_Income!$A$5:$A$204,0)))</f>
        <v/>
      </c>
      <c r="O93" s="94" t="str">
        <f aca="false">IF($C93="","",-SUMIFS(Project_Activity!$P$2:$P$5000,Project_Activity!$C$2:$C$5000,$C93,Project_Activity!$U$2:$U$5000,"Invoiced Income",Project_Activity!$H$2:$H$5000,"&gt;="&amp;DATE(VALUE(LEFT($B93,4)),1,1),Project_Activity!$H$2:$H$5000,"&lt;="&amp;EOMONTH(DATE(VALUE(LEFT($B93,4)),VALUE(RIGHT($B93,1))*3,1),0)))</f>
        <v/>
      </c>
      <c r="P93" s="94" t="str">
        <f aca="false">IF($C93="","",SUMIFS(Project_Activity!$P$2:$P$5000,Project_Activity!$C$2:$C$5000,$C93,Project_Activity!$U$2:$U$5000,"Subcontractor",Project_Activity!$H$2:$H$5000,"&gt;="&amp;DATE(VALUE(LEFT($B93,4)),1,1),Project_Activity!$H$2:$H$5000,"&lt;="&amp;EOMONTH(DATE(VALUE(LEFT($B93,4)),VALUE(RIGHT($B93,1))*3,1),0)))</f>
        <v/>
      </c>
      <c r="Q93" s="94" t="str">
        <f aca="false">IF($C93="","",SUMIFS(Project_Activity!$P$2:$P$5000,Project_Activity!$C$2:$C$5000,$C93,Project_Activity!$U$2:$U$5000,"Project Inclusive",Project_Activity!$H$2:$H$5000,"&gt;="&amp;DATE(VALUE(LEFT($B93,4)),1,1),Project_Activity!$H$2:$H$5000,"&lt;="&amp;EOMONTH(DATE(VALUE(LEFT($B93,4)),VALUE(RIGHT($B93,1))*3,1),0)))</f>
        <v/>
      </c>
      <c r="R93" s="94" t="str">
        <f aca="false">IF($C93="","",SUMIFS(Project_Activity!$P$2:$P$5000,Project_Activity!$C$2:$C$5000,$C93,Project_Activity!$U$2:$U$5000,"Non-Recoverable",Project_Activity!$H$2:$H$5000,"&gt;="&amp;DATE(VALUE(LEFT($B93,4)),1,1),Project_Activity!$H$2:$H$5000,"&lt;="&amp;EOMONTH(DATE(VALUE(LEFT($B93,4)),VALUE(RIGHT($B93,1))*3,1),0)))</f>
        <v/>
      </c>
      <c r="S93" s="94" t="str">
        <f aca="false">IF($C93="","",$O93-$P93-$Q93-$R93)</f>
        <v/>
      </c>
      <c r="T93" s="94" t="str">
        <f aca="false">IF($C93="","",SUMIFS(Project_Activity!$P$2:$P$5000,Project_Activity!$C$2:$C$5000,$C93,Project_Activity!$U$2:$U$5000,"Recoverable",Project_Activity!$H$2:$H$5000,"&gt;="&amp;DATE(VALUE(LEFT($B93,4)),1,1),Project_Activity!$H$2:$H$5000,"&lt;="&amp;EOMONTH(DATE(VALUE(LEFT($B93,4)),VALUE(RIGHT($B93,1))*3,1),0)))</f>
        <v/>
      </c>
      <c r="U93" s="94" t="str">
        <f aca="false">IF($C93="","",-SUMIFS(Project_Activity!$P$2:$P$5000,Project_Activity!$C$2:$C$5000,$C93,Project_Activity!$U$2:$U$5000,"Recovered Expenses",Project_Activity!$H$2:$H$5000,"&gt;="&amp;DATE(VALUE(LEFT($B93,4)),1,1),Project_Activity!$H$2:$H$5000,"&lt;="&amp;EOMONTH(DATE(VALUE(LEFT($B93,4)),VALUE(RIGHT($B93,1))*3,1),0)))</f>
        <v/>
      </c>
      <c r="V93" s="145"/>
      <c r="W93" s="94" t="str">
        <f aca="false">IF($C93="","",$V93*$N93)</f>
        <v/>
      </c>
      <c r="X93" s="145"/>
      <c r="Y93" s="94" t="str">
        <f aca="false">IF($C93="","",$X93*$N93)</f>
        <v/>
      </c>
      <c r="Z93" s="145"/>
      <c r="AA93" s="94" t="str">
        <f aca="false">IF($C93="","",$Z93*$N93)</f>
        <v/>
      </c>
      <c r="AB93" s="145"/>
      <c r="AC93" s="94" t="str">
        <f aca="false">IF($C93="","",$AB93*$N93)</f>
        <v/>
      </c>
      <c r="AD93" s="94" t="str">
        <f aca="false">IF($C93="","",SUMPRODUCT((VALUE(MID($B93,7,1))&gt;={1,2,3,4})*CHOOSE({1,2,3,4},$W93,$Y93,$AA93,$AC93)))</f>
        <v/>
      </c>
      <c r="AE93" s="94" t="str">
        <f aca="false">IF($C93="","",$W93+$Y93+$AA93+$AC93-$AD93)</f>
        <v/>
      </c>
      <c r="AF93" s="146"/>
      <c r="AG93" s="146"/>
      <c r="AH93" s="146"/>
      <c r="AI93" s="147" t="str">
        <f aca="false">IF($C93="","",IF(OR($L93="Pipeline",$N93&lt;0,$O93&gt;$N93+1,($V93+$X93+$Z93+$AB93)&gt;1.0001,ISNUMBER(SEARCH("not signed",$AF93))),"REVIEW","OK"))</f>
        <v/>
      </c>
    </row>
    <row r="94" customFormat="false" ht="13.5" hidden="false" customHeight="false" outlineLevel="0" collapsed="false">
      <c r="A94" s="95" t="str">
        <f aca="false">IF($C94="","",Controls!$B$7)</f>
        <v/>
      </c>
      <c r="B94" s="95" t="str">
        <f aca="false">IF($C94="","",Controls!$B$30)</f>
        <v/>
      </c>
      <c r="C94" s="95" t="str">
        <f aca="false">IF(MM_Income!$A97="","",MM_Income!$A97)</f>
        <v/>
      </c>
      <c r="D94" s="95" t="str">
        <f aca="false">IF($C94="","",INDEX(MM_Income!$B$5:$B$204,MATCH($C94,MM_Income!$A$5:$A$204,0)))</f>
        <v/>
      </c>
      <c r="E94" s="95" t="str">
        <f aca="false">IF($C94="","",INDEX(MM_Income!$C$5:$C$204,MATCH($C94,MM_Income!$A$5:$A$204,0)))</f>
        <v/>
      </c>
      <c r="F94" s="95" t="str">
        <f aca="false">IF($C94="","",INDEX(MM_Income!$F$5:$F$204,MATCH($C94,MM_Income!$A$5:$A$204,0)))</f>
        <v/>
      </c>
      <c r="G94" s="95" t="str">
        <f aca="false">IF($C94="","",INDEX(MM_Income!$G$5:$G$204,MATCH($C94,MM_Income!$A$5:$A$204,0)))</f>
        <v/>
      </c>
      <c r="H94" s="95" t="str">
        <f aca="false">IF($C94="","",INDEX(MM_Income!$H$5:$H$204,MATCH($C94,MM_Income!$A$5:$A$204,0)))</f>
        <v/>
      </c>
      <c r="I94" s="95" t="str">
        <f aca="false">IF($C94="","",INDEX(MM_Income!$I$5:$I$204,MATCH($C94,MM_Income!$A$5:$A$204,0)))</f>
        <v/>
      </c>
      <c r="J94" s="95" t="str">
        <f aca="false">IF($C94="","",INDEX(MM_Income!$D$5:$D$204,MATCH($C94,MM_Income!$A$5:$A$204,0)))</f>
        <v/>
      </c>
      <c r="K94" s="95" t="str">
        <f aca="false">IF($C94="","",INDEX(MM_Income!$E$5:$E$204,MATCH($C94,MM_Income!$A$5:$A$204,0)))</f>
        <v/>
      </c>
      <c r="L94" s="95" t="str">
        <f aca="false">IF($C94="","",INDEX(MM_Income!$U$5:$U$204,MATCH($C94,MM_Income!$A$5:$A$204,0)))</f>
        <v/>
      </c>
      <c r="M94" s="143" t="str">
        <f aca="false">IF($C94="","",INDEX(MM_Income!$V$5:$V$204,MATCH($C94,MM_Income!$A$5:$A$204,0)))</f>
        <v/>
      </c>
      <c r="N94" s="144" t="str">
        <f aca="false">IF($C94="","",INDEX(MM_Income!$T$5:$T$204,MATCH($C94,MM_Income!$A$5:$A$204,0)))</f>
        <v/>
      </c>
      <c r="O94" s="94" t="str">
        <f aca="false">IF($C94="","",-SUMIFS(Project_Activity!$P$2:$P$5000,Project_Activity!$C$2:$C$5000,$C94,Project_Activity!$U$2:$U$5000,"Invoiced Income",Project_Activity!$H$2:$H$5000,"&gt;="&amp;DATE(VALUE(LEFT($B94,4)),1,1),Project_Activity!$H$2:$H$5000,"&lt;="&amp;EOMONTH(DATE(VALUE(LEFT($B94,4)),VALUE(RIGHT($B94,1))*3,1),0)))</f>
        <v/>
      </c>
      <c r="P94" s="94" t="str">
        <f aca="false">IF($C94="","",SUMIFS(Project_Activity!$P$2:$P$5000,Project_Activity!$C$2:$C$5000,$C94,Project_Activity!$U$2:$U$5000,"Subcontractor",Project_Activity!$H$2:$H$5000,"&gt;="&amp;DATE(VALUE(LEFT($B94,4)),1,1),Project_Activity!$H$2:$H$5000,"&lt;="&amp;EOMONTH(DATE(VALUE(LEFT($B94,4)),VALUE(RIGHT($B94,1))*3,1),0)))</f>
        <v/>
      </c>
      <c r="Q94" s="94" t="str">
        <f aca="false">IF($C94="","",SUMIFS(Project_Activity!$P$2:$P$5000,Project_Activity!$C$2:$C$5000,$C94,Project_Activity!$U$2:$U$5000,"Project Inclusive",Project_Activity!$H$2:$H$5000,"&gt;="&amp;DATE(VALUE(LEFT($B94,4)),1,1),Project_Activity!$H$2:$H$5000,"&lt;="&amp;EOMONTH(DATE(VALUE(LEFT($B94,4)),VALUE(RIGHT($B94,1))*3,1),0)))</f>
        <v/>
      </c>
      <c r="R94" s="94" t="str">
        <f aca="false">IF($C94="","",SUMIFS(Project_Activity!$P$2:$P$5000,Project_Activity!$C$2:$C$5000,$C94,Project_Activity!$U$2:$U$5000,"Non-Recoverable",Project_Activity!$H$2:$H$5000,"&gt;="&amp;DATE(VALUE(LEFT($B94,4)),1,1),Project_Activity!$H$2:$H$5000,"&lt;="&amp;EOMONTH(DATE(VALUE(LEFT($B94,4)),VALUE(RIGHT($B94,1))*3,1),0)))</f>
        <v/>
      </c>
      <c r="S94" s="94" t="str">
        <f aca="false">IF($C94="","",$O94-$P94-$Q94-$R94)</f>
        <v/>
      </c>
      <c r="T94" s="94" t="str">
        <f aca="false">IF($C94="","",SUMIFS(Project_Activity!$P$2:$P$5000,Project_Activity!$C$2:$C$5000,$C94,Project_Activity!$U$2:$U$5000,"Recoverable",Project_Activity!$H$2:$H$5000,"&gt;="&amp;DATE(VALUE(LEFT($B94,4)),1,1),Project_Activity!$H$2:$H$5000,"&lt;="&amp;EOMONTH(DATE(VALUE(LEFT($B94,4)),VALUE(RIGHT($B94,1))*3,1),0)))</f>
        <v/>
      </c>
      <c r="U94" s="94" t="str">
        <f aca="false">IF($C94="","",-SUMIFS(Project_Activity!$P$2:$P$5000,Project_Activity!$C$2:$C$5000,$C94,Project_Activity!$U$2:$U$5000,"Recovered Expenses",Project_Activity!$H$2:$H$5000,"&gt;="&amp;DATE(VALUE(LEFT($B94,4)),1,1),Project_Activity!$H$2:$H$5000,"&lt;="&amp;EOMONTH(DATE(VALUE(LEFT($B94,4)),VALUE(RIGHT($B94,1))*3,1),0)))</f>
        <v/>
      </c>
      <c r="V94" s="145"/>
      <c r="W94" s="94" t="str">
        <f aca="false">IF($C94="","",$V94*$N94)</f>
        <v/>
      </c>
      <c r="X94" s="145"/>
      <c r="Y94" s="94" t="str">
        <f aca="false">IF($C94="","",$X94*$N94)</f>
        <v/>
      </c>
      <c r="Z94" s="145"/>
      <c r="AA94" s="94" t="str">
        <f aca="false">IF($C94="","",$Z94*$N94)</f>
        <v/>
      </c>
      <c r="AB94" s="145"/>
      <c r="AC94" s="94" t="str">
        <f aca="false">IF($C94="","",$AB94*$N94)</f>
        <v/>
      </c>
      <c r="AD94" s="94" t="str">
        <f aca="false">IF($C94="","",SUMPRODUCT((VALUE(MID($B94,7,1))&gt;={1,2,3,4})*CHOOSE({1,2,3,4},$W94,$Y94,$AA94,$AC94)))</f>
        <v/>
      </c>
      <c r="AE94" s="94" t="str">
        <f aca="false">IF($C94="","",$W94+$Y94+$AA94+$AC94-$AD94)</f>
        <v/>
      </c>
      <c r="AF94" s="146"/>
      <c r="AG94" s="146"/>
      <c r="AH94" s="146"/>
      <c r="AI94" s="147" t="str">
        <f aca="false">IF($C94="","",IF(OR($L94="Pipeline",$N94&lt;0,$O94&gt;$N94+1,($V94+$X94+$Z94+$AB94)&gt;1.0001,ISNUMBER(SEARCH("not signed",$AF94))),"REVIEW","OK"))</f>
        <v/>
      </c>
    </row>
    <row r="95" customFormat="false" ht="13.5" hidden="false" customHeight="false" outlineLevel="0" collapsed="false">
      <c r="A95" s="95" t="str">
        <f aca="false">IF($C95="","",Controls!$B$7)</f>
        <v/>
      </c>
      <c r="B95" s="95" t="str">
        <f aca="false">IF($C95="","",Controls!$B$30)</f>
        <v/>
      </c>
      <c r="C95" s="95" t="str">
        <f aca="false">IF(MM_Income!$A98="","",MM_Income!$A98)</f>
        <v/>
      </c>
      <c r="D95" s="95" t="str">
        <f aca="false">IF($C95="","",INDEX(MM_Income!$B$5:$B$204,MATCH($C95,MM_Income!$A$5:$A$204,0)))</f>
        <v/>
      </c>
      <c r="E95" s="95" t="str">
        <f aca="false">IF($C95="","",INDEX(MM_Income!$C$5:$C$204,MATCH($C95,MM_Income!$A$5:$A$204,0)))</f>
        <v/>
      </c>
      <c r="F95" s="95" t="str">
        <f aca="false">IF($C95="","",INDEX(MM_Income!$F$5:$F$204,MATCH($C95,MM_Income!$A$5:$A$204,0)))</f>
        <v/>
      </c>
      <c r="G95" s="95" t="str">
        <f aca="false">IF($C95="","",INDEX(MM_Income!$G$5:$G$204,MATCH($C95,MM_Income!$A$5:$A$204,0)))</f>
        <v/>
      </c>
      <c r="H95" s="95" t="str">
        <f aca="false">IF($C95="","",INDEX(MM_Income!$H$5:$H$204,MATCH($C95,MM_Income!$A$5:$A$204,0)))</f>
        <v/>
      </c>
      <c r="I95" s="95" t="str">
        <f aca="false">IF($C95="","",INDEX(MM_Income!$I$5:$I$204,MATCH($C95,MM_Income!$A$5:$A$204,0)))</f>
        <v/>
      </c>
      <c r="J95" s="95" t="str">
        <f aca="false">IF($C95="","",INDEX(MM_Income!$D$5:$D$204,MATCH($C95,MM_Income!$A$5:$A$204,0)))</f>
        <v/>
      </c>
      <c r="K95" s="95" t="str">
        <f aca="false">IF($C95="","",INDEX(MM_Income!$E$5:$E$204,MATCH($C95,MM_Income!$A$5:$A$204,0)))</f>
        <v/>
      </c>
      <c r="L95" s="95" t="str">
        <f aca="false">IF($C95="","",INDEX(MM_Income!$U$5:$U$204,MATCH($C95,MM_Income!$A$5:$A$204,0)))</f>
        <v/>
      </c>
      <c r="M95" s="143" t="str">
        <f aca="false">IF($C95="","",INDEX(MM_Income!$V$5:$V$204,MATCH($C95,MM_Income!$A$5:$A$204,0)))</f>
        <v/>
      </c>
      <c r="N95" s="144" t="str">
        <f aca="false">IF($C95="","",INDEX(MM_Income!$T$5:$T$204,MATCH($C95,MM_Income!$A$5:$A$204,0)))</f>
        <v/>
      </c>
      <c r="O95" s="94" t="str">
        <f aca="false">IF($C95="","",-SUMIFS(Project_Activity!$P$2:$P$5000,Project_Activity!$C$2:$C$5000,$C95,Project_Activity!$U$2:$U$5000,"Invoiced Income",Project_Activity!$H$2:$H$5000,"&gt;="&amp;DATE(VALUE(LEFT($B95,4)),1,1),Project_Activity!$H$2:$H$5000,"&lt;="&amp;EOMONTH(DATE(VALUE(LEFT($B95,4)),VALUE(RIGHT($B95,1))*3,1),0)))</f>
        <v/>
      </c>
      <c r="P95" s="94" t="str">
        <f aca="false">IF($C95="","",SUMIFS(Project_Activity!$P$2:$P$5000,Project_Activity!$C$2:$C$5000,$C95,Project_Activity!$U$2:$U$5000,"Subcontractor",Project_Activity!$H$2:$H$5000,"&gt;="&amp;DATE(VALUE(LEFT($B95,4)),1,1),Project_Activity!$H$2:$H$5000,"&lt;="&amp;EOMONTH(DATE(VALUE(LEFT($B95,4)),VALUE(RIGHT($B95,1))*3,1),0)))</f>
        <v/>
      </c>
      <c r="Q95" s="94" t="str">
        <f aca="false">IF($C95="","",SUMIFS(Project_Activity!$P$2:$P$5000,Project_Activity!$C$2:$C$5000,$C95,Project_Activity!$U$2:$U$5000,"Project Inclusive",Project_Activity!$H$2:$H$5000,"&gt;="&amp;DATE(VALUE(LEFT($B95,4)),1,1),Project_Activity!$H$2:$H$5000,"&lt;="&amp;EOMONTH(DATE(VALUE(LEFT($B95,4)),VALUE(RIGHT($B95,1))*3,1),0)))</f>
        <v/>
      </c>
      <c r="R95" s="94" t="str">
        <f aca="false">IF($C95="","",SUMIFS(Project_Activity!$P$2:$P$5000,Project_Activity!$C$2:$C$5000,$C95,Project_Activity!$U$2:$U$5000,"Non-Recoverable",Project_Activity!$H$2:$H$5000,"&gt;="&amp;DATE(VALUE(LEFT($B95,4)),1,1),Project_Activity!$H$2:$H$5000,"&lt;="&amp;EOMONTH(DATE(VALUE(LEFT($B95,4)),VALUE(RIGHT($B95,1))*3,1),0)))</f>
        <v/>
      </c>
      <c r="S95" s="94" t="str">
        <f aca="false">IF($C95="","",$O95-$P95-$Q95-$R95)</f>
        <v/>
      </c>
      <c r="T95" s="94" t="str">
        <f aca="false">IF($C95="","",SUMIFS(Project_Activity!$P$2:$P$5000,Project_Activity!$C$2:$C$5000,$C95,Project_Activity!$U$2:$U$5000,"Recoverable",Project_Activity!$H$2:$H$5000,"&gt;="&amp;DATE(VALUE(LEFT($B95,4)),1,1),Project_Activity!$H$2:$H$5000,"&lt;="&amp;EOMONTH(DATE(VALUE(LEFT($B95,4)),VALUE(RIGHT($B95,1))*3,1),0)))</f>
        <v/>
      </c>
      <c r="U95" s="94" t="str">
        <f aca="false">IF($C95="","",-SUMIFS(Project_Activity!$P$2:$P$5000,Project_Activity!$C$2:$C$5000,$C95,Project_Activity!$U$2:$U$5000,"Recovered Expenses",Project_Activity!$H$2:$H$5000,"&gt;="&amp;DATE(VALUE(LEFT($B95,4)),1,1),Project_Activity!$H$2:$H$5000,"&lt;="&amp;EOMONTH(DATE(VALUE(LEFT($B95,4)),VALUE(RIGHT($B95,1))*3,1),0)))</f>
        <v/>
      </c>
      <c r="V95" s="145"/>
      <c r="W95" s="94" t="str">
        <f aca="false">IF($C95="","",$V95*$N95)</f>
        <v/>
      </c>
      <c r="X95" s="145"/>
      <c r="Y95" s="94" t="str">
        <f aca="false">IF($C95="","",$X95*$N95)</f>
        <v/>
      </c>
      <c r="Z95" s="145"/>
      <c r="AA95" s="94" t="str">
        <f aca="false">IF($C95="","",$Z95*$N95)</f>
        <v/>
      </c>
      <c r="AB95" s="145"/>
      <c r="AC95" s="94" t="str">
        <f aca="false">IF($C95="","",$AB95*$N95)</f>
        <v/>
      </c>
      <c r="AD95" s="94" t="str">
        <f aca="false">IF($C95="","",SUMPRODUCT((VALUE(MID($B95,7,1))&gt;={1,2,3,4})*CHOOSE({1,2,3,4},$W95,$Y95,$AA95,$AC95)))</f>
        <v/>
      </c>
      <c r="AE95" s="94" t="str">
        <f aca="false">IF($C95="","",$W95+$Y95+$AA95+$AC95-$AD95)</f>
        <v/>
      </c>
      <c r="AF95" s="146"/>
      <c r="AG95" s="146"/>
      <c r="AH95" s="146"/>
      <c r="AI95" s="147" t="str">
        <f aca="false">IF($C95="","",IF(OR($L95="Pipeline",$N95&lt;0,$O95&gt;$N95+1,($V95+$X95+$Z95+$AB95)&gt;1.0001,ISNUMBER(SEARCH("not signed",$AF95))),"REVIEW","OK"))</f>
        <v/>
      </c>
    </row>
    <row r="96" customFormat="false" ht="13.5" hidden="false" customHeight="false" outlineLevel="0" collapsed="false">
      <c r="A96" s="95" t="str">
        <f aca="false">IF($C96="","",Controls!$B$7)</f>
        <v/>
      </c>
      <c r="B96" s="95" t="str">
        <f aca="false">IF($C96="","",Controls!$B$30)</f>
        <v/>
      </c>
      <c r="C96" s="95" t="str">
        <f aca="false">IF(MM_Income!$A99="","",MM_Income!$A99)</f>
        <v/>
      </c>
      <c r="D96" s="95" t="str">
        <f aca="false">IF($C96="","",INDEX(MM_Income!$B$5:$B$204,MATCH($C96,MM_Income!$A$5:$A$204,0)))</f>
        <v/>
      </c>
      <c r="E96" s="95" t="str">
        <f aca="false">IF($C96="","",INDEX(MM_Income!$C$5:$C$204,MATCH($C96,MM_Income!$A$5:$A$204,0)))</f>
        <v/>
      </c>
      <c r="F96" s="95" t="str">
        <f aca="false">IF($C96="","",INDEX(MM_Income!$F$5:$F$204,MATCH($C96,MM_Income!$A$5:$A$204,0)))</f>
        <v/>
      </c>
      <c r="G96" s="95" t="str">
        <f aca="false">IF($C96="","",INDEX(MM_Income!$G$5:$G$204,MATCH($C96,MM_Income!$A$5:$A$204,0)))</f>
        <v/>
      </c>
      <c r="H96" s="95" t="str">
        <f aca="false">IF($C96="","",INDEX(MM_Income!$H$5:$H$204,MATCH($C96,MM_Income!$A$5:$A$204,0)))</f>
        <v/>
      </c>
      <c r="I96" s="95" t="str">
        <f aca="false">IF($C96="","",INDEX(MM_Income!$I$5:$I$204,MATCH($C96,MM_Income!$A$5:$A$204,0)))</f>
        <v/>
      </c>
      <c r="J96" s="95" t="str">
        <f aca="false">IF($C96="","",INDEX(MM_Income!$D$5:$D$204,MATCH($C96,MM_Income!$A$5:$A$204,0)))</f>
        <v/>
      </c>
      <c r="K96" s="95" t="str">
        <f aca="false">IF($C96="","",INDEX(MM_Income!$E$5:$E$204,MATCH($C96,MM_Income!$A$5:$A$204,0)))</f>
        <v/>
      </c>
      <c r="L96" s="95" t="str">
        <f aca="false">IF($C96="","",INDEX(MM_Income!$U$5:$U$204,MATCH($C96,MM_Income!$A$5:$A$204,0)))</f>
        <v/>
      </c>
      <c r="M96" s="143" t="str">
        <f aca="false">IF($C96="","",INDEX(MM_Income!$V$5:$V$204,MATCH($C96,MM_Income!$A$5:$A$204,0)))</f>
        <v/>
      </c>
      <c r="N96" s="144" t="str">
        <f aca="false">IF($C96="","",INDEX(MM_Income!$T$5:$T$204,MATCH($C96,MM_Income!$A$5:$A$204,0)))</f>
        <v/>
      </c>
      <c r="O96" s="94" t="str">
        <f aca="false">IF($C96="","",-SUMIFS(Project_Activity!$P$2:$P$5000,Project_Activity!$C$2:$C$5000,$C96,Project_Activity!$U$2:$U$5000,"Invoiced Income",Project_Activity!$H$2:$H$5000,"&gt;="&amp;DATE(VALUE(LEFT($B96,4)),1,1),Project_Activity!$H$2:$H$5000,"&lt;="&amp;EOMONTH(DATE(VALUE(LEFT($B96,4)),VALUE(RIGHT($B96,1))*3,1),0)))</f>
        <v/>
      </c>
      <c r="P96" s="94" t="str">
        <f aca="false">IF($C96="","",SUMIFS(Project_Activity!$P$2:$P$5000,Project_Activity!$C$2:$C$5000,$C96,Project_Activity!$U$2:$U$5000,"Subcontractor",Project_Activity!$H$2:$H$5000,"&gt;="&amp;DATE(VALUE(LEFT($B96,4)),1,1),Project_Activity!$H$2:$H$5000,"&lt;="&amp;EOMONTH(DATE(VALUE(LEFT($B96,4)),VALUE(RIGHT($B96,1))*3,1),0)))</f>
        <v/>
      </c>
      <c r="Q96" s="94" t="str">
        <f aca="false">IF($C96="","",SUMIFS(Project_Activity!$P$2:$P$5000,Project_Activity!$C$2:$C$5000,$C96,Project_Activity!$U$2:$U$5000,"Project Inclusive",Project_Activity!$H$2:$H$5000,"&gt;="&amp;DATE(VALUE(LEFT($B96,4)),1,1),Project_Activity!$H$2:$H$5000,"&lt;="&amp;EOMONTH(DATE(VALUE(LEFT($B96,4)),VALUE(RIGHT($B96,1))*3,1),0)))</f>
        <v/>
      </c>
      <c r="R96" s="94" t="str">
        <f aca="false">IF($C96="","",SUMIFS(Project_Activity!$P$2:$P$5000,Project_Activity!$C$2:$C$5000,$C96,Project_Activity!$U$2:$U$5000,"Non-Recoverable",Project_Activity!$H$2:$H$5000,"&gt;="&amp;DATE(VALUE(LEFT($B96,4)),1,1),Project_Activity!$H$2:$H$5000,"&lt;="&amp;EOMONTH(DATE(VALUE(LEFT($B96,4)),VALUE(RIGHT($B96,1))*3,1),0)))</f>
        <v/>
      </c>
      <c r="S96" s="94" t="str">
        <f aca="false">IF($C96="","",$O96-$P96-$Q96-$R96)</f>
        <v/>
      </c>
      <c r="T96" s="94" t="str">
        <f aca="false">IF($C96="","",SUMIFS(Project_Activity!$P$2:$P$5000,Project_Activity!$C$2:$C$5000,$C96,Project_Activity!$U$2:$U$5000,"Recoverable",Project_Activity!$H$2:$H$5000,"&gt;="&amp;DATE(VALUE(LEFT($B96,4)),1,1),Project_Activity!$H$2:$H$5000,"&lt;="&amp;EOMONTH(DATE(VALUE(LEFT($B96,4)),VALUE(RIGHT($B96,1))*3,1),0)))</f>
        <v/>
      </c>
      <c r="U96" s="94" t="str">
        <f aca="false">IF($C96="","",-SUMIFS(Project_Activity!$P$2:$P$5000,Project_Activity!$C$2:$C$5000,$C96,Project_Activity!$U$2:$U$5000,"Recovered Expenses",Project_Activity!$H$2:$H$5000,"&gt;="&amp;DATE(VALUE(LEFT($B96,4)),1,1),Project_Activity!$H$2:$H$5000,"&lt;="&amp;EOMONTH(DATE(VALUE(LEFT($B96,4)),VALUE(RIGHT($B96,1))*3,1),0)))</f>
        <v/>
      </c>
      <c r="V96" s="145"/>
      <c r="W96" s="94" t="str">
        <f aca="false">IF($C96="","",$V96*$N96)</f>
        <v/>
      </c>
      <c r="X96" s="145"/>
      <c r="Y96" s="94" t="str">
        <f aca="false">IF($C96="","",$X96*$N96)</f>
        <v/>
      </c>
      <c r="Z96" s="145"/>
      <c r="AA96" s="94" t="str">
        <f aca="false">IF($C96="","",$Z96*$N96)</f>
        <v/>
      </c>
      <c r="AB96" s="145"/>
      <c r="AC96" s="94" t="str">
        <f aca="false">IF($C96="","",$AB96*$N96)</f>
        <v/>
      </c>
      <c r="AD96" s="94" t="str">
        <f aca="false">IF($C96="","",SUMPRODUCT((VALUE(MID($B96,7,1))&gt;={1,2,3,4})*CHOOSE({1,2,3,4},$W96,$Y96,$AA96,$AC96)))</f>
        <v/>
      </c>
      <c r="AE96" s="94" t="str">
        <f aca="false">IF($C96="","",$W96+$Y96+$AA96+$AC96-$AD96)</f>
        <v/>
      </c>
      <c r="AF96" s="146"/>
      <c r="AG96" s="146"/>
      <c r="AH96" s="146"/>
      <c r="AI96" s="147" t="str">
        <f aca="false">IF($C96="","",IF(OR($L96="Pipeline",$N96&lt;0,$O96&gt;$N96+1,($V96+$X96+$Z96+$AB96)&gt;1.0001,ISNUMBER(SEARCH("not signed",$AF96))),"REVIEW","OK"))</f>
        <v/>
      </c>
    </row>
    <row r="97" customFormat="false" ht="13.5" hidden="false" customHeight="false" outlineLevel="0" collapsed="false">
      <c r="A97" s="95" t="str">
        <f aca="false">IF($C97="","",Controls!$B$7)</f>
        <v/>
      </c>
      <c r="B97" s="95" t="str">
        <f aca="false">IF($C97="","",Controls!$B$30)</f>
        <v/>
      </c>
      <c r="C97" s="95" t="str">
        <f aca="false">IF(MM_Income!$A100="","",MM_Income!$A100)</f>
        <v/>
      </c>
      <c r="D97" s="95" t="str">
        <f aca="false">IF($C97="","",INDEX(MM_Income!$B$5:$B$204,MATCH($C97,MM_Income!$A$5:$A$204,0)))</f>
        <v/>
      </c>
      <c r="E97" s="95" t="str">
        <f aca="false">IF($C97="","",INDEX(MM_Income!$C$5:$C$204,MATCH($C97,MM_Income!$A$5:$A$204,0)))</f>
        <v/>
      </c>
      <c r="F97" s="95" t="str">
        <f aca="false">IF($C97="","",INDEX(MM_Income!$F$5:$F$204,MATCH($C97,MM_Income!$A$5:$A$204,0)))</f>
        <v/>
      </c>
      <c r="G97" s="95" t="str">
        <f aca="false">IF($C97="","",INDEX(MM_Income!$G$5:$G$204,MATCH($C97,MM_Income!$A$5:$A$204,0)))</f>
        <v/>
      </c>
      <c r="H97" s="95" t="str">
        <f aca="false">IF($C97="","",INDEX(MM_Income!$H$5:$H$204,MATCH($C97,MM_Income!$A$5:$A$204,0)))</f>
        <v/>
      </c>
      <c r="I97" s="95" t="str">
        <f aca="false">IF($C97="","",INDEX(MM_Income!$I$5:$I$204,MATCH($C97,MM_Income!$A$5:$A$204,0)))</f>
        <v/>
      </c>
      <c r="J97" s="95" t="str">
        <f aca="false">IF($C97="","",INDEX(MM_Income!$D$5:$D$204,MATCH($C97,MM_Income!$A$5:$A$204,0)))</f>
        <v/>
      </c>
      <c r="K97" s="95" t="str">
        <f aca="false">IF($C97="","",INDEX(MM_Income!$E$5:$E$204,MATCH($C97,MM_Income!$A$5:$A$204,0)))</f>
        <v/>
      </c>
      <c r="L97" s="95" t="str">
        <f aca="false">IF($C97="","",INDEX(MM_Income!$U$5:$U$204,MATCH($C97,MM_Income!$A$5:$A$204,0)))</f>
        <v/>
      </c>
      <c r="M97" s="143" t="str">
        <f aca="false">IF($C97="","",INDEX(MM_Income!$V$5:$V$204,MATCH($C97,MM_Income!$A$5:$A$204,0)))</f>
        <v/>
      </c>
      <c r="N97" s="144" t="str">
        <f aca="false">IF($C97="","",INDEX(MM_Income!$T$5:$T$204,MATCH($C97,MM_Income!$A$5:$A$204,0)))</f>
        <v/>
      </c>
      <c r="O97" s="94" t="str">
        <f aca="false">IF($C97="","",-SUMIFS(Project_Activity!$P$2:$P$5000,Project_Activity!$C$2:$C$5000,$C97,Project_Activity!$U$2:$U$5000,"Invoiced Income",Project_Activity!$H$2:$H$5000,"&gt;="&amp;DATE(VALUE(LEFT($B97,4)),1,1),Project_Activity!$H$2:$H$5000,"&lt;="&amp;EOMONTH(DATE(VALUE(LEFT($B97,4)),VALUE(RIGHT($B97,1))*3,1),0)))</f>
        <v/>
      </c>
      <c r="P97" s="94" t="str">
        <f aca="false">IF($C97="","",SUMIFS(Project_Activity!$P$2:$P$5000,Project_Activity!$C$2:$C$5000,$C97,Project_Activity!$U$2:$U$5000,"Subcontractor",Project_Activity!$H$2:$H$5000,"&gt;="&amp;DATE(VALUE(LEFT($B97,4)),1,1),Project_Activity!$H$2:$H$5000,"&lt;="&amp;EOMONTH(DATE(VALUE(LEFT($B97,4)),VALUE(RIGHT($B97,1))*3,1),0)))</f>
        <v/>
      </c>
      <c r="Q97" s="94" t="str">
        <f aca="false">IF($C97="","",SUMIFS(Project_Activity!$P$2:$P$5000,Project_Activity!$C$2:$C$5000,$C97,Project_Activity!$U$2:$U$5000,"Project Inclusive",Project_Activity!$H$2:$H$5000,"&gt;="&amp;DATE(VALUE(LEFT($B97,4)),1,1),Project_Activity!$H$2:$H$5000,"&lt;="&amp;EOMONTH(DATE(VALUE(LEFT($B97,4)),VALUE(RIGHT($B97,1))*3,1),0)))</f>
        <v/>
      </c>
      <c r="R97" s="94" t="str">
        <f aca="false">IF($C97="","",SUMIFS(Project_Activity!$P$2:$P$5000,Project_Activity!$C$2:$C$5000,$C97,Project_Activity!$U$2:$U$5000,"Non-Recoverable",Project_Activity!$H$2:$H$5000,"&gt;="&amp;DATE(VALUE(LEFT($B97,4)),1,1),Project_Activity!$H$2:$H$5000,"&lt;="&amp;EOMONTH(DATE(VALUE(LEFT($B97,4)),VALUE(RIGHT($B97,1))*3,1),0)))</f>
        <v/>
      </c>
      <c r="S97" s="94" t="str">
        <f aca="false">IF($C97="","",$O97-$P97-$Q97-$R97)</f>
        <v/>
      </c>
      <c r="T97" s="94" t="str">
        <f aca="false">IF($C97="","",SUMIFS(Project_Activity!$P$2:$P$5000,Project_Activity!$C$2:$C$5000,$C97,Project_Activity!$U$2:$U$5000,"Recoverable",Project_Activity!$H$2:$H$5000,"&gt;="&amp;DATE(VALUE(LEFT($B97,4)),1,1),Project_Activity!$H$2:$H$5000,"&lt;="&amp;EOMONTH(DATE(VALUE(LEFT($B97,4)),VALUE(RIGHT($B97,1))*3,1),0)))</f>
        <v/>
      </c>
      <c r="U97" s="94" t="str">
        <f aca="false">IF($C97="","",-SUMIFS(Project_Activity!$P$2:$P$5000,Project_Activity!$C$2:$C$5000,$C97,Project_Activity!$U$2:$U$5000,"Recovered Expenses",Project_Activity!$H$2:$H$5000,"&gt;="&amp;DATE(VALUE(LEFT($B97,4)),1,1),Project_Activity!$H$2:$H$5000,"&lt;="&amp;EOMONTH(DATE(VALUE(LEFT($B97,4)),VALUE(RIGHT($B97,1))*3,1),0)))</f>
        <v/>
      </c>
      <c r="V97" s="145"/>
      <c r="W97" s="94" t="str">
        <f aca="false">IF($C97="","",$V97*$N97)</f>
        <v/>
      </c>
      <c r="X97" s="145"/>
      <c r="Y97" s="94" t="str">
        <f aca="false">IF($C97="","",$X97*$N97)</f>
        <v/>
      </c>
      <c r="Z97" s="145"/>
      <c r="AA97" s="94" t="str">
        <f aca="false">IF($C97="","",$Z97*$N97)</f>
        <v/>
      </c>
      <c r="AB97" s="145"/>
      <c r="AC97" s="94" t="str">
        <f aca="false">IF($C97="","",$AB97*$N97)</f>
        <v/>
      </c>
      <c r="AD97" s="94" t="str">
        <f aca="false">IF($C97="","",SUMPRODUCT((VALUE(MID($B97,7,1))&gt;={1,2,3,4})*CHOOSE({1,2,3,4},$W97,$Y97,$AA97,$AC97)))</f>
        <v/>
      </c>
      <c r="AE97" s="94" t="str">
        <f aca="false">IF($C97="","",$W97+$Y97+$AA97+$AC97-$AD97)</f>
        <v/>
      </c>
      <c r="AF97" s="146"/>
      <c r="AG97" s="146"/>
      <c r="AH97" s="146"/>
      <c r="AI97" s="147" t="str">
        <f aca="false">IF($C97="","",IF(OR($L97="Pipeline",$N97&lt;0,$O97&gt;$N97+1,($V97+$X97+$Z97+$AB97)&gt;1.0001,ISNUMBER(SEARCH("not signed",$AF97))),"REVIEW","OK"))</f>
        <v/>
      </c>
    </row>
    <row r="98" customFormat="false" ht="13.5" hidden="false" customHeight="false" outlineLevel="0" collapsed="false">
      <c r="A98" s="95" t="str">
        <f aca="false">IF($C98="","",Controls!$B$7)</f>
        <v/>
      </c>
      <c r="B98" s="95" t="str">
        <f aca="false">IF($C98="","",Controls!$B$30)</f>
        <v/>
      </c>
      <c r="C98" s="95" t="str">
        <f aca="false">IF(MM_Income!$A101="","",MM_Income!$A101)</f>
        <v/>
      </c>
      <c r="D98" s="95" t="str">
        <f aca="false">IF($C98="","",INDEX(MM_Income!$B$5:$B$204,MATCH($C98,MM_Income!$A$5:$A$204,0)))</f>
        <v/>
      </c>
      <c r="E98" s="95" t="str">
        <f aca="false">IF($C98="","",INDEX(MM_Income!$C$5:$C$204,MATCH($C98,MM_Income!$A$5:$A$204,0)))</f>
        <v/>
      </c>
      <c r="F98" s="95" t="str">
        <f aca="false">IF($C98="","",INDEX(MM_Income!$F$5:$F$204,MATCH($C98,MM_Income!$A$5:$A$204,0)))</f>
        <v/>
      </c>
      <c r="G98" s="95" t="str">
        <f aca="false">IF($C98="","",INDEX(MM_Income!$G$5:$G$204,MATCH($C98,MM_Income!$A$5:$A$204,0)))</f>
        <v/>
      </c>
      <c r="H98" s="95" t="str">
        <f aca="false">IF($C98="","",INDEX(MM_Income!$H$5:$H$204,MATCH($C98,MM_Income!$A$5:$A$204,0)))</f>
        <v/>
      </c>
      <c r="I98" s="95" t="str">
        <f aca="false">IF($C98="","",INDEX(MM_Income!$I$5:$I$204,MATCH($C98,MM_Income!$A$5:$A$204,0)))</f>
        <v/>
      </c>
      <c r="J98" s="95" t="str">
        <f aca="false">IF($C98="","",INDEX(MM_Income!$D$5:$D$204,MATCH($C98,MM_Income!$A$5:$A$204,0)))</f>
        <v/>
      </c>
      <c r="K98" s="95" t="str">
        <f aca="false">IF($C98="","",INDEX(MM_Income!$E$5:$E$204,MATCH($C98,MM_Income!$A$5:$A$204,0)))</f>
        <v/>
      </c>
      <c r="L98" s="95" t="str">
        <f aca="false">IF($C98="","",INDEX(MM_Income!$U$5:$U$204,MATCH($C98,MM_Income!$A$5:$A$204,0)))</f>
        <v/>
      </c>
      <c r="M98" s="143" t="str">
        <f aca="false">IF($C98="","",INDEX(MM_Income!$V$5:$V$204,MATCH($C98,MM_Income!$A$5:$A$204,0)))</f>
        <v/>
      </c>
      <c r="N98" s="144" t="str">
        <f aca="false">IF($C98="","",INDEX(MM_Income!$T$5:$T$204,MATCH($C98,MM_Income!$A$5:$A$204,0)))</f>
        <v/>
      </c>
      <c r="O98" s="94" t="str">
        <f aca="false">IF($C98="","",-SUMIFS(Project_Activity!$P$2:$P$5000,Project_Activity!$C$2:$C$5000,$C98,Project_Activity!$U$2:$U$5000,"Invoiced Income",Project_Activity!$H$2:$H$5000,"&gt;="&amp;DATE(VALUE(LEFT($B98,4)),1,1),Project_Activity!$H$2:$H$5000,"&lt;="&amp;EOMONTH(DATE(VALUE(LEFT($B98,4)),VALUE(RIGHT($B98,1))*3,1),0)))</f>
        <v/>
      </c>
      <c r="P98" s="94" t="str">
        <f aca="false">IF($C98="","",SUMIFS(Project_Activity!$P$2:$P$5000,Project_Activity!$C$2:$C$5000,$C98,Project_Activity!$U$2:$U$5000,"Subcontractor",Project_Activity!$H$2:$H$5000,"&gt;="&amp;DATE(VALUE(LEFT($B98,4)),1,1),Project_Activity!$H$2:$H$5000,"&lt;="&amp;EOMONTH(DATE(VALUE(LEFT($B98,4)),VALUE(RIGHT($B98,1))*3,1),0)))</f>
        <v/>
      </c>
      <c r="Q98" s="94" t="str">
        <f aca="false">IF($C98="","",SUMIFS(Project_Activity!$P$2:$P$5000,Project_Activity!$C$2:$C$5000,$C98,Project_Activity!$U$2:$U$5000,"Project Inclusive",Project_Activity!$H$2:$H$5000,"&gt;="&amp;DATE(VALUE(LEFT($B98,4)),1,1),Project_Activity!$H$2:$H$5000,"&lt;="&amp;EOMONTH(DATE(VALUE(LEFT($B98,4)),VALUE(RIGHT($B98,1))*3,1),0)))</f>
        <v/>
      </c>
      <c r="R98" s="94" t="str">
        <f aca="false">IF($C98="","",SUMIFS(Project_Activity!$P$2:$P$5000,Project_Activity!$C$2:$C$5000,$C98,Project_Activity!$U$2:$U$5000,"Non-Recoverable",Project_Activity!$H$2:$H$5000,"&gt;="&amp;DATE(VALUE(LEFT($B98,4)),1,1),Project_Activity!$H$2:$H$5000,"&lt;="&amp;EOMONTH(DATE(VALUE(LEFT($B98,4)),VALUE(RIGHT($B98,1))*3,1),0)))</f>
        <v/>
      </c>
      <c r="S98" s="94" t="str">
        <f aca="false">IF($C98="","",$O98-$P98-$Q98-$R98)</f>
        <v/>
      </c>
      <c r="T98" s="94" t="str">
        <f aca="false">IF($C98="","",SUMIFS(Project_Activity!$P$2:$P$5000,Project_Activity!$C$2:$C$5000,$C98,Project_Activity!$U$2:$U$5000,"Recoverable",Project_Activity!$H$2:$H$5000,"&gt;="&amp;DATE(VALUE(LEFT($B98,4)),1,1),Project_Activity!$H$2:$H$5000,"&lt;="&amp;EOMONTH(DATE(VALUE(LEFT($B98,4)),VALUE(RIGHT($B98,1))*3,1),0)))</f>
        <v/>
      </c>
      <c r="U98" s="94" t="str">
        <f aca="false">IF($C98="","",-SUMIFS(Project_Activity!$P$2:$P$5000,Project_Activity!$C$2:$C$5000,$C98,Project_Activity!$U$2:$U$5000,"Recovered Expenses",Project_Activity!$H$2:$H$5000,"&gt;="&amp;DATE(VALUE(LEFT($B98,4)),1,1),Project_Activity!$H$2:$H$5000,"&lt;="&amp;EOMONTH(DATE(VALUE(LEFT($B98,4)),VALUE(RIGHT($B98,1))*3,1),0)))</f>
        <v/>
      </c>
      <c r="V98" s="145"/>
      <c r="W98" s="94" t="str">
        <f aca="false">IF($C98="","",$V98*$N98)</f>
        <v/>
      </c>
      <c r="X98" s="145"/>
      <c r="Y98" s="94" t="str">
        <f aca="false">IF($C98="","",$X98*$N98)</f>
        <v/>
      </c>
      <c r="Z98" s="145"/>
      <c r="AA98" s="94" t="str">
        <f aca="false">IF($C98="","",$Z98*$N98)</f>
        <v/>
      </c>
      <c r="AB98" s="145"/>
      <c r="AC98" s="94" t="str">
        <f aca="false">IF($C98="","",$AB98*$N98)</f>
        <v/>
      </c>
      <c r="AD98" s="94" t="str">
        <f aca="false">IF($C98="","",SUMPRODUCT((VALUE(MID($B98,7,1))&gt;={1,2,3,4})*CHOOSE({1,2,3,4},$W98,$Y98,$AA98,$AC98)))</f>
        <v/>
      </c>
      <c r="AE98" s="94" t="str">
        <f aca="false">IF($C98="","",$W98+$Y98+$AA98+$AC98-$AD98)</f>
        <v/>
      </c>
      <c r="AF98" s="146"/>
      <c r="AG98" s="146"/>
      <c r="AH98" s="146"/>
      <c r="AI98" s="147" t="str">
        <f aca="false">IF($C98="","",IF(OR($L98="Pipeline",$N98&lt;0,$O98&gt;$N98+1,($V98+$X98+$Z98+$AB98)&gt;1.0001,ISNUMBER(SEARCH("not signed",$AF98))),"REVIEW","OK"))</f>
        <v/>
      </c>
    </row>
    <row r="99" customFormat="false" ht="13.5" hidden="false" customHeight="false" outlineLevel="0" collapsed="false">
      <c r="A99" s="95" t="str">
        <f aca="false">IF($C99="","",Controls!$B$7)</f>
        <v/>
      </c>
      <c r="B99" s="95" t="str">
        <f aca="false">IF($C99="","",Controls!$B$30)</f>
        <v/>
      </c>
      <c r="C99" s="95" t="str">
        <f aca="false">IF(MM_Income!$A102="","",MM_Income!$A102)</f>
        <v/>
      </c>
      <c r="D99" s="95" t="str">
        <f aca="false">IF($C99="","",INDEX(MM_Income!$B$5:$B$204,MATCH($C99,MM_Income!$A$5:$A$204,0)))</f>
        <v/>
      </c>
      <c r="E99" s="95" t="str">
        <f aca="false">IF($C99="","",INDEX(MM_Income!$C$5:$C$204,MATCH($C99,MM_Income!$A$5:$A$204,0)))</f>
        <v/>
      </c>
      <c r="F99" s="95" t="str">
        <f aca="false">IF($C99="","",INDEX(MM_Income!$F$5:$F$204,MATCH($C99,MM_Income!$A$5:$A$204,0)))</f>
        <v/>
      </c>
      <c r="G99" s="95" t="str">
        <f aca="false">IF($C99="","",INDEX(MM_Income!$G$5:$G$204,MATCH($C99,MM_Income!$A$5:$A$204,0)))</f>
        <v/>
      </c>
      <c r="H99" s="95" t="str">
        <f aca="false">IF($C99="","",INDEX(MM_Income!$H$5:$H$204,MATCH($C99,MM_Income!$A$5:$A$204,0)))</f>
        <v/>
      </c>
      <c r="I99" s="95" t="str">
        <f aca="false">IF($C99="","",INDEX(MM_Income!$I$5:$I$204,MATCH($C99,MM_Income!$A$5:$A$204,0)))</f>
        <v/>
      </c>
      <c r="J99" s="95" t="str">
        <f aca="false">IF($C99="","",INDEX(MM_Income!$D$5:$D$204,MATCH($C99,MM_Income!$A$5:$A$204,0)))</f>
        <v/>
      </c>
      <c r="K99" s="95" t="str">
        <f aca="false">IF($C99="","",INDEX(MM_Income!$E$5:$E$204,MATCH($C99,MM_Income!$A$5:$A$204,0)))</f>
        <v/>
      </c>
      <c r="L99" s="95" t="str">
        <f aca="false">IF($C99="","",INDEX(MM_Income!$U$5:$U$204,MATCH($C99,MM_Income!$A$5:$A$204,0)))</f>
        <v/>
      </c>
      <c r="M99" s="143" t="str">
        <f aca="false">IF($C99="","",INDEX(MM_Income!$V$5:$V$204,MATCH($C99,MM_Income!$A$5:$A$204,0)))</f>
        <v/>
      </c>
      <c r="N99" s="144" t="str">
        <f aca="false">IF($C99="","",INDEX(MM_Income!$T$5:$T$204,MATCH($C99,MM_Income!$A$5:$A$204,0)))</f>
        <v/>
      </c>
      <c r="O99" s="94" t="str">
        <f aca="false">IF($C99="","",-SUMIFS(Project_Activity!$P$2:$P$5000,Project_Activity!$C$2:$C$5000,$C99,Project_Activity!$U$2:$U$5000,"Invoiced Income",Project_Activity!$H$2:$H$5000,"&gt;="&amp;DATE(VALUE(LEFT($B99,4)),1,1),Project_Activity!$H$2:$H$5000,"&lt;="&amp;EOMONTH(DATE(VALUE(LEFT($B99,4)),VALUE(RIGHT($B99,1))*3,1),0)))</f>
        <v/>
      </c>
      <c r="P99" s="94" t="str">
        <f aca="false">IF($C99="","",SUMIFS(Project_Activity!$P$2:$P$5000,Project_Activity!$C$2:$C$5000,$C99,Project_Activity!$U$2:$U$5000,"Subcontractor",Project_Activity!$H$2:$H$5000,"&gt;="&amp;DATE(VALUE(LEFT($B99,4)),1,1),Project_Activity!$H$2:$H$5000,"&lt;="&amp;EOMONTH(DATE(VALUE(LEFT($B99,4)),VALUE(RIGHT($B99,1))*3,1),0)))</f>
        <v/>
      </c>
      <c r="Q99" s="94" t="str">
        <f aca="false">IF($C99="","",SUMIFS(Project_Activity!$P$2:$P$5000,Project_Activity!$C$2:$C$5000,$C99,Project_Activity!$U$2:$U$5000,"Project Inclusive",Project_Activity!$H$2:$H$5000,"&gt;="&amp;DATE(VALUE(LEFT($B99,4)),1,1),Project_Activity!$H$2:$H$5000,"&lt;="&amp;EOMONTH(DATE(VALUE(LEFT($B99,4)),VALUE(RIGHT($B99,1))*3,1),0)))</f>
        <v/>
      </c>
      <c r="R99" s="94" t="str">
        <f aca="false">IF($C99="","",SUMIFS(Project_Activity!$P$2:$P$5000,Project_Activity!$C$2:$C$5000,$C99,Project_Activity!$U$2:$U$5000,"Non-Recoverable",Project_Activity!$H$2:$H$5000,"&gt;="&amp;DATE(VALUE(LEFT($B99,4)),1,1),Project_Activity!$H$2:$H$5000,"&lt;="&amp;EOMONTH(DATE(VALUE(LEFT($B99,4)),VALUE(RIGHT($B99,1))*3,1),0)))</f>
        <v/>
      </c>
      <c r="S99" s="94" t="str">
        <f aca="false">IF($C99="","",$O99-$P99-$Q99-$R99)</f>
        <v/>
      </c>
      <c r="T99" s="94" t="str">
        <f aca="false">IF($C99="","",SUMIFS(Project_Activity!$P$2:$P$5000,Project_Activity!$C$2:$C$5000,$C99,Project_Activity!$U$2:$U$5000,"Recoverable",Project_Activity!$H$2:$H$5000,"&gt;="&amp;DATE(VALUE(LEFT($B99,4)),1,1),Project_Activity!$H$2:$H$5000,"&lt;="&amp;EOMONTH(DATE(VALUE(LEFT($B99,4)),VALUE(RIGHT($B99,1))*3,1),0)))</f>
        <v/>
      </c>
      <c r="U99" s="94" t="str">
        <f aca="false">IF($C99="","",-SUMIFS(Project_Activity!$P$2:$P$5000,Project_Activity!$C$2:$C$5000,$C99,Project_Activity!$U$2:$U$5000,"Recovered Expenses",Project_Activity!$H$2:$H$5000,"&gt;="&amp;DATE(VALUE(LEFT($B99,4)),1,1),Project_Activity!$H$2:$H$5000,"&lt;="&amp;EOMONTH(DATE(VALUE(LEFT($B99,4)),VALUE(RIGHT($B99,1))*3,1),0)))</f>
        <v/>
      </c>
      <c r="V99" s="145"/>
      <c r="W99" s="94" t="str">
        <f aca="false">IF($C99="","",$V99*$N99)</f>
        <v/>
      </c>
      <c r="X99" s="145"/>
      <c r="Y99" s="94" t="str">
        <f aca="false">IF($C99="","",$X99*$N99)</f>
        <v/>
      </c>
      <c r="Z99" s="145"/>
      <c r="AA99" s="94" t="str">
        <f aca="false">IF($C99="","",$Z99*$N99)</f>
        <v/>
      </c>
      <c r="AB99" s="145"/>
      <c r="AC99" s="94" t="str">
        <f aca="false">IF($C99="","",$AB99*$N99)</f>
        <v/>
      </c>
      <c r="AD99" s="94" t="str">
        <f aca="false">IF($C99="","",SUMPRODUCT((VALUE(MID($B99,7,1))&gt;={1,2,3,4})*CHOOSE({1,2,3,4},$W99,$Y99,$AA99,$AC99)))</f>
        <v/>
      </c>
      <c r="AE99" s="94" t="str">
        <f aca="false">IF($C99="","",$W99+$Y99+$AA99+$AC99-$AD99)</f>
        <v/>
      </c>
      <c r="AF99" s="146"/>
      <c r="AG99" s="146"/>
      <c r="AH99" s="146"/>
      <c r="AI99" s="147" t="str">
        <f aca="false">IF($C99="","",IF(OR($L99="Pipeline",$N99&lt;0,$O99&gt;$N99+1,($V99+$X99+$Z99+$AB99)&gt;1.0001,ISNUMBER(SEARCH("not signed",$AF99))),"REVIEW","OK"))</f>
        <v/>
      </c>
    </row>
    <row r="100" customFormat="false" ht="13.5" hidden="false" customHeight="false" outlineLevel="0" collapsed="false">
      <c r="A100" s="95" t="str">
        <f aca="false">IF($C100="","",Controls!$B$7)</f>
        <v/>
      </c>
      <c r="B100" s="95" t="str">
        <f aca="false">IF($C100="","",Controls!$B$30)</f>
        <v/>
      </c>
      <c r="C100" s="95" t="str">
        <f aca="false">IF(MM_Income!$A103="","",MM_Income!$A103)</f>
        <v/>
      </c>
      <c r="D100" s="95" t="str">
        <f aca="false">IF($C100="","",INDEX(MM_Income!$B$5:$B$204,MATCH($C100,MM_Income!$A$5:$A$204,0)))</f>
        <v/>
      </c>
      <c r="E100" s="95" t="str">
        <f aca="false">IF($C100="","",INDEX(MM_Income!$C$5:$C$204,MATCH($C100,MM_Income!$A$5:$A$204,0)))</f>
        <v/>
      </c>
      <c r="F100" s="95" t="str">
        <f aca="false">IF($C100="","",INDEX(MM_Income!$F$5:$F$204,MATCH($C100,MM_Income!$A$5:$A$204,0)))</f>
        <v/>
      </c>
      <c r="G100" s="95" t="str">
        <f aca="false">IF($C100="","",INDEX(MM_Income!$G$5:$G$204,MATCH($C100,MM_Income!$A$5:$A$204,0)))</f>
        <v/>
      </c>
      <c r="H100" s="95" t="str">
        <f aca="false">IF($C100="","",INDEX(MM_Income!$H$5:$H$204,MATCH($C100,MM_Income!$A$5:$A$204,0)))</f>
        <v/>
      </c>
      <c r="I100" s="95" t="str">
        <f aca="false">IF($C100="","",INDEX(MM_Income!$I$5:$I$204,MATCH($C100,MM_Income!$A$5:$A$204,0)))</f>
        <v/>
      </c>
      <c r="J100" s="95" t="str">
        <f aca="false">IF($C100="","",INDEX(MM_Income!$D$5:$D$204,MATCH($C100,MM_Income!$A$5:$A$204,0)))</f>
        <v/>
      </c>
      <c r="K100" s="95" t="str">
        <f aca="false">IF($C100="","",INDEX(MM_Income!$E$5:$E$204,MATCH($C100,MM_Income!$A$5:$A$204,0)))</f>
        <v/>
      </c>
      <c r="L100" s="95" t="str">
        <f aca="false">IF($C100="","",INDEX(MM_Income!$U$5:$U$204,MATCH($C100,MM_Income!$A$5:$A$204,0)))</f>
        <v/>
      </c>
      <c r="M100" s="143" t="str">
        <f aca="false">IF($C100="","",INDEX(MM_Income!$V$5:$V$204,MATCH($C100,MM_Income!$A$5:$A$204,0)))</f>
        <v/>
      </c>
      <c r="N100" s="144" t="str">
        <f aca="false">IF($C100="","",INDEX(MM_Income!$T$5:$T$204,MATCH($C100,MM_Income!$A$5:$A$204,0)))</f>
        <v/>
      </c>
      <c r="O100" s="94" t="str">
        <f aca="false">IF($C100="","",-SUMIFS(Project_Activity!$P$2:$P$5000,Project_Activity!$C$2:$C$5000,$C100,Project_Activity!$U$2:$U$5000,"Invoiced Income",Project_Activity!$H$2:$H$5000,"&gt;="&amp;DATE(VALUE(LEFT($B100,4)),1,1),Project_Activity!$H$2:$H$5000,"&lt;="&amp;EOMONTH(DATE(VALUE(LEFT($B100,4)),VALUE(RIGHT($B100,1))*3,1),0)))</f>
        <v/>
      </c>
      <c r="P100" s="94" t="str">
        <f aca="false">IF($C100="","",SUMIFS(Project_Activity!$P$2:$P$5000,Project_Activity!$C$2:$C$5000,$C100,Project_Activity!$U$2:$U$5000,"Subcontractor",Project_Activity!$H$2:$H$5000,"&gt;="&amp;DATE(VALUE(LEFT($B100,4)),1,1),Project_Activity!$H$2:$H$5000,"&lt;="&amp;EOMONTH(DATE(VALUE(LEFT($B100,4)),VALUE(RIGHT($B100,1))*3,1),0)))</f>
        <v/>
      </c>
      <c r="Q100" s="94" t="str">
        <f aca="false">IF($C100="","",SUMIFS(Project_Activity!$P$2:$P$5000,Project_Activity!$C$2:$C$5000,$C100,Project_Activity!$U$2:$U$5000,"Project Inclusive",Project_Activity!$H$2:$H$5000,"&gt;="&amp;DATE(VALUE(LEFT($B100,4)),1,1),Project_Activity!$H$2:$H$5000,"&lt;="&amp;EOMONTH(DATE(VALUE(LEFT($B100,4)),VALUE(RIGHT($B100,1))*3,1),0)))</f>
        <v/>
      </c>
      <c r="R100" s="94" t="str">
        <f aca="false">IF($C100="","",SUMIFS(Project_Activity!$P$2:$P$5000,Project_Activity!$C$2:$C$5000,$C100,Project_Activity!$U$2:$U$5000,"Non-Recoverable",Project_Activity!$H$2:$H$5000,"&gt;="&amp;DATE(VALUE(LEFT($B100,4)),1,1),Project_Activity!$H$2:$H$5000,"&lt;="&amp;EOMONTH(DATE(VALUE(LEFT($B100,4)),VALUE(RIGHT($B100,1))*3,1),0)))</f>
        <v/>
      </c>
      <c r="S100" s="94" t="str">
        <f aca="false">IF($C100="","",$O100-$P100-$Q100-$R100)</f>
        <v/>
      </c>
      <c r="T100" s="94" t="str">
        <f aca="false">IF($C100="","",SUMIFS(Project_Activity!$P$2:$P$5000,Project_Activity!$C$2:$C$5000,$C100,Project_Activity!$U$2:$U$5000,"Recoverable",Project_Activity!$H$2:$H$5000,"&gt;="&amp;DATE(VALUE(LEFT($B100,4)),1,1),Project_Activity!$H$2:$H$5000,"&lt;="&amp;EOMONTH(DATE(VALUE(LEFT($B100,4)),VALUE(RIGHT($B100,1))*3,1),0)))</f>
        <v/>
      </c>
      <c r="U100" s="94" t="str">
        <f aca="false">IF($C100="","",-SUMIFS(Project_Activity!$P$2:$P$5000,Project_Activity!$C$2:$C$5000,$C100,Project_Activity!$U$2:$U$5000,"Recovered Expenses",Project_Activity!$H$2:$H$5000,"&gt;="&amp;DATE(VALUE(LEFT($B100,4)),1,1),Project_Activity!$H$2:$H$5000,"&lt;="&amp;EOMONTH(DATE(VALUE(LEFT($B100,4)),VALUE(RIGHT($B100,1))*3,1),0)))</f>
        <v/>
      </c>
      <c r="V100" s="145"/>
      <c r="W100" s="94" t="str">
        <f aca="false">IF($C100="","",$V100*$N100)</f>
        <v/>
      </c>
      <c r="X100" s="145"/>
      <c r="Y100" s="94" t="str">
        <f aca="false">IF($C100="","",$X100*$N100)</f>
        <v/>
      </c>
      <c r="Z100" s="145"/>
      <c r="AA100" s="94" t="str">
        <f aca="false">IF($C100="","",$Z100*$N100)</f>
        <v/>
      </c>
      <c r="AB100" s="145"/>
      <c r="AC100" s="94" t="str">
        <f aca="false">IF($C100="","",$AB100*$N100)</f>
        <v/>
      </c>
      <c r="AD100" s="94" t="str">
        <f aca="false">IF($C100="","",SUMPRODUCT((VALUE(MID($B100,7,1))&gt;={1,2,3,4})*CHOOSE({1,2,3,4},$W100,$Y100,$AA100,$AC100)))</f>
        <v/>
      </c>
      <c r="AE100" s="94" t="str">
        <f aca="false">IF($C100="","",$W100+$Y100+$AA100+$AC100-$AD100)</f>
        <v/>
      </c>
      <c r="AF100" s="146"/>
      <c r="AG100" s="146"/>
      <c r="AH100" s="146"/>
      <c r="AI100" s="147" t="str">
        <f aca="false">IF($C100="","",IF(OR($L100="Pipeline",$N100&lt;0,$O100&gt;$N100+1,($V100+$X100+$Z100+$AB100)&gt;1.0001,ISNUMBER(SEARCH("not signed",$AF100))),"REVIEW","OK"))</f>
        <v/>
      </c>
    </row>
    <row r="101" customFormat="false" ht="13.5" hidden="false" customHeight="false" outlineLevel="0" collapsed="false">
      <c r="A101" s="95" t="str">
        <f aca="false">IF($C101="","",Controls!$B$7)</f>
        <v/>
      </c>
      <c r="B101" s="95" t="str">
        <f aca="false">IF($C101="","",Controls!$B$30)</f>
        <v/>
      </c>
      <c r="C101" s="95" t="str">
        <f aca="false">IF(MM_Income!$A104="","",MM_Income!$A104)</f>
        <v/>
      </c>
      <c r="D101" s="95" t="str">
        <f aca="false">IF($C101="","",INDEX(MM_Income!$B$5:$B$204,MATCH($C101,MM_Income!$A$5:$A$204,0)))</f>
        <v/>
      </c>
      <c r="E101" s="95" t="str">
        <f aca="false">IF($C101="","",INDEX(MM_Income!$C$5:$C$204,MATCH($C101,MM_Income!$A$5:$A$204,0)))</f>
        <v/>
      </c>
      <c r="F101" s="95" t="str">
        <f aca="false">IF($C101="","",INDEX(MM_Income!$F$5:$F$204,MATCH($C101,MM_Income!$A$5:$A$204,0)))</f>
        <v/>
      </c>
      <c r="G101" s="95" t="str">
        <f aca="false">IF($C101="","",INDEX(MM_Income!$G$5:$G$204,MATCH($C101,MM_Income!$A$5:$A$204,0)))</f>
        <v/>
      </c>
      <c r="H101" s="95" t="str">
        <f aca="false">IF($C101="","",INDEX(MM_Income!$H$5:$H$204,MATCH($C101,MM_Income!$A$5:$A$204,0)))</f>
        <v/>
      </c>
      <c r="I101" s="95" t="str">
        <f aca="false">IF($C101="","",INDEX(MM_Income!$I$5:$I$204,MATCH($C101,MM_Income!$A$5:$A$204,0)))</f>
        <v/>
      </c>
      <c r="J101" s="95" t="str">
        <f aca="false">IF($C101="","",INDEX(MM_Income!$D$5:$D$204,MATCH($C101,MM_Income!$A$5:$A$204,0)))</f>
        <v/>
      </c>
      <c r="K101" s="95" t="str">
        <f aca="false">IF($C101="","",INDEX(MM_Income!$E$5:$E$204,MATCH($C101,MM_Income!$A$5:$A$204,0)))</f>
        <v/>
      </c>
      <c r="L101" s="95" t="str">
        <f aca="false">IF($C101="","",INDEX(MM_Income!$U$5:$U$204,MATCH($C101,MM_Income!$A$5:$A$204,0)))</f>
        <v/>
      </c>
      <c r="M101" s="143" t="str">
        <f aca="false">IF($C101="","",INDEX(MM_Income!$V$5:$V$204,MATCH($C101,MM_Income!$A$5:$A$204,0)))</f>
        <v/>
      </c>
      <c r="N101" s="144" t="str">
        <f aca="false">IF($C101="","",INDEX(MM_Income!$T$5:$T$204,MATCH($C101,MM_Income!$A$5:$A$204,0)))</f>
        <v/>
      </c>
      <c r="O101" s="94" t="str">
        <f aca="false">IF($C101="","",-SUMIFS(Project_Activity!$P$2:$P$5000,Project_Activity!$C$2:$C$5000,$C101,Project_Activity!$U$2:$U$5000,"Invoiced Income",Project_Activity!$H$2:$H$5000,"&gt;="&amp;DATE(VALUE(LEFT($B101,4)),1,1),Project_Activity!$H$2:$H$5000,"&lt;="&amp;EOMONTH(DATE(VALUE(LEFT($B101,4)),VALUE(RIGHT($B101,1))*3,1),0)))</f>
        <v/>
      </c>
      <c r="P101" s="94" t="str">
        <f aca="false">IF($C101="","",SUMIFS(Project_Activity!$P$2:$P$5000,Project_Activity!$C$2:$C$5000,$C101,Project_Activity!$U$2:$U$5000,"Subcontractor",Project_Activity!$H$2:$H$5000,"&gt;="&amp;DATE(VALUE(LEFT($B101,4)),1,1),Project_Activity!$H$2:$H$5000,"&lt;="&amp;EOMONTH(DATE(VALUE(LEFT($B101,4)),VALUE(RIGHT($B101,1))*3,1),0)))</f>
        <v/>
      </c>
      <c r="Q101" s="94" t="str">
        <f aca="false">IF($C101="","",SUMIFS(Project_Activity!$P$2:$P$5000,Project_Activity!$C$2:$C$5000,$C101,Project_Activity!$U$2:$U$5000,"Project Inclusive",Project_Activity!$H$2:$H$5000,"&gt;="&amp;DATE(VALUE(LEFT($B101,4)),1,1),Project_Activity!$H$2:$H$5000,"&lt;="&amp;EOMONTH(DATE(VALUE(LEFT($B101,4)),VALUE(RIGHT($B101,1))*3,1),0)))</f>
        <v/>
      </c>
      <c r="R101" s="94" t="str">
        <f aca="false">IF($C101="","",SUMIFS(Project_Activity!$P$2:$P$5000,Project_Activity!$C$2:$C$5000,$C101,Project_Activity!$U$2:$U$5000,"Non-Recoverable",Project_Activity!$H$2:$H$5000,"&gt;="&amp;DATE(VALUE(LEFT($B101,4)),1,1),Project_Activity!$H$2:$H$5000,"&lt;="&amp;EOMONTH(DATE(VALUE(LEFT($B101,4)),VALUE(RIGHT($B101,1))*3,1),0)))</f>
        <v/>
      </c>
      <c r="S101" s="94" t="str">
        <f aca="false">IF($C101="","",$O101-$P101-$Q101-$R101)</f>
        <v/>
      </c>
      <c r="T101" s="94" t="str">
        <f aca="false">IF($C101="","",SUMIFS(Project_Activity!$P$2:$P$5000,Project_Activity!$C$2:$C$5000,$C101,Project_Activity!$U$2:$U$5000,"Recoverable",Project_Activity!$H$2:$H$5000,"&gt;="&amp;DATE(VALUE(LEFT($B101,4)),1,1),Project_Activity!$H$2:$H$5000,"&lt;="&amp;EOMONTH(DATE(VALUE(LEFT($B101,4)),VALUE(RIGHT($B101,1))*3,1),0)))</f>
        <v/>
      </c>
      <c r="U101" s="94" t="str">
        <f aca="false">IF($C101="","",-SUMIFS(Project_Activity!$P$2:$P$5000,Project_Activity!$C$2:$C$5000,$C101,Project_Activity!$U$2:$U$5000,"Recovered Expenses",Project_Activity!$H$2:$H$5000,"&gt;="&amp;DATE(VALUE(LEFT($B101,4)),1,1),Project_Activity!$H$2:$H$5000,"&lt;="&amp;EOMONTH(DATE(VALUE(LEFT($B101,4)),VALUE(RIGHT($B101,1))*3,1),0)))</f>
        <v/>
      </c>
      <c r="V101" s="145"/>
      <c r="W101" s="94" t="str">
        <f aca="false">IF($C101="","",$V101*$N101)</f>
        <v/>
      </c>
      <c r="X101" s="145"/>
      <c r="Y101" s="94" t="str">
        <f aca="false">IF($C101="","",$X101*$N101)</f>
        <v/>
      </c>
      <c r="Z101" s="145"/>
      <c r="AA101" s="94" t="str">
        <f aca="false">IF($C101="","",$Z101*$N101)</f>
        <v/>
      </c>
      <c r="AB101" s="145"/>
      <c r="AC101" s="94" t="str">
        <f aca="false">IF($C101="","",$AB101*$N101)</f>
        <v/>
      </c>
      <c r="AD101" s="94" t="str">
        <f aca="false">IF($C101="","",SUMPRODUCT((VALUE(MID($B101,7,1))&gt;={1,2,3,4})*CHOOSE({1,2,3,4},$W101,$Y101,$AA101,$AC101)))</f>
        <v/>
      </c>
      <c r="AE101" s="94" t="str">
        <f aca="false">IF($C101="","",$W101+$Y101+$AA101+$AC101-$AD101)</f>
        <v/>
      </c>
      <c r="AF101" s="146"/>
      <c r="AG101" s="146"/>
      <c r="AH101" s="146"/>
      <c r="AI101" s="147" t="str">
        <f aca="false">IF($C101="","",IF(OR($L101="Pipeline",$N101&lt;0,$O101&gt;$N101+1,($V101+$X101+$Z101+$AB101)&gt;1.0001,ISNUMBER(SEARCH("not signed",$AF101))),"REVIEW","OK"))</f>
        <v/>
      </c>
    </row>
    <row r="102" customFormat="false" ht="13.5" hidden="false" customHeight="false" outlineLevel="0" collapsed="false">
      <c r="A102" s="95" t="str">
        <f aca="false">IF($C102="","",Controls!$B$7)</f>
        <v/>
      </c>
      <c r="B102" s="95" t="str">
        <f aca="false">IF($C102="","",Controls!$B$30)</f>
        <v/>
      </c>
      <c r="C102" s="95" t="str">
        <f aca="false">IF(MM_Income!$A105="","",MM_Income!$A105)</f>
        <v/>
      </c>
      <c r="D102" s="95" t="str">
        <f aca="false">IF($C102="","",INDEX(MM_Income!$B$5:$B$204,MATCH($C102,MM_Income!$A$5:$A$204,0)))</f>
        <v/>
      </c>
      <c r="E102" s="95" t="str">
        <f aca="false">IF($C102="","",INDEX(MM_Income!$C$5:$C$204,MATCH($C102,MM_Income!$A$5:$A$204,0)))</f>
        <v/>
      </c>
      <c r="F102" s="95" t="str">
        <f aca="false">IF($C102="","",INDEX(MM_Income!$F$5:$F$204,MATCH($C102,MM_Income!$A$5:$A$204,0)))</f>
        <v/>
      </c>
      <c r="G102" s="95" t="str">
        <f aca="false">IF($C102="","",INDEX(MM_Income!$G$5:$G$204,MATCH($C102,MM_Income!$A$5:$A$204,0)))</f>
        <v/>
      </c>
      <c r="H102" s="95" t="str">
        <f aca="false">IF($C102="","",INDEX(MM_Income!$H$5:$H$204,MATCH($C102,MM_Income!$A$5:$A$204,0)))</f>
        <v/>
      </c>
      <c r="I102" s="95" t="str">
        <f aca="false">IF($C102="","",INDEX(MM_Income!$I$5:$I$204,MATCH($C102,MM_Income!$A$5:$A$204,0)))</f>
        <v/>
      </c>
      <c r="J102" s="95" t="str">
        <f aca="false">IF($C102="","",INDEX(MM_Income!$D$5:$D$204,MATCH($C102,MM_Income!$A$5:$A$204,0)))</f>
        <v/>
      </c>
      <c r="K102" s="95" t="str">
        <f aca="false">IF($C102="","",INDEX(MM_Income!$E$5:$E$204,MATCH($C102,MM_Income!$A$5:$A$204,0)))</f>
        <v/>
      </c>
      <c r="L102" s="95" t="str">
        <f aca="false">IF($C102="","",INDEX(MM_Income!$U$5:$U$204,MATCH($C102,MM_Income!$A$5:$A$204,0)))</f>
        <v/>
      </c>
      <c r="M102" s="143" t="str">
        <f aca="false">IF($C102="","",INDEX(MM_Income!$V$5:$V$204,MATCH($C102,MM_Income!$A$5:$A$204,0)))</f>
        <v/>
      </c>
      <c r="N102" s="144" t="str">
        <f aca="false">IF($C102="","",INDEX(MM_Income!$T$5:$T$204,MATCH($C102,MM_Income!$A$5:$A$204,0)))</f>
        <v/>
      </c>
      <c r="O102" s="94" t="str">
        <f aca="false">IF($C102="","",-SUMIFS(Project_Activity!$P$2:$P$5000,Project_Activity!$C$2:$C$5000,$C102,Project_Activity!$U$2:$U$5000,"Invoiced Income",Project_Activity!$H$2:$H$5000,"&gt;="&amp;DATE(VALUE(LEFT($B102,4)),1,1),Project_Activity!$H$2:$H$5000,"&lt;="&amp;EOMONTH(DATE(VALUE(LEFT($B102,4)),VALUE(RIGHT($B102,1))*3,1),0)))</f>
        <v/>
      </c>
      <c r="P102" s="94" t="str">
        <f aca="false">IF($C102="","",SUMIFS(Project_Activity!$P$2:$P$5000,Project_Activity!$C$2:$C$5000,$C102,Project_Activity!$U$2:$U$5000,"Subcontractor",Project_Activity!$H$2:$H$5000,"&gt;="&amp;DATE(VALUE(LEFT($B102,4)),1,1),Project_Activity!$H$2:$H$5000,"&lt;="&amp;EOMONTH(DATE(VALUE(LEFT($B102,4)),VALUE(RIGHT($B102,1))*3,1),0)))</f>
        <v/>
      </c>
      <c r="Q102" s="94" t="str">
        <f aca="false">IF($C102="","",SUMIFS(Project_Activity!$P$2:$P$5000,Project_Activity!$C$2:$C$5000,$C102,Project_Activity!$U$2:$U$5000,"Project Inclusive",Project_Activity!$H$2:$H$5000,"&gt;="&amp;DATE(VALUE(LEFT($B102,4)),1,1),Project_Activity!$H$2:$H$5000,"&lt;="&amp;EOMONTH(DATE(VALUE(LEFT($B102,4)),VALUE(RIGHT($B102,1))*3,1),0)))</f>
        <v/>
      </c>
      <c r="R102" s="94" t="str">
        <f aca="false">IF($C102="","",SUMIFS(Project_Activity!$P$2:$P$5000,Project_Activity!$C$2:$C$5000,$C102,Project_Activity!$U$2:$U$5000,"Non-Recoverable",Project_Activity!$H$2:$H$5000,"&gt;="&amp;DATE(VALUE(LEFT($B102,4)),1,1),Project_Activity!$H$2:$H$5000,"&lt;="&amp;EOMONTH(DATE(VALUE(LEFT($B102,4)),VALUE(RIGHT($B102,1))*3,1),0)))</f>
        <v/>
      </c>
      <c r="S102" s="94" t="str">
        <f aca="false">IF($C102="","",$O102-$P102-$Q102-$R102)</f>
        <v/>
      </c>
      <c r="T102" s="94" t="str">
        <f aca="false">IF($C102="","",SUMIFS(Project_Activity!$P$2:$P$5000,Project_Activity!$C$2:$C$5000,$C102,Project_Activity!$U$2:$U$5000,"Recoverable",Project_Activity!$H$2:$H$5000,"&gt;="&amp;DATE(VALUE(LEFT($B102,4)),1,1),Project_Activity!$H$2:$H$5000,"&lt;="&amp;EOMONTH(DATE(VALUE(LEFT($B102,4)),VALUE(RIGHT($B102,1))*3,1),0)))</f>
        <v/>
      </c>
      <c r="U102" s="94" t="str">
        <f aca="false">IF($C102="","",-SUMIFS(Project_Activity!$P$2:$P$5000,Project_Activity!$C$2:$C$5000,$C102,Project_Activity!$U$2:$U$5000,"Recovered Expenses",Project_Activity!$H$2:$H$5000,"&gt;="&amp;DATE(VALUE(LEFT($B102,4)),1,1),Project_Activity!$H$2:$H$5000,"&lt;="&amp;EOMONTH(DATE(VALUE(LEFT($B102,4)),VALUE(RIGHT($B102,1))*3,1),0)))</f>
        <v/>
      </c>
      <c r="V102" s="145"/>
      <c r="W102" s="94" t="str">
        <f aca="false">IF($C102="","",$V102*$N102)</f>
        <v/>
      </c>
      <c r="X102" s="145"/>
      <c r="Y102" s="94" t="str">
        <f aca="false">IF($C102="","",$X102*$N102)</f>
        <v/>
      </c>
      <c r="Z102" s="145"/>
      <c r="AA102" s="94" t="str">
        <f aca="false">IF($C102="","",$Z102*$N102)</f>
        <v/>
      </c>
      <c r="AB102" s="145"/>
      <c r="AC102" s="94" t="str">
        <f aca="false">IF($C102="","",$AB102*$N102)</f>
        <v/>
      </c>
      <c r="AD102" s="94" t="str">
        <f aca="false">IF($C102="","",SUMPRODUCT((VALUE(MID($B102,7,1))&gt;={1,2,3,4})*CHOOSE({1,2,3,4},$W102,$Y102,$AA102,$AC102)))</f>
        <v/>
      </c>
      <c r="AE102" s="94" t="str">
        <f aca="false">IF($C102="","",$W102+$Y102+$AA102+$AC102-$AD102)</f>
        <v/>
      </c>
      <c r="AF102" s="146"/>
      <c r="AG102" s="146"/>
      <c r="AH102" s="146"/>
      <c r="AI102" s="147" t="str">
        <f aca="false">IF($C102="","",IF(OR($L102="Pipeline",$N102&lt;0,$O102&gt;$N102+1,($V102+$X102+$Z102+$AB102)&gt;1.0001,ISNUMBER(SEARCH("not signed",$AF102))),"REVIEW","OK"))</f>
        <v/>
      </c>
    </row>
    <row r="103" customFormat="false" ht="13.5" hidden="false" customHeight="false" outlineLevel="0" collapsed="false">
      <c r="A103" s="95" t="str">
        <f aca="false">IF($C103="","",Controls!$B$7)</f>
        <v/>
      </c>
      <c r="B103" s="95" t="str">
        <f aca="false">IF($C103="","",Controls!$B$30)</f>
        <v/>
      </c>
      <c r="C103" s="95" t="str">
        <f aca="false">IF(MM_Income!$A106="","",MM_Income!$A106)</f>
        <v/>
      </c>
      <c r="D103" s="95" t="str">
        <f aca="false">IF($C103="","",INDEX(MM_Income!$B$5:$B$204,MATCH($C103,MM_Income!$A$5:$A$204,0)))</f>
        <v/>
      </c>
      <c r="E103" s="95" t="str">
        <f aca="false">IF($C103="","",INDEX(MM_Income!$C$5:$C$204,MATCH($C103,MM_Income!$A$5:$A$204,0)))</f>
        <v/>
      </c>
      <c r="F103" s="95" t="str">
        <f aca="false">IF($C103="","",INDEX(MM_Income!$F$5:$F$204,MATCH($C103,MM_Income!$A$5:$A$204,0)))</f>
        <v/>
      </c>
      <c r="G103" s="95" t="str">
        <f aca="false">IF($C103="","",INDEX(MM_Income!$G$5:$G$204,MATCH($C103,MM_Income!$A$5:$A$204,0)))</f>
        <v/>
      </c>
      <c r="H103" s="95" t="str">
        <f aca="false">IF($C103="","",INDEX(MM_Income!$H$5:$H$204,MATCH($C103,MM_Income!$A$5:$A$204,0)))</f>
        <v/>
      </c>
      <c r="I103" s="95" t="str">
        <f aca="false">IF($C103="","",INDEX(MM_Income!$I$5:$I$204,MATCH($C103,MM_Income!$A$5:$A$204,0)))</f>
        <v/>
      </c>
      <c r="J103" s="95" t="str">
        <f aca="false">IF($C103="","",INDEX(MM_Income!$D$5:$D$204,MATCH($C103,MM_Income!$A$5:$A$204,0)))</f>
        <v/>
      </c>
      <c r="K103" s="95" t="str">
        <f aca="false">IF($C103="","",INDEX(MM_Income!$E$5:$E$204,MATCH($C103,MM_Income!$A$5:$A$204,0)))</f>
        <v/>
      </c>
      <c r="L103" s="95" t="str">
        <f aca="false">IF($C103="","",INDEX(MM_Income!$U$5:$U$204,MATCH($C103,MM_Income!$A$5:$A$204,0)))</f>
        <v/>
      </c>
      <c r="M103" s="143" t="str">
        <f aca="false">IF($C103="","",INDEX(MM_Income!$V$5:$V$204,MATCH($C103,MM_Income!$A$5:$A$204,0)))</f>
        <v/>
      </c>
      <c r="N103" s="144" t="str">
        <f aca="false">IF($C103="","",INDEX(MM_Income!$T$5:$T$204,MATCH($C103,MM_Income!$A$5:$A$204,0)))</f>
        <v/>
      </c>
      <c r="O103" s="94" t="str">
        <f aca="false">IF($C103="","",-SUMIFS(Project_Activity!$P$2:$P$5000,Project_Activity!$C$2:$C$5000,$C103,Project_Activity!$U$2:$U$5000,"Invoiced Income",Project_Activity!$H$2:$H$5000,"&gt;="&amp;DATE(VALUE(LEFT($B103,4)),1,1),Project_Activity!$H$2:$H$5000,"&lt;="&amp;EOMONTH(DATE(VALUE(LEFT($B103,4)),VALUE(RIGHT($B103,1))*3,1),0)))</f>
        <v/>
      </c>
      <c r="P103" s="94" t="str">
        <f aca="false">IF($C103="","",SUMIFS(Project_Activity!$P$2:$P$5000,Project_Activity!$C$2:$C$5000,$C103,Project_Activity!$U$2:$U$5000,"Subcontractor",Project_Activity!$H$2:$H$5000,"&gt;="&amp;DATE(VALUE(LEFT($B103,4)),1,1),Project_Activity!$H$2:$H$5000,"&lt;="&amp;EOMONTH(DATE(VALUE(LEFT($B103,4)),VALUE(RIGHT($B103,1))*3,1),0)))</f>
        <v/>
      </c>
      <c r="Q103" s="94" t="str">
        <f aca="false">IF($C103="","",SUMIFS(Project_Activity!$P$2:$P$5000,Project_Activity!$C$2:$C$5000,$C103,Project_Activity!$U$2:$U$5000,"Project Inclusive",Project_Activity!$H$2:$H$5000,"&gt;="&amp;DATE(VALUE(LEFT($B103,4)),1,1),Project_Activity!$H$2:$H$5000,"&lt;="&amp;EOMONTH(DATE(VALUE(LEFT($B103,4)),VALUE(RIGHT($B103,1))*3,1),0)))</f>
        <v/>
      </c>
      <c r="R103" s="94" t="str">
        <f aca="false">IF($C103="","",SUMIFS(Project_Activity!$P$2:$P$5000,Project_Activity!$C$2:$C$5000,$C103,Project_Activity!$U$2:$U$5000,"Non-Recoverable",Project_Activity!$H$2:$H$5000,"&gt;="&amp;DATE(VALUE(LEFT($B103,4)),1,1),Project_Activity!$H$2:$H$5000,"&lt;="&amp;EOMONTH(DATE(VALUE(LEFT($B103,4)),VALUE(RIGHT($B103,1))*3,1),0)))</f>
        <v/>
      </c>
      <c r="S103" s="94" t="str">
        <f aca="false">IF($C103="","",$O103-$P103-$Q103-$R103)</f>
        <v/>
      </c>
      <c r="T103" s="94" t="str">
        <f aca="false">IF($C103="","",SUMIFS(Project_Activity!$P$2:$P$5000,Project_Activity!$C$2:$C$5000,$C103,Project_Activity!$U$2:$U$5000,"Recoverable",Project_Activity!$H$2:$H$5000,"&gt;="&amp;DATE(VALUE(LEFT($B103,4)),1,1),Project_Activity!$H$2:$H$5000,"&lt;="&amp;EOMONTH(DATE(VALUE(LEFT($B103,4)),VALUE(RIGHT($B103,1))*3,1),0)))</f>
        <v/>
      </c>
      <c r="U103" s="94" t="str">
        <f aca="false">IF($C103="","",-SUMIFS(Project_Activity!$P$2:$P$5000,Project_Activity!$C$2:$C$5000,$C103,Project_Activity!$U$2:$U$5000,"Recovered Expenses",Project_Activity!$H$2:$H$5000,"&gt;="&amp;DATE(VALUE(LEFT($B103,4)),1,1),Project_Activity!$H$2:$H$5000,"&lt;="&amp;EOMONTH(DATE(VALUE(LEFT($B103,4)),VALUE(RIGHT($B103,1))*3,1),0)))</f>
        <v/>
      </c>
      <c r="V103" s="145"/>
      <c r="W103" s="94" t="str">
        <f aca="false">IF($C103="","",$V103*$N103)</f>
        <v/>
      </c>
      <c r="X103" s="145"/>
      <c r="Y103" s="94" t="str">
        <f aca="false">IF($C103="","",$X103*$N103)</f>
        <v/>
      </c>
      <c r="Z103" s="145"/>
      <c r="AA103" s="94" t="str">
        <f aca="false">IF($C103="","",$Z103*$N103)</f>
        <v/>
      </c>
      <c r="AB103" s="145"/>
      <c r="AC103" s="94" t="str">
        <f aca="false">IF($C103="","",$AB103*$N103)</f>
        <v/>
      </c>
      <c r="AD103" s="94" t="str">
        <f aca="false">IF($C103="","",SUMPRODUCT((VALUE(MID($B103,7,1))&gt;={1,2,3,4})*CHOOSE({1,2,3,4},$W103,$Y103,$AA103,$AC103)))</f>
        <v/>
      </c>
      <c r="AE103" s="94" t="str">
        <f aca="false">IF($C103="","",$W103+$Y103+$AA103+$AC103-$AD103)</f>
        <v/>
      </c>
      <c r="AF103" s="146"/>
      <c r="AG103" s="146"/>
      <c r="AH103" s="146"/>
      <c r="AI103" s="147" t="str">
        <f aca="false">IF($C103="","",IF(OR($L103="Pipeline",$N103&lt;0,$O103&gt;$N103+1,($V103+$X103+$Z103+$AB103)&gt;1.0001,ISNUMBER(SEARCH("not signed",$AF103))),"REVIEW","OK"))</f>
        <v/>
      </c>
    </row>
    <row r="104" customFormat="false" ht="13.5" hidden="false" customHeight="false" outlineLevel="0" collapsed="false">
      <c r="A104" s="95" t="str">
        <f aca="false">IF($C104="","",Controls!$B$7)</f>
        <v/>
      </c>
      <c r="B104" s="95" t="str">
        <f aca="false">IF($C104="","",Controls!$B$30)</f>
        <v/>
      </c>
      <c r="C104" s="95" t="str">
        <f aca="false">IF(MM_Income!$A107="","",MM_Income!$A107)</f>
        <v/>
      </c>
      <c r="D104" s="95" t="str">
        <f aca="false">IF($C104="","",INDEX(MM_Income!$B$5:$B$204,MATCH($C104,MM_Income!$A$5:$A$204,0)))</f>
        <v/>
      </c>
      <c r="E104" s="95" t="str">
        <f aca="false">IF($C104="","",INDEX(MM_Income!$C$5:$C$204,MATCH($C104,MM_Income!$A$5:$A$204,0)))</f>
        <v/>
      </c>
      <c r="F104" s="95" t="str">
        <f aca="false">IF($C104="","",INDEX(MM_Income!$F$5:$F$204,MATCH($C104,MM_Income!$A$5:$A$204,0)))</f>
        <v/>
      </c>
      <c r="G104" s="95" t="str">
        <f aca="false">IF($C104="","",INDEX(MM_Income!$G$5:$G$204,MATCH($C104,MM_Income!$A$5:$A$204,0)))</f>
        <v/>
      </c>
      <c r="H104" s="95" t="str">
        <f aca="false">IF($C104="","",INDEX(MM_Income!$H$5:$H$204,MATCH($C104,MM_Income!$A$5:$A$204,0)))</f>
        <v/>
      </c>
      <c r="I104" s="95" t="str">
        <f aca="false">IF($C104="","",INDEX(MM_Income!$I$5:$I$204,MATCH($C104,MM_Income!$A$5:$A$204,0)))</f>
        <v/>
      </c>
      <c r="J104" s="95" t="str">
        <f aca="false">IF($C104="","",INDEX(MM_Income!$D$5:$D$204,MATCH($C104,MM_Income!$A$5:$A$204,0)))</f>
        <v/>
      </c>
      <c r="K104" s="95" t="str">
        <f aca="false">IF($C104="","",INDEX(MM_Income!$E$5:$E$204,MATCH($C104,MM_Income!$A$5:$A$204,0)))</f>
        <v/>
      </c>
      <c r="L104" s="95" t="str">
        <f aca="false">IF($C104="","",INDEX(MM_Income!$U$5:$U$204,MATCH($C104,MM_Income!$A$5:$A$204,0)))</f>
        <v/>
      </c>
      <c r="M104" s="143" t="str">
        <f aca="false">IF($C104="","",INDEX(MM_Income!$V$5:$V$204,MATCH($C104,MM_Income!$A$5:$A$204,0)))</f>
        <v/>
      </c>
      <c r="N104" s="144" t="str">
        <f aca="false">IF($C104="","",INDEX(MM_Income!$T$5:$T$204,MATCH($C104,MM_Income!$A$5:$A$204,0)))</f>
        <v/>
      </c>
      <c r="O104" s="94" t="str">
        <f aca="false">IF($C104="","",-SUMIFS(Project_Activity!$P$2:$P$5000,Project_Activity!$C$2:$C$5000,$C104,Project_Activity!$U$2:$U$5000,"Invoiced Income",Project_Activity!$H$2:$H$5000,"&gt;="&amp;DATE(VALUE(LEFT($B104,4)),1,1),Project_Activity!$H$2:$H$5000,"&lt;="&amp;EOMONTH(DATE(VALUE(LEFT($B104,4)),VALUE(RIGHT($B104,1))*3,1),0)))</f>
        <v/>
      </c>
      <c r="P104" s="94" t="str">
        <f aca="false">IF($C104="","",SUMIFS(Project_Activity!$P$2:$P$5000,Project_Activity!$C$2:$C$5000,$C104,Project_Activity!$U$2:$U$5000,"Subcontractor",Project_Activity!$H$2:$H$5000,"&gt;="&amp;DATE(VALUE(LEFT($B104,4)),1,1),Project_Activity!$H$2:$H$5000,"&lt;="&amp;EOMONTH(DATE(VALUE(LEFT($B104,4)),VALUE(RIGHT($B104,1))*3,1),0)))</f>
        <v/>
      </c>
      <c r="Q104" s="94" t="str">
        <f aca="false">IF($C104="","",SUMIFS(Project_Activity!$P$2:$P$5000,Project_Activity!$C$2:$C$5000,$C104,Project_Activity!$U$2:$U$5000,"Project Inclusive",Project_Activity!$H$2:$H$5000,"&gt;="&amp;DATE(VALUE(LEFT($B104,4)),1,1),Project_Activity!$H$2:$H$5000,"&lt;="&amp;EOMONTH(DATE(VALUE(LEFT($B104,4)),VALUE(RIGHT($B104,1))*3,1),0)))</f>
        <v/>
      </c>
      <c r="R104" s="94" t="str">
        <f aca="false">IF($C104="","",SUMIFS(Project_Activity!$P$2:$P$5000,Project_Activity!$C$2:$C$5000,$C104,Project_Activity!$U$2:$U$5000,"Non-Recoverable",Project_Activity!$H$2:$H$5000,"&gt;="&amp;DATE(VALUE(LEFT($B104,4)),1,1),Project_Activity!$H$2:$H$5000,"&lt;="&amp;EOMONTH(DATE(VALUE(LEFT($B104,4)),VALUE(RIGHT($B104,1))*3,1),0)))</f>
        <v/>
      </c>
      <c r="S104" s="94" t="str">
        <f aca="false">IF($C104="","",$O104-$P104-$Q104-$R104)</f>
        <v/>
      </c>
      <c r="T104" s="94" t="str">
        <f aca="false">IF($C104="","",SUMIFS(Project_Activity!$P$2:$P$5000,Project_Activity!$C$2:$C$5000,$C104,Project_Activity!$U$2:$U$5000,"Recoverable",Project_Activity!$H$2:$H$5000,"&gt;="&amp;DATE(VALUE(LEFT($B104,4)),1,1),Project_Activity!$H$2:$H$5000,"&lt;="&amp;EOMONTH(DATE(VALUE(LEFT($B104,4)),VALUE(RIGHT($B104,1))*3,1),0)))</f>
        <v/>
      </c>
      <c r="U104" s="94" t="str">
        <f aca="false">IF($C104="","",-SUMIFS(Project_Activity!$P$2:$P$5000,Project_Activity!$C$2:$C$5000,$C104,Project_Activity!$U$2:$U$5000,"Recovered Expenses",Project_Activity!$H$2:$H$5000,"&gt;="&amp;DATE(VALUE(LEFT($B104,4)),1,1),Project_Activity!$H$2:$H$5000,"&lt;="&amp;EOMONTH(DATE(VALUE(LEFT($B104,4)),VALUE(RIGHT($B104,1))*3,1),0)))</f>
        <v/>
      </c>
      <c r="V104" s="145"/>
      <c r="W104" s="94" t="str">
        <f aca="false">IF($C104="","",$V104*$N104)</f>
        <v/>
      </c>
      <c r="X104" s="145"/>
      <c r="Y104" s="94" t="str">
        <f aca="false">IF($C104="","",$X104*$N104)</f>
        <v/>
      </c>
      <c r="Z104" s="145"/>
      <c r="AA104" s="94" t="str">
        <f aca="false">IF($C104="","",$Z104*$N104)</f>
        <v/>
      </c>
      <c r="AB104" s="145"/>
      <c r="AC104" s="94" t="str">
        <f aca="false">IF($C104="","",$AB104*$N104)</f>
        <v/>
      </c>
      <c r="AD104" s="94" t="str">
        <f aca="false">IF($C104="","",SUMPRODUCT((VALUE(MID($B104,7,1))&gt;={1,2,3,4})*CHOOSE({1,2,3,4},$W104,$Y104,$AA104,$AC104)))</f>
        <v/>
      </c>
      <c r="AE104" s="94" t="str">
        <f aca="false">IF($C104="","",$W104+$Y104+$AA104+$AC104-$AD104)</f>
        <v/>
      </c>
      <c r="AF104" s="146"/>
      <c r="AG104" s="146"/>
      <c r="AH104" s="146"/>
      <c r="AI104" s="147" t="str">
        <f aca="false">IF($C104="","",IF(OR($L104="Pipeline",$N104&lt;0,$O104&gt;$N104+1,($V104+$X104+$Z104+$AB104)&gt;1.0001,ISNUMBER(SEARCH("not signed",$AF104))),"REVIEW","OK"))</f>
        <v/>
      </c>
    </row>
    <row r="105" customFormat="false" ht="13.5" hidden="false" customHeight="false" outlineLevel="0" collapsed="false">
      <c r="A105" s="95" t="str">
        <f aca="false">IF($C105="","",Controls!$B$7)</f>
        <v/>
      </c>
      <c r="B105" s="95" t="str">
        <f aca="false">IF($C105="","",Controls!$B$30)</f>
        <v/>
      </c>
      <c r="C105" s="95" t="str">
        <f aca="false">IF(MM_Income!$A108="","",MM_Income!$A108)</f>
        <v/>
      </c>
      <c r="D105" s="95" t="str">
        <f aca="false">IF($C105="","",INDEX(MM_Income!$B$5:$B$204,MATCH($C105,MM_Income!$A$5:$A$204,0)))</f>
        <v/>
      </c>
      <c r="E105" s="95" t="str">
        <f aca="false">IF($C105="","",INDEX(MM_Income!$C$5:$C$204,MATCH($C105,MM_Income!$A$5:$A$204,0)))</f>
        <v/>
      </c>
      <c r="F105" s="95" t="str">
        <f aca="false">IF($C105="","",INDEX(MM_Income!$F$5:$F$204,MATCH($C105,MM_Income!$A$5:$A$204,0)))</f>
        <v/>
      </c>
      <c r="G105" s="95" t="str">
        <f aca="false">IF($C105="","",INDEX(MM_Income!$G$5:$G$204,MATCH($C105,MM_Income!$A$5:$A$204,0)))</f>
        <v/>
      </c>
      <c r="H105" s="95" t="str">
        <f aca="false">IF($C105="","",INDEX(MM_Income!$H$5:$H$204,MATCH($C105,MM_Income!$A$5:$A$204,0)))</f>
        <v/>
      </c>
      <c r="I105" s="95" t="str">
        <f aca="false">IF($C105="","",INDEX(MM_Income!$I$5:$I$204,MATCH($C105,MM_Income!$A$5:$A$204,0)))</f>
        <v/>
      </c>
      <c r="J105" s="95" t="str">
        <f aca="false">IF($C105="","",INDEX(MM_Income!$D$5:$D$204,MATCH($C105,MM_Income!$A$5:$A$204,0)))</f>
        <v/>
      </c>
      <c r="K105" s="95" t="str">
        <f aca="false">IF($C105="","",INDEX(MM_Income!$E$5:$E$204,MATCH($C105,MM_Income!$A$5:$A$204,0)))</f>
        <v/>
      </c>
      <c r="L105" s="95" t="str">
        <f aca="false">IF($C105="","",INDEX(MM_Income!$U$5:$U$204,MATCH($C105,MM_Income!$A$5:$A$204,0)))</f>
        <v/>
      </c>
      <c r="M105" s="143" t="str">
        <f aca="false">IF($C105="","",INDEX(MM_Income!$V$5:$V$204,MATCH($C105,MM_Income!$A$5:$A$204,0)))</f>
        <v/>
      </c>
      <c r="N105" s="144" t="str">
        <f aca="false">IF($C105="","",INDEX(MM_Income!$T$5:$T$204,MATCH($C105,MM_Income!$A$5:$A$204,0)))</f>
        <v/>
      </c>
      <c r="O105" s="94" t="str">
        <f aca="false">IF($C105="","",-SUMIFS(Project_Activity!$P$2:$P$5000,Project_Activity!$C$2:$C$5000,$C105,Project_Activity!$U$2:$U$5000,"Invoiced Income",Project_Activity!$H$2:$H$5000,"&gt;="&amp;DATE(VALUE(LEFT($B105,4)),1,1),Project_Activity!$H$2:$H$5000,"&lt;="&amp;EOMONTH(DATE(VALUE(LEFT($B105,4)),VALUE(RIGHT($B105,1))*3,1),0)))</f>
        <v/>
      </c>
      <c r="P105" s="94" t="str">
        <f aca="false">IF($C105="","",SUMIFS(Project_Activity!$P$2:$P$5000,Project_Activity!$C$2:$C$5000,$C105,Project_Activity!$U$2:$U$5000,"Subcontractor",Project_Activity!$H$2:$H$5000,"&gt;="&amp;DATE(VALUE(LEFT($B105,4)),1,1),Project_Activity!$H$2:$H$5000,"&lt;="&amp;EOMONTH(DATE(VALUE(LEFT($B105,4)),VALUE(RIGHT($B105,1))*3,1),0)))</f>
        <v/>
      </c>
      <c r="Q105" s="94" t="str">
        <f aca="false">IF($C105="","",SUMIFS(Project_Activity!$P$2:$P$5000,Project_Activity!$C$2:$C$5000,$C105,Project_Activity!$U$2:$U$5000,"Project Inclusive",Project_Activity!$H$2:$H$5000,"&gt;="&amp;DATE(VALUE(LEFT($B105,4)),1,1),Project_Activity!$H$2:$H$5000,"&lt;="&amp;EOMONTH(DATE(VALUE(LEFT($B105,4)),VALUE(RIGHT($B105,1))*3,1),0)))</f>
        <v/>
      </c>
      <c r="R105" s="94" t="str">
        <f aca="false">IF($C105="","",SUMIFS(Project_Activity!$P$2:$P$5000,Project_Activity!$C$2:$C$5000,$C105,Project_Activity!$U$2:$U$5000,"Non-Recoverable",Project_Activity!$H$2:$H$5000,"&gt;="&amp;DATE(VALUE(LEFT($B105,4)),1,1),Project_Activity!$H$2:$H$5000,"&lt;="&amp;EOMONTH(DATE(VALUE(LEFT($B105,4)),VALUE(RIGHT($B105,1))*3,1),0)))</f>
        <v/>
      </c>
      <c r="S105" s="94" t="str">
        <f aca="false">IF($C105="","",$O105-$P105-$Q105-$R105)</f>
        <v/>
      </c>
      <c r="T105" s="94" t="str">
        <f aca="false">IF($C105="","",SUMIFS(Project_Activity!$P$2:$P$5000,Project_Activity!$C$2:$C$5000,$C105,Project_Activity!$U$2:$U$5000,"Recoverable",Project_Activity!$H$2:$H$5000,"&gt;="&amp;DATE(VALUE(LEFT($B105,4)),1,1),Project_Activity!$H$2:$H$5000,"&lt;="&amp;EOMONTH(DATE(VALUE(LEFT($B105,4)),VALUE(RIGHT($B105,1))*3,1),0)))</f>
        <v/>
      </c>
      <c r="U105" s="94" t="str">
        <f aca="false">IF($C105="","",-SUMIFS(Project_Activity!$P$2:$P$5000,Project_Activity!$C$2:$C$5000,$C105,Project_Activity!$U$2:$U$5000,"Recovered Expenses",Project_Activity!$H$2:$H$5000,"&gt;="&amp;DATE(VALUE(LEFT($B105,4)),1,1),Project_Activity!$H$2:$H$5000,"&lt;="&amp;EOMONTH(DATE(VALUE(LEFT($B105,4)),VALUE(RIGHT($B105,1))*3,1),0)))</f>
        <v/>
      </c>
      <c r="V105" s="145"/>
      <c r="W105" s="94" t="str">
        <f aca="false">IF($C105="","",$V105*$N105)</f>
        <v/>
      </c>
      <c r="X105" s="145"/>
      <c r="Y105" s="94" t="str">
        <f aca="false">IF($C105="","",$X105*$N105)</f>
        <v/>
      </c>
      <c r="Z105" s="145"/>
      <c r="AA105" s="94" t="str">
        <f aca="false">IF($C105="","",$Z105*$N105)</f>
        <v/>
      </c>
      <c r="AB105" s="145"/>
      <c r="AC105" s="94" t="str">
        <f aca="false">IF($C105="","",$AB105*$N105)</f>
        <v/>
      </c>
      <c r="AD105" s="94" t="str">
        <f aca="false">IF($C105="","",SUMPRODUCT((VALUE(MID($B105,7,1))&gt;={1,2,3,4})*CHOOSE({1,2,3,4},$W105,$Y105,$AA105,$AC105)))</f>
        <v/>
      </c>
      <c r="AE105" s="94" t="str">
        <f aca="false">IF($C105="","",$W105+$Y105+$AA105+$AC105-$AD105)</f>
        <v/>
      </c>
      <c r="AF105" s="146"/>
      <c r="AG105" s="146"/>
      <c r="AH105" s="146"/>
      <c r="AI105" s="147" t="str">
        <f aca="false">IF($C105="","",IF(OR($L105="Pipeline",$N105&lt;0,$O105&gt;$N105+1,($V105+$X105+$Z105+$AB105)&gt;1.0001,ISNUMBER(SEARCH("not signed",$AF105))),"REVIEW","OK"))</f>
        <v/>
      </c>
    </row>
    <row r="106" customFormat="false" ht="13.5" hidden="false" customHeight="false" outlineLevel="0" collapsed="false">
      <c r="A106" s="95" t="str">
        <f aca="false">IF($C106="","",Controls!$B$7)</f>
        <v/>
      </c>
      <c r="B106" s="95" t="str">
        <f aca="false">IF($C106="","",Controls!$B$30)</f>
        <v/>
      </c>
      <c r="C106" s="95" t="str">
        <f aca="false">IF(MM_Income!$A109="","",MM_Income!$A109)</f>
        <v/>
      </c>
      <c r="D106" s="95" t="str">
        <f aca="false">IF($C106="","",INDEX(MM_Income!$B$5:$B$204,MATCH($C106,MM_Income!$A$5:$A$204,0)))</f>
        <v/>
      </c>
      <c r="E106" s="95" t="str">
        <f aca="false">IF($C106="","",INDEX(MM_Income!$C$5:$C$204,MATCH($C106,MM_Income!$A$5:$A$204,0)))</f>
        <v/>
      </c>
      <c r="F106" s="95" t="str">
        <f aca="false">IF($C106="","",INDEX(MM_Income!$F$5:$F$204,MATCH($C106,MM_Income!$A$5:$A$204,0)))</f>
        <v/>
      </c>
      <c r="G106" s="95" t="str">
        <f aca="false">IF($C106="","",INDEX(MM_Income!$G$5:$G$204,MATCH($C106,MM_Income!$A$5:$A$204,0)))</f>
        <v/>
      </c>
      <c r="H106" s="95" t="str">
        <f aca="false">IF($C106="","",INDEX(MM_Income!$H$5:$H$204,MATCH($C106,MM_Income!$A$5:$A$204,0)))</f>
        <v/>
      </c>
      <c r="I106" s="95" t="str">
        <f aca="false">IF($C106="","",INDEX(MM_Income!$I$5:$I$204,MATCH($C106,MM_Income!$A$5:$A$204,0)))</f>
        <v/>
      </c>
      <c r="J106" s="95" t="str">
        <f aca="false">IF($C106="","",INDEX(MM_Income!$D$5:$D$204,MATCH($C106,MM_Income!$A$5:$A$204,0)))</f>
        <v/>
      </c>
      <c r="K106" s="95" t="str">
        <f aca="false">IF($C106="","",INDEX(MM_Income!$E$5:$E$204,MATCH($C106,MM_Income!$A$5:$A$204,0)))</f>
        <v/>
      </c>
      <c r="L106" s="95" t="str">
        <f aca="false">IF($C106="","",INDEX(MM_Income!$U$5:$U$204,MATCH($C106,MM_Income!$A$5:$A$204,0)))</f>
        <v/>
      </c>
      <c r="M106" s="143" t="str">
        <f aca="false">IF($C106="","",INDEX(MM_Income!$V$5:$V$204,MATCH($C106,MM_Income!$A$5:$A$204,0)))</f>
        <v/>
      </c>
      <c r="N106" s="144" t="str">
        <f aca="false">IF($C106="","",INDEX(MM_Income!$T$5:$T$204,MATCH($C106,MM_Income!$A$5:$A$204,0)))</f>
        <v/>
      </c>
      <c r="O106" s="94" t="str">
        <f aca="false">IF($C106="","",-SUMIFS(Project_Activity!$P$2:$P$5000,Project_Activity!$C$2:$C$5000,$C106,Project_Activity!$U$2:$U$5000,"Invoiced Income",Project_Activity!$H$2:$H$5000,"&gt;="&amp;DATE(VALUE(LEFT($B106,4)),1,1),Project_Activity!$H$2:$H$5000,"&lt;="&amp;EOMONTH(DATE(VALUE(LEFT($B106,4)),VALUE(RIGHT($B106,1))*3,1),0)))</f>
        <v/>
      </c>
      <c r="P106" s="94" t="str">
        <f aca="false">IF($C106="","",SUMIFS(Project_Activity!$P$2:$P$5000,Project_Activity!$C$2:$C$5000,$C106,Project_Activity!$U$2:$U$5000,"Subcontractor",Project_Activity!$H$2:$H$5000,"&gt;="&amp;DATE(VALUE(LEFT($B106,4)),1,1),Project_Activity!$H$2:$H$5000,"&lt;="&amp;EOMONTH(DATE(VALUE(LEFT($B106,4)),VALUE(RIGHT($B106,1))*3,1),0)))</f>
        <v/>
      </c>
      <c r="Q106" s="94" t="str">
        <f aca="false">IF($C106="","",SUMIFS(Project_Activity!$P$2:$P$5000,Project_Activity!$C$2:$C$5000,$C106,Project_Activity!$U$2:$U$5000,"Project Inclusive",Project_Activity!$H$2:$H$5000,"&gt;="&amp;DATE(VALUE(LEFT($B106,4)),1,1),Project_Activity!$H$2:$H$5000,"&lt;="&amp;EOMONTH(DATE(VALUE(LEFT($B106,4)),VALUE(RIGHT($B106,1))*3,1),0)))</f>
        <v/>
      </c>
      <c r="R106" s="94" t="str">
        <f aca="false">IF($C106="","",SUMIFS(Project_Activity!$P$2:$P$5000,Project_Activity!$C$2:$C$5000,$C106,Project_Activity!$U$2:$U$5000,"Non-Recoverable",Project_Activity!$H$2:$H$5000,"&gt;="&amp;DATE(VALUE(LEFT($B106,4)),1,1),Project_Activity!$H$2:$H$5000,"&lt;="&amp;EOMONTH(DATE(VALUE(LEFT($B106,4)),VALUE(RIGHT($B106,1))*3,1),0)))</f>
        <v/>
      </c>
      <c r="S106" s="94" t="str">
        <f aca="false">IF($C106="","",$O106-$P106-$Q106-$R106)</f>
        <v/>
      </c>
      <c r="T106" s="94" t="str">
        <f aca="false">IF($C106="","",SUMIFS(Project_Activity!$P$2:$P$5000,Project_Activity!$C$2:$C$5000,$C106,Project_Activity!$U$2:$U$5000,"Recoverable",Project_Activity!$H$2:$H$5000,"&gt;="&amp;DATE(VALUE(LEFT($B106,4)),1,1),Project_Activity!$H$2:$H$5000,"&lt;="&amp;EOMONTH(DATE(VALUE(LEFT($B106,4)),VALUE(RIGHT($B106,1))*3,1),0)))</f>
        <v/>
      </c>
      <c r="U106" s="94" t="str">
        <f aca="false">IF($C106="","",-SUMIFS(Project_Activity!$P$2:$P$5000,Project_Activity!$C$2:$C$5000,$C106,Project_Activity!$U$2:$U$5000,"Recovered Expenses",Project_Activity!$H$2:$H$5000,"&gt;="&amp;DATE(VALUE(LEFT($B106,4)),1,1),Project_Activity!$H$2:$H$5000,"&lt;="&amp;EOMONTH(DATE(VALUE(LEFT($B106,4)),VALUE(RIGHT($B106,1))*3,1),0)))</f>
        <v/>
      </c>
      <c r="V106" s="145"/>
      <c r="W106" s="94" t="str">
        <f aca="false">IF($C106="","",$V106*$N106)</f>
        <v/>
      </c>
      <c r="X106" s="145"/>
      <c r="Y106" s="94" t="str">
        <f aca="false">IF($C106="","",$X106*$N106)</f>
        <v/>
      </c>
      <c r="Z106" s="145"/>
      <c r="AA106" s="94" t="str">
        <f aca="false">IF($C106="","",$Z106*$N106)</f>
        <v/>
      </c>
      <c r="AB106" s="145"/>
      <c r="AC106" s="94" t="str">
        <f aca="false">IF($C106="","",$AB106*$N106)</f>
        <v/>
      </c>
      <c r="AD106" s="94" t="str">
        <f aca="false">IF($C106="","",SUMPRODUCT((VALUE(MID($B106,7,1))&gt;={1,2,3,4})*CHOOSE({1,2,3,4},$W106,$Y106,$AA106,$AC106)))</f>
        <v/>
      </c>
      <c r="AE106" s="94" t="str">
        <f aca="false">IF($C106="","",$W106+$Y106+$AA106+$AC106-$AD106)</f>
        <v/>
      </c>
      <c r="AF106" s="146"/>
      <c r="AG106" s="146"/>
      <c r="AH106" s="146"/>
      <c r="AI106" s="147" t="str">
        <f aca="false">IF($C106="","",IF(OR($L106="Pipeline",$N106&lt;0,$O106&gt;$N106+1,($V106+$X106+$Z106+$AB106)&gt;1.0001,ISNUMBER(SEARCH("not signed",$AF106))),"REVIEW","OK"))</f>
        <v/>
      </c>
    </row>
    <row r="107" customFormat="false" ht="13.5" hidden="false" customHeight="false" outlineLevel="0" collapsed="false">
      <c r="A107" s="95" t="str">
        <f aca="false">IF($C107="","",Controls!$B$7)</f>
        <v/>
      </c>
      <c r="B107" s="95" t="str">
        <f aca="false">IF($C107="","",Controls!$B$30)</f>
        <v/>
      </c>
      <c r="C107" s="95" t="str">
        <f aca="false">IF(MM_Income!$A110="","",MM_Income!$A110)</f>
        <v/>
      </c>
      <c r="D107" s="95" t="str">
        <f aca="false">IF($C107="","",INDEX(MM_Income!$B$5:$B$204,MATCH($C107,MM_Income!$A$5:$A$204,0)))</f>
        <v/>
      </c>
      <c r="E107" s="95" t="str">
        <f aca="false">IF($C107="","",INDEX(MM_Income!$C$5:$C$204,MATCH($C107,MM_Income!$A$5:$A$204,0)))</f>
        <v/>
      </c>
      <c r="F107" s="95" t="str">
        <f aca="false">IF($C107="","",INDEX(MM_Income!$F$5:$F$204,MATCH($C107,MM_Income!$A$5:$A$204,0)))</f>
        <v/>
      </c>
      <c r="G107" s="95" t="str">
        <f aca="false">IF($C107="","",INDEX(MM_Income!$G$5:$G$204,MATCH($C107,MM_Income!$A$5:$A$204,0)))</f>
        <v/>
      </c>
      <c r="H107" s="95" t="str">
        <f aca="false">IF($C107="","",INDEX(MM_Income!$H$5:$H$204,MATCH($C107,MM_Income!$A$5:$A$204,0)))</f>
        <v/>
      </c>
      <c r="I107" s="95" t="str">
        <f aca="false">IF($C107="","",INDEX(MM_Income!$I$5:$I$204,MATCH($C107,MM_Income!$A$5:$A$204,0)))</f>
        <v/>
      </c>
      <c r="J107" s="95" t="str">
        <f aca="false">IF($C107="","",INDEX(MM_Income!$D$5:$D$204,MATCH($C107,MM_Income!$A$5:$A$204,0)))</f>
        <v/>
      </c>
      <c r="K107" s="95" t="str">
        <f aca="false">IF($C107="","",INDEX(MM_Income!$E$5:$E$204,MATCH($C107,MM_Income!$A$5:$A$204,0)))</f>
        <v/>
      </c>
      <c r="L107" s="95" t="str">
        <f aca="false">IF($C107="","",INDEX(MM_Income!$U$5:$U$204,MATCH($C107,MM_Income!$A$5:$A$204,0)))</f>
        <v/>
      </c>
      <c r="M107" s="143" t="str">
        <f aca="false">IF($C107="","",INDEX(MM_Income!$V$5:$V$204,MATCH($C107,MM_Income!$A$5:$A$204,0)))</f>
        <v/>
      </c>
      <c r="N107" s="144" t="str">
        <f aca="false">IF($C107="","",INDEX(MM_Income!$T$5:$T$204,MATCH($C107,MM_Income!$A$5:$A$204,0)))</f>
        <v/>
      </c>
      <c r="O107" s="94" t="str">
        <f aca="false">IF($C107="","",-SUMIFS(Project_Activity!$P$2:$P$5000,Project_Activity!$C$2:$C$5000,$C107,Project_Activity!$U$2:$U$5000,"Invoiced Income",Project_Activity!$H$2:$H$5000,"&gt;="&amp;DATE(VALUE(LEFT($B107,4)),1,1),Project_Activity!$H$2:$H$5000,"&lt;="&amp;EOMONTH(DATE(VALUE(LEFT($B107,4)),VALUE(RIGHT($B107,1))*3,1),0)))</f>
        <v/>
      </c>
      <c r="P107" s="94" t="str">
        <f aca="false">IF($C107="","",SUMIFS(Project_Activity!$P$2:$P$5000,Project_Activity!$C$2:$C$5000,$C107,Project_Activity!$U$2:$U$5000,"Subcontractor",Project_Activity!$H$2:$H$5000,"&gt;="&amp;DATE(VALUE(LEFT($B107,4)),1,1),Project_Activity!$H$2:$H$5000,"&lt;="&amp;EOMONTH(DATE(VALUE(LEFT($B107,4)),VALUE(RIGHT($B107,1))*3,1),0)))</f>
        <v/>
      </c>
      <c r="Q107" s="94" t="str">
        <f aca="false">IF($C107="","",SUMIFS(Project_Activity!$P$2:$P$5000,Project_Activity!$C$2:$C$5000,$C107,Project_Activity!$U$2:$U$5000,"Project Inclusive",Project_Activity!$H$2:$H$5000,"&gt;="&amp;DATE(VALUE(LEFT($B107,4)),1,1),Project_Activity!$H$2:$H$5000,"&lt;="&amp;EOMONTH(DATE(VALUE(LEFT($B107,4)),VALUE(RIGHT($B107,1))*3,1),0)))</f>
        <v/>
      </c>
      <c r="R107" s="94" t="str">
        <f aca="false">IF($C107="","",SUMIFS(Project_Activity!$P$2:$P$5000,Project_Activity!$C$2:$C$5000,$C107,Project_Activity!$U$2:$U$5000,"Non-Recoverable",Project_Activity!$H$2:$H$5000,"&gt;="&amp;DATE(VALUE(LEFT($B107,4)),1,1),Project_Activity!$H$2:$H$5000,"&lt;="&amp;EOMONTH(DATE(VALUE(LEFT($B107,4)),VALUE(RIGHT($B107,1))*3,1),0)))</f>
        <v/>
      </c>
      <c r="S107" s="94" t="str">
        <f aca="false">IF($C107="","",$O107-$P107-$Q107-$R107)</f>
        <v/>
      </c>
      <c r="T107" s="94" t="str">
        <f aca="false">IF($C107="","",SUMIFS(Project_Activity!$P$2:$P$5000,Project_Activity!$C$2:$C$5000,$C107,Project_Activity!$U$2:$U$5000,"Recoverable",Project_Activity!$H$2:$H$5000,"&gt;="&amp;DATE(VALUE(LEFT($B107,4)),1,1),Project_Activity!$H$2:$H$5000,"&lt;="&amp;EOMONTH(DATE(VALUE(LEFT($B107,4)),VALUE(RIGHT($B107,1))*3,1),0)))</f>
        <v/>
      </c>
      <c r="U107" s="94" t="str">
        <f aca="false">IF($C107="","",-SUMIFS(Project_Activity!$P$2:$P$5000,Project_Activity!$C$2:$C$5000,$C107,Project_Activity!$U$2:$U$5000,"Recovered Expenses",Project_Activity!$H$2:$H$5000,"&gt;="&amp;DATE(VALUE(LEFT($B107,4)),1,1),Project_Activity!$H$2:$H$5000,"&lt;="&amp;EOMONTH(DATE(VALUE(LEFT($B107,4)),VALUE(RIGHT($B107,1))*3,1),0)))</f>
        <v/>
      </c>
      <c r="V107" s="145"/>
      <c r="W107" s="94" t="str">
        <f aca="false">IF($C107="","",$V107*$N107)</f>
        <v/>
      </c>
      <c r="X107" s="145"/>
      <c r="Y107" s="94" t="str">
        <f aca="false">IF($C107="","",$X107*$N107)</f>
        <v/>
      </c>
      <c r="Z107" s="145"/>
      <c r="AA107" s="94" t="str">
        <f aca="false">IF($C107="","",$Z107*$N107)</f>
        <v/>
      </c>
      <c r="AB107" s="145"/>
      <c r="AC107" s="94" t="str">
        <f aca="false">IF($C107="","",$AB107*$N107)</f>
        <v/>
      </c>
      <c r="AD107" s="94" t="str">
        <f aca="false">IF($C107="","",SUMPRODUCT((VALUE(MID($B107,7,1))&gt;={1,2,3,4})*CHOOSE({1,2,3,4},$W107,$Y107,$AA107,$AC107)))</f>
        <v/>
      </c>
      <c r="AE107" s="94" t="str">
        <f aca="false">IF($C107="","",$W107+$Y107+$AA107+$AC107-$AD107)</f>
        <v/>
      </c>
      <c r="AF107" s="146"/>
      <c r="AG107" s="146"/>
      <c r="AH107" s="146"/>
      <c r="AI107" s="147" t="str">
        <f aca="false">IF($C107="","",IF(OR($L107="Pipeline",$N107&lt;0,$O107&gt;$N107+1,($V107+$X107+$Z107+$AB107)&gt;1.0001,ISNUMBER(SEARCH("not signed",$AF107))),"REVIEW","OK"))</f>
        <v/>
      </c>
    </row>
    <row r="108" customFormat="false" ht="13.5" hidden="false" customHeight="false" outlineLevel="0" collapsed="false">
      <c r="A108" s="95" t="str">
        <f aca="false">IF($C108="","",Controls!$B$7)</f>
        <v/>
      </c>
      <c r="B108" s="95" t="str">
        <f aca="false">IF($C108="","",Controls!$B$30)</f>
        <v/>
      </c>
      <c r="C108" s="95" t="str">
        <f aca="false">IF(MM_Income!$A111="","",MM_Income!$A111)</f>
        <v/>
      </c>
      <c r="D108" s="95" t="str">
        <f aca="false">IF($C108="","",INDEX(MM_Income!$B$5:$B$204,MATCH($C108,MM_Income!$A$5:$A$204,0)))</f>
        <v/>
      </c>
      <c r="E108" s="95" t="str">
        <f aca="false">IF($C108="","",INDEX(MM_Income!$C$5:$C$204,MATCH($C108,MM_Income!$A$5:$A$204,0)))</f>
        <v/>
      </c>
      <c r="F108" s="95" t="str">
        <f aca="false">IF($C108="","",INDEX(MM_Income!$F$5:$F$204,MATCH($C108,MM_Income!$A$5:$A$204,0)))</f>
        <v/>
      </c>
      <c r="G108" s="95" t="str">
        <f aca="false">IF($C108="","",INDEX(MM_Income!$G$5:$G$204,MATCH($C108,MM_Income!$A$5:$A$204,0)))</f>
        <v/>
      </c>
      <c r="H108" s="95" t="str">
        <f aca="false">IF($C108="","",INDEX(MM_Income!$H$5:$H$204,MATCH($C108,MM_Income!$A$5:$A$204,0)))</f>
        <v/>
      </c>
      <c r="I108" s="95" t="str">
        <f aca="false">IF($C108="","",INDEX(MM_Income!$I$5:$I$204,MATCH($C108,MM_Income!$A$5:$A$204,0)))</f>
        <v/>
      </c>
      <c r="J108" s="95" t="str">
        <f aca="false">IF($C108="","",INDEX(MM_Income!$D$5:$D$204,MATCH($C108,MM_Income!$A$5:$A$204,0)))</f>
        <v/>
      </c>
      <c r="K108" s="95" t="str">
        <f aca="false">IF($C108="","",INDEX(MM_Income!$E$5:$E$204,MATCH($C108,MM_Income!$A$5:$A$204,0)))</f>
        <v/>
      </c>
      <c r="L108" s="95" t="str">
        <f aca="false">IF($C108="","",INDEX(MM_Income!$U$5:$U$204,MATCH($C108,MM_Income!$A$5:$A$204,0)))</f>
        <v/>
      </c>
      <c r="M108" s="143" t="str">
        <f aca="false">IF($C108="","",INDEX(MM_Income!$V$5:$V$204,MATCH($C108,MM_Income!$A$5:$A$204,0)))</f>
        <v/>
      </c>
      <c r="N108" s="144" t="str">
        <f aca="false">IF($C108="","",INDEX(MM_Income!$T$5:$T$204,MATCH($C108,MM_Income!$A$5:$A$204,0)))</f>
        <v/>
      </c>
      <c r="O108" s="94" t="str">
        <f aca="false">IF($C108="","",-SUMIFS(Project_Activity!$P$2:$P$5000,Project_Activity!$C$2:$C$5000,$C108,Project_Activity!$U$2:$U$5000,"Invoiced Income",Project_Activity!$H$2:$H$5000,"&gt;="&amp;DATE(VALUE(LEFT($B108,4)),1,1),Project_Activity!$H$2:$H$5000,"&lt;="&amp;EOMONTH(DATE(VALUE(LEFT($B108,4)),VALUE(RIGHT($B108,1))*3,1),0)))</f>
        <v/>
      </c>
      <c r="P108" s="94" t="str">
        <f aca="false">IF($C108="","",SUMIFS(Project_Activity!$P$2:$P$5000,Project_Activity!$C$2:$C$5000,$C108,Project_Activity!$U$2:$U$5000,"Subcontractor",Project_Activity!$H$2:$H$5000,"&gt;="&amp;DATE(VALUE(LEFT($B108,4)),1,1),Project_Activity!$H$2:$H$5000,"&lt;="&amp;EOMONTH(DATE(VALUE(LEFT($B108,4)),VALUE(RIGHT($B108,1))*3,1),0)))</f>
        <v/>
      </c>
      <c r="Q108" s="94" t="str">
        <f aca="false">IF($C108="","",SUMIFS(Project_Activity!$P$2:$P$5000,Project_Activity!$C$2:$C$5000,$C108,Project_Activity!$U$2:$U$5000,"Project Inclusive",Project_Activity!$H$2:$H$5000,"&gt;="&amp;DATE(VALUE(LEFT($B108,4)),1,1),Project_Activity!$H$2:$H$5000,"&lt;="&amp;EOMONTH(DATE(VALUE(LEFT($B108,4)),VALUE(RIGHT($B108,1))*3,1),0)))</f>
        <v/>
      </c>
      <c r="R108" s="94" t="str">
        <f aca="false">IF($C108="","",SUMIFS(Project_Activity!$P$2:$P$5000,Project_Activity!$C$2:$C$5000,$C108,Project_Activity!$U$2:$U$5000,"Non-Recoverable",Project_Activity!$H$2:$H$5000,"&gt;="&amp;DATE(VALUE(LEFT($B108,4)),1,1),Project_Activity!$H$2:$H$5000,"&lt;="&amp;EOMONTH(DATE(VALUE(LEFT($B108,4)),VALUE(RIGHT($B108,1))*3,1),0)))</f>
        <v/>
      </c>
      <c r="S108" s="94" t="str">
        <f aca="false">IF($C108="","",$O108-$P108-$Q108-$R108)</f>
        <v/>
      </c>
      <c r="T108" s="94" t="str">
        <f aca="false">IF($C108="","",SUMIFS(Project_Activity!$P$2:$P$5000,Project_Activity!$C$2:$C$5000,$C108,Project_Activity!$U$2:$U$5000,"Recoverable",Project_Activity!$H$2:$H$5000,"&gt;="&amp;DATE(VALUE(LEFT($B108,4)),1,1),Project_Activity!$H$2:$H$5000,"&lt;="&amp;EOMONTH(DATE(VALUE(LEFT($B108,4)),VALUE(RIGHT($B108,1))*3,1),0)))</f>
        <v/>
      </c>
      <c r="U108" s="94" t="str">
        <f aca="false">IF($C108="","",-SUMIFS(Project_Activity!$P$2:$P$5000,Project_Activity!$C$2:$C$5000,$C108,Project_Activity!$U$2:$U$5000,"Recovered Expenses",Project_Activity!$H$2:$H$5000,"&gt;="&amp;DATE(VALUE(LEFT($B108,4)),1,1),Project_Activity!$H$2:$H$5000,"&lt;="&amp;EOMONTH(DATE(VALUE(LEFT($B108,4)),VALUE(RIGHT($B108,1))*3,1),0)))</f>
        <v/>
      </c>
      <c r="V108" s="145"/>
      <c r="W108" s="94" t="str">
        <f aca="false">IF($C108="","",$V108*$N108)</f>
        <v/>
      </c>
      <c r="X108" s="145"/>
      <c r="Y108" s="94" t="str">
        <f aca="false">IF($C108="","",$X108*$N108)</f>
        <v/>
      </c>
      <c r="Z108" s="145"/>
      <c r="AA108" s="94" t="str">
        <f aca="false">IF($C108="","",$Z108*$N108)</f>
        <v/>
      </c>
      <c r="AB108" s="145"/>
      <c r="AC108" s="94" t="str">
        <f aca="false">IF($C108="","",$AB108*$N108)</f>
        <v/>
      </c>
      <c r="AD108" s="94" t="str">
        <f aca="false">IF($C108="","",SUMPRODUCT((VALUE(MID($B108,7,1))&gt;={1,2,3,4})*CHOOSE({1,2,3,4},$W108,$Y108,$AA108,$AC108)))</f>
        <v/>
      </c>
      <c r="AE108" s="94" t="str">
        <f aca="false">IF($C108="","",$W108+$Y108+$AA108+$AC108-$AD108)</f>
        <v/>
      </c>
      <c r="AF108" s="146"/>
      <c r="AG108" s="146"/>
      <c r="AH108" s="146"/>
      <c r="AI108" s="147" t="str">
        <f aca="false">IF($C108="","",IF(OR($L108="Pipeline",$N108&lt;0,$O108&gt;$N108+1,($V108+$X108+$Z108+$AB108)&gt;1.0001,ISNUMBER(SEARCH("not signed",$AF108))),"REVIEW","OK"))</f>
        <v/>
      </c>
    </row>
    <row r="109" customFormat="false" ht="13.5" hidden="false" customHeight="false" outlineLevel="0" collapsed="false">
      <c r="A109" s="95" t="str">
        <f aca="false">IF($C109="","",Controls!$B$7)</f>
        <v/>
      </c>
      <c r="B109" s="95" t="str">
        <f aca="false">IF($C109="","",Controls!$B$30)</f>
        <v/>
      </c>
      <c r="C109" s="95" t="str">
        <f aca="false">IF(MM_Income!$A112="","",MM_Income!$A112)</f>
        <v/>
      </c>
      <c r="D109" s="95" t="str">
        <f aca="false">IF($C109="","",INDEX(MM_Income!$B$5:$B$204,MATCH($C109,MM_Income!$A$5:$A$204,0)))</f>
        <v/>
      </c>
      <c r="E109" s="95" t="str">
        <f aca="false">IF($C109="","",INDEX(MM_Income!$C$5:$C$204,MATCH($C109,MM_Income!$A$5:$A$204,0)))</f>
        <v/>
      </c>
      <c r="F109" s="95" t="str">
        <f aca="false">IF($C109="","",INDEX(MM_Income!$F$5:$F$204,MATCH($C109,MM_Income!$A$5:$A$204,0)))</f>
        <v/>
      </c>
      <c r="G109" s="95" t="str">
        <f aca="false">IF($C109="","",INDEX(MM_Income!$G$5:$G$204,MATCH($C109,MM_Income!$A$5:$A$204,0)))</f>
        <v/>
      </c>
      <c r="H109" s="95" t="str">
        <f aca="false">IF($C109="","",INDEX(MM_Income!$H$5:$H$204,MATCH($C109,MM_Income!$A$5:$A$204,0)))</f>
        <v/>
      </c>
      <c r="I109" s="95" t="str">
        <f aca="false">IF($C109="","",INDEX(MM_Income!$I$5:$I$204,MATCH($C109,MM_Income!$A$5:$A$204,0)))</f>
        <v/>
      </c>
      <c r="J109" s="95" t="str">
        <f aca="false">IF($C109="","",INDEX(MM_Income!$D$5:$D$204,MATCH($C109,MM_Income!$A$5:$A$204,0)))</f>
        <v/>
      </c>
      <c r="K109" s="95" t="str">
        <f aca="false">IF($C109="","",INDEX(MM_Income!$E$5:$E$204,MATCH($C109,MM_Income!$A$5:$A$204,0)))</f>
        <v/>
      </c>
      <c r="L109" s="95" t="str">
        <f aca="false">IF($C109="","",INDEX(MM_Income!$U$5:$U$204,MATCH($C109,MM_Income!$A$5:$A$204,0)))</f>
        <v/>
      </c>
      <c r="M109" s="143" t="str">
        <f aca="false">IF($C109="","",INDEX(MM_Income!$V$5:$V$204,MATCH($C109,MM_Income!$A$5:$A$204,0)))</f>
        <v/>
      </c>
      <c r="N109" s="144" t="str">
        <f aca="false">IF($C109="","",INDEX(MM_Income!$T$5:$T$204,MATCH($C109,MM_Income!$A$5:$A$204,0)))</f>
        <v/>
      </c>
      <c r="O109" s="94" t="str">
        <f aca="false">IF($C109="","",-SUMIFS(Project_Activity!$P$2:$P$5000,Project_Activity!$C$2:$C$5000,$C109,Project_Activity!$U$2:$U$5000,"Invoiced Income",Project_Activity!$H$2:$H$5000,"&gt;="&amp;DATE(VALUE(LEFT($B109,4)),1,1),Project_Activity!$H$2:$H$5000,"&lt;="&amp;EOMONTH(DATE(VALUE(LEFT($B109,4)),VALUE(RIGHT($B109,1))*3,1),0)))</f>
        <v/>
      </c>
      <c r="P109" s="94" t="str">
        <f aca="false">IF($C109="","",SUMIFS(Project_Activity!$P$2:$P$5000,Project_Activity!$C$2:$C$5000,$C109,Project_Activity!$U$2:$U$5000,"Subcontractor",Project_Activity!$H$2:$H$5000,"&gt;="&amp;DATE(VALUE(LEFT($B109,4)),1,1),Project_Activity!$H$2:$H$5000,"&lt;="&amp;EOMONTH(DATE(VALUE(LEFT($B109,4)),VALUE(RIGHT($B109,1))*3,1),0)))</f>
        <v/>
      </c>
      <c r="Q109" s="94" t="str">
        <f aca="false">IF($C109="","",SUMIFS(Project_Activity!$P$2:$P$5000,Project_Activity!$C$2:$C$5000,$C109,Project_Activity!$U$2:$U$5000,"Project Inclusive",Project_Activity!$H$2:$H$5000,"&gt;="&amp;DATE(VALUE(LEFT($B109,4)),1,1),Project_Activity!$H$2:$H$5000,"&lt;="&amp;EOMONTH(DATE(VALUE(LEFT($B109,4)),VALUE(RIGHT($B109,1))*3,1),0)))</f>
        <v/>
      </c>
      <c r="R109" s="94" t="str">
        <f aca="false">IF($C109="","",SUMIFS(Project_Activity!$P$2:$P$5000,Project_Activity!$C$2:$C$5000,$C109,Project_Activity!$U$2:$U$5000,"Non-Recoverable",Project_Activity!$H$2:$H$5000,"&gt;="&amp;DATE(VALUE(LEFT($B109,4)),1,1),Project_Activity!$H$2:$H$5000,"&lt;="&amp;EOMONTH(DATE(VALUE(LEFT($B109,4)),VALUE(RIGHT($B109,1))*3,1),0)))</f>
        <v/>
      </c>
      <c r="S109" s="94" t="str">
        <f aca="false">IF($C109="","",$O109-$P109-$Q109-$R109)</f>
        <v/>
      </c>
      <c r="T109" s="94" t="str">
        <f aca="false">IF($C109="","",SUMIFS(Project_Activity!$P$2:$P$5000,Project_Activity!$C$2:$C$5000,$C109,Project_Activity!$U$2:$U$5000,"Recoverable",Project_Activity!$H$2:$H$5000,"&gt;="&amp;DATE(VALUE(LEFT($B109,4)),1,1),Project_Activity!$H$2:$H$5000,"&lt;="&amp;EOMONTH(DATE(VALUE(LEFT($B109,4)),VALUE(RIGHT($B109,1))*3,1),0)))</f>
        <v/>
      </c>
      <c r="U109" s="94" t="str">
        <f aca="false">IF($C109="","",-SUMIFS(Project_Activity!$P$2:$P$5000,Project_Activity!$C$2:$C$5000,$C109,Project_Activity!$U$2:$U$5000,"Recovered Expenses",Project_Activity!$H$2:$H$5000,"&gt;="&amp;DATE(VALUE(LEFT($B109,4)),1,1),Project_Activity!$H$2:$H$5000,"&lt;="&amp;EOMONTH(DATE(VALUE(LEFT($B109,4)),VALUE(RIGHT($B109,1))*3,1),0)))</f>
        <v/>
      </c>
      <c r="V109" s="145"/>
      <c r="W109" s="94" t="str">
        <f aca="false">IF($C109="","",$V109*$N109)</f>
        <v/>
      </c>
      <c r="X109" s="145"/>
      <c r="Y109" s="94" t="str">
        <f aca="false">IF($C109="","",$X109*$N109)</f>
        <v/>
      </c>
      <c r="Z109" s="145"/>
      <c r="AA109" s="94" t="str">
        <f aca="false">IF($C109="","",$Z109*$N109)</f>
        <v/>
      </c>
      <c r="AB109" s="145"/>
      <c r="AC109" s="94" t="str">
        <f aca="false">IF($C109="","",$AB109*$N109)</f>
        <v/>
      </c>
      <c r="AD109" s="94" t="str">
        <f aca="false">IF($C109="","",SUMPRODUCT((VALUE(MID($B109,7,1))&gt;={1,2,3,4})*CHOOSE({1,2,3,4},$W109,$Y109,$AA109,$AC109)))</f>
        <v/>
      </c>
      <c r="AE109" s="94" t="str">
        <f aca="false">IF($C109="","",$W109+$Y109+$AA109+$AC109-$AD109)</f>
        <v/>
      </c>
      <c r="AF109" s="146"/>
      <c r="AG109" s="146"/>
      <c r="AH109" s="146"/>
      <c r="AI109" s="147" t="str">
        <f aca="false">IF($C109="","",IF(OR($L109="Pipeline",$N109&lt;0,$O109&gt;$N109+1,($V109+$X109+$Z109+$AB109)&gt;1.0001,ISNUMBER(SEARCH("not signed",$AF109))),"REVIEW","OK"))</f>
        <v/>
      </c>
    </row>
    <row r="110" customFormat="false" ht="13.5" hidden="false" customHeight="false" outlineLevel="0" collapsed="false">
      <c r="A110" s="95" t="str">
        <f aca="false">IF($C110="","",Controls!$B$7)</f>
        <v/>
      </c>
      <c r="B110" s="95" t="str">
        <f aca="false">IF($C110="","",Controls!$B$30)</f>
        <v/>
      </c>
      <c r="C110" s="95" t="str">
        <f aca="false">IF(MM_Income!$A113="","",MM_Income!$A113)</f>
        <v/>
      </c>
      <c r="D110" s="95" t="str">
        <f aca="false">IF($C110="","",INDEX(MM_Income!$B$5:$B$204,MATCH($C110,MM_Income!$A$5:$A$204,0)))</f>
        <v/>
      </c>
      <c r="E110" s="95" t="str">
        <f aca="false">IF($C110="","",INDEX(MM_Income!$C$5:$C$204,MATCH($C110,MM_Income!$A$5:$A$204,0)))</f>
        <v/>
      </c>
      <c r="F110" s="95" t="str">
        <f aca="false">IF($C110="","",INDEX(MM_Income!$F$5:$F$204,MATCH($C110,MM_Income!$A$5:$A$204,0)))</f>
        <v/>
      </c>
      <c r="G110" s="95" t="str">
        <f aca="false">IF($C110="","",INDEX(MM_Income!$G$5:$G$204,MATCH($C110,MM_Income!$A$5:$A$204,0)))</f>
        <v/>
      </c>
      <c r="H110" s="95" t="str">
        <f aca="false">IF($C110="","",INDEX(MM_Income!$H$5:$H$204,MATCH($C110,MM_Income!$A$5:$A$204,0)))</f>
        <v/>
      </c>
      <c r="I110" s="95" t="str">
        <f aca="false">IF($C110="","",INDEX(MM_Income!$I$5:$I$204,MATCH($C110,MM_Income!$A$5:$A$204,0)))</f>
        <v/>
      </c>
      <c r="J110" s="95" t="str">
        <f aca="false">IF($C110="","",INDEX(MM_Income!$D$5:$D$204,MATCH($C110,MM_Income!$A$5:$A$204,0)))</f>
        <v/>
      </c>
      <c r="K110" s="95" t="str">
        <f aca="false">IF($C110="","",INDEX(MM_Income!$E$5:$E$204,MATCH($C110,MM_Income!$A$5:$A$204,0)))</f>
        <v/>
      </c>
      <c r="L110" s="95" t="str">
        <f aca="false">IF($C110="","",INDEX(MM_Income!$U$5:$U$204,MATCH($C110,MM_Income!$A$5:$A$204,0)))</f>
        <v/>
      </c>
      <c r="M110" s="143" t="str">
        <f aca="false">IF($C110="","",INDEX(MM_Income!$V$5:$V$204,MATCH($C110,MM_Income!$A$5:$A$204,0)))</f>
        <v/>
      </c>
      <c r="N110" s="144" t="str">
        <f aca="false">IF($C110="","",INDEX(MM_Income!$T$5:$T$204,MATCH($C110,MM_Income!$A$5:$A$204,0)))</f>
        <v/>
      </c>
      <c r="O110" s="94" t="str">
        <f aca="false">IF($C110="","",-SUMIFS(Project_Activity!$P$2:$P$5000,Project_Activity!$C$2:$C$5000,$C110,Project_Activity!$U$2:$U$5000,"Invoiced Income",Project_Activity!$H$2:$H$5000,"&gt;="&amp;DATE(VALUE(LEFT($B110,4)),1,1),Project_Activity!$H$2:$H$5000,"&lt;="&amp;EOMONTH(DATE(VALUE(LEFT($B110,4)),VALUE(RIGHT($B110,1))*3,1),0)))</f>
        <v/>
      </c>
      <c r="P110" s="94" t="str">
        <f aca="false">IF($C110="","",SUMIFS(Project_Activity!$P$2:$P$5000,Project_Activity!$C$2:$C$5000,$C110,Project_Activity!$U$2:$U$5000,"Subcontractor",Project_Activity!$H$2:$H$5000,"&gt;="&amp;DATE(VALUE(LEFT($B110,4)),1,1),Project_Activity!$H$2:$H$5000,"&lt;="&amp;EOMONTH(DATE(VALUE(LEFT($B110,4)),VALUE(RIGHT($B110,1))*3,1),0)))</f>
        <v/>
      </c>
      <c r="Q110" s="94" t="str">
        <f aca="false">IF($C110="","",SUMIFS(Project_Activity!$P$2:$P$5000,Project_Activity!$C$2:$C$5000,$C110,Project_Activity!$U$2:$U$5000,"Project Inclusive",Project_Activity!$H$2:$H$5000,"&gt;="&amp;DATE(VALUE(LEFT($B110,4)),1,1),Project_Activity!$H$2:$H$5000,"&lt;="&amp;EOMONTH(DATE(VALUE(LEFT($B110,4)),VALUE(RIGHT($B110,1))*3,1),0)))</f>
        <v/>
      </c>
      <c r="R110" s="94" t="str">
        <f aca="false">IF($C110="","",SUMIFS(Project_Activity!$P$2:$P$5000,Project_Activity!$C$2:$C$5000,$C110,Project_Activity!$U$2:$U$5000,"Non-Recoverable",Project_Activity!$H$2:$H$5000,"&gt;="&amp;DATE(VALUE(LEFT($B110,4)),1,1),Project_Activity!$H$2:$H$5000,"&lt;="&amp;EOMONTH(DATE(VALUE(LEFT($B110,4)),VALUE(RIGHT($B110,1))*3,1),0)))</f>
        <v/>
      </c>
      <c r="S110" s="94" t="str">
        <f aca="false">IF($C110="","",$O110-$P110-$Q110-$R110)</f>
        <v/>
      </c>
      <c r="T110" s="94" t="str">
        <f aca="false">IF($C110="","",SUMIFS(Project_Activity!$P$2:$P$5000,Project_Activity!$C$2:$C$5000,$C110,Project_Activity!$U$2:$U$5000,"Recoverable",Project_Activity!$H$2:$H$5000,"&gt;="&amp;DATE(VALUE(LEFT($B110,4)),1,1),Project_Activity!$H$2:$H$5000,"&lt;="&amp;EOMONTH(DATE(VALUE(LEFT($B110,4)),VALUE(RIGHT($B110,1))*3,1),0)))</f>
        <v/>
      </c>
      <c r="U110" s="94" t="str">
        <f aca="false">IF($C110="","",-SUMIFS(Project_Activity!$P$2:$P$5000,Project_Activity!$C$2:$C$5000,$C110,Project_Activity!$U$2:$U$5000,"Recovered Expenses",Project_Activity!$H$2:$H$5000,"&gt;="&amp;DATE(VALUE(LEFT($B110,4)),1,1),Project_Activity!$H$2:$H$5000,"&lt;="&amp;EOMONTH(DATE(VALUE(LEFT($B110,4)),VALUE(RIGHT($B110,1))*3,1),0)))</f>
        <v/>
      </c>
      <c r="V110" s="145"/>
      <c r="W110" s="94" t="str">
        <f aca="false">IF($C110="","",$V110*$N110)</f>
        <v/>
      </c>
      <c r="X110" s="145"/>
      <c r="Y110" s="94" t="str">
        <f aca="false">IF($C110="","",$X110*$N110)</f>
        <v/>
      </c>
      <c r="Z110" s="145"/>
      <c r="AA110" s="94" t="str">
        <f aca="false">IF($C110="","",$Z110*$N110)</f>
        <v/>
      </c>
      <c r="AB110" s="145"/>
      <c r="AC110" s="94" t="str">
        <f aca="false">IF($C110="","",$AB110*$N110)</f>
        <v/>
      </c>
      <c r="AD110" s="94" t="str">
        <f aca="false">IF($C110="","",SUMPRODUCT((VALUE(MID($B110,7,1))&gt;={1,2,3,4})*CHOOSE({1,2,3,4},$W110,$Y110,$AA110,$AC110)))</f>
        <v/>
      </c>
      <c r="AE110" s="94" t="str">
        <f aca="false">IF($C110="","",$W110+$Y110+$AA110+$AC110-$AD110)</f>
        <v/>
      </c>
      <c r="AF110" s="146"/>
      <c r="AG110" s="146"/>
      <c r="AH110" s="146"/>
      <c r="AI110" s="147" t="str">
        <f aca="false">IF($C110="","",IF(OR($L110="Pipeline",$N110&lt;0,$O110&gt;$N110+1,($V110+$X110+$Z110+$AB110)&gt;1.0001,ISNUMBER(SEARCH("not signed",$AF110))),"REVIEW","OK"))</f>
        <v/>
      </c>
    </row>
    <row r="111" customFormat="false" ht="13.5" hidden="false" customHeight="false" outlineLevel="0" collapsed="false">
      <c r="A111" s="95" t="str">
        <f aca="false">IF($C111="","",Controls!$B$7)</f>
        <v/>
      </c>
      <c r="B111" s="95" t="str">
        <f aca="false">IF($C111="","",Controls!$B$30)</f>
        <v/>
      </c>
      <c r="C111" s="95" t="str">
        <f aca="false">IF(MM_Income!$A114="","",MM_Income!$A114)</f>
        <v/>
      </c>
      <c r="D111" s="95" t="str">
        <f aca="false">IF($C111="","",INDEX(MM_Income!$B$5:$B$204,MATCH($C111,MM_Income!$A$5:$A$204,0)))</f>
        <v/>
      </c>
      <c r="E111" s="95" t="str">
        <f aca="false">IF($C111="","",INDEX(MM_Income!$C$5:$C$204,MATCH($C111,MM_Income!$A$5:$A$204,0)))</f>
        <v/>
      </c>
      <c r="F111" s="95" t="str">
        <f aca="false">IF($C111="","",INDEX(MM_Income!$F$5:$F$204,MATCH($C111,MM_Income!$A$5:$A$204,0)))</f>
        <v/>
      </c>
      <c r="G111" s="95" t="str">
        <f aca="false">IF($C111="","",INDEX(MM_Income!$G$5:$G$204,MATCH($C111,MM_Income!$A$5:$A$204,0)))</f>
        <v/>
      </c>
      <c r="H111" s="95" t="str">
        <f aca="false">IF($C111="","",INDEX(MM_Income!$H$5:$H$204,MATCH($C111,MM_Income!$A$5:$A$204,0)))</f>
        <v/>
      </c>
      <c r="I111" s="95" t="str">
        <f aca="false">IF($C111="","",INDEX(MM_Income!$I$5:$I$204,MATCH($C111,MM_Income!$A$5:$A$204,0)))</f>
        <v/>
      </c>
      <c r="J111" s="95" t="str">
        <f aca="false">IF($C111="","",INDEX(MM_Income!$D$5:$D$204,MATCH($C111,MM_Income!$A$5:$A$204,0)))</f>
        <v/>
      </c>
      <c r="K111" s="95" t="str">
        <f aca="false">IF($C111="","",INDEX(MM_Income!$E$5:$E$204,MATCH($C111,MM_Income!$A$5:$A$204,0)))</f>
        <v/>
      </c>
      <c r="L111" s="95" t="str">
        <f aca="false">IF($C111="","",INDEX(MM_Income!$U$5:$U$204,MATCH($C111,MM_Income!$A$5:$A$204,0)))</f>
        <v/>
      </c>
      <c r="M111" s="143" t="str">
        <f aca="false">IF($C111="","",INDEX(MM_Income!$V$5:$V$204,MATCH($C111,MM_Income!$A$5:$A$204,0)))</f>
        <v/>
      </c>
      <c r="N111" s="144" t="str">
        <f aca="false">IF($C111="","",INDEX(MM_Income!$T$5:$T$204,MATCH($C111,MM_Income!$A$5:$A$204,0)))</f>
        <v/>
      </c>
      <c r="O111" s="94" t="str">
        <f aca="false">IF($C111="","",-SUMIFS(Project_Activity!$P$2:$P$5000,Project_Activity!$C$2:$C$5000,$C111,Project_Activity!$U$2:$U$5000,"Invoiced Income",Project_Activity!$H$2:$H$5000,"&gt;="&amp;DATE(VALUE(LEFT($B111,4)),1,1),Project_Activity!$H$2:$H$5000,"&lt;="&amp;EOMONTH(DATE(VALUE(LEFT($B111,4)),VALUE(RIGHT($B111,1))*3,1),0)))</f>
        <v/>
      </c>
      <c r="P111" s="94" t="str">
        <f aca="false">IF($C111="","",SUMIFS(Project_Activity!$P$2:$P$5000,Project_Activity!$C$2:$C$5000,$C111,Project_Activity!$U$2:$U$5000,"Subcontractor",Project_Activity!$H$2:$H$5000,"&gt;="&amp;DATE(VALUE(LEFT($B111,4)),1,1),Project_Activity!$H$2:$H$5000,"&lt;="&amp;EOMONTH(DATE(VALUE(LEFT($B111,4)),VALUE(RIGHT($B111,1))*3,1),0)))</f>
        <v/>
      </c>
      <c r="Q111" s="94" t="str">
        <f aca="false">IF($C111="","",SUMIFS(Project_Activity!$P$2:$P$5000,Project_Activity!$C$2:$C$5000,$C111,Project_Activity!$U$2:$U$5000,"Project Inclusive",Project_Activity!$H$2:$H$5000,"&gt;="&amp;DATE(VALUE(LEFT($B111,4)),1,1),Project_Activity!$H$2:$H$5000,"&lt;="&amp;EOMONTH(DATE(VALUE(LEFT($B111,4)),VALUE(RIGHT($B111,1))*3,1),0)))</f>
        <v/>
      </c>
      <c r="R111" s="94" t="str">
        <f aca="false">IF($C111="","",SUMIFS(Project_Activity!$P$2:$P$5000,Project_Activity!$C$2:$C$5000,$C111,Project_Activity!$U$2:$U$5000,"Non-Recoverable",Project_Activity!$H$2:$H$5000,"&gt;="&amp;DATE(VALUE(LEFT($B111,4)),1,1),Project_Activity!$H$2:$H$5000,"&lt;="&amp;EOMONTH(DATE(VALUE(LEFT($B111,4)),VALUE(RIGHT($B111,1))*3,1),0)))</f>
        <v/>
      </c>
      <c r="S111" s="94" t="str">
        <f aca="false">IF($C111="","",$O111-$P111-$Q111-$R111)</f>
        <v/>
      </c>
      <c r="T111" s="94" t="str">
        <f aca="false">IF($C111="","",SUMIFS(Project_Activity!$P$2:$P$5000,Project_Activity!$C$2:$C$5000,$C111,Project_Activity!$U$2:$U$5000,"Recoverable",Project_Activity!$H$2:$H$5000,"&gt;="&amp;DATE(VALUE(LEFT($B111,4)),1,1),Project_Activity!$H$2:$H$5000,"&lt;="&amp;EOMONTH(DATE(VALUE(LEFT($B111,4)),VALUE(RIGHT($B111,1))*3,1),0)))</f>
        <v/>
      </c>
      <c r="U111" s="94" t="str">
        <f aca="false">IF($C111="","",-SUMIFS(Project_Activity!$P$2:$P$5000,Project_Activity!$C$2:$C$5000,$C111,Project_Activity!$U$2:$U$5000,"Recovered Expenses",Project_Activity!$H$2:$H$5000,"&gt;="&amp;DATE(VALUE(LEFT($B111,4)),1,1),Project_Activity!$H$2:$H$5000,"&lt;="&amp;EOMONTH(DATE(VALUE(LEFT($B111,4)),VALUE(RIGHT($B111,1))*3,1),0)))</f>
        <v/>
      </c>
      <c r="V111" s="145"/>
      <c r="W111" s="94" t="str">
        <f aca="false">IF($C111="","",$V111*$N111)</f>
        <v/>
      </c>
      <c r="X111" s="145"/>
      <c r="Y111" s="94" t="str">
        <f aca="false">IF($C111="","",$X111*$N111)</f>
        <v/>
      </c>
      <c r="Z111" s="145"/>
      <c r="AA111" s="94" t="str">
        <f aca="false">IF($C111="","",$Z111*$N111)</f>
        <v/>
      </c>
      <c r="AB111" s="145"/>
      <c r="AC111" s="94" t="str">
        <f aca="false">IF($C111="","",$AB111*$N111)</f>
        <v/>
      </c>
      <c r="AD111" s="94" t="str">
        <f aca="false">IF($C111="","",SUMPRODUCT((VALUE(MID($B111,7,1))&gt;={1,2,3,4})*CHOOSE({1,2,3,4},$W111,$Y111,$AA111,$AC111)))</f>
        <v/>
      </c>
      <c r="AE111" s="94" t="str">
        <f aca="false">IF($C111="","",$W111+$Y111+$AA111+$AC111-$AD111)</f>
        <v/>
      </c>
      <c r="AF111" s="146"/>
      <c r="AG111" s="146"/>
      <c r="AH111" s="146"/>
      <c r="AI111" s="147" t="str">
        <f aca="false">IF($C111="","",IF(OR($L111="Pipeline",$N111&lt;0,$O111&gt;$N111+1,($V111+$X111+$Z111+$AB111)&gt;1.0001,ISNUMBER(SEARCH("not signed",$AF111))),"REVIEW","OK"))</f>
        <v/>
      </c>
    </row>
    <row r="112" customFormat="false" ht="13.5" hidden="false" customHeight="false" outlineLevel="0" collapsed="false">
      <c r="A112" s="95" t="str">
        <f aca="false">IF($C112="","",Controls!$B$7)</f>
        <v/>
      </c>
      <c r="B112" s="95" t="str">
        <f aca="false">IF($C112="","",Controls!$B$30)</f>
        <v/>
      </c>
      <c r="C112" s="95" t="str">
        <f aca="false">IF(MM_Income!$A115="","",MM_Income!$A115)</f>
        <v/>
      </c>
      <c r="D112" s="95" t="str">
        <f aca="false">IF($C112="","",INDEX(MM_Income!$B$5:$B$204,MATCH($C112,MM_Income!$A$5:$A$204,0)))</f>
        <v/>
      </c>
      <c r="E112" s="95" t="str">
        <f aca="false">IF($C112="","",INDEX(MM_Income!$C$5:$C$204,MATCH($C112,MM_Income!$A$5:$A$204,0)))</f>
        <v/>
      </c>
      <c r="F112" s="95" t="str">
        <f aca="false">IF($C112="","",INDEX(MM_Income!$F$5:$F$204,MATCH($C112,MM_Income!$A$5:$A$204,0)))</f>
        <v/>
      </c>
      <c r="G112" s="95" t="str">
        <f aca="false">IF($C112="","",INDEX(MM_Income!$G$5:$G$204,MATCH($C112,MM_Income!$A$5:$A$204,0)))</f>
        <v/>
      </c>
      <c r="H112" s="95" t="str">
        <f aca="false">IF($C112="","",INDEX(MM_Income!$H$5:$H$204,MATCH($C112,MM_Income!$A$5:$A$204,0)))</f>
        <v/>
      </c>
      <c r="I112" s="95" t="str">
        <f aca="false">IF($C112="","",INDEX(MM_Income!$I$5:$I$204,MATCH($C112,MM_Income!$A$5:$A$204,0)))</f>
        <v/>
      </c>
      <c r="J112" s="95" t="str">
        <f aca="false">IF($C112="","",INDEX(MM_Income!$D$5:$D$204,MATCH($C112,MM_Income!$A$5:$A$204,0)))</f>
        <v/>
      </c>
      <c r="K112" s="95" t="str">
        <f aca="false">IF($C112="","",INDEX(MM_Income!$E$5:$E$204,MATCH($C112,MM_Income!$A$5:$A$204,0)))</f>
        <v/>
      </c>
      <c r="L112" s="95" t="str">
        <f aca="false">IF($C112="","",INDEX(MM_Income!$U$5:$U$204,MATCH($C112,MM_Income!$A$5:$A$204,0)))</f>
        <v/>
      </c>
      <c r="M112" s="143" t="str">
        <f aca="false">IF($C112="","",INDEX(MM_Income!$V$5:$V$204,MATCH($C112,MM_Income!$A$5:$A$204,0)))</f>
        <v/>
      </c>
      <c r="N112" s="144" t="str">
        <f aca="false">IF($C112="","",INDEX(MM_Income!$T$5:$T$204,MATCH($C112,MM_Income!$A$5:$A$204,0)))</f>
        <v/>
      </c>
      <c r="O112" s="94" t="str">
        <f aca="false">IF($C112="","",-SUMIFS(Project_Activity!$P$2:$P$5000,Project_Activity!$C$2:$C$5000,$C112,Project_Activity!$U$2:$U$5000,"Invoiced Income",Project_Activity!$H$2:$H$5000,"&gt;="&amp;DATE(VALUE(LEFT($B112,4)),1,1),Project_Activity!$H$2:$H$5000,"&lt;="&amp;EOMONTH(DATE(VALUE(LEFT($B112,4)),VALUE(RIGHT($B112,1))*3,1),0)))</f>
        <v/>
      </c>
      <c r="P112" s="94" t="str">
        <f aca="false">IF($C112="","",SUMIFS(Project_Activity!$P$2:$P$5000,Project_Activity!$C$2:$C$5000,$C112,Project_Activity!$U$2:$U$5000,"Subcontractor",Project_Activity!$H$2:$H$5000,"&gt;="&amp;DATE(VALUE(LEFT($B112,4)),1,1),Project_Activity!$H$2:$H$5000,"&lt;="&amp;EOMONTH(DATE(VALUE(LEFT($B112,4)),VALUE(RIGHT($B112,1))*3,1),0)))</f>
        <v/>
      </c>
      <c r="Q112" s="94" t="str">
        <f aca="false">IF($C112="","",SUMIFS(Project_Activity!$P$2:$P$5000,Project_Activity!$C$2:$C$5000,$C112,Project_Activity!$U$2:$U$5000,"Project Inclusive",Project_Activity!$H$2:$H$5000,"&gt;="&amp;DATE(VALUE(LEFT($B112,4)),1,1),Project_Activity!$H$2:$H$5000,"&lt;="&amp;EOMONTH(DATE(VALUE(LEFT($B112,4)),VALUE(RIGHT($B112,1))*3,1),0)))</f>
        <v/>
      </c>
      <c r="R112" s="94" t="str">
        <f aca="false">IF($C112="","",SUMIFS(Project_Activity!$P$2:$P$5000,Project_Activity!$C$2:$C$5000,$C112,Project_Activity!$U$2:$U$5000,"Non-Recoverable",Project_Activity!$H$2:$H$5000,"&gt;="&amp;DATE(VALUE(LEFT($B112,4)),1,1),Project_Activity!$H$2:$H$5000,"&lt;="&amp;EOMONTH(DATE(VALUE(LEFT($B112,4)),VALUE(RIGHT($B112,1))*3,1),0)))</f>
        <v/>
      </c>
      <c r="S112" s="94" t="str">
        <f aca="false">IF($C112="","",$O112-$P112-$Q112-$R112)</f>
        <v/>
      </c>
      <c r="T112" s="94" t="str">
        <f aca="false">IF($C112="","",SUMIFS(Project_Activity!$P$2:$P$5000,Project_Activity!$C$2:$C$5000,$C112,Project_Activity!$U$2:$U$5000,"Recoverable",Project_Activity!$H$2:$H$5000,"&gt;="&amp;DATE(VALUE(LEFT($B112,4)),1,1),Project_Activity!$H$2:$H$5000,"&lt;="&amp;EOMONTH(DATE(VALUE(LEFT($B112,4)),VALUE(RIGHT($B112,1))*3,1),0)))</f>
        <v/>
      </c>
      <c r="U112" s="94" t="str">
        <f aca="false">IF($C112="","",-SUMIFS(Project_Activity!$P$2:$P$5000,Project_Activity!$C$2:$C$5000,$C112,Project_Activity!$U$2:$U$5000,"Recovered Expenses",Project_Activity!$H$2:$H$5000,"&gt;="&amp;DATE(VALUE(LEFT($B112,4)),1,1),Project_Activity!$H$2:$H$5000,"&lt;="&amp;EOMONTH(DATE(VALUE(LEFT($B112,4)),VALUE(RIGHT($B112,1))*3,1),0)))</f>
        <v/>
      </c>
      <c r="V112" s="145"/>
      <c r="W112" s="94" t="str">
        <f aca="false">IF($C112="","",$V112*$N112)</f>
        <v/>
      </c>
      <c r="X112" s="145"/>
      <c r="Y112" s="94" t="str">
        <f aca="false">IF($C112="","",$X112*$N112)</f>
        <v/>
      </c>
      <c r="Z112" s="145"/>
      <c r="AA112" s="94" t="str">
        <f aca="false">IF($C112="","",$Z112*$N112)</f>
        <v/>
      </c>
      <c r="AB112" s="145"/>
      <c r="AC112" s="94" t="str">
        <f aca="false">IF($C112="","",$AB112*$N112)</f>
        <v/>
      </c>
      <c r="AD112" s="94" t="str">
        <f aca="false">IF($C112="","",SUMPRODUCT((VALUE(MID($B112,7,1))&gt;={1,2,3,4})*CHOOSE({1,2,3,4},$W112,$Y112,$AA112,$AC112)))</f>
        <v/>
      </c>
      <c r="AE112" s="94" t="str">
        <f aca="false">IF($C112="","",$W112+$Y112+$AA112+$AC112-$AD112)</f>
        <v/>
      </c>
      <c r="AF112" s="146"/>
      <c r="AG112" s="146"/>
      <c r="AH112" s="146"/>
      <c r="AI112" s="147" t="str">
        <f aca="false">IF($C112="","",IF(OR($L112="Pipeline",$N112&lt;0,$O112&gt;$N112+1,($V112+$X112+$Z112+$AB112)&gt;1.0001,ISNUMBER(SEARCH("not signed",$AF112))),"REVIEW","OK"))</f>
        <v/>
      </c>
    </row>
    <row r="113" customFormat="false" ht="13.5" hidden="false" customHeight="false" outlineLevel="0" collapsed="false">
      <c r="A113" s="95" t="str">
        <f aca="false">IF($C113="","",Controls!$B$7)</f>
        <v/>
      </c>
      <c r="B113" s="95" t="str">
        <f aca="false">IF($C113="","",Controls!$B$30)</f>
        <v/>
      </c>
      <c r="C113" s="95" t="str">
        <f aca="false">IF(MM_Income!$A116="","",MM_Income!$A116)</f>
        <v/>
      </c>
      <c r="D113" s="95" t="str">
        <f aca="false">IF($C113="","",INDEX(MM_Income!$B$5:$B$204,MATCH($C113,MM_Income!$A$5:$A$204,0)))</f>
        <v/>
      </c>
      <c r="E113" s="95" t="str">
        <f aca="false">IF($C113="","",INDEX(MM_Income!$C$5:$C$204,MATCH($C113,MM_Income!$A$5:$A$204,0)))</f>
        <v/>
      </c>
      <c r="F113" s="95" t="str">
        <f aca="false">IF($C113="","",INDEX(MM_Income!$F$5:$F$204,MATCH($C113,MM_Income!$A$5:$A$204,0)))</f>
        <v/>
      </c>
      <c r="G113" s="95" t="str">
        <f aca="false">IF($C113="","",INDEX(MM_Income!$G$5:$G$204,MATCH($C113,MM_Income!$A$5:$A$204,0)))</f>
        <v/>
      </c>
      <c r="H113" s="95" t="str">
        <f aca="false">IF($C113="","",INDEX(MM_Income!$H$5:$H$204,MATCH($C113,MM_Income!$A$5:$A$204,0)))</f>
        <v/>
      </c>
      <c r="I113" s="95" t="str">
        <f aca="false">IF($C113="","",INDEX(MM_Income!$I$5:$I$204,MATCH($C113,MM_Income!$A$5:$A$204,0)))</f>
        <v/>
      </c>
      <c r="J113" s="95" t="str">
        <f aca="false">IF($C113="","",INDEX(MM_Income!$D$5:$D$204,MATCH($C113,MM_Income!$A$5:$A$204,0)))</f>
        <v/>
      </c>
      <c r="K113" s="95" t="str">
        <f aca="false">IF($C113="","",INDEX(MM_Income!$E$5:$E$204,MATCH($C113,MM_Income!$A$5:$A$204,0)))</f>
        <v/>
      </c>
      <c r="L113" s="95" t="str">
        <f aca="false">IF($C113="","",INDEX(MM_Income!$U$5:$U$204,MATCH($C113,MM_Income!$A$5:$A$204,0)))</f>
        <v/>
      </c>
      <c r="M113" s="143" t="str">
        <f aca="false">IF($C113="","",INDEX(MM_Income!$V$5:$V$204,MATCH($C113,MM_Income!$A$5:$A$204,0)))</f>
        <v/>
      </c>
      <c r="N113" s="144" t="str">
        <f aca="false">IF($C113="","",INDEX(MM_Income!$T$5:$T$204,MATCH($C113,MM_Income!$A$5:$A$204,0)))</f>
        <v/>
      </c>
      <c r="O113" s="94" t="str">
        <f aca="false">IF($C113="","",-SUMIFS(Project_Activity!$P$2:$P$5000,Project_Activity!$C$2:$C$5000,$C113,Project_Activity!$U$2:$U$5000,"Invoiced Income",Project_Activity!$H$2:$H$5000,"&gt;="&amp;DATE(VALUE(LEFT($B113,4)),1,1),Project_Activity!$H$2:$H$5000,"&lt;="&amp;EOMONTH(DATE(VALUE(LEFT($B113,4)),VALUE(RIGHT($B113,1))*3,1),0)))</f>
        <v/>
      </c>
      <c r="P113" s="94" t="str">
        <f aca="false">IF($C113="","",SUMIFS(Project_Activity!$P$2:$P$5000,Project_Activity!$C$2:$C$5000,$C113,Project_Activity!$U$2:$U$5000,"Subcontractor",Project_Activity!$H$2:$H$5000,"&gt;="&amp;DATE(VALUE(LEFT($B113,4)),1,1),Project_Activity!$H$2:$H$5000,"&lt;="&amp;EOMONTH(DATE(VALUE(LEFT($B113,4)),VALUE(RIGHT($B113,1))*3,1),0)))</f>
        <v/>
      </c>
      <c r="Q113" s="94" t="str">
        <f aca="false">IF($C113="","",SUMIFS(Project_Activity!$P$2:$P$5000,Project_Activity!$C$2:$C$5000,$C113,Project_Activity!$U$2:$U$5000,"Project Inclusive",Project_Activity!$H$2:$H$5000,"&gt;="&amp;DATE(VALUE(LEFT($B113,4)),1,1),Project_Activity!$H$2:$H$5000,"&lt;="&amp;EOMONTH(DATE(VALUE(LEFT($B113,4)),VALUE(RIGHT($B113,1))*3,1),0)))</f>
        <v/>
      </c>
      <c r="R113" s="94" t="str">
        <f aca="false">IF($C113="","",SUMIFS(Project_Activity!$P$2:$P$5000,Project_Activity!$C$2:$C$5000,$C113,Project_Activity!$U$2:$U$5000,"Non-Recoverable",Project_Activity!$H$2:$H$5000,"&gt;="&amp;DATE(VALUE(LEFT($B113,4)),1,1),Project_Activity!$H$2:$H$5000,"&lt;="&amp;EOMONTH(DATE(VALUE(LEFT($B113,4)),VALUE(RIGHT($B113,1))*3,1),0)))</f>
        <v/>
      </c>
      <c r="S113" s="94" t="str">
        <f aca="false">IF($C113="","",$O113-$P113-$Q113-$R113)</f>
        <v/>
      </c>
      <c r="T113" s="94" t="str">
        <f aca="false">IF($C113="","",SUMIFS(Project_Activity!$P$2:$P$5000,Project_Activity!$C$2:$C$5000,$C113,Project_Activity!$U$2:$U$5000,"Recoverable",Project_Activity!$H$2:$H$5000,"&gt;="&amp;DATE(VALUE(LEFT($B113,4)),1,1),Project_Activity!$H$2:$H$5000,"&lt;="&amp;EOMONTH(DATE(VALUE(LEFT($B113,4)),VALUE(RIGHT($B113,1))*3,1),0)))</f>
        <v/>
      </c>
      <c r="U113" s="94" t="str">
        <f aca="false">IF($C113="","",-SUMIFS(Project_Activity!$P$2:$P$5000,Project_Activity!$C$2:$C$5000,$C113,Project_Activity!$U$2:$U$5000,"Recovered Expenses",Project_Activity!$H$2:$H$5000,"&gt;="&amp;DATE(VALUE(LEFT($B113,4)),1,1),Project_Activity!$H$2:$H$5000,"&lt;="&amp;EOMONTH(DATE(VALUE(LEFT($B113,4)),VALUE(RIGHT($B113,1))*3,1),0)))</f>
        <v/>
      </c>
      <c r="V113" s="145"/>
      <c r="W113" s="94" t="str">
        <f aca="false">IF($C113="","",$V113*$N113)</f>
        <v/>
      </c>
      <c r="X113" s="145"/>
      <c r="Y113" s="94" t="str">
        <f aca="false">IF($C113="","",$X113*$N113)</f>
        <v/>
      </c>
      <c r="Z113" s="145"/>
      <c r="AA113" s="94" t="str">
        <f aca="false">IF($C113="","",$Z113*$N113)</f>
        <v/>
      </c>
      <c r="AB113" s="145"/>
      <c r="AC113" s="94" t="str">
        <f aca="false">IF($C113="","",$AB113*$N113)</f>
        <v/>
      </c>
      <c r="AD113" s="94" t="str">
        <f aca="false">IF($C113="","",SUMPRODUCT((VALUE(MID($B113,7,1))&gt;={1,2,3,4})*CHOOSE({1,2,3,4},$W113,$Y113,$AA113,$AC113)))</f>
        <v/>
      </c>
      <c r="AE113" s="94" t="str">
        <f aca="false">IF($C113="","",$W113+$Y113+$AA113+$AC113-$AD113)</f>
        <v/>
      </c>
      <c r="AF113" s="146"/>
      <c r="AG113" s="146"/>
      <c r="AH113" s="146"/>
      <c r="AI113" s="147" t="str">
        <f aca="false">IF($C113="","",IF(OR($L113="Pipeline",$N113&lt;0,$O113&gt;$N113+1,($V113+$X113+$Z113+$AB113)&gt;1.0001,ISNUMBER(SEARCH("not signed",$AF113))),"REVIEW","OK"))</f>
        <v/>
      </c>
    </row>
    <row r="114" customFormat="false" ht="13.5" hidden="false" customHeight="false" outlineLevel="0" collapsed="false">
      <c r="A114" s="95" t="str">
        <f aca="false">IF($C114="","",Controls!$B$7)</f>
        <v/>
      </c>
      <c r="B114" s="95" t="str">
        <f aca="false">IF($C114="","",Controls!$B$30)</f>
        <v/>
      </c>
      <c r="C114" s="95" t="str">
        <f aca="false">IF(MM_Income!$A117="","",MM_Income!$A117)</f>
        <v/>
      </c>
      <c r="D114" s="95" t="str">
        <f aca="false">IF($C114="","",INDEX(MM_Income!$B$5:$B$204,MATCH($C114,MM_Income!$A$5:$A$204,0)))</f>
        <v/>
      </c>
      <c r="E114" s="95" t="str">
        <f aca="false">IF($C114="","",INDEX(MM_Income!$C$5:$C$204,MATCH($C114,MM_Income!$A$5:$A$204,0)))</f>
        <v/>
      </c>
      <c r="F114" s="95" t="str">
        <f aca="false">IF($C114="","",INDEX(MM_Income!$F$5:$F$204,MATCH($C114,MM_Income!$A$5:$A$204,0)))</f>
        <v/>
      </c>
      <c r="G114" s="95" t="str">
        <f aca="false">IF($C114="","",INDEX(MM_Income!$G$5:$G$204,MATCH($C114,MM_Income!$A$5:$A$204,0)))</f>
        <v/>
      </c>
      <c r="H114" s="95" t="str">
        <f aca="false">IF($C114="","",INDEX(MM_Income!$H$5:$H$204,MATCH($C114,MM_Income!$A$5:$A$204,0)))</f>
        <v/>
      </c>
      <c r="I114" s="95" t="str">
        <f aca="false">IF($C114="","",INDEX(MM_Income!$I$5:$I$204,MATCH($C114,MM_Income!$A$5:$A$204,0)))</f>
        <v/>
      </c>
      <c r="J114" s="95" t="str">
        <f aca="false">IF($C114="","",INDEX(MM_Income!$D$5:$D$204,MATCH($C114,MM_Income!$A$5:$A$204,0)))</f>
        <v/>
      </c>
      <c r="K114" s="95" t="str">
        <f aca="false">IF($C114="","",INDEX(MM_Income!$E$5:$E$204,MATCH($C114,MM_Income!$A$5:$A$204,0)))</f>
        <v/>
      </c>
      <c r="L114" s="95" t="str">
        <f aca="false">IF($C114="","",INDEX(MM_Income!$U$5:$U$204,MATCH($C114,MM_Income!$A$5:$A$204,0)))</f>
        <v/>
      </c>
      <c r="M114" s="143" t="str">
        <f aca="false">IF($C114="","",INDEX(MM_Income!$V$5:$V$204,MATCH($C114,MM_Income!$A$5:$A$204,0)))</f>
        <v/>
      </c>
      <c r="N114" s="144" t="str">
        <f aca="false">IF($C114="","",INDEX(MM_Income!$T$5:$T$204,MATCH($C114,MM_Income!$A$5:$A$204,0)))</f>
        <v/>
      </c>
      <c r="O114" s="94" t="str">
        <f aca="false">IF($C114="","",-SUMIFS(Project_Activity!$P$2:$P$5000,Project_Activity!$C$2:$C$5000,$C114,Project_Activity!$U$2:$U$5000,"Invoiced Income",Project_Activity!$H$2:$H$5000,"&gt;="&amp;DATE(VALUE(LEFT($B114,4)),1,1),Project_Activity!$H$2:$H$5000,"&lt;="&amp;EOMONTH(DATE(VALUE(LEFT($B114,4)),VALUE(RIGHT($B114,1))*3,1),0)))</f>
        <v/>
      </c>
      <c r="P114" s="94" t="str">
        <f aca="false">IF($C114="","",SUMIFS(Project_Activity!$P$2:$P$5000,Project_Activity!$C$2:$C$5000,$C114,Project_Activity!$U$2:$U$5000,"Subcontractor",Project_Activity!$H$2:$H$5000,"&gt;="&amp;DATE(VALUE(LEFT($B114,4)),1,1),Project_Activity!$H$2:$H$5000,"&lt;="&amp;EOMONTH(DATE(VALUE(LEFT($B114,4)),VALUE(RIGHT($B114,1))*3,1),0)))</f>
        <v/>
      </c>
      <c r="Q114" s="94" t="str">
        <f aca="false">IF($C114="","",SUMIFS(Project_Activity!$P$2:$P$5000,Project_Activity!$C$2:$C$5000,$C114,Project_Activity!$U$2:$U$5000,"Project Inclusive",Project_Activity!$H$2:$H$5000,"&gt;="&amp;DATE(VALUE(LEFT($B114,4)),1,1),Project_Activity!$H$2:$H$5000,"&lt;="&amp;EOMONTH(DATE(VALUE(LEFT($B114,4)),VALUE(RIGHT($B114,1))*3,1),0)))</f>
        <v/>
      </c>
      <c r="R114" s="94" t="str">
        <f aca="false">IF($C114="","",SUMIFS(Project_Activity!$P$2:$P$5000,Project_Activity!$C$2:$C$5000,$C114,Project_Activity!$U$2:$U$5000,"Non-Recoverable",Project_Activity!$H$2:$H$5000,"&gt;="&amp;DATE(VALUE(LEFT($B114,4)),1,1),Project_Activity!$H$2:$H$5000,"&lt;="&amp;EOMONTH(DATE(VALUE(LEFT($B114,4)),VALUE(RIGHT($B114,1))*3,1),0)))</f>
        <v/>
      </c>
      <c r="S114" s="94" t="str">
        <f aca="false">IF($C114="","",$O114-$P114-$Q114-$R114)</f>
        <v/>
      </c>
      <c r="T114" s="94" t="str">
        <f aca="false">IF($C114="","",SUMIFS(Project_Activity!$P$2:$P$5000,Project_Activity!$C$2:$C$5000,$C114,Project_Activity!$U$2:$U$5000,"Recoverable",Project_Activity!$H$2:$H$5000,"&gt;="&amp;DATE(VALUE(LEFT($B114,4)),1,1),Project_Activity!$H$2:$H$5000,"&lt;="&amp;EOMONTH(DATE(VALUE(LEFT($B114,4)),VALUE(RIGHT($B114,1))*3,1),0)))</f>
        <v/>
      </c>
      <c r="U114" s="94" t="str">
        <f aca="false">IF($C114="","",-SUMIFS(Project_Activity!$P$2:$P$5000,Project_Activity!$C$2:$C$5000,$C114,Project_Activity!$U$2:$U$5000,"Recovered Expenses",Project_Activity!$H$2:$H$5000,"&gt;="&amp;DATE(VALUE(LEFT($B114,4)),1,1),Project_Activity!$H$2:$H$5000,"&lt;="&amp;EOMONTH(DATE(VALUE(LEFT($B114,4)),VALUE(RIGHT($B114,1))*3,1),0)))</f>
        <v/>
      </c>
      <c r="V114" s="145"/>
      <c r="W114" s="94" t="str">
        <f aca="false">IF($C114="","",$V114*$N114)</f>
        <v/>
      </c>
      <c r="X114" s="145"/>
      <c r="Y114" s="94" t="str">
        <f aca="false">IF($C114="","",$X114*$N114)</f>
        <v/>
      </c>
      <c r="Z114" s="145"/>
      <c r="AA114" s="94" t="str">
        <f aca="false">IF($C114="","",$Z114*$N114)</f>
        <v/>
      </c>
      <c r="AB114" s="145"/>
      <c r="AC114" s="94" t="str">
        <f aca="false">IF($C114="","",$AB114*$N114)</f>
        <v/>
      </c>
      <c r="AD114" s="94" t="str">
        <f aca="false">IF($C114="","",SUMPRODUCT((VALUE(MID($B114,7,1))&gt;={1,2,3,4})*CHOOSE({1,2,3,4},$W114,$Y114,$AA114,$AC114)))</f>
        <v/>
      </c>
      <c r="AE114" s="94" t="str">
        <f aca="false">IF($C114="","",$W114+$Y114+$AA114+$AC114-$AD114)</f>
        <v/>
      </c>
      <c r="AF114" s="146"/>
      <c r="AG114" s="146"/>
      <c r="AH114" s="146"/>
      <c r="AI114" s="147" t="str">
        <f aca="false">IF($C114="","",IF(OR($L114="Pipeline",$N114&lt;0,$O114&gt;$N114+1,($V114+$X114+$Z114+$AB114)&gt;1.0001,ISNUMBER(SEARCH("not signed",$AF114))),"REVIEW","OK"))</f>
        <v/>
      </c>
    </row>
    <row r="115" customFormat="false" ht="13.5" hidden="false" customHeight="false" outlineLevel="0" collapsed="false">
      <c r="A115" s="95" t="str">
        <f aca="false">IF($C115="","",Controls!$B$7)</f>
        <v/>
      </c>
      <c r="B115" s="95" t="str">
        <f aca="false">IF($C115="","",Controls!$B$30)</f>
        <v/>
      </c>
      <c r="C115" s="95" t="str">
        <f aca="false">IF(MM_Income!$A118="","",MM_Income!$A118)</f>
        <v/>
      </c>
      <c r="D115" s="95" t="str">
        <f aca="false">IF($C115="","",INDEX(MM_Income!$B$5:$B$204,MATCH($C115,MM_Income!$A$5:$A$204,0)))</f>
        <v/>
      </c>
      <c r="E115" s="95" t="str">
        <f aca="false">IF($C115="","",INDEX(MM_Income!$C$5:$C$204,MATCH($C115,MM_Income!$A$5:$A$204,0)))</f>
        <v/>
      </c>
      <c r="F115" s="95" t="str">
        <f aca="false">IF($C115="","",INDEX(MM_Income!$F$5:$F$204,MATCH($C115,MM_Income!$A$5:$A$204,0)))</f>
        <v/>
      </c>
      <c r="G115" s="95" t="str">
        <f aca="false">IF($C115="","",INDEX(MM_Income!$G$5:$G$204,MATCH($C115,MM_Income!$A$5:$A$204,0)))</f>
        <v/>
      </c>
      <c r="H115" s="95" t="str">
        <f aca="false">IF($C115="","",INDEX(MM_Income!$H$5:$H$204,MATCH($C115,MM_Income!$A$5:$A$204,0)))</f>
        <v/>
      </c>
      <c r="I115" s="95" t="str">
        <f aca="false">IF($C115="","",INDEX(MM_Income!$I$5:$I$204,MATCH($C115,MM_Income!$A$5:$A$204,0)))</f>
        <v/>
      </c>
      <c r="J115" s="95" t="str">
        <f aca="false">IF($C115="","",INDEX(MM_Income!$D$5:$D$204,MATCH($C115,MM_Income!$A$5:$A$204,0)))</f>
        <v/>
      </c>
      <c r="K115" s="95" t="str">
        <f aca="false">IF($C115="","",INDEX(MM_Income!$E$5:$E$204,MATCH($C115,MM_Income!$A$5:$A$204,0)))</f>
        <v/>
      </c>
      <c r="L115" s="95" t="str">
        <f aca="false">IF($C115="","",INDEX(MM_Income!$U$5:$U$204,MATCH($C115,MM_Income!$A$5:$A$204,0)))</f>
        <v/>
      </c>
      <c r="M115" s="143" t="str">
        <f aca="false">IF($C115="","",INDEX(MM_Income!$V$5:$V$204,MATCH($C115,MM_Income!$A$5:$A$204,0)))</f>
        <v/>
      </c>
      <c r="N115" s="144" t="str">
        <f aca="false">IF($C115="","",INDEX(MM_Income!$T$5:$T$204,MATCH($C115,MM_Income!$A$5:$A$204,0)))</f>
        <v/>
      </c>
      <c r="O115" s="94" t="str">
        <f aca="false">IF($C115="","",-SUMIFS(Project_Activity!$P$2:$P$5000,Project_Activity!$C$2:$C$5000,$C115,Project_Activity!$U$2:$U$5000,"Invoiced Income",Project_Activity!$H$2:$H$5000,"&gt;="&amp;DATE(VALUE(LEFT($B115,4)),1,1),Project_Activity!$H$2:$H$5000,"&lt;="&amp;EOMONTH(DATE(VALUE(LEFT($B115,4)),VALUE(RIGHT($B115,1))*3,1),0)))</f>
        <v/>
      </c>
      <c r="P115" s="94" t="str">
        <f aca="false">IF($C115="","",SUMIFS(Project_Activity!$P$2:$P$5000,Project_Activity!$C$2:$C$5000,$C115,Project_Activity!$U$2:$U$5000,"Subcontractor",Project_Activity!$H$2:$H$5000,"&gt;="&amp;DATE(VALUE(LEFT($B115,4)),1,1),Project_Activity!$H$2:$H$5000,"&lt;="&amp;EOMONTH(DATE(VALUE(LEFT($B115,4)),VALUE(RIGHT($B115,1))*3,1),0)))</f>
        <v/>
      </c>
      <c r="Q115" s="94" t="str">
        <f aca="false">IF($C115="","",SUMIFS(Project_Activity!$P$2:$P$5000,Project_Activity!$C$2:$C$5000,$C115,Project_Activity!$U$2:$U$5000,"Project Inclusive",Project_Activity!$H$2:$H$5000,"&gt;="&amp;DATE(VALUE(LEFT($B115,4)),1,1),Project_Activity!$H$2:$H$5000,"&lt;="&amp;EOMONTH(DATE(VALUE(LEFT($B115,4)),VALUE(RIGHT($B115,1))*3,1),0)))</f>
        <v/>
      </c>
      <c r="R115" s="94" t="str">
        <f aca="false">IF($C115="","",SUMIFS(Project_Activity!$P$2:$P$5000,Project_Activity!$C$2:$C$5000,$C115,Project_Activity!$U$2:$U$5000,"Non-Recoverable",Project_Activity!$H$2:$H$5000,"&gt;="&amp;DATE(VALUE(LEFT($B115,4)),1,1),Project_Activity!$H$2:$H$5000,"&lt;="&amp;EOMONTH(DATE(VALUE(LEFT($B115,4)),VALUE(RIGHT($B115,1))*3,1),0)))</f>
        <v/>
      </c>
      <c r="S115" s="94" t="str">
        <f aca="false">IF($C115="","",$O115-$P115-$Q115-$R115)</f>
        <v/>
      </c>
      <c r="T115" s="94" t="str">
        <f aca="false">IF($C115="","",SUMIFS(Project_Activity!$P$2:$P$5000,Project_Activity!$C$2:$C$5000,$C115,Project_Activity!$U$2:$U$5000,"Recoverable",Project_Activity!$H$2:$H$5000,"&gt;="&amp;DATE(VALUE(LEFT($B115,4)),1,1),Project_Activity!$H$2:$H$5000,"&lt;="&amp;EOMONTH(DATE(VALUE(LEFT($B115,4)),VALUE(RIGHT($B115,1))*3,1),0)))</f>
        <v/>
      </c>
      <c r="U115" s="94" t="str">
        <f aca="false">IF($C115="","",-SUMIFS(Project_Activity!$P$2:$P$5000,Project_Activity!$C$2:$C$5000,$C115,Project_Activity!$U$2:$U$5000,"Recovered Expenses",Project_Activity!$H$2:$H$5000,"&gt;="&amp;DATE(VALUE(LEFT($B115,4)),1,1),Project_Activity!$H$2:$H$5000,"&lt;="&amp;EOMONTH(DATE(VALUE(LEFT($B115,4)),VALUE(RIGHT($B115,1))*3,1),0)))</f>
        <v/>
      </c>
      <c r="V115" s="145"/>
      <c r="W115" s="94" t="str">
        <f aca="false">IF($C115="","",$V115*$N115)</f>
        <v/>
      </c>
      <c r="X115" s="145"/>
      <c r="Y115" s="94" t="str">
        <f aca="false">IF($C115="","",$X115*$N115)</f>
        <v/>
      </c>
      <c r="Z115" s="145"/>
      <c r="AA115" s="94" t="str">
        <f aca="false">IF($C115="","",$Z115*$N115)</f>
        <v/>
      </c>
      <c r="AB115" s="145"/>
      <c r="AC115" s="94" t="str">
        <f aca="false">IF($C115="","",$AB115*$N115)</f>
        <v/>
      </c>
      <c r="AD115" s="94" t="str">
        <f aca="false">IF($C115="","",SUMPRODUCT((VALUE(MID($B115,7,1))&gt;={1,2,3,4})*CHOOSE({1,2,3,4},$W115,$Y115,$AA115,$AC115)))</f>
        <v/>
      </c>
      <c r="AE115" s="94" t="str">
        <f aca="false">IF($C115="","",$W115+$Y115+$AA115+$AC115-$AD115)</f>
        <v/>
      </c>
      <c r="AF115" s="146"/>
      <c r="AG115" s="146"/>
      <c r="AH115" s="146"/>
      <c r="AI115" s="147" t="str">
        <f aca="false">IF($C115="","",IF(OR($L115="Pipeline",$N115&lt;0,$O115&gt;$N115+1,($V115+$X115+$Z115+$AB115)&gt;1.0001,ISNUMBER(SEARCH("not signed",$AF115))),"REVIEW","OK"))</f>
        <v/>
      </c>
    </row>
    <row r="116" customFormat="false" ht="13.5" hidden="false" customHeight="false" outlineLevel="0" collapsed="false">
      <c r="A116" s="95" t="str">
        <f aca="false">IF($C116="","",Controls!$B$7)</f>
        <v/>
      </c>
      <c r="B116" s="95" t="str">
        <f aca="false">IF($C116="","",Controls!$B$30)</f>
        <v/>
      </c>
      <c r="C116" s="95" t="str">
        <f aca="false">IF(MM_Income!$A119="","",MM_Income!$A119)</f>
        <v/>
      </c>
      <c r="D116" s="95" t="str">
        <f aca="false">IF($C116="","",INDEX(MM_Income!$B$5:$B$204,MATCH($C116,MM_Income!$A$5:$A$204,0)))</f>
        <v/>
      </c>
      <c r="E116" s="95" t="str">
        <f aca="false">IF($C116="","",INDEX(MM_Income!$C$5:$C$204,MATCH($C116,MM_Income!$A$5:$A$204,0)))</f>
        <v/>
      </c>
      <c r="F116" s="95" t="str">
        <f aca="false">IF($C116="","",INDEX(MM_Income!$F$5:$F$204,MATCH($C116,MM_Income!$A$5:$A$204,0)))</f>
        <v/>
      </c>
      <c r="G116" s="95" t="str">
        <f aca="false">IF($C116="","",INDEX(MM_Income!$G$5:$G$204,MATCH($C116,MM_Income!$A$5:$A$204,0)))</f>
        <v/>
      </c>
      <c r="H116" s="95" t="str">
        <f aca="false">IF($C116="","",INDEX(MM_Income!$H$5:$H$204,MATCH($C116,MM_Income!$A$5:$A$204,0)))</f>
        <v/>
      </c>
      <c r="I116" s="95" t="str">
        <f aca="false">IF($C116="","",INDEX(MM_Income!$I$5:$I$204,MATCH($C116,MM_Income!$A$5:$A$204,0)))</f>
        <v/>
      </c>
      <c r="J116" s="95" t="str">
        <f aca="false">IF($C116="","",INDEX(MM_Income!$D$5:$D$204,MATCH($C116,MM_Income!$A$5:$A$204,0)))</f>
        <v/>
      </c>
      <c r="K116" s="95" t="str">
        <f aca="false">IF($C116="","",INDEX(MM_Income!$E$5:$E$204,MATCH($C116,MM_Income!$A$5:$A$204,0)))</f>
        <v/>
      </c>
      <c r="L116" s="95" t="str">
        <f aca="false">IF($C116="","",INDEX(MM_Income!$U$5:$U$204,MATCH($C116,MM_Income!$A$5:$A$204,0)))</f>
        <v/>
      </c>
      <c r="M116" s="143" t="str">
        <f aca="false">IF($C116="","",INDEX(MM_Income!$V$5:$V$204,MATCH($C116,MM_Income!$A$5:$A$204,0)))</f>
        <v/>
      </c>
      <c r="N116" s="144" t="str">
        <f aca="false">IF($C116="","",INDEX(MM_Income!$T$5:$T$204,MATCH($C116,MM_Income!$A$5:$A$204,0)))</f>
        <v/>
      </c>
      <c r="O116" s="94" t="str">
        <f aca="false">IF($C116="","",-SUMIFS(Project_Activity!$P$2:$P$5000,Project_Activity!$C$2:$C$5000,$C116,Project_Activity!$U$2:$U$5000,"Invoiced Income",Project_Activity!$H$2:$H$5000,"&gt;="&amp;DATE(VALUE(LEFT($B116,4)),1,1),Project_Activity!$H$2:$H$5000,"&lt;="&amp;EOMONTH(DATE(VALUE(LEFT($B116,4)),VALUE(RIGHT($B116,1))*3,1),0)))</f>
        <v/>
      </c>
      <c r="P116" s="94" t="str">
        <f aca="false">IF($C116="","",SUMIFS(Project_Activity!$P$2:$P$5000,Project_Activity!$C$2:$C$5000,$C116,Project_Activity!$U$2:$U$5000,"Subcontractor",Project_Activity!$H$2:$H$5000,"&gt;="&amp;DATE(VALUE(LEFT($B116,4)),1,1),Project_Activity!$H$2:$H$5000,"&lt;="&amp;EOMONTH(DATE(VALUE(LEFT($B116,4)),VALUE(RIGHT($B116,1))*3,1),0)))</f>
        <v/>
      </c>
      <c r="Q116" s="94" t="str">
        <f aca="false">IF($C116="","",SUMIFS(Project_Activity!$P$2:$P$5000,Project_Activity!$C$2:$C$5000,$C116,Project_Activity!$U$2:$U$5000,"Project Inclusive",Project_Activity!$H$2:$H$5000,"&gt;="&amp;DATE(VALUE(LEFT($B116,4)),1,1),Project_Activity!$H$2:$H$5000,"&lt;="&amp;EOMONTH(DATE(VALUE(LEFT($B116,4)),VALUE(RIGHT($B116,1))*3,1),0)))</f>
        <v/>
      </c>
      <c r="R116" s="94" t="str">
        <f aca="false">IF($C116="","",SUMIFS(Project_Activity!$P$2:$P$5000,Project_Activity!$C$2:$C$5000,$C116,Project_Activity!$U$2:$U$5000,"Non-Recoverable",Project_Activity!$H$2:$H$5000,"&gt;="&amp;DATE(VALUE(LEFT($B116,4)),1,1),Project_Activity!$H$2:$H$5000,"&lt;="&amp;EOMONTH(DATE(VALUE(LEFT($B116,4)),VALUE(RIGHT($B116,1))*3,1),0)))</f>
        <v/>
      </c>
      <c r="S116" s="94" t="str">
        <f aca="false">IF($C116="","",$O116-$P116-$Q116-$R116)</f>
        <v/>
      </c>
      <c r="T116" s="94" t="str">
        <f aca="false">IF($C116="","",SUMIFS(Project_Activity!$P$2:$P$5000,Project_Activity!$C$2:$C$5000,$C116,Project_Activity!$U$2:$U$5000,"Recoverable",Project_Activity!$H$2:$H$5000,"&gt;="&amp;DATE(VALUE(LEFT($B116,4)),1,1),Project_Activity!$H$2:$H$5000,"&lt;="&amp;EOMONTH(DATE(VALUE(LEFT($B116,4)),VALUE(RIGHT($B116,1))*3,1),0)))</f>
        <v/>
      </c>
      <c r="U116" s="94" t="str">
        <f aca="false">IF($C116="","",-SUMIFS(Project_Activity!$P$2:$P$5000,Project_Activity!$C$2:$C$5000,$C116,Project_Activity!$U$2:$U$5000,"Recovered Expenses",Project_Activity!$H$2:$H$5000,"&gt;="&amp;DATE(VALUE(LEFT($B116,4)),1,1),Project_Activity!$H$2:$H$5000,"&lt;="&amp;EOMONTH(DATE(VALUE(LEFT($B116,4)),VALUE(RIGHT($B116,1))*3,1),0)))</f>
        <v/>
      </c>
      <c r="V116" s="145"/>
      <c r="W116" s="94" t="str">
        <f aca="false">IF($C116="","",$V116*$N116)</f>
        <v/>
      </c>
      <c r="X116" s="145"/>
      <c r="Y116" s="94" t="str">
        <f aca="false">IF($C116="","",$X116*$N116)</f>
        <v/>
      </c>
      <c r="Z116" s="145"/>
      <c r="AA116" s="94" t="str">
        <f aca="false">IF($C116="","",$Z116*$N116)</f>
        <v/>
      </c>
      <c r="AB116" s="145"/>
      <c r="AC116" s="94" t="str">
        <f aca="false">IF($C116="","",$AB116*$N116)</f>
        <v/>
      </c>
      <c r="AD116" s="94" t="str">
        <f aca="false">IF($C116="","",SUMPRODUCT((VALUE(MID($B116,7,1))&gt;={1,2,3,4})*CHOOSE({1,2,3,4},$W116,$Y116,$AA116,$AC116)))</f>
        <v/>
      </c>
      <c r="AE116" s="94" t="str">
        <f aca="false">IF($C116="","",$W116+$Y116+$AA116+$AC116-$AD116)</f>
        <v/>
      </c>
      <c r="AF116" s="146"/>
      <c r="AG116" s="146"/>
      <c r="AH116" s="146"/>
      <c r="AI116" s="147" t="str">
        <f aca="false">IF($C116="","",IF(OR($L116="Pipeline",$N116&lt;0,$O116&gt;$N116+1,($V116+$X116+$Z116+$AB116)&gt;1.0001,ISNUMBER(SEARCH("not signed",$AF116))),"REVIEW","OK"))</f>
        <v/>
      </c>
    </row>
    <row r="117" customFormat="false" ht="13.5" hidden="false" customHeight="false" outlineLevel="0" collapsed="false">
      <c r="A117" s="95" t="str">
        <f aca="false">IF($C117="","",Controls!$B$7)</f>
        <v/>
      </c>
      <c r="B117" s="95" t="str">
        <f aca="false">IF($C117="","",Controls!$B$30)</f>
        <v/>
      </c>
      <c r="C117" s="95" t="str">
        <f aca="false">IF(MM_Income!$A120="","",MM_Income!$A120)</f>
        <v/>
      </c>
      <c r="D117" s="95" t="str">
        <f aca="false">IF($C117="","",INDEX(MM_Income!$B$5:$B$204,MATCH($C117,MM_Income!$A$5:$A$204,0)))</f>
        <v/>
      </c>
      <c r="E117" s="95" t="str">
        <f aca="false">IF($C117="","",INDEX(MM_Income!$C$5:$C$204,MATCH($C117,MM_Income!$A$5:$A$204,0)))</f>
        <v/>
      </c>
      <c r="F117" s="95" t="str">
        <f aca="false">IF($C117="","",INDEX(MM_Income!$F$5:$F$204,MATCH($C117,MM_Income!$A$5:$A$204,0)))</f>
        <v/>
      </c>
      <c r="G117" s="95" t="str">
        <f aca="false">IF($C117="","",INDEX(MM_Income!$G$5:$G$204,MATCH($C117,MM_Income!$A$5:$A$204,0)))</f>
        <v/>
      </c>
      <c r="H117" s="95" t="str">
        <f aca="false">IF($C117="","",INDEX(MM_Income!$H$5:$H$204,MATCH($C117,MM_Income!$A$5:$A$204,0)))</f>
        <v/>
      </c>
      <c r="I117" s="95" t="str">
        <f aca="false">IF($C117="","",INDEX(MM_Income!$I$5:$I$204,MATCH($C117,MM_Income!$A$5:$A$204,0)))</f>
        <v/>
      </c>
      <c r="J117" s="95" t="str">
        <f aca="false">IF($C117="","",INDEX(MM_Income!$D$5:$D$204,MATCH($C117,MM_Income!$A$5:$A$204,0)))</f>
        <v/>
      </c>
      <c r="K117" s="95" t="str">
        <f aca="false">IF($C117="","",INDEX(MM_Income!$E$5:$E$204,MATCH($C117,MM_Income!$A$5:$A$204,0)))</f>
        <v/>
      </c>
      <c r="L117" s="95" t="str">
        <f aca="false">IF($C117="","",INDEX(MM_Income!$U$5:$U$204,MATCH($C117,MM_Income!$A$5:$A$204,0)))</f>
        <v/>
      </c>
      <c r="M117" s="143" t="str">
        <f aca="false">IF($C117="","",INDEX(MM_Income!$V$5:$V$204,MATCH($C117,MM_Income!$A$5:$A$204,0)))</f>
        <v/>
      </c>
      <c r="N117" s="144" t="str">
        <f aca="false">IF($C117="","",INDEX(MM_Income!$T$5:$T$204,MATCH($C117,MM_Income!$A$5:$A$204,0)))</f>
        <v/>
      </c>
      <c r="O117" s="94" t="str">
        <f aca="false">IF($C117="","",-SUMIFS(Project_Activity!$P$2:$P$5000,Project_Activity!$C$2:$C$5000,$C117,Project_Activity!$U$2:$U$5000,"Invoiced Income",Project_Activity!$H$2:$H$5000,"&gt;="&amp;DATE(VALUE(LEFT($B117,4)),1,1),Project_Activity!$H$2:$H$5000,"&lt;="&amp;EOMONTH(DATE(VALUE(LEFT($B117,4)),VALUE(RIGHT($B117,1))*3,1),0)))</f>
        <v/>
      </c>
      <c r="P117" s="94" t="str">
        <f aca="false">IF($C117="","",SUMIFS(Project_Activity!$P$2:$P$5000,Project_Activity!$C$2:$C$5000,$C117,Project_Activity!$U$2:$U$5000,"Subcontractor",Project_Activity!$H$2:$H$5000,"&gt;="&amp;DATE(VALUE(LEFT($B117,4)),1,1),Project_Activity!$H$2:$H$5000,"&lt;="&amp;EOMONTH(DATE(VALUE(LEFT($B117,4)),VALUE(RIGHT($B117,1))*3,1),0)))</f>
        <v/>
      </c>
      <c r="Q117" s="94" t="str">
        <f aca="false">IF($C117="","",SUMIFS(Project_Activity!$P$2:$P$5000,Project_Activity!$C$2:$C$5000,$C117,Project_Activity!$U$2:$U$5000,"Project Inclusive",Project_Activity!$H$2:$H$5000,"&gt;="&amp;DATE(VALUE(LEFT($B117,4)),1,1),Project_Activity!$H$2:$H$5000,"&lt;="&amp;EOMONTH(DATE(VALUE(LEFT($B117,4)),VALUE(RIGHT($B117,1))*3,1),0)))</f>
        <v/>
      </c>
      <c r="R117" s="94" t="str">
        <f aca="false">IF($C117="","",SUMIFS(Project_Activity!$P$2:$P$5000,Project_Activity!$C$2:$C$5000,$C117,Project_Activity!$U$2:$U$5000,"Non-Recoverable",Project_Activity!$H$2:$H$5000,"&gt;="&amp;DATE(VALUE(LEFT($B117,4)),1,1),Project_Activity!$H$2:$H$5000,"&lt;="&amp;EOMONTH(DATE(VALUE(LEFT($B117,4)),VALUE(RIGHT($B117,1))*3,1),0)))</f>
        <v/>
      </c>
      <c r="S117" s="94" t="str">
        <f aca="false">IF($C117="","",$O117-$P117-$Q117-$R117)</f>
        <v/>
      </c>
      <c r="T117" s="94" t="str">
        <f aca="false">IF($C117="","",SUMIFS(Project_Activity!$P$2:$P$5000,Project_Activity!$C$2:$C$5000,$C117,Project_Activity!$U$2:$U$5000,"Recoverable",Project_Activity!$H$2:$H$5000,"&gt;="&amp;DATE(VALUE(LEFT($B117,4)),1,1),Project_Activity!$H$2:$H$5000,"&lt;="&amp;EOMONTH(DATE(VALUE(LEFT($B117,4)),VALUE(RIGHT($B117,1))*3,1),0)))</f>
        <v/>
      </c>
      <c r="U117" s="94" t="str">
        <f aca="false">IF($C117="","",-SUMIFS(Project_Activity!$P$2:$P$5000,Project_Activity!$C$2:$C$5000,$C117,Project_Activity!$U$2:$U$5000,"Recovered Expenses",Project_Activity!$H$2:$H$5000,"&gt;="&amp;DATE(VALUE(LEFT($B117,4)),1,1),Project_Activity!$H$2:$H$5000,"&lt;="&amp;EOMONTH(DATE(VALUE(LEFT($B117,4)),VALUE(RIGHT($B117,1))*3,1),0)))</f>
        <v/>
      </c>
      <c r="V117" s="145"/>
      <c r="W117" s="94" t="str">
        <f aca="false">IF($C117="","",$V117*$N117)</f>
        <v/>
      </c>
      <c r="X117" s="145"/>
      <c r="Y117" s="94" t="str">
        <f aca="false">IF($C117="","",$X117*$N117)</f>
        <v/>
      </c>
      <c r="Z117" s="145"/>
      <c r="AA117" s="94" t="str">
        <f aca="false">IF($C117="","",$Z117*$N117)</f>
        <v/>
      </c>
      <c r="AB117" s="145"/>
      <c r="AC117" s="94" t="str">
        <f aca="false">IF($C117="","",$AB117*$N117)</f>
        <v/>
      </c>
      <c r="AD117" s="94" t="str">
        <f aca="false">IF($C117="","",SUMPRODUCT((VALUE(MID($B117,7,1))&gt;={1,2,3,4})*CHOOSE({1,2,3,4},$W117,$Y117,$AA117,$AC117)))</f>
        <v/>
      </c>
      <c r="AE117" s="94" t="str">
        <f aca="false">IF($C117="","",$W117+$Y117+$AA117+$AC117-$AD117)</f>
        <v/>
      </c>
      <c r="AF117" s="146"/>
      <c r="AG117" s="146"/>
      <c r="AH117" s="146"/>
      <c r="AI117" s="147" t="str">
        <f aca="false">IF($C117="","",IF(OR($L117="Pipeline",$N117&lt;0,$O117&gt;$N117+1,($V117+$X117+$Z117+$AB117)&gt;1.0001,ISNUMBER(SEARCH("not signed",$AF117))),"REVIEW","OK"))</f>
        <v/>
      </c>
    </row>
    <row r="118" customFormat="false" ht="13.5" hidden="false" customHeight="false" outlineLevel="0" collapsed="false">
      <c r="A118" s="95" t="str">
        <f aca="false">IF($C118="","",Controls!$B$7)</f>
        <v/>
      </c>
      <c r="B118" s="95" t="str">
        <f aca="false">IF($C118="","",Controls!$B$30)</f>
        <v/>
      </c>
      <c r="C118" s="95" t="str">
        <f aca="false">IF(MM_Income!$A121="","",MM_Income!$A121)</f>
        <v/>
      </c>
      <c r="D118" s="95" t="str">
        <f aca="false">IF($C118="","",INDEX(MM_Income!$B$5:$B$204,MATCH($C118,MM_Income!$A$5:$A$204,0)))</f>
        <v/>
      </c>
      <c r="E118" s="95" t="str">
        <f aca="false">IF($C118="","",INDEX(MM_Income!$C$5:$C$204,MATCH($C118,MM_Income!$A$5:$A$204,0)))</f>
        <v/>
      </c>
      <c r="F118" s="95" t="str">
        <f aca="false">IF($C118="","",INDEX(MM_Income!$F$5:$F$204,MATCH($C118,MM_Income!$A$5:$A$204,0)))</f>
        <v/>
      </c>
      <c r="G118" s="95" t="str">
        <f aca="false">IF($C118="","",INDEX(MM_Income!$G$5:$G$204,MATCH($C118,MM_Income!$A$5:$A$204,0)))</f>
        <v/>
      </c>
      <c r="H118" s="95" t="str">
        <f aca="false">IF($C118="","",INDEX(MM_Income!$H$5:$H$204,MATCH($C118,MM_Income!$A$5:$A$204,0)))</f>
        <v/>
      </c>
      <c r="I118" s="95" t="str">
        <f aca="false">IF($C118="","",INDEX(MM_Income!$I$5:$I$204,MATCH($C118,MM_Income!$A$5:$A$204,0)))</f>
        <v/>
      </c>
      <c r="J118" s="95" t="str">
        <f aca="false">IF($C118="","",INDEX(MM_Income!$D$5:$D$204,MATCH($C118,MM_Income!$A$5:$A$204,0)))</f>
        <v/>
      </c>
      <c r="K118" s="95" t="str">
        <f aca="false">IF($C118="","",INDEX(MM_Income!$E$5:$E$204,MATCH($C118,MM_Income!$A$5:$A$204,0)))</f>
        <v/>
      </c>
      <c r="L118" s="95" t="str">
        <f aca="false">IF($C118="","",INDEX(MM_Income!$U$5:$U$204,MATCH($C118,MM_Income!$A$5:$A$204,0)))</f>
        <v/>
      </c>
      <c r="M118" s="143" t="str">
        <f aca="false">IF($C118="","",INDEX(MM_Income!$V$5:$V$204,MATCH($C118,MM_Income!$A$5:$A$204,0)))</f>
        <v/>
      </c>
      <c r="N118" s="144" t="str">
        <f aca="false">IF($C118="","",INDEX(MM_Income!$T$5:$T$204,MATCH($C118,MM_Income!$A$5:$A$204,0)))</f>
        <v/>
      </c>
      <c r="O118" s="94" t="str">
        <f aca="false">IF($C118="","",-SUMIFS(Project_Activity!$P$2:$P$5000,Project_Activity!$C$2:$C$5000,$C118,Project_Activity!$U$2:$U$5000,"Invoiced Income",Project_Activity!$H$2:$H$5000,"&gt;="&amp;DATE(VALUE(LEFT($B118,4)),1,1),Project_Activity!$H$2:$H$5000,"&lt;="&amp;EOMONTH(DATE(VALUE(LEFT($B118,4)),VALUE(RIGHT($B118,1))*3,1),0)))</f>
        <v/>
      </c>
      <c r="P118" s="94" t="str">
        <f aca="false">IF($C118="","",SUMIFS(Project_Activity!$P$2:$P$5000,Project_Activity!$C$2:$C$5000,$C118,Project_Activity!$U$2:$U$5000,"Subcontractor",Project_Activity!$H$2:$H$5000,"&gt;="&amp;DATE(VALUE(LEFT($B118,4)),1,1),Project_Activity!$H$2:$H$5000,"&lt;="&amp;EOMONTH(DATE(VALUE(LEFT($B118,4)),VALUE(RIGHT($B118,1))*3,1),0)))</f>
        <v/>
      </c>
      <c r="Q118" s="94" t="str">
        <f aca="false">IF($C118="","",SUMIFS(Project_Activity!$P$2:$P$5000,Project_Activity!$C$2:$C$5000,$C118,Project_Activity!$U$2:$U$5000,"Project Inclusive",Project_Activity!$H$2:$H$5000,"&gt;="&amp;DATE(VALUE(LEFT($B118,4)),1,1),Project_Activity!$H$2:$H$5000,"&lt;="&amp;EOMONTH(DATE(VALUE(LEFT($B118,4)),VALUE(RIGHT($B118,1))*3,1),0)))</f>
        <v/>
      </c>
      <c r="R118" s="94" t="str">
        <f aca="false">IF($C118="","",SUMIFS(Project_Activity!$P$2:$P$5000,Project_Activity!$C$2:$C$5000,$C118,Project_Activity!$U$2:$U$5000,"Non-Recoverable",Project_Activity!$H$2:$H$5000,"&gt;="&amp;DATE(VALUE(LEFT($B118,4)),1,1),Project_Activity!$H$2:$H$5000,"&lt;="&amp;EOMONTH(DATE(VALUE(LEFT($B118,4)),VALUE(RIGHT($B118,1))*3,1),0)))</f>
        <v/>
      </c>
      <c r="S118" s="94" t="str">
        <f aca="false">IF($C118="","",$O118-$P118-$Q118-$R118)</f>
        <v/>
      </c>
      <c r="T118" s="94" t="str">
        <f aca="false">IF($C118="","",SUMIFS(Project_Activity!$P$2:$P$5000,Project_Activity!$C$2:$C$5000,$C118,Project_Activity!$U$2:$U$5000,"Recoverable",Project_Activity!$H$2:$H$5000,"&gt;="&amp;DATE(VALUE(LEFT($B118,4)),1,1),Project_Activity!$H$2:$H$5000,"&lt;="&amp;EOMONTH(DATE(VALUE(LEFT($B118,4)),VALUE(RIGHT($B118,1))*3,1),0)))</f>
        <v/>
      </c>
      <c r="U118" s="94" t="str">
        <f aca="false">IF($C118="","",-SUMIFS(Project_Activity!$P$2:$P$5000,Project_Activity!$C$2:$C$5000,$C118,Project_Activity!$U$2:$U$5000,"Recovered Expenses",Project_Activity!$H$2:$H$5000,"&gt;="&amp;DATE(VALUE(LEFT($B118,4)),1,1),Project_Activity!$H$2:$H$5000,"&lt;="&amp;EOMONTH(DATE(VALUE(LEFT($B118,4)),VALUE(RIGHT($B118,1))*3,1),0)))</f>
        <v/>
      </c>
      <c r="V118" s="145"/>
      <c r="W118" s="94" t="str">
        <f aca="false">IF($C118="","",$V118*$N118)</f>
        <v/>
      </c>
      <c r="X118" s="145"/>
      <c r="Y118" s="94" t="str">
        <f aca="false">IF($C118="","",$X118*$N118)</f>
        <v/>
      </c>
      <c r="Z118" s="145"/>
      <c r="AA118" s="94" t="str">
        <f aca="false">IF($C118="","",$Z118*$N118)</f>
        <v/>
      </c>
      <c r="AB118" s="145"/>
      <c r="AC118" s="94" t="str">
        <f aca="false">IF($C118="","",$AB118*$N118)</f>
        <v/>
      </c>
      <c r="AD118" s="94" t="str">
        <f aca="false">IF($C118="","",SUMPRODUCT((VALUE(MID($B118,7,1))&gt;={1,2,3,4})*CHOOSE({1,2,3,4},$W118,$Y118,$AA118,$AC118)))</f>
        <v/>
      </c>
      <c r="AE118" s="94" t="str">
        <f aca="false">IF($C118="","",$W118+$Y118+$AA118+$AC118-$AD118)</f>
        <v/>
      </c>
      <c r="AF118" s="146"/>
      <c r="AG118" s="146"/>
      <c r="AH118" s="146"/>
      <c r="AI118" s="147" t="str">
        <f aca="false">IF($C118="","",IF(OR($L118="Pipeline",$N118&lt;0,$O118&gt;$N118+1,($V118+$X118+$Z118+$AB118)&gt;1.0001,ISNUMBER(SEARCH("not signed",$AF118))),"REVIEW","OK"))</f>
        <v/>
      </c>
    </row>
    <row r="119" customFormat="false" ht="13.5" hidden="false" customHeight="false" outlineLevel="0" collapsed="false">
      <c r="A119" s="95" t="str">
        <f aca="false">IF($C119="","",Controls!$B$7)</f>
        <v/>
      </c>
      <c r="B119" s="95" t="str">
        <f aca="false">IF($C119="","",Controls!$B$30)</f>
        <v/>
      </c>
      <c r="C119" s="95" t="str">
        <f aca="false">IF(MM_Income!$A122="","",MM_Income!$A122)</f>
        <v/>
      </c>
      <c r="D119" s="95" t="str">
        <f aca="false">IF($C119="","",INDEX(MM_Income!$B$5:$B$204,MATCH($C119,MM_Income!$A$5:$A$204,0)))</f>
        <v/>
      </c>
      <c r="E119" s="95" t="str">
        <f aca="false">IF($C119="","",INDEX(MM_Income!$C$5:$C$204,MATCH($C119,MM_Income!$A$5:$A$204,0)))</f>
        <v/>
      </c>
      <c r="F119" s="95" t="str">
        <f aca="false">IF($C119="","",INDEX(MM_Income!$F$5:$F$204,MATCH($C119,MM_Income!$A$5:$A$204,0)))</f>
        <v/>
      </c>
      <c r="G119" s="95" t="str">
        <f aca="false">IF($C119="","",INDEX(MM_Income!$G$5:$G$204,MATCH($C119,MM_Income!$A$5:$A$204,0)))</f>
        <v/>
      </c>
      <c r="H119" s="95" t="str">
        <f aca="false">IF($C119="","",INDEX(MM_Income!$H$5:$H$204,MATCH($C119,MM_Income!$A$5:$A$204,0)))</f>
        <v/>
      </c>
      <c r="I119" s="95" t="str">
        <f aca="false">IF($C119="","",INDEX(MM_Income!$I$5:$I$204,MATCH($C119,MM_Income!$A$5:$A$204,0)))</f>
        <v/>
      </c>
      <c r="J119" s="95" t="str">
        <f aca="false">IF($C119="","",INDEX(MM_Income!$D$5:$D$204,MATCH($C119,MM_Income!$A$5:$A$204,0)))</f>
        <v/>
      </c>
      <c r="K119" s="95" t="str">
        <f aca="false">IF($C119="","",INDEX(MM_Income!$E$5:$E$204,MATCH($C119,MM_Income!$A$5:$A$204,0)))</f>
        <v/>
      </c>
      <c r="L119" s="95" t="str">
        <f aca="false">IF($C119="","",INDEX(MM_Income!$U$5:$U$204,MATCH($C119,MM_Income!$A$5:$A$204,0)))</f>
        <v/>
      </c>
      <c r="M119" s="143" t="str">
        <f aca="false">IF($C119="","",INDEX(MM_Income!$V$5:$V$204,MATCH($C119,MM_Income!$A$5:$A$204,0)))</f>
        <v/>
      </c>
      <c r="N119" s="144" t="str">
        <f aca="false">IF($C119="","",INDEX(MM_Income!$T$5:$T$204,MATCH($C119,MM_Income!$A$5:$A$204,0)))</f>
        <v/>
      </c>
      <c r="O119" s="94" t="str">
        <f aca="false">IF($C119="","",-SUMIFS(Project_Activity!$P$2:$P$5000,Project_Activity!$C$2:$C$5000,$C119,Project_Activity!$U$2:$U$5000,"Invoiced Income",Project_Activity!$H$2:$H$5000,"&gt;="&amp;DATE(VALUE(LEFT($B119,4)),1,1),Project_Activity!$H$2:$H$5000,"&lt;="&amp;EOMONTH(DATE(VALUE(LEFT($B119,4)),VALUE(RIGHT($B119,1))*3,1),0)))</f>
        <v/>
      </c>
      <c r="P119" s="94" t="str">
        <f aca="false">IF($C119="","",SUMIFS(Project_Activity!$P$2:$P$5000,Project_Activity!$C$2:$C$5000,$C119,Project_Activity!$U$2:$U$5000,"Subcontractor",Project_Activity!$H$2:$H$5000,"&gt;="&amp;DATE(VALUE(LEFT($B119,4)),1,1),Project_Activity!$H$2:$H$5000,"&lt;="&amp;EOMONTH(DATE(VALUE(LEFT($B119,4)),VALUE(RIGHT($B119,1))*3,1),0)))</f>
        <v/>
      </c>
      <c r="Q119" s="94" t="str">
        <f aca="false">IF($C119="","",SUMIFS(Project_Activity!$P$2:$P$5000,Project_Activity!$C$2:$C$5000,$C119,Project_Activity!$U$2:$U$5000,"Project Inclusive",Project_Activity!$H$2:$H$5000,"&gt;="&amp;DATE(VALUE(LEFT($B119,4)),1,1),Project_Activity!$H$2:$H$5000,"&lt;="&amp;EOMONTH(DATE(VALUE(LEFT($B119,4)),VALUE(RIGHT($B119,1))*3,1),0)))</f>
        <v/>
      </c>
      <c r="R119" s="94" t="str">
        <f aca="false">IF($C119="","",SUMIFS(Project_Activity!$P$2:$P$5000,Project_Activity!$C$2:$C$5000,$C119,Project_Activity!$U$2:$U$5000,"Non-Recoverable",Project_Activity!$H$2:$H$5000,"&gt;="&amp;DATE(VALUE(LEFT($B119,4)),1,1),Project_Activity!$H$2:$H$5000,"&lt;="&amp;EOMONTH(DATE(VALUE(LEFT($B119,4)),VALUE(RIGHT($B119,1))*3,1),0)))</f>
        <v/>
      </c>
      <c r="S119" s="94" t="str">
        <f aca="false">IF($C119="","",$O119-$P119-$Q119-$R119)</f>
        <v/>
      </c>
      <c r="T119" s="94" t="str">
        <f aca="false">IF($C119="","",SUMIFS(Project_Activity!$P$2:$P$5000,Project_Activity!$C$2:$C$5000,$C119,Project_Activity!$U$2:$U$5000,"Recoverable",Project_Activity!$H$2:$H$5000,"&gt;="&amp;DATE(VALUE(LEFT($B119,4)),1,1),Project_Activity!$H$2:$H$5000,"&lt;="&amp;EOMONTH(DATE(VALUE(LEFT($B119,4)),VALUE(RIGHT($B119,1))*3,1),0)))</f>
        <v/>
      </c>
      <c r="U119" s="94" t="str">
        <f aca="false">IF($C119="","",-SUMIFS(Project_Activity!$P$2:$P$5000,Project_Activity!$C$2:$C$5000,$C119,Project_Activity!$U$2:$U$5000,"Recovered Expenses",Project_Activity!$H$2:$H$5000,"&gt;="&amp;DATE(VALUE(LEFT($B119,4)),1,1),Project_Activity!$H$2:$H$5000,"&lt;="&amp;EOMONTH(DATE(VALUE(LEFT($B119,4)),VALUE(RIGHT($B119,1))*3,1),0)))</f>
        <v/>
      </c>
      <c r="V119" s="145"/>
      <c r="W119" s="94" t="str">
        <f aca="false">IF($C119="","",$V119*$N119)</f>
        <v/>
      </c>
      <c r="X119" s="145"/>
      <c r="Y119" s="94" t="str">
        <f aca="false">IF($C119="","",$X119*$N119)</f>
        <v/>
      </c>
      <c r="Z119" s="145"/>
      <c r="AA119" s="94" t="str">
        <f aca="false">IF($C119="","",$Z119*$N119)</f>
        <v/>
      </c>
      <c r="AB119" s="145"/>
      <c r="AC119" s="94" t="str">
        <f aca="false">IF($C119="","",$AB119*$N119)</f>
        <v/>
      </c>
      <c r="AD119" s="94" t="str">
        <f aca="false">IF($C119="","",SUMPRODUCT((VALUE(MID($B119,7,1))&gt;={1,2,3,4})*CHOOSE({1,2,3,4},$W119,$Y119,$AA119,$AC119)))</f>
        <v/>
      </c>
      <c r="AE119" s="94" t="str">
        <f aca="false">IF($C119="","",$W119+$Y119+$AA119+$AC119-$AD119)</f>
        <v/>
      </c>
      <c r="AF119" s="146"/>
      <c r="AG119" s="146"/>
      <c r="AH119" s="146"/>
      <c r="AI119" s="147" t="str">
        <f aca="false">IF($C119="","",IF(OR($L119="Pipeline",$N119&lt;0,$O119&gt;$N119+1,($V119+$X119+$Z119+$AB119)&gt;1.0001,ISNUMBER(SEARCH("not signed",$AF119))),"REVIEW","OK"))</f>
        <v/>
      </c>
    </row>
    <row r="120" customFormat="false" ht="13.5" hidden="false" customHeight="false" outlineLevel="0" collapsed="false">
      <c r="A120" s="95" t="str">
        <f aca="false">IF($C120="","",Controls!$B$7)</f>
        <v/>
      </c>
      <c r="B120" s="95" t="str">
        <f aca="false">IF($C120="","",Controls!$B$30)</f>
        <v/>
      </c>
      <c r="C120" s="95" t="str">
        <f aca="false">IF(MM_Income!$A123="","",MM_Income!$A123)</f>
        <v/>
      </c>
      <c r="D120" s="95" t="str">
        <f aca="false">IF($C120="","",INDEX(MM_Income!$B$5:$B$204,MATCH($C120,MM_Income!$A$5:$A$204,0)))</f>
        <v/>
      </c>
      <c r="E120" s="95" t="str">
        <f aca="false">IF($C120="","",INDEX(MM_Income!$C$5:$C$204,MATCH($C120,MM_Income!$A$5:$A$204,0)))</f>
        <v/>
      </c>
      <c r="F120" s="95" t="str">
        <f aca="false">IF($C120="","",INDEX(MM_Income!$F$5:$F$204,MATCH($C120,MM_Income!$A$5:$A$204,0)))</f>
        <v/>
      </c>
      <c r="G120" s="95" t="str">
        <f aca="false">IF($C120="","",INDEX(MM_Income!$G$5:$G$204,MATCH($C120,MM_Income!$A$5:$A$204,0)))</f>
        <v/>
      </c>
      <c r="H120" s="95" t="str">
        <f aca="false">IF($C120="","",INDEX(MM_Income!$H$5:$H$204,MATCH($C120,MM_Income!$A$5:$A$204,0)))</f>
        <v/>
      </c>
      <c r="I120" s="95" t="str">
        <f aca="false">IF($C120="","",INDEX(MM_Income!$I$5:$I$204,MATCH($C120,MM_Income!$A$5:$A$204,0)))</f>
        <v/>
      </c>
      <c r="J120" s="95" t="str">
        <f aca="false">IF($C120="","",INDEX(MM_Income!$D$5:$D$204,MATCH($C120,MM_Income!$A$5:$A$204,0)))</f>
        <v/>
      </c>
      <c r="K120" s="95" t="str">
        <f aca="false">IF($C120="","",INDEX(MM_Income!$E$5:$E$204,MATCH($C120,MM_Income!$A$5:$A$204,0)))</f>
        <v/>
      </c>
      <c r="L120" s="95" t="str">
        <f aca="false">IF($C120="","",INDEX(MM_Income!$U$5:$U$204,MATCH($C120,MM_Income!$A$5:$A$204,0)))</f>
        <v/>
      </c>
      <c r="M120" s="143" t="str">
        <f aca="false">IF($C120="","",INDEX(MM_Income!$V$5:$V$204,MATCH($C120,MM_Income!$A$5:$A$204,0)))</f>
        <v/>
      </c>
      <c r="N120" s="144" t="str">
        <f aca="false">IF($C120="","",INDEX(MM_Income!$T$5:$T$204,MATCH($C120,MM_Income!$A$5:$A$204,0)))</f>
        <v/>
      </c>
      <c r="O120" s="94" t="str">
        <f aca="false">IF($C120="","",-SUMIFS(Project_Activity!$P$2:$P$5000,Project_Activity!$C$2:$C$5000,$C120,Project_Activity!$U$2:$U$5000,"Invoiced Income",Project_Activity!$H$2:$H$5000,"&gt;="&amp;DATE(VALUE(LEFT($B120,4)),1,1),Project_Activity!$H$2:$H$5000,"&lt;="&amp;EOMONTH(DATE(VALUE(LEFT($B120,4)),VALUE(RIGHT($B120,1))*3,1),0)))</f>
        <v/>
      </c>
      <c r="P120" s="94" t="str">
        <f aca="false">IF($C120="","",SUMIFS(Project_Activity!$P$2:$P$5000,Project_Activity!$C$2:$C$5000,$C120,Project_Activity!$U$2:$U$5000,"Subcontractor",Project_Activity!$H$2:$H$5000,"&gt;="&amp;DATE(VALUE(LEFT($B120,4)),1,1),Project_Activity!$H$2:$H$5000,"&lt;="&amp;EOMONTH(DATE(VALUE(LEFT($B120,4)),VALUE(RIGHT($B120,1))*3,1),0)))</f>
        <v/>
      </c>
      <c r="Q120" s="94" t="str">
        <f aca="false">IF($C120="","",SUMIFS(Project_Activity!$P$2:$P$5000,Project_Activity!$C$2:$C$5000,$C120,Project_Activity!$U$2:$U$5000,"Project Inclusive",Project_Activity!$H$2:$H$5000,"&gt;="&amp;DATE(VALUE(LEFT($B120,4)),1,1),Project_Activity!$H$2:$H$5000,"&lt;="&amp;EOMONTH(DATE(VALUE(LEFT($B120,4)),VALUE(RIGHT($B120,1))*3,1),0)))</f>
        <v/>
      </c>
      <c r="R120" s="94" t="str">
        <f aca="false">IF($C120="","",SUMIFS(Project_Activity!$P$2:$P$5000,Project_Activity!$C$2:$C$5000,$C120,Project_Activity!$U$2:$U$5000,"Non-Recoverable",Project_Activity!$H$2:$H$5000,"&gt;="&amp;DATE(VALUE(LEFT($B120,4)),1,1),Project_Activity!$H$2:$H$5000,"&lt;="&amp;EOMONTH(DATE(VALUE(LEFT($B120,4)),VALUE(RIGHT($B120,1))*3,1),0)))</f>
        <v/>
      </c>
      <c r="S120" s="94" t="str">
        <f aca="false">IF($C120="","",$O120-$P120-$Q120-$R120)</f>
        <v/>
      </c>
      <c r="T120" s="94" t="str">
        <f aca="false">IF($C120="","",SUMIFS(Project_Activity!$P$2:$P$5000,Project_Activity!$C$2:$C$5000,$C120,Project_Activity!$U$2:$U$5000,"Recoverable",Project_Activity!$H$2:$H$5000,"&gt;="&amp;DATE(VALUE(LEFT($B120,4)),1,1),Project_Activity!$H$2:$H$5000,"&lt;="&amp;EOMONTH(DATE(VALUE(LEFT($B120,4)),VALUE(RIGHT($B120,1))*3,1),0)))</f>
        <v/>
      </c>
      <c r="U120" s="94" t="str">
        <f aca="false">IF($C120="","",-SUMIFS(Project_Activity!$P$2:$P$5000,Project_Activity!$C$2:$C$5000,$C120,Project_Activity!$U$2:$U$5000,"Recovered Expenses",Project_Activity!$H$2:$H$5000,"&gt;="&amp;DATE(VALUE(LEFT($B120,4)),1,1),Project_Activity!$H$2:$H$5000,"&lt;="&amp;EOMONTH(DATE(VALUE(LEFT($B120,4)),VALUE(RIGHT($B120,1))*3,1),0)))</f>
        <v/>
      </c>
      <c r="V120" s="145"/>
      <c r="W120" s="94" t="str">
        <f aca="false">IF($C120="","",$V120*$N120)</f>
        <v/>
      </c>
      <c r="X120" s="145"/>
      <c r="Y120" s="94" t="str">
        <f aca="false">IF($C120="","",$X120*$N120)</f>
        <v/>
      </c>
      <c r="Z120" s="145"/>
      <c r="AA120" s="94" t="str">
        <f aca="false">IF($C120="","",$Z120*$N120)</f>
        <v/>
      </c>
      <c r="AB120" s="145"/>
      <c r="AC120" s="94" t="str">
        <f aca="false">IF($C120="","",$AB120*$N120)</f>
        <v/>
      </c>
      <c r="AD120" s="94" t="str">
        <f aca="false">IF($C120="","",SUMPRODUCT((VALUE(MID($B120,7,1))&gt;={1,2,3,4})*CHOOSE({1,2,3,4},$W120,$Y120,$AA120,$AC120)))</f>
        <v/>
      </c>
      <c r="AE120" s="94" t="str">
        <f aca="false">IF($C120="","",$W120+$Y120+$AA120+$AC120-$AD120)</f>
        <v/>
      </c>
      <c r="AF120" s="146"/>
      <c r="AG120" s="146"/>
      <c r="AH120" s="146"/>
      <c r="AI120" s="147" t="str">
        <f aca="false">IF($C120="","",IF(OR($L120="Pipeline",$N120&lt;0,$O120&gt;$N120+1,($V120+$X120+$Z120+$AB120)&gt;1.0001,ISNUMBER(SEARCH("not signed",$AF120))),"REVIEW","OK"))</f>
        <v/>
      </c>
    </row>
    <row r="121" customFormat="false" ht="13.5" hidden="false" customHeight="false" outlineLevel="0" collapsed="false">
      <c r="A121" s="95" t="str">
        <f aca="false">IF($C121="","",Controls!$B$7)</f>
        <v/>
      </c>
      <c r="B121" s="95" t="str">
        <f aca="false">IF($C121="","",Controls!$B$30)</f>
        <v/>
      </c>
      <c r="C121" s="95" t="str">
        <f aca="false">IF(MM_Income!$A124="","",MM_Income!$A124)</f>
        <v/>
      </c>
      <c r="D121" s="95" t="str">
        <f aca="false">IF($C121="","",INDEX(MM_Income!$B$5:$B$204,MATCH($C121,MM_Income!$A$5:$A$204,0)))</f>
        <v/>
      </c>
      <c r="E121" s="95" t="str">
        <f aca="false">IF($C121="","",INDEX(MM_Income!$C$5:$C$204,MATCH($C121,MM_Income!$A$5:$A$204,0)))</f>
        <v/>
      </c>
      <c r="F121" s="95" t="str">
        <f aca="false">IF($C121="","",INDEX(MM_Income!$F$5:$F$204,MATCH($C121,MM_Income!$A$5:$A$204,0)))</f>
        <v/>
      </c>
      <c r="G121" s="95" t="str">
        <f aca="false">IF($C121="","",INDEX(MM_Income!$G$5:$G$204,MATCH($C121,MM_Income!$A$5:$A$204,0)))</f>
        <v/>
      </c>
      <c r="H121" s="95" t="str">
        <f aca="false">IF($C121="","",INDEX(MM_Income!$H$5:$H$204,MATCH($C121,MM_Income!$A$5:$A$204,0)))</f>
        <v/>
      </c>
      <c r="I121" s="95" t="str">
        <f aca="false">IF($C121="","",INDEX(MM_Income!$I$5:$I$204,MATCH($C121,MM_Income!$A$5:$A$204,0)))</f>
        <v/>
      </c>
      <c r="J121" s="95" t="str">
        <f aca="false">IF($C121="","",INDEX(MM_Income!$D$5:$D$204,MATCH($C121,MM_Income!$A$5:$A$204,0)))</f>
        <v/>
      </c>
      <c r="K121" s="95" t="str">
        <f aca="false">IF($C121="","",INDEX(MM_Income!$E$5:$E$204,MATCH($C121,MM_Income!$A$5:$A$204,0)))</f>
        <v/>
      </c>
      <c r="L121" s="95" t="str">
        <f aca="false">IF($C121="","",INDEX(MM_Income!$U$5:$U$204,MATCH($C121,MM_Income!$A$5:$A$204,0)))</f>
        <v/>
      </c>
      <c r="M121" s="143" t="str">
        <f aca="false">IF($C121="","",INDEX(MM_Income!$V$5:$V$204,MATCH($C121,MM_Income!$A$5:$A$204,0)))</f>
        <v/>
      </c>
      <c r="N121" s="144" t="str">
        <f aca="false">IF($C121="","",INDEX(MM_Income!$T$5:$T$204,MATCH($C121,MM_Income!$A$5:$A$204,0)))</f>
        <v/>
      </c>
      <c r="O121" s="94" t="str">
        <f aca="false">IF($C121="","",-SUMIFS(Project_Activity!$P$2:$P$5000,Project_Activity!$C$2:$C$5000,$C121,Project_Activity!$U$2:$U$5000,"Invoiced Income",Project_Activity!$H$2:$H$5000,"&gt;="&amp;DATE(VALUE(LEFT($B121,4)),1,1),Project_Activity!$H$2:$H$5000,"&lt;="&amp;EOMONTH(DATE(VALUE(LEFT($B121,4)),VALUE(RIGHT($B121,1))*3,1),0)))</f>
        <v/>
      </c>
      <c r="P121" s="94" t="str">
        <f aca="false">IF($C121="","",SUMIFS(Project_Activity!$P$2:$P$5000,Project_Activity!$C$2:$C$5000,$C121,Project_Activity!$U$2:$U$5000,"Subcontractor",Project_Activity!$H$2:$H$5000,"&gt;="&amp;DATE(VALUE(LEFT($B121,4)),1,1),Project_Activity!$H$2:$H$5000,"&lt;="&amp;EOMONTH(DATE(VALUE(LEFT($B121,4)),VALUE(RIGHT($B121,1))*3,1),0)))</f>
        <v/>
      </c>
      <c r="Q121" s="94" t="str">
        <f aca="false">IF($C121="","",SUMIFS(Project_Activity!$P$2:$P$5000,Project_Activity!$C$2:$C$5000,$C121,Project_Activity!$U$2:$U$5000,"Project Inclusive",Project_Activity!$H$2:$H$5000,"&gt;="&amp;DATE(VALUE(LEFT($B121,4)),1,1),Project_Activity!$H$2:$H$5000,"&lt;="&amp;EOMONTH(DATE(VALUE(LEFT($B121,4)),VALUE(RIGHT($B121,1))*3,1),0)))</f>
        <v/>
      </c>
      <c r="R121" s="94" t="str">
        <f aca="false">IF($C121="","",SUMIFS(Project_Activity!$P$2:$P$5000,Project_Activity!$C$2:$C$5000,$C121,Project_Activity!$U$2:$U$5000,"Non-Recoverable",Project_Activity!$H$2:$H$5000,"&gt;="&amp;DATE(VALUE(LEFT($B121,4)),1,1),Project_Activity!$H$2:$H$5000,"&lt;="&amp;EOMONTH(DATE(VALUE(LEFT($B121,4)),VALUE(RIGHT($B121,1))*3,1),0)))</f>
        <v/>
      </c>
      <c r="S121" s="94" t="str">
        <f aca="false">IF($C121="","",$O121-$P121-$Q121-$R121)</f>
        <v/>
      </c>
      <c r="T121" s="94" t="str">
        <f aca="false">IF($C121="","",SUMIFS(Project_Activity!$P$2:$P$5000,Project_Activity!$C$2:$C$5000,$C121,Project_Activity!$U$2:$U$5000,"Recoverable",Project_Activity!$H$2:$H$5000,"&gt;="&amp;DATE(VALUE(LEFT($B121,4)),1,1),Project_Activity!$H$2:$H$5000,"&lt;="&amp;EOMONTH(DATE(VALUE(LEFT($B121,4)),VALUE(RIGHT($B121,1))*3,1),0)))</f>
        <v/>
      </c>
      <c r="U121" s="94" t="str">
        <f aca="false">IF($C121="","",-SUMIFS(Project_Activity!$P$2:$P$5000,Project_Activity!$C$2:$C$5000,$C121,Project_Activity!$U$2:$U$5000,"Recovered Expenses",Project_Activity!$H$2:$H$5000,"&gt;="&amp;DATE(VALUE(LEFT($B121,4)),1,1),Project_Activity!$H$2:$H$5000,"&lt;="&amp;EOMONTH(DATE(VALUE(LEFT($B121,4)),VALUE(RIGHT($B121,1))*3,1),0)))</f>
        <v/>
      </c>
      <c r="V121" s="145"/>
      <c r="W121" s="94" t="str">
        <f aca="false">IF($C121="","",$V121*$N121)</f>
        <v/>
      </c>
      <c r="X121" s="145"/>
      <c r="Y121" s="94" t="str">
        <f aca="false">IF($C121="","",$X121*$N121)</f>
        <v/>
      </c>
      <c r="Z121" s="145"/>
      <c r="AA121" s="94" t="str">
        <f aca="false">IF($C121="","",$Z121*$N121)</f>
        <v/>
      </c>
      <c r="AB121" s="145"/>
      <c r="AC121" s="94" t="str">
        <f aca="false">IF($C121="","",$AB121*$N121)</f>
        <v/>
      </c>
      <c r="AD121" s="94" t="str">
        <f aca="false">IF($C121="","",SUMPRODUCT((VALUE(MID($B121,7,1))&gt;={1,2,3,4})*CHOOSE({1,2,3,4},$W121,$Y121,$AA121,$AC121)))</f>
        <v/>
      </c>
      <c r="AE121" s="94" t="str">
        <f aca="false">IF($C121="","",$W121+$Y121+$AA121+$AC121-$AD121)</f>
        <v/>
      </c>
      <c r="AF121" s="146"/>
      <c r="AG121" s="146"/>
      <c r="AH121" s="146"/>
      <c r="AI121" s="147" t="str">
        <f aca="false">IF($C121="","",IF(OR($L121="Pipeline",$N121&lt;0,$O121&gt;$N121+1,($V121+$X121+$Z121+$AB121)&gt;1.0001,ISNUMBER(SEARCH("not signed",$AF121))),"REVIEW","OK"))</f>
        <v/>
      </c>
    </row>
    <row r="122" customFormat="false" ht="13.5" hidden="false" customHeight="false" outlineLevel="0" collapsed="false">
      <c r="A122" s="95" t="str">
        <f aca="false">IF($C122="","",Controls!$B$7)</f>
        <v/>
      </c>
      <c r="B122" s="95" t="str">
        <f aca="false">IF($C122="","",Controls!$B$30)</f>
        <v/>
      </c>
      <c r="C122" s="95" t="str">
        <f aca="false">IF(MM_Income!$A125="","",MM_Income!$A125)</f>
        <v/>
      </c>
      <c r="D122" s="95" t="str">
        <f aca="false">IF($C122="","",INDEX(MM_Income!$B$5:$B$204,MATCH($C122,MM_Income!$A$5:$A$204,0)))</f>
        <v/>
      </c>
      <c r="E122" s="95" t="str">
        <f aca="false">IF($C122="","",INDEX(MM_Income!$C$5:$C$204,MATCH($C122,MM_Income!$A$5:$A$204,0)))</f>
        <v/>
      </c>
      <c r="F122" s="95" t="str">
        <f aca="false">IF($C122="","",INDEX(MM_Income!$F$5:$F$204,MATCH($C122,MM_Income!$A$5:$A$204,0)))</f>
        <v/>
      </c>
      <c r="G122" s="95" t="str">
        <f aca="false">IF($C122="","",INDEX(MM_Income!$G$5:$G$204,MATCH($C122,MM_Income!$A$5:$A$204,0)))</f>
        <v/>
      </c>
      <c r="H122" s="95" t="str">
        <f aca="false">IF($C122="","",INDEX(MM_Income!$H$5:$H$204,MATCH($C122,MM_Income!$A$5:$A$204,0)))</f>
        <v/>
      </c>
      <c r="I122" s="95" t="str">
        <f aca="false">IF($C122="","",INDEX(MM_Income!$I$5:$I$204,MATCH($C122,MM_Income!$A$5:$A$204,0)))</f>
        <v/>
      </c>
      <c r="J122" s="95" t="str">
        <f aca="false">IF($C122="","",INDEX(MM_Income!$D$5:$D$204,MATCH($C122,MM_Income!$A$5:$A$204,0)))</f>
        <v/>
      </c>
      <c r="K122" s="95" t="str">
        <f aca="false">IF($C122="","",INDEX(MM_Income!$E$5:$E$204,MATCH($C122,MM_Income!$A$5:$A$204,0)))</f>
        <v/>
      </c>
      <c r="L122" s="95" t="str">
        <f aca="false">IF($C122="","",INDEX(MM_Income!$U$5:$U$204,MATCH($C122,MM_Income!$A$5:$A$204,0)))</f>
        <v/>
      </c>
      <c r="M122" s="143" t="str">
        <f aca="false">IF($C122="","",INDEX(MM_Income!$V$5:$V$204,MATCH($C122,MM_Income!$A$5:$A$204,0)))</f>
        <v/>
      </c>
      <c r="N122" s="144" t="str">
        <f aca="false">IF($C122="","",INDEX(MM_Income!$T$5:$T$204,MATCH($C122,MM_Income!$A$5:$A$204,0)))</f>
        <v/>
      </c>
      <c r="O122" s="94" t="str">
        <f aca="false">IF($C122="","",-SUMIFS(Project_Activity!$P$2:$P$5000,Project_Activity!$C$2:$C$5000,$C122,Project_Activity!$U$2:$U$5000,"Invoiced Income",Project_Activity!$H$2:$H$5000,"&gt;="&amp;DATE(VALUE(LEFT($B122,4)),1,1),Project_Activity!$H$2:$H$5000,"&lt;="&amp;EOMONTH(DATE(VALUE(LEFT($B122,4)),VALUE(RIGHT($B122,1))*3,1),0)))</f>
        <v/>
      </c>
      <c r="P122" s="94" t="str">
        <f aca="false">IF($C122="","",SUMIFS(Project_Activity!$P$2:$P$5000,Project_Activity!$C$2:$C$5000,$C122,Project_Activity!$U$2:$U$5000,"Subcontractor",Project_Activity!$H$2:$H$5000,"&gt;="&amp;DATE(VALUE(LEFT($B122,4)),1,1),Project_Activity!$H$2:$H$5000,"&lt;="&amp;EOMONTH(DATE(VALUE(LEFT($B122,4)),VALUE(RIGHT($B122,1))*3,1),0)))</f>
        <v/>
      </c>
      <c r="Q122" s="94" t="str">
        <f aca="false">IF($C122="","",SUMIFS(Project_Activity!$P$2:$P$5000,Project_Activity!$C$2:$C$5000,$C122,Project_Activity!$U$2:$U$5000,"Project Inclusive",Project_Activity!$H$2:$H$5000,"&gt;="&amp;DATE(VALUE(LEFT($B122,4)),1,1),Project_Activity!$H$2:$H$5000,"&lt;="&amp;EOMONTH(DATE(VALUE(LEFT($B122,4)),VALUE(RIGHT($B122,1))*3,1),0)))</f>
        <v/>
      </c>
      <c r="R122" s="94" t="str">
        <f aca="false">IF($C122="","",SUMIFS(Project_Activity!$P$2:$P$5000,Project_Activity!$C$2:$C$5000,$C122,Project_Activity!$U$2:$U$5000,"Non-Recoverable",Project_Activity!$H$2:$H$5000,"&gt;="&amp;DATE(VALUE(LEFT($B122,4)),1,1),Project_Activity!$H$2:$H$5000,"&lt;="&amp;EOMONTH(DATE(VALUE(LEFT($B122,4)),VALUE(RIGHT($B122,1))*3,1),0)))</f>
        <v/>
      </c>
      <c r="S122" s="94" t="str">
        <f aca="false">IF($C122="","",$O122-$P122-$Q122-$R122)</f>
        <v/>
      </c>
      <c r="T122" s="94" t="str">
        <f aca="false">IF($C122="","",SUMIFS(Project_Activity!$P$2:$P$5000,Project_Activity!$C$2:$C$5000,$C122,Project_Activity!$U$2:$U$5000,"Recoverable",Project_Activity!$H$2:$H$5000,"&gt;="&amp;DATE(VALUE(LEFT($B122,4)),1,1),Project_Activity!$H$2:$H$5000,"&lt;="&amp;EOMONTH(DATE(VALUE(LEFT($B122,4)),VALUE(RIGHT($B122,1))*3,1),0)))</f>
        <v/>
      </c>
      <c r="U122" s="94" t="str">
        <f aca="false">IF($C122="","",-SUMIFS(Project_Activity!$P$2:$P$5000,Project_Activity!$C$2:$C$5000,$C122,Project_Activity!$U$2:$U$5000,"Recovered Expenses",Project_Activity!$H$2:$H$5000,"&gt;="&amp;DATE(VALUE(LEFT($B122,4)),1,1),Project_Activity!$H$2:$H$5000,"&lt;="&amp;EOMONTH(DATE(VALUE(LEFT($B122,4)),VALUE(RIGHT($B122,1))*3,1),0)))</f>
        <v/>
      </c>
      <c r="V122" s="145"/>
      <c r="W122" s="94" t="str">
        <f aca="false">IF($C122="","",$V122*$N122)</f>
        <v/>
      </c>
      <c r="X122" s="145"/>
      <c r="Y122" s="94" t="str">
        <f aca="false">IF($C122="","",$X122*$N122)</f>
        <v/>
      </c>
      <c r="Z122" s="145"/>
      <c r="AA122" s="94" t="str">
        <f aca="false">IF($C122="","",$Z122*$N122)</f>
        <v/>
      </c>
      <c r="AB122" s="145"/>
      <c r="AC122" s="94" t="str">
        <f aca="false">IF($C122="","",$AB122*$N122)</f>
        <v/>
      </c>
      <c r="AD122" s="94" t="str">
        <f aca="false">IF($C122="","",SUMPRODUCT((VALUE(MID($B122,7,1))&gt;={1,2,3,4})*CHOOSE({1,2,3,4},$W122,$Y122,$AA122,$AC122)))</f>
        <v/>
      </c>
      <c r="AE122" s="94" t="str">
        <f aca="false">IF($C122="","",$W122+$Y122+$AA122+$AC122-$AD122)</f>
        <v/>
      </c>
      <c r="AF122" s="146"/>
      <c r="AG122" s="146"/>
      <c r="AH122" s="146"/>
      <c r="AI122" s="147" t="str">
        <f aca="false">IF($C122="","",IF(OR($L122="Pipeline",$N122&lt;0,$O122&gt;$N122+1,($V122+$X122+$Z122+$AB122)&gt;1.0001,ISNUMBER(SEARCH("not signed",$AF122))),"REVIEW","OK"))</f>
        <v/>
      </c>
    </row>
    <row r="123" customFormat="false" ht="13.5" hidden="false" customHeight="false" outlineLevel="0" collapsed="false">
      <c r="A123" s="95" t="str">
        <f aca="false">IF($C123="","",Controls!$B$7)</f>
        <v/>
      </c>
      <c r="B123" s="95" t="str">
        <f aca="false">IF($C123="","",Controls!$B$30)</f>
        <v/>
      </c>
      <c r="C123" s="95" t="str">
        <f aca="false">IF(MM_Income!$A126="","",MM_Income!$A126)</f>
        <v/>
      </c>
      <c r="D123" s="95" t="str">
        <f aca="false">IF($C123="","",INDEX(MM_Income!$B$5:$B$204,MATCH($C123,MM_Income!$A$5:$A$204,0)))</f>
        <v/>
      </c>
      <c r="E123" s="95" t="str">
        <f aca="false">IF($C123="","",INDEX(MM_Income!$C$5:$C$204,MATCH($C123,MM_Income!$A$5:$A$204,0)))</f>
        <v/>
      </c>
      <c r="F123" s="95" t="str">
        <f aca="false">IF($C123="","",INDEX(MM_Income!$F$5:$F$204,MATCH($C123,MM_Income!$A$5:$A$204,0)))</f>
        <v/>
      </c>
      <c r="G123" s="95" t="str">
        <f aca="false">IF($C123="","",INDEX(MM_Income!$G$5:$G$204,MATCH($C123,MM_Income!$A$5:$A$204,0)))</f>
        <v/>
      </c>
      <c r="H123" s="95" t="str">
        <f aca="false">IF($C123="","",INDEX(MM_Income!$H$5:$H$204,MATCH($C123,MM_Income!$A$5:$A$204,0)))</f>
        <v/>
      </c>
      <c r="I123" s="95" t="str">
        <f aca="false">IF($C123="","",INDEX(MM_Income!$I$5:$I$204,MATCH($C123,MM_Income!$A$5:$A$204,0)))</f>
        <v/>
      </c>
      <c r="J123" s="95" t="str">
        <f aca="false">IF($C123="","",INDEX(MM_Income!$D$5:$D$204,MATCH($C123,MM_Income!$A$5:$A$204,0)))</f>
        <v/>
      </c>
      <c r="K123" s="95" t="str">
        <f aca="false">IF($C123="","",INDEX(MM_Income!$E$5:$E$204,MATCH($C123,MM_Income!$A$5:$A$204,0)))</f>
        <v/>
      </c>
      <c r="L123" s="95" t="str">
        <f aca="false">IF($C123="","",INDEX(MM_Income!$U$5:$U$204,MATCH($C123,MM_Income!$A$5:$A$204,0)))</f>
        <v/>
      </c>
      <c r="M123" s="143" t="str">
        <f aca="false">IF($C123="","",INDEX(MM_Income!$V$5:$V$204,MATCH($C123,MM_Income!$A$5:$A$204,0)))</f>
        <v/>
      </c>
      <c r="N123" s="144" t="str">
        <f aca="false">IF($C123="","",INDEX(MM_Income!$T$5:$T$204,MATCH($C123,MM_Income!$A$5:$A$204,0)))</f>
        <v/>
      </c>
      <c r="O123" s="94" t="str">
        <f aca="false">IF($C123="","",-SUMIFS(Project_Activity!$P$2:$P$5000,Project_Activity!$C$2:$C$5000,$C123,Project_Activity!$U$2:$U$5000,"Invoiced Income",Project_Activity!$H$2:$H$5000,"&gt;="&amp;DATE(VALUE(LEFT($B123,4)),1,1),Project_Activity!$H$2:$H$5000,"&lt;="&amp;EOMONTH(DATE(VALUE(LEFT($B123,4)),VALUE(RIGHT($B123,1))*3,1),0)))</f>
        <v/>
      </c>
      <c r="P123" s="94" t="str">
        <f aca="false">IF($C123="","",SUMIFS(Project_Activity!$P$2:$P$5000,Project_Activity!$C$2:$C$5000,$C123,Project_Activity!$U$2:$U$5000,"Subcontractor",Project_Activity!$H$2:$H$5000,"&gt;="&amp;DATE(VALUE(LEFT($B123,4)),1,1),Project_Activity!$H$2:$H$5000,"&lt;="&amp;EOMONTH(DATE(VALUE(LEFT($B123,4)),VALUE(RIGHT($B123,1))*3,1),0)))</f>
        <v/>
      </c>
      <c r="Q123" s="94" t="str">
        <f aca="false">IF($C123="","",SUMIFS(Project_Activity!$P$2:$P$5000,Project_Activity!$C$2:$C$5000,$C123,Project_Activity!$U$2:$U$5000,"Project Inclusive",Project_Activity!$H$2:$H$5000,"&gt;="&amp;DATE(VALUE(LEFT($B123,4)),1,1),Project_Activity!$H$2:$H$5000,"&lt;="&amp;EOMONTH(DATE(VALUE(LEFT($B123,4)),VALUE(RIGHT($B123,1))*3,1),0)))</f>
        <v/>
      </c>
      <c r="R123" s="94" t="str">
        <f aca="false">IF($C123="","",SUMIFS(Project_Activity!$P$2:$P$5000,Project_Activity!$C$2:$C$5000,$C123,Project_Activity!$U$2:$U$5000,"Non-Recoverable",Project_Activity!$H$2:$H$5000,"&gt;="&amp;DATE(VALUE(LEFT($B123,4)),1,1),Project_Activity!$H$2:$H$5000,"&lt;="&amp;EOMONTH(DATE(VALUE(LEFT($B123,4)),VALUE(RIGHT($B123,1))*3,1),0)))</f>
        <v/>
      </c>
      <c r="S123" s="94" t="str">
        <f aca="false">IF($C123="","",$O123-$P123-$Q123-$R123)</f>
        <v/>
      </c>
      <c r="T123" s="94" t="str">
        <f aca="false">IF($C123="","",SUMIFS(Project_Activity!$P$2:$P$5000,Project_Activity!$C$2:$C$5000,$C123,Project_Activity!$U$2:$U$5000,"Recoverable",Project_Activity!$H$2:$H$5000,"&gt;="&amp;DATE(VALUE(LEFT($B123,4)),1,1),Project_Activity!$H$2:$H$5000,"&lt;="&amp;EOMONTH(DATE(VALUE(LEFT($B123,4)),VALUE(RIGHT($B123,1))*3,1),0)))</f>
        <v/>
      </c>
      <c r="U123" s="94" t="str">
        <f aca="false">IF($C123="","",-SUMIFS(Project_Activity!$P$2:$P$5000,Project_Activity!$C$2:$C$5000,$C123,Project_Activity!$U$2:$U$5000,"Recovered Expenses",Project_Activity!$H$2:$H$5000,"&gt;="&amp;DATE(VALUE(LEFT($B123,4)),1,1),Project_Activity!$H$2:$H$5000,"&lt;="&amp;EOMONTH(DATE(VALUE(LEFT($B123,4)),VALUE(RIGHT($B123,1))*3,1),0)))</f>
        <v/>
      </c>
      <c r="V123" s="145"/>
      <c r="W123" s="94" t="str">
        <f aca="false">IF($C123="","",$V123*$N123)</f>
        <v/>
      </c>
      <c r="X123" s="145"/>
      <c r="Y123" s="94" t="str">
        <f aca="false">IF($C123="","",$X123*$N123)</f>
        <v/>
      </c>
      <c r="Z123" s="145"/>
      <c r="AA123" s="94" t="str">
        <f aca="false">IF($C123="","",$Z123*$N123)</f>
        <v/>
      </c>
      <c r="AB123" s="145"/>
      <c r="AC123" s="94" t="str">
        <f aca="false">IF($C123="","",$AB123*$N123)</f>
        <v/>
      </c>
      <c r="AD123" s="94" t="str">
        <f aca="false">IF($C123="","",SUMPRODUCT((VALUE(MID($B123,7,1))&gt;={1,2,3,4})*CHOOSE({1,2,3,4},$W123,$Y123,$AA123,$AC123)))</f>
        <v/>
      </c>
      <c r="AE123" s="94" t="str">
        <f aca="false">IF($C123="","",$W123+$Y123+$AA123+$AC123-$AD123)</f>
        <v/>
      </c>
      <c r="AF123" s="146"/>
      <c r="AG123" s="146"/>
      <c r="AH123" s="146"/>
      <c r="AI123" s="147" t="str">
        <f aca="false">IF($C123="","",IF(OR($L123="Pipeline",$N123&lt;0,$O123&gt;$N123+1,($V123+$X123+$Z123+$AB123)&gt;1.0001,ISNUMBER(SEARCH("not signed",$AF123))),"REVIEW","OK"))</f>
        <v/>
      </c>
    </row>
    <row r="124" customFormat="false" ht="13.5" hidden="false" customHeight="false" outlineLevel="0" collapsed="false">
      <c r="A124" s="95" t="str">
        <f aca="false">IF($C124="","",Controls!$B$7)</f>
        <v/>
      </c>
      <c r="B124" s="95" t="str">
        <f aca="false">IF($C124="","",Controls!$B$30)</f>
        <v/>
      </c>
      <c r="C124" s="95" t="str">
        <f aca="false">IF(MM_Income!$A127="","",MM_Income!$A127)</f>
        <v/>
      </c>
      <c r="D124" s="95" t="str">
        <f aca="false">IF($C124="","",INDEX(MM_Income!$B$5:$B$204,MATCH($C124,MM_Income!$A$5:$A$204,0)))</f>
        <v/>
      </c>
      <c r="E124" s="95" t="str">
        <f aca="false">IF($C124="","",INDEX(MM_Income!$C$5:$C$204,MATCH($C124,MM_Income!$A$5:$A$204,0)))</f>
        <v/>
      </c>
      <c r="F124" s="95" t="str">
        <f aca="false">IF($C124="","",INDEX(MM_Income!$F$5:$F$204,MATCH($C124,MM_Income!$A$5:$A$204,0)))</f>
        <v/>
      </c>
      <c r="G124" s="95" t="str">
        <f aca="false">IF($C124="","",INDEX(MM_Income!$G$5:$G$204,MATCH($C124,MM_Income!$A$5:$A$204,0)))</f>
        <v/>
      </c>
      <c r="H124" s="95" t="str">
        <f aca="false">IF($C124="","",INDEX(MM_Income!$H$5:$H$204,MATCH($C124,MM_Income!$A$5:$A$204,0)))</f>
        <v/>
      </c>
      <c r="I124" s="95" t="str">
        <f aca="false">IF($C124="","",INDEX(MM_Income!$I$5:$I$204,MATCH($C124,MM_Income!$A$5:$A$204,0)))</f>
        <v/>
      </c>
      <c r="J124" s="95" t="str">
        <f aca="false">IF($C124="","",INDEX(MM_Income!$D$5:$D$204,MATCH($C124,MM_Income!$A$5:$A$204,0)))</f>
        <v/>
      </c>
      <c r="K124" s="95" t="str">
        <f aca="false">IF($C124="","",INDEX(MM_Income!$E$5:$E$204,MATCH($C124,MM_Income!$A$5:$A$204,0)))</f>
        <v/>
      </c>
      <c r="L124" s="95" t="str">
        <f aca="false">IF($C124="","",INDEX(MM_Income!$U$5:$U$204,MATCH($C124,MM_Income!$A$5:$A$204,0)))</f>
        <v/>
      </c>
      <c r="M124" s="143" t="str">
        <f aca="false">IF($C124="","",INDEX(MM_Income!$V$5:$V$204,MATCH($C124,MM_Income!$A$5:$A$204,0)))</f>
        <v/>
      </c>
      <c r="N124" s="144" t="str">
        <f aca="false">IF($C124="","",INDEX(MM_Income!$T$5:$T$204,MATCH($C124,MM_Income!$A$5:$A$204,0)))</f>
        <v/>
      </c>
      <c r="O124" s="94" t="str">
        <f aca="false">IF($C124="","",-SUMIFS(Project_Activity!$P$2:$P$5000,Project_Activity!$C$2:$C$5000,$C124,Project_Activity!$U$2:$U$5000,"Invoiced Income",Project_Activity!$H$2:$H$5000,"&gt;="&amp;DATE(VALUE(LEFT($B124,4)),1,1),Project_Activity!$H$2:$H$5000,"&lt;="&amp;EOMONTH(DATE(VALUE(LEFT($B124,4)),VALUE(RIGHT($B124,1))*3,1),0)))</f>
        <v/>
      </c>
      <c r="P124" s="94" t="str">
        <f aca="false">IF($C124="","",SUMIFS(Project_Activity!$P$2:$P$5000,Project_Activity!$C$2:$C$5000,$C124,Project_Activity!$U$2:$U$5000,"Subcontractor",Project_Activity!$H$2:$H$5000,"&gt;="&amp;DATE(VALUE(LEFT($B124,4)),1,1),Project_Activity!$H$2:$H$5000,"&lt;="&amp;EOMONTH(DATE(VALUE(LEFT($B124,4)),VALUE(RIGHT($B124,1))*3,1),0)))</f>
        <v/>
      </c>
      <c r="Q124" s="94" t="str">
        <f aca="false">IF($C124="","",SUMIFS(Project_Activity!$P$2:$P$5000,Project_Activity!$C$2:$C$5000,$C124,Project_Activity!$U$2:$U$5000,"Project Inclusive",Project_Activity!$H$2:$H$5000,"&gt;="&amp;DATE(VALUE(LEFT($B124,4)),1,1),Project_Activity!$H$2:$H$5000,"&lt;="&amp;EOMONTH(DATE(VALUE(LEFT($B124,4)),VALUE(RIGHT($B124,1))*3,1),0)))</f>
        <v/>
      </c>
      <c r="R124" s="94" t="str">
        <f aca="false">IF($C124="","",SUMIFS(Project_Activity!$P$2:$P$5000,Project_Activity!$C$2:$C$5000,$C124,Project_Activity!$U$2:$U$5000,"Non-Recoverable",Project_Activity!$H$2:$H$5000,"&gt;="&amp;DATE(VALUE(LEFT($B124,4)),1,1),Project_Activity!$H$2:$H$5000,"&lt;="&amp;EOMONTH(DATE(VALUE(LEFT($B124,4)),VALUE(RIGHT($B124,1))*3,1),0)))</f>
        <v/>
      </c>
      <c r="S124" s="94" t="str">
        <f aca="false">IF($C124="","",$O124-$P124-$Q124-$R124)</f>
        <v/>
      </c>
      <c r="T124" s="94" t="str">
        <f aca="false">IF($C124="","",SUMIFS(Project_Activity!$P$2:$P$5000,Project_Activity!$C$2:$C$5000,$C124,Project_Activity!$U$2:$U$5000,"Recoverable",Project_Activity!$H$2:$H$5000,"&gt;="&amp;DATE(VALUE(LEFT($B124,4)),1,1),Project_Activity!$H$2:$H$5000,"&lt;="&amp;EOMONTH(DATE(VALUE(LEFT($B124,4)),VALUE(RIGHT($B124,1))*3,1),0)))</f>
        <v/>
      </c>
      <c r="U124" s="94" t="str">
        <f aca="false">IF($C124="","",-SUMIFS(Project_Activity!$P$2:$P$5000,Project_Activity!$C$2:$C$5000,$C124,Project_Activity!$U$2:$U$5000,"Recovered Expenses",Project_Activity!$H$2:$H$5000,"&gt;="&amp;DATE(VALUE(LEFT($B124,4)),1,1),Project_Activity!$H$2:$H$5000,"&lt;="&amp;EOMONTH(DATE(VALUE(LEFT($B124,4)),VALUE(RIGHT($B124,1))*3,1),0)))</f>
        <v/>
      </c>
      <c r="V124" s="145"/>
      <c r="W124" s="94" t="str">
        <f aca="false">IF($C124="","",$V124*$N124)</f>
        <v/>
      </c>
      <c r="X124" s="145"/>
      <c r="Y124" s="94" t="str">
        <f aca="false">IF($C124="","",$X124*$N124)</f>
        <v/>
      </c>
      <c r="Z124" s="145"/>
      <c r="AA124" s="94" t="str">
        <f aca="false">IF($C124="","",$Z124*$N124)</f>
        <v/>
      </c>
      <c r="AB124" s="145"/>
      <c r="AC124" s="94" t="str">
        <f aca="false">IF($C124="","",$AB124*$N124)</f>
        <v/>
      </c>
      <c r="AD124" s="94" t="str">
        <f aca="false">IF($C124="","",SUMPRODUCT((VALUE(MID($B124,7,1))&gt;={1,2,3,4})*CHOOSE({1,2,3,4},$W124,$Y124,$AA124,$AC124)))</f>
        <v/>
      </c>
      <c r="AE124" s="94" t="str">
        <f aca="false">IF($C124="","",$W124+$Y124+$AA124+$AC124-$AD124)</f>
        <v/>
      </c>
      <c r="AF124" s="146"/>
      <c r="AG124" s="146"/>
      <c r="AH124" s="146"/>
      <c r="AI124" s="147" t="str">
        <f aca="false">IF($C124="","",IF(OR($L124="Pipeline",$N124&lt;0,$O124&gt;$N124+1,($V124+$X124+$Z124+$AB124)&gt;1.0001,ISNUMBER(SEARCH("not signed",$AF124))),"REVIEW","OK"))</f>
        <v/>
      </c>
    </row>
    <row r="125" customFormat="false" ht="13.5" hidden="false" customHeight="false" outlineLevel="0" collapsed="false">
      <c r="A125" s="95" t="str">
        <f aca="false">IF($C125="","",Controls!$B$7)</f>
        <v/>
      </c>
      <c r="B125" s="95" t="str">
        <f aca="false">IF($C125="","",Controls!$B$30)</f>
        <v/>
      </c>
      <c r="C125" s="95" t="str">
        <f aca="false">IF(MM_Income!$A128="","",MM_Income!$A128)</f>
        <v/>
      </c>
      <c r="D125" s="95" t="str">
        <f aca="false">IF($C125="","",INDEX(MM_Income!$B$5:$B$204,MATCH($C125,MM_Income!$A$5:$A$204,0)))</f>
        <v/>
      </c>
      <c r="E125" s="95" t="str">
        <f aca="false">IF($C125="","",INDEX(MM_Income!$C$5:$C$204,MATCH($C125,MM_Income!$A$5:$A$204,0)))</f>
        <v/>
      </c>
      <c r="F125" s="95" t="str">
        <f aca="false">IF($C125="","",INDEX(MM_Income!$F$5:$F$204,MATCH($C125,MM_Income!$A$5:$A$204,0)))</f>
        <v/>
      </c>
      <c r="G125" s="95" t="str">
        <f aca="false">IF($C125="","",INDEX(MM_Income!$G$5:$G$204,MATCH($C125,MM_Income!$A$5:$A$204,0)))</f>
        <v/>
      </c>
      <c r="H125" s="95" t="str">
        <f aca="false">IF($C125="","",INDEX(MM_Income!$H$5:$H$204,MATCH($C125,MM_Income!$A$5:$A$204,0)))</f>
        <v/>
      </c>
      <c r="I125" s="95" t="str">
        <f aca="false">IF($C125="","",INDEX(MM_Income!$I$5:$I$204,MATCH($C125,MM_Income!$A$5:$A$204,0)))</f>
        <v/>
      </c>
      <c r="J125" s="95" t="str">
        <f aca="false">IF($C125="","",INDEX(MM_Income!$D$5:$D$204,MATCH($C125,MM_Income!$A$5:$A$204,0)))</f>
        <v/>
      </c>
      <c r="K125" s="95" t="str">
        <f aca="false">IF($C125="","",INDEX(MM_Income!$E$5:$E$204,MATCH($C125,MM_Income!$A$5:$A$204,0)))</f>
        <v/>
      </c>
      <c r="L125" s="95" t="str">
        <f aca="false">IF($C125="","",INDEX(MM_Income!$U$5:$U$204,MATCH($C125,MM_Income!$A$5:$A$204,0)))</f>
        <v/>
      </c>
      <c r="M125" s="143" t="str">
        <f aca="false">IF($C125="","",INDEX(MM_Income!$V$5:$V$204,MATCH($C125,MM_Income!$A$5:$A$204,0)))</f>
        <v/>
      </c>
      <c r="N125" s="144" t="str">
        <f aca="false">IF($C125="","",INDEX(MM_Income!$T$5:$T$204,MATCH($C125,MM_Income!$A$5:$A$204,0)))</f>
        <v/>
      </c>
      <c r="O125" s="94" t="str">
        <f aca="false">IF($C125="","",-SUMIFS(Project_Activity!$P$2:$P$5000,Project_Activity!$C$2:$C$5000,$C125,Project_Activity!$U$2:$U$5000,"Invoiced Income",Project_Activity!$H$2:$H$5000,"&gt;="&amp;DATE(VALUE(LEFT($B125,4)),1,1),Project_Activity!$H$2:$H$5000,"&lt;="&amp;EOMONTH(DATE(VALUE(LEFT($B125,4)),VALUE(RIGHT($B125,1))*3,1),0)))</f>
        <v/>
      </c>
      <c r="P125" s="94" t="str">
        <f aca="false">IF($C125="","",SUMIFS(Project_Activity!$P$2:$P$5000,Project_Activity!$C$2:$C$5000,$C125,Project_Activity!$U$2:$U$5000,"Subcontractor",Project_Activity!$H$2:$H$5000,"&gt;="&amp;DATE(VALUE(LEFT($B125,4)),1,1),Project_Activity!$H$2:$H$5000,"&lt;="&amp;EOMONTH(DATE(VALUE(LEFT($B125,4)),VALUE(RIGHT($B125,1))*3,1),0)))</f>
        <v/>
      </c>
      <c r="Q125" s="94" t="str">
        <f aca="false">IF($C125="","",SUMIFS(Project_Activity!$P$2:$P$5000,Project_Activity!$C$2:$C$5000,$C125,Project_Activity!$U$2:$U$5000,"Project Inclusive",Project_Activity!$H$2:$H$5000,"&gt;="&amp;DATE(VALUE(LEFT($B125,4)),1,1),Project_Activity!$H$2:$H$5000,"&lt;="&amp;EOMONTH(DATE(VALUE(LEFT($B125,4)),VALUE(RIGHT($B125,1))*3,1),0)))</f>
        <v/>
      </c>
      <c r="R125" s="94" t="str">
        <f aca="false">IF($C125="","",SUMIFS(Project_Activity!$P$2:$P$5000,Project_Activity!$C$2:$C$5000,$C125,Project_Activity!$U$2:$U$5000,"Non-Recoverable",Project_Activity!$H$2:$H$5000,"&gt;="&amp;DATE(VALUE(LEFT($B125,4)),1,1),Project_Activity!$H$2:$H$5000,"&lt;="&amp;EOMONTH(DATE(VALUE(LEFT($B125,4)),VALUE(RIGHT($B125,1))*3,1),0)))</f>
        <v/>
      </c>
      <c r="S125" s="94" t="str">
        <f aca="false">IF($C125="","",$O125-$P125-$Q125-$R125)</f>
        <v/>
      </c>
      <c r="T125" s="94" t="str">
        <f aca="false">IF($C125="","",SUMIFS(Project_Activity!$P$2:$P$5000,Project_Activity!$C$2:$C$5000,$C125,Project_Activity!$U$2:$U$5000,"Recoverable",Project_Activity!$H$2:$H$5000,"&gt;="&amp;DATE(VALUE(LEFT($B125,4)),1,1),Project_Activity!$H$2:$H$5000,"&lt;="&amp;EOMONTH(DATE(VALUE(LEFT($B125,4)),VALUE(RIGHT($B125,1))*3,1),0)))</f>
        <v/>
      </c>
      <c r="U125" s="94" t="str">
        <f aca="false">IF($C125="","",-SUMIFS(Project_Activity!$P$2:$P$5000,Project_Activity!$C$2:$C$5000,$C125,Project_Activity!$U$2:$U$5000,"Recovered Expenses",Project_Activity!$H$2:$H$5000,"&gt;="&amp;DATE(VALUE(LEFT($B125,4)),1,1),Project_Activity!$H$2:$H$5000,"&lt;="&amp;EOMONTH(DATE(VALUE(LEFT($B125,4)),VALUE(RIGHT($B125,1))*3,1),0)))</f>
        <v/>
      </c>
      <c r="V125" s="145"/>
      <c r="W125" s="94" t="str">
        <f aca="false">IF($C125="","",$V125*$N125)</f>
        <v/>
      </c>
      <c r="X125" s="145"/>
      <c r="Y125" s="94" t="str">
        <f aca="false">IF($C125="","",$X125*$N125)</f>
        <v/>
      </c>
      <c r="Z125" s="145"/>
      <c r="AA125" s="94" t="str">
        <f aca="false">IF($C125="","",$Z125*$N125)</f>
        <v/>
      </c>
      <c r="AB125" s="145"/>
      <c r="AC125" s="94" t="str">
        <f aca="false">IF($C125="","",$AB125*$N125)</f>
        <v/>
      </c>
      <c r="AD125" s="94" t="str">
        <f aca="false">IF($C125="","",SUMPRODUCT((VALUE(MID($B125,7,1))&gt;={1,2,3,4})*CHOOSE({1,2,3,4},$W125,$Y125,$AA125,$AC125)))</f>
        <v/>
      </c>
      <c r="AE125" s="94" t="str">
        <f aca="false">IF($C125="","",$W125+$Y125+$AA125+$AC125-$AD125)</f>
        <v/>
      </c>
      <c r="AF125" s="146"/>
      <c r="AG125" s="146"/>
      <c r="AH125" s="146"/>
      <c r="AI125" s="147" t="str">
        <f aca="false">IF($C125="","",IF(OR($L125="Pipeline",$N125&lt;0,$O125&gt;$N125+1,($V125+$X125+$Z125+$AB125)&gt;1.0001,ISNUMBER(SEARCH("not signed",$AF125))),"REVIEW","OK"))</f>
        <v/>
      </c>
    </row>
    <row r="126" customFormat="false" ht="13.5" hidden="false" customHeight="false" outlineLevel="0" collapsed="false">
      <c r="A126" s="95" t="str">
        <f aca="false">IF($C126="","",Controls!$B$7)</f>
        <v/>
      </c>
      <c r="B126" s="95" t="str">
        <f aca="false">IF($C126="","",Controls!$B$30)</f>
        <v/>
      </c>
      <c r="C126" s="95" t="str">
        <f aca="false">IF(MM_Income!$A129="","",MM_Income!$A129)</f>
        <v/>
      </c>
      <c r="D126" s="95" t="str">
        <f aca="false">IF($C126="","",INDEX(MM_Income!$B$5:$B$204,MATCH($C126,MM_Income!$A$5:$A$204,0)))</f>
        <v/>
      </c>
      <c r="E126" s="95" t="str">
        <f aca="false">IF($C126="","",INDEX(MM_Income!$C$5:$C$204,MATCH($C126,MM_Income!$A$5:$A$204,0)))</f>
        <v/>
      </c>
      <c r="F126" s="95" t="str">
        <f aca="false">IF($C126="","",INDEX(MM_Income!$F$5:$F$204,MATCH($C126,MM_Income!$A$5:$A$204,0)))</f>
        <v/>
      </c>
      <c r="G126" s="95" t="str">
        <f aca="false">IF($C126="","",INDEX(MM_Income!$G$5:$G$204,MATCH($C126,MM_Income!$A$5:$A$204,0)))</f>
        <v/>
      </c>
      <c r="H126" s="95" t="str">
        <f aca="false">IF($C126="","",INDEX(MM_Income!$H$5:$H$204,MATCH($C126,MM_Income!$A$5:$A$204,0)))</f>
        <v/>
      </c>
      <c r="I126" s="95" t="str">
        <f aca="false">IF($C126="","",INDEX(MM_Income!$I$5:$I$204,MATCH($C126,MM_Income!$A$5:$A$204,0)))</f>
        <v/>
      </c>
      <c r="J126" s="95" t="str">
        <f aca="false">IF($C126="","",INDEX(MM_Income!$D$5:$D$204,MATCH($C126,MM_Income!$A$5:$A$204,0)))</f>
        <v/>
      </c>
      <c r="K126" s="95" t="str">
        <f aca="false">IF($C126="","",INDEX(MM_Income!$E$5:$E$204,MATCH($C126,MM_Income!$A$5:$A$204,0)))</f>
        <v/>
      </c>
      <c r="L126" s="95" t="str">
        <f aca="false">IF($C126="","",INDEX(MM_Income!$U$5:$U$204,MATCH($C126,MM_Income!$A$5:$A$204,0)))</f>
        <v/>
      </c>
      <c r="M126" s="143" t="str">
        <f aca="false">IF($C126="","",INDEX(MM_Income!$V$5:$V$204,MATCH($C126,MM_Income!$A$5:$A$204,0)))</f>
        <v/>
      </c>
      <c r="N126" s="144" t="str">
        <f aca="false">IF($C126="","",INDEX(MM_Income!$T$5:$T$204,MATCH($C126,MM_Income!$A$5:$A$204,0)))</f>
        <v/>
      </c>
      <c r="O126" s="94" t="str">
        <f aca="false">IF($C126="","",-SUMIFS(Project_Activity!$P$2:$P$5000,Project_Activity!$C$2:$C$5000,$C126,Project_Activity!$U$2:$U$5000,"Invoiced Income",Project_Activity!$H$2:$H$5000,"&gt;="&amp;DATE(VALUE(LEFT($B126,4)),1,1),Project_Activity!$H$2:$H$5000,"&lt;="&amp;EOMONTH(DATE(VALUE(LEFT($B126,4)),VALUE(RIGHT($B126,1))*3,1),0)))</f>
        <v/>
      </c>
      <c r="P126" s="94" t="str">
        <f aca="false">IF($C126="","",SUMIFS(Project_Activity!$P$2:$P$5000,Project_Activity!$C$2:$C$5000,$C126,Project_Activity!$U$2:$U$5000,"Subcontractor",Project_Activity!$H$2:$H$5000,"&gt;="&amp;DATE(VALUE(LEFT($B126,4)),1,1),Project_Activity!$H$2:$H$5000,"&lt;="&amp;EOMONTH(DATE(VALUE(LEFT($B126,4)),VALUE(RIGHT($B126,1))*3,1),0)))</f>
        <v/>
      </c>
      <c r="Q126" s="94" t="str">
        <f aca="false">IF($C126="","",SUMIFS(Project_Activity!$P$2:$P$5000,Project_Activity!$C$2:$C$5000,$C126,Project_Activity!$U$2:$U$5000,"Project Inclusive",Project_Activity!$H$2:$H$5000,"&gt;="&amp;DATE(VALUE(LEFT($B126,4)),1,1),Project_Activity!$H$2:$H$5000,"&lt;="&amp;EOMONTH(DATE(VALUE(LEFT($B126,4)),VALUE(RIGHT($B126,1))*3,1),0)))</f>
        <v/>
      </c>
      <c r="R126" s="94" t="str">
        <f aca="false">IF($C126="","",SUMIFS(Project_Activity!$P$2:$P$5000,Project_Activity!$C$2:$C$5000,$C126,Project_Activity!$U$2:$U$5000,"Non-Recoverable",Project_Activity!$H$2:$H$5000,"&gt;="&amp;DATE(VALUE(LEFT($B126,4)),1,1),Project_Activity!$H$2:$H$5000,"&lt;="&amp;EOMONTH(DATE(VALUE(LEFT($B126,4)),VALUE(RIGHT($B126,1))*3,1),0)))</f>
        <v/>
      </c>
      <c r="S126" s="94" t="str">
        <f aca="false">IF($C126="","",$O126-$P126-$Q126-$R126)</f>
        <v/>
      </c>
      <c r="T126" s="94" t="str">
        <f aca="false">IF($C126="","",SUMIFS(Project_Activity!$P$2:$P$5000,Project_Activity!$C$2:$C$5000,$C126,Project_Activity!$U$2:$U$5000,"Recoverable",Project_Activity!$H$2:$H$5000,"&gt;="&amp;DATE(VALUE(LEFT($B126,4)),1,1),Project_Activity!$H$2:$H$5000,"&lt;="&amp;EOMONTH(DATE(VALUE(LEFT($B126,4)),VALUE(RIGHT($B126,1))*3,1),0)))</f>
        <v/>
      </c>
      <c r="U126" s="94" t="str">
        <f aca="false">IF($C126="","",-SUMIFS(Project_Activity!$P$2:$P$5000,Project_Activity!$C$2:$C$5000,$C126,Project_Activity!$U$2:$U$5000,"Recovered Expenses",Project_Activity!$H$2:$H$5000,"&gt;="&amp;DATE(VALUE(LEFT($B126,4)),1,1),Project_Activity!$H$2:$H$5000,"&lt;="&amp;EOMONTH(DATE(VALUE(LEFT($B126,4)),VALUE(RIGHT($B126,1))*3,1),0)))</f>
        <v/>
      </c>
      <c r="V126" s="145"/>
      <c r="W126" s="94" t="str">
        <f aca="false">IF($C126="","",$V126*$N126)</f>
        <v/>
      </c>
      <c r="X126" s="145"/>
      <c r="Y126" s="94" t="str">
        <f aca="false">IF($C126="","",$X126*$N126)</f>
        <v/>
      </c>
      <c r="Z126" s="145"/>
      <c r="AA126" s="94" t="str">
        <f aca="false">IF($C126="","",$Z126*$N126)</f>
        <v/>
      </c>
      <c r="AB126" s="145"/>
      <c r="AC126" s="94" t="str">
        <f aca="false">IF($C126="","",$AB126*$N126)</f>
        <v/>
      </c>
      <c r="AD126" s="94" t="str">
        <f aca="false">IF($C126="","",SUMPRODUCT((VALUE(MID($B126,7,1))&gt;={1,2,3,4})*CHOOSE({1,2,3,4},$W126,$Y126,$AA126,$AC126)))</f>
        <v/>
      </c>
      <c r="AE126" s="94" t="str">
        <f aca="false">IF($C126="","",$W126+$Y126+$AA126+$AC126-$AD126)</f>
        <v/>
      </c>
      <c r="AF126" s="146"/>
      <c r="AG126" s="146"/>
      <c r="AH126" s="146"/>
      <c r="AI126" s="147" t="str">
        <f aca="false">IF($C126="","",IF(OR($L126="Pipeline",$N126&lt;0,$O126&gt;$N126+1,($V126+$X126+$Z126+$AB126)&gt;1.0001,ISNUMBER(SEARCH("not signed",$AF126))),"REVIEW","OK"))</f>
        <v/>
      </c>
    </row>
    <row r="127" customFormat="false" ht="13.5" hidden="false" customHeight="false" outlineLevel="0" collapsed="false">
      <c r="A127" s="95" t="str">
        <f aca="false">IF($C127="","",Controls!$B$7)</f>
        <v/>
      </c>
      <c r="B127" s="95" t="str">
        <f aca="false">IF($C127="","",Controls!$B$30)</f>
        <v/>
      </c>
      <c r="C127" s="95" t="str">
        <f aca="false">IF(MM_Income!$A130="","",MM_Income!$A130)</f>
        <v/>
      </c>
      <c r="D127" s="95" t="str">
        <f aca="false">IF($C127="","",INDEX(MM_Income!$B$5:$B$204,MATCH($C127,MM_Income!$A$5:$A$204,0)))</f>
        <v/>
      </c>
      <c r="E127" s="95" t="str">
        <f aca="false">IF($C127="","",INDEX(MM_Income!$C$5:$C$204,MATCH($C127,MM_Income!$A$5:$A$204,0)))</f>
        <v/>
      </c>
      <c r="F127" s="95" t="str">
        <f aca="false">IF($C127="","",INDEX(MM_Income!$F$5:$F$204,MATCH($C127,MM_Income!$A$5:$A$204,0)))</f>
        <v/>
      </c>
      <c r="G127" s="95" t="str">
        <f aca="false">IF($C127="","",INDEX(MM_Income!$G$5:$G$204,MATCH($C127,MM_Income!$A$5:$A$204,0)))</f>
        <v/>
      </c>
      <c r="H127" s="95" t="str">
        <f aca="false">IF($C127="","",INDEX(MM_Income!$H$5:$H$204,MATCH($C127,MM_Income!$A$5:$A$204,0)))</f>
        <v/>
      </c>
      <c r="I127" s="95" t="str">
        <f aca="false">IF($C127="","",INDEX(MM_Income!$I$5:$I$204,MATCH($C127,MM_Income!$A$5:$A$204,0)))</f>
        <v/>
      </c>
      <c r="J127" s="95" t="str">
        <f aca="false">IF($C127="","",INDEX(MM_Income!$D$5:$D$204,MATCH($C127,MM_Income!$A$5:$A$204,0)))</f>
        <v/>
      </c>
      <c r="K127" s="95" t="str">
        <f aca="false">IF($C127="","",INDEX(MM_Income!$E$5:$E$204,MATCH($C127,MM_Income!$A$5:$A$204,0)))</f>
        <v/>
      </c>
      <c r="L127" s="95" t="str">
        <f aca="false">IF($C127="","",INDEX(MM_Income!$U$5:$U$204,MATCH($C127,MM_Income!$A$5:$A$204,0)))</f>
        <v/>
      </c>
      <c r="M127" s="143" t="str">
        <f aca="false">IF($C127="","",INDEX(MM_Income!$V$5:$V$204,MATCH($C127,MM_Income!$A$5:$A$204,0)))</f>
        <v/>
      </c>
      <c r="N127" s="144" t="str">
        <f aca="false">IF($C127="","",INDEX(MM_Income!$T$5:$T$204,MATCH($C127,MM_Income!$A$5:$A$204,0)))</f>
        <v/>
      </c>
      <c r="O127" s="94" t="str">
        <f aca="false">IF($C127="","",-SUMIFS(Project_Activity!$P$2:$P$5000,Project_Activity!$C$2:$C$5000,$C127,Project_Activity!$U$2:$U$5000,"Invoiced Income",Project_Activity!$H$2:$H$5000,"&gt;="&amp;DATE(VALUE(LEFT($B127,4)),1,1),Project_Activity!$H$2:$H$5000,"&lt;="&amp;EOMONTH(DATE(VALUE(LEFT($B127,4)),VALUE(RIGHT($B127,1))*3,1),0)))</f>
        <v/>
      </c>
      <c r="P127" s="94" t="str">
        <f aca="false">IF($C127="","",SUMIFS(Project_Activity!$P$2:$P$5000,Project_Activity!$C$2:$C$5000,$C127,Project_Activity!$U$2:$U$5000,"Subcontractor",Project_Activity!$H$2:$H$5000,"&gt;="&amp;DATE(VALUE(LEFT($B127,4)),1,1),Project_Activity!$H$2:$H$5000,"&lt;="&amp;EOMONTH(DATE(VALUE(LEFT($B127,4)),VALUE(RIGHT($B127,1))*3,1),0)))</f>
        <v/>
      </c>
      <c r="Q127" s="94" t="str">
        <f aca="false">IF($C127="","",SUMIFS(Project_Activity!$P$2:$P$5000,Project_Activity!$C$2:$C$5000,$C127,Project_Activity!$U$2:$U$5000,"Project Inclusive",Project_Activity!$H$2:$H$5000,"&gt;="&amp;DATE(VALUE(LEFT($B127,4)),1,1),Project_Activity!$H$2:$H$5000,"&lt;="&amp;EOMONTH(DATE(VALUE(LEFT($B127,4)),VALUE(RIGHT($B127,1))*3,1),0)))</f>
        <v/>
      </c>
      <c r="R127" s="94" t="str">
        <f aca="false">IF($C127="","",SUMIFS(Project_Activity!$P$2:$P$5000,Project_Activity!$C$2:$C$5000,$C127,Project_Activity!$U$2:$U$5000,"Non-Recoverable",Project_Activity!$H$2:$H$5000,"&gt;="&amp;DATE(VALUE(LEFT($B127,4)),1,1),Project_Activity!$H$2:$H$5000,"&lt;="&amp;EOMONTH(DATE(VALUE(LEFT($B127,4)),VALUE(RIGHT($B127,1))*3,1),0)))</f>
        <v/>
      </c>
      <c r="S127" s="94" t="str">
        <f aca="false">IF($C127="","",$O127-$P127-$Q127-$R127)</f>
        <v/>
      </c>
      <c r="T127" s="94" t="str">
        <f aca="false">IF($C127="","",SUMIFS(Project_Activity!$P$2:$P$5000,Project_Activity!$C$2:$C$5000,$C127,Project_Activity!$U$2:$U$5000,"Recoverable",Project_Activity!$H$2:$H$5000,"&gt;="&amp;DATE(VALUE(LEFT($B127,4)),1,1),Project_Activity!$H$2:$H$5000,"&lt;="&amp;EOMONTH(DATE(VALUE(LEFT($B127,4)),VALUE(RIGHT($B127,1))*3,1),0)))</f>
        <v/>
      </c>
      <c r="U127" s="94" t="str">
        <f aca="false">IF($C127="","",-SUMIFS(Project_Activity!$P$2:$P$5000,Project_Activity!$C$2:$C$5000,$C127,Project_Activity!$U$2:$U$5000,"Recovered Expenses",Project_Activity!$H$2:$H$5000,"&gt;="&amp;DATE(VALUE(LEFT($B127,4)),1,1),Project_Activity!$H$2:$H$5000,"&lt;="&amp;EOMONTH(DATE(VALUE(LEFT($B127,4)),VALUE(RIGHT($B127,1))*3,1),0)))</f>
        <v/>
      </c>
      <c r="V127" s="145"/>
      <c r="W127" s="94" t="str">
        <f aca="false">IF($C127="","",$V127*$N127)</f>
        <v/>
      </c>
      <c r="X127" s="145"/>
      <c r="Y127" s="94" t="str">
        <f aca="false">IF($C127="","",$X127*$N127)</f>
        <v/>
      </c>
      <c r="Z127" s="145"/>
      <c r="AA127" s="94" t="str">
        <f aca="false">IF($C127="","",$Z127*$N127)</f>
        <v/>
      </c>
      <c r="AB127" s="145"/>
      <c r="AC127" s="94" t="str">
        <f aca="false">IF($C127="","",$AB127*$N127)</f>
        <v/>
      </c>
      <c r="AD127" s="94" t="str">
        <f aca="false">IF($C127="","",SUMPRODUCT((VALUE(MID($B127,7,1))&gt;={1,2,3,4})*CHOOSE({1,2,3,4},$W127,$Y127,$AA127,$AC127)))</f>
        <v/>
      </c>
      <c r="AE127" s="94" t="str">
        <f aca="false">IF($C127="","",$W127+$Y127+$AA127+$AC127-$AD127)</f>
        <v/>
      </c>
      <c r="AF127" s="146"/>
      <c r="AG127" s="146"/>
      <c r="AH127" s="146"/>
      <c r="AI127" s="147" t="str">
        <f aca="false">IF($C127="","",IF(OR($L127="Pipeline",$N127&lt;0,$O127&gt;$N127+1,($V127+$X127+$Z127+$AB127)&gt;1.0001,ISNUMBER(SEARCH("not signed",$AF127))),"REVIEW","OK"))</f>
        <v/>
      </c>
    </row>
    <row r="128" customFormat="false" ht="13.5" hidden="false" customHeight="false" outlineLevel="0" collapsed="false">
      <c r="A128" s="95" t="str">
        <f aca="false">IF($C128="","",Controls!$B$7)</f>
        <v/>
      </c>
      <c r="B128" s="95" t="str">
        <f aca="false">IF($C128="","",Controls!$B$30)</f>
        <v/>
      </c>
      <c r="C128" s="95" t="str">
        <f aca="false">IF(MM_Income!$A131="","",MM_Income!$A131)</f>
        <v/>
      </c>
      <c r="D128" s="95" t="str">
        <f aca="false">IF($C128="","",INDEX(MM_Income!$B$5:$B$204,MATCH($C128,MM_Income!$A$5:$A$204,0)))</f>
        <v/>
      </c>
      <c r="E128" s="95" t="str">
        <f aca="false">IF($C128="","",INDEX(MM_Income!$C$5:$C$204,MATCH($C128,MM_Income!$A$5:$A$204,0)))</f>
        <v/>
      </c>
      <c r="F128" s="95" t="str">
        <f aca="false">IF($C128="","",INDEX(MM_Income!$F$5:$F$204,MATCH($C128,MM_Income!$A$5:$A$204,0)))</f>
        <v/>
      </c>
      <c r="G128" s="95" t="str">
        <f aca="false">IF($C128="","",INDEX(MM_Income!$G$5:$G$204,MATCH($C128,MM_Income!$A$5:$A$204,0)))</f>
        <v/>
      </c>
      <c r="H128" s="95" t="str">
        <f aca="false">IF($C128="","",INDEX(MM_Income!$H$5:$H$204,MATCH($C128,MM_Income!$A$5:$A$204,0)))</f>
        <v/>
      </c>
      <c r="I128" s="95" t="str">
        <f aca="false">IF($C128="","",INDEX(MM_Income!$I$5:$I$204,MATCH($C128,MM_Income!$A$5:$A$204,0)))</f>
        <v/>
      </c>
      <c r="J128" s="95" t="str">
        <f aca="false">IF($C128="","",INDEX(MM_Income!$D$5:$D$204,MATCH($C128,MM_Income!$A$5:$A$204,0)))</f>
        <v/>
      </c>
      <c r="K128" s="95" t="str">
        <f aca="false">IF($C128="","",INDEX(MM_Income!$E$5:$E$204,MATCH($C128,MM_Income!$A$5:$A$204,0)))</f>
        <v/>
      </c>
      <c r="L128" s="95" t="str">
        <f aca="false">IF($C128="","",INDEX(MM_Income!$U$5:$U$204,MATCH($C128,MM_Income!$A$5:$A$204,0)))</f>
        <v/>
      </c>
      <c r="M128" s="143" t="str">
        <f aca="false">IF($C128="","",INDEX(MM_Income!$V$5:$V$204,MATCH($C128,MM_Income!$A$5:$A$204,0)))</f>
        <v/>
      </c>
      <c r="N128" s="144" t="str">
        <f aca="false">IF($C128="","",INDEX(MM_Income!$T$5:$T$204,MATCH($C128,MM_Income!$A$5:$A$204,0)))</f>
        <v/>
      </c>
      <c r="O128" s="94" t="str">
        <f aca="false">IF($C128="","",-SUMIFS(Project_Activity!$P$2:$P$5000,Project_Activity!$C$2:$C$5000,$C128,Project_Activity!$U$2:$U$5000,"Invoiced Income",Project_Activity!$H$2:$H$5000,"&gt;="&amp;DATE(VALUE(LEFT($B128,4)),1,1),Project_Activity!$H$2:$H$5000,"&lt;="&amp;EOMONTH(DATE(VALUE(LEFT($B128,4)),VALUE(RIGHT($B128,1))*3,1),0)))</f>
        <v/>
      </c>
      <c r="P128" s="94" t="str">
        <f aca="false">IF($C128="","",SUMIFS(Project_Activity!$P$2:$P$5000,Project_Activity!$C$2:$C$5000,$C128,Project_Activity!$U$2:$U$5000,"Subcontractor",Project_Activity!$H$2:$H$5000,"&gt;="&amp;DATE(VALUE(LEFT($B128,4)),1,1),Project_Activity!$H$2:$H$5000,"&lt;="&amp;EOMONTH(DATE(VALUE(LEFT($B128,4)),VALUE(RIGHT($B128,1))*3,1),0)))</f>
        <v/>
      </c>
      <c r="Q128" s="94" t="str">
        <f aca="false">IF($C128="","",SUMIFS(Project_Activity!$P$2:$P$5000,Project_Activity!$C$2:$C$5000,$C128,Project_Activity!$U$2:$U$5000,"Project Inclusive",Project_Activity!$H$2:$H$5000,"&gt;="&amp;DATE(VALUE(LEFT($B128,4)),1,1),Project_Activity!$H$2:$H$5000,"&lt;="&amp;EOMONTH(DATE(VALUE(LEFT($B128,4)),VALUE(RIGHT($B128,1))*3,1),0)))</f>
        <v/>
      </c>
      <c r="R128" s="94" t="str">
        <f aca="false">IF($C128="","",SUMIFS(Project_Activity!$P$2:$P$5000,Project_Activity!$C$2:$C$5000,$C128,Project_Activity!$U$2:$U$5000,"Non-Recoverable",Project_Activity!$H$2:$H$5000,"&gt;="&amp;DATE(VALUE(LEFT($B128,4)),1,1),Project_Activity!$H$2:$H$5000,"&lt;="&amp;EOMONTH(DATE(VALUE(LEFT($B128,4)),VALUE(RIGHT($B128,1))*3,1),0)))</f>
        <v/>
      </c>
      <c r="S128" s="94" t="str">
        <f aca="false">IF($C128="","",$O128-$P128-$Q128-$R128)</f>
        <v/>
      </c>
      <c r="T128" s="94" t="str">
        <f aca="false">IF($C128="","",SUMIFS(Project_Activity!$P$2:$P$5000,Project_Activity!$C$2:$C$5000,$C128,Project_Activity!$U$2:$U$5000,"Recoverable",Project_Activity!$H$2:$H$5000,"&gt;="&amp;DATE(VALUE(LEFT($B128,4)),1,1),Project_Activity!$H$2:$H$5000,"&lt;="&amp;EOMONTH(DATE(VALUE(LEFT($B128,4)),VALUE(RIGHT($B128,1))*3,1),0)))</f>
        <v/>
      </c>
      <c r="U128" s="94" t="str">
        <f aca="false">IF($C128="","",-SUMIFS(Project_Activity!$P$2:$P$5000,Project_Activity!$C$2:$C$5000,$C128,Project_Activity!$U$2:$U$5000,"Recovered Expenses",Project_Activity!$H$2:$H$5000,"&gt;="&amp;DATE(VALUE(LEFT($B128,4)),1,1),Project_Activity!$H$2:$H$5000,"&lt;="&amp;EOMONTH(DATE(VALUE(LEFT($B128,4)),VALUE(RIGHT($B128,1))*3,1),0)))</f>
        <v/>
      </c>
      <c r="V128" s="145"/>
      <c r="W128" s="94" t="str">
        <f aca="false">IF($C128="","",$V128*$N128)</f>
        <v/>
      </c>
      <c r="X128" s="145"/>
      <c r="Y128" s="94" t="str">
        <f aca="false">IF($C128="","",$X128*$N128)</f>
        <v/>
      </c>
      <c r="Z128" s="145"/>
      <c r="AA128" s="94" t="str">
        <f aca="false">IF($C128="","",$Z128*$N128)</f>
        <v/>
      </c>
      <c r="AB128" s="145"/>
      <c r="AC128" s="94" t="str">
        <f aca="false">IF($C128="","",$AB128*$N128)</f>
        <v/>
      </c>
      <c r="AD128" s="94" t="str">
        <f aca="false">IF($C128="","",SUMPRODUCT((VALUE(MID($B128,7,1))&gt;={1,2,3,4})*CHOOSE({1,2,3,4},$W128,$Y128,$AA128,$AC128)))</f>
        <v/>
      </c>
      <c r="AE128" s="94" t="str">
        <f aca="false">IF($C128="","",$W128+$Y128+$AA128+$AC128-$AD128)</f>
        <v/>
      </c>
      <c r="AF128" s="146"/>
      <c r="AG128" s="146"/>
      <c r="AH128" s="146"/>
      <c r="AI128" s="147" t="str">
        <f aca="false">IF($C128="","",IF(OR($L128="Pipeline",$N128&lt;0,$O128&gt;$N128+1,($V128+$X128+$Z128+$AB128)&gt;1.0001,ISNUMBER(SEARCH("not signed",$AF128))),"REVIEW","OK"))</f>
        <v/>
      </c>
    </row>
    <row r="129" customFormat="false" ht="13.5" hidden="false" customHeight="false" outlineLevel="0" collapsed="false">
      <c r="A129" s="95" t="str">
        <f aca="false">IF($C129="","",Controls!$B$7)</f>
        <v/>
      </c>
      <c r="B129" s="95" t="str">
        <f aca="false">IF($C129="","",Controls!$B$30)</f>
        <v/>
      </c>
      <c r="C129" s="95" t="str">
        <f aca="false">IF(MM_Income!$A132="","",MM_Income!$A132)</f>
        <v/>
      </c>
      <c r="D129" s="95" t="str">
        <f aca="false">IF($C129="","",INDEX(MM_Income!$B$5:$B$204,MATCH($C129,MM_Income!$A$5:$A$204,0)))</f>
        <v/>
      </c>
      <c r="E129" s="95" t="str">
        <f aca="false">IF($C129="","",INDEX(MM_Income!$C$5:$C$204,MATCH($C129,MM_Income!$A$5:$A$204,0)))</f>
        <v/>
      </c>
      <c r="F129" s="95" t="str">
        <f aca="false">IF($C129="","",INDEX(MM_Income!$F$5:$F$204,MATCH($C129,MM_Income!$A$5:$A$204,0)))</f>
        <v/>
      </c>
      <c r="G129" s="95" t="str">
        <f aca="false">IF($C129="","",INDEX(MM_Income!$G$5:$G$204,MATCH($C129,MM_Income!$A$5:$A$204,0)))</f>
        <v/>
      </c>
      <c r="H129" s="95" t="str">
        <f aca="false">IF($C129="","",INDEX(MM_Income!$H$5:$H$204,MATCH($C129,MM_Income!$A$5:$A$204,0)))</f>
        <v/>
      </c>
      <c r="I129" s="95" t="str">
        <f aca="false">IF($C129="","",INDEX(MM_Income!$I$5:$I$204,MATCH($C129,MM_Income!$A$5:$A$204,0)))</f>
        <v/>
      </c>
      <c r="J129" s="95" t="str">
        <f aca="false">IF($C129="","",INDEX(MM_Income!$D$5:$D$204,MATCH($C129,MM_Income!$A$5:$A$204,0)))</f>
        <v/>
      </c>
      <c r="K129" s="95" t="str">
        <f aca="false">IF($C129="","",INDEX(MM_Income!$E$5:$E$204,MATCH($C129,MM_Income!$A$5:$A$204,0)))</f>
        <v/>
      </c>
      <c r="L129" s="95" t="str">
        <f aca="false">IF($C129="","",INDEX(MM_Income!$U$5:$U$204,MATCH($C129,MM_Income!$A$5:$A$204,0)))</f>
        <v/>
      </c>
      <c r="M129" s="143" t="str">
        <f aca="false">IF($C129="","",INDEX(MM_Income!$V$5:$V$204,MATCH($C129,MM_Income!$A$5:$A$204,0)))</f>
        <v/>
      </c>
      <c r="N129" s="144" t="str">
        <f aca="false">IF($C129="","",INDEX(MM_Income!$T$5:$T$204,MATCH($C129,MM_Income!$A$5:$A$204,0)))</f>
        <v/>
      </c>
      <c r="O129" s="94" t="str">
        <f aca="false">IF($C129="","",-SUMIFS(Project_Activity!$P$2:$P$5000,Project_Activity!$C$2:$C$5000,$C129,Project_Activity!$U$2:$U$5000,"Invoiced Income",Project_Activity!$H$2:$H$5000,"&gt;="&amp;DATE(VALUE(LEFT($B129,4)),1,1),Project_Activity!$H$2:$H$5000,"&lt;="&amp;EOMONTH(DATE(VALUE(LEFT($B129,4)),VALUE(RIGHT($B129,1))*3,1),0)))</f>
        <v/>
      </c>
      <c r="P129" s="94" t="str">
        <f aca="false">IF($C129="","",SUMIFS(Project_Activity!$P$2:$P$5000,Project_Activity!$C$2:$C$5000,$C129,Project_Activity!$U$2:$U$5000,"Subcontractor",Project_Activity!$H$2:$H$5000,"&gt;="&amp;DATE(VALUE(LEFT($B129,4)),1,1),Project_Activity!$H$2:$H$5000,"&lt;="&amp;EOMONTH(DATE(VALUE(LEFT($B129,4)),VALUE(RIGHT($B129,1))*3,1),0)))</f>
        <v/>
      </c>
      <c r="Q129" s="94" t="str">
        <f aca="false">IF($C129="","",SUMIFS(Project_Activity!$P$2:$P$5000,Project_Activity!$C$2:$C$5000,$C129,Project_Activity!$U$2:$U$5000,"Project Inclusive",Project_Activity!$H$2:$H$5000,"&gt;="&amp;DATE(VALUE(LEFT($B129,4)),1,1),Project_Activity!$H$2:$H$5000,"&lt;="&amp;EOMONTH(DATE(VALUE(LEFT($B129,4)),VALUE(RIGHT($B129,1))*3,1),0)))</f>
        <v/>
      </c>
      <c r="R129" s="94" t="str">
        <f aca="false">IF($C129="","",SUMIFS(Project_Activity!$P$2:$P$5000,Project_Activity!$C$2:$C$5000,$C129,Project_Activity!$U$2:$U$5000,"Non-Recoverable",Project_Activity!$H$2:$H$5000,"&gt;="&amp;DATE(VALUE(LEFT($B129,4)),1,1),Project_Activity!$H$2:$H$5000,"&lt;="&amp;EOMONTH(DATE(VALUE(LEFT($B129,4)),VALUE(RIGHT($B129,1))*3,1),0)))</f>
        <v/>
      </c>
      <c r="S129" s="94" t="str">
        <f aca="false">IF($C129="","",$O129-$P129-$Q129-$R129)</f>
        <v/>
      </c>
      <c r="T129" s="94" t="str">
        <f aca="false">IF($C129="","",SUMIFS(Project_Activity!$P$2:$P$5000,Project_Activity!$C$2:$C$5000,$C129,Project_Activity!$U$2:$U$5000,"Recoverable",Project_Activity!$H$2:$H$5000,"&gt;="&amp;DATE(VALUE(LEFT($B129,4)),1,1),Project_Activity!$H$2:$H$5000,"&lt;="&amp;EOMONTH(DATE(VALUE(LEFT($B129,4)),VALUE(RIGHT($B129,1))*3,1),0)))</f>
        <v/>
      </c>
      <c r="U129" s="94" t="str">
        <f aca="false">IF($C129="","",-SUMIFS(Project_Activity!$P$2:$P$5000,Project_Activity!$C$2:$C$5000,$C129,Project_Activity!$U$2:$U$5000,"Recovered Expenses",Project_Activity!$H$2:$H$5000,"&gt;="&amp;DATE(VALUE(LEFT($B129,4)),1,1),Project_Activity!$H$2:$H$5000,"&lt;="&amp;EOMONTH(DATE(VALUE(LEFT($B129,4)),VALUE(RIGHT($B129,1))*3,1),0)))</f>
        <v/>
      </c>
      <c r="V129" s="145"/>
      <c r="W129" s="94" t="str">
        <f aca="false">IF($C129="","",$V129*$N129)</f>
        <v/>
      </c>
      <c r="X129" s="145"/>
      <c r="Y129" s="94" t="str">
        <f aca="false">IF($C129="","",$X129*$N129)</f>
        <v/>
      </c>
      <c r="Z129" s="145"/>
      <c r="AA129" s="94" t="str">
        <f aca="false">IF($C129="","",$Z129*$N129)</f>
        <v/>
      </c>
      <c r="AB129" s="145"/>
      <c r="AC129" s="94" t="str">
        <f aca="false">IF($C129="","",$AB129*$N129)</f>
        <v/>
      </c>
      <c r="AD129" s="94" t="str">
        <f aca="false">IF($C129="","",SUMPRODUCT((VALUE(MID($B129,7,1))&gt;={1,2,3,4})*CHOOSE({1,2,3,4},$W129,$Y129,$AA129,$AC129)))</f>
        <v/>
      </c>
      <c r="AE129" s="94" t="str">
        <f aca="false">IF($C129="","",$W129+$Y129+$AA129+$AC129-$AD129)</f>
        <v/>
      </c>
      <c r="AF129" s="146"/>
      <c r="AG129" s="146"/>
      <c r="AH129" s="146"/>
      <c r="AI129" s="147" t="str">
        <f aca="false">IF($C129="","",IF(OR($L129="Pipeline",$N129&lt;0,$O129&gt;$N129+1,($V129+$X129+$Z129+$AB129)&gt;1.0001,ISNUMBER(SEARCH("not signed",$AF129))),"REVIEW","OK"))</f>
        <v/>
      </c>
    </row>
    <row r="130" customFormat="false" ht="13.5" hidden="false" customHeight="false" outlineLevel="0" collapsed="false">
      <c r="A130" s="95" t="str">
        <f aca="false">IF($C130="","",Controls!$B$7)</f>
        <v/>
      </c>
      <c r="B130" s="95" t="str">
        <f aca="false">IF($C130="","",Controls!$B$30)</f>
        <v/>
      </c>
      <c r="C130" s="95" t="str">
        <f aca="false">IF(MM_Income!$A133="","",MM_Income!$A133)</f>
        <v/>
      </c>
      <c r="D130" s="95" t="str">
        <f aca="false">IF($C130="","",INDEX(MM_Income!$B$5:$B$204,MATCH($C130,MM_Income!$A$5:$A$204,0)))</f>
        <v/>
      </c>
      <c r="E130" s="95" t="str">
        <f aca="false">IF($C130="","",INDEX(MM_Income!$C$5:$C$204,MATCH($C130,MM_Income!$A$5:$A$204,0)))</f>
        <v/>
      </c>
      <c r="F130" s="95" t="str">
        <f aca="false">IF($C130="","",INDEX(MM_Income!$F$5:$F$204,MATCH($C130,MM_Income!$A$5:$A$204,0)))</f>
        <v/>
      </c>
      <c r="G130" s="95" t="str">
        <f aca="false">IF($C130="","",INDEX(MM_Income!$G$5:$G$204,MATCH($C130,MM_Income!$A$5:$A$204,0)))</f>
        <v/>
      </c>
      <c r="H130" s="95" t="str">
        <f aca="false">IF($C130="","",INDEX(MM_Income!$H$5:$H$204,MATCH($C130,MM_Income!$A$5:$A$204,0)))</f>
        <v/>
      </c>
      <c r="I130" s="95" t="str">
        <f aca="false">IF($C130="","",INDEX(MM_Income!$I$5:$I$204,MATCH($C130,MM_Income!$A$5:$A$204,0)))</f>
        <v/>
      </c>
      <c r="J130" s="95" t="str">
        <f aca="false">IF($C130="","",INDEX(MM_Income!$D$5:$D$204,MATCH($C130,MM_Income!$A$5:$A$204,0)))</f>
        <v/>
      </c>
      <c r="K130" s="95" t="str">
        <f aca="false">IF($C130="","",INDEX(MM_Income!$E$5:$E$204,MATCH($C130,MM_Income!$A$5:$A$204,0)))</f>
        <v/>
      </c>
      <c r="L130" s="95" t="str">
        <f aca="false">IF($C130="","",INDEX(MM_Income!$U$5:$U$204,MATCH($C130,MM_Income!$A$5:$A$204,0)))</f>
        <v/>
      </c>
      <c r="M130" s="143" t="str">
        <f aca="false">IF($C130="","",INDEX(MM_Income!$V$5:$V$204,MATCH($C130,MM_Income!$A$5:$A$204,0)))</f>
        <v/>
      </c>
      <c r="N130" s="144" t="str">
        <f aca="false">IF($C130="","",INDEX(MM_Income!$T$5:$T$204,MATCH($C130,MM_Income!$A$5:$A$204,0)))</f>
        <v/>
      </c>
      <c r="O130" s="94" t="str">
        <f aca="false">IF($C130="","",-SUMIFS(Project_Activity!$P$2:$P$5000,Project_Activity!$C$2:$C$5000,$C130,Project_Activity!$U$2:$U$5000,"Invoiced Income",Project_Activity!$H$2:$H$5000,"&gt;="&amp;DATE(VALUE(LEFT($B130,4)),1,1),Project_Activity!$H$2:$H$5000,"&lt;="&amp;EOMONTH(DATE(VALUE(LEFT($B130,4)),VALUE(RIGHT($B130,1))*3,1),0)))</f>
        <v/>
      </c>
      <c r="P130" s="94" t="str">
        <f aca="false">IF($C130="","",SUMIFS(Project_Activity!$P$2:$P$5000,Project_Activity!$C$2:$C$5000,$C130,Project_Activity!$U$2:$U$5000,"Subcontractor",Project_Activity!$H$2:$H$5000,"&gt;="&amp;DATE(VALUE(LEFT($B130,4)),1,1),Project_Activity!$H$2:$H$5000,"&lt;="&amp;EOMONTH(DATE(VALUE(LEFT($B130,4)),VALUE(RIGHT($B130,1))*3,1),0)))</f>
        <v/>
      </c>
      <c r="Q130" s="94" t="str">
        <f aca="false">IF($C130="","",SUMIFS(Project_Activity!$P$2:$P$5000,Project_Activity!$C$2:$C$5000,$C130,Project_Activity!$U$2:$U$5000,"Project Inclusive",Project_Activity!$H$2:$H$5000,"&gt;="&amp;DATE(VALUE(LEFT($B130,4)),1,1),Project_Activity!$H$2:$H$5000,"&lt;="&amp;EOMONTH(DATE(VALUE(LEFT($B130,4)),VALUE(RIGHT($B130,1))*3,1),0)))</f>
        <v/>
      </c>
      <c r="R130" s="94" t="str">
        <f aca="false">IF($C130="","",SUMIFS(Project_Activity!$P$2:$P$5000,Project_Activity!$C$2:$C$5000,$C130,Project_Activity!$U$2:$U$5000,"Non-Recoverable",Project_Activity!$H$2:$H$5000,"&gt;="&amp;DATE(VALUE(LEFT($B130,4)),1,1),Project_Activity!$H$2:$H$5000,"&lt;="&amp;EOMONTH(DATE(VALUE(LEFT($B130,4)),VALUE(RIGHT($B130,1))*3,1),0)))</f>
        <v/>
      </c>
      <c r="S130" s="94" t="str">
        <f aca="false">IF($C130="","",$O130-$P130-$Q130-$R130)</f>
        <v/>
      </c>
      <c r="T130" s="94" t="str">
        <f aca="false">IF($C130="","",SUMIFS(Project_Activity!$P$2:$P$5000,Project_Activity!$C$2:$C$5000,$C130,Project_Activity!$U$2:$U$5000,"Recoverable",Project_Activity!$H$2:$H$5000,"&gt;="&amp;DATE(VALUE(LEFT($B130,4)),1,1),Project_Activity!$H$2:$H$5000,"&lt;="&amp;EOMONTH(DATE(VALUE(LEFT($B130,4)),VALUE(RIGHT($B130,1))*3,1),0)))</f>
        <v/>
      </c>
      <c r="U130" s="94" t="str">
        <f aca="false">IF($C130="","",-SUMIFS(Project_Activity!$P$2:$P$5000,Project_Activity!$C$2:$C$5000,$C130,Project_Activity!$U$2:$U$5000,"Recovered Expenses",Project_Activity!$H$2:$H$5000,"&gt;="&amp;DATE(VALUE(LEFT($B130,4)),1,1),Project_Activity!$H$2:$H$5000,"&lt;="&amp;EOMONTH(DATE(VALUE(LEFT($B130,4)),VALUE(RIGHT($B130,1))*3,1),0)))</f>
        <v/>
      </c>
      <c r="V130" s="145"/>
      <c r="W130" s="94" t="str">
        <f aca="false">IF($C130="","",$V130*$N130)</f>
        <v/>
      </c>
      <c r="X130" s="145"/>
      <c r="Y130" s="94" t="str">
        <f aca="false">IF($C130="","",$X130*$N130)</f>
        <v/>
      </c>
      <c r="Z130" s="145"/>
      <c r="AA130" s="94" t="str">
        <f aca="false">IF($C130="","",$Z130*$N130)</f>
        <v/>
      </c>
      <c r="AB130" s="145"/>
      <c r="AC130" s="94" t="str">
        <f aca="false">IF($C130="","",$AB130*$N130)</f>
        <v/>
      </c>
      <c r="AD130" s="94" t="str">
        <f aca="false">IF($C130="","",SUMPRODUCT((VALUE(MID($B130,7,1))&gt;={1,2,3,4})*CHOOSE({1,2,3,4},$W130,$Y130,$AA130,$AC130)))</f>
        <v/>
      </c>
      <c r="AE130" s="94" t="str">
        <f aca="false">IF($C130="","",$W130+$Y130+$AA130+$AC130-$AD130)</f>
        <v/>
      </c>
      <c r="AF130" s="146"/>
      <c r="AG130" s="146"/>
      <c r="AH130" s="146"/>
      <c r="AI130" s="147" t="str">
        <f aca="false">IF($C130="","",IF(OR($L130="Pipeline",$N130&lt;0,$O130&gt;$N130+1,($V130+$X130+$Z130+$AB130)&gt;1.0001,ISNUMBER(SEARCH("not signed",$AF130))),"REVIEW","OK"))</f>
        <v/>
      </c>
    </row>
    <row r="131" customFormat="false" ht="13.5" hidden="false" customHeight="false" outlineLevel="0" collapsed="false">
      <c r="A131" s="95" t="str">
        <f aca="false">IF($C131="","",Controls!$B$7)</f>
        <v/>
      </c>
      <c r="B131" s="95" t="str">
        <f aca="false">IF($C131="","",Controls!$B$30)</f>
        <v/>
      </c>
      <c r="C131" s="95" t="str">
        <f aca="false">IF(MM_Income!$A134="","",MM_Income!$A134)</f>
        <v/>
      </c>
      <c r="D131" s="95" t="str">
        <f aca="false">IF($C131="","",INDEX(MM_Income!$B$5:$B$204,MATCH($C131,MM_Income!$A$5:$A$204,0)))</f>
        <v/>
      </c>
      <c r="E131" s="95" t="str">
        <f aca="false">IF($C131="","",INDEX(MM_Income!$C$5:$C$204,MATCH($C131,MM_Income!$A$5:$A$204,0)))</f>
        <v/>
      </c>
      <c r="F131" s="95" t="str">
        <f aca="false">IF($C131="","",INDEX(MM_Income!$F$5:$F$204,MATCH($C131,MM_Income!$A$5:$A$204,0)))</f>
        <v/>
      </c>
      <c r="G131" s="95" t="str">
        <f aca="false">IF($C131="","",INDEX(MM_Income!$G$5:$G$204,MATCH($C131,MM_Income!$A$5:$A$204,0)))</f>
        <v/>
      </c>
      <c r="H131" s="95" t="str">
        <f aca="false">IF($C131="","",INDEX(MM_Income!$H$5:$H$204,MATCH($C131,MM_Income!$A$5:$A$204,0)))</f>
        <v/>
      </c>
      <c r="I131" s="95" t="str">
        <f aca="false">IF($C131="","",INDEX(MM_Income!$I$5:$I$204,MATCH($C131,MM_Income!$A$5:$A$204,0)))</f>
        <v/>
      </c>
      <c r="J131" s="95" t="str">
        <f aca="false">IF($C131="","",INDEX(MM_Income!$D$5:$D$204,MATCH($C131,MM_Income!$A$5:$A$204,0)))</f>
        <v/>
      </c>
      <c r="K131" s="95" t="str">
        <f aca="false">IF($C131="","",INDEX(MM_Income!$E$5:$E$204,MATCH($C131,MM_Income!$A$5:$A$204,0)))</f>
        <v/>
      </c>
      <c r="L131" s="95" t="str">
        <f aca="false">IF($C131="","",INDEX(MM_Income!$U$5:$U$204,MATCH($C131,MM_Income!$A$5:$A$204,0)))</f>
        <v/>
      </c>
      <c r="M131" s="143" t="str">
        <f aca="false">IF($C131="","",INDEX(MM_Income!$V$5:$V$204,MATCH($C131,MM_Income!$A$5:$A$204,0)))</f>
        <v/>
      </c>
      <c r="N131" s="144" t="str">
        <f aca="false">IF($C131="","",INDEX(MM_Income!$T$5:$T$204,MATCH($C131,MM_Income!$A$5:$A$204,0)))</f>
        <v/>
      </c>
      <c r="O131" s="94" t="str">
        <f aca="false">IF($C131="","",-SUMIFS(Project_Activity!$P$2:$P$5000,Project_Activity!$C$2:$C$5000,$C131,Project_Activity!$U$2:$U$5000,"Invoiced Income",Project_Activity!$H$2:$H$5000,"&gt;="&amp;DATE(VALUE(LEFT($B131,4)),1,1),Project_Activity!$H$2:$H$5000,"&lt;="&amp;EOMONTH(DATE(VALUE(LEFT($B131,4)),VALUE(RIGHT($B131,1))*3,1),0)))</f>
        <v/>
      </c>
      <c r="P131" s="94" t="str">
        <f aca="false">IF($C131="","",SUMIFS(Project_Activity!$P$2:$P$5000,Project_Activity!$C$2:$C$5000,$C131,Project_Activity!$U$2:$U$5000,"Subcontractor",Project_Activity!$H$2:$H$5000,"&gt;="&amp;DATE(VALUE(LEFT($B131,4)),1,1),Project_Activity!$H$2:$H$5000,"&lt;="&amp;EOMONTH(DATE(VALUE(LEFT($B131,4)),VALUE(RIGHT($B131,1))*3,1),0)))</f>
        <v/>
      </c>
      <c r="Q131" s="94" t="str">
        <f aca="false">IF($C131="","",SUMIFS(Project_Activity!$P$2:$P$5000,Project_Activity!$C$2:$C$5000,$C131,Project_Activity!$U$2:$U$5000,"Project Inclusive",Project_Activity!$H$2:$H$5000,"&gt;="&amp;DATE(VALUE(LEFT($B131,4)),1,1),Project_Activity!$H$2:$H$5000,"&lt;="&amp;EOMONTH(DATE(VALUE(LEFT($B131,4)),VALUE(RIGHT($B131,1))*3,1),0)))</f>
        <v/>
      </c>
      <c r="R131" s="94" t="str">
        <f aca="false">IF($C131="","",SUMIFS(Project_Activity!$P$2:$P$5000,Project_Activity!$C$2:$C$5000,$C131,Project_Activity!$U$2:$U$5000,"Non-Recoverable",Project_Activity!$H$2:$H$5000,"&gt;="&amp;DATE(VALUE(LEFT($B131,4)),1,1),Project_Activity!$H$2:$H$5000,"&lt;="&amp;EOMONTH(DATE(VALUE(LEFT($B131,4)),VALUE(RIGHT($B131,1))*3,1),0)))</f>
        <v/>
      </c>
      <c r="S131" s="94" t="str">
        <f aca="false">IF($C131="","",$O131-$P131-$Q131-$R131)</f>
        <v/>
      </c>
      <c r="T131" s="94" t="str">
        <f aca="false">IF($C131="","",SUMIFS(Project_Activity!$P$2:$P$5000,Project_Activity!$C$2:$C$5000,$C131,Project_Activity!$U$2:$U$5000,"Recoverable",Project_Activity!$H$2:$H$5000,"&gt;="&amp;DATE(VALUE(LEFT($B131,4)),1,1),Project_Activity!$H$2:$H$5000,"&lt;="&amp;EOMONTH(DATE(VALUE(LEFT($B131,4)),VALUE(RIGHT($B131,1))*3,1),0)))</f>
        <v/>
      </c>
      <c r="U131" s="94" t="str">
        <f aca="false">IF($C131="","",-SUMIFS(Project_Activity!$P$2:$P$5000,Project_Activity!$C$2:$C$5000,$C131,Project_Activity!$U$2:$U$5000,"Recovered Expenses",Project_Activity!$H$2:$H$5000,"&gt;="&amp;DATE(VALUE(LEFT($B131,4)),1,1),Project_Activity!$H$2:$H$5000,"&lt;="&amp;EOMONTH(DATE(VALUE(LEFT($B131,4)),VALUE(RIGHT($B131,1))*3,1),0)))</f>
        <v/>
      </c>
      <c r="V131" s="145"/>
      <c r="W131" s="94" t="str">
        <f aca="false">IF($C131="","",$V131*$N131)</f>
        <v/>
      </c>
      <c r="X131" s="145"/>
      <c r="Y131" s="94" t="str">
        <f aca="false">IF($C131="","",$X131*$N131)</f>
        <v/>
      </c>
      <c r="Z131" s="145"/>
      <c r="AA131" s="94" t="str">
        <f aca="false">IF($C131="","",$Z131*$N131)</f>
        <v/>
      </c>
      <c r="AB131" s="145"/>
      <c r="AC131" s="94" t="str">
        <f aca="false">IF($C131="","",$AB131*$N131)</f>
        <v/>
      </c>
      <c r="AD131" s="94" t="str">
        <f aca="false">IF($C131="","",SUMPRODUCT((VALUE(MID($B131,7,1))&gt;={1,2,3,4})*CHOOSE({1,2,3,4},$W131,$Y131,$AA131,$AC131)))</f>
        <v/>
      </c>
      <c r="AE131" s="94" t="str">
        <f aca="false">IF($C131="","",$W131+$Y131+$AA131+$AC131-$AD131)</f>
        <v/>
      </c>
      <c r="AF131" s="146"/>
      <c r="AG131" s="146"/>
      <c r="AH131" s="146"/>
      <c r="AI131" s="147" t="str">
        <f aca="false">IF($C131="","",IF(OR($L131="Pipeline",$N131&lt;0,$O131&gt;$N131+1,($V131+$X131+$Z131+$AB131)&gt;1.0001,ISNUMBER(SEARCH("not signed",$AF131))),"REVIEW","OK"))</f>
        <v/>
      </c>
    </row>
    <row r="132" customFormat="false" ht="13.5" hidden="false" customHeight="false" outlineLevel="0" collapsed="false">
      <c r="A132" s="95" t="str">
        <f aca="false">IF($C132="","",Controls!$B$7)</f>
        <v/>
      </c>
      <c r="B132" s="95" t="str">
        <f aca="false">IF($C132="","",Controls!$B$30)</f>
        <v/>
      </c>
      <c r="C132" s="95" t="str">
        <f aca="false">IF(MM_Income!$A135="","",MM_Income!$A135)</f>
        <v/>
      </c>
      <c r="D132" s="95" t="str">
        <f aca="false">IF($C132="","",INDEX(MM_Income!$B$5:$B$204,MATCH($C132,MM_Income!$A$5:$A$204,0)))</f>
        <v/>
      </c>
      <c r="E132" s="95" t="str">
        <f aca="false">IF($C132="","",INDEX(MM_Income!$C$5:$C$204,MATCH($C132,MM_Income!$A$5:$A$204,0)))</f>
        <v/>
      </c>
      <c r="F132" s="95" t="str">
        <f aca="false">IF($C132="","",INDEX(MM_Income!$F$5:$F$204,MATCH($C132,MM_Income!$A$5:$A$204,0)))</f>
        <v/>
      </c>
      <c r="G132" s="95" t="str">
        <f aca="false">IF($C132="","",INDEX(MM_Income!$G$5:$G$204,MATCH($C132,MM_Income!$A$5:$A$204,0)))</f>
        <v/>
      </c>
      <c r="H132" s="95" t="str">
        <f aca="false">IF($C132="","",INDEX(MM_Income!$H$5:$H$204,MATCH($C132,MM_Income!$A$5:$A$204,0)))</f>
        <v/>
      </c>
      <c r="I132" s="95" t="str">
        <f aca="false">IF($C132="","",INDEX(MM_Income!$I$5:$I$204,MATCH($C132,MM_Income!$A$5:$A$204,0)))</f>
        <v/>
      </c>
      <c r="J132" s="95" t="str">
        <f aca="false">IF($C132="","",INDEX(MM_Income!$D$5:$D$204,MATCH($C132,MM_Income!$A$5:$A$204,0)))</f>
        <v/>
      </c>
      <c r="K132" s="95" t="str">
        <f aca="false">IF($C132="","",INDEX(MM_Income!$E$5:$E$204,MATCH($C132,MM_Income!$A$5:$A$204,0)))</f>
        <v/>
      </c>
      <c r="L132" s="95" t="str">
        <f aca="false">IF($C132="","",INDEX(MM_Income!$U$5:$U$204,MATCH($C132,MM_Income!$A$5:$A$204,0)))</f>
        <v/>
      </c>
      <c r="M132" s="143" t="str">
        <f aca="false">IF($C132="","",INDEX(MM_Income!$V$5:$V$204,MATCH($C132,MM_Income!$A$5:$A$204,0)))</f>
        <v/>
      </c>
      <c r="N132" s="144" t="str">
        <f aca="false">IF($C132="","",INDEX(MM_Income!$T$5:$T$204,MATCH($C132,MM_Income!$A$5:$A$204,0)))</f>
        <v/>
      </c>
      <c r="O132" s="94" t="str">
        <f aca="false">IF($C132="","",-SUMIFS(Project_Activity!$P$2:$P$5000,Project_Activity!$C$2:$C$5000,$C132,Project_Activity!$U$2:$U$5000,"Invoiced Income",Project_Activity!$H$2:$H$5000,"&gt;="&amp;DATE(VALUE(LEFT($B132,4)),1,1),Project_Activity!$H$2:$H$5000,"&lt;="&amp;EOMONTH(DATE(VALUE(LEFT($B132,4)),VALUE(RIGHT($B132,1))*3,1),0)))</f>
        <v/>
      </c>
      <c r="P132" s="94" t="str">
        <f aca="false">IF($C132="","",SUMIFS(Project_Activity!$P$2:$P$5000,Project_Activity!$C$2:$C$5000,$C132,Project_Activity!$U$2:$U$5000,"Subcontractor",Project_Activity!$H$2:$H$5000,"&gt;="&amp;DATE(VALUE(LEFT($B132,4)),1,1),Project_Activity!$H$2:$H$5000,"&lt;="&amp;EOMONTH(DATE(VALUE(LEFT($B132,4)),VALUE(RIGHT($B132,1))*3,1),0)))</f>
        <v/>
      </c>
      <c r="Q132" s="94" t="str">
        <f aca="false">IF($C132="","",SUMIFS(Project_Activity!$P$2:$P$5000,Project_Activity!$C$2:$C$5000,$C132,Project_Activity!$U$2:$U$5000,"Project Inclusive",Project_Activity!$H$2:$H$5000,"&gt;="&amp;DATE(VALUE(LEFT($B132,4)),1,1),Project_Activity!$H$2:$H$5000,"&lt;="&amp;EOMONTH(DATE(VALUE(LEFT($B132,4)),VALUE(RIGHT($B132,1))*3,1),0)))</f>
        <v/>
      </c>
      <c r="R132" s="94" t="str">
        <f aca="false">IF($C132="","",SUMIFS(Project_Activity!$P$2:$P$5000,Project_Activity!$C$2:$C$5000,$C132,Project_Activity!$U$2:$U$5000,"Non-Recoverable",Project_Activity!$H$2:$H$5000,"&gt;="&amp;DATE(VALUE(LEFT($B132,4)),1,1),Project_Activity!$H$2:$H$5000,"&lt;="&amp;EOMONTH(DATE(VALUE(LEFT($B132,4)),VALUE(RIGHT($B132,1))*3,1),0)))</f>
        <v/>
      </c>
      <c r="S132" s="94" t="str">
        <f aca="false">IF($C132="","",$O132-$P132-$Q132-$R132)</f>
        <v/>
      </c>
      <c r="T132" s="94" t="str">
        <f aca="false">IF($C132="","",SUMIFS(Project_Activity!$P$2:$P$5000,Project_Activity!$C$2:$C$5000,$C132,Project_Activity!$U$2:$U$5000,"Recoverable",Project_Activity!$H$2:$H$5000,"&gt;="&amp;DATE(VALUE(LEFT($B132,4)),1,1),Project_Activity!$H$2:$H$5000,"&lt;="&amp;EOMONTH(DATE(VALUE(LEFT($B132,4)),VALUE(RIGHT($B132,1))*3,1),0)))</f>
        <v/>
      </c>
      <c r="U132" s="94" t="str">
        <f aca="false">IF($C132="","",-SUMIFS(Project_Activity!$P$2:$P$5000,Project_Activity!$C$2:$C$5000,$C132,Project_Activity!$U$2:$U$5000,"Recovered Expenses",Project_Activity!$H$2:$H$5000,"&gt;="&amp;DATE(VALUE(LEFT($B132,4)),1,1),Project_Activity!$H$2:$H$5000,"&lt;="&amp;EOMONTH(DATE(VALUE(LEFT($B132,4)),VALUE(RIGHT($B132,1))*3,1),0)))</f>
        <v/>
      </c>
      <c r="V132" s="145"/>
      <c r="W132" s="94" t="str">
        <f aca="false">IF($C132="","",$V132*$N132)</f>
        <v/>
      </c>
      <c r="X132" s="145"/>
      <c r="Y132" s="94" t="str">
        <f aca="false">IF($C132="","",$X132*$N132)</f>
        <v/>
      </c>
      <c r="Z132" s="145"/>
      <c r="AA132" s="94" t="str">
        <f aca="false">IF($C132="","",$Z132*$N132)</f>
        <v/>
      </c>
      <c r="AB132" s="145"/>
      <c r="AC132" s="94" t="str">
        <f aca="false">IF($C132="","",$AB132*$N132)</f>
        <v/>
      </c>
      <c r="AD132" s="94" t="str">
        <f aca="false">IF($C132="","",SUMPRODUCT((VALUE(MID($B132,7,1))&gt;={1,2,3,4})*CHOOSE({1,2,3,4},$W132,$Y132,$AA132,$AC132)))</f>
        <v/>
      </c>
      <c r="AE132" s="94" t="str">
        <f aca="false">IF($C132="","",$W132+$Y132+$AA132+$AC132-$AD132)</f>
        <v/>
      </c>
      <c r="AF132" s="146"/>
      <c r="AG132" s="146"/>
      <c r="AH132" s="146"/>
      <c r="AI132" s="147" t="str">
        <f aca="false">IF($C132="","",IF(OR($L132="Pipeline",$N132&lt;0,$O132&gt;$N132+1,($V132+$X132+$Z132+$AB132)&gt;1.0001,ISNUMBER(SEARCH("not signed",$AF132))),"REVIEW","OK"))</f>
        <v/>
      </c>
    </row>
    <row r="133" customFormat="false" ht="13.5" hidden="false" customHeight="false" outlineLevel="0" collapsed="false">
      <c r="A133" s="95" t="str">
        <f aca="false">IF($C133="","",Controls!$B$7)</f>
        <v/>
      </c>
      <c r="B133" s="95" t="str">
        <f aca="false">IF($C133="","",Controls!$B$30)</f>
        <v/>
      </c>
      <c r="C133" s="95" t="str">
        <f aca="false">IF(MM_Income!$A136="","",MM_Income!$A136)</f>
        <v/>
      </c>
      <c r="D133" s="95" t="str">
        <f aca="false">IF($C133="","",INDEX(MM_Income!$B$5:$B$204,MATCH($C133,MM_Income!$A$5:$A$204,0)))</f>
        <v/>
      </c>
      <c r="E133" s="95" t="str">
        <f aca="false">IF($C133="","",INDEX(MM_Income!$C$5:$C$204,MATCH($C133,MM_Income!$A$5:$A$204,0)))</f>
        <v/>
      </c>
      <c r="F133" s="95" t="str">
        <f aca="false">IF($C133="","",INDEX(MM_Income!$F$5:$F$204,MATCH($C133,MM_Income!$A$5:$A$204,0)))</f>
        <v/>
      </c>
      <c r="G133" s="95" t="str">
        <f aca="false">IF($C133="","",INDEX(MM_Income!$G$5:$G$204,MATCH($C133,MM_Income!$A$5:$A$204,0)))</f>
        <v/>
      </c>
      <c r="H133" s="95" t="str">
        <f aca="false">IF($C133="","",INDEX(MM_Income!$H$5:$H$204,MATCH($C133,MM_Income!$A$5:$A$204,0)))</f>
        <v/>
      </c>
      <c r="I133" s="95" t="str">
        <f aca="false">IF($C133="","",INDEX(MM_Income!$I$5:$I$204,MATCH($C133,MM_Income!$A$5:$A$204,0)))</f>
        <v/>
      </c>
      <c r="J133" s="95" t="str">
        <f aca="false">IF($C133="","",INDEX(MM_Income!$D$5:$D$204,MATCH($C133,MM_Income!$A$5:$A$204,0)))</f>
        <v/>
      </c>
      <c r="K133" s="95" t="str">
        <f aca="false">IF($C133="","",INDEX(MM_Income!$E$5:$E$204,MATCH($C133,MM_Income!$A$5:$A$204,0)))</f>
        <v/>
      </c>
      <c r="L133" s="95" t="str">
        <f aca="false">IF($C133="","",INDEX(MM_Income!$U$5:$U$204,MATCH($C133,MM_Income!$A$5:$A$204,0)))</f>
        <v/>
      </c>
      <c r="M133" s="143" t="str">
        <f aca="false">IF($C133="","",INDEX(MM_Income!$V$5:$V$204,MATCH($C133,MM_Income!$A$5:$A$204,0)))</f>
        <v/>
      </c>
      <c r="N133" s="144" t="str">
        <f aca="false">IF($C133="","",INDEX(MM_Income!$T$5:$T$204,MATCH($C133,MM_Income!$A$5:$A$204,0)))</f>
        <v/>
      </c>
      <c r="O133" s="94" t="str">
        <f aca="false">IF($C133="","",-SUMIFS(Project_Activity!$P$2:$P$5000,Project_Activity!$C$2:$C$5000,$C133,Project_Activity!$U$2:$U$5000,"Invoiced Income",Project_Activity!$H$2:$H$5000,"&gt;="&amp;DATE(VALUE(LEFT($B133,4)),1,1),Project_Activity!$H$2:$H$5000,"&lt;="&amp;EOMONTH(DATE(VALUE(LEFT($B133,4)),VALUE(RIGHT($B133,1))*3,1),0)))</f>
        <v/>
      </c>
      <c r="P133" s="94" t="str">
        <f aca="false">IF($C133="","",SUMIFS(Project_Activity!$P$2:$P$5000,Project_Activity!$C$2:$C$5000,$C133,Project_Activity!$U$2:$U$5000,"Subcontractor",Project_Activity!$H$2:$H$5000,"&gt;="&amp;DATE(VALUE(LEFT($B133,4)),1,1),Project_Activity!$H$2:$H$5000,"&lt;="&amp;EOMONTH(DATE(VALUE(LEFT($B133,4)),VALUE(RIGHT($B133,1))*3,1),0)))</f>
        <v/>
      </c>
      <c r="Q133" s="94" t="str">
        <f aca="false">IF($C133="","",SUMIFS(Project_Activity!$P$2:$P$5000,Project_Activity!$C$2:$C$5000,$C133,Project_Activity!$U$2:$U$5000,"Project Inclusive",Project_Activity!$H$2:$H$5000,"&gt;="&amp;DATE(VALUE(LEFT($B133,4)),1,1),Project_Activity!$H$2:$H$5000,"&lt;="&amp;EOMONTH(DATE(VALUE(LEFT($B133,4)),VALUE(RIGHT($B133,1))*3,1),0)))</f>
        <v/>
      </c>
      <c r="R133" s="94" t="str">
        <f aca="false">IF($C133="","",SUMIFS(Project_Activity!$P$2:$P$5000,Project_Activity!$C$2:$C$5000,$C133,Project_Activity!$U$2:$U$5000,"Non-Recoverable",Project_Activity!$H$2:$H$5000,"&gt;="&amp;DATE(VALUE(LEFT($B133,4)),1,1),Project_Activity!$H$2:$H$5000,"&lt;="&amp;EOMONTH(DATE(VALUE(LEFT($B133,4)),VALUE(RIGHT($B133,1))*3,1),0)))</f>
        <v/>
      </c>
      <c r="S133" s="94" t="str">
        <f aca="false">IF($C133="","",$O133-$P133-$Q133-$R133)</f>
        <v/>
      </c>
      <c r="T133" s="94" t="str">
        <f aca="false">IF($C133="","",SUMIFS(Project_Activity!$P$2:$P$5000,Project_Activity!$C$2:$C$5000,$C133,Project_Activity!$U$2:$U$5000,"Recoverable",Project_Activity!$H$2:$H$5000,"&gt;="&amp;DATE(VALUE(LEFT($B133,4)),1,1),Project_Activity!$H$2:$H$5000,"&lt;="&amp;EOMONTH(DATE(VALUE(LEFT($B133,4)),VALUE(RIGHT($B133,1))*3,1),0)))</f>
        <v/>
      </c>
      <c r="U133" s="94" t="str">
        <f aca="false">IF($C133="","",-SUMIFS(Project_Activity!$P$2:$P$5000,Project_Activity!$C$2:$C$5000,$C133,Project_Activity!$U$2:$U$5000,"Recovered Expenses",Project_Activity!$H$2:$H$5000,"&gt;="&amp;DATE(VALUE(LEFT($B133,4)),1,1),Project_Activity!$H$2:$H$5000,"&lt;="&amp;EOMONTH(DATE(VALUE(LEFT($B133,4)),VALUE(RIGHT($B133,1))*3,1),0)))</f>
        <v/>
      </c>
      <c r="V133" s="145"/>
      <c r="W133" s="94" t="str">
        <f aca="false">IF($C133="","",$V133*$N133)</f>
        <v/>
      </c>
      <c r="X133" s="145"/>
      <c r="Y133" s="94" t="str">
        <f aca="false">IF($C133="","",$X133*$N133)</f>
        <v/>
      </c>
      <c r="Z133" s="145"/>
      <c r="AA133" s="94" t="str">
        <f aca="false">IF($C133="","",$Z133*$N133)</f>
        <v/>
      </c>
      <c r="AB133" s="145"/>
      <c r="AC133" s="94" t="str">
        <f aca="false">IF($C133="","",$AB133*$N133)</f>
        <v/>
      </c>
      <c r="AD133" s="94" t="str">
        <f aca="false">IF($C133="","",SUMPRODUCT((VALUE(MID($B133,7,1))&gt;={1,2,3,4})*CHOOSE({1,2,3,4},$W133,$Y133,$AA133,$AC133)))</f>
        <v/>
      </c>
      <c r="AE133" s="94" t="str">
        <f aca="false">IF($C133="","",$W133+$Y133+$AA133+$AC133-$AD133)</f>
        <v/>
      </c>
      <c r="AF133" s="146"/>
      <c r="AG133" s="146"/>
      <c r="AH133" s="146"/>
      <c r="AI133" s="147" t="str">
        <f aca="false">IF($C133="","",IF(OR($L133="Pipeline",$N133&lt;0,$O133&gt;$N133+1,($V133+$X133+$Z133+$AB133)&gt;1.0001,ISNUMBER(SEARCH("not signed",$AF133))),"REVIEW","OK"))</f>
        <v/>
      </c>
    </row>
    <row r="134" customFormat="false" ht="13.5" hidden="false" customHeight="false" outlineLevel="0" collapsed="false">
      <c r="A134" s="95" t="str">
        <f aca="false">IF($C134="","",Controls!$B$7)</f>
        <v/>
      </c>
      <c r="B134" s="95" t="str">
        <f aca="false">IF($C134="","",Controls!$B$30)</f>
        <v/>
      </c>
      <c r="C134" s="95" t="str">
        <f aca="false">IF(MM_Income!$A137="","",MM_Income!$A137)</f>
        <v/>
      </c>
      <c r="D134" s="95" t="str">
        <f aca="false">IF($C134="","",INDEX(MM_Income!$B$5:$B$204,MATCH($C134,MM_Income!$A$5:$A$204,0)))</f>
        <v/>
      </c>
      <c r="E134" s="95" t="str">
        <f aca="false">IF($C134="","",INDEX(MM_Income!$C$5:$C$204,MATCH($C134,MM_Income!$A$5:$A$204,0)))</f>
        <v/>
      </c>
      <c r="F134" s="95" t="str">
        <f aca="false">IF($C134="","",INDEX(MM_Income!$F$5:$F$204,MATCH($C134,MM_Income!$A$5:$A$204,0)))</f>
        <v/>
      </c>
      <c r="G134" s="95" t="str">
        <f aca="false">IF($C134="","",INDEX(MM_Income!$G$5:$G$204,MATCH($C134,MM_Income!$A$5:$A$204,0)))</f>
        <v/>
      </c>
      <c r="H134" s="95" t="str">
        <f aca="false">IF($C134="","",INDEX(MM_Income!$H$5:$H$204,MATCH($C134,MM_Income!$A$5:$A$204,0)))</f>
        <v/>
      </c>
      <c r="I134" s="95" t="str">
        <f aca="false">IF($C134="","",INDEX(MM_Income!$I$5:$I$204,MATCH($C134,MM_Income!$A$5:$A$204,0)))</f>
        <v/>
      </c>
      <c r="J134" s="95" t="str">
        <f aca="false">IF($C134="","",INDEX(MM_Income!$D$5:$D$204,MATCH($C134,MM_Income!$A$5:$A$204,0)))</f>
        <v/>
      </c>
      <c r="K134" s="95" t="str">
        <f aca="false">IF($C134="","",INDEX(MM_Income!$E$5:$E$204,MATCH($C134,MM_Income!$A$5:$A$204,0)))</f>
        <v/>
      </c>
      <c r="L134" s="95" t="str">
        <f aca="false">IF($C134="","",INDEX(MM_Income!$U$5:$U$204,MATCH($C134,MM_Income!$A$5:$A$204,0)))</f>
        <v/>
      </c>
      <c r="M134" s="143" t="str">
        <f aca="false">IF($C134="","",INDEX(MM_Income!$V$5:$V$204,MATCH($C134,MM_Income!$A$5:$A$204,0)))</f>
        <v/>
      </c>
      <c r="N134" s="144" t="str">
        <f aca="false">IF($C134="","",INDEX(MM_Income!$T$5:$T$204,MATCH($C134,MM_Income!$A$5:$A$204,0)))</f>
        <v/>
      </c>
      <c r="O134" s="94" t="str">
        <f aca="false">IF($C134="","",-SUMIFS(Project_Activity!$P$2:$P$5000,Project_Activity!$C$2:$C$5000,$C134,Project_Activity!$U$2:$U$5000,"Invoiced Income",Project_Activity!$H$2:$H$5000,"&gt;="&amp;DATE(VALUE(LEFT($B134,4)),1,1),Project_Activity!$H$2:$H$5000,"&lt;="&amp;EOMONTH(DATE(VALUE(LEFT($B134,4)),VALUE(RIGHT($B134,1))*3,1),0)))</f>
        <v/>
      </c>
      <c r="P134" s="94" t="str">
        <f aca="false">IF($C134="","",SUMIFS(Project_Activity!$P$2:$P$5000,Project_Activity!$C$2:$C$5000,$C134,Project_Activity!$U$2:$U$5000,"Subcontractor",Project_Activity!$H$2:$H$5000,"&gt;="&amp;DATE(VALUE(LEFT($B134,4)),1,1),Project_Activity!$H$2:$H$5000,"&lt;="&amp;EOMONTH(DATE(VALUE(LEFT($B134,4)),VALUE(RIGHT($B134,1))*3,1),0)))</f>
        <v/>
      </c>
      <c r="Q134" s="94" t="str">
        <f aca="false">IF($C134="","",SUMIFS(Project_Activity!$P$2:$P$5000,Project_Activity!$C$2:$C$5000,$C134,Project_Activity!$U$2:$U$5000,"Project Inclusive",Project_Activity!$H$2:$H$5000,"&gt;="&amp;DATE(VALUE(LEFT($B134,4)),1,1),Project_Activity!$H$2:$H$5000,"&lt;="&amp;EOMONTH(DATE(VALUE(LEFT($B134,4)),VALUE(RIGHT($B134,1))*3,1),0)))</f>
        <v/>
      </c>
      <c r="R134" s="94" t="str">
        <f aca="false">IF($C134="","",SUMIFS(Project_Activity!$P$2:$P$5000,Project_Activity!$C$2:$C$5000,$C134,Project_Activity!$U$2:$U$5000,"Non-Recoverable",Project_Activity!$H$2:$H$5000,"&gt;="&amp;DATE(VALUE(LEFT($B134,4)),1,1),Project_Activity!$H$2:$H$5000,"&lt;="&amp;EOMONTH(DATE(VALUE(LEFT($B134,4)),VALUE(RIGHT($B134,1))*3,1),0)))</f>
        <v/>
      </c>
      <c r="S134" s="94" t="str">
        <f aca="false">IF($C134="","",$O134-$P134-$Q134-$R134)</f>
        <v/>
      </c>
      <c r="T134" s="94" t="str">
        <f aca="false">IF($C134="","",SUMIFS(Project_Activity!$P$2:$P$5000,Project_Activity!$C$2:$C$5000,$C134,Project_Activity!$U$2:$U$5000,"Recoverable",Project_Activity!$H$2:$H$5000,"&gt;="&amp;DATE(VALUE(LEFT($B134,4)),1,1),Project_Activity!$H$2:$H$5000,"&lt;="&amp;EOMONTH(DATE(VALUE(LEFT($B134,4)),VALUE(RIGHT($B134,1))*3,1),0)))</f>
        <v/>
      </c>
      <c r="U134" s="94" t="str">
        <f aca="false">IF($C134="","",-SUMIFS(Project_Activity!$P$2:$P$5000,Project_Activity!$C$2:$C$5000,$C134,Project_Activity!$U$2:$U$5000,"Recovered Expenses",Project_Activity!$H$2:$H$5000,"&gt;="&amp;DATE(VALUE(LEFT($B134,4)),1,1),Project_Activity!$H$2:$H$5000,"&lt;="&amp;EOMONTH(DATE(VALUE(LEFT($B134,4)),VALUE(RIGHT($B134,1))*3,1),0)))</f>
        <v/>
      </c>
      <c r="V134" s="145"/>
      <c r="W134" s="94" t="str">
        <f aca="false">IF($C134="","",$V134*$N134)</f>
        <v/>
      </c>
      <c r="X134" s="145"/>
      <c r="Y134" s="94" t="str">
        <f aca="false">IF($C134="","",$X134*$N134)</f>
        <v/>
      </c>
      <c r="Z134" s="145"/>
      <c r="AA134" s="94" t="str">
        <f aca="false">IF($C134="","",$Z134*$N134)</f>
        <v/>
      </c>
      <c r="AB134" s="145"/>
      <c r="AC134" s="94" t="str">
        <f aca="false">IF($C134="","",$AB134*$N134)</f>
        <v/>
      </c>
      <c r="AD134" s="94" t="str">
        <f aca="false">IF($C134="","",SUMPRODUCT((VALUE(MID($B134,7,1))&gt;={1,2,3,4})*CHOOSE({1,2,3,4},$W134,$Y134,$AA134,$AC134)))</f>
        <v/>
      </c>
      <c r="AE134" s="94" t="str">
        <f aca="false">IF($C134="","",$W134+$Y134+$AA134+$AC134-$AD134)</f>
        <v/>
      </c>
      <c r="AF134" s="146"/>
      <c r="AG134" s="146"/>
      <c r="AH134" s="146"/>
      <c r="AI134" s="147" t="str">
        <f aca="false">IF($C134="","",IF(OR($L134="Pipeline",$N134&lt;0,$O134&gt;$N134+1,($V134+$X134+$Z134+$AB134)&gt;1.0001,ISNUMBER(SEARCH("not signed",$AF134))),"REVIEW","OK"))</f>
        <v/>
      </c>
    </row>
    <row r="135" customFormat="false" ht="13.5" hidden="false" customHeight="false" outlineLevel="0" collapsed="false">
      <c r="A135" s="95" t="str">
        <f aca="false">IF($C135="","",Controls!$B$7)</f>
        <v/>
      </c>
      <c r="B135" s="95" t="str">
        <f aca="false">IF($C135="","",Controls!$B$30)</f>
        <v/>
      </c>
      <c r="C135" s="95" t="str">
        <f aca="false">IF(MM_Income!$A138="","",MM_Income!$A138)</f>
        <v/>
      </c>
      <c r="D135" s="95" t="str">
        <f aca="false">IF($C135="","",INDEX(MM_Income!$B$5:$B$204,MATCH($C135,MM_Income!$A$5:$A$204,0)))</f>
        <v/>
      </c>
      <c r="E135" s="95" t="str">
        <f aca="false">IF($C135="","",INDEX(MM_Income!$C$5:$C$204,MATCH($C135,MM_Income!$A$5:$A$204,0)))</f>
        <v/>
      </c>
      <c r="F135" s="95" t="str">
        <f aca="false">IF($C135="","",INDEX(MM_Income!$F$5:$F$204,MATCH($C135,MM_Income!$A$5:$A$204,0)))</f>
        <v/>
      </c>
      <c r="G135" s="95" t="str">
        <f aca="false">IF($C135="","",INDEX(MM_Income!$G$5:$G$204,MATCH($C135,MM_Income!$A$5:$A$204,0)))</f>
        <v/>
      </c>
      <c r="H135" s="95" t="str">
        <f aca="false">IF($C135="","",INDEX(MM_Income!$H$5:$H$204,MATCH($C135,MM_Income!$A$5:$A$204,0)))</f>
        <v/>
      </c>
      <c r="I135" s="95" t="str">
        <f aca="false">IF($C135="","",INDEX(MM_Income!$I$5:$I$204,MATCH($C135,MM_Income!$A$5:$A$204,0)))</f>
        <v/>
      </c>
      <c r="J135" s="95" t="str">
        <f aca="false">IF($C135="","",INDEX(MM_Income!$D$5:$D$204,MATCH($C135,MM_Income!$A$5:$A$204,0)))</f>
        <v/>
      </c>
      <c r="K135" s="95" t="str">
        <f aca="false">IF($C135="","",INDEX(MM_Income!$E$5:$E$204,MATCH($C135,MM_Income!$A$5:$A$204,0)))</f>
        <v/>
      </c>
      <c r="L135" s="95" t="str">
        <f aca="false">IF($C135="","",INDEX(MM_Income!$U$5:$U$204,MATCH($C135,MM_Income!$A$5:$A$204,0)))</f>
        <v/>
      </c>
      <c r="M135" s="143" t="str">
        <f aca="false">IF($C135="","",INDEX(MM_Income!$V$5:$V$204,MATCH($C135,MM_Income!$A$5:$A$204,0)))</f>
        <v/>
      </c>
      <c r="N135" s="144" t="str">
        <f aca="false">IF($C135="","",INDEX(MM_Income!$T$5:$T$204,MATCH($C135,MM_Income!$A$5:$A$204,0)))</f>
        <v/>
      </c>
      <c r="O135" s="94" t="str">
        <f aca="false">IF($C135="","",-SUMIFS(Project_Activity!$P$2:$P$5000,Project_Activity!$C$2:$C$5000,$C135,Project_Activity!$U$2:$U$5000,"Invoiced Income",Project_Activity!$H$2:$H$5000,"&gt;="&amp;DATE(VALUE(LEFT($B135,4)),1,1),Project_Activity!$H$2:$H$5000,"&lt;="&amp;EOMONTH(DATE(VALUE(LEFT($B135,4)),VALUE(RIGHT($B135,1))*3,1),0)))</f>
        <v/>
      </c>
      <c r="P135" s="94" t="str">
        <f aca="false">IF($C135="","",SUMIFS(Project_Activity!$P$2:$P$5000,Project_Activity!$C$2:$C$5000,$C135,Project_Activity!$U$2:$U$5000,"Subcontractor",Project_Activity!$H$2:$H$5000,"&gt;="&amp;DATE(VALUE(LEFT($B135,4)),1,1),Project_Activity!$H$2:$H$5000,"&lt;="&amp;EOMONTH(DATE(VALUE(LEFT($B135,4)),VALUE(RIGHT($B135,1))*3,1),0)))</f>
        <v/>
      </c>
      <c r="Q135" s="94" t="str">
        <f aca="false">IF($C135="","",SUMIFS(Project_Activity!$P$2:$P$5000,Project_Activity!$C$2:$C$5000,$C135,Project_Activity!$U$2:$U$5000,"Project Inclusive",Project_Activity!$H$2:$H$5000,"&gt;="&amp;DATE(VALUE(LEFT($B135,4)),1,1),Project_Activity!$H$2:$H$5000,"&lt;="&amp;EOMONTH(DATE(VALUE(LEFT($B135,4)),VALUE(RIGHT($B135,1))*3,1),0)))</f>
        <v/>
      </c>
      <c r="R135" s="94" t="str">
        <f aca="false">IF($C135="","",SUMIFS(Project_Activity!$P$2:$P$5000,Project_Activity!$C$2:$C$5000,$C135,Project_Activity!$U$2:$U$5000,"Non-Recoverable",Project_Activity!$H$2:$H$5000,"&gt;="&amp;DATE(VALUE(LEFT($B135,4)),1,1),Project_Activity!$H$2:$H$5000,"&lt;="&amp;EOMONTH(DATE(VALUE(LEFT($B135,4)),VALUE(RIGHT($B135,1))*3,1),0)))</f>
        <v/>
      </c>
      <c r="S135" s="94" t="str">
        <f aca="false">IF($C135="","",$O135-$P135-$Q135-$R135)</f>
        <v/>
      </c>
      <c r="T135" s="94" t="str">
        <f aca="false">IF($C135="","",SUMIFS(Project_Activity!$P$2:$P$5000,Project_Activity!$C$2:$C$5000,$C135,Project_Activity!$U$2:$U$5000,"Recoverable",Project_Activity!$H$2:$H$5000,"&gt;="&amp;DATE(VALUE(LEFT($B135,4)),1,1),Project_Activity!$H$2:$H$5000,"&lt;="&amp;EOMONTH(DATE(VALUE(LEFT($B135,4)),VALUE(RIGHT($B135,1))*3,1),0)))</f>
        <v/>
      </c>
      <c r="U135" s="94" t="str">
        <f aca="false">IF($C135="","",-SUMIFS(Project_Activity!$P$2:$P$5000,Project_Activity!$C$2:$C$5000,$C135,Project_Activity!$U$2:$U$5000,"Recovered Expenses",Project_Activity!$H$2:$H$5000,"&gt;="&amp;DATE(VALUE(LEFT($B135,4)),1,1),Project_Activity!$H$2:$H$5000,"&lt;="&amp;EOMONTH(DATE(VALUE(LEFT($B135,4)),VALUE(RIGHT($B135,1))*3,1),0)))</f>
        <v/>
      </c>
      <c r="V135" s="145"/>
      <c r="W135" s="94" t="str">
        <f aca="false">IF($C135="","",$V135*$N135)</f>
        <v/>
      </c>
      <c r="X135" s="145"/>
      <c r="Y135" s="94" t="str">
        <f aca="false">IF($C135="","",$X135*$N135)</f>
        <v/>
      </c>
      <c r="Z135" s="145"/>
      <c r="AA135" s="94" t="str">
        <f aca="false">IF($C135="","",$Z135*$N135)</f>
        <v/>
      </c>
      <c r="AB135" s="145"/>
      <c r="AC135" s="94" t="str">
        <f aca="false">IF($C135="","",$AB135*$N135)</f>
        <v/>
      </c>
      <c r="AD135" s="94" t="str">
        <f aca="false">IF($C135="","",SUMPRODUCT((VALUE(MID($B135,7,1))&gt;={1,2,3,4})*CHOOSE({1,2,3,4},$W135,$Y135,$AA135,$AC135)))</f>
        <v/>
      </c>
      <c r="AE135" s="94" t="str">
        <f aca="false">IF($C135="","",$W135+$Y135+$AA135+$AC135-$AD135)</f>
        <v/>
      </c>
      <c r="AF135" s="146"/>
      <c r="AG135" s="146"/>
      <c r="AH135" s="146"/>
      <c r="AI135" s="147" t="str">
        <f aca="false">IF($C135="","",IF(OR($L135="Pipeline",$N135&lt;0,$O135&gt;$N135+1,($V135+$X135+$Z135+$AB135)&gt;1.0001,ISNUMBER(SEARCH("not signed",$AF135))),"REVIEW","OK"))</f>
        <v/>
      </c>
    </row>
    <row r="136" customFormat="false" ht="13.5" hidden="false" customHeight="false" outlineLevel="0" collapsed="false">
      <c r="A136" s="95" t="str">
        <f aca="false">IF($C136="","",Controls!$B$7)</f>
        <v/>
      </c>
      <c r="B136" s="95" t="str">
        <f aca="false">IF($C136="","",Controls!$B$30)</f>
        <v/>
      </c>
      <c r="C136" s="95" t="str">
        <f aca="false">IF(MM_Income!$A139="","",MM_Income!$A139)</f>
        <v/>
      </c>
      <c r="D136" s="95" t="str">
        <f aca="false">IF($C136="","",INDEX(MM_Income!$B$5:$B$204,MATCH($C136,MM_Income!$A$5:$A$204,0)))</f>
        <v/>
      </c>
      <c r="E136" s="95" t="str">
        <f aca="false">IF($C136="","",INDEX(MM_Income!$C$5:$C$204,MATCH($C136,MM_Income!$A$5:$A$204,0)))</f>
        <v/>
      </c>
      <c r="F136" s="95" t="str">
        <f aca="false">IF($C136="","",INDEX(MM_Income!$F$5:$F$204,MATCH($C136,MM_Income!$A$5:$A$204,0)))</f>
        <v/>
      </c>
      <c r="G136" s="95" t="str">
        <f aca="false">IF($C136="","",INDEX(MM_Income!$G$5:$G$204,MATCH($C136,MM_Income!$A$5:$A$204,0)))</f>
        <v/>
      </c>
      <c r="H136" s="95" t="str">
        <f aca="false">IF($C136="","",INDEX(MM_Income!$H$5:$H$204,MATCH($C136,MM_Income!$A$5:$A$204,0)))</f>
        <v/>
      </c>
      <c r="I136" s="95" t="str">
        <f aca="false">IF($C136="","",INDEX(MM_Income!$I$5:$I$204,MATCH($C136,MM_Income!$A$5:$A$204,0)))</f>
        <v/>
      </c>
      <c r="J136" s="95" t="str">
        <f aca="false">IF($C136="","",INDEX(MM_Income!$D$5:$D$204,MATCH($C136,MM_Income!$A$5:$A$204,0)))</f>
        <v/>
      </c>
      <c r="K136" s="95" t="str">
        <f aca="false">IF($C136="","",INDEX(MM_Income!$E$5:$E$204,MATCH($C136,MM_Income!$A$5:$A$204,0)))</f>
        <v/>
      </c>
      <c r="L136" s="95" t="str">
        <f aca="false">IF($C136="","",INDEX(MM_Income!$U$5:$U$204,MATCH($C136,MM_Income!$A$5:$A$204,0)))</f>
        <v/>
      </c>
      <c r="M136" s="143" t="str">
        <f aca="false">IF($C136="","",INDEX(MM_Income!$V$5:$V$204,MATCH($C136,MM_Income!$A$5:$A$204,0)))</f>
        <v/>
      </c>
      <c r="N136" s="144" t="str">
        <f aca="false">IF($C136="","",INDEX(MM_Income!$T$5:$T$204,MATCH($C136,MM_Income!$A$5:$A$204,0)))</f>
        <v/>
      </c>
      <c r="O136" s="94" t="str">
        <f aca="false">IF($C136="","",-SUMIFS(Project_Activity!$P$2:$P$5000,Project_Activity!$C$2:$C$5000,$C136,Project_Activity!$U$2:$U$5000,"Invoiced Income",Project_Activity!$H$2:$H$5000,"&gt;="&amp;DATE(VALUE(LEFT($B136,4)),1,1),Project_Activity!$H$2:$H$5000,"&lt;="&amp;EOMONTH(DATE(VALUE(LEFT($B136,4)),VALUE(RIGHT($B136,1))*3,1),0)))</f>
        <v/>
      </c>
      <c r="P136" s="94" t="str">
        <f aca="false">IF($C136="","",SUMIFS(Project_Activity!$P$2:$P$5000,Project_Activity!$C$2:$C$5000,$C136,Project_Activity!$U$2:$U$5000,"Subcontractor",Project_Activity!$H$2:$H$5000,"&gt;="&amp;DATE(VALUE(LEFT($B136,4)),1,1),Project_Activity!$H$2:$H$5000,"&lt;="&amp;EOMONTH(DATE(VALUE(LEFT($B136,4)),VALUE(RIGHT($B136,1))*3,1),0)))</f>
        <v/>
      </c>
      <c r="Q136" s="94" t="str">
        <f aca="false">IF($C136="","",SUMIFS(Project_Activity!$P$2:$P$5000,Project_Activity!$C$2:$C$5000,$C136,Project_Activity!$U$2:$U$5000,"Project Inclusive",Project_Activity!$H$2:$H$5000,"&gt;="&amp;DATE(VALUE(LEFT($B136,4)),1,1),Project_Activity!$H$2:$H$5000,"&lt;="&amp;EOMONTH(DATE(VALUE(LEFT($B136,4)),VALUE(RIGHT($B136,1))*3,1),0)))</f>
        <v/>
      </c>
      <c r="R136" s="94" t="str">
        <f aca="false">IF($C136="","",SUMIFS(Project_Activity!$P$2:$P$5000,Project_Activity!$C$2:$C$5000,$C136,Project_Activity!$U$2:$U$5000,"Non-Recoverable",Project_Activity!$H$2:$H$5000,"&gt;="&amp;DATE(VALUE(LEFT($B136,4)),1,1),Project_Activity!$H$2:$H$5000,"&lt;="&amp;EOMONTH(DATE(VALUE(LEFT($B136,4)),VALUE(RIGHT($B136,1))*3,1),0)))</f>
        <v/>
      </c>
      <c r="S136" s="94" t="str">
        <f aca="false">IF($C136="","",$O136-$P136-$Q136-$R136)</f>
        <v/>
      </c>
      <c r="T136" s="94" t="str">
        <f aca="false">IF($C136="","",SUMIFS(Project_Activity!$P$2:$P$5000,Project_Activity!$C$2:$C$5000,$C136,Project_Activity!$U$2:$U$5000,"Recoverable",Project_Activity!$H$2:$H$5000,"&gt;="&amp;DATE(VALUE(LEFT($B136,4)),1,1),Project_Activity!$H$2:$H$5000,"&lt;="&amp;EOMONTH(DATE(VALUE(LEFT($B136,4)),VALUE(RIGHT($B136,1))*3,1),0)))</f>
        <v/>
      </c>
      <c r="U136" s="94" t="str">
        <f aca="false">IF($C136="","",-SUMIFS(Project_Activity!$P$2:$P$5000,Project_Activity!$C$2:$C$5000,$C136,Project_Activity!$U$2:$U$5000,"Recovered Expenses",Project_Activity!$H$2:$H$5000,"&gt;="&amp;DATE(VALUE(LEFT($B136,4)),1,1),Project_Activity!$H$2:$H$5000,"&lt;="&amp;EOMONTH(DATE(VALUE(LEFT($B136,4)),VALUE(RIGHT($B136,1))*3,1),0)))</f>
        <v/>
      </c>
      <c r="V136" s="145"/>
      <c r="W136" s="94" t="str">
        <f aca="false">IF($C136="","",$V136*$N136)</f>
        <v/>
      </c>
      <c r="X136" s="145"/>
      <c r="Y136" s="94" t="str">
        <f aca="false">IF($C136="","",$X136*$N136)</f>
        <v/>
      </c>
      <c r="Z136" s="145"/>
      <c r="AA136" s="94" t="str">
        <f aca="false">IF($C136="","",$Z136*$N136)</f>
        <v/>
      </c>
      <c r="AB136" s="145"/>
      <c r="AC136" s="94" t="str">
        <f aca="false">IF($C136="","",$AB136*$N136)</f>
        <v/>
      </c>
      <c r="AD136" s="94" t="str">
        <f aca="false">IF($C136="","",SUMPRODUCT((VALUE(MID($B136,7,1))&gt;={1,2,3,4})*CHOOSE({1,2,3,4},$W136,$Y136,$AA136,$AC136)))</f>
        <v/>
      </c>
      <c r="AE136" s="94" t="str">
        <f aca="false">IF($C136="","",$W136+$Y136+$AA136+$AC136-$AD136)</f>
        <v/>
      </c>
      <c r="AF136" s="146"/>
      <c r="AG136" s="146"/>
      <c r="AH136" s="146"/>
      <c r="AI136" s="147" t="str">
        <f aca="false">IF($C136="","",IF(OR($L136="Pipeline",$N136&lt;0,$O136&gt;$N136+1,($V136+$X136+$Z136+$AB136)&gt;1.0001,ISNUMBER(SEARCH("not signed",$AF136))),"REVIEW","OK"))</f>
        <v/>
      </c>
    </row>
    <row r="137" customFormat="false" ht="13.5" hidden="false" customHeight="false" outlineLevel="0" collapsed="false">
      <c r="A137" s="95" t="str">
        <f aca="false">IF($C137="","",Controls!$B$7)</f>
        <v/>
      </c>
      <c r="B137" s="95" t="str">
        <f aca="false">IF($C137="","",Controls!$B$30)</f>
        <v/>
      </c>
      <c r="C137" s="95" t="str">
        <f aca="false">IF(MM_Income!$A140="","",MM_Income!$A140)</f>
        <v/>
      </c>
      <c r="D137" s="95" t="str">
        <f aca="false">IF($C137="","",INDEX(MM_Income!$B$5:$B$204,MATCH($C137,MM_Income!$A$5:$A$204,0)))</f>
        <v/>
      </c>
      <c r="E137" s="95" t="str">
        <f aca="false">IF($C137="","",INDEX(MM_Income!$C$5:$C$204,MATCH($C137,MM_Income!$A$5:$A$204,0)))</f>
        <v/>
      </c>
      <c r="F137" s="95" t="str">
        <f aca="false">IF($C137="","",INDEX(MM_Income!$F$5:$F$204,MATCH($C137,MM_Income!$A$5:$A$204,0)))</f>
        <v/>
      </c>
      <c r="G137" s="95" t="str">
        <f aca="false">IF($C137="","",INDEX(MM_Income!$G$5:$G$204,MATCH($C137,MM_Income!$A$5:$A$204,0)))</f>
        <v/>
      </c>
      <c r="H137" s="95" t="str">
        <f aca="false">IF($C137="","",INDEX(MM_Income!$H$5:$H$204,MATCH($C137,MM_Income!$A$5:$A$204,0)))</f>
        <v/>
      </c>
      <c r="I137" s="95" t="str">
        <f aca="false">IF($C137="","",INDEX(MM_Income!$I$5:$I$204,MATCH($C137,MM_Income!$A$5:$A$204,0)))</f>
        <v/>
      </c>
      <c r="J137" s="95" t="str">
        <f aca="false">IF($C137="","",INDEX(MM_Income!$D$5:$D$204,MATCH($C137,MM_Income!$A$5:$A$204,0)))</f>
        <v/>
      </c>
      <c r="K137" s="95" t="str">
        <f aca="false">IF($C137="","",INDEX(MM_Income!$E$5:$E$204,MATCH($C137,MM_Income!$A$5:$A$204,0)))</f>
        <v/>
      </c>
      <c r="L137" s="95" t="str">
        <f aca="false">IF($C137="","",INDEX(MM_Income!$U$5:$U$204,MATCH($C137,MM_Income!$A$5:$A$204,0)))</f>
        <v/>
      </c>
      <c r="M137" s="143" t="str">
        <f aca="false">IF($C137="","",INDEX(MM_Income!$V$5:$V$204,MATCH($C137,MM_Income!$A$5:$A$204,0)))</f>
        <v/>
      </c>
      <c r="N137" s="144" t="str">
        <f aca="false">IF($C137="","",INDEX(MM_Income!$T$5:$T$204,MATCH($C137,MM_Income!$A$5:$A$204,0)))</f>
        <v/>
      </c>
      <c r="O137" s="94" t="str">
        <f aca="false">IF($C137="","",-SUMIFS(Project_Activity!$P$2:$P$5000,Project_Activity!$C$2:$C$5000,$C137,Project_Activity!$U$2:$U$5000,"Invoiced Income",Project_Activity!$H$2:$H$5000,"&gt;="&amp;DATE(VALUE(LEFT($B137,4)),1,1),Project_Activity!$H$2:$H$5000,"&lt;="&amp;EOMONTH(DATE(VALUE(LEFT($B137,4)),VALUE(RIGHT($B137,1))*3,1),0)))</f>
        <v/>
      </c>
      <c r="P137" s="94" t="str">
        <f aca="false">IF($C137="","",SUMIFS(Project_Activity!$P$2:$P$5000,Project_Activity!$C$2:$C$5000,$C137,Project_Activity!$U$2:$U$5000,"Subcontractor",Project_Activity!$H$2:$H$5000,"&gt;="&amp;DATE(VALUE(LEFT($B137,4)),1,1),Project_Activity!$H$2:$H$5000,"&lt;="&amp;EOMONTH(DATE(VALUE(LEFT($B137,4)),VALUE(RIGHT($B137,1))*3,1),0)))</f>
        <v/>
      </c>
      <c r="Q137" s="94" t="str">
        <f aca="false">IF($C137="","",SUMIFS(Project_Activity!$P$2:$P$5000,Project_Activity!$C$2:$C$5000,$C137,Project_Activity!$U$2:$U$5000,"Project Inclusive",Project_Activity!$H$2:$H$5000,"&gt;="&amp;DATE(VALUE(LEFT($B137,4)),1,1),Project_Activity!$H$2:$H$5000,"&lt;="&amp;EOMONTH(DATE(VALUE(LEFT($B137,4)),VALUE(RIGHT($B137,1))*3,1),0)))</f>
        <v/>
      </c>
      <c r="R137" s="94" t="str">
        <f aca="false">IF($C137="","",SUMIFS(Project_Activity!$P$2:$P$5000,Project_Activity!$C$2:$C$5000,$C137,Project_Activity!$U$2:$U$5000,"Non-Recoverable",Project_Activity!$H$2:$H$5000,"&gt;="&amp;DATE(VALUE(LEFT($B137,4)),1,1),Project_Activity!$H$2:$H$5000,"&lt;="&amp;EOMONTH(DATE(VALUE(LEFT($B137,4)),VALUE(RIGHT($B137,1))*3,1),0)))</f>
        <v/>
      </c>
      <c r="S137" s="94" t="str">
        <f aca="false">IF($C137="","",$O137-$P137-$Q137-$R137)</f>
        <v/>
      </c>
      <c r="T137" s="94" t="str">
        <f aca="false">IF($C137="","",SUMIFS(Project_Activity!$P$2:$P$5000,Project_Activity!$C$2:$C$5000,$C137,Project_Activity!$U$2:$U$5000,"Recoverable",Project_Activity!$H$2:$H$5000,"&gt;="&amp;DATE(VALUE(LEFT($B137,4)),1,1),Project_Activity!$H$2:$H$5000,"&lt;="&amp;EOMONTH(DATE(VALUE(LEFT($B137,4)),VALUE(RIGHT($B137,1))*3,1),0)))</f>
        <v/>
      </c>
      <c r="U137" s="94" t="str">
        <f aca="false">IF($C137="","",-SUMIFS(Project_Activity!$P$2:$P$5000,Project_Activity!$C$2:$C$5000,$C137,Project_Activity!$U$2:$U$5000,"Recovered Expenses",Project_Activity!$H$2:$H$5000,"&gt;="&amp;DATE(VALUE(LEFT($B137,4)),1,1),Project_Activity!$H$2:$H$5000,"&lt;="&amp;EOMONTH(DATE(VALUE(LEFT($B137,4)),VALUE(RIGHT($B137,1))*3,1),0)))</f>
        <v/>
      </c>
      <c r="V137" s="145"/>
      <c r="W137" s="94" t="str">
        <f aca="false">IF($C137="","",$V137*$N137)</f>
        <v/>
      </c>
      <c r="X137" s="145"/>
      <c r="Y137" s="94" t="str">
        <f aca="false">IF($C137="","",$X137*$N137)</f>
        <v/>
      </c>
      <c r="Z137" s="145"/>
      <c r="AA137" s="94" t="str">
        <f aca="false">IF($C137="","",$Z137*$N137)</f>
        <v/>
      </c>
      <c r="AB137" s="145"/>
      <c r="AC137" s="94" t="str">
        <f aca="false">IF($C137="","",$AB137*$N137)</f>
        <v/>
      </c>
      <c r="AD137" s="94" t="str">
        <f aca="false">IF($C137="","",SUMPRODUCT((VALUE(MID($B137,7,1))&gt;={1,2,3,4})*CHOOSE({1,2,3,4},$W137,$Y137,$AA137,$AC137)))</f>
        <v/>
      </c>
      <c r="AE137" s="94" t="str">
        <f aca="false">IF($C137="","",$W137+$Y137+$AA137+$AC137-$AD137)</f>
        <v/>
      </c>
      <c r="AF137" s="146"/>
      <c r="AG137" s="146"/>
      <c r="AH137" s="146"/>
      <c r="AI137" s="147" t="str">
        <f aca="false">IF($C137="","",IF(OR($L137="Pipeline",$N137&lt;0,$O137&gt;$N137+1,($V137+$X137+$Z137+$AB137)&gt;1.0001,ISNUMBER(SEARCH("not signed",$AF137))),"REVIEW","OK"))</f>
        <v/>
      </c>
    </row>
    <row r="138" customFormat="false" ht="13.5" hidden="false" customHeight="false" outlineLevel="0" collapsed="false">
      <c r="A138" s="95" t="str">
        <f aca="false">IF($C138="","",Controls!$B$7)</f>
        <v/>
      </c>
      <c r="B138" s="95" t="str">
        <f aca="false">IF($C138="","",Controls!$B$30)</f>
        <v/>
      </c>
      <c r="C138" s="95" t="str">
        <f aca="false">IF(MM_Income!$A141="","",MM_Income!$A141)</f>
        <v/>
      </c>
      <c r="D138" s="95" t="str">
        <f aca="false">IF($C138="","",INDEX(MM_Income!$B$5:$B$204,MATCH($C138,MM_Income!$A$5:$A$204,0)))</f>
        <v/>
      </c>
      <c r="E138" s="95" t="str">
        <f aca="false">IF($C138="","",INDEX(MM_Income!$C$5:$C$204,MATCH($C138,MM_Income!$A$5:$A$204,0)))</f>
        <v/>
      </c>
      <c r="F138" s="95" t="str">
        <f aca="false">IF($C138="","",INDEX(MM_Income!$F$5:$F$204,MATCH($C138,MM_Income!$A$5:$A$204,0)))</f>
        <v/>
      </c>
      <c r="G138" s="95" t="str">
        <f aca="false">IF($C138="","",INDEX(MM_Income!$G$5:$G$204,MATCH($C138,MM_Income!$A$5:$A$204,0)))</f>
        <v/>
      </c>
      <c r="H138" s="95" t="str">
        <f aca="false">IF($C138="","",INDEX(MM_Income!$H$5:$H$204,MATCH($C138,MM_Income!$A$5:$A$204,0)))</f>
        <v/>
      </c>
      <c r="I138" s="95" t="str">
        <f aca="false">IF($C138="","",INDEX(MM_Income!$I$5:$I$204,MATCH($C138,MM_Income!$A$5:$A$204,0)))</f>
        <v/>
      </c>
      <c r="J138" s="95" t="str">
        <f aca="false">IF($C138="","",INDEX(MM_Income!$D$5:$D$204,MATCH($C138,MM_Income!$A$5:$A$204,0)))</f>
        <v/>
      </c>
      <c r="K138" s="95" t="str">
        <f aca="false">IF($C138="","",INDEX(MM_Income!$E$5:$E$204,MATCH($C138,MM_Income!$A$5:$A$204,0)))</f>
        <v/>
      </c>
      <c r="L138" s="95" t="str">
        <f aca="false">IF($C138="","",INDEX(MM_Income!$U$5:$U$204,MATCH($C138,MM_Income!$A$5:$A$204,0)))</f>
        <v/>
      </c>
      <c r="M138" s="143" t="str">
        <f aca="false">IF($C138="","",INDEX(MM_Income!$V$5:$V$204,MATCH($C138,MM_Income!$A$5:$A$204,0)))</f>
        <v/>
      </c>
      <c r="N138" s="144" t="str">
        <f aca="false">IF($C138="","",INDEX(MM_Income!$T$5:$T$204,MATCH($C138,MM_Income!$A$5:$A$204,0)))</f>
        <v/>
      </c>
      <c r="O138" s="94" t="str">
        <f aca="false">IF($C138="","",-SUMIFS(Project_Activity!$P$2:$P$5000,Project_Activity!$C$2:$C$5000,$C138,Project_Activity!$U$2:$U$5000,"Invoiced Income",Project_Activity!$H$2:$H$5000,"&gt;="&amp;DATE(VALUE(LEFT($B138,4)),1,1),Project_Activity!$H$2:$H$5000,"&lt;="&amp;EOMONTH(DATE(VALUE(LEFT($B138,4)),VALUE(RIGHT($B138,1))*3,1),0)))</f>
        <v/>
      </c>
      <c r="P138" s="94" t="str">
        <f aca="false">IF($C138="","",SUMIFS(Project_Activity!$P$2:$P$5000,Project_Activity!$C$2:$C$5000,$C138,Project_Activity!$U$2:$U$5000,"Subcontractor",Project_Activity!$H$2:$H$5000,"&gt;="&amp;DATE(VALUE(LEFT($B138,4)),1,1),Project_Activity!$H$2:$H$5000,"&lt;="&amp;EOMONTH(DATE(VALUE(LEFT($B138,4)),VALUE(RIGHT($B138,1))*3,1),0)))</f>
        <v/>
      </c>
      <c r="Q138" s="94" t="str">
        <f aca="false">IF($C138="","",SUMIFS(Project_Activity!$P$2:$P$5000,Project_Activity!$C$2:$C$5000,$C138,Project_Activity!$U$2:$U$5000,"Project Inclusive",Project_Activity!$H$2:$H$5000,"&gt;="&amp;DATE(VALUE(LEFT($B138,4)),1,1),Project_Activity!$H$2:$H$5000,"&lt;="&amp;EOMONTH(DATE(VALUE(LEFT($B138,4)),VALUE(RIGHT($B138,1))*3,1),0)))</f>
        <v/>
      </c>
      <c r="R138" s="94" t="str">
        <f aca="false">IF($C138="","",SUMIFS(Project_Activity!$P$2:$P$5000,Project_Activity!$C$2:$C$5000,$C138,Project_Activity!$U$2:$U$5000,"Non-Recoverable",Project_Activity!$H$2:$H$5000,"&gt;="&amp;DATE(VALUE(LEFT($B138,4)),1,1),Project_Activity!$H$2:$H$5000,"&lt;="&amp;EOMONTH(DATE(VALUE(LEFT($B138,4)),VALUE(RIGHT($B138,1))*3,1),0)))</f>
        <v/>
      </c>
      <c r="S138" s="94" t="str">
        <f aca="false">IF($C138="","",$O138-$P138-$Q138-$R138)</f>
        <v/>
      </c>
      <c r="T138" s="94" t="str">
        <f aca="false">IF($C138="","",SUMIFS(Project_Activity!$P$2:$P$5000,Project_Activity!$C$2:$C$5000,$C138,Project_Activity!$U$2:$U$5000,"Recoverable",Project_Activity!$H$2:$H$5000,"&gt;="&amp;DATE(VALUE(LEFT($B138,4)),1,1),Project_Activity!$H$2:$H$5000,"&lt;="&amp;EOMONTH(DATE(VALUE(LEFT($B138,4)),VALUE(RIGHT($B138,1))*3,1),0)))</f>
        <v/>
      </c>
      <c r="U138" s="94" t="str">
        <f aca="false">IF($C138="","",-SUMIFS(Project_Activity!$P$2:$P$5000,Project_Activity!$C$2:$C$5000,$C138,Project_Activity!$U$2:$U$5000,"Recovered Expenses",Project_Activity!$H$2:$H$5000,"&gt;="&amp;DATE(VALUE(LEFT($B138,4)),1,1),Project_Activity!$H$2:$H$5000,"&lt;="&amp;EOMONTH(DATE(VALUE(LEFT($B138,4)),VALUE(RIGHT($B138,1))*3,1),0)))</f>
        <v/>
      </c>
      <c r="V138" s="145"/>
      <c r="W138" s="94" t="str">
        <f aca="false">IF($C138="","",$V138*$N138)</f>
        <v/>
      </c>
      <c r="X138" s="145"/>
      <c r="Y138" s="94" t="str">
        <f aca="false">IF($C138="","",$X138*$N138)</f>
        <v/>
      </c>
      <c r="Z138" s="145"/>
      <c r="AA138" s="94" t="str">
        <f aca="false">IF($C138="","",$Z138*$N138)</f>
        <v/>
      </c>
      <c r="AB138" s="145"/>
      <c r="AC138" s="94" t="str">
        <f aca="false">IF($C138="","",$AB138*$N138)</f>
        <v/>
      </c>
      <c r="AD138" s="94" t="str">
        <f aca="false">IF($C138="","",SUMPRODUCT((VALUE(MID($B138,7,1))&gt;={1,2,3,4})*CHOOSE({1,2,3,4},$W138,$Y138,$AA138,$AC138)))</f>
        <v/>
      </c>
      <c r="AE138" s="94" t="str">
        <f aca="false">IF($C138="","",$W138+$Y138+$AA138+$AC138-$AD138)</f>
        <v/>
      </c>
      <c r="AF138" s="146"/>
      <c r="AG138" s="146"/>
      <c r="AH138" s="146"/>
      <c r="AI138" s="147" t="str">
        <f aca="false">IF($C138="","",IF(OR($L138="Pipeline",$N138&lt;0,$O138&gt;$N138+1,($V138+$X138+$Z138+$AB138)&gt;1.0001,ISNUMBER(SEARCH("not signed",$AF138))),"REVIEW","OK"))</f>
        <v/>
      </c>
    </row>
    <row r="139" customFormat="false" ht="13.5" hidden="false" customHeight="false" outlineLevel="0" collapsed="false">
      <c r="A139" s="95" t="str">
        <f aca="false">IF($C139="","",Controls!$B$7)</f>
        <v/>
      </c>
      <c r="B139" s="95" t="str">
        <f aca="false">IF($C139="","",Controls!$B$30)</f>
        <v/>
      </c>
      <c r="C139" s="95" t="str">
        <f aca="false">IF(MM_Income!$A142="","",MM_Income!$A142)</f>
        <v/>
      </c>
      <c r="D139" s="95" t="str">
        <f aca="false">IF($C139="","",INDEX(MM_Income!$B$5:$B$204,MATCH($C139,MM_Income!$A$5:$A$204,0)))</f>
        <v/>
      </c>
      <c r="E139" s="95" t="str">
        <f aca="false">IF($C139="","",INDEX(MM_Income!$C$5:$C$204,MATCH($C139,MM_Income!$A$5:$A$204,0)))</f>
        <v/>
      </c>
      <c r="F139" s="95" t="str">
        <f aca="false">IF($C139="","",INDEX(MM_Income!$F$5:$F$204,MATCH($C139,MM_Income!$A$5:$A$204,0)))</f>
        <v/>
      </c>
      <c r="G139" s="95" t="str">
        <f aca="false">IF($C139="","",INDEX(MM_Income!$G$5:$G$204,MATCH($C139,MM_Income!$A$5:$A$204,0)))</f>
        <v/>
      </c>
      <c r="H139" s="95" t="str">
        <f aca="false">IF($C139="","",INDEX(MM_Income!$H$5:$H$204,MATCH($C139,MM_Income!$A$5:$A$204,0)))</f>
        <v/>
      </c>
      <c r="I139" s="95" t="str">
        <f aca="false">IF($C139="","",INDEX(MM_Income!$I$5:$I$204,MATCH($C139,MM_Income!$A$5:$A$204,0)))</f>
        <v/>
      </c>
      <c r="J139" s="95" t="str">
        <f aca="false">IF($C139="","",INDEX(MM_Income!$D$5:$D$204,MATCH($C139,MM_Income!$A$5:$A$204,0)))</f>
        <v/>
      </c>
      <c r="K139" s="95" t="str">
        <f aca="false">IF($C139="","",INDEX(MM_Income!$E$5:$E$204,MATCH($C139,MM_Income!$A$5:$A$204,0)))</f>
        <v/>
      </c>
      <c r="L139" s="95" t="str">
        <f aca="false">IF($C139="","",INDEX(MM_Income!$U$5:$U$204,MATCH($C139,MM_Income!$A$5:$A$204,0)))</f>
        <v/>
      </c>
      <c r="M139" s="143" t="str">
        <f aca="false">IF($C139="","",INDEX(MM_Income!$V$5:$V$204,MATCH($C139,MM_Income!$A$5:$A$204,0)))</f>
        <v/>
      </c>
      <c r="N139" s="144" t="str">
        <f aca="false">IF($C139="","",INDEX(MM_Income!$T$5:$T$204,MATCH($C139,MM_Income!$A$5:$A$204,0)))</f>
        <v/>
      </c>
      <c r="O139" s="94" t="str">
        <f aca="false">IF($C139="","",-SUMIFS(Project_Activity!$P$2:$P$5000,Project_Activity!$C$2:$C$5000,$C139,Project_Activity!$U$2:$U$5000,"Invoiced Income",Project_Activity!$H$2:$H$5000,"&gt;="&amp;DATE(VALUE(LEFT($B139,4)),1,1),Project_Activity!$H$2:$H$5000,"&lt;="&amp;EOMONTH(DATE(VALUE(LEFT($B139,4)),VALUE(RIGHT($B139,1))*3,1),0)))</f>
        <v/>
      </c>
      <c r="P139" s="94" t="str">
        <f aca="false">IF($C139="","",SUMIFS(Project_Activity!$P$2:$P$5000,Project_Activity!$C$2:$C$5000,$C139,Project_Activity!$U$2:$U$5000,"Subcontractor",Project_Activity!$H$2:$H$5000,"&gt;="&amp;DATE(VALUE(LEFT($B139,4)),1,1),Project_Activity!$H$2:$H$5000,"&lt;="&amp;EOMONTH(DATE(VALUE(LEFT($B139,4)),VALUE(RIGHT($B139,1))*3,1),0)))</f>
        <v/>
      </c>
      <c r="Q139" s="94" t="str">
        <f aca="false">IF($C139="","",SUMIFS(Project_Activity!$P$2:$P$5000,Project_Activity!$C$2:$C$5000,$C139,Project_Activity!$U$2:$U$5000,"Project Inclusive",Project_Activity!$H$2:$H$5000,"&gt;="&amp;DATE(VALUE(LEFT($B139,4)),1,1),Project_Activity!$H$2:$H$5000,"&lt;="&amp;EOMONTH(DATE(VALUE(LEFT($B139,4)),VALUE(RIGHT($B139,1))*3,1),0)))</f>
        <v/>
      </c>
      <c r="R139" s="94" t="str">
        <f aca="false">IF($C139="","",SUMIFS(Project_Activity!$P$2:$P$5000,Project_Activity!$C$2:$C$5000,$C139,Project_Activity!$U$2:$U$5000,"Non-Recoverable",Project_Activity!$H$2:$H$5000,"&gt;="&amp;DATE(VALUE(LEFT($B139,4)),1,1),Project_Activity!$H$2:$H$5000,"&lt;="&amp;EOMONTH(DATE(VALUE(LEFT($B139,4)),VALUE(RIGHT($B139,1))*3,1),0)))</f>
        <v/>
      </c>
      <c r="S139" s="94" t="str">
        <f aca="false">IF($C139="","",$O139-$P139-$Q139-$R139)</f>
        <v/>
      </c>
      <c r="T139" s="94" t="str">
        <f aca="false">IF($C139="","",SUMIFS(Project_Activity!$P$2:$P$5000,Project_Activity!$C$2:$C$5000,$C139,Project_Activity!$U$2:$U$5000,"Recoverable",Project_Activity!$H$2:$H$5000,"&gt;="&amp;DATE(VALUE(LEFT($B139,4)),1,1),Project_Activity!$H$2:$H$5000,"&lt;="&amp;EOMONTH(DATE(VALUE(LEFT($B139,4)),VALUE(RIGHT($B139,1))*3,1),0)))</f>
        <v/>
      </c>
      <c r="U139" s="94" t="str">
        <f aca="false">IF($C139="","",-SUMIFS(Project_Activity!$P$2:$P$5000,Project_Activity!$C$2:$C$5000,$C139,Project_Activity!$U$2:$U$5000,"Recovered Expenses",Project_Activity!$H$2:$H$5000,"&gt;="&amp;DATE(VALUE(LEFT($B139,4)),1,1),Project_Activity!$H$2:$H$5000,"&lt;="&amp;EOMONTH(DATE(VALUE(LEFT($B139,4)),VALUE(RIGHT($B139,1))*3,1),0)))</f>
        <v/>
      </c>
      <c r="V139" s="145"/>
      <c r="W139" s="94" t="str">
        <f aca="false">IF($C139="","",$V139*$N139)</f>
        <v/>
      </c>
      <c r="X139" s="145"/>
      <c r="Y139" s="94" t="str">
        <f aca="false">IF($C139="","",$X139*$N139)</f>
        <v/>
      </c>
      <c r="Z139" s="145"/>
      <c r="AA139" s="94" t="str">
        <f aca="false">IF($C139="","",$Z139*$N139)</f>
        <v/>
      </c>
      <c r="AB139" s="145"/>
      <c r="AC139" s="94" t="str">
        <f aca="false">IF($C139="","",$AB139*$N139)</f>
        <v/>
      </c>
      <c r="AD139" s="94" t="str">
        <f aca="false">IF($C139="","",SUMPRODUCT((VALUE(MID($B139,7,1))&gt;={1,2,3,4})*CHOOSE({1,2,3,4},$W139,$Y139,$AA139,$AC139)))</f>
        <v/>
      </c>
      <c r="AE139" s="94" t="str">
        <f aca="false">IF($C139="","",$W139+$Y139+$AA139+$AC139-$AD139)</f>
        <v/>
      </c>
      <c r="AF139" s="146"/>
      <c r="AG139" s="146"/>
      <c r="AH139" s="146"/>
      <c r="AI139" s="147" t="str">
        <f aca="false">IF($C139="","",IF(OR($L139="Pipeline",$N139&lt;0,$O139&gt;$N139+1,($V139+$X139+$Z139+$AB139)&gt;1.0001,ISNUMBER(SEARCH("not signed",$AF139))),"REVIEW","OK"))</f>
        <v/>
      </c>
    </row>
    <row r="140" customFormat="false" ht="13.5" hidden="false" customHeight="false" outlineLevel="0" collapsed="false">
      <c r="A140" s="95" t="str">
        <f aca="false">IF($C140="","",Controls!$B$7)</f>
        <v/>
      </c>
      <c r="B140" s="95" t="str">
        <f aca="false">IF($C140="","",Controls!$B$30)</f>
        <v/>
      </c>
      <c r="C140" s="95" t="str">
        <f aca="false">IF(MM_Income!$A143="","",MM_Income!$A143)</f>
        <v/>
      </c>
      <c r="D140" s="95" t="str">
        <f aca="false">IF($C140="","",INDEX(MM_Income!$B$5:$B$204,MATCH($C140,MM_Income!$A$5:$A$204,0)))</f>
        <v/>
      </c>
      <c r="E140" s="95" t="str">
        <f aca="false">IF($C140="","",INDEX(MM_Income!$C$5:$C$204,MATCH($C140,MM_Income!$A$5:$A$204,0)))</f>
        <v/>
      </c>
      <c r="F140" s="95" t="str">
        <f aca="false">IF($C140="","",INDEX(MM_Income!$F$5:$F$204,MATCH($C140,MM_Income!$A$5:$A$204,0)))</f>
        <v/>
      </c>
      <c r="G140" s="95" t="str">
        <f aca="false">IF($C140="","",INDEX(MM_Income!$G$5:$G$204,MATCH($C140,MM_Income!$A$5:$A$204,0)))</f>
        <v/>
      </c>
      <c r="H140" s="95" t="str">
        <f aca="false">IF($C140="","",INDEX(MM_Income!$H$5:$H$204,MATCH($C140,MM_Income!$A$5:$A$204,0)))</f>
        <v/>
      </c>
      <c r="I140" s="95" t="str">
        <f aca="false">IF($C140="","",INDEX(MM_Income!$I$5:$I$204,MATCH($C140,MM_Income!$A$5:$A$204,0)))</f>
        <v/>
      </c>
      <c r="J140" s="95" t="str">
        <f aca="false">IF($C140="","",INDEX(MM_Income!$D$5:$D$204,MATCH($C140,MM_Income!$A$5:$A$204,0)))</f>
        <v/>
      </c>
      <c r="K140" s="95" t="str">
        <f aca="false">IF($C140="","",INDEX(MM_Income!$E$5:$E$204,MATCH($C140,MM_Income!$A$5:$A$204,0)))</f>
        <v/>
      </c>
      <c r="L140" s="95" t="str">
        <f aca="false">IF($C140="","",INDEX(MM_Income!$U$5:$U$204,MATCH($C140,MM_Income!$A$5:$A$204,0)))</f>
        <v/>
      </c>
      <c r="M140" s="143" t="str">
        <f aca="false">IF($C140="","",INDEX(MM_Income!$V$5:$V$204,MATCH($C140,MM_Income!$A$5:$A$204,0)))</f>
        <v/>
      </c>
      <c r="N140" s="144" t="str">
        <f aca="false">IF($C140="","",INDEX(MM_Income!$T$5:$T$204,MATCH($C140,MM_Income!$A$5:$A$204,0)))</f>
        <v/>
      </c>
      <c r="O140" s="94" t="str">
        <f aca="false">IF($C140="","",-SUMIFS(Project_Activity!$P$2:$P$5000,Project_Activity!$C$2:$C$5000,$C140,Project_Activity!$U$2:$U$5000,"Invoiced Income",Project_Activity!$H$2:$H$5000,"&gt;="&amp;DATE(VALUE(LEFT($B140,4)),1,1),Project_Activity!$H$2:$H$5000,"&lt;="&amp;EOMONTH(DATE(VALUE(LEFT($B140,4)),VALUE(RIGHT($B140,1))*3,1),0)))</f>
        <v/>
      </c>
      <c r="P140" s="94" t="str">
        <f aca="false">IF($C140="","",SUMIFS(Project_Activity!$P$2:$P$5000,Project_Activity!$C$2:$C$5000,$C140,Project_Activity!$U$2:$U$5000,"Subcontractor",Project_Activity!$H$2:$H$5000,"&gt;="&amp;DATE(VALUE(LEFT($B140,4)),1,1),Project_Activity!$H$2:$H$5000,"&lt;="&amp;EOMONTH(DATE(VALUE(LEFT($B140,4)),VALUE(RIGHT($B140,1))*3,1),0)))</f>
        <v/>
      </c>
      <c r="Q140" s="94" t="str">
        <f aca="false">IF($C140="","",SUMIFS(Project_Activity!$P$2:$P$5000,Project_Activity!$C$2:$C$5000,$C140,Project_Activity!$U$2:$U$5000,"Project Inclusive",Project_Activity!$H$2:$H$5000,"&gt;="&amp;DATE(VALUE(LEFT($B140,4)),1,1),Project_Activity!$H$2:$H$5000,"&lt;="&amp;EOMONTH(DATE(VALUE(LEFT($B140,4)),VALUE(RIGHT($B140,1))*3,1),0)))</f>
        <v/>
      </c>
      <c r="R140" s="94" t="str">
        <f aca="false">IF($C140="","",SUMIFS(Project_Activity!$P$2:$P$5000,Project_Activity!$C$2:$C$5000,$C140,Project_Activity!$U$2:$U$5000,"Non-Recoverable",Project_Activity!$H$2:$H$5000,"&gt;="&amp;DATE(VALUE(LEFT($B140,4)),1,1),Project_Activity!$H$2:$H$5000,"&lt;="&amp;EOMONTH(DATE(VALUE(LEFT($B140,4)),VALUE(RIGHT($B140,1))*3,1),0)))</f>
        <v/>
      </c>
      <c r="S140" s="94" t="str">
        <f aca="false">IF($C140="","",$O140-$P140-$Q140-$R140)</f>
        <v/>
      </c>
      <c r="T140" s="94" t="str">
        <f aca="false">IF($C140="","",SUMIFS(Project_Activity!$P$2:$P$5000,Project_Activity!$C$2:$C$5000,$C140,Project_Activity!$U$2:$U$5000,"Recoverable",Project_Activity!$H$2:$H$5000,"&gt;="&amp;DATE(VALUE(LEFT($B140,4)),1,1),Project_Activity!$H$2:$H$5000,"&lt;="&amp;EOMONTH(DATE(VALUE(LEFT($B140,4)),VALUE(RIGHT($B140,1))*3,1),0)))</f>
        <v/>
      </c>
      <c r="U140" s="94" t="str">
        <f aca="false">IF($C140="","",-SUMIFS(Project_Activity!$P$2:$P$5000,Project_Activity!$C$2:$C$5000,$C140,Project_Activity!$U$2:$U$5000,"Recovered Expenses",Project_Activity!$H$2:$H$5000,"&gt;="&amp;DATE(VALUE(LEFT($B140,4)),1,1),Project_Activity!$H$2:$H$5000,"&lt;="&amp;EOMONTH(DATE(VALUE(LEFT($B140,4)),VALUE(RIGHT($B140,1))*3,1),0)))</f>
        <v/>
      </c>
      <c r="V140" s="145"/>
      <c r="W140" s="94" t="str">
        <f aca="false">IF($C140="","",$V140*$N140)</f>
        <v/>
      </c>
      <c r="X140" s="145"/>
      <c r="Y140" s="94" t="str">
        <f aca="false">IF($C140="","",$X140*$N140)</f>
        <v/>
      </c>
      <c r="Z140" s="145"/>
      <c r="AA140" s="94" t="str">
        <f aca="false">IF($C140="","",$Z140*$N140)</f>
        <v/>
      </c>
      <c r="AB140" s="145"/>
      <c r="AC140" s="94" t="str">
        <f aca="false">IF($C140="","",$AB140*$N140)</f>
        <v/>
      </c>
      <c r="AD140" s="94" t="str">
        <f aca="false">IF($C140="","",SUMPRODUCT((VALUE(MID($B140,7,1))&gt;={1,2,3,4})*CHOOSE({1,2,3,4},$W140,$Y140,$AA140,$AC140)))</f>
        <v/>
      </c>
      <c r="AE140" s="94" t="str">
        <f aca="false">IF($C140="","",$W140+$Y140+$AA140+$AC140-$AD140)</f>
        <v/>
      </c>
      <c r="AF140" s="146"/>
      <c r="AG140" s="146"/>
      <c r="AH140" s="146"/>
      <c r="AI140" s="147" t="str">
        <f aca="false">IF($C140="","",IF(OR($L140="Pipeline",$N140&lt;0,$O140&gt;$N140+1,($V140+$X140+$Z140+$AB140)&gt;1.0001,ISNUMBER(SEARCH("not signed",$AF140))),"REVIEW","OK"))</f>
        <v/>
      </c>
    </row>
    <row r="141" customFormat="false" ht="13.5" hidden="false" customHeight="false" outlineLevel="0" collapsed="false">
      <c r="A141" s="95" t="str">
        <f aca="false">IF($C141="","",Controls!$B$7)</f>
        <v/>
      </c>
      <c r="B141" s="95" t="str">
        <f aca="false">IF($C141="","",Controls!$B$30)</f>
        <v/>
      </c>
      <c r="C141" s="95" t="str">
        <f aca="false">IF(MM_Income!$A144="","",MM_Income!$A144)</f>
        <v/>
      </c>
      <c r="D141" s="95" t="str">
        <f aca="false">IF($C141="","",INDEX(MM_Income!$B$5:$B$204,MATCH($C141,MM_Income!$A$5:$A$204,0)))</f>
        <v/>
      </c>
      <c r="E141" s="95" t="str">
        <f aca="false">IF($C141="","",INDEX(MM_Income!$C$5:$C$204,MATCH($C141,MM_Income!$A$5:$A$204,0)))</f>
        <v/>
      </c>
      <c r="F141" s="95" t="str">
        <f aca="false">IF($C141="","",INDEX(MM_Income!$F$5:$F$204,MATCH($C141,MM_Income!$A$5:$A$204,0)))</f>
        <v/>
      </c>
      <c r="G141" s="95" t="str">
        <f aca="false">IF($C141="","",INDEX(MM_Income!$G$5:$G$204,MATCH($C141,MM_Income!$A$5:$A$204,0)))</f>
        <v/>
      </c>
      <c r="H141" s="95" t="str">
        <f aca="false">IF($C141="","",INDEX(MM_Income!$H$5:$H$204,MATCH($C141,MM_Income!$A$5:$A$204,0)))</f>
        <v/>
      </c>
      <c r="I141" s="95" t="str">
        <f aca="false">IF($C141="","",INDEX(MM_Income!$I$5:$I$204,MATCH($C141,MM_Income!$A$5:$A$204,0)))</f>
        <v/>
      </c>
      <c r="J141" s="95" t="str">
        <f aca="false">IF($C141="","",INDEX(MM_Income!$D$5:$D$204,MATCH($C141,MM_Income!$A$5:$A$204,0)))</f>
        <v/>
      </c>
      <c r="K141" s="95" t="str">
        <f aca="false">IF($C141="","",INDEX(MM_Income!$E$5:$E$204,MATCH($C141,MM_Income!$A$5:$A$204,0)))</f>
        <v/>
      </c>
      <c r="L141" s="95" t="str">
        <f aca="false">IF($C141="","",INDEX(MM_Income!$U$5:$U$204,MATCH($C141,MM_Income!$A$5:$A$204,0)))</f>
        <v/>
      </c>
      <c r="M141" s="143" t="str">
        <f aca="false">IF($C141="","",INDEX(MM_Income!$V$5:$V$204,MATCH($C141,MM_Income!$A$5:$A$204,0)))</f>
        <v/>
      </c>
      <c r="N141" s="144" t="str">
        <f aca="false">IF($C141="","",INDEX(MM_Income!$T$5:$T$204,MATCH($C141,MM_Income!$A$5:$A$204,0)))</f>
        <v/>
      </c>
      <c r="O141" s="94" t="str">
        <f aca="false">IF($C141="","",-SUMIFS(Project_Activity!$P$2:$P$5000,Project_Activity!$C$2:$C$5000,$C141,Project_Activity!$U$2:$U$5000,"Invoiced Income",Project_Activity!$H$2:$H$5000,"&gt;="&amp;DATE(VALUE(LEFT($B141,4)),1,1),Project_Activity!$H$2:$H$5000,"&lt;="&amp;EOMONTH(DATE(VALUE(LEFT($B141,4)),VALUE(RIGHT($B141,1))*3,1),0)))</f>
        <v/>
      </c>
      <c r="P141" s="94" t="str">
        <f aca="false">IF($C141="","",SUMIFS(Project_Activity!$P$2:$P$5000,Project_Activity!$C$2:$C$5000,$C141,Project_Activity!$U$2:$U$5000,"Subcontractor",Project_Activity!$H$2:$H$5000,"&gt;="&amp;DATE(VALUE(LEFT($B141,4)),1,1),Project_Activity!$H$2:$H$5000,"&lt;="&amp;EOMONTH(DATE(VALUE(LEFT($B141,4)),VALUE(RIGHT($B141,1))*3,1),0)))</f>
        <v/>
      </c>
      <c r="Q141" s="94" t="str">
        <f aca="false">IF($C141="","",SUMIFS(Project_Activity!$P$2:$P$5000,Project_Activity!$C$2:$C$5000,$C141,Project_Activity!$U$2:$U$5000,"Project Inclusive",Project_Activity!$H$2:$H$5000,"&gt;="&amp;DATE(VALUE(LEFT($B141,4)),1,1),Project_Activity!$H$2:$H$5000,"&lt;="&amp;EOMONTH(DATE(VALUE(LEFT($B141,4)),VALUE(RIGHT($B141,1))*3,1),0)))</f>
        <v/>
      </c>
      <c r="R141" s="94" t="str">
        <f aca="false">IF($C141="","",SUMIFS(Project_Activity!$P$2:$P$5000,Project_Activity!$C$2:$C$5000,$C141,Project_Activity!$U$2:$U$5000,"Non-Recoverable",Project_Activity!$H$2:$H$5000,"&gt;="&amp;DATE(VALUE(LEFT($B141,4)),1,1),Project_Activity!$H$2:$H$5000,"&lt;="&amp;EOMONTH(DATE(VALUE(LEFT($B141,4)),VALUE(RIGHT($B141,1))*3,1),0)))</f>
        <v/>
      </c>
      <c r="S141" s="94" t="str">
        <f aca="false">IF($C141="","",$O141-$P141-$Q141-$R141)</f>
        <v/>
      </c>
      <c r="T141" s="94" t="str">
        <f aca="false">IF($C141="","",SUMIFS(Project_Activity!$P$2:$P$5000,Project_Activity!$C$2:$C$5000,$C141,Project_Activity!$U$2:$U$5000,"Recoverable",Project_Activity!$H$2:$H$5000,"&gt;="&amp;DATE(VALUE(LEFT($B141,4)),1,1),Project_Activity!$H$2:$H$5000,"&lt;="&amp;EOMONTH(DATE(VALUE(LEFT($B141,4)),VALUE(RIGHT($B141,1))*3,1),0)))</f>
        <v/>
      </c>
      <c r="U141" s="94" t="str">
        <f aca="false">IF($C141="","",-SUMIFS(Project_Activity!$P$2:$P$5000,Project_Activity!$C$2:$C$5000,$C141,Project_Activity!$U$2:$U$5000,"Recovered Expenses",Project_Activity!$H$2:$H$5000,"&gt;="&amp;DATE(VALUE(LEFT($B141,4)),1,1),Project_Activity!$H$2:$H$5000,"&lt;="&amp;EOMONTH(DATE(VALUE(LEFT($B141,4)),VALUE(RIGHT($B141,1))*3,1),0)))</f>
        <v/>
      </c>
      <c r="V141" s="145"/>
      <c r="W141" s="94" t="str">
        <f aca="false">IF($C141="","",$V141*$N141)</f>
        <v/>
      </c>
      <c r="X141" s="145"/>
      <c r="Y141" s="94" t="str">
        <f aca="false">IF($C141="","",$X141*$N141)</f>
        <v/>
      </c>
      <c r="Z141" s="145"/>
      <c r="AA141" s="94" t="str">
        <f aca="false">IF($C141="","",$Z141*$N141)</f>
        <v/>
      </c>
      <c r="AB141" s="145"/>
      <c r="AC141" s="94" t="str">
        <f aca="false">IF($C141="","",$AB141*$N141)</f>
        <v/>
      </c>
      <c r="AD141" s="94" t="str">
        <f aca="false">IF($C141="","",SUMPRODUCT((VALUE(MID($B141,7,1))&gt;={1,2,3,4})*CHOOSE({1,2,3,4},$W141,$Y141,$AA141,$AC141)))</f>
        <v/>
      </c>
      <c r="AE141" s="94" t="str">
        <f aca="false">IF($C141="","",$W141+$Y141+$AA141+$AC141-$AD141)</f>
        <v/>
      </c>
      <c r="AF141" s="146"/>
      <c r="AG141" s="146"/>
      <c r="AH141" s="146"/>
      <c r="AI141" s="147" t="str">
        <f aca="false">IF($C141="","",IF(OR($L141="Pipeline",$N141&lt;0,$O141&gt;$N141+1,($V141+$X141+$Z141+$AB141)&gt;1.0001,ISNUMBER(SEARCH("not signed",$AF141))),"REVIEW","OK"))</f>
        <v/>
      </c>
    </row>
    <row r="142" customFormat="false" ht="13.5" hidden="false" customHeight="false" outlineLevel="0" collapsed="false">
      <c r="A142" s="95" t="str">
        <f aca="false">IF($C142="","",Controls!$B$7)</f>
        <v/>
      </c>
      <c r="B142" s="95" t="str">
        <f aca="false">IF($C142="","",Controls!$B$30)</f>
        <v/>
      </c>
      <c r="C142" s="95" t="str">
        <f aca="false">IF(MM_Income!$A145="","",MM_Income!$A145)</f>
        <v/>
      </c>
      <c r="D142" s="95" t="str">
        <f aca="false">IF($C142="","",INDEX(MM_Income!$B$5:$B$204,MATCH($C142,MM_Income!$A$5:$A$204,0)))</f>
        <v/>
      </c>
      <c r="E142" s="95" t="str">
        <f aca="false">IF($C142="","",INDEX(MM_Income!$C$5:$C$204,MATCH($C142,MM_Income!$A$5:$A$204,0)))</f>
        <v/>
      </c>
      <c r="F142" s="95" t="str">
        <f aca="false">IF($C142="","",INDEX(MM_Income!$F$5:$F$204,MATCH($C142,MM_Income!$A$5:$A$204,0)))</f>
        <v/>
      </c>
      <c r="G142" s="95" t="str">
        <f aca="false">IF($C142="","",INDEX(MM_Income!$G$5:$G$204,MATCH($C142,MM_Income!$A$5:$A$204,0)))</f>
        <v/>
      </c>
      <c r="H142" s="95" t="str">
        <f aca="false">IF($C142="","",INDEX(MM_Income!$H$5:$H$204,MATCH($C142,MM_Income!$A$5:$A$204,0)))</f>
        <v/>
      </c>
      <c r="I142" s="95" t="str">
        <f aca="false">IF($C142="","",INDEX(MM_Income!$I$5:$I$204,MATCH($C142,MM_Income!$A$5:$A$204,0)))</f>
        <v/>
      </c>
      <c r="J142" s="95" t="str">
        <f aca="false">IF($C142="","",INDEX(MM_Income!$D$5:$D$204,MATCH($C142,MM_Income!$A$5:$A$204,0)))</f>
        <v/>
      </c>
      <c r="K142" s="95" t="str">
        <f aca="false">IF($C142="","",INDEX(MM_Income!$E$5:$E$204,MATCH($C142,MM_Income!$A$5:$A$204,0)))</f>
        <v/>
      </c>
      <c r="L142" s="95" t="str">
        <f aca="false">IF($C142="","",INDEX(MM_Income!$U$5:$U$204,MATCH($C142,MM_Income!$A$5:$A$204,0)))</f>
        <v/>
      </c>
      <c r="M142" s="143" t="str">
        <f aca="false">IF($C142="","",INDEX(MM_Income!$V$5:$V$204,MATCH($C142,MM_Income!$A$5:$A$204,0)))</f>
        <v/>
      </c>
      <c r="N142" s="144" t="str">
        <f aca="false">IF($C142="","",INDEX(MM_Income!$T$5:$T$204,MATCH($C142,MM_Income!$A$5:$A$204,0)))</f>
        <v/>
      </c>
      <c r="O142" s="94" t="str">
        <f aca="false">IF($C142="","",-SUMIFS(Project_Activity!$P$2:$P$5000,Project_Activity!$C$2:$C$5000,$C142,Project_Activity!$U$2:$U$5000,"Invoiced Income",Project_Activity!$H$2:$H$5000,"&gt;="&amp;DATE(VALUE(LEFT($B142,4)),1,1),Project_Activity!$H$2:$H$5000,"&lt;="&amp;EOMONTH(DATE(VALUE(LEFT($B142,4)),VALUE(RIGHT($B142,1))*3,1),0)))</f>
        <v/>
      </c>
      <c r="P142" s="94" t="str">
        <f aca="false">IF($C142="","",SUMIFS(Project_Activity!$P$2:$P$5000,Project_Activity!$C$2:$C$5000,$C142,Project_Activity!$U$2:$U$5000,"Subcontractor",Project_Activity!$H$2:$H$5000,"&gt;="&amp;DATE(VALUE(LEFT($B142,4)),1,1),Project_Activity!$H$2:$H$5000,"&lt;="&amp;EOMONTH(DATE(VALUE(LEFT($B142,4)),VALUE(RIGHT($B142,1))*3,1),0)))</f>
        <v/>
      </c>
      <c r="Q142" s="94" t="str">
        <f aca="false">IF($C142="","",SUMIFS(Project_Activity!$P$2:$P$5000,Project_Activity!$C$2:$C$5000,$C142,Project_Activity!$U$2:$U$5000,"Project Inclusive",Project_Activity!$H$2:$H$5000,"&gt;="&amp;DATE(VALUE(LEFT($B142,4)),1,1),Project_Activity!$H$2:$H$5000,"&lt;="&amp;EOMONTH(DATE(VALUE(LEFT($B142,4)),VALUE(RIGHT($B142,1))*3,1),0)))</f>
        <v/>
      </c>
      <c r="R142" s="94" t="str">
        <f aca="false">IF($C142="","",SUMIFS(Project_Activity!$P$2:$P$5000,Project_Activity!$C$2:$C$5000,$C142,Project_Activity!$U$2:$U$5000,"Non-Recoverable",Project_Activity!$H$2:$H$5000,"&gt;="&amp;DATE(VALUE(LEFT($B142,4)),1,1),Project_Activity!$H$2:$H$5000,"&lt;="&amp;EOMONTH(DATE(VALUE(LEFT($B142,4)),VALUE(RIGHT($B142,1))*3,1),0)))</f>
        <v/>
      </c>
      <c r="S142" s="94" t="str">
        <f aca="false">IF($C142="","",$O142-$P142-$Q142-$R142)</f>
        <v/>
      </c>
      <c r="T142" s="94" t="str">
        <f aca="false">IF($C142="","",SUMIFS(Project_Activity!$P$2:$P$5000,Project_Activity!$C$2:$C$5000,$C142,Project_Activity!$U$2:$U$5000,"Recoverable",Project_Activity!$H$2:$H$5000,"&gt;="&amp;DATE(VALUE(LEFT($B142,4)),1,1),Project_Activity!$H$2:$H$5000,"&lt;="&amp;EOMONTH(DATE(VALUE(LEFT($B142,4)),VALUE(RIGHT($B142,1))*3,1),0)))</f>
        <v/>
      </c>
      <c r="U142" s="94" t="str">
        <f aca="false">IF($C142="","",-SUMIFS(Project_Activity!$P$2:$P$5000,Project_Activity!$C$2:$C$5000,$C142,Project_Activity!$U$2:$U$5000,"Recovered Expenses",Project_Activity!$H$2:$H$5000,"&gt;="&amp;DATE(VALUE(LEFT($B142,4)),1,1),Project_Activity!$H$2:$H$5000,"&lt;="&amp;EOMONTH(DATE(VALUE(LEFT($B142,4)),VALUE(RIGHT($B142,1))*3,1),0)))</f>
        <v/>
      </c>
      <c r="V142" s="145"/>
      <c r="W142" s="94" t="str">
        <f aca="false">IF($C142="","",$V142*$N142)</f>
        <v/>
      </c>
      <c r="X142" s="145"/>
      <c r="Y142" s="94" t="str">
        <f aca="false">IF($C142="","",$X142*$N142)</f>
        <v/>
      </c>
      <c r="Z142" s="145"/>
      <c r="AA142" s="94" t="str">
        <f aca="false">IF($C142="","",$Z142*$N142)</f>
        <v/>
      </c>
      <c r="AB142" s="145"/>
      <c r="AC142" s="94" t="str">
        <f aca="false">IF($C142="","",$AB142*$N142)</f>
        <v/>
      </c>
      <c r="AD142" s="94" t="str">
        <f aca="false">IF($C142="","",SUMPRODUCT((VALUE(MID($B142,7,1))&gt;={1,2,3,4})*CHOOSE({1,2,3,4},$W142,$Y142,$AA142,$AC142)))</f>
        <v/>
      </c>
      <c r="AE142" s="94" t="str">
        <f aca="false">IF($C142="","",$W142+$Y142+$AA142+$AC142-$AD142)</f>
        <v/>
      </c>
      <c r="AF142" s="146"/>
      <c r="AG142" s="146"/>
      <c r="AH142" s="146"/>
      <c r="AI142" s="147" t="str">
        <f aca="false">IF($C142="","",IF(OR($L142="Pipeline",$N142&lt;0,$O142&gt;$N142+1,($V142+$X142+$Z142+$AB142)&gt;1.0001,ISNUMBER(SEARCH("not signed",$AF142))),"REVIEW","OK"))</f>
        <v/>
      </c>
    </row>
    <row r="143" customFormat="false" ht="13.5" hidden="false" customHeight="false" outlineLevel="0" collapsed="false">
      <c r="A143" s="95" t="str">
        <f aca="false">IF($C143="","",Controls!$B$7)</f>
        <v/>
      </c>
      <c r="B143" s="95" t="str">
        <f aca="false">IF($C143="","",Controls!$B$30)</f>
        <v/>
      </c>
      <c r="C143" s="95" t="str">
        <f aca="false">IF(MM_Income!$A146="","",MM_Income!$A146)</f>
        <v/>
      </c>
      <c r="D143" s="95" t="str">
        <f aca="false">IF($C143="","",INDEX(MM_Income!$B$5:$B$204,MATCH($C143,MM_Income!$A$5:$A$204,0)))</f>
        <v/>
      </c>
      <c r="E143" s="95" t="str">
        <f aca="false">IF($C143="","",INDEX(MM_Income!$C$5:$C$204,MATCH($C143,MM_Income!$A$5:$A$204,0)))</f>
        <v/>
      </c>
      <c r="F143" s="95" t="str">
        <f aca="false">IF($C143="","",INDEX(MM_Income!$F$5:$F$204,MATCH($C143,MM_Income!$A$5:$A$204,0)))</f>
        <v/>
      </c>
      <c r="G143" s="95" t="str">
        <f aca="false">IF($C143="","",INDEX(MM_Income!$G$5:$G$204,MATCH($C143,MM_Income!$A$5:$A$204,0)))</f>
        <v/>
      </c>
      <c r="H143" s="95" t="str">
        <f aca="false">IF($C143="","",INDEX(MM_Income!$H$5:$H$204,MATCH($C143,MM_Income!$A$5:$A$204,0)))</f>
        <v/>
      </c>
      <c r="I143" s="95" t="str">
        <f aca="false">IF($C143="","",INDEX(MM_Income!$I$5:$I$204,MATCH($C143,MM_Income!$A$5:$A$204,0)))</f>
        <v/>
      </c>
      <c r="J143" s="95" t="str">
        <f aca="false">IF($C143="","",INDEX(MM_Income!$D$5:$D$204,MATCH($C143,MM_Income!$A$5:$A$204,0)))</f>
        <v/>
      </c>
      <c r="K143" s="95" t="str">
        <f aca="false">IF($C143="","",INDEX(MM_Income!$E$5:$E$204,MATCH($C143,MM_Income!$A$5:$A$204,0)))</f>
        <v/>
      </c>
      <c r="L143" s="95" t="str">
        <f aca="false">IF($C143="","",INDEX(MM_Income!$U$5:$U$204,MATCH($C143,MM_Income!$A$5:$A$204,0)))</f>
        <v/>
      </c>
      <c r="M143" s="143" t="str">
        <f aca="false">IF($C143="","",INDEX(MM_Income!$V$5:$V$204,MATCH($C143,MM_Income!$A$5:$A$204,0)))</f>
        <v/>
      </c>
      <c r="N143" s="144" t="str">
        <f aca="false">IF($C143="","",INDEX(MM_Income!$T$5:$T$204,MATCH($C143,MM_Income!$A$5:$A$204,0)))</f>
        <v/>
      </c>
      <c r="O143" s="94" t="str">
        <f aca="false">IF($C143="","",-SUMIFS(Project_Activity!$P$2:$P$5000,Project_Activity!$C$2:$C$5000,$C143,Project_Activity!$U$2:$U$5000,"Invoiced Income",Project_Activity!$H$2:$H$5000,"&gt;="&amp;DATE(VALUE(LEFT($B143,4)),1,1),Project_Activity!$H$2:$H$5000,"&lt;="&amp;EOMONTH(DATE(VALUE(LEFT($B143,4)),VALUE(RIGHT($B143,1))*3,1),0)))</f>
        <v/>
      </c>
      <c r="P143" s="94" t="str">
        <f aca="false">IF($C143="","",SUMIFS(Project_Activity!$P$2:$P$5000,Project_Activity!$C$2:$C$5000,$C143,Project_Activity!$U$2:$U$5000,"Subcontractor",Project_Activity!$H$2:$H$5000,"&gt;="&amp;DATE(VALUE(LEFT($B143,4)),1,1),Project_Activity!$H$2:$H$5000,"&lt;="&amp;EOMONTH(DATE(VALUE(LEFT($B143,4)),VALUE(RIGHT($B143,1))*3,1),0)))</f>
        <v/>
      </c>
      <c r="Q143" s="94" t="str">
        <f aca="false">IF($C143="","",SUMIFS(Project_Activity!$P$2:$P$5000,Project_Activity!$C$2:$C$5000,$C143,Project_Activity!$U$2:$U$5000,"Project Inclusive",Project_Activity!$H$2:$H$5000,"&gt;="&amp;DATE(VALUE(LEFT($B143,4)),1,1),Project_Activity!$H$2:$H$5000,"&lt;="&amp;EOMONTH(DATE(VALUE(LEFT($B143,4)),VALUE(RIGHT($B143,1))*3,1),0)))</f>
        <v/>
      </c>
      <c r="R143" s="94" t="str">
        <f aca="false">IF($C143="","",SUMIFS(Project_Activity!$P$2:$P$5000,Project_Activity!$C$2:$C$5000,$C143,Project_Activity!$U$2:$U$5000,"Non-Recoverable",Project_Activity!$H$2:$H$5000,"&gt;="&amp;DATE(VALUE(LEFT($B143,4)),1,1),Project_Activity!$H$2:$H$5000,"&lt;="&amp;EOMONTH(DATE(VALUE(LEFT($B143,4)),VALUE(RIGHT($B143,1))*3,1),0)))</f>
        <v/>
      </c>
      <c r="S143" s="94" t="str">
        <f aca="false">IF($C143="","",$O143-$P143-$Q143-$R143)</f>
        <v/>
      </c>
      <c r="T143" s="94" t="str">
        <f aca="false">IF($C143="","",SUMIFS(Project_Activity!$P$2:$P$5000,Project_Activity!$C$2:$C$5000,$C143,Project_Activity!$U$2:$U$5000,"Recoverable",Project_Activity!$H$2:$H$5000,"&gt;="&amp;DATE(VALUE(LEFT($B143,4)),1,1),Project_Activity!$H$2:$H$5000,"&lt;="&amp;EOMONTH(DATE(VALUE(LEFT($B143,4)),VALUE(RIGHT($B143,1))*3,1),0)))</f>
        <v/>
      </c>
      <c r="U143" s="94" t="str">
        <f aca="false">IF($C143="","",-SUMIFS(Project_Activity!$P$2:$P$5000,Project_Activity!$C$2:$C$5000,$C143,Project_Activity!$U$2:$U$5000,"Recovered Expenses",Project_Activity!$H$2:$H$5000,"&gt;="&amp;DATE(VALUE(LEFT($B143,4)),1,1),Project_Activity!$H$2:$H$5000,"&lt;="&amp;EOMONTH(DATE(VALUE(LEFT($B143,4)),VALUE(RIGHT($B143,1))*3,1),0)))</f>
        <v/>
      </c>
      <c r="V143" s="145"/>
      <c r="W143" s="94" t="str">
        <f aca="false">IF($C143="","",$V143*$N143)</f>
        <v/>
      </c>
      <c r="X143" s="145"/>
      <c r="Y143" s="94" t="str">
        <f aca="false">IF($C143="","",$X143*$N143)</f>
        <v/>
      </c>
      <c r="Z143" s="145"/>
      <c r="AA143" s="94" t="str">
        <f aca="false">IF($C143="","",$Z143*$N143)</f>
        <v/>
      </c>
      <c r="AB143" s="145"/>
      <c r="AC143" s="94" t="str">
        <f aca="false">IF($C143="","",$AB143*$N143)</f>
        <v/>
      </c>
      <c r="AD143" s="94" t="str">
        <f aca="false">IF($C143="","",SUMPRODUCT((VALUE(MID($B143,7,1))&gt;={1,2,3,4})*CHOOSE({1,2,3,4},$W143,$Y143,$AA143,$AC143)))</f>
        <v/>
      </c>
      <c r="AE143" s="94" t="str">
        <f aca="false">IF($C143="","",$W143+$Y143+$AA143+$AC143-$AD143)</f>
        <v/>
      </c>
      <c r="AF143" s="146"/>
      <c r="AG143" s="146"/>
      <c r="AH143" s="146"/>
      <c r="AI143" s="147" t="str">
        <f aca="false">IF($C143="","",IF(OR($L143="Pipeline",$N143&lt;0,$O143&gt;$N143+1,($V143+$X143+$Z143+$AB143)&gt;1.0001,ISNUMBER(SEARCH("not signed",$AF143))),"REVIEW","OK"))</f>
        <v/>
      </c>
    </row>
    <row r="144" customFormat="false" ht="13.5" hidden="false" customHeight="false" outlineLevel="0" collapsed="false">
      <c r="A144" s="95" t="str">
        <f aca="false">IF($C144="","",Controls!$B$7)</f>
        <v/>
      </c>
      <c r="B144" s="95" t="str">
        <f aca="false">IF($C144="","",Controls!$B$30)</f>
        <v/>
      </c>
      <c r="C144" s="95" t="str">
        <f aca="false">IF(MM_Income!$A147="","",MM_Income!$A147)</f>
        <v/>
      </c>
      <c r="D144" s="95" t="str">
        <f aca="false">IF($C144="","",INDEX(MM_Income!$B$5:$B$204,MATCH($C144,MM_Income!$A$5:$A$204,0)))</f>
        <v/>
      </c>
      <c r="E144" s="95" t="str">
        <f aca="false">IF($C144="","",INDEX(MM_Income!$C$5:$C$204,MATCH($C144,MM_Income!$A$5:$A$204,0)))</f>
        <v/>
      </c>
      <c r="F144" s="95" t="str">
        <f aca="false">IF($C144="","",INDEX(MM_Income!$F$5:$F$204,MATCH($C144,MM_Income!$A$5:$A$204,0)))</f>
        <v/>
      </c>
      <c r="G144" s="95" t="str">
        <f aca="false">IF($C144="","",INDEX(MM_Income!$G$5:$G$204,MATCH($C144,MM_Income!$A$5:$A$204,0)))</f>
        <v/>
      </c>
      <c r="H144" s="95" t="str">
        <f aca="false">IF($C144="","",INDEX(MM_Income!$H$5:$H$204,MATCH($C144,MM_Income!$A$5:$A$204,0)))</f>
        <v/>
      </c>
      <c r="I144" s="95" t="str">
        <f aca="false">IF($C144="","",INDEX(MM_Income!$I$5:$I$204,MATCH($C144,MM_Income!$A$5:$A$204,0)))</f>
        <v/>
      </c>
      <c r="J144" s="95" t="str">
        <f aca="false">IF($C144="","",INDEX(MM_Income!$D$5:$D$204,MATCH($C144,MM_Income!$A$5:$A$204,0)))</f>
        <v/>
      </c>
      <c r="K144" s="95" t="str">
        <f aca="false">IF($C144="","",INDEX(MM_Income!$E$5:$E$204,MATCH($C144,MM_Income!$A$5:$A$204,0)))</f>
        <v/>
      </c>
      <c r="L144" s="95" t="str">
        <f aca="false">IF($C144="","",INDEX(MM_Income!$U$5:$U$204,MATCH($C144,MM_Income!$A$5:$A$204,0)))</f>
        <v/>
      </c>
      <c r="M144" s="143" t="str">
        <f aca="false">IF($C144="","",INDEX(MM_Income!$V$5:$V$204,MATCH($C144,MM_Income!$A$5:$A$204,0)))</f>
        <v/>
      </c>
      <c r="N144" s="144" t="str">
        <f aca="false">IF($C144="","",INDEX(MM_Income!$T$5:$T$204,MATCH($C144,MM_Income!$A$5:$A$204,0)))</f>
        <v/>
      </c>
      <c r="O144" s="94" t="str">
        <f aca="false">IF($C144="","",-SUMIFS(Project_Activity!$P$2:$P$5000,Project_Activity!$C$2:$C$5000,$C144,Project_Activity!$U$2:$U$5000,"Invoiced Income",Project_Activity!$H$2:$H$5000,"&gt;="&amp;DATE(VALUE(LEFT($B144,4)),1,1),Project_Activity!$H$2:$H$5000,"&lt;="&amp;EOMONTH(DATE(VALUE(LEFT($B144,4)),VALUE(RIGHT($B144,1))*3,1),0)))</f>
        <v/>
      </c>
      <c r="P144" s="94" t="str">
        <f aca="false">IF($C144="","",SUMIFS(Project_Activity!$P$2:$P$5000,Project_Activity!$C$2:$C$5000,$C144,Project_Activity!$U$2:$U$5000,"Subcontractor",Project_Activity!$H$2:$H$5000,"&gt;="&amp;DATE(VALUE(LEFT($B144,4)),1,1),Project_Activity!$H$2:$H$5000,"&lt;="&amp;EOMONTH(DATE(VALUE(LEFT($B144,4)),VALUE(RIGHT($B144,1))*3,1),0)))</f>
        <v/>
      </c>
      <c r="Q144" s="94" t="str">
        <f aca="false">IF($C144="","",SUMIFS(Project_Activity!$P$2:$P$5000,Project_Activity!$C$2:$C$5000,$C144,Project_Activity!$U$2:$U$5000,"Project Inclusive",Project_Activity!$H$2:$H$5000,"&gt;="&amp;DATE(VALUE(LEFT($B144,4)),1,1),Project_Activity!$H$2:$H$5000,"&lt;="&amp;EOMONTH(DATE(VALUE(LEFT($B144,4)),VALUE(RIGHT($B144,1))*3,1),0)))</f>
        <v/>
      </c>
      <c r="R144" s="94" t="str">
        <f aca="false">IF($C144="","",SUMIFS(Project_Activity!$P$2:$P$5000,Project_Activity!$C$2:$C$5000,$C144,Project_Activity!$U$2:$U$5000,"Non-Recoverable",Project_Activity!$H$2:$H$5000,"&gt;="&amp;DATE(VALUE(LEFT($B144,4)),1,1),Project_Activity!$H$2:$H$5000,"&lt;="&amp;EOMONTH(DATE(VALUE(LEFT($B144,4)),VALUE(RIGHT($B144,1))*3,1),0)))</f>
        <v/>
      </c>
      <c r="S144" s="94" t="str">
        <f aca="false">IF($C144="","",$O144-$P144-$Q144-$R144)</f>
        <v/>
      </c>
      <c r="T144" s="94" t="str">
        <f aca="false">IF($C144="","",SUMIFS(Project_Activity!$P$2:$P$5000,Project_Activity!$C$2:$C$5000,$C144,Project_Activity!$U$2:$U$5000,"Recoverable",Project_Activity!$H$2:$H$5000,"&gt;="&amp;DATE(VALUE(LEFT($B144,4)),1,1),Project_Activity!$H$2:$H$5000,"&lt;="&amp;EOMONTH(DATE(VALUE(LEFT($B144,4)),VALUE(RIGHT($B144,1))*3,1),0)))</f>
        <v/>
      </c>
      <c r="U144" s="94" t="str">
        <f aca="false">IF($C144="","",-SUMIFS(Project_Activity!$P$2:$P$5000,Project_Activity!$C$2:$C$5000,$C144,Project_Activity!$U$2:$U$5000,"Recovered Expenses",Project_Activity!$H$2:$H$5000,"&gt;="&amp;DATE(VALUE(LEFT($B144,4)),1,1),Project_Activity!$H$2:$H$5000,"&lt;="&amp;EOMONTH(DATE(VALUE(LEFT($B144,4)),VALUE(RIGHT($B144,1))*3,1),0)))</f>
        <v/>
      </c>
      <c r="V144" s="145"/>
      <c r="W144" s="94" t="str">
        <f aca="false">IF($C144="","",$V144*$N144)</f>
        <v/>
      </c>
      <c r="X144" s="145"/>
      <c r="Y144" s="94" t="str">
        <f aca="false">IF($C144="","",$X144*$N144)</f>
        <v/>
      </c>
      <c r="Z144" s="145"/>
      <c r="AA144" s="94" t="str">
        <f aca="false">IF($C144="","",$Z144*$N144)</f>
        <v/>
      </c>
      <c r="AB144" s="145"/>
      <c r="AC144" s="94" t="str">
        <f aca="false">IF($C144="","",$AB144*$N144)</f>
        <v/>
      </c>
      <c r="AD144" s="94" t="str">
        <f aca="false">IF($C144="","",SUMPRODUCT((VALUE(MID($B144,7,1))&gt;={1,2,3,4})*CHOOSE({1,2,3,4},$W144,$Y144,$AA144,$AC144)))</f>
        <v/>
      </c>
      <c r="AE144" s="94" t="str">
        <f aca="false">IF($C144="","",$W144+$Y144+$AA144+$AC144-$AD144)</f>
        <v/>
      </c>
      <c r="AF144" s="146"/>
      <c r="AG144" s="146"/>
      <c r="AH144" s="146"/>
      <c r="AI144" s="147" t="str">
        <f aca="false">IF($C144="","",IF(OR($L144="Pipeline",$N144&lt;0,$O144&gt;$N144+1,($V144+$X144+$Z144+$AB144)&gt;1.0001,ISNUMBER(SEARCH("not signed",$AF144))),"REVIEW","OK"))</f>
        <v/>
      </c>
    </row>
    <row r="145" customFormat="false" ht="13.5" hidden="false" customHeight="false" outlineLevel="0" collapsed="false">
      <c r="A145" s="95" t="str">
        <f aca="false">IF($C145="","",Controls!$B$7)</f>
        <v/>
      </c>
      <c r="B145" s="95" t="str">
        <f aca="false">IF($C145="","",Controls!$B$30)</f>
        <v/>
      </c>
      <c r="C145" s="95" t="str">
        <f aca="false">IF(MM_Income!$A148="","",MM_Income!$A148)</f>
        <v/>
      </c>
      <c r="D145" s="95" t="str">
        <f aca="false">IF($C145="","",INDEX(MM_Income!$B$5:$B$204,MATCH($C145,MM_Income!$A$5:$A$204,0)))</f>
        <v/>
      </c>
      <c r="E145" s="95" t="str">
        <f aca="false">IF($C145="","",INDEX(MM_Income!$C$5:$C$204,MATCH($C145,MM_Income!$A$5:$A$204,0)))</f>
        <v/>
      </c>
      <c r="F145" s="95" t="str">
        <f aca="false">IF($C145="","",INDEX(MM_Income!$F$5:$F$204,MATCH($C145,MM_Income!$A$5:$A$204,0)))</f>
        <v/>
      </c>
      <c r="G145" s="95" t="str">
        <f aca="false">IF($C145="","",INDEX(MM_Income!$G$5:$G$204,MATCH($C145,MM_Income!$A$5:$A$204,0)))</f>
        <v/>
      </c>
      <c r="H145" s="95" t="str">
        <f aca="false">IF($C145="","",INDEX(MM_Income!$H$5:$H$204,MATCH($C145,MM_Income!$A$5:$A$204,0)))</f>
        <v/>
      </c>
      <c r="I145" s="95" t="str">
        <f aca="false">IF($C145="","",INDEX(MM_Income!$I$5:$I$204,MATCH($C145,MM_Income!$A$5:$A$204,0)))</f>
        <v/>
      </c>
      <c r="J145" s="95" t="str">
        <f aca="false">IF($C145="","",INDEX(MM_Income!$D$5:$D$204,MATCH($C145,MM_Income!$A$5:$A$204,0)))</f>
        <v/>
      </c>
      <c r="K145" s="95" t="str">
        <f aca="false">IF($C145="","",INDEX(MM_Income!$E$5:$E$204,MATCH($C145,MM_Income!$A$5:$A$204,0)))</f>
        <v/>
      </c>
      <c r="L145" s="95" t="str">
        <f aca="false">IF($C145="","",INDEX(MM_Income!$U$5:$U$204,MATCH($C145,MM_Income!$A$5:$A$204,0)))</f>
        <v/>
      </c>
      <c r="M145" s="143" t="str">
        <f aca="false">IF($C145="","",INDEX(MM_Income!$V$5:$V$204,MATCH($C145,MM_Income!$A$5:$A$204,0)))</f>
        <v/>
      </c>
      <c r="N145" s="144" t="str">
        <f aca="false">IF($C145="","",INDEX(MM_Income!$T$5:$T$204,MATCH($C145,MM_Income!$A$5:$A$204,0)))</f>
        <v/>
      </c>
      <c r="O145" s="94" t="str">
        <f aca="false">IF($C145="","",-SUMIFS(Project_Activity!$P$2:$P$5000,Project_Activity!$C$2:$C$5000,$C145,Project_Activity!$U$2:$U$5000,"Invoiced Income",Project_Activity!$H$2:$H$5000,"&gt;="&amp;DATE(VALUE(LEFT($B145,4)),1,1),Project_Activity!$H$2:$H$5000,"&lt;="&amp;EOMONTH(DATE(VALUE(LEFT($B145,4)),VALUE(RIGHT($B145,1))*3,1),0)))</f>
        <v/>
      </c>
      <c r="P145" s="94" t="str">
        <f aca="false">IF($C145="","",SUMIFS(Project_Activity!$P$2:$P$5000,Project_Activity!$C$2:$C$5000,$C145,Project_Activity!$U$2:$U$5000,"Subcontractor",Project_Activity!$H$2:$H$5000,"&gt;="&amp;DATE(VALUE(LEFT($B145,4)),1,1),Project_Activity!$H$2:$H$5000,"&lt;="&amp;EOMONTH(DATE(VALUE(LEFT($B145,4)),VALUE(RIGHT($B145,1))*3,1),0)))</f>
        <v/>
      </c>
      <c r="Q145" s="94" t="str">
        <f aca="false">IF($C145="","",SUMIFS(Project_Activity!$P$2:$P$5000,Project_Activity!$C$2:$C$5000,$C145,Project_Activity!$U$2:$U$5000,"Project Inclusive",Project_Activity!$H$2:$H$5000,"&gt;="&amp;DATE(VALUE(LEFT($B145,4)),1,1),Project_Activity!$H$2:$H$5000,"&lt;="&amp;EOMONTH(DATE(VALUE(LEFT($B145,4)),VALUE(RIGHT($B145,1))*3,1),0)))</f>
        <v/>
      </c>
      <c r="R145" s="94" t="str">
        <f aca="false">IF($C145="","",SUMIFS(Project_Activity!$P$2:$P$5000,Project_Activity!$C$2:$C$5000,$C145,Project_Activity!$U$2:$U$5000,"Non-Recoverable",Project_Activity!$H$2:$H$5000,"&gt;="&amp;DATE(VALUE(LEFT($B145,4)),1,1),Project_Activity!$H$2:$H$5000,"&lt;="&amp;EOMONTH(DATE(VALUE(LEFT($B145,4)),VALUE(RIGHT($B145,1))*3,1),0)))</f>
        <v/>
      </c>
      <c r="S145" s="94" t="str">
        <f aca="false">IF($C145="","",$O145-$P145-$Q145-$R145)</f>
        <v/>
      </c>
      <c r="T145" s="94" t="str">
        <f aca="false">IF($C145="","",SUMIFS(Project_Activity!$P$2:$P$5000,Project_Activity!$C$2:$C$5000,$C145,Project_Activity!$U$2:$U$5000,"Recoverable",Project_Activity!$H$2:$H$5000,"&gt;="&amp;DATE(VALUE(LEFT($B145,4)),1,1),Project_Activity!$H$2:$H$5000,"&lt;="&amp;EOMONTH(DATE(VALUE(LEFT($B145,4)),VALUE(RIGHT($B145,1))*3,1),0)))</f>
        <v/>
      </c>
      <c r="U145" s="94" t="str">
        <f aca="false">IF($C145="","",-SUMIFS(Project_Activity!$P$2:$P$5000,Project_Activity!$C$2:$C$5000,$C145,Project_Activity!$U$2:$U$5000,"Recovered Expenses",Project_Activity!$H$2:$H$5000,"&gt;="&amp;DATE(VALUE(LEFT($B145,4)),1,1),Project_Activity!$H$2:$H$5000,"&lt;="&amp;EOMONTH(DATE(VALUE(LEFT($B145,4)),VALUE(RIGHT($B145,1))*3,1),0)))</f>
        <v/>
      </c>
      <c r="V145" s="145"/>
      <c r="W145" s="94" t="str">
        <f aca="false">IF($C145="","",$V145*$N145)</f>
        <v/>
      </c>
      <c r="X145" s="145"/>
      <c r="Y145" s="94" t="str">
        <f aca="false">IF($C145="","",$X145*$N145)</f>
        <v/>
      </c>
      <c r="Z145" s="145"/>
      <c r="AA145" s="94" t="str">
        <f aca="false">IF($C145="","",$Z145*$N145)</f>
        <v/>
      </c>
      <c r="AB145" s="145"/>
      <c r="AC145" s="94" t="str">
        <f aca="false">IF($C145="","",$AB145*$N145)</f>
        <v/>
      </c>
      <c r="AD145" s="94" t="str">
        <f aca="false">IF($C145="","",SUMPRODUCT((VALUE(MID($B145,7,1))&gt;={1,2,3,4})*CHOOSE({1,2,3,4},$W145,$Y145,$AA145,$AC145)))</f>
        <v/>
      </c>
      <c r="AE145" s="94" t="str">
        <f aca="false">IF($C145="","",$W145+$Y145+$AA145+$AC145-$AD145)</f>
        <v/>
      </c>
      <c r="AF145" s="146"/>
      <c r="AG145" s="146"/>
      <c r="AH145" s="146"/>
      <c r="AI145" s="147" t="str">
        <f aca="false">IF($C145="","",IF(OR($L145="Pipeline",$N145&lt;0,$O145&gt;$N145+1,($V145+$X145+$Z145+$AB145)&gt;1.0001,ISNUMBER(SEARCH("not signed",$AF145))),"REVIEW","OK"))</f>
        <v/>
      </c>
    </row>
    <row r="146" customFormat="false" ht="13.5" hidden="false" customHeight="false" outlineLevel="0" collapsed="false">
      <c r="A146" s="95" t="str">
        <f aca="false">IF($C146="","",Controls!$B$7)</f>
        <v/>
      </c>
      <c r="B146" s="95" t="str">
        <f aca="false">IF($C146="","",Controls!$B$30)</f>
        <v/>
      </c>
      <c r="C146" s="95" t="str">
        <f aca="false">IF(MM_Income!$A149="","",MM_Income!$A149)</f>
        <v/>
      </c>
      <c r="D146" s="95" t="str">
        <f aca="false">IF($C146="","",INDEX(MM_Income!$B$5:$B$204,MATCH($C146,MM_Income!$A$5:$A$204,0)))</f>
        <v/>
      </c>
      <c r="E146" s="95" t="str">
        <f aca="false">IF($C146="","",INDEX(MM_Income!$C$5:$C$204,MATCH($C146,MM_Income!$A$5:$A$204,0)))</f>
        <v/>
      </c>
      <c r="F146" s="95" t="str">
        <f aca="false">IF($C146="","",INDEX(MM_Income!$F$5:$F$204,MATCH($C146,MM_Income!$A$5:$A$204,0)))</f>
        <v/>
      </c>
      <c r="G146" s="95" t="str">
        <f aca="false">IF($C146="","",INDEX(MM_Income!$G$5:$G$204,MATCH($C146,MM_Income!$A$5:$A$204,0)))</f>
        <v/>
      </c>
      <c r="H146" s="95" t="str">
        <f aca="false">IF($C146="","",INDEX(MM_Income!$H$5:$H$204,MATCH($C146,MM_Income!$A$5:$A$204,0)))</f>
        <v/>
      </c>
      <c r="I146" s="95" t="str">
        <f aca="false">IF($C146="","",INDEX(MM_Income!$I$5:$I$204,MATCH($C146,MM_Income!$A$5:$A$204,0)))</f>
        <v/>
      </c>
      <c r="J146" s="95" t="str">
        <f aca="false">IF($C146="","",INDEX(MM_Income!$D$5:$D$204,MATCH($C146,MM_Income!$A$5:$A$204,0)))</f>
        <v/>
      </c>
      <c r="K146" s="95" t="str">
        <f aca="false">IF($C146="","",INDEX(MM_Income!$E$5:$E$204,MATCH($C146,MM_Income!$A$5:$A$204,0)))</f>
        <v/>
      </c>
      <c r="L146" s="95" t="str">
        <f aca="false">IF($C146="","",INDEX(MM_Income!$U$5:$U$204,MATCH($C146,MM_Income!$A$5:$A$204,0)))</f>
        <v/>
      </c>
      <c r="M146" s="143" t="str">
        <f aca="false">IF($C146="","",INDEX(MM_Income!$V$5:$V$204,MATCH($C146,MM_Income!$A$5:$A$204,0)))</f>
        <v/>
      </c>
      <c r="N146" s="144" t="str">
        <f aca="false">IF($C146="","",INDEX(MM_Income!$T$5:$T$204,MATCH($C146,MM_Income!$A$5:$A$204,0)))</f>
        <v/>
      </c>
      <c r="O146" s="94" t="str">
        <f aca="false">IF($C146="","",-SUMIFS(Project_Activity!$P$2:$P$5000,Project_Activity!$C$2:$C$5000,$C146,Project_Activity!$U$2:$U$5000,"Invoiced Income",Project_Activity!$H$2:$H$5000,"&gt;="&amp;DATE(VALUE(LEFT($B146,4)),1,1),Project_Activity!$H$2:$H$5000,"&lt;="&amp;EOMONTH(DATE(VALUE(LEFT($B146,4)),VALUE(RIGHT($B146,1))*3,1),0)))</f>
        <v/>
      </c>
      <c r="P146" s="94" t="str">
        <f aca="false">IF($C146="","",SUMIFS(Project_Activity!$P$2:$P$5000,Project_Activity!$C$2:$C$5000,$C146,Project_Activity!$U$2:$U$5000,"Subcontractor",Project_Activity!$H$2:$H$5000,"&gt;="&amp;DATE(VALUE(LEFT($B146,4)),1,1),Project_Activity!$H$2:$H$5000,"&lt;="&amp;EOMONTH(DATE(VALUE(LEFT($B146,4)),VALUE(RIGHT($B146,1))*3,1),0)))</f>
        <v/>
      </c>
      <c r="Q146" s="94" t="str">
        <f aca="false">IF($C146="","",SUMIFS(Project_Activity!$P$2:$P$5000,Project_Activity!$C$2:$C$5000,$C146,Project_Activity!$U$2:$U$5000,"Project Inclusive",Project_Activity!$H$2:$H$5000,"&gt;="&amp;DATE(VALUE(LEFT($B146,4)),1,1),Project_Activity!$H$2:$H$5000,"&lt;="&amp;EOMONTH(DATE(VALUE(LEFT($B146,4)),VALUE(RIGHT($B146,1))*3,1),0)))</f>
        <v/>
      </c>
      <c r="R146" s="94" t="str">
        <f aca="false">IF($C146="","",SUMIFS(Project_Activity!$P$2:$P$5000,Project_Activity!$C$2:$C$5000,$C146,Project_Activity!$U$2:$U$5000,"Non-Recoverable",Project_Activity!$H$2:$H$5000,"&gt;="&amp;DATE(VALUE(LEFT($B146,4)),1,1),Project_Activity!$H$2:$H$5000,"&lt;="&amp;EOMONTH(DATE(VALUE(LEFT($B146,4)),VALUE(RIGHT($B146,1))*3,1),0)))</f>
        <v/>
      </c>
      <c r="S146" s="94" t="str">
        <f aca="false">IF($C146="","",$O146-$P146-$Q146-$R146)</f>
        <v/>
      </c>
      <c r="T146" s="94" t="str">
        <f aca="false">IF($C146="","",SUMIFS(Project_Activity!$P$2:$P$5000,Project_Activity!$C$2:$C$5000,$C146,Project_Activity!$U$2:$U$5000,"Recoverable",Project_Activity!$H$2:$H$5000,"&gt;="&amp;DATE(VALUE(LEFT($B146,4)),1,1),Project_Activity!$H$2:$H$5000,"&lt;="&amp;EOMONTH(DATE(VALUE(LEFT($B146,4)),VALUE(RIGHT($B146,1))*3,1),0)))</f>
        <v/>
      </c>
      <c r="U146" s="94" t="str">
        <f aca="false">IF($C146="","",-SUMIFS(Project_Activity!$P$2:$P$5000,Project_Activity!$C$2:$C$5000,$C146,Project_Activity!$U$2:$U$5000,"Recovered Expenses",Project_Activity!$H$2:$H$5000,"&gt;="&amp;DATE(VALUE(LEFT($B146,4)),1,1),Project_Activity!$H$2:$H$5000,"&lt;="&amp;EOMONTH(DATE(VALUE(LEFT($B146,4)),VALUE(RIGHT($B146,1))*3,1),0)))</f>
        <v/>
      </c>
      <c r="V146" s="145"/>
      <c r="W146" s="94" t="str">
        <f aca="false">IF($C146="","",$V146*$N146)</f>
        <v/>
      </c>
      <c r="X146" s="145"/>
      <c r="Y146" s="94" t="str">
        <f aca="false">IF($C146="","",$X146*$N146)</f>
        <v/>
      </c>
      <c r="Z146" s="145"/>
      <c r="AA146" s="94" t="str">
        <f aca="false">IF($C146="","",$Z146*$N146)</f>
        <v/>
      </c>
      <c r="AB146" s="145"/>
      <c r="AC146" s="94" t="str">
        <f aca="false">IF($C146="","",$AB146*$N146)</f>
        <v/>
      </c>
      <c r="AD146" s="94" t="str">
        <f aca="false">IF($C146="","",SUMPRODUCT((VALUE(MID($B146,7,1))&gt;={1,2,3,4})*CHOOSE({1,2,3,4},$W146,$Y146,$AA146,$AC146)))</f>
        <v/>
      </c>
      <c r="AE146" s="94" t="str">
        <f aca="false">IF($C146="","",$W146+$Y146+$AA146+$AC146-$AD146)</f>
        <v/>
      </c>
      <c r="AF146" s="146"/>
      <c r="AG146" s="146"/>
      <c r="AH146" s="146"/>
      <c r="AI146" s="147" t="str">
        <f aca="false">IF($C146="","",IF(OR($L146="Pipeline",$N146&lt;0,$O146&gt;$N146+1,($V146+$X146+$Z146+$AB146)&gt;1.0001,ISNUMBER(SEARCH("not signed",$AF146))),"REVIEW","OK"))</f>
        <v/>
      </c>
    </row>
    <row r="147" customFormat="false" ht="13.5" hidden="false" customHeight="false" outlineLevel="0" collapsed="false">
      <c r="A147" s="95" t="str">
        <f aca="false">IF($C147="","",Controls!$B$7)</f>
        <v/>
      </c>
      <c r="B147" s="95" t="str">
        <f aca="false">IF($C147="","",Controls!$B$30)</f>
        <v/>
      </c>
      <c r="C147" s="95" t="str">
        <f aca="false">IF(MM_Income!$A150="","",MM_Income!$A150)</f>
        <v/>
      </c>
      <c r="D147" s="95" t="str">
        <f aca="false">IF($C147="","",INDEX(MM_Income!$B$5:$B$204,MATCH($C147,MM_Income!$A$5:$A$204,0)))</f>
        <v/>
      </c>
      <c r="E147" s="95" t="str">
        <f aca="false">IF($C147="","",INDEX(MM_Income!$C$5:$C$204,MATCH($C147,MM_Income!$A$5:$A$204,0)))</f>
        <v/>
      </c>
      <c r="F147" s="95" t="str">
        <f aca="false">IF($C147="","",INDEX(MM_Income!$F$5:$F$204,MATCH($C147,MM_Income!$A$5:$A$204,0)))</f>
        <v/>
      </c>
      <c r="G147" s="95" t="str">
        <f aca="false">IF($C147="","",INDEX(MM_Income!$G$5:$G$204,MATCH($C147,MM_Income!$A$5:$A$204,0)))</f>
        <v/>
      </c>
      <c r="H147" s="95" t="str">
        <f aca="false">IF($C147="","",INDEX(MM_Income!$H$5:$H$204,MATCH($C147,MM_Income!$A$5:$A$204,0)))</f>
        <v/>
      </c>
      <c r="I147" s="95" t="str">
        <f aca="false">IF($C147="","",INDEX(MM_Income!$I$5:$I$204,MATCH($C147,MM_Income!$A$5:$A$204,0)))</f>
        <v/>
      </c>
      <c r="J147" s="95" t="str">
        <f aca="false">IF($C147="","",INDEX(MM_Income!$D$5:$D$204,MATCH($C147,MM_Income!$A$5:$A$204,0)))</f>
        <v/>
      </c>
      <c r="K147" s="95" t="str">
        <f aca="false">IF($C147="","",INDEX(MM_Income!$E$5:$E$204,MATCH($C147,MM_Income!$A$5:$A$204,0)))</f>
        <v/>
      </c>
      <c r="L147" s="95" t="str">
        <f aca="false">IF($C147="","",INDEX(MM_Income!$U$5:$U$204,MATCH($C147,MM_Income!$A$5:$A$204,0)))</f>
        <v/>
      </c>
      <c r="M147" s="143" t="str">
        <f aca="false">IF($C147="","",INDEX(MM_Income!$V$5:$V$204,MATCH($C147,MM_Income!$A$5:$A$204,0)))</f>
        <v/>
      </c>
      <c r="N147" s="144" t="str">
        <f aca="false">IF($C147="","",INDEX(MM_Income!$T$5:$T$204,MATCH($C147,MM_Income!$A$5:$A$204,0)))</f>
        <v/>
      </c>
      <c r="O147" s="94" t="str">
        <f aca="false">IF($C147="","",-SUMIFS(Project_Activity!$P$2:$P$5000,Project_Activity!$C$2:$C$5000,$C147,Project_Activity!$U$2:$U$5000,"Invoiced Income",Project_Activity!$H$2:$H$5000,"&gt;="&amp;DATE(VALUE(LEFT($B147,4)),1,1),Project_Activity!$H$2:$H$5000,"&lt;="&amp;EOMONTH(DATE(VALUE(LEFT($B147,4)),VALUE(RIGHT($B147,1))*3,1),0)))</f>
        <v/>
      </c>
      <c r="P147" s="94" t="str">
        <f aca="false">IF($C147="","",SUMIFS(Project_Activity!$P$2:$P$5000,Project_Activity!$C$2:$C$5000,$C147,Project_Activity!$U$2:$U$5000,"Subcontractor",Project_Activity!$H$2:$H$5000,"&gt;="&amp;DATE(VALUE(LEFT($B147,4)),1,1),Project_Activity!$H$2:$H$5000,"&lt;="&amp;EOMONTH(DATE(VALUE(LEFT($B147,4)),VALUE(RIGHT($B147,1))*3,1),0)))</f>
        <v/>
      </c>
      <c r="Q147" s="94" t="str">
        <f aca="false">IF($C147="","",SUMIFS(Project_Activity!$P$2:$P$5000,Project_Activity!$C$2:$C$5000,$C147,Project_Activity!$U$2:$U$5000,"Project Inclusive",Project_Activity!$H$2:$H$5000,"&gt;="&amp;DATE(VALUE(LEFT($B147,4)),1,1),Project_Activity!$H$2:$H$5000,"&lt;="&amp;EOMONTH(DATE(VALUE(LEFT($B147,4)),VALUE(RIGHT($B147,1))*3,1),0)))</f>
        <v/>
      </c>
      <c r="R147" s="94" t="str">
        <f aca="false">IF($C147="","",SUMIFS(Project_Activity!$P$2:$P$5000,Project_Activity!$C$2:$C$5000,$C147,Project_Activity!$U$2:$U$5000,"Non-Recoverable",Project_Activity!$H$2:$H$5000,"&gt;="&amp;DATE(VALUE(LEFT($B147,4)),1,1),Project_Activity!$H$2:$H$5000,"&lt;="&amp;EOMONTH(DATE(VALUE(LEFT($B147,4)),VALUE(RIGHT($B147,1))*3,1),0)))</f>
        <v/>
      </c>
      <c r="S147" s="94" t="str">
        <f aca="false">IF($C147="","",$O147-$P147-$Q147-$R147)</f>
        <v/>
      </c>
      <c r="T147" s="94" t="str">
        <f aca="false">IF($C147="","",SUMIFS(Project_Activity!$P$2:$P$5000,Project_Activity!$C$2:$C$5000,$C147,Project_Activity!$U$2:$U$5000,"Recoverable",Project_Activity!$H$2:$H$5000,"&gt;="&amp;DATE(VALUE(LEFT($B147,4)),1,1),Project_Activity!$H$2:$H$5000,"&lt;="&amp;EOMONTH(DATE(VALUE(LEFT($B147,4)),VALUE(RIGHT($B147,1))*3,1),0)))</f>
        <v/>
      </c>
      <c r="U147" s="94" t="str">
        <f aca="false">IF($C147="","",-SUMIFS(Project_Activity!$P$2:$P$5000,Project_Activity!$C$2:$C$5000,$C147,Project_Activity!$U$2:$U$5000,"Recovered Expenses",Project_Activity!$H$2:$H$5000,"&gt;="&amp;DATE(VALUE(LEFT($B147,4)),1,1),Project_Activity!$H$2:$H$5000,"&lt;="&amp;EOMONTH(DATE(VALUE(LEFT($B147,4)),VALUE(RIGHT($B147,1))*3,1),0)))</f>
        <v/>
      </c>
      <c r="V147" s="145"/>
      <c r="W147" s="94" t="str">
        <f aca="false">IF($C147="","",$V147*$N147)</f>
        <v/>
      </c>
      <c r="X147" s="145"/>
      <c r="Y147" s="94" t="str">
        <f aca="false">IF($C147="","",$X147*$N147)</f>
        <v/>
      </c>
      <c r="Z147" s="145"/>
      <c r="AA147" s="94" t="str">
        <f aca="false">IF($C147="","",$Z147*$N147)</f>
        <v/>
      </c>
      <c r="AB147" s="145"/>
      <c r="AC147" s="94" t="str">
        <f aca="false">IF($C147="","",$AB147*$N147)</f>
        <v/>
      </c>
      <c r="AD147" s="94" t="str">
        <f aca="false">IF($C147="","",SUMPRODUCT((VALUE(MID($B147,7,1))&gt;={1,2,3,4})*CHOOSE({1,2,3,4},$W147,$Y147,$AA147,$AC147)))</f>
        <v/>
      </c>
      <c r="AE147" s="94" t="str">
        <f aca="false">IF($C147="","",$W147+$Y147+$AA147+$AC147-$AD147)</f>
        <v/>
      </c>
      <c r="AF147" s="146"/>
      <c r="AG147" s="146"/>
      <c r="AH147" s="146"/>
      <c r="AI147" s="147" t="str">
        <f aca="false">IF($C147="","",IF(OR($L147="Pipeline",$N147&lt;0,$O147&gt;$N147+1,($V147+$X147+$Z147+$AB147)&gt;1.0001,ISNUMBER(SEARCH("not signed",$AF147))),"REVIEW","OK"))</f>
        <v/>
      </c>
    </row>
    <row r="148" customFormat="false" ht="13.5" hidden="false" customHeight="false" outlineLevel="0" collapsed="false">
      <c r="A148" s="95" t="str">
        <f aca="false">IF($C148="","",Controls!$B$7)</f>
        <v/>
      </c>
      <c r="B148" s="95" t="str">
        <f aca="false">IF($C148="","",Controls!$B$30)</f>
        <v/>
      </c>
      <c r="C148" s="95" t="str">
        <f aca="false">IF(MM_Income!$A151="","",MM_Income!$A151)</f>
        <v/>
      </c>
      <c r="D148" s="95" t="str">
        <f aca="false">IF($C148="","",INDEX(MM_Income!$B$5:$B$204,MATCH($C148,MM_Income!$A$5:$A$204,0)))</f>
        <v/>
      </c>
      <c r="E148" s="95" t="str">
        <f aca="false">IF($C148="","",INDEX(MM_Income!$C$5:$C$204,MATCH($C148,MM_Income!$A$5:$A$204,0)))</f>
        <v/>
      </c>
      <c r="F148" s="95" t="str">
        <f aca="false">IF($C148="","",INDEX(MM_Income!$F$5:$F$204,MATCH($C148,MM_Income!$A$5:$A$204,0)))</f>
        <v/>
      </c>
      <c r="G148" s="95" t="str">
        <f aca="false">IF($C148="","",INDEX(MM_Income!$G$5:$G$204,MATCH($C148,MM_Income!$A$5:$A$204,0)))</f>
        <v/>
      </c>
      <c r="H148" s="95" t="str">
        <f aca="false">IF($C148="","",INDEX(MM_Income!$H$5:$H$204,MATCH($C148,MM_Income!$A$5:$A$204,0)))</f>
        <v/>
      </c>
      <c r="I148" s="95" t="str">
        <f aca="false">IF($C148="","",INDEX(MM_Income!$I$5:$I$204,MATCH($C148,MM_Income!$A$5:$A$204,0)))</f>
        <v/>
      </c>
      <c r="J148" s="95" t="str">
        <f aca="false">IF($C148="","",INDEX(MM_Income!$D$5:$D$204,MATCH($C148,MM_Income!$A$5:$A$204,0)))</f>
        <v/>
      </c>
      <c r="K148" s="95" t="str">
        <f aca="false">IF($C148="","",INDEX(MM_Income!$E$5:$E$204,MATCH($C148,MM_Income!$A$5:$A$204,0)))</f>
        <v/>
      </c>
      <c r="L148" s="95" t="str">
        <f aca="false">IF($C148="","",INDEX(MM_Income!$U$5:$U$204,MATCH($C148,MM_Income!$A$5:$A$204,0)))</f>
        <v/>
      </c>
      <c r="M148" s="143" t="str">
        <f aca="false">IF($C148="","",INDEX(MM_Income!$V$5:$V$204,MATCH($C148,MM_Income!$A$5:$A$204,0)))</f>
        <v/>
      </c>
      <c r="N148" s="144" t="str">
        <f aca="false">IF($C148="","",INDEX(MM_Income!$T$5:$T$204,MATCH($C148,MM_Income!$A$5:$A$204,0)))</f>
        <v/>
      </c>
      <c r="O148" s="94" t="str">
        <f aca="false">IF($C148="","",-SUMIFS(Project_Activity!$P$2:$P$5000,Project_Activity!$C$2:$C$5000,$C148,Project_Activity!$U$2:$U$5000,"Invoiced Income",Project_Activity!$H$2:$H$5000,"&gt;="&amp;DATE(VALUE(LEFT($B148,4)),1,1),Project_Activity!$H$2:$H$5000,"&lt;="&amp;EOMONTH(DATE(VALUE(LEFT($B148,4)),VALUE(RIGHT($B148,1))*3,1),0)))</f>
        <v/>
      </c>
      <c r="P148" s="94" t="str">
        <f aca="false">IF($C148="","",SUMIFS(Project_Activity!$P$2:$P$5000,Project_Activity!$C$2:$C$5000,$C148,Project_Activity!$U$2:$U$5000,"Subcontractor",Project_Activity!$H$2:$H$5000,"&gt;="&amp;DATE(VALUE(LEFT($B148,4)),1,1),Project_Activity!$H$2:$H$5000,"&lt;="&amp;EOMONTH(DATE(VALUE(LEFT($B148,4)),VALUE(RIGHT($B148,1))*3,1),0)))</f>
        <v/>
      </c>
      <c r="Q148" s="94" t="str">
        <f aca="false">IF($C148="","",SUMIFS(Project_Activity!$P$2:$P$5000,Project_Activity!$C$2:$C$5000,$C148,Project_Activity!$U$2:$U$5000,"Project Inclusive",Project_Activity!$H$2:$H$5000,"&gt;="&amp;DATE(VALUE(LEFT($B148,4)),1,1),Project_Activity!$H$2:$H$5000,"&lt;="&amp;EOMONTH(DATE(VALUE(LEFT($B148,4)),VALUE(RIGHT($B148,1))*3,1),0)))</f>
        <v/>
      </c>
      <c r="R148" s="94" t="str">
        <f aca="false">IF($C148="","",SUMIFS(Project_Activity!$P$2:$P$5000,Project_Activity!$C$2:$C$5000,$C148,Project_Activity!$U$2:$U$5000,"Non-Recoverable",Project_Activity!$H$2:$H$5000,"&gt;="&amp;DATE(VALUE(LEFT($B148,4)),1,1),Project_Activity!$H$2:$H$5000,"&lt;="&amp;EOMONTH(DATE(VALUE(LEFT($B148,4)),VALUE(RIGHT($B148,1))*3,1),0)))</f>
        <v/>
      </c>
      <c r="S148" s="94" t="str">
        <f aca="false">IF($C148="","",$O148-$P148-$Q148-$R148)</f>
        <v/>
      </c>
      <c r="T148" s="94" t="str">
        <f aca="false">IF($C148="","",SUMIFS(Project_Activity!$P$2:$P$5000,Project_Activity!$C$2:$C$5000,$C148,Project_Activity!$U$2:$U$5000,"Recoverable",Project_Activity!$H$2:$H$5000,"&gt;="&amp;DATE(VALUE(LEFT($B148,4)),1,1),Project_Activity!$H$2:$H$5000,"&lt;="&amp;EOMONTH(DATE(VALUE(LEFT($B148,4)),VALUE(RIGHT($B148,1))*3,1),0)))</f>
        <v/>
      </c>
      <c r="U148" s="94" t="str">
        <f aca="false">IF($C148="","",-SUMIFS(Project_Activity!$P$2:$P$5000,Project_Activity!$C$2:$C$5000,$C148,Project_Activity!$U$2:$U$5000,"Recovered Expenses",Project_Activity!$H$2:$H$5000,"&gt;="&amp;DATE(VALUE(LEFT($B148,4)),1,1),Project_Activity!$H$2:$H$5000,"&lt;="&amp;EOMONTH(DATE(VALUE(LEFT($B148,4)),VALUE(RIGHT($B148,1))*3,1),0)))</f>
        <v/>
      </c>
      <c r="V148" s="145"/>
      <c r="W148" s="94" t="str">
        <f aca="false">IF($C148="","",$V148*$N148)</f>
        <v/>
      </c>
      <c r="X148" s="145"/>
      <c r="Y148" s="94" t="str">
        <f aca="false">IF($C148="","",$X148*$N148)</f>
        <v/>
      </c>
      <c r="Z148" s="145"/>
      <c r="AA148" s="94" t="str">
        <f aca="false">IF($C148="","",$Z148*$N148)</f>
        <v/>
      </c>
      <c r="AB148" s="145"/>
      <c r="AC148" s="94" t="str">
        <f aca="false">IF($C148="","",$AB148*$N148)</f>
        <v/>
      </c>
      <c r="AD148" s="94" t="str">
        <f aca="false">IF($C148="","",SUMPRODUCT((VALUE(MID($B148,7,1))&gt;={1,2,3,4})*CHOOSE({1,2,3,4},$W148,$Y148,$AA148,$AC148)))</f>
        <v/>
      </c>
      <c r="AE148" s="94" t="str">
        <f aca="false">IF($C148="","",$W148+$Y148+$AA148+$AC148-$AD148)</f>
        <v/>
      </c>
      <c r="AF148" s="146"/>
      <c r="AG148" s="146"/>
      <c r="AH148" s="146"/>
      <c r="AI148" s="147" t="str">
        <f aca="false">IF($C148="","",IF(OR($L148="Pipeline",$N148&lt;0,$O148&gt;$N148+1,($V148+$X148+$Z148+$AB148)&gt;1.0001,ISNUMBER(SEARCH("not signed",$AF148))),"REVIEW","OK"))</f>
        <v/>
      </c>
    </row>
    <row r="149" customFormat="false" ht="13.5" hidden="false" customHeight="false" outlineLevel="0" collapsed="false">
      <c r="A149" s="95" t="str">
        <f aca="false">IF($C149="","",Controls!$B$7)</f>
        <v/>
      </c>
      <c r="B149" s="95" t="str">
        <f aca="false">IF($C149="","",Controls!$B$30)</f>
        <v/>
      </c>
      <c r="C149" s="95" t="str">
        <f aca="false">IF(MM_Income!$A152="","",MM_Income!$A152)</f>
        <v/>
      </c>
      <c r="D149" s="95" t="str">
        <f aca="false">IF($C149="","",INDEX(MM_Income!$B$5:$B$204,MATCH($C149,MM_Income!$A$5:$A$204,0)))</f>
        <v/>
      </c>
      <c r="E149" s="95" t="str">
        <f aca="false">IF($C149="","",INDEX(MM_Income!$C$5:$C$204,MATCH($C149,MM_Income!$A$5:$A$204,0)))</f>
        <v/>
      </c>
      <c r="F149" s="95" t="str">
        <f aca="false">IF($C149="","",INDEX(MM_Income!$F$5:$F$204,MATCH($C149,MM_Income!$A$5:$A$204,0)))</f>
        <v/>
      </c>
      <c r="G149" s="95" t="str">
        <f aca="false">IF($C149="","",INDEX(MM_Income!$G$5:$G$204,MATCH($C149,MM_Income!$A$5:$A$204,0)))</f>
        <v/>
      </c>
      <c r="H149" s="95" t="str">
        <f aca="false">IF($C149="","",INDEX(MM_Income!$H$5:$H$204,MATCH($C149,MM_Income!$A$5:$A$204,0)))</f>
        <v/>
      </c>
      <c r="I149" s="95" t="str">
        <f aca="false">IF($C149="","",INDEX(MM_Income!$I$5:$I$204,MATCH($C149,MM_Income!$A$5:$A$204,0)))</f>
        <v/>
      </c>
      <c r="J149" s="95" t="str">
        <f aca="false">IF($C149="","",INDEX(MM_Income!$D$5:$D$204,MATCH($C149,MM_Income!$A$5:$A$204,0)))</f>
        <v/>
      </c>
      <c r="K149" s="95" t="str">
        <f aca="false">IF($C149="","",INDEX(MM_Income!$E$5:$E$204,MATCH($C149,MM_Income!$A$5:$A$204,0)))</f>
        <v/>
      </c>
      <c r="L149" s="95" t="str">
        <f aca="false">IF($C149="","",INDEX(MM_Income!$U$5:$U$204,MATCH($C149,MM_Income!$A$5:$A$204,0)))</f>
        <v/>
      </c>
      <c r="M149" s="143" t="str">
        <f aca="false">IF($C149="","",INDEX(MM_Income!$V$5:$V$204,MATCH($C149,MM_Income!$A$5:$A$204,0)))</f>
        <v/>
      </c>
      <c r="N149" s="144" t="str">
        <f aca="false">IF($C149="","",INDEX(MM_Income!$T$5:$T$204,MATCH($C149,MM_Income!$A$5:$A$204,0)))</f>
        <v/>
      </c>
      <c r="O149" s="94" t="str">
        <f aca="false">IF($C149="","",-SUMIFS(Project_Activity!$P$2:$P$5000,Project_Activity!$C$2:$C$5000,$C149,Project_Activity!$U$2:$U$5000,"Invoiced Income",Project_Activity!$H$2:$H$5000,"&gt;="&amp;DATE(VALUE(LEFT($B149,4)),1,1),Project_Activity!$H$2:$H$5000,"&lt;="&amp;EOMONTH(DATE(VALUE(LEFT($B149,4)),VALUE(RIGHT($B149,1))*3,1),0)))</f>
        <v/>
      </c>
      <c r="P149" s="94" t="str">
        <f aca="false">IF($C149="","",SUMIFS(Project_Activity!$P$2:$P$5000,Project_Activity!$C$2:$C$5000,$C149,Project_Activity!$U$2:$U$5000,"Subcontractor",Project_Activity!$H$2:$H$5000,"&gt;="&amp;DATE(VALUE(LEFT($B149,4)),1,1),Project_Activity!$H$2:$H$5000,"&lt;="&amp;EOMONTH(DATE(VALUE(LEFT($B149,4)),VALUE(RIGHT($B149,1))*3,1),0)))</f>
        <v/>
      </c>
      <c r="Q149" s="94" t="str">
        <f aca="false">IF($C149="","",SUMIFS(Project_Activity!$P$2:$P$5000,Project_Activity!$C$2:$C$5000,$C149,Project_Activity!$U$2:$U$5000,"Project Inclusive",Project_Activity!$H$2:$H$5000,"&gt;="&amp;DATE(VALUE(LEFT($B149,4)),1,1),Project_Activity!$H$2:$H$5000,"&lt;="&amp;EOMONTH(DATE(VALUE(LEFT($B149,4)),VALUE(RIGHT($B149,1))*3,1),0)))</f>
        <v/>
      </c>
      <c r="R149" s="94" t="str">
        <f aca="false">IF($C149="","",SUMIFS(Project_Activity!$P$2:$P$5000,Project_Activity!$C$2:$C$5000,$C149,Project_Activity!$U$2:$U$5000,"Non-Recoverable",Project_Activity!$H$2:$H$5000,"&gt;="&amp;DATE(VALUE(LEFT($B149,4)),1,1),Project_Activity!$H$2:$H$5000,"&lt;="&amp;EOMONTH(DATE(VALUE(LEFT($B149,4)),VALUE(RIGHT($B149,1))*3,1),0)))</f>
        <v/>
      </c>
      <c r="S149" s="94" t="str">
        <f aca="false">IF($C149="","",$O149-$P149-$Q149-$R149)</f>
        <v/>
      </c>
      <c r="T149" s="94" t="str">
        <f aca="false">IF($C149="","",SUMIFS(Project_Activity!$P$2:$P$5000,Project_Activity!$C$2:$C$5000,$C149,Project_Activity!$U$2:$U$5000,"Recoverable",Project_Activity!$H$2:$H$5000,"&gt;="&amp;DATE(VALUE(LEFT($B149,4)),1,1),Project_Activity!$H$2:$H$5000,"&lt;="&amp;EOMONTH(DATE(VALUE(LEFT($B149,4)),VALUE(RIGHT($B149,1))*3,1),0)))</f>
        <v/>
      </c>
      <c r="U149" s="94" t="str">
        <f aca="false">IF($C149="","",-SUMIFS(Project_Activity!$P$2:$P$5000,Project_Activity!$C$2:$C$5000,$C149,Project_Activity!$U$2:$U$5000,"Recovered Expenses",Project_Activity!$H$2:$H$5000,"&gt;="&amp;DATE(VALUE(LEFT($B149,4)),1,1),Project_Activity!$H$2:$H$5000,"&lt;="&amp;EOMONTH(DATE(VALUE(LEFT($B149,4)),VALUE(RIGHT($B149,1))*3,1),0)))</f>
        <v/>
      </c>
      <c r="V149" s="145"/>
      <c r="W149" s="94" t="str">
        <f aca="false">IF($C149="","",$V149*$N149)</f>
        <v/>
      </c>
      <c r="X149" s="145"/>
      <c r="Y149" s="94" t="str">
        <f aca="false">IF($C149="","",$X149*$N149)</f>
        <v/>
      </c>
      <c r="Z149" s="145"/>
      <c r="AA149" s="94" t="str">
        <f aca="false">IF($C149="","",$Z149*$N149)</f>
        <v/>
      </c>
      <c r="AB149" s="145"/>
      <c r="AC149" s="94" t="str">
        <f aca="false">IF($C149="","",$AB149*$N149)</f>
        <v/>
      </c>
      <c r="AD149" s="94" t="str">
        <f aca="false">IF($C149="","",SUMPRODUCT((VALUE(MID($B149,7,1))&gt;={1,2,3,4})*CHOOSE({1,2,3,4},$W149,$Y149,$AA149,$AC149)))</f>
        <v/>
      </c>
      <c r="AE149" s="94" t="str">
        <f aca="false">IF($C149="","",$W149+$Y149+$AA149+$AC149-$AD149)</f>
        <v/>
      </c>
      <c r="AF149" s="146"/>
      <c r="AG149" s="146"/>
      <c r="AH149" s="146"/>
      <c r="AI149" s="147" t="str">
        <f aca="false">IF($C149="","",IF(OR($L149="Pipeline",$N149&lt;0,$O149&gt;$N149+1,($V149+$X149+$Z149+$AB149)&gt;1.0001,ISNUMBER(SEARCH("not signed",$AF149))),"REVIEW","OK"))</f>
        <v/>
      </c>
    </row>
    <row r="150" customFormat="false" ht="13.5" hidden="false" customHeight="false" outlineLevel="0" collapsed="false">
      <c r="A150" s="95" t="str">
        <f aca="false">IF($C150="","",Controls!$B$7)</f>
        <v/>
      </c>
      <c r="B150" s="95" t="str">
        <f aca="false">IF($C150="","",Controls!$B$30)</f>
        <v/>
      </c>
      <c r="C150" s="95" t="str">
        <f aca="false">IF(MM_Income!$A153="","",MM_Income!$A153)</f>
        <v/>
      </c>
      <c r="D150" s="95" t="str">
        <f aca="false">IF($C150="","",INDEX(MM_Income!$B$5:$B$204,MATCH($C150,MM_Income!$A$5:$A$204,0)))</f>
        <v/>
      </c>
      <c r="E150" s="95" t="str">
        <f aca="false">IF($C150="","",INDEX(MM_Income!$C$5:$C$204,MATCH($C150,MM_Income!$A$5:$A$204,0)))</f>
        <v/>
      </c>
      <c r="F150" s="95" t="str">
        <f aca="false">IF($C150="","",INDEX(MM_Income!$F$5:$F$204,MATCH($C150,MM_Income!$A$5:$A$204,0)))</f>
        <v/>
      </c>
      <c r="G150" s="95" t="str">
        <f aca="false">IF($C150="","",INDEX(MM_Income!$G$5:$G$204,MATCH($C150,MM_Income!$A$5:$A$204,0)))</f>
        <v/>
      </c>
      <c r="H150" s="95" t="str">
        <f aca="false">IF($C150="","",INDEX(MM_Income!$H$5:$H$204,MATCH($C150,MM_Income!$A$5:$A$204,0)))</f>
        <v/>
      </c>
      <c r="I150" s="95" t="str">
        <f aca="false">IF($C150="","",INDEX(MM_Income!$I$5:$I$204,MATCH($C150,MM_Income!$A$5:$A$204,0)))</f>
        <v/>
      </c>
      <c r="J150" s="95" t="str">
        <f aca="false">IF($C150="","",INDEX(MM_Income!$D$5:$D$204,MATCH($C150,MM_Income!$A$5:$A$204,0)))</f>
        <v/>
      </c>
      <c r="K150" s="95" t="str">
        <f aca="false">IF($C150="","",INDEX(MM_Income!$E$5:$E$204,MATCH($C150,MM_Income!$A$5:$A$204,0)))</f>
        <v/>
      </c>
      <c r="L150" s="95" t="str">
        <f aca="false">IF($C150="","",INDEX(MM_Income!$U$5:$U$204,MATCH($C150,MM_Income!$A$5:$A$204,0)))</f>
        <v/>
      </c>
      <c r="M150" s="143" t="str">
        <f aca="false">IF($C150="","",INDEX(MM_Income!$V$5:$V$204,MATCH($C150,MM_Income!$A$5:$A$204,0)))</f>
        <v/>
      </c>
      <c r="N150" s="144" t="str">
        <f aca="false">IF($C150="","",INDEX(MM_Income!$T$5:$T$204,MATCH($C150,MM_Income!$A$5:$A$204,0)))</f>
        <v/>
      </c>
      <c r="O150" s="94" t="str">
        <f aca="false">IF($C150="","",-SUMIFS(Project_Activity!$P$2:$P$5000,Project_Activity!$C$2:$C$5000,$C150,Project_Activity!$U$2:$U$5000,"Invoiced Income",Project_Activity!$H$2:$H$5000,"&gt;="&amp;DATE(VALUE(LEFT($B150,4)),1,1),Project_Activity!$H$2:$H$5000,"&lt;="&amp;EOMONTH(DATE(VALUE(LEFT($B150,4)),VALUE(RIGHT($B150,1))*3,1),0)))</f>
        <v/>
      </c>
      <c r="P150" s="94" t="str">
        <f aca="false">IF($C150="","",SUMIFS(Project_Activity!$P$2:$P$5000,Project_Activity!$C$2:$C$5000,$C150,Project_Activity!$U$2:$U$5000,"Subcontractor",Project_Activity!$H$2:$H$5000,"&gt;="&amp;DATE(VALUE(LEFT($B150,4)),1,1),Project_Activity!$H$2:$H$5000,"&lt;="&amp;EOMONTH(DATE(VALUE(LEFT($B150,4)),VALUE(RIGHT($B150,1))*3,1),0)))</f>
        <v/>
      </c>
      <c r="Q150" s="94" t="str">
        <f aca="false">IF($C150="","",SUMIFS(Project_Activity!$P$2:$P$5000,Project_Activity!$C$2:$C$5000,$C150,Project_Activity!$U$2:$U$5000,"Project Inclusive",Project_Activity!$H$2:$H$5000,"&gt;="&amp;DATE(VALUE(LEFT($B150,4)),1,1),Project_Activity!$H$2:$H$5000,"&lt;="&amp;EOMONTH(DATE(VALUE(LEFT($B150,4)),VALUE(RIGHT($B150,1))*3,1),0)))</f>
        <v/>
      </c>
      <c r="R150" s="94" t="str">
        <f aca="false">IF($C150="","",SUMIFS(Project_Activity!$P$2:$P$5000,Project_Activity!$C$2:$C$5000,$C150,Project_Activity!$U$2:$U$5000,"Non-Recoverable",Project_Activity!$H$2:$H$5000,"&gt;="&amp;DATE(VALUE(LEFT($B150,4)),1,1),Project_Activity!$H$2:$H$5000,"&lt;="&amp;EOMONTH(DATE(VALUE(LEFT($B150,4)),VALUE(RIGHT($B150,1))*3,1),0)))</f>
        <v/>
      </c>
      <c r="S150" s="94" t="str">
        <f aca="false">IF($C150="","",$O150-$P150-$Q150-$R150)</f>
        <v/>
      </c>
      <c r="T150" s="94" t="str">
        <f aca="false">IF($C150="","",SUMIFS(Project_Activity!$P$2:$P$5000,Project_Activity!$C$2:$C$5000,$C150,Project_Activity!$U$2:$U$5000,"Recoverable",Project_Activity!$H$2:$H$5000,"&gt;="&amp;DATE(VALUE(LEFT($B150,4)),1,1),Project_Activity!$H$2:$H$5000,"&lt;="&amp;EOMONTH(DATE(VALUE(LEFT($B150,4)),VALUE(RIGHT($B150,1))*3,1),0)))</f>
        <v/>
      </c>
      <c r="U150" s="94" t="str">
        <f aca="false">IF($C150="","",-SUMIFS(Project_Activity!$P$2:$P$5000,Project_Activity!$C$2:$C$5000,$C150,Project_Activity!$U$2:$U$5000,"Recovered Expenses",Project_Activity!$H$2:$H$5000,"&gt;="&amp;DATE(VALUE(LEFT($B150,4)),1,1),Project_Activity!$H$2:$H$5000,"&lt;="&amp;EOMONTH(DATE(VALUE(LEFT($B150,4)),VALUE(RIGHT($B150,1))*3,1),0)))</f>
        <v/>
      </c>
      <c r="V150" s="145"/>
      <c r="W150" s="94" t="str">
        <f aca="false">IF($C150="","",$V150*$N150)</f>
        <v/>
      </c>
      <c r="X150" s="145"/>
      <c r="Y150" s="94" t="str">
        <f aca="false">IF($C150="","",$X150*$N150)</f>
        <v/>
      </c>
      <c r="Z150" s="145"/>
      <c r="AA150" s="94" t="str">
        <f aca="false">IF($C150="","",$Z150*$N150)</f>
        <v/>
      </c>
      <c r="AB150" s="145"/>
      <c r="AC150" s="94" t="str">
        <f aca="false">IF($C150="","",$AB150*$N150)</f>
        <v/>
      </c>
      <c r="AD150" s="94" t="str">
        <f aca="false">IF($C150="","",SUMPRODUCT((VALUE(MID($B150,7,1))&gt;={1,2,3,4})*CHOOSE({1,2,3,4},$W150,$Y150,$AA150,$AC150)))</f>
        <v/>
      </c>
      <c r="AE150" s="94" t="str">
        <f aca="false">IF($C150="","",$W150+$Y150+$AA150+$AC150-$AD150)</f>
        <v/>
      </c>
      <c r="AF150" s="146"/>
      <c r="AG150" s="146"/>
      <c r="AH150" s="146"/>
      <c r="AI150" s="147" t="str">
        <f aca="false">IF($C150="","",IF(OR($L150="Pipeline",$N150&lt;0,$O150&gt;$N150+1,($V150+$X150+$Z150+$AB150)&gt;1.0001,ISNUMBER(SEARCH("not signed",$AF150))),"REVIEW","OK"))</f>
        <v/>
      </c>
    </row>
    <row r="151" customFormat="false" ht="13.5" hidden="false" customHeight="false" outlineLevel="0" collapsed="false">
      <c r="A151" s="95" t="str">
        <f aca="false">IF($C151="","",Controls!$B$7)</f>
        <v/>
      </c>
      <c r="B151" s="95" t="str">
        <f aca="false">IF($C151="","",Controls!$B$30)</f>
        <v/>
      </c>
      <c r="C151" s="95" t="str">
        <f aca="false">IF(MM_Income!$A154="","",MM_Income!$A154)</f>
        <v/>
      </c>
      <c r="D151" s="95" t="str">
        <f aca="false">IF($C151="","",INDEX(MM_Income!$B$5:$B$204,MATCH($C151,MM_Income!$A$5:$A$204,0)))</f>
        <v/>
      </c>
      <c r="E151" s="95" t="str">
        <f aca="false">IF($C151="","",INDEX(MM_Income!$C$5:$C$204,MATCH($C151,MM_Income!$A$5:$A$204,0)))</f>
        <v/>
      </c>
      <c r="F151" s="95" t="str">
        <f aca="false">IF($C151="","",INDEX(MM_Income!$F$5:$F$204,MATCH($C151,MM_Income!$A$5:$A$204,0)))</f>
        <v/>
      </c>
      <c r="G151" s="95" t="str">
        <f aca="false">IF($C151="","",INDEX(MM_Income!$G$5:$G$204,MATCH($C151,MM_Income!$A$5:$A$204,0)))</f>
        <v/>
      </c>
      <c r="H151" s="95" t="str">
        <f aca="false">IF($C151="","",INDEX(MM_Income!$H$5:$H$204,MATCH($C151,MM_Income!$A$5:$A$204,0)))</f>
        <v/>
      </c>
      <c r="I151" s="95" t="str">
        <f aca="false">IF($C151="","",INDEX(MM_Income!$I$5:$I$204,MATCH($C151,MM_Income!$A$5:$A$204,0)))</f>
        <v/>
      </c>
      <c r="J151" s="95" t="str">
        <f aca="false">IF($C151="","",INDEX(MM_Income!$D$5:$D$204,MATCH($C151,MM_Income!$A$5:$A$204,0)))</f>
        <v/>
      </c>
      <c r="K151" s="95" t="str">
        <f aca="false">IF($C151="","",INDEX(MM_Income!$E$5:$E$204,MATCH($C151,MM_Income!$A$5:$A$204,0)))</f>
        <v/>
      </c>
      <c r="L151" s="95" t="str">
        <f aca="false">IF($C151="","",INDEX(MM_Income!$U$5:$U$204,MATCH($C151,MM_Income!$A$5:$A$204,0)))</f>
        <v/>
      </c>
      <c r="M151" s="143" t="str">
        <f aca="false">IF($C151="","",INDEX(MM_Income!$V$5:$V$204,MATCH($C151,MM_Income!$A$5:$A$204,0)))</f>
        <v/>
      </c>
      <c r="N151" s="144" t="str">
        <f aca="false">IF($C151="","",INDEX(MM_Income!$T$5:$T$204,MATCH($C151,MM_Income!$A$5:$A$204,0)))</f>
        <v/>
      </c>
      <c r="O151" s="94" t="str">
        <f aca="false">IF($C151="","",-SUMIFS(Project_Activity!$P$2:$P$5000,Project_Activity!$C$2:$C$5000,$C151,Project_Activity!$U$2:$U$5000,"Invoiced Income",Project_Activity!$H$2:$H$5000,"&gt;="&amp;DATE(VALUE(LEFT($B151,4)),1,1),Project_Activity!$H$2:$H$5000,"&lt;="&amp;EOMONTH(DATE(VALUE(LEFT($B151,4)),VALUE(RIGHT($B151,1))*3,1),0)))</f>
        <v/>
      </c>
      <c r="P151" s="94" t="str">
        <f aca="false">IF($C151="","",SUMIFS(Project_Activity!$P$2:$P$5000,Project_Activity!$C$2:$C$5000,$C151,Project_Activity!$U$2:$U$5000,"Subcontractor",Project_Activity!$H$2:$H$5000,"&gt;="&amp;DATE(VALUE(LEFT($B151,4)),1,1),Project_Activity!$H$2:$H$5000,"&lt;="&amp;EOMONTH(DATE(VALUE(LEFT($B151,4)),VALUE(RIGHT($B151,1))*3,1),0)))</f>
        <v/>
      </c>
      <c r="Q151" s="94" t="str">
        <f aca="false">IF($C151="","",SUMIFS(Project_Activity!$P$2:$P$5000,Project_Activity!$C$2:$C$5000,$C151,Project_Activity!$U$2:$U$5000,"Project Inclusive",Project_Activity!$H$2:$H$5000,"&gt;="&amp;DATE(VALUE(LEFT($B151,4)),1,1),Project_Activity!$H$2:$H$5000,"&lt;="&amp;EOMONTH(DATE(VALUE(LEFT($B151,4)),VALUE(RIGHT($B151,1))*3,1),0)))</f>
        <v/>
      </c>
      <c r="R151" s="94" t="str">
        <f aca="false">IF($C151="","",SUMIFS(Project_Activity!$P$2:$P$5000,Project_Activity!$C$2:$C$5000,$C151,Project_Activity!$U$2:$U$5000,"Non-Recoverable",Project_Activity!$H$2:$H$5000,"&gt;="&amp;DATE(VALUE(LEFT($B151,4)),1,1),Project_Activity!$H$2:$H$5000,"&lt;="&amp;EOMONTH(DATE(VALUE(LEFT($B151,4)),VALUE(RIGHT($B151,1))*3,1),0)))</f>
        <v/>
      </c>
      <c r="S151" s="94" t="str">
        <f aca="false">IF($C151="","",$O151-$P151-$Q151-$R151)</f>
        <v/>
      </c>
      <c r="T151" s="94" t="str">
        <f aca="false">IF($C151="","",SUMIFS(Project_Activity!$P$2:$P$5000,Project_Activity!$C$2:$C$5000,$C151,Project_Activity!$U$2:$U$5000,"Recoverable",Project_Activity!$H$2:$H$5000,"&gt;="&amp;DATE(VALUE(LEFT($B151,4)),1,1),Project_Activity!$H$2:$H$5000,"&lt;="&amp;EOMONTH(DATE(VALUE(LEFT($B151,4)),VALUE(RIGHT($B151,1))*3,1),0)))</f>
        <v/>
      </c>
      <c r="U151" s="94" t="str">
        <f aca="false">IF($C151="","",-SUMIFS(Project_Activity!$P$2:$P$5000,Project_Activity!$C$2:$C$5000,$C151,Project_Activity!$U$2:$U$5000,"Recovered Expenses",Project_Activity!$H$2:$H$5000,"&gt;="&amp;DATE(VALUE(LEFT($B151,4)),1,1),Project_Activity!$H$2:$H$5000,"&lt;="&amp;EOMONTH(DATE(VALUE(LEFT($B151,4)),VALUE(RIGHT($B151,1))*3,1),0)))</f>
        <v/>
      </c>
      <c r="V151" s="145"/>
      <c r="W151" s="94" t="str">
        <f aca="false">IF($C151="","",$V151*$N151)</f>
        <v/>
      </c>
      <c r="X151" s="145"/>
      <c r="Y151" s="94" t="str">
        <f aca="false">IF($C151="","",$X151*$N151)</f>
        <v/>
      </c>
      <c r="Z151" s="145"/>
      <c r="AA151" s="94" t="str">
        <f aca="false">IF($C151="","",$Z151*$N151)</f>
        <v/>
      </c>
      <c r="AB151" s="145"/>
      <c r="AC151" s="94" t="str">
        <f aca="false">IF($C151="","",$AB151*$N151)</f>
        <v/>
      </c>
      <c r="AD151" s="94" t="str">
        <f aca="false">IF($C151="","",SUMPRODUCT((VALUE(MID($B151,7,1))&gt;={1,2,3,4})*CHOOSE({1,2,3,4},$W151,$Y151,$AA151,$AC151)))</f>
        <v/>
      </c>
      <c r="AE151" s="94" t="str">
        <f aca="false">IF($C151="","",$W151+$Y151+$AA151+$AC151-$AD151)</f>
        <v/>
      </c>
      <c r="AF151" s="146"/>
      <c r="AG151" s="146"/>
      <c r="AH151" s="146"/>
      <c r="AI151" s="147" t="str">
        <f aca="false">IF($C151="","",IF(OR($L151="Pipeline",$N151&lt;0,$O151&gt;$N151+1,($V151+$X151+$Z151+$AB151)&gt;1.0001,ISNUMBER(SEARCH("not signed",$AF151))),"REVIEW","OK"))</f>
        <v/>
      </c>
    </row>
    <row r="152" customFormat="false" ht="13.5" hidden="false" customHeight="false" outlineLevel="0" collapsed="false">
      <c r="A152" s="95" t="str">
        <f aca="false">IF($C152="","",Controls!$B$7)</f>
        <v/>
      </c>
      <c r="B152" s="95" t="str">
        <f aca="false">IF($C152="","",Controls!$B$30)</f>
        <v/>
      </c>
      <c r="C152" s="95" t="str">
        <f aca="false">IF(MM_Income!$A155="","",MM_Income!$A155)</f>
        <v/>
      </c>
      <c r="D152" s="95" t="str">
        <f aca="false">IF($C152="","",INDEX(MM_Income!$B$5:$B$204,MATCH($C152,MM_Income!$A$5:$A$204,0)))</f>
        <v/>
      </c>
      <c r="E152" s="95" t="str">
        <f aca="false">IF($C152="","",INDEX(MM_Income!$C$5:$C$204,MATCH($C152,MM_Income!$A$5:$A$204,0)))</f>
        <v/>
      </c>
      <c r="F152" s="95" t="str">
        <f aca="false">IF($C152="","",INDEX(MM_Income!$F$5:$F$204,MATCH($C152,MM_Income!$A$5:$A$204,0)))</f>
        <v/>
      </c>
      <c r="G152" s="95" t="str">
        <f aca="false">IF($C152="","",INDEX(MM_Income!$G$5:$G$204,MATCH($C152,MM_Income!$A$5:$A$204,0)))</f>
        <v/>
      </c>
      <c r="H152" s="95" t="str">
        <f aca="false">IF($C152="","",INDEX(MM_Income!$H$5:$H$204,MATCH($C152,MM_Income!$A$5:$A$204,0)))</f>
        <v/>
      </c>
      <c r="I152" s="95" t="str">
        <f aca="false">IF($C152="","",INDEX(MM_Income!$I$5:$I$204,MATCH($C152,MM_Income!$A$5:$A$204,0)))</f>
        <v/>
      </c>
      <c r="J152" s="95" t="str">
        <f aca="false">IF($C152="","",INDEX(MM_Income!$D$5:$D$204,MATCH($C152,MM_Income!$A$5:$A$204,0)))</f>
        <v/>
      </c>
      <c r="K152" s="95" t="str">
        <f aca="false">IF($C152="","",INDEX(MM_Income!$E$5:$E$204,MATCH($C152,MM_Income!$A$5:$A$204,0)))</f>
        <v/>
      </c>
      <c r="L152" s="95" t="str">
        <f aca="false">IF($C152="","",INDEX(MM_Income!$U$5:$U$204,MATCH($C152,MM_Income!$A$5:$A$204,0)))</f>
        <v/>
      </c>
      <c r="M152" s="143" t="str">
        <f aca="false">IF($C152="","",INDEX(MM_Income!$V$5:$V$204,MATCH($C152,MM_Income!$A$5:$A$204,0)))</f>
        <v/>
      </c>
      <c r="N152" s="144" t="str">
        <f aca="false">IF($C152="","",INDEX(MM_Income!$T$5:$T$204,MATCH($C152,MM_Income!$A$5:$A$204,0)))</f>
        <v/>
      </c>
      <c r="O152" s="94" t="str">
        <f aca="false">IF($C152="","",-SUMIFS(Project_Activity!$P$2:$P$5000,Project_Activity!$C$2:$C$5000,$C152,Project_Activity!$U$2:$U$5000,"Invoiced Income",Project_Activity!$H$2:$H$5000,"&gt;="&amp;DATE(VALUE(LEFT($B152,4)),1,1),Project_Activity!$H$2:$H$5000,"&lt;="&amp;EOMONTH(DATE(VALUE(LEFT($B152,4)),VALUE(RIGHT($B152,1))*3,1),0)))</f>
        <v/>
      </c>
      <c r="P152" s="94" t="str">
        <f aca="false">IF($C152="","",SUMIFS(Project_Activity!$P$2:$P$5000,Project_Activity!$C$2:$C$5000,$C152,Project_Activity!$U$2:$U$5000,"Subcontractor",Project_Activity!$H$2:$H$5000,"&gt;="&amp;DATE(VALUE(LEFT($B152,4)),1,1),Project_Activity!$H$2:$H$5000,"&lt;="&amp;EOMONTH(DATE(VALUE(LEFT($B152,4)),VALUE(RIGHT($B152,1))*3,1),0)))</f>
        <v/>
      </c>
      <c r="Q152" s="94" t="str">
        <f aca="false">IF($C152="","",SUMIFS(Project_Activity!$P$2:$P$5000,Project_Activity!$C$2:$C$5000,$C152,Project_Activity!$U$2:$U$5000,"Project Inclusive",Project_Activity!$H$2:$H$5000,"&gt;="&amp;DATE(VALUE(LEFT($B152,4)),1,1),Project_Activity!$H$2:$H$5000,"&lt;="&amp;EOMONTH(DATE(VALUE(LEFT($B152,4)),VALUE(RIGHT($B152,1))*3,1),0)))</f>
        <v/>
      </c>
      <c r="R152" s="94" t="str">
        <f aca="false">IF($C152="","",SUMIFS(Project_Activity!$P$2:$P$5000,Project_Activity!$C$2:$C$5000,$C152,Project_Activity!$U$2:$U$5000,"Non-Recoverable",Project_Activity!$H$2:$H$5000,"&gt;="&amp;DATE(VALUE(LEFT($B152,4)),1,1),Project_Activity!$H$2:$H$5000,"&lt;="&amp;EOMONTH(DATE(VALUE(LEFT($B152,4)),VALUE(RIGHT($B152,1))*3,1),0)))</f>
        <v/>
      </c>
      <c r="S152" s="94" t="str">
        <f aca="false">IF($C152="","",$O152-$P152-$Q152-$R152)</f>
        <v/>
      </c>
      <c r="T152" s="94" t="str">
        <f aca="false">IF($C152="","",SUMIFS(Project_Activity!$P$2:$P$5000,Project_Activity!$C$2:$C$5000,$C152,Project_Activity!$U$2:$U$5000,"Recoverable",Project_Activity!$H$2:$H$5000,"&gt;="&amp;DATE(VALUE(LEFT($B152,4)),1,1),Project_Activity!$H$2:$H$5000,"&lt;="&amp;EOMONTH(DATE(VALUE(LEFT($B152,4)),VALUE(RIGHT($B152,1))*3,1),0)))</f>
        <v/>
      </c>
      <c r="U152" s="94" t="str">
        <f aca="false">IF($C152="","",-SUMIFS(Project_Activity!$P$2:$P$5000,Project_Activity!$C$2:$C$5000,$C152,Project_Activity!$U$2:$U$5000,"Recovered Expenses",Project_Activity!$H$2:$H$5000,"&gt;="&amp;DATE(VALUE(LEFT($B152,4)),1,1),Project_Activity!$H$2:$H$5000,"&lt;="&amp;EOMONTH(DATE(VALUE(LEFT($B152,4)),VALUE(RIGHT($B152,1))*3,1),0)))</f>
        <v/>
      </c>
      <c r="V152" s="145"/>
      <c r="W152" s="94" t="str">
        <f aca="false">IF($C152="","",$V152*$N152)</f>
        <v/>
      </c>
      <c r="X152" s="145"/>
      <c r="Y152" s="94" t="str">
        <f aca="false">IF($C152="","",$X152*$N152)</f>
        <v/>
      </c>
      <c r="Z152" s="145"/>
      <c r="AA152" s="94" t="str">
        <f aca="false">IF($C152="","",$Z152*$N152)</f>
        <v/>
      </c>
      <c r="AB152" s="145"/>
      <c r="AC152" s="94" t="str">
        <f aca="false">IF($C152="","",$AB152*$N152)</f>
        <v/>
      </c>
      <c r="AD152" s="94" t="str">
        <f aca="false">IF($C152="","",SUMPRODUCT((VALUE(MID($B152,7,1))&gt;={1,2,3,4})*CHOOSE({1,2,3,4},$W152,$Y152,$AA152,$AC152)))</f>
        <v/>
      </c>
      <c r="AE152" s="94" t="str">
        <f aca="false">IF($C152="","",$W152+$Y152+$AA152+$AC152-$AD152)</f>
        <v/>
      </c>
      <c r="AF152" s="146"/>
      <c r="AG152" s="146"/>
      <c r="AH152" s="146"/>
      <c r="AI152" s="147" t="str">
        <f aca="false">IF($C152="","",IF(OR($L152="Pipeline",$N152&lt;0,$O152&gt;$N152+1,($V152+$X152+$Z152+$AB152)&gt;1.0001,ISNUMBER(SEARCH("not signed",$AF152))),"REVIEW","OK"))</f>
        <v/>
      </c>
    </row>
    <row r="153" customFormat="false" ht="13.5" hidden="false" customHeight="false" outlineLevel="0" collapsed="false">
      <c r="A153" s="95" t="str">
        <f aca="false">IF($C153="","",Controls!$B$7)</f>
        <v/>
      </c>
      <c r="B153" s="95" t="str">
        <f aca="false">IF($C153="","",Controls!$B$30)</f>
        <v/>
      </c>
      <c r="C153" s="95" t="str">
        <f aca="false">IF(MM_Income!$A156="","",MM_Income!$A156)</f>
        <v/>
      </c>
      <c r="D153" s="95" t="str">
        <f aca="false">IF($C153="","",INDEX(MM_Income!$B$5:$B$204,MATCH($C153,MM_Income!$A$5:$A$204,0)))</f>
        <v/>
      </c>
      <c r="E153" s="95" t="str">
        <f aca="false">IF($C153="","",INDEX(MM_Income!$C$5:$C$204,MATCH($C153,MM_Income!$A$5:$A$204,0)))</f>
        <v/>
      </c>
      <c r="F153" s="95" t="str">
        <f aca="false">IF($C153="","",INDEX(MM_Income!$F$5:$F$204,MATCH($C153,MM_Income!$A$5:$A$204,0)))</f>
        <v/>
      </c>
      <c r="G153" s="95" t="str">
        <f aca="false">IF($C153="","",INDEX(MM_Income!$G$5:$G$204,MATCH($C153,MM_Income!$A$5:$A$204,0)))</f>
        <v/>
      </c>
      <c r="H153" s="95" t="str">
        <f aca="false">IF($C153="","",INDEX(MM_Income!$H$5:$H$204,MATCH($C153,MM_Income!$A$5:$A$204,0)))</f>
        <v/>
      </c>
      <c r="I153" s="95" t="str">
        <f aca="false">IF($C153="","",INDEX(MM_Income!$I$5:$I$204,MATCH($C153,MM_Income!$A$5:$A$204,0)))</f>
        <v/>
      </c>
      <c r="J153" s="95" t="str">
        <f aca="false">IF($C153="","",INDEX(MM_Income!$D$5:$D$204,MATCH($C153,MM_Income!$A$5:$A$204,0)))</f>
        <v/>
      </c>
      <c r="K153" s="95" t="str">
        <f aca="false">IF($C153="","",INDEX(MM_Income!$E$5:$E$204,MATCH($C153,MM_Income!$A$5:$A$204,0)))</f>
        <v/>
      </c>
      <c r="L153" s="95" t="str">
        <f aca="false">IF($C153="","",INDEX(MM_Income!$U$5:$U$204,MATCH($C153,MM_Income!$A$5:$A$204,0)))</f>
        <v/>
      </c>
      <c r="M153" s="143" t="str">
        <f aca="false">IF($C153="","",INDEX(MM_Income!$V$5:$V$204,MATCH($C153,MM_Income!$A$5:$A$204,0)))</f>
        <v/>
      </c>
      <c r="N153" s="144" t="str">
        <f aca="false">IF($C153="","",INDEX(MM_Income!$T$5:$T$204,MATCH($C153,MM_Income!$A$5:$A$204,0)))</f>
        <v/>
      </c>
      <c r="O153" s="94" t="str">
        <f aca="false">IF($C153="","",-SUMIFS(Project_Activity!$P$2:$P$5000,Project_Activity!$C$2:$C$5000,$C153,Project_Activity!$U$2:$U$5000,"Invoiced Income",Project_Activity!$H$2:$H$5000,"&gt;="&amp;DATE(VALUE(LEFT($B153,4)),1,1),Project_Activity!$H$2:$H$5000,"&lt;="&amp;EOMONTH(DATE(VALUE(LEFT($B153,4)),VALUE(RIGHT($B153,1))*3,1),0)))</f>
        <v/>
      </c>
      <c r="P153" s="94" t="str">
        <f aca="false">IF($C153="","",SUMIFS(Project_Activity!$P$2:$P$5000,Project_Activity!$C$2:$C$5000,$C153,Project_Activity!$U$2:$U$5000,"Subcontractor",Project_Activity!$H$2:$H$5000,"&gt;="&amp;DATE(VALUE(LEFT($B153,4)),1,1),Project_Activity!$H$2:$H$5000,"&lt;="&amp;EOMONTH(DATE(VALUE(LEFT($B153,4)),VALUE(RIGHT($B153,1))*3,1),0)))</f>
        <v/>
      </c>
      <c r="Q153" s="94" t="str">
        <f aca="false">IF($C153="","",SUMIFS(Project_Activity!$P$2:$P$5000,Project_Activity!$C$2:$C$5000,$C153,Project_Activity!$U$2:$U$5000,"Project Inclusive",Project_Activity!$H$2:$H$5000,"&gt;="&amp;DATE(VALUE(LEFT($B153,4)),1,1),Project_Activity!$H$2:$H$5000,"&lt;="&amp;EOMONTH(DATE(VALUE(LEFT($B153,4)),VALUE(RIGHT($B153,1))*3,1),0)))</f>
        <v/>
      </c>
      <c r="R153" s="94" t="str">
        <f aca="false">IF($C153="","",SUMIFS(Project_Activity!$P$2:$P$5000,Project_Activity!$C$2:$C$5000,$C153,Project_Activity!$U$2:$U$5000,"Non-Recoverable",Project_Activity!$H$2:$H$5000,"&gt;="&amp;DATE(VALUE(LEFT($B153,4)),1,1),Project_Activity!$H$2:$H$5000,"&lt;="&amp;EOMONTH(DATE(VALUE(LEFT($B153,4)),VALUE(RIGHT($B153,1))*3,1),0)))</f>
        <v/>
      </c>
      <c r="S153" s="94" t="str">
        <f aca="false">IF($C153="","",$O153-$P153-$Q153-$R153)</f>
        <v/>
      </c>
      <c r="T153" s="94" t="str">
        <f aca="false">IF($C153="","",SUMIFS(Project_Activity!$P$2:$P$5000,Project_Activity!$C$2:$C$5000,$C153,Project_Activity!$U$2:$U$5000,"Recoverable",Project_Activity!$H$2:$H$5000,"&gt;="&amp;DATE(VALUE(LEFT($B153,4)),1,1),Project_Activity!$H$2:$H$5000,"&lt;="&amp;EOMONTH(DATE(VALUE(LEFT($B153,4)),VALUE(RIGHT($B153,1))*3,1),0)))</f>
        <v/>
      </c>
      <c r="U153" s="94" t="str">
        <f aca="false">IF($C153="","",-SUMIFS(Project_Activity!$P$2:$P$5000,Project_Activity!$C$2:$C$5000,$C153,Project_Activity!$U$2:$U$5000,"Recovered Expenses",Project_Activity!$H$2:$H$5000,"&gt;="&amp;DATE(VALUE(LEFT($B153,4)),1,1),Project_Activity!$H$2:$H$5000,"&lt;="&amp;EOMONTH(DATE(VALUE(LEFT($B153,4)),VALUE(RIGHT($B153,1))*3,1),0)))</f>
        <v/>
      </c>
      <c r="V153" s="145"/>
      <c r="W153" s="94" t="str">
        <f aca="false">IF($C153="","",$V153*$N153)</f>
        <v/>
      </c>
      <c r="X153" s="145"/>
      <c r="Y153" s="94" t="str">
        <f aca="false">IF($C153="","",$X153*$N153)</f>
        <v/>
      </c>
      <c r="Z153" s="145"/>
      <c r="AA153" s="94" t="str">
        <f aca="false">IF($C153="","",$Z153*$N153)</f>
        <v/>
      </c>
      <c r="AB153" s="145"/>
      <c r="AC153" s="94" t="str">
        <f aca="false">IF($C153="","",$AB153*$N153)</f>
        <v/>
      </c>
      <c r="AD153" s="94" t="str">
        <f aca="false">IF($C153="","",SUMPRODUCT((VALUE(MID($B153,7,1))&gt;={1,2,3,4})*CHOOSE({1,2,3,4},$W153,$Y153,$AA153,$AC153)))</f>
        <v/>
      </c>
      <c r="AE153" s="94" t="str">
        <f aca="false">IF($C153="","",$W153+$Y153+$AA153+$AC153-$AD153)</f>
        <v/>
      </c>
      <c r="AF153" s="146"/>
      <c r="AG153" s="146"/>
      <c r="AH153" s="146"/>
      <c r="AI153" s="147" t="str">
        <f aca="false">IF($C153="","",IF(OR($L153="Pipeline",$N153&lt;0,$O153&gt;$N153+1,($V153+$X153+$Z153+$AB153)&gt;1.0001,ISNUMBER(SEARCH("not signed",$AF153))),"REVIEW","OK"))</f>
        <v/>
      </c>
    </row>
    <row r="154" customFormat="false" ht="13.5" hidden="false" customHeight="false" outlineLevel="0" collapsed="false">
      <c r="A154" s="95" t="str">
        <f aca="false">IF($C154="","",Controls!$B$7)</f>
        <v/>
      </c>
      <c r="B154" s="95" t="str">
        <f aca="false">IF($C154="","",Controls!$B$30)</f>
        <v/>
      </c>
      <c r="C154" s="95" t="str">
        <f aca="false">IF(MM_Income!$A157="","",MM_Income!$A157)</f>
        <v/>
      </c>
      <c r="D154" s="95" t="str">
        <f aca="false">IF($C154="","",INDEX(MM_Income!$B$5:$B$204,MATCH($C154,MM_Income!$A$5:$A$204,0)))</f>
        <v/>
      </c>
      <c r="E154" s="95" t="str">
        <f aca="false">IF($C154="","",INDEX(MM_Income!$C$5:$C$204,MATCH($C154,MM_Income!$A$5:$A$204,0)))</f>
        <v/>
      </c>
      <c r="F154" s="95" t="str">
        <f aca="false">IF($C154="","",INDEX(MM_Income!$F$5:$F$204,MATCH($C154,MM_Income!$A$5:$A$204,0)))</f>
        <v/>
      </c>
      <c r="G154" s="95" t="str">
        <f aca="false">IF($C154="","",INDEX(MM_Income!$G$5:$G$204,MATCH($C154,MM_Income!$A$5:$A$204,0)))</f>
        <v/>
      </c>
      <c r="H154" s="95" t="str">
        <f aca="false">IF($C154="","",INDEX(MM_Income!$H$5:$H$204,MATCH($C154,MM_Income!$A$5:$A$204,0)))</f>
        <v/>
      </c>
      <c r="I154" s="95" t="str">
        <f aca="false">IF($C154="","",INDEX(MM_Income!$I$5:$I$204,MATCH($C154,MM_Income!$A$5:$A$204,0)))</f>
        <v/>
      </c>
      <c r="J154" s="95" t="str">
        <f aca="false">IF($C154="","",INDEX(MM_Income!$D$5:$D$204,MATCH($C154,MM_Income!$A$5:$A$204,0)))</f>
        <v/>
      </c>
      <c r="K154" s="95" t="str">
        <f aca="false">IF($C154="","",INDEX(MM_Income!$E$5:$E$204,MATCH($C154,MM_Income!$A$5:$A$204,0)))</f>
        <v/>
      </c>
      <c r="L154" s="95" t="str">
        <f aca="false">IF($C154="","",INDEX(MM_Income!$U$5:$U$204,MATCH($C154,MM_Income!$A$5:$A$204,0)))</f>
        <v/>
      </c>
      <c r="M154" s="143" t="str">
        <f aca="false">IF($C154="","",INDEX(MM_Income!$V$5:$V$204,MATCH($C154,MM_Income!$A$5:$A$204,0)))</f>
        <v/>
      </c>
      <c r="N154" s="144" t="str">
        <f aca="false">IF($C154="","",INDEX(MM_Income!$T$5:$T$204,MATCH($C154,MM_Income!$A$5:$A$204,0)))</f>
        <v/>
      </c>
      <c r="O154" s="94" t="str">
        <f aca="false">IF($C154="","",-SUMIFS(Project_Activity!$P$2:$P$5000,Project_Activity!$C$2:$C$5000,$C154,Project_Activity!$U$2:$U$5000,"Invoiced Income",Project_Activity!$H$2:$H$5000,"&gt;="&amp;DATE(VALUE(LEFT($B154,4)),1,1),Project_Activity!$H$2:$H$5000,"&lt;="&amp;EOMONTH(DATE(VALUE(LEFT($B154,4)),VALUE(RIGHT($B154,1))*3,1),0)))</f>
        <v/>
      </c>
      <c r="P154" s="94" t="str">
        <f aca="false">IF($C154="","",SUMIFS(Project_Activity!$P$2:$P$5000,Project_Activity!$C$2:$C$5000,$C154,Project_Activity!$U$2:$U$5000,"Subcontractor",Project_Activity!$H$2:$H$5000,"&gt;="&amp;DATE(VALUE(LEFT($B154,4)),1,1),Project_Activity!$H$2:$H$5000,"&lt;="&amp;EOMONTH(DATE(VALUE(LEFT($B154,4)),VALUE(RIGHT($B154,1))*3,1),0)))</f>
        <v/>
      </c>
      <c r="Q154" s="94" t="str">
        <f aca="false">IF($C154="","",SUMIFS(Project_Activity!$P$2:$P$5000,Project_Activity!$C$2:$C$5000,$C154,Project_Activity!$U$2:$U$5000,"Project Inclusive",Project_Activity!$H$2:$H$5000,"&gt;="&amp;DATE(VALUE(LEFT($B154,4)),1,1),Project_Activity!$H$2:$H$5000,"&lt;="&amp;EOMONTH(DATE(VALUE(LEFT($B154,4)),VALUE(RIGHT($B154,1))*3,1),0)))</f>
        <v/>
      </c>
      <c r="R154" s="94" t="str">
        <f aca="false">IF($C154="","",SUMIFS(Project_Activity!$P$2:$P$5000,Project_Activity!$C$2:$C$5000,$C154,Project_Activity!$U$2:$U$5000,"Non-Recoverable",Project_Activity!$H$2:$H$5000,"&gt;="&amp;DATE(VALUE(LEFT($B154,4)),1,1),Project_Activity!$H$2:$H$5000,"&lt;="&amp;EOMONTH(DATE(VALUE(LEFT($B154,4)),VALUE(RIGHT($B154,1))*3,1),0)))</f>
        <v/>
      </c>
      <c r="S154" s="94" t="str">
        <f aca="false">IF($C154="","",$O154-$P154-$Q154-$R154)</f>
        <v/>
      </c>
      <c r="T154" s="94" t="str">
        <f aca="false">IF($C154="","",SUMIFS(Project_Activity!$P$2:$P$5000,Project_Activity!$C$2:$C$5000,$C154,Project_Activity!$U$2:$U$5000,"Recoverable",Project_Activity!$H$2:$H$5000,"&gt;="&amp;DATE(VALUE(LEFT($B154,4)),1,1),Project_Activity!$H$2:$H$5000,"&lt;="&amp;EOMONTH(DATE(VALUE(LEFT($B154,4)),VALUE(RIGHT($B154,1))*3,1),0)))</f>
        <v/>
      </c>
      <c r="U154" s="94" t="str">
        <f aca="false">IF($C154="","",-SUMIFS(Project_Activity!$P$2:$P$5000,Project_Activity!$C$2:$C$5000,$C154,Project_Activity!$U$2:$U$5000,"Recovered Expenses",Project_Activity!$H$2:$H$5000,"&gt;="&amp;DATE(VALUE(LEFT($B154,4)),1,1),Project_Activity!$H$2:$H$5000,"&lt;="&amp;EOMONTH(DATE(VALUE(LEFT($B154,4)),VALUE(RIGHT($B154,1))*3,1),0)))</f>
        <v/>
      </c>
      <c r="V154" s="145"/>
      <c r="W154" s="94" t="str">
        <f aca="false">IF($C154="","",$V154*$N154)</f>
        <v/>
      </c>
      <c r="X154" s="145"/>
      <c r="Y154" s="94" t="str">
        <f aca="false">IF($C154="","",$X154*$N154)</f>
        <v/>
      </c>
      <c r="Z154" s="145"/>
      <c r="AA154" s="94" t="str">
        <f aca="false">IF($C154="","",$Z154*$N154)</f>
        <v/>
      </c>
      <c r="AB154" s="145"/>
      <c r="AC154" s="94" t="str">
        <f aca="false">IF($C154="","",$AB154*$N154)</f>
        <v/>
      </c>
      <c r="AD154" s="94" t="str">
        <f aca="false">IF($C154="","",SUMPRODUCT((VALUE(MID($B154,7,1))&gt;={1,2,3,4})*CHOOSE({1,2,3,4},$W154,$Y154,$AA154,$AC154)))</f>
        <v/>
      </c>
      <c r="AE154" s="94" t="str">
        <f aca="false">IF($C154="","",$W154+$Y154+$AA154+$AC154-$AD154)</f>
        <v/>
      </c>
      <c r="AF154" s="146"/>
      <c r="AG154" s="146"/>
      <c r="AH154" s="146"/>
      <c r="AI154" s="147" t="str">
        <f aca="false">IF($C154="","",IF(OR($L154="Pipeline",$N154&lt;0,$O154&gt;$N154+1,($V154+$X154+$Z154+$AB154)&gt;1.0001,ISNUMBER(SEARCH("not signed",$AF154))),"REVIEW","OK"))</f>
        <v/>
      </c>
    </row>
    <row r="155" customFormat="false" ht="13.5" hidden="false" customHeight="false" outlineLevel="0" collapsed="false">
      <c r="A155" s="95" t="str">
        <f aca="false">IF($C155="","",Controls!$B$7)</f>
        <v/>
      </c>
      <c r="B155" s="95" t="str">
        <f aca="false">IF($C155="","",Controls!$B$30)</f>
        <v/>
      </c>
      <c r="C155" s="95" t="str">
        <f aca="false">IF(MM_Income!$A158="","",MM_Income!$A158)</f>
        <v/>
      </c>
      <c r="D155" s="95" t="str">
        <f aca="false">IF($C155="","",INDEX(MM_Income!$B$5:$B$204,MATCH($C155,MM_Income!$A$5:$A$204,0)))</f>
        <v/>
      </c>
      <c r="E155" s="95" t="str">
        <f aca="false">IF($C155="","",INDEX(MM_Income!$C$5:$C$204,MATCH($C155,MM_Income!$A$5:$A$204,0)))</f>
        <v/>
      </c>
      <c r="F155" s="95" t="str">
        <f aca="false">IF($C155="","",INDEX(MM_Income!$F$5:$F$204,MATCH($C155,MM_Income!$A$5:$A$204,0)))</f>
        <v/>
      </c>
      <c r="G155" s="95" t="str">
        <f aca="false">IF($C155="","",INDEX(MM_Income!$G$5:$G$204,MATCH($C155,MM_Income!$A$5:$A$204,0)))</f>
        <v/>
      </c>
      <c r="H155" s="95" t="str">
        <f aca="false">IF($C155="","",INDEX(MM_Income!$H$5:$H$204,MATCH($C155,MM_Income!$A$5:$A$204,0)))</f>
        <v/>
      </c>
      <c r="I155" s="95" t="str">
        <f aca="false">IF($C155="","",INDEX(MM_Income!$I$5:$I$204,MATCH($C155,MM_Income!$A$5:$A$204,0)))</f>
        <v/>
      </c>
      <c r="J155" s="95" t="str">
        <f aca="false">IF($C155="","",INDEX(MM_Income!$D$5:$D$204,MATCH($C155,MM_Income!$A$5:$A$204,0)))</f>
        <v/>
      </c>
      <c r="K155" s="95" t="str">
        <f aca="false">IF($C155="","",INDEX(MM_Income!$E$5:$E$204,MATCH($C155,MM_Income!$A$5:$A$204,0)))</f>
        <v/>
      </c>
      <c r="L155" s="95" t="str">
        <f aca="false">IF($C155="","",INDEX(MM_Income!$U$5:$U$204,MATCH($C155,MM_Income!$A$5:$A$204,0)))</f>
        <v/>
      </c>
      <c r="M155" s="143" t="str">
        <f aca="false">IF($C155="","",INDEX(MM_Income!$V$5:$V$204,MATCH($C155,MM_Income!$A$5:$A$204,0)))</f>
        <v/>
      </c>
      <c r="N155" s="144" t="str">
        <f aca="false">IF($C155="","",INDEX(MM_Income!$T$5:$T$204,MATCH($C155,MM_Income!$A$5:$A$204,0)))</f>
        <v/>
      </c>
      <c r="O155" s="94" t="str">
        <f aca="false">IF($C155="","",-SUMIFS(Project_Activity!$P$2:$P$5000,Project_Activity!$C$2:$C$5000,$C155,Project_Activity!$U$2:$U$5000,"Invoiced Income",Project_Activity!$H$2:$H$5000,"&gt;="&amp;DATE(VALUE(LEFT($B155,4)),1,1),Project_Activity!$H$2:$H$5000,"&lt;="&amp;EOMONTH(DATE(VALUE(LEFT($B155,4)),VALUE(RIGHT($B155,1))*3,1),0)))</f>
        <v/>
      </c>
      <c r="P155" s="94" t="str">
        <f aca="false">IF($C155="","",SUMIFS(Project_Activity!$P$2:$P$5000,Project_Activity!$C$2:$C$5000,$C155,Project_Activity!$U$2:$U$5000,"Subcontractor",Project_Activity!$H$2:$H$5000,"&gt;="&amp;DATE(VALUE(LEFT($B155,4)),1,1),Project_Activity!$H$2:$H$5000,"&lt;="&amp;EOMONTH(DATE(VALUE(LEFT($B155,4)),VALUE(RIGHT($B155,1))*3,1),0)))</f>
        <v/>
      </c>
      <c r="Q155" s="94" t="str">
        <f aca="false">IF($C155="","",SUMIFS(Project_Activity!$P$2:$P$5000,Project_Activity!$C$2:$C$5000,$C155,Project_Activity!$U$2:$U$5000,"Project Inclusive",Project_Activity!$H$2:$H$5000,"&gt;="&amp;DATE(VALUE(LEFT($B155,4)),1,1),Project_Activity!$H$2:$H$5000,"&lt;="&amp;EOMONTH(DATE(VALUE(LEFT($B155,4)),VALUE(RIGHT($B155,1))*3,1),0)))</f>
        <v/>
      </c>
      <c r="R155" s="94" t="str">
        <f aca="false">IF($C155="","",SUMIFS(Project_Activity!$P$2:$P$5000,Project_Activity!$C$2:$C$5000,$C155,Project_Activity!$U$2:$U$5000,"Non-Recoverable",Project_Activity!$H$2:$H$5000,"&gt;="&amp;DATE(VALUE(LEFT($B155,4)),1,1),Project_Activity!$H$2:$H$5000,"&lt;="&amp;EOMONTH(DATE(VALUE(LEFT($B155,4)),VALUE(RIGHT($B155,1))*3,1),0)))</f>
        <v/>
      </c>
      <c r="S155" s="94" t="str">
        <f aca="false">IF($C155="","",$O155-$P155-$Q155-$R155)</f>
        <v/>
      </c>
      <c r="T155" s="94" t="str">
        <f aca="false">IF($C155="","",SUMIFS(Project_Activity!$P$2:$P$5000,Project_Activity!$C$2:$C$5000,$C155,Project_Activity!$U$2:$U$5000,"Recoverable",Project_Activity!$H$2:$H$5000,"&gt;="&amp;DATE(VALUE(LEFT($B155,4)),1,1),Project_Activity!$H$2:$H$5000,"&lt;="&amp;EOMONTH(DATE(VALUE(LEFT($B155,4)),VALUE(RIGHT($B155,1))*3,1),0)))</f>
        <v/>
      </c>
      <c r="U155" s="94" t="str">
        <f aca="false">IF($C155="","",-SUMIFS(Project_Activity!$P$2:$P$5000,Project_Activity!$C$2:$C$5000,$C155,Project_Activity!$U$2:$U$5000,"Recovered Expenses",Project_Activity!$H$2:$H$5000,"&gt;="&amp;DATE(VALUE(LEFT($B155,4)),1,1),Project_Activity!$H$2:$H$5000,"&lt;="&amp;EOMONTH(DATE(VALUE(LEFT($B155,4)),VALUE(RIGHT($B155,1))*3,1),0)))</f>
        <v/>
      </c>
      <c r="V155" s="145"/>
      <c r="W155" s="94" t="str">
        <f aca="false">IF($C155="","",$V155*$N155)</f>
        <v/>
      </c>
      <c r="X155" s="145"/>
      <c r="Y155" s="94" t="str">
        <f aca="false">IF($C155="","",$X155*$N155)</f>
        <v/>
      </c>
      <c r="Z155" s="145"/>
      <c r="AA155" s="94" t="str">
        <f aca="false">IF($C155="","",$Z155*$N155)</f>
        <v/>
      </c>
      <c r="AB155" s="145"/>
      <c r="AC155" s="94" t="str">
        <f aca="false">IF($C155="","",$AB155*$N155)</f>
        <v/>
      </c>
      <c r="AD155" s="94" t="str">
        <f aca="false">IF($C155="","",SUMPRODUCT((VALUE(MID($B155,7,1))&gt;={1,2,3,4})*CHOOSE({1,2,3,4},$W155,$Y155,$AA155,$AC155)))</f>
        <v/>
      </c>
      <c r="AE155" s="94" t="str">
        <f aca="false">IF($C155="","",$W155+$Y155+$AA155+$AC155-$AD155)</f>
        <v/>
      </c>
      <c r="AF155" s="146"/>
      <c r="AG155" s="146"/>
      <c r="AH155" s="146"/>
      <c r="AI155" s="147" t="str">
        <f aca="false">IF($C155="","",IF(OR($L155="Pipeline",$N155&lt;0,$O155&gt;$N155+1,($V155+$X155+$Z155+$AB155)&gt;1.0001,ISNUMBER(SEARCH("not signed",$AF155))),"REVIEW","OK"))</f>
        <v/>
      </c>
    </row>
    <row r="156" customFormat="false" ht="13.5" hidden="false" customHeight="false" outlineLevel="0" collapsed="false">
      <c r="A156" s="95" t="str">
        <f aca="false">IF($C156="","",Controls!$B$7)</f>
        <v/>
      </c>
      <c r="B156" s="95" t="str">
        <f aca="false">IF($C156="","",Controls!$B$30)</f>
        <v/>
      </c>
      <c r="C156" s="95" t="str">
        <f aca="false">IF(MM_Income!$A159="","",MM_Income!$A159)</f>
        <v/>
      </c>
      <c r="D156" s="95" t="str">
        <f aca="false">IF($C156="","",INDEX(MM_Income!$B$5:$B$204,MATCH($C156,MM_Income!$A$5:$A$204,0)))</f>
        <v/>
      </c>
      <c r="E156" s="95" t="str">
        <f aca="false">IF($C156="","",INDEX(MM_Income!$C$5:$C$204,MATCH($C156,MM_Income!$A$5:$A$204,0)))</f>
        <v/>
      </c>
      <c r="F156" s="95" t="str">
        <f aca="false">IF($C156="","",INDEX(MM_Income!$F$5:$F$204,MATCH($C156,MM_Income!$A$5:$A$204,0)))</f>
        <v/>
      </c>
      <c r="G156" s="95" t="str">
        <f aca="false">IF($C156="","",INDEX(MM_Income!$G$5:$G$204,MATCH($C156,MM_Income!$A$5:$A$204,0)))</f>
        <v/>
      </c>
      <c r="H156" s="95" t="str">
        <f aca="false">IF($C156="","",INDEX(MM_Income!$H$5:$H$204,MATCH($C156,MM_Income!$A$5:$A$204,0)))</f>
        <v/>
      </c>
      <c r="I156" s="95" t="str">
        <f aca="false">IF($C156="","",INDEX(MM_Income!$I$5:$I$204,MATCH($C156,MM_Income!$A$5:$A$204,0)))</f>
        <v/>
      </c>
      <c r="J156" s="95" t="str">
        <f aca="false">IF($C156="","",INDEX(MM_Income!$D$5:$D$204,MATCH($C156,MM_Income!$A$5:$A$204,0)))</f>
        <v/>
      </c>
      <c r="K156" s="95" t="str">
        <f aca="false">IF($C156="","",INDEX(MM_Income!$E$5:$E$204,MATCH($C156,MM_Income!$A$5:$A$204,0)))</f>
        <v/>
      </c>
      <c r="L156" s="95" t="str">
        <f aca="false">IF($C156="","",INDEX(MM_Income!$U$5:$U$204,MATCH($C156,MM_Income!$A$5:$A$204,0)))</f>
        <v/>
      </c>
      <c r="M156" s="143" t="str">
        <f aca="false">IF($C156="","",INDEX(MM_Income!$V$5:$V$204,MATCH($C156,MM_Income!$A$5:$A$204,0)))</f>
        <v/>
      </c>
      <c r="N156" s="144" t="str">
        <f aca="false">IF($C156="","",INDEX(MM_Income!$T$5:$T$204,MATCH($C156,MM_Income!$A$5:$A$204,0)))</f>
        <v/>
      </c>
      <c r="O156" s="94" t="str">
        <f aca="false">IF($C156="","",-SUMIFS(Project_Activity!$P$2:$P$5000,Project_Activity!$C$2:$C$5000,$C156,Project_Activity!$U$2:$U$5000,"Invoiced Income",Project_Activity!$H$2:$H$5000,"&gt;="&amp;DATE(VALUE(LEFT($B156,4)),1,1),Project_Activity!$H$2:$H$5000,"&lt;="&amp;EOMONTH(DATE(VALUE(LEFT($B156,4)),VALUE(RIGHT($B156,1))*3,1),0)))</f>
        <v/>
      </c>
      <c r="P156" s="94" t="str">
        <f aca="false">IF($C156="","",SUMIFS(Project_Activity!$P$2:$P$5000,Project_Activity!$C$2:$C$5000,$C156,Project_Activity!$U$2:$U$5000,"Subcontractor",Project_Activity!$H$2:$H$5000,"&gt;="&amp;DATE(VALUE(LEFT($B156,4)),1,1),Project_Activity!$H$2:$H$5000,"&lt;="&amp;EOMONTH(DATE(VALUE(LEFT($B156,4)),VALUE(RIGHT($B156,1))*3,1),0)))</f>
        <v/>
      </c>
      <c r="Q156" s="94" t="str">
        <f aca="false">IF($C156="","",SUMIFS(Project_Activity!$P$2:$P$5000,Project_Activity!$C$2:$C$5000,$C156,Project_Activity!$U$2:$U$5000,"Project Inclusive",Project_Activity!$H$2:$H$5000,"&gt;="&amp;DATE(VALUE(LEFT($B156,4)),1,1),Project_Activity!$H$2:$H$5000,"&lt;="&amp;EOMONTH(DATE(VALUE(LEFT($B156,4)),VALUE(RIGHT($B156,1))*3,1),0)))</f>
        <v/>
      </c>
      <c r="R156" s="94" t="str">
        <f aca="false">IF($C156="","",SUMIFS(Project_Activity!$P$2:$P$5000,Project_Activity!$C$2:$C$5000,$C156,Project_Activity!$U$2:$U$5000,"Non-Recoverable",Project_Activity!$H$2:$H$5000,"&gt;="&amp;DATE(VALUE(LEFT($B156,4)),1,1),Project_Activity!$H$2:$H$5000,"&lt;="&amp;EOMONTH(DATE(VALUE(LEFT($B156,4)),VALUE(RIGHT($B156,1))*3,1),0)))</f>
        <v/>
      </c>
      <c r="S156" s="94" t="str">
        <f aca="false">IF($C156="","",$O156-$P156-$Q156-$R156)</f>
        <v/>
      </c>
      <c r="T156" s="94" t="str">
        <f aca="false">IF($C156="","",SUMIFS(Project_Activity!$P$2:$P$5000,Project_Activity!$C$2:$C$5000,$C156,Project_Activity!$U$2:$U$5000,"Recoverable",Project_Activity!$H$2:$H$5000,"&gt;="&amp;DATE(VALUE(LEFT($B156,4)),1,1),Project_Activity!$H$2:$H$5000,"&lt;="&amp;EOMONTH(DATE(VALUE(LEFT($B156,4)),VALUE(RIGHT($B156,1))*3,1),0)))</f>
        <v/>
      </c>
      <c r="U156" s="94" t="str">
        <f aca="false">IF($C156="","",-SUMIFS(Project_Activity!$P$2:$P$5000,Project_Activity!$C$2:$C$5000,$C156,Project_Activity!$U$2:$U$5000,"Recovered Expenses",Project_Activity!$H$2:$H$5000,"&gt;="&amp;DATE(VALUE(LEFT($B156,4)),1,1),Project_Activity!$H$2:$H$5000,"&lt;="&amp;EOMONTH(DATE(VALUE(LEFT($B156,4)),VALUE(RIGHT($B156,1))*3,1),0)))</f>
        <v/>
      </c>
      <c r="V156" s="145"/>
      <c r="W156" s="94" t="str">
        <f aca="false">IF($C156="","",$V156*$N156)</f>
        <v/>
      </c>
      <c r="X156" s="145"/>
      <c r="Y156" s="94" t="str">
        <f aca="false">IF($C156="","",$X156*$N156)</f>
        <v/>
      </c>
      <c r="Z156" s="145"/>
      <c r="AA156" s="94" t="str">
        <f aca="false">IF($C156="","",$Z156*$N156)</f>
        <v/>
      </c>
      <c r="AB156" s="145"/>
      <c r="AC156" s="94" t="str">
        <f aca="false">IF($C156="","",$AB156*$N156)</f>
        <v/>
      </c>
      <c r="AD156" s="94" t="str">
        <f aca="false">IF($C156="","",SUMPRODUCT((VALUE(MID($B156,7,1))&gt;={1,2,3,4})*CHOOSE({1,2,3,4},$W156,$Y156,$AA156,$AC156)))</f>
        <v/>
      </c>
      <c r="AE156" s="94" t="str">
        <f aca="false">IF($C156="","",$W156+$Y156+$AA156+$AC156-$AD156)</f>
        <v/>
      </c>
      <c r="AF156" s="146"/>
      <c r="AG156" s="146"/>
      <c r="AH156" s="146"/>
      <c r="AI156" s="147" t="str">
        <f aca="false">IF($C156="","",IF(OR($L156="Pipeline",$N156&lt;0,$O156&gt;$N156+1,($V156+$X156+$Z156+$AB156)&gt;1.0001,ISNUMBER(SEARCH("not signed",$AF156))),"REVIEW","OK"))</f>
        <v/>
      </c>
    </row>
    <row r="157" customFormat="false" ht="13.5" hidden="false" customHeight="false" outlineLevel="0" collapsed="false">
      <c r="A157" s="95" t="str">
        <f aca="false">IF($C157="","",Controls!$B$7)</f>
        <v/>
      </c>
      <c r="B157" s="95" t="str">
        <f aca="false">IF($C157="","",Controls!$B$30)</f>
        <v/>
      </c>
      <c r="C157" s="95" t="str">
        <f aca="false">IF(MM_Income!$A160="","",MM_Income!$A160)</f>
        <v/>
      </c>
      <c r="D157" s="95" t="str">
        <f aca="false">IF($C157="","",INDEX(MM_Income!$B$5:$B$204,MATCH($C157,MM_Income!$A$5:$A$204,0)))</f>
        <v/>
      </c>
      <c r="E157" s="95" t="str">
        <f aca="false">IF($C157="","",INDEX(MM_Income!$C$5:$C$204,MATCH($C157,MM_Income!$A$5:$A$204,0)))</f>
        <v/>
      </c>
      <c r="F157" s="95" t="str">
        <f aca="false">IF($C157="","",INDEX(MM_Income!$F$5:$F$204,MATCH($C157,MM_Income!$A$5:$A$204,0)))</f>
        <v/>
      </c>
      <c r="G157" s="95" t="str">
        <f aca="false">IF($C157="","",INDEX(MM_Income!$G$5:$G$204,MATCH($C157,MM_Income!$A$5:$A$204,0)))</f>
        <v/>
      </c>
      <c r="H157" s="95" t="str">
        <f aca="false">IF($C157="","",INDEX(MM_Income!$H$5:$H$204,MATCH($C157,MM_Income!$A$5:$A$204,0)))</f>
        <v/>
      </c>
      <c r="I157" s="95" t="str">
        <f aca="false">IF($C157="","",INDEX(MM_Income!$I$5:$I$204,MATCH($C157,MM_Income!$A$5:$A$204,0)))</f>
        <v/>
      </c>
      <c r="J157" s="95" t="str">
        <f aca="false">IF($C157="","",INDEX(MM_Income!$D$5:$D$204,MATCH($C157,MM_Income!$A$5:$A$204,0)))</f>
        <v/>
      </c>
      <c r="K157" s="95" t="str">
        <f aca="false">IF($C157="","",INDEX(MM_Income!$E$5:$E$204,MATCH($C157,MM_Income!$A$5:$A$204,0)))</f>
        <v/>
      </c>
      <c r="L157" s="95" t="str">
        <f aca="false">IF($C157="","",INDEX(MM_Income!$U$5:$U$204,MATCH($C157,MM_Income!$A$5:$A$204,0)))</f>
        <v/>
      </c>
      <c r="M157" s="143" t="str">
        <f aca="false">IF($C157="","",INDEX(MM_Income!$V$5:$V$204,MATCH($C157,MM_Income!$A$5:$A$204,0)))</f>
        <v/>
      </c>
      <c r="N157" s="144" t="str">
        <f aca="false">IF($C157="","",INDEX(MM_Income!$T$5:$T$204,MATCH($C157,MM_Income!$A$5:$A$204,0)))</f>
        <v/>
      </c>
      <c r="O157" s="94" t="str">
        <f aca="false">IF($C157="","",-SUMIFS(Project_Activity!$P$2:$P$5000,Project_Activity!$C$2:$C$5000,$C157,Project_Activity!$U$2:$U$5000,"Invoiced Income",Project_Activity!$H$2:$H$5000,"&gt;="&amp;DATE(VALUE(LEFT($B157,4)),1,1),Project_Activity!$H$2:$H$5000,"&lt;="&amp;EOMONTH(DATE(VALUE(LEFT($B157,4)),VALUE(RIGHT($B157,1))*3,1),0)))</f>
        <v/>
      </c>
      <c r="P157" s="94" t="str">
        <f aca="false">IF($C157="","",SUMIFS(Project_Activity!$P$2:$P$5000,Project_Activity!$C$2:$C$5000,$C157,Project_Activity!$U$2:$U$5000,"Subcontractor",Project_Activity!$H$2:$H$5000,"&gt;="&amp;DATE(VALUE(LEFT($B157,4)),1,1),Project_Activity!$H$2:$H$5000,"&lt;="&amp;EOMONTH(DATE(VALUE(LEFT($B157,4)),VALUE(RIGHT($B157,1))*3,1),0)))</f>
        <v/>
      </c>
      <c r="Q157" s="94" t="str">
        <f aca="false">IF($C157="","",SUMIFS(Project_Activity!$P$2:$P$5000,Project_Activity!$C$2:$C$5000,$C157,Project_Activity!$U$2:$U$5000,"Project Inclusive",Project_Activity!$H$2:$H$5000,"&gt;="&amp;DATE(VALUE(LEFT($B157,4)),1,1),Project_Activity!$H$2:$H$5000,"&lt;="&amp;EOMONTH(DATE(VALUE(LEFT($B157,4)),VALUE(RIGHT($B157,1))*3,1),0)))</f>
        <v/>
      </c>
      <c r="R157" s="94" t="str">
        <f aca="false">IF($C157="","",SUMIFS(Project_Activity!$P$2:$P$5000,Project_Activity!$C$2:$C$5000,$C157,Project_Activity!$U$2:$U$5000,"Non-Recoverable",Project_Activity!$H$2:$H$5000,"&gt;="&amp;DATE(VALUE(LEFT($B157,4)),1,1),Project_Activity!$H$2:$H$5000,"&lt;="&amp;EOMONTH(DATE(VALUE(LEFT($B157,4)),VALUE(RIGHT($B157,1))*3,1),0)))</f>
        <v/>
      </c>
      <c r="S157" s="94" t="str">
        <f aca="false">IF($C157="","",$O157-$P157-$Q157-$R157)</f>
        <v/>
      </c>
      <c r="T157" s="94" t="str">
        <f aca="false">IF($C157="","",SUMIFS(Project_Activity!$P$2:$P$5000,Project_Activity!$C$2:$C$5000,$C157,Project_Activity!$U$2:$U$5000,"Recoverable",Project_Activity!$H$2:$H$5000,"&gt;="&amp;DATE(VALUE(LEFT($B157,4)),1,1),Project_Activity!$H$2:$H$5000,"&lt;="&amp;EOMONTH(DATE(VALUE(LEFT($B157,4)),VALUE(RIGHT($B157,1))*3,1),0)))</f>
        <v/>
      </c>
      <c r="U157" s="94" t="str">
        <f aca="false">IF($C157="","",-SUMIFS(Project_Activity!$P$2:$P$5000,Project_Activity!$C$2:$C$5000,$C157,Project_Activity!$U$2:$U$5000,"Recovered Expenses",Project_Activity!$H$2:$H$5000,"&gt;="&amp;DATE(VALUE(LEFT($B157,4)),1,1),Project_Activity!$H$2:$H$5000,"&lt;="&amp;EOMONTH(DATE(VALUE(LEFT($B157,4)),VALUE(RIGHT($B157,1))*3,1),0)))</f>
        <v/>
      </c>
      <c r="V157" s="145"/>
      <c r="W157" s="94" t="str">
        <f aca="false">IF($C157="","",$V157*$N157)</f>
        <v/>
      </c>
      <c r="X157" s="145"/>
      <c r="Y157" s="94" t="str">
        <f aca="false">IF($C157="","",$X157*$N157)</f>
        <v/>
      </c>
      <c r="Z157" s="145"/>
      <c r="AA157" s="94" t="str">
        <f aca="false">IF($C157="","",$Z157*$N157)</f>
        <v/>
      </c>
      <c r="AB157" s="145"/>
      <c r="AC157" s="94" t="str">
        <f aca="false">IF($C157="","",$AB157*$N157)</f>
        <v/>
      </c>
      <c r="AD157" s="94" t="str">
        <f aca="false">IF($C157="","",SUMPRODUCT((VALUE(MID($B157,7,1))&gt;={1,2,3,4})*CHOOSE({1,2,3,4},$W157,$Y157,$AA157,$AC157)))</f>
        <v/>
      </c>
      <c r="AE157" s="94" t="str">
        <f aca="false">IF($C157="","",$W157+$Y157+$AA157+$AC157-$AD157)</f>
        <v/>
      </c>
      <c r="AF157" s="146"/>
      <c r="AG157" s="146"/>
      <c r="AH157" s="146"/>
      <c r="AI157" s="147" t="str">
        <f aca="false">IF($C157="","",IF(OR($L157="Pipeline",$N157&lt;0,$O157&gt;$N157+1,($V157+$X157+$Z157+$AB157)&gt;1.0001,ISNUMBER(SEARCH("not signed",$AF157))),"REVIEW","OK"))</f>
        <v/>
      </c>
    </row>
    <row r="158" customFormat="false" ht="13.5" hidden="false" customHeight="false" outlineLevel="0" collapsed="false">
      <c r="A158" s="95" t="str">
        <f aca="false">IF($C158="","",Controls!$B$7)</f>
        <v/>
      </c>
      <c r="B158" s="95" t="str">
        <f aca="false">IF($C158="","",Controls!$B$30)</f>
        <v/>
      </c>
      <c r="C158" s="95" t="str">
        <f aca="false">IF(MM_Income!$A161="","",MM_Income!$A161)</f>
        <v/>
      </c>
      <c r="D158" s="95" t="str">
        <f aca="false">IF($C158="","",INDEX(MM_Income!$B$5:$B$204,MATCH($C158,MM_Income!$A$5:$A$204,0)))</f>
        <v/>
      </c>
      <c r="E158" s="95" t="str">
        <f aca="false">IF($C158="","",INDEX(MM_Income!$C$5:$C$204,MATCH($C158,MM_Income!$A$5:$A$204,0)))</f>
        <v/>
      </c>
      <c r="F158" s="95" t="str">
        <f aca="false">IF($C158="","",INDEX(MM_Income!$F$5:$F$204,MATCH($C158,MM_Income!$A$5:$A$204,0)))</f>
        <v/>
      </c>
      <c r="G158" s="95" t="str">
        <f aca="false">IF($C158="","",INDEX(MM_Income!$G$5:$G$204,MATCH($C158,MM_Income!$A$5:$A$204,0)))</f>
        <v/>
      </c>
      <c r="H158" s="95" t="str">
        <f aca="false">IF($C158="","",INDEX(MM_Income!$H$5:$H$204,MATCH($C158,MM_Income!$A$5:$A$204,0)))</f>
        <v/>
      </c>
      <c r="I158" s="95" t="str">
        <f aca="false">IF($C158="","",INDEX(MM_Income!$I$5:$I$204,MATCH($C158,MM_Income!$A$5:$A$204,0)))</f>
        <v/>
      </c>
      <c r="J158" s="95" t="str">
        <f aca="false">IF($C158="","",INDEX(MM_Income!$D$5:$D$204,MATCH($C158,MM_Income!$A$5:$A$204,0)))</f>
        <v/>
      </c>
      <c r="K158" s="95" t="str">
        <f aca="false">IF($C158="","",INDEX(MM_Income!$E$5:$E$204,MATCH($C158,MM_Income!$A$5:$A$204,0)))</f>
        <v/>
      </c>
      <c r="L158" s="95" t="str">
        <f aca="false">IF($C158="","",INDEX(MM_Income!$U$5:$U$204,MATCH($C158,MM_Income!$A$5:$A$204,0)))</f>
        <v/>
      </c>
      <c r="M158" s="143" t="str">
        <f aca="false">IF($C158="","",INDEX(MM_Income!$V$5:$V$204,MATCH($C158,MM_Income!$A$5:$A$204,0)))</f>
        <v/>
      </c>
      <c r="N158" s="144" t="str">
        <f aca="false">IF($C158="","",INDEX(MM_Income!$T$5:$T$204,MATCH($C158,MM_Income!$A$5:$A$204,0)))</f>
        <v/>
      </c>
      <c r="O158" s="94" t="str">
        <f aca="false">IF($C158="","",-SUMIFS(Project_Activity!$P$2:$P$5000,Project_Activity!$C$2:$C$5000,$C158,Project_Activity!$U$2:$U$5000,"Invoiced Income",Project_Activity!$H$2:$H$5000,"&gt;="&amp;DATE(VALUE(LEFT($B158,4)),1,1),Project_Activity!$H$2:$H$5000,"&lt;="&amp;EOMONTH(DATE(VALUE(LEFT($B158,4)),VALUE(RIGHT($B158,1))*3,1),0)))</f>
        <v/>
      </c>
      <c r="P158" s="94" t="str">
        <f aca="false">IF($C158="","",SUMIFS(Project_Activity!$P$2:$P$5000,Project_Activity!$C$2:$C$5000,$C158,Project_Activity!$U$2:$U$5000,"Subcontractor",Project_Activity!$H$2:$H$5000,"&gt;="&amp;DATE(VALUE(LEFT($B158,4)),1,1),Project_Activity!$H$2:$H$5000,"&lt;="&amp;EOMONTH(DATE(VALUE(LEFT($B158,4)),VALUE(RIGHT($B158,1))*3,1),0)))</f>
        <v/>
      </c>
      <c r="Q158" s="94" t="str">
        <f aca="false">IF($C158="","",SUMIFS(Project_Activity!$P$2:$P$5000,Project_Activity!$C$2:$C$5000,$C158,Project_Activity!$U$2:$U$5000,"Project Inclusive",Project_Activity!$H$2:$H$5000,"&gt;="&amp;DATE(VALUE(LEFT($B158,4)),1,1),Project_Activity!$H$2:$H$5000,"&lt;="&amp;EOMONTH(DATE(VALUE(LEFT($B158,4)),VALUE(RIGHT($B158,1))*3,1),0)))</f>
        <v/>
      </c>
      <c r="R158" s="94" t="str">
        <f aca="false">IF($C158="","",SUMIFS(Project_Activity!$P$2:$P$5000,Project_Activity!$C$2:$C$5000,$C158,Project_Activity!$U$2:$U$5000,"Non-Recoverable",Project_Activity!$H$2:$H$5000,"&gt;="&amp;DATE(VALUE(LEFT($B158,4)),1,1),Project_Activity!$H$2:$H$5000,"&lt;="&amp;EOMONTH(DATE(VALUE(LEFT($B158,4)),VALUE(RIGHT($B158,1))*3,1),0)))</f>
        <v/>
      </c>
      <c r="S158" s="94" t="str">
        <f aca="false">IF($C158="","",$O158-$P158-$Q158-$R158)</f>
        <v/>
      </c>
      <c r="T158" s="94" t="str">
        <f aca="false">IF($C158="","",SUMIFS(Project_Activity!$P$2:$P$5000,Project_Activity!$C$2:$C$5000,$C158,Project_Activity!$U$2:$U$5000,"Recoverable",Project_Activity!$H$2:$H$5000,"&gt;="&amp;DATE(VALUE(LEFT($B158,4)),1,1),Project_Activity!$H$2:$H$5000,"&lt;="&amp;EOMONTH(DATE(VALUE(LEFT($B158,4)),VALUE(RIGHT($B158,1))*3,1),0)))</f>
        <v/>
      </c>
      <c r="U158" s="94" t="str">
        <f aca="false">IF($C158="","",-SUMIFS(Project_Activity!$P$2:$P$5000,Project_Activity!$C$2:$C$5000,$C158,Project_Activity!$U$2:$U$5000,"Recovered Expenses",Project_Activity!$H$2:$H$5000,"&gt;="&amp;DATE(VALUE(LEFT($B158,4)),1,1),Project_Activity!$H$2:$H$5000,"&lt;="&amp;EOMONTH(DATE(VALUE(LEFT($B158,4)),VALUE(RIGHT($B158,1))*3,1),0)))</f>
        <v/>
      </c>
      <c r="V158" s="145"/>
      <c r="W158" s="94" t="str">
        <f aca="false">IF($C158="","",$V158*$N158)</f>
        <v/>
      </c>
      <c r="X158" s="145"/>
      <c r="Y158" s="94" t="str">
        <f aca="false">IF($C158="","",$X158*$N158)</f>
        <v/>
      </c>
      <c r="Z158" s="145"/>
      <c r="AA158" s="94" t="str">
        <f aca="false">IF($C158="","",$Z158*$N158)</f>
        <v/>
      </c>
      <c r="AB158" s="145"/>
      <c r="AC158" s="94" t="str">
        <f aca="false">IF($C158="","",$AB158*$N158)</f>
        <v/>
      </c>
      <c r="AD158" s="94" t="str">
        <f aca="false">IF($C158="","",SUMPRODUCT((VALUE(MID($B158,7,1))&gt;={1,2,3,4})*CHOOSE({1,2,3,4},$W158,$Y158,$AA158,$AC158)))</f>
        <v/>
      </c>
      <c r="AE158" s="94" t="str">
        <f aca="false">IF($C158="","",$W158+$Y158+$AA158+$AC158-$AD158)</f>
        <v/>
      </c>
      <c r="AF158" s="146"/>
      <c r="AG158" s="146"/>
      <c r="AH158" s="146"/>
      <c r="AI158" s="147" t="str">
        <f aca="false">IF($C158="","",IF(OR($L158="Pipeline",$N158&lt;0,$O158&gt;$N158+1,($V158+$X158+$Z158+$AB158)&gt;1.0001,ISNUMBER(SEARCH("not signed",$AF158))),"REVIEW","OK"))</f>
        <v/>
      </c>
    </row>
    <row r="159" customFormat="false" ht="13.5" hidden="false" customHeight="false" outlineLevel="0" collapsed="false">
      <c r="A159" s="95" t="str">
        <f aca="false">IF($C159="","",Controls!$B$7)</f>
        <v/>
      </c>
      <c r="B159" s="95" t="str">
        <f aca="false">IF($C159="","",Controls!$B$30)</f>
        <v/>
      </c>
      <c r="C159" s="95" t="str">
        <f aca="false">IF(MM_Income!$A162="","",MM_Income!$A162)</f>
        <v/>
      </c>
      <c r="D159" s="95" t="str">
        <f aca="false">IF($C159="","",INDEX(MM_Income!$B$5:$B$204,MATCH($C159,MM_Income!$A$5:$A$204,0)))</f>
        <v/>
      </c>
      <c r="E159" s="95" t="str">
        <f aca="false">IF($C159="","",INDEX(MM_Income!$C$5:$C$204,MATCH($C159,MM_Income!$A$5:$A$204,0)))</f>
        <v/>
      </c>
      <c r="F159" s="95" t="str">
        <f aca="false">IF($C159="","",INDEX(MM_Income!$F$5:$F$204,MATCH($C159,MM_Income!$A$5:$A$204,0)))</f>
        <v/>
      </c>
      <c r="G159" s="95" t="str">
        <f aca="false">IF($C159="","",INDEX(MM_Income!$G$5:$G$204,MATCH($C159,MM_Income!$A$5:$A$204,0)))</f>
        <v/>
      </c>
      <c r="H159" s="95" t="str">
        <f aca="false">IF($C159="","",INDEX(MM_Income!$H$5:$H$204,MATCH($C159,MM_Income!$A$5:$A$204,0)))</f>
        <v/>
      </c>
      <c r="I159" s="95" t="str">
        <f aca="false">IF($C159="","",INDEX(MM_Income!$I$5:$I$204,MATCH($C159,MM_Income!$A$5:$A$204,0)))</f>
        <v/>
      </c>
      <c r="J159" s="95" t="str">
        <f aca="false">IF($C159="","",INDEX(MM_Income!$D$5:$D$204,MATCH($C159,MM_Income!$A$5:$A$204,0)))</f>
        <v/>
      </c>
      <c r="K159" s="95" t="str">
        <f aca="false">IF($C159="","",INDEX(MM_Income!$E$5:$E$204,MATCH($C159,MM_Income!$A$5:$A$204,0)))</f>
        <v/>
      </c>
      <c r="L159" s="95" t="str">
        <f aca="false">IF($C159="","",INDEX(MM_Income!$U$5:$U$204,MATCH($C159,MM_Income!$A$5:$A$204,0)))</f>
        <v/>
      </c>
      <c r="M159" s="143" t="str">
        <f aca="false">IF($C159="","",INDEX(MM_Income!$V$5:$V$204,MATCH($C159,MM_Income!$A$5:$A$204,0)))</f>
        <v/>
      </c>
      <c r="N159" s="144" t="str">
        <f aca="false">IF($C159="","",INDEX(MM_Income!$T$5:$T$204,MATCH($C159,MM_Income!$A$5:$A$204,0)))</f>
        <v/>
      </c>
      <c r="O159" s="94" t="str">
        <f aca="false">IF($C159="","",-SUMIFS(Project_Activity!$P$2:$P$5000,Project_Activity!$C$2:$C$5000,$C159,Project_Activity!$U$2:$U$5000,"Invoiced Income",Project_Activity!$H$2:$H$5000,"&gt;="&amp;DATE(VALUE(LEFT($B159,4)),1,1),Project_Activity!$H$2:$H$5000,"&lt;="&amp;EOMONTH(DATE(VALUE(LEFT($B159,4)),VALUE(RIGHT($B159,1))*3,1),0)))</f>
        <v/>
      </c>
      <c r="P159" s="94" t="str">
        <f aca="false">IF($C159="","",SUMIFS(Project_Activity!$P$2:$P$5000,Project_Activity!$C$2:$C$5000,$C159,Project_Activity!$U$2:$U$5000,"Subcontractor",Project_Activity!$H$2:$H$5000,"&gt;="&amp;DATE(VALUE(LEFT($B159,4)),1,1),Project_Activity!$H$2:$H$5000,"&lt;="&amp;EOMONTH(DATE(VALUE(LEFT($B159,4)),VALUE(RIGHT($B159,1))*3,1),0)))</f>
        <v/>
      </c>
      <c r="Q159" s="94" t="str">
        <f aca="false">IF($C159="","",SUMIFS(Project_Activity!$P$2:$P$5000,Project_Activity!$C$2:$C$5000,$C159,Project_Activity!$U$2:$U$5000,"Project Inclusive",Project_Activity!$H$2:$H$5000,"&gt;="&amp;DATE(VALUE(LEFT($B159,4)),1,1),Project_Activity!$H$2:$H$5000,"&lt;="&amp;EOMONTH(DATE(VALUE(LEFT($B159,4)),VALUE(RIGHT($B159,1))*3,1),0)))</f>
        <v/>
      </c>
      <c r="R159" s="94" t="str">
        <f aca="false">IF($C159="","",SUMIFS(Project_Activity!$P$2:$P$5000,Project_Activity!$C$2:$C$5000,$C159,Project_Activity!$U$2:$U$5000,"Non-Recoverable",Project_Activity!$H$2:$H$5000,"&gt;="&amp;DATE(VALUE(LEFT($B159,4)),1,1),Project_Activity!$H$2:$H$5000,"&lt;="&amp;EOMONTH(DATE(VALUE(LEFT($B159,4)),VALUE(RIGHT($B159,1))*3,1),0)))</f>
        <v/>
      </c>
      <c r="S159" s="94" t="str">
        <f aca="false">IF($C159="","",$O159-$P159-$Q159-$R159)</f>
        <v/>
      </c>
      <c r="T159" s="94" t="str">
        <f aca="false">IF($C159="","",SUMIFS(Project_Activity!$P$2:$P$5000,Project_Activity!$C$2:$C$5000,$C159,Project_Activity!$U$2:$U$5000,"Recoverable",Project_Activity!$H$2:$H$5000,"&gt;="&amp;DATE(VALUE(LEFT($B159,4)),1,1),Project_Activity!$H$2:$H$5000,"&lt;="&amp;EOMONTH(DATE(VALUE(LEFT($B159,4)),VALUE(RIGHT($B159,1))*3,1),0)))</f>
        <v/>
      </c>
      <c r="U159" s="94" t="str">
        <f aca="false">IF($C159="","",-SUMIFS(Project_Activity!$P$2:$P$5000,Project_Activity!$C$2:$C$5000,$C159,Project_Activity!$U$2:$U$5000,"Recovered Expenses",Project_Activity!$H$2:$H$5000,"&gt;="&amp;DATE(VALUE(LEFT($B159,4)),1,1),Project_Activity!$H$2:$H$5000,"&lt;="&amp;EOMONTH(DATE(VALUE(LEFT($B159,4)),VALUE(RIGHT($B159,1))*3,1),0)))</f>
        <v/>
      </c>
      <c r="V159" s="145"/>
      <c r="W159" s="94" t="str">
        <f aca="false">IF($C159="","",$V159*$N159)</f>
        <v/>
      </c>
      <c r="X159" s="145"/>
      <c r="Y159" s="94" t="str">
        <f aca="false">IF($C159="","",$X159*$N159)</f>
        <v/>
      </c>
      <c r="Z159" s="145"/>
      <c r="AA159" s="94" t="str">
        <f aca="false">IF($C159="","",$Z159*$N159)</f>
        <v/>
      </c>
      <c r="AB159" s="145"/>
      <c r="AC159" s="94" t="str">
        <f aca="false">IF($C159="","",$AB159*$N159)</f>
        <v/>
      </c>
      <c r="AD159" s="94" t="str">
        <f aca="false">IF($C159="","",SUMPRODUCT((VALUE(MID($B159,7,1))&gt;={1,2,3,4})*CHOOSE({1,2,3,4},$W159,$Y159,$AA159,$AC159)))</f>
        <v/>
      </c>
      <c r="AE159" s="94" t="str">
        <f aca="false">IF($C159="","",$W159+$Y159+$AA159+$AC159-$AD159)</f>
        <v/>
      </c>
      <c r="AF159" s="146"/>
      <c r="AG159" s="146"/>
      <c r="AH159" s="146"/>
      <c r="AI159" s="147" t="str">
        <f aca="false">IF($C159="","",IF(OR($L159="Pipeline",$N159&lt;0,$O159&gt;$N159+1,($V159+$X159+$Z159+$AB159)&gt;1.0001,ISNUMBER(SEARCH("not signed",$AF159))),"REVIEW","OK"))</f>
        <v/>
      </c>
    </row>
    <row r="160" customFormat="false" ht="13.5" hidden="false" customHeight="false" outlineLevel="0" collapsed="false">
      <c r="A160" s="95" t="str">
        <f aca="false">IF($C160="","",Controls!$B$7)</f>
        <v/>
      </c>
      <c r="B160" s="95" t="str">
        <f aca="false">IF($C160="","",Controls!$B$30)</f>
        <v/>
      </c>
      <c r="C160" s="95" t="str">
        <f aca="false">IF(MM_Income!$A163="","",MM_Income!$A163)</f>
        <v/>
      </c>
      <c r="D160" s="95" t="str">
        <f aca="false">IF($C160="","",INDEX(MM_Income!$B$5:$B$204,MATCH($C160,MM_Income!$A$5:$A$204,0)))</f>
        <v/>
      </c>
      <c r="E160" s="95" t="str">
        <f aca="false">IF($C160="","",INDEX(MM_Income!$C$5:$C$204,MATCH($C160,MM_Income!$A$5:$A$204,0)))</f>
        <v/>
      </c>
      <c r="F160" s="95" t="str">
        <f aca="false">IF($C160="","",INDEX(MM_Income!$F$5:$F$204,MATCH($C160,MM_Income!$A$5:$A$204,0)))</f>
        <v/>
      </c>
      <c r="G160" s="95" t="str">
        <f aca="false">IF($C160="","",INDEX(MM_Income!$G$5:$G$204,MATCH($C160,MM_Income!$A$5:$A$204,0)))</f>
        <v/>
      </c>
      <c r="H160" s="95" t="str">
        <f aca="false">IF($C160="","",INDEX(MM_Income!$H$5:$H$204,MATCH($C160,MM_Income!$A$5:$A$204,0)))</f>
        <v/>
      </c>
      <c r="I160" s="95" t="str">
        <f aca="false">IF($C160="","",INDEX(MM_Income!$I$5:$I$204,MATCH($C160,MM_Income!$A$5:$A$204,0)))</f>
        <v/>
      </c>
      <c r="J160" s="95" t="str">
        <f aca="false">IF($C160="","",INDEX(MM_Income!$D$5:$D$204,MATCH($C160,MM_Income!$A$5:$A$204,0)))</f>
        <v/>
      </c>
      <c r="K160" s="95" t="str">
        <f aca="false">IF($C160="","",INDEX(MM_Income!$E$5:$E$204,MATCH($C160,MM_Income!$A$5:$A$204,0)))</f>
        <v/>
      </c>
      <c r="L160" s="95" t="str">
        <f aca="false">IF($C160="","",INDEX(MM_Income!$U$5:$U$204,MATCH($C160,MM_Income!$A$5:$A$204,0)))</f>
        <v/>
      </c>
      <c r="M160" s="143" t="str">
        <f aca="false">IF($C160="","",INDEX(MM_Income!$V$5:$V$204,MATCH($C160,MM_Income!$A$5:$A$204,0)))</f>
        <v/>
      </c>
      <c r="N160" s="144" t="str">
        <f aca="false">IF($C160="","",INDEX(MM_Income!$T$5:$T$204,MATCH($C160,MM_Income!$A$5:$A$204,0)))</f>
        <v/>
      </c>
      <c r="O160" s="94" t="str">
        <f aca="false">IF($C160="","",-SUMIFS(Project_Activity!$P$2:$P$5000,Project_Activity!$C$2:$C$5000,$C160,Project_Activity!$U$2:$U$5000,"Invoiced Income",Project_Activity!$H$2:$H$5000,"&gt;="&amp;DATE(VALUE(LEFT($B160,4)),1,1),Project_Activity!$H$2:$H$5000,"&lt;="&amp;EOMONTH(DATE(VALUE(LEFT($B160,4)),VALUE(RIGHT($B160,1))*3,1),0)))</f>
        <v/>
      </c>
      <c r="P160" s="94" t="str">
        <f aca="false">IF($C160="","",SUMIFS(Project_Activity!$P$2:$P$5000,Project_Activity!$C$2:$C$5000,$C160,Project_Activity!$U$2:$U$5000,"Subcontractor",Project_Activity!$H$2:$H$5000,"&gt;="&amp;DATE(VALUE(LEFT($B160,4)),1,1),Project_Activity!$H$2:$H$5000,"&lt;="&amp;EOMONTH(DATE(VALUE(LEFT($B160,4)),VALUE(RIGHT($B160,1))*3,1),0)))</f>
        <v/>
      </c>
      <c r="Q160" s="94" t="str">
        <f aca="false">IF($C160="","",SUMIFS(Project_Activity!$P$2:$P$5000,Project_Activity!$C$2:$C$5000,$C160,Project_Activity!$U$2:$U$5000,"Project Inclusive",Project_Activity!$H$2:$H$5000,"&gt;="&amp;DATE(VALUE(LEFT($B160,4)),1,1),Project_Activity!$H$2:$H$5000,"&lt;="&amp;EOMONTH(DATE(VALUE(LEFT($B160,4)),VALUE(RIGHT($B160,1))*3,1),0)))</f>
        <v/>
      </c>
      <c r="R160" s="94" t="str">
        <f aca="false">IF($C160="","",SUMIFS(Project_Activity!$P$2:$P$5000,Project_Activity!$C$2:$C$5000,$C160,Project_Activity!$U$2:$U$5000,"Non-Recoverable",Project_Activity!$H$2:$H$5000,"&gt;="&amp;DATE(VALUE(LEFT($B160,4)),1,1),Project_Activity!$H$2:$H$5000,"&lt;="&amp;EOMONTH(DATE(VALUE(LEFT($B160,4)),VALUE(RIGHT($B160,1))*3,1),0)))</f>
        <v/>
      </c>
      <c r="S160" s="94" t="str">
        <f aca="false">IF($C160="","",$O160-$P160-$Q160-$R160)</f>
        <v/>
      </c>
      <c r="T160" s="94" t="str">
        <f aca="false">IF($C160="","",SUMIFS(Project_Activity!$P$2:$P$5000,Project_Activity!$C$2:$C$5000,$C160,Project_Activity!$U$2:$U$5000,"Recoverable",Project_Activity!$H$2:$H$5000,"&gt;="&amp;DATE(VALUE(LEFT($B160,4)),1,1),Project_Activity!$H$2:$H$5000,"&lt;="&amp;EOMONTH(DATE(VALUE(LEFT($B160,4)),VALUE(RIGHT($B160,1))*3,1),0)))</f>
        <v/>
      </c>
      <c r="U160" s="94" t="str">
        <f aca="false">IF($C160="","",-SUMIFS(Project_Activity!$P$2:$P$5000,Project_Activity!$C$2:$C$5000,$C160,Project_Activity!$U$2:$U$5000,"Recovered Expenses",Project_Activity!$H$2:$H$5000,"&gt;="&amp;DATE(VALUE(LEFT($B160,4)),1,1),Project_Activity!$H$2:$H$5000,"&lt;="&amp;EOMONTH(DATE(VALUE(LEFT($B160,4)),VALUE(RIGHT($B160,1))*3,1),0)))</f>
        <v/>
      </c>
      <c r="V160" s="145"/>
      <c r="W160" s="94" t="str">
        <f aca="false">IF($C160="","",$V160*$N160)</f>
        <v/>
      </c>
      <c r="X160" s="145"/>
      <c r="Y160" s="94" t="str">
        <f aca="false">IF($C160="","",$X160*$N160)</f>
        <v/>
      </c>
      <c r="Z160" s="145"/>
      <c r="AA160" s="94" t="str">
        <f aca="false">IF($C160="","",$Z160*$N160)</f>
        <v/>
      </c>
      <c r="AB160" s="145"/>
      <c r="AC160" s="94" t="str">
        <f aca="false">IF($C160="","",$AB160*$N160)</f>
        <v/>
      </c>
      <c r="AD160" s="94" t="str">
        <f aca="false">IF($C160="","",SUMPRODUCT((VALUE(MID($B160,7,1))&gt;={1,2,3,4})*CHOOSE({1,2,3,4},$W160,$Y160,$AA160,$AC160)))</f>
        <v/>
      </c>
      <c r="AE160" s="94" t="str">
        <f aca="false">IF($C160="","",$W160+$Y160+$AA160+$AC160-$AD160)</f>
        <v/>
      </c>
      <c r="AF160" s="146"/>
      <c r="AG160" s="146"/>
      <c r="AH160" s="146"/>
      <c r="AI160" s="147" t="str">
        <f aca="false">IF($C160="","",IF(OR($L160="Pipeline",$N160&lt;0,$O160&gt;$N160+1,($V160+$X160+$Z160+$AB160)&gt;1.0001,ISNUMBER(SEARCH("not signed",$AF160))),"REVIEW","OK"))</f>
        <v/>
      </c>
    </row>
    <row r="161" customFormat="false" ht="13.5" hidden="false" customHeight="false" outlineLevel="0" collapsed="false">
      <c r="A161" s="95" t="str">
        <f aca="false">IF($C161="","",Controls!$B$7)</f>
        <v/>
      </c>
      <c r="B161" s="95" t="str">
        <f aca="false">IF($C161="","",Controls!$B$30)</f>
        <v/>
      </c>
      <c r="C161" s="95" t="str">
        <f aca="false">IF(MM_Income!$A164="","",MM_Income!$A164)</f>
        <v/>
      </c>
      <c r="D161" s="95" t="str">
        <f aca="false">IF($C161="","",INDEX(MM_Income!$B$5:$B$204,MATCH($C161,MM_Income!$A$5:$A$204,0)))</f>
        <v/>
      </c>
      <c r="E161" s="95" t="str">
        <f aca="false">IF($C161="","",INDEX(MM_Income!$C$5:$C$204,MATCH($C161,MM_Income!$A$5:$A$204,0)))</f>
        <v/>
      </c>
      <c r="F161" s="95" t="str">
        <f aca="false">IF($C161="","",INDEX(MM_Income!$F$5:$F$204,MATCH($C161,MM_Income!$A$5:$A$204,0)))</f>
        <v/>
      </c>
      <c r="G161" s="95" t="str">
        <f aca="false">IF($C161="","",INDEX(MM_Income!$G$5:$G$204,MATCH($C161,MM_Income!$A$5:$A$204,0)))</f>
        <v/>
      </c>
      <c r="H161" s="95" t="str">
        <f aca="false">IF($C161="","",INDEX(MM_Income!$H$5:$H$204,MATCH($C161,MM_Income!$A$5:$A$204,0)))</f>
        <v/>
      </c>
      <c r="I161" s="95" t="str">
        <f aca="false">IF($C161="","",INDEX(MM_Income!$I$5:$I$204,MATCH($C161,MM_Income!$A$5:$A$204,0)))</f>
        <v/>
      </c>
      <c r="J161" s="95" t="str">
        <f aca="false">IF($C161="","",INDEX(MM_Income!$D$5:$D$204,MATCH($C161,MM_Income!$A$5:$A$204,0)))</f>
        <v/>
      </c>
      <c r="K161" s="95" t="str">
        <f aca="false">IF($C161="","",INDEX(MM_Income!$E$5:$E$204,MATCH($C161,MM_Income!$A$5:$A$204,0)))</f>
        <v/>
      </c>
      <c r="L161" s="95" t="str">
        <f aca="false">IF($C161="","",INDEX(MM_Income!$U$5:$U$204,MATCH($C161,MM_Income!$A$5:$A$204,0)))</f>
        <v/>
      </c>
      <c r="M161" s="143" t="str">
        <f aca="false">IF($C161="","",INDEX(MM_Income!$V$5:$V$204,MATCH($C161,MM_Income!$A$5:$A$204,0)))</f>
        <v/>
      </c>
      <c r="N161" s="144" t="str">
        <f aca="false">IF($C161="","",INDEX(MM_Income!$T$5:$T$204,MATCH($C161,MM_Income!$A$5:$A$204,0)))</f>
        <v/>
      </c>
      <c r="O161" s="94" t="str">
        <f aca="false">IF($C161="","",-SUMIFS(Project_Activity!$P$2:$P$5000,Project_Activity!$C$2:$C$5000,$C161,Project_Activity!$U$2:$U$5000,"Invoiced Income",Project_Activity!$H$2:$H$5000,"&gt;="&amp;DATE(VALUE(LEFT($B161,4)),1,1),Project_Activity!$H$2:$H$5000,"&lt;="&amp;EOMONTH(DATE(VALUE(LEFT($B161,4)),VALUE(RIGHT($B161,1))*3,1),0)))</f>
        <v/>
      </c>
      <c r="P161" s="94" t="str">
        <f aca="false">IF($C161="","",SUMIFS(Project_Activity!$P$2:$P$5000,Project_Activity!$C$2:$C$5000,$C161,Project_Activity!$U$2:$U$5000,"Subcontractor",Project_Activity!$H$2:$H$5000,"&gt;="&amp;DATE(VALUE(LEFT($B161,4)),1,1),Project_Activity!$H$2:$H$5000,"&lt;="&amp;EOMONTH(DATE(VALUE(LEFT($B161,4)),VALUE(RIGHT($B161,1))*3,1),0)))</f>
        <v/>
      </c>
      <c r="Q161" s="94" t="str">
        <f aca="false">IF($C161="","",SUMIFS(Project_Activity!$P$2:$P$5000,Project_Activity!$C$2:$C$5000,$C161,Project_Activity!$U$2:$U$5000,"Project Inclusive",Project_Activity!$H$2:$H$5000,"&gt;="&amp;DATE(VALUE(LEFT($B161,4)),1,1),Project_Activity!$H$2:$H$5000,"&lt;="&amp;EOMONTH(DATE(VALUE(LEFT($B161,4)),VALUE(RIGHT($B161,1))*3,1),0)))</f>
        <v/>
      </c>
      <c r="R161" s="94" t="str">
        <f aca="false">IF($C161="","",SUMIFS(Project_Activity!$P$2:$P$5000,Project_Activity!$C$2:$C$5000,$C161,Project_Activity!$U$2:$U$5000,"Non-Recoverable",Project_Activity!$H$2:$H$5000,"&gt;="&amp;DATE(VALUE(LEFT($B161,4)),1,1),Project_Activity!$H$2:$H$5000,"&lt;="&amp;EOMONTH(DATE(VALUE(LEFT($B161,4)),VALUE(RIGHT($B161,1))*3,1),0)))</f>
        <v/>
      </c>
      <c r="S161" s="94" t="str">
        <f aca="false">IF($C161="","",$O161-$P161-$Q161-$R161)</f>
        <v/>
      </c>
      <c r="T161" s="94" t="str">
        <f aca="false">IF($C161="","",SUMIFS(Project_Activity!$P$2:$P$5000,Project_Activity!$C$2:$C$5000,$C161,Project_Activity!$U$2:$U$5000,"Recoverable",Project_Activity!$H$2:$H$5000,"&gt;="&amp;DATE(VALUE(LEFT($B161,4)),1,1),Project_Activity!$H$2:$H$5000,"&lt;="&amp;EOMONTH(DATE(VALUE(LEFT($B161,4)),VALUE(RIGHT($B161,1))*3,1),0)))</f>
        <v/>
      </c>
      <c r="U161" s="94" t="str">
        <f aca="false">IF($C161="","",-SUMIFS(Project_Activity!$P$2:$P$5000,Project_Activity!$C$2:$C$5000,$C161,Project_Activity!$U$2:$U$5000,"Recovered Expenses",Project_Activity!$H$2:$H$5000,"&gt;="&amp;DATE(VALUE(LEFT($B161,4)),1,1),Project_Activity!$H$2:$H$5000,"&lt;="&amp;EOMONTH(DATE(VALUE(LEFT($B161,4)),VALUE(RIGHT($B161,1))*3,1),0)))</f>
        <v/>
      </c>
      <c r="V161" s="145"/>
      <c r="W161" s="94" t="str">
        <f aca="false">IF($C161="","",$V161*$N161)</f>
        <v/>
      </c>
      <c r="X161" s="145"/>
      <c r="Y161" s="94" t="str">
        <f aca="false">IF($C161="","",$X161*$N161)</f>
        <v/>
      </c>
      <c r="Z161" s="145"/>
      <c r="AA161" s="94" t="str">
        <f aca="false">IF($C161="","",$Z161*$N161)</f>
        <v/>
      </c>
      <c r="AB161" s="145"/>
      <c r="AC161" s="94" t="str">
        <f aca="false">IF($C161="","",$AB161*$N161)</f>
        <v/>
      </c>
      <c r="AD161" s="94" t="str">
        <f aca="false">IF($C161="","",SUMPRODUCT((VALUE(MID($B161,7,1))&gt;={1,2,3,4})*CHOOSE({1,2,3,4},$W161,$Y161,$AA161,$AC161)))</f>
        <v/>
      </c>
      <c r="AE161" s="94" t="str">
        <f aca="false">IF($C161="","",$W161+$Y161+$AA161+$AC161-$AD161)</f>
        <v/>
      </c>
      <c r="AF161" s="146"/>
      <c r="AG161" s="146"/>
      <c r="AH161" s="146"/>
      <c r="AI161" s="147" t="str">
        <f aca="false">IF($C161="","",IF(OR($L161="Pipeline",$N161&lt;0,$O161&gt;$N161+1,($V161+$X161+$Z161+$AB161)&gt;1.0001,ISNUMBER(SEARCH("not signed",$AF161))),"REVIEW","OK"))</f>
        <v/>
      </c>
    </row>
    <row r="162" customFormat="false" ht="13.5" hidden="false" customHeight="false" outlineLevel="0" collapsed="false">
      <c r="A162" s="95" t="str">
        <f aca="false">IF($C162="","",Controls!$B$7)</f>
        <v/>
      </c>
      <c r="B162" s="95" t="str">
        <f aca="false">IF($C162="","",Controls!$B$30)</f>
        <v/>
      </c>
      <c r="C162" s="95" t="str">
        <f aca="false">IF(MM_Income!$A165="","",MM_Income!$A165)</f>
        <v/>
      </c>
      <c r="D162" s="95" t="str">
        <f aca="false">IF($C162="","",INDEX(MM_Income!$B$5:$B$204,MATCH($C162,MM_Income!$A$5:$A$204,0)))</f>
        <v/>
      </c>
      <c r="E162" s="95" t="str">
        <f aca="false">IF($C162="","",INDEX(MM_Income!$C$5:$C$204,MATCH($C162,MM_Income!$A$5:$A$204,0)))</f>
        <v/>
      </c>
      <c r="F162" s="95" t="str">
        <f aca="false">IF($C162="","",INDEX(MM_Income!$F$5:$F$204,MATCH($C162,MM_Income!$A$5:$A$204,0)))</f>
        <v/>
      </c>
      <c r="G162" s="95" t="str">
        <f aca="false">IF($C162="","",INDEX(MM_Income!$G$5:$G$204,MATCH($C162,MM_Income!$A$5:$A$204,0)))</f>
        <v/>
      </c>
      <c r="H162" s="95" t="str">
        <f aca="false">IF($C162="","",INDEX(MM_Income!$H$5:$H$204,MATCH($C162,MM_Income!$A$5:$A$204,0)))</f>
        <v/>
      </c>
      <c r="I162" s="95" t="str">
        <f aca="false">IF($C162="","",INDEX(MM_Income!$I$5:$I$204,MATCH($C162,MM_Income!$A$5:$A$204,0)))</f>
        <v/>
      </c>
      <c r="J162" s="95" t="str">
        <f aca="false">IF($C162="","",INDEX(MM_Income!$D$5:$D$204,MATCH($C162,MM_Income!$A$5:$A$204,0)))</f>
        <v/>
      </c>
      <c r="K162" s="95" t="str">
        <f aca="false">IF($C162="","",INDEX(MM_Income!$E$5:$E$204,MATCH($C162,MM_Income!$A$5:$A$204,0)))</f>
        <v/>
      </c>
      <c r="L162" s="95" t="str">
        <f aca="false">IF($C162="","",INDEX(MM_Income!$U$5:$U$204,MATCH($C162,MM_Income!$A$5:$A$204,0)))</f>
        <v/>
      </c>
      <c r="M162" s="143" t="str">
        <f aca="false">IF($C162="","",INDEX(MM_Income!$V$5:$V$204,MATCH($C162,MM_Income!$A$5:$A$204,0)))</f>
        <v/>
      </c>
      <c r="N162" s="144" t="str">
        <f aca="false">IF($C162="","",INDEX(MM_Income!$T$5:$T$204,MATCH($C162,MM_Income!$A$5:$A$204,0)))</f>
        <v/>
      </c>
      <c r="O162" s="94" t="str">
        <f aca="false">IF($C162="","",-SUMIFS(Project_Activity!$P$2:$P$5000,Project_Activity!$C$2:$C$5000,$C162,Project_Activity!$U$2:$U$5000,"Invoiced Income",Project_Activity!$H$2:$H$5000,"&gt;="&amp;DATE(VALUE(LEFT($B162,4)),1,1),Project_Activity!$H$2:$H$5000,"&lt;="&amp;EOMONTH(DATE(VALUE(LEFT($B162,4)),VALUE(RIGHT($B162,1))*3,1),0)))</f>
        <v/>
      </c>
      <c r="P162" s="94" t="str">
        <f aca="false">IF($C162="","",SUMIFS(Project_Activity!$P$2:$P$5000,Project_Activity!$C$2:$C$5000,$C162,Project_Activity!$U$2:$U$5000,"Subcontractor",Project_Activity!$H$2:$H$5000,"&gt;="&amp;DATE(VALUE(LEFT($B162,4)),1,1),Project_Activity!$H$2:$H$5000,"&lt;="&amp;EOMONTH(DATE(VALUE(LEFT($B162,4)),VALUE(RIGHT($B162,1))*3,1),0)))</f>
        <v/>
      </c>
      <c r="Q162" s="94" t="str">
        <f aca="false">IF($C162="","",SUMIFS(Project_Activity!$P$2:$P$5000,Project_Activity!$C$2:$C$5000,$C162,Project_Activity!$U$2:$U$5000,"Project Inclusive",Project_Activity!$H$2:$H$5000,"&gt;="&amp;DATE(VALUE(LEFT($B162,4)),1,1),Project_Activity!$H$2:$H$5000,"&lt;="&amp;EOMONTH(DATE(VALUE(LEFT($B162,4)),VALUE(RIGHT($B162,1))*3,1),0)))</f>
        <v/>
      </c>
      <c r="R162" s="94" t="str">
        <f aca="false">IF($C162="","",SUMIFS(Project_Activity!$P$2:$P$5000,Project_Activity!$C$2:$C$5000,$C162,Project_Activity!$U$2:$U$5000,"Non-Recoverable",Project_Activity!$H$2:$H$5000,"&gt;="&amp;DATE(VALUE(LEFT($B162,4)),1,1),Project_Activity!$H$2:$H$5000,"&lt;="&amp;EOMONTH(DATE(VALUE(LEFT($B162,4)),VALUE(RIGHT($B162,1))*3,1),0)))</f>
        <v/>
      </c>
      <c r="S162" s="94" t="str">
        <f aca="false">IF($C162="","",$O162-$P162-$Q162-$R162)</f>
        <v/>
      </c>
      <c r="T162" s="94" t="str">
        <f aca="false">IF($C162="","",SUMIFS(Project_Activity!$P$2:$P$5000,Project_Activity!$C$2:$C$5000,$C162,Project_Activity!$U$2:$U$5000,"Recoverable",Project_Activity!$H$2:$H$5000,"&gt;="&amp;DATE(VALUE(LEFT($B162,4)),1,1),Project_Activity!$H$2:$H$5000,"&lt;="&amp;EOMONTH(DATE(VALUE(LEFT($B162,4)),VALUE(RIGHT($B162,1))*3,1),0)))</f>
        <v/>
      </c>
      <c r="U162" s="94" t="str">
        <f aca="false">IF($C162="","",-SUMIFS(Project_Activity!$P$2:$P$5000,Project_Activity!$C$2:$C$5000,$C162,Project_Activity!$U$2:$U$5000,"Recovered Expenses",Project_Activity!$H$2:$H$5000,"&gt;="&amp;DATE(VALUE(LEFT($B162,4)),1,1),Project_Activity!$H$2:$H$5000,"&lt;="&amp;EOMONTH(DATE(VALUE(LEFT($B162,4)),VALUE(RIGHT($B162,1))*3,1),0)))</f>
        <v/>
      </c>
      <c r="V162" s="145"/>
      <c r="W162" s="94" t="str">
        <f aca="false">IF($C162="","",$V162*$N162)</f>
        <v/>
      </c>
      <c r="X162" s="145"/>
      <c r="Y162" s="94" t="str">
        <f aca="false">IF($C162="","",$X162*$N162)</f>
        <v/>
      </c>
      <c r="Z162" s="145"/>
      <c r="AA162" s="94" t="str">
        <f aca="false">IF($C162="","",$Z162*$N162)</f>
        <v/>
      </c>
      <c r="AB162" s="145"/>
      <c r="AC162" s="94" t="str">
        <f aca="false">IF($C162="","",$AB162*$N162)</f>
        <v/>
      </c>
      <c r="AD162" s="94" t="str">
        <f aca="false">IF($C162="","",SUMPRODUCT((VALUE(MID($B162,7,1))&gt;={1,2,3,4})*CHOOSE({1,2,3,4},$W162,$Y162,$AA162,$AC162)))</f>
        <v/>
      </c>
      <c r="AE162" s="94" t="str">
        <f aca="false">IF($C162="","",$W162+$Y162+$AA162+$AC162-$AD162)</f>
        <v/>
      </c>
      <c r="AF162" s="146"/>
      <c r="AG162" s="146"/>
      <c r="AH162" s="146"/>
      <c r="AI162" s="147" t="str">
        <f aca="false">IF($C162="","",IF(OR($L162="Pipeline",$N162&lt;0,$O162&gt;$N162+1,($V162+$X162+$Z162+$AB162)&gt;1.0001,ISNUMBER(SEARCH("not signed",$AF162))),"REVIEW","OK"))</f>
        <v/>
      </c>
    </row>
    <row r="163" customFormat="false" ht="13.5" hidden="false" customHeight="false" outlineLevel="0" collapsed="false">
      <c r="A163" s="95" t="str">
        <f aca="false">IF($C163="","",Controls!$B$7)</f>
        <v/>
      </c>
      <c r="B163" s="95" t="str">
        <f aca="false">IF($C163="","",Controls!$B$30)</f>
        <v/>
      </c>
      <c r="C163" s="95" t="str">
        <f aca="false">IF(MM_Income!$A166="","",MM_Income!$A166)</f>
        <v/>
      </c>
      <c r="D163" s="95" t="str">
        <f aca="false">IF($C163="","",INDEX(MM_Income!$B$5:$B$204,MATCH($C163,MM_Income!$A$5:$A$204,0)))</f>
        <v/>
      </c>
      <c r="E163" s="95" t="str">
        <f aca="false">IF($C163="","",INDEX(MM_Income!$C$5:$C$204,MATCH($C163,MM_Income!$A$5:$A$204,0)))</f>
        <v/>
      </c>
      <c r="F163" s="95" t="str">
        <f aca="false">IF($C163="","",INDEX(MM_Income!$F$5:$F$204,MATCH($C163,MM_Income!$A$5:$A$204,0)))</f>
        <v/>
      </c>
      <c r="G163" s="95" t="str">
        <f aca="false">IF($C163="","",INDEX(MM_Income!$G$5:$G$204,MATCH($C163,MM_Income!$A$5:$A$204,0)))</f>
        <v/>
      </c>
      <c r="H163" s="95" t="str">
        <f aca="false">IF($C163="","",INDEX(MM_Income!$H$5:$H$204,MATCH($C163,MM_Income!$A$5:$A$204,0)))</f>
        <v/>
      </c>
      <c r="I163" s="95" t="str">
        <f aca="false">IF($C163="","",INDEX(MM_Income!$I$5:$I$204,MATCH($C163,MM_Income!$A$5:$A$204,0)))</f>
        <v/>
      </c>
      <c r="J163" s="95" t="str">
        <f aca="false">IF($C163="","",INDEX(MM_Income!$D$5:$D$204,MATCH($C163,MM_Income!$A$5:$A$204,0)))</f>
        <v/>
      </c>
      <c r="K163" s="95" t="str">
        <f aca="false">IF($C163="","",INDEX(MM_Income!$E$5:$E$204,MATCH($C163,MM_Income!$A$5:$A$204,0)))</f>
        <v/>
      </c>
      <c r="L163" s="95" t="str">
        <f aca="false">IF($C163="","",INDEX(MM_Income!$U$5:$U$204,MATCH($C163,MM_Income!$A$5:$A$204,0)))</f>
        <v/>
      </c>
      <c r="M163" s="143" t="str">
        <f aca="false">IF($C163="","",INDEX(MM_Income!$V$5:$V$204,MATCH($C163,MM_Income!$A$5:$A$204,0)))</f>
        <v/>
      </c>
      <c r="N163" s="144" t="str">
        <f aca="false">IF($C163="","",INDEX(MM_Income!$T$5:$T$204,MATCH($C163,MM_Income!$A$5:$A$204,0)))</f>
        <v/>
      </c>
      <c r="O163" s="94" t="str">
        <f aca="false">IF($C163="","",-SUMIFS(Project_Activity!$P$2:$P$5000,Project_Activity!$C$2:$C$5000,$C163,Project_Activity!$U$2:$U$5000,"Invoiced Income",Project_Activity!$H$2:$H$5000,"&gt;="&amp;DATE(VALUE(LEFT($B163,4)),1,1),Project_Activity!$H$2:$H$5000,"&lt;="&amp;EOMONTH(DATE(VALUE(LEFT($B163,4)),VALUE(RIGHT($B163,1))*3,1),0)))</f>
        <v/>
      </c>
      <c r="P163" s="94" t="str">
        <f aca="false">IF($C163="","",SUMIFS(Project_Activity!$P$2:$P$5000,Project_Activity!$C$2:$C$5000,$C163,Project_Activity!$U$2:$U$5000,"Subcontractor",Project_Activity!$H$2:$H$5000,"&gt;="&amp;DATE(VALUE(LEFT($B163,4)),1,1),Project_Activity!$H$2:$H$5000,"&lt;="&amp;EOMONTH(DATE(VALUE(LEFT($B163,4)),VALUE(RIGHT($B163,1))*3,1),0)))</f>
        <v/>
      </c>
      <c r="Q163" s="94" t="str">
        <f aca="false">IF($C163="","",SUMIFS(Project_Activity!$P$2:$P$5000,Project_Activity!$C$2:$C$5000,$C163,Project_Activity!$U$2:$U$5000,"Project Inclusive",Project_Activity!$H$2:$H$5000,"&gt;="&amp;DATE(VALUE(LEFT($B163,4)),1,1),Project_Activity!$H$2:$H$5000,"&lt;="&amp;EOMONTH(DATE(VALUE(LEFT($B163,4)),VALUE(RIGHT($B163,1))*3,1),0)))</f>
        <v/>
      </c>
      <c r="R163" s="94" t="str">
        <f aca="false">IF($C163="","",SUMIFS(Project_Activity!$P$2:$P$5000,Project_Activity!$C$2:$C$5000,$C163,Project_Activity!$U$2:$U$5000,"Non-Recoverable",Project_Activity!$H$2:$H$5000,"&gt;="&amp;DATE(VALUE(LEFT($B163,4)),1,1),Project_Activity!$H$2:$H$5000,"&lt;="&amp;EOMONTH(DATE(VALUE(LEFT($B163,4)),VALUE(RIGHT($B163,1))*3,1),0)))</f>
        <v/>
      </c>
      <c r="S163" s="94" t="str">
        <f aca="false">IF($C163="","",$O163-$P163-$Q163-$R163)</f>
        <v/>
      </c>
      <c r="T163" s="94" t="str">
        <f aca="false">IF($C163="","",SUMIFS(Project_Activity!$P$2:$P$5000,Project_Activity!$C$2:$C$5000,$C163,Project_Activity!$U$2:$U$5000,"Recoverable",Project_Activity!$H$2:$H$5000,"&gt;="&amp;DATE(VALUE(LEFT($B163,4)),1,1),Project_Activity!$H$2:$H$5000,"&lt;="&amp;EOMONTH(DATE(VALUE(LEFT($B163,4)),VALUE(RIGHT($B163,1))*3,1),0)))</f>
        <v/>
      </c>
      <c r="U163" s="94" t="str">
        <f aca="false">IF($C163="","",-SUMIFS(Project_Activity!$P$2:$P$5000,Project_Activity!$C$2:$C$5000,$C163,Project_Activity!$U$2:$U$5000,"Recovered Expenses",Project_Activity!$H$2:$H$5000,"&gt;="&amp;DATE(VALUE(LEFT($B163,4)),1,1),Project_Activity!$H$2:$H$5000,"&lt;="&amp;EOMONTH(DATE(VALUE(LEFT($B163,4)),VALUE(RIGHT($B163,1))*3,1),0)))</f>
        <v/>
      </c>
      <c r="V163" s="145"/>
      <c r="W163" s="94" t="str">
        <f aca="false">IF($C163="","",$V163*$N163)</f>
        <v/>
      </c>
      <c r="X163" s="145"/>
      <c r="Y163" s="94" t="str">
        <f aca="false">IF($C163="","",$X163*$N163)</f>
        <v/>
      </c>
      <c r="Z163" s="145"/>
      <c r="AA163" s="94" t="str">
        <f aca="false">IF($C163="","",$Z163*$N163)</f>
        <v/>
      </c>
      <c r="AB163" s="145"/>
      <c r="AC163" s="94" t="str">
        <f aca="false">IF($C163="","",$AB163*$N163)</f>
        <v/>
      </c>
      <c r="AD163" s="94" t="str">
        <f aca="false">IF($C163="","",SUMPRODUCT((VALUE(MID($B163,7,1))&gt;={1,2,3,4})*CHOOSE({1,2,3,4},$W163,$Y163,$AA163,$AC163)))</f>
        <v/>
      </c>
      <c r="AE163" s="94" t="str">
        <f aca="false">IF($C163="","",$W163+$Y163+$AA163+$AC163-$AD163)</f>
        <v/>
      </c>
      <c r="AF163" s="146"/>
      <c r="AG163" s="146"/>
      <c r="AH163" s="146"/>
      <c r="AI163" s="147" t="str">
        <f aca="false">IF($C163="","",IF(OR($L163="Pipeline",$N163&lt;0,$O163&gt;$N163+1,($V163+$X163+$Z163+$AB163)&gt;1.0001,ISNUMBER(SEARCH("not signed",$AF163))),"REVIEW","OK"))</f>
        <v/>
      </c>
    </row>
    <row r="164" customFormat="false" ht="13.5" hidden="false" customHeight="false" outlineLevel="0" collapsed="false">
      <c r="A164" s="95" t="str">
        <f aca="false">IF($C164="","",Controls!$B$7)</f>
        <v/>
      </c>
      <c r="B164" s="95" t="str">
        <f aca="false">IF($C164="","",Controls!$B$30)</f>
        <v/>
      </c>
      <c r="C164" s="95" t="str">
        <f aca="false">IF(MM_Income!$A167="","",MM_Income!$A167)</f>
        <v/>
      </c>
      <c r="D164" s="95" t="str">
        <f aca="false">IF($C164="","",INDEX(MM_Income!$B$5:$B$204,MATCH($C164,MM_Income!$A$5:$A$204,0)))</f>
        <v/>
      </c>
      <c r="E164" s="95" t="str">
        <f aca="false">IF($C164="","",INDEX(MM_Income!$C$5:$C$204,MATCH($C164,MM_Income!$A$5:$A$204,0)))</f>
        <v/>
      </c>
      <c r="F164" s="95" t="str">
        <f aca="false">IF($C164="","",INDEX(MM_Income!$F$5:$F$204,MATCH($C164,MM_Income!$A$5:$A$204,0)))</f>
        <v/>
      </c>
      <c r="G164" s="95" t="str">
        <f aca="false">IF($C164="","",INDEX(MM_Income!$G$5:$G$204,MATCH($C164,MM_Income!$A$5:$A$204,0)))</f>
        <v/>
      </c>
      <c r="H164" s="95" t="str">
        <f aca="false">IF($C164="","",INDEX(MM_Income!$H$5:$H$204,MATCH($C164,MM_Income!$A$5:$A$204,0)))</f>
        <v/>
      </c>
      <c r="I164" s="95" t="str">
        <f aca="false">IF($C164="","",INDEX(MM_Income!$I$5:$I$204,MATCH($C164,MM_Income!$A$5:$A$204,0)))</f>
        <v/>
      </c>
      <c r="J164" s="95" t="str">
        <f aca="false">IF($C164="","",INDEX(MM_Income!$D$5:$D$204,MATCH($C164,MM_Income!$A$5:$A$204,0)))</f>
        <v/>
      </c>
      <c r="K164" s="95" t="str">
        <f aca="false">IF($C164="","",INDEX(MM_Income!$E$5:$E$204,MATCH($C164,MM_Income!$A$5:$A$204,0)))</f>
        <v/>
      </c>
      <c r="L164" s="95" t="str">
        <f aca="false">IF($C164="","",INDEX(MM_Income!$U$5:$U$204,MATCH($C164,MM_Income!$A$5:$A$204,0)))</f>
        <v/>
      </c>
      <c r="M164" s="143" t="str">
        <f aca="false">IF($C164="","",INDEX(MM_Income!$V$5:$V$204,MATCH($C164,MM_Income!$A$5:$A$204,0)))</f>
        <v/>
      </c>
      <c r="N164" s="144" t="str">
        <f aca="false">IF($C164="","",INDEX(MM_Income!$T$5:$T$204,MATCH($C164,MM_Income!$A$5:$A$204,0)))</f>
        <v/>
      </c>
      <c r="O164" s="94" t="str">
        <f aca="false">IF($C164="","",-SUMIFS(Project_Activity!$P$2:$P$5000,Project_Activity!$C$2:$C$5000,$C164,Project_Activity!$U$2:$U$5000,"Invoiced Income",Project_Activity!$H$2:$H$5000,"&gt;="&amp;DATE(VALUE(LEFT($B164,4)),1,1),Project_Activity!$H$2:$H$5000,"&lt;="&amp;EOMONTH(DATE(VALUE(LEFT($B164,4)),VALUE(RIGHT($B164,1))*3,1),0)))</f>
        <v/>
      </c>
      <c r="P164" s="94" t="str">
        <f aca="false">IF($C164="","",SUMIFS(Project_Activity!$P$2:$P$5000,Project_Activity!$C$2:$C$5000,$C164,Project_Activity!$U$2:$U$5000,"Subcontractor",Project_Activity!$H$2:$H$5000,"&gt;="&amp;DATE(VALUE(LEFT($B164,4)),1,1),Project_Activity!$H$2:$H$5000,"&lt;="&amp;EOMONTH(DATE(VALUE(LEFT($B164,4)),VALUE(RIGHT($B164,1))*3,1),0)))</f>
        <v/>
      </c>
      <c r="Q164" s="94" t="str">
        <f aca="false">IF($C164="","",SUMIFS(Project_Activity!$P$2:$P$5000,Project_Activity!$C$2:$C$5000,$C164,Project_Activity!$U$2:$U$5000,"Project Inclusive",Project_Activity!$H$2:$H$5000,"&gt;="&amp;DATE(VALUE(LEFT($B164,4)),1,1),Project_Activity!$H$2:$H$5000,"&lt;="&amp;EOMONTH(DATE(VALUE(LEFT($B164,4)),VALUE(RIGHT($B164,1))*3,1),0)))</f>
        <v/>
      </c>
      <c r="R164" s="94" t="str">
        <f aca="false">IF($C164="","",SUMIFS(Project_Activity!$P$2:$P$5000,Project_Activity!$C$2:$C$5000,$C164,Project_Activity!$U$2:$U$5000,"Non-Recoverable",Project_Activity!$H$2:$H$5000,"&gt;="&amp;DATE(VALUE(LEFT($B164,4)),1,1),Project_Activity!$H$2:$H$5000,"&lt;="&amp;EOMONTH(DATE(VALUE(LEFT($B164,4)),VALUE(RIGHT($B164,1))*3,1),0)))</f>
        <v/>
      </c>
      <c r="S164" s="94" t="str">
        <f aca="false">IF($C164="","",$O164-$P164-$Q164-$R164)</f>
        <v/>
      </c>
      <c r="T164" s="94" t="str">
        <f aca="false">IF($C164="","",SUMIFS(Project_Activity!$P$2:$P$5000,Project_Activity!$C$2:$C$5000,$C164,Project_Activity!$U$2:$U$5000,"Recoverable",Project_Activity!$H$2:$H$5000,"&gt;="&amp;DATE(VALUE(LEFT($B164,4)),1,1),Project_Activity!$H$2:$H$5000,"&lt;="&amp;EOMONTH(DATE(VALUE(LEFT($B164,4)),VALUE(RIGHT($B164,1))*3,1),0)))</f>
        <v/>
      </c>
      <c r="U164" s="94" t="str">
        <f aca="false">IF($C164="","",-SUMIFS(Project_Activity!$P$2:$P$5000,Project_Activity!$C$2:$C$5000,$C164,Project_Activity!$U$2:$U$5000,"Recovered Expenses",Project_Activity!$H$2:$H$5000,"&gt;="&amp;DATE(VALUE(LEFT($B164,4)),1,1),Project_Activity!$H$2:$H$5000,"&lt;="&amp;EOMONTH(DATE(VALUE(LEFT($B164,4)),VALUE(RIGHT($B164,1))*3,1),0)))</f>
        <v/>
      </c>
      <c r="V164" s="145"/>
      <c r="W164" s="94" t="str">
        <f aca="false">IF($C164="","",$V164*$N164)</f>
        <v/>
      </c>
      <c r="X164" s="145"/>
      <c r="Y164" s="94" t="str">
        <f aca="false">IF($C164="","",$X164*$N164)</f>
        <v/>
      </c>
      <c r="Z164" s="145"/>
      <c r="AA164" s="94" t="str">
        <f aca="false">IF($C164="","",$Z164*$N164)</f>
        <v/>
      </c>
      <c r="AB164" s="145"/>
      <c r="AC164" s="94" t="str">
        <f aca="false">IF($C164="","",$AB164*$N164)</f>
        <v/>
      </c>
      <c r="AD164" s="94" t="str">
        <f aca="false">IF($C164="","",SUMPRODUCT((VALUE(MID($B164,7,1))&gt;={1,2,3,4})*CHOOSE({1,2,3,4},$W164,$Y164,$AA164,$AC164)))</f>
        <v/>
      </c>
      <c r="AE164" s="94" t="str">
        <f aca="false">IF($C164="","",$W164+$Y164+$AA164+$AC164-$AD164)</f>
        <v/>
      </c>
      <c r="AF164" s="146"/>
      <c r="AG164" s="146"/>
      <c r="AH164" s="146"/>
      <c r="AI164" s="147" t="str">
        <f aca="false">IF($C164="","",IF(OR($L164="Pipeline",$N164&lt;0,$O164&gt;$N164+1,($V164+$X164+$Z164+$AB164)&gt;1.0001,ISNUMBER(SEARCH("not signed",$AF164))),"REVIEW","OK"))</f>
        <v/>
      </c>
    </row>
    <row r="165" customFormat="false" ht="13.5" hidden="false" customHeight="false" outlineLevel="0" collapsed="false">
      <c r="A165" s="95" t="str">
        <f aca="false">IF($C165="","",Controls!$B$7)</f>
        <v/>
      </c>
      <c r="B165" s="95" t="str">
        <f aca="false">IF($C165="","",Controls!$B$30)</f>
        <v/>
      </c>
      <c r="C165" s="95" t="str">
        <f aca="false">IF(MM_Income!$A168="","",MM_Income!$A168)</f>
        <v/>
      </c>
      <c r="D165" s="95" t="str">
        <f aca="false">IF($C165="","",INDEX(MM_Income!$B$5:$B$204,MATCH($C165,MM_Income!$A$5:$A$204,0)))</f>
        <v/>
      </c>
      <c r="E165" s="95" t="str">
        <f aca="false">IF($C165="","",INDEX(MM_Income!$C$5:$C$204,MATCH($C165,MM_Income!$A$5:$A$204,0)))</f>
        <v/>
      </c>
      <c r="F165" s="95" t="str">
        <f aca="false">IF($C165="","",INDEX(MM_Income!$F$5:$F$204,MATCH($C165,MM_Income!$A$5:$A$204,0)))</f>
        <v/>
      </c>
      <c r="G165" s="95" t="str">
        <f aca="false">IF($C165="","",INDEX(MM_Income!$G$5:$G$204,MATCH($C165,MM_Income!$A$5:$A$204,0)))</f>
        <v/>
      </c>
      <c r="H165" s="95" t="str">
        <f aca="false">IF($C165="","",INDEX(MM_Income!$H$5:$H$204,MATCH($C165,MM_Income!$A$5:$A$204,0)))</f>
        <v/>
      </c>
      <c r="I165" s="95" t="str">
        <f aca="false">IF($C165="","",INDEX(MM_Income!$I$5:$I$204,MATCH($C165,MM_Income!$A$5:$A$204,0)))</f>
        <v/>
      </c>
      <c r="J165" s="95" t="str">
        <f aca="false">IF($C165="","",INDEX(MM_Income!$D$5:$D$204,MATCH($C165,MM_Income!$A$5:$A$204,0)))</f>
        <v/>
      </c>
      <c r="K165" s="95" t="str">
        <f aca="false">IF($C165="","",INDEX(MM_Income!$E$5:$E$204,MATCH($C165,MM_Income!$A$5:$A$204,0)))</f>
        <v/>
      </c>
      <c r="L165" s="95" t="str">
        <f aca="false">IF($C165="","",INDEX(MM_Income!$U$5:$U$204,MATCH($C165,MM_Income!$A$5:$A$204,0)))</f>
        <v/>
      </c>
      <c r="M165" s="143" t="str">
        <f aca="false">IF($C165="","",INDEX(MM_Income!$V$5:$V$204,MATCH($C165,MM_Income!$A$5:$A$204,0)))</f>
        <v/>
      </c>
      <c r="N165" s="144" t="str">
        <f aca="false">IF($C165="","",INDEX(MM_Income!$T$5:$T$204,MATCH($C165,MM_Income!$A$5:$A$204,0)))</f>
        <v/>
      </c>
      <c r="O165" s="94" t="str">
        <f aca="false">IF($C165="","",-SUMIFS(Project_Activity!$P$2:$P$5000,Project_Activity!$C$2:$C$5000,$C165,Project_Activity!$U$2:$U$5000,"Invoiced Income",Project_Activity!$H$2:$H$5000,"&gt;="&amp;DATE(VALUE(LEFT($B165,4)),1,1),Project_Activity!$H$2:$H$5000,"&lt;="&amp;EOMONTH(DATE(VALUE(LEFT($B165,4)),VALUE(RIGHT($B165,1))*3,1),0)))</f>
        <v/>
      </c>
      <c r="P165" s="94" t="str">
        <f aca="false">IF($C165="","",SUMIFS(Project_Activity!$P$2:$P$5000,Project_Activity!$C$2:$C$5000,$C165,Project_Activity!$U$2:$U$5000,"Subcontractor",Project_Activity!$H$2:$H$5000,"&gt;="&amp;DATE(VALUE(LEFT($B165,4)),1,1),Project_Activity!$H$2:$H$5000,"&lt;="&amp;EOMONTH(DATE(VALUE(LEFT($B165,4)),VALUE(RIGHT($B165,1))*3,1),0)))</f>
        <v/>
      </c>
      <c r="Q165" s="94" t="str">
        <f aca="false">IF($C165="","",SUMIFS(Project_Activity!$P$2:$P$5000,Project_Activity!$C$2:$C$5000,$C165,Project_Activity!$U$2:$U$5000,"Project Inclusive",Project_Activity!$H$2:$H$5000,"&gt;="&amp;DATE(VALUE(LEFT($B165,4)),1,1),Project_Activity!$H$2:$H$5000,"&lt;="&amp;EOMONTH(DATE(VALUE(LEFT($B165,4)),VALUE(RIGHT($B165,1))*3,1),0)))</f>
        <v/>
      </c>
      <c r="R165" s="94" t="str">
        <f aca="false">IF($C165="","",SUMIFS(Project_Activity!$P$2:$P$5000,Project_Activity!$C$2:$C$5000,$C165,Project_Activity!$U$2:$U$5000,"Non-Recoverable",Project_Activity!$H$2:$H$5000,"&gt;="&amp;DATE(VALUE(LEFT($B165,4)),1,1),Project_Activity!$H$2:$H$5000,"&lt;="&amp;EOMONTH(DATE(VALUE(LEFT($B165,4)),VALUE(RIGHT($B165,1))*3,1),0)))</f>
        <v/>
      </c>
      <c r="S165" s="94" t="str">
        <f aca="false">IF($C165="","",$O165-$P165-$Q165-$R165)</f>
        <v/>
      </c>
      <c r="T165" s="94" t="str">
        <f aca="false">IF($C165="","",SUMIFS(Project_Activity!$P$2:$P$5000,Project_Activity!$C$2:$C$5000,$C165,Project_Activity!$U$2:$U$5000,"Recoverable",Project_Activity!$H$2:$H$5000,"&gt;="&amp;DATE(VALUE(LEFT($B165,4)),1,1),Project_Activity!$H$2:$H$5000,"&lt;="&amp;EOMONTH(DATE(VALUE(LEFT($B165,4)),VALUE(RIGHT($B165,1))*3,1),0)))</f>
        <v/>
      </c>
      <c r="U165" s="94" t="str">
        <f aca="false">IF($C165="","",-SUMIFS(Project_Activity!$P$2:$P$5000,Project_Activity!$C$2:$C$5000,$C165,Project_Activity!$U$2:$U$5000,"Recovered Expenses",Project_Activity!$H$2:$H$5000,"&gt;="&amp;DATE(VALUE(LEFT($B165,4)),1,1),Project_Activity!$H$2:$H$5000,"&lt;="&amp;EOMONTH(DATE(VALUE(LEFT($B165,4)),VALUE(RIGHT($B165,1))*3,1),0)))</f>
        <v/>
      </c>
      <c r="V165" s="145"/>
      <c r="W165" s="94" t="str">
        <f aca="false">IF($C165="","",$V165*$N165)</f>
        <v/>
      </c>
      <c r="X165" s="145"/>
      <c r="Y165" s="94" t="str">
        <f aca="false">IF($C165="","",$X165*$N165)</f>
        <v/>
      </c>
      <c r="Z165" s="145"/>
      <c r="AA165" s="94" t="str">
        <f aca="false">IF($C165="","",$Z165*$N165)</f>
        <v/>
      </c>
      <c r="AB165" s="145"/>
      <c r="AC165" s="94" t="str">
        <f aca="false">IF($C165="","",$AB165*$N165)</f>
        <v/>
      </c>
      <c r="AD165" s="94" t="str">
        <f aca="false">IF($C165="","",SUMPRODUCT((VALUE(MID($B165,7,1))&gt;={1,2,3,4})*CHOOSE({1,2,3,4},$W165,$Y165,$AA165,$AC165)))</f>
        <v/>
      </c>
      <c r="AE165" s="94" t="str">
        <f aca="false">IF($C165="","",$W165+$Y165+$AA165+$AC165-$AD165)</f>
        <v/>
      </c>
      <c r="AF165" s="146"/>
      <c r="AG165" s="146"/>
      <c r="AH165" s="146"/>
      <c r="AI165" s="147" t="str">
        <f aca="false">IF($C165="","",IF(OR($L165="Pipeline",$N165&lt;0,$O165&gt;$N165+1,($V165+$X165+$Z165+$AB165)&gt;1.0001,ISNUMBER(SEARCH("not signed",$AF165))),"REVIEW","OK"))</f>
        <v/>
      </c>
    </row>
    <row r="166" customFormat="false" ht="13.5" hidden="false" customHeight="false" outlineLevel="0" collapsed="false">
      <c r="A166" s="95" t="str">
        <f aca="false">IF($C166="","",Controls!$B$7)</f>
        <v/>
      </c>
      <c r="B166" s="95" t="str">
        <f aca="false">IF($C166="","",Controls!$B$30)</f>
        <v/>
      </c>
      <c r="C166" s="95" t="str">
        <f aca="false">IF(MM_Income!$A169="","",MM_Income!$A169)</f>
        <v/>
      </c>
      <c r="D166" s="95" t="str">
        <f aca="false">IF($C166="","",INDEX(MM_Income!$B$5:$B$204,MATCH($C166,MM_Income!$A$5:$A$204,0)))</f>
        <v/>
      </c>
      <c r="E166" s="95" t="str">
        <f aca="false">IF($C166="","",INDEX(MM_Income!$C$5:$C$204,MATCH($C166,MM_Income!$A$5:$A$204,0)))</f>
        <v/>
      </c>
      <c r="F166" s="95" t="str">
        <f aca="false">IF($C166="","",INDEX(MM_Income!$F$5:$F$204,MATCH($C166,MM_Income!$A$5:$A$204,0)))</f>
        <v/>
      </c>
      <c r="G166" s="95" t="str">
        <f aca="false">IF($C166="","",INDEX(MM_Income!$G$5:$G$204,MATCH($C166,MM_Income!$A$5:$A$204,0)))</f>
        <v/>
      </c>
      <c r="H166" s="95" t="str">
        <f aca="false">IF($C166="","",INDEX(MM_Income!$H$5:$H$204,MATCH($C166,MM_Income!$A$5:$A$204,0)))</f>
        <v/>
      </c>
      <c r="I166" s="95" t="str">
        <f aca="false">IF($C166="","",INDEX(MM_Income!$I$5:$I$204,MATCH($C166,MM_Income!$A$5:$A$204,0)))</f>
        <v/>
      </c>
      <c r="J166" s="95" t="str">
        <f aca="false">IF($C166="","",INDEX(MM_Income!$D$5:$D$204,MATCH($C166,MM_Income!$A$5:$A$204,0)))</f>
        <v/>
      </c>
      <c r="K166" s="95" t="str">
        <f aca="false">IF($C166="","",INDEX(MM_Income!$E$5:$E$204,MATCH($C166,MM_Income!$A$5:$A$204,0)))</f>
        <v/>
      </c>
      <c r="L166" s="95" t="str">
        <f aca="false">IF($C166="","",INDEX(MM_Income!$U$5:$U$204,MATCH($C166,MM_Income!$A$5:$A$204,0)))</f>
        <v/>
      </c>
      <c r="M166" s="143" t="str">
        <f aca="false">IF($C166="","",INDEX(MM_Income!$V$5:$V$204,MATCH($C166,MM_Income!$A$5:$A$204,0)))</f>
        <v/>
      </c>
      <c r="N166" s="144" t="str">
        <f aca="false">IF($C166="","",INDEX(MM_Income!$T$5:$T$204,MATCH($C166,MM_Income!$A$5:$A$204,0)))</f>
        <v/>
      </c>
      <c r="O166" s="94" t="str">
        <f aca="false">IF($C166="","",-SUMIFS(Project_Activity!$P$2:$P$5000,Project_Activity!$C$2:$C$5000,$C166,Project_Activity!$U$2:$U$5000,"Invoiced Income",Project_Activity!$H$2:$H$5000,"&gt;="&amp;DATE(VALUE(LEFT($B166,4)),1,1),Project_Activity!$H$2:$H$5000,"&lt;="&amp;EOMONTH(DATE(VALUE(LEFT($B166,4)),VALUE(RIGHT($B166,1))*3,1),0)))</f>
        <v/>
      </c>
      <c r="P166" s="94" t="str">
        <f aca="false">IF($C166="","",SUMIFS(Project_Activity!$P$2:$P$5000,Project_Activity!$C$2:$C$5000,$C166,Project_Activity!$U$2:$U$5000,"Subcontractor",Project_Activity!$H$2:$H$5000,"&gt;="&amp;DATE(VALUE(LEFT($B166,4)),1,1),Project_Activity!$H$2:$H$5000,"&lt;="&amp;EOMONTH(DATE(VALUE(LEFT($B166,4)),VALUE(RIGHT($B166,1))*3,1),0)))</f>
        <v/>
      </c>
      <c r="Q166" s="94" t="str">
        <f aca="false">IF($C166="","",SUMIFS(Project_Activity!$P$2:$P$5000,Project_Activity!$C$2:$C$5000,$C166,Project_Activity!$U$2:$U$5000,"Project Inclusive",Project_Activity!$H$2:$H$5000,"&gt;="&amp;DATE(VALUE(LEFT($B166,4)),1,1),Project_Activity!$H$2:$H$5000,"&lt;="&amp;EOMONTH(DATE(VALUE(LEFT($B166,4)),VALUE(RIGHT($B166,1))*3,1),0)))</f>
        <v/>
      </c>
      <c r="R166" s="94" t="str">
        <f aca="false">IF($C166="","",SUMIFS(Project_Activity!$P$2:$P$5000,Project_Activity!$C$2:$C$5000,$C166,Project_Activity!$U$2:$U$5000,"Non-Recoverable",Project_Activity!$H$2:$H$5000,"&gt;="&amp;DATE(VALUE(LEFT($B166,4)),1,1),Project_Activity!$H$2:$H$5000,"&lt;="&amp;EOMONTH(DATE(VALUE(LEFT($B166,4)),VALUE(RIGHT($B166,1))*3,1),0)))</f>
        <v/>
      </c>
      <c r="S166" s="94" t="str">
        <f aca="false">IF($C166="","",$O166-$P166-$Q166-$R166)</f>
        <v/>
      </c>
      <c r="T166" s="94" t="str">
        <f aca="false">IF($C166="","",SUMIFS(Project_Activity!$P$2:$P$5000,Project_Activity!$C$2:$C$5000,$C166,Project_Activity!$U$2:$U$5000,"Recoverable",Project_Activity!$H$2:$H$5000,"&gt;="&amp;DATE(VALUE(LEFT($B166,4)),1,1),Project_Activity!$H$2:$H$5000,"&lt;="&amp;EOMONTH(DATE(VALUE(LEFT($B166,4)),VALUE(RIGHT($B166,1))*3,1),0)))</f>
        <v/>
      </c>
      <c r="U166" s="94" t="str">
        <f aca="false">IF($C166="","",-SUMIFS(Project_Activity!$P$2:$P$5000,Project_Activity!$C$2:$C$5000,$C166,Project_Activity!$U$2:$U$5000,"Recovered Expenses",Project_Activity!$H$2:$H$5000,"&gt;="&amp;DATE(VALUE(LEFT($B166,4)),1,1),Project_Activity!$H$2:$H$5000,"&lt;="&amp;EOMONTH(DATE(VALUE(LEFT($B166,4)),VALUE(RIGHT($B166,1))*3,1),0)))</f>
        <v/>
      </c>
      <c r="V166" s="145"/>
      <c r="W166" s="94" t="str">
        <f aca="false">IF($C166="","",$V166*$N166)</f>
        <v/>
      </c>
      <c r="X166" s="145"/>
      <c r="Y166" s="94" t="str">
        <f aca="false">IF($C166="","",$X166*$N166)</f>
        <v/>
      </c>
      <c r="Z166" s="145"/>
      <c r="AA166" s="94" t="str">
        <f aca="false">IF($C166="","",$Z166*$N166)</f>
        <v/>
      </c>
      <c r="AB166" s="145"/>
      <c r="AC166" s="94" t="str">
        <f aca="false">IF($C166="","",$AB166*$N166)</f>
        <v/>
      </c>
      <c r="AD166" s="94" t="str">
        <f aca="false">IF($C166="","",SUMPRODUCT((VALUE(MID($B166,7,1))&gt;={1,2,3,4})*CHOOSE({1,2,3,4},$W166,$Y166,$AA166,$AC166)))</f>
        <v/>
      </c>
      <c r="AE166" s="94" t="str">
        <f aca="false">IF($C166="","",$W166+$Y166+$AA166+$AC166-$AD166)</f>
        <v/>
      </c>
      <c r="AF166" s="146"/>
      <c r="AG166" s="146"/>
      <c r="AH166" s="146"/>
      <c r="AI166" s="147" t="str">
        <f aca="false">IF($C166="","",IF(OR($L166="Pipeline",$N166&lt;0,$O166&gt;$N166+1,($V166+$X166+$Z166+$AB166)&gt;1.0001,ISNUMBER(SEARCH("not signed",$AF166))),"REVIEW","OK"))</f>
        <v/>
      </c>
    </row>
    <row r="167" customFormat="false" ht="13.5" hidden="false" customHeight="false" outlineLevel="0" collapsed="false">
      <c r="A167" s="95" t="str">
        <f aca="false">IF($C167="","",Controls!$B$7)</f>
        <v/>
      </c>
      <c r="B167" s="95" t="str">
        <f aca="false">IF($C167="","",Controls!$B$30)</f>
        <v/>
      </c>
      <c r="C167" s="95" t="str">
        <f aca="false">IF(MM_Income!$A170="","",MM_Income!$A170)</f>
        <v/>
      </c>
      <c r="D167" s="95" t="str">
        <f aca="false">IF($C167="","",INDEX(MM_Income!$B$5:$B$204,MATCH($C167,MM_Income!$A$5:$A$204,0)))</f>
        <v/>
      </c>
      <c r="E167" s="95" t="str">
        <f aca="false">IF($C167="","",INDEX(MM_Income!$C$5:$C$204,MATCH($C167,MM_Income!$A$5:$A$204,0)))</f>
        <v/>
      </c>
      <c r="F167" s="95" t="str">
        <f aca="false">IF($C167="","",INDEX(MM_Income!$F$5:$F$204,MATCH($C167,MM_Income!$A$5:$A$204,0)))</f>
        <v/>
      </c>
      <c r="G167" s="95" t="str">
        <f aca="false">IF($C167="","",INDEX(MM_Income!$G$5:$G$204,MATCH($C167,MM_Income!$A$5:$A$204,0)))</f>
        <v/>
      </c>
      <c r="H167" s="95" t="str">
        <f aca="false">IF($C167="","",INDEX(MM_Income!$H$5:$H$204,MATCH($C167,MM_Income!$A$5:$A$204,0)))</f>
        <v/>
      </c>
      <c r="I167" s="95" t="str">
        <f aca="false">IF($C167="","",INDEX(MM_Income!$I$5:$I$204,MATCH($C167,MM_Income!$A$5:$A$204,0)))</f>
        <v/>
      </c>
      <c r="J167" s="95" t="str">
        <f aca="false">IF($C167="","",INDEX(MM_Income!$D$5:$D$204,MATCH($C167,MM_Income!$A$5:$A$204,0)))</f>
        <v/>
      </c>
      <c r="K167" s="95" t="str">
        <f aca="false">IF($C167="","",INDEX(MM_Income!$E$5:$E$204,MATCH($C167,MM_Income!$A$5:$A$204,0)))</f>
        <v/>
      </c>
      <c r="L167" s="95" t="str">
        <f aca="false">IF($C167="","",INDEX(MM_Income!$U$5:$U$204,MATCH($C167,MM_Income!$A$5:$A$204,0)))</f>
        <v/>
      </c>
      <c r="M167" s="143" t="str">
        <f aca="false">IF($C167="","",INDEX(MM_Income!$V$5:$V$204,MATCH($C167,MM_Income!$A$5:$A$204,0)))</f>
        <v/>
      </c>
      <c r="N167" s="144" t="str">
        <f aca="false">IF($C167="","",INDEX(MM_Income!$T$5:$T$204,MATCH($C167,MM_Income!$A$5:$A$204,0)))</f>
        <v/>
      </c>
      <c r="O167" s="94" t="str">
        <f aca="false">IF($C167="","",-SUMIFS(Project_Activity!$P$2:$P$5000,Project_Activity!$C$2:$C$5000,$C167,Project_Activity!$U$2:$U$5000,"Invoiced Income",Project_Activity!$H$2:$H$5000,"&gt;="&amp;DATE(VALUE(LEFT($B167,4)),1,1),Project_Activity!$H$2:$H$5000,"&lt;="&amp;EOMONTH(DATE(VALUE(LEFT($B167,4)),VALUE(RIGHT($B167,1))*3,1),0)))</f>
        <v/>
      </c>
      <c r="P167" s="94" t="str">
        <f aca="false">IF($C167="","",SUMIFS(Project_Activity!$P$2:$P$5000,Project_Activity!$C$2:$C$5000,$C167,Project_Activity!$U$2:$U$5000,"Subcontractor",Project_Activity!$H$2:$H$5000,"&gt;="&amp;DATE(VALUE(LEFT($B167,4)),1,1),Project_Activity!$H$2:$H$5000,"&lt;="&amp;EOMONTH(DATE(VALUE(LEFT($B167,4)),VALUE(RIGHT($B167,1))*3,1),0)))</f>
        <v/>
      </c>
      <c r="Q167" s="94" t="str">
        <f aca="false">IF($C167="","",SUMIFS(Project_Activity!$P$2:$P$5000,Project_Activity!$C$2:$C$5000,$C167,Project_Activity!$U$2:$U$5000,"Project Inclusive",Project_Activity!$H$2:$H$5000,"&gt;="&amp;DATE(VALUE(LEFT($B167,4)),1,1),Project_Activity!$H$2:$H$5000,"&lt;="&amp;EOMONTH(DATE(VALUE(LEFT($B167,4)),VALUE(RIGHT($B167,1))*3,1),0)))</f>
        <v/>
      </c>
      <c r="R167" s="94" t="str">
        <f aca="false">IF($C167="","",SUMIFS(Project_Activity!$P$2:$P$5000,Project_Activity!$C$2:$C$5000,$C167,Project_Activity!$U$2:$U$5000,"Non-Recoverable",Project_Activity!$H$2:$H$5000,"&gt;="&amp;DATE(VALUE(LEFT($B167,4)),1,1),Project_Activity!$H$2:$H$5000,"&lt;="&amp;EOMONTH(DATE(VALUE(LEFT($B167,4)),VALUE(RIGHT($B167,1))*3,1),0)))</f>
        <v/>
      </c>
      <c r="S167" s="94" t="str">
        <f aca="false">IF($C167="","",$O167-$P167-$Q167-$R167)</f>
        <v/>
      </c>
      <c r="T167" s="94" t="str">
        <f aca="false">IF($C167="","",SUMIFS(Project_Activity!$P$2:$P$5000,Project_Activity!$C$2:$C$5000,$C167,Project_Activity!$U$2:$U$5000,"Recoverable",Project_Activity!$H$2:$H$5000,"&gt;="&amp;DATE(VALUE(LEFT($B167,4)),1,1),Project_Activity!$H$2:$H$5000,"&lt;="&amp;EOMONTH(DATE(VALUE(LEFT($B167,4)),VALUE(RIGHT($B167,1))*3,1),0)))</f>
        <v/>
      </c>
      <c r="U167" s="94" t="str">
        <f aca="false">IF($C167="","",-SUMIFS(Project_Activity!$P$2:$P$5000,Project_Activity!$C$2:$C$5000,$C167,Project_Activity!$U$2:$U$5000,"Recovered Expenses",Project_Activity!$H$2:$H$5000,"&gt;="&amp;DATE(VALUE(LEFT($B167,4)),1,1),Project_Activity!$H$2:$H$5000,"&lt;="&amp;EOMONTH(DATE(VALUE(LEFT($B167,4)),VALUE(RIGHT($B167,1))*3,1),0)))</f>
        <v/>
      </c>
      <c r="V167" s="145"/>
      <c r="W167" s="94" t="str">
        <f aca="false">IF($C167="","",$V167*$N167)</f>
        <v/>
      </c>
      <c r="X167" s="145"/>
      <c r="Y167" s="94" t="str">
        <f aca="false">IF($C167="","",$X167*$N167)</f>
        <v/>
      </c>
      <c r="Z167" s="145"/>
      <c r="AA167" s="94" t="str">
        <f aca="false">IF($C167="","",$Z167*$N167)</f>
        <v/>
      </c>
      <c r="AB167" s="145"/>
      <c r="AC167" s="94" t="str">
        <f aca="false">IF($C167="","",$AB167*$N167)</f>
        <v/>
      </c>
      <c r="AD167" s="94" t="str">
        <f aca="false">IF($C167="","",SUMPRODUCT((VALUE(MID($B167,7,1))&gt;={1,2,3,4})*CHOOSE({1,2,3,4},$W167,$Y167,$AA167,$AC167)))</f>
        <v/>
      </c>
      <c r="AE167" s="94" t="str">
        <f aca="false">IF($C167="","",$W167+$Y167+$AA167+$AC167-$AD167)</f>
        <v/>
      </c>
      <c r="AF167" s="146"/>
      <c r="AG167" s="146"/>
      <c r="AH167" s="146"/>
      <c r="AI167" s="147" t="str">
        <f aca="false">IF($C167="","",IF(OR($L167="Pipeline",$N167&lt;0,$O167&gt;$N167+1,($V167+$X167+$Z167+$AB167)&gt;1.0001,ISNUMBER(SEARCH("not signed",$AF167))),"REVIEW","OK"))</f>
        <v/>
      </c>
    </row>
    <row r="168" customFormat="false" ht="13.5" hidden="false" customHeight="false" outlineLevel="0" collapsed="false">
      <c r="A168" s="95" t="str">
        <f aca="false">IF($C168="","",Controls!$B$7)</f>
        <v/>
      </c>
      <c r="B168" s="95" t="str">
        <f aca="false">IF($C168="","",Controls!$B$30)</f>
        <v/>
      </c>
      <c r="C168" s="95" t="str">
        <f aca="false">IF(MM_Income!$A171="","",MM_Income!$A171)</f>
        <v/>
      </c>
      <c r="D168" s="95" t="str">
        <f aca="false">IF($C168="","",INDEX(MM_Income!$B$5:$B$204,MATCH($C168,MM_Income!$A$5:$A$204,0)))</f>
        <v/>
      </c>
      <c r="E168" s="95" t="str">
        <f aca="false">IF($C168="","",INDEX(MM_Income!$C$5:$C$204,MATCH($C168,MM_Income!$A$5:$A$204,0)))</f>
        <v/>
      </c>
      <c r="F168" s="95" t="str">
        <f aca="false">IF($C168="","",INDEX(MM_Income!$F$5:$F$204,MATCH($C168,MM_Income!$A$5:$A$204,0)))</f>
        <v/>
      </c>
      <c r="G168" s="95" t="str">
        <f aca="false">IF($C168="","",INDEX(MM_Income!$G$5:$G$204,MATCH($C168,MM_Income!$A$5:$A$204,0)))</f>
        <v/>
      </c>
      <c r="H168" s="95" t="str">
        <f aca="false">IF($C168="","",INDEX(MM_Income!$H$5:$H$204,MATCH($C168,MM_Income!$A$5:$A$204,0)))</f>
        <v/>
      </c>
      <c r="I168" s="95" t="str">
        <f aca="false">IF($C168="","",INDEX(MM_Income!$I$5:$I$204,MATCH($C168,MM_Income!$A$5:$A$204,0)))</f>
        <v/>
      </c>
      <c r="J168" s="95" t="str">
        <f aca="false">IF($C168="","",INDEX(MM_Income!$D$5:$D$204,MATCH($C168,MM_Income!$A$5:$A$204,0)))</f>
        <v/>
      </c>
      <c r="K168" s="95" t="str">
        <f aca="false">IF($C168="","",INDEX(MM_Income!$E$5:$E$204,MATCH($C168,MM_Income!$A$5:$A$204,0)))</f>
        <v/>
      </c>
      <c r="L168" s="95" t="str">
        <f aca="false">IF($C168="","",INDEX(MM_Income!$U$5:$U$204,MATCH($C168,MM_Income!$A$5:$A$204,0)))</f>
        <v/>
      </c>
      <c r="M168" s="143" t="str">
        <f aca="false">IF($C168="","",INDEX(MM_Income!$V$5:$V$204,MATCH($C168,MM_Income!$A$5:$A$204,0)))</f>
        <v/>
      </c>
      <c r="N168" s="144" t="str">
        <f aca="false">IF($C168="","",INDEX(MM_Income!$T$5:$T$204,MATCH($C168,MM_Income!$A$5:$A$204,0)))</f>
        <v/>
      </c>
      <c r="O168" s="94" t="str">
        <f aca="false">IF($C168="","",-SUMIFS(Project_Activity!$P$2:$P$5000,Project_Activity!$C$2:$C$5000,$C168,Project_Activity!$U$2:$U$5000,"Invoiced Income",Project_Activity!$H$2:$H$5000,"&gt;="&amp;DATE(VALUE(LEFT($B168,4)),1,1),Project_Activity!$H$2:$H$5000,"&lt;="&amp;EOMONTH(DATE(VALUE(LEFT($B168,4)),VALUE(RIGHT($B168,1))*3,1),0)))</f>
        <v/>
      </c>
      <c r="P168" s="94" t="str">
        <f aca="false">IF($C168="","",SUMIFS(Project_Activity!$P$2:$P$5000,Project_Activity!$C$2:$C$5000,$C168,Project_Activity!$U$2:$U$5000,"Subcontractor",Project_Activity!$H$2:$H$5000,"&gt;="&amp;DATE(VALUE(LEFT($B168,4)),1,1),Project_Activity!$H$2:$H$5000,"&lt;="&amp;EOMONTH(DATE(VALUE(LEFT($B168,4)),VALUE(RIGHT($B168,1))*3,1),0)))</f>
        <v/>
      </c>
      <c r="Q168" s="94" t="str">
        <f aca="false">IF($C168="","",SUMIFS(Project_Activity!$P$2:$P$5000,Project_Activity!$C$2:$C$5000,$C168,Project_Activity!$U$2:$U$5000,"Project Inclusive",Project_Activity!$H$2:$H$5000,"&gt;="&amp;DATE(VALUE(LEFT($B168,4)),1,1),Project_Activity!$H$2:$H$5000,"&lt;="&amp;EOMONTH(DATE(VALUE(LEFT($B168,4)),VALUE(RIGHT($B168,1))*3,1),0)))</f>
        <v/>
      </c>
      <c r="R168" s="94" t="str">
        <f aca="false">IF($C168="","",SUMIFS(Project_Activity!$P$2:$P$5000,Project_Activity!$C$2:$C$5000,$C168,Project_Activity!$U$2:$U$5000,"Non-Recoverable",Project_Activity!$H$2:$H$5000,"&gt;="&amp;DATE(VALUE(LEFT($B168,4)),1,1),Project_Activity!$H$2:$H$5000,"&lt;="&amp;EOMONTH(DATE(VALUE(LEFT($B168,4)),VALUE(RIGHT($B168,1))*3,1),0)))</f>
        <v/>
      </c>
      <c r="S168" s="94" t="str">
        <f aca="false">IF($C168="","",$O168-$P168-$Q168-$R168)</f>
        <v/>
      </c>
      <c r="T168" s="94" t="str">
        <f aca="false">IF($C168="","",SUMIFS(Project_Activity!$P$2:$P$5000,Project_Activity!$C$2:$C$5000,$C168,Project_Activity!$U$2:$U$5000,"Recoverable",Project_Activity!$H$2:$H$5000,"&gt;="&amp;DATE(VALUE(LEFT($B168,4)),1,1),Project_Activity!$H$2:$H$5000,"&lt;="&amp;EOMONTH(DATE(VALUE(LEFT($B168,4)),VALUE(RIGHT($B168,1))*3,1),0)))</f>
        <v/>
      </c>
      <c r="U168" s="94" t="str">
        <f aca="false">IF($C168="","",-SUMIFS(Project_Activity!$P$2:$P$5000,Project_Activity!$C$2:$C$5000,$C168,Project_Activity!$U$2:$U$5000,"Recovered Expenses",Project_Activity!$H$2:$H$5000,"&gt;="&amp;DATE(VALUE(LEFT($B168,4)),1,1),Project_Activity!$H$2:$H$5000,"&lt;="&amp;EOMONTH(DATE(VALUE(LEFT($B168,4)),VALUE(RIGHT($B168,1))*3,1),0)))</f>
        <v/>
      </c>
      <c r="V168" s="145"/>
      <c r="W168" s="94" t="str">
        <f aca="false">IF($C168="","",$V168*$N168)</f>
        <v/>
      </c>
      <c r="X168" s="145"/>
      <c r="Y168" s="94" t="str">
        <f aca="false">IF($C168="","",$X168*$N168)</f>
        <v/>
      </c>
      <c r="Z168" s="145"/>
      <c r="AA168" s="94" t="str">
        <f aca="false">IF($C168="","",$Z168*$N168)</f>
        <v/>
      </c>
      <c r="AB168" s="145"/>
      <c r="AC168" s="94" t="str">
        <f aca="false">IF($C168="","",$AB168*$N168)</f>
        <v/>
      </c>
      <c r="AD168" s="94" t="str">
        <f aca="false">IF($C168="","",SUMPRODUCT((VALUE(MID($B168,7,1))&gt;={1,2,3,4})*CHOOSE({1,2,3,4},$W168,$Y168,$AA168,$AC168)))</f>
        <v/>
      </c>
      <c r="AE168" s="94" t="str">
        <f aca="false">IF($C168="","",$W168+$Y168+$AA168+$AC168-$AD168)</f>
        <v/>
      </c>
      <c r="AF168" s="146"/>
      <c r="AG168" s="146"/>
      <c r="AH168" s="146"/>
      <c r="AI168" s="147" t="str">
        <f aca="false">IF($C168="","",IF(OR($L168="Pipeline",$N168&lt;0,$O168&gt;$N168+1,($V168+$X168+$Z168+$AB168)&gt;1.0001,ISNUMBER(SEARCH("not signed",$AF168))),"REVIEW","OK"))</f>
        <v/>
      </c>
    </row>
    <row r="169" customFormat="false" ht="13.5" hidden="false" customHeight="false" outlineLevel="0" collapsed="false">
      <c r="A169" s="95" t="str">
        <f aca="false">IF($C169="","",Controls!$B$7)</f>
        <v/>
      </c>
      <c r="B169" s="95" t="str">
        <f aca="false">IF($C169="","",Controls!$B$30)</f>
        <v/>
      </c>
      <c r="C169" s="95" t="str">
        <f aca="false">IF(MM_Income!$A172="","",MM_Income!$A172)</f>
        <v/>
      </c>
      <c r="D169" s="95" t="str">
        <f aca="false">IF($C169="","",INDEX(MM_Income!$B$5:$B$204,MATCH($C169,MM_Income!$A$5:$A$204,0)))</f>
        <v/>
      </c>
      <c r="E169" s="95" t="str">
        <f aca="false">IF($C169="","",INDEX(MM_Income!$C$5:$C$204,MATCH($C169,MM_Income!$A$5:$A$204,0)))</f>
        <v/>
      </c>
      <c r="F169" s="95" t="str">
        <f aca="false">IF($C169="","",INDEX(MM_Income!$F$5:$F$204,MATCH($C169,MM_Income!$A$5:$A$204,0)))</f>
        <v/>
      </c>
      <c r="G169" s="95" t="str">
        <f aca="false">IF($C169="","",INDEX(MM_Income!$G$5:$G$204,MATCH($C169,MM_Income!$A$5:$A$204,0)))</f>
        <v/>
      </c>
      <c r="H169" s="95" t="str">
        <f aca="false">IF($C169="","",INDEX(MM_Income!$H$5:$H$204,MATCH($C169,MM_Income!$A$5:$A$204,0)))</f>
        <v/>
      </c>
      <c r="I169" s="95" t="str">
        <f aca="false">IF($C169="","",INDEX(MM_Income!$I$5:$I$204,MATCH($C169,MM_Income!$A$5:$A$204,0)))</f>
        <v/>
      </c>
      <c r="J169" s="95" t="str">
        <f aca="false">IF($C169="","",INDEX(MM_Income!$D$5:$D$204,MATCH($C169,MM_Income!$A$5:$A$204,0)))</f>
        <v/>
      </c>
      <c r="K169" s="95" t="str">
        <f aca="false">IF($C169="","",INDEX(MM_Income!$E$5:$E$204,MATCH($C169,MM_Income!$A$5:$A$204,0)))</f>
        <v/>
      </c>
      <c r="L169" s="95" t="str">
        <f aca="false">IF($C169="","",INDEX(MM_Income!$U$5:$U$204,MATCH($C169,MM_Income!$A$5:$A$204,0)))</f>
        <v/>
      </c>
      <c r="M169" s="143" t="str">
        <f aca="false">IF($C169="","",INDEX(MM_Income!$V$5:$V$204,MATCH($C169,MM_Income!$A$5:$A$204,0)))</f>
        <v/>
      </c>
      <c r="N169" s="144" t="str">
        <f aca="false">IF($C169="","",INDEX(MM_Income!$T$5:$T$204,MATCH($C169,MM_Income!$A$5:$A$204,0)))</f>
        <v/>
      </c>
      <c r="O169" s="94" t="str">
        <f aca="false">IF($C169="","",-SUMIFS(Project_Activity!$P$2:$P$5000,Project_Activity!$C$2:$C$5000,$C169,Project_Activity!$U$2:$U$5000,"Invoiced Income",Project_Activity!$H$2:$H$5000,"&gt;="&amp;DATE(VALUE(LEFT($B169,4)),1,1),Project_Activity!$H$2:$H$5000,"&lt;="&amp;EOMONTH(DATE(VALUE(LEFT($B169,4)),VALUE(RIGHT($B169,1))*3,1),0)))</f>
        <v/>
      </c>
      <c r="P169" s="94" t="str">
        <f aca="false">IF($C169="","",SUMIFS(Project_Activity!$P$2:$P$5000,Project_Activity!$C$2:$C$5000,$C169,Project_Activity!$U$2:$U$5000,"Subcontractor",Project_Activity!$H$2:$H$5000,"&gt;="&amp;DATE(VALUE(LEFT($B169,4)),1,1),Project_Activity!$H$2:$H$5000,"&lt;="&amp;EOMONTH(DATE(VALUE(LEFT($B169,4)),VALUE(RIGHT($B169,1))*3,1),0)))</f>
        <v/>
      </c>
      <c r="Q169" s="94" t="str">
        <f aca="false">IF($C169="","",SUMIFS(Project_Activity!$P$2:$P$5000,Project_Activity!$C$2:$C$5000,$C169,Project_Activity!$U$2:$U$5000,"Project Inclusive",Project_Activity!$H$2:$H$5000,"&gt;="&amp;DATE(VALUE(LEFT($B169,4)),1,1),Project_Activity!$H$2:$H$5000,"&lt;="&amp;EOMONTH(DATE(VALUE(LEFT($B169,4)),VALUE(RIGHT($B169,1))*3,1),0)))</f>
        <v/>
      </c>
      <c r="R169" s="94" t="str">
        <f aca="false">IF($C169="","",SUMIFS(Project_Activity!$P$2:$P$5000,Project_Activity!$C$2:$C$5000,$C169,Project_Activity!$U$2:$U$5000,"Non-Recoverable",Project_Activity!$H$2:$H$5000,"&gt;="&amp;DATE(VALUE(LEFT($B169,4)),1,1),Project_Activity!$H$2:$H$5000,"&lt;="&amp;EOMONTH(DATE(VALUE(LEFT($B169,4)),VALUE(RIGHT($B169,1))*3,1),0)))</f>
        <v/>
      </c>
      <c r="S169" s="94" t="str">
        <f aca="false">IF($C169="","",$O169-$P169-$Q169-$R169)</f>
        <v/>
      </c>
      <c r="T169" s="94" t="str">
        <f aca="false">IF($C169="","",SUMIFS(Project_Activity!$P$2:$P$5000,Project_Activity!$C$2:$C$5000,$C169,Project_Activity!$U$2:$U$5000,"Recoverable",Project_Activity!$H$2:$H$5000,"&gt;="&amp;DATE(VALUE(LEFT($B169,4)),1,1),Project_Activity!$H$2:$H$5000,"&lt;="&amp;EOMONTH(DATE(VALUE(LEFT($B169,4)),VALUE(RIGHT($B169,1))*3,1),0)))</f>
        <v/>
      </c>
      <c r="U169" s="94" t="str">
        <f aca="false">IF($C169="","",-SUMIFS(Project_Activity!$P$2:$P$5000,Project_Activity!$C$2:$C$5000,$C169,Project_Activity!$U$2:$U$5000,"Recovered Expenses",Project_Activity!$H$2:$H$5000,"&gt;="&amp;DATE(VALUE(LEFT($B169,4)),1,1),Project_Activity!$H$2:$H$5000,"&lt;="&amp;EOMONTH(DATE(VALUE(LEFT($B169,4)),VALUE(RIGHT($B169,1))*3,1),0)))</f>
        <v/>
      </c>
      <c r="V169" s="145"/>
      <c r="W169" s="94" t="str">
        <f aca="false">IF($C169="","",$V169*$N169)</f>
        <v/>
      </c>
      <c r="X169" s="145"/>
      <c r="Y169" s="94" t="str">
        <f aca="false">IF($C169="","",$X169*$N169)</f>
        <v/>
      </c>
      <c r="Z169" s="145"/>
      <c r="AA169" s="94" t="str">
        <f aca="false">IF($C169="","",$Z169*$N169)</f>
        <v/>
      </c>
      <c r="AB169" s="145"/>
      <c r="AC169" s="94" t="str">
        <f aca="false">IF($C169="","",$AB169*$N169)</f>
        <v/>
      </c>
      <c r="AD169" s="94" t="str">
        <f aca="false">IF($C169="","",SUMPRODUCT((VALUE(MID($B169,7,1))&gt;={1,2,3,4})*CHOOSE({1,2,3,4},$W169,$Y169,$AA169,$AC169)))</f>
        <v/>
      </c>
      <c r="AE169" s="94" t="str">
        <f aca="false">IF($C169="","",$W169+$Y169+$AA169+$AC169-$AD169)</f>
        <v/>
      </c>
      <c r="AF169" s="146"/>
      <c r="AG169" s="146"/>
      <c r="AH169" s="146"/>
      <c r="AI169" s="147" t="str">
        <f aca="false">IF($C169="","",IF(OR($L169="Pipeline",$N169&lt;0,$O169&gt;$N169+1,($V169+$X169+$Z169+$AB169)&gt;1.0001,ISNUMBER(SEARCH("not signed",$AF169))),"REVIEW","OK"))</f>
        <v/>
      </c>
    </row>
    <row r="170" customFormat="false" ht="13.5" hidden="false" customHeight="false" outlineLevel="0" collapsed="false">
      <c r="A170" s="95" t="str">
        <f aca="false">IF($C170="","",Controls!$B$7)</f>
        <v/>
      </c>
      <c r="B170" s="95" t="str">
        <f aca="false">IF($C170="","",Controls!$B$30)</f>
        <v/>
      </c>
      <c r="C170" s="95" t="str">
        <f aca="false">IF(MM_Income!$A173="","",MM_Income!$A173)</f>
        <v/>
      </c>
      <c r="D170" s="95" t="str">
        <f aca="false">IF($C170="","",INDEX(MM_Income!$B$5:$B$204,MATCH($C170,MM_Income!$A$5:$A$204,0)))</f>
        <v/>
      </c>
      <c r="E170" s="95" t="str">
        <f aca="false">IF($C170="","",INDEX(MM_Income!$C$5:$C$204,MATCH($C170,MM_Income!$A$5:$A$204,0)))</f>
        <v/>
      </c>
      <c r="F170" s="95" t="str">
        <f aca="false">IF($C170="","",INDEX(MM_Income!$F$5:$F$204,MATCH($C170,MM_Income!$A$5:$A$204,0)))</f>
        <v/>
      </c>
      <c r="G170" s="95" t="str">
        <f aca="false">IF($C170="","",INDEX(MM_Income!$G$5:$G$204,MATCH($C170,MM_Income!$A$5:$A$204,0)))</f>
        <v/>
      </c>
      <c r="H170" s="95" t="str">
        <f aca="false">IF($C170="","",INDEX(MM_Income!$H$5:$H$204,MATCH($C170,MM_Income!$A$5:$A$204,0)))</f>
        <v/>
      </c>
      <c r="I170" s="95" t="str">
        <f aca="false">IF($C170="","",INDEX(MM_Income!$I$5:$I$204,MATCH($C170,MM_Income!$A$5:$A$204,0)))</f>
        <v/>
      </c>
      <c r="J170" s="95" t="str">
        <f aca="false">IF($C170="","",INDEX(MM_Income!$D$5:$D$204,MATCH($C170,MM_Income!$A$5:$A$204,0)))</f>
        <v/>
      </c>
      <c r="K170" s="95" t="str">
        <f aca="false">IF($C170="","",INDEX(MM_Income!$E$5:$E$204,MATCH($C170,MM_Income!$A$5:$A$204,0)))</f>
        <v/>
      </c>
      <c r="L170" s="95" t="str">
        <f aca="false">IF($C170="","",INDEX(MM_Income!$U$5:$U$204,MATCH($C170,MM_Income!$A$5:$A$204,0)))</f>
        <v/>
      </c>
      <c r="M170" s="143" t="str">
        <f aca="false">IF($C170="","",INDEX(MM_Income!$V$5:$V$204,MATCH($C170,MM_Income!$A$5:$A$204,0)))</f>
        <v/>
      </c>
      <c r="N170" s="144" t="str">
        <f aca="false">IF($C170="","",INDEX(MM_Income!$T$5:$T$204,MATCH($C170,MM_Income!$A$5:$A$204,0)))</f>
        <v/>
      </c>
      <c r="O170" s="94" t="str">
        <f aca="false">IF($C170="","",-SUMIFS(Project_Activity!$P$2:$P$5000,Project_Activity!$C$2:$C$5000,$C170,Project_Activity!$U$2:$U$5000,"Invoiced Income",Project_Activity!$H$2:$H$5000,"&gt;="&amp;DATE(VALUE(LEFT($B170,4)),1,1),Project_Activity!$H$2:$H$5000,"&lt;="&amp;EOMONTH(DATE(VALUE(LEFT($B170,4)),VALUE(RIGHT($B170,1))*3,1),0)))</f>
        <v/>
      </c>
      <c r="P170" s="94" t="str">
        <f aca="false">IF($C170="","",SUMIFS(Project_Activity!$P$2:$P$5000,Project_Activity!$C$2:$C$5000,$C170,Project_Activity!$U$2:$U$5000,"Subcontractor",Project_Activity!$H$2:$H$5000,"&gt;="&amp;DATE(VALUE(LEFT($B170,4)),1,1),Project_Activity!$H$2:$H$5000,"&lt;="&amp;EOMONTH(DATE(VALUE(LEFT($B170,4)),VALUE(RIGHT($B170,1))*3,1),0)))</f>
        <v/>
      </c>
      <c r="Q170" s="94" t="str">
        <f aca="false">IF($C170="","",SUMIFS(Project_Activity!$P$2:$P$5000,Project_Activity!$C$2:$C$5000,$C170,Project_Activity!$U$2:$U$5000,"Project Inclusive",Project_Activity!$H$2:$H$5000,"&gt;="&amp;DATE(VALUE(LEFT($B170,4)),1,1),Project_Activity!$H$2:$H$5000,"&lt;="&amp;EOMONTH(DATE(VALUE(LEFT($B170,4)),VALUE(RIGHT($B170,1))*3,1),0)))</f>
        <v/>
      </c>
      <c r="R170" s="94" t="str">
        <f aca="false">IF($C170="","",SUMIFS(Project_Activity!$P$2:$P$5000,Project_Activity!$C$2:$C$5000,$C170,Project_Activity!$U$2:$U$5000,"Non-Recoverable",Project_Activity!$H$2:$H$5000,"&gt;="&amp;DATE(VALUE(LEFT($B170,4)),1,1),Project_Activity!$H$2:$H$5000,"&lt;="&amp;EOMONTH(DATE(VALUE(LEFT($B170,4)),VALUE(RIGHT($B170,1))*3,1),0)))</f>
        <v/>
      </c>
      <c r="S170" s="94" t="str">
        <f aca="false">IF($C170="","",$O170-$P170-$Q170-$R170)</f>
        <v/>
      </c>
      <c r="T170" s="94" t="str">
        <f aca="false">IF($C170="","",SUMIFS(Project_Activity!$P$2:$P$5000,Project_Activity!$C$2:$C$5000,$C170,Project_Activity!$U$2:$U$5000,"Recoverable",Project_Activity!$H$2:$H$5000,"&gt;="&amp;DATE(VALUE(LEFT($B170,4)),1,1),Project_Activity!$H$2:$H$5000,"&lt;="&amp;EOMONTH(DATE(VALUE(LEFT($B170,4)),VALUE(RIGHT($B170,1))*3,1),0)))</f>
        <v/>
      </c>
      <c r="U170" s="94" t="str">
        <f aca="false">IF($C170="","",-SUMIFS(Project_Activity!$P$2:$P$5000,Project_Activity!$C$2:$C$5000,$C170,Project_Activity!$U$2:$U$5000,"Recovered Expenses",Project_Activity!$H$2:$H$5000,"&gt;="&amp;DATE(VALUE(LEFT($B170,4)),1,1),Project_Activity!$H$2:$H$5000,"&lt;="&amp;EOMONTH(DATE(VALUE(LEFT($B170,4)),VALUE(RIGHT($B170,1))*3,1),0)))</f>
        <v/>
      </c>
      <c r="V170" s="145"/>
      <c r="W170" s="94" t="str">
        <f aca="false">IF($C170="","",$V170*$N170)</f>
        <v/>
      </c>
      <c r="X170" s="145"/>
      <c r="Y170" s="94" t="str">
        <f aca="false">IF($C170="","",$X170*$N170)</f>
        <v/>
      </c>
      <c r="Z170" s="145"/>
      <c r="AA170" s="94" t="str">
        <f aca="false">IF($C170="","",$Z170*$N170)</f>
        <v/>
      </c>
      <c r="AB170" s="145"/>
      <c r="AC170" s="94" t="str">
        <f aca="false">IF($C170="","",$AB170*$N170)</f>
        <v/>
      </c>
      <c r="AD170" s="94" t="str">
        <f aca="false">IF($C170="","",SUMPRODUCT((VALUE(MID($B170,7,1))&gt;={1,2,3,4})*CHOOSE({1,2,3,4},$W170,$Y170,$AA170,$AC170)))</f>
        <v/>
      </c>
      <c r="AE170" s="94" t="str">
        <f aca="false">IF($C170="","",$W170+$Y170+$AA170+$AC170-$AD170)</f>
        <v/>
      </c>
      <c r="AF170" s="146"/>
      <c r="AG170" s="146"/>
      <c r="AH170" s="146"/>
      <c r="AI170" s="147" t="str">
        <f aca="false">IF($C170="","",IF(OR($L170="Pipeline",$N170&lt;0,$O170&gt;$N170+1,($V170+$X170+$Z170+$AB170)&gt;1.0001,ISNUMBER(SEARCH("not signed",$AF170))),"REVIEW","OK"))</f>
        <v/>
      </c>
    </row>
    <row r="171" customFormat="false" ht="13.5" hidden="false" customHeight="false" outlineLevel="0" collapsed="false">
      <c r="A171" s="95" t="str">
        <f aca="false">IF($C171="","",Controls!$B$7)</f>
        <v/>
      </c>
      <c r="B171" s="95" t="str">
        <f aca="false">IF($C171="","",Controls!$B$30)</f>
        <v/>
      </c>
      <c r="C171" s="95" t="str">
        <f aca="false">IF(MM_Income!$A174="","",MM_Income!$A174)</f>
        <v/>
      </c>
      <c r="D171" s="95" t="str">
        <f aca="false">IF($C171="","",INDEX(MM_Income!$B$5:$B$204,MATCH($C171,MM_Income!$A$5:$A$204,0)))</f>
        <v/>
      </c>
      <c r="E171" s="95" t="str">
        <f aca="false">IF($C171="","",INDEX(MM_Income!$C$5:$C$204,MATCH($C171,MM_Income!$A$5:$A$204,0)))</f>
        <v/>
      </c>
      <c r="F171" s="95" t="str">
        <f aca="false">IF($C171="","",INDEX(MM_Income!$F$5:$F$204,MATCH($C171,MM_Income!$A$5:$A$204,0)))</f>
        <v/>
      </c>
      <c r="G171" s="95" t="str">
        <f aca="false">IF($C171="","",INDEX(MM_Income!$G$5:$G$204,MATCH($C171,MM_Income!$A$5:$A$204,0)))</f>
        <v/>
      </c>
      <c r="H171" s="95" t="str">
        <f aca="false">IF($C171="","",INDEX(MM_Income!$H$5:$H$204,MATCH($C171,MM_Income!$A$5:$A$204,0)))</f>
        <v/>
      </c>
      <c r="I171" s="95" t="str">
        <f aca="false">IF($C171="","",INDEX(MM_Income!$I$5:$I$204,MATCH($C171,MM_Income!$A$5:$A$204,0)))</f>
        <v/>
      </c>
      <c r="J171" s="95" t="str">
        <f aca="false">IF($C171="","",INDEX(MM_Income!$D$5:$D$204,MATCH($C171,MM_Income!$A$5:$A$204,0)))</f>
        <v/>
      </c>
      <c r="K171" s="95" t="str">
        <f aca="false">IF($C171="","",INDEX(MM_Income!$E$5:$E$204,MATCH($C171,MM_Income!$A$5:$A$204,0)))</f>
        <v/>
      </c>
      <c r="L171" s="95" t="str">
        <f aca="false">IF($C171="","",INDEX(MM_Income!$U$5:$U$204,MATCH($C171,MM_Income!$A$5:$A$204,0)))</f>
        <v/>
      </c>
      <c r="M171" s="143" t="str">
        <f aca="false">IF($C171="","",INDEX(MM_Income!$V$5:$V$204,MATCH($C171,MM_Income!$A$5:$A$204,0)))</f>
        <v/>
      </c>
      <c r="N171" s="144" t="str">
        <f aca="false">IF($C171="","",INDEX(MM_Income!$T$5:$T$204,MATCH($C171,MM_Income!$A$5:$A$204,0)))</f>
        <v/>
      </c>
      <c r="O171" s="94" t="str">
        <f aca="false">IF($C171="","",-SUMIFS(Project_Activity!$P$2:$P$5000,Project_Activity!$C$2:$C$5000,$C171,Project_Activity!$U$2:$U$5000,"Invoiced Income",Project_Activity!$H$2:$H$5000,"&gt;="&amp;DATE(VALUE(LEFT($B171,4)),1,1),Project_Activity!$H$2:$H$5000,"&lt;="&amp;EOMONTH(DATE(VALUE(LEFT($B171,4)),VALUE(RIGHT($B171,1))*3,1),0)))</f>
        <v/>
      </c>
      <c r="P171" s="94" t="str">
        <f aca="false">IF($C171="","",SUMIFS(Project_Activity!$P$2:$P$5000,Project_Activity!$C$2:$C$5000,$C171,Project_Activity!$U$2:$U$5000,"Subcontractor",Project_Activity!$H$2:$H$5000,"&gt;="&amp;DATE(VALUE(LEFT($B171,4)),1,1),Project_Activity!$H$2:$H$5000,"&lt;="&amp;EOMONTH(DATE(VALUE(LEFT($B171,4)),VALUE(RIGHT($B171,1))*3,1),0)))</f>
        <v/>
      </c>
      <c r="Q171" s="94" t="str">
        <f aca="false">IF($C171="","",SUMIFS(Project_Activity!$P$2:$P$5000,Project_Activity!$C$2:$C$5000,$C171,Project_Activity!$U$2:$U$5000,"Project Inclusive",Project_Activity!$H$2:$H$5000,"&gt;="&amp;DATE(VALUE(LEFT($B171,4)),1,1),Project_Activity!$H$2:$H$5000,"&lt;="&amp;EOMONTH(DATE(VALUE(LEFT($B171,4)),VALUE(RIGHT($B171,1))*3,1),0)))</f>
        <v/>
      </c>
      <c r="R171" s="94" t="str">
        <f aca="false">IF($C171="","",SUMIFS(Project_Activity!$P$2:$P$5000,Project_Activity!$C$2:$C$5000,$C171,Project_Activity!$U$2:$U$5000,"Non-Recoverable",Project_Activity!$H$2:$H$5000,"&gt;="&amp;DATE(VALUE(LEFT($B171,4)),1,1),Project_Activity!$H$2:$H$5000,"&lt;="&amp;EOMONTH(DATE(VALUE(LEFT($B171,4)),VALUE(RIGHT($B171,1))*3,1),0)))</f>
        <v/>
      </c>
      <c r="S171" s="94" t="str">
        <f aca="false">IF($C171="","",$O171-$P171-$Q171-$R171)</f>
        <v/>
      </c>
      <c r="T171" s="94" t="str">
        <f aca="false">IF($C171="","",SUMIFS(Project_Activity!$P$2:$P$5000,Project_Activity!$C$2:$C$5000,$C171,Project_Activity!$U$2:$U$5000,"Recoverable",Project_Activity!$H$2:$H$5000,"&gt;="&amp;DATE(VALUE(LEFT($B171,4)),1,1),Project_Activity!$H$2:$H$5000,"&lt;="&amp;EOMONTH(DATE(VALUE(LEFT($B171,4)),VALUE(RIGHT($B171,1))*3,1),0)))</f>
        <v/>
      </c>
      <c r="U171" s="94" t="str">
        <f aca="false">IF($C171="","",-SUMIFS(Project_Activity!$P$2:$P$5000,Project_Activity!$C$2:$C$5000,$C171,Project_Activity!$U$2:$U$5000,"Recovered Expenses",Project_Activity!$H$2:$H$5000,"&gt;="&amp;DATE(VALUE(LEFT($B171,4)),1,1),Project_Activity!$H$2:$H$5000,"&lt;="&amp;EOMONTH(DATE(VALUE(LEFT($B171,4)),VALUE(RIGHT($B171,1))*3,1),0)))</f>
        <v/>
      </c>
      <c r="V171" s="145"/>
      <c r="W171" s="94" t="str">
        <f aca="false">IF($C171="","",$V171*$N171)</f>
        <v/>
      </c>
      <c r="X171" s="145"/>
      <c r="Y171" s="94" t="str">
        <f aca="false">IF($C171="","",$X171*$N171)</f>
        <v/>
      </c>
      <c r="Z171" s="145"/>
      <c r="AA171" s="94" t="str">
        <f aca="false">IF($C171="","",$Z171*$N171)</f>
        <v/>
      </c>
      <c r="AB171" s="145"/>
      <c r="AC171" s="94" t="str">
        <f aca="false">IF($C171="","",$AB171*$N171)</f>
        <v/>
      </c>
      <c r="AD171" s="94" t="str">
        <f aca="false">IF($C171="","",SUMPRODUCT((VALUE(MID($B171,7,1))&gt;={1,2,3,4})*CHOOSE({1,2,3,4},$W171,$Y171,$AA171,$AC171)))</f>
        <v/>
      </c>
      <c r="AE171" s="94" t="str">
        <f aca="false">IF($C171="","",$W171+$Y171+$AA171+$AC171-$AD171)</f>
        <v/>
      </c>
      <c r="AF171" s="146"/>
      <c r="AG171" s="146"/>
      <c r="AH171" s="146"/>
      <c r="AI171" s="147" t="str">
        <f aca="false">IF($C171="","",IF(OR($L171="Pipeline",$N171&lt;0,$O171&gt;$N171+1,($V171+$X171+$Z171+$AB171)&gt;1.0001,ISNUMBER(SEARCH("not signed",$AF171))),"REVIEW","OK"))</f>
        <v/>
      </c>
    </row>
    <row r="172" customFormat="false" ht="13.5" hidden="false" customHeight="false" outlineLevel="0" collapsed="false">
      <c r="A172" s="95" t="str">
        <f aca="false">IF($C172="","",Controls!$B$7)</f>
        <v/>
      </c>
      <c r="B172" s="95" t="str">
        <f aca="false">IF($C172="","",Controls!$B$30)</f>
        <v/>
      </c>
      <c r="C172" s="95" t="str">
        <f aca="false">IF(MM_Income!$A175="","",MM_Income!$A175)</f>
        <v/>
      </c>
      <c r="D172" s="95" t="str">
        <f aca="false">IF($C172="","",INDEX(MM_Income!$B$5:$B$204,MATCH($C172,MM_Income!$A$5:$A$204,0)))</f>
        <v/>
      </c>
      <c r="E172" s="95" t="str">
        <f aca="false">IF($C172="","",INDEX(MM_Income!$C$5:$C$204,MATCH($C172,MM_Income!$A$5:$A$204,0)))</f>
        <v/>
      </c>
      <c r="F172" s="95" t="str">
        <f aca="false">IF($C172="","",INDEX(MM_Income!$F$5:$F$204,MATCH($C172,MM_Income!$A$5:$A$204,0)))</f>
        <v/>
      </c>
      <c r="G172" s="95" t="str">
        <f aca="false">IF($C172="","",INDEX(MM_Income!$G$5:$G$204,MATCH($C172,MM_Income!$A$5:$A$204,0)))</f>
        <v/>
      </c>
      <c r="H172" s="95" t="str">
        <f aca="false">IF($C172="","",INDEX(MM_Income!$H$5:$H$204,MATCH($C172,MM_Income!$A$5:$A$204,0)))</f>
        <v/>
      </c>
      <c r="I172" s="95" t="str">
        <f aca="false">IF($C172="","",INDEX(MM_Income!$I$5:$I$204,MATCH($C172,MM_Income!$A$5:$A$204,0)))</f>
        <v/>
      </c>
      <c r="J172" s="95" t="str">
        <f aca="false">IF($C172="","",INDEX(MM_Income!$D$5:$D$204,MATCH($C172,MM_Income!$A$5:$A$204,0)))</f>
        <v/>
      </c>
      <c r="K172" s="95" t="str">
        <f aca="false">IF($C172="","",INDEX(MM_Income!$E$5:$E$204,MATCH($C172,MM_Income!$A$5:$A$204,0)))</f>
        <v/>
      </c>
      <c r="L172" s="95" t="str">
        <f aca="false">IF($C172="","",INDEX(MM_Income!$U$5:$U$204,MATCH($C172,MM_Income!$A$5:$A$204,0)))</f>
        <v/>
      </c>
      <c r="M172" s="143" t="str">
        <f aca="false">IF($C172="","",INDEX(MM_Income!$V$5:$V$204,MATCH($C172,MM_Income!$A$5:$A$204,0)))</f>
        <v/>
      </c>
      <c r="N172" s="144" t="str">
        <f aca="false">IF($C172="","",INDEX(MM_Income!$T$5:$T$204,MATCH($C172,MM_Income!$A$5:$A$204,0)))</f>
        <v/>
      </c>
      <c r="O172" s="94" t="str">
        <f aca="false">IF($C172="","",-SUMIFS(Project_Activity!$P$2:$P$5000,Project_Activity!$C$2:$C$5000,$C172,Project_Activity!$U$2:$U$5000,"Invoiced Income",Project_Activity!$H$2:$H$5000,"&gt;="&amp;DATE(VALUE(LEFT($B172,4)),1,1),Project_Activity!$H$2:$H$5000,"&lt;="&amp;EOMONTH(DATE(VALUE(LEFT($B172,4)),VALUE(RIGHT($B172,1))*3,1),0)))</f>
        <v/>
      </c>
      <c r="P172" s="94" t="str">
        <f aca="false">IF($C172="","",SUMIFS(Project_Activity!$P$2:$P$5000,Project_Activity!$C$2:$C$5000,$C172,Project_Activity!$U$2:$U$5000,"Subcontractor",Project_Activity!$H$2:$H$5000,"&gt;="&amp;DATE(VALUE(LEFT($B172,4)),1,1),Project_Activity!$H$2:$H$5000,"&lt;="&amp;EOMONTH(DATE(VALUE(LEFT($B172,4)),VALUE(RIGHT($B172,1))*3,1),0)))</f>
        <v/>
      </c>
      <c r="Q172" s="94" t="str">
        <f aca="false">IF($C172="","",SUMIFS(Project_Activity!$P$2:$P$5000,Project_Activity!$C$2:$C$5000,$C172,Project_Activity!$U$2:$U$5000,"Project Inclusive",Project_Activity!$H$2:$H$5000,"&gt;="&amp;DATE(VALUE(LEFT($B172,4)),1,1),Project_Activity!$H$2:$H$5000,"&lt;="&amp;EOMONTH(DATE(VALUE(LEFT($B172,4)),VALUE(RIGHT($B172,1))*3,1),0)))</f>
        <v/>
      </c>
      <c r="R172" s="94" t="str">
        <f aca="false">IF($C172="","",SUMIFS(Project_Activity!$P$2:$P$5000,Project_Activity!$C$2:$C$5000,$C172,Project_Activity!$U$2:$U$5000,"Non-Recoverable",Project_Activity!$H$2:$H$5000,"&gt;="&amp;DATE(VALUE(LEFT($B172,4)),1,1),Project_Activity!$H$2:$H$5000,"&lt;="&amp;EOMONTH(DATE(VALUE(LEFT($B172,4)),VALUE(RIGHT($B172,1))*3,1),0)))</f>
        <v/>
      </c>
      <c r="S172" s="94" t="str">
        <f aca="false">IF($C172="","",$O172-$P172-$Q172-$R172)</f>
        <v/>
      </c>
      <c r="T172" s="94" t="str">
        <f aca="false">IF($C172="","",SUMIFS(Project_Activity!$P$2:$P$5000,Project_Activity!$C$2:$C$5000,$C172,Project_Activity!$U$2:$U$5000,"Recoverable",Project_Activity!$H$2:$H$5000,"&gt;="&amp;DATE(VALUE(LEFT($B172,4)),1,1),Project_Activity!$H$2:$H$5000,"&lt;="&amp;EOMONTH(DATE(VALUE(LEFT($B172,4)),VALUE(RIGHT($B172,1))*3,1),0)))</f>
        <v/>
      </c>
      <c r="U172" s="94" t="str">
        <f aca="false">IF($C172="","",-SUMIFS(Project_Activity!$P$2:$P$5000,Project_Activity!$C$2:$C$5000,$C172,Project_Activity!$U$2:$U$5000,"Recovered Expenses",Project_Activity!$H$2:$H$5000,"&gt;="&amp;DATE(VALUE(LEFT($B172,4)),1,1),Project_Activity!$H$2:$H$5000,"&lt;="&amp;EOMONTH(DATE(VALUE(LEFT($B172,4)),VALUE(RIGHT($B172,1))*3,1),0)))</f>
        <v/>
      </c>
      <c r="V172" s="145"/>
      <c r="W172" s="94" t="str">
        <f aca="false">IF($C172="","",$V172*$N172)</f>
        <v/>
      </c>
      <c r="X172" s="145"/>
      <c r="Y172" s="94" t="str">
        <f aca="false">IF($C172="","",$X172*$N172)</f>
        <v/>
      </c>
      <c r="Z172" s="145"/>
      <c r="AA172" s="94" t="str">
        <f aca="false">IF($C172="","",$Z172*$N172)</f>
        <v/>
      </c>
      <c r="AB172" s="145"/>
      <c r="AC172" s="94" t="str">
        <f aca="false">IF($C172="","",$AB172*$N172)</f>
        <v/>
      </c>
      <c r="AD172" s="94" t="str">
        <f aca="false">IF($C172="","",SUMPRODUCT((VALUE(MID($B172,7,1))&gt;={1,2,3,4})*CHOOSE({1,2,3,4},$W172,$Y172,$AA172,$AC172)))</f>
        <v/>
      </c>
      <c r="AE172" s="94" t="str">
        <f aca="false">IF($C172="","",$W172+$Y172+$AA172+$AC172-$AD172)</f>
        <v/>
      </c>
      <c r="AF172" s="146"/>
      <c r="AG172" s="146"/>
      <c r="AH172" s="146"/>
      <c r="AI172" s="147" t="str">
        <f aca="false">IF($C172="","",IF(OR($L172="Pipeline",$N172&lt;0,$O172&gt;$N172+1,($V172+$X172+$Z172+$AB172)&gt;1.0001,ISNUMBER(SEARCH("not signed",$AF172))),"REVIEW","OK"))</f>
        <v/>
      </c>
    </row>
    <row r="173" customFormat="false" ht="13.5" hidden="false" customHeight="false" outlineLevel="0" collapsed="false">
      <c r="A173" s="95" t="str">
        <f aca="false">IF($C173="","",Controls!$B$7)</f>
        <v/>
      </c>
      <c r="B173" s="95" t="str">
        <f aca="false">IF($C173="","",Controls!$B$30)</f>
        <v/>
      </c>
      <c r="C173" s="95" t="str">
        <f aca="false">IF(MM_Income!$A176="","",MM_Income!$A176)</f>
        <v/>
      </c>
      <c r="D173" s="95" t="str">
        <f aca="false">IF($C173="","",INDEX(MM_Income!$B$5:$B$204,MATCH($C173,MM_Income!$A$5:$A$204,0)))</f>
        <v/>
      </c>
      <c r="E173" s="95" t="str">
        <f aca="false">IF($C173="","",INDEX(MM_Income!$C$5:$C$204,MATCH($C173,MM_Income!$A$5:$A$204,0)))</f>
        <v/>
      </c>
      <c r="F173" s="95" t="str">
        <f aca="false">IF($C173="","",INDEX(MM_Income!$F$5:$F$204,MATCH($C173,MM_Income!$A$5:$A$204,0)))</f>
        <v/>
      </c>
      <c r="G173" s="95" t="str">
        <f aca="false">IF($C173="","",INDEX(MM_Income!$G$5:$G$204,MATCH($C173,MM_Income!$A$5:$A$204,0)))</f>
        <v/>
      </c>
      <c r="H173" s="95" t="str">
        <f aca="false">IF($C173="","",INDEX(MM_Income!$H$5:$H$204,MATCH($C173,MM_Income!$A$5:$A$204,0)))</f>
        <v/>
      </c>
      <c r="I173" s="95" t="str">
        <f aca="false">IF($C173="","",INDEX(MM_Income!$I$5:$I$204,MATCH($C173,MM_Income!$A$5:$A$204,0)))</f>
        <v/>
      </c>
      <c r="J173" s="95" t="str">
        <f aca="false">IF($C173="","",INDEX(MM_Income!$D$5:$D$204,MATCH($C173,MM_Income!$A$5:$A$204,0)))</f>
        <v/>
      </c>
      <c r="K173" s="95" t="str">
        <f aca="false">IF($C173="","",INDEX(MM_Income!$E$5:$E$204,MATCH($C173,MM_Income!$A$5:$A$204,0)))</f>
        <v/>
      </c>
      <c r="L173" s="95" t="str">
        <f aca="false">IF($C173="","",INDEX(MM_Income!$U$5:$U$204,MATCH($C173,MM_Income!$A$5:$A$204,0)))</f>
        <v/>
      </c>
      <c r="M173" s="143" t="str">
        <f aca="false">IF($C173="","",INDEX(MM_Income!$V$5:$V$204,MATCH($C173,MM_Income!$A$5:$A$204,0)))</f>
        <v/>
      </c>
      <c r="N173" s="144" t="str">
        <f aca="false">IF($C173="","",INDEX(MM_Income!$T$5:$T$204,MATCH($C173,MM_Income!$A$5:$A$204,0)))</f>
        <v/>
      </c>
      <c r="O173" s="94" t="str">
        <f aca="false">IF($C173="","",-SUMIFS(Project_Activity!$P$2:$P$5000,Project_Activity!$C$2:$C$5000,$C173,Project_Activity!$U$2:$U$5000,"Invoiced Income",Project_Activity!$H$2:$H$5000,"&gt;="&amp;DATE(VALUE(LEFT($B173,4)),1,1),Project_Activity!$H$2:$H$5000,"&lt;="&amp;EOMONTH(DATE(VALUE(LEFT($B173,4)),VALUE(RIGHT($B173,1))*3,1),0)))</f>
        <v/>
      </c>
      <c r="P173" s="94" t="str">
        <f aca="false">IF($C173="","",SUMIFS(Project_Activity!$P$2:$P$5000,Project_Activity!$C$2:$C$5000,$C173,Project_Activity!$U$2:$U$5000,"Subcontractor",Project_Activity!$H$2:$H$5000,"&gt;="&amp;DATE(VALUE(LEFT($B173,4)),1,1),Project_Activity!$H$2:$H$5000,"&lt;="&amp;EOMONTH(DATE(VALUE(LEFT($B173,4)),VALUE(RIGHT($B173,1))*3,1),0)))</f>
        <v/>
      </c>
      <c r="Q173" s="94" t="str">
        <f aca="false">IF($C173="","",SUMIFS(Project_Activity!$P$2:$P$5000,Project_Activity!$C$2:$C$5000,$C173,Project_Activity!$U$2:$U$5000,"Project Inclusive",Project_Activity!$H$2:$H$5000,"&gt;="&amp;DATE(VALUE(LEFT($B173,4)),1,1),Project_Activity!$H$2:$H$5000,"&lt;="&amp;EOMONTH(DATE(VALUE(LEFT($B173,4)),VALUE(RIGHT($B173,1))*3,1),0)))</f>
        <v/>
      </c>
      <c r="R173" s="94" t="str">
        <f aca="false">IF($C173="","",SUMIFS(Project_Activity!$P$2:$P$5000,Project_Activity!$C$2:$C$5000,$C173,Project_Activity!$U$2:$U$5000,"Non-Recoverable",Project_Activity!$H$2:$H$5000,"&gt;="&amp;DATE(VALUE(LEFT($B173,4)),1,1),Project_Activity!$H$2:$H$5000,"&lt;="&amp;EOMONTH(DATE(VALUE(LEFT($B173,4)),VALUE(RIGHT($B173,1))*3,1),0)))</f>
        <v/>
      </c>
      <c r="S173" s="94" t="str">
        <f aca="false">IF($C173="","",$O173-$P173-$Q173-$R173)</f>
        <v/>
      </c>
      <c r="T173" s="94" t="str">
        <f aca="false">IF($C173="","",SUMIFS(Project_Activity!$P$2:$P$5000,Project_Activity!$C$2:$C$5000,$C173,Project_Activity!$U$2:$U$5000,"Recoverable",Project_Activity!$H$2:$H$5000,"&gt;="&amp;DATE(VALUE(LEFT($B173,4)),1,1),Project_Activity!$H$2:$H$5000,"&lt;="&amp;EOMONTH(DATE(VALUE(LEFT($B173,4)),VALUE(RIGHT($B173,1))*3,1),0)))</f>
        <v/>
      </c>
      <c r="U173" s="94" t="str">
        <f aca="false">IF($C173="","",-SUMIFS(Project_Activity!$P$2:$P$5000,Project_Activity!$C$2:$C$5000,$C173,Project_Activity!$U$2:$U$5000,"Recovered Expenses",Project_Activity!$H$2:$H$5000,"&gt;="&amp;DATE(VALUE(LEFT($B173,4)),1,1),Project_Activity!$H$2:$H$5000,"&lt;="&amp;EOMONTH(DATE(VALUE(LEFT($B173,4)),VALUE(RIGHT($B173,1))*3,1),0)))</f>
        <v/>
      </c>
      <c r="V173" s="145"/>
      <c r="W173" s="94" t="str">
        <f aca="false">IF($C173="","",$V173*$N173)</f>
        <v/>
      </c>
      <c r="X173" s="145"/>
      <c r="Y173" s="94" t="str">
        <f aca="false">IF($C173="","",$X173*$N173)</f>
        <v/>
      </c>
      <c r="Z173" s="145"/>
      <c r="AA173" s="94" t="str">
        <f aca="false">IF($C173="","",$Z173*$N173)</f>
        <v/>
      </c>
      <c r="AB173" s="145"/>
      <c r="AC173" s="94" t="str">
        <f aca="false">IF($C173="","",$AB173*$N173)</f>
        <v/>
      </c>
      <c r="AD173" s="94" t="str">
        <f aca="false">IF($C173="","",SUMPRODUCT((VALUE(MID($B173,7,1))&gt;={1,2,3,4})*CHOOSE({1,2,3,4},$W173,$Y173,$AA173,$AC173)))</f>
        <v/>
      </c>
      <c r="AE173" s="94" t="str">
        <f aca="false">IF($C173="","",$W173+$Y173+$AA173+$AC173-$AD173)</f>
        <v/>
      </c>
      <c r="AF173" s="146"/>
      <c r="AG173" s="146"/>
      <c r="AH173" s="146"/>
      <c r="AI173" s="147" t="str">
        <f aca="false">IF($C173="","",IF(OR($L173="Pipeline",$N173&lt;0,$O173&gt;$N173+1,($V173+$X173+$Z173+$AB173)&gt;1.0001,ISNUMBER(SEARCH("not signed",$AF173))),"REVIEW","OK"))</f>
        <v/>
      </c>
    </row>
    <row r="174" customFormat="false" ht="13.5" hidden="false" customHeight="false" outlineLevel="0" collapsed="false">
      <c r="A174" s="95" t="str">
        <f aca="false">IF($C174="","",Controls!$B$7)</f>
        <v/>
      </c>
      <c r="B174" s="95" t="str">
        <f aca="false">IF($C174="","",Controls!$B$30)</f>
        <v/>
      </c>
      <c r="C174" s="95" t="str">
        <f aca="false">IF(MM_Income!$A177="","",MM_Income!$A177)</f>
        <v/>
      </c>
      <c r="D174" s="95" t="str">
        <f aca="false">IF($C174="","",INDEX(MM_Income!$B$5:$B$204,MATCH($C174,MM_Income!$A$5:$A$204,0)))</f>
        <v/>
      </c>
      <c r="E174" s="95" t="str">
        <f aca="false">IF($C174="","",INDEX(MM_Income!$C$5:$C$204,MATCH($C174,MM_Income!$A$5:$A$204,0)))</f>
        <v/>
      </c>
      <c r="F174" s="95" t="str">
        <f aca="false">IF($C174="","",INDEX(MM_Income!$F$5:$F$204,MATCH($C174,MM_Income!$A$5:$A$204,0)))</f>
        <v/>
      </c>
      <c r="G174" s="95" t="str">
        <f aca="false">IF($C174="","",INDEX(MM_Income!$G$5:$G$204,MATCH($C174,MM_Income!$A$5:$A$204,0)))</f>
        <v/>
      </c>
      <c r="H174" s="95" t="str">
        <f aca="false">IF($C174="","",INDEX(MM_Income!$H$5:$H$204,MATCH($C174,MM_Income!$A$5:$A$204,0)))</f>
        <v/>
      </c>
      <c r="I174" s="95" t="str">
        <f aca="false">IF($C174="","",INDEX(MM_Income!$I$5:$I$204,MATCH($C174,MM_Income!$A$5:$A$204,0)))</f>
        <v/>
      </c>
      <c r="J174" s="95" t="str">
        <f aca="false">IF($C174="","",INDEX(MM_Income!$D$5:$D$204,MATCH($C174,MM_Income!$A$5:$A$204,0)))</f>
        <v/>
      </c>
      <c r="K174" s="95" t="str">
        <f aca="false">IF($C174="","",INDEX(MM_Income!$E$5:$E$204,MATCH($C174,MM_Income!$A$5:$A$204,0)))</f>
        <v/>
      </c>
      <c r="L174" s="95" t="str">
        <f aca="false">IF($C174="","",INDEX(MM_Income!$U$5:$U$204,MATCH($C174,MM_Income!$A$5:$A$204,0)))</f>
        <v/>
      </c>
      <c r="M174" s="143" t="str">
        <f aca="false">IF($C174="","",INDEX(MM_Income!$V$5:$V$204,MATCH($C174,MM_Income!$A$5:$A$204,0)))</f>
        <v/>
      </c>
      <c r="N174" s="144" t="str">
        <f aca="false">IF($C174="","",INDEX(MM_Income!$T$5:$T$204,MATCH($C174,MM_Income!$A$5:$A$204,0)))</f>
        <v/>
      </c>
      <c r="O174" s="94" t="str">
        <f aca="false">IF($C174="","",-SUMIFS(Project_Activity!$P$2:$P$5000,Project_Activity!$C$2:$C$5000,$C174,Project_Activity!$U$2:$U$5000,"Invoiced Income",Project_Activity!$H$2:$H$5000,"&gt;="&amp;DATE(VALUE(LEFT($B174,4)),1,1),Project_Activity!$H$2:$H$5000,"&lt;="&amp;EOMONTH(DATE(VALUE(LEFT($B174,4)),VALUE(RIGHT($B174,1))*3,1),0)))</f>
        <v/>
      </c>
      <c r="P174" s="94" t="str">
        <f aca="false">IF($C174="","",SUMIFS(Project_Activity!$P$2:$P$5000,Project_Activity!$C$2:$C$5000,$C174,Project_Activity!$U$2:$U$5000,"Subcontractor",Project_Activity!$H$2:$H$5000,"&gt;="&amp;DATE(VALUE(LEFT($B174,4)),1,1),Project_Activity!$H$2:$H$5000,"&lt;="&amp;EOMONTH(DATE(VALUE(LEFT($B174,4)),VALUE(RIGHT($B174,1))*3,1),0)))</f>
        <v/>
      </c>
      <c r="Q174" s="94" t="str">
        <f aca="false">IF($C174="","",SUMIFS(Project_Activity!$P$2:$P$5000,Project_Activity!$C$2:$C$5000,$C174,Project_Activity!$U$2:$U$5000,"Project Inclusive",Project_Activity!$H$2:$H$5000,"&gt;="&amp;DATE(VALUE(LEFT($B174,4)),1,1),Project_Activity!$H$2:$H$5000,"&lt;="&amp;EOMONTH(DATE(VALUE(LEFT($B174,4)),VALUE(RIGHT($B174,1))*3,1),0)))</f>
        <v/>
      </c>
      <c r="R174" s="94" t="str">
        <f aca="false">IF($C174="","",SUMIFS(Project_Activity!$P$2:$P$5000,Project_Activity!$C$2:$C$5000,$C174,Project_Activity!$U$2:$U$5000,"Non-Recoverable",Project_Activity!$H$2:$H$5000,"&gt;="&amp;DATE(VALUE(LEFT($B174,4)),1,1),Project_Activity!$H$2:$H$5000,"&lt;="&amp;EOMONTH(DATE(VALUE(LEFT($B174,4)),VALUE(RIGHT($B174,1))*3,1),0)))</f>
        <v/>
      </c>
      <c r="S174" s="94" t="str">
        <f aca="false">IF($C174="","",$O174-$P174-$Q174-$R174)</f>
        <v/>
      </c>
      <c r="T174" s="94" t="str">
        <f aca="false">IF($C174="","",SUMIFS(Project_Activity!$P$2:$P$5000,Project_Activity!$C$2:$C$5000,$C174,Project_Activity!$U$2:$U$5000,"Recoverable",Project_Activity!$H$2:$H$5000,"&gt;="&amp;DATE(VALUE(LEFT($B174,4)),1,1),Project_Activity!$H$2:$H$5000,"&lt;="&amp;EOMONTH(DATE(VALUE(LEFT($B174,4)),VALUE(RIGHT($B174,1))*3,1),0)))</f>
        <v/>
      </c>
      <c r="U174" s="94" t="str">
        <f aca="false">IF($C174="","",-SUMIFS(Project_Activity!$P$2:$P$5000,Project_Activity!$C$2:$C$5000,$C174,Project_Activity!$U$2:$U$5000,"Recovered Expenses",Project_Activity!$H$2:$H$5000,"&gt;="&amp;DATE(VALUE(LEFT($B174,4)),1,1),Project_Activity!$H$2:$H$5000,"&lt;="&amp;EOMONTH(DATE(VALUE(LEFT($B174,4)),VALUE(RIGHT($B174,1))*3,1),0)))</f>
        <v/>
      </c>
      <c r="V174" s="145"/>
      <c r="W174" s="94" t="str">
        <f aca="false">IF($C174="","",$V174*$N174)</f>
        <v/>
      </c>
      <c r="X174" s="145"/>
      <c r="Y174" s="94" t="str">
        <f aca="false">IF($C174="","",$X174*$N174)</f>
        <v/>
      </c>
      <c r="Z174" s="145"/>
      <c r="AA174" s="94" t="str">
        <f aca="false">IF($C174="","",$Z174*$N174)</f>
        <v/>
      </c>
      <c r="AB174" s="145"/>
      <c r="AC174" s="94" t="str">
        <f aca="false">IF($C174="","",$AB174*$N174)</f>
        <v/>
      </c>
      <c r="AD174" s="94" t="str">
        <f aca="false">IF($C174="","",SUMPRODUCT((VALUE(MID($B174,7,1))&gt;={1,2,3,4})*CHOOSE({1,2,3,4},$W174,$Y174,$AA174,$AC174)))</f>
        <v/>
      </c>
      <c r="AE174" s="94" t="str">
        <f aca="false">IF($C174="","",$W174+$Y174+$AA174+$AC174-$AD174)</f>
        <v/>
      </c>
      <c r="AF174" s="146"/>
      <c r="AG174" s="146"/>
      <c r="AH174" s="146"/>
      <c r="AI174" s="147" t="str">
        <f aca="false">IF($C174="","",IF(OR($L174="Pipeline",$N174&lt;0,$O174&gt;$N174+1,($V174+$X174+$Z174+$AB174)&gt;1.0001,ISNUMBER(SEARCH("not signed",$AF174))),"REVIEW","OK"))</f>
        <v/>
      </c>
    </row>
    <row r="175" customFormat="false" ht="13.5" hidden="false" customHeight="false" outlineLevel="0" collapsed="false">
      <c r="A175" s="95" t="str">
        <f aca="false">IF($C175="","",Controls!$B$7)</f>
        <v/>
      </c>
      <c r="B175" s="95" t="str">
        <f aca="false">IF($C175="","",Controls!$B$30)</f>
        <v/>
      </c>
      <c r="C175" s="95" t="str">
        <f aca="false">IF(MM_Income!$A178="","",MM_Income!$A178)</f>
        <v/>
      </c>
      <c r="D175" s="95" t="str">
        <f aca="false">IF($C175="","",INDEX(MM_Income!$B$5:$B$204,MATCH($C175,MM_Income!$A$5:$A$204,0)))</f>
        <v/>
      </c>
      <c r="E175" s="95" t="str">
        <f aca="false">IF($C175="","",INDEX(MM_Income!$C$5:$C$204,MATCH($C175,MM_Income!$A$5:$A$204,0)))</f>
        <v/>
      </c>
      <c r="F175" s="95" t="str">
        <f aca="false">IF($C175="","",INDEX(MM_Income!$F$5:$F$204,MATCH($C175,MM_Income!$A$5:$A$204,0)))</f>
        <v/>
      </c>
      <c r="G175" s="95" t="str">
        <f aca="false">IF($C175="","",INDEX(MM_Income!$G$5:$G$204,MATCH($C175,MM_Income!$A$5:$A$204,0)))</f>
        <v/>
      </c>
      <c r="H175" s="95" t="str">
        <f aca="false">IF($C175="","",INDEX(MM_Income!$H$5:$H$204,MATCH($C175,MM_Income!$A$5:$A$204,0)))</f>
        <v/>
      </c>
      <c r="I175" s="95" t="str">
        <f aca="false">IF($C175="","",INDEX(MM_Income!$I$5:$I$204,MATCH($C175,MM_Income!$A$5:$A$204,0)))</f>
        <v/>
      </c>
      <c r="J175" s="95" t="str">
        <f aca="false">IF($C175="","",INDEX(MM_Income!$D$5:$D$204,MATCH($C175,MM_Income!$A$5:$A$204,0)))</f>
        <v/>
      </c>
      <c r="K175" s="95" t="str">
        <f aca="false">IF($C175="","",INDEX(MM_Income!$E$5:$E$204,MATCH($C175,MM_Income!$A$5:$A$204,0)))</f>
        <v/>
      </c>
      <c r="L175" s="95" t="str">
        <f aca="false">IF($C175="","",INDEX(MM_Income!$U$5:$U$204,MATCH($C175,MM_Income!$A$5:$A$204,0)))</f>
        <v/>
      </c>
      <c r="M175" s="143" t="str">
        <f aca="false">IF($C175="","",INDEX(MM_Income!$V$5:$V$204,MATCH($C175,MM_Income!$A$5:$A$204,0)))</f>
        <v/>
      </c>
      <c r="N175" s="144" t="str">
        <f aca="false">IF($C175="","",INDEX(MM_Income!$T$5:$T$204,MATCH($C175,MM_Income!$A$5:$A$204,0)))</f>
        <v/>
      </c>
      <c r="O175" s="94" t="str">
        <f aca="false">IF($C175="","",-SUMIFS(Project_Activity!$P$2:$P$5000,Project_Activity!$C$2:$C$5000,$C175,Project_Activity!$U$2:$U$5000,"Invoiced Income",Project_Activity!$H$2:$H$5000,"&gt;="&amp;DATE(VALUE(LEFT($B175,4)),1,1),Project_Activity!$H$2:$H$5000,"&lt;="&amp;EOMONTH(DATE(VALUE(LEFT($B175,4)),VALUE(RIGHT($B175,1))*3,1),0)))</f>
        <v/>
      </c>
      <c r="P175" s="94" t="str">
        <f aca="false">IF($C175="","",SUMIFS(Project_Activity!$P$2:$P$5000,Project_Activity!$C$2:$C$5000,$C175,Project_Activity!$U$2:$U$5000,"Subcontractor",Project_Activity!$H$2:$H$5000,"&gt;="&amp;DATE(VALUE(LEFT($B175,4)),1,1),Project_Activity!$H$2:$H$5000,"&lt;="&amp;EOMONTH(DATE(VALUE(LEFT($B175,4)),VALUE(RIGHT($B175,1))*3,1),0)))</f>
        <v/>
      </c>
      <c r="Q175" s="94" t="str">
        <f aca="false">IF($C175="","",SUMIFS(Project_Activity!$P$2:$P$5000,Project_Activity!$C$2:$C$5000,$C175,Project_Activity!$U$2:$U$5000,"Project Inclusive",Project_Activity!$H$2:$H$5000,"&gt;="&amp;DATE(VALUE(LEFT($B175,4)),1,1),Project_Activity!$H$2:$H$5000,"&lt;="&amp;EOMONTH(DATE(VALUE(LEFT($B175,4)),VALUE(RIGHT($B175,1))*3,1),0)))</f>
        <v/>
      </c>
      <c r="R175" s="94" t="str">
        <f aca="false">IF($C175="","",SUMIFS(Project_Activity!$P$2:$P$5000,Project_Activity!$C$2:$C$5000,$C175,Project_Activity!$U$2:$U$5000,"Non-Recoverable",Project_Activity!$H$2:$H$5000,"&gt;="&amp;DATE(VALUE(LEFT($B175,4)),1,1),Project_Activity!$H$2:$H$5000,"&lt;="&amp;EOMONTH(DATE(VALUE(LEFT($B175,4)),VALUE(RIGHT($B175,1))*3,1),0)))</f>
        <v/>
      </c>
      <c r="S175" s="94" t="str">
        <f aca="false">IF($C175="","",$O175-$P175-$Q175-$R175)</f>
        <v/>
      </c>
      <c r="T175" s="94" t="str">
        <f aca="false">IF($C175="","",SUMIFS(Project_Activity!$P$2:$P$5000,Project_Activity!$C$2:$C$5000,$C175,Project_Activity!$U$2:$U$5000,"Recoverable",Project_Activity!$H$2:$H$5000,"&gt;="&amp;DATE(VALUE(LEFT($B175,4)),1,1),Project_Activity!$H$2:$H$5000,"&lt;="&amp;EOMONTH(DATE(VALUE(LEFT($B175,4)),VALUE(RIGHT($B175,1))*3,1),0)))</f>
        <v/>
      </c>
      <c r="U175" s="94" t="str">
        <f aca="false">IF($C175="","",-SUMIFS(Project_Activity!$P$2:$P$5000,Project_Activity!$C$2:$C$5000,$C175,Project_Activity!$U$2:$U$5000,"Recovered Expenses",Project_Activity!$H$2:$H$5000,"&gt;="&amp;DATE(VALUE(LEFT($B175,4)),1,1),Project_Activity!$H$2:$H$5000,"&lt;="&amp;EOMONTH(DATE(VALUE(LEFT($B175,4)),VALUE(RIGHT($B175,1))*3,1),0)))</f>
        <v/>
      </c>
      <c r="V175" s="145"/>
      <c r="W175" s="94" t="str">
        <f aca="false">IF($C175="","",$V175*$N175)</f>
        <v/>
      </c>
      <c r="X175" s="145"/>
      <c r="Y175" s="94" t="str">
        <f aca="false">IF($C175="","",$X175*$N175)</f>
        <v/>
      </c>
      <c r="Z175" s="145"/>
      <c r="AA175" s="94" t="str">
        <f aca="false">IF($C175="","",$Z175*$N175)</f>
        <v/>
      </c>
      <c r="AB175" s="145"/>
      <c r="AC175" s="94" t="str">
        <f aca="false">IF($C175="","",$AB175*$N175)</f>
        <v/>
      </c>
      <c r="AD175" s="94" t="str">
        <f aca="false">IF($C175="","",SUMPRODUCT((VALUE(MID($B175,7,1))&gt;={1,2,3,4})*CHOOSE({1,2,3,4},$W175,$Y175,$AA175,$AC175)))</f>
        <v/>
      </c>
      <c r="AE175" s="94" t="str">
        <f aca="false">IF($C175="","",$W175+$Y175+$AA175+$AC175-$AD175)</f>
        <v/>
      </c>
      <c r="AF175" s="146"/>
      <c r="AG175" s="146"/>
      <c r="AH175" s="146"/>
      <c r="AI175" s="147" t="str">
        <f aca="false">IF($C175="","",IF(OR($L175="Pipeline",$N175&lt;0,$O175&gt;$N175+1,($V175+$X175+$Z175+$AB175)&gt;1.0001,ISNUMBER(SEARCH("not signed",$AF175))),"REVIEW","OK"))</f>
        <v/>
      </c>
    </row>
    <row r="176" customFormat="false" ht="13.5" hidden="false" customHeight="false" outlineLevel="0" collapsed="false">
      <c r="A176" s="95" t="str">
        <f aca="false">IF($C176="","",Controls!$B$7)</f>
        <v/>
      </c>
      <c r="B176" s="95" t="str">
        <f aca="false">IF($C176="","",Controls!$B$30)</f>
        <v/>
      </c>
      <c r="C176" s="95" t="str">
        <f aca="false">IF(MM_Income!$A179="","",MM_Income!$A179)</f>
        <v/>
      </c>
      <c r="D176" s="95" t="str">
        <f aca="false">IF($C176="","",INDEX(MM_Income!$B$5:$B$204,MATCH($C176,MM_Income!$A$5:$A$204,0)))</f>
        <v/>
      </c>
      <c r="E176" s="95" t="str">
        <f aca="false">IF($C176="","",INDEX(MM_Income!$C$5:$C$204,MATCH($C176,MM_Income!$A$5:$A$204,0)))</f>
        <v/>
      </c>
      <c r="F176" s="95" t="str">
        <f aca="false">IF($C176="","",INDEX(MM_Income!$F$5:$F$204,MATCH($C176,MM_Income!$A$5:$A$204,0)))</f>
        <v/>
      </c>
      <c r="G176" s="95" t="str">
        <f aca="false">IF($C176="","",INDEX(MM_Income!$G$5:$G$204,MATCH($C176,MM_Income!$A$5:$A$204,0)))</f>
        <v/>
      </c>
      <c r="H176" s="95" t="str">
        <f aca="false">IF($C176="","",INDEX(MM_Income!$H$5:$H$204,MATCH($C176,MM_Income!$A$5:$A$204,0)))</f>
        <v/>
      </c>
      <c r="I176" s="95" t="str">
        <f aca="false">IF($C176="","",INDEX(MM_Income!$I$5:$I$204,MATCH($C176,MM_Income!$A$5:$A$204,0)))</f>
        <v/>
      </c>
      <c r="J176" s="95" t="str">
        <f aca="false">IF($C176="","",INDEX(MM_Income!$D$5:$D$204,MATCH($C176,MM_Income!$A$5:$A$204,0)))</f>
        <v/>
      </c>
      <c r="K176" s="95" t="str">
        <f aca="false">IF($C176="","",INDEX(MM_Income!$E$5:$E$204,MATCH($C176,MM_Income!$A$5:$A$204,0)))</f>
        <v/>
      </c>
      <c r="L176" s="95" t="str">
        <f aca="false">IF($C176="","",INDEX(MM_Income!$U$5:$U$204,MATCH($C176,MM_Income!$A$5:$A$204,0)))</f>
        <v/>
      </c>
      <c r="M176" s="143" t="str">
        <f aca="false">IF($C176="","",INDEX(MM_Income!$V$5:$V$204,MATCH($C176,MM_Income!$A$5:$A$204,0)))</f>
        <v/>
      </c>
      <c r="N176" s="144" t="str">
        <f aca="false">IF($C176="","",INDEX(MM_Income!$T$5:$T$204,MATCH($C176,MM_Income!$A$5:$A$204,0)))</f>
        <v/>
      </c>
      <c r="O176" s="94" t="str">
        <f aca="false">IF($C176="","",-SUMIFS(Project_Activity!$P$2:$P$5000,Project_Activity!$C$2:$C$5000,$C176,Project_Activity!$U$2:$U$5000,"Invoiced Income",Project_Activity!$H$2:$H$5000,"&gt;="&amp;DATE(VALUE(LEFT($B176,4)),1,1),Project_Activity!$H$2:$H$5000,"&lt;="&amp;EOMONTH(DATE(VALUE(LEFT($B176,4)),VALUE(RIGHT($B176,1))*3,1),0)))</f>
        <v/>
      </c>
      <c r="P176" s="94" t="str">
        <f aca="false">IF($C176="","",SUMIFS(Project_Activity!$P$2:$P$5000,Project_Activity!$C$2:$C$5000,$C176,Project_Activity!$U$2:$U$5000,"Subcontractor",Project_Activity!$H$2:$H$5000,"&gt;="&amp;DATE(VALUE(LEFT($B176,4)),1,1),Project_Activity!$H$2:$H$5000,"&lt;="&amp;EOMONTH(DATE(VALUE(LEFT($B176,4)),VALUE(RIGHT($B176,1))*3,1),0)))</f>
        <v/>
      </c>
      <c r="Q176" s="94" t="str">
        <f aca="false">IF($C176="","",SUMIFS(Project_Activity!$P$2:$P$5000,Project_Activity!$C$2:$C$5000,$C176,Project_Activity!$U$2:$U$5000,"Project Inclusive",Project_Activity!$H$2:$H$5000,"&gt;="&amp;DATE(VALUE(LEFT($B176,4)),1,1),Project_Activity!$H$2:$H$5000,"&lt;="&amp;EOMONTH(DATE(VALUE(LEFT($B176,4)),VALUE(RIGHT($B176,1))*3,1),0)))</f>
        <v/>
      </c>
      <c r="R176" s="94" t="str">
        <f aca="false">IF($C176="","",SUMIFS(Project_Activity!$P$2:$P$5000,Project_Activity!$C$2:$C$5000,$C176,Project_Activity!$U$2:$U$5000,"Non-Recoverable",Project_Activity!$H$2:$H$5000,"&gt;="&amp;DATE(VALUE(LEFT($B176,4)),1,1),Project_Activity!$H$2:$H$5000,"&lt;="&amp;EOMONTH(DATE(VALUE(LEFT($B176,4)),VALUE(RIGHT($B176,1))*3,1),0)))</f>
        <v/>
      </c>
      <c r="S176" s="94" t="str">
        <f aca="false">IF($C176="","",$O176-$P176-$Q176-$R176)</f>
        <v/>
      </c>
      <c r="T176" s="94" t="str">
        <f aca="false">IF($C176="","",SUMIFS(Project_Activity!$P$2:$P$5000,Project_Activity!$C$2:$C$5000,$C176,Project_Activity!$U$2:$U$5000,"Recoverable",Project_Activity!$H$2:$H$5000,"&gt;="&amp;DATE(VALUE(LEFT($B176,4)),1,1),Project_Activity!$H$2:$H$5000,"&lt;="&amp;EOMONTH(DATE(VALUE(LEFT($B176,4)),VALUE(RIGHT($B176,1))*3,1),0)))</f>
        <v/>
      </c>
      <c r="U176" s="94" t="str">
        <f aca="false">IF($C176="","",-SUMIFS(Project_Activity!$P$2:$P$5000,Project_Activity!$C$2:$C$5000,$C176,Project_Activity!$U$2:$U$5000,"Recovered Expenses",Project_Activity!$H$2:$H$5000,"&gt;="&amp;DATE(VALUE(LEFT($B176,4)),1,1),Project_Activity!$H$2:$H$5000,"&lt;="&amp;EOMONTH(DATE(VALUE(LEFT($B176,4)),VALUE(RIGHT($B176,1))*3,1),0)))</f>
        <v/>
      </c>
      <c r="V176" s="145"/>
      <c r="W176" s="94" t="str">
        <f aca="false">IF($C176="","",$V176*$N176)</f>
        <v/>
      </c>
      <c r="X176" s="145"/>
      <c r="Y176" s="94" t="str">
        <f aca="false">IF($C176="","",$X176*$N176)</f>
        <v/>
      </c>
      <c r="Z176" s="145"/>
      <c r="AA176" s="94" t="str">
        <f aca="false">IF($C176="","",$Z176*$N176)</f>
        <v/>
      </c>
      <c r="AB176" s="145"/>
      <c r="AC176" s="94" t="str">
        <f aca="false">IF($C176="","",$AB176*$N176)</f>
        <v/>
      </c>
      <c r="AD176" s="94" t="str">
        <f aca="false">IF($C176="","",SUMPRODUCT((VALUE(MID($B176,7,1))&gt;={1,2,3,4})*CHOOSE({1,2,3,4},$W176,$Y176,$AA176,$AC176)))</f>
        <v/>
      </c>
      <c r="AE176" s="94" t="str">
        <f aca="false">IF($C176="","",$W176+$Y176+$AA176+$AC176-$AD176)</f>
        <v/>
      </c>
      <c r="AF176" s="146"/>
      <c r="AG176" s="146"/>
      <c r="AH176" s="146"/>
      <c r="AI176" s="147" t="str">
        <f aca="false">IF($C176="","",IF(OR($L176="Pipeline",$N176&lt;0,$O176&gt;$N176+1,($V176+$X176+$Z176+$AB176)&gt;1.0001,ISNUMBER(SEARCH("not signed",$AF176))),"REVIEW","OK"))</f>
        <v/>
      </c>
    </row>
    <row r="177" customFormat="false" ht="13.5" hidden="false" customHeight="false" outlineLevel="0" collapsed="false">
      <c r="A177" s="95" t="str">
        <f aca="false">IF($C177="","",Controls!$B$7)</f>
        <v/>
      </c>
      <c r="B177" s="95" t="str">
        <f aca="false">IF($C177="","",Controls!$B$30)</f>
        <v/>
      </c>
      <c r="C177" s="95" t="str">
        <f aca="false">IF(MM_Income!$A180="","",MM_Income!$A180)</f>
        <v/>
      </c>
      <c r="D177" s="95" t="str">
        <f aca="false">IF($C177="","",INDEX(MM_Income!$B$5:$B$204,MATCH($C177,MM_Income!$A$5:$A$204,0)))</f>
        <v/>
      </c>
      <c r="E177" s="95" t="str">
        <f aca="false">IF($C177="","",INDEX(MM_Income!$C$5:$C$204,MATCH($C177,MM_Income!$A$5:$A$204,0)))</f>
        <v/>
      </c>
      <c r="F177" s="95" t="str">
        <f aca="false">IF($C177="","",INDEX(MM_Income!$F$5:$F$204,MATCH($C177,MM_Income!$A$5:$A$204,0)))</f>
        <v/>
      </c>
      <c r="G177" s="95" t="str">
        <f aca="false">IF($C177="","",INDEX(MM_Income!$G$5:$G$204,MATCH($C177,MM_Income!$A$5:$A$204,0)))</f>
        <v/>
      </c>
      <c r="H177" s="95" t="str">
        <f aca="false">IF($C177="","",INDEX(MM_Income!$H$5:$H$204,MATCH($C177,MM_Income!$A$5:$A$204,0)))</f>
        <v/>
      </c>
      <c r="I177" s="95" t="str">
        <f aca="false">IF($C177="","",INDEX(MM_Income!$I$5:$I$204,MATCH($C177,MM_Income!$A$5:$A$204,0)))</f>
        <v/>
      </c>
      <c r="J177" s="95" t="str">
        <f aca="false">IF($C177="","",INDEX(MM_Income!$D$5:$D$204,MATCH($C177,MM_Income!$A$5:$A$204,0)))</f>
        <v/>
      </c>
      <c r="K177" s="95" t="str">
        <f aca="false">IF($C177="","",INDEX(MM_Income!$E$5:$E$204,MATCH($C177,MM_Income!$A$5:$A$204,0)))</f>
        <v/>
      </c>
      <c r="L177" s="95" t="str">
        <f aca="false">IF($C177="","",INDEX(MM_Income!$U$5:$U$204,MATCH($C177,MM_Income!$A$5:$A$204,0)))</f>
        <v/>
      </c>
      <c r="M177" s="143" t="str">
        <f aca="false">IF($C177="","",INDEX(MM_Income!$V$5:$V$204,MATCH($C177,MM_Income!$A$5:$A$204,0)))</f>
        <v/>
      </c>
      <c r="N177" s="144" t="str">
        <f aca="false">IF($C177="","",INDEX(MM_Income!$T$5:$T$204,MATCH($C177,MM_Income!$A$5:$A$204,0)))</f>
        <v/>
      </c>
      <c r="O177" s="94" t="str">
        <f aca="false">IF($C177="","",-SUMIFS(Project_Activity!$P$2:$P$5000,Project_Activity!$C$2:$C$5000,$C177,Project_Activity!$U$2:$U$5000,"Invoiced Income",Project_Activity!$H$2:$H$5000,"&gt;="&amp;DATE(VALUE(LEFT($B177,4)),1,1),Project_Activity!$H$2:$H$5000,"&lt;="&amp;EOMONTH(DATE(VALUE(LEFT($B177,4)),VALUE(RIGHT($B177,1))*3,1),0)))</f>
        <v/>
      </c>
      <c r="P177" s="94" t="str">
        <f aca="false">IF($C177="","",SUMIFS(Project_Activity!$P$2:$P$5000,Project_Activity!$C$2:$C$5000,$C177,Project_Activity!$U$2:$U$5000,"Subcontractor",Project_Activity!$H$2:$H$5000,"&gt;="&amp;DATE(VALUE(LEFT($B177,4)),1,1),Project_Activity!$H$2:$H$5000,"&lt;="&amp;EOMONTH(DATE(VALUE(LEFT($B177,4)),VALUE(RIGHT($B177,1))*3,1),0)))</f>
        <v/>
      </c>
      <c r="Q177" s="94" t="str">
        <f aca="false">IF($C177="","",SUMIFS(Project_Activity!$P$2:$P$5000,Project_Activity!$C$2:$C$5000,$C177,Project_Activity!$U$2:$U$5000,"Project Inclusive",Project_Activity!$H$2:$H$5000,"&gt;="&amp;DATE(VALUE(LEFT($B177,4)),1,1),Project_Activity!$H$2:$H$5000,"&lt;="&amp;EOMONTH(DATE(VALUE(LEFT($B177,4)),VALUE(RIGHT($B177,1))*3,1),0)))</f>
        <v/>
      </c>
      <c r="R177" s="94" t="str">
        <f aca="false">IF($C177="","",SUMIFS(Project_Activity!$P$2:$P$5000,Project_Activity!$C$2:$C$5000,$C177,Project_Activity!$U$2:$U$5000,"Non-Recoverable",Project_Activity!$H$2:$H$5000,"&gt;="&amp;DATE(VALUE(LEFT($B177,4)),1,1),Project_Activity!$H$2:$H$5000,"&lt;="&amp;EOMONTH(DATE(VALUE(LEFT($B177,4)),VALUE(RIGHT($B177,1))*3,1),0)))</f>
        <v/>
      </c>
      <c r="S177" s="94" t="str">
        <f aca="false">IF($C177="","",$O177-$P177-$Q177-$R177)</f>
        <v/>
      </c>
      <c r="T177" s="94" t="str">
        <f aca="false">IF($C177="","",SUMIFS(Project_Activity!$P$2:$P$5000,Project_Activity!$C$2:$C$5000,$C177,Project_Activity!$U$2:$U$5000,"Recoverable",Project_Activity!$H$2:$H$5000,"&gt;="&amp;DATE(VALUE(LEFT($B177,4)),1,1),Project_Activity!$H$2:$H$5000,"&lt;="&amp;EOMONTH(DATE(VALUE(LEFT($B177,4)),VALUE(RIGHT($B177,1))*3,1),0)))</f>
        <v/>
      </c>
      <c r="U177" s="94" t="str">
        <f aca="false">IF($C177="","",-SUMIFS(Project_Activity!$P$2:$P$5000,Project_Activity!$C$2:$C$5000,$C177,Project_Activity!$U$2:$U$5000,"Recovered Expenses",Project_Activity!$H$2:$H$5000,"&gt;="&amp;DATE(VALUE(LEFT($B177,4)),1,1),Project_Activity!$H$2:$H$5000,"&lt;="&amp;EOMONTH(DATE(VALUE(LEFT($B177,4)),VALUE(RIGHT($B177,1))*3,1),0)))</f>
        <v/>
      </c>
      <c r="V177" s="145"/>
      <c r="W177" s="94" t="str">
        <f aca="false">IF($C177="","",$V177*$N177)</f>
        <v/>
      </c>
      <c r="X177" s="145"/>
      <c r="Y177" s="94" t="str">
        <f aca="false">IF($C177="","",$X177*$N177)</f>
        <v/>
      </c>
      <c r="Z177" s="145"/>
      <c r="AA177" s="94" t="str">
        <f aca="false">IF($C177="","",$Z177*$N177)</f>
        <v/>
      </c>
      <c r="AB177" s="145"/>
      <c r="AC177" s="94" t="str">
        <f aca="false">IF($C177="","",$AB177*$N177)</f>
        <v/>
      </c>
      <c r="AD177" s="94" t="str">
        <f aca="false">IF($C177="","",SUMPRODUCT((VALUE(MID($B177,7,1))&gt;={1,2,3,4})*CHOOSE({1,2,3,4},$W177,$Y177,$AA177,$AC177)))</f>
        <v/>
      </c>
      <c r="AE177" s="94" t="str">
        <f aca="false">IF($C177="","",$W177+$Y177+$AA177+$AC177-$AD177)</f>
        <v/>
      </c>
      <c r="AF177" s="146"/>
      <c r="AG177" s="146"/>
      <c r="AH177" s="146"/>
      <c r="AI177" s="147" t="str">
        <f aca="false">IF($C177="","",IF(OR($L177="Pipeline",$N177&lt;0,$O177&gt;$N177+1,($V177+$X177+$Z177+$AB177)&gt;1.0001,ISNUMBER(SEARCH("not signed",$AF177))),"REVIEW","OK"))</f>
        <v/>
      </c>
    </row>
    <row r="178" customFormat="false" ht="13.5" hidden="false" customHeight="false" outlineLevel="0" collapsed="false">
      <c r="A178" s="95" t="str">
        <f aca="false">IF($C178="","",Controls!$B$7)</f>
        <v/>
      </c>
      <c r="B178" s="95" t="str">
        <f aca="false">IF($C178="","",Controls!$B$30)</f>
        <v/>
      </c>
      <c r="C178" s="95" t="str">
        <f aca="false">IF(MM_Income!$A181="","",MM_Income!$A181)</f>
        <v/>
      </c>
      <c r="D178" s="95" t="str">
        <f aca="false">IF($C178="","",INDEX(MM_Income!$B$5:$B$204,MATCH($C178,MM_Income!$A$5:$A$204,0)))</f>
        <v/>
      </c>
      <c r="E178" s="95" t="str">
        <f aca="false">IF($C178="","",INDEX(MM_Income!$C$5:$C$204,MATCH($C178,MM_Income!$A$5:$A$204,0)))</f>
        <v/>
      </c>
      <c r="F178" s="95" t="str">
        <f aca="false">IF($C178="","",INDEX(MM_Income!$F$5:$F$204,MATCH($C178,MM_Income!$A$5:$A$204,0)))</f>
        <v/>
      </c>
      <c r="G178" s="95" t="str">
        <f aca="false">IF($C178="","",INDEX(MM_Income!$G$5:$G$204,MATCH($C178,MM_Income!$A$5:$A$204,0)))</f>
        <v/>
      </c>
      <c r="H178" s="95" t="str">
        <f aca="false">IF($C178="","",INDEX(MM_Income!$H$5:$H$204,MATCH($C178,MM_Income!$A$5:$A$204,0)))</f>
        <v/>
      </c>
      <c r="I178" s="95" t="str">
        <f aca="false">IF($C178="","",INDEX(MM_Income!$I$5:$I$204,MATCH($C178,MM_Income!$A$5:$A$204,0)))</f>
        <v/>
      </c>
      <c r="J178" s="95" t="str">
        <f aca="false">IF($C178="","",INDEX(MM_Income!$D$5:$D$204,MATCH($C178,MM_Income!$A$5:$A$204,0)))</f>
        <v/>
      </c>
      <c r="K178" s="95" t="str">
        <f aca="false">IF($C178="","",INDEX(MM_Income!$E$5:$E$204,MATCH($C178,MM_Income!$A$5:$A$204,0)))</f>
        <v/>
      </c>
      <c r="L178" s="95" t="str">
        <f aca="false">IF($C178="","",INDEX(MM_Income!$U$5:$U$204,MATCH($C178,MM_Income!$A$5:$A$204,0)))</f>
        <v/>
      </c>
      <c r="M178" s="143" t="str">
        <f aca="false">IF($C178="","",INDEX(MM_Income!$V$5:$V$204,MATCH($C178,MM_Income!$A$5:$A$204,0)))</f>
        <v/>
      </c>
      <c r="N178" s="144" t="str">
        <f aca="false">IF($C178="","",INDEX(MM_Income!$T$5:$T$204,MATCH($C178,MM_Income!$A$5:$A$204,0)))</f>
        <v/>
      </c>
      <c r="O178" s="94" t="str">
        <f aca="false">IF($C178="","",-SUMIFS(Project_Activity!$P$2:$P$5000,Project_Activity!$C$2:$C$5000,$C178,Project_Activity!$U$2:$U$5000,"Invoiced Income",Project_Activity!$H$2:$H$5000,"&gt;="&amp;DATE(VALUE(LEFT($B178,4)),1,1),Project_Activity!$H$2:$H$5000,"&lt;="&amp;EOMONTH(DATE(VALUE(LEFT($B178,4)),VALUE(RIGHT($B178,1))*3,1),0)))</f>
        <v/>
      </c>
      <c r="P178" s="94" t="str">
        <f aca="false">IF($C178="","",SUMIFS(Project_Activity!$P$2:$P$5000,Project_Activity!$C$2:$C$5000,$C178,Project_Activity!$U$2:$U$5000,"Subcontractor",Project_Activity!$H$2:$H$5000,"&gt;="&amp;DATE(VALUE(LEFT($B178,4)),1,1),Project_Activity!$H$2:$H$5000,"&lt;="&amp;EOMONTH(DATE(VALUE(LEFT($B178,4)),VALUE(RIGHT($B178,1))*3,1),0)))</f>
        <v/>
      </c>
      <c r="Q178" s="94" t="str">
        <f aca="false">IF($C178="","",SUMIFS(Project_Activity!$P$2:$P$5000,Project_Activity!$C$2:$C$5000,$C178,Project_Activity!$U$2:$U$5000,"Project Inclusive",Project_Activity!$H$2:$H$5000,"&gt;="&amp;DATE(VALUE(LEFT($B178,4)),1,1),Project_Activity!$H$2:$H$5000,"&lt;="&amp;EOMONTH(DATE(VALUE(LEFT($B178,4)),VALUE(RIGHT($B178,1))*3,1),0)))</f>
        <v/>
      </c>
      <c r="R178" s="94" t="str">
        <f aca="false">IF($C178="","",SUMIFS(Project_Activity!$P$2:$P$5000,Project_Activity!$C$2:$C$5000,$C178,Project_Activity!$U$2:$U$5000,"Non-Recoverable",Project_Activity!$H$2:$H$5000,"&gt;="&amp;DATE(VALUE(LEFT($B178,4)),1,1),Project_Activity!$H$2:$H$5000,"&lt;="&amp;EOMONTH(DATE(VALUE(LEFT($B178,4)),VALUE(RIGHT($B178,1))*3,1),0)))</f>
        <v/>
      </c>
      <c r="S178" s="94" t="str">
        <f aca="false">IF($C178="","",$O178-$P178-$Q178-$R178)</f>
        <v/>
      </c>
      <c r="T178" s="94" t="str">
        <f aca="false">IF($C178="","",SUMIFS(Project_Activity!$P$2:$P$5000,Project_Activity!$C$2:$C$5000,$C178,Project_Activity!$U$2:$U$5000,"Recoverable",Project_Activity!$H$2:$H$5000,"&gt;="&amp;DATE(VALUE(LEFT($B178,4)),1,1),Project_Activity!$H$2:$H$5000,"&lt;="&amp;EOMONTH(DATE(VALUE(LEFT($B178,4)),VALUE(RIGHT($B178,1))*3,1),0)))</f>
        <v/>
      </c>
      <c r="U178" s="94" t="str">
        <f aca="false">IF($C178="","",-SUMIFS(Project_Activity!$P$2:$P$5000,Project_Activity!$C$2:$C$5000,$C178,Project_Activity!$U$2:$U$5000,"Recovered Expenses",Project_Activity!$H$2:$H$5000,"&gt;="&amp;DATE(VALUE(LEFT($B178,4)),1,1),Project_Activity!$H$2:$H$5000,"&lt;="&amp;EOMONTH(DATE(VALUE(LEFT($B178,4)),VALUE(RIGHT($B178,1))*3,1),0)))</f>
        <v/>
      </c>
      <c r="V178" s="145"/>
      <c r="W178" s="94" t="str">
        <f aca="false">IF($C178="","",$V178*$N178)</f>
        <v/>
      </c>
      <c r="X178" s="145"/>
      <c r="Y178" s="94" t="str">
        <f aca="false">IF($C178="","",$X178*$N178)</f>
        <v/>
      </c>
      <c r="Z178" s="145"/>
      <c r="AA178" s="94" t="str">
        <f aca="false">IF($C178="","",$Z178*$N178)</f>
        <v/>
      </c>
      <c r="AB178" s="145"/>
      <c r="AC178" s="94" t="str">
        <f aca="false">IF($C178="","",$AB178*$N178)</f>
        <v/>
      </c>
      <c r="AD178" s="94" t="str">
        <f aca="false">IF($C178="","",SUMPRODUCT((VALUE(MID($B178,7,1))&gt;={1,2,3,4})*CHOOSE({1,2,3,4},$W178,$Y178,$AA178,$AC178)))</f>
        <v/>
      </c>
      <c r="AE178" s="94" t="str">
        <f aca="false">IF($C178="","",$W178+$Y178+$AA178+$AC178-$AD178)</f>
        <v/>
      </c>
      <c r="AF178" s="146"/>
      <c r="AG178" s="146"/>
      <c r="AH178" s="146"/>
      <c r="AI178" s="147" t="str">
        <f aca="false">IF($C178="","",IF(OR($L178="Pipeline",$N178&lt;0,$O178&gt;$N178+1,($V178+$X178+$Z178+$AB178)&gt;1.0001,ISNUMBER(SEARCH("not signed",$AF178))),"REVIEW","OK"))</f>
        <v/>
      </c>
    </row>
    <row r="179" customFormat="false" ht="13.5" hidden="false" customHeight="false" outlineLevel="0" collapsed="false">
      <c r="A179" s="95" t="str">
        <f aca="false">IF($C179="","",Controls!$B$7)</f>
        <v/>
      </c>
      <c r="B179" s="95" t="str">
        <f aca="false">IF($C179="","",Controls!$B$30)</f>
        <v/>
      </c>
      <c r="C179" s="95" t="str">
        <f aca="false">IF(MM_Income!$A182="","",MM_Income!$A182)</f>
        <v/>
      </c>
      <c r="D179" s="95" t="str">
        <f aca="false">IF($C179="","",INDEX(MM_Income!$B$5:$B$204,MATCH($C179,MM_Income!$A$5:$A$204,0)))</f>
        <v/>
      </c>
      <c r="E179" s="95" t="str">
        <f aca="false">IF($C179="","",INDEX(MM_Income!$C$5:$C$204,MATCH($C179,MM_Income!$A$5:$A$204,0)))</f>
        <v/>
      </c>
      <c r="F179" s="95" t="str">
        <f aca="false">IF($C179="","",INDEX(MM_Income!$F$5:$F$204,MATCH($C179,MM_Income!$A$5:$A$204,0)))</f>
        <v/>
      </c>
      <c r="G179" s="95" t="str">
        <f aca="false">IF($C179="","",INDEX(MM_Income!$G$5:$G$204,MATCH($C179,MM_Income!$A$5:$A$204,0)))</f>
        <v/>
      </c>
      <c r="H179" s="95" t="str">
        <f aca="false">IF($C179="","",INDEX(MM_Income!$H$5:$H$204,MATCH($C179,MM_Income!$A$5:$A$204,0)))</f>
        <v/>
      </c>
      <c r="I179" s="95" t="str">
        <f aca="false">IF($C179="","",INDEX(MM_Income!$I$5:$I$204,MATCH($C179,MM_Income!$A$5:$A$204,0)))</f>
        <v/>
      </c>
      <c r="J179" s="95" t="str">
        <f aca="false">IF($C179="","",INDEX(MM_Income!$D$5:$D$204,MATCH($C179,MM_Income!$A$5:$A$204,0)))</f>
        <v/>
      </c>
      <c r="K179" s="95" t="str">
        <f aca="false">IF($C179="","",INDEX(MM_Income!$E$5:$E$204,MATCH($C179,MM_Income!$A$5:$A$204,0)))</f>
        <v/>
      </c>
      <c r="L179" s="95" t="str">
        <f aca="false">IF($C179="","",INDEX(MM_Income!$U$5:$U$204,MATCH($C179,MM_Income!$A$5:$A$204,0)))</f>
        <v/>
      </c>
      <c r="M179" s="143" t="str">
        <f aca="false">IF($C179="","",INDEX(MM_Income!$V$5:$V$204,MATCH($C179,MM_Income!$A$5:$A$204,0)))</f>
        <v/>
      </c>
      <c r="N179" s="144" t="str">
        <f aca="false">IF($C179="","",INDEX(MM_Income!$T$5:$T$204,MATCH($C179,MM_Income!$A$5:$A$204,0)))</f>
        <v/>
      </c>
      <c r="O179" s="94" t="str">
        <f aca="false">IF($C179="","",-SUMIFS(Project_Activity!$P$2:$P$5000,Project_Activity!$C$2:$C$5000,$C179,Project_Activity!$U$2:$U$5000,"Invoiced Income",Project_Activity!$H$2:$H$5000,"&gt;="&amp;DATE(VALUE(LEFT($B179,4)),1,1),Project_Activity!$H$2:$H$5000,"&lt;="&amp;EOMONTH(DATE(VALUE(LEFT($B179,4)),VALUE(RIGHT($B179,1))*3,1),0)))</f>
        <v/>
      </c>
      <c r="P179" s="94" t="str">
        <f aca="false">IF($C179="","",SUMIFS(Project_Activity!$P$2:$P$5000,Project_Activity!$C$2:$C$5000,$C179,Project_Activity!$U$2:$U$5000,"Subcontractor",Project_Activity!$H$2:$H$5000,"&gt;="&amp;DATE(VALUE(LEFT($B179,4)),1,1),Project_Activity!$H$2:$H$5000,"&lt;="&amp;EOMONTH(DATE(VALUE(LEFT($B179,4)),VALUE(RIGHT($B179,1))*3,1),0)))</f>
        <v/>
      </c>
      <c r="Q179" s="94" t="str">
        <f aca="false">IF($C179="","",SUMIFS(Project_Activity!$P$2:$P$5000,Project_Activity!$C$2:$C$5000,$C179,Project_Activity!$U$2:$U$5000,"Project Inclusive",Project_Activity!$H$2:$H$5000,"&gt;="&amp;DATE(VALUE(LEFT($B179,4)),1,1),Project_Activity!$H$2:$H$5000,"&lt;="&amp;EOMONTH(DATE(VALUE(LEFT($B179,4)),VALUE(RIGHT($B179,1))*3,1),0)))</f>
        <v/>
      </c>
      <c r="R179" s="94" t="str">
        <f aca="false">IF($C179="","",SUMIFS(Project_Activity!$P$2:$P$5000,Project_Activity!$C$2:$C$5000,$C179,Project_Activity!$U$2:$U$5000,"Non-Recoverable",Project_Activity!$H$2:$H$5000,"&gt;="&amp;DATE(VALUE(LEFT($B179,4)),1,1),Project_Activity!$H$2:$H$5000,"&lt;="&amp;EOMONTH(DATE(VALUE(LEFT($B179,4)),VALUE(RIGHT($B179,1))*3,1),0)))</f>
        <v/>
      </c>
      <c r="S179" s="94" t="str">
        <f aca="false">IF($C179="","",$O179-$P179-$Q179-$R179)</f>
        <v/>
      </c>
      <c r="T179" s="94" t="str">
        <f aca="false">IF($C179="","",SUMIFS(Project_Activity!$P$2:$P$5000,Project_Activity!$C$2:$C$5000,$C179,Project_Activity!$U$2:$U$5000,"Recoverable",Project_Activity!$H$2:$H$5000,"&gt;="&amp;DATE(VALUE(LEFT($B179,4)),1,1),Project_Activity!$H$2:$H$5000,"&lt;="&amp;EOMONTH(DATE(VALUE(LEFT($B179,4)),VALUE(RIGHT($B179,1))*3,1),0)))</f>
        <v/>
      </c>
      <c r="U179" s="94" t="str">
        <f aca="false">IF($C179="","",-SUMIFS(Project_Activity!$P$2:$P$5000,Project_Activity!$C$2:$C$5000,$C179,Project_Activity!$U$2:$U$5000,"Recovered Expenses",Project_Activity!$H$2:$H$5000,"&gt;="&amp;DATE(VALUE(LEFT($B179,4)),1,1),Project_Activity!$H$2:$H$5000,"&lt;="&amp;EOMONTH(DATE(VALUE(LEFT($B179,4)),VALUE(RIGHT($B179,1))*3,1),0)))</f>
        <v/>
      </c>
      <c r="V179" s="145"/>
      <c r="W179" s="94" t="str">
        <f aca="false">IF($C179="","",$V179*$N179)</f>
        <v/>
      </c>
      <c r="X179" s="145"/>
      <c r="Y179" s="94" t="str">
        <f aca="false">IF($C179="","",$X179*$N179)</f>
        <v/>
      </c>
      <c r="Z179" s="145"/>
      <c r="AA179" s="94" t="str">
        <f aca="false">IF($C179="","",$Z179*$N179)</f>
        <v/>
      </c>
      <c r="AB179" s="145"/>
      <c r="AC179" s="94" t="str">
        <f aca="false">IF($C179="","",$AB179*$N179)</f>
        <v/>
      </c>
      <c r="AD179" s="94" t="str">
        <f aca="false">IF($C179="","",SUMPRODUCT((VALUE(MID($B179,7,1))&gt;={1,2,3,4})*CHOOSE({1,2,3,4},$W179,$Y179,$AA179,$AC179)))</f>
        <v/>
      </c>
      <c r="AE179" s="94" t="str">
        <f aca="false">IF($C179="","",$W179+$Y179+$AA179+$AC179-$AD179)</f>
        <v/>
      </c>
      <c r="AF179" s="146"/>
      <c r="AG179" s="146"/>
      <c r="AH179" s="146"/>
      <c r="AI179" s="147" t="str">
        <f aca="false">IF($C179="","",IF(OR($L179="Pipeline",$N179&lt;0,$O179&gt;$N179+1,($V179+$X179+$Z179+$AB179)&gt;1.0001,ISNUMBER(SEARCH("not signed",$AF179))),"REVIEW","OK"))</f>
        <v/>
      </c>
    </row>
    <row r="180" customFormat="false" ht="13.5" hidden="false" customHeight="false" outlineLevel="0" collapsed="false">
      <c r="A180" s="95" t="str">
        <f aca="false">IF($C180="","",Controls!$B$7)</f>
        <v/>
      </c>
      <c r="B180" s="95" t="str">
        <f aca="false">IF($C180="","",Controls!$B$30)</f>
        <v/>
      </c>
      <c r="C180" s="95" t="str">
        <f aca="false">IF(MM_Income!$A183="","",MM_Income!$A183)</f>
        <v/>
      </c>
      <c r="D180" s="95" t="str">
        <f aca="false">IF($C180="","",INDEX(MM_Income!$B$5:$B$204,MATCH($C180,MM_Income!$A$5:$A$204,0)))</f>
        <v/>
      </c>
      <c r="E180" s="95" t="str">
        <f aca="false">IF($C180="","",INDEX(MM_Income!$C$5:$C$204,MATCH($C180,MM_Income!$A$5:$A$204,0)))</f>
        <v/>
      </c>
      <c r="F180" s="95" t="str">
        <f aca="false">IF($C180="","",INDEX(MM_Income!$F$5:$F$204,MATCH($C180,MM_Income!$A$5:$A$204,0)))</f>
        <v/>
      </c>
      <c r="G180" s="95" t="str">
        <f aca="false">IF($C180="","",INDEX(MM_Income!$G$5:$G$204,MATCH($C180,MM_Income!$A$5:$A$204,0)))</f>
        <v/>
      </c>
      <c r="H180" s="95" t="str">
        <f aca="false">IF($C180="","",INDEX(MM_Income!$H$5:$H$204,MATCH($C180,MM_Income!$A$5:$A$204,0)))</f>
        <v/>
      </c>
      <c r="I180" s="95" t="str">
        <f aca="false">IF($C180="","",INDEX(MM_Income!$I$5:$I$204,MATCH($C180,MM_Income!$A$5:$A$204,0)))</f>
        <v/>
      </c>
      <c r="J180" s="95" t="str">
        <f aca="false">IF($C180="","",INDEX(MM_Income!$D$5:$D$204,MATCH($C180,MM_Income!$A$5:$A$204,0)))</f>
        <v/>
      </c>
      <c r="K180" s="95" t="str">
        <f aca="false">IF($C180="","",INDEX(MM_Income!$E$5:$E$204,MATCH($C180,MM_Income!$A$5:$A$204,0)))</f>
        <v/>
      </c>
      <c r="L180" s="95" t="str">
        <f aca="false">IF($C180="","",INDEX(MM_Income!$U$5:$U$204,MATCH($C180,MM_Income!$A$5:$A$204,0)))</f>
        <v/>
      </c>
      <c r="M180" s="143" t="str">
        <f aca="false">IF($C180="","",INDEX(MM_Income!$V$5:$V$204,MATCH($C180,MM_Income!$A$5:$A$204,0)))</f>
        <v/>
      </c>
      <c r="N180" s="144" t="str">
        <f aca="false">IF($C180="","",INDEX(MM_Income!$T$5:$T$204,MATCH($C180,MM_Income!$A$5:$A$204,0)))</f>
        <v/>
      </c>
      <c r="O180" s="94" t="str">
        <f aca="false">IF($C180="","",-SUMIFS(Project_Activity!$P$2:$P$5000,Project_Activity!$C$2:$C$5000,$C180,Project_Activity!$U$2:$U$5000,"Invoiced Income",Project_Activity!$H$2:$H$5000,"&gt;="&amp;DATE(VALUE(LEFT($B180,4)),1,1),Project_Activity!$H$2:$H$5000,"&lt;="&amp;EOMONTH(DATE(VALUE(LEFT($B180,4)),VALUE(RIGHT($B180,1))*3,1),0)))</f>
        <v/>
      </c>
      <c r="P180" s="94" t="str">
        <f aca="false">IF($C180="","",SUMIFS(Project_Activity!$P$2:$P$5000,Project_Activity!$C$2:$C$5000,$C180,Project_Activity!$U$2:$U$5000,"Subcontractor",Project_Activity!$H$2:$H$5000,"&gt;="&amp;DATE(VALUE(LEFT($B180,4)),1,1),Project_Activity!$H$2:$H$5000,"&lt;="&amp;EOMONTH(DATE(VALUE(LEFT($B180,4)),VALUE(RIGHT($B180,1))*3,1),0)))</f>
        <v/>
      </c>
      <c r="Q180" s="94" t="str">
        <f aca="false">IF($C180="","",SUMIFS(Project_Activity!$P$2:$P$5000,Project_Activity!$C$2:$C$5000,$C180,Project_Activity!$U$2:$U$5000,"Project Inclusive",Project_Activity!$H$2:$H$5000,"&gt;="&amp;DATE(VALUE(LEFT($B180,4)),1,1),Project_Activity!$H$2:$H$5000,"&lt;="&amp;EOMONTH(DATE(VALUE(LEFT($B180,4)),VALUE(RIGHT($B180,1))*3,1),0)))</f>
        <v/>
      </c>
      <c r="R180" s="94" t="str">
        <f aca="false">IF($C180="","",SUMIFS(Project_Activity!$P$2:$P$5000,Project_Activity!$C$2:$C$5000,$C180,Project_Activity!$U$2:$U$5000,"Non-Recoverable",Project_Activity!$H$2:$H$5000,"&gt;="&amp;DATE(VALUE(LEFT($B180,4)),1,1),Project_Activity!$H$2:$H$5000,"&lt;="&amp;EOMONTH(DATE(VALUE(LEFT($B180,4)),VALUE(RIGHT($B180,1))*3,1),0)))</f>
        <v/>
      </c>
      <c r="S180" s="94" t="str">
        <f aca="false">IF($C180="","",$O180-$P180-$Q180-$R180)</f>
        <v/>
      </c>
      <c r="T180" s="94" t="str">
        <f aca="false">IF($C180="","",SUMIFS(Project_Activity!$P$2:$P$5000,Project_Activity!$C$2:$C$5000,$C180,Project_Activity!$U$2:$U$5000,"Recoverable",Project_Activity!$H$2:$H$5000,"&gt;="&amp;DATE(VALUE(LEFT($B180,4)),1,1),Project_Activity!$H$2:$H$5000,"&lt;="&amp;EOMONTH(DATE(VALUE(LEFT($B180,4)),VALUE(RIGHT($B180,1))*3,1),0)))</f>
        <v/>
      </c>
      <c r="U180" s="94" t="str">
        <f aca="false">IF($C180="","",-SUMIFS(Project_Activity!$P$2:$P$5000,Project_Activity!$C$2:$C$5000,$C180,Project_Activity!$U$2:$U$5000,"Recovered Expenses",Project_Activity!$H$2:$H$5000,"&gt;="&amp;DATE(VALUE(LEFT($B180,4)),1,1),Project_Activity!$H$2:$H$5000,"&lt;="&amp;EOMONTH(DATE(VALUE(LEFT($B180,4)),VALUE(RIGHT($B180,1))*3,1),0)))</f>
        <v/>
      </c>
      <c r="V180" s="145"/>
      <c r="W180" s="94" t="str">
        <f aca="false">IF($C180="","",$V180*$N180)</f>
        <v/>
      </c>
      <c r="X180" s="145"/>
      <c r="Y180" s="94" t="str">
        <f aca="false">IF($C180="","",$X180*$N180)</f>
        <v/>
      </c>
      <c r="Z180" s="145"/>
      <c r="AA180" s="94" t="str">
        <f aca="false">IF($C180="","",$Z180*$N180)</f>
        <v/>
      </c>
      <c r="AB180" s="145"/>
      <c r="AC180" s="94" t="str">
        <f aca="false">IF($C180="","",$AB180*$N180)</f>
        <v/>
      </c>
      <c r="AD180" s="94" t="str">
        <f aca="false">IF($C180="","",SUMPRODUCT((VALUE(MID($B180,7,1))&gt;={1,2,3,4})*CHOOSE({1,2,3,4},$W180,$Y180,$AA180,$AC180)))</f>
        <v/>
      </c>
      <c r="AE180" s="94" t="str">
        <f aca="false">IF($C180="","",$W180+$Y180+$AA180+$AC180-$AD180)</f>
        <v/>
      </c>
      <c r="AF180" s="146"/>
      <c r="AG180" s="146"/>
      <c r="AH180" s="146"/>
      <c r="AI180" s="147" t="str">
        <f aca="false">IF($C180="","",IF(OR($L180="Pipeline",$N180&lt;0,$O180&gt;$N180+1,($V180+$X180+$Z180+$AB180)&gt;1.0001,ISNUMBER(SEARCH("not signed",$AF180))),"REVIEW","OK"))</f>
        <v/>
      </c>
    </row>
    <row r="181" customFormat="false" ht="13.5" hidden="false" customHeight="false" outlineLevel="0" collapsed="false">
      <c r="A181" s="95" t="str">
        <f aca="false">IF($C181="","",Controls!$B$7)</f>
        <v/>
      </c>
      <c r="B181" s="95" t="str">
        <f aca="false">IF($C181="","",Controls!$B$30)</f>
        <v/>
      </c>
      <c r="C181" s="95" t="str">
        <f aca="false">IF(MM_Income!$A184="","",MM_Income!$A184)</f>
        <v/>
      </c>
      <c r="D181" s="95" t="str">
        <f aca="false">IF($C181="","",INDEX(MM_Income!$B$5:$B$204,MATCH($C181,MM_Income!$A$5:$A$204,0)))</f>
        <v/>
      </c>
      <c r="E181" s="95" t="str">
        <f aca="false">IF($C181="","",INDEX(MM_Income!$C$5:$C$204,MATCH($C181,MM_Income!$A$5:$A$204,0)))</f>
        <v/>
      </c>
      <c r="F181" s="95" t="str">
        <f aca="false">IF($C181="","",INDEX(MM_Income!$F$5:$F$204,MATCH($C181,MM_Income!$A$5:$A$204,0)))</f>
        <v/>
      </c>
      <c r="G181" s="95" t="str">
        <f aca="false">IF($C181="","",INDEX(MM_Income!$G$5:$G$204,MATCH($C181,MM_Income!$A$5:$A$204,0)))</f>
        <v/>
      </c>
      <c r="H181" s="95" t="str">
        <f aca="false">IF($C181="","",INDEX(MM_Income!$H$5:$H$204,MATCH($C181,MM_Income!$A$5:$A$204,0)))</f>
        <v/>
      </c>
      <c r="I181" s="95" t="str">
        <f aca="false">IF($C181="","",INDEX(MM_Income!$I$5:$I$204,MATCH($C181,MM_Income!$A$5:$A$204,0)))</f>
        <v/>
      </c>
      <c r="J181" s="95" t="str">
        <f aca="false">IF($C181="","",INDEX(MM_Income!$D$5:$D$204,MATCH($C181,MM_Income!$A$5:$A$204,0)))</f>
        <v/>
      </c>
      <c r="K181" s="95" t="str">
        <f aca="false">IF($C181="","",INDEX(MM_Income!$E$5:$E$204,MATCH($C181,MM_Income!$A$5:$A$204,0)))</f>
        <v/>
      </c>
      <c r="L181" s="95" t="str">
        <f aca="false">IF($C181="","",INDEX(MM_Income!$U$5:$U$204,MATCH($C181,MM_Income!$A$5:$A$204,0)))</f>
        <v/>
      </c>
      <c r="M181" s="143" t="str">
        <f aca="false">IF($C181="","",INDEX(MM_Income!$V$5:$V$204,MATCH($C181,MM_Income!$A$5:$A$204,0)))</f>
        <v/>
      </c>
      <c r="N181" s="144" t="str">
        <f aca="false">IF($C181="","",INDEX(MM_Income!$T$5:$T$204,MATCH($C181,MM_Income!$A$5:$A$204,0)))</f>
        <v/>
      </c>
      <c r="O181" s="94" t="str">
        <f aca="false">IF($C181="","",-SUMIFS(Project_Activity!$P$2:$P$5000,Project_Activity!$C$2:$C$5000,$C181,Project_Activity!$U$2:$U$5000,"Invoiced Income",Project_Activity!$H$2:$H$5000,"&gt;="&amp;DATE(VALUE(LEFT($B181,4)),1,1),Project_Activity!$H$2:$H$5000,"&lt;="&amp;EOMONTH(DATE(VALUE(LEFT($B181,4)),VALUE(RIGHT($B181,1))*3,1),0)))</f>
        <v/>
      </c>
      <c r="P181" s="94" t="str">
        <f aca="false">IF($C181="","",SUMIFS(Project_Activity!$P$2:$P$5000,Project_Activity!$C$2:$C$5000,$C181,Project_Activity!$U$2:$U$5000,"Subcontractor",Project_Activity!$H$2:$H$5000,"&gt;="&amp;DATE(VALUE(LEFT($B181,4)),1,1),Project_Activity!$H$2:$H$5000,"&lt;="&amp;EOMONTH(DATE(VALUE(LEFT($B181,4)),VALUE(RIGHT($B181,1))*3,1),0)))</f>
        <v/>
      </c>
      <c r="Q181" s="94" t="str">
        <f aca="false">IF($C181="","",SUMIFS(Project_Activity!$P$2:$P$5000,Project_Activity!$C$2:$C$5000,$C181,Project_Activity!$U$2:$U$5000,"Project Inclusive",Project_Activity!$H$2:$H$5000,"&gt;="&amp;DATE(VALUE(LEFT($B181,4)),1,1),Project_Activity!$H$2:$H$5000,"&lt;="&amp;EOMONTH(DATE(VALUE(LEFT($B181,4)),VALUE(RIGHT($B181,1))*3,1),0)))</f>
        <v/>
      </c>
      <c r="R181" s="94" t="str">
        <f aca="false">IF($C181="","",SUMIFS(Project_Activity!$P$2:$P$5000,Project_Activity!$C$2:$C$5000,$C181,Project_Activity!$U$2:$U$5000,"Non-Recoverable",Project_Activity!$H$2:$H$5000,"&gt;="&amp;DATE(VALUE(LEFT($B181,4)),1,1),Project_Activity!$H$2:$H$5000,"&lt;="&amp;EOMONTH(DATE(VALUE(LEFT($B181,4)),VALUE(RIGHT($B181,1))*3,1),0)))</f>
        <v/>
      </c>
      <c r="S181" s="94" t="str">
        <f aca="false">IF($C181="","",$O181-$P181-$Q181-$R181)</f>
        <v/>
      </c>
      <c r="T181" s="94" t="str">
        <f aca="false">IF($C181="","",SUMIFS(Project_Activity!$P$2:$P$5000,Project_Activity!$C$2:$C$5000,$C181,Project_Activity!$U$2:$U$5000,"Recoverable",Project_Activity!$H$2:$H$5000,"&gt;="&amp;DATE(VALUE(LEFT($B181,4)),1,1),Project_Activity!$H$2:$H$5000,"&lt;="&amp;EOMONTH(DATE(VALUE(LEFT($B181,4)),VALUE(RIGHT($B181,1))*3,1),0)))</f>
        <v/>
      </c>
      <c r="U181" s="94" t="str">
        <f aca="false">IF($C181="","",-SUMIFS(Project_Activity!$P$2:$P$5000,Project_Activity!$C$2:$C$5000,$C181,Project_Activity!$U$2:$U$5000,"Recovered Expenses",Project_Activity!$H$2:$H$5000,"&gt;="&amp;DATE(VALUE(LEFT($B181,4)),1,1),Project_Activity!$H$2:$H$5000,"&lt;="&amp;EOMONTH(DATE(VALUE(LEFT($B181,4)),VALUE(RIGHT($B181,1))*3,1),0)))</f>
        <v/>
      </c>
      <c r="V181" s="145"/>
      <c r="W181" s="94" t="str">
        <f aca="false">IF($C181="","",$V181*$N181)</f>
        <v/>
      </c>
      <c r="X181" s="145"/>
      <c r="Y181" s="94" t="str">
        <f aca="false">IF($C181="","",$X181*$N181)</f>
        <v/>
      </c>
      <c r="Z181" s="145"/>
      <c r="AA181" s="94" t="str">
        <f aca="false">IF($C181="","",$Z181*$N181)</f>
        <v/>
      </c>
      <c r="AB181" s="145"/>
      <c r="AC181" s="94" t="str">
        <f aca="false">IF($C181="","",$AB181*$N181)</f>
        <v/>
      </c>
      <c r="AD181" s="94" t="str">
        <f aca="false">IF($C181="","",SUMPRODUCT((VALUE(MID($B181,7,1))&gt;={1,2,3,4})*CHOOSE({1,2,3,4},$W181,$Y181,$AA181,$AC181)))</f>
        <v/>
      </c>
      <c r="AE181" s="94" t="str">
        <f aca="false">IF($C181="","",$W181+$Y181+$AA181+$AC181-$AD181)</f>
        <v/>
      </c>
      <c r="AF181" s="146"/>
      <c r="AG181" s="146"/>
      <c r="AH181" s="146"/>
      <c r="AI181" s="147" t="str">
        <f aca="false">IF($C181="","",IF(OR($L181="Pipeline",$N181&lt;0,$O181&gt;$N181+1,($V181+$X181+$Z181+$AB181)&gt;1.0001,ISNUMBER(SEARCH("not signed",$AF181))),"REVIEW","OK"))</f>
        <v/>
      </c>
    </row>
    <row r="182" customFormat="false" ht="13.5" hidden="false" customHeight="false" outlineLevel="0" collapsed="false">
      <c r="A182" s="95" t="str">
        <f aca="false">IF($C182="","",Controls!$B$7)</f>
        <v/>
      </c>
      <c r="B182" s="95" t="str">
        <f aca="false">IF($C182="","",Controls!$B$30)</f>
        <v/>
      </c>
      <c r="C182" s="95" t="str">
        <f aca="false">IF(MM_Income!$A185="","",MM_Income!$A185)</f>
        <v/>
      </c>
      <c r="D182" s="95" t="str">
        <f aca="false">IF($C182="","",INDEX(MM_Income!$B$5:$B$204,MATCH($C182,MM_Income!$A$5:$A$204,0)))</f>
        <v/>
      </c>
      <c r="E182" s="95" t="str">
        <f aca="false">IF($C182="","",INDEX(MM_Income!$C$5:$C$204,MATCH($C182,MM_Income!$A$5:$A$204,0)))</f>
        <v/>
      </c>
      <c r="F182" s="95" t="str">
        <f aca="false">IF($C182="","",INDEX(MM_Income!$F$5:$F$204,MATCH($C182,MM_Income!$A$5:$A$204,0)))</f>
        <v/>
      </c>
      <c r="G182" s="95" t="str">
        <f aca="false">IF($C182="","",INDEX(MM_Income!$G$5:$G$204,MATCH($C182,MM_Income!$A$5:$A$204,0)))</f>
        <v/>
      </c>
      <c r="H182" s="95" t="str">
        <f aca="false">IF($C182="","",INDEX(MM_Income!$H$5:$H$204,MATCH($C182,MM_Income!$A$5:$A$204,0)))</f>
        <v/>
      </c>
      <c r="I182" s="95" t="str">
        <f aca="false">IF($C182="","",INDEX(MM_Income!$I$5:$I$204,MATCH($C182,MM_Income!$A$5:$A$204,0)))</f>
        <v/>
      </c>
      <c r="J182" s="95" t="str">
        <f aca="false">IF($C182="","",INDEX(MM_Income!$D$5:$D$204,MATCH($C182,MM_Income!$A$5:$A$204,0)))</f>
        <v/>
      </c>
      <c r="K182" s="95" t="str">
        <f aca="false">IF($C182="","",INDEX(MM_Income!$E$5:$E$204,MATCH($C182,MM_Income!$A$5:$A$204,0)))</f>
        <v/>
      </c>
      <c r="L182" s="95" t="str">
        <f aca="false">IF($C182="","",INDEX(MM_Income!$U$5:$U$204,MATCH($C182,MM_Income!$A$5:$A$204,0)))</f>
        <v/>
      </c>
      <c r="M182" s="143" t="str">
        <f aca="false">IF($C182="","",INDEX(MM_Income!$V$5:$V$204,MATCH($C182,MM_Income!$A$5:$A$204,0)))</f>
        <v/>
      </c>
      <c r="N182" s="144" t="str">
        <f aca="false">IF($C182="","",INDEX(MM_Income!$T$5:$T$204,MATCH($C182,MM_Income!$A$5:$A$204,0)))</f>
        <v/>
      </c>
      <c r="O182" s="94" t="str">
        <f aca="false">IF($C182="","",-SUMIFS(Project_Activity!$P$2:$P$5000,Project_Activity!$C$2:$C$5000,$C182,Project_Activity!$U$2:$U$5000,"Invoiced Income",Project_Activity!$H$2:$H$5000,"&gt;="&amp;DATE(VALUE(LEFT($B182,4)),1,1),Project_Activity!$H$2:$H$5000,"&lt;="&amp;EOMONTH(DATE(VALUE(LEFT($B182,4)),VALUE(RIGHT($B182,1))*3,1),0)))</f>
        <v/>
      </c>
      <c r="P182" s="94" t="str">
        <f aca="false">IF($C182="","",SUMIFS(Project_Activity!$P$2:$P$5000,Project_Activity!$C$2:$C$5000,$C182,Project_Activity!$U$2:$U$5000,"Subcontractor",Project_Activity!$H$2:$H$5000,"&gt;="&amp;DATE(VALUE(LEFT($B182,4)),1,1),Project_Activity!$H$2:$H$5000,"&lt;="&amp;EOMONTH(DATE(VALUE(LEFT($B182,4)),VALUE(RIGHT($B182,1))*3,1),0)))</f>
        <v/>
      </c>
      <c r="Q182" s="94" t="str">
        <f aca="false">IF($C182="","",SUMIFS(Project_Activity!$P$2:$P$5000,Project_Activity!$C$2:$C$5000,$C182,Project_Activity!$U$2:$U$5000,"Project Inclusive",Project_Activity!$H$2:$H$5000,"&gt;="&amp;DATE(VALUE(LEFT($B182,4)),1,1),Project_Activity!$H$2:$H$5000,"&lt;="&amp;EOMONTH(DATE(VALUE(LEFT($B182,4)),VALUE(RIGHT($B182,1))*3,1),0)))</f>
        <v/>
      </c>
      <c r="R182" s="94" t="str">
        <f aca="false">IF($C182="","",SUMIFS(Project_Activity!$P$2:$P$5000,Project_Activity!$C$2:$C$5000,$C182,Project_Activity!$U$2:$U$5000,"Non-Recoverable",Project_Activity!$H$2:$H$5000,"&gt;="&amp;DATE(VALUE(LEFT($B182,4)),1,1),Project_Activity!$H$2:$H$5000,"&lt;="&amp;EOMONTH(DATE(VALUE(LEFT($B182,4)),VALUE(RIGHT($B182,1))*3,1),0)))</f>
        <v/>
      </c>
      <c r="S182" s="94" t="str">
        <f aca="false">IF($C182="","",$O182-$P182-$Q182-$R182)</f>
        <v/>
      </c>
      <c r="T182" s="94" t="str">
        <f aca="false">IF($C182="","",SUMIFS(Project_Activity!$P$2:$P$5000,Project_Activity!$C$2:$C$5000,$C182,Project_Activity!$U$2:$U$5000,"Recoverable",Project_Activity!$H$2:$H$5000,"&gt;="&amp;DATE(VALUE(LEFT($B182,4)),1,1),Project_Activity!$H$2:$H$5000,"&lt;="&amp;EOMONTH(DATE(VALUE(LEFT($B182,4)),VALUE(RIGHT($B182,1))*3,1),0)))</f>
        <v/>
      </c>
      <c r="U182" s="94" t="str">
        <f aca="false">IF($C182="","",-SUMIFS(Project_Activity!$P$2:$P$5000,Project_Activity!$C$2:$C$5000,$C182,Project_Activity!$U$2:$U$5000,"Recovered Expenses",Project_Activity!$H$2:$H$5000,"&gt;="&amp;DATE(VALUE(LEFT($B182,4)),1,1),Project_Activity!$H$2:$H$5000,"&lt;="&amp;EOMONTH(DATE(VALUE(LEFT($B182,4)),VALUE(RIGHT($B182,1))*3,1),0)))</f>
        <v/>
      </c>
      <c r="V182" s="145"/>
      <c r="W182" s="94" t="str">
        <f aca="false">IF($C182="","",$V182*$N182)</f>
        <v/>
      </c>
      <c r="X182" s="145"/>
      <c r="Y182" s="94" t="str">
        <f aca="false">IF($C182="","",$X182*$N182)</f>
        <v/>
      </c>
      <c r="Z182" s="145"/>
      <c r="AA182" s="94" t="str">
        <f aca="false">IF($C182="","",$Z182*$N182)</f>
        <v/>
      </c>
      <c r="AB182" s="145"/>
      <c r="AC182" s="94" t="str">
        <f aca="false">IF($C182="","",$AB182*$N182)</f>
        <v/>
      </c>
      <c r="AD182" s="94" t="str">
        <f aca="false">IF($C182="","",SUMPRODUCT((VALUE(MID($B182,7,1))&gt;={1,2,3,4})*CHOOSE({1,2,3,4},$W182,$Y182,$AA182,$AC182)))</f>
        <v/>
      </c>
      <c r="AE182" s="94" t="str">
        <f aca="false">IF($C182="","",$W182+$Y182+$AA182+$AC182-$AD182)</f>
        <v/>
      </c>
      <c r="AF182" s="146"/>
      <c r="AG182" s="146"/>
      <c r="AH182" s="146"/>
      <c r="AI182" s="147" t="str">
        <f aca="false">IF($C182="","",IF(OR($L182="Pipeline",$N182&lt;0,$O182&gt;$N182+1,($V182+$X182+$Z182+$AB182)&gt;1.0001,ISNUMBER(SEARCH("not signed",$AF182))),"REVIEW","OK"))</f>
        <v/>
      </c>
    </row>
    <row r="183" customFormat="false" ht="13.5" hidden="false" customHeight="false" outlineLevel="0" collapsed="false">
      <c r="A183" s="95" t="str">
        <f aca="false">IF($C183="","",Controls!$B$7)</f>
        <v/>
      </c>
      <c r="B183" s="95" t="str">
        <f aca="false">IF($C183="","",Controls!$B$30)</f>
        <v/>
      </c>
      <c r="C183" s="95" t="str">
        <f aca="false">IF(MM_Income!$A186="","",MM_Income!$A186)</f>
        <v/>
      </c>
      <c r="D183" s="95" t="str">
        <f aca="false">IF($C183="","",INDEX(MM_Income!$B$5:$B$204,MATCH($C183,MM_Income!$A$5:$A$204,0)))</f>
        <v/>
      </c>
      <c r="E183" s="95" t="str">
        <f aca="false">IF($C183="","",INDEX(MM_Income!$C$5:$C$204,MATCH($C183,MM_Income!$A$5:$A$204,0)))</f>
        <v/>
      </c>
      <c r="F183" s="95" t="str">
        <f aca="false">IF($C183="","",INDEX(MM_Income!$F$5:$F$204,MATCH($C183,MM_Income!$A$5:$A$204,0)))</f>
        <v/>
      </c>
      <c r="G183" s="95" t="str">
        <f aca="false">IF($C183="","",INDEX(MM_Income!$G$5:$G$204,MATCH($C183,MM_Income!$A$5:$A$204,0)))</f>
        <v/>
      </c>
      <c r="H183" s="95" t="str">
        <f aca="false">IF($C183="","",INDEX(MM_Income!$H$5:$H$204,MATCH($C183,MM_Income!$A$5:$A$204,0)))</f>
        <v/>
      </c>
      <c r="I183" s="95" t="str">
        <f aca="false">IF($C183="","",INDEX(MM_Income!$I$5:$I$204,MATCH($C183,MM_Income!$A$5:$A$204,0)))</f>
        <v/>
      </c>
      <c r="J183" s="95" t="str">
        <f aca="false">IF($C183="","",INDEX(MM_Income!$D$5:$D$204,MATCH($C183,MM_Income!$A$5:$A$204,0)))</f>
        <v/>
      </c>
      <c r="K183" s="95" t="str">
        <f aca="false">IF($C183="","",INDEX(MM_Income!$E$5:$E$204,MATCH($C183,MM_Income!$A$5:$A$204,0)))</f>
        <v/>
      </c>
      <c r="L183" s="95" t="str">
        <f aca="false">IF($C183="","",INDEX(MM_Income!$U$5:$U$204,MATCH($C183,MM_Income!$A$5:$A$204,0)))</f>
        <v/>
      </c>
      <c r="M183" s="143" t="str">
        <f aca="false">IF($C183="","",INDEX(MM_Income!$V$5:$V$204,MATCH($C183,MM_Income!$A$5:$A$204,0)))</f>
        <v/>
      </c>
      <c r="N183" s="144" t="str">
        <f aca="false">IF($C183="","",INDEX(MM_Income!$T$5:$T$204,MATCH($C183,MM_Income!$A$5:$A$204,0)))</f>
        <v/>
      </c>
      <c r="O183" s="94" t="str">
        <f aca="false">IF($C183="","",-SUMIFS(Project_Activity!$P$2:$P$5000,Project_Activity!$C$2:$C$5000,$C183,Project_Activity!$U$2:$U$5000,"Invoiced Income",Project_Activity!$H$2:$H$5000,"&gt;="&amp;DATE(VALUE(LEFT($B183,4)),1,1),Project_Activity!$H$2:$H$5000,"&lt;="&amp;EOMONTH(DATE(VALUE(LEFT($B183,4)),VALUE(RIGHT($B183,1))*3,1),0)))</f>
        <v/>
      </c>
      <c r="P183" s="94" t="str">
        <f aca="false">IF($C183="","",SUMIFS(Project_Activity!$P$2:$P$5000,Project_Activity!$C$2:$C$5000,$C183,Project_Activity!$U$2:$U$5000,"Subcontractor",Project_Activity!$H$2:$H$5000,"&gt;="&amp;DATE(VALUE(LEFT($B183,4)),1,1),Project_Activity!$H$2:$H$5000,"&lt;="&amp;EOMONTH(DATE(VALUE(LEFT($B183,4)),VALUE(RIGHT($B183,1))*3,1),0)))</f>
        <v/>
      </c>
      <c r="Q183" s="94" t="str">
        <f aca="false">IF($C183="","",SUMIFS(Project_Activity!$P$2:$P$5000,Project_Activity!$C$2:$C$5000,$C183,Project_Activity!$U$2:$U$5000,"Project Inclusive",Project_Activity!$H$2:$H$5000,"&gt;="&amp;DATE(VALUE(LEFT($B183,4)),1,1),Project_Activity!$H$2:$H$5000,"&lt;="&amp;EOMONTH(DATE(VALUE(LEFT($B183,4)),VALUE(RIGHT($B183,1))*3,1),0)))</f>
        <v/>
      </c>
      <c r="R183" s="94" t="str">
        <f aca="false">IF($C183="","",SUMIFS(Project_Activity!$P$2:$P$5000,Project_Activity!$C$2:$C$5000,$C183,Project_Activity!$U$2:$U$5000,"Non-Recoverable",Project_Activity!$H$2:$H$5000,"&gt;="&amp;DATE(VALUE(LEFT($B183,4)),1,1),Project_Activity!$H$2:$H$5000,"&lt;="&amp;EOMONTH(DATE(VALUE(LEFT($B183,4)),VALUE(RIGHT($B183,1))*3,1),0)))</f>
        <v/>
      </c>
      <c r="S183" s="94" t="str">
        <f aca="false">IF($C183="","",$O183-$P183-$Q183-$R183)</f>
        <v/>
      </c>
      <c r="T183" s="94" t="str">
        <f aca="false">IF($C183="","",SUMIFS(Project_Activity!$P$2:$P$5000,Project_Activity!$C$2:$C$5000,$C183,Project_Activity!$U$2:$U$5000,"Recoverable",Project_Activity!$H$2:$H$5000,"&gt;="&amp;DATE(VALUE(LEFT($B183,4)),1,1),Project_Activity!$H$2:$H$5000,"&lt;="&amp;EOMONTH(DATE(VALUE(LEFT($B183,4)),VALUE(RIGHT($B183,1))*3,1),0)))</f>
        <v/>
      </c>
      <c r="U183" s="94" t="str">
        <f aca="false">IF($C183="","",-SUMIFS(Project_Activity!$P$2:$P$5000,Project_Activity!$C$2:$C$5000,$C183,Project_Activity!$U$2:$U$5000,"Recovered Expenses",Project_Activity!$H$2:$H$5000,"&gt;="&amp;DATE(VALUE(LEFT($B183,4)),1,1),Project_Activity!$H$2:$H$5000,"&lt;="&amp;EOMONTH(DATE(VALUE(LEFT($B183,4)),VALUE(RIGHT($B183,1))*3,1),0)))</f>
        <v/>
      </c>
      <c r="V183" s="145"/>
      <c r="W183" s="94" t="str">
        <f aca="false">IF($C183="","",$V183*$N183)</f>
        <v/>
      </c>
      <c r="X183" s="145"/>
      <c r="Y183" s="94" t="str">
        <f aca="false">IF($C183="","",$X183*$N183)</f>
        <v/>
      </c>
      <c r="Z183" s="145"/>
      <c r="AA183" s="94" t="str">
        <f aca="false">IF($C183="","",$Z183*$N183)</f>
        <v/>
      </c>
      <c r="AB183" s="145"/>
      <c r="AC183" s="94" t="str">
        <f aca="false">IF($C183="","",$AB183*$N183)</f>
        <v/>
      </c>
      <c r="AD183" s="94" t="str">
        <f aca="false">IF($C183="","",SUMPRODUCT((VALUE(MID($B183,7,1))&gt;={1,2,3,4})*CHOOSE({1,2,3,4},$W183,$Y183,$AA183,$AC183)))</f>
        <v/>
      </c>
      <c r="AE183" s="94" t="str">
        <f aca="false">IF($C183="","",$W183+$Y183+$AA183+$AC183-$AD183)</f>
        <v/>
      </c>
      <c r="AF183" s="146"/>
      <c r="AG183" s="146"/>
      <c r="AH183" s="146"/>
      <c r="AI183" s="147" t="str">
        <f aca="false">IF($C183="","",IF(OR($L183="Pipeline",$N183&lt;0,$O183&gt;$N183+1,($V183+$X183+$Z183+$AB183)&gt;1.0001,ISNUMBER(SEARCH("not signed",$AF183))),"REVIEW","OK"))</f>
        <v/>
      </c>
    </row>
    <row r="184" customFormat="false" ht="13.5" hidden="false" customHeight="false" outlineLevel="0" collapsed="false">
      <c r="A184" s="95" t="str">
        <f aca="false">IF($C184="","",Controls!$B$7)</f>
        <v/>
      </c>
      <c r="B184" s="95" t="str">
        <f aca="false">IF($C184="","",Controls!$B$30)</f>
        <v/>
      </c>
      <c r="C184" s="95" t="str">
        <f aca="false">IF(MM_Income!$A187="","",MM_Income!$A187)</f>
        <v/>
      </c>
      <c r="D184" s="95" t="str">
        <f aca="false">IF($C184="","",INDEX(MM_Income!$B$5:$B$204,MATCH($C184,MM_Income!$A$5:$A$204,0)))</f>
        <v/>
      </c>
      <c r="E184" s="95" t="str">
        <f aca="false">IF($C184="","",INDEX(MM_Income!$C$5:$C$204,MATCH($C184,MM_Income!$A$5:$A$204,0)))</f>
        <v/>
      </c>
      <c r="F184" s="95" t="str">
        <f aca="false">IF($C184="","",INDEX(MM_Income!$F$5:$F$204,MATCH($C184,MM_Income!$A$5:$A$204,0)))</f>
        <v/>
      </c>
      <c r="G184" s="95" t="str">
        <f aca="false">IF($C184="","",INDEX(MM_Income!$G$5:$G$204,MATCH($C184,MM_Income!$A$5:$A$204,0)))</f>
        <v/>
      </c>
      <c r="H184" s="95" t="str">
        <f aca="false">IF($C184="","",INDEX(MM_Income!$H$5:$H$204,MATCH($C184,MM_Income!$A$5:$A$204,0)))</f>
        <v/>
      </c>
      <c r="I184" s="95" t="str">
        <f aca="false">IF($C184="","",INDEX(MM_Income!$I$5:$I$204,MATCH($C184,MM_Income!$A$5:$A$204,0)))</f>
        <v/>
      </c>
      <c r="J184" s="95" t="str">
        <f aca="false">IF($C184="","",INDEX(MM_Income!$D$5:$D$204,MATCH($C184,MM_Income!$A$5:$A$204,0)))</f>
        <v/>
      </c>
      <c r="K184" s="95" t="str">
        <f aca="false">IF($C184="","",INDEX(MM_Income!$E$5:$E$204,MATCH($C184,MM_Income!$A$5:$A$204,0)))</f>
        <v/>
      </c>
      <c r="L184" s="95" t="str">
        <f aca="false">IF($C184="","",INDEX(MM_Income!$U$5:$U$204,MATCH($C184,MM_Income!$A$5:$A$204,0)))</f>
        <v/>
      </c>
      <c r="M184" s="143" t="str">
        <f aca="false">IF($C184="","",INDEX(MM_Income!$V$5:$V$204,MATCH($C184,MM_Income!$A$5:$A$204,0)))</f>
        <v/>
      </c>
      <c r="N184" s="144" t="str">
        <f aca="false">IF($C184="","",INDEX(MM_Income!$T$5:$T$204,MATCH($C184,MM_Income!$A$5:$A$204,0)))</f>
        <v/>
      </c>
      <c r="O184" s="94" t="str">
        <f aca="false">IF($C184="","",-SUMIFS(Project_Activity!$P$2:$P$5000,Project_Activity!$C$2:$C$5000,$C184,Project_Activity!$U$2:$U$5000,"Invoiced Income",Project_Activity!$H$2:$H$5000,"&gt;="&amp;DATE(VALUE(LEFT($B184,4)),1,1),Project_Activity!$H$2:$H$5000,"&lt;="&amp;EOMONTH(DATE(VALUE(LEFT($B184,4)),VALUE(RIGHT($B184,1))*3,1),0)))</f>
        <v/>
      </c>
      <c r="P184" s="94" t="str">
        <f aca="false">IF($C184="","",SUMIFS(Project_Activity!$P$2:$P$5000,Project_Activity!$C$2:$C$5000,$C184,Project_Activity!$U$2:$U$5000,"Subcontractor",Project_Activity!$H$2:$H$5000,"&gt;="&amp;DATE(VALUE(LEFT($B184,4)),1,1),Project_Activity!$H$2:$H$5000,"&lt;="&amp;EOMONTH(DATE(VALUE(LEFT($B184,4)),VALUE(RIGHT($B184,1))*3,1),0)))</f>
        <v/>
      </c>
      <c r="Q184" s="94" t="str">
        <f aca="false">IF($C184="","",SUMIFS(Project_Activity!$P$2:$P$5000,Project_Activity!$C$2:$C$5000,$C184,Project_Activity!$U$2:$U$5000,"Project Inclusive",Project_Activity!$H$2:$H$5000,"&gt;="&amp;DATE(VALUE(LEFT($B184,4)),1,1),Project_Activity!$H$2:$H$5000,"&lt;="&amp;EOMONTH(DATE(VALUE(LEFT($B184,4)),VALUE(RIGHT($B184,1))*3,1),0)))</f>
        <v/>
      </c>
      <c r="R184" s="94" t="str">
        <f aca="false">IF($C184="","",SUMIFS(Project_Activity!$P$2:$P$5000,Project_Activity!$C$2:$C$5000,$C184,Project_Activity!$U$2:$U$5000,"Non-Recoverable",Project_Activity!$H$2:$H$5000,"&gt;="&amp;DATE(VALUE(LEFT($B184,4)),1,1),Project_Activity!$H$2:$H$5000,"&lt;="&amp;EOMONTH(DATE(VALUE(LEFT($B184,4)),VALUE(RIGHT($B184,1))*3,1),0)))</f>
        <v/>
      </c>
      <c r="S184" s="94" t="str">
        <f aca="false">IF($C184="","",$O184-$P184-$Q184-$R184)</f>
        <v/>
      </c>
      <c r="T184" s="94" t="str">
        <f aca="false">IF($C184="","",SUMIFS(Project_Activity!$P$2:$P$5000,Project_Activity!$C$2:$C$5000,$C184,Project_Activity!$U$2:$U$5000,"Recoverable",Project_Activity!$H$2:$H$5000,"&gt;="&amp;DATE(VALUE(LEFT($B184,4)),1,1),Project_Activity!$H$2:$H$5000,"&lt;="&amp;EOMONTH(DATE(VALUE(LEFT($B184,4)),VALUE(RIGHT($B184,1))*3,1),0)))</f>
        <v/>
      </c>
      <c r="U184" s="94" t="str">
        <f aca="false">IF($C184="","",-SUMIFS(Project_Activity!$P$2:$P$5000,Project_Activity!$C$2:$C$5000,$C184,Project_Activity!$U$2:$U$5000,"Recovered Expenses",Project_Activity!$H$2:$H$5000,"&gt;="&amp;DATE(VALUE(LEFT($B184,4)),1,1),Project_Activity!$H$2:$H$5000,"&lt;="&amp;EOMONTH(DATE(VALUE(LEFT($B184,4)),VALUE(RIGHT($B184,1))*3,1),0)))</f>
        <v/>
      </c>
      <c r="V184" s="145"/>
      <c r="W184" s="94" t="str">
        <f aca="false">IF($C184="","",$V184*$N184)</f>
        <v/>
      </c>
      <c r="X184" s="145"/>
      <c r="Y184" s="94" t="str">
        <f aca="false">IF($C184="","",$X184*$N184)</f>
        <v/>
      </c>
      <c r="Z184" s="145"/>
      <c r="AA184" s="94" t="str">
        <f aca="false">IF($C184="","",$Z184*$N184)</f>
        <v/>
      </c>
      <c r="AB184" s="145"/>
      <c r="AC184" s="94" t="str">
        <f aca="false">IF($C184="","",$AB184*$N184)</f>
        <v/>
      </c>
      <c r="AD184" s="94" t="str">
        <f aca="false">IF($C184="","",SUMPRODUCT((VALUE(MID($B184,7,1))&gt;={1,2,3,4})*CHOOSE({1,2,3,4},$W184,$Y184,$AA184,$AC184)))</f>
        <v/>
      </c>
      <c r="AE184" s="94" t="str">
        <f aca="false">IF($C184="","",$W184+$Y184+$AA184+$AC184-$AD184)</f>
        <v/>
      </c>
      <c r="AF184" s="146"/>
      <c r="AG184" s="146"/>
      <c r="AH184" s="146"/>
      <c r="AI184" s="147" t="str">
        <f aca="false">IF($C184="","",IF(OR($L184="Pipeline",$N184&lt;0,$O184&gt;$N184+1,($V184+$X184+$Z184+$AB184)&gt;1.0001,ISNUMBER(SEARCH("not signed",$AF184))),"REVIEW","OK"))</f>
        <v/>
      </c>
    </row>
    <row r="185" customFormat="false" ht="13.5" hidden="false" customHeight="false" outlineLevel="0" collapsed="false">
      <c r="A185" s="95" t="str">
        <f aca="false">IF($C185="","",Controls!$B$7)</f>
        <v/>
      </c>
      <c r="B185" s="95" t="str">
        <f aca="false">IF($C185="","",Controls!$B$30)</f>
        <v/>
      </c>
      <c r="C185" s="95" t="str">
        <f aca="false">IF(MM_Income!$A188="","",MM_Income!$A188)</f>
        <v/>
      </c>
      <c r="D185" s="95" t="str">
        <f aca="false">IF($C185="","",INDEX(MM_Income!$B$5:$B$204,MATCH($C185,MM_Income!$A$5:$A$204,0)))</f>
        <v/>
      </c>
      <c r="E185" s="95" t="str">
        <f aca="false">IF($C185="","",INDEX(MM_Income!$C$5:$C$204,MATCH($C185,MM_Income!$A$5:$A$204,0)))</f>
        <v/>
      </c>
      <c r="F185" s="95" t="str">
        <f aca="false">IF($C185="","",INDEX(MM_Income!$F$5:$F$204,MATCH($C185,MM_Income!$A$5:$A$204,0)))</f>
        <v/>
      </c>
      <c r="G185" s="95" t="str">
        <f aca="false">IF($C185="","",INDEX(MM_Income!$G$5:$G$204,MATCH($C185,MM_Income!$A$5:$A$204,0)))</f>
        <v/>
      </c>
      <c r="H185" s="95" t="str">
        <f aca="false">IF($C185="","",INDEX(MM_Income!$H$5:$H$204,MATCH($C185,MM_Income!$A$5:$A$204,0)))</f>
        <v/>
      </c>
      <c r="I185" s="95" t="str">
        <f aca="false">IF($C185="","",INDEX(MM_Income!$I$5:$I$204,MATCH($C185,MM_Income!$A$5:$A$204,0)))</f>
        <v/>
      </c>
      <c r="J185" s="95" t="str">
        <f aca="false">IF($C185="","",INDEX(MM_Income!$D$5:$D$204,MATCH($C185,MM_Income!$A$5:$A$204,0)))</f>
        <v/>
      </c>
      <c r="K185" s="95" t="str">
        <f aca="false">IF($C185="","",INDEX(MM_Income!$E$5:$E$204,MATCH($C185,MM_Income!$A$5:$A$204,0)))</f>
        <v/>
      </c>
      <c r="L185" s="95" t="str">
        <f aca="false">IF($C185="","",INDEX(MM_Income!$U$5:$U$204,MATCH($C185,MM_Income!$A$5:$A$204,0)))</f>
        <v/>
      </c>
      <c r="M185" s="143" t="str">
        <f aca="false">IF($C185="","",INDEX(MM_Income!$V$5:$V$204,MATCH($C185,MM_Income!$A$5:$A$204,0)))</f>
        <v/>
      </c>
      <c r="N185" s="144" t="str">
        <f aca="false">IF($C185="","",INDEX(MM_Income!$T$5:$T$204,MATCH($C185,MM_Income!$A$5:$A$204,0)))</f>
        <v/>
      </c>
      <c r="O185" s="94" t="str">
        <f aca="false">IF($C185="","",-SUMIFS(Project_Activity!$P$2:$P$5000,Project_Activity!$C$2:$C$5000,$C185,Project_Activity!$U$2:$U$5000,"Invoiced Income",Project_Activity!$H$2:$H$5000,"&gt;="&amp;DATE(VALUE(LEFT($B185,4)),1,1),Project_Activity!$H$2:$H$5000,"&lt;="&amp;EOMONTH(DATE(VALUE(LEFT($B185,4)),VALUE(RIGHT($B185,1))*3,1),0)))</f>
        <v/>
      </c>
      <c r="P185" s="94" t="str">
        <f aca="false">IF($C185="","",SUMIFS(Project_Activity!$P$2:$P$5000,Project_Activity!$C$2:$C$5000,$C185,Project_Activity!$U$2:$U$5000,"Subcontractor",Project_Activity!$H$2:$H$5000,"&gt;="&amp;DATE(VALUE(LEFT($B185,4)),1,1),Project_Activity!$H$2:$H$5000,"&lt;="&amp;EOMONTH(DATE(VALUE(LEFT($B185,4)),VALUE(RIGHT($B185,1))*3,1),0)))</f>
        <v/>
      </c>
      <c r="Q185" s="94" t="str">
        <f aca="false">IF($C185="","",SUMIFS(Project_Activity!$P$2:$P$5000,Project_Activity!$C$2:$C$5000,$C185,Project_Activity!$U$2:$U$5000,"Project Inclusive",Project_Activity!$H$2:$H$5000,"&gt;="&amp;DATE(VALUE(LEFT($B185,4)),1,1),Project_Activity!$H$2:$H$5000,"&lt;="&amp;EOMONTH(DATE(VALUE(LEFT($B185,4)),VALUE(RIGHT($B185,1))*3,1),0)))</f>
        <v/>
      </c>
      <c r="R185" s="94" t="str">
        <f aca="false">IF($C185="","",SUMIFS(Project_Activity!$P$2:$P$5000,Project_Activity!$C$2:$C$5000,$C185,Project_Activity!$U$2:$U$5000,"Non-Recoverable",Project_Activity!$H$2:$H$5000,"&gt;="&amp;DATE(VALUE(LEFT($B185,4)),1,1),Project_Activity!$H$2:$H$5000,"&lt;="&amp;EOMONTH(DATE(VALUE(LEFT($B185,4)),VALUE(RIGHT($B185,1))*3,1),0)))</f>
        <v/>
      </c>
      <c r="S185" s="94" t="str">
        <f aca="false">IF($C185="","",$O185-$P185-$Q185-$R185)</f>
        <v/>
      </c>
      <c r="T185" s="94" t="str">
        <f aca="false">IF($C185="","",SUMIFS(Project_Activity!$P$2:$P$5000,Project_Activity!$C$2:$C$5000,$C185,Project_Activity!$U$2:$U$5000,"Recoverable",Project_Activity!$H$2:$H$5000,"&gt;="&amp;DATE(VALUE(LEFT($B185,4)),1,1),Project_Activity!$H$2:$H$5000,"&lt;="&amp;EOMONTH(DATE(VALUE(LEFT($B185,4)),VALUE(RIGHT($B185,1))*3,1),0)))</f>
        <v/>
      </c>
      <c r="U185" s="94" t="str">
        <f aca="false">IF($C185="","",-SUMIFS(Project_Activity!$P$2:$P$5000,Project_Activity!$C$2:$C$5000,$C185,Project_Activity!$U$2:$U$5000,"Recovered Expenses",Project_Activity!$H$2:$H$5000,"&gt;="&amp;DATE(VALUE(LEFT($B185,4)),1,1),Project_Activity!$H$2:$H$5000,"&lt;="&amp;EOMONTH(DATE(VALUE(LEFT($B185,4)),VALUE(RIGHT($B185,1))*3,1),0)))</f>
        <v/>
      </c>
      <c r="V185" s="145"/>
      <c r="W185" s="94" t="str">
        <f aca="false">IF($C185="","",$V185*$N185)</f>
        <v/>
      </c>
      <c r="X185" s="145"/>
      <c r="Y185" s="94" t="str">
        <f aca="false">IF($C185="","",$X185*$N185)</f>
        <v/>
      </c>
      <c r="Z185" s="145"/>
      <c r="AA185" s="94" t="str">
        <f aca="false">IF($C185="","",$Z185*$N185)</f>
        <v/>
      </c>
      <c r="AB185" s="145"/>
      <c r="AC185" s="94" t="str">
        <f aca="false">IF($C185="","",$AB185*$N185)</f>
        <v/>
      </c>
      <c r="AD185" s="94" t="str">
        <f aca="false">IF($C185="","",SUMPRODUCT((VALUE(MID($B185,7,1))&gt;={1,2,3,4})*CHOOSE({1,2,3,4},$W185,$Y185,$AA185,$AC185)))</f>
        <v/>
      </c>
      <c r="AE185" s="94" t="str">
        <f aca="false">IF($C185="","",$W185+$Y185+$AA185+$AC185-$AD185)</f>
        <v/>
      </c>
      <c r="AF185" s="146"/>
      <c r="AG185" s="146"/>
      <c r="AH185" s="146"/>
      <c r="AI185" s="147" t="str">
        <f aca="false">IF($C185="","",IF(OR($L185="Pipeline",$N185&lt;0,$O185&gt;$N185+1,($V185+$X185+$Z185+$AB185)&gt;1.0001,ISNUMBER(SEARCH("not signed",$AF185))),"REVIEW","OK"))</f>
        <v/>
      </c>
    </row>
    <row r="186" customFormat="false" ht="13.5" hidden="false" customHeight="false" outlineLevel="0" collapsed="false">
      <c r="A186" s="95" t="str">
        <f aca="false">IF($C186="","",Controls!$B$7)</f>
        <v/>
      </c>
      <c r="B186" s="95" t="str">
        <f aca="false">IF($C186="","",Controls!$B$30)</f>
        <v/>
      </c>
      <c r="C186" s="95" t="str">
        <f aca="false">IF(MM_Income!$A189="","",MM_Income!$A189)</f>
        <v/>
      </c>
      <c r="D186" s="95" t="str">
        <f aca="false">IF($C186="","",INDEX(MM_Income!$B$5:$B$204,MATCH($C186,MM_Income!$A$5:$A$204,0)))</f>
        <v/>
      </c>
      <c r="E186" s="95" t="str">
        <f aca="false">IF($C186="","",INDEX(MM_Income!$C$5:$C$204,MATCH($C186,MM_Income!$A$5:$A$204,0)))</f>
        <v/>
      </c>
      <c r="F186" s="95" t="str">
        <f aca="false">IF($C186="","",INDEX(MM_Income!$F$5:$F$204,MATCH($C186,MM_Income!$A$5:$A$204,0)))</f>
        <v/>
      </c>
      <c r="G186" s="95" t="str">
        <f aca="false">IF($C186="","",INDEX(MM_Income!$G$5:$G$204,MATCH($C186,MM_Income!$A$5:$A$204,0)))</f>
        <v/>
      </c>
      <c r="H186" s="95" t="str">
        <f aca="false">IF($C186="","",INDEX(MM_Income!$H$5:$H$204,MATCH($C186,MM_Income!$A$5:$A$204,0)))</f>
        <v/>
      </c>
      <c r="I186" s="95" t="str">
        <f aca="false">IF($C186="","",INDEX(MM_Income!$I$5:$I$204,MATCH($C186,MM_Income!$A$5:$A$204,0)))</f>
        <v/>
      </c>
      <c r="J186" s="95" t="str">
        <f aca="false">IF($C186="","",INDEX(MM_Income!$D$5:$D$204,MATCH($C186,MM_Income!$A$5:$A$204,0)))</f>
        <v/>
      </c>
      <c r="K186" s="95" t="str">
        <f aca="false">IF($C186="","",INDEX(MM_Income!$E$5:$E$204,MATCH($C186,MM_Income!$A$5:$A$204,0)))</f>
        <v/>
      </c>
      <c r="L186" s="95" t="str">
        <f aca="false">IF($C186="","",INDEX(MM_Income!$U$5:$U$204,MATCH($C186,MM_Income!$A$5:$A$204,0)))</f>
        <v/>
      </c>
      <c r="M186" s="143" t="str">
        <f aca="false">IF($C186="","",INDEX(MM_Income!$V$5:$V$204,MATCH($C186,MM_Income!$A$5:$A$204,0)))</f>
        <v/>
      </c>
      <c r="N186" s="144" t="str">
        <f aca="false">IF($C186="","",INDEX(MM_Income!$T$5:$T$204,MATCH($C186,MM_Income!$A$5:$A$204,0)))</f>
        <v/>
      </c>
      <c r="O186" s="94" t="str">
        <f aca="false">IF($C186="","",-SUMIFS(Project_Activity!$P$2:$P$5000,Project_Activity!$C$2:$C$5000,$C186,Project_Activity!$U$2:$U$5000,"Invoiced Income",Project_Activity!$H$2:$H$5000,"&gt;="&amp;DATE(VALUE(LEFT($B186,4)),1,1),Project_Activity!$H$2:$H$5000,"&lt;="&amp;EOMONTH(DATE(VALUE(LEFT($B186,4)),VALUE(RIGHT($B186,1))*3,1),0)))</f>
        <v/>
      </c>
      <c r="P186" s="94" t="str">
        <f aca="false">IF($C186="","",SUMIFS(Project_Activity!$P$2:$P$5000,Project_Activity!$C$2:$C$5000,$C186,Project_Activity!$U$2:$U$5000,"Subcontractor",Project_Activity!$H$2:$H$5000,"&gt;="&amp;DATE(VALUE(LEFT($B186,4)),1,1),Project_Activity!$H$2:$H$5000,"&lt;="&amp;EOMONTH(DATE(VALUE(LEFT($B186,4)),VALUE(RIGHT($B186,1))*3,1),0)))</f>
        <v/>
      </c>
      <c r="Q186" s="94" t="str">
        <f aca="false">IF($C186="","",SUMIFS(Project_Activity!$P$2:$P$5000,Project_Activity!$C$2:$C$5000,$C186,Project_Activity!$U$2:$U$5000,"Project Inclusive",Project_Activity!$H$2:$H$5000,"&gt;="&amp;DATE(VALUE(LEFT($B186,4)),1,1),Project_Activity!$H$2:$H$5000,"&lt;="&amp;EOMONTH(DATE(VALUE(LEFT($B186,4)),VALUE(RIGHT($B186,1))*3,1),0)))</f>
        <v/>
      </c>
      <c r="R186" s="94" t="str">
        <f aca="false">IF($C186="","",SUMIFS(Project_Activity!$P$2:$P$5000,Project_Activity!$C$2:$C$5000,$C186,Project_Activity!$U$2:$U$5000,"Non-Recoverable",Project_Activity!$H$2:$H$5000,"&gt;="&amp;DATE(VALUE(LEFT($B186,4)),1,1),Project_Activity!$H$2:$H$5000,"&lt;="&amp;EOMONTH(DATE(VALUE(LEFT($B186,4)),VALUE(RIGHT($B186,1))*3,1),0)))</f>
        <v/>
      </c>
      <c r="S186" s="94" t="str">
        <f aca="false">IF($C186="","",$O186-$P186-$Q186-$R186)</f>
        <v/>
      </c>
      <c r="T186" s="94" t="str">
        <f aca="false">IF($C186="","",SUMIFS(Project_Activity!$P$2:$P$5000,Project_Activity!$C$2:$C$5000,$C186,Project_Activity!$U$2:$U$5000,"Recoverable",Project_Activity!$H$2:$H$5000,"&gt;="&amp;DATE(VALUE(LEFT($B186,4)),1,1),Project_Activity!$H$2:$H$5000,"&lt;="&amp;EOMONTH(DATE(VALUE(LEFT($B186,4)),VALUE(RIGHT($B186,1))*3,1),0)))</f>
        <v/>
      </c>
      <c r="U186" s="94" t="str">
        <f aca="false">IF($C186="","",-SUMIFS(Project_Activity!$P$2:$P$5000,Project_Activity!$C$2:$C$5000,$C186,Project_Activity!$U$2:$U$5000,"Recovered Expenses",Project_Activity!$H$2:$H$5000,"&gt;="&amp;DATE(VALUE(LEFT($B186,4)),1,1),Project_Activity!$H$2:$H$5000,"&lt;="&amp;EOMONTH(DATE(VALUE(LEFT($B186,4)),VALUE(RIGHT($B186,1))*3,1),0)))</f>
        <v/>
      </c>
      <c r="V186" s="145"/>
      <c r="W186" s="94" t="str">
        <f aca="false">IF($C186="","",$V186*$N186)</f>
        <v/>
      </c>
      <c r="X186" s="145"/>
      <c r="Y186" s="94" t="str">
        <f aca="false">IF($C186="","",$X186*$N186)</f>
        <v/>
      </c>
      <c r="Z186" s="145"/>
      <c r="AA186" s="94" t="str">
        <f aca="false">IF($C186="","",$Z186*$N186)</f>
        <v/>
      </c>
      <c r="AB186" s="145"/>
      <c r="AC186" s="94" t="str">
        <f aca="false">IF($C186="","",$AB186*$N186)</f>
        <v/>
      </c>
      <c r="AD186" s="94" t="str">
        <f aca="false">IF($C186="","",SUMPRODUCT((VALUE(MID($B186,7,1))&gt;={1,2,3,4})*CHOOSE({1,2,3,4},$W186,$Y186,$AA186,$AC186)))</f>
        <v/>
      </c>
      <c r="AE186" s="94" t="str">
        <f aca="false">IF($C186="","",$W186+$Y186+$AA186+$AC186-$AD186)</f>
        <v/>
      </c>
      <c r="AF186" s="146"/>
      <c r="AG186" s="146"/>
      <c r="AH186" s="146"/>
      <c r="AI186" s="147" t="str">
        <f aca="false">IF($C186="","",IF(OR($L186="Pipeline",$N186&lt;0,$O186&gt;$N186+1,($V186+$X186+$Z186+$AB186)&gt;1.0001,ISNUMBER(SEARCH("not signed",$AF186))),"REVIEW","OK"))</f>
        <v/>
      </c>
    </row>
    <row r="187" customFormat="false" ht="13.5" hidden="false" customHeight="false" outlineLevel="0" collapsed="false">
      <c r="A187" s="95" t="str">
        <f aca="false">IF($C187="","",Controls!$B$7)</f>
        <v/>
      </c>
      <c r="B187" s="95" t="str">
        <f aca="false">IF($C187="","",Controls!$B$30)</f>
        <v/>
      </c>
      <c r="C187" s="95" t="str">
        <f aca="false">IF(MM_Income!$A190="","",MM_Income!$A190)</f>
        <v/>
      </c>
      <c r="D187" s="95" t="str">
        <f aca="false">IF($C187="","",INDEX(MM_Income!$B$5:$B$204,MATCH($C187,MM_Income!$A$5:$A$204,0)))</f>
        <v/>
      </c>
      <c r="E187" s="95" t="str">
        <f aca="false">IF($C187="","",INDEX(MM_Income!$C$5:$C$204,MATCH($C187,MM_Income!$A$5:$A$204,0)))</f>
        <v/>
      </c>
      <c r="F187" s="95" t="str">
        <f aca="false">IF($C187="","",INDEX(MM_Income!$F$5:$F$204,MATCH($C187,MM_Income!$A$5:$A$204,0)))</f>
        <v/>
      </c>
      <c r="G187" s="95" t="str">
        <f aca="false">IF($C187="","",INDEX(MM_Income!$G$5:$G$204,MATCH($C187,MM_Income!$A$5:$A$204,0)))</f>
        <v/>
      </c>
      <c r="H187" s="95" t="str">
        <f aca="false">IF($C187="","",INDEX(MM_Income!$H$5:$H$204,MATCH($C187,MM_Income!$A$5:$A$204,0)))</f>
        <v/>
      </c>
      <c r="I187" s="95" t="str">
        <f aca="false">IF($C187="","",INDEX(MM_Income!$I$5:$I$204,MATCH($C187,MM_Income!$A$5:$A$204,0)))</f>
        <v/>
      </c>
      <c r="J187" s="95" t="str">
        <f aca="false">IF($C187="","",INDEX(MM_Income!$D$5:$D$204,MATCH($C187,MM_Income!$A$5:$A$204,0)))</f>
        <v/>
      </c>
      <c r="K187" s="95" t="str">
        <f aca="false">IF($C187="","",INDEX(MM_Income!$E$5:$E$204,MATCH($C187,MM_Income!$A$5:$A$204,0)))</f>
        <v/>
      </c>
      <c r="L187" s="95" t="str">
        <f aca="false">IF($C187="","",INDEX(MM_Income!$U$5:$U$204,MATCH($C187,MM_Income!$A$5:$A$204,0)))</f>
        <v/>
      </c>
      <c r="M187" s="143" t="str">
        <f aca="false">IF($C187="","",INDEX(MM_Income!$V$5:$V$204,MATCH($C187,MM_Income!$A$5:$A$204,0)))</f>
        <v/>
      </c>
      <c r="N187" s="144" t="str">
        <f aca="false">IF($C187="","",INDEX(MM_Income!$T$5:$T$204,MATCH($C187,MM_Income!$A$5:$A$204,0)))</f>
        <v/>
      </c>
      <c r="O187" s="94" t="str">
        <f aca="false">IF($C187="","",-SUMIFS(Project_Activity!$P$2:$P$5000,Project_Activity!$C$2:$C$5000,$C187,Project_Activity!$U$2:$U$5000,"Invoiced Income",Project_Activity!$H$2:$H$5000,"&gt;="&amp;DATE(VALUE(LEFT($B187,4)),1,1),Project_Activity!$H$2:$H$5000,"&lt;="&amp;EOMONTH(DATE(VALUE(LEFT($B187,4)),VALUE(RIGHT($B187,1))*3,1),0)))</f>
        <v/>
      </c>
      <c r="P187" s="94" t="str">
        <f aca="false">IF($C187="","",SUMIFS(Project_Activity!$P$2:$P$5000,Project_Activity!$C$2:$C$5000,$C187,Project_Activity!$U$2:$U$5000,"Subcontractor",Project_Activity!$H$2:$H$5000,"&gt;="&amp;DATE(VALUE(LEFT($B187,4)),1,1),Project_Activity!$H$2:$H$5000,"&lt;="&amp;EOMONTH(DATE(VALUE(LEFT($B187,4)),VALUE(RIGHT($B187,1))*3,1),0)))</f>
        <v/>
      </c>
      <c r="Q187" s="94" t="str">
        <f aca="false">IF($C187="","",SUMIFS(Project_Activity!$P$2:$P$5000,Project_Activity!$C$2:$C$5000,$C187,Project_Activity!$U$2:$U$5000,"Project Inclusive",Project_Activity!$H$2:$H$5000,"&gt;="&amp;DATE(VALUE(LEFT($B187,4)),1,1),Project_Activity!$H$2:$H$5000,"&lt;="&amp;EOMONTH(DATE(VALUE(LEFT($B187,4)),VALUE(RIGHT($B187,1))*3,1),0)))</f>
        <v/>
      </c>
      <c r="R187" s="94" t="str">
        <f aca="false">IF($C187="","",SUMIFS(Project_Activity!$P$2:$P$5000,Project_Activity!$C$2:$C$5000,$C187,Project_Activity!$U$2:$U$5000,"Non-Recoverable",Project_Activity!$H$2:$H$5000,"&gt;="&amp;DATE(VALUE(LEFT($B187,4)),1,1),Project_Activity!$H$2:$H$5000,"&lt;="&amp;EOMONTH(DATE(VALUE(LEFT($B187,4)),VALUE(RIGHT($B187,1))*3,1),0)))</f>
        <v/>
      </c>
      <c r="S187" s="94" t="str">
        <f aca="false">IF($C187="","",$O187-$P187-$Q187-$R187)</f>
        <v/>
      </c>
      <c r="T187" s="94" t="str">
        <f aca="false">IF($C187="","",SUMIFS(Project_Activity!$P$2:$P$5000,Project_Activity!$C$2:$C$5000,$C187,Project_Activity!$U$2:$U$5000,"Recoverable",Project_Activity!$H$2:$H$5000,"&gt;="&amp;DATE(VALUE(LEFT($B187,4)),1,1),Project_Activity!$H$2:$H$5000,"&lt;="&amp;EOMONTH(DATE(VALUE(LEFT($B187,4)),VALUE(RIGHT($B187,1))*3,1),0)))</f>
        <v/>
      </c>
      <c r="U187" s="94" t="str">
        <f aca="false">IF($C187="","",-SUMIFS(Project_Activity!$P$2:$P$5000,Project_Activity!$C$2:$C$5000,$C187,Project_Activity!$U$2:$U$5000,"Recovered Expenses",Project_Activity!$H$2:$H$5000,"&gt;="&amp;DATE(VALUE(LEFT($B187,4)),1,1),Project_Activity!$H$2:$H$5000,"&lt;="&amp;EOMONTH(DATE(VALUE(LEFT($B187,4)),VALUE(RIGHT($B187,1))*3,1),0)))</f>
        <v/>
      </c>
      <c r="V187" s="145"/>
      <c r="W187" s="94" t="str">
        <f aca="false">IF($C187="","",$V187*$N187)</f>
        <v/>
      </c>
      <c r="X187" s="145"/>
      <c r="Y187" s="94" t="str">
        <f aca="false">IF($C187="","",$X187*$N187)</f>
        <v/>
      </c>
      <c r="Z187" s="145"/>
      <c r="AA187" s="94" t="str">
        <f aca="false">IF($C187="","",$Z187*$N187)</f>
        <v/>
      </c>
      <c r="AB187" s="145"/>
      <c r="AC187" s="94" t="str">
        <f aca="false">IF($C187="","",$AB187*$N187)</f>
        <v/>
      </c>
      <c r="AD187" s="94" t="str">
        <f aca="false">IF($C187="","",SUMPRODUCT((VALUE(MID($B187,7,1))&gt;={1,2,3,4})*CHOOSE({1,2,3,4},$W187,$Y187,$AA187,$AC187)))</f>
        <v/>
      </c>
      <c r="AE187" s="94" t="str">
        <f aca="false">IF($C187="","",$W187+$Y187+$AA187+$AC187-$AD187)</f>
        <v/>
      </c>
      <c r="AF187" s="146"/>
      <c r="AG187" s="146"/>
      <c r="AH187" s="146"/>
      <c r="AI187" s="147" t="str">
        <f aca="false">IF($C187="","",IF(OR($L187="Pipeline",$N187&lt;0,$O187&gt;$N187+1,($V187+$X187+$Z187+$AB187)&gt;1.0001,ISNUMBER(SEARCH("not signed",$AF187))),"REVIEW","OK"))</f>
        <v/>
      </c>
    </row>
    <row r="188" customFormat="false" ht="13.5" hidden="false" customHeight="false" outlineLevel="0" collapsed="false">
      <c r="A188" s="95" t="str">
        <f aca="false">IF($C188="","",Controls!$B$7)</f>
        <v/>
      </c>
      <c r="B188" s="95" t="str">
        <f aca="false">IF($C188="","",Controls!$B$30)</f>
        <v/>
      </c>
      <c r="C188" s="95" t="str">
        <f aca="false">IF(MM_Income!$A191="","",MM_Income!$A191)</f>
        <v/>
      </c>
      <c r="D188" s="95" t="str">
        <f aca="false">IF($C188="","",INDEX(MM_Income!$B$5:$B$204,MATCH($C188,MM_Income!$A$5:$A$204,0)))</f>
        <v/>
      </c>
      <c r="E188" s="95" t="str">
        <f aca="false">IF($C188="","",INDEX(MM_Income!$C$5:$C$204,MATCH($C188,MM_Income!$A$5:$A$204,0)))</f>
        <v/>
      </c>
      <c r="F188" s="95" t="str">
        <f aca="false">IF($C188="","",INDEX(MM_Income!$F$5:$F$204,MATCH($C188,MM_Income!$A$5:$A$204,0)))</f>
        <v/>
      </c>
      <c r="G188" s="95" t="str">
        <f aca="false">IF($C188="","",INDEX(MM_Income!$G$5:$G$204,MATCH($C188,MM_Income!$A$5:$A$204,0)))</f>
        <v/>
      </c>
      <c r="H188" s="95" t="str">
        <f aca="false">IF($C188="","",INDEX(MM_Income!$H$5:$H$204,MATCH($C188,MM_Income!$A$5:$A$204,0)))</f>
        <v/>
      </c>
      <c r="I188" s="95" t="str">
        <f aca="false">IF($C188="","",INDEX(MM_Income!$I$5:$I$204,MATCH($C188,MM_Income!$A$5:$A$204,0)))</f>
        <v/>
      </c>
      <c r="J188" s="95" t="str">
        <f aca="false">IF($C188="","",INDEX(MM_Income!$D$5:$D$204,MATCH($C188,MM_Income!$A$5:$A$204,0)))</f>
        <v/>
      </c>
      <c r="K188" s="95" t="str">
        <f aca="false">IF($C188="","",INDEX(MM_Income!$E$5:$E$204,MATCH($C188,MM_Income!$A$5:$A$204,0)))</f>
        <v/>
      </c>
      <c r="L188" s="95" t="str">
        <f aca="false">IF($C188="","",INDEX(MM_Income!$U$5:$U$204,MATCH($C188,MM_Income!$A$5:$A$204,0)))</f>
        <v/>
      </c>
      <c r="M188" s="143" t="str">
        <f aca="false">IF($C188="","",INDEX(MM_Income!$V$5:$V$204,MATCH($C188,MM_Income!$A$5:$A$204,0)))</f>
        <v/>
      </c>
      <c r="N188" s="144" t="str">
        <f aca="false">IF($C188="","",INDEX(MM_Income!$T$5:$T$204,MATCH($C188,MM_Income!$A$5:$A$204,0)))</f>
        <v/>
      </c>
      <c r="O188" s="94" t="str">
        <f aca="false">IF($C188="","",-SUMIFS(Project_Activity!$P$2:$P$5000,Project_Activity!$C$2:$C$5000,$C188,Project_Activity!$U$2:$U$5000,"Invoiced Income",Project_Activity!$H$2:$H$5000,"&gt;="&amp;DATE(VALUE(LEFT($B188,4)),1,1),Project_Activity!$H$2:$H$5000,"&lt;="&amp;EOMONTH(DATE(VALUE(LEFT($B188,4)),VALUE(RIGHT($B188,1))*3,1),0)))</f>
        <v/>
      </c>
      <c r="P188" s="94" t="str">
        <f aca="false">IF($C188="","",SUMIFS(Project_Activity!$P$2:$P$5000,Project_Activity!$C$2:$C$5000,$C188,Project_Activity!$U$2:$U$5000,"Subcontractor",Project_Activity!$H$2:$H$5000,"&gt;="&amp;DATE(VALUE(LEFT($B188,4)),1,1),Project_Activity!$H$2:$H$5000,"&lt;="&amp;EOMONTH(DATE(VALUE(LEFT($B188,4)),VALUE(RIGHT($B188,1))*3,1),0)))</f>
        <v/>
      </c>
      <c r="Q188" s="94" t="str">
        <f aca="false">IF($C188="","",SUMIFS(Project_Activity!$P$2:$P$5000,Project_Activity!$C$2:$C$5000,$C188,Project_Activity!$U$2:$U$5000,"Project Inclusive",Project_Activity!$H$2:$H$5000,"&gt;="&amp;DATE(VALUE(LEFT($B188,4)),1,1),Project_Activity!$H$2:$H$5000,"&lt;="&amp;EOMONTH(DATE(VALUE(LEFT($B188,4)),VALUE(RIGHT($B188,1))*3,1),0)))</f>
        <v/>
      </c>
      <c r="R188" s="94" t="str">
        <f aca="false">IF($C188="","",SUMIFS(Project_Activity!$P$2:$P$5000,Project_Activity!$C$2:$C$5000,$C188,Project_Activity!$U$2:$U$5000,"Non-Recoverable",Project_Activity!$H$2:$H$5000,"&gt;="&amp;DATE(VALUE(LEFT($B188,4)),1,1),Project_Activity!$H$2:$H$5000,"&lt;="&amp;EOMONTH(DATE(VALUE(LEFT($B188,4)),VALUE(RIGHT($B188,1))*3,1),0)))</f>
        <v/>
      </c>
      <c r="S188" s="94" t="str">
        <f aca="false">IF($C188="","",$O188-$P188-$Q188-$R188)</f>
        <v/>
      </c>
      <c r="T188" s="94" t="str">
        <f aca="false">IF($C188="","",SUMIFS(Project_Activity!$P$2:$P$5000,Project_Activity!$C$2:$C$5000,$C188,Project_Activity!$U$2:$U$5000,"Recoverable",Project_Activity!$H$2:$H$5000,"&gt;="&amp;DATE(VALUE(LEFT($B188,4)),1,1),Project_Activity!$H$2:$H$5000,"&lt;="&amp;EOMONTH(DATE(VALUE(LEFT($B188,4)),VALUE(RIGHT($B188,1))*3,1),0)))</f>
        <v/>
      </c>
      <c r="U188" s="94" t="str">
        <f aca="false">IF($C188="","",-SUMIFS(Project_Activity!$P$2:$P$5000,Project_Activity!$C$2:$C$5000,$C188,Project_Activity!$U$2:$U$5000,"Recovered Expenses",Project_Activity!$H$2:$H$5000,"&gt;="&amp;DATE(VALUE(LEFT($B188,4)),1,1),Project_Activity!$H$2:$H$5000,"&lt;="&amp;EOMONTH(DATE(VALUE(LEFT($B188,4)),VALUE(RIGHT($B188,1))*3,1),0)))</f>
        <v/>
      </c>
      <c r="V188" s="145"/>
      <c r="W188" s="94" t="str">
        <f aca="false">IF($C188="","",$V188*$N188)</f>
        <v/>
      </c>
      <c r="X188" s="145"/>
      <c r="Y188" s="94" t="str">
        <f aca="false">IF($C188="","",$X188*$N188)</f>
        <v/>
      </c>
      <c r="Z188" s="145"/>
      <c r="AA188" s="94" t="str">
        <f aca="false">IF($C188="","",$Z188*$N188)</f>
        <v/>
      </c>
      <c r="AB188" s="145"/>
      <c r="AC188" s="94" t="str">
        <f aca="false">IF($C188="","",$AB188*$N188)</f>
        <v/>
      </c>
      <c r="AD188" s="94" t="str">
        <f aca="false">IF($C188="","",SUMPRODUCT((VALUE(MID($B188,7,1))&gt;={1,2,3,4})*CHOOSE({1,2,3,4},$W188,$Y188,$AA188,$AC188)))</f>
        <v/>
      </c>
      <c r="AE188" s="94" t="str">
        <f aca="false">IF($C188="","",$W188+$Y188+$AA188+$AC188-$AD188)</f>
        <v/>
      </c>
      <c r="AF188" s="146"/>
      <c r="AG188" s="146"/>
      <c r="AH188" s="146"/>
      <c r="AI188" s="147" t="str">
        <f aca="false">IF($C188="","",IF(OR($L188="Pipeline",$N188&lt;0,$O188&gt;$N188+1,($V188+$X188+$Z188+$AB188)&gt;1.0001,ISNUMBER(SEARCH("not signed",$AF188))),"REVIEW","OK"))</f>
        <v/>
      </c>
    </row>
    <row r="189" customFormat="false" ht="13.5" hidden="false" customHeight="false" outlineLevel="0" collapsed="false">
      <c r="A189" s="95" t="str">
        <f aca="false">IF($C189="","",Controls!$B$7)</f>
        <v/>
      </c>
      <c r="B189" s="95" t="str">
        <f aca="false">IF($C189="","",Controls!$B$30)</f>
        <v/>
      </c>
      <c r="C189" s="95" t="str">
        <f aca="false">IF(MM_Income!$A192="","",MM_Income!$A192)</f>
        <v/>
      </c>
      <c r="D189" s="95" t="str">
        <f aca="false">IF($C189="","",INDEX(MM_Income!$B$5:$B$204,MATCH($C189,MM_Income!$A$5:$A$204,0)))</f>
        <v/>
      </c>
      <c r="E189" s="95" t="str">
        <f aca="false">IF($C189="","",INDEX(MM_Income!$C$5:$C$204,MATCH($C189,MM_Income!$A$5:$A$204,0)))</f>
        <v/>
      </c>
      <c r="F189" s="95" t="str">
        <f aca="false">IF($C189="","",INDEX(MM_Income!$F$5:$F$204,MATCH($C189,MM_Income!$A$5:$A$204,0)))</f>
        <v/>
      </c>
      <c r="G189" s="95" t="str">
        <f aca="false">IF($C189="","",INDEX(MM_Income!$G$5:$G$204,MATCH($C189,MM_Income!$A$5:$A$204,0)))</f>
        <v/>
      </c>
      <c r="H189" s="95" t="str">
        <f aca="false">IF($C189="","",INDEX(MM_Income!$H$5:$H$204,MATCH($C189,MM_Income!$A$5:$A$204,0)))</f>
        <v/>
      </c>
      <c r="I189" s="95" t="str">
        <f aca="false">IF($C189="","",INDEX(MM_Income!$I$5:$I$204,MATCH($C189,MM_Income!$A$5:$A$204,0)))</f>
        <v/>
      </c>
      <c r="J189" s="95" t="str">
        <f aca="false">IF($C189="","",INDEX(MM_Income!$D$5:$D$204,MATCH($C189,MM_Income!$A$5:$A$204,0)))</f>
        <v/>
      </c>
      <c r="K189" s="95" t="str">
        <f aca="false">IF($C189="","",INDEX(MM_Income!$E$5:$E$204,MATCH($C189,MM_Income!$A$5:$A$204,0)))</f>
        <v/>
      </c>
      <c r="L189" s="95" t="str">
        <f aca="false">IF($C189="","",INDEX(MM_Income!$U$5:$U$204,MATCH($C189,MM_Income!$A$5:$A$204,0)))</f>
        <v/>
      </c>
      <c r="M189" s="143" t="str">
        <f aca="false">IF($C189="","",INDEX(MM_Income!$V$5:$V$204,MATCH($C189,MM_Income!$A$5:$A$204,0)))</f>
        <v/>
      </c>
      <c r="N189" s="144" t="str">
        <f aca="false">IF($C189="","",INDEX(MM_Income!$T$5:$T$204,MATCH($C189,MM_Income!$A$5:$A$204,0)))</f>
        <v/>
      </c>
      <c r="O189" s="94" t="str">
        <f aca="false">IF($C189="","",-SUMIFS(Project_Activity!$P$2:$P$5000,Project_Activity!$C$2:$C$5000,$C189,Project_Activity!$U$2:$U$5000,"Invoiced Income",Project_Activity!$H$2:$H$5000,"&gt;="&amp;DATE(VALUE(LEFT($B189,4)),1,1),Project_Activity!$H$2:$H$5000,"&lt;="&amp;EOMONTH(DATE(VALUE(LEFT($B189,4)),VALUE(RIGHT($B189,1))*3,1),0)))</f>
        <v/>
      </c>
      <c r="P189" s="94" t="str">
        <f aca="false">IF($C189="","",SUMIFS(Project_Activity!$P$2:$P$5000,Project_Activity!$C$2:$C$5000,$C189,Project_Activity!$U$2:$U$5000,"Subcontractor",Project_Activity!$H$2:$H$5000,"&gt;="&amp;DATE(VALUE(LEFT($B189,4)),1,1),Project_Activity!$H$2:$H$5000,"&lt;="&amp;EOMONTH(DATE(VALUE(LEFT($B189,4)),VALUE(RIGHT($B189,1))*3,1),0)))</f>
        <v/>
      </c>
      <c r="Q189" s="94" t="str">
        <f aca="false">IF($C189="","",SUMIFS(Project_Activity!$P$2:$P$5000,Project_Activity!$C$2:$C$5000,$C189,Project_Activity!$U$2:$U$5000,"Project Inclusive",Project_Activity!$H$2:$H$5000,"&gt;="&amp;DATE(VALUE(LEFT($B189,4)),1,1),Project_Activity!$H$2:$H$5000,"&lt;="&amp;EOMONTH(DATE(VALUE(LEFT($B189,4)),VALUE(RIGHT($B189,1))*3,1),0)))</f>
        <v/>
      </c>
      <c r="R189" s="94" t="str">
        <f aca="false">IF($C189="","",SUMIFS(Project_Activity!$P$2:$P$5000,Project_Activity!$C$2:$C$5000,$C189,Project_Activity!$U$2:$U$5000,"Non-Recoverable",Project_Activity!$H$2:$H$5000,"&gt;="&amp;DATE(VALUE(LEFT($B189,4)),1,1),Project_Activity!$H$2:$H$5000,"&lt;="&amp;EOMONTH(DATE(VALUE(LEFT($B189,4)),VALUE(RIGHT($B189,1))*3,1),0)))</f>
        <v/>
      </c>
      <c r="S189" s="94" t="str">
        <f aca="false">IF($C189="","",$O189-$P189-$Q189-$R189)</f>
        <v/>
      </c>
      <c r="T189" s="94" t="str">
        <f aca="false">IF($C189="","",SUMIFS(Project_Activity!$P$2:$P$5000,Project_Activity!$C$2:$C$5000,$C189,Project_Activity!$U$2:$U$5000,"Recoverable",Project_Activity!$H$2:$H$5000,"&gt;="&amp;DATE(VALUE(LEFT($B189,4)),1,1),Project_Activity!$H$2:$H$5000,"&lt;="&amp;EOMONTH(DATE(VALUE(LEFT($B189,4)),VALUE(RIGHT($B189,1))*3,1),0)))</f>
        <v/>
      </c>
      <c r="U189" s="94" t="str">
        <f aca="false">IF($C189="","",-SUMIFS(Project_Activity!$P$2:$P$5000,Project_Activity!$C$2:$C$5000,$C189,Project_Activity!$U$2:$U$5000,"Recovered Expenses",Project_Activity!$H$2:$H$5000,"&gt;="&amp;DATE(VALUE(LEFT($B189,4)),1,1),Project_Activity!$H$2:$H$5000,"&lt;="&amp;EOMONTH(DATE(VALUE(LEFT($B189,4)),VALUE(RIGHT($B189,1))*3,1),0)))</f>
        <v/>
      </c>
      <c r="V189" s="145"/>
      <c r="W189" s="94" t="str">
        <f aca="false">IF($C189="","",$V189*$N189)</f>
        <v/>
      </c>
      <c r="X189" s="145"/>
      <c r="Y189" s="94" t="str">
        <f aca="false">IF($C189="","",$X189*$N189)</f>
        <v/>
      </c>
      <c r="Z189" s="145"/>
      <c r="AA189" s="94" t="str">
        <f aca="false">IF($C189="","",$Z189*$N189)</f>
        <v/>
      </c>
      <c r="AB189" s="145"/>
      <c r="AC189" s="94" t="str">
        <f aca="false">IF($C189="","",$AB189*$N189)</f>
        <v/>
      </c>
      <c r="AD189" s="94" t="str">
        <f aca="false">IF($C189="","",SUMPRODUCT((VALUE(MID($B189,7,1))&gt;={1,2,3,4})*CHOOSE({1,2,3,4},$W189,$Y189,$AA189,$AC189)))</f>
        <v/>
      </c>
      <c r="AE189" s="94" t="str">
        <f aca="false">IF($C189="","",$W189+$Y189+$AA189+$AC189-$AD189)</f>
        <v/>
      </c>
      <c r="AF189" s="146"/>
      <c r="AG189" s="146"/>
      <c r="AH189" s="146"/>
      <c r="AI189" s="147" t="str">
        <f aca="false">IF($C189="","",IF(OR($L189="Pipeline",$N189&lt;0,$O189&gt;$N189+1,($V189+$X189+$Z189+$AB189)&gt;1.0001,ISNUMBER(SEARCH("not signed",$AF189))),"REVIEW","OK"))</f>
        <v/>
      </c>
    </row>
    <row r="190" customFormat="false" ht="13.5" hidden="false" customHeight="false" outlineLevel="0" collapsed="false">
      <c r="A190" s="95" t="str">
        <f aca="false">IF($C190="","",Controls!$B$7)</f>
        <v/>
      </c>
      <c r="B190" s="95" t="str">
        <f aca="false">IF($C190="","",Controls!$B$30)</f>
        <v/>
      </c>
      <c r="C190" s="95" t="str">
        <f aca="false">IF(MM_Income!$A193="","",MM_Income!$A193)</f>
        <v/>
      </c>
      <c r="D190" s="95" t="str">
        <f aca="false">IF($C190="","",INDEX(MM_Income!$B$5:$B$204,MATCH($C190,MM_Income!$A$5:$A$204,0)))</f>
        <v/>
      </c>
      <c r="E190" s="95" t="str">
        <f aca="false">IF($C190="","",INDEX(MM_Income!$C$5:$C$204,MATCH($C190,MM_Income!$A$5:$A$204,0)))</f>
        <v/>
      </c>
      <c r="F190" s="95" t="str">
        <f aca="false">IF($C190="","",INDEX(MM_Income!$F$5:$F$204,MATCH($C190,MM_Income!$A$5:$A$204,0)))</f>
        <v/>
      </c>
      <c r="G190" s="95" t="str">
        <f aca="false">IF($C190="","",INDEX(MM_Income!$G$5:$G$204,MATCH($C190,MM_Income!$A$5:$A$204,0)))</f>
        <v/>
      </c>
      <c r="H190" s="95" t="str">
        <f aca="false">IF($C190="","",INDEX(MM_Income!$H$5:$H$204,MATCH($C190,MM_Income!$A$5:$A$204,0)))</f>
        <v/>
      </c>
      <c r="I190" s="95" t="str">
        <f aca="false">IF($C190="","",INDEX(MM_Income!$I$5:$I$204,MATCH($C190,MM_Income!$A$5:$A$204,0)))</f>
        <v/>
      </c>
      <c r="J190" s="95" t="str">
        <f aca="false">IF($C190="","",INDEX(MM_Income!$D$5:$D$204,MATCH($C190,MM_Income!$A$5:$A$204,0)))</f>
        <v/>
      </c>
      <c r="K190" s="95" t="str">
        <f aca="false">IF($C190="","",INDEX(MM_Income!$E$5:$E$204,MATCH($C190,MM_Income!$A$5:$A$204,0)))</f>
        <v/>
      </c>
      <c r="L190" s="95" t="str">
        <f aca="false">IF($C190="","",INDEX(MM_Income!$U$5:$U$204,MATCH($C190,MM_Income!$A$5:$A$204,0)))</f>
        <v/>
      </c>
      <c r="M190" s="143" t="str">
        <f aca="false">IF($C190="","",INDEX(MM_Income!$V$5:$V$204,MATCH($C190,MM_Income!$A$5:$A$204,0)))</f>
        <v/>
      </c>
      <c r="N190" s="144" t="str">
        <f aca="false">IF($C190="","",INDEX(MM_Income!$T$5:$T$204,MATCH($C190,MM_Income!$A$5:$A$204,0)))</f>
        <v/>
      </c>
      <c r="O190" s="94" t="str">
        <f aca="false">IF($C190="","",-SUMIFS(Project_Activity!$P$2:$P$5000,Project_Activity!$C$2:$C$5000,$C190,Project_Activity!$U$2:$U$5000,"Invoiced Income",Project_Activity!$H$2:$H$5000,"&gt;="&amp;DATE(VALUE(LEFT($B190,4)),1,1),Project_Activity!$H$2:$H$5000,"&lt;="&amp;EOMONTH(DATE(VALUE(LEFT($B190,4)),VALUE(RIGHT($B190,1))*3,1),0)))</f>
        <v/>
      </c>
      <c r="P190" s="94" t="str">
        <f aca="false">IF($C190="","",SUMIFS(Project_Activity!$P$2:$P$5000,Project_Activity!$C$2:$C$5000,$C190,Project_Activity!$U$2:$U$5000,"Subcontractor",Project_Activity!$H$2:$H$5000,"&gt;="&amp;DATE(VALUE(LEFT($B190,4)),1,1),Project_Activity!$H$2:$H$5000,"&lt;="&amp;EOMONTH(DATE(VALUE(LEFT($B190,4)),VALUE(RIGHT($B190,1))*3,1),0)))</f>
        <v/>
      </c>
      <c r="Q190" s="94" t="str">
        <f aca="false">IF($C190="","",SUMIFS(Project_Activity!$P$2:$P$5000,Project_Activity!$C$2:$C$5000,$C190,Project_Activity!$U$2:$U$5000,"Project Inclusive",Project_Activity!$H$2:$H$5000,"&gt;="&amp;DATE(VALUE(LEFT($B190,4)),1,1),Project_Activity!$H$2:$H$5000,"&lt;="&amp;EOMONTH(DATE(VALUE(LEFT($B190,4)),VALUE(RIGHT($B190,1))*3,1),0)))</f>
        <v/>
      </c>
      <c r="R190" s="94" t="str">
        <f aca="false">IF($C190="","",SUMIFS(Project_Activity!$P$2:$P$5000,Project_Activity!$C$2:$C$5000,$C190,Project_Activity!$U$2:$U$5000,"Non-Recoverable",Project_Activity!$H$2:$H$5000,"&gt;="&amp;DATE(VALUE(LEFT($B190,4)),1,1),Project_Activity!$H$2:$H$5000,"&lt;="&amp;EOMONTH(DATE(VALUE(LEFT($B190,4)),VALUE(RIGHT($B190,1))*3,1),0)))</f>
        <v/>
      </c>
      <c r="S190" s="94" t="str">
        <f aca="false">IF($C190="","",$O190-$P190-$Q190-$R190)</f>
        <v/>
      </c>
      <c r="T190" s="94" t="str">
        <f aca="false">IF($C190="","",SUMIFS(Project_Activity!$P$2:$P$5000,Project_Activity!$C$2:$C$5000,$C190,Project_Activity!$U$2:$U$5000,"Recoverable",Project_Activity!$H$2:$H$5000,"&gt;="&amp;DATE(VALUE(LEFT($B190,4)),1,1),Project_Activity!$H$2:$H$5000,"&lt;="&amp;EOMONTH(DATE(VALUE(LEFT($B190,4)),VALUE(RIGHT($B190,1))*3,1),0)))</f>
        <v/>
      </c>
      <c r="U190" s="94" t="str">
        <f aca="false">IF($C190="","",-SUMIFS(Project_Activity!$P$2:$P$5000,Project_Activity!$C$2:$C$5000,$C190,Project_Activity!$U$2:$U$5000,"Recovered Expenses",Project_Activity!$H$2:$H$5000,"&gt;="&amp;DATE(VALUE(LEFT($B190,4)),1,1),Project_Activity!$H$2:$H$5000,"&lt;="&amp;EOMONTH(DATE(VALUE(LEFT($B190,4)),VALUE(RIGHT($B190,1))*3,1),0)))</f>
        <v/>
      </c>
      <c r="V190" s="145"/>
      <c r="W190" s="94" t="str">
        <f aca="false">IF($C190="","",$V190*$N190)</f>
        <v/>
      </c>
      <c r="X190" s="145"/>
      <c r="Y190" s="94" t="str">
        <f aca="false">IF($C190="","",$X190*$N190)</f>
        <v/>
      </c>
      <c r="Z190" s="145"/>
      <c r="AA190" s="94" t="str">
        <f aca="false">IF($C190="","",$Z190*$N190)</f>
        <v/>
      </c>
      <c r="AB190" s="145"/>
      <c r="AC190" s="94" t="str">
        <f aca="false">IF($C190="","",$AB190*$N190)</f>
        <v/>
      </c>
      <c r="AD190" s="94" t="str">
        <f aca="false">IF($C190="","",SUMPRODUCT((VALUE(MID($B190,7,1))&gt;={1,2,3,4})*CHOOSE({1,2,3,4},$W190,$Y190,$AA190,$AC190)))</f>
        <v/>
      </c>
      <c r="AE190" s="94" t="str">
        <f aca="false">IF($C190="","",$W190+$Y190+$AA190+$AC190-$AD190)</f>
        <v/>
      </c>
      <c r="AF190" s="146"/>
      <c r="AG190" s="146"/>
      <c r="AH190" s="146"/>
      <c r="AI190" s="147" t="str">
        <f aca="false">IF($C190="","",IF(OR($L190="Pipeline",$N190&lt;0,$O190&gt;$N190+1,($V190+$X190+$Z190+$AB190)&gt;1.0001,ISNUMBER(SEARCH("not signed",$AF190))),"REVIEW","OK"))</f>
        <v/>
      </c>
    </row>
    <row r="191" customFormat="false" ht="13.5" hidden="false" customHeight="false" outlineLevel="0" collapsed="false">
      <c r="A191" s="95" t="str">
        <f aca="false">IF($C191="","",Controls!$B$7)</f>
        <v/>
      </c>
      <c r="B191" s="95" t="str">
        <f aca="false">IF($C191="","",Controls!$B$30)</f>
        <v/>
      </c>
      <c r="C191" s="95" t="str">
        <f aca="false">IF(MM_Income!$A194="","",MM_Income!$A194)</f>
        <v/>
      </c>
      <c r="D191" s="95" t="str">
        <f aca="false">IF($C191="","",INDEX(MM_Income!$B$5:$B$204,MATCH($C191,MM_Income!$A$5:$A$204,0)))</f>
        <v/>
      </c>
      <c r="E191" s="95" t="str">
        <f aca="false">IF($C191="","",INDEX(MM_Income!$C$5:$C$204,MATCH($C191,MM_Income!$A$5:$A$204,0)))</f>
        <v/>
      </c>
      <c r="F191" s="95" t="str">
        <f aca="false">IF($C191="","",INDEX(MM_Income!$F$5:$F$204,MATCH($C191,MM_Income!$A$5:$A$204,0)))</f>
        <v/>
      </c>
      <c r="G191" s="95" t="str">
        <f aca="false">IF($C191="","",INDEX(MM_Income!$G$5:$G$204,MATCH($C191,MM_Income!$A$5:$A$204,0)))</f>
        <v/>
      </c>
      <c r="H191" s="95" t="str">
        <f aca="false">IF($C191="","",INDEX(MM_Income!$H$5:$H$204,MATCH($C191,MM_Income!$A$5:$A$204,0)))</f>
        <v/>
      </c>
      <c r="I191" s="95" t="str">
        <f aca="false">IF($C191="","",INDEX(MM_Income!$I$5:$I$204,MATCH($C191,MM_Income!$A$5:$A$204,0)))</f>
        <v/>
      </c>
      <c r="J191" s="95" t="str">
        <f aca="false">IF($C191="","",INDEX(MM_Income!$D$5:$D$204,MATCH($C191,MM_Income!$A$5:$A$204,0)))</f>
        <v/>
      </c>
      <c r="K191" s="95" t="str">
        <f aca="false">IF($C191="","",INDEX(MM_Income!$E$5:$E$204,MATCH($C191,MM_Income!$A$5:$A$204,0)))</f>
        <v/>
      </c>
      <c r="L191" s="95" t="str">
        <f aca="false">IF($C191="","",INDEX(MM_Income!$U$5:$U$204,MATCH($C191,MM_Income!$A$5:$A$204,0)))</f>
        <v/>
      </c>
      <c r="M191" s="143" t="str">
        <f aca="false">IF($C191="","",INDEX(MM_Income!$V$5:$V$204,MATCH($C191,MM_Income!$A$5:$A$204,0)))</f>
        <v/>
      </c>
      <c r="N191" s="144" t="str">
        <f aca="false">IF($C191="","",INDEX(MM_Income!$T$5:$T$204,MATCH($C191,MM_Income!$A$5:$A$204,0)))</f>
        <v/>
      </c>
      <c r="O191" s="94" t="str">
        <f aca="false">IF($C191="","",-SUMIFS(Project_Activity!$P$2:$P$5000,Project_Activity!$C$2:$C$5000,$C191,Project_Activity!$U$2:$U$5000,"Invoiced Income",Project_Activity!$H$2:$H$5000,"&gt;="&amp;DATE(VALUE(LEFT($B191,4)),1,1),Project_Activity!$H$2:$H$5000,"&lt;="&amp;EOMONTH(DATE(VALUE(LEFT($B191,4)),VALUE(RIGHT($B191,1))*3,1),0)))</f>
        <v/>
      </c>
      <c r="P191" s="94" t="str">
        <f aca="false">IF($C191="","",SUMIFS(Project_Activity!$P$2:$P$5000,Project_Activity!$C$2:$C$5000,$C191,Project_Activity!$U$2:$U$5000,"Subcontractor",Project_Activity!$H$2:$H$5000,"&gt;="&amp;DATE(VALUE(LEFT($B191,4)),1,1),Project_Activity!$H$2:$H$5000,"&lt;="&amp;EOMONTH(DATE(VALUE(LEFT($B191,4)),VALUE(RIGHT($B191,1))*3,1),0)))</f>
        <v/>
      </c>
      <c r="Q191" s="94" t="str">
        <f aca="false">IF($C191="","",SUMIFS(Project_Activity!$P$2:$P$5000,Project_Activity!$C$2:$C$5000,$C191,Project_Activity!$U$2:$U$5000,"Project Inclusive",Project_Activity!$H$2:$H$5000,"&gt;="&amp;DATE(VALUE(LEFT($B191,4)),1,1),Project_Activity!$H$2:$H$5000,"&lt;="&amp;EOMONTH(DATE(VALUE(LEFT($B191,4)),VALUE(RIGHT($B191,1))*3,1),0)))</f>
        <v/>
      </c>
      <c r="R191" s="94" t="str">
        <f aca="false">IF($C191="","",SUMIFS(Project_Activity!$P$2:$P$5000,Project_Activity!$C$2:$C$5000,$C191,Project_Activity!$U$2:$U$5000,"Non-Recoverable",Project_Activity!$H$2:$H$5000,"&gt;="&amp;DATE(VALUE(LEFT($B191,4)),1,1),Project_Activity!$H$2:$H$5000,"&lt;="&amp;EOMONTH(DATE(VALUE(LEFT($B191,4)),VALUE(RIGHT($B191,1))*3,1),0)))</f>
        <v/>
      </c>
      <c r="S191" s="94" t="str">
        <f aca="false">IF($C191="","",$O191-$P191-$Q191-$R191)</f>
        <v/>
      </c>
      <c r="T191" s="94" t="str">
        <f aca="false">IF($C191="","",SUMIFS(Project_Activity!$P$2:$P$5000,Project_Activity!$C$2:$C$5000,$C191,Project_Activity!$U$2:$U$5000,"Recoverable",Project_Activity!$H$2:$H$5000,"&gt;="&amp;DATE(VALUE(LEFT($B191,4)),1,1),Project_Activity!$H$2:$H$5000,"&lt;="&amp;EOMONTH(DATE(VALUE(LEFT($B191,4)),VALUE(RIGHT($B191,1))*3,1),0)))</f>
        <v/>
      </c>
      <c r="U191" s="94" t="str">
        <f aca="false">IF($C191="","",-SUMIFS(Project_Activity!$P$2:$P$5000,Project_Activity!$C$2:$C$5000,$C191,Project_Activity!$U$2:$U$5000,"Recovered Expenses",Project_Activity!$H$2:$H$5000,"&gt;="&amp;DATE(VALUE(LEFT($B191,4)),1,1),Project_Activity!$H$2:$H$5000,"&lt;="&amp;EOMONTH(DATE(VALUE(LEFT($B191,4)),VALUE(RIGHT($B191,1))*3,1),0)))</f>
        <v/>
      </c>
      <c r="V191" s="145"/>
      <c r="W191" s="94" t="str">
        <f aca="false">IF($C191="","",$V191*$N191)</f>
        <v/>
      </c>
      <c r="X191" s="145"/>
      <c r="Y191" s="94" t="str">
        <f aca="false">IF($C191="","",$X191*$N191)</f>
        <v/>
      </c>
      <c r="Z191" s="145"/>
      <c r="AA191" s="94" t="str">
        <f aca="false">IF($C191="","",$Z191*$N191)</f>
        <v/>
      </c>
      <c r="AB191" s="145"/>
      <c r="AC191" s="94" t="str">
        <f aca="false">IF($C191="","",$AB191*$N191)</f>
        <v/>
      </c>
      <c r="AD191" s="94" t="str">
        <f aca="false">IF($C191="","",SUMPRODUCT((VALUE(MID($B191,7,1))&gt;={1,2,3,4})*CHOOSE({1,2,3,4},$W191,$Y191,$AA191,$AC191)))</f>
        <v/>
      </c>
      <c r="AE191" s="94" t="str">
        <f aca="false">IF($C191="","",$W191+$Y191+$AA191+$AC191-$AD191)</f>
        <v/>
      </c>
      <c r="AF191" s="146"/>
      <c r="AG191" s="146"/>
      <c r="AH191" s="146"/>
      <c r="AI191" s="147" t="str">
        <f aca="false">IF($C191="","",IF(OR($L191="Pipeline",$N191&lt;0,$O191&gt;$N191+1,($V191+$X191+$Z191+$AB191)&gt;1.0001,ISNUMBER(SEARCH("not signed",$AF191))),"REVIEW","OK"))</f>
        <v/>
      </c>
    </row>
    <row r="192" customFormat="false" ht="13.5" hidden="false" customHeight="false" outlineLevel="0" collapsed="false">
      <c r="A192" s="95" t="str">
        <f aca="false">IF($C192="","",Controls!$B$7)</f>
        <v/>
      </c>
      <c r="B192" s="95" t="str">
        <f aca="false">IF($C192="","",Controls!$B$30)</f>
        <v/>
      </c>
      <c r="C192" s="95" t="str">
        <f aca="false">IF(MM_Income!$A195="","",MM_Income!$A195)</f>
        <v/>
      </c>
      <c r="D192" s="95" t="str">
        <f aca="false">IF($C192="","",INDEX(MM_Income!$B$5:$B$204,MATCH($C192,MM_Income!$A$5:$A$204,0)))</f>
        <v/>
      </c>
      <c r="E192" s="95" t="str">
        <f aca="false">IF($C192="","",INDEX(MM_Income!$C$5:$C$204,MATCH($C192,MM_Income!$A$5:$A$204,0)))</f>
        <v/>
      </c>
      <c r="F192" s="95" t="str">
        <f aca="false">IF($C192="","",INDEX(MM_Income!$F$5:$F$204,MATCH($C192,MM_Income!$A$5:$A$204,0)))</f>
        <v/>
      </c>
      <c r="G192" s="95" t="str">
        <f aca="false">IF($C192="","",INDEX(MM_Income!$G$5:$G$204,MATCH($C192,MM_Income!$A$5:$A$204,0)))</f>
        <v/>
      </c>
      <c r="H192" s="95" t="str">
        <f aca="false">IF($C192="","",INDEX(MM_Income!$H$5:$H$204,MATCH($C192,MM_Income!$A$5:$A$204,0)))</f>
        <v/>
      </c>
      <c r="I192" s="95" t="str">
        <f aca="false">IF($C192="","",INDEX(MM_Income!$I$5:$I$204,MATCH($C192,MM_Income!$A$5:$A$204,0)))</f>
        <v/>
      </c>
      <c r="J192" s="95" t="str">
        <f aca="false">IF($C192="","",INDEX(MM_Income!$D$5:$D$204,MATCH($C192,MM_Income!$A$5:$A$204,0)))</f>
        <v/>
      </c>
      <c r="K192" s="95" t="str">
        <f aca="false">IF($C192="","",INDEX(MM_Income!$E$5:$E$204,MATCH($C192,MM_Income!$A$5:$A$204,0)))</f>
        <v/>
      </c>
      <c r="L192" s="95" t="str">
        <f aca="false">IF($C192="","",INDEX(MM_Income!$U$5:$U$204,MATCH($C192,MM_Income!$A$5:$A$204,0)))</f>
        <v/>
      </c>
      <c r="M192" s="143" t="str">
        <f aca="false">IF($C192="","",INDEX(MM_Income!$V$5:$V$204,MATCH($C192,MM_Income!$A$5:$A$204,0)))</f>
        <v/>
      </c>
      <c r="N192" s="144" t="str">
        <f aca="false">IF($C192="","",INDEX(MM_Income!$T$5:$T$204,MATCH($C192,MM_Income!$A$5:$A$204,0)))</f>
        <v/>
      </c>
      <c r="O192" s="94" t="str">
        <f aca="false">IF($C192="","",-SUMIFS(Project_Activity!$P$2:$P$5000,Project_Activity!$C$2:$C$5000,$C192,Project_Activity!$U$2:$U$5000,"Invoiced Income",Project_Activity!$H$2:$H$5000,"&gt;="&amp;DATE(VALUE(LEFT($B192,4)),1,1),Project_Activity!$H$2:$H$5000,"&lt;="&amp;EOMONTH(DATE(VALUE(LEFT($B192,4)),VALUE(RIGHT($B192,1))*3,1),0)))</f>
        <v/>
      </c>
      <c r="P192" s="94" t="str">
        <f aca="false">IF($C192="","",SUMIFS(Project_Activity!$P$2:$P$5000,Project_Activity!$C$2:$C$5000,$C192,Project_Activity!$U$2:$U$5000,"Subcontractor",Project_Activity!$H$2:$H$5000,"&gt;="&amp;DATE(VALUE(LEFT($B192,4)),1,1),Project_Activity!$H$2:$H$5000,"&lt;="&amp;EOMONTH(DATE(VALUE(LEFT($B192,4)),VALUE(RIGHT($B192,1))*3,1),0)))</f>
        <v/>
      </c>
      <c r="Q192" s="94" t="str">
        <f aca="false">IF($C192="","",SUMIFS(Project_Activity!$P$2:$P$5000,Project_Activity!$C$2:$C$5000,$C192,Project_Activity!$U$2:$U$5000,"Project Inclusive",Project_Activity!$H$2:$H$5000,"&gt;="&amp;DATE(VALUE(LEFT($B192,4)),1,1),Project_Activity!$H$2:$H$5000,"&lt;="&amp;EOMONTH(DATE(VALUE(LEFT($B192,4)),VALUE(RIGHT($B192,1))*3,1),0)))</f>
        <v/>
      </c>
      <c r="R192" s="94" t="str">
        <f aca="false">IF($C192="","",SUMIFS(Project_Activity!$P$2:$P$5000,Project_Activity!$C$2:$C$5000,$C192,Project_Activity!$U$2:$U$5000,"Non-Recoverable",Project_Activity!$H$2:$H$5000,"&gt;="&amp;DATE(VALUE(LEFT($B192,4)),1,1),Project_Activity!$H$2:$H$5000,"&lt;="&amp;EOMONTH(DATE(VALUE(LEFT($B192,4)),VALUE(RIGHT($B192,1))*3,1),0)))</f>
        <v/>
      </c>
      <c r="S192" s="94" t="str">
        <f aca="false">IF($C192="","",$O192-$P192-$Q192-$R192)</f>
        <v/>
      </c>
      <c r="T192" s="94" t="str">
        <f aca="false">IF($C192="","",SUMIFS(Project_Activity!$P$2:$P$5000,Project_Activity!$C$2:$C$5000,$C192,Project_Activity!$U$2:$U$5000,"Recoverable",Project_Activity!$H$2:$H$5000,"&gt;="&amp;DATE(VALUE(LEFT($B192,4)),1,1),Project_Activity!$H$2:$H$5000,"&lt;="&amp;EOMONTH(DATE(VALUE(LEFT($B192,4)),VALUE(RIGHT($B192,1))*3,1),0)))</f>
        <v/>
      </c>
      <c r="U192" s="94" t="str">
        <f aca="false">IF($C192="","",-SUMIFS(Project_Activity!$P$2:$P$5000,Project_Activity!$C$2:$C$5000,$C192,Project_Activity!$U$2:$U$5000,"Recovered Expenses",Project_Activity!$H$2:$H$5000,"&gt;="&amp;DATE(VALUE(LEFT($B192,4)),1,1),Project_Activity!$H$2:$H$5000,"&lt;="&amp;EOMONTH(DATE(VALUE(LEFT($B192,4)),VALUE(RIGHT($B192,1))*3,1),0)))</f>
        <v/>
      </c>
      <c r="V192" s="145"/>
      <c r="W192" s="94" t="str">
        <f aca="false">IF($C192="","",$V192*$N192)</f>
        <v/>
      </c>
      <c r="X192" s="145"/>
      <c r="Y192" s="94" t="str">
        <f aca="false">IF($C192="","",$X192*$N192)</f>
        <v/>
      </c>
      <c r="Z192" s="145"/>
      <c r="AA192" s="94" t="str">
        <f aca="false">IF($C192="","",$Z192*$N192)</f>
        <v/>
      </c>
      <c r="AB192" s="145"/>
      <c r="AC192" s="94" t="str">
        <f aca="false">IF($C192="","",$AB192*$N192)</f>
        <v/>
      </c>
      <c r="AD192" s="94" t="str">
        <f aca="false">IF($C192="","",SUMPRODUCT((VALUE(MID($B192,7,1))&gt;={1,2,3,4})*CHOOSE({1,2,3,4},$W192,$Y192,$AA192,$AC192)))</f>
        <v/>
      </c>
      <c r="AE192" s="94" t="str">
        <f aca="false">IF($C192="","",$W192+$Y192+$AA192+$AC192-$AD192)</f>
        <v/>
      </c>
      <c r="AF192" s="146"/>
      <c r="AG192" s="146"/>
      <c r="AH192" s="146"/>
      <c r="AI192" s="147" t="str">
        <f aca="false">IF($C192="","",IF(OR($L192="Pipeline",$N192&lt;0,$O192&gt;$N192+1,($V192+$X192+$Z192+$AB192)&gt;1.0001,ISNUMBER(SEARCH("not signed",$AF192))),"REVIEW","OK"))</f>
        <v/>
      </c>
    </row>
    <row r="193" customFormat="false" ht="13.5" hidden="false" customHeight="false" outlineLevel="0" collapsed="false">
      <c r="A193" s="95" t="str">
        <f aca="false">IF($C193="","",Controls!$B$7)</f>
        <v/>
      </c>
      <c r="B193" s="95" t="str">
        <f aca="false">IF($C193="","",Controls!$B$30)</f>
        <v/>
      </c>
      <c r="C193" s="95" t="str">
        <f aca="false">IF(MM_Income!$A196="","",MM_Income!$A196)</f>
        <v/>
      </c>
      <c r="D193" s="95" t="str">
        <f aca="false">IF($C193="","",INDEX(MM_Income!$B$5:$B$204,MATCH($C193,MM_Income!$A$5:$A$204,0)))</f>
        <v/>
      </c>
      <c r="E193" s="95" t="str">
        <f aca="false">IF($C193="","",INDEX(MM_Income!$C$5:$C$204,MATCH($C193,MM_Income!$A$5:$A$204,0)))</f>
        <v/>
      </c>
      <c r="F193" s="95" t="str">
        <f aca="false">IF($C193="","",INDEX(MM_Income!$F$5:$F$204,MATCH($C193,MM_Income!$A$5:$A$204,0)))</f>
        <v/>
      </c>
      <c r="G193" s="95" t="str">
        <f aca="false">IF($C193="","",INDEX(MM_Income!$G$5:$G$204,MATCH($C193,MM_Income!$A$5:$A$204,0)))</f>
        <v/>
      </c>
      <c r="H193" s="95" t="str">
        <f aca="false">IF($C193="","",INDEX(MM_Income!$H$5:$H$204,MATCH($C193,MM_Income!$A$5:$A$204,0)))</f>
        <v/>
      </c>
      <c r="I193" s="95" t="str">
        <f aca="false">IF($C193="","",INDEX(MM_Income!$I$5:$I$204,MATCH($C193,MM_Income!$A$5:$A$204,0)))</f>
        <v/>
      </c>
      <c r="J193" s="95" t="str">
        <f aca="false">IF($C193="","",INDEX(MM_Income!$D$5:$D$204,MATCH($C193,MM_Income!$A$5:$A$204,0)))</f>
        <v/>
      </c>
      <c r="K193" s="95" t="str">
        <f aca="false">IF($C193="","",INDEX(MM_Income!$E$5:$E$204,MATCH($C193,MM_Income!$A$5:$A$204,0)))</f>
        <v/>
      </c>
      <c r="L193" s="95" t="str">
        <f aca="false">IF($C193="","",INDEX(MM_Income!$U$5:$U$204,MATCH($C193,MM_Income!$A$5:$A$204,0)))</f>
        <v/>
      </c>
      <c r="M193" s="143" t="str">
        <f aca="false">IF($C193="","",INDEX(MM_Income!$V$5:$V$204,MATCH($C193,MM_Income!$A$5:$A$204,0)))</f>
        <v/>
      </c>
      <c r="N193" s="144" t="str">
        <f aca="false">IF($C193="","",INDEX(MM_Income!$T$5:$T$204,MATCH($C193,MM_Income!$A$5:$A$204,0)))</f>
        <v/>
      </c>
      <c r="O193" s="94" t="str">
        <f aca="false">IF($C193="","",-SUMIFS(Project_Activity!$P$2:$P$5000,Project_Activity!$C$2:$C$5000,$C193,Project_Activity!$U$2:$U$5000,"Invoiced Income",Project_Activity!$H$2:$H$5000,"&gt;="&amp;DATE(VALUE(LEFT($B193,4)),1,1),Project_Activity!$H$2:$H$5000,"&lt;="&amp;EOMONTH(DATE(VALUE(LEFT($B193,4)),VALUE(RIGHT($B193,1))*3,1),0)))</f>
        <v/>
      </c>
      <c r="P193" s="94" t="str">
        <f aca="false">IF($C193="","",SUMIFS(Project_Activity!$P$2:$P$5000,Project_Activity!$C$2:$C$5000,$C193,Project_Activity!$U$2:$U$5000,"Subcontractor",Project_Activity!$H$2:$H$5000,"&gt;="&amp;DATE(VALUE(LEFT($B193,4)),1,1),Project_Activity!$H$2:$H$5000,"&lt;="&amp;EOMONTH(DATE(VALUE(LEFT($B193,4)),VALUE(RIGHT($B193,1))*3,1),0)))</f>
        <v/>
      </c>
      <c r="Q193" s="94" t="str">
        <f aca="false">IF($C193="","",SUMIFS(Project_Activity!$P$2:$P$5000,Project_Activity!$C$2:$C$5000,$C193,Project_Activity!$U$2:$U$5000,"Project Inclusive",Project_Activity!$H$2:$H$5000,"&gt;="&amp;DATE(VALUE(LEFT($B193,4)),1,1),Project_Activity!$H$2:$H$5000,"&lt;="&amp;EOMONTH(DATE(VALUE(LEFT($B193,4)),VALUE(RIGHT($B193,1))*3,1),0)))</f>
        <v/>
      </c>
      <c r="R193" s="94" t="str">
        <f aca="false">IF($C193="","",SUMIFS(Project_Activity!$P$2:$P$5000,Project_Activity!$C$2:$C$5000,$C193,Project_Activity!$U$2:$U$5000,"Non-Recoverable",Project_Activity!$H$2:$H$5000,"&gt;="&amp;DATE(VALUE(LEFT($B193,4)),1,1),Project_Activity!$H$2:$H$5000,"&lt;="&amp;EOMONTH(DATE(VALUE(LEFT($B193,4)),VALUE(RIGHT($B193,1))*3,1),0)))</f>
        <v/>
      </c>
      <c r="S193" s="94" t="str">
        <f aca="false">IF($C193="","",$O193-$P193-$Q193-$R193)</f>
        <v/>
      </c>
      <c r="T193" s="94" t="str">
        <f aca="false">IF($C193="","",SUMIFS(Project_Activity!$P$2:$P$5000,Project_Activity!$C$2:$C$5000,$C193,Project_Activity!$U$2:$U$5000,"Recoverable",Project_Activity!$H$2:$H$5000,"&gt;="&amp;DATE(VALUE(LEFT($B193,4)),1,1),Project_Activity!$H$2:$H$5000,"&lt;="&amp;EOMONTH(DATE(VALUE(LEFT($B193,4)),VALUE(RIGHT($B193,1))*3,1),0)))</f>
        <v/>
      </c>
      <c r="U193" s="94" t="str">
        <f aca="false">IF($C193="","",-SUMIFS(Project_Activity!$P$2:$P$5000,Project_Activity!$C$2:$C$5000,$C193,Project_Activity!$U$2:$U$5000,"Recovered Expenses",Project_Activity!$H$2:$H$5000,"&gt;="&amp;DATE(VALUE(LEFT($B193,4)),1,1),Project_Activity!$H$2:$H$5000,"&lt;="&amp;EOMONTH(DATE(VALUE(LEFT($B193,4)),VALUE(RIGHT($B193,1))*3,1),0)))</f>
        <v/>
      </c>
      <c r="V193" s="145"/>
      <c r="W193" s="94" t="str">
        <f aca="false">IF($C193="","",$V193*$N193)</f>
        <v/>
      </c>
      <c r="X193" s="145"/>
      <c r="Y193" s="94" t="str">
        <f aca="false">IF($C193="","",$X193*$N193)</f>
        <v/>
      </c>
      <c r="Z193" s="145"/>
      <c r="AA193" s="94" t="str">
        <f aca="false">IF($C193="","",$Z193*$N193)</f>
        <v/>
      </c>
      <c r="AB193" s="145"/>
      <c r="AC193" s="94" t="str">
        <f aca="false">IF($C193="","",$AB193*$N193)</f>
        <v/>
      </c>
      <c r="AD193" s="94" t="str">
        <f aca="false">IF($C193="","",SUMPRODUCT((VALUE(MID($B193,7,1))&gt;={1,2,3,4})*CHOOSE({1,2,3,4},$W193,$Y193,$AA193,$AC193)))</f>
        <v/>
      </c>
      <c r="AE193" s="94" t="str">
        <f aca="false">IF($C193="","",$W193+$Y193+$AA193+$AC193-$AD193)</f>
        <v/>
      </c>
      <c r="AF193" s="146"/>
      <c r="AG193" s="146"/>
      <c r="AH193" s="146"/>
      <c r="AI193" s="147" t="str">
        <f aca="false">IF($C193="","",IF(OR($L193="Pipeline",$N193&lt;0,$O193&gt;$N193+1,($V193+$X193+$Z193+$AB193)&gt;1.0001,ISNUMBER(SEARCH("not signed",$AF193))),"REVIEW","OK"))</f>
        <v/>
      </c>
    </row>
    <row r="194" customFormat="false" ht="13.5" hidden="false" customHeight="false" outlineLevel="0" collapsed="false">
      <c r="A194" s="95" t="str">
        <f aca="false">IF($C194="","",Controls!$B$7)</f>
        <v/>
      </c>
      <c r="B194" s="95" t="str">
        <f aca="false">IF($C194="","",Controls!$B$30)</f>
        <v/>
      </c>
      <c r="C194" s="95" t="str">
        <f aca="false">IF(MM_Income!$A197="","",MM_Income!$A197)</f>
        <v/>
      </c>
      <c r="D194" s="95" t="str">
        <f aca="false">IF($C194="","",INDEX(MM_Income!$B$5:$B$204,MATCH($C194,MM_Income!$A$5:$A$204,0)))</f>
        <v/>
      </c>
      <c r="E194" s="95" t="str">
        <f aca="false">IF($C194="","",INDEX(MM_Income!$C$5:$C$204,MATCH($C194,MM_Income!$A$5:$A$204,0)))</f>
        <v/>
      </c>
      <c r="F194" s="95" t="str">
        <f aca="false">IF($C194="","",INDEX(MM_Income!$F$5:$F$204,MATCH($C194,MM_Income!$A$5:$A$204,0)))</f>
        <v/>
      </c>
      <c r="G194" s="95" t="str">
        <f aca="false">IF($C194="","",INDEX(MM_Income!$G$5:$G$204,MATCH($C194,MM_Income!$A$5:$A$204,0)))</f>
        <v/>
      </c>
      <c r="H194" s="95" t="str">
        <f aca="false">IF($C194="","",INDEX(MM_Income!$H$5:$H$204,MATCH($C194,MM_Income!$A$5:$A$204,0)))</f>
        <v/>
      </c>
      <c r="I194" s="95" t="str">
        <f aca="false">IF($C194="","",INDEX(MM_Income!$I$5:$I$204,MATCH($C194,MM_Income!$A$5:$A$204,0)))</f>
        <v/>
      </c>
      <c r="J194" s="95" t="str">
        <f aca="false">IF($C194="","",INDEX(MM_Income!$D$5:$D$204,MATCH($C194,MM_Income!$A$5:$A$204,0)))</f>
        <v/>
      </c>
      <c r="K194" s="95" t="str">
        <f aca="false">IF($C194="","",INDEX(MM_Income!$E$5:$E$204,MATCH($C194,MM_Income!$A$5:$A$204,0)))</f>
        <v/>
      </c>
      <c r="L194" s="95" t="str">
        <f aca="false">IF($C194="","",INDEX(MM_Income!$U$5:$U$204,MATCH($C194,MM_Income!$A$5:$A$204,0)))</f>
        <v/>
      </c>
      <c r="M194" s="143" t="str">
        <f aca="false">IF($C194="","",INDEX(MM_Income!$V$5:$V$204,MATCH($C194,MM_Income!$A$5:$A$204,0)))</f>
        <v/>
      </c>
      <c r="N194" s="144" t="str">
        <f aca="false">IF($C194="","",INDEX(MM_Income!$T$5:$T$204,MATCH($C194,MM_Income!$A$5:$A$204,0)))</f>
        <v/>
      </c>
      <c r="O194" s="94" t="str">
        <f aca="false">IF($C194="","",-SUMIFS(Project_Activity!$P$2:$P$5000,Project_Activity!$C$2:$C$5000,$C194,Project_Activity!$U$2:$U$5000,"Invoiced Income",Project_Activity!$H$2:$H$5000,"&gt;="&amp;DATE(VALUE(LEFT($B194,4)),1,1),Project_Activity!$H$2:$H$5000,"&lt;="&amp;EOMONTH(DATE(VALUE(LEFT($B194,4)),VALUE(RIGHT($B194,1))*3,1),0)))</f>
        <v/>
      </c>
      <c r="P194" s="94" t="str">
        <f aca="false">IF($C194="","",SUMIFS(Project_Activity!$P$2:$P$5000,Project_Activity!$C$2:$C$5000,$C194,Project_Activity!$U$2:$U$5000,"Subcontractor",Project_Activity!$H$2:$H$5000,"&gt;="&amp;DATE(VALUE(LEFT($B194,4)),1,1),Project_Activity!$H$2:$H$5000,"&lt;="&amp;EOMONTH(DATE(VALUE(LEFT($B194,4)),VALUE(RIGHT($B194,1))*3,1),0)))</f>
        <v/>
      </c>
      <c r="Q194" s="94" t="str">
        <f aca="false">IF($C194="","",SUMIFS(Project_Activity!$P$2:$P$5000,Project_Activity!$C$2:$C$5000,$C194,Project_Activity!$U$2:$U$5000,"Project Inclusive",Project_Activity!$H$2:$H$5000,"&gt;="&amp;DATE(VALUE(LEFT($B194,4)),1,1),Project_Activity!$H$2:$H$5000,"&lt;="&amp;EOMONTH(DATE(VALUE(LEFT($B194,4)),VALUE(RIGHT($B194,1))*3,1),0)))</f>
        <v/>
      </c>
      <c r="R194" s="94" t="str">
        <f aca="false">IF($C194="","",SUMIFS(Project_Activity!$P$2:$P$5000,Project_Activity!$C$2:$C$5000,$C194,Project_Activity!$U$2:$U$5000,"Non-Recoverable",Project_Activity!$H$2:$H$5000,"&gt;="&amp;DATE(VALUE(LEFT($B194,4)),1,1),Project_Activity!$H$2:$H$5000,"&lt;="&amp;EOMONTH(DATE(VALUE(LEFT($B194,4)),VALUE(RIGHT($B194,1))*3,1),0)))</f>
        <v/>
      </c>
      <c r="S194" s="94" t="str">
        <f aca="false">IF($C194="","",$O194-$P194-$Q194-$R194)</f>
        <v/>
      </c>
      <c r="T194" s="94" t="str">
        <f aca="false">IF($C194="","",SUMIFS(Project_Activity!$P$2:$P$5000,Project_Activity!$C$2:$C$5000,$C194,Project_Activity!$U$2:$U$5000,"Recoverable",Project_Activity!$H$2:$H$5000,"&gt;="&amp;DATE(VALUE(LEFT($B194,4)),1,1),Project_Activity!$H$2:$H$5000,"&lt;="&amp;EOMONTH(DATE(VALUE(LEFT($B194,4)),VALUE(RIGHT($B194,1))*3,1),0)))</f>
        <v/>
      </c>
      <c r="U194" s="94" t="str">
        <f aca="false">IF($C194="","",-SUMIFS(Project_Activity!$P$2:$P$5000,Project_Activity!$C$2:$C$5000,$C194,Project_Activity!$U$2:$U$5000,"Recovered Expenses",Project_Activity!$H$2:$H$5000,"&gt;="&amp;DATE(VALUE(LEFT($B194,4)),1,1),Project_Activity!$H$2:$H$5000,"&lt;="&amp;EOMONTH(DATE(VALUE(LEFT($B194,4)),VALUE(RIGHT($B194,1))*3,1),0)))</f>
        <v/>
      </c>
      <c r="V194" s="145"/>
      <c r="W194" s="94" t="str">
        <f aca="false">IF($C194="","",$V194*$N194)</f>
        <v/>
      </c>
      <c r="X194" s="145"/>
      <c r="Y194" s="94" t="str">
        <f aca="false">IF($C194="","",$X194*$N194)</f>
        <v/>
      </c>
      <c r="Z194" s="145"/>
      <c r="AA194" s="94" t="str">
        <f aca="false">IF($C194="","",$Z194*$N194)</f>
        <v/>
      </c>
      <c r="AB194" s="145"/>
      <c r="AC194" s="94" t="str">
        <f aca="false">IF($C194="","",$AB194*$N194)</f>
        <v/>
      </c>
      <c r="AD194" s="94" t="str">
        <f aca="false">IF($C194="","",SUMPRODUCT((VALUE(MID($B194,7,1))&gt;={1,2,3,4})*CHOOSE({1,2,3,4},$W194,$Y194,$AA194,$AC194)))</f>
        <v/>
      </c>
      <c r="AE194" s="94" t="str">
        <f aca="false">IF($C194="","",$W194+$Y194+$AA194+$AC194-$AD194)</f>
        <v/>
      </c>
      <c r="AF194" s="146"/>
      <c r="AG194" s="146"/>
      <c r="AH194" s="146"/>
      <c r="AI194" s="147" t="str">
        <f aca="false">IF($C194="","",IF(OR($L194="Pipeline",$N194&lt;0,$O194&gt;$N194+1,($V194+$X194+$Z194+$AB194)&gt;1.0001,ISNUMBER(SEARCH("not signed",$AF194))),"REVIEW","OK"))</f>
        <v/>
      </c>
    </row>
    <row r="195" customFormat="false" ht="13.5" hidden="false" customHeight="false" outlineLevel="0" collapsed="false">
      <c r="A195" s="95" t="str">
        <f aca="false">IF($C195="","",Controls!$B$7)</f>
        <v/>
      </c>
      <c r="B195" s="95" t="str">
        <f aca="false">IF($C195="","",Controls!$B$30)</f>
        <v/>
      </c>
      <c r="C195" s="95" t="str">
        <f aca="false">IF(MM_Income!$A198="","",MM_Income!$A198)</f>
        <v/>
      </c>
      <c r="D195" s="95" t="str">
        <f aca="false">IF($C195="","",INDEX(MM_Income!$B$5:$B$204,MATCH($C195,MM_Income!$A$5:$A$204,0)))</f>
        <v/>
      </c>
      <c r="E195" s="95" t="str">
        <f aca="false">IF($C195="","",INDEX(MM_Income!$C$5:$C$204,MATCH($C195,MM_Income!$A$5:$A$204,0)))</f>
        <v/>
      </c>
      <c r="F195" s="95" t="str">
        <f aca="false">IF($C195="","",INDEX(MM_Income!$F$5:$F$204,MATCH($C195,MM_Income!$A$5:$A$204,0)))</f>
        <v/>
      </c>
      <c r="G195" s="95" t="str">
        <f aca="false">IF($C195="","",INDEX(MM_Income!$G$5:$G$204,MATCH($C195,MM_Income!$A$5:$A$204,0)))</f>
        <v/>
      </c>
      <c r="H195" s="95" t="str">
        <f aca="false">IF($C195="","",INDEX(MM_Income!$H$5:$H$204,MATCH($C195,MM_Income!$A$5:$A$204,0)))</f>
        <v/>
      </c>
      <c r="I195" s="95" t="str">
        <f aca="false">IF($C195="","",INDEX(MM_Income!$I$5:$I$204,MATCH($C195,MM_Income!$A$5:$A$204,0)))</f>
        <v/>
      </c>
      <c r="J195" s="95" t="str">
        <f aca="false">IF($C195="","",INDEX(MM_Income!$D$5:$D$204,MATCH($C195,MM_Income!$A$5:$A$204,0)))</f>
        <v/>
      </c>
      <c r="K195" s="95" t="str">
        <f aca="false">IF($C195="","",INDEX(MM_Income!$E$5:$E$204,MATCH($C195,MM_Income!$A$5:$A$204,0)))</f>
        <v/>
      </c>
      <c r="L195" s="95" t="str">
        <f aca="false">IF($C195="","",INDEX(MM_Income!$U$5:$U$204,MATCH($C195,MM_Income!$A$5:$A$204,0)))</f>
        <v/>
      </c>
      <c r="M195" s="143" t="str">
        <f aca="false">IF($C195="","",INDEX(MM_Income!$V$5:$V$204,MATCH($C195,MM_Income!$A$5:$A$204,0)))</f>
        <v/>
      </c>
      <c r="N195" s="144" t="str">
        <f aca="false">IF($C195="","",INDEX(MM_Income!$T$5:$T$204,MATCH($C195,MM_Income!$A$5:$A$204,0)))</f>
        <v/>
      </c>
      <c r="O195" s="94" t="str">
        <f aca="false">IF($C195="","",-SUMIFS(Project_Activity!$P$2:$P$5000,Project_Activity!$C$2:$C$5000,$C195,Project_Activity!$U$2:$U$5000,"Invoiced Income",Project_Activity!$H$2:$H$5000,"&gt;="&amp;DATE(VALUE(LEFT($B195,4)),1,1),Project_Activity!$H$2:$H$5000,"&lt;="&amp;EOMONTH(DATE(VALUE(LEFT($B195,4)),VALUE(RIGHT($B195,1))*3,1),0)))</f>
        <v/>
      </c>
      <c r="P195" s="94" t="str">
        <f aca="false">IF($C195="","",SUMIFS(Project_Activity!$P$2:$P$5000,Project_Activity!$C$2:$C$5000,$C195,Project_Activity!$U$2:$U$5000,"Subcontractor",Project_Activity!$H$2:$H$5000,"&gt;="&amp;DATE(VALUE(LEFT($B195,4)),1,1),Project_Activity!$H$2:$H$5000,"&lt;="&amp;EOMONTH(DATE(VALUE(LEFT($B195,4)),VALUE(RIGHT($B195,1))*3,1),0)))</f>
        <v/>
      </c>
      <c r="Q195" s="94" t="str">
        <f aca="false">IF($C195="","",SUMIFS(Project_Activity!$P$2:$P$5000,Project_Activity!$C$2:$C$5000,$C195,Project_Activity!$U$2:$U$5000,"Project Inclusive",Project_Activity!$H$2:$H$5000,"&gt;="&amp;DATE(VALUE(LEFT($B195,4)),1,1),Project_Activity!$H$2:$H$5000,"&lt;="&amp;EOMONTH(DATE(VALUE(LEFT($B195,4)),VALUE(RIGHT($B195,1))*3,1),0)))</f>
        <v/>
      </c>
      <c r="R195" s="94" t="str">
        <f aca="false">IF($C195="","",SUMIFS(Project_Activity!$P$2:$P$5000,Project_Activity!$C$2:$C$5000,$C195,Project_Activity!$U$2:$U$5000,"Non-Recoverable",Project_Activity!$H$2:$H$5000,"&gt;="&amp;DATE(VALUE(LEFT($B195,4)),1,1),Project_Activity!$H$2:$H$5000,"&lt;="&amp;EOMONTH(DATE(VALUE(LEFT($B195,4)),VALUE(RIGHT($B195,1))*3,1),0)))</f>
        <v/>
      </c>
      <c r="S195" s="94" t="str">
        <f aca="false">IF($C195="","",$O195-$P195-$Q195-$R195)</f>
        <v/>
      </c>
      <c r="T195" s="94" t="str">
        <f aca="false">IF($C195="","",SUMIFS(Project_Activity!$P$2:$P$5000,Project_Activity!$C$2:$C$5000,$C195,Project_Activity!$U$2:$U$5000,"Recoverable",Project_Activity!$H$2:$H$5000,"&gt;="&amp;DATE(VALUE(LEFT($B195,4)),1,1),Project_Activity!$H$2:$H$5000,"&lt;="&amp;EOMONTH(DATE(VALUE(LEFT($B195,4)),VALUE(RIGHT($B195,1))*3,1),0)))</f>
        <v/>
      </c>
      <c r="U195" s="94" t="str">
        <f aca="false">IF($C195="","",-SUMIFS(Project_Activity!$P$2:$P$5000,Project_Activity!$C$2:$C$5000,$C195,Project_Activity!$U$2:$U$5000,"Recovered Expenses",Project_Activity!$H$2:$H$5000,"&gt;="&amp;DATE(VALUE(LEFT($B195,4)),1,1),Project_Activity!$H$2:$H$5000,"&lt;="&amp;EOMONTH(DATE(VALUE(LEFT($B195,4)),VALUE(RIGHT($B195,1))*3,1),0)))</f>
        <v/>
      </c>
      <c r="V195" s="145"/>
      <c r="W195" s="94" t="str">
        <f aca="false">IF($C195="","",$V195*$N195)</f>
        <v/>
      </c>
      <c r="X195" s="145"/>
      <c r="Y195" s="94" t="str">
        <f aca="false">IF($C195="","",$X195*$N195)</f>
        <v/>
      </c>
      <c r="Z195" s="145"/>
      <c r="AA195" s="94" t="str">
        <f aca="false">IF($C195="","",$Z195*$N195)</f>
        <v/>
      </c>
      <c r="AB195" s="145"/>
      <c r="AC195" s="94" t="str">
        <f aca="false">IF($C195="","",$AB195*$N195)</f>
        <v/>
      </c>
      <c r="AD195" s="94" t="str">
        <f aca="false">IF($C195="","",SUMPRODUCT((VALUE(MID($B195,7,1))&gt;={1,2,3,4})*CHOOSE({1,2,3,4},$W195,$Y195,$AA195,$AC195)))</f>
        <v/>
      </c>
      <c r="AE195" s="94" t="str">
        <f aca="false">IF($C195="","",$W195+$Y195+$AA195+$AC195-$AD195)</f>
        <v/>
      </c>
      <c r="AF195" s="146"/>
      <c r="AG195" s="146"/>
      <c r="AH195" s="146"/>
      <c r="AI195" s="147" t="str">
        <f aca="false">IF($C195="","",IF(OR($L195="Pipeline",$N195&lt;0,$O195&gt;$N195+1,($V195+$X195+$Z195+$AB195)&gt;1.0001,ISNUMBER(SEARCH("not signed",$AF195))),"REVIEW","OK"))</f>
        <v/>
      </c>
    </row>
    <row r="196" customFormat="false" ht="13.5" hidden="false" customHeight="false" outlineLevel="0" collapsed="false">
      <c r="A196" s="95" t="str">
        <f aca="false">IF($C196="","",Controls!$B$7)</f>
        <v/>
      </c>
      <c r="B196" s="95" t="str">
        <f aca="false">IF($C196="","",Controls!$B$30)</f>
        <v/>
      </c>
      <c r="C196" s="95" t="str">
        <f aca="false">IF(MM_Income!$A199="","",MM_Income!$A199)</f>
        <v/>
      </c>
      <c r="D196" s="95" t="str">
        <f aca="false">IF($C196="","",INDEX(MM_Income!$B$5:$B$204,MATCH($C196,MM_Income!$A$5:$A$204,0)))</f>
        <v/>
      </c>
      <c r="E196" s="95" t="str">
        <f aca="false">IF($C196="","",INDEX(MM_Income!$C$5:$C$204,MATCH($C196,MM_Income!$A$5:$A$204,0)))</f>
        <v/>
      </c>
      <c r="F196" s="95" t="str">
        <f aca="false">IF($C196="","",INDEX(MM_Income!$F$5:$F$204,MATCH($C196,MM_Income!$A$5:$A$204,0)))</f>
        <v/>
      </c>
      <c r="G196" s="95" t="str">
        <f aca="false">IF($C196="","",INDEX(MM_Income!$G$5:$G$204,MATCH($C196,MM_Income!$A$5:$A$204,0)))</f>
        <v/>
      </c>
      <c r="H196" s="95" t="str">
        <f aca="false">IF($C196="","",INDEX(MM_Income!$H$5:$H$204,MATCH($C196,MM_Income!$A$5:$A$204,0)))</f>
        <v/>
      </c>
      <c r="I196" s="95" t="str">
        <f aca="false">IF($C196="","",INDEX(MM_Income!$I$5:$I$204,MATCH($C196,MM_Income!$A$5:$A$204,0)))</f>
        <v/>
      </c>
      <c r="J196" s="95" t="str">
        <f aca="false">IF($C196="","",INDEX(MM_Income!$D$5:$D$204,MATCH($C196,MM_Income!$A$5:$A$204,0)))</f>
        <v/>
      </c>
      <c r="K196" s="95" t="str">
        <f aca="false">IF($C196="","",INDEX(MM_Income!$E$5:$E$204,MATCH($C196,MM_Income!$A$5:$A$204,0)))</f>
        <v/>
      </c>
      <c r="L196" s="95" t="str">
        <f aca="false">IF($C196="","",INDEX(MM_Income!$U$5:$U$204,MATCH($C196,MM_Income!$A$5:$A$204,0)))</f>
        <v/>
      </c>
      <c r="M196" s="143" t="str">
        <f aca="false">IF($C196="","",INDEX(MM_Income!$V$5:$V$204,MATCH($C196,MM_Income!$A$5:$A$204,0)))</f>
        <v/>
      </c>
      <c r="N196" s="144" t="str">
        <f aca="false">IF($C196="","",INDEX(MM_Income!$T$5:$T$204,MATCH($C196,MM_Income!$A$5:$A$204,0)))</f>
        <v/>
      </c>
      <c r="O196" s="94" t="str">
        <f aca="false">IF($C196="","",-SUMIFS(Project_Activity!$P$2:$P$5000,Project_Activity!$C$2:$C$5000,$C196,Project_Activity!$U$2:$U$5000,"Invoiced Income",Project_Activity!$H$2:$H$5000,"&gt;="&amp;DATE(VALUE(LEFT($B196,4)),1,1),Project_Activity!$H$2:$H$5000,"&lt;="&amp;EOMONTH(DATE(VALUE(LEFT($B196,4)),VALUE(RIGHT($B196,1))*3,1),0)))</f>
        <v/>
      </c>
      <c r="P196" s="94" t="str">
        <f aca="false">IF($C196="","",SUMIFS(Project_Activity!$P$2:$P$5000,Project_Activity!$C$2:$C$5000,$C196,Project_Activity!$U$2:$U$5000,"Subcontractor",Project_Activity!$H$2:$H$5000,"&gt;="&amp;DATE(VALUE(LEFT($B196,4)),1,1),Project_Activity!$H$2:$H$5000,"&lt;="&amp;EOMONTH(DATE(VALUE(LEFT($B196,4)),VALUE(RIGHT($B196,1))*3,1),0)))</f>
        <v/>
      </c>
      <c r="Q196" s="94" t="str">
        <f aca="false">IF($C196="","",SUMIFS(Project_Activity!$P$2:$P$5000,Project_Activity!$C$2:$C$5000,$C196,Project_Activity!$U$2:$U$5000,"Project Inclusive",Project_Activity!$H$2:$H$5000,"&gt;="&amp;DATE(VALUE(LEFT($B196,4)),1,1),Project_Activity!$H$2:$H$5000,"&lt;="&amp;EOMONTH(DATE(VALUE(LEFT($B196,4)),VALUE(RIGHT($B196,1))*3,1),0)))</f>
        <v/>
      </c>
      <c r="R196" s="94" t="str">
        <f aca="false">IF($C196="","",SUMIFS(Project_Activity!$P$2:$P$5000,Project_Activity!$C$2:$C$5000,$C196,Project_Activity!$U$2:$U$5000,"Non-Recoverable",Project_Activity!$H$2:$H$5000,"&gt;="&amp;DATE(VALUE(LEFT($B196,4)),1,1),Project_Activity!$H$2:$H$5000,"&lt;="&amp;EOMONTH(DATE(VALUE(LEFT($B196,4)),VALUE(RIGHT($B196,1))*3,1),0)))</f>
        <v/>
      </c>
      <c r="S196" s="94" t="str">
        <f aca="false">IF($C196="","",$O196-$P196-$Q196-$R196)</f>
        <v/>
      </c>
      <c r="T196" s="94" t="str">
        <f aca="false">IF($C196="","",SUMIFS(Project_Activity!$P$2:$P$5000,Project_Activity!$C$2:$C$5000,$C196,Project_Activity!$U$2:$U$5000,"Recoverable",Project_Activity!$H$2:$H$5000,"&gt;="&amp;DATE(VALUE(LEFT($B196,4)),1,1),Project_Activity!$H$2:$H$5000,"&lt;="&amp;EOMONTH(DATE(VALUE(LEFT($B196,4)),VALUE(RIGHT($B196,1))*3,1),0)))</f>
        <v/>
      </c>
      <c r="U196" s="94" t="str">
        <f aca="false">IF($C196="","",-SUMIFS(Project_Activity!$P$2:$P$5000,Project_Activity!$C$2:$C$5000,$C196,Project_Activity!$U$2:$U$5000,"Recovered Expenses",Project_Activity!$H$2:$H$5000,"&gt;="&amp;DATE(VALUE(LEFT($B196,4)),1,1),Project_Activity!$H$2:$H$5000,"&lt;="&amp;EOMONTH(DATE(VALUE(LEFT($B196,4)),VALUE(RIGHT($B196,1))*3,1),0)))</f>
        <v/>
      </c>
      <c r="V196" s="145"/>
      <c r="W196" s="94" t="str">
        <f aca="false">IF($C196="","",$V196*$N196)</f>
        <v/>
      </c>
      <c r="X196" s="145"/>
      <c r="Y196" s="94" t="str">
        <f aca="false">IF($C196="","",$X196*$N196)</f>
        <v/>
      </c>
      <c r="Z196" s="145"/>
      <c r="AA196" s="94" t="str">
        <f aca="false">IF($C196="","",$Z196*$N196)</f>
        <v/>
      </c>
      <c r="AB196" s="145"/>
      <c r="AC196" s="94" t="str">
        <f aca="false">IF($C196="","",$AB196*$N196)</f>
        <v/>
      </c>
      <c r="AD196" s="94" t="str">
        <f aca="false">IF($C196="","",SUMPRODUCT((VALUE(MID($B196,7,1))&gt;={1,2,3,4})*CHOOSE({1,2,3,4},$W196,$Y196,$AA196,$AC196)))</f>
        <v/>
      </c>
      <c r="AE196" s="94" t="str">
        <f aca="false">IF($C196="","",$W196+$Y196+$AA196+$AC196-$AD196)</f>
        <v/>
      </c>
      <c r="AF196" s="146"/>
      <c r="AG196" s="146"/>
      <c r="AH196" s="146"/>
      <c r="AI196" s="147" t="str">
        <f aca="false">IF($C196="","",IF(OR($L196="Pipeline",$N196&lt;0,$O196&gt;$N196+1,($V196+$X196+$Z196+$AB196)&gt;1.0001,ISNUMBER(SEARCH("not signed",$AF196))),"REVIEW","OK"))</f>
        <v/>
      </c>
    </row>
    <row r="197" customFormat="false" ht="13.5" hidden="false" customHeight="false" outlineLevel="0" collapsed="false">
      <c r="A197" s="95" t="str">
        <f aca="false">IF($C197="","",Controls!$B$7)</f>
        <v/>
      </c>
      <c r="B197" s="95" t="str">
        <f aca="false">IF($C197="","",Controls!$B$30)</f>
        <v/>
      </c>
      <c r="C197" s="95" t="str">
        <f aca="false">IF(MM_Income!$A200="","",MM_Income!$A200)</f>
        <v/>
      </c>
      <c r="D197" s="95" t="str">
        <f aca="false">IF($C197="","",INDEX(MM_Income!$B$5:$B$204,MATCH($C197,MM_Income!$A$5:$A$204,0)))</f>
        <v/>
      </c>
      <c r="E197" s="95" t="str">
        <f aca="false">IF($C197="","",INDEX(MM_Income!$C$5:$C$204,MATCH($C197,MM_Income!$A$5:$A$204,0)))</f>
        <v/>
      </c>
      <c r="F197" s="95" t="str">
        <f aca="false">IF($C197="","",INDEX(MM_Income!$F$5:$F$204,MATCH($C197,MM_Income!$A$5:$A$204,0)))</f>
        <v/>
      </c>
      <c r="G197" s="95" t="str">
        <f aca="false">IF($C197="","",INDEX(MM_Income!$G$5:$G$204,MATCH($C197,MM_Income!$A$5:$A$204,0)))</f>
        <v/>
      </c>
      <c r="H197" s="95" t="str">
        <f aca="false">IF($C197="","",INDEX(MM_Income!$H$5:$H$204,MATCH($C197,MM_Income!$A$5:$A$204,0)))</f>
        <v/>
      </c>
      <c r="I197" s="95" t="str">
        <f aca="false">IF($C197="","",INDEX(MM_Income!$I$5:$I$204,MATCH($C197,MM_Income!$A$5:$A$204,0)))</f>
        <v/>
      </c>
      <c r="J197" s="95" t="str">
        <f aca="false">IF($C197="","",INDEX(MM_Income!$D$5:$D$204,MATCH($C197,MM_Income!$A$5:$A$204,0)))</f>
        <v/>
      </c>
      <c r="K197" s="95" t="str">
        <f aca="false">IF($C197="","",INDEX(MM_Income!$E$5:$E$204,MATCH($C197,MM_Income!$A$5:$A$204,0)))</f>
        <v/>
      </c>
      <c r="L197" s="95" t="str">
        <f aca="false">IF($C197="","",INDEX(MM_Income!$U$5:$U$204,MATCH($C197,MM_Income!$A$5:$A$204,0)))</f>
        <v/>
      </c>
      <c r="M197" s="143" t="str">
        <f aca="false">IF($C197="","",INDEX(MM_Income!$V$5:$V$204,MATCH($C197,MM_Income!$A$5:$A$204,0)))</f>
        <v/>
      </c>
      <c r="N197" s="144" t="str">
        <f aca="false">IF($C197="","",INDEX(MM_Income!$T$5:$T$204,MATCH($C197,MM_Income!$A$5:$A$204,0)))</f>
        <v/>
      </c>
      <c r="O197" s="94" t="str">
        <f aca="false">IF($C197="","",-SUMIFS(Project_Activity!$P$2:$P$5000,Project_Activity!$C$2:$C$5000,$C197,Project_Activity!$U$2:$U$5000,"Invoiced Income",Project_Activity!$H$2:$H$5000,"&gt;="&amp;DATE(VALUE(LEFT($B197,4)),1,1),Project_Activity!$H$2:$H$5000,"&lt;="&amp;EOMONTH(DATE(VALUE(LEFT($B197,4)),VALUE(RIGHT($B197,1))*3,1),0)))</f>
        <v/>
      </c>
      <c r="P197" s="94" t="str">
        <f aca="false">IF($C197="","",SUMIFS(Project_Activity!$P$2:$P$5000,Project_Activity!$C$2:$C$5000,$C197,Project_Activity!$U$2:$U$5000,"Subcontractor",Project_Activity!$H$2:$H$5000,"&gt;="&amp;DATE(VALUE(LEFT($B197,4)),1,1),Project_Activity!$H$2:$H$5000,"&lt;="&amp;EOMONTH(DATE(VALUE(LEFT($B197,4)),VALUE(RIGHT($B197,1))*3,1),0)))</f>
        <v/>
      </c>
      <c r="Q197" s="94" t="str">
        <f aca="false">IF($C197="","",SUMIFS(Project_Activity!$P$2:$P$5000,Project_Activity!$C$2:$C$5000,$C197,Project_Activity!$U$2:$U$5000,"Project Inclusive",Project_Activity!$H$2:$H$5000,"&gt;="&amp;DATE(VALUE(LEFT($B197,4)),1,1),Project_Activity!$H$2:$H$5000,"&lt;="&amp;EOMONTH(DATE(VALUE(LEFT($B197,4)),VALUE(RIGHT($B197,1))*3,1),0)))</f>
        <v/>
      </c>
      <c r="R197" s="94" t="str">
        <f aca="false">IF($C197="","",SUMIFS(Project_Activity!$P$2:$P$5000,Project_Activity!$C$2:$C$5000,$C197,Project_Activity!$U$2:$U$5000,"Non-Recoverable",Project_Activity!$H$2:$H$5000,"&gt;="&amp;DATE(VALUE(LEFT($B197,4)),1,1),Project_Activity!$H$2:$H$5000,"&lt;="&amp;EOMONTH(DATE(VALUE(LEFT($B197,4)),VALUE(RIGHT($B197,1))*3,1),0)))</f>
        <v/>
      </c>
      <c r="S197" s="94" t="str">
        <f aca="false">IF($C197="","",$O197-$P197-$Q197-$R197)</f>
        <v/>
      </c>
      <c r="T197" s="94" t="str">
        <f aca="false">IF($C197="","",SUMIFS(Project_Activity!$P$2:$P$5000,Project_Activity!$C$2:$C$5000,$C197,Project_Activity!$U$2:$U$5000,"Recoverable",Project_Activity!$H$2:$H$5000,"&gt;="&amp;DATE(VALUE(LEFT($B197,4)),1,1),Project_Activity!$H$2:$H$5000,"&lt;="&amp;EOMONTH(DATE(VALUE(LEFT($B197,4)),VALUE(RIGHT($B197,1))*3,1),0)))</f>
        <v/>
      </c>
      <c r="U197" s="94" t="str">
        <f aca="false">IF($C197="","",-SUMIFS(Project_Activity!$P$2:$P$5000,Project_Activity!$C$2:$C$5000,$C197,Project_Activity!$U$2:$U$5000,"Recovered Expenses",Project_Activity!$H$2:$H$5000,"&gt;="&amp;DATE(VALUE(LEFT($B197,4)),1,1),Project_Activity!$H$2:$H$5000,"&lt;="&amp;EOMONTH(DATE(VALUE(LEFT($B197,4)),VALUE(RIGHT($B197,1))*3,1),0)))</f>
        <v/>
      </c>
      <c r="V197" s="145"/>
      <c r="W197" s="94" t="str">
        <f aca="false">IF($C197="","",$V197*$N197)</f>
        <v/>
      </c>
      <c r="X197" s="145"/>
      <c r="Y197" s="94" t="str">
        <f aca="false">IF($C197="","",$X197*$N197)</f>
        <v/>
      </c>
      <c r="Z197" s="145"/>
      <c r="AA197" s="94" t="str">
        <f aca="false">IF($C197="","",$Z197*$N197)</f>
        <v/>
      </c>
      <c r="AB197" s="145"/>
      <c r="AC197" s="94" t="str">
        <f aca="false">IF($C197="","",$AB197*$N197)</f>
        <v/>
      </c>
      <c r="AD197" s="94" t="str">
        <f aca="false">IF($C197="","",SUMPRODUCT((VALUE(MID($B197,7,1))&gt;={1,2,3,4})*CHOOSE({1,2,3,4},$W197,$Y197,$AA197,$AC197)))</f>
        <v/>
      </c>
      <c r="AE197" s="94" t="str">
        <f aca="false">IF($C197="","",$W197+$Y197+$AA197+$AC197-$AD197)</f>
        <v/>
      </c>
      <c r="AF197" s="146"/>
      <c r="AG197" s="146"/>
      <c r="AH197" s="146"/>
      <c r="AI197" s="147" t="str">
        <f aca="false">IF($C197="","",IF(OR($L197="Pipeline",$N197&lt;0,$O197&gt;$N197+1,($V197+$X197+$Z197+$AB197)&gt;1.0001,ISNUMBER(SEARCH("not signed",$AF197))),"REVIEW","OK"))</f>
        <v/>
      </c>
    </row>
    <row r="198" customFormat="false" ht="13.5" hidden="false" customHeight="false" outlineLevel="0" collapsed="false">
      <c r="A198" s="95" t="str">
        <f aca="false">IF($C198="","",Controls!$B$7)</f>
        <v/>
      </c>
      <c r="B198" s="95" t="str">
        <f aca="false">IF($C198="","",Controls!$B$30)</f>
        <v/>
      </c>
      <c r="C198" s="95" t="str">
        <f aca="false">IF(MM_Income!$A201="","",MM_Income!$A201)</f>
        <v/>
      </c>
      <c r="D198" s="95" t="str">
        <f aca="false">IF($C198="","",INDEX(MM_Income!$B$5:$B$204,MATCH($C198,MM_Income!$A$5:$A$204,0)))</f>
        <v/>
      </c>
      <c r="E198" s="95" t="str">
        <f aca="false">IF($C198="","",INDEX(MM_Income!$C$5:$C$204,MATCH($C198,MM_Income!$A$5:$A$204,0)))</f>
        <v/>
      </c>
      <c r="F198" s="95" t="str">
        <f aca="false">IF($C198="","",INDEX(MM_Income!$F$5:$F$204,MATCH($C198,MM_Income!$A$5:$A$204,0)))</f>
        <v/>
      </c>
      <c r="G198" s="95" t="str">
        <f aca="false">IF($C198="","",INDEX(MM_Income!$G$5:$G$204,MATCH($C198,MM_Income!$A$5:$A$204,0)))</f>
        <v/>
      </c>
      <c r="H198" s="95" t="str">
        <f aca="false">IF($C198="","",INDEX(MM_Income!$H$5:$H$204,MATCH($C198,MM_Income!$A$5:$A$204,0)))</f>
        <v/>
      </c>
      <c r="I198" s="95" t="str">
        <f aca="false">IF($C198="","",INDEX(MM_Income!$I$5:$I$204,MATCH($C198,MM_Income!$A$5:$A$204,0)))</f>
        <v/>
      </c>
      <c r="J198" s="95" t="str">
        <f aca="false">IF($C198="","",INDEX(MM_Income!$D$5:$D$204,MATCH($C198,MM_Income!$A$5:$A$204,0)))</f>
        <v/>
      </c>
      <c r="K198" s="95" t="str">
        <f aca="false">IF($C198="","",INDEX(MM_Income!$E$5:$E$204,MATCH($C198,MM_Income!$A$5:$A$204,0)))</f>
        <v/>
      </c>
      <c r="L198" s="95" t="str">
        <f aca="false">IF($C198="","",INDEX(MM_Income!$U$5:$U$204,MATCH($C198,MM_Income!$A$5:$A$204,0)))</f>
        <v/>
      </c>
      <c r="M198" s="143" t="str">
        <f aca="false">IF($C198="","",INDEX(MM_Income!$V$5:$V$204,MATCH($C198,MM_Income!$A$5:$A$204,0)))</f>
        <v/>
      </c>
      <c r="N198" s="144" t="str">
        <f aca="false">IF($C198="","",INDEX(MM_Income!$T$5:$T$204,MATCH($C198,MM_Income!$A$5:$A$204,0)))</f>
        <v/>
      </c>
      <c r="O198" s="94" t="str">
        <f aca="false">IF($C198="","",-SUMIFS(Project_Activity!$P$2:$P$5000,Project_Activity!$C$2:$C$5000,$C198,Project_Activity!$U$2:$U$5000,"Invoiced Income",Project_Activity!$H$2:$H$5000,"&gt;="&amp;DATE(VALUE(LEFT($B198,4)),1,1),Project_Activity!$H$2:$H$5000,"&lt;="&amp;EOMONTH(DATE(VALUE(LEFT($B198,4)),VALUE(RIGHT($B198,1))*3,1),0)))</f>
        <v/>
      </c>
      <c r="P198" s="94" t="str">
        <f aca="false">IF($C198="","",SUMIFS(Project_Activity!$P$2:$P$5000,Project_Activity!$C$2:$C$5000,$C198,Project_Activity!$U$2:$U$5000,"Subcontractor",Project_Activity!$H$2:$H$5000,"&gt;="&amp;DATE(VALUE(LEFT($B198,4)),1,1),Project_Activity!$H$2:$H$5000,"&lt;="&amp;EOMONTH(DATE(VALUE(LEFT($B198,4)),VALUE(RIGHT($B198,1))*3,1),0)))</f>
        <v/>
      </c>
      <c r="Q198" s="94" t="str">
        <f aca="false">IF($C198="","",SUMIFS(Project_Activity!$P$2:$P$5000,Project_Activity!$C$2:$C$5000,$C198,Project_Activity!$U$2:$U$5000,"Project Inclusive",Project_Activity!$H$2:$H$5000,"&gt;="&amp;DATE(VALUE(LEFT($B198,4)),1,1),Project_Activity!$H$2:$H$5000,"&lt;="&amp;EOMONTH(DATE(VALUE(LEFT($B198,4)),VALUE(RIGHT($B198,1))*3,1),0)))</f>
        <v/>
      </c>
      <c r="R198" s="94" t="str">
        <f aca="false">IF($C198="","",SUMIFS(Project_Activity!$P$2:$P$5000,Project_Activity!$C$2:$C$5000,$C198,Project_Activity!$U$2:$U$5000,"Non-Recoverable",Project_Activity!$H$2:$H$5000,"&gt;="&amp;DATE(VALUE(LEFT($B198,4)),1,1),Project_Activity!$H$2:$H$5000,"&lt;="&amp;EOMONTH(DATE(VALUE(LEFT($B198,4)),VALUE(RIGHT($B198,1))*3,1),0)))</f>
        <v/>
      </c>
      <c r="S198" s="94" t="str">
        <f aca="false">IF($C198="","",$O198-$P198-$Q198-$R198)</f>
        <v/>
      </c>
      <c r="T198" s="94" t="str">
        <f aca="false">IF($C198="","",SUMIFS(Project_Activity!$P$2:$P$5000,Project_Activity!$C$2:$C$5000,$C198,Project_Activity!$U$2:$U$5000,"Recoverable",Project_Activity!$H$2:$H$5000,"&gt;="&amp;DATE(VALUE(LEFT($B198,4)),1,1),Project_Activity!$H$2:$H$5000,"&lt;="&amp;EOMONTH(DATE(VALUE(LEFT($B198,4)),VALUE(RIGHT($B198,1))*3,1),0)))</f>
        <v/>
      </c>
      <c r="U198" s="94" t="str">
        <f aca="false">IF($C198="","",-SUMIFS(Project_Activity!$P$2:$P$5000,Project_Activity!$C$2:$C$5000,$C198,Project_Activity!$U$2:$U$5000,"Recovered Expenses",Project_Activity!$H$2:$H$5000,"&gt;="&amp;DATE(VALUE(LEFT($B198,4)),1,1),Project_Activity!$H$2:$H$5000,"&lt;="&amp;EOMONTH(DATE(VALUE(LEFT($B198,4)),VALUE(RIGHT($B198,1))*3,1),0)))</f>
        <v/>
      </c>
      <c r="V198" s="145"/>
      <c r="W198" s="94" t="str">
        <f aca="false">IF($C198="","",$V198*$N198)</f>
        <v/>
      </c>
      <c r="X198" s="145"/>
      <c r="Y198" s="94" t="str">
        <f aca="false">IF($C198="","",$X198*$N198)</f>
        <v/>
      </c>
      <c r="Z198" s="145"/>
      <c r="AA198" s="94" t="str">
        <f aca="false">IF($C198="","",$Z198*$N198)</f>
        <v/>
      </c>
      <c r="AB198" s="145"/>
      <c r="AC198" s="94" t="str">
        <f aca="false">IF($C198="","",$AB198*$N198)</f>
        <v/>
      </c>
      <c r="AD198" s="94" t="str">
        <f aca="false">IF($C198="","",SUMPRODUCT((VALUE(MID($B198,7,1))&gt;={1,2,3,4})*CHOOSE({1,2,3,4},$W198,$Y198,$AA198,$AC198)))</f>
        <v/>
      </c>
      <c r="AE198" s="94" t="str">
        <f aca="false">IF($C198="","",$W198+$Y198+$AA198+$AC198-$AD198)</f>
        <v/>
      </c>
      <c r="AF198" s="146"/>
      <c r="AG198" s="146"/>
      <c r="AH198" s="146"/>
      <c r="AI198" s="147" t="str">
        <f aca="false">IF($C198="","",IF(OR($L198="Pipeline",$N198&lt;0,$O198&gt;$N198+1,($V198+$X198+$Z198+$AB198)&gt;1.0001,ISNUMBER(SEARCH("not signed",$AF198))),"REVIEW","OK"))</f>
        <v/>
      </c>
    </row>
    <row r="199" customFormat="false" ht="13.5" hidden="false" customHeight="false" outlineLevel="0" collapsed="false">
      <c r="A199" s="95" t="str">
        <f aca="false">IF($C199="","",Controls!$B$7)</f>
        <v/>
      </c>
      <c r="B199" s="95" t="str">
        <f aca="false">IF($C199="","",Controls!$B$30)</f>
        <v/>
      </c>
      <c r="C199" s="95" t="str">
        <f aca="false">IF(MM_Income!$A202="","",MM_Income!$A202)</f>
        <v/>
      </c>
      <c r="D199" s="95" t="str">
        <f aca="false">IF($C199="","",INDEX(MM_Income!$B$5:$B$204,MATCH($C199,MM_Income!$A$5:$A$204,0)))</f>
        <v/>
      </c>
      <c r="E199" s="95" t="str">
        <f aca="false">IF($C199="","",INDEX(MM_Income!$C$5:$C$204,MATCH($C199,MM_Income!$A$5:$A$204,0)))</f>
        <v/>
      </c>
      <c r="F199" s="95" t="str">
        <f aca="false">IF($C199="","",INDEX(MM_Income!$F$5:$F$204,MATCH($C199,MM_Income!$A$5:$A$204,0)))</f>
        <v/>
      </c>
      <c r="G199" s="95" t="str">
        <f aca="false">IF($C199="","",INDEX(MM_Income!$G$5:$G$204,MATCH($C199,MM_Income!$A$5:$A$204,0)))</f>
        <v/>
      </c>
      <c r="H199" s="95" t="str">
        <f aca="false">IF($C199="","",INDEX(MM_Income!$H$5:$H$204,MATCH($C199,MM_Income!$A$5:$A$204,0)))</f>
        <v/>
      </c>
      <c r="I199" s="95" t="str">
        <f aca="false">IF($C199="","",INDEX(MM_Income!$I$5:$I$204,MATCH($C199,MM_Income!$A$5:$A$204,0)))</f>
        <v/>
      </c>
      <c r="J199" s="95" t="str">
        <f aca="false">IF($C199="","",INDEX(MM_Income!$D$5:$D$204,MATCH($C199,MM_Income!$A$5:$A$204,0)))</f>
        <v/>
      </c>
      <c r="K199" s="95" t="str">
        <f aca="false">IF($C199="","",INDEX(MM_Income!$E$5:$E$204,MATCH($C199,MM_Income!$A$5:$A$204,0)))</f>
        <v/>
      </c>
      <c r="L199" s="95" t="str">
        <f aca="false">IF($C199="","",INDEX(MM_Income!$U$5:$U$204,MATCH($C199,MM_Income!$A$5:$A$204,0)))</f>
        <v/>
      </c>
      <c r="M199" s="143" t="str">
        <f aca="false">IF($C199="","",INDEX(MM_Income!$V$5:$V$204,MATCH($C199,MM_Income!$A$5:$A$204,0)))</f>
        <v/>
      </c>
      <c r="N199" s="144" t="str">
        <f aca="false">IF($C199="","",INDEX(MM_Income!$T$5:$T$204,MATCH($C199,MM_Income!$A$5:$A$204,0)))</f>
        <v/>
      </c>
      <c r="O199" s="94" t="str">
        <f aca="false">IF($C199="","",-SUMIFS(Project_Activity!$P$2:$P$5000,Project_Activity!$C$2:$C$5000,$C199,Project_Activity!$U$2:$U$5000,"Invoiced Income",Project_Activity!$H$2:$H$5000,"&gt;="&amp;DATE(VALUE(LEFT($B199,4)),1,1),Project_Activity!$H$2:$H$5000,"&lt;="&amp;EOMONTH(DATE(VALUE(LEFT($B199,4)),VALUE(RIGHT($B199,1))*3,1),0)))</f>
        <v/>
      </c>
      <c r="P199" s="94" t="str">
        <f aca="false">IF($C199="","",SUMIFS(Project_Activity!$P$2:$P$5000,Project_Activity!$C$2:$C$5000,$C199,Project_Activity!$U$2:$U$5000,"Subcontractor",Project_Activity!$H$2:$H$5000,"&gt;="&amp;DATE(VALUE(LEFT($B199,4)),1,1),Project_Activity!$H$2:$H$5000,"&lt;="&amp;EOMONTH(DATE(VALUE(LEFT($B199,4)),VALUE(RIGHT($B199,1))*3,1),0)))</f>
        <v/>
      </c>
      <c r="Q199" s="94" t="str">
        <f aca="false">IF($C199="","",SUMIFS(Project_Activity!$P$2:$P$5000,Project_Activity!$C$2:$C$5000,$C199,Project_Activity!$U$2:$U$5000,"Project Inclusive",Project_Activity!$H$2:$H$5000,"&gt;="&amp;DATE(VALUE(LEFT($B199,4)),1,1),Project_Activity!$H$2:$H$5000,"&lt;="&amp;EOMONTH(DATE(VALUE(LEFT($B199,4)),VALUE(RIGHT($B199,1))*3,1),0)))</f>
        <v/>
      </c>
      <c r="R199" s="94" t="str">
        <f aca="false">IF($C199="","",SUMIFS(Project_Activity!$P$2:$P$5000,Project_Activity!$C$2:$C$5000,$C199,Project_Activity!$U$2:$U$5000,"Non-Recoverable",Project_Activity!$H$2:$H$5000,"&gt;="&amp;DATE(VALUE(LEFT($B199,4)),1,1),Project_Activity!$H$2:$H$5000,"&lt;="&amp;EOMONTH(DATE(VALUE(LEFT($B199,4)),VALUE(RIGHT($B199,1))*3,1),0)))</f>
        <v/>
      </c>
      <c r="S199" s="94" t="str">
        <f aca="false">IF($C199="","",$O199-$P199-$Q199-$R199)</f>
        <v/>
      </c>
      <c r="T199" s="94" t="str">
        <f aca="false">IF($C199="","",SUMIFS(Project_Activity!$P$2:$P$5000,Project_Activity!$C$2:$C$5000,$C199,Project_Activity!$U$2:$U$5000,"Recoverable",Project_Activity!$H$2:$H$5000,"&gt;="&amp;DATE(VALUE(LEFT($B199,4)),1,1),Project_Activity!$H$2:$H$5000,"&lt;="&amp;EOMONTH(DATE(VALUE(LEFT($B199,4)),VALUE(RIGHT($B199,1))*3,1),0)))</f>
        <v/>
      </c>
      <c r="U199" s="94" t="str">
        <f aca="false">IF($C199="","",-SUMIFS(Project_Activity!$P$2:$P$5000,Project_Activity!$C$2:$C$5000,$C199,Project_Activity!$U$2:$U$5000,"Recovered Expenses",Project_Activity!$H$2:$H$5000,"&gt;="&amp;DATE(VALUE(LEFT($B199,4)),1,1),Project_Activity!$H$2:$H$5000,"&lt;="&amp;EOMONTH(DATE(VALUE(LEFT($B199,4)),VALUE(RIGHT($B199,1))*3,1),0)))</f>
        <v/>
      </c>
      <c r="V199" s="145"/>
      <c r="W199" s="94" t="str">
        <f aca="false">IF($C199="","",$V199*$N199)</f>
        <v/>
      </c>
      <c r="X199" s="145"/>
      <c r="Y199" s="94" t="str">
        <f aca="false">IF($C199="","",$X199*$N199)</f>
        <v/>
      </c>
      <c r="Z199" s="145"/>
      <c r="AA199" s="94" t="str">
        <f aca="false">IF($C199="","",$Z199*$N199)</f>
        <v/>
      </c>
      <c r="AB199" s="145"/>
      <c r="AC199" s="94" t="str">
        <f aca="false">IF($C199="","",$AB199*$N199)</f>
        <v/>
      </c>
      <c r="AD199" s="94" t="str">
        <f aca="false">IF($C199="","",SUMPRODUCT((VALUE(MID($B199,7,1))&gt;={1,2,3,4})*CHOOSE({1,2,3,4},$W199,$Y199,$AA199,$AC199)))</f>
        <v/>
      </c>
      <c r="AE199" s="94" t="str">
        <f aca="false">IF($C199="","",$W199+$Y199+$AA199+$AC199-$AD199)</f>
        <v/>
      </c>
      <c r="AF199" s="146"/>
      <c r="AG199" s="146"/>
      <c r="AH199" s="146"/>
      <c r="AI199" s="147" t="str">
        <f aca="false">IF($C199="","",IF(OR($L199="Pipeline",$N199&lt;0,$O199&gt;$N199+1,($V199+$X199+$Z199+$AB199)&gt;1.0001,ISNUMBER(SEARCH("not signed",$AF199))),"REVIEW","OK"))</f>
        <v/>
      </c>
    </row>
    <row r="200" customFormat="false" ht="13.5" hidden="false" customHeight="false" outlineLevel="0" collapsed="false">
      <c r="A200" s="95" t="str">
        <f aca="false">IF($C200="","",Controls!$B$7)</f>
        <v/>
      </c>
      <c r="B200" s="95" t="str">
        <f aca="false">IF($C200="","",Controls!$B$30)</f>
        <v/>
      </c>
      <c r="C200" s="95" t="str">
        <f aca="false">IF(MM_Income!$A203="","",MM_Income!$A203)</f>
        <v/>
      </c>
      <c r="D200" s="95" t="str">
        <f aca="false">IF($C200="","",INDEX(MM_Income!$B$5:$B$204,MATCH($C200,MM_Income!$A$5:$A$204,0)))</f>
        <v/>
      </c>
      <c r="E200" s="95" t="str">
        <f aca="false">IF($C200="","",INDEX(MM_Income!$C$5:$C$204,MATCH($C200,MM_Income!$A$5:$A$204,0)))</f>
        <v/>
      </c>
      <c r="F200" s="95" t="str">
        <f aca="false">IF($C200="","",INDEX(MM_Income!$F$5:$F$204,MATCH($C200,MM_Income!$A$5:$A$204,0)))</f>
        <v/>
      </c>
      <c r="G200" s="95" t="str">
        <f aca="false">IF($C200="","",INDEX(MM_Income!$G$5:$G$204,MATCH($C200,MM_Income!$A$5:$A$204,0)))</f>
        <v/>
      </c>
      <c r="H200" s="95" t="str">
        <f aca="false">IF($C200="","",INDEX(MM_Income!$H$5:$H$204,MATCH($C200,MM_Income!$A$5:$A$204,0)))</f>
        <v/>
      </c>
      <c r="I200" s="95" t="str">
        <f aca="false">IF($C200="","",INDEX(MM_Income!$I$5:$I$204,MATCH($C200,MM_Income!$A$5:$A$204,0)))</f>
        <v/>
      </c>
      <c r="J200" s="95" t="str">
        <f aca="false">IF($C200="","",INDEX(MM_Income!$D$5:$D$204,MATCH($C200,MM_Income!$A$5:$A$204,0)))</f>
        <v/>
      </c>
      <c r="K200" s="95" t="str">
        <f aca="false">IF($C200="","",INDEX(MM_Income!$E$5:$E$204,MATCH($C200,MM_Income!$A$5:$A$204,0)))</f>
        <v/>
      </c>
      <c r="L200" s="95" t="str">
        <f aca="false">IF($C200="","",INDEX(MM_Income!$U$5:$U$204,MATCH($C200,MM_Income!$A$5:$A$204,0)))</f>
        <v/>
      </c>
      <c r="M200" s="143" t="str">
        <f aca="false">IF($C200="","",INDEX(MM_Income!$V$5:$V$204,MATCH($C200,MM_Income!$A$5:$A$204,0)))</f>
        <v/>
      </c>
      <c r="N200" s="144" t="str">
        <f aca="false">IF($C200="","",INDEX(MM_Income!$T$5:$T$204,MATCH($C200,MM_Income!$A$5:$A$204,0)))</f>
        <v/>
      </c>
      <c r="O200" s="94" t="str">
        <f aca="false">IF($C200="","",-SUMIFS(Project_Activity!$P$2:$P$5000,Project_Activity!$C$2:$C$5000,$C200,Project_Activity!$U$2:$U$5000,"Invoiced Income",Project_Activity!$H$2:$H$5000,"&gt;="&amp;DATE(VALUE(LEFT($B200,4)),1,1),Project_Activity!$H$2:$H$5000,"&lt;="&amp;EOMONTH(DATE(VALUE(LEFT($B200,4)),VALUE(RIGHT($B200,1))*3,1),0)))</f>
        <v/>
      </c>
      <c r="P200" s="94" t="str">
        <f aca="false">IF($C200="","",SUMIFS(Project_Activity!$P$2:$P$5000,Project_Activity!$C$2:$C$5000,$C200,Project_Activity!$U$2:$U$5000,"Subcontractor",Project_Activity!$H$2:$H$5000,"&gt;="&amp;DATE(VALUE(LEFT($B200,4)),1,1),Project_Activity!$H$2:$H$5000,"&lt;="&amp;EOMONTH(DATE(VALUE(LEFT($B200,4)),VALUE(RIGHT($B200,1))*3,1),0)))</f>
        <v/>
      </c>
      <c r="Q200" s="94" t="str">
        <f aca="false">IF($C200="","",SUMIFS(Project_Activity!$P$2:$P$5000,Project_Activity!$C$2:$C$5000,$C200,Project_Activity!$U$2:$U$5000,"Project Inclusive",Project_Activity!$H$2:$H$5000,"&gt;="&amp;DATE(VALUE(LEFT($B200,4)),1,1),Project_Activity!$H$2:$H$5000,"&lt;="&amp;EOMONTH(DATE(VALUE(LEFT($B200,4)),VALUE(RIGHT($B200,1))*3,1),0)))</f>
        <v/>
      </c>
      <c r="R200" s="94" t="str">
        <f aca="false">IF($C200="","",SUMIFS(Project_Activity!$P$2:$P$5000,Project_Activity!$C$2:$C$5000,$C200,Project_Activity!$U$2:$U$5000,"Non-Recoverable",Project_Activity!$H$2:$H$5000,"&gt;="&amp;DATE(VALUE(LEFT($B200,4)),1,1),Project_Activity!$H$2:$H$5000,"&lt;="&amp;EOMONTH(DATE(VALUE(LEFT($B200,4)),VALUE(RIGHT($B200,1))*3,1),0)))</f>
        <v/>
      </c>
      <c r="S200" s="94" t="str">
        <f aca="false">IF($C200="","",$O200-$P200-$Q200-$R200)</f>
        <v/>
      </c>
      <c r="T200" s="94" t="str">
        <f aca="false">IF($C200="","",SUMIFS(Project_Activity!$P$2:$P$5000,Project_Activity!$C$2:$C$5000,$C200,Project_Activity!$U$2:$U$5000,"Recoverable",Project_Activity!$H$2:$H$5000,"&gt;="&amp;DATE(VALUE(LEFT($B200,4)),1,1),Project_Activity!$H$2:$H$5000,"&lt;="&amp;EOMONTH(DATE(VALUE(LEFT($B200,4)),VALUE(RIGHT($B200,1))*3,1),0)))</f>
        <v/>
      </c>
      <c r="U200" s="94" t="str">
        <f aca="false">IF($C200="","",-SUMIFS(Project_Activity!$P$2:$P$5000,Project_Activity!$C$2:$C$5000,$C200,Project_Activity!$U$2:$U$5000,"Recovered Expenses",Project_Activity!$H$2:$H$5000,"&gt;="&amp;DATE(VALUE(LEFT($B200,4)),1,1),Project_Activity!$H$2:$H$5000,"&lt;="&amp;EOMONTH(DATE(VALUE(LEFT($B200,4)),VALUE(RIGHT($B200,1))*3,1),0)))</f>
        <v/>
      </c>
      <c r="V200" s="145"/>
      <c r="W200" s="94" t="str">
        <f aca="false">IF($C200="","",$V200*$N200)</f>
        <v/>
      </c>
      <c r="X200" s="145"/>
      <c r="Y200" s="94" t="str">
        <f aca="false">IF($C200="","",$X200*$N200)</f>
        <v/>
      </c>
      <c r="Z200" s="145"/>
      <c r="AA200" s="94" t="str">
        <f aca="false">IF($C200="","",$Z200*$N200)</f>
        <v/>
      </c>
      <c r="AB200" s="145"/>
      <c r="AC200" s="94" t="str">
        <f aca="false">IF($C200="","",$AB200*$N200)</f>
        <v/>
      </c>
      <c r="AD200" s="94" t="str">
        <f aca="false">IF($C200="","",SUMPRODUCT((VALUE(MID($B200,7,1))&gt;={1,2,3,4})*CHOOSE({1,2,3,4},$W200,$Y200,$AA200,$AC200)))</f>
        <v/>
      </c>
      <c r="AE200" s="94" t="str">
        <f aca="false">IF($C200="","",$W200+$Y200+$AA200+$AC200-$AD200)</f>
        <v/>
      </c>
      <c r="AF200" s="146"/>
      <c r="AG200" s="146"/>
      <c r="AH200" s="146"/>
      <c r="AI200" s="147" t="str">
        <f aca="false">IF($C200="","",IF(OR($L200="Pipeline",$N200&lt;0,$O200&gt;$N200+1,($V200+$X200+$Z200+$AB200)&gt;1.0001,ISNUMBER(SEARCH("not signed",$AF200))),"REVIEW","OK"))</f>
        <v/>
      </c>
    </row>
    <row r="201" customFormat="false" ht="13.5" hidden="false" customHeight="false" outlineLevel="0" collapsed="false">
      <c r="A201" s="95" t="str">
        <f aca="false">IF($C201="","",Controls!$B$7)</f>
        <v/>
      </c>
      <c r="B201" s="95" t="str">
        <f aca="false">IF($C201="","",Controls!$B$30)</f>
        <v/>
      </c>
      <c r="C201" s="95" t="str">
        <f aca="false">IF(MM_Income!$A204="","",MM_Income!$A204)</f>
        <v/>
      </c>
      <c r="D201" s="95" t="str">
        <f aca="false">IF($C201="","",INDEX(MM_Income!$B$5:$B$204,MATCH($C201,MM_Income!$A$5:$A$204,0)))</f>
        <v/>
      </c>
      <c r="E201" s="95" t="str">
        <f aca="false">IF($C201="","",INDEX(MM_Income!$C$5:$C$204,MATCH($C201,MM_Income!$A$5:$A$204,0)))</f>
        <v/>
      </c>
      <c r="F201" s="95" t="str">
        <f aca="false">IF($C201="","",INDEX(MM_Income!$F$5:$F$204,MATCH($C201,MM_Income!$A$5:$A$204,0)))</f>
        <v/>
      </c>
      <c r="G201" s="95" t="str">
        <f aca="false">IF($C201="","",INDEX(MM_Income!$G$5:$G$204,MATCH($C201,MM_Income!$A$5:$A$204,0)))</f>
        <v/>
      </c>
      <c r="H201" s="95" t="str">
        <f aca="false">IF($C201="","",INDEX(MM_Income!$H$5:$H$204,MATCH($C201,MM_Income!$A$5:$A$204,0)))</f>
        <v/>
      </c>
      <c r="I201" s="95" t="str">
        <f aca="false">IF($C201="","",INDEX(MM_Income!$I$5:$I$204,MATCH($C201,MM_Income!$A$5:$A$204,0)))</f>
        <v/>
      </c>
      <c r="J201" s="95" t="str">
        <f aca="false">IF($C201="","",INDEX(MM_Income!$D$5:$D$204,MATCH($C201,MM_Income!$A$5:$A$204,0)))</f>
        <v/>
      </c>
      <c r="K201" s="95" t="str">
        <f aca="false">IF($C201="","",INDEX(MM_Income!$E$5:$E$204,MATCH($C201,MM_Income!$A$5:$A$204,0)))</f>
        <v/>
      </c>
      <c r="L201" s="95" t="str">
        <f aca="false">IF($C201="","",INDEX(MM_Income!$U$5:$U$204,MATCH($C201,MM_Income!$A$5:$A$204,0)))</f>
        <v/>
      </c>
      <c r="M201" s="143" t="str">
        <f aca="false">IF($C201="","",INDEX(MM_Income!$V$5:$V$204,MATCH($C201,MM_Income!$A$5:$A$204,0)))</f>
        <v/>
      </c>
      <c r="N201" s="144" t="str">
        <f aca="false">IF($C201="","",INDEX(MM_Income!$T$5:$T$204,MATCH($C201,MM_Income!$A$5:$A$204,0)))</f>
        <v/>
      </c>
      <c r="O201" s="94" t="str">
        <f aca="false">IF($C201="","",-SUMIFS(Project_Activity!$P$2:$P$5000,Project_Activity!$C$2:$C$5000,$C201,Project_Activity!$U$2:$U$5000,"Invoiced Income",Project_Activity!$H$2:$H$5000,"&gt;="&amp;DATE(VALUE(LEFT($B201,4)),1,1),Project_Activity!$H$2:$H$5000,"&lt;="&amp;EOMONTH(DATE(VALUE(LEFT($B201,4)),VALUE(RIGHT($B201,1))*3,1),0)))</f>
        <v/>
      </c>
      <c r="P201" s="94" t="str">
        <f aca="false">IF($C201="","",SUMIFS(Project_Activity!$P$2:$P$5000,Project_Activity!$C$2:$C$5000,$C201,Project_Activity!$U$2:$U$5000,"Subcontractor",Project_Activity!$H$2:$H$5000,"&gt;="&amp;DATE(VALUE(LEFT($B201,4)),1,1),Project_Activity!$H$2:$H$5000,"&lt;="&amp;EOMONTH(DATE(VALUE(LEFT($B201,4)),VALUE(RIGHT($B201,1))*3,1),0)))</f>
        <v/>
      </c>
      <c r="Q201" s="94" t="str">
        <f aca="false">IF($C201="","",SUMIFS(Project_Activity!$P$2:$P$5000,Project_Activity!$C$2:$C$5000,$C201,Project_Activity!$U$2:$U$5000,"Project Inclusive",Project_Activity!$H$2:$H$5000,"&gt;="&amp;DATE(VALUE(LEFT($B201,4)),1,1),Project_Activity!$H$2:$H$5000,"&lt;="&amp;EOMONTH(DATE(VALUE(LEFT($B201,4)),VALUE(RIGHT($B201,1))*3,1),0)))</f>
        <v/>
      </c>
      <c r="R201" s="94" t="str">
        <f aca="false">IF($C201="","",SUMIFS(Project_Activity!$P$2:$P$5000,Project_Activity!$C$2:$C$5000,$C201,Project_Activity!$U$2:$U$5000,"Non-Recoverable",Project_Activity!$H$2:$H$5000,"&gt;="&amp;DATE(VALUE(LEFT($B201,4)),1,1),Project_Activity!$H$2:$H$5000,"&lt;="&amp;EOMONTH(DATE(VALUE(LEFT($B201,4)),VALUE(RIGHT($B201,1))*3,1),0)))</f>
        <v/>
      </c>
      <c r="S201" s="94" t="str">
        <f aca="false">IF($C201="","",$O201-$P201-$Q201-$R201)</f>
        <v/>
      </c>
      <c r="T201" s="94" t="str">
        <f aca="false">IF($C201="","",SUMIFS(Project_Activity!$P$2:$P$5000,Project_Activity!$C$2:$C$5000,$C201,Project_Activity!$U$2:$U$5000,"Recoverable",Project_Activity!$H$2:$H$5000,"&gt;="&amp;DATE(VALUE(LEFT($B201,4)),1,1),Project_Activity!$H$2:$H$5000,"&lt;="&amp;EOMONTH(DATE(VALUE(LEFT($B201,4)),VALUE(RIGHT($B201,1))*3,1),0)))</f>
        <v/>
      </c>
      <c r="U201" s="94" t="str">
        <f aca="false">IF($C201="","",-SUMIFS(Project_Activity!$P$2:$P$5000,Project_Activity!$C$2:$C$5000,$C201,Project_Activity!$U$2:$U$5000,"Recovered Expenses",Project_Activity!$H$2:$H$5000,"&gt;="&amp;DATE(VALUE(LEFT($B201,4)),1,1),Project_Activity!$H$2:$H$5000,"&lt;="&amp;EOMONTH(DATE(VALUE(LEFT($B201,4)),VALUE(RIGHT($B201,1))*3,1),0)))</f>
        <v/>
      </c>
      <c r="V201" s="145"/>
      <c r="W201" s="94" t="str">
        <f aca="false">IF($C201="","",$V201*$N201)</f>
        <v/>
      </c>
      <c r="X201" s="145"/>
      <c r="Y201" s="94" t="str">
        <f aca="false">IF($C201="","",$X201*$N201)</f>
        <v/>
      </c>
      <c r="Z201" s="145"/>
      <c r="AA201" s="94" t="str">
        <f aca="false">IF($C201="","",$Z201*$N201)</f>
        <v/>
      </c>
      <c r="AB201" s="145"/>
      <c r="AC201" s="94" t="str">
        <f aca="false">IF($C201="","",$AB201*$N201)</f>
        <v/>
      </c>
      <c r="AD201" s="94" t="str">
        <f aca="false">IF($C201="","",SUMPRODUCT((VALUE(MID($B201,7,1))&gt;={1,2,3,4})*CHOOSE({1,2,3,4},$W201,$Y201,$AA201,$AC201)))</f>
        <v/>
      </c>
      <c r="AE201" s="94" t="str">
        <f aca="false">IF($C201="","",$W201+$Y201+$AA201+$AC201-$AD201)</f>
        <v/>
      </c>
      <c r="AF201" s="146"/>
      <c r="AG201" s="146"/>
      <c r="AH201" s="146"/>
      <c r="AI201" s="147" t="str">
        <f aca="false">IF($C201="","",IF(OR($L201="Pipeline",$N201&lt;0,$O201&gt;$N201+1,($V201+$X201+$Z201+$AB201)&gt;1.0001,ISNUMBER(SEARCH("not signed",$AF201))),"REVIEW","OK"))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R4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40" width="12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46"/>
    <col collapsed="false" customWidth="true" hidden="false" outlineLevel="0" max="12" min="11" style="1" width="13"/>
    <col collapsed="false" customWidth="true" hidden="false" outlineLevel="0" max="13" min="13" style="1" width="14"/>
    <col collapsed="false" customWidth="true" hidden="false" outlineLevel="0" max="14" min="14" style="1" width="34"/>
    <col collapsed="false" customWidth="true" hidden="false" outlineLevel="0" max="15" min="15" style="1" width="38"/>
    <col collapsed="false" customWidth="true" hidden="false" outlineLevel="0" max="16" min="16" style="1" width="50"/>
    <col collapsed="false" customWidth="true" hidden="false" outlineLevel="0" max="17" min="17" style="1" width="14"/>
  </cols>
  <sheetData>
    <row r="1" customFormat="false" ht="13.5" hidden="false" customHeight="false" outlineLevel="0" collapsed="false">
      <c r="A1" s="20" t="s">
        <v>3</v>
      </c>
      <c r="B1" s="20" t="s">
        <v>71</v>
      </c>
      <c r="C1" s="20" t="s">
        <v>796</v>
      </c>
      <c r="D1" s="20" t="s">
        <v>1205</v>
      </c>
      <c r="E1" s="20" t="s">
        <v>825</v>
      </c>
      <c r="F1" s="20" t="s">
        <v>826</v>
      </c>
      <c r="G1" s="148" t="s">
        <v>38</v>
      </c>
      <c r="H1" s="20" t="s">
        <v>828</v>
      </c>
      <c r="I1" s="20" t="s">
        <v>1206</v>
      </c>
      <c r="J1" s="20" t="s">
        <v>501</v>
      </c>
      <c r="K1" s="20" t="s">
        <v>521</v>
      </c>
      <c r="L1" s="20" t="s">
        <v>522</v>
      </c>
      <c r="M1" s="20" t="s">
        <v>1207</v>
      </c>
      <c r="N1" s="20" t="s">
        <v>426</v>
      </c>
      <c r="O1" s="20" t="s">
        <v>524</v>
      </c>
      <c r="P1" s="20" t="s">
        <v>835</v>
      </c>
      <c r="Q1" s="20" t="s">
        <v>836</v>
      </c>
      <c r="R1" s="124" t="s">
        <v>837</v>
      </c>
    </row>
    <row r="2" customFormat="false" ht="14.9" hidden="false" customHeight="false" outlineLevel="0" collapsed="false">
      <c r="A2" s="20" t="s">
        <v>49</v>
      </c>
      <c r="B2" s="20" t="s">
        <v>85</v>
      </c>
      <c r="C2" s="1" t="n">
        <v>4000</v>
      </c>
      <c r="D2" s="1" t="s">
        <v>671</v>
      </c>
      <c r="E2" s="1" t="n">
        <v>42247</v>
      </c>
      <c r="F2" s="1" t="s">
        <v>840</v>
      </c>
      <c r="G2" s="140" t="n">
        <v>46042</v>
      </c>
      <c r="H2" s="1" t="s">
        <v>841</v>
      </c>
      <c r="I2" s="1" t="n">
        <v>2026005</v>
      </c>
      <c r="J2" s="1" t="s">
        <v>843</v>
      </c>
      <c r="L2" s="1" t="n">
        <v>786124.25</v>
      </c>
      <c r="M2" s="125" t="n">
        <f aca="false">Nominal_Activity[[#This Row],[Debit]]-Nominal_Activity[[#This Row],[Credit]]</f>
        <v>-786124.25</v>
      </c>
      <c r="N2" s="149" t="str">
        <f aca="false">IF(C2="","",IFERROR(VLOOKUP(C2,Master_Mappings!$A$4:$E$85,3,FALSE()),"UNMAPPED"))</f>
        <v>Excluded — Project/Other</v>
      </c>
      <c r="O2" s="20" t="s">
        <v>1208</v>
      </c>
      <c r="P2" s="20" t="str">
        <f aca="false">IF($C2="","",$C2&amp;"|"&amp;$E2&amp;"|"&amp;$M2&amp;"|"&amp;TEXT($G2,"yyyy-mm-dd")&amp;"|"&amp;LEFT($J2,40))</f>
        <v>4000|42247|-786124.25|2026-01-20|First 40% invoice on signing of contract</v>
      </c>
      <c r="Q2" s="20" t="str">
        <f aca="false">IF(P2="","",IF(COUNTIF($P$2:$P$3000,P2)&gt;1,"DUPLICATE","OK"))</f>
        <v>OK</v>
      </c>
      <c r="R2" s="0" t="str">
        <f aca="false">IF($C2="","",IFERROR(VLOOKUP(--$C2,MM_Income!$Z$5:$AC$204,3,FALSE()),""))</f>
        <v>Invoiced Income</v>
      </c>
    </row>
    <row r="3" customFormat="false" ht="14.9" hidden="false" customHeight="false" outlineLevel="0" collapsed="false">
      <c r="A3" s="20" t="s">
        <v>49</v>
      </c>
      <c r="B3" s="20" t="s">
        <v>85</v>
      </c>
      <c r="C3" s="1" t="n">
        <v>4000</v>
      </c>
      <c r="D3" s="1" t="s">
        <v>671</v>
      </c>
      <c r="E3" s="1" t="n">
        <v>42699</v>
      </c>
      <c r="F3" s="1" t="s">
        <v>840</v>
      </c>
      <c r="G3" s="140" t="n">
        <v>46052</v>
      </c>
      <c r="H3" s="1" t="s">
        <v>858</v>
      </c>
      <c r="I3" s="1" t="n">
        <v>2026008</v>
      </c>
      <c r="J3" s="1" t="s">
        <v>860</v>
      </c>
      <c r="L3" s="1" t="n">
        <v>241263.46</v>
      </c>
      <c r="M3" s="125" t="n">
        <f aca="false">Nominal_Activity[[#This Row],[Debit]]-Nominal_Activity[[#This Row],[Credit]]</f>
        <v>-241263.46</v>
      </c>
      <c r="N3" s="149" t="str">
        <f aca="false">IF(C3="","",IFERROR(VLOOKUP(C3,Master_Mappings!$A$4:$E$85,3,FALSE()),"UNMAPPED"))</f>
        <v>Excluded — Project/Other</v>
      </c>
      <c r="O3" s="20" t="s">
        <v>1208</v>
      </c>
      <c r="P3" s="20" t="str">
        <f aca="false">IF($C3="","",$C3&amp;"|"&amp;$E3&amp;"|"&amp;$M3&amp;"|"&amp;TEXT($G3,"yyyy-mm-dd")&amp;"|"&amp;LEFT($J3,40))</f>
        <v>4000|42699|-241263.46|2026-01-30|First 40% invoice on contract signing of</v>
      </c>
      <c r="Q3" s="20" t="str">
        <f aca="false">IF(P3="","",IF(COUNTIF($P$2:$P$3000,P3)&gt;1,"DUPLICATE","OK"))</f>
        <v>OK</v>
      </c>
      <c r="R3" s="0" t="str">
        <f aca="false">IF($C3="","",IFERROR(VLOOKUP(--$C3,MM_Income!$Z$5:$AC$204,3,FALSE()),""))</f>
        <v>Invoiced Income</v>
      </c>
    </row>
    <row r="4" customFormat="false" ht="14.9" hidden="false" customHeight="false" outlineLevel="0" collapsed="false">
      <c r="A4" s="20" t="s">
        <v>49</v>
      </c>
      <c r="B4" s="20" t="s">
        <v>85</v>
      </c>
      <c r="C4" s="1" t="n">
        <v>4000</v>
      </c>
      <c r="D4" s="1" t="s">
        <v>671</v>
      </c>
      <c r="E4" s="1" t="n">
        <v>42953</v>
      </c>
      <c r="F4" s="1" t="s">
        <v>840</v>
      </c>
      <c r="G4" s="140" t="n">
        <v>46049</v>
      </c>
      <c r="H4" s="1" t="s">
        <v>911</v>
      </c>
      <c r="I4" s="1" t="n">
        <v>2026007</v>
      </c>
      <c r="J4" s="1" t="s">
        <v>913</v>
      </c>
      <c r="L4" s="1" t="n">
        <v>209184.87</v>
      </c>
      <c r="M4" s="125" t="n">
        <f aca="false">Nominal_Activity[[#This Row],[Debit]]-Nominal_Activity[[#This Row],[Credit]]</f>
        <v>-209184.87</v>
      </c>
      <c r="N4" s="149" t="str">
        <f aca="false">IF(C4="","",IFERROR(VLOOKUP(C4,Master_Mappings!$A$4:$E$85,3,FALSE()),"UNMAPPED"))</f>
        <v>Excluded — Project/Other</v>
      </c>
      <c r="O4" s="20" t="s">
        <v>1208</v>
      </c>
      <c r="P4" s="20" t="str">
        <f aca="false">IF($C4="","",$C4&amp;"|"&amp;$E4&amp;"|"&amp;$M4&amp;"|"&amp;TEXT($G4,"yyyy-mm-dd")&amp;"|"&amp;LEFT($J4,40))</f>
        <v>4000|42953|-209184.87|2026-01-27|First 40% invoice on contract signing fo</v>
      </c>
      <c r="Q4" s="20" t="str">
        <f aca="false">IF(P4="","",IF(COUNTIF($P$2:$P$3000,P4)&gt;1,"DUPLICATE","OK"))</f>
        <v>OK</v>
      </c>
      <c r="R4" s="0" t="str">
        <f aca="false">IF($C4="","",IFERROR(VLOOKUP(--$C4,MM_Income!$Z$5:$AC$204,3,FALSE()),""))</f>
        <v>Invoiced Income</v>
      </c>
    </row>
    <row r="5" customFormat="false" ht="14.9" hidden="false" customHeight="false" outlineLevel="0" collapsed="false">
      <c r="A5" s="20" t="s">
        <v>49</v>
      </c>
      <c r="B5" s="20" t="s">
        <v>85</v>
      </c>
      <c r="C5" s="1" t="n">
        <v>4000</v>
      </c>
      <c r="D5" s="1" t="s">
        <v>671</v>
      </c>
      <c r="E5" s="1" t="n">
        <v>42968</v>
      </c>
      <c r="F5" s="1" t="s">
        <v>840</v>
      </c>
      <c r="G5" s="140" t="n">
        <v>46048</v>
      </c>
      <c r="H5" s="1" t="s">
        <v>921</v>
      </c>
      <c r="I5" s="1" t="n">
        <v>2026006</v>
      </c>
      <c r="J5" s="1" t="s">
        <v>923</v>
      </c>
      <c r="L5" s="1" t="n">
        <v>88274.95</v>
      </c>
      <c r="M5" s="125" t="n">
        <f aca="false">Nominal_Activity[[#This Row],[Debit]]-Nominal_Activity[[#This Row],[Credit]]</f>
        <v>-88274.95</v>
      </c>
      <c r="N5" s="149" t="str">
        <f aca="false">IF(C5="","",IFERROR(VLOOKUP(C5,Master_Mappings!$A$4:$E$85,3,FALSE()),"UNMAPPED"))</f>
        <v>Excluded — Project/Other</v>
      </c>
      <c r="O5" s="20" t="s">
        <v>1208</v>
      </c>
      <c r="P5" s="20" t="str">
        <f aca="false">IF($C5="","",$C5&amp;"|"&amp;$E5&amp;"|"&amp;$M5&amp;"|"&amp;TEXT($G5,"yyyy-mm-dd")&amp;"|"&amp;LEFT($J5,40))</f>
        <v>4000|42968|-88274.95|2026-01-26|50% invoice on contract signing signing </v>
      </c>
      <c r="Q5" s="20" t="str">
        <f aca="false">IF(P5="","",IF(COUNTIF($P$2:$P$3000,P5)&gt;1,"DUPLICATE","OK"))</f>
        <v>OK</v>
      </c>
      <c r="R5" s="0" t="str">
        <f aca="false">IF($C5="","",IFERROR(VLOOKUP(--$C5,MM_Income!$Z$5:$AC$204,3,FALSE()),""))</f>
        <v>Invoiced Income</v>
      </c>
    </row>
    <row r="6" customFormat="false" ht="14.9" hidden="false" customHeight="false" outlineLevel="0" collapsed="false">
      <c r="A6" s="20" t="s">
        <v>49</v>
      </c>
      <c r="B6" s="20" t="s">
        <v>85</v>
      </c>
      <c r="C6" s="1" t="n">
        <v>4000</v>
      </c>
      <c r="D6" s="1" t="s">
        <v>671</v>
      </c>
      <c r="E6" s="1" t="n">
        <v>42969</v>
      </c>
      <c r="F6" s="1" t="s">
        <v>840</v>
      </c>
      <c r="G6" s="140" t="n">
        <v>46048</v>
      </c>
      <c r="H6" s="1" t="s">
        <v>921</v>
      </c>
      <c r="I6" s="1" t="n">
        <v>2026006</v>
      </c>
      <c r="J6" s="1" t="s">
        <v>924</v>
      </c>
      <c r="L6" s="1" t="n">
        <v>41952.32</v>
      </c>
      <c r="M6" s="125" t="n">
        <f aca="false">Nominal_Activity[[#This Row],[Debit]]-Nominal_Activity[[#This Row],[Credit]]</f>
        <v>-41952.32</v>
      </c>
      <c r="N6" s="149" t="str">
        <f aca="false">IF(C6="","",IFERROR(VLOOKUP(C6,Master_Mappings!$A$4:$E$85,3,FALSE()),"UNMAPPED"))</f>
        <v>Excluded — Project/Other</v>
      </c>
      <c r="O6" s="20" t="s">
        <v>1208</v>
      </c>
      <c r="P6" s="20" t="str">
        <f aca="false">IF($C6="","",$C6&amp;"|"&amp;$E6&amp;"|"&amp;$M6&amp;"|"&amp;TEXT($G6,"yyyy-mm-dd")&amp;"|"&amp;LEFT($J6,40))</f>
        <v>4000|42969|-41952.32|2026-01-26|Rechargeable Expenses</v>
      </c>
      <c r="Q6" s="20" t="str">
        <f aca="false">IF(P6="","",IF(COUNTIF($P$2:$P$3000,P6)&gt;1,"DUPLICATE","OK"))</f>
        <v>OK</v>
      </c>
      <c r="R6" s="0" t="str">
        <f aca="false">IF($C6="","",IFERROR(VLOOKUP(--$C6,MM_Income!$Z$5:$AC$204,3,FALSE()),""))</f>
        <v>Invoiced Income</v>
      </c>
    </row>
    <row r="7" customFormat="false" ht="14.9" hidden="false" customHeight="false" outlineLevel="0" collapsed="false">
      <c r="A7" s="20" t="s">
        <v>49</v>
      </c>
      <c r="B7" s="20" t="s">
        <v>85</v>
      </c>
      <c r="C7" s="1" t="n">
        <v>4000</v>
      </c>
      <c r="D7" s="1" t="s">
        <v>671</v>
      </c>
      <c r="E7" s="1" t="n">
        <v>42979</v>
      </c>
      <c r="F7" s="1" t="s">
        <v>1209</v>
      </c>
      <c r="G7" s="140" t="n">
        <v>46099</v>
      </c>
      <c r="H7" s="1" t="s">
        <v>988</v>
      </c>
      <c r="I7" s="1" t="s">
        <v>1210</v>
      </c>
      <c r="J7" s="1" t="s">
        <v>1211</v>
      </c>
      <c r="K7" s="1" t="n">
        <v>2514.5</v>
      </c>
      <c r="M7" s="125" t="n">
        <f aca="false">Nominal_Activity[[#This Row],[Debit]]-Nominal_Activity[[#This Row],[Credit]]</f>
        <v>2514.5</v>
      </c>
      <c r="N7" s="149" t="str">
        <f aca="false">IF(C7="","",IFERROR(VLOOKUP(C7,Master_Mappings!$A$4:$E$85,3,FALSE()),"UNMAPPED"))</f>
        <v>Excluded — Project/Other</v>
      </c>
      <c r="O7" s="20" t="s">
        <v>1208</v>
      </c>
      <c r="P7" s="20" t="str">
        <f aca="false">IF($C7="","",$C7&amp;"|"&amp;$E7&amp;"|"&amp;$M7&amp;"|"&amp;TEXT($G7,"yyyy-mm-dd")&amp;"|"&amp;LEFT($J7,40))</f>
        <v>4000|42979|2514.5|2026-03-18|Credit to reduce invoice-Agreed contract</v>
      </c>
      <c r="Q7" s="20" t="str">
        <f aca="false">IF(P7="","",IF(COUNTIF($P$2:$P$3000,P7)&gt;1,"DUPLICATE","OK"))</f>
        <v>OK</v>
      </c>
      <c r="R7" s="0" t="str">
        <f aca="false">IF($C7="","",IFERROR(VLOOKUP(--$C7,MM_Income!$Z$5:$AC$204,3,FALSE()),""))</f>
        <v>Invoiced Income</v>
      </c>
    </row>
    <row r="8" customFormat="false" ht="14.9" hidden="false" customHeight="false" outlineLevel="0" collapsed="false">
      <c r="A8" s="20" t="s">
        <v>49</v>
      </c>
      <c r="B8" s="20" t="s">
        <v>85</v>
      </c>
      <c r="C8" s="1" t="n">
        <v>4000</v>
      </c>
      <c r="D8" s="1" t="s">
        <v>671</v>
      </c>
      <c r="E8" s="1" t="n">
        <v>43069</v>
      </c>
      <c r="F8" s="1" t="s">
        <v>840</v>
      </c>
      <c r="G8" s="140" t="n">
        <v>46105</v>
      </c>
      <c r="H8" s="1" t="s">
        <v>929</v>
      </c>
      <c r="I8" s="1" t="n">
        <v>2026017</v>
      </c>
      <c r="J8" s="1" t="s">
        <v>928</v>
      </c>
      <c r="L8" s="1" t="n">
        <v>252802.5</v>
      </c>
      <c r="M8" s="125" t="n">
        <f aca="false">Nominal_Activity[[#This Row],[Debit]]-Nominal_Activity[[#This Row],[Credit]]</f>
        <v>-252802.5</v>
      </c>
      <c r="N8" s="149" t="str">
        <f aca="false">IF(C8="","",IFERROR(VLOOKUP(C8,Master_Mappings!$A$4:$E$85,3,FALSE()),"UNMAPPED"))</f>
        <v>Excluded — Project/Other</v>
      </c>
      <c r="O8" s="20" t="s">
        <v>1208</v>
      </c>
      <c r="P8" s="20" t="str">
        <f aca="false">IF($C8="","",$C8&amp;"|"&amp;$E8&amp;"|"&amp;$M8&amp;"|"&amp;TEXT($G8,"yyyy-mm-dd")&amp;"|"&amp;LEFT($J8,40))</f>
        <v>4000|43069|-252802.5|2026-03-24|Milestone 2 - Stakeholder Engagement, Si</v>
      </c>
      <c r="Q8" s="20" t="str">
        <f aca="false">IF(P8="","",IF(COUNTIF($P$2:$P$3000,P8)&gt;1,"DUPLICATE","OK"))</f>
        <v>OK</v>
      </c>
      <c r="R8" s="0" t="str">
        <f aca="false">IF($C8="","",IFERROR(VLOOKUP(--$C8,MM_Income!$Z$5:$AC$204,3,FALSE()),""))</f>
        <v>Invoiced Income</v>
      </c>
    </row>
    <row r="9" customFormat="false" ht="14.9" hidden="false" customHeight="false" outlineLevel="0" collapsed="false">
      <c r="A9" s="20" t="s">
        <v>49</v>
      </c>
      <c r="B9" s="20" t="s">
        <v>85</v>
      </c>
      <c r="C9" s="1" t="n">
        <v>4000</v>
      </c>
      <c r="D9" s="1" t="s">
        <v>671</v>
      </c>
      <c r="E9" s="1" t="n">
        <v>43070</v>
      </c>
      <c r="F9" s="1" t="s">
        <v>840</v>
      </c>
      <c r="G9" s="140" t="n">
        <v>46080</v>
      </c>
      <c r="H9" s="1" t="s">
        <v>929</v>
      </c>
      <c r="I9" s="1" t="n">
        <v>2026016</v>
      </c>
      <c r="J9" s="1" t="s">
        <v>931</v>
      </c>
      <c r="L9" s="1" t="n">
        <v>86675.14</v>
      </c>
      <c r="M9" s="125" t="n">
        <f aca="false">Nominal_Activity[[#This Row],[Debit]]-Nominal_Activity[[#This Row],[Credit]]</f>
        <v>-86675.14</v>
      </c>
      <c r="N9" s="149" t="str">
        <f aca="false">IF(C9="","",IFERROR(VLOOKUP(C9,Master_Mappings!$A$4:$E$85,3,FALSE()),"UNMAPPED"))</f>
        <v>Excluded — Project/Other</v>
      </c>
      <c r="O9" s="20" t="s">
        <v>1208</v>
      </c>
      <c r="P9" s="20" t="str">
        <f aca="false">IF($C9="","",$C9&amp;"|"&amp;$E9&amp;"|"&amp;$M9&amp;"|"&amp;TEXT($G9,"yyyy-mm-dd")&amp;"|"&amp;LEFT($J9,40))</f>
        <v>4000|43070|-86675.14|2026-02-27|Milestone 1 - Desk study, Development of</v>
      </c>
      <c r="Q9" s="20" t="str">
        <f aca="false">IF(P9="","",IF(COUNTIF($P$2:$P$3000,P9)&gt;1,"DUPLICATE","OK"))</f>
        <v>OK</v>
      </c>
      <c r="R9" s="0" t="str">
        <f aca="false">IF($C9="","",IFERROR(VLOOKUP(--$C9,MM_Income!$Z$5:$AC$204,3,FALSE()),""))</f>
        <v>Invoiced Income</v>
      </c>
    </row>
    <row r="10" customFormat="false" ht="14.9" hidden="false" customHeight="false" outlineLevel="0" collapsed="false">
      <c r="A10" s="20" t="s">
        <v>49</v>
      </c>
      <c r="B10" s="20" t="s">
        <v>85</v>
      </c>
      <c r="C10" s="1" t="n">
        <v>4000</v>
      </c>
      <c r="D10" s="1" t="s">
        <v>671</v>
      </c>
      <c r="E10" s="1" t="n">
        <v>43077</v>
      </c>
      <c r="F10" s="1" t="s">
        <v>840</v>
      </c>
      <c r="G10" s="140" t="n">
        <v>46041</v>
      </c>
      <c r="H10" s="1" t="s">
        <v>382</v>
      </c>
      <c r="I10" s="1" t="n">
        <v>2026004</v>
      </c>
      <c r="J10" s="1" t="s">
        <v>933</v>
      </c>
      <c r="L10" s="1" t="n">
        <v>249630.85</v>
      </c>
      <c r="M10" s="125" t="n">
        <f aca="false">Nominal_Activity[[#This Row],[Debit]]-Nominal_Activity[[#This Row],[Credit]]</f>
        <v>-249630.85</v>
      </c>
      <c r="N10" s="149" t="str">
        <f aca="false">IF(C10="","",IFERROR(VLOOKUP(C10,Master_Mappings!$A$4:$E$85,3,FALSE()),"UNMAPPED"))</f>
        <v>Excluded — Project/Other</v>
      </c>
      <c r="O10" s="20" t="s">
        <v>1208</v>
      </c>
      <c r="P10" s="20" t="str">
        <f aca="false">IF($C10="","",$C10&amp;"|"&amp;$E10&amp;"|"&amp;$M10&amp;"|"&amp;TEXT($G10,"yyyy-mm-dd")&amp;"|"&amp;LEFT($J10,40))</f>
        <v>4000|43077|-249630.85|2026-01-19|Second Invoice for Year 1 upon completio</v>
      </c>
      <c r="Q10" s="20" t="str">
        <f aca="false">IF(P10="","",IF(COUNTIF($P$2:$P$3000,P10)&gt;1,"DUPLICATE","OK"))</f>
        <v>OK</v>
      </c>
      <c r="R10" s="0" t="str">
        <f aca="false">IF($C10="","",IFERROR(VLOOKUP(--$C10,MM_Income!$Z$5:$AC$204,3,FALSE()),""))</f>
        <v>Invoiced Income</v>
      </c>
    </row>
    <row r="11" customFormat="false" ht="14.9" hidden="false" customHeight="false" outlineLevel="0" collapsed="false">
      <c r="A11" s="20" t="s">
        <v>49</v>
      </c>
      <c r="B11" s="20" t="s">
        <v>85</v>
      </c>
      <c r="C11" s="1" t="n">
        <v>4000</v>
      </c>
      <c r="D11" s="1" t="s">
        <v>671</v>
      </c>
      <c r="E11" s="1" t="n">
        <v>43217</v>
      </c>
      <c r="F11" s="1" t="s">
        <v>840</v>
      </c>
      <c r="G11" s="140" t="n">
        <v>46036</v>
      </c>
      <c r="H11" s="1" t="s">
        <v>907</v>
      </c>
      <c r="I11" s="1" t="n">
        <v>2026001</v>
      </c>
      <c r="J11" s="1" t="s">
        <v>1212</v>
      </c>
      <c r="L11" s="1" t="n">
        <v>17118.34</v>
      </c>
      <c r="M11" s="125" t="n">
        <f aca="false">Nominal_Activity[[#This Row],[Debit]]-Nominal_Activity[[#This Row],[Credit]]</f>
        <v>-17118.34</v>
      </c>
      <c r="N11" s="149" t="str">
        <f aca="false">IF(C11="","",IFERROR(VLOOKUP(C11,Master_Mappings!$A$4:$E$85,3,FALSE()),"UNMAPPED"))</f>
        <v>Excluded — Project/Other</v>
      </c>
      <c r="O11" s="20" t="s">
        <v>1208</v>
      </c>
      <c r="P11" s="20" t="str">
        <f aca="false">IF($C11="","",$C11&amp;"|"&amp;$E11&amp;"|"&amp;$M11&amp;"|"&amp;TEXT($G11,"yyyy-mm-dd")&amp;"|"&amp;LEFT($J11,40))</f>
        <v>4000|43217|-17118.34|2026-01-14|PCUK1111-PCGH753-2025-A: Final invoice f</v>
      </c>
      <c r="Q11" s="20" t="str">
        <f aca="false">IF(P11="","",IF(COUNTIF($P$2:$P$3000,P11)&gt;1,"DUPLICATE","OK"))</f>
        <v>OK</v>
      </c>
      <c r="R11" s="0" t="str">
        <f aca="false">IF($C11="","",IFERROR(VLOOKUP(--$C11,MM_Income!$Z$5:$AC$204,3,FALSE()),""))</f>
        <v>Invoiced Income</v>
      </c>
    </row>
    <row r="12" customFormat="false" ht="14.9" hidden="false" customHeight="false" outlineLevel="0" collapsed="false">
      <c r="A12" s="20" t="s">
        <v>49</v>
      </c>
      <c r="B12" s="20" t="s">
        <v>85</v>
      </c>
      <c r="C12" s="1" t="n">
        <v>4000</v>
      </c>
      <c r="D12" s="1" t="s">
        <v>671</v>
      </c>
      <c r="E12" s="1" t="n">
        <v>43218</v>
      </c>
      <c r="F12" s="1" t="s">
        <v>840</v>
      </c>
      <c r="G12" s="140" t="n">
        <v>46036</v>
      </c>
      <c r="H12" s="1" t="s">
        <v>907</v>
      </c>
      <c r="I12" s="1" t="n">
        <v>2026002</v>
      </c>
      <c r="J12" s="1" t="s">
        <v>1213</v>
      </c>
      <c r="L12" s="1" t="n">
        <v>14880.53</v>
      </c>
      <c r="M12" s="125" t="n">
        <f aca="false">Nominal_Activity[[#This Row],[Debit]]-Nominal_Activity[[#This Row],[Credit]]</f>
        <v>-14880.53</v>
      </c>
      <c r="N12" s="149" t="str">
        <f aca="false">IF(C12="","",IFERROR(VLOOKUP(C12,Master_Mappings!$A$4:$E$85,3,FALSE()),"UNMAPPED"))</f>
        <v>Excluded — Project/Other</v>
      </c>
      <c r="O12" s="20" t="s">
        <v>1208</v>
      </c>
      <c r="P12" s="20" t="str">
        <f aca="false">IF($C12="","",$C12&amp;"|"&amp;$E12&amp;"|"&amp;$M12&amp;"|"&amp;TEXT($G12,"yyyy-mm-dd")&amp;"|"&amp;LEFT($J12,40))</f>
        <v>4000|43218|-14880.53|2026-01-14|PCUK1111-PCGH755-2025-C: Final Invoice f</v>
      </c>
      <c r="Q12" s="20" t="str">
        <f aca="false">IF(P12="","",IF(COUNTIF($P$2:$P$3000,P12)&gt;1,"DUPLICATE","OK"))</f>
        <v>OK</v>
      </c>
      <c r="R12" s="0" t="str">
        <f aca="false">IF($C12="","",IFERROR(VLOOKUP(--$C12,MM_Income!$Z$5:$AC$204,3,FALSE()),""))</f>
        <v>Invoiced Income</v>
      </c>
    </row>
    <row r="13" customFormat="false" ht="14.9" hidden="false" customHeight="false" outlineLevel="0" collapsed="false">
      <c r="A13" s="20" t="s">
        <v>49</v>
      </c>
      <c r="B13" s="20" t="s">
        <v>85</v>
      </c>
      <c r="C13" s="1" t="n">
        <v>4000</v>
      </c>
      <c r="D13" s="1" t="s">
        <v>671</v>
      </c>
      <c r="E13" s="1" t="n">
        <v>43219</v>
      </c>
      <c r="F13" s="1" t="s">
        <v>840</v>
      </c>
      <c r="G13" s="140" t="n">
        <v>46036</v>
      </c>
      <c r="H13" s="1" t="s">
        <v>907</v>
      </c>
      <c r="I13" s="1" t="n">
        <v>2026003</v>
      </c>
      <c r="J13" s="1" t="s">
        <v>1214</v>
      </c>
      <c r="L13" s="1" t="n">
        <v>25121.49</v>
      </c>
      <c r="M13" s="125" t="n">
        <f aca="false">Nominal_Activity[[#This Row],[Debit]]-Nominal_Activity[[#This Row],[Credit]]</f>
        <v>-25121.49</v>
      </c>
      <c r="N13" s="149" t="str">
        <f aca="false">IF(C13="","",IFERROR(VLOOKUP(C13,Master_Mappings!$A$4:$E$85,3,FALSE()),"UNMAPPED"))</f>
        <v>Excluded — Project/Other</v>
      </c>
      <c r="O13" s="20" t="s">
        <v>1208</v>
      </c>
      <c r="P13" s="20" t="str">
        <f aca="false">IF($C13="","",$C13&amp;"|"&amp;$E13&amp;"|"&amp;$M13&amp;"|"&amp;TEXT($G13,"yyyy-mm-dd")&amp;"|"&amp;LEFT($J13,40))</f>
        <v>4000|43219|-25121.49|2026-01-14|PCUK1111-PCGH756-2025-D-IAFS 756: Final </v>
      </c>
      <c r="Q13" s="20" t="str">
        <f aca="false">IF(P13="","",IF(COUNTIF($P$2:$P$3000,P13)&gt;1,"DUPLICATE","OK"))</f>
        <v>OK</v>
      </c>
      <c r="R13" s="0" t="str">
        <f aca="false">IF($C13="","",IFERROR(VLOOKUP(--$C13,MM_Income!$Z$5:$AC$204,3,FALSE()),""))</f>
        <v>Invoiced Income</v>
      </c>
    </row>
    <row r="14" customFormat="false" ht="14.9" hidden="false" customHeight="false" outlineLevel="0" collapsed="false">
      <c r="A14" s="20" t="s">
        <v>49</v>
      </c>
      <c r="B14" s="20" t="s">
        <v>85</v>
      </c>
      <c r="C14" s="1" t="n">
        <v>4000</v>
      </c>
      <c r="D14" s="1" t="s">
        <v>671</v>
      </c>
      <c r="E14" s="1" t="n">
        <v>43220</v>
      </c>
      <c r="F14" s="1" t="s">
        <v>840</v>
      </c>
      <c r="G14" s="140" t="n">
        <v>46069</v>
      </c>
      <c r="H14" s="1" t="s">
        <v>398</v>
      </c>
      <c r="I14" s="1" t="n">
        <v>2026010</v>
      </c>
      <c r="J14" s="1" t="s">
        <v>939</v>
      </c>
      <c r="L14" s="1" t="n">
        <v>202615.08</v>
      </c>
      <c r="M14" s="125" t="n">
        <f aca="false">Nominal_Activity[[#This Row],[Debit]]-Nominal_Activity[[#This Row],[Credit]]</f>
        <v>-202615.08</v>
      </c>
      <c r="N14" s="149" t="str">
        <f aca="false">IF(C14="","",IFERROR(VLOOKUP(C14,Master_Mappings!$A$4:$E$85,3,FALSE()),"UNMAPPED"))</f>
        <v>Excluded — Project/Other</v>
      </c>
      <c r="O14" s="20" t="s">
        <v>1208</v>
      </c>
      <c r="P14" s="20" t="str">
        <f aca="false">IF($C14="","",$C14&amp;"|"&amp;$E14&amp;"|"&amp;$M14&amp;"|"&amp;TEXT($G14,"yyyy-mm-dd")&amp;"|"&amp;LEFT($J14,40))</f>
        <v>4000|43220|-202615.08|2026-02-16|First 40% invoice on contract signing fo</v>
      </c>
      <c r="Q14" s="20" t="str">
        <f aca="false">IF(P14="","",IF(COUNTIF($P$2:$P$3000,P14)&gt;1,"DUPLICATE","OK"))</f>
        <v>OK</v>
      </c>
      <c r="R14" s="0" t="str">
        <f aca="false">IF($C14="","",IFERROR(VLOOKUP(--$C14,MM_Income!$Z$5:$AC$204,3,FALSE()),""))</f>
        <v>Invoiced Income</v>
      </c>
    </row>
    <row r="15" customFormat="false" ht="14.9" hidden="false" customHeight="false" outlineLevel="0" collapsed="false">
      <c r="A15" s="20" t="s">
        <v>49</v>
      </c>
      <c r="B15" s="20" t="s">
        <v>85</v>
      </c>
      <c r="C15" s="1" t="n">
        <v>4000</v>
      </c>
      <c r="D15" s="1" t="s">
        <v>671</v>
      </c>
      <c r="E15" s="1" t="n">
        <v>43221</v>
      </c>
      <c r="F15" s="1" t="s">
        <v>840</v>
      </c>
      <c r="G15" s="140" t="n">
        <v>46069</v>
      </c>
      <c r="H15" s="1" t="s">
        <v>398</v>
      </c>
      <c r="I15" s="1" t="n">
        <v>2026011</v>
      </c>
      <c r="J15" s="1" t="s">
        <v>941</v>
      </c>
      <c r="L15" s="1" t="n">
        <v>84369.45</v>
      </c>
      <c r="M15" s="125" t="n">
        <f aca="false">Nominal_Activity[[#This Row],[Debit]]-Nominal_Activity[[#This Row],[Credit]]</f>
        <v>-84369.45</v>
      </c>
      <c r="N15" s="149" t="str">
        <f aca="false">IF(C15="","",IFERROR(VLOOKUP(C15,Master_Mappings!$A$4:$E$85,3,FALSE()),"UNMAPPED"))</f>
        <v>Excluded — Project/Other</v>
      </c>
      <c r="O15" s="20" t="s">
        <v>1208</v>
      </c>
      <c r="P15" s="20" t="str">
        <f aca="false">IF($C15="","",$C15&amp;"|"&amp;$E15&amp;"|"&amp;$M15&amp;"|"&amp;TEXT($G15,"yyyy-mm-dd")&amp;"|"&amp;LEFT($J15,40))</f>
        <v>4000|43221|-84369.45|2026-02-16|First 50% invoice for Integrated HCV-HCS</v>
      </c>
      <c r="Q15" s="20" t="str">
        <f aca="false">IF(P15="","",IF(COUNTIF($P$2:$P$3000,P15)&gt;1,"DUPLICATE","OK"))</f>
        <v>OK</v>
      </c>
      <c r="R15" s="0" t="str">
        <f aca="false">IF($C15="","",IFERROR(VLOOKUP(--$C15,MM_Income!$Z$5:$AC$204,3,FALSE()),""))</f>
        <v>Invoiced Income</v>
      </c>
    </row>
    <row r="16" customFormat="false" ht="14.9" hidden="false" customHeight="false" outlineLevel="0" collapsed="false">
      <c r="A16" s="20" t="s">
        <v>49</v>
      </c>
      <c r="B16" s="20" t="s">
        <v>85</v>
      </c>
      <c r="C16" s="1" t="n">
        <v>4000</v>
      </c>
      <c r="D16" s="1" t="s">
        <v>671</v>
      </c>
      <c r="E16" s="1" t="n">
        <v>43223</v>
      </c>
      <c r="F16" s="1" t="s">
        <v>840</v>
      </c>
      <c r="G16" s="140" t="n">
        <v>46086</v>
      </c>
      <c r="H16" s="1" t="s">
        <v>398</v>
      </c>
      <c r="I16" s="1" t="n">
        <v>2026014</v>
      </c>
      <c r="J16" s="1" t="s">
        <v>945</v>
      </c>
      <c r="L16" s="1" t="n">
        <v>151961.31</v>
      </c>
      <c r="M16" s="125" t="n">
        <f aca="false">Nominal_Activity[[#This Row],[Debit]]-Nominal_Activity[[#This Row],[Credit]]</f>
        <v>-151961.31</v>
      </c>
      <c r="N16" s="149" t="str">
        <f aca="false">IF(C16="","",IFERROR(VLOOKUP(C16,Master_Mappings!$A$4:$E$85,3,FALSE()),"UNMAPPED"))</f>
        <v>Excluded — Project/Other</v>
      </c>
      <c r="O16" s="20" t="s">
        <v>1208</v>
      </c>
      <c r="P16" s="20" t="str">
        <f aca="false">IF($C16="","",$C16&amp;"|"&amp;$E16&amp;"|"&amp;$M16&amp;"|"&amp;TEXT($G16,"yyyy-mm-dd")&amp;"|"&amp;LEFT($J16,40))</f>
        <v>4000|43223|-151961.31|2026-03-05|Second 30% invoice on completion of fiel</v>
      </c>
      <c r="Q16" s="20" t="str">
        <f aca="false">IF(P16="","",IF(COUNTIF($P$2:$P$3000,P16)&gt;1,"DUPLICATE","OK"))</f>
        <v>OK</v>
      </c>
      <c r="R16" s="0" t="str">
        <f aca="false">IF($C16="","",IFERROR(VLOOKUP(--$C16,MM_Income!$Z$5:$AC$204,3,FALSE()),""))</f>
        <v>Invoiced Income</v>
      </c>
    </row>
    <row r="17" customFormat="false" ht="14.9" hidden="false" customHeight="false" outlineLevel="0" collapsed="false">
      <c r="A17" s="20" t="s">
        <v>49</v>
      </c>
      <c r="B17" s="20" t="s">
        <v>85</v>
      </c>
      <c r="C17" s="1" t="n">
        <v>4000</v>
      </c>
      <c r="D17" s="1" t="s">
        <v>671</v>
      </c>
      <c r="E17" s="1" t="n">
        <v>43432</v>
      </c>
      <c r="F17" s="1" t="s">
        <v>840</v>
      </c>
      <c r="G17" s="140" t="n">
        <v>46132</v>
      </c>
      <c r="H17" s="1" t="s">
        <v>911</v>
      </c>
      <c r="I17" s="1" t="n">
        <v>2026019</v>
      </c>
      <c r="J17" s="1" t="s">
        <v>963</v>
      </c>
      <c r="L17" s="1" t="n">
        <v>162020.16</v>
      </c>
      <c r="M17" s="125" t="n">
        <f aca="false">Nominal_Activity[[#This Row],[Debit]]-Nominal_Activity[[#This Row],[Credit]]</f>
        <v>-162020.16</v>
      </c>
      <c r="N17" s="149" t="str">
        <f aca="false">IF(C17="","",IFERROR(VLOOKUP(C17,Master_Mappings!$A$4:$E$85,3,FALSE()),"UNMAPPED"))</f>
        <v>Excluded — Project/Other</v>
      </c>
      <c r="O17" s="20" t="s">
        <v>1208</v>
      </c>
      <c r="P17" s="20" t="str">
        <f aca="false">IF($C17="","",$C17&amp;"|"&amp;$E17&amp;"|"&amp;$M17&amp;"|"&amp;TEXT($G17,"yyyy-mm-dd")&amp;"|"&amp;LEFT($J17,40))</f>
        <v>4000|43432|-162020.16|2026-04-20|30% invoice on completion of fieldwor fo</v>
      </c>
      <c r="Q17" s="20" t="str">
        <f aca="false">IF(P17="","",IF(COUNTIF($P$2:$P$3000,P17)&gt;1,"DUPLICATE","OK"))</f>
        <v>OK</v>
      </c>
      <c r="R17" s="0" t="str">
        <f aca="false">IF($C17="","",IFERROR(VLOOKUP(--$C17,MM_Income!$Z$5:$AC$204,3,FALSE()),""))</f>
        <v>Invoiced Income</v>
      </c>
    </row>
    <row r="18" customFormat="false" ht="14.9" hidden="false" customHeight="false" outlineLevel="0" collapsed="false">
      <c r="A18" s="20" t="s">
        <v>49</v>
      </c>
      <c r="B18" s="20" t="s">
        <v>85</v>
      </c>
      <c r="C18" s="1" t="n">
        <v>4000</v>
      </c>
      <c r="D18" s="1" t="s">
        <v>671</v>
      </c>
      <c r="E18" s="1" t="n">
        <v>43566</v>
      </c>
      <c r="F18" s="1" t="s">
        <v>840</v>
      </c>
      <c r="G18" s="140" t="n">
        <v>46132</v>
      </c>
      <c r="H18" s="1" t="s">
        <v>858</v>
      </c>
      <c r="I18" s="1" t="n">
        <v>2026020</v>
      </c>
      <c r="J18" s="1" t="s">
        <v>987</v>
      </c>
      <c r="L18" s="1" t="n">
        <v>160114.04</v>
      </c>
      <c r="M18" s="125" t="n">
        <f aca="false">Nominal_Activity[[#This Row],[Debit]]-Nominal_Activity[[#This Row],[Credit]]</f>
        <v>-160114.04</v>
      </c>
      <c r="N18" s="149" t="str">
        <f aca="false">IF(C18="","",IFERROR(VLOOKUP(C18,Master_Mappings!$A$4:$E$85,3,FALSE()),"UNMAPPED"))</f>
        <v>Excluded — Project/Other</v>
      </c>
      <c r="O18" s="20" t="s">
        <v>1208</v>
      </c>
      <c r="P18" s="20" t="str">
        <f aca="false">IF($C18="","",$C18&amp;"|"&amp;$E18&amp;"|"&amp;$M18&amp;"|"&amp;TEXT($G18,"yyyy-mm-dd")&amp;"|"&amp;LEFT($J18,40))</f>
        <v>4000|43566|-160114.04|2026-04-20|First 50% invoice on contract signing fo</v>
      </c>
      <c r="Q18" s="20" t="str">
        <f aca="false">IF(P18="","",IF(COUNTIF($P$2:$P$3000,P18)&gt;1,"DUPLICATE","OK"))</f>
        <v>OK</v>
      </c>
      <c r="R18" s="0" t="str">
        <f aca="false">IF($C18="","",IFERROR(VLOOKUP(--$C18,MM_Income!$Z$5:$AC$204,3,FALSE()),""))</f>
        <v>Invoiced Income</v>
      </c>
    </row>
    <row r="19" customFormat="false" ht="14.9" hidden="false" customHeight="false" outlineLevel="0" collapsed="false">
      <c r="A19" s="20" t="s">
        <v>49</v>
      </c>
      <c r="B19" s="20" t="s">
        <v>85</v>
      </c>
      <c r="C19" s="1" t="n">
        <v>4000</v>
      </c>
      <c r="D19" s="1" t="s">
        <v>671</v>
      </c>
      <c r="E19" s="1" t="n">
        <v>43567</v>
      </c>
      <c r="F19" s="1" t="s">
        <v>840</v>
      </c>
      <c r="G19" s="140" t="n">
        <v>46132</v>
      </c>
      <c r="H19" s="1" t="s">
        <v>988</v>
      </c>
      <c r="I19" s="1" t="n">
        <v>2026021</v>
      </c>
      <c r="J19" s="1" t="s">
        <v>989</v>
      </c>
      <c r="L19" s="1" t="n">
        <v>196496.06</v>
      </c>
      <c r="M19" s="125" t="n">
        <f aca="false">Nominal_Activity[[#This Row],[Debit]]-Nominal_Activity[[#This Row],[Credit]]</f>
        <v>-196496.06</v>
      </c>
      <c r="N19" s="149" t="str">
        <f aca="false">IF(C19="","",IFERROR(VLOOKUP(C19,Master_Mappings!$A$4:$E$85,3,FALSE()),"UNMAPPED"))</f>
        <v>Excluded — Project/Other</v>
      </c>
      <c r="O19" s="20" t="s">
        <v>1208</v>
      </c>
      <c r="P19" s="20" t="str">
        <f aca="false">IF($C19="","",$C19&amp;"|"&amp;$E19&amp;"|"&amp;$M19&amp;"|"&amp;TEXT($G19,"yyyy-mm-dd")&amp;"|"&amp;LEFT($J19,40))</f>
        <v>4000|43567|-196496.06|2026-04-20|Second 30% Invoice upon completion of fi</v>
      </c>
      <c r="Q19" s="20" t="str">
        <f aca="false">IF(P19="","",IF(COUNTIF($P$2:$P$3000,P19)&gt;1,"DUPLICATE","OK"))</f>
        <v>OK</v>
      </c>
      <c r="R19" s="0" t="str">
        <f aca="false">IF($C19="","",IFERROR(VLOOKUP(--$C19,MM_Income!$Z$5:$AC$204,3,FALSE()),""))</f>
        <v>Invoiced Income</v>
      </c>
    </row>
    <row r="20" customFormat="false" ht="14.9" hidden="false" customHeight="false" outlineLevel="0" collapsed="false">
      <c r="A20" s="20" t="s">
        <v>49</v>
      </c>
      <c r="B20" s="20" t="s">
        <v>85</v>
      </c>
      <c r="C20" s="1" t="n">
        <v>4000</v>
      </c>
      <c r="D20" s="1" t="s">
        <v>671</v>
      </c>
      <c r="E20" s="1" t="n">
        <v>43568</v>
      </c>
      <c r="F20" s="1" t="s">
        <v>840</v>
      </c>
      <c r="G20" s="140" t="n">
        <v>46153</v>
      </c>
      <c r="H20" s="1" t="s">
        <v>911</v>
      </c>
      <c r="I20" s="1" t="n">
        <v>2026025</v>
      </c>
      <c r="J20" s="1" t="s">
        <v>990</v>
      </c>
      <c r="L20" s="1" t="n">
        <v>165539.55</v>
      </c>
      <c r="M20" s="125" t="n">
        <f aca="false">Nominal_Activity[[#This Row],[Debit]]-Nominal_Activity[[#This Row],[Credit]]</f>
        <v>-165539.55</v>
      </c>
      <c r="N20" s="149" t="str">
        <f aca="false">IF(C20="","",IFERROR(VLOOKUP(C20,Master_Mappings!$A$4:$E$85,3,FALSE()),"UNMAPPED"))</f>
        <v>Excluded — Project/Other</v>
      </c>
      <c r="O20" s="20" t="s">
        <v>1208</v>
      </c>
      <c r="P20" s="20" t="str">
        <f aca="false">IF($C20="","",$C20&amp;"|"&amp;$E20&amp;"|"&amp;$M20&amp;"|"&amp;TEXT($G20,"yyyy-mm-dd")&amp;"|"&amp;LEFT($J20,40))</f>
        <v>4000|43568|-165539.55|2026-05-11|Final 30% invoice on completion and subm</v>
      </c>
      <c r="Q20" s="20" t="str">
        <f aca="false">IF(P20="","",IF(COUNTIF($P$2:$P$3000,P20)&gt;1,"DUPLICATE","OK"))</f>
        <v>OK</v>
      </c>
      <c r="R20" s="0" t="str">
        <f aca="false">IF($C20="","",IFERROR(VLOOKUP(--$C20,MM_Income!$Z$5:$AC$204,3,FALSE()),""))</f>
        <v>Invoiced Income</v>
      </c>
    </row>
    <row r="21" customFormat="false" ht="14.9" hidden="false" customHeight="false" outlineLevel="0" collapsed="false">
      <c r="A21" s="20" t="s">
        <v>49</v>
      </c>
      <c r="B21" s="20" t="s">
        <v>85</v>
      </c>
      <c r="C21" s="1" t="n">
        <v>4000</v>
      </c>
      <c r="D21" s="1" t="s">
        <v>671</v>
      </c>
      <c r="E21" s="1" t="n">
        <v>43953</v>
      </c>
      <c r="F21" s="1" t="s">
        <v>840</v>
      </c>
      <c r="G21" s="140" t="n">
        <v>46175</v>
      </c>
      <c r="H21" s="1" t="s">
        <v>398</v>
      </c>
      <c r="I21" s="1" t="n">
        <v>2026032</v>
      </c>
      <c r="J21" s="1" t="s">
        <v>1126</v>
      </c>
      <c r="L21" s="1" t="n">
        <v>87347.94</v>
      </c>
      <c r="M21" s="125" t="n">
        <f aca="false">Nominal_Activity[[#This Row],[Debit]]-Nominal_Activity[[#This Row],[Credit]]</f>
        <v>-87347.94</v>
      </c>
      <c r="N21" s="149" t="str">
        <f aca="false">IF(C21="","",IFERROR(VLOOKUP(C21,Master_Mappings!$A$4:$E$85,3,FALSE()),"UNMAPPED"))</f>
        <v>Excluded — Project/Other</v>
      </c>
      <c r="O21" s="20" t="s">
        <v>1208</v>
      </c>
      <c r="P21" s="20" t="str">
        <f aca="false">IF($C21="","",$C21&amp;"|"&amp;$E21&amp;"|"&amp;$M21&amp;"|"&amp;TEXT($G21,"yyyy-mm-dd")&amp;"|"&amp;LEFT($J21,40))</f>
        <v>4000|43953|-87347.94|2026-06-02|First 50% invoice on contract signing of</v>
      </c>
      <c r="Q21" s="20" t="str">
        <f aca="false">IF(P21="","",IF(COUNTIF($P$2:$P$3000,P21)&gt;1,"DUPLICATE","OK"))</f>
        <v>OK</v>
      </c>
      <c r="R21" s="0" t="str">
        <f aca="false">IF($C21="","",IFERROR(VLOOKUP(--$C21,MM_Income!$Z$5:$AC$204,3,FALSE()),""))</f>
        <v>Invoiced Income</v>
      </c>
    </row>
    <row r="22" customFormat="false" ht="14.9" hidden="false" customHeight="false" outlineLevel="0" collapsed="false">
      <c r="A22" s="20" t="s">
        <v>49</v>
      </c>
      <c r="B22" s="20" t="s">
        <v>85</v>
      </c>
      <c r="C22" s="1" t="n">
        <v>4000</v>
      </c>
      <c r="D22" s="1" t="s">
        <v>671</v>
      </c>
      <c r="E22" s="1" t="n">
        <v>43954</v>
      </c>
      <c r="F22" s="1" t="s">
        <v>840</v>
      </c>
      <c r="G22" s="140" t="n">
        <v>46175</v>
      </c>
      <c r="H22" s="1" t="s">
        <v>398</v>
      </c>
      <c r="I22" s="1" t="n">
        <v>2026033</v>
      </c>
      <c r="J22" s="1" t="s">
        <v>1126</v>
      </c>
      <c r="L22" s="1" t="n">
        <v>166541.06</v>
      </c>
      <c r="M22" s="125" t="n">
        <f aca="false">Nominal_Activity[[#This Row],[Debit]]-Nominal_Activity[[#This Row],[Credit]]</f>
        <v>-166541.06</v>
      </c>
      <c r="N22" s="149" t="str">
        <f aca="false">IF(C22="","",IFERROR(VLOOKUP(C22,Master_Mappings!$A$4:$E$85,3,FALSE()),"UNMAPPED"))</f>
        <v>Excluded — Project/Other</v>
      </c>
      <c r="O22" s="20" t="s">
        <v>1208</v>
      </c>
      <c r="P22" s="20" t="str">
        <f aca="false">IF($C22="","",$C22&amp;"|"&amp;$E22&amp;"|"&amp;$M22&amp;"|"&amp;TEXT($G22,"yyyy-mm-dd")&amp;"|"&amp;LEFT($J22,40))</f>
        <v>4000|43954|-166541.06|2026-06-02|First 50% invoice on contract signing of</v>
      </c>
      <c r="Q22" s="20" t="str">
        <f aca="false">IF(P22="","",IF(COUNTIF($P$2:$P$3000,P22)&gt;1,"DUPLICATE","OK"))</f>
        <v>OK</v>
      </c>
      <c r="R22" s="0" t="str">
        <f aca="false">IF($C22="","",IFERROR(VLOOKUP(--$C22,MM_Income!$Z$5:$AC$204,3,FALSE()),""))</f>
        <v>Invoiced Income</v>
      </c>
    </row>
    <row r="23" customFormat="false" ht="14.9" hidden="false" customHeight="false" outlineLevel="0" collapsed="false">
      <c r="A23" s="20" t="s">
        <v>49</v>
      </c>
      <c r="B23" s="20" t="s">
        <v>85</v>
      </c>
      <c r="C23" s="1" t="n">
        <v>4000</v>
      </c>
      <c r="D23" s="1" t="s">
        <v>671</v>
      </c>
      <c r="E23" s="1" t="n">
        <v>43955</v>
      </c>
      <c r="F23" s="1" t="s">
        <v>840</v>
      </c>
      <c r="G23" s="140" t="n">
        <v>46177</v>
      </c>
      <c r="H23" s="1" t="s">
        <v>398</v>
      </c>
      <c r="I23" s="1" t="n">
        <v>2026034</v>
      </c>
      <c r="J23" s="1" t="s">
        <v>1127</v>
      </c>
      <c r="L23" s="1" t="n">
        <v>151961.31</v>
      </c>
      <c r="M23" s="125" t="n">
        <f aca="false">Nominal_Activity[[#This Row],[Debit]]-Nominal_Activity[[#This Row],[Credit]]</f>
        <v>-151961.31</v>
      </c>
      <c r="N23" s="149" t="str">
        <f aca="false">IF(C23="","",IFERROR(VLOOKUP(C23,Master_Mappings!$A$4:$E$85,3,FALSE()),"UNMAPPED"))</f>
        <v>Excluded — Project/Other</v>
      </c>
      <c r="O23" s="20" t="s">
        <v>1208</v>
      </c>
      <c r="P23" s="20" t="str">
        <f aca="false">IF($C23="","",$C23&amp;"|"&amp;$E23&amp;"|"&amp;$M23&amp;"|"&amp;TEXT($G23,"yyyy-mm-dd")&amp;"|"&amp;LEFT($J23,40))</f>
        <v>4000|43955|-151961.31|2026-06-04|Final 30% invoice on completion of Full </v>
      </c>
      <c r="Q23" s="20" t="str">
        <f aca="false">IF(P23="","",IF(COUNTIF($P$2:$P$3000,P23)&gt;1,"DUPLICATE","OK"))</f>
        <v>OK</v>
      </c>
      <c r="R23" s="0" t="str">
        <f aca="false">IF($C23="","",IFERROR(VLOOKUP(--$C23,MM_Income!$Z$5:$AC$204,3,FALSE()),""))</f>
        <v>Invoiced Income</v>
      </c>
    </row>
    <row r="24" customFormat="false" ht="14.9" hidden="false" customHeight="false" outlineLevel="0" collapsed="false">
      <c r="A24" s="20" t="s">
        <v>49</v>
      </c>
      <c r="B24" s="20" t="s">
        <v>85</v>
      </c>
      <c r="C24" s="1" t="n">
        <v>4000</v>
      </c>
      <c r="D24" s="1" t="s">
        <v>671</v>
      </c>
      <c r="E24" s="1" t="n">
        <v>43956</v>
      </c>
      <c r="F24" s="1" t="s">
        <v>840</v>
      </c>
      <c r="G24" s="140" t="n">
        <v>46177</v>
      </c>
      <c r="H24" s="1" t="s">
        <v>398</v>
      </c>
      <c r="I24" s="1" t="n">
        <v>2026035</v>
      </c>
      <c r="J24" s="1" t="s">
        <v>1128</v>
      </c>
      <c r="L24" s="1" t="n">
        <v>84369.45</v>
      </c>
      <c r="M24" s="125" t="n">
        <f aca="false">Nominal_Activity[[#This Row],[Debit]]-Nominal_Activity[[#This Row],[Credit]]</f>
        <v>-84369.45</v>
      </c>
      <c r="N24" s="149" t="str">
        <f aca="false">IF(C24="","",IFERROR(VLOOKUP(C24,Master_Mappings!$A$4:$E$85,3,FALSE()),"UNMAPPED"))</f>
        <v>Excluded — Project/Other</v>
      </c>
      <c r="O24" s="20" t="s">
        <v>1208</v>
      </c>
      <c r="P24" s="20" t="str">
        <f aca="false">IF($C24="","",$C24&amp;"|"&amp;$E24&amp;"|"&amp;$M24&amp;"|"&amp;TEXT($G24,"yyyy-mm-dd")&amp;"|"&amp;LEFT($J24,40))</f>
        <v>4000|43956|-84369.45|2026-06-04|Final 50% invoice on completion of Integ</v>
      </c>
      <c r="Q24" s="20" t="str">
        <f aca="false">IF(P24="","",IF(COUNTIF($P$2:$P$3000,P24)&gt;1,"DUPLICATE","OK"))</f>
        <v>OK</v>
      </c>
      <c r="R24" s="0" t="str">
        <f aca="false">IF($C24="","",IFERROR(VLOOKUP(--$C24,MM_Income!$Z$5:$AC$204,3,FALSE()),""))</f>
        <v>Invoiced Income</v>
      </c>
    </row>
    <row r="25" customFormat="false" ht="14.9" hidden="false" customHeight="false" outlineLevel="0" collapsed="false">
      <c r="A25" s="20" t="s">
        <v>49</v>
      </c>
      <c r="B25" s="20" t="s">
        <v>85</v>
      </c>
      <c r="C25" s="1" t="n">
        <v>4000</v>
      </c>
      <c r="D25" s="1" t="s">
        <v>671</v>
      </c>
      <c r="E25" s="1" t="n">
        <v>43957</v>
      </c>
      <c r="F25" s="1" t="s">
        <v>840</v>
      </c>
      <c r="G25" s="140" t="n">
        <v>46177</v>
      </c>
      <c r="H25" s="1" t="s">
        <v>398</v>
      </c>
      <c r="I25" s="1" t="n">
        <v>2026036</v>
      </c>
      <c r="J25" s="1" t="s">
        <v>1129</v>
      </c>
      <c r="L25" s="1" t="n">
        <v>79367.2</v>
      </c>
      <c r="M25" s="125" t="n">
        <f aca="false">Nominal_Activity[[#This Row],[Debit]]-Nominal_Activity[[#This Row],[Credit]]</f>
        <v>-79367.2</v>
      </c>
      <c r="N25" s="149" t="str">
        <f aca="false">IF(C25="","",IFERROR(VLOOKUP(C25,Master_Mappings!$A$4:$E$85,3,FALSE()),"UNMAPPED"))</f>
        <v>Excluded — Project/Other</v>
      </c>
      <c r="O25" s="20" t="s">
        <v>1208</v>
      </c>
      <c r="P25" s="20" t="str">
        <f aca="false">IF($C25="","",$C25&amp;"|"&amp;$E25&amp;"|"&amp;$M25&amp;"|"&amp;TEXT($G25,"yyyy-mm-dd")&amp;"|"&amp;LEFT($J25,40))</f>
        <v>4000|43957|-79367.2|2026-06-04|Final 50% on completion of Integrated HC</v>
      </c>
      <c r="Q25" s="20" t="str">
        <f aca="false">IF(P25="","",IF(COUNTIF($P$2:$P$3000,P25)&gt;1,"DUPLICATE","OK"))</f>
        <v>OK</v>
      </c>
      <c r="R25" s="0" t="str">
        <f aca="false">IF($C25="","",IFERROR(VLOOKUP(--$C25,MM_Income!$Z$5:$AC$204,3,FALSE()),""))</f>
        <v>Invoiced Income</v>
      </c>
    </row>
    <row r="26" customFormat="false" ht="14.9" hidden="false" customHeight="false" outlineLevel="0" collapsed="false">
      <c r="A26" s="20" t="s">
        <v>49</v>
      </c>
      <c r="B26" s="20" t="s">
        <v>85</v>
      </c>
      <c r="C26" s="1" t="n">
        <v>4000</v>
      </c>
      <c r="D26" s="1" t="s">
        <v>671</v>
      </c>
      <c r="E26" s="1" t="n">
        <v>43958</v>
      </c>
      <c r="F26" s="1" t="s">
        <v>840</v>
      </c>
      <c r="G26" s="140" t="n">
        <v>46177</v>
      </c>
      <c r="H26" s="1" t="s">
        <v>858</v>
      </c>
      <c r="I26" s="1" t="n">
        <v>2026037</v>
      </c>
      <c r="J26" s="1" t="s">
        <v>1130</v>
      </c>
      <c r="L26" s="1" t="n">
        <v>400445.18</v>
      </c>
      <c r="M26" s="125" t="n">
        <f aca="false">Nominal_Activity[[#This Row],[Debit]]-Nominal_Activity[[#This Row],[Credit]]</f>
        <v>-400445.18</v>
      </c>
      <c r="N26" s="149" t="str">
        <f aca="false">IF(C26="","",IFERROR(VLOOKUP(C26,Master_Mappings!$A$4:$E$85,3,FALSE()),"UNMAPPED"))</f>
        <v>Excluded — Project/Other</v>
      </c>
      <c r="O26" s="20" t="s">
        <v>1208</v>
      </c>
      <c r="P26" s="20" t="str">
        <f aca="false">IF($C26="","",$C26&amp;"|"&amp;$E26&amp;"|"&amp;$M26&amp;"|"&amp;TEXT($G26,"yyyy-mm-dd")&amp;"|"&amp;LEFT($J26,40))</f>
        <v>4000|43958|-400445.18|2026-06-04|Final 60% invoice on completion and subm</v>
      </c>
      <c r="Q26" s="20" t="str">
        <f aca="false">IF(P26="","",IF(COUNTIF($P$2:$P$3000,P26)&gt;1,"DUPLICATE","OK"))</f>
        <v>OK</v>
      </c>
      <c r="R26" s="0" t="str">
        <f aca="false">IF($C26="","",IFERROR(VLOOKUP(--$C26,MM_Income!$Z$5:$AC$204,3,FALSE()),""))</f>
        <v>Invoiced Income</v>
      </c>
    </row>
    <row r="27" customFormat="false" ht="14.9" hidden="false" customHeight="false" outlineLevel="0" collapsed="false">
      <c r="A27" s="20" t="s">
        <v>49</v>
      </c>
      <c r="B27" s="20" t="s">
        <v>85</v>
      </c>
      <c r="C27" s="1" t="n">
        <v>4000</v>
      </c>
      <c r="D27" s="1" t="s">
        <v>671</v>
      </c>
      <c r="E27" s="1" t="n">
        <v>43960</v>
      </c>
      <c r="F27" s="1" t="s">
        <v>840</v>
      </c>
      <c r="G27" s="140" t="n">
        <v>46190</v>
      </c>
      <c r="H27" s="1" t="s">
        <v>929</v>
      </c>
      <c r="I27" s="1" t="n">
        <v>2026038</v>
      </c>
      <c r="J27" s="1" t="s">
        <v>1131</v>
      </c>
      <c r="L27" s="1" t="n">
        <v>127449.66</v>
      </c>
      <c r="M27" s="125" t="n">
        <f aca="false">Nominal_Activity[[#This Row],[Debit]]-Nominal_Activity[[#This Row],[Credit]]</f>
        <v>-127449.66</v>
      </c>
      <c r="N27" s="149" t="str">
        <f aca="false">IF(C27="","",IFERROR(VLOOKUP(C27,Master_Mappings!$A$4:$E$85,3,FALSE()),"UNMAPPED"))</f>
        <v>Excluded — Project/Other</v>
      </c>
      <c r="O27" s="20" t="s">
        <v>1208</v>
      </c>
      <c r="P27" s="20" t="str">
        <f aca="false">IF($C27="","",$C27&amp;"|"&amp;$E27&amp;"|"&amp;$M27&amp;"|"&amp;TEXT($G27,"yyyy-mm-dd")&amp;"|"&amp;LEFT($J27,40))</f>
        <v>4000|43960|-127449.66|2026-06-17|Final invoice for Milestone 3 - Analysis</v>
      </c>
      <c r="Q27" s="20" t="str">
        <f aca="false">IF(P27="","",IF(COUNTIF($P$2:$P$3000,P27)&gt;1,"DUPLICATE","OK"))</f>
        <v>OK</v>
      </c>
      <c r="R27" s="0" t="str">
        <f aca="false">IF($C27="","",IFERROR(VLOOKUP(--$C27,MM_Income!$Z$5:$AC$204,3,FALSE()),""))</f>
        <v>Invoiced Income</v>
      </c>
    </row>
    <row r="28" customFormat="false" ht="14.9" hidden="false" customHeight="false" outlineLevel="0" collapsed="false">
      <c r="A28" s="20" t="s">
        <v>49</v>
      </c>
      <c r="B28" s="20" t="s">
        <v>85</v>
      </c>
      <c r="C28" s="1" t="n">
        <v>4000</v>
      </c>
      <c r="D28" s="1" t="s">
        <v>671</v>
      </c>
      <c r="E28" s="1" t="n">
        <v>43964</v>
      </c>
      <c r="F28" s="1" t="s">
        <v>840</v>
      </c>
      <c r="G28" s="140" t="n">
        <v>46203</v>
      </c>
      <c r="H28" s="1" t="s">
        <v>1135</v>
      </c>
      <c r="I28" s="1" t="n">
        <v>2026041</v>
      </c>
      <c r="J28" s="1" t="s">
        <v>1136</v>
      </c>
      <c r="L28" s="1" t="n">
        <v>217238.33</v>
      </c>
      <c r="M28" s="125" t="n">
        <f aca="false">Nominal_Activity[[#This Row],[Debit]]-Nominal_Activity[[#This Row],[Credit]]</f>
        <v>-217238.33</v>
      </c>
      <c r="N28" s="149" t="str">
        <f aca="false">IF(C28="","",IFERROR(VLOOKUP(C28,Master_Mappings!$A$4:$E$85,3,FALSE()),"UNMAPPED"))</f>
        <v>Excluded — Project/Other</v>
      </c>
      <c r="O28" s="20" t="s">
        <v>1208</v>
      </c>
      <c r="P28" s="20" t="str">
        <f aca="false">IF($C28="","",$C28&amp;"|"&amp;$E28&amp;"|"&amp;$M28&amp;"|"&amp;TEXT($G28,"yyyy-mm-dd")&amp;"|"&amp;LEFT($J28,40))</f>
        <v>4000|43964|-217238.33|2026-06-30|Final 30% invoice on completion and subm</v>
      </c>
      <c r="Q28" s="20" t="str">
        <f aca="false">IF(P28="","",IF(COUNTIF($P$2:$P$3000,P28)&gt;1,"DUPLICATE","OK"))</f>
        <v>OK</v>
      </c>
      <c r="R28" s="0" t="str">
        <f aca="false">IF($C28="","",IFERROR(VLOOKUP(--$C28,MM_Income!$Z$5:$AC$204,3,FALSE()),""))</f>
        <v>Invoiced Income</v>
      </c>
    </row>
    <row r="29" customFormat="false" ht="14.9" hidden="false" customHeight="false" outlineLevel="0" collapsed="false">
      <c r="A29" s="20" t="s">
        <v>49</v>
      </c>
      <c r="B29" s="20" t="s">
        <v>85</v>
      </c>
      <c r="C29" s="1" t="n">
        <v>4000</v>
      </c>
      <c r="D29" s="1" t="s">
        <v>671</v>
      </c>
      <c r="E29" s="1" t="n">
        <v>43966</v>
      </c>
      <c r="F29" s="1" t="s">
        <v>840</v>
      </c>
      <c r="G29" s="140" t="n">
        <v>46191</v>
      </c>
      <c r="H29" s="1" t="s">
        <v>382</v>
      </c>
      <c r="I29" s="1" t="n">
        <v>2026040</v>
      </c>
      <c r="J29" s="1" t="s">
        <v>1137</v>
      </c>
      <c r="L29" s="1" t="n">
        <v>260594.69</v>
      </c>
      <c r="M29" s="125" t="n">
        <f aca="false">Nominal_Activity[[#This Row],[Debit]]-Nominal_Activity[[#This Row],[Credit]]</f>
        <v>-260594.69</v>
      </c>
      <c r="N29" s="149" t="str">
        <f aca="false">IF(C29="","",IFERROR(VLOOKUP(C29,Master_Mappings!$A$4:$E$85,3,FALSE()),"UNMAPPED"))</f>
        <v>Excluded — Project/Other</v>
      </c>
      <c r="O29" s="20" t="s">
        <v>1208</v>
      </c>
      <c r="P29" s="20" t="str">
        <f aca="false">IF($C29="","",$C29&amp;"|"&amp;$E29&amp;"|"&amp;$M29&amp;"|"&amp;TEXT($G29,"yyyy-mm-dd")&amp;"|"&amp;LEFT($J29,40))</f>
        <v>4000|43966|-260594.69|2026-06-18|Third Invoice for Year 1 upon completion</v>
      </c>
      <c r="Q29" s="20" t="str">
        <f aca="false">IF(P29="","",IF(COUNTIF($P$2:$P$3000,P29)&gt;1,"DUPLICATE","OK"))</f>
        <v>OK</v>
      </c>
      <c r="R29" s="0" t="str">
        <f aca="false">IF($C29="","",IFERROR(VLOOKUP(--$C29,MM_Income!$Z$5:$AC$204,3,FALSE()),""))</f>
        <v>Invoiced Income</v>
      </c>
    </row>
    <row r="30" customFormat="false" ht="14.9" hidden="false" customHeight="false" outlineLevel="0" collapsed="false">
      <c r="A30" s="20" t="s">
        <v>49</v>
      </c>
      <c r="B30" s="20" t="s">
        <v>85</v>
      </c>
      <c r="C30" s="1" t="n">
        <v>4002</v>
      </c>
      <c r="D30" s="1" t="s">
        <v>673</v>
      </c>
      <c r="E30" s="1" t="n">
        <v>43106</v>
      </c>
      <c r="F30" s="1" t="s">
        <v>1215</v>
      </c>
      <c r="G30" s="140" t="n">
        <v>46112</v>
      </c>
      <c r="H30" s="1" t="n">
        <v>4002</v>
      </c>
      <c r="I30" s="1" t="s">
        <v>1216</v>
      </c>
      <c r="J30" s="1" t="s">
        <v>1217</v>
      </c>
      <c r="L30" s="1" t="n">
        <v>60675.97</v>
      </c>
      <c r="M30" s="125" t="n">
        <f aca="false">Nominal_Activity[[#This Row],[Debit]]-Nominal_Activity[[#This Row],[Credit]]</f>
        <v>-60675.97</v>
      </c>
      <c r="N30" s="149" t="str">
        <f aca="false">IF(C30="","",IFERROR(VLOOKUP(C30,Master_Mappings!$A$4:$E$85,3,FALSE()),"UNMAPPED"))</f>
        <v>Excluded — Project/Other</v>
      </c>
      <c r="O30" s="20" t="s">
        <v>1208</v>
      </c>
      <c r="P30" s="20" t="str">
        <f aca="false">IF($C30="","",$C30&amp;"|"&amp;$E30&amp;"|"&amp;$M30&amp;"|"&amp;TEXT($G30,"yyyy-mm-dd")&amp;"|"&amp;LEFT($J30,40))</f>
        <v>4002|43106|-60675.97|2026-03-31|Niras-PCGH Prsnl Cost Jan - Mar 2026</v>
      </c>
      <c r="Q30" s="20" t="str">
        <f aca="false">IF(P30="","",IF(COUNTIF($P$2:$P$3000,P30)&gt;1,"DUPLICATE","OK"))</f>
        <v>OK</v>
      </c>
      <c r="R30" s="0" t="str">
        <f aca="false">IF($C30="","",IFERROR(VLOOKUP(--$C30,MM_Income!$Z$5:$AC$204,3,FALSE()),""))</f>
        <v>Programme Income</v>
      </c>
    </row>
    <row r="31" customFormat="false" ht="14.9" hidden="false" customHeight="false" outlineLevel="0" collapsed="false">
      <c r="A31" s="20" t="s">
        <v>49</v>
      </c>
      <c r="B31" s="20" t="s">
        <v>85</v>
      </c>
      <c r="C31" s="1" t="n">
        <v>4002</v>
      </c>
      <c r="D31" s="1" t="s">
        <v>673</v>
      </c>
      <c r="E31" s="1" t="n">
        <v>43111</v>
      </c>
      <c r="F31" s="1" t="s">
        <v>1215</v>
      </c>
      <c r="G31" s="140" t="n">
        <v>46112</v>
      </c>
      <c r="H31" s="1" t="n">
        <v>4002</v>
      </c>
      <c r="I31" s="1" t="s">
        <v>1218</v>
      </c>
      <c r="J31" s="1" t="s">
        <v>1219</v>
      </c>
      <c r="L31" s="1" t="n">
        <v>208517.96</v>
      </c>
      <c r="M31" s="125" t="n">
        <f aca="false">Nominal_Activity[[#This Row],[Debit]]-Nominal_Activity[[#This Row],[Credit]]</f>
        <v>-208517.96</v>
      </c>
      <c r="N31" s="149" t="str">
        <f aca="false">IF(C31="","",IFERROR(VLOOKUP(C31,Master_Mappings!$A$4:$E$85,3,FALSE()),"UNMAPPED"))</f>
        <v>Excluded — Project/Other</v>
      </c>
      <c r="O31" s="20" t="s">
        <v>1208</v>
      </c>
      <c r="P31" s="20" t="str">
        <f aca="false">IF($C31="","",$C31&amp;"|"&amp;$E31&amp;"|"&amp;$M31&amp;"|"&amp;TEXT($G31,"yyyy-mm-dd")&amp;"|"&amp;LEFT($J31,40))</f>
        <v>4002|43111|-208517.96|2026-03-31|P13N-PCGH Prsnl Cost Jan - Mar 2026</v>
      </c>
      <c r="Q31" s="20" t="str">
        <f aca="false">IF(P31="","",IF(COUNTIF($P$2:$P$3000,P31)&gt;1,"DUPLICATE","OK"))</f>
        <v>OK</v>
      </c>
      <c r="R31" s="0" t="str">
        <f aca="false">IF($C31="","",IFERROR(VLOOKUP(--$C31,MM_Income!$Z$5:$AC$204,3,FALSE()),""))</f>
        <v>Programme Income</v>
      </c>
    </row>
    <row r="32" customFormat="false" ht="14.9" hidden="false" customHeight="false" outlineLevel="0" collapsed="false">
      <c r="A32" s="20" t="s">
        <v>49</v>
      </c>
      <c r="B32" s="20" t="s">
        <v>85</v>
      </c>
      <c r="C32" s="1" t="n">
        <v>4002</v>
      </c>
      <c r="D32" s="1" t="s">
        <v>673</v>
      </c>
      <c r="E32" s="1" t="n">
        <v>43116</v>
      </c>
      <c r="F32" s="1" t="s">
        <v>1215</v>
      </c>
      <c r="G32" s="140" t="n">
        <v>46112</v>
      </c>
      <c r="H32" s="1" t="n">
        <v>4002</v>
      </c>
      <c r="I32" s="1" t="s">
        <v>1220</v>
      </c>
      <c r="J32" s="1" t="s">
        <v>1221</v>
      </c>
      <c r="L32" s="1" t="n">
        <v>103451.87</v>
      </c>
      <c r="M32" s="125" t="n">
        <f aca="false">Nominal_Activity[[#This Row],[Debit]]-Nominal_Activity[[#This Row],[Credit]]</f>
        <v>-103451.87</v>
      </c>
      <c r="N32" s="149" t="str">
        <f aca="false">IF(C32="","",IFERROR(VLOOKUP(C32,Master_Mappings!$A$4:$E$85,3,FALSE()),"UNMAPPED"))</f>
        <v>Excluded — Project/Other</v>
      </c>
      <c r="O32" s="20" t="s">
        <v>1208</v>
      </c>
      <c r="P32" s="20" t="str">
        <f aca="false">IF($C32="","",$C32&amp;"|"&amp;$E32&amp;"|"&amp;$M32&amp;"|"&amp;TEXT($G32,"yyyy-mm-dd")&amp;"|"&amp;LEFT($J32,40))</f>
        <v>4002|43116|-103451.87|2026-03-31|P13Q-PCGH Prsnl Cost Jan - Mar 2026</v>
      </c>
      <c r="Q32" s="20" t="str">
        <f aca="false">IF(P32="","",IF(COUNTIF($P$2:$P$3000,P32)&gt;1,"DUPLICATE","OK"))</f>
        <v>OK</v>
      </c>
      <c r="R32" s="0" t="str">
        <f aca="false">IF($C32="","",IFERROR(VLOOKUP(--$C32,MM_Income!$Z$5:$AC$204,3,FALSE()),""))</f>
        <v>Programme Income</v>
      </c>
    </row>
    <row r="33" customFormat="false" ht="14.9" hidden="false" customHeight="false" outlineLevel="0" collapsed="false">
      <c r="A33" s="20" t="s">
        <v>49</v>
      </c>
      <c r="B33" s="20" t="s">
        <v>85</v>
      </c>
      <c r="C33" s="1" t="n">
        <v>4002</v>
      </c>
      <c r="D33" s="1" t="s">
        <v>673</v>
      </c>
      <c r="E33" s="1" t="n">
        <v>43118</v>
      </c>
      <c r="F33" s="1" t="s">
        <v>1215</v>
      </c>
      <c r="G33" s="140" t="n">
        <v>46112</v>
      </c>
      <c r="H33" s="1" t="n">
        <v>4002</v>
      </c>
      <c r="I33" s="1" t="s">
        <v>1222</v>
      </c>
      <c r="J33" s="1" t="s">
        <v>1223</v>
      </c>
      <c r="L33" s="1" t="n">
        <v>199371.34</v>
      </c>
      <c r="M33" s="125" t="n">
        <f aca="false">Nominal_Activity[[#This Row],[Debit]]-Nominal_Activity[[#This Row],[Credit]]</f>
        <v>-199371.34</v>
      </c>
      <c r="N33" s="149" t="str">
        <f aca="false">IF(C33="","",IFERROR(VLOOKUP(C33,Master_Mappings!$A$4:$E$85,3,FALSE()),"UNMAPPED"))</f>
        <v>Excluded — Project/Other</v>
      </c>
      <c r="O33" s="20" t="s">
        <v>1208</v>
      </c>
      <c r="P33" s="20" t="str">
        <f aca="false">IF($C33="","",$C33&amp;"|"&amp;$E33&amp;"|"&amp;$M33&amp;"|"&amp;TEXT($G33,"yyyy-mm-dd")&amp;"|"&amp;LEFT($J33,40))</f>
        <v>4002|43118|-199371.34|2026-03-31|P23A-PCGH Prsnl Cost Jan - Mar 2026</v>
      </c>
      <c r="Q33" s="20" t="str">
        <f aca="false">IF(P33="","",IF(COUNTIF($P$2:$P$3000,P33)&gt;1,"DUPLICATE","OK"))</f>
        <v>OK</v>
      </c>
      <c r="R33" s="0" t="str">
        <f aca="false">IF($C33="","",IFERROR(VLOOKUP(--$C33,MM_Income!$Z$5:$AC$204,3,FALSE()),""))</f>
        <v>Programme Income</v>
      </c>
    </row>
    <row r="34" customFormat="false" ht="14.9" hidden="false" customHeight="false" outlineLevel="0" collapsed="false">
      <c r="A34" s="20" t="s">
        <v>49</v>
      </c>
      <c r="B34" s="20" t="s">
        <v>85</v>
      </c>
      <c r="C34" s="1" t="n">
        <v>4002</v>
      </c>
      <c r="D34" s="1" t="s">
        <v>673</v>
      </c>
      <c r="E34" s="1" t="n">
        <v>43120</v>
      </c>
      <c r="F34" s="1" t="s">
        <v>1215</v>
      </c>
      <c r="G34" s="140" t="n">
        <v>46112</v>
      </c>
      <c r="H34" s="1" t="n">
        <v>4002</v>
      </c>
      <c r="I34" s="1" t="s">
        <v>1224</v>
      </c>
      <c r="J34" s="1" t="s">
        <v>1225</v>
      </c>
      <c r="L34" s="1" t="n">
        <v>153867.52</v>
      </c>
      <c r="M34" s="125" t="n">
        <f aca="false">Nominal_Activity[[#This Row],[Debit]]-Nominal_Activity[[#This Row],[Credit]]</f>
        <v>-153867.52</v>
      </c>
      <c r="N34" s="149" t="str">
        <f aca="false">IF(C34="","",IFERROR(VLOOKUP(C34,Master_Mappings!$A$4:$E$85,3,FALSE()),"UNMAPPED"))</f>
        <v>Excluded — Project/Other</v>
      </c>
      <c r="O34" s="20" t="s">
        <v>1208</v>
      </c>
      <c r="P34" s="20" t="str">
        <f aca="false">IF($C34="","",$C34&amp;"|"&amp;$E34&amp;"|"&amp;$M34&amp;"|"&amp;TEXT($G34,"yyyy-mm-dd")&amp;"|"&amp;LEFT($J34,40))</f>
        <v>4002|43120|-153867.52|2026-03-31|P13P-PCGH Prsnl Cost Jan - Mar 2026</v>
      </c>
      <c r="Q34" s="20" t="str">
        <f aca="false">IF(P34="","",IF(COUNTIF($P$2:$P$3000,P34)&gt;1,"DUPLICATE","OK"))</f>
        <v>OK</v>
      </c>
      <c r="R34" s="0" t="str">
        <f aca="false">IF($C34="","",IFERROR(VLOOKUP(--$C34,MM_Income!$Z$5:$AC$204,3,FALSE()),""))</f>
        <v>Programme Income</v>
      </c>
    </row>
    <row r="35" customFormat="false" ht="14.9" hidden="false" customHeight="false" outlineLevel="0" collapsed="false">
      <c r="A35" s="20" t="s">
        <v>49</v>
      </c>
      <c r="B35" s="20" t="s">
        <v>85</v>
      </c>
      <c r="C35" s="1" t="n">
        <v>4050</v>
      </c>
      <c r="D35" s="1" t="s">
        <v>675</v>
      </c>
      <c r="E35" s="1" t="n">
        <v>42883</v>
      </c>
      <c r="F35" s="1" t="s">
        <v>840</v>
      </c>
      <c r="G35" s="140" t="n">
        <v>46077</v>
      </c>
      <c r="H35" s="1" t="s">
        <v>1119</v>
      </c>
      <c r="I35" s="1" t="n">
        <v>2026013</v>
      </c>
      <c r="J35" s="1" t="s">
        <v>1226</v>
      </c>
      <c r="L35" s="1" t="n">
        <v>144663.91</v>
      </c>
      <c r="M35" s="125" t="n">
        <f aca="false">Nominal_Activity[[#This Row],[Debit]]-Nominal_Activity[[#This Row],[Credit]]</f>
        <v>-144663.91</v>
      </c>
      <c r="N35" s="149" t="str">
        <f aca="false">IF(C35="","",IFERROR(VLOOKUP(C35,Master_Mappings!$A$4:$E$85,3,FALSE()),"UNMAPPED"))</f>
        <v>Excluded — Project/Other</v>
      </c>
      <c r="O35" s="20" t="s">
        <v>1208</v>
      </c>
      <c r="P35" s="20" t="str">
        <f aca="false">IF($C35="","",$C35&amp;"|"&amp;$E35&amp;"|"&amp;$M35&amp;"|"&amp;TEXT($G35,"yyyy-mm-dd")&amp;"|"&amp;LEFT($J35,40))</f>
        <v>4050|42883|-144663.91|2026-02-24|Final 50% invoice upon signing of contra</v>
      </c>
      <c r="Q35" s="20" t="str">
        <f aca="false">IF(P35="","",IF(COUNTIF($P$2:$P$3000,P35)&gt;1,"DUPLICATE","OK"))</f>
        <v>OK</v>
      </c>
      <c r="R35" s="0" t="str">
        <f aca="false">IF($C35="","",IFERROR(VLOOKUP(--$C35,MM_Income!$Z$5:$AC$204,3,FALSE()),""))</f>
        <v>Invoiced Income</v>
      </c>
    </row>
    <row r="36" customFormat="false" ht="14.9" hidden="false" customHeight="false" outlineLevel="0" collapsed="false">
      <c r="A36" s="20" t="s">
        <v>49</v>
      </c>
      <c r="B36" s="20" t="s">
        <v>85</v>
      </c>
      <c r="C36" s="1" t="n">
        <v>4050</v>
      </c>
      <c r="D36" s="1" t="s">
        <v>675</v>
      </c>
      <c r="E36" s="1" t="n">
        <v>42884</v>
      </c>
      <c r="F36" s="1" t="s">
        <v>1209</v>
      </c>
      <c r="G36" s="140" t="n">
        <v>46108</v>
      </c>
      <c r="H36" s="1" t="s">
        <v>1119</v>
      </c>
      <c r="I36" s="1" t="n">
        <v>25026</v>
      </c>
      <c r="J36" s="1" t="s">
        <v>1226</v>
      </c>
      <c r="K36" s="1" t="n">
        <v>144663.91</v>
      </c>
      <c r="M36" s="125" t="n">
        <f aca="false">Nominal_Activity[[#This Row],[Debit]]-Nominal_Activity[[#This Row],[Credit]]</f>
        <v>144663.91</v>
      </c>
      <c r="N36" s="149" t="str">
        <f aca="false">IF(C36="","",IFERROR(VLOOKUP(C36,Master_Mappings!$A$4:$E$85,3,FALSE()),"UNMAPPED"))</f>
        <v>Excluded — Project/Other</v>
      </c>
      <c r="O36" s="20" t="s">
        <v>1208</v>
      </c>
      <c r="P36" s="20" t="str">
        <f aca="false">IF($C36="","",$C36&amp;"|"&amp;$E36&amp;"|"&amp;$M36&amp;"|"&amp;TEXT($G36,"yyyy-mm-dd")&amp;"|"&amp;LEFT($J36,40))</f>
        <v>4050|42884|144663.91|2026-03-27|Final 50% invoice upon signing of contra</v>
      </c>
      <c r="Q36" s="20" t="str">
        <f aca="false">IF(P36="","",IF(COUNTIF($P$2:$P$3000,P36)&gt;1,"DUPLICATE","OK"))</f>
        <v>OK</v>
      </c>
      <c r="R36" s="0" t="str">
        <f aca="false">IF($C36="","",IFERROR(VLOOKUP(--$C36,MM_Income!$Z$5:$AC$204,3,FALSE()),""))</f>
        <v>Invoiced Income</v>
      </c>
    </row>
    <row r="37" customFormat="false" ht="14.9" hidden="false" customHeight="false" outlineLevel="0" collapsed="false">
      <c r="A37" s="20" t="s">
        <v>49</v>
      </c>
      <c r="B37" s="20" t="s">
        <v>85</v>
      </c>
      <c r="C37" s="1" t="n">
        <v>4050</v>
      </c>
      <c r="D37" s="1" t="s">
        <v>675</v>
      </c>
      <c r="E37" s="1" t="n">
        <v>43222</v>
      </c>
      <c r="F37" s="1" t="s">
        <v>840</v>
      </c>
      <c r="G37" s="140" t="n">
        <v>46072</v>
      </c>
      <c r="H37" s="1" t="s">
        <v>907</v>
      </c>
      <c r="I37" s="1" t="n">
        <v>2026012</v>
      </c>
      <c r="J37" s="1" t="s">
        <v>943</v>
      </c>
      <c r="L37" s="1" t="n">
        <v>307039.47</v>
      </c>
      <c r="M37" s="125" t="n">
        <f aca="false">Nominal_Activity[[#This Row],[Debit]]-Nominal_Activity[[#This Row],[Credit]]</f>
        <v>-307039.47</v>
      </c>
      <c r="N37" s="149" t="str">
        <f aca="false">IF(C37="","",IFERROR(VLOOKUP(C37,Master_Mappings!$A$4:$E$85,3,FALSE()),"UNMAPPED"))</f>
        <v>Excluded — Project/Other</v>
      </c>
      <c r="O37" s="20" t="s">
        <v>1208</v>
      </c>
      <c r="P37" s="20" t="str">
        <f aca="false">IF($C37="","",$C37&amp;"|"&amp;$E37&amp;"|"&amp;$M37&amp;"|"&amp;TEXT($G37,"yyyy-mm-dd")&amp;"|"&amp;LEFT($J37,40))</f>
        <v>4050|43222|-307039.47|2026-02-19|First 50% invoice on contract signing fo</v>
      </c>
      <c r="Q37" s="20" t="str">
        <f aca="false">IF(P37="","",IF(COUNTIF($P$2:$P$3000,P37)&gt;1,"DUPLICATE","OK"))</f>
        <v>OK</v>
      </c>
      <c r="R37" s="0" t="str">
        <f aca="false">IF($C37="","",IFERROR(VLOOKUP(--$C37,MM_Income!$Z$5:$AC$204,3,FALSE()),""))</f>
        <v>Invoiced Income</v>
      </c>
    </row>
    <row r="38" customFormat="false" ht="14.9" hidden="false" customHeight="false" outlineLevel="0" collapsed="false">
      <c r="A38" s="20" t="s">
        <v>49</v>
      </c>
      <c r="B38" s="20" t="s">
        <v>85</v>
      </c>
      <c r="C38" s="1" t="n">
        <v>4050</v>
      </c>
      <c r="D38" s="1" t="s">
        <v>675</v>
      </c>
      <c r="E38" s="1" t="n">
        <v>43224</v>
      </c>
      <c r="F38" s="1" t="s">
        <v>840</v>
      </c>
      <c r="G38" s="140" t="n">
        <v>46108</v>
      </c>
      <c r="H38" s="1" t="s">
        <v>1119</v>
      </c>
      <c r="I38" s="1" t="n">
        <v>2026018</v>
      </c>
      <c r="J38" s="1" t="s">
        <v>1227</v>
      </c>
      <c r="L38" s="1" t="n">
        <v>69359.61</v>
      </c>
      <c r="M38" s="125" t="n">
        <f aca="false">Nominal_Activity[[#This Row],[Debit]]-Nominal_Activity[[#This Row],[Credit]]</f>
        <v>-69359.61</v>
      </c>
      <c r="N38" s="149" t="str">
        <f aca="false">IF(C38="","",IFERROR(VLOOKUP(C38,Master_Mappings!$A$4:$E$85,3,FALSE()),"UNMAPPED"))</f>
        <v>Excluded — Project/Other</v>
      </c>
      <c r="O38" s="20" t="s">
        <v>1208</v>
      </c>
      <c r="P38" s="20" t="str">
        <f aca="false">IF($C38="","",$C38&amp;"|"&amp;$E38&amp;"|"&amp;$M38&amp;"|"&amp;TEXT($G38,"yyyy-mm-dd")&amp;"|"&amp;LEFT($J38,40))</f>
        <v>4050|43224|-69359.61|2026-03-27|Final invoice upon completion of  PCUK11</v>
      </c>
      <c r="Q38" s="20" t="str">
        <f aca="false">IF(P38="","",IF(COUNTIF($P$2:$P$3000,P38)&gt;1,"DUPLICATE","OK"))</f>
        <v>OK</v>
      </c>
      <c r="R38" s="0" t="str">
        <f aca="false">IF($C38="","",IFERROR(VLOOKUP(--$C38,MM_Income!$Z$5:$AC$204,3,FALSE()),""))</f>
        <v>Invoiced Income</v>
      </c>
    </row>
    <row r="39" customFormat="false" ht="14.9" hidden="false" customHeight="false" outlineLevel="0" collapsed="false">
      <c r="A39" s="20" t="s">
        <v>49</v>
      </c>
      <c r="B39" s="20" t="s">
        <v>85</v>
      </c>
      <c r="C39" s="1" t="n">
        <v>4050</v>
      </c>
      <c r="D39" s="1" t="s">
        <v>675</v>
      </c>
      <c r="E39" s="1" t="n">
        <v>43946</v>
      </c>
      <c r="F39" s="1" t="s">
        <v>840</v>
      </c>
      <c r="G39" s="140" t="n">
        <v>46153</v>
      </c>
      <c r="H39" s="1" t="s">
        <v>907</v>
      </c>
      <c r="I39" s="1" t="n">
        <v>2026024</v>
      </c>
      <c r="J39" s="1" t="s">
        <v>1111</v>
      </c>
      <c r="L39" s="1" t="n">
        <v>122187.25</v>
      </c>
      <c r="M39" s="125" t="n">
        <f aca="false">Nominal_Activity[[#This Row],[Debit]]-Nominal_Activity[[#This Row],[Credit]]</f>
        <v>-122187.25</v>
      </c>
      <c r="N39" s="149" t="str">
        <f aca="false">IF(C39="","",IFERROR(VLOOKUP(C39,Master_Mappings!$A$4:$E$85,3,FALSE()),"UNMAPPED"))</f>
        <v>Excluded — Project/Other</v>
      </c>
      <c r="O39" s="20" t="s">
        <v>1208</v>
      </c>
      <c r="P39" s="20" t="str">
        <f aca="false">IF($C39="","",$C39&amp;"|"&amp;$E39&amp;"|"&amp;$M39&amp;"|"&amp;TEXT($G39,"yyyy-mm-dd")&amp;"|"&amp;LEFT($J39,40))</f>
        <v>4050|43946|-122187.25|2026-05-11|First 50% invoice on contract signing of</v>
      </c>
      <c r="Q39" s="20" t="str">
        <f aca="false">IF(P39="","",IF(COUNTIF($P$2:$P$3000,P39)&gt;1,"DUPLICATE","OK"))</f>
        <v>OK</v>
      </c>
      <c r="R39" s="0" t="str">
        <f aca="false">IF($C39="","",IFERROR(VLOOKUP(--$C39,MM_Income!$Z$5:$AC$204,3,FALSE()),""))</f>
        <v>Invoiced Income</v>
      </c>
    </row>
    <row r="40" customFormat="false" ht="14.9" hidden="false" customHeight="false" outlineLevel="0" collapsed="false">
      <c r="A40" s="20" t="s">
        <v>49</v>
      </c>
      <c r="B40" s="20" t="s">
        <v>85</v>
      </c>
      <c r="C40" s="1" t="n">
        <v>4050</v>
      </c>
      <c r="D40" s="1" t="s">
        <v>675</v>
      </c>
      <c r="E40" s="1" t="n">
        <v>43948</v>
      </c>
      <c r="F40" s="1" t="s">
        <v>840</v>
      </c>
      <c r="G40" s="140" t="n">
        <v>46168</v>
      </c>
      <c r="H40" s="1" t="s">
        <v>907</v>
      </c>
      <c r="I40" s="1" t="n">
        <v>2026027</v>
      </c>
      <c r="J40" s="1" t="s">
        <v>1114</v>
      </c>
      <c r="L40" s="1" t="n">
        <v>415780.65</v>
      </c>
      <c r="M40" s="125" t="n">
        <f aca="false">Nominal_Activity[[#This Row],[Debit]]-Nominal_Activity[[#This Row],[Credit]]</f>
        <v>-415780.65</v>
      </c>
      <c r="N40" s="149" t="str">
        <f aca="false">IF(C40="","",IFERROR(VLOOKUP(C40,Master_Mappings!$A$4:$E$85,3,FALSE()),"UNMAPPED"))</f>
        <v>Excluded — Project/Other</v>
      </c>
      <c r="O40" s="20" t="s">
        <v>1208</v>
      </c>
      <c r="P40" s="20" t="str">
        <f aca="false">IF($C40="","",$C40&amp;"|"&amp;$E40&amp;"|"&amp;$M40&amp;"|"&amp;TEXT($G40,"yyyy-mm-dd")&amp;"|"&amp;LEFT($J40,40))</f>
        <v>4050|43948|-415780.65|2026-05-26|First 50% invoice on contract signing fo</v>
      </c>
      <c r="Q40" s="20" t="str">
        <f aca="false">IF(P40="","",IF(COUNTIF($P$2:$P$3000,P40)&gt;1,"DUPLICATE","OK"))</f>
        <v>OK</v>
      </c>
      <c r="R40" s="0" t="str">
        <f aca="false">IF($C40="","",IFERROR(VLOOKUP(--$C40,MM_Income!$Z$5:$AC$204,3,FALSE()),""))</f>
        <v>Invoiced Income</v>
      </c>
    </row>
    <row r="41" customFormat="false" ht="14.9" hidden="false" customHeight="false" outlineLevel="0" collapsed="false">
      <c r="A41" s="20" t="s">
        <v>49</v>
      </c>
      <c r="B41" s="20" t="s">
        <v>85</v>
      </c>
      <c r="C41" s="1" t="n">
        <v>4050</v>
      </c>
      <c r="D41" s="1" t="s">
        <v>675</v>
      </c>
      <c r="E41" s="1" t="n">
        <v>43949</v>
      </c>
      <c r="F41" s="1" t="s">
        <v>840</v>
      </c>
      <c r="G41" s="140" t="n">
        <v>46168</v>
      </c>
      <c r="H41" s="1" t="s">
        <v>907</v>
      </c>
      <c r="I41" s="1" t="n">
        <v>2026028</v>
      </c>
      <c r="J41" s="1" t="s">
        <v>1115</v>
      </c>
      <c r="L41" s="1" t="n">
        <v>424542.07</v>
      </c>
      <c r="M41" s="125" t="n">
        <f aca="false">Nominal_Activity[[#This Row],[Debit]]-Nominal_Activity[[#This Row],[Credit]]</f>
        <v>-424542.07</v>
      </c>
      <c r="N41" s="149" t="str">
        <f aca="false">IF(C41="","",IFERROR(VLOOKUP(C41,Master_Mappings!$A$4:$E$85,3,FALSE()),"UNMAPPED"))</f>
        <v>Excluded — Project/Other</v>
      </c>
      <c r="O41" s="20" t="s">
        <v>1208</v>
      </c>
      <c r="P41" s="20" t="str">
        <f aca="false">IF($C41="","",$C41&amp;"|"&amp;$E41&amp;"|"&amp;$M41&amp;"|"&amp;TEXT($G41,"yyyy-mm-dd")&amp;"|"&amp;LEFT($J41,40))</f>
        <v>4050|43949|-424542.07|2026-05-26|First 50% invoice on contract signing of</v>
      </c>
      <c r="Q41" s="20" t="str">
        <f aca="false">IF(P41="","",IF(COUNTIF($P$2:$P$3000,P41)&gt;1,"DUPLICATE","OK"))</f>
        <v>OK</v>
      </c>
      <c r="R41" s="0" t="str">
        <f aca="false">IF($C41="","",IFERROR(VLOOKUP(--$C41,MM_Income!$Z$5:$AC$204,3,FALSE()),""))</f>
        <v>Invoiced Income</v>
      </c>
    </row>
    <row r="42" customFormat="false" ht="14.9" hidden="false" customHeight="false" outlineLevel="0" collapsed="false">
      <c r="A42" s="20" t="s">
        <v>49</v>
      </c>
      <c r="B42" s="20" t="s">
        <v>85</v>
      </c>
      <c r="C42" s="1" t="n">
        <v>4050</v>
      </c>
      <c r="D42" s="1" t="s">
        <v>675</v>
      </c>
      <c r="E42" s="1" t="n">
        <v>43950</v>
      </c>
      <c r="F42" s="1" t="s">
        <v>840</v>
      </c>
      <c r="G42" s="140" t="n">
        <v>46168</v>
      </c>
      <c r="H42" s="1" t="s">
        <v>907</v>
      </c>
      <c r="I42" s="1" t="n">
        <v>2026029</v>
      </c>
      <c r="J42" s="1" t="s">
        <v>1116</v>
      </c>
      <c r="L42" s="1" t="n">
        <v>446803.13</v>
      </c>
      <c r="M42" s="125" t="n">
        <f aca="false">Nominal_Activity[[#This Row],[Debit]]-Nominal_Activity[[#This Row],[Credit]]</f>
        <v>-446803.13</v>
      </c>
      <c r="N42" s="149" t="str">
        <f aca="false">IF(C42="","",IFERROR(VLOOKUP(C42,Master_Mappings!$A$4:$E$85,3,FALSE()),"UNMAPPED"))</f>
        <v>Excluded — Project/Other</v>
      </c>
      <c r="O42" s="20" t="s">
        <v>1208</v>
      </c>
      <c r="P42" s="20" t="str">
        <f aca="false">IF($C42="","",$C42&amp;"|"&amp;$E42&amp;"|"&amp;$M42&amp;"|"&amp;TEXT($G42,"yyyy-mm-dd")&amp;"|"&amp;LEFT($J42,40))</f>
        <v>4050|43950|-446803.13|2026-05-26|First 50% invoice on contract signing of</v>
      </c>
      <c r="Q42" s="20" t="str">
        <f aca="false">IF(P42="","",IF(COUNTIF($P$2:$P$3000,P42)&gt;1,"DUPLICATE","OK"))</f>
        <v>OK</v>
      </c>
      <c r="R42" s="0" t="str">
        <f aca="false">IF($C42="","",IFERROR(VLOOKUP(--$C42,MM_Income!$Z$5:$AC$204,3,FALSE()),""))</f>
        <v>Invoiced Income</v>
      </c>
    </row>
    <row r="43" customFormat="false" ht="14.9" hidden="false" customHeight="false" outlineLevel="0" collapsed="false">
      <c r="A43" s="20" t="s">
        <v>49</v>
      </c>
      <c r="B43" s="20" t="s">
        <v>85</v>
      </c>
      <c r="C43" s="1" t="n">
        <v>4050</v>
      </c>
      <c r="D43" s="1" t="s">
        <v>675</v>
      </c>
      <c r="E43" s="1" t="n">
        <v>43951</v>
      </c>
      <c r="F43" s="1" t="s">
        <v>840</v>
      </c>
      <c r="G43" s="140" t="n">
        <v>46168</v>
      </c>
      <c r="H43" s="1" t="s">
        <v>1119</v>
      </c>
      <c r="I43" s="1" t="n">
        <v>2026030</v>
      </c>
      <c r="J43" s="1" t="s">
        <v>1120</v>
      </c>
      <c r="L43" s="1" t="n">
        <v>291532.03</v>
      </c>
      <c r="M43" s="125" t="n">
        <f aca="false">Nominal_Activity[[#This Row],[Debit]]-Nominal_Activity[[#This Row],[Credit]]</f>
        <v>-291532.03</v>
      </c>
      <c r="N43" s="149" t="str">
        <f aca="false">IF(C43="","",IFERROR(VLOOKUP(C43,Master_Mappings!$A$4:$E$85,3,FALSE()),"UNMAPPED"))</f>
        <v>Excluded — Project/Other</v>
      </c>
      <c r="O43" s="20" t="s">
        <v>1208</v>
      </c>
      <c r="P43" s="20" t="str">
        <f aca="false">IF($C43="","",$C43&amp;"|"&amp;$E43&amp;"|"&amp;$M43&amp;"|"&amp;TEXT($G43,"yyyy-mm-dd")&amp;"|"&amp;LEFT($J43,40))</f>
        <v>4050|43951|-291532.03|2026-05-26|First 50% invoice on contract signing fo</v>
      </c>
      <c r="Q43" s="20" t="str">
        <f aca="false">IF(P43="","",IF(COUNTIF($P$2:$P$3000,P43)&gt;1,"DUPLICATE","OK"))</f>
        <v>OK</v>
      </c>
      <c r="R43" s="0" t="str">
        <f aca="false">IF($C43="","",IFERROR(VLOOKUP(--$C43,MM_Income!$Z$5:$AC$204,3,FALSE()),""))</f>
        <v>Invoiced Income</v>
      </c>
    </row>
    <row r="44" customFormat="false" ht="14.9" hidden="false" customHeight="false" outlineLevel="0" collapsed="false">
      <c r="A44" s="20" t="s">
        <v>49</v>
      </c>
      <c r="B44" s="20" t="s">
        <v>85</v>
      </c>
      <c r="C44" s="1" t="n">
        <v>4050</v>
      </c>
      <c r="D44" s="1" t="s">
        <v>675</v>
      </c>
      <c r="E44" s="1" t="n">
        <v>43952</v>
      </c>
      <c r="F44" s="1" t="s">
        <v>840</v>
      </c>
      <c r="G44" s="140" t="n">
        <v>46170</v>
      </c>
      <c r="H44" s="1" t="s">
        <v>907</v>
      </c>
      <c r="I44" s="1" t="n">
        <v>2026031</v>
      </c>
      <c r="J44" s="1" t="s">
        <v>1123</v>
      </c>
      <c r="L44" s="1" t="n">
        <v>102255</v>
      </c>
      <c r="M44" s="125" t="n">
        <f aca="false">Nominal_Activity[[#This Row],[Debit]]-Nominal_Activity[[#This Row],[Credit]]</f>
        <v>-102255</v>
      </c>
      <c r="N44" s="149" t="str">
        <f aca="false">IF(C44="","",IFERROR(VLOOKUP(C44,Master_Mappings!$A$4:$E$85,3,FALSE()),"UNMAPPED"))</f>
        <v>Excluded — Project/Other</v>
      </c>
      <c r="O44" s="20" t="s">
        <v>1208</v>
      </c>
      <c r="P44" s="20" t="str">
        <f aca="false">IF($C44="","",$C44&amp;"|"&amp;$E44&amp;"|"&amp;$M44&amp;"|"&amp;TEXT($G44,"yyyy-mm-dd")&amp;"|"&amp;LEFT($J44,40))</f>
        <v>4050|43952|-102255|2026-05-28|First 50% invoice on contract signing of</v>
      </c>
      <c r="Q44" s="20" t="str">
        <f aca="false">IF(P44="","",IF(COUNTIF($P$2:$P$3000,P44)&gt;1,"DUPLICATE","OK"))</f>
        <v>OK</v>
      </c>
      <c r="R44" s="0" t="str">
        <f aca="false">IF($C44="","",IFERROR(VLOOKUP(--$C44,MM_Income!$Z$5:$AC$204,3,FALSE()),""))</f>
        <v>Invoiced Income</v>
      </c>
    </row>
    <row r="45" customFormat="false" ht="14.9" hidden="false" customHeight="false" outlineLevel="0" collapsed="false">
      <c r="A45" s="20" t="s">
        <v>49</v>
      </c>
      <c r="B45" s="20" t="s">
        <v>85</v>
      </c>
      <c r="C45" s="1" t="n">
        <v>4050</v>
      </c>
      <c r="D45" s="1" t="s">
        <v>675</v>
      </c>
      <c r="E45" s="1" t="n">
        <v>43962</v>
      </c>
      <c r="F45" s="1" t="s">
        <v>840</v>
      </c>
      <c r="G45" s="140" t="n">
        <v>46191</v>
      </c>
      <c r="H45" s="1" t="s">
        <v>907</v>
      </c>
      <c r="I45" s="1" t="n">
        <v>2026039</v>
      </c>
      <c r="J45" s="1" t="s">
        <v>1133</v>
      </c>
      <c r="L45" s="1" t="n">
        <v>307039.47</v>
      </c>
      <c r="M45" s="125" t="n">
        <f aca="false">Nominal_Activity[[#This Row],[Debit]]-Nominal_Activity[[#This Row],[Credit]]</f>
        <v>-307039.47</v>
      </c>
      <c r="N45" s="149" t="str">
        <f aca="false">IF(C45="","",IFERROR(VLOOKUP(C45,Master_Mappings!$A$4:$E$85,3,FALSE()),"UNMAPPED"))</f>
        <v>Excluded — Project/Other</v>
      </c>
      <c r="O45" s="20" t="s">
        <v>1208</v>
      </c>
      <c r="P45" s="20" t="str">
        <f aca="false">IF($C45="","",$C45&amp;"|"&amp;$E45&amp;"|"&amp;$M45&amp;"|"&amp;TEXT($G45,"yyyy-mm-dd")&amp;"|"&amp;LEFT($J45,40))</f>
        <v>4050|43962|-307039.47|2026-06-18|Final 50% invoice on completion of PCUK1</v>
      </c>
      <c r="Q45" s="20" t="str">
        <f aca="false">IF(P45="","",IF(COUNTIF($P$2:$P$3000,P45)&gt;1,"DUPLICATE","OK"))</f>
        <v>OK</v>
      </c>
      <c r="R45" s="0" t="str">
        <f aca="false">IF($C45="","",IFERROR(VLOOKUP(--$C45,MM_Income!$Z$5:$AC$204,3,FALSE()),""))</f>
        <v>Invoiced Income</v>
      </c>
    </row>
    <row r="46" customFormat="false" ht="14.9" hidden="false" customHeight="false" outlineLevel="0" collapsed="false">
      <c r="A46" s="20" t="s">
        <v>49</v>
      </c>
      <c r="B46" s="20" t="s">
        <v>85</v>
      </c>
      <c r="C46" s="1" t="n">
        <v>4200</v>
      </c>
      <c r="D46" s="1" t="s">
        <v>677</v>
      </c>
      <c r="E46" s="1" t="n">
        <v>42948</v>
      </c>
      <c r="F46" s="1" t="s">
        <v>840</v>
      </c>
      <c r="G46" s="140" t="n">
        <v>46098</v>
      </c>
      <c r="H46" s="1" t="s">
        <v>907</v>
      </c>
      <c r="I46" s="1" t="n">
        <v>2026015</v>
      </c>
      <c r="J46" s="1" t="s">
        <v>909</v>
      </c>
      <c r="L46" s="1" t="n">
        <v>319251.56</v>
      </c>
      <c r="M46" s="125" t="n">
        <f aca="false">Nominal_Activity[[#This Row],[Debit]]-Nominal_Activity[[#This Row],[Credit]]</f>
        <v>-319251.56</v>
      </c>
      <c r="N46" s="149" t="str">
        <f aca="false">IF(C46="","",IFERROR(VLOOKUP(C46,Master_Mappings!$A$4:$E$85,3,FALSE()),"UNMAPPED"))</f>
        <v>Excluded — Project/Other</v>
      </c>
      <c r="O46" s="20" t="s">
        <v>1208</v>
      </c>
      <c r="P46" s="20" t="str">
        <f aca="false">IF($C46="","",$C46&amp;"|"&amp;$E46&amp;"|"&amp;$M46&amp;"|"&amp;TEXT($G46,"yyyy-mm-dd")&amp;"|"&amp;LEFT($J46,40))</f>
        <v>4200|42948|-319251.56|2026-03-17|Advance payment for Nestle Nigeria valid</v>
      </c>
      <c r="Q46" s="20" t="str">
        <f aca="false">IF(P46="","",IF(COUNTIF($P$2:$P$3000,P46)&gt;1,"DUPLICATE","OK"))</f>
        <v>OK</v>
      </c>
      <c r="R46" s="0" t="str">
        <f aca="false">IF($C46="","",IFERROR(VLOOKUP(--$C46,MM_Income!$Z$5:$AC$204,3,FALSE()),""))</f>
        <v>Recovered Expenses</v>
      </c>
    </row>
    <row r="47" customFormat="false" ht="14.9" hidden="false" customHeight="false" outlineLevel="0" collapsed="false">
      <c r="A47" s="20" t="s">
        <v>49</v>
      </c>
      <c r="B47" s="20" t="s">
        <v>85</v>
      </c>
      <c r="C47" s="1" t="n">
        <v>4200</v>
      </c>
      <c r="D47" s="1" t="s">
        <v>677</v>
      </c>
      <c r="E47" s="1" t="n">
        <v>42949</v>
      </c>
      <c r="F47" s="1" t="s">
        <v>840</v>
      </c>
      <c r="G47" s="140" t="n">
        <v>46098</v>
      </c>
      <c r="H47" s="1" t="s">
        <v>907</v>
      </c>
      <c r="I47" s="1" t="n">
        <v>2026015</v>
      </c>
      <c r="J47" s="1" t="s">
        <v>910</v>
      </c>
      <c r="L47" s="1" t="n">
        <v>62465.62</v>
      </c>
      <c r="M47" s="125" t="n">
        <f aca="false">Nominal_Activity[[#This Row],[Debit]]-Nominal_Activity[[#This Row],[Credit]]</f>
        <v>-62465.62</v>
      </c>
      <c r="N47" s="149" t="str">
        <f aca="false">IF(C47="","",IFERROR(VLOOKUP(C47,Master_Mappings!$A$4:$E$85,3,FALSE()),"UNMAPPED"))</f>
        <v>Excluded — Project/Other</v>
      </c>
      <c r="O47" s="20" t="s">
        <v>1208</v>
      </c>
      <c r="P47" s="20" t="str">
        <f aca="false">IF($C47="","",$C47&amp;"|"&amp;$E47&amp;"|"&amp;$M47&amp;"|"&amp;TEXT($G47,"yyyy-mm-dd")&amp;"|"&amp;LEFT($J47,40))</f>
        <v>4200|42949|-62465.62|2026-03-17|Advance payment for Africa Sugar Confere</v>
      </c>
      <c r="Q47" s="20" t="str">
        <f aca="false">IF(P47="","",IF(COUNTIF($P$2:$P$3000,P47)&gt;1,"DUPLICATE","OK"))</f>
        <v>OK</v>
      </c>
      <c r="R47" s="0" t="str">
        <f aca="false">IF($C47="","",IFERROR(VLOOKUP(--$C47,MM_Income!$Z$5:$AC$204,3,FALSE()),""))</f>
        <v>Recovered Expenses</v>
      </c>
    </row>
    <row r="48" customFormat="false" ht="14.9" hidden="false" customHeight="false" outlineLevel="0" collapsed="false">
      <c r="A48" s="20" t="s">
        <v>49</v>
      </c>
      <c r="B48" s="20" t="s">
        <v>85</v>
      </c>
      <c r="C48" s="1" t="n">
        <v>4200</v>
      </c>
      <c r="D48" s="1" t="s">
        <v>677</v>
      </c>
      <c r="E48" s="1" t="n">
        <v>42959</v>
      </c>
      <c r="F48" s="1" t="s">
        <v>1209</v>
      </c>
      <c r="G48" s="140" t="n">
        <v>46084</v>
      </c>
      <c r="H48" s="1" t="s">
        <v>398</v>
      </c>
      <c r="J48" s="1" t="s">
        <v>1228</v>
      </c>
      <c r="K48" s="1" t="n">
        <v>185.75</v>
      </c>
      <c r="M48" s="125" t="n">
        <f aca="false">Nominal_Activity[[#This Row],[Debit]]-Nominal_Activity[[#This Row],[Credit]]</f>
        <v>185.75</v>
      </c>
      <c r="N48" s="149" t="str">
        <f aca="false">IF(C48="","",IFERROR(VLOOKUP(C48,Master_Mappings!$A$4:$E$85,3,FALSE()),"UNMAPPED"))</f>
        <v>Excluded — Project/Other</v>
      </c>
      <c r="O48" s="20" t="s">
        <v>1208</v>
      </c>
      <c r="P48" s="20" t="str">
        <f aca="false">IF($C48="","",$C48&amp;"|"&amp;$E48&amp;"|"&amp;$M48&amp;"|"&amp;TEXT($G48,"yyyy-mm-dd")&amp;"|"&amp;LEFT($J48,40))</f>
        <v>4200|42959|185.75|2026-03-03|Expenses to be treated as non recoverabl</v>
      </c>
      <c r="Q48" s="20" t="str">
        <f aca="false">IF(P48="","",IF(COUNTIF($P$2:$P$3000,P48)&gt;1,"DUPLICATE","OK"))</f>
        <v>OK</v>
      </c>
      <c r="R48" s="0" t="str">
        <f aca="false">IF($C48="","",IFERROR(VLOOKUP(--$C48,MM_Income!$Z$5:$AC$204,3,FALSE()),""))</f>
        <v>Recovered Expenses</v>
      </c>
    </row>
    <row r="49" customFormat="false" ht="14.9" hidden="false" customHeight="false" outlineLevel="0" collapsed="false">
      <c r="A49" s="20" t="s">
        <v>49</v>
      </c>
      <c r="B49" s="20" t="s">
        <v>85</v>
      </c>
      <c r="C49" s="1" t="n">
        <v>4200</v>
      </c>
      <c r="D49" s="1" t="s">
        <v>677</v>
      </c>
      <c r="E49" s="1" t="n">
        <v>43078</v>
      </c>
      <c r="F49" s="1" t="s">
        <v>840</v>
      </c>
      <c r="G49" s="140" t="n">
        <v>46041</v>
      </c>
      <c r="H49" s="1" t="s">
        <v>382</v>
      </c>
      <c r="I49" s="1" t="n">
        <v>2026004</v>
      </c>
      <c r="J49" s="1" t="s">
        <v>924</v>
      </c>
      <c r="L49" s="1" t="n">
        <v>4096.17</v>
      </c>
      <c r="M49" s="125" t="n">
        <f aca="false">Nominal_Activity[[#This Row],[Debit]]-Nominal_Activity[[#This Row],[Credit]]</f>
        <v>-4096.17</v>
      </c>
      <c r="N49" s="149" t="str">
        <f aca="false">IF(C49="","",IFERROR(VLOOKUP(C49,Master_Mappings!$A$4:$E$85,3,FALSE()),"UNMAPPED"))</f>
        <v>Excluded — Project/Other</v>
      </c>
      <c r="O49" s="20" t="s">
        <v>1208</v>
      </c>
      <c r="P49" s="20" t="str">
        <f aca="false">IF($C49="","",$C49&amp;"|"&amp;$E49&amp;"|"&amp;$M49&amp;"|"&amp;TEXT($G49,"yyyy-mm-dd")&amp;"|"&amp;LEFT($J49,40))</f>
        <v>4200|43078|-4096.17|2026-01-19|Rechargeable Expenses</v>
      </c>
      <c r="Q49" s="20" t="str">
        <f aca="false">IF(P49="","",IF(COUNTIF($P$2:$P$3000,P49)&gt;1,"DUPLICATE","OK"))</f>
        <v>OK</v>
      </c>
      <c r="R49" s="0" t="str">
        <f aca="false">IF($C49="","",IFERROR(VLOOKUP(--$C49,MM_Income!$Z$5:$AC$204,3,FALSE()),""))</f>
        <v>Recovered Expenses</v>
      </c>
    </row>
    <row r="50" customFormat="false" ht="14.9" hidden="false" customHeight="false" outlineLevel="0" collapsed="false">
      <c r="A50" s="20" t="s">
        <v>49</v>
      </c>
      <c r="B50" s="20" t="s">
        <v>85</v>
      </c>
      <c r="C50" s="1" t="n">
        <v>4200</v>
      </c>
      <c r="D50" s="1" t="s">
        <v>677</v>
      </c>
      <c r="E50" s="1" t="n">
        <v>43947</v>
      </c>
      <c r="F50" s="1" t="s">
        <v>840</v>
      </c>
      <c r="G50" s="140" t="n">
        <v>46162</v>
      </c>
      <c r="H50" s="1" t="s">
        <v>1112</v>
      </c>
      <c r="I50" s="1" t="n">
        <v>2026026</v>
      </c>
      <c r="J50" s="1" t="s">
        <v>1113</v>
      </c>
      <c r="L50" s="1" t="n">
        <v>216878.63</v>
      </c>
      <c r="M50" s="125" t="n">
        <f aca="false">Nominal_Activity[[#This Row],[Debit]]-Nominal_Activity[[#This Row],[Credit]]</f>
        <v>-216878.63</v>
      </c>
      <c r="N50" s="149" t="str">
        <f aca="false">IF(C50="","",IFERROR(VLOOKUP(C50,Master_Mappings!$A$4:$E$85,3,FALSE()),"UNMAPPED"))</f>
        <v>Excluded — Project/Other</v>
      </c>
      <c r="O50" s="20" t="s">
        <v>1208</v>
      </c>
      <c r="P50" s="20" t="str">
        <f aca="false">IF($C50="","",$C50&amp;"|"&amp;$E50&amp;"|"&amp;$M50&amp;"|"&amp;TEXT($G50,"yyyy-mm-dd")&amp;"|"&amp;LEFT($J50,40))</f>
        <v>4200|43947|-216878.63|2026-05-20|Reimbursement of payment made to HCV Net</v>
      </c>
      <c r="Q50" s="20" t="str">
        <f aca="false">IF(P50="","",IF(COUNTIF($P$2:$P$3000,P50)&gt;1,"DUPLICATE","OK"))</f>
        <v>OK</v>
      </c>
      <c r="R50" s="0" t="str">
        <f aca="false">IF($C50="","",IFERROR(VLOOKUP(--$C50,MM_Income!$Z$5:$AC$204,3,FALSE()),""))</f>
        <v>Recovered Expenses</v>
      </c>
    </row>
    <row r="51" customFormat="false" ht="14.9" hidden="false" customHeight="false" outlineLevel="0" collapsed="false">
      <c r="A51" s="20" t="s">
        <v>49</v>
      </c>
      <c r="B51" s="20" t="s">
        <v>85</v>
      </c>
      <c r="C51" s="1" t="n">
        <v>4200</v>
      </c>
      <c r="D51" s="1" t="s">
        <v>677</v>
      </c>
      <c r="E51" s="1" t="n">
        <v>43959</v>
      </c>
      <c r="F51" s="1" t="s">
        <v>840</v>
      </c>
      <c r="G51" s="140" t="n">
        <v>46177</v>
      </c>
      <c r="H51" s="1" t="s">
        <v>858</v>
      </c>
      <c r="I51" s="1" t="n">
        <v>2026037</v>
      </c>
      <c r="J51" s="1" t="s">
        <v>677</v>
      </c>
      <c r="L51" s="1" t="n">
        <v>35444.29</v>
      </c>
      <c r="M51" s="125" t="n">
        <f aca="false">Nominal_Activity[[#This Row],[Debit]]-Nominal_Activity[[#This Row],[Credit]]</f>
        <v>-35444.29</v>
      </c>
      <c r="N51" s="149" t="str">
        <f aca="false">IF(C51="","",IFERROR(VLOOKUP(C51,Master_Mappings!$A$4:$E$85,3,FALSE()),"UNMAPPED"))</f>
        <v>Excluded — Project/Other</v>
      </c>
      <c r="O51" s="20" t="s">
        <v>1208</v>
      </c>
      <c r="P51" s="20" t="str">
        <f aca="false">IF($C51="","",$C51&amp;"|"&amp;$E51&amp;"|"&amp;$M51&amp;"|"&amp;TEXT($G51,"yyyy-mm-dd")&amp;"|"&amp;LEFT($J51,40))</f>
        <v>4200|43959|-35444.29|2026-06-04|Recovered Project Expenses</v>
      </c>
      <c r="Q51" s="20" t="str">
        <f aca="false">IF(P51="","",IF(COUNTIF($P$2:$P$3000,P51)&gt;1,"DUPLICATE","OK"))</f>
        <v>OK</v>
      </c>
      <c r="R51" s="0" t="str">
        <f aca="false">IF($C51="","",IFERROR(VLOOKUP(--$C51,MM_Income!$Z$5:$AC$204,3,FALSE()),""))</f>
        <v>Recovered Expenses</v>
      </c>
    </row>
    <row r="52" customFormat="false" ht="14.9" hidden="false" customHeight="false" outlineLevel="0" collapsed="false">
      <c r="A52" s="20" t="s">
        <v>49</v>
      </c>
      <c r="B52" s="20" t="s">
        <v>85</v>
      </c>
      <c r="C52" s="1" t="n">
        <v>4200</v>
      </c>
      <c r="D52" s="1" t="s">
        <v>677</v>
      </c>
      <c r="E52" s="1" t="n">
        <v>43961</v>
      </c>
      <c r="F52" s="1" t="s">
        <v>840</v>
      </c>
      <c r="G52" s="140" t="n">
        <v>46190</v>
      </c>
      <c r="H52" s="1" t="s">
        <v>929</v>
      </c>
      <c r="I52" s="1" t="n">
        <v>2026038</v>
      </c>
      <c r="J52" s="1" t="s">
        <v>1132</v>
      </c>
      <c r="L52" s="1" t="n">
        <v>45777.82</v>
      </c>
      <c r="M52" s="125" t="n">
        <f aca="false">Nominal_Activity[[#This Row],[Debit]]-Nominal_Activity[[#This Row],[Credit]]</f>
        <v>-45777.82</v>
      </c>
      <c r="N52" s="149" t="str">
        <f aca="false">IF(C52="","",IFERROR(VLOOKUP(C52,Master_Mappings!$A$4:$E$85,3,FALSE()),"UNMAPPED"))</f>
        <v>Excluded — Project/Other</v>
      </c>
      <c r="O52" s="20" t="s">
        <v>1208</v>
      </c>
      <c r="P52" s="20" t="str">
        <f aca="false">IF($C52="","",$C52&amp;"|"&amp;$E52&amp;"|"&amp;$M52&amp;"|"&amp;TEXT($G52,"yyyy-mm-dd")&amp;"|"&amp;LEFT($J52,40))</f>
        <v>4200|43961|-45777.82|2026-06-17|Reimbursable expenses</v>
      </c>
      <c r="Q52" s="20" t="str">
        <f aca="false">IF(P52="","",IF(COUNTIF($P$2:$P$3000,P52)&gt;1,"DUPLICATE","OK"))</f>
        <v>OK</v>
      </c>
      <c r="R52" s="0" t="str">
        <f aca="false">IF($C52="","",IFERROR(VLOOKUP(--$C52,MM_Income!$Z$5:$AC$204,3,FALSE()),""))</f>
        <v>Recovered Expenses</v>
      </c>
    </row>
    <row r="53" customFormat="false" ht="14.9" hidden="false" customHeight="false" outlineLevel="0" collapsed="false">
      <c r="A53" s="20" t="s">
        <v>49</v>
      </c>
      <c r="B53" s="20" t="s">
        <v>85</v>
      </c>
      <c r="C53" s="1" t="n">
        <v>4200</v>
      </c>
      <c r="D53" s="1" t="s">
        <v>677</v>
      </c>
      <c r="E53" s="1" t="n">
        <v>43963</v>
      </c>
      <c r="F53" s="1" t="s">
        <v>840</v>
      </c>
      <c r="G53" s="140" t="n">
        <v>46191</v>
      </c>
      <c r="H53" s="1" t="s">
        <v>907</v>
      </c>
      <c r="I53" s="1" t="n">
        <v>2026039</v>
      </c>
      <c r="J53" s="1" t="s">
        <v>1134</v>
      </c>
      <c r="L53" s="1" t="n">
        <v>63091.27</v>
      </c>
      <c r="M53" s="125" t="n">
        <f aca="false">Nominal_Activity[[#This Row],[Debit]]-Nominal_Activity[[#This Row],[Credit]]</f>
        <v>-63091.27</v>
      </c>
      <c r="N53" s="149" t="str">
        <f aca="false">IF(C53="","",IFERROR(VLOOKUP(C53,Master_Mappings!$A$4:$E$85,3,FALSE()),"UNMAPPED"))</f>
        <v>Excluded — Project/Other</v>
      </c>
      <c r="O53" s="20" t="s">
        <v>1208</v>
      </c>
      <c r="P53" s="20" t="str">
        <f aca="false">IF($C53="","",$C53&amp;"|"&amp;$E53&amp;"|"&amp;$M53&amp;"|"&amp;TEXT($G53,"yyyy-mm-dd")&amp;"|"&amp;LEFT($J53,40))</f>
        <v>4200|43963|-63091.27|2026-06-18|Reimbursable Expenses</v>
      </c>
      <c r="Q53" s="20" t="str">
        <f aca="false">IF(P53="","",IF(COUNTIF($P$2:$P$3000,P53)&gt;1,"DUPLICATE","OK"))</f>
        <v>OK</v>
      </c>
      <c r="R53" s="0" t="str">
        <f aca="false">IF($C53="","",IFERROR(VLOOKUP(--$C53,MM_Income!$Z$5:$AC$204,3,FALSE()),""))</f>
        <v>Recovered Expenses</v>
      </c>
    </row>
    <row r="54" customFormat="false" ht="14.9" hidden="false" customHeight="false" outlineLevel="0" collapsed="false">
      <c r="A54" s="20" t="s">
        <v>49</v>
      </c>
      <c r="B54" s="20" t="s">
        <v>85</v>
      </c>
      <c r="C54" s="1" t="n">
        <v>4200</v>
      </c>
      <c r="D54" s="1" t="s">
        <v>677</v>
      </c>
      <c r="E54" s="1" t="n">
        <v>43965</v>
      </c>
      <c r="F54" s="1" t="s">
        <v>840</v>
      </c>
      <c r="G54" s="140" t="n">
        <v>46203</v>
      </c>
      <c r="H54" s="1" t="s">
        <v>1135</v>
      </c>
      <c r="I54" s="1" t="n">
        <v>2026041</v>
      </c>
      <c r="J54" s="1" t="s">
        <v>1134</v>
      </c>
      <c r="L54" s="1" t="n">
        <v>113779.54</v>
      </c>
      <c r="M54" s="125" t="n">
        <f aca="false">Nominal_Activity[[#This Row],[Debit]]-Nominal_Activity[[#This Row],[Credit]]</f>
        <v>-113779.54</v>
      </c>
      <c r="N54" s="149" t="str">
        <f aca="false">IF(C54="","",IFERROR(VLOOKUP(C54,Master_Mappings!$A$4:$E$85,3,FALSE()),"UNMAPPED"))</f>
        <v>Excluded — Project/Other</v>
      </c>
      <c r="O54" s="20" t="s">
        <v>1208</v>
      </c>
      <c r="P54" s="20" t="str">
        <f aca="false">IF($C54="","",$C54&amp;"|"&amp;$E54&amp;"|"&amp;$M54&amp;"|"&amp;TEXT($G54,"yyyy-mm-dd")&amp;"|"&amp;LEFT($J54,40))</f>
        <v>4200|43965|-113779.54|2026-06-30|Reimbursable Expenses</v>
      </c>
      <c r="Q54" s="20" t="str">
        <f aca="false">IF(P54="","",IF(COUNTIF($P$2:$P$3000,P54)&gt;1,"DUPLICATE","OK"))</f>
        <v>OK</v>
      </c>
      <c r="R54" s="0" t="str">
        <f aca="false">IF($C54="","",IFERROR(VLOOKUP(--$C54,MM_Income!$Z$5:$AC$204,3,FALSE()),""))</f>
        <v>Recovered Expenses</v>
      </c>
    </row>
    <row r="55" customFormat="false" ht="14.9" hidden="false" customHeight="false" outlineLevel="0" collapsed="false">
      <c r="A55" s="20" t="s">
        <v>49</v>
      </c>
      <c r="B55" s="20" t="s">
        <v>85</v>
      </c>
      <c r="C55" s="1" t="n">
        <v>4200</v>
      </c>
      <c r="D55" s="1" t="s">
        <v>677</v>
      </c>
      <c r="E55" s="1" t="n">
        <v>43967</v>
      </c>
      <c r="F55" s="1" t="s">
        <v>840</v>
      </c>
      <c r="G55" s="140" t="n">
        <v>46191</v>
      </c>
      <c r="H55" s="1" t="s">
        <v>382</v>
      </c>
      <c r="I55" s="1" t="n">
        <v>2026040</v>
      </c>
      <c r="J55" s="1" t="s">
        <v>1134</v>
      </c>
      <c r="L55" s="1" t="n">
        <v>57522.06</v>
      </c>
      <c r="M55" s="125" t="n">
        <f aca="false">Nominal_Activity[[#This Row],[Debit]]-Nominal_Activity[[#This Row],[Credit]]</f>
        <v>-57522.06</v>
      </c>
      <c r="N55" s="149" t="str">
        <f aca="false">IF(C55="","",IFERROR(VLOOKUP(C55,Master_Mappings!$A$4:$E$85,3,FALSE()),"UNMAPPED"))</f>
        <v>Excluded — Project/Other</v>
      </c>
      <c r="O55" s="20" t="s">
        <v>1208</v>
      </c>
      <c r="P55" s="20" t="str">
        <f aca="false">IF($C55="","",$C55&amp;"|"&amp;$E55&amp;"|"&amp;$M55&amp;"|"&amp;TEXT($G55,"yyyy-mm-dd")&amp;"|"&amp;LEFT($J55,40))</f>
        <v>4200|43967|-57522.06|2026-06-18|Reimbursable Expenses</v>
      </c>
      <c r="Q55" s="20" t="str">
        <f aca="false">IF(P55="","",IF(COUNTIF($P$2:$P$3000,P55)&gt;1,"DUPLICATE","OK"))</f>
        <v>OK</v>
      </c>
      <c r="R55" s="0" t="str">
        <f aca="false">IF($C55="","",IFERROR(VLOOKUP(--$C55,MM_Income!$Z$5:$AC$204,3,FALSE()),""))</f>
        <v>Recovered Expenses</v>
      </c>
    </row>
    <row r="56" customFormat="false" ht="14.9" hidden="false" customHeight="false" outlineLevel="0" collapsed="false">
      <c r="A56" s="20" t="s">
        <v>49</v>
      </c>
      <c r="B56" s="20" t="s">
        <v>85</v>
      </c>
      <c r="C56" s="1" t="n">
        <v>4903</v>
      </c>
      <c r="D56" s="1" t="s">
        <v>679</v>
      </c>
      <c r="E56" s="1" t="n">
        <v>42537</v>
      </c>
      <c r="F56" s="1" t="s">
        <v>1229</v>
      </c>
      <c r="G56" s="140" t="n">
        <v>46046</v>
      </c>
      <c r="H56" s="1" t="n">
        <v>1230</v>
      </c>
      <c r="J56" s="1" t="s">
        <v>1230</v>
      </c>
      <c r="L56" s="1" t="n">
        <v>17.43</v>
      </c>
      <c r="M56" s="125" t="n">
        <f aca="false">Nominal_Activity[[#This Row],[Debit]]-Nominal_Activity[[#This Row],[Credit]]</f>
        <v>-17.43</v>
      </c>
      <c r="N56" s="149" t="str">
        <f aca="false">IF(C56="","",IFERROR(VLOOKUP(C56,Master_Mappings!$A$4:$E$85,3,FALSE()),"UNMAPPED"))</f>
        <v>Excluded — Project/Other</v>
      </c>
      <c r="O56" s="20" t="s">
        <v>1208</v>
      </c>
      <c r="P56" s="20" t="str">
        <f aca="false">IF($C56="","",$C56&amp;"|"&amp;$E56&amp;"|"&amp;$M56&amp;"|"&amp;TEXT($G56,"yyyy-mm-dd")&amp;"|"&amp;LEFT($J56,40))</f>
        <v>4903|42537|-17.43|2026-01-24|Credit Interest on Mobile money account</v>
      </c>
      <c r="Q56" s="20" t="str">
        <f aca="false">IF(P56="","",IF(COUNTIF($P$2:$P$3000,P56)&gt;1,"DUPLICATE","OK"))</f>
        <v>OK</v>
      </c>
      <c r="R56" s="0" t="str">
        <f aca="false">IF($C56="","",IFERROR(VLOOKUP(--$C56,MM_Income!$Z$5:$AC$204,3,FALSE()),""))</f>
        <v>Other Income — Miscellaneous</v>
      </c>
    </row>
    <row r="57" customFormat="false" ht="14.9" hidden="false" customHeight="false" outlineLevel="0" collapsed="false">
      <c r="A57" s="20" t="s">
        <v>49</v>
      </c>
      <c r="B57" s="20" t="s">
        <v>85</v>
      </c>
      <c r="C57" s="1" t="n">
        <v>4903</v>
      </c>
      <c r="D57" s="1" t="s">
        <v>679</v>
      </c>
      <c r="E57" s="1" t="n">
        <v>43183</v>
      </c>
      <c r="F57" s="1" t="s">
        <v>840</v>
      </c>
      <c r="G57" s="140" t="n">
        <v>46112</v>
      </c>
      <c r="H57" s="1" t="s">
        <v>1231</v>
      </c>
      <c r="I57" s="1" t="n">
        <v>2026022</v>
      </c>
      <c r="J57" s="1" t="s">
        <v>1232</v>
      </c>
      <c r="L57" s="1" t="n">
        <v>105344.75</v>
      </c>
      <c r="M57" s="125" t="n">
        <f aca="false">Nominal_Activity[[#This Row],[Debit]]-Nominal_Activity[[#This Row],[Credit]]</f>
        <v>-105344.75</v>
      </c>
      <c r="N57" s="149" t="str">
        <f aca="false">IF(C57="","",IFERROR(VLOOKUP(C57,Master_Mappings!$A$4:$E$85,3,FALSE()),"UNMAPPED"))</f>
        <v>Excluded — Project/Other</v>
      </c>
      <c r="O57" s="20" t="s">
        <v>1208</v>
      </c>
      <c r="P57" s="20" t="str">
        <f aca="false">IF($C57="","",$C57&amp;"|"&amp;$E57&amp;"|"&amp;$M57&amp;"|"&amp;TEXT($G57,"yyyy-mm-dd")&amp;"|"&amp;LEFT($J57,40))</f>
        <v>4903|43183|-105344.75|2026-03-31|Q1 Fixed Cost Share to Proforest Initiat</v>
      </c>
      <c r="Q57" s="20" t="str">
        <f aca="false">IF(P57="","",IF(COUNTIF($P$2:$P$3000,P57)&gt;1,"DUPLICATE","OK"))</f>
        <v>OK</v>
      </c>
      <c r="R57" s="0" t="str">
        <f aca="false">IF($C57="","",IFERROR(VLOOKUP(--$C57,MM_Income!$Z$5:$AC$204,3,FALSE()),""))</f>
        <v>Other Income — Miscellaneous</v>
      </c>
    </row>
    <row r="58" customFormat="false" ht="14.9" hidden="false" customHeight="false" outlineLevel="0" collapsed="false">
      <c r="A58" s="20" t="s">
        <v>49</v>
      </c>
      <c r="B58" s="20" t="s">
        <v>85</v>
      </c>
      <c r="C58" s="1" t="n">
        <v>4903</v>
      </c>
      <c r="D58" s="1" t="s">
        <v>679</v>
      </c>
      <c r="E58" s="1" t="n">
        <v>43255</v>
      </c>
      <c r="F58" s="1" t="s">
        <v>840</v>
      </c>
      <c r="G58" s="140" t="n">
        <v>46112</v>
      </c>
      <c r="H58" s="1" t="s">
        <v>1231</v>
      </c>
      <c r="I58" s="1" t="n">
        <v>2026023</v>
      </c>
      <c r="J58" s="1" t="s">
        <v>1233</v>
      </c>
      <c r="L58" s="1" t="n">
        <v>81434</v>
      </c>
      <c r="M58" s="125" t="n">
        <f aca="false">Nominal_Activity[[#This Row],[Debit]]-Nominal_Activity[[#This Row],[Credit]]</f>
        <v>-81434</v>
      </c>
      <c r="N58" s="149" t="str">
        <f aca="false">IF(C58="","",IFERROR(VLOOKUP(C58,Master_Mappings!$A$4:$E$85,3,FALSE()),"UNMAPPED"))</f>
        <v>Excluded — Project/Other</v>
      </c>
      <c r="O58" s="20" t="s">
        <v>1208</v>
      </c>
      <c r="P58" s="20" t="str">
        <f aca="false">IF($C58="","",$C58&amp;"|"&amp;$E58&amp;"|"&amp;$M58&amp;"|"&amp;TEXT($G58,"yyyy-mm-dd")&amp;"|"&amp;LEFT($J58,40))</f>
        <v>4903|43255|-81434|2026-03-31|Q1 COST SHARE TO PIGH - Group Fixed Cost</v>
      </c>
      <c r="Q58" s="20" t="str">
        <f aca="false">IF(P58="","",IF(COUNTIF($P$2:$P$3000,P58)&gt;1,"DUPLICATE","OK"))</f>
        <v>OK</v>
      </c>
      <c r="R58" s="0" t="str">
        <f aca="false">IF($C58="","",IFERROR(VLOOKUP(--$C58,MM_Income!$Z$5:$AC$204,3,FALSE()),""))</f>
        <v>Other Income — Miscellaneous</v>
      </c>
    </row>
    <row r="59" customFormat="false" ht="14.9" hidden="false" customHeight="false" outlineLevel="0" collapsed="false">
      <c r="A59" s="20" t="s">
        <v>49</v>
      </c>
      <c r="B59" s="20" t="s">
        <v>85</v>
      </c>
      <c r="C59" s="1" t="n">
        <v>5000</v>
      </c>
      <c r="D59" s="1" t="s">
        <v>681</v>
      </c>
      <c r="E59" s="1" t="n">
        <v>42563</v>
      </c>
      <c r="F59" s="1" t="s">
        <v>847</v>
      </c>
      <c r="G59" s="140" t="n">
        <v>46070</v>
      </c>
      <c r="H59" s="1" t="s">
        <v>854</v>
      </c>
      <c r="I59" s="1" t="s">
        <v>855</v>
      </c>
      <c r="J59" s="1" t="s">
        <v>857</v>
      </c>
      <c r="K59" s="1" t="n">
        <v>32099.98</v>
      </c>
      <c r="M59" s="125" t="n">
        <f aca="false">Nominal_Activity[[#This Row],[Debit]]-Nominal_Activity[[#This Row],[Credit]]</f>
        <v>32099.98</v>
      </c>
      <c r="N59" s="149" t="str">
        <f aca="false">IF(C59="","",IFERROR(VLOOKUP(C59,Master_Mappings!$A$4:$E$85,3,FALSE()),"UNMAPPED"))</f>
        <v>Excluded — Project/Other</v>
      </c>
      <c r="O59" s="20" t="s">
        <v>1208</v>
      </c>
      <c r="P59" s="20" t="str">
        <f aca="false">IF($C59="","",$C59&amp;"|"&amp;$E59&amp;"|"&amp;$M59&amp;"|"&amp;TEXT($G59,"yyyy-mm-dd")&amp;"|"&amp;LEFT($J59,40))</f>
        <v>5000|42563|32099.98|2026-02-17|Botanical survey of Presco Plc’s Concess</v>
      </c>
      <c r="Q59" s="20" t="str">
        <f aca="false">IF(P59="","",IF(COUNTIF($P$2:$P$3000,P59)&gt;1,"DUPLICATE","OK"))</f>
        <v>OK</v>
      </c>
      <c r="R59" s="0" t="str">
        <f aca="false">IF($C59="","",IFERROR(VLOOKUP(--$C59,MM_Income!$Z$5:$AC$204,3,FALSE()),""))</f>
        <v>Subcontractor</v>
      </c>
    </row>
    <row r="60" customFormat="false" ht="14.9" hidden="false" customHeight="false" outlineLevel="0" collapsed="false">
      <c r="A60" s="20" t="s">
        <v>49</v>
      </c>
      <c r="B60" s="20" t="s">
        <v>85</v>
      </c>
      <c r="C60" s="1" t="n">
        <v>5000</v>
      </c>
      <c r="D60" s="1" t="s">
        <v>681</v>
      </c>
      <c r="E60" s="1" t="n">
        <v>43391</v>
      </c>
      <c r="F60" s="1" t="s">
        <v>847</v>
      </c>
      <c r="G60" s="140" t="n">
        <v>46119</v>
      </c>
      <c r="H60" s="1" t="s">
        <v>950</v>
      </c>
      <c r="I60" s="1" t="s">
        <v>951</v>
      </c>
      <c r="J60" s="1" t="s">
        <v>952</v>
      </c>
      <c r="K60" s="1" t="n">
        <v>46680.57</v>
      </c>
      <c r="M60" s="125" t="n">
        <f aca="false">Nominal_Activity[[#This Row],[Debit]]-Nominal_Activity[[#This Row],[Credit]]</f>
        <v>46680.57</v>
      </c>
      <c r="N60" s="149" t="str">
        <f aca="false">IF(C60="","",IFERROR(VLOOKUP(C60,Master_Mappings!$A$4:$E$85,3,FALSE()),"UNMAPPED"))</f>
        <v>Excluded — Project/Other</v>
      </c>
      <c r="O60" s="20" t="s">
        <v>1208</v>
      </c>
      <c r="P60" s="20" t="str">
        <f aca="false">IF($C60="","",$C60&amp;"|"&amp;$E60&amp;"|"&amp;$M60&amp;"|"&amp;TEXT($G60,"yyyy-mm-dd")&amp;"|"&amp;LEFT($J60,40))</f>
        <v>5000|43391|46680.57|2026-04-07|8days consultancy fees Support with data</v>
      </c>
      <c r="Q60" s="20" t="str">
        <f aca="false">IF(P60="","",IF(COUNTIF($P$2:$P$3000,P60)&gt;1,"DUPLICATE","OK"))</f>
        <v>OK</v>
      </c>
      <c r="R60" s="0" t="str">
        <f aca="false">IF($C60="","",IFERROR(VLOOKUP(--$C60,MM_Income!$Z$5:$AC$204,3,FALSE()),""))</f>
        <v>Subcontractor</v>
      </c>
    </row>
    <row r="61" customFormat="false" ht="14.9" hidden="false" customHeight="false" outlineLevel="0" collapsed="false">
      <c r="A61" s="20" t="s">
        <v>49</v>
      </c>
      <c r="B61" s="20" t="s">
        <v>85</v>
      </c>
      <c r="C61" s="1" t="n">
        <v>5000</v>
      </c>
      <c r="D61" s="1" t="s">
        <v>681</v>
      </c>
      <c r="E61" s="1" t="n">
        <v>43406</v>
      </c>
      <c r="F61" s="1" t="s">
        <v>847</v>
      </c>
      <c r="G61" s="140" t="n">
        <v>46120</v>
      </c>
      <c r="H61" s="1" t="s">
        <v>953</v>
      </c>
      <c r="I61" s="1" t="s">
        <v>954</v>
      </c>
      <c r="J61" s="1" t="s">
        <v>955</v>
      </c>
      <c r="K61" s="1" t="n">
        <v>39672.04</v>
      </c>
      <c r="M61" s="125" t="n">
        <f aca="false">Nominal_Activity[[#This Row],[Debit]]-Nominal_Activity[[#This Row],[Credit]]</f>
        <v>39672.04</v>
      </c>
      <c r="N61" s="149" t="str">
        <f aca="false">IF(C61="","",IFERROR(VLOOKUP(C61,Master_Mappings!$A$4:$E$85,3,FALSE()),"UNMAPPED"))</f>
        <v>Excluded — Project/Other</v>
      </c>
      <c r="O61" s="20" t="s">
        <v>1208</v>
      </c>
      <c r="P61" s="20" t="str">
        <f aca="false">IF($C61="","",$C61&amp;"|"&amp;$E61&amp;"|"&amp;$M61&amp;"|"&amp;TEXT($G61,"yyyy-mm-dd")&amp;"|"&amp;LEFT($J61,40))</f>
        <v>5000|43406|39672.04|2026-04-08|Fauna Survey in Nitrian Community Forest</v>
      </c>
      <c r="Q61" s="20" t="str">
        <f aca="false">IF(P61="","",IF(COUNTIF($P$2:$P$3000,P61)&gt;1,"DUPLICATE","OK"))</f>
        <v>OK</v>
      </c>
      <c r="R61" s="0" t="str">
        <f aca="false">IF($C61="","",IFERROR(VLOOKUP(--$C61,MM_Income!$Z$5:$AC$204,3,FALSE()),""))</f>
        <v>Subcontractor</v>
      </c>
    </row>
    <row r="62" customFormat="false" ht="14.9" hidden="false" customHeight="false" outlineLevel="0" collapsed="false">
      <c r="A62" s="20" t="s">
        <v>49</v>
      </c>
      <c r="B62" s="20" t="s">
        <v>85</v>
      </c>
      <c r="C62" s="1" t="n">
        <v>5000</v>
      </c>
      <c r="D62" s="1" t="s">
        <v>681</v>
      </c>
      <c r="E62" s="1" t="n">
        <v>43414</v>
      </c>
      <c r="F62" s="1" t="s">
        <v>847</v>
      </c>
      <c r="G62" s="140" t="n">
        <v>46119</v>
      </c>
      <c r="H62" s="1" t="s">
        <v>956</v>
      </c>
      <c r="I62" s="1" t="s">
        <v>957</v>
      </c>
      <c r="J62" s="1" t="s">
        <v>958</v>
      </c>
      <c r="K62" s="1" t="n">
        <v>49544.74</v>
      </c>
      <c r="M62" s="125" t="n">
        <f aca="false">Nominal_Activity[[#This Row],[Debit]]-Nominal_Activity[[#This Row],[Credit]]</f>
        <v>49544.74</v>
      </c>
      <c r="N62" s="149" t="str">
        <f aca="false">IF(C62="","",IFERROR(VLOOKUP(C62,Master_Mappings!$A$4:$E$85,3,FALSE()),"UNMAPPED"))</f>
        <v>Excluded — Project/Other</v>
      </c>
      <c r="O62" s="20" t="s">
        <v>1208</v>
      </c>
      <c r="P62" s="20" t="str">
        <f aca="false">IF($C62="","",$C62&amp;"|"&amp;$E62&amp;"|"&amp;$M62&amp;"|"&amp;TEXT($G62,"yyyy-mm-dd")&amp;"|"&amp;LEFT($J62,40))</f>
        <v>5000|43414|49544.74|2026-04-07|Invoice for flora survey Nitrian communi</v>
      </c>
      <c r="Q62" s="20" t="str">
        <f aca="false">IF(P62="","",IF(COUNTIF($P$2:$P$3000,P62)&gt;1,"DUPLICATE","OK"))</f>
        <v>OK</v>
      </c>
      <c r="R62" s="0" t="str">
        <f aca="false">IF($C62="","",IFERROR(VLOOKUP(--$C62,MM_Income!$Z$5:$AC$204,3,FALSE()),""))</f>
        <v>Subcontractor</v>
      </c>
    </row>
    <row r="63" customFormat="false" ht="14.9" hidden="false" customHeight="false" outlineLevel="0" collapsed="false">
      <c r="A63" s="20" t="s">
        <v>49</v>
      </c>
      <c r="B63" s="20" t="s">
        <v>85</v>
      </c>
      <c r="C63" s="1" t="n">
        <v>5000</v>
      </c>
      <c r="D63" s="1" t="s">
        <v>681</v>
      </c>
      <c r="E63" s="1" t="n">
        <v>43501</v>
      </c>
      <c r="F63" s="1" t="s">
        <v>847</v>
      </c>
      <c r="G63" s="140" t="n">
        <v>46125</v>
      </c>
      <c r="H63" s="1" t="s">
        <v>972</v>
      </c>
      <c r="I63" s="1" t="s">
        <v>973</v>
      </c>
      <c r="J63" s="1" t="s">
        <v>974</v>
      </c>
      <c r="K63" s="1" t="n">
        <v>33824.54</v>
      </c>
      <c r="M63" s="125" t="n">
        <f aca="false">Nominal_Activity[[#This Row],[Debit]]-Nominal_Activity[[#This Row],[Credit]]</f>
        <v>33824.54</v>
      </c>
      <c r="N63" s="149" t="str">
        <f aca="false">IF(C63="","",IFERROR(VLOOKUP(C63,Master_Mappings!$A$4:$E$85,3,FALSE()),"UNMAPPED"))</f>
        <v>Excluded — Project/Other</v>
      </c>
      <c r="O63" s="20" t="s">
        <v>1208</v>
      </c>
      <c r="P63" s="20" t="str">
        <f aca="false">IF($C63="","",$C63&amp;"|"&amp;$E63&amp;"|"&amp;$M63&amp;"|"&amp;TEXT($G63,"yyyy-mm-dd")&amp;"|"&amp;LEFT($J63,40))</f>
        <v>5000|43501|33824.54|2026-04-13|Invoice for Rubber Estate Nigeria Limite</v>
      </c>
      <c r="Q63" s="20" t="str">
        <f aca="false">IF(P63="","",IF(COUNTIF($P$2:$P$3000,P63)&gt;1,"DUPLICATE","OK"))</f>
        <v>OK</v>
      </c>
      <c r="R63" s="0" t="str">
        <f aca="false">IF($C63="","",IFERROR(VLOOKUP(--$C63,MM_Income!$Z$5:$AC$204,3,FALSE()),""))</f>
        <v>Subcontractor</v>
      </c>
    </row>
    <row r="64" customFormat="false" ht="14.9" hidden="false" customHeight="false" outlineLevel="0" collapsed="false">
      <c r="A64" s="20" t="s">
        <v>49</v>
      </c>
      <c r="B64" s="20" t="s">
        <v>85</v>
      </c>
      <c r="C64" s="1" t="n">
        <v>5000</v>
      </c>
      <c r="D64" s="1" t="s">
        <v>681</v>
      </c>
      <c r="E64" s="1" t="n">
        <v>43706</v>
      </c>
      <c r="F64" s="1" t="s">
        <v>869</v>
      </c>
      <c r="G64" s="140" t="n">
        <v>46113</v>
      </c>
      <c r="H64" s="1" t="n">
        <v>1260</v>
      </c>
      <c r="I64" s="1" t="s">
        <v>1011</v>
      </c>
      <c r="J64" s="1" t="s">
        <v>1016</v>
      </c>
      <c r="K64" s="1" t="n">
        <v>179200</v>
      </c>
      <c r="M64" s="125" t="n">
        <f aca="false">Nominal_Activity[[#This Row],[Debit]]-Nominal_Activity[[#This Row],[Credit]]</f>
        <v>179200</v>
      </c>
      <c r="N64" s="149" t="str">
        <f aca="false">IF(C64="","",IFERROR(VLOOKUP(C64,Master_Mappings!$A$4:$E$85,3,FALSE()),"UNMAPPED"))</f>
        <v>Excluded — Project/Other</v>
      </c>
      <c r="O64" s="20" t="s">
        <v>1208</v>
      </c>
      <c r="P64" s="20" t="str">
        <f aca="false">IF($C64="","",$C64&amp;"|"&amp;$E64&amp;"|"&amp;$M64&amp;"|"&amp;TEXT($G64,"yyyy-mm-dd")&amp;"|"&amp;LEFT($J64,40))</f>
        <v>5000|43706|179200|2026-04-01|Field guide</v>
      </c>
      <c r="Q64" s="20" t="str">
        <f aca="false">IF(P64="","",IF(COUNTIF($P$2:$P$3000,P64)&gt;1,"DUPLICATE","OK"))</f>
        <v>OK</v>
      </c>
      <c r="R64" s="0" t="str">
        <f aca="false">IF($C64="","",IFERROR(VLOOKUP(--$C64,MM_Income!$Z$5:$AC$204,3,FALSE()),""))</f>
        <v>Subcontractor</v>
      </c>
    </row>
    <row r="65" customFormat="false" ht="14.9" hidden="false" customHeight="false" outlineLevel="0" collapsed="false">
      <c r="A65" s="20" t="s">
        <v>49</v>
      </c>
      <c r="B65" s="20" t="s">
        <v>85</v>
      </c>
      <c r="C65" s="1" t="n">
        <v>5000</v>
      </c>
      <c r="D65" s="1" t="s">
        <v>681</v>
      </c>
      <c r="E65" s="1" t="n">
        <v>44242</v>
      </c>
      <c r="F65" s="1" t="s">
        <v>847</v>
      </c>
      <c r="G65" s="140" t="n">
        <v>46154</v>
      </c>
      <c r="H65" s="1" t="s">
        <v>1179</v>
      </c>
      <c r="I65" s="1" t="s">
        <v>1180</v>
      </c>
      <c r="J65" s="1" t="s">
        <v>1181</v>
      </c>
      <c r="K65" s="1" t="n">
        <v>117400.33</v>
      </c>
      <c r="M65" s="125" t="n">
        <f aca="false">Nominal_Activity[[#This Row],[Debit]]-Nominal_Activity[[#This Row],[Credit]]</f>
        <v>117400.33</v>
      </c>
      <c r="N65" s="149" t="str">
        <f aca="false">IF(C65="","",IFERROR(VLOOKUP(C65,Master_Mappings!$A$4:$E$85,3,FALSE()),"UNMAPPED"))</f>
        <v>Excluded — Project/Other</v>
      </c>
      <c r="O65" s="20" t="s">
        <v>1208</v>
      </c>
      <c r="P65" s="20" t="str">
        <f aca="false">IF($C65="","",$C65&amp;"|"&amp;$E65&amp;"|"&amp;$M65&amp;"|"&amp;TEXT($G65,"yyyy-mm-dd")&amp;"|"&amp;LEFT($J65,40))</f>
        <v>5000|44242|117400.33|2026-05-12|Invoice from Malaysia for work done on S</v>
      </c>
      <c r="Q65" s="20" t="str">
        <f aca="false">IF(P65="","",IF(COUNTIF($P$2:$P$3000,P65)&gt;1,"DUPLICATE","OK"))</f>
        <v>OK</v>
      </c>
      <c r="R65" s="0" t="str">
        <f aca="false">IF($C65="","",IFERROR(VLOOKUP(--$C65,MM_Income!$Z$5:$AC$204,3,FALSE()),""))</f>
        <v>Subcontractor</v>
      </c>
    </row>
    <row r="66" customFormat="false" ht="14.9" hidden="false" customHeight="false" outlineLevel="0" collapsed="false">
      <c r="A66" s="20" t="s">
        <v>49</v>
      </c>
      <c r="B66" s="20" t="s">
        <v>85</v>
      </c>
      <c r="C66" s="1" t="n">
        <v>5200</v>
      </c>
      <c r="D66" s="1" t="s">
        <v>683</v>
      </c>
      <c r="E66" s="1" t="n">
        <v>42505</v>
      </c>
      <c r="F66" s="1" t="s">
        <v>847</v>
      </c>
      <c r="G66" s="140" t="n">
        <v>46051</v>
      </c>
      <c r="H66" s="1" t="s">
        <v>848</v>
      </c>
      <c r="J66" s="1" t="s">
        <v>850</v>
      </c>
      <c r="K66" s="1" t="n">
        <v>6340</v>
      </c>
      <c r="M66" s="125" t="n">
        <f aca="false">Nominal_Activity[[#This Row],[Debit]]-Nominal_Activity[[#This Row],[Credit]]</f>
        <v>6340</v>
      </c>
      <c r="N66" s="149" t="str">
        <f aca="false">IF(C66="","",IFERROR(VLOOKUP(C66,Master_Mappings!$A$4:$E$85,3,FALSE()),"UNMAPPED"))</f>
        <v>Excluded — Project/Other</v>
      </c>
      <c r="O66" s="20" t="s">
        <v>1208</v>
      </c>
      <c r="P66" s="20" t="str">
        <f aca="false">IF($C66="","",$C66&amp;"|"&amp;$E66&amp;"|"&amp;$M66&amp;"|"&amp;TEXT($G66,"yyyy-mm-dd")&amp;"|"&amp;LEFT($J66,40))</f>
        <v>5200|42505|6340|2026-01-29|Flight Ticket for Stephen to Cote D'Ivoi</v>
      </c>
      <c r="Q66" s="20" t="str">
        <f aca="false">IF(P66="","",IF(COUNTIF($P$2:$P$3000,P66)&gt;1,"DUPLICATE","OK"))</f>
        <v>OK</v>
      </c>
      <c r="R66" s="0" t="str">
        <f aca="false">IF($C66="","",IFERROR(VLOOKUP(--$C66,MM_Income!$Z$5:$AC$204,3,FALSE()),""))</f>
        <v>Recoverable</v>
      </c>
    </row>
    <row r="67" customFormat="false" ht="14.9" hidden="false" customHeight="false" outlineLevel="0" collapsed="false">
      <c r="A67" s="20" t="s">
        <v>49</v>
      </c>
      <c r="B67" s="20" t="s">
        <v>85</v>
      </c>
      <c r="C67" s="1" t="n">
        <v>5200</v>
      </c>
      <c r="D67" s="1" t="s">
        <v>683</v>
      </c>
      <c r="E67" s="1" t="n">
        <v>42506</v>
      </c>
      <c r="F67" s="1" t="s">
        <v>847</v>
      </c>
      <c r="G67" s="140" t="n">
        <v>46058</v>
      </c>
      <c r="H67" s="1" t="s">
        <v>848</v>
      </c>
      <c r="J67" s="1" t="s">
        <v>851</v>
      </c>
      <c r="K67" s="1" t="n">
        <v>18347</v>
      </c>
      <c r="M67" s="125" t="n">
        <f aca="false">Nominal_Activity[[#This Row],[Debit]]-Nominal_Activity[[#This Row],[Credit]]</f>
        <v>18347</v>
      </c>
      <c r="N67" s="149" t="str">
        <f aca="false">IF(C67="","",IFERROR(VLOOKUP(C67,Master_Mappings!$A$4:$E$85,3,FALSE()),"UNMAPPED"))</f>
        <v>Excluded — Project/Other</v>
      </c>
      <c r="O67" s="20" t="s">
        <v>1208</v>
      </c>
      <c r="P67" s="20" t="str">
        <f aca="false">IF($C67="","",$C67&amp;"|"&amp;$E67&amp;"|"&amp;$M67&amp;"|"&amp;TEXT($G67,"yyyy-mm-dd")&amp;"|"&amp;LEFT($J67,40))</f>
        <v>5200|42506|18347|2026-02-05|Flight Ticket for Stephen, Kwadwo and Jo</v>
      </c>
      <c r="Q67" s="20" t="str">
        <f aca="false">IF(P67="","",IF(COUNTIF($P$2:$P$3000,P67)&gt;1,"DUPLICATE","OK"))</f>
        <v>OK</v>
      </c>
      <c r="R67" s="0" t="str">
        <f aca="false">IF($C67="","",IFERROR(VLOOKUP(--$C67,MM_Income!$Z$5:$AC$204,3,FALSE()),""))</f>
        <v>Recoverable</v>
      </c>
    </row>
    <row r="68" customFormat="false" ht="14.9" hidden="false" customHeight="false" outlineLevel="0" collapsed="false">
      <c r="A68" s="20" t="s">
        <v>49</v>
      </c>
      <c r="B68" s="20" t="s">
        <v>85</v>
      </c>
      <c r="C68" s="1" t="n">
        <v>5200</v>
      </c>
      <c r="D68" s="1" t="s">
        <v>683</v>
      </c>
      <c r="E68" s="1" t="n">
        <v>42758</v>
      </c>
      <c r="F68" s="1" t="s">
        <v>847</v>
      </c>
      <c r="G68" s="140" t="n">
        <v>46069</v>
      </c>
      <c r="H68" s="1" t="s">
        <v>848</v>
      </c>
      <c r="I68" s="1" t="s">
        <v>861</v>
      </c>
      <c r="J68" s="1" t="s">
        <v>862</v>
      </c>
      <c r="K68" s="1" t="n">
        <v>8454</v>
      </c>
      <c r="M68" s="125" t="n">
        <f aca="false">Nominal_Activity[[#This Row],[Debit]]-Nominal_Activity[[#This Row],[Credit]]</f>
        <v>8454</v>
      </c>
      <c r="N68" s="149" t="str">
        <f aca="false">IF(C68="","",IFERROR(VLOOKUP(C68,Master_Mappings!$A$4:$E$85,3,FALSE()),"UNMAPPED"))</f>
        <v>Excluded — Project/Other</v>
      </c>
      <c r="O68" s="20" t="s">
        <v>1208</v>
      </c>
      <c r="P68" s="20" t="str">
        <f aca="false">IF($C68="","",$C68&amp;"|"&amp;$E68&amp;"|"&amp;$M68&amp;"|"&amp;TEXT($G68,"yyyy-mm-dd")&amp;"|"&amp;LEFT($J68,40))</f>
        <v>5200|42758|8454|2026-02-16|Flight ticket for Kwadwo to Lagos for PC</v>
      </c>
      <c r="Q68" s="20" t="str">
        <f aca="false">IF(P68="","",IF(COUNTIF($P$2:$P$3000,P68)&gt;1,"DUPLICATE","OK"))</f>
        <v>OK</v>
      </c>
      <c r="R68" s="0" t="str">
        <f aca="false">IF($C68="","",IFERROR(VLOOKUP(--$C68,MM_Income!$Z$5:$AC$204,3,FALSE()),""))</f>
        <v>Recoverable</v>
      </c>
    </row>
    <row r="69" customFormat="false" ht="14.9" hidden="false" customHeight="false" outlineLevel="0" collapsed="false">
      <c r="A69" s="20" t="s">
        <v>49</v>
      </c>
      <c r="B69" s="20" t="s">
        <v>85</v>
      </c>
      <c r="C69" s="1" t="n">
        <v>5200</v>
      </c>
      <c r="D69" s="1" t="s">
        <v>683</v>
      </c>
      <c r="E69" s="1" t="n">
        <v>42775</v>
      </c>
      <c r="F69" s="1" t="s">
        <v>847</v>
      </c>
      <c r="G69" s="140" t="n">
        <v>46079</v>
      </c>
      <c r="H69" s="1" t="s">
        <v>865</v>
      </c>
      <c r="I69" s="1" t="s">
        <v>866</v>
      </c>
      <c r="J69" s="1" t="s">
        <v>868</v>
      </c>
      <c r="K69" s="1" t="n">
        <v>5400</v>
      </c>
      <c r="M69" s="125" t="n">
        <f aca="false">Nominal_Activity[[#This Row],[Debit]]-Nominal_Activity[[#This Row],[Credit]]</f>
        <v>5400</v>
      </c>
      <c r="N69" s="149" t="str">
        <f aca="false">IF(C69="","",IFERROR(VLOOKUP(C69,Master_Mappings!$A$4:$E$85,3,FALSE()),"UNMAPPED"))</f>
        <v>Excluded — Project/Other</v>
      </c>
      <c r="O69" s="20" t="s">
        <v>1208</v>
      </c>
      <c r="P69" s="20" t="str">
        <f aca="false">IF($C69="","",$C69&amp;"|"&amp;$E69&amp;"|"&amp;$M69&amp;"|"&amp;TEXT($G69,"yyyy-mm-dd")&amp;"|"&amp;LEFT($J69,40))</f>
        <v>5200|42775|5400|2026-02-26|Hotel Accommodation for staff for 4 nigh</v>
      </c>
      <c r="Q69" s="20" t="str">
        <f aca="false">IF(P69="","",IF(COUNTIF($P$2:$P$3000,P69)&gt;1,"DUPLICATE","OK"))</f>
        <v>OK</v>
      </c>
      <c r="R69" s="0" t="str">
        <f aca="false">IF($C69="","",IFERROR(VLOOKUP(--$C69,MM_Income!$Z$5:$AC$204,3,FALSE()),""))</f>
        <v>Recoverable</v>
      </c>
    </row>
    <row r="70" customFormat="false" ht="14.9" hidden="false" customHeight="false" outlineLevel="0" collapsed="false">
      <c r="A70" s="20" t="s">
        <v>49</v>
      </c>
      <c r="B70" s="20" t="s">
        <v>85</v>
      </c>
      <c r="C70" s="1" t="n">
        <v>5200</v>
      </c>
      <c r="D70" s="1" t="s">
        <v>683</v>
      </c>
      <c r="E70" s="1" t="n">
        <v>42813</v>
      </c>
      <c r="F70" s="1" t="s">
        <v>869</v>
      </c>
      <c r="G70" s="140" t="n">
        <v>46092</v>
      </c>
      <c r="H70" s="1" t="n">
        <v>1260</v>
      </c>
      <c r="I70" s="1" t="s">
        <v>871</v>
      </c>
      <c r="J70" s="1" t="s">
        <v>872</v>
      </c>
      <c r="K70" s="1" t="n">
        <v>373.7</v>
      </c>
      <c r="M70" s="125" t="n">
        <f aca="false">Nominal_Activity[[#This Row],[Debit]]-Nominal_Activity[[#This Row],[Credit]]</f>
        <v>373.7</v>
      </c>
      <c r="N70" s="149" t="str">
        <f aca="false">IF(C70="","",IFERROR(VLOOKUP(C70,Master_Mappings!$A$4:$E$85,3,FALSE()),"UNMAPPED"))</f>
        <v>Excluded — Project/Other</v>
      </c>
      <c r="O70" s="20" t="s">
        <v>1208</v>
      </c>
      <c r="P70" s="20" t="str">
        <f aca="false">IF($C70="","",$C70&amp;"|"&amp;$E70&amp;"|"&amp;$M70&amp;"|"&amp;TEXT($G70,"yyyy-mm-dd")&amp;"|"&amp;LEFT($J70,40))</f>
        <v>5200|42813|373.7|2026-03-11|Meals at Accra Int. Airport</v>
      </c>
      <c r="Q70" s="20" t="str">
        <f aca="false">IF(P70="","",IF(COUNTIF($P$2:$P$3000,P70)&gt;1,"DUPLICATE","OK"))</f>
        <v>OK</v>
      </c>
      <c r="R70" s="0" t="str">
        <f aca="false">IF($C70="","",IFERROR(VLOOKUP(--$C70,MM_Income!$Z$5:$AC$204,3,FALSE()),""))</f>
        <v>Recoverable</v>
      </c>
    </row>
    <row r="71" customFormat="false" ht="14.9" hidden="false" customHeight="false" outlineLevel="0" collapsed="false">
      <c r="A71" s="20" t="s">
        <v>49</v>
      </c>
      <c r="B71" s="20" t="s">
        <v>85</v>
      </c>
      <c r="C71" s="1" t="n">
        <v>5200</v>
      </c>
      <c r="D71" s="1" t="s">
        <v>683</v>
      </c>
      <c r="E71" s="1" t="n">
        <v>42814</v>
      </c>
      <c r="F71" s="1" t="s">
        <v>869</v>
      </c>
      <c r="G71" s="140" t="n">
        <v>46071</v>
      </c>
      <c r="H71" s="1" t="n">
        <v>1260</v>
      </c>
      <c r="I71" s="1" t="s">
        <v>871</v>
      </c>
      <c r="J71" s="1" t="s">
        <v>873</v>
      </c>
      <c r="K71" s="1" t="n">
        <v>55.29</v>
      </c>
      <c r="M71" s="125" t="n">
        <f aca="false">Nominal_Activity[[#This Row],[Debit]]-Nominal_Activity[[#This Row],[Credit]]</f>
        <v>55.29</v>
      </c>
      <c r="N71" s="149" t="str">
        <f aca="false">IF(C71="","",IFERROR(VLOOKUP(C71,Master_Mappings!$A$4:$E$85,3,FALSE()),"UNMAPPED"))</f>
        <v>Excluded — Project/Other</v>
      </c>
      <c r="O71" s="20" t="s">
        <v>1208</v>
      </c>
      <c r="P71" s="20" t="str">
        <f aca="false">IF($C71="","",$C71&amp;"|"&amp;$E71&amp;"|"&amp;$M71&amp;"|"&amp;TEXT($G71,"yyyy-mm-dd")&amp;"|"&amp;LEFT($J71,40))</f>
        <v>5200|42814|55.29|2026-02-18|Meals at Kilimanjaro</v>
      </c>
      <c r="Q71" s="20" t="str">
        <f aca="false">IF(P71="","",IF(COUNTIF($P$2:$P$3000,P71)&gt;1,"DUPLICATE","OK"))</f>
        <v>OK</v>
      </c>
      <c r="R71" s="0" t="str">
        <f aca="false">IF($C71="","",IFERROR(VLOOKUP(--$C71,MM_Income!$Z$5:$AC$204,3,FALSE()),""))</f>
        <v>Recoverable</v>
      </c>
    </row>
    <row r="72" customFormat="false" ht="14.9" hidden="false" customHeight="false" outlineLevel="0" collapsed="false">
      <c r="A72" s="20" t="s">
        <v>49</v>
      </c>
      <c r="B72" s="20" t="s">
        <v>85</v>
      </c>
      <c r="C72" s="1" t="n">
        <v>5200</v>
      </c>
      <c r="D72" s="1" t="s">
        <v>683</v>
      </c>
      <c r="E72" s="1" t="n">
        <v>42815</v>
      </c>
      <c r="F72" s="1" t="s">
        <v>869</v>
      </c>
      <c r="G72" s="140" t="n">
        <v>46071</v>
      </c>
      <c r="H72" s="1" t="n">
        <v>1260</v>
      </c>
      <c r="I72" s="1" t="s">
        <v>871</v>
      </c>
      <c r="J72" s="1" t="s">
        <v>874</v>
      </c>
      <c r="K72" s="1" t="n">
        <v>68</v>
      </c>
      <c r="M72" s="125" t="n">
        <f aca="false">Nominal_Activity[[#This Row],[Debit]]-Nominal_Activity[[#This Row],[Credit]]</f>
        <v>68</v>
      </c>
      <c r="N72" s="149" t="str">
        <f aca="false">IF(C72="","",IFERROR(VLOOKUP(C72,Master_Mappings!$A$4:$E$85,3,FALSE()),"UNMAPPED"))</f>
        <v>Excluded — Project/Other</v>
      </c>
      <c r="O72" s="20" t="s">
        <v>1208</v>
      </c>
      <c r="P72" s="20" t="str">
        <f aca="false">IF($C72="","",$C72&amp;"|"&amp;$E72&amp;"|"&amp;$M72&amp;"|"&amp;TEXT($G72,"yyyy-mm-dd")&amp;"|"&amp;LEFT($J72,40))</f>
        <v>5200|42815|68|2026-02-18|Accra Int Airport to Home</v>
      </c>
      <c r="Q72" s="20" t="str">
        <f aca="false">IF(P72="","",IF(COUNTIF($P$2:$P$3000,P72)&gt;1,"DUPLICATE","OK"))</f>
        <v>OK</v>
      </c>
      <c r="R72" s="0" t="str">
        <f aca="false">IF($C72="","",IFERROR(VLOOKUP(--$C72,MM_Income!$Z$5:$AC$204,3,FALSE()),""))</f>
        <v>Recoverable</v>
      </c>
    </row>
    <row r="73" customFormat="false" ht="14.9" hidden="false" customHeight="false" outlineLevel="0" collapsed="false">
      <c r="A73" s="20" t="s">
        <v>49</v>
      </c>
      <c r="B73" s="20" t="s">
        <v>85</v>
      </c>
      <c r="C73" s="1" t="n">
        <v>5200</v>
      </c>
      <c r="D73" s="1" t="s">
        <v>683</v>
      </c>
      <c r="E73" s="1" t="n">
        <v>42816</v>
      </c>
      <c r="F73" s="1" t="s">
        <v>869</v>
      </c>
      <c r="G73" s="140" t="n">
        <v>46068</v>
      </c>
      <c r="H73" s="1" t="n">
        <v>1260</v>
      </c>
      <c r="I73" s="1" t="s">
        <v>871</v>
      </c>
      <c r="J73" s="1" t="s">
        <v>875</v>
      </c>
      <c r="K73" s="1" t="n">
        <v>124.6</v>
      </c>
      <c r="M73" s="125" t="n">
        <f aca="false">Nominal_Activity[[#This Row],[Debit]]-Nominal_Activity[[#This Row],[Credit]]</f>
        <v>124.6</v>
      </c>
      <c r="N73" s="149" t="str">
        <f aca="false">IF(C73="","",IFERROR(VLOOKUP(C73,Master_Mappings!$A$4:$E$85,3,FALSE()),"UNMAPPED"))</f>
        <v>Excluded — Project/Other</v>
      </c>
      <c r="O73" s="20" t="s">
        <v>1208</v>
      </c>
      <c r="P73" s="20" t="str">
        <f aca="false">IF($C73="","",$C73&amp;"|"&amp;$E73&amp;"|"&amp;$M73&amp;"|"&amp;TEXT($G73,"yyyy-mm-dd")&amp;"|"&amp;LEFT($J73,40))</f>
        <v>5200|42816|124.6|2026-02-15|Meals at Eat Easy restaurant</v>
      </c>
      <c r="Q73" s="20" t="str">
        <f aca="false">IF(P73="","",IF(COUNTIF($P$2:$P$3000,P73)&gt;1,"DUPLICATE","OK"))</f>
        <v>OK</v>
      </c>
      <c r="R73" s="0" t="str">
        <f aca="false">IF($C73="","",IFERROR(VLOOKUP(--$C73,MM_Income!$Z$5:$AC$204,3,FALSE()),""))</f>
        <v>Recoverable</v>
      </c>
    </row>
    <row r="74" customFormat="false" ht="14.9" hidden="false" customHeight="false" outlineLevel="0" collapsed="false">
      <c r="A74" s="20" t="s">
        <v>49</v>
      </c>
      <c r="B74" s="20" t="s">
        <v>85</v>
      </c>
      <c r="C74" s="1" t="n">
        <v>5200</v>
      </c>
      <c r="D74" s="1" t="s">
        <v>683</v>
      </c>
      <c r="E74" s="1" t="n">
        <v>42817</v>
      </c>
      <c r="F74" s="1" t="s">
        <v>869</v>
      </c>
      <c r="G74" s="140" t="n">
        <v>46067</v>
      </c>
      <c r="H74" s="1" t="n">
        <v>1260</v>
      </c>
      <c r="I74" s="1" t="s">
        <v>871</v>
      </c>
      <c r="J74" s="1" t="s">
        <v>876</v>
      </c>
      <c r="K74" s="1" t="n">
        <v>680.77</v>
      </c>
      <c r="M74" s="125" t="n">
        <f aca="false">Nominal_Activity[[#This Row],[Debit]]-Nominal_Activity[[#This Row],[Credit]]</f>
        <v>680.77</v>
      </c>
      <c r="N74" s="149" t="str">
        <f aca="false">IF(C74="","",IFERROR(VLOOKUP(C74,Master_Mappings!$A$4:$E$85,3,FALSE()),"UNMAPPED"))</f>
        <v>Excluded — Project/Other</v>
      </c>
      <c r="O74" s="20" t="s">
        <v>1208</v>
      </c>
      <c r="P74" s="20" t="str">
        <f aca="false">IF($C74="","",$C74&amp;"|"&amp;$E74&amp;"|"&amp;$M74&amp;"|"&amp;TEXT($G74,"yyyy-mm-dd")&amp;"|"&amp;LEFT($J74,40))</f>
        <v>5200|42817|680.77|2026-02-14|Meals at Lime ridge Hotel, Nigeria</v>
      </c>
      <c r="Q74" s="20" t="str">
        <f aca="false">IF(P74="","",IF(COUNTIF($P$2:$P$3000,P74)&gt;1,"DUPLICATE","OK"))</f>
        <v>OK</v>
      </c>
      <c r="R74" s="0" t="str">
        <f aca="false">IF($C74="","",IFERROR(VLOOKUP(--$C74,MM_Income!$Z$5:$AC$204,3,FALSE()),""))</f>
        <v>Recoverable</v>
      </c>
    </row>
    <row r="75" customFormat="false" ht="14.9" hidden="false" customHeight="false" outlineLevel="0" collapsed="false">
      <c r="A75" s="20" t="s">
        <v>49</v>
      </c>
      <c r="B75" s="20" t="s">
        <v>85</v>
      </c>
      <c r="C75" s="1" t="n">
        <v>5200</v>
      </c>
      <c r="D75" s="1" t="s">
        <v>683</v>
      </c>
      <c r="E75" s="1" t="n">
        <v>42818</v>
      </c>
      <c r="F75" s="1" t="s">
        <v>869</v>
      </c>
      <c r="G75" s="140" t="n">
        <v>46065</v>
      </c>
      <c r="H75" s="1" t="n">
        <v>1260</v>
      </c>
      <c r="I75" s="1" t="s">
        <v>871</v>
      </c>
      <c r="J75" s="1" t="s">
        <v>877</v>
      </c>
      <c r="K75" s="1" t="n">
        <v>30.78</v>
      </c>
      <c r="M75" s="125" t="n">
        <f aca="false">Nominal_Activity[[#This Row],[Debit]]-Nominal_Activity[[#This Row],[Credit]]</f>
        <v>30.78</v>
      </c>
      <c r="N75" s="149" t="str">
        <f aca="false">IF(C75="","",IFERROR(VLOOKUP(C75,Master_Mappings!$A$4:$E$85,3,FALSE()),"UNMAPPED"))</f>
        <v>Excluded — Project/Other</v>
      </c>
      <c r="O75" s="20" t="s">
        <v>1208</v>
      </c>
      <c r="P75" s="20" t="str">
        <f aca="false">IF($C75="","",$C75&amp;"|"&amp;$E75&amp;"|"&amp;$M75&amp;"|"&amp;TEXT($G75,"yyyy-mm-dd")&amp;"|"&amp;LEFT($J75,40))</f>
        <v>5200|42818|30.78|2026-02-12|Groceries</v>
      </c>
      <c r="Q75" s="20" t="str">
        <f aca="false">IF(P75="","",IF(COUNTIF($P$2:$P$3000,P75)&gt;1,"DUPLICATE","OK"))</f>
        <v>OK</v>
      </c>
      <c r="R75" s="0" t="str">
        <f aca="false">IF($C75="","",IFERROR(VLOOKUP(--$C75,MM_Income!$Z$5:$AC$204,3,FALSE()),""))</f>
        <v>Recoverable</v>
      </c>
    </row>
    <row r="76" customFormat="false" ht="14.9" hidden="false" customHeight="false" outlineLevel="0" collapsed="false">
      <c r="A76" s="20" t="s">
        <v>49</v>
      </c>
      <c r="B76" s="20" t="s">
        <v>85</v>
      </c>
      <c r="C76" s="1" t="n">
        <v>5200</v>
      </c>
      <c r="D76" s="1" t="s">
        <v>683</v>
      </c>
      <c r="E76" s="1" t="n">
        <v>42819</v>
      </c>
      <c r="F76" s="1" t="s">
        <v>869</v>
      </c>
      <c r="G76" s="140" t="n">
        <v>46063</v>
      </c>
      <c r="H76" s="1" t="n">
        <v>1260</v>
      </c>
      <c r="I76" s="1" t="s">
        <v>871</v>
      </c>
      <c r="J76" s="1" t="s">
        <v>878</v>
      </c>
      <c r="K76" s="1" t="n">
        <v>71</v>
      </c>
      <c r="M76" s="125" t="n">
        <f aca="false">Nominal_Activity[[#This Row],[Debit]]-Nominal_Activity[[#This Row],[Credit]]</f>
        <v>71</v>
      </c>
      <c r="N76" s="149" t="str">
        <f aca="false">IF(C76="","",IFERROR(VLOOKUP(C76,Master_Mappings!$A$4:$E$85,3,FALSE()),"UNMAPPED"))</f>
        <v>Excluded — Project/Other</v>
      </c>
      <c r="O76" s="20" t="s">
        <v>1208</v>
      </c>
      <c r="P76" s="20" t="str">
        <f aca="false">IF($C76="","",$C76&amp;"|"&amp;$E76&amp;"|"&amp;$M76&amp;"|"&amp;TEXT($G76,"yyyy-mm-dd")&amp;"|"&amp;LEFT($J76,40))</f>
        <v>5200|42819|71|2026-02-10|Home to Accra Int. Airport</v>
      </c>
      <c r="Q76" s="20" t="str">
        <f aca="false">IF(P76="","",IF(COUNTIF($P$2:$P$3000,P76)&gt;1,"DUPLICATE","OK"))</f>
        <v>OK</v>
      </c>
      <c r="R76" s="0" t="str">
        <f aca="false">IF($C76="","",IFERROR(VLOOKUP(--$C76,MM_Income!$Z$5:$AC$204,3,FALSE()),""))</f>
        <v>Recoverable</v>
      </c>
    </row>
    <row r="77" customFormat="false" ht="14.9" hidden="false" customHeight="false" outlineLevel="0" collapsed="false">
      <c r="A77" s="20" t="s">
        <v>49</v>
      </c>
      <c r="B77" s="20" t="s">
        <v>85</v>
      </c>
      <c r="C77" s="1" t="n">
        <v>5200</v>
      </c>
      <c r="D77" s="1" t="s">
        <v>683</v>
      </c>
      <c r="E77" s="1" t="n">
        <v>42822</v>
      </c>
      <c r="F77" s="1" t="s">
        <v>869</v>
      </c>
      <c r="G77" s="140" t="n">
        <v>46084</v>
      </c>
      <c r="H77" s="1" t="n">
        <v>1260</v>
      </c>
      <c r="I77" s="1" t="s">
        <v>879</v>
      </c>
      <c r="J77" s="1" t="s">
        <v>880</v>
      </c>
      <c r="K77" s="1" t="n">
        <v>118</v>
      </c>
      <c r="M77" s="125" t="n">
        <f aca="false">Nominal_Activity[[#This Row],[Debit]]-Nominal_Activity[[#This Row],[Credit]]</f>
        <v>118</v>
      </c>
      <c r="N77" s="149" t="str">
        <f aca="false">IF(C77="","",IFERROR(VLOOKUP(C77,Master_Mappings!$A$4:$E$85,3,FALSE()),"UNMAPPED"))</f>
        <v>Excluded — Project/Other</v>
      </c>
      <c r="O77" s="20" t="s">
        <v>1208</v>
      </c>
      <c r="P77" s="20" t="str">
        <f aca="false">IF($C77="","",$C77&amp;"|"&amp;$E77&amp;"|"&amp;$M77&amp;"|"&amp;TEXT($G77,"yyyy-mm-dd")&amp;"|"&amp;LEFT($J77,40))</f>
        <v>5200|42822|118|2026-03-03|Data and Airtime</v>
      </c>
      <c r="Q77" s="20" t="str">
        <f aca="false">IF(P77="","",IF(COUNTIF($P$2:$P$3000,P77)&gt;1,"DUPLICATE","OK"))</f>
        <v>OK</v>
      </c>
      <c r="R77" s="0" t="str">
        <f aca="false">IF($C77="","",IFERROR(VLOOKUP(--$C77,MM_Income!$Z$5:$AC$204,3,FALSE()),""))</f>
        <v>Recoverable</v>
      </c>
    </row>
    <row r="78" customFormat="false" ht="14.9" hidden="false" customHeight="false" outlineLevel="0" collapsed="false">
      <c r="A78" s="20" t="s">
        <v>49</v>
      </c>
      <c r="B78" s="20" t="s">
        <v>85</v>
      </c>
      <c r="C78" s="1" t="n">
        <v>5200</v>
      </c>
      <c r="D78" s="1" t="s">
        <v>683</v>
      </c>
      <c r="E78" s="1" t="n">
        <v>42823</v>
      </c>
      <c r="F78" s="1" t="s">
        <v>869</v>
      </c>
      <c r="G78" s="140" t="n">
        <v>46082</v>
      </c>
      <c r="H78" s="1" t="n">
        <v>1260</v>
      </c>
      <c r="I78" s="1" t="s">
        <v>879</v>
      </c>
      <c r="J78" s="1" t="s">
        <v>881</v>
      </c>
      <c r="K78" s="1" t="n">
        <v>196.67</v>
      </c>
      <c r="M78" s="125" t="n">
        <f aca="false">Nominal_Activity[[#This Row],[Debit]]-Nominal_Activity[[#This Row],[Credit]]</f>
        <v>196.67</v>
      </c>
      <c r="N78" s="149" t="str">
        <f aca="false">IF(C78="","",IFERROR(VLOOKUP(C78,Master_Mappings!$A$4:$E$85,3,FALSE()),"UNMAPPED"))</f>
        <v>Excluded — Project/Other</v>
      </c>
      <c r="O78" s="20" t="s">
        <v>1208</v>
      </c>
      <c r="P78" s="20" t="str">
        <f aca="false">IF($C78="","",$C78&amp;"|"&amp;$E78&amp;"|"&amp;$M78&amp;"|"&amp;TEXT($G78,"yyyy-mm-dd")&amp;"|"&amp;LEFT($J78,40))</f>
        <v>5200|42823|196.67|2026-03-01|Transportation to Benin (Sub-consultant </v>
      </c>
      <c r="Q78" s="20" t="str">
        <f aca="false">IF(P78="","",IF(COUNTIF($P$2:$P$3000,P78)&gt;1,"DUPLICATE","OK"))</f>
        <v>OK</v>
      </c>
      <c r="R78" s="0" t="str">
        <f aca="false">IF($C78="","",IFERROR(VLOOKUP(--$C78,MM_Income!$Z$5:$AC$204,3,FALSE()),""))</f>
        <v>Recoverable</v>
      </c>
    </row>
    <row r="79" customFormat="false" ht="14.9" hidden="false" customHeight="false" outlineLevel="0" collapsed="false">
      <c r="A79" s="20" t="s">
        <v>49</v>
      </c>
      <c r="B79" s="20" t="s">
        <v>85</v>
      </c>
      <c r="C79" s="1" t="n">
        <v>5200</v>
      </c>
      <c r="D79" s="1" t="s">
        <v>683</v>
      </c>
      <c r="E79" s="1" t="n">
        <v>42824</v>
      </c>
      <c r="F79" s="1" t="s">
        <v>869</v>
      </c>
      <c r="G79" s="140" t="n">
        <v>46079</v>
      </c>
      <c r="H79" s="1" t="n">
        <v>1260</v>
      </c>
      <c r="I79" s="1" t="s">
        <v>879</v>
      </c>
      <c r="J79" s="1" t="s">
        <v>882</v>
      </c>
      <c r="K79" s="1" t="n">
        <v>672.69</v>
      </c>
      <c r="M79" s="125" t="n">
        <f aca="false">Nominal_Activity[[#This Row],[Debit]]-Nominal_Activity[[#This Row],[Credit]]</f>
        <v>672.69</v>
      </c>
      <c r="N79" s="149" t="str">
        <f aca="false">IF(C79="","",IFERROR(VLOOKUP(C79,Master_Mappings!$A$4:$E$85,3,FALSE()),"UNMAPPED"))</f>
        <v>Excluded — Project/Other</v>
      </c>
      <c r="O79" s="20" t="s">
        <v>1208</v>
      </c>
      <c r="P79" s="20" t="str">
        <f aca="false">IF($C79="","",$C79&amp;"|"&amp;$E79&amp;"|"&amp;$M79&amp;"|"&amp;TEXT($G79,"yyyy-mm-dd")&amp;"|"&amp;LEFT($J79,40))</f>
        <v>5200|42824|672.69|2026-02-26|Transportation (Return) for sub-consulta</v>
      </c>
      <c r="Q79" s="20" t="str">
        <f aca="false">IF(P79="","",IF(COUNTIF($P$2:$P$3000,P79)&gt;1,"DUPLICATE","OK"))</f>
        <v>OK</v>
      </c>
      <c r="R79" s="0" t="str">
        <f aca="false">IF($C79="","",IFERROR(VLOOKUP(--$C79,MM_Income!$Z$5:$AC$204,3,FALSE()),""))</f>
        <v>Recoverable</v>
      </c>
    </row>
    <row r="80" customFormat="false" ht="14.9" hidden="false" customHeight="false" outlineLevel="0" collapsed="false">
      <c r="A80" s="20" t="s">
        <v>49</v>
      </c>
      <c r="B80" s="20" t="s">
        <v>85</v>
      </c>
      <c r="C80" s="1" t="n">
        <v>5200</v>
      </c>
      <c r="D80" s="1" t="s">
        <v>683</v>
      </c>
      <c r="E80" s="1" t="n">
        <v>42838</v>
      </c>
      <c r="F80" s="1" t="s">
        <v>869</v>
      </c>
      <c r="G80" s="140" t="n">
        <v>46063</v>
      </c>
      <c r="H80" s="1" t="n">
        <v>1260</v>
      </c>
      <c r="I80" s="1" t="s">
        <v>883</v>
      </c>
      <c r="J80" s="1" t="s">
        <v>884</v>
      </c>
      <c r="K80" s="1" t="n">
        <v>96</v>
      </c>
      <c r="M80" s="125" t="n">
        <f aca="false">Nominal_Activity[[#This Row],[Debit]]-Nominal_Activity[[#This Row],[Credit]]</f>
        <v>96</v>
      </c>
      <c r="N80" s="149" t="str">
        <f aca="false">IF(C80="","",IFERROR(VLOOKUP(C80,Master_Mappings!$A$4:$E$85,3,FALSE()),"UNMAPPED"))</f>
        <v>Excluded — Project/Other</v>
      </c>
      <c r="O80" s="20" t="s">
        <v>1208</v>
      </c>
      <c r="P80" s="20" t="str">
        <f aca="false">IF($C80="","",$C80&amp;"|"&amp;$E80&amp;"|"&amp;$M80&amp;"|"&amp;TEXT($G80,"yyyy-mm-dd")&amp;"|"&amp;LEFT($J80,40))</f>
        <v>5200|42838|96|2026-02-10|Bolt to airport</v>
      </c>
      <c r="Q80" s="20" t="str">
        <f aca="false">IF(P80="","",IF(COUNTIF($P$2:$P$3000,P80)&gt;1,"DUPLICATE","OK"))</f>
        <v>OK</v>
      </c>
      <c r="R80" s="0" t="str">
        <f aca="false">IF($C80="","",IFERROR(VLOOKUP(--$C80,MM_Income!$Z$5:$AC$204,3,FALSE()),""))</f>
        <v>Recoverable</v>
      </c>
    </row>
    <row r="81" customFormat="false" ht="14.9" hidden="false" customHeight="false" outlineLevel="0" collapsed="false">
      <c r="A81" s="20" t="s">
        <v>49</v>
      </c>
      <c r="B81" s="20" t="s">
        <v>85</v>
      </c>
      <c r="C81" s="1" t="n">
        <v>5200</v>
      </c>
      <c r="D81" s="1" t="s">
        <v>683</v>
      </c>
      <c r="E81" s="1" t="n">
        <v>42839</v>
      </c>
      <c r="F81" s="1" t="s">
        <v>869</v>
      </c>
      <c r="G81" s="140" t="n">
        <v>46060</v>
      </c>
      <c r="H81" s="1" t="n">
        <v>1260</v>
      </c>
      <c r="I81" s="1" t="s">
        <v>883</v>
      </c>
      <c r="J81" s="1" t="s">
        <v>885</v>
      </c>
      <c r="K81" s="1" t="n">
        <v>123</v>
      </c>
      <c r="M81" s="125" t="n">
        <f aca="false">Nominal_Activity[[#This Row],[Debit]]-Nominal_Activity[[#This Row],[Credit]]</f>
        <v>123</v>
      </c>
      <c r="N81" s="149" t="str">
        <f aca="false">IF(C81="","",IFERROR(VLOOKUP(C81,Master_Mappings!$A$4:$E$85,3,FALSE()),"UNMAPPED"))</f>
        <v>Excluded — Project/Other</v>
      </c>
      <c r="O81" s="20" t="s">
        <v>1208</v>
      </c>
      <c r="P81" s="20" t="str">
        <f aca="false">IF($C81="","",$C81&amp;"|"&amp;$E81&amp;"|"&amp;$M81&amp;"|"&amp;TEXT($G81,"yyyy-mm-dd")&amp;"|"&amp;LEFT($J81,40))</f>
        <v>5200|42839|123|2026-02-07|Bolt from airport to home</v>
      </c>
      <c r="Q81" s="20" t="str">
        <f aca="false">IF(P81="","",IF(COUNTIF($P$2:$P$3000,P81)&gt;1,"DUPLICATE","OK"))</f>
        <v>OK</v>
      </c>
      <c r="R81" s="0" t="str">
        <f aca="false">IF($C81="","",IFERROR(VLOOKUP(--$C81,MM_Income!$Z$5:$AC$204,3,FALSE()),""))</f>
        <v>Recoverable</v>
      </c>
    </row>
    <row r="82" customFormat="false" ht="14.9" hidden="false" customHeight="false" outlineLevel="0" collapsed="false">
      <c r="A82" s="20" t="s">
        <v>49</v>
      </c>
      <c r="B82" s="20" t="s">
        <v>85</v>
      </c>
      <c r="C82" s="1" t="n">
        <v>5200</v>
      </c>
      <c r="D82" s="1" t="s">
        <v>683</v>
      </c>
      <c r="E82" s="1" t="n">
        <v>42840</v>
      </c>
      <c r="F82" s="1" t="s">
        <v>869</v>
      </c>
      <c r="G82" s="140" t="n">
        <v>46059</v>
      </c>
      <c r="H82" s="1" t="n">
        <v>1260</v>
      </c>
      <c r="I82" s="1" t="s">
        <v>883</v>
      </c>
      <c r="J82" s="1" t="s">
        <v>886</v>
      </c>
      <c r="K82" s="1" t="n">
        <v>1598.5</v>
      </c>
      <c r="M82" s="125" t="n">
        <f aca="false">Nominal_Activity[[#This Row],[Debit]]-Nominal_Activity[[#This Row],[Credit]]</f>
        <v>1598.5</v>
      </c>
      <c r="N82" s="149" t="str">
        <f aca="false">IF(C82="","",IFERROR(VLOOKUP(C82,Master_Mappings!$A$4:$E$85,3,FALSE()),"UNMAPPED"))</f>
        <v>Excluded — Project/Other</v>
      </c>
      <c r="O82" s="20" t="s">
        <v>1208</v>
      </c>
      <c r="P82" s="20" t="str">
        <f aca="false">IF($C82="","",$C82&amp;"|"&amp;$E82&amp;"|"&amp;$M82&amp;"|"&amp;TEXT($G82,"yyyy-mm-dd")&amp;"|"&amp;LEFT($J82,40))</f>
        <v>5200|42840|1598.5|2026-02-06|Hotel</v>
      </c>
      <c r="Q82" s="20" t="str">
        <f aca="false">IF(P82="","",IF(COUNTIF($P$2:$P$3000,P82)&gt;1,"DUPLICATE","OK"))</f>
        <v>OK</v>
      </c>
      <c r="R82" s="0" t="str">
        <f aca="false">IF($C82="","",IFERROR(VLOOKUP(--$C82,MM_Income!$Z$5:$AC$204,3,FALSE()),""))</f>
        <v>Recoverable</v>
      </c>
    </row>
    <row r="83" customFormat="false" ht="14.9" hidden="false" customHeight="false" outlineLevel="0" collapsed="false">
      <c r="A83" s="20" t="s">
        <v>49</v>
      </c>
      <c r="B83" s="20" t="s">
        <v>85</v>
      </c>
      <c r="C83" s="1" t="n">
        <v>5200</v>
      </c>
      <c r="D83" s="1" t="s">
        <v>683</v>
      </c>
      <c r="E83" s="1" t="n">
        <v>42842</v>
      </c>
      <c r="F83" s="1" t="s">
        <v>869</v>
      </c>
      <c r="G83" s="140" t="n">
        <v>46055</v>
      </c>
      <c r="H83" s="1" t="n">
        <v>1260</v>
      </c>
      <c r="I83" s="1" t="s">
        <v>883</v>
      </c>
      <c r="J83" s="1" t="s">
        <v>887</v>
      </c>
      <c r="K83" s="1" t="n">
        <v>408.55</v>
      </c>
      <c r="M83" s="125" t="n">
        <f aca="false">Nominal_Activity[[#This Row],[Debit]]-Nominal_Activity[[#This Row],[Credit]]</f>
        <v>408.55</v>
      </c>
      <c r="N83" s="149" t="str">
        <f aca="false">IF(C83="","",IFERROR(VLOOKUP(C83,Master_Mappings!$A$4:$E$85,3,FALSE()),"UNMAPPED"))</f>
        <v>Excluded — Project/Other</v>
      </c>
      <c r="O83" s="20" t="s">
        <v>1208</v>
      </c>
      <c r="P83" s="20" t="str">
        <f aca="false">IF($C83="","",$C83&amp;"|"&amp;$E83&amp;"|"&amp;$M83&amp;"|"&amp;TEXT($G83,"yyyy-mm-dd")&amp;"|"&amp;LEFT($J83,40))</f>
        <v>5200|42842|408.55|2026-02-02|Dinner</v>
      </c>
      <c r="Q83" s="20" t="str">
        <f aca="false">IF(P83="","",IF(COUNTIF($P$2:$P$3000,P83)&gt;1,"DUPLICATE","OK"))</f>
        <v>OK</v>
      </c>
      <c r="R83" s="0" t="str">
        <f aca="false">IF($C83="","",IFERROR(VLOOKUP(--$C83,MM_Income!$Z$5:$AC$204,3,FALSE()),""))</f>
        <v>Recoverable</v>
      </c>
    </row>
    <row r="84" customFormat="false" ht="14.9" hidden="false" customHeight="false" outlineLevel="0" collapsed="false">
      <c r="A84" s="20" t="s">
        <v>49</v>
      </c>
      <c r="B84" s="20" t="s">
        <v>85</v>
      </c>
      <c r="C84" s="1" t="n">
        <v>5200</v>
      </c>
      <c r="D84" s="1" t="s">
        <v>683</v>
      </c>
      <c r="E84" s="1" t="n">
        <v>42843</v>
      </c>
      <c r="F84" s="1" t="s">
        <v>869</v>
      </c>
      <c r="G84" s="140" t="n">
        <v>46055</v>
      </c>
      <c r="H84" s="1" t="n">
        <v>1260</v>
      </c>
      <c r="I84" s="1" t="s">
        <v>883</v>
      </c>
      <c r="J84" s="1" t="s">
        <v>888</v>
      </c>
      <c r="K84" s="1" t="n">
        <v>1945.46</v>
      </c>
      <c r="M84" s="125" t="n">
        <f aca="false">Nominal_Activity[[#This Row],[Debit]]-Nominal_Activity[[#This Row],[Credit]]</f>
        <v>1945.46</v>
      </c>
      <c r="N84" s="149" t="str">
        <f aca="false">IF(C84="","",IFERROR(VLOOKUP(C84,Master_Mappings!$A$4:$E$85,3,FALSE()),"UNMAPPED"))</f>
        <v>Excluded — Project/Other</v>
      </c>
      <c r="O84" s="20" t="s">
        <v>1208</v>
      </c>
      <c r="P84" s="20" t="str">
        <f aca="false">IF($C84="","",$C84&amp;"|"&amp;$E84&amp;"|"&amp;$M84&amp;"|"&amp;TEXT($G84,"yyyy-mm-dd")&amp;"|"&amp;LEFT($J84,40))</f>
        <v>5200|42843|1945.46|2026-02-02|Hotel-Day 2</v>
      </c>
      <c r="Q84" s="20" t="str">
        <f aca="false">IF(P84="","",IF(COUNTIF($P$2:$P$3000,P84)&gt;1,"DUPLICATE","OK"))</f>
        <v>OK</v>
      </c>
      <c r="R84" s="0" t="str">
        <f aca="false">IF($C84="","",IFERROR(VLOOKUP(--$C84,MM_Income!$Z$5:$AC$204,3,FALSE()),""))</f>
        <v>Recoverable</v>
      </c>
    </row>
    <row r="85" customFormat="false" ht="14.9" hidden="false" customHeight="false" outlineLevel="0" collapsed="false">
      <c r="A85" s="20" t="s">
        <v>49</v>
      </c>
      <c r="B85" s="20" t="s">
        <v>85</v>
      </c>
      <c r="C85" s="1" t="n">
        <v>5200</v>
      </c>
      <c r="D85" s="1" t="s">
        <v>683</v>
      </c>
      <c r="E85" s="1" t="n">
        <v>42844</v>
      </c>
      <c r="F85" s="1" t="s">
        <v>869</v>
      </c>
      <c r="G85" s="140" t="n">
        <v>46054</v>
      </c>
      <c r="H85" s="1" t="n">
        <v>1260</v>
      </c>
      <c r="I85" s="1" t="s">
        <v>883</v>
      </c>
      <c r="J85" s="1" t="s">
        <v>887</v>
      </c>
      <c r="K85" s="1" t="n">
        <v>379.36</v>
      </c>
      <c r="M85" s="125" t="n">
        <f aca="false">Nominal_Activity[[#This Row],[Debit]]-Nominal_Activity[[#This Row],[Credit]]</f>
        <v>379.36</v>
      </c>
      <c r="N85" s="149" t="str">
        <f aca="false">IF(C85="","",IFERROR(VLOOKUP(C85,Master_Mappings!$A$4:$E$85,3,FALSE()),"UNMAPPED"))</f>
        <v>Excluded — Project/Other</v>
      </c>
      <c r="O85" s="20" t="s">
        <v>1208</v>
      </c>
      <c r="P85" s="20" t="str">
        <f aca="false">IF($C85="","",$C85&amp;"|"&amp;$E85&amp;"|"&amp;$M85&amp;"|"&amp;TEXT($G85,"yyyy-mm-dd")&amp;"|"&amp;LEFT($J85,40))</f>
        <v>5200|42844|379.36|2026-02-01|Dinner</v>
      </c>
      <c r="Q85" s="20" t="str">
        <f aca="false">IF(P85="","",IF(COUNTIF($P$2:$P$3000,P85)&gt;1,"DUPLICATE","OK"))</f>
        <v>OK</v>
      </c>
      <c r="R85" s="0" t="str">
        <f aca="false">IF($C85="","",IFERROR(VLOOKUP(--$C85,MM_Income!$Z$5:$AC$204,3,FALSE()),""))</f>
        <v>Recoverable</v>
      </c>
    </row>
    <row r="86" customFormat="false" ht="14.9" hidden="false" customHeight="false" outlineLevel="0" collapsed="false">
      <c r="A86" s="20" t="s">
        <v>49</v>
      </c>
      <c r="B86" s="20" t="s">
        <v>85</v>
      </c>
      <c r="C86" s="1" t="n">
        <v>5200</v>
      </c>
      <c r="D86" s="1" t="s">
        <v>683</v>
      </c>
      <c r="E86" s="1" t="n">
        <v>42845</v>
      </c>
      <c r="F86" s="1" t="s">
        <v>869</v>
      </c>
      <c r="G86" s="140" t="n">
        <v>46054</v>
      </c>
      <c r="H86" s="1" t="n">
        <v>1260</v>
      </c>
      <c r="I86" s="1" t="s">
        <v>883</v>
      </c>
      <c r="J86" s="1" t="s">
        <v>889</v>
      </c>
      <c r="K86" s="1" t="n">
        <v>2149.47</v>
      </c>
      <c r="M86" s="125" t="n">
        <f aca="false">Nominal_Activity[[#This Row],[Debit]]-Nominal_Activity[[#This Row],[Credit]]</f>
        <v>2149.47</v>
      </c>
      <c r="N86" s="149" t="str">
        <f aca="false">IF(C86="","",IFERROR(VLOOKUP(C86,Master_Mappings!$A$4:$E$85,3,FALSE()),"UNMAPPED"))</f>
        <v>Excluded — Project/Other</v>
      </c>
      <c r="O86" s="20" t="s">
        <v>1208</v>
      </c>
      <c r="P86" s="20" t="str">
        <f aca="false">IF($C86="","",$C86&amp;"|"&amp;$E86&amp;"|"&amp;$M86&amp;"|"&amp;TEXT($G86,"yyyy-mm-dd")&amp;"|"&amp;LEFT($J86,40))</f>
        <v>5200|42845|2149.47|2026-02-01|Hotel in Abidjan-Day 1</v>
      </c>
      <c r="Q86" s="20" t="str">
        <f aca="false">IF(P86="","",IF(COUNTIF($P$2:$P$3000,P86)&gt;1,"DUPLICATE","OK"))</f>
        <v>OK</v>
      </c>
      <c r="R86" s="0" t="str">
        <f aca="false">IF($C86="","",IFERROR(VLOOKUP(--$C86,MM_Income!$Z$5:$AC$204,3,FALSE()),""))</f>
        <v>Recoverable</v>
      </c>
    </row>
    <row r="87" customFormat="false" ht="14.9" hidden="false" customHeight="false" outlineLevel="0" collapsed="false">
      <c r="A87" s="20" t="s">
        <v>49</v>
      </c>
      <c r="B87" s="20" t="s">
        <v>85</v>
      </c>
      <c r="C87" s="1" t="n">
        <v>5200</v>
      </c>
      <c r="D87" s="1" t="s">
        <v>683</v>
      </c>
      <c r="E87" s="1" t="n">
        <v>42847</v>
      </c>
      <c r="F87" s="1" t="s">
        <v>869</v>
      </c>
      <c r="G87" s="140" t="n">
        <v>46054</v>
      </c>
      <c r="H87" s="1" t="n">
        <v>1260</v>
      </c>
      <c r="I87" s="1" t="s">
        <v>883</v>
      </c>
      <c r="J87" s="1" t="s">
        <v>884</v>
      </c>
      <c r="K87" s="1" t="n">
        <v>107</v>
      </c>
      <c r="M87" s="125" t="n">
        <f aca="false">Nominal_Activity[[#This Row],[Debit]]-Nominal_Activity[[#This Row],[Credit]]</f>
        <v>107</v>
      </c>
      <c r="N87" s="149" t="str">
        <f aca="false">IF(C87="","",IFERROR(VLOOKUP(C87,Master_Mappings!$A$4:$E$85,3,FALSE()),"UNMAPPED"))</f>
        <v>Excluded — Project/Other</v>
      </c>
      <c r="O87" s="20" t="s">
        <v>1208</v>
      </c>
      <c r="P87" s="20" t="str">
        <f aca="false">IF($C87="","",$C87&amp;"|"&amp;$E87&amp;"|"&amp;$M87&amp;"|"&amp;TEXT($G87,"yyyy-mm-dd")&amp;"|"&amp;LEFT($J87,40))</f>
        <v>5200|42847|107|2026-02-01|Bolt to airport</v>
      </c>
      <c r="Q87" s="20" t="str">
        <f aca="false">IF(P87="","",IF(COUNTIF($P$2:$P$3000,P87)&gt;1,"DUPLICATE","OK"))</f>
        <v>OK</v>
      </c>
      <c r="R87" s="0" t="str">
        <f aca="false">IF($C87="","",IFERROR(VLOOKUP(--$C87,MM_Income!$Z$5:$AC$204,3,FALSE()),""))</f>
        <v>Recoverable</v>
      </c>
    </row>
    <row r="88" customFormat="false" ht="14.9" hidden="false" customHeight="false" outlineLevel="0" collapsed="false">
      <c r="A88" s="20" t="s">
        <v>49</v>
      </c>
      <c r="B88" s="20" t="s">
        <v>85</v>
      </c>
      <c r="C88" s="1" t="n">
        <v>5200</v>
      </c>
      <c r="D88" s="1" t="s">
        <v>683</v>
      </c>
      <c r="E88" s="1" t="n">
        <v>42885</v>
      </c>
      <c r="F88" s="1" t="s">
        <v>847</v>
      </c>
      <c r="G88" s="140" t="n">
        <v>46097</v>
      </c>
      <c r="H88" s="1" t="s">
        <v>892</v>
      </c>
      <c r="I88" s="1" t="s">
        <v>893</v>
      </c>
      <c r="J88" s="1" t="s">
        <v>894</v>
      </c>
      <c r="K88" s="1" t="n">
        <v>6163</v>
      </c>
      <c r="M88" s="125" t="n">
        <f aca="false">Nominal_Activity[[#This Row],[Debit]]-Nominal_Activity[[#This Row],[Credit]]</f>
        <v>6163</v>
      </c>
      <c r="N88" s="149" t="str">
        <f aca="false">IF(C88="","",IFERROR(VLOOKUP(C88,Master_Mappings!$A$4:$E$85,3,FALSE()),"UNMAPPED"))</f>
        <v>Excluded — Project/Other</v>
      </c>
      <c r="O88" s="20" t="s">
        <v>1208</v>
      </c>
      <c r="P88" s="20" t="str">
        <f aca="false">IF($C88="","",$C88&amp;"|"&amp;$E88&amp;"|"&amp;$M88&amp;"|"&amp;TEXT($G88,"yyyy-mm-dd")&amp;"|"&amp;LEFT($J88,40))</f>
        <v>5200|42885|6163|2026-03-16|Airticket for Clement</v>
      </c>
      <c r="Q88" s="20" t="str">
        <f aca="false">IF(P88="","",IF(COUNTIF($P$2:$P$3000,P88)&gt;1,"DUPLICATE","OK"))</f>
        <v>OK</v>
      </c>
      <c r="R88" s="0" t="str">
        <f aca="false">IF($C88="","",IFERROR(VLOOKUP(--$C88,MM_Income!$Z$5:$AC$204,3,FALSE()),""))</f>
        <v>Recoverable</v>
      </c>
    </row>
    <row r="89" customFormat="false" ht="14.9" hidden="false" customHeight="false" outlineLevel="0" collapsed="false">
      <c r="A89" s="20" t="s">
        <v>49</v>
      </c>
      <c r="B89" s="20" t="s">
        <v>85</v>
      </c>
      <c r="C89" s="1" t="n">
        <v>5200</v>
      </c>
      <c r="D89" s="1" t="s">
        <v>683</v>
      </c>
      <c r="E89" s="1" t="n">
        <v>42886</v>
      </c>
      <c r="F89" s="1" t="s">
        <v>847</v>
      </c>
      <c r="G89" s="140" t="n">
        <v>46097</v>
      </c>
      <c r="H89" s="1" t="s">
        <v>892</v>
      </c>
      <c r="I89" s="1" t="s">
        <v>897</v>
      </c>
      <c r="J89" s="1" t="s">
        <v>898</v>
      </c>
      <c r="K89" s="1" t="n">
        <v>28252</v>
      </c>
      <c r="M89" s="125" t="n">
        <f aca="false">Nominal_Activity[[#This Row],[Debit]]-Nominal_Activity[[#This Row],[Credit]]</f>
        <v>28252</v>
      </c>
      <c r="N89" s="149" t="str">
        <f aca="false">IF(C89="","",IFERROR(VLOOKUP(C89,Master_Mappings!$A$4:$E$85,3,FALSE()),"UNMAPPED"))</f>
        <v>Excluded — Project/Other</v>
      </c>
      <c r="O89" s="20" t="s">
        <v>1208</v>
      </c>
      <c r="P89" s="20" t="str">
        <f aca="false">IF($C89="","",$C89&amp;"|"&amp;$E89&amp;"|"&amp;$M89&amp;"|"&amp;TEXT($G89,"yyyy-mm-dd")&amp;"|"&amp;LEFT($J89,40))</f>
        <v>5200|42886|28252|2026-03-16|Airticket for Aristotle Boaitey &amp; Patrci</v>
      </c>
      <c r="Q89" s="20" t="str">
        <f aca="false">IF(P89="","",IF(COUNTIF($P$2:$P$3000,P89)&gt;1,"DUPLICATE","OK"))</f>
        <v>OK</v>
      </c>
      <c r="R89" s="0" t="str">
        <f aca="false">IF($C89="","",IFERROR(VLOOKUP(--$C89,MM_Income!$Z$5:$AC$204,3,FALSE()),""))</f>
        <v>Recoverable</v>
      </c>
    </row>
    <row r="90" customFormat="false" ht="14.9" hidden="false" customHeight="false" outlineLevel="0" collapsed="false">
      <c r="A90" s="20" t="s">
        <v>49</v>
      </c>
      <c r="B90" s="20" t="s">
        <v>85</v>
      </c>
      <c r="C90" s="1" t="n">
        <v>5200</v>
      </c>
      <c r="D90" s="1" t="s">
        <v>683</v>
      </c>
      <c r="E90" s="1" t="n">
        <v>42916</v>
      </c>
      <c r="F90" s="1" t="s">
        <v>847</v>
      </c>
      <c r="G90" s="140" t="n">
        <v>46103</v>
      </c>
      <c r="H90" s="1" t="s">
        <v>892</v>
      </c>
      <c r="I90" s="1" t="s">
        <v>901</v>
      </c>
      <c r="J90" s="1" t="s">
        <v>902</v>
      </c>
      <c r="K90" s="1" t="n">
        <v>39800</v>
      </c>
      <c r="M90" s="125" t="n">
        <f aca="false">Nominal_Activity[[#This Row],[Debit]]-Nominal_Activity[[#This Row],[Credit]]</f>
        <v>39800</v>
      </c>
      <c r="N90" s="149" t="str">
        <f aca="false">IF(C90="","",IFERROR(VLOOKUP(C90,Master_Mappings!$A$4:$E$85,3,FALSE()),"UNMAPPED"))</f>
        <v>Excluded — Project/Other</v>
      </c>
      <c r="O90" s="20" t="s">
        <v>1208</v>
      </c>
      <c r="P90" s="20" t="str">
        <f aca="false">IF($C90="","",$C90&amp;"|"&amp;$E90&amp;"|"&amp;$M90&amp;"|"&amp;TEXT($G90,"yyyy-mm-dd")&amp;"|"&amp;LEFT($J90,40))</f>
        <v>5200|42916|39800|2026-03-22|Airticket for KBN,JPM, Danquah Emmanuel </v>
      </c>
      <c r="Q90" s="20" t="str">
        <f aca="false">IF(P90="","",IF(COUNTIF($P$2:$P$3000,P90)&gt;1,"DUPLICATE","OK"))</f>
        <v>OK</v>
      </c>
      <c r="R90" s="0" t="str">
        <f aca="false">IF($C90="","",IFERROR(VLOOKUP(--$C90,MM_Income!$Z$5:$AC$204,3,FALSE()),""))</f>
        <v>Recoverable</v>
      </c>
    </row>
    <row r="91" customFormat="false" ht="14.9" hidden="false" customHeight="false" outlineLevel="0" collapsed="false">
      <c r="A91" s="20" t="s">
        <v>49</v>
      </c>
      <c r="B91" s="20" t="s">
        <v>85</v>
      </c>
      <c r="C91" s="1" t="n">
        <v>5200</v>
      </c>
      <c r="D91" s="1" t="s">
        <v>683</v>
      </c>
      <c r="E91" s="1" t="n">
        <v>42917</v>
      </c>
      <c r="F91" s="1" t="s">
        <v>847</v>
      </c>
      <c r="G91" s="140" t="n">
        <v>46120</v>
      </c>
      <c r="H91" s="1" t="s">
        <v>892</v>
      </c>
      <c r="I91" s="1" t="s">
        <v>905</v>
      </c>
      <c r="J91" s="1" t="s">
        <v>906</v>
      </c>
      <c r="K91" s="1" t="n">
        <v>93411</v>
      </c>
      <c r="M91" s="125" t="n">
        <f aca="false">Nominal_Activity[[#This Row],[Debit]]-Nominal_Activity[[#This Row],[Credit]]</f>
        <v>93411</v>
      </c>
      <c r="N91" s="149" t="str">
        <f aca="false">IF(C91="","",IFERROR(VLOOKUP(C91,Master_Mappings!$A$4:$E$85,3,FALSE()),"UNMAPPED"))</f>
        <v>Excluded — Project/Other</v>
      </c>
      <c r="O91" s="20" t="s">
        <v>1208</v>
      </c>
      <c r="P91" s="20" t="str">
        <f aca="false">IF($C91="","",$C91&amp;"|"&amp;$E91&amp;"|"&amp;$M91&amp;"|"&amp;TEXT($G91,"yyyy-mm-dd")&amp;"|"&amp;LEFT($J91,40))</f>
        <v>5200|42917|93411|2026-04-08|Airticket for 33 Participants (Nestle Su</v>
      </c>
      <c r="Q91" s="20" t="str">
        <f aca="false">IF(P91="","",IF(COUNTIF($P$2:$P$3000,P91)&gt;1,"DUPLICATE","OK"))</f>
        <v>OK</v>
      </c>
      <c r="R91" s="0" t="str">
        <f aca="false">IF($C91="","",IFERROR(VLOOKUP(--$C91,MM_Income!$Z$5:$AC$204,3,FALSE()),""))</f>
        <v>Recoverable</v>
      </c>
    </row>
    <row r="92" customFormat="false" ht="14.9" hidden="false" customHeight="false" outlineLevel="0" collapsed="false">
      <c r="A92" s="20" t="s">
        <v>49</v>
      </c>
      <c r="B92" s="20" t="s">
        <v>85</v>
      </c>
      <c r="C92" s="1" t="n">
        <v>5200</v>
      </c>
      <c r="D92" s="1" t="s">
        <v>683</v>
      </c>
      <c r="E92" s="1" t="n">
        <v>42964</v>
      </c>
      <c r="F92" s="1" t="s">
        <v>914</v>
      </c>
      <c r="G92" s="140" t="n">
        <v>46090</v>
      </c>
      <c r="H92" s="1" t="n">
        <v>1210</v>
      </c>
      <c r="I92" s="1" t="s">
        <v>915</v>
      </c>
      <c r="J92" s="1" t="s">
        <v>917</v>
      </c>
      <c r="K92" s="1" t="n">
        <v>14969.29</v>
      </c>
      <c r="M92" s="125" t="n">
        <f aca="false">Nominal_Activity[[#This Row],[Debit]]-Nominal_Activity[[#This Row],[Credit]]</f>
        <v>14969.29</v>
      </c>
      <c r="N92" s="149" t="str">
        <f aca="false">IF(C92="","",IFERROR(VLOOKUP(C92,Master_Mappings!$A$4:$E$85,3,FALSE()),"UNMAPPED"))</f>
        <v>Excluded — Project/Other</v>
      </c>
      <c r="O92" s="20" t="s">
        <v>1208</v>
      </c>
      <c r="P92" s="20" t="str">
        <f aca="false">IF($C92="","",$C92&amp;"|"&amp;$E92&amp;"|"&amp;$M92&amp;"|"&amp;TEXT($G92,"yyyy-mm-dd")&amp;"|"&amp;LEFT($J92,40))</f>
        <v>5200|42964|14969.29|2026-03-09|Payment of Africa Sugar Conference ticke</v>
      </c>
      <c r="Q92" s="20" t="str">
        <f aca="false">IF(P92="","",IF(COUNTIF($P$2:$P$3000,P92)&gt;1,"DUPLICATE","OK"))</f>
        <v>OK</v>
      </c>
      <c r="R92" s="0" t="str">
        <f aca="false">IF($C92="","",IFERROR(VLOOKUP(--$C92,MM_Income!$Z$5:$AC$204,3,FALSE()),""))</f>
        <v>Recoverable</v>
      </c>
    </row>
    <row r="93" customFormat="false" ht="14.9" hidden="false" customHeight="false" outlineLevel="0" collapsed="false">
      <c r="A93" s="20" t="s">
        <v>49</v>
      </c>
      <c r="B93" s="20" t="s">
        <v>85</v>
      </c>
      <c r="C93" s="1" t="n">
        <v>5200</v>
      </c>
      <c r="D93" s="1" t="s">
        <v>683</v>
      </c>
      <c r="E93" s="1" t="n">
        <v>42965</v>
      </c>
      <c r="F93" s="1" t="s">
        <v>914</v>
      </c>
      <c r="G93" s="140" t="n">
        <v>46100</v>
      </c>
      <c r="H93" s="1" t="n">
        <v>1210</v>
      </c>
      <c r="I93" s="1" t="s">
        <v>915</v>
      </c>
      <c r="J93" s="1" t="s">
        <v>918</v>
      </c>
      <c r="K93" s="1" t="n">
        <v>14969.29</v>
      </c>
      <c r="M93" s="125" t="n">
        <f aca="false">Nominal_Activity[[#This Row],[Debit]]-Nominal_Activity[[#This Row],[Credit]]</f>
        <v>14969.29</v>
      </c>
      <c r="N93" s="149" t="str">
        <f aca="false">IF(C93="","",IFERROR(VLOOKUP(C93,Master_Mappings!$A$4:$E$85,3,FALSE()),"UNMAPPED"))</f>
        <v>Excluded — Project/Other</v>
      </c>
      <c r="O93" s="20" t="s">
        <v>1208</v>
      </c>
      <c r="P93" s="20" t="str">
        <f aca="false">IF($C93="","",$C93&amp;"|"&amp;$E93&amp;"|"&amp;$M93&amp;"|"&amp;TEXT($G93,"yyyy-mm-dd")&amp;"|"&amp;LEFT($J93,40))</f>
        <v>5200|42965|14969.29|2026-03-19|Payment of Africa Sugar Conference ticke</v>
      </c>
      <c r="Q93" s="20" t="str">
        <f aca="false">IF(P93="","",IF(COUNTIF($P$2:$P$3000,P93)&gt;1,"DUPLICATE","OK"))</f>
        <v>OK</v>
      </c>
      <c r="R93" s="0" t="str">
        <f aca="false">IF($C93="","",IFERROR(VLOOKUP(--$C93,MM_Income!$Z$5:$AC$204,3,FALSE()),""))</f>
        <v>Recoverable</v>
      </c>
    </row>
    <row r="94" customFormat="false" ht="14.9" hidden="false" customHeight="false" outlineLevel="0" collapsed="false">
      <c r="A94" s="20" t="s">
        <v>49</v>
      </c>
      <c r="B94" s="20" t="s">
        <v>85</v>
      </c>
      <c r="C94" s="1" t="n">
        <v>5200</v>
      </c>
      <c r="D94" s="1" t="s">
        <v>683</v>
      </c>
      <c r="E94" s="1" t="n">
        <v>43301</v>
      </c>
      <c r="F94" s="1" t="s">
        <v>847</v>
      </c>
      <c r="G94" s="140" t="n">
        <v>46135</v>
      </c>
      <c r="H94" s="1" t="s">
        <v>848</v>
      </c>
      <c r="I94" s="1" t="s">
        <v>946</v>
      </c>
      <c r="J94" s="1" t="s">
        <v>947</v>
      </c>
      <c r="K94" s="1" t="n">
        <v>4000</v>
      </c>
      <c r="M94" s="125" t="n">
        <f aca="false">Nominal_Activity[[#This Row],[Debit]]-Nominal_Activity[[#This Row],[Credit]]</f>
        <v>4000</v>
      </c>
      <c r="N94" s="149" t="str">
        <f aca="false">IF(C94="","",IFERROR(VLOOKUP(C94,Master_Mappings!$A$4:$E$85,3,FALSE()),"UNMAPPED"))</f>
        <v>Excluded — Project/Other</v>
      </c>
      <c r="O94" s="20" t="s">
        <v>1208</v>
      </c>
      <c r="P94" s="20" t="str">
        <f aca="false">IF($C94="","",$C94&amp;"|"&amp;$E94&amp;"|"&amp;$M94&amp;"|"&amp;TEXT($G94,"yyyy-mm-dd")&amp;"|"&amp;LEFT($J94,40))</f>
        <v>5200|43301|4000|2026-04-23|2Days car rental to Cape Coast for FGMC</v>
      </c>
      <c r="Q94" s="20" t="str">
        <f aca="false">IF(P94="","",IF(COUNTIF($P$2:$P$3000,P94)&gt;1,"DUPLICATE","OK"))</f>
        <v>OK</v>
      </c>
      <c r="R94" s="0" t="str">
        <f aca="false">IF($C94="","",IFERROR(VLOOKUP(--$C94,MM_Income!$Z$5:$AC$204,3,FALSE()),""))</f>
        <v>Recoverable</v>
      </c>
    </row>
    <row r="95" customFormat="false" ht="14.9" hidden="false" customHeight="false" outlineLevel="0" collapsed="false">
      <c r="A95" s="20" t="s">
        <v>49</v>
      </c>
      <c r="B95" s="20" t="s">
        <v>85</v>
      </c>
      <c r="C95" s="1" t="n">
        <v>5200</v>
      </c>
      <c r="D95" s="1" t="s">
        <v>683</v>
      </c>
      <c r="E95" s="1" t="n">
        <v>43303</v>
      </c>
      <c r="F95" s="1" t="s">
        <v>847</v>
      </c>
      <c r="G95" s="140" t="n">
        <v>46135</v>
      </c>
      <c r="H95" s="1" t="s">
        <v>848</v>
      </c>
      <c r="I95" s="1" t="s">
        <v>946</v>
      </c>
      <c r="J95" s="1" t="s">
        <v>949</v>
      </c>
      <c r="K95" s="1" t="n">
        <v>40</v>
      </c>
      <c r="M95" s="125" t="n">
        <f aca="false">Nominal_Activity[[#This Row],[Debit]]-Nominal_Activity[[#This Row],[Credit]]</f>
        <v>40</v>
      </c>
      <c r="N95" s="149" t="str">
        <f aca="false">IF(C95="","",IFERROR(VLOOKUP(C95,Master_Mappings!$A$4:$E$85,3,FALSE()),"UNMAPPED"))</f>
        <v>Excluded — Project/Other</v>
      </c>
      <c r="O95" s="20" t="s">
        <v>1208</v>
      </c>
      <c r="P95" s="20" t="str">
        <f aca="false">IF($C95="","",$C95&amp;"|"&amp;$E95&amp;"|"&amp;$M95&amp;"|"&amp;TEXT($G95,"yyyy-mm-dd")&amp;"|"&amp;LEFT($J95,40))</f>
        <v>5200|43303|40|2026-04-23|2Days car rental to Cape Coast for FGMC-</v>
      </c>
      <c r="Q95" s="20" t="str">
        <f aca="false">IF(P95="","",IF(COUNTIF($P$2:$P$3000,P95)&gt;1,"DUPLICATE","OK"))</f>
        <v>OK</v>
      </c>
      <c r="R95" s="0" t="str">
        <f aca="false">IF($C95="","",IFERROR(VLOOKUP(--$C95,MM_Income!$Z$5:$AC$204,3,FALSE()),""))</f>
        <v>Recoverable</v>
      </c>
    </row>
    <row r="96" customFormat="false" ht="14.9" hidden="false" customHeight="false" outlineLevel="0" collapsed="false">
      <c r="A96" s="20" t="s">
        <v>49</v>
      </c>
      <c r="B96" s="20" t="s">
        <v>85</v>
      </c>
      <c r="C96" s="1" t="n">
        <v>5200</v>
      </c>
      <c r="D96" s="1" t="s">
        <v>683</v>
      </c>
      <c r="E96" s="1" t="n">
        <v>43403</v>
      </c>
      <c r="F96" s="1" t="s">
        <v>914</v>
      </c>
      <c r="G96" s="140" t="n">
        <v>46119</v>
      </c>
      <c r="H96" s="1" t="n">
        <v>1210</v>
      </c>
      <c r="I96" s="1" t="s">
        <v>961</v>
      </c>
      <c r="J96" s="1" t="s">
        <v>962</v>
      </c>
      <c r="K96" s="1" t="n">
        <v>193940.43</v>
      </c>
      <c r="M96" s="125" t="n">
        <f aca="false">Nominal_Activity[[#This Row],[Debit]]-Nominal_Activity[[#This Row],[Credit]]</f>
        <v>193940.43</v>
      </c>
      <c r="N96" s="149" t="str">
        <f aca="false">IF(C96="","",IFERROR(VLOOKUP(C96,Master_Mappings!$A$4:$E$85,3,FALSE()),"UNMAPPED"))</f>
        <v>Excluded — Project/Other</v>
      </c>
      <c r="O96" s="20" t="s">
        <v>1208</v>
      </c>
      <c r="P96" s="20" t="str">
        <f aca="false">IF($C96="","",$C96&amp;"|"&amp;$E96&amp;"|"&amp;$M96&amp;"|"&amp;TEXT($G96,"yyyy-mm-dd")&amp;"|"&amp;LEFT($J96,40))</f>
        <v>5200|43403|193940.43|2026-04-07|Initial payment to hotel for Nestle Work</v>
      </c>
      <c r="Q96" s="20" t="str">
        <f aca="false">IF(P96="","",IF(COUNTIF($P$2:$P$3000,P96)&gt;1,"DUPLICATE","OK"))</f>
        <v>OK</v>
      </c>
      <c r="R96" s="0" t="str">
        <f aca="false">IF($C96="","",IFERROR(VLOOKUP(--$C96,MM_Income!$Z$5:$AC$204,3,FALSE()),""))</f>
        <v>Recoverable</v>
      </c>
    </row>
    <row r="97" customFormat="false" ht="14.9" hidden="false" customHeight="false" outlineLevel="0" collapsed="false">
      <c r="A97" s="20" t="s">
        <v>49</v>
      </c>
      <c r="B97" s="20" t="s">
        <v>85</v>
      </c>
      <c r="C97" s="1" t="n">
        <v>5200</v>
      </c>
      <c r="D97" s="1" t="s">
        <v>683</v>
      </c>
      <c r="E97" s="1" t="n">
        <v>43430</v>
      </c>
      <c r="F97" s="1" t="s">
        <v>914</v>
      </c>
      <c r="G97" s="140" t="n">
        <v>46139</v>
      </c>
      <c r="H97" s="1" t="n">
        <v>1210</v>
      </c>
      <c r="I97" s="1" t="s">
        <v>959</v>
      </c>
      <c r="J97" s="1" t="s">
        <v>960</v>
      </c>
      <c r="K97" s="1" t="n">
        <v>133676.41</v>
      </c>
      <c r="M97" s="125" t="n">
        <f aca="false">Nominal_Activity[[#This Row],[Debit]]-Nominal_Activity[[#This Row],[Credit]]</f>
        <v>133676.41</v>
      </c>
      <c r="N97" s="149" t="str">
        <f aca="false">IF(C97="","",IFERROR(VLOOKUP(C97,Master_Mappings!$A$4:$E$85,3,FALSE()),"UNMAPPED"))</f>
        <v>Excluded — Project/Other</v>
      </c>
      <c r="O97" s="20" t="s">
        <v>1208</v>
      </c>
      <c r="P97" s="20" t="str">
        <f aca="false">IF($C97="","",$C97&amp;"|"&amp;$E97&amp;"|"&amp;$M97&amp;"|"&amp;TEXT($G97,"yyyy-mm-dd")&amp;"|"&amp;LEFT($J97,40))</f>
        <v>5200|43430|133676.41|2026-04-27|Final payment to hotel for workshop in N</v>
      </c>
      <c r="Q97" s="20" t="str">
        <f aca="false">IF(P97="","",IF(COUNTIF($P$2:$P$3000,P97)&gt;1,"DUPLICATE","OK"))</f>
        <v>OK</v>
      </c>
      <c r="R97" s="0" t="str">
        <f aca="false">IF($C97="","",IFERROR(VLOOKUP(--$C97,MM_Income!$Z$5:$AC$204,3,FALSE()),""))</f>
        <v>Recoverable</v>
      </c>
    </row>
    <row r="98" customFormat="false" ht="14.9" hidden="false" customHeight="false" outlineLevel="0" collapsed="false">
      <c r="A98" s="20" t="s">
        <v>49</v>
      </c>
      <c r="B98" s="20" t="s">
        <v>85</v>
      </c>
      <c r="C98" s="1" t="n">
        <v>5200</v>
      </c>
      <c r="D98" s="1" t="s">
        <v>683</v>
      </c>
      <c r="E98" s="1" t="n">
        <v>43557</v>
      </c>
      <c r="F98" s="1" t="s">
        <v>847</v>
      </c>
      <c r="G98" s="140" t="n">
        <v>46141</v>
      </c>
      <c r="H98" s="1" t="s">
        <v>848</v>
      </c>
      <c r="I98" s="1" t="s">
        <v>975</v>
      </c>
      <c r="J98" s="1" t="s">
        <v>976</v>
      </c>
      <c r="K98" s="1" t="n">
        <v>17000</v>
      </c>
      <c r="M98" s="125" t="n">
        <f aca="false">Nominal_Activity[[#This Row],[Debit]]-Nominal_Activity[[#This Row],[Credit]]</f>
        <v>17000</v>
      </c>
      <c r="N98" s="149" t="str">
        <f aca="false">IF(C98="","",IFERROR(VLOOKUP(C98,Master_Mappings!$A$4:$E$85,3,FALSE()),"UNMAPPED"))</f>
        <v>Excluded — Project/Other</v>
      </c>
      <c r="O98" s="20" t="s">
        <v>1208</v>
      </c>
      <c r="P98" s="20" t="str">
        <f aca="false">IF($C98="","",$C98&amp;"|"&amp;$E98&amp;"|"&amp;$M98&amp;"|"&amp;TEXT($G98,"yyyy-mm-dd")&amp;"|"&amp;LEFT($J98,40))</f>
        <v>5200|43557|17000|2026-04-29|05Days car rental for FGMC data collecti</v>
      </c>
      <c r="Q98" s="20" t="str">
        <f aca="false">IF(P98="","",IF(COUNTIF($P$2:$P$3000,P98)&gt;1,"DUPLICATE","OK"))</f>
        <v>OK</v>
      </c>
      <c r="R98" s="0" t="str">
        <f aca="false">IF($C98="","",IFERROR(VLOOKUP(--$C98,MM_Income!$Z$5:$AC$204,3,FALSE()),""))</f>
        <v>Recoverable</v>
      </c>
    </row>
    <row r="99" customFormat="false" ht="14.9" hidden="false" customHeight="false" outlineLevel="0" collapsed="false">
      <c r="A99" s="20" t="s">
        <v>49</v>
      </c>
      <c r="B99" s="20" t="s">
        <v>85</v>
      </c>
      <c r="C99" s="1" t="n">
        <v>5200</v>
      </c>
      <c r="D99" s="1" t="s">
        <v>683</v>
      </c>
      <c r="E99" s="1" t="n">
        <v>43558</v>
      </c>
      <c r="F99" s="1" t="s">
        <v>847</v>
      </c>
      <c r="G99" s="140" t="n">
        <v>46141</v>
      </c>
      <c r="H99" s="1" t="s">
        <v>848</v>
      </c>
      <c r="I99" s="1" t="s">
        <v>975</v>
      </c>
      <c r="J99" s="1" t="s">
        <v>977</v>
      </c>
      <c r="K99" s="1" t="n">
        <v>170</v>
      </c>
      <c r="M99" s="125" t="n">
        <f aca="false">Nominal_Activity[[#This Row],[Debit]]-Nominal_Activity[[#This Row],[Credit]]</f>
        <v>170</v>
      </c>
      <c r="N99" s="149" t="str">
        <f aca="false">IF(C99="","",IFERROR(VLOOKUP(C99,Master_Mappings!$A$4:$E$85,3,FALSE()),"UNMAPPED"))</f>
        <v>Excluded — Project/Other</v>
      </c>
      <c r="O99" s="20" t="s">
        <v>1208</v>
      </c>
      <c r="P99" s="20" t="str">
        <f aca="false">IF($C99="","",$C99&amp;"|"&amp;$E99&amp;"|"&amp;$M99&amp;"|"&amp;TEXT($G99,"yyyy-mm-dd")&amp;"|"&amp;LEFT($J99,40))</f>
        <v>5200|43558|170|2026-04-29|05Days car rental for FGMC data collecti</v>
      </c>
      <c r="Q99" s="20" t="str">
        <f aca="false">IF(P99="","",IF(COUNTIF($P$2:$P$3000,P99)&gt;1,"DUPLICATE","OK"))</f>
        <v>OK</v>
      </c>
      <c r="R99" s="0" t="str">
        <f aca="false">IF($C99="","",IFERROR(VLOOKUP(--$C99,MM_Income!$Z$5:$AC$204,3,FALSE()),""))</f>
        <v>Recoverable</v>
      </c>
    </row>
    <row r="100" customFormat="false" ht="14.9" hidden="false" customHeight="false" outlineLevel="0" collapsed="false">
      <c r="A100" s="20" t="s">
        <v>49</v>
      </c>
      <c r="B100" s="20" t="s">
        <v>85</v>
      </c>
      <c r="C100" s="1" t="n">
        <v>5200</v>
      </c>
      <c r="D100" s="1" t="s">
        <v>683</v>
      </c>
      <c r="E100" s="1" t="n">
        <v>43564</v>
      </c>
      <c r="F100" s="1" t="s">
        <v>847</v>
      </c>
      <c r="G100" s="140" t="n">
        <v>46137</v>
      </c>
      <c r="H100" s="1" t="s">
        <v>892</v>
      </c>
      <c r="I100" s="1" t="s">
        <v>979</v>
      </c>
      <c r="J100" s="1" t="s">
        <v>980</v>
      </c>
      <c r="K100" s="1" t="n">
        <v>16753</v>
      </c>
      <c r="M100" s="125" t="n">
        <f aca="false">Nominal_Activity[[#This Row],[Debit]]-Nominal_Activity[[#This Row],[Credit]]</f>
        <v>16753</v>
      </c>
      <c r="N100" s="149" t="str">
        <f aca="false">IF(C100="","",IFERROR(VLOOKUP(C100,Master_Mappings!$A$4:$E$85,3,FALSE()),"UNMAPPED"))</f>
        <v>Excluded — Project/Other</v>
      </c>
      <c r="O100" s="20" t="s">
        <v>1208</v>
      </c>
      <c r="P100" s="20" t="str">
        <f aca="false">IF($C100="","",$C100&amp;"|"&amp;$E100&amp;"|"&amp;$M100&amp;"|"&amp;TEXT($G100,"yyyy-mm-dd")&amp;"|"&amp;LEFT($J100,40))</f>
        <v>5200|43564|16753|2026-04-25|Flight ticket for Clement and Aristo to </v>
      </c>
      <c r="Q100" s="20" t="str">
        <f aca="false">IF(P100="","",IF(COUNTIF($P$2:$P$3000,P100)&gt;1,"DUPLICATE","OK"))</f>
        <v>OK</v>
      </c>
      <c r="R100" s="0" t="str">
        <f aca="false">IF($C100="","",IFERROR(VLOOKUP(--$C100,MM_Income!$Z$5:$AC$204,3,FALSE()),""))</f>
        <v>Recoverable</v>
      </c>
    </row>
    <row r="101" customFormat="false" ht="14.9" hidden="false" customHeight="false" outlineLevel="0" collapsed="false">
      <c r="A101" s="20" t="s">
        <v>49</v>
      </c>
      <c r="B101" s="20" t="s">
        <v>85</v>
      </c>
      <c r="C101" s="1" t="n">
        <v>5200</v>
      </c>
      <c r="D101" s="1" t="s">
        <v>683</v>
      </c>
      <c r="E101" s="1" t="n">
        <v>43565</v>
      </c>
      <c r="F101" s="1" t="s">
        <v>847</v>
      </c>
      <c r="G101" s="140" t="n">
        <v>46140</v>
      </c>
      <c r="H101" s="1" t="s">
        <v>892</v>
      </c>
      <c r="I101" s="1" t="s">
        <v>983</v>
      </c>
      <c r="J101" s="1" t="s">
        <v>984</v>
      </c>
      <c r="K101" s="1" t="n">
        <v>4616</v>
      </c>
      <c r="M101" s="125" t="n">
        <f aca="false">Nominal_Activity[[#This Row],[Debit]]-Nominal_Activity[[#This Row],[Credit]]</f>
        <v>4616</v>
      </c>
      <c r="N101" s="149" t="str">
        <f aca="false">IF(C101="","",IFERROR(VLOOKUP(C101,Master_Mappings!$A$4:$E$85,3,FALSE()),"UNMAPPED"))</f>
        <v>Excluded — Project/Other</v>
      </c>
      <c r="O101" s="20" t="s">
        <v>1208</v>
      </c>
      <c r="P101" s="20" t="str">
        <f aca="false">IF($C101="","",$C101&amp;"|"&amp;$E101&amp;"|"&amp;$M101&amp;"|"&amp;TEXT($G101,"yyyy-mm-dd")&amp;"|"&amp;LEFT($J101,40))</f>
        <v>5200|43565|4616|2026-04-28|Flight ticket for Patricia to CIV</v>
      </c>
      <c r="Q101" s="20" t="str">
        <f aca="false">IF(P101="","",IF(COUNTIF($P$2:$P$3000,P101)&gt;1,"DUPLICATE","OK"))</f>
        <v>OK</v>
      </c>
      <c r="R101" s="0" t="str">
        <f aca="false">IF($C101="","",IFERROR(VLOOKUP(--$C101,MM_Income!$Z$5:$AC$204,3,FALSE()),""))</f>
        <v>Recoverable</v>
      </c>
    </row>
    <row r="102" customFormat="false" ht="14.9" hidden="false" customHeight="false" outlineLevel="0" collapsed="false">
      <c r="A102" s="20" t="s">
        <v>49</v>
      </c>
      <c r="B102" s="20" t="s">
        <v>85</v>
      </c>
      <c r="C102" s="1" t="n">
        <v>5200</v>
      </c>
      <c r="D102" s="1" t="s">
        <v>683</v>
      </c>
      <c r="E102" s="1" t="n">
        <v>43671</v>
      </c>
      <c r="F102" s="1" t="s">
        <v>869</v>
      </c>
      <c r="G102" s="140" t="n">
        <v>46113</v>
      </c>
      <c r="H102" s="1" t="n">
        <v>1260</v>
      </c>
      <c r="I102" s="1" t="s">
        <v>993</v>
      </c>
      <c r="J102" s="1" t="s">
        <v>994</v>
      </c>
      <c r="K102" s="1" t="n">
        <v>68</v>
      </c>
      <c r="M102" s="125" t="n">
        <f aca="false">Nominal_Activity[[#This Row],[Debit]]-Nominal_Activity[[#This Row],[Credit]]</f>
        <v>68</v>
      </c>
      <c r="N102" s="149" t="str">
        <f aca="false">IF(C102="","",IFERROR(VLOOKUP(C102,Master_Mappings!$A$4:$E$85,3,FALSE()),"UNMAPPED"))</f>
        <v>Excluded — Project/Other</v>
      </c>
      <c r="O102" s="20" t="s">
        <v>1208</v>
      </c>
      <c r="P102" s="20" t="str">
        <f aca="false">IF($C102="","",$C102&amp;"|"&amp;$E102&amp;"|"&amp;$M102&amp;"|"&amp;TEXT($G102,"yyyy-mm-dd")&amp;"|"&amp;LEFT($J102,40))</f>
        <v>5200|43671|68|2026-04-01|Taxi from office to airport to catch a f</v>
      </c>
      <c r="Q102" s="20" t="str">
        <f aca="false">IF(P102="","",IF(COUNTIF($P$2:$P$3000,P102)&gt;1,"DUPLICATE","OK"))</f>
        <v>OK</v>
      </c>
      <c r="R102" s="0" t="str">
        <f aca="false">IF($C102="","",IFERROR(VLOOKUP(--$C102,MM_Income!$Z$5:$AC$204,3,FALSE()),""))</f>
        <v>Recoverable</v>
      </c>
    </row>
    <row r="103" customFormat="false" ht="14.9" hidden="false" customHeight="false" outlineLevel="0" collapsed="false">
      <c r="A103" s="20" t="s">
        <v>49</v>
      </c>
      <c r="B103" s="20" t="s">
        <v>85</v>
      </c>
      <c r="C103" s="1" t="n">
        <v>5200</v>
      </c>
      <c r="D103" s="1" t="s">
        <v>683</v>
      </c>
      <c r="E103" s="1" t="n">
        <v>43672</v>
      </c>
      <c r="F103" s="1" t="s">
        <v>869</v>
      </c>
      <c r="G103" s="140" t="n">
        <v>46113</v>
      </c>
      <c r="H103" s="1" t="n">
        <v>1260</v>
      </c>
      <c r="I103" s="1" t="s">
        <v>993</v>
      </c>
      <c r="J103" s="1" t="s">
        <v>995</v>
      </c>
      <c r="K103" s="1" t="n">
        <v>1450.14</v>
      </c>
      <c r="M103" s="125" t="n">
        <f aca="false">Nominal_Activity[[#This Row],[Debit]]-Nominal_Activity[[#This Row],[Credit]]</f>
        <v>1450.14</v>
      </c>
      <c r="N103" s="149" t="str">
        <f aca="false">IF(C103="","",IFERROR(VLOOKUP(C103,Master_Mappings!$A$4:$E$85,3,FALSE()),"UNMAPPED"))</f>
        <v>Excluded — Project/Other</v>
      </c>
      <c r="O103" s="20" t="s">
        <v>1208</v>
      </c>
      <c r="P103" s="20" t="str">
        <f aca="false">IF($C103="","",$C103&amp;"|"&amp;$E103&amp;"|"&amp;$M103&amp;"|"&amp;TEXT($G103,"yyyy-mm-dd")&amp;"|"&amp;LEFT($J103,40))</f>
        <v>5200|43672|1450.14|2026-04-01|Taxi from home to Oxford office and then</v>
      </c>
      <c r="Q103" s="20" t="str">
        <f aca="false">IF(P103="","",IF(COUNTIF($P$2:$P$3000,P103)&gt;1,"DUPLICATE","OK"))</f>
        <v>OK</v>
      </c>
      <c r="R103" s="0" t="str">
        <f aca="false">IF($C103="","",IFERROR(VLOOKUP(--$C103,MM_Income!$Z$5:$AC$204,3,FALSE()),""))</f>
        <v>Recoverable</v>
      </c>
    </row>
    <row r="104" customFormat="false" ht="14.9" hidden="false" customHeight="false" outlineLevel="0" collapsed="false">
      <c r="A104" s="20" t="s">
        <v>49</v>
      </c>
      <c r="B104" s="20" t="s">
        <v>85</v>
      </c>
      <c r="C104" s="1" t="n">
        <v>5200</v>
      </c>
      <c r="D104" s="1" t="s">
        <v>683</v>
      </c>
      <c r="E104" s="1" t="n">
        <v>43688</v>
      </c>
      <c r="F104" s="1" t="s">
        <v>869</v>
      </c>
      <c r="G104" s="140" t="n">
        <v>46163</v>
      </c>
      <c r="H104" s="1" t="n">
        <v>1260</v>
      </c>
      <c r="I104" s="1" t="s">
        <v>996</v>
      </c>
      <c r="J104" s="1" t="s">
        <v>997</v>
      </c>
      <c r="K104" s="1" t="n">
        <v>500</v>
      </c>
      <c r="M104" s="125" t="n">
        <f aca="false">Nominal_Activity[[#This Row],[Debit]]-Nominal_Activity[[#This Row],[Credit]]</f>
        <v>500</v>
      </c>
      <c r="N104" s="149" t="str">
        <f aca="false">IF(C104="","",IFERROR(VLOOKUP(C104,Master_Mappings!$A$4:$E$85,3,FALSE()),"UNMAPPED"))</f>
        <v>Excluded — Project/Other</v>
      </c>
      <c r="O104" s="20" t="s">
        <v>1208</v>
      </c>
      <c r="P104" s="20" t="str">
        <f aca="false">IF($C104="","",$C104&amp;"|"&amp;$E104&amp;"|"&amp;$M104&amp;"|"&amp;TEXT($G104,"yyyy-mm-dd")&amp;"|"&amp;LEFT($J104,40))</f>
        <v>5200|43688|500|2026-05-21|Purchase of Fuel to Forestry Commission</v>
      </c>
      <c r="Q104" s="20" t="str">
        <f aca="false">IF(P104="","",IF(COUNTIF($P$2:$P$3000,P104)&gt;1,"DUPLICATE","OK"))</f>
        <v>OK</v>
      </c>
      <c r="R104" s="0" t="str">
        <f aca="false">IF($C104="","",IFERROR(VLOOKUP(--$C104,MM_Income!$Z$5:$AC$204,3,FALSE()),""))</f>
        <v>Recoverable</v>
      </c>
    </row>
    <row r="105" customFormat="false" ht="14.9" hidden="false" customHeight="false" outlineLevel="0" collapsed="false">
      <c r="A105" s="20" t="s">
        <v>49</v>
      </c>
      <c r="B105" s="20" t="s">
        <v>85</v>
      </c>
      <c r="C105" s="1" t="n">
        <v>5200</v>
      </c>
      <c r="D105" s="1" t="s">
        <v>683</v>
      </c>
      <c r="E105" s="1" t="n">
        <v>43689</v>
      </c>
      <c r="F105" s="1" t="s">
        <v>869</v>
      </c>
      <c r="G105" s="140" t="n">
        <v>46141</v>
      </c>
      <c r="H105" s="1" t="n">
        <v>1260</v>
      </c>
      <c r="I105" s="1" t="s">
        <v>998</v>
      </c>
      <c r="J105" s="1" t="s">
        <v>999</v>
      </c>
      <c r="K105" s="1" t="n">
        <v>99</v>
      </c>
      <c r="M105" s="125" t="n">
        <f aca="false">Nominal_Activity[[#This Row],[Debit]]-Nominal_Activity[[#This Row],[Credit]]</f>
        <v>99</v>
      </c>
      <c r="N105" s="149" t="str">
        <f aca="false">IF(C105="","",IFERROR(VLOOKUP(C105,Master_Mappings!$A$4:$E$85,3,FALSE()),"UNMAPPED"))</f>
        <v>Excluded — Project/Other</v>
      </c>
      <c r="O105" s="20" t="s">
        <v>1208</v>
      </c>
      <c r="P105" s="20" t="str">
        <f aca="false">IF($C105="","",$C105&amp;"|"&amp;$E105&amp;"|"&amp;$M105&amp;"|"&amp;TEXT($G105,"yyyy-mm-dd")&amp;"|"&amp;LEFT($J105,40))</f>
        <v>5200|43689|99|2026-04-29|Uber to airport</v>
      </c>
      <c r="Q105" s="20" t="str">
        <f aca="false">IF(P105="","",IF(COUNTIF($P$2:$P$3000,P105)&gt;1,"DUPLICATE","OK"))</f>
        <v>OK</v>
      </c>
      <c r="R105" s="0" t="str">
        <f aca="false">IF($C105="","",IFERROR(VLOOKUP(--$C105,MM_Income!$Z$5:$AC$204,3,FALSE()),""))</f>
        <v>Recoverable</v>
      </c>
    </row>
    <row r="106" customFormat="false" ht="14.9" hidden="false" customHeight="false" outlineLevel="0" collapsed="false">
      <c r="A106" s="20" t="s">
        <v>49</v>
      </c>
      <c r="B106" s="20" t="s">
        <v>85</v>
      </c>
      <c r="C106" s="1" t="n">
        <v>5200</v>
      </c>
      <c r="D106" s="1" t="s">
        <v>683</v>
      </c>
      <c r="E106" s="1" t="n">
        <v>43690</v>
      </c>
      <c r="F106" s="1" t="s">
        <v>869</v>
      </c>
      <c r="G106" s="140" t="n">
        <v>46142</v>
      </c>
      <c r="H106" s="1" t="n">
        <v>1260</v>
      </c>
      <c r="I106" s="1" t="s">
        <v>998</v>
      </c>
      <c r="J106" s="1" t="s">
        <v>1000</v>
      </c>
      <c r="K106" s="1" t="n">
        <v>450.57</v>
      </c>
      <c r="M106" s="125" t="n">
        <f aca="false">Nominal_Activity[[#This Row],[Debit]]-Nominal_Activity[[#This Row],[Credit]]</f>
        <v>450.57</v>
      </c>
      <c r="N106" s="149" t="str">
        <f aca="false">IF(C106="","",IFERROR(VLOOKUP(C106,Master_Mappings!$A$4:$E$85,3,FALSE()),"UNMAPPED"))</f>
        <v>Excluded — Project/Other</v>
      </c>
      <c r="O106" s="20" t="s">
        <v>1208</v>
      </c>
      <c r="P106" s="20" t="str">
        <f aca="false">IF($C106="","",$C106&amp;"|"&amp;$E106&amp;"|"&amp;$M106&amp;"|"&amp;TEXT($G106,"yyyy-mm-dd")&amp;"|"&amp;LEFT($J106,40))</f>
        <v>5200|43690|450.57|2026-04-30|Taxi from bus stop to home</v>
      </c>
      <c r="Q106" s="20" t="str">
        <f aca="false">IF(P106="","",IF(COUNTIF($P$2:$P$3000,P106)&gt;1,"DUPLICATE","OK"))</f>
        <v>OK</v>
      </c>
      <c r="R106" s="0" t="str">
        <f aca="false">IF($C106="","",IFERROR(VLOOKUP(--$C106,MM_Income!$Z$5:$AC$204,3,FALSE()),""))</f>
        <v>Recoverable</v>
      </c>
    </row>
    <row r="107" customFormat="false" ht="14.9" hidden="false" customHeight="false" outlineLevel="0" collapsed="false">
      <c r="A107" s="20" t="s">
        <v>49</v>
      </c>
      <c r="B107" s="20" t="s">
        <v>85</v>
      </c>
      <c r="C107" s="1" t="n">
        <v>5200</v>
      </c>
      <c r="D107" s="1" t="s">
        <v>683</v>
      </c>
      <c r="E107" s="1" t="n">
        <v>43691</v>
      </c>
      <c r="F107" s="1" t="s">
        <v>869</v>
      </c>
      <c r="G107" s="140" t="n">
        <v>46137</v>
      </c>
      <c r="H107" s="1" t="n">
        <v>1260</v>
      </c>
      <c r="I107" s="1" t="s">
        <v>998</v>
      </c>
      <c r="J107" s="1" t="s">
        <v>1001</v>
      </c>
      <c r="K107" s="1" t="n">
        <v>45</v>
      </c>
      <c r="M107" s="125" t="n">
        <f aca="false">Nominal_Activity[[#This Row],[Debit]]-Nominal_Activity[[#This Row],[Credit]]</f>
        <v>45</v>
      </c>
      <c r="N107" s="149" t="str">
        <f aca="false">IF(C107="","",IFERROR(VLOOKUP(C107,Master_Mappings!$A$4:$E$85,3,FALSE()),"UNMAPPED"))</f>
        <v>Excluded — Project/Other</v>
      </c>
      <c r="O107" s="20" t="s">
        <v>1208</v>
      </c>
      <c r="P107" s="20" t="str">
        <f aca="false">IF($C107="","",$C107&amp;"|"&amp;$E107&amp;"|"&amp;$M107&amp;"|"&amp;TEXT($G107,"yyyy-mm-dd")&amp;"|"&amp;LEFT($J107,40))</f>
        <v>5200|43691|45|2026-04-25|Uber from airport (after Sunti visit)</v>
      </c>
      <c r="Q107" s="20" t="str">
        <f aca="false">IF(P107="","",IF(COUNTIF($P$2:$P$3000,P107)&gt;1,"DUPLICATE","OK"))</f>
        <v>OK</v>
      </c>
      <c r="R107" s="0" t="str">
        <f aca="false">IF($C107="","",IFERROR(VLOOKUP(--$C107,MM_Income!$Z$5:$AC$204,3,FALSE()),""))</f>
        <v>Recoverable</v>
      </c>
    </row>
    <row r="108" customFormat="false" ht="14.9" hidden="false" customHeight="false" outlineLevel="0" collapsed="false">
      <c r="A108" s="20" t="s">
        <v>49</v>
      </c>
      <c r="B108" s="20" t="s">
        <v>85</v>
      </c>
      <c r="C108" s="1" t="n">
        <v>5200</v>
      </c>
      <c r="D108" s="1" t="s">
        <v>683</v>
      </c>
      <c r="E108" s="1" t="n">
        <v>43692</v>
      </c>
      <c r="F108" s="1" t="s">
        <v>869</v>
      </c>
      <c r="G108" s="140" t="n">
        <v>46131</v>
      </c>
      <c r="H108" s="1" t="n">
        <v>1260</v>
      </c>
      <c r="I108" s="1" t="s">
        <v>998</v>
      </c>
      <c r="J108" s="1" t="s">
        <v>1002</v>
      </c>
      <c r="K108" s="1" t="n">
        <v>150</v>
      </c>
      <c r="M108" s="125" t="n">
        <f aca="false">Nominal_Activity[[#This Row],[Debit]]-Nominal_Activity[[#This Row],[Credit]]</f>
        <v>150</v>
      </c>
      <c r="N108" s="149" t="str">
        <f aca="false">IF(C108="","",IFERROR(VLOOKUP(C108,Master_Mappings!$A$4:$E$85,3,FALSE()),"UNMAPPED"))</f>
        <v>Excluded — Project/Other</v>
      </c>
      <c r="O108" s="20" t="s">
        <v>1208</v>
      </c>
      <c r="P108" s="20" t="str">
        <f aca="false">IF($C108="","",$C108&amp;"|"&amp;$E108&amp;"|"&amp;$M108&amp;"|"&amp;TEXT($G108,"yyyy-mm-dd")&amp;"|"&amp;LEFT($J108,40))</f>
        <v>5200|43692|150|2026-04-19|Meals at airport</v>
      </c>
      <c r="Q108" s="20" t="str">
        <f aca="false">IF(P108="","",IF(COUNTIF($P$2:$P$3000,P108)&gt;1,"DUPLICATE","OK"))</f>
        <v>OK</v>
      </c>
      <c r="R108" s="0" t="str">
        <f aca="false">IF($C108="","",IFERROR(VLOOKUP(--$C108,MM_Income!$Z$5:$AC$204,3,FALSE()),""))</f>
        <v>Recoverable</v>
      </c>
    </row>
    <row r="109" customFormat="false" ht="14.9" hidden="false" customHeight="false" outlineLevel="0" collapsed="false">
      <c r="A109" s="20" t="s">
        <v>49</v>
      </c>
      <c r="B109" s="20" t="s">
        <v>85</v>
      </c>
      <c r="C109" s="1" t="n">
        <v>5200</v>
      </c>
      <c r="D109" s="1" t="s">
        <v>683</v>
      </c>
      <c r="E109" s="1" t="n">
        <v>43693</v>
      </c>
      <c r="F109" s="1" t="s">
        <v>869</v>
      </c>
      <c r="G109" s="140" t="n">
        <v>46131</v>
      </c>
      <c r="H109" s="1" t="n">
        <v>1260</v>
      </c>
      <c r="I109" s="1" t="s">
        <v>998</v>
      </c>
      <c r="J109" s="1" t="s">
        <v>1003</v>
      </c>
      <c r="K109" s="1" t="n">
        <v>88</v>
      </c>
      <c r="M109" s="125" t="n">
        <f aca="false">Nominal_Activity[[#This Row],[Debit]]-Nominal_Activity[[#This Row],[Credit]]</f>
        <v>88</v>
      </c>
      <c r="N109" s="149" t="str">
        <f aca="false">IF(C109="","",IFERROR(VLOOKUP(C109,Master_Mappings!$A$4:$E$85,3,FALSE()),"UNMAPPED"))</f>
        <v>Excluded — Project/Other</v>
      </c>
      <c r="O109" s="20" t="s">
        <v>1208</v>
      </c>
      <c r="P109" s="20" t="str">
        <f aca="false">IF($C109="","",$C109&amp;"|"&amp;$E109&amp;"|"&amp;$M109&amp;"|"&amp;TEXT($G109,"yyyy-mm-dd")&amp;"|"&amp;LEFT($J109,40))</f>
        <v>5200|43693|88|2026-04-19|Uber to airport (before Sunti visit)</v>
      </c>
      <c r="Q109" s="20" t="str">
        <f aca="false">IF(P109="","",IF(COUNTIF($P$2:$P$3000,P109)&gt;1,"DUPLICATE","OK"))</f>
        <v>OK</v>
      </c>
      <c r="R109" s="0" t="str">
        <f aca="false">IF($C109="","",IFERROR(VLOOKUP(--$C109,MM_Income!$Z$5:$AC$204,3,FALSE()),""))</f>
        <v>Recoverable</v>
      </c>
    </row>
    <row r="110" customFormat="false" ht="14.9" hidden="false" customHeight="false" outlineLevel="0" collapsed="false">
      <c r="A110" s="20" t="s">
        <v>49</v>
      </c>
      <c r="B110" s="20" t="s">
        <v>85</v>
      </c>
      <c r="C110" s="1" t="n">
        <v>5200</v>
      </c>
      <c r="D110" s="1" t="s">
        <v>683</v>
      </c>
      <c r="E110" s="1" t="n">
        <v>43694</v>
      </c>
      <c r="F110" s="1" t="s">
        <v>869</v>
      </c>
      <c r="G110" s="140" t="n">
        <v>46131</v>
      </c>
      <c r="H110" s="1" t="n">
        <v>1260</v>
      </c>
      <c r="I110" s="1" t="s">
        <v>998</v>
      </c>
      <c r="J110" s="1" t="s">
        <v>1004</v>
      </c>
      <c r="K110" s="1" t="n">
        <v>126</v>
      </c>
      <c r="M110" s="125" t="n">
        <f aca="false">Nominal_Activity[[#This Row],[Debit]]-Nominal_Activity[[#This Row],[Credit]]</f>
        <v>126</v>
      </c>
      <c r="N110" s="149" t="str">
        <f aca="false">IF(C110="","",IFERROR(VLOOKUP(C110,Master_Mappings!$A$4:$E$85,3,FALSE()),"UNMAPPED"))</f>
        <v>Excluded — Project/Other</v>
      </c>
      <c r="O110" s="20" t="s">
        <v>1208</v>
      </c>
      <c r="P110" s="20" t="str">
        <f aca="false">IF($C110="","",$C110&amp;"|"&amp;$E110&amp;"|"&amp;$M110&amp;"|"&amp;TEXT($G110,"yyyy-mm-dd")&amp;"|"&amp;LEFT($J110,40))</f>
        <v>5200|43694|126|2026-04-19|Uber from airport to home (after ASC in </v>
      </c>
      <c r="Q110" s="20" t="str">
        <f aca="false">IF(P110="","",IF(COUNTIF($P$2:$P$3000,P110)&gt;1,"DUPLICATE","OK"))</f>
        <v>OK</v>
      </c>
      <c r="R110" s="0" t="str">
        <f aca="false">IF($C110="","",IFERROR(VLOOKUP(--$C110,MM_Income!$Z$5:$AC$204,3,FALSE()),""))</f>
        <v>Recoverable</v>
      </c>
    </row>
    <row r="111" customFormat="false" ht="14.9" hidden="false" customHeight="false" outlineLevel="0" collapsed="false">
      <c r="A111" s="20" t="s">
        <v>49</v>
      </c>
      <c r="B111" s="20" t="s">
        <v>85</v>
      </c>
      <c r="C111" s="1" t="n">
        <v>5200</v>
      </c>
      <c r="D111" s="1" t="s">
        <v>683</v>
      </c>
      <c r="E111" s="1" t="n">
        <v>43695</v>
      </c>
      <c r="F111" s="1" t="s">
        <v>869</v>
      </c>
      <c r="G111" s="140" t="n">
        <v>46130</v>
      </c>
      <c r="H111" s="1" t="n">
        <v>1260</v>
      </c>
      <c r="I111" s="1" t="s">
        <v>998</v>
      </c>
      <c r="J111" s="1" t="s">
        <v>1005</v>
      </c>
      <c r="K111" s="1" t="n">
        <v>72.52</v>
      </c>
      <c r="M111" s="125" t="n">
        <f aca="false">Nominal_Activity[[#This Row],[Debit]]-Nominal_Activity[[#This Row],[Credit]]</f>
        <v>72.52</v>
      </c>
      <c r="N111" s="149" t="str">
        <f aca="false">IF(C111="","",IFERROR(VLOOKUP(C111,Master_Mappings!$A$4:$E$85,3,FALSE()),"UNMAPPED"))</f>
        <v>Excluded — Project/Other</v>
      </c>
      <c r="O111" s="20" t="s">
        <v>1208</v>
      </c>
      <c r="P111" s="20" t="str">
        <f aca="false">IF($C111="","",$C111&amp;"|"&amp;$E111&amp;"|"&amp;$M111&amp;"|"&amp;TEXT($G111,"yyyy-mm-dd")&amp;"|"&amp;LEFT($J111,40))</f>
        <v>5200|43695|72.52|2026-04-18|Uber to airport from Kempinski hotel (af</v>
      </c>
      <c r="Q111" s="20" t="str">
        <f aca="false">IF(P111="","",IF(COUNTIF($P$2:$P$3000,P111)&gt;1,"DUPLICATE","OK"))</f>
        <v>OK</v>
      </c>
      <c r="R111" s="0" t="str">
        <f aca="false">IF($C111="","",IFERROR(VLOOKUP(--$C111,MM_Income!$Z$5:$AC$204,3,FALSE()),""))</f>
        <v>Recoverable</v>
      </c>
    </row>
    <row r="112" customFormat="false" ht="14.9" hidden="false" customHeight="false" outlineLevel="0" collapsed="false">
      <c r="A112" s="20" t="s">
        <v>49</v>
      </c>
      <c r="B112" s="20" t="s">
        <v>85</v>
      </c>
      <c r="C112" s="1" t="n">
        <v>5200</v>
      </c>
      <c r="D112" s="1" t="s">
        <v>683</v>
      </c>
      <c r="E112" s="1" t="n">
        <v>43696</v>
      </c>
      <c r="F112" s="1" t="s">
        <v>869</v>
      </c>
      <c r="G112" s="140" t="n">
        <v>46126</v>
      </c>
      <c r="H112" s="1" t="n">
        <v>1260</v>
      </c>
      <c r="I112" s="1" t="s">
        <v>998</v>
      </c>
      <c r="J112" s="1" t="s">
        <v>1006</v>
      </c>
      <c r="K112" s="1" t="n">
        <v>139.87</v>
      </c>
      <c r="M112" s="125" t="n">
        <f aca="false">Nominal_Activity[[#This Row],[Debit]]-Nominal_Activity[[#This Row],[Credit]]</f>
        <v>139.87</v>
      </c>
      <c r="N112" s="149" t="str">
        <f aca="false">IF(C112="","",IFERROR(VLOOKUP(C112,Master_Mappings!$A$4:$E$85,3,FALSE()),"UNMAPPED"))</f>
        <v>Excluded — Project/Other</v>
      </c>
      <c r="O112" s="20" t="s">
        <v>1208</v>
      </c>
      <c r="P112" s="20" t="str">
        <f aca="false">IF($C112="","",$C112&amp;"|"&amp;$E112&amp;"|"&amp;$M112&amp;"|"&amp;TEXT($G112,"yyyy-mm-dd")&amp;"|"&amp;LEFT($J112,40))</f>
        <v>5200|43696|139.87|2026-04-14|Uber from airport to Kempinski hotel (be</v>
      </c>
      <c r="Q112" s="20" t="str">
        <f aca="false">IF(P112="","",IF(COUNTIF($P$2:$P$3000,P112)&gt;1,"DUPLICATE","OK"))</f>
        <v>OK</v>
      </c>
      <c r="R112" s="0" t="str">
        <f aca="false">IF($C112="","",IFERROR(VLOOKUP(--$C112,MM_Income!$Z$5:$AC$204,3,FALSE()),""))</f>
        <v>Recoverable</v>
      </c>
    </row>
    <row r="113" customFormat="false" ht="14.9" hidden="false" customHeight="false" outlineLevel="0" collapsed="false">
      <c r="A113" s="20" t="s">
        <v>49</v>
      </c>
      <c r="B113" s="20" t="s">
        <v>85</v>
      </c>
      <c r="C113" s="1" t="n">
        <v>5200</v>
      </c>
      <c r="D113" s="1" t="s">
        <v>683</v>
      </c>
      <c r="E113" s="1" t="n">
        <v>43697</v>
      </c>
      <c r="F113" s="1" t="s">
        <v>869</v>
      </c>
      <c r="G113" s="140" t="n">
        <v>46124</v>
      </c>
      <c r="H113" s="1" t="n">
        <v>1260</v>
      </c>
      <c r="I113" s="1" t="s">
        <v>998</v>
      </c>
      <c r="J113" s="1" t="s">
        <v>1007</v>
      </c>
      <c r="K113" s="1" t="n">
        <v>92</v>
      </c>
      <c r="M113" s="125" t="n">
        <f aca="false">Nominal_Activity[[#This Row],[Debit]]-Nominal_Activity[[#This Row],[Credit]]</f>
        <v>92</v>
      </c>
      <c r="N113" s="149" t="str">
        <f aca="false">IF(C113="","",IFERROR(VLOOKUP(C113,Master_Mappings!$A$4:$E$85,3,FALSE()),"UNMAPPED"))</f>
        <v>Excluded — Project/Other</v>
      </c>
      <c r="O113" s="20" t="s">
        <v>1208</v>
      </c>
      <c r="P113" s="20" t="str">
        <f aca="false">IF($C113="","",$C113&amp;"|"&amp;$E113&amp;"|"&amp;$M113&amp;"|"&amp;TEXT($G113,"yyyy-mm-dd")&amp;"|"&amp;LEFT($J113,40))</f>
        <v>5200|43697|92|2026-04-12|Uber to airport (before ASC in Nairobi)</v>
      </c>
      <c r="Q113" s="20" t="str">
        <f aca="false">IF(P113="","",IF(COUNTIF($P$2:$P$3000,P113)&gt;1,"DUPLICATE","OK"))</f>
        <v>OK</v>
      </c>
      <c r="R113" s="0" t="str">
        <f aca="false">IF($C113="","",IFERROR(VLOOKUP(--$C113,MM_Income!$Z$5:$AC$204,3,FALSE()),""))</f>
        <v>Recoverable</v>
      </c>
    </row>
    <row r="114" customFormat="false" ht="14.9" hidden="false" customHeight="false" outlineLevel="0" collapsed="false">
      <c r="A114" s="20" t="s">
        <v>49</v>
      </c>
      <c r="B114" s="20" t="s">
        <v>85</v>
      </c>
      <c r="C114" s="1" t="n">
        <v>5200</v>
      </c>
      <c r="D114" s="1" t="s">
        <v>683</v>
      </c>
      <c r="E114" s="1" t="n">
        <v>43698</v>
      </c>
      <c r="F114" s="1" t="s">
        <v>869</v>
      </c>
      <c r="G114" s="140" t="n">
        <v>46122</v>
      </c>
      <c r="H114" s="1" t="n">
        <v>1260</v>
      </c>
      <c r="I114" s="1" t="s">
        <v>998</v>
      </c>
      <c r="J114" s="1" t="s">
        <v>1008</v>
      </c>
      <c r="K114" s="1" t="n">
        <v>167</v>
      </c>
      <c r="M114" s="125" t="n">
        <f aca="false">Nominal_Activity[[#This Row],[Debit]]-Nominal_Activity[[#This Row],[Credit]]</f>
        <v>167</v>
      </c>
      <c r="N114" s="149" t="str">
        <f aca="false">IF(C114="","",IFERROR(VLOOKUP(C114,Master_Mappings!$A$4:$E$85,3,FALSE()),"UNMAPPED"))</f>
        <v>Excluded — Project/Other</v>
      </c>
      <c r="O114" s="20" t="s">
        <v>1208</v>
      </c>
      <c r="P114" s="20" t="str">
        <f aca="false">IF($C114="","",$C114&amp;"|"&amp;$E114&amp;"|"&amp;$M114&amp;"|"&amp;TEXT($G114,"yyyy-mm-dd")&amp;"|"&amp;LEFT($J114,40))</f>
        <v>5200|43698|167|2026-04-10|Bolt from airport to home (after Nigeria</v>
      </c>
      <c r="Q114" s="20" t="str">
        <f aca="false">IF(P114="","",IF(COUNTIF($P$2:$P$3000,P114)&gt;1,"DUPLICATE","OK"))</f>
        <v>OK</v>
      </c>
      <c r="R114" s="0" t="str">
        <f aca="false">IF($C114="","",IFERROR(VLOOKUP(--$C114,MM_Income!$Z$5:$AC$204,3,FALSE()),""))</f>
        <v>Recoverable</v>
      </c>
    </row>
    <row r="115" customFormat="false" ht="14.9" hidden="false" customHeight="false" outlineLevel="0" collapsed="false">
      <c r="A115" s="20" t="s">
        <v>49</v>
      </c>
      <c r="B115" s="20" t="s">
        <v>85</v>
      </c>
      <c r="C115" s="1" t="n">
        <v>5200</v>
      </c>
      <c r="D115" s="1" t="s">
        <v>683</v>
      </c>
      <c r="E115" s="1" t="n">
        <v>43699</v>
      </c>
      <c r="F115" s="1" t="s">
        <v>869</v>
      </c>
      <c r="G115" s="140" t="n">
        <v>46113</v>
      </c>
      <c r="H115" s="1" t="n">
        <v>1260</v>
      </c>
      <c r="I115" s="1" t="s">
        <v>998</v>
      </c>
      <c r="J115" s="1" t="s">
        <v>1009</v>
      </c>
      <c r="K115" s="1" t="n">
        <v>467.94</v>
      </c>
      <c r="M115" s="125" t="n">
        <f aca="false">Nominal_Activity[[#This Row],[Debit]]-Nominal_Activity[[#This Row],[Credit]]</f>
        <v>467.94</v>
      </c>
      <c r="N115" s="149" t="str">
        <f aca="false">IF(C115="","",IFERROR(VLOOKUP(C115,Master_Mappings!$A$4:$E$85,3,FALSE()),"UNMAPPED"))</f>
        <v>Excluded — Project/Other</v>
      </c>
      <c r="O115" s="20" t="s">
        <v>1208</v>
      </c>
      <c r="P115" s="20" t="str">
        <f aca="false">IF($C115="","",$C115&amp;"|"&amp;$E115&amp;"|"&amp;$M115&amp;"|"&amp;TEXT($G115,"yyyy-mm-dd")&amp;"|"&amp;LEFT($J115,40))</f>
        <v>5200|43699|467.94|2026-04-01|Taxi from home to bust station (UK)</v>
      </c>
      <c r="Q115" s="20" t="str">
        <f aca="false">IF(P115="","",IF(COUNTIF($P$2:$P$3000,P115)&gt;1,"DUPLICATE","OK"))</f>
        <v>OK</v>
      </c>
      <c r="R115" s="0" t="str">
        <f aca="false">IF($C115="","",IFERROR(VLOOKUP(--$C115,MM_Income!$Z$5:$AC$204,3,FALSE()),""))</f>
        <v>Recoverable</v>
      </c>
    </row>
    <row r="116" customFormat="false" ht="14.9" hidden="false" customHeight="false" outlineLevel="0" collapsed="false">
      <c r="A116" s="20" t="s">
        <v>49</v>
      </c>
      <c r="B116" s="20" t="s">
        <v>85</v>
      </c>
      <c r="C116" s="1" t="n">
        <v>5200</v>
      </c>
      <c r="D116" s="1" t="s">
        <v>683</v>
      </c>
      <c r="E116" s="1" t="n">
        <v>43700</v>
      </c>
      <c r="F116" s="1" t="s">
        <v>869</v>
      </c>
      <c r="G116" s="140" t="n">
        <v>46113</v>
      </c>
      <c r="H116" s="1" t="n">
        <v>1260</v>
      </c>
      <c r="I116" s="1" t="s">
        <v>998</v>
      </c>
      <c r="J116" s="1" t="s">
        <v>1010</v>
      </c>
      <c r="K116" s="1" t="n">
        <v>651.93</v>
      </c>
      <c r="M116" s="125" t="n">
        <f aca="false">Nominal_Activity[[#This Row],[Debit]]-Nominal_Activity[[#This Row],[Credit]]</f>
        <v>651.93</v>
      </c>
      <c r="N116" s="149" t="str">
        <f aca="false">IF(C116="","",IFERROR(VLOOKUP(C116,Master_Mappings!$A$4:$E$85,3,FALSE()),"UNMAPPED"))</f>
        <v>Excluded — Project/Other</v>
      </c>
      <c r="O116" s="20" t="s">
        <v>1208</v>
      </c>
      <c r="P116" s="20" t="str">
        <f aca="false">IF($C116="","",$C116&amp;"|"&amp;$E116&amp;"|"&amp;$M116&amp;"|"&amp;TEXT($G116,"yyyy-mm-dd")&amp;"|"&amp;LEFT($J116,40))</f>
        <v>5200|43700|651.93|2026-04-01|Bus from OXF to Gatwick and from Heathro</v>
      </c>
      <c r="Q116" s="20" t="str">
        <f aca="false">IF(P116="","",IF(COUNTIF($P$2:$P$3000,P116)&gt;1,"DUPLICATE","OK"))</f>
        <v>OK</v>
      </c>
      <c r="R116" s="0" t="str">
        <f aca="false">IF($C116="","",IFERROR(VLOOKUP(--$C116,MM_Income!$Z$5:$AC$204,3,FALSE()),""))</f>
        <v>Recoverable</v>
      </c>
    </row>
    <row r="117" customFormat="false" ht="14.9" hidden="false" customHeight="false" outlineLevel="0" collapsed="false">
      <c r="A117" s="20" t="s">
        <v>49</v>
      </c>
      <c r="B117" s="20" t="s">
        <v>85</v>
      </c>
      <c r="C117" s="1" t="n">
        <v>5200</v>
      </c>
      <c r="D117" s="1" t="s">
        <v>683</v>
      </c>
      <c r="E117" s="1" t="n">
        <v>43702</v>
      </c>
      <c r="F117" s="1" t="s">
        <v>869</v>
      </c>
      <c r="G117" s="140" t="n">
        <v>46113</v>
      </c>
      <c r="H117" s="1" t="n">
        <v>1260</v>
      </c>
      <c r="I117" s="1" t="s">
        <v>1011</v>
      </c>
      <c r="J117" s="1" t="s">
        <v>1012</v>
      </c>
      <c r="K117" s="1" t="n">
        <v>12984</v>
      </c>
      <c r="M117" s="125" t="n">
        <f aca="false">Nominal_Activity[[#This Row],[Debit]]-Nominal_Activity[[#This Row],[Credit]]</f>
        <v>12984</v>
      </c>
      <c r="N117" s="149" t="str">
        <f aca="false">IF(C117="","",IFERROR(VLOOKUP(C117,Master_Mappings!$A$4:$E$85,3,FALSE()),"UNMAPPED"))</f>
        <v>Excluded — Project/Other</v>
      </c>
      <c r="O117" s="20" t="s">
        <v>1208</v>
      </c>
      <c r="P117" s="20" t="str">
        <f aca="false">IF($C117="","",$C117&amp;"|"&amp;$E117&amp;"|"&amp;$M117&amp;"|"&amp;TEXT($G117,"yyyy-mm-dd")&amp;"|"&amp;LEFT($J117,40))</f>
        <v>5200|43702|12984|2026-04-01|Meals</v>
      </c>
      <c r="Q117" s="20" t="str">
        <f aca="false">IF(P117="","",IF(COUNTIF($P$2:$P$3000,P117)&gt;1,"DUPLICATE","OK"))</f>
        <v>OK</v>
      </c>
      <c r="R117" s="0" t="str">
        <f aca="false">IF($C117="","",IFERROR(VLOOKUP(--$C117,MM_Income!$Z$5:$AC$204,3,FALSE()),""))</f>
        <v>Recoverable</v>
      </c>
    </row>
    <row r="118" customFormat="false" ht="14.9" hidden="false" customHeight="false" outlineLevel="0" collapsed="false">
      <c r="A118" s="20" t="s">
        <v>49</v>
      </c>
      <c r="B118" s="20" t="s">
        <v>85</v>
      </c>
      <c r="C118" s="1" t="n">
        <v>5200</v>
      </c>
      <c r="D118" s="1" t="s">
        <v>683</v>
      </c>
      <c r="E118" s="1" t="n">
        <v>43703</v>
      </c>
      <c r="F118" s="1" t="s">
        <v>869</v>
      </c>
      <c r="G118" s="140" t="n">
        <v>46113</v>
      </c>
      <c r="H118" s="1" t="n">
        <v>1260</v>
      </c>
      <c r="I118" s="1" t="s">
        <v>1011</v>
      </c>
      <c r="J118" s="1" t="s">
        <v>1013</v>
      </c>
      <c r="K118" s="1" t="n">
        <v>25945.95</v>
      </c>
      <c r="M118" s="125" t="n">
        <f aca="false">Nominal_Activity[[#This Row],[Debit]]-Nominal_Activity[[#This Row],[Credit]]</f>
        <v>25945.95</v>
      </c>
      <c r="N118" s="149" t="str">
        <f aca="false">IF(C118="","",IFERROR(VLOOKUP(C118,Master_Mappings!$A$4:$E$85,3,FALSE()),"UNMAPPED"))</f>
        <v>Excluded — Project/Other</v>
      </c>
      <c r="O118" s="20" t="s">
        <v>1208</v>
      </c>
      <c r="P118" s="20" t="str">
        <f aca="false">IF($C118="","",$C118&amp;"|"&amp;$E118&amp;"|"&amp;$M118&amp;"|"&amp;TEXT($G118,"yyyy-mm-dd")&amp;"|"&amp;LEFT($J118,40))</f>
        <v>5200|43703|25945.95|2026-04-01|Vehicle rental</v>
      </c>
      <c r="Q118" s="20" t="str">
        <f aca="false">IF(P118="","",IF(COUNTIF($P$2:$P$3000,P118)&gt;1,"DUPLICATE","OK"))</f>
        <v>OK</v>
      </c>
      <c r="R118" s="0" t="str">
        <f aca="false">IF($C118="","",IFERROR(VLOOKUP(--$C118,MM_Income!$Z$5:$AC$204,3,FALSE()),""))</f>
        <v>Recoverable</v>
      </c>
    </row>
    <row r="119" customFormat="false" ht="14.9" hidden="false" customHeight="false" outlineLevel="0" collapsed="false">
      <c r="A119" s="20" t="s">
        <v>49</v>
      </c>
      <c r="B119" s="20" t="s">
        <v>85</v>
      </c>
      <c r="C119" s="1" t="n">
        <v>5200</v>
      </c>
      <c r="D119" s="1" t="s">
        <v>683</v>
      </c>
      <c r="E119" s="1" t="n">
        <v>43704</v>
      </c>
      <c r="F119" s="1" t="s">
        <v>869</v>
      </c>
      <c r="G119" s="140" t="n">
        <v>46113</v>
      </c>
      <c r="H119" s="1" t="n">
        <v>1260</v>
      </c>
      <c r="I119" s="1" t="s">
        <v>1011</v>
      </c>
      <c r="J119" s="1" t="s">
        <v>1014</v>
      </c>
      <c r="K119" s="1" t="n">
        <v>10800</v>
      </c>
      <c r="M119" s="125" t="n">
        <f aca="false">Nominal_Activity[[#This Row],[Debit]]-Nominal_Activity[[#This Row],[Credit]]</f>
        <v>10800</v>
      </c>
      <c r="N119" s="149" t="str">
        <f aca="false">IF(C119="","",IFERROR(VLOOKUP(C119,Master_Mappings!$A$4:$E$85,3,FALSE()),"UNMAPPED"))</f>
        <v>Excluded — Project/Other</v>
      </c>
      <c r="O119" s="20" t="s">
        <v>1208</v>
      </c>
      <c r="P119" s="20" t="str">
        <f aca="false">IF($C119="","",$C119&amp;"|"&amp;$E119&amp;"|"&amp;$M119&amp;"|"&amp;TEXT($G119,"yyyy-mm-dd")&amp;"|"&amp;LEFT($J119,40))</f>
        <v>5200|43704|10800|2026-04-01|Accommodation</v>
      </c>
      <c r="Q119" s="20" t="str">
        <f aca="false">IF(P119="","",IF(COUNTIF($P$2:$P$3000,P119)&gt;1,"DUPLICATE","OK"))</f>
        <v>OK</v>
      </c>
      <c r="R119" s="0" t="str">
        <f aca="false">IF($C119="","",IFERROR(VLOOKUP(--$C119,MM_Income!$Z$5:$AC$204,3,FALSE()),""))</f>
        <v>Recoverable</v>
      </c>
    </row>
    <row r="120" customFormat="false" ht="14.9" hidden="false" customHeight="false" outlineLevel="0" collapsed="false">
      <c r="A120" s="20" t="s">
        <v>49</v>
      </c>
      <c r="B120" s="20" t="s">
        <v>85</v>
      </c>
      <c r="C120" s="1" t="n">
        <v>5200</v>
      </c>
      <c r="D120" s="1" t="s">
        <v>683</v>
      </c>
      <c r="E120" s="1" t="n">
        <v>43705</v>
      </c>
      <c r="F120" s="1" t="s">
        <v>869</v>
      </c>
      <c r="G120" s="140" t="n">
        <v>46113</v>
      </c>
      <c r="H120" s="1" t="n">
        <v>1260</v>
      </c>
      <c r="I120" s="1" t="s">
        <v>1011</v>
      </c>
      <c r="J120" s="1" t="s">
        <v>1015</v>
      </c>
      <c r="K120" s="1" t="n">
        <v>1013</v>
      </c>
      <c r="M120" s="125" t="n">
        <f aca="false">Nominal_Activity[[#This Row],[Debit]]-Nominal_Activity[[#This Row],[Credit]]</f>
        <v>1013</v>
      </c>
      <c r="N120" s="149" t="str">
        <f aca="false">IF(C120="","",IFERROR(VLOOKUP(C120,Master_Mappings!$A$4:$E$85,3,FALSE()),"UNMAPPED"))</f>
        <v>Excluded — Project/Other</v>
      </c>
      <c r="O120" s="20" t="s">
        <v>1208</v>
      </c>
      <c r="P120" s="20" t="str">
        <f aca="false">IF($C120="","",$C120&amp;"|"&amp;$E120&amp;"|"&amp;$M120&amp;"|"&amp;TEXT($G120,"yyyy-mm-dd")&amp;"|"&amp;LEFT($J120,40))</f>
        <v>5200|43705|1013|2026-04-01|Drinks and snack for stakeholders</v>
      </c>
      <c r="Q120" s="20" t="str">
        <f aca="false">IF(P120="","",IF(COUNTIF($P$2:$P$3000,P120)&gt;1,"DUPLICATE","OK"))</f>
        <v>OK</v>
      </c>
      <c r="R120" s="0" t="str">
        <f aca="false">IF($C120="","",IFERROR(VLOOKUP(--$C120,MM_Income!$Z$5:$AC$204,3,FALSE()),""))</f>
        <v>Recoverable</v>
      </c>
    </row>
    <row r="121" customFormat="false" ht="14.9" hidden="false" customHeight="false" outlineLevel="0" collapsed="false">
      <c r="A121" s="20" t="s">
        <v>49</v>
      </c>
      <c r="B121" s="20" t="s">
        <v>85</v>
      </c>
      <c r="C121" s="1" t="n">
        <v>5200</v>
      </c>
      <c r="D121" s="1" t="s">
        <v>683</v>
      </c>
      <c r="E121" s="1" t="n">
        <v>43707</v>
      </c>
      <c r="F121" s="1" t="s">
        <v>869</v>
      </c>
      <c r="G121" s="140" t="n">
        <v>46113</v>
      </c>
      <c r="H121" s="1" t="n">
        <v>1260</v>
      </c>
      <c r="I121" s="1" t="s">
        <v>1011</v>
      </c>
      <c r="J121" s="1" t="s">
        <v>1017</v>
      </c>
      <c r="K121" s="1" t="n">
        <v>6948</v>
      </c>
      <c r="M121" s="125" t="n">
        <f aca="false">Nominal_Activity[[#This Row],[Debit]]-Nominal_Activity[[#This Row],[Credit]]</f>
        <v>6948</v>
      </c>
      <c r="N121" s="149" t="str">
        <f aca="false">IF(C121="","",IFERROR(VLOOKUP(C121,Master_Mappings!$A$4:$E$85,3,FALSE()),"UNMAPPED"))</f>
        <v>Excluded — Project/Other</v>
      </c>
      <c r="O121" s="20" t="s">
        <v>1208</v>
      </c>
      <c r="P121" s="20" t="str">
        <f aca="false">IF($C121="","",$C121&amp;"|"&amp;$E121&amp;"|"&amp;$M121&amp;"|"&amp;TEXT($G121,"yyyy-mm-dd")&amp;"|"&amp;LEFT($J121,40))</f>
        <v>5200|43707|6948|2026-04-01|Fuel</v>
      </c>
      <c r="Q121" s="20" t="str">
        <f aca="false">IF(P121="","",IF(COUNTIF($P$2:$P$3000,P121)&gt;1,"DUPLICATE","OK"))</f>
        <v>OK</v>
      </c>
      <c r="R121" s="0" t="str">
        <f aca="false">IF($C121="","",IFERROR(VLOOKUP(--$C121,MM_Income!$Z$5:$AC$204,3,FALSE()),""))</f>
        <v>Recoverable</v>
      </c>
    </row>
    <row r="122" customFormat="false" ht="14.9" hidden="false" customHeight="false" outlineLevel="0" collapsed="false">
      <c r="A122" s="20" t="s">
        <v>49</v>
      </c>
      <c r="B122" s="20" t="s">
        <v>85</v>
      </c>
      <c r="C122" s="1" t="n">
        <v>5200</v>
      </c>
      <c r="D122" s="1" t="s">
        <v>683</v>
      </c>
      <c r="E122" s="1" t="n">
        <v>43708</v>
      </c>
      <c r="F122" s="1" t="s">
        <v>869</v>
      </c>
      <c r="G122" s="140" t="n">
        <v>46119</v>
      </c>
      <c r="H122" s="1" t="n">
        <v>1260</v>
      </c>
      <c r="I122" s="1" t="s">
        <v>1011</v>
      </c>
      <c r="J122" s="1" t="s">
        <v>1018</v>
      </c>
      <c r="K122" s="1" t="n">
        <v>3418.57</v>
      </c>
      <c r="M122" s="125" t="n">
        <f aca="false">Nominal_Activity[[#This Row],[Debit]]-Nominal_Activity[[#This Row],[Credit]]</f>
        <v>3418.57</v>
      </c>
      <c r="N122" s="149" t="str">
        <f aca="false">IF(C122="","",IFERROR(VLOOKUP(C122,Master_Mappings!$A$4:$E$85,3,FALSE()),"UNMAPPED"))</f>
        <v>Excluded — Project/Other</v>
      </c>
      <c r="O122" s="20" t="s">
        <v>1208</v>
      </c>
      <c r="P122" s="20" t="str">
        <f aca="false">IF($C122="","",$C122&amp;"|"&amp;$E122&amp;"|"&amp;$M122&amp;"|"&amp;TEXT($G122,"yyyy-mm-dd")&amp;"|"&amp;LEFT($J122,40))</f>
        <v>5200|43708|3418.57|2026-04-07|Other food and drinks</v>
      </c>
      <c r="Q122" s="20" t="str">
        <f aca="false">IF(P122="","",IF(COUNTIF($P$2:$P$3000,P122)&gt;1,"DUPLICATE","OK"))</f>
        <v>OK</v>
      </c>
      <c r="R122" s="0" t="str">
        <f aca="false">IF($C122="","",IFERROR(VLOOKUP(--$C122,MM_Income!$Z$5:$AC$204,3,FALSE()),""))</f>
        <v>Recoverable</v>
      </c>
    </row>
    <row r="123" customFormat="false" ht="14.9" hidden="false" customHeight="false" outlineLevel="0" collapsed="false">
      <c r="A123" s="20" t="s">
        <v>49</v>
      </c>
      <c r="B123" s="20" t="s">
        <v>85</v>
      </c>
      <c r="C123" s="1" t="n">
        <v>5200</v>
      </c>
      <c r="D123" s="1" t="s">
        <v>683</v>
      </c>
      <c r="E123" s="1" t="n">
        <v>43709</v>
      </c>
      <c r="F123" s="1" t="s">
        <v>869</v>
      </c>
      <c r="G123" s="140" t="n">
        <v>46117</v>
      </c>
      <c r="H123" s="1" t="n">
        <v>1260</v>
      </c>
      <c r="I123" s="1" t="s">
        <v>1011</v>
      </c>
      <c r="J123" s="1" t="s">
        <v>1019</v>
      </c>
      <c r="K123" s="1" t="n">
        <v>240</v>
      </c>
      <c r="M123" s="125" t="n">
        <f aca="false">Nominal_Activity[[#This Row],[Debit]]-Nominal_Activity[[#This Row],[Credit]]</f>
        <v>240</v>
      </c>
      <c r="N123" s="149" t="str">
        <f aca="false">IF(C123="","",IFERROR(VLOOKUP(C123,Master_Mappings!$A$4:$E$85,3,FALSE()),"UNMAPPED"))</f>
        <v>Excluded — Project/Other</v>
      </c>
      <c r="O123" s="20" t="s">
        <v>1208</v>
      </c>
      <c r="P123" s="20" t="str">
        <f aca="false">IF($C123="","",$C123&amp;"|"&amp;$E123&amp;"|"&amp;$M123&amp;"|"&amp;TEXT($G123,"yyyy-mm-dd")&amp;"|"&amp;LEFT($J123,40))</f>
        <v>5200|43709|240|2026-04-05|Bolt</v>
      </c>
      <c r="Q123" s="20" t="str">
        <f aca="false">IF(P123="","",IF(COUNTIF($P$2:$P$3000,P123)&gt;1,"DUPLICATE","OK"))</f>
        <v>OK</v>
      </c>
      <c r="R123" s="0" t="str">
        <f aca="false">IF($C123="","",IFERROR(VLOOKUP(--$C123,MM_Income!$Z$5:$AC$204,3,FALSE()),""))</f>
        <v>Recoverable</v>
      </c>
    </row>
    <row r="124" customFormat="false" ht="14.9" hidden="false" customHeight="false" outlineLevel="0" collapsed="false">
      <c r="A124" s="20" t="s">
        <v>49</v>
      </c>
      <c r="B124" s="20" t="s">
        <v>85</v>
      </c>
      <c r="C124" s="1" t="n">
        <v>5200</v>
      </c>
      <c r="D124" s="1" t="s">
        <v>683</v>
      </c>
      <c r="E124" s="1" t="n">
        <v>43710</v>
      </c>
      <c r="F124" s="1" t="s">
        <v>869</v>
      </c>
      <c r="G124" s="140" t="n">
        <v>46117</v>
      </c>
      <c r="H124" s="1" t="n">
        <v>1260</v>
      </c>
      <c r="I124" s="1" t="s">
        <v>1011</v>
      </c>
      <c r="J124" s="1" t="s">
        <v>1020</v>
      </c>
      <c r="K124" s="1" t="n">
        <v>585.71</v>
      </c>
      <c r="M124" s="125" t="n">
        <f aca="false">Nominal_Activity[[#This Row],[Debit]]-Nominal_Activity[[#This Row],[Credit]]</f>
        <v>585.71</v>
      </c>
      <c r="N124" s="149" t="str">
        <f aca="false">IF(C124="","",IFERROR(VLOOKUP(C124,Master_Mappings!$A$4:$E$85,3,FALSE()),"UNMAPPED"))</f>
        <v>Excluded — Project/Other</v>
      </c>
      <c r="O124" s="20" t="s">
        <v>1208</v>
      </c>
      <c r="P124" s="20" t="str">
        <f aca="false">IF($C124="","",$C124&amp;"|"&amp;$E124&amp;"|"&amp;$M124&amp;"|"&amp;TEXT($G124,"yyyy-mm-dd")&amp;"|"&amp;LEFT($J124,40))</f>
        <v>5200|43710|585.71|2026-04-05|Food and drinks in Abidjan</v>
      </c>
      <c r="Q124" s="20" t="str">
        <f aca="false">IF(P124="","",IF(COUNTIF($P$2:$P$3000,P124)&gt;1,"DUPLICATE","OK"))</f>
        <v>OK</v>
      </c>
      <c r="R124" s="0" t="str">
        <f aca="false">IF($C124="","",IFERROR(VLOOKUP(--$C124,MM_Income!$Z$5:$AC$204,3,FALSE()),""))</f>
        <v>Recoverable</v>
      </c>
    </row>
    <row r="125" customFormat="false" ht="14.9" hidden="false" customHeight="false" outlineLevel="0" collapsed="false">
      <c r="A125" s="20" t="s">
        <v>49</v>
      </c>
      <c r="B125" s="20" t="s">
        <v>85</v>
      </c>
      <c r="C125" s="1" t="n">
        <v>5200</v>
      </c>
      <c r="D125" s="1" t="s">
        <v>683</v>
      </c>
      <c r="E125" s="1" t="n">
        <v>43711</v>
      </c>
      <c r="F125" s="1" t="s">
        <v>869</v>
      </c>
      <c r="G125" s="140" t="n">
        <v>46117</v>
      </c>
      <c r="H125" s="1" t="n">
        <v>1260</v>
      </c>
      <c r="I125" s="1" t="s">
        <v>1011</v>
      </c>
      <c r="J125" s="1" t="s">
        <v>1021</v>
      </c>
      <c r="K125" s="1" t="n">
        <v>2457.14</v>
      </c>
      <c r="M125" s="125" t="n">
        <f aca="false">Nominal_Activity[[#This Row],[Debit]]-Nominal_Activity[[#This Row],[Credit]]</f>
        <v>2457.14</v>
      </c>
      <c r="N125" s="149" t="str">
        <f aca="false">IF(C125="","",IFERROR(VLOOKUP(C125,Master_Mappings!$A$4:$E$85,3,FALSE()),"UNMAPPED"))</f>
        <v>Excluded — Project/Other</v>
      </c>
      <c r="O125" s="20" t="s">
        <v>1208</v>
      </c>
      <c r="P125" s="20" t="str">
        <f aca="false">IF($C125="","",$C125&amp;"|"&amp;$E125&amp;"|"&amp;$M125&amp;"|"&amp;TEXT($G125,"yyyy-mm-dd")&amp;"|"&amp;LEFT($J125,40))</f>
        <v>5200|43711|2457.14|2026-04-05|Hotel in Abidjan</v>
      </c>
      <c r="Q125" s="20" t="str">
        <f aca="false">IF(P125="","",IF(COUNTIF($P$2:$P$3000,P125)&gt;1,"DUPLICATE","OK"))</f>
        <v>OK</v>
      </c>
      <c r="R125" s="0" t="str">
        <f aca="false">IF($C125="","",IFERROR(VLOOKUP(--$C125,MM_Income!$Z$5:$AC$204,3,FALSE()),""))</f>
        <v>Recoverable</v>
      </c>
    </row>
    <row r="126" customFormat="false" ht="14.9" hidden="false" customHeight="false" outlineLevel="0" collapsed="false">
      <c r="A126" s="20" t="s">
        <v>49</v>
      </c>
      <c r="B126" s="20" t="s">
        <v>85</v>
      </c>
      <c r="C126" s="1" t="n">
        <v>5200</v>
      </c>
      <c r="D126" s="1" t="s">
        <v>683</v>
      </c>
      <c r="E126" s="1" t="n">
        <v>43712</v>
      </c>
      <c r="F126" s="1" t="s">
        <v>869</v>
      </c>
      <c r="G126" s="140" t="n">
        <v>46117</v>
      </c>
      <c r="H126" s="1" t="n">
        <v>1260</v>
      </c>
      <c r="I126" s="1" t="s">
        <v>1011</v>
      </c>
      <c r="J126" s="1" t="s">
        <v>1022</v>
      </c>
      <c r="K126" s="1" t="n">
        <v>36375</v>
      </c>
      <c r="M126" s="125" t="n">
        <f aca="false">Nominal_Activity[[#This Row],[Debit]]-Nominal_Activity[[#This Row],[Credit]]</f>
        <v>36375</v>
      </c>
      <c r="N126" s="149" t="str">
        <f aca="false">IF(C126="","",IFERROR(VLOOKUP(C126,Master_Mappings!$A$4:$E$85,3,FALSE()),"UNMAPPED"))</f>
        <v>Excluded — Project/Other</v>
      </c>
      <c r="O126" s="20" t="s">
        <v>1208</v>
      </c>
      <c r="P126" s="20" t="str">
        <f aca="false">IF($C126="","",$C126&amp;"|"&amp;$E126&amp;"|"&amp;$M126&amp;"|"&amp;TEXT($G126,"yyyy-mm-dd")&amp;"|"&amp;LEFT($J126,40))</f>
        <v>5200|43712|36375|2026-04-05|Fuel and driver</v>
      </c>
      <c r="Q126" s="20" t="str">
        <f aca="false">IF(P126="","",IF(COUNTIF($P$2:$P$3000,P126)&gt;1,"DUPLICATE","OK"))</f>
        <v>OK</v>
      </c>
      <c r="R126" s="0" t="str">
        <f aca="false">IF($C126="","",IFERROR(VLOOKUP(--$C126,MM_Income!$Z$5:$AC$204,3,FALSE()),""))</f>
        <v>Recoverable</v>
      </c>
    </row>
    <row r="127" customFormat="false" ht="14.9" hidden="false" customHeight="false" outlineLevel="0" collapsed="false">
      <c r="A127" s="20" t="s">
        <v>49</v>
      </c>
      <c r="B127" s="20" t="s">
        <v>85</v>
      </c>
      <c r="C127" s="1" t="n">
        <v>5200</v>
      </c>
      <c r="D127" s="1" t="s">
        <v>683</v>
      </c>
      <c r="E127" s="1" t="n">
        <v>43713</v>
      </c>
      <c r="F127" s="1" t="s">
        <v>869</v>
      </c>
      <c r="G127" s="140" t="n">
        <v>46117</v>
      </c>
      <c r="H127" s="1" t="n">
        <v>1260</v>
      </c>
      <c r="I127" s="1" t="s">
        <v>1011</v>
      </c>
      <c r="J127" s="1" t="s">
        <v>1013</v>
      </c>
      <c r="K127" s="1" t="n">
        <v>19028.57</v>
      </c>
      <c r="M127" s="125" t="n">
        <f aca="false">Nominal_Activity[[#This Row],[Debit]]-Nominal_Activity[[#This Row],[Credit]]</f>
        <v>19028.57</v>
      </c>
      <c r="N127" s="149" t="str">
        <f aca="false">IF(C127="","",IFERROR(VLOOKUP(C127,Master_Mappings!$A$4:$E$85,3,FALSE()),"UNMAPPED"))</f>
        <v>Excluded — Project/Other</v>
      </c>
      <c r="O127" s="20" t="s">
        <v>1208</v>
      </c>
      <c r="P127" s="20" t="str">
        <f aca="false">IF($C127="","",$C127&amp;"|"&amp;$E127&amp;"|"&amp;$M127&amp;"|"&amp;TEXT($G127,"yyyy-mm-dd")&amp;"|"&amp;LEFT($J127,40))</f>
        <v>5200|43713|19028.57|2026-04-05|Vehicle rental</v>
      </c>
      <c r="Q127" s="20" t="str">
        <f aca="false">IF(P127="","",IF(COUNTIF($P$2:$P$3000,P127)&gt;1,"DUPLICATE","OK"))</f>
        <v>OK</v>
      </c>
      <c r="R127" s="0" t="str">
        <f aca="false">IF($C127="","",IFERROR(VLOOKUP(--$C127,MM_Income!$Z$5:$AC$204,3,FALSE()),""))</f>
        <v>Recoverable</v>
      </c>
    </row>
    <row r="128" customFormat="false" ht="14.9" hidden="false" customHeight="false" outlineLevel="0" collapsed="false">
      <c r="A128" s="20" t="s">
        <v>49</v>
      </c>
      <c r="B128" s="20" t="s">
        <v>85</v>
      </c>
      <c r="C128" s="1" t="n">
        <v>5200</v>
      </c>
      <c r="D128" s="1" t="s">
        <v>683</v>
      </c>
      <c r="E128" s="1" t="n">
        <v>43714</v>
      </c>
      <c r="F128" s="1" t="s">
        <v>869</v>
      </c>
      <c r="G128" s="140" t="n">
        <v>46115</v>
      </c>
      <c r="H128" s="1" t="n">
        <v>1260</v>
      </c>
      <c r="I128" s="1" t="s">
        <v>1011</v>
      </c>
      <c r="J128" s="1" t="s">
        <v>1023</v>
      </c>
      <c r="K128" s="1" t="n">
        <v>14597.14</v>
      </c>
      <c r="M128" s="125" t="n">
        <f aca="false">Nominal_Activity[[#This Row],[Debit]]-Nominal_Activity[[#This Row],[Credit]]</f>
        <v>14597.14</v>
      </c>
      <c r="N128" s="149" t="str">
        <f aca="false">IF(C128="","",IFERROR(VLOOKUP(C128,Master_Mappings!$A$4:$E$85,3,FALSE()),"UNMAPPED"))</f>
        <v>Excluded — Project/Other</v>
      </c>
      <c r="O128" s="20" t="s">
        <v>1208</v>
      </c>
      <c r="P128" s="20" t="str">
        <f aca="false">IF($C128="","",$C128&amp;"|"&amp;$E128&amp;"|"&amp;$M128&amp;"|"&amp;TEXT($G128,"yyyy-mm-dd")&amp;"|"&amp;LEFT($J128,40))</f>
        <v>5200|43714|14597.14|2026-04-03|Accommodation in Bouake</v>
      </c>
      <c r="Q128" s="20" t="str">
        <f aca="false">IF(P128="","",IF(COUNTIF($P$2:$P$3000,P128)&gt;1,"DUPLICATE","OK"))</f>
        <v>OK</v>
      </c>
      <c r="R128" s="0" t="str">
        <f aca="false">IF($C128="","",IFERROR(VLOOKUP(--$C128,MM_Income!$Z$5:$AC$204,3,FALSE()),""))</f>
        <v>Recoverable</v>
      </c>
    </row>
    <row r="129" customFormat="false" ht="14.9" hidden="false" customHeight="false" outlineLevel="0" collapsed="false">
      <c r="A129" s="20" t="s">
        <v>49</v>
      </c>
      <c r="B129" s="20" t="s">
        <v>85</v>
      </c>
      <c r="C129" s="1" t="n">
        <v>5200</v>
      </c>
      <c r="D129" s="1" t="s">
        <v>683</v>
      </c>
      <c r="E129" s="1" t="n">
        <v>43715</v>
      </c>
      <c r="F129" s="1" t="s">
        <v>869</v>
      </c>
      <c r="G129" s="140" t="n">
        <v>46115</v>
      </c>
      <c r="H129" s="1" t="n">
        <v>1260</v>
      </c>
      <c r="I129" s="1" t="s">
        <v>1011</v>
      </c>
      <c r="J129" s="1" t="s">
        <v>1024</v>
      </c>
      <c r="K129" s="1" t="n">
        <v>7112</v>
      </c>
      <c r="M129" s="125" t="n">
        <f aca="false">Nominal_Activity[[#This Row],[Debit]]-Nominal_Activity[[#This Row],[Credit]]</f>
        <v>7112</v>
      </c>
      <c r="N129" s="149" t="str">
        <f aca="false">IF(C129="","",IFERROR(VLOOKUP(C129,Master_Mappings!$A$4:$E$85,3,FALSE()),"UNMAPPED"))</f>
        <v>Excluded — Project/Other</v>
      </c>
      <c r="O129" s="20" t="s">
        <v>1208</v>
      </c>
      <c r="P129" s="20" t="str">
        <f aca="false">IF($C129="","",$C129&amp;"|"&amp;$E129&amp;"|"&amp;$M129&amp;"|"&amp;TEXT($G129,"yyyy-mm-dd")&amp;"|"&amp;LEFT($J129,40))</f>
        <v>5200|43715|7112|2026-04-03|Food and drinks at the hotel in Bouake</v>
      </c>
      <c r="Q129" s="20" t="str">
        <f aca="false">IF(P129="","",IF(COUNTIF($P$2:$P$3000,P129)&gt;1,"DUPLICATE","OK"))</f>
        <v>OK</v>
      </c>
      <c r="R129" s="0" t="str">
        <f aca="false">IF($C129="","",IFERROR(VLOOKUP(--$C129,MM_Income!$Z$5:$AC$204,3,FALSE()),""))</f>
        <v>Recoverable</v>
      </c>
    </row>
    <row r="130" customFormat="false" ht="14.9" hidden="false" customHeight="false" outlineLevel="0" collapsed="false">
      <c r="A130" s="20" t="s">
        <v>49</v>
      </c>
      <c r="B130" s="20" t="s">
        <v>85</v>
      </c>
      <c r="C130" s="1" t="n">
        <v>5200</v>
      </c>
      <c r="D130" s="1" t="s">
        <v>683</v>
      </c>
      <c r="E130" s="1" t="n">
        <v>43716</v>
      </c>
      <c r="F130" s="1" t="s">
        <v>869</v>
      </c>
      <c r="G130" s="140" t="n">
        <v>46113</v>
      </c>
      <c r="H130" s="1" t="n">
        <v>1260</v>
      </c>
      <c r="I130" s="1" t="s">
        <v>1011</v>
      </c>
      <c r="J130" s="1" t="s">
        <v>1025</v>
      </c>
      <c r="K130" s="1" t="n">
        <v>2285.71</v>
      </c>
      <c r="M130" s="125" t="n">
        <f aca="false">Nominal_Activity[[#This Row],[Debit]]-Nominal_Activity[[#This Row],[Credit]]</f>
        <v>2285.71</v>
      </c>
      <c r="N130" s="149" t="str">
        <f aca="false">IF(C130="","",IFERROR(VLOOKUP(C130,Master_Mappings!$A$4:$E$85,3,FALSE()),"UNMAPPED"))</f>
        <v>Excluded — Project/Other</v>
      </c>
      <c r="O130" s="20" t="s">
        <v>1208</v>
      </c>
      <c r="P130" s="20" t="str">
        <f aca="false">IF($C130="","",$C130&amp;"|"&amp;$E130&amp;"|"&amp;$M130&amp;"|"&amp;TEXT($G130,"yyyy-mm-dd")&amp;"|"&amp;LEFT($J130,40))</f>
        <v>5200|43716|2285.71|2026-04-01|Allowance for bikers</v>
      </c>
      <c r="Q130" s="20" t="str">
        <f aca="false">IF(P130="","",IF(COUNTIF($P$2:$P$3000,P130)&gt;1,"DUPLICATE","OK"))</f>
        <v>OK</v>
      </c>
      <c r="R130" s="0" t="str">
        <f aca="false">IF($C130="","",IFERROR(VLOOKUP(--$C130,MM_Income!$Z$5:$AC$204,3,FALSE()),""))</f>
        <v>Recoverable</v>
      </c>
    </row>
    <row r="131" customFormat="false" ht="14.9" hidden="false" customHeight="false" outlineLevel="0" collapsed="false">
      <c r="A131" s="20" t="s">
        <v>49</v>
      </c>
      <c r="B131" s="20" t="s">
        <v>85</v>
      </c>
      <c r="C131" s="1" t="n">
        <v>5200</v>
      </c>
      <c r="D131" s="1" t="s">
        <v>683</v>
      </c>
      <c r="E131" s="1" t="n">
        <v>43717</v>
      </c>
      <c r="F131" s="1" t="s">
        <v>869</v>
      </c>
      <c r="G131" s="140" t="n">
        <v>46113</v>
      </c>
      <c r="H131" s="1" t="n">
        <v>1260</v>
      </c>
      <c r="I131" s="1" t="s">
        <v>1011</v>
      </c>
      <c r="J131" s="1" t="s">
        <v>1026</v>
      </c>
      <c r="K131" s="1" t="n">
        <v>2628.86</v>
      </c>
      <c r="M131" s="125" t="n">
        <f aca="false">Nominal_Activity[[#This Row],[Debit]]-Nominal_Activity[[#This Row],[Credit]]</f>
        <v>2628.86</v>
      </c>
      <c r="N131" s="149" t="str">
        <f aca="false">IF(C131="","",IFERROR(VLOOKUP(C131,Master_Mappings!$A$4:$E$85,3,FALSE()),"UNMAPPED"))</f>
        <v>Excluded — Project/Other</v>
      </c>
      <c r="O131" s="20" t="s">
        <v>1208</v>
      </c>
      <c r="P131" s="20" t="str">
        <f aca="false">IF($C131="","",$C131&amp;"|"&amp;$E131&amp;"|"&amp;$M131&amp;"|"&amp;TEXT($G131,"yyyy-mm-dd")&amp;"|"&amp;LEFT($J131,40))</f>
        <v>5200|43717|2628.86|2026-04-01|Fuel used for bikes for field work</v>
      </c>
      <c r="Q131" s="20" t="str">
        <f aca="false">IF(P131="","",IF(COUNTIF($P$2:$P$3000,P131)&gt;1,"DUPLICATE","OK"))</f>
        <v>OK</v>
      </c>
      <c r="R131" s="0" t="str">
        <f aca="false">IF($C131="","",IFERROR(VLOOKUP(--$C131,MM_Income!$Z$5:$AC$204,3,FALSE()),""))</f>
        <v>Recoverable</v>
      </c>
    </row>
    <row r="132" customFormat="false" ht="14.9" hidden="false" customHeight="false" outlineLevel="0" collapsed="false">
      <c r="A132" s="20" t="s">
        <v>49</v>
      </c>
      <c r="B132" s="20" t="s">
        <v>85</v>
      </c>
      <c r="C132" s="1" t="n">
        <v>5200</v>
      </c>
      <c r="D132" s="1" t="s">
        <v>683</v>
      </c>
      <c r="E132" s="1" t="n">
        <v>43718</v>
      </c>
      <c r="F132" s="1" t="s">
        <v>869</v>
      </c>
      <c r="G132" s="140" t="n">
        <v>46113</v>
      </c>
      <c r="H132" s="1" t="n">
        <v>1260</v>
      </c>
      <c r="I132" s="1" t="s">
        <v>1011</v>
      </c>
      <c r="J132" s="1" t="s">
        <v>1019</v>
      </c>
      <c r="K132" s="1" t="n">
        <v>242</v>
      </c>
      <c r="M132" s="125" t="n">
        <f aca="false">Nominal_Activity[[#This Row],[Debit]]-Nominal_Activity[[#This Row],[Credit]]</f>
        <v>242</v>
      </c>
      <c r="N132" s="149" t="str">
        <f aca="false">IF(C132="","",IFERROR(VLOOKUP(C132,Master_Mappings!$A$4:$E$85,3,FALSE()),"UNMAPPED"))</f>
        <v>Excluded — Project/Other</v>
      </c>
      <c r="O132" s="20" t="s">
        <v>1208</v>
      </c>
      <c r="P132" s="20" t="str">
        <f aca="false">IF($C132="","",$C132&amp;"|"&amp;$E132&amp;"|"&amp;$M132&amp;"|"&amp;TEXT($G132,"yyyy-mm-dd")&amp;"|"&amp;LEFT($J132,40))</f>
        <v>5200|43718|242|2026-04-01|Bolt</v>
      </c>
      <c r="Q132" s="20" t="str">
        <f aca="false">IF(P132="","",IF(COUNTIF($P$2:$P$3000,P132)&gt;1,"DUPLICATE","OK"))</f>
        <v>OK</v>
      </c>
      <c r="R132" s="0" t="str">
        <f aca="false">IF($C132="","",IFERROR(VLOOKUP(--$C132,MM_Income!$Z$5:$AC$204,3,FALSE()),""))</f>
        <v>Recoverable</v>
      </c>
    </row>
    <row r="133" customFormat="false" ht="14.9" hidden="false" customHeight="false" outlineLevel="0" collapsed="false">
      <c r="A133" s="20" t="s">
        <v>49</v>
      </c>
      <c r="B133" s="20" t="s">
        <v>85</v>
      </c>
      <c r="C133" s="1" t="n">
        <v>5200</v>
      </c>
      <c r="D133" s="1" t="s">
        <v>683</v>
      </c>
      <c r="E133" s="1" t="n">
        <v>43719</v>
      </c>
      <c r="F133" s="1" t="s">
        <v>869</v>
      </c>
      <c r="G133" s="140" t="n">
        <v>46113</v>
      </c>
      <c r="H133" s="1" t="n">
        <v>1260</v>
      </c>
      <c r="I133" s="1" t="s">
        <v>1011</v>
      </c>
      <c r="J133" s="1" t="s">
        <v>1027</v>
      </c>
      <c r="K133" s="1" t="n">
        <v>1228.57</v>
      </c>
      <c r="M133" s="125" t="n">
        <f aca="false">Nominal_Activity[[#This Row],[Debit]]-Nominal_Activity[[#This Row],[Credit]]</f>
        <v>1228.57</v>
      </c>
      <c r="N133" s="149" t="str">
        <f aca="false">IF(C133="","",IFERROR(VLOOKUP(C133,Master_Mappings!$A$4:$E$85,3,FALSE()),"UNMAPPED"))</f>
        <v>Excluded — Project/Other</v>
      </c>
      <c r="O133" s="20" t="s">
        <v>1208</v>
      </c>
      <c r="P133" s="20" t="str">
        <f aca="false">IF($C133="","",$C133&amp;"|"&amp;$E133&amp;"|"&amp;$M133&amp;"|"&amp;TEXT($G133,"yyyy-mm-dd")&amp;"|"&amp;LEFT($J133,40))</f>
        <v>5200|43719|1228.57|2026-04-01|One night stay in Abidjan</v>
      </c>
      <c r="Q133" s="20" t="str">
        <f aca="false">IF(P133="","",IF(COUNTIF($P$2:$P$3000,P133)&gt;1,"DUPLICATE","OK"))</f>
        <v>OK</v>
      </c>
      <c r="R133" s="0" t="str">
        <f aca="false">IF($C133="","",IFERROR(VLOOKUP(--$C133,MM_Income!$Z$5:$AC$204,3,FALSE()),""))</f>
        <v>Recoverable</v>
      </c>
    </row>
    <row r="134" customFormat="false" ht="14.9" hidden="false" customHeight="false" outlineLevel="0" collapsed="false">
      <c r="A134" s="20" t="s">
        <v>49</v>
      </c>
      <c r="B134" s="20" t="s">
        <v>85</v>
      </c>
      <c r="C134" s="1" t="n">
        <v>5200</v>
      </c>
      <c r="D134" s="1" t="s">
        <v>683</v>
      </c>
      <c r="E134" s="1" t="n">
        <v>43720</v>
      </c>
      <c r="F134" s="1" t="s">
        <v>869</v>
      </c>
      <c r="G134" s="140" t="n">
        <v>46113</v>
      </c>
      <c r="H134" s="1" t="n">
        <v>1260</v>
      </c>
      <c r="I134" s="1" t="s">
        <v>1011</v>
      </c>
      <c r="J134" s="1" t="s">
        <v>1028</v>
      </c>
      <c r="K134" s="1" t="n">
        <v>160</v>
      </c>
      <c r="M134" s="125" t="n">
        <f aca="false">Nominal_Activity[[#This Row],[Debit]]-Nominal_Activity[[#This Row],[Credit]]</f>
        <v>160</v>
      </c>
      <c r="N134" s="149" t="str">
        <f aca="false">IF(C134="","",IFERROR(VLOOKUP(C134,Master_Mappings!$A$4:$E$85,3,FALSE()),"UNMAPPED"))</f>
        <v>Excluded — Project/Other</v>
      </c>
      <c r="O134" s="20" t="s">
        <v>1208</v>
      </c>
      <c r="P134" s="20" t="str">
        <f aca="false">IF($C134="","",$C134&amp;"|"&amp;$E134&amp;"|"&amp;$M134&amp;"|"&amp;TEXT($G134,"yyyy-mm-dd")&amp;"|"&amp;LEFT($J134,40))</f>
        <v>5200|43720|160|2026-04-01|Airport meal</v>
      </c>
      <c r="Q134" s="20" t="str">
        <f aca="false">IF(P134="","",IF(COUNTIF($P$2:$P$3000,P134)&gt;1,"DUPLICATE","OK"))</f>
        <v>OK</v>
      </c>
      <c r="R134" s="0" t="str">
        <f aca="false">IF($C134="","",IFERROR(VLOOKUP(--$C134,MM_Income!$Z$5:$AC$204,3,FALSE()),""))</f>
        <v>Recoverable</v>
      </c>
    </row>
    <row r="135" customFormat="false" ht="14.9" hidden="false" customHeight="false" outlineLevel="0" collapsed="false">
      <c r="A135" s="20" t="s">
        <v>49</v>
      </c>
      <c r="B135" s="20" t="s">
        <v>85</v>
      </c>
      <c r="C135" s="1" t="n">
        <v>5200</v>
      </c>
      <c r="D135" s="1" t="s">
        <v>683</v>
      </c>
      <c r="E135" s="1" t="n">
        <v>43727</v>
      </c>
      <c r="F135" s="1" t="s">
        <v>869</v>
      </c>
      <c r="G135" s="140" t="n">
        <v>46135</v>
      </c>
      <c r="H135" s="1" t="n">
        <v>1260</v>
      </c>
      <c r="I135" s="1" t="s">
        <v>1029</v>
      </c>
      <c r="J135" s="1" t="s">
        <v>1030</v>
      </c>
      <c r="K135" s="1" t="n">
        <v>6249.98</v>
      </c>
      <c r="M135" s="125" t="n">
        <f aca="false">Nominal_Activity[[#This Row],[Debit]]-Nominal_Activity[[#This Row],[Credit]]</f>
        <v>6249.98</v>
      </c>
      <c r="N135" s="149" t="str">
        <f aca="false">IF(C135="","",IFERROR(VLOOKUP(C135,Master_Mappings!$A$4:$E$85,3,FALSE()),"UNMAPPED"))</f>
        <v>Excluded — Project/Other</v>
      </c>
      <c r="O135" s="20" t="s">
        <v>1208</v>
      </c>
      <c r="P135" s="20" t="str">
        <f aca="false">IF($C135="","",$C135&amp;"|"&amp;$E135&amp;"|"&amp;$M135&amp;"|"&amp;TEXT($G135,"yyyy-mm-dd")&amp;"|"&amp;LEFT($J135,40))</f>
        <v>5200|43727|6249.98|2026-04-23|Payment to photographer for the workshop</v>
      </c>
      <c r="Q135" s="20" t="str">
        <f aca="false">IF(P135="","",IF(COUNTIF($P$2:$P$3000,P135)&gt;1,"DUPLICATE","OK"))</f>
        <v>OK</v>
      </c>
      <c r="R135" s="0" t="str">
        <f aca="false">IF($C135="","",IFERROR(VLOOKUP(--$C135,MM_Income!$Z$5:$AC$204,3,FALSE()),""))</f>
        <v>Recoverable</v>
      </c>
    </row>
    <row r="136" customFormat="false" ht="14.9" hidden="false" customHeight="false" outlineLevel="0" collapsed="false">
      <c r="A136" s="20" t="s">
        <v>49</v>
      </c>
      <c r="B136" s="20" t="s">
        <v>85</v>
      </c>
      <c r="C136" s="1" t="n">
        <v>5200</v>
      </c>
      <c r="D136" s="1" t="s">
        <v>683</v>
      </c>
      <c r="E136" s="1" t="n">
        <v>43728</v>
      </c>
      <c r="F136" s="1" t="s">
        <v>869</v>
      </c>
      <c r="G136" s="140" t="n">
        <v>46135</v>
      </c>
      <c r="H136" s="1" t="n">
        <v>1260</v>
      </c>
      <c r="I136" s="1" t="s">
        <v>1029</v>
      </c>
      <c r="J136" s="1" t="s">
        <v>1031</v>
      </c>
      <c r="K136" s="1" t="n">
        <v>2291.63</v>
      </c>
      <c r="M136" s="125" t="n">
        <f aca="false">Nominal_Activity[[#This Row],[Debit]]-Nominal_Activity[[#This Row],[Credit]]</f>
        <v>2291.63</v>
      </c>
      <c r="N136" s="149" t="str">
        <f aca="false">IF(C136="","",IFERROR(VLOOKUP(C136,Master_Mappings!$A$4:$E$85,3,FALSE()),"UNMAPPED"))</f>
        <v>Excluded — Project/Other</v>
      </c>
      <c r="O136" s="20" t="s">
        <v>1208</v>
      </c>
      <c r="P136" s="20" t="str">
        <f aca="false">IF($C136="","",$C136&amp;"|"&amp;$E136&amp;"|"&amp;$M136&amp;"|"&amp;TEXT($G136,"yyyy-mm-dd")&amp;"|"&amp;LEFT($J136,40))</f>
        <v>5200|43728|2291.63|2026-04-23|Part Payment to Legend Hotel</v>
      </c>
      <c r="Q136" s="20" t="str">
        <f aca="false">IF(P136="","",IF(COUNTIF($P$2:$P$3000,P136)&gt;1,"DUPLICATE","OK"))</f>
        <v>OK</v>
      </c>
      <c r="R136" s="0" t="str">
        <f aca="false">IF($C136="","",IFERROR(VLOOKUP(--$C136,MM_Income!$Z$5:$AC$204,3,FALSE()),""))</f>
        <v>Recoverable</v>
      </c>
    </row>
    <row r="137" customFormat="false" ht="14.9" hidden="false" customHeight="false" outlineLevel="0" collapsed="false">
      <c r="A137" s="20" t="s">
        <v>49</v>
      </c>
      <c r="B137" s="20" t="s">
        <v>85</v>
      </c>
      <c r="C137" s="1" t="n">
        <v>5200</v>
      </c>
      <c r="D137" s="1" t="s">
        <v>683</v>
      </c>
      <c r="E137" s="1" t="n">
        <v>43729</v>
      </c>
      <c r="F137" s="1" t="s">
        <v>869</v>
      </c>
      <c r="G137" s="140" t="n">
        <v>46135</v>
      </c>
      <c r="H137" s="1" t="n">
        <v>1260</v>
      </c>
      <c r="I137" s="1" t="s">
        <v>1029</v>
      </c>
      <c r="J137" s="1" t="s">
        <v>1032</v>
      </c>
      <c r="K137" s="1" t="n">
        <v>5745.85</v>
      </c>
      <c r="M137" s="125" t="n">
        <f aca="false">Nominal_Activity[[#This Row],[Debit]]-Nominal_Activity[[#This Row],[Credit]]</f>
        <v>5745.85</v>
      </c>
      <c r="N137" s="149" t="str">
        <f aca="false">IF(C137="","",IFERROR(VLOOKUP(C137,Master_Mappings!$A$4:$E$85,3,FALSE()),"UNMAPPED"))</f>
        <v>Excluded — Project/Other</v>
      </c>
      <c r="O137" s="20" t="s">
        <v>1208</v>
      </c>
      <c r="P137" s="20" t="str">
        <f aca="false">IF($C137="","",$C137&amp;"|"&amp;$E137&amp;"|"&amp;$M137&amp;"|"&amp;TEXT($G137,"yyyy-mm-dd")&amp;"|"&amp;LEFT($J137,40))</f>
        <v>5200|43729|5745.85|2026-04-23|Fuel Reimbursements to Participants who </v>
      </c>
      <c r="Q137" s="20" t="str">
        <f aca="false">IF(P137="","",IF(COUNTIF($P$2:$P$3000,P137)&gt;1,"DUPLICATE","OK"))</f>
        <v>OK</v>
      </c>
      <c r="R137" s="0" t="str">
        <f aca="false">IF($C137="","",IFERROR(VLOOKUP(--$C137,MM_Income!$Z$5:$AC$204,3,FALSE()),""))</f>
        <v>Recoverable</v>
      </c>
    </row>
    <row r="138" customFormat="false" ht="14.9" hidden="false" customHeight="false" outlineLevel="0" collapsed="false">
      <c r="A138" s="20" t="s">
        <v>49</v>
      </c>
      <c r="B138" s="20" t="s">
        <v>85</v>
      </c>
      <c r="C138" s="1" t="n">
        <v>5200</v>
      </c>
      <c r="D138" s="1" t="s">
        <v>683</v>
      </c>
      <c r="E138" s="1" t="n">
        <v>43730</v>
      </c>
      <c r="F138" s="1" t="s">
        <v>869</v>
      </c>
      <c r="G138" s="140" t="n">
        <v>46135</v>
      </c>
      <c r="H138" s="1" t="n">
        <v>1260</v>
      </c>
      <c r="I138" s="1" t="s">
        <v>1029</v>
      </c>
      <c r="J138" s="1" t="s">
        <v>1033</v>
      </c>
      <c r="K138" s="1" t="n">
        <v>24212.54</v>
      </c>
      <c r="M138" s="125" t="n">
        <f aca="false">Nominal_Activity[[#This Row],[Debit]]-Nominal_Activity[[#This Row],[Credit]]</f>
        <v>24212.54</v>
      </c>
      <c r="N138" s="149" t="str">
        <f aca="false">IF(C138="","",IFERROR(VLOOKUP(C138,Master_Mappings!$A$4:$E$85,3,FALSE()),"UNMAPPED"))</f>
        <v>Excluded — Project/Other</v>
      </c>
      <c r="O138" s="20" t="s">
        <v>1208</v>
      </c>
      <c r="P138" s="20" t="str">
        <f aca="false">IF($C138="","",$C138&amp;"|"&amp;$E138&amp;"|"&amp;$M138&amp;"|"&amp;TEXT($G138,"yyyy-mm-dd")&amp;"|"&amp;LEFT($J138,40))</f>
        <v>5200|43730|24212.54|2026-04-23|Per Diem For Participants</v>
      </c>
      <c r="Q138" s="20" t="str">
        <f aca="false">IF(P138="","",IF(COUNTIF($P$2:$P$3000,P138)&gt;1,"DUPLICATE","OK"))</f>
        <v>OK</v>
      </c>
      <c r="R138" s="0" t="str">
        <f aca="false">IF($C138="","",IFERROR(VLOOKUP(--$C138,MM_Income!$Z$5:$AC$204,3,FALSE()),""))</f>
        <v>Recoverable</v>
      </c>
    </row>
    <row r="139" customFormat="false" ht="14.9" hidden="false" customHeight="false" outlineLevel="0" collapsed="false">
      <c r="A139" s="20" t="s">
        <v>49</v>
      </c>
      <c r="B139" s="20" t="s">
        <v>85</v>
      </c>
      <c r="C139" s="1" t="n">
        <v>5200</v>
      </c>
      <c r="D139" s="1" t="s">
        <v>683</v>
      </c>
      <c r="E139" s="1" t="n">
        <v>43731</v>
      </c>
      <c r="F139" s="1" t="s">
        <v>869</v>
      </c>
      <c r="G139" s="140" t="n">
        <v>46133</v>
      </c>
      <c r="H139" s="1" t="n">
        <v>1260</v>
      </c>
      <c r="I139" s="1" t="s">
        <v>1029</v>
      </c>
      <c r="J139" s="1" t="s">
        <v>1034</v>
      </c>
      <c r="K139" s="1" t="n">
        <v>19424.89</v>
      </c>
      <c r="M139" s="125" t="n">
        <f aca="false">Nominal_Activity[[#This Row],[Debit]]-Nominal_Activity[[#This Row],[Credit]]</f>
        <v>19424.89</v>
      </c>
      <c r="N139" s="149" t="str">
        <f aca="false">IF(C139="","",IFERROR(VLOOKUP(C139,Master_Mappings!$A$4:$E$85,3,FALSE()),"UNMAPPED"))</f>
        <v>Excluded — Project/Other</v>
      </c>
      <c r="O139" s="20" t="s">
        <v>1208</v>
      </c>
      <c r="P139" s="20" t="str">
        <f aca="false">IF($C139="","",$C139&amp;"|"&amp;$E139&amp;"|"&amp;$M139&amp;"|"&amp;TEXT($G139,"yyyy-mm-dd")&amp;"|"&amp;LEFT($J139,40))</f>
        <v>5200|43731|19424.89|2026-04-21|Hotel Accommodation for Aristotle &amp; Patr</v>
      </c>
      <c r="Q139" s="20" t="str">
        <f aca="false">IF(P139="","",IF(COUNTIF($P$2:$P$3000,P139)&gt;1,"DUPLICATE","OK"))</f>
        <v>OK</v>
      </c>
      <c r="R139" s="0" t="str">
        <f aca="false">IF($C139="","",IFERROR(VLOOKUP(--$C139,MM_Income!$Z$5:$AC$204,3,FALSE()),""))</f>
        <v>Recoverable</v>
      </c>
    </row>
    <row r="140" customFormat="false" ht="14.9" hidden="false" customHeight="false" outlineLevel="0" collapsed="false">
      <c r="A140" s="20" t="s">
        <v>49</v>
      </c>
      <c r="B140" s="20" t="s">
        <v>85</v>
      </c>
      <c r="C140" s="1" t="n">
        <v>5200</v>
      </c>
      <c r="D140" s="1" t="s">
        <v>683</v>
      </c>
      <c r="E140" s="1" t="n">
        <v>43732</v>
      </c>
      <c r="F140" s="1" t="s">
        <v>869</v>
      </c>
      <c r="G140" s="140" t="n">
        <v>46120</v>
      </c>
      <c r="H140" s="1" t="n">
        <v>1260</v>
      </c>
      <c r="I140" s="1" t="s">
        <v>1035</v>
      </c>
      <c r="J140" s="1" t="s">
        <v>1036</v>
      </c>
      <c r="K140" s="1" t="n">
        <v>415</v>
      </c>
      <c r="M140" s="125" t="n">
        <f aca="false">Nominal_Activity[[#This Row],[Debit]]-Nominal_Activity[[#This Row],[Credit]]</f>
        <v>415</v>
      </c>
      <c r="N140" s="149" t="str">
        <f aca="false">IF(C140="","",IFERROR(VLOOKUP(C140,Master_Mappings!$A$4:$E$85,3,FALSE()),"UNMAPPED"))</f>
        <v>Excluded — Project/Other</v>
      </c>
      <c r="O140" s="20" t="s">
        <v>1208</v>
      </c>
      <c r="P140" s="20" t="str">
        <f aca="false">IF($C140="","",$C140&amp;"|"&amp;$E140&amp;"|"&amp;$M140&amp;"|"&amp;TEXT($G140,"yyyy-mm-dd")&amp;"|"&amp;LEFT($J140,40))</f>
        <v>5200|43732|415|2026-04-08|Lunch for staff at Accra</v>
      </c>
      <c r="Q140" s="20" t="str">
        <f aca="false">IF(P140="","",IF(COUNTIF($P$2:$P$3000,P140)&gt;1,"DUPLICATE","OK"))</f>
        <v>OK</v>
      </c>
      <c r="R140" s="0" t="str">
        <f aca="false">IF($C140="","",IFERROR(VLOOKUP(--$C140,MM_Income!$Z$5:$AC$204,3,FALSE()),""))</f>
        <v>Recoverable</v>
      </c>
    </row>
    <row r="141" customFormat="false" ht="14.9" hidden="false" customHeight="false" outlineLevel="0" collapsed="false">
      <c r="A141" s="20" t="s">
        <v>49</v>
      </c>
      <c r="B141" s="20" t="s">
        <v>85</v>
      </c>
      <c r="C141" s="1" t="n">
        <v>5200</v>
      </c>
      <c r="D141" s="1" t="s">
        <v>683</v>
      </c>
      <c r="E141" s="1" t="n">
        <v>43733</v>
      </c>
      <c r="F141" s="1" t="s">
        <v>869</v>
      </c>
      <c r="G141" s="140" t="n">
        <v>46120</v>
      </c>
      <c r="H141" s="1" t="n">
        <v>1260</v>
      </c>
      <c r="I141" s="1" t="s">
        <v>1035</v>
      </c>
      <c r="J141" s="1" t="s">
        <v>1037</v>
      </c>
      <c r="K141" s="1" t="n">
        <v>757.51</v>
      </c>
      <c r="M141" s="125" t="n">
        <f aca="false">Nominal_Activity[[#This Row],[Debit]]-Nominal_Activity[[#This Row],[Credit]]</f>
        <v>757.51</v>
      </c>
      <c r="N141" s="149" t="str">
        <f aca="false">IF(C141="","",IFERROR(VLOOKUP(C141,Master_Mappings!$A$4:$E$85,3,FALSE()),"UNMAPPED"))</f>
        <v>Excluded — Project/Other</v>
      </c>
      <c r="O141" s="20" t="s">
        <v>1208</v>
      </c>
      <c r="P141" s="20" t="str">
        <f aca="false">IF($C141="","",$C141&amp;"|"&amp;$E141&amp;"|"&amp;$M141&amp;"|"&amp;TEXT($G141,"yyyy-mm-dd")&amp;"|"&amp;LEFT($J141,40))</f>
        <v>5200|43733|757.51|2026-04-08|Car hiring for staff from hotel to airpo</v>
      </c>
      <c r="Q141" s="20" t="str">
        <f aca="false">IF(P141="","",IF(COUNTIF($P$2:$P$3000,P141)&gt;1,"DUPLICATE","OK"))</f>
        <v>OK</v>
      </c>
      <c r="R141" s="0" t="str">
        <f aca="false">IF($C141="","",IFERROR(VLOOKUP(--$C141,MM_Income!$Z$5:$AC$204,3,FALSE()),""))</f>
        <v>Recoverable</v>
      </c>
    </row>
    <row r="142" customFormat="false" ht="14.9" hidden="false" customHeight="false" outlineLevel="0" collapsed="false">
      <c r="A142" s="20" t="s">
        <v>49</v>
      </c>
      <c r="B142" s="20" t="s">
        <v>85</v>
      </c>
      <c r="C142" s="1" t="n">
        <v>5200</v>
      </c>
      <c r="D142" s="1" t="s">
        <v>683</v>
      </c>
      <c r="E142" s="1" t="n">
        <v>43734</v>
      </c>
      <c r="F142" s="1" t="s">
        <v>869</v>
      </c>
      <c r="G142" s="140" t="n">
        <v>46119</v>
      </c>
      <c r="H142" s="1" t="n">
        <v>1260</v>
      </c>
      <c r="I142" s="1" t="s">
        <v>1035</v>
      </c>
      <c r="J142" s="1" t="s">
        <v>1038</v>
      </c>
      <c r="K142" s="1" t="n">
        <v>6787.3</v>
      </c>
      <c r="M142" s="125" t="n">
        <f aca="false">Nominal_Activity[[#This Row],[Debit]]-Nominal_Activity[[#This Row],[Credit]]</f>
        <v>6787.3</v>
      </c>
      <c r="N142" s="149" t="str">
        <f aca="false">IF(C142="","",IFERROR(VLOOKUP(C142,Master_Mappings!$A$4:$E$85,3,FALSE()),"UNMAPPED"))</f>
        <v>Excluded — Project/Other</v>
      </c>
      <c r="O142" s="20" t="s">
        <v>1208</v>
      </c>
      <c r="P142" s="20" t="str">
        <f aca="false">IF($C142="","",$C142&amp;"|"&amp;$E142&amp;"|"&amp;$M142&amp;"|"&amp;TEXT($G142,"yyyy-mm-dd")&amp;"|"&amp;LEFT($J142,40))</f>
        <v>5200|43734|6787.3|2026-04-07|Accommodation for staff and consultants</v>
      </c>
      <c r="Q142" s="20" t="str">
        <f aca="false">IF(P142="","",IF(COUNTIF($P$2:$P$3000,P142)&gt;1,"DUPLICATE","OK"))</f>
        <v>OK</v>
      </c>
      <c r="R142" s="0" t="str">
        <f aca="false">IF($C142="","",IFERROR(VLOOKUP(--$C142,MM_Income!$Z$5:$AC$204,3,FALSE()),""))</f>
        <v>Recoverable</v>
      </c>
    </row>
    <row r="143" customFormat="false" ht="14.9" hidden="false" customHeight="false" outlineLevel="0" collapsed="false">
      <c r="A143" s="20" t="s">
        <v>49</v>
      </c>
      <c r="B143" s="20" t="s">
        <v>85</v>
      </c>
      <c r="C143" s="1" t="n">
        <v>5200</v>
      </c>
      <c r="D143" s="1" t="s">
        <v>683</v>
      </c>
      <c r="E143" s="1" t="n">
        <v>43735</v>
      </c>
      <c r="F143" s="1" t="s">
        <v>869</v>
      </c>
      <c r="G143" s="140" t="n">
        <v>46118</v>
      </c>
      <c r="H143" s="1" t="n">
        <v>1260</v>
      </c>
      <c r="I143" s="1" t="s">
        <v>1035</v>
      </c>
      <c r="J143" s="1" t="s">
        <v>1039</v>
      </c>
      <c r="K143" s="1" t="n">
        <v>47.94</v>
      </c>
      <c r="M143" s="125" t="n">
        <f aca="false">Nominal_Activity[[#This Row],[Debit]]-Nominal_Activity[[#This Row],[Credit]]</f>
        <v>47.94</v>
      </c>
      <c r="N143" s="149" t="str">
        <f aca="false">IF(C143="","",IFERROR(VLOOKUP(C143,Master_Mappings!$A$4:$E$85,3,FALSE()),"UNMAPPED"))</f>
        <v>Excluded — Project/Other</v>
      </c>
      <c r="O143" s="20" t="s">
        <v>1208</v>
      </c>
      <c r="P143" s="20" t="str">
        <f aca="false">IF($C143="","",$C143&amp;"|"&amp;$E143&amp;"|"&amp;$M143&amp;"|"&amp;TEXT($G143,"yyyy-mm-dd")&amp;"|"&amp;LEFT($J143,40))</f>
        <v>5200|43735|47.94|2026-04-06|Water and Soft drinks</v>
      </c>
      <c r="Q143" s="20" t="str">
        <f aca="false">IF(P143="","",IF(COUNTIF($P$2:$P$3000,P143)&gt;1,"DUPLICATE","OK"))</f>
        <v>OK</v>
      </c>
      <c r="R143" s="0" t="str">
        <f aca="false">IF($C143="","",IFERROR(VLOOKUP(--$C143,MM_Income!$Z$5:$AC$204,3,FALSE()),""))</f>
        <v>Recoverable</v>
      </c>
    </row>
    <row r="144" customFormat="false" ht="14.9" hidden="false" customHeight="false" outlineLevel="0" collapsed="false">
      <c r="A144" s="20" t="s">
        <v>49</v>
      </c>
      <c r="B144" s="20" t="s">
        <v>85</v>
      </c>
      <c r="C144" s="1" t="n">
        <v>5200</v>
      </c>
      <c r="D144" s="1" t="s">
        <v>683</v>
      </c>
      <c r="E144" s="1" t="n">
        <v>43736</v>
      </c>
      <c r="F144" s="1" t="s">
        <v>869</v>
      </c>
      <c r="G144" s="140" t="n">
        <v>46113</v>
      </c>
      <c r="H144" s="1" t="n">
        <v>1260</v>
      </c>
      <c r="I144" s="1" t="s">
        <v>1035</v>
      </c>
      <c r="J144" s="1" t="s">
        <v>1040</v>
      </c>
      <c r="K144" s="1" t="n">
        <v>925.01</v>
      </c>
      <c r="M144" s="125" t="n">
        <f aca="false">Nominal_Activity[[#This Row],[Debit]]-Nominal_Activity[[#This Row],[Credit]]</f>
        <v>925.01</v>
      </c>
      <c r="N144" s="149" t="str">
        <f aca="false">IF(C144="","",IFERROR(VLOOKUP(C144,Master_Mappings!$A$4:$E$85,3,FALSE()),"UNMAPPED"))</f>
        <v>Excluded — Project/Other</v>
      </c>
      <c r="O144" s="20" t="s">
        <v>1208</v>
      </c>
      <c r="P144" s="20" t="str">
        <f aca="false">IF($C144="","",$C144&amp;"|"&amp;$E144&amp;"|"&amp;$M144&amp;"|"&amp;TEXT($G144,"yyyy-mm-dd")&amp;"|"&amp;LEFT($J144,40))</f>
        <v>5200|43736|925.01|2026-04-01|Provisions for team</v>
      </c>
      <c r="Q144" s="20" t="str">
        <f aca="false">IF(P144="","",IF(COUNTIF($P$2:$P$3000,P144)&gt;1,"DUPLICATE","OK"))</f>
        <v>OK</v>
      </c>
      <c r="R144" s="0" t="str">
        <f aca="false">IF($C144="","",IFERROR(VLOOKUP(--$C144,MM_Income!$Z$5:$AC$204,3,FALSE()),""))</f>
        <v>Recoverable</v>
      </c>
    </row>
    <row r="145" customFormat="false" ht="14.9" hidden="false" customHeight="false" outlineLevel="0" collapsed="false">
      <c r="A145" s="20" t="s">
        <v>49</v>
      </c>
      <c r="B145" s="20" t="s">
        <v>85</v>
      </c>
      <c r="C145" s="1" t="n">
        <v>5200</v>
      </c>
      <c r="D145" s="1" t="s">
        <v>683</v>
      </c>
      <c r="E145" s="1" t="n">
        <v>43737</v>
      </c>
      <c r="F145" s="1" t="s">
        <v>869</v>
      </c>
      <c r="G145" s="140" t="n">
        <v>46113</v>
      </c>
      <c r="H145" s="1" t="n">
        <v>1260</v>
      </c>
      <c r="I145" s="1" t="s">
        <v>1035</v>
      </c>
      <c r="J145" s="1" t="s">
        <v>1041</v>
      </c>
      <c r="K145" s="1" t="n">
        <v>4334.83</v>
      </c>
      <c r="M145" s="125" t="n">
        <f aca="false">Nominal_Activity[[#This Row],[Debit]]-Nominal_Activity[[#This Row],[Credit]]</f>
        <v>4334.83</v>
      </c>
      <c r="N145" s="149" t="str">
        <f aca="false">IF(C145="","",IFERROR(VLOOKUP(C145,Master_Mappings!$A$4:$E$85,3,FALSE()),"UNMAPPED"))</f>
        <v>Excluded — Project/Other</v>
      </c>
      <c r="O145" s="20" t="s">
        <v>1208</v>
      </c>
      <c r="P145" s="20" t="str">
        <f aca="false">IF($C145="","",$C145&amp;"|"&amp;$E145&amp;"|"&amp;$M145&amp;"|"&amp;TEXT($G145,"yyyy-mm-dd")&amp;"|"&amp;LEFT($J145,40))</f>
        <v>5200|43737|4334.83|2026-04-01|One night accommodation for 2 staff and </v>
      </c>
      <c r="Q145" s="20" t="str">
        <f aca="false">IF(P145="","",IF(COUNTIF($P$2:$P$3000,P145)&gt;1,"DUPLICATE","OK"))</f>
        <v>OK</v>
      </c>
      <c r="R145" s="0" t="str">
        <f aca="false">IF($C145="","",IFERROR(VLOOKUP(--$C145,MM_Income!$Z$5:$AC$204,3,FALSE()),""))</f>
        <v>Recoverable</v>
      </c>
    </row>
    <row r="146" customFormat="false" ht="14.9" hidden="false" customHeight="false" outlineLevel="0" collapsed="false">
      <c r="A146" s="20" t="s">
        <v>49</v>
      </c>
      <c r="B146" s="20" t="s">
        <v>85</v>
      </c>
      <c r="C146" s="1" t="n">
        <v>5200</v>
      </c>
      <c r="D146" s="1" t="s">
        <v>683</v>
      </c>
      <c r="E146" s="1" t="n">
        <v>43739</v>
      </c>
      <c r="F146" s="1" t="s">
        <v>869</v>
      </c>
      <c r="G146" s="140" t="n">
        <v>46113</v>
      </c>
      <c r="H146" s="1" t="n">
        <v>1260</v>
      </c>
      <c r="I146" s="1" t="s">
        <v>1035</v>
      </c>
      <c r="J146" s="1" t="s">
        <v>1042</v>
      </c>
      <c r="K146" s="1" t="n">
        <v>200</v>
      </c>
      <c r="M146" s="125" t="n">
        <f aca="false">Nominal_Activity[[#This Row],[Debit]]-Nominal_Activity[[#This Row],[Credit]]</f>
        <v>200</v>
      </c>
      <c r="N146" s="149" t="str">
        <f aca="false">IF(C146="","",IFERROR(VLOOKUP(C146,Master_Mappings!$A$4:$E$85,3,FALSE()),"UNMAPPED"))</f>
        <v>Excluded — Project/Other</v>
      </c>
      <c r="O146" s="20" t="s">
        <v>1208</v>
      </c>
      <c r="P146" s="20" t="str">
        <f aca="false">IF($C146="","",$C146&amp;"|"&amp;$E146&amp;"|"&amp;$M146&amp;"|"&amp;TEXT($G146,"yyyy-mm-dd")&amp;"|"&amp;LEFT($J146,40))</f>
        <v>5200|43739|200|2026-04-01|Fuel for rounds (FC, Mineral commission,</v>
      </c>
      <c r="Q146" s="20" t="str">
        <f aca="false">IF(P146="","",IF(COUNTIF($P$2:$P$3000,P146)&gt;1,"DUPLICATE","OK"))</f>
        <v>OK</v>
      </c>
      <c r="R146" s="0" t="str">
        <f aca="false">IF($C146="","",IFERROR(VLOOKUP(--$C146,MM_Income!$Z$5:$AC$204,3,FALSE()),""))</f>
        <v>Recoverable</v>
      </c>
    </row>
    <row r="147" customFormat="false" ht="14.9" hidden="false" customHeight="false" outlineLevel="0" collapsed="false">
      <c r="A147" s="20" t="s">
        <v>49</v>
      </c>
      <c r="B147" s="20" t="s">
        <v>85</v>
      </c>
      <c r="C147" s="1" t="n">
        <v>5200</v>
      </c>
      <c r="D147" s="1" t="s">
        <v>683</v>
      </c>
      <c r="E147" s="1" t="n">
        <v>43740</v>
      </c>
      <c r="F147" s="1" t="s">
        <v>869</v>
      </c>
      <c r="G147" s="140" t="n">
        <v>46113</v>
      </c>
      <c r="H147" s="1" t="n">
        <v>1260</v>
      </c>
      <c r="I147" s="1" t="s">
        <v>1035</v>
      </c>
      <c r="J147" s="1" t="s">
        <v>1043</v>
      </c>
      <c r="K147" s="1" t="n">
        <v>200</v>
      </c>
      <c r="M147" s="125" t="n">
        <f aca="false">Nominal_Activity[[#This Row],[Debit]]-Nominal_Activity[[#This Row],[Credit]]</f>
        <v>200</v>
      </c>
      <c r="N147" s="149" t="str">
        <f aca="false">IF(C147="","",IFERROR(VLOOKUP(C147,Master_Mappings!$A$4:$E$85,3,FALSE()),"UNMAPPED"))</f>
        <v>Excluded — Project/Other</v>
      </c>
      <c r="O147" s="20" t="s">
        <v>1208</v>
      </c>
      <c r="P147" s="20" t="str">
        <f aca="false">IF($C147="","",$C147&amp;"|"&amp;$E147&amp;"|"&amp;$M147&amp;"|"&amp;TEXT($G147,"yyyy-mm-dd")&amp;"|"&amp;LEFT($J147,40))</f>
        <v>5200|43740|200|2026-04-01|Fuel for rounds (FC, Minerals Commission</v>
      </c>
      <c r="Q147" s="20" t="str">
        <f aca="false">IF(P147="","",IF(COUNTIF($P$2:$P$3000,P147)&gt;1,"DUPLICATE","OK"))</f>
        <v>OK</v>
      </c>
      <c r="R147" s="0" t="str">
        <f aca="false">IF($C147="","",IFERROR(VLOOKUP(--$C147,MM_Income!$Z$5:$AC$204,3,FALSE()),""))</f>
        <v>Recoverable</v>
      </c>
    </row>
    <row r="148" customFormat="false" ht="14.9" hidden="false" customHeight="false" outlineLevel="0" collapsed="false">
      <c r="A148" s="20" t="s">
        <v>49</v>
      </c>
      <c r="B148" s="20" t="s">
        <v>85</v>
      </c>
      <c r="C148" s="1" t="n">
        <v>5200</v>
      </c>
      <c r="D148" s="1" t="s">
        <v>683</v>
      </c>
      <c r="E148" s="1" t="n">
        <v>43741</v>
      </c>
      <c r="F148" s="1" t="s">
        <v>869</v>
      </c>
      <c r="G148" s="140" t="n">
        <v>46113</v>
      </c>
      <c r="H148" s="1" t="n">
        <v>1260</v>
      </c>
      <c r="I148" s="1" t="s">
        <v>1035</v>
      </c>
      <c r="J148" s="1" t="s">
        <v>1044</v>
      </c>
      <c r="K148" s="1" t="n">
        <v>87</v>
      </c>
      <c r="M148" s="125" t="n">
        <f aca="false">Nominal_Activity[[#This Row],[Debit]]-Nominal_Activity[[#This Row],[Credit]]</f>
        <v>87</v>
      </c>
      <c r="N148" s="149" t="str">
        <f aca="false">IF(C148="","",IFERROR(VLOOKUP(C148,Master_Mappings!$A$4:$E$85,3,FALSE()),"UNMAPPED"))</f>
        <v>Excluded — Project/Other</v>
      </c>
      <c r="O148" s="20" t="s">
        <v>1208</v>
      </c>
      <c r="P148" s="20" t="str">
        <f aca="false">IF($C148="","",$C148&amp;"|"&amp;$E148&amp;"|"&amp;$M148&amp;"|"&amp;TEXT($G148,"yyyy-mm-dd")&amp;"|"&amp;LEFT($J148,40))</f>
        <v>5200|43741|87|2026-04-01|Bolts from Mineral Commission back to of</v>
      </c>
      <c r="Q148" s="20" t="str">
        <f aca="false">IF(P148="","",IF(COUNTIF($P$2:$P$3000,P148)&gt;1,"DUPLICATE","OK"))</f>
        <v>OK</v>
      </c>
      <c r="R148" s="0" t="str">
        <f aca="false">IF($C148="","",IFERROR(VLOOKUP(--$C148,MM_Income!$Z$5:$AC$204,3,FALSE()),""))</f>
        <v>Recoverable</v>
      </c>
    </row>
    <row r="149" customFormat="false" ht="14.9" hidden="false" customHeight="false" outlineLevel="0" collapsed="false">
      <c r="A149" s="20" t="s">
        <v>49</v>
      </c>
      <c r="B149" s="20" t="s">
        <v>85</v>
      </c>
      <c r="C149" s="1" t="n">
        <v>5200</v>
      </c>
      <c r="D149" s="1" t="s">
        <v>683</v>
      </c>
      <c r="E149" s="1" t="n">
        <v>43742</v>
      </c>
      <c r="F149" s="1" t="s">
        <v>869</v>
      </c>
      <c r="G149" s="140" t="n">
        <v>46113</v>
      </c>
      <c r="H149" s="1" t="n">
        <v>1260</v>
      </c>
      <c r="I149" s="1" t="s">
        <v>1035</v>
      </c>
      <c r="J149" s="1" t="s">
        <v>1045</v>
      </c>
      <c r="K149" s="1" t="n">
        <v>77</v>
      </c>
      <c r="M149" s="125" t="n">
        <f aca="false">Nominal_Activity[[#This Row],[Debit]]-Nominal_Activity[[#This Row],[Credit]]</f>
        <v>77</v>
      </c>
      <c r="N149" s="149" t="str">
        <f aca="false">IF(C149="","",IFERROR(VLOOKUP(C149,Master_Mappings!$A$4:$E$85,3,FALSE()),"UNMAPPED"))</f>
        <v>Excluded — Project/Other</v>
      </c>
      <c r="O149" s="20" t="s">
        <v>1208</v>
      </c>
      <c r="P149" s="20" t="str">
        <f aca="false">IF($C149="","",$C149&amp;"|"&amp;$E149&amp;"|"&amp;$M149&amp;"|"&amp;TEXT($G149,"yyyy-mm-dd")&amp;"|"&amp;LEFT($J149,40))</f>
        <v>5200|43742|77|2026-04-01|Bolt to Minerals Commission to distribut</v>
      </c>
      <c r="Q149" s="20" t="str">
        <f aca="false">IF(P149="","",IF(COUNTIF($P$2:$P$3000,P149)&gt;1,"DUPLICATE","OK"))</f>
        <v>OK</v>
      </c>
      <c r="R149" s="0" t="str">
        <f aca="false">IF($C149="","",IFERROR(VLOOKUP(--$C149,MM_Income!$Z$5:$AC$204,3,FALSE()),""))</f>
        <v>Recoverable</v>
      </c>
    </row>
    <row r="150" customFormat="false" ht="14.9" hidden="false" customHeight="false" outlineLevel="0" collapsed="false">
      <c r="A150" s="20" t="s">
        <v>49</v>
      </c>
      <c r="B150" s="20" t="s">
        <v>85</v>
      </c>
      <c r="C150" s="1" t="n">
        <v>5200</v>
      </c>
      <c r="D150" s="1" t="s">
        <v>683</v>
      </c>
      <c r="E150" s="1" t="n">
        <v>43743</v>
      </c>
      <c r="F150" s="1" t="s">
        <v>869</v>
      </c>
      <c r="G150" s="140" t="n">
        <v>46113</v>
      </c>
      <c r="H150" s="1" t="n">
        <v>1260</v>
      </c>
      <c r="I150" s="1" t="s">
        <v>1035</v>
      </c>
      <c r="J150" s="1" t="s">
        <v>1046</v>
      </c>
      <c r="K150" s="1" t="n">
        <v>66</v>
      </c>
      <c r="M150" s="125" t="n">
        <f aca="false">Nominal_Activity[[#This Row],[Debit]]-Nominal_Activity[[#This Row],[Credit]]</f>
        <v>66</v>
      </c>
      <c r="N150" s="149" t="str">
        <f aca="false">IF(C150="","",IFERROR(VLOOKUP(C150,Master_Mappings!$A$4:$E$85,3,FALSE()),"UNMAPPED"))</f>
        <v>Excluded — Project/Other</v>
      </c>
      <c r="O150" s="20" t="s">
        <v>1208</v>
      </c>
      <c r="P150" s="20" t="str">
        <f aca="false">IF($C150="","",$C150&amp;"|"&amp;$E150&amp;"|"&amp;$M150&amp;"|"&amp;TEXT($G150,"yyyy-mm-dd")&amp;"|"&amp;LEFT($J150,40))</f>
        <v>5200|43743|66|2026-04-01|Bolt to FC for distribution of letters</v>
      </c>
      <c r="Q150" s="20" t="str">
        <f aca="false">IF(P150="","",IF(COUNTIF($P$2:$P$3000,P150)&gt;1,"DUPLICATE","OK"))</f>
        <v>OK</v>
      </c>
      <c r="R150" s="0" t="str">
        <f aca="false">IF($C150="","",IFERROR(VLOOKUP(--$C150,MM_Income!$Z$5:$AC$204,3,FALSE()),""))</f>
        <v>Recoverable</v>
      </c>
    </row>
    <row r="151" customFormat="false" ht="14.9" hidden="false" customHeight="false" outlineLevel="0" collapsed="false">
      <c r="A151" s="20" t="s">
        <v>49</v>
      </c>
      <c r="B151" s="20" t="s">
        <v>85</v>
      </c>
      <c r="C151" s="1" t="n">
        <v>5200</v>
      </c>
      <c r="D151" s="1" t="s">
        <v>683</v>
      </c>
      <c r="E151" s="1" t="n">
        <v>43744</v>
      </c>
      <c r="F151" s="1" t="s">
        <v>869</v>
      </c>
      <c r="G151" s="140" t="n">
        <v>46113</v>
      </c>
      <c r="H151" s="1" t="n">
        <v>1260</v>
      </c>
      <c r="I151" s="1" t="s">
        <v>1035</v>
      </c>
      <c r="J151" s="1" t="s">
        <v>1047</v>
      </c>
      <c r="K151" s="1" t="n">
        <v>81</v>
      </c>
      <c r="M151" s="125" t="n">
        <f aca="false">Nominal_Activity[[#This Row],[Debit]]-Nominal_Activity[[#This Row],[Credit]]</f>
        <v>81</v>
      </c>
      <c r="N151" s="149" t="str">
        <f aca="false">IF(C151="","",IFERROR(VLOOKUP(C151,Master_Mappings!$A$4:$E$85,3,FALSE()),"UNMAPPED"))</f>
        <v>Excluded — Project/Other</v>
      </c>
      <c r="O151" s="20" t="s">
        <v>1208</v>
      </c>
      <c r="P151" s="20" t="str">
        <f aca="false">IF($C151="","",$C151&amp;"|"&amp;$E151&amp;"|"&amp;$M151&amp;"|"&amp;TEXT($G151,"yyyy-mm-dd")&amp;"|"&amp;LEFT($J151,40))</f>
        <v>5200|43744|81|2026-04-01|Taxi for staff from Office to Kotoka Int</v>
      </c>
      <c r="Q151" s="20" t="str">
        <f aca="false">IF(P151="","",IF(COUNTIF($P$2:$P$3000,P151)&gt;1,"DUPLICATE","OK"))</f>
        <v>OK</v>
      </c>
      <c r="R151" s="0" t="str">
        <f aca="false">IF($C151="","",IFERROR(VLOOKUP(--$C151,MM_Income!$Z$5:$AC$204,3,FALSE()),""))</f>
        <v>Recoverable</v>
      </c>
    </row>
    <row r="152" customFormat="false" ht="14.9" hidden="false" customHeight="false" outlineLevel="0" collapsed="false">
      <c r="A152" s="20" t="s">
        <v>49</v>
      </c>
      <c r="B152" s="20" t="s">
        <v>85</v>
      </c>
      <c r="C152" s="1" t="n">
        <v>5200</v>
      </c>
      <c r="D152" s="1" t="s">
        <v>683</v>
      </c>
      <c r="E152" s="1" t="n">
        <v>43745</v>
      </c>
      <c r="F152" s="1" t="s">
        <v>869</v>
      </c>
      <c r="G152" s="140" t="n">
        <v>46137</v>
      </c>
      <c r="H152" s="1" t="n">
        <v>1260</v>
      </c>
      <c r="I152" s="1" t="s">
        <v>1048</v>
      </c>
      <c r="J152" s="1" t="s">
        <v>1049</v>
      </c>
      <c r="K152" s="1" t="n">
        <v>434.83</v>
      </c>
      <c r="M152" s="125" t="n">
        <f aca="false">Nominal_Activity[[#This Row],[Debit]]-Nominal_Activity[[#This Row],[Credit]]</f>
        <v>434.83</v>
      </c>
      <c r="N152" s="149" t="str">
        <f aca="false">IF(C152="","",IFERROR(VLOOKUP(C152,Master_Mappings!$A$4:$E$85,3,FALSE()),"UNMAPPED"))</f>
        <v>Excluded — Project/Other</v>
      </c>
      <c r="O152" s="20" t="s">
        <v>1208</v>
      </c>
      <c r="P152" s="20" t="str">
        <f aca="false">IF($C152="","",$C152&amp;"|"&amp;$E152&amp;"|"&amp;$M152&amp;"|"&amp;TEXT($G152,"yyyy-mm-dd")&amp;"|"&amp;LEFT($J152,40))</f>
        <v>5200|43745|434.83|2026-04-25|meals</v>
      </c>
      <c r="Q152" s="20" t="str">
        <f aca="false">IF(P152="","",IF(COUNTIF($P$2:$P$3000,P152)&gt;1,"DUPLICATE","OK"))</f>
        <v>OK</v>
      </c>
      <c r="R152" s="0" t="str">
        <f aca="false">IF($C152="","",IFERROR(VLOOKUP(--$C152,MM_Income!$Z$5:$AC$204,3,FALSE()),""))</f>
        <v>Recoverable</v>
      </c>
    </row>
    <row r="153" customFormat="false" ht="14.9" hidden="false" customHeight="false" outlineLevel="0" collapsed="false">
      <c r="A153" s="20" t="s">
        <v>49</v>
      </c>
      <c r="B153" s="20" t="s">
        <v>85</v>
      </c>
      <c r="C153" s="1" t="n">
        <v>5200</v>
      </c>
      <c r="D153" s="1" t="s">
        <v>683</v>
      </c>
      <c r="E153" s="1" t="n">
        <v>43746</v>
      </c>
      <c r="F153" s="1" t="s">
        <v>869</v>
      </c>
      <c r="G153" s="140" t="n">
        <v>46137</v>
      </c>
      <c r="H153" s="1" t="n">
        <v>1260</v>
      </c>
      <c r="I153" s="1" t="s">
        <v>1048</v>
      </c>
      <c r="J153" s="1" t="s">
        <v>1050</v>
      </c>
      <c r="K153" s="1" t="n">
        <v>102</v>
      </c>
      <c r="M153" s="125" t="n">
        <f aca="false">Nominal_Activity[[#This Row],[Debit]]-Nominal_Activity[[#This Row],[Credit]]</f>
        <v>102</v>
      </c>
      <c r="N153" s="149" t="str">
        <f aca="false">IF(C153="","",IFERROR(VLOOKUP(C153,Master_Mappings!$A$4:$E$85,3,FALSE()),"UNMAPPED"))</f>
        <v>Excluded — Project/Other</v>
      </c>
      <c r="O153" s="20" t="s">
        <v>1208</v>
      </c>
      <c r="P153" s="20" t="str">
        <f aca="false">IF($C153="","",$C153&amp;"|"&amp;$E153&amp;"|"&amp;$M153&amp;"|"&amp;TEXT($G153,"yyyy-mm-dd")&amp;"|"&amp;LEFT($J153,40))</f>
        <v>5200|43746|102|2026-04-25|tnt[airport to home]</v>
      </c>
      <c r="Q153" s="20" t="str">
        <f aca="false">IF(P153="","",IF(COUNTIF($P$2:$P$3000,P153)&gt;1,"DUPLICATE","OK"))</f>
        <v>OK</v>
      </c>
      <c r="R153" s="0" t="str">
        <f aca="false">IF($C153="","",IFERROR(VLOOKUP(--$C153,MM_Income!$Z$5:$AC$204,3,FALSE()),""))</f>
        <v>Recoverable</v>
      </c>
    </row>
    <row r="154" customFormat="false" ht="14.9" hidden="false" customHeight="false" outlineLevel="0" collapsed="false">
      <c r="A154" s="20" t="s">
        <v>49</v>
      </c>
      <c r="B154" s="20" t="s">
        <v>85</v>
      </c>
      <c r="C154" s="1" t="n">
        <v>5200</v>
      </c>
      <c r="D154" s="1" t="s">
        <v>683</v>
      </c>
      <c r="E154" s="1" t="n">
        <v>43747</v>
      </c>
      <c r="F154" s="1" t="s">
        <v>869</v>
      </c>
      <c r="G154" s="140" t="n">
        <v>46136</v>
      </c>
      <c r="H154" s="1" t="n">
        <v>1260</v>
      </c>
      <c r="I154" s="1" t="s">
        <v>1048</v>
      </c>
      <c r="J154" s="1" t="s">
        <v>1051</v>
      </c>
      <c r="K154" s="1" t="n">
        <v>261.36</v>
      </c>
      <c r="M154" s="125" t="n">
        <f aca="false">Nominal_Activity[[#This Row],[Debit]]-Nominal_Activity[[#This Row],[Credit]]</f>
        <v>261.36</v>
      </c>
      <c r="N154" s="149" t="str">
        <f aca="false">IF(C154="","",IFERROR(VLOOKUP(C154,Master_Mappings!$A$4:$E$85,3,FALSE()),"UNMAPPED"))</f>
        <v>Excluded — Project/Other</v>
      </c>
      <c r="O154" s="20" t="s">
        <v>1208</v>
      </c>
      <c r="P154" s="20" t="str">
        <f aca="false">IF($C154="","",$C154&amp;"|"&amp;$E154&amp;"|"&amp;$M154&amp;"|"&amp;TEXT($G154,"yyyy-mm-dd")&amp;"|"&amp;LEFT($J154,40))</f>
        <v>5200|43747|261.36|2026-04-24|meals/snacks</v>
      </c>
      <c r="Q154" s="20" t="str">
        <f aca="false">IF(P154="","",IF(COUNTIF($P$2:$P$3000,P154)&gt;1,"DUPLICATE","OK"))</f>
        <v>OK</v>
      </c>
      <c r="R154" s="0" t="str">
        <f aca="false">IF($C154="","",IFERROR(VLOOKUP(--$C154,MM_Income!$Z$5:$AC$204,3,FALSE()),""))</f>
        <v>Recoverable</v>
      </c>
    </row>
    <row r="155" customFormat="false" ht="14.9" hidden="false" customHeight="false" outlineLevel="0" collapsed="false">
      <c r="A155" s="20" t="s">
        <v>49</v>
      </c>
      <c r="B155" s="20" t="s">
        <v>85</v>
      </c>
      <c r="C155" s="1" t="n">
        <v>5200</v>
      </c>
      <c r="D155" s="1" t="s">
        <v>683</v>
      </c>
      <c r="E155" s="1" t="n">
        <v>43748</v>
      </c>
      <c r="F155" s="1" t="s">
        <v>869</v>
      </c>
      <c r="G155" s="140" t="n">
        <v>46136</v>
      </c>
      <c r="H155" s="1" t="n">
        <v>1260</v>
      </c>
      <c r="I155" s="1" t="s">
        <v>1048</v>
      </c>
      <c r="J155" s="1" t="s">
        <v>1049</v>
      </c>
      <c r="K155" s="1" t="n">
        <v>358.71</v>
      </c>
      <c r="M155" s="125" t="n">
        <f aca="false">Nominal_Activity[[#This Row],[Debit]]-Nominal_Activity[[#This Row],[Credit]]</f>
        <v>358.71</v>
      </c>
      <c r="N155" s="149" t="str">
        <f aca="false">IF(C155="","",IFERROR(VLOOKUP(C155,Master_Mappings!$A$4:$E$85,3,FALSE()),"UNMAPPED"))</f>
        <v>Excluded — Project/Other</v>
      </c>
      <c r="O155" s="20" t="s">
        <v>1208</v>
      </c>
      <c r="P155" s="20" t="str">
        <f aca="false">IF($C155="","",$C155&amp;"|"&amp;$E155&amp;"|"&amp;$M155&amp;"|"&amp;TEXT($G155,"yyyy-mm-dd")&amp;"|"&amp;LEFT($J155,40))</f>
        <v>5200|43748|358.71|2026-04-24|meals</v>
      </c>
      <c r="Q155" s="20" t="str">
        <f aca="false">IF(P155="","",IF(COUNTIF($P$2:$P$3000,P155)&gt;1,"DUPLICATE","OK"))</f>
        <v>OK</v>
      </c>
      <c r="R155" s="0" t="str">
        <f aca="false">IF($C155="","",IFERROR(VLOOKUP(--$C155,MM_Income!$Z$5:$AC$204,3,FALSE()),""))</f>
        <v>Recoverable</v>
      </c>
    </row>
    <row r="156" customFormat="false" ht="14.9" hidden="false" customHeight="false" outlineLevel="0" collapsed="false">
      <c r="A156" s="20" t="s">
        <v>49</v>
      </c>
      <c r="B156" s="20" t="s">
        <v>85</v>
      </c>
      <c r="C156" s="1" t="n">
        <v>5200</v>
      </c>
      <c r="D156" s="1" t="s">
        <v>683</v>
      </c>
      <c r="E156" s="1" t="n">
        <v>43749</v>
      </c>
      <c r="F156" s="1" t="s">
        <v>869</v>
      </c>
      <c r="G156" s="140" t="n">
        <v>46126</v>
      </c>
      <c r="H156" s="1" t="n">
        <v>1260</v>
      </c>
      <c r="I156" s="1" t="s">
        <v>1048</v>
      </c>
      <c r="J156" s="1" t="s">
        <v>1052</v>
      </c>
      <c r="K156" s="1" t="n">
        <v>652.19</v>
      </c>
      <c r="M156" s="125" t="n">
        <f aca="false">Nominal_Activity[[#This Row],[Debit]]-Nominal_Activity[[#This Row],[Credit]]</f>
        <v>652.19</v>
      </c>
      <c r="N156" s="149" t="str">
        <f aca="false">IF(C156="","",IFERROR(VLOOKUP(C156,Master_Mappings!$A$4:$E$85,3,FALSE()),"UNMAPPED"))</f>
        <v>Excluded — Project/Other</v>
      </c>
      <c r="O156" s="20" t="s">
        <v>1208</v>
      </c>
      <c r="P156" s="20" t="str">
        <f aca="false">IF($C156="","",$C156&amp;"|"&amp;$E156&amp;"|"&amp;$M156&amp;"|"&amp;TEXT($G156,"yyyy-mm-dd")&amp;"|"&amp;LEFT($J156,40))</f>
        <v>5200|43749|652.19|2026-04-14|voice and data credit</v>
      </c>
      <c r="Q156" s="20" t="str">
        <f aca="false">IF(P156="","",IF(COUNTIF($P$2:$P$3000,P156)&gt;1,"DUPLICATE","OK"))</f>
        <v>OK</v>
      </c>
      <c r="R156" s="0" t="str">
        <f aca="false">IF($C156="","",IFERROR(VLOOKUP(--$C156,MM_Income!$Z$5:$AC$204,3,FALSE()),""))</f>
        <v>Recoverable</v>
      </c>
    </row>
    <row r="157" customFormat="false" ht="14.9" hidden="false" customHeight="false" outlineLevel="0" collapsed="false">
      <c r="A157" s="20" t="s">
        <v>49</v>
      </c>
      <c r="B157" s="20" t="s">
        <v>85</v>
      </c>
      <c r="C157" s="1" t="n">
        <v>5200</v>
      </c>
      <c r="D157" s="1" t="s">
        <v>683</v>
      </c>
      <c r="E157" s="1" t="n">
        <v>43750</v>
      </c>
      <c r="F157" s="1" t="s">
        <v>869</v>
      </c>
      <c r="G157" s="140" t="n">
        <v>46123</v>
      </c>
      <c r="H157" s="1" t="n">
        <v>1260</v>
      </c>
      <c r="I157" s="1" t="s">
        <v>1048</v>
      </c>
      <c r="J157" s="1" t="s">
        <v>1052</v>
      </c>
      <c r="K157" s="1" t="n">
        <v>434.83</v>
      </c>
      <c r="M157" s="125" t="n">
        <f aca="false">Nominal_Activity[[#This Row],[Debit]]-Nominal_Activity[[#This Row],[Credit]]</f>
        <v>434.83</v>
      </c>
      <c r="N157" s="149" t="str">
        <f aca="false">IF(C157="","",IFERROR(VLOOKUP(C157,Master_Mappings!$A$4:$E$85,3,FALSE()),"UNMAPPED"))</f>
        <v>Excluded — Project/Other</v>
      </c>
      <c r="O157" s="20" t="s">
        <v>1208</v>
      </c>
      <c r="P157" s="20" t="str">
        <f aca="false">IF($C157="","",$C157&amp;"|"&amp;$E157&amp;"|"&amp;$M157&amp;"|"&amp;TEXT($G157,"yyyy-mm-dd")&amp;"|"&amp;LEFT($J157,40))</f>
        <v>5200|43750|434.83|2026-04-11|voice and data credit</v>
      </c>
      <c r="Q157" s="20" t="str">
        <f aca="false">IF(P157="","",IF(COUNTIF($P$2:$P$3000,P157)&gt;1,"DUPLICATE","OK"))</f>
        <v>OK</v>
      </c>
      <c r="R157" s="0" t="str">
        <f aca="false">IF($C157="","",IFERROR(VLOOKUP(--$C157,MM_Income!$Z$5:$AC$204,3,FALSE()),""))</f>
        <v>Recoverable</v>
      </c>
    </row>
    <row r="158" customFormat="false" ht="14.9" hidden="false" customHeight="false" outlineLevel="0" collapsed="false">
      <c r="A158" s="20" t="s">
        <v>49</v>
      </c>
      <c r="B158" s="20" t="s">
        <v>85</v>
      </c>
      <c r="C158" s="1" t="n">
        <v>5200</v>
      </c>
      <c r="D158" s="1" t="s">
        <v>683</v>
      </c>
      <c r="E158" s="1" t="n">
        <v>43751</v>
      </c>
      <c r="F158" s="1" t="s">
        <v>869</v>
      </c>
      <c r="G158" s="140" t="n">
        <v>46117</v>
      </c>
      <c r="H158" s="1" t="n">
        <v>1260</v>
      </c>
      <c r="I158" s="1" t="s">
        <v>1048</v>
      </c>
      <c r="J158" s="1" t="s">
        <v>1053</v>
      </c>
      <c r="K158" s="1" t="n">
        <v>78</v>
      </c>
      <c r="M158" s="125" t="n">
        <f aca="false">Nominal_Activity[[#This Row],[Debit]]-Nominal_Activity[[#This Row],[Credit]]</f>
        <v>78</v>
      </c>
      <c r="N158" s="149" t="str">
        <f aca="false">IF(C158="","",IFERROR(VLOOKUP(C158,Master_Mappings!$A$4:$E$85,3,FALSE()),"UNMAPPED"))</f>
        <v>Excluded — Project/Other</v>
      </c>
      <c r="O158" s="20" t="s">
        <v>1208</v>
      </c>
      <c r="P158" s="20" t="str">
        <f aca="false">IF($C158="","",$C158&amp;"|"&amp;$E158&amp;"|"&amp;$M158&amp;"|"&amp;TEXT($G158,"yyyy-mm-dd")&amp;"|"&amp;LEFT($J158,40))</f>
        <v>5200|43751|78|2026-04-05|tnt [home to airport]</v>
      </c>
      <c r="Q158" s="20" t="str">
        <f aca="false">IF(P158="","",IF(COUNTIF($P$2:$P$3000,P158)&gt;1,"DUPLICATE","OK"))</f>
        <v>OK</v>
      </c>
      <c r="R158" s="0" t="str">
        <f aca="false">IF($C158="","",IFERROR(VLOOKUP(--$C158,MM_Income!$Z$5:$AC$204,3,FALSE()),""))</f>
        <v>Recoverable</v>
      </c>
    </row>
    <row r="159" customFormat="false" ht="14.9" hidden="false" customHeight="false" outlineLevel="0" collapsed="false">
      <c r="A159" s="20" t="s">
        <v>49</v>
      </c>
      <c r="B159" s="20" t="s">
        <v>85</v>
      </c>
      <c r="C159" s="1" t="n">
        <v>5200</v>
      </c>
      <c r="D159" s="1" t="s">
        <v>683</v>
      </c>
      <c r="E159" s="1" t="n">
        <v>43752</v>
      </c>
      <c r="F159" s="1" t="s">
        <v>869</v>
      </c>
      <c r="G159" s="140" t="n">
        <v>46117</v>
      </c>
      <c r="H159" s="1" t="n">
        <v>1260</v>
      </c>
      <c r="I159" s="1" t="s">
        <v>1048</v>
      </c>
      <c r="J159" s="1" t="s">
        <v>1054</v>
      </c>
      <c r="K159" s="1" t="n">
        <v>304.37</v>
      </c>
      <c r="M159" s="125" t="n">
        <f aca="false">Nominal_Activity[[#This Row],[Debit]]-Nominal_Activity[[#This Row],[Credit]]</f>
        <v>304.37</v>
      </c>
      <c r="N159" s="149" t="str">
        <f aca="false">IF(C159="","",IFERROR(VLOOKUP(C159,Master_Mappings!$A$4:$E$85,3,FALSE()),"UNMAPPED"))</f>
        <v>Excluded — Project/Other</v>
      </c>
      <c r="O159" s="20" t="s">
        <v>1208</v>
      </c>
      <c r="P159" s="20" t="str">
        <f aca="false">IF($C159="","",$C159&amp;"|"&amp;$E159&amp;"|"&amp;$M159&amp;"|"&amp;TEXT($G159,"yyyy-mm-dd")&amp;"|"&amp;LEFT($J159,40))</f>
        <v>5200|43752|304.37|2026-04-05|sim card+voice/data+exchange rate</v>
      </c>
      <c r="Q159" s="20" t="str">
        <f aca="false">IF(P159="","",IF(COUNTIF($P$2:$P$3000,P159)&gt;1,"DUPLICATE","OK"))</f>
        <v>OK</v>
      </c>
      <c r="R159" s="0" t="str">
        <f aca="false">IF($C159="","",IFERROR(VLOOKUP(--$C159,MM_Income!$Z$5:$AC$204,3,FALSE()),""))</f>
        <v>Recoverable</v>
      </c>
    </row>
    <row r="160" customFormat="false" ht="14.9" hidden="false" customHeight="false" outlineLevel="0" collapsed="false">
      <c r="A160" s="20" t="s">
        <v>49</v>
      </c>
      <c r="B160" s="20" t="s">
        <v>85</v>
      </c>
      <c r="C160" s="1" t="n">
        <v>5200</v>
      </c>
      <c r="D160" s="1" t="s">
        <v>683</v>
      </c>
      <c r="E160" s="1" t="n">
        <v>43753</v>
      </c>
      <c r="F160" s="1" t="s">
        <v>869</v>
      </c>
      <c r="G160" s="140" t="n">
        <v>46117</v>
      </c>
      <c r="H160" s="1" t="n">
        <v>1260</v>
      </c>
      <c r="I160" s="1" t="s">
        <v>1048</v>
      </c>
      <c r="J160" s="1" t="s">
        <v>1055</v>
      </c>
      <c r="K160" s="1" t="n">
        <v>245</v>
      </c>
      <c r="M160" s="125" t="n">
        <f aca="false">Nominal_Activity[[#This Row],[Debit]]-Nominal_Activity[[#This Row],[Credit]]</f>
        <v>245</v>
      </c>
      <c r="N160" s="149" t="str">
        <f aca="false">IF(C160="","",IFERROR(VLOOKUP(C160,Master_Mappings!$A$4:$E$85,3,FALSE()),"UNMAPPED"))</f>
        <v>Excluded — Project/Other</v>
      </c>
      <c r="O160" s="20" t="s">
        <v>1208</v>
      </c>
      <c r="P160" s="20" t="str">
        <f aca="false">IF($C160="","",$C160&amp;"|"&amp;$E160&amp;"|"&amp;$M160&amp;"|"&amp;TEXT($G160,"yyyy-mm-dd")&amp;"|"&amp;LEFT($J160,40))</f>
        <v>5200|43753|245|2026-04-05|meals at Accra Int Airport</v>
      </c>
      <c r="Q160" s="20" t="str">
        <f aca="false">IF(P160="","",IF(COUNTIF($P$2:$P$3000,P160)&gt;1,"DUPLICATE","OK"))</f>
        <v>OK</v>
      </c>
      <c r="R160" s="0" t="str">
        <f aca="false">IF($C160="","",IFERROR(VLOOKUP(--$C160,MM_Income!$Z$5:$AC$204,3,FALSE()),""))</f>
        <v>Recoverable</v>
      </c>
    </row>
    <row r="161" customFormat="false" ht="14.9" hidden="false" customHeight="false" outlineLevel="0" collapsed="false">
      <c r="A161" s="20" t="s">
        <v>49</v>
      </c>
      <c r="B161" s="20" t="s">
        <v>85</v>
      </c>
      <c r="C161" s="1" t="n">
        <v>5200</v>
      </c>
      <c r="D161" s="1" t="s">
        <v>683</v>
      </c>
      <c r="E161" s="1" t="n">
        <v>43754</v>
      </c>
      <c r="F161" s="1" t="s">
        <v>869</v>
      </c>
      <c r="G161" s="140" t="n">
        <v>46163</v>
      </c>
      <c r="H161" s="1" t="n">
        <v>1260</v>
      </c>
      <c r="I161" s="1" t="s">
        <v>1048</v>
      </c>
      <c r="J161" s="1" t="s">
        <v>1056</v>
      </c>
      <c r="K161" s="1" t="n">
        <v>76</v>
      </c>
      <c r="M161" s="125" t="n">
        <f aca="false">Nominal_Activity[[#This Row],[Debit]]-Nominal_Activity[[#This Row],[Credit]]</f>
        <v>76</v>
      </c>
      <c r="N161" s="149" t="str">
        <f aca="false">IF(C161="","",IFERROR(VLOOKUP(C161,Master_Mappings!$A$4:$E$85,3,FALSE()),"UNMAPPED"))</f>
        <v>Excluded — Project/Other</v>
      </c>
      <c r="O161" s="20" t="s">
        <v>1208</v>
      </c>
      <c r="P161" s="20" t="str">
        <f aca="false">IF($C161="","",$C161&amp;"|"&amp;$E161&amp;"|"&amp;$M161&amp;"|"&amp;TEXT($G161,"yyyy-mm-dd")&amp;"|"&amp;LEFT($J161,40))</f>
        <v>5200|43754|76|2026-05-21|tnt: office to epa</v>
      </c>
      <c r="Q161" s="20" t="str">
        <f aca="false">IF(P161="","",IF(COUNTIF($P$2:$P$3000,P161)&gt;1,"DUPLICATE","OK"))</f>
        <v>OK</v>
      </c>
      <c r="R161" s="0" t="str">
        <f aca="false">IF($C161="","",IFERROR(VLOOKUP(--$C161,MM_Income!$Z$5:$AC$204,3,FALSE()),""))</f>
        <v>Recoverable</v>
      </c>
    </row>
    <row r="162" customFormat="false" ht="14.9" hidden="false" customHeight="false" outlineLevel="0" collapsed="false">
      <c r="A162" s="20" t="s">
        <v>49</v>
      </c>
      <c r="B162" s="20" t="s">
        <v>85</v>
      </c>
      <c r="C162" s="1" t="n">
        <v>5200</v>
      </c>
      <c r="D162" s="1" t="s">
        <v>683</v>
      </c>
      <c r="E162" s="1" t="n">
        <v>43755</v>
      </c>
      <c r="F162" s="1" t="s">
        <v>869</v>
      </c>
      <c r="G162" s="140" t="n">
        <v>46163</v>
      </c>
      <c r="H162" s="1" t="n">
        <v>1260</v>
      </c>
      <c r="I162" s="1" t="s">
        <v>1048</v>
      </c>
      <c r="J162" s="1" t="s">
        <v>1057</v>
      </c>
      <c r="K162" s="1" t="n">
        <v>117.78</v>
      </c>
      <c r="M162" s="125" t="n">
        <f aca="false">Nominal_Activity[[#This Row],[Debit]]-Nominal_Activity[[#This Row],[Credit]]</f>
        <v>117.78</v>
      </c>
      <c r="N162" s="149" t="str">
        <f aca="false">IF(C162="","",IFERROR(VLOOKUP(C162,Master_Mappings!$A$4:$E$85,3,FALSE()),"UNMAPPED"))</f>
        <v>Excluded — Project/Other</v>
      </c>
      <c r="O162" s="20" t="s">
        <v>1208</v>
      </c>
      <c r="P162" s="20" t="str">
        <f aca="false">IF($C162="","",$C162&amp;"|"&amp;$E162&amp;"|"&amp;$M162&amp;"|"&amp;TEXT($G162,"yyyy-mm-dd")&amp;"|"&amp;LEFT($J162,40))</f>
        <v>5200|43755|117.78|2026-05-21|tnt: epa to office</v>
      </c>
      <c r="Q162" s="20" t="str">
        <f aca="false">IF(P162="","",IF(COUNTIF($P$2:$P$3000,P162)&gt;1,"DUPLICATE","OK"))</f>
        <v>OK</v>
      </c>
      <c r="R162" s="0" t="str">
        <f aca="false">IF($C162="","",IFERROR(VLOOKUP(--$C162,MM_Income!$Z$5:$AC$204,3,FALSE()),""))</f>
        <v>Recoverable</v>
      </c>
    </row>
    <row r="163" customFormat="false" ht="14.9" hidden="false" customHeight="false" outlineLevel="0" collapsed="false">
      <c r="A163" s="20" t="s">
        <v>49</v>
      </c>
      <c r="B163" s="20" t="s">
        <v>85</v>
      </c>
      <c r="C163" s="1" t="n">
        <v>5200</v>
      </c>
      <c r="D163" s="1" t="s">
        <v>683</v>
      </c>
      <c r="E163" s="1" t="n">
        <v>43756</v>
      </c>
      <c r="F163" s="1" t="s">
        <v>869</v>
      </c>
      <c r="G163" s="140" t="n">
        <v>46156</v>
      </c>
      <c r="H163" s="1" t="n">
        <v>1260</v>
      </c>
      <c r="I163" s="1" t="s">
        <v>1048</v>
      </c>
      <c r="J163" s="1" t="s">
        <v>1058</v>
      </c>
      <c r="K163" s="1" t="n">
        <v>300</v>
      </c>
      <c r="M163" s="125" t="n">
        <f aca="false">Nominal_Activity[[#This Row],[Debit]]-Nominal_Activity[[#This Row],[Credit]]</f>
        <v>300</v>
      </c>
      <c r="N163" s="149" t="str">
        <f aca="false">IF(C163="","",IFERROR(VLOOKUP(C163,Master_Mappings!$A$4:$E$85,3,FALSE()),"UNMAPPED"))</f>
        <v>Excluded — Project/Other</v>
      </c>
      <c r="O163" s="20" t="s">
        <v>1208</v>
      </c>
      <c r="P163" s="20" t="str">
        <f aca="false">IF($C163="","",$C163&amp;"|"&amp;$E163&amp;"|"&amp;$M163&amp;"|"&amp;TEXT($G163,"yyyy-mm-dd")&amp;"|"&amp;LEFT($J163,40))</f>
        <v>5200|43756|300|2026-05-14|Fuel cost to EPA</v>
      </c>
      <c r="Q163" s="20" t="str">
        <f aca="false">IF(P163="","",IF(COUNTIF($P$2:$P$3000,P163)&gt;1,"DUPLICATE","OK"))</f>
        <v>OK</v>
      </c>
      <c r="R163" s="0" t="str">
        <f aca="false">IF($C163="","",IFERROR(VLOOKUP(--$C163,MM_Income!$Z$5:$AC$204,3,FALSE()),""))</f>
        <v>Recoverable</v>
      </c>
    </row>
    <row r="164" customFormat="false" ht="14.9" hidden="false" customHeight="false" outlineLevel="0" collapsed="false">
      <c r="A164" s="20" t="s">
        <v>49</v>
      </c>
      <c r="B164" s="20" t="s">
        <v>85</v>
      </c>
      <c r="C164" s="1" t="n">
        <v>5200</v>
      </c>
      <c r="D164" s="1" t="s">
        <v>683</v>
      </c>
      <c r="E164" s="1" t="n">
        <v>43757</v>
      </c>
      <c r="F164" s="1" t="s">
        <v>869</v>
      </c>
      <c r="G164" s="140" t="n">
        <v>46113</v>
      </c>
      <c r="H164" s="1" t="n">
        <v>1260</v>
      </c>
      <c r="I164" s="1" t="s">
        <v>1048</v>
      </c>
      <c r="J164" s="1" t="s">
        <v>1059</v>
      </c>
      <c r="K164" s="1" t="n">
        <v>62</v>
      </c>
      <c r="M164" s="125" t="n">
        <f aca="false">Nominal_Activity[[#This Row],[Debit]]-Nominal_Activity[[#This Row],[Credit]]</f>
        <v>62</v>
      </c>
      <c r="N164" s="149" t="str">
        <f aca="false">IF(C164="","",IFERROR(VLOOKUP(C164,Master_Mappings!$A$4:$E$85,3,FALSE()),"UNMAPPED"))</f>
        <v>Excluded — Project/Other</v>
      </c>
      <c r="O164" s="20" t="s">
        <v>1208</v>
      </c>
      <c r="P164" s="20" t="str">
        <f aca="false">IF($C164="","",$C164&amp;"|"&amp;$E164&amp;"|"&amp;$M164&amp;"|"&amp;TEXT($G164,"yyyy-mm-dd")&amp;"|"&amp;LEFT($J164,40))</f>
        <v>5200|43757|62|2026-04-01|tnt: from Min. Comm to home</v>
      </c>
      <c r="Q164" s="20" t="str">
        <f aca="false">IF(P164="","",IF(COUNTIF($P$2:$P$3000,P164)&gt;1,"DUPLICATE","OK"))</f>
        <v>OK</v>
      </c>
      <c r="R164" s="0" t="str">
        <f aca="false">IF($C164="","",IFERROR(VLOOKUP(--$C164,MM_Income!$Z$5:$AC$204,3,FALSE()),""))</f>
        <v>Recoverable</v>
      </c>
    </row>
    <row r="165" customFormat="false" ht="14.9" hidden="false" customHeight="false" outlineLevel="0" collapsed="false">
      <c r="A165" s="20" t="s">
        <v>49</v>
      </c>
      <c r="B165" s="20" t="s">
        <v>85</v>
      </c>
      <c r="C165" s="1" t="n">
        <v>5200</v>
      </c>
      <c r="D165" s="1" t="s">
        <v>683</v>
      </c>
      <c r="E165" s="1" t="n">
        <v>43758</v>
      </c>
      <c r="F165" s="1" t="s">
        <v>869</v>
      </c>
      <c r="G165" s="140" t="n">
        <v>46113</v>
      </c>
      <c r="H165" s="1" t="n">
        <v>1260</v>
      </c>
      <c r="I165" s="1" t="s">
        <v>1048</v>
      </c>
      <c r="J165" s="1" t="s">
        <v>1060</v>
      </c>
      <c r="K165" s="1" t="n">
        <v>41</v>
      </c>
      <c r="M165" s="125" t="n">
        <f aca="false">Nominal_Activity[[#This Row],[Debit]]-Nominal_Activity[[#This Row],[Credit]]</f>
        <v>41</v>
      </c>
      <c r="N165" s="149" t="str">
        <f aca="false">IF(C165="","",IFERROR(VLOOKUP(C165,Master_Mappings!$A$4:$E$85,3,FALSE()),"UNMAPPED"))</f>
        <v>Excluded — Project/Other</v>
      </c>
      <c r="O165" s="20" t="s">
        <v>1208</v>
      </c>
      <c r="P165" s="20" t="str">
        <f aca="false">IF($C165="","",$C165&amp;"|"&amp;$E165&amp;"|"&amp;$M165&amp;"|"&amp;TEXT($G165,"yyyy-mm-dd")&amp;"|"&amp;LEFT($J165,40))</f>
        <v>5200|43758|41|2026-04-01|tnt: Home to EPA</v>
      </c>
      <c r="Q165" s="20" t="str">
        <f aca="false">IF(P165="","",IF(COUNTIF($P$2:$P$3000,P165)&gt;1,"DUPLICATE","OK"))</f>
        <v>OK</v>
      </c>
      <c r="R165" s="0" t="str">
        <f aca="false">IF($C165="","",IFERROR(VLOOKUP(--$C165,MM_Income!$Z$5:$AC$204,3,FALSE()),""))</f>
        <v>Recoverable</v>
      </c>
    </row>
    <row r="166" customFormat="false" ht="14.9" hidden="false" customHeight="false" outlineLevel="0" collapsed="false">
      <c r="A166" s="20" t="s">
        <v>49</v>
      </c>
      <c r="B166" s="20" t="s">
        <v>85</v>
      </c>
      <c r="C166" s="1" t="n">
        <v>5200</v>
      </c>
      <c r="D166" s="1" t="s">
        <v>683</v>
      </c>
      <c r="E166" s="1" t="n">
        <v>43759</v>
      </c>
      <c r="F166" s="1" t="s">
        <v>869</v>
      </c>
      <c r="G166" s="140" t="n">
        <v>46113</v>
      </c>
      <c r="H166" s="1" t="n">
        <v>1260</v>
      </c>
      <c r="I166" s="1" t="s">
        <v>1048</v>
      </c>
      <c r="J166" s="1" t="s">
        <v>1061</v>
      </c>
      <c r="K166" s="1" t="n">
        <v>69</v>
      </c>
      <c r="M166" s="125" t="n">
        <f aca="false">Nominal_Activity[[#This Row],[Debit]]-Nominal_Activity[[#This Row],[Credit]]</f>
        <v>69</v>
      </c>
      <c r="N166" s="149" t="str">
        <f aca="false">IF(C166="","",IFERROR(VLOOKUP(C166,Master_Mappings!$A$4:$E$85,3,FALSE()),"UNMAPPED"))</f>
        <v>Excluded — Project/Other</v>
      </c>
      <c r="O166" s="20" t="s">
        <v>1208</v>
      </c>
      <c r="P166" s="20" t="str">
        <f aca="false">IF($C166="","",$C166&amp;"|"&amp;$E166&amp;"|"&amp;$M166&amp;"|"&amp;TEXT($G166,"yyyy-mm-dd")&amp;"|"&amp;LEFT($J166,40))</f>
        <v>5200|43759|69|2026-04-01|tnt: EPA to offfice</v>
      </c>
      <c r="Q166" s="20" t="str">
        <f aca="false">IF(P166="","",IF(COUNTIF($P$2:$P$3000,P166)&gt;1,"DUPLICATE","OK"))</f>
        <v>OK</v>
      </c>
      <c r="R166" s="0" t="str">
        <f aca="false">IF($C166="","",IFERROR(VLOOKUP(--$C166,MM_Income!$Z$5:$AC$204,3,FALSE()),""))</f>
        <v>Recoverable</v>
      </c>
    </row>
    <row r="167" customFormat="false" ht="14.9" hidden="false" customHeight="false" outlineLevel="0" collapsed="false">
      <c r="A167" s="20" t="s">
        <v>49</v>
      </c>
      <c r="B167" s="20" t="s">
        <v>85</v>
      </c>
      <c r="C167" s="1" t="n">
        <v>5200</v>
      </c>
      <c r="D167" s="1" t="s">
        <v>683</v>
      </c>
      <c r="E167" s="1" t="n">
        <v>43760</v>
      </c>
      <c r="F167" s="1" t="s">
        <v>869</v>
      </c>
      <c r="G167" s="140" t="n">
        <v>46113</v>
      </c>
      <c r="H167" s="1" t="n">
        <v>1260</v>
      </c>
      <c r="I167" s="1" t="s">
        <v>1048</v>
      </c>
      <c r="J167" s="1" t="s">
        <v>1062</v>
      </c>
      <c r="K167" s="1" t="n">
        <v>65</v>
      </c>
      <c r="M167" s="125" t="n">
        <f aca="false">Nominal_Activity[[#This Row],[Debit]]-Nominal_Activity[[#This Row],[Credit]]</f>
        <v>65</v>
      </c>
      <c r="N167" s="149" t="str">
        <f aca="false">IF(C167="","",IFERROR(VLOOKUP(C167,Master_Mappings!$A$4:$E$85,3,FALSE()),"UNMAPPED"))</f>
        <v>Excluded — Project/Other</v>
      </c>
      <c r="O167" s="20" t="s">
        <v>1208</v>
      </c>
      <c r="P167" s="20" t="str">
        <f aca="false">IF($C167="","",$C167&amp;"|"&amp;$E167&amp;"|"&amp;$M167&amp;"|"&amp;TEXT($G167,"yyyy-mm-dd")&amp;"|"&amp;LEFT($J167,40))</f>
        <v>5200|43760|65|2026-04-01|tnt: OASL to home</v>
      </c>
      <c r="Q167" s="20" t="str">
        <f aca="false">IF(P167="","",IF(COUNTIF($P$2:$P$3000,P167)&gt;1,"DUPLICATE","OK"))</f>
        <v>OK</v>
      </c>
      <c r="R167" s="0" t="str">
        <f aca="false">IF($C167="","",IFERROR(VLOOKUP(--$C167,MM_Income!$Z$5:$AC$204,3,FALSE()),""))</f>
        <v>Recoverable</v>
      </c>
    </row>
    <row r="168" customFormat="false" ht="14.9" hidden="false" customHeight="false" outlineLevel="0" collapsed="false">
      <c r="A168" s="20" t="s">
        <v>49</v>
      </c>
      <c r="B168" s="20" t="s">
        <v>85</v>
      </c>
      <c r="C168" s="1" t="n">
        <v>5200</v>
      </c>
      <c r="D168" s="1" t="s">
        <v>683</v>
      </c>
      <c r="E168" s="1" t="n">
        <v>43761</v>
      </c>
      <c r="F168" s="1" t="s">
        <v>869</v>
      </c>
      <c r="G168" s="140" t="n">
        <v>46113</v>
      </c>
      <c r="H168" s="1" t="n">
        <v>1260</v>
      </c>
      <c r="I168" s="1" t="s">
        <v>1048</v>
      </c>
      <c r="J168" s="1" t="s">
        <v>1063</v>
      </c>
      <c r="K168" s="1" t="n">
        <v>33</v>
      </c>
      <c r="M168" s="125" t="n">
        <f aca="false">Nominal_Activity[[#This Row],[Debit]]-Nominal_Activity[[#This Row],[Credit]]</f>
        <v>33</v>
      </c>
      <c r="N168" s="149" t="str">
        <f aca="false">IF(C168="","",IFERROR(VLOOKUP(C168,Master_Mappings!$A$4:$E$85,3,FALSE()),"UNMAPPED"))</f>
        <v>Excluded — Project/Other</v>
      </c>
      <c r="O168" s="20" t="s">
        <v>1208</v>
      </c>
      <c r="P168" s="20" t="str">
        <f aca="false">IF($C168="","",$C168&amp;"|"&amp;$E168&amp;"|"&amp;$M168&amp;"|"&amp;TEXT($G168,"yyyy-mm-dd")&amp;"|"&amp;LEFT($J168,40))</f>
        <v>5200|43761|33|2026-04-01|TNT: HOME TO EPA</v>
      </c>
      <c r="Q168" s="20" t="str">
        <f aca="false">IF(P168="","",IF(COUNTIF($P$2:$P$3000,P168)&gt;1,"DUPLICATE","OK"))</f>
        <v>OK</v>
      </c>
      <c r="R168" s="0" t="str">
        <f aca="false">IF($C168="","",IFERROR(VLOOKUP(--$C168,MM_Income!$Z$5:$AC$204,3,FALSE()),""))</f>
        <v>Recoverable</v>
      </c>
    </row>
    <row r="169" customFormat="false" ht="14.9" hidden="false" customHeight="false" outlineLevel="0" collapsed="false">
      <c r="A169" s="20" t="s">
        <v>49</v>
      </c>
      <c r="B169" s="20" t="s">
        <v>85</v>
      </c>
      <c r="C169" s="1" t="n">
        <v>5200</v>
      </c>
      <c r="D169" s="1" t="s">
        <v>683</v>
      </c>
      <c r="E169" s="1" t="n">
        <v>43762</v>
      </c>
      <c r="F169" s="1" t="s">
        <v>869</v>
      </c>
      <c r="G169" s="140" t="n">
        <v>46113</v>
      </c>
      <c r="H169" s="1" t="n">
        <v>1260</v>
      </c>
      <c r="I169" s="1" t="s">
        <v>1048</v>
      </c>
      <c r="J169" s="1" t="s">
        <v>1064</v>
      </c>
      <c r="K169" s="1" t="n">
        <v>46</v>
      </c>
      <c r="M169" s="125" t="n">
        <f aca="false">Nominal_Activity[[#This Row],[Debit]]-Nominal_Activity[[#This Row],[Credit]]</f>
        <v>46</v>
      </c>
      <c r="N169" s="149" t="str">
        <f aca="false">IF(C169="","",IFERROR(VLOOKUP(C169,Master_Mappings!$A$4:$E$85,3,FALSE()),"UNMAPPED"))</f>
        <v>Excluded — Project/Other</v>
      </c>
      <c r="O169" s="20" t="s">
        <v>1208</v>
      </c>
      <c r="P169" s="20" t="str">
        <f aca="false">IF($C169="","",$C169&amp;"|"&amp;$E169&amp;"|"&amp;$M169&amp;"|"&amp;TEXT($G169,"yyyy-mm-dd")&amp;"|"&amp;LEFT($J169,40))</f>
        <v>5200|43762|46|2026-04-01|TNT: EPA to OASL</v>
      </c>
      <c r="Q169" s="20" t="str">
        <f aca="false">IF(P169="","",IF(COUNTIF($P$2:$P$3000,P169)&gt;1,"DUPLICATE","OK"))</f>
        <v>OK</v>
      </c>
      <c r="R169" s="0" t="str">
        <f aca="false">IF($C169="","",IFERROR(VLOOKUP(--$C169,MM_Income!$Z$5:$AC$204,3,FALSE()),""))</f>
        <v>Recoverable</v>
      </c>
    </row>
    <row r="170" customFormat="false" ht="14.9" hidden="false" customHeight="false" outlineLevel="0" collapsed="false">
      <c r="A170" s="20" t="s">
        <v>49</v>
      </c>
      <c r="B170" s="20" t="s">
        <v>85</v>
      </c>
      <c r="C170" s="1" t="n">
        <v>5200</v>
      </c>
      <c r="D170" s="1" t="s">
        <v>683</v>
      </c>
      <c r="E170" s="1" t="n">
        <v>43764</v>
      </c>
      <c r="F170" s="1" t="s">
        <v>869</v>
      </c>
      <c r="G170" s="140" t="n">
        <v>46113</v>
      </c>
      <c r="H170" s="1" t="n">
        <v>1260</v>
      </c>
      <c r="I170" s="1" t="s">
        <v>1065</v>
      </c>
      <c r="J170" s="1" t="s">
        <v>880</v>
      </c>
      <c r="K170" s="1" t="n">
        <v>118.02</v>
      </c>
      <c r="M170" s="125" t="n">
        <f aca="false">Nominal_Activity[[#This Row],[Debit]]-Nominal_Activity[[#This Row],[Credit]]</f>
        <v>118.02</v>
      </c>
      <c r="N170" s="149" t="str">
        <f aca="false">IF(C170="","",IFERROR(VLOOKUP(C170,Master_Mappings!$A$4:$E$85,3,FALSE()),"UNMAPPED"))</f>
        <v>Excluded — Project/Other</v>
      </c>
      <c r="O170" s="20" t="s">
        <v>1208</v>
      </c>
      <c r="P170" s="20" t="str">
        <f aca="false">IF($C170="","",$C170&amp;"|"&amp;$E170&amp;"|"&amp;$M170&amp;"|"&amp;TEXT($G170,"yyyy-mm-dd")&amp;"|"&amp;LEFT($J170,40))</f>
        <v>5200|43764|118.02|2026-04-01|Data and Airtime</v>
      </c>
      <c r="Q170" s="20" t="str">
        <f aca="false">IF(P170="","",IF(COUNTIF($P$2:$P$3000,P170)&gt;1,"DUPLICATE","OK"))</f>
        <v>OK</v>
      </c>
      <c r="R170" s="0" t="str">
        <f aca="false">IF($C170="","",IFERROR(VLOOKUP(--$C170,MM_Income!$Z$5:$AC$204,3,FALSE()),""))</f>
        <v>Recoverable</v>
      </c>
    </row>
    <row r="171" customFormat="false" ht="14.9" hidden="false" customHeight="false" outlineLevel="0" collapsed="false">
      <c r="A171" s="20" t="s">
        <v>49</v>
      </c>
      <c r="B171" s="20" t="s">
        <v>85</v>
      </c>
      <c r="C171" s="1" t="n">
        <v>5200</v>
      </c>
      <c r="D171" s="1" t="s">
        <v>683</v>
      </c>
      <c r="E171" s="1" t="n">
        <v>43765</v>
      </c>
      <c r="F171" s="1" t="s">
        <v>869</v>
      </c>
      <c r="G171" s="140" t="n">
        <v>46113</v>
      </c>
      <c r="H171" s="1" t="n">
        <v>1260</v>
      </c>
      <c r="I171" s="1" t="s">
        <v>1065</v>
      </c>
      <c r="J171" s="1" t="s">
        <v>881</v>
      </c>
      <c r="K171" s="1" t="n">
        <v>196.47</v>
      </c>
      <c r="M171" s="125" t="n">
        <f aca="false">Nominal_Activity[[#This Row],[Debit]]-Nominal_Activity[[#This Row],[Credit]]</f>
        <v>196.47</v>
      </c>
      <c r="N171" s="149" t="str">
        <f aca="false">IF(C171="","",IFERROR(VLOOKUP(C171,Master_Mappings!$A$4:$E$85,3,FALSE()),"UNMAPPED"))</f>
        <v>Excluded — Project/Other</v>
      </c>
      <c r="O171" s="20" t="s">
        <v>1208</v>
      </c>
      <c r="P171" s="20" t="str">
        <f aca="false">IF($C171="","",$C171&amp;"|"&amp;$E171&amp;"|"&amp;$M171&amp;"|"&amp;TEXT($G171,"yyyy-mm-dd")&amp;"|"&amp;LEFT($J171,40))</f>
        <v>5200|43765|196.47|2026-04-01|Transportation to Benin (Sub-consultant </v>
      </c>
      <c r="Q171" s="20" t="str">
        <f aca="false">IF(P171="","",IF(COUNTIF($P$2:$P$3000,P171)&gt;1,"DUPLICATE","OK"))</f>
        <v>OK</v>
      </c>
      <c r="R171" s="0" t="str">
        <f aca="false">IF($C171="","",IFERROR(VLOOKUP(--$C171,MM_Income!$Z$5:$AC$204,3,FALSE()),""))</f>
        <v>Recoverable</v>
      </c>
    </row>
    <row r="172" customFormat="false" ht="14.9" hidden="false" customHeight="false" outlineLevel="0" collapsed="false">
      <c r="A172" s="20" t="s">
        <v>49</v>
      </c>
      <c r="B172" s="20" t="s">
        <v>85</v>
      </c>
      <c r="C172" s="1" t="n">
        <v>5200</v>
      </c>
      <c r="D172" s="1" t="s">
        <v>683</v>
      </c>
      <c r="E172" s="1" t="n">
        <v>43766</v>
      </c>
      <c r="F172" s="1" t="s">
        <v>869</v>
      </c>
      <c r="G172" s="140" t="n">
        <v>46113</v>
      </c>
      <c r="H172" s="1" t="n">
        <v>1260</v>
      </c>
      <c r="I172" s="1" t="s">
        <v>1065</v>
      </c>
      <c r="J172" s="1" t="s">
        <v>882</v>
      </c>
      <c r="K172" s="1" t="n">
        <v>672.6</v>
      </c>
      <c r="M172" s="125" t="n">
        <f aca="false">Nominal_Activity[[#This Row],[Debit]]-Nominal_Activity[[#This Row],[Credit]]</f>
        <v>672.6</v>
      </c>
      <c r="N172" s="149" t="str">
        <f aca="false">IF(C172="","",IFERROR(VLOOKUP(C172,Master_Mappings!$A$4:$E$85,3,FALSE()),"UNMAPPED"))</f>
        <v>Excluded — Project/Other</v>
      </c>
      <c r="O172" s="20" t="s">
        <v>1208</v>
      </c>
      <c r="P172" s="20" t="str">
        <f aca="false">IF($C172="","",$C172&amp;"|"&amp;$E172&amp;"|"&amp;$M172&amp;"|"&amp;TEXT($G172,"yyyy-mm-dd")&amp;"|"&amp;LEFT($J172,40))</f>
        <v>5200|43766|672.6|2026-04-01|Transportation (Return) for sub-consulta</v>
      </c>
      <c r="Q172" s="20" t="str">
        <f aca="false">IF(P172="","",IF(COUNTIF($P$2:$P$3000,P172)&gt;1,"DUPLICATE","OK"))</f>
        <v>OK</v>
      </c>
      <c r="R172" s="0" t="str">
        <f aca="false">IF($C172="","",IFERROR(VLOOKUP(--$C172,MM_Income!$Z$5:$AC$204,3,FALSE()),""))</f>
        <v>Recoverable</v>
      </c>
    </row>
    <row r="173" customFormat="false" ht="14.9" hidden="false" customHeight="false" outlineLevel="0" collapsed="false">
      <c r="A173" s="20" t="s">
        <v>49</v>
      </c>
      <c r="B173" s="20" t="s">
        <v>85</v>
      </c>
      <c r="C173" s="1" t="n">
        <v>5200</v>
      </c>
      <c r="D173" s="1" t="s">
        <v>683</v>
      </c>
      <c r="E173" s="1" t="n">
        <v>43777</v>
      </c>
      <c r="F173" s="1" t="s">
        <v>869</v>
      </c>
      <c r="G173" s="140" t="n">
        <v>46113</v>
      </c>
      <c r="H173" s="1" t="n">
        <v>1260</v>
      </c>
      <c r="I173" s="1" t="s">
        <v>1069</v>
      </c>
      <c r="J173" s="1" t="s">
        <v>1012</v>
      </c>
      <c r="K173" s="1" t="n">
        <v>26.6</v>
      </c>
      <c r="M173" s="125" t="n">
        <f aca="false">Nominal_Activity[[#This Row],[Debit]]-Nominal_Activity[[#This Row],[Credit]]</f>
        <v>26.6</v>
      </c>
      <c r="N173" s="149" t="str">
        <f aca="false">IF(C173="","",IFERROR(VLOOKUP(C173,Master_Mappings!$A$4:$E$85,3,FALSE()),"UNMAPPED"))</f>
        <v>Excluded — Project/Other</v>
      </c>
      <c r="O173" s="20" t="s">
        <v>1208</v>
      </c>
      <c r="P173" s="20" t="str">
        <f aca="false">IF($C173="","",$C173&amp;"|"&amp;$E173&amp;"|"&amp;$M173&amp;"|"&amp;TEXT($G173,"yyyy-mm-dd")&amp;"|"&amp;LEFT($J173,40))</f>
        <v>5200|43777|26.6|2026-04-01|Meals</v>
      </c>
      <c r="Q173" s="20" t="str">
        <f aca="false">IF(P173="","",IF(COUNTIF($P$2:$P$3000,P173)&gt;1,"DUPLICATE","OK"))</f>
        <v>OK</v>
      </c>
      <c r="R173" s="0" t="str">
        <f aca="false">IF($C173="","",IFERROR(VLOOKUP(--$C173,MM_Income!$Z$5:$AC$204,3,FALSE()),""))</f>
        <v>Recoverable</v>
      </c>
    </row>
    <row r="174" customFormat="false" ht="14.9" hidden="false" customHeight="false" outlineLevel="0" collapsed="false">
      <c r="A174" s="20" t="s">
        <v>49</v>
      </c>
      <c r="B174" s="20" t="s">
        <v>85</v>
      </c>
      <c r="C174" s="1" t="n">
        <v>5200</v>
      </c>
      <c r="D174" s="1" t="s">
        <v>683</v>
      </c>
      <c r="E174" s="1" t="n">
        <v>43778</v>
      </c>
      <c r="F174" s="1" t="s">
        <v>869</v>
      </c>
      <c r="G174" s="140" t="n">
        <v>46113</v>
      </c>
      <c r="H174" s="1" t="n">
        <v>1260</v>
      </c>
      <c r="I174" s="1" t="s">
        <v>1069</v>
      </c>
      <c r="J174" s="1" t="s">
        <v>1070</v>
      </c>
      <c r="K174" s="1" t="n">
        <v>68</v>
      </c>
      <c r="M174" s="125" t="n">
        <f aca="false">Nominal_Activity[[#This Row],[Debit]]-Nominal_Activity[[#This Row],[Credit]]</f>
        <v>68</v>
      </c>
      <c r="N174" s="149" t="str">
        <f aca="false">IF(C174="","",IFERROR(VLOOKUP(C174,Master_Mappings!$A$4:$E$85,3,FALSE()),"UNMAPPED"))</f>
        <v>Excluded — Project/Other</v>
      </c>
      <c r="O174" s="20" t="s">
        <v>1208</v>
      </c>
      <c r="P174" s="20" t="str">
        <f aca="false">IF($C174="","",$C174&amp;"|"&amp;$E174&amp;"|"&amp;$M174&amp;"|"&amp;TEXT($G174,"yyyy-mm-dd")&amp;"|"&amp;LEFT($J174,40))</f>
        <v>5200|43778|68|2026-04-01|Group transport SAC verification</v>
      </c>
      <c r="Q174" s="20" t="str">
        <f aca="false">IF(P174="","",IF(COUNTIF($P$2:$P$3000,P174)&gt;1,"DUPLICATE","OK"))</f>
        <v>OK</v>
      </c>
      <c r="R174" s="0" t="str">
        <f aca="false">IF($C174="","",IFERROR(VLOOKUP(--$C174,MM_Income!$Z$5:$AC$204,3,FALSE()),""))</f>
        <v>Recoverable</v>
      </c>
    </row>
    <row r="175" customFormat="false" ht="14.9" hidden="false" customHeight="false" outlineLevel="0" collapsed="false">
      <c r="A175" s="20" t="s">
        <v>49</v>
      </c>
      <c r="B175" s="20" t="s">
        <v>85</v>
      </c>
      <c r="C175" s="1" t="n">
        <v>5200</v>
      </c>
      <c r="D175" s="1" t="s">
        <v>683</v>
      </c>
      <c r="E175" s="1" t="n">
        <v>43779</v>
      </c>
      <c r="F175" s="1" t="s">
        <v>869</v>
      </c>
      <c r="G175" s="140" t="n">
        <v>46113</v>
      </c>
      <c r="H175" s="1" t="n">
        <v>1260</v>
      </c>
      <c r="I175" s="1" t="s">
        <v>1069</v>
      </c>
      <c r="J175" s="1" t="s">
        <v>1071</v>
      </c>
      <c r="K175" s="1" t="n">
        <v>76</v>
      </c>
      <c r="M175" s="125" t="n">
        <f aca="false">Nominal_Activity[[#This Row],[Debit]]-Nominal_Activity[[#This Row],[Credit]]</f>
        <v>76</v>
      </c>
      <c r="N175" s="149" t="str">
        <f aca="false">IF(C175="","",IFERROR(VLOOKUP(C175,Master_Mappings!$A$4:$E$85,3,FALSE()),"UNMAPPED"))</f>
        <v>Excluded — Project/Other</v>
      </c>
      <c r="O175" s="20" t="s">
        <v>1208</v>
      </c>
      <c r="P175" s="20" t="str">
        <f aca="false">IF($C175="","",$C175&amp;"|"&amp;$E175&amp;"|"&amp;$M175&amp;"|"&amp;TEXT($G175,"yyyy-mm-dd")&amp;"|"&amp;LEFT($J175,40))</f>
        <v>5200|43779|76|2026-04-01|Ground transport</v>
      </c>
      <c r="Q175" s="20" t="str">
        <f aca="false">IF(P175="","",IF(COUNTIF($P$2:$P$3000,P175)&gt;1,"DUPLICATE","OK"))</f>
        <v>OK</v>
      </c>
      <c r="R175" s="0" t="str">
        <f aca="false">IF($C175="","",IFERROR(VLOOKUP(--$C175,MM_Income!$Z$5:$AC$204,3,FALSE()),""))</f>
        <v>Recoverable</v>
      </c>
    </row>
    <row r="176" customFormat="false" ht="14.9" hidden="false" customHeight="false" outlineLevel="0" collapsed="false">
      <c r="A176" s="20" t="s">
        <v>49</v>
      </c>
      <c r="B176" s="20" t="s">
        <v>85</v>
      </c>
      <c r="C176" s="1" t="n">
        <v>5200</v>
      </c>
      <c r="D176" s="1" t="s">
        <v>683</v>
      </c>
      <c r="E176" s="1" t="n">
        <v>43780</v>
      </c>
      <c r="F176" s="1" t="s">
        <v>869</v>
      </c>
      <c r="G176" s="140" t="n">
        <v>46113</v>
      </c>
      <c r="H176" s="1" t="n">
        <v>1260</v>
      </c>
      <c r="I176" s="1" t="s">
        <v>1069</v>
      </c>
      <c r="J176" s="1" t="s">
        <v>1072</v>
      </c>
      <c r="K176" s="1" t="n">
        <v>216.6</v>
      </c>
      <c r="M176" s="125" t="n">
        <f aca="false">Nominal_Activity[[#This Row],[Debit]]-Nominal_Activity[[#This Row],[Credit]]</f>
        <v>216.6</v>
      </c>
      <c r="N176" s="149" t="str">
        <f aca="false">IF(C176="","",IFERROR(VLOOKUP(C176,Master_Mappings!$A$4:$E$85,3,FALSE()),"UNMAPPED"))</f>
        <v>Excluded — Project/Other</v>
      </c>
      <c r="O176" s="20" t="s">
        <v>1208</v>
      </c>
      <c r="P176" s="20" t="str">
        <f aca="false">IF($C176="","",$C176&amp;"|"&amp;$E176&amp;"|"&amp;$M176&amp;"|"&amp;TEXT($G176,"yyyy-mm-dd")&amp;"|"&amp;LEFT($J176,40))</f>
        <v>5200|43780|216.6|2026-04-01|Lunch at hotel</v>
      </c>
      <c r="Q176" s="20" t="str">
        <f aca="false">IF(P176="","",IF(COUNTIF($P$2:$P$3000,P176)&gt;1,"DUPLICATE","OK"))</f>
        <v>OK</v>
      </c>
      <c r="R176" s="0" t="str">
        <f aca="false">IF($C176="","",IFERROR(VLOOKUP(--$C176,MM_Income!$Z$5:$AC$204,3,FALSE()),""))</f>
        <v>Recoverable</v>
      </c>
    </row>
    <row r="177" customFormat="false" ht="14.9" hidden="false" customHeight="false" outlineLevel="0" collapsed="false">
      <c r="A177" s="20" t="s">
        <v>49</v>
      </c>
      <c r="B177" s="20" t="s">
        <v>85</v>
      </c>
      <c r="C177" s="1" t="n">
        <v>5200</v>
      </c>
      <c r="D177" s="1" t="s">
        <v>683</v>
      </c>
      <c r="E177" s="1" t="n">
        <v>43781</v>
      </c>
      <c r="F177" s="1" t="s">
        <v>869</v>
      </c>
      <c r="G177" s="140" t="n">
        <v>46113</v>
      </c>
      <c r="H177" s="1" t="n">
        <v>1260</v>
      </c>
      <c r="I177" s="1" t="s">
        <v>1069</v>
      </c>
      <c r="J177" s="1" t="s">
        <v>1014</v>
      </c>
      <c r="K177" s="1" t="n">
        <v>855</v>
      </c>
      <c r="M177" s="125" t="n">
        <f aca="false">Nominal_Activity[[#This Row],[Debit]]-Nominal_Activity[[#This Row],[Credit]]</f>
        <v>855</v>
      </c>
      <c r="N177" s="149" t="str">
        <f aca="false">IF(C177="","",IFERROR(VLOOKUP(C177,Master_Mappings!$A$4:$E$85,3,FALSE()),"UNMAPPED"))</f>
        <v>Excluded — Project/Other</v>
      </c>
      <c r="O177" s="20" t="s">
        <v>1208</v>
      </c>
      <c r="P177" s="20" t="str">
        <f aca="false">IF($C177="","",$C177&amp;"|"&amp;$E177&amp;"|"&amp;$M177&amp;"|"&amp;TEXT($G177,"yyyy-mm-dd")&amp;"|"&amp;LEFT($J177,40))</f>
        <v>5200|43781|855|2026-04-01|Accommodation</v>
      </c>
      <c r="Q177" s="20" t="str">
        <f aca="false">IF(P177="","",IF(COUNTIF($P$2:$P$3000,P177)&gt;1,"DUPLICATE","OK"))</f>
        <v>OK</v>
      </c>
      <c r="R177" s="0" t="str">
        <f aca="false">IF($C177="","",IFERROR(VLOOKUP(--$C177,MM_Income!$Z$5:$AC$204,3,FALSE()),""))</f>
        <v>Recoverable</v>
      </c>
    </row>
    <row r="178" customFormat="false" ht="14.9" hidden="false" customHeight="false" outlineLevel="0" collapsed="false">
      <c r="A178" s="20" t="s">
        <v>49</v>
      </c>
      <c r="B178" s="20" t="s">
        <v>85</v>
      </c>
      <c r="C178" s="1" t="n">
        <v>5200</v>
      </c>
      <c r="D178" s="1" t="s">
        <v>683</v>
      </c>
      <c r="E178" s="1" t="n">
        <v>43782</v>
      </c>
      <c r="F178" s="1" t="s">
        <v>869</v>
      </c>
      <c r="G178" s="140" t="n">
        <v>46113</v>
      </c>
      <c r="H178" s="1" t="n">
        <v>1260</v>
      </c>
      <c r="I178" s="1" t="s">
        <v>1069</v>
      </c>
      <c r="J178" s="1" t="s">
        <v>1073</v>
      </c>
      <c r="K178" s="1" t="n">
        <v>45</v>
      </c>
      <c r="M178" s="125" t="n">
        <f aca="false">Nominal_Activity[[#This Row],[Debit]]-Nominal_Activity[[#This Row],[Credit]]</f>
        <v>45</v>
      </c>
      <c r="N178" s="149" t="str">
        <f aca="false">IF(C178="","",IFERROR(VLOOKUP(C178,Master_Mappings!$A$4:$E$85,3,FALSE()),"UNMAPPED"))</f>
        <v>Excluded — Project/Other</v>
      </c>
      <c r="O178" s="20" t="s">
        <v>1208</v>
      </c>
      <c r="P178" s="20" t="str">
        <f aca="false">IF($C178="","",$C178&amp;"|"&amp;$E178&amp;"|"&amp;$M178&amp;"|"&amp;TEXT($G178,"yyyy-mm-dd")&amp;"|"&amp;LEFT($J178,40))</f>
        <v>5200|43782|45|2026-04-01|Ground transport - Valency audit</v>
      </c>
      <c r="Q178" s="20" t="str">
        <f aca="false">IF(P178="","",IF(COUNTIF($P$2:$P$3000,P178)&gt;1,"DUPLICATE","OK"))</f>
        <v>OK</v>
      </c>
      <c r="R178" s="0" t="str">
        <f aca="false">IF($C178="","",IFERROR(VLOOKUP(--$C178,MM_Income!$Z$5:$AC$204,3,FALSE()),""))</f>
        <v>Recoverable</v>
      </c>
    </row>
    <row r="179" customFormat="false" ht="14.9" hidden="false" customHeight="false" outlineLevel="0" collapsed="false">
      <c r="A179" s="20" t="s">
        <v>49</v>
      </c>
      <c r="B179" s="20" t="s">
        <v>85</v>
      </c>
      <c r="C179" s="1" t="n">
        <v>5200</v>
      </c>
      <c r="D179" s="1" t="s">
        <v>683</v>
      </c>
      <c r="E179" s="1" t="n">
        <v>43783</v>
      </c>
      <c r="F179" s="1" t="s">
        <v>869</v>
      </c>
      <c r="G179" s="140" t="n">
        <v>46143</v>
      </c>
      <c r="H179" s="1" t="n">
        <v>1260</v>
      </c>
      <c r="I179" s="1" t="s">
        <v>1074</v>
      </c>
      <c r="J179" s="1" t="s">
        <v>1075</v>
      </c>
      <c r="K179" s="1" t="n">
        <v>500</v>
      </c>
      <c r="M179" s="125" t="n">
        <f aca="false">Nominal_Activity[[#This Row],[Debit]]-Nominal_Activity[[#This Row],[Credit]]</f>
        <v>500</v>
      </c>
      <c r="N179" s="149" t="str">
        <f aca="false">IF(C179="","",IFERROR(VLOOKUP(C179,Master_Mappings!$A$4:$E$85,3,FALSE()),"UNMAPPED"))</f>
        <v>Excluded — Project/Other</v>
      </c>
      <c r="O179" s="20" t="s">
        <v>1208</v>
      </c>
      <c r="P179" s="20" t="str">
        <f aca="false">IF($C179="","",$C179&amp;"|"&amp;$E179&amp;"|"&amp;$M179&amp;"|"&amp;TEXT($G179,"yyyy-mm-dd")&amp;"|"&amp;LEFT($J179,40))</f>
        <v>5200|43783|500|2026-05-01|Cost of transport for FGMC data collecti</v>
      </c>
      <c r="Q179" s="20" t="str">
        <f aca="false">IF(P179="","",IF(COUNTIF($P$2:$P$3000,P179)&gt;1,"DUPLICATE","OK"))</f>
        <v>OK</v>
      </c>
      <c r="R179" s="0" t="str">
        <f aca="false">IF($C179="","",IFERROR(VLOOKUP(--$C179,MM_Income!$Z$5:$AC$204,3,FALSE()),""))</f>
        <v>Recoverable</v>
      </c>
    </row>
    <row r="180" customFormat="false" ht="14.9" hidden="false" customHeight="false" outlineLevel="0" collapsed="false">
      <c r="A180" s="20" t="s">
        <v>49</v>
      </c>
      <c r="B180" s="20" t="s">
        <v>85</v>
      </c>
      <c r="C180" s="1" t="n">
        <v>5200</v>
      </c>
      <c r="D180" s="1" t="s">
        <v>683</v>
      </c>
      <c r="E180" s="1" t="n">
        <v>43805</v>
      </c>
      <c r="F180" s="1" t="s">
        <v>869</v>
      </c>
      <c r="G180" s="140" t="n">
        <v>46136</v>
      </c>
      <c r="H180" s="1" t="n">
        <v>1260</v>
      </c>
      <c r="I180" s="1" t="s">
        <v>1076</v>
      </c>
      <c r="J180" s="1" t="s">
        <v>1077</v>
      </c>
      <c r="K180" s="1" t="n">
        <v>2200</v>
      </c>
      <c r="M180" s="125" t="n">
        <f aca="false">Nominal_Activity[[#This Row],[Debit]]-Nominal_Activity[[#This Row],[Credit]]</f>
        <v>2200</v>
      </c>
      <c r="N180" s="149" t="str">
        <f aca="false">IF(C180="","",IFERROR(VLOOKUP(C180,Master_Mappings!$A$4:$E$85,3,FALSE()),"UNMAPPED"))</f>
        <v>Excluded — Project/Other</v>
      </c>
      <c r="O180" s="20" t="s">
        <v>1208</v>
      </c>
      <c r="P180" s="20" t="str">
        <f aca="false">IF($C180="","",$C180&amp;"|"&amp;$E180&amp;"|"&amp;$M180&amp;"|"&amp;TEXT($G180,"yyyy-mm-dd")&amp;"|"&amp;LEFT($J180,40))</f>
        <v>5200|43805|2200|2026-04-24|Fuel for Vehicle</v>
      </c>
      <c r="Q180" s="20" t="str">
        <f aca="false">IF(P180="","",IF(COUNTIF($P$2:$P$3000,P180)&gt;1,"DUPLICATE","OK"))</f>
        <v>OK</v>
      </c>
      <c r="R180" s="0" t="str">
        <f aca="false">IF($C180="","",IFERROR(VLOOKUP(--$C180,MM_Income!$Z$5:$AC$204,3,FALSE()),""))</f>
        <v>Recoverable</v>
      </c>
    </row>
    <row r="181" customFormat="false" ht="14.9" hidden="false" customHeight="false" outlineLevel="0" collapsed="false">
      <c r="A181" s="20" t="s">
        <v>49</v>
      </c>
      <c r="B181" s="20" t="s">
        <v>85</v>
      </c>
      <c r="C181" s="1" t="n">
        <v>5200</v>
      </c>
      <c r="D181" s="1" t="s">
        <v>683</v>
      </c>
      <c r="E181" s="1" t="n">
        <v>43807</v>
      </c>
      <c r="F181" s="1" t="s">
        <v>869</v>
      </c>
      <c r="G181" s="140" t="n">
        <v>46136</v>
      </c>
      <c r="H181" s="1" t="n">
        <v>1260</v>
      </c>
      <c r="I181" s="1" t="s">
        <v>1076</v>
      </c>
      <c r="J181" s="1" t="s">
        <v>1078</v>
      </c>
      <c r="K181" s="1" t="n">
        <v>460</v>
      </c>
      <c r="M181" s="125" t="n">
        <f aca="false">Nominal_Activity[[#This Row],[Debit]]-Nominal_Activity[[#This Row],[Credit]]</f>
        <v>460</v>
      </c>
      <c r="N181" s="149" t="str">
        <f aca="false">IF(C181="","",IFERROR(VLOOKUP(C181,Master_Mappings!$A$4:$E$85,3,FALSE()),"UNMAPPED"))</f>
        <v>Excluded — Project/Other</v>
      </c>
      <c r="O181" s="20" t="s">
        <v>1208</v>
      </c>
      <c r="P181" s="20" t="str">
        <f aca="false">IF($C181="","",$C181&amp;"|"&amp;$E181&amp;"|"&amp;$M181&amp;"|"&amp;TEXT($G181,"yyyy-mm-dd")&amp;"|"&amp;LEFT($J181,40))</f>
        <v>5200|43807|460|2026-04-24|Dinner for 3</v>
      </c>
      <c r="Q181" s="20" t="str">
        <f aca="false">IF(P181="","",IF(COUNTIF($P$2:$P$3000,P181)&gt;1,"DUPLICATE","OK"))</f>
        <v>OK</v>
      </c>
      <c r="R181" s="0" t="str">
        <f aca="false">IF($C181="","",IFERROR(VLOOKUP(--$C181,MM_Income!$Z$5:$AC$204,3,FALSE()),""))</f>
        <v>Recoverable</v>
      </c>
    </row>
    <row r="182" customFormat="false" ht="14.9" hidden="false" customHeight="false" outlineLevel="0" collapsed="false">
      <c r="A182" s="20" t="s">
        <v>49</v>
      </c>
      <c r="B182" s="20" t="s">
        <v>85</v>
      </c>
      <c r="C182" s="1" t="n">
        <v>5200</v>
      </c>
      <c r="D182" s="1" t="s">
        <v>683</v>
      </c>
      <c r="E182" s="1" t="n">
        <v>43808</v>
      </c>
      <c r="F182" s="1" t="s">
        <v>869</v>
      </c>
      <c r="G182" s="140" t="n">
        <v>46135</v>
      </c>
      <c r="H182" s="1" t="n">
        <v>1260</v>
      </c>
      <c r="I182" s="1" t="s">
        <v>1076</v>
      </c>
      <c r="J182" s="1" t="s">
        <v>1079</v>
      </c>
      <c r="K182" s="1" t="n">
        <v>250</v>
      </c>
      <c r="M182" s="125" t="n">
        <f aca="false">Nominal_Activity[[#This Row],[Debit]]-Nominal_Activity[[#This Row],[Credit]]</f>
        <v>250</v>
      </c>
      <c r="N182" s="149" t="str">
        <f aca="false">IF(C182="","",IFERROR(VLOOKUP(C182,Master_Mappings!$A$4:$E$85,3,FALSE()),"UNMAPPED"))</f>
        <v>Excluded — Project/Other</v>
      </c>
      <c r="O182" s="20" t="s">
        <v>1208</v>
      </c>
      <c r="P182" s="20" t="str">
        <f aca="false">IF($C182="","",$C182&amp;"|"&amp;$E182&amp;"|"&amp;$M182&amp;"|"&amp;TEXT($G182,"yyyy-mm-dd")&amp;"|"&amp;LEFT($J182,40))</f>
        <v>5200|43808|250|2026-04-23|Dinner for 2</v>
      </c>
      <c r="Q182" s="20" t="str">
        <f aca="false">IF(P182="","",IF(COUNTIF($P$2:$P$3000,P182)&gt;1,"DUPLICATE","OK"))</f>
        <v>OK</v>
      </c>
      <c r="R182" s="0" t="str">
        <f aca="false">IF($C182="","",IFERROR(VLOOKUP(--$C182,MM_Income!$Z$5:$AC$204,3,FALSE()),""))</f>
        <v>Recoverable</v>
      </c>
    </row>
    <row r="183" customFormat="false" ht="14.9" hidden="false" customHeight="false" outlineLevel="0" collapsed="false">
      <c r="A183" s="20" t="s">
        <v>49</v>
      </c>
      <c r="B183" s="20" t="s">
        <v>85</v>
      </c>
      <c r="C183" s="1" t="n">
        <v>5200</v>
      </c>
      <c r="D183" s="1" t="s">
        <v>683</v>
      </c>
      <c r="E183" s="1" t="n">
        <v>43809</v>
      </c>
      <c r="F183" s="1" t="s">
        <v>869</v>
      </c>
      <c r="G183" s="140" t="n">
        <v>46135</v>
      </c>
      <c r="H183" s="1" t="n">
        <v>1260</v>
      </c>
      <c r="I183" s="1" t="s">
        <v>1076</v>
      </c>
      <c r="J183" s="1" t="s">
        <v>1080</v>
      </c>
      <c r="K183" s="1" t="n">
        <v>3600</v>
      </c>
      <c r="M183" s="125" t="n">
        <f aca="false">Nominal_Activity[[#This Row],[Debit]]-Nominal_Activity[[#This Row],[Credit]]</f>
        <v>3600</v>
      </c>
      <c r="N183" s="149" t="str">
        <f aca="false">IF(C183="","",IFERROR(VLOOKUP(C183,Master_Mappings!$A$4:$E$85,3,FALSE()),"UNMAPPED"))</f>
        <v>Excluded — Project/Other</v>
      </c>
      <c r="O183" s="20" t="s">
        <v>1208</v>
      </c>
      <c r="P183" s="20" t="str">
        <f aca="false">IF($C183="","",$C183&amp;"|"&amp;$E183&amp;"|"&amp;$M183&amp;"|"&amp;TEXT($G183,"yyyy-mm-dd")&amp;"|"&amp;LEFT($J183,40))</f>
        <v>5200|43809|3600|2026-04-23|Hotel for 2</v>
      </c>
      <c r="Q183" s="20" t="str">
        <f aca="false">IF(P183="","",IF(COUNTIF($P$2:$P$3000,P183)&gt;1,"DUPLICATE","OK"))</f>
        <v>OK</v>
      </c>
      <c r="R183" s="0" t="str">
        <f aca="false">IF($C183="","",IFERROR(VLOOKUP(--$C183,MM_Income!$Z$5:$AC$204,3,FALSE()),""))</f>
        <v>Recoverable</v>
      </c>
    </row>
    <row r="184" customFormat="false" ht="14.9" hidden="false" customHeight="false" outlineLevel="0" collapsed="false">
      <c r="A184" s="20" t="s">
        <v>49</v>
      </c>
      <c r="B184" s="20" t="s">
        <v>85</v>
      </c>
      <c r="C184" s="1" t="n">
        <v>5200</v>
      </c>
      <c r="D184" s="1" t="s">
        <v>683</v>
      </c>
      <c r="E184" s="1" t="n">
        <v>43810</v>
      </c>
      <c r="F184" s="1" t="s">
        <v>869</v>
      </c>
      <c r="G184" s="140" t="n">
        <v>46135</v>
      </c>
      <c r="H184" s="1" t="n">
        <v>1260</v>
      </c>
      <c r="I184" s="1" t="s">
        <v>1076</v>
      </c>
      <c r="J184" s="1" t="s">
        <v>1081</v>
      </c>
      <c r="K184" s="1" t="n">
        <v>400</v>
      </c>
      <c r="M184" s="125" t="n">
        <f aca="false">Nominal_Activity[[#This Row],[Debit]]-Nominal_Activity[[#This Row],[Credit]]</f>
        <v>400</v>
      </c>
      <c r="N184" s="149" t="str">
        <f aca="false">IF(C184="","",IFERROR(VLOOKUP(C184,Master_Mappings!$A$4:$E$85,3,FALSE()),"UNMAPPED"))</f>
        <v>Excluded — Project/Other</v>
      </c>
      <c r="O184" s="20" t="s">
        <v>1208</v>
      </c>
      <c r="P184" s="20" t="str">
        <f aca="false">IF($C184="","",$C184&amp;"|"&amp;$E184&amp;"|"&amp;$M184&amp;"|"&amp;TEXT($G184,"yyyy-mm-dd")&amp;"|"&amp;LEFT($J184,40))</f>
        <v>5200|43810|400|2026-04-23|Internet for Turbo</v>
      </c>
      <c r="Q184" s="20" t="str">
        <f aca="false">IF(P184="","",IF(COUNTIF($P$2:$P$3000,P184)&gt;1,"DUPLICATE","OK"))</f>
        <v>OK</v>
      </c>
      <c r="R184" s="0" t="str">
        <f aca="false">IF($C184="","",IFERROR(VLOOKUP(--$C184,MM_Income!$Z$5:$AC$204,3,FALSE()),""))</f>
        <v>Recoverable</v>
      </c>
    </row>
    <row r="185" customFormat="false" ht="14.9" hidden="false" customHeight="false" outlineLevel="0" collapsed="false">
      <c r="A185" s="20" t="s">
        <v>49</v>
      </c>
      <c r="B185" s="20" t="s">
        <v>85</v>
      </c>
      <c r="C185" s="1" t="n">
        <v>5200</v>
      </c>
      <c r="D185" s="1" t="s">
        <v>683</v>
      </c>
      <c r="E185" s="1" t="n">
        <v>43811</v>
      </c>
      <c r="F185" s="1" t="s">
        <v>869</v>
      </c>
      <c r="G185" s="140" t="n">
        <v>46135</v>
      </c>
      <c r="H185" s="1" t="n">
        <v>1260</v>
      </c>
      <c r="I185" s="1" t="s">
        <v>1076</v>
      </c>
      <c r="J185" s="1" t="s">
        <v>1082</v>
      </c>
      <c r="K185" s="1" t="n">
        <v>550</v>
      </c>
      <c r="M185" s="125" t="n">
        <f aca="false">Nominal_Activity[[#This Row],[Debit]]-Nominal_Activity[[#This Row],[Credit]]</f>
        <v>550</v>
      </c>
      <c r="N185" s="149" t="str">
        <f aca="false">IF(C185="","",IFERROR(VLOOKUP(C185,Master_Mappings!$A$4:$E$85,3,FALSE()),"UNMAPPED"))</f>
        <v>Excluded — Project/Other</v>
      </c>
      <c r="O185" s="20" t="s">
        <v>1208</v>
      </c>
      <c r="P185" s="20" t="str">
        <f aca="false">IF($C185="","",$C185&amp;"|"&amp;$E185&amp;"|"&amp;$M185&amp;"|"&amp;TEXT($G185,"yyyy-mm-dd")&amp;"|"&amp;LEFT($J185,40))</f>
        <v>5200|43811|550|2026-04-23|Hotel for driver</v>
      </c>
      <c r="Q185" s="20" t="str">
        <f aca="false">IF(P185="","",IF(COUNTIF($P$2:$P$3000,P185)&gt;1,"DUPLICATE","OK"))</f>
        <v>OK</v>
      </c>
      <c r="R185" s="0" t="str">
        <f aca="false">IF($C185="","",IFERROR(VLOOKUP(--$C185,MM_Income!$Z$5:$AC$204,3,FALSE()),""))</f>
        <v>Recoverable</v>
      </c>
    </row>
    <row r="186" customFormat="false" ht="14.9" hidden="false" customHeight="false" outlineLevel="0" collapsed="false">
      <c r="A186" s="20" t="s">
        <v>49</v>
      </c>
      <c r="B186" s="20" t="s">
        <v>85</v>
      </c>
      <c r="C186" s="1" t="n">
        <v>5200</v>
      </c>
      <c r="D186" s="1" t="s">
        <v>683</v>
      </c>
      <c r="E186" s="1" t="n">
        <v>43812</v>
      </c>
      <c r="F186" s="1" t="s">
        <v>869</v>
      </c>
      <c r="G186" s="140" t="n">
        <v>46135</v>
      </c>
      <c r="H186" s="1" t="n">
        <v>1260</v>
      </c>
      <c r="I186" s="1" t="s">
        <v>1076</v>
      </c>
      <c r="J186" s="1" t="s">
        <v>1083</v>
      </c>
      <c r="K186" s="1" t="n">
        <v>400</v>
      </c>
      <c r="M186" s="125" t="n">
        <f aca="false">Nominal_Activity[[#This Row],[Debit]]-Nominal_Activity[[#This Row],[Credit]]</f>
        <v>400</v>
      </c>
      <c r="N186" s="149" t="str">
        <f aca="false">IF(C186="","",IFERROR(VLOOKUP(C186,Master_Mappings!$A$4:$E$85,3,FALSE()),"UNMAPPED"))</f>
        <v>Excluded — Project/Other</v>
      </c>
      <c r="O186" s="20" t="s">
        <v>1208</v>
      </c>
      <c r="P186" s="20" t="str">
        <f aca="false">IF($C186="","",$C186&amp;"|"&amp;$E186&amp;"|"&amp;$M186&amp;"|"&amp;TEXT($G186,"yyyy-mm-dd")&amp;"|"&amp;LEFT($J186,40))</f>
        <v>5200|43812|400|2026-04-23|Lunch for 3</v>
      </c>
      <c r="Q186" s="20" t="str">
        <f aca="false">IF(P186="","",IF(COUNTIF($P$2:$P$3000,P186)&gt;1,"DUPLICATE","OK"))</f>
        <v>OK</v>
      </c>
      <c r="R186" s="0" t="str">
        <f aca="false">IF($C186="","",IFERROR(VLOOKUP(--$C186,MM_Income!$Z$5:$AC$204,3,FALSE()),""))</f>
        <v>Recoverable</v>
      </c>
    </row>
    <row r="187" customFormat="false" ht="14.9" hidden="false" customHeight="false" outlineLevel="0" collapsed="false">
      <c r="A187" s="20" t="s">
        <v>49</v>
      </c>
      <c r="B187" s="20" t="s">
        <v>85</v>
      </c>
      <c r="C187" s="1" t="n">
        <v>5200</v>
      </c>
      <c r="D187" s="1" t="s">
        <v>683</v>
      </c>
      <c r="E187" s="1" t="n">
        <v>43813</v>
      </c>
      <c r="F187" s="1" t="s">
        <v>869</v>
      </c>
      <c r="G187" s="140" t="n">
        <v>46145</v>
      </c>
      <c r="H187" s="1" t="n">
        <v>1260</v>
      </c>
      <c r="I187" s="1" t="s">
        <v>1076</v>
      </c>
      <c r="J187" s="1" t="s">
        <v>1084</v>
      </c>
      <c r="K187" s="1" t="n">
        <v>1422.21</v>
      </c>
      <c r="M187" s="125" t="n">
        <f aca="false">Nominal_Activity[[#This Row],[Debit]]-Nominal_Activity[[#This Row],[Credit]]</f>
        <v>1422.21</v>
      </c>
      <c r="N187" s="149" t="str">
        <f aca="false">IF(C187="","",IFERROR(VLOOKUP(C187,Master_Mappings!$A$4:$E$85,3,FALSE()),"UNMAPPED"))</f>
        <v>Excluded — Project/Other</v>
      </c>
      <c r="O187" s="20" t="s">
        <v>1208</v>
      </c>
      <c r="P187" s="20" t="str">
        <f aca="false">IF($C187="","",$C187&amp;"|"&amp;$E187&amp;"|"&amp;$M187&amp;"|"&amp;TEXT($G187,"yyyy-mm-dd")&amp;"|"&amp;LEFT($J187,40))</f>
        <v>5200|43813|1422.21|2026-05-03|Fuel for vehicle</v>
      </c>
      <c r="Q187" s="20" t="str">
        <f aca="false">IF(P187="","",IF(COUNTIF($P$2:$P$3000,P187)&gt;1,"DUPLICATE","OK"))</f>
        <v>OK</v>
      </c>
      <c r="R187" s="0" t="str">
        <f aca="false">IF($C187="","",IFERROR(VLOOKUP(--$C187,MM_Income!$Z$5:$AC$204,3,FALSE()),""))</f>
        <v>Recoverable</v>
      </c>
    </row>
    <row r="188" customFormat="false" ht="14.9" hidden="false" customHeight="false" outlineLevel="0" collapsed="false">
      <c r="A188" s="20" t="s">
        <v>49</v>
      </c>
      <c r="B188" s="20" t="s">
        <v>85</v>
      </c>
      <c r="C188" s="1" t="n">
        <v>5200</v>
      </c>
      <c r="D188" s="1" t="s">
        <v>683</v>
      </c>
      <c r="E188" s="1" t="n">
        <v>43815</v>
      </c>
      <c r="F188" s="1" t="s">
        <v>869</v>
      </c>
      <c r="G188" s="140" t="n">
        <v>46144</v>
      </c>
      <c r="H188" s="1" t="n">
        <v>1260</v>
      </c>
      <c r="I188" s="1" t="s">
        <v>1076</v>
      </c>
      <c r="J188" s="1" t="s">
        <v>1085</v>
      </c>
      <c r="K188" s="1" t="n">
        <v>127.8</v>
      </c>
      <c r="M188" s="125" t="n">
        <f aca="false">Nominal_Activity[[#This Row],[Debit]]-Nominal_Activity[[#This Row],[Credit]]</f>
        <v>127.8</v>
      </c>
      <c r="N188" s="149" t="str">
        <f aca="false">IF(C188="","",IFERROR(VLOOKUP(C188,Master_Mappings!$A$4:$E$85,3,FALSE()),"UNMAPPED"))</f>
        <v>Excluded — Project/Other</v>
      </c>
      <c r="O188" s="20" t="s">
        <v>1208</v>
      </c>
      <c r="P188" s="20" t="str">
        <f aca="false">IF($C188="","",$C188&amp;"|"&amp;$E188&amp;"|"&amp;$M188&amp;"|"&amp;TEXT($G188,"yyyy-mm-dd")&amp;"|"&amp;LEFT($J188,40))</f>
        <v>5200|43815|127.8|2026-05-02|Food for 3 people</v>
      </c>
      <c r="Q188" s="20" t="str">
        <f aca="false">IF(P188="","",IF(COUNTIF($P$2:$P$3000,P188)&gt;1,"DUPLICATE","OK"))</f>
        <v>OK</v>
      </c>
      <c r="R188" s="0" t="str">
        <f aca="false">IF($C188="","",IFERROR(VLOOKUP(--$C188,MM_Income!$Z$5:$AC$204,3,FALSE()),""))</f>
        <v>Recoverable</v>
      </c>
    </row>
    <row r="189" customFormat="false" ht="14.9" hidden="false" customHeight="false" outlineLevel="0" collapsed="false">
      <c r="A189" s="20" t="s">
        <v>49</v>
      </c>
      <c r="B189" s="20" t="s">
        <v>85</v>
      </c>
      <c r="C189" s="1" t="n">
        <v>5200</v>
      </c>
      <c r="D189" s="1" t="s">
        <v>683</v>
      </c>
      <c r="E189" s="1" t="n">
        <v>43816</v>
      </c>
      <c r="F189" s="1" t="s">
        <v>869</v>
      </c>
      <c r="G189" s="140" t="n">
        <v>46144</v>
      </c>
      <c r="H189" s="1" t="n">
        <v>1260</v>
      </c>
      <c r="I189" s="1" t="s">
        <v>1076</v>
      </c>
      <c r="J189" s="1" t="s">
        <v>1085</v>
      </c>
      <c r="K189" s="1" t="n">
        <v>123.69</v>
      </c>
      <c r="M189" s="125" t="n">
        <f aca="false">Nominal_Activity[[#This Row],[Debit]]-Nominal_Activity[[#This Row],[Credit]]</f>
        <v>123.69</v>
      </c>
      <c r="N189" s="149" t="str">
        <f aca="false">IF(C189="","",IFERROR(VLOOKUP(C189,Master_Mappings!$A$4:$E$85,3,FALSE()),"UNMAPPED"))</f>
        <v>Excluded — Project/Other</v>
      </c>
      <c r="O189" s="20" t="s">
        <v>1208</v>
      </c>
      <c r="P189" s="20" t="str">
        <f aca="false">IF($C189="","",$C189&amp;"|"&amp;$E189&amp;"|"&amp;$M189&amp;"|"&amp;TEXT($G189,"yyyy-mm-dd")&amp;"|"&amp;LEFT($J189,40))</f>
        <v>5200|43816|123.69|2026-05-02|Food for 3 people</v>
      </c>
      <c r="Q189" s="20" t="str">
        <f aca="false">IF(P189="","",IF(COUNTIF($P$2:$P$3000,P189)&gt;1,"DUPLICATE","OK"))</f>
        <v>OK</v>
      </c>
      <c r="R189" s="0" t="str">
        <f aca="false">IF($C189="","",IFERROR(VLOOKUP(--$C189,MM_Income!$Z$5:$AC$204,3,FALSE()),""))</f>
        <v>Recoverable</v>
      </c>
    </row>
    <row r="190" customFormat="false" ht="14.9" hidden="false" customHeight="false" outlineLevel="0" collapsed="false">
      <c r="A190" s="20" t="s">
        <v>49</v>
      </c>
      <c r="B190" s="20" t="s">
        <v>85</v>
      </c>
      <c r="C190" s="1" t="n">
        <v>5200</v>
      </c>
      <c r="D190" s="1" t="s">
        <v>683</v>
      </c>
      <c r="E190" s="1" t="n">
        <v>43817</v>
      </c>
      <c r="F190" s="1" t="s">
        <v>869</v>
      </c>
      <c r="G190" s="140" t="n">
        <v>46144</v>
      </c>
      <c r="H190" s="1" t="n">
        <v>1260</v>
      </c>
      <c r="I190" s="1" t="s">
        <v>1076</v>
      </c>
      <c r="J190" s="1" t="s">
        <v>1086</v>
      </c>
      <c r="K190" s="1" t="n">
        <v>250</v>
      </c>
      <c r="M190" s="125" t="n">
        <f aca="false">Nominal_Activity[[#This Row],[Debit]]-Nominal_Activity[[#This Row],[Credit]]</f>
        <v>250</v>
      </c>
      <c r="N190" s="149" t="str">
        <f aca="false">IF(C190="","",IFERROR(VLOOKUP(C190,Master_Mappings!$A$4:$E$85,3,FALSE()),"UNMAPPED"))</f>
        <v>Excluded — Project/Other</v>
      </c>
      <c r="O190" s="20" t="s">
        <v>1208</v>
      </c>
      <c r="P190" s="20" t="str">
        <f aca="false">IF($C190="","",$C190&amp;"|"&amp;$E190&amp;"|"&amp;$M190&amp;"|"&amp;TEXT($G190,"yyyy-mm-dd")&amp;"|"&amp;LEFT($J190,40))</f>
        <v>5200|43817|250|2026-05-02|Hotel for 1</v>
      </c>
      <c r="Q190" s="20" t="str">
        <f aca="false">IF(P190="","",IF(COUNTIF($P$2:$P$3000,P190)&gt;1,"DUPLICATE","OK"))</f>
        <v>OK</v>
      </c>
      <c r="R190" s="0" t="str">
        <f aca="false">IF($C190="","",IFERROR(VLOOKUP(--$C190,MM_Income!$Z$5:$AC$204,3,FALSE()),""))</f>
        <v>Recoverable</v>
      </c>
    </row>
    <row r="191" customFormat="false" ht="14.9" hidden="false" customHeight="false" outlineLevel="0" collapsed="false">
      <c r="A191" s="20" t="s">
        <v>49</v>
      </c>
      <c r="B191" s="20" t="s">
        <v>85</v>
      </c>
      <c r="C191" s="1" t="n">
        <v>5200</v>
      </c>
      <c r="D191" s="1" t="s">
        <v>683</v>
      </c>
      <c r="E191" s="1" t="n">
        <v>43818</v>
      </c>
      <c r="F191" s="1" t="s">
        <v>869</v>
      </c>
      <c r="G191" s="140" t="n">
        <v>46144</v>
      </c>
      <c r="H191" s="1" t="n">
        <v>1260</v>
      </c>
      <c r="I191" s="1" t="s">
        <v>1076</v>
      </c>
      <c r="J191" s="1" t="s">
        <v>1084</v>
      </c>
      <c r="K191" s="1" t="n">
        <v>1727.5</v>
      </c>
      <c r="M191" s="125" t="n">
        <f aca="false">Nominal_Activity[[#This Row],[Debit]]-Nominal_Activity[[#This Row],[Credit]]</f>
        <v>1727.5</v>
      </c>
      <c r="N191" s="149" t="str">
        <f aca="false">IF(C191="","",IFERROR(VLOOKUP(C191,Master_Mappings!$A$4:$E$85,3,FALSE()),"UNMAPPED"))</f>
        <v>Excluded — Project/Other</v>
      </c>
      <c r="O191" s="20" t="s">
        <v>1208</v>
      </c>
      <c r="P191" s="20" t="str">
        <f aca="false">IF($C191="","",$C191&amp;"|"&amp;$E191&amp;"|"&amp;$M191&amp;"|"&amp;TEXT($G191,"yyyy-mm-dd")&amp;"|"&amp;LEFT($J191,40))</f>
        <v>5200|43818|1727.5|2026-05-02|Fuel for vehicle</v>
      </c>
      <c r="Q191" s="20" t="str">
        <f aca="false">IF(P191="","",IF(COUNTIF($P$2:$P$3000,P191)&gt;1,"DUPLICATE","OK"))</f>
        <v>OK</v>
      </c>
      <c r="R191" s="0" t="str">
        <f aca="false">IF($C191="","",IFERROR(VLOOKUP(--$C191,MM_Income!$Z$5:$AC$204,3,FALSE()),""))</f>
        <v>Recoverable</v>
      </c>
    </row>
    <row r="192" customFormat="false" ht="14.9" hidden="false" customHeight="false" outlineLevel="0" collapsed="false">
      <c r="A192" s="20" t="s">
        <v>49</v>
      </c>
      <c r="B192" s="20" t="s">
        <v>85</v>
      </c>
      <c r="C192" s="1" t="n">
        <v>5200</v>
      </c>
      <c r="D192" s="1" t="s">
        <v>683</v>
      </c>
      <c r="E192" s="1" t="n">
        <v>43819</v>
      </c>
      <c r="F192" s="1" t="s">
        <v>869</v>
      </c>
      <c r="G192" s="140" t="n">
        <v>46144</v>
      </c>
      <c r="H192" s="1" t="n">
        <v>1260</v>
      </c>
      <c r="I192" s="1" t="s">
        <v>1076</v>
      </c>
      <c r="J192" s="1" t="s">
        <v>1087</v>
      </c>
      <c r="K192" s="1" t="n">
        <v>3307.5</v>
      </c>
      <c r="M192" s="125" t="n">
        <f aca="false">Nominal_Activity[[#This Row],[Debit]]-Nominal_Activity[[#This Row],[Credit]]</f>
        <v>3307.5</v>
      </c>
      <c r="N192" s="149" t="str">
        <f aca="false">IF(C192="","",IFERROR(VLOOKUP(C192,Master_Mappings!$A$4:$E$85,3,FALSE()),"UNMAPPED"))</f>
        <v>Excluded — Project/Other</v>
      </c>
      <c r="O192" s="20" t="s">
        <v>1208</v>
      </c>
      <c r="P192" s="20" t="str">
        <f aca="false">IF($C192="","",$C192&amp;"|"&amp;$E192&amp;"|"&amp;$M192&amp;"|"&amp;TEXT($G192,"yyyy-mm-dd")&amp;"|"&amp;LEFT($J192,40))</f>
        <v>5200|43819|3307.5|2026-05-02|Hotel rooms for 3 people</v>
      </c>
      <c r="Q192" s="20" t="str">
        <f aca="false">IF(P192="","",IF(COUNTIF($P$2:$P$3000,P192)&gt;1,"DUPLICATE","OK"))</f>
        <v>OK</v>
      </c>
      <c r="R192" s="0" t="str">
        <f aca="false">IF($C192="","",IFERROR(VLOOKUP(--$C192,MM_Income!$Z$5:$AC$204,3,FALSE()),""))</f>
        <v>Recoverable</v>
      </c>
    </row>
    <row r="193" customFormat="false" ht="14.9" hidden="false" customHeight="false" outlineLevel="0" collapsed="false">
      <c r="A193" s="20" t="s">
        <v>49</v>
      </c>
      <c r="B193" s="20" t="s">
        <v>85</v>
      </c>
      <c r="C193" s="1" t="n">
        <v>5200</v>
      </c>
      <c r="D193" s="1" t="s">
        <v>683</v>
      </c>
      <c r="E193" s="1" t="n">
        <v>43820</v>
      </c>
      <c r="F193" s="1" t="s">
        <v>869</v>
      </c>
      <c r="G193" s="140" t="n">
        <v>46144</v>
      </c>
      <c r="H193" s="1" t="n">
        <v>1260</v>
      </c>
      <c r="I193" s="1" t="s">
        <v>1076</v>
      </c>
      <c r="J193" s="1" t="s">
        <v>1088</v>
      </c>
      <c r="K193" s="1" t="n">
        <v>226.68</v>
      </c>
      <c r="M193" s="125" t="n">
        <f aca="false">Nominal_Activity[[#This Row],[Debit]]-Nominal_Activity[[#This Row],[Credit]]</f>
        <v>226.68</v>
      </c>
      <c r="N193" s="149" t="str">
        <f aca="false">IF(C193="","",IFERROR(VLOOKUP(C193,Master_Mappings!$A$4:$E$85,3,FALSE()),"UNMAPPED"))</f>
        <v>Excluded — Project/Other</v>
      </c>
      <c r="O193" s="20" t="s">
        <v>1208</v>
      </c>
      <c r="P193" s="20" t="str">
        <f aca="false">IF($C193="","",$C193&amp;"|"&amp;$E193&amp;"|"&amp;$M193&amp;"|"&amp;TEXT($G193,"yyyy-mm-dd")&amp;"|"&amp;LEFT($J193,40))</f>
        <v>5200|43820|226.68|2026-05-02|Dinner for 3 with Water</v>
      </c>
      <c r="Q193" s="20" t="str">
        <f aca="false">IF(P193="","",IF(COUNTIF($P$2:$P$3000,P193)&gt;1,"DUPLICATE","OK"))</f>
        <v>OK</v>
      </c>
      <c r="R193" s="0" t="str">
        <f aca="false">IF($C193="","",IFERROR(VLOOKUP(--$C193,MM_Income!$Z$5:$AC$204,3,FALSE()),""))</f>
        <v>Recoverable</v>
      </c>
    </row>
    <row r="194" customFormat="false" ht="14.9" hidden="false" customHeight="false" outlineLevel="0" collapsed="false">
      <c r="A194" s="20" t="s">
        <v>49</v>
      </c>
      <c r="B194" s="20" t="s">
        <v>85</v>
      </c>
      <c r="C194" s="1" t="n">
        <v>5200</v>
      </c>
      <c r="D194" s="1" t="s">
        <v>683</v>
      </c>
      <c r="E194" s="1" t="n">
        <v>43821</v>
      </c>
      <c r="F194" s="1" t="s">
        <v>869</v>
      </c>
      <c r="G194" s="140" t="n">
        <v>46143</v>
      </c>
      <c r="H194" s="1" t="n">
        <v>1260</v>
      </c>
      <c r="I194" s="1" t="s">
        <v>1076</v>
      </c>
      <c r="J194" s="1" t="s">
        <v>1089</v>
      </c>
      <c r="K194" s="1" t="n">
        <v>614.57</v>
      </c>
      <c r="M194" s="125" t="n">
        <f aca="false">Nominal_Activity[[#This Row],[Debit]]-Nominal_Activity[[#This Row],[Credit]]</f>
        <v>614.57</v>
      </c>
      <c r="N194" s="149" t="str">
        <f aca="false">IF(C194="","",IFERROR(VLOOKUP(C194,Master_Mappings!$A$4:$E$85,3,FALSE()),"UNMAPPED"))</f>
        <v>Excluded — Project/Other</v>
      </c>
      <c r="O194" s="20" t="s">
        <v>1208</v>
      </c>
      <c r="P194" s="20" t="str">
        <f aca="false">IF($C194="","",$C194&amp;"|"&amp;$E194&amp;"|"&amp;$M194&amp;"|"&amp;TEXT($G194,"yyyy-mm-dd")&amp;"|"&amp;LEFT($J194,40))</f>
        <v>5200|43821|614.57|2026-05-01|Food and drinks for 4 people</v>
      </c>
      <c r="Q194" s="20" t="str">
        <f aca="false">IF(P194="","",IF(COUNTIF($P$2:$P$3000,P194)&gt;1,"DUPLICATE","OK"))</f>
        <v>OK</v>
      </c>
      <c r="R194" s="0" t="str">
        <f aca="false">IF($C194="","",IFERROR(VLOOKUP(--$C194,MM_Income!$Z$5:$AC$204,3,FALSE()),""))</f>
        <v>Recoverable</v>
      </c>
    </row>
    <row r="195" customFormat="false" ht="14.9" hidden="false" customHeight="false" outlineLevel="0" collapsed="false">
      <c r="A195" s="20" t="s">
        <v>49</v>
      </c>
      <c r="B195" s="20" t="s">
        <v>85</v>
      </c>
      <c r="C195" s="1" t="n">
        <v>5200</v>
      </c>
      <c r="D195" s="1" t="s">
        <v>683</v>
      </c>
      <c r="E195" s="1" t="n">
        <v>43822</v>
      </c>
      <c r="F195" s="1" t="s">
        <v>869</v>
      </c>
      <c r="G195" s="140" t="n">
        <v>46143</v>
      </c>
      <c r="H195" s="1" t="n">
        <v>1260</v>
      </c>
      <c r="I195" s="1" t="s">
        <v>1076</v>
      </c>
      <c r="J195" s="1" t="s">
        <v>1084</v>
      </c>
      <c r="K195" s="1" t="n">
        <v>1200</v>
      </c>
      <c r="M195" s="125" t="n">
        <f aca="false">Nominal_Activity[[#This Row],[Debit]]-Nominal_Activity[[#This Row],[Credit]]</f>
        <v>1200</v>
      </c>
      <c r="N195" s="149" t="str">
        <f aca="false">IF(C195="","",IFERROR(VLOOKUP(C195,Master_Mappings!$A$4:$E$85,3,FALSE()),"UNMAPPED"))</f>
        <v>Excluded — Project/Other</v>
      </c>
      <c r="O195" s="20" t="s">
        <v>1208</v>
      </c>
      <c r="P195" s="20" t="str">
        <f aca="false">IF($C195="","",$C195&amp;"|"&amp;$E195&amp;"|"&amp;$M195&amp;"|"&amp;TEXT($G195,"yyyy-mm-dd")&amp;"|"&amp;LEFT($J195,40))</f>
        <v>5200|43822|1200|2026-05-01|Fuel for vehicle</v>
      </c>
      <c r="Q195" s="20" t="str">
        <f aca="false">IF(P195="","",IF(COUNTIF($P$2:$P$3000,P195)&gt;1,"DUPLICATE","OK"))</f>
        <v>OK</v>
      </c>
      <c r="R195" s="0" t="str">
        <f aca="false">IF($C195="","",IFERROR(VLOOKUP(--$C195,MM_Income!$Z$5:$AC$204,3,FALSE()),""))</f>
        <v>Recoverable</v>
      </c>
    </row>
    <row r="196" customFormat="false" ht="14.9" hidden="false" customHeight="false" outlineLevel="0" collapsed="false">
      <c r="A196" s="20" t="s">
        <v>49</v>
      </c>
      <c r="B196" s="20" t="s">
        <v>85</v>
      </c>
      <c r="C196" s="1" t="n">
        <v>5200</v>
      </c>
      <c r="D196" s="1" t="s">
        <v>683</v>
      </c>
      <c r="E196" s="1" t="n">
        <v>43823</v>
      </c>
      <c r="F196" s="1" t="s">
        <v>869</v>
      </c>
      <c r="G196" s="140" t="n">
        <v>46143</v>
      </c>
      <c r="H196" s="1" t="n">
        <v>1260</v>
      </c>
      <c r="I196" s="1" t="s">
        <v>1076</v>
      </c>
      <c r="J196" s="1" t="s">
        <v>1090</v>
      </c>
      <c r="K196" s="1" t="n">
        <v>150</v>
      </c>
      <c r="M196" s="125" t="n">
        <f aca="false">Nominal_Activity[[#This Row],[Debit]]-Nominal_Activity[[#This Row],[Credit]]</f>
        <v>150</v>
      </c>
      <c r="N196" s="149" t="str">
        <f aca="false">IF(C196="","",IFERROR(VLOOKUP(C196,Master_Mappings!$A$4:$E$85,3,FALSE()),"UNMAPPED"))</f>
        <v>Excluded — Project/Other</v>
      </c>
      <c r="O196" s="20" t="s">
        <v>1208</v>
      </c>
      <c r="P196" s="20" t="str">
        <f aca="false">IF($C196="","",$C196&amp;"|"&amp;$E196&amp;"|"&amp;$M196&amp;"|"&amp;TEXT($G196,"yyyy-mm-dd")&amp;"|"&amp;LEFT($J196,40))</f>
        <v>5200|43823|150|2026-05-01|Food and delivery for 1</v>
      </c>
      <c r="Q196" s="20" t="str">
        <f aca="false">IF(P196="","",IF(COUNTIF($P$2:$P$3000,P196)&gt;1,"DUPLICATE","OK"))</f>
        <v>OK</v>
      </c>
      <c r="R196" s="0" t="str">
        <f aca="false">IF($C196="","",IFERROR(VLOOKUP(--$C196,MM_Income!$Z$5:$AC$204,3,FALSE()),""))</f>
        <v>Recoverable</v>
      </c>
    </row>
    <row r="197" customFormat="false" ht="14.9" hidden="false" customHeight="false" outlineLevel="0" collapsed="false">
      <c r="A197" s="20" t="s">
        <v>49</v>
      </c>
      <c r="B197" s="20" t="s">
        <v>85</v>
      </c>
      <c r="C197" s="1" t="n">
        <v>5200</v>
      </c>
      <c r="D197" s="1" t="s">
        <v>683</v>
      </c>
      <c r="E197" s="1" t="n">
        <v>43824</v>
      </c>
      <c r="F197" s="1" t="s">
        <v>869</v>
      </c>
      <c r="G197" s="140" t="n">
        <v>46142</v>
      </c>
      <c r="H197" s="1" t="n">
        <v>1260</v>
      </c>
      <c r="I197" s="1" t="s">
        <v>1076</v>
      </c>
      <c r="J197" s="1" t="s">
        <v>1084</v>
      </c>
      <c r="K197" s="1" t="n">
        <v>1700</v>
      </c>
      <c r="M197" s="125" t="n">
        <f aca="false">Nominal_Activity[[#This Row],[Debit]]-Nominal_Activity[[#This Row],[Credit]]</f>
        <v>1700</v>
      </c>
      <c r="N197" s="149" t="str">
        <f aca="false">IF(C197="","",IFERROR(VLOOKUP(C197,Master_Mappings!$A$4:$E$85,3,FALSE()),"UNMAPPED"))</f>
        <v>Excluded — Project/Other</v>
      </c>
      <c r="O197" s="20" t="s">
        <v>1208</v>
      </c>
      <c r="P197" s="20" t="str">
        <f aca="false">IF($C197="","",$C197&amp;"|"&amp;$E197&amp;"|"&amp;$M197&amp;"|"&amp;TEXT($G197,"yyyy-mm-dd")&amp;"|"&amp;LEFT($J197,40))</f>
        <v>5200|43824|1700|2026-04-30|Fuel for vehicle</v>
      </c>
      <c r="Q197" s="20" t="str">
        <f aca="false">IF(P197="","",IF(COUNTIF($P$2:$P$3000,P197)&gt;1,"DUPLICATE","OK"))</f>
        <v>OK</v>
      </c>
      <c r="R197" s="0" t="str">
        <f aca="false">IF($C197="","",IFERROR(VLOOKUP(--$C197,MM_Income!$Z$5:$AC$204,3,FALSE()),""))</f>
        <v>Recoverable</v>
      </c>
    </row>
    <row r="198" customFormat="false" ht="14.9" hidden="false" customHeight="false" outlineLevel="0" collapsed="false">
      <c r="A198" s="20" t="s">
        <v>49</v>
      </c>
      <c r="B198" s="20" t="s">
        <v>85</v>
      </c>
      <c r="C198" s="1" t="n">
        <v>5200</v>
      </c>
      <c r="D198" s="1" t="s">
        <v>683</v>
      </c>
      <c r="E198" s="1" t="n">
        <v>43825</v>
      </c>
      <c r="F198" s="1" t="s">
        <v>869</v>
      </c>
      <c r="G198" s="140" t="n">
        <v>46142</v>
      </c>
      <c r="H198" s="1" t="n">
        <v>1260</v>
      </c>
      <c r="I198" s="1" t="s">
        <v>1076</v>
      </c>
      <c r="J198" s="1" t="s">
        <v>1091</v>
      </c>
      <c r="K198" s="1" t="n">
        <v>350</v>
      </c>
      <c r="M198" s="125" t="n">
        <f aca="false">Nominal_Activity[[#This Row],[Debit]]-Nominal_Activity[[#This Row],[Credit]]</f>
        <v>350</v>
      </c>
      <c r="N198" s="149" t="str">
        <f aca="false">IF(C198="","",IFERROR(VLOOKUP(C198,Master_Mappings!$A$4:$E$85,3,FALSE()),"UNMAPPED"))</f>
        <v>Excluded — Project/Other</v>
      </c>
      <c r="O198" s="20" t="s">
        <v>1208</v>
      </c>
      <c r="P198" s="20" t="str">
        <f aca="false">IF($C198="","",$C198&amp;"|"&amp;$E198&amp;"|"&amp;$M198&amp;"|"&amp;TEXT($G198,"yyyy-mm-dd")&amp;"|"&amp;LEFT($J198,40))</f>
        <v>5200|43825|350|2026-04-30|Food and drinks for 3</v>
      </c>
      <c r="Q198" s="20" t="str">
        <f aca="false">IF(P198="","",IF(COUNTIF($P$2:$P$3000,P198)&gt;1,"DUPLICATE","OK"))</f>
        <v>OK</v>
      </c>
      <c r="R198" s="0" t="str">
        <f aca="false">IF($C198="","",IFERROR(VLOOKUP(--$C198,MM_Income!$Z$5:$AC$204,3,FALSE()),""))</f>
        <v>Recoverable</v>
      </c>
    </row>
    <row r="199" customFormat="false" ht="14.9" hidden="false" customHeight="false" outlineLevel="0" collapsed="false">
      <c r="A199" s="20" t="s">
        <v>49</v>
      </c>
      <c r="B199" s="20" t="s">
        <v>85</v>
      </c>
      <c r="C199" s="1" t="n">
        <v>5200</v>
      </c>
      <c r="D199" s="1" t="s">
        <v>683</v>
      </c>
      <c r="E199" s="1" t="n">
        <v>43826</v>
      </c>
      <c r="F199" s="1" t="s">
        <v>869</v>
      </c>
      <c r="G199" s="140" t="n">
        <v>46141</v>
      </c>
      <c r="H199" s="1" t="n">
        <v>1260</v>
      </c>
      <c r="I199" s="1" t="s">
        <v>1076</v>
      </c>
      <c r="J199" s="1" t="s">
        <v>1092</v>
      </c>
      <c r="K199" s="1" t="n">
        <v>130.97</v>
      </c>
      <c r="M199" s="125" t="n">
        <f aca="false">Nominal_Activity[[#This Row],[Debit]]-Nominal_Activity[[#This Row],[Credit]]</f>
        <v>130.97</v>
      </c>
      <c r="N199" s="149" t="str">
        <f aca="false">IF(C199="","",IFERROR(VLOOKUP(C199,Master_Mappings!$A$4:$E$85,3,FALSE()),"UNMAPPED"))</f>
        <v>Excluded — Project/Other</v>
      </c>
      <c r="O199" s="20" t="s">
        <v>1208</v>
      </c>
      <c r="P199" s="20" t="str">
        <f aca="false">IF($C199="","",$C199&amp;"|"&amp;$E199&amp;"|"&amp;$M199&amp;"|"&amp;TEXT($G199,"yyyy-mm-dd")&amp;"|"&amp;LEFT($J199,40))</f>
        <v>5200|43826|130.97|2026-04-29|Dinner and delivery for 1</v>
      </c>
      <c r="Q199" s="20" t="str">
        <f aca="false">IF(P199="","",IF(COUNTIF($P$2:$P$3000,P199)&gt;1,"DUPLICATE","OK"))</f>
        <v>OK</v>
      </c>
      <c r="R199" s="0" t="str">
        <f aca="false">IF($C199="","",IFERROR(VLOOKUP(--$C199,MM_Income!$Z$5:$AC$204,3,FALSE()),""))</f>
        <v>Recoverable</v>
      </c>
    </row>
    <row r="200" customFormat="false" ht="14.9" hidden="false" customHeight="false" outlineLevel="0" collapsed="false">
      <c r="A200" s="20" t="s">
        <v>49</v>
      </c>
      <c r="B200" s="20" t="s">
        <v>85</v>
      </c>
      <c r="C200" s="1" t="n">
        <v>5200</v>
      </c>
      <c r="D200" s="1" t="s">
        <v>683</v>
      </c>
      <c r="E200" s="1" t="n">
        <v>43827</v>
      </c>
      <c r="F200" s="1" t="s">
        <v>869</v>
      </c>
      <c r="G200" s="140" t="n">
        <v>46141</v>
      </c>
      <c r="H200" s="1" t="n">
        <v>1260</v>
      </c>
      <c r="I200" s="1" t="s">
        <v>1076</v>
      </c>
      <c r="J200" s="1" t="s">
        <v>1087</v>
      </c>
      <c r="K200" s="1" t="n">
        <v>1180</v>
      </c>
      <c r="M200" s="125" t="n">
        <f aca="false">Nominal_Activity[[#This Row],[Debit]]-Nominal_Activity[[#This Row],[Credit]]</f>
        <v>1180</v>
      </c>
      <c r="N200" s="149" t="str">
        <f aca="false">IF(C200="","",IFERROR(VLOOKUP(C200,Master_Mappings!$A$4:$E$85,3,FALSE()),"UNMAPPED"))</f>
        <v>Excluded — Project/Other</v>
      </c>
      <c r="O200" s="20" t="s">
        <v>1208</v>
      </c>
      <c r="P200" s="20" t="str">
        <f aca="false">IF($C200="","",$C200&amp;"|"&amp;$E200&amp;"|"&amp;$M200&amp;"|"&amp;TEXT($G200,"yyyy-mm-dd")&amp;"|"&amp;LEFT($J200,40))</f>
        <v>5200|43827|1180|2026-04-29|Hotel rooms for 3 people</v>
      </c>
      <c r="Q200" s="20" t="str">
        <f aca="false">IF(P200="","",IF(COUNTIF($P$2:$P$3000,P200)&gt;1,"DUPLICATE","OK"))</f>
        <v>OK</v>
      </c>
      <c r="R200" s="0" t="str">
        <f aca="false">IF($C200="","",IFERROR(VLOOKUP(--$C200,MM_Income!$Z$5:$AC$204,3,FALSE()),""))</f>
        <v>Recoverable</v>
      </c>
    </row>
    <row r="201" customFormat="false" ht="14.9" hidden="false" customHeight="false" outlineLevel="0" collapsed="false">
      <c r="A201" s="20" t="s">
        <v>49</v>
      </c>
      <c r="B201" s="20" t="s">
        <v>85</v>
      </c>
      <c r="C201" s="1" t="n">
        <v>5200</v>
      </c>
      <c r="D201" s="1" t="s">
        <v>683</v>
      </c>
      <c r="E201" s="1" t="n">
        <v>43828</v>
      </c>
      <c r="F201" s="1" t="s">
        <v>869</v>
      </c>
      <c r="G201" s="140" t="n">
        <v>46141</v>
      </c>
      <c r="H201" s="1" t="n">
        <v>1260</v>
      </c>
      <c r="I201" s="1" t="s">
        <v>1076</v>
      </c>
      <c r="J201" s="1" t="s">
        <v>1091</v>
      </c>
      <c r="K201" s="1" t="n">
        <v>290</v>
      </c>
      <c r="M201" s="125" t="n">
        <f aca="false">Nominal_Activity[[#This Row],[Debit]]-Nominal_Activity[[#This Row],[Credit]]</f>
        <v>290</v>
      </c>
      <c r="N201" s="149" t="str">
        <f aca="false">IF(C201="","",IFERROR(VLOOKUP(C201,Master_Mappings!$A$4:$E$85,3,FALSE()),"UNMAPPED"))</f>
        <v>Excluded — Project/Other</v>
      </c>
      <c r="O201" s="20" t="s">
        <v>1208</v>
      </c>
      <c r="P201" s="20" t="str">
        <f aca="false">IF($C201="","",$C201&amp;"|"&amp;$E201&amp;"|"&amp;$M201&amp;"|"&amp;TEXT($G201,"yyyy-mm-dd")&amp;"|"&amp;LEFT($J201,40))</f>
        <v>5200|43828|290|2026-04-29|Food and drinks for 3</v>
      </c>
      <c r="Q201" s="20" t="str">
        <f aca="false">IF(P201="","",IF(COUNTIF($P$2:$P$3000,P201)&gt;1,"DUPLICATE","OK"))</f>
        <v>OK</v>
      </c>
      <c r="R201" s="0" t="str">
        <f aca="false">IF($C201="","",IFERROR(VLOOKUP(--$C201,MM_Income!$Z$5:$AC$204,3,FALSE()),""))</f>
        <v>Recoverable</v>
      </c>
    </row>
    <row r="202" customFormat="false" ht="14.9" hidden="false" customHeight="false" outlineLevel="0" collapsed="false">
      <c r="A202" s="20" t="s">
        <v>49</v>
      </c>
      <c r="B202" s="20" t="s">
        <v>85</v>
      </c>
      <c r="C202" s="1" t="n">
        <v>5200</v>
      </c>
      <c r="D202" s="1" t="s">
        <v>683</v>
      </c>
      <c r="E202" s="1" t="n">
        <v>43829</v>
      </c>
      <c r="F202" s="1" t="s">
        <v>869</v>
      </c>
      <c r="G202" s="140" t="n">
        <v>46123</v>
      </c>
      <c r="H202" s="1" t="n">
        <v>1260</v>
      </c>
      <c r="I202" s="1" t="s">
        <v>1093</v>
      </c>
      <c r="J202" s="1" t="s">
        <v>885</v>
      </c>
      <c r="K202" s="1" t="n">
        <v>86</v>
      </c>
      <c r="M202" s="125" t="n">
        <f aca="false">Nominal_Activity[[#This Row],[Debit]]-Nominal_Activity[[#This Row],[Credit]]</f>
        <v>86</v>
      </c>
      <c r="N202" s="149" t="str">
        <f aca="false">IF(C202="","",IFERROR(VLOOKUP(C202,Master_Mappings!$A$4:$E$85,3,FALSE()),"UNMAPPED"))</f>
        <v>Excluded — Project/Other</v>
      </c>
      <c r="O202" s="20" t="s">
        <v>1208</v>
      </c>
      <c r="P202" s="20" t="str">
        <f aca="false">IF($C202="","",$C202&amp;"|"&amp;$E202&amp;"|"&amp;$M202&amp;"|"&amp;TEXT($G202,"yyyy-mm-dd")&amp;"|"&amp;LEFT($J202,40))</f>
        <v>5200|43829|86|2026-04-11|Bolt from airport to home</v>
      </c>
      <c r="Q202" s="20" t="str">
        <f aca="false">IF(P202="","",IF(COUNTIF($P$2:$P$3000,P202)&gt;1,"DUPLICATE","OK"))</f>
        <v>OK</v>
      </c>
      <c r="R202" s="0" t="str">
        <f aca="false">IF($C202="","",IFERROR(VLOOKUP(--$C202,MM_Income!$Z$5:$AC$204,3,FALSE()),""))</f>
        <v>Recoverable</v>
      </c>
    </row>
    <row r="203" customFormat="false" ht="14.9" hidden="false" customHeight="false" outlineLevel="0" collapsed="false">
      <c r="A203" s="20" t="s">
        <v>49</v>
      </c>
      <c r="B203" s="20" t="s">
        <v>85</v>
      </c>
      <c r="C203" s="1" t="n">
        <v>5200</v>
      </c>
      <c r="D203" s="1" t="s">
        <v>683</v>
      </c>
      <c r="E203" s="1" t="n">
        <v>43830</v>
      </c>
      <c r="F203" s="1" t="s">
        <v>869</v>
      </c>
      <c r="G203" s="140" t="n">
        <v>46120</v>
      </c>
      <c r="H203" s="1" t="n">
        <v>1260</v>
      </c>
      <c r="I203" s="1" t="s">
        <v>1093</v>
      </c>
      <c r="J203" s="1" t="s">
        <v>1094</v>
      </c>
      <c r="K203" s="1" t="n">
        <v>113</v>
      </c>
      <c r="M203" s="125" t="n">
        <f aca="false">Nominal_Activity[[#This Row],[Debit]]-Nominal_Activity[[#This Row],[Credit]]</f>
        <v>113</v>
      </c>
      <c r="N203" s="149" t="str">
        <f aca="false">IF(C203="","",IFERROR(VLOOKUP(C203,Master_Mappings!$A$4:$E$85,3,FALSE()),"UNMAPPED"))</f>
        <v>Excluded — Project/Other</v>
      </c>
      <c r="O203" s="20" t="s">
        <v>1208</v>
      </c>
      <c r="P203" s="20" t="str">
        <f aca="false">IF($C203="","",$C203&amp;"|"&amp;$E203&amp;"|"&amp;$M203&amp;"|"&amp;TEXT($G203,"yyyy-mm-dd")&amp;"|"&amp;LEFT($J203,40))</f>
        <v>5200|43830|113|2026-04-08|Bolt from home to airport</v>
      </c>
      <c r="Q203" s="20" t="str">
        <f aca="false">IF(P203="","",IF(COUNTIF($P$2:$P$3000,P203)&gt;1,"DUPLICATE","OK"))</f>
        <v>OK</v>
      </c>
      <c r="R203" s="0" t="str">
        <f aca="false">IF($C203="","",IFERROR(VLOOKUP(--$C203,MM_Income!$Z$5:$AC$204,3,FALSE()),""))</f>
        <v>Recoverable</v>
      </c>
    </row>
    <row r="204" customFormat="false" ht="14.9" hidden="false" customHeight="false" outlineLevel="0" collapsed="false">
      <c r="A204" s="20" t="s">
        <v>49</v>
      </c>
      <c r="B204" s="20" t="s">
        <v>85</v>
      </c>
      <c r="C204" s="1" t="n">
        <v>5200</v>
      </c>
      <c r="D204" s="1" t="s">
        <v>683</v>
      </c>
      <c r="E204" s="1" t="n">
        <v>43844</v>
      </c>
      <c r="F204" s="1" t="s">
        <v>869</v>
      </c>
      <c r="G204" s="140" t="n">
        <v>46113</v>
      </c>
      <c r="H204" s="1" t="n">
        <v>1260</v>
      </c>
      <c r="I204" s="1" t="s">
        <v>1234</v>
      </c>
      <c r="J204" s="1" t="s">
        <v>1235</v>
      </c>
      <c r="K204" s="1" t="n">
        <v>2003.71</v>
      </c>
      <c r="M204" s="125" t="n">
        <f aca="false">Nominal_Activity[[#This Row],[Debit]]-Nominal_Activity[[#This Row],[Credit]]</f>
        <v>2003.71</v>
      </c>
      <c r="N204" s="149" t="str">
        <f aca="false">IF(C204="","",IFERROR(VLOOKUP(C204,Master_Mappings!$A$4:$E$85,3,FALSE()),"UNMAPPED"))</f>
        <v>Excluded — Project/Other</v>
      </c>
      <c r="O204" s="20" t="s">
        <v>1208</v>
      </c>
      <c r="P204" s="20" t="str">
        <f aca="false">IF($C204="","",$C204&amp;"|"&amp;$E204&amp;"|"&amp;$M204&amp;"|"&amp;TEXT($G204,"yyyy-mm-dd")&amp;"|"&amp;LEFT($J204,40))</f>
        <v>5200|43844|2003.71|2026-04-01|Bags for nursery in borotou and Zuenoula</v>
      </c>
      <c r="Q204" s="20" t="str">
        <f aca="false">IF(P204="","",IF(COUNTIF($P$2:$P$3000,P204)&gt;1,"DUPLICATE","OK"))</f>
        <v>OK</v>
      </c>
      <c r="R204" s="0" t="str">
        <f aca="false">IF($C204="","",IFERROR(VLOOKUP(--$C204,MM_Income!$Z$5:$AC$204,3,FALSE()),""))</f>
        <v>Recoverable</v>
      </c>
    </row>
    <row r="205" customFormat="false" ht="14.9" hidden="false" customHeight="false" outlineLevel="0" collapsed="false">
      <c r="A205" s="20" t="s">
        <v>49</v>
      </c>
      <c r="B205" s="20" t="s">
        <v>85</v>
      </c>
      <c r="C205" s="1" t="n">
        <v>5200</v>
      </c>
      <c r="D205" s="1" t="s">
        <v>683</v>
      </c>
      <c r="E205" s="1" t="n">
        <v>43845</v>
      </c>
      <c r="F205" s="1" t="s">
        <v>869</v>
      </c>
      <c r="G205" s="140" t="n">
        <v>46113</v>
      </c>
      <c r="H205" s="1" t="n">
        <v>1260</v>
      </c>
      <c r="I205" s="1" t="s">
        <v>1234</v>
      </c>
      <c r="J205" s="1" t="s">
        <v>1236</v>
      </c>
      <c r="K205" s="1" t="n">
        <v>50092.74</v>
      </c>
      <c r="M205" s="125" t="n">
        <f aca="false">Nominal_Activity[[#This Row],[Debit]]-Nominal_Activity[[#This Row],[Credit]]</f>
        <v>50092.74</v>
      </c>
      <c r="N205" s="149" t="str">
        <f aca="false">IF(C205="","",IFERROR(VLOOKUP(C205,Master_Mappings!$A$4:$E$85,3,FALSE()),"UNMAPPED"))</f>
        <v>Excluded — Project/Other</v>
      </c>
      <c r="O205" s="20" t="s">
        <v>1208</v>
      </c>
      <c r="P205" s="20" t="str">
        <f aca="false">IF($C205="","",$C205&amp;"|"&amp;$E205&amp;"|"&amp;$M205&amp;"|"&amp;TEXT($G205,"yyyy-mm-dd")&amp;"|"&amp;LEFT($J205,40))</f>
        <v>5200|43845|50092.74|2026-04-01|Stump for nestle tree planting</v>
      </c>
      <c r="Q205" s="20" t="str">
        <f aca="false">IF(P205="","",IF(COUNTIF($P$2:$P$3000,P205)&gt;1,"DUPLICATE","OK"))</f>
        <v>OK</v>
      </c>
      <c r="R205" s="0" t="str">
        <f aca="false">IF($C205="","",IFERROR(VLOOKUP(--$C205,MM_Income!$Z$5:$AC$204,3,FALSE()),""))</f>
        <v>Recoverable</v>
      </c>
    </row>
    <row r="206" customFormat="false" ht="14.9" hidden="false" customHeight="false" outlineLevel="0" collapsed="false">
      <c r="A206" s="20" t="s">
        <v>49</v>
      </c>
      <c r="B206" s="20" t="s">
        <v>85</v>
      </c>
      <c r="C206" s="1" t="n">
        <v>5200</v>
      </c>
      <c r="D206" s="1" t="s">
        <v>683</v>
      </c>
      <c r="E206" s="1" t="n">
        <v>44120</v>
      </c>
      <c r="F206" s="1" t="s">
        <v>847</v>
      </c>
      <c r="G206" s="140" t="n">
        <v>46203</v>
      </c>
      <c r="H206" s="1" t="s">
        <v>1138</v>
      </c>
      <c r="I206" s="1" t="s">
        <v>1139</v>
      </c>
      <c r="J206" s="1" t="s">
        <v>1140</v>
      </c>
      <c r="K206" s="1" t="n">
        <v>324.45</v>
      </c>
      <c r="M206" s="125" t="n">
        <f aca="false">Nominal_Activity[[#This Row],[Debit]]-Nominal_Activity[[#This Row],[Credit]]</f>
        <v>324.45</v>
      </c>
      <c r="N206" s="149" t="str">
        <f aca="false">IF(C206="","",IFERROR(VLOOKUP(C206,Master_Mappings!$A$4:$E$85,3,FALSE()),"UNMAPPED"))</f>
        <v>Excluded — Project/Other</v>
      </c>
      <c r="O206" s="20" t="s">
        <v>1208</v>
      </c>
      <c r="P206" s="20" t="str">
        <f aca="false">IF($C206="","",$C206&amp;"|"&amp;$E206&amp;"|"&amp;$M206&amp;"|"&amp;TEXT($G206,"yyyy-mm-dd")&amp;"|"&amp;LEFT($J206,40))</f>
        <v>5200|44120|324.45|2026-06-30|Cambodia Visa Application for Aristo for</v>
      </c>
      <c r="Q206" s="20" t="str">
        <f aca="false">IF(P206="","",IF(COUNTIF($P$2:$P$3000,P206)&gt;1,"DUPLICATE","OK"))</f>
        <v>OK</v>
      </c>
      <c r="R206" s="0" t="str">
        <f aca="false">IF($C206="","",IFERROR(VLOOKUP(--$C206,MM_Income!$Z$5:$AC$204,3,FALSE()),""))</f>
        <v>Recoverable</v>
      </c>
    </row>
    <row r="207" customFormat="false" ht="14.9" hidden="false" customHeight="false" outlineLevel="0" collapsed="false">
      <c r="A207" s="20" t="s">
        <v>49</v>
      </c>
      <c r="B207" s="20" t="s">
        <v>85</v>
      </c>
      <c r="C207" s="1" t="n">
        <v>5200</v>
      </c>
      <c r="D207" s="1" t="s">
        <v>683</v>
      </c>
      <c r="E207" s="1" t="n">
        <v>44125</v>
      </c>
      <c r="F207" s="1" t="s">
        <v>847</v>
      </c>
      <c r="G207" s="140" t="n">
        <v>46203</v>
      </c>
      <c r="H207" s="1" t="s">
        <v>1138</v>
      </c>
      <c r="I207" s="1" t="s">
        <v>1141</v>
      </c>
      <c r="J207" s="1" t="s">
        <v>1142</v>
      </c>
      <c r="K207" s="1" t="n">
        <v>163.82</v>
      </c>
      <c r="M207" s="125" t="n">
        <f aca="false">Nominal_Activity[[#This Row],[Debit]]-Nominal_Activity[[#This Row],[Credit]]</f>
        <v>163.82</v>
      </c>
      <c r="N207" s="149" t="str">
        <f aca="false">IF(C207="","",IFERROR(VLOOKUP(C207,Master_Mappings!$A$4:$E$85,3,FALSE()),"UNMAPPED"))</f>
        <v>Excluded — Project/Other</v>
      </c>
      <c r="O207" s="20" t="s">
        <v>1208</v>
      </c>
      <c r="P207" s="20" t="str">
        <f aca="false">IF($C207="","",$C207&amp;"|"&amp;$E207&amp;"|"&amp;$M207&amp;"|"&amp;TEXT($G207,"yyyy-mm-dd")&amp;"|"&amp;LEFT($J207,40))</f>
        <v>5200|44125|163.82|2026-06-30|Meals for Aristo and Ryan</v>
      </c>
      <c r="Q207" s="20" t="str">
        <f aca="false">IF(P207="","",IF(COUNTIF($P$2:$P$3000,P207)&gt;1,"DUPLICATE","OK"))</f>
        <v>OK</v>
      </c>
      <c r="R207" s="0" t="str">
        <f aca="false">IF($C207="","",IFERROR(VLOOKUP(--$C207,MM_Income!$Z$5:$AC$204,3,FALSE()),""))</f>
        <v>Recoverable</v>
      </c>
    </row>
    <row r="208" customFormat="false" ht="14.9" hidden="false" customHeight="false" outlineLevel="0" collapsed="false">
      <c r="A208" s="20" t="s">
        <v>49</v>
      </c>
      <c r="B208" s="20" t="s">
        <v>85</v>
      </c>
      <c r="C208" s="1" t="n">
        <v>5200</v>
      </c>
      <c r="D208" s="1" t="s">
        <v>683</v>
      </c>
      <c r="E208" s="1" t="n">
        <v>44126</v>
      </c>
      <c r="F208" s="1" t="s">
        <v>847</v>
      </c>
      <c r="G208" s="140" t="n">
        <v>46203</v>
      </c>
      <c r="H208" s="1" t="s">
        <v>1138</v>
      </c>
      <c r="I208" s="1" t="s">
        <v>1141</v>
      </c>
      <c r="J208" s="1" t="s">
        <v>1143</v>
      </c>
      <c r="K208" s="1" t="n">
        <v>505.6</v>
      </c>
      <c r="M208" s="125" t="n">
        <f aca="false">Nominal_Activity[[#This Row],[Debit]]-Nominal_Activity[[#This Row],[Credit]]</f>
        <v>505.6</v>
      </c>
      <c r="N208" s="149" t="str">
        <f aca="false">IF(C208="","",IFERROR(VLOOKUP(C208,Master_Mappings!$A$4:$E$85,3,FALSE()),"UNMAPPED"))</f>
        <v>Excluded — Project/Other</v>
      </c>
      <c r="O208" s="20" t="s">
        <v>1208</v>
      </c>
      <c r="P208" s="20" t="str">
        <f aca="false">IF($C208="","",$C208&amp;"|"&amp;$E208&amp;"|"&amp;$M208&amp;"|"&amp;TEXT($G208,"yyyy-mm-dd")&amp;"|"&amp;LEFT($J208,40))</f>
        <v>5200|44126|505.6|2026-06-30|Return bus ticket from OXF to Heathrow A</v>
      </c>
      <c r="Q208" s="20" t="str">
        <f aca="false">IF(P208="","",IF(COUNTIF($P$2:$P$3000,P208)&gt;1,"DUPLICATE","OK"))</f>
        <v>OK</v>
      </c>
      <c r="R208" s="0" t="str">
        <f aca="false">IF($C208="","",IFERROR(VLOOKUP(--$C208,MM_Income!$Z$5:$AC$204,3,FALSE()),""))</f>
        <v>Recoverable</v>
      </c>
    </row>
    <row r="209" customFormat="false" ht="14.9" hidden="false" customHeight="false" outlineLevel="0" collapsed="false">
      <c r="A209" s="20" t="s">
        <v>49</v>
      </c>
      <c r="B209" s="20" t="s">
        <v>85</v>
      </c>
      <c r="C209" s="1" t="n">
        <v>5200</v>
      </c>
      <c r="D209" s="1" t="s">
        <v>683</v>
      </c>
      <c r="E209" s="1" t="n">
        <v>44127</v>
      </c>
      <c r="F209" s="1" t="s">
        <v>847</v>
      </c>
      <c r="G209" s="140" t="n">
        <v>46203</v>
      </c>
      <c r="H209" s="1" t="s">
        <v>1138</v>
      </c>
      <c r="I209" s="1" t="s">
        <v>1141</v>
      </c>
      <c r="J209" s="1" t="s">
        <v>1144</v>
      </c>
      <c r="K209" s="1" t="n">
        <v>291.66</v>
      </c>
      <c r="M209" s="125" t="n">
        <f aca="false">Nominal_Activity[[#This Row],[Debit]]-Nominal_Activity[[#This Row],[Credit]]</f>
        <v>291.66</v>
      </c>
      <c r="N209" s="149" t="str">
        <f aca="false">IF(C209="","",IFERROR(VLOOKUP(C209,Master_Mappings!$A$4:$E$85,3,FALSE()),"UNMAPPED"))</f>
        <v>Excluded — Project/Other</v>
      </c>
      <c r="O209" s="20" t="s">
        <v>1208</v>
      </c>
      <c r="P209" s="20" t="str">
        <f aca="false">IF($C209="","",$C209&amp;"|"&amp;$E209&amp;"|"&amp;$M209&amp;"|"&amp;TEXT($G209,"yyyy-mm-dd")&amp;"|"&amp;LEFT($J209,40))</f>
        <v>5200|44127|291.66|2026-06-30|Meals at Airport</v>
      </c>
      <c r="Q209" s="20" t="str">
        <f aca="false">IF(P209="","",IF(COUNTIF($P$2:$P$3000,P209)&gt;1,"DUPLICATE","OK"))</f>
        <v>OK</v>
      </c>
      <c r="R209" s="0" t="str">
        <f aca="false">IF($C209="","",IFERROR(VLOOKUP(--$C209,MM_Income!$Z$5:$AC$204,3,FALSE()),""))</f>
        <v>Recoverable</v>
      </c>
    </row>
    <row r="210" customFormat="false" ht="14.9" hidden="false" customHeight="false" outlineLevel="0" collapsed="false">
      <c r="A210" s="20" t="s">
        <v>49</v>
      </c>
      <c r="B210" s="20" t="s">
        <v>85</v>
      </c>
      <c r="C210" s="1" t="n">
        <v>5200</v>
      </c>
      <c r="D210" s="1" t="s">
        <v>683</v>
      </c>
      <c r="E210" s="1" t="n">
        <v>44128</v>
      </c>
      <c r="F210" s="1" t="s">
        <v>847</v>
      </c>
      <c r="G210" s="140" t="n">
        <v>46203</v>
      </c>
      <c r="H210" s="1" t="s">
        <v>1138</v>
      </c>
      <c r="I210" s="1" t="s">
        <v>1141</v>
      </c>
      <c r="J210" s="1" t="s">
        <v>1145</v>
      </c>
      <c r="K210" s="1" t="n">
        <v>418.06</v>
      </c>
      <c r="M210" s="125" t="n">
        <f aca="false">Nominal_Activity[[#This Row],[Debit]]-Nominal_Activity[[#This Row],[Credit]]</f>
        <v>418.06</v>
      </c>
      <c r="N210" s="149" t="str">
        <f aca="false">IF(C210="","",IFERROR(VLOOKUP(C210,Master_Mappings!$A$4:$E$85,3,FALSE()),"UNMAPPED"))</f>
        <v>Excluded — Project/Other</v>
      </c>
      <c r="O210" s="20" t="s">
        <v>1208</v>
      </c>
      <c r="P210" s="20" t="str">
        <f aca="false">IF($C210="","",$C210&amp;"|"&amp;$E210&amp;"|"&amp;$M210&amp;"|"&amp;TEXT($G210,"yyyy-mm-dd")&amp;"|"&amp;LEFT($J210,40))</f>
        <v>5200|44128|418.06|2026-06-30|Uber: Oxford Bus station to home</v>
      </c>
      <c r="Q210" s="20" t="str">
        <f aca="false">IF(P210="","",IF(COUNTIF($P$2:$P$3000,P210)&gt;1,"DUPLICATE","OK"))</f>
        <v>OK</v>
      </c>
      <c r="R210" s="0" t="str">
        <f aca="false">IF($C210="","",IFERROR(VLOOKUP(--$C210,MM_Income!$Z$5:$AC$204,3,FALSE()),""))</f>
        <v>Recoverable</v>
      </c>
    </row>
    <row r="211" customFormat="false" ht="14.9" hidden="false" customHeight="false" outlineLevel="0" collapsed="false">
      <c r="A211" s="20" t="s">
        <v>49</v>
      </c>
      <c r="B211" s="20" t="s">
        <v>85</v>
      </c>
      <c r="C211" s="1" t="n">
        <v>5200</v>
      </c>
      <c r="D211" s="1" t="s">
        <v>683</v>
      </c>
      <c r="E211" s="1" t="n">
        <v>44129</v>
      </c>
      <c r="F211" s="1" t="s">
        <v>847</v>
      </c>
      <c r="G211" s="140" t="n">
        <v>46203</v>
      </c>
      <c r="H211" s="1" t="s">
        <v>1138</v>
      </c>
      <c r="I211" s="1" t="s">
        <v>1141</v>
      </c>
      <c r="J211" s="1" t="s">
        <v>1146</v>
      </c>
      <c r="K211" s="1" t="n">
        <v>450.71</v>
      </c>
      <c r="M211" s="125" t="n">
        <f aca="false">Nominal_Activity[[#This Row],[Debit]]-Nominal_Activity[[#This Row],[Credit]]</f>
        <v>450.71</v>
      </c>
      <c r="N211" s="149" t="str">
        <f aca="false">IF(C211="","",IFERROR(VLOOKUP(C211,Master_Mappings!$A$4:$E$85,3,FALSE()),"UNMAPPED"))</f>
        <v>Excluded — Project/Other</v>
      </c>
      <c r="O211" s="20" t="s">
        <v>1208</v>
      </c>
      <c r="P211" s="20" t="str">
        <f aca="false">IF($C211="","",$C211&amp;"|"&amp;$E211&amp;"|"&amp;$M211&amp;"|"&amp;TEXT($G211,"yyyy-mm-dd")&amp;"|"&amp;LEFT($J211,40))</f>
        <v>5200|44129|450.71|2026-06-30|Uber: Home to Oxford Bus station</v>
      </c>
      <c r="Q211" s="20" t="str">
        <f aca="false">IF(P211="","",IF(COUNTIF($P$2:$P$3000,P211)&gt;1,"DUPLICATE","OK"))</f>
        <v>OK</v>
      </c>
      <c r="R211" s="0" t="str">
        <f aca="false">IF($C211="","",IFERROR(VLOOKUP(--$C211,MM_Income!$Z$5:$AC$204,3,FALSE()),""))</f>
        <v>Recoverable</v>
      </c>
    </row>
    <row r="212" customFormat="false" ht="14.9" hidden="false" customHeight="false" outlineLevel="0" collapsed="false">
      <c r="A212" s="20" t="s">
        <v>49</v>
      </c>
      <c r="B212" s="20" t="s">
        <v>85</v>
      </c>
      <c r="C212" s="1" t="n">
        <v>5200</v>
      </c>
      <c r="D212" s="1" t="s">
        <v>683</v>
      </c>
      <c r="E212" s="1" t="n">
        <v>44141</v>
      </c>
      <c r="F212" s="1" t="s">
        <v>869</v>
      </c>
      <c r="G212" s="140" t="n">
        <v>46136</v>
      </c>
      <c r="H212" s="1" t="n">
        <v>1260</v>
      </c>
      <c r="I212" s="1" t="s">
        <v>1147</v>
      </c>
      <c r="J212" s="1" t="s">
        <v>1148</v>
      </c>
      <c r="K212" s="1" t="n">
        <v>2539.64</v>
      </c>
      <c r="M212" s="125" t="n">
        <f aca="false">Nominal_Activity[[#This Row],[Debit]]-Nominal_Activity[[#This Row],[Credit]]</f>
        <v>2539.64</v>
      </c>
      <c r="N212" s="149" t="str">
        <f aca="false">IF(C212="","",IFERROR(VLOOKUP(C212,Master_Mappings!$A$4:$E$85,3,FALSE()),"UNMAPPED"))</f>
        <v>Excluded — Project/Other</v>
      </c>
      <c r="O212" s="20" t="s">
        <v>1208</v>
      </c>
      <c r="P212" s="20" t="str">
        <f aca="false">IF($C212="","",$C212&amp;"|"&amp;$E212&amp;"|"&amp;$M212&amp;"|"&amp;TEXT($G212,"yyyy-mm-dd")&amp;"|"&amp;LEFT($J212,40))</f>
        <v>5200|44141|2539.64|2026-04-24|Accomodation at Golden Tulip</v>
      </c>
      <c r="Q212" s="20" t="str">
        <f aca="false">IF(P212="","",IF(COUNTIF($P$2:$P$3000,P212)&gt;1,"DUPLICATE","OK"))</f>
        <v>OK</v>
      </c>
      <c r="R212" s="0" t="str">
        <f aca="false">IF($C212="","",IFERROR(VLOOKUP(--$C212,MM_Income!$Z$5:$AC$204,3,FALSE()),""))</f>
        <v>Recoverable</v>
      </c>
    </row>
    <row r="213" customFormat="false" ht="14.9" hidden="false" customHeight="false" outlineLevel="0" collapsed="false">
      <c r="A213" s="20" t="s">
        <v>49</v>
      </c>
      <c r="B213" s="20" t="s">
        <v>85</v>
      </c>
      <c r="C213" s="1" t="n">
        <v>5200</v>
      </c>
      <c r="D213" s="1" t="s">
        <v>683</v>
      </c>
      <c r="E213" s="1" t="n">
        <v>44142</v>
      </c>
      <c r="F213" s="1" t="s">
        <v>869</v>
      </c>
      <c r="G213" s="140" t="n">
        <v>46136</v>
      </c>
      <c r="H213" s="1" t="n">
        <v>1260</v>
      </c>
      <c r="I213" s="1" t="s">
        <v>1147</v>
      </c>
      <c r="J213" s="1" t="s">
        <v>1149</v>
      </c>
      <c r="K213" s="1" t="n">
        <v>122.87</v>
      </c>
      <c r="M213" s="125" t="n">
        <f aca="false">Nominal_Activity[[#This Row],[Debit]]-Nominal_Activity[[#This Row],[Credit]]</f>
        <v>122.87</v>
      </c>
      <c r="N213" s="149" t="str">
        <f aca="false">IF(C213="","",IFERROR(VLOOKUP(C213,Master_Mappings!$A$4:$E$85,3,FALSE()),"UNMAPPED"))</f>
        <v>Excluded — Project/Other</v>
      </c>
      <c r="O213" s="20" t="s">
        <v>1208</v>
      </c>
      <c r="P213" s="20" t="str">
        <f aca="false">IF($C213="","",$C213&amp;"|"&amp;$E213&amp;"|"&amp;$M213&amp;"|"&amp;TEXT($G213,"yyyy-mm-dd")&amp;"|"&amp;LEFT($J213,40))</f>
        <v>5200|44142|122.87|2026-04-24|Transportation to Golden Tulip</v>
      </c>
      <c r="Q213" s="20" t="str">
        <f aca="false">IF(P213="","",IF(COUNTIF($P$2:$P$3000,P213)&gt;1,"DUPLICATE","OK"))</f>
        <v>OK</v>
      </c>
      <c r="R213" s="0" t="str">
        <f aca="false">IF($C213="","",IFERROR(VLOOKUP(--$C213,MM_Income!$Z$5:$AC$204,3,FALSE()),""))</f>
        <v>Recoverable</v>
      </c>
    </row>
    <row r="214" customFormat="false" ht="14.9" hidden="false" customHeight="false" outlineLevel="0" collapsed="false">
      <c r="A214" s="20" t="s">
        <v>49</v>
      </c>
      <c r="B214" s="20" t="s">
        <v>85</v>
      </c>
      <c r="C214" s="1" t="n">
        <v>5200</v>
      </c>
      <c r="D214" s="1" t="s">
        <v>683</v>
      </c>
      <c r="E214" s="1" t="n">
        <v>44143</v>
      </c>
      <c r="F214" s="1" t="s">
        <v>869</v>
      </c>
      <c r="G214" s="140" t="n">
        <v>46131</v>
      </c>
      <c r="H214" s="1" t="n">
        <v>1260</v>
      </c>
      <c r="I214" s="1" t="s">
        <v>1147</v>
      </c>
      <c r="J214" s="1" t="s">
        <v>1150</v>
      </c>
      <c r="K214" s="1" t="n">
        <v>169</v>
      </c>
      <c r="M214" s="125" t="n">
        <f aca="false">Nominal_Activity[[#This Row],[Debit]]-Nominal_Activity[[#This Row],[Credit]]</f>
        <v>169</v>
      </c>
      <c r="N214" s="149" t="str">
        <f aca="false">IF(C214="","",IFERROR(VLOOKUP(C214,Master_Mappings!$A$4:$E$85,3,FALSE()),"UNMAPPED"))</f>
        <v>Excluded — Project/Other</v>
      </c>
      <c r="O214" s="20" t="s">
        <v>1208</v>
      </c>
      <c r="P214" s="20" t="str">
        <f aca="false">IF($C214="","",$C214&amp;"|"&amp;$E214&amp;"|"&amp;$M214&amp;"|"&amp;TEXT($G214,"yyyy-mm-dd")&amp;"|"&amp;LEFT($J214,40))</f>
        <v>5200|44143|169|2026-04-19|Transportation to the airport</v>
      </c>
      <c r="Q214" s="20" t="str">
        <f aca="false">IF(P214="","",IF(COUNTIF($P$2:$P$3000,P214)&gt;1,"DUPLICATE","OK"))</f>
        <v>OK</v>
      </c>
      <c r="R214" s="0" t="str">
        <f aca="false">IF($C214="","",IFERROR(VLOOKUP(--$C214,MM_Income!$Z$5:$AC$204,3,FALSE()),""))</f>
        <v>Recoverable</v>
      </c>
    </row>
    <row r="215" customFormat="false" ht="14.9" hidden="false" customHeight="false" outlineLevel="0" collapsed="false">
      <c r="A215" s="20" t="s">
        <v>49</v>
      </c>
      <c r="B215" s="20" t="s">
        <v>85</v>
      </c>
      <c r="C215" s="1" t="n">
        <v>5200</v>
      </c>
      <c r="D215" s="1" t="s">
        <v>683</v>
      </c>
      <c r="E215" s="1" t="n">
        <v>44144</v>
      </c>
      <c r="F215" s="1" t="s">
        <v>869</v>
      </c>
      <c r="G215" s="140" t="n">
        <v>46131</v>
      </c>
      <c r="H215" s="1" t="n">
        <v>1260</v>
      </c>
      <c r="I215" s="1" t="s">
        <v>1147</v>
      </c>
      <c r="J215" s="1" t="s">
        <v>1014</v>
      </c>
      <c r="K215" s="1" t="n">
        <v>1068.61</v>
      </c>
      <c r="M215" s="125" t="n">
        <f aca="false">Nominal_Activity[[#This Row],[Debit]]-Nominal_Activity[[#This Row],[Credit]]</f>
        <v>1068.61</v>
      </c>
      <c r="N215" s="149" t="str">
        <f aca="false">IF(C215="","",IFERROR(VLOOKUP(C215,Master_Mappings!$A$4:$E$85,3,FALSE()),"UNMAPPED"))</f>
        <v>Excluded — Project/Other</v>
      </c>
      <c r="O215" s="20" t="s">
        <v>1208</v>
      </c>
      <c r="P215" s="20" t="str">
        <f aca="false">IF($C215="","",$C215&amp;"|"&amp;$E215&amp;"|"&amp;$M215&amp;"|"&amp;TEXT($G215,"yyyy-mm-dd")&amp;"|"&amp;LEFT($J215,40))</f>
        <v>5200|44144|1068.61|2026-04-19|Accommodation</v>
      </c>
      <c r="Q215" s="20" t="str">
        <f aca="false">IF(P215="","",IF(COUNTIF($P$2:$P$3000,P215)&gt;1,"DUPLICATE","OK"))</f>
        <v>OK</v>
      </c>
      <c r="R215" s="0" t="str">
        <f aca="false">IF($C215="","",IFERROR(VLOOKUP(--$C215,MM_Income!$Z$5:$AC$204,3,FALSE()),""))</f>
        <v>Recoverable</v>
      </c>
    </row>
    <row r="216" customFormat="false" ht="14.9" hidden="false" customHeight="false" outlineLevel="0" collapsed="false">
      <c r="A216" s="20" t="s">
        <v>49</v>
      </c>
      <c r="B216" s="20" t="s">
        <v>85</v>
      </c>
      <c r="C216" s="1" t="n">
        <v>5200</v>
      </c>
      <c r="D216" s="1" t="s">
        <v>683</v>
      </c>
      <c r="E216" s="1" t="n">
        <v>44145</v>
      </c>
      <c r="F216" s="1" t="s">
        <v>869</v>
      </c>
      <c r="G216" s="140" t="n">
        <v>46131</v>
      </c>
      <c r="H216" s="1" t="n">
        <v>1260</v>
      </c>
      <c r="I216" s="1" t="s">
        <v>1147</v>
      </c>
      <c r="J216" s="1" t="s">
        <v>1079</v>
      </c>
      <c r="K216" s="1" t="n">
        <v>231.81</v>
      </c>
      <c r="M216" s="125" t="n">
        <f aca="false">Nominal_Activity[[#This Row],[Debit]]-Nominal_Activity[[#This Row],[Credit]]</f>
        <v>231.81</v>
      </c>
      <c r="N216" s="149" t="str">
        <f aca="false">IF(C216="","",IFERROR(VLOOKUP(C216,Master_Mappings!$A$4:$E$85,3,FALSE()),"UNMAPPED"))</f>
        <v>Excluded — Project/Other</v>
      </c>
      <c r="O216" s="20" t="s">
        <v>1208</v>
      </c>
      <c r="P216" s="20" t="str">
        <f aca="false">IF($C216="","",$C216&amp;"|"&amp;$E216&amp;"|"&amp;$M216&amp;"|"&amp;TEXT($G216,"yyyy-mm-dd")&amp;"|"&amp;LEFT($J216,40))</f>
        <v>5200|44145|231.81|2026-04-19|Dinner for 2</v>
      </c>
      <c r="Q216" s="20" t="str">
        <f aca="false">IF(P216="","",IF(COUNTIF($P$2:$P$3000,P216)&gt;1,"DUPLICATE","OK"))</f>
        <v>OK</v>
      </c>
      <c r="R216" s="0" t="str">
        <f aca="false">IF($C216="","",IFERROR(VLOOKUP(--$C216,MM_Income!$Z$5:$AC$204,3,FALSE()),""))</f>
        <v>Recoverable</v>
      </c>
    </row>
    <row r="217" customFormat="false" ht="14.9" hidden="false" customHeight="false" outlineLevel="0" collapsed="false">
      <c r="A217" s="20" t="s">
        <v>49</v>
      </c>
      <c r="B217" s="20" t="s">
        <v>85</v>
      </c>
      <c r="C217" s="1" t="n">
        <v>5200</v>
      </c>
      <c r="D217" s="1" t="s">
        <v>683</v>
      </c>
      <c r="E217" s="1" t="n">
        <v>44146</v>
      </c>
      <c r="F217" s="1" t="s">
        <v>869</v>
      </c>
      <c r="G217" s="140" t="n">
        <v>46131</v>
      </c>
      <c r="H217" s="1" t="n">
        <v>1260</v>
      </c>
      <c r="I217" s="1" t="s">
        <v>1147</v>
      </c>
      <c r="J217" s="1" t="s">
        <v>1151</v>
      </c>
      <c r="K217" s="1" t="n">
        <v>624.73</v>
      </c>
      <c r="M217" s="125" t="n">
        <f aca="false">Nominal_Activity[[#This Row],[Debit]]-Nominal_Activity[[#This Row],[Credit]]</f>
        <v>624.73</v>
      </c>
      <c r="N217" s="149" t="str">
        <f aca="false">IF(C217="","",IFERROR(VLOOKUP(C217,Master_Mappings!$A$4:$E$85,3,FALSE()),"UNMAPPED"))</f>
        <v>Excluded — Project/Other</v>
      </c>
      <c r="O217" s="20" t="s">
        <v>1208</v>
      </c>
      <c r="P217" s="20" t="str">
        <f aca="false">IF($C217="","",$C217&amp;"|"&amp;$E217&amp;"|"&amp;$M217&amp;"|"&amp;TEXT($G217,"yyyy-mm-dd")&amp;"|"&amp;LEFT($J217,40))</f>
        <v>5200|44146|624.73|2026-04-19|Lunch at Legend hotel</v>
      </c>
      <c r="Q217" s="20" t="str">
        <f aca="false">IF(P217="","",IF(COUNTIF($P$2:$P$3000,P217)&gt;1,"DUPLICATE","OK"))</f>
        <v>OK</v>
      </c>
      <c r="R217" s="0" t="str">
        <f aca="false">IF($C217="","",IFERROR(VLOOKUP(--$C217,MM_Income!$Z$5:$AC$204,3,FALSE()),""))</f>
        <v>Recoverable</v>
      </c>
    </row>
    <row r="218" customFormat="false" ht="14.9" hidden="false" customHeight="false" outlineLevel="0" collapsed="false">
      <c r="A218" s="20" t="s">
        <v>49</v>
      </c>
      <c r="B218" s="20" t="s">
        <v>85</v>
      </c>
      <c r="C218" s="1" t="n">
        <v>5200</v>
      </c>
      <c r="D218" s="1" t="s">
        <v>683</v>
      </c>
      <c r="E218" s="1" t="n">
        <v>44147</v>
      </c>
      <c r="F218" s="1" t="s">
        <v>869</v>
      </c>
      <c r="G218" s="140" t="n">
        <v>46131</v>
      </c>
      <c r="H218" s="1" t="n">
        <v>1260</v>
      </c>
      <c r="I218" s="1" t="s">
        <v>1147</v>
      </c>
      <c r="J218" s="1" t="s">
        <v>1152</v>
      </c>
      <c r="K218" s="1" t="n">
        <v>40</v>
      </c>
      <c r="M218" s="125" t="n">
        <f aca="false">Nominal_Activity[[#This Row],[Debit]]-Nominal_Activity[[#This Row],[Credit]]</f>
        <v>40</v>
      </c>
      <c r="N218" s="149" t="str">
        <f aca="false">IF(C218="","",IFERROR(VLOOKUP(C218,Master_Mappings!$A$4:$E$85,3,FALSE()),"UNMAPPED"))</f>
        <v>Excluded — Project/Other</v>
      </c>
      <c r="O218" s="20" t="s">
        <v>1208</v>
      </c>
      <c r="P218" s="20" t="str">
        <f aca="false">IF($C218="","",$C218&amp;"|"&amp;$E218&amp;"|"&amp;$M218&amp;"|"&amp;TEXT($G218,"yyyy-mm-dd")&amp;"|"&amp;LEFT($J218,40))</f>
        <v>5200|44147|40|2026-04-19|Snack at airport</v>
      </c>
      <c r="Q218" s="20" t="str">
        <f aca="false">IF(P218="","",IF(COUNTIF($P$2:$P$3000,P218)&gt;1,"DUPLICATE","OK"))</f>
        <v>OK</v>
      </c>
      <c r="R218" s="0" t="str">
        <f aca="false">IF($C218="","",IFERROR(VLOOKUP(--$C218,MM_Income!$Z$5:$AC$204,3,FALSE()),""))</f>
        <v>Recoverable</v>
      </c>
    </row>
    <row r="219" customFormat="false" ht="14.9" hidden="false" customHeight="false" outlineLevel="0" collapsed="false">
      <c r="A219" s="20" t="s">
        <v>49</v>
      </c>
      <c r="B219" s="20" t="s">
        <v>85</v>
      </c>
      <c r="C219" s="1" t="n">
        <v>5200</v>
      </c>
      <c r="D219" s="1" t="s">
        <v>683</v>
      </c>
      <c r="E219" s="1" t="n">
        <v>44150</v>
      </c>
      <c r="F219" s="1" t="s">
        <v>869</v>
      </c>
      <c r="G219" s="140" t="n">
        <v>46124</v>
      </c>
      <c r="H219" s="1" t="n">
        <v>1260</v>
      </c>
      <c r="I219" s="1" t="s">
        <v>1153</v>
      </c>
      <c r="J219" s="1" t="s">
        <v>1154</v>
      </c>
      <c r="K219" s="1" t="n">
        <v>196.83</v>
      </c>
      <c r="M219" s="125" t="n">
        <f aca="false">Nominal_Activity[[#This Row],[Debit]]-Nominal_Activity[[#This Row],[Credit]]</f>
        <v>196.83</v>
      </c>
      <c r="N219" s="149" t="str">
        <f aca="false">IF(C219="","",IFERROR(VLOOKUP(C219,Master_Mappings!$A$4:$E$85,3,FALSE()),"UNMAPPED"))</f>
        <v>Excluded — Project/Other</v>
      </c>
      <c r="O219" s="20" t="s">
        <v>1208</v>
      </c>
      <c r="P219" s="20" t="str">
        <f aca="false">IF($C219="","",$C219&amp;"|"&amp;$E219&amp;"|"&amp;$M219&amp;"|"&amp;TEXT($G219,"yyyy-mm-dd")&amp;"|"&amp;LEFT($J219,40))</f>
        <v>5200|44150|196.83|2026-04-12|Bus from Yaounde to Douala</v>
      </c>
      <c r="Q219" s="20" t="str">
        <f aca="false">IF(P219="","",IF(COUNTIF($P$2:$P$3000,P219)&gt;1,"DUPLICATE","OK"))</f>
        <v>OK</v>
      </c>
      <c r="R219" s="0" t="str">
        <f aca="false">IF($C219="","",IFERROR(VLOOKUP(--$C219,MM_Income!$Z$5:$AC$204,3,FALSE()),""))</f>
        <v>Recoverable</v>
      </c>
    </row>
    <row r="220" customFormat="false" ht="14.9" hidden="false" customHeight="false" outlineLevel="0" collapsed="false">
      <c r="A220" s="20" t="s">
        <v>49</v>
      </c>
      <c r="B220" s="20" t="s">
        <v>85</v>
      </c>
      <c r="C220" s="1" t="n">
        <v>5200</v>
      </c>
      <c r="D220" s="1" t="s">
        <v>683</v>
      </c>
      <c r="E220" s="1" t="n">
        <v>44151</v>
      </c>
      <c r="F220" s="1" t="s">
        <v>869</v>
      </c>
      <c r="G220" s="140" t="n">
        <v>46113</v>
      </c>
      <c r="H220" s="1" t="n">
        <v>1260</v>
      </c>
      <c r="I220" s="1" t="s">
        <v>1153</v>
      </c>
      <c r="J220" s="1" t="s">
        <v>1155</v>
      </c>
      <c r="K220" s="1" t="n">
        <v>402.8</v>
      </c>
      <c r="M220" s="125" t="n">
        <f aca="false">Nominal_Activity[[#This Row],[Debit]]-Nominal_Activity[[#This Row],[Credit]]</f>
        <v>402.8</v>
      </c>
      <c r="N220" s="149" t="str">
        <f aca="false">IF(C220="","",IFERROR(VLOOKUP(C220,Master_Mappings!$A$4:$E$85,3,FALSE()),"UNMAPPED"))</f>
        <v>Excluded — Project/Other</v>
      </c>
      <c r="O220" s="20" t="s">
        <v>1208</v>
      </c>
      <c r="P220" s="20" t="str">
        <f aca="false">IF($C220="","",$C220&amp;"|"&amp;$E220&amp;"|"&amp;$M220&amp;"|"&amp;TEXT($G220,"yyyy-mm-dd")&amp;"|"&amp;LEFT($J220,40))</f>
        <v>5200|44151|402.8|2026-04-01|Taxi in Yaounde, Douala, Limbe and lunch</v>
      </c>
      <c r="Q220" s="20" t="str">
        <f aca="false">IF(P220="","",IF(COUNTIF($P$2:$P$3000,P220)&gt;1,"DUPLICATE","OK"))</f>
        <v>OK</v>
      </c>
      <c r="R220" s="0" t="str">
        <f aca="false">IF($C220="","",IFERROR(VLOOKUP(--$C220,MM_Income!$Z$5:$AC$204,3,FALSE()),""))</f>
        <v>Recoverable</v>
      </c>
    </row>
    <row r="221" customFormat="false" ht="14.9" hidden="false" customHeight="false" outlineLevel="0" collapsed="false">
      <c r="A221" s="20" t="s">
        <v>49</v>
      </c>
      <c r="B221" s="20" t="s">
        <v>85</v>
      </c>
      <c r="C221" s="1" t="n">
        <v>5200</v>
      </c>
      <c r="D221" s="1" t="s">
        <v>683</v>
      </c>
      <c r="E221" s="1" t="n">
        <v>44152</v>
      </c>
      <c r="F221" s="1" t="s">
        <v>869</v>
      </c>
      <c r="G221" s="140" t="n">
        <v>46113</v>
      </c>
      <c r="H221" s="1" t="n">
        <v>1260</v>
      </c>
      <c r="I221" s="1" t="s">
        <v>1153</v>
      </c>
      <c r="J221" s="1" t="s">
        <v>1156</v>
      </c>
      <c r="K221" s="1" t="n">
        <v>192.01</v>
      </c>
      <c r="M221" s="125" t="n">
        <f aca="false">Nominal_Activity[[#This Row],[Debit]]-Nominal_Activity[[#This Row],[Credit]]</f>
        <v>192.01</v>
      </c>
      <c r="N221" s="149" t="str">
        <f aca="false">IF(C221="","",IFERROR(VLOOKUP(C221,Master_Mappings!$A$4:$E$85,3,FALSE()),"UNMAPPED"))</f>
        <v>Excluded — Project/Other</v>
      </c>
      <c r="O221" s="20" t="s">
        <v>1208</v>
      </c>
      <c r="P221" s="20" t="str">
        <f aca="false">IF($C221="","",$C221&amp;"|"&amp;$E221&amp;"|"&amp;$M221&amp;"|"&amp;TEXT($G221,"yyyy-mm-dd")&amp;"|"&amp;LEFT($J221,40))</f>
        <v>5200|44152|192.01|2026-04-01|Bus from Douala to Yaounde</v>
      </c>
      <c r="Q221" s="20" t="str">
        <f aca="false">IF(P221="","",IF(COUNTIF($P$2:$P$3000,P221)&gt;1,"DUPLICATE","OK"))</f>
        <v>OK</v>
      </c>
      <c r="R221" s="0" t="str">
        <f aca="false">IF($C221="","",IFERROR(VLOOKUP(--$C221,MM_Income!$Z$5:$AC$204,3,FALSE()),""))</f>
        <v>Recoverable</v>
      </c>
    </row>
    <row r="222" customFormat="false" ht="14.9" hidden="false" customHeight="false" outlineLevel="0" collapsed="false">
      <c r="A222" s="20" t="s">
        <v>49</v>
      </c>
      <c r="B222" s="20" t="s">
        <v>85</v>
      </c>
      <c r="C222" s="1" t="n">
        <v>5200</v>
      </c>
      <c r="D222" s="1" t="s">
        <v>683</v>
      </c>
      <c r="E222" s="1" t="n">
        <v>44153</v>
      </c>
      <c r="F222" s="1" t="s">
        <v>869</v>
      </c>
      <c r="G222" s="140" t="n">
        <v>46113</v>
      </c>
      <c r="H222" s="1" t="n">
        <v>1260</v>
      </c>
      <c r="I222" s="1" t="s">
        <v>1153</v>
      </c>
      <c r="J222" s="1" t="s">
        <v>1157</v>
      </c>
      <c r="K222" s="1" t="n">
        <v>940.23</v>
      </c>
      <c r="M222" s="125" t="n">
        <f aca="false">Nominal_Activity[[#This Row],[Debit]]-Nominal_Activity[[#This Row],[Credit]]</f>
        <v>940.23</v>
      </c>
      <c r="N222" s="149" t="str">
        <f aca="false">IF(C222="","",IFERROR(VLOOKUP(C222,Master_Mappings!$A$4:$E$85,3,FALSE()),"UNMAPPED"))</f>
        <v>Excluded — Project/Other</v>
      </c>
      <c r="O222" s="20" t="s">
        <v>1208</v>
      </c>
      <c r="P222" s="20" t="str">
        <f aca="false">IF($C222="","",$C222&amp;"|"&amp;$E222&amp;"|"&amp;$M222&amp;"|"&amp;TEXT($G222,"yyyy-mm-dd")&amp;"|"&amp;LEFT($J222,40))</f>
        <v>5200|44153|940.23|2026-04-01|Hotel in Douala</v>
      </c>
      <c r="Q222" s="20" t="str">
        <f aca="false">IF(P222="","",IF(COUNTIF($P$2:$P$3000,P222)&gt;1,"DUPLICATE","OK"))</f>
        <v>OK</v>
      </c>
      <c r="R222" s="0" t="str">
        <f aca="false">IF($C222="","",IFERROR(VLOOKUP(--$C222,MM_Income!$Z$5:$AC$204,3,FALSE()),""))</f>
        <v>Recoverable</v>
      </c>
    </row>
    <row r="223" customFormat="false" ht="14.9" hidden="false" customHeight="false" outlineLevel="0" collapsed="false">
      <c r="A223" s="20" t="s">
        <v>49</v>
      </c>
      <c r="B223" s="20" t="s">
        <v>85</v>
      </c>
      <c r="C223" s="1" t="n">
        <v>5200</v>
      </c>
      <c r="D223" s="1" t="s">
        <v>683</v>
      </c>
      <c r="E223" s="1" t="n">
        <v>44154</v>
      </c>
      <c r="F223" s="1" t="s">
        <v>869</v>
      </c>
      <c r="G223" s="140" t="n">
        <v>46136</v>
      </c>
      <c r="H223" s="1" t="n">
        <v>1260</v>
      </c>
      <c r="I223" s="1" t="s">
        <v>1153</v>
      </c>
      <c r="J223" s="1" t="s">
        <v>1158</v>
      </c>
      <c r="K223" s="1" t="n">
        <v>296.73</v>
      </c>
      <c r="M223" s="125" t="n">
        <f aca="false">Nominal_Activity[[#This Row],[Debit]]-Nominal_Activity[[#This Row],[Credit]]</f>
        <v>296.73</v>
      </c>
      <c r="N223" s="149" t="str">
        <f aca="false">IF(C223="","",IFERROR(VLOOKUP(C223,Master_Mappings!$A$4:$E$85,3,FALSE()),"UNMAPPED"))</f>
        <v>Excluded — Project/Other</v>
      </c>
      <c r="O223" s="20" t="s">
        <v>1208</v>
      </c>
      <c r="P223" s="20" t="str">
        <f aca="false">IF($C223="","",$C223&amp;"|"&amp;$E223&amp;"|"&amp;$M223&amp;"|"&amp;TEXT($G223,"yyyy-mm-dd")&amp;"|"&amp;LEFT($J223,40))</f>
        <v>5200|44154|296.73|2026-04-24|Taxi in Yaounde  and food in Douala (exp</v>
      </c>
      <c r="Q223" s="20" t="str">
        <f aca="false">IF(P223="","",IF(COUNTIF($P$2:$P$3000,P223)&gt;1,"DUPLICATE","OK"))</f>
        <v>OK</v>
      </c>
      <c r="R223" s="0" t="str">
        <f aca="false">IF($C223="","",IFERROR(VLOOKUP(--$C223,MM_Income!$Z$5:$AC$204,3,FALSE()),""))</f>
        <v>Recoverable</v>
      </c>
    </row>
    <row r="224" customFormat="false" ht="14.9" hidden="false" customHeight="false" outlineLevel="0" collapsed="false">
      <c r="A224" s="20" t="s">
        <v>49</v>
      </c>
      <c r="B224" s="20" t="s">
        <v>85</v>
      </c>
      <c r="C224" s="1" t="n">
        <v>5200</v>
      </c>
      <c r="D224" s="1" t="s">
        <v>683</v>
      </c>
      <c r="E224" s="1" t="n">
        <v>44155</v>
      </c>
      <c r="F224" s="1" t="s">
        <v>869</v>
      </c>
      <c r="G224" s="140" t="n">
        <v>46136</v>
      </c>
      <c r="H224" s="1" t="n">
        <v>1260</v>
      </c>
      <c r="I224" s="1" t="s">
        <v>1153</v>
      </c>
      <c r="J224" s="1" t="s">
        <v>1159</v>
      </c>
      <c r="K224" s="1" t="n">
        <v>197.48</v>
      </c>
      <c r="M224" s="125" t="n">
        <f aca="false">Nominal_Activity[[#This Row],[Debit]]-Nominal_Activity[[#This Row],[Credit]]</f>
        <v>197.48</v>
      </c>
      <c r="N224" s="149" t="str">
        <f aca="false">IF(C224="","",IFERROR(VLOOKUP(C224,Master_Mappings!$A$4:$E$85,3,FALSE()),"UNMAPPED"))</f>
        <v>Excluded — Project/Other</v>
      </c>
      <c r="O224" s="20" t="s">
        <v>1208</v>
      </c>
      <c r="P224" s="20" t="str">
        <f aca="false">IF($C224="","",$C224&amp;"|"&amp;$E224&amp;"|"&amp;$M224&amp;"|"&amp;TEXT($G224,"yyyy-mm-dd")&amp;"|"&amp;LEFT($J224,40))</f>
        <v>5200|44155|197.48|2026-04-24|bus to travel from Douala to yaounde</v>
      </c>
      <c r="Q224" s="20" t="str">
        <f aca="false">IF(P224="","",IF(COUNTIF($P$2:$P$3000,P224)&gt;1,"DUPLICATE","OK"))</f>
        <v>OK</v>
      </c>
      <c r="R224" s="0" t="str">
        <f aca="false">IF($C224="","",IFERROR(VLOOKUP(--$C224,MM_Income!$Z$5:$AC$204,3,FALSE()),""))</f>
        <v>Recoverable</v>
      </c>
    </row>
    <row r="225" customFormat="false" ht="14.9" hidden="false" customHeight="false" outlineLevel="0" collapsed="false">
      <c r="A225" s="20" t="s">
        <v>49</v>
      </c>
      <c r="B225" s="20" t="s">
        <v>85</v>
      </c>
      <c r="C225" s="1" t="n">
        <v>5200</v>
      </c>
      <c r="D225" s="1" t="s">
        <v>683</v>
      </c>
      <c r="E225" s="1" t="n">
        <v>44156</v>
      </c>
      <c r="F225" s="1" t="s">
        <v>869</v>
      </c>
      <c r="G225" s="140" t="n">
        <v>46117</v>
      </c>
      <c r="H225" s="1" t="n">
        <v>1260</v>
      </c>
      <c r="I225" s="1" t="s">
        <v>1153</v>
      </c>
      <c r="J225" s="1" t="s">
        <v>1154</v>
      </c>
      <c r="K225" s="1" t="n">
        <v>193.15</v>
      </c>
      <c r="M225" s="125" t="n">
        <f aca="false">Nominal_Activity[[#This Row],[Debit]]-Nominal_Activity[[#This Row],[Credit]]</f>
        <v>193.15</v>
      </c>
      <c r="N225" s="149" t="str">
        <f aca="false">IF(C225="","",IFERROR(VLOOKUP(C225,Master_Mappings!$A$4:$E$85,3,FALSE()),"UNMAPPED"))</f>
        <v>Excluded — Project/Other</v>
      </c>
      <c r="O225" s="20" t="s">
        <v>1208</v>
      </c>
      <c r="P225" s="20" t="str">
        <f aca="false">IF($C225="","",$C225&amp;"|"&amp;$E225&amp;"|"&amp;$M225&amp;"|"&amp;TEXT($G225,"yyyy-mm-dd")&amp;"|"&amp;LEFT($J225,40))</f>
        <v>5200|44156|193.15|2026-04-05|Bus from Yaounde to Douala</v>
      </c>
      <c r="Q225" s="20" t="str">
        <f aca="false">IF(P225="","",IF(COUNTIF($P$2:$P$3000,P225)&gt;1,"DUPLICATE","OK"))</f>
        <v>OK</v>
      </c>
      <c r="R225" s="0" t="str">
        <f aca="false">IF($C225="","",IFERROR(VLOOKUP(--$C225,MM_Income!$Z$5:$AC$204,3,FALSE()),""))</f>
        <v>Recoverable</v>
      </c>
    </row>
    <row r="226" customFormat="false" ht="14.9" hidden="false" customHeight="false" outlineLevel="0" collapsed="false">
      <c r="A226" s="20" t="s">
        <v>49</v>
      </c>
      <c r="B226" s="20" t="s">
        <v>85</v>
      </c>
      <c r="C226" s="1" t="n">
        <v>5200</v>
      </c>
      <c r="D226" s="1" t="s">
        <v>683</v>
      </c>
      <c r="E226" s="1" t="n">
        <v>44157</v>
      </c>
      <c r="F226" s="1" t="s">
        <v>869</v>
      </c>
      <c r="G226" s="140" t="n">
        <v>46163</v>
      </c>
      <c r="H226" s="1" t="n">
        <v>1260</v>
      </c>
      <c r="I226" s="1" t="s">
        <v>1160</v>
      </c>
      <c r="J226" s="1" t="s">
        <v>1161</v>
      </c>
      <c r="K226" s="1" t="n">
        <v>204.16</v>
      </c>
      <c r="M226" s="125" t="n">
        <f aca="false">Nominal_Activity[[#This Row],[Debit]]-Nominal_Activity[[#This Row],[Credit]]</f>
        <v>204.16</v>
      </c>
      <c r="N226" s="149" t="str">
        <f aca="false">IF(C226="","",IFERROR(VLOOKUP(C226,Master_Mappings!$A$4:$E$85,3,FALSE()),"UNMAPPED"))</f>
        <v>Excluded — Project/Other</v>
      </c>
      <c r="O226" s="20" t="s">
        <v>1208</v>
      </c>
      <c r="P226" s="20" t="str">
        <f aca="false">IF($C226="","",$C226&amp;"|"&amp;$E226&amp;"|"&amp;$M226&amp;"|"&amp;TEXT($G226,"yyyy-mm-dd")&amp;"|"&amp;LEFT($J226,40))</f>
        <v>5200|44157|204.16|2026-05-21|[FOOD] Meals</v>
      </c>
      <c r="Q226" s="20" t="str">
        <f aca="false">IF(P226="","",IF(COUNTIF($P$2:$P$3000,P226)&gt;1,"DUPLICATE","OK"))</f>
        <v>OK</v>
      </c>
      <c r="R226" s="0" t="str">
        <f aca="false">IF($C226="","",IFERROR(VLOOKUP(--$C226,MM_Income!$Z$5:$AC$204,3,FALSE()),""))</f>
        <v>Recoverable</v>
      </c>
    </row>
    <row r="227" customFormat="false" ht="14.9" hidden="false" customHeight="false" outlineLevel="0" collapsed="false">
      <c r="A227" s="20" t="s">
        <v>49</v>
      </c>
      <c r="B227" s="20" t="s">
        <v>85</v>
      </c>
      <c r="C227" s="1" t="n">
        <v>5200</v>
      </c>
      <c r="D227" s="1" t="s">
        <v>683</v>
      </c>
      <c r="E227" s="1" t="n">
        <v>44158</v>
      </c>
      <c r="F227" s="1" t="s">
        <v>869</v>
      </c>
      <c r="G227" s="140" t="n">
        <v>46162</v>
      </c>
      <c r="H227" s="1" t="n">
        <v>1260</v>
      </c>
      <c r="I227" s="1" t="s">
        <v>1160</v>
      </c>
      <c r="J227" s="1" t="s">
        <v>1162</v>
      </c>
      <c r="K227" s="1" t="n">
        <v>21.49</v>
      </c>
      <c r="M227" s="125" t="n">
        <f aca="false">Nominal_Activity[[#This Row],[Debit]]-Nominal_Activity[[#This Row],[Credit]]</f>
        <v>21.49</v>
      </c>
      <c r="N227" s="149" t="str">
        <f aca="false">IF(C227="","",IFERROR(VLOOKUP(C227,Master_Mappings!$A$4:$E$85,3,FALSE()),"UNMAPPED"))</f>
        <v>Excluded — Project/Other</v>
      </c>
      <c r="O227" s="20" t="s">
        <v>1208</v>
      </c>
      <c r="P227" s="20" t="str">
        <f aca="false">IF($C227="","",$C227&amp;"|"&amp;$E227&amp;"|"&amp;$M227&amp;"|"&amp;TEXT($G227,"yyyy-mm-dd")&amp;"|"&amp;LEFT($J227,40))</f>
        <v>5200|44158|21.49|2026-05-20|Internet Data</v>
      </c>
      <c r="Q227" s="20" t="str">
        <f aca="false">IF(P227="","",IF(COUNTIF($P$2:$P$3000,P227)&gt;1,"DUPLICATE","OK"))</f>
        <v>OK</v>
      </c>
      <c r="R227" s="0" t="str">
        <f aca="false">IF($C227="","",IFERROR(VLOOKUP(--$C227,MM_Income!$Z$5:$AC$204,3,FALSE()),""))</f>
        <v>Recoverable</v>
      </c>
    </row>
    <row r="228" customFormat="false" ht="14.9" hidden="false" customHeight="false" outlineLevel="0" collapsed="false">
      <c r="A228" s="20" t="s">
        <v>49</v>
      </c>
      <c r="B228" s="20" t="s">
        <v>85</v>
      </c>
      <c r="C228" s="1" t="n">
        <v>5200</v>
      </c>
      <c r="D228" s="1" t="s">
        <v>683</v>
      </c>
      <c r="E228" s="1" t="n">
        <v>44159</v>
      </c>
      <c r="F228" s="1" t="s">
        <v>869</v>
      </c>
      <c r="G228" s="140" t="n">
        <v>46162</v>
      </c>
      <c r="H228" s="1" t="n">
        <v>1260</v>
      </c>
      <c r="I228" s="1" t="s">
        <v>1160</v>
      </c>
      <c r="J228" s="1" t="s">
        <v>1161</v>
      </c>
      <c r="K228" s="1" t="n">
        <v>515.76</v>
      </c>
      <c r="M228" s="125" t="n">
        <f aca="false">Nominal_Activity[[#This Row],[Debit]]-Nominal_Activity[[#This Row],[Credit]]</f>
        <v>515.76</v>
      </c>
      <c r="N228" s="149" t="str">
        <f aca="false">IF(C228="","",IFERROR(VLOOKUP(C228,Master_Mappings!$A$4:$E$85,3,FALSE()),"UNMAPPED"))</f>
        <v>Excluded — Project/Other</v>
      </c>
      <c r="O228" s="20" t="s">
        <v>1208</v>
      </c>
      <c r="P228" s="20" t="str">
        <f aca="false">IF($C228="","",$C228&amp;"|"&amp;$E228&amp;"|"&amp;$M228&amp;"|"&amp;TEXT($G228,"yyyy-mm-dd")&amp;"|"&amp;LEFT($J228,40))</f>
        <v>5200|44159|515.76|2026-05-20|[FOOD] Meals</v>
      </c>
      <c r="Q228" s="20" t="str">
        <f aca="false">IF(P228="","",IF(COUNTIF($P$2:$P$3000,P228)&gt;1,"DUPLICATE","OK"))</f>
        <v>OK</v>
      </c>
      <c r="R228" s="0" t="str">
        <f aca="false">IF($C228="","",IFERROR(VLOOKUP(--$C228,MM_Income!$Z$5:$AC$204,3,FALSE()),""))</f>
        <v>Recoverable</v>
      </c>
    </row>
    <row r="229" customFormat="false" ht="14.9" hidden="false" customHeight="false" outlineLevel="0" collapsed="false">
      <c r="A229" s="20" t="s">
        <v>49</v>
      </c>
      <c r="B229" s="20" t="s">
        <v>85</v>
      </c>
      <c r="C229" s="1" t="n">
        <v>5200</v>
      </c>
      <c r="D229" s="1" t="s">
        <v>683</v>
      </c>
      <c r="E229" s="1" t="n">
        <v>44160</v>
      </c>
      <c r="F229" s="1" t="s">
        <v>869</v>
      </c>
      <c r="G229" s="140" t="n">
        <v>46161</v>
      </c>
      <c r="H229" s="1" t="n">
        <v>1260</v>
      </c>
      <c r="I229" s="1" t="s">
        <v>1160</v>
      </c>
      <c r="J229" s="1" t="s">
        <v>1162</v>
      </c>
      <c r="K229" s="1" t="n">
        <v>107.45</v>
      </c>
      <c r="M229" s="125" t="n">
        <f aca="false">Nominal_Activity[[#This Row],[Debit]]-Nominal_Activity[[#This Row],[Credit]]</f>
        <v>107.45</v>
      </c>
      <c r="N229" s="149" t="str">
        <f aca="false">IF(C229="","",IFERROR(VLOOKUP(C229,Master_Mappings!$A$4:$E$85,3,FALSE()),"UNMAPPED"))</f>
        <v>Excluded — Project/Other</v>
      </c>
      <c r="O229" s="20" t="s">
        <v>1208</v>
      </c>
      <c r="P229" s="20" t="str">
        <f aca="false">IF($C229="","",$C229&amp;"|"&amp;$E229&amp;"|"&amp;$M229&amp;"|"&amp;TEXT($G229,"yyyy-mm-dd")&amp;"|"&amp;LEFT($J229,40))</f>
        <v>5200|44160|107.45|2026-05-19|Internet Data</v>
      </c>
      <c r="Q229" s="20" t="str">
        <f aca="false">IF(P229="","",IF(COUNTIF($P$2:$P$3000,P229)&gt;1,"DUPLICATE","OK"))</f>
        <v>OK</v>
      </c>
      <c r="R229" s="0" t="str">
        <f aca="false">IF($C229="","",IFERROR(VLOOKUP(--$C229,MM_Income!$Z$5:$AC$204,3,FALSE()),""))</f>
        <v>Recoverable</v>
      </c>
    </row>
    <row r="230" customFormat="false" ht="14.9" hidden="false" customHeight="false" outlineLevel="0" collapsed="false">
      <c r="A230" s="20" t="s">
        <v>49</v>
      </c>
      <c r="B230" s="20" t="s">
        <v>85</v>
      </c>
      <c r="C230" s="1" t="n">
        <v>5200</v>
      </c>
      <c r="D230" s="1" t="s">
        <v>683</v>
      </c>
      <c r="E230" s="1" t="n">
        <v>44161</v>
      </c>
      <c r="F230" s="1" t="s">
        <v>869</v>
      </c>
      <c r="G230" s="140" t="n">
        <v>46161</v>
      </c>
      <c r="H230" s="1" t="n">
        <v>1260</v>
      </c>
      <c r="I230" s="1" t="s">
        <v>1160</v>
      </c>
      <c r="J230" s="1" t="s">
        <v>1162</v>
      </c>
      <c r="K230" s="1" t="n">
        <v>107.45</v>
      </c>
      <c r="M230" s="125" t="n">
        <f aca="false">Nominal_Activity[[#This Row],[Debit]]-Nominal_Activity[[#This Row],[Credit]]</f>
        <v>107.45</v>
      </c>
      <c r="N230" s="149" t="str">
        <f aca="false">IF(C230="","",IFERROR(VLOOKUP(C230,Master_Mappings!$A$4:$E$85,3,FALSE()),"UNMAPPED"))</f>
        <v>Excluded — Project/Other</v>
      </c>
      <c r="O230" s="20" t="s">
        <v>1208</v>
      </c>
      <c r="P230" s="20" t="str">
        <f aca="false">IF($C230="","",$C230&amp;"|"&amp;$E230&amp;"|"&amp;$M230&amp;"|"&amp;TEXT($G230,"yyyy-mm-dd")&amp;"|"&amp;LEFT($J230,40))</f>
        <v>5200|44161|107.45|2026-05-19|Internet Data</v>
      </c>
      <c r="Q230" s="20" t="str">
        <f aca="false">IF(P230="","",IF(COUNTIF($P$2:$P$3000,P230)&gt;1,"DUPLICATE","OK"))</f>
        <v>OK</v>
      </c>
      <c r="R230" s="0" t="str">
        <f aca="false">IF($C230="","",IFERROR(VLOOKUP(--$C230,MM_Income!$Z$5:$AC$204,3,FALSE()),""))</f>
        <v>Recoverable</v>
      </c>
    </row>
    <row r="231" customFormat="false" ht="14.9" hidden="false" customHeight="false" outlineLevel="0" collapsed="false">
      <c r="A231" s="20" t="s">
        <v>49</v>
      </c>
      <c r="B231" s="20" t="s">
        <v>85</v>
      </c>
      <c r="C231" s="1" t="n">
        <v>5200</v>
      </c>
      <c r="D231" s="1" t="s">
        <v>683</v>
      </c>
      <c r="E231" s="1" t="n">
        <v>44162</v>
      </c>
      <c r="F231" s="1" t="s">
        <v>869</v>
      </c>
      <c r="G231" s="140" t="n">
        <v>46160</v>
      </c>
      <c r="H231" s="1" t="n">
        <v>1260</v>
      </c>
      <c r="I231" s="1" t="s">
        <v>1160</v>
      </c>
      <c r="J231" s="1" t="s">
        <v>877</v>
      </c>
      <c r="K231" s="1" t="n">
        <v>407.02</v>
      </c>
      <c r="M231" s="125" t="n">
        <f aca="false">Nominal_Activity[[#This Row],[Debit]]-Nominal_Activity[[#This Row],[Credit]]</f>
        <v>407.02</v>
      </c>
      <c r="N231" s="149" t="str">
        <f aca="false">IF(C231="","",IFERROR(VLOOKUP(C231,Master_Mappings!$A$4:$E$85,3,FALSE()),"UNMAPPED"))</f>
        <v>Excluded — Project/Other</v>
      </c>
      <c r="O231" s="20" t="s">
        <v>1208</v>
      </c>
      <c r="P231" s="20" t="str">
        <f aca="false">IF($C231="","",$C231&amp;"|"&amp;$E231&amp;"|"&amp;$M231&amp;"|"&amp;TEXT($G231,"yyyy-mm-dd")&amp;"|"&amp;LEFT($J231,40))</f>
        <v>5200|44162|407.02|2026-05-18|Groceries</v>
      </c>
      <c r="Q231" s="20" t="str">
        <f aca="false">IF(P231="","",IF(COUNTIF($P$2:$P$3000,P231)&gt;1,"DUPLICATE","OK"))</f>
        <v>OK</v>
      </c>
      <c r="R231" s="0" t="str">
        <f aca="false">IF($C231="","",IFERROR(VLOOKUP(--$C231,MM_Income!$Z$5:$AC$204,3,FALSE()),""))</f>
        <v>Recoverable</v>
      </c>
    </row>
    <row r="232" customFormat="false" ht="14.9" hidden="false" customHeight="false" outlineLevel="0" collapsed="false">
      <c r="A232" s="20" t="s">
        <v>49</v>
      </c>
      <c r="B232" s="20" t="s">
        <v>85</v>
      </c>
      <c r="C232" s="1" t="n">
        <v>5200</v>
      </c>
      <c r="D232" s="1" t="s">
        <v>683</v>
      </c>
      <c r="E232" s="1" t="n">
        <v>44163</v>
      </c>
      <c r="F232" s="1" t="s">
        <v>869</v>
      </c>
      <c r="G232" s="140" t="n">
        <v>46160</v>
      </c>
      <c r="H232" s="1" t="n">
        <v>1260</v>
      </c>
      <c r="I232" s="1" t="s">
        <v>1160</v>
      </c>
      <c r="J232" s="1" t="s">
        <v>1161</v>
      </c>
      <c r="K232" s="1" t="n">
        <v>92.41</v>
      </c>
      <c r="M232" s="125" t="n">
        <f aca="false">Nominal_Activity[[#This Row],[Debit]]-Nominal_Activity[[#This Row],[Credit]]</f>
        <v>92.41</v>
      </c>
      <c r="N232" s="149" t="str">
        <f aca="false">IF(C232="","",IFERROR(VLOOKUP(C232,Master_Mappings!$A$4:$E$85,3,FALSE()),"UNMAPPED"))</f>
        <v>Excluded — Project/Other</v>
      </c>
      <c r="O232" s="20" t="s">
        <v>1208</v>
      </c>
      <c r="P232" s="20" t="str">
        <f aca="false">IF($C232="","",$C232&amp;"|"&amp;$E232&amp;"|"&amp;$M232&amp;"|"&amp;TEXT($G232,"yyyy-mm-dd")&amp;"|"&amp;LEFT($J232,40))</f>
        <v>5200|44163|92.41|2026-05-18|[FOOD] Meals</v>
      </c>
      <c r="Q232" s="20" t="str">
        <f aca="false">IF(P232="","",IF(COUNTIF($P$2:$P$3000,P232)&gt;1,"DUPLICATE","OK"))</f>
        <v>OK</v>
      </c>
      <c r="R232" s="0" t="str">
        <f aca="false">IF($C232="","",IFERROR(VLOOKUP(--$C232,MM_Income!$Z$5:$AC$204,3,FALSE()),""))</f>
        <v>Recoverable</v>
      </c>
    </row>
    <row r="233" customFormat="false" ht="14.9" hidden="false" customHeight="false" outlineLevel="0" collapsed="false">
      <c r="A233" s="20" t="s">
        <v>49</v>
      </c>
      <c r="B233" s="20" t="s">
        <v>85</v>
      </c>
      <c r="C233" s="1" t="n">
        <v>5200</v>
      </c>
      <c r="D233" s="1" t="s">
        <v>683</v>
      </c>
      <c r="E233" s="1" t="n">
        <v>44164</v>
      </c>
      <c r="F233" s="1" t="s">
        <v>869</v>
      </c>
      <c r="G233" s="140" t="n">
        <v>46160</v>
      </c>
      <c r="H233" s="1" t="n">
        <v>1260</v>
      </c>
      <c r="I233" s="1" t="s">
        <v>1160</v>
      </c>
      <c r="J233" s="1" t="s">
        <v>1161</v>
      </c>
      <c r="K233" s="1" t="n">
        <v>98.85</v>
      </c>
      <c r="M233" s="125" t="n">
        <f aca="false">Nominal_Activity[[#This Row],[Debit]]-Nominal_Activity[[#This Row],[Credit]]</f>
        <v>98.85</v>
      </c>
      <c r="N233" s="149" t="str">
        <f aca="false">IF(C233="","",IFERROR(VLOOKUP(C233,Master_Mappings!$A$4:$E$85,3,FALSE()),"UNMAPPED"))</f>
        <v>Excluded — Project/Other</v>
      </c>
      <c r="O233" s="20" t="s">
        <v>1208</v>
      </c>
      <c r="P233" s="20" t="str">
        <f aca="false">IF($C233="","",$C233&amp;"|"&amp;$E233&amp;"|"&amp;$M233&amp;"|"&amp;TEXT($G233,"yyyy-mm-dd")&amp;"|"&amp;LEFT($J233,40))</f>
        <v>5200|44164|98.85|2026-05-18|[FOOD] Meals</v>
      </c>
      <c r="Q233" s="20" t="str">
        <f aca="false">IF(P233="","",IF(COUNTIF($P$2:$P$3000,P233)&gt;1,"DUPLICATE","OK"))</f>
        <v>OK</v>
      </c>
      <c r="R233" s="0" t="str">
        <f aca="false">IF($C233="","",IFERROR(VLOOKUP(--$C233,MM_Income!$Z$5:$AC$204,3,FALSE()),""))</f>
        <v>Recoverable</v>
      </c>
    </row>
    <row r="234" customFormat="false" ht="14.9" hidden="false" customHeight="false" outlineLevel="0" collapsed="false">
      <c r="A234" s="20" t="s">
        <v>49</v>
      </c>
      <c r="B234" s="20" t="s">
        <v>85</v>
      </c>
      <c r="C234" s="1" t="n">
        <v>5200</v>
      </c>
      <c r="D234" s="1" t="s">
        <v>683</v>
      </c>
      <c r="E234" s="1" t="n">
        <v>44165</v>
      </c>
      <c r="F234" s="1" t="s">
        <v>869</v>
      </c>
      <c r="G234" s="140" t="n">
        <v>46160</v>
      </c>
      <c r="H234" s="1" t="n">
        <v>1260</v>
      </c>
      <c r="I234" s="1" t="s">
        <v>1160</v>
      </c>
      <c r="J234" s="1" t="s">
        <v>877</v>
      </c>
      <c r="K234" s="1" t="n">
        <v>42.98</v>
      </c>
      <c r="M234" s="125" t="n">
        <f aca="false">Nominal_Activity[[#This Row],[Debit]]-Nominal_Activity[[#This Row],[Credit]]</f>
        <v>42.98</v>
      </c>
      <c r="N234" s="149" t="str">
        <f aca="false">IF(C234="","",IFERROR(VLOOKUP(C234,Master_Mappings!$A$4:$E$85,3,FALSE()),"UNMAPPED"))</f>
        <v>Excluded — Project/Other</v>
      </c>
      <c r="O234" s="20" t="s">
        <v>1208</v>
      </c>
      <c r="P234" s="20" t="str">
        <f aca="false">IF($C234="","",$C234&amp;"|"&amp;$E234&amp;"|"&amp;$M234&amp;"|"&amp;TEXT($G234,"yyyy-mm-dd")&amp;"|"&amp;LEFT($J234,40))</f>
        <v>5200|44165|42.98|2026-05-18|Groceries</v>
      </c>
      <c r="Q234" s="20" t="str">
        <f aca="false">IF(P234="","",IF(COUNTIF($P$2:$P$3000,P234)&gt;1,"DUPLICATE","OK"))</f>
        <v>OK</v>
      </c>
      <c r="R234" s="0" t="str">
        <f aca="false">IF($C234="","",IFERROR(VLOOKUP(--$C234,MM_Income!$Z$5:$AC$204,3,FALSE()),""))</f>
        <v>Recoverable</v>
      </c>
    </row>
    <row r="235" customFormat="false" ht="14.9" hidden="false" customHeight="false" outlineLevel="0" collapsed="false">
      <c r="A235" s="20" t="s">
        <v>49</v>
      </c>
      <c r="B235" s="20" t="s">
        <v>85</v>
      </c>
      <c r="C235" s="1" t="n">
        <v>5200</v>
      </c>
      <c r="D235" s="1" t="s">
        <v>683</v>
      </c>
      <c r="E235" s="1" t="n">
        <v>44166</v>
      </c>
      <c r="F235" s="1" t="s">
        <v>869</v>
      </c>
      <c r="G235" s="140" t="n">
        <v>46160</v>
      </c>
      <c r="H235" s="1" t="n">
        <v>1260</v>
      </c>
      <c r="I235" s="1" t="s">
        <v>1160</v>
      </c>
      <c r="J235" s="1" t="s">
        <v>1163</v>
      </c>
      <c r="K235" s="1" t="n">
        <v>206.31</v>
      </c>
      <c r="M235" s="125" t="n">
        <f aca="false">Nominal_Activity[[#This Row],[Debit]]-Nominal_Activity[[#This Row],[Credit]]</f>
        <v>206.31</v>
      </c>
      <c r="N235" s="149" t="str">
        <f aca="false">IF(C235="","",IFERROR(VLOOKUP(C235,Master_Mappings!$A$4:$E$85,3,FALSE()),"UNMAPPED"))</f>
        <v>Excluded — Project/Other</v>
      </c>
      <c r="O235" s="20" t="s">
        <v>1208</v>
      </c>
      <c r="P235" s="20" t="str">
        <f aca="false">IF($C235="","",$C235&amp;"|"&amp;$E235&amp;"|"&amp;$M235&amp;"|"&amp;TEXT($G235,"yyyy-mm-dd")&amp;"|"&amp;LEFT($J235,40))</f>
        <v>5200|44166|206.31|2026-05-18|Taxi/Uber/Bolt/Yango</v>
      </c>
      <c r="Q235" s="20" t="str">
        <f aca="false">IF(P235="","",IF(COUNTIF($P$2:$P$3000,P235)&gt;1,"DUPLICATE","OK"))</f>
        <v>OK</v>
      </c>
      <c r="R235" s="0" t="str">
        <f aca="false">IF($C235="","",IFERROR(VLOOKUP(--$C235,MM_Income!$Z$5:$AC$204,3,FALSE()),""))</f>
        <v>Recoverable</v>
      </c>
    </row>
    <row r="236" customFormat="false" ht="14.9" hidden="false" customHeight="false" outlineLevel="0" collapsed="false">
      <c r="A236" s="20" t="s">
        <v>49</v>
      </c>
      <c r="B236" s="20" t="s">
        <v>85</v>
      </c>
      <c r="C236" s="1" t="n">
        <v>5200</v>
      </c>
      <c r="D236" s="1" t="s">
        <v>683</v>
      </c>
      <c r="E236" s="1" t="n">
        <v>44167</v>
      </c>
      <c r="F236" s="1" t="s">
        <v>869</v>
      </c>
      <c r="G236" s="140" t="n">
        <v>46160</v>
      </c>
      <c r="H236" s="1" t="n">
        <v>1260</v>
      </c>
      <c r="I236" s="1" t="s">
        <v>1160</v>
      </c>
      <c r="J236" s="1" t="s">
        <v>1163</v>
      </c>
      <c r="K236" s="1" t="n">
        <v>290.12</v>
      </c>
      <c r="M236" s="125" t="n">
        <f aca="false">Nominal_Activity[[#This Row],[Debit]]-Nominal_Activity[[#This Row],[Credit]]</f>
        <v>290.12</v>
      </c>
      <c r="N236" s="149" t="str">
        <f aca="false">IF(C236="","",IFERROR(VLOOKUP(C236,Master_Mappings!$A$4:$E$85,3,FALSE()),"UNMAPPED"))</f>
        <v>Excluded — Project/Other</v>
      </c>
      <c r="O236" s="20" t="s">
        <v>1208</v>
      </c>
      <c r="P236" s="20" t="str">
        <f aca="false">IF($C236="","",$C236&amp;"|"&amp;$E236&amp;"|"&amp;$M236&amp;"|"&amp;TEXT($G236,"yyyy-mm-dd")&amp;"|"&amp;LEFT($J236,40))</f>
        <v>5200|44167|290.12|2026-05-18|Taxi/Uber/Bolt/Yango</v>
      </c>
      <c r="Q236" s="20" t="str">
        <f aca="false">IF(P236="","",IF(COUNTIF($P$2:$P$3000,P236)&gt;1,"DUPLICATE","OK"))</f>
        <v>OK</v>
      </c>
      <c r="R236" s="0" t="str">
        <f aca="false">IF($C236="","",IFERROR(VLOOKUP(--$C236,MM_Income!$Z$5:$AC$204,3,FALSE()),""))</f>
        <v>Recoverable</v>
      </c>
    </row>
    <row r="237" customFormat="false" ht="14.9" hidden="false" customHeight="false" outlineLevel="0" collapsed="false">
      <c r="A237" s="20" t="s">
        <v>49</v>
      </c>
      <c r="B237" s="20" t="s">
        <v>85</v>
      </c>
      <c r="C237" s="1" t="n">
        <v>5200</v>
      </c>
      <c r="D237" s="1" t="s">
        <v>683</v>
      </c>
      <c r="E237" s="1" t="n">
        <v>44168</v>
      </c>
      <c r="F237" s="1" t="s">
        <v>869</v>
      </c>
      <c r="G237" s="140" t="n">
        <v>46160</v>
      </c>
      <c r="H237" s="1" t="n">
        <v>1260</v>
      </c>
      <c r="I237" s="1" t="s">
        <v>1160</v>
      </c>
      <c r="J237" s="1" t="s">
        <v>1161</v>
      </c>
      <c r="K237" s="1" t="n">
        <v>227.8</v>
      </c>
      <c r="M237" s="125" t="n">
        <f aca="false">Nominal_Activity[[#This Row],[Debit]]-Nominal_Activity[[#This Row],[Credit]]</f>
        <v>227.8</v>
      </c>
      <c r="N237" s="149" t="str">
        <f aca="false">IF(C237="","",IFERROR(VLOOKUP(C237,Master_Mappings!$A$4:$E$85,3,FALSE()),"UNMAPPED"))</f>
        <v>Excluded — Project/Other</v>
      </c>
      <c r="O237" s="20" t="s">
        <v>1208</v>
      </c>
      <c r="P237" s="20" t="str">
        <f aca="false">IF($C237="","",$C237&amp;"|"&amp;$E237&amp;"|"&amp;$M237&amp;"|"&amp;TEXT($G237,"yyyy-mm-dd")&amp;"|"&amp;LEFT($J237,40))</f>
        <v>5200|44168|227.8|2026-05-18|[FOOD] Meals</v>
      </c>
      <c r="Q237" s="20" t="str">
        <f aca="false">IF(P237="","",IF(COUNTIF($P$2:$P$3000,P237)&gt;1,"DUPLICATE","OK"))</f>
        <v>OK</v>
      </c>
      <c r="R237" s="0" t="str">
        <f aca="false">IF($C237="","",IFERROR(VLOOKUP(--$C237,MM_Income!$Z$5:$AC$204,3,FALSE()),""))</f>
        <v>Recoverable</v>
      </c>
    </row>
    <row r="238" customFormat="false" ht="14.9" hidden="false" customHeight="false" outlineLevel="0" collapsed="false">
      <c r="A238" s="20" t="s">
        <v>49</v>
      </c>
      <c r="B238" s="20" t="s">
        <v>85</v>
      </c>
      <c r="C238" s="1" t="n">
        <v>5200</v>
      </c>
      <c r="D238" s="1" t="s">
        <v>683</v>
      </c>
      <c r="E238" s="1" t="n">
        <v>44169</v>
      </c>
      <c r="F238" s="1" t="s">
        <v>869</v>
      </c>
      <c r="G238" s="140" t="n">
        <v>46164</v>
      </c>
      <c r="H238" s="1" t="n">
        <v>1260</v>
      </c>
      <c r="I238" s="1" t="s">
        <v>1160</v>
      </c>
      <c r="J238" s="1" t="s">
        <v>1163</v>
      </c>
      <c r="K238" s="1" t="n">
        <v>135.39</v>
      </c>
      <c r="M238" s="125" t="n">
        <f aca="false">Nominal_Activity[[#This Row],[Debit]]-Nominal_Activity[[#This Row],[Credit]]</f>
        <v>135.39</v>
      </c>
      <c r="N238" s="149" t="str">
        <f aca="false">IF(C238="","",IFERROR(VLOOKUP(C238,Master_Mappings!$A$4:$E$85,3,FALSE()),"UNMAPPED"))</f>
        <v>Excluded — Project/Other</v>
      </c>
      <c r="O238" s="20" t="s">
        <v>1208</v>
      </c>
      <c r="P238" s="20" t="str">
        <f aca="false">IF($C238="","",$C238&amp;"|"&amp;$E238&amp;"|"&amp;$M238&amp;"|"&amp;TEXT($G238,"yyyy-mm-dd")&amp;"|"&amp;LEFT($J238,40))</f>
        <v>5200|44169|135.39|2026-05-22|Taxi/Uber/Bolt/Yango</v>
      </c>
      <c r="Q238" s="20" t="str">
        <f aca="false">IF(P238="","",IF(COUNTIF($P$2:$P$3000,P238)&gt;1,"DUPLICATE","OK"))</f>
        <v>OK</v>
      </c>
      <c r="R238" s="0" t="str">
        <f aca="false">IF($C238="","",IFERROR(VLOOKUP(--$C238,MM_Income!$Z$5:$AC$204,3,FALSE()),""))</f>
        <v>Recoverable</v>
      </c>
    </row>
    <row r="239" customFormat="false" ht="14.9" hidden="false" customHeight="false" outlineLevel="0" collapsed="false">
      <c r="A239" s="20" t="s">
        <v>49</v>
      </c>
      <c r="B239" s="20" t="s">
        <v>85</v>
      </c>
      <c r="C239" s="1" t="n">
        <v>5200</v>
      </c>
      <c r="D239" s="1" t="s">
        <v>683</v>
      </c>
      <c r="E239" s="1" t="n">
        <v>44170</v>
      </c>
      <c r="F239" s="1" t="s">
        <v>869</v>
      </c>
      <c r="G239" s="140" t="n">
        <v>46163</v>
      </c>
      <c r="H239" s="1" t="n">
        <v>1260</v>
      </c>
      <c r="I239" s="1" t="s">
        <v>1160</v>
      </c>
      <c r="J239" s="1" t="s">
        <v>886</v>
      </c>
      <c r="K239" s="1" t="n">
        <v>924.08</v>
      </c>
      <c r="M239" s="125" t="n">
        <f aca="false">Nominal_Activity[[#This Row],[Debit]]-Nominal_Activity[[#This Row],[Credit]]</f>
        <v>924.08</v>
      </c>
      <c r="N239" s="149" t="str">
        <f aca="false">IF(C239="","",IFERROR(VLOOKUP(C239,Master_Mappings!$A$4:$E$85,3,FALSE()),"UNMAPPED"))</f>
        <v>Excluded — Project/Other</v>
      </c>
      <c r="O239" s="20" t="s">
        <v>1208</v>
      </c>
      <c r="P239" s="20" t="str">
        <f aca="false">IF($C239="","",$C239&amp;"|"&amp;$E239&amp;"|"&amp;$M239&amp;"|"&amp;TEXT($G239,"yyyy-mm-dd")&amp;"|"&amp;LEFT($J239,40))</f>
        <v>5200|44170|924.08|2026-05-21|Hotel</v>
      </c>
      <c r="Q239" s="20" t="str">
        <f aca="false">IF(P239="","",IF(COUNTIF($P$2:$P$3000,P239)&gt;1,"DUPLICATE","OK"))</f>
        <v>OK</v>
      </c>
      <c r="R239" s="0" t="str">
        <f aca="false">IF($C239="","",IFERROR(VLOOKUP(--$C239,MM_Income!$Z$5:$AC$204,3,FALSE()),""))</f>
        <v>Recoverable</v>
      </c>
    </row>
    <row r="240" customFormat="false" ht="14.9" hidden="false" customHeight="false" outlineLevel="0" collapsed="false">
      <c r="A240" s="20" t="s">
        <v>49</v>
      </c>
      <c r="B240" s="20" t="s">
        <v>85</v>
      </c>
      <c r="C240" s="1" t="n">
        <v>5200</v>
      </c>
      <c r="D240" s="1" t="s">
        <v>683</v>
      </c>
      <c r="E240" s="1" t="n">
        <v>44171</v>
      </c>
      <c r="F240" s="1" t="s">
        <v>869</v>
      </c>
      <c r="G240" s="140" t="n">
        <v>46158</v>
      </c>
      <c r="H240" s="1" t="n">
        <v>1260</v>
      </c>
      <c r="I240" s="1" t="s">
        <v>1160</v>
      </c>
      <c r="J240" s="1" t="s">
        <v>1163</v>
      </c>
      <c r="K240" s="1" t="n">
        <v>75.22</v>
      </c>
      <c r="M240" s="125" t="n">
        <f aca="false">Nominal_Activity[[#This Row],[Debit]]-Nominal_Activity[[#This Row],[Credit]]</f>
        <v>75.22</v>
      </c>
      <c r="N240" s="149" t="str">
        <f aca="false">IF(C240="","",IFERROR(VLOOKUP(C240,Master_Mappings!$A$4:$E$85,3,FALSE()),"UNMAPPED"))</f>
        <v>Excluded — Project/Other</v>
      </c>
      <c r="O240" s="20" t="s">
        <v>1208</v>
      </c>
      <c r="P240" s="20" t="str">
        <f aca="false">IF($C240="","",$C240&amp;"|"&amp;$E240&amp;"|"&amp;$M240&amp;"|"&amp;TEXT($G240,"yyyy-mm-dd")&amp;"|"&amp;LEFT($J240,40))</f>
        <v>5200|44171|75.22|2026-05-16|Taxi/Uber/Bolt/Yango</v>
      </c>
      <c r="Q240" s="20" t="str">
        <f aca="false">IF(P240="","",IF(COUNTIF($P$2:$P$3000,P240)&gt;1,"DUPLICATE","OK"))</f>
        <v>OK</v>
      </c>
      <c r="R240" s="0" t="str">
        <f aca="false">IF($C240="","",IFERROR(VLOOKUP(--$C240,MM_Income!$Z$5:$AC$204,3,FALSE()),""))</f>
        <v>Recoverable</v>
      </c>
    </row>
    <row r="241" customFormat="false" ht="14.9" hidden="false" customHeight="false" outlineLevel="0" collapsed="false">
      <c r="A241" s="20" t="s">
        <v>49</v>
      </c>
      <c r="B241" s="20" t="s">
        <v>85</v>
      </c>
      <c r="C241" s="1" t="n">
        <v>5200</v>
      </c>
      <c r="D241" s="1" t="s">
        <v>683</v>
      </c>
      <c r="E241" s="1" t="n">
        <v>44172</v>
      </c>
      <c r="F241" s="1" t="s">
        <v>869</v>
      </c>
      <c r="G241" s="140" t="n">
        <v>46158</v>
      </c>
      <c r="H241" s="1" t="n">
        <v>1260</v>
      </c>
      <c r="I241" s="1" t="s">
        <v>1160</v>
      </c>
      <c r="J241" s="1" t="s">
        <v>1163</v>
      </c>
      <c r="K241" s="1" t="n">
        <v>163.33</v>
      </c>
      <c r="M241" s="125" t="n">
        <f aca="false">Nominal_Activity[[#This Row],[Debit]]-Nominal_Activity[[#This Row],[Credit]]</f>
        <v>163.33</v>
      </c>
      <c r="N241" s="149" t="str">
        <f aca="false">IF(C241="","",IFERROR(VLOOKUP(C241,Master_Mappings!$A$4:$E$85,3,FALSE()),"UNMAPPED"))</f>
        <v>Excluded — Project/Other</v>
      </c>
      <c r="O241" s="20" t="s">
        <v>1208</v>
      </c>
      <c r="P241" s="20" t="str">
        <f aca="false">IF($C241="","",$C241&amp;"|"&amp;$E241&amp;"|"&amp;$M241&amp;"|"&amp;TEXT($G241,"yyyy-mm-dd")&amp;"|"&amp;LEFT($J241,40))</f>
        <v>5200|44172|163.33|2026-05-16|Taxi/Uber/Bolt/Yango</v>
      </c>
      <c r="Q241" s="20" t="str">
        <f aca="false">IF(P241="","",IF(COUNTIF($P$2:$P$3000,P241)&gt;1,"DUPLICATE","OK"))</f>
        <v>OK</v>
      </c>
      <c r="R241" s="0" t="str">
        <f aca="false">IF($C241="","",IFERROR(VLOOKUP(--$C241,MM_Income!$Z$5:$AC$204,3,FALSE()),""))</f>
        <v>Recoverable</v>
      </c>
    </row>
    <row r="242" customFormat="false" ht="14.9" hidden="false" customHeight="false" outlineLevel="0" collapsed="false">
      <c r="A242" s="20" t="s">
        <v>49</v>
      </c>
      <c r="B242" s="20" t="s">
        <v>85</v>
      </c>
      <c r="C242" s="1" t="n">
        <v>5200</v>
      </c>
      <c r="D242" s="1" t="s">
        <v>683</v>
      </c>
      <c r="E242" s="1" t="n">
        <v>44173</v>
      </c>
      <c r="F242" s="1" t="s">
        <v>869</v>
      </c>
      <c r="G242" s="140" t="n">
        <v>46154</v>
      </c>
      <c r="H242" s="1" t="n">
        <v>1260</v>
      </c>
      <c r="I242" s="1" t="s">
        <v>1160</v>
      </c>
      <c r="J242" s="1" t="s">
        <v>1162</v>
      </c>
      <c r="K242" s="1" t="n">
        <v>107.45</v>
      </c>
      <c r="M242" s="125" t="n">
        <f aca="false">Nominal_Activity[[#This Row],[Debit]]-Nominal_Activity[[#This Row],[Credit]]</f>
        <v>107.45</v>
      </c>
      <c r="N242" s="149" t="str">
        <f aca="false">IF(C242="","",IFERROR(VLOOKUP(C242,Master_Mappings!$A$4:$E$85,3,FALSE()),"UNMAPPED"))</f>
        <v>Excluded — Project/Other</v>
      </c>
      <c r="O242" s="20" t="s">
        <v>1208</v>
      </c>
      <c r="P242" s="20" t="str">
        <f aca="false">IF($C242="","",$C242&amp;"|"&amp;$E242&amp;"|"&amp;$M242&amp;"|"&amp;TEXT($G242,"yyyy-mm-dd")&amp;"|"&amp;LEFT($J242,40))</f>
        <v>5200|44173|107.45|2026-05-12|Internet Data</v>
      </c>
      <c r="Q242" s="20" t="str">
        <f aca="false">IF(P242="","",IF(COUNTIF($P$2:$P$3000,P242)&gt;1,"DUPLICATE","OK"))</f>
        <v>OK</v>
      </c>
      <c r="R242" s="0" t="str">
        <f aca="false">IF($C242="","",IFERROR(VLOOKUP(--$C242,MM_Income!$Z$5:$AC$204,3,FALSE()),""))</f>
        <v>Recoverable</v>
      </c>
    </row>
    <row r="243" customFormat="false" ht="14.9" hidden="false" customHeight="false" outlineLevel="0" collapsed="false">
      <c r="A243" s="20" t="s">
        <v>49</v>
      </c>
      <c r="B243" s="20" t="s">
        <v>85</v>
      </c>
      <c r="C243" s="1" t="n">
        <v>5200</v>
      </c>
      <c r="D243" s="1" t="s">
        <v>683</v>
      </c>
      <c r="E243" s="1" t="n">
        <v>44174</v>
      </c>
      <c r="F243" s="1" t="s">
        <v>869</v>
      </c>
      <c r="G243" s="140" t="n">
        <v>46154</v>
      </c>
      <c r="H243" s="1" t="n">
        <v>1260</v>
      </c>
      <c r="I243" s="1" t="s">
        <v>1160</v>
      </c>
      <c r="J243" s="1" t="s">
        <v>1162</v>
      </c>
      <c r="K243" s="1" t="n">
        <v>107.45</v>
      </c>
      <c r="M243" s="125" t="n">
        <f aca="false">Nominal_Activity[[#This Row],[Debit]]-Nominal_Activity[[#This Row],[Credit]]</f>
        <v>107.45</v>
      </c>
      <c r="N243" s="149" t="str">
        <f aca="false">IF(C243="","",IFERROR(VLOOKUP(C243,Master_Mappings!$A$4:$E$85,3,FALSE()),"UNMAPPED"))</f>
        <v>Excluded — Project/Other</v>
      </c>
      <c r="O243" s="20" t="s">
        <v>1208</v>
      </c>
      <c r="P243" s="20" t="str">
        <f aca="false">IF($C243="","",$C243&amp;"|"&amp;$E243&amp;"|"&amp;$M243&amp;"|"&amp;TEXT($G243,"yyyy-mm-dd")&amp;"|"&amp;LEFT($J243,40))</f>
        <v>5200|44174|107.45|2026-05-12|Internet Data</v>
      </c>
      <c r="Q243" s="20" t="str">
        <f aca="false">IF(P243="","",IF(COUNTIF($P$2:$P$3000,P243)&gt;1,"DUPLICATE","OK"))</f>
        <v>OK</v>
      </c>
      <c r="R243" s="0" t="str">
        <f aca="false">IF($C243="","",IFERROR(VLOOKUP(--$C243,MM_Income!$Z$5:$AC$204,3,FALSE()),""))</f>
        <v>Recoverable</v>
      </c>
    </row>
    <row r="244" customFormat="false" ht="14.9" hidden="false" customHeight="false" outlineLevel="0" collapsed="false">
      <c r="A244" s="20" t="s">
        <v>49</v>
      </c>
      <c r="B244" s="20" t="s">
        <v>85</v>
      </c>
      <c r="C244" s="1" t="n">
        <v>5200</v>
      </c>
      <c r="D244" s="1" t="s">
        <v>683</v>
      </c>
      <c r="E244" s="1" t="n">
        <v>44175</v>
      </c>
      <c r="F244" s="1" t="s">
        <v>869</v>
      </c>
      <c r="G244" s="140" t="n">
        <v>46154</v>
      </c>
      <c r="H244" s="1" t="n">
        <v>1260</v>
      </c>
      <c r="I244" s="1" t="s">
        <v>1160</v>
      </c>
      <c r="J244" s="1" t="s">
        <v>1162</v>
      </c>
      <c r="K244" s="1" t="n">
        <v>107.45</v>
      </c>
      <c r="M244" s="125" t="n">
        <f aca="false">Nominal_Activity[[#This Row],[Debit]]-Nominal_Activity[[#This Row],[Credit]]</f>
        <v>107.45</v>
      </c>
      <c r="N244" s="149" t="str">
        <f aca="false">IF(C244="","",IFERROR(VLOOKUP(C244,Master_Mappings!$A$4:$E$85,3,FALSE()),"UNMAPPED"))</f>
        <v>Excluded — Project/Other</v>
      </c>
      <c r="O244" s="20" t="s">
        <v>1208</v>
      </c>
      <c r="P244" s="20" t="str">
        <f aca="false">IF($C244="","",$C244&amp;"|"&amp;$E244&amp;"|"&amp;$M244&amp;"|"&amp;TEXT($G244,"yyyy-mm-dd")&amp;"|"&amp;LEFT($J244,40))</f>
        <v>5200|44175|107.45|2026-05-12|Internet Data</v>
      </c>
      <c r="Q244" s="20" t="str">
        <f aca="false">IF(P244="","",IF(COUNTIF($P$2:$P$3000,P244)&gt;1,"DUPLICATE","OK"))</f>
        <v>OK</v>
      </c>
      <c r="R244" s="0" t="str">
        <f aca="false">IF($C244="","",IFERROR(VLOOKUP(--$C244,MM_Income!$Z$5:$AC$204,3,FALSE()),""))</f>
        <v>Recoverable</v>
      </c>
    </row>
    <row r="245" customFormat="false" ht="14.9" hidden="false" customHeight="false" outlineLevel="0" collapsed="false">
      <c r="A245" s="20" t="s">
        <v>49</v>
      </c>
      <c r="B245" s="20" t="s">
        <v>85</v>
      </c>
      <c r="C245" s="1" t="n">
        <v>5200</v>
      </c>
      <c r="D245" s="1" t="s">
        <v>683</v>
      </c>
      <c r="E245" s="1" t="n">
        <v>44176</v>
      </c>
      <c r="F245" s="1" t="s">
        <v>869</v>
      </c>
      <c r="G245" s="140" t="n">
        <v>46153</v>
      </c>
      <c r="H245" s="1" t="n">
        <v>1260</v>
      </c>
      <c r="I245" s="1" t="s">
        <v>1160</v>
      </c>
      <c r="J245" s="1" t="s">
        <v>1162</v>
      </c>
      <c r="K245" s="1" t="n">
        <v>21.49</v>
      </c>
      <c r="M245" s="125" t="n">
        <f aca="false">Nominal_Activity[[#This Row],[Debit]]-Nominal_Activity[[#This Row],[Credit]]</f>
        <v>21.49</v>
      </c>
      <c r="N245" s="149" t="str">
        <f aca="false">IF(C245="","",IFERROR(VLOOKUP(C245,Master_Mappings!$A$4:$E$85,3,FALSE()),"UNMAPPED"))</f>
        <v>Excluded — Project/Other</v>
      </c>
      <c r="O245" s="20" t="s">
        <v>1208</v>
      </c>
      <c r="P245" s="20" t="str">
        <f aca="false">IF($C245="","",$C245&amp;"|"&amp;$E245&amp;"|"&amp;$M245&amp;"|"&amp;TEXT($G245,"yyyy-mm-dd")&amp;"|"&amp;LEFT($J245,40))</f>
        <v>5200|44176|21.49|2026-05-11|Internet Data</v>
      </c>
      <c r="Q245" s="20" t="str">
        <f aca="false">IF(P245="","",IF(COUNTIF($P$2:$P$3000,P245)&gt;1,"DUPLICATE","OK"))</f>
        <v>OK</v>
      </c>
      <c r="R245" s="0" t="str">
        <f aca="false">IF($C245="","",IFERROR(VLOOKUP(--$C245,MM_Income!$Z$5:$AC$204,3,FALSE()),""))</f>
        <v>Recoverable</v>
      </c>
    </row>
    <row r="246" customFormat="false" ht="14.9" hidden="false" customHeight="false" outlineLevel="0" collapsed="false">
      <c r="A246" s="20" t="s">
        <v>49</v>
      </c>
      <c r="B246" s="20" t="s">
        <v>85</v>
      </c>
      <c r="C246" s="1" t="n">
        <v>5200</v>
      </c>
      <c r="D246" s="1" t="s">
        <v>683</v>
      </c>
      <c r="E246" s="1" t="n">
        <v>44177</v>
      </c>
      <c r="F246" s="1" t="s">
        <v>869</v>
      </c>
      <c r="G246" s="140" t="n">
        <v>46153</v>
      </c>
      <c r="H246" s="1" t="n">
        <v>1260</v>
      </c>
      <c r="I246" s="1" t="s">
        <v>1160</v>
      </c>
      <c r="J246" s="1" t="s">
        <v>1162</v>
      </c>
      <c r="K246" s="1" t="n">
        <v>223.5</v>
      </c>
      <c r="M246" s="125" t="n">
        <f aca="false">Nominal_Activity[[#This Row],[Debit]]-Nominal_Activity[[#This Row],[Credit]]</f>
        <v>223.5</v>
      </c>
      <c r="N246" s="149" t="str">
        <f aca="false">IF(C246="","",IFERROR(VLOOKUP(C246,Master_Mappings!$A$4:$E$85,3,FALSE()),"UNMAPPED"))</f>
        <v>Excluded — Project/Other</v>
      </c>
      <c r="O246" s="20" t="s">
        <v>1208</v>
      </c>
      <c r="P246" s="20" t="str">
        <f aca="false">IF($C246="","",$C246&amp;"|"&amp;$E246&amp;"|"&amp;$M246&amp;"|"&amp;TEXT($G246,"yyyy-mm-dd")&amp;"|"&amp;LEFT($J246,40))</f>
        <v>5200|44177|223.5|2026-05-11|Internet Data</v>
      </c>
      <c r="Q246" s="20" t="str">
        <f aca="false">IF(P246="","",IF(COUNTIF($P$2:$P$3000,P246)&gt;1,"DUPLICATE","OK"))</f>
        <v>OK</v>
      </c>
      <c r="R246" s="0" t="str">
        <f aca="false">IF($C246="","",IFERROR(VLOOKUP(--$C246,MM_Income!$Z$5:$AC$204,3,FALSE()),""))</f>
        <v>Recoverable</v>
      </c>
    </row>
    <row r="247" customFormat="false" ht="14.9" hidden="false" customHeight="false" outlineLevel="0" collapsed="false">
      <c r="A247" s="20" t="s">
        <v>49</v>
      </c>
      <c r="B247" s="20" t="s">
        <v>85</v>
      </c>
      <c r="C247" s="1" t="n">
        <v>5200</v>
      </c>
      <c r="D247" s="1" t="s">
        <v>683</v>
      </c>
      <c r="E247" s="1" t="n">
        <v>44178</v>
      </c>
      <c r="F247" s="1" t="s">
        <v>869</v>
      </c>
      <c r="G247" s="140" t="n">
        <v>46153</v>
      </c>
      <c r="H247" s="1" t="n">
        <v>1260</v>
      </c>
      <c r="I247" s="1" t="s">
        <v>1160</v>
      </c>
      <c r="J247" s="1" t="s">
        <v>1163</v>
      </c>
      <c r="K247" s="1" t="n">
        <v>307.31</v>
      </c>
      <c r="M247" s="125" t="n">
        <f aca="false">Nominal_Activity[[#This Row],[Debit]]-Nominal_Activity[[#This Row],[Credit]]</f>
        <v>307.31</v>
      </c>
      <c r="N247" s="149" t="str">
        <f aca="false">IF(C247="","",IFERROR(VLOOKUP(C247,Master_Mappings!$A$4:$E$85,3,FALSE()),"UNMAPPED"))</f>
        <v>Excluded — Project/Other</v>
      </c>
      <c r="O247" s="20" t="s">
        <v>1208</v>
      </c>
      <c r="P247" s="20" t="str">
        <f aca="false">IF($C247="","",$C247&amp;"|"&amp;$E247&amp;"|"&amp;$M247&amp;"|"&amp;TEXT($G247,"yyyy-mm-dd")&amp;"|"&amp;LEFT($J247,40))</f>
        <v>5200|44178|307.31|2026-05-11|Taxi/Uber/Bolt/Yango</v>
      </c>
      <c r="Q247" s="20" t="str">
        <f aca="false">IF(P247="","",IF(COUNTIF($P$2:$P$3000,P247)&gt;1,"DUPLICATE","OK"))</f>
        <v>OK</v>
      </c>
      <c r="R247" s="0" t="str">
        <f aca="false">IF($C247="","",IFERROR(VLOOKUP(--$C247,MM_Income!$Z$5:$AC$204,3,FALSE()),""))</f>
        <v>Recoverable</v>
      </c>
    </row>
    <row r="248" customFormat="false" ht="14.9" hidden="false" customHeight="false" outlineLevel="0" collapsed="false">
      <c r="A248" s="20" t="s">
        <v>49</v>
      </c>
      <c r="B248" s="20" t="s">
        <v>85</v>
      </c>
      <c r="C248" s="1" t="n">
        <v>5200</v>
      </c>
      <c r="D248" s="1" t="s">
        <v>683</v>
      </c>
      <c r="E248" s="1" t="n">
        <v>44179</v>
      </c>
      <c r="F248" s="1" t="s">
        <v>869</v>
      </c>
      <c r="G248" s="140" t="n">
        <v>46153</v>
      </c>
      <c r="H248" s="1" t="n">
        <v>1260</v>
      </c>
      <c r="I248" s="1" t="s">
        <v>1160</v>
      </c>
      <c r="J248" s="1" t="s">
        <v>1161</v>
      </c>
      <c r="K248" s="1" t="n">
        <v>193.41</v>
      </c>
      <c r="M248" s="125" t="n">
        <f aca="false">Nominal_Activity[[#This Row],[Debit]]-Nominal_Activity[[#This Row],[Credit]]</f>
        <v>193.41</v>
      </c>
      <c r="N248" s="149" t="str">
        <f aca="false">IF(C248="","",IFERROR(VLOOKUP(C248,Master_Mappings!$A$4:$E$85,3,FALSE()),"UNMAPPED"))</f>
        <v>Excluded — Project/Other</v>
      </c>
      <c r="O248" s="20" t="s">
        <v>1208</v>
      </c>
      <c r="P248" s="20" t="str">
        <f aca="false">IF($C248="","",$C248&amp;"|"&amp;$E248&amp;"|"&amp;$M248&amp;"|"&amp;TEXT($G248,"yyyy-mm-dd")&amp;"|"&amp;LEFT($J248,40))</f>
        <v>5200|44179|193.41|2026-05-11|[FOOD] Meals</v>
      </c>
      <c r="Q248" s="20" t="str">
        <f aca="false">IF(P248="","",IF(COUNTIF($P$2:$P$3000,P248)&gt;1,"DUPLICATE","OK"))</f>
        <v>OK</v>
      </c>
      <c r="R248" s="0" t="str">
        <f aca="false">IF($C248="","",IFERROR(VLOOKUP(--$C248,MM_Income!$Z$5:$AC$204,3,FALSE()),""))</f>
        <v>Recoverable</v>
      </c>
    </row>
    <row r="249" customFormat="false" ht="14.9" hidden="false" customHeight="false" outlineLevel="0" collapsed="false">
      <c r="A249" s="20" t="s">
        <v>49</v>
      </c>
      <c r="B249" s="20" t="s">
        <v>85</v>
      </c>
      <c r="C249" s="1" t="n">
        <v>5200</v>
      </c>
      <c r="D249" s="1" t="s">
        <v>683</v>
      </c>
      <c r="E249" s="1" t="n">
        <v>44180</v>
      </c>
      <c r="F249" s="1" t="s">
        <v>869</v>
      </c>
      <c r="G249" s="140" t="n">
        <v>46153</v>
      </c>
      <c r="H249" s="1" t="n">
        <v>1260</v>
      </c>
      <c r="I249" s="1" t="s">
        <v>1160</v>
      </c>
      <c r="J249" s="1" t="s">
        <v>1161</v>
      </c>
      <c r="K249" s="1" t="n">
        <v>75.22</v>
      </c>
      <c r="M249" s="125" t="n">
        <f aca="false">Nominal_Activity[[#This Row],[Debit]]-Nominal_Activity[[#This Row],[Credit]]</f>
        <v>75.22</v>
      </c>
      <c r="N249" s="149" t="str">
        <f aca="false">IF(C249="","",IFERROR(VLOOKUP(C249,Master_Mappings!$A$4:$E$85,3,FALSE()),"UNMAPPED"))</f>
        <v>Excluded — Project/Other</v>
      </c>
      <c r="O249" s="20" t="s">
        <v>1208</v>
      </c>
      <c r="P249" s="20" t="str">
        <f aca="false">IF($C249="","",$C249&amp;"|"&amp;$E249&amp;"|"&amp;$M249&amp;"|"&amp;TEXT($G249,"yyyy-mm-dd")&amp;"|"&amp;LEFT($J249,40))</f>
        <v>5200|44180|75.22|2026-05-11|[FOOD] Meals</v>
      </c>
      <c r="Q249" s="20" t="str">
        <f aca="false">IF(P249="","",IF(COUNTIF($P$2:$P$3000,P249)&gt;1,"DUPLICATE","OK"))</f>
        <v>OK</v>
      </c>
      <c r="R249" s="0" t="str">
        <f aca="false">IF($C249="","",IFERROR(VLOOKUP(--$C249,MM_Income!$Z$5:$AC$204,3,FALSE()),""))</f>
        <v>Recoverable</v>
      </c>
    </row>
    <row r="250" customFormat="false" ht="14.9" hidden="false" customHeight="false" outlineLevel="0" collapsed="false">
      <c r="A250" s="20" t="s">
        <v>49</v>
      </c>
      <c r="B250" s="20" t="s">
        <v>85</v>
      </c>
      <c r="C250" s="1" t="n">
        <v>5200</v>
      </c>
      <c r="D250" s="1" t="s">
        <v>683</v>
      </c>
      <c r="E250" s="1" t="n">
        <v>44181</v>
      </c>
      <c r="F250" s="1" t="s">
        <v>869</v>
      </c>
      <c r="G250" s="140" t="n">
        <v>46153</v>
      </c>
      <c r="H250" s="1" t="n">
        <v>1260</v>
      </c>
      <c r="I250" s="1" t="s">
        <v>1160</v>
      </c>
      <c r="J250" s="1" t="s">
        <v>1161</v>
      </c>
      <c r="K250" s="1" t="n">
        <v>85.96</v>
      </c>
      <c r="M250" s="125" t="n">
        <f aca="false">Nominal_Activity[[#This Row],[Debit]]-Nominal_Activity[[#This Row],[Credit]]</f>
        <v>85.96</v>
      </c>
      <c r="N250" s="149" t="str">
        <f aca="false">IF(C250="","",IFERROR(VLOOKUP(C250,Master_Mappings!$A$4:$E$85,3,FALSE()),"UNMAPPED"))</f>
        <v>Excluded — Project/Other</v>
      </c>
      <c r="O250" s="20" t="s">
        <v>1208</v>
      </c>
      <c r="P250" s="20" t="str">
        <f aca="false">IF($C250="","",$C250&amp;"|"&amp;$E250&amp;"|"&amp;$M250&amp;"|"&amp;TEXT($G250,"yyyy-mm-dd")&amp;"|"&amp;LEFT($J250,40))</f>
        <v>5200|44181|85.96|2026-05-11|[FOOD] Meals</v>
      </c>
      <c r="Q250" s="20" t="str">
        <f aca="false">IF(P250="","",IF(COUNTIF($P$2:$P$3000,P250)&gt;1,"DUPLICATE","OK"))</f>
        <v>OK</v>
      </c>
      <c r="R250" s="0" t="str">
        <f aca="false">IF($C250="","",IFERROR(VLOOKUP(--$C250,MM_Income!$Z$5:$AC$204,3,FALSE()),""))</f>
        <v>Recoverable</v>
      </c>
    </row>
    <row r="251" customFormat="false" ht="14.9" hidden="false" customHeight="false" outlineLevel="0" collapsed="false">
      <c r="A251" s="20" t="s">
        <v>49</v>
      </c>
      <c r="B251" s="20" t="s">
        <v>85</v>
      </c>
      <c r="C251" s="1" t="n">
        <v>5200</v>
      </c>
      <c r="D251" s="1" t="s">
        <v>683</v>
      </c>
      <c r="E251" s="1" t="n">
        <v>44182</v>
      </c>
      <c r="F251" s="1" t="s">
        <v>869</v>
      </c>
      <c r="G251" s="140" t="n">
        <v>46158</v>
      </c>
      <c r="H251" s="1" t="n">
        <v>1260</v>
      </c>
      <c r="I251" s="1" t="s">
        <v>1160</v>
      </c>
      <c r="J251" s="1" t="s">
        <v>1161</v>
      </c>
      <c r="K251" s="1" t="n">
        <v>580.23</v>
      </c>
      <c r="M251" s="125" t="n">
        <f aca="false">Nominal_Activity[[#This Row],[Debit]]-Nominal_Activity[[#This Row],[Credit]]</f>
        <v>580.23</v>
      </c>
      <c r="N251" s="149" t="str">
        <f aca="false">IF(C251="","",IFERROR(VLOOKUP(C251,Master_Mappings!$A$4:$E$85,3,FALSE()),"UNMAPPED"))</f>
        <v>Excluded — Project/Other</v>
      </c>
      <c r="O251" s="20" t="s">
        <v>1208</v>
      </c>
      <c r="P251" s="20" t="str">
        <f aca="false">IF($C251="","",$C251&amp;"|"&amp;$E251&amp;"|"&amp;$M251&amp;"|"&amp;TEXT($G251,"yyyy-mm-dd")&amp;"|"&amp;LEFT($J251,40))</f>
        <v>5200|44182|580.23|2026-05-16|[FOOD] Meals</v>
      </c>
      <c r="Q251" s="20" t="str">
        <f aca="false">IF(P251="","",IF(COUNTIF($P$2:$P$3000,P251)&gt;1,"DUPLICATE","OK"))</f>
        <v>OK</v>
      </c>
      <c r="R251" s="0" t="str">
        <f aca="false">IF($C251="","",IFERROR(VLOOKUP(--$C251,MM_Income!$Z$5:$AC$204,3,FALSE()),""))</f>
        <v>Recoverable</v>
      </c>
    </row>
    <row r="252" customFormat="false" ht="14.9" hidden="false" customHeight="false" outlineLevel="0" collapsed="false">
      <c r="A252" s="20" t="s">
        <v>49</v>
      </c>
      <c r="B252" s="20" t="s">
        <v>85</v>
      </c>
      <c r="C252" s="1" t="n">
        <v>5200</v>
      </c>
      <c r="D252" s="1" t="s">
        <v>683</v>
      </c>
      <c r="E252" s="1" t="n">
        <v>44183</v>
      </c>
      <c r="F252" s="1" t="s">
        <v>869</v>
      </c>
      <c r="G252" s="140" t="n">
        <v>46168</v>
      </c>
      <c r="H252" s="1" t="n">
        <v>1260</v>
      </c>
      <c r="I252" s="1" t="s">
        <v>1164</v>
      </c>
      <c r="J252" s="1" t="s">
        <v>1165</v>
      </c>
      <c r="K252" s="1" t="n">
        <v>90</v>
      </c>
      <c r="M252" s="125" t="n">
        <f aca="false">Nominal_Activity[[#This Row],[Debit]]-Nominal_Activity[[#This Row],[Credit]]</f>
        <v>90</v>
      </c>
      <c r="N252" s="149" t="str">
        <f aca="false">IF(C252="","",IFERROR(VLOOKUP(C252,Master_Mappings!$A$4:$E$85,3,FALSE()),"UNMAPPED"))</f>
        <v>Excluded — Project/Other</v>
      </c>
      <c r="O252" s="20" t="s">
        <v>1208</v>
      </c>
      <c r="P252" s="20" t="str">
        <f aca="false">IF($C252="","",$C252&amp;"|"&amp;$E252&amp;"|"&amp;$M252&amp;"|"&amp;TEXT($G252,"yyyy-mm-dd")&amp;"|"&amp;LEFT($J252,40))</f>
        <v>5200|44183|90|2026-05-26|Transportation</v>
      </c>
      <c r="Q252" s="20" t="str">
        <f aca="false">IF(P252="","",IF(COUNTIF($P$2:$P$3000,P252)&gt;1,"DUPLICATE","OK"))</f>
        <v>OK</v>
      </c>
      <c r="R252" s="0" t="str">
        <f aca="false">IF($C252="","",IFERROR(VLOOKUP(--$C252,MM_Income!$Z$5:$AC$204,3,FALSE()),""))</f>
        <v>Recoverable</v>
      </c>
    </row>
    <row r="253" customFormat="false" ht="14.9" hidden="false" customHeight="false" outlineLevel="0" collapsed="false">
      <c r="A253" s="20" t="s">
        <v>49</v>
      </c>
      <c r="B253" s="20" t="s">
        <v>85</v>
      </c>
      <c r="C253" s="1" t="n">
        <v>5200</v>
      </c>
      <c r="D253" s="1" t="s">
        <v>683</v>
      </c>
      <c r="E253" s="1" t="n">
        <v>44184</v>
      </c>
      <c r="F253" s="1" t="s">
        <v>869</v>
      </c>
      <c r="G253" s="140" t="n">
        <v>46164</v>
      </c>
      <c r="H253" s="1" t="n">
        <v>1260</v>
      </c>
      <c r="I253" s="1" t="s">
        <v>1164</v>
      </c>
      <c r="J253" s="1" t="s">
        <v>1165</v>
      </c>
      <c r="K253" s="1" t="n">
        <v>126</v>
      </c>
      <c r="M253" s="125" t="n">
        <f aca="false">Nominal_Activity[[#This Row],[Debit]]-Nominal_Activity[[#This Row],[Credit]]</f>
        <v>126</v>
      </c>
      <c r="N253" s="149" t="str">
        <f aca="false">IF(C253="","",IFERROR(VLOOKUP(C253,Master_Mappings!$A$4:$E$85,3,FALSE()),"UNMAPPED"))</f>
        <v>Excluded — Project/Other</v>
      </c>
      <c r="O253" s="20" t="s">
        <v>1208</v>
      </c>
      <c r="P253" s="20" t="str">
        <f aca="false">IF($C253="","",$C253&amp;"|"&amp;$E253&amp;"|"&amp;$M253&amp;"|"&amp;TEXT($G253,"yyyy-mm-dd")&amp;"|"&amp;LEFT($J253,40))</f>
        <v>5200|44184|126|2026-05-22|Transportation</v>
      </c>
      <c r="Q253" s="20" t="str">
        <f aca="false">IF(P253="","",IF(COUNTIF($P$2:$P$3000,P253)&gt;1,"DUPLICATE","OK"))</f>
        <v>OK</v>
      </c>
      <c r="R253" s="0" t="str">
        <f aca="false">IF($C253="","",IFERROR(VLOOKUP(--$C253,MM_Income!$Z$5:$AC$204,3,FALSE()),""))</f>
        <v>Recoverable</v>
      </c>
    </row>
    <row r="254" customFormat="false" ht="14.9" hidden="false" customHeight="false" outlineLevel="0" collapsed="false">
      <c r="A254" s="20" t="s">
        <v>49</v>
      </c>
      <c r="B254" s="20" t="s">
        <v>85</v>
      </c>
      <c r="C254" s="1" t="n">
        <v>5200</v>
      </c>
      <c r="D254" s="1" t="s">
        <v>683</v>
      </c>
      <c r="E254" s="1" t="n">
        <v>44185</v>
      </c>
      <c r="F254" s="1" t="s">
        <v>869</v>
      </c>
      <c r="G254" s="140" t="n">
        <v>46163</v>
      </c>
      <c r="H254" s="1" t="n">
        <v>1260</v>
      </c>
      <c r="I254" s="1" t="s">
        <v>1164</v>
      </c>
      <c r="J254" s="1" t="s">
        <v>1165</v>
      </c>
      <c r="K254" s="1" t="n">
        <v>16</v>
      </c>
      <c r="M254" s="125" t="n">
        <f aca="false">Nominal_Activity[[#This Row],[Debit]]-Nominal_Activity[[#This Row],[Credit]]</f>
        <v>16</v>
      </c>
      <c r="N254" s="149" t="str">
        <f aca="false">IF(C254="","",IFERROR(VLOOKUP(C254,Master_Mappings!$A$4:$E$85,3,FALSE()),"UNMAPPED"))</f>
        <v>Excluded — Project/Other</v>
      </c>
      <c r="O254" s="20" t="s">
        <v>1208</v>
      </c>
      <c r="P254" s="20" t="str">
        <f aca="false">IF($C254="","",$C254&amp;"|"&amp;$E254&amp;"|"&amp;$M254&amp;"|"&amp;TEXT($G254,"yyyy-mm-dd")&amp;"|"&amp;LEFT($J254,40))</f>
        <v>5200|44185|16|2026-05-21|Transportation</v>
      </c>
      <c r="Q254" s="20" t="str">
        <f aca="false">IF(P254="","",IF(COUNTIF($P$2:$P$3000,P254)&gt;1,"DUPLICATE","OK"))</f>
        <v>OK</v>
      </c>
      <c r="R254" s="0" t="str">
        <f aca="false">IF($C254="","",IFERROR(VLOOKUP(--$C254,MM_Income!$Z$5:$AC$204,3,FALSE()),""))</f>
        <v>Recoverable</v>
      </c>
    </row>
    <row r="255" customFormat="false" ht="14.9" hidden="false" customHeight="false" outlineLevel="0" collapsed="false">
      <c r="A255" s="20" t="s">
        <v>49</v>
      </c>
      <c r="B255" s="20" t="s">
        <v>85</v>
      </c>
      <c r="C255" s="1" t="n">
        <v>5200</v>
      </c>
      <c r="D255" s="1" t="s">
        <v>683</v>
      </c>
      <c r="E255" s="1" t="n">
        <v>44186</v>
      </c>
      <c r="F255" s="1" t="s">
        <v>869</v>
      </c>
      <c r="G255" s="140" t="n">
        <v>46163</v>
      </c>
      <c r="H255" s="1" t="n">
        <v>1260</v>
      </c>
      <c r="I255" s="1" t="s">
        <v>1164</v>
      </c>
      <c r="J255" s="1" t="s">
        <v>1166</v>
      </c>
      <c r="K255" s="1" t="n">
        <v>20</v>
      </c>
      <c r="M255" s="125" t="n">
        <f aca="false">Nominal_Activity[[#This Row],[Debit]]-Nominal_Activity[[#This Row],[Credit]]</f>
        <v>20</v>
      </c>
      <c r="N255" s="149" t="str">
        <f aca="false">IF(C255="","",IFERROR(VLOOKUP(C255,Master_Mappings!$A$4:$E$85,3,FALSE()),"UNMAPPED"))</f>
        <v>Excluded — Project/Other</v>
      </c>
      <c r="O255" s="20" t="s">
        <v>1208</v>
      </c>
      <c r="P255" s="20" t="str">
        <f aca="false">IF($C255="","",$C255&amp;"|"&amp;$E255&amp;"|"&amp;$M255&amp;"|"&amp;TEXT($G255,"yyyy-mm-dd")&amp;"|"&amp;LEFT($J255,40))</f>
        <v>5200|44186|20|2026-05-21|Taxi</v>
      </c>
      <c r="Q255" s="20" t="str">
        <f aca="false">IF(P255="","",IF(COUNTIF($P$2:$P$3000,P255)&gt;1,"DUPLICATE","OK"))</f>
        <v>OK</v>
      </c>
      <c r="R255" s="0" t="str">
        <f aca="false">IF($C255="","",IFERROR(VLOOKUP(--$C255,MM_Income!$Z$5:$AC$204,3,FALSE()),""))</f>
        <v>Recoverable</v>
      </c>
    </row>
    <row r="256" customFormat="false" ht="14.9" hidden="false" customHeight="false" outlineLevel="0" collapsed="false">
      <c r="A256" s="20" t="s">
        <v>49</v>
      </c>
      <c r="B256" s="20" t="s">
        <v>85</v>
      </c>
      <c r="C256" s="1" t="n">
        <v>5200</v>
      </c>
      <c r="D256" s="1" t="s">
        <v>683</v>
      </c>
      <c r="E256" s="1" t="n">
        <v>44187</v>
      </c>
      <c r="F256" s="1" t="s">
        <v>869</v>
      </c>
      <c r="G256" s="140" t="n">
        <v>46159</v>
      </c>
      <c r="H256" s="1" t="n">
        <v>1260</v>
      </c>
      <c r="I256" s="1" t="s">
        <v>1164</v>
      </c>
      <c r="J256" s="1" t="s">
        <v>1012</v>
      </c>
      <c r="K256" s="1" t="n">
        <v>860</v>
      </c>
      <c r="M256" s="125" t="n">
        <f aca="false">Nominal_Activity[[#This Row],[Debit]]-Nominal_Activity[[#This Row],[Credit]]</f>
        <v>860</v>
      </c>
      <c r="N256" s="149" t="str">
        <f aca="false">IF(C256="","",IFERROR(VLOOKUP(C256,Master_Mappings!$A$4:$E$85,3,FALSE()),"UNMAPPED"))</f>
        <v>Excluded — Project/Other</v>
      </c>
      <c r="O256" s="20" t="s">
        <v>1208</v>
      </c>
      <c r="P256" s="20" t="str">
        <f aca="false">IF($C256="","",$C256&amp;"|"&amp;$E256&amp;"|"&amp;$M256&amp;"|"&amp;TEXT($G256,"yyyy-mm-dd")&amp;"|"&amp;LEFT($J256,40))</f>
        <v>5200|44187|860|2026-05-17|Meals</v>
      </c>
      <c r="Q256" s="20" t="str">
        <f aca="false">IF(P256="","",IF(COUNTIF($P$2:$P$3000,P256)&gt;1,"DUPLICATE","OK"))</f>
        <v>OK</v>
      </c>
      <c r="R256" s="0" t="str">
        <f aca="false">IF($C256="","",IFERROR(VLOOKUP(--$C256,MM_Income!$Z$5:$AC$204,3,FALSE()),""))</f>
        <v>Recoverable</v>
      </c>
    </row>
    <row r="257" customFormat="false" ht="14.9" hidden="false" customHeight="false" outlineLevel="0" collapsed="false">
      <c r="A257" s="20" t="s">
        <v>49</v>
      </c>
      <c r="B257" s="20" t="s">
        <v>85</v>
      </c>
      <c r="C257" s="1" t="n">
        <v>5200</v>
      </c>
      <c r="D257" s="1" t="s">
        <v>683</v>
      </c>
      <c r="E257" s="1" t="n">
        <v>44188</v>
      </c>
      <c r="F257" s="1" t="s">
        <v>869</v>
      </c>
      <c r="G257" s="140" t="n">
        <v>46159</v>
      </c>
      <c r="H257" s="1" t="n">
        <v>1260</v>
      </c>
      <c r="I257" s="1" t="s">
        <v>1164</v>
      </c>
      <c r="J257" s="1" t="s">
        <v>1014</v>
      </c>
      <c r="K257" s="1" t="n">
        <v>2622.62</v>
      </c>
      <c r="M257" s="125" t="n">
        <f aca="false">Nominal_Activity[[#This Row],[Debit]]-Nominal_Activity[[#This Row],[Credit]]</f>
        <v>2622.62</v>
      </c>
      <c r="N257" s="149" t="str">
        <f aca="false">IF(C257="","",IFERROR(VLOOKUP(C257,Master_Mappings!$A$4:$E$85,3,FALSE()),"UNMAPPED"))</f>
        <v>Excluded — Project/Other</v>
      </c>
      <c r="O257" s="20" t="s">
        <v>1208</v>
      </c>
      <c r="P257" s="20" t="str">
        <f aca="false">IF($C257="","",$C257&amp;"|"&amp;$E257&amp;"|"&amp;$M257&amp;"|"&amp;TEXT($G257,"yyyy-mm-dd")&amp;"|"&amp;LEFT($J257,40))</f>
        <v>5200|44188|2622.62|2026-05-17|Accommodation</v>
      </c>
      <c r="Q257" s="20" t="str">
        <f aca="false">IF(P257="","",IF(COUNTIF($P$2:$P$3000,P257)&gt;1,"DUPLICATE","OK"))</f>
        <v>OK</v>
      </c>
      <c r="R257" s="0" t="str">
        <f aca="false">IF($C257="","",IFERROR(VLOOKUP(--$C257,MM_Income!$Z$5:$AC$204,3,FALSE()),""))</f>
        <v>Recoverable</v>
      </c>
    </row>
    <row r="258" customFormat="false" ht="14.9" hidden="false" customHeight="false" outlineLevel="0" collapsed="false">
      <c r="A258" s="20" t="s">
        <v>49</v>
      </c>
      <c r="B258" s="20" t="s">
        <v>85</v>
      </c>
      <c r="C258" s="1" t="n">
        <v>5200</v>
      </c>
      <c r="D258" s="1" t="s">
        <v>683</v>
      </c>
      <c r="E258" s="1" t="n">
        <v>44189</v>
      </c>
      <c r="F258" s="1" t="s">
        <v>869</v>
      </c>
      <c r="G258" s="140" t="n">
        <v>46158</v>
      </c>
      <c r="H258" s="1" t="n">
        <v>1260</v>
      </c>
      <c r="I258" s="1" t="s">
        <v>1164</v>
      </c>
      <c r="J258" s="1" t="s">
        <v>1012</v>
      </c>
      <c r="K258" s="1" t="n">
        <v>330.49</v>
      </c>
      <c r="M258" s="125" t="n">
        <f aca="false">Nominal_Activity[[#This Row],[Debit]]-Nominal_Activity[[#This Row],[Credit]]</f>
        <v>330.49</v>
      </c>
      <c r="N258" s="149" t="str">
        <f aca="false">IF(C258="","",IFERROR(VLOOKUP(C258,Master_Mappings!$A$4:$E$85,3,FALSE()),"UNMAPPED"))</f>
        <v>Excluded — Project/Other</v>
      </c>
      <c r="O258" s="20" t="s">
        <v>1208</v>
      </c>
      <c r="P258" s="20" t="str">
        <f aca="false">IF($C258="","",$C258&amp;"|"&amp;$E258&amp;"|"&amp;$M258&amp;"|"&amp;TEXT($G258,"yyyy-mm-dd")&amp;"|"&amp;LEFT($J258,40))</f>
        <v>5200|44189|330.49|2026-05-16|Meals</v>
      </c>
      <c r="Q258" s="20" t="str">
        <f aca="false">IF(P258="","",IF(COUNTIF($P$2:$P$3000,P258)&gt;1,"DUPLICATE","OK"))</f>
        <v>OK</v>
      </c>
      <c r="R258" s="0" t="str">
        <f aca="false">IF($C258="","",IFERROR(VLOOKUP(--$C258,MM_Income!$Z$5:$AC$204,3,FALSE()),""))</f>
        <v>Recoverable</v>
      </c>
    </row>
    <row r="259" customFormat="false" ht="14.9" hidden="false" customHeight="false" outlineLevel="0" collapsed="false">
      <c r="A259" s="20" t="s">
        <v>49</v>
      </c>
      <c r="B259" s="20" t="s">
        <v>85</v>
      </c>
      <c r="C259" s="1" t="n">
        <v>5200</v>
      </c>
      <c r="D259" s="1" t="s">
        <v>683</v>
      </c>
      <c r="E259" s="1" t="n">
        <v>44190</v>
      </c>
      <c r="F259" s="1" t="s">
        <v>869</v>
      </c>
      <c r="G259" s="140" t="n">
        <v>46158</v>
      </c>
      <c r="H259" s="1" t="n">
        <v>1260</v>
      </c>
      <c r="I259" s="1" t="s">
        <v>1164</v>
      </c>
      <c r="J259" s="1" t="s">
        <v>1012</v>
      </c>
      <c r="K259" s="1" t="n">
        <v>127.93</v>
      </c>
      <c r="M259" s="125" t="n">
        <f aca="false">Nominal_Activity[[#This Row],[Debit]]-Nominal_Activity[[#This Row],[Credit]]</f>
        <v>127.93</v>
      </c>
      <c r="N259" s="149" t="str">
        <f aca="false">IF(C259="","",IFERROR(VLOOKUP(C259,Master_Mappings!$A$4:$E$85,3,FALSE()),"UNMAPPED"))</f>
        <v>Excluded — Project/Other</v>
      </c>
      <c r="O259" s="20" t="s">
        <v>1208</v>
      </c>
      <c r="P259" s="20" t="str">
        <f aca="false">IF($C259="","",$C259&amp;"|"&amp;$E259&amp;"|"&amp;$M259&amp;"|"&amp;TEXT($G259,"yyyy-mm-dd")&amp;"|"&amp;LEFT($J259,40))</f>
        <v>5200|44190|127.93|2026-05-16|Meals</v>
      </c>
      <c r="Q259" s="20" t="str">
        <f aca="false">IF(P259="","",IF(COUNTIF($P$2:$P$3000,P259)&gt;1,"DUPLICATE","OK"))</f>
        <v>OK</v>
      </c>
      <c r="R259" s="0" t="str">
        <f aca="false">IF($C259="","",IFERROR(VLOOKUP(--$C259,MM_Income!$Z$5:$AC$204,3,FALSE()),""))</f>
        <v>Recoverable</v>
      </c>
    </row>
    <row r="260" customFormat="false" ht="14.9" hidden="false" customHeight="false" outlineLevel="0" collapsed="false">
      <c r="A260" s="20" t="s">
        <v>49</v>
      </c>
      <c r="B260" s="20" t="s">
        <v>85</v>
      </c>
      <c r="C260" s="1" t="n">
        <v>5200</v>
      </c>
      <c r="D260" s="1" t="s">
        <v>683</v>
      </c>
      <c r="E260" s="1" t="n">
        <v>44191</v>
      </c>
      <c r="F260" s="1" t="s">
        <v>869</v>
      </c>
      <c r="G260" s="140" t="n">
        <v>46150</v>
      </c>
      <c r="H260" s="1" t="n">
        <v>1260</v>
      </c>
      <c r="I260" s="1" t="s">
        <v>1164</v>
      </c>
      <c r="J260" s="1" t="s">
        <v>1014</v>
      </c>
      <c r="K260" s="1" t="n">
        <v>1558.24</v>
      </c>
      <c r="M260" s="125" t="n">
        <f aca="false">Nominal_Activity[[#This Row],[Debit]]-Nominal_Activity[[#This Row],[Credit]]</f>
        <v>1558.24</v>
      </c>
      <c r="N260" s="149" t="str">
        <f aca="false">IF(C260="","",IFERROR(VLOOKUP(C260,Master_Mappings!$A$4:$E$85,3,FALSE()),"UNMAPPED"))</f>
        <v>Excluded — Project/Other</v>
      </c>
      <c r="O260" s="20" t="s">
        <v>1208</v>
      </c>
      <c r="P260" s="20" t="str">
        <f aca="false">IF($C260="","",$C260&amp;"|"&amp;$E260&amp;"|"&amp;$M260&amp;"|"&amp;TEXT($G260,"yyyy-mm-dd")&amp;"|"&amp;LEFT($J260,40))</f>
        <v>5200|44191|1558.24|2026-05-08|Accommodation</v>
      </c>
      <c r="Q260" s="20" t="str">
        <f aca="false">IF(P260="","",IF(COUNTIF($P$2:$P$3000,P260)&gt;1,"DUPLICATE","OK"))</f>
        <v>OK</v>
      </c>
      <c r="R260" s="0" t="str">
        <f aca="false">IF($C260="","",IFERROR(VLOOKUP(--$C260,MM_Income!$Z$5:$AC$204,3,FALSE()),""))</f>
        <v>Recoverable</v>
      </c>
    </row>
    <row r="261" customFormat="false" ht="14.9" hidden="false" customHeight="false" outlineLevel="0" collapsed="false">
      <c r="A261" s="20" t="s">
        <v>49</v>
      </c>
      <c r="B261" s="20" t="s">
        <v>85</v>
      </c>
      <c r="C261" s="1" t="n">
        <v>5200</v>
      </c>
      <c r="D261" s="1" t="s">
        <v>683</v>
      </c>
      <c r="E261" s="1" t="n">
        <v>44192</v>
      </c>
      <c r="F261" s="1" t="s">
        <v>869</v>
      </c>
      <c r="G261" s="140" t="n">
        <v>46150</v>
      </c>
      <c r="H261" s="1" t="n">
        <v>1260</v>
      </c>
      <c r="I261" s="1" t="s">
        <v>1164</v>
      </c>
      <c r="J261" s="1" t="s">
        <v>1167</v>
      </c>
      <c r="K261" s="1" t="n">
        <v>479.75</v>
      </c>
      <c r="M261" s="125" t="n">
        <f aca="false">Nominal_Activity[[#This Row],[Debit]]-Nominal_Activity[[#This Row],[Credit]]</f>
        <v>479.75</v>
      </c>
      <c r="N261" s="149" t="str">
        <f aca="false">IF(C261="","",IFERROR(VLOOKUP(C261,Master_Mappings!$A$4:$E$85,3,FALSE()),"UNMAPPED"))</f>
        <v>Excluded — Project/Other</v>
      </c>
      <c r="O261" s="20" t="s">
        <v>1208</v>
      </c>
      <c r="P261" s="20" t="str">
        <f aca="false">IF($C261="","",$C261&amp;"|"&amp;$E261&amp;"|"&amp;$M261&amp;"|"&amp;TEXT($G261,"yyyy-mm-dd")&amp;"|"&amp;LEFT($J261,40))</f>
        <v>5200|44192|479.75|2026-05-08|Lunch</v>
      </c>
      <c r="Q261" s="20" t="str">
        <f aca="false">IF(P261="","",IF(COUNTIF($P$2:$P$3000,P261)&gt;1,"DUPLICATE","OK"))</f>
        <v>OK</v>
      </c>
      <c r="R261" s="0" t="str">
        <f aca="false">IF($C261="","",IFERROR(VLOOKUP(--$C261,MM_Income!$Z$5:$AC$204,3,FALSE()),""))</f>
        <v>Recoverable</v>
      </c>
    </row>
    <row r="262" customFormat="false" ht="14.9" hidden="false" customHeight="false" outlineLevel="0" collapsed="false">
      <c r="A262" s="20" t="s">
        <v>49</v>
      </c>
      <c r="B262" s="20" t="s">
        <v>85</v>
      </c>
      <c r="C262" s="1" t="n">
        <v>5200</v>
      </c>
      <c r="D262" s="1" t="s">
        <v>683</v>
      </c>
      <c r="E262" s="1" t="n">
        <v>44193</v>
      </c>
      <c r="F262" s="1" t="s">
        <v>869</v>
      </c>
      <c r="G262" s="140" t="n">
        <v>46148</v>
      </c>
      <c r="H262" s="1" t="n">
        <v>1260</v>
      </c>
      <c r="I262" s="1" t="s">
        <v>1164</v>
      </c>
      <c r="J262" s="1" t="s">
        <v>1168</v>
      </c>
      <c r="K262" s="1" t="n">
        <v>213.22</v>
      </c>
      <c r="M262" s="125" t="n">
        <f aca="false">Nominal_Activity[[#This Row],[Debit]]-Nominal_Activity[[#This Row],[Credit]]</f>
        <v>213.22</v>
      </c>
      <c r="N262" s="149" t="str">
        <f aca="false">IF(C262="","",IFERROR(VLOOKUP(C262,Master_Mappings!$A$4:$E$85,3,FALSE()),"UNMAPPED"))</f>
        <v>Excluded — Project/Other</v>
      </c>
      <c r="O262" s="20" t="s">
        <v>1208</v>
      </c>
      <c r="P262" s="20" t="str">
        <f aca="false">IF($C262="","",$C262&amp;"|"&amp;$E262&amp;"|"&amp;$M262&amp;"|"&amp;TEXT($G262,"yyyy-mm-dd")&amp;"|"&amp;LEFT($J262,40))</f>
        <v>5200|44193|213.22|2026-05-06|Communication</v>
      </c>
      <c r="Q262" s="20" t="str">
        <f aca="false">IF(P262="","",IF(COUNTIF($P$2:$P$3000,P262)&gt;1,"DUPLICATE","OK"))</f>
        <v>OK</v>
      </c>
      <c r="R262" s="0" t="str">
        <f aca="false">IF($C262="","",IFERROR(VLOOKUP(--$C262,MM_Income!$Z$5:$AC$204,3,FALSE()),""))</f>
        <v>Recoverable</v>
      </c>
    </row>
    <row r="263" customFormat="false" ht="14.9" hidden="false" customHeight="false" outlineLevel="0" collapsed="false">
      <c r="A263" s="20" t="s">
        <v>49</v>
      </c>
      <c r="B263" s="20" t="s">
        <v>85</v>
      </c>
      <c r="C263" s="1" t="n">
        <v>5200</v>
      </c>
      <c r="D263" s="1" t="s">
        <v>683</v>
      </c>
      <c r="E263" s="1" t="n">
        <v>44194</v>
      </c>
      <c r="F263" s="1" t="s">
        <v>869</v>
      </c>
      <c r="G263" s="140" t="n">
        <v>46146</v>
      </c>
      <c r="H263" s="1" t="n">
        <v>1260</v>
      </c>
      <c r="I263" s="1" t="s">
        <v>1164</v>
      </c>
      <c r="J263" s="1" t="s">
        <v>1012</v>
      </c>
      <c r="K263" s="1" t="n">
        <v>42.64</v>
      </c>
      <c r="M263" s="125" t="n">
        <f aca="false">Nominal_Activity[[#This Row],[Debit]]-Nominal_Activity[[#This Row],[Credit]]</f>
        <v>42.64</v>
      </c>
      <c r="N263" s="149" t="str">
        <f aca="false">IF(C263="","",IFERROR(VLOOKUP(C263,Master_Mappings!$A$4:$E$85,3,FALSE()),"UNMAPPED"))</f>
        <v>Excluded — Project/Other</v>
      </c>
      <c r="O263" s="20" t="s">
        <v>1208</v>
      </c>
      <c r="P263" s="20" t="str">
        <f aca="false">IF($C263="","",$C263&amp;"|"&amp;$E263&amp;"|"&amp;$M263&amp;"|"&amp;TEXT($G263,"yyyy-mm-dd")&amp;"|"&amp;LEFT($J263,40))</f>
        <v>5200|44194|42.64|2026-05-04|Meals</v>
      </c>
      <c r="Q263" s="20" t="str">
        <f aca="false">IF(P263="","",IF(COUNTIF($P$2:$P$3000,P263)&gt;1,"DUPLICATE","OK"))</f>
        <v>OK</v>
      </c>
      <c r="R263" s="0" t="str">
        <f aca="false">IF($C263="","",IFERROR(VLOOKUP(--$C263,MM_Income!$Z$5:$AC$204,3,FALSE()),""))</f>
        <v>Recoverable</v>
      </c>
    </row>
    <row r="264" customFormat="false" ht="14.9" hidden="false" customHeight="false" outlineLevel="0" collapsed="false">
      <c r="A264" s="1" t="s">
        <v>49</v>
      </c>
      <c r="B264" s="1" t="s">
        <v>89</v>
      </c>
      <c r="C264" s="1" t="n">
        <v>5200</v>
      </c>
      <c r="D264" s="1" t="s">
        <v>683</v>
      </c>
      <c r="E264" s="1" t="n">
        <v>44195</v>
      </c>
      <c r="F264" s="1" t="s">
        <v>869</v>
      </c>
      <c r="G264" s="140" t="n">
        <v>46146</v>
      </c>
      <c r="H264" s="1" t="n">
        <v>1260</v>
      </c>
      <c r="I264" s="1" t="s">
        <v>1164</v>
      </c>
      <c r="J264" s="1" t="s">
        <v>1012</v>
      </c>
      <c r="K264" s="1" t="n">
        <v>341.15</v>
      </c>
      <c r="M264" s="125" t="n">
        <f aca="false">Nominal_Activity[[#This Row],[Debit]]-Nominal_Activity[[#This Row],[Credit]]</f>
        <v>341.15</v>
      </c>
      <c r="N264" s="1" t="str">
        <f aca="false">IF(C264="","",IFERROR(VLOOKUP(C264,Master_Mappings!$A$4:$E$85,3,FALSE()),"UNMAPPED"))</f>
        <v>Excluded — Project/Other</v>
      </c>
      <c r="P264" s="1" t="str">
        <f aca="false">IF($C264="","",$C264&amp;"|"&amp;$E264&amp;"|"&amp;$M264&amp;"|"&amp;TEXT($G264,"yyyy-mm-dd")&amp;"|"&amp;LEFT($J264,40))</f>
        <v>5200|44195|341.15|2026-05-04|Meals</v>
      </c>
      <c r="Q264" s="11" t="str">
        <f aca="false">IF(P264="","",IF(COUNTIF($P$2:$P$3000,P264)&gt;1,"DUPLICATE","OK"))</f>
        <v>OK</v>
      </c>
      <c r="R264" s="0" t="str">
        <f aca="false">IF($C264="","",IFERROR(VLOOKUP(--$C264,MM_Income!$Z$5:$AC$204,3,FALSE()),""))</f>
        <v>Recoverable</v>
      </c>
    </row>
    <row r="265" customFormat="false" ht="14.9" hidden="false" customHeight="false" outlineLevel="0" collapsed="false">
      <c r="A265" s="1" t="s">
        <v>49</v>
      </c>
      <c r="B265" s="1" t="s">
        <v>89</v>
      </c>
      <c r="C265" s="1" t="n">
        <v>5200</v>
      </c>
      <c r="D265" s="1" t="s">
        <v>683</v>
      </c>
      <c r="E265" s="1" t="n">
        <v>44196</v>
      </c>
      <c r="F265" s="1" t="s">
        <v>869</v>
      </c>
      <c r="G265" s="140" t="n">
        <v>46146</v>
      </c>
      <c r="H265" s="1" t="n">
        <v>1260</v>
      </c>
      <c r="I265" s="1" t="s">
        <v>1164</v>
      </c>
      <c r="J265" s="1" t="s">
        <v>1167</v>
      </c>
      <c r="K265" s="1" t="n">
        <v>460.56</v>
      </c>
      <c r="M265" s="125" t="n">
        <f aca="false">Nominal_Activity[[#This Row],[Debit]]-Nominal_Activity[[#This Row],[Credit]]</f>
        <v>460.56</v>
      </c>
      <c r="N265" s="1" t="str">
        <f aca="false">IF(C265="","",IFERROR(VLOOKUP(C265,Master_Mappings!$A$4:$E$85,3,FALSE()),"UNMAPPED"))</f>
        <v>Excluded — Project/Other</v>
      </c>
      <c r="P265" s="1" t="str">
        <f aca="false">IF($C265="","",$C265&amp;"|"&amp;$E265&amp;"|"&amp;$M265&amp;"|"&amp;TEXT($G265,"yyyy-mm-dd")&amp;"|"&amp;LEFT($J265,40))</f>
        <v>5200|44196|460.56|2026-05-04|Lunch</v>
      </c>
      <c r="Q265" s="11" t="str">
        <f aca="false">IF(P265="","",IF(COUNTIF($P$2:$P$3000,P265)&gt;1,"DUPLICATE","OK"))</f>
        <v>OK</v>
      </c>
      <c r="R265" s="0" t="str">
        <f aca="false">IF($C265="","",IFERROR(VLOOKUP(--$C265,MM_Income!$Z$5:$AC$204,3,FALSE()),""))</f>
        <v>Recoverable</v>
      </c>
    </row>
    <row r="266" customFormat="false" ht="14.9" hidden="false" customHeight="false" outlineLevel="0" collapsed="false">
      <c r="A266" s="1" t="s">
        <v>49</v>
      </c>
      <c r="B266" s="1" t="s">
        <v>89</v>
      </c>
      <c r="C266" s="1" t="n">
        <v>5200</v>
      </c>
      <c r="D266" s="1" t="s">
        <v>683</v>
      </c>
      <c r="E266" s="1" t="n">
        <v>44197</v>
      </c>
      <c r="F266" s="1" t="s">
        <v>869</v>
      </c>
      <c r="G266" s="140" t="n">
        <v>46145</v>
      </c>
      <c r="H266" s="1" t="n">
        <v>1260</v>
      </c>
      <c r="I266" s="1" t="s">
        <v>1164</v>
      </c>
      <c r="J266" s="1" t="s">
        <v>1014</v>
      </c>
      <c r="K266" s="1" t="n">
        <v>1876.07</v>
      </c>
      <c r="M266" s="125" t="n">
        <f aca="false">Nominal_Activity[[#This Row],[Debit]]-Nominal_Activity[[#This Row],[Credit]]</f>
        <v>1876.07</v>
      </c>
      <c r="N266" s="1" t="str">
        <f aca="false">IF(C266="","",IFERROR(VLOOKUP(C266,Master_Mappings!$A$4:$E$85,3,FALSE()),"UNMAPPED"))</f>
        <v>Excluded — Project/Other</v>
      </c>
      <c r="P266" s="1" t="str">
        <f aca="false">IF($C266="","",$C266&amp;"|"&amp;$E266&amp;"|"&amp;$M266&amp;"|"&amp;TEXT($G266,"yyyy-mm-dd")&amp;"|"&amp;LEFT($J266,40))</f>
        <v>5200|44197|1876.07|2026-05-03|Accommodation</v>
      </c>
      <c r="Q266" s="11" t="str">
        <f aca="false">IF(P266="","",IF(COUNTIF($P$2:$P$3000,P266)&gt;1,"DUPLICATE","OK"))</f>
        <v>OK</v>
      </c>
      <c r="R266" s="0" t="str">
        <f aca="false">IF($C266="","",IFERROR(VLOOKUP(--$C266,MM_Income!$Z$5:$AC$204,3,FALSE()),""))</f>
        <v>Recoverable</v>
      </c>
    </row>
    <row r="267" customFormat="false" ht="14.9" hidden="false" customHeight="false" outlineLevel="0" collapsed="false">
      <c r="A267" s="1" t="s">
        <v>49</v>
      </c>
      <c r="B267" s="1" t="s">
        <v>89</v>
      </c>
      <c r="C267" s="1" t="n">
        <v>5200</v>
      </c>
      <c r="D267" s="1" t="s">
        <v>683</v>
      </c>
      <c r="E267" s="1" t="n">
        <v>44198</v>
      </c>
      <c r="F267" s="1" t="s">
        <v>869</v>
      </c>
      <c r="G267" s="140" t="n">
        <v>46145</v>
      </c>
      <c r="H267" s="1" t="n">
        <v>1260</v>
      </c>
      <c r="I267" s="1" t="s">
        <v>1164</v>
      </c>
      <c r="J267" s="1" t="s">
        <v>1012</v>
      </c>
      <c r="K267" s="1" t="n">
        <v>533.05</v>
      </c>
      <c r="M267" s="125" t="n">
        <f aca="false">Nominal_Activity[[#This Row],[Debit]]-Nominal_Activity[[#This Row],[Credit]]</f>
        <v>533.05</v>
      </c>
      <c r="N267" s="1" t="str">
        <f aca="false">IF(C267="","",IFERROR(VLOOKUP(C267,Master_Mappings!$A$4:$E$85,3,FALSE()),"UNMAPPED"))</f>
        <v>Excluded — Project/Other</v>
      </c>
      <c r="P267" s="1" t="str">
        <f aca="false">IF($C267="","",$C267&amp;"|"&amp;$E267&amp;"|"&amp;$M267&amp;"|"&amp;TEXT($G267,"yyyy-mm-dd")&amp;"|"&amp;LEFT($J267,40))</f>
        <v>5200|44198|533.05|2026-05-03|Meals</v>
      </c>
      <c r="Q267" s="11" t="str">
        <f aca="false">IF(P267="","",IF(COUNTIF($P$2:$P$3000,P267)&gt;1,"DUPLICATE","OK"))</f>
        <v>OK</v>
      </c>
      <c r="R267" s="0" t="str">
        <f aca="false">IF($C267="","",IFERROR(VLOOKUP(--$C267,MM_Income!$Z$5:$AC$204,3,FALSE()),""))</f>
        <v>Recoverable</v>
      </c>
    </row>
    <row r="268" customFormat="false" ht="14.9" hidden="false" customHeight="false" outlineLevel="0" collapsed="false">
      <c r="A268" s="1" t="s">
        <v>49</v>
      </c>
      <c r="B268" s="1" t="s">
        <v>89</v>
      </c>
      <c r="C268" s="1" t="n">
        <v>5200</v>
      </c>
      <c r="D268" s="1" t="s">
        <v>683</v>
      </c>
      <c r="E268" s="1" t="n">
        <v>44199</v>
      </c>
      <c r="F268" s="1" t="s">
        <v>869</v>
      </c>
      <c r="G268" s="140" t="n">
        <v>46145</v>
      </c>
      <c r="H268" s="1" t="n">
        <v>1260</v>
      </c>
      <c r="I268" s="1" t="s">
        <v>1164</v>
      </c>
      <c r="J268" s="1" t="s">
        <v>1168</v>
      </c>
      <c r="K268" s="1" t="n">
        <v>213.22</v>
      </c>
      <c r="M268" s="125" t="n">
        <f aca="false">Nominal_Activity[[#This Row],[Debit]]-Nominal_Activity[[#This Row],[Credit]]</f>
        <v>213.22</v>
      </c>
      <c r="N268" s="1" t="str">
        <f aca="false">IF(C268="","",IFERROR(VLOOKUP(C268,Master_Mappings!$A$4:$E$85,3,FALSE()),"UNMAPPED"))</f>
        <v>Excluded — Project/Other</v>
      </c>
      <c r="P268" s="1" t="str">
        <f aca="false">IF($C268="","",$C268&amp;"|"&amp;$E268&amp;"|"&amp;$M268&amp;"|"&amp;TEXT($G268,"yyyy-mm-dd")&amp;"|"&amp;LEFT($J268,40))</f>
        <v>5200|44199|213.22|2026-05-03|Communication</v>
      </c>
      <c r="Q268" s="11" t="str">
        <f aca="false">IF(P268="","",IF(COUNTIF($P$2:$P$3000,P268)&gt;1,"DUPLICATE","OK"))</f>
        <v>OK</v>
      </c>
      <c r="R268" s="0" t="str">
        <f aca="false">IF($C268="","",IFERROR(VLOOKUP(--$C268,MM_Income!$Z$5:$AC$204,3,FALSE()),""))</f>
        <v>Recoverable</v>
      </c>
    </row>
    <row r="269" customFormat="false" ht="14.9" hidden="false" customHeight="false" outlineLevel="0" collapsed="false">
      <c r="A269" s="1" t="s">
        <v>49</v>
      </c>
      <c r="B269" s="1" t="s">
        <v>89</v>
      </c>
      <c r="C269" s="1" t="n">
        <v>5200</v>
      </c>
      <c r="D269" s="1" t="s">
        <v>683</v>
      </c>
      <c r="E269" s="1" t="n">
        <v>44200</v>
      </c>
      <c r="F269" s="1" t="s">
        <v>869</v>
      </c>
      <c r="G269" s="140" t="n">
        <v>46137</v>
      </c>
      <c r="H269" s="1" t="n">
        <v>1260</v>
      </c>
      <c r="I269" s="1" t="s">
        <v>1164</v>
      </c>
      <c r="J269" s="1" t="s">
        <v>1012</v>
      </c>
      <c r="K269" s="1" t="n">
        <v>273.68</v>
      </c>
      <c r="M269" s="125" t="n">
        <f aca="false">Nominal_Activity[[#This Row],[Debit]]-Nominal_Activity[[#This Row],[Credit]]</f>
        <v>273.68</v>
      </c>
      <c r="N269" s="1" t="str">
        <f aca="false">IF(C269="","",IFERROR(VLOOKUP(C269,Master_Mappings!$A$4:$E$85,3,FALSE()),"UNMAPPED"))</f>
        <v>Excluded — Project/Other</v>
      </c>
      <c r="P269" s="1" t="str">
        <f aca="false">IF($C269="","",$C269&amp;"|"&amp;$E269&amp;"|"&amp;$M269&amp;"|"&amp;TEXT($G269,"yyyy-mm-dd")&amp;"|"&amp;LEFT($J269,40))</f>
        <v>5200|44200|273.68|2026-04-25|Meals</v>
      </c>
      <c r="Q269" s="11" t="str">
        <f aca="false">IF(P269="","",IF(COUNTIF($P$2:$P$3000,P269)&gt;1,"DUPLICATE","OK"))</f>
        <v>OK</v>
      </c>
      <c r="R269" s="0" t="str">
        <f aca="false">IF($C269="","",IFERROR(VLOOKUP(--$C269,MM_Income!$Z$5:$AC$204,3,FALSE()),""))</f>
        <v>Recoverable</v>
      </c>
    </row>
    <row r="270" customFormat="false" ht="14.9" hidden="false" customHeight="false" outlineLevel="0" collapsed="false">
      <c r="A270" s="1" t="s">
        <v>49</v>
      </c>
      <c r="B270" s="1" t="s">
        <v>89</v>
      </c>
      <c r="C270" s="1" t="n">
        <v>5200</v>
      </c>
      <c r="D270" s="1" t="s">
        <v>683</v>
      </c>
      <c r="E270" s="1" t="n">
        <v>44201</v>
      </c>
      <c r="F270" s="1" t="s">
        <v>869</v>
      </c>
      <c r="G270" s="140" t="n">
        <v>46137</v>
      </c>
      <c r="H270" s="1" t="n">
        <v>1260</v>
      </c>
      <c r="I270" s="1" t="s">
        <v>1164</v>
      </c>
      <c r="J270" s="1" t="s">
        <v>1166</v>
      </c>
      <c r="K270" s="1" t="n">
        <v>165</v>
      </c>
      <c r="M270" s="125" t="n">
        <f aca="false">Nominal_Activity[[#This Row],[Debit]]-Nominal_Activity[[#This Row],[Credit]]</f>
        <v>165</v>
      </c>
      <c r="N270" s="1" t="str">
        <f aca="false">IF(C270="","",IFERROR(VLOOKUP(C270,Master_Mappings!$A$4:$E$85,3,FALSE()),"UNMAPPED"))</f>
        <v>Excluded — Project/Other</v>
      </c>
      <c r="P270" s="1" t="str">
        <f aca="false">IF($C270="","",$C270&amp;"|"&amp;$E270&amp;"|"&amp;$M270&amp;"|"&amp;TEXT($G270,"yyyy-mm-dd")&amp;"|"&amp;LEFT($J270,40))</f>
        <v>5200|44201|165|2026-04-25|Taxi</v>
      </c>
      <c r="Q270" s="11" t="str">
        <f aca="false">IF(P270="","",IF(COUNTIF($P$2:$P$3000,P270)&gt;1,"DUPLICATE","OK"))</f>
        <v>OK</v>
      </c>
      <c r="R270" s="0" t="str">
        <f aca="false">IF($C270="","",IFERROR(VLOOKUP(--$C270,MM_Income!$Z$5:$AC$204,3,FALSE()),""))</f>
        <v>Recoverable</v>
      </c>
    </row>
    <row r="271" customFormat="false" ht="14.9" hidden="false" customHeight="false" outlineLevel="0" collapsed="false">
      <c r="A271" s="1" t="s">
        <v>49</v>
      </c>
      <c r="B271" s="1" t="s">
        <v>89</v>
      </c>
      <c r="C271" s="1" t="n">
        <v>5200</v>
      </c>
      <c r="D271" s="1" t="s">
        <v>683</v>
      </c>
      <c r="E271" s="1" t="n">
        <v>44202</v>
      </c>
      <c r="F271" s="1" t="s">
        <v>869</v>
      </c>
      <c r="G271" s="140" t="n">
        <v>46123</v>
      </c>
      <c r="H271" s="1" t="n">
        <v>1260</v>
      </c>
      <c r="I271" s="1" t="s">
        <v>1164</v>
      </c>
      <c r="J271" s="1" t="s">
        <v>1168</v>
      </c>
      <c r="K271" s="1" t="n">
        <v>524.03</v>
      </c>
      <c r="M271" s="125" t="n">
        <f aca="false">Nominal_Activity[[#This Row],[Debit]]-Nominal_Activity[[#This Row],[Credit]]</f>
        <v>524.03</v>
      </c>
      <c r="N271" s="1" t="str">
        <f aca="false">IF(C271="","",IFERROR(VLOOKUP(C271,Master_Mappings!$A$4:$E$85,3,FALSE()),"UNMAPPED"))</f>
        <v>Excluded — Project/Other</v>
      </c>
      <c r="P271" s="1" t="str">
        <f aca="false">IF($C271="","",$C271&amp;"|"&amp;$E271&amp;"|"&amp;$M271&amp;"|"&amp;TEXT($G271,"yyyy-mm-dd")&amp;"|"&amp;LEFT($J271,40))</f>
        <v>5200|44202|524.03|2026-04-11|Communication</v>
      </c>
      <c r="Q271" s="11" t="str">
        <f aca="false">IF(P271="","",IF(COUNTIF($P$2:$P$3000,P271)&gt;1,"DUPLICATE","OK"))</f>
        <v>OK</v>
      </c>
      <c r="R271" s="0" t="str">
        <f aca="false">IF($C271="","",IFERROR(VLOOKUP(--$C271,MM_Income!$Z$5:$AC$204,3,FALSE()),""))</f>
        <v>Recoverable</v>
      </c>
    </row>
    <row r="272" customFormat="false" ht="14.9" hidden="false" customHeight="false" outlineLevel="0" collapsed="false">
      <c r="A272" s="1" t="s">
        <v>49</v>
      </c>
      <c r="B272" s="1" t="s">
        <v>89</v>
      </c>
      <c r="C272" s="1" t="n">
        <v>5200</v>
      </c>
      <c r="D272" s="1" t="s">
        <v>683</v>
      </c>
      <c r="E272" s="1" t="n">
        <v>44205</v>
      </c>
      <c r="F272" s="1" t="s">
        <v>869</v>
      </c>
      <c r="G272" s="140" t="n">
        <v>46117</v>
      </c>
      <c r="H272" s="1" t="n">
        <v>1260</v>
      </c>
      <c r="I272" s="1" t="s">
        <v>1164</v>
      </c>
      <c r="J272" s="1" t="s">
        <v>1171</v>
      </c>
      <c r="K272" s="1" t="n">
        <v>82.2</v>
      </c>
      <c r="M272" s="125" t="n">
        <f aca="false">Nominal_Activity[[#This Row],[Debit]]-Nominal_Activity[[#This Row],[Credit]]</f>
        <v>82.2</v>
      </c>
      <c r="N272" s="1" t="str">
        <f aca="false">IF(C272="","",IFERROR(VLOOKUP(C272,Master_Mappings!$A$4:$E$85,3,FALSE()),"UNMAPPED"))</f>
        <v>Excluded — Project/Other</v>
      </c>
      <c r="P272" s="1" t="str">
        <f aca="false">IF($C272="","",$C272&amp;"|"&amp;$E272&amp;"|"&amp;$M272&amp;"|"&amp;TEXT($G272,"yyyy-mm-dd")&amp;"|"&amp;LEFT($J272,40))</f>
        <v>5200|44205|82.2|2026-04-05|Water</v>
      </c>
      <c r="Q272" s="11" t="str">
        <f aca="false">IF(P272="","",IF(COUNTIF($P$2:$P$3000,P272)&gt;1,"DUPLICATE","OK"))</f>
        <v>OK</v>
      </c>
      <c r="R272" s="0" t="str">
        <f aca="false">IF($C272="","",IFERROR(VLOOKUP(--$C272,MM_Income!$Z$5:$AC$204,3,FALSE()),""))</f>
        <v>Recoverable</v>
      </c>
    </row>
    <row r="273" customFormat="false" ht="14.9" hidden="false" customHeight="false" outlineLevel="0" collapsed="false">
      <c r="A273" s="1" t="s">
        <v>49</v>
      </c>
      <c r="B273" s="1" t="s">
        <v>89</v>
      </c>
      <c r="C273" s="1" t="n">
        <v>5200</v>
      </c>
      <c r="D273" s="1" t="s">
        <v>683</v>
      </c>
      <c r="E273" s="1" t="n">
        <v>44206</v>
      </c>
      <c r="F273" s="1" t="s">
        <v>869</v>
      </c>
      <c r="G273" s="140" t="n">
        <v>46137</v>
      </c>
      <c r="H273" s="1" t="n">
        <v>1260</v>
      </c>
      <c r="I273" s="1" t="s">
        <v>1164</v>
      </c>
      <c r="J273" s="1" t="s">
        <v>1167</v>
      </c>
      <c r="K273" s="1" t="n">
        <v>272.5</v>
      </c>
      <c r="M273" s="125" t="n">
        <f aca="false">Nominal_Activity[[#This Row],[Debit]]-Nominal_Activity[[#This Row],[Credit]]</f>
        <v>272.5</v>
      </c>
      <c r="N273" s="1" t="str">
        <f aca="false">IF(C273="","",IFERROR(VLOOKUP(C273,Master_Mappings!$A$4:$E$85,3,FALSE()),"UNMAPPED"))</f>
        <v>Excluded — Project/Other</v>
      </c>
      <c r="P273" s="1" t="str">
        <f aca="false">IF($C273="","",$C273&amp;"|"&amp;$E273&amp;"|"&amp;$M273&amp;"|"&amp;TEXT($G273,"yyyy-mm-dd")&amp;"|"&amp;LEFT($J273,40))</f>
        <v>5200|44206|272.5|2026-04-25|Lunch</v>
      </c>
      <c r="Q273" s="11" t="str">
        <f aca="false">IF(P273="","",IF(COUNTIF($P$2:$P$3000,P273)&gt;1,"DUPLICATE","OK"))</f>
        <v>OK</v>
      </c>
      <c r="R273" s="0" t="str">
        <f aca="false">IF($C273="","",IFERROR(VLOOKUP(--$C273,MM_Income!$Z$5:$AC$204,3,FALSE()),""))</f>
        <v>Recoverable</v>
      </c>
    </row>
    <row r="274" customFormat="false" ht="14.9" hidden="false" customHeight="false" outlineLevel="0" collapsed="false">
      <c r="A274" s="1" t="s">
        <v>49</v>
      </c>
      <c r="B274" s="1" t="s">
        <v>89</v>
      </c>
      <c r="C274" s="1" t="n">
        <v>5200</v>
      </c>
      <c r="D274" s="1" t="s">
        <v>683</v>
      </c>
      <c r="E274" s="1" t="n">
        <v>44207</v>
      </c>
      <c r="F274" s="1" t="s">
        <v>869</v>
      </c>
      <c r="G274" s="140" t="n">
        <v>46132</v>
      </c>
      <c r="H274" s="1" t="n">
        <v>1260</v>
      </c>
      <c r="I274" s="1" t="s">
        <v>1164</v>
      </c>
      <c r="J274" s="1" t="s">
        <v>1168</v>
      </c>
      <c r="K274" s="1" t="n">
        <v>314.42</v>
      </c>
      <c r="M274" s="125" t="n">
        <f aca="false">Nominal_Activity[[#This Row],[Debit]]-Nominal_Activity[[#This Row],[Credit]]</f>
        <v>314.42</v>
      </c>
      <c r="N274" s="1" t="str">
        <f aca="false">IF(C274="","",IFERROR(VLOOKUP(C274,Master_Mappings!$A$4:$E$85,3,FALSE()),"UNMAPPED"))</f>
        <v>Excluded — Project/Other</v>
      </c>
      <c r="P274" s="1" t="str">
        <f aca="false">IF($C274="","",$C274&amp;"|"&amp;$E274&amp;"|"&amp;$M274&amp;"|"&amp;TEXT($G274,"yyyy-mm-dd")&amp;"|"&amp;LEFT($J274,40))</f>
        <v>5200|44207|314.42|2026-04-20|Communication</v>
      </c>
      <c r="Q274" s="11" t="str">
        <f aca="false">IF(P274="","",IF(COUNTIF($P$2:$P$3000,P274)&gt;1,"DUPLICATE","OK"))</f>
        <v>OK</v>
      </c>
      <c r="R274" s="0" t="str">
        <f aca="false">IF($C274="","",IFERROR(VLOOKUP(--$C274,MM_Income!$Z$5:$AC$204,3,FALSE()),""))</f>
        <v>Recoverable</v>
      </c>
    </row>
    <row r="275" customFormat="false" ht="14.9" hidden="false" customHeight="false" outlineLevel="0" collapsed="false">
      <c r="A275" s="1" t="s">
        <v>49</v>
      </c>
      <c r="B275" s="1" t="s">
        <v>89</v>
      </c>
      <c r="C275" s="1" t="n">
        <v>5200</v>
      </c>
      <c r="D275" s="1" t="s">
        <v>683</v>
      </c>
      <c r="E275" s="1" t="n">
        <v>44209</v>
      </c>
      <c r="F275" s="1" t="s">
        <v>869</v>
      </c>
      <c r="G275" s="140" t="n">
        <v>46127</v>
      </c>
      <c r="H275" s="1" t="n">
        <v>1260</v>
      </c>
      <c r="I275" s="1" t="s">
        <v>1164</v>
      </c>
      <c r="J275" s="1" t="s">
        <v>1165</v>
      </c>
      <c r="K275" s="1" t="n">
        <v>114.4</v>
      </c>
      <c r="M275" s="125" t="n">
        <f aca="false">Nominal_Activity[[#This Row],[Debit]]-Nominal_Activity[[#This Row],[Credit]]</f>
        <v>114.4</v>
      </c>
      <c r="N275" s="1" t="str">
        <f aca="false">IF(C275="","",IFERROR(VLOOKUP(C275,Master_Mappings!$A$4:$E$85,3,FALSE()),"UNMAPPED"))</f>
        <v>Excluded — Project/Other</v>
      </c>
      <c r="P275" s="1" t="str">
        <f aca="false">IF($C275="","",$C275&amp;"|"&amp;$E275&amp;"|"&amp;$M275&amp;"|"&amp;TEXT($G275,"yyyy-mm-dd")&amp;"|"&amp;LEFT($J275,40))</f>
        <v>5200|44209|114.4|2026-04-15|Transportation</v>
      </c>
      <c r="Q275" s="11" t="str">
        <f aca="false">IF(P275="","",IF(COUNTIF($P$2:$P$3000,P275)&gt;1,"DUPLICATE","OK"))</f>
        <v>OK</v>
      </c>
      <c r="R275" s="0" t="str">
        <f aca="false">IF($C275="","",IFERROR(VLOOKUP(--$C275,MM_Income!$Z$5:$AC$204,3,FALSE()),""))</f>
        <v>Recoverable</v>
      </c>
    </row>
    <row r="276" customFormat="false" ht="14.9" hidden="false" customHeight="false" outlineLevel="0" collapsed="false">
      <c r="A276" s="1" t="s">
        <v>49</v>
      </c>
      <c r="B276" s="1" t="s">
        <v>89</v>
      </c>
      <c r="C276" s="1" t="n">
        <v>5200</v>
      </c>
      <c r="D276" s="1" t="s">
        <v>683</v>
      </c>
      <c r="E276" s="1" t="n">
        <v>44210</v>
      </c>
      <c r="F276" s="1" t="s">
        <v>869</v>
      </c>
      <c r="G276" s="140" t="n">
        <v>46126</v>
      </c>
      <c r="H276" s="1" t="n">
        <v>1260</v>
      </c>
      <c r="I276" s="1" t="s">
        <v>1164</v>
      </c>
      <c r="J276" s="1" t="s">
        <v>887</v>
      </c>
      <c r="K276" s="1" t="n">
        <v>253.22</v>
      </c>
      <c r="M276" s="125" t="n">
        <f aca="false">Nominal_Activity[[#This Row],[Debit]]-Nominal_Activity[[#This Row],[Credit]]</f>
        <v>253.22</v>
      </c>
      <c r="N276" s="1" t="str">
        <f aca="false">IF(C276="","",IFERROR(VLOOKUP(C276,Master_Mappings!$A$4:$E$85,3,FALSE()),"UNMAPPED"))</f>
        <v>Excluded — Project/Other</v>
      </c>
      <c r="P276" s="1" t="str">
        <f aca="false">IF($C276="","",$C276&amp;"|"&amp;$E276&amp;"|"&amp;$M276&amp;"|"&amp;TEXT($G276,"yyyy-mm-dd")&amp;"|"&amp;LEFT($J276,40))</f>
        <v>5200|44210|253.22|2026-04-14|Dinner</v>
      </c>
      <c r="Q276" s="11" t="str">
        <f aca="false">IF(P276="","",IF(COUNTIF($P$2:$P$3000,P276)&gt;1,"DUPLICATE","OK"))</f>
        <v>OK</v>
      </c>
      <c r="R276" s="0" t="str">
        <f aca="false">IF($C276="","",IFERROR(VLOOKUP(--$C276,MM_Income!$Z$5:$AC$204,3,FALSE()),""))</f>
        <v>Recoverable</v>
      </c>
    </row>
    <row r="277" customFormat="false" ht="14.9" hidden="false" customHeight="false" outlineLevel="0" collapsed="false">
      <c r="A277" s="1" t="s">
        <v>49</v>
      </c>
      <c r="B277" s="1" t="s">
        <v>89</v>
      </c>
      <c r="C277" s="1" t="n">
        <v>5200</v>
      </c>
      <c r="D277" s="1" t="s">
        <v>683</v>
      </c>
      <c r="E277" s="1" t="n">
        <v>44211</v>
      </c>
      <c r="F277" s="1" t="s">
        <v>869</v>
      </c>
      <c r="G277" s="140" t="n">
        <v>46125</v>
      </c>
      <c r="H277" s="1" t="n">
        <v>1260</v>
      </c>
      <c r="I277" s="1" t="s">
        <v>1164</v>
      </c>
      <c r="J277" s="1" t="s">
        <v>1165</v>
      </c>
      <c r="K277" s="1" t="n">
        <v>384.36</v>
      </c>
      <c r="M277" s="125" t="n">
        <f aca="false">Nominal_Activity[[#This Row],[Debit]]-Nominal_Activity[[#This Row],[Credit]]</f>
        <v>384.36</v>
      </c>
      <c r="N277" s="1" t="str">
        <f aca="false">IF(C277="","",IFERROR(VLOOKUP(C277,Master_Mappings!$A$4:$E$85,3,FALSE()),"UNMAPPED"))</f>
        <v>Excluded — Project/Other</v>
      </c>
      <c r="P277" s="1" t="str">
        <f aca="false">IF($C277="","",$C277&amp;"|"&amp;$E277&amp;"|"&amp;$M277&amp;"|"&amp;TEXT($G277,"yyyy-mm-dd")&amp;"|"&amp;LEFT($J277,40))</f>
        <v>5200|44211|384.36|2026-04-13|Transportation</v>
      </c>
      <c r="Q277" s="11" t="str">
        <f aca="false">IF(P277="","",IF(COUNTIF($P$2:$P$3000,P277)&gt;1,"DUPLICATE","OK"))</f>
        <v>OK</v>
      </c>
      <c r="R277" s="0" t="str">
        <f aca="false">IF($C277="","",IFERROR(VLOOKUP(--$C277,MM_Income!$Z$5:$AC$204,3,FALSE()),""))</f>
        <v>Recoverable</v>
      </c>
    </row>
    <row r="278" customFormat="false" ht="14.9" hidden="false" customHeight="false" outlineLevel="0" collapsed="false">
      <c r="A278" s="1" t="s">
        <v>49</v>
      </c>
      <c r="B278" s="1" t="s">
        <v>89</v>
      </c>
      <c r="C278" s="1" t="n">
        <v>5200</v>
      </c>
      <c r="D278" s="1" t="s">
        <v>683</v>
      </c>
      <c r="E278" s="1" t="n">
        <v>44212</v>
      </c>
      <c r="F278" s="1" t="s">
        <v>869</v>
      </c>
      <c r="G278" s="140" t="n">
        <v>46125</v>
      </c>
      <c r="H278" s="1" t="n">
        <v>1260</v>
      </c>
      <c r="I278" s="1" t="s">
        <v>1164</v>
      </c>
      <c r="J278" s="1" t="s">
        <v>887</v>
      </c>
      <c r="K278" s="1" t="n">
        <v>616</v>
      </c>
      <c r="M278" s="125" t="n">
        <f aca="false">Nominal_Activity[[#This Row],[Debit]]-Nominal_Activity[[#This Row],[Credit]]</f>
        <v>616</v>
      </c>
      <c r="N278" s="1" t="str">
        <f aca="false">IF(C278="","",IFERROR(VLOOKUP(C278,Master_Mappings!$A$4:$E$85,3,FALSE()),"UNMAPPED"))</f>
        <v>Excluded — Project/Other</v>
      </c>
      <c r="P278" s="1" t="str">
        <f aca="false">IF($C278="","",$C278&amp;"|"&amp;$E278&amp;"|"&amp;$M278&amp;"|"&amp;TEXT($G278,"yyyy-mm-dd")&amp;"|"&amp;LEFT($J278,40))</f>
        <v>5200|44212|616|2026-04-13|Dinner</v>
      </c>
      <c r="Q278" s="11" t="str">
        <f aca="false">IF(P278="","",IF(COUNTIF($P$2:$P$3000,P278)&gt;1,"DUPLICATE","OK"))</f>
        <v>OK</v>
      </c>
      <c r="R278" s="0" t="str">
        <f aca="false">IF($C278="","",IFERROR(VLOOKUP(--$C278,MM_Income!$Z$5:$AC$204,3,FALSE()),""))</f>
        <v>Recoverable</v>
      </c>
    </row>
    <row r="279" customFormat="false" ht="14.9" hidden="false" customHeight="false" outlineLevel="0" collapsed="false">
      <c r="A279" s="1" t="s">
        <v>49</v>
      </c>
      <c r="B279" s="1" t="s">
        <v>89</v>
      </c>
      <c r="C279" s="1" t="n">
        <v>5200</v>
      </c>
      <c r="D279" s="1" t="s">
        <v>683</v>
      </c>
      <c r="E279" s="1" t="n">
        <v>44214</v>
      </c>
      <c r="F279" s="1" t="s">
        <v>869</v>
      </c>
      <c r="G279" s="140" t="n">
        <v>46117</v>
      </c>
      <c r="H279" s="1" t="n">
        <v>1260</v>
      </c>
      <c r="I279" s="1" t="s">
        <v>1164</v>
      </c>
      <c r="J279" s="1" t="s">
        <v>1173</v>
      </c>
      <c r="K279" s="1" t="n">
        <v>200</v>
      </c>
      <c r="M279" s="125" t="n">
        <f aca="false">Nominal_Activity[[#This Row],[Debit]]-Nominal_Activity[[#This Row],[Credit]]</f>
        <v>200</v>
      </c>
      <c r="N279" s="1" t="str">
        <f aca="false">IF(C279="","",IFERROR(VLOOKUP(C279,Master_Mappings!$A$4:$E$85,3,FALSE()),"UNMAPPED"))</f>
        <v>Excluded — Project/Other</v>
      </c>
      <c r="P279" s="1" t="str">
        <f aca="false">IF($C279="","",$C279&amp;"|"&amp;$E279&amp;"|"&amp;$M279&amp;"|"&amp;TEXT($G279,"yyyy-mm-dd")&amp;"|"&amp;LEFT($J279,40))</f>
        <v>5200|44214|200|2026-04-05|Breakfast</v>
      </c>
      <c r="Q279" s="11" t="str">
        <f aca="false">IF(P279="","",IF(COUNTIF($P$2:$P$3000,P279)&gt;1,"DUPLICATE","OK"))</f>
        <v>OK</v>
      </c>
      <c r="R279" s="0" t="str">
        <f aca="false">IF($C279="","",IFERROR(VLOOKUP(--$C279,MM_Income!$Z$5:$AC$204,3,FALSE()),""))</f>
        <v>Recoverable</v>
      </c>
    </row>
    <row r="280" customFormat="false" ht="14.9" hidden="false" customHeight="false" outlineLevel="0" collapsed="false">
      <c r="A280" s="1" t="s">
        <v>49</v>
      </c>
      <c r="B280" s="1" t="s">
        <v>89</v>
      </c>
      <c r="C280" s="1" t="n">
        <v>5200</v>
      </c>
      <c r="D280" s="1" t="s">
        <v>683</v>
      </c>
      <c r="E280" s="1" t="n">
        <v>44216</v>
      </c>
      <c r="F280" s="1" t="s">
        <v>869</v>
      </c>
      <c r="G280" s="140" t="n">
        <v>46120</v>
      </c>
      <c r="H280" s="1" t="n">
        <v>1260</v>
      </c>
      <c r="I280" s="1" t="s">
        <v>1074</v>
      </c>
      <c r="J280" s="1" t="s">
        <v>1174</v>
      </c>
      <c r="K280" s="1" t="n">
        <v>65</v>
      </c>
      <c r="M280" s="125" t="n">
        <f aca="false">Nominal_Activity[[#This Row],[Debit]]-Nominal_Activity[[#This Row],[Credit]]</f>
        <v>65</v>
      </c>
      <c r="N280" s="1" t="str">
        <f aca="false">IF(C280="","",IFERROR(VLOOKUP(C280,Master_Mappings!$A$4:$E$85,3,FALSE()),"UNMAPPED"))</f>
        <v>Excluded — Project/Other</v>
      </c>
      <c r="P280" s="1" t="str">
        <f aca="false">IF($C280="","",$C280&amp;"|"&amp;$E280&amp;"|"&amp;$M280&amp;"|"&amp;TEXT($G280,"yyyy-mm-dd")&amp;"|"&amp;LEFT($J280,40))</f>
        <v>5200|44216|65|2026-04-08|Ground transport from airport to office</v>
      </c>
      <c r="Q280" s="11" t="str">
        <f aca="false">IF(P280="","",IF(COUNTIF($P$2:$P$3000,P280)&gt;1,"DUPLICATE","OK"))</f>
        <v>OK</v>
      </c>
      <c r="R280" s="0" t="str">
        <f aca="false">IF($C280="","",IFERROR(VLOOKUP(--$C280,MM_Income!$Z$5:$AC$204,3,FALSE()),""))</f>
        <v>Recoverable</v>
      </c>
    </row>
    <row r="281" customFormat="false" ht="14.9" hidden="false" customHeight="false" outlineLevel="0" collapsed="false">
      <c r="A281" s="1" t="s">
        <v>49</v>
      </c>
      <c r="B281" s="1" t="s">
        <v>89</v>
      </c>
      <c r="C281" s="1" t="n">
        <v>5200</v>
      </c>
      <c r="D281" s="1" t="s">
        <v>683</v>
      </c>
      <c r="E281" s="1" t="n">
        <v>44217</v>
      </c>
      <c r="F281" s="1" t="s">
        <v>869</v>
      </c>
      <c r="G281" s="140" t="n">
        <v>46120</v>
      </c>
      <c r="H281" s="1" t="n">
        <v>1260</v>
      </c>
      <c r="I281" s="1" t="s">
        <v>1074</v>
      </c>
      <c r="J281" s="1" t="s">
        <v>1175</v>
      </c>
      <c r="K281" s="1" t="n">
        <v>329.1</v>
      </c>
      <c r="M281" s="125" t="n">
        <f aca="false">Nominal_Activity[[#This Row],[Debit]]-Nominal_Activity[[#This Row],[Credit]]</f>
        <v>329.1</v>
      </c>
      <c r="N281" s="1" t="str">
        <f aca="false">IF(C281="","",IFERROR(VLOOKUP(C281,Master_Mappings!$A$4:$E$85,3,FALSE()),"UNMAPPED"))</f>
        <v>Excluded — Project/Other</v>
      </c>
      <c r="P281" s="1" t="str">
        <f aca="false">IF($C281="","",$C281&amp;"|"&amp;$E281&amp;"|"&amp;$M281&amp;"|"&amp;TEXT($G281,"yyyy-mm-dd")&amp;"|"&amp;LEFT($J281,40))</f>
        <v>5200|44217|329.1|2026-04-08|Data and call credits</v>
      </c>
      <c r="Q281" s="11" t="str">
        <f aca="false">IF(P281="","",IF(COUNTIF($P$2:$P$3000,P281)&gt;1,"DUPLICATE","OK"))</f>
        <v>OK</v>
      </c>
      <c r="R281" s="0" t="str">
        <f aca="false">IF($C281="","",IFERROR(VLOOKUP(--$C281,MM_Income!$Z$5:$AC$204,3,FALSE()),""))</f>
        <v>Recoverable</v>
      </c>
    </row>
    <row r="282" customFormat="false" ht="14.9" hidden="false" customHeight="false" outlineLevel="0" collapsed="false">
      <c r="A282" s="1" t="s">
        <v>49</v>
      </c>
      <c r="B282" s="1" t="s">
        <v>89</v>
      </c>
      <c r="C282" s="1" t="n">
        <v>5200</v>
      </c>
      <c r="D282" s="1" t="s">
        <v>683</v>
      </c>
      <c r="E282" s="1" t="n">
        <v>44218</v>
      </c>
      <c r="F282" s="1" t="s">
        <v>869</v>
      </c>
      <c r="G282" s="140" t="n">
        <v>46120</v>
      </c>
      <c r="H282" s="1" t="n">
        <v>1260</v>
      </c>
      <c r="I282" s="1" t="s">
        <v>1074</v>
      </c>
      <c r="J282" s="1" t="s">
        <v>1176</v>
      </c>
      <c r="K282" s="1" t="n">
        <v>1974.6</v>
      </c>
      <c r="M282" s="125" t="n">
        <f aca="false">Nominal_Activity[[#This Row],[Debit]]-Nominal_Activity[[#This Row],[Credit]]</f>
        <v>1974.6</v>
      </c>
      <c r="N282" s="1" t="str">
        <f aca="false">IF(C282="","",IFERROR(VLOOKUP(C282,Master_Mappings!$A$4:$E$85,3,FALSE()),"UNMAPPED"))</f>
        <v>Excluded — Project/Other</v>
      </c>
      <c r="P282" s="1" t="str">
        <f aca="false">IF($C282="","",$C282&amp;"|"&amp;$E282&amp;"|"&amp;$M282&amp;"|"&amp;TEXT($G282,"yyyy-mm-dd")&amp;"|"&amp;LEFT($J282,40))</f>
        <v>5200|44218|1974.6|2026-04-08|Airport drop-off and city runs</v>
      </c>
      <c r="Q282" s="11" t="str">
        <f aca="false">IF(P282="","",IF(COUNTIF($P$2:$P$3000,P282)&gt;1,"DUPLICATE","OK"))</f>
        <v>OK</v>
      </c>
      <c r="R282" s="0" t="str">
        <f aca="false">IF($C282="","",IFERROR(VLOOKUP(--$C282,MM_Income!$Z$5:$AC$204,3,FALSE()),""))</f>
        <v>Recoverable</v>
      </c>
    </row>
    <row r="283" customFormat="false" ht="14.9" hidden="false" customHeight="false" outlineLevel="0" collapsed="false">
      <c r="A283" s="1" t="s">
        <v>49</v>
      </c>
      <c r="B283" s="1" t="s">
        <v>89</v>
      </c>
      <c r="C283" s="1" t="n">
        <v>5200</v>
      </c>
      <c r="D283" s="1" t="s">
        <v>683</v>
      </c>
      <c r="E283" s="1" t="n">
        <v>44219</v>
      </c>
      <c r="F283" s="1" t="s">
        <v>869</v>
      </c>
      <c r="G283" s="140" t="n">
        <v>46119</v>
      </c>
      <c r="H283" s="1" t="n">
        <v>1260</v>
      </c>
      <c r="I283" s="1" t="s">
        <v>1074</v>
      </c>
      <c r="J283" s="1" t="s">
        <v>1177</v>
      </c>
      <c r="K283" s="1" t="n">
        <v>515.59</v>
      </c>
      <c r="M283" s="125" t="n">
        <f aca="false">Nominal_Activity[[#This Row],[Debit]]-Nominal_Activity[[#This Row],[Credit]]</f>
        <v>515.59</v>
      </c>
      <c r="N283" s="1" t="str">
        <f aca="false">IF(C283="","",IFERROR(VLOOKUP(C283,Master_Mappings!$A$4:$E$85,3,FALSE()),"UNMAPPED"))</f>
        <v>Excluded — Project/Other</v>
      </c>
      <c r="P283" s="1" t="str">
        <f aca="false">IF($C283="","",$C283&amp;"|"&amp;$E283&amp;"|"&amp;$M283&amp;"|"&amp;TEXT($G283,"yyyy-mm-dd")&amp;"|"&amp;LEFT($J283,40))</f>
        <v>5200|44219|515.59|2026-04-07|Food for field team</v>
      </c>
      <c r="Q283" s="11" t="str">
        <f aca="false">IF(P283="","",IF(COUNTIF($P$2:$P$3000,P283)&gt;1,"DUPLICATE","OK"))</f>
        <v>OK</v>
      </c>
      <c r="R283" s="0" t="str">
        <f aca="false">IF($C283="","",IFERROR(VLOOKUP(--$C283,MM_Income!$Z$5:$AC$204,3,FALSE()),""))</f>
        <v>Recoverable</v>
      </c>
    </row>
    <row r="284" customFormat="false" ht="14.9" hidden="false" customHeight="false" outlineLevel="0" collapsed="false">
      <c r="A284" s="1" t="s">
        <v>49</v>
      </c>
      <c r="B284" s="1" t="s">
        <v>89</v>
      </c>
      <c r="C284" s="1" t="n">
        <v>5200</v>
      </c>
      <c r="D284" s="1" t="s">
        <v>683</v>
      </c>
      <c r="E284" s="1" t="n">
        <v>44220</v>
      </c>
      <c r="F284" s="1" t="s">
        <v>869</v>
      </c>
      <c r="G284" s="140" t="n">
        <v>46119</v>
      </c>
      <c r="H284" s="1" t="n">
        <v>1260</v>
      </c>
      <c r="I284" s="1" t="s">
        <v>1074</v>
      </c>
      <c r="J284" s="1" t="s">
        <v>1012</v>
      </c>
      <c r="K284" s="1" t="n">
        <v>61.43</v>
      </c>
      <c r="M284" s="125" t="n">
        <f aca="false">Nominal_Activity[[#This Row],[Debit]]-Nominal_Activity[[#This Row],[Credit]]</f>
        <v>61.43</v>
      </c>
      <c r="N284" s="1" t="str">
        <f aca="false">IF(C284="","",IFERROR(VLOOKUP(C284,Master_Mappings!$A$4:$E$85,3,FALSE()),"UNMAPPED"))</f>
        <v>Excluded — Project/Other</v>
      </c>
      <c r="P284" s="1" t="str">
        <f aca="false">IF($C284="","",$C284&amp;"|"&amp;$E284&amp;"|"&amp;$M284&amp;"|"&amp;TEXT($G284,"yyyy-mm-dd")&amp;"|"&amp;LEFT($J284,40))</f>
        <v>5200|44220|61.43|2026-04-07|Meals</v>
      </c>
      <c r="Q284" s="11" t="str">
        <f aca="false">IF(P284="","",IF(COUNTIF($P$2:$P$3000,P284)&gt;1,"DUPLICATE","OK"))</f>
        <v>OK</v>
      </c>
      <c r="R284" s="0" t="str">
        <f aca="false">IF($C284="","",IFERROR(VLOOKUP(--$C284,MM_Income!$Z$5:$AC$204,3,FALSE()),""))</f>
        <v>Recoverable</v>
      </c>
    </row>
    <row r="285" customFormat="false" ht="14.9" hidden="false" customHeight="false" outlineLevel="0" collapsed="false">
      <c r="A285" s="1" t="s">
        <v>49</v>
      </c>
      <c r="B285" s="1" t="s">
        <v>89</v>
      </c>
      <c r="C285" s="1" t="n">
        <v>5200</v>
      </c>
      <c r="D285" s="1" t="s">
        <v>683</v>
      </c>
      <c r="E285" s="1" t="n">
        <v>44221</v>
      </c>
      <c r="F285" s="1" t="s">
        <v>869</v>
      </c>
      <c r="G285" s="140" t="n">
        <v>46118</v>
      </c>
      <c r="H285" s="1" t="n">
        <v>1260</v>
      </c>
      <c r="I285" s="1" t="s">
        <v>1074</v>
      </c>
      <c r="J285" s="1" t="s">
        <v>1178</v>
      </c>
      <c r="K285" s="1" t="n">
        <v>131.64</v>
      </c>
      <c r="M285" s="125" t="n">
        <f aca="false">Nominal_Activity[[#This Row],[Debit]]-Nominal_Activity[[#This Row],[Credit]]</f>
        <v>131.64</v>
      </c>
      <c r="N285" s="1" t="str">
        <f aca="false">IF(C285="","",IFERROR(VLOOKUP(C285,Master_Mappings!$A$4:$E$85,3,FALSE()),"UNMAPPED"))</f>
        <v>Excluded — Project/Other</v>
      </c>
      <c r="P285" s="1" t="str">
        <f aca="false">IF($C285="","",$C285&amp;"|"&amp;$E285&amp;"|"&amp;$M285&amp;"|"&amp;TEXT($G285,"yyyy-mm-dd")&amp;"|"&amp;LEFT($J285,40))</f>
        <v>5200|44221|131.64|2026-04-06|Meals during travel</v>
      </c>
      <c r="Q285" s="11" t="str">
        <f aca="false">IF(P285="","",IF(COUNTIF($P$2:$P$3000,P285)&gt;1,"DUPLICATE","OK"))</f>
        <v>OK</v>
      </c>
      <c r="R285" s="0" t="str">
        <f aca="false">IF($C285="","",IFERROR(VLOOKUP(--$C285,MM_Income!$Z$5:$AC$204,3,FALSE()),""))</f>
        <v>Recoverable</v>
      </c>
    </row>
    <row r="286" customFormat="false" ht="14.9" hidden="false" customHeight="false" outlineLevel="0" collapsed="false">
      <c r="A286" s="1" t="s">
        <v>49</v>
      </c>
      <c r="B286" s="1" t="s">
        <v>89</v>
      </c>
      <c r="C286" s="1" t="n">
        <v>5200</v>
      </c>
      <c r="D286" s="1" t="s">
        <v>683</v>
      </c>
      <c r="E286" s="1" t="n">
        <v>44222</v>
      </c>
      <c r="F286" s="1" t="s">
        <v>869</v>
      </c>
      <c r="G286" s="140" t="n">
        <v>46118</v>
      </c>
      <c r="H286" s="1" t="n">
        <v>1260</v>
      </c>
      <c r="I286" s="1" t="s">
        <v>1074</v>
      </c>
      <c r="J286" s="1" t="s">
        <v>1177</v>
      </c>
      <c r="K286" s="1" t="n">
        <v>795.33</v>
      </c>
      <c r="M286" s="125" t="n">
        <f aca="false">Nominal_Activity[[#This Row],[Debit]]-Nominal_Activity[[#This Row],[Credit]]</f>
        <v>795.33</v>
      </c>
      <c r="N286" s="1" t="str">
        <f aca="false">IF(C286="","",IFERROR(VLOOKUP(C286,Master_Mappings!$A$4:$E$85,3,FALSE()),"UNMAPPED"))</f>
        <v>Excluded — Project/Other</v>
      </c>
      <c r="P286" s="1" t="str">
        <f aca="false">IF($C286="","",$C286&amp;"|"&amp;$E286&amp;"|"&amp;$M286&amp;"|"&amp;TEXT($G286,"yyyy-mm-dd")&amp;"|"&amp;LEFT($J286,40))</f>
        <v>5200|44222|795.33|2026-04-06|Food for field team</v>
      </c>
      <c r="Q286" s="11" t="str">
        <f aca="false">IF(P286="","",IF(COUNTIF($P$2:$P$3000,P286)&gt;1,"DUPLICATE","OK"))</f>
        <v>OK</v>
      </c>
      <c r="R286" s="0" t="str">
        <f aca="false">IF($C286="","",IFERROR(VLOOKUP(--$C286,MM_Income!$Z$5:$AC$204,3,FALSE()),""))</f>
        <v>Recoverable</v>
      </c>
    </row>
    <row r="287" customFormat="false" ht="14.9" hidden="false" customHeight="false" outlineLevel="0" collapsed="false">
      <c r="A287" s="1" t="s">
        <v>49</v>
      </c>
      <c r="B287" s="1" t="s">
        <v>89</v>
      </c>
      <c r="C287" s="1" t="n">
        <v>5200</v>
      </c>
      <c r="D287" s="1" t="s">
        <v>683</v>
      </c>
      <c r="E287" s="1" t="n">
        <v>44223</v>
      </c>
      <c r="F287" s="1" t="s">
        <v>869</v>
      </c>
      <c r="G287" s="140" t="n">
        <v>46113</v>
      </c>
      <c r="H287" s="1" t="n">
        <v>1260</v>
      </c>
      <c r="I287" s="1" t="s">
        <v>1074</v>
      </c>
      <c r="J287" s="1" t="s">
        <v>1012</v>
      </c>
      <c r="K287" s="1" t="n">
        <v>164.55</v>
      </c>
      <c r="M287" s="125" t="n">
        <f aca="false">Nominal_Activity[[#This Row],[Debit]]-Nominal_Activity[[#This Row],[Credit]]</f>
        <v>164.55</v>
      </c>
      <c r="N287" s="1" t="str">
        <f aca="false">IF(C287="","",IFERROR(VLOOKUP(C287,Master_Mappings!$A$4:$E$85,3,FALSE()),"UNMAPPED"))</f>
        <v>Excluded — Project/Other</v>
      </c>
      <c r="P287" s="1" t="str">
        <f aca="false">IF($C287="","",$C287&amp;"|"&amp;$E287&amp;"|"&amp;$M287&amp;"|"&amp;TEXT($G287,"yyyy-mm-dd")&amp;"|"&amp;LEFT($J287,40))</f>
        <v>5200|44223|164.55|2026-04-01|Meals</v>
      </c>
      <c r="Q287" s="11" t="str">
        <f aca="false">IF(P287="","",IF(COUNTIF($P$2:$P$3000,P287)&gt;1,"DUPLICATE","OK"))</f>
        <v>OK</v>
      </c>
      <c r="R287" s="0" t="str">
        <f aca="false">IF($C287="","",IFERROR(VLOOKUP(--$C287,MM_Income!$Z$5:$AC$204,3,FALSE()),""))</f>
        <v>Recoverable</v>
      </c>
    </row>
    <row r="288" customFormat="false" ht="14.9" hidden="false" customHeight="false" outlineLevel="0" collapsed="false">
      <c r="A288" s="1" t="s">
        <v>49</v>
      </c>
      <c r="B288" s="1" t="s">
        <v>89</v>
      </c>
      <c r="C288" s="1" t="n">
        <v>5200</v>
      </c>
      <c r="D288" s="1" t="s">
        <v>683</v>
      </c>
      <c r="E288" s="1" t="n">
        <v>44224</v>
      </c>
      <c r="F288" s="1" t="s">
        <v>869</v>
      </c>
      <c r="G288" s="140" t="n">
        <v>46113</v>
      </c>
      <c r="H288" s="1" t="n">
        <v>1260</v>
      </c>
      <c r="I288" s="1" t="s">
        <v>1074</v>
      </c>
      <c r="J288" s="1" t="s">
        <v>1177</v>
      </c>
      <c r="K288" s="1" t="n">
        <v>687.82</v>
      </c>
      <c r="M288" s="125" t="n">
        <f aca="false">Nominal_Activity[[#This Row],[Debit]]-Nominal_Activity[[#This Row],[Credit]]</f>
        <v>687.82</v>
      </c>
      <c r="N288" s="1" t="str">
        <f aca="false">IF(C288="","",IFERROR(VLOOKUP(C288,Master_Mappings!$A$4:$E$85,3,FALSE()),"UNMAPPED"))</f>
        <v>Excluded — Project/Other</v>
      </c>
      <c r="P288" s="1" t="str">
        <f aca="false">IF($C288="","",$C288&amp;"|"&amp;$E288&amp;"|"&amp;$M288&amp;"|"&amp;TEXT($G288,"yyyy-mm-dd")&amp;"|"&amp;LEFT($J288,40))</f>
        <v>5200|44224|687.82|2026-04-01|Food for field team</v>
      </c>
      <c r="Q288" s="11" t="str">
        <f aca="false">IF(P288="","",IF(COUNTIF($P$2:$P$3000,P288)&gt;1,"DUPLICATE","OK"))</f>
        <v>OK</v>
      </c>
      <c r="R288" s="0" t="str">
        <f aca="false">IF($C288="","",IFERROR(VLOOKUP(--$C288,MM_Income!$Z$5:$AC$204,3,FALSE()),""))</f>
        <v>Recoverable</v>
      </c>
    </row>
    <row r="289" customFormat="false" ht="14.9" hidden="false" customHeight="false" outlineLevel="0" collapsed="false">
      <c r="A289" s="1" t="s">
        <v>49</v>
      </c>
      <c r="B289" s="1" t="s">
        <v>89</v>
      </c>
      <c r="C289" s="1" t="n">
        <v>5200</v>
      </c>
      <c r="D289" s="1" t="s">
        <v>683</v>
      </c>
      <c r="E289" s="1" t="n">
        <v>44243</v>
      </c>
      <c r="F289" s="1" t="s">
        <v>847</v>
      </c>
      <c r="G289" s="140" t="n">
        <v>46154</v>
      </c>
      <c r="H289" s="1" t="s">
        <v>1179</v>
      </c>
      <c r="I289" s="1" t="s">
        <v>1182</v>
      </c>
      <c r="J289" s="1" t="s">
        <v>1181</v>
      </c>
      <c r="K289" s="1" t="n">
        <v>16049.99</v>
      </c>
      <c r="M289" s="125" t="n">
        <f aca="false">Nominal_Activity[[#This Row],[Debit]]-Nominal_Activity[[#This Row],[Credit]]</f>
        <v>16049.99</v>
      </c>
      <c r="N289" s="1" t="str">
        <f aca="false">IF(C289="","",IFERROR(VLOOKUP(C289,Master_Mappings!$A$4:$E$85,3,FALSE()),"UNMAPPED"))</f>
        <v>Excluded — Project/Other</v>
      </c>
      <c r="P289" s="1" t="str">
        <f aca="false">IF($C289="","",$C289&amp;"|"&amp;$E289&amp;"|"&amp;$M289&amp;"|"&amp;TEXT($G289,"yyyy-mm-dd")&amp;"|"&amp;LEFT($J289,40))</f>
        <v>5200|44243|16049.99|2026-05-12|Invoice from Malaysia for work done on S</v>
      </c>
      <c r="Q289" s="11" t="str">
        <f aca="false">IF(P289="","",IF(COUNTIF($P$2:$P$3000,P289)&gt;1,"DUPLICATE","OK"))</f>
        <v>OK</v>
      </c>
      <c r="R289" s="0" t="str">
        <f aca="false">IF($C289="","",IFERROR(VLOOKUP(--$C289,MM_Income!$Z$5:$AC$204,3,FALSE()),""))</f>
        <v>Recoverable</v>
      </c>
    </row>
    <row r="290" customFormat="false" ht="14.9" hidden="false" customHeight="false" outlineLevel="0" collapsed="false">
      <c r="A290" s="1" t="s">
        <v>49</v>
      </c>
      <c r="B290" s="1" t="s">
        <v>85</v>
      </c>
      <c r="C290" s="1" t="n">
        <v>5250</v>
      </c>
      <c r="D290" s="1" t="s">
        <v>685</v>
      </c>
      <c r="E290" s="1" t="n">
        <v>42846</v>
      </c>
      <c r="F290" s="1" t="s">
        <v>869</v>
      </c>
      <c r="G290" s="140" t="n">
        <v>46087</v>
      </c>
      <c r="H290" s="1" t="n">
        <v>1260</v>
      </c>
      <c r="I290" s="1" t="s">
        <v>883</v>
      </c>
      <c r="J290" s="1" t="s">
        <v>885</v>
      </c>
      <c r="K290" s="1" t="n">
        <v>112</v>
      </c>
      <c r="M290" s="125" t="n">
        <f aca="false">Nominal_Activity[[#This Row],[Debit]]-Nominal_Activity[[#This Row],[Credit]]</f>
        <v>112</v>
      </c>
      <c r="N290" s="1" t="str">
        <f aca="false">IF(C290="","",IFERROR(VLOOKUP(C290,Master_Mappings!$A$4:$E$85,3,FALSE()),"UNMAPPED"))</f>
        <v>Excluded — Project/Other</v>
      </c>
      <c r="P290" s="1" t="str">
        <f aca="false">IF($C290="","",$C290&amp;"|"&amp;$E290&amp;"|"&amp;$M290&amp;"|"&amp;TEXT($G290,"yyyy-mm-dd")&amp;"|"&amp;LEFT($J290,40))</f>
        <v>5250|42846|112|2026-03-06|Bolt from airport to home</v>
      </c>
      <c r="Q290" s="11" t="str">
        <f aca="false">IF(P290="","",IF(COUNTIF($P$2:$P$3000,P290)&gt;1,"DUPLICATE","OK"))</f>
        <v>OK</v>
      </c>
      <c r="R290" s="0" t="str">
        <f aca="false">IF($C290="","",IFERROR(VLOOKUP(--$C290,MM_Income!$Z$5:$AC$204,3,FALSE()),""))</f>
        <v>Non-Recoverable</v>
      </c>
    </row>
    <row r="291" customFormat="false" ht="14.9" hidden="false" customHeight="false" outlineLevel="0" collapsed="false">
      <c r="A291" s="1" t="s">
        <v>49</v>
      </c>
      <c r="B291" s="1" t="s">
        <v>89</v>
      </c>
      <c r="C291" s="1" t="n">
        <v>5250</v>
      </c>
      <c r="D291" s="1" t="s">
        <v>685</v>
      </c>
      <c r="E291" s="1" t="n">
        <v>43500</v>
      </c>
      <c r="F291" s="1" t="s">
        <v>847</v>
      </c>
      <c r="G291" s="140" t="n">
        <v>46128</v>
      </c>
      <c r="H291" s="1" t="s">
        <v>966</v>
      </c>
      <c r="I291" s="1" t="s">
        <v>967</v>
      </c>
      <c r="J291" s="1" t="s">
        <v>969</v>
      </c>
      <c r="K291" s="1" t="n">
        <v>36460.04</v>
      </c>
      <c r="M291" s="125" t="n">
        <f aca="false">Nominal_Activity[[#This Row],[Debit]]-Nominal_Activity[[#This Row],[Credit]]</f>
        <v>36460.04</v>
      </c>
      <c r="N291" s="1" t="str">
        <f aca="false">IF(C291="","",IFERROR(VLOOKUP(C291,Master_Mappings!$A$4:$E$85,3,FALSE()),"UNMAPPED"))</f>
        <v>Excluded — Project/Other</v>
      </c>
      <c r="P291" s="1" t="str">
        <f aca="false">IF($C291="","",$C291&amp;"|"&amp;$E291&amp;"|"&amp;$M291&amp;"|"&amp;TEXT($G291,"yyyy-mm-dd")&amp;"|"&amp;LEFT($J291,40))</f>
        <v>5250|43500|36460.04|2026-04-16|Resubmission of BPLs HCV-HCSA Assessment</v>
      </c>
      <c r="Q291" s="11" t="str">
        <f aca="false">IF(P291="","",IF(COUNTIF($P$2:$P$3000,P291)&gt;1,"DUPLICATE","OK"))</f>
        <v>OK</v>
      </c>
      <c r="R291" s="0" t="str">
        <f aca="false">IF($C291="","",IFERROR(VLOOKUP(--$C291,MM_Income!$Z$5:$AC$204,3,FALSE()),""))</f>
        <v>Non-Recoverable</v>
      </c>
    </row>
    <row r="292" customFormat="false" ht="14.9" hidden="false" customHeight="false" outlineLevel="0" collapsed="false">
      <c r="A292" s="1" t="s">
        <v>49</v>
      </c>
      <c r="B292" s="1" t="s">
        <v>89</v>
      </c>
      <c r="C292" s="1" t="n">
        <v>5250</v>
      </c>
      <c r="D292" s="1" t="s">
        <v>685</v>
      </c>
      <c r="E292" s="1" t="n">
        <v>43833</v>
      </c>
      <c r="F292" s="1" t="s">
        <v>869</v>
      </c>
      <c r="G292" s="140" t="n">
        <v>46173</v>
      </c>
      <c r="H292" s="1" t="n">
        <v>1260</v>
      </c>
      <c r="I292" s="1" t="s">
        <v>1099</v>
      </c>
      <c r="J292" s="1" t="s">
        <v>885</v>
      </c>
      <c r="K292" s="1" t="n">
        <v>106</v>
      </c>
      <c r="M292" s="125" t="n">
        <f aca="false">Nominal_Activity[[#This Row],[Debit]]-Nominal_Activity[[#This Row],[Credit]]</f>
        <v>106</v>
      </c>
      <c r="N292" s="1" t="str">
        <f aca="false">IF(C292="","",IFERROR(VLOOKUP(C292,Master_Mappings!$A$4:$E$85,3,FALSE()),"UNMAPPED"))</f>
        <v>Excluded — Project/Other</v>
      </c>
      <c r="P292" s="1" t="str">
        <f aca="false">IF($C292="","",$C292&amp;"|"&amp;$E292&amp;"|"&amp;$M292&amp;"|"&amp;TEXT($G292,"yyyy-mm-dd")&amp;"|"&amp;LEFT($J292,40))</f>
        <v>5250|43833|106|2026-05-31|Bolt from airport to home</v>
      </c>
      <c r="Q292" s="11" t="str">
        <f aca="false">IF(P292="","",IF(COUNTIF($P$2:$P$3000,P292)&gt;1,"DUPLICATE","OK"))</f>
        <v>OK</v>
      </c>
      <c r="R292" s="0" t="str">
        <f aca="false">IF($C292="","",IFERROR(VLOOKUP(--$C292,MM_Income!$Z$5:$AC$204,3,FALSE()),""))</f>
        <v>Non-Recoverable</v>
      </c>
    </row>
    <row r="293" customFormat="false" ht="14.9" hidden="false" customHeight="false" outlineLevel="0" collapsed="false">
      <c r="A293" s="1" t="s">
        <v>49</v>
      </c>
      <c r="B293" s="1" t="s">
        <v>89</v>
      </c>
      <c r="C293" s="1" t="n">
        <v>5250</v>
      </c>
      <c r="D293" s="1" t="s">
        <v>685</v>
      </c>
      <c r="E293" s="1" t="n">
        <v>43834</v>
      </c>
      <c r="F293" s="1" t="s">
        <v>869</v>
      </c>
      <c r="G293" s="140" t="n">
        <v>46163</v>
      </c>
      <c r="H293" s="1" t="n">
        <v>1260</v>
      </c>
      <c r="I293" s="1" t="s">
        <v>1099</v>
      </c>
      <c r="J293" s="1" t="s">
        <v>1094</v>
      </c>
      <c r="K293" s="1" t="n">
        <v>109</v>
      </c>
      <c r="M293" s="125" t="n">
        <f aca="false">Nominal_Activity[[#This Row],[Debit]]-Nominal_Activity[[#This Row],[Credit]]</f>
        <v>109</v>
      </c>
      <c r="N293" s="1" t="str">
        <f aca="false">IF(C293="","",IFERROR(VLOOKUP(C293,Master_Mappings!$A$4:$E$85,3,FALSE()),"UNMAPPED"))</f>
        <v>Excluded — Project/Other</v>
      </c>
      <c r="P293" s="1" t="str">
        <f aca="false">IF($C293="","",$C293&amp;"|"&amp;$E293&amp;"|"&amp;$M293&amp;"|"&amp;TEXT($G293,"yyyy-mm-dd")&amp;"|"&amp;LEFT($J293,40))</f>
        <v>5250|43834|109|2026-05-21|Bolt from home to airport</v>
      </c>
      <c r="Q293" s="11" t="str">
        <f aca="false">IF(P293="","",IF(COUNTIF($P$2:$P$3000,P293)&gt;1,"DUPLICATE","OK"))</f>
        <v>OK</v>
      </c>
      <c r="R293" s="0" t="str">
        <f aca="false">IF($C293="","",IFERROR(VLOOKUP(--$C293,MM_Income!$Z$5:$AC$204,3,FALSE()),""))</f>
        <v>Non-Recoverable</v>
      </c>
    </row>
    <row r="294" customFormat="false" ht="14.9" hidden="false" customHeight="false" outlineLevel="0" collapsed="false">
      <c r="A294" s="1" t="s">
        <v>49</v>
      </c>
      <c r="B294" s="1" t="s">
        <v>89</v>
      </c>
      <c r="C294" s="1" t="n">
        <v>5250</v>
      </c>
      <c r="D294" s="1" t="s">
        <v>685</v>
      </c>
      <c r="E294" s="1" t="n">
        <v>43835</v>
      </c>
      <c r="F294" s="1" t="s">
        <v>869</v>
      </c>
      <c r="G294" s="140" t="n">
        <v>46144</v>
      </c>
      <c r="H294" s="1" t="n">
        <v>1260</v>
      </c>
      <c r="I294" s="1" t="s">
        <v>1099</v>
      </c>
      <c r="J294" s="1" t="s">
        <v>1100</v>
      </c>
      <c r="K294" s="1" t="n">
        <v>127</v>
      </c>
      <c r="M294" s="125" t="n">
        <f aca="false">Nominal_Activity[[#This Row],[Debit]]-Nominal_Activity[[#This Row],[Credit]]</f>
        <v>127</v>
      </c>
      <c r="N294" s="1" t="str">
        <f aca="false">IF(C294="","",IFERROR(VLOOKUP(C294,Master_Mappings!$A$4:$E$85,3,FALSE()),"UNMAPPED"))</f>
        <v>Excluded — Project/Other</v>
      </c>
      <c r="P294" s="1" t="str">
        <f aca="false">IF($C294="","",$C294&amp;"|"&amp;$E294&amp;"|"&amp;$M294&amp;"|"&amp;TEXT($G294,"yyyy-mm-dd")&amp;"|"&amp;LEFT($J294,40))</f>
        <v>5250|43835|127|2026-05-02|Bolt from airport to home_RENL Ago-Iwoye</v>
      </c>
      <c r="Q294" s="11" t="str">
        <f aca="false">IF(P294="","",IF(COUNTIF($P$2:$P$3000,P294)&gt;1,"DUPLICATE","OK"))</f>
        <v>OK</v>
      </c>
      <c r="R294" s="0" t="str">
        <f aca="false">IF($C294="","",IFERROR(VLOOKUP(--$C294,MM_Income!$Z$5:$AC$204,3,FALSE()),""))</f>
        <v>Non-Recoverable</v>
      </c>
    </row>
    <row r="295" customFormat="false" ht="14.9" hidden="false" customHeight="false" outlineLevel="0" collapsed="false">
      <c r="A295" s="1" t="s">
        <v>49</v>
      </c>
      <c r="B295" s="1" t="s">
        <v>89</v>
      </c>
      <c r="C295" s="1" t="n">
        <v>5250</v>
      </c>
      <c r="D295" s="1" t="s">
        <v>685</v>
      </c>
      <c r="E295" s="1" t="n">
        <v>43836</v>
      </c>
      <c r="F295" s="1" t="s">
        <v>869</v>
      </c>
      <c r="G295" s="140" t="n">
        <v>46173</v>
      </c>
      <c r="H295" s="1" t="n">
        <v>1260</v>
      </c>
      <c r="I295" s="1" t="s">
        <v>1101</v>
      </c>
      <c r="J295" s="1" t="s">
        <v>1102</v>
      </c>
      <c r="K295" s="1" t="n">
        <v>203</v>
      </c>
      <c r="M295" s="125" t="n">
        <f aca="false">Nominal_Activity[[#This Row],[Debit]]-Nominal_Activity[[#This Row],[Credit]]</f>
        <v>203</v>
      </c>
      <c r="N295" s="1" t="str">
        <f aca="false">IF(C295="","",IFERROR(VLOOKUP(C295,Master_Mappings!$A$4:$E$85,3,FALSE()),"UNMAPPED"))</f>
        <v>Excluded — Project/Other</v>
      </c>
      <c r="P295" s="1" t="str">
        <f aca="false">IF($C295="","",$C295&amp;"|"&amp;$E295&amp;"|"&amp;$M295&amp;"|"&amp;TEXT($G295,"yyyy-mm-dd")&amp;"|"&amp;LEFT($J295,40))</f>
        <v>5250|43836|203|2026-05-31|Airport Taxi home for 2</v>
      </c>
      <c r="Q295" s="11" t="str">
        <f aca="false">IF(P295="","",IF(COUNTIF($P$2:$P$3000,P295)&gt;1,"DUPLICATE","OK"))</f>
        <v>OK</v>
      </c>
      <c r="R295" s="0" t="str">
        <f aca="false">IF($C295="","",IFERROR(VLOOKUP(--$C295,MM_Income!$Z$5:$AC$204,3,FALSE()),""))</f>
        <v>Non-Recoverable</v>
      </c>
    </row>
    <row r="296" customFormat="false" ht="14.9" hidden="false" customHeight="false" outlineLevel="0" collapsed="false">
      <c r="A296" s="1" t="s">
        <v>49</v>
      </c>
      <c r="B296" s="1" t="s">
        <v>89</v>
      </c>
      <c r="C296" s="1" t="n">
        <v>5250</v>
      </c>
      <c r="D296" s="1" t="s">
        <v>685</v>
      </c>
      <c r="E296" s="1" t="n">
        <v>43838</v>
      </c>
      <c r="F296" s="1" t="s">
        <v>869</v>
      </c>
      <c r="G296" s="140" t="n">
        <v>46170</v>
      </c>
      <c r="H296" s="1" t="n">
        <v>1260</v>
      </c>
      <c r="I296" s="1" t="s">
        <v>1101</v>
      </c>
      <c r="J296" s="1" t="s">
        <v>1104</v>
      </c>
      <c r="K296" s="1" t="n">
        <v>134.59</v>
      </c>
      <c r="M296" s="125" t="n">
        <f aca="false">Nominal_Activity[[#This Row],[Debit]]-Nominal_Activity[[#This Row],[Credit]]</f>
        <v>134.59</v>
      </c>
      <c r="N296" s="1" t="str">
        <f aca="false">IF(C296="","",IFERROR(VLOOKUP(C296,Master_Mappings!$A$4:$E$85,3,FALSE()),"UNMAPPED"))</f>
        <v>Excluded — Project/Other</v>
      </c>
      <c r="P296" s="1" t="str">
        <f aca="false">IF($C296="","",$C296&amp;"|"&amp;$E296&amp;"|"&amp;$M296&amp;"|"&amp;TEXT($G296,"yyyy-mm-dd")&amp;"|"&amp;LEFT($J296,40))</f>
        <v>5250|43838|134.59|2026-05-28|Snacks &amp; Fruits</v>
      </c>
      <c r="Q296" s="11" t="str">
        <f aca="false">IF(P296="","",IF(COUNTIF($P$2:$P$3000,P296)&gt;1,"DUPLICATE","OK"))</f>
        <v>OK</v>
      </c>
      <c r="R296" s="0" t="str">
        <f aca="false">IF($C296="","",IFERROR(VLOOKUP(--$C296,MM_Income!$Z$5:$AC$204,3,FALSE()),""))</f>
        <v>Non-Recoverable</v>
      </c>
    </row>
    <row r="297" customFormat="false" ht="14.9" hidden="false" customHeight="false" outlineLevel="0" collapsed="false">
      <c r="A297" s="1" t="s">
        <v>49</v>
      </c>
      <c r="B297" s="1" t="s">
        <v>89</v>
      </c>
      <c r="C297" s="1" t="n">
        <v>5250</v>
      </c>
      <c r="D297" s="1" t="s">
        <v>685</v>
      </c>
      <c r="E297" s="1" t="n">
        <v>43839</v>
      </c>
      <c r="F297" s="1" t="s">
        <v>869</v>
      </c>
      <c r="G297" s="140" t="n">
        <v>46169</v>
      </c>
      <c r="H297" s="1" t="n">
        <v>1260</v>
      </c>
      <c r="I297" s="1" t="s">
        <v>1101</v>
      </c>
      <c r="J297" s="1" t="s">
        <v>1104</v>
      </c>
      <c r="K297" s="1" t="n">
        <v>286.96</v>
      </c>
      <c r="M297" s="125" t="n">
        <f aca="false">Nominal_Activity[[#This Row],[Debit]]-Nominal_Activity[[#This Row],[Credit]]</f>
        <v>286.96</v>
      </c>
      <c r="N297" s="1" t="str">
        <f aca="false">IF(C297="","",IFERROR(VLOOKUP(C297,Master_Mappings!$A$4:$E$85,3,FALSE()),"UNMAPPED"))</f>
        <v>Excluded — Project/Other</v>
      </c>
      <c r="P297" s="1" t="str">
        <f aca="false">IF($C297="","",$C297&amp;"|"&amp;$E297&amp;"|"&amp;$M297&amp;"|"&amp;TEXT($G297,"yyyy-mm-dd")&amp;"|"&amp;LEFT($J297,40))</f>
        <v>5250|43839|286.96|2026-05-27|Snacks &amp; Fruits</v>
      </c>
      <c r="Q297" s="11" t="str">
        <f aca="false">IF(P297="","",IF(COUNTIF($P$2:$P$3000,P297)&gt;1,"DUPLICATE","OK"))</f>
        <v>OK</v>
      </c>
      <c r="R297" s="0" t="str">
        <f aca="false">IF($C297="","",IFERROR(VLOOKUP(--$C297,MM_Income!$Z$5:$AC$204,3,FALSE()),""))</f>
        <v>Non-Recoverable</v>
      </c>
    </row>
    <row r="298" customFormat="false" ht="14.9" hidden="false" customHeight="false" outlineLevel="0" collapsed="false">
      <c r="A298" s="1" t="s">
        <v>49</v>
      </c>
      <c r="B298" s="1" t="s">
        <v>89</v>
      </c>
      <c r="C298" s="1" t="n">
        <v>5250</v>
      </c>
      <c r="D298" s="1" t="s">
        <v>685</v>
      </c>
      <c r="E298" s="1" t="n">
        <v>43841</v>
      </c>
      <c r="F298" s="1" t="s">
        <v>869</v>
      </c>
      <c r="G298" s="140" t="n">
        <v>46164</v>
      </c>
      <c r="H298" s="1" t="n">
        <v>1260</v>
      </c>
      <c r="I298" s="1" t="s">
        <v>1101</v>
      </c>
      <c r="J298" s="1" t="s">
        <v>1104</v>
      </c>
      <c r="K298" s="1" t="n">
        <v>308.96</v>
      </c>
      <c r="M298" s="125" t="n">
        <f aca="false">Nominal_Activity[[#This Row],[Debit]]-Nominal_Activity[[#This Row],[Credit]]</f>
        <v>308.96</v>
      </c>
      <c r="N298" s="1" t="str">
        <f aca="false">IF(C298="","",IFERROR(VLOOKUP(C298,Master_Mappings!$A$4:$E$85,3,FALSE()),"UNMAPPED"))</f>
        <v>Excluded — Project/Other</v>
      </c>
      <c r="P298" s="1" t="str">
        <f aca="false">IF($C298="","",$C298&amp;"|"&amp;$E298&amp;"|"&amp;$M298&amp;"|"&amp;TEXT($G298,"yyyy-mm-dd")&amp;"|"&amp;LEFT($J298,40))</f>
        <v>5250|43841|308.96|2026-05-22|Snacks &amp; Fruits</v>
      </c>
      <c r="Q298" s="11" t="str">
        <f aca="false">IF(P298="","",IF(COUNTIF($P$2:$P$3000,P298)&gt;1,"DUPLICATE","OK"))</f>
        <v>OK</v>
      </c>
      <c r="R298" s="0" t="str">
        <f aca="false">IF($C298="","",IFERROR(VLOOKUP(--$C298,MM_Income!$Z$5:$AC$204,3,FALSE()),""))</f>
        <v>Non-Recoverable</v>
      </c>
    </row>
    <row r="299" customFormat="false" ht="14.9" hidden="false" customHeight="false" outlineLevel="0" collapsed="false">
      <c r="A299" s="1" t="s">
        <v>49</v>
      </c>
      <c r="B299" s="1" t="s">
        <v>89</v>
      </c>
      <c r="C299" s="1" t="n">
        <v>5250</v>
      </c>
      <c r="D299" s="1" t="s">
        <v>685</v>
      </c>
      <c r="E299" s="1" t="n">
        <v>43877</v>
      </c>
      <c r="F299" s="1" t="s">
        <v>847</v>
      </c>
      <c r="G299" s="140" t="n">
        <v>46177</v>
      </c>
      <c r="H299" s="1" t="s">
        <v>966</v>
      </c>
      <c r="I299" s="1" t="s">
        <v>1107</v>
      </c>
      <c r="J299" s="1" t="s">
        <v>1108</v>
      </c>
      <c r="K299" s="1" t="n">
        <v>47240.74</v>
      </c>
      <c r="M299" s="125" t="n">
        <f aca="false">Nominal_Activity[[#This Row],[Debit]]-Nominal_Activity[[#This Row],[Credit]]</f>
        <v>47240.74</v>
      </c>
      <c r="N299" s="1" t="str">
        <f aca="false">IF(C299="","",IFERROR(VLOOKUP(C299,Master_Mappings!$A$4:$E$85,3,FALSE()),"UNMAPPED"))</f>
        <v>Excluded — Project/Other</v>
      </c>
      <c r="P299" s="1" t="str">
        <f aca="false">IF($C299="","",$C299&amp;"|"&amp;$E299&amp;"|"&amp;$M299&amp;"|"&amp;TEXT($G299,"yyyy-mm-dd")&amp;"|"&amp;LEFT($J299,40))</f>
        <v>5250|43877|47240.74|2026-06-04|Resubmission of HCV HCSA Report for Sucr</v>
      </c>
      <c r="Q299" s="11" t="str">
        <f aca="false">IF(P299="","",IF(COUNTIF($P$2:$P$3000,P299)&gt;1,"DUPLICATE","OK"))</f>
        <v>OK</v>
      </c>
      <c r="R299" s="0" t="str">
        <f aca="false">IF($C299="","",IFERROR(VLOOKUP(--$C299,MM_Income!$Z$5:$AC$204,3,FALSE()),""))</f>
        <v>Non-Recoverable</v>
      </c>
    </row>
    <row r="300" customFormat="false" ht="14.9" hidden="false" customHeight="false" outlineLevel="0" collapsed="false">
      <c r="A300" s="1" t="s">
        <v>49</v>
      </c>
      <c r="B300" s="1" t="s">
        <v>85</v>
      </c>
      <c r="C300" s="1" t="n">
        <v>6000</v>
      </c>
      <c r="D300" s="1" t="s">
        <v>687</v>
      </c>
      <c r="E300" s="1" t="n">
        <v>43088</v>
      </c>
      <c r="F300" s="1" t="s">
        <v>1237</v>
      </c>
      <c r="G300" s="140" t="n">
        <v>46045</v>
      </c>
      <c r="H300" s="1" t="n">
        <v>6000</v>
      </c>
      <c r="I300" s="1" t="s">
        <v>1238</v>
      </c>
      <c r="J300" s="1" t="s">
        <v>1239</v>
      </c>
      <c r="K300" s="1" t="n">
        <v>439600.03</v>
      </c>
      <c r="M300" s="125" t="n">
        <f aca="false">Nominal_Activity[[#This Row],[Debit]]-Nominal_Activity[[#This Row],[Credit]]</f>
        <v>439600.03</v>
      </c>
      <c r="N300" s="1" t="str">
        <f aca="false">IF(C300="","",IFERROR(VLOOKUP(C300,Master_Mappings!$A$4:$E$85,3,FALSE()),"UNMAPPED"))</f>
        <v>Direct technical costs</v>
      </c>
      <c r="P300" s="1" t="str">
        <f aca="false">IF($C300="","",$C300&amp;"|"&amp;$E300&amp;"|"&amp;$M300&amp;"|"&amp;TEXT($G300,"yyyy-mm-dd")&amp;"|"&amp;LEFT($J300,40))</f>
        <v>6000|43088|439600.03|2026-01-23|Jan-26 Salaries</v>
      </c>
      <c r="Q300" s="11" t="str">
        <f aca="false">IF(P300="","",IF(COUNTIF($P$2:$P$3000,P300)&gt;1,"DUPLICATE","OK"))</f>
        <v>OK</v>
      </c>
      <c r="R300" s="0" t="str">
        <f aca="false">IF($C300="","",IFERROR(VLOOKUP(--$C300,MM_Income!$Z$5:$AC$204,3,FALSE()),""))</f>
        <v/>
      </c>
    </row>
    <row r="301" customFormat="false" ht="14.9" hidden="false" customHeight="false" outlineLevel="0" collapsed="false">
      <c r="A301" s="1" t="s">
        <v>49</v>
      </c>
      <c r="B301" s="1" t="s">
        <v>85</v>
      </c>
      <c r="C301" s="1" t="n">
        <v>6000</v>
      </c>
      <c r="D301" s="1" t="s">
        <v>687</v>
      </c>
      <c r="E301" s="1" t="n">
        <v>43131</v>
      </c>
      <c r="F301" s="1" t="s">
        <v>1237</v>
      </c>
      <c r="G301" s="140" t="n">
        <v>46076</v>
      </c>
      <c r="H301" s="1" t="n">
        <v>6000</v>
      </c>
      <c r="I301" s="1" t="s">
        <v>1240</v>
      </c>
      <c r="J301" s="1" t="s">
        <v>1241</v>
      </c>
      <c r="K301" s="1" t="n">
        <v>439600.03</v>
      </c>
      <c r="M301" s="125" t="n">
        <f aca="false">Nominal_Activity[[#This Row],[Debit]]-Nominal_Activity[[#This Row],[Credit]]</f>
        <v>439600.03</v>
      </c>
      <c r="N301" s="1" t="str">
        <f aca="false">IF(C301="","",IFERROR(VLOOKUP(C301,Master_Mappings!$A$4:$E$85,3,FALSE()),"UNMAPPED"))</f>
        <v>Direct technical costs</v>
      </c>
      <c r="P301" s="1" t="str">
        <f aca="false">IF($C301="","",$C301&amp;"|"&amp;$E301&amp;"|"&amp;$M301&amp;"|"&amp;TEXT($G301,"yyyy-mm-dd")&amp;"|"&amp;LEFT($J301,40))</f>
        <v>6000|43131|439600.03|2026-02-23|Feb-26 Salaries</v>
      </c>
      <c r="Q301" s="11" t="str">
        <f aca="false">IF(P301="","",IF(COUNTIF($P$2:$P$3000,P301)&gt;1,"DUPLICATE","OK"))</f>
        <v>OK</v>
      </c>
      <c r="R301" s="0" t="str">
        <f aca="false">IF($C301="","",IFERROR(VLOOKUP(--$C301,MM_Income!$Z$5:$AC$204,3,FALSE()),""))</f>
        <v/>
      </c>
    </row>
    <row r="302" customFormat="false" ht="14.9" hidden="false" customHeight="false" outlineLevel="0" collapsed="false">
      <c r="A302" s="1" t="s">
        <v>49</v>
      </c>
      <c r="B302" s="1" t="s">
        <v>85</v>
      </c>
      <c r="C302" s="1" t="n">
        <v>6000</v>
      </c>
      <c r="D302" s="1" t="s">
        <v>687</v>
      </c>
      <c r="E302" s="1" t="n">
        <v>43226</v>
      </c>
      <c r="F302" s="1" t="s">
        <v>1237</v>
      </c>
      <c r="G302" s="140" t="n">
        <v>46104</v>
      </c>
      <c r="H302" s="1" t="n">
        <v>6000</v>
      </c>
      <c r="I302" s="1" t="s">
        <v>1242</v>
      </c>
      <c r="J302" s="1" t="s">
        <v>1243</v>
      </c>
      <c r="K302" s="1" t="n">
        <v>439600.03</v>
      </c>
      <c r="M302" s="125" t="n">
        <f aca="false">Nominal_Activity[[#This Row],[Debit]]-Nominal_Activity[[#This Row],[Credit]]</f>
        <v>439600.03</v>
      </c>
      <c r="N302" s="1" t="str">
        <f aca="false">IF(C302="","",IFERROR(VLOOKUP(C302,Master_Mappings!$A$4:$E$85,3,FALSE()),"UNMAPPED"))</f>
        <v>Direct technical costs</v>
      </c>
      <c r="P302" s="1" t="str">
        <f aca="false">IF($C302="","",$C302&amp;"|"&amp;$E302&amp;"|"&amp;$M302&amp;"|"&amp;TEXT($G302,"yyyy-mm-dd")&amp;"|"&amp;LEFT($J302,40))</f>
        <v>6000|43226|439600.03|2026-03-23|Mar-26 Salaries</v>
      </c>
      <c r="Q302" s="11" t="str">
        <f aca="false">IF(P302="","",IF(COUNTIF($P$2:$P$3000,P302)&gt;1,"DUPLICATE","OK"))</f>
        <v>OK</v>
      </c>
      <c r="R302" s="0" t="str">
        <f aca="false">IF($C302="","",IFERROR(VLOOKUP(--$C302,MM_Income!$Z$5:$AC$204,3,FALSE()),""))</f>
        <v/>
      </c>
    </row>
    <row r="303" customFormat="false" ht="14.9" hidden="false" customHeight="false" outlineLevel="0" collapsed="false">
      <c r="A303" s="1" t="s">
        <v>49</v>
      </c>
      <c r="B303" s="1" t="s">
        <v>89</v>
      </c>
      <c r="C303" s="1" t="n">
        <v>6000</v>
      </c>
      <c r="D303" s="1" t="s">
        <v>687</v>
      </c>
      <c r="E303" s="1" t="n">
        <v>44270</v>
      </c>
      <c r="F303" s="1" t="s">
        <v>1237</v>
      </c>
      <c r="G303" s="140" t="n">
        <v>46135</v>
      </c>
      <c r="H303" s="1" t="n">
        <v>6000</v>
      </c>
      <c r="I303" s="1" t="s">
        <v>1244</v>
      </c>
      <c r="J303" s="1" t="s">
        <v>1245</v>
      </c>
      <c r="K303" s="1" t="n">
        <v>448369.33</v>
      </c>
      <c r="M303" s="125" t="n">
        <f aca="false">Nominal_Activity[[#This Row],[Debit]]-Nominal_Activity[[#This Row],[Credit]]</f>
        <v>448369.33</v>
      </c>
      <c r="N303" s="1" t="str">
        <f aca="false">IF(C303="","",IFERROR(VLOOKUP(C303,Master_Mappings!$A$4:$E$85,3,FALSE()),"UNMAPPED"))</f>
        <v>Direct technical costs</v>
      </c>
      <c r="P303" s="1" t="str">
        <f aca="false">IF($C303="","",$C303&amp;"|"&amp;$E303&amp;"|"&amp;$M303&amp;"|"&amp;TEXT($G303,"yyyy-mm-dd")&amp;"|"&amp;LEFT($J303,40))</f>
        <v>6000|44270|448369.33|2026-04-23|April-26 Salaries</v>
      </c>
      <c r="Q303" s="11" t="str">
        <f aca="false">IF(P303="","",IF(COUNTIF($P$2:$P$3000,P303)&gt;1,"DUPLICATE","OK"))</f>
        <v>OK</v>
      </c>
      <c r="R303" s="0" t="str">
        <f aca="false">IF($C303="","",IFERROR(VLOOKUP(--$C303,MM_Income!$Z$5:$AC$204,3,FALSE()),""))</f>
        <v/>
      </c>
    </row>
    <row r="304" customFormat="false" ht="14.9" hidden="false" customHeight="false" outlineLevel="0" collapsed="false">
      <c r="A304" s="1" t="s">
        <v>49</v>
      </c>
      <c r="B304" s="1" t="s">
        <v>89</v>
      </c>
      <c r="C304" s="1" t="n">
        <v>6000</v>
      </c>
      <c r="D304" s="1" t="s">
        <v>687</v>
      </c>
      <c r="E304" s="1" t="n">
        <v>44291</v>
      </c>
      <c r="F304" s="1" t="s">
        <v>1237</v>
      </c>
      <c r="G304" s="140" t="n">
        <v>46165</v>
      </c>
      <c r="H304" s="1" t="n">
        <v>6000</v>
      </c>
      <c r="I304" s="1" t="s">
        <v>1246</v>
      </c>
      <c r="J304" s="1" t="s">
        <v>1247</v>
      </c>
      <c r="K304" s="1" t="n">
        <v>458600.03</v>
      </c>
      <c r="M304" s="125" t="n">
        <f aca="false">Nominal_Activity[[#This Row],[Debit]]-Nominal_Activity[[#This Row],[Credit]]</f>
        <v>458600.03</v>
      </c>
      <c r="N304" s="1" t="str">
        <f aca="false">IF(C304="","",IFERROR(VLOOKUP(C304,Master_Mappings!$A$4:$E$85,3,FALSE()),"UNMAPPED"))</f>
        <v>Direct technical costs</v>
      </c>
      <c r="P304" s="1" t="str">
        <f aca="false">IF($C304="","",$C304&amp;"|"&amp;$E304&amp;"|"&amp;$M304&amp;"|"&amp;TEXT($G304,"yyyy-mm-dd")&amp;"|"&amp;LEFT($J304,40))</f>
        <v>6000|44291|458600.03|2026-05-23|May-26 Salaries</v>
      </c>
      <c r="Q304" s="11" t="str">
        <f aca="false">IF(P304="","",IF(COUNTIF($P$2:$P$3000,P304)&gt;1,"DUPLICATE","OK"))</f>
        <v>OK</v>
      </c>
      <c r="R304" s="0" t="str">
        <f aca="false">IF($C304="","",IFERROR(VLOOKUP(--$C304,MM_Income!$Z$5:$AC$204,3,FALSE()),""))</f>
        <v/>
      </c>
    </row>
    <row r="305" customFormat="false" ht="14.9" hidden="false" customHeight="false" outlineLevel="0" collapsed="false">
      <c r="A305" s="1" t="s">
        <v>49</v>
      </c>
      <c r="B305" s="1" t="s">
        <v>89</v>
      </c>
      <c r="C305" s="1" t="n">
        <v>6000</v>
      </c>
      <c r="D305" s="1" t="s">
        <v>687</v>
      </c>
      <c r="E305" s="1" t="n">
        <v>44309</v>
      </c>
      <c r="F305" s="1" t="s">
        <v>1237</v>
      </c>
      <c r="G305" s="140" t="n">
        <v>46196</v>
      </c>
      <c r="H305" s="1" t="n">
        <v>6000</v>
      </c>
      <c r="I305" s="1" t="s">
        <v>1248</v>
      </c>
      <c r="J305" s="1" t="s">
        <v>1249</v>
      </c>
      <c r="K305" s="1" t="n">
        <v>458600.03</v>
      </c>
      <c r="M305" s="125" t="n">
        <f aca="false">Nominal_Activity[[#This Row],[Debit]]-Nominal_Activity[[#This Row],[Credit]]</f>
        <v>458600.03</v>
      </c>
      <c r="N305" s="1" t="str">
        <f aca="false">IF(C305="","",IFERROR(VLOOKUP(C305,Master_Mappings!$A$4:$E$85,3,FALSE()),"UNMAPPED"))</f>
        <v>Direct technical costs</v>
      </c>
      <c r="P305" s="1" t="str">
        <f aca="false">IF($C305="","",$C305&amp;"|"&amp;$E305&amp;"|"&amp;$M305&amp;"|"&amp;TEXT($G305,"yyyy-mm-dd")&amp;"|"&amp;LEFT($J305,40))</f>
        <v>6000|44309|458600.03|2026-06-23|June-26 Salaries</v>
      </c>
      <c r="Q305" s="11" t="str">
        <f aca="false">IF(P305="","",IF(COUNTIF($P$2:$P$3000,P305)&gt;1,"DUPLICATE","OK"))</f>
        <v>OK</v>
      </c>
      <c r="R305" s="0" t="str">
        <f aca="false">IF($C305="","",IFERROR(VLOOKUP(--$C305,MM_Income!$Z$5:$AC$204,3,FALSE()),""))</f>
        <v/>
      </c>
    </row>
    <row r="306" customFormat="false" ht="14.9" hidden="false" customHeight="false" outlineLevel="0" collapsed="false">
      <c r="A306" s="1" t="s">
        <v>49</v>
      </c>
      <c r="B306" s="1" t="s">
        <v>85</v>
      </c>
      <c r="C306" s="1" t="n">
        <v>6010</v>
      </c>
      <c r="D306" s="1" t="s">
        <v>689</v>
      </c>
      <c r="E306" s="1" t="n">
        <v>43089</v>
      </c>
      <c r="F306" s="1" t="s">
        <v>1237</v>
      </c>
      <c r="G306" s="140" t="n">
        <v>46045</v>
      </c>
      <c r="H306" s="1" t="n">
        <v>6010</v>
      </c>
      <c r="I306" s="1" t="s">
        <v>1238</v>
      </c>
      <c r="J306" s="1" t="s">
        <v>1239</v>
      </c>
      <c r="K306" s="1" t="n">
        <v>57148</v>
      </c>
      <c r="M306" s="125" t="n">
        <f aca="false">Nominal_Activity[[#This Row],[Debit]]-Nominal_Activity[[#This Row],[Credit]]</f>
        <v>57148</v>
      </c>
      <c r="N306" s="1" t="str">
        <f aca="false">IF(C306="","",IFERROR(VLOOKUP(C306,Master_Mappings!$A$4:$E$85,3,FALSE()),"UNMAPPED"))</f>
        <v>Direct technical costs</v>
      </c>
      <c r="P306" s="1" t="str">
        <f aca="false">IF($C306="","",$C306&amp;"|"&amp;$E306&amp;"|"&amp;$M306&amp;"|"&amp;TEXT($G306,"yyyy-mm-dd")&amp;"|"&amp;LEFT($J306,40))</f>
        <v>6010|43089|57148|2026-01-23|Jan-26 Salaries</v>
      </c>
      <c r="Q306" s="11" t="str">
        <f aca="false">IF(P306="","",IF(COUNTIF($P$2:$P$3000,P306)&gt;1,"DUPLICATE","OK"))</f>
        <v>OK</v>
      </c>
      <c r="R306" s="0" t="str">
        <f aca="false">IF($C306="","",IFERROR(VLOOKUP(--$C306,MM_Income!$Z$5:$AC$204,3,FALSE()),""))</f>
        <v/>
      </c>
    </row>
    <row r="307" customFormat="false" ht="14.9" hidden="false" customHeight="false" outlineLevel="0" collapsed="false">
      <c r="A307" s="1" t="s">
        <v>49</v>
      </c>
      <c r="B307" s="1" t="s">
        <v>85</v>
      </c>
      <c r="C307" s="1" t="n">
        <v>6010</v>
      </c>
      <c r="D307" s="1" t="s">
        <v>689</v>
      </c>
      <c r="E307" s="1" t="n">
        <v>43132</v>
      </c>
      <c r="F307" s="1" t="s">
        <v>1237</v>
      </c>
      <c r="G307" s="140" t="n">
        <v>46076</v>
      </c>
      <c r="H307" s="1" t="n">
        <v>6010</v>
      </c>
      <c r="I307" s="1" t="s">
        <v>1240</v>
      </c>
      <c r="J307" s="1" t="s">
        <v>1241</v>
      </c>
      <c r="K307" s="1" t="n">
        <v>57148</v>
      </c>
      <c r="M307" s="125" t="n">
        <f aca="false">Nominal_Activity[[#This Row],[Debit]]-Nominal_Activity[[#This Row],[Credit]]</f>
        <v>57148</v>
      </c>
      <c r="N307" s="1" t="str">
        <f aca="false">IF(C307="","",IFERROR(VLOOKUP(C307,Master_Mappings!$A$4:$E$85,3,FALSE()),"UNMAPPED"))</f>
        <v>Direct technical costs</v>
      </c>
      <c r="P307" s="1" t="str">
        <f aca="false">IF($C307="","",$C307&amp;"|"&amp;$E307&amp;"|"&amp;$M307&amp;"|"&amp;TEXT($G307,"yyyy-mm-dd")&amp;"|"&amp;LEFT($J307,40))</f>
        <v>6010|43132|57148|2026-02-23|Feb-26 Salaries</v>
      </c>
      <c r="Q307" s="11" t="str">
        <f aca="false">IF(P307="","",IF(COUNTIF($P$2:$P$3000,P307)&gt;1,"DUPLICATE","OK"))</f>
        <v>OK</v>
      </c>
      <c r="R307" s="0" t="str">
        <f aca="false">IF($C307="","",IFERROR(VLOOKUP(--$C307,MM_Income!$Z$5:$AC$204,3,FALSE()),""))</f>
        <v/>
      </c>
    </row>
    <row r="308" customFormat="false" ht="14.9" hidden="false" customHeight="false" outlineLevel="0" collapsed="false">
      <c r="A308" s="1" t="s">
        <v>49</v>
      </c>
      <c r="B308" s="1" t="s">
        <v>85</v>
      </c>
      <c r="C308" s="1" t="n">
        <v>6010</v>
      </c>
      <c r="D308" s="1" t="s">
        <v>689</v>
      </c>
      <c r="E308" s="1" t="n">
        <v>43227</v>
      </c>
      <c r="F308" s="1" t="s">
        <v>1237</v>
      </c>
      <c r="G308" s="140" t="n">
        <v>46104</v>
      </c>
      <c r="H308" s="1" t="n">
        <v>6010</v>
      </c>
      <c r="I308" s="1" t="s">
        <v>1242</v>
      </c>
      <c r="J308" s="1" t="s">
        <v>1243</v>
      </c>
      <c r="K308" s="1" t="n">
        <v>57148</v>
      </c>
      <c r="M308" s="125" t="n">
        <f aca="false">Nominal_Activity[[#This Row],[Debit]]-Nominal_Activity[[#This Row],[Credit]]</f>
        <v>57148</v>
      </c>
      <c r="N308" s="1" t="str">
        <f aca="false">IF(C308="","",IFERROR(VLOOKUP(C308,Master_Mappings!$A$4:$E$85,3,FALSE()),"UNMAPPED"))</f>
        <v>Direct technical costs</v>
      </c>
      <c r="P308" s="1" t="str">
        <f aca="false">IF($C308="","",$C308&amp;"|"&amp;$E308&amp;"|"&amp;$M308&amp;"|"&amp;TEXT($G308,"yyyy-mm-dd")&amp;"|"&amp;LEFT($J308,40))</f>
        <v>6010|43227|57148|2026-03-23|Mar-26 Salaries</v>
      </c>
      <c r="Q308" s="11" t="str">
        <f aca="false">IF(P308="","",IF(COUNTIF($P$2:$P$3000,P308)&gt;1,"DUPLICATE","OK"))</f>
        <v>OK</v>
      </c>
      <c r="R308" s="0" t="str">
        <f aca="false">IF($C308="","",IFERROR(VLOOKUP(--$C308,MM_Income!$Z$5:$AC$204,3,FALSE()),""))</f>
        <v/>
      </c>
    </row>
    <row r="309" customFormat="false" ht="14.9" hidden="false" customHeight="false" outlineLevel="0" collapsed="false">
      <c r="A309" s="1" t="s">
        <v>49</v>
      </c>
      <c r="B309" s="1" t="s">
        <v>89</v>
      </c>
      <c r="C309" s="1" t="n">
        <v>6010</v>
      </c>
      <c r="D309" s="1" t="s">
        <v>689</v>
      </c>
      <c r="E309" s="1" t="n">
        <v>44271</v>
      </c>
      <c r="F309" s="1" t="s">
        <v>1237</v>
      </c>
      <c r="G309" s="140" t="n">
        <v>46135</v>
      </c>
      <c r="H309" s="1" t="n">
        <v>6010</v>
      </c>
      <c r="I309" s="1" t="s">
        <v>1244</v>
      </c>
      <c r="J309" s="1" t="s">
        <v>1245</v>
      </c>
      <c r="K309" s="1" t="n">
        <v>58288.01</v>
      </c>
      <c r="M309" s="125" t="n">
        <f aca="false">Nominal_Activity[[#This Row],[Debit]]-Nominal_Activity[[#This Row],[Credit]]</f>
        <v>58288.01</v>
      </c>
      <c r="N309" s="1" t="str">
        <f aca="false">IF(C309="","",IFERROR(VLOOKUP(C309,Master_Mappings!$A$4:$E$85,3,FALSE()),"UNMAPPED"))</f>
        <v>Direct technical costs</v>
      </c>
      <c r="P309" s="1" t="str">
        <f aca="false">IF($C309="","",$C309&amp;"|"&amp;$E309&amp;"|"&amp;$M309&amp;"|"&amp;TEXT($G309,"yyyy-mm-dd")&amp;"|"&amp;LEFT($J309,40))</f>
        <v>6010|44271|58288.01|2026-04-23|April-26 Salaries</v>
      </c>
      <c r="Q309" s="11" t="str">
        <f aca="false">IF(P309="","",IF(COUNTIF($P$2:$P$3000,P309)&gt;1,"DUPLICATE","OK"))</f>
        <v>OK</v>
      </c>
      <c r="R309" s="0" t="str">
        <f aca="false">IF($C309="","",IFERROR(VLOOKUP(--$C309,MM_Income!$Z$5:$AC$204,3,FALSE()),""))</f>
        <v/>
      </c>
    </row>
    <row r="310" customFormat="false" ht="14.9" hidden="false" customHeight="false" outlineLevel="0" collapsed="false">
      <c r="A310" s="1" t="s">
        <v>49</v>
      </c>
      <c r="B310" s="1" t="s">
        <v>89</v>
      </c>
      <c r="C310" s="1" t="n">
        <v>6010</v>
      </c>
      <c r="D310" s="1" t="s">
        <v>689</v>
      </c>
      <c r="E310" s="1" t="n">
        <v>44292</v>
      </c>
      <c r="F310" s="1" t="s">
        <v>1237</v>
      </c>
      <c r="G310" s="140" t="n">
        <v>46165</v>
      </c>
      <c r="H310" s="1" t="n">
        <v>6010</v>
      </c>
      <c r="I310" s="1" t="s">
        <v>1246</v>
      </c>
      <c r="J310" s="1" t="s">
        <v>1247</v>
      </c>
      <c r="K310" s="1" t="n">
        <v>59618</v>
      </c>
      <c r="M310" s="125" t="n">
        <f aca="false">Nominal_Activity[[#This Row],[Debit]]-Nominal_Activity[[#This Row],[Credit]]</f>
        <v>59618</v>
      </c>
      <c r="N310" s="1" t="str">
        <f aca="false">IF(C310="","",IFERROR(VLOOKUP(C310,Master_Mappings!$A$4:$E$85,3,FALSE()),"UNMAPPED"))</f>
        <v>Direct technical costs</v>
      </c>
      <c r="P310" s="1" t="str">
        <f aca="false">IF($C310="","",$C310&amp;"|"&amp;$E310&amp;"|"&amp;$M310&amp;"|"&amp;TEXT($G310,"yyyy-mm-dd")&amp;"|"&amp;LEFT($J310,40))</f>
        <v>6010|44292|59618|2026-05-23|May-26 Salaries</v>
      </c>
      <c r="Q310" s="11" t="str">
        <f aca="false">IF(P310="","",IF(COUNTIF($P$2:$P$3000,P310)&gt;1,"DUPLICATE","OK"))</f>
        <v>OK</v>
      </c>
      <c r="R310" s="0" t="str">
        <f aca="false">IF($C310="","",IFERROR(VLOOKUP(--$C310,MM_Income!$Z$5:$AC$204,3,FALSE()),""))</f>
        <v/>
      </c>
    </row>
    <row r="311" customFormat="false" ht="14.9" hidden="false" customHeight="false" outlineLevel="0" collapsed="false">
      <c r="A311" s="1" t="s">
        <v>49</v>
      </c>
      <c r="B311" s="1" t="s">
        <v>89</v>
      </c>
      <c r="C311" s="1" t="n">
        <v>6010</v>
      </c>
      <c r="D311" s="1" t="s">
        <v>689</v>
      </c>
      <c r="E311" s="1" t="n">
        <v>44310</v>
      </c>
      <c r="F311" s="1" t="s">
        <v>1237</v>
      </c>
      <c r="G311" s="140" t="n">
        <v>46196</v>
      </c>
      <c r="H311" s="1" t="n">
        <v>6010</v>
      </c>
      <c r="I311" s="1" t="s">
        <v>1248</v>
      </c>
      <c r="J311" s="1" t="s">
        <v>1249</v>
      </c>
      <c r="K311" s="1" t="n">
        <v>59618</v>
      </c>
      <c r="M311" s="125" t="n">
        <f aca="false">Nominal_Activity[[#This Row],[Debit]]-Nominal_Activity[[#This Row],[Credit]]</f>
        <v>59618</v>
      </c>
      <c r="N311" s="1" t="str">
        <f aca="false">IF(C311="","",IFERROR(VLOOKUP(C311,Master_Mappings!$A$4:$E$85,3,FALSE()),"UNMAPPED"))</f>
        <v>Direct technical costs</v>
      </c>
      <c r="P311" s="1" t="str">
        <f aca="false">IF($C311="","",$C311&amp;"|"&amp;$E311&amp;"|"&amp;$M311&amp;"|"&amp;TEXT($G311,"yyyy-mm-dd")&amp;"|"&amp;LEFT($J311,40))</f>
        <v>6010|44310|59618|2026-06-23|June-26 Salaries</v>
      </c>
      <c r="Q311" s="11" t="str">
        <f aca="false">IF(P311="","",IF(COUNTIF($P$2:$P$3000,P311)&gt;1,"DUPLICATE","OK"))</f>
        <v>OK</v>
      </c>
      <c r="R311" s="0" t="str">
        <f aca="false">IF($C311="","",IFERROR(VLOOKUP(--$C311,MM_Income!$Z$5:$AC$204,3,FALSE()),""))</f>
        <v/>
      </c>
    </row>
    <row r="312" customFormat="false" ht="14.9" hidden="false" customHeight="false" outlineLevel="0" collapsed="false">
      <c r="A312" s="1" t="s">
        <v>49</v>
      </c>
      <c r="B312" s="1" t="s">
        <v>85</v>
      </c>
      <c r="C312" s="1" t="n">
        <v>6020</v>
      </c>
      <c r="D312" s="1" t="s">
        <v>691</v>
      </c>
      <c r="E312" s="1" t="n">
        <v>43090</v>
      </c>
      <c r="F312" s="1" t="s">
        <v>1237</v>
      </c>
      <c r="G312" s="140" t="n">
        <v>46045</v>
      </c>
      <c r="H312" s="1" t="n">
        <v>6020</v>
      </c>
      <c r="I312" s="1" t="s">
        <v>1238</v>
      </c>
      <c r="J312" s="1" t="s">
        <v>1239</v>
      </c>
      <c r="K312" s="1" t="n">
        <v>13188</v>
      </c>
      <c r="M312" s="125" t="n">
        <f aca="false">Nominal_Activity[[#This Row],[Debit]]-Nominal_Activity[[#This Row],[Credit]]</f>
        <v>13188</v>
      </c>
      <c r="N312" s="1" t="str">
        <f aca="false">IF(C312="","",IFERROR(VLOOKUP(C312,Master_Mappings!$A$4:$E$85,3,FALSE()),"UNMAPPED"))</f>
        <v>Direct technical costs</v>
      </c>
      <c r="P312" s="1" t="str">
        <f aca="false">IF($C312="","",$C312&amp;"|"&amp;$E312&amp;"|"&amp;$M312&amp;"|"&amp;TEXT($G312,"yyyy-mm-dd")&amp;"|"&amp;LEFT($J312,40))</f>
        <v>6020|43090|13188|2026-01-23|Jan-26 Salaries</v>
      </c>
      <c r="Q312" s="11" t="str">
        <f aca="false">IF(P312="","",IF(COUNTIF($P$2:$P$3000,P312)&gt;1,"DUPLICATE","OK"))</f>
        <v>OK</v>
      </c>
      <c r="R312" s="0" t="str">
        <f aca="false">IF($C312="","",IFERROR(VLOOKUP(--$C312,MM_Income!$Z$5:$AC$204,3,FALSE()),""))</f>
        <v/>
      </c>
    </row>
    <row r="313" customFormat="false" ht="14.9" hidden="false" customHeight="false" outlineLevel="0" collapsed="false">
      <c r="A313" s="1" t="s">
        <v>49</v>
      </c>
      <c r="B313" s="1" t="s">
        <v>85</v>
      </c>
      <c r="C313" s="1" t="n">
        <v>6020</v>
      </c>
      <c r="D313" s="1" t="s">
        <v>691</v>
      </c>
      <c r="E313" s="1" t="n">
        <v>43133</v>
      </c>
      <c r="F313" s="1" t="s">
        <v>1237</v>
      </c>
      <c r="G313" s="140" t="n">
        <v>46076</v>
      </c>
      <c r="H313" s="1" t="n">
        <v>6020</v>
      </c>
      <c r="I313" s="1" t="s">
        <v>1240</v>
      </c>
      <c r="J313" s="1" t="s">
        <v>1241</v>
      </c>
      <c r="K313" s="1" t="n">
        <v>13188</v>
      </c>
      <c r="M313" s="125" t="n">
        <f aca="false">Nominal_Activity[[#This Row],[Debit]]-Nominal_Activity[[#This Row],[Credit]]</f>
        <v>13188</v>
      </c>
      <c r="N313" s="1" t="str">
        <f aca="false">IF(C313="","",IFERROR(VLOOKUP(C313,Master_Mappings!$A$4:$E$85,3,FALSE()),"UNMAPPED"))</f>
        <v>Direct technical costs</v>
      </c>
      <c r="P313" s="1" t="str">
        <f aca="false">IF($C313="","",$C313&amp;"|"&amp;$E313&amp;"|"&amp;$M313&amp;"|"&amp;TEXT($G313,"yyyy-mm-dd")&amp;"|"&amp;LEFT($J313,40))</f>
        <v>6020|43133|13188|2026-02-23|Feb-26 Salaries</v>
      </c>
      <c r="Q313" s="11" t="str">
        <f aca="false">IF(P313="","",IF(COUNTIF($P$2:$P$3000,P313)&gt;1,"DUPLICATE","OK"))</f>
        <v>OK</v>
      </c>
      <c r="R313" s="0" t="str">
        <f aca="false">IF($C313="","",IFERROR(VLOOKUP(--$C313,MM_Income!$Z$5:$AC$204,3,FALSE()),""))</f>
        <v/>
      </c>
    </row>
    <row r="314" customFormat="false" ht="14.9" hidden="false" customHeight="false" outlineLevel="0" collapsed="false">
      <c r="A314" s="1" t="s">
        <v>49</v>
      </c>
      <c r="B314" s="1" t="s">
        <v>85</v>
      </c>
      <c r="C314" s="1" t="n">
        <v>6020</v>
      </c>
      <c r="D314" s="1" t="s">
        <v>691</v>
      </c>
      <c r="E314" s="1" t="n">
        <v>43228</v>
      </c>
      <c r="F314" s="1" t="s">
        <v>1237</v>
      </c>
      <c r="G314" s="140" t="n">
        <v>46104</v>
      </c>
      <c r="H314" s="1" t="n">
        <v>6020</v>
      </c>
      <c r="I314" s="1" t="s">
        <v>1242</v>
      </c>
      <c r="J314" s="1" t="s">
        <v>1243</v>
      </c>
      <c r="K314" s="1" t="n">
        <v>13188</v>
      </c>
      <c r="M314" s="125" t="n">
        <f aca="false">Nominal_Activity[[#This Row],[Debit]]-Nominal_Activity[[#This Row],[Credit]]</f>
        <v>13188</v>
      </c>
      <c r="N314" s="1" t="str">
        <f aca="false">IF(C314="","",IFERROR(VLOOKUP(C314,Master_Mappings!$A$4:$E$85,3,FALSE()),"UNMAPPED"))</f>
        <v>Direct technical costs</v>
      </c>
      <c r="P314" s="1" t="str">
        <f aca="false">IF($C314="","",$C314&amp;"|"&amp;$E314&amp;"|"&amp;$M314&amp;"|"&amp;TEXT($G314,"yyyy-mm-dd")&amp;"|"&amp;LEFT($J314,40))</f>
        <v>6020|43228|13188|2026-03-23|Mar-26 Salaries</v>
      </c>
      <c r="Q314" s="11" t="str">
        <f aca="false">IF(P314="","",IF(COUNTIF($P$2:$P$3000,P314)&gt;1,"DUPLICATE","OK"))</f>
        <v>OK</v>
      </c>
      <c r="R314" s="0" t="str">
        <f aca="false">IF($C314="","",IFERROR(VLOOKUP(--$C314,MM_Income!$Z$5:$AC$204,3,FALSE()),""))</f>
        <v/>
      </c>
    </row>
    <row r="315" customFormat="false" ht="14.9" hidden="false" customHeight="false" outlineLevel="0" collapsed="false">
      <c r="A315" s="1" t="s">
        <v>49</v>
      </c>
      <c r="B315" s="1" t="s">
        <v>89</v>
      </c>
      <c r="C315" s="1" t="n">
        <v>6020</v>
      </c>
      <c r="D315" s="1" t="s">
        <v>691</v>
      </c>
      <c r="E315" s="1" t="n">
        <v>44272</v>
      </c>
      <c r="F315" s="1" t="s">
        <v>1237</v>
      </c>
      <c r="G315" s="140" t="n">
        <v>46135</v>
      </c>
      <c r="H315" s="1" t="n">
        <v>6020</v>
      </c>
      <c r="I315" s="1" t="s">
        <v>1244</v>
      </c>
      <c r="J315" s="1" t="s">
        <v>1245</v>
      </c>
      <c r="K315" s="1" t="n">
        <v>13451.08</v>
      </c>
      <c r="M315" s="125" t="n">
        <f aca="false">Nominal_Activity[[#This Row],[Debit]]-Nominal_Activity[[#This Row],[Credit]]</f>
        <v>13451.08</v>
      </c>
      <c r="N315" s="1" t="str">
        <f aca="false">IF(C315="","",IFERROR(VLOOKUP(C315,Master_Mappings!$A$4:$E$85,3,FALSE()),"UNMAPPED"))</f>
        <v>Direct technical costs</v>
      </c>
      <c r="P315" s="1" t="str">
        <f aca="false">IF($C315="","",$C315&amp;"|"&amp;$E315&amp;"|"&amp;$M315&amp;"|"&amp;TEXT($G315,"yyyy-mm-dd")&amp;"|"&amp;LEFT($J315,40))</f>
        <v>6020|44272|13451.08|2026-04-23|April-26 Salaries</v>
      </c>
      <c r="Q315" s="11" t="str">
        <f aca="false">IF(P315="","",IF(COUNTIF($P$2:$P$3000,P315)&gt;1,"DUPLICATE","OK"))</f>
        <v>OK</v>
      </c>
      <c r="R315" s="0" t="str">
        <f aca="false">IF($C315="","",IFERROR(VLOOKUP(--$C315,MM_Income!$Z$5:$AC$204,3,FALSE()),""))</f>
        <v/>
      </c>
    </row>
    <row r="316" customFormat="false" ht="14.9" hidden="false" customHeight="false" outlineLevel="0" collapsed="false">
      <c r="A316" s="1" t="s">
        <v>49</v>
      </c>
      <c r="B316" s="1" t="s">
        <v>89</v>
      </c>
      <c r="C316" s="1" t="n">
        <v>6020</v>
      </c>
      <c r="D316" s="1" t="s">
        <v>691</v>
      </c>
      <c r="E316" s="1" t="n">
        <v>44293</v>
      </c>
      <c r="F316" s="1" t="s">
        <v>1237</v>
      </c>
      <c r="G316" s="140" t="n">
        <v>46165</v>
      </c>
      <c r="H316" s="1" t="n">
        <v>6020</v>
      </c>
      <c r="I316" s="1" t="s">
        <v>1246</v>
      </c>
      <c r="J316" s="1" t="s">
        <v>1247</v>
      </c>
      <c r="K316" s="1" t="n">
        <v>13758</v>
      </c>
      <c r="M316" s="125" t="n">
        <f aca="false">Nominal_Activity[[#This Row],[Debit]]-Nominal_Activity[[#This Row],[Credit]]</f>
        <v>13758</v>
      </c>
      <c r="N316" s="1" t="str">
        <f aca="false">IF(C316="","",IFERROR(VLOOKUP(C316,Master_Mappings!$A$4:$E$85,3,FALSE()),"UNMAPPED"))</f>
        <v>Direct technical costs</v>
      </c>
      <c r="P316" s="1" t="str">
        <f aca="false">IF($C316="","",$C316&amp;"|"&amp;$E316&amp;"|"&amp;$M316&amp;"|"&amp;TEXT($G316,"yyyy-mm-dd")&amp;"|"&amp;LEFT($J316,40))</f>
        <v>6020|44293|13758|2026-05-23|May-26 Salaries</v>
      </c>
      <c r="Q316" s="11" t="str">
        <f aca="false">IF(P316="","",IF(COUNTIF($P$2:$P$3000,P316)&gt;1,"DUPLICATE","OK"))</f>
        <v>OK</v>
      </c>
      <c r="R316" s="0" t="str">
        <f aca="false">IF($C316="","",IFERROR(VLOOKUP(--$C316,MM_Income!$Z$5:$AC$204,3,FALSE()),""))</f>
        <v/>
      </c>
    </row>
    <row r="317" customFormat="false" ht="14.9" hidden="false" customHeight="false" outlineLevel="0" collapsed="false">
      <c r="A317" s="1" t="s">
        <v>49</v>
      </c>
      <c r="B317" s="1" t="s">
        <v>89</v>
      </c>
      <c r="C317" s="1" t="n">
        <v>6020</v>
      </c>
      <c r="D317" s="1" t="s">
        <v>691</v>
      </c>
      <c r="E317" s="1" t="n">
        <v>44311</v>
      </c>
      <c r="F317" s="1" t="s">
        <v>1237</v>
      </c>
      <c r="G317" s="140" t="n">
        <v>46196</v>
      </c>
      <c r="H317" s="1" t="n">
        <v>6020</v>
      </c>
      <c r="I317" s="1" t="s">
        <v>1248</v>
      </c>
      <c r="J317" s="1" t="s">
        <v>1249</v>
      </c>
      <c r="K317" s="1" t="n">
        <v>13758</v>
      </c>
      <c r="M317" s="125" t="n">
        <f aca="false">Nominal_Activity[[#This Row],[Debit]]-Nominal_Activity[[#This Row],[Credit]]</f>
        <v>13758</v>
      </c>
      <c r="N317" s="1" t="str">
        <f aca="false">IF(C317="","",IFERROR(VLOOKUP(C317,Master_Mappings!$A$4:$E$85,3,FALSE()),"UNMAPPED"))</f>
        <v>Direct technical costs</v>
      </c>
      <c r="P317" s="1" t="str">
        <f aca="false">IF($C317="","",$C317&amp;"|"&amp;$E317&amp;"|"&amp;$M317&amp;"|"&amp;TEXT($G317,"yyyy-mm-dd")&amp;"|"&amp;LEFT($J317,40))</f>
        <v>6020|44311|13758|2026-06-23|June-26 Salaries</v>
      </c>
      <c r="Q317" s="11" t="str">
        <f aca="false">IF(P317="","",IF(COUNTIF($P$2:$P$3000,P317)&gt;1,"DUPLICATE","OK"))</f>
        <v>OK</v>
      </c>
      <c r="R317" s="0" t="str">
        <f aca="false">IF($C317="","",IFERROR(VLOOKUP(--$C317,MM_Income!$Z$5:$AC$204,3,FALSE()),""))</f>
        <v/>
      </c>
    </row>
    <row r="318" customFormat="false" ht="14.9" hidden="false" customHeight="false" outlineLevel="0" collapsed="false">
      <c r="A318" s="1" t="s">
        <v>49</v>
      </c>
      <c r="B318" s="1" t="s">
        <v>85</v>
      </c>
      <c r="C318" s="1" t="n">
        <v>6030</v>
      </c>
      <c r="D318" s="1" t="s">
        <v>693</v>
      </c>
      <c r="E318" s="1" t="n">
        <v>43107</v>
      </c>
      <c r="F318" s="1" t="s">
        <v>1237</v>
      </c>
      <c r="G318" s="140" t="n">
        <v>46053</v>
      </c>
      <c r="H318" s="1" t="n">
        <v>6030</v>
      </c>
      <c r="I318" s="1" t="s">
        <v>1250</v>
      </c>
      <c r="J318" s="1" t="s">
        <v>1251</v>
      </c>
      <c r="K318" s="1" t="n">
        <v>19233.33</v>
      </c>
      <c r="M318" s="125" t="n">
        <f aca="false">Nominal_Activity[[#This Row],[Debit]]-Nominal_Activity[[#This Row],[Credit]]</f>
        <v>19233.33</v>
      </c>
      <c r="N318" s="1" t="str">
        <f aca="false">IF(C318="","",IFERROR(VLOOKUP(C318,Master_Mappings!$A$4:$E$85,3,FALSE()),"UNMAPPED"))</f>
        <v>Direct technical costs</v>
      </c>
      <c r="P318" s="1" t="str">
        <f aca="false">IF($C318="","",$C318&amp;"|"&amp;$E318&amp;"|"&amp;$M318&amp;"|"&amp;TEXT($G318,"yyyy-mm-dd")&amp;"|"&amp;LEFT($J318,40))</f>
        <v>6030|43107|19233.33|2026-01-31|Medical insurance premium- January 2026</v>
      </c>
      <c r="Q318" s="11" t="str">
        <f aca="false">IF(P318="","",IF(COUNTIF($P$2:$P$3000,P318)&gt;1,"DUPLICATE","OK"))</f>
        <v>OK</v>
      </c>
      <c r="R318" s="0" t="str">
        <f aca="false">IF($C318="","",IFERROR(VLOOKUP(--$C318,MM_Income!$Z$5:$AC$204,3,FALSE()),""))</f>
        <v/>
      </c>
    </row>
    <row r="319" customFormat="false" ht="14.9" hidden="false" customHeight="false" outlineLevel="0" collapsed="false">
      <c r="A319" s="1" t="s">
        <v>49</v>
      </c>
      <c r="B319" s="1" t="s">
        <v>85</v>
      </c>
      <c r="C319" s="1" t="n">
        <v>6030</v>
      </c>
      <c r="D319" s="1" t="s">
        <v>693</v>
      </c>
      <c r="E319" s="1" t="n">
        <v>43112</v>
      </c>
      <c r="F319" s="1" t="s">
        <v>1237</v>
      </c>
      <c r="G319" s="140" t="n">
        <v>46080</v>
      </c>
      <c r="H319" s="1" t="n">
        <v>6030</v>
      </c>
      <c r="I319" s="1" t="s">
        <v>1252</v>
      </c>
      <c r="J319" s="1" t="s">
        <v>1253</v>
      </c>
      <c r="K319" s="1" t="n">
        <v>19233.33</v>
      </c>
      <c r="M319" s="125" t="n">
        <f aca="false">Nominal_Activity[[#This Row],[Debit]]-Nominal_Activity[[#This Row],[Credit]]</f>
        <v>19233.33</v>
      </c>
      <c r="N319" s="1" t="str">
        <f aca="false">IF(C319="","",IFERROR(VLOOKUP(C319,Master_Mappings!$A$4:$E$85,3,FALSE()),"UNMAPPED"))</f>
        <v>Direct technical costs</v>
      </c>
      <c r="P319" s="1" t="str">
        <f aca="false">IF($C319="","",$C319&amp;"|"&amp;$E319&amp;"|"&amp;$M319&amp;"|"&amp;TEXT($G319,"yyyy-mm-dd")&amp;"|"&amp;LEFT($J319,40))</f>
        <v>6030|43112|19233.33|2026-02-27|Medical Insurance February 2026</v>
      </c>
      <c r="Q319" s="11" t="str">
        <f aca="false">IF(P319="","",IF(COUNTIF($P$2:$P$3000,P319)&gt;1,"DUPLICATE","OK"))</f>
        <v>OK</v>
      </c>
      <c r="R319" s="0" t="str">
        <f aca="false">IF($C319="","",IFERROR(VLOOKUP(--$C319,MM_Income!$Z$5:$AC$204,3,FALSE()),""))</f>
        <v/>
      </c>
    </row>
    <row r="320" customFormat="false" ht="14.9" hidden="false" customHeight="false" outlineLevel="0" collapsed="false">
      <c r="A320" s="1" t="s">
        <v>49</v>
      </c>
      <c r="B320" s="1" t="s">
        <v>85</v>
      </c>
      <c r="C320" s="1" t="n">
        <v>6030</v>
      </c>
      <c r="D320" s="1" t="s">
        <v>693</v>
      </c>
      <c r="E320" s="1" t="n">
        <v>43152</v>
      </c>
      <c r="F320" s="1" t="s">
        <v>1237</v>
      </c>
      <c r="G320" s="140" t="n">
        <v>46112</v>
      </c>
      <c r="H320" s="1" t="n">
        <v>6030</v>
      </c>
      <c r="I320" s="1" t="s">
        <v>1254</v>
      </c>
      <c r="J320" s="1" t="s">
        <v>1255</v>
      </c>
      <c r="K320" s="1" t="n">
        <v>19233.33</v>
      </c>
      <c r="M320" s="125" t="n">
        <f aca="false">Nominal_Activity[[#This Row],[Debit]]-Nominal_Activity[[#This Row],[Credit]]</f>
        <v>19233.33</v>
      </c>
      <c r="N320" s="1" t="str">
        <f aca="false">IF(C320="","",IFERROR(VLOOKUP(C320,Master_Mappings!$A$4:$E$85,3,FALSE()),"UNMAPPED"))</f>
        <v>Direct technical costs</v>
      </c>
      <c r="P320" s="1" t="str">
        <f aca="false">IF($C320="","",$C320&amp;"|"&amp;$E320&amp;"|"&amp;$M320&amp;"|"&amp;TEXT($G320,"yyyy-mm-dd")&amp;"|"&amp;LEFT($J320,40))</f>
        <v>6030|43152|19233.33|2026-03-31|Medical insurance premium- March 2026</v>
      </c>
      <c r="Q320" s="11" t="str">
        <f aca="false">IF(P320="","",IF(COUNTIF($P$2:$P$3000,P320)&gt;1,"DUPLICATE","OK"))</f>
        <v>OK</v>
      </c>
      <c r="R320" s="0" t="str">
        <f aca="false">IF($C320="","",IFERROR(VLOOKUP(--$C320,MM_Income!$Z$5:$AC$204,3,FALSE()),""))</f>
        <v/>
      </c>
    </row>
    <row r="321" customFormat="false" ht="14.9" hidden="false" customHeight="false" outlineLevel="0" collapsed="false">
      <c r="A321" s="1" t="s">
        <v>49</v>
      </c>
      <c r="B321" s="1" t="s">
        <v>89</v>
      </c>
      <c r="C321" s="1" t="n">
        <v>6030</v>
      </c>
      <c r="D321" s="1" t="s">
        <v>693</v>
      </c>
      <c r="E321" s="1" t="n">
        <v>44289</v>
      </c>
      <c r="F321" s="1" t="s">
        <v>1237</v>
      </c>
      <c r="G321" s="140" t="n">
        <v>46142</v>
      </c>
      <c r="H321" s="1" t="n">
        <v>6030</v>
      </c>
      <c r="I321" s="1" t="s">
        <v>1256</v>
      </c>
      <c r="J321" s="1" t="s">
        <v>1257</v>
      </c>
      <c r="K321" s="1" t="n">
        <v>19233.33</v>
      </c>
      <c r="M321" s="125" t="n">
        <f aca="false">Nominal_Activity[[#This Row],[Debit]]-Nominal_Activity[[#This Row],[Credit]]</f>
        <v>19233.33</v>
      </c>
      <c r="N321" s="1" t="str">
        <f aca="false">IF(C321="","",IFERROR(VLOOKUP(C321,Master_Mappings!$A$4:$E$85,3,FALSE()),"UNMAPPED"))</f>
        <v>Direct technical costs</v>
      </c>
      <c r="P321" s="1" t="str">
        <f aca="false">IF($C321="","",$C321&amp;"|"&amp;$E321&amp;"|"&amp;$M321&amp;"|"&amp;TEXT($G321,"yyyy-mm-dd")&amp;"|"&amp;LEFT($J321,40))</f>
        <v>6030|44289|19233.33|2026-04-30| Medical insurance premium- April 2026</v>
      </c>
      <c r="Q321" s="11" t="str">
        <f aca="false">IF(P321="","",IF(COUNTIF($P$2:$P$3000,P321)&gt;1,"DUPLICATE","OK"))</f>
        <v>OK</v>
      </c>
      <c r="R321" s="0" t="str">
        <f aca="false">IF($C321="","",IFERROR(VLOOKUP(--$C321,MM_Income!$Z$5:$AC$204,3,FALSE()),""))</f>
        <v/>
      </c>
    </row>
    <row r="322" customFormat="false" ht="14.9" hidden="false" customHeight="false" outlineLevel="0" collapsed="false">
      <c r="A322" s="1" t="s">
        <v>49</v>
      </c>
      <c r="B322" s="1" t="s">
        <v>89</v>
      </c>
      <c r="C322" s="1" t="n">
        <v>6030</v>
      </c>
      <c r="D322" s="1" t="s">
        <v>693</v>
      </c>
      <c r="E322" s="1" t="n">
        <v>44329</v>
      </c>
      <c r="F322" s="1" t="s">
        <v>1237</v>
      </c>
      <c r="G322" s="140" t="n">
        <v>46172</v>
      </c>
      <c r="H322" s="1" t="n">
        <v>6030</v>
      </c>
      <c r="I322" s="1" t="s">
        <v>1258</v>
      </c>
      <c r="J322" s="1" t="s">
        <v>1259</v>
      </c>
      <c r="K322" s="1" t="n">
        <v>19233.33</v>
      </c>
      <c r="M322" s="125" t="n">
        <f aca="false">Nominal_Activity[[#This Row],[Debit]]-Nominal_Activity[[#This Row],[Credit]]</f>
        <v>19233.33</v>
      </c>
      <c r="N322" s="1" t="str">
        <f aca="false">IF(C322="","",IFERROR(VLOOKUP(C322,Master_Mappings!$A$4:$E$85,3,FALSE()),"UNMAPPED"))</f>
        <v>Direct technical costs</v>
      </c>
      <c r="P322" s="1" t="str">
        <f aca="false">IF($C322="","",$C322&amp;"|"&amp;$E322&amp;"|"&amp;$M322&amp;"|"&amp;TEXT($G322,"yyyy-mm-dd")&amp;"|"&amp;LEFT($J322,40))</f>
        <v>6030|44329|19233.33|2026-05-30|Medical Insurance Premium - May</v>
      </c>
      <c r="Q322" s="11" t="str">
        <f aca="false">IF(P322="","",IF(COUNTIF($P$2:$P$3000,P322)&gt;1,"DUPLICATE","OK"))</f>
        <v>OK</v>
      </c>
      <c r="R322" s="0" t="str">
        <f aca="false">IF($C322="","",IFERROR(VLOOKUP(--$C322,MM_Income!$Z$5:$AC$204,3,FALSE()),""))</f>
        <v/>
      </c>
    </row>
    <row r="323" customFormat="false" ht="14.9" hidden="false" customHeight="false" outlineLevel="0" collapsed="false">
      <c r="A323" s="1" t="s">
        <v>49</v>
      </c>
      <c r="B323" s="1" t="s">
        <v>89</v>
      </c>
      <c r="C323" s="1" t="n">
        <v>6030</v>
      </c>
      <c r="D323" s="1" t="s">
        <v>693</v>
      </c>
      <c r="E323" s="1" t="n">
        <v>44332</v>
      </c>
      <c r="F323" s="1" t="s">
        <v>1237</v>
      </c>
      <c r="G323" s="140" t="n">
        <v>46203</v>
      </c>
      <c r="H323" s="1" t="n">
        <v>6030</v>
      </c>
      <c r="I323" s="1" t="s">
        <v>1260</v>
      </c>
      <c r="J323" s="1" t="s">
        <v>1261</v>
      </c>
      <c r="K323" s="1" t="n">
        <v>19233.33</v>
      </c>
      <c r="M323" s="125" t="n">
        <f aca="false">Nominal_Activity[[#This Row],[Debit]]-Nominal_Activity[[#This Row],[Credit]]</f>
        <v>19233.33</v>
      </c>
      <c r="N323" s="1" t="str">
        <f aca="false">IF(C323="","",IFERROR(VLOOKUP(C323,Master_Mappings!$A$4:$E$85,3,FALSE()),"UNMAPPED"))</f>
        <v>Direct technical costs</v>
      </c>
      <c r="P323" s="1" t="str">
        <f aca="false">IF($C323="","",$C323&amp;"|"&amp;$E323&amp;"|"&amp;$M323&amp;"|"&amp;TEXT($G323,"yyyy-mm-dd")&amp;"|"&amp;LEFT($J323,40))</f>
        <v>6030|44332|19233.33|2026-06-30|Medical Insurance Premium - June</v>
      </c>
      <c r="Q323" s="11" t="str">
        <f aca="false">IF(P323="","",IF(COUNTIF($P$2:$P$3000,P323)&gt;1,"DUPLICATE","OK"))</f>
        <v>OK</v>
      </c>
      <c r="R323" s="0" t="str">
        <f aca="false">IF($C323="","",IFERROR(VLOOKUP(--$C323,MM_Income!$Z$5:$AC$204,3,FALSE()),""))</f>
        <v/>
      </c>
    </row>
    <row r="324" customFormat="false" ht="14.9" hidden="false" customHeight="false" outlineLevel="0" collapsed="false">
      <c r="A324" s="1" t="s">
        <v>49</v>
      </c>
      <c r="B324" s="1" t="s">
        <v>85</v>
      </c>
      <c r="C324" s="1" t="n">
        <v>6050</v>
      </c>
      <c r="D324" s="1" t="s">
        <v>695</v>
      </c>
      <c r="E324" s="1" t="n">
        <v>42557</v>
      </c>
      <c r="F324" s="1" t="s">
        <v>869</v>
      </c>
      <c r="G324" s="140" t="n">
        <v>46065</v>
      </c>
      <c r="H324" s="1" t="n">
        <v>1230</v>
      </c>
      <c r="I324" s="1" t="s">
        <v>1262</v>
      </c>
      <c r="J324" s="1" t="s">
        <v>1263</v>
      </c>
      <c r="K324" s="1" t="n">
        <v>380</v>
      </c>
      <c r="M324" s="125" t="n">
        <f aca="false">Nominal_Activity[[#This Row],[Debit]]-Nominal_Activity[[#This Row],[Credit]]</f>
        <v>380</v>
      </c>
      <c r="N324" s="1" t="str">
        <f aca="false">IF(C324="","",IFERROR(VLOOKUP(C324,Master_Mappings!$A$4:$E$85,3,FALSE()),"UNMAPPED"))</f>
        <v>Recruitment, Benefits</v>
      </c>
      <c r="P324" s="1" t="str">
        <f aca="false">IF($C324="","",$C324&amp;"|"&amp;$E324&amp;"|"&amp;$M324&amp;"|"&amp;TEXT($G324,"yyyy-mm-dd")&amp;"|"&amp;LEFT($J324,40))</f>
        <v>6050|42557|380|2026-02-12|Lunch for Interview Panel</v>
      </c>
      <c r="Q324" s="11" t="str">
        <f aca="false">IF(P324="","",IF(COUNTIF($P$2:$P$3000,P324)&gt;1,"DUPLICATE","OK"))</f>
        <v>OK</v>
      </c>
      <c r="R324" s="0" t="str">
        <f aca="false">IF($C324="","",IFERROR(VLOOKUP(--$C324,MM_Income!$Z$5:$AC$204,3,FALSE()),""))</f>
        <v/>
      </c>
    </row>
    <row r="325" customFormat="false" ht="14.9" hidden="false" customHeight="false" outlineLevel="0" collapsed="false">
      <c r="A325" s="1" t="s">
        <v>49</v>
      </c>
      <c r="B325" s="1" t="s">
        <v>85</v>
      </c>
      <c r="C325" s="1" t="n">
        <v>7000</v>
      </c>
      <c r="D325" s="1" t="s">
        <v>697</v>
      </c>
      <c r="E325" s="1" t="n">
        <v>43091</v>
      </c>
      <c r="F325" s="1" t="s">
        <v>1237</v>
      </c>
      <c r="G325" s="140" t="n">
        <v>46045</v>
      </c>
      <c r="H325" s="1" t="n">
        <v>7000</v>
      </c>
      <c r="I325" s="1" t="s">
        <v>1238</v>
      </c>
      <c r="J325" s="1" t="s">
        <v>1239</v>
      </c>
      <c r="K325" s="1" t="n">
        <v>179238.09</v>
      </c>
      <c r="M325" s="125" t="n">
        <f aca="false">Nominal_Activity[[#This Row],[Debit]]-Nominal_Activity[[#This Row],[Credit]]</f>
        <v>179238.09</v>
      </c>
      <c r="N325" s="1" t="str">
        <f aca="false">IF(C325="","",IFERROR(VLOOKUP(C325,Master_Mappings!$A$4:$E$85,3,FALSE()),"UNMAPPED"))</f>
        <v>Direct support costs</v>
      </c>
      <c r="P325" s="1" t="str">
        <f aca="false">IF($C325="","",$C325&amp;"|"&amp;$E325&amp;"|"&amp;$M325&amp;"|"&amp;TEXT($G325,"yyyy-mm-dd")&amp;"|"&amp;LEFT($J325,40))</f>
        <v>7000|43091|179238.09|2026-01-23|Jan-26 Salaries</v>
      </c>
      <c r="Q325" s="11" t="str">
        <f aca="false">IF(P325="","",IF(COUNTIF($P$2:$P$3000,P325)&gt;1,"DUPLICATE","OK"))</f>
        <v>OK</v>
      </c>
      <c r="R325" s="0" t="str">
        <f aca="false">IF($C325="","",IFERROR(VLOOKUP(--$C325,MM_Income!$Z$5:$AC$204,3,FALSE()),""))</f>
        <v/>
      </c>
    </row>
    <row r="326" customFormat="false" ht="14.9" hidden="false" customHeight="false" outlineLevel="0" collapsed="false">
      <c r="A326" s="1" t="s">
        <v>49</v>
      </c>
      <c r="B326" s="1" t="s">
        <v>85</v>
      </c>
      <c r="C326" s="1" t="n">
        <v>7000</v>
      </c>
      <c r="D326" s="1" t="s">
        <v>697</v>
      </c>
      <c r="E326" s="1" t="n">
        <v>43134</v>
      </c>
      <c r="F326" s="1" t="s">
        <v>1237</v>
      </c>
      <c r="G326" s="140" t="n">
        <v>46076</v>
      </c>
      <c r="H326" s="1" t="n">
        <v>7000</v>
      </c>
      <c r="I326" s="1" t="s">
        <v>1240</v>
      </c>
      <c r="J326" s="1" t="s">
        <v>1241</v>
      </c>
      <c r="K326" s="1" t="n">
        <v>179238.09</v>
      </c>
      <c r="M326" s="125" t="n">
        <f aca="false">Nominal_Activity[[#This Row],[Debit]]-Nominal_Activity[[#This Row],[Credit]]</f>
        <v>179238.09</v>
      </c>
      <c r="N326" s="1" t="str">
        <f aca="false">IF(C326="","",IFERROR(VLOOKUP(C326,Master_Mappings!$A$4:$E$85,3,FALSE()),"UNMAPPED"))</f>
        <v>Direct support costs</v>
      </c>
      <c r="P326" s="1" t="str">
        <f aca="false">IF($C326="","",$C326&amp;"|"&amp;$E326&amp;"|"&amp;$M326&amp;"|"&amp;TEXT($G326,"yyyy-mm-dd")&amp;"|"&amp;LEFT($J326,40))</f>
        <v>7000|43134|179238.09|2026-02-23|Feb-26 Salaries</v>
      </c>
      <c r="Q326" s="11" t="str">
        <f aca="false">IF(P326="","",IF(COUNTIF($P$2:$P$3000,P326)&gt;1,"DUPLICATE","OK"))</f>
        <v>OK</v>
      </c>
      <c r="R326" s="0" t="str">
        <f aca="false">IF($C326="","",IFERROR(VLOOKUP(--$C326,MM_Income!$Z$5:$AC$204,3,FALSE()),""))</f>
        <v/>
      </c>
    </row>
    <row r="327" customFormat="false" ht="14.9" hidden="false" customHeight="false" outlineLevel="0" collapsed="false">
      <c r="A327" s="1" t="s">
        <v>49</v>
      </c>
      <c r="B327" s="1" t="s">
        <v>85</v>
      </c>
      <c r="C327" s="1" t="n">
        <v>7000</v>
      </c>
      <c r="D327" s="1" t="s">
        <v>697</v>
      </c>
      <c r="E327" s="1" t="n">
        <v>43229</v>
      </c>
      <c r="F327" s="1" t="s">
        <v>1237</v>
      </c>
      <c r="G327" s="140" t="n">
        <v>46104</v>
      </c>
      <c r="H327" s="1" t="n">
        <v>7000</v>
      </c>
      <c r="I327" s="1" t="s">
        <v>1242</v>
      </c>
      <c r="J327" s="1" t="s">
        <v>1243</v>
      </c>
      <c r="K327" s="1" t="n">
        <v>179238.09</v>
      </c>
      <c r="M327" s="125" t="n">
        <f aca="false">Nominal_Activity[[#This Row],[Debit]]-Nominal_Activity[[#This Row],[Credit]]</f>
        <v>179238.09</v>
      </c>
      <c r="N327" s="1" t="str">
        <f aca="false">IF(C327="","",IFERROR(VLOOKUP(C327,Master_Mappings!$A$4:$E$85,3,FALSE()),"UNMAPPED"))</f>
        <v>Direct support costs</v>
      </c>
      <c r="P327" s="1" t="str">
        <f aca="false">IF($C327="","",$C327&amp;"|"&amp;$E327&amp;"|"&amp;$M327&amp;"|"&amp;TEXT($G327,"yyyy-mm-dd")&amp;"|"&amp;LEFT($J327,40))</f>
        <v>7000|43229|179238.09|2026-03-23|Mar-26 Salaries</v>
      </c>
      <c r="Q327" s="11" t="str">
        <f aca="false">IF(P327="","",IF(COUNTIF($P$2:$P$3000,P327)&gt;1,"DUPLICATE","OK"))</f>
        <v>OK</v>
      </c>
      <c r="R327" s="0" t="str">
        <f aca="false">IF($C327="","",IFERROR(VLOOKUP(--$C327,MM_Income!$Z$5:$AC$204,3,FALSE()),""))</f>
        <v/>
      </c>
    </row>
    <row r="328" customFormat="false" ht="14.9" hidden="false" customHeight="false" outlineLevel="0" collapsed="false">
      <c r="A328" s="1" t="s">
        <v>49</v>
      </c>
      <c r="B328" s="1" t="s">
        <v>89</v>
      </c>
      <c r="C328" s="1" t="n">
        <v>7000</v>
      </c>
      <c r="D328" s="1" t="s">
        <v>697</v>
      </c>
      <c r="E328" s="1" t="n">
        <v>44273</v>
      </c>
      <c r="F328" s="1" t="s">
        <v>1237</v>
      </c>
      <c r="G328" s="140" t="n">
        <v>46135</v>
      </c>
      <c r="H328" s="1" t="n">
        <v>7000</v>
      </c>
      <c r="I328" s="1" t="s">
        <v>1244</v>
      </c>
      <c r="J328" s="1" t="s">
        <v>1245</v>
      </c>
      <c r="K328" s="1" t="n">
        <v>179238.09</v>
      </c>
      <c r="M328" s="125" t="n">
        <f aca="false">Nominal_Activity[[#This Row],[Debit]]-Nominal_Activity[[#This Row],[Credit]]</f>
        <v>179238.09</v>
      </c>
      <c r="N328" s="1" t="str">
        <f aca="false">IF(C328="","",IFERROR(VLOOKUP(C328,Master_Mappings!$A$4:$E$85,3,FALSE()),"UNMAPPED"))</f>
        <v>Direct support costs</v>
      </c>
      <c r="P328" s="1" t="str">
        <f aca="false">IF($C328="","",$C328&amp;"|"&amp;$E328&amp;"|"&amp;$M328&amp;"|"&amp;TEXT($G328,"yyyy-mm-dd")&amp;"|"&amp;LEFT($J328,40))</f>
        <v>7000|44273|179238.09|2026-04-23|April-26 Salaries</v>
      </c>
      <c r="Q328" s="11" t="str">
        <f aca="false">IF(P328="","",IF(COUNTIF($P$2:$P$3000,P328)&gt;1,"DUPLICATE","OK"))</f>
        <v>OK</v>
      </c>
      <c r="R328" s="0" t="str">
        <f aca="false">IF($C328="","",IFERROR(VLOOKUP(--$C328,MM_Income!$Z$5:$AC$204,3,FALSE()),""))</f>
        <v/>
      </c>
    </row>
    <row r="329" customFormat="false" ht="14.9" hidden="false" customHeight="false" outlineLevel="0" collapsed="false">
      <c r="A329" s="1" t="s">
        <v>49</v>
      </c>
      <c r="B329" s="1" t="s">
        <v>89</v>
      </c>
      <c r="C329" s="1" t="n">
        <v>7000</v>
      </c>
      <c r="D329" s="1" t="s">
        <v>697</v>
      </c>
      <c r="E329" s="1" t="n">
        <v>44294</v>
      </c>
      <c r="F329" s="1" t="s">
        <v>1237</v>
      </c>
      <c r="G329" s="140" t="n">
        <v>46165</v>
      </c>
      <c r="H329" s="1" t="n">
        <v>7000</v>
      </c>
      <c r="I329" s="1" t="s">
        <v>1246</v>
      </c>
      <c r="J329" s="1" t="s">
        <v>1247</v>
      </c>
      <c r="K329" s="1" t="n">
        <v>179238.09</v>
      </c>
      <c r="M329" s="125" t="n">
        <f aca="false">Nominal_Activity[[#This Row],[Debit]]-Nominal_Activity[[#This Row],[Credit]]</f>
        <v>179238.09</v>
      </c>
      <c r="N329" s="1" t="str">
        <f aca="false">IF(C329="","",IFERROR(VLOOKUP(C329,Master_Mappings!$A$4:$E$85,3,FALSE()),"UNMAPPED"))</f>
        <v>Direct support costs</v>
      </c>
      <c r="P329" s="1" t="str">
        <f aca="false">IF($C329="","",$C329&amp;"|"&amp;$E329&amp;"|"&amp;$M329&amp;"|"&amp;TEXT($G329,"yyyy-mm-dd")&amp;"|"&amp;LEFT($J329,40))</f>
        <v>7000|44294|179238.09|2026-05-23|May-26 Salaries</v>
      </c>
      <c r="Q329" s="11" t="str">
        <f aca="false">IF(P329="","",IF(COUNTIF($P$2:$P$3000,P329)&gt;1,"DUPLICATE","OK"))</f>
        <v>OK</v>
      </c>
      <c r="R329" s="0" t="str">
        <f aca="false">IF($C329="","",IFERROR(VLOOKUP(--$C329,MM_Income!$Z$5:$AC$204,3,FALSE()),""))</f>
        <v/>
      </c>
    </row>
    <row r="330" customFormat="false" ht="14.9" hidden="false" customHeight="false" outlineLevel="0" collapsed="false">
      <c r="A330" s="1" t="s">
        <v>49</v>
      </c>
      <c r="B330" s="1" t="s">
        <v>89</v>
      </c>
      <c r="C330" s="1" t="n">
        <v>7000</v>
      </c>
      <c r="D330" s="1" t="s">
        <v>697</v>
      </c>
      <c r="E330" s="1" t="n">
        <v>44312</v>
      </c>
      <c r="F330" s="1" t="s">
        <v>1237</v>
      </c>
      <c r="G330" s="140" t="n">
        <v>46196</v>
      </c>
      <c r="H330" s="1" t="n">
        <v>7000</v>
      </c>
      <c r="I330" s="1" t="s">
        <v>1248</v>
      </c>
      <c r="J330" s="1" t="s">
        <v>1249</v>
      </c>
      <c r="K330" s="1" t="n">
        <v>179238.09</v>
      </c>
      <c r="M330" s="125" t="n">
        <f aca="false">Nominal_Activity[[#This Row],[Debit]]-Nominal_Activity[[#This Row],[Credit]]</f>
        <v>179238.09</v>
      </c>
      <c r="N330" s="1" t="str">
        <f aca="false">IF(C330="","",IFERROR(VLOOKUP(C330,Master_Mappings!$A$4:$E$85,3,FALSE()),"UNMAPPED"))</f>
        <v>Direct support costs</v>
      </c>
      <c r="P330" s="1" t="str">
        <f aca="false">IF($C330="","",$C330&amp;"|"&amp;$E330&amp;"|"&amp;$M330&amp;"|"&amp;TEXT($G330,"yyyy-mm-dd")&amp;"|"&amp;LEFT($J330,40))</f>
        <v>7000|44312|179238.09|2026-06-23|June-26 Salaries</v>
      </c>
      <c r="Q330" s="11" t="str">
        <f aca="false">IF(P330="","",IF(COUNTIF($P$2:$P$3000,P330)&gt;1,"DUPLICATE","OK"))</f>
        <v>OK</v>
      </c>
      <c r="R330" s="0" t="str">
        <f aca="false">IF($C330="","",IFERROR(VLOOKUP(--$C330,MM_Income!$Z$5:$AC$204,3,FALSE()),""))</f>
        <v/>
      </c>
    </row>
    <row r="331" customFormat="false" ht="14.9" hidden="false" customHeight="false" outlineLevel="0" collapsed="false">
      <c r="A331" s="1" t="s">
        <v>49</v>
      </c>
      <c r="B331" s="1" t="s">
        <v>85</v>
      </c>
      <c r="C331" s="1" t="n">
        <v>7010</v>
      </c>
      <c r="D331" s="1" t="s">
        <v>699</v>
      </c>
      <c r="E331" s="1" t="n">
        <v>43092</v>
      </c>
      <c r="F331" s="1" t="s">
        <v>1237</v>
      </c>
      <c r="G331" s="140" t="n">
        <v>46045</v>
      </c>
      <c r="H331" s="1" t="n">
        <v>7010</v>
      </c>
      <c r="I331" s="1" t="s">
        <v>1238</v>
      </c>
      <c r="J331" s="1" t="s">
        <v>1239</v>
      </c>
      <c r="K331" s="1" t="n">
        <v>23300.95</v>
      </c>
      <c r="M331" s="125" t="n">
        <f aca="false">Nominal_Activity[[#This Row],[Debit]]-Nominal_Activity[[#This Row],[Credit]]</f>
        <v>23300.95</v>
      </c>
      <c r="N331" s="1" t="str">
        <f aca="false">IF(C331="","",IFERROR(VLOOKUP(C331,Master_Mappings!$A$4:$E$85,3,FALSE()),"UNMAPPED"))</f>
        <v>Direct support costs</v>
      </c>
      <c r="P331" s="1" t="str">
        <f aca="false">IF($C331="","",$C331&amp;"|"&amp;$E331&amp;"|"&amp;$M331&amp;"|"&amp;TEXT($G331,"yyyy-mm-dd")&amp;"|"&amp;LEFT($J331,40))</f>
        <v>7010|43092|23300.95|2026-01-23|Jan-26 Salaries</v>
      </c>
      <c r="Q331" s="11" t="str">
        <f aca="false">IF(P331="","",IF(COUNTIF($P$2:$P$3000,P331)&gt;1,"DUPLICATE","OK"))</f>
        <v>OK</v>
      </c>
      <c r="R331" s="0" t="str">
        <f aca="false">IF($C331="","",IFERROR(VLOOKUP(--$C331,MM_Income!$Z$5:$AC$204,3,FALSE()),""))</f>
        <v/>
      </c>
    </row>
    <row r="332" customFormat="false" ht="14.9" hidden="false" customHeight="false" outlineLevel="0" collapsed="false">
      <c r="A332" s="1" t="s">
        <v>49</v>
      </c>
      <c r="B332" s="1" t="s">
        <v>85</v>
      </c>
      <c r="C332" s="1" t="n">
        <v>7010</v>
      </c>
      <c r="D332" s="1" t="s">
        <v>699</v>
      </c>
      <c r="E332" s="1" t="n">
        <v>43135</v>
      </c>
      <c r="F332" s="1" t="s">
        <v>1237</v>
      </c>
      <c r="G332" s="140" t="n">
        <v>46076</v>
      </c>
      <c r="H332" s="1" t="n">
        <v>7010</v>
      </c>
      <c r="I332" s="1" t="s">
        <v>1240</v>
      </c>
      <c r="J332" s="1" t="s">
        <v>1241</v>
      </c>
      <c r="K332" s="1" t="n">
        <v>23300.95</v>
      </c>
      <c r="M332" s="125" t="n">
        <f aca="false">Nominal_Activity[[#This Row],[Debit]]-Nominal_Activity[[#This Row],[Credit]]</f>
        <v>23300.95</v>
      </c>
      <c r="N332" s="1" t="str">
        <f aca="false">IF(C332="","",IFERROR(VLOOKUP(C332,Master_Mappings!$A$4:$E$85,3,FALSE()),"UNMAPPED"))</f>
        <v>Direct support costs</v>
      </c>
      <c r="P332" s="1" t="str">
        <f aca="false">IF($C332="","",$C332&amp;"|"&amp;$E332&amp;"|"&amp;$M332&amp;"|"&amp;TEXT($G332,"yyyy-mm-dd")&amp;"|"&amp;LEFT($J332,40))</f>
        <v>7010|43135|23300.95|2026-02-23|Feb-26 Salaries</v>
      </c>
      <c r="Q332" s="11" t="str">
        <f aca="false">IF(P332="","",IF(COUNTIF($P$2:$P$3000,P332)&gt;1,"DUPLICATE","OK"))</f>
        <v>OK</v>
      </c>
      <c r="R332" s="0" t="str">
        <f aca="false">IF($C332="","",IFERROR(VLOOKUP(--$C332,MM_Income!$Z$5:$AC$204,3,FALSE()),""))</f>
        <v/>
      </c>
    </row>
    <row r="333" customFormat="false" ht="14.9" hidden="false" customHeight="false" outlineLevel="0" collapsed="false">
      <c r="A333" s="1" t="s">
        <v>49</v>
      </c>
      <c r="B333" s="1" t="s">
        <v>85</v>
      </c>
      <c r="C333" s="1" t="n">
        <v>7010</v>
      </c>
      <c r="D333" s="1" t="s">
        <v>699</v>
      </c>
      <c r="E333" s="1" t="n">
        <v>43230</v>
      </c>
      <c r="F333" s="1" t="s">
        <v>1237</v>
      </c>
      <c r="G333" s="140" t="n">
        <v>46104</v>
      </c>
      <c r="H333" s="1" t="n">
        <v>7010</v>
      </c>
      <c r="I333" s="1" t="s">
        <v>1242</v>
      </c>
      <c r="J333" s="1" t="s">
        <v>1243</v>
      </c>
      <c r="K333" s="1" t="n">
        <v>23300.95</v>
      </c>
      <c r="M333" s="125" t="n">
        <f aca="false">Nominal_Activity[[#This Row],[Debit]]-Nominal_Activity[[#This Row],[Credit]]</f>
        <v>23300.95</v>
      </c>
      <c r="N333" s="1" t="str">
        <f aca="false">IF(C333="","",IFERROR(VLOOKUP(C333,Master_Mappings!$A$4:$E$85,3,FALSE()),"UNMAPPED"))</f>
        <v>Direct support costs</v>
      </c>
      <c r="P333" s="1" t="str">
        <f aca="false">IF($C333="","",$C333&amp;"|"&amp;$E333&amp;"|"&amp;$M333&amp;"|"&amp;TEXT($G333,"yyyy-mm-dd")&amp;"|"&amp;LEFT($J333,40))</f>
        <v>7010|43230|23300.95|2026-03-23|Mar-26 Salaries</v>
      </c>
      <c r="Q333" s="11" t="str">
        <f aca="false">IF(P333="","",IF(COUNTIF($P$2:$P$3000,P333)&gt;1,"DUPLICATE","OK"))</f>
        <v>OK</v>
      </c>
      <c r="R333" s="0" t="str">
        <f aca="false">IF($C333="","",IFERROR(VLOOKUP(--$C333,MM_Income!$Z$5:$AC$204,3,FALSE()),""))</f>
        <v/>
      </c>
    </row>
    <row r="334" customFormat="false" ht="14.9" hidden="false" customHeight="false" outlineLevel="0" collapsed="false">
      <c r="A334" s="1" t="s">
        <v>49</v>
      </c>
      <c r="B334" s="1" t="s">
        <v>89</v>
      </c>
      <c r="C334" s="1" t="n">
        <v>7010</v>
      </c>
      <c r="D334" s="1" t="s">
        <v>699</v>
      </c>
      <c r="E334" s="1" t="n">
        <v>44274</v>
      </c>
      <c r="F334" s="1" t="s">
        <v>1237</v>
      </c>
      <c r="G334" s="140" t="n">
        <v>46135</v>
      </c>
      <c r="H334" s="1" t="n">
        <v>7010</v>
      </c>
      <c r="I334" s="1" t="s">
        <v>1244</v>
      </c>
      <c r="J334" s="1" t="s">
        <v>1245</v>
      </c>
      <c r="K334" s="1" t="n">
        <v>23300.95</v>
      </c>
      <c r="M334" s="125" t="n">
        <f aca="false">Nominal_Activity[[#This Row],[Debit]]-Nominal_Activity[[#This Row],[Credit]]</f>
        <v>23300.95</v>
      </c>
      <c r="N334" s="1" t="str">
        <f aca="false">IF(C334="","",IFERROR(VLOOKUP(C334,Master_Mappings!$A$4:$E$85,3,FALSE()),"UNMAPPED"))</f>
        <v>Direct support costs</v>
      </c>
      <c r="P334" s="1" t="str">
        <f aca="false">IF($C334="","",$C334&amp;"|"&amp;$E334&amp;"|"&amp;$M334&amp;"|"&amp;TEXT($G334,"yyyy-mm-dd")&amp;"|"&amp;LEFT($J334,40))</f>
        <v>7010|44274|23300.95|2026-04-23|April-26 Salaries</v>
      </c>
      <c r="Q334" s="11" t="str">
        <f aca="false">IF(P334="","",IF(COUNTIF($P$2:$P$3000,P334)&gt;1,"DUPLICATE","OK"))</f>
        <v>OK</v>
      </c>
      <c r="R334" s="0" t="str">
        <f aca="false">IF($C334="","",IFERROR(VLOOKUP(--$C334,MM_Income!$Z$5:$AC$204,3,FALSE()),""))</f>
        <v/>
      </c>
    </row>
    <row r="335" customFormat="false" ht="14.9" hidden="false" customHeight="false" outlineLevel="0" collapsed="false">
      <c r="A335" s="1" t="s">
        <v>49</v>
      </c>
      <c r="B335" s="1" t="s">
        <v>89</v>
      </c>
      <c r="C335" s="1" t="n">
        <v>7010</v>
      </c>
      <c r="D335" s="1" t="s">
        <v>699</v>
      </c>
      <c r="E335" s="1" t="n">
        <v>44295</v>
      </c>
      <c r="F335" s="1" t="s">
        <v>1237</v>
      </c>
      <c r="G335" s="140" t="n">
        <v>46165</v>
      </c>
      <c r="H335" s="1" t="n">
        <v>7010</v>
      </c>
      <c r="I335" s="1" t="s">
        <v>1246</v>
      </c>
      <c r="J335" s="1" t="s">
        <v>1247</v>
      </c>
      <c r="K335" s="1" t="n">
        <v>23300.95</v>
      </c>
      <c r="M335" s="125" t="n">
        <f aca="false">Nominal_Activity[[#This Row],[Debit]]-Nominal_Activity[[#This Row],[Credit]]</f>
        <v>23300.95</v>
      </c>
      <c r="N335" s="1" t="str">
        <f aca="false">IF(C335="","",IFERROR(VLOOKUP(C335,Master_Mappings!$A$4:$E$85,3,FALSE()),"UNMAPPED"))</f>
        <v>Direct support costs</v>
      </c>
      <c r="P335" s="1" t="str">
        <f aca="false">IF($C335="","",$C335&amp;"|"&amp;$E335&amp;"|"&amp;$M335&amp;"|"&amp;TEXT($G335,"yyyy-mm-dd")&amp;"|"&amp;LEFT($J335,40))</f>
        <v>7010|44295|23300.95|2026-05-23|May-26 Salaries</v>
      </c>
      <c r="Q335" s="11" t="str">
        <f aca="false">IF(P335="","",IF(COUNTIF($P$2:$P$3000,P335)&gt;1,"DUPLICATE","OK"))</f>
        <v>OK</v>
      </c>
      <c r="R335" s="0" t="str">
        <f aca="false">IF($C335="","",IFERROR(VLOOKUP(--$C335,MM_Income!$Z$5:$AC$204,3,FALSE()),""))</f>
        <v/>
      </c>
    </row>
    <row r="336" customFormat="false" ht="14.9" hidden="false" customHeight="false" outlineLevel="0" collapsed="false">
      <c r="A336" s="1" t="s">
        <v>49</v>
      </c>
      <c r="B336" s="1" t="s">
        <v>89</v>
      </c>
      <c r="C336" s="1" t="n">
        <v>7010</v>
      </c>
      <c r="D336" s="1" t="s">
        <v>699</v>
      </c>
      <c r="E336" s="1" t="n">
        <v>44313</v>
      </c>
      <c r="F336" s="1" t="s">
        <v>1237</v>
      </c>
      <c r="G336" s="140" t="n">
        <v>46196</v>
      </c>
      <c r="H336" s="1" t="n">
        <v>7010</v>
      </c>
      <c r="I336" s="1" t="s">
        <v>1248</v>
      </c>
      <c r="J336" s="1" t="s">
        <v>1249</v>
      </c>
      <c r="K336" s="1" t="n">
        <v>23300.95</v>
      </c>
      <c r="M336" s="125" t="n">
        <f aca="false">Nominal_Activity[[#This Row],[Debit]]-Nominal_Activity[[#This Row],[Credit]]</f>
        <v>23300.95</v>
      </c>
      <c r="N336" s="1" t="str">
        <f aca="false">IF(C336="","",IFERROR(VLOOKUP(C336,Master_Mappings!$A$4:$E$85,3,FALSE()),"UNMAPPED"))</f>
        <v>Direct support costs</v>
      </c>
      <c r="P336" s="1" t="str">
        <f aca="false">IF($C336="","",$C336&amp;"|"&amp;$E336&amp;"|"&amp;$M336&amp;"|"&amp;TEXT($G336,"yyyy-mm-dd")&amp;"|"&amp;LEFT($J336,40))</f>
        <v>7010|44313|23300.95|2026-06-23|June-26 Salaries</v>
      </c>
      <c r="Q336" s="11" t="str">
        <f aca="false">IF(P336="","",IF(COUNTIF($P$2:$P$3000,P336)&gt;1,"DUPLICATE","OK"))</f>
        <v>OK</v>
      </c>
      <c r="R336" s="0" t="str">
        <f aca="false">IF($C336="","",IFERROR(VLOOKUP(--$C336,MM_Income!$Z$5:$AC$204,3,FALSE()),""))</f>
        <v/>
      </c>
    </row>
    <row r="337" customFormat="false" ht="14.9" hidden="false" customHeight="false" outlineLevel="0" collapsed="false">
      <c r="A337" s="1" t="s">
        <v>49</v>
      </c>
      <c r="B337" s="1" t="s">
        <v>85</v>
      </c>
      <c r="C337" s="1" t="n">
        <v>7020</v>
      </c>
      <c r="D337" s="1" t="s">
        <v>701</v>
      </c>
      <c r="E337" s="1" t="n">
        <v>43093</v>
      </c>
      <c r="F337" s="1" t="s">
        <v>1237</v>
      </c>
      <c r="G337" s="140" t="n">
        <v>46045</v>
      </c>
      <c r="H337" s="1" t="n">
        <v>7020</v>
      </c>
      <c r="I337" s="1" t="s">
        <v>1238</v>
      </c>
      <c r="J337" s="1" t="s">
        <v>1239</v>
      </c>
      <c r="K337" s="1" t="n">
        <v>5377.14</v>
      </c>
      <c r="M337" s="125" t="n">
        <f aca="false">Nominal_Activity[[#This Row],[Debit]]-Nominal_Activity[[#This Row],[Credit]]</f>
        <v>5377.14</v>
      </c>
      <c r="N337" s="1" t="str">
        <f aca="false">IF(C337="","",IFERROR(VLOOKUP(C337,Master_Mappings!$A$4:$E$85,3,FALSE()),"UNMAPPED"))</f>
        <v>Direct support costs</v>
      </c>
      <c r="P337" s="1" t="str">
        <f aca="false">IF($C337="","",$C337&amp;"|"&amp;$E337&amp;"|"&amp;$M337&amp;"|"&amp;TEXT($G337,"yyyy-mm-dd")&amp;"|"&amp;LEFT($J337,40))</f>
        <v>7020|43093|5377.14|2026-01-23|Jan-26 Salaries</v>
      </c>
      <c r="Q337" s="11" t="str">
        <f aca="false">IF(P337="","",IF(COUNTIF($P$2:$P$3000,P337)&gt;1,"DUPLICATE","OK"))</f>
        <v>OK</v>
      </c>
      <c r="R337" s="0" t="str">
        <f aca="false">IF($C337="","",IFERROR(VLOOKUP(--$C337,MM_Income!$Z$5:$AC$204,3,FALSE()),""))</f>
        <v/>
      </c>
    </row>
    <row r="338" customFormat="false" ht="14.9" hidden="false" customHeight="false" outlineLevel="0" collapsed="false">
      <c r="A338" s="1" t="s">
        <v>49</v>
      </c>
      <c r="B338" s="1" t="s">
        <v>85</v>
      </c>
      <c r="C338" s="1" t="n">
        <v>7020</v>
      </c>
      <c r="D338" s="1" t="s">
        <v>701</v>
      </c>
      <c r="E338" s="1" t="n">
        <v>43136</v>
      </c>
      <c r="F338" s="1" t="s">
        <v>1237</v>
      </c>
      <c r="G338" s="140" t="n">
        <v>46076</v>
      </c>
      <c r="H338" s="1" t="n">
        <v>7020</v>
      </c>
      <c r="I338" s="1" t="s">
        <v>1240</v>
      </c>
      <c r="J338" s="1" t="s">
        <v>1241</v>
      </c>
      <c r="K338" s="1" t="n">
        <v>5377.14</v>
      </c>
      <c r="M338" s="125" t="n">
        <f aca="false">Nominal_Activity[[#This Row],[Debit]]-Nominal_Activity[[#This Row],[Credit]]</f>
        <v>5377.14</v>
      </c>
      <c r="N338" s="1" t="str">
        <f aca="false">IF(C338="","",IFERROR(VLOOKUP(C338,Master_Mappings!$A$4:$E$85,3,FALSE()),"UNMAPPED"))</f>
        <v>Direct support costs</v>
      </c>
      <c r="P338" s="1" t="str">
        <f aca="false">IF($C338="","",$C338&amp;"|"&amp;$E338&amp;"|"&amp;$M338&amp;"|"&amp;TEXT($G338,"yyyy-mm-dd")&amp;"|"&amp;LEFT($J338,40))</f>
        <v>7020|43136|5377.14|2026-02-23|Feb-26 Salaries</v>
      </c>
      <c r="Q338" s="11" t="str">
        <f aca="false">IF(P338="","",IF(COUNTIF($P$2:$P$3000,P338)&gt;1,"DUPLICATE","OK"))</f>
        <v>OK</v>
      </c>
      <c r="R338" s="0" t="str">
        <f aca="false">IF($C338="","",IFERROR(VLOOKUP(--$C338,MM_Income!$Z$5:$AC$204,3,FALSE()),""))</f>
        <v/>
      </c>
    </row>
    <row r="339" customFormat="false" ht="14.9" hidden="false" customHeight="false" outlineLevel="0" collapsed="false">
      <c r="A339" s="1" t="s">
        <v>49</v>
      </c>
      <c r="B339" s="1" t="s">
        <v>85</v>
      </c>
      <c r="C339" s="1" t="n">
        <v>7020</v>
      </c>
      <c r="D339" s="1" t="s">
        <v>701</v>
      </c>
      <c r="E339" s="1" t="n">
        <v>43231</v>
      </c>
      <c r="F339" s="1" t="s">
        <v>1237</v>
      </c>
      <c r="G339" s="140" t="n">
        <v>46104</v>
      </c>
      <c r="H339" s="1" t="n">
        <v>7020</v>
      </c>
      <c r="I339" s="1" t="s">
        <v>1242</v>
      </c>
      <c r="J339" s="1" t="s">
        <v>1243</v>
      </c>
      <c r="K339" s="1" t="n">
        <v>5377.14</v>
      </c>
      <c r="M339" s="125" t="n">
        <f aca="false">Nominal_Activity[[#This Row],[Debit]]-Nominal_Activity[[#This Row],[Credit]]</f>
        <v>5377.14</v>
      </c>
      <c r="N339" s="1" t="str">
        <f aca="false">IF(C339="","",IFERROR(VLOOKUP(C339,Master_Mappings!$A$4:$E$85,3,FALSE()),"UNMAPPED"))</f>
        <v>Direct support costs</v>
      </c>
      <c r="P339" s="1" t="str">
        <f aca="false">IF($C339="","",$C339&amp;"|"&amp;$E339&amp;"|"&amp;$M339&amp;"|"&amp;TEXT($G339,"yyyy-mm-dd")&amp;"|"&amp;LEFT($J339,40))</f>
        <v>7020|43231|5377.14|2026-03-23|Mar-26 Salaries</v>
      </c>
      <c r="Q339" s="11" t="str">
        <f aca="false">IF(P339="","",IF(COUNTIF($P$2:$P$3000,P339)&gt;1,"DUPLICATE","OK"))</f>
        <v>OK</v>
      </c>
      <c r="R339" s="0" t="str">
        <f aca="false">IF($C339="","",IFERROR(VLOOKUP(--$C339,MM_Income!$Z$5:$AC$204,3,FALSE()),""))</f>
        <v/>
      </c>
    </row>
    <row r="340" customFormat="false" ht="14.9" hidden="false" customHeight="false" outlineLevel="0" collapsed="false">
      <c r="A340" s="1" t="s">
        <v>49</v>
      </c>
      <c r="B340" s="1" t="s">
        <v>89</v>
      </c>
      <c r="C340" s="1" t="n">
        <v>7020</v>
      </c>
      <c r="D340" s="1" t="s">
        <v>701</v>
      </c>
      <c r="E340" s="1" t="n">
        <v>44275</v>
      </c>
      <c r="F340" s="1" t="s">
        <v>1237</v>
      </c>
      <c r="G340" s="140" t="n">
        <v>46135</v>
      </c>
      <c r="H340" s="1" t="n">
        <v>7020</v>
      </c>
      <c r="I340" s="1" t="s">
        <v>1244</v>
      </c>
      <c r="J340" s="1" t="s">
        <v>1245</v>
      </c>
      <c r="K340" s="1" t="n">
        <v>5377.14</v>
      </c>
      <c r="M340" s="125" t="n">
        <f aca="false">Nominal_Activity[[#This Row],[Debit]]-Nominal_Activity[[#This Row],[Credit]]</f>
        <v>5377.14</v>
      </c>
      <c r="N340" s="1" t="str">
        <f aca="false">IF(C340="","",IFERROR(VLOOKUP(C340,Master_Mappings!$A$4:$E$85,3,FALSE()),"UNMAPPED"))</f>
        <v>Direct support costs</v>
      </c>
      <c r="P340" s="1" t="str">
        <f aca="false">IF($C340="","",$C340&amp;"|"&amp;$E340&amp;"|"&amp;$M340&amp;"|"&amp;TEXT($G340,"yyyy-mm-dd")&amp;"|"&amp;LEFT($J340,40))</f>
        <v>7020|44275|5377.14|2026-04-23|April-26 Salaries</v>
      </c>
      <c r="Q340" s="11" t="str">
        <f aca="false">IF(P340="","",IF(COUNTIF($P$2:$P$3000,P340)&gt;1,"DUPLICATE","OK"))</f>
        <v>OK</v>
      </c>
      <c r="R340" s="0" t="str">
        <f aca="false">IF($C340="","",IFERROR(VLOOKUP(--$C340,MM_Income!$Z$5:$AC$204,3,FALSE()),""))</f>
        <v/>
      </c>
    </row>
    <row r="341" customFormat="false" ht="14.9" hidden="false" customHeight="false" outlineLevel="0" collapsed="false">
      <c r="A341" s="1" t="s">
        <v>49</v>
      </c>
      <c r="B341" s="1" t="s">
        <v>89</v>
      </c>
      <c r="C341" s="1" t="n">
        <v>7020</v>
      </c>
      <c r="D341" s="1" t="s">
        <v>701</v>
      </c>
      <c r="E341" s="1" t="n">
        <v>44296</v>
      </c>
      <c r="F341" s="1" t="s">
        <v>1237</v>
      </c>
      <c r="G341" s="140" t="n">
        <v>46165</v>
      </c>
      <c r="H341" s="1" t="n">
        <v>7020</v>
      </c>
      <c r="I341" s="1" t="s">
        <v>1246</v>
      </c>
      <c r="J341" s="1" t="s">
        <v>1247</v>
      </c>
      <c r="K341" s="1" t="n">
        <v>5377.14</v>
      </c>
      <c r="M341" s="125" t="n">
        <f aca="false">Nominal_Activity[[#This Row],[Debit]]-Nominal_Activity[[#This Row],[Credit]]</f>
        <v>5377.14</v>
      </c>
      <c r="N341" s="1" t="str">
        <f aca="false">IF(C341="","",IFERROR(VLOOKUP(C341,Master_Mappings!$A$4:$E$85,3,FALSE()),"UNMAPPED"))</f>
        <v>Direct support costs</v>
      </c>
      <c r="P341" s="1" t="str">
        <f aca="false">IF($C341="","",$C341&amp;"|"&amp;$E341&amp;"|"&amp;$M341&amp;"|"&amp;TEXT($G341,"yyyy-mm-dd")&amp;"|"&amp;LEFT($J341,40))</f>
        <v>7020|44296|5377.14|2026-05-23|May-26 Salaries</v>
      </c>
      <c r="Q341" s="11" t="str">
        <f aca="false">IF(P341="","",IF(COUNTIF($P$2:$P$3000,P341)&gt;1,"DUPLICATE","OK"))</f>
        <v>OK</v>
      </c>
      <c r="R341" s="0" t="str">
        <f aca="false">IF($C341="","",IFERROR(VLOOKUP(--$C341,MM_Income!$Z$5:$AC$204,3,FALSE()),""))</f>
        <v/>
      </c>
    </row>
    <row r="342" customFormat="false" ht="14.9" hidden="false" customHeight="false" outlineLevel="0" collapsed="false">
      <c r="A342" s="1" t="s">
        <v>49</v>
      </c>
      <c r="B342" s="1" t="s">
        <v>89</v>
      </c>
      <c r="C342" s="1" t="n">
        <v>7020</v>
      </c>
      <c r="D342" s="1" t="s">
        <v>701</v>
      </c>
      <c r="E342" s="1" t="n">
        <v>44314</v>
      </c>
      <c r="F342" s="1" t="s">
        <v>1237</v>
      </c>
      <c r="G342" s="140" t="n">
        <v>46196</v>
      </c>
      <c r="H342" s="1" t="n">
        <v>7020</v>
      </c>
      <c r="I342" s="1" t="s">
        <v>1248</v>
      </c>
      <c r="J342" s="1" t="s">
        <v>1249</v>
      </c>
      <c r="K342" s="1" t="n">
        <v>5377.14</v>
      </c>
      <c r="M342" s="125" t="n">
        <f aca="false">Nominal_Activity[[#This Row],[Debit]]-Nominal_Activity[[#This Row],[Credit]]</f>
        <v>5377.14</v>
      </c>
      <c r="N342" s="1" t="str">
        <f aca="false">IF(C342="","",IFERROR(VLOOKUP(C342,Master_Mappings!$A$4:$E$85,3,FALSE()),"UNMAPPED"))</f>
        <v>Direct support costs</v>
      </c>
      <c r="P342" s="1" t="str">
        <f aca="false">IF($C342="","",$C342&amp;"|"&amp;$E342&amp;"|"&amp;$M342&amp;"|"&amp;TEXT($G342,"yyyy-mm-dd")&amp;"|"&amp;LEFT($J342,40))</f>
        <v>7020|44314|5377.14|2026-06-23|June-26 Salaries</v>
      </c>
      <c r="Q342" s="11" t="str">
        <f aca="false">IF(P342="","",IF(COUNTIF($P$2:$P$3000,P342)&gt;1,"DUPLICATE","OK"))</f>
        <v>OK</v>
      </c>
      <c r="R342" s="0" t="str">
        <f aca="false">IF($C342="","",IFERROR(VLOOKUP(--$C342,MM_Income!$Z$5:$AC$204,3,FALSE()),""))</f>
        <v/>
      </c>
    </row>
    <row r="343" customFormat="false" ht="14.9" hidden="false" customHeight="false" outlineLevel="0" collapsed="false">
      <c r="A343" s="1" t="s">
        <v>49</v>
      </c>
      <c r="B343" s="1" t="s">
        <v>85</v>
      </c>
      <c r="C343" s="1" t="n">
        <v>7030</v>
      </c>
      <c r="D343" s="1" t="s">
        <v>703</v>
      </c>
      <c r="E343" s="1" t="n">
        <v>43108</v>
      </c>
      <c r="F343" s="1" t="s">
        <v>1237</v>
      </c>
      <c r="G343" s="140" t="n">
        <v>46053</v>
      </c>
      <c r="H343" s="1" t="n">
        <v>7030</v>
      </c>
      <c r="I343" s="1" t="s">
        <v>1250</v>
      </c>
      <c r="J343" s="1" t="s">
        <v>1251</v>
      </c>
      <c r="K343" s="1" t="n">
        <v>6400</v>
      </c>
      <c r="M343" s="125" t="n">
        <f aca="false">Nominal_Activity[[#This Row],[Debit]]-Nominal_Activity[[#This Row],[Credit]]</f>
        <v>6400</v>
      </c>
      <c r="N343" s="1" t="str">
        <f aca="false">IF(C343="","",IFERROR(VLOOKUP(C343,Master_Mappings!$A$4:$E$85,3,FALSE()),"UNMAPPED"))</f>
        <v>Direct support costs</v>
      </c>
      <c r="P343" s="1" t="str">
        <f aca="false">IF($C343="","",$C343&amp;"|"&amp;$E343&amp;"|"&amp;$M343&amp;"|"&amp;TEXT($G343,"yyyy-mm-dd")&amp;"|"&amp;LEFT($J343,40))</f>
        <v>7030|43108|6400|2026-01-31|Medical insurance premium- January 2026</v>
      </c>
      <c r="Q343" s="11" t="str">
        <f aca="false">IF(P343="","",IF(COUNTIF($P$2:$P$3000,P343)&gt;1,"DUPLICATE","OK"))</f>
        <v>OK</v>
      </c>
      <c r="R343" s="0" t="str">
        <f aca="false">IF($C343="","",IFERROR(VLOOKUP(--$C343,MM_Income!$Z$5:$AC$204,3,FALSE()),""))</f>
        <v/>
      </c>
    </row>
    <row r="344" customFormat="false" ht="14.9" hidden="false" customHeight="false" outlineLevel="0" collapsed="false">
      <c r="A344" s="1" t="s">
        <v>49</v>
      </c>
      <c r="B344" s="1" t="s">
        <v>85</v>
      </c>
      <c r="C344" s="1" t="n">
        <v>7030</v>
      </c>
      <c r="D344" s="1" t="s">
        <v>703</v>
      </c>
      <c r="E344" s="1" t="n">
        <v>43113</v>
      </c>
      <c r="F344" s="1" t="s">
        <v>1237</v>
      </c>
      <c r="G344" s="140" t="n">
        <v>46080</v>
      </c>
      <c r="H344" s="1" t="n">
        <v>7030</v>
      </c>
      <c r="I344" s="1" t="s">
        <v>1252</v>
      </c>
      <c r="J344" s="1" t="s">
        <v>1253</v>
      </c>
      <c r="K344" s="1" t="n">
        <v>6400</v>
      </c>
      <c r="M344" s="125" t="n">
        <f aca="false">Nominal_Activity[[#This Row],[Debit]]-Nominal_Activity[[#This Row],[Credit]]</f>
        <v>6400</v>
      </c>
      <c r="N344" s="1" t="str">
        <f aca="false">IF(C344="","",IFERROR(VLOOKUP(C344,Master_Mappings!$A$4:$E$85,3,FALSE()),"UNMAPPED"))</f>
        <v>Direct support costs</v>
      </c>
      <c r="P344" s="1" t="str">
        <f aca="false">IF($C344="","",$C344&amp;"|"&amp;$E344&amp;"|"&amp;$M344&amp;"|"&amp;TEXT($G344,"yyyy-mm-dd")&amp;"|"&amp;LEFT($J344,40))</f>
        <v>7030|43113|6400|2026-02-27|Medical Insurance February 2026</v>
      </c>
      <c r="Q344" s="11" t="str">
        <f aca="false">IF(P344="","",IF(COUNTIF($P$2:$P$3000,P344)&gt;1,"DUPLICATE","OK"))</f>
        <v>OK</v>
      </c>
      <c r="R344" s="0" t="str">
        <f aca="false">IF($C344="","",IFERROR(VLOOKUP(--$C344,MM_Income!$Z$5:$AC$204,3,FALSE()),""))</f>
        <v/>
      </c>
    </row>
    <row r="345" customFormat="false" ht="14.9" hidden="false" customHeight="false" outlineLevel="0" collapsed="false">
      <c r="A345" s="1" t="s">
        <v>49</v>
      </c>
      <c r="B345" s="1" t="s">
        <v>85</v>
      </c>
      <c r="C345" s="1" t="n">
        <v>7030</v>
      </c>
      <c r="D345" s="1" t="s">
        <v>703</v>
      </c>
      <c r="E345" s="1" t="n">
        <v>43153</v>
      </c>
      <c r="F345" s="1" t="s">
        <v>1237</v>
      </c>
      <c r="G345" s="140" t="n">
        <v>46112</v>
      </c>
      <c r="H345" s="1" t="n">
        <v>7030</v>
      </c>
      <c r="I345" s="1" t="s">
        <v>1254</v>
      </c>
      <c r="J345" s="1" t="s">
        <v>1255</v>
      </c>
      <c r="K345" s="1" t="n">
        <v>6400</v>
      </c>
      <c r="M345" s="125" t="n">
        <f aca="false">Nominal_Activity[[#This Row],[Debit]]-Nominal_Activity[[#This Row],[Credit]]</f>
        <v>6400</v>
      </c>
      <c r="N345" s="1" t="str">
        <f aca="false">IF(C345="","",IFERROR(VLOOKUP(C345,Master_Mappings!$A$4:$E$85,3,FALSE()),"UNMAPPED"))</f>
        <v>Direct support costs</v>
      </c>
      <c r="P345" s="1" t="str">
        <f aca="false">IF($C345="","",$C345&amp;"|"&amp;$E345&amp;"|"&amp;$M345&amp;"|"&amp;TEXT($G345,"yyyy-mm-dd")&amp;"|"&amp;LEFT($J345,40))</f>
        <v>7030|43153|6400|2026-03-31|Medical insurance premium- March 2026</v>
      </c>
      <c r="Q345" s="11" t="str">
        <f aca="false">IF(P345="","",IF(COUNTIF($P$2:$P$3000,P345)&gt;1,"DUPLICATE","OK"))</f>
        <v>OK</v>
      </c>
      <c r="R345" s="0" t="str">
        <f aca="false">IF($C345="","",IFERROR(VLOOKUP(--$C345,MM_Income!$Z$5:$AC$204,3,FALSE()),""))</f>
        <v/>
      </c>
    </row>
    <row r="346" customFormat="false" ht="14.9" hidden="false" customHeight="false" outlineLevel="0" collapsed="false">
      <c r="A346" s="1" t="s">
        <v>49</v>
      </c>
      <c r="B346" s="1" t="s">
        <v>89</v>
      </c>
      <c r="C346" s="1" t="n">
        <v>7030</v>
      </c>
      <c r="D346" s="1" t="s">
        <v>703</v>
      </c>
      <c r="E346" s="1" t="n">
        <v>43378</v>
      </c>
      <c r="F346" s="1" t="s">
        <v>847</v>
      </c>
      <c r="G346" s="140" t="n">
        <v>46142</v>
      </c>
      <c r="H346" s="1" t="s">
        <v>1264</v>
      </c>
      <c r="J346" s="1" t="s">
        <v>1265</v>
      </c>
      <c r="K346" s="1" t="n">
        <v>1726.57</v>
      </c>
      <c r="M346" s="125" t="n">
        <f aca="false">Nominal_Activity[[#This Row],[Debit]]-Nominal_Activity[[#This Row],[Credit]]</f>
        <v>1726.57</v>
      </c>
      <c r="N346" s="1" t="str">
        <f aca="false">IF(C346="","",IFERROR(VLOOKUP(C346,Master_Mappings!$A$4:$E$85,3,FALSE()),"UNMAPPED"))</f>
        <v>Direct support costs</v>
      </c>
      <c r="P346" s="1" t="str">
        <f aca="false">IF($C346="","",$C346&amp;"|"&amp;$E346&amp;"|"&amp;$M346&amp;"|"&amp;TEXT($G346,"yyyy-mm-dd")&amp;"|"&amp;LEFT($J346,40))</f>
        <v>7030|43378|1726.57|2026-04-30|Medical bill from Acacia for Michael Ani</v>
      </c>
      <c r="Q346" s="11" t="str">
        <f aca="false">IF(P346="","",IF(COUNTIF($P$2:$P$3000,P346)&gt;1,"DUPLICATE","OK"))</f>
        <v>OK</v>
      </c>
      <c r="R346" s="0" t="str">
        <f aca="false">IF($C346="","",IFERROR(VLOOKUP(--$C346,MM_Income!$Z$5:$AC$204,3,FALSE()),""))</f>
        <v/>
      </c>
    </row>
    <row r="347" customFormat="false" ht="14.9" hidden="false" customHeight="false" outlineLevel="0" collapsed="false">
      <c r="A347" s="1" t="s">
        <v>49</v>
      </c>
      <c r="B347" s="1" t="s">
        <v>89</v>
      </c>
      <c r="C347" s="1" t="n">
        <v>7030</v>
      </c>
      <c r="D347" s="1" t="s">
        <v>703</v>
      </c>
      <c r="E347" s="1" t="n">
        <v>44288</v>
      </c>
      <c r="F347" s="1" t="s">
        <v>1237</v>
      </c>
      <c r="G347" s="140" t="n">
        <v>46142</v>
      </c>
      <c r="H347" s="1" t="n">
        <v>7030</v>
      </c>
      <c r="I347" s="1" t="s">
        <v>1256</v>
      </c>
      <c r="J347" s="1" t="s">
        <v>1257</v>
      </c>
      <c r="K347" s="1" t="n">
        <v>6400</v>
      </c>
      <c r="M347" s="125" t="n">
        <f aca="false">Nominal_Activity[[#This Row],[Debit]]-Nominal_Activity[[#This Row],[Credit]]</f>
        <v>6400</v>
      </c>
      <c r="N347" s="1" t="str">
        <f aca="false">IF(C347="","",IFERROR(VLOOKUP(C347,Master_Mappings!$A$4:$E$85,3,FALSE()),"UNMAPPED"))</f>
        <v>Direct support costs</v>
      </c>
      <c r="P347" s="1" t="str">
        <f aca="false">IF($C347="","",$C347&amp;"|"&amp;$E347&amp;"|"&amp;$M347&amp;"|"&amp;TEXT($G347,"yyyy-mm-dd")&amp;"|"&amp;LEFT($J347,40))</f>
        <v>7030|44288|6400|2026-04-30| Medical insurance premium- April 2026</v>
      </c>
      <c r="Q347" s="11" t="str">
        <f aca="false">IF(P347="","",IF(COUNTIF($P$2:$P$3000,P347)&gt;1,"DUPLICATE","OK"))</f>
        <v>OK</v>
      </c>
      <c r="R347" s="0" t="str">
        <f aca="false">IF($C347="","",IFERROR(VLOOKUP(--$C347,MM_Income!$Z$5:$AC$204,3,FALSE()),""))</f>
        <v/>
      </c>
    </row>
    <row r="348" customFormat="false" ht="14.9" hidden="false" customHeight="false" outlineLevel="0" collapsed="false">
      <c r="A348" s="1" t="s">
        <v>49</v>
      </c>
      <c r="B348" s="1" t="s">
        <v>89</v>
      </c>
      <c r="C348" s="1" t="n">
        <v>7030</v>
      </c>
      <c r="D348" s="1" t="s">
        <v>703</v>
      </c>
      <c r="E348" s="1" t="n">
        <v>44330</v>
      </c>
      <c r="F348" s="1" t="s">
        <v>1237</v>
      </c>
      <c r="G348" s="140" t="n">
        <v>46172</v>
      </c>
      <c r="H348" s="1" t="n">
        <v>7030</v>
      </c>
      <c r="I348" s="1" t="s">
        <v>1258</v>
      </c>
      <c r="J348" s="1" t="s">
        <v>1259</v>
      </c>
      <c r="K348" s="1" t="n">
        <v>6400</v>
      </c>
      <c r="M348" s="125" t="n">
        <f aca="false">Nominal_Activity[[#This Row],[Debit]]-Nominal_Activity[[#This Row],[Credit]]</f>
        <v>6400</v>
      </c>
      <c r="N348" s="1" t="str">
        <f aca="false">IF(C348="","",IFERROR(VLOOKUP(C348,Master_Mappings!$A$4:$E$85,3,FALSE()),"UNMAPPED"))</f>
        <v>Direct support costs</v>
      </c>
      <c r="P348" s="1" t="str">
        <f aca="false">IF($C348="","",$C348&amp;"|"&amp;$E348&amp;"|"&amp;$M348&amp;"|"&amp;TEXT($G348,"yyyy-mm-dd")&amp;"|"&amp;LEFT($J348,40))</f>
        <v>7030|44330|6400|2026-05-30|Medical Insurance Premium - May</v>
      </c>
      <c r="Q348" s="11" t="str">
        <f aca="false">IF(P348="","",IF(COUNTIF($P$2:$P$3000,P348)&gt;1,"DUPLICATE","OK"))</f>
        <v>OK</v>
      </c>
      <c r="R348" s="0" t="str">
        <f aca="false">IF($C348="","",IFERROR(VLOOKUP(--$C348,MM_Income!$Z$5:$AC$204,3,FALSE()),""))</f>
        <v/>
      </c>
    </row>
    <row r="349" customFormat="false" ht="14.9" hidden="false" customHeight="false" outlineLevel="0" collapsed="false">
      <c r="A349" s="1" t="s">
        <v>49</v>
      </c>
      <c r="B349" s="1" t="s">
        <v>89</v>
      </c>
      <c r="C349" s="1" t="n">
        <v>7030</v>
      </c>
      <c r="D349" s="1" t="s">
        <v>703</v>
      </c>
      <c r="E349" s="1" t="n">
        <v>44333</v>
      </c>
      <c r="F349" s="1" t="s">
        <v>1237</v>
      </c>
      <c r="G349" s="140" t="n">
        <v>46203</v>
      </c>
      <c r="H349" s="1" t="n">
        <v>7030</v>
      </c>
      <c r="I349" s="1" t="s">
        <v>1260</v>
      </c>
      <c r="J349" s="1" t="s">
        <v>1261</v>
      </c>
      <c r="K349" s="1" t="n">
        <v>6400</v>
      </c>
      <c r="M349" s="125" t="n">
        <f aca="false">Nominal_Activity[[#This Row],[Debit]]-Nominal_Activity[[#This Row],[Credit]]</f>
        <v>6400</v>
      </c>
      <c r="N349" s="1" t="str">
        <f aca="false">IF(C349="","",IFERROR(VLOOKUP(C349,Master_Mappings!$A$4:$E$85,3,FALSE()),"UNMAPPED"))</f>
        <v>Direct support costs</v>
      </c>
      <c r="P349" s="1" t="str">
        <f aca="false">IF($C349="","",$C349&amp;"|"&amp;$E349&amp;"|"&amp;$M349&amp;"|"&amp;TEXT($G349,"yyyy-mm-dd")&amp;"|"&amp;LEFT($J349,40))</f>
        <v>7030|44333|6400|2026-06-30|Medical Insurance Premium - June</v>
      </c>
      <c r="Q349" s="11" t="str">
        <f aca="false">IF(P349="","",IF(COUNTIF($P$2:$P$3000,P349)&gt;1,"DUPLICATE","OK"))</f>
        <v>OK</v>
      </c>
      <c r="R349" s="0" t="str">
        <f aca="false">IF($C349="","",IFERROR(VLOOKUP(--$C349,MM_Income!$Z$5:$AC$204,3,FALSE()),""))</f>
        <v/>
      </c>
    </row>
    <row r="350" customFormat="false" ht="14.9" hidden="false" customHeight="false" outlineLevel="0" collapsed="false">
      <c r="A350" s="1" t="s">
        <v>49</v>
      </c>
      <c r="B350" s="1" t="s">
        <v>85</v>
      </c>
      <c r="C350" s="1" t="n">
        <v>7100</v>
      </c>
      <c r="D350" s="1" t="s">
        <v>705</v>
      </c>
      <c r="E350" s="1" t="n">
        <v>42263</v>
      </c>
      <c r="F350" s="1" t="s">
        <v>847</v>
      </c>
      <c r="G350" s="140" t="n">
        <v>46035</v>
      </c>
      <c r="H350" s="1" t="s">
        <v>1266</v>
      </c>
      <c r="I350" s="1" t="s">
        <v>1267</v>
      </c>
      <c r="J350" s="1" t="s">
        <v>1268</v>
      </c>
      <c r="K350" s="1" t="n">
        <v>830</v>
      </c>
      <c r="M350" s="125" t="n">
        <f aca="false">Nominal_Activity[[#This Row],[Debit]]-Nominal_Activity[[#This Row],[Credit]]</f>
        <v>830</v>
      </c>
      <c r="N350" s="1" t="str">
        <f aca="false">IF(C350="","",IFERROR(VLOOKUP(C350,Master_Mappings!$A$4:$E$85,3,FALSE()),"UNMAPPED"))</f>
        <v>Recruitment, Benefits</v>
      </c>
      <c r="P350" s="1" t="str">
        <f aca="false">IF($C350="","",$C350&amp;"|"&amp;$E350&amp;"|"&amp;$M350&amp;"|"&amp;TEXT($G350,"yyyy-mm-dd")&amp;"|"&amp;LEFT($J350,40))</f>
        <v>7100|42263|830|2026-01-13|Refill of 15 dispenser bottles and 10pac</v>
      </c>
      <c r="Q350" s="11" t="str">
        <f aca="false">IF(P350="","",IF(COUNTIF($P$2:$P$3000,P350)&gt;1,"DUPLICATE","OK"))</f>
        <v>OK</v>
      </c>
      <c r="R350" s="0" t="str">
        <f aca="false">IF($C350="","",IFERROR(VLOOKUP(--$C350,MM_Income!$Z$5:$AC$204,3,FALSE()),""))</f>
        <v/>
      </c>
    </row>
    <row r="351" customFormat="false" ht="14.9" hidden="false" customHeight="false" outlineLevel="0" collapsed="false">
      <c r="A351" s="1" t="s">
        <v>49</v>
      </c>
      <c r="B351" s="1" t="s">
        <v>85</v>
      </c>
      <c r="C351" s="1" t="n">
        <v>7100</v>
      </c>
      <c r="D351" s="1" t="s">
        <v>705</v>
      </c>
      <c r="E351" s="1" t="n">
        <v>42264</v>
      </c>
      <c r="F351" s="1" t="s">
        <v>847</v>
      </c>
      <c r="G351" s="140" t="n">
        <v>46035</v>
      </c>
      <c r="H351" s="1" t="s">
        <v>1266</v>
      </c>
      <c r="I351" s="1" t="s">
        <v>1267</v>
      </c>
      <c r="J351" s="1" t="s">
        <v>1269</v>
      </c>
      <c r="K351" s="1" t="n">
        <v>18906</v>
      </c>
      <c r="M351" s="125" t="n">
        <f aca="false">Nominal_Activity[[#This Row],[Debit]]-Nominal_Activity[[#This Row],[Credit]]</f>
        <v>18906</v>
      </c>
      <c r="N351" s="1" t="str">
        <f aca="false">IF(C351="","",IFERROR(VLOOKUP(C351,Master_Mappings!$A$4:$E$85,3,FALSE()),"UNMAPPED"))</f>
        <v>Recruitment, Benefits</v>
      </c>
      <c r="P351" s="1" t="str">
        <f aca="false">IF($C351="","",$C351&amp;"|"&amp;$E351&amp;"|"&amp;$M351&amp;"|"&amp;TEXT($G351,"yyyy-mm-dd")&amp;"|"&amp;LEFT($J351,40))</f>
        <v>7100|42264|18906|2026-01-13|Purchase of groceries gor Q1</v>
      </c>
      <c r="Q351" s="11" t="str">
        <f aca="false">IF(P351="","",IF(COUNTIF($P$2:$P$3000,P351)&gt;1,"DUPLICATE","OK"))</f>
        <v>OK</v>
      </c>
      <c r="R351" s="0" t="str">
        <f aca="false">IF($C351="","",IFERROR(VLOOKUP(--$C351,MM_Income!$Z$5:$AC$204,3,FALSE()),""))</f>
        <v/>
      </c>
    </row>
    <row r="352" customFormat="false" ht="14.9" hidden="false" customHeight="false" outlineLevel="0" collapsed="false">
      <c r="A352" s="1" t="s">
        <v>49</v>
      </c>
      <c r="B352" s="1" t="s">
        <v>85</v>
      </c>
      <c r="C352" s="1" t="n">
        <v>7100</v>
      </c>
      <c r="D352" s="1" t="s">
        <v>705</v>
      </c>
      <c r="E352" s="1" t="n">
        <v>42543</v>
      </c>
      <c r="F352" s="1" t="s">
        <v>869</v>
      </c>
      <c r="G352" s="140" t="n">
        <v>46055</v>
      </c>
      <c r="H352" s="1" t="n">
        <v>1230</v>
      </c>
      <c r="I352" s="1" t="s">
        <v>1270</v>
      </c>
      <c r="J352" s="1" t="s">
        <v>1271</v>
      </c>
      <c r="K352" s="1" t="n">
        <v>136</v>
      </c>
      <c r="M352" s="125" t="n">
        <f aca="false">Nominal_Activity[[#This Row],[Debit]]-Nominal_Activity[[#This Row],[Credit]]</f>
        <v>136</v>
      </c>
      <c r="N352" s="1" t="str">
        <f aca="false">IF(C352="","",IFERROR(VLOOKUP(C352,Master_Mappings!$A$4:$E$85,3,FALSE()),"UNMAPPED"))</f>
        <v>Recruitment, Benefits</v>
      </c>
      <c r="P352" s="1" t="str">
        <f aca="false">IF($C352="","",$C352&amp;"|"&amp;$E352&amp;"|"&amp;$M352&amp;"|"&amp;TEXT($G352,"yyyy-mm-dd")&amp;"|"&amp;LEFT($J352,40))</f>
        <v>7100|42543|136|2026-02-02|Purchase of Dispenser water</v>
      </c>
      <c r="Q352" s="11" t="str">
        <f aca="false">IF(P352="","",IF(COUNTIF($P$2:$P$3000,P352)&gt;1,"DUPLICATE","OK"))</f>
        <v>OK</v>
      </c>
      <c r="R352" s="0" t="str">
        <f aca="false">IF($C352="","",IFERROR(VLOOKUP(--$C352,MM_Income!$Z$5:$AC$204,3,FALSE()),""))</f>
        <v/>
      </c>
    </row>
    <row r="353" customFormat="false" ht="14.9" hidden="false" customHeight="false" outlineLevel="0" collapsed="false">
      <c r="A353" s="1" t="s">
        <v>49</v>
      </c>
      <c r="B353" s="1" t="s">
        <v>85</v>
      </c>
      <c r="C353" s="1" t="n">
        <v>7100</v>
      </c>
      <c r="D353" s="1" t="s">
        <v>705</v>
      </c>
      <c r="E353" s="1" t="n">
        <v>42553</v>
      </c>
      <c r="F353" s="1" t="s">
        <v>869</v>
      </c>
      <c r="G353" s="140" t="n">
        <v>46065</v>
      </c>
      <c r="H353" s="1" t="n">
        <v>1230</v>
      </c>
      <c r="I353" s="1" t="s">
        <v>1272</v>
      </c>
      <c r="J353" s="1" t="s">
        <v>1273</v>
      </c>
      <c r="K353" s="1" t="n">
        <v>1585</v>
      </c>
      <c r="M353" s="125" t="n">
        <f aca="false">Nominal_Activity[[#This Row],[Debit]]-Nominal_Activity[[#This Row],[Credit]]</f>
        <v>1585</v>
      </c>
      <c r="N353" s="1" t="str">
        <f aca="false">IF(C353="","",IFERROR(VLOOKUP(C353,Master_Mappings!$A$4:$E$85,3,FALSE()),"UNMAPPED"))</f>
        <v>Recruitment, Benefits</v>
      </c>
      <c r="P353" s="1" t="str">
        <f aca="false">IF($C353="","",$C353&amp;"|"&amp;$E353&amp;"|"&amp;$M353&amp;"|"&amp;TEXT($G353,"yyyy-mm-dd")&amp;"|"&amp;LEFT($J353,40))</f>
        <v>7100|42553|1585|2026-02-12|Staff welcome lunch for Micheal and Abel</v>
      </c>
      <c r="Q353" s="11" t="str">
        <f aca="false">IF(P353="","",IF(COUNTIF($P$2:$P$3000,P353)&gt;1,"DUPLICATE","OK"))</f>
        <v>OK</v>
      </c>
      <c r="R353" s="0" t="str">
        <f aca="false">IF($C353="","",IFERROR(VLOOKUP(--$C353,MM_Income!$Z$5:$AC$204,3,FALSE()),""))</f>
        <v/>
      </c>
    </row>
    <row r="354" customFormat="false" ht="14.9" hidden="false" customHeight="false" outlineLevel="0" collapsed="false">
      <c r="A354" s="1" t="s">
        <v>49</v>
      </c>
      <c r="B354" s="1" t="s">
        <v>85</v>
      </c>
      <c r="C354" s="1" t="n">
        <v>7100</v>
      </c>
      <c r="D354" s="1" t="s">
        <v>705</v>
      </c>
      <c r="E354" s="1" t="n">
        <v>42559</v>
      </c>
      <c r="F354" s="1" t="s">
        <v>869</v>
      </c>
      <c r="G354" s="140" t="n">
        <v>46065</v>
      </c>
      <c r="H354" s="1" t="n">
        <v>1230</v>
      </c>
      <c r="I354" s="1" t="s">
        <v>1272</v>
      </c>
      <c r="J354" s="1" t="s">
        <v>1273</v>
      </c>
      <c r="K354" s="1" t="n">
        <v>2000</v>
      </c>
      <c r="M354" s="125" t="n">
        <f aca="false">Nominal_Activity[[#This Row],[Debit]]-Nominal_Activity[[#This Row],[Credit]]</f>
        <v>2000</v>
      </c>
      <c r="N354" s="1" t="str">
        <f aca="false">IF(C354="","",IFERROR(VLOOKUP(C354,Master_Mappings!$A$4:$E$85,3,FALSE()),"UNMAPPED"))</f>
        <v>Recruitment, Benefits</v>
      </c>
      <c r="P354" s="1" t="str">
        <f aca="false">IF($C354="","",$C354&amp;"|"&amp;$E354&amp;"|"&amp;$M354&amp;"|"&amp;TEXT($G354,"yyyy-mm-dd")&amp;"|"&amp;LEFT($J354,40))</f>
        <v>7100|42559|2000|2026-02-12|Staff welcome lunch for Micheal and Abel</v>
      </c>
      <c r="Q354" s="11" t="str">
        <f aca="false">IF(P354="","",IF(COUNTIF($P$2:$P$3000,P354)&gt;1,"DUPLICATE","OK"))</f>
        <v>OK</v>
      </c>
      <c r="R354" s="0" t="str">
        <f aca="false">IF($C354="","",IFERROR(VLOOKUP(--$C354,MM_Income!$Z$5:$AC$204,3,FALSE()),""))</f>
        <v/>
      </c>
    </row>
    <row r="355" customFormat="false" ht="14.9" hidden="false" customHeight="false" outlineLevel="0" collapsed="false">
      <c r="A355" s="1" t="s">
        <v>49</v>
      </c>
      <c r="B355" s="1" t="s">
        <v>85</v>
      </c>
      <c r="C355" s="1" t="n">
        <v>7100</v>
      </c>
      <c r="D355" s="1" t="s">
        <v>705</v>
      </c>
      <c r="E355" s="1" t="n">
        <v>42796</v>
      </c>
      <c r="F355" s="1" t="s">
        <v>847</v>
      </c>
      <c r="G355" s="140" t="n">
        <v>46088</v>
      </c>
      <c r="H355" s="1" t="s">
        <v>1266</v>
      </c>
      <c r="I355" s="1" t="s">
        <v>1274</v>
      </c>
      <c r="J355" s="1" t="s">
        <v>1275</v>
      </c>
      <c r="K355" s="1" t="n">
        <v>1180</v>
      </c>
      <c r="M355" s="125" t="n">
        <f aca="false">Nominal_Activity[[#This Row],[Debit]]-Nominal_Activity[[#This Row],[Credit]]</f>
        <v>1180</v>
      </c>
      <c r="N355" s="1" t="str">
        <f aca="false">IF(C355="","",IFERROR(VLOOKUP(C355,Master_Mappings!$A$4:$E$85,3,FALSE()),"UNMAPPED"))</f>
        <v>Recruitment, Benefits</v>
      </c>
      <c r="P355" s="1" t="str">
        <f aca="false">IF($C355="","",$C355&amp;"|"&amp;$E355&amp;"|"&amp;$M355&amp;"|"&amp;TEXT($G355,"yyyy-mm-dd")&amp;"|"&amp;LEFT($J355,40))</f>
        <v>7100|42796|1180|2026-03-07|Special Ice Dispenser, Voltic Minerla Wa</v>
      </c>
      <c r="Q355" s="11" t="str">
        <f aca="false">IF(P355="","",IF(COUNTIF($P$2:$P$3000,P355)&gt;1,"DUPLICATE","OK"))</f>
        <v>OK</v>
      </c>
      <c r="R355" s="0" t="str">
        <f aca="false">IF($C355="","",IFERROR(VLOOKUP(--$C355,MM_Income!$Z$5:$AC$204,3,FALSE()),""))</f>
        <v/>
      </c>
    </row>
    <row r="356" customFormat="false" ht="14.9" hidden="false" customHeight="false" outlineLevel="0" collapsed="false">
      <c r="A356" s="1" t="s">
        <v>49</v>
      </c>
      <c r="B356" s="1" t="s">
        <v>85</v>
      </c>
      <c r="C356" s="1" t="n">
        <v>7100</v>
      </c>
      <c r="D356" s="1" t="s">
        <v>705</v>
      </c>
      <c r="E356" s="1" t="n">
        <v>42918</v>
      </c>
      <c r="F356" s="1" t="s">
        <v>847</v>
      </c>
      <c r="G356" s="140" t="n">
        <v>46112</v>
      </c>
      <c r="H356" s="1" t="s">
        <v>1266</v>
      </c>
      <c r="I356" s="1" t="s">
        <v>1276</v>
      </c>
      <c r="J356" s="1" t="s">
        <v>1277</v>
      </c>
      <c r="K356" s="1" t="n">
        <v>19082</v>
      </c>
      <c r="M356" s="125" t="n">
        <f aca="false">Nominal_Activity[[#This Row],[Debit]]-Nominal_Activity[[#This Row],[Credit]]</f>
        <v>19082</v>
      </c>
      <c r="N356" s="1" t="str">
        <f aca="false">IF(C356="","",IFERROR(VLOOKUP(C356,Master_Mappings!$A$4:$E$85,3,FALSE()),"UNMAPPED"))</f>
        <v>Recruitment, Benefits</v>
      </c>
      <c r="P356" s="1" t="str">
        <f aca="false">IF($C356="","",$C356&amp;"|"&amp;$E356&amp;"|"&amp;$M356&amp;"|"&amp;TEXT($G356,"yyyy-mm-dd")&amp;"|"&amp;LEFT($J356,40))</f>
        <v>7100|42918|19082|2026-03-31|Supply of Q2 groceries for Office 2026</v>
      </c>
      <c r="Q356" s="11" t="str">
        <f aca="false">IF(P356="","",IF(COUNTIF($P$2:$P$3000,P356)&gt;1,"DUPLICATE","OK"))</f>
        <v>OK</v>
      </c>
      <c r="R356" s="0" t="str">
        <f aca="false">IF($C356="","",IFERROR(VLOOKUP(--$C356,MM_Income!$Z$5:$AC$204,3,FALSE()),""))</f>
        <v/>
      </c>
    </row>
    <row r="357" customFormat="false" ht="14.9" hidden="false" customHeight="false" outlineLevel="0" collapsed="false">
      <c r="A357" s="1" t="s">
        <v>49</v>
      </c>
      <c r="B357" s="1" t="s">
        <v>85</v>
      </c>
      <c r="C357" s="1" t="n">
        <v>7100</v>
      </c>
      <c r="D357" s="1" t="s">
        <v>705</v>
      </c>
      <c r="E357" s="1" t="n">
        <v>42922</v>
      </c>
      <c r="F357" s="1" t="s">
        <v>869</v>
      </c>
      <c r="G357" s="140" t="n">
        <v>46085</v>
      </c>
      <c r="H357" s="1" t="n">
        <v>1230</v>
      </c>
      <c r="I357" s="1" t="s">
        <v>1278</v>
      </c>
      <c r="J357" s="1" t="s">
        <v>1279</v>
      </c>
      <c r="K357" s="1" t="n">
        <v>108</v>
      </c>
      <c r="M357" s="125" t="n">
        <f aca="false">Nominal_Activity[[#This Row],[Debit]]-Nominal_Activity[[#This Row],[Credit]]</f>
        <v>108</v>
      </c>
      <c r="N357" s="1" t="str">
        <f aca="false">IF(C357="","",IFERROR(VLOOKUP(C357,Master_Mappings!$A$4:$E$85,3,FALSE()),"UNMAPPED"))</f>
        <v>Recruitment, Benefits</v>
      </c>
      <c r="P357" s="1" t="str">
        <f aca="false">IF($C357="","",$C357&amp;"|"&amp;$E357&amp;"|"&amp;$M357&amp;"|"&amp;TEXT($G357,"yyyy-mm-dd")&amp;"|"&amp;LEFT($J357,40))</f>
        <v>7100|42922|108|2026-03-04|Purchase of disposable dispenser water</v>
      </c>
      <c r="Q357" s="11" t="str">
        <f aca="false">IF(P357="","",IF(COUNTIF($P$2:$P$3000,P357)&gt;1,"DUPLICATE","OK"))</f>
        <v>OK</v>
      </c>
      <c r="R357" s="0" t="str">
        <f aca="false">IF($C357="","",IFERROR(VLOOKUP(--$C357,MM_Income!$Z$5:$AC$204,3,FALSE()),""))</f>
        <v/>
      </c>
    </row>
    <row r="358" customFormat="false" ht="14.9" hidden="false" customHeight="false" outlineLevel="0" collapsed="false">
      <c r="A358" s="1" t="s">
        <v>49</v>
      </c>
      <c r="B358" s="1" t="s">
        <v>89</v>
      </c>
      <c r="C358" s="1" t="n">
        <v>7100</v>
      </c>
      <c r="D358" s="1" t="s">
        <v>705</v>
      </c>
      <c r="E358" s="1" t="n">
        <v>42930</v>
      </c>
      <c r="F358" s="1" t="s">
        <v>869</v>
      </c>
      <c r="G358" s="140" t="n">
        <v>46113</v>
      </c>
      <c r="H358" s="1" t="n">
        <v>1230</v>
      </c>
      <c r="I358" s="1" t="s">
        <v>1280</v>
      </c>
      <c r="J358" s="1" t="s">
        <v>1281</v>
      </c>
      <c r="K358" s="1" t="n">
        <v>586</v>
      </c>
      <c r="M358" s="125" t="n">
        <f aca="false">Nominal_Activity[[#This Row],[Debit]]-Nominal_Activity[[#This Row],[Credit]]</f>
        <v>586</v>
      </c>
      <c r="N358" s="1" t="str">
        <f aca="false">IF(C358="","",IFERROR(VLOOKUP(C358,Master_Mappings!$A$4:$E$85,3,FALSE()),"UNMAPPED"))</f>
        <v>Recruitment, Benefits</v>
      </c>
      <c r="P358" s="1" t="str">
        <f aca="false">IF($C358="","",$C358&amp;"|"&amp;$E358&amp;"|"&amp;$M358&amp;"|"&amp;TEXT($G358,"yyyy-mm-dd")&amp;"|"&amp;LEFT($J358,40))</f>
        <v>7100|42930|586|2026-04-01|Lunch for Odoo training</v>
      </c>
      <c r="Q358" s="11" t="str">
        <f aca="false">IF(P358="","",IF(COUNTIF($P$2:$P$3000,P358)&gt;1,"DUPLICATE","OK"))</f>
        <v>OK</v>
      </c>
      <c r="R358" s="0" t="str">
        <f aca="false">IF($C358="","",IFERROR(VLOOKUP(--$C358,MM_Income!$Z$5:$AC$204,3,FALSE()),""))</f>
        <v/>
      </c>
    </row>
    <row r="359" customFormat="false" ht="14.9" hidden="false" customHeight="false" outlineLevel="0" collapsed="false">
      <c r="A359" s="1" t="s">
        <v>49</v>
      </c>
      <c r="B359" s="1" t="s">
        <v>89</v>
      </c>
      <c r="C359" s="1" t="n">
        <v>7100</v>
      </c>
      <c r="D359" s="1" t="s">
        <v>705</v>
      </c>
      <c r="E359" s="1" t="n">
        <v>43184</v>
      </c>
      <c r="F359" s="1" t="s">
        <v>869</v>
      </c>
      <c r="G359" s="140" t="n">
        <v>46119</v>
      </c>
      <c r="H359" s="1" t="n">
        <v>1230</v>
      </c>
      <c r="I359" s="1" t="s">
        <v>1282</v>
      </c>
      <c r="J359" s="1" t="s">
        <v>1283</v>
      </c>
      <c r="K359" s="1" t="n">
        <v>100</v>
      </c>
      <c r="M359" s="125" t="n">
        <f aca="false">Nominal_Activity[[#This Row],[Debit]]-Nominal_Activity[[#This Row],[Credit]]</f>
        <v>100</v>
      </c>
      <c r="N359" s="1" t="str">
        <f aca="false">IF(C359="","",IFERROR(VLOOKUP(C359,Master_Mappings!$A$4:$E$85,3,FALSE()),"UNMAPPED"))</f>
        <v>Recruitment, Benefits</v>
      </c>
      <c r="P359" s="1" t="str">
        <f aca="false">IF($C359="","",$C359&amp;"|"&amp;$E359&amp;"|"&amp;$M359&amp;"|"&amp;TEXT($G359,"yyyy-mm-dd")&amp;"|"&amp;LEFT($J359,40))</f>
        <v>7100|43184|100|2026-04-07|Lunch for meetings - Abe</v>
      </c>
      <c r="Q359" s="11" t="str">
        <f aca="false">IF(P359="","",IF(COUNTIF($P$2:$P$3000,P359)&gt;1,"DUPLICATE","OK"))</f>
        <v>OK</v>
      </c>
      <c r="R359" s="0" t="str">
        <f aca="false">IF($C359="","",IFERROR(VLOOKUP(--$C359,MM_Income!$Z$5:$AC$204,3,FALSE()),""))</f>
        <v/>
      </c>
    </row>
    <row r="360" customFormat="false" ht="14.9" hidden="false" customHeight="false" outlineLevel="0" collapsed="false">
      <c r="A360" s="1" t="s">
        <v>49</v>
      </c>
      <c r="B360" s="1" t="s">
        <v>89</v>
      </c>
      <c r="C360" s="1" t="n">
        <v>7100</v>
      </c>
      <c r="D360" s="1" t="s">
        <v>705</v>
      </c>
      <c r="E360" s="1" t="n">
        <v>43188</v>
      </c>
      <c r="F360" s="1" t="s">
        <v>869</v>
      </c>
      <c r="G360" s="140" t="n">
        <v>46125</v>
      </c>
      <c r="H360" s="1" t="n">
        <v>1230</v>
      </c>
      <c r="I360" s="1" t="s">
        <v>1284</v>
      </c>
      <c r="J360" s="1" t="s">
        <v>1283</v>
      </c>
      <c r="K360" s="1" t="n">
        <v>130</v>
      </c>
      <c r="M360" s="125" t="n">
        <f aca="false">Nominal_Activity[[#This Row],[Debit]]-Nominal_Activity[[#This Row],[Credit]]</f>
        <v>130</v>
      </c>
      <c r="N360" s="1" t="str">
        <f aca="false">IF(C360="","",IFERROR(VLOOKUP(C360,Master_Mappings!$A$4:$E$85,3,FALSE()),"UNMAPPED"))</f>
        <v>Recruitment, Benefits</v>
      </c>
      <c r="P360" s="1" t="str">
        <f aca="false">IF($C360="","",$C360&amp;"|"&amp;$E360&amp;"|"&amp;$M360&amp;"|"&amp;TEXT($G360,"yyyy-mm-dd")&amp;"|"&amp;LEFT($J360,40))</f>
        <v>7100|43188|130|2026-04-13|Lunch for meetings - Abe</v>
      </c>
      <c r="Q360" s="11" t="str">
        <f aca="false">IF(P360="","",IF(COUNTIF($P$2:$P$3000,P360)&gt;1,"DUPLICATE","OK"))</f>
        <v>OK</v>
      </c>
      <c r="R360" s="0" t="str">
        <f aca="false">IF($C360="","",IFERROR(VLOOKUP(--$C360,MM_Income!$Z$5:$AC$204,3,FALSE()),""))</f>
        <v/>
      </c>
    </row>
    <row r="361" customFormat="false" ht="14.9" hidden="false" customHeight="false" outlineLevel="0" collapsed="false">
      <c r="A361" s="1" t="s">
        <v>49</v>
      </c>
      <c r="B361" s="1" t="s">
        <v>89</v>
      </c>
      <c r="C361" s="1" t="n">
        <v>7100</v>
      </c>
      <c r="D361" s="1" t="s">
        <v>705</v>
      </c>
      <c r="E361" s="1" t="n">
        <v>43191</v>
      </c>
      <c r="F361" s="1" t="s">
        <v>869</v>
      </c>
      <c r="G361" s="140" t="n">
        <v>46126</v>
      </c>
      <c r="H361" s="1" t="n">
        <v>1230</v>
      </c>
      <c r="I361" s="1" t="s">
        <v>1285</v>
      </c>
      <c r="J361" s="1" t="s">
        <v>1283</v>
      </c>
      <c r="K361" s="1" t="n">
        <v>140</v>
      </c>
      <c r="M361" s="125" t="n">
        <f aca="false">Nominal_Activity[[#This Row],[Debit]]-Nominal_Activity[[#This Row],[Credit]]</f>
        <v>140</v>
      </c>
      <c r="N361" s="1" t="str">
        <f aca="false">IF(C361="","",IFERROR(VLOOKUP(C361,Master_Mappings!$A$4:$E$85,3,FALSE()),"UNMAPPED"))</f>
        <v>Recruitment, Benefits</v>
      </c>
      <c r="P361" s="1" t="str">
        <f aca="false">IF($C361="","",$C361&amp;"|"&amp;$E361&amp;"|"&amp;$M361&amp;"|"&amp;TEXT($G361,"yyyy-mm-dd")&amp;"|"&amp;LEFT($J361,40))</f>
        <v>7100|43191|140|2026-04-14|Lunch for meetings - Abe</v>
      </c>
      <c r="Q361" s="11" t="str">
        <f aca="false">IF(P361="","",IF(COUNTIF($P$2:$P$3000,P361)&gt;1,"DUPLICATE","OK"))</f>
        <v>OK</v>
      </c>
      <c r="R361" s="0" t="str">
        <f aca="false">IF($C361="","",IFERROR(VLOOKUP(--$C361,MM_Income!$Z$5:$AC$204,3,FALSE()),""))</f>
        <v/>
      </c>
    </row>
    <row r="362" customFormat="false" ht="14.9" hidden="false" customHeight="false" outlineLevel="0" collapsed="false">
      <c r="A362" s="1" t="s">
        <v>49</v>
      </c>
      <c r="B362" s="1" t="s">
        <v>89</v>
      </c>
      <c r="C362" s="1" t="n">
        <v>7100</v>
      </c>
      <c r="D362" s="1" t="s">
        <v>705</v>
      </c>
      <c r="E362" s="1" t="n">
        <v>43194</v>
      </c>
      <c r="F362" s="1" t="s">
        <v>869</v>
      </c>
      <c r="G362" s="140" t="n">
        <v>46127</v>
      </c>
      <c r="H362" s="1" t="n">
        <v>1230</v>
      </c>
      <c r="I362" s="1" t="s">
        <v>1286</v>
      </c>
      <c r="J362" s="1" t="s">
        <v>1283</v>
      </c>
      <c r="K362" s="1" t="n">
        <v>150</v>
      </c>
      <c r="M362" s="125" t="n">
        <f aca="false">Nominal_Activity[[#This Row],[Debit]]-Nominal_Activity[[#This Row],[Credit]]</f>
        <v>150</v>
      </c>
      <c r="N362" s="1" t="str">
        <f aca="false">IF(C362="","",IFERROR(VLOOKUP(C362,Master_Mappings!$A$4:$E$85,3,FALSE()),"UNMAPPED"))</f>
        <v>Recruitment, Benefits</v>
      </c>
      <c r="P362" s="1" t="str">
        <f aca="false">IF($C362="","",$C362&amp;"|"&amp;$E362&amp;"|"&amp;$M362&amp;"|"&amp;TEXT($G362,"yyyy-mm-dd")&amp;"|"&amp;LEFT($J362,40))</f>
        <v>7100|43194|150|2026-04-15|Lunch for meetings - Abe</v>
      </c>
      <c r="Q362" s="11" t="str">
        <f aca="false">IF(P362="","",IF(COUNTIF($P$2:$P$3000,P362)&gt;1,"DUPLICATE","OK"))</f>
        <v>OK</v>
      </c>
      <c r="R362" s="0" t="str">
        <f aca="false">IF($C362="","",IFERROR(VLOOKUP(--$C362,MM_Income!$Z$5:$AC$204,3,FALSE()),""))</f>
        <v/>
      </c>
    </row>
    <row r="363" customFormat="false" ht="14.9" hidden="false" customHeight="false" outlineLevel="0" collapsed="false">
      <c r="A363" s="1" t="s">
        <v>49</v>
      </c>
      <c r="B363" s="1" t="s">
        <v>89</v>
      </c>
      <c r="C363" s="1" t="n">
        <v>7100</v>
      </c>
      <c r="D363" s="1" t="s">
        <v>705</v>
      </c>
      <c r="E363" s="1" t="n">
        <v>43197</v>
      </c>
      <c r="F363" s="1" t="s">
        <v>869</v>
      </c>
      <c r="G363" s="140" t="n">
        <v>46128</v>
      </c>
      <c r="H363" s="1" t="n">
        <v>1230</v>
      </c>
      <c r="I363" s="1" t="s">
        <v>1287</v>
      </c>
      <c r="J363" s="1" t="s">
        <v>1281</v>
      </c>
      <c r="K363" s="1" t="n">
        <v>370</v>
      </c>
      <c r="M363" s="125" t="n">
        <f aca="false">Nominal_Activity[[#This Row],[Debit]]-Nominal_Activity[[#This Row],[Credit]]</f>
        <v>370</v>
      </c>
      <c r="N363" s="1" t="str">
        <f aca="false">IF(C363="","",IFERROR(VLOOKUP(C363,Master_Mappings!$A$4:$E$85,3,FALSE()),"UNMAPPED"))</f>
        <v>Recruitment, Benefits</v>
      </c>
      <c r="P363" s="1" t="str">
        <f aca="false">IF($C363="","",$C363&amp;"|"&amp;$E363&amp;"|"&amp;$M363&amp;"|"&amp;TEXT($G363,"yyyy-mm-dd")&amp;"|"&amp;LEFT($J363,40))</f>
        <v>7100|43197|370|2026-04-16|Lunch for Odoo training</v>
      </c>
      <c r="Q363" s="11" t="str">
        <f aca="false">IF(P363="","",IF(COUNTIF($P$2:$P$3000,P363)&gt;1,"DUPLICATE","OK"))</f>
        <v>OK</v>
      </c>
      <c r="R363" s="0" t="str">
        <f aca="false">IF($C363="","",IFERROR(VLOOKUP(--$C363,MM_Income!$Z$5:$AC$204,3,FALSE()),""))</f>
        <v/>
      </c>
    </row>
    <row r="364" customFormat="false" ht="14.9" hidden="false" customHeight="false" outlineLevel="0" collapsed="false">
      <c r="A364" s="1" t="s">
        <v>49</v>
      </c>
      <c r="B364" s="1" t="s">
        <v>89</v>
      </c>
      <c r="C364" s="1" t="n">
        <v>7100</v>
      </c>
      <c r="D364" s="1" t="s">
        <v>705</v>
      </c>
      <c r="E364" s="1" t="n">
        <v>43200</v>
      </c>
      <c r="F364" s="1" t="s">
        <v>869</v>
      </c>
      <c r="G364" s="140" t="n">
        <v>46128</v>
      </c>
      <c r="H364" s="1" t="n">
        <v>1230</v>
      </c>
      <c r="I364" s="1" t="s">
        <v>1287</v>
      </c>
      <c r="J364" s="1" t="s">
        <v>1288</v>
      </c>
      <c r="K364" s="1" t="n">
        <v>1449</v>
      </c>
      <c r="M364" s="125" t="n">
        <f aca="false">Nominal_Activity[[#This Row],[Debit]]-Nominal_Activity[[#This Row],[Credit]]</f>
        <v>1449</v>
      </c>
      <c r="N364" s="1" t="str">
        <f aca="false">IF(C364="","",IFERROR(VLOOKUP(C364,Master_Mappings!$A$4:$E$85,3,FALSE()),"UNMAPPED"))</f>
        <v>Recruitment, Benefits</v>
      </c>
      <c r="P364" s="1" t="str">
        <f aca="false">IF($C364="","",$C364&amp;"|"&amp;$E364&amp;"|"&amp;$M364&amp;"|"&amp;TEXT($G364,"yyyy-mm-dd")&amp;"|"&amp;LEFT($J364,40))</f>
        <v>7100|43200|1449|2026-04-16|Philip's Welcome lunch for staff</v>
      </c>
      <c r="Q364" s="11" t="str">
        <f aca="false">IF(P364="","",IF(COUNTIF($P$2:$P$3000,P364)&gt;1,"DUPLICATE","OK"))</f>
        <v>OK</v>
      </c>
      <c r="R364" s="0" t="str">
        <f aca="false">IF($C364="","",IFERROR(VLOOKUP(--$C364,MM_Income!$Z$5:$AC$204,3,FALSE()),""))</f>
        <v/>
      </c>
    </row>
    <row r="365" customFormat="false" ht="14.9" hidden="false" customHeight="false" outlineLevel="0" collapsed="false">
      <c r="A365" s="1" t="s">
        <v>49</v>
      </c>
      <c r="B365" s="1" t="s">
        <v>89</v>
      </c>
      <c r="C365" s="1" t="n">
        <v>7100</v>
      </c>
      <c r="D365" s="1" t="s">
        <v>705</v>
      </c>
      <c r="E365" s="1" t="n">
        <v>43201</v>
      </c>
      <c r="F365" s="1" t="s">
        <v>869</v>
      </c>
      <c r="G365" s="140" t="n">
        <v>46129</v>
      </c>
      <c r="H365" s="1" t="n">
        <v>1230</v>
      </c>
      <c r="I365" s="1" t="s">
        <v>1289</v>
      </c>
      <c r="J365" s="1" t="s">
        <v>1283</v>
      </c>
      <c r="K365" s="1" t="n">
        <v>150</v>
      </c>
      <c r="M365" s="125" t="n">
        <f aca="false">Nominal_Activity[[#This Row],[Debit]]-Nominal_Activity[[#This Row],[Credit]]</f>
        <v>150</v>
      </c>
      <c r="N365" s="1" t="str">
        <f aca="false">IF(C365="","",IFERROR(VLOOKUP(C365,Master_Mappings!$A$4:$E$85,3,FALSE()),"UNMAPPED"))</f>
        <v>Recruitment, Benefits</v>
      </c>
      <c r="P365" s="1" t="str">
        <f aca="false">IF($C365="","",$C365&amp;"|"&amp;$E365&amp;"|"&amp;$M365&amp;"|"&amp;TEXT($G365,"yyyy-mm-dd")&amp;"|"&amp;LEFT($J365,40))</f>
        <v>7100|43201|150|2026-04-17|Lunch for meetings - Abe</v>
      </c>
      <c r="Q365" s="11" t="str">
        <f aca="false">IF(P365="","",IF(COUNTIF($P$2:$P$3000,P365)&gt;1,"DUPLICATE","OK"))</f>
        <v>OK</v>
      </c>
      <c r="R365" s="0" t="str">
        <f aca="false">IF($C365="","",IFERROR(VLOOKUP(--$C365,MM_Income!$Z$5:$AC$204,3,FALSE()),""))</f>
        <v/>
      </c>
    </row>
    <row r="366" customFormat="false" ht="14.9" hidden="false" customHeight="false" outlineLevel="0" collapsed="false">
      <c r="A366" s="1" t="s">
        <v>49</v>
      </c>
      <c r="B366" s="1" t="s">
        <v>89</v>
      </c>
      <c r="C366" s="1" t="n">
        <v>7100</v>
      </c>
      <c r="D366" s="1" t="s">
        <v>705</v>
      </c>
      <c r="E366" s="1" t="n">
        <v>43203</v>
      </c>
      <c r="F366" s="1" t="s">
        <v>869</v>
      </c>
      <c r="G366" s="140" t="n">
        <v>46132</v>
      </c>
      <c r="H366" s="1" t="n">
        <v>1230</v>
      </c>
      <c r="I366" s="1" t="s">
        <v>1290</v>
      </c>
      <c r="J366" s="1" t="s">
        <v>1283</v>
      </c>
      <c r="K366" s="1" t="n">
        <v>125</v>
      </c>
      <c r="M366" s="125" t="n">
        <f aca="false">Nominal_Activity[[#This Row],[Debit]]-Nominal_Activity[[#This Row],[Credit]]</f>
        <v>125</v>
      </c>
      <c r="N366" s="1" t="str">
        <f aca="false">IF(C366="","",IFERROR(VLOOKUP(C366,Master_Mappings!$A$4:$E$85,3,FALSE()),"UNMAPPED"))</f>
        <v>Recruitment, Benefits</v>
      </c>
      <c r="P366" s="1" t="str">
        <f aca="false">IF($C366="","",$C366&amp;"|"&amp;$E366&amp;"|"&amp;$M366&amp;"|"&amp;TEXT($G366,"yyyy-mm-dd")&amp;"|"&amp;LEFT($J366,40))</f>
        <v>7100|43203|125|2026-04-20|Lunch for meetings - Abe</v>
      </c>
      <c r="Q366" s="11" t="str">
        <f aca="false">IF(P366="","",IF(COUNTIF($P$2:$P$3000,P366)&gt;1,"DUPLICATE","OK"))</f>
        <v>OK</v>
      </c>
      <c r="R366" s="0" t="str">
        <f aca="false">IF($C366="","",IFERROR(VLOOKUP(--$C366,MM_Income!$Z$5:$AC$204,3,FALSE()),""))</f>
        <v/>
      </c>
    </row>
    <row r="367" customFormat="false" ht="14.9" hidden="false" customHeight="false" outlineLevel="0" collapsed="false">
      <c r="A367" s="1" t="s">
        <v>49</v>
      </c>
      <c r="B367" s="1" t="s">
        <v>89</v>
      </c>
      <c r="C367" s="1" t="n">
        <v>7100</v>
      </c>
      <c r="D367" s="1" t="s">
        <v>705</v>
      </c>
      <c r="E367" s="1" t="n">
        <v>43208</v>
      </c>
      <c r="F367" s="1" t="s">
        <v>869</v>
      </c>
      <c r="G367" s="140" t="n">
        <v>46133</v>
      </c>
      <c r="H367" s="1" t="n">
        <v>1230</v>
      </c>
      <c r="I367" s="1" t="s">
        <v>1291</v>
      </c>
      <c r="J367" s="1" t="s">
        <v>1283</v>
      </c>
      <c r="K367" s="1" t="n">
        <v>130</v>
      </c>
      <c r="M367" s="125" t="n">
        <f aca="false">Nominal_Activity[[#This Row],[Debit]]-Nominal_Activity[[#This Row],[Credit]]</f>
        <v>130</v>
      </c>
      <c r="N367" s="1" t="str">
        <f aca="false">IF(C367="","",IFERROR(VLOOKUP(C367,Master_Mappings!$A$4:$E$85,3,FALSE()),"UNMAPPED"))</f>
        <v>Recruitment, Benefits</v>
      </c>
      <c r="P367" s="1" t="str">
        <f aca="false">IF($C367="","",$C367&amp;"|"&amp;$E367&amp;"|"&amp;$M367&amp;"|"&amp;TEXT($G367,"yyyy-mm-dd")&amp;"|"&amp;LEFT($J367,40))</f>
        <v>7100|43208|130|2026-04-21|Lunch for meetings - Abe</v>
      </c>
      <c r="Q367" s="11" t="str">
        <f aca="false">IF(P367="","",IF(COUNTIF($P$2:$P$3000,P367)&gt;1,"DUPLICATE","OK"))</f>
        <v>OK</v>
      </c>
      <c r="R367" s="0" t="str">
        <f aca="false">IF($C367="","",IFERROR(VLOOKUP(--$C367,MM_Income!$Z$5:$AC$204,3,FALSE()),""))</f>
        <v/>
      </c>
    </row>
    <row r="368" customFormat="false" ht="14.9" hidden="false" customHeight="false" outlineLevel="0" collapsed="false">
      <c r="A368" s="1" t="s">
        <v>49</v>
      </c>
      <c r="B368" s="1" t="s">
        <v>89</v>
      </c>
      <c r="C368" s="1" t="n">
        <v>7100</v>
      </c>
      <c r="D368" s="1" t="s">
        <v>705</v>
      </c>
      <c r="E368" s="1" t="n">
        <v>43213</v>
      </c>
      <c r="F368" s="1" t="s">
        <v>869</v>
      </c>
      <c r="G368" s="140" t="n">
        <v>46134</v>
      </c>
      <c r="H368" s="1" t="n">
        <v>1230</v>
      </c>
      <c r="I368" s="1" t="s">
        <v>1292</v>
      </c>
      <c r="J368" s="1" t="s">
        <v>1283</v>
      </c>
      <c r="K368" s="1" t="n">
        <v>130</v>
      </c>
      <c r="M368" s="125" t="n">
        <f aca="false">Nominal_Activity[[#This Row],[Debit]]-Nominal_Activity[[#This Row],[Credit]]</f>
        <v>130</v>
      </c>
      <c r="N368" s="1" t="str">
        <f aca="false">IF(C368="","",IFERROR(VLOOKUP(C368,Master_Mappings!$A$4:$E$85,3,FALSE()),"UNMAPPED"))</f>
        <v>Recruitment, Benefits</v>
      </c>
      <c r="P368" s="1" t="str">
        <f aca="false">IF($C368="","",$C368&amp;"|"&amp;$E368&amp;"|"&amp;$M368&amp;"|"&amp;TEXT($G368,"yyyy-mm-dd")&amp;"|"&amp;LEFT($J368,40))</f>
        <v>7100|43213|130|2026-04-22|Lunch for meetings - Abe</v>
      </c>
      <c r="Q368" s="11" t="str">
        <f aca="false">IF(P368="","",IF(COUNTIF($P$2:$P$3000,P368)&gt;1,"DUPLICATE","OK"))</f>
        <v>OK</v>
      </c>
      <c r="R368" s="0" t="str">
        <f aca="false">IF($C368="","",IFERROR(VLOOKUP(--$C368,MM_Income!$Z$5:$AC$204,3,FALSE()),""))</f>
        <v/>
      </c>
    </row>
    <row r="369" customFormat="false" ht="14.9" hidden="false" customHeight="false" outlineLevel="0" collapsed="false">
      <c r="A369" s="1" t="s">
        <v>49</v>
      </c>
      <c r="B369" s="1" t="s">
        <v>89</v>
      </c>
      <c r="C369" s="1" t="n">
        <v>7100</v>
      </c>
      <c r="D369" s="1" t="s">
        <v>705</v>
      </c>
      <c r="E369" s="1" t="n">
        <v>43306</v>
      </c>
      <c r="F369" s="1" t="s">
        <v>869</v>
      </c>
      <c r="G369" s="140" t="n">
        <v>46139</v>
      </c>
      <c r="H369" s="1" t="n">
        <v>1230</v>
      </c>
      <c r="I369" s="1" t="s">
        <v>1293</v>
      </c>
      <c r="J369" s="1" t="s">
        <v>1283</v>
      </c>
      <c r="K369" s="1" t="n">
        <v>130</v>
      </c>
      <c r="M369" s="125" t="n">
        <f aca="false">Nominal_Activity[[#This Row],[Debit]]-Nominal_Activity[[#This Row],[Credit]]</f>
        <v>130</v>
      </c>
      <c r="N369" s="1" t="str">
        <f aca="false">IF(C369="","",IFERROR(VLOOKUP(C369,Master_Mappings!$A$4:$E$85,3,FALSE()),"UNMAPPED"))</f>
        <v>Recruitment, Benefits</v>
      </c>
      <c r="P369" s="1" t="str">
        <f aca="false">IF($C369="","",$C369&amp;"|"&amp;$E369&amp;"|"&amp;$M369&amp;"|"&amp;TEXT($G369,"yyyy-mm-dd")&amp;"|"&amp;LEFT($J369,40))</f>
        <v>7100|43306|130|2026-04-27|Lunch for meetings - Abe</v>
      </c>
      <c r="Q369" s="11" t="str">
        <f aca="false">IF(P369="","",IF(COUNTIF($P$2:$P$3000,P369)&gt;1,"DUPLICATE","OK"))</f>
        <v>OK</v>
      </c>
      <c r="R369" s="0" t="str">
        <f aca="false">IF($C369="","",IFERROR(VLOOKUP(--$C369,MM_Income!$Z$5:$AC$204,3,FALSE()),""))</f>
        <v/>
      </c>
    </row>
    <row r="370" customFormat="false" ht="14.9" hidden="false" customHeight="false" outlineLevel="0" collapsed="false">
      <c r="A370" s="1" t="s">
        <v>49</v>
      </c>
      <c r="B370" s="1" t="s">
        <v>89</v>
      </c>
      <c r="C370" s="1" t="n">
        <v>7100</v>
      </c>
      <c r="D370" s="1" t="s">
        <v>705</v>
      </c>
      <c r="E370" s="1" t="n">
        <v>43311</v>
      </c>
      <c r="F370" s="1" t="s">
        <v>869</v>
      </c>
      <c r="G370" s="140" t="n">
        <v>46140</v>
      </c>
      <c r="H370" s="1" t="n">
        <v>1230</v>
      </c>
      <c r="I370" s="1" t="s">
        <v>1294</v>
      </c>
      <c r="J370" s="1" t="s">
        <v>1283</v>
      </c>
      <c r="K370" s="1" t="n">
        <v>130</v>
      </c>
      <c r="M370" s="125" t="n">
        <f aca="false">Nominal_Activity[[#This Row],[Debit]]-Nominal_Activity[[#This Row],[Credit]]</f>
        <v>130</v>
      </c>
      <c r="N370" s="1" t="str">
        <f aca="false">IF(C370="","",IFERROR(VLOOKUP(C370,Master_Mappings!$A$4:$E$85,3,FALSE()),"UNMAPPED"))</f>
        <v>Recruitment, Benefits</v>
      </c>
      <c r="P370" s="1" t="str">
        <f aca="false">IF($C370="","",$C370&amp;"|"&amp;$E370&amp;"|"&amp;$M370&amp;"|"&amp;TEXT($G370,"yyyy-mm-dd")&amp;"|"&amp;LEFT($J370,40))</f>
        <v>7100|43311|130|2026-04-28|Lunch for meetings - Abe</v>
      </c>
      <c r="Q370" s="11" t="str">
        <f aca="false">IF(P370="","",IF(COUNTIF($P$2:$P$3000,P370)&gt;1,"DUPLICATE","OK"))</f>
        <v>OK</v>
      </c>
      <c r="R370" s="0" t="str">
        <f aca="false">IF($C370="","",IFERROR(VLOOKUP(--$C370,MM_Income!$Z$5:$AC$204,3,FALSE()),""))</f>
        <v/>
      </c>
    </row>
    <row r="371" customFormat="false" ht="14.9" hidden="false" customHeight="false" outlineLevel="0" collapsed="false">
      <c r="A371" s="1" t="s">
        <v>49</v>
      </c>
      <c r="B371" s="1" t="s">
        <v>89</v>
      </c>
      <c r="C371" s="1" t="n">
        <v>7100</v>
      </c>
      <c r="D371" s="1" t="s">
        <v>705</v>
      </c>
      <c r="E371" s="1" t="n">
        <v>43502</v>
      </c>
      <c r="F371" s="1" t="s">
        <v>847</v>
      </c>
      <c r="G371" s="140" t="n">
        <v>46147</v>
      </c>
      <c r="H371" s="1" t="s">
        <v>1266</v>
      </c>
      <c r="I371" s="1" t="s">
        <v>1295</v>
      </c>
      <c r="J371" s="1" t="s">
        <v>1296</v>
      </c>
      <c r="K371" s="1" t="n">
        <v>480</v>
      </c>
      <c r="M371" s="125" t="n">
        <f aca="false">Nominal_Activity[[#This Row],[Debit]]-Nominal_Activity[[#This Row],[Credit]]</f>
        <v>480</v>
      </c>
      <c r="N371" s="1" t="str">
        <f aca="false">IF(C371="","",IFERROR(VLOOKUP(C371,Master_Mappings!$A$4:$E$85,3,FALSE()),"UNMAPPED"))</f>
        <v>Recruitment, Benefits</v>
      </c>
      <c r="P371" s="1" t="str">
        <f aca="false">IF($C371="","",$C371&amp;"|"&amp;$E371&amp;"|"&amp;$M371&amp;"|"&amp;TEXT($G371,"yyyy-mm-dd")&amp;"|"&amp;LEFT($J371,40))</f>
        <v>7100|43502|480|2026-05-05|Special Ice Dispenser, Bottle</v>
      </c>
      <c r="Q371" s="11" t="str">
        <f aca="false">IF(P371="","",IF(COUNTIF($P$2:$P$3000,P371)&gt;1,"DUPLICATE","OK"))</f>
        <v>OK</v>
      </c>
      <c r="R371" s="0" t="str">
        <f aca="false">IF($C371="","",IFERROR(VLOOKUP(--$C371,MM_Income!$Z$5:$AC$204,3,FALSE()),""))</f>
        <v/>
      </c>
    </row>
    <row r="372" customFormat="false" ht="14.9" hidden="false" customHeight="false" outlineLevel="0" collapsed="false">
      <c r="A372" s="1" t="s">
        <v>49</v>
      </c>
      <c r="B372" s="1" t="s">
        <v>89</v>
      </c>
      <c r="C372" s="1" t="n">
        <v>7100</v>
      </c>
      <c r="D372" s="1" t="s">
        <v>705</v>
      </c>
      <c r="E372" s="1" t="n">
        <v>43510</v>
      </c>
      <c r="F372" s="1" t="s">
        <v>869</v>
      </c>
      <c r="G372" s="140" t="n">
        <v>46147</v>
      </c>
      <c r="H372" s="1" t="n">
        <v>1230</v>
      </c>
      <c r="I372" s="1" t="s">
        <v>1297</v>
      </c>
      <c r="J372" s="1" t="s">
        <v>1298</v>
      </c>
      <c r="K372" s="1" t="n">
        <v>150</v>
      </c>
      <c r="M372" s="125" t="n">
        <f aca="false">Nominal_Activity[[#This Row],[Debit]]-Nominal_Activity[[#This Row],[Credit]]</f>
        <v>150</v>
      </c>
      <c r="N372" s="1" t="str">
        <f aca="false">IF(C372="","",IFERROR(VLOOKUP(C372,Master_Mappings!$A$4:$E$85,3,FALSE()),"UNMAPPED"))</f>
        <v>Recruitment, Benefits</v>
      </c>
      <c r="P372" s="1" t="str">
        <f aca="false">IF($C372="","",$C372&amp;"|"&amp;$E372&amp;"|"&amp;$M372&amp;"|"&amp;TEXT($G372,"yyyy-mm-dd")&amp;"|"&amp;LEFT($J372,40))</f>
        <v>7100|43510|150|2026-05-05|Lunch for meetings Abe</v>
      </c>
      <c r="Q372" s="11" t="str">
        <f aca="false">IF(P372="","",IF(COUNTIF($P$2:$P$3000,P372)&gt;1,"DUPLICATE","OK"))</f>
        <v>OK</v>
      </c>
      <c r="R372" s="0" t="str">
        <f aca="false">IF($C372="","",IFERROR(VLOOKUP(--$C372,MM_Income!$Z$5:$AC$204,3,FALSE()),""))</f>
        <v/>
      </c>
    </row>
    <row r="373" customFormat="false" ht="14.9" hidden="false" customHeight="false" outlineLevel="0" collapsed="false">
      <c r="A373" s="1" t="s">
        <v>49</v>
      </c>
      <c r="B373" s="1" t="s">
        <v>89</v>
      </c>
      <c r="C373" s="1" t="n">
        <v>7100</v>
      </c>
      <c r="D373" s="1" t="s">
        <v>705</v>
      </c>
      <c r="E373" s="1" t="n">
        <v>43516</v>
      </c>
      <c r="F373" s="1" t="s">
        <v>869</v>
      </c>
      <c r="G373" s="140" t="n">
        <v>46148</v>
      </c>
      <c r="H373" s="1" t="n">
        <v>1230</v>
      </c>
      <c r="I373" s="1" t="s">
        <v>1299</v>
      </c>
      <c r="J373" s="1" t="s">
        <v>1298</v>
      </c>
      <c r="K373" s="1" t="n">
        <v>190</v>
      </c>
      <c r="M373" s="125" t="n">
        <f aca="false">Nominal_Activity[[#This Row],[Debit]]-Nominal_Activity[[#This Row],[Credit]]</f>
        <v>190</v>
      </c>
      <c r="N373" s="1" t="str">
        <f aca="false">IF(C373="","",IFERROR(VLOOKUP(C373,Master_Mappings!$A$4:$E$85,3,FALSE()),"UNMAPPED"))</f>
        <v>Recruitment, Benefits</v>
      </c>
      <c r="P373" s="1" t="str">
        <f aca="false">IF($C373="","",$C373&amp;"|"&amp;$E373&amp;"|"&amp;$M373&amp;"|"&amp;TEXT($G373,"yyyy-mm-dd")&amp;"|"&amp;LEFT($J373,40))</f>
        <v>7100|43516|190|2026-05-06|Lunch for meetings Abe</v>
      </c>
      <c r="Q373" s="11" t="str">
        <f aca="false">IF(P373="","",IF(COUNTIF($P$2:$P$3000,P373)&gt;1,"DUPLICATE","OK"))</f>
        <v>OK</v>
      </c>
      <c r="R373" s="0" t="str">
        <f aca="false">IF($C373="","",IFERROR(VLOOKUP(--$C373,MM_Income!$Z$5:$AC$204,3,FALSE()),""))</f>
        <v/>
      </c>
    </row>
    <row r="374" customFormat="false" ht="14.9" hidden="false" customHeight="false" outlineLevel="0" collapsed="false">
      <c r="A374" s="1" t="s">
        <v>49</v>
      </c>
      <c r="B374" s="1" t="s">
        <v>89</v>
      </c>
      <c r="C374" s="1" t="n">
        <v>7100</v>
      </c>
      <c r="D374" s="1" t="s">
        <v>705</v>
      </c>
      <c r="E374" s="1" t="n">
        <v>43519</v>
      </c>
      <c r="F374" s="1" t="s">
        <v>869</v>
      </c>
      <c r="G374" s="140" t="n">
        <v>46149</v>
      </c>
      <c r="H374" s="1" t="n">
        <v>1230</v>
      </c>
      <c r="I374" s="1" t="s">
        <v>1300</v>
      </c>
      <c r="J374" s="1" t="s">
        <v>1298</v>
      </c>
      <c r="K374" s="1" t="n">
        <v>150</v>
      </c>
      <c r="M374" s="125" t="n">
        <f aca="false">Nominal_Activity[[#This Row],[Debit]]-Nominal_Activity[[#This Row],[Credit]]</f>
        <v>150</v>
      </c>
      <c r="N374" s="1" t="str">
        <f aca="false">IF(C374="","",IFERROR(VLOOKUP(C374,Master_Mappings!$A$4:$E$85,3,FALSE()),"UNMAPPED"))</f>
        <v>Recruitment, Benefits</v>
      </c>
      <c r="P374" s="1" t="str">
        <f aca="false">IF($C374="","",$C374&amp;"|"&amp;$E374&amp;"|"&amp;$M374&amp;"|"&amp;TEXT($G374,"yyyy-mm-dd")&amp;"|"&amp;LEFT($J374,40))</f>
        <v>7100|43519|150|2026-05-07|Lunch for meetings Abe</v>
      </c>
      <c r="Q374" s="11" t="str">
        <f aca="false">IF(P374="","",IF(COUNTIF($P$2:$P$3000,P374)&gt;1,"DUPLICATE","OK"))</f>
        <v>OK</v>
      </c>
      <c r="R374" s="0" t="str">
        <f aca="false">IF($C374="","",IFERROR(VLOOKUP(--$C374,MM_Income!$Z$5:$AC$204,3,FALSE()),""))</f>
        <v/>
      </c>
    </row>
    <row r="375" customFormat="false" ht="14.9" hidden="false" customHeight="false" outlineLevel="0" collapsed="false">
      <c r="A375" s="1" t="s">
        <v>49</v>
      </c>
      <c r="B375" s="1" t="s">
        <v>89</v>
      </c>
      <c r="C375" s="1" t="n">
        <v>7100</v>
      </c>
      <c r="D375" s="1" t="s">
        <v>705</v>
      </c>
      <c r="E375" s="1" t="n">
        <v>43521</v>
      </c>
      <c r="F375" s="1" t="s">
        <v>869</v>
      </c>
      <c r="G375" s="140" t="n">
        <v>46150</v>
      </c>
      <c r="H375" s="1" t="n">
        <v>1230</v>
      </c>
      <c r="I375" s="1" t="s">
        <v>1301</v>
      </c>
      <c r="J375" s="1" t="s">
        <v>1298</v>
      </c>
      <c r="K375" s="1" t="n">
        <v>165</v>
      </c>
      <c r="M375" s="125" t="n">
        <f aca="false">Nominal_Activity[[#This Row],[Debit]]-Nominal_Activity[[#This Row],[Credit]]</f>
        <v>165</v>
      </c>
      <c r="N375" s="1" t="str">
        <f aca="false">IF(C375="","",IFERROR(VLOOKUP(C375,Master_Mappings!$A$4:$E$85,3,FALSE()),"UNMAPPED"))</f>
        <v>Recruitment, Benefits</v>
      </c>
      <c r="P375" s="1" t="str">
        <f aca="false">IF($C375="","",$C375&amp;"|"&amp;$E375&amp;"|"&amp;$M375&amp;"|"&amp;TEXT($G375,"yyyy-mm-dd")&amp;"|"&amp;LEFT($J375,40))</f>
        <v>7100|43521|165|2026-05-08|Lunch for meetings Abe</v>
      </c>
      <c r="Q375" s="11" t="str">
        <f aca="false">IF(P375="","",IF(COUNTIF($P$2:$P$3000,P375)&gt;1,"DUPLICATE","OK"))</f>
        <v>OK</v>
      </c>
      <c r="R375" s="0" t="str">
        <f aca="false">IF($C375="","",IFERROR(VLOOKUP(--$C375,MM_Income!$Z$5:$AC$204,3,FALSE()),""))</f>
        <v/>
      </c>
    </row>
    <row r="376" customFormat="false" ht="14.9" hidden="false" customHeight="false" outlineLevel="0" collapsed="false">
      <c r="A376" s="1" t="s">
        <v>49</v>
      </c>
      <c r="B376" s="1" t="s">
        <v>89</v>
      </c>
      <c r="C376" s="1" t="n">
        <v>7100</v>
      </c>
      <c r="D376" s="1" t="s">
        <v>705</v>
      </c>
      <c r="E376" s="1" t="n">
        <v>43537</v>
      </c>
      <c r="F376" s="1" t="s">
        <v>869</v>
      </c>
      <c r="G376" s="140" t="n">
        <v>46157</v>
      </c>
      <c r="H376" s="1" t="n">
        <v>1230</v>
      </c>
      <c r="I376" s="1" t="s">
        <v>1302</v>
      </c>
      <c r="J376" s="1" t="s">
        <v>1298</v>
      </c>
      <c r="K376" s="1" t="n">
        <v>150</v>
      </c>
      <c r="M376" s="125" t="n">
        <f aca="false">Nominal_Activity[[#This Row],[Debit]]-Nominal_Activity[[#This Row],[Credit]]</f>
        <v>150</v>
      </c>
      <c r="N376" s="1" t="str">
        <f aca="false">IF(C376="","",IFERROR(VLOOKUP(C376,Master_Mappings!$A$4:$E$85,3,FALSE()),"UNMAPPED"))</f>
        <v>Recruitment, Benefits</v>
      </c>
      <c r="P376" s="1" t="str">
        <f aca="false">IF($C376="","",$C376&amp;"|"&amp;$E376&amp;"|"&amp;$M376&amp;"|"&amp;TEXT($G376,"yyyy-mm-dd")&amp;"|"&amp;LEFT($J376,40))</f>
        <v>7100|43537|150|2026-05-15|Lunch for meetings Abe</v>
      </c>
      <c r="Q376" s="11" t="str">
        <f aca="false">IF(P376="","",IF(COUNTIF($P$2:$P$3000,P376)&gt;1,"DUPLICATE","OK"))</f>
        <v>OK</v>
      </c>
      <c r="R376" s="0" t="str">
        <f aca="false">IF($C376="","",IFERROR(VLOOKUP(--$C376,MM_Income!$Z$5:$AC$204,3,FALSE()),""))</f>
        <v/>
      </c>
    </row>
    <row r="377" customFormat="false" ht="14.9" hidden="false" customHeight="false" outlineLevel="0" collapsed="false">
      <c r="A377" s="1" t="s">
        <v>49</v>
      </c>
      <c r="B377" s="1" t="s">
        <v>89</v>
      </c>
      <c r="C377" s="1" t="n">
        <v>7100</v>
      </c>
      <c r="D377" s="1" t="s">
        <v>705</v>
      </c>
      <c r="E377" s="1" t="n">
        <v>43540</v>
      </c>
      <c r="F377" s="1" t="s">
        <v>869</v>
      </c>
      <c r="G377" s="140" t="n">
        <v>46160</v>
      </c>
      <c r="H377" s="1" t="n">
        <v>1230</v>
      </c>
      <c r="I377" s="1" t="s">
        <v>1303</v>
      </c>
      <c r="J377" s="1" t="s">
        <v>1298</v>
      </c>
      <c r="K377" s="1" t="n">
        <v>140</v>
      </c>
      <c r="M377" s="125" t="n">
        <f aca="false">Nominal_Activity[[#This Row],[Debit]]-Nominal_Activity[[#This Row],[Credit]]</f>
        <v>140</v>
      </c>
      <c r="N377" s="1" t="str">
        <f aca="false">IF(C377="","",IFERROR(VLOOKUP(C377,Master_Mappings!$A$4:$E$85,3,FALSE()),"UNMAPPED"))</f>
        <v>Recruitment, Benefits</v>
      </c>
      <c r="P377" s="1" t="str">
        <f aca="false">IF($C377="","",$C377&amp;"|"&amp;$E377&amp;"|"&amp;$M377&amp;"|"&amp;TEXT($G377,"yyyy-mm-dd")&amp;"|"&amp;LEFT($J377,40))</f>
        <v>7100|43540|140|2026-05-18|Lunch for meetings Abe</v>
      </c>
      <c r="Q377" s="11" t="str">
        <f aca="false">IF(P377="","",IF(COUNTIF($P$2:$P$3000,P377)&gt;1,"DUPLICATE","OK"))</f>
        <v>OK</v>
      </c>
      <c r="R377" s="0" t="str">
        <f aca="false">IF($C377="","",IFERROR(VLOOKUP(--$C377,MM_Income!$Z$5:$AC$204,3,FALSE()),""))</f>
        <v/>
      </c>
    </row>
    <row r="378" customFormat="false" ht="14.9" hidden="false" customHeight="false" outlineLevel="0" collapsed="false">
      <c r="A378" s="1" t="s">
        <v>49</v>
      </c>
      <c r="B378" s="1" t="s">
        <v>89</v>
      </c>
      <c r="C378" s="1" t="n">
        <v>7100</v>
      </c>
      <c r="D378" s="1" t="s">
        <v>705</v>
      </c>
      <c r="E378" s="1" t="n">
        <v>43543</v>
      </c>
      <c r="F378" s="1" t="s">
        <v>847</v>
      </c>
      <c r="G378" s="140" t="n">
        <v>46121</v>
      </c>
      <c r="H378" s="1" t="s">
        <v>1266</v>
      </c>
      <c r="I378" s="1" t="s">
        <v>1304</v>
      </c>
      <c r="J378" s="1" t="s">
        <v>1296</v>
      </c>
      <c r="K378" s="1" t="n">
        <v>480</v>
      </c>
      <c r="M378" s="125" t="n">
        <f aca="false">Nominal_Activity[[#This Row],[Debit]]-Nominal_Activity[[#This Row],[Credit]]</f>
        <v>480</v>
      </c>
      <c r="N378" s="1" t="str">
        <f aca="false">IF(C378="","",IFERROR(VLOOKUP(C378,Master_Mappings!$A$4:$E$85,3,FALSE()),"UNMAPPED"))</f>
        <v>Recruitment, Benefits</v>
      </c>
      <c r="P378" s="1" t="str">
        <f aca="false">IF($C378="","",$C378&amp;"|"&amp;$E378&amp;"|"&amp;$M378&amp;"|"&amp;TEXT($G378,"yyyy-mm-dd")&amp;"|"&amp;LEFT($J378,40))</f>
        <v>7100|43543|480|2026-04-09|Special Ice Dispenser, Bottle</v>
      </c>
      <c r="Q378" s="11" t="str">
        <f aca="false">IF(P378="","",IF(COUNTIF($P$2:$P$3000,P378)&gt;1,"DUPLICATE","OK"))</f>
        <v>OK</v>
      </c>
      <c r="R378" s="0" t="str">
        <f aca="false">IF($C378="","",IFERROR(VLOOKUP(--$C378,MM_Income!$Z$5:$AC$204,3,FALSE()),""))</f>
        <v/>
      </c>
    </row>
    <row r="379" customFormat="false" ht="14.9" hidden="false" customHeight="false" outlineLevel="0" collapsed="false">
      <c r="A379" s="1" t="s">
        <v>49</v>
      </c>
      <c r="B379" s="1" t="s">
        <v>89</v>
      </c>
      <c r="C379" s="1" t="n">
        <v>7100</v>
      </c>
      <c r="D379" s="1" t="s">
        <v>705</v>
      </c>
      <c r="E379" s="1" t="n">
        <v>43800</v>
      </c>
      <c r="F379" s="1" t="s">
        <v>869</v>
      </c>
      <c r="G379" s="140" t="n">
        <v>46144</v>
      </c>
      <c r="H379" s="1" t="n">
        <v>1260</v>
      </c>
      <c r="I379" s="1" t="s">
        <v>1305</v>
      </c>
      <c r="J379" s="1" t="s">
        <v>1306</v>
      </c>
      <c r="K379" s="1" t="n">
        <v>5000</v>
      </c>
      <c r="M379" s="125" t="n">
        <f aca="false">Nominal_Activity[[#This Row],[Debit]]-Nominal_Activity[[#This Row],[Credit]]</f>
        <v>5000</v>
      </c>
      <c r="N379" s="1" t="str">
        <f aca="false">IF(C379="","",IFERROR(VLOOKUP(C379,Master_Mappings!$A$4:$E$85,3,FALSE()),"UNMAPPED"))</f>
        <v>Recruitment, Benefits</v>
      </c>
      <c r="P379" s="1" t="str">
        <f aca="false">IF($C379="","",$C379&amp;"|"&amp;$E379&amp;"|"&amp;$M379&amp;"|"&amp;TEXT($G379,"yyyy-mm-dd")&amp;"|"&amp;LEFT($J379,40))</f>
        <v>7100|43800|5000|2026-05-02|Money for Augustus Father's funeral</v>
      </c>
      <c r="Q379" s="11" t="str">
        <f aca="false">IF(P379="","",IF(COUNTIF($P$2:$P$3000,P379)&gt;1,"DUPLICATE","OK"))</f>
        <v>OK</v>
      </c>
      <c r="R379" s="0" t="str">
        <f aca="false">IF($C379="","",IFERROR(VLOOKUP(--$C379,MM_Income!$Z$5:$AC$204,3,FALSE()),""))</f>
        <v/>
      </c>
    </row>
    <row r="380" customFormat="false" ht="14.9" hidden="false" customHeight="false" outlineLevel="0" collapsed="false">
      <c r="A380" s="1" t="s">
        <v>49</v>
      </c>
      <c r="B380" s="1" t="s">
        <v>89</v>
      </c>
      <c r="C380" s="1" t="n">
        <v>7100</v>
      </c>
      <c r="D380" s="1" t="s">
        <v>705</v>
      </c>
      <c r="E380" s="1" t="n">
        <v>43884</v>
      </c>
      <c r="F380" s="1" t="s">
        <v>869</v>
      </c>
      <c r="G380" s="140" t="n">
        <v>46161</v>
      </c>
      <c r="H380" s="1" t="n">
        <v>1230</v>
      </c>
      <c r="I380" s="1" t="s">
        <v>1307</v>
      </c>
      <c r="J380" s="1" t="s">
        <v>1308</v>
      </c>
      <c r="K380" s="1" t="n">
        <v>150</v>
      </c>
      <c r="M380" s="125" t="n">
        <f aca="false">Nominal_Activity[[#This Row],[Debit]]-Nominal_Activity[[#This Row],[Credit]]</f>
        <v>150</v>
      </c>
      <c r="N380" s="1" t="str">
        <f aca="false">IF(C380="","",IFERROR(VLOOKUP(C380,Master_Mappings!$A$4:$E$85,3,FALSE()),"UNMAPPED"))</f>
        <v>Recruitment, Benefits</v>
      </c>
      <c r="P380" s="1" t="str">
        <f aca="false">IF($C380="","",$C380&amp;"|"&amp;$E380&amp;"|"&amp;$M380&amp;"|"&amp;TEXT($G380,"yyyy-mm-dd")&amp;"|"&amp;LEFT($J380,40))</f>
        <v>7100|43884|150|2026-05-19|Lunch for Meetings -Abe</v>
      </c>
      <c r="Q380" s="11" t="str">
        <f aca="false">IF(P380="","",IF(COUNTIF($P$2:$P$3000,P380)&gt;1,"DUPLICATE","OK"))</f>
        <v>OK</v>
      </c>
      <c r="R380" s="0" t="str">
        <f aca="false">IF($C380="","",IFERROR(VLOOKUP(--$C380,MM_Income!$Z$5:$AC$204,3,FALSE()),""))</f>
        <v/>
      </c>
    </row>
    <row r="381" customFormat="false" ht="14.9" hidden="false" customHeight="false" outlineLevel="0" collapsed="false">
      <c r="A381" s="1" t="s">
        <v>49</v>
      </c>
      <c r="B381" s="1" t="s">
        <v>89</v>
      </c>
      <c r="C381" s="1" t="n">
        <v>7100</v>
      </c>
      <c r="D381" s="1" t="s">
        <v>705</v>
      </c>
      <c r="E381" s="1" t="n">
        <v>43887</v>
      </c>
      <c r="F381" s="1" t="s">
        <v>869</v>
      </c>
      <c r="G381" s="140" t="n">
        <v>46162</v>
      </c>
      <c r="H381" s="1" t="n">
        <v>1230</v>
      </c>
      <c r="I381" s="1" t="s">
        <v>1309</v>
      </c>
      <c r="J381" s="1" t="s">
        <v>1308</v>
      </c>
      <c r="K381" s="1" t="n">
        <v>150</v>
      </c>
      <c r="M381" s="125" t="n">
        <f aca="false">Nominal_Activity[[#This Row],[Debit]]-Nominal_Activity[[#This Row],[Credit]]</f>
        <v>150</v>
      </c>
      <c r="N381" s="1" t="str">
        <f aca="false">IF(C381="","",IFERROR(VLOOKUP(C381,Master_Mappings!$A$4:$E$85,3,FALSE()),"UNMAPPED"))</f>
        <v>Recruitment, Benefits</v>
      </c>
      <c r="P381" s="1" t="str">
        <f aca="false">IF($C381="","",$C381&amp;"|"&amp;$E381&amp;"|"&amp;$M381&amp;"|"&amp;TEXT($G381,"yyyy-mm-dd")&amp;"|"&amp;LEFT($J381,40))</f>
        <v>7100|43887|150|2026-05-20|Lunch for Meetings -Abe</v>
      </c>
      <c r="Q381" s="11" t="str">
        <f aca="false">IF(P381="","",IF(COUNTIF($P$2:$P$3000,P381)&gt;1,"DUPLICATE","OK"))</f>
        <v>OK</v>
      </c>
      <c r="R381" s="0" t="str">
        <f aca="false">IF($C381="","",IFERROR(VLOOKUP(--$C381,MM_Income!$Z$5:$AC$204,3,FALSE()),""))</f>
        <v/>
      </c>
    </row>
    <row r="382" customFormat="false" ht="14.9" hidden="false" customHeight="false" outlineLevel="0" collapsed="false">
      <c r="A382" s="1" t="s">
        <v>49</v>
      </c>
      <c r="B382" s="1" t="s">
        <v>89</v>
      </c>
      <c r="C382" s="1" t="n">
        <v>7100</v>
      </c>
      <c r="D382" s="1" t="s">
        <v>705</v>
      </c>
      <c r="E382" s="1" t="n">
        <v>43890</v>
      </c>
      <c r="F382" s="1" t="s">
        <v>869</v>
      </c>
      <c r="G382" s="140" t="n">
        <v>46163</v>
      </c>
      <c r="H382" s="1" t="n">
        <v>1230</v>
      </c>
      <c r="I382" s="1" t="s">
        <v>1310</v>
      </c>
      <c r="J382" s="1" t="s">
        <v>1308</v>
      </c>
      <c r="K382" s="1" t="n">
        <v>150</v>
      </c>
      <c r="M382" s="125" t="n">
        <f aca="false">Nominal_Activity[[#This Row],[Debit]]-Nominal_Activity[[#This Row],[Credit]]</f>
        <v>150</v>
      </c>
      <c r="N382" s="1" t="str">
        <f aca="false">IF(C382="","",IFERROR(VLOOKUP(C382,Master_Mappings!$A$4:$E$85,3,FALSE()),"UNMAPPED"))</f>
        <v>Recruitment, Benefits</v>
      </c>
      <c r="P382" s="1" t="str">
        <f aca="false">IF($C382="","",$C382&amp;"|"&amp;$E382&amp;"|"&amp;$M382&amp;"|"&amp;TEXT($G382,"yyyy-mm-dd")&amp;"|"&amp;LEFT($J382,40))</f>
        <v>7100|43890|150|2026-05-21|Lunch for Meetings -Abe</v>
      </c>
      <c r="Q382" s="11" t="str">
        <f aca="false">IF(P382="","",IF(COUNTIF($P$2:$P$3000,P382)&gt;1,"DUPLICATE","OK"))</f>
        <v>OK</v>
      </c>
      <c r="R382" s="0" t="str">
        <f aca="false">IF($C382="","",IFERROR(VLOOKUP(--$C382,MM_Income!$Z$5:$AC$204,3,FALSE()),""))</f>
        <v/>
      </c>
    </row>
    <row r="383" customFormat="false" ht="14.9" hidden="false" customHeight="false" outlineLevel="0" collapsed="false">
      <c r="A383" s="1" t="s">
        <v>49</v>
      </c>
      <c r="B383" s="1" t="s">
        <v>89</v>
      </c>
      <c r="C383" s="1" t="n">
        <v>7100</v>
      </c>
      <c r="D383" s="1" t="s">
        <v>705</v>
      </c>
      <c r="E383" s="1" t="n">
        <v>43893</v>
      </c>
      <c r="F383" s="1" t="s">
        <v>869</v>
      </c>
      <c r="G383" s="140" t="n">
        <v>46164</v>
      </c>
      <c r="H383" s="1" t="n">
        <v>1230</v>
      </c>
      <c r="I383" s="1" t="s">
        <v>1311</v>
      </c>
      <c r="J383" s="1" t="s">
        <v>1308</v>
      </c>
      <c r="K383" s="1" t="n">
        <v>130</v>
      </c>
      <c r="M383" s="125" t="n">
        <f aca="false">Nominal_Activity[[#This Row],[Debit]]-Nominal_Activity[[#This Row],[Credit]]</f>
        <v>130</v>
      </c>
      <c r="N383" s="1" t="str">
        <f aca="false">IF(C383="","",IFERROR(VLOOKUP(C383,Master_Mappings!$A$4:$E$85,3,FALSE()),"UNMAPPED"))</f>
        <v>Recruitment, Benefits</v>
      </c>
      <c r="P383" s="1" t="str">
        <f aca="false">IF($C383="","",$C383&amp;"|"&amp;$E383&amp;"|"&amp;$M383&amp;"|"&amp;TEXT($G383,"yyyy-mm-dd")&amp;"|"&amp;LEFT($J383,40))</f>
        <v>7100|43893|130|2026-05-22|Lunch for Meetings -Abe</v>
      </c>
      <c r="Q383" s="11" t="str">
        <f aca="false">IF(P383="","",IF(COUNTIF($P$2:$P$3000,P383)&gt;1,"DUPLICATE","OK"))</f>
        <v>OK</v>
      </c>
      <c r="R383" s="0" t="str">
        <f aca="false">IF($C383="","",IFERROR(VLOOKUP(--$C383,MM_Income!$Z$5:$AC$204,3,FALSE()),""))</f>
        <v/>
      </c>
    </row>
    <row r="384" customFormat="false" ht="14.9" hidden="false" customHeight="false" outlineLevel="0" collapsed="false">
      <c r="A384" s="1" t="s">
        <v>49</v>
      </c>
      <c r="B384" s="1" t="s">
        <v>89</v>
      </c>
      <c r="C384" s="1" t="n">
        <v>7100</v>
      </c>
      <c r="D384" s="1" t="s">
        <v>705</v>
      </c>
      <c r="E384" s="1" t="n">
        <v>43896</v>
      </c>
      <c r="F384" s="1" t="s">
        <v>869</v>
      </c>
      <c r="G384" s="140" t="n">
        <v>46164</v>
      </c>
      <c r="H384" s="1" t="n">
        <v>1230</v>
      </c>
      <c r="I384" s="1" t="s">
        <v>1312</v>
      </c>
      <c r="J384" s="1" t="s">
        <v>1313</v>
      </c>
      <c r="K384" s="1" t="n">
        <v>33</v>
      </c>
      <c r="M384" s="125" t="n">
        <f aca="false">Nominal_Activity[[#This Row],[Debit]]-Nominal_Activity[[#This Row],[Credit]]</f>
        <v>33</v>
      </c>
      <c r="N384" s="1" t="str">
        <f aca="false">IF(C384="","",IFERROR(VLOOKUP(C384,Master_Mappings!$A$4:$E$85,3,FALSE()),"UNMAPPED"))</f>
        <v>Recruitment, Benefits</v>
      </c>
      <c r="P384" s="1" t="str">
        <f aca="false">IF($C384="","",$C384&amp;"|"&amp;$E384&amp;"|"&amp;$M384&amp;"|"&amp;TEXT($G384,"yyyy-mm-dd")&amp;"|"&amp;LEFT($J384,40))</f>
        <v>7100|43896|33|2026-05-22|Purchase of bottle water for Directors o</v>
      </c>
      <c r="Q384" s="11" t="str">
        <f aca="false">IF(P384="","",IF(COUNTIF($P$2:$P$3000,P384)&gt;1,"DUPLICATE","OK"))</f>
        <v>OK</v>
      </c>
      <c r="R384" s="0" t="str">
        <f aca="false">IF($C384="","",IFERROR(VLOOKUP(--$C384,MM_Income!$Z$5:$AC$204,3,FALSE()),""))</f>
        <v/>
      </c>
    </row>
    <row r="385" customFormat="false" ht="14.9" hidden="false" customHeight="false" outlineLevel="0" collapsed="false">
      <c r="A385" s="1" t="s">
        <v>49</v>
      </c>
      <c r="B385" s="1" t="s">
        <v>89</v>
      </c>
      <c r="C385" s="1" t="n">
        <v>7100</v>
      </c>
      <c r="D385" s="1" t="s">
        <v>705</v>
      </c>
      <c r="E385" s="1" t="n">
        <v>43898</v>
      </c>
      <c r="F385" s="1" t="s">
        <v>869</v>
      </c>
      <c r="G385" s="140" t="n">
        <v>46167</v>
      </c>
      <c r="H385" s="1" t="n">
        <v>1230</v>
      </c>
      <c r="I385" s="1" t="s">
        <v>1314</v>
      </c>
      <c r="J385" s="1" t="s">
        <v>1308</v>
      </c>
      <c r="K385" s="1" t="n">
        <v>110</v>
      </c>
      <c r="M385" s="125" t="n">
        <f aca="false">Nominal_Activity[[#This Row],[Debit]]-Nominal_Activity[[#This Row],[Credit]]</f>
        <v>110</v>
      </c>
      <c r="N385" s="1" t="str">
        <f aca="false">IF(C385="","",IFERROR(VLOOKUP(C385,Master_Mappings!$A$4:$E$85,3,FALSE()),"UNMAPPED"))</f>
        <v>Recruitment, Benefits</v>
      </c>
      <c r="P385" s="1" t="str">
        <f aca="false">IF($C385="","",$C385&amp;"|"&amp;$E385&amp;"|"&amp;$M385&amp;"|"&amp;TEXT($G385,"yyyy-mm-dd")&amp;"|"&amp;LEFT($J385,40))</f>
        <v>7100|43898|110|2026-05-25|Lunch for Meetings -Abe</v>
      </c>
      <c r="Q385" s="11" t="str">
        <f aca="false">IF(P385="","",IF(COUNTIF($P$2:$P$3000,P385)&gt;1,"DUPLICATE","OK"))</f>
        <v>OK</v>
      </c>
      <c r="R385" s="0" t="str">
        <f aca="false">IF($C385="","",IFERROR(VLOOKUP(--$C385,MM_Income!$Z$5:$AC$204,3,FALSE()),""))</f>
        <v/>
      </c>
    </row>
    <row r="386" customFormat="false" ht="14.9" hidden="false" customHeight="false" outlineLevel="0" collapsed="false">
      <c r="A386" s="1" t="s">
        <v>49</v>
      </c>
      <c r="B386" s="1" t="s">
        <v>89</v>
      </c>
      <c r="C386" s="1" t="n">
        <v>7100</v>
      </c>
      <c r="D386" s="1" t="s">
        <v>705</v>
      </c>
      <c r="E386" s="1" t="n">
        <v>43900</v>
      </c>
      <c r="F386" s="1" t="s">
        <v>869</v>
      </c>
      <c r="G386" s="140" t="n">
        <v>46168</v>
      </c>
      <c r="H386" s="1" t="n">
        <v>1230</v>
      </c>
      <c r="I386" s="1" t="s">
        <v>1315</v>
      </c>
      <c r="J386" s="1" t="s">
        <v>1308</v>
      </c>
      <c r="K386" s="1" t="n">
        <v>150</v>
      </c>
      <c r="M386" s="125" t="n">
        <f aca="false">Nominal_Activity[[#This Row],[Debit]]-Nominal_Activity[[#This Row],[Credit]]</f>
        <v>150</v>
      </c>
      <c r="N386" s="1" t="str">
        <f aca="false">IF(C386="","",IFERROR(VLOOKUP(C386,Master_Mappings!$A$4:$E$85,3,FALSE()),"UNMAPPED"))</f>
        <v>Recruitment, Benefits</v>
      </c>
      <c r="P386" s="1" t="str">
        <f aca="false">IF($C386="","",$C386&amp;"|"&amp;$E386&amp;"|"&amp;$M386&amp;"|"&amp;TEXT($G386,"yyyy-mm-dd")&amp;"|"&amp;LEFT($J386,40))</f>
        <v>7100|43900|150|2026-05-26|Lunch for Meetings -Abe</v>
      </c>
      <c r="Q386" s="11" t="str">
        <f aca="false">IF(P386="","",IF(COUNTIF($P$2:$P$3000,P386)&gt;1,"DUPLICATE","OK"))</f>
        <v>OK</v>
      </c>
      <c r="R386" s="0" t="str">
        <f aca="false">IF($C386="","",IFERROR(VLOOKUP(--$C386,MM_Income!$Z$5:$AC$204,3,FALSE()),""))</f>
        <v/>
      </c>
    </row>
    <row r="387" customFormat="false" ht="14.9" hidden="false" customHeight="false" outlineLevel="0" collapsed="false">
      <c r="A387" s="1" t="s">
        <v>49</v>
      </c>
      <c r="B387" s="1" t="s">
        <v>89</v>
      </c>
      <c r="C387" s="1" t="n">
        <v>7100</v>
      </c>
      <c r="D387" s="1" t="s">
        <v>705</v>
      </c>
      <c r="E387" s="1" t="n">
        <v>43908</v>
      </c>
      <c r="F387" s="1" t="s">
        <v>869</v>
      </c>
      <c r="G387" s="140" t="n">
        <v>46170</v>
      </c>
      <c r="H387" s="1" t="n">
        <v>1230</v>
      </c>
      <c r="I387" s="1" t="s">
        <v>1316</v>
      </c>
      <c r="J387" s="1" t="s">
        <v>1308</v>
      </c>
      <c r="K387" s="1" t="n">
        <v>150</v>
      </c>
      <c r="M387" s="125" t="n">
        <f aca="false">Nominal_Activity[[#This Row],[Debit]]-Nominal_Activity[[#This Row],[Credit]]</f>
        <v>150</v>
      </c>
      <c r="N387" s="1" t="str">
        <f aca="false">IF(C387="","",IFERROR(VLOOKUP(C387,Master_Mappings!$A$4:$E$85,3,FALSE()),"UNMAPPED"))</f>
        <v>Recruitment, Benefits</v>
      </c>
      <c r="P387" s="1" t="str">
        <f aca="false">IF($C387="","",$C387&amp;"|"&amp;$E387&amp;"|"&amp;$M387&amp;"|"&amp;TEXT($G387,"yyyy-mm-dd")&amp;"|"&amp;LEFT($J387,40))</f>
        <v>7100|43908|150|2026-05-28|Lunch for Meetings -Abe</v>
      </c>
      <c r="Q387" s="11" t="str">
        <f aca="false">IF(P387="","",IF(COUNTIF($P$2:$P$3000,P387)&gt;1,"DUPLICATE","OK"))</f>
        <v>OK</v>
      </c>
      <c r="R387" s="0" t="str">
        <f aca="false">IF($C387="","",IFERROR(VLOOKUP(--$C387,MM_Income!$Z$5:$AC$204,3,FALSE()),""))</f>
        <v/>
      </c>
    </row>
    <row r="388" customFormat="false" ht="14.9" hidden="false" customHeight="false" outlineLevel="0" collapsed="false">
      <c r="A388" s="1" t="s">
        <v>49</v>
      </c>
      <c r="B388" s="1" t="s">
        <v>89</v>
      </c>
      <c r="C388" s="1" t="n">
        <v>7100</v>
      </c>
      <c r="D388" s="1" t="s">
        <v>705</v>
      </c>
      <c r="E388" s="1" t="n">
        <v>43916</v>
      </c>
      <c r="F388" s="1" t="s">
        <v>869</v>
      </c>
      <c r="G388" s="140" t="n">
        <v>46171</v>
      </c>
      <c r="H388" s="1" t="n">
        <v>1230</v>
      </c>
      <c r="I388" s="1" t="s">
        <v>1317</v>
      </c>
      <c r="J388" s="1" t="s">
        <v>1308</v>
      </c>
      <c r="K388" s="1" t="n">
        <v>130</v>
      </c>
      <c r="M388" s="125" t="n">
        <f aca="false">Nominal_Activity[[#This Row],[Debit]]-Nominal_Activity[[#This Row],[Credit]]</f>
        <v>130</v>
      </c>
      <c r="N388" s="1" t="str">
        <f aca="false">IF(C388="","",IFERROR(VLOOKUP(C388,Master_Mappings!$A$4:$E$85,3,FALSE()),"UNMAPPED"))</f>
        <v>Recruitment, Benefits</v>
      </c>
      <c r="P388" s="1" t="str">
        <f aca="false">IF($C388="","",$C388&amp;"|"&amp;$E388&amp;"|"&amp;$M388&amp;"|"&amp;TEXT($G388,"yyyy-mm-dd")&amp;"|"&amp;LEFT($J388,40))</f>
        <v>7100|43916|130|2026-05-29|Lunch for Meetings -Abe</v>
      </c>
      <c r="Q388" s="11" t="str">
        <f aca="false">IF(P388="","",IF(COUNTIF($P$2:$P$3000,P388)&gt;1,"DUPLICATE","OK"))</f>
        <v>OK</v>
      </c>
      <c r="R388" s="0" t="str">
        <f aca="false">IF($C388="","",IFERROR(VLOOKUP(--$C388,MM_Income!$Z$5:$AC$204,3,FALSE()),""))</f>
        <v/>
      </c>
    </row>
    <row r="389" customFormat="false" ht="14.9" hidden="false" customHeight="false" outlineLevel="0" collapsed="false">
      <c r="A389" s="1" t="s">
        <v>49</v>
      </c>
      <c r="B389" s="1" t="s">
        <v>89</v>
      </c>
      <c r="C389" s="1" t="n">
        <v>7100</v>
      </c>
      <c r="D389" s="1" t="s">
        <v>705</v>
      </c>
      <c r="E389" s="1" t="n">
        <v>43921</v>
      </c>
      <c r="F389" s="1" t="s">
        <v>869</v>
      </c>
      <c r="G389" s="140" t="n">
        <v>46176</v>
      </c>
      <c r="H389" s="1" t="n">
        <v>1230</v>
      </c>
      <c r="I389" s="1" t="s">
        <v>1318</v>
      </c>
      <c r="J389" s="1" t="s">
        <v>1319</v>
      </c>
      <c r="K389" s="1" t="n">
        <v>65</v>
      </c>
      <c r="M389" s="125" t="n">
        <f aca="false">Nominal_Activity[[#This Row],[Debit]]-Nominal_Activity[[#This Row],[Credit]]</f>
        <v>65</v>
      </c>
      <c r="N389" s="1" t="str">
        <f aca="false">IF(C389="","",IFERROR(VLOOKUP(C389,Master_Mappings!$A$4:$E$85,3,FALSE()),"UNMAPPED"))</f>
        <v>Recruitment, Benefits</v>
      </c>
      <c r="P389" s="1" t="str">
        <f aca="false">IF($C389="","",$C389&amp;"|"&amp;$E389&amp;"|"&amp;$M389&amp;"|"&amp;TEXT($G389,"yyyy-mm-dd")&amp;"|"&amp;LEFT($J389,40))</f>
        <v>7100|43921|65|2026-06-03|Durchase of liquid soap</v>
      </c>
      <c r="Q389" s="11" t="str">
        <f aca="false">IF(P389="","",IF(COUNTIF($P$2:$P$3000,P389)&gt;1,"DUPLICATE","OK"))</f>
        <v>OK</v>
      </c>
      <c r="R389" s="0" t="str">
        <f aca="false">IF($C389="","",IFERROR(VLOOKUP(--$C389,MM_Income!$Z$5:$AC$204,3,FALSE()),""))</f>
        <v/>
      </c>
    </row>
    <row r="390" customFormat="false" ht="14.9" hidden="false" customHeight="false" outlineLevel="0" collapsed="false">
      <c r="A390" s="1" t="s">
        <v>49</v>
      </c>
      <c r="B390" s="1" t="s">
        <v>89</v>
      </c>
      <c r="C390" s="1" t="n">
        <v>7100</v>
      </c>
      <c r="D390" s="1" t="s">
        <v>705</v>
      </c>
      <c r="E390" s="1" t="n">
        <v>43929</v>
      </c>
      <c r="F390" s="1" t="s">
        <v>869</v>
      </c>
      <c r="G390" s="140" t="n">
        <v>46183</v>
      </c>
      <c r="H390" s="1" t="n">
        <v>1230</v>
      </c>
      <c r="I390" s="1" t="s">
        <v>1320</v>
      </c>
      <c r="J390" s="1" t="s">
        <v>1321</v>
      </c>
      <c r="K390" s="1" t="n">
        <v>570</v>
      </c>
      <c r="M390" s="125" t="n">
        <f aca="false">Nominal_Activity[[#This Row],[Debit]]-Nominal_Activity[[#This Row],[Credit]]</f>
        <v>570</v>
      </c>
      <c r="N390" s="1" t="str">
        <f aca="false">IF(C390="","",IFERROR(VLOOKUP(C390,Master_Mappings!$A$4:$E$85,3,FALSE()),"UNMAPPED"))</f>
        <v>Recruitment, Benefits</v>
      </c>
      <c r="P390" s="1" t="str">
        <f aca="false">IF($C390="","",$C390&amp;"|"&amp;$E390&amp;"|"&amp;$M390&amp;"|"&amp;TEXT($G390,"yyyy-mm-dd")&amp;"|"&amp;LEFT($J390,40))</f>
        <v>7100|43929|570|2026-06-10|Renewal of DSTV subscription</v>
      </c>
      <c r="Q390" s="11" t="str">
        <f aca="false">IF(P390="","",IF(COUNTIF($P$2:$P$3000,P390)&gt;1,"DUPLICATE","OK"))</f>
        <v>OK</v>
      </c>
      <c r="R390" s="0" t="str">
        <f aca="false">IF($C390="","",IFERROR(VLOOKUP(--$C390,MM_Income!$Z$5:$AC$204,3,FALSE()),""))</f>
        <v/>
      </c>
    </row>
    <row r="391" customFormat="false" ht="14.9" hidden="false" customHeight="false" outlineLevel="0" collapsed="false">
      <c r="A391" s="1" t="s">
        <v>49</v>
      </c>
      <c r="B391" s="1" t="s">
        <v>89</v>
      </c>
      <c r="C391" s="1" t="n">
        <v>7100</v>
      </c>
      <c r="D391" s="1" t="s">
        <v>705</v>
      </c>
      <c r="E391" s="1" t="n">
        <v>44062</v>
      </c>
      <c r="F391" s="1" t="s">
        <v>847</v>
      </c>
      <c r="G391" s="140" t="n">
        <v>46191</v>
      </c>
      <c r="H391" s="1" t="s">
        <v>1266</v>
      </c>
      <c r="I391" s="1" t="s">
        <v>1322</v>
      </c>
      <c r="J391" s="1" t="s">
        <v>1323</v>
      </c>
      <c r="K391" s="1" t="n">
        <v>830</v>
      </c>
      <c r="M391" s="125" t="n">
        <f aca="false">Nominal_Activity[[#This Row],[Debit]]-Nominal_Activity[[#This Row],[Credit]]</f>
        <v>830</v>
      </c>
      <c r="N391" s="1" t="str">
        <f aca="false">IF(C391="","",IFERROR(VLOOKUP(C391,Master_Mappings!$A$4:$E$85,3,FALSE()),"UNMAPPED"))</f>
        <v>Recruitment, Benefits</v>
      </c>
      <c r="P391" s="1" t="str">
        <f aca="false">IF($C391="","",$C391&amp;"|"&amp;$E391&amp;"|"&amp;$M391&amp;"|"&amp;TEXT($G391,"yyyy-mm-dd")&amp;"|"&amp;LEFT($J391,40))</f>
        <v>7100|44062|830|2026-06-18|Refill of Dispenser bottles and 10packs </v>
      </c>
      <c r="Q391" s="11" t="str">
        <f aca="false">IF(P391="","",IF(COUNTIF($P$2:$P$3000,P391)&gt;1,"DUPLICATE","OK"))</f>
        <v>OK</v>
      </c>
      <c r="R391" s="0" t="str">
        <f aca="false">IF($C391="","",IFERROR(VLOOKUP(--$C391,MM_Income!$Z$5:$AC$204,3,FALSE()),""))</f>
        <v/>
      </c>
    </row>
    <row r="392" customFormat="false" ht="14.9" hidden="false" customHeight="false" outlineLevel="0" collapsed="false">
      <c r="A392" s="1" t="s">
        <v>49</v>
      </c>
      <c r="B392" s="1" t="s">
        <v>89</v>
      </c>
      <c r="C392" s="1" t="n">
        <v>7100</v>
      </c>
      <c r="D392" s="1" t="s">
        <v>705</v>
      </c>
      <c r="E392" s="1" t="n">
        <v>44063</v>
      </c>
      <c r="F392" s="1" t="s">
        <v>847</v>
      </c>
      <c r="G392" s="140" t="n">
        <v>46190</v>
      </c>
      <c r="H392" s="1" t="s">
        <v>1266</v>
      </c>
      <c r="I392" s="1" t="s">
        <v>1324</v>
      </c>
      <c r="J392" s="1" t="s">
        <v>1325</v>
      </c>
      <c r="K392" s="1" t="n">
        <v>20960</v>
      </c>
      <c r="M392" s="125" t="n">
        <f aca="false">Nominal_Activity[[#This Row],[Debit]]-Nominal_Activity[[#This Row],[Credit]]</f>
        <v>20960</v>
      </c>
      <c r="N392" s="1" t="str">
        <f aca="false">IF(C392="","",IFERROR(VLOOKUP(C392,Master_Mappings!$A$4:$E$85,3,FALSE()),"UNMAPPED"))</f>
        <v>Recruitment, Benefits</v>
      </c>
      <c r="P392" s="1" t="str">
        <f aca="false">IF($C392="","",$C392&amp;"|"&amp;$E392&amp;"|"&amp;$M392&amp;"|"&amp;TEXT($G392,"yyyy-mm-dd")&amp;"|"&amp;LEFT($J392,40))</f>
        <v>7100|44063|20960|2026-06-17|Supply of groceries for Q3</v>
      </c>
      <c r="Q392" s="11" t="str">
        <f aca="false">IF(P392="","",IF(COUNTIF($P$2:$P$3000,P392)&gt;1,"DUPLICATE","OK"))</f>
        <v>OK</v>
      </c>
      <c r="R392" s="0" t="str">
        <f aca="false">IF($C392="","",IFERROR(VLOOKUP(--$C392,MM_Income!$Z$5:$AC$204,3,FALSE()),""))</f>
        <v/>
      </c>
    </row>
    <row r="393" customFormat="false" ht="14.9" hidden="false" customHeight="false" outlineLevel="0" collapsed="false">
      <c r="A393" s="1" t="s">
        <v>49</v>
      </c>
      <c r="B393" s="1" t="s">
        <v>89</v>
      </c>
      <c r="C393" s="1" t="n">
        <v>7120</v>
      </c>
      <c r="D393" s="1" t="s">
        <v>707</v>
      </c>
      <c r="E393" s="1" t="n">
        <v>43550</v>
      </c>
      <c r="F393" s="1" t="s">
        <v>847</v>
      </c>
      <c r="G393" s="140" t="n">
        <v>46153</v>
      </c>
      <c r="H393" s="1" t="s">
        <v>1326</v>
      </c>
      <c r="I393" s="1" t="s">
        <v>1327</v>
      </c>
      <c r="J393" s="1" t="s">
        <v>1328</v>
      </c>
      <c r="K393" s="1" t="n">
        <v>24247.93</v>
      </c>
      <c r="M393" s="125" t="n">
        <f aca="false">Nominal_Activity[[#This Row],[Debit]]-Nominal_Activity[[#This Row],[Credit]]</f>
        <v>24247.93</v>
      </c>
      <c r="N393" s="1" t="str">
        <f aca="false">IF(C393="","",IFERROR(VLOOKUP(C393,Master_Mappings!$A$4:$E$85,3,FALSE()),"UNMAPPED"))</f>
        <v>Professional development and Training</v>
      </c>
      <c r="P393" s="1" t="str">
        <f aca="false">IF($C393="","",$C393&amp;"|"&amp;$E393&amp;"|"&amp;$M393&amp;"|"&amp;TEXT($G393,"yyyy-mm-dd")&amp;"|"&amp;LEFT($J393,40))</f>
        <v>7120|43550|24247.93|2026-05-11|Accommodation for 3 staff members during</v>
      </c>
      <c r="Q393" s="11" t="str">
        <f aca="false">IF(P393="","",IF(COUNTIF($P$2:$P$3000,P393)&gt;1,"DUPLICATE","OK"))</f>
        <v>OK</v>
      </c>
      <c r="R393" s="0" t="str">
        <f aca="false">IF($C393="","",IFERROR(VLOOKUP(--$C393,MM_Income!$Z$5:$AC$204,3,FALSE()),""))</f>
        <v/>
      </c>
    </row>
    <row r="394" customFormat="false" ht="14.9" hidden="false" customHeight="false" outlineLevel="0" collapsed="false">
      <c r="A394" s="1" t="s">
        <v>49</v>
      </c>
      <c r="B394" s="1" t="s">
        <v>89</v>
      </c>
      <c r="C394" s="1" t="n">
        <v>7120</v>
      </c>
      <c r="D394" s="1" t="s">
        <v>707</v>
      </c>
      <c r="E394" s="1" t="n">
        <v>43552</v>
      </c>
      <c r="F394" s="1" t="s">
        <v>847</v>
      </c>
      <c r="G394" s="140" t="n">
        <v>46153</v>
      </c>
      <c r="H394" s="1" t="s">
        <v>1326</v>
      </c>
      <c r="I394" s="1" t="s">
        <v>1327</v>
      </c>
      <c r="J394" s="1" t="s">
        <v>1329</v>
      </c>
      <c r="K394" s="1" t="n">
        <v>242.48</v>
      </c>
      <c r="M394" s="125" t="n">
        <f aca="false">Nominal_Activity[[#This Row],[Debit]]-Nominal_Activity[[#This Row],[Credit]]</f>
        <v>242.48</v>
      </c>
      <c r="N394" s="1" t="str">
        <f aca="false">IF(C394="","",IFERROR(VLOOKUP(C394,Master_Mappings!$A$4:$E$85,3,FALSE()),"UNMAPPED"))</f>
        <v>Professional development and Training</v>
      </c>
      <c r="P394" s="1" t="str">
        <f aca="false">IF($C394="","",$C394&amp;"|"&amp;$E394&amp;"|"&amp;$M394&amp;"|"&amp;TEXT($G394,"yyyy-mm-dd")&amp;"|"&amp;LEFT($J394,40))</f>
        <v>7120|43552|242.48|2026-05-11|Tourism levy for accommodation</v>
      </c>
      <c r="Q394" s="11" t="str">
        <f aca="false">IF(P394="","",IF(COUNTIF($P$2:$P$3000,P394)&gt;1,"DUPLICATE","OK"))</f>
        <v>OK</v>
      </c>
      <c r="R394" s="0" t="str">
        <f aca="false">IF($C394="","",IFERROR(VLOOKUP(--$C394,MM_Income!$Z$5:$AC$204,3,FALSE()),""))</f>
        <v/>
      </c>
    </row>
    <row r="395" customFormat="false" ht="14.9" hidden="false" customHeight="false" outlineLevel="0" collapsed="false">
      <c r="A395" s="1" t="s">
        <v>49</v>
      </c>
      <c r="B395" s="1" t="s">
        <v>89</v>
      </c>
      <c r="C395" s="1" t="n">
        <v>7120</v>
      </c>
      <c r="D395" s="1" t="s">
        <v>707</v>
      </c>
      <c r="E395" s="1" t="n">
        <v>43553</v>
      </c>
      <c r="F395" s="1" t="s">
        <v>847</v>
      </c>
      <c r="G395" s="140" t="n">
        <v>46151</v>
      </c>
      <c r="H395" s="1" t="s">
        <v>848</v>
      </c>
      <c r="I395" s="1" t="s">
        <v>1330</v>
      </c>
      <c r="J395" s="1" t="s">
        <v>1331</v>
      </c>
      <c r="K395" s="1" t="n">
        <v>4000</v>
      </c>
      <c r="M395" s="125" t="n">
        <f aca="false">Nominal_Activity[[#This Row],[Debit]]-Nominal_Activity[[#This Row],[Credit]]</f>
        <v>4000</v>
      </c>
      <c r="N395" s="1" t="str">
        <f aca="false">IF(C395="","",IFERROR(VLOOKUP(C395,Master_Mappings!$A$4:$E$85,3,FALSE()),"UNMAPPED"))</f>
        <v>Professional development and Training</v>
      </c>
      <c r="P395" s="1" t="str">
        <f aca="false">IF($C395="","",$C395&amp;"|"&amp;$E395&amp;"|"&amp;$M395&amp;"|"&amp;TEXT($G395,"yyyy-mm-dd")&amp;"|"&amp;LEFT($J395,40))</f>
        <v>7120|43553|4000|2026-05-09|Car rental to CapeCoast for RSPO trainin</v>
      </c>
      <c r="Q395" s="11" t="str">
        <f aca="false">IF(P395="","",IF(COUNTIF($P$2:$P$3000,P395)&gt;1,"DUPLICATE","OK"))</f>
        <v>OK</v>
      </c>
      <c r="R395" s="0" t="str">
        <f aca="false">IF($C395="","",IFERROR(VLOOKUP(--$C395,MM_Income!$Z$5:$AC$204,3,FALSE()),""))</f>
        <v/>
      </c>
    </row>
    <row r="396" customFormat="false" ht="14.9" hidden="false" customHeight="false" outlineLevel="0" collapsed="false">
      <c r="A396" s="1" t="s">
        <v>49</v>
      </c>
      <c r="B396" s="1" t="s">
        <v>89</v>
      </c>
      <c r="C396" s="1" t="n">
        <v>7120</v>
      </c>
      <c r="D396" s="1" t="s">
        <v>707</v>
      </c>
      <c r="E396" s="1" t="n">
        <v>43555</v>
      </c>
      <c r="F396" s="1" t="s">
        <v>847</v>
      </c>
      <c r="G396" s="140" t="n">
        <v>46151</v>
      </c>
      <c r="H396" s="1" t="s">
        <v>848</v>
      </c>
      <c r="I396" s="1" t="s">
        <v>1330</v>
      </c>
      <c r="J396" s="1" t="s">
        <v>1332</v>
      </c>
      <c r="K396" s="1" t="n">
        <v>3332</v>
      </c>
      <c r="M396" s="125" t="n">
        <f aca="false">Nominal_Activity[[#This Row],[Debit]]-Nominal_Activity[[#This Row],[Credit]]</f>
        <v>3332</v>
      </c>
      <c r="N396" s="1" t="str">
        <f aca="false">IF(C396="","",IFERROR(VLOOKUP(C396,Master_Mappings!$A$4:$E$85,3,FALSE()),"UNMAPPED"))</f>
        <v>Professional development and Training</v>
      </c>
      <c r="P396" s="1" t="str">
        <f aca="false">IF($C396="","",$C396&amp;"|"&amp;$E396&amp;"|"&amp;$M396&amp;"|"&amp;TEXT($G396,"yyyy-mm-dd")&amp;"|"&amp;LEFT($J396,40))</f>
        <v>7120|43555|3332|2026-05-09|Fueling Cost</v>
      </c>
      <c r="Q396" s="11" t="str">
        <f aca="false">IF(P396="","",IF(COUNTIF($P$2:$P$3000,P396)&gt;1,"DUPLICATE","OK"))</f>
        <v>OK</v>
      </c>
      <c r="R396" s="0" t="str">
        <f aca="false">IF($C396="","",IFERROR(VLOOKUP(--$C396,MM_Income!$Z$5:$AC$204,3,FALSE()),""))</f>
        <v/>
      </c>
    </row>
    <row r="397" customFormat="false" ht="14.9" hidden="false" customHeight="false" outlineLevel="0" collapsed="false">
      <c r="A397" s="1" t="s">
        <v>49</v>
      </c>
      <c r="B397" s="1" t="s">
        <v>89</v>
      </c>
      <c r="C397" s="1" t="n">
        <v>7120</v>
      </c>
      <c r="D397" s="1" t="s">
        <v>707</v>
      </c>
      <c r="E397" s="1" t="n">
        <v>43556</v>
      </c>
      <c r="F397" s="1" t="s">
        <v>847</v>
      </c>
      <c r="G397" s="140" t="n">
        <v>46151</v>
      </c>
      <c r="H397" s="1" t="s">
        <v>848</v>
      </c>
      <c r="I397" s="1" t="s">
        <v>1330</v>
      </c>
      <c r="J397" s="1" t="s">
        <v>1333</v>
      </c>
      <c r="K397" s="1" t="n">
        <v>40</v>
      </c>
      <c r="M397" s="125" t="n">
        <f aca="false">Nominal_Activity[[#This Row],[Debit]]-Nominal_Activity[[#This Row],[Credit]]</f>
        <v>40</v>
      </c>
      <c r="N397" s="1" t="str">
        <f aca="false">IF(C397="","",IFERROR(VLOOKUP(C397,Master_Mappings!$A$4:$E$85,3,FALSE()),"UNMAPPED"))</f>
        <v>Professional development and Training</v>
      </c>
      <c r="P397" s="1" t="str">
        <f aca="false">IF($C397="","",$C397&amp;"|"&amp;$E397&amp;"|"&amp;$M397&amp;"|"&amp;TEXT($G397,"yyyy-mm-dd")&amp;"|"&amp;LEFT($J397,40))</f>
        <v>7120|43556|40|2026-05-09|1% Tourism levy on car rental</v>
      </c>
      <c r="Q397" s="11" t="str">
        <f aca="false">IF(P397="","",IF(COUNTIF($P$2:$P$3000,P397)&gt;1,"DUPLICATE","OK"))</f>
        <v>OK</v>
      </c>
      <c r="R397" s="0" t="str">
        <f aca="false">IF($C397="","",IFERROR(VLOOKUP(--$C397,MM_Income!$Z$5:$AC$204,3,FALSE()),""))</f>
        <v/>
      </c>
    </row>
    <row r="398" customFormat="false" ht="14.9" hidden="false" customHeight="false" outlineLevel="0" collapsed="false">
      <c r="A398" s="1" t="s">
        <v>49</v>
      </c>
      <c r="B398" s="1" t="s">
        <v>89</v>
      </c>
      <c r="C398" s="1" t="n">
        <v>7120</v>
      </c>
      <c r="D398" s="1" t="s">
        <v>707</v>
      </c>
      <c r="E398" s="1" t="n">
        <v>43561</v>
      </c>
      <c r="F398" s="1" t="s">
        <v>847</v>
      </c>
      <c r="G398" s="140" t="n">
        <v>46152</v>
      </c>
      <c r="H398" s="1" t="s">
        <v>1334</v>
      </c>
      <c r="I398" s="1" t="s">
        <v>1335</v>
      </c>
      <c r="J398" s="1" t="s">
        <v>1336</v>
      </c>
      <c r="K398" s="1" t="n">
        <v>30662.16</v>
      </c>
      <c r="M398" s="125" t="n">
        <f aca="false">Nominal_Activity[[#This Row],[Debit]]-Nominal_Activity[[#This Row],[Credit]]</f>
        <v>30662.16</v>
      </c>
      <c r="N398" s="1" t="str">
        <f aca="false">IF(C398="","",IFERROR(VLOOKUP(C398,Master_Mappings!$A$4:$E$85,3,FALSE()),"UNMAPPED"))</f>
        <v>Professional development and Training</v>
      </c>
      <c r="P398" s="1" t="str">
        <f aca="false">IF($C398="","",$C398&amp;"|"&amp;$E398&amp;"|"&amp;$M398&amp;"|"&amp;TEXT($G398,"yyyy-mm-dd")&amp;"|"&amp;LEFT($J398,40))</f>
        <v>7120|43561|30662.16|2026-05-10|Snacks and lunch for 1week business skil</v>
      </c>
      <c r="Q398" s="11" t="str">
        <f aca="false">IF(P398="","",IF(COUNTIF($P$2:$P$3000,P398)&gt;1,"DUPLICATE","OK"))</f>
        <v>OK</v>
      </c>
      <c r="R398" s="0" t="str">
        <f aca="false">IF($C398="","",IFERROR(VLOOKUP(--$C398,MM_Income!$Z$5:$AC$204,3,FALSE()),""))</f>
        <v/>
      </c>
    </row>
    <row r="399" customFormat="false" ht="14.9" hidden="false" customHeight="false" outlineLevel="0" collapsed="false">
      <c r="A399" s="1" t="s">
        <v>49</v>
      </c>
      <c r="B399" s="1" t="s">
        <v>89</v>
      </c>
      <c r="C399" s="1" t="n">
        <v>7120</v>
      </c>
      <c r="D399" s="1" t="s">
        <v>707</v>
      </c>
      <c r="E399" s="1" t="n">
        <v>44111</v>
      </c>
      <c r="F399" s="1" t="s">
        <v>847</v>
      </c>
      <c r="G399" s="140" t="n">
        <v>46182</v>
      </c>
      <c r="H399" s="1" t="s">
        <v>1337</v>
      </c>
      <c r="J399" s="1" t="s">
        <v>1338</v>
      </c>
      <c r="K399" s="1" t="n">
        <v>4378</v>
      </c>
      <c r="M399" s="125" t="n">
        <f aca="false">Nominal_Activity[[#This Row],[Debit]]-Nominal_Activity[[#This Row],[Credit]]</f>
        <v>4378</v>
      </c>
      <c r="N399" s="1" t="str">
        <f aca="false">IF(C399="","",IFERROR(VLOOKUP(C399,Master_Mappings!$A$4:$E$85,3,FALSE()),"UNMAPPED"))</f>
        <v>Professional development and Training</v>
      </c>
      <c r="P399" s="1" t="str">
        <f aca="false">IF($C399="","",$C399&amp;"|"&amp;$E399&amp;"|"&amp;$M399&amp;"|"&amp;TEXT($G399,"yyyy-mm-dd")&amp;"|"&amp;LEFT($J399,40))</f>
        <v>7120|44111|4378|2026-06-09|Printing of Comms &amp; Project Mgt training</v>
      </c>
      <c r="Q399" s="11" t="str">
        <f aca="false">IF(P399="","",IF(COUNTIF($P$2:$P$3000,P399)&gt;1,"DUPLICATE","OK"))</f>
        <v>OK</v>
      </c>
      <c r="R399" s="0" t="str">
        <f aca="false">IF($C399="","",IFERROR(VLOOKUP(--$C399,MM_Income!$Z$5:$AC$204,3,FALSE()),""))</f>
        <v/>
      </c>
    </row>
    <row r="400" customFormat="false" ht="14.9" hidden="false" customHeight="false" outlineLevel="0" collapsed="false">
      <c r="A400" s="1" t="s">
        <v>49</v>
      </c>
      <c r="B400" s="1" t="s">
        <v>89</v>
      </c>
      <c r="C400" s="1" t="n">
        <v>7120</v>
      </c>
      <c r="D400" s="1" t="s">
        <v>707</v>
      </c>
      <c r="E400" s="1" t="n">
        <v>44229</v>
      </c>
      <c r="F400" s="1" t="s">
        <v>869</v>
      </c>
      <c r="G400" s="140" t="n">
        <v>46171</v>
      </c>
      <c r="H400" s="1" t="n">
        <v>1260</v>
      </c>
      <c r="I400" s="1" t="s">
        <v>1339</v>
      </c>
      <c r="J400" s="1" t="s">
        <v>1340</v>
      </c>
      <c r="K400" s="1" t="n">
        <v>10457</v>
      </c>
      <c r="M400" s="125" t="n">
        <f aca="false">Nominal_Activity[[#This Row],[Debit]]-Nominal_Activity[[#This Row],[Credit]]</f>
        <v>10457</v>
      </c>
      <c r="N400" s="1" t="str">
        <f aca="false">IF(C400="","",IFERROR(VLOOKUP(C400,Master_Mappings!$A$4:$E$85,3,FALSE()),"UNMAPPED"))</f>
        <v>Professional development and Training</v>
      </c>
      <c r="P400" s="1" t="str">
        <f aca="false">IF($C400="","",$C400&amp;"|"&amp;$E400&amp;"|"&amp;$M400&amp;"|"&amp;TEXT($G400,"yyyy-mm-dd")&amp;"|"&amp;LEFT($J400,40))</f>
        <v>7120|44229|10457|2026-05-29|Purchase Office Materials for Comms and </v>
      </c>
      <c r="Q400" s="11" t="str">
        <f aca="false">IF(P400="","",IF(COUNTIF($P$2:$P$3000,P400)&gt;1,"DUPLICATE","OK"))</f>
        <v>OK</v>
      </c>
      <c r="R400" s="0" t="str">
        <f aca="false">IF($C400="","",IFERROR(VLOOKUP(--$C400,MM_Income!$Z$5:$AC$204,3,FALSE()),""))</f>
        <v/>
      </c>
    </row>
    <row r="401" customFormat="false" ht="14.9" hidden="false" customHeight="false" outlineLevel="0" collapsed="false">
      <c r="A401" s="1" t="s">
        <v>49</v>
      </c>
      <c r="B401" s="1" t="s">
        <v>89</v>
      </c>
      <c r="C401" s="1" t="n">
        <v>7120</v>
      </c>
      <c r="D401" s="1" t="s">
        <v>707</v>
      </c>
      <c r="E401" s="1" t="n">
        <v>44268</v>
      </c>
      <c r="F401" s="1" t="s">
        <v>1237</v>
      </c>
      <c r="G401" s="140" t="n">
        <v>46203</v>
      </c>
      <c r="H401" s="1" t="n">
        <v>7120</v>
      </c>
      <c r="I401" s="1" t="s">
        <v>1341</v>
      </c>
      <c r="J401" s="1" t="s">
        <v>1342</v>
      </c>
      <c r="K401" s="1" t="n">
        <v>24529.74</v>
      </c>
      <c r="M401" s="125" t="n">
        <f aca="false">Nominal_Activity[[#This Row],[Debit]]-Nominal_Activity[[#This Row],[Credit]]</f>
        <v>24529.74</v>
      </c>
      <c r="N401" s="1" t="str">
        <f aca="false">IF(C401="","",IFERROR(VLOOKUP(C401,Master_Mappings!$A$4:$E$85,3,FALSE()),"UNMAPPED"))</f>
        <v>Professional development and Training</v>
      </c>
      <c r="P401" s="1" t="str">
        <f aca="false">IF($C401="","",$C401&amp;"|"&amp;$E401&amp;"|"&amp;$M401&amp;"|"&amp;TEXT($G401,"yyyy-mm-dd")&amp;"|"&amp;LEFT($J401,40))</f>
        <v>7120|44268|24529.74|2026-06-30|Taking out of training food cost posted </v>
      </c>
      <c r="Q401" s="11" t="str">
        <f aca="false">IF(P401="","",IF(COUNTIF($P$2:$P$3000,P401)&gt;1,"DUPLICATE","OK"))</f>
        <v>OK</v>
      </c>
      <c r="R401" s="0" t="str">
        <f aca="false">IF($C401="","",IFERROR(VLOOKUP(--$C401,MM_Income!$Z$5:$AC$204,3,FALSE()),""))</f>
        <v/>
      </c>
    </row>
    <row r="402" customFormat="false" ht="14.9" hidden="false" customHeight="false" outlineLevel="0" collapsed="false">
      <c r="A402" s="1" t="s">
        <v>49</v>
      </c>
      <c r="B402" s="1" t="s">
        <v>85</v>
      </c>
      <c r="C402" s="1" t="n">
        <v>7123</v>
      </c>
      <c r="D402" s="1" t="s">
        <v>709</v>
      </c>
      <c r="E402" s="1" t="n">
        <v>42601</v>
      </c>
      <c r="F402" s="1" t="s">
        <v>869</v>
      </c>
      <c r="G402" s="140" t="n">
        <v>46037</v>
      </c>
      <c r="H402" s="1" t="n">
        <v>1260</v>
      </c>
      <c r="I402" s="1" t="s">
        <v>1343</v>
      </c>
      <c r="J402" s="1" t="s">
        <v>1344</v>
      </c>
      <c r="K402" s="1" t="n">
        <v>2220</v>
      </c>
      <c r="M402" s="125" t="n">
        <f aca="false">Nominal_Activity[[#This Row],[Debit]]-Nominal_Activity[[#This Row],[Credit]]</f>
        <v>2220</v>
      </c>
      <c r="N402" s="1" t="str">
        <f aca="false">IF(C402="","",IFERROR(VLOOKUP(C402,Master_Mappings!$A$4:$E$85,3,FALSE()),"UNMAPPED"))</f>
        <v>Professional development and Training</v>
      </c>
      <c r="P402" s="1" t="str">
        <f aca="false">IF($C402="","",$C402&amp;"|"&amp;$E402&amp;"|"&amp;$M402&amp;"|"&amp;TEXT($G402,"yyyy-mm-dd")&amp;"|"&amp;LEFT($J402,40))</f>
        <v>7123|42601|2220|2026-01-15|US Visa Application Fee for Schwab Award</v>
      </c>
      <c r="Q402" s="11" t="str">
        <f aca="false">IF(P402="","",IF(COUNTIF($P$2:$P$3000,P402)&gt;1,"DUPLICATE","OK"))</f>
        <v>OK</v>
      </c>
      <c r="R402" s="0" t="str">
        <f aca="false">IF($C402="","",IFERROR(VLOOKUP(--$C402,MM_Income!$Z$5:$AC$204,3,FALSE()),""))</f>
        <v/>
      </c>
    </row>
    <row r="403" customFormat="false" ht="14.9" hidden="false" customHeight="false" outlineLevel="0" collapsed="false">
      <c r="A403" s="1" t="s">
        <v>49</v>
      </c>
      <c r="B403" s="1" t="s">
        <v>89</v>
      </c>
      <c r="C403" s="1" t="n">
        <v>7123</v>
      </c>
      <c r="D403" s="1" t="s">
        <v>709</v>
      </c>
      <c r="E403" s="1" t="n">
        <v>43563</v>
      </c>
      <c r="F403" s="1" t="s">
        <v>847</v>
      </c>
      <c r="G403" s="140" t="n">
        <v>46137</v>
      </c>
      <c r="H403" s="1" t="s">
        <v>892</v>
      </c>
      <c r="I403" s="1" t="s">
        <v>1345</v>
      </c>
      <c r="J403" s="1" t="s">
        <v>1346</v>
      </c>
      <c r="K403" s="1" t="n">
        <v>20545</v>
      </c>
      <c r="M403" s="125" t="n">
        <f aca="false">Nominal_Activity[[#This Row],[Debit]]-Nominal_Activity[[#This Row],[Credit]]</f>
        <v>20545</v>
      </c>
      <c r="N403" s="1" t="str">
        <f aca="false">IF(C403="","",IFERROR(VLOOKUP(C403,Master_Mappings!$A$4:$E$85,3,FALSE()),"UNMAPPED"))</f>
        <v>Professional development and Training</v>
      </c>
      <c r="P403" s="1" t="str">
        <f aca="false">IF($C403="","",$C403&amp;"|"&amp;$E403&amp;"|"&amp;$M403&amp;"|"&amp;TEXT($G403,"yyyy-mm-dd")&amp;"|"&amp;LEFT($J403,40))</f>
        <v>7123|43563|20545|2026-04-25|Flight ticket for Philip to Induction we</v>
      </c>
      <c r="Q403" s="11" t="str">
        <f aca="false">IF(P403="","",IF(COUNTIF($P$2:$P$3000,P403)&gt;1,"DUPLICATE","OK"))</f>
        <v>OK</v>
      </c>
      <c r="R403" s="0" t="str">
        <f aca="false">IF($C403="","",IFERROR(VLOOKUP(--$C403,MM_Income!$Z$5:$AC$204,3,FALSE()),""))</f>
        <v/>
      </c>
    </row>
    <row r="404" customFormat="false" ht="14.9" hidden="false" customHeight="false" outlineLevel="0" collapsed="false">
      <c r="A404" s="1" t="s">
        <v>49</v>
      </c>
      <c r="B404" s="1" t="s">
        <v>89</v>
      </c>
      <c r="C404" s="1" t="n">
        <v>7123</v>
      </c>
      <c r="D404" s="1" t="s">
        <v>709</v>
      </c>
      <c r="E404" s="1" t="n">
        <v>43701</v>
      </c>
      <c r="F404" s="1" t="s">
        <v>869</v>
      </c>
      <c r="G404" s="140" t="n">
        <v>46149</v>
      </c>
      <c r="H404" s="1" t="n">
        <v>1260</v>
      </c>
      <c r="I404" s="1" t="s">
        <v>1347</v>
      </c>
      <c r="J404" s="1" t="s">
        <v>1348</v>
      </c>
      <c r="K404" s="1" t="n">
        <v>1600</v>
      </c>
      <c r="M404" s="125" t="n">
        <f aca="false">Nominal_Activity[[#This Row],[Debit]]-Nominal_Activity[[#This Row],[Credit]]</f>
        <v>1600</v>
      </c>
      <c r="N404" s="1" t="str">
        <f aca="false">IF(C404="","",IFERROR(VLOOKUP(C404,Master_Mappings!$A$4:$E$85,3,FALSE()),"UNMAPPED"))</f>
        <v>Professional development and Training</v>
      </c>
      <c r="P404" s="1" t="str">
        <f aca="false">IF($C404="","",$C404&amp;"|"&amp;$E404&amp;"|"&amp;$M404&amp;"|"&amp;TEXT($G404,"yyyy-mm-dd")&amp;"|"&amp;LEFT($J404,40))</f>
        <v>7123|43701|1600|2026-05-07|Brazil Visa application fee</v>
      </c>
      <c r="Q404" s="11" t="str">
        <f aca="false">IF(P404="","",IF(COUNTIF($P$2:$P$3000,P404)&gt;1,"DUPLICATE","OK"))</f>
        <v>OK</v>
      </c>
      <c r="R404" s="0" t="str">
        <f aca="false">IF($C404="","",IFERROR(VLOOKUP(--$C404,MM_Income!$Z$5:$AC$204,3,FALSE()),""))</f>
        <v/>
      </c>
    </row>
    <row r="405" customFormat="false" ht="14.9" hidden="false" customHeight="false" outlineLevel="0" collapsed="false">
      <c r="A405" s="1" t="s">
        <v>49</v>
      </c>
      <c r="B405" s="1" t="s">
        <v>89</v>
      </c>
      <c r="C405" s="1" t="n">
        <v>7123</v>
      </c>
      <c r="D405" s="1" t="s">
        <v>709</v>
      </c>
      <c r="E405" s="1" t="n">
        <v>43787</v>
      </c>
      <c r="F405" s="1" t="s">
        <v>869</v>
      </c>
      <c r="G405" s="140" t="n">
        <v>46113</v>
      </c>
      <c r="H405" s="1" t="n">
        <v>1260</v>
      </c>
      <c r="I405" s="1" t="s">
        <v>1305</v>
      </c>
      <c r="J405" s="1" t="s">
        <v>1349</v>
      </c>
      <c r="K405" s="1" t="n">
        <v>420</v>
      </c>
      <c r="M405" s="125" t="n">
        <f aca="false">Nominal_Activity[[#This Row],[Debit]]-Nominal_Activity[[#This Row],[Credit]]</f>
        <v>420</v>
      </c>
      <c r="N405" s="1" t="str">
        <f aca="false">IF(C405="","",IFERROR(VLOOKUP(C405,Master_Mappings!$A$4:$E$85,3,FALSE()),"UNMAPPED"))</f>
        <v>Professional development and Training</v>
      </c>
      <c r="P405" s="1" t="str">
        <f aca="false">IF($C405="","",$C405&amp;"|"&amp;$E405&amp;"|"&amp;$M405&amp;"|"&amp;TEXT($G405,"yyyy-mm-dd")&amp;"|"&amp;LEFT($J405,40))</f>
        <v>7123|43787|420|2026-04-01|Food and Drinks</v>
      </c>
      <c r="Q405" s="11" t="str">
        <f aca="false">IF(P405="","",IF(COUNTIF($P$2:$P$3000,P405)&gt;1,"DUPLICATE","OK"))</f>
        <v>OK</v>
      </c>
      <c r="R405" s="0" t="str">
        <f aca="false">IF($C405="","",IFERROR(VLOOKUP(--$C405,MM_Income!$Z$5:$AC$204,3,FALSE()),""))</f>
        <v/>
      </c>
    </row>
    <row r="406" customFormat="false" ht="14.9" hidden="false" customHeight="false" outlineLevel="0" collapsed="false">
      <c r="A406" s="1" t="s">
        <v>49</v>
      </c>
      <c r="B406" s="1" t="s">
        <v>89</v>
      </c>
      <c r="C406" s="1" t="n">
        <v>7123</v>
      </c>
      <c r="D406" s="1" t="s">
        <v>709</v>
      </c>
      <c r="E406" s="1" t="n">
        <v>43788</v>
      </c>
      <c r="F406" s="1" t="s">
        <v>869</v>
      </c>
      <c r="G406" s="140" t="n">
        <v>46113</v>
      </c>
      <c r="H406" s="1" t="n">
        <v>1260</v>
      </c>
      <c r="I406" s="1" t="s">
        <v>1305</v>
      </c>
      <c r="J406" s="1" t="s">
        <v>1077</v>
      </c>
      <c r="K406" s="1" t="n">
        <v>1150</v>
      </c>
      <c r="M406" s="125" t="n">
        <f aca="false">Nominal_Activity[[#This Row],[Debit]]-Nominal_Activity[[#This Row],[Credit]]</f>
        <v>1150</v>
      </c>
      <c r="N406" s="1" t="str">
        <f aca="false">IF(C406="","",IFERROR(VLOOKUP(C406,Master_Mappings!$A$4:$E$85,3,FALSE()),"UNMAPPED"))</f>
        <v>Professional development and Training</v>
      </c>
      <c r="P406" s="1" t="str">
        <f aca="false">IF($C406="","",$C406&amp;"|"&amp;$E406&amp;"|"&amp;$M406&amp;"|"&amp;TEXT($G406,"yyyy-mm-dd")&amp;"|"&amp;LEFT($J406,40))</f>
        <v>7123|43788|1150|2026-04-01|Fuel for Vehicle</v>
      </c>
      <c r="Q406" s="11" t="str">
        <f aca="false">IF(P406="","",IF(COUNTIF($P$2:$P$3000,P406)&gt;1,"DUPLICATE","OK"))</f>
        <v>OK</v>
      </c>
      <c r="R406" s="0" t="str">
        <f aca="false">IF($C406="","",IFERROR(VLOOKUP(--$C406,MM_Income!$Z$5:$AC$204,3,FALSE()),""))</f>
        <v/>
      </c>
    </row>
    <row r="407" customFormat="false" ht="14.9" hidden="false" customHeight="false" outlineLevel="0" collapsed="false">
      <c r="A407" s="1" t="s">
        <v>49</v>
      </c>
      <c r="B407" s="1" t="s">
        <v>89</v>
      </c>
      <c r="C407" s="1" t="n">
        <v>7123</v>
      </c>
      <c r="D407" s="1" t="s">
        <v>709</v>
      </c>
      <c r="E407" s="1" t="n">
        <v>43789</v>
      </c>
      <c r="F407" s="1" t="s">
        <v>869</v>
      </c>
      <c r="G407" s="140" t="n">
        <v>46113</v>
      </c>
      <c r="H407" s="1" t="n">
        <v>1260</v>
      </c>
      <c r="I407" s="1" t="s">
        <v>1305</v>
      </c>
      <c r="J407" s="1" t="s">
        <v>1077</v>
      </c>
      <c r="K407" s="1" t="n">
        <v>1610</v>
      </c>
      <c r="M407" s="125" t="n">
        <f aca="false">Nominal_Activity[[#This Row],[Debit]]-Nominal_Activity[[#This Row],[Credit]]</f>
        <v>1610</v>
      </c>
      <c r="N407" s="1" t="str">
        <f aca="false">IF(C407="","",IFERROR(VLOOKUP(C407,Master_Mappings!$A$4:$E$85,3,FALSE()),"UNMAPPED"))</f>
        <v>Professional development and Training</v>
      </c>
      <c r="P407" s="1" t="str">
        <f aca="false">IF($C407="","",$C407&amp;"|"&amp;$E407&amp;"|"&amp;$M407&amp;"|"&amp;TEXT($G407,"yyyy-mm-dd")&amp;"|"&amp;LEFT($J407,40))</f>
        <v>7123|43789|1610|2026-04-01|Fuel for Vehicle</v>
      </c>
      <c r="Q407" s="11" t="str">
        <f aca="false">IF(P407="","",IF(COUNTIF($P$2:$P$3000,P407)&gt;1,"DUPLICATE","OK"))</f>
        <v>OK</v>
      </c>
      <c r="R407" s="0" t="str">
        <f aca="false">IF($C407="","",IFERROR(VLOOKUP(--$C407,MM_Income!$Z$5:$AC$204,3,FALSE()),""))</f>
        <v/>
      </c>
    </row>
    <row r="408" customFormat="false" ht="14.9" hidden="false" customHeight="false" outlineLevel="0" collapsed="false">
      <c r="A408" s="1" t="s">
        <v>49</v>
      </c>
      <c r="B408" s="1" t="s">
        <v>89</v>
      </c>
      <c r="C408" s="1" t="n">
        <v>7123</v>
      </c>
      <c r="D408" s="1" t="s">
        <v>709</v>
      </c>
      <c r="E408" s="1" t="n">
        <v>43790</v>
      </c>
      <c r="F408" s="1" t="s">
        <v>869</v>
      </c>
      <c r="G408" s="140" t="n">
        <v>46113</v>
      </c>
      <c r="H408" s="1" t="n">
        <v>1260</v>
      </c>
      <c r="I408" s="1" t="s">
        <v>1305</v>
      </c>
      <c r="J408" s="1" t="s">
        <v>1077</v>
      </c>
      <c r="K408" s="1" t="n">
        <v>1580</v>
      </c>
      <c r="M408" s="125" t="n">
        <f aca="false">Nominal_Activity[[#This Row],[Debit]]-Nominal_Activity[[#This Row],[Credit]]</f>
        <v>1580</v>
      </c>
      <c r="N408" s="1" t="str">
        <f aca="false">IF(C408="","",IFERROR(VLOOKUP(C408,Master_Mappings!$A$4:$E$85,3,FALSE()),"UNMAPPED"))</f>
        <v>Professional development and Training</v>
      </c>
      <c r="P408" s="1" t="str">
        <f aca="false">IF($C408="","",$C408&amp;"|"&amp;$E408&amp;"|"&amp;$M408&amp;"|"&amp;TEXT($G408,"yyyy-mm-dd")&amp;"|"&amp;LEFT($J408,40))</f>
        <v>7123|43790|1580|2026-04-01|Fuel for Vehicle</v>
      </c>
      <c r="Q408" s="11" t="str">
        <f aca="false">IF(P408="","",IF(COUNTIF($P$2:$P$3000,P408)&gt;1,"DUPLICATE","OK"))</f>
        <v>OK</v>
      </c>
      <c r="R408" s="0" t="str">
        <f aca="false">IF($C408="","",IFERROR(VLOOKUP(--$C408,MM_Income!$Z$5:$AC$204,3,FALSE()),""))</f>
        <v/>
      </c>
    </row>
    <row r="409" customFormat="false" ht="14.9" hidden="false" customHeight="false" outlineLevel="0" collapsed="false">
      <c r="A409" s="1" t="s">
        <v>49</v>
      </c>
      <c r="B409" s="1" t="s">
        <v>89</v>
      </c>
      <c r="C409" s="1" t="n">
        <v>7123</v>
      </c>
      <c r="D409" s="1" t="s">
        <v>709</v>
      </c>
      <c r="E409" s="1" t="n">
        <v>43791</v>
      </c>
      <c r="F409" s="1" t="s">
        <v>869</v>
      </c>
      <c r="G409" s="140" t="n">
        <v>46113</v>
      </c>
      <c r="H409" s="1" t="n">
        <v>1260</v>
      </c>
      <c r="I409" s="1" t="s">
        <v>1305</v>
      </c>
      <c r="J409" s="1" t="s">
        <v>1350</v>
      </c>
      <c r="K409" s="1" t="n">
        <v>315</v>
      </c>
      <c r="M409" s="125" t="n">
        <f aca="false">Nominal_Activity[[#This Row],[Debit]]-Nominal_Activity[[#This Row],[Credit]]</f>
        <v>315</v>
      </c>
      <c r="N409" s="1" t="str">
        <f aca="false">IF(C409="","",IFERROR(VLOOKUP(C409,Master_Mappings!$A$4:$E$85,3,FALSE()),"UNMAPPED"))</f>
        <v>Professional development and Training</v>
      </c>
      <c r="P409" s="1" t="str">
        <f aca="false">IF($C409="","",$C409&amp;"|"&amp;$E409&amp;"|"&amp;$M409&amp;"|"&amp;TEXT($G409,"yyyy-mm-dd")&amp;"|"&amp;LEFT($J409,40))</f>
        <v>7123|43791|315|2026-04-01|Food and drinks for two</v>
      </c>
      <c r="Q409" s="11" t="str">
        <f aca="false">IF(P409="","",IF(COUNTIF($P$2:$P$3000,P409)&gt;1,"DUPLICATE","OK"))</f>
        <v>OK</v>
      </c>
      <c r="R409" s="0" t="str">
        <f aca="false">IF($C409="","",IFERROR(VLOOKUP(--$C409,MM_Income!$Z$5:$AC$204,3,FALSE()),""))</f>
        <v/>
      </c>
    </row>
    <row r="410" customFormat="false" ht="14.9" hidden="false" customHeight="false" outlineLevel="0" collapsed="false">
      <c r="A410" s="1" t="s">
        <v>49</v>
      </c>
      <c r="B410" s="1" t="s">
        <v>89</v>
      </c>
      <c r="C410" s="1" t="n">
        <v>7123</v>
      </c>
      <c r="D410" s="1" t="s">
        <v>709</v>
      </c>
      <c r="E410" s="1" t="n">
        <v>43792</v>
      </c>
      <c r="F410" s="1" t="s">
        <v>869</v>
      </c>
      <c r="G410" s="140" t="n">
        <v>46113</v>
      </c>
      <c r="H410" s="1" t="n">
        <v>1260</v>
      </c>
      <c r="I410" s="1" t="s">
        <v>1305</v>
      </c>
      <c r="J410" s="1" t="s">
        <v>1350</v>
      </c>
      <c r="K410" s="1" t="n">
        <v>270</v>
      </c>
      <c r="M410" s="125" t="n">
        <f aca="false">Nominal_Activity[[#This Row],[Debit]]-Nominal_Activity[[#This Row],[Credit]]</f>
        <v>270</v>
      </c>
      <c r="N410" s="1" t="str">
        <f aca="false">IF(C410="","",IFERROR(VLOOKUP(C410,Master_Mappings!$A$4:$E$85,3,FALSE()),"UNMAPPED"))</f>
        <v>Professional development and Training</v>
      </c>
      <c r="P410" s="1" t="str">
        <f aca="false">IF($C410="","",$C410&amp;"|"&amp;$E410&amp;"|"&amp;$M410&amp;"|"&amp;TEXT($G410,"yyyy-mm-dd")&amp;"|"&amp;LEFT($J410,40))</f>
        <v>7123|43792|270|2026-04-01|Food and drinks for two</v>
      </c>
      <c r="Q410" s="11" t="str">
        <f aca="false">IF(P410="","",IF(COUNTIF($P$2:$P$3000,P410)&gt;1,"DUPLICATE","OK"))</f>
        <v>OK</v>
      </c>
      <c r="R410" s="0" t="str">
        <f aca="false">IF($C410="","",IFERROR(VLOOKUP(--$C410,MM_Income!$Z$5:$AC$204,3,FALSE()),""))</f>
        <v/>
      </c>
    </row>
    <row r="411" customFormat="false" ht="14.9" hidden="false" customHeight="false" outlineLevel="0" collapsed="false">
      <c r="A411" s="1" t="s">
        <v>49</v>
      </c>
      <c r="B411" s="1" t="s">
        <v>89</v>
      </c>
      <c r="C411" s="1" t="n">
        <v>7123</v>
      </c>
      <c r="D411" s="1" t="s">
        <v>709</v>
      </c>
      <c r="E411" s="1" t="n">
        <v>43793</v>
      </c>
      <c r="F411" s="1" t="s">
        <v>869</v>
      </c>
      <c r="G411" s="140" t="n">
        <v>46113</v>
      </c>
      <c r="H411" s="1" t="n">
        <v>1260</v>
      </c>
      <c r="I411" s="1" t="s">
        <v>1305</v>
      </c>
      <c r="J411" s="1" t="s">
        <v>1351</v>
      </c>
      <c r="K411" s="1" t="n">
        <v>260</v>
      </c>
      <c r="M411" s="125" t="n">
        <f aca="false">Nominal_Activity[[#This Row],[Debit]]-Nominal_Activity[[#This Row],[Credit]]</f>
        <v>260</v>
      </c>
      <c r="N411" s="1" t="str">
        <f aca="false">IF(C411="","",IFERROR(VLOOKUP(C411,Master_Mappings!$A$4:$E$85,3,FALSE()),"UNMAPPED"))</f>
        <v>Professional development and Training</v>
      </c>
      <c r="P411" s="1" t="str">
        <f aca="false">IF($C411="","",$C411&amp;"|"&amp;$E411&amp;"|"&amp;$M411&amp;"|"&amp;TEXT($G411,"yyyy-mm-dd")&amp;"|"&amp;LEFT($J411,40))</f>
        <v>7123|43793|260|2026-04-01|Food and drinks for 2</v>
      </c>
      <c r="Q411" s="11" t="str">
        <f aca="false">IF(P411="","",IF(COUNTIF($P$2:$P$3000,P411)&gt;1,"DUPLICATE","OK"))</f>
        <v>OK</v>
      </c>
      <c r="R411" s="0" t="str">
        <f aca="false">IF($C411="","",IFERROR(VLOOKUP(--$C411,MM_Income!$Z$5:$AC$204,3,FALSE()),""))</f>
        <v/>
      </c>
    </row>
    <row r="412" customFormat="false" ht="14.9" hidden="false" customHeight="false" outlineLevel="0" collapsed="false">
      <c r="A412" s="1" t="s">
        <v>49</v>
      </c>
      <c r="B412" s="1" t="s">
        <v>89</v>
      </c>
      <c r="C412" s="1" t="n">
        <v>7123</v>
      </c>
      <c r="D412" s="1" t="s">
        <v>709</v>
      </c>
      <c r="E412" s="1" t="n">
        <v>43794</v>
      </c>
      <c r="F412" s="1" t="s">
        <v>869</v>
      </c>
      <c r="G412" s="140" t="n">
        <v>46113</v>
      </c>
      <c r="H412" s="1" t="n">
        <v>1260</v>
      </c>
      <c r="I412" s="1" t="s">
        <v>1305</v>
      </c>
      <c r="J412" s="1" t="s">
        <v>1352</v>
      </c>
      <c r="K412" s="1" t="n">
        <v>230</v>
      </c>
      <c r="M412" s="125" t="n">
        <f aca="false">Nominal_Activity[[#This Row],[Debit]]-Nominal_Activity[[#This Row],[Credit]]</f>
        <v>230</v>
      </c>
      <c r="N412" s="1" t="str">
        <f aca="false">IF(C412="","",IFERROR(VLOOKUP(C412,Master_Mappings!$A$4:$E$85,3,FALSE()),"UNMAPPED"))</f>
        <v>Professional development and Training</v>
      </c>
      <c r="P412" s="1" t="str">
        <f aca="false">IF($C412="","",$C412&amp;"|"&amp;$E412&amp;"|"&amp;$M412&amp;"|"&amp;TEXT($G412,"yyyy-mm-dd")&amp;"|"&amp;LEFT($J412,40))</f>
        <v>7123|43794|230|2026-04-01|Food and drinks for two (Dinner)</v>
      </c>
      <c r="Q412" s="11" t="str">
        <f aca="false">IF(P412="","",IF(COUNTIF($P$2:$P$3000,P412)&gt;1,"DUPLICATE","OK"))</f>
        <v>OK</v>
      </c>
      <c r="R412" s="0" t="str">
        <f aca="false">IF($C412="","",IFERROR(VLOOKUP(--$C412,MM_Income!$Z$5:$AC$204,3,FALSE()),""))</f>
        <v/>
      </c>
    </row>
    <row r="413" customFormat="false" ht="14.9" hidden="false" customHeight="false" outlineLevel="0" collapsed="false">
      <c r="A413" s="1" t="s">
        <v>49</v>
      </c>
      <c r="B413" s="1" t="s">
        <v>89</v>
      </c>
      <c r="C413" s="1" t="n">
        <v>7123</v>
      </c>
      <c r="D413" s="1" t="s">
        <v>709</v>
      </c>
      <c r="E413" s="1" t="n">
        <v>43795</v>
      </c>
      <c r="F413" s="1" t="s">
        <v>869</v>
      </c>
      <c r="G413" s="140" t="n">
        <v>46113</v>
      </c>
      <c r="H413" s="1" t="n">
        <v>1260</v>
      </c>
      <c r="I413" s="1" t="s">
        <v>1305</v>
      </c>
      <c r="J413" s="1" t="s">
        <v>1077</v>
      </c>
      <c r="K413" s="1" t="n">
        <v>1560</v>
      </c>
      <c r="M413" s="125" t="n">
        <f aca="false">Nominal_Activity[[#This Row],[Debit]]-Nominal_Activity[[#This Row],[Credit]]</f>
        <v>1560</v>
      </c>
      <c r="N413" s="1" t="str">
        <f aca="false">IF(C413="","",IFERROR(VLOOKUP(C413,Master_Mappings!$A$4:$E$85,3,FALSE()),"UNMAPPED"))</f>
        <v>Professional development and Training</v>
      </c>
      <c r="P413" s="1" t="str">
        <f aca="false">IF($C413="","",$C413&amp;"|"&amp;$E413&amp;"|"&amp;$M413&amp;"|"&amp;TEXT($G413,"yyyy-mm-dd")&amp;"|"&amp;LEFT($J413,40))</f>
        <v>7123|43795|1560|2026-04-01|Fuel for Vehicle</v>
      </c>
      <c r="Q413" s="11" t="str">
        <f aca="false">IF(P413="","",IF(COUNTIF($P$2:$P$3000,P413)&gt;1,"DUPLICATE","OK"))</f>
        <v>OK</v>
      </c>
      <c r="R413" s="0" t="str">
        <f aca="false">IF($C413="","",IFERROR(VLOOKUP(--$C413,MM_Income!$Z$5:$AC$204,3,FALSE()),""))</f>
        <v/>
      </c>
    </row>
    <row r="414" customFormat="false" ht="14.9" hidden="false" customHeight="false" outlineLevel="0" collapsed="false">
      <c r="A414" s="1" t="s">
        <v>49</v>
      </c>
      <c r="B414" s="1" t="s">
        <v>89</v>
      </c>
      <c r="C414" s="1" t="n">
        <v>7123</v>
      </c>
      <c r="D414" s="1" t="s">
        <v>709</v>
      </c>
      <c r="E414" s="1" t="n">
        <v>43796</v>
      </c>
      <c r="F414" s="1" t="s">
        <v>869</v>
      </c>
      <c r="G414" s="140" t="n">
        <v>46113</v>
      </c>
      <c r="H414" s="1" t="n">
        <v>1260</v>
      </c>
      <c r="I414" s="1" t="s">
        <v>1305</v>
      </c>
      <c r="J414" s="1" t="s">
        <v>1350</v>
      </c>
      <c r="K414" s="1" t="n">
        <v>310</v>
      </c>
      <c r="M414" s="125" t="n">
        <f aca="false">Nominal_Activity[[#This Row],[Debit]]-Nominal_Activity[[#This Row],[Credit]]</f>
        <v>310</v>
      </c>
      <c r="N414" s="1" t="str">
        <f aca="false">IF(C414="","",IFERROR(VLOOKUP(C414,Master_Mappings!$A$4:$E$85,3,FALSE()),"UNMAPPED"))</f>
        <v>Professional development and Training</v>
      </c>
      <c r="P414" s="1" t="str">
        <f aca="false">IF($C414="","",$C414&amp;"|"&amp;$E414&amp;"|"&amp;$M414&amp;"|"&amp;TEXT($G414,"yyyy-mm-dd")&amp;"|"&amp;LEFT($J414,40))</f>
        <v>7123|43796|310|2026-04-01|Food and drinks for two</v>
      </c>
      <c r="Q414" s="11" t="str">
        <f aca="false">IF(P414="","",IF(COUNTIF($P$2:$P$3000,P414)&gt;1,"DUPLICATE","OK"))</f>
        <v>OK</v>
      </c>
      <c r="R414" s="0" t="str">
        <f aca="false">IF($C414="","",IFERROR(VLOOKUP(--$C414,MM_Income!$Z$5:$AC$204,3,FALSE()),""))</f>
        <v/>
      </c>
    </row>
    <row r="415" customFormat="false" ht="14.9" hidden="false" customHeight="false" outlineLevel="0" collapsed="false">
      <c r="A415" s="1" t="s">
        <v>49</v>
      </c>
      <c r="B415" s="1" t="s">
        <v>89</v>
      </c>
      <c r="C415" s="1" t="n">
        <v>7123</v>
      </c>
      <c r="D415" s="1" t="s">
        <v>709</v>
      </c>
      <c r="E415" s="1" t="n">
        <v>43797</v>
      </c>
      <c r="F415" s="1" t="s">
        <v>869</v>
      </c>
      <c r="G415" s="140" t="n">
        <v>46113</v>
      </c>
      <c r="H415" s="1" t="n">
        <v>1260</v>
      </c>
      <c r="I415" s="1" t="s">
        <v>1305</v>
      </c>
      <c r="J415" s="1" t="s">
        <v>1353</v>
      </c>
      <c r="K415" s="1" t="n">
        <v>35</v>
      </c>
      <c r="M415" s="125" t="n">
        <f aca="false">Nominal_Activity[[#This Row],[Debit]]-Nominal_Activity[[#This Row],[Credit]]</f>
        <v>35</v>
      </c>
      <c r="N415" s="1" t="str">
        <f aca="false">IF(C415="","",IFERROR(VLOOKUP(C415,Master_Mappings!$A$4:$E$85,3,FALSE()),"UNMAPPED"))</f>
        <v>Professional development and Training</v>
      </c>
      <c r="P415" s="1" t="str">
        <f aca="false">IF($C415="","",$C415&amp;"|"&amp;$E415&amp;"|"&amp;$M415&amp;"|"&amp;TEXT($G415,"yyyy-mm-dd")&amp;"|"&amp;LEFT($J415,40))</f>
        <v>7123|43797|35|2026-04-01|Pack of awake mineral water</v>
      </c>
      <c r="Q415" s="11" t="str">
        <f aca="false">IF(P415="","",IF(COUNTIF($P$2:$P$3000,P415)&gt;1,"DUPLICATE","OK"))</f>
        <v>OK</v>
      </c>
      <c r="R415" s="0" t="str">
        <f aca="false">IF($C415="","",IFERROR(VLOOKUP(--$C415,MM_Income!$Z$5:$AC$204,3,FALSE()),""))</f>
        <v/>
      </c>
    </row>
    <row r="416" customFormat="false" ht="14.9" hidden="false" customHeight="false" outlineLevel="0" collapsed="false">
      <c r="A416" s="1" t="s">
        <v>49</v>
      </c>
      <c r="B416" s="1" t="s">
        <v>89</v>
      </c>
      <c r="C416" s="1" t="n">
        <v>7123</v>
      </c>
      <c r="D416" s="1" t="s">
        <v>709</v>
      </c>
      <c r="E416" s="1" t="n">
        <v>43798</v>
      </c>
      <c r="F416" s="1" t="s">
        <v>869</v>
      </c>
      <c r="G416" s="140" t="n">
        <v>46113</v>
      </c>
      <c r="H416" s="1" t="n">
        <v>1260</v>
      </c>
      <c r="I416" s="1" t="s">
        <v>1305</v>
      </c>
      <c r="J416" s="1" t="s">
        <v>1351</v>
      </c>
      <c r="K416" s="1" t="n">
        <v>275</v>
      </c>
      <c r="M416" s="125" t="n">
        <f aca="false">Nominal_Activity[[#This Row],[Debit]]-Nominal_Activity[[#This Row],[Credit]]</f>
        <v>275</v>
      </c>
      <c r="N416" s="1" t="str">
        <f aca="false">IF(C416="","",IFERROR(VLOOKUP(C416,Master_Mappings!$A$4:$E$85,3,FALSE()),"UNMAPPED"))</f>
        <v>Professional development and Training</v>
      </c>
      <c r="P416" s="1" t="str">
        <f aca="false">IF($C416="","",$C416&amp;"|"&amp;$E416&amp;"|"&amp;$M416&amp;"|"&amp;TEXT($G416,"yyyy-mm-dd")&amp;"|"&amp;LEFT($J416,40))</f>
        <v>7123|43798|275|2026-04-01|Food and drinks for 2</v>
      </c>
      <c r="Q416" s="11" t="str">
        <f aca="false">IF(P416="","",IF(COUNTIF($P$2:$P$3000,P416)&gt;1,"DUPLICATE","OK"))</f>
        <v>OK</v>
      </c>
      <c r="R416" s="0" t="str">
        <f aca="false">IF($C416="","",IFERROR(VLOOKUP(--$C416,MM_Income!$Z$5:$AC$204,3,FALSE()),""))</f>
        <v/>
      </c>
    </row>
    <row r="417" customFormat="false" ht="14.9" hidden="false" customHeight="false" outlineLevel="0" collapsed="false">
      <c r="A417" s="1" t="s">
        <v>49</v>
      </c>
      <c r="B417" s="1" t="s">
        <v>89</v>
      </c>
      <c r="C417" s="1" t="n">
        <v>7123</v>
      </c>
      <c r="D417" s="1" t="s">
        <v>709</v>
      </c>
      <c r="E417" s="1" t="n">
        <v>44067</v>
      </c>
      <c r="F417" s="1" t="s">
        <v>847</v>
      </c>
      <c r="G417" s="140" t="n">
        <v>46164</v>
      </c>
      <c r="H417" s="1" t="s">
        <v>892</v>
      </c>
      <c r="I417" s="1" t="s">
        <v>1354</v>
      </c>
      <c r="J417" s="1" t="s">
        <v>1355</v>
      </c>
      <c r="K417" s="1" t="n">
        <v>25940</v>
      </c>
      <c r="M417" s="125" t="n">
        <f aca="false">Nominal_Activity[[#This Row],[Debit]]-Nominal_Activity[[#This Row],[Credit]]</f>
        <v>25940</v>
      </c>
      <c r="N417" s="1" t="str">
        <f aca="false">IF(C417="","",IFERROR(VLOOKUP(C417,Master_Mappings!$A$4:$E$85,3,FALSE()),"UNMAPPED"))</f>
        <v>Professional development and Training</v>
      </c>
      <c r="P417" s="1" t="str">
        <f aca="false">IF($C417="","",$C417&amp;"|"&amp;$E417&amp;"|"&amp;$M417&amp;"|"&amp;TEXT($G417,"yyyy-mm-dd")&amp;"|"&amp;LEFT($J417,40))</f>
        <v>7123|44067|25940|2026-05-22|Flight ticket for Kingsley to Malaysia f</v>
      </c>
      <c r="Q417" s="11" t="str">
        <f aca="false">IF(P417="","",IF(COUNTIF($P$2:$P$3000,P417)&gt;1,"DUPLICATE","OK"))</f>
        <v>OK</v>
      </c>
      <c r="R417" s="0" t="str">
        <f aca="false">IF($C417="","",IFERROR(VLOOKUP(--$C417,MM_Income!$Z$5:$AC$204,3,FALSE()),""))</f>
        <v/>
      </c>
    </row>
    <row r="418" customFormat="false" ht="14.9" hidden="false" customHeight="false" outlineLevel="0" collapsed="false">
      <c r="A418" s="1" t="s">
        <v>49</v>
      </c>
      <c r="B418" s="1" t="s">
        <v>89</v>
      </c>
      <c r="C418" s="1" t="n">
        <v>7123</v>
      </c>
      <c r="D418" s="1" t="s">
        <v>709</v>
      </c>
      <c r="E418" s="1" t="n">
        <v>44068</v>
      </c>
      <c r="F418" s="1" t="s">
        <v>847</v>
      </c>
      <c r="G418" s="140" t="n">
        <v>46164</v>
      </c>
      <c r="H418" s="1" t="s">
        <v>892</v>
      </c>
      <c r="I418" s="1" t="s">
        <v>1356</v>
      </c>
      <c r="J418" s="1" t="s">
        <v>1357</v>
      </c>
      <c r="K418" s="1" t="n">
        <v>2224</v>
      </c>
      <c r="M418" s="125" t="n">
        <f aca="false">Nominal_Activity[[#This Row],[Debit]]-Nominal_Activity[[#This Row],[Credit]]</f>
        <v>2224</v>
      </c>
      <c r="N418" s="1" t="str">
        <f aca="false">IF(C418="","",IFERROR(VLOOKUP(C418,Master_Mappings!$A$4:$E$85,3,FALSE()),"UNMAPPED"))</f>
        <v>Professional development and Training</v>
      </c>
      <c r="P418" s="1" t="str">
        <f aca="false">IF($C418="","",$C418&amp;"|"&amp;$E418&amp;"|"&amp;$M418&amp;"|"&amp;TEXT($G418,"yyyy-mm-dd")&amp;"|"&amp;LEFT($J418,40))</f>
        <v>7123|44068|2224|2026-05-22|Additional cost for change in Philip's t</v>
      </c>
      <c r="Q418" s="11" t="str">
        <f aca="false">IF(P418="","",IF(COUNTIF($P$2:$P$3000,P418)&gt;1,"DUPLICATE","OK"))</f>
        <v>OK</v>
      </c>
      <c r="R418" s="0" t="str">
        <f aca="false">IF($C418="","",IFERROR(VLOOKUP(--$C418,MM_Income!$Z$5:$AC$204,3,FALSE()),""))</f>
        <v/>
      </c>
    </row>
    <row r="419" customFormat="false" ht="14.9" hidden="false" customHeight="false" outlineLevel="0" collapsed="false">
      <c r="A419" s="1" t="s">
        <v>49</v>
      </c>
      <c r="B419" s="1" t="s">
        <v>89</v>
      </c>
      <c r="C419" s="1" t="n">
        <v>7123</v>
      </c>
      <c r="D419" s="1" t="s">
        <v>709</v>
      </c>
      <c r="E419" s="1" t="n">
        <v>44215</v>
      </c>
      <c r="F419" s="1" t="s">
        <v>869</v>
      </c>
      <c r="G419" s="140" t="n">
        <v>46197</v>
      </c>
      <c r="H419" s="1" t="n">
        <v>1260</v>
      </c>
      <c r="I419" s="1" t="s">
        <v>1164</v>
      </c>
      <c r="J419" s="1" t="s">
        <v>1358</v>
      </c>
      <c r="K419" s="1" t="n">
        <v>14822.78</v>
      </c>
      <c r="M419" s="125" t="n">
        <f aca="false">Nominal_Activity[[#This Row],[Debit]]-Nominal_Activity[[#This Row],[Credit]]</f>
        <v>14822.78</v>
      </c>
      <c r="N419" s="1" t="str">
        <f aca="false">IF(C419="","",IFERROR(VLOOKUP(C419,Master_Mappings!$A$4:$E$85,3,FALSE()),"UNMAPPED"))</f>
        <v>Professional development and Training</v>
      </c>
      <c r="P419" s="1" t="str">
        <f aca="false">IF($C419="","",$C419&amp;"|"&amp;$E419&amp;"|"&amp;$M419&amp;"|"&amp;TEXT($G419,"yyyy-mm-dd")&amp;"|"&amp;LEFT($J419,40))</f>
        <v>7123|44215|14822.78|2026-06-24|UK Visa Application</v>
      </c>
      <c r="Q419" s="11" t="str">
        <f aca="false">IF(P419="","",IF(COUNTIF($P$2:$P$3000,P419)&gt;1,"DUPLICATE","OK"))</f>
        <v>OK</v>
      </c>
      <c r="R419" s="0" t="str">
        <f aca="false">IF($C419="","",IFERROR(VLOOKUP(--$C419,MM_Income!$Z$5:$AC$204,3,FALSE()),""))</f>
        <v/>
      </c>
    </row>
    <row r="420" customFormat="false" ht="14.9" hidden="false" customHeight="false" outlineLevel="0" collapsed="false">
      <c r="A420" s="1" t="s">
        <v>49</v>
      </c>
      <c r="B420" s="1" t="s">
        <v>85</v>
      </c>
      <c r="C420" s="1" t="n">
        <v>7124</v>
      </c>
      <c r="D420" s="1" t="s">
        <v>711</v>
      </c>
      <c r="E420" s="1" t="n">
        <v>43059</v>
      </c>
      <c r="F420" s="1" t="s">
        <v>847</v>
      </c>
      <c r="G420" s="140" t="n">
        <v>46077</v>
      </c>
      <c r="H420" s="1" t="s">
        <v>1359</v>
      </c>
      <c r="J420" s="1" t="s">
        <v>1360</v>
      </c>
      <c r="K420" s="1" t="n">
        <v>9600</v>
      </c>
      <c r="M420" s="125" t="n">
        <f aca="false">Nominal_Activity[[#This Row],[Debit]]-Nominal_Activity[[#This Row],[Credit]]</f>
        <v>9600</v>
      </c>
      <c r="N420" s="1" t="str">
        <f aca="false">IF(C420="","",IFERROR(VLOOKUP(C420,Master_Mappings!$A$4:$E$85,3,FALSE()),"UNMAPPED"))</f>
        <v>Professional development and Training</v>
      </c>
      <c r="P420" s="1" t="str">
        <f aca="false">IF($C420="","",$C420&amp;"|"&amp;$E420&amp;"|"&amp;$M420&amp;"|"&amp;TEXT($G420,"yyyy-mm-dd")&amp;"|"&amp;LEFT($J420,40))</f>
        <v>7124|43059|9600|2026-02-24|Car Rental to Goaso for Cocoa learning j</v>
      </c>
      <c r="Q420" s="11" t="str">
        <f aca="false">IF(P420="","",IF(COUNTIF($P$2:$P$3000,P420)&gt;1,"DUPLICATE","OK"))</f>
        <v>OK</v>
      </c>
      <c r="R420" s="0" t="str">
        <f aca="false">IF($C420="","",IFERROR(VLOOKUP(--$C420,MM_Income!$Z$5:$AC$204,3,FALSE()),""))</f>
        <v/>
      </c>
    </row>
    <row r="421" customFormat="false" ht="14.9" hidden="false" customHeight="false" outlineLevel="0" collapsed="false">
      <c r="A421" s="1" t="s">
        <v>49</v>
      </c>
      <c r="B421" s="1" t="s">
        <v>85</v>
      </c>
      <c r="C421" s="1" t="n">
        <v>7150</v>
      </c>
      <c r="D421" s="1" t="s">
        <v>713</v>
      </c>
      <c r="E421" s="1" t="n">
        <v>42820</v>
      </c>
      <c r="F421" s="1" t="s">
        <v>869</v>
      </c>
      <c r="G421" s="140" t="n">
        <v>46062</v>
      </c>
      <c r="H421" s="1" t="n">
        <v>1260</v>
      </c>
      <c r="I421" s="1" t="s">
        <v>871</v>
      </c>
      <c r="J421" s="1" t="s">
        <v>1361</v>
      </c>
      <c r="K421" s="1" t="n">
        <v>130</v>
      </c>
      <c r="M421" s="125" t="n">
        <f aca="false">Nominal_Activity[[#This Row],[Debit]]-Nominal_Activity[[#This Row],[Credit]]</f>
        <v>130</v>
      </c>
      <c r="N421" s="1" t="str">
        <f aca="false">IF(C421="","",IFERROR(VLOOKUP(C421,Master_Mappings!$A$4:$E$85,3,FALSE()),"UNMAPPED"))</f>
        <v>Recruitment, Benefits</v>
      </c>
      <c r="P421" s="1" t="str">
        <f aca="false">IF($C421="","",$C421&amp;"|"&amp;$E421&amp;"|"&amp;$M421&amp;"|"&amp;TEXT($G421,"yyyy-mm-dd")&amp;"|"&amp;LEFT($J421,40))</f>
        <v>7150|42820|130|2026-02-09|Vaccination Cost for field travels</v>
      </c>
      <c r="Q421" s="11" t="str">
        <f aca="false">IF(P421="","",IF(COUNTIF($P$2:$P$3000,P421)&gt;1,"DUPLICATE","OK"))</f>
        <v>OK</v>
      </c>
      <c r="R421" s="0" t="str">
        <f aca="false">IF($C421="","",IFERROR(VLOOKUP(--$C421,MM_Income!$Z$5:$AC$204,3,FALSE()),""))</f>
        <v>Excluded — Overhead (in fixed costs)</v>
      </c>
    </row>
    <row r="422" customFormat="false" ht="14.9" hidden="false" customHeight="false" outlineLevel="0" collapsed="false">
      <c r="A422" s="1" t="s">
        <v>49</v>
      </c>
      <c r="B422" s="1" t="s">
        <v>85</v>
      </c>
      <c r="C422" s="1" t="n">
        <v>7150</v>
      </c>
      <c r="D422" s="1" t="s">
        <v>713</v>
      </c>
      <c r="E422" s="1" t="n">
        <v>42848</v>
      </c>
      <c r="F422" s="1" t="s">
        <v>869</v>
      </c>
      <c r="G422" s="140" t="n">
        <v>46073</v>
      </c>
      <c r="H422" s="1" t="n">
        <v>1260</v>
      </c>
      <c r="I422" s="1" t="s">
        <v>1362</v>
      </c>
      <c r="J422" s="1" t="s">
        <v>1363</v>
      </c>
      <c r="K422" s="1" t="n">
        <v>1900</v>
      </c>
      <c r="M422" s="125" t="n">
        <f aca="false">Nominal_Activity[[#This Row],[Debit]]-Nominal_Activity[[#This Row],[Credit]]</f>
        <v>1900</v>
      </c>
      <c r="N422" s="1" t="str">
        <f aca="false">IF(C422="","",IFERROR(VLOOKUP(C422,Master_Mappings!$A$4:$E$85,3,FALSE()),"UNMAPPED"))</f>
        <v>Recruitment, Benefits</v>
      </c>
      <c r="P422" s="1" t="str">
        <f aca="false">IF($C422="","",$C422&amp;"|"&amp;$E422&amp;"|"&amp;$M422&amp;"|"&amp;TEXT($G422,"yyyy-mm-dd")&amp;"|"&amp;LEFT($J422,40))</f>
        <v>7150|42848|1900|2026-02-20|Military Boots</v>
      </c>
      <c r="Q422" s="11" t="str">
        <f aca="false">IF(P422="","",IF(COUNTIF($P$2:$P$3000,P422)&gt;1,"DUPLICATE","OK"))</f>
        <v>OK</v>
      </c>
      <c r="R422" s="0" t="str">
        <f aca="false">IF($C422="","",IFERROR(VLOOKUP(--$C422,MM_Income!$Z$5:$AC$204,3,FALSE()),""))</f>
        <v>Excluded — Overhead (in fixed costs)</v>
      </c>
    </row>
    <row r="423" customFormat="false" ht="14.9" hidden="false" customHeight="false" outlineLevel="0" collapsed="false">
      <c r="A423" s="1" t="s">
        <v>49</v>
      </c>
      <c r="B423" s="1" t="s">
        <v>85</v>
      </c>
      <c r="C423" s="1" t="n">
        <v>7150</v>
      </c>
      <c r="D423" s="1" t="s">
        <v>713</v>
      </c>
      <c r="E423" s="1" t="n">
        <v>42882</v>
      </c>
      <c r="F423" s="1" t="s">
        <v>847</v>
      </c>
      <c r="G423" s="140" t="n">
        <v>46062</v>
      </c>
      <c r="H423" s="1" t="s">
        <v>1364</v>
      </c>
      <c r="J423" s="1" t="s">
        <v>1365</v>
      </c>
      <c r="K423" s="1" t="n">
        <v>2150</v>
      </c>
      <c r="M423" s="125" t="n">
        <f aca="false">Nominal_Activity[[#This Row],[Debit]]-Nominal_Activity[[#This Row],[Credit]]</f>
        <v>2150</v>
      </c>
      <c r="N423" s="1" t="str">
        <f aca="false">IF(C423="","",IFERROR(VLOOKUP(C423,Master_Mappings!$A$4:$E$85,3,FALSE()),"UNMAPPED"))</f>
        <v>Recruitment, Benefits</v>
      </c>
      <c r="P423" s="1" t="str">
        <f aca="false">IF($C423="","",$C423&amp;"|"&amp;$E423&amp;"|"&amp;$M423&amp;"|"&amp;TEXT($G423,"yyyy-mm-dd")&amp;"|"&amp;LEFT($J423,40))</f>
        <v>7150|42882|2150|2026-02-09|Servicing and Refilling of Fire Extingui</v>
      </c>
      <c r="Q423" s="11" t="str">
        <f aca="false">IF(P423="","",IF(COUNTIF($P$2:$P$3000,P423)&gt;1,"DUPLICATE","OK"))</f>
        <v>OK</v>
      </c>
      <c r="R423" s="0" t="str">
        <f aca="false">IF($C423="","",IFERROR(VLOOKUP(--$C423,MM_Income!$Z$5:$AC$204,3,FALSE()),""))</f>
        <v>Excluded — Overhead (in fixed costs)</v>
      </c>
    </row>
    <row r="424" customFormat="false" ht="14.9" hidden="false" customHeight="false" outlineLevel="0" collapsed="false">
      <c r="A424" s="1" t="s">
        <v>49</v>
      </c>
      <c r="B424" s="1" t="s">
        <v>85</v>
      </c>
      <c r="C424" s="1" t="n">
        <v>7150</v>
      </c>
      <c r="D424" s="1" t="s">
        <v>713</v>
      </c>
      <c r="E424" s="1" t="n">
        <v>43012</v>
      </c>
      <c r="F424" s="1" t="s">
        <v>914</v>
      </c>
      <c r="G424" s="140" t="n">
        <v>46094</v>
      </c>
      <c r="H424" s="1" t="n">
        <v>1200</v>
      </c>
      <c r="I424" s="1" t="s">
        <v>1366</v>
      </c>
      <c r="J424" s="1" t="s">
        <v>1367</v>
      </c>
      <c r="K424" s="1" t="n">
        <v>2444.5</v>
      </c>
      <c r="M424" s="125" t="n">
        <f aca="false">Nominal_Activity[[#This Row],[Debit]]-Nominal_Activity[[#This Row],[Credit]]</f>
        <v>2444.5</v>
      </c>
      <c r="N424" s="1" t="str">
        <f aca="false">IF(C424="","",IFERROR(VLOOKUP(C424,Master_Mappings!$A$4:$E$85,3,FALSE()),"UNMAPPED"))</f>
        <v>Recruitment, Benefits</v>
      </c>
      <c r="P424" s="1" t="str">
        <f aca="false">IF($C424="","",$C424&amp;"|"&amp;$E424&amp;"|"&amp;$M424&amp;"|"&amp;TEXT($G424,"yyyy-mm-dd")&amp;"|"&amp;LEFT($J424,40))</f>
        <v>7150|43012|2444.5|2026-03-13|Purchase of First Aid Items</v>
      </c>
      <c r="Q424" s="11" t="str">
        <f aca="false">IF(P424="","",IF(COUNTIF($P$2:$P$3000,P424)&gt;1,"DUPLICATE","OK"))</f>
        <v>OK</v>
      </c>
      <c r="R424" s="0" t="str">
        <f aca="false">IF($C424="","",IFERROR(VLOOKUP(--$C424,MM_Income!$Z$5:$AC$204,3,FALSE()),""))</f>
        <v>Excluded — Overhead (in fixed costs)</v>
      </c>
    </row>
    <row r="425" customFormat="false" ht="14.9" hidden="false" customHeight="false" outlineLevel="0" collapsed="false">
      <c r="A425" s="1" t="s">
        <v>49</v>
      </c>
      <c r="B425" s="1" t="s">
        <v>89</v>
      </c>
      <c r="C425" s="1" t="n">
        <v>7150</v>
      </c>
      <c r="D425" s="1" t="s">
        <v>713</v>
      </c>
      <c r="E425" s="1" t="n">
        <v>43786</v>
      </c>
      <c r="F425" s="1" t="s">
        <v>869</v>
      </c>
      <c r="G425" s="140" t="n">
        <v>46113</v>
      </c>
      <c r="H425" s="1" t="n">
        <v>1260</v>
      </c>
      <c r="I425" s="1" t="s">
        <v>1305</v>
      </c>
      <c r="J425" s="1" t="s">
        <v>1368</v>
      </c>
      <c r="K425" s="1" t="n">
        <v>2880</v>
      </c>
      <c r="M425" s="125" t="n">
        <f aca="false">Nominal_Activity[[#This Row],[Debit]]-Nominal_Activity[[#This Row],[Credit]]</f>
        <v>2880</v>
      </c>
      <c r="N425" s="1" t="str">
        <f aca="false">IF(C425="","",IFERROR(VLOOKUP(C425,Master_Mappings!$A$4:$E$85,3,FALSE()),"UNMAPPED"))</f>
        <v>Recruitment, Benefits</v>
      </c>
      <c r="P425" s="1" t="str">
        <f aca="false">IF($C425="","",$C425&amp;"|"&amp;$E425&amp;"|"&amp;$M425&amp;"|"&amp;TEXT($G425,"yyyy-mm-dd")&amp;"|"&amp;LEFT($J425,40))</f>
        <v>7150|43786|2880|2026-04-01|First Aid Bags</v>
      </c>
      <c r="Q425" s="11" t="str">
        <f aca="false">IF(P425="","",IF(COUNTIF($P$2:$P$3000,P425)&gt;1,"DUPLICATE","OK"))</f>
        <v>OK</v>
      </c>
      <c r="R425" s="0" t="str">
        <f aca="false">IF($C425="","",IFERROR(VLOOKUP(--$C425,MM_Income!$Z$5:$AC$204,3,FALSE()),""))</f>
        <v>Excluded — Overhead (in fixed costs)</v>
      </c>
    </row>
    <row r="426" customFormat="false" ht="14.9" hidden="false" customHeight="false" outlineLevel="0" collapsed="false">
      <c r="A426" s="1" t="s">
        <v>49</v>
      </c>
      <c r="B426" s="1" t="s">
        <v>89</v>
      </c>
      <c r="C426" s="1" t="n">
        <v>7150</v>
      </c>
      <c r="D426" s="1" t="s">
        <v>713</v>
      </c>
      <c r="E426" s="1" t="n">
        <v>44204</v>
      </c>
      <c r="F426" s="1" t="s">
        <v>869</v>
      </c>
      <c r="G426" s="140" t="n">
        <v>46118</v>
      </c>
      <c r="H426" s="1" t="n">
        <v>1260</v>
      </c>
      <c r="I426" s="1" t="s">
        <v>1164</v>
      </c>
      <c r="J426" s="1" t="s">
        <v>1170</v>
      </c>
      <c r="K426" s="1" t="n">
        <v>85.21</v>
      </c>
      <c r="M426" s="125" t="n">
        <f aca="false">Nominal_Activity[[#This Row],[Debit]]-Nominal_Activity[[#This Row],[Credit]]</f>
        <v>85.21</v>
      </c>
      <c r="N426" s="1" t="str">
        <f aca="false">IF(C426="","",IFERROR(VLOOKUP(C426,Master_Mappings!$A$4:$E$85,3,FALSE()),"UNMAPPED"))</f>
        <v>Recruitment, Benefits</v>
      </c>
      <c r="P426" s="1" t="str">
        <f aca="false">IF($C426="","",$C426&amp;"|"&amp;$E426&amp;"|"&amp;$M426&amp;"|"&amp;TEXT($G426,"yyyy-mm-dd")&amp;"|"&amp;LEFT($J426,40))</f>
        <v>7150|44204|85.21|2026-04-06|Medication</v>
      </c>
      <c r="Q426" s="11" t="str">
        <f aca="false">IF(P426="","",IF(COUNTIF($P$2:$P$3000,P426)&gt;1,"DUPLICATE","OK"))</f>
        <v>OK</v>
      </c>
      <c r="R426" s="0" t="str">
        <f aca="false">IF($C426="","",IFERROR(VLOOKUP(--$C426,MM_Income!$Z$5:$AC$204,3,FALSE()),""))</f>
        <v>Excluded — Overhead (in fixed costs)</v>
      </c>
    </row>
    <row r="427" customFormat="false" ht="14.9" hidden="false" customHeight="false" outlineLevel="0" collapsed="false">
      <c r="A427" s="1" t="s">
        <v>49</v>
      </c>
      <c r="B427" s="1" t="s">
        <v>89</v>
      </c>
      <c r="C427" s="1" t="n">
        <v>7150</v>
      </c>
      <c r="D427" s="1" t="s">
        <v>713</v>
      </c>
      <c r="E427" s="1" t="n">
        <v>44226</v>
      </c>
      <c r="F427" s="1" t="s">
        <v>869</v>
      </c>
      <c r="G427" s="140" t="n">
        <v>46162</v>
      </c>
      <c r="H427" s="1" t="n">
        <v>1260</v>
      </c>
      <c r="I427" s="1" t="s">
        <v>1339</v>
      </c>
      <c r="J427" s="1" t="s">
        <v>1369</v>
      </c>
      <c r="K427" s="1" t="n">
        <v>1500</v>
      </c>
      <c r="M427" s="125" t="n">
        <f aca="false">Nominal_Activity[[#This Row],[Debit]]-Nominal_Activity[[#This Row],[Credit]]</f>
        <v>1500</v>
      </c>
      <c r="N427" s="1" t="str">
        <f aca="false">IF(C427="","",IFERROR(VLOOKUP(C427,Master_Mappings!$A$4:$E$85,3,FALSE()),"UNMAPPED"))</f>
        <v>Recruitment, Benefits</v>
      </c>
      <c r="P427" s="1" t="str">
        <f aca="false">IF($C427="","",$C427&amp;"|"&amp;$E427&amp;"|"&amp;$M427&amp;"|"&amp;TEXT($G427,"yyyy-mm-dd")&amp;"|"&amp;LEFT($J427,40))</f>
        <v>7150|44226|1500|2026-05-20|Purchase of 2 Security Boots for staff</v>
      </c>
      <c r="Q427" s="11" t="str">
        <f aca="false">IF(P427="","",IF(COUNTIF($P$2:$P$3000,P427)&gt;1,"DUPLICATE","OK"))</f>
        <v>OK</v>
      </c>
      <c r="R427" s="0" t="str">
        <f aca="false">IF($C427="","",IFERROR(VLOOKUP(--$C427,MM_Income!$Z$5:$AC$204,3,FALSE()),""))</f>
        <v>Excluded — Overhead (in fixed costs)</v>
      </c>
    </row>
    <row r="428" customFormat="false" ht="14.9" hidden="false" customHeight="false" outlineLevel="0" collapsed="false">
      <c r="A428" s="1" t="s">
        <v>49</v>
      </c>
      <c r="B428" s="1" t="s">
        <v>85</v>
      </c>
      <c r="C428" s="1" t="n">
        <v>7210</v>
      </c>
      <c r="D428" s="1" t="s">
        <v>715</v>
      </c>
      <c r="E428" s="1" t="n">
        <v>42278</v>
      </c>
      <c r="F428" s="1" t="s">
        <v>914</v>
      </c>
      <c r="G428" s="140" t="n">
        <v>46037</v>
      </c>
      <c r="H428" s="1" t="n">
        <v>1200</v>
      </c>
      <c r="I428" s="1" t="s">
        <v>1370</v>
      </c>
      <c r="J428" s="1" t="s">
        <v>1371</v>
      </c>
      <c r="K428" s="1" t="n">
        <v>1785</v>
      </c>
      <c r="M428" s="125" t="n">
        <f aca="false">Nominal_Activity[[#This Row],[Debit]]-Nominal_Activity[[#This Row],[Credit]]</f>
        <v>1785</v>
      </c>
      <c r="N428" s="1" t="str">
        <f aca="false">IF(C428="","",IFERROR(VLOOKUP(C428,Master_Mappings!$A$4:$E$85,3,FALSE()),"UNMAPPED"))</f>
        <v>Office Running costs</v>
      </c>
      <c r="P428" s="1" t="str">
        <f aca="false">IF($C428="","",$C428&amp;"|"&amp;$E428&amp;"|"&amp;$M428&amp;"|"&amp;TEXT($G428,"yyyy-mm-dd")&amp;"|"&amp;LEFT($J428,40))</f>
        <v>7210|42278|1785|2026-01-15|Purchase of Fuel for genset</v>
      </c>
      <c r="Q428" s="11" t="str">
        <f aca="false">IF(P428="","",IF(COUNTIF($P$2:$P$3000,P428)&gt;1,"DUPLICATE","OK"))</f>
        <v>OK</v>
      </c>
      <c r="R428" s="0" t="str">
        <f aca="false">IF($C428="","",IFERROR(VLOOKUP(--$C428,MM_Income!$Z$5:$AC$204,3,FALSE()),""))</f>
        <v/>
      </c>
    </row>
    <row r="429" customFormat="false" ht="14.9" hidden="false" customHeight="false" outlineLevel="0" collapsed="false">
      <c r="A429" s="1" t="s">
        <v>49</v>
      </c>
      <c r="B429" s="1" t="s">
        <v>85</v>
      </c>
      <c r="C429" s="1" t="n">
        <v>7210</v>
      </c>
      <c r="D429" s="1" t="s">
        <v>715</v>
      </c>
      <c r="E429" s="1" t="n">
        <v>42529</v>
      </c>
      <c r="F429" s="1" t="s">
        <v>869</v>
      </c>
      <c r="G429" s="140" t="n">
        <v>46043</v>
      </c>
      <c r="H429" s="1" t="n">
        <v>1230</v>
      </c>
      <c r="I429" s="1" t="s">
        <v>1372</v>
      </c>
      <c r="J429" s="1" t="s">
        <v>1373</v>
      </c>
      <c r="K429" s="1" t="n">
        <v>450</v>
      </c>
      <c r="M429" s="125" t="n">
        <f aca="false">Nominal_Activity[[#This Row],[Debit]]-Nominal_Activity[[#This Row],[Credit]]</f>
        <v>450</v>
      </c>
      <c r="N429" s="1" t="str">
        <f aca="false">IF(C429="","",IFERROR(VLOOKUP(C429,Master_Mappings!$A$4:$E$85,3,FALSE()),"UNMAPPED"))</f>
        <v>Office Running costs</v>
      </c>
      <c r="P429" s="1" t="str">
        <f aca="false">IF($C429="","",$C429&amp;"|"&amp;$E429&amp;"|"&amp;$M429&amp;"|"&amp;TEXT($G429,"yyyy-mm-dd")&amp;"|"&amp;LEFT($J429,40))</f>
        <v>7210|42529|450|2026-01-21|Water Sypply for Office</v>
      </c>
      <c r="Q429" s="11" t="str">
        <f aca="false">IF(P429="","",IF(COUNTIF($P$2:$P$3000,P429)&gt;1,"DUPLICATE","OK"))</f>
        <v>OK</v>
      </c>
      <c r="R429" s="0" t="str">
        <f aca="false">IF($C429="","",IFERROR(VLOOKUP(--$C429,MM_Income!$Z$5:$AC$204,3,FALSE()),""))</f>
        <v/>
      </c>
    </row>
    <row r="430" customFormat="false" ht="14.9" hidden="false" customHeight="false" outlineLevel="0" collapsed="false">
      <c r="A430" s="1" t="s">
        <v>49</v>
      </c>
      <c r="B430" s="1" t="s">
        <v>85</v>
      </c>
      <c r="C430" s="1" t="n">
        <v>7210</v>
      </c>
      <c r="D430" s="1" t="s">
        <v>715</v>
      </c>
      <c r="E430" s="1" t="n">
        <v>42549</v>
      </c>
      <c r="F430" s="1" t="s">
        <v>869</v>
      </c>
      <c r="G430" s="140" t="n">
        <v>46063</v>
      </c>
      <c r="H430" s="1" t="n">
        <v>1230</v>
      </c>
      <c r="I430" s="1" t="s">
        <v>1374</v>
      </c>
      <c r="J430" s="1" t="s">
        <v>1375</v>
      </c>
      <c r="K430" s="1" t="n">
        <v>1695</v>
      </c>
      <c r="M430" s="125" t="n">
        <f aca="false">Nominal_Activity[[#This Row],[Debit]]-Nominal_Activity[[#This Row],[Credit]]</f>
        <v>1695</v>
      </c>
      <c r="N430" s="1" t="str">
        <f aca="false">IF(C430="","",IFERROR(VLOOKUP(C430,Master_Mappings!$A$4:$E$85,3,FALSE()),"UNMAPPED"))</f>
        <v>Office Running costs</v>
      </c>
      <c r="P430" s="1" t="str">
        <f aca="false">IF($C430="","",$C430&amp;"|"&amp;$E430&amp;"|"&amp;$M430&amp;"|"&amp;TEXT($G430,"yyyy-mm-dd")&amp;"|"&amp;LEFT($J430,40))</f>
        <v>7210|42549|1695|2026-02-10|Fuel for Genset</v>
      </c>
      <c r="Q430" s="11" t="str">
        <f aca="false">IF(P430="","",IF(COUNTIF($P$2:$P$3000,P430)&gt;1,"DUPLICATE","OK"))</f>
        <v>OK</v>
      </c>
      <c r="R430" s="0" t="str">
        <f aca="false">IF($C430="","",IFERROR(VLOOKUP(--$C430,MM_Income!$Z$5:$AC$204,3,FALSE()),""))</f>
        <v/>
      </c>
    </row>
    <row r="431" customFormat="false" ht="14.9" hidden="false" customHeight="false" outlineLevel="0" collapsed="false">
      <c r="A431" s="1" t="s">
        <v>49</v>
      </c>
      <c r="B431" s="1" t="s">
        <v>85</v>
      </c>
      <c r="C431" s="1" t="n">
        <v>7210</v>
      </c>
      <c r="D431" s="1" t="s">
        <v>715</v>
      </c>
      <c r="E431" s="1" t="n">
        <v>42551</v>
      </c>
      <c r="F431" s="1" t="s">
        <v>869</v>
      </c>
      <c r="G431" s="140" t="n">
        <v>46064</v>
      </c>
      <c r="H431" s="1" t="n">
        <v>1230</v>
      </c>
      <c r="I431" s="1" t="s">
        <v>1376</v>
      </c>
      <c r="J431" s="1" t="s">
        <v>1373</v>
      </c>
      <c r="K431" s="1" t="n">
        <v>450</v>
      </c>
      <c r="M431" s="125" t="n">
        <f aca="false">Nominal_Activity[[#This Row],[Debit]]-Nominal_Activity[[#This Row],[Credit]]</f>
        <v>450</v>
      </c>
      <c r="N431" s="1" t="str">
        <f aca="false">IF(C431="","",IFERROR(VLOOKUP(C431,Master_Mappings!$A$4:$E$85,3,FALSE()),"UNMAPPED"))</f>
        <v>Office Running costs</v>
      </c>
      <c r="P431" s="1" t="str">
        <f aca="false">IF($C431="","",$C431&amp;"|"&amp;$E431&amp;"|"&amp;$M431&amp;"|"&amp;TEXT($G431,"yyyy-mm-dd")&amp;"|"&amp;LEFT($J431,40))</f>
        <v>7210|42551|450|2026-02-11|Water Sypply for Office</v>
      </c>
      <c r="Q431" s="11" t="str">
        <f aca="false">IF(P431="","",IF(COUNTIF($P$2:$P$3000,P431)&gt;1,"DUPLICATE","OK"))</f>
        <v>OK</v>
      </c>
      <c r="R431" s="0" t="str">
        <f aca="false">IF($C431="","",IFERROR(VLOOKUP(--$C431,MM_Income!$Z$5:$AC$204,3,FALSE()),""))</f>
        <v/>
      </c>
    </row>
    <row r="432" customFormat="false" ht="14.9" hidden="false" customHeight="false" outlineLevel="0" collapsed="false">
      <c r="A432" s="1" t="s">
        <v>49</v>
      </c>
      <c r="B432" s="1" t="s">
        <v>85</v>
      </c>
      <c r="C432" s="1" t="n">
        <v>7210</v>
      </c>
      <c r="D432" s="1" t="s">
        <v>715</v>
      </c>
      <c r="E432" s="1" t="n">
        <v>42723</v>
      </c>
      <c r="F432" s="1" t="s">
        <v>847</v>
      </c>
      <c r="G432" s="140" t="n">
        <v>46055</v>
      </c>
      <c r="H432" s="1" t="s">
        <v>1377</v>
      </c>
      <c r="J432" s="1" t="s">
        <v>1378</v>
      </c>
      <c r="K432" s="1" t="n">
        <v>3869.62</v>
      </c>
      <c r="M432" s="125" t="n">
        <f aca="false">Nominal_Activity[[#This Row],[Debit]]-Nominal_Activity[[#This Row],[Credit]]</f>
        <v>3869.62</v>
      </c>
      <c r="N432" s="1" t="str">
        <f aca="false">IF(C432="","",IFERROR(VLOOKUP(C432,Master_Mappings!$A$4:$E$85,3,FALSE()),"UNMAPPED"))</f>
        <v>Office Running costs</v>
      </c>
      <c r="P432" s="1" t="str">
        <f aca="false">IF($C432="","",$C432&amp;"|"&amp;$E432&amp;"|"&amp;$M432&amp;"|"&amp;TEXT($G432,"yyyy-mm-dd")&amp;"|"&amp;LEFT($J432,40))</f>
        <v>7210|42723|3869.62|2026-02-02|ECG Bill as at Jan 2026</v>
      </c>
      <c r="Q432" s="11" t="str">
        <f aca="false">IF(P432="","",IF(COUNTIF($P$2:$P$3000,P432)&gt;1,"DUPLICATE","OK"))</f>
        <v>OK</v>
      </c>
      <c r="R432" s="0" t="str">
        <f aca="false">IF($C432="","",IFERROR(VLOOKUP(--$C432,MM_Income!$Z$5:$AC$204,3,FALSE()),""))</f>
        <v/>
      </c>
    </row>
    <row r="433" customFormat="false" ht="14.9" hidden="false" customHeight="false" outlineLevel="0" collapsed="false">
      <c r="A433" s="1" t="s">
        <v>49</v>
      </c>
      <c r="B433" s="1" t="s">
        <v>85</v>
      </c>
      <c r="C433" s="1" t="n">
        <v>7210</v>
      </c>
      <c r="D433" s="1" t="s">
        <v>715</v>
      </c>
      <c r="E433" s="1" t="n">
        <v>42724</v>
      </c>
      <c r="F433" s="1" t="s">
        <v>847</v>
      </c>
      <c r="G433" s="140" t="n">
        <v>46082</v>
      </c>
      <c r="H433" s="1" t="s">
        <v>1377</v>
      </c>
      <c r="J433" s="1" t="s">
        <v>1379</v>
      </c>
      <c r="K433" s="1" t="n">
        <v>5661.53</v>
      </c>
      <c r="M433" s="125" t="n">
        <f aca="false">Nominal_Activity[[#This Row],[Debit]]-Nominal_Activity[[#This Row],[Credit]]</f>
        <v>5661.53</v>
      </c>
      <c r="N433" s="1" t="str">
        <f aca="false">IF(C433="","",IFERROR(VLOOKUP(C433,Master_Mappings!$A$4:$E$85,3,FALSE()),"UNMAPPED"))</f>
        <v>Office Running costs</v>
      </c>
      <c r="P433" s="1" t="str">
        <f aca="false">IF($C433="","",$C433&amp;"|"&amp;$E433&amp;"|"&amp;$M433&amp;"|"&amp;TEXT($G433,"yyyy-mm-dd")&amp;"|"&amp;LEFT($J433,40))</f>
        <v>7210|42724|5661.53|2026-03-01|ECG Bill as at Feb 2026</v>
      </c>
      <c r="Q433" s="11" t="str">
        <f aca="false">IF(P433="","",IF(COUNTIF($P$2:$P$3000,P433)&gt;1,"DUPLICATE","OK"))</f>
        <v>OK</v>
      </c>
      <c r="R433" s="0" t="str">
        <f aca="false">IF($C433="","",IFERROR(VLOOKUP(--$C433,MM_Income!$Z$5:$AC$204,3,FALSE()),""))</f>
        <v/>
      </c>
    </row>
    <row r="434" customFormat="false" ht="14.9" hidden="false" customHeight="false" outlineLevel="0" collapsed="false">
      <c r="A434" s="1" t="s">
        <v>49</v>
      </c>
      <c r="B434" s="1" t="s">
        <v>85</v>
      </c>
      <c r="C434" s="1" t="n">
        <v>7210</v>
      </c>
      <c r="D434" s="1" t="s">
        <v>715</v>
      </c>
      <c r="E434" s="1" t="n">
        <v>42725</v>
      </c>
      <c r="F434" s="1" t="s">
        <v>847</v>
      </c>
      <c r="G434" s="140" t="n">
        <v>46081</v>
      </c>
      <c r="H434" s="1" t="s">
        <v>1380</v>
      </c>
      <c r="J434" s="1" t="s">
        <v>1381</v>
      </c>
      <c r="K434" s="1" t="n">
        <v>624.58</v>
      </c>
      <c r="M434" s="125" t="n">
        <f aca="false">Nominal_Activity[[#This Row],[Debit]]-Nominal_Activity[[#This Row],[Credit]]</f>
        <v>624.58</v>
      </c>
      <c r="N434" s="1" t="str">
        <f aca="false">IF(C434="","",IFERROR(VLOOKUP(C434,Master_Mappings!$A$4:$E$85,3,FALSE()),"UNMAPPED"))</f>
        <v>Office Running costs</v>
      </c>
      <c r="P434" s="1" t="str">
        <f aca="false">IF($C434="","",$C434&amp;"|"&amp;$E434&amp;"|"&amp;$M434&amp;"|"&amp;TEXT($G434,"yyyy-mm-dd")&amp;"|"&amp;LEFT($J434,40))</f>
        <v>7210|42725|624.58|2026-02-28|Ghana Water Bill as at Feb 2026</v>
      </c>
      <c r="Q434" s="11" t="str">
        <f aca="false">IF(P434="","",IF(COUNTIF($P$2:$P$3000,P434)&gt;1,"DUPLICATE","OK"))</f>
        <v>OK</v>
      </c>
      <c r="R434" s="0" t="str">
        <f aca="false">IF($C434="","",IFERROR(VLOOKUP(--$C434,MM_Income!$Z$5:$AC$204,3,FALSE()),""))</f>
        <v/>
      </c>
    </row>
    <row r="435" customFormat="false" ht="14.9" hidden="false" customHeight="false" outlineLevel="0" collapsed="false">
      <c r="A435" s="1" t="s">
        <v>49</v>
      </c>
      <c r="B435" s="1" t="s">
        <v>85</v>
      </c>
      <c r="C435" s="1" t="n">
        <v>7210</v>
      </c>
      <c r="D435" s="1" t="s">
        <v>715</v>
      </c>
      <c r="E435" s="1" t="n">
        <v>42925</v>
      </c>
      <c r="F435" s="1" t="s">
        <v>869</v>
      </c>
      <c r="G435" s="140" t="n">
        <v>46093</v>
      </c>
      <c r="H435" s="1" t="n">
        <v>1230</v>
      </c>
      <c r="I435" s="1" t="s">
        <v>1382</v>
      </c>
      <c r="J435" s="1" t="s">
        <v>1383</v>
      </c>
      <c r="K435" s="1" t="n">
        <v>450</v>
      </c>
      <c r="M435" s="125" t="n">
        <f aca="false">Nominal_Activity[[#This Row],[Debit]]-Nominal_Activity[[#This Row],[Credit]]</f>
        <v>450</v>
      </c>
      <c r="N435" s="1" t="str">
        <f aca="false">IF(C435="","",IFERROR(VLOOKUP(C435,Master_Mappings!$A$4:$E$85,3,FALSE()),"UNMAPPED"))</f>
        <v>Office Running costs</v>
      </c>
      <c r="P435" s="1" t="str">
        <f aca="false">IF($C435="","",$C435&amp;"|"&amp;$E435&amp;"|"&amp;$M435&amp;"|"&amp;TEXT($G435,"yyyy-mm-dd")&amp;"|"&amp;LEFT($J435,40))</f>
        <v>7210|42925|450|2026-03-12|Water supply for Office</v>
      </c>
      <c r="Q435" s="11" t="str">
        <f aca="false">IF(P435="","",IF(COUNTIF($P$2:$P$3000,P435)&gt;1,"DUPLICATE","OK"))</f>
        <v>OK</v>
      </c>
      <c r="R435" s="0" t="str">
        <f aca="false">IF($C435="","",IFERROR(VLOOKUP(--$C435,MM_Income!$Z$5:$AC$204,3,FALSE()),""))</f>
        <v/>
      </c>
    </row>
    <row r="436" customFormat="false" ht="14.9" hidden="false" customHeight="false" outlineLevel="0" collapsed="false">
      <c r="A436" s="1" t="s">
        <v>49</v>
      </c>
      <c r="B436" s="1" t="s">
        <v>85</v>
      </c>
      <c r="C436" s="1" t="n">
        <v>7210</v>
      </c>
      <c r="D436" s="1" t="s">
        <v>715</v>
      </c>
      <c r="E436" s="1" t="n">
        <v>43047</v>
      </c>
      <c r="F436" s="1" t="s">
        <v>914</v>
      </c>
      <c r="G436" s="140" t="n">
        <v>46094</v>
      </c>
      <c r="H436" s="1" t="n">
        <v>1200</v>
      </c>
      <c r="I436" s="1" t="s">
        <v>1366</v>
      </c>
      <c r="J436" s="1" t="s">
        <v>1384</v>
      </c>
      <c r="K436" s="1" t="n">
        <v>1670</v>
      </c>
      <c r="M436" s="125" t="n">
        <f aca="false">Nominal_Activity[[#This Row],[Debit]]-Nominal_Activity[[#This Row],[Credit]]</f>
        <v>1670</v>
      </c>
      <c r="N436" s="1" t="str">
        <f aca="false">IF(C436="","",IFERROR(VLOOKUP(C436,Master_Mappings!$A$4:$E$85,3,FALSE()),"UNMAPPED"))</f>
        <v>Office Running costs</v>
      </c>
      <c r="P436" s="1" t="str">
        <f aca="false">IF($C436="","",$C436&amp;"|"&amp;$E436&amp;"|"&amp;$M436&amp;"|"&amp;TEXT($G436,"yyyy-mm-dd")&amp;"|"&amp;LEFT($J436,40))</f>
        <v>7210|43047|1670|2026-03-13|Purchase of Fuel for Genset</v>
      </c>
      <c r="Q436" s="11" t="str">
        <f aca="false">IF(P436="","",IF(COUNTIF($P$2:$P$3000,P436)&gt;1,"DUPLICATE","OK"))</f>
        <v>OK</v>
      </c>
      <c r="R436" s="0" t="str">
        <f aca="false">IF($C436="","",IFERROR(VLOOKUP(--$C436,MM_Income!$Z$5:$AC$204,3,FALSE()),""))</f>
        <v/>
      </c>
    </row>
    <row r="437" customFormat="false" ht="14.9" hidden="false" customHeight="false" outlineLevel="0" collapsed="false">
      <c r="A437" s="1" t="s">
        <v>49</v>
      </c>
      <c r="B437" s="1" t="s">
        <v>89</v>
      </c>
      <c r="C437" s="1" t="n">
        <v>7210</v>
      </c>
      <c r="D437" s="1" t="s">
        <v>715</v>
      </c>
      <c r="E437" s="1" t="n">
        <v>43298</v>
      </c>
      <c r="F437" s="1" t="s">
        <v>847</v>
      </c>
      <c r="G437" s="140" t="n">
        <v>46114</v>
      </c>
      <c r="H437" s="1" t="s">
        <v>1377</v>
      </c>
      <c r="I437" s="1" t="s">
        <v>1385</v>
      </c>
      <c r="J437" s="1" t="s">
        <v>1386</v>
      </c>
      <c r="K437" s="1" t="n">
        <v>4623.95</v>
      </c>
      <c r="M437" s="125" t="n">
        <f aca="false">Nominal_Activity[[#This Row],[Debit]]-Nominal_Activity[[#This Row],[Credit]]</f>
        <v>4623.95</v>
      </c>
      <c r="N437" s="1" t="str">
        <f aca="false">IF(C437="","",IFERROR(VLOOKUP(C437,Master_Mappings!$A$4:$E$85,3,FALSE()),"UNMAPPED"))</f>
        <v>Office Running costs</v>
      </c>
      <c r="P437" s="1" t="str">
        <f aca="false">IF($C437="","",$C437&amp;"|"&amp;$E437&amp;"|"&amp;$M437&amp;"|"&amp;TEXT($G437,"yyyy-mm-dd")&amp;"|"&amp;LEFT($J437,40))</f>
        <v>7210|43298|4623.95|2026-04-02|ECG Bill for March 2026</v>
      </c>
      <c r="Q437" s="11" t="str">
        <f aca="false">IF(P437="","",IF(COUNTIF($P$2:$P$3000,P437)&gt;1,"DUPLICATE","OK"))</f>
        <v>OK</v>
      </c>
      <c r="R437" s="0" t="str">
        <f aca="false">IF($C437="","",IFERROR(VLOOKUP(--$C437,MM_Income!$Z$5:$AC$204,3,FALSE()),""))</f>
        <v/>
      </c>
    </row>
    <row r="438" customFormat="false" ht="14.9" hidden="false" customHeight="false" outlineLevel="0" collapsed="false">
      <c r="A438" s="1" t="s">
        <v>49</v>
      </c>
      <c r="B438" s="1" t="s">
        <v>89</v>
      </c>
      <c r="C438" s="1" t="n">
        <v>7210</v>
      </c>
      <c r="D438" s="1" t="s">
        <v>715</v>
      </c>
      <c r="E438" s="1" t="n">
        <v>43440</v>
      </c>
      <c r="F438" s="1" t="s">
        <v>914</v>
      </c>
      <c r="G438" s="140" t="n">
        <v>46119</v>
      </c>
      <c r="H438" s="1" t="n">
        <v>1200</v>
      </c>
      <c r="I438" s="1" t="s">
        <v>1387</v>
      </c>
      <c r="J438" s="1" t="s">
        <v>1388</v>
      </c>
      <c r="K438" s="1" t="n">
        <v>1875</v>
      </c>
      <c r="M438" s="125" t="n">
        <f aca="false">Nominal_Activity[[#This Row],[Debit]]-Nominal_Activity[[#This Row],[Credit]]</f>
        <v>1875</v>
      </c>
      <c r="N438" s="1" t="str">
        <f aca="false">IF(C438="","",IFERROR(VLOOKUP(C438,Master_Mappings!$A$4:$E$85,3,FALSE()),"UNMAPPED"))</f>
        <v>Office Running costs</v>
      </c>
      <c r="P438" s="1" t="str">
        <f aca="false">IF($C438="","",$C438&amp;"|"&amp;$E438&amp;"|"&amp;$M438&amp;"|"&amp;TEXT($G438,"yyyy-mm-dd")&amp;"|"&amp;LEFT($J438,40))</f>
        <v>7210|43440|1875|2026-04-07|Purchase of fuel for Genset</v>
      </c>
      <c r="Q438" s="11" t="str">
        <f aca="false">IF(P438="","",IF(COUNTIF($P$2:$P$3000,P438)&gt;1,"DUPLICATE","OK"))</f>
        <v>OK</v>
      </c>
      <c r="R438" s="0" t="str">
        <f aca="false">IF($C438="","",IFERROR(VLOOKUP(--$C438,MM_Income!$Z$5:$AC$204,3,FALSE()),""))</f>
        <v/>
      </c>
    </row>
    <row r="439" customFormat="false" ht="14.9" hidden="false" customHeight="false" outlineLevel="0" collapsed="false">
      <c r="A439" s="1" t="s">
        <v>49</v>
      </c>
      <c r="B439" s="1" t="s">
        <v>89</v>
      </c>
      <c r="C439" s="1" t="n">
        <v>7210</v>
      </c>
      <c r="D439" s="1" t="s">
        <v>715</v>
      </c>
      <c r="E439" s="1" t="n">
        <v>43573</v>
      </c>
      <c r="F439" s="1" t="s">
        <v>847</v>
      </c>
      <c r="G439" s="140" t="n">
        <v>46142</v>
      </c>
      <c r="H439" s="1" t="s">
        <v>1380</v>
      </c>
      <c r="J439" s="1" t="s">
        <v>1389</v>
      </c>
      <c r="K439" s="1" t="n">
        <v>480.04</v>
      </c>
      <c r="M439" s="125" t="n">
        <f aca="false">Nominal_Activity[[#This Row],[Debit]]-Nominal_Activity[[#This Row],[Credit]]</f>
        <v>480.04</v>
      </c>
      <c r="N439" s="1" t="str">
        <f aca="false">IF(C439="","",IFERROR(VLOOKUP(C439,Master_Mappings!$A$4:$E$85,3,FALSE()),"UNMAPPED"))</f>
        <v>Office Running costs</v>
      </c>
      <c r="P439" s="1" t="str">
        <f aca="false">IF($C439="","",$C439&amp;"|"&amp;$E439&amp;"|"&amp;$M439&amp;"|"&amp;TEXT($G439,"yyyy-mm-dd")&amp;"|"&amp;LEFT($J439,40))</f>
        <v>7210|43573|480.04|2026-04-30|Ghana Water Company bill as at April</v>
      </c>
      <c r="Q439" s="11" t="str">
        <f aca="false">IF(P439="","",IF(COUNTIF($P$2:$P$3000,P439)&gt;1,"DUPLICATE","OK"))</f>
        <v>OK</v>
      </c>
      <c r="R439" s="0" t="str">
        <f aca="false">IF($C439="","",IFERROR(VLOOKUP(--$C439,MM_Income!$Z$5:$AC$204,3,FALSE()),""))</f>
        <v/>
      </c>
    </row>
    <row r="440" customFormat="false" ht="14.9" hidden="false" customHeight="false" outlineLevel="0" collapsed="false">
      <c r="A440" s="1" t="s">
        <v>49</v>
      </c>
      <c r="B440" s="1" t="s">
        <v>89</v>
      </c>
      <c r="C440" s="1" t="n">
        <v>7210</v>
      </c>
      <c r="D440" s="1" t="s">
        <v>715</v>
      </c>
      <c r="E440" s="1" t="n">
        <v>43574</v>
      </c>
      <c r="F440" s="1" t="s">
        <v>847</v>
      </c>
      <c r="G440" s="140" t="n">
        <v>46144</v>
      </c>
      <c r="H440" s="1" t="s">
        <v>1377</v>
      </c>
      <c r="I440" s="1" t="s">
        <v>1390</v>
      </c>
      <c r="J440" s="1" t="s">
        <v>1391</v>
      </c>
      <c r="K440" s="1" t="n">
        <v>6685.4</v>
      </c>
      <c r="M440" s="125" t="n">
        <f aca="false">Nominal_Activity[[#This Row],[Debit]]-Nominal_Activity[[#This Row],[Credit]]</f>
        <v>6685.4</v>
      </c>
      <c r="N440" s="1" t="str">
        <f aca="false">IF(C440="","",IFERROR(VLOOKUP(C440,Master_Mappings!$A$4:$E$85,3,FALSE()),"UNMAPPED"))</f>
        <v>Office Running costs</v>
      </c>
      <c r="P440" s="1" t="str">
        <f aca="false">IF($C440="","",$C440&amp;"|"&amp;$E440&amp;"|"&amp;$M440&amp;"|"&amp;TEXT($G440,"yyyy-mm-dd")&amp;"|"&amp;LEFT($J440,40))</f>
        <v>7210|43574|6685.4|2026-05-02|ECG Bill as at Aprill 2026</v>
      </c>
      <c r="Q440" s="11" t="str">
        <f aca="false">IF(P440="","",IF(COUNTIF($P$2:$P$3000,P440)&gt;1,"DUPLICATE","OK"))</f>
        <v>OK</v>
      </c>
      <c r="R440" s="0" t="str">
        <f aca="false">IF($C440="","",IFERROR(VLOOKUP(--$C440,MM_Income!$Z$5:$AC$204,3,FALSE()),""))</f>
        <v/>
      </c>
    </row>
    <row r="441" customFormat="false" ht="14.9" hidden="false" customHeight="false" outlineLevel="0" collapsed="false">
      <c r="A441" s="1" t="s">
        <v>49</v>
      </c>
      <c r="B441" s="1" t="s">
        <v>89</v>
      </c>
      <c r="C441" s="1" t="n">
        <v>7210</v>
      </c>
      <c r="D441" s="1" t="s">
        <v>715</v>
      </c>
      <c r="E441" s="1" t="n">
        <v>43658</v>
      </c>
      <c r="F441" s="1" t="s">
        <v>914</v>
      </c>
      <c r="G441" s="140" t="n">
        <v>46171</v>
      </c>
      <c r="H441" s="1" t="n">
        <v>1200</v>
      </c>
      <c r="I441" s="1" t="s">
        <v>1392</v>
      </c>
      <c r="J441" s="1" t="s">
        <v>1393</v>
      </c>
      <c r="K441" s="1" t="n">
        <v>1720</v>
      </c>
      <c r="M441" s="125" t="n">
        <f aca="false">Nominal_Activity[[#This Row],[Debit]]-Nominal_Activity[[#This Row],[Credit]]</f>
        <v>1720</v>
      </c>
      <c r="N441" s="1" t="str">
        <f aca="false">IF(C441="","",IFERROR(VLOOKUP(C441,Master_Mappings!$A$4:$E$85,3,FALSE()),"UNMAPPED"))</f>
        <v>Office Running costs</v>
      </c>
      <c r="P441" s="1" t="str">
        <f aca="false">IF($C441="","",$C441&amp;"|"&amp;$E441&amp;"|"&amp;$M441&amp;"|"&amp;TEXT($G441,"yyyy-mm-dd")&amp;"|"&amp;LEFT($J441,40))</f>
        <v>7210|43658|1720|2026-05-29|Purchase of fuel for genset</v>
      </c>
      <c r="Q441" s="11" t="str">
        <f aca="false">IF(P441="","",IF(COUNTIF($P$2:$P$3000,P441)&gt;1,"DUPLICATE","OK"))</f>
        <v>OK</v>
      </c>
      <c r="R441" s="0" t="str">
        <f aca="false">IF($C441="","",IFERROR(VLOOKUP(--$C441,MM_Income!$Z$5:$AC$204,3,FALSE()),""))</f>
        <v/>
      </c>
    </row>
    <row r="442" customFormat="false" ht="14.9" hidden="false" customHeight="false" outlineLevel="0" collapsed="false">
      <c r="A442" s="1" t="s">
        <v>49</v>
      </c>
      <c r="B442" s="1" t="s">
        <v>89</v>
      </c>
      <c r="C442" s="1" t="n">
        <v>7210</v>
      </c>
      <c r="D442" s="1" t="s">
        <v>715</v>
      </c>
      <c r="E442" s="1" t="n">
        <v>43785</v>
      </c>
      <c r="F442" s="1" t="s">
        <v>869</v>
      </c>
      <c r="G442" s="140" t="n">
        <v>46113</v>
      </c>
      <c r="H442" s="1" t="n">
        <v>1260</v>
      </c>
      <c r="I442" s="1" t="s">
        <v>1305</v>
      </c>
      <c r="J442" s="1" t="s">
        <v>1394</v>
      </c>
      <c r="K442" s="1" t="n">
        <v>1450</v>
      </c>
      <c r="M442" s="125" t="n">
        <f aca="false">Nominal_Activity[[#This Row],[Debit]]-Nominal_Activity[[#This Row],[Credit]]</f>
        <v>1450</v>
      </c>
      <c r="N442" s="1" t="str">
        <f aca="false">IF(C442="","",IFERROR(VLOOKUP(C442,Master_Mappings!$A$4:$E$85,3,FALSE()),"UNMAPPED"))</f>
        <v>Office Running costs</v>
      </c>
      <c r="P442" s="1" t="str">
        <f aca="false">IF($C442="","",$C442&amp;"|"&amp;$E442&amp;"|"&amp;$M442&amp;"|"&amp;TEXT($G442,"yyyy-mm-dd")&amp;"|"&amp;LEFT($J442,40))</f>
        <v>7210|43785|1450|2026-04-01|Fuel for Gen set</v>
      </c>
      <c r="Q442" s="11" t="str">
        <f aca="false">IF(P442="","",IF(COUNTIF($P$2:$P$3000,P442)&gt;1,"DUPLICATE","OK"))</f>
        <v>OK</v>
      </c>
      <c r="R442" s="0" t="str">
        <f aca="false">IF($C442="","",IFERROR(VLOOKUP(--$C442,MM_Income!$Z$5:$AC$204,3,FALSE()),""))</f>
        <v/>
      </c>
    </row>
    <row r="443" customFormat="false" ht="14.9" hidden="false" customHeight="false" outlineLevel="0" collapsed="false">
      <c r="A443" s="1" t="s">
        <v>49</v>
      </c>
      <c r="B443" s="1" t="s">
        <v>89</v>
      </c>
      <c r="C443" s="1" t="n">
        <v>7210</v>
      </c>
      <c r="D443" s="1" t="s">
        <v>715</v>
      </c>
      <c r="E443" s="1" t="n">
        <v>43799</v>
      </c>
      <c r="F443" s="1" t="s">
        <v>869</v>
      </c>
      <c r="G443" s="140" t="n">
        <v>46147</v>
      </c>
      <c r="H443" s="1" t="n">
        <v>1260</v>
      </c>
      <c r="I443" s="1" t="s">
        <v>1305</v>
      </c>
      <c r="J443" s="1" t="s">
        <v>1375</v>
      </c>
      <c r="K443" s="1" t="n">
        <v>1590</v>
      </c>
      <c r="M443" s="125" t="n">
        <f aca="false">Nominal_Activity[[#This Row],[Debit]]-Nominal_Activity[[#This Row],[Credit]]</f>
        <v>1590</v>
      </c>
      <c r="N443" s="1" t="str">
        <f aca="false">IF(C443="","",IFERROR(VLOOKUP(C443,Master_Mappings!$A$4:$E$85,3,FALSE()),"UNMAPPED"))</f>
        <v>Office Running costs</v>
      </c>
      <c r="P443" s="1" t="str">
        <f aca="false">IF($C443="","",$C443&amp;"|"&amp;$E443&amp;"|"&amp;$M443&amp;"|"&amp;TEXT($G443,"yyyy-mm-dd")&amp;"|"&amp;LEFT($J443,40))</f>
        <v>7210|43799|1590|2026-05-05|Fuel for Genset</v>
      </c>
      <c r="Q443" s="11" t="str">
        <f aca="false">IF(P443="","",IF(COUNTIF($P$2:$P$3000,P443)&gt;1,"DUPLICATE","OK"))</f>
        <v>OK</v>
      </c>
      <c r="R443" s="0" t="str">
        <f aca="false">IF($C443="","",IFERROR(VLOOKUP(--$C443,MM_Income!$Z$5:$AC$204,3,FALSE()),""))</f>
        <v/>
      </c>
    </row>
    <row r="444" customFormat="false" ht="14.9" hidden="false" customHeight="false" outlineLevel="0" collapsed="false">
      <c r="A444" s="1" t="s">
        <v>49</v>
      </c>
      <c r="B444" s="1" t="s">
        <v>89</v>
      </c>
      <c r="C444" s="1" t="n">
        <v>7210</v>
      </c>
      <c r="D444" s="1" t="s">
        <v>715</v>
      </c>
      <c r="E444" s="1" t="n">
        <v>43801</v>
      </c>
      <c r="F444" s="1" t="s">
        <v>869</v>
      </c>
      <c r="G444" s="140" t="n">
        <v>46142</v>
      </c>
      <c r="H444" s="1" t="n">
        <v>1260</v>
      </c>
      <c r="I444" s="1" t="s">
        <v>1305</v>
      </c>
      <c r="J444" s="1" t="s">
        <v>1375</v>
      </c>
      <c r="K444" s="1" t="n">
        <v>1760</v>
      </c>
      <c r="M444" s="125" t="n">
        <f aca="false">Nominal_Activity[[#This Row],[Debit]]-Nominal_Activity[[#This Row],[Credit]]</f>
        <v>1760</v>
      </c>
      <c r="N444" s="1" t="str">
        <f aca="false">IF(C444="","",IFERROR(VLOOKUP(C444,Master_Mappings!$A$4:$E$85,3,FALSE()),"UNMAPPED"))</f>
        <v>Office Running costs</v>
      </c>
      <c r="P444" s="1" t="str">
        <f aca="false">IF($C444="","",$C444&amp;"|"&amp;$E444&amp;"|"&amp;$M444&amp;"|"&amp;TEXT($G444,"yyyy-mm-dd")&amp;"|"&amp;LEFT($J444,40))</f>
        <v>7210|43801|1760|2026-04-30|Fuel for Genset</v>
      </c>
      <c r="Q444" s="11" t="str">
        <f aca="false">IF(P444="","",IF(COUNTIF($P$2:$P$3000,P444)&gt;1,"DUPLICATE","OK"))</f>
        <v>OK</v>
      </c>
      <c r="R444" s="0" t="str">
        <f aca="false">IF($C444="","",IFERROR(VLOOKUP(--$C444,MM_Income!$Z$5:$AC$204,3,FALSE()),""))</f>
        <v/>
      </c>
    </row>
    <row r="445" customFormat="false" ht="14.9" hidden="false" customHeight="false" outlineLevel="0" collapsed="false">
      <c r="A445" s="1" t="s">
        <v>49</v>
      </c>
      <c r="B445" s="1" t="s">
        <v>89</v>
      </c>
      <c r="C445" s="1" t="n">
        <v>7210</v>
      </c>
      <c r="D445" s="1" t="s">
        <v>715</v>
      </c>
      <c r="E445" s="1" t="n">
        <v>43923</v>
      </c>
      <c r="F445" s="1" t="s">
        <v>869</v>
      </c>
      <c r="G445" s="140" t="n">
        <v>46177</v>
      </c>
      <c r="H445" s="1" t="n">
        <v>1230</v>
      </c>
      <c r="I445" s="1" t="s">
        <v>1395</v>
      </c>
      <c r="J445" s="1" t="s">
        <v>1396</v>
      </c>
      <c r="K445" s="1" t="n">
        <v>450</v>
      </c>
      <c r="M445" s="125" t="n">
        <f aca="false">Nominal_Activity[[#This Row],[Debit]]-Nominal_Activity[[#This Row],[Credit]]</f>
        <v>450</v>
      </c>
      <c r="N445" s="1" t="str">
        <f aca="false">IF(C445="","",IFERROR(VLOOKUP(C445,Master_Mappings!$A$4:$E$85,3,FALSE()),"UNMAPPED"))</f>
        <v>Office Running costs</v>
      </c>
      <c r="P445" s="1" t="str">
        <f aca="false">IF($C445="","",$C445&amp;"|"&amp;$E445&amp;"|"&amp;$M445&amp;"|"&amp;TEXT($G445,"yyyy-mm-dd")&amp;"|"&amp;LEFT($J445,40))</f>
        <v>7210|43923|450|2026-06-04|Water supply for office use</v>
      </c>
      <c r="Q445" s="11" t="str">
        <f aca="false">IF(P445="","",IF(COUNTIF($P$2:$P$3000,P445)&gt;1,"DUPLICATE","OK"))</f>
        <v>OK</v>
      </c>
      <c r="R445" s="0" t="str">
        <f aca="false">IF($C445="","",IFERROR(VLOOKUP(--$C445,MM_Income!$Z$5:$AC$204,3,FALSE()),""))</f>
        <v/>
      </c>
    </row>
    <row r="446" customFormat="false" ht="14.9" hidden="false" customHeight="false" outlineLevel="0" collapsed="false">
      <c r="A446" s="1" t="s">
        <v>49</v>
      </c>
      <c r="B446" s="1" t="s">
        <v>89</v>
      </c>
      <c r="C446" s="1" t="n">
        <v>7210</v>
      </c>
      <c r="D446" s="1" t="s">
        <v>715</v>
      </c>
      <c r="E446" s="1" t="n">
        <v>43927</v>
      </c>
      <c r="F446" s="1" t="s">
        <v>869</v>
      </c>
      <c r="G446" s="140" t="n">
        <v>46181</v>
      </c>
      <c r="H446" s="1" t="n">
        <v>1230</v>
      </c>
      <c r="I446" s="1" t="s">
        <v>1397</v>
      </c>
      <c r="J446" s="1" t="s">
        <v>1396</v>
      </c>
      <c r="K446" s="1" t="n">
        <v>450</v>
      </c>
      <c r="M446" s="125" t="n">
        <f aca="false">Nominal_Activity[[#This Row],[Debit]]-Nominal_Activity[[#This Row],[Credit]]</f>
        <v>450</v>
      </c>
      <c r="N446" s="1" t="str">
        <f aca="false">IF(C446="","",IFERROR(VLOOKUP(C446,Master_Mappings!$A$4:$E$85,3,FALSE()),"UNMAPPED"))</f>
        <v>Office Running costs</v>
      </c>
      <c r="P446" s="1" t="str">
        <f aca="false">IF($C446="","",$C446&amp;"|"&amp;$E446&amp;"|"&amp;$M446&amp;"|"&amp;TEXT($G446,"yyyy-mm-dd")&amp;"|"&amp;LEFT($J446,40))</f>
        <v>7210|43927|450|2026-06-08|Water supply for office use</v>
      </c>
      <c r="Q446" s="11" t="str">
        <f aca="false">IF(P446="","",IF(COUNTIF($P$2:$P$3000,P446)&gt;1,"DUPLICATE","OK"))</f>
        <v>OK</v>
      </c>
      <c r="R446" s="0" t="str">
        <f aca="false">IF($C446="","",IFERROR(VLOOKUP(--$C446,MM_Income!$Z$5:$AC$204,3,FALSE()),""))</f>
        <v/>
      </c>
    </row>
    <row r="447" customFormat="false" ht="14.9" hidden="false" customHeight="false" outlineLevel="0" collapsed="false">
      <c r="A447" s="1" t="s">
        <v>49</v>
      </c>
      <c r="B447" s="1" t="s">
        <v>89</v>
      </c>
      <c r="C447" s="1" t="n">
        <v>7210</v>
      </c>
      <c r="D447" s="1" t="s">
        <v>715</v>
      </c>
      <c r="E447" s="1" t="n">
        <v>44053</v>
      </c>
      <c r="F447" s="1" t="s">
        <v>914</v>
      </c>
      <c r="G447" s="140" t="n">
        <v>46178</v>
      </c>
      <c r="H447" s="1" t="n">
        <v>1200</v>
      </c>
      <c r="I447" s="1" t="s">
        <v>1398</v>
      </c>
      <c r="J447" s="1" t="s">
        <v>1375</v>
      </c>
      <c r="K447" s="1" t="n">
        <v>1780</v>
      </c>
      <c r="M447" s="125" t="n">
        <f aca="false">Nominal_Activity[[#This Row],[Debit]]-Nominal_Activity[[#This Row],[Credit]]</f>
        <v>1780</v>
      </c>
      <c r="N447" s="1" t="str">
        <f aca="false">IF(C447="","",IFERROR(VLOOKUP(C447,Master_Mappings!$A$4:$E$85,3,FALSE()),"UNMAPPED"))</f>
        <v>Office Running costs</v>
      </c>
      <c r="P447" s="1" t="str">
        <f aca="false">IF($C447="","",$C447&amp;"|"&amp;$E447&amp;"|"&amp;$M447&amp;"|"&amp;TEXT($G447,"yyyy-mm-dd")&amp;"|"&amp;LEFT($J447,40))</f>
        <v>7210|44053|1780|2026-06-05|Fuel for Genset</v>
      </c>
      <c r="Q447" s="11" t="str">
        <f aca="false">IF(P447="","",IF(COUNTIF($P$2:$P$3000,P447)&gt;1,"DUPLICATE","OK"))</f>
        <v>OK</v>
      </c>
      <c r="R447" s="0" t="str">
        <f aca="false">IF($C447="","",IFERROR(VLOOKUP(--$C447,MM_Income!$Z$5:$AC$204,3,FALSE()),""))</f>
        <v/>
      </c>
    </row>
    <row r="448" customFormat="false" ht="14.9" hidden="false" customHeight="false" outlineLevel="0" collapsed="false">
      <c r="A448" s="1" t="s">
        <v>49</v>
      </c>
      <c r="B448" s="1" t="s">
        <v>89</v>
      </c>
      <c r="C448" s="1" t="n">
        <v>7210</v>
      </c>
      <c r="D448" s="1" t="s">
        <v>715</v>
      </c>
      <c r="E448" s="1" t="n">
        <v>44101</v>
      </c>
      <c r="F448" s="1" t="s">
        <v>914</v>
      </c>
      <c r="G448" s="140" t="n">
        <v>46197</v>
      </c>
      <c r="H448" s="1" t="n">
        <v>1200</v>
      </c>
      <c r="I448" s="1" t="s">
        <v>1399</v>
      </c>
      <c r="J448" s="1" t="s">
        <v>1375</v>
      </c>
      <c r="K448" s="1" t="n">
        <v>1680</v>
      </c>
      <c r="M448" s="125" t="n">
        <f aca="false">Nominal_Activity[[#This Row],[Debit]]-Nominal_Activity[[#This Row],[Credit]]</f>
        <v>1680</v>
      </c>
      <c r="N448" s="1" t="str">
        <f aca="false">IF(C448="","",IFERROR(VLOOKUP(C448,Master_Mappings!$A$4:$E$85,3,FALSE()),"UNMAPPED"))</f>
        <v>Office Running costs</v>
      </c>
      <c r="P448" s="1" t="str">
        <f aca="false">IF($C448="","",$C448&amp;"|"&amp;$E448&amp;"|"&amp;$M448&amp;"|"&amp;TEXT($G448,"yyyy-mm-dd")&amp;"|"&amp;LEFT($J448,40))</f>
        <v>7210|44101|1680|2026-06-24|Fuel for Genset</v>
      </c>
      <c r="Q448" s="11" t="str">
        <f aca="false">IF(P448="","",IF(COUNTIF($P$2:$P$3000,P448)&gt;1,"DUPLICATE","OK"))</f>
        <v>OK</v>
      </c>
      <c r="R448" s="0" t="str">
        <f aca="false">IF($C448="","",IFERROR(VLOOKUP(--$C448,MM_Income!$Z$5:$AC$204,3,FALSE()),""))</f>
        <v/>
      </c>
    </row>
    <row r="449" customFormat="false" ht="14.9" hidden="false" customHeight="false" outlineLevel="0" collapsed="false">
      <c r="A449" s="1" t="s">
        <v>49</v>
      </c>
      <c r="B449" s="1" t="s">
        <v>89</v>
      </c>
      <c r="C449" s="1" t="n">
        <v>7210</v>
      </c>
      <c r="D449" s="1" t="s">
        <v>715</v>
      </c>
      <c r="E449" s="1" t="n">
        <v>44137</v>
      </c>
      <c r="F449" s="1" t="s">
        <v>847</v>
      </c>
      <c r="G449" s="140" t="n">
        <v>46173</v>
      </c>
      <c r="H449" s="1" t="s">
        <v>1377</v>
      </c>
      <c r="I449" s="1" t="s">
        <v>1400</v>
      </c>
      <c r="J449" s="1" t="s">
        <v>1401</v>
      </c>
      <c r="K449" s="1" t="n">
        <v>6908.37</v>
      </c>
      <c r="M449" s="125" t="n">
        <f aca="false">Nominal_Activity[[#This Row],[Debit]]-Nominal_Activity[[#This Row],[Credit]]</f>
        <v>6908.37</v>
      </c>
      <c r="N449" s="1" t="str">
        <f aca="false">IF(C449="","",IFERROR(VLOOKUP(C449,Master_Mappings!$A$4:$E$85,3,FALSE()),"UNMAPPED"))</f>
        <v>Office Running costs</v>
      </c>
      <c r="P449" s="1" t="str">
        <f aca="false">IF($C449="","",$C449&amp;"|"&amp;$E449&amp;"|"&amp;$M449&amp;"|"&amp;TEXT($G449,"yyyy-mm-dd")&amp;"|"&amp;LEFT($J449,40))</f>
        <v>7210|44137|6908.37|2026-05-31|ECG Bill for May 2026</v>
      </c>
      <c r="Q449" s="11" t="str">
        <f aca="false">IF(P449="","",IF(COUNTIF($P$2:$P$3000,P449)&gt;1,"DUPLICATE","OK"))</f>
        <v>OK</v>
      </c>
      <c r="R449" s="0" t="str">
        <f aca="false">IF($C449="","",IFERROR(VLOOKUP(--$C449,MM_Income!$Z$5:$AC$204,3,FALSE()),""))</f>
        <v/>
      </c>
    </row>
    <row r="450" customFormat="false" ht="14.9" hidden="false" customHeight="false" outlineLevel="0" collapsed="false">
      <c r="A450" s="1" t="s">
        <v>49</v>
      </c>
      <c r="B450" s="1" t="s">
        <v>89</v>
      </c>
      <c r="C450" s="1" t="n">
        <v>7210</v>
      </c>
      <c r="D450" s="1" t="s">
        <v>715</v>
      </c>
      <c r="E450" s="1" t="n">
        <v>44138</v>
      </c>
      <c r="F450" s="1" t="s">
        <v>847</v>
      </c>
      <c r="G450" s="140" t="n">
        <v>46203</v>
      </c>
      <c r="H450" s="1" t="s">
        <v>1377</v>
      </c>
      <c r="I450" s="1" t="s">
        <v>1402</v>
      </c>
      <c r="J450" s="1" t="s">
        <v>1403</v>
      </c>
      <c r="K450" s="1" t="n">
        <v>6685.4</v>
      </c>
      <c r="M450" s="125" t="n">
        <f aca="false">Nominal_Activity[[#This Row],[Debit]]-Nominal_Activity[[#This Row],[Credit]]</f>
        <v>6685.4</v>
      </c>
      <c r="N450" s="1" t="str">
        <f aca="false">IF(C450="","",IFERROR(VLOOKUP(C450,Master_Mappings!$A$4:$E$85,3,FALSE()),"UNMAPPED"))</f>
        <v>Office Running costs</v>
      </c>
      <c r="P450" s="1" t="str">
        <f aca="false">IF($C450="","",$C450&amp;"|"&amp;$E450&amp;"|"&amp;$M450&amp;"|"&amp;TEXT($G450,"yyyy-mm-dd")&amp;"|"&amp;LEFT($J450,40))</f>
        <v>7210|44138|6685.4|2026-06-30|ECG Bill for June 2026</v>
      </c>
      <c r="Q450" s="11" t="str">
        <f aca="false">IF(P450="","",IF(COUNTIF($P$2:$P$3000,P450)&gt;1,"DUPLICATE","OK"))</f>
        <v>OK</v>
      </c>
      <c r="R450" s="0" t="str">
        <f aca="false">IF($C450="","",IFERROR(VLOOKUP(--$C450,MM_Income!$Z$5:$AC$204,3,FALSE()),""))</f>
        <v/>
      </c>
    </row>
    <row r="451" customFormat="false" ht="14.9" hidden="false" customHeight="false" outlineLevel="0" collapsed="false">
      <c r="A451" s="1" t="s">
        <v>49</v>
      </c>
      <c r="B451" s="1" t="s">
        <v>89</v>
      </c>
      <c r="C451" s="1" t="n">
        <v>7210</v>
      </c>
      <c r="D451" s="1" t="s">
        <v>715</v>
      </c>
      <c r="E451" s="1" t="n">
        <v>44139</v>
      </c>
      <c r="F451" s="1" t="s">
        <v>847</v>
      </c>
      <c r="G451" s="140" t="n">
        <v>46203</v>
      </c>
      <c r="H451" s="1" t="s">
        <v>1380</v>
      </c>
      <c r="J451" s="1" t="s">
        <v>1404</v>
      </c>
      <c r="K451" s="1" t="n">
        <v>614.83</v>
      </c>
      <c r="M451" s="125" t="n">
        <f aca="false">Nominal_Activity[[#This Row],[Debit]]-Nominal_Activity[[#This Row],[Credit]]</f>
        <v>614.83</v>
      </c>
      <c r="N451" s="1" t="str">
        <f aca="false">IF(C451="","",IFERROR(VLOOKUP(C451,Master_Mappings!$A$4:$E$85,3,FALSE()),"UNMAPPED"))</f>
        <v>Office Running costs</v>
      </c>
      <c r="P451" s="1" t="str">
        <f aca="false">IF($C451="","",$C451&amp;"|"&amp;$E451&amp;"|"&amp;$M451&amp;"|"&amp;TEXT($G451,"yyyy-mm-dd")&amp;"|"&amp;LEFT($J451,40))</f>
        <v>7210|44139|614.83|2026-06-30|Ghana Water Company bill for May and Jun</v>
      </c>
      <c r="Q451" s="11" t="str">
        <f aca="false">IF(P451="","",IF(COUNTIF($P$2:$P$3000,P451)&gt;1,"DUPLICATE","OK"))</f>
        <v>OK</v>
      </c>
      <c r="R451" s="0" t="str">
        <f aca="false">IF($C451="","",IFERROR(VLOOKUP(--$C451,MM_Income!$Z$5:$AC$204,3,FALSE()),""))</f>
        <v/>
      </c>
    </row>
    <row r="452" customFormat="false" ht="14.9" hidden="false" customHeight="false" outlineLevel="0" collapsed="false">
      <c r="A452" s="1" t="s">
        <v>49</v>
      </c>
      <c r="B452" s="1" t="s">
        <v>85</v>
      </c>
      <c r="C452" s="1" t="n">
        <v>7220</v>
      </c>
      <c r="D452" s="1" t="s">
        <v>717</v>
      </c>
      <c r="E452" s="1" t="n">
        <v>42800</v>
      </c>
      <c r="F452" s="1" t="s">
        <v>847</v>
      </c>
      <c r="G452" s="140" t="n">
        <v>46094</v>
      </c>
      <c r="H452" s="1" t="s">
        <v>1405</v>
      </c>
      <c r="I452" s="1" t="s">
        <v>1406</v>
      </c>
      <c r="K452" s="1" t="n">
        <v>800</v>
      </c>
      <c r="M452" s="125" t="n">
        <f aca="false">Nominal_Activity[[#This Row],[Debit]]-Nominal_Activity[[#This Row],[Credit]]</f>
        <v>800</v>
      </c>
      <c r="N452" s="1" t="str">
        <f aca="false">IF(C452="","",IFERROR(VLOOKUP(C452,Master_Mappings!$A$4:$E$85,3,FALSE()),"UNMAPPED"))</f>
        <v>Office Running costs</v>
      </c>
      <c r="P452" s="1" t="str">
        <f aca="false">IF($C452="","",$C452&amp;"|"&amp;$E452&amp;"|"&amp;$M452&amp;"|"&amp;TEXT($G452,"yyyy-mm-dd")&amp;"|"&amp;LEFT($J452,40))</f>
        <v>7220|42800|800|2026-03-13|</v>
      </c>
      <c r="Q452" s="11" t="str">
        <f aca="false">IF(P452="","",IF(COUNTIF($P$2:$P$3000,P452)&gt;1,"DUPLICATE","OK"))</f>
        <v>OK</v>
      </c>
      <c r="R452" s="0" t="str">
        <f aca="false">IF($C452="","",IFERROR(VLOOKUP(--$C452,MM_Income!$Z$5:$AC$204,3,FALSE()),""))</f>
        <v/>
      </c>
    </row>
    <row r="453" customFormat="false" ht="14.9" hidden="false" customHeight="false" outlineLevel="0" collapsed="false">
      <c r="A453" s="1" t="s">
        <v>49</v>
      </c>
      <c r="B453" s="1" t="s">
        <v>89</v>
      </c>
      <c r="C453" s="1" t="n">
        <v>7220</v>
      </c>
      <c r="D453" s="1" t="s">
        <v>717</v>
      </c>
      <c r="E453" s="1" t="n">
        <v>43943</v>
      </c>
      <c r="F453" s="1" t="s">
        <v>847</v>
      </c>
      <c r="G453" s="140" t="n">
        <v>46189</v>
      </c>
      <c r="H453" s="1" t="s">
        <v>1407</v>
      </c>
      <c r="J453" s="1" t="s">
        <v>1408</v>
      </c>
      <c r="K453" s="1" t="n">
        <v>2403</v>
      </c>
      <c r="M453" s="125" t="n">
        <f aca="false">Nominal_Activity[[#This Row],[Debit]]-Nominal_Activity[[#This Row],[Credit]]</f>
        <v>2403</v>
      </c>
      <c r="N453" s="1" t="str">
        <f aca="false">IF(C453="","",IFERROR(VLOOKUP(C453,Master_Mappings!$A$4:$E$85,3,FALSE()),"UNMAPPED"))</f>
        <v>Office Running costs</v>
      </c>
      <c r="P453" s="1" t="str">
        <f aca="false">IF($C453="","",$C453&amp;"|"&amp;$E453&amp;"|"&amp;$M453&amp;"|"&amp;TEXT($G453,"yyyy-mm-dd")&amp;"|"&amp;LEFT($J453,40))</f>
        <v>7220|43943|2403|2026-06-16|Business Operating Permit for 2026</v>
      </c>
      <c r="Q453" s="11" t="str">
        <f aca="false">IF(P453="","",IF(COUNTIF($P$2:$P$3000,P453)&gt;1,"DUPLICATE","OK"))</f>
        <v>OK</v>
      </c>
      <c r="R453" s="0" t="str">
        <f aca="false">IF($C453="","",IFERROR(VLOOKUP(--$C453,MM_Income!$Z$5:$AC$204,3,FALSE()),""))</f>
        <v/>
      </c>
    </row>
    <row r="454" customFormat="false" ht="14.9" hidden="false" customHeight="false" outlineLevel="0" collapsed="false">
      <c r="A454" s="1" t="s">
        <v>49</v>
      </c>
      <c r="B454" s="1" t="s">
        <v>85</v>
      </c>
      <c r="C454" s="1" t="n">
        <v>7400</v>
      </c>
      <c r="D454" s="1" t="s">
        <v>719</v>
      </c>
      <c r="E454" s="1" t="n">
        <v>43014</v>
      </c>
      <c r="F454" s="1" t="s">
        <v>847</v>
      </c>
      <c r="G454" s="140" t="n">
        <v>46073</v>
      </c>
      <c r="H454" s="1" t="s">
        <v>1409</v>
      </c>
      <c r="I454" s="1" t="s">
        <v>1410</v>
      </c>
      <c r="J454" s="1" t="s">
        <v>1411</v>
      </c>
      <c r="K454" s="1" t="n">
        <v>7200</v>
      </c>
      <c r="M454" s="125" t="n">
        <f aca="false">Nominal_Activity[[#This Row],[Debit]]-Nominal_Activity[[#This Row],[Credit]]</f>
        <v>7200</v>
      </c>
      <c r="N454" s="1" t="str">
        <f aca="false">IF(C454="","",IFERROR(VLOOKUP(C454,Master_Mappings!$A$4:$E$85,3,FALSE()),"UNMAPPED"))</f>
        <v>Business development and Comms</v>
      </c>
      <c r="P454" s="1" t="str">
        <f aca="false">IF($C454="","",$C454&amp;"|"&amp;$E454&amp;"|"&amp;$M454&amp;"|"&amp;TEXT($G454,"yyyy-mm-dd")&amp;"|"&amp;LEFT($J454,40))</f>
        <v>7400|43014|7200|2026-02-20|Purchase of kente sash for 15th Annivers</v>
      </c>
      <c r="Q454" s="11" t="str">
        <f aca="false">IF(P454="","",IF(COUNTIF($P$2:$P$3000,P454)&gt;1,"DUPLICATE","OK"))</f>
        <v>OK</v>
      </c>
      <c r="R454" s="0" t="str">
        <f aca="false">IF($C454="","",IFERROR(VLOOKUP(--$C454,MM_Income!$Z$5:$AC$204,3,FALSE()),""))</f>
        <v/>
      </c>
    </row>
    <row r="455" customFormat="false" ht="14.9" hidden="false" customHeight="false" outlineLevel="0" collapsed="false">
      <c r="A455" s="1" t="s">
        <v>49</v>
      </c>
      <c r="B455" s="1" t="s">
        <v>89</v>
      </c>
      <c r="C455" s="1" t="n">
        <v>7400</v>
      </c>
      <c r="D455" s="1" t="s">
        <v>719</v>
      </c>
      <c r="E455" s="1" t="n">
        <v>43482</v>
      </c>
      <c r="F455" s="1" t="s">
        <v>847</v>
      </c>
      <c r="G455" s="140" t="n">
        <v>46113</v>
      </c>
      <c r="H455" s="1" t="s">
        <v>1412</v>
      </c>
      <c r="I455" s="1" t="s">
        <v>1413</v>
      </c>
      <c r="J455" s="1" t="s">
        <v>1414</v>
      </c>
      <c r="K455" s="1" t="n">
        <v>13000</v>
      </c>
      <c r="M455" s="125" t="n">
        <f aca="false">Nominal_Activity[[#This Row],[Debit]]-Nominal_Activity[[#This Row],[Credit]]</f>
        <v>13000</v>
      </c>
      <c r="N455" s="1" t="str">
        <f aca="false">IF(C455="","",IFERROR(VLOOKUP(C455,Master_Mappings!$A$4:$E$85,3,FALSE()),"UNMAPPED"))</f>
        <v>Business development and Comms</v>
      </c>
      <c r="P455" s="1" t="str">
        <f aca="false">IF($C455="","",$C455&amp;"|"&amp;$E455&amp;"|"&amp;$M455&amp;"|"&amp;TEXT($G455,"yyyy-mm-dd")&amp;"|"&amp;LEFT($J455,40))</f>
        <v>7400|43482|13000|2026-04-01|Rental &amp; Maintenance charges of directio</v>
      </c>
      <c r="Q455" s="11" t="str">
        <f aca="false">IF(P455="","",IF(COUNTIF($P$2:$P$3000,P455)&gt;1,"DUPLICATE","OK"))</f>
        <v>OK</v>
      </c>
      <c r="R455" s="0" t="str">
        <f aca="false">IF($C455="","",IFERROR(VLOOKUP(--$C455,MM_Income!$Z$5:$AC$204,3,FALSE()),""))</f>
        <v/>
      </c>
    </row>
    <row r="456" customFormat="false" ht="14.9" hidden="false" customHeight="false" outlineLevel="0" collapsed="false">
      <c r="A456" s="1" t="s">
        <v>49</v>
      </c>
      <c r="B456" s="1" t="s">
        <v>89</v>
      </c>
      <c r="C456" s="1" t="n">
        <v>7400</v>
      </c>
      <c r="D456" s="1" t="s">
        <v>719</v>
      </c>
      <c r="E456" s="1" t="n">
        <v>44051</v>
      </c>
      <c r="F456" s="1" t="s">
        <v>914</v>
      </c>
      <c r="G456" s="140" t="n">
        <v>46178</v>
      </c>
      <c r="H456" s="1" t="n">
        <v>1200</v>
      </c>
      <c r="I456" s="1" t="s">
        <v>1415</v>
      </c>
      <c r="J456" s="1" t="s">
        <v>1416</v>
      </c>
      <c r="K456" s="1" t="n">
        <v>1000</v>
      </c>
      <c r="M456" s="125" t="n">
        <f aca="false">Nominal_Activity[[#This Row],[Debit]]-Nominal_Activity[[#This Row],[Credit]]</f>
        <v>1000</v>
      </c>
      <c r="N456" s="1" t="str">
        <f aca="false">IF(C456="","",IFERROR(VLOOKUP(C456,Master_Mappings!$A$4:$E$85,3,FALSE()),"UNMAPPED"))</f>
        <v>Business development and Comms</v>
      </c>
      <c r="P456" s="1" t="str">
        <f aca="false">IF($C456="","",$C456&amp;"|"&amp;$E456&amp;"|"&amp;$M456&amp;"|"&amp;TEXT($G456,"yyyy-mm-dd")&amp;"|"&amp;LEFT($J456,40))</f>
        <v>7400|44051|1000|2026-06-05|BFT Media engagement - Interview with Ab</v>
      </c>
      <c r="Q456" s="11" t="str">
        <f aca="false">IF(P456="","",IF(COUNTIF($P$2:$P$3000,P456)&gt;1,"DUPLICATE","OK"))</f>
        <v>OK</v>
      </c>
      <c r="R456" s="0" t="str">
        <f aca="false">IF($C456="","",IFERROR(VLOOKUP(--$C456,MM_Income!$Z$5:$AC$204,3,FALSE()),""))</f>
        <v/>
      </c>
    </row>
    <row r="457" customFormat="false" ht="14.9" hidden="false" customHeight="false" outlineLevel="0" collapsed="false">
      <c r="A457" s="1" t="s">
        <v>49</v>
      </c>
      <c r="B457" s="1" t="s">
        <v>89</v>
      </c>
      <c r="C457" s="1" t="n">
        <v>7400</v>
      </c>
      <c r="D457" s="1" t="s">
        <v>719</v>
      </c>
      <c r="E457" s="1" t="n">
        <v>44052</v>
      </c>
      <c r="F457" s="1" t="s">
        <v>914</v>
      </c>
      <c r="G457" s="140" t="n">
        <v>46178</v>
      </c>
      <c r="H457" s="1" t="n">
        <v>1200</v>
      </c>
      <c r="I457" s="1" t="s">
        <v>1415</v>
      </c>
      <c r="J457" s="1" t="s">
        <v>1417</v>
      </c>
      <c r="K457" s="1" t="n">
        <v>1000</v>
      </c>
      <c r="M457" s="125" t="n">
        <f aca="false">Nominal_Activity[[#This Row],[Debit]]-Nominal_Activity[[#This Row],[Credit]]</f>
        <v>1000</v>
      </c>
      <c r="N457" s="1" t="str">
        <f aca="false">IF(C457="","",IFERROR(VLOOKUP(C457,Master_Mappings!$A$4:$E$85,3,FALSE()),"UNMAPPED"))</f>
        <v>Business development and Comms</v>
      </c>
      <c r="P457" s="1" t="str">
        <f aca="false">IF($C457="","",$C457&amp;"|"&amp;$E457&amp;"|"&amp;$M457&amp;"|"&amp;TEXT($G457,"yyyy-mm-dd")&amp;"|"&amp;LEFT($J457,40))</f>
        <v>7400|44052|1000|2026-06-05|Metro Tv Engagement - Interview with Abe</v>
      </c>
      <c r="Q457" s="11" t="str">
        <f aca="false">IF(P457="","",IF(COUNTIF($P$2:$P$3000,P457)&gt;1,"DUPLICATE","OK"))</f>
        <v>OK</v>
      </c>
      <c r="R457" s="0" t="str">
        <f aca="false">IF($C457="","",IFERROR(VLOOKUP(--$C457,MM_Income!$Z$5:$AC$204,3,FALSE()),""))</f>
        <v/>
      </c>
    </row>
    <row r="458" customFormat="false" ht="14.9" hidden="false" customHeight="false" outlineLevel="0" collapsed="false">
      <c r="A458" s="1" t="s">
        <v>49</v>
      </c>
      <c r="B458" s="1" t="s">
        <v>85</v>
      </c>
      <c r="C458" s="1" t="n">
        <v>7410</v>
      </c>
      <c r="D458" s="1" t="s">
        <v>721</v>
      </c>
      <c r="E458" s="1" t="n">
        <v>42348</v>
      </c>
      <c r="F458" s="1" t="s">
        <v>869</v>
      </c>
      <c r="G458" s="140" t="n">
        <v>46024</v>
      </c>
      <c r="H458" s="1" t="n">
        <v>1260</v>
      </c>
      <c r="I458" s="1" t="s">
        <v>1418</v>
      </c>
      <c r="J458" s="1" t="s">
        <v>1419</v>
      </c>
      <c r="K458" s="1" t="n">
        <v>197.86</v>
      </c>
      <c r="M458" s="125" t="n">
        <f aca="false">Nominal_Activity[[#This Row],[Debit]]-Nominal_Activity[[#This Row],[Credit]]</f>
        <v>197.86</v>
      </c>
      <c r="N458" s="1" t="str">
        <f aca="false">IF(C458="","",IFERROR(VLOOKUP(C458,Master_Mappings!$A$4:$E$85,3,FALSE()),"UNMAPPED"))</f>
        <v>Business development and Comms</v>
      </c>
      <c r="P458" s="1" t="str">
        <f aca="false">IF($C458="","",$C458&amp;"|"&amp;$E458&amp;"|"&amp;$M458&amp;"|"&amp;TEXT($G458,"yyyy-mm-dd")&amp;"|"&amp;LEFT($J458,40))</f>
        <v>7410|42348|197.86|2026-01-02|Return train fare from London Victoria t</v>
      </c>
      <c r="Q458" s="11" t="str">
        <f aca="false">IF(P458="","",IF(COUNTIF($P$2:$P$3000,P458)&gt;1,"DUPLICATE","OK"))</f>
        <v>OK</v>
      </c>
      <c r="R458" s="0" t="str">
        <f aca="false">IF($C458="","",IFERROR(VLOOKUP(--$C458,MM_Income!$Z$5:$AC$204,3,FALSE()),""))</f>
        <v/>
      </c>
    </row>
    <row r="459" customFormat="false" ht="14.9" hidden="false" customHeight="false" outlineLevel="0" collapsed="false">
      <c r="A459" s="1" t="s">
        <v>49</v>
      </c>
      <c r="B459" s="1" t="s">
        <v>85</v>
      </c>
      <c r="C459" s="1" t="n">
        <v>7410</v>
      </c>
      <c r="D459" s="1" t="s">
        <v>721</v>
      </c>
      <c r="E459" s="1" t="n">
        <v>42349</v>
      </c>
      <c r="F459" s="1" t="s">
        <v>869</v>
      </c>
      <c r="G459" s="140" t="n">
        <v>46024</v>
      </c>
      <c r="H459" s="1" t="n">
        <v>1260</v>
      </c>
      <c r="I459" s="1" t="s">
        <v>1418</v>
      </c>
      <c r="J459" s="1" t="s">
        <v>1420</v>
      </c>
      <c r="K459" s="1" t="n">
        <v>360.38</v>
      </c>
      <c r="M459" s="125" t="n">
        <f aca="false">Nominal_Activity[[#This Row],[Debit]]-Nominal_Activity[[#This Row],[Credit]]</f>
        <v>360.38</v>
      </c>
      <c r="N459" s="1" t="str">
        <f aca="false">IF(C459="","",IFERROR(VLOOKUP(C459,Master_Mappings!$A$4:$E$85,3,FALSE()),"UNMAPPED"))</f>
        <v>Business development and Comms</v>
      </c>
      <c r="P459" s="1" t="str">
        <f aca="false">IF($C459="","",$C459&amp;"|"&amp;$E459&amp;"|"&amp;$M459&amp;"|"&amp;TEXT($G459,"yyyy-mm-dd")&amp;"|"&amp;LEFT($J459,40))</f>
        <v>7410|42349|360.38|2026-01-02|Return Tube fare, Oxford-London-Oxford</v>
      </c>
      <c r="Q459" s="11" t="str">
        <f aca="false">IF(P459="","",IF(COUNTIF($P$2:$P$3000,P459)&gt;1,"DUPLICATE","OK"))</f>
        <v>OK</v>
      </c>
      <c r="R459" s="0" t="str">
        <f aca="false">IF($C459="","",IFERROR(VLOOKUP(--$C459,MM_Income!$Z$5:$AC$204,3,FALSE()),""))</f>
        <v/>
      </c>
    </row>
    <row r="460" customFormat="false" ht="14.9" hidden="false" customHeight="false" outlineLevel="0" collapsed="false">
      <c r="A460" s="1" t="s">
        <v>49</v>
      </c>
      <c r="B460" s="1" t="s">
        <v>85</v>
      </c>
      <c r="C460" s="1" t="n">
        <v>7410</v>
      </c>
      <c r="D460" s="1" t="s">
        <v>721</v>
      </c>
      <c r="E460" s="1" t="n">
        <v>42751</v>
      </c>
      <c r="F460" s="1" t="s">
        <v>847</v>
      </c>
      <c r="G460" s="140" t="n">
        <v>46064</v>
      </c>
      <c r="H460" s="1" t="s">
        <v>848</v>
      </c>
      <c r="I460" s="1" t="s">
        <v>1421</v>
      </c>
      <c r="J460" s="1" t="s">
        <v>1422</v>
      </c>
      <c r="K460" s="1" t="n">
        <v>19433</v>
      </c>
      <c r="M460" s="125" t="n">
        <f aca="false">Nominal_Activity[[#This Row],[Debit]]-Nominal_Activity[[#This Row],[Credit]]</f>
        <v>19433</v>
      </c>
      <c r="N460" s="1" t="str">
        <f aca="false">IF(C460="","",IFERROR(VLOOKUP(C460,Master_Mappings!$A$4:$E$85,3,FALSE()),"UNMAPPED"))</f>
        <v>Business development and Comms</v>
      </c>
      <c r="P460" s="1" t="str">
        <f aca="false">IF($C460="","",$C460&amp;"|"&amp;$E460&amp;"|"&amp;$M460&amp;"|"&amp;TEXT($G460,"yyyy-mm-dd")&amp;"|"&amp;LEFT($J460,40))</f>
        <v>7410|42751|19433|2026-02-11|Flight ticket for Naana to Ethiopia</v>
      </c>
      <c r="Q460" s="11" t="str">
        <f aca="false">IF(P460="","",IF(COUNTIF($P$2:$P$3000,P460)&gt;1,"DUPLICATE","OK"))</f>
        <v>OK</v>
      </c>
      <c r="R460" s="0" t="str">
        <f aca="false">IF($C460="","",IFERROR(VLOOKUP(--$C460,MM_Income!$Z$5:$AC$204,3,FALSE()),""))</f>
        <v/>
      </c>
    </row>
    <row r="461" customFormat="false" ht="14.9" hidden="false" customHeight="false" outlineLevel="0" collapsed="false">
      <c r="A461" s="1" t="s">
        <v>49</v>
      </c>
      <c r="B461" s="1" t="s">
        <v>85</v>
      </c>
      <c r="C461" s="1" t="n">
        <v>7410</v>
      </c>
      <c r="D461" s="1" t="s">
        <v>721</v>
      </c>
      <c r="E461" s="1" t="n">
        <v>42803</v>
      </c>
      <c r="F461" s="1" t="s">
        <v>869</v>
      </c>
      <c r="G461" s="140" t="n">
        <v>46080</v>
      </c>
      <c r="H461" s="1" t="n">
        <v>1260</v>
      </c>
      <c r="I461" s="1" t="s">
        <v>1423</v>
      </c>
      <c r="J461" s="1" t="s">
        <v>1424</v>
      </c>
      <c r="K461" s="1" t="n">
        <v>741.12</v>
      </c>
      <c r="M461" s="125" t="n">
        <f aca="false">Nominal_Activity[[#This Row],[Debit]]-Nominal_Activity[[#This Row],[Credit]]</f>
        <v>741.12</v>
      </c>
      <c r="N461" s="1" t="str">
        <f aca="false">IF(C461="","",IFERROR(VLOOKUP(C461,Master_Mappings!$A$4:$E$85,3,FALSE()),"UNMAPPED"))</f>
        <v>Business development and Comms</v>
      </c>
      <c r="P461" s="1" t="str">
        <f aca="false">IF($C461="","",$C461&amp;"|"&amp;$E461&amp;"|"&amp;$M461&amp;"|"&amp;TEXT($G461,"yyyy-mm-dd")&amp;"|"&amp;LEFT($J461,40))</f>
        <v>7410|42803|741.12|2026-02-27|Accommodation receipt for late check out</v>
      </c>
      <c r="Q461" s="11" t="str">
        <f aca="false">IF(P461="","",IF(COUNTIF($P$2:$P$3000,P461)&gt;1,"DUPLICATE","OK"))</f>
        <v>OK</v>
      </c>
      <c r="R461" s="0" t="str">
        <f aca="false">IF($C461="","",IFERROR(VLOOKUP(--$C461,MM_Income!$Z$5:$AC$204,3,FALSE()),""))</f>
        <v/>
      </c>
    </row>
    <row r="462" customFormat="false" ht="14.9" hidden="false" customHeight="false" outlineLevel="0" collapsed="false">
      <c r="A462" s="1" t="s">
        <v>49</v>
      </c>
      <c r="B462" s="1" t="s">
        <v>85</v>
      </c>
      <c r="C462" s="1" t="n">
        <v>7410</v>
      </c>
      <c r="D462" s="1" t="s">
        <v>721</v>
      </c>
      <c r="E462" s="1" t="n">
        <v>42804</v>
      </c>
      <c r="F462" s="1" t="s">
        <v>869</v>
      </c>
      <c r="G462" s="140" t="n">
        <v>46076</v>
      </c>
      <c r="H462" s="1" t="n">
        <v>1260</v>
      </c>
      <c r="I462" s="1" t="s">
        <v>1423</v>
      </c>
      <c r="J462" s="1" t="s">
        <v>1425</v>
      </c>
      <c r="K462" s="1" t="n">
        <v>110.21</v>
      </c>
      <c r="M462" s="125" t="n">
        <f aca="false">Nominal_Activity[[#This Row],[Debit]]-Nominal_Activity[[#This Row],[Credit]]</f>
        <v>110.21</v>
      </c>
      <c r="N462" s="1" t="str">
        <f aca="false">IF(C462="","",IFERROR(VLOOKUP(C462,Master_Mappings!$A$4:$E$85,3,FALSE()),"UNMAPPED"))</f>
        <v>Business development and Comms</v>
      </c>
      <c r="P462" s="1" t="str">
        <f aca="false">IF($C462="","",$C462&amp;"|"&amp;$E462&amp;"|"&amp;$M462&amp;"|"&amp;TEXT($G462,"yyyy-mm-dd")&amp;"|"&amp;LEFT($J462,40))</f>
        <v>7410|42804|110.21|2026-02-23|Lunch at Haile Grand Hotel</v>
      </c>
      <c r="Q462" s="11" t="str">
        <f aca="false">IF(P462="","",IF(COUNTIF($P$2:$P$3000,P462)&gt;1,"DUPLICATE","OK"))</f>
        <v>OK</v>
      </c>
      <c r="R462" s="0" t="str">
        <f aca="false">IF($C462="","",IFERROR(VLOOKUP(--$C462,MM_Income!$Z$5:$AC$204,3,FALSE()),""))</f>
        <v/>
      </c>
    </row>
    <row r="463" customFormat="false" ht="14.9" hidden="false" customHeight="false" outlineLevel="0" collapsed="false">
      <c r="A463" s="1" t="s">
        <v>49</v>
      </c>
      <c r="B463" s="1" t="s">
        <v>85</v>
      </c>
      <c r="C463" s="1" t="n">
        <v>7410</v>
      </c>
      <c r="D463" s="1" t="s">
        <v>721</v>
      </c>
      <c r="E463" s="1" t="n">
        <v>42805</v>
      </c>
      <c r="F463" s="1" t="s">
        <v>869</v>
      </c>
      <c r="G463" s="140" t="n">
        <v>46076</v>
      </c>
      <c r="H463" s="1" t="n">
        <v>1260</v>
      </c>
      <c r="I463" s="1" t="s">
        <v>1423</v>
      </c>
      <c r="J463" s="1" t="s">
        <v>1426</v>
      </c>
      <c r="K463" s="1" t="n">
        <v>548.09</v>
      </c>
      <c r="M463" s="125" t="n">
        <f aca="false">Nominal_Activity[[#This Row],[Debit]]-Nominal_Activity[[#This Row],[Credit]]</f>
        <v>548.09</v>
      </c>
      <c r="N463" s="1" t="str">
        <f aca="false">IF(C463="","",IFERROR(VLOOKUP(C463,Master_Mappings!$A$4:$E$85,3,FALSE()),"UNMAPPED"))</f>
        <v>Business development and Comms</v>
      </c>
      <c r="P463" s="1" t="str">
        <f aca="false">IF($C463="","",$C463&amp;"|"&amp;$E463&amp;"|"&amp;$M463&amp;"|"&amp;TEXT($G463,"yyyy-mm-dd")&amp;"|"&amp;LEFT($J463,40))</f>
        <v>7410|42805|548.09|2026-02-23|Visa on arrival in Addis Ababa</v>
      </c>
      <c r="Q463" s="11" t="str">
        <f aca="false">IF(P463="","",IF(COUNTIF($P$2:$P$3000,P463)&gt;1,"DUPLICATE","OK"))</f>
        <v>OK</v>
      </c>
      <c r="R463" s="0" t="str">
        <f aca="false">IF($C463="","",IFERROR(VLOOKUP(--$C463,MM_Income!$Z$5:$AC$204,3,FALSE()),""))</f>
        <v/>
      </c>
    </row>
    <row r="464" customFormat="false" ht="14.9" hidden="false" customHeight="false" outlineLevel="0" collapsed="false">
      <c r="A464" s="1" t="s">
        <v>49</v>
      </c>
      <c r="B464" s="1" t="s">
        <v>85</v>
      </c>
      <c r="C464" s="1" t="n">
        <v>7410</v>
      </c>
      <c r="D464" s="1" t="s">
        <v>721</v>
      </c>
      <c r="E464" s="1" t="n">
        <v>42806</v>
      </c>
      <c r="F464" s="1" t="s">
        <v>869</v>
      </c>
      <c r="G464" s="140" t="n">
        <v>46075</v>
      </c>
      <c r="H464" s="1" t="n">
        <v>1260</v>
      </c>
      <c r="I464" s="1" t="s">
        <v>1423</v>
      </c>
      <c r="J464" s="1" t="s">
        <v>1427</v>
      </c>
      <c r="K464" s="1" t="n">
        <v>517.63</v>
      </c>
      <c r="M464" s="125" t="n">
        <f aca="false">Nominal_Activity[[#This Row],[Debit]]-Nominal_Activity[[#This Row],[Credit]]</f>
        <v>517.63</v>
      </c>
      <c r="N464" s="1" t="str">
        <f aca="false">IF(C464="","",IFERROR(VLOOKUP(C464,Master_Mappings!$A$4:$E$85,3,FALSE()),"UNMAPPED"))</f>
        <v>Business development and Comms</v>
      </c>
      <c r="P464" s="1" t="str">
        <f aca="false">IF($C464="","",$C464&amp;"|"&amp;$E464&amp;"|"&amp;$M464&amp;"|"&amp;TEXT($G464,"yyyy-mm-dd")&amp;"|"&amp;LEFT($J464,40))</f>
        <v>7410|42806|517.63|2026-02-22|Return Tube fare for Oxford-LondonHeathr</v>
      </c>
      <c r="Q464" s="11" t="str">
        <f aca="false">IF(P464="","",IF(COUNTIF($P$2:$P$3000,P464)&gt;1,"DUPLICATE","OK"))</f>
        <v>OK</v>
      </c>
      <c r="R464" s="0" t="str">
        <f aca="false">IF($C464="","",IFERROR(VLOOKUP(--$C464,MM_Income!$Z$5:$AC$204,3,FALSE()),""))</f>
        <v/>
      </c>
    </row>
    <row r="465" customFormat="false" ht="14.9" hidden="false" customHeight="false" outlineLevel="0" collapsed="false">
      <c r="A465" s="1" t="s">
        <v>49</v>
      </c>
      <c r="B465" s="1" t="s">
        <v>85</v>
      </c>
      <c r="C465" s="1" t="n">
        <v>7410</v>
      </c>
      <c r="D465" s="1" t="s">
        <v>721</v>
      </c>
      <c r="E465" s="1" t="n">
        <v>42807</v>
      </c>
      <c r="F465" s="1" t="s">
        <v>869</v>
      </c>
      <c r="G465" s="140" t="n">
        <v>46074</v>
      </c>
      <c r="H465" s="1" t="n">
        <v>1260</v>
      </c>
      <c r="I465" s="1" t="s">
        <v>1423</v>
      </c>
      <c r="J465" s="1" t="s">
        <v>1428</v>
      </c>
      <c r="K465" s="1" t="n">
        <v>442.2</v>
      </c>
      <c r="M465" s="125" t="n">
        <f aca="false">Nominal_Activity[[#This Row],[Debit]]-Nominal_Activity[[#This Row],[Credit]]</f>
        <v>442.2</v>
      </c>
      <c r="N465" s="1" t="str">
        <f aca="false">IF(C465="","",IFERROR(VLOOKUP(C465,Master_Mappings!$A$4:$E$85,3,FALSE()),"UNMAPPED"))</f>
        <v>Business development and Comms</v>
      </c>
      <c r="P465" s="1" t="str">
        <f aca="false">IF($C465="","",$C465&amp;"|"&amp;$E465&amp;"|"&amp;$M465&amp;"|"&amp;TEXT($G465,"yyyy-mm-dd")&amp;"|"&amp;LEFT($J465,40))</f>
        <v>7410|42807|442.2|2026-02-21|Electronic System for Travel Authorisati</v>
      </c>
      <c r="Q465" s="11" t="str">
        <f aca="false">IF(P465="","",IF(COUNTIF($P$2:$P$3000,P465)&gt;1,"DUPLICATE","OK"))</f>
        <v>OK</v>
      </c>
      <c r="R465" s="0" t="str">
        <f aca="false">IF($C465="","",IFERROR(VLOOKUP(--$C465,MM_Income!$Z$5:$AC$204,3,FALSE()),""))</f>
        <v/>
      </c>
    </row>
    <row r="466" customFormat="false" ht="14.9" hidden="false" customHeight="false" outlineLevel="0" collapsed="false">
      <c r="A466" s="1" t="s">
        <v>49</v>
      </c>
      <c r="B466" s="1" t="s">
        <v>85</v>
      </c>
      <c r="C466" s="1" t="n">
        <v>7410</v>
      </c>
      <c r="D466" s="1" t="s">
        <v>721</v>
      </c>
      <c r="E466" s="1" t="n">
        <v>42808</v>
      </c>
      <c r="F466" s="1" t="s">
        <v>869</v>
      </c>
      <c r="G466" s="140" t="n">
        <v>46064</v>
      </c>
      <c r="H466" s="1" t="n">
        <v>1260</v>
      </c>
      <c r="I466" s="1" t="s">
        <v>1423</v>
      </c>
      <c r="J466" s="1" t="s">
        <v>1429</v>
      </c>
      <c r="K466" s="1" t="n">
        <v>208.83</v>
      </c>
      <c r="M466" s="125" t="n">
        <f aca="false">Nominal_Activity[[#This Row],[Debit]]-Nominal_Activity[[#This Row],[Credit]]</f>
        <v>208.83</v>
      </c>
      <c r="N466" s="1" t="str">
        <f aca="false">IF(C466="","",IFERROR(VLOOKUP(C466,Master_Mappings!$A$4:$E$85,3,FALSE()),"UNMAPPED"))</f>
        <v>Business development and Comms</v>
      </c>
      <c r="P466" s="1" t="str">
        <f aca="false">IF($C466="","",$C466&amp;"|"&amp;$E466&amp;"|"&amp;$M466&amp;"|"&amp;TEXT($G466,"yyyy-mm-dd")&amp;"|"&amp;LEFT($J466,40))</f>
        <v>7410|42808|208.83|2026-02-11|Return train fare from Victoria station </v>
      </c>
      <c r="Q466" s="11" t="str">
        <f aca="false">IF(P466="","",IF(COUNTIF($P$2:$P$3000,P466)&gt;1,"DUPLICATE","OK"))</f>
        <v>OK</v>
      </c>
      <c r="R466" s="0" t="str">
        <f aca="false">IF($C466="","",IFERROR(VLOOKUP(--$C466,MM_Income!$Z$5:$AC$204,3,FALSE()),""))</f>
        <v/>
      </c>
    </row>
    <row r="467" customFormat="false" ht="14.9" hidden="false" customHeight="false" outlineLevel="0" collapsed="false">
      <c r="A467" s="1" t="s">
        <v>49</v>
      </c>
      <c r="B467" s="1" t="s">
        <v>85</v>
      </c>
      <c r="C467" s="1" t="n">
        <v>7410</v>
      </c>
      <c r="D467" s="1" t="s">
        <v>721</v>
      </c>
      <c r="E467" s="1" t="n">
        <v>42809</v>
      </c>
      <c r="F467" s="1" t="s">
        <v>869</v>
      </c>
      <c r="G467" s="140" t="n">
        <v>46064</v>
      </c>
      <c r="H467" s="1" t="n">
        <v>1260</v>
      </c>
      <c r="I467" s="1" t="s">
        <v>1423</v>
      </c>
      <c r="J467" s="1" t="s">
        <v>1430</v>
      </c>
      <c r="K467" s="1" t="n">
        <v>382.27</v>
      </c>
      <c r="M467" s="125" t="n">
        <f aca="false">Nominal_Activity[[#This Row],[Debit]]-Nominal_Activity[[#This Row],[Credit]]</f>
        <v>382.27</v>
      </c>
      <c r="N467" s="1" t="str">
        <f aca="false">IF(C467="","",IFERROR(VLOOKUP(C467,Master_Mappings!$A$4:$E$85,3,FALSE()),"UNMAPPED"))</f>
        <v>Business development and Comms</v>
      </c>
      <c r="P467" s="1" t="str">
        <f aca="false">IF($C467="","",$C467&amp;"|"&amp;$E467&amp;"|"&amp;$M467&amp;"|"&amp;TEXT($G467,"yyyy-mm-dd")&amp;"|"&amp;LEFT($J467,40))</f>
        <v>7410|42809|382.27|2026-02-11|Return Tube fare for Oxford to London Vi</v>
      </c>
      <c r="Q467" s="11" t="str">
        <f aca="false">IF(P467="","",IF(COUNTIF($P$2:$P$3000,P467)&gt;1,"DUPLICATE","OK"))</f>
        <v>OK</v>
      </c>
      <c r="R467" s="0" t="str">
        <f aca="false">IF($C467="","",IFERROR(VLOOKUP(--$C467,MM_Income!$Z$5:$AC$204,3,FALSE()),""))</f>
        <v/>
      </c>
    </row>
    <row r="468" customFormat="false" ht="14.9" hidden="false" customHeight="false" outlineLevel="0" collapsed="false">
      <c r="A468" s="1" t="s">
        <v>49</v>
      </c>
      <c r="B468" s="1" t="s">
        <v>85</v>
      </c>
      <c r="C468" s="1" t="n">
        <v>7410</v>
      </c>
      <c r="D468" s="1" t="s">
        <v>721</v>
      </c>
      <c r="E468" s="1" t="n">
        <v>42812</v>
      </c>
      <c r="F468" s="1" t="s">
        <v>869</v>
      </c>
      <c r="G468" s="140" t="n">
        <v>46078</v>
      </c>
      <c r="H468" s="1" t="n">
        <v>1260</v>
      </c>
      <c r="I468" s="1" t="s">
        <v>1431</v>
      </c>
      <c r="J468" s="1" t="s">
        <v>1432</v>
      </c>
      <c r="K468" s="1" t="n">
        <v>6915.84</v>
      </c>
      <c r="M468" s="125" t="n">
        <f aca="false">Nominal_Activity[[#This Row],[Debit]]-Nominal_Activity[[#This Row],[Credit]]</f>
        <v>6915.84</v>
      </c>
      <c r="N468" s="1" t="str">
        <f aca="false">IF(C468="","",IFERROR(VLOOKUP(C468,Master_Mappings!$A$4:$E$85,3,FALSE()),"UNMAPPED"))</f>
        <v>Business development and Comms</v>
      </c>
      <c r="P468" s="1" t="str">
        <f aca="false">IF($C468="","",$C468&amp;"|"&amp;$E468&amp;"|"&amp;$M468&amp;"|"&amp;TEXT($G468,"yyyy-mm-dd")&amp;"|"&amp;LEFT($J468,40))</f>
        <v>7410|42812|6915.84|2026-02-25|Accommodation for Naana in Ethiopia</v>
      </c>
      <c r="Q468" s="11" t="str">
        <f aca="false">IF(P468="","",IF(COUNTIF($P$2:$P$3000,P468)&gt;1,"DUPLICATE","OK"))</f>
        <v>OK</v>
      </c>
      <c r="R468" s="0" t="str">
        <f aca="false">IF($C468="","",IFERROR(VLOOKUP(--$C468,MM_Income!$Z$5:$AC$204,3,FALSE()),""))</f>
        <v/>
      </c>
    </row>
    <row r="469" customFormat="false" ht="14.9" hidden="false" customHeight="false" outlineLevel="0" collapsed="false">
      <c r="A469" s="1" t="s">
        <v>49</v>
      </c>
      <c r="B469" s="1" t="s">
        <v>85</v>
      </c>
      <c r="C469" s="1" t="n">
        <v>7410</v>
      </c>
      <c r="D469" s="1" t="s">
        <v>721</v>
      </c>
      <c r="E469" s="1" t="n">
        <v>42829</v>
      </c>
      <c r="F469" s="1" t="s">
        <v>869</v>
      </c>
      <c r="G469" s="140" t="n">
        <v>46084</v>
      </c>
      <c r="H469" s="1" t="n">
        <v>1260</v>
      </c>
      <c r="I469" s="1" t="s">
        <v>1433</v>
      </c>
      <c r="J469" s="1" t="s">
        <v>1167</v>
      </c>
      <c r="K469" s="1" t="n">
        <v>103</v>
      </c>
      <c r="M469" s="125" t="n">
        <f aca="false">Nominal_Activity[[#This Row],[Debit]]-Nominal_Activity[[#This Row],[Credit]]</f>
        <v>103</v>
      </c>
      <c r="N469" s="1" t="str">
        <f aca="false">IF(C469="","",IFERROR(VLOOKUP(C469,Master_Mappings!$A$4:$E$85,3,FALSE()),"UNMAPPED"))</f>
        <v>Business development and Comms</v>
      </c>
      <c r="P469" s="1" t="str">
        <f aca="false">IF($C469="","",$C469&amp;"|"&amp;$E469&amp;"|"&amp;$M469&amp;"|"&amp;TEXT($G469,"yyyy-mm-dd")&amp;"|"&amp;LEFT($J469,40))</f>
        <v>7410|42829|103|2026-03-03|Lunch</v>
      </c>
      <c r="Q469" s="11" t="str">
        <f aca="false">IF(P469="","",IF(COUNTIF($P$2:$P$3000,P469)&gt;1,"DUPLICATE","OK"))</f>
        <v>OK</v>
      </c>
      <c r="R469" s="0" t="str">
        <f aca="false">IF($C469="","",IFERROR(VLOOKUP(--$C469,MM_Income!$Z$5:$AC$204,3,FALSE()),""))</f>
        <v/>
      </c>
    </row>
    <row r="470" customFormat="false" ht="14.9" hidden="false" customHeight="false" outlineLevel="0" collapsed="false">
      <c r="A470" s="1" t="s">
        <v>49</v>
      </c>
      <c r="B470" s="1" t="s">
        <v>85</v>
      </c>
      <c r="C470" s="1" t="n">
        <v>7410</v>
      </c>
      <c r="D470" s="1" t="s">
        <v>721</v>
      </c>
      <c r="E470" s="1" t="n">
        <v>42830</v>
      </c>
      <c r="F470" s="1" t="s">
        <v>869</v>
      </c>
      <c r="G470" s="140" t="n">
        <v>46084</v>
      </c>
      <c r="H470" s="1" t="n">
        <v>1260</v>
      </c>
      <c r="I470" s="1" t="s">
        <v>1433</v>
      </c>
      <c r="J470" s="1" t="s">
        <v>1434</v>
      </c>
      <c r="K470" s="1" t="n">
        <v>368.62</v>
      </c>
      <c r="M470" s="125" t="n">
        <f aca="false">Nominal_Activity[[#This Row],[Debit]]-Nominal_Activity[[#This Row],[Credit]]</f>
        <v>368.62</v>
      </c>
      <c r="N470" s="1" t="str">
        <f aca="false">IF(C470="","",IFERROR(VLOOKUP(C470,Master_Mappings!$A$4:$E$85,3,FALSE()),"UNMAPPED"))</f>
        <v>Business development and Comms</v>
      </c>
      <c r="P470" s="1" t="str">
        <f aca="false">IF($C470="","",$C470&amp;"|"&amp;$E470&amp;"|"&amp;$M470&amp;"|"&amp;TEXT($G470,"yyyy-mm-dd")&amp;"|"&amp;LEFT($J470,40))</f>
        <v>7410|42830|368.62|2026-03-03|Dinner 2</v>
      </c>
      <c r="Q470" s="11" t="str">
        <f aca="false">IF(P470="","",IF(COUNTIF($P$2:$P$3000,P470)&gt;1,"DUPLICATE","OK"))</f>
        <v>OK</v>
      </c>
      <c r="R470" s="0" t="str">
        <f aca="false">IF($C470="","",IFERROR(VLOOKUP(--$C470,MM_Income!$Z$5:$AC$204,3,FALSE()),""))</f>
        <v/>
      </c>
    </row>
    <row r="471" customFormat="false" ht="14.9" hidden="false" customHeight="false" outlineLevel="0" collapsed="false">
      <c r="A471" s="1" t="s">
        <v>49</v>
      </c>
      <c r="B471" s="1" t="s">
        <v>85</v>
      </c>
      <c r="C471" s="1" t="n">
        <v>7410</v>
      </c>
      <c r="D471" s="1" t="s">
        <v>721</v>
      </c>
      <c r="E471" s="1" t="n">
        <v>42831</v>
      </c>
      <c r="F471" s="1" t="s">
        <v>869</v>
      </c>
      <c r="G471" s="140" t="n">
        <v>46084</v>
      </c>
      <c r="H471" s="1" t="n">
        <v>1260</v>
      </c>
      <c r="I471" s="1" t="s">
        <v>1433</v>
      </c>
      <c r="J471" s="1" t="s">
        <v>1435</v>
      </c>
      <c r="K471" s="1" t="n">
        <v>203.48</v>
      </c>
      <c r="M471" s="125" t="n">
        <f aca="false">Nominal_Activity[[#This Row],[Debit]]-Nominal_Activity[[#This Row],[Credit]]</f>
        <v>203.48</v>
      </c>
      <c r="N471" s="1" t="str">
        <f aca="false">IF(C471="","",IFERROR(VLOOKUP(C471,Master_Mappings!$A$4:$E$85,3,FALSE()),"UNMAPPED"))</f>
        <v>Business development and Comms</v>
      </c>
      <c r="P471" s="1" t="str">
        <f aca="false">IF($C471="","",$C471&amp;"|"&amp;$E471&amp;"|"&amp;$M471&amp;"|"&amp;TEXT($G471,"yyyy-mm-dd")&amp;"|"&amp;LEFT($J471,40))</f>
        <v>7410|42831|203.48|2026-03-03|Dinner 1</v>
      </c>
      <c r="Q471" s="11" t="str">
        <f aca="false">IF(P471="","",IF(COUNTIF($P$2:$P$3000,P471)&gt;1,"DUPLICATE","OK"))</f>
        <v>OK</v>
      </c>
      <c r="R471" s="0" t="str">
        <f aca="false">IF($C471="","",IFERROR(VLOOKUP(--$C471,MM_Income!$Z$5:$AC$204,3,FALSE()),""))</f>
        <v/>
      </c>
    </row>
    <row r="472" customFormat="false" ht="14.9" hidden="false" customHeight="false" outlineLevel="0" collapsed="false">
      <c r="A472" s="1" t="s">
        <v>49</v>
      </c>
      <c r="B472" s="1" t="s">
        <v>85</v>
      </c>
      <c r="C472" s="1" t="n">
        <v>7410</v>
      </c>
      <c r="D472" s="1" t="s">
        <v>721</v>
      </c>
      <c r="E472" s="1" t="n">
        <v>42832</v>
      </c>
      <c r="F472" s="1" t="s">
        <v>869</v>
      </c>
      <c r="G472" s="140" t="n">
        <v>46084</v>
      </c>
      <c r="H472" s="1" t="n">
        <v>1260</v>
      </c>
      <c r="I472" s="1" t="s">
        <v>1433</v>
      </c>
      <c r="J472" s="1" t="s">
        <v>877</v>
      </c>
      <c r="K472" s="1" t="n">
        <v>419.49</v>
      </c>
      <c r="M472" s="125" t="n">
        <f aca="false">Nominal_Activity[[#This Row],[Debit]]-Nominal_Activity[[#This Row],[Credit]]</f>
        <v>419.49</v>
      </c>
      <c r="N472" s="1" t="str">
        <f aca="false">IF(C472="","",IFERROR(VLOOKUP(C472,Master_Mappings!$A$4:$E$85,3,FALSE()),"UNMAPPED"))</f>
        <v>Business development and Comms</v>
      </c>
      <c r="P472" s="1" t="str">
        <f aca="false">IF($C472="","",$C472&amp;"|"&amp;$E472&amp;"|"&amp;$M472&amp;"|"&amp;TEXT($G472,"yyyy-mm-dd")&amp;"|"&amp;LEFT($J472,40))</f>
        <v>7410|42832|419.49|2026-03-03|Groceries</v>
      </c>
      <c r="Q472" s="11" t="str">
        <f aca="false">IF(P472="","",IF(COUNTIF($P$2:$P$3000,P472)&gt;1,"DUPLICATE","OK"))</f>
        <v>OK</v>
      </c>
      <c r="R472" s="0" t="str">
        <f aca="false">IF($C472="","",IFERROR(VLOOKUP(--$C472,MM_Income!$Z$5:$AC$204,3,FALSE()),""))</f>
        <v/>
      </c>
    </row>
    <row r="473" customFormat="false" ht="14.9" hidden="false" customHeight="false" outlineLevel="0" collapsed="false">
      <c r="A473" s="1" t="s">
        <v>49</v>
      </c>
      <c r="B473" s="1" t="s">
        <v>85</v>
      </c>
      <c r="C473" s="1" t="n">
        <v>7410</v>
      </c>
      <c r="D473" s="1" t="s">
        <v>721</v>
      </c>
      <c r="E473" s="1" t="n">
        <v>42833</v>
      </c>
      <c r="F473" s="1" t="s">
        <v>869</v>
      </c>
      <c r="G473" s="140" t="n">
        <v>46084</v>
      </c>
      <c r="H473" s="1" t="n">
        <v>1260</v>
      </c>
      <c r="I473" s="1" t="s">
        <v>1433</v>
      </c>
      <c r="J473" s="1" t="s">
        <v>1436</v>
      </c>
      <c r="K473" s="1" t="n">
        <v>30.55</v>
      </c>
      <c r="M473" s="125" t="n">
        <f aca="false">Nominal_Activity[[#This Row],[Debit]]-Nominal_Activity[[#This Row],[Credit]]</f>
        <v>30.55</v>
      </c>
      <c r="N473" s="1" t="str">
        <f aca="false">IF(C473="","",IFERROR(VLOOKUP(C473,Master_Mappings!$A$4:$E$85,3,FALSE()),"UNMAPPED"))</f>
        <v>Business development and Comms</v>
      </c>
      <c r="P473" s="1" t="str">
        <f aca="false">IF($C473="","",$C473&amp;"|"&amp;$E473&amp;"|"&amp;$M473&amp;"|"&amp;TEXT($G473,"yyyy-mm-dd")&amp;"|"&amp;LEFT($J473,40))</f>
        <v>7410|42833|30.55|2026-03-03|Snack</v>
      </c>
      <c r="Q473" s="11" t="str">
        <f aca="false">IF(P473="","",IF(COUNTIF($P$2:$P$3000,P473)&gt;1,"DUPLICATE","OK"))</f>
        <v>OK</v>
      </c>
      <c r="R473" s="0" t="str">
        <f aca="false">IF($C473="","",IFERROR(VLOOKUP(--$C473,MM_Income!$Z$5:$AC$204,3,FALSE()),""))</f>
        <v/>
      </c>
    </row>
    <row r="474" customFormat="false" ht="14.9" hidden="false" customHeight="false" outlineLevel="0" collapsed="false">
      <c r="A474" s="1" t="s">
        <v>49</v>
      </c>
      <c r="B474" s="1" t="s">
        <v>85</v>
      </c>
      <c r="C474" s="1" t="n">
        <v>7410</v>
      </c>
      <c r="D474" s="1" t="s">
        <v>721</v>
      </c>
      <c r="E474" s="1" t="n">
        <v>42834</v>
      </c>
      <c r="F474" s="1" t="s">
        <v>869</v>
      </c>
      <c r="G474" s="140" t="n">
        <v>46084</v>
      </c>
      <c r="H474" s="1" t="n">
        <v>1260</v>
      </c>
      <c r="I474" s="1" t="s">
        <v>1433</v>
      </c>
      <c r="J474" s="1" t="s">
        <v>1437</v>
      </c>
      <c r="K474" s="1" t="n">
        <v>581.48</v>
      </c>
      <c r="M474" s="125" t="n">
        <f aca="false">Nominal_Activity[[#This Row],[Debit]]-Nominal_Activity[[#This Row],[Credit]]</f>
        <v>581.48</v>
      </c>
      <c r="N474" s="1" t="str">
        <f aca="false">IF(C474="","",IFERROR(VLOOKUP(C474,Master_Mappings!$A$4:$E$85,3,FALSE()),"UNMAPPED"))</f>
        <v>Business development and Comms</v>
      </c>
      <c r="P474" s="1" t="str">
        <f aca="false">IF($C474="","",$C474&amp;"|"&amp;$E474&amp;"|"&amp;$M474&amp;"|"&amp;TEXT($G474,"yyyy-mm-dd")&amp;"|"&amp;LEFT($J474,40))</f>
        <v>7410|42834|581.48|2026-03-03|Immigration (Visa on Arrival)</v>
      </c>
      <c r="Q474" s="11" t="str">
        <f aca="false">IF(P474="","",IF(COUNTIF($P$2:$P$3000,P474)&gt;1,"DUPLICATE","OK"))</f>
        <v>OK</v>
      </c>
      <c r="R474" s="0" t="str">
        <f aca="false">IF($C474="","",IFERROR(VLOOKUP(--$C474,MM_Income!$Z$5:$AC$204,3,FALSE()),""))</f>
        <v/>
      </c>
    </row>
    <row r="475" customFormat="false" ht="14.9" hidden="false" customHeight="false" outlineLevel="0" collapsed="false">
      <c r="A475" s="1" t="s">
        <v>49</v>
      </c>
      <c r="B475" s="1" t="s">
        <v>85</v>
      </c>
      <c r="C475" s="1" t="n">
        <v>7410</v>
      </c>
      <c r="D475" s="1" t="s">
        <v>721</v>
      </c>
      <c r="E475" s="1" t="n">
        <v>42835</v>
      </c>
      <c r="F475" s="1" t="s">
        <v>869</v>
      </c>
      <c r="G475" s="140" t="n">
        <v>46083</v>
      </c>
      <c r="H475" s="1" t="n">
        <v>1260</v>
      </c>
      <c r="I475" s="1" t="s">
        <v>1433</v>
      </c>
      <c r="J475" s="1" t="s">
        <v>1438</v>
      </c>
      <c r="K475" s="1" t="n">
        <v>20</v>
      </c>
      <c r="M475" s="125" t="n">
        <f aca="false">Nominal_Activity[[#This Row],[Debit]]-Nominal_Activity[[#This Row],[Credit]]</f>
        <v>20</v>
      </c>
      <c r="N475" s="1" t="str">
        <f aca="false">IF(C475="","",IFERROR(VLOOKUP(C475,Master_Mappings!$A$4:$E$85,3,FALSE()),"UNMAPPED"))</f>
        <v>Business development and Comms</v>
      </c>
      <c r="P475" s="1" t="str">
        <f aca="false">IF($C475="","",$C475&amp;"|"&amp;$E475&amp;"|"&amp;$M475&amp;"|"&amp;TEXT($G475,"yyyy-mm-dd")&amp;"|"&amp;LEFT($J475,40))</f>
        <v>7410|42835|20|2026-03-02|Kotoka toll</v>
      </c>
      <c r="Q475" s="11" t="str">
        <f aca="false">IF(P475="","",IF(COUNTIF($P$2:$P$3000,P475)&gt;1,"DUPLICATE","OK"))</f>
        <v>OK</v>
      </c>
      <c r="R475" s="0" t="str">
        <f aca="false">IF($C475="","",IFERROR(VLOOKUP(--$C475,MM_Income!$Z$5:$AC$204,3,FALSE()),""))</f>
        <v/>
      </c>
    </row>
    <row r="476" customFormat="false" ht="14.9" hidden="false" customHeight="false" outlineLevel="0" collapsed="false">
      <c r="A476" s="1" t="s">
        <v>49</v>
      </c>
      <c r="B476" s="1" t="s">
        <v>85</v>
      </c>
      <c r="C476" s="1" t="n">
        <v>7410</v>
      </c>
      <c r="D476" s="1" t="s">
        <v>721</v>
      </c>
      <c r="E476" s="1" t="n">
        <v>42836</v>
      </c>
      <c r="F476" s="1" t="s">
        <v>869</v>
      </c>
      <c r="G476" s="140" t="n">
        <v>46083</v>
      </c>
      <c r="H476" s="1" t="n">
        <v>1260</v>
      </c>
      <c r="I476" s="1" t="s">
        <v>1433</v>
      </c>
      <c r="J476" s="1" t="s">
        <v>1439</v>
      </c>
      <c r="K476" s="1" t="n">
        <v>94</v>
      </c>
      <c r="M476" s="125" t="n">
        <f aca="false">Nominal_Activity[[#This Row],[Debit]]-Nominal_Activity[[#This Row],[Credit]]</f>
        <v>94</v>
      </c>
      <c r="N476" s="1" t="str">
        <f aca="false">IF(C476="","",IFERROR(VLOOKUP(C476,Master_Mappings!$A$4:$E$85,3,FALSE()),"UNMAPPED"))</f>
        <v>Business development and Comms</v>
      </c>
      <c r="P476" s="1" t="str">
        <f aca="false">IF($C476="","",$C476&amp;"|"&amp;$E476&amp;"|"&amp;$M476&amp;"|"&amp;TEXT($G476,"yyyy-mm-dd")&amp;"|"&amp;LEFT($J476,40))</f>
        <v>7410|42836|94|2026-03-02|Taxi- Airport to Adenta</v>
      </c>
      <c r="Q476" s="11" t="str">
        <f aca="false">IF(P476="","",IF(COUNTIF($P$2:$P$3000,P476)&gt;1,"DUPLICATE","OK"))</f>
        <v>OK</v>
      </c>
      <c r="R476" s="0" t="str">
        <f aca="false">IF($C476="","",IFERROR(VLOOKUP(--$C476,MM_Income!$Z$5:$AC$204,3,FALSE()),""))</f>
        <v/>
      </c>
    </row>
    <row r="477" customFormat="false" ht="14.9" hidden="false" customHeight="false" outlineLevel="0" collapsed="false">
      <c r="A477" s="1" t="s">
        <v>49</v>
      </c>
      <c r="B477" s="1" t="s">
        <v>85</v>
      </c>
      <c r="C477" s="1" t="n">
        <v>7410</v>
      </c>
      <c r="D477" s="1" t="s">
        <v>721</v>
      </c>
      <c r="E477" s="1" t="n">
        <v>42837</v>
      </c>
      <c r="F477" s="1" t="s">
        <v>869</v>
      </c>
      <c r="G477" s="140" t="n">
        <v>46083</v>
      </c>
      <c r="H477" s="1" t="n">
        <v>1260</v>
      </c>
      <c r="I477" s="1" t="s">
        <v>1433</v>
      </c>
      <c r="J477" s="1" t="s">
        <v>1440</v>
      </c>
      <c r="K477" s="1" t="n">
        <v>115</v>
      </c>
      <c r="M477" s="125" t="n">
        <f aca="false">Nominal_Activity[[#This Row],[Debit]]-Nominal_Activity[[#This Row],[Credit]]</f>
        <v>115</v>
      </c>
      <c r="N477" s="1" t="str">
        <f aca="false">IF(C477="","",IFERROR(VLOOKUP(C477,Master_Mappings!$A$4:$E$85,3,FALSE()),"UNMAPPED"))</f>
        <v>Business development and Comms</v>
      </c>
      <c r="P477" s="1" t="str">
        <f aca="false">IF($C477="","",$C477&amp;"|"&amp;$E477&amp;"|"&amp;$M477&amp;"|"&amp;TEXT($G477,"yyyy-mm-dd")&amp;"|"&amp;LEFT($J477,40))</f>
        <v>7410|42837|115|2026-03-02|Taxi from Adenta to Airport</v>
      </c>
      <c r="Q477" s="11" t="str">
        <f aca="false">IF(P477="","",IF(COUNTIF($P$2:$P$3000,P477)&gt;1,"DUPLICATE","OK"))</f>
        <v>OK</v>
      </c>
      <c r="R477" s="0" t="str">
        <f aca="false">IF($C477="","",IFERROR(VLOOKUP(--$C477,MM_Income!$Z$5:$AC$204,3,FALSE()),""))</f>
        <v/>
      </c>
    </row>
    <row r="478" customFormat="false" ht="14.9" hidden="false" customHeight="false" outlineLevel="0" collapsed="false">
      <c r="A478" s="1" t="s">
        <v>49</v>
      </c>
      <c r="B478" s="1" t="s">
        <v>85</v>
      </c>
      <c r="C478" s="1" t="n">
        <v>7410</v>
      </c>
      <c r="D478" s="1" t="s">
        <v>721</v>
      </c>
      <c r="E478" s="1" t="n">
        <v>43084</v>
      </c>
      <c r="F478" s="1" t="s">
        <v>847</v>
      </c>
      <c r="G478" s="140" t="n">
        <v>46112</v>
      </c>
      <c r="H478" s="1" t="s">
        <v>1138</v>
      </c>
      <c r="I478" s="1" t="s">
        <v>1441</v>
      </c>
      <c r="J478" s="1" t="s">
        <v>1442</v>
      </c>
      <c r="K478" s="1" t="n">
        <v>11465.53</v>
      </c>
      <c r="M478" s="125" t="n">
        <f aca="false">Nominal_Activity[[#This Row],[Debit]]-Nominal_Activity[[#This Row],[Credit]]</f>
        <v>11465.53</v>
      </c>
      <c r="N478" s="1" t="str">
        <f aca="false">IF(C478="","",IFERROR(VLOOKUP(C478,Master_Mappings!$A$4:$E$85,3,FALSE()),"UNMAPPED"))</f>
        <v>Business development and Comms</v>
      </c>
      <c r="P478" s="1" t="str">
        <f aca="false">IF($C478="","",$C478&amp;"|"&amp;$E478&amp;"|"&amp;$M478&amp;"|"&amp;TEXT($G478,"yyyy-mm-dd")&amp;"|"&amp;LEFT($J478,40))</f>
        <v>7410|43084|11465.53|2026-03-31|Abe Flight to Ethiopia</v>
      </c>
      <c r="Q478" s="11" t="str">
        <f aca="false">IF(P478="","",IF(COUNTIF($P$2:$P$3000,P478)&gt;1,"DUPLICATE","OK"))</f>
        <v>OK</v>
      </c>
      <c r="R478" s="0" t="str">
        <f aca="false">IF($C478="","",IFERROR(VLOOKUP(--$C478,MM_Income!$Z$5:$AC$204,3,FALSE()),""))</f>
        <v/>
      </c>
    </row>
    <row r="479" customFormat="false" ht="14.9" hidden="false" customHeight="false" outlineLevel="0" collapsed="false">
      <c r="A479" s="1" t="s">
        <v>49</v>
      </c>
      <c r="B479" s="1" t="s">
        <v>85</v>
      </c>
      <c r="C479" s="1" t="n">
        <v>7410</v>
      </c>
      <c r="D479" s="1" t="s">
        <v>721</v>
      </c>
      <c r="E479" s="1" t="n">
        <v>43085</v>
      </c>
      <c r="F479" s="1" t="s">
        <v>847</v>
      </c>
      <c r="G479" s="140" t="n">
        <v>46112</v>
      </c>
      <c r="H479" s="1" t="s">
        <v>1138</v>
      </c>
      <c r="I479" s="1" t="s">
        <v>1441</v>
      </c>
      <c r="J479" s="1" t="s">
        <v>1443</v>
      </c>
      <c r="K479" s="1" t="n">
        <v>17122.53</v>
      </c>
      <c r="M479" s="125" t="n">
        <f aca="false">Nominal_Activity[[#This Row],[Debit]]-Nominal_Activity[[#This Row],[Credit]]</f>
        <v>17122.53</v>
      </c>
      <c r="N479" s="1" t="str">
        <f aca="false">IF(C479="","",IFERROR(VLOOKUP(C479,Master_Mappings!$A$4:$E$85,3,FALSE()),"UNMAPPED"))</f>
        <v>Business development and Comms</v>
      </c>
      <c r="P479" s="1" t="str">
        <f aca="false">IF($C479="","",$C479&amp;"|"&amp;$E479&amp;"|"&amp;$M479&amp;"|"&amp;TEXT($G479,"yyyy-mm-dd")&amp;"|"&amp;LEFT($J479,40))</f>
        <v>7410|43085|17122.53|2026-03-31|Abe Flight to Ghana</v>
      </c>
      <c r="Q479" s="11" t="str">
        <f aca="false">IF(P479="","",IF(COUNTIF($P$2:$P$3000,P479)&gt;1,"DUPLICATE","OK"))</f>
        <v>OK</v>
      </c>
      <c r="R479" s="0" t="str">
        <f aca="false">IF($C479="","",IFERROR(VLOOKUP(--$C479,MM_Income!$Z$5:$AC$204,3,FALSE()),""))</f>
        <v/>
      </c>
    </row>
    <row r="480" customFormat="false" ht="14.9" hidden="false" customHeight="false" outlineLevel="0" collapsed="false">
      <c r="A480" s="1" t="s">
        <v>49</v>
      </c>
      <c r="B480" s="1" t="s">
        <v>85</v>
      </c>
      <c r="C480" s="1" t="n">
        <v>7410</v>
      </c>
      <c r="D480" s="1" t="s">
        <v>721</v>
      </c>
      <c r="E480" s="1" t="n">
        <v>43086</v>
      </c>
      <c r="F480" s="1" t="s">
        <v>847</v>
      </c>
      <c r="G480" s="140" t="n">
        <v>46112</v>
      </c>
      <c r="H480" s="1" t="s">
        <v>1138</v>
      </c>
      <c r="I480" s="1" t="s">
        <v>1441</v>
      </c>
      <c r="J480" s="1" t="s">
        <v>1444</v>
      </c>
      <c r="K480" s="1" t="n">
        <v>5783.11</v>
      </c>
      <c r="M480" s="125" t="n">
        <f aca="false">Nominal_Activity[[#This Row],[Debit]]-Nominal_Activity[[#This Row],[Credit]]</f>
        <v>5783.11</v>
      </c>
      <c r="N480" s="1" t="str">
        <f aca="false">IF(C480="","",IFERROR(VLOOKUP(C480,Master_Mappings!$A$4:$E$85,3,FALSE()),"UNMAPPED"))</f>
        <v>Business development and Comms</v>
      </c>
      <c r="P480" s="1" t="str">
        <f aca="false">IF($C480="","",$C480&amp;"|"&amp;$E480&amp;"|"&amp;$M480&amp;"|"&amp;TEXT($G480,"yyyy-mm-dd")&amp;"|"&amp;LEFT($J480,40))</f>
        <v>7410|43086|5783.11|2026-03-31|Abe Accommodation at Addis Ababa, Ethiop</v>
      </c>
      <c r="Q480" s="11" t="str">
        <f aca="false">IF(P480="","",IF(COUNTIF($P$2:$P$3000,P480)&gt;1,"DUPLICATE","OK"))</f>
        <v>OK</v>
      </c>
      <c r="R480" s="0" t="str">
        <f aca="false">IF($C480="","",IFERROR(VLOOKUP(--$C480,MM_Income!$Z$5:$AC$204,3,FALSE()),""))</f>
        <v/>
      </c>
    </row>
    <row r="481" customFormat="false" ht="14.9" hidden="false" customHeight="false" outlineLevel="0" collapsed="false">
      <c r="A481" s="1" t="s">
        <v>49</v>
      </c>
      <c r="B481" s="1" t="s">
        <v>89</v>
      </c>
      <c r="C481" s="1" t="n">
        <v>7410</v>
      </c>
      <c r="D481" s="1" t="s">
        <v>721</v>
      </c>
      <c r="E481" s="1" t="n">
        <v>43669</v>
      </c>
      <c r="F481" s="1" t="s">
        <v>869</v>
      </c>
      <c r="G481" s="140" t="n">
        <v>46113</v>
      </c>
      <c r="H481" s="1" t="n">
        <v>1260</v>
      </c>
      <c r="I481" s="1" t="s">
        <v>993</v>
      </c>
      <c r="J481" s="1" t="s">
        <v>1445</v>
      </c>
      <c r="K481" s="1" t="n">
        <v>468.26</v>
      </c>
      <c r="M481" s="125" t="n">
        <f aca="false">Nominal_Activity[[#This Row],[Debit]]-Nominal_Activity[[#This Row],[Credit]]</f>
        <v>468.26</v>
      </c>
      <c r="N481" s="1" t="str">
        <f aca="false">IF(C481="","",IFERROR(VLOOKUP(C481,Master_Mappings!$A$4:$E$85,3,FALSE()),"UNMAPPED"))</f>
        <v>Business development and Comms</v>
      </c>
      <c r="P481" s="1" t="str">
        <f aca="false">IF($C481="","",$C481&amp;"|"&amp;$E481&amp;"|"&amp;$M481&amp;"|"&amp;TEXT($G481,"yyyy-mm-dd")&amp;"|"&amp;LEFT($J481,40))</f>
        <v>7410|43669|468.26|2026-04-01|Taxi from Boston airport to Charles Hote</v>
      </c>
      <c r="Q481" s="11" t="str">
        <f aca="false">IF(P481="","",IF(COUNTIF($P$2:$P$3000,P481)&gt;1,"DUPLICATE","OK"))</f>
        <v>OK</v>
      </c>
      <c r="R481" s="0" t="str">
        <f aca="false">IF($C481="","",IFERROR(VLOOKUP(--$C481,MM_Income!$Z$5:$AC$204,3,FALSE()),""))</f>
        <v/>
      </c>
    </row>
    <row r="482" customFormat="false" ht="14.9" hidden="false" customHeight="false" outlineLevel="0" collapsed="false">
      <c r="A482" s="1" t="s">
        <v>49</v>
      </c>
      <c r="B482" s="1" t="s">
        <v>89</v>
      </c>
      <c r="C482" s="1" t="n">
        <v>7410</v>
      </c>
      <c r="D482" s="1" t="s">
        <v>721</v>
      </c>
      <c r="E482" s="1" t="n">
        <v>43670</v>
      </c>
      <c r="F482" s="1" t="s">
        <v>869</v>
      </c>
      <c r="G482" s="140" t="n">
        <v>46113</v>
      </c>
      <c r="H482" s="1" t="n">
        <v>1260</v>
      </c>
      <c r="I482" s="1" t="s">
        <v>993</v>
      </c>
      <c r="J482" s="1" t="s">
        <v>1446</v>
      </c>
      <c r="K482" s="1" t="n">
        <v>504.27</v>
      </c>
      <c r="M482" s="125" t="n">
        <f aca="false">Nominal_Activity[[#This Row],[Debit]]-Nominal_Activity[[#This Row],[Credit]]</f>
        <v>504.27</v>
      </c>
      <c r="N482" s="1" t="str">
        <f aca="false">IF(C482="","",IFERROR(VLOOKUP(C482,Master_Mappings!$A$4:$E$85,3,FALSE()),"UNMAPPED"))</f>
        <v>Business development and Comms</v>
      </c>
      <c r="P482" s="1" t="str">
        <f aca="false">IF($C482="","",$C482&amp;"|"&amp;$E482&amp;"|"&amp;$M482&amp;"|"&amp;TEXT($G482,"yyyy-mm-dd")&amp;"|"&amp;LEFT($J482,40))</f>
        <v>7410|43670|504.27|2026-04-01|Return Bus fare from Oxford-Heathrow-Oxf</v>
      </c>
      <c r="Q482" s="11" t="str">
        <f aca="false">IF(P482="","",IF(COUNTIF($P$2:$P$3000,P482)&gt;1,"DUPLICATE","OK"))</f>
        <v>OK</v>
      </c>
      <c r="R482" s="0" t="str">
        <f aca="false">IF($C482="","",IFERROR(VLOOKUP(--$C482,MM_Income!$Z$5:$AC$204,3,FALSE()),""))</f>
        <v/>
      </c>
    </row>
    <row r="483" customFormat="false" ht="14.9" hidden="false" customHeight="false" outlineLevel="0" collapsed="false">
      <c r="A483" s="1" t="s">
        <v>49</v>
      </c>
      <c r="B483" s="1" t="s">
        <v>89</v>
      </c>
      <c r="C483" s="1" t="n">
        <v>7410</v>
      </c>
      <c r="D483" s="1" t="s">
        <v>721</v>
      </c>
      <c r="E483" s="1" t="n">
        <v>43673</v>
      </c>
      <c r="F483" s="1" t="s">
        <v>869</v>
      </c>
      <c r="G483" s="140" t="n">
        <v>46113</v>
      </c>
      <c r="H483" s="1" t="n">
        <v>1260</v>
      </c>
      <c r="I483" s="1" t="s">
        <v>993</v>
      </c>
      <c r="J483" s="1" t="s">
        <v>1447</v>
      </c>
      <c r="K483" s="1" t="n">
        <v>275.07</v>
      </c>
      <c r="M483" s="125" t="n">
        <f aca="false">Nominal_Activity[[#This Row],[Debit]]-Nominal_Activity[[#This Row],[Credit]]</f>
        <v>275.07</v>
      </c>
      <c r="N483" s="1" t="str">
        <f aca="false">IF(C483="","",IFERROR(VLOOKUP(C483,Master_Mappings!$A$4:$E$85,3,FALSE()),"UNMAPPED"))</f>
        <v>Business development and Comms</v>
      </c>
      <c r="P483" s="1" t="str">
        <f aca="false">IF($C483="","",$C483&amp;"|"&amp;$E483&amp;"|"&amp;$M483&amp;"|"&amp;TEXT($G483,"yyyy-mm-dd")&amp;"|"&amp;LEFT($J483,40))</f>
        <v>7410|43673|275.07|2026-04-01|Lunch on 21st March</v>
      </c>
      <c r="Q483" s="11" t="str">
        <f aca="false">IF(P483="","",IF(COUNTIF($P$2:$P$3000,P483)&gt;1,"DUPLICATE","OK"))</f>
        <v>OK</v>
      </c>
      <c r="R483" s="0" t="str">
        <f aca="false">IF($C483="","",IFERROR(VLOOKUP(--$C483,MM_Income!$Z$5:$AC$204,3,FALSE()),""))</f>
        <v/>
      </c>
    </row>
    <row r="484" customFormat="false" ht="14.9" hidden="false" customHeight="false" outlineLevel="0" collapsed="false">
      <c r="A484" s="1" t="s">
        <v>49</v>
      </c>
      <c r="B484" s="1" t="s">
        <v>89</v>
      </c>
      <c r="C484" s="1" t="n">
        <v>7410</v>
      </c>
      <c r="D484" s="1" t="s">
        <v>721</v>
      </c>
      <c r="E484" s="1" t="n">
        <v>43674</v>
      </c>
      <c r="F484" s="1" t="s">
        <v>869</v>
      </c>
      <c r="G484" s="140" t="n">
        <v>46113</v>
      </c>
      <c r="H484" s="1" t="n">
        <v>1260</v>
      </c>
      <c r="I484" s="1" t="s">
        <v>993</v>
      </c>
      <c r="J484" s="1" t="s">
        <v>1448</v>
      </c>
      <c r="K484" s="1" t="n">
        <v>236.19</v>
      </c>
      <c r="M484" s="125" t="n">
        <f aca="false">Nominal_Activity[[#This Row],[Debit]]-Nominal_Activity[[#This Row],[Credit]]</f>
        <v>236.19</v>
      </c>
      <c r="N484" s="1" t="str">
        <f aca="false">IF(C484="","",IFERROR(VLOOKUP(C484,Master_Mappings!$A$4:$E$85,3,FALSE()),"UNMAPPED"))</f>
        <v>Business development and Comms</v>
      </c>
      <c r="P484" s="1" t="str">
        <f aca="false">IF($C484="","",$C484&amp;"|"&amp;$E484&amp;"|"&amp;$M484&amp;"|"&amp;TEXT($G484,"yyyy-mm-dd")&amp;"|"&amp;LEFT($J484,40))</f>
        <v>7410|43674|236.19|2026-04-01|Dinner in Harvard</v>
      </c>
      <c r="Q484" s="11" t="str">
        <f aca="false">IF(P484="","",IF(COUNTIF($P$2:$P$3000,P484)&gt;1,"DUPLICATE","OK"))</f>
        <v>OK</v>
      </c>
      <c r="R484" s="0" t="str">
        <f aca="false">IF($C484="","",IFERROR(VLOOKUP(--$C484,MM_Income!$Z$5:$AC$204,3,FALSE()),""))</f>
        <v/>
      </c>
    </row>
    <row r="485" customFormat="false" ht="14.9" hidden="false" customHeight="false" outlineLevel="0" collapsed="false">
      <c r="A485" s="1" t="s">
        <v>49</v>
      </c>
      <c r="B485" s="1" t="s">
        <v>89</v>
      </c>
      <c r="C485" s="1" t="n">
        <v>7410</v>
      </c>
      <c r="D485" s="1" t="s">
        <v>721</v>
      </c>
      <c r="E485" s="1" t="n">
        <v>43675</v>
      </c>
      <c r="F485" s="1" t="s">
        <v>869</v>
      </c>
      <c r="G485" s="140" t="n">
        <v>46157</v>
      </c>
      <c r="H485" s="1" t="n">
        <v>1260</v>
      </c>
      <c r="I485" s="1" t="s">
        <v>996</v>
      </c>
      <c r="J485" s="1" t="s">
        <v>1449</v>
      </c>
      <c r="K485" s="1" t="n">
        <v>65</v>
      </c>
      <c r="M485" s="125" t="n">
        <f aca="false">Nominal_Activity[[#This Row],[Debit]]-Nominal_Activity[[#This Row],[Credit]]</f>
        <v>65</v>
      </c>
      <c r="N485" s="1" t="str">
        <f aca="false">IF(C485="","",IFERROR(VLOOKUP(C485,Master_Mappings!$A$4:$E$85,3,FALSE()),"UNMAPPED"))</f>
        <v>Business development and Comms</v>
      </c>
      <c r="P485" s="1" t="str">
        <f aca="false">IF($C485="","",$C485&amp;"|"&amp;$E485&amp;"|"&amp;$M485&amp;"|"&amp;TEXT($G485,"yyyy-mm-dd")&amp;"|"&amp;LEFT($J485,40))</f>
        <v>7410|43675|65|2026-05-15|Taxi from office to home after trip to N</v>
      </c>
      <c r="Q485" s="11" t="str">
        <f aca="false">IF(P485="","",IF(COUNTIF($P$2:$P$3000,P485)&gt;1,"DUPLICATE","OK"))</f>
        <v>OK</v>
      </c>
      <c r="R485" s="0" t="str">
        <f aca="false">IF($C485="","",IFERROR(VLOOKUP(--$C485,MM_Income!$Z$5:$AC$204,3,FALSE()),""))</f>
        <v/>
      </c>
    </row>
    <row r="486" customFormat="false" ht="14.9" hidden="false" customHeight="false" outlineLevel="0" collapsed="false">
      <c r="A486" s="1" t="s">
        <v>49</v>
      </c>
      <c r="B486" s="1" t="s">
        <v>89</v>
      </c>
      <c r="C486" s="1" t="n">
        <v>7410</v>
      </c>
      <c r="D486" s="1" t="s">
        <v>721</v>
      </c>
      <c r="E486" s="1" t="n">
        <v>43676</v>
      </c>
      <c r="F486" s="1" t="s">
        <v>869</v>
      </c>
      <c r="G486" s="140" t="n">
        <v>46157</v>
      </c>
      <c r="H486" s="1" t="n">
        <v>1260</v>
      </c>
      <c r="I486" s="1" t="s">
        <v>996</v>
      </c>
      <c r="J486" s="1" t="s">
        <v>1450</v>
      </c>
      <c r="K486" s="1" t="n">
        <v>51</v>
      </c>
      <c r="M486" s="125" t="n">
        <f aca="false">Nominal_Activity[[#This Row],[Debit]]-Nominal_Activity[[#This Row],[Credit]]</f>
        <v>51</v>
      </c>
      <c r="N486" s="1" t="str">
        <f aca="false">IF(C486="","",IFERROR(VLOOKUP(C486,Master_Mappings!$A$4:$E$85,3,FALSE()),"UNMAPPED"))</f>
        <v>Business development and Comms</v>
      </c>
      <c r="P486" s="1" t="str">
        <f aca="false">IF($C486="","",$C486&amp;"|"&amp;$E486&amp;"|"&amp;$M486&amp;"|"&amp;TEXT($G486,"yyyy-mm-dd")&amp;"|"&amp;LEFT($J486,40))</f>
        <v>7410|43676|51|2026-05-15|Taxi from Kotoka airport to the office</v>
      </c>
      <c r="Q486" s="11" t="str">
        <f aca="false">IF(P486="","",IF(COUNTIF($P$2:$P$3000,P486)&gt;1,"DUPLICATE","OK"))</f>
        <v>OK</v>
      </c>
      <c r="R486" s="0" t="str">
        <f aca="false">IF($C486="","",IFERROR(VLOOKUP(--$C486,MM_Income!$Z$5:$AC$204,3,FALSE()),""))</f>
        <v/>
      </c>
    </row>
    <row r="487" customFormat="false" ht="14.9" hidden="false" customHeight="false" outlineLevel="0" collapsed="false">
      <c r="A487" s="1" t="s">
        <v>49</v>
      </c>
      <c r="B487" s="1" t="s">
        <v>89</v>
      </c>
      <c r="C487" s="1" t="n">
        <v>7410</v>
      </c>
      <c r="D487" s="1" t="s">
        <v>721</v>
      </c>
      <c r="E487" s="1" t="n">
        <v>43677</v>
      </c>
      <c r="F487" s="1" t="s">
        <v>869</v>
      </c>
      <c r="G487" s="140" t="n">
        <v>46157</v>
      </c>
      <c r="H487" s="1" t="n">
        <v>1260</v>
      </c>
      <c r="I487" s="1" t="s">
        <v>996</v>
      </c>
      <c r="J487" s="1" t="s">
        <v>1451</v>
      </c>
      <c r="K487" s="1" t="n">
        <v>124.03</v>
      </c>
      <c r="M487" s="125" t="n">
        <f aca="false">Nominal_Activity[[#This Row],[Debit]]-Nominal_Activity[[#This Row],[Credit]]</f>
        <v>124.03</v>
      </c>
      <c r="N487" s="1" t="str">
        <f aca="false">IF(C487="","",IFERROR(VLOOKUP(C487,Master_Mappings!$A$4:$E$85,3,FALSE()),"UNMAPPED"))</f>
        <v>Business development and Comms</v>
      </c>
      <c r="P487" s="1" t="str">
        <f aca="false">IF($C487="","",$C487&amp;"|"&amp;$E487&amp;"|"&amp;$M487&amp;"|"&amp;TEXT($G487,"yyyy-mm-dd")&amp;"|"&amp;LEFT($J487,40))</f>
        <v>7410|43677|124.03|2026-05-15|Taxi from Dover hotel to Murtala airport</v>
      </c>
      <c r="Q487" s="11" t="str">
        <f aca="false">IF(P487="","",IF(COUNTIF($P$2:$P$3000,P487)&gt;1,"DUPLICATE","OK"))</f>
        <v>OK</v>
      </c>
      <c r="R487" s="0" t="str">
        <f aca="false">IF($C487="","",IFERROR(VLOOKUP(--$C487,MM_Income!$Z$5:$AC$204,3,FALSE()),""))</f>
        <v/>
      </c>
    </row>
    <row r="488" customFormat="false" ht="14.9" hidden="false" customHeight="false" outlineLevel="0" collapsed="false">
      <c r="A488" s="1" t="s">
        <v>49</v>
      </c>
      <c r="B488" s="1" t="s">
        <v>89</v>
      </c>
      <c r="C488" s="1" t="n">
        <v>7410</v>
      </c>
      <c r="D488" s="1" t="s">
        <v>721</v>
      </c>
      <c r="E488" s="1" t="n">
        <v>43678</v>
      </c>
      <c r="F488" s="1" t="s">
        <v>869</v>
      </c>
      <c r="G488" s="140" t="n">
        <v>46156</v>
      </c>
      <c r="H488" s="1" t="n">
        <v>1260</v>
      </c>
      <c r="I488" s="1" t="s">
        <v>996</v>
      </c>
      <c r="J488" s="1" t="s">
        <v>1452</v>
      </c>
      <c r="K488" s="1" t="n">
        <v>535.93</v>
      </c>
      <c r="M488" s="125" t="n">
        <f aca="false">Nominal_Activity[[#This Row],[Debit]]-Nominal_Activity[[#This Row],[Credit]]</f>
        <v>535.93</v>
      </c>
      <c r="N488" s="1" t="str">
        <f aca="false">IF(C488="","",IFERROR(VLOOKUP(C488,Master_Mappings!$A$4:$E$85,3,FALSE()),"UNMAPPED"))</f>
        <v>Business development and Comms</v>
      </c>
      <c r="P488" s="1" t="str">
        <f aca="false">IF($C488="","",$C488&amp;"|"&amp;$E488&amp;"|"&amp;$M488&amp;"|"&amp;TEXT($G488,"yyyy-mm-dd")&amp;"|"&amp;LEFT($J488,40))</f>
        <v>7410|43678|535.93|2026-05-14|One night accommodation at Dover Hotel</v>
      </c>
      <c r="Q488" s="11" t="str">
        <f aca="false">IF(P488="","",IF(COUNTIF($P$2:$P$3000,P488)&gt;1,"DUPLICATE","OK"))</f>
        <v>OK</v>
      </c>
      <c r="R488" s="0" t="str">
        <f aca="false">IF($C488="","",IFERROR(VLOOKUP(--$C488,MM_Income!$Z$5:$AC$204,3,FALSE()),""))</f>
        <v/>
      </c>
    </row>
    <row r="489" customFormat="false" ht="14.9" hidden="false" customHeight="false" outlineLevel="0" collapsed="false">
      <c r="A489" s="1" t="s">
        <v>49</v>
      </c>
      <c r="B489" s="1" t="s">
        <v>89</v>
      </c>
      <c r="C489" s="1" t="n">
        <v>7410</v>
      </c>
      <c r="D489" s="1" t="s">
        <v>721</v>
      </c>
      <c r="E489" s="1" t="n">
        <v>43679</v>
      </c>
      <c r="F489" s="1" t="s">
        <v>869</v>
      </c>
      <c r="G489" s="140" t="n">
        <v>46156</v>
      </c>
      <c r="H489" s="1" t="n">
        <v>1260</v>
      </c>
      <c r="I489" s="1" t="s">
        <v>996</v>
      </c>
      <c r="J489" s="1" t="s">
        <v>1453</v>
      </c>
      <c r="K489" s="1" t="n">
        <v>123.57</v>
      </c>
      <c r="M489" s="125" t="n">
        <f aca="false">Nominal_Activity[[#This Row],[Debit]]-Nominal_Activity[[#This Row],[Credit]]</f>
        <v>123.57</v>
      </c>
      <c r="N489" s="1" t="str">
        <f aca="false">IF(C489="","",IFERROR(VLOOKUP(C489,Master_Mappings!$A$4:$E$85,3,FALSE()),"UNMAPPED"))</f>
        <v>Business development and Comms</v>
      </c>
      <c r="P489" s="1" t="str">
        <f aca="false">IF($C489="","",$C489&amp;"|"&amp;$E489&amp;"|"&amp;$M489&amp;"|"&amp;TEXT($G489,"yyyy-mm-dd")&amp;"|"&amp;LEFT($J489,40))</f>
        <v>7410|43679|123.57|2026-05-14|Lunch at Dover Hotel</v>
      </c>
      <c r="Q489" s="11" t="str">
        <f aca="false">IF(P489="","",IF(COUNTIF($P$2:$P$3000,P489)&gt;1,"DUPLICATE","OK"))</f>
        <v>OK</v>
      </c>
      <c r="R489" s="0" t="str">
        <f aca="false">IF($C489="","",IFERROR(VLOOKUP(--$C489,MM_Income!$Z$5:$AC$204,3,FALSE()),""))</f>
        <v/>
      </c>
    </row>
    <row r="490" customFormat="false" ht="14.9" hidden="false" customHeight="false" outlineLevel="0" collapsed="false">
      <c r="A490" s="1" t="s">
        <v>49</v>
      </c>
      <c r="B490" s="1" t="s">
        <v>89</v>
      </c>
      <c r="C490" s="1" t="n">
        <v>7410</v>
      </c>
      <c r="D490" s="1" t="s">
        <v>721</v>
      </c>
      <c r="E490" s="1" t="n">
        <v>43680</v>
      </c>
      <c r="F490" s="1" t="s">
        <v>869</v>
      </c>
      <c r="G490" s="140" t="n">
        <v>46156</v>
      </c>
      <c r="H490" s="1" t="n">
        <v>1260</v>
      </c>
      <c r="I490" s="1" t="s">
        <v>996</v>
      </c>
      <c r="J490" s="1" t="s">
        <v>1454</v>
      </c>
      <c r="K490" s="1" t="n">
        <v>140.06</v>
      </c>
      <c r="M490" s="125" t="n">
        <f aca="false">Nominal_Activity[[#This Row],[Debit]]-Nominal_Activity[[#This Row],[Credit]]</f>
        <v>140.06</v>
      </c>
      <c r="N490" s="1" t="str">
        <f aca="false">IF(C490="","",IFERROR(VLOOKUP(C490,Master_Mappings!$A$4:$E$85,3,FALSE()),"UNMAPPED"))</f>
        <v>Business development and Comms</v>
      </c>
      <c r="P490" s="1" t="str">
        <f aca="false">IF($C490="","",$C490&amp;"|"&amp;$E490&amp;"|"&amp;$M490&amp;"|"&amp;TEXT($G490,"yyyy-mm-dd")&amp;"|"&amp;LEFT($J490,40))</f>
        <v>7410|43680|140.06|2026-05-14|Taxi from local airport to Dover Hotel</v>
      </c>
      <c r="Q490" s="11" t="str">
        <f aca="false">IF(P490="","",IF(COUNTIF($P$2:$P$3000,P490)&gt;1,"DUPLICATE","OK"))</f>
        <v>OK</v>
      </c>
      <c r="R490" s="0" t="str">
        <f aca="false">IF($C490="","",IFERROR(VLOOKUP(--$C490,MM_Income!$Z$5:$AC$204,3,FALSE()),""))</f>
        <v/>
      </c>
    </row>
    <row r="491" customFormat="false" ht="14.9" hidden="false" customHeight="false" outlineLevel="0" collapsed="false">
      <c r="A491" s="1" t="s">
        <v>49</v>
      </c>
      <c r="B491" s="1" t="s">
        <v>89</v>
      </c>
      <c r="C491" s="1" t="n">
        <v>7410</v>
      </c>
      <c r="D491" s="1" t="s">
        <v>721</v>
      </c>
      <c r="E491" s="1" t="n">
        <v>43681</v>
      </c>
      <c r="F491" s="1" t="s">
        <v>869</v>
      </c>
      <c r="G491" s="140" t="n">
        <v>46152</v>
      </c>
      <c r="H491" s="1" t="n">
        <v>1260</v>
      </c>
      <c r="I491" s="1" t="s">
        <v>996</v>
      </c>
      <c r="J491" s="1" t="s">
        <v>1455</v>
      </c>
      <c r="K491" s="1" t="n">
        <v>535.93</v>
      </c>
      <c r="M491" s="125" t="n">
        <f aca="false">Nominal_Activity[[#This Row],[Debit]]-Nominal_Activity[[#This Row],[Credit]]</f>
        <v>535.93</v>
      </c>
      <c r="N491" s="1" t="str">
        <f aca="false">IF(C491="","",IFERROR(VLOOKUP(C491,Master_Mappings!$A$4:$E$85,3,FALSE()),"UNMAPPED"))</f>
        <v>Business development and Comms</v>
      </c>
      <c r="P491" s="1" t="str">
        <f aca="false">IF($C491="","",$C491&amp;"|"&amp;$E491&amp;"|"&amp;$M491&amp;"|"&amp;TEXT($G491,"yyyy-mm-dd")&amp;"|"&amp;LEFT($J491,40))</f>
        <v>7410|43681|535.93|2026-05-10|One night accommodation at Dover hotel</v>
      </c>
      <c r="Q491" s="11" t="str">
        <f aca="false">IF(P491="","",IF(COUNTIF($P$2:$P$3000,P491)&gt;1,"DUPLICATE","OK"))</f>
        <v>OK</v>
      </c>
      <c r="R491" s="0" t="str">
        <f aca="false">IF($C491="","",IFERROR(VLOOKUP(--$C491,MM_Income!$Z$5:$AC$204,3,FALSE()),""))</f>
        <v/>
      </c>
    </row>
    <row r="492" customFormat="false" ht="14.9" hidden="false" customHeight="false" outlineLevel="0" collapsed="false">
      <c r="A492" s="1" t="s">
        <v>49</v>
      </c>
      <c r="B492" s="1" t="s">
        <v>89</v>
      </c>
      <c r="C492" s="1" t="n">
        <v>7410</v>
      </c>
      <c r="D492" s="1" t="s">
        <v>721</v>
      </c>
      <c r="E492" s="1" t="n">
        <v>43682</v>
      </c>
      <c r="F492" s="1" t="s">
        <v>869</v>
      </c>
      <c r="G492" s="140" t="n">
        <v>46153</v>
      </c>
      <c r="H492" s="1" t="n">
        <v>1260</v>
      </c>
      <c r="I492" s="1" t="s">
        <v>996</v>
      </c>
      <c r="J492" s="1" t="s">
        <v>1456</v>
      </c>
      <c r="K492" s="1" t="n">
        <v>107.11</v>
      </c>
      <c r="M492" s="125" t="n">
        <f aca="false">Nominal_Activity[[#This Row],[Debit]]-Nominal_Activity[[#This Row],[Credit]]</f>
        <v>107.11</v>
      </c>
      <c r="N492" s="1" t="str">
        <f aca="false">IF(C492="","",IFERROR(VLOOKUP(C492,Master_Mappings!$A$4:$E$85,3,FALSE()),"UNMAPPED"))</f>
        <v>Business development and Comms</v>
      </c>
      <c r="P492" s="1" t="str">
        <f aca="false">IF($C492="","",$C492&amp;"|"&amp;$E492&amp;"|"&amp;$M492&amp;"|"&amp;TEXT($G492,"yyyy-mm-dd")&amp;"|"&amp;LEFT($J492,40))</f>
        <v>7410|43682|107.11|2026-05-11|Taxi from Dover Hotel to Local airport t</v>
      </c>
      <c r="Q492" s="11" t="str">
        <f aca="false">IF(P492="","",IF(COUNTIF($P$2:$P$3000,P492)&gt;1,"DUPLICATE","OK"))</f>
        <v>OK</v>
      </c>
      <c r="R492" s="0" t="str">
        <f aca="false">IF($C492="","",IFERROR(VLOOKUP(--$C492,MM_Income!$Z$5:$AC$204,3,FALSE()),""))</f>
        <v/>
      </c>
    </row>
    <row r="493" customFormat="false" ht="14.9" hidden="false" customHeight="false" outlineLevel="0" collapsed="false">
      <c r="A493" s="1" t="s">
        <v>49</v>
      </c>
      <c r="B493" s="1" t="s">
        <v>89</v>
      </c>
      <c r="C493" s="1" t="n">
        <v>7410</v>
      </c>
      <c r="D493" s="1" t="s">
        <v>721</v>
      </c>
      <c r="E493" s="1" t="n">
        <v>43683</v>
      </c>
      <c r="F493" s="1" t="s">
        <v>869</v>
      </c>
      <c r="G493" s="140" t="n">
        <v>46152</v>
      </c>
      <c r="H493" s="1" t="n">
        <v>1260</v>
      </c>
      <c r="I493" s="1" t="s">
        <v>996</v>
      </c>
      <c r="J493" s="1" t="s">
        <v>1457</v>
      </c>
      <c r="K493" s="1" t="n">
        <v>123.59</v>
      </c>
      <c r="M493" s="125" t="n">
        <f aca="false">Nominal_Activity[[#This Row],[Debit]]-Nominal_Activity[[#This Row],[Credit]]</f>
        <v>123.59</v>
      </c>
      <c r="N493" s="1" t="str">
        <f aca="false">IF(C493="","",IFERROR(VLOOKUP(C493,Master_Mappings!$A$4:$E$85,3,FALSE()),"UNMAPPED"))</f>
        <v>Business development and Comms</v>
      </c>
      <c r="P493" s="1" t="str">
        <f aca="false">IF($C493="","",$C493&amp;"|"&amp;$E493&amp;"|"&amp;$M493&amp;"|"&amp;TEXT($G493,"yyyy-mm-dd")&amp;"|"&amp;LEFT($J493,40))</f>
        <v>7410|43683|123.59|2026-05-10|Taxi from Murtala airport in Nigeria to </v>
      </c>
      <c r="Q493" s="11" t="str">
        <f aca="false">IF(P493="","",IF(COUNTIF($P$2:$P$3000,P493)&gt;1,"DUPLICATE","OK"))</f>
        <v>OK</v>
      </c>
      <c r="R493" s="0" t="str">
        <f aca="false">IF($C493="","",IFERROR(VLOOKUP(--$C493,MM_Income!$Z$5:$AC$204,3,FALSE()),""))</f>
        <v/>
      </c>
    </row>
    <row r="494" customFormat="false" ht="14.9" hidden="false" customHeight="false" outlineLevel="0" collapsed="false">
      <c r="A494" s="1" t="s">
        <v>49</v>
      </c>
      <c r="B494" s="1" t="s">
        <v>89</v>
      </c>
      <c r="C494" s="1" t="n">
        <v>7410</v>
      </c>
      <c r="D494" s="1" t="s">
        <v>721</v>
      </c>
      <c r="E494" s="1" t="n">
        <v>43684</v>
      </c>
      <c r="F494" s="1" t="s">
        <v>869</v>
      </c>
      <c r="G494" s="140" t="n">
        <v>46152</v>
      </c>
      <c r="H494" s="1" t="n">
        <v>1260</v>
      </c>
      <c r="I494" s="1" t="s">
        <v>996</v>
      </c>
      <c r="J494" s="1" t="s">
        <v>1458</v>
      </c>
      <c r="K494" s="1" t="n">
        <v>109</v>
      </c>
      <c r="M494" s="125" t="n">
        <f aca="false">Nominal_Activity[[#This Row],[Debit]]-Nominal_Activity[[#This Row],[Credit]]</f>
        <v>109</v>
      </c>
      <c r="N494" s="1" t="str">
        <f aca="false">IF(C494="","",IFERROR(VLOOKUP(C494,Master_Mappings!$A$4:$E$85,3,FALSE()),"UNMAPPED"))</f>
        <v>Business development and Comms</v>
      </c>
      <c r="P494" s="1" t="str">
        <f aca="false">IF($C494="","",$C494&amp;"|"&amp;$E494&amp;"|"&amp;$M494&amp;"|"&amp;TEXT($G494,"yyyy-mm-dd")&amp;"|"&amp;LEFT($J494,40))</f>
        <v>7410|43684|109|2026-05-10|Taxi from home to airport in Accra for f</v>
      </c>
      <c r="Q494" s="11" t="str">
        <f aca="false">IF(P494="","",IF(COUNTIF($P$2:$P$3000,P494)&gt;1,"DUPLICATE","OK"))</f>
        <v>OK</v>
      </c>
      <c r="R494" s="0" t="str">
        <f aca="false">IF($C494="","",IFERROR(VLOOKUP(--$C494,MM_Income!$Z$5:$AC$204,3,FALSE()),""))</f>
        <v/>
      </c>
    </row>
    <row r="495" customFormat="false" ht="14.9" hidden="false" customHeight="false" outlineLevel="0" collapsed="false">
      <c r="A495" s="1" t="s">
        <v>49</v>
      </c>
      <c r="B495" s="1" t="s">
        <v>89</v>
      </c>
      <c r="C495" s="1" t="n">
        <v>7410</v>
      </c>
      <c r="D495" s="1" t="s">
        <v>721</v>
      </c>
      <c r="E495" s="1" t="n">
        <v>43686</v>
      </c>
      <c r="F495" s="1" t="s">
        <v>869</v>
      </c>
      <c r="G495" s="140" t="n">
        <v>46182</v>
      </c>
      <c r="H495" s="1" t="n">
        <v>1260</v>
      </c>
      <c r="I495" s="1" t="s">
        <v>1459</v>
      </c>
      <c r="J495" s="1" t="s">
        <v>1460</v>
      </c>
      <c r="K495" s="1" t="n">
        <v>1574.06</v>
      </c>
      <c r="M495" s="125" t="n">
        <f aca="false">Nominal_Activity[[#This Row],[Debit]]-Nominal_Activity[[#This Row],[Credit]]</f>
        <v>1574.06</v>
      </c>
      <c r="N495" s="1" t="str">
        <f aca="false">IF(C495="","",IFERROR(VLOOKUP(C495,Master_Mappings!$A$4:$E$85,3,FALSE()),"UNMAPPED"))</f>
        <v>Business development and Comms</v>
      </c>
      <c r="P495" s="1" t="str">
        <f aca="false">IF($C495="","",$C495&amp;"|"&amp;$E495&amp;"|"&amp;$M495&amp;"|"&amp;TEXT($G495,"yyyy-mm-dd")&amp;"|"&amp;LEFT($J495,40))</f>
        <v>7410|43686|1574.06|2026-06-09|Taxi from Heathrow airport to Oxford</v>
      </c>
      <c r="Q495" s="11" t="str">
        <f aca="false">IF(P495="","",IF(COUNTIF($P$2:$P$3000,P495)&gt;1,"DUPLICATE","OK"))</f>
        <v>OK</v>
      </c>
      <c r="R495" s="0" t="str">
        <f aca="false">IF($C495="","",IFERROR(VLOOKUP(--$C495,MM_Income!$Z$5:$AC$204,3,FALSE()),""))</f>
        <v/>
      </c>
    </row>
    <row r="496" customFormat="false" ht="14.9" hidden="false" customHeight="false" outlineLevel="0" collapsed="false">
      <c r="A496" s="1" t="s">
        <v>49</v>
      </c>
      <c r="B496" s="1" t="s">
        <v>89</v>
      </c>
      <c r="C496" s="1" t="n">
        <v>7410</v>
      </c>
      <c r="D496" s="1" t="s">
        <v>721</v>
      </c>
      <c r="E496" s="1" t="n">
        <v>43687</v>
      </c>
      <c r="F496" s="1" t="s">
        <v>869</v>
      </c>
      <c r="G496" s="140" t="n">
        <v>46181</v>
      </c>
      <c r="H496" s="1" t="n">
        <v>1260</v>
      </c>
      <c r="I496" s="1" t="s">
        <v>1459</v>
      </c>
      <c r="J496" s="1" t="s">
        <v>1461</v>
      </c>
      <c r="K496" s="1" t="n">
        <v>93.56</v>
      </c>
      <c r="M496" s="125" t="n">
        <f aca="false">Nominal_Activity[[#This Row],[Debit]]-Nominal_Activity[[#This Row],[Credit]]</f>
        <v>93.56</v>
      </c>
      <c r="N496" s="1" t="str">
        <f aca="false">IF(C496="","",IFERROR(VLOOKUP(C496,Master_Mappings!$A$4:$E$85,3,FALSE()),"UNMAPPED"))</f>
        <v>Business development and Comms</v>
      </c>
      <c r="P496" s="1" t="str">
        <f aca="false">IF($C496="","",$C496&amp;"|"&amp;$E496&amp;"|"&amp;$M496&amp;"|"&amp;TEXT($G496,"yyyy-mm-dd")&amp;"|"&amp;LEFT($J496,40))</f>
        <v>7410|43687|93.56|2026-06-08|Taxi from home to Kotoka airport on 8th </v>
      </c>
      <c r="Q496" s="11" t="str">
        <f aca="false">IF(P496="","",IF(COUNTIF($P$2:$P$3000,P496)&gt;1,"DUPLICATE","OK"))</f>
        <v>OK</v>
      </c>
      <c r="R496" s="0" t="str">
        <f aca="false">IF($C496="","",IFERROR(VLOOKUP(--$C496,MM_Income!$Z$5:$AC$204,3,FALSE()),""))</f>
        <v/>
      </c>
    </row>
    <row r="497" customFormat="false" ht="14.9" hidden="false" customHeight="false" outlineLevel="0" collapsed="false">
      <c r="A497" s="1" t="s">
        <v>49</v>
      </c>
      <c r="B497" s="1" t="s">
        <v>89</v>
      </c>
      <c r="C497" s="1" t="n">
        <v>7410</v>
      </c>
      <c r="D497" s="1" t="s">
        <v>721</v>
      </c>
      <c r="E497" s="1" t="n">
        <v>44119</v>
      </c>
      <c r="F497" s="1" t="s">
        <v>847</v>
      </c>
      <c r="G497" s="140" t="n">
        <v>46203</v>
      </c>
      <c r="H497" s="1" t="s">
        <v>1138</v>
      </c>
      <c r="I497" s="1" t="s">
        <v>1139</v>
      </c>
      <c r="J497" s="1" t="s">
        <v>1462</v>
      </c>
      <c r="K497" s="1" t="n">
        <v>5865.02</v>
      </c>
      <c r="M497" s="125" t="n">
        <f aca="false">Nominal_Activity[[#This Row],[Debit]]-Nominal_Activity[[#This Row],[Credit]]</f>
        <v>5865.02</v>
      </c>
      <c r="N497" s="1" t="str">
        <f aca="false">IF(C497="","",IFERROR(VLOOKUP(C497,Master_Mappings!$A$4:$E$85,3,FALSE()),"UNMAPPED"))</f>
        <v>Business development and Comms</v>
      </c>
      <c r="P497" s="1" t="str">
        <f aca="false">IF($C497="","",$C497&amp;"|"&amp;$E497&amp;"|"&amp;$M497&amp;"|"&amp;TEXT($G497,"yyyy-mm-dd")&amp;"|"&amp;LEFT($J497,40))</f>
        <v>7410|44119|5865.02|2026-06-30|Change in Flight for Abe: Accra-London</v>
      </c>
      <c r="Q497" s="11" t="str">
        <f aca="false">IF(P497="","",IF(COUNTIF($P$2:$P$3000,P497)&gt;1,"DUPLICATE","OK"))</f>
        <v>OK</v>
      </c>
      <c r="R497" s="0" t="str">
        <f aca="false">IF($C497="","",IFERROR(VLOOKUP(--$C497,MM_Income!$Z$5:$AC$204,3,FALSE()),""))</f>
        <v/>
      </c>
    </row>
    <row r="498" customFormat="false" ht="14.9" hidden="false" customHeight="false" outlineLevel="0" collapsed="false">
      <c r="A498" s="1" t="s">
        <v>49</v>
      </c>
      <c r="B498" s="1" t="s">
        <v>85</v>
      </c>
      <c r="C498" s="1" t="n">
        <v>7420</v>
      </c>
      <c r="D498" s="1" t="s">
        <v>723</v>
      </c>
      <c r="E498" s="1" t="n">
        <v>42353</v>
      </c>
      <c r="F498" s="1" t="s">
        <v>869</v>
      </c>
      <c r="G498" s="140" t="n">
        <v>46038</v>
      </c>
      <c r="H498" s="1" t="n">
        <v>1260</v>
      </c>
      <c r="I498" s="1" t="s">
        <v>1463</v>
      </c>
      <c r="J498" s="1" t="s">
        <v>1464</v>
      </c>
      <c r="K498" s="1" t="n">
        <v>828</v>
      </c>
      <c r="M498" s="125" t="n">
        <f aca="false">Nominal_Activity[[#This Row],[Debit]]-Nominal_Activity[[#This Row],[Credit]]</f>
        <v>828</v>
      </c>
      <c r="N498" s="1" t="str">
        <f aca="false">IF(C498="","",IFERROR(VLOOKUP(C498,Master_Mappings!$A$4:$E$85,3,FALSE()),"UNMAPPED"))</f>
        <v>Professional development and Training</v>
      </c>
      <c r="P498" s="1" t="str">
        <f aca="false">IF($C498="","",$C498&amp;"|"&amp;$E498&amp;"|"&amp;$M498&amp;"|"&amp;TEXT($G498,"yyyy-mm-dd")&amp;"|"&amp;LEFT($J498,40))</f>
        <v>7420|42353|828|2026-01-16|Refund for Passed Paper (SCS)</v>
      </c>
      <c r="Q498" s="11" t="str">
        <f aca="false">IF(P498="","",IF(COUNTIF($P$2:$P$3000,P498)&gt;1,"DUPLICATE","OK"))</f>
        <v>OK</v>
      </c>
      <c r="R498" s="0" t="str">
        <f aca="false">IF($C498="","",IFERROR(VLOOKUP(--$C498,MM_Income!$Z$5:$AC$204,3,FALSE()),""))</f>
        <v/>
      </c>
    </row>
    <row r="499" customFormat="false" ht="14.9" hidden="false" customHeight="false" outlineLevel="0" collapsed="false">
      <c r="A499" s="1" t="s">
        <v>49</v>
      </c>
      <c r="B499" s="1" t="s">
        <v>85</v>
      </c>
      <c r="C499" s="1" t="n">
        <v>7420</v>
      </c>
      <c r="D499" s="1" t="s">
        <v>723</v>
      </c>
      <c r="E499" s="1" t="n">
        <v>42354</v>
      </c>
      <c r="F499" s="1" t="s">
        <v>869</v>
      </c>
      <c r="G499" s="140" t="n">
        <v>46023</v>
      </c>
      <c r="H499" s="1" t="n">
        <v>1260</v>
      </c>
      <c r="I499" s="1" t="s">
        <v>1463</v>
      </c>
      <c r="J499" s="1" t="s">
        <v>1465</v>
      </c>
      <c r="K499" s="1" t="n">
        <v>400</v>
      </c>
      <c r="M499" s="125" t="n">
        <f aca="false">Nominal_Activity[[#This Row],[Debit]]-Nominal_Activity[[#This Row],[Credit]]</f>
        <v>400</v>
      </c>
      <c r="N499" s="1" t="str">
        <f aca="false">IF(C499="","",IFERROR(VLOOKUP(C499,Master_Mappings!$A$4:$E$85,3,FALSE()),"UNMAPPED"))</f>
        <v>Professional development and Training</v>
      </c>
      <c r="P499" s="1" t="str">
        <f aca="false">IF($C499="","",$C499&amp;"|"&amp;$E499&amp;"|"&amp;$M499&amp;"|"&amp;TEXT($G499,"yyyy-mm-dd")&amp;"|"&amp;LEFT($J499,40))</f>
        <v>7420|42354|400|2026-01-01|Subscription Fees for 2026</v>
      </c>
      <c r="Q499" s="11" t="str">
        <f aca="false">IF(P499="","",IF(COUNTIF($P$2:$P$3000,P499)&gt;1,"DUPLICATE","OK"))</f>
        <v>OK</v>
      </c>
      <c r="R499" s="0" t="str">
        <f aca="false">IF($C499="","",IFERROR(VLOOKUP(--$C499,MM_Income!$Z$5:$AC$204,3,FALSE()),""))</f>
        <v/>
      </c>
    </row>
    <row r="500" customFormat="false" ht="14.9" hidden="false" customHeight="false" outlineLevel="0" collapsed="false">
      <c r="A500" s="1" t="s">
        <v>49</v>
      </c>
      <c r="B500" s="1" t="s">
        <v>85</v>
      </c>
      <c r="C500" s="1" t="n">
        <v>7420</v>
      </c>
      <c r="D500" s="1" t="s">
        <v>723</v>
      </c>
      <c r="E500" s="1" t="n">
        <v>42810</v>
      </c>
      <c r="F500" s="1" t="s">
        <v>869</v>
      </c>
      <c r="G500" s="140" t="n">
        <v>46086</v>
      </c>
      <c r="H500" s="1" t="n">
        <v>1260</v>
      </c>
      <c r="I500" s="1" t="s">
        <v>1431</v>
      </c>
      <c r="J500" s="1" t="s">
        <v>1466</v>
      </c>
      <c r="K500" s="1" t="n">
        <v>1260.8</v>
      </c>
      <c r="M500" s="125" t="n">
        <f aca="false">Nominal_Activity[[#This Row],[Debit]]-Nominal_Activity[[#This Row],[Credit]]</f>
        <v>1260.8</v>
      </c>
      <c r="N500" s="1" t="str">
        <f aca="false">IF(C500="","",IFERROR(VLOOKUP(C500,Master_Mappings!$A$4:$E$85,3,FALSE()),"UNMAPPED"))</f>
        <v>Professional development and Training</v>
      </c>
      <c r="P500" s="1" t="str">
        <f aca="false">IF($C500="","",$C500&amp;"|"&amp;$E500&amp;"|"&amp;$M500&amp;"|"&amp;TEXT($G500,"yyyy-mm-dd")&amp;"|"&amp;LEFT($J500,40))</f>
        <v>7420|42810|1260.8|2026-03-05|ACCA Ethics and Professional Module</v>
      </c>
      <c r="Q500" s="11" t="str">
        <f aca="false">IF(P500="","",IF(COUNTIF($P$2:$P$3000,P500)&gt;1,"DUPLICATE","OK"))</f>
        <v>OK</v>
      </c>
      <c r="R500" s="0" t="str">
        <f aca="false">IF($C500="","",IFERROR(VLOOKUP(--$C500,MM_Income!$Z$5:$AC$204,3,FALSE()),""))</f>
        <v/>
      </c>
    </row>
    <row r="501" customFormat="false" ht="14.9" hidden="false" customHeight="false" outlineLevel="0" collapsed="false">
      <c r="A501" s="1" t="s">
        <v>49</v>
      </c>
      <c r="B501" s="1" t="s">
        <v>85</v>
      </c>
      <c r="C501" s="1" t="n">
        <v>7420</v>
      </c>
      <c r="D501" s="1" t="s">
        <v>723</v>
      </c>
      <c r="E501" s="1" t="n">
        <v>42811</v>
      </c>
      <c r="F501" s="1" t="s">
        <v>869</v>
      </c>
      <c r="G501" s="140" t="n">
        <v>46086</v>
      </c>
      <c r="H501" s="1" t="n">
        <v>1260</v>
      </c>
      <c r="I501" s="1" t="s">
        <v>1431</v>
      </c>
      <c r="J501" s="1" t="s">
        <v>1467</v>
      </c>
      <c r="K501" s="1" t="n">
        <v>4451.74</v>
      </c>
      <c r="M501" s="125" t="n">
        <f aca="false">Nominal_Activity[[#This Row],[Debit]]-Nominal_Activity[[#This Row],[Credit]]</f>
        <v>4451.74</v>
      </c>
      <c r="N501" s="1" t="str">
        <f aca="false">IF(C501="","",IFERROR(VLOOKUP(C501,Master_Mappings!$A$4:$E$85,3,FALSE()),"UNMAPPED"))</f>
        <v>Professional development and Training</v>
      </c>
      <c r="P501" s="1" t="str">
        <f aca="false">IF($C501="","",$C501&amp;"|"&amp;$E501&amp;"|"&amp;$M501&amp;"|"&amp;TEXT($G501,"yyyy-mm-dd")&amp;"|"&amp;LEFT($J501,40))</f>
        <v>7420|42811|4451.74|2026-03-05|ACCA Annual Subscription Fee for 2025/20</v>
      </c>
      <c r="Q501" s="11" t="str">
        <f aca="false">IF(P501="","",IF(COUNTIF($P$2:$P$3000,P501)&gt;1,"DUPLICATE","OK"))</f>
        <v>OK</v>
      </c>
      <c r="R501" s="0" t="str">
        <f aca="false">IF($C501="","",IFERROR(VLOOKUP(--$C501,MM_Income!$Z$5:$AC$204,3,FALSE()),""))</f>
        <v/>
      </c>
    </row>
    <row r="502" customFormat="false" ht="14.9" hidden="false" customHeight="false" outlineLevel="0" collapsed="false">
      <c r="A502" s="1" t="s">
        <v>49</v>
      </c>
      <c r="B502" s="1" t="s">
        <v>89</v>
      </c>
      <c r="C502" s="1" t="n">
        <v>7420</v>
      </c>
      <c r="D502" s="1" t="s">
        <v>723</v>
      </c>
      <c r="E502" s="1" t="n">
        <v>43685</v>
      </c>
      <c r="F502" s="1" t="s">
        <v>869</v>
      </c>
      <c r="G502" s="140" t="n">
        <v>46185</v>
      </c>
      <c r="H502" s="1" t="n">
        <v>1260</v>
      </c>
      <c r="I502" s="1" t="s">
        <v>1459</v>
      </c>
      <c r="J502" s="1" t="s">
        <v>1468</v>
      </c>
      <c r="K502" s="1" t="n">
        <v>3380.11</v>
      </c>
      <c r="M502" s="125" t="n">
        <f aca="false">Nominal_Activity[[#This Row],[Debit]]-Nominal_Activity[[#This Row],[Credit]]</f>
        <v>3380.11</v>
      </c>
      <c r="N502" s="1" t="str">
        <f aca="false">IF(C502="","",IFERROR(VLOOKUP(C502,Master_Mappings!$A$4:$E$85,3,FALSE()),"UNMAPPED"))</f>
        <v>Professional development and Training</v>
      </c>
      <c r="P502" s="1" t="str">
        <f aca="false">IF($C502="","",$C502&amp;"|"&amp;$E502&amp;"|"&amp;$M502&amp;"|"&amp;TEXT($G502,"yyyy-mm-dd")&amp;"|"&amp;LEFT($J502,40))</f>
        <v>7420|43685|3380.11|2026-06-12|Payment of HCV Network ALS renewal fees </v>
      </c>
      <c r="Q502" s="11" t="str">
        <f aca="false">IF(P502="","",IF(COUNTIF($P$2:$P$3000,P502)&gt;1,"DUPLICATE","OK"))</f>
        <v>OK</v>
      </c>
      <c r="R502" s="0" t="str">
        <f aca="false">IF($C502="","",IFERROR(VLOOKUP(--$C502,MM_Income!$Z$5:$AC$204,3,FALSE()),""))</f>
        <v/>
      </c>
    </row>
    <row r="503" customFormat="false" ht="14.9" hidden="false" customHeight="false" outlineLevel="0" collapsed="false">
      <c r="A503" s="1" t="s">
        <v>49</v>
      </c>
      <c r="B503" s="1" t="s">
        <v>89</v>
      </c>
      <c r="C503" s="1" t="n">
        <v>7420</v>
      </c>
      <c r="D503" s="1" t="s">
        <v>723</v>
      </c>
      <c r="E503" s="1" t="n">
        <v>43724</v>
      </c>
      <c r="F503" s="1" t="s">
        <v>869</v>
      </c>
      <c r="G503" s="140" t="n">
        <v>46128</v>
      </c>
      <c r="H503" s="1" t="n">
        <v>1260</v>
      </c>
      <c r="I503" s="1" t="s">
        <v>1469</v>
      </c>
      <c r="J503" s="1" t="s">
        <v>1470</v>
      </c>
      <c r="K503" s="1" t="n">
        <v>1455.27</v>
      </c>
      <c r="M503" s="125" t="n">
        <f aca="false">Nominal_Activity[[#This Row],[Debit]]-Nominal_Activity[[#This Row],[Credit]]</f>
        <v>1455.27</v>
      </c>
      <c r="N503" s="1" t="str">
        <f aca="false">IF(C503="","",IFERROR(VLOOKUP(C503,Master_Mappings!$A$4:$E$85,3,FALSE()),"UNMAPPED"))</f>
        <v>Professional development and Training</v>
      </c>
      <c r="P503" s="1" t="str">
        <f aca="false">IF($C503="","",$C503&amp;"|"&amp;$E503&amp;"|"&amp;$M503&amp;"|"&amp;TEXT($G503,"yyyy-mm-dd")&amp;"|"&amp;LEFT($J503,40))</f>
        <v>7420|43724|1455.27|2026-04-16|Claude Max Subscription</v>
      </c>
      <c r="Q503" s="11" t="str">
        <f aca="false">IF(P503="","",IF(COUNTIF($P$2:$P$3000,P503)&gt;1,"DUPLICATE","OK"))</f>
        <v>OK</v>
      </c>
      <c r="R503" s="0" t="str">
        <f aca="false">IF($C503="","",IFERROR(VLOOKUP(--$C503,MM_Income!$Z$5:$AC$204,3,FALSE()),""))</f>
        <v/>
      </c>
    </row>
    <row r="504" customFormat="false" ht="14.9" hidden="false" customHeight="false" outlineLevel="0" collapsed="false">
      <c r="A504" s="1" t="s">
        <v>49</v>
      </c>
      <c r="B504" s="1" t="s">
        <v>89</v>
      </c>
      <c r="C504" s="1" t="n">
        <v>7420</v>
      </c>
      <c r="D504" s="1" t="s">
        <v>723</v>
      </c>
      <c r="E504" s="1" t="n">
        <v>43726</v>
      </c>
      <c r="F504" s="1" t="s">
        <v>869</v>
      </c>
      <c r="G504" s="140" t="n">
        <v>46158</v>
      </c>
      <c r="H504" s="1" t="n">
        <v>1260</v>
      </c>
      <c r="I504" s="1" t="s">
        <v>1471</v>
      </c>
      <c r="J504" s="1" t="s">
        <v>1470</v>
      </c>
      <c r="K504" s="1" t="n">
        <v>1506.59</v>
      </c>
      <c r="M504" s="125" t="n">
        <f aca="false">Nominal_Activity[[#This Row],[Debit]]-Nominal_Activity[[#This Row],[Credit]]</f>
        <v>1506.59</v>
      </c>
      <c r="N504" s="1" t="str">
        <f aca="false">IF(C504="","",IFERROR(VLOOKUP(C504,Master_Mappings!$A$4:$E$85,3,FALSE()),"UNMAPPED"))</f>
        <v>Professional development and Training</v>
      </c>
      <c r="P504" s="1" t="str">
        <f aca="false">IF($C504="","",$C504&amp;"|"&amp;$E504&amp;"|"&amp;$M504&amp;"|"&amp;TEXT($G504,"yyyy-mm-dd")&amp;"|"&amp;LEFT($J504,40))</f>
        <v>7420|43726|1506.59|2026-05-16|Claude Max Subscription</v>
      </c>
      <c r="Q504" s="11" t="str">
        <f aca="false">IF(P504="","",IF(COUNTIF($P$2:$P$3000,P504)&gt;1,"DUPLICATE","OK"))</f>
        <v>OK</v>
      </c>
      <c r="R504" s="0" t="str">
        <f aca="false">IF($C504="","",IFERROR(VLOOKUP(--$C504,MM_Income!$Z$5:$AC$204,3,FALSE()),""))</f>
        <v/>
      </c>
    </row>
    <row r="505" customFormat="false" ht="14.9" hidden="false" customHeight="false" outlineLevel="0" collapsed="false">
      <c r="A505" s="1" t="s">
        <v>49</v>
      </c>
      <c r="B505" s="1" t="s">
        <v>85</v>
      </c>
      <c r="C505" s="1" t="n">
        <v>7430</v>
      </c>
      <c r="D505" s="1" t="s">
        <v>725</v>
      </c>
      <c r="E505" s="1" t="n">
        <v>42538</v>
      </c>
      <c r="F505" s="1" t="s">
        <v>869</v>
      </c>
      <c r="G505" s="140" t="n">
        <v>46049</v>
      </c>
      <c r="H505" s="1" t="n">
        <v>1230</v>
      </c>
      <c r="I505" s="1" t="s">
        <v>1472</v>
      </c>
      <c r="J505" s="1" t="s">
        <v>1473</v>
      </c>
      <c r="K505" s="1" t="n">
        <v>1000</v>
      </c>
      <c r="M505" s="125" t="n">
        <f aca="false">Nominal_Activity[[#This Row],[Debit]]-Nominal_Activity[[#This Row],[Credit]]</f>
        <v>1000</v>
      </c>
      <c r="N505" s="1" t="str">
        <f aca="false">IF(C505="","",IFERROR(VLOOKUP(C505,Master_Mappings!$A$4:$E$85,3,FALSE()),"UNMAPPED"))</f>
        <v>Professional development and Training</v>
      </c>
      <c r="P505" s="1" t="str">
        <f aca="false">IF($C505="","",$C505&amp;"|"&amp;$E505&amp;"|"&amp;$M505&amp;"|"&amp;TEXT($G505,"yyyy-mm-dd")&amp;"|"&amp;LEFT($J505,40))</f>
        <v>7430|42538|1000|2026-01-27|January Allowance for Intern</v>
      </c>
      <c r="Q505" s="11" t="str">
        <f aca="false">IF(P505="","",IF(COUNTIF($P$2:$P$3000,P505)&gt;1,"DUPLICATE","OK"))</f>
        <v>OK</v>
      </c>
      <c r="R505" s="0" t="str">
        <f aca="false">IF($C505="","",IFERROR(VLOOKUP(--$C505,MM_Income!$Z$5:$AC$204,3,FALSE()),""))</f>
        <v/>
      </c>
    </row>
    <row r="506" customFormat="false" ht="14.9" hidden="false" customHeight="false" outlineLevel="0" collapsed="false">
      <c r="A506" s="1" t="s">
        <v>49</v>
      </c>
      <c r="B506" s="1" t="s">
        <v>85</v>
      </c>
      <c r="C506" s="1" t="n">
        <v>7440</v>
      </c>
      <c r="D506" s="1" t="s">
        <v>727</v>
      </c>
      <c r="E506" s="1" t="n">
        <v>42283</v>
      </c>
      <c r="F506" s="1" t="s">
        <v>847</v>
      </c>
      <c r="G506" s="140" t="n">
        <v>46035</v>
      </c>
      <c r="H506" s="1" t="s">
        <v>1474</v>
      </c>
      <c r="I506" s="1" t="s">
        <v>1475</v>
      </c>
      <c r="J506" s="1" t="s">
        <v>1476</v>
      </c>
      <c r="K506" s="1" t="n">
        <v>4145</v>
      </c>
      <c r="M506" s="125" t="n">
        <f aca="false">Nominal_Activity[[#This Row],[Debit]]-Nominal_Activity[[#This Row],[Credit]]</f>
        <v>4145</v>
      </c>
      <c r="N506" s="1" t="str">
        <f aca="false">IF(C506="","",IFERROR(VLOOKUP(C506,Master_Mappings!$A$4:$E$85,3,FALSE()),"UNMAPPED"))</f>
        <v>Internal events and meetings</v>
      </c>
      <c r="P506" s="1" t="str">
        <f aca="false">IF($C506="","",$C506&amp;"|"&amp;$E506&amp;"|"&amp;$M506&amp;"|"&amp;TEXT($G506,"yyyy-mm-dd")&amp;"|"&amp;LEFT($J506,40))</f>
        <v>7440|42283|4145|2026-01-13|Decor for PFAFR Annual Planning meeting</v>
      </c>
      <c r="Q506" s="11" t="str">
        <f aca="false">IF(P506="","",IF(COUNTIF($P$2:$P$3000,P506)&gt;1,"DUPLICATE","OK"))</f>
        <v>OK</v>
      </c>
      <c r="R506" s="0" t="str">
        <f aca="false">IF($C506="","",IFERROR(VLOOKUP(--$C506,MM_Income!$Z$5:$AC$204,3,FALSE()),""))</f>
        <v/>
      </c>
    </row>
    <row r="507" customFormat="false" ht="14.9" hidden="false" customHeight="false" outlineLevel="0" collapsed="false">
      <c r="A507" s="1" t="s">
        <v>49</v>
      </c>
      <c r="B507" s="1" t="s">
        <v>85</v>
      </c>
      <c r="C507" s="1" t="n">
        <v>7440</v>
      </c>
      <c r="D507" s="1" t="s">
        <v>727</v>
      </c>
      <c r="E507" s="1" t="n">
        <v>42480</v>
      </c>
      <c r="F507" s="1" t="s">
        <v>847</v>
      </c>
      <c r="G507" s="140" t="n">
        <v>46032</v>
      </c>
      <c r="H507" s="1" t="s">
        <v>1334</v>
      </c>
      <c r="I507" s="1" t="s">
        <v>1477</v>
      </c>
      <c r="J507" s="1" t="s">
        <v>1478</v>
      </c>
      <c r="K507" s="1" t="n">
        <v>9405.41</v>
      </c>
      <c r="M507" s="125" t="n">
        <f aca="false">Nominal_Activity[[#This Row],[Debit]]-Nominal_Activity[[#This Row],[Credit]]</f>
        <v>9405.41</v>
      </c>
      <c r="N507" s="1" t="str">
        <f aca="false">IF(C507="","",IFERROR(VLOOKUP(C507,Master_Mappings!$A$4:$E$85,3,FALSE()),"UNMAPPED"))</f>
        <v>Internal events and meetings</v>
      </c>
      <c r="P507" s="1" t="str">
        <f aca="false">IF($C507="","",$C507&amp;"|"&amp;$E507&amp;"|"&amp;$M507&amp;"|"&amp;TEXT($G507,"yyyy-mm-dd")&amp;"|"&amp;LEFT($J507,40))</f>
        <v>7440|42480|9405.41|2026-01-10|Snacks for Annual Planning meeting</v>
      </c>
      <c r="Q507" s="11" t="str">
        <f aca="false">IF(P507="","",IF(COUNTIF($P$2:$P$3000,P507)&gt;1,"DUPLICATE","OK"))</f>
        <v>OK</v>
      </c>
      <c r="R507" s="0" t="str">
        <f aca="false">IF($C507="","",IFERROR(VLOOKUP(--$C507,MM_Income!$Z$5:$AC$204,3,FALSE()),""))</f>
        <v/>
      </c>
    </row>
    <row r="508" customFormat="false" ht="14.9" hidden="false" customHeight="false" outlineLevel="0" collapsed="false">
      <c r="A508" s="1" t="s">
        <v>49</v>
      </c>
      <c r="B508" s="1" t="s">
        <v>85</v>
      </c>
      <c r="C508" s="1" t="n">
        <v>7440</v>
      </c>
      <c r="D508" s="1" t="s">
        <v>727</v>
      </c>
      <c r="E508" s="1" t="n">
        <v>42527</v>
      </c>
      <c r="F508" s="1" t="s">
        <v>869</v>
      </c>
      <c r="G508" s="140" t="n">
        <v>46043</v>
      </c>
      <c r="H508" s="1" t="n">
        <v>1230</v>
      </c>
      <c r="I508" s="1" t="s">
        <v>1479</v>
      </c>
      <c r="J508" s="1" t="s">
        <v>1480</v>
      </c>
      <c r="K508" s="1" t="n">
        <v>90</v>
      </c>
      <c r="M508" s="125" t="n">
        <f aca="false">Nominal_Activity[[#This Row],[Debit]]-Nominal_Activity[[#This Row],[Credit]]</f>
        <v>90</v>
      </c>
      <c r="N508" s="1" t="str">
        <f aca="false">IF(C508="","",IFERROR(VLOOKUP(C508,Master_Mappings!$A$4:$E$85,3,FALSE()),"UNMAPPED"))</f>
        <v>Internal events and meetings</v>
      </c>
      <c r="P508" s="1" t="str">
        <f aca="false">IF($C508="","",$C508&amp;"|"&amp;$E508&amp;"|"&amp;$M508&amp;"|"&amp;TEXT($G508,"yyyy-mm-dd")&amp;"|"&amp;LEFT($J508,40))</f>
        <v>7440|42527|90|2026-01-21|Toffees and Gum for Annual Planning Meet</v>
      </c>
      <c r="Q508" s="11" t="str">
        <f aca="false">IF(P508="","",IF(COUNTIF($P$2:$P$3000,P508)&gt;1,"DUPLICATE","OK"))</f>
        <v>OK</v>
      </c>
      <c r="R508" s="0" t="str">
        <f aca="false">IF($C508="","",IFERROR(VLOOKUP(--$C508,MM_Income!$Z$5:$AC$204,3,FALSE()),""))</f>
        <v/>
      </c>
    </row>
    <row r="509" customFormat="false" ht="14.9" hidden="false" customHeight="false" outlineLevel="0" collapsed="false">
      <c r="A509" s="1" t="s">
        <v>49</v>
      </c>
      <c r="B509" s="1" t="s">
        <v>85</v>
      </c>
      <c r="C509" s="1" t="n">
        <v>7440</v>
      </c>
      <c r="D509" s="1" t="s">
        <v>727</v>
      </c>
      <c r="E509" s="1" t="n">
        <v>42531</v>
      </c>
      <c r="F509" s="1" t="s">
        <v>869</v>
      </c>
      <c r="G509" s="140" t="n">
        <v>46043</v>
      </c>
      <c r="H509" s="1" t="n">
        <v>1230</v>
      </c>
      <c r="I509" s="1" t="s">
        <v>1481</v>
      </c>
      <c r="J509" s="1" t="s">
        <v>1482</v>
      </c>
      <c r="K509" s="1" t="n">
        <v>2370</v>
      </c>
      <c r="M509" s="125" t="n">
        <f aca="false">Nominal_Activity[[#This Row],[Debit]]-Nominal_Activity[[#This Row],[Credit]]</f>
        <v>2370</v>
      </c>
      <c r="N509" s="1" t="str">
        <f aca="false">IF(C509="","",IFERROR(VLOOKUP(C509,Master_Mappings!$A$4:$E$85,3,FALSE()),"UNMAPPED"))</f>
        <v>Internal events and meetings</v>
      </c>
      <c r="P509" s="1" t="str">
        <f aca="false">IF($C509="","",$C509&amp;"|"&amp;$E509&amp;"|"&amp;$M509&amp;"|"&amp;TEXT($G509,"yyyy-mm-dd")&amp;"|"&amp;LEFT($J509,40))</f>
        <v>7440|42531|2370|2026-01-21|Annual Planning Meeting Day 1 Lunch</v>
      </c>
      <c r="Q509" s="11" t="str">
        <f aca="false">IF(P509="","",IF(COUNTIF($P$2:$P$3000,P509)&gt;1,"DUPLICATE","OK"))</f>
        <v>OK</v>
      </c>
      <c r="R509" s="0" t="str">
        <f aca="false">IF($C509="","",IFERROR(VLOOKUP(--$C509,MM_Income!$Z$5:$AC$204,3,FALSE()),""))</f>
        <v/>
      </c>
    </row>
    <row r="510" customFormat="false" ht="14.9" hidden="false" customHeight="false" outlineLevel="0" collapsed="false">
      <c r="A510" s="1" t="s">
        <v>49</v>
      </c>
      <c r="B510" s="1" t="s">
        <v>85</v>
      </c>
      <c r="C510" s="1" t="n">
        <v>7440</v>
      </c>
      <c r="D510" s="1" t="s">
        <v>727</v>
      </c>
      <c r="E510" s="1" t="n">
        <v>42533</v>
      </c>
      <c r="F510" s="1" t="s">
        <v>869</v>
      </c>
      <c r="G510" s="140" t="n">
        <v>46044</v>
      </c>
      <c r="H510" s="1" t="n">
        <v>1230</v>
      </c>
      <c r="I510" s="1" t="s">
        <v>1483</v>
      </c>
      <c r="J510" s="1" t="s">
        <v>1484</v>
      </c>
      <c r="K510" s="1" t="n">
        <v>2460</v>
      </c>
      <c r="M510" s="125" t="n">
        <f aca="false">Nominal_Activity[[#This Row],[Debit]]-Nominal_Activity[[#This Row],[Credit]]</f>
        <v>2460</v>
      </c>
      <c r="N510" s="1" t="str">
        <f aca="false">IF(C510="","",IFERROR(VLOOKUP(C510,Master_Mappings!$A$4:$E$85,3,FALSE()),"UNMAPPED"))</f>
        <v>Internal events and meetings</v>
      </c>
      <c r="P510" s="1" t="str">
        <f aca="false">IF($C510="","",$C510&amp;"|"&amp;$E510&amp;"|"&amp;$M510&amp;"|"&amp;TEXT($G510,"yyyy-mm-dd")&amp;"|"&amp;LEFT($J510,40))</f>
        <v>7440|42533|2460|2026-01-22|Annual Planning Meeting Day 2 Lunch</v>
      </c>
      <c r="Q510" s="11" t="str">
        <f aca="false">IF(P510="","",IF(COUNTIF($P$2:$P$3000,P510)&gt;1,"DUPLICATE","OK"))</f>
        <v>OK</v>
      </c>
      <c r="R510" s="0" t="str">
        <f aca="false">IF($C510="","",IFERROR(VLOOKUP(--$C510,MM_Income!$Z$5:$AC$204,3,FALSE()),""))</f>
        <v/>
      </c>
    </row>
    <row r="511" customFormat="false" ht="14.9" hidden="false" customHeight="false" outlineLevel="0" collapsed="false">
      <c r="A511" s="1" t="s">
        <v>49</v>
      </c>
      <c r="B511" s="1" t="s">
        <v>85</v>
      </c>
      <c r="C511" s="1" t="n">
        <v>7440</v>
      </c>
      <c r="D511" s="1" t="s">
        <v>727</v>
      </c>
      <c r="E511" s="1" t="n">
        <v>42535</v>
      </c>
      <c r="F511" s="1" t="s">
        <v>869</v>
      </c>
      <c r="G511" s="140" t="n">
        <v>46045</v>
      </c>
      <c r="H511" s="1" t="n">
        <v>1230</v>
      </c>
      <c r="I511" s="1" t="s">
        <v>1485</v>
      </c>
      <c r="J511" s="1" t="s">
        <v>1486</v>
      </c>
      <c r="K511" s="1" t="n">
        <v>7020</v>
      </c>
      <c r="M511" s="125" t="n">
        <f aca="false">Nominal_Activity[[#This Row],[Debit]]-Nominal_Activity[[#This Row],[Credit]]</f>
        <v>7020</v>
      </c>
      <c r="N511" s="1" t="str">
        <f aca="false">IF(C511="","",IFERROR(VLOOKUP(C511,Master_Mappings!$A$4:$E$85,3,FALSE()),"UNMAPPED"))</f>
        <v>Internal events and meetings</v>
      </c>
      <c r="P511" s="1" t="str">
        <f aca="false">IF($C511="","",$C511&amp;"|"&amp;$E511&amp;"|"&amp;$M511&amp;"|"&amp;TEXT($G511,"yyyy-mm-dd")&amp;"|"&amp;LEFT($J511,40))</f>
        <v>7440|42535|7020|2026-01-23|Annual Planning Meeting Day 3 Lunch</v>
      </c>
      <c r="Q511" s="11" t="str">
        <f aca="false">IF(P511="","",IF(COUNTIF($P$2:$P$3000,P511)&gt;1,"DUPLICATE","OK"))</f>
        <v>OK</v>
      </c>
      <c r="R511" s="0" t="str">
        <f aca="false">IF($C511="","",IFERROR(VLOOKUP(--$C511,MM_Income!$Z$5:$AC$204,3,FALSE()),""))</f>
        <v/>
      </c>
    </row>
    <row r="512" customFormat="false" ht="14.9" hidden="false" customHeight="false" outlineLevel="0" collapsed="false">
      <c r="A512" s="1" t="s">
        <v>49</v>
      </c>
      <c r="B512" s="1" t="s">
        <v>89</v>
      </c>
      <c r="C512" s="1" t="n">
        <v>7440</v>
      </c>
      <c r="D512" s="1" t="s">
        <v>727</v>
      </c>
      <c r="E512" s="1" t="n">
        <v>43447</v>
      </c>
      <c r="F512" s="1" t="s">
        <v>847</v>
      </c>
      <c r="G512" s="140" t="n">
        <v>46125</v>
      </c>
      <c r="H512" s="1" t="s">
        <v>1487</v>
      </c>
      <c r="J512" s="1" t="s">
        <v>1488</v>
      </c>
      <c r="K512" s="1" t="n">
        <v>2000</v>
      </c>
      <c r="M512" s="125" t="n">
        <f aca="false">Nominal_Activity[[#This Row],[Debit]]-Nominal_Activity[[#This Row],[Credit]]</f>
        <v>2000</v>
      </c>
      <c r="N512" s="1" t="str">
        <f aca="false">IF(C512="","",IFERROR(VLOOKUP(C512,Master_Mappings!$A$4:$E$85,3,FALSE()),"UNMAPPED"))</f>
        <v>Internal events and meetings</v>
      </c>
      <c r="P512" s="1" t="str">
        <f aca="false">IF($C512="","",$C512&amp;"|"&amp;$E512&amp;"|"&amp;$M512&amp;"|"&amp;TEXT($G512,"yyyy-mm-dd")&amp;"|"&amp;LEFT($J512,40))</f>
        <v>7440|43447|2000|2026-04-13|Photography for Annual planning meeting</v>
      </c>
      <c r="Q512" s="11" t="str">
        <f aca="false">IF(P512="","",IF(COUNTIF($P$2:$P$3000,P512)&gt;1,"DUPLICATE","OK"))</f>
        <v>OK</v>
      </c>
      <c r="R512" s="0" t="str">
        <f aca="false">IF($C512="","",IFERROR(VLOOKUP(--$C512,MM_Income!$Z$5:$AC$204,3,FALSE()),""))</f>
        <v/>
      </c>
    </row>
    <row r="513" customFormat="false" ht="14.9" hidden="false" customHeight="false" outlineLevel="0" collapsed="false">
      <c r="A513" s="1" t="s">
        <v>49</v>
      </c>
      <c r="B513" s="1" t="s">
        <v>89</v>
      </c>
      <c r="C513" s="1" t="n">
        <v>7440</v>
      </c>
      <c r="D513" s="1" t="s">
        <v>727</v>
      </c>
      <c r="E513" s="1" t="n">
        <v>43560</v>
      </c>
      <c r="F513" s="1" t="s">
        <v>847</v>
      </c>
      <c r="G513" s="140" t="n">
        <v>46152</v>
      </c>
      <c r="H513" s="1" t="s">
        <v>1334</v>
      </c>
      <c r="I513" s="1" t="s">
        <v>1335</v>
      </c>
      <c r="J513" s="1" t="s">
        <v>1489</v>
      </c>
      <c r="K513" s="1" t="n">
        <v>30662.17</v>
      </c>
      <c r="M513" s="125" t="n">
        <f aca="false">Nominal_Activity[[#This Row],[Debit]]-Nominal_Activity[[#This Row],[Credit]]</f>
        <v>30662.17</v>
      </c>
      <c r="N513" s="1" t="str">
        <f aca="false">IF(C513="","",IFERROR(VLOOKUP(C513,Master_Mappings!$A$4:$E$85,3,FALSE()),"UNMAPPED"))</f>
        <v>Internal events and meetings</v>
      </c>
      <c r="P513" s="1" t="str">
        <f aca="false">IF($C513="","",$C513&amp;"|"&amp;$E513&amp;"|"&amp;$M513&amp;"|"&amp;TEXT($G513,"yyyy-mm-dd")&amp;"|"&amp;LEFT($J513,40))</f>
        <v>7440|43560|30662.17|2026-05-10|Snacks and lunch for 1week staff meeting</v>
      </c>
      <c r="Q513" s="11" t="str">
        <f aca="false">IF(P513="","",IF(COUNTIF($P$2:$P$3000,P513)&gt;1,"DUPLICATE","OK"))</f>
        <v>OK</v>
      </c>
      <c r="R513" s="0" t="str">
        <f aca="false">IF($C513="","",IFERROR(VLOOKUP(--$C513,MM_Income!$Z$5:$AC$204,3,FALSE()),""))</f>
        <v/>
      </c>
    </row>
    <row r="514" customFormat="false" ht="14.9" hidden="false" customHeight="false" outlineLevel="0" collapsed="false">
      <c r="A514" s="1" t="s">
        <v>49</v>
      </c>
      <c r="B514" s="1" t="s">
        <v>89</v>
      </c>
      <c r="C514" s="1" t="n">
        <v>7440</v>
      </c>
      <c r="D514" s="1" t="s">
        <v>727</v>
      </c>
      <c r="E514" s="1" t="n">
        <v>44269</v>
      </c>
      <c r="F514" s="1" t="s">
        <v>1215</v>
      </c>
      <c r="G514" s="140" t="n">
        <v>46203</v>
      </c>
      <c r="H514" s="1" t="n">
        <v>7440</v>
      </c>
      <c r="I514" s="1" t="s">
        <v>1341</v>
      </c>
      <c r="J514" s="1" t="s">
        <v>1342</v>
      </c>
      <c r="L514" s="1" t="n">
        <v>24529.74</v>
      </c>
      <c r="M514" s="125" t="n">
        <f aca="false">Nominal_Activity[[#This Row],[Debit]]-Nominal_Activity[[#This Row],[Credit]]</f>
        <v>-24529.74</v>
      </c>
      <c r="N514" s="1" t="str">
        <f aca="false">IF(C514="","",IFERROR(VLOOKUP(C514,Master_Mappings!$A$4:$E$85,3,FALSE()),"UNMAPPED"))</f>
        <v>Internal events and meetings</v>
      </c>
      <c r="P514" s="1" t="str">
        <f aca="false">IF($C514="","",$C514&amp;"|"&amp;$E514&amp;"|"&amp;$M514&amp;"|"&amp;TEXT($G514,"yyyy-mm-dd")&amp;"|"&amp;LEFT($J514,40))</f>
        <v>7440|44269|-24529.74|2026-06-30|Taking out of training food cost posted </v>
      </c>
      <c r="Q514" s="11" t="str">
        <f aca="false">IF(P514="","",IF(COUNTIF($P$2:$P$3000,P514)&gt;1,"DUPLICATE","OK"))</f>
        <v>OK</v>
      </c>
      <c r="R514" s="0" t="str">
        <f aca="false">IF($C514="","",IFERROR(VLOOKUP(--$C514,MM_Income!$Z$5:$AC$204,3,FALSE()),""))</f>
        <v/>
      </c>
    </row>
    <row r="515" customFormat="false" ht="14.9" hidden="false" customHeight="false" outlineLevel="0" collapsed="false">
      <c r="A515" s="1" t="s">
        <v>49</v>
      </c>
      <c r="B515" s="1" t="s">
        <v>85</v>
      </c>
      <c r="C515" s="1" t="n">
        <v>7540</v>
      </c>
      <c r="D515" s="1" t="s">
        <v>729</v>
      </c>
      <c r="E515" s="1" t="n">
        <v>42265</v>
      </c>
      <c r="F515" s="1" t="s">
        <v>847</v>
      </c>
      <c r="G515" s="140" t="n">
        <v>46035</v>
      </c>
      <c r="H515" s="1" t="s">
        <v>1266</v>
      </c>
      <c r="I515" s="1" t="s">
        <v>1490</v>
      </c>
      <c r="J515" s="1" t="s">
        <v>1491</v>
      </c>
      <c r="K515" s="1" t="n">
        <v>1975</v>
      </c>
      <c r="M515" s="125" t="n">
        <f aca="false">Nominal_Activity[[#This Row],[Debit]]-Nominal_Activity[[#This Row],[Credit]]</f>
        <v>1975</v>
      </c>
      <c r="N515" s="1" t="str">
        <f aca="false">IF(C515="","",IFERROR(VLOOKUP(C515,Master_Mappings!$A$4:$E$85,3,FALSE()),"UNMAPPED"))</f>
        <v>Office Running costs</v>
      </c>
      <c r="P515" s="1" t="str">
        <f aca="false">IF($C515="","",$C515&amp;"|"&amp;$E515&amp;"|"&amp;$M515&amp;"|"&amp;TEXT($G515,"yyyy-mm-dd")&amp;"|"&amp;LEFT($J515,40))</f>
        <v>7540|42265|1975|2026-01-13|Purchase of stationery</v>
      </c>
      <c r="Q515" s="11" t="str">
        <f aca="false">IF(P515="","",IF(COUNTIF($P$2:$P$3000,P515)&gt;1,"DUPLICATE","OK"))</f>
        <v>OK</v>
      </c>
      <c r="R515" s="0" t="str">
        <f aca="false">IF($C515="","",IFERROR(VLOOKUP(--$C515,MM_Income!$Z$5:$AC$204,3,FALSE()),""))</f>
        <v/>
      </c>
    </row>
    <row r="516" customFormat="false" ht="14.9" hidden="false" customHeight="false" outlineLevel="0" collapsed="false">
      <c r="A516" s="1" t="s">
        <v>49</v>
      </c>
      <c r="B516" s="1" t="s">
        <v>85</v>
      </c>
      <c r="C516" s="1" t="n">
        <v>7540</v>
      </c>
      <c r="D516" s="1" t="s">
        <v>729</v>
      </c>
      <c r="E516" s="1" t="n">
        <v>42828</v>
      </c>
      <c r="F516" s="1" t="s">
        <v>869</v>
      </c>
      <c r="G516" s="140" t="n">
        <v>46067</v>
      </c>
      <c r="H516" s="1" t="n">
        <v>1260</v>
      </c>
      <c r="I516" s="1" t="s">
        <v>879</v>
      </c>
      <c r="J516" s="1" t="s">
        <v>1492</v>
      </c>
      <c r="K516" s="1" t="n">
        <v>1080</v>
      </c>
      <c r="M516" s="125" t="n">
        <f aca="false">Nominal_Activity[[#This Row],[Debit]]-Nominal_Activity[[#This Row],[Credit]]</f>
        <v>1080</v>
      </c>
      <c r="N516" s="1" t="str">
        <f aca="false">IF(C516="","",IFERROR(VLOOKUP(C516,Master_Mappings!$A$4:$E$85,3,FALSE()),"UNMAPPED"))</f>
        <v>Office Running costs</v>
      </c>
      <c r="P516" s="1" t="str">
        <f aca="false">IF($C516="","",$C516&amp;"|"&amp;$E516&amp;"|"&amp;$M516&amp;"|"&amp;TEXT($G516,"yyyy-mm-dd")&amp;"|"&amp;LEFT($J516,40))</f>
        <v>7540|42828|1080|2026-02-14|Batteries for sub consultant</v>
      </c>
      <c r="Q516" s="11" t="str">
        <f aca="false">IF(P516="","",IF(COUNTIF($P$2:$P$3000,P516)&gt;1,"DUPLICATE","OK"))</f>
        <v>OK</v>
      </c>
      <c r="R516" s="0" t="str">
        <f aca="false">IF($C516="","",IFERROR(VLOOKUP(--$C516,MM_Income!$Z$5:$AC$204,3,FALSE()),""))</f>
        <v/>
      </c>
    </row>
    <row r="517" customFormat="false" ht="14.9" hidden="false" customHeight="false" outlineLevel="0" collapsed="false">
      <c r="A517" s="1" t="s">
        <v>49</v>
      </c>
      <c r="B517" s="1" t="s">
        <v>89</v>
      </c>
      <c r="C517" s="1" t="n">
        <v>7540</v>
      </c>
      <c r="D517" s="1" t="s">
        <v>729</v>
      </c>
      <c r="E517" s="1" t="n">
        <v>43738</v>
      </c>
      <c r="F517" s="1" t="s">
        <v>869</v>
      </c>
      <c r="G517" s="140" t="n">
        <v>46113</v>
      </c>
      <c r="H517" s="1" t="n">
        <v>1260</v>
      </c>
      <c r="I517" s="1" t="s">
        <v>1035</v>
      </c>
      <c r="J517" s="1" t="s">
        <v>1493</v>
      </c>
      <c r="K517" s="1" t="n">
        <v>71.9</v>
      </c>
      <c r="M517" s="125" t="n">
        <f aca="false">Nominal_Activity[[#This Row],[Debit]]-Nominal_Activity[[#This Row],[Credit]]</f>
        <v>71.9</v>
      </c>
      <c r="N517" s="1" t="str">
        <f aca="false">IF(C517="","",IFERROR(VLOOKUP(C517,Master_Mappings!$A$4:$E$85,3,FALSE()),"UNMAPPED"))</f>
        <v>Office Running costs</v>
      </c>
      <c r="P517" s="1" t="str">
        <f aca="false">IF($C517="","",$C517&amp;"|"&amp;$E517&amp;"|"&amp;$M517&amp;"|"&amp;TEXT($G517,"yyyy-mm-dd")&amp;"|"&amp;LEFT($J517,40))</f>
        <v>7540|43738|71.9|2026-04-01|Batteries for Flora &amp; Fauna Survey in Ni</v>
      </c>
      <c r="Q517" s="11" t="str">
        <f aca="false">IF(P517="","",IF(COUNTIF($P$2:$P$3000,P517)&gt;1,"DUPLICATE","OK"))</f>
        <v>OK</v>
      </c>
      <c r="R517" s="0" t="str">
        <f aca="false">IF($C517="","",IFERROR(VLOOKUP(--$C517,MM_Income!$Z$5:$AC$204,3,FALSE()),""))</f>
        <v/>
      </c>
    </row>
    <row r="518" customFormat="false" ht="14.9" hidden="false" customHeight="false" outlineLevel="0" collapsed="false">
      <c r="A518" s="1" t="s">
        <v>49</v>
      </c>
      <c r="B518" s="1" t="s">
        <v>89</v>
      </c>
      <c r="C518" s="1" t="n">
        <v>7540</v>
      </c>
      <c r="D518" s="1" t="s">
        <v>729</v>
      </c>
      <c r="E518" s="1" t="n">
        <v>43770</v>
      </c>
      <c r="F518" s="1" t="s">
        <v>869</v>
      </c>
      <c r="G518" s="140" t="n">
        <v>46113</v>
      </c>
      <c r="H518" s="1" t="n">
        <v>1260</v>
      </c>
      <c r="I518" s="1" t="s">
        <v>1065</v>
      </c>
      <c r="J518" s="1" t="s">
        <v>1492</v>
      </c>
      <c r="K518" s="1" t="n">
        <v>1080</v>
      </c>
      <c r="M518" s="125" t="n">
        <f aca="false">Nominal_Activity[[#This Row],[Debit]]-Nominal_Activity[[#This Row],[Credit]]</f>
        <v>1080</v>
      </c>
      <c r="N518" s="1" t="str">
        <f aca="false">IF(C518="","",IFERROR(VLOOKUP(C518,Master_Mappings!$A$4:$E$85,3,FALSE()),"UNMAPPED"))</f>
        <v>Office Running costs</v>
      </c>
      <c r="P518" s="1" t="str">
        <f aca="false">IF($C518="","",$C518&amp;"|"&amp;$E518&amp;"|"&amp;$M518&amp;"|"&amp;TEXT($G518,"yyyy-mm-dd")&amp;"|"&amp;LEFT($J518,40))</f>
        <v>7540|43770|1080|2026-04-01|Batteries for sub consultant</v>
      </c>
      <c r="Q518" s="11" t="str">
        <f aca="false">IF(P518="","",IF(COUNTIF($P$2:$P$3000,P518)&gt;1,"DUPLICATE","OK"))</f>
        <v>OK</v>
      </c>
      <c r="R518" s="0" t="str">
        <f aca="false">IF($C518="","",IFERROR(VLOOKUP(--$C518,MM_Income!$Z$5:$AC$204,3,FALSE()),""))</f>
        <v/>
      </c>
    </row>
    <row r="519" customFormat="false" ht="14.9" hidden="false" customHeight="false" outlineLevel="0" collapsed="false">
      <c r="A519" s="1" t="s">
        <v>49</v>
      </c>
      <c r="B519" s="1" t="s">
        <v>89</v>
      </c>
      <c r="C519" s="1" t="n">
        <v>7540</v>
      </c>
      <c r="D519" s="1" t="s">
        <v>729</v>
      </c>
      <c r="E519" s="1" t="n">
        <v>44064</v>
      </c>
      <c r="F519" s="1" t="s">
        <v>847</v>
      </c>
      <c r="G519" s="140" t="n">
        <v>46190</v>
      </c>
      <c r="H519" s="1" t="s">
        <v>1266</v>
      </c>
      <c r="I519" s="1" t="s">
        <v>1324</v>
      </c>
      <c r="J519" s="1" t="s">
        <v>1494</v>
      </c>
      <c r="K519" s="1" t="n">
        <v>455</v>
      </c>
      <c r="M519" s="125" t="n">
        <f aca="false">Nominal_Activity[[#This Row],[Debit]]-Nominal_Activity[[#This Row],[Credit]]</f>
        <v>455</v>
      </c>
      <c r="N519" s="1" t="str">
        <f aca="false">IF(C519="","",IFERROR(VLOOKUP(C519,Master_Mappings!$A$4:$E$85,3,FALSE()),"UNMAPPED"))</f>
        <v>Office Running costs</v>
      </c>
      <c r="P519" s="1" t="str">
        <f aca="false">IF($C519="","",$C519&amp;"|"&amp;$E519&amp;"|"&amp;$M519&amp;"|"&amp;TEXT($G519,"yyyy-mm-dd")&amp;"|"&amp;LEFT($J519,40))</f>
        <v>7540|44064|455|2026-06-17|Purchase of stationery items for office </v>
      </c>
      <c r="Q519" s="11" t="str">
        <f aca="false">IF(P519="","",IF(COUNTIF($P$2:$P$3000,P519)&gt;1,"DUPLICATE","OK"))</f>
        <v>OK</v>
      </c>
      <c r="R519" s="0" t="str">
        <f aca="false">IF($C519="","",IFERROR(VLOOKUP(--$C519,MM_Income!$Z$5:$AC$204,3,FALSE()),""))</f>
        <v/>
      </c>
    </row>
    <row r="520" customFormat="false" ht="14.9" hidden="false" customHeight="false" outlineLevel="0" collapsed="false">
      <c r="A520" s="1" t="s">
        <v>49</v>
      </c>
      <c r="B520" s="1" t="s">
        <v>85</v>
      </c>
      <c r="C520" s="1" t="n">
        <v>7550</v>
      </c>
      <c r="D520" s="1" t="s">
        <v>731</v>
      </c>
      <c r="E520" s="1" t="n">
        <v>42789</v>
      </c>
      <c r="F520" s="1" t="s">
        <v>847</v>
      </c>
      <c r="G520" s="140" t="n">
        <v>46084</v>
      </c>
      <c r="H520" s="1" t="s">
        <v>1495</v>
      </c>
      <c r="J520" s="1" t="s">
        <v>1496</v>
      </c>
      <c r="K520" s="1" t="n">
        <v>800</v>
      </c>
      <c r="M520" s="125" t="n">
        <f aca="false">Nominal_Activity[[#This Row],[Debit]]-Nominal_Activity[[#This Row],[Credit]]</f>
        <v>800</v>
      </c>
      <c r="N520" s="1" t="str">
        <f aca="false">IF(C520="","",IFERROR(VLOOKUP(C520,Master_Mappings!$A$4:$E$85,3,FALSE()),"UNMAPPED"))</f>
        <v>Office Running costs</v>
      </c>
      <c r="P520" s="1" t="str">
        <f aca="false">IF($C520="","",$C520&amp;"|"&amp;$E520&amp;"|"&amp;$M520&amp;"|"&amp;TEXT($G520,"yyyy-mm-dd")&amp;"|"&amp;LEFT($J520,40))</f>
        <v>7550|42789|800|2026-03-03|Repairs and servicing of printers</v>
      </c>
      <c r="Q520" s="11" t="str">
        <f aca="false">IF(P520="","",IF(COUNTIF($P$2:$P$3000,P520)&gt;1,"DUPLICATE","OK"))</f>
        <v>OK</v>
      </c>
      <c r="R520" s="0" t="str">
        <f aca="false">IF($C520="","",IFERROR(VLOOKUP(--$C520,MM_Income!$Z$5:$AC$204,3,FALSE()),""))</f>
        <v/>
      </c>
    </row>
    <row r="521" customFormat="false" ht="14.9" hidden="false" customHeight="false" outlineLevel="0" collapsed="false">
      <c r="A521" s="1" t="s">
        <v>49</v>
      </c>
      <c r="B521" s="1" t="s">
        <v>85</v>
      </c>
      <c r="C521" s="1" t="n">
        <v>7550</v>
      </c>
      <c r="D521" s="1" t="s">
        <v>731</v>
      </c>
      <c r="E521" s="1" t="n">
        <v>42827</v>
      </c>
      <c r="F521" s="1" t="s">
        <v>869</v>
      </c>
      <c r="G521" s="140" t="n">
        <v>46067</v>
      </c>
      <c r="H521" s="1" t="n">
        <v>1260</v>
      </c>
      <c r="I521" s="1" t="s">
        <v>879</v>
      </c>
      <c r="J521" s="1" t="s">
        <v>1497</v>
      </c>
      <c r="K521" s="1" t="n">
        <v>330</v>
      </c>
      <c r="M521" s="125" t="n">
        <f aca="false">Nominal_Activity[[#This Row],[Debit]]-Nominal_Activity[[#This Row],[Credit]]</f>
        <v>330</v>
      </c>
      <c r="N521" s="1" t="str">
        <f aca="false">IF(C521="","",IFERROR(VLOOKUP(C521,Master_Mappings!$A$4:$E$85,3,FALSE()),"UNMAPPED"))</f>
        <v>Office Running costs</v>
      </c>
      <c r="P521" s="1" t="str">
        <f aca="false">IF($C521="","",$C521&amp;"|"&amp;$E521&amp;"|"&amp;$M521&amp;"|"&amp;TEXT($G521,"yyyy-mm-dd")&amp;"|"&amp;LEFT($J521,40))</f>
        <v>7550|42827|330|2026-02-14|Printing of maps</v>
      </c>
      <c r="Q521" s="11" t="str">
        <f aca="false">IF(P521="","",IF(COUNTIF($P$2:$P$3000,P521)&gt;1,"DUPLICATE","OK"))</f>
        <v>OK</v>
      </c>
      <c r="R521" s="0" t="str">
        <f aca="false">IF($C521="","",IFERROR(VLOOKUP(--$C521,MM_Income!$Z$5:$AC$204,3,FALSE()),""))</f>
        <v/>
      </c>
    </row>
    <row r="522" customFormat="false" ht="14.9" hidden="false" customHeight="false" outlineLevel="0" collapsed="false">
      <c r="A522" s="1" t="s">
        <v>49</v>
      </c>
      <c r="B522" s="1" t="s">
        <v>89</v>
      </c>
      <c r="C522" s="1" t="n">
        <v>7550</v>
      </c>
      <c r="D522" s="1" t="s">
        <v>731</v>
      </c>
      <c r="E522" s="1" t="n">
        <v>43562</v>
      </c>
      <c r="F522" s="1" t="s">
        <v>847</v>
      </c>
      <c r="G522" s="140" t="n">
        <v>46154</v>
      </c>
      <c r="H522" s="1" t="s">
        <v>1495</v>
      </c>
      <c r="I522" s="1" t="s">
        <v>1498</v>
      </c>
      <c r="J522" s="1" t="s">
        <v>1499</v>
      </c>
      <c r="K522" s="1" t="n">
        <v>16340</v>
      </c>
      <c r="M522" s="125" t="n">
        <f aca="false">Nominal_Activity[[#This Row],[Debit]]-Nominal_Activity[[#This Row],[Credit]]</f>
        <v>16340</v>
      </c>
      <c r="N522" s="1" t="str">
        <f aca="false">IF(C522="","",IFERROR(VLOOKUP(C522,Master_Mappings!$A$4:$E$85,3,FALSE()),"UNMAPPED"))</f>
        <v>Office Running costs</v>
      </c>
      <c r="P522" s="1" t="str">
        <f aca="false">IF($C522="","",$C522&amp;"|"&amp;$E522&amp;"|"&amp;$M522&amp;"|"&amp;TEXT($G522,"yyyy-mm-dd")&amp;"|"&amp;LEFT($J522,40))</f>
        <v>7550|43562|16340|2026-05-12|Purchase of 8 toners for printer</v>
      </c>
      <c r="Q522" s="11" t="str">
        <f aca="false">IF(P522="","",IF(COUNTIF($P$2:$P$3000,P522)&gt;1,"DUPLICATE","OK"))</f>
        <v>OK</v>
      </c>
      <c r="R522" s="0" t="str">
        <f aca="false">IF($C522="","",IFERROR(VLOOKUP(--$C522,MM_Income!$Z$5:$AC$204,3,FALSE()),""))</f>
        <v/>
      </c>
    </row>
    <row r="523" customFormat="false" ht="14.9" hidden="false" customHeight="false" outlineLevel="0" collapsed="false">
      <c r="A523" s="1" t="s">
        <v>49</v>
      </c>
      <c r="B523" s="1" t="s">
        <v>89</v>
      </c>
      <c r="C523" s="1" t="n">
        <v>7550</v>
      </c>
      <c r="D523" s="1" t="s">
        <v>731</v>
      </c>
      <c r="E523" s="1" t="n">
        <v>43769</v>
      </c>
      <c r="F523" s="1" t="s">
        <v>869</v>
      </c>
      <c r="G523" s="140" t="n">
        <v>46113</v>
      </c>
      <c r="H523" s="1" t="n">
        <v>1260</v>
      </c>
      <c r="I523" s="1" t="s">
        <v>1065</v>
      </c>
      <c r="J523" s="1" t="s">
        <v>1497</v>
      </c>
      <c r="K523" s="1" t="n">
        <v>330</v>
      </c>
      <c r="M523" s="125" t="n">
        <f aca="false">Nominal_Activity[[#This Row],[Debit]]-Nominal_Activity[[#This Row],[Credit]]</f>
        <v>330</v>
      </c>
      <c r="N523" s="1" t="str">
        <f aca="false">IF(C523="","",IFERROR(VLOOKUP(C523,Master_Mappings!$A$4:$E$85,3,FALSE()),"UNMAPPED"))</f>
        <v>Office Running costs</v>
      </c>
      <c r="P523" s="1" t="str">
        <f aca="false">IF($C523="","",$C523&amp;"|"&amp;$E523&amp;"|"&amp;$M523&amp;"|"&amp;TEXT($G523,"yyyy-mm-dd")&amp;"|"&amp;LEFT($J523,40))</f>
        <v>7550|43769|330|2026-04-01|Printing of maps</v>
      </c>
      <c r="Q523" s="11" t="str">
        <f aca="false">IF(P523="","",IF(COUNTIF($P$2:$P$3000,P523)&gt;1,"DUPLICATE","OK"))</f>
        <v>OK</v>
      </c>
      <c r="R523" s="0" t="str">
        <f aca="false">IF($C523="","",IFERROR(VLOOKUP(--$C523,MM_Income!$Z$5:$AC$204,3,FALSE()),""))</f>
        <v/>
      </c>
    </row>
    <row r="524" customFormat="false" ht="14.9" hidden="false" customHeight="false" outlineLevel="0" collapsed="false">
      <c r="A524" s="1" t="s">
        <v>49</v>
      </c>
      <c r="B524" s="1" t="s">
        <v>89</v>
      </c>
      <c r="C524" s="1" t="n">
        <v>7550</v>
      </c>
      <c r="D524" s="1" t="s">
        <v>731</v>
      </c>
      <c r="E524" s="1" t="n">
        <v>43771</v>
      </c>
      <c r="F524" s="1" t="s">
        <v>869</v>
      </c>
      <c r="G524" s="140" t="n">
        <v>46113</v>
      </c>
      <c r="H524" s="1" t="n">
        <v>1260</v>
      </c>
      <c r="I524" s="1" t="s">
        <v>1065</v>
      </c>
      <c r="J524" s="1" t="s">
        <v>1068</v>
      </c>
      <c r="K524" s="1" t="n">
        <v>251</v>
      </c>
      <c r="M524" s="125" t="n">
        <f aca="false">Nominal_Activity[[#This Row],[Debit]]-Nominal_Activity[[#This Row],[Credit]]</f>
        <v>251</v>
      </c>
      <c r="N524" s="1" t="str">
        <f aca="false">IF(C524="","",IFERROR(VLOOKUP(C524,Master_Mappings!$A$4:$E$85,3,FALSE()),"UNMAPPED"))</f>
        <v>Office Running costs</v>
      </c>
      <c r="P524" s="1" t="str">
        <f aca="false">IF($C524="","",$C524&amp;"|"&amp;$E524&amp;"|"&amp;$M524&amp;"|"&amp;TEXT($G524,"yyyy-mm-dd")&amp;"|"&amp;LEFT($J524,40))</f>
        <v>7550|43771|251|2026-04-01|Printing and Delivery of Maps</v>
      </c>
      <c r="Q524" s="11" t="str">
        <f aca="false">IF(P524="","",IF(COUNTIF($P$2:$P$3000,P524)&gt;1,"DUPLICATE","OK"))</f>
        <v>OK</v>
      </c>
      <c r="R524" s="0" t="str">
        <f aca="false">IF($C524="","",IFERROR(VLOOKUP(--$C524,MM_Income!$Z$5:$AC$204,3,FALSE()),""))</f>
        <v/>
      </c>
    </row>
    <row r="525" customFormat="false" ht="14.9" hidden="false" customHeight="false" outlineLevel="0" collapsed="false">
      <c r="A525" s="1" t="s">
        <v>49</v>
      </c>
      <c r="B525" s="1" t="s">
        <v>89</v>
      </c>
      <c r="C525" s="1" t="n">
        <v>7550</v>
      </c>
      <c r="D525" s="1" t="s">
        <v>731</v>
      </c>
      <c r="E525" s="1" t="n">
        <v>43774</v>
      </c>
      <c r="F525" s="1" t="s">
        <v>869</v>
      </c>
      <c r="G525" s="140" t="n">
        <v>46134</v>
      </c>
      <c r="H525" s="1" t="n">
        <v>1260</v>
      </c>
      <c r="I525" s="1" t="s">
        <v>1065</v>
      </c>
      <c r="J525" s="1" t="s">
        <v>1497</v>
      </c>
      <c r="K525" s="1" t="n">
        <v>330</v>
      </c>
      <c r="M525" s="125" t="n">
        <f aca="false">Nominal_Activity[[#This Row],[Debit]]-Nominal_Activity[[#This Row],[Credit]]</f>
        <v>330</v>
      </c>
      <c r="N525" s="1" t="str">
        <f aca="false">IF(C525="","",IFERROR(VLOOKUP(C525,Master_Mappings!$A$4:$E$85,3,FALSE()),"UNMAPPED"))</f>
        <v>Office Running costs</v>
      </c>
      <c r="P525" s="1" t="str">
        <f aca="false">IF($C525="","",$C525&amp;"|"&amp;$E525&amp;"|"&amp;$M525&amp;"|"&amp;TEXT($G525,"yyyy-mm-dd")&amp;"|"&amp;LEFT($J525,40))</f>
        <v>7550|43774|330|2026-04-22|Printing of maps</v>
      </c>
      <c r="Q525" s="11" t="str">
        <f aca="false">IF(P525="","",IF(COUNTIF($P$2:$P$3000,P525)&gt;1,"DUPLICATE","OK"))</f>
        <v>OK</v>
      </c>
      <c r="R525" s="0" t="str">
        <f aca="false">IF($C525="","",IFERROR(VLOOKUP(--$C525,MM_Income!$Z$5:$AC$204,3,FALSE()),""))</f>
        <v/>
      </c>
    </row>
    <row r="526" customFormat="false" ht="14.9" hidden="false" customHeight="false" outlineLevel="0" collapsed="false">
      <c r="A526" s="1" t="s">
        <v>49</v>
      </c>
      <c r="B526" s="1" t="s">
        <v>89</v>
      </c>
      <c r="C526" s="1" t="n">
        <v>7570</v>
      </c>
      <c r="D526" s="1" t="s">
        <v>534</v>
      </c>
      <c r="E526" s="1" t="n">
        <v>43903</v>
      </c>
      <c r="F526" s="1" t="s">
        <v>869</v>
      </c>
      <c r="G526" s="140" t="n">
        <v>46170</v>
      </c>
      <c r="H526" s="1" t="n">
        <v>1230</v>
      </c>
      <c r="I526" s="1" t="s">
        <v>1500</v>
      </c>
      <c r="J526" s="1" t="s">
        <v>1501</v>
      </c>
      <c r="K526" s="1" t="n">
        <v>200</v>
      </c>
      <c r="M526" s="125" t="n">
        <f aca="false">Nominal_Activity[[#This Row],[Debit]]-Nominal_Activity[[#This Row],[Credit]]</f>
        <v>200</v>
      </c>
      <c r="N526" s="1" t="str">
        <f aca="false">IF(C526="","",IFERROR(VLOOKUP(C526,Master_Mappings!$A$4:$E$85,3,FALSE()),"UNMAPPED"))</f>
        <v>Office Running costs</v>
      </c>
      <c r="P526" s="1" t="str">
        <f aca="false">IF($C526="","",$C526&amp;"|"&amp;$E526&amp;"|"&amp;$M526&amp;"|"&amp;TEXT($G526,"yyyy-mm-dd")&amp;"|"&amp;LEFT($J526,40))</f>
        <v>7570|43903|200|2026-05-28|Purchase of standing desk  for Director</v>
      </c>
      <c r="Q526" s="11" t="str">
        <f aca="false">IF(P526="","",IF(COUNTIF($P$2:$P$3000,P526)&gt;1,"DUPLICATE","OK"))</f>
        <v>OK</v>
      </c>
      <c r="R526" s="0" t="str">
        <f aca="false">IF($C526="","",IFERROR(VLOOKUP(--$C526,MM_Income!$Z$5:$AC$204,3,FALSE()),""))</f>
        <v/>
      </c>
    </row>
    <row r="527" customFormat="false" ht="14.9" hidden="false" customHeight="false" outlineLevel="0" collapsed="false">
      <c r="A527" s="1" t="s">
        <v>49</v>
      </c>
      <c r="B527" s="1" t="s">
        <v>85</v>
      </c>
      <c r="C527" s="1" t="n">
        <v>7580</v>
      </c>
      <c r="D527" s="1" t="s">
        <v>734</v>
      </c>
      <c r="E527" s="1" t="n">
        <v>42423</v>
      </c>
      <c r="F527" s="1" t="s">
        <v>869</v>
      </c>
      <c r="G527" s="140" t="n">
        <v>46036</v>
      </c>
      <c r="H527" s="1" t="n">
        <v>1260</v>
      </c>
      <c r="I527" s="1" t="s">
        <v>1502</v>
      </c>
      <c r="J527" s="1" t="s">
        <v>1503</v>
      </c>
      <c r="K527" s="1" t="n">
        <v>315</v>
      </c>
      <c r="M527" s="125" t="n">
        <f aca="false">Nominal_Activity[[#This Row],[Debit]]-Nominal_Activity[[#This Row],[Credit]]</f>
        <v>315</v>
      </c>
      <c r="N527" s="1" t="str">
        <f aca="false">IF(C527="","",IFERROR(VLOOKUP(C527,Master_Mappings!$A$4:$E$85,3,FALSE()),"UNMAPPED"))</f>
        <v>Office Running costs</v>
      </c>
      <c r="P527" s="1" t="str">
        <f aca="false">IF($C527="","",$C527&amp;"|"&amp;$E527&amp;"|"&amp;$M527&amp;"|"&amp;TEXT($G527,"yyyy-mm-dd")&amp;"|"&amp;LEFT($J527,40))</f>
        <v>7580|42423|315|2026-01-14|T &amp; T to Alisa Hotel to inspect Hotel ro</v>
      </c>
      <c r="Q527" s="11" t="str">
        <f aca="false">IF(P527="","",IF(COUNTIF($P$2:$P$3000,P527)&gt;1,"DUPLICATE","OK"))</f>
        <v>OK</v>
      </c>
      <c r="R527" s="0" t="str">
        <f aca="false">IF($C527="","",IFERROR(VLOOKUP(--$C527,MM_Income!$Z$5:$AC$204,3,FALSE()),""))</f>
        <v>Excluded — Overhead (in fixed costs)</v>
      </c>
    </row>
    <row r="528" customFormat="false" ht="14.9" hidden="false" customHeight="false" outlineLevel="0" collapsed="false">
      <c r="A528" s="1" t="s">
        <v>49</v>
      </c>
      <c r="B528" s="1" t="s">
        <v>85</v>
      </c>
      <c r="C528" s="1" t="n">
        <v>7580</v>
      </c>
      <c r="D528" s="1" t="s">
        <v>734</v>
      </c>
      <c r="E528" s="1" t="n">
        <v>42525</v>
      </c>
      <c r="F528" s="1" t="s">
        <v>869</v>
      </c>
      <c r="G528" s="140" t="n">
        <v>46042</v>
      </c>
      <c r="H528" s="1" t="n">
        <v>1230</v>
      </c>
      <c r="I528" s="1" t="s">
        <v>1504</v>
      </c>
      <c r="J528" s="1" t="s">
        <v>1505</v>
      </c>
      <c r="K528" s="1" t="n">
        <v>43</v>
      </c>
      <c r="M528" s="125" t="n">
        <f aca="false">Nominal_Activity[[#This Row],[Debit]]-Nominal_Activity[[#This Row],[Credit]]</f>
        <v>43</v>
      </c>
      <c r="N528" s="1" t="str">
        <f aca="false">IF(C528="","",IFERROR(VLOOKUP(C528,Master_Mappings!$A$4:$E$85,3,FALSE()),"UNMAPPED"))</f>
        <v>Office Running costs</v>
      </c>
      <c r="P528" s="1" t="str">
        <f aca="false">IF($C528="","",$C528&amp;"|"&amp;$E528&amp;"|"&amp;$M528&amp;"|"&amp;TEXT($G528,"yyyy-mm-dd")&amp;"|"&amp;LEFT($J528,40))</f>
        <v>7580|42525|43|2026-01-20|Yango to and From Ecobank</v>
      </c>
      <c r="Q528" s="11" t="str">
        <f aca="false">IF(P528="","",IF(COUNTIF($P$2:$P$3000,P528)&gt;1,"DUPLICATE","OK"))</f>
        <v>OK</v>
      </c>
      <c r="R528" s="0" t="str">
        <f aca="false">IF($C528="","",IFERROR(VLOOKUP(--$C528,MM_Income!$Z$5:$AC$204,3,FALSE()),""))</f>
        <v>Excluded — Overhead (in fixed costs)</v>
      </c>
    </row>
    <row r="529" customFormat="false" ht="14.9" hidden="false" customHeight="false" outlineLevel="0" collapsed="false">
      <c r="A529" s="1" t="s">
        <v>49</v>
      </c>
      <c r="B529" s="1" t="s">
        <v>85</v>
      </c>
      <c r="C529" s="1" t="n">
        <v>7580</v>
      </c>
      <c r="D529" s="1" t="s">
        <v>734</v>
      </c>
      <c r="E529" s="1" t="n">
        <v>42547</v>
      </c>
      <c r="F529" s="1" t="s">
        <v>869</v>
      </c>
      <c r="G529" s="140" t="n">
        <v>46062</v>
      </c>
      <c r="H529" s="1" t="n">
        <v>1230</v>
      </c>
      <c r="I529" s="1" t="s">
        <v>1506</v>
      </c>
      <c r="J529" s="1" t="s">
        <v>1507</v>
      </c>
      <c r="K529" s="1" t="n">
        <v>150</v>
      </c>
      <c r="M529" s="125" t="n">
        <f aca="false">Nominal_Activity[[#This Row],[Debit]]-Nominal_Activity[[#This Row],[Credit]]</f>
        <v>150</v>
      </c>
      <c r="N529" s="1" t="str">
        <f aca="false">IF(C529="","",IFERROR(VLOOKUP(C529,Master_Mappings!$A$4:$E$85,3,FALSE()),"UNMAPPED"))</f>
        <v>Office Running costs</v>
      </c>
      <c r="P529" s="1" t="str">
        <f aca="false">IF($C529="","",$C529&amp;"|"&amp;$E529&amp;"|"&amp;$M529&amp;"|"&amp;TEXT($G529,"yyyy-mm-dd")&amp;"|"&amp;LEFT($J529,40))</f>
        <v>7580|42547|150|2026-02-09|Bolt to and from ecobank and forex burea</v>
      </c>
      <c r="Q529" s="11" t="str">
        <f aca="false">IF(P529="","",IF(COUNTIF($P$2:$P$3000,P529)&gt;1,"DUPLICATE","OK"))</f>
        <v>OK</v>
      </c>
      <c r="R529" s="0" t="str">
        <f aca="false">IF($C529="","",IFERROR(VLOOKUP(--$C529,MM_Income!$Z$5:$AC$204,3,FALSE()),""))</f>
        <v>Excluded — Overhead (in fixed costs)</v>
      </c>
    </row>
    <row r="530" customFormat="false" ht="14.9" hidden="false" customHeight="false" outlineLevel="0" collapsed="false">
      <c r="A530" s="1" t="s">
        <v>49</v>
      </c>
      <c r="B530" s="1" t="s">
        <v>85</v>
      </c>
      <c r="C530" s="1" t="n">
        <v>7580</v>
      </c>
      <c r="D530" s="1" t="s">
        <v>734</v>
      </c>
      <c r="E530" s="1" t="n">
        <v>42825</v>
      </c>
      <c r="F530" s="1" t="s">
        <v>869</v>
      </c>
      <c r="G530" s="140" t="n">
        <v>46069</v>
      </c>
      <c r="H530" s="1" t="n">
        <v>1260</v>
      </c>
      <c r="I530" s="1" t="s">
        <v>879</v>
      </c>
      <c r="J530" s="1" t="s">
        <v>1508</v>
      </c>
      <c r="K530" s="1" t="n">
        <v>116.21</v>
      </c>
      <c r="M530" s="125" t="n">
        <f aca="false">Nominal_Activity[[#This Row],[Debit]]-Nominal_Activity[[#This Row],[Credit]]</f>
        <v>116.21</v>
      </c>
      <c r="N530" s="1" t="str">
        <f aca="false">IF(C530="","",IFERROR(VLOOKUP(C530,Master_Mappings!$A$4:$E$85,3,FALSE()),"UNMAPPED"))</f>
        <v>Office Running costs</v>
      </c>
      <c r="P530" s="1" t="str">
        <f aca="false">IF($C530="","",$C530&amp;"|"&amp;$E530&amp;"|"&amp;$M530&amp;"|"&amp;TEXT($G530,"yyyy-mm-dd")&amp;"|"&amp;LEFT($J530,40))</f>
        <v>7580|42825|116.21|2026-02-16|Luggage Overweight payment</v>
      </c>
      <c r="Q530" s="11" t="str">
        <f aca="false">IF(P530="","",IF(COUNTIF($P$2:$P$3000,P530)&gt;1,"DUPLICATE","OK"))</f>
        <v>OK</v>
      </c>
      <c r="R530" s="0" t="str">
        <f aca="false">IF($C530="","",IFERROR(VLOOKUP(--$C530,MM_Income!$Z$5:$AC$204,3,FALSE()),""))</f>
        <v>Excluded — Overhead (in fixed costs)</v>
      </c>
    </row>
    <row r="531" customFormat="false" ht="14.9" hidden="false" customHeight="false" outlineLevel="0" collapsed="false">
      <c r="A531" s="1" t="s">
        <v>49</v>
      </c>
      <c r="B531" s="1" t="s">
        <v>85</v>
      </c>
      <c r="C531" s="1" t="n">
        <v>7580</v>
      </c>
      <c r="D531" s="1" t="s">
        <v>734</v>
      </c>
      <c r="E531" s="1" t="n">
        <v>42826</v>
      </c>
      <c r="F531" s="1" t="s">
        <v>869</v>
      </c>
      <c r="G531" s="140" t="n">
        <v>46067</v>
      </c>
      <c r="H531" s="1" t="n">
        <v>1260</v>
      </c>
      <c r="I531" s="1" t="s">
        <v>879</v>
      </c>
      <c r="J531" s="1" t="s">
        <v>1509</v>
      </c>
      <c r="K531" s="1" t="n">
        <v>49</v>
      </c>
      <c r="M531" s="125" t="n">
        <f aca="false">Nominal_Activity[[#This Row],[Debit]]-Nominal_Activity[[#This Row],[Credit]]</f>
        <v>49</v>
      </c>
      <c r="N531" s="1" t="str">
        <f aca="false">IF(C531="","",IFERROR(VLOOKUP(C531,Master_Mappings!$A$4:$E$85,3,FALSE()),"UNMAPPED"))</f>
        <v>Office Running costs</v>
      </c>
      <c r="P531" s="1" t="str">
        <f aca="false">IF($C531="","",$C531&amp;"|"&amp;$E531&amp;"|"&amp;$M531&amp;"|"&amp;TEXT($G531,"yyyy-mm-dd")&amp;"|"&amp;LEFT($J531,40))</f>
        <v>7580|42826|49|2026-02-14|Delivery of maps</v>
      </c>
      <c r="Q531" s="11" t="str">
        <f aca="false">IF(P531="","",IF(COUNTIF($P$2:$P$3000,P531)&gt;1,"DUPLICATE","OK"))</f>
        <v>OK</v>
      </c>
      <c r="R531" s="0" t="str">
        <f aca="false">IF($C531="","",IFERROR(VLOOKUP(--$C531,MM_Income!$Z$5:$AC$204,3,FALSE()),""))</f>
        <v>Excluded — Overhead (in fixed costs)</v>
      </c>
    </row>
    <row r="532" customFormat="false" ht="14.9" hidden="false" customHeight="false" outlineLevel="0" collapsed="false">
      <c r="A532" s="1" t="s">
        <v>49</v>
      </c>
      <c r="B532" s="1" t="s">
        <v>85</v>
      </c>
      <c r="C532" s="1" t="n">
        <v>7580</v>
      </c>
      <c r="D532" s="1" t="s">
        <v>734</v>
      </c>
      <c r="E532" s="1" t="n">
        <v>42923</v>
      </c>
      <c r="F532" s="1" t="s">
        <v>869</v>
      </c>
      <c r="G532" s="140" t="n">
        <v>46085</v>
      </c>
      <c r="H532" s="1" t="n">
        <v>1230</v>
      </c>
      <c r="I532" s="1" t="s">
        <v>1278</v>
      </c>
      <c r="J532" s="1" t="s">
        <v>1510</v>
      </c>
      <c r="K532" s="1" t="n">
        <v>23</v>
      </c>
      <c r="M532" s="125" t="n">
        <f aca="false">Nominal_Activity[[#This Row],[Debit]]-Nominal_Activity[[#This Row],[Credit]]</f>
        <v>23</v>
      </c>
      <c r="N532" s="1" t="str">
        <f aca="false">IF(C532="","",IFERROR(VLOOKUP(C532,Master_Mappings!$A$4:$E$85,3,FALSE()),"UNMAPPED"))</f>
        <v>Office Running costs</v>
      </c>
      <c r="P532" s="1" t="str">
        <f aca="false">IF($C532="","",$C532&amp;"|"&amp;$E532&amp;"|"&amp;$M532&amp;"|"&amp;TEXT($G532,"yyyy-mm-dd")&amp;"|"&amp;LEFT($J532,40))</f>
        <v>7580|42923|23|2026-03-04|Yango to purchase dispenser water</v>
      </c>
      <c r="Q532" s="11" t="str">
        <f aca="false">IF(P532="","",IF(COUNTIF($P$2:$P$3000,P532)&gt;1,"DUPLICATE","OK"))</f>
        <v>OK</v>
      </c>
      <c r="R532" s="0" t="str">
        <f aca="false">IF($C532="","",IFERROR(VLOOKUP(--$C532,MM_Income!$Z$5:$AC$204,3,FALSE()),""))</f>
        <v>Excluded — Overhead (in fixed costs)</v>
      </c>
    </row>
    <row r="533" customFormat="false" ht="14.9" hidden="false" customHeight="false" outlineLevel="0" collapsed="false">
      <c r="A533" s="1" t="s">
        <v>49</v>
      </c>
      <c r="B533" s="1" t="s">
        <v>89</v>
      </c>
      <c r="C533" s="1" t="n">
        <v>7580</v>
      </c>
      <c r="D533" s="1" t="s">
        <v>734</v>
      </c>
      <c r="E533" s="1" t="n">
        <v>42932</v>
      </c>
      <c r="F533" s="1" t="s">
        <v>869</v>
      </c>
      <c r="G533" s="140" t="n">
        <v>46114</v>
      </c>
      <c r="H533" s="1" t="n">
        <v>1230</v>
      </c>
      <c r="I533" s="1" t="s">
        <v>1511</v>
      </c>
      <c r="J533" s="1" t="s">
        <v>1512</v>
      </c>
      <c r="K533" s="1" t="n">
        <v>39</v>
      </c>
      <c r="M533" s="125" t="n">
        <f aca="false">Nominal_Activity[[#This Row],[Debit]]-Nominal_Activity[[#This Row],[Credit]]</f>
        <v>39</v>
      </c>
      <c r="N533" s="1" t="str">
        <f aca="false">IF(C533="","",IFERROR(VLOOKUP(C533,Master_Mappings!$A$4:$E$85,3,FALSE()),"UNMAPPED"))</f>
        <v>Office Running costs</v>
      </c>
      <c r="P533" s="1" t="str">
        <f aca="false">IF($C533="","",$C533&amp;"|"&amp;$E533&amp;"|"&amp;$M533&amp;"|"&amp;TEXT($G533,"yyyy-mm-dd")&amp;"|"&amp;LEFT($J533,40))</f>
        <v>7580|42932|39|2026-04-02|Yango to and from ecobank for cash withd</v>
      </c>
      <c r="Q533" s="11" t="str">
        <f aca="false">IF(P533="","",IF(COUNTIF($P$2:$P$3000,P533)&gt;1,"DUPLICATE","OK"))</f>
        <v>OK</v>
      </c>
      <c r="R533" s="0" t="str">
        <f aca="false">IF($C533="","",IFERROR(VLOOKUP(--$C533,MM_Income!$Z$5:$AC$204,3,FALSE()),""))</f>
        <v>Excluded — Overhead (in fixed costs)</v>
      </c>
    </row>
    <row r="534" customFormat="false" ht="14.9" hidden="false" customHeight="false" outlineLevel="0" collapsed="false">
      <c r="A534" s="1" t="s">
        <v>49</v>
      </c>
      <c r="B534" s="1" t="s">
        <v>89</v>
      </c>
      <c r="C534" s="1" t="n">
        <v>7580</v>
      </c>
      <c r="D534" s="1" t="s">
        <v>734</v>
      </c>
      <c r="E534" s="1" t="n">
        <v>43185</v>
      </c>
      <c r="F534" s="1" t="s">
        <v>869</v>
      </c>
      <c r="G534" s="140" t="n">
        <v>46119</v>
      </c>
      <c r="H534" s="1" t="n">
        <v>1230</v>
      </c>
      <c r="I534" s="1" t="s">
        <v>1282</v>
      </c>
      <c r="J534" s="1" t="s">
        <v>1513</v>
      </c>
      <c r="K534" s="1" t="n">
        <v>20</v>
      </c>
      <c r="M534" s="125" t="n">
        <f aca="false">Nominal_Activity[[#This Row],[Debit]]-Nominal_Activity[[#This Row],[Credit]]</f>
        <v>20</v>
      </c>
      <c r="N534" s="1" t="str">
        <f aca="false">IF(C534="","",IFERROR(VLOOKUP(C534,Master_Mappings!$A$4:$E$85,3,FALSE()),"UNMAPPED"))</f>
        <v>Office Running costs</v>
      </c>
      <c r="P534" s="1" t="str">
        <f aca="false">IF($C534="","",$C534&amp;"|"&amp;$E534&amp;"|"&amp;$M534&amp;"|"&amp;TEXT($G534,"yyyy-mm-dd")&amp;"|"&amp;LEFT($J534,40))</f>
        <v>7580|43185|20|2026-04-07|Delivery of lunch</v>
      </c>
      <c r="Q534" s="11" t="str">
        <f aca="false">IF(P534="","",IF(COUNTIF($P$2:$P$3000,P534)&gt;1,"DUPLICATE","OK"))</f>
        <v>OK</v>
      </c>
      <c r="R534" s="0" t="str">
        <f aca="false">IF($C534="","",IFERROR(VLOOKUP(--$C534,MM_Income!$Z$5:$AC$204,3,FALSE()),""))</f>
        <v>Excluded — Overhead (in fixed costs)</v>
      </c>
    </row>
    <row r="535" customFormat="false" ht="14.9" hidden="false" customHeight="false" outlineLevel="0" collapsed="false">
      <c r="A535" s="1" t="s">
        <v>49</v>
      </c>
      <c r="B535" s="1" t="s">
        <v>89</v>
      </c>
      <c r="C535" s="1" t="n">
        <v>7580</v>
      </c>
      <c r="D535" s="1" t="s">
        <v>734</v>
      </c>
      <c r="E535" s="1" t="n">
        <v>43189</v>
      </c>
      <c r="F535" s="1" t="s">
        <v>869</v>
      </c>
      <c r="G535" s="140" t="n">
        <v>46125</v>
      </c>
      <c r="H535" s="1" t="n">
        <v>1230</v>
      </c>
      <c r="I535" s="1" t="s">
        <v>1284</v>
      </c>
      <c r="J535" s="1" t="s">
        <v>1513</v>
      </c>
      <c r="K535" s="1" t="n">
        <v>19</v>
      </c>
      <c r="M535" s="125" t="n">
        <f aca="false">Nominal_Activity[[#This Row],[Debit]]-Nominal_Activity[[#This Row],[Credit]]</f>
        <v>19</v>
      </c>
      <c r="N535" s="1" t="str">
        <f aca="false">IF(C535="","",IFERROR(VLOOKUP(C535,Master_Mappings!$A$4:$E$85,3,FALSE()),"UNMAPPED"))</f>
        <v>Office Running costs</v>
      </c>
      <c r="P535" s="1" t="str">
        <f aca="false">IF($C535="","",$C535&amp;"|"&amp;$E535&amp;"|"&amp;$M535&amp;"|"&amp;TEXT($G535,"yyyy-mm-dd")&amp;"|"&amp;LEFT($J535,40))</f>
        <v>7580|43189|19|2026-04-13|Delivery of lunch</v>
      </c>
      <c r="Q535" s="11" t="str">
        <f aca="false">IF(P535="","",IF(COUNTIF($P$2:$P$3000,P535)&gt;1,"DUPLICATE","OK"))</f>
        <v>OK</v>
      </c>
      <c r="R535" s="0" t="str">
        <f aca="false">IF($C535="","",IFERROR(VLOOKUP(--$C535,MM_Income!$Z$5:$AC$204,3,FALSE()),""))</f>
        <v>Excluded — Overhead (in fixed costs)</v>
      </c>
    </row>
    <row r="536" customFormat="false" ht="14.9" hidden="false" customHeight="false" outlineLevel="0" collapsed="false">
      <c r="A536" s="1" t="s">
        <v>49</v>
      </c>
      <c r="B536" s="1" t="s">
        <v>89</v>
      </c>
      <c r="C536" s="1" t="n">
        <v>7580</v>
      </c>
      <c r="D536" s="1" t="s">
        <v>734</v>
      </c>
      <c r="E536" s="1" t="n">
        <v>43192</v>
      </c>
      <c r="F536" s="1" t="s">
        <v>869</v>
      </c>
      <c r="G536" s="140" t="n">
        <v>46126</v>
      </c>
      <c r="H536" s="1" t="n">
        <v>1230</v>
      </c>
      <c r="I536" s="1" t="s">
        <v>1285</v>
      </c>
      <c r="J536" s="1" t="s">
        <v>1513</v>
      </c>
      <c r="K536" s="1" t="n">
        <v>30</v>
      </c>
      <c r="M536" s="125" t="n">
        <f aca="false">Nominal_Activity[[#This Row],[Debit]]-Nominal_Activity[[#This Row],[Credit]]</f>
        <v>30</v>
      </c>
      <c r="N536" s="1" t="str">
        <f aca="false">IF(C536="","",IFERROR(VLOOKUP(C536,Master_Mappings!$A$4:$E$85,3,FALSE()),"UNMAPPED"))</f>
        <v>Office Running costs</v>
      </c>
      <c r="P536" s="1" t="str">
        <f aca="false">IF($C536="","",$C536&amp;"|"&amp;$E536&amp;"|"&amp;$M536&amp;"|"&amp;TEXT($G536,"yyyy-mm-dd")&amp;"|"&amp;LEFT($J536,40))</f>
        <v>7580|43192|30|2026-04-14|Delivery of lunch</v>
      </c>
      <c r="Q536" s="11" t="str">
        <f aca="false">IF(P536="","",IF(COUNTIF($P$2:$P$3000,P536)&gt;1,"DUPLICATE","OK"))</f>
        <v>OK</v>
      </c>
      <c r="R536" s="0" t="str">
        <f aca="false">IF($C536="","",IFERROR(VLOOKUP(--$C536,MM_Income!$Z$5:$AC$204,3,FALSE()),""))</f>
        <v>Excluded — Overhead (in fixed costs)</v>
      </c>
    </row>
    <row r="537" customFormat="false" ht="14.9" hidden="false" customHeight="false" outlineLevel="0" collapsed="false">
      <c r="A537" s="1" t="s">
        <v>49</v>
      </c>
      <c r="B537" s="1" t="s">
        <v>89</v>
      </c>
      <c r="C537" s="1" t="n">
        <v>7580</v>
      </c>
      <c r="D537" s="1" t="s">
        <v>734</v>
      </c>
      <c r="E537" s="1" t="n">
        <v>43195</v>
      </c>
      <c r="F537" s="1" t="s">
        <v>869</v>
      </c>
      <c r="G537" s="140" t="n">
        <v>46127</v>
      </c>
      <c r="H537" s="1" t="n">
        <v>1230</v>
      </c>
      <c r="I537" s="1" t="s">
        <v>1286</v>
      </c>
      <c r="J537" s="1" t="s">
        <v>1513</v>
      </c>
      <c r="K537" s="1" t="n">
        <v>20</v>
      </c>
      <c r="M537" s="125" t="n">
        <f aca="false">Nominal_Activity[[#This Row],[Debit]]-Nominal_Activity[[#This Row],[Credit]]</f>
        <v>20</v>
      </c>
      <c r="N537" s="1" t="str">
        <f aca="false">IF(C537="","",IFERROR(VLOOKUP(C537,Master_Mappings!$A$4:$E$85,3,FALSE()),"UNMAPPED"))</f>
        <v>Office Running costs</v>
      </c>
      <c r="P537" s="1" t="str">
        <f aca="false">IF($C537="","",$C537&amp;"|"&amp;$E537&amp;"|"&amp;$M537&amp;"|"&amp;TEXT($G537,"yyyy-mm-dd")&amp;"|"&amp;LEFT($J537,40))</f>
        <v>7580|43195|20|2026-04-15|Delivery of lunch</v>
      </c>
      <c r="Q537" s="11" t="str">
        <f aca="false">IF(P537="","",IF(COUNTIF($P$2:$P$3000,P537)&gt;1,"DUPLICATE","OK"))</f>
        <v>OK</v>
      </c>
      <c r="R537" s="0" t="str">
        <f aca="false">IF($C537="","",IFERROR(VLOOKUP(--$C537,MM_Income!$Z$5:$AC$204,3,FALSE()),""))</f>
        <v>Excluded — Overhead (in fixed costs)</v>
      </c>
    </row>
    <row r="538" customFormat="false" ht="14.9" hidden="false" customHeight="false" outlineLevel="0" collapsed="false">
      <c r="A538" s="1" t="s">
        <v>49</v>
      </c>
      <c r="B538" s="1" t="s">
        <v>89</v>
      </c>
      <c r="C538" s="1" t="n">
        <v>7580</v>
      </c>
      <c r="D538" s="1" t="s">
        <v>734</v>
      </c>
      <c r="E538" s="1" t="n">
        <v>43198</v>
      </c>
      <c r="F538" s="1" t="s">
        <v>869</v>
      </c>
      <c r="G538" s="140" t="n">
        <v>46128</v>
      </c>
      <c r="H538" s="1" t="n">
        <v>1230</v>
      </c>
      <c r="I538" s="1" t="s">
        <v>1287</v>
      </c>
      <c r="J538" s="1" t="s">
        <v>1513</v>
      </c>
      <c r="K538" s="1" t="n">
        <v>33</v>
      </c>
      <c r="M538" s="125" t="n">
        <f aca="false">Nominal_Activity[[#This Row],[Debit]]-Nominal_Activity[[#This Row],[Credit]]</f>
        <v>33</v>
      </c>
      <c r="N538" s="1" t="str">
        <f aca="false">IF(C538="","",IFERROR(VLOOKUP(C538,Master_Mappings!$A$4:$E$85,3,FALSE()),"UNMAPPED"))</f>
        <v>Office Running costs</v>
      </c>
      <c r="P538" s="1" t="str">
        <f aca="false">IF($C538="","",$C538&amp;"|"&amp;$E538&amp;"|"&amp;$M538&amp;"|"&amp;TEXT($G538,"yyyy-mm-dd")&amp;"|"&amp;LEFT($J538,40))</f>
        <v>7580|43198|33|2026-04-16|Delivery of lunch</v>
      </c>
      <c r="Q538" s="11" t="str">
        <f aca="false">IF(P538="","",IF(COUNTIF($P$2:$P$3000,P538)&gt;1,"DUPLICATE","OK"))</f>
        <v>OK</v>
      </c>
      <c r="R538" s="0" t="str">
        <f aca="false">IF($C538="","",IFERROR(VLOOKUP(--$C538,MM_Income!$Z$5:$AC$204,3,FALSE()),""))</f>
        <v>Excluded — Overhead (in fixed costs)</v>
      </c>
    </row>
    <row r="539" customFormat="false" ht="14.9" hidden="false" customHeight="false" outlineLevel="0" collapsed="false">
      <c r="A539" s="1" t="s">
        <v>49</v>
      </c>
      <c r="B539" s="1" t="s">
        <v>89</v>
      </c>
      <c r="C539" s="1" t="n">
        <v>7580</v>
      </c>
      <c r="D539" s="1" t="s">
        <v>734</v>
      </c>
      <c r="E539" s="1" t="n">
        <v>43205</v>
      </c>
      <c r="F539" s="1" t="s">
        <v>869</v>
      </c>
      <c r="G539" s="140" t="n">
        <v>46132</v>
      </c>
      <c r="H539" s="1" t="n">
        <v>1230</v>
      </c>
      <c r="I539" s="1" t="s">
        <v>1290</v>
      </c>
      <c r="J539" s="1" t="s">
        <v>1513</v>
      </c>
      <c r="K539" s="1" t="n">
        <v>20</v>
      </c>
      <c r="M539" s="125" t="n">
        <f aca="false">Nominal_Activity[[#This Row],[Debit]]-Nominal_Activity[[#This Row],[Credit]]</f>
        <v>20</v>
      </c>
      <c r="N539" s="1" t="str">
        <f aca="false">IF(C539="","",IFERROR(VLOOKUP(C539,Master_Mappings!$A$4:$E$85,3,FALSE()),"UNMAPPED"))</f>
        <v>Office Running costs</v>
      </c>
      <c r="P539" s="1" t="str">
        <f aca="false">IF($C539="","",$C539&amp;"|"&amp;$E539&amp;"|"&amp;$M539&amp;"|"&amp;TEXT($G539,"yyyy-mm-dd")&amp;"|"&amp;LEFT($J539,40))</f>
        <v>7580|43205|20|2026-04-20|Delivery of lunch</v>
      </c>
      <c r="Q539" s="11" t="str">
        <f aca="false">IF(P539="","",IF(COUNTIF($P$2:$P$3000,P539)&gt;1,"DUPLICATE","OK"))</f>
        <v>OK</v>
      </c>
      <c r="R539" s="0" t="str">
        <f aca="false">IF($C539="","",IFERROR(VLOOKUP(--$C539,MM_Income!$Z$5:$AC$204,3,FALSE()),""))</f>
        <v>Excluded — Overhead (in fixed costs)</v>
      </c>
    </row>
    <row r="540" customFormat="false" ht="14.9" hidden="false" customHeight="false" outlineLevel="0" collapsed="false">
      <c r="A540" s="1" t="s">
        <v>49</v>
      </c>
      <c r="B540" s="1" t="s">
        <v>89</v>
      </c>
      <c r="C540" s="1" t="n">
        <v>7580</v>
      </c>
      <c r="D540" s="1" t="s">
        <v>734</v>
      </c>
      <c r="E540" s="1" t="n">
        <v>43206</v>
      </c>
      <c r="F540" s="1" t="s">
        <v>869</v>
      </c>
      <c r="G540" s="140" t="n">
        <v>46132</v>
      </c>
      <c r="H540" s="1" t="n">
        <v>1230</v>
      </c>
      <c r="I540" s="1" t="s">
        <v>1514</v>
      </c>
      <c r="J540" s="1" t="s">
        <v>1515</v>
      </c>
      <c r="K540" s="1" t="n">
        <v>50</v>
      </c>
      <c r="M540" s="125" t="n">
        <f aca="false">Nominal_Activity[[#This Row],[Debit]]-Nominal_Activity[[#This Row],[Credit]]</f>
        <v>50</v>
      </c>
      <c r="N540" s="1" t="str">
        <f aca="false">IF(C540="","",IFERROR(VLOOKUP(C540,Master_Mappings!$A$4:$E$85,3,FALSE()),"UNMAPPED"))</f>
        <v>Office Running costs</v>
      </c>
      <c r="P540" s="1" t="str">
        <f aca="false">IF($C540="","",$C540&amp;"|"&amp;$E540&amp;"|"&amp;$M540&amp;"|"&amp;TEXT($G540,"yyyy-mm-dd")&amp;"|"&amp;LEFT($J540,40))</f>
        <v>7580|43206|50|2026-04-20|Bolt to and from repairing Ab's phone</v>
      </c>
      <c r="Q540" s="11" t="str">
        <f aca="false">IF(P540="","",IF(COUNTIF($P$2:$P$3000,P540)&gt;1,"DUPLICATE","OK"))</f>
        <v>OK</v>
      </c>
      <c r="R540" s="0" t="str">
        <f aca="false">IF($C540="","",IFERROR(VLOOKUP(--$C540,MM_Income!$Z$5:$AC$204,3,FALSE()),""))</f>
        <v>Excluded — Overhead (in fixed costs)</v>
      </c>
    </row>
    <row r="541" customFormat="false" ht="14.9" hidden="false" customHeight="false" outlineLevel="0" collapsed="false">
      <c r="A541" s="1" t="s">
        <v>49</v>
      </c>
      <c r="B541" s="1" t="s">
        <v>89</v>
      </c>
      <c r="C541" s="1" t="n">
        <v>7580</v>
      </c>
      <c r="D541" s="1" t="s">
        <v>734</v>
      </c>
      <c r="E541" s="1" t="n">
        <v>43209</v>
      </c>
      <c r="F541" s="1" t="s">
        <v>869</v>
      </c>
      <c r="G541" s="140" t="n">
        <v>46133</v>
      </c>
      <c r="H541" s="1" t="n">
        <v>1230</v>
      </c>
      <c r="I541" s="1" t="s">
        <v>1291</v>
      </c>
      <c r="J541" s="1" t="s">
        <v>1513</v>
      </c>
      <c r="K541" s="1" t="n">
        <v>17</v>
      </c>
      <c r="M541" s="125" t="n">
        <f aca="false">Nominal_Activity[[#This Row],[Debit]]-Nominal_Activity[[#This Row],[Credit]]</f>
        <v>17</v>
      </c>
      <c r="N541" s="1" t="str">
        <f aca="false">IF(C541="","",IFERROR(VLOOKUP(C541,Master_Mappings!$A$4:$E$85,3,FALSE()),"UNMAPPED"))</f>
        <v>Office Running costs</v>
      </c>
      <c r="P541" s="1" t="str">
        <f aca="false">IF($C541="","",$C541&amp;"|"&amp;$E541&amp;"|"&amp;$M541&amp;"|"&amp;TEXT($G541,"yyyy-mm-dd")&amp;"|"&amp;LEFT($J541,40))</f>
        <v>7580|43209|17|2026-04-21|Delivery of lunch</v>
      </c>
      <c r="Q541" s="11" t="str">
        <f aca="false">IF(P541="","",IF(COUNTIF($P$2:$P$3000,P541)&gt;1,"DUPLICATE","OK"))</f>
        <v>OK</v>
      </c>
      <c r="R541" s="0" t="str">
        <f aca="false">IF($C541="","",IFERROR(VLOOKUP(--$C541,MM_Income!$Z$5:$AC$204,3,FALSE()),""))</f>
        <v>Excluded — Overhead (in fixed costs)</v>
      </c>
    </row>
    <row r="542" customFormat="false" ht="14.9" hidden="false" customHeight="false" outlineLevel="0" collapsed="false">
      <c r="A542" s="1" t="s">
        <v>49</v>
      </c>
      <c r="B542" s="1" t="s">
        <v>89</v>
      </c>
      <c r="C542" s="1" t="n">
        <v>7580</v>
      </c>
      <c r="D542" s="1" t="s">
        <v>734</v>
      </c>
      <c r="E542" s="1" t="n">
        <v>43214</v>
      </c>
      <c r="F542" s="1" t="s">
        <v>869</v>
      </c>
      <c r="G542" s="140" t="n">
        <v>46134</v>
      </c>
      <c r="H542" s="1" t="n">
        <v>1230</v>
      </c>
      <c r="I542" s="1" t="s">
        <v>1292</v>
      </c>
      <c r="J542" s="1" t="s">
        <v>1513</v>
      </c>
      <c r="K542" s="1" t="n">
        <v>30</v>
      </c>
      <c r="M542" s="125" t="n">
        <f aca="false">Nominal_Activity[[#This Row],[Debit]]-Nominal_Activity[[#This Row],[Credit]]</f>
        <v>30</v>
      </c>
      <c r="N542" s="1" t="str">
        <f aca="false">IF(C542="","",IFERROR(VLOOKUP(C542,Master_Mappings!$A$4:$E$85,3,FALSE()),"UNMAPPED"))</f>
        <v>Office Running costs</v>
      </c>
      <c r="P542" s="1" t="str">
        <f aca="false">IF($C542="","",$C542&amp;"|"&amp;$E542&amp;"|"&amp;$M542&amp;"|"&amp;TEXT($G542,"yyyy-mm-dd")&amp;"|"&amp;LEFT($J542,40))</f>
        <v>7580|43214|30|2026-04-22|Delivery of lunch</v>
      </c>
      <c r="Q542" s="11" t="str">
        <f aca="false">IF(P542="","",IF(COUNTIF($P$2:$P$3000,P542)&gt;1,"DUPLICATE","OK"))</f>
        <v>OK</v>
      </c>
      <c r="R542" s="0" t="str">
        <f aca="false">IF($C542="","",IFERROR(VLOOKUP(--$C542,MM_Income!$Z$5:$AC$204,3,FALSE()),""))</f>
        <v>Excluded — Overhead (in fixed costs)</v>
      </c>
    </row>
    <row r="543" customFormat="false" ht="14.9" hidden="false" customHeight="false" outlineLevel="0" collapsed="false">
      <c r="A543" s="1" t="s">
        <v>49</v>
      </c>
      <c r="B543" s="1" t="s">
        <v>89</v>
      </c>
      <c r="C543" s="1" t="n">
        <v>7580</v>
      </c>
      <c r="D543" s="1" t="s">
        <v>734</v>
      </c>
      <c r="E543" s="1" t="n">
        <v>43246</v>
      </c>
      <c r="F543" s="1" t="s">
        <v>869</v>
      </c>
      <c r="G543" s="140" t="n">
        <v>46136</v>
      </c>
      <c r="H543" s="1" t="n">
        <v>1230</v>
      </c>
      <c r="I543" s="1" t="s">
        <v>1516</v>
      </c>
      <c r="J543" s="1" t="s">
        <v>1517</v>
      </c>
      <c r="K543" s="1" t="n">
        <v>151</v>
      </c>
      <c r="M543" s="125" t="n">
        <f aca="false">Nominal_Activity[[#This Row],[Debit]]-Nominal_Activity[[#This Row],[Credit]]</f>
        <v>151</v>
      </c>
      <c r="N543" s="1" t="str">
        <f aca="false">IF(C543="","",IFERROR(VLOOKUP(C543,Master_Mappings!$A$4:$E$85,3,FALSE()),"UNMAPPED"))</f>
        <v>Office Running costs</v>
      </c>
      <c r="P543" s="1" t="str">
        <f aca="false">IF($C543="","",$C543&amp;"|"&amp;$E543&amp;"|"&amp;$M543&amp;"|"&amp;TEXT($G543,"yyyy-mm-dd")&amp;"|"&amp;LEFT($J543,40))</f>
        <v>7580|43246|151|2026-04-24|Bolt to and from  3 repair shops to fix </v>
      </c>
      <c r="Q543" s="11" t="str">
        <f aca="false">IF(P543="","",IF(COUNTIF($P$2:$P$3000,P543)&gt;1,"DUPLICATE","OK"))</f>
        <v>OK</v>
      </c>
      <c r="R543" s="0" t="str">
        <f aca="false">IF($C543="","",IFERROR(VLOOKUP(--$C543,MM_Income!$Z$5:$AC$204,3,FALSE()),""))</f>
        <v>Excluded — Overhead (in fixed costs)</v>
      </c>
    </row>
    <row r="544" customFormat="false" ht="14.9" hidden="false" customHeight="false" outlineLevel="0" collapsed="false">
      <c r="A544" s="1" t="s">
        <v>49</v>
      </c>
      <c r="B544" s="1" t="s">
        <v>89</v>
      </c>
      <c r="C544" s="1" t="n">
        <v>7580</v>
      </c>
      <c r="D544" s="1" t="s">
        <v>734</v>
      </c>
      <c r="E544" s="1" t="n">
        <v>43256</v>
      </c>
      <c r="F544" s="1" t="s">
        <v>869</v>
      </c>
      <c r="G544" s="140" t="n">
        <v>46139</v>
      </c>
      <c r="H544" s="1" t="n">
        <v>1230</v>
      </c>
      <c r="I544" s="1" t="s">
        <v>1518</v>
      </c>
      <c r="J544" s="1" t="s">
        <v>1519</v>
      </c>
      <c r="K544" s="1" t="n">
        <v>56</v>
      </c>
      <c r="M544" s="125" t="n">
        <f aca="false">Nominal_Activity[[#This Row],[Debit]]-Nominal_Activity[[#This Row],[Credit]]</f>
        <v>56</v>
      </c>
      <c r="N544" s="1" t="str">
        <f aca="false">IF(C544="","",IFERROR(VLOOKUP(C544,Master_Mappings!$A$4:$E$85,3,FALSE()),"UNMAPPED"))</f>
        <v>Office Running costs</v>
      </c>
      <c r="P544" s="1" t="str">
        <f aca="false">IF($C544="","",$C544&amp;"|"&amp;$E544&amp;"|"&amp;$M544&amp;"|"&amp;TEXT($G544,"yyyy-mm-dd")&amp;"|"&amp;LEFT($J544,40))</f>
        <v>7580|43256|56|2026-04-27|Yango to GRA and back to office-submissi</v>
      </c>
      <c r="Q544" s="11" t="str">
        <f aca="false">IF(P544="","",IF(COUNTIF($P$2:$P$3000,P544)&gt;1,"DUPLICATE","OK"))</f>
        <v>OK</v>
      </c>
      <c r="R544" s="0" t="str">
        <f aca="false">IF($C544="","",IFERROR(VLOOKUP(--$C544,MM_Income!$Z$5:$AC$204,3,FALSE()),""))</f>
        <v>Excluded — Overhead (in fixed costs)</v>
      </c>
    </row>
    <row r="545" customFormat="false" ht="14.9" hidden="false" customHeight="false" outlineLevel="0" collapsed="false">
      <c r="A545" s="1" t="s">
        <v>49</v>
      </c>
      <c r="B545" s="1" t="s">
        <v>89</v>
      </c>
      <c r="C545" s="1" t="n">
        <v>7580</v>
      </c>
      <c r="D545" s="1" t="s">
        <v>734</v>
      </c>
      <c r="E545" s="1" t="n">
        <v>43307</v>
      </c>
      <c r="F545" s="1" t="s">
        <v>869</v>
      </c>
      <c r="G545" s="140" t="n">
        <v>46139</v>
      </c>
      <c r="H545" s="1" t="n">
        <v>1230</v>
      </c>
      <c r="I545" s="1" t="s">
        <v>1293</v>
      </c>
      <c r="J545" s="1" t="s">
        <v>1513</v>
      </c>
      <c r="K545" s="1" t="n">
        <v>20</v>
      </c>
      <c r="M545" s="125" t="n">
        <f aca="false">Nominal_Activity[[#This Row],[Debit]]-Nominal_Activity[[#This Row],[Credit]]</f>
        <v>20</v>
      </c>
      <c r="N545" s="1" t="str">
        <f aca="false">IF(C545="","",IFERROR(VLOOKUP(C545,Master_Mappings!$A$4:$E$85,3,FALSE()),"UNMAPPED"))</f>
        <v>Office Running costs</v>
      </c>
      <c r="P545" s="1" t="str">
        <f aca="false">IF($C545="","",$C545&amp;"|"&amp;$E545&amp;"|"&amp;$M545&amp;"|"&amp;TEXT($G545,"yyyy-mm-dd")&amp;"|"&amp;LEFT($J545,40))</f>
        <v>7580|43307|20|2026-04-27|Delivery of lunch</v>
      </c>
      <c r="Q545" s="11" t="str">
        <f aca="false">IF(P545="","",IF(COUNTIF($P$2:$P$3000,P545)&gt;1,"DUPLICATE","OK"))</f>
        <v>OK</v>
      </c>
      <c r="R545" s="0" t="str">
        <f aca="false">IF($C545="","",IFERROR(VLOOKUP(--$C545,MM_Income!$Z$5:$AC$204,3,FALSE()),""))</f>
        <v>Excluded — Overhead (in fixed costs)</v>
      </c>
    </row>
    <row r="546" customFormat="false" ht="14.9" hidden="false" customHeight="false" outlineLevel="0" collapsed="false">
      <c r="A546" s="1" t="s">
        <v>49</v>
      </c>
      <c r="B546" s="1" t="s">
        <v>89</v>
      </c>
      <c r="C546" s="1" t="n">
        <v>7580</v>
      </c>
      <c r="D546" s="1" t="s">
        <v>734</v>
      </c>
      <c r="E546" s="1" t="n">
        <v>43312</v>
      </c>
      <c r="F546" s="1" t="s">
        <v>869</v>
      </c>
      <c r="G546" s="140" t="n">
        <v>46140</v>
      </c>
      <c r="H546" s="1" t="n">
        <v>1230</v>
      </c>
      <c r="I546" s="1" t="s">
        <v>1294</v>
      </c>
      <c r="J546" s="1" t="s">
        <v>1513</v>
      </c>
      <c r="K546" s="1" t="n">
        <v>20</v>
      </c>
      <c r="M546" s="125" t="n">
        <f aca="false">Nominal_Activity[[#This Row],[Debit]]-Nominal_Activity[[#This Row],[Credit]]</f>
        <v>20</v>
      </c>
      <c r="N546" s="1" t="str">
        <f aca="false">IF(C546="","",IFERROR(VLOOKUP(C546,Master_Mappings!$A$4:$E$85,3,FALSE()),"UNMAPPED"))</f>
        <v>Office Running costs</v>
      </c>
      <c r="P546" s="1" t="str">
        <f aca="false">IF($C546="","",$C546&amp;"|"&amp;$E546&amp;"|"&amp;$M546&amp;"|"&amp;TEXT($G546,"yyyy-mm-dd")&amp;"|"&amp;LEFT($J546,40))</f>
        <v>7580|43312|20|2026-04-28|Delivery of lunch</v>
      </c>
      <c r="Q546" s="11" t="str">
        <f aca="false">IF(P546="","",IF(COUNTIF($P$2:$P$3000,P546)&gt;1,"DUPLICATE","OK"))</f>
        <v>OK</v>
      </c>
      <c r="R546" s="0" t="str">
        <f aca="false">IF($C546="","",IFERROR(VLOOKUP(--$C546,MM_Income!$Z$5:$AC$204,3,FALSE()),""))</f>
        <v>Excluded — Overhead (in fixed costs)</v>
      </c>
    </row>
    <row r="547" customFormat="false" ht="14.9" hidden="false" customHeight="false" outlineLevel="0" collapsed="false">
      <c r="A547" s="1" t="s">
        <v>49</v>
      </c>
      <c r="B547" s="1" t="s">
        <v>89</v>
      </c>
      <c r="C547" s="1" t="n">
        <v>7580</v>
      </c>
      <c r="D547" s="1" t="s">
        <v>734</v>
      </c>
      <c r="E547" s="1" t="n">
        <v>43511</v>
      </c>
      <c r="F547" s="1" t="s">
        <v>869</v>
      </c>
      <c r="G547" s="140" t="n">
        <v>46147</v>
      </c>
      <c r="H547" s="1" t="n">
        <v>1230</v>
      </c>
      <c r="I547" s="1" t="s">
        <v>1297</v>
      </c>
      <c r="J547" s="1" t="s">
        <v>1513</v>
      </c>
      <c r="K547" s="1" t="n">
        <v>20</v>
      </c>
      <c r="M547" s="125" t="n">
        <f aca="false">Nominal_Activity[[#This Row],[Debit]]-Nominal_Activity[[#This Row],[Credit]]</f>
        <v>20</v>
      </c>
      <c r="N547" s="1" t="str">
        <f aca="false">IF(C547="","",IFERROR(VLOOKUP(C547,Master_Mappings!$A$4:$E$85,3,FALSE()),"UNMAPPED"))</f>
        <v>Office Running costs</v>
      </c>
      <c r="P547" s="1" t="str">
        <f aca="false">IF($C547="","",$C547&amp;"|"&amp;$E547&amp;"|"&amp;$M547&amp;"|"&amp;TEXT($G547,"yyyy-mm-dd")&amp;"|"&amp;LEFT($J547,40))</f>
        <v>7580|43511|20|2026-05-05|Delivery of lunch</v>
      </c>
      <c r="Q547" s="11" t="str">
        <f aca="false">IF(P547="","",IF(COUNTIF($P$2:$P$3000,P547)&gt;1,"DUPLICATE","OK"))</f>
        <v>OK</v>
      </c>
      <c r="R547" s="0" t="str">
        <f aca="false">IF($C547="","",IFERROR(VLOOKUP(--$C547,MM_Income!$Z$5:$AC$204,3,FALSE()),""))</f>
        <v>Excluded — Overhead (in fixed costs)</v>
      </c>
    </row>
    <row r="548" customFormat="false" ht="14.9" hidden="false" customHeight="false" outlineLevel="0" collapsed="false">
      <c r="A548" s="1" t="s">
        <v>49</v>
      </c>
      <c r="B548" s="1" t="s">
        <v>89</v>
      </c>
      <c r="C548" s="1" t="n">
        <v>7580</v>
      </c>
      <c r="D548" s="1" t="s">
        <v>734</v>
      </c>
      <c r="E548" s="1" t="n">
        <v>43522</v>
      </c>
      <c r="F548" s="1" t="s">
        <v>869</v>
      </c>
      <c r="G548" s="140" t="n">
        <v>46150</v>
      </c>
      <c r="H548" s="1" t="n">
        <v>1230</v>
      </c>
      <c r="I548" s="1" t="s">
        <v>1301</v>
      </c>
      <c r="J548" s="1" t="s">
        <v>1513</v>
      </c>
      <c r="K548" s="1" t="n">
        <v>20</v>
      </c>
      <c r="M548" s="125" t="n">
        <f aca="false">Nominal_Activity[[#This Row],[Debit]]-Nominal_Activity[[#This Row],[Credit]]</f>
        <v>20</v>
      </c>
      <c r="N548" s="1" t="str">
        <f aca="false">IF(C548="","",IFERROR(VLOOKUP(C548,Master_Mappings!$A$4:$E$85,3,FALSE()),"UNMAPPED"))</f>
        <v>Office Running costs</v>
      </c>
      <c r="P548" s="1" t="str">
        <f aca="false">IF($C548="","",$C548&amp;"|"&amp;$E548&amp;"|"&amp;$M548&amp;"|"&amp;TEXT($G548,"yyyy-mm-dd")&amp;"|"&amp;LEFT($J548,40))</f>
        <v>7580|43522|20|2026-05-08|Delivery of lunch</v>
      </c>
      <c r="Q548" s="11" t="str">
        <f aca="false">IF(P548="","",IF(COUNTIF($P$2:$P$3000,P548)&gt;1,"DUPLICATE","OK"))</f>
        <v>OK</v>
      </c>
      <c r="R548" s="0" t="str">
        <f aca="false">IF($C548="","",IFERROR(VLOOKUP(--$C548,MM_Income!$Z$5:$AC$204,3,FALSE()),""))</f>
        <v>Excluded — Overhead (in fixed costs)</v>
      </c>
    </row>
    <row r="549" customFormat="false" ht="14.9" hidden="false" customHeight="false" outlineLevel="0" collapsed="false">
      <c r="A549" s="1" t="s">
        <v>49</v>
      </c>
      <c r="B549" s="1" t="s">
        <v>89</v>
      </c>
      <c r="C549" s="1" t="n">
        <v>7580</v>
      </c>
      <c r="D549" s="1" t="s">
        <v>734</v>
      </c>
      <c r="E549" s="1" t="n">
        <v>43529</v>
      </c>
      <c r="F549" s="1" t="s">
        <v>869</v>
      </c>
      <c r="G549" s="140" t="n">
        <v>46153</v>
      </c>
      <c r="H549" s="1" t="n">
        <v>1230</v>
      </c>
      <c r="I549" s="1" t="s">
        <v>991</v>
      </c>
      <c r="J549" s="1" t="s">
        <v>992</v>
      </c>
      <c r="K549" s="1" t="n">
        <v>75</v>
      </c>
      <c r="M549" s="125" t="n">
        <f aca="false">Nominal_Activity[[#This Row],[Debit]]-Nominal_Activity[[#This Row],[Credit]]</f>
        <v>75</v>
      </c>
      <c r="N549" s="1" t="str">
        <f aca="false">IF(C549="","",IFERROR(VLOOKUP(C549,Master_Mappings!$A$4:$E$85,3,FALSE()),"UNMAPPED"))</f>
        <v>Office Running costs</v>
      </c>
      <c r="P549" s="1" t="str">
        <f aca="false">IF($C549="","",$C549&amp;"|"&amp;$E549&amp;"|"&amp;$M549&amp;"|"&amp;TEXT($G549,"yyyy-mm-dd")&amp;"|"&amp;LEFT($J549,40))</f>
        <v>7580|43529|75|2026-05-11|Bolt for KNB to FC</v>
      </c>
      <c r="Q549" s="11" t="str">
        <f aca="false">IF(P549="","",IF(COUNTIF($P$2:$P$3000,P549)&gt;1,"DUPLICATE","OK"))</f>
        <v>OK</v>
      </c>
      <c r="R549" s="0" t="str">
        <f aca="false">IF($C549="","",IFERROR(VLOOKUP(--$C549,MM_Income!$Z$5:$AC$204,3,FALSE()),""))</f>
        <v>Excluded — Overhead (in fixed costs)</v>
      </c>
    </row>
    <row r="550" customFormat="false" ht="14.9" hidden="false" customHeight="false" outlineLevel="0" collapsed="false">
      <c r="A550" s="1" t="s">
        <v>49</v>
      </c>
      <c r="B550" s="1" t="s">
        <v>89</v>
      </c>
      <c r="C550" s="1" t="n">
        <v>7580</v>
      </c>
      <c r="D550" s="1" t="s">
        <v>734</v>
      </c>
      <c r="E550" s="1" t="n">
        <v>43541</v>
      </c>
      <c r="F550" s="1" t="s">
        <v>869</v>
      </c>
      <c r="G550" s="140" t="n">
        <v>46160</v>
      </c>
      <c r="H550" s="1" t="n">
        <v>1230</v>
      </c>
      <c r="I550" s="1" t="s">
        <v>1303</v>
      </c>
      <c r="J550" s="1" t="s">
        <v>1513</v>
      </c>
      <c r="K550" s="1" t="n">
        <v>20</v>
      </c>
      <c r="M550" s="125" t="n">
        <f aca="false">Nominal_Activity[[#This Row],[Debit]]-Nominal_Activity[[#This Row],[Credit]]</f>
        <v>20</v>
      </c>
      <c r="N550" s="1" t="str">
        <f aca="false">IF(C550="","",IFERROR(VLOOKUP(C550,Master_Mappings!$A$4:$E$85,3,FALSE()),"UNMAPPED"))</f>
        <v>Office Running costs</v>
      </c>
      <c r="P550" s="1" t="str">
        <f aca="false">IF($C550="","",$C550&amp;"|"&amp;$E550&amp;"|"&amp;$M550&amp;"|"&amp;TEXT($G550,"yyyy-mm-dd")&amp;"|"&amp;LEFT($J550,40))</f>
        <v>7580|43541|20|2026-05-18|Delivery of lunch</v>
      </c>
      <c r="Q550" s="11" t="str">
        <f aca="false">IF(P550="","",IF(COUNTIF($P$2:$P$3000,P550)&gt;1,"DUPLICATE","OK"))</f>
        <v>OK</v>
      </c>
      <c r="R550" s="0" t="str">
        <f aca="false">IF($C550="","",IFERROR(VLOOKUP(--$C550,MM_Income!$Z$5:$AC$204,3,FALSE()),""))</f>
        <v>Excluded — Overhead (in fixed costs)</v>
      </c>
    </row>
    <row r="551" customFormat="false" ht="14.9" hidden="false" customHeight="false" outlineLevel="0" collapsed="false">
      <c r="A551" s="1" t="s">
        <v>49</v>
      </c>
      <c r="B551" s="1" t="s">
        <v>89</v>
      </c>
      <c r="C551" s="1" t="n">
        <v>7580</v>
      </c>
      <c r="D551" s="1" t="s">
        <v>734</v>
      </c>
      <c r="E551" s="1" t="n">
        <v>43767</v>
      </c>
      <c r="F551" s="1" t="s">
        <v>869</v>
      </c>
      <c r="G551" s="140" t="n">
        <v>46113</v>
      </c>
      <c r="H551" s="1" t="n">
        <v>1260</v>
      </c>
      <c r="I551" s="1" t="s">
        <v>1065</v>
      </c>
      <c r="J551" s="1" t="s">
        <v>1508</v>
      </c>
      <c r="K551" s="1" t="n">
        <v>116.23</v>
      </c>
      <c r="M551" s="125" t="n">
        <f aca="false">Nominal_Activity[[#This Row],[Debit]]-Nominal_Activity[[#This Row],[Credit]]</f>
        <v>116.23</v>
      </c>
      <c r="N551" s="1" t="str">
        <f aca="false">IF(C551="","",IFERROR(VLOOKUP(C551,Master_Mappings!$A$4:$E$85,3,FALSE()),"UNMAPPED"))</f>
        <v>Office Running costs</v>
      </c>
      <c r="P551" s="1" t="str">
        <f aca="false">IF($C551="","",$C551&amp;"|"&amp;$E551&amp;"|"&amp;$M551&amp;"|"&amp;TEXT($G551,"yyyy-mm-dd")&amp;"|"&amp;LEFT($J551,40))</f>
        <v>7580|43767|116.23|2026-04-01|Luggage Overweight payment</v>
      </c>
      <c r="Q551" s="11" t="str">
        <f aca="false">IF(P551="","",IF(COUNTIF($P$2:$P$3000,P551)&gt;1,"DUPLICATE","OK"))</f>
        <v>OK</v>
      </c>
      <c r="R551" s="0" t="str">
        <f aca="false">IF($C551="","",IFERROR(VLOOKUP(--$C551,MM_Income!$Z$5:$AC$204,3,FALSE()),""))</f>
        <v>Excluded — Overhead (in fixed costs)</v>
      </c>
    </row>
    <row r="552" customFormat="false" ht="14.9" hidden="false" customHeight="false" outlineLevel="0" collapsed="false">
      <c r="A552" s="1" t="s">
        <v>49</v>
      </c>
      <c r="B552" s="1" t="s">
        <v>89</v>
      </c>
      <c r="C552" s="1" t="n">
        <v>7580</v>
      </c>
      <c r="D552" s="1" t="s">
        <v>734</v>
      </c>
      <c r="E552" s="1" t="n">
        <v>43768</v>
      </c>
      <c r="F552" s="1" t="s">
        <v>869</v>
      </c>
      <c r="G552" s="140" t="n">
        <v>46113</v>
      </c>
      <c r="H552" s="1" t="n">
        <v>1260</v>
      </c>
      <c r="I552" s="1" t="s">
        <v>1065</v>
      </c>
      <c r="J552" s="1" t="s">
        <v>1509</v>
      </c>
      <c r="K552" s="1" t="n">
        <v>49</v>
      </c>
      <c r="M552" s="125" t="n">
        <f aca="false">Nominal_Activity[[#This Row],[Debit]]-Nominal_Activity[[#This Row],[Credit]]</f>
        <v>49</v>
      </c>
      <c r="N552" s="1" t="str">
        <f aca="false">IF(C552="","",IFERROR(VLOOKUP(C552,Master_Mappings!$A$4:$E$85,3,FALSE()),"UNMAPPED"))</f>
        <v>Office Running costs</v>
      </c>
      <c r="P552" s="1" t="str">
        <f aca="false">IF($C552="","",$C552&amp;"|"&amp;$E552&amp;"|"&amp;$M552&amp;"|"&amp;TEXT($G552,"yyyy-mm-dd")&amp;"|"&amp;LEFT($J552,40))</f>
        <v>7580|43768|49|2026-04-01|Delivery of maps</v>
      </c>
      <c r="Q552" s="11" t="str">
        <f aca="false">IF(P552="","",IF(COUNTIF($P$2:$P$3000,P552)&gt;1,"DUPLICATE","OK"))</f>
        <v>OK</v>
      </c>
      <c r="R552" s="0" t="str">
        <f aca="false">IF($C552="","",IFERROR(VLOOKUP(--$C552,MM_Income!$Z$5:$AC$204,3,FALSE()),""))</f>
        <v>Excluded — Overhead (in fixed costs)</v>
      </c>
    </row>
    <row r="553" customFormat="false" ht="14.9" hidden="false" customHeight="false" outlineLevel="0" collapsed="false">
      <c r="A553" s="1" t="s">
        <v>49</v>
      </c>
      <c r="B553" s="1" t="s">
        <v>89</v>
      </c>
      <c r="C553" s="1" t="n">
        <v>7580</v>
      </c>
      <c r="D553" s="1" t="s">
        <v>734</v>
      </c>
      <c r="E553" s="1" t="n">
        <v>43773</v>
      </c>
      <c r="F553" s="1" t="s">
        <v>869</v>
      </c>
      <c r="G553" s="140" t="n">
        <v>46134</v>
      </c>
      <c r="H553" s="1" t="n">
        <v>1260</v>
      </c>
      <c r="I553" s="1" t="s">
        <v>1065</v>
      </c>
      <c r="J553" s="1" t="s">
        <v>1150</v>
      </c>
      <c r="K553" s="1" t="n">
        <v>115</v>
      </c>
      <c r="M553" s="125" t="n">
        <f aca="false">Nominal_Activity[[#This Row],[Debit]]-Nominal_Activity[[#This Row],[Credit]]</f>
        <v>115</v>
      </c>
      <c r="N553" s="1" t="str">
        <f aca="false">IF(C553="","",IFERROR(VLOOKUP(C553,Master_Mappings!$A$4:$E$85,3,FALSE()),"UNMAPPED"))</f>
        <v>Office Running costs</v>
      </c>
      <c r="P553" s="1" t="str">
        <f aca="false">IF($C553="","",$C553&amp;"|"&amp;$E553&amp;"|"&amp;$M553&amp;"|"&amp;TEXT($G553,"yyyy-mm-dd")&amp;"|"&amp;LEFT($J553,40))</f>
        <v>7580|43773|115|2026-04-22|Transportation to the airport</v>
      </c>
      <c r="Q553" s="11" t="str">
        <f aca="false">IF(P553="","",IF(COUNTIF($P$2:$P$3000,P553)&gt;1,"DUPLICATE","OK"))</f>
        <v>OK</v>
      </c>
      <c r="R553" s="0" t="str">
        <f aca="false">IF($C553="","",IFERROR(VLOOKUP(--$C553,MM_Income!$Z$5:$AC$204,3,FALSE()),""))</f>
        <v>Excluded — Overhead (in fixed costs)</v>
      </c>
    </row>
    <row r="554" customFormat="false" ht="14.9" hidden="false" customHeight="false" outlineLevel="0" collapsed="false">
      <c r="A554" s="1" t="s">
        <v>49</v>
      </c>
      <c r="B554" s="1" t="s">
        <v>89</v>
      </c>
      <c r="C554" s="1" t="n">
        <v>7580</v>
      </c>
      <c r="D554" s="1" t="s">
        <v>734</v>
      </c>
      <c r="E554" s="1" t="n">
        <v>43775</v>
      </c>
      <c r="F554" s="1" t="s">
        <v>869</v>
      </c>
      <c r="G554" s="140" t="n">
        <v>46134</v>
      </c>
      <c r="H554" s="1" t="n">
        <v>1260</v>
      </c>
      <c r="I554" s="1" t="s">
        <v>1065</v>
      </c>
      <c r="J554" s="1" t="s">
        <v>1509</v>
      </c>
      <c r="K554" s="1" t="n">
        <v>34</v>
      </c>
      <c r="M554" s="125" t="n">
        <f aca="false">Nominal_Activity[[#This Row],[Debit]]-Nominal_Activity[[#This Row],[Credit]]</f>
        <v>34</v>
      </c>
      <c r="N554" s="1" t="str">
        <f aca="false">IF(C554="","",IFERROR(VLOOKUP(C554,Master_Mappings!$A$4:$E$85,3,FALSE()),"UNMAPPED"))</f>
        <v>Office Running costs</v>
      </c>
      <c r="P554" s="1" t="str">
        <f aca="false">IF($C554="","",$C554&amp;"|"&amp;$E554&amp;"|"&amp;$M554&amp;"|"&amp;TEXT($G554,"yyyy-mm-dd")&amp;"|"&amp;LEFT($J554,40))</f>
        <v>7580|43775|34|2026-04-22|Delivery of maps</v>
      </c>
      <c r="Q554" s="11" t="str">
        <f aca="false">IF(P554="","",IF(COUNTIF($P$2:$P$3000,P554)&gt;1,"DUPLICATE","OK"))</f>
        <v>OK</v>
      </c>
      <c r="R554" s="0" t="str">
        <f aca="false">IF($C554="","",IFERROR(VLOOKUP(--$C554,MM_Income!$Z$5:$AC$204,3,FALSE()),""))</f>
        <v>Excluded — Overhead (in fixed costs)</v>
      </c>
    </row>
    <row r="555" customFormat="false" ht="14.9" hidden="false" customHeight="false" outlineLevel="0" collapsed="false">
      <c r="A555" s="1" t="s">
        <v>49</v>
      </c>
      <c r="B555" s="1" t="s">
        <v>89</v>
      </c>
      <c r="C555" s="1" t="n">
        <v>7580</v>
      </c>
      <c r="D555" s="1" t="s">
        <v>734</v>
      </c>
      <c r="E555" s="1" t="n">
        <v>43784</v>
      </c>
      <c r="F555" s="1" t="s">
        <v>869</v>
      </c>
      <c r="G555" s="140" t="n">
        <v>46127</v>
      </c>
      <c r="H555" s="1" t="n">
        <v>1260</v>
      </c>
      <c r="I555" s="1" t="s">
        <v>1305</v>
      </c>
      <c r="J555" s="1" t="s">
        <v>1520</v>
      </c>
      <c r="K555" s="1" t="n">
        <v>80</v>
      </c>
      <c r="M555" s="125" t="n">
        <f aca="false">Nominal_Activity[[#This Row],[Debit]]-Nominal_Activity[[#This Row],[Credit]]</f>
        <v>80</v>
      </c>
      <c r="N555" s="1" t="str">
        <f aca="false">IF(C555="","",IFERROR(VLOOKUP(C555,Master_Mappings!$A$4:$E$85,3,FALSE()),"UNMAPPED"))</f>
        <v>Office Running costs</v>
      </c>
      <c r="P555" s="1" t="str">
        <f aca="false">IF($C555="","",$C555&amp;"|"&amp;$E555&amp;"|"&amp;$M555&amp;"|"&amp;TEXT($G555,"yyyy-mm-dd")&amp;"|"&amp;LEFT($J555,40))</f>
        <v>7580|43784|80|2026-04-15|Delivery of First Aid Kit bags</v>
      </c>
      <c r="Q555" s="11" t="str">
        <f aca="false">IF(P555="","",IF(COUNTIF($P$2:$P$3000,P555)&gt;1,"DUPLICATE","OK"))</f>
        <v>OK</v>
      </c>
      <c r="R555" s="0" t="str">
        <f aca="false">IF($C555="","",IFERROR(VLOOKUP(--$C555,MM_Income!$Z$5:$AC$204,3,FALSE()),""))</f>
        <v>Excluded — Overhead (in fixed costs)</v>
      </c>
    </row>
    <row r="556" customFormat="false" ht="14.9" hidden="false" customHeight="false" outlineLevel="0" collapsed="false">
      <c r="A556" s="1" t="s">
        <v>49</v>
      </c>
      <c r="B556" s="1" t="s">
        <v>89</v>
      </c>
      <c r="C556" s="1" t="n">
        <v>7580</v>
      </c>
      <c r="D556" s="1" t="s">
        <v>734</v>
      </c>
      <c r="E556" s="1" t="n">
        <v>43831</v>
      </c>
      <c r="F556" s="1" t="s">
        <v>869</v>
      </c>
      <c r="G556" s="140" t="n">
        <v>46113</v>
      </c>
      <c r="H556" s="1" t="n">
        <v>1260</v>
      </c>
      <c r="I556" s="1" t="s">
        <v>1093</v>
      </c>
      <c r="J556" s="1" t="s">
        <v>1095</v>
      </c>
      <c r="K556" s="1" t="n">
        <v>132</v>
      </c>
      <c r="M556" s="125" t="n">
        <f aca="false">Nominal_Activity[[#This Row],[Debit]]-Nominal_Activity[[#This Row],[Credit]]</f>
        <v>132</v>
      </c>
      <c r="N556" s="1" t="str">
        <f aca="false">IF(C556="","",IFERROR(VLOOKUP(C556,Master_Mappings!$A$4:$E$85,3,FALSE()),"UNMAPPED"))</f>
        <v>Office Running costs</v>
      </c>
      <c r="P556" s="1" t="str">
        <f aca="false">IF($C556="","",$C556&amp;"|"&amp;$E556&amp;"|"&amp;$M556&amp;"|"&amp;TEXT($G556,"yyyy-mm-dd")&amp;"|"&amp;LEFT($J556,40))</f>
        <v>7580|43831|132|2026-04-01|Bolt ride from airport to home</v>
      </c>
      <c r="Q556" s="11" t="str">
        <f aca="false">IF(P556="","",IF(COUNTIF($P$2:$P$3000,P556)&gt;1,"DUPLICATE","OK"))</f>
        <v>OK</v>
      </c>
      <c r="R556" s="0" t="str">
        <f aca="false">IF($C556="","",IFERROR(VLOOKUP(--$C556,MM_Income!$Z$5:$AC$204,3,FALSE()),""))</f>
        <v>Excluded — Overhead (in fixed costs)</v>
      </c>
    </row>
    <row r="557" customFormat="false" ht="14.9" hidden="false" customHeight="false" outlineLevel="0" collapsed="false">
      <c r="A557" s="1" t="s">
        <v>49</v>
      </c>
      <c r="B557" s="1" t="s">
        <v>89</v>
      </c>
      <c r="C557" s="1" t="n">
        <v>7580</v>
      </c>
      <c r="D557" s="1" t="s">
        <v>734</v>
      </c>
      <c r="E557" s="1" t="n">
        <v>43832</v>
      </c>
      <c r="F557" s="1" t="s">
        <v>869</v>
      </c>
      <c r="G557" s="140" t="n">
        <v>46113</v>
      </c>
      <c r="H557" s="1" t="n">
        <v>1260</v>
      </c>
      <c r="I557" s="1" t="s">
        <v>1093</v>
      </c>
      <c r="J557" s="1" t="s">
        <v>1096</v>
      </c>
      <c r="K557" s="1" t="n">
        <v>166</v>
      </c>
      <c r="M557" s="125" t="n">
        <f aca="false">Nominal_Activity[[#This Row],[Debit]]-Nominal_Activity[[#This Row],[Credit]]</f>
        <v>166</v>
      </c>
      <c r="N557" s="1" t="str">
        <f aca="false">IF(C557="","",IFERROR(VLOOKUP(C557,Master_Mappings!$A$4:$E$85,3,FALSE()),"UNMAPPED"))</f>
        <v>Office Running costs</v>
      </c>
      <c r="P557" s="1" t="str">
        <f aca="false">IF($C557="","",$C557&amp;"|"&amp;$E557&amp;"|"&amp;$M557&amp;"|"&amp;TEXT($G557,"yyyy-mm-dd")&amp;"|"&amp;LEFT($J557,40))</f>
        <v>7580|43832|166|2026-04-01|Bolt ride from home to airport</v>
      </c>
      <c r="Q557" s="11" t="str">
        <f aca="false">IF(P557="","",IF(COUNTIF($P$2:$P$3000,P557)&gt;1,"DUPLICATE","OK"))</f>
        <v>OK</v>
      </c>
      <c r="R557" s="0" t="str">
        <f aca="false">IF($C557="","",IFERROR(VLOOKUP(--$C557,MM_Income!$Z$5:$AC$204,3,FALSE()),""))</f>
        <v>Excluded — Overhead (in fixed costs)</v>
      </c>
    </row>
    <row r="558" customFormat="false" ht="14.9" hidden="false" customHeight="false" outlineLevel="0" collapsed="false">
      <c r="A558" s="1" t="s">
        <v>49</v>
      </c>
      <c r="B558" s="1" t="s">
        <v>89</v>
      </c>
      <c r="C558" s="1" t="n">
        <v>7580</v>
      </c>
      <c r="D558" s="1" t="s">
        <v>734</v>
      </c>
      <c r="E558" s="1" t="n">
        <v>43885</v>
      </c>
      <c r="F558" s="1" t="s">
        <v>869</v>
      </c>
      <c r="G558" s="140" t="n">
        <v>46161</v>
      </c>
      <c r="H558" s="1" t="n">
        <v>1230</v>
      </c>
      <c r="I558" s="1" t="s">
        <v>1307</v>
      </c>
      <c r="J558" s="1" t="s">
        <v>1513</v>
      </c>
      <c r="K558" s="1" t="n">
        <v>20</v>
      </c>
      <c r="M558" s="125" t="n">
        <f aca="false">Nominal_Activity[[#This Row],[Debit]]-Nominal_Activity[[#This Row],[Credit]]</f>
        <v>20</v>
      </c>
      <c r="N558" s="1" t="str">
        <f aca="false">IF(C558="","",IFERROR(VLOOKUP(C558,Master_Mappings!$A$4:$E$85,3,FALSE()),"UNMAPPED"))</f>
        <v>Office Running costs</v>
      </c>
      <c r="P558" s="1" t="str">
        <f aca="false">IF($C558="","",$C558&amp;"|"&amp;$E558&amp;"|"&amp;$M558&amp;"|"&amp;TEXT($G558,"yyyy-mm-dd")&amp;"|"&amp;LEFT($J558,40))</f>
        <v>7580|43885|20|2026-05-19|Delivery of lunch</v>
      </c>
      <c r="Q558" s="11" t="str">
        <f aca="false">IF(P558="","",IF(COUNTIF($P$2:$P$3000,P558)&gt;1,"DUPLICATE","OK"))</f>
        <v>OK</v>
      </c>
      <c r="R558" s="0" t="str">
        <f aca="false">IF($C558="","",IFERROR(VLOOKUP(--$C558,MM_Income!$Z$5:$AC$204,3,FALSE()),""))</f>
        <v>Excluded — Overhead (in fixed costs)</v>
      </c>
    </row>
    <row r="559" customFormat="false" ht="14.9" hidden="false" customHeight="false" outlineLevel="0" collapsed="false">
      <c r="A559" s="1" t="s">
        <v>49</v>
      </c>
      <c r="B559" s="1" t="s">
        <v>89</v>
      </c>
      <c r="C559" s="1" t="n">
        <v>7580</v>
      </c>
      <c r="D559" s="1" t="s">
        <v>734</v>
      </c>
      <c r="E559" s="1" t="n">
        <v>43888</v>
      </c>
      <c r="F559" s="1" t="s">
        <v>869</v>
      </c>
      <c r="G559" s="140" t="n">
        <v>46162</v>
      </c>
      <c r="H559" s="1" t="n">
        <v>1230</v>
      </c>
      <c r="I559" s="1" t="s">
        <v>1309</v>
      </c>
      <c r="J559" s="1" t="s">
        <v>1513</v>
      </c>
      <c r="K559" s="1" t="n">
        <v>20</v>
      </c>
      <c r="M559" s="125" t="n">
        <f aca="false">Nominal_Activity[[#This Row],[Debit]]-Nominal_Activity[[#This Row],[Credit]]</f>
        <v>20</v>
      </c>
      <c r="N559" s="1" t="str">
        <f aca="false">IF(C559="","",IFERROR(VLOOKUP(C559,Master_Mappings!$A$4:$E$85,3,FALSE()),"UNMAPPED"))</f>
        <v>Office Running costs</v>
      </c>
      <c r="P559" s="1" t="str">
        <f aca="false">IF($C559="","",$C559&amp;"|"&amp;$E559&amp;"|"&amp;$M559&amp;"|"&amp;TEXT($G559,"yyyy-mm-dd")&amp;"|"&amp;LEFT($J559,40))</f>
        <v>7580|43888|20|2026-05-20|Delivery of lunch</v>
      </c>
      <c r="Q559" s="11" t="str">
        <f aca="false">IF(P559="","",IF(COUNTIF($P$2:$P$3000,P559)&gt;1,"DUPLICATE","OK"))</f>
        <v>OK</v>
      </c>
      <c r="R559" s="0" t="str">
        <f aca="false">IF($C559="","",IFERROR(VLOOKUP(--$C559,MM_Income!$Z$5:$AC$204,3,FALSE()),""))</f>
        <v>Excluded — Overhead (in fixed costs)</v>
      </c>
    </row>
    <row r="560" customFormat="false" ht="14.9" hidden="false" customHeight="false" outlineLevel="0" collapsed="false">
      <c r="A560" s="1" t="s">
        <v>49</v>
      </c>
      <c r="B560" s="1" t="s">
        <v>89</v>
      </c>
      <c r="C560" s="1" t="n">
        <v>7580</v>
      </c>
      <c r="D560" s="1" t="s">
        <v>734</v>
      </c>
      <c r="E560" s="1" t="n">
        <v>43891</v>
      </c>
      <c r="F560" s="1" t="s">
        <v>869</v>
      </c>
      <c r="G560" s="140" t="n">
        <v>46163</v>
      </c>
      <c r="H560" s="1" t="n">
        <v>1230</v>
      </c>
      <c r="I560" s="1" t="s">
        <v>1310</v>
      </c>
      <c r="J560" s="1" t="s">
        <v>1513</v>
      </c>
      <c r="K560" s="1" t="n">
        <v>20</v>
      </c>
      <c r="M560" s="125" t="n">
        <f aca="false">Nominal_Activity[[#This Row],[Debit]]-Nominal_Activity[[#This Row],[Credit]]</f>
        <v>20</v>
      </c>
      <c r="N560" s="1" t="str">
        <f aca="false">IF(C560="","",IFERROR(VLOOKUP(C560,Master_Mappings!$A$4:$E$85,3,FALSE()),"UNMAPPED"))</f>
        <v>Office Running costs</v>
      </c>
      <c r="P560" s="1" t="str">
        <f aca="false">IF($C560="","",$C560&amp;"|"&amp;$E560&amp;"|"&amp;$M560&amp;"|"&amp;TEXT($G560,"yyyy-mm-dd")&amp;"|"&amp;LEFT($J560,40))</f>
        <v>7580|43891|20|2026-05-21|Delivery of lunch</v>
      </c>
      <c r="Q560" s="11" t="str">
        <f aca="false">IF(P560="","",IF(COUNTIF($P$2:$P$3000,P560)&gt;1,"DUPLICATE","OK"))</f>
        <v>OK</v>
      </c>
      <c r="R560" s="0" t="str">
        <f aca="false">IF($C560="","",IFERROR(VLOOKUP(--$C560,MM_Income!$Z$5:$AC$204,3,FALSE()),""))</f>
        <v>Excluded — Overhead (in fixed costs)</v>
      </c>
    </row>
    <row r="561" customFormat="false" ht="14.9" hidden="false" customHeight="false" outlineLevel="0" collapsed="false">
      <c r="A561" s="1" t="s">
        <v>49</v>
      </c>
      <c r="B561" s="1" t="s">
        <v>89</v>
      </c>
      <c r="C561" s="1" t="n">
        <v>7580</v>
      </c>
      <c r="D561" s="1" t="s">
        <v>734</v>
      </c>
      <c r="E561" s="1" t="n">
        <v>43894</v>
      </c>
      <c r="F561" s="1" t="s">
        <v>869</v>
      </c>
      <c r="G561" s="140" t="n">
        <v>46164</v>
      </c>
      <c r="H561" s="1" t="n">
        <v>1230</v>
      </c>
      <c r="I561" s="1" t="s">
        <v>1311</v>
      </c>
      <c r="J561" s="1" t="s">
        <v>1513</v>
      </c>
      <c r="K561" s="1" t="n">
        <v>20</v>
      </c>
      <c r="M561" s="125" t="n">
        <f aca="false">Nominal_Activity[[#This Row],[Debit]]-Nominal_Activity[[#This Row],[Credit]]</f>
        <v>20</v>
      </c>
      <c r="N561" s="1" t="str">
        <f aca="false">IF(C561="","",IFERROR(VLOOKUP(C561,Master_Mappings!$A$4:$E$85,3,FALSE()),"UNMAPPED"))</f>
        <v>Office Running costs</v>
      </c>
      <c r="P561" s="1" t="str">
        <f aca="false">IF($C561="","",$C561&amp;"|"&amp;$E561&amp;"|"&amp;$M561&amp;"|"&amp;TEXT($G561,"yyyy-mm-dd")&amp;"|"&amp;LEFT($J561,40))</f>
        <v>7580|43894|20|2026-05-22|Delivery of lunch</v>
      </c>
      <c r="Q561" s="11" t="str">
        <f aca="false">IF(P561="","",IF(COUNTIF($P$2:$P$3000,P561)&gt;1,"DUPLICATE","OK"))</f>
        <v>OK</v>
      </c>
      <c r="R561" s="0" t="str">
        <f aca="false">IF($C561="","",IFERROR(VLOOKUP(--$C561,MM_Income!$Z$5:$AC$204,3,FALSE()),""))</f>
        <v>Excluded — Overhead (in fixed costs)</v>
      </c>
    </row>
    <row r="562" customFormat="false" ht="14.9" hidden="false" customHeight="false" outlineLevel="0" collapsed="false">
      <c r="A562" s="1" t="s">
        <v>49</v>
      </c>
      <c r="B562" s="1" t="s">
        <v>89</v>
      </c>
      <c r="C562" s="1" t="n">
        <v>7580</v>
      </c>
      <c r="D562" s="1" t="s">
        <v>734</v>
      </c>
      <c r="E562" s="1" t="n">
        <v>43901</v>
      </c>
      <c r="F562" s="1" t="s">
        <v>869</v>
      </c>
      <c r="G562" s="140" t="n">
        <v>46168</v>
      </c>
      <c r="H562" s="1" t="n">
        <v>1230</v>
      </c>
      <c r="I562" s="1" t="s">
        <v>1315</v>
      </c>
      <c r="J562" s="1" t="s">
        <v>1513</v>
      </c>
      <c r="K562" s="1" t="n">
        <v>20</v>
      </c>
      <c r="M562" s="125" t="n">
        <f aca="false">Nominal_Activity[[#This Row],[Debit]]-Nominal_Activity[[#This Row],[Credit]]</f>
        <v>20</v>
      </c>
      <c r="N562" s="1" t="str">
        <f aca="false">IF(C562="","",IFERROR(VLOOKUP(C562,Master_Mappings!$A$4:$E$85,3,FALSE()),"UNMAPPED"))</f>
        <v>Office Running costs</v>
      </c>
      <c r="P562" s="1" t="str">
        <f aca="false">IF($C562="","",$C562&amp;"|"&amp;$E562&amp;"|"&amp;$M562&amp;"|"&amp;TEXT($G562,"yyyy-mm-dd")&amp;"|"&amp;LEFT($J562,40))</f>
        <v>7580|43901|20|2026-05-26|Delivery of lunch</v>
      </c>
      <c r="Q562" s="11" t="str">
        <f aca="false">IF(P562="","",IF(COUNTIF($P$2:$P$3000,P562)&gt;1,"DUPLICATE","OK"))</f>
        <v>OK</v>
      </c>
      <c r="R562" s="0" t="str">
        <f aca="false">IF($C562="","",IFERROR(VLOOKUP(--$C562,MM_Income!$Z$5:$AC$204,3,FALSE()),""))</f>
        <v>Excluded — Overhead (in fixed costs)</v>
      </c>
    </row>
    <row r="563" customFormat="false" ht="14.9" hidden="false" customHeight="false" outlineLevel="0" collapsed="false">
      <c r="A563" s="1" t="s">
        <v>49</v>
      </c>
      <c r="B563" s="1" t="s">
        <v>89</v>
      </c>
      <c r="C563" s="1" t="n">
        <v>7580</v>
      </c>
      <c r="D563" s="1" t="s">
        <v>734</v>
      </c>
      <c r="E563" s="1" t="n">
        <v>43907</v>
      </c>
      <c r="F563" s="1" t="s">
        <v>869</v>
      </c>
      <c r="G563" s="140" t="n">
        <v>46170</v>
      </c>
      <c r="H563" s="1" t="n">
        <v>1230</v>
      </c>
      <c r="I563" s="1" t="s">
        <v>1521</v>
      </c>
      <c r="J563" s="1" t="s">
        <v>1522</v>
      </c>
      <c r="K563" s="1" t="n">
        <v>60</v>
      </c>
      <c r="M563" s="125" t="n">
        <f aca="false">Nominal_Activity[[#This Row],[Debit]]-Nominal_Activity[[#This Row],[Credit]]</f>
        <v>60</v>
      </c>
      <c r="N563" s="1" t="str">
        <f aca="false">IF(C563="","",IFERROR(VLOOKUP(C563,Master_Mappings!$A$4:$E$85,3,FALSE()),"UNMAPPED"))</f>
        <v>Office Running costs</v>
      </c>
      <c r="P563" s="1" t="str">
        <f aca="false">IF($C563="","",$C563&amp;"|"&amp;$E563&amp;"|"&amp;$M563&amp;"|"&amp;TEXT($G563,"yyyy-mm-dd")&amp;"|"&amp;LEFT($J563,40))</f>
        <v>7580|43907|60|2026-05-28|Delivery of microphone</v>
      </c>
      <c r="Q563" s="11" t="str">
        <f aca="false">IF(P563="","",IF(COUNTIF($P$2:$P$3000,P563)&gt;1,"DUPLICATE","OK"))</f>
        <v>OK</v>
      </c>
      <c r="R563" s="0" t="str">
        <f aca="false">IF($C563="","",IFERROR(VLOOKUP(--$C563,MM_Income!$Z$5:$AC$204,3,FALSE()),""))</f>
        <v>Excluded — Overhead (in fixed costs)</v>
      </c>
    </row>
    <row r="564" customFormat="false" ht="14.9" hidden="false" customHeight="false" outlineLevel="0" collapsed="false">
      <c r="A564" s="1" t="s">
        <v>49</v>
      </c>
      <c r="B564" s="1" t="s">
        <v>89</v>
      </c>
      <c r="C564" s="1" t="n">
        <v>7580</v>
      </c>
      <c r="D564" s="1" t="s">
        <v>734</v>
      </c>
      <c r="E564" s="1" t="n">
        <v>43909</v>
      </c>
      <c r="F564" s="1" t="s">
        <v>869</v>
      </c>
      <c r="G564" s="140" t="n">
        <v>46170</v>
      </c>
      <c r="H564" s="1" t="n">
        <v>1230</v>
      </c>
      <c r="I564" s="1" t="s">
        <v>1316</v>
      </c>
      <c r="J564" s="1" t="s">
        <v>1513</v>
      </c>
      <c r="K564" s="1" t="n">
        <v>20</v>
      </c>
      <c r="M564" s="125" t="n">
        <f aca="false">Nominal_Activity[[#This Row],[Debit]]-Nominal_Activity[[#This Row],[Credit]]</f>
        <v>20</v>
      </c>
      <c r="N564" s="1" t="str">
        <f aca="false">IF(C564="","",IFERROR(VLOOKUP(C564,Master_Mappings!$A$4:$E$85,3,FALSE()),"UNMAPPED"))</f>
        <v>Office Running costs</v>
      </c>
      <c r="P564" s="1" t="str">
        <f aca="false">IF($C564="","",$C564&amp;"|"&amp;$E564&amp;"|"&amp;$M564&amp;"|"&amp;TEXT($G564,"yyyy-mm-dd")&amp;"|"&amp;LEFT($J564,40))</f>
        <v>7580|43909|20|2026-05-28|Delivery of lunch</v>
      </c>
      <c r="Q564" s="11" t="str">
        <f aca="false">IF(P564="","",IF(COUNTIF($P$2:$P$3000,P564)&gt;1,"DUPLICATE","OK"))</f>
        <v>OK</v>
      </c>
      <c r="R564" s="0" t="str">
        <f aca="false">IF($C564="","",IFERROR(VLOOKUP(--$C564,MM_Income!$Z$5:$AC$204,3,FALSE()),""))</f>
        <v>Excluded — Overhead (in fixed costs)</v>
      </c>
    </row>
    <row r="565" customFormat="false" ht="14.9" hidden="false" customHeight="false" outlineLevel="0" collapsed="false">
      <c r="A565" s="1" t="s">
        <v>49</v>
      </c>
      <c r="B565" s="1" t="s">
        <v>89</v>
      </c>
      <c r="C565" s="1" t="n">
        <v>7580</v>
      </c>
      <c r="D565" s="1" t="s">
        <v>734</v>
      </c>
      <c r="E565" s="1" t="n">
        <v>43914</v>
      </c>
      <c r="F565" s="1" t="s">
        <v>869</v>
      </c>
      <c r="G565" s="140" t="n">
        <v>46171</v>
      </c>
      <c r="H565" s="1" t="n">
        <v>1230</v>
      </c>
      <c r="I565" s="1" t="s">
        <v>1317</v>
      </c>
      <c r="J565" s="1" t="s">
        <v>1523</v>
      </c>
      <c r="K565" s="1" t="n">
        <v>80</v>
      </c>
      <c r="M565" s="125" t="n">
        <f aca="false">Nominal_Activity[[#This Row],[Debit]]-Nominal_Activity[[#This Row],[Credit]]</f>
        <v>80</v>
      </c>
      <c r="N565" s="1" t="str">
        <f aca="false">IF(C565="","",IFERROR(VLOOKUP(C565,Master_Mappings!$A$4:$E$85,3,FALSE()),"UNMAPPED"))</f>
        <v>Office Running costs</v>
      </c>
      <c r="P565" s="1" t="str">
        <f aca="false">IF($C565="","",$C565&amp;"|"&amp;$E565&amp;"|"&amp;$M565&amp;"|"&amp;TEXT($G565,"yyyy-mm-dd")&amp;"|"&amp;LEFT($J565,40))</f>
        <v>7580|43914|80|2026-05-29|Delivery of toolkit</v>
      </c>
      <c r="Q565" s="11" t="str">
        <f aca="false">IF(P565="","",IF(COUNTIF($P$2:$P$3000,P565)&gt;1,"DUPLICATE","OK"))</f>
        <v>OK</v>
      </c>
      <c r="R565" s="0" t="str">
        <f aca="false">IF($C565="","",IFERROR(VLOOKUP(--$C565,MM_Income!$Z$5:$AC$204,3,FALSE()),""))</f>
        <v>Excluded — Overhead (in fixed costs)</v>
      </c>
    </row>
    <row r="566" customFormat="false" ht="14.9" hidden="false" customHeight="false" outlineLevel="0" collapsed="false">
      <c r="A566" s="1" t="s">
        <v>49</v>
      </c>
      <c r="B566" s="1" t="s">
        <v>89</v>
      </c>
      <c r="C566" s="1" t="n">
        <v>7580</v>
      </c>
      <c r="D566" s="1" t="s">
        <v>734</v>
      </c>
      <c r="E566" s="1" t="n">
        <v>43917</v>
      </c>
      <c r="F566" s="1" t="s">
        <v>869</v>
      </c>
      <c r="G566" s="140" t="n">
        <v>46171</v>
      </c>
      <c r="H566" s="1" t="n">
        <v>1230</v>
      </c>
      <c r="I566" s="1" t="s">
        <v>1317</v>
      </c>
      <c r="J566" s="1" t="s">
        <v>1513</v>
      </c>
      <c r="K566" s="1" t="n">
        <v>20</v>
      </c>
      <c r="M566" s="125" t="n">
        <f aca="false">Nominal_Activity[[#This Row],[Debit]]-Nominal_Activity[[#This Row],[Credit]]</f>
        <v>20</v>
      </c>
      <c r="N566" s="1" t="str">
        <f aca="false">IF(C566="","",IFERROR(VLOOKUP(C566,Master_Mappings!$A$4:$E$85,3,FALSE()),"UNMAPPED"))</f>
        <v>Office Running costs</v>
      </c>
      <c r="P566" s="1" t="str">
        <f aca="false">IF($C566="","",$C566&amp;"|"&amp;$E566&amp;"|"&amp;$M566&amp;"|"&amp;TEXT($G566,"yyyy-mm-dd")&amp;"|"&amp;LEFT($J566,40))</f>
        <v>7580|43917|20|2026-05-29|Delivery of lunch</v>
      </c>
      <c r="Q566" s="11" t="str">
        <f aca="false">IF(P566="","",IF(COUNTIF($P$2:$P$3000,P566)&gt;1,"DUPLICATE","OK"))</f>
        <v>OK</v>
      </c>
      <c r="R566" s="0" t="str">
        <f aca="false">IF($C566="","",IFERROR(VLOOKUP(--$C566,MM_Income!$Z$5:$AC$204,3,FALSE()),""))</f>
        <v>Excluded — Overhead (in fixed costs)</v>
      </c>
    </row>
    <row r="567" customFormat="false" ht="14.9" hidden="false" customHeight="false" outlineLevel="0" collapsed="false">
      <c r="A567" s="1" t="s">
        <v>49</v>
      </c>
      <c r="B567" s="1" t="s">
        <v>89</v>
      </c>
      <c r="C567" s="1" t="n">
        <v>7580</v>
      </c>
      <c r="D567" s="1" t="s">
        <v>734</v>
      </c>
      <c r="E567" s="1" t="n">
        <v>43931</v>
      </c>
      <c r="F567" s="1" t="s">
        <v>869</v>
      </c>
      <c r="G567" s="140" t="n">
        <v>46185</v>
      </c>
      <c r="H567" s="1" t="n">
        <v>1230</v>
      </c>
      <c r="I567" s="1" t="s">
        <v>1524</v>
      </c>
      <c r="J567" s="1" t="s">
        <v>1525</v>
      </c>
      <c r="K567" s="1" t="n">
        <v>19</v>
      </c>
      <c r="M567" s="125" t="n">
        <f aca="false">Nominal_Activity[[#This Row],[Debit]]-Nominal_Activity[[#This Row],[Credit]]</f>
        <v>19</v>
      </c>
      <c r="N567" s="1" t="str">
        <f aca="false">IF(C567="","",IFERROR(VLOOKUP(C567,Master_Mappings!$A$4:$E$85,3,FALSE()),"UNMAPPED"))</f>
        <v>Office Running costs</v>
      </c>
      <c r="P567" s="1" t="str">
        <f aca="false">IF($C567="","",$C567&amp;"|"&amp;$E567&amp;"|"&amp;$M567&amp;"|"&amp;TEXT($G567,"yyyy-mm-dd")&amp;"|"&amp;LEFT($J567,40))</f>
        <v>7580|43931|19|2026-06-12|Delivery of certificates</v>
      </c>
      <c r="Q567" s="11" t="str">
        <f aca="false">IF(P567="","",IF(COUNTIF($P$2:$P$3000,P567)&gt;1,"DUPLICATE","OK"))</f>
        <v>OK</v>
      </c>
      <c r="R567" s="0" t="str">
        <f aca="false">IF($C567="","",IFERROR(VLOOKUP(--$C567,MM_Income!$Z$5:$AC$204,3,FALSE()),""))</f>
        <v>Excluded — Overhead (in fixed costs)</v>
      </c>
    </row>
    <row r="568" customFormat="false" ht="14.9" hidden="false" customHeight="false" outlineLevel="0" collapsed="false">
      <c r="A568" s="1" t="s">
        <v>49</v>
      </c>
      <c r="B568" s="1" t="s">
        <v>89</v>
      </c>
      <c r="C568" s="1" t="n">
        <v>7580</v>
      </c>
      <c r="D568" s="1" t="s">
        <v>734</v>
      </c>
      <c r="E568" s="1" t="n">
        <v>43937</v>
      </c>
      <c r="F568" s="1" t="s">
        <v>869</v>
      </c>
      <c r="G568" s="140" t="n">
        <v>46192</v>
      </c>
      <c r="H568" s="1" t="n">
        <v>1230</v>
      </c>
      <c r="I568" s="1" t="s">
        <v>1526</v>
      </c>
      <c r="J568" s="1" t="s">
        <v>1527</v>
      </c>
      <c r="K568" s="1" t="n">
        <v>17</v>
      </c>
      <c r="M568" s="125" t="n">
        <f aca="false">Nominal_Activity[[#This Row],[Debit]]-Nominal_Activity[[#This Row],[Credit]]</f>
        <v>17</v>
      </c>
      <c r="N568" s="1" t="str">
        <f aca="false">IF(C568="","",IFERROR(VLOOKUP(C568,Master_Mappings!$A$4:$E$85,3,FALSE()),"UNMAPPED"))</f>
        <v>Office Running costs</v>
      </c>
      <c r="P568" s="1" t="str">
        <f aca="false">IF($C568="","",$C568&amp;"|"&amp;$E568&amp;"|"&amp;$M568&amp;"|"&amp;TEXT($G568,"yyyy-mm-dd")&amp;"|"&amp;LEFT($J568,40))</f>
        <v>7580|43937|17|2026-06-19|Bolt to pick up dispenser bottles</v>
      </c>
      <c r="Q568" s="11" t="str">
        <f aca="false">IF(P568="","",IF(COUNTIF($P$2:$P$3000,P568)&gt;1,"DUPLICATE","OK"))</f>
        <v>OK</v>
      </c>
      <c r="R568" s="0" t="str">
        <f aca="false">IF($C568="","",IFERROR(VLOOKUP(--$C568,MM_Income!$Z$5:$AC$204,3,FALSE()),""))</f>
        <v>Excluded — Overhead (in fixed costs)</v>
      </c>
    </row>
    <row r="569" customFormat="false" ht="14.9" hidden="false" customHeight="false" outlineLevel="0" collapsed="false">
      <c r="A569" s="1" t="s">
        <v>49</v>
      </c>
      <c r="B569" s="1" t="s">
        <v>89</v>
      </c>
      <c r="C569" s="1" t="n">
        <v>7580</v>
      </c>
      <c r="D569" s="1" t="s">
        <v>734</v>
      </c>
      <c r="E569" s="1" t="n">
        <v>44225</v>
      </c>
      <c r="F569" s="1" t="s">
        <v>869</v>
      </c>
      <c r="G569" s="140" t="n">
        <v>46162</v>
      </c>
      <c r="H569" s="1" t="n">
        <v>1260</v>
      </c>
      <c r="I569" s="1" t="s">
        <v>1339</v>
      </c>
      <c r="J569" s="1" t="s">
        <v>1528</v>
      </c>
      <c r="K569" s="1" t="n">
        <v>80</v>
      </c>
      <c r="M569" s="125" t="n">
        <f aca="false">Nominal_Activity[[#This Row],[Debit]]-Nominal_Activity[[#This Row],[Credit]]</f>
        <v>80</v>
      </c>
      <c r="N569" s="1" t="str">
        <f aca="false">IF(C569="","",IFERROR(VLOOKUP(C569,Master_Mappings!$A$4:$E$85,3,FALSE()),"UNMAPPED"))</f>
        <v>Office Running costs</v>
      </c>
      <c r="P569" s="1" t="str">
        <f aca="false">IF($C569="","",$C569&amp;"|"&amp;$E569&amp;"|"&amp;$M569&amp;"|"&amp;TEXT($G569,"yyyy-mm-dd")&amp;"|"&amp;LEFT($J569,40))</f>
        <v>7580|44225|80|2026-05-20|Delivery of Field Boots to Office</v>
      </c>
      <c r="Q569" s="11" t="str">
        <f aca="false">IF(P569="","",IF(COUNTIF($P$2:$P$3000,P569)&gt;1,"DUPLICATE","OK"))</f>
        <v>OK</v>
      </c>
      <c r="R569" s="0" t="str">
        <f aca="false">IF($C569="","",IFERROR(VLOOKUP(--$C569,MM_Income!$Z$5:$AC$204,3,FALSE()),""))</f>
        <v>Excluded — Overhead (in fixed costs)</v>
      </c>
    </row>
    <row r="570" customFormat="false" ht="14.9" hidden="false" customHeight="false" outlineLevel="0" collapsed="false">
      <c r="A570" s="1" t="s">
        <v>49</v>
      </c>
      <c r="B570" s="1" t="s">
        <v>89</v>
      </c>
      <c r="C570" s="1" t="n">
        <v>7580</v>
      </c>
      <c r="D570" s="1" t="s">
        <v>734</v>
      </c>
      <c r="E570" s="1" t="n">
        <v>44258</v>
      </c>
      <c r="F570" s="1" t="s">
        <v>869</v>
      </c>
      <c r="G570" s="140" t="n">
        <v>46203</v>
      </c>
      <c r="H570" s="1" t="n">
        <v>1230</v>
      </c>
      <c r="I570" s="1" t="s">
        <v>1526</v>
      </c>
      <c r="J570" s="1" t="s">
        <v>1529</v>
      </c>
      <c r="K570" s="1" t="n">
        <v>26</v>
      </c>
      <c r="M570" s="125" t="n">
        <f aca="false">Nominal_Activity[[#This Row],[Debit]]-Nominal_Activity[[#This Row],[Credit]]</f>
        <v>26</v>
      </c>
      <c r="N570" s="1" t="str">
        <f aca="false">IF(C570="","",IFERROR(VLOOKUP(C570,Master_Mappings!$A$4:$E$85,3,FALSE()),"UNMAPPED"))</f>
        <v>Office Running costs</v>
      </c>
      <c r="P570" s="1" t="str">
        <f aca="false">IF($C570="","",$C570&amp;"|"&amp;$E570&amp;"|"&amp;$M570&amp;"|"&amp;TEXT($G570,"yyyy-mm-dd")&amp;"|"&amp;LEFT($J570,40))</f>
        <v>7580|44258|26|2026-06-30|Delivery of signed accounts after printi</v>
      </c>
      <c r="Q570" s="11" t="str">
        <f aca="false">IF(P570="","",IF(COUNTIF($P$2:$P$3000,P570)&gt;1,"DUPLICATE","OK"))</f>
        <v>OK</v>
      </c>
      <c r="R570" s="0" t="str">
        <f aca="false">IF($C570="","",IFERROR(VLOOKUP(--$C570,MM_Income!$Z$5:$AC$204,3,FALSE()),""))</f>
        <v>Excluded — Overhead (in fixed costs)</v>
      </c>
    </row>
    <row r="571" customFormat="false" ht="14.9" hidden="false" customHeight="false" outlineLevel="0" collapsed="false">
      <c r="A571" s="1" t="s">
        <v>49</v>
      </c>
      <c r="B571" s="1" t="s">
        <v>89</v>
      </c>
      <c r="C571" s="1" t="n">
        <v>7580</v>
      </c>
      <c r="D571" s="1" t="s">
        <v>734</v>
      </c>
      <c r="E571" s="1" t="n">
        <v>44260</v>
      </c>
      <c r="F571" s="1" t="s">
        <v>869</v>
      </c>
      <c r="G571" s="140" t="n">
        <v>46203</v>
      </c>
      <c r="H571" s="1" t="n">
        <v>1230</v>
      </c>
      <c r="I571" s="1" t="s">
        <v>1526</v>
      </c>
      <c r="J571" s="1" t="s">
        <v>1530</v>
      </c>
      <c r="K571" s="1" t="n">
        <v>200</v>
      </c>
      <c r="M571" s="125" t="n">
        <f aca="false">Nominal_Activity[[#This Row],[Debit]]-Nominal_Activity[[#This Row],[Credit]]</f>
        <v>200</v>
      </c>
      <c r="N571" s="1" t="str">
        <f aca="false">IF(C571="","",IFERROR(VLOOKUP(C571,Master_Mappings!$A$4:$E$85,3,FALSE()),"UNMAPPED"))</f>
        <v>Office Running costs</v>
      </c>
      <c r="P571" s="1" t="str">
        <f aca="false">IF($C571="","",$C571&amp;"|"&amp;$E571&amp;"|"&amp;$M571&amp;"|"&amp;TEXT($G571,"yyyy-mm-dd")&amp;"|"&amp;LEFT($J571,40))</f>
        <v>7580|44260|200|2026-06-30|Delivery of signed accounts to JNA for s</v>
      </c>
      <c r="Q571" s="11" t="str">
        <f aca="false">IF(P571="","",IF(COUNTIF($P$2:$P$3000,P571)&gt;1,"DUPLICATE","OK"))</f>
        <v>OK</v>
      </c>
      <c r="R571" s="0" t="str">
        <f aca="false">IF($C571="","",IFERROR(VLOOKUP(--$C571,MM_Income!$Z$5:$AC$204,3,FALSE()),""))</f>
        <v>Excluded — Overhead (in fixed costs)</v>
      </c>
    </row>
    <row r="572" customFormat="false" ht="14.9" hidden="false" customHeight="false" outlineLevel="0" collapsed="false">
      <c r="A572" s="1" t="s">
        <v>49</v>
      </c>
      <c r="B572" s="1" t="s">
        <v>89</v>
      </c>
      <c r="C572" s="1" t="n">
        <v>7620</v>
      </c>
      <c r="D572" s="1" t="s">
        <v>736</v>
      </c>
      <c r="E572" s="1" t="n">
        <v>43506</v>
      </c>
      <c r="F572" s="1" t="s">
        <v>869</v>
      </c>
      <c r="G572" s="140" t="n">
        <v>46146</v>
      </c>
      <c r="H572" s="1" t="n">
        <v>1230</v>
      </c>
      <c r="I572" s="1" t="s">
        <v>1531</v>
      </c>
      <c r="J572" s="1" t="s">
        <v>1532</v>
      </c>
      <c r="K572" s="1" t="n">
        <v>700</v>
      </c>
      <c r="M572" s="125" t="n">
        <f aca="false">Nominal_Activity[[#This Row],[Debit]]-Nominal_Activity[[#This Row],[Credit]]</f>
        <v>700</v>
      </c>
      <c r="N572" s="1" t="str">
        <f aca="false">IF(C572="","",IFERROR(VLOOKUP(C572,Master_Mappings!$A$4:$E$85,3,FALSE()),"UNMAPPED"))</f>
        <v>Professional services and governance</v>
      </c>
      <c r="P572" s="1" t="str">
        <f aca="false">IF($C572="","",$C572&amp;"|"&amp;$E572&amp;"|"&amp;$M572&amp;"|"&amp;TEXT($G572,"yyyy-mm-dd")&amp;"|"&amp;LEFT($J572,40))</f>
        <v>7620|43506|700|2026-05-04|2days lunch for auditors</v>
      </c>
      <c r="Q572" s="11" t="str">
        <f aca="false">IF(P572="","",IF(COUNTIF($P$2:$P$3000,P572)&gt;1,"DUPLICATE","OK"))</f>
        <v>OK</v>
      </c>
      <c r="R572" s="0" t="str">
        <f aca="false">IF($C572="","",IFERROR(VLOOKUP(--$C572,MM_Income!$Z$5:$AC$204,3,FALSE()),""))</f>
        <v/>
      </c>
    </row>
    <row r="573" customFormat="false" ht="14.9" hidden="false" customHeight="false" outlineLevel="0" collapsed="false">
      <c r="A573" s="1" t="s">
        <v>49</v>
      </c>
      <c r="B573" s="1" t="s">
        <v>89</v>
      </c>
      <c r="C573" s="1" t="n">
        <v>7620</v>
      </c>
      <c r="D573" s="1" t="s">
        <v>736</v>
      </c>
      <c r="E573" s="1" t="n">
        <v>43508</v>
      </c>
      <c r="F573" s="1" t="s">
        <v>869</v>
      </c>
      <c r="G573" s="140" t="n">
        <v>46147</v>
      </c>
      <c r="H573" s="1" t="n">
        <v>1230</v>
      </c>
      <c r="I573" s="1" t="s">
        <v>1297</v>
      </c>
      <c r="J573" s="1" t="s">
        <v>1533</v>
      </c>
      <c r="K573" s="1" t="n">
        <v>400</v>
      </c>
      <c r="M573" s="125" t="n">
        <f aca="false">Nominal_Activity[[#This Row],[Debit]]-Nominal_Activity[[#This Row],[Credit]]</f>
        <v>400</v>
      </c>
      <c r="N573" s="1" t="str">
        <f aca="false">IF(C573="","",IFERROR(VLOOKUP(C573,Master_Mappings!$A$4:$E$85,3,FALSE()),"UNMAPPED"))</f>
        <v>Professional services and governance</v>
      </c>
      <c r="P573" s="1" t="str">
        <f aca="false">IF($C573="","",$C573&amp;"|"&amp;$E573&amp;"|"&amp;$M573&amp;"|"&amp;TEXT($G573,"yyyy-mm-dd")&amp;"|"&amp;LEFT($J573,40))</f>
        <v>7620|43508|400|2026-05-05|Lunch for Auditors</v>
      </c>
      <c r="Q573" s="11" t="str">
        <f aca="false">IF(P573="","",IF(COUNTIF($P$2:$P$3000,P573)&gt;1,"DUPLICATE","OK"))</f>
        <v>OK</v>
      </c>
      <c r="R573" s="0" t="str">
        <f aca="false">IF($C573="","",IFERROR(VLOOKUP(--$C573,MM_Income!$Z$5:$AC$204,3,FALSE()),""))</f>
        <v/>
      </c>
    </row>
    <row r="574" customFormat="false" ht="14.9" hidden="false" customHeight="false" outlineLevel="0" collapsed="false">
      <c r="A574" s="1" t="s">
        <v>49</v>
      </c>
      <c r="B574" s="1" t="s">
        <v>89</v>
      </c>
      <c r="C574" s="1" t="n">
        <v>7620</v>
      </c>
      <c r="D574" s="1" t="s">
        <v>736</v>
      </c>
      <c r="E574" s="1" t="n">
        <v>43515</v>
      </c>
      <c r="F574" s="1" t="s">
        <v>869</v>
      </c>
      <c r="G574" s="140" t="n">
        <v>46148</v>
      </c>
      <c r="H574" s="1" t="n">
        <v>1230</v>
      </c>
      <c r="I574" s="1" t="s">
        <v>1299</v>
      </c>
      <c r="J574" s="1" t="s">
        <v>1533</v>
      </c>
      <c r="K574" s="1" t="n">
        <v>278</v>
      </c>
      <c r="M574" s="125" t="n">
        <f aca="false">Nominal_Activity[[#This Row],[Debit]]-Nominal_Activity[[#This Row],[Credit]]</f>
        <v>278</v>
      </c>
      <c r="N574" s="1" t="str">
        <f aca="false">IF(C574="","",IFERROR(VLOOKUP(C574,Master_Mappings!$A$4:$E$85,3,FALSE()),"UNMAPPED"))</f>
        <v>Professional services and governance</v>
      </c>
      <c r="P574" s="1" t="str">
        <f aca="false">IF($C574="","",$C574&amp;"|"&amp;$E574&amp;"|"&amp;$M574&amp;"|"&amp;TEXT($G574,"yyyy-mm-dd")&amp;"|"&amp;LEFT($J574,40))</f>
        <v>7620|43515|278|2026-05-06|Lunch for Auditors</v>
      </c>
      <c r="Q574" s="11" t="str">
        <f aca="false">IF(P574="","",IF(COUNTIF($P$2:$P$3000,P574)&gt;1,"DUPLICATE","OK"))</f>
        <v>OK</v>
      </c>
      <c r="R574" s="0" t="str">
        <f aca="false">IF($C574="","",IFERROR(VLOOKUP(--$C574,MM_Income!$Z$5:$AC$204,3,FALSE()),""))</f>
        <v/>
      </c>
    </row>
    <row r="575" customFormat="false" ht="14.9" hidden="false" customHeight="false" outlineLevel="0" collapsed="false">
      <c r="A575" s="1" t="s">
        <v>49</v>
      </c>
      <c r="B575" s="1" t="s">
        <v>89</v>
      </c>
      <c r="C575" s="1" t="n">
        <v>7620</v>
      </c>
      <c r="D575" s="1" t="s">
        <v>736</v>
      </c>
      <c r="E575" s="1" t="n">
        <v>43518</v>
      </c>
      <c r="F575" s="1" t="s">
        <v>869</v>
      </c>
      <c r="G575" s="140" t="n">
        <v>46149</v>
      </c>
      <c r="H575" s="1" t="n">
        <v>1230</v>
      </c>
      <c r="I575" s="1" t="s">
        <v>1300</v>
      </c>
      <c r="J575" s="1" t="s">
        <v>1533</v>
      </c>
      <c r="K575" s="1" t="n">
        <v>299</v>
      </c>
      <c r="M575" s="125" t="n">
        <f aca="false">Nominal_Activity[[#This Row],[Debit]]-Nominal_Activity[[#This Row],[Credit]]</f>
        <v>299</v>
      </c>
      <c r="N575" s="1" t="str">
        <f aca="false">IF(C575="","",IFERROR(VLOOKUP(C575,Master_Mappings!$A$4:$E$85,3,FALSE()),"UNMAPPED"))</f>
        <v>Professional services and governance</v>
      </c>
      <c r="P575" s="1" t="str">
        <f aca="false">IF($C575="","",$C575&amp;"|"&amp;$E575&amp;"|"&amp;$M575&amp;"|"&amp;TEXT($G575,"yyyy-mm-dd")&amp;"|"&amp;LEFT($J575,40))</f>
        <v>7620|43518|299|2026-05-07|Lunch for Auditors</v>
      </c>
      <c r="Q575" s="11" t="str">
        <f aca="false">IF(P575="","",IF(COUNTIF($P$2:$P$3000,P575)&gt;1,"DUPLICATE","OK"))</f>
        <v>OK</v>
      </c>
      <c r="R575" s="0" t="str">
        <f aca="false">IF($C575="","",IFERROR(VLOOKUP(--$C575,MM_Income!$Z$5:$AC$204,3,FALSE()),""))</f>
        <v/>
      </c>
    </row>
    <row r="576" customFormat="false" ht="14.9" hidden="false" customHeight="false" outlineLevel="0" collapsed="false">
      <c r="A576" s="1" t="s">
        <v>49</v>
      </c>
      <c r="B576" s="1" t="s">
        <v>89</v>
      </c>
      <c r="C576" s="1" t="n">
        <v>7620</v>
      </c>
      <c r="D576" s="1" t="s">
        <v>736</v>
      </c>
      <c r="E576" s="1" t="n">
        <v>43523</v>
      </c>
      <c r="F576" s="1" t="s">
        <v>869</v>
      </c>
      <c r="G576" s="140" t="n">
        <v>46150</v>
      </c>
      <c r="H576" s="1" t="n">
        <v>1230</v>
      </c>
      <c r="I576" s="1" t="s">
        <v>1301</v>
      </c>
      <c r="J576" s="1" t="s">
        <v>1533</v>
      </c>
      <c r="K576" s="1" t="n">
        <v>258</v>
      </c>
      <c r="M576" s="125" t="n">
        <f aca="false">Nominal_Activity[[#This Row],[Debit]]-Nominal_Activity[[#This Row],[Credit]]</f>
        <v>258</v>
      </c>
      <c r="N576" s="1" t="str">
        <f aca="false">IF(C576="","",IFERROR(VLOOKUP(C576,Master_Mappings!$A$4:$E$85,3,FALSE()),"UNMAPPED"))</f>
        <v>Professional services and governance</v>
      </c>
      <c r="P576" s="1" t="str">
        <f aca="false">IF($C576="","",$C576&amp;"|"&amp;$E576&amp;"|"&amp;$M576&amp;"|"&amp;TEXT($G576,"yyyy-mm-dd")&amp;"|"&amp;LEFT($J576,40))</f>
        <v>7620|43523|258|2026-05-08|Lunch for Auditors</v>
      </c>
      <c r="Q576" s="11" t="str">
        <f aca="false">IF(P576="","",IF(COUNTIF($P$2:$P$3000,P576)&gt;1,"DUPLICATE","OK"))</f>
        <v>OK</v>
      </c>
      <c r="R576" s="0" t="str">
        <f aca="false">IF($C576="","",IFERROR(VLOOKUP(--$C576,MM_Income!$Z$5:$AC$204,3,FALSE()),""))</f>
        <v/>
      </c>
    </row>
    <row r="577" customFormat="false" ht="14.9" hidden="false" customHeight="false" outlineLevel="0" collapsed="false">
      <c r="A577" s="1" t="s">
        <v>49</v>
      </c>
      <c r="B577" s="1" t="s">
        <v>89</v>
      </c>
      <c r="C577" s="1" t="n">
        <v>7620</v>
      </c>
      <c r="D577" s="1" t="s">
        <v>736</v>
      </c>
      <c r="E577" s="1" t="n">
        <v>43527</v>
      </c>
      <c r="F577" s="1" t="s">
        <v>869</v>
      </c>
      <c r="G577" s="140" t="n">
        <v>46153</v>
      </c>
      <c r="H577" s="1" t="n">
        <v>1230</v>
      </c>
      <c r="I577" s="1" t="s">
        <v>1534</v>
      </c>
      <c r="J577" s="1" t="s">
        <v>1533</v>
      </c>
      <c r="K577" s="1" t="n">
        <v>180</v>
      </c>
      <c r="M577" s="125" t="n">
        <f aca="false">Nominal_Activity[[#This Row],[Debit]]-Nominal_Activity[[#This Row],[Credit]]</f>
        <v>180</v>
      </c>
      <c r="N577" s="1" t="str">
        <f aca="false">IF(C577="","",IFERROR(VLOOKUP(C577,Master_Mappings!$A$4:$E$85,3,FALSE()),"UNMAPPED"))</f>
        <v>Professional services and governance</v>
      </c>
      <c r="P577" s="1" t="str">
        <f aca="false">IF($C577="","",$C577&amp;"|"&amp;$E577&amp;"|"&amp;$M577&amp;"|"&amp;TEXT($G577,"yyyy-mm-dd")&amp;"|"&amp;LEFT($J577,40))</f>
        <v>7620|43527|180|2026-05-11|Lunch for Auditors</v>
      </c>
      <c r="Q577" s="11" t="str">
        <f aca="false">IF(P577="","",IF(COUNTIF($P$2:$P$3000,P577)&gt;1,"DUPLICATE","OK"))</f>
        <v>OK</v>
      </c>
      <c r="R577" s="0" t="str">
        <f aca="false">IF($C577="","",IFERROR(VLOOKUP(--$C577,MM_Income!$Z$5:$AC$204,3,FALSE()),""))</f>
        <v/>
      </c>
    </row>
    <row r="578" customFormat="false" ht="14.9" hidden="false" customHeight="false" outlineLevel="0" collapsed="false">
      <c r="A578" s="1" t="s">
        <v>49</v>
      </c>
      <c r="B578" s="1" t="s">
        <v>89</v>
      </c>
      <c r="C578" s="1" t="n">
        <v>7620</v>
      </c>
      <c r="D578" s="1" t="s">
        <v>736</v>
      </c>
      <c r="E578" s="1" t="n">
        <v>43531</v>
      </c>
      <c r="F578" s="1" t="s">
        <v>869</v>
      </c>
      <c r="G578" s="140" t="n">
        <v>46154</v>
      </c>
      <c r="H578" s="1" t="n">
        <v>1230</v>
      </c>
      <c r="I578" s="1" t="s">
        <v>1535</v>
      </c>
      <c r="J578" s="1" t="s">
        <v>1533</v>
      </c>
      <c r="K578" s="1" t="n">
        <v>310</v>
      </c>
      <c r="M578" s="125" t="n">
        <f aca="false">Nominal_Activity[[#This Row],[Debit]]-Nominal_Activity[[#This Row],[Credit]]</f>
        <v>310</v>
      </c>
      <c r="N578" s="1" t="str">
        <f aca="false">IF(C578="","",IFERROR(VLOOKUP(C578,Master_Mappings!$A$4:$E$85,3,FALSE()),"UNMAPPED"))</f>
        <v>Professional services and governance</v>
      </c>
      <c r="P578" s="1" t="str">
        <f aca="false">IF($C578="","",$C578&amp;"|"&amp;$E578&amp;"|"&amp;$M578&amp;"|"&amp;TEXT($G578,"yyyy-mm-dd")&amp;"|"&amp;LEFT($J578,40))</f>
        <v>7620|43531|310|2026-05-12|Lunch for Auditors</v>
      </c>
      <c r="Q578" s="11" t="str">
        <f aca="false">IF(P578="","",IF(COUNTIF($P$2:$P$3000,P578)&gt;1,"DUPLICATE","OK"))</f>
        <v>OK</v>
      </c>
      <c r="R578" s="0" t="str">
        <f aca="false">IF($C578="","",IFERROR(VLOOKUP(--$C578,MM_Income!$Z$5:$AC$204,3,FALSE()),""))</f>
        <v/>
      </c>
    </row>
    <row r="579" customFormat="false" ht="14.9" hidden="false" customHeight="false" outlineLevel="0" collapsed="false">
      <c r="A579" s="1" t="s">
        <v>49</v>
      </c>
      <c r="B579" s="1" t="s">
        <v>89</v>
      </c>
      <c r="C579" s="1" t="n">
        <v>7620</v>
      </c>
      <c r="D579" s="1" t="s">
        <v>736</v>
      </c>
      <c r="E579" s="1" t="n">
        <v>43533</v>
      </c>
      <c r="F579" s="1" t="s">
        <v>869</v>
      </c>
      <c r="G579" s="140" t="n">
        <v>46155</v>
      </c>
      <c r="H579" s="1" t="n">
        <v>1230</v>
      </c>
      <c r="I579" s="1" t="s">
        <v>1536</v>
      </c>
      <c r="J579" s="1" t="s">
        <v>1533</v>
      </c>
      <c r="K579" s="1" t="n">
        <v>287</v>
      </c>
      <c r="M579" s="125" t="n">
        <f aca="false">Nominal_Activity[[#This Row],[Debit]]-Nominal_Activity[[#This Row],[Credit]]</f>
        <v>287</v>
      </c>
      <c r="N579" s="1" t="str">
        <f aca="false">IF(C579="","",IFERROR(VLOOKUP(C579,Master_Mappings!$A$4:$E$85,3,FALSE()),"UNMAPPED"))</f>
        <v>Professional services and governance</v>
      </c>
      <c r="P579" s="1" t="str">
        <f aca="false">IF($C579="","",$C579&amp;"|"&amp;$E579&amp;"|"&amp;$M579&amp;"|"&amp;TEXT($G579,"yyyy-mm-dd")&amp;"|"&amp;LEFT($J579,40))</f>
        <v>7620|43533|287|2026-05-13|Lunch for Auditors</v>
      </c>
      <c r="Q579" s="11" t="str">
        <f aca="false">IF(P579="","",IF(COUNTIF($P$2:$P$3000,P579)&gt;1,"DUPLICATE","OK"))</f>
        <v>OK</v>
      </c>
      <c r="R579" s="0" t="str">
        <f aca="false">IF($C579="","",IFERROR(VLOOKUP(--$C579,MM_Income!$Z$5:$AC$204,3,FALSE()),""))</f>
        <v/>
      </c>
    </row>
    <row r="580" customFormat="false" ht="14.9" hidden="false" customHeight="false" outlineLevel="0" collapsed="false">
      <c r="A580" s="1" t="s">
        <v>49</v>
      </c>
      <c r="B580" s="1" t="s">
        <v>89</v>
      </c>
      <c r="C580" s="1" t="n">
        <v>7620</v>
      </c>
      <c r="D580" s="1" t="s">
        <v>736</v>
      </c>
      <c r="E580" s="1" t="n">
        <v>43535</v>
      </c>
      <c r="F580" s="1" t="s">
        <v>869</v>
      </c>
      <c r="G580" s="140" t="n">
        <v>46156</v>
      </c>
      <c r="H580" s="1" t="n">
        <v>1230</v>
      </c>
      <c r="I580" s="1" t="s">
        <v>1537</v>
      </c>
      <c r="J580" s="1" t="s">
        <v>1533</v>
      </c>
      <c r="K580" s="1" t="n">
        <v>290</v>
      </c>
      <c r="M580" s="125" t="n">
        <f aca="false">Nominal_Activity[[#This Row],[Debit]]-Nominal_Activity[[#This Row],[Credit]]</f>
        <v>290</v>
      </c>
      <c r="N580" s="1" t="str">
        <f aca="false">IF(C580="","",IFERROR(VLOOKUP(C580,Master_Mappings!$A$4:$E$85,3,FALSE()),"UNMAPPED"))</f>
        <v>Professional services and governance</v>
      </c>
      <c r="P580" s="1" t="str">
        <f aca="false">IF($C580="","",$C580&amp;"|"&amp;$E580&amp;"|"&amp;$M580&amp;"|"&amp;TEXT($G580,"yyyy-mm-dd")&amp;"|"&amp;LEFT($J580,40))</f>
        <v>7620|43535|290|2026-05-14|Lunch for Auditors</v>
      </c>
      <c r="Q580" s="11" t="str">
        <f aca="false">IF(P580="","",IF(COUNTIF($P$2:$P$3000,P580)&gt;1,"DUPLICATE","OK"))</f>
        <v>OK</v>
      </c>
      <c r="R580" s="0" t="str">
        <f aca="false">IF($C580="","",IFERROR(VLOOKUP(--$C580,MM_Income!$Z$5:$AC$204,3,FALSE()),""))</f>
        <v/>
      </c>
    </row>
    <row r="581" customFormat="false" ht="14.9" hidden="false" customHeight="false" outlineLevel="0" collapsed="false">
      <c r="A581" s="1" t="s">
        <v>49</v>
      </c>
      <c r="B581" s="1" t="s">
        <v>89</v>
      </c>
      <c r="C581" s="1" t="n">
        <v>7620</v>
      </c>
      <c r="D581" s="1" t="s">
        <v>736</v>
      </c>
      <c r="E581" s="1" t="n">
        <v>43539</v>
      </c>
      <c r="F581" s="1" t="s">
        <v>869</v>
      </c>
      <c r="G581" s="140" t="n">
        <v>46157</v>
      </c>
      <c r="H581" s="1" t="n">
        <v>1230</v>
      </c>
      <c r="I581" s="1" t="s">
        <v>1302</v>
      </c>
      <c r="J581" s="1" t="s">
        <v>1533</v>
      </c>
      <c r="K581" s="1" t="n">
        <v>196</v>
      </c>
      <c r="M581" s="125" t="n">
        <f aca="false">Nominal_Activity[[#This Row],[Debit]]-Nominal_Activity[[#This Row],[Credit]]</f>
        <v>196</v>
      </c>
      <c r="N581" s="1" t="str">
        <f aca="false">IF(C581="","",IFERROR(VLOOKUP(C581,Master_Mappings!$A$4:$E$85,3,FALSE()),"UNMAPPED"))</f>
        <v>Professional services and governance</v>
      </c>
      <c r="P581" s="1" t="str">
        <f aca="false">IF($C581="","",$C581&amp;"|"&amp;$E581&amp;"|"&amp;$M581&amp;"|"&amp;TEXT($G581,"yyyy-mm-dd")&amp;"|"&amp;LEFT($J581,40))</f>
        <v>7620|43539|196|2026-05-15|Lunch for Auditors</v>
      </c>
      <c r="Q581" s="11" t="str">
        <f aca="false">IF(P581="","",IF(COUNTIF($P$2:$P$3000,P581)&gt;1,"DUPLICATE","OK"))</f>
        <v>OK</v>
      </c>
      <c r="R581" s="0" t="str">
        <f aca="false">IF($C581="","",IFERROR(VLOOKUP(--$C581,MM_Income!$Z$5:$AC$204,3,FALSE()),""))</f>
        <v/>
      </c>
    </row>
    <row r="582" customFormat="false" ht="14.9" hidden="false" customHeight="false" outlineLevel="0" collapsed="false">
      <c r="A582" s="1" t="s">
        <v>49</v>
      </c>
      <c r="B582" s="1" t="s">
        <v>89</v>
      </c>
      <c r="C582" s="1" t="n">
        <v>7620</v>
      </c>
      <c r="D582" s="1" t="s">
        <v>736</v>
      </c>
      <c r="E582" s="1" t="n">
        <v>43882</v>
      </c>
      <c r="F582" s="1" t="s">
        <v>869</v>
      </c>
      <c r="G582" s="140" t="n">
        <v>46160</v>
      </c>
      <c r="H582" s="1" t="n">
        <v>1230</v>
      </c>
      <c r="I582" s="1" t="s">
        <v>1538</v>
      </c>
      <c r="J582" s="1" t="s">
        <v>1533</v>
      </c>
      <c r="K582" s="1" t="n">
        <v>196</v>
      </c>
      <c r="M582" s="125" t="n">
        <f aca="false">Nominal_Activity[[#This Row],[Debit]]-Nominal_Activity[[#This Row],[Credit]]</f>
        <v>196</v>
      </c>
      <c r="N582" s="1" t="str">
        <f aca="false">IF(C582="","",IFERROR(VLOOKUP(C582,Master_Mappings!$A$4:$E$85,3,FALSE()),"UNMAPPED"))</f>
        <v>Professional services and governance</v>
      </c>
      <c r="P582" s="1" t="str">
        <f aca="false">IF($C582="","",$C582&amp;"|"&amp;$E582&amp;"|"&amp;$M582&amp;"|"&amp;TEXT($G582,"yyyy-mm-dd")&amp;"|"&amp;LEFT($J582,40))</f>
        <v>7620|43882|196|2026-05-18|Lunch for Auditors</v>
      </c>
      <c r="Q582" s="11" t="str">
        <f aca="false">IF(P582="","",IF(COUNTIF($P$2:$P$3000,P582)&gt;1,"DUPLICATE","OK"))</f>
        <v>OK</v>
      </c>
      <c r="R582" s="0" t="str">
        <f aca="false">IF($C582="","",IFERROR(VLOOKUP(--$C582,MM_Income!$Z$5:$AC$204,3,FALSE()),""))</f>
        <v/>
      </c>
    </row>
    <row r="583" customFormat="false" ht="14.9" hidden="false" customHeight="false" outlineLevel="0" collapsed="false">
      <c r="A583" s="1" t="s">
        <v>49</v>
      </c>
      <c r="B583" s="1" t="s">
        <v>85</v>
      </c>
      <c r="C583" s="1" t="n">
        <v>7630</v>
      </c>
      <c r="D583" s="1" t="s">
        <v>738</v>
      </c>
      <c r="E583" s="1" t="n">
        <v>42731</v>
      </c>
      <c r="F583" s="1" t="s">
        <v>847</v>
      </c>
      <c r="G583" s="140" t="n">
        <v>46072</v>
      </c>
      <c r="H583" s="1" t="s">
        <v>1539</v>
      </c>
      <c r="J583" s="1" t="s">
        <v>1540</v>
      </c>
      <c r="K583" s="1" t="n">
        <v>16500</v>
      </c>
      <c r="M583" s="125" t="n">
        <f aca="false">Nominal_Activity[[#This Row],[Debit]]-Nominal_Activity[[#This Row],[Credit]]</f>
        <v>16500</v>
      </c>
      <c r="N583" s="1" t="str">
        <f aca="false">IF(C583="","",IFERROR(VLOOKUP(C583,Master_Mappings!$A$4:$E$85,3,FALSE()),"UNMAPPED"))</f>
        <v>Office Running costs</v>
      </c>
      <c r="P583" s="1" t="str">
        <f aca="false">IF($C583="","",$C583&amp;"|"&amp;$E583&amp;"|"&amp;$M583&amp;"|"&amp;TEXT($G583,"yyyy-mm-dd")&amp;"|"&amp;LEFT($J583,40))</f>
        <v>7630|42731|16500|2026-02-19|Premium for professional indemnity insur</v>
      </c>
      <c r="Q583" s="11" t="str">
        <f aca="false">IF(P583="","",IF(COUNTIF($P$2:$P$3000,P583)&gt;1,"DUPLICATE","OK"))</f>
        <v>OK</v>
      </c>
      <c r="R583" s="0" t="str">
        <f aca="false">IF($C583="","",IFERROR(VLOOKUP(--$C583,MM_Income!$Z$5:$AC$204,3,FALSE()),""))</f>
        <v/>
      </c>
    </row>
    <row r="584" customFormat="false" ht="14.9" hidden="false" customHeight="false" outlineLevel="0" collapsed="false">
      <c r="A584" s="1" t="s">
        <v>49</v>
      </c>
      <c r="B584" s="1" t="s">
        <v>89</v>
      </c>
      <c r="C584" s="1" t="n">
        <v>7630</v>
      </c>
      <c r="D584" s="1" t="s">
        <v>738</v>
      </c>
      <c r="E584" s="1" t="n">
        <v>44057</v>
      </c>
      <c r="F584" s="1" t="s">
        <v>847</v>
      </c>
      <c r="G584" s="140" t="n">
        <v>46178</v>
      </c>
      <c r="H584" s="1" t="s">
        <v>1539</v>
      </c>
      <c r="J584" s="1" t="s">
        <v>1541</v>
      </c>
      <c r="K584" s="1" t="n">
        <v>30706.75</v>
      </c>
      <c r="M584" s="125" t="n">
        <f aca="false">Nominal_Activity[[#This Row],[Debit]]-Nominal_Activity[[#This Row],[Credit]]</f>
        <v>30706.75</v>
      </c>
      <c r="N584" s="1" t="str">
        <f aca="false">IF(C584="","",IFERROR(VLOOKUP(C584,Master_Mappings!$A$4:$E$85,3,FALSE()),"UNMAPPED"))</f>
        <v>Office Running costs</v>
      </c>
      <c r="P584" s="1" t="str">
        <f aca="false">IF($C584="","",$C584&amp;"|"&amp;$E584&amp;"|"&amp;$M584&amp;"|"&amp;TEXT($G584,"yyyy-mm-dd")&amp;"|"&amp;LEFT($J584,40))</f>
        <v>7630|44057|30706.75|2026-06-05|Insurance premium for Group life cover f</v>
      </c>
      <c r="Q584" s="11" t="str">
        <f aca="false">IF(P584="","",IF(COUNTIF($P$2:$P$3000,P584)&gt;1,"DUPLICATE","OK"))</f>
        <v>OK</v>
      </c>
      <c r="R584" s="0" t="str">
        <f aca="false">IF($C584="","",IFERROR(VLOOKUP(--$C584,MM_Income!$Z$5:$AC$204,3,FALSE()),""))</f>
        <v/>
      </c>
    </row>
    <row r="585" customFormat="false" ht="14.9" hidden="false" customHeight="false" outlineLevel="0" collapsed="false">
      <c r="A585" s="1" t="s">
        <v>49</v>
      </c>
      <c r="B585" s="1" t="s">
        <v>85</v>
      </c>
      <c r="C585" s="1" t="n">
        <v>7650</v>
      </c>
      <c r="D585" s="1" t="s">
        <v>740</v>
      </c>
      <c r="E585" s="1" t="n">
        <v>43248</v>
      </c>
      <c r="F585" s="1" t="s">
        <v>847</v>
      </c>
      <c r="G585" s="140" t="n">
        <v>46112</v>
      </c>
      <c r="H585" s="1" t="s">
        <v>1138</v>
      </c>
      <c r="I585" s="1" t="s">
        <v>1542</v>
      </c>
      <c r="J585" s="1" t="s">
        <v>1543</v>
      </c>
      <c r="K585" s="1" t="n">
        <v>325736.02</v>
      </c>
      <c r="M585" s="125" t="n">
        <f aca="false">Nominal_Activity[[#This Row],[Debit]]-Nominal_Activity[[#This Row],[Credit]]</f>
        <v>325736.02</v>
      </c>
      <c r="N585" s="1" t="str">
        <f aca="false">IF(C585="","",IFERROR(VLOOKUP(C585,Master_Mappings!$A$4:$E$85,3,FALSE()),"UNMAPPED"))</f>
        <v>Professional services and governance</v>
      </c>
      <c r="P585" s="1" t="str">
        <f aca="false">IF($C585="","",$C585&amp;"|"&amp;$E585&amp;"|"&amp;$M585&amp;"|"&amp;TEXT($G585,"yyyy-mm-dd")&amp;"|"&amp;LEFT($J585,40))</f>
        <v>7650|43248|325736.02|2026-03-31|Q1 2026 CONTRIBUTION TO GROUP COSTS</v>
      </c>
      <c r="Q585" s="11" t="str">
        <f aca="false">IF(P585="","",IF(COUNTIF($P$2:$P$3000,P585)&gt;1,"DUPLICATE","OK"))</f>
        <v>OK</v>
      </c>
      <c r="R585" s="0" t="str">
        <f aca="false">IF($C585="","",IFERROR(VLOOKUP(--$C585,MM_Income!$Z$5:$AC$204,3,FALSE()),""))</f>
        <v/>
      </c>
    </row>
    <row r="586" customFormat="false" ht="14.9" hidden="false" customHeight="false" outlineLevel="0" collapsed="false">
      <c r="A586" s="1" t="s">
        <v>49</v>
      </c>
      <c r="B586" s="1" t="s">
        <v>89</v>
      </c>
      <c r="C586" s="1" t="n">
        <v>7650</v>
      </c>
      <c r="D586" s="1" t="s">
        <v>740</v>
      </c>
      <c r="E586" s="1" t="n">
        <v>44130</v>
      </c>
      <c r="F586" s="1" t="s">
        <v>847</v>
      </c>
      <c r="G586" s="140" t="n">
        <v>46203</v>
      </c>
      <c r="H586" s="1" t="s">
        <v>1138</v>
      </c>
      <c r="I586" s="1" t="s">
        <v>1544</v>
      </c>
      <c r="J586" s="1" t="s">
        <v>1545</v>
      </c>
      <c r="K586" s="1" t="n">
        <v>325736.02</v>
      </c>
      <c r="M586" s="125" t="n">
        <f aca="false">Nominal_Activity[[#This Row],[Debit]]-Nominal_Activity[[#This Row],[Credit]]</f>
        <v>325736.02</v>
      </c>
      <c r="N586" s="1" t="str">
        <f aca="false">IF(C586="","",IFERROR(VLOOKUP(C586,Master_Mappings!$A$4:$E$85,3,FALSE()),"UNMAPPED"))</f>
        <v>Professional services and governance</v>
      </c>
      <c r="P586" s="1" t="str">
        <f aca="false">IF($C586="","",$C586&amp;"|"&amp;$E586&amp;"|"&amp;$M586&amp;"|"&amp;TEXT($G586,"yyyy-mm-dd")&amp;"|"&amp;LEFT($J586,40))</f>
        <v>7650|44130|325736.02|2026-06-30|Q2 2026 Contribution to Group Costs</v>
      </c>
      <c r="Q586" s="11" t="str">
        <f aca="false">IF(P586="","",IF(COUNTIF($P$2:$P$3000,P586)&gt;1,"DUPLICATE","OK"))</f>
        <v>OK</v>
      </c>
      <c r="R586" s="0" t="str">
        <f aca="false">IF($C586="","",IFERROR(VLOOKUP(--$C586,MM_Income!$Z$5:$AC$204,3,FALSE()),""))</f>
        <v/>
      </c>
    </row>
    <row r="587" customFormat="false" ht="14.9" hidden="false" customHeight="false" outlineLevel="0" collapsed="false">
      <c r="A587" s="1" t="s">
        <v>49</v>
      </c>
      <c r="B587" s="1" t="s">
        <v>85</v>
      </c>
      <c r="C587" s="1" t="n">
        <v>7660</v>
      </c>
      <c r="D587" s="1" t="s">
        <v>742</v>
      </c>
      <c r="E587" s="1" t="n">
        <v>42489</v>
      </c>
      <c r="F587" s="1" t="s">
        <v>847</v>
      </c>
      <c r="G587" s="140" t="n">
        <v>46045</v>
      </c>
      <c r="H587" s="1" t="s">
        <v>1546</v>
      </c>
      <c r="I587" s="1" t="s">
        <v>1547</v>
      </c>
      <c r="J587" s="1" t="s">
        <v>1548</v>
      </c>
      <c r="K587" s="1" t="n">
        <v>5000</v>
      </c>
      <c r="M587" s="125" t="n">
        <f aca="false">Nominal_Activity[[#This Row],[Debit]]-Nominal_Activity[[#This Row],[Credit]]</f>
        <v>5000</v>
      </c>
      <c r="N587" s="1" t="str">
        <f aca="false">IF(C587="","",IFERROR(VLOOKUP(C587,Master_Mappings!$A$4:$E$85,3,FALSE()),"UNMAPPED"))</f>
        <v>Professional services and governance</v>
      </c>
      <c r="P587" s="1" t="str">
        <f aca="false">IF($C587="","",$C587&amp;"|"&amp;$E587&amp;"|"&amp;$M587&amp;"|"&amp;TEXT($G587,"yyyy-mm-dd")&amp;"|"&amp;LEFT($J587,40))</f>
        <v>7660|42489|5000|2026-01-23|Payroll Consulting services for January</v>
      </c>
      <c r="Q587" s="11" t="str">
        <f aca="false">IF(P587="","",IF(COUNTIF($P$2:$P$3000,P587)&gt;1,"DUPLICATE","OK"))</f>
        <v>OK</v>
      </c>
      <c r="R587" s="0" t="str">
        <f aca="false">IF($C587="","",IFERROR(VLOOKUP(--$C587,MM_Income!$Z$5:$AC$204,3,FALSE()),""))</f>
        <v/>
      </c>
    </row>
    <row r="588" customFormat="false" ht="14.9" hidden="false" customHeight="false" outlineLevel="0" collapsed="false">
      <c r="A588" s="1" t="s">
        <v>49</v>
      </c>
      <c r="B588" s="1" t="s">
        <v>85</v>
      </c>
      <c r="C588" s="1" t="n">
        <v>7660</v>
      </c>
      <c r="D588" s="1" t="s">
        <v>742</v>
      </c>
      <c r="E588" s="1" t="n">
        <v>42769</v>
      </c>
      <c r="F588" s="1" t="s">
        <v>847</v>
      </c>
      <c r="G588" s="140" t="n">
        <v>46073</v>
      </c>
      <c r="H588" s="1" t="s">
        <v>1546</v>
      </c>
      <c r="I588" s="1" t="s">
        <v>1549</v>
      </c>
      <c r="J588" s="1" t="s">
        <v>1550</v>
      </c>
      <c r="K588" s="1" t="n">
        <v>5000</v>
      </c>
      <c r="M588" s="125" t="n">
        <f aca="false">Nominal_Activity[[#This Row],[Debit]]-Nominal_Activity[[#This Row],[Credit]]</f>
        <v>5000</v>
      </c>
      <c r="N588" s="1" t="str">
        <f aca="false">IF(C588="","",IFERROR(VLOOKUP(C588,Master_Mappings!$A$4:$E$85,3,FALSE()),"UNMAPPED"))</f>
        <v>Professional services and governance</v>
      </c>
      <c r="P588" s="1" t="str">
        <f aca="false">IF($C588="","",$C588&amp;"|"&amp;$E588&amp;"|"&amp;$M588&amp;"|"&amp;TEXT($G588,"yyyy-mm-dd")&amp;"|"&amp;LEFT($J588,40))</f>
        <v>7660|42769|5000|2026-02-20|Payroll Consulting services for February</v>
      </c>
      <c r="Q588" s="11" t="str">
        <f aca="false">IF(P588="","",IF(COUNTIF($P$2:$P$3000,P588)&gt;1,"DUPLICATE","OK"))</f>
        <v>OK</v>
      </c>
      <c r="R588" s="0" t="str">
        <f aca="false">IF($C588="","",IFERROR(VLOOKUP(--$C588,MM_Income!$Z$5:$AC$204,3,FALSE()),""))</f>
        <v/>
      </c>
    </row>
    <row r="589" customFormat="false" ht="14.9" hidden="false" customHeight="false" outlineLevel="0" collapsed="false">
      <c r="A589" s="1" t="s">
        <v>49</v>
      </c>
      <c r="B589" s="1" t="s">
        <v>85</v>
      </c>
      <c r="C589" s="1" t="n">
        <v>7660</v>
      </c>
      <c r="D589" s="1" t="s">
        <v>742</v>
      </c>
      <c r="E589" s="1" t="n">
        <v>42782</v>
      </c>
      <c r="F589" s="1" t="s">
        <v>847</v>
      </c>
      <c r="G589" s="140" t="n">
        <v>46073</v>
      </c>
      <c r="H589" s="1" t="s">
        <v>1546</v>
      </c>
      <c r="I589" s="1" t="s">
        <v>1551</v>
      </c>
      <c r="J589" s="1" t="s">
        <v>1552</v>
      </c>
      <c r="K589" s="1" t="n">
        <v>1303.01</v>
      </c>
      <c r="M589" s="125" t="n">
        <f aca="false">Nominal_Activity[[#This Row],[Debit]]-Nominal_Activity[[#This Row],[Credit]]</f>
        <v>1303.01</v>
      </c>
      <c r="N589" s="1" t="str">
        <f aca="false">IF(C589="","",IFERROR(VLOOKUP(C589,Master_Mappings!$A$4:$E$85,3,FALSE()),"UNMAPPED"))</f>
        <v>Professional services and governance</v>
      </c>
      <c r="P589" s="1" t="str">
        <f aca="false">IF($C589="","",$C589&amp;"|"&amp;$E589&amp;"|"&amp;$M589&amp;"|"&amp;TEXT($G589,"yyyy-mm-dd")&amp;"|"&amp;LEFT($J589,40))</f>
        <v>7660|42782|1303.01|2026-02-20|Bank charges on salary transfer for expr</v>
      </c>
      <c r="Q589" s="11" t="str">
        <f aca="false">IF(P589="","",IF(COUNTIF($P$2:$P$3000,P589)&gt;1,"DUPLICATE","OK"))</f>
        <v>OK</v>
      </c>
      <c r="R589" s="0" t="str">
        <f aca="false">IF($C589="","",IFERROR(VLOOKUP(--$C589,MM_Income!$Z$5:$AC$204,3,FALSE()),""))</f>
        <v/>
      </c>
    </row>
    <row r="590" customFormat="false" ht="14.9" hidden="false" customHeight="false" outlineLevel="0" collapsed="false">
      <c r="A590" s="1" t="s">
        <v>49</v>
      </c>
      <c r="B590" s="1" t="s">
        <v>85</v>
      </c>
      <c r="C590" s="1" t="n">
        <v>7660</v>
      </c>
      <c r="D590" s="1" t="s">
        <v>742</v>
      </c>
      <c r="E590" s="1" t="n">
        <v>42881</v>
      </c>
      <c r="F590" s="1" t="s">
        <v>847</v>
      </c>
      <c r="G590" s="140" t="n">
        <v>46105</v>
      </c>
      <c r="H590" s="1" t="s">
        <v>1546</v>
      </c>
      <c r="I590" s="1" t="s">
        <v>1553</v>
      </c>
      <c r="J590" s="1" t="s">
        <v>1554</v>
      </c>
      <c r="K590" s="1" t="n">
        <v>5000</v>
      </c>
      <c r="M590" s="125" t="n">
        <f aca="false">Nominal_Activity[[#This Row],[Debit]]-Nominal_Activity[[#This Row],[Credit]]</f>
        <v>5000</v>
      </c>
      <c r="N590" s="1" t="str">
        <f aca="false">IF(C590="","",IFERROR(VLOOKUP(C590,Master_Mappings!$A$4:$E$85,3,FALSE()),"UNMAPPED"))</f>
        <v>Professional services and governance</v>
      </c>
      <c r="P590" s="1" t="str">
        <f aca="false">IF($C590="","",$C590&amp;"|"&amp;$E590&amp;"|"&amp;$M590&amp;"|"&amp;TEXT($G590,"yyyy-mm-dd")&amp;"|"&amp;LEFT($J590,40))</f>
        <v>7660|42881|5000|2026-03-24|Payroll consulting for March</v>
      </c>
      <c r="Q590" s="11" t="str">
        <f aca="false">IF(P590="","",IF(COUNTIF($P$2:$P$3000,P590)&gt;1,"DUPLICATE","OK"))</f>
        <v>OK</v>
      </c>
      <c r="R590" s="0" t="str">
        <f aca="false">IF($C590="","",IFERROR(VLOOKUP(--$C590,MM_Income!$Z$5:$AC$204,3,FALSE()),""))</f>
        <v/>
      </c>
    </row>
    <row r="591" customFormat="false" ht="14.9" hidden="false" customHeight="false" outlineLevel="0" collapsed="false">
      <c r="A591" s="1" t="s">
        <v>49</v>
      </c>
      <c r="B591" s="1" t="s">
        <v>85</v>
      </c>
      <c r="C591" s="1" t="n">
        <v>7660</v>
      </c>
      <c r="D591" s="1" t="s">
        <v>742</v>
      </c>
      <c r="E591" s="1" t="n">
        <v>43176</v>
      </c>
      <c r="F591" s="1" t="s">
        <v>847</v>
      </c>
      <c r="G591" s="140" t="n">
        <v>46112</v>
      </c>
      <c r="H591" s="1" t="s">
        <v>1546</v>
      </c>
      <c r="I591" s="1" t="s">
        <v>1555</v>
      </c>
      <c r="J591" s="1" t="s">
        <v>1556</v>
      </c>
      <c r="K591" s="1" t="n">
        <v>1166.41</v>
      </c>
      <c r="M591" s="125" t="n">
        <f aca="false">Nominal_Activity[[#This Row],[Debit]]-Nominal_Activity[[#This Row],[Credit]]</f>
        <v>1166.41</v>
      </c>
      <c r="N591" s="1" t="str">
        <f aca="false">IF(C591="","",IFERROR(VLOOKUP(C591,Master_Mappings!$A$4:$E$85,3,FALSE()),"UNMAPPED"))</f>
        <v>Professional services and governance</v>
      </c>
      <c r="P591" s="1" t="str">
        <f aca="false">IF($C591="","",$C591&amp;"|"&amp;$E591&amp;"|"&amp;$M591&amp;"|"&amp;TEXT($G591,"yyyy-mm-dd")&amp;"|"&amp;LEFT($J591,40))</f>
        <v>7660|43176|1166.41|2026-03-31|Extra Bank Charges - Salary Transfer (ot</v>
      </c>
      <c r="Q591" s="11" t="str">
        <f aca="false">IF(P591="","",IF(COUNTIF($P$2:$P$3000,P591)&gt;1,"DUPLICATE","OK"))</f>
        <v>OK</v>
      </c>
      <c r="R591" s="0" t="str">
        <f aca="false">IF($C591="","",IFERROR(VLOOKUP(--$C591,MM_Income!$Z$5:$AC$204,3,FALSE()),""))</f>
        <v/>
      </c>
    </row>
    <row r="592" customFormat="false" ht="14.9" hidden="false" customHeight="false" outlineLevel="0" collapsed="false">
      <c r="A592" s="1" t="s">
        <v>49</v>
      </c>
      <c r="B592" s="1" t="s">
        <v>89</v>
      </c>
      <c r="C592" s="1" t="n">
        <v>7660</v>
      </c>
      <c r="D592" s="1" t="s">
        <v>742</v>
      </c>
      <c r="E592" s="1" t="n">
        <v>43304</v>
      </c>
      <c r="F592" s="1" t="s">
        <v>847</v>
      </c>
      <c r="G592" s="140" t="n">
        <v>46135</v>
      </c>
      <c r="H592" s="1" t="s">
        <v>1546</v>
      </c>
      <c r="I592" s="1" t="s">
        <v>1557</v>
      </c>
      <c r="J592" s="1" t="s">
        <v>1558</v>
      </c>
      <c r="K592" s="1" t="n">
        <v>5250</v>
      </c>
      <c r="M592" s="125" t="n">
        <f aca="false">Nominal_Activity[[#This Row],[Debit]]-Nominal_Activity[[#This Row],[Credit]]</f>
        <v>5250</v>
      </c>
      <c r="N592" s="1" t="str">
        <f aca="false">IF(C592="","",IFERROR(VLOOKUP(C592,Master_Mappings!$A$4:$E$85,3,FALSE()),"UNMAPPED"))</f>
        <v>Professional services and governance</v>
      </c>
      <c r="P592" s="1" t="str">
        <f aca="false">IF($C592="","",$C592&amp;"|"&amp;$E592&amp;"|"&amp;$M592&amp;"|"&amp;TEXT($G592,"yyyy-mm-dd")&amp;"|"&amp;LEFT($J592,40))</f>
        <v>7660|43304|5250|2026-04-23|Payroll Consulting services for April</v>
      </c>
      <c r="Q592" s="11" t="str">
        <f aca="false">IF(P592="","",IF(COUNTIF($P$2:$P$3000,P592)&gt;1,"DUPLICATE","OK"))</f>
        <v>OK</v>
      </c>
      <c r="R592" s="0" t="str">
        <f aca="false">IF($C592="","",IFERROR(VLOOKUP(--$C592,MM_Income!$Z$5:$AC$204,3,FALSE()),""))</f>
        <v/>
      </c>
    </row>
    <row r="593" customFormat="false" ht="14.9" hidden="false" customHeight="false" outlineLevel="0" collapsed="false">
      <c r="A593" s="1" t="s">
        <v>49</v>
      </c>
      <c r="B593" s="1" t="s">
        <v>89</v>
      </c>
      <c r="C593" s="1" t="n">
        <v>7660</v>
      </c>
      <c r="D593" s="1" t="s">
        <v>742</v>
      </c>
      <c r="E593" s="1" t="n">
        <v>43305</v>
      </c>
      <c r="F593" s="1" t="s">
        <v>847</v>
      </c>
      <c r="G593" s="140" t="n">
        <v>46136</v>
      </c>
      <c r="H593" s="1" t="s">
        <v>1546</v>
      </c>
      <c r="I593" s="1" t="s">
        <v>1559</v>
      </c>
      <c r="J593" s="1" t="s">
        <v>1560</v>
      </c>
      <c r="K593" s="1" t="n">
        <v>1406.41</v>
      </c>
      <c r="M593" s="125" t="n">
        <f aca="false">Nominal_Activity[[#This Row],[Debit]]-Nominal_Activity[[#This Row],[Credit]]</f>
        <v>1406.41</v>
      </c>
      <c r="N593" s="1" t="str">
        <f aca="false">IF(C593="","",IFERROR(VLOOKUP(C593,Master_Mappings!$A$4:$E$85,3,FALSE()),"UNMAPPED"))</f>
        <v>Professional services and governance</v>
      </c>
      <c r="P593" s="1" t="str">
        <f aca="false">IF($C593="","",$C593&amp;"|"&amp;$E593&amp;"|"&amp;$M593&amp;"|"&amp;TEXT($G593,"yyyy-mm-dd")&amp;"|"&amp;LEFT($J593,40))</f>
        <v>7660|43305|1406.41|2026-04-24|Extra Bank charges on instant salary tra</v>
      </c>
      <c r="Q593" s="11" t="str">
        <f aca="false">IF(P593="","",IF(COUNTIF($P$2:$P$3000,P593)&gt;1,"DUPLICATE","OK"))</f>
        <v>OK</v>
      </c>
      <c r="R593" s="0" t="str">
        <f aca="false">IF($C593="","",IFERROR(VLOOKUP(--$C593,MM_Income!$Z$5:$AC$204,3,FALSE()),""))</f>
        <v/>
      </c>
    </row>
    <row r="594" customFormat="false" ht="14.9" hidden="false" customHeight="false" outlineLevel="0" collapsed="false">
      <c r="A594" s="1" t="s">
        <v>49</v>
      </c>
      <c r="B594" s="1" t="s">
        <v>89</v>
      </c>
      <c r="C594" s="1" t="n">
        <v>7660</v>
      </c>
      <c r="D594" s="1" t="s">
        <v>742</v>
      </c>
      <c r="E594" s="1" t="n">
        <v>43650</v>
      </c>
      <c r="F594" s="1" t="s">
        <v>847</v>
      </c>
      <c r="G594" s="140" t="n">
        <v>46164</v>
      </c>
      <c r="H594" s="1" t="s">
        <v>1546</v>
      </c>
      <c r="I594" s="1" t="s">
        <v>1561</v>
      </c>
      <c r="J594" s="1" t="s">
        <v>1562</v>
      </c>
      <c r="K594" s="1" t="n">
        <v>5250</v>
      </c>
      <c r="M594" s="125" t="n">
        <f aca="false">Nominal_Activity[[#This Row],[Debit]]-Nominal_Activity[[#This Row],[Credit]]</f>
        <v>5250</v>
      </c>
      <c r="N594" s="1" t="str">
        <f aca="false">IF(C594="","",IFERROR(VLOOKUP(C594,Master_Mappings!$A$4:$E$85,3,FALSE()),"UNMAPPED"))</f>
        <v>Professional services and governance</v>
      </c>
      <c r="P594" s="1" t="str">
        <f aca="false">IF($C594="","",$C594&amp;"|"&amp;$E594&amp;"|"&amp;$M594&amp;"|"&amp;TEXT($G594,"yyyy-mm-dd")&amp;"|"&amp;LEFT($J594,40))</f>
        <v>7660|43650|5250|2026-05-22|Payroll Consultancy service for May</v>
      </c>
      <c r="Q594" s="11" t="str">
        <f aca="false">IF(P594="","",IF(COUNTIF($P$2:$P$3000,P594)&gt;1,"DUPLICATE","OK"))</f>
        <v>OK</v>
      </c>
      <c r="R594" s="0" t="str">
        <f aca="false">IF($C594="","",IFERROR(VLOOKUP(--$C594,MM_Income!$Z$5:$AC$204,3,FALSE()),""))</f>
        <v/>
      </c>
    </row>
    <row r="595" customFormat="false" ht="14.9" hidden="false" customHeight="false" outlineLevel="0" collapsed="false">
      <c r="A595" s="1" t="s">
        <v>49</v>
      </c>
      <c r="B595" s="1" t="s">
        <v>85</v>
      </c>
      <c r="C595" s="1" t="n">
        <v>7700</v>
      </c>
      <c r="D595" s="1" t="s">
        <v>744</v>
      </c>
      <c r="E595" s="1" t="n">
        <v>43087</v>
      </c>
      <c r="F595" s="1" t="s">
        <v>847</v>
      </c>
      <c r="G595" s="140" t="n">
        <v>46112</v>
      </c>
      <c r="H595" s="1" t="s">
        <v>1138</v>
      </c>
      <c r="I595" s="1" t="s">
        <v>1441</v>
      </c>
      <c r="J595" s="1" t="s">
        <v>1563</v>
      </c>
      <c r="K595" s="1" t="n">
        <v>307.12</v>
      </c>
      <c r="M595" s="125" t="n">
        <f aca="false">Nominal_Activity[[#This Row],[Debit]]-Nominal_Activity[[#This Row],[Credit]]</f>
        <v>307.12</v>
      </c>
      <c r="N595" s="1" t="str">
        <f aca="false">IF(C595="","",IFERROR(VLOOKUP(C595,Master_Mappings!$A$4:$E$85,3,FALSE()),"UNMAPPED"))</f>
        <v>IT and Data</v>
      </c>
      <c r="P595" s="1" t="str">
        <f aca="false">IF($C595="","",$C595&amp;"|"&amp;$E595&amp;"|"&amp;$M595&amp;"|"&amp;TEXT($G595,"yyyy-mm-dd")&amp;"|"&amp;LEFT($J595,40))</f>
        <v>7700|43087|307.12|2026-03-31|Group - Licenses by Allocation - Visio P</v>
      </c>
      <c r="Q595" s="11" t="str">
        <f aca="false">IF(P595="","",IF(COUNTIF($P$2:$P$3000,P595)&gt;1,"DUPLICATE","OK"))</f>
        <v>OK</v>
      </c>
      <c r="R595" s="0" t="str">
        <f aca="false">IF($C595="","",IFERROR(VLOOKUP(--$C595,MM_Income!$Z$5:$AC$204,3,FALSE()),""))</f>
        <v/>
      </c>
    </row>
    <row r="596" customFormat="false" ht="14.9" hidden="false" customHeight="false" outlineLevel="0" collapsed="false">
      <c r="A596" s="1" t="s">
        <v>49</v>
      </c>
      <c r="B596" s="1" t="s">
        <v>89</v>
      </c>
      <c r="C596" s="1" t="n">
        <v>7700</v>
      </c>
      <c r="D596" s="1" t="s">
        <v>744</v>
      </c>
      <c r="E596" s="1" t="n">
        <v>43721</v>
      </c>
      <c r="F596" s="1" t="s">
        <v>869</v>
      </c>
      <c r="G596" s="140" t="n">
        <v>46113</v>
      </c>
      <c r="H596" s="1" t="n">
        <v>1260</v>
      </c>
      <c r="I596" s="1" t="s">
        <v>1469</v>
      </c>
      <c r="J596" s="1" t="s">
        <v>1564</v>
      </c>
      <c r="K596" s="1" t="n">
        <v>13527.09</v>
      </c>
      <c r="M596" s="125" t="n">
        <f aca="false">Nominal_Activity[[#This Row],[Debit]]-Nominal_Activity[[#This Row],[Credit]]</f>
        <v>13527.09</v>
      </c>
      <c r="N596" s="1" t="str">
        <f aca="false">IF(C596="","",IFERROR(VLOOKUP(C596,Master_Mappings!$A$4:$E$85,3,FALSE()),"UNMAPPED"))</f>
        <v>IT and Data</v>
      </c>
      <c r="P596" s="1" t="str">
        <f aca="false">IF($C596="","",$C596&amp;"|"&amp;$E596&amp;"|"&amp;$M596&amp;"|"&amp;TEXT($G596,"yyyy-mm-dd")&amp;"|"&amp;LEFT($J596,40))</f>
        <v>7700|43721|13527.09|2026-04-01|Windows 11pro licence (5 units)</v>
      </c>
      <c r="Q596" s="11" t="str">
        <f aca="false">IF(P596="","",IF(COUNTIF($P$2:$P$3000,P596)&gt;1,"DUPLICATE","OK"))</f>
        <v>OK</v>
      </c>
      <c r="R596" s="0" t="str">
        <f aca="false">IF($C596="","",IFERROR(VLOOKUP(--$C596,MM_Income!$Z$5:$AC$204,3,FALSE()),""))</f>
        <v/>
      </c>
    </row>
    <row r="597" customFormat="false" ht="14.9" hidden="false" customHeight="false" outlineLevel="0" collapsed="false">
      <c r="A597" s="1" t="s">
        <v>49</v>
      </c>
      <c r="B597" s="1" t="s">
        <v>89</v>
      </c>
      <c r="C597" s="1" t="n">
        <v>7700</v>
      </c>
      <c r="D597" s="1" t="s">
        <v>744</v>
      </c>
      <c r="E597" s="1" t="n">
        <v>44117</v>
      </c>
      <c r="F597" s="1" t="s">
        <v>847</v>
      </c>
      <c r="G597" s="140" t="n">
        <v>46203</v>
      </c>
      <c r="H597" s="1" t="s">
        <v>1138</v>
      </c>
      <c r="I597" s="1" t="s">
        <v>1139</v>
      </c>
      <c r="J597" s="1" t="s">
        <v>1565</v>
      </c>
      <c r="K597" s="1" t="n">
        <v>109.21</v>
      </c>
      <c r="M597" s="125" t="n">
        <f aca="false">Nominal_Activity[[#This Row],[Debit]]-Nominal_Activity[[#This Row],[Credit]]</f>
        <v>109.21</v>
      </c>
      <c r="N597" s="1" t="str">
        <f aca="false">IF(C597="","",IFERROR(VLOOKUP(C597,Master_Mappings!$A$4:$E$85,3,FALSE()),"UNMAPPED"))</f>
        <v>IT and Data</v>
      </c>
      <c r="P597" s="1" t="str">
        <f aca="false">IF($C597="","",$C597&amp;"|"&amp;$E597&amp;"|"&amp;$M597&amp;"|"&amp;TEXT($G597,"yyyy-mm-dd")&amp;"|"&amp;LEFT($J597,40))</f>
        <v>7700|44117|109.21|2026-06-30|Office 365 - Visio Plan 2</v>
      </c>
      <c r="Q597" s="11" t="str">
        <f aca="false">IF(P597="","",IF(COUNTIF($P$2:$P$3000,P597)&gt;1,"DUPLICATE","OK"))</f>
        <v>OK</v>
      </c>
      <c r="R597" s="0" t="str">
        <f aca="false">IF($C597="","",IFERROR(VLOOKUP(--$C597,MM_Income!$Z$5:$AC$204,3,FALSE()),""))</f>
        <v/>
      </c>
    </row>
    <row r="598" customFormat="false" ht="14.9" hidden="false" customHeight="false" outlineLevel="0" collapsed="false">
      <c r="A598" s="1" t="s">
        <v>49</v>
      </c>
      <c r="B598" s="1" t="s">
        <v>89</v>
      </c>
      <c r="C598" s="1" t="n">
        <v>7700</v>
      </c>
      <c r="D598" s="1" t="s">
        <v>744</v>
      </c>
      <c r="E598" s="1" t="n">
        <v>44118</v>
      </c>
      <c r="F598" s="1" t="s">
        <v>847</v>
      </c>
      <c r="G598" s="140" t="n">
        <v>46203</v>
      </c>
      <c r="H598" s="1" t="s">
        <v>1138</v>
      </c>
      <c r="I598" s="1" t="s">
        <v>1139</v>
      </c>
      <c r="J598" s="1" t="s">
        <v>1565</v>
      </c>
      <c r="K598" s="1" t="n">
        <v>109.21</v>
      </c>
      <c r="M598" s="125" t="n">
        <f aca="false">Nominal_Activity[[#This Row],[Debit]]-Nominal_Activity[[#This Row],[Credit]]</f>
        <v>109.21</v>
      </c>
      <c r="N598" s="1" t="str">
        <f aca="false">IF(C598="","",IFERROR(VLOOKUP(C598,Master_Mappings!$A$4:$E$85,3,FALSE()),"UNMAPPED"))</f>
        <v>IT and Data</v>
      </c>
      <c r="P598" s="1" t="str">
        <f aca="false">IF($C598="","",$C598&amp;"|"&amp;$E598&amp;"|"&amp;$M598&amp;"|"&amp;TEXT($G598,"yyyy-mm-dd")&amp;"|"&amp;LEFT($J598,40))</f>
        <v>7700|44118|109.21|2026-06-30|Office 365 - Visio Plan 2</v>
      </c>
      <c r="Q598" s="11" t="str">
        <f aca="false">IF(P598="","",IF(COUNTIF($P$2:$P$3000,P598)&gt;1,"DUPLICATE","OK"))</f>
        <v>OK</v>
      </c>
      <c r="R598" s="0" t="str">
        <f aca="false">IF($C598="","",IFERROR(VLOOKUP(--$C598,MM_Income!$Z$5:$AC$204,3,FALSE()),""))</f>
        <v/>
      </c>
    </row>
    <row r="599" customFormat="false" ht="14.9" hidden="false" customHeight="false" outlineLevel="0" collapsed="false">
      <c r="A599" s="1" t="s">
        <v>49</v>
      </c>
      <c r="B599" s="1" t="s">
        <v>89</v>
      </c>
      <c r="C599" s="1" t="n">
        <v>7700</v>
      </c>
      <c r="D599" s="1" t="s">
        <v>744</v>
      </c>
      <c r="E599" s="1" t="n">
        <v>44123</v>
      </c>
      <c r="F599" s="1" t="s">
        <v>847</v>
      </c>
      <c r="G599" s="140" t="n">
        <v>46203</v>
      </c>
      <c r="H599" s="1" t="s">
        <v>1138</v>
      </c>
      <c r="I599" s="1" t="s">
        <v>1141</v>
      </c>
      <c r="J599" s="1" t="s">
        <v>1566</v>
      </c>
      <c r="K599" s="1" t="n">
        <v>109.21</v>
      </c>
      <c r="M599" s="125" t="n">
        <f aca="false">Nominal_Activity[[#This Row],[Debit]]-Nominal_Activity[[#This Row],[Credit]]</f>
        <v>109.21</v>
      </c>
      <c r="N599" s="1" t="str">
        <f aca="false">IF(C599="","",IFERROR(VLOOKUP(C599,Master_Mappings!$A$4:$E$85,3,FALSE()),"UNMAPPED"))</f>
        <v>IT and Data</v>
      </c>
      <c r="P599" s="1" t="str">
        <f aca="false">IF($C599="","",$C599&amp;"|"&amp;$E599&amp;"|"&amp;$M599&amp;"|"&amp;TEXT($G599,"yyyy-mm-dd")&amp;"|"&amp;LEFT($J599,40))</f>
        <v>7700|44123|109.21|2026-06-30|Office 365 - Visio Plan 2 - June 2026</v>
      </c>
      <c r="Q599" s="11" t="str">
        <f aca="false">IF(P599="","",IF(COUNTIF($P$2:$P$3000,P599)&gt;1,"DUPLICATE","OK"))</f>
        <v>OK</v>
      </c>
      <c r="R599" s="0" t="str">
        <f aca="false">IF($C599="","",IFERROR(VLOOKUP(--$C599,MM_Income!$Z$5:$AC$204,3,FALSE()),""))</f>
        <v/>
      </c>
    </row>
    <row r="600" customFormat="false" ht="14.9" hidden="false" customHeight="false" outlineLevel="0" collapsed="false">
      <c r="A600" s="1" t="s">
        <v>49</v>
      </c>
      <c r="B600" s="1" t="s">
        <v>85</v>
      </c>
      <c r="C600" s="1" t="n">
        <v>7710</v>
      </c>
      <c r="D600" s="1" t="s">
        <v>746</v>
      </c>
      <c r="E600" s="1" t="n">
        <v>42880</v>
      </c>
      <c r="F600" s="1" t="s">
        <v>847</v>
      </c>
      <c r="G600" s="140" t="n">
        <v>46081</v>
      </c>
      <c r="H600" s="1" t="s">
        <v>1567</v>
      </c>
      <c r="I600" s="1" t="s">
        <v>1568</v>
      </c>
      <c r="J600" s="1" t="s">
        <v>1569</v>
      </c>
      <c r="K600" s="1" t="n">
        <v>2792.2</v>
      </c>
      <c r="M600" s="125" t="n">
        <f aca="false">Nominal_Activity[[#This Row],[Debit]]-Nominal_Activity[[#This Row],[Credit]]</f>
        <v>2792.2</v>
      </c>
      <c r="N600" s="1" t="str">
        <f aca="false">IF(C600="","",IFERROR(VLOOKUP(C600,Master_Mappings!$A$4:$E$85,3,FALSE()),"UNMAPPED"))</f>
        <v>IT and Data</v>
      </c>
      <c r="P600" s="1" t="str">
        <f aca="false">IF($C600="","",$C600&amp;"|"&amp;$E600&amp;"|"&amp;$M600&amp;"|"&amp;TEXT($G600,"yyyy-mm-dd")&amp;"|"&amp;LEFT($J600,40))</f>
        <v>7710|42880|2792.2|2026-02-28| battery replacement and windows license</v>
      </c>
      <c r="Q600" s="11" t="str">
        <f aca="false">IF(P600="","",IF(COUNTIF($P$2:$P$3000,P600)&gt;1,"DUPLICATE","OK"))</f>
        <v>OK</v>
      </c>
      <c r="R600" s="0" t="str">
        <f aca="false">IF($C600="","",IFERROR(VLOOKUP(--$C600,MM_Income!$Z$5:$AC$204,3,FALSE()),""))</f>
        <v/>
      </c>
    </row>
    <row r="601" customFormat="false" ht="14.9" hidden="false" customHeight="false" outlineLevel="0" collapsed="false">
      <c r="A601" s="1" t="s">
        <v>49</v>
      </c>
      <c r="B601" s="1" t="s">
        <v>89</v>
      </c>
      <c r="C601" s="1" t="n">
        <v>7710</v>
      </c>
      <c r="D601" s="1" t="s">
        <v>746</v>
      </c>
      <c r="E601" s="1" t="n">
        <v>43380</v>
      </c>
      <c r="F601" s="1" t="s">
        <v>847</v>
      </c>
      <c r="G601" s="140" t="n">
        <v>46146</v>
      </c>
      <c r="H601" s="1" t="s">
        <v>1567</v>
      </c>
      <c r="I601" s="1" t="s">
        <v>1568</v>
      </c>
      <c r="J601" s="1" t="s">
        <v>1570</v>
      </c>
      <c r="K601" s="1" t="n">
        <v>1150</v>
      </c>
      <c r="M601" s="125" t="n">
        <f aca="false">Nominal_Activity[[#This Row],[Debit]]-Nominal_Activity[[#This Row],[Credit]]</f>
        <v>1150</v>
      </c>
      <c r="N601" s="1" t="str">
        <f aca="false">IF(C601="","",IFERROR(VLOOKUP(C601,Master_Mappings!$A$4:$E$85,3,FALSE()),"UNMAPPED"))</f>
        <v>IT and Data</v>
      </c>
      <c r="P601" s="1" t="str">
        <f aca="false">IF($C601="","",$C601&amp;"|"&amp;$E601&amp;"|"&amp;$M601&amp;"|"&amp;TEXT($G601,"yyyy-mm-dd")&amp;"|"&amp;LEFT($J601,40))</f>
        <v>7710|43380|1150|2026-05-04|Replacement of Laptop Battery</v>
      </c>
      <c r="Q601" s="11" t="str">
        <f aca="false">IF(P601="","",IF(COUNTIF($P$2:$P$3000,P601)&gt;1,"DUPLICATE","OK"))</f>
        <v>OK</v>
      </c>
      <c r="R601" s="0" t="str">
        <f aca="false">IF($C601="","",IFERROR(VLOOKUP(--$C601,MM_Income!$Z$5:$AC$204,3,FALSE()),""))</f>
        <v/>
      </c>
    </row>
    <row r="602" customFormat="false" ht="14.9" hidden="false" customHeight="false" outlineLevel="0" collapsed="false">
      <c r="A602" s="1" t="s">
        <v>49</v>
      </c>
      <c r="B602" s="1" t="s">
        <v>89</v>
      </c>
      <c r="C602" s="1" t="n">
        <v>7710</v>
      </c>
      <c r="D602" s="1" t="s">
        <v>746</v>
      </c>
      <c r="E602" s="1" t="n">
        <v>43905</v>
      </c>
      <c r="F602" s="1" t="s">
        <v>869</v>
      </c>
      <c r="G602" s="140" t="n">
        <v>46170</v>
      </c>
      <c r="H602" s="1" t="n">
        <v>1230</v>
      </c>
      <c r="I602" s="1" t="s">
        <v>1521</v>
      </c>
      <c r="J602" s="1" t="s">
        <v>1571</v>
      </c>
      <c r="K602" s="1" t="n">
        <v>1323</v>
      </c>
      <c r="M602" s="125" t="n">
        <f aca="false">Nominal_Activity[[#This Row],[Debit]]-Nominal_Activity[[#This Row],[Credit]]</f>
        <v>1323</v>
      </c>
      <c r="N602" s="1" t="str">
        <f aca="false">IF(C602="","",IFERROR(VLOOKUP(C602,Master_Mappings!$A$4:$E$85,3,FALSE()),"UNMAPPED"))</f>
        <v>IT and Data</v>
      </c>
      <c r="P602" s="1" t="str">
        <f aca="false">IF($C602="","",$C602&amp;"|"&amp;$E602&amp;"|"&amp;$M602&amp;"|"&amp;TEXT($G602,"yyyy-mm-dd")&amp;"|"&amp;LEFT($J602,40))</f>
        <v>7710|43905|1323|2026-05-28|Purchase of microphone</v>
      </c>
      <c r="Q602" s="11" t="str">
        <f aca="false">IF(P602="","",IF(COUNTIF($P$2:$P$3000,P602)&gt;1,"DUPLICATE","OK"))</f>
        <v>OK</v>
      </c>
      <c r="R602" s="0" t="str">
        <f aca="false">IF($C602="","",IFERROR(VLOOKUP(--$C602,MM_Income!$Z$5:$AC$204,3,FALSE()),""))</f>
        <v/>
      </c>
    </row>
    <row r="603" customFormat="false" ht="14.9" hidden="false" customHeight="false" outlineLevel="0" collapsed="false">
      <c r="A603" s="1" t="s">
        <v>49</v>
      </c>
      <c r="B603" s="1" t="s">
        <v>89</v>
      </c>
      <c r="C603" s="1" t="n">
        <v>7710</v>
      </c>
      <c r="D603" s="1" t="s">
        <v>746</v>
      </c>
      <c r="E603" s="1" t="n">
        <v>43913</v>
      </c>
      <c r="F603" s="1" t="s">
        <v>869</v>
      </c>
      <c r="G603" s="140" t="n">
        <v>46171</v>
      </c>
      <c r="H603" s="1" t="n">
        <v>1230</v>
      </c>
      <c r="I603" s="1" t="s">
        <v>1317</v>
      </c>
      <c r="J603" s="1" t="s">
        <v>1572</v>
      </c>
      <c r="K603" s="1" t="n">
        <v>200</v>
      </c>
      <c r="M603" s="125" t="n">
        <f aca="false">Nominal_Activity[[#This Row],[Debit]]-Nominal_Activity[[#This Row],[Credit]]</f>
        <v>200</v>
      </c>
      <c r="N603" s="1" t="str">
        <f aca="false">IF(C603="","",IFERROR(VLOOKUP(C603,Master_Mappings!$A$4:$E$85,3,FALSE()),"UNMAPPED"))</f>
        <v>IT and Data</v>
      </c>
      <c r="P603" s="1" t="str">
        <f aca="false">IF($C603="","",$C603&amp;"|"&amp;$E603&amp;"|"&amp;$M603&amp;"|"&amp;TEXT($G603,"yyyy-mm-dd")&amp;"|"&amp;LEFT($J603,40))</f>
        <v>7710|43913|200|2026-05-29|Purchase of laptop toolkit</v>
      </c>
      <c r="Q603" s="11" t="str">
        <f aca="false">IF(P603="","",IF(COUNTIF($P$2:$P$3000,P603)&gt;1,"DUPLICATE","OK"))</f>
        <v>OK</v>
      </c>
      <c r="R603" s="0" t="str">
        <f aca="false">IF($C603="","",IFERROR(VLOOKUP(--$C603,MM_Income!$Z$5:$AC$204,3,FALSE()),""))</f>
        <v/>
      </c>
    </row>
    <row r="604" customFormat="false" ht="14.9" hidden="false" customHeight="false" outlineLevel="0" collapsed="false">
      <c r="A604" s="1" t="s">
        <v>49</v>
      </c>
      <c r="B604" s="1" t="s">
        <v>85</v>
      </c>
      <c r="C604" s="1" t="n">
        <v>7730</v>
      </c>
      <c r="D604" s="1" t="s">
        <v>748</v>
      </c>
      <c r="E604" s="1" t="n">
        <v>43081</v>
      </c>
      <c r="F604" s="1" t="s">
        <v>847</v>
      </c>
      <c r="G604" s="140" t="n">
        <v>46112</v>
      </c>
      <c r="H604" s="1" t="s">
        <v>1138</v>
      </c>
      <c r="I604" s="1" t="s">
        <v>1441</v>
      </c>
      <c r="J604" s="1" t="s">
        <v>1573</v>
      </c>
      <c r="K604" s="1" t="n">
        <v>3475.67</v>
      </c>
      <c r="M604" s="125" t="n">
        <f aca="false">Nominal_Activity[[#This Row],[Debit]]-Nominal_Activity[[#This Row],[Credit]]</f>
        <v>3475.67</v>
      </c>
      <c r="N604" s="1" t="str">
        <f aca="false">IF(C604="","",IFERROR(VLOOKUP(C604,Master_Mappings!$A$4:$E$85,3,FALSE()),"UNMAPPED"))</f>
        <v>IT and Data</v>
      </c>
      <c r="P604" s="1" t="str">
        <f aca="false">IF($C604="","",$C604&amp;"|"&amp;$E604&amp;"|"&amp;$M604&amp;"|"&amp;TEXT($G604,"yyyy-mm-dd")&amp;"|"&amp;LEFT($J604,40))</f>
        <v>7730|43081|3475.67|2026-03-31|Sage License Renewal for January 2026</v>
      </c>
      <c r="Q604" s="11" t="str">
        <f aca="false">IF(P604="","",IF(COUNTIF($P$2:$P$3000,P604)&gt;1,"DUPLICATE","OK"))</f>
        <v>OK</v>
      </c>
      <c r="R604" s="0" t="str">
        <f aca="false">IF($C604="","",IFERROR(VLOOKUP(--$C604,MM_Income!$Z$5:$AC$204,3,FALSE()),""))</f>
        <v/>
      </c>
    </row>
    <row r="605" customFormat="false" ht="14.9" hidden="false" customHeight="false" outlineLevel="0" collapsed="false">
      <c r="A605" s="1" t="s">
        <v>49</v>
      </c>
      <c r="B605" s="1" t="s">
        <v>85</v>
      </c>
      <c r="C605" s="1" t="n">
        <v>7730</v>
      </c>
      <c r="D605" s="1" t="s">
        <v>748</v>
      </c>
      <c r="E605" s="1" t="n">
        <v>43082</v>
      </c>
      <c r="F605" s="1" t="s">
        <v>847</v>
      </c>
      <c r="G605" s="140" t="n">
        <v>46112</v>
      </c>
      <c r="H605" s="1" t="s">
        <v>1138</v>
      </c>
      <c r="I605" s="1" t="s">
        <v>1441</v>
      </c>
      <c r="J605" s="1" t="s">
        <v>1574</v>
      </c>
      <c r="K605" s="1" t="n">
        <v>3475.67</v>
      </c>
      <c r="M605" s="125" t="n">
        <f aca="false">Nominal_Activity[[#This Row],[Debit]]-Nominal_Activity[[#This Row],[Credit]]</f>
        <v>3475.67</v>
      </c>
      <c r="N605" s="1" t="str">
        <f aca="false">IF(C605="","",IFERROR(VLOOKUP(C605,Master_Mappings!$A$4:$E$85,3,FALSE()),"UNMAPPED"))</f>
        <v>IT and Data</v>
      </c>
      <c r="P605" s="1" t="str">
        <f aca="false">IF($C605="","",$C605&amp;"|"&amp;$E605&amp;"|"&amp;$M605&amp;"|"&amp;TEXT($G605,"yyyy-mm-dd")&amp;"|"&amp;LEFT($J605,40))</f>
        <v>7730|43082|3475.67|2026-03-31|Sage License Renewal for February 2026</v>
      </c>
      <c r="Q605" s="11" t="str">
        <f aca="false">IF(P605="","",IF(COUNTIF($P$2:$P$3000,P605)&gt;1,"DUPLICATE","OK"))</f>
        <v>OK</v>
      </c>
      <c r="R605" s="0" t="str">
        <f aca="false">IF($C605="","",IFERROR(VLOOKUP(--$C605,MM_Income!$Z$5:$AC$204,3,FALSE()),""))</f>
        <v/>
      </c>
    </row>
    <row r="606" customFormat="false" ht="14.9" hidden="false" customHeight="false" outlineLevel="0" collapsed="false">
      <c r="A606" s="1" t="s">
        <v>49</v>
      </c>
      <c r="B606" s="1" t="s">
        <v>85</v>
      </c>
      <c r="C606" s="1" t="n">
        <v>7730</v>
      </c>
      <c r="D606" s="1" t="s">
        <v>748</v>
      </c>
      <c r="E606" s="1" t="n">
        <v>43083</v>
      </c>
      <c r="F606" s="1" t="s">
        <v>847</v>
      </c>
      <c r="G606" s="140" t="n">
        <v>46112</v>
      </c>
      <c r="H606" s="1" t="s">
        <v>1138</v>
      </c>
      <c r="I606" s="1" t="s">
        <v>1441</v>
      </c>
      <c r="J606" s="1" t="s">
        <v>1575</v>
      </c>
      <c r="K606" s="1" t="n">
        <v>3900.38</v>
      </c>
      <c r="M606" s="125" t="n">
        <f aca="false">Nominal_Activity[[#This Row],[Debit]]-Nominal_Activity[[#This Row],[Credit]]</f>
        <v>3900.38</v>
      </c>
      <c r="N606" s="1" t="str">
        <f aca="false">IF(C606="","",IFERROR(VLOOKUP(C606,Master_Mappings!$A$4:$E$85,3,FALSE()),"UNMAPPED"))</f>
        <v>IT and Data</v>
      </c>
      <c r="P606" s="1" t="str">
        <f aca="false">IF($C606="","",$C606&amp;"|"&amp;$E606&amp;"|"&amp;$M606&amp;"|"&amp;TEXT($G606,"yyyy-mm-dd")&amp;"|"&amp;LEFT($J606,40))</f>
        <v>7730|43083|3900.38|2026-03-31|Sage License Renewal for March 2026</v>
      </c>
      <c r="Q606" s="11" t="str">
        <f aca="false">IF(P606="","",IF(COUNTIF($P$2:$P$3000,P606)&gt;1,"DUPLICATE","OK"))</f>
        <v>OK</v>
      </c>
      <c r="R606" s="0" t="str">
        <f aca="false">IF($C606="","",IFERROR(VLOOKUP(--$C606,MM_Income!$Z$5:$AC$204,3,FALSE()),""))</f>
        <v/>
      </c>
    </row>
    <row r="607" customFormat="false" ht="14.9" hidden="false" customHeight="false" outlineLevel="0" collapsed="false">
      <c r="A607" s="1" t="s">
        <v>49</v>
      </c>
      <c r="B607" s="1" t="s">
        <v>89</v>
      </c>
      <c r="C607" s="1" t="n">
        <v>7730</v>
      </c>
      <c r="D607" s="1" t="s">
        <v>748</v>
      </c>
      <c r="E607" s="1" t="n">
        <v>44115</v>
      </c>
      <c r="F607" s="1" t="s">
        <v>847</v>
      </c>
      <c r="G607" s="140" t="n">
        <v>46203</v>
      </c>
      <c r="H607" s="1" t="s">
        <v>1138</v>
      </c>
      <c r="I607" s="1" t="s">
        <v>1139</v>
      </c>
      <c r="J607" s="1" t="s">
        <v>1576</v>
      </c>
      <c r="K607" s="1" t="n">
        <v>3900.38</v>
      </c>
      <c r="M607" s="125" t="n">
        <f aca="false">Nominal_Activity[[#This Row],[Debit]]-Nominal_Activity[[#This Row],[Credit]]</f>
        <v>3900.38</v>
      </c>
      <c r="N607" s="1" t="str">
        <f aca="false">IF(C607="","",IFERROR(VLOOKUP(C607,Master_Mappings!$A$4:$E$85,3,FALSE()),"UNMAPPED"))</f>
        <v>IT and Data</v>
      </c>
      <c r="P607" s="1" t="str">
        <f aca="false">IF($C607="","",$C607&amp;"|"&amp;$E607&amp;"|"&amp;$M607&amp;"|"&amp;TEXT($G607,"yyyy-mm-dd")&amp;"|"&amp;LEFT($J607,40))</f>
        <v>7730|44115|3900.38|2026-06-30|Sage License Renewal for April 2026</v>
      </c>
      <c r="Q607" s="11" t="str">
        <f aca="false">IF(P607="","",IF(COUNTIF($P$2:$P$3000,P607)&gt;1,"DUPLICATE","OK"))</f>
        <v>OK</v>
      </c>
      <c r="R607" s="0" t="str">
        <f aca="false">IF($C607="","",IFERROR(VLOOKUP(--$C607,MM_Income!$Z$5:$AC$204,3,FALSE()),""))</f>
        <v/>
      </c>
    </row>
    <row r="608" customFormat="false" ht="14.9" hidden="false" customHeight="false" outlineLevel="0" collapsed="false">
      <c r="A608" s="1" t="s">
        <v>49</v>
      </c>
      <c r="B608" s="1" t="s">
        <v>89</v>
      </c>
      <c r="C608" s="1" t="n">
        <v>7730</v>
      </c>
      <c r="D608" s="1" t="s">
        <v>748</v>
      </c>
      <c r="E608" s="1" t="n">
        <v>44116</v>
      </c>
      <c r="F608" s="1" t="s">
        <v>847</v>
      </c>
      <c r="G608" s="140" t="n">
        <v>46203</v>
      </c>
      <c r="H608" s="1" t="s">
        <v>1138</v>
      </c>
      <c r="I608" s="1" t="s">
        <v>1139</v>
      </c>
      <c r="J608" s="1" t="s">
        <v>1577</v>
      </c>
      <c r="K608" s="1" t="n">
        <v>3900.38</v>
      </c>
      <c r="M608" s="125" t="n">
        <f aca="false">Nominal_Activity[[#This Row],[Debit]]-Nominal_Activity[[#This Row],[Credit]]</f>
        <v>3900.38</v>
      </c>
      <c r="N608" s="1" t="str">
        <f aca="false">IF(C608="","",IFERROR(VLOOKUP(C608,Master_Mappings!$A$4:$E$85,3,FALSE()),"UNMAPPED"))</f>
        <v>IT and Data</v>
      </c>
      <c r="P608" s="1" t="str">
        <f aca="false">IF($C608="","",$C608&amp;"|"&amp;$E608&amp;"|"&amp;$M608&amp;"|"&amp;TEXT($G608,"yyyy-mm-dd")&amp;"|"&amp;LEFT($J608,40))</f>
        <v>7730|44116|3900.38|2026-06-30|Sage License Renewal for May 2026</v>
      </c>
      <c r="Q608" s="11" t="str">
        <f aca="false">IF(P608="","",IF(COUNTIF($P$2:$P$3000,P608)&gt;1,"DUPLICATE","OK"))</f>
        <v>OK</v>
      </c>
      <c r="R608" s="0" t="str">
        <f aca="false">IF($C608="","",IFERROR(VLOOKUP(--$C608,MM_Income!$Z$5:$AC$204,3,FALSE()),""))</f>
        <v/>
      </c>
    </row>
    <row r="609" customFormat="false" ht="14.9" hidden="false" customHeight="false" outlineLevel="0" collapsed="false">
      <c r="A609" s="1" t="s">
        <v>49</v>
      </c>
      <c r="B609" s="1" t="s">
        <v>89</v>
      </c>
      <c r="C609" s="1" t="n">
        <v>7730</v>
      </c>
      <c r="D609" s="1" t="s">
        <v>748</v>
      </c>
      <c r="E609" s="1" t="n">
        <v>44122</v>
      </c>
      <c r="F609" s="1" t="s">
        <v>847</v>
      </c>
      <c r="G609" s="140" t="n">
        <v>46203</v>
      </c>
      <c r="H609" s="1" t="s">
        <v>1138</v>
      </c>
      <c r="I609" s="1" t="s">
        <v>1141</v>
      </c>
      <c r="J609" s="1" t="s">
        <v>1578</v>
      </c>
      <c r="K609" s="1" t="n">
        <v>3900.38</v>
      </c>
      <c r="M609" s="125" t="n">
        <f aca="false">Nominal_Activity[[#This Row],[Debit]]-Nominal_Activity[[#This Row],[Credit]]</f>
        <v>3900.38</v>
      </c>
      <c r="N609" s="1" t="str">
        <f aca="false">IF(C609="","",IFERROR(VLOOKUP(C609,Master_Mappings!$A$4:$E$85,3,FALSE()),"UNMAPPED"))</f>
        <v>IT and Data</v>
      </c>
      <c r="P609" s="1" t="str">
        <f aca="false">IF($C609="","",$C609&amp;"|"&amp;$E609&amp;"|"&amp;$M609&amp;"|"&amp;TEXT($G609,"yyyy-mm-dd")&amp;"|"&amp;LEFT($J609,40))</f>
        <v>7730|44122|3900.38|2026-06-30|Sage License Renewal for June 2026</v>
      </c>
      <c r="Q609" s="11" t="str">
        <f aca="false">IF(P609="","",IF(COUNTIF($P$2:$P$3000,P609)&gt;1,"DUPLICATE","OK"))</f>
        <v>OK</v>
      </c>
      <c r="R609" s="0" t="str">
        <f aca="false">IF($C609="","",IFERROR(VLOOKUP(--$C609,MM_Income!$Z$5:$AC$204,3,FALSE()),""))</f>
        <v/>
      </c>
    </row>
    <row r="610" customFormat="false" ht="14.9" hidden="false" customHeight="false" outlineLevel="0" collapsed="false">
      <c r="A610" s="1" t="s">
        <v>49</v>
      </c>
      <c r="B610" s="1" t="s">
        <v>89</v>
      </c>
      <c r="C610" s="1" t="n">
        <v>7740</v>
      </c>
      <c r="D610" s="1" t="s">
        <v>750</v>
      </c>
      <c r="E610" s="1" t="n">
        <v>44121</v>
      </c>
      <c r="F610" s="1" t="s">
        <v>847</v>
      </c>
      <c r="G610" s="140" t="n">
        <v>46203</v>
      </c>
      <c r="H610" s="1" t="s">
        <v>1138</v>
      </c>
      <c r="I610" s="1" t="s">
        <v>1139</v>
      </c>
      <c r="J610" s="1" t="s">
        <v>1579</v>
      </c>
      <c r="K610" s="1" t="n">
        <v>3536.35</v>
      </c>
      <c r="M610" s="125" t="n">
        <f aca="false">Nominal_Activity[[#This Row],[Debit]]-Nominal_Activity[[#This Row],[Credit]]</f>
        <v>3536.35</v>
      </c>
      <c r="N610" s="1" t="str">
        <f aca="false">IF(C610="","",IFERROR(VLOOKUP(C610,Master_Mappings!$A$4:$E$85,3,FALSE()),"UNMAPPED"))</f>
        <v>IT and Data</v>
      </c>
      <c r="P610" s="1" t="str">
        <f aca="false">IF($C610="","",$C610&amp;"|"&amp;$E610&amp;"|"&amp;$M610&amp;"|"&amp;TEXT($G610,"yyyy-mm-dd")&amp;"|"&amp;LEFT($J610,40))</f>
        <v>7740|44121|3536.35|2026-06-30|Squarespace annual subscription - ASCI w</v>
      </c>
      <c r="Q610" s="11" t="str">
        <f aca="false">IF(P610="","",IF(COUNTIF($P$2:$P$3000,P610)&gt;1,"DUPLICATE","OK"))</f>
        <v>OK</v>
      </c>
      <c r="R610" s="0" t="str">
        <f aca="false">IF($C610="","",IFERROR(VLOOKUP(--$C610,MM_Income!$Z$5:$AC$204,3,FALSE()),""))</f>
        <v/>
      </c>
    </row>
    <row r="611" customFormat="false" ht="14.9" hidden="false" customHeight="false" outlineLevel="0" collapsed="false">
      <c r="A611" s="1" t="s">
        <v>49</v>
      </c>
      <c r="B611" s="1" t="s">
        <v>85</v>
      </c>
      <c r="C611" s="1" t="n">
        <v>7750</v>
      </c>
      <c r="D611" s="1" t="s">
        <v>752</v>
      </c>
      <c r="E611" s="1" t="n">
        <v>42749</v>
      </c>
      <c r="F611" s="1" t="s">
        <v>914</v>
      </c>
      <c r="G611" s="140" t="n">
        <v>46069</v>
      </c>
      <c r="H611" s="1" t="n">
        <v>1200</v>
      </c>
      <c r="I611" s="1" t="s">
        <v>1580</v>
      </c>
      <c r="J611" s="1" t="s">
        <v>1581</v>
      </c>
      <c r="K611" s="1" t="n">
        <v>10000</v>
      </c>
      <c r="M611" s="125" t="n">
        <f aca="false">Nominal_Activity[[#This Row],[Debit]]-Nominal_Activity[[#This Row],[Credit]]</f>
        <v>10000</v>
      </c>
      <c r="N611" s="1" t="str">
        <f aca="false">IF(C611="","",IFERROR(VLOOKUP(C611,Master_Mappings!$A$4:$E$85,3,FALSE()),"UNMAPPED"))</f>
        <v>IT and Data</v>
      </c>
      <c r="P611" s="1" t="str">
        <f aca="false">IF($C611="","",$C611&amp;"|"&amp;$E611&amp;"|"&amp;$M611&amp;"|"&amp;TEXT($G611,"yyyy-mm-dd")&amp;"|"&amp;LEFT($J611,40))</f>
        <v>7750|42749|10000|2026-02-16|Purchase of Internet Data for office</v>
      </c>
      <c r="Q611" s="11" t="str">
        <f aca="false">IF(P611="","",IF(COUNTIF($P$2:$P$3000,P611)&gt;1,"DUPLICATE","OK"))</f>
        <v>OK</v>
      </c>
      <c r="R611" s="0" t="str">
        <f aca="false">IF($C611="","",IFERROR(VLOOKUP(--$C611,MM_Income!$Z$5:$AC$204,3,FALSE()),""))</f>
        <v>Excluded — Overhead (in fixed costs)</v>
      </c>
    </row>
    <row r="612" customFormat="false" ht="14.9" hidden="false" customHeight="false" outlineLevel="0" collapsed="false">
      <c r="A612" s="1" t="s">
        <v>49</v>
      </c>
      <c r="B612" s="1" t="s">
        <v>85</v>
      </c>
      <c r="C612" s="1" t="n">
        <v>7750</v>
      </c>
      <c r="D612" s="1" t="s">
        <v>752</v>
      </c>
      <c r="E612" s="1" t="n">
        <v>42821</v>
      </c>
      <c r="F612" s="1" t="s">
        <v>869</v>
      </c>
      <c r="G612" s="140" t="n">
        <v>46084</v>
      </c>
      <c r="H612" s="1" t="n">
        <v>1260</v>
      </c>
      <c r="I612" s="1" t="s">
        <v>879</v>
      </c>
      <c r="J612" s="1" t="s">
        <v>880</v>
      </c>
      <c r="K612" s="1" t="n">
        <v>78.67</v>
      </c>
      <c r="M612" s="125" t="n">
        <f aca="false">Nominal_Activity[[#This Row],[Debit]]-Nominal_Activity[[#This Row],[Credit]]</f>
        <v>78.67</v>
      </c>
      <c r="N612" s="1" t="str">
        <f aca="false">IF(C612="","",IFERROR(VLOOKUP(C612,Master_Mappings!$A$4:$E$85,3,FALSE()),"UNMAPPED"))</f>
        <v>IT and Data</v>
      </c>
      <c r="P612" s="1" t="str">
        <f aca="false">IF($C612="","",$C612&amp;"|"&amp;$E612&amp;"|"&amp;$M612&amp;"|"&amp;TEXT($G612,"yyyy-mm-dd")&amp;"|"&amp;LEFT($J612,40))</f>
        <v>7750|42821|78.67|2026-03-03|Data and Airtime</v>
      </c>
      <c r="Q612" s="11" t="str">
        <f aca="false">IF(P612="","",IF(COUNTIF($P$2:$P$3000,P612)&gt;1,"DUPLICATE","OK"))</f>
        <v>OK</v>
      </c>
      <c r="R612" s="0" t="str">
        <f aca="false">IF($C612="","",IFERROR(VLOOKUP(--$C612,MM_Income!$Z$5:$AC$204,3,FALSE()),""))</f>
        <v>Excluded — Overhead (in fixed costs)</v>
      </c>
    </row>
    <row r="613" customFormat="false" ht="14.9" hidden="false" customHeight="false" outlineLevel="0" collapsed="false">
      <c r="A613" s="1" t="s">
        <v>49</v>
      </c>
      <c r="B613" s="1" t="s">
        <v>85</v>
      </c>
      <c r="C613" s="1" t="n">
        <v>7750</v>
      </c>
      <c r="D613" s="1" t="s">
        <v>752</v>
      </c>
      <c r="E613" s="1" t="n">
        <v>42841</v>
      </c>
      <c r="F613" s="1" t="s">
        <v>869</v>
      </c>
      <c r="G613" s="140" t="n">
        <v>46056</v>
      </c>
      <c r="H613" s="1" t="n">
        <v>1260</v>
      </c>
      <c r="I613" s="1" t="s">
        <v>883</v>
      </c>
      <c r="J613" s="1" t="s">
        <v>1582</v>
      </c>
      <c r="K613" s="1" t="n">
        <v>87.54</v>
      </c>
      <c r="M613" s="125" t="n">
        <f aca="false">Nominal_Activity[[#This Row],[Debit]]-Nominal_Activity[[#This Row],[Credit]]</f>
        <v>87.54</v>
      </c>
      <c r="N613" s="1" t="str">
        <f aca="false">IF(C613="","",IFERROR(VLOOKUP(C613,Master_Mappings!$A$4:$E$85,3,FALSE()),"UNMAPPED"))</f>
        <v>IT and Data</v>
      </c>
      <c r="P613" s="1" t="str">
        <f aca="false">IF($C613="","",$C613&amp;"|"&amp;$E613&amp;"|"&amp;$M613&amp;"|"&amp;TEXT($G613,"yyyy-mm-dd")&amp;"|"&amp;LEFT($J613,40))</f>
        <v>7750|42841|87.54|2026-02-03|Internet bundle</v>
      </c>
      <c r="Q613" s="11" t="str">
        <f aca="false">IF(P613="","",IF(COUNTIF($P$2:$P$3000,P613)&gt;1,"DUPLICATE","OK"))</f>
        <v>OK</v>
      </c>
      <c r="R613" s="0" t="str">
        <f aca="false">IF($C613="","",IFERROR(VLOOKUP(--$C613,MM_Income!$Z$5:$AC$204,3,FALSE()),""))</f>
        <v>Excluded — Overhead (in fixed costs)</v>
      </c>
    </row>
    <row r="614" customFormat="false" ht="14.9" hidden="false" customHeight="false" outlineLevel="0" collapsed="false">
      <c r="A614" s="1" t="s">
        <v>49</v>
      </c>
      <c r="B614" s="1" t="s">
        <v>89</v>
      </c>
      <c r="C614" s="1" t="n">
        <v>7750</v>
      </c>
      <c r="D614" s="1" t="s">
        <v>752</v>
      </c>
      <c r="E614" s="1" t="n">
        <v>43632</v>
      </c>
      <c r="F614" s="1" t="s">
        <v>914</v>
      </c>
      <c r="G614" s="140" t="n">
        <v>46160</v>
      </c>
      <c r="H614" s="1" t="n">
        <v>1200</v>
      </c>
      <c r="I614" s="1" t="s">
        <v>1583</v>
      </c>
      <c r="J614" s="1" t="s">
        <v>1584</v>
      </c>
      <c r="K614" s="1" t="n">
        <v>10000</v>
      </c>
      <c r="M614" s="125" t="n">
        <f aca="false">Nominal_Activity[[#This Row],[Debit]]-Nominal_Activity[[#This Row],[Credit]]</f>
        <v>10000</v>
      </c>
      <c r="N614" s="1" t="str">
        <f aca="false">IF(C614="","",IFERROR(VLOOKUP(C614,Master_Mappings!$A$4:$E$85,3,FALSE()),"UNMAPPED"))</f>
        <v>IT and Data</v>
      </c>
      <c r="P614" s="1" t="str">
        <f aca="false">IF($C614="","",$C614&amp;"|"&amp;$E614&amp;"|"&amp;$M614&amp;"|"&amp;TEXT($G614,"yyyy-mm-dd")&amp;"|"&amp;LEFT($J614,40))</f>
        <v>7750|43632|10000|2026-05-18|Purchase of Internet Data for office use</v>
      </c>
      <c r="Q614" s="11" t="str">
        <f aca="false">IF(P614="","",IF(COUNTIF($P$2:$P$3000,P614)&gt;1,"DUPLICATE","OK"))</f>
        <v>OK</v>
      </c>
      <c r="R614" s="0" t="str">
        <f aca="false">IF($C614="","",IFERROR(VLOOKUP(--$C614,MM_Income!$Z$5:$AC$204,3,FALSE()),""))</f>
        <v>Excluded — Overhead (in fixed costs)</v>
      </c>
    </row>
    <row r="615" customFormat="false" ht="14.9" hidden="false" customHeight="false" outlineLevel="0" collapsed="false">
      <c r="A615" s="1" t="s">
        <v>49</v>
      </c>
      <c r="B615" s="1" t="s">
        <v>89</v>
      </c>
      <c r="C615" s="1" t="n">
        <v>7750</v>
      </c>
      <c r="D615" s="1" t="s">
        <v>752</v>
      </c>
      <c r="E615" s="1" t="n">
        <v>43725</v>
      </c>
      <c r="F615" s="1" t="s">
        <v>869</v>
      </c>
      <c r="G615" s="140" t="n">
        <v>46128</v>
      </c>
      <c r="H615" s="1" t="n">
        <v>1260</v>
      </c>
      <c r="I615" s="1" t="s">
        <v>1469</v>
      </c>
      <c r="J615" s="1" t="s">
        <v>1585</v>
      </c>
      <c r="K615" s="1" t="n">
        <v>1000</v>
      </c>
      <c r="M615" s="125" t="n">
        <f aca="false">Nominal_Activity[[#This Row],[Debit]]-Nominal_Activity[[#This Row],[Credit]]</f>
        <v>1000</v>
      </c>
      <c r="N615" s="1" t="str">
        <f aca="false">IF(C615="","",IFERROR(VLOOKUP(C615,Master_Mappings!$A$4:$E$85,3,FALSE()),"UNMAPPED"))</f>
        <v>IT and Data</v>
      </c>
      <c r="P615" s="1" t="str">
        <f aca="false">IF($C615="","",$C615&amp;"|"&amp;$E615&amp;"|"&amp;$M615&amp;"|"&amp;TEXT($G615,"yyyy-mm-dd")&amp;"|"&amp;LEFT($J615,40))</f>
        <v>7750|43725|1000|2026-04-16|Office Data Top up - Telecel</v>
      </c>
      <c r="Q615" s="11" t="str">
        <f aca="false">IF(P615="","",IF(COUNTIF($P$2:$P$3000,P615)&gt;1,"DUPLICATE","OK"))</f>
        <v>OK</v>
      </c>
      <c r="R615" s="0" t="str">
        <f aca="false">IF($C615="","",IFERROR(VLOOKUP(--$C615,MM_Income!$Z$5:$AC$204,3,FALSE()),""))</f>
        <v>Excluded — Overhead (in fixed costs)</v>
      </c>
    </row>
    <row r="616" customFormat="false" ht="14.9" hidden="false" customHeight="false" outlineLevel="0" collapsed="false">
      <c r="A616" s="1" t="s">
        <v>49</v>
      </c>
      <c r="B616" s="1" t="s">
        <v>89</v>
      </c>
      <c r="C616" s="1" t="n">
        <v>7750</v>
      </c>
      <c r="D616" s="1" t="s">
        <v>752</v>
      </c>
      <c r="E616" s="1" t="n">
        <v>43763</v>
      </c>
      <c r="F616" s="1" t="s">
        <v>869</v>
      </c>
      <c r="G616" s="140" t="n">
        <v>46113</v>
      </c>
      <c r="H616" s="1" t="n">
        <v>1260</v>
      </c>
      <c r="I616" s="1" t="s">
        <v>1065</v>
      </c>
      <c r="J616" s="1" t="s">
        <v>880</v>
      </c>
      <c r="K616" s="1" t="n">
        <v>78.68</v>
      </c>
      <c r="M616" s="125" t="n">
        <f aca="false">Nominal_Activity[[#This Row],[Debit]]-Nominal_Activity[[#This Row],[Credit]]</f>
        <v>78.68</v>
      </c>
      <c r="N616" s="1" t="str">
        <f aca="false">IF(C616="","",IFERROR(VLOOKUP(C616,Master_Mappings!$A$4:$E$85,3,FALSE()),"UNMAPPED"))</f>
        <v>IT and Data</v>
      </c>
      <c r="P616" s="1" t="str">
        <f aca="false">IF($C616="","",$C616&amp;"|"&amp;$E616&amp;"|"&amp;$M616&amp;"|"&amp;TEXT($G616,"yyyy-mm-dd")&amp;"|"&amp;LEFT($J616,40))</f>
        <v>7750|43763|78.68|2026-04-01|Data and Airtime</v>
      </c>
      <c r="Q616" s="11" t="str">
        <f aca="false">IF(P616="","",IF(COUNTIF($P$2:$P$3000,P616)&gt;1,"DUPLICATE","OK"))</f>
        <v>OK</v>
      </c>
      <c r="R616" s="0" t="str">
        <f aca="false">IF($C616="","",IFERROR(VLOOKUP(--$C616,MM_Income!$Z$5:$AC$204,3,FALSE()),""))</f>
        <v>Excluded — Overhead (in fixed costs)</v>
      </c>
    </row>
    <row r="617" customFormat="false" ht="14.9" hidden="false" customHeight="false" outlineLevel="0" collapsed="false">
      <c r="A617" s="1" t="s">
        <v>49</v>
      </c>
      <c r="B617" s="1" t="s">
        <v>89</v>
      </c>
      <c r="C617" s="1" t="n">
        <v>7750</v>
      </c>
      <c r="D617" s="1" t="s">
        <v>752</v>
      </c>
      <c r="E617" s="1" t="n">
        <v>43837</v>
      </c>
      <c r="F617" s="1" t="s">
        <v>869</v>
      </c>
      <c r="G617" s="140" t="n">
        <v>46172</v>
      </c>
      <c r="H617" s="1" t="n">
        <v>1260</v>
      </c>
      <c r="I617" s="1" t="s">
        <v>1101</v>
      </c>
      <c r="J617" s="1" t="s">
        <v>1103</v>
      </c>
      <c r="K617" s="1" t="n">
        <v>7.97</v>
      </c>
      <c r="M617" s="125" t="n">
        <f aca="false">Nominal_Activity[[#This Row],[Debit]]-Nominal_Activity[[#This Row],[Credit]]</f>
        <v>7.97</v>
      </c>
      <c r="N617" s="1" t="str">
        <f aca="false">IF(C617="","",IFERROR(VLOOKUP(C617,Master_Mappings!$A$4:$E$85,3,FALSE()),"UNMAPPED"))</f>
        <v>IT and Data</v>
      </c>
      <c r="P617" s="1" t="str">
        <f aca="false">IF($C617="","",$C617&amp;"|"&amp;$E617&amp;"|"&amp;$M617&amp;"|"&amp;TEXT($G617,"yyyy-mm-dd")&amp;"|"&amp;LEFT($J617,40))</f>
        <v>7750|43837|7.97|2026-05-30|Internet Data Subscription</v>
      </c>
      <c r="Q617" s="11" t="str">
        <f aca="false">IF(P617="","",IF(COUNTIF($P$2:$P$3000,P617)&gt;1,"DUPLICATE","OK"))</f>
        <v>OK</v>
      </c>
      <c r="R617" s="0" t="str">
        <f aca="false">IF($C617="","",IFERROR(VLOOKUP(--$C617,MM_Income!$Z$5:$AC$204,3,FALSE()),""))</f>
        <v>Excluded — Overhead (in fixed costs)</v>
      </c>
    </row>
    <row r="618" customFormat="false" ht="14.9" hidden="false" customHeight="false" outlineLevel="0" collapsed="false">
      <c r="A618" s="1" t="s">
        <v>49</v>
      </c>
      <c r="B618" s="1" t="s">
        <v>89</v>
      </c>
      <c r="C618" s="1" t="n">
        <v>7750</v>
      </c>
      <c r="D618" s="1" t="s">
        <v>752</v>
      </c>
      <c r="E618" s="1" t="n">
        <v>43840</v>
      </c>
      <c r="F618" s="1" t="s">
        <v>869</v>
      </c>
      <c r="G618" s="140" t="n">
        <v>46167</v>
      </c>
      <c r="H618" s="1" t="n">
        <v>1260</v>
      </c>
      <c r="I618" s="1" t="s">
        <v>1101</v>
      </c>
      <c r="J618" s="1" t="s">
        <v>1103</v>
      </c>
      <c r="K618" s="1" t="n">
        <v>27.9</v>
      </c>
      <c r="M618" s="125" t="n">
        <f aca="false">Nominal_Activity[[#This Row],[Debit]]-Nominal_Activity[[#This Row],[Credit]]</f>
        <v>27.9</v>
      </c>
      <c r="N618" s="1" t="str">
        <f aca="false">IF(C618="","",IFERROR(VLOOKUP(C618,Master_Mappings!$A$4:$E$85,3,FALSE()),"UNMAPPED"))</f>
        <v>IT and Data</v>
      </c>
      <c r="P618" s="1" t="str">
        <f aca="false">IF($C618="","",$C618&amp;"|"&amp;$E618&amp;"|"&amp;$M618&amp;"|"&amp;TEXT($G618,"yyyy-mm-dd")&amp;"|"&amp;LEFT($J618,40))</f>
        <v>7750|43840|27.9|2026-05-25|Internet Data Subscription</v>
      </c>
      <c r="Q618" s="11" t="str">
        <f aca="false">IF(P618="","",IF(COUNTIF($P$2:$P$3000,P618)&gt;1,"DUPLICATE","OK"))</f>
        <v>OK</v>
      </c>
      <c r="R618" s="0" t="str">
        <f aca="false">IF($C618="","",IFERROR(VLOOKUP(--$C618,MM_Income!$Z$5:$AC$204,3,FALSE()),""))</f>
        <v>Excluded — Overhead (in fixed costs)</v>
      </c>
    </row>
    <row r="619" customFormat="false" ht="14.9" hidden="false" customHeight="false" outlineLevel="0" collapsed="false">
      <c r="A619" s="1" t="s">
        <v>49</v>
      </c>
      <c r="B619" s="1" t="s">
        <v>89</v>
      </c>
      <c r="C619" s="1" t="n">
        <v>7750</v>
      </c>
      <c r="D619" s="1" t="s">
        <v>752</v>
      </c>
      <c r="E619" s="1" t="n">
        <v>43842</v>
      </c>
      <c r="F619" s="1" t="s">
        <v>869</v>
      </c>
      <c r="G619" s="140" t="n">
        <v>46164</v>
      </c>
      <c r="H619" s="1" t="n">
        <v>1260</v>
      </c>
      <c r="I619" s="1" t="s">
        <v>1101</v>
      </c>
      <c r="J619" s="1" t="s">
        <v>1103</v>
      </c>
      <c r="K619" s="1" t="n">
        <v>39.86</v>
      </c>
      <c r="M619" s="125" t="n">
        <f aca="false">Nominal_Activity[[#This Row],[Debit]]-Nominal_Activity[[#This Row],[Credit]]</f>
        <v>39.86</v>
      </c>
      <c r="N619" s="1" t="str">
        <f aca="false">IF(C619="","",IFERROR(VLOOKUP(C619,Master_Mappings!$A$4:$E$85,3,FALSE()),"UNMAPPED"))</f>
        <v>IT and Data</v>
      </c>
      <c r="P619" s="1" t="str">
        <f aca="false">IF($C619="","",$C619&amp;"|"&amp;$E619&amp;"|"&amp;$M619&amp;"|"&amp;TEXT($G619,"yyyy-mm-dd")&amp;"|"&amp;LEFT($J619,40))</f>
        <v>7750|43842|39.86|2026-05-22|Internet Data Subscription</v>
      </c>
      <c r="Q619" s="11" t="str">
        <f aca="false">IF(P619="","",IF(COUNTIF($P$2:$P$3000,P619)&gt;1,"DUPLICATE","OK"))</f>
        <v>OK</v>
      </c>
      <c r="R619" s="0" t="str">
        <f aca="false">IF($C619="","",IFERROR(VLOOKUP(--$C619,MM_Income!$Z$5:$AC$204,3,FALSE()),""))</f>
        <v>Excluded — Overhead (in fixed costs)</v>
      </c>
    </row>
    <row r="620" customFormat="false" ht="14.9" hidden="false" customHeight="false" outlineLevel="0" collapsed="false">
      <c r="A620" s="1" t="s">
        <v>49</v>
      </c>
      <c r="B620" s="1" t="s">
        <v>89</v>
      </c>
      <c r="C620" s="1" t="n">
        <v>7750</v>
      </c>
      <c r="D620" s="1" t="s">
        <v>752</v>
      </c>
      <c r="E620" s="1" t="n">
        <v>43843</v>
      </c>
      <c r="F620" s="1" t="s">
        <v>869</v>
      </c>
      <c r="G620" s="140" t="n">
        <v>46163</v>
      </c>
      <c r="H620" s="1" t="n">
        <v>1260</v>
      </c>
      <c r="I620" s="1" t="s">
        <v>1101</v>
      </c>
      <c r="J620" s="1" t="s">
        <v>1103</v>
      </c>
      <c r="K620" s="1" t="n">
        <v>39.86</v>
      </c>
      <c r="M620" s="125" t="n">
        <f aca="false">Nominal_Activity[[#This Row],[Debit]]-Nominal_Activity[[#This Row],[Credit]]</f>
        <v>39.86</v>
      </c>
      <c r="N620" s="1" t="str">
        <f aca="false">IF(C620="","",IFERROR(VLOOKUP(C620,Master_Mappings!$A$4:$E$85,3,FALSE()),"UNMAPPED"))</f>
        <v>IT and Data</v>
      </c>
      <c r="P620" s="1" t="str">
        <f aca="false">IF($C620="","",$C620&amp;"|"&amp;$E620&amp;"|"&amp;$M620&amp;"|"&amp;TEXT($G620,"yyyy-mm-dd")&amp;"|"&amp;LEFT($J620,40))</f>
        <v>7750|43843|39.86|2026-05-21|Internet Data Subscription</v>
      </c>
      <c r="Q620" s="11" t="str">
        <f aca="false">IF(P620="","",IF(COUNTIF($P$2:$P$3000,P620)&gt;1,"DUPLICATE","OK"))</f>
        <v>OK</v>
      </c>
      <c r="R620" s="0" t="str">
        <f aca="false">IF($C620="","",IFERROR(VLOOKUP(--$C620,MM_Income!$Z$5:$AC$204,3,FALSE()),""))</f>
        <v>Excluded — Overhead (in fixed costs)</v>
      </c>
    </row>
    <row r="621" customFormat="false" ht="14.9" hidden="false" customHeight="false" outlineLevel="0" collapsed="false">
      <c r="A621" s="1" t="s">
        <v>49</v>
      </c>
      <c r="B621" s="1" t="s">
        <v>89</v>
      </c>
      <c r="C621" s="1" t="n">
        <v>7760</v>
      </c>
      <c r="D621" s="1" t="s">
        <v>754</v>
      </c>
      <c r="E621" s="1" t="n">
        <v>44124</v>
      </c>
      <c r="F621" s="1" t="s">
        <v>847</v>
      </c>
      <c r="G621" s="140" t="n">
        <v>46203</v>
      </c>
      <c r="H621" s="1" t="s">
        <v>1138</v>
      </c>
      <c r="I621" s="1" t="s">
        <v>1141</v>
      </c>
      <c r="J621" s="1" t="s">
        <v>1586</v>
      </c>
      <c r="K621" s="1" t="n">
        <v>4853.81</v>
      </c>
      <c r="M621" s="125" t="n">
        <f aca="false">Nominal_Activity[[#This Row],[Debit]]-Nominal_Activity[[#This Row],[Credit]]</f>
        <v>4853.81</v>
      </c>
      <c r="N621" s="1" t="str">
        <f aca="false">IF(C621="","",IFERROR(VLOOKUP(C621,Master_Mappings!$A$4:$E$85,3,FALSE()),"UNMAPPED"))</f>
        <v>IT and Data</v>
      </c>
      <c r="P621" s="1" t="str">
        <f aca="false">IF($C621="","",$C621&amp;"|"&amp;$E621&amp;"|"&amp;$M621&amp;"|"&amp;TEXT($G621,"yyyy-mm-dd")&amp;"|"&amp;LEFT($J621,40))</f>
        <v>7760|44124|4853.81|2026-06-30|ArcGIS Online Service Credits May-Dec 20</v>
      </c>
      <c r="Q621" s="11" t="str">
        <f aca="false">IF(P621="","",IF(COUNTIF($P$2:$P$3000,P621)&gt;1,"DUPLICATE","OK"))</f>
        <v>OK</v>
      </c>
      <c r="R621" s="0" t="str">
        <f aca="false">IF($C621="","",IFERROR(VLOOKUP(--$C621,MM_Income!$Z$5:$AC$204,3,FALSE()),""))</f>
        <v/>
      </c>
    </row>
    <row r="622" customFormat="false" ht="14.9" hidden="false" customHeight="false" outlineLevel="0" collapsed="false">
      <c r="A622" s="1" t="s">
        <v>49</v>
      </c>
      <c r="B622" s="1" t="s">
        <v>85</v>
      </c>
      <c r="C622" s="1" t="n">
        <v>7800</v>
      </c>
      <c r="D622" s="1" t="s">
        <v>756</v>
      </c>
      <c r="E622" s="1" t="n">
        <v>42772</v>
      </c>
      <c r="F622" s="1" t="s">
        <v>847</v>
      </c>
      <c r="G622" s="140" t="n">
        <v>46071</v>
      </c>
      <c r="H622" s="1" t="s">
        <v>1587</v>
      </c>
      <c r="J622" s="1" t="s">
        <v>1588</v>
      </c>
      <c r="K622" s="1" t="n">
        <v>2280</v>
      </c>
      <c r="M622" s="125" t="n">
        <f aca="false">Nominal_Activity[[#This Row],[Debit]]-Nominal_Activity[[#This Row],[Credit]]</f>
        <v>2280</v>
      </c>
      <c r="N622" s="1" t="str">
        <f aca="false">IF(C622="","",IFERROR(VLOOKUP(C622,Master_Mappings!$A$4:$E$85,3,FALSE()),"UNMAPPED"))</f>
        <v>Office Running costs</v>
      </c>
      <c r="P622" s="1" t="str">
        <f aca="false">IF($C622="","",$C622&amp;"|"&amp;$E622&amp;"|"&amp;$M622&amp;"|"&amp;TEXT($G622,"yyyy-mm-dd")&amp;"|"&amp;LEFT($J622,40))</f>
        <v>7800|42772|2280|2026-02-18|Servicing of Genset</v>
      </c>
      <c r="Q622" s="11" t="str">
        <f aca="false">IF(P622="","",IF(COUNTIF($P$2:$P$3000,P622)&gt;1,"DUPLICATE","OK"))</f>
        <v>OK</v>
      </c>
      <c r="R622" s="0" t="str">
        <f aca="false">IF($C622="","",IFERROR(VLOOKUP(--$C622,MM_Income!$Z$5:$AC$204,3,FALSE()),""))</f>
        <v/>
      </c>
    </row>
    <row r="623" customFormat="false" ht="14.9" hidden="false" customHeight="false" outlineLevel="0" collapsed="false">
      <c r="A623" s="1" t="s">
        <v>49</v>
      </c>
      <c r="B623" s="1" t="s">
        <v>89</v>
      </c>
      <c r="C623" s="1" t="n">
        <v>7800</v>
      </c>
      <c r="D623" s="1" t="s">
        <v>756</v>
      </c>
      <c r="E623" s="1" t="n">
        <v>43001</v>
      </c>
      <c r="F623" s="1" t="s">
        <v>847</v>
      </c>
      <c r="G623" s="140" t="n">
        <v>46114</v>
      </c>
      <c r="H623" s="1" t="s">
        <v>1589</v>
      </c>
      <c r="I623" s="1" t="s">
        <v>1590</v>
      </c>
      <c r="J623" s="1" t="s">
        <v>1591</v>
      </c>
      <c r="K623" s="1" t="n">
        <v>900</v>
      </c>
      <c r="M623" s="125" t="n">
        <f aca="false">Nominal_Activity[[#This Row],[Debit]]-Nominal_Activity[[#This Row],[Credit]]</f>
        <v>900</v>
      </c>
      <c r="N623" s="1" t="str">
        <f aca="false">IF(C623="","",IFERROR(VLOOKUP(C623,Master_Mappings!$A$4:$E$85,3,FALSE()),"UNMAPPED"))</f>
        <v>Office Running costs</v>
      </c>
      <c r="P623" s="1" t="str">
        <f aca="false">IF($C623="","",$C623&amp;"|"&amp;$E623&amp;"|"&amp;$M623&amp;"|"&amp;TEXT($G623,"yyyy-mm-dd")&amp;"|"&amp;LEFT($J623,40))</f>
        <v>7800|43001|900|2026-04-02|24W Led Panel, 18W Spot Light &amp; 18W Bulb</v>
      </c>
      <c r="Q623" s="11" t="str">
        <f aca="false">IF(P623="","",IF(COUNTIF($P$2:$P$3000,P623)&gt;1,"DUPLICATE","OK"))</f>
        <v>OK</v>
      </c>
      <c r="R623" s="0" t="str">
        <f aca="false">IF($C623="","",IFERROR(VLOOKUP(--$C623,MM_Income!$Z$5:$AC$204,3,FALSE()),""))</f>
        <v/>
      </c>
    </row>
    <row r="624" customFormat="false" ht="14.9" hidden="false" customHeight="false" outlineLevel="0" collapsed="false">
      <c r="A624" s="1" t="s">
        <v>49</v>
      </c>
      <c r="B624" s="1" t="s">
        <v>89</v>
      </c>
      <c r="C624" s="1" t="n">
        <v>7800</v>
      </c>
      <c r="D624" s="1" t="s">
        <v>756</v>
      </c>
      <c r="E624" s="1" t="n">
        <v>43002</v>
      </c>
      <c r="F624" s="1" t="s">
        <v>847</v>
      </c>
      <c r="G624" s="140" t="n">
        <v>46125</v>
      </c>
      <c r="H624" s="1" t="s">
        <v>1589</v>
      </c>
      <c r="I624" s="1" t="s">
        <v>1592</v>
      </c>
      <c r="J624" s="1" t="s">
        <v>1593</v>
      </c>
      <c r="K624" s="1" t="n">
        <v>4500</v>
      </c>
      <c r="M624" s="125" t="n">
        <f aca="false">Nominal_Activity[[#This Row],[Debit]]-Nominal_Activity[[#This Row],[Credit]]</f>
        <v>4500</v>
      </c>
      <c r="N624" s="1" t="str">
        <f aca="false">IF(C624="","",IFERROR(VLOOKUP(C624,Master_Mappings!$A$4:$E$85,3,FALSE()),"UNMAPPED"))</f>
        <v>Office Running costs</v>
      </c>
      <c r="P624" s="1" t="str">
        <f aca="false">IF($C624="","",$C624&amp;"|"&amp;$E624&amp;"|"&amp;$M624&amp;"|"&amp;TEXT($G624,"yyyy-mm-dd")&amp;"|"&amp;LEFT($J624,40))</f>
        <v>7800|43002|4500|2026-04-13|AC Units Servicing &amp; Refriferant (Gas)</v>
      </c>
      <c r="Q624" s="11" t="str">
        <f aca="false">IF(P624="","",IF(COUNTIF($P$2:$P$3000,P624)&gt;1,"DUPLICATE","OK"))</f>
        <v>OK</v>
      </c>
      <c r="R624" s="0" t="str">
        <f aca="false">IF($C624="","",IFERROR(VLOOKUP(--$C624,MM_Income!$Z$5:$AC$204,3,FALSE()),""))</f>
        <v/>
      </c>
    </row>
    <row r="625" customFormat="false" ht="14.9" hidden="false" customHeight="false" outlineLevel="0" collapsed="false">
      <c r="A625" s="1" t="s">
        <v>49</v>
      </c>
      <c r="B625" s="1" t="s">
        <v>85</v>
      </c>
      <c r="C625" s="1" t="n">
        <v>7800</v>
      </c>
      <c r="D625" s="1" t="s">
        <v>756</v>
      </c>
      <c r="E625" s="1" t="n">
        <v>43033</v>
      </c>
      <c r="F625" s="1" t="s">
        <v>914</v>
      </c>
      <c r="G625" s="140" t="n">
        <v>46107</v>
      </c>
      <c r="H625" s="1" t="n">
        <v>1200</v>
      </c>
      <c r="I625" s="1" t="s">
        <v>1594</v>
      </c>
      <c r="J625" s="1" t="s">
        <v>1595</v>
      </c>
      <c r="K625" s="1" t="n">
        <v>2200</v>
      </c>
      <c r="M625" s="125" t="n">
        <f aca="false">Nominal_Activity[[#This Row],[Debit]]-Nominal_Activity[[#This Row],[Credit]]</f>
        <v>2200</v>
      </c>
      <c r="N625" s="1" t="str">
        <f aca="false">IF(C625="","",IFERROR(VLOOKUP(C625,Master_Mappings!$A$4:$E$85,3,FALSE()),"UNMAPPED"))</f>
        <v>Office Running costs</v>
      </c>
      <c r="P625" s="1" t="str">
        <f aca="false">IF($C625="","",$C625&amp;"|"&amp;$E625&amp;"|"&amp;$M625&amp;"|"&amp;TEXT($G625,"yyyy-mm-dd")&amp;"|"&amp;LEFT($J625,40))</f>
        <v>7800|43033|2200|2026-03-26|Purchase of new battery for genset</v>
      </c>
      <c r="Q625" s="11" t="str">
        <f aca="false">IF(P625="","",IF(COUNTIF($P$2:$P$3000,P625)&gt;1,"DUPLICATE","OK"))</f>
        <v>OK</v>
      </c>
      <c r="R625" s="0" t="str">
        <f aca="false">IF($C625="","",IFERROR(VLOOKUP(--$C625,MM_Income!$Z$5:$AC$204,3,FALSE()),""))</f>
        <v/>
      </c>
    </row>
    <row r="626" customFormat="false" ht="14.9" hidden="false" customHeight="false" outlineLevel="0" collapsed="false">
      <c r="A626" s="1" t="s">
        <v>49</v>
      </c>
      <c r="B626" s="1" t="s">
        <v>89</v>
      </c>
      <c r="C626" s="1" t="n">
        <v>7800</v>
      </c>
      <c r="D626" s="1" t="s">
        <v>756</v>
      </c>
      <c r="E626" s="1" t="n">
        <v>43211</v>
      </c>
      <c r="F626" s="1" t="s">
        <v>869</v>
      </c>
      <c r="G626" s="140" t="n">
        <v>46133</v>
      </c>
      <c r="H626" s="1" t="n">
        <v>1230</v>
      </c>
      <c r="I626" s="1" t="s">
        <v>1292</v>
      </c>
      <c r="J626" s="1" t="s">
        <v>1596</v>
      </c>
      <c r="K626" s="1" t="n">
        <v>100</v>
      </c>
      <c r="M626" s="125" t="n">
        <f aca="false">Nominal_Activity[[#This Row],[Debit]]-Nominal_Activity[[#This Row],[Credit]]</f>
        <v>100</v>
      </c>
      <c r="N626" s="1" t="str">
        <f aca="false">IF(C626="","",IFERROR(VLOOKUP(C626,Master_Mappings!$A$4:$E$85,3,FALSE()),"UNMAPPED"))</f>
        <v>Office Running costs</v>
      </c>
      <c r="P626" s="1" t="str">
        <f aca="false">IF($C626="","",$C626&amp;"|"&amp;$E626&amp;"|"&amp;$M626&amp;"|"&amp;TEXT($G626,"yyyy-mm-dd")&amp;"|"&amp;LEFT($J626,40))</f>
        <v>7800|43211|100|2026-04-21|AC and other electrical repairs supervis</v>
      </c>
      <c r="Q626" s="11" t="str">
        <f aca="false">IF(P626="","",IF(COUNTIF($P$2:$P$3000,P626)&gt;1,"DUPLICATE","OK"))</f>
        <v>OK</v>
      </c>
      <c r="R626" s="0" t="str">
        <f aca="false">IF($C626="","",IFERROR(VLOOKUP(--$C626,MM_Income!$Z$5:$AC$204,3,FALSE()),""))</f>
        <v/>
      </c>
    </row>
    <row r="627" customFormat="false" ht="14.9" hidden="false" customHeight="false" outlineLevel="0" collapsed="false">
      <c r="A627" s="1" t="s">
        <v>49</v>
      </c>
      <c r="B627" s="1" t="s">
        <v>89</v>
      </c>
      <c r="C627" s="1" t="n">
        <v>7800</v>
      </c>
      <c r="D627" s="1" t="s">
        <v>756</v>
      </c>
      <c r="E627" s="1" t="n">
        <v>43309</v>
      </c>
      <c r="F627" s="1" t="s">
        <v>869</v>
      </c>
      <c r="G627" s="140" t="n">
        <v>46140</v>
      </c>
      <c r="H627" s="1" t="n">
        <v>1230</v>
      </c>
      <c r="I627" s="1" t="s">
        <v>1597</v>
      </c>
      <c r="J627" s="1" t="s">
        <v>1598</v>
      </c>
      <c r="K627" s="1" t="n">
        <v>400</v>
      </c>
      <c r="M627" s="125" t="n">
        <f aca="false">Nominal_Activity[[#This Row],[Debit]]-Nominal_Activity[[#This Row],[Credit]]</f>
        <v>400</v>
      </c>
      <c r="N627" s="1" t="str">
        <f aca="false">IF(C627="","",IFERROR(VLOOKUP(C627,Master_Mappings!$A$4:$E$85,3,FALSE()),"UNMAPPED"))</f>
        <v>Office Running costs</v>
      </c>
      <c r="P627" s="1" t="str">
        <f aca="false">IF($C627="","",$C627&amp;"|"&amp;$E627&amp;"|"&amp;$M627&amp;"|"&amp;TEXT($G627,"yyyy-mm-dd")&amp;"|"&amp;LEFT($J627,40))</f>
        <v>7800|43309|400|2026-04-28|Repair of Genset Switch sensor</v>
      </c>
      <c r="Q627" s="11" t="str">
        <f aca="false">IF(P627="","",IF(COUNTIF($P$2:$P$3000,P627)&gt;1,"DUPLICATE","OK"))</f>
        <v>OK</v>
      </c>
      <c r="R627" s="0" t="str">
        <f aca="false">IF($C627="","",IFERROR(VLOOKUP(--$C627,MM_Income!$Z$5:$AC$204,3,FALSE()),""))</f>
        <v/>
      </c>
    </row>
    <row r="628" customFormat="false" ht="14.9" hidden="false" customHeight="false" outlineLevel="0" collapsed="false">
      <c r="A628" s="1" t="s">
        <v>49</v>
      </c>
      <c r="B628" s="1" t="s">
        <v>89</v>
      </c>
      <c r="C628" s="1" t="n">
        <v>7800</v>
      </c>
      <c r="D628" s="1" t="s">
        <v>756</v>
      </c>
      <c r="E628" s="1" t="n">
        <v>43513</v>
      </c>
      <c r="F628" s="1" t="s">
        <v>869</v>
      </c>
      <c r="G628" s="140" t="n">
        <v>46147</v>
      </c>
      <c r="H628" s="1" t="n">
        <v>1230</v>
      </c>
      <c r="I628" s="1" t="s">
        <v>1599</v>
      </c>
      <c r="J628" s="1" t="s">
        <v>1600</v>
      </c>
      <c r="K628" s="1" t="n">
        <v>400</v>
      </c>
      <c r="M628" s="125" t="n">
        <f aca="false">Nominal_Activity[[#This Row],[Debit]]-Nominal_Activity[[#This Row],[Credit]]</f>
        <v>400</v>
      </c>
      <c r="N628" s="1" t="str">
        <f aca="false">IF(C628="","",IFERROR(VLOOKUP(C628,Master_Mappings!$A$4:$E$85,3,FALSE()),"UNMAPPED"))</f>
        <v>Office Running costs</v>
      </c>
      <c r="P628" s="1" t="str">
        <f aca="false">IF($C628="","",$C628&amp;"|"&amp;$E628&amp;"|"&amp;$M628&amp;"|"&amp;TEXT($G628,"yyyy-mm-dd")&amp;"|"&amp;LEFT($J628,40))</f>
        <v>7800|43513|400|2026-05-05|Repair of Genset</v>
      </c>
      <c r="Q628" s="11" t="str">
        <f aca="false">IF(P628="","",IF(COUNTIF($P$2:$P$3000,P628)&gt;1,"DUPLICATE","OK"))</f>
        <v>OK</v>
      </c>
      <c r="R628" s="0" t="str">
        <f aca="false">IF($C628="","",IFERROR(VLOOKUP(--$C628,MM_Income!$Z$5:$AC$204,3,FALSE()),""))</f>
        <v/>
      </c>
    </row>
    <row r="629" customFormat="false" ht="14.9" hidden="false" customHeight="false" outlineLevel="0" collapsed="false">
      <c r="A629" s="1" t="s">
        <v>49</v>
      </c>
      <c r="B629" s="1" t="s">
        <v>89</v>
      </c>
      <c r="C629" s="1" t="n">
        <v>7800</v>
      </c>
      <c r="D629" s="1" t="s">
        <v>756</v>
      </c>
      <c r="E629" s="1" t="n">
        <v>43621</v>
      </c>
      <c r="F629" s="1" t="s">
        <v>914</v>
      </c>
      <c r="G629" s="140" t="n">
        <v>46154</v>
      </c>
      <c r="H629" s="1" t="n">
        <v>1200</v>
      </c>
      <c r="I629" s="1" t="s">
        <v>1601</v>
      </c>
      <c r="J629" s="1" t="s">
        <v>1602</v>
      </c>
      <c r="K629" s="1" t="n">
        <v>1300</v>
      </c>
      <c r="M629" s="125" t="n">
        <f aca="false">Nominal_Activity[[#This Row],[Debit]]-Nominal_Activity[[#This Row],[Credit]]</f>
        <v>1300</v>
      </c>
      <c r="N629" s="1" t="str">
        <f aca="false">IF(C629="","",IFERROR(VLOOKUP(C629,Master_Mappings!$A$4:$E$85,3,FALSE()),"UNMAPPED"))</f>
        <v>Office Running costs</v>
      </c>
      <c r="P629" s="1" t="str">
        <f aca="false">IF($C629="","",$C629&amp;"|"&amp;$E629&amp;"|"&amp;$M629&amp;"|"&amp;TEXT($G629,"yyyy-mm-dd")&amp;"|"&amp;LEFT($J629,40))</f>
        <v>7800|43621|1300|2026-05-12|Repairs to broken door handles</v>
      </c>
      <c r="Q629" s="11" t="str">
        <f aca="false">IF(P629="","",IF(COUNTIF($P$2:$P$3000,P629)&gt;1,"DUPLICATE","OK"))</f>
        <v>OK</v>
      </c>
      <c r="R629" s="0" t="str">
        <f aca="false">IF($C629="","",IFERROR(VLOOKUP(--$C629,MM_Income!$Z$5:$AC$204,3,FALSE()),""))</f>
        <v/>
      </c>
    </row>
    <row r="630" customFormat="false" ht="14.9" hidden="false" customHeight="false" outlineLevel="0" collapsed="false">
      <c r="A630" s="1" t="s">
        <v>49</v>
      </c>
      <c r="B630" s="1" t="s">
        <v>89</v>
      </c>
      <c r="C630" s="1" t="n">
        <v>7800</v>
      </c>
      <c r="D630" s="1" t="s">
        <v>756</v>
      </c>
      <c r="E630" s="1" t="n">
        <v>43804</v>
      </c>
      <c r="F630" s="1" t="s">
        <v>869</v>
      </c>
      <c r="G630" s="140" t="n">
        <v>46132</v>
      </c>
      <c r="H630" s="1" t="n">
        <v>1260</v>
      </c>
      <c r="I630" s="1" t="s">
        <v>1305</v>
      </c>
      <c r="J630" s="1" t="s">
        <v>1603</v>
      </c>
      <c r="K630" s="1" t="n">
        <v>450</v>
      </c>
      <c r="M630" s="125" t="n">
        <f aca="false">Nominal_Activity[[#This Row],[Debit]]-Nominal_Activity[[#This Row],[Credit]]</f>
        <v>450</v>
      </c>
      <c r="N630" s="1" t="str">
        <f aca="false">IF(C630="","",IFERROR(VLOOKUP(C630,Master_Mappings!$A$4:$E$85,3,FALSE()),"UNMAPPED"))</f>
        <v>Office Running costs</v>
      </c>
      <c r="P630" s="1" t="str">
        <f aca="false">IF($C630="","",$C630&amp;"|"&amp;$E630&amp;"|"&amp;$M630&amp;"|"&amp;TEXT($G630,"yyyy-mm-dd")&amp;"|"&amp;LEFT($J630,40))</f>
        <v>7800|43804|450|2026-04-20|Cost of engine and handle for door</v>
      </c>
      <c r="Q630" s="11" t="str">
        <f aca="false">IF(P630="","",IF(COUNTIF($P$2:$P$3000,P630)&gt;1,"DUPLICATE","OK"))</f>
        <v>OK</v>
      </c>
      <c r="R630" s="0" t="str">
        <f aca="false">IF($C630="","",IFERROR(VLOOKUP(--$C630,MM_Income!$Z$5:$AC$204,3,FALSE()),""))</f>
        <v/>
      </c>
    </row>
    <row r="631" customFormat="false" ht="14.9" hidden="false" customHeight="false" outlineLevel="0" collapsed="false">
      <c r="A631" s="1" t="s">
        <v>49</v>
      </c>
      <c r="B631" s="1" t="s">
        <v>89</v>
      </c>
      <c r="C631" s="1" t="n">
        <v>7800</v>
      </c>
      <c r="D631" s="1" t="s">
        <v>756</v>
      </c>
      <c r="E631" s="1" t="n">
        <v>44086</v>
      </c>
      <c r="F631" s="1" t="s">
        <v>914</v>
      </c>
      <c r="G631" s="140" t="n">
        <v>46182</v>
      </c>
      <c r="H631" s="1" t="n">
        <v>1200</v>
      </c>
      <c r="I631" s="1" t="s">
        <v>1604</v>
      </c>
      <c r="J631" s="1" t="s">
        <v>1605</v>
      </c>
      <c r="K631" s="1" t="n">
        <v>1390</v>
      </c>
      <c r="M631" s="125" t="n">
        <f aca="false">Nominal_Activity[[#This Row],[Debit]]-Nominal_Activity[[#This Row],[Credit]]</f>
        <v>1390</v>
      </c>
      <c r="N631" s="1" t="str">
        <f aca="false">IF(C631="","",IFERROR(VLOOKUP(C631,Master_Mappings!$A$4:$E$85,3,FALSE()),"UNMAPPED"))</f>
        <v>Office Running costs</v>
      </c>
      <c r="P631" s="1" t="str">
        <f aca="false">IF($C631="","",$C631&amp;"|"&amp;$E631&amp;"|"&amp;$M631&amp;"|"&amp;TEXT($G631,"yyyy-mm-dd")&amp;"|"&amp;LEFT($J631,40))</f>
        <v>7800|44086|1390|2026-06-09|Plumbing Work of Washroom and Kitchen</v>
      </c>
      <c r="Q631" s="11" t="str">
        <f aca="false">IF(P631="","",IF(COUNTIF($P$2:$P$3000,P631)&gt;1,"DUPLICATE","OK"))</f>
        <v>OK</v>
      </c>
      <c r="R631" s="0" t="str">
        <f aca="false">IF($C631="","",IFERROR(VLOOKUP(--$C631,MM_Income!$Z$5:$AC$204,3,FALSE()),""))</f>
        <v/>
      </c>
    </row>
    <row r="632" customFormat="false" ht="14.9" hidden="false" customHeight="false" outlineLevel="0" collapsed="false">
      <c r="A632" s="1" t="s">
        <v>49</v>
      </c>
      <c r="B632" s="1" t="s">
        <v>89</v>
      </c>
      <c r="C632" s="1" t="n">
        <v>7800</v>
      </c>
      <c r="D632" s="1" t="s">
        <v>756</v>
      </c>
      <c r="E632" s="1" t="n">
        <v>44087</v>
      </c>
      <c r="F632" s="1" t="s">
        <v>847</v>
      </c>
      <c r="G632" s="140" t="n">
        <v>46178</v>
      </c>
      <c r="H632" s="1" t="s">
        <v>1589</v>
      </c>
      <c r="I632" s="1" t="s">
        <v>1606</v>
      </c>
      <c r="J632" s="1" t="s">
        <v>1607</v>
      </c>
      <c r="K632" s="1" t="n">
        <v>2700</v>
      </c>
      <c r="M632" s="125" t="n">
        <f aca="false">Nominal_Activity[[#This Row],[Debit]]-Nominal_Activity[[#This Row],[Credit]]</f>
        <v>2700</v>
      </c>
      <c r="N632" s="1" t="str">
        <f aca="false">IF(C632="","",IFERROR(VLOOKUP(C632,Master_Mappings!$A$4:$E$85,3,FALSE()),"UNMAPPED"))</f>
        <v>Office Running costs</v>
      </c>
      <c r="P632" s="1" t="str">
        <f aca="false">IF($C632="","",$C632&amp;"|"&amp;$E632&amp;"|"&amp;$M632&amp;"|"&amp;TEXT($G632,"yyyy-mm-dd")&amp;"|"&amp;LEFT($J632,40))</f>
        <v>7800|44087|2700|2026-06-05|Cost of fixing earthwire leakage and rep</v>
      </c>
      <c r="Q632" s="11" t="str">
        <f aca="false">IF(P632="","",IF(COUNTIF($P$2:$P$3000,P632)&gt;1,"DUPLICATE","OK"))</f>
        <v>OK</v>
      </c>
      <c r="R632" s="0" t="str">
        <f aca="false">IF($C632="","",IFERROR(VLOOKUP(--$C632,MM_Income!$Z$5:$AC$204,3,FALSE()),""))</f>
        <v/>
      </c>
    </row>
    <row r="633" customFormat="false" ht="14.9" hidden="false" customHeight="false" outlineLevel="0" collapsed="false">
      <c r="A633" s="1" t="s">
        <v>49</v>
      </c>
      <c r="B633" s="1" t="s">
        <v>89</v>
      </c>
      <c r="C633" s="1" t="n">
        <v>7800</v>
      </c>
      <c r="D633" s="1" t="s">
        <v>756</v>
      </c>
      <c r="E633" s="1" t="n">
        <v>44102</v>
      </c>
      <c r="F633" s="1" t="s">
        <v>914</v>
      </c>
      <c r="G633" s="140" t="n">
        <v>46197</v>
      </c>
      <c r="H633" s="1" t="n">
        <v>1200</v>
      </c>
      <c r="I633" s="1" t="s">
        <v>1608</v>
      </c>
      <c r="J633" s="1" t="s">
        <v>1609</v>
      </c>
      <c r="K633" s="1" t="n">
        <v>1400</v>
      </c>
      <c r="M633" s="125" t="n">
        <f aca="false">Nominal_Activity[[#This Row],[Debit]]-Nominal_Activity[[#This Row],[Credit]]</f>
        <v>1400</v>
      </c>
      <c r="N633" s="1" t="str">
        <f aca="false">IF(C633="","",IFERROR(VLOOKUP(C633,Master_Mappings!$A$4:$E$85,3,FALSE()),"UNMAPPED"))</f>
        <v>Office Running costs</v>
      </c>
      <c r="P633" s="1" t="str">
        <f aca="false">IF($C633="","",$C633&amp;"|"&amp;$E633&amp;"|"&amp;$M633&amp;"|"&amp;TEXT($G633,"yyyy-mm-dd")&amp;"|"&amp;LEFT($J633,40))</f>
        <v>7800|44102|1400|2026-06-24|Electric Fence Repair</v>
      </c>
      <c r="Q633" s="11" t="str">
        <f aca="false">IF(P633="","",IF(COUNTIF($P$2:$P$3000,P633)&gt;1,"DUPLICATE","OK"))</f>
        <v>OK</v>
      </c>
      <c r="R633" s="0" t="str">
        <f aca="false">IF($C633="","",IFERROR(VLOOKUP(--$C633,MM_Income!$Z$5:$AC$204,3,FALSE()),""))</f>
        <v/>
      </c>
    </row>
    <row r="634" customFormat="false" ht="14.9" hidden="false" customHeight="false" outlineLevel="0" collapsed="false">
      <c r="A634" s="1" t="s">
        <v>49</v>
      </c>
      <c r="B634" s="1" t="s">
        <v>89</v>
      </c>
      <c r="C634" s="1" t="n">
        <v>7800</v>
      </c>
      <c r="D634" s="1" t="s">
        <v>756</v>
      </c>
      <c r="E634" s="1" t="n">
        <v>44227</v>
      </c>
      <c r="F634" s="1" t="s">
        <v>869</v>
      </c>
      <c r="G634" s="140" t="n">
        <v>46160</v>
      </c>
      <c r="H634" s="1" t="n">
        <v>1260</v>
      </c>
      <c r="I634" s="1" t="s">
        <v>1339</v>
      </c>
      <c r="J634" s="1" t="s">
        <v>1610</v>
      </c>
      <c r="K634" s="1" t="n">
        <v>1750</v>
      </c>
      <c r="M634" s="125" t="n">
        <f aca="false">Nominal_Activity[[#This Row],[Debit]]-Nominal_Activity[[#This Row],[Credit]]</f>
        <v>1750</v>
      </c>
      <c r="N634" s="1" t="str">
        <f aca="false">IF(C634="","",IFERROR(VLOOKUP(C634,Master_Mappings!$A$4:$E$85,3,FALSE()),"UNMAPPED"))</f>
        <v>Office Running costs</v>
      </c>
      <c r="P634" s="1" t="str">
        <f aca="false">IF($C634="","",$C634&amp;"|"&amp;$E634&amp;"|"&amp;$M634&amp;"|"&amp;TEXT($G634,"yyyy-mm-dd")&amp;"|"&amp;LEFT($J634,40))</f>
        <v>7800|44227|1750|2026-05-18|Gate Alternator/battery/Labour for offic</v>
      </c>
      <c r="Q634" s="11" t="str">
        <f aca="false">IF(P634="","",IF(COUNTIF($P$2:$P$3000,P634)&gt;1,"DUPLICATE","OK"))</f>
        <v>OK</v>
      </c>
      <c r="R634" s="0" t="str">
        <f aca="false">IF($C634="","",IFERROR(VLOOKUP(--$C634,MM_Income!$Z$5:$AC$204,3,FALSE()),""))</f>
        <v/>
      </c>
    </row>
    <row r="635" customFormat="false" ht="14.9" hidden="false" customHeight="false" outlineLevel="0" collapsed="false">
      <c r="A635" s="1" t="s">
        <v>49</v>
      </c>
      <c r="B635" s="1" t="s">
        <v>85</v>
      </c>
      <c r="C635" s="1" t="n">
        <v>7810</v>
      </c>
      <c r="D635" s="1" t="s">
        <v>758</v>
      </c>
      <c r="E635" s="1" t="n">
        <v>42727</v>
      </c>
      <c r="F635" s="1" t="s">
        <v>847</v>
      </c>
      <c r="G635" s="140" t="n">
        <v>46081</v>
      </c>
      <c r="H635" s="1" t="s">
        <v>1611</v>
      </c>
      <c r="I635" s="1" t="s">
        <v>1612</v>
      </c>
      <c r="J635" s="1" t="s">
        <v>1613</v>
      </c>
      <c r="K635" s="1" t="n">
        <v>4036.5</v>
      </c>
      <c r="M635" s="125" t="n">
        <f aca="false">Nominal_Activity[[#This Row],[Debit]]-Nominal_Activity[[#This Row],[Credit]]</f>
        <v>4036.5</v>
      </c>
      <c r="N635" s="1" t="str">
        <f aca="false">IF(C635="","",IFERROR(VLOOKUP(C635,Master_Mappings!$A$4:$E$85,3,FALSE()),"UNMAPPED"))</f>
        <v>Office Running costs</v>
      </c>
      <c r="P635" s="1" t="str">
        <f aca="false">IF($C635="","",$C635&amp;"|"&amp;$E635&amp;"|"&amp;$M635&amp;"|"&amp;TEXT($G635,"yyyy-mm-dd")&amp;"|"&amp;LEFT($J635,40))</f>
        <v>7810|42727|4036.5|2026-02-28|Cost of Office security services for Feb</v>
      </c>
      <c r="Q635" s="11" t="str">
        <f aca="false">IF(P635="","",IF(COUNTIF($P$2:$P$3000,P635)&gt;1,"DUPLICATE","OK"))</f>
        <v>OK</v>
      </c>
      <c r="R635" s="0" t="str">
        <f aca="false">IF($C635="","",IFERROR(VLOOKUP(--$C635,MM_Income!$Z$5:$AC$204,3,FALSE()),""))</f>
        <v/>
      </c>
    </row>
    <row r="636" customFormat="false" ht="14.9" hidden="false" customHeight="false" outlineLevel="0" collapsed="false">
      <c r="A636" s="1" t="s">
        <v>49</v>
      </c>
      <c r="B636" s="1" t="s">
        <v>85</v>
      </c>
      <c r="C636" s="1" t="n">
        <v>7810</v>
      </c>
      <c r="D636" s="1" t="s">
        <v>758</v>
      </c>
      <c r="E636" s="1" t="n">
        <v>42729</v>
      </c>
      <c r="F636" s="1" t="s">
        <v>847</v>
      </c>
      <c r="G636" s="140" t="n">
        <v>46066</v>
      </c>
      <c r="H636" s="1" t="s">
        <v>1611</v>
      </c>
      <c r="I636" s="1" t="s">
        <v>1614</v>
      </c>
      <c r="J636" s="1" t="s">
        <v>1615</v>
      </c>
      <c r="K636" s="1" t="n">
        <v>4036.5</v>
      </c>
      <c r="M636" s="125" t="n">
        <f aca="false">Nominal_Activity[[#This Row],[Debit]]-Nominal_Activity[[#This Row],[Credit]]</f>
        <v>4036.5</v>
      </c>
      <c r="N636" s="1" t="str">
        <f aca="false">IF(C636="","",IFERROR(VLOOKUP(C636,Master_Mappings!$A$4:$E$85,3,FALSE()),"UNMAPPED"))</f>
        <v>Office Running costs</v>
      </c>
      <c r="P636" s="1" t="str">
        <f aca="false">IF($C636="","",$C636&amp;"|"&amp;$E636&amp;"|"&amp;$M636&amp;"|"&amp;TEXT($G636,"yyyy-mm-dd")&amp;"|"&amp;LEFT($J636,40))</f>
        <v>7810|42729|4036.5|2026-02-13|Cost of security services for January</v>
      </c>
      <c r="Q636" s="11" t="str">
        <f aca="false">IF(P636="","",IF(COUNTIF($P$2:$P$3000,P636)&gt;1,"DUPLICATE","OK"))</f>
        <v>OK</v>
      </c>
      <c r="R636" s="0" t="str">
        <f aca="false">IF($C636="","",IFERROR(VLOOKUP(--$C636,MM_Income!$Z$5:$AC$204,3,FALSE()),""))</f>
        <v/>
      </c>
    </row>
    <row r="637" customFormat="false" ht="14.9" hidden="false" customHeight="false" outlineLevel="0" collapsed="false">
      <c r="A637" s="1" t="s">
        <v>49</v>
      </c>
      <c r="B637" s="1" t="s">
        <v>85</v>
      </c>
      <c r="C637" s="1" t="n">
        <v>7810</v>
      </c>
      <c r="D637" s="1" t="s">
        <v>758</v>
      </c>
      <c r="E637" s="1" t="n">
        <v>43177</v>
      </c>
      <c r="F637" s="1" t="s">
        <v>847</v>
      </c>
      <c r="G637" s="140" t="n">
        <v>46112</v>
      </c>
      <c r="H637" s="1" t="s">
        <v>1611</v>
      </c>
      <c r="I637" s="1" t="s">
        <v>1616</v>
      </c>
      <c r="J637" s="1" t="s">
        <v>1617</v>
      </c>
      <c r="K637" s="1" t="n">
        <v>4036.5</v>
      </c>
      <c r="M637" s="125" t="n">
        <f aca="false">Nominal_Activity[[#This Row],[Debit]]-Nominal_Activity[[#This Row],[Credit]]</f>
        <v>4036.5</v>
      </c>
      <c r="N637" s="1" t="str">
        <f aca="false">IF(C637="","",IFERROR(VLOOKUP(C637,Master_Mappings!$A$4:$E$85,3,FALSE()),"UNMAPPED"))</f>
        <v>Office Running costs</v>
      </c>
      <c r="P637" s="1" t="str">
        <f aca="false">IF($C637="","",$C637&amp;"|"&amp;$E637&amp;"|"&amp;$M637&amp;"|"&amp;TEXT($G637,"yyyy-mm-dd")&amp;"|"&amp;LEFT($J637,40))</f>
        <v>7810|43177|4036.5|2026-03-31|Cost of Office security Service for Mar</v>
      </c>
      <c r="Q637" s="11" t="str">
        <f aca="false">IF(P637="","",IF(COUNTIF($P$2:$P$3000,P637)&gt;1,"DUPLICATE","OK"))</f>
        <v>OK</v>
      </c>
      <c r="R637" s="0" t="str">
        <f aca="false">IF($C637="","",IFERROR(VLOOKUP(--$C637,MM_Income!$Z$5:$AC$204,3,FALSE()),""))</f>
        <v/>
      </c>
    </row>
    <row r="638" customFormat="false" ht="14.9" hidden="false" customHeight="false" outlineLevel="0" collapsed="false">
      <c r="A638" s="1" t="s">
        <v>49</v>
      </c>
      <c r="B638" s="1" t="s">
        <v>89</v>
      </c>
      <c r="C638" s="1" t="n">
        <v>7810</v>
      </c>
      <c r="D638" s="1" t="s">
        <v>758</v>
      </c>
      <c r="E638" s="1" t="n">
        <v>43179</v>
      </c>
      <c r="F638" s="1" t="s">
        <v>847</v>
      </c>
      <c r="G638" s="140" t="n">
        <v>46134</v>
      </c>
      <c r="H638" s="1" t="s">
        <v>1611</v>
      </c>
      <c r="I638" s="1" t="s">
        <v>1618</v>
      </c>
      <c r="J638" s="1" t="s">
        <v>1619</v>
      </c>
      <c r="K638" s="1" t="n">
        <v>4036.5</v>
      </c>
      <c r="M638" s="125" t="n">
        <f aca="false">Nominal_Activity[[#This Row],[Debit]]-Nominal_Activity[[#This Row],[Credit]]</f>
        <v>4036.5</v>
      </c>
      <c r="N638" s="1" t="str">
        <f aca="false">IF(C638="","",IFERROR(VLOOKUP(C638,Master_Mappings!$A$4:$E$85,3,FALSE()),"UNMAPPED"))</f>
        <v>Office Running costs</v>
      </c>
      <c r="P638" s="1" t="str">
        <f aca="false">IF($C638="","",$C638&amp;"|"&amp;$E638&amp;"|"&amp;$M638&amp;"|"&amp;TEXT($G638,"yyyy-mm-dd")&amp;"|"&amp;LEFT($J638,40))</f>
        <v>7810|43179|4036.5|2026-04-22|Cost of Office security Service for Apri</v>
      </c>
      <c r="Q638" s="11" t="str">
        <f aca="false">IF(P638="","",IF(COUNTIF($P$2:$P$3000,P638)&gt;1,"DUPLICATE","OK"))</f>
        <v>OK</v>
      </c>
      <c r="R638" s="0" t="str">
        <f aca="false">IF($C638="","",IFERROR(VLOOKUP(--$C638,MM_Income!$Z$5:$AC$204,3,FALSE()),""))</f>
        <v/>
      </c>
    </row>
    <row r="639" customFormat="false" ht="14.9" hidden="false" customHeight="false" outlineLevel="0" collapsed="false">
      <c r="A639" s="1" t="s">
        <v>49</v>
      </c>
      <c r="B639" s="1" t="s">
        <v>89</v>
      </c>
      <c r="C639" s="1" t="n">
        <v>7810</v>
      </c>
      <c r="D639" s="1" t="s">
        <v>758</v>
      </c>
      <c r="E639" s="1" t="n">
        <v>43544</v>
      </c>
      <c r="F639" s="1" t="s">
        <v>847</v>
      </c>
      <c r="G639" s="140" t="n">
        <v>46163</v>
      </c>
      <c r="H639" s="1" t="s">
        <v>1611</v>
      </c>
      <c r="I639" s="1" t="s">
        <v>1620</v>
      </c>
      <c r="J639" s="1" t="s">
        <v>1621</v>
      </c>
      <c r="K639" s="1" t="n">
        <v>4036.5</v>
      </c>
      <c r="M639" s="125" t="n">
        <f aca="false">Nominal_Activity[[#This Row],[Debit]]-Nominal_Activity[[#This Row],[Credit]]</f>
        <v>4036.5</v>
      </c>
      <c r="N639" s="1" t="str">
        <f aca="false">IF(C639="","",IFERROR(VLOOKUP(C639,Master_Mappings!$A$4:$E$85,3,FALSE()),"UNMAPPED"))</f>
        <v>Office Running costs</v>
      </c>
      <c r="P639" s="1" t="str">
        <f aca="false">IF($C639="","",$C639&amp;"|"&amp;$E639&amp;"|"&amp;$M639&amp;"|"&amp;TEXT($G639,"yyyy-mm-dd")&amp;"|"&amp;LEFT($J639,40))</f>
        <v>7810|43544|4036.5|2026-05-21|Cost of Office security Service for May</v>
      </c>
      <c r="Q639" s="11" t="str">
        <f aca="false">IF(P639="","",IF(COUNTIF($P$2:$P$3000,P639)&gt;1,"DUPLICATE","OK"))</f>
        <v>OK</v>
      </c>
      <c r="R639" s="0" t="str">
        <f aca="false">IF($C639="","",IFERROR(VLOOKUP(--$C639,MM_Income!$Z$5:$AC$204,3,FALSE()),""))</f>
        <v/>
      </c>
    </row>
    <row r="640" customFormat="false" ht="14.9" hidden="false" customHeight="false" outlineLevel="0" collapsed="false">
      <c r="A640" s="1" t="s">
        <v>49</v>
      </c>
      <c r="B640" s="1" t="s">
        <v>89</v>
      </c>
      <c r="C640" s="1" t="n">
        <v>7810</v>
      </c>
      <c r="D640" s="1" t="s">
        <v>758</v>
      </c>
      <c r="E640" s="1" t="n">
        <v>43944</v>
      </c>
      <c r="F640" s="1" t="s">
        <v>847</v>
      </c>
      <c r="G640" s="140" t="n">
        <v>46192</v>
      </c>
      <c r="H640" s="1" t="s">
        <v>1611</v>
      </c>
      <c r="I640" s="1" t="s">
        <v>1622</v>
      </c>
      <c r="J640" s="1" t="s">
        <v>1623</v>
      </c>
      <c r="K640" s="1" t="n">
        <v>4036.5</v>
      </c>
      <c r="M640" s="125" t="n">
        <f aca="false">Nominal_Activity[[#This Row],[Debit]]-Nominal_Activity[[#This Row],[Credit]]</f>
        <v>4036.5</v>
      </c>
      <c r="N640" s="1" t="str">
        <f aca="false">IF(C640="","",IFERROR(VLOOKUP(C640,Master_Mappings!$A$4:$E$85,3,FALSE()),"UNMAPPED"))</f>
        <v>Office Running costs</v>
      </c>
      <c r="P640" s="1" t="str">
        <f aca="false">IF($C640="","",$C640&amp;"|"&amp;$E640&amp;"|"&amp;$M640&amp;"|"&amp;TEXT($G640,"yyyy-mm-dd")&amp;"|"&amp;LEFT($J640,40))</f>
        <v>7810|43944|4036.5|2026-06-19|Office security for June</v>
      </c>
      <c r="Q640" s="11" t="str">
        <f aca="false">IF(P640="","",IF(COUNTIF($P$2:$P$3000,P640)&gt;1,"DUPLICATE","OK"))</f>
        <v>OK</v>
      </c>
      <c r="R640" s="0" t="str">
        <f aca="false">IF($C640="","",IFERROR(VLOOKUP(--$C640,MM_Income!$Z$5:$AC$204,3,FALSE()),""))</f>
        <v/>
      </c>
    </row>
    <row r="641" customFormat="false" ht="14.9" hidden="false" customHeight="false" outlineLevel="0" collapsed="false">
      <c r="A641" s="1" t="s">
        <v>49</v>
      </c>
      <c r="B641" s="1" t="s">
        <v>85</v>
      </c>
      <c r="C641" s="1" t="n">
        <v>7820</v>
      </c>
      <c r="D641" s="1" t="s">
        <v>760</v>
      </c>
      <c r="E641" s="1" t="n">
        <v>42271</v>
      </c>
      <c r="F641" s="1" t="s">
        <v>914</v>
      </c>
      <c r="G641" s="140" t="n">
        <v>46036</v>
      </c>
      <c r="H641" s="1" t="n">
        <v>1200</v>
      </c>
      <c r="I641" s="1" t="s">
        <v>1624</v>
      </c>
      <c r="J641" s="1" t="s">
        <v>1625</v>
      </c>
      <c r="K641" s="1" t="n">
        <v>832.5</v>
      </c>
      <c r="M641" s="125" t="n">
        <f aca="false">Nominal_Activity[[#This Row],[Debit]]-Nominal_Activity[[#This Row],[Credit]]</f>
        <v>832.5</v>
      </c>
      <c r="N641" s="1" t="str">
        <f aca="false">IF(C641="","",IFERROR(VLOOKUP(C641,Master_Mappings!$A$4:$E$85,3,FALSE()),"UNMAPPED"))</f>
        <v>Office Running costs</v>
      </c>
      <c r="P641" s="1" t="str">
        <f aca="false">IF($C641="","",$C641&amp;"|"&amp;$E641&amp;"|"&amp;$M641&amp;"|"&amp;TEXT($G641,"yyyy-mm-dd")&amp;"|"&amp;LEFT($J641,40))</f>
        <v>7820|42271|832.5|2026-01-14|Gardner Allwance for Jan</v>
      </c>
      <c r="Q641" s="11" t="str">
        <f aca="false">IF(P641="","",IF(COUNTIF($P$2:$P$3000,P641)&gt;1,"DUPLICATE","OK"))</f>
        <v>OK</v>
      </c>
      <c r="R641" s="0" t="str">
        <f aca="false">IF($C641="","",IFERROR(VLOOKUP(--$C641,MM_Income!$Z$5:$AC$204,3,FALSE()),""))</f>
        <v>Excluded — Overhead (in fixed costs)</v>
      </c>
    </row>
    <row r="642" customFormat="false" ht="14.9" hidden="false" customHeight="false" outlineLevel="0" collapsed="false">
      <c r="A642" s="1" t="s">
        <v>49</v>
      </c>
      <c r="B642" s="1" t="s">
        <v>85</v>
      </c>
      <c r="C642" s="1" t="n">
        <v>7820</v>
      </c>
      <c r="D642" s="1" t="s">
        <v>760</v>
      </c>
      <c r="E642" s="1" t="n">
        <v>42276</v>
      </c>
      <c r="F642" s="1" t="s">
        <v>1237</v>
      </c>
      <c r="G642" s="140" t="n">
        <v>46036</v>
      </c>
      <c r="H642" s="1" t="n">
        <v>7820</v>
      </c>
      <c r="I642" s="1" t="s">
        <v>1624</v>
      </c>
      <c r="J642" s="1" t="s">
        <v>1626</v>
      </c>
      <c r="K642" s="1" t="n">
        <v>67.5</v>
      </c>
      <c r="M642" s="125" t="n">
        <f aca="false">Nominal_Activity[[#This Row],[Debit]]-Nominal_Activity[[#This Row],[Credit]]</f>
        <v>67.5</v>
      </c>
      <c r="N642" s="1" t="str">
        <f aca="false">IF(C642="","",IFERROR(VLOOKUP(C642,Master_Mappings!$A$4:$E$85,3,FALSE()),"UNMAPPED"))</f>
        <v>Office Running costs</v>
      </c>
      <c r="P642" s="1" t="str">
        <f aca="false">IF($C642="","",$C642&amp;"|"&amp;$E642&amp;"|"&amp;$M642&amp;"|"&amp;TEXT($G642,"yyyy-mm-dd")&amp;"|"&amp;LEFT($J642,40))</f>
        <v>7820|42276|67.5|2026-01-14|7.5%WHT charged to Francis on Gardner Al</v>
      </c>
      <c r="Q642" s="11" t="str">
        <f aca="false">IF(P642="","",IF(COUNTIF($P$2:$P$3000,P642)&gt;1,"DUPLICATE","OK"))</f>
        <v>OK</v>
      </c>
      <c r="R642" s="0" t="str">
        <f aca="false">IF($C642="","",IFERROR(VLOOKUP(--$C642,MM_Income!$Z$5:$AC$204,3,FALSE()),""))</f>
        <v>Excluded — Overhead (in fixed costs)</v>
      </c>
    </row>
    <row r="643" customFormat="false" ht="14.9" hidden="false" customHeight="false" outlineLevel="0" collapsed="false">
      <c r="A643" s="1" t="s">
        <v>49</v>
      </c>
      <c r="B643" s="1" t="s">
        <v>85</v>
      </c>
      <c r="C643" s="1" t="n">
        <v>7820</v>
      </c>
      <c r="D643" s="1" t="s">
        <v>760</v>
      </c>
      <c r="E643" s="1" t="n">
        <v>42524</v>
      </c>
      <c r="F643" s="1" t="s">
        <v>869</v>
      </c>
      <c r="G643" s="140" t="n">
        <v>46042</v>
      </c>
      <c r="H643" s="1" t="n">
        <v>1230</v>
      </c>
      <c r="I643" s="1" t="s">
        <v>1627</v>
      </c>
      <c r="J643" s="1" t="s">
        <v>1628</v>
      </c>
      <c r="K643" s="1" t="n">
        <v>100</v>
      </c>
      <c r="M643" s="125" t="n">
        <f aca="false">Nominal_Activity[[#This Row],[Debit]]-Nominal_Activity[[#This Row],[Credit]]</f>
        <v>100</v>
      </c>
      <c r="N643" s="1" t="str">
        <f aca="false">IF(C643="","",IFERROR(VLOOKUP(C643,Master_Mappings!$A$4:$E$85,3,FALSE()),"UNMAPPED"))</f>
        <v>Office Running costs</v>
      </c>
      <c r="P643" s="1" t="str">
        <f aca="false">IF($C643="","",$C643&amp;"|"&amp;$E643&amp;"|"&amp;$M643&amp;"|"&amp;TEXT($G643,"yyyy-mm-dd")&amp;"|"&amp;LEFT($J643,40))</f>
        <v>7820|42524|100|2026-01-20|Refuse Collection for January</v>
      </c>
      <c r="Q643" s="11" t="str">
        <f aca="false">IF(P643="","",IF(COUNTIF($P$2:$P$3000,P643)&gt;1,"DUPLICATE","OK"))</f>
        <v>OK</v>
      </c>
      <c r="R643" s="0" t="str">
        <f aca="false">IF($C643="","",IFERROR(VLOOKUP(--$C643,MM_Income!$Z$5:$AC$204,3,FALSE()),""))</f>
        <v>Excluded — Overhead (in fixed costs)</v>
      </c>
    </row>
    <row r="644" customFormat="false" ht="14.9" hidden="false" customHeight="false" outlineLevel="0" collapsed="false">
      <c r="A644" s="1" t="s">
        <v>49</v>
      </c>
      <c r="B644" s="1" t="s">
        <v>85</v>
      </c>
      <c r="C644" s="1" t="n">
        <v>7820</v>
      </c>
      <c r="D644" s="1" t="s">
        <v>760</v>
      </c>
      <c r="E644" s="1" t="n">
        <v>42545</v>
      </c>
      <c r="F644" s="1" t="s">
        <v>869</v>
      </c>
      <c r="G644" s="140" t="n">
        <v>46059</v>
      </c>
      <c r="H644" s="1" t="n">
        <v>1230</v>
      </c>
      <c r="I644" s="1" t="s">
        <v>1629</v>
      </c>
      <c r="J644" s="1" t="s">
        <v>1630</v>
      </c>
      <c r="K644" s="1" t="n">
        <v>252</v>
      </c>
      <c r="M644" s="125" t="n">
        <f aca="false">Nominal_Activity[[#This Row],[Debit]]-Nominal_Activity[[#This Row],[Credit]]</f>
        <v>252</v>
      </c>
      <c r="N644" s="1" t="str">
        <f aca="false">IF(C644="","",IFERROR(VLOOKUP(C644,Master_Mappings!$A$4:$E$85,3,FALSE()),"UNMAPPED"))</f>
        <v>Office Running costs</v>
      </c>
      <c r="P644" s="1" t="str">
        <f aca="false">IF($C644="","",$C644&amp;"|"&amp;$E644&amp;"|"&amp;$M644&amp;"|"&amp;TEXT($G644,"yyyy-mm-dd")&amp;"|"&amp;LEFT($J644,40))</f>
        <v>7820|42545|252|2026-02-06|Cleaning of lounge carpet</v>
      </c>
      <c r="Q644" s="11" t="str">
        <f aca="false">IF(P644="","",IF(COUNTIF($P$2:$P$3000,P644)&gt;1,"DUPLICATE","OK"))</f>
        <v>OK</v>
      </c>
      <c r="R644" s="0" t="str">
        <f aca="false">IF($C644="","",IFERROR(VLOOKUP(--$C644,MM_Income!$Z$5:$AC$204,3,FALSE()),""))</f>
        <v>Excluded — Overhead (in fixed costs)</v>
      </c>
    </row>
    <row r="645" customFormat="false" ht="14.9" hidden="false" customHeight="false" outlineLevel="0" collapsed="false">
      <c r="A645" s="1" t="s">
        <v>49</v>
      </c>
      <c r="B645" s="1" t="s">
        <v>85</v>
      </c>
      <c r="C645" s="1" t="n">
        <v>7820</v>
      </c>
      <c r="D645" s="1" t="s">
        <v>760</v>
      </c>
      <c r="E645" s="1" t="n">
        <v>42606</v>
      </c>
      <c r="F645" s="1" t="s">
        <v>847</v>
      </c>
      <c r="G645" s="140" t="n">
        <v>46038</v>
      </c>
      <c r="H645" s="1" t="s">
        <v>1631</v>
      </c>
      <c r="I645" s="1" t="s">
        <v>1632</v>
      </c>
      <c r="J645" s="1" t="s">
        <v>1633</v>
      </c>
      <c r="K645" s="1" t="n">
        <v>1984.71</v>
      </c>
      <c r="M645" s="125" t="n">
        <f aca="false">Nominal_Activity[[#This Row],[Debit]]-Nominal_Activity[[#This Row],[Credit]]</f>
        <v>1984.71</v>
      </c>
      <c r="N645" s="1" t="str">
        <f aca="false">IF(C645="","",IFERROR(VLOOKUP(C645,Master_Mappings!$A$4:$E$85,3,FALSE()),"UNMAPPED"))</f>
        <v>Office Running costs</v>
      </c>
      <c r="P645" s="1" t="str">
        <f aca="false">IF($C645="","",$C645&amp;"|"&amp;$E645&amp;"|"&amp;$M645&amp;"|"&amp;TEXT($G645,"yyyy-mm-dd")&amp;"|"&amp;LEFT($J645,40))</f>
        <v>7820|42606|1984.71|2026-01-16|Cleaning and Janitorial Services for Jan</v>
      </c>
      <c r="Q645" s="11" t="str">
        <f aca="false">IF(P645="","",IF(COUNTIF($P$2:$P$3000,P645)&gt;1,"DUPLICATE","OK"))</f>
        <v>OK</v>
      </c>
      <c r="R645" s="0" t="str">
        <f aca="false">IF($C645="","",IFERROR(VLOOKUP(--$C645,MM_Income!$Z$5:$AC$204,3,FALSE()),""))</f>
        <v>Excluded — Overhead (in fixed costs)</v>
      </c>
    </row>
    <row r="646" customFormat="false" ht="14.9" hidden="false" customHeight="false" outlineLevel="0" collapsed="false">
      <c r="A646" s="1" t="s">
        <v>49</v>
      </c>
      <c r="B646" s="1" t="s">
        <v>85</v>
      </c>
      <c r="C646" s="1" t="n">
        <v>7820</v>
      </c>
      <c r="D646" s="1" t="s">
        <v>760</v>
      </c>
      <c r="E646" s="1" t="n">
        <v>42608</v>
      </c>
      <c r="F646" s="1" t="s">
        <v>847</v>
      </c>
      <c r="G646" s="140" t="n">
        <v>46071</v>
      </c>
      <c r="H646" s="1" t="s">
        <v>1631</v>
      </c>
      <c r="I646" s="1" t="s">
        <v>1634</v>
      </c>
      <c r="J646" s="1" t="s">
        <v>1635</v>
      </c>
      <c r="K646" s="1" t="n">
        <v>1984.71</v>
      </c>
      <c r="M646" s="125" t="n">
        <f aca="false">Nominal_Activity[[#This Row],[Debit]]-Nominal_Activity[[#This Row],[Credit]]</f>
        <v>1984.71</v>
      </c>
      <c r="N646" s="1" t="str">
        <f aca="false">IF(C646="","",IFERROR(VLOOKUP(C646,Master_Mappings!$A$4:$E$85,3,FALSE()),"UNMAPPED"))</f>
        <v>Office Running costs</v>
      </c>
      <c r="P646" s="1" t="str">
        <f aca="false">IF($C646="","",$C646&amp;"|"&amp;$E646&amp;"|"&amp;$M646&amp;"|"&amp;TEXT($G646,"yyyy-mm-dd")&amp;"|"&amp;LEFT($J646,40))</f>
        <v>7820|42608|1984.71|2026-02-18|Cleaning and Janitorial Services for Feb</v>
      </c>
      <c r="Q646" s="11" t="str">
        <f aca="false">IF(P646="","",IF(COUNTIF($P$2:$P$3000,P646)&gt;1,"DUPLICATE","OK"))</f>
        <v>OK</v>
      </c>
      <c r="R646" s="0" t="str">
        <f aca="false">IF($C646="","",IFERROR(VLOOKUP(--$C646,MM_Income!$Z$5:$AC$204,3,FALSE()),""))</f>
        <v>Excluded — Overhead (in fixed costs)</v>
      </c>
    </row>
    <row r="647" customFormat="false" ht="14.9" hidden="false" customHeight="false" outlineLevel="0" collapsed="false">
      <c r="A647" s="1" t="s">
        <v>49</v>
      </c>
      <c r="B647" s="1" t="s">
        <v>85</v>
      </c>
      <c r="C647" s="1" t="n">
        <v>7820</v>
      </c>
      <c r="D647" s="1" t="s">
        <v>760</v>
      </c>
      <c r="E647" s="1" t="n">
        <v>42867</v>
      </c>
      <c r="F647" s="1" t="s">
        <v>847</v>
      </c>
      <c r="G647" s="140" t="n">
        <v>46097</v>
      </c>
      <c r="H647" s="1" t="s">
        <v>1631</v>
      </c>
      <c r="I647" s="1" t="s">
        <v>1636</v>
      </c>
      <c r="J647" s="1" t="s">
        <v>1637</v>
      </c>
      <c r="K647" s="1" t="n">
        <v>1984.72</v>
      </c>
      <c r="M647" s="125" t="n">
        <f aca="false">Nominal_Activity[[#This Row],[Debit]]-Nominal_Activity[[#This Row],[Credit]]</f>
        <v>1984.72</v>
      </c>
      <c r="N647" s="1" t="str">
        <f aca="false">IF(C647="","",IFERROR(VLOOKUP(C647,Master_Mappings!$A$4:$E$85,3,FALSE()),"UNMAPPED"))</f>
        <v>Office Running costs</v>
      </c>
      <c r="P647" s="1" t="str">
        <f aca="false">IF($C647="","",$C647&amp;"|"&amp;$E647&amp;"|"&amp;$M647&amp;"|"&amp;TEXT($G647,"yyyy-mm-dd")&amp;"|"&amp;LEFT($J647,40))</f>
        <v>7820|42867|1984.72|2026-03-16|Cleaning and Janitorial Services for Mar</v>
      </c>
      <c r="Q647" s="11" t="str">
        <f aca="false">IF(P647="","",IF(COUNTIF($P$2:$P$3000,P647)&gt;1,"DUPLICATE","OK"))</f>
        <v>OK</v>
      </c>
      <c r="R647" s="0" t="str">
        <f aca="false">IF($C647="","",IFERROR(VLOOKUP(--$C647,MM_Income!$Z$5:$AC$204,3,FALSE()),""))</f>
        <v>Excluded — Overhead (in fixed costs)</v>
      </c>
    </row>
    <row r="648" customFormat="false" ht="14.9" hidden="false" customHeight="false" outlineLevel="0" collapsed="false">
      <c r="A648" s="1" t="s">
        <v>49</v>
      </c>
      <c r="B648" s="1" t="s">
        <v>85</v>
      </c>
      <c r="C648" s="1" t="n">
        <v>7820</v>
      </c>
      <c r="D648" s="1" t="s">
        <v>760</v>
      </c>
      <c r="E648" s="1" t="n">
        <v>42919</v>
      </c>
      <c r="F648" s="1" t="s">
        <v>869</v>
      </c>
      <c r="G648" s="140" t="n">
        <v>46071</v>
      </c>
      <c r="H648" s="1" t="n">
        <v>1230</v>
      </c>
      <c r="I648" s="1" t="s">
        <v>1638</v>
      </c>
      <c r="J648" s="1" t="s">
        <v>1639</v>
      </c>
      <c r="K648" s="1" t="n">
        <v>832.5</v>
      </c>
      <c r="M648" s="125" t="n">
        <f aca="false">Nominal_Activity[[#This Row],[Debit]]-Nominal_Activity[[#This Row],[Credit]]</f>
        <v>832.5</v>
      </c>
      <c r="N648" s="1" t="str">
        <f aca="false">IF(C648="","",IFERROR(VLOOKUP(C648,Master_Mappings!$A$4:$E$85,3,FALSE()),"UNMAPPED"))</f>
        <v>Office Running costs</v>
      </c>
      <c r="P648" s="1" t="str">
        <f aca="false">IF($C648="","",$C648&amp;"|"&amp;$E648&amp;"|"&amp;$M648&amp;"|"&amp;TEXT($G648,"yyyy-mm-dd")&amp;"|"&amp;LEFT($J648,40))</f>
        <v>7820|42919|832.5|2026-02-18|Payment of Gardener Allownace for Feb</v>
      </c>
      <c r="Q648" s="11" t="str">
        <f aca="false">IF(P648="","",IF(COUNTIF($P$2:$P$3000,P648)&gt;1,"DUPLICATE","OK"))</f>
        <v>OK</v>
      </c>
      <c r="R648" s="0" t="str">
        <f aca="false">IF($C648="","",IFERROR(VLOOKUP(--$C648,MM_Income!$Z$5:$AC$204,3,FALSE()),""))</f>
        <v>Excluded — Overhead (in fixed costs)</v>
      </c>
    </row>
    <row r="649" customFormat="false" ht="14.9" hidden="false" customHeight="false" outlineLevel="0" collapsed="false">
      <c r="A649" s="1" t="s">
        <v>49</v>
      </c>
      <c r="B649" s="1" t="s">
        <v>85</v>
      </c>
      <c r="C649" s="1" t="n">
        <v>7820</v>
      </c>
      <c r="D649" s="1" t="s">
        <v>760</v>
      </c>
      <c r="E649" s="1" t="n">
        <v>42921</v>
      </c>
      <c r="F649" s="1" t="s">
        <v>869</v>
      </c>
      <c r="G649" s="140" t="n">
        <v>46072</v>
      </c>
      <c r="H649" s="1" t="n">
        <v>1230</v>
      </c>
      <c r="I649" s="1" t="s">
        <v>1262</v>
      </c>
      <c r="J649" s="1" t="s">
        <v>1640</v>
      </c>
      <c r="K649" s="1" t="n">
        <v>100</v>
      </c>
      <c r="M649" s="125" t="n">
        <f aca="false">Nominal_Activity[[#This Row],[Debit]]-Nominal_Activity[[#This Row],[Credit]]</f>
        <v>100</v>
      </c>
      <c r="N649" s="1" t="str">
        <f aca="false">IF(C649="","",IFERROR(VLOOKUP(C649,Master_Mappings!$A$4:$E$85,3,FALSE()),"UNMAPPED"))</f>
        <v>Office Running costs</v>
      </c>
      <c r="P649" s="1" t="str">
        <f aca="false">IF($C649="","",$C649&amp;"|"&amp;$E649&amp;"|"&amp;$M649&amp;"|"&amp;TEXT($G649,"yyyy-mm-dd")&amp;"|"&amp;LEFT($J649,40))</f>
        <v>7820|42921|100|2026-02-19|Refuse Collection bill</v>
      </c>
      <c r="Q649" s="11" t="str">
        <f aca="false">IF(P649="","",IF(COUNTIF($P$2:$P$3000,P649)&gt;1,"DUPLICATE","OK"))</f>
        <v>OK</v>
      </c>
      <c r="R649" s="0" t="str">
        <f aca="false">IF($C649="","",IFERROR(VLOOKUP(--$C649,MM_Income!$Z$5:$AC$204,3,FALSE()),""))</f>
        <v>Excluded — Overhead (in fixed costs)</v>
      </c>
    </row>
    <row r="650" customFormat="false" ht="14.9" hidden="false" customHeight="false" outlineLevel="0" collapsed="false">
      <c r="A650" s="1" t="s">
        <v>49</v>
      </c>
      <c r="B650" s="1" t="s">
        <v>85</v>
      </c>
      <c r="C650" s="1" t="n">
        <v>7820</v>
      </c>
      <c r="D650" s="1" t="s">
        <v>760</v>
      </c>
      <c r="E650" s="1" t="n">
        <v>42927</v>
      </c>
      <c r="F650" s="1" t="s">
        <v>869</v>
      </c>
      <c r="G650" s="140" t="n">
        <v>46097</v>
      </c>
      <c r="H650" s="1" t="n">
        <v>1230</v>
      </c>
      <c r="I650" s="1" t="s">
        <v>1641</v>
      </c>
      <c r="J650" s="1" t="s">
        <v>1640</v>
      </c>
      <c r="K650" s="1" t="n">
        <v>260</v>
      </c>
      <c r="M650" s="125" t="n">
        <f aca="false">Nominal_Activity[[#This Row],[Debit]]-Nominal_Activity[[#This Row],[Credit]]</f>
        <v>260</v>
      </c>
      <c r="N650" s="1" t="str">
        <f aca="false">IF(C650="","",IFERROR(VLOOKUP(C650,Master_Mappings!$A$4:$E$85,3,FALSE()),"UNMAPPED"))</f>
        <v>Office Running costs</v>
      </c>
      <c r="P650" s="1" t="str">
        <f aca="false">IF($C650="","",$C650&amp;"|"&amp;$E650&amp;"|"&amp;$M650&amp;"|"&amp;TEXT($G650,"yyyy-mm-dd")&amp;"|"&amp;LEFT($J650,40))</f>
        <v>7820|42927|260|2026-03-16|Refuse Collection bill</v>
      </c>
      <c r="Q650" s="11" t="str">
        <f aca="false">IF(P650="","",IF(COUNTIF($P$2:$P$3000,P650)&gt;1,"DUPLICATE","OK"))</f>
        <v>OK</v>
      </c>
      <c r="R650" s="0" t="str">
        <f aca="false">IF($C650="","",IFERROR(VLOOKUP(--$C650,MM_Income!$Z$5:$AC$204,3,FALSE()),""))</f>
        <v>Excluded — Overhead (in fixed costs)</v>
      </c>
    </row>
    <row r="651" customFormat="false" ht="14.9" hidden="false" customHeight="false" outlineLevel="0" collapsed="false">
      <c r="A651" s="1" t="s">
        <v>49</v>
      </c>
      <c r="B651" s="1" t="s">
        <v>85</v>
      </c>
      <c r="C651" s="1" t="n">
        <v>7820</v>
      </c>
      <c r="D651" s="1" t="s">
        <v>760</v>
      </c>
      <c r="E651" s="1" t="n">
        <v>42928</v>
      </c>
      <c r="F651" s="1" t="s">
        <v>869</v>
      </c>
      <c r="G651" s="140" t="n">
        <v>46097</v>
      </c>
      <c r="H651" s="1" t="n">
        <v>1230</v>
      </c>
      <c r="I651" s="1" t="s">
        <v>1642</v>
      </c>
      <c r="J651" s="1" t="s">
        <v>1643</v>
      </c>
      <c r="K651" s="1" t="n">
        <v>832.5</v>
      </c>
      <c r="M651" s="125" t="n">
        <f aca="false">Nominal_Activity[[#This Row],[Debit]]-Nominal_Activity[[#This Row],[Credit]]</f>
        <v>832.5</v>
      </c>
      <c r="N651" s="1" t="str">
        <f aca="false">IF(C651="","",IFERROR(VLOOKUP(C651,Master_Mappings!$A$4:$E$85,3,FALSE()),"UNMAPPED"))</f>
        <v>Office Running costs</v>
      </c>
      <c r="P651" s="1" t="str">
        <f aca="false">IF($C651="","",$C651&amp;"|"&amp;$E651&amp;"|"&amp;$M651&amp;"|"&amp;TEXT($G651,"yyyy-mm-dd")&amp;"|"&amp;LEFT($J651,40))</f>
        <v>7820|42928|832.5|2026-03-16|Payment of Gardener Allownace for March</v>
      </c>
      <c r="Q651" s="11" t="str">
        <f aca="false">IF(P651="","",IF(COUNTIF($P$2:$P$3000,P651)&gt;1,"DUPLICATE","OK"))</f>
        <v>OK</v>
      </c>
      <c r="R651" s="0" t="str">
        <f aca="false">IF($C651="","",IFERROR(VLOOKUP(--$C651,MM_Income!$Z$5:$AC$204,3,FALSE()),""))</f>
        <v>Excluded — Overhead (in fixed costs)</v>
      </c>
    </row>
    <row r="652" customFormat="false" ht="14.9" hidden="false" customHeight="false" outlineLevel="0" collapsed="false">
      <c r="A652" s="1" t="s">
        <v>49</v>
      </c>
      <c r="B652" s="1" t="s">
        <v>85</v>
      </c>
      <c r="C652" s="1" t="n">
        <v>7820</v>
      </c>
      <c r="D652" s="1" t="s">
        <v>760</v>
      </c>
      <c r="E652" s="1" t="n">
        <v>43053</v>
      </c>
      <c r="F652" s="1" t="s">
        <v>1237</v>
      </c>
      <c r="G652" s="140" t="n">
        <v>46097</v>
      </c>
      <c r="H652" s="1" t="n">
        <v>7820</v>
      </c>
      <c r="I652" s="1" t="s">
        <v>1638</v>
      </c>
      <c r="J652" s="1" t="s">
        <v>1644</v>
      </c>
      <c r="K652" s="1" t="n">
        <v>135</v>
      </c>
      <c r="M652" s="125" t="n">
        <f aca="false">Nominal_Activity[[#This Row],[Debit]]-Nominal_Activity[[#This Row],[Credit]]</f>
        <v>135</v>
      </c>
      <c r="N652" s="1" t="str">
        <f aca="false">IF(C652="","",IFERROR(VLOOKUP(C652,Master_Mappings!$A$4:$E$85,3,FALSE()),"UNMAPPED"))</f>
        <v>Office Running costs</v>
      </c>
      <c r="P652" s="1" t="str">
        <f aca="false">IF($C652="","",$C652&amp;"|"&amp;$E652&amp;"|"&amp;$M652&amp;"|"&amp;TEXT($G652,"yyyy-mm-dd")&amp;"|"&amp;LEFT($J652,40))</f>
        <v>7820|43053|135|2026-03-16|7.5%WHT charged to Francis for Gardener </v>
      </c>
      <c r="Q652" s="11" t="str">
        <f aca="false">IF(P652="","",IF(COUNTIF($P$2:$P$3000,P652)&gt;1,"DUPLICATE","OK"))</f>
        <v>OK</v>
      </c>
      <c r="R652" s="0" t="str">
        <f aca="false">IF($C652="","",IFERROR(VLOOKUP(--$C652,MM_Income!$Z$5:$AC$204,3,FALSE()),""))</f>
        <v>Excluded — Overhead (in fixed costs)</v>
      </c>
    </row>
    <row r="653" customFormat="false" ht="14.9" hidden="false" customHeight="false" outlineLevel="0" collapsed="false">
      <c r="A653" s="1" t="s">
        <v>49</v>
      </c>
      <c r="B653" s="1" t="s">
        <v>89</v>
      </c>
      <c r="C653" s="1" t="n">
        <v>7820</v>
      </c>
      <c r="D653" s="1" t="s">
        <v>760</v>
      </c>
      <c r="E653" s="1" t="n">
        <v>43060</v>
      </c>
      <c r="F653" s="1" t="s">
        <v>847</v>
      </c>
      <c r="G653" s="140" t="n">
        <v>46127</v>
      </c>
      <c r="H653" s="1" t="s">
        <v>1631</v>
      </c>
      <c r="I653" s="1" t="s">
        <v>1645</v>
      </c>
      <c r="J653" s="1" t="s">
        <v>1646</v>
      </c>
      <c r="K653" s="1" t="n">
        <v>1984.72</v>
      </c>
      <c r="M653" s="125" t="n">
        <f aca="false">Nominal_Activity[[#This Row],[Debit]]-Nominal_Activity[[#This Row],[Credit]]</f>
        <v>1984.72</v>
      </c>
      <c r="N653" s="1" t="str">
        <f aca="false">IF(C653="","",IFERROR(VLOOKUP(C653,Master_Mappings!$A$4:$E$85,3,FALSE()),"UNMAPPED"))</f>
        <v>Office Running costs</v>
      </c>
      <c r="P653" s="1" t="str">
        <f aca="false">IF($C653="","",$C653&amp;"|"&amp;$E653&amp;"|"&amp;$M653&amp;"|"&amp;TEXT($G653,"yyyy-mm-dd")&amp;"|"&amp;LEFT($J653,40))</f>
        <v>7820|43060|1984.72|2026-04-15|CLEANING &amp; JANITORIAL SERVICES FOR APRIL</v>
      </c>
      <c r="Q653" s="11" t="str">
        <f aca="false">IF(P653="","",IF(COUNTIF($P$2:$P$3000,P653)&gt;1,"DUPLICATE","OK"))</f>
        <v>OK</v>
      </c>
      <c r="R653" s="0" t="str">
        <f aca="false">IF($C653="","",IFERROR(VLOOKUP(--$C653,MM_Income!$Z$5:$AC$204,3,FALSE()),""))</f>
        <v>Excluded — Overhead (in fixed costs)</v>
      </c>
    </row>
    <row r="654" customFormat="false" ht="14.9" hidden="false" customHeight="false" outlineLevel="0" collapsed="false">
      <c r="A654" s="1" t="s">
        <v>49</v>
      </c>
      <c r="B654" s="1" t="s">
        <v>89</v>
      </c>
      <c r="C654" s="1" t="n">
        <v>7820</v>
      </c>
      <c r="D654" s="1" t="s">
        <v>760</v>
      </c>
      <c r="E654" s="1" t="n">
        <v>43186</v>
      </c>
      <c r="F654" s="1" t="s">
        <v>869</v>
      </c>
      <c r="G654" s="140" t="n">
        <v>46125</v>
      </c>
      <c r="H654" s="1" t="n">
        <v>1230</v>
      </c>
      <c r="I654" s="1" t="s">
        <v>1647</v>
      </c>
      <c r="J654" s="1" t="s">
        <v>1648</v>
      </c>
      <c r="K654" s="1" t="n">
        <v>90</v>
      </c>
      <c r="M654" s="125" t="n">
        <f aca="false">Nominal_Activity[[#This Row],[Debit]]-Nominal_Activity[[#This Row],[Credit]]</f>
        <v>90</v>
      </c>
      <c r="N654" s="1" t="str">
        <f aca="false">IF(C654="","",IFERROR(VLOOKUP(C654,Master_Mappings!$A$4:$E$85,3,FALSE()),"UNMAPPED"))</f>
        <v>Office Running costs</v>
      </c>
      <c r="P654" s="1" t="str">
        <f aca="false">IF($C654="","",$C654&amp;"|"&amp;$E654&amp;"|"&amp;$M654&amp;"|"&amp;TEXT($G654,"yyyy-mm-dd")&amp;"|"&amp;LEFT($J654,40))</f>
        <v>7820|43186|90|2026-04-13|Refuse Collection</v>
      </c>
      <c r="Q654" s="11" t="str">
        <f aca="false">IF(P654="","",IF(COUNTIF($P$2:$P$3000,P654)&gt;1,"DUPLICATE","OK"))</f>
        <v>OK</v>
      </c>
      <c r="R654" s="0" t="str">
        <f aca="false">IF($C654="","",IFERROR(VLOOKUP(--$C654,MM_Income!$Z$5:$AC$204,3,FALSE()),""))</f>
        <v>Excluded — Overhead (in fixed costs)</v>
      </c>
    </row>
    <row r="655" customFormat="false" ht="14.9" hidden="false" customHeight="false" outlineLevel="0" collapsed="false">
      <c r="A655" s="1" t="s">
        <v>49</v>
      </c>
      <c r="B655" s="1" t="s">
        <v>89</v>
      </c>
      <c r="C655" s="1" t="n">
        <v>7820</v>
      </c>
      <c r="D655" s="1" t="s">
        <v>760</v>
      </c>
      <c r="E655" s="1" t="n">
        <v>43459</v>
      </c>
      <c r="F655" s="1" t="s">
        <v>914</v>
      </c>
      <c r="G655" s="140" t="n">
        <v>46126</v>
      </c>
      <c r="H655" s="1" t="n">
        <v>1200</v>
      </c>
      <c r="I655" s="1" t="s">
        <v>1649</v>
      </c>
      <c r="J655" s="1" t="s">
        <v>1650</v>
      </c>
      <c r="K655" s="1" t="n">
        <v>832.5</v>
      </c>
      <c r="M655" s="125" t="n">
        <f aca="false">Nominal_Activity[[#This Row],[Debit]]-Nominal_Activity[[#This Row],[Credit]]</f>
        <v>832.5</v>
      </c>
      <c r="N655" s="1" t="str">
        <f aca="false">IF(C655="","",IFERROR(VLOOKUP(C655,Master_Mappings!$A$4:$E$85,3,FALSE()),"UNMAPPED"))</f>
        <v>Office Running costs</v>
      </c>
      <c r="P655" s="1" t="str">
        <f aca="false">IF($C655="","",$C655&amp;"|"&amp;$E655&amp;"|"&amp;$M655&amp;"|"&amp;TEXT($G655,"yyyy-mm-dd")&amp;"|"&amp;LEFT($J655,40))</f>
        <v>7820|43459|832.5|2026-04-14|Gardening Allowance for April</v>
      </c>
      <c r="Q655" s="11" t="str">
        <f aca="false">IF(P655="","",IF(COUNTIF($P$2:$P$3000,P655)&gt;1,"DUPLICATE","OK"))</f>
        <v>OK</v>
      </c>
      <c r="R655" s="0" t="str">
        <f aca="false">IF($C655="","",IFERROR(VLOOKUP(--$C655,MM_Income!$Z$5:$AC$204,3,FALSE()),""))</f>
        <v>Excluded — Overhead (in fixed costs)</v>
      </c>
    </row>
    <row r="656" customFormat="false" ht="14.9" hidden="false" customHeight="false" outlineLevel="0" collapsed="false">
      <c r="A656" s="1" t="s">
        <v>49</v>
      </c>
      <c r="B656" s="1" t="s">
        <v>89</v>
      </c>
      <c r="C656" s="1" t="n">
        <v>7820</v>
      </c>
      <c r="D656" s="1" t="s">
        <v>760</v>
      </c>
      <c r="E656" s="1" t="n">
        <v>43497</v>
      </c>
      <c r="F656" s="1" t="s">
        <v>1237</v>
      </c>
      <c r="G656" s="140" t="n">
        <v>46126</v>
      </c>
      <c r="H656" s="1" t="n">
        <v>7820</v>
      </c>
      <c r="I656" s="1" t="s">
        <v>1649</v>
      </c>
      <c r="J656" s="1" t="s">
        <v>1651</v>
      </c>
      <c r="K656" s="1" t="n">
        <v>67.5</v>
      </c>
      <c r="M656" s="125" t="n">
        <f aca="false">Nominal_Activity[[#This Row],[Debit]]-Nominal_Activity[[#This Row],[Credit]]</f>
        <v>67.5</v>
      </c>
      <c r="N656" s="1" t="str">
        <f aca="false">IF(C656="","",IFERROR(VLOOKUP(C656,Master_Mappings!$A$4:$E$85,3,FALSE()),"UNMAPPED"))</f>
        <v>Office Running costs</v>
      </c>
      <c r="P656" s="1" t="str">
        <f aca="false">IF($C656="","",$C656&amp;"|"&amp;$E656&amp;"|"&amp;$M656&amp;"|"&amp;TEXT($G656,"yyyy-mm-dd")&amp;"|"&amp;LEFT($J656,40))</f>
        <v>7820|43497|67.5|2026-04-14|7.5%WHT carged to Francis on Gardening A</v>
      </c>
      <c r="Q656" s="11" t="str">
        <f aca="false">IF(P656="","",IF(COUNTIF($P$2:$P$3000,P656)&gt;1,"DUPLICATE","OK"))</f>
        <v>OK</v>
      </c>
      <c r="R656" s="0" t="str">
        <f aca="false">IF($C656="","",IFERROR(VLOOKUP(--$C656,MM_Income!$Z$5:$AC$204,3,FALSE()),""))</f>
        <v>Excluded — Overhead (in fixed costs)</v>
      </c>
    </row>
    <row r="657" customFormat="false" ht="14.9" hidden="false" customHeight="false" outlineLevel="0" collapsed="false">
      <c r="A657" s="1" t="s">
        <v>49</v>
      </c>
      <c r="B657" s="1" t="s">
        <v>89</v>
      </c>
      <c r="C657" s="1" t="n">
        <v>7820</v>
      </c>
      <c r="D657" s="1" t="s">
        <v>760</v>
      </c>
      <c r="E657" s="1" t="n">
        <v>43525</v>
      </c>
      <c r="F657" s="1" t="s">
        <v>869</v>
      </c>
      <c r="G657" s="140" t="n">
        <v>46153</v>
      </c>
      <c r="H657" s="1" t="n">
        <v>1230</v>
      </c>
      <c r="I657" s="1" t="s">
        <v>1652</v>
      </c>
      <c r="J657" s="1" t="s">
        <v>1648</v>
      </c>
      <c r="K657" s="1" t="n">
        <v>90</v>
      </c>
      <c r="M657" s="125" t="n">
        <f aca="false">Nominal_Activity[[#This Row],[Debit]]-Nominal_Activity[[#This Row],[Credit]]</f>
        <v>90</v>
      </c>
      <c r="N657" s="1" t="str">
        <f aca="false">IF(C657="","",IFERROR(VLOOKUP(C657,Master_Mappings!$A$4:$E$85,3,FALSE()),"UNMAPPED"))</f>
        <v>Office Running costs</v>
      </c>
      <c r="P657" s="1" t="str">
        <f aca="false">IF($C657="","",$C657&amp;"|"&amp;$E657&amp;"|"&amp;$M657&amp;"|"&amp;TEXT($G657,"yyyy-mm-dd")&amp;"|"&amp;LEFT($J657,40))</f>
        <v>7820|43525|90|2026-05-11|Refuse Collection</v>
      </c>
      <c r="Q657" s="11" t="str">
        <f aca="false">IF(P657="","",IF(COUNTIF($P$2:$P$3000,P657)&gt;1,"DUPLICATE","OK"))</f>
        <v>OK</v>
      </c>
      <c r="R657" s="0" t="str">
        <f aca="false">IF($C657="","",IFERROR(VLOOKUP(--$C657,MM_Income!$Z$5:$AC$204,3,FALSE()),""))</f>
        <v>Excluded — Overhead (in fixed costs)</v>
      </c>
    </row>
    <row r="658" customFormat="false" ht="14.9" hidden="false" customHeight="false" outlineLevel="0" collapsed="false">
      <c r="A658" s="1" t="s">
        <v>49</v>
      </c>
      <c r="B658" s="1" t="s">
        <v>89</v>
      </c>
      <c r="C658" s="1" t="n">
        <v>7820</v>
      </c>
      <c r="D658" s="1" t="s">
        <v>760</v>
      </c>
      <c r="E658" s="1" t="n">
        <v>43546</v>
      </c>
      <c r="F658" s="1" t="s">
        <v>847</v>
      </c>
      <c r="G658" s="140" t="n">
        <v>46160</v>
      </c>
      <c r="H658" s="1" t="s">
        <v>1631</v>
      </c>
      <c r="I658" s="1" t="s">
        <v>1653</v>
      </c>
      <c r="J658" s="1" t="s">
        <v>1654</v>
      </c>
      <c r="K658" s="1" t="n">
        <v>1984.71</v>
      </c>
      <c r="M658" s="125" t="n">
        <f aca="false">Nominal_Activity[[#This Row],[Debit]]-Nominal_Activity[[#This Row],[Credit]]</f>
        <v>1984.71</v>
      </c>
      <c r="N658" s="1" t="str">
        <f aca="false">IF(C658="","",IFERROR(VLOOKUP(C658,Master_Mappings!$A$4:$E$85,3,FALSE()),"UNMAPPED"))</f>
        <v>Office Running costs</v>
      </c>
      <c r="P658" s="1" t="str">
        <f aca="false">IF($C658="","",$C658&amp;"|"&amp;$E658&amp;"|"&amp;$M658&amp;"|"&amp;TEXT($G658,"yyyy-mm-dd")&amp;"|"&amp;LEFT($J658,40))</f>
        <v>7820|43546|1984.71|2026-05-18|Cleaning and Janitorial Services for May</v>
      </c>
      <c r="Q658" s="11" t="str">
        <f aca="false">IF(P658="","",IF(COUNTIF($P$2:$P$3000,P658)&gt;1,"DUPLICATE","OK"))</f>
        <v>OK</v>
      </c>
      <c r="R658" s="0" t="str">
        <f aca="false">IF($C658="","",IFERROR(VLOOKUP(--$C658,MM_Income!$Z$5:$AC$204,3,FALSE()),""))</f>
        <v>Excluded — Overhead (in fixed costs)</v>
      </c>
    </row>
    <row r="659" customFormat="false" ht="14.9" hidden="false" customHeight="false" outlineLevel="0" collapsed="false">
      <c r="A659" s="1" t="s">
        <v>49</v>
      </c>
      <c r="B659" s="1" t="s">
        <v>89</v>
      </c>
      <c r="C659" s="1" t="n">
        <v>7820</v>
      </c>
      <c r="D659" s="1" t="s">
        <v>760</v>
      </c>
      <c r="E659" s="1" t="n">
        <v>43630</v>
      </c>
      <c r="F659" s="1" t="s">
        <v>914</v>
      </c>
      <c r="G659" s="140" t="n">
        <v>46157</v>
      </c>
      <c r="H659" s="1" t="n">
        <v>1200</v>
      </c>
      <c r="I659" s="1" t="s">
        <v>1655</v>
      </c>
      <c r="J659" s="1" t="s">
        <v>1656</v>
      </c>
      <c r="K659" s="1" t="n">
        <v>832.5</v>
      </c>
      <c r="M659" s="125" t="n">
        <f aca="false">Nominal_Activity[[#This Row],[Debit]]-Nominal_Activity[[#This Row],[Credit]]</f>
        <v>832.5</v>
      </c>
      <c r="N659" s="1" t="str">
        <f aca="false">IF(C659="","",IFERROR(VLOOKUP(C659,Master_Mappings!$A$4:$E$85,3,FALSE()),"UNMAPPED"))</f>
        <v>Office Running costs</v>
      </c>
      <c r="P659" s="1" t="str">
        <f aca="false">IF($C659="","",$C659&amp;"|"&amp;$E659&amp;"|"&amp;$M659&amp;"|"&amp;TEXT($G659,"yyyy-mm-dd")&amp;"|"&amp;LEFT($J659,40))</f>
        <v>7820|43630|832.5|2026-05-15|Gardening Allowance for May</v>
      </c>
      <c r="Q659" s="11" t="str">
        <f aca="false">IF(P659="","",IF(COUNTIF($P$2:$P$3000,P659)&gt;1,"DUPLICATE","OK"))</f>
        <v>OK</v>
      </c>
      <c r="R659" s="0" t="str">
        <f aca="false">IF($C659="","",IFERROR(VLOOKUP(--$C659,MM_Income!$Z$5:$AC$204,3,FALSE()),""))</f>
        <v>Excluded — Overhead (in fixed costs)</v>
      </c>
    </row>
    <row r="660" customFormat="false" ht="14.9" hidden="false" customHeight="false" outlineLevel="0" collapsed="false">
      <c r="A660" s="1" t="s">
        <v>49</v>
      </c>
      <c r="B660" s="1" t="s">
        <v>89</v>
      </c>
      <c r="C660" s="1" t="n">
        <v>7820</v>
      </c>
      <c r="D660" s="1" t="s">
        <v>760</v>
      </c>
      <c r="E660" s="1" t="n">
        <v>43636</v>
      </c>
      <c r="F660" s="1" t="s">
        <v>1237</v>
      </c>
      <c r="G660" s="140" t="n">
        <v>46157</v>
      </c>
      <c r="H660" s="1" t="n">
        <v>7820</v>
      </c>
      <c r="I660" s="1" t="s">
        <v>1601</v>
      </c>
      <c r="J660" s="1" t="s">
        <v>1651</v>
      </c>
      <c r="K660" s="1" t="n">
        <v>67.5</v>
      </c>
      <c r="M660" s="125" t="n">
        <f aca="false">Nominal_Activity[[#This Row],[Debit]]-Nominal_Activity[[#This Row],[Credit]]</f>
        <v>67.5</v>
      </c>
      <c r="N660" s="1" t="str">
        <f aca="false">IF(C660="","",IFERROR(VLOOKUP(C660,Master_Mappings!$A$4:$E$85,3,FALSE()),"UNMAPPED"))</f>
        <v>Office Running costs</v>
      </c>
      <c r="P660" s="1" t="str">
        <f aca="false">IF($C660="","",$C660&amp;"|"&amp;$E660&amp;"|"&amp;$M660&amp;"|"&amp;TEXT($G660,"yyyy-mm-dd")&amp;"|"&amp;LEFT($J660,40))</f>
        <v>7820|43636|67.5|2026-05-15|7.5%WHT carged to Francis on Gardening A</v>
      </c>
      <c r="Q660" s="11" t="str">
        <f aca="false">IF(P660="","",IF(COUNTIF($P$2:$P$3000,P660)&gt;1,"DUPLICATE","OK"))</f>
        <v>OK</v>
      </c>
      <c r="R660" s="0" t="str">
        <f aca="false">IF($C660="","",IFERROR(VLOOKUP(--$C660,MM_Income!$Z$5:$AC$204,3,FALSE()),""))</f>
        <v>Excluded — Overhead (in fixed costs)</v>
      </c>
    </row>
    <row r="661" customFormat="false" ht="14.9" hidden="false" customHeight="false" outlineLevel="0" collapsed="false">
      <c r="A661" s="1" t="s">
        <v>49</v>
      </c>
      <c r="B661" s="1" t="s">
        <v>89</v>
      </c>
      <c r="C661" s="1" t="n">
        <v>7820</v>
      </c>
      <c r="D661" s="1" t="s">
        <v>760</v>
      </c>
      <c r="E661" s="1" t="n">
        <v>43772</v>
      </c>
      <c r="F661" s="1" t="s">
        <v>869</v>
      </c>
      <c r="G661" s="140" t="n">
        <v>46141</v>
      </c>
      <c r="H661" s="1" t="n">
        <v>1260</v>
      </c>
      <c r="I661" s="1" t="s">
        <v>1065</v>
      </c>
      <c r="J661" s="1" t="s">
        <v>1657</v>
      </c>
      <c r="K661" s="1" t="n">
        <v>85.71</v>
      </c>
      <c r="M661" s="125" t="n">
        <f aca="false">Nominal_Activity[[#This Row],[Debit]]-Nominal_Activity[[#This Row],[Credit]]</f>
        <v>85.71</v>
      </c>
      <c r="N661" s="1" t="str">
        <f aca="false">IF(C661="","",IFERROR(VLOOKUP(C661,Master_Mappings!$A$4:$E$85,3,FALSE()),"UNMAPPED"))</f>
        <v>Office Running costs</v>
      </c>
      <c r="P661" s="1" t="str">
        <f aca="false">IF($C661="","",$C661&amp;"|"&amp;$E661&amp;"|"&amp;$M661&amp;"|"&amp;TEXT($G661,"yyyy-mm-dd")&amp;"|"&amp;LEFT($J661,40))</f>
        <v>7820|43772|85.71|2026-04-29|Laundry after 3 weeks trip</v>
      </c>
      <c r="Q661" s="11" t="str">
        <f aca="false">IF(P661="","",IF(COUNTIF($P$2:$P$3000,P661)&gt;1,"DUPLICATE","OK"))</f>
        <v>OK</v>
      </c>
      <c r="R661" s="0" t="str">
        <f aca="false">IF($C661="","",IFERROR(VLOOKUP(--$C661,MM_Income!$Z$5:$AC$204,3,FALSE()),""))</f>
        <v>Excluded — Overhead (in fixed costs)</v>
      </c>
    </row>
    <row r="662" customFormat="false" ht="14.9" hidden="false" customHeight="false" outlineLevel="0" collapsed="false">
      <c r="A662" s="1" t="s">
        <v>49</v>
      </c>
      <c r="B662" s="1" t="s">
        <v>89</v>
      </c>
      <c r="C662" s="1" t="n">
        <v>7820</v>
      </c>
      <c r="D662" s="1" t="s">
        <v>760</v>
      </c>
      <c r="E662" s="1" t="n">
        <v>43776</v>
      </c>
      <c r="F662" s="1" t="s">
        <v>869</v>
      </c>
      <c r="G662" s="140" t="n">
        <v>46113</v>
      </c>
      <c r="H662" s="1" t="n">
        <v>1260</v>
      </c>
      <c r="I662" s="1" t="s">
        <v>1065</v>
      </c>
      <c r="J662" s="1" t="s">
        <v>1658</v>
      </c>
      <c r="K662" s="1" t="n">
        <v>400</v>
      </c>
      <c r="M662" s="125" t="n">
        <f aca="false">Nominal_Activity[[#This Row],[Debit]]-Nominal_Activity[[#This Row],[Credit]]</f>
        <v>400</v>
      </c>
      <c r="N662" s="1" t="str">
        <f aca="false">IF(C662="","",IFERROR(VLOOKUP(C662,Master_Mappings!$A$4:$E$85,3,FALSE()),"UNMAPPED"))</f>
        <v>Office Running costs</v>
      </c>
      <c r="P662" s="1" t="str">
        <f aca="false">IF($C662="","",$C662&amp;"|"&amp;$E662&amp;"|"&amp;$M662&amp;"|"&amp;TEXT($G662,"yyyy-mm-dd")&amp;"|"&amp;LEFT($J662,40))</f>
        <v>7820|43776|400|2026-04-01|Laundry for 3 weeks trip</v>
      </c>
      <c r="Q662" s="11" t="str">
        <f aca="false">IF(P662="","",IF(COUNTIF($P$2:$P$3000,P662)&gt;1,"DUPLICATE","OK"))</f>
        <v>OK</v>
      </c>
      <c r="R662" s="0" t="str">
        <f aca="false">IF($C662="","",IFERROR(VLOOKUP(--$C662,MM_Income!$Z$5:$AC$204,3,FALSE()),""))</f>
        <v>Excluded — Overhead (in fixed costs)</v>
      </c>
    </row>
    <row r="663" customFormat="false" ht="14.9" hidden="false" customHeight="false" outlineLevel="0" collapsed="false">
      <c r="A663" s="1" t="s">
        <v>49</v>
      </c>
      <c r="B663" s="1" t="s">
        <v>89</v>
      </c>
      <c r="C663" s="1" t="n">
        <v>7820</v>
      </c>
      <c r="D663" s="1" t="s">
        <v>760</v>
      </c>
      <c r="E663" s="1" t="n">
        <v>43925</v>
      </c>
      <c r="F663" s="1" t="s">
        <v>869</v>
      </c>
      <c r="G663" s="140" t="n">
        <v>46178</v>
      </c>
      <c r="H663" s="1" t="n">
        <v>1230</v>
      </c>
      <c r="I663" s="1" t="s">
        <v>1659</v>
      </c>
      <c r="J663" s="1" t="s">
        <v>1660</v>
      </c>
      <c r="K663" s="1" t="n">
        <v>50</v>
      </c>
      <c r="M663" s="125" t="n">
        <f aca="false">Nominal_Activity[[#This Row],[Debit]]-Nominal_Activity[[#This Row],[Credit]]</f>
        <v>50</v>
      </c>
      <c r="N663" s="1" t="str">
        <f aca="false">IF(C663="","",IFERROR(VLOOKUP(C663,Master_Mappings!$A$4:$E$85,3,FALSE()),"UNMAPPED"))</f>
        <v>Office Running costs</v>
      </c>
      <c r="P663" s="1" t="str">
        <f aca="false">IF($C663="","",$C663&amp;"|"&amp;$E663&amp;"|"&amp;$M663&amp;"|"&amp;TEXT($G663,"yyyy-mm-dd")&amp;"|"&amp;LEFT($J663,40))</f>
        <v>7820|43925|50|2026-06-05|Refuse collection</v>
      </c>
      <c r="Q663" s="11" t="str">
        <f aca="false">IF(P663="","",IF(COUNTIF($P$2:$P$3000,P663)&gt;1,"DUPLICATE","OK"))</f>
        <v>OK</v>
      </c>
      <c r="R663" s="0" t="str">
        <f aca="false">IF($C663="","",IFERROR(VLOOKUP(--$C663,MM_Income!$Z$5:$AC$204,3,FALSE()),""))</f>
        <v>Excluded — Overhead (in fixed costs)</v>
      </c>
    </row>
    <row r="664" customFormat="false" ht="14.9" hidden="false" customHeight="false" outlineLevel="0" collapsed="false">
      <c r="A664" s="1" t="s">
        <v>49</v>
      </c>
      <c r="B664" s="1" t="s">
        <v>89</v>
      </c>
      <c r="C664" s="1" t="n">
        <v>7820</v>
      </c>
      <c r="D664" s="1" t="s">
        <v>760</v>
      </c>
      <c r="E664" s="1" t="n">
        <v>43933</v>
      </c>
      <c r="F664" s="1" t="s">
        <v>869</v>
      </c>
      <c r="G664" s="140" t="n">
        <v>46188</v>
      </c>
      <c r="H664" s="1" t="n">
        <v>1230</v>
      </c>
      <c r="I664" s="1" t="s">
        <v>1661</v>
      </c>
      <c r="J664" s="1" t="s">
        <v>1660</v>
      </c>
      <c r="K664" s="1" t="n">
        <v>90</v>
      </c>
      <c r="M664" s="125" t="n">
        <f aca="false">Nominal_Activity[[#This Row],[Debit]]-Nominal_Activity[[#This Row],[Credit]]</f>
        <v>90</v>
      </c>
      <c r="N664" s="1" t="str">
        <f aca="false">IF(C664="","",IFERROR(VLOOKUP(C664,Master_Mappings!$A$4:$E$85,3,FALSE()),"UNMAPPED"))</f>
        <v>Office Running costs</v>
      </c>
      <c r="P664" s="1" t="str">
        <f aca="false">IF($C664="","",$C664&amp;"|"&amp;$E664&amp;"|"&amp;$M664&amp;"|"&amp;TEXT($G664,"yyyy-mm-dd")&amp;"|"&amp;LEFT($J664,40))</f>
        <v>7820|43933|90|2026-06-15|Refuse collection</v>
      </c>
      <c r="Q664" s="11" t="str">
        <f aca="false">IF(P664="","",IF(COUNTIF($P$2:$P$3000,P664)&gt;1,"DUPLICATE","OK"))</f>
        <v>OK</v>
      </c>
      <c r="R664" s="0" t="str">
        <f aca="false">IF($C664="","",IFERROR(VLOOKUP(--$C664,MM_Income!$Z$5:$AC$204,3,FALSE()),""))</f>
        <v>Excluded — Overhead (in fixed costs)</v>
      </c>
    </row>
    <row r="665" customFormat="false" ht="14.9" hidden="false" customHeight="false" outlineLevel="0" collapsed="false">
      <c r="A665" s="1" t="s">
        <v>49</v>
      </c>
      <c r="B665" s="1" t="s">
        <v>89</v>
      </c>
      <c r="C665" s="1" t="n">
        <v>7820</v>
      </c>
      <c r="D665" s="1" t="s">
        <v>760</v>
      </c>
      <c r="E665" s="1" t="n">
        <v>43935</v>
      </c>
      <c r="F665" s="1" t="s">
        <v>869</v>
      </c>
      <c r="G665" s="140" t="n">
        <v>46192</v>
      </c>
      <c r="H665" s="1" t="n">
        <v>1230</v>
      </c>
      <c r="I665" s="1" t="s">
        <v>1662</v>
      </c>
      <c r="J665" s="1" t="s">
        <v>1648</v>
      </c>
      <c r="K665" s="1" t="n">
        <v>70</v>
      </c>
      <c r="M665" s="125" t="n">
        <f aca="false">Nominal_Activity[[#This Row],[Debit]]-Nominal_Activity[[#This Row],[Credit]]</f>
        <v>70</v>
      </c>
      <c r="N665" s="1" t="str">
        <f aca="false">IF(C665="","",IFERROR(VLOOKUP(C665,Master_Mappings!$A$4:$E$85,3,FALSE()),"UNMAPPED"))</f>
        <v>Office Running costs</v>
      </c>
      <c r="P665" s="1" t="str">
        <f aca="false">IF($C665="","",$C665&amp;"|"&amp;$E665&amp;"|"&amp;$M665&amp;"|"&amp;TEXT($G665,"yyyy-mm-dd")&amp;"|"&amp;LEFT($J665,40))</f>
        <v>7820|43935|70|2026-06-19|Refuse Collection</v>
      </c>
      <c r="Q665" s="11" t="str">
        <f aca="false">IF(P665="","",IF(COUNTIF($P$2:$P$3000,P665)&gt;1,"DUPLICATE","OK"))</f>
        <v>OK</v>
      </c>
      <c r="R665" s="0" t="str">
        <f aca="false">IF($C665="","",IFERROR(VLOOKUP(--$C665,MM_Income!$Z$5:$AC$204,3,FALSE()),""))</f>
        <v>Excluded — Overhead (in fixed costs)</v>
      </c>
    </row>
    <row r="666" customFormat="false" ht="14.9" hidden="false" customHeight="false" outlineLevel="0" collapsed="false">
      <c r="A666" s="1" t="s">
        <v>49</v>
      </c>
      <c r="B666" s="1" t="s">
        <v>89</v>
      </c>
      <c r="C666" s="1" t="n">
        <v>7820</v>
      </c>
      <c r="D666" s="1" t="s">
        <v>760</v>
      </c>
      <c r="E666" s="1" t="n">
        <v>43941</v>
      </c>
      <c r="F666" s="1" t="s">
        <v>869</v>
      </c>
      <c r="G666" s="140" t="n">
        <v>46190</v>
      </c>
      <c r="H666" s="1" t="n">
        <v>1230</v>
      </c>
      <c r="I666" s="1" t="s">
        <v>1662</v>
      </c>
      <c r="J666" s="1" t="s">
        <v>1663</v>
      </c>
      <c r="K666" s="1" t="n">
        <v>832.5</v>
      </c>
      <c r="M666" s="125" t="n">
        <f aca="false">Nominal_Activity[[#This Row],[Debit]]-Nominal_Activity[[#This Row],[Credit]]</f>
        <v>832.5</v>
      </c>
      <c r="N666" s="1" t="str">
        <f aca="false">IF(C666="","",IFERROR(VLOOKUP(C666,Master_Mappings!$A$4:$E$85,3,FALSE()),"UNMAPPED"))</f>
        <v>Office Running costs</v>
      </c>
      <c r="P666" s="1" t="str">
        <f aca="false">IF($C666="","",$C666&amp;"|"&amp;$E666&amp;"|"&amp;$M666&amp;"|"&amp;TEXT($G666,"yyyy-mm-dd")&amp;"|"&amp;LEFT($J666,40))</f>
        <v>7820|43941|832.5|2026-06-17|Gardening Allowance for June</v>
      </c>
      <c r="Q666" s="11" t="str">
        <f aca="false">IF(P666="","",IF(COUNTIF($P$2:$P$3000,P666)&gt;1,"DUPLICATE","OK"))</f>
        <v>OK</v>
      </c>
      <c r="R666" s="0" t="str">
        <f aca="false">IF($C666="","",IFERROR(VLOOKUP(--$C666,MM_Income!$Z$5:$AC$204,3,FALSE()),""))</f>
        <v>Excluded — Overhead (in fixed costs)</v>
      </c>
    </row>
    <row r="667" customFormat="false" ht="14.9" hidden="false" customHeight="false" outlineLevel="0" collapsed="false">
      <c r="A667" s="1" t="s">
        <v>49</v>
      </c>
      <c r="B667" s="1" t="s">
        <v>89</v>
      </c>
      <c r="C667" s="1" t="n">
        <v>7820</v>
      </c>
      <c r="D667" s="1" t="s">
        <v>760</v>
      </c>
      <c r="E667" s="1" t="n">
        <v>44058</v>
      </c>
      <c r="F667" s="1" t="s">
        <v>847</v>
      </c>
      <c r="G667" s="140" t="n">
        <v>46190</v>
      </c>
      <c r="H667" s="1" t="s">
        <v>1631</v>
      </c>
      <c r="I667" s="1" t="s">
        <v>1664</v>
      </c>
      <c r="J667" s="1" t="s">
        <v>1665</v>
      </c>
      <c r="K667" s="1" t="n">
        <v>1984.71</v>
      </c>
      <c r="M667" s="125" t="n">
        <f aca="false">Nominal_Activity[[#This Row],[Debit]]-Nominal_Activity[[#This Row],[Credit]]</f>
        <v>1984.71</v>
      </c>
      <c r="N667" s="1" t="str">
        <f aca="false">IF(C667="","",IFERROR(VLOOKUP(C667,Master_Mappings!$A$4:$E$85,3,FALSE()),"UNMAPPED"))</f>
        <v>Office Running costs</v>
      </c>
      <c r="P667" s="1" t="str">
        <f aca="false">IF($C667="","",$C667&amp;"|"&amp;$E667&amp;"|"&amp;$M667&amp;"|"&amp;TEXT($G667,"yyyy-mm-dd")&amp;"|"&amp;LEFT($J667,40))</f>
        <v>7820|44058|1984.71|2026-06-17|Cleaning and Janitorial Services for Jun</v>
      </c>
      <c r="Q667" s="11" t="str">
        <f aca="false">IF(P667="","",IF(COUNTIF($P$2:$P$3000,P667)&gt;1,"DUPLICATE","OK"))</f>
        <v>OK</v>
      </c>
      <c r="R667" s="0" t="str">
        <f aca="false">IF($C667="","",IFERROR(VLOOKUP(--$C667,MM_Income!$Z$5:$AC$204,3,FALSE()),""))</f>
        <v>Excluded — Overhead (in fixed costs)</v>
      </c>
    </row>
    <row r="668" customFormat="false" ht="14.9" hidden="false" customHeight="false" outlineLevel="0" collapsed="false">
      <c r="A668" s="1" t="s">
        <v>49</v>
      </c>
      <c r="B668" s="1" t="s">
        <v>89</v>
      </c>
      <c r="C668" s="1" t="n">
        <v>7820</v>
      </c>
      <c r="D668" s="1" t="s">
        <v>760</v>
      </c>
      <c r="E668" s="1" t="n">
        <v>44203</v>
      </c>
      <c r="F668" s="1" t="s">
        <v>869</v>
      </c>
      <c r="G668" s="140" t="n">
        <v>46119</v>
      </c>
      <c r="H668" s="1" t="n">
        <v>1260</v>
      </c>
      <c r="I668" s="1" t="s">
        <v>1164</v>
      </c>
      <c r="J668" s="1" t="s">
        <v>1169</v>
      </c>
      <c r="K668" s="1" t="n">
        <v>115.29</v>
      </c>
      <c r="M668" s="125" t="n">
        <f aca="false">Nominal_Activity[[#This Row],[Debit]]-Nominal_Activity[[#This Row],[Credit]]</f>
        <v>115.29</v>
      </c>
      <c r="N668" s="1" t="str">
        <f aca="false">IF(C668="","",IFERROR(VLOOKUP(C668,Master_Mappings!$A$4:$E$85,3,FALSE()),"UNMAPPED"))</f>
        <v>Office Running costs</v>
      </c>
      <c r="P668" s="1" t="str">
        <f aca="false">IF($C668="","",$C668&amp;"|"&amp;$E668&amp;"|"&amp;$M668&amp;"|"&amp;TEXT($G668,"yyyy-mm-dd")&amp;"|"&amp;LEFT($J668,40))</f>
        <v>7820|44203|115.29|2026-04-07|Laundry</v>
      </c>
      <c r="Q668" s="11" t="str">
        <f aca="false">IF(P668="","",IF(COUNTIF($P$2:$P$3000,P668)&gt;1,"DUPLICATE","OK"))</f>
        <v>OK</v>
      </c>
      <c r="R668" s="0" t="str">
        <f aca="false">IF($C668="","",IFERROR(VLOOKUP(--$C668,MM_Income!$Z$5:$AC$204,3,FALSE()),""))</f>
        <v>Excluded — Overhead (in fixed costs)</v>
      </c>
    </row>
    <row r="669" customFormat="false" ht="14.9" hidden="false" customHeight="false" outlineLevel="0" collapsed="false">
      <c r="A669" s="1" t="s">
        <v>49</v>
      </c>
      <c r="B669" s="1" t="s">
        <v>89</v>
      </c>
      <c r="C669" s="1" t="n">
        <v>7820</v>
      </c>
      <c r="D669" s="1" t="s">
        <v>760</v>
      </c>
      <c r="E669" s="1" t="n">
        <v>44213</v>
      </c>
      <c r="F669" s="1" t="s">
        <v>869</v>
      </c>
      <c r="G669" s="140" t="n">
        <v>46125</v>
      </c>
      <c r="H669" s="1" t="n">
        <v>1260</v>
      </c>
      <c r="I669" s="1" t="s">
        <v>1164</v>
      </c>
      <c r="J669" s="1" t="s">
        <v>1169</v>
      </c>
      <c r="K669" s="1" t="n">
        <v>124.08</v>
      </c>
      <c r="M669" s="125" t="n">
        <f aca="false">Nominal_Activity[[#This Row],[Debit]]-Nominal_Activity[[#This Row],[Credit]]</f>
        <v>124.08</v>
      </c>
      <c r="N669" s="1" t="str">
        <f aca="false">IF(C669="","",IFERROR(VLOOKUP(C669,Master_Mappings!$A$4:$E$85,3,FALSE()),"UNMAPPED"))</f>
        <v>Office Running costs</v>
      </c>
      <c r="P669" s="1" t="str">
        <f aca="false">IF($C669="","",$C669&amp;"|"&amp;$E669&amp;"|"&amp;$M669&amp;"|"&amp;TEXT($G669,"yyyy-mm-dd")&amp;"|"&amp;LEFT($J669,40))</f>
        <v>7820|44213|124.08|2026-04-13|Laundry</v>
      </c>
      <c r="Q669" s="11" t="str">
        <f aca="false">IF(P669="","",IF(COUNTIF($P$2:$P$3000,P669)&gt;1,"DUPLICATE","OK"))</f>
        <v>OK</v>
      </c>
      <c r="R669" s="0" t="str">
        <f aca="false">IF($C669="","",IFERROR(VLOOKUP(--$C669,MM_Income!$Z$5:$AC$204,3,FALSE()),""))</f>
        <v>Excluded — Overhead (in fixed costs)</v>
      </c>
    </row>
    <row r="670" customFormat="false" ht="14.9" hidden="false" customHeight="false" outlineLevel="0" collapsed="false">
      <c r="A670" s="1" t="s">
        <v>49</v>
      </c>
      <c r="B670" s="1" t="s">
        <v>89</v>
      </c>
      <c r="C670" s="1" t="n">
        <v>7820</v>
      </c>
      <c r="D670" s="1" t="s">
        <v>760</v>
      </c>
      <c r="E670" s="1" t="n">
        <v>44261</v>
      </c>
      <c r="F670" s="1" t="s">
        <v>869</v>
      </c>
      <c r="G670" s="140" t="n">
        <v>46203</v>
      </c>
      <c r="H670" s="1" t="n">
        <v>1230</v>
      </c>
      <c r="I670" s="1" t="s">
        <v>1666</v>
      </c>
      <c r="J670" s="1" t="s">
        <v>1667</v>
      </c>
      <c r="K670" s="1" t="n">
        <v>100</v>
      </c>
      <c r="M670" s="125" t="n">
        <f aca="false">Nominal_Activity[[#This Row],[Debit]]-Nominal_Activity[[#This Row],[Credit]]</f>
        <v>100</v>
      </c>
      <c r="N670" s="1" t="str">
        <f aca="false">IF(C670="","",IFERROR(VLOOKUP(C670,Master_Mappings!$A$4:$E$85,3,FALSE()),"UNMAPPED"))</f>
        <v>Office Running costs</v>
      </c>
      <c r="P670" s="1" t="str">
        <f aca="false">IF($C670="","",$C670&amp;"|"&amp;$E670&amp;"|"&amp;$M670&amp;"|"&amp;TEXT($G670,"yyyy-mm-dd")&amp;"|"&amp;LEFT($J670,40))</f>
        <v>7820|44261|100|2026-06-30|Cash to Gardner to purchase a new plant</v>
      </c>
      <c r="Q670" s="11" t="str">
        <f aca="false">IF(P670="","",IF(COUNTIF($P$2:$P$3000,P670)&gt;1,"DUPLICATE","OK"))</f>
        <v>OK</v>
      </c>
      <c r="R670" s="0" t="str">
        <f aca="false">IF($C670="","",IFERROR(VLOOKUP(--$C670,MM_Income!$Z$5:$AC$204,3,FALSE()),""))</f>
        <v>Excluded — Overhead (in fixed costs)</v>
      </c>
    </row>
    <row r="671" customFormat="false" ht="14.9" hidden="false" customHeight="false" outlineLevel="0" collapsed="false">
      <c r="A671" s="1" t="s">
        <v>49</v>
      </c>
      <c r="B671" s="1" t="s">
        <v>85</v>
      </c>
      <c r="C671" s="1" t="n">
        <v>7910</v>
      </c>
      <c r="D671" s="1" t="s">
        <v>762</v>
      </c>
      <c r="E671" s="1" t="n">
        <v>42239</v>
      </c>
      <c r="F671" s="1" t="s">
        <v>914</v>
      </c>
      <c r="G671" s="140" t="n">
        <v>46036</v>
      </c>
      <c r="H671" s="1" t="n">
        <v>1210</v>
      </c>
      <c r="J671" s="1" t="s">
        <v>762</v>
      </c>
      <c r="K671" s="1" t="n">
        <v>428</v>
      </c>
      <c r="M671" s="125" t="n">
        <f aca="false">Nominal_Activity[[#This Row],[Debit]]-Nominal_Activity[[#This Row],[Credit]]</f>
        <v>428</v>
      </c>
      <c r="N671" s="1" t="str">
        <f aca="false">IF(C671="","",IFERROR(VLOOKUP(C671,Master_Mappings!$A$4:$E$85,3,FALSE()),"UNMAPPED"))</f>
        <v>Financial Charges</v>
      </c>
      <c r="P671" s="1" t="str">
        <f aca="false">IF($C671="","",$C671&amp;"|"&amp;$E671&amp;"|"&amp;$M671&amp;"|"&amp;TEXT($G671,"yyyy-mm-dd")&amp;"|"&amp;LEFT($J671,40))</f>
        <v>7910|42239|428|2026-01-14|Bank Charges</v>
      </c>
      <c r="Q671" s="11" t="str">
        <f aca="false">IF(P671="","",IF(COUNTIF($P$2:$P$3000,P671)&gt;1,"DUPLICATE","OK"))</f>
        <v>OK</v>
      </c>
      <c r="R671" s="0" t="str">
        <f aca="false">IF($C671="","",IFERROR(VLOOKUP(--$C671,MM_Income!$Z$5:$AC$204,3,FALSE()),""))</f>
        <v>Excluded — Overhead (in fixed costs)</v>
      </c>
    </row>
    <row r="672" customFormat="false" ht="14.9" hidden="false" customHeight="false" outlineLevel="0" collapsed="false">
      <c r="A672" s="1" t="s">
        <v>49</v>
      </c>
      <c r="B672" s="1" t="s">
        <v>85</v>
      </c>
      <c r="C672" s="1" t="n">
        <v>7910</v>
      </c>
      <c r="D672" s="1" t="s">
        <v>762</v>
      </c>
      <c r="E672" s="1" t="n">
        <v>42240</v>
      </c>
      <c r="F672" s="1" t="s">
        <v>914</v>
      </c>
      <c r="G672" s="140" t="n">
        <v>46036</v>
      </c>
      <c r="H672" s="1" t="n">
        <v>1210</v>
      </c>
      <c r="J672" s="1" t="s">
        <v>762</v>
      </c>
      <c r="K672" s="1" t="n">
        <v>481.5</v>
      </c>
      <c r="M672" s="125" t="n">
        <f aca="false">Nominal_Activity[[#This Row],[Debit]]-Nominal_Activity[[#This Row],[Credit]]</f>
        <v>481.5</v>
      </c>
      <c r="N672" s="1" t="str">
        <f aca="false">IF(C672="","",IFERROR(VLOOKUP(C672,Master_Mappings!$A$4:$E$85,3,FALSE()),"UNMAPPED"))</f>
        <v>Financial Charges</v>
      </c>
      <c r="P672" s="1" t="str">
        <f aca="false">IF($C672="","",$C672&amp;"|"&amp;$E672&amp;"|"&amp;$M672&amp;"|"&amp;TEXT($G672,"yyyy-mm-dd")&amp;"|"&amp;LEFT($J672,40))</f>
        <v>7910|42240|481.5|2026-01-14|Bank Charges</v>
      </c>
      <c r="Q672" s="11" t="str">
        <f aca="false">IF(P672="","",IF(COUNTIF($P$2:$P$3000,P672)&gt;1,"DUPLICATE","OK"))</f>
        <v>OK</v>
      </c>
      <c r="R672" s="0" t="str">
        <f aca="false">IF($C672="","",IFERROR(VLOOKUP(--$C672,MM_Income!$Z$5:$AC$204,3,FALSE()),""))</f>
        <v>Excluded — Overhead (in fixed costs)</v>
      </c>
    </row>
    <row r="673" customFormat="false" ht="14.9" hidden="false" customHeight="false" outlineLevel="0" collapsed="false">
      <c r="A673" s="1" t="s">
        <v>49</v>
      </c>
      <c r="B673" s="1" t="s">
        <v>85</v>
      </c>
      <c r="C673" s="1" t="n">
        <v>7910</v>
      </c>
      <c r="D673" s="1" t="s">
        <v>762</v>
      </c>
      <c r="E673" s="1" t="n">
        <v>42242</v>
      </c>
      <c r="F673" s="1" t="s">
        <v>914</v>
      </c>
      <c r="G673" s="140" t="n">
        <v>46042</v>
      </c>
      <c r="H673" s="1" t="n">
        <v>1210</v>
      </c>
      <c r="J673" s="1" t="s">
        <v>762</v>
      </c>
      <c r="K673" s="1" t="n">
        <v>535</v>
      </c>
      <c r="M673" s="125" t="n">
        <f aca="false">Nominal_Activity[[#This Row],[Debit]]-Nominal_Activity[[#This Row],[Credit]]</f>
        <v>535</v>
      </c>
      <c r="N673" s="1" t="str">
        <f aca="false">IF(C673="","",IFERROR(VLOOKUP(C673,Master_Mappings!$A$4:$E$85,3,FALSE()),"UNMAPPED"))</f>
        <v>Financial Charges</v>
      </c>
      <c r="P673" s="1" t="str">
        <f aca="false">IF($C673="","",$C673&amp;"|"&amp;$E673&amp;"|"&amp;$M673&amp;"|"&amp;TEXT($G673,"yyyy-mm-dd")&amp;"|"&amp;LEFT($J673,40))</f>
        <v>7910|42242|535|2026-01-20|Bank Charges</v>
      </c>
      <c r="Q673" s="11" t="str">
        <f aca="false">IF(P673="","",IF(COUNTIF($P$2:$P$3000,P673)&gt;1,"DUPLICATE","OK"))</f>
        <v>OK</v>
      </c>
      <c r="R673" s="0" t="str">
        <f aca="false">IF($C673="","",IFERROR(VLOOKUP(--$C673,MM_Income!$Z$5:$AC$204,3,FALSE()),""))</f>
        <v>Excluded — Overhead (in fixed costs)</v>
      </c>
    </row>
    <row r="674" customFormat="false" ht="14.9" hidden="false" customHeight="false" outlineLevel="0" collapsed="false">
      <c r="A674" s="1" t="s">
        <v>49</v>
      </c>
      <c r="B674" s="1" t="s">
        <v>85</v>
      </c>
      <c r="C674" s="1" t="n">
        <v>7910</v>
      </c>
      <c r="D674" s="1" t="s">
        <v>762</v>
      </c>
      <c r="E674" s="1" t="n">
        <v>42249</v>
      </c>
      <c r="F674" s="1" t="s">
        <v>1209</v>
      </c>
      <c r="G674" s="140" t="n">
        <v>46045</v>
      </c>
      <c r="H674" s="1" t="s">
        <v>841</v>
      </c>
      <c r="I674" s="1" t="s">
        <v>1668</v>
      </c>
      <c r="J674" s="1" t="s">
        <v>1669</v>
      </c>
      <c r="K674" s="1" t="n">
        <v>294.25</v>
      </c>
      <c r="M674" s="125" t="n">
        <f aca="false">Nominal_Activity[[#This Row],[Debit]]-Nominal_Activity[[#This Row],[Credit]]</f>
        <v>294.25</v>
      </c>
      <c r="N674" s="1" t="str">
        <f aca="false">IF(C674="","",IFERROR(VLOOKUP(C674,Master_Mappings!$A$4:$E$85,3,FALSE()),"UNMAPPED"))</f>
        <v>Financial Charges</v>
      </c>
      <c r="P674" s="1" t="str">
        <f aca="false">IF($C674="","",$C674&amp;"|"&amp;$E674&amp;"|"&amp;$M674&amp;"|"&amp;TEXT($G674,"yyyy-mm-dd")&amp;"|"&amp;LEFT($J674,40))</f>
        <v>7910|42249|294.25|2026-01-23|Bank Charges on funds received</v>
      </c>
      <c r="Q674" s="11" t="str">
        <f aca="false">IF(P674="","",IF(COUNTIF($P$2:$P$3000,P674)&gt;1,"DUPLICATE","OK"))</f>
        <v>OK</v>
      </c>
      <c r="R674" s="0" t="str">
        <f aca="false">IF($C674="","",IFERROR(VLOOKUP(--$C674,MM_Income!$Z$5:$AC$204,3,FALSE()),""))</f>
        <v>Excluded — Overhead (in fixed costs)</v>
      </c>
    </row>
    <row r="675" customFormat="false" ht="14.9" hidden="false" customHeight="false" outlineLevel="0" collapsed="false">
      <c r="A675" s="1" t="s">
        <v>49</v>
      </c>
      <c r="B675" s="1" t="s">
        <v>85</v>
      </c>
      <c r="C675" s="1" t="n">
        <v>7910</v>
      </c>
      <c r="D675" s="1" t="s">
        <v>762</v>
      </c>
      <c r="E675" s="1" t="n">
        <v>42261</v>
      </c>
      <c r="F675" s="1" t="s">
        <v>914</v>
      </c>
      <c r="G675" s="140" t="n">
        <v>46036</v>
      </c>
      <c r="H675" s="1" t="n">
        <v>1200</v>
      </c>
      <c r="J675" s="1" t="s">
        <v>762</v>
      </c>
      <c r="K675" s="1" t="n">
        <v>20</v>
      </c>
      <c r="M675" s="125" t="n">
        <f aca="false">Nominal_Activity[[#This Row],[Debit]]-Nominal_Activity[[#This Row],[Credit]]</f>
        <v>20</v>
      </c>
      <c r="N675" s="1" t="str">
        <f aca="false">IF(C675="","",IFERROR(VLOOKUP(C675,Master_Mappings!$A$4:$E$85,3,FALSE()),"UNMAPPED"))</f>
        <v>Financial Charges</v>
      </c>
      <c r="P675" s="1" t="str">
        <f aca="false">IF($C675="","",$C675&amp;"|"&amp;$E675&amp;"|"&amp;$M675&amp;"|"&amp;TEXT($G675,"yyyy-mm-dd")&amp;"|"&amp;LEFT($J675,40))</f>
        <v>7910|42261|20|2026-01-14|Bank Charges</v>
      </c>
      <c r="Q675" s="11" t="str">
        <f aca="false">IF(P675="","",IF(COUNTIF($P$2:$P$3000,P675)&gt;1,"DUPLICATE","OK"))</f>
        <v>OK</v>
      </c>
      <c r="R675" s="0" t="str">
        <f aca="false">IF($C675="","",IFERROR(VLOOKUP(--$C675,MM_Income!$Z$5:$AC$204,3,FALSE()),""))</f>
        <v>Excluded — Overhead (in fixed costs)</v>
      </c>
    </row>
    <row r="676" customFormat="false" ht="14.9" hidden="false" customHeight="false" outlineLevel="0" collapsed="false">
      <c r="A676" s="1" t="s">
        <v>49</v>
      </c>
      <c r="B676" s="1" t="s">
        <v>85</v>
      </c>
      <c r="C676" s="1" t="n">
        <v>7910</v>
      </c>
      <c r="D676" s="1" t="s">
        <v>762</v>
      </c>
      <c r="E676" s="1" t="n">
        <v>42262</v>
      </c>
      <c r="F676" s="1" t="s">
        <v>914</v>
      </c>
      <c r="G676" s="140" t="n">
        <v>46036</v>
      </c>
      <c r="H676" s="1" t="n">
        <v>1200</v>
      </c>
      <c r="J676" s="1" t="s">
        <v>762</v>
      </c>
      <c r="K676" s="1" t="n">
        <v>16.65</v>
      </c>
      <c r="M676" s="125" t="n">
        <f aca="false">Nominal_Activity[[#This Row],[Debit]]-Nominal_Activity[[#This Row],[Credit]]</f>
        <v>16.65</v>
      </c>
      <c r="N676" s="1" t="str">
        <f aca="false">IF(C676="","",IFERROR(VLOOKUP(C676,Master_Mappings!$A$4:$E$85,3,FALSE()),"UNMAPPED"))</f>
        <v>Financial Charges</v>
      </c>
      <c r="P676" s="1" t="str">
        <f aca="false">IF($C676="","",$C676&amp;"|"&amp;$E676&amp;"|"&amp;$M676&amp;"|"&amp;TEXT($G676,"yyyy-mm-dd")&amp;"|"&amp;LEFT($J676,40))</f>
        <v>7910|42262|16.65|2026-01-14|Bank Charges</v>
      </c>
      <c r="Q676" s="11" t="str">
        <f aca="false">IF(P676="","",IF(COUNTIF($P$2:$P$3000,P676)&gt;1,"DUPLICATE","OK"))</f>
        <v>OK</v>
      </c>
      <c r="R676" s="0" t="str">
        <f aca="false">IF($C676="","",IFERROR(VLOOKUP(--$C676,MM_Income!$Z$5:$AC$204,3,FALSE()),""))</f>
        <v>Excluded — Overhead (in fixed costs)</v>
      </c>
    </row>
    <row r="677" customFormat="false" ht="14.9" hidden="false" customHeight="false" outlineLevel="0" collapsed="false">
      <c r="A677" s="1" t="s">
        <v>49</v>
      </c>
      <c r="B677" s="1" t="s">
        <v>85</v>
      </c>
      <c r="C677" s="1" t="n">
        <v>7910</v>
      </c>
      <c r="D677" s="1" t="s">
        <v>762</v>
      </c>
      <c r="E677" s="1" t="n">
        <v>42279</v>
      </c>
      <c r="F677" s="1" t="s">
        <v>914</v>
      </c>
      <c r="G677" s="140" t="n">
        <v>46037</v>
      </c>
      <c r="H677" s="1" t="n">
        <v>1200</v>
      </c>
      <c r="J677" s="1" t="s">
        <v>762</v>
      </c>
      <c r="K677" s="1" t="n">
        <v>17.85</v>
      </c>
      <c r="M677" s="125" t="n">
        <f aca="false">Nominal_Activity[[#This Row],[Debit]]-Nominal_Activity[[#This Row],[Credit]]</f>
        <v>17.85</v>
      </c>
      <c r="N677" s="1" t="str">
        <f aca="false">IF(C677="","",IFERROR(VLOOKUP(C677,Master_Mappings!$A$4:$E$85,3,FALSE()),"UNMAPPED"))</f>
        <v>Financial Charges</v>
      </c>
      <c r="P677" s="1" t="str">
        <f aca="false">IF($C677="","",$C677&amp;"|"&amp;$E677&amp;"|"&amp;$M677&amp;"|"&amp;TEXT($G677,"yyyy-mm-dd")&amp;"|"&amp;LEFT($J677,40))</f>
        <v>7910|42279|17.85|2026-01-15|Bank Charges</v>
      </c>
      <c r="Q677" s="11" t="str">
        <f aca="false">IF(P677="","",IF(COUNTIF($P$2:$P$3000,P677)&gt;1,"DUPLICATE","OK"))</f>
        <v>OK</v>
      </c>
      <c r="R677" s="0" t="str">
        <f aca="false">IF($C677="","",IFERROR(VLOOKUP(--$C677,MM_Income!$Z$5:$AC$204,3,FALSE()),""))</f>
        <v>Excluded — Overhead (in fixed costs)</v>
      </c>
    </row>
    <row r="678" customFormat="false" ht="14.9" hidden="false" customHeight="false" outlineLevel="0" collapsed="false">
      <c r="A678" s="1" t="s">
        <v>49</v>
      </c>
      <c r="B678" s="1" t="s">
        <v>85</v>
      </c>
      <c r="C678" s="1" t="n">
        <v>7910</v>
      </c>
      <c r="D678" s="1" t="s">
        <v>762</v>
      </c>
      <c r="E678" s="1" t="n">
        <v>42280</v>
      </c>
      <c r="F678" s="1" t="s">
        <v>914</v>
      </c>
      <c r="G678" s="140" t="n">
        <v>46043</v>
      </c>
      <c r="H678" s="1" t="n">
        <v>1200</v>
      </c>
      <c r="J678" s="1" t="s">
        <v>762</v>
      </c>
      <c r="K678" s="1" t="n">
        <v>5</v>
      </c>
      <c r="M678" s="125" t="n">
        <f aca="false">Nominal_Activity[[#This Row],[Debit]]-Nominal_Activity[[#This Row],[Credit]]</f>
        <v>5</v>
      </c>
      <c r="N678" s="1" t="str">
        <f aca="false">IF(C678="","",IFERROR(VLOOKUP(C678,Master_Mappings!$A$4:$E$85,3,FALSE()),"UNMAPPED"))</f>
        <v>Financial Charges</v>
      </c>
      <c r="P678" s="1" t="str">
        <f aca="false">IF($C678="","",$C678&amp;"|"&amp;$E678&amp;"|"&amp;$M678&amp;"|"&amp;TEXT($G678,"yyyy-mm-dd")&amp;"|"&amp;LEFT($J678,40))</f>
        <v>7910|42280|5|2026-01-21|Bank Charges</v>
      </c>
      <c r="Q678" s="11" t="str">
        <f aca="false">IF(P678="","",IF(COUNTIF($P$2:$P$3000,P678)&gt;1,"DUPLICATE","OK"))</f>
        <v>OK</v>
      </c>
      <c r="R678" s="0" t="str">
        <f aca="false">IF($C678="","",IFERROR(VLOOKUP(--$C678,MM_Income!$Z$5:$AC$204,3,FALSE()),""))</f>
        <v>Excluded — Overhead (in fixed costs)</v>
      </c>
    </row>
    <row r="679" customFormat="false" ht="14.9" hidden="false" customHeight="false" outlineLevel="0" collapsed="false">
      <c r="A679" s="1" t="s">
        <v>49</v>
      </c>
      <c r="B679" s="1" t="s">
        <v>85</v>
      </c>
      <c r="C679" s="1" t="n">
        <v>7910</v>
      </c>
      <c r="D679" s="1" t="s">
        <v>762</v>
      </c>
      <c r="E679" s="1" t="n">
        <v>42281</v>
      </c>
      <c r="F679" s="1" t="s">
        <v>914</v>
      </c>
      <c r="G679" s="140" t="n">
        <v>46043</v>
      </c>
      <c r="H679" s="1" t="n">
        <v>1200</v>
      </c>
      <c r="J679" s="1" t="s">
        <v>762</v>
      </c>
      <c r="K679" s="1" t="n">
        <v>7</v>
      </c>
      <c r="M679" s="125" t="n">
        <f aca="false">Nominal_Activity[[#This Row],[Debit]]-Nominal_Activity[[#This Row],[Credit]]</f>
        <v>7</v>
      </c>
      <c r="N679" s="1" t="str">
        <f aca="false">IF(C679="","",IFERROR(VLOOKUP(C679,Master_Mappings!$A$4:$E$85,3,FALSE()),"UNMAPPED"))</f>
        <v>Financial Charges</v>
      </c>
      <c r="P679" s="1" t="str">
        <f aca="false">IF($C679="","",$C679&amp;"|"&amp;$E679&amp;"|"&amp;$M679&amp;"|"&amp;TEXT($G679,"yyyy-mm-dd")&amp;"|"&amp;LEFT($J679,40))</f>
        <v>7910|42281|7|2026-01-21|Bank Charges</v>
      </c>
      <c r="Q679" s="11" t="str">
        <f aca="false">IF(P679="","",IF(COUNTIF($P$2:$P$3000,P679)&gt;1,"DUPLICATE","OK"))</f>
        <v>OK</v>
      </c>
      <c r="R679" s="0" t="str">
        <f aca="false">IF($C679="","",IFERROR(VLOOKUP(--$C679,MM_Income!$Z$5:$AC$204,3,FALSE()),""))</f>
        <v>Excluded — Overhead (in fixed costs)</v>
      </c>
    </row>
    <row r="680" customFormat="false" ht="14.9" hidden="false" customHeight="false" outlineLevel="0" collapsed="false">
      <c r="A680" s="1" t="s">
        <v>49</v>
      </c>
      <c r="B680" s="1" t="s">
        <v>85</v>
      </c>
      <c r="C680" s="1" t="n">
        <v>7910</v>
      </c>
      <c r="D680" s="1" t="s">
        <v>762</v>
      </c>
      <c r="E680" s="1" t="n">
        <v>42488</v>
      </c>
      <c r="F680" s="1" t="s">
        <v>914</v>
      </c>
      <c r="G680" s="140" t="n">
        <v>46044</v>
      </c>
      <c r="H680" s="1" t="n">
        <v>1200</v>
      </c>
      <c r="J680" s="1" t="s">
        <v>762</v>
      </c>
      <c r="K680" s="1" t="n">
        <v>20</v>
      </c>
      <c r="M680" s="125" t="n">
        <f aca="false">Nominal_Activity[[#This Row],[Debit]]-Nominal_Activity[[#This Row],[Credit]]</f>
        <v>20</v>
      </c>
      <c r="N680" s="1" t="str">
        <f aca="false">IF(C680="","",IFERROR(VLOOKUP(C680,Master_Mappings!$A$4:$E$85,3,FALSE()),"UNMAPPED"))</f>
        <v>Financial Charges</v>
      </c>
      <c r="P680" s="1" t="str">
        <f aca="false">IF($C680="","",$C680&amp;"|"&amp;$E680&amp;"|"&amp;$M680&amp;"|"&amp;TEXT($G680,"yyyy-mm-dd")&amp;"|"&amp;LEFT($J680,40))</f>
        <v>7910|42488|20|2026-01-22|Bank Charges</v>
      </c>
      <c r="Q680" s="11" t="str">
        <f aca="false">IF(P680="","",IF(COUNTIF($P$2:$P$3000,P680)&gt;1,"DUPLICATE","OK"))</f>
        <v>OK</v>
      </c>
      <c r="R680" s="0" t="str">
        <f aca="false">IF($C680="","",IFERROR(VLOOKUP(--$C680,MM_Income!$Z$5:$AC$204,3,FALSE()),""))</f>
        <v>Excluded — Overhead (in fixed costs)</v>
      </c>
    </row>
    <row r="681" customFormat="false" ht="14.9" hidden="false" customHeight="false" outlineLevel="0" collapsed="false">
      <c r="A681" s="1" t="s">
        <v>49</v>
      </c>
      <c r="B681" s="1" t="s">
        <v>85</v>
      </c>
      <c r="C681" s="1" t="n">
        <v>7910</v>
      </c>
      <c r="D681" s="1" t="s">
        <v>762</v>
      </c>
      <c r="E681" s="1" t="n">
        <v>42495</v>
      </c>
      <c r="F681" s="1" t="s">
        <v>914</v>
      </c>
      <c r="G681" s="140" t="n">
        <v>46050</v>
      </c>
      <c r="H681" s="1" t="n">
        <v>1200</v>
      </c>
      <c r="J681" s="1" t="s">
        <v>762</v>
      </c>
      <c r="K681" s="1" t="n">
        <v>20</v>
      </c>
      <c r="M681" s="125" t="n">
        <f aca="false">Nominal_Activity[[#This Row],[Debit]]-Nominal_Activity[[#This Row],[Credit]]</f>
        <v>20</v>
      </c>
      <c r="N681" s="1" t="str">
        <f aca="false">IF(C681="","",IFERROR(VLOOKUP(C681,Master_Mappings!$A$4:$E$85,3,FALSE()),"UNMAPPED"))</f>
        <v>Financial Charges</v>
      </c>
      <c r="P681" s="1" t="str">
        <f aca="false">IF($C681="","",$C681&amp;"|"&amp;$E681&amp;"|"&amp;$M681&amp;"|"&amp;TEXT($G681,"yyyy-mm-dd")&amp;"|"&amp;LEFT($J681,40))</f>
        <v>7910|42495|20|2026-01-28|Bank Charges</v>
      </c>
      <c r="Q681" s="11" t="str">
        <f aca="false">IF(P681="","",IF(COUNTIF($P$2:$P$3000,P681)&gt;1,"DUPLICATE","OK"))</f>
        <v>OK</v>
      </c>
      <c r="R681" s="0" t="str">
        <f aca="false">IF($C681="","",IFERROR(VLOOKUP(--$C681,MM_Income!$Z$5:$AC$204,3,FALSE()),""))</f>
        <v>Excluded — Overhead (in fixed costs)</v>
      </c>
    </row>
    <row r="682" customFormat="false" ht="14.9" hidden="false" customHeight="false" outlineLevel="0" collapsed="false">
      <c r="A682" s="1" t="s">
        <v>49</v>
      </c>
      <c r="B682" s="1" t="s">
        <v>85</v>
      </c>
      <c r="C682" s="1" t="n">
        <v>7910</v>
      </c>
      <c r="D682" s="1" t="s">
        <v>762</v>
      </c>
      <c r="E682" s="1" t="n">
        <v>42499</v>
      </c>
      <c r="F682" s="1" t="s">
        <v>914</v>
      </c>
      <c r="G682" s="140" t="n">
        <v>46052</v>
      </c>
      <c r="H682" s="1" t="n">
        <v>1200</v>
      </c>
      <c r="J682" s="1" t="s">
        <v>762</v>
      </c>
      <c r="K682" s="1" t="n">
        <v>60</v>
      </c>
      <c r="M682" s="125" t="n">
        <f aca="false">Nominal_Activity[[#This Row],[Debit]]-Nominal_Activity[[#This Row],[Credit]]</f>
        <v>60</v>
      </c>
      <c r="N682" s="1" t="str">
        <f aca="false">IF(C682="","",IFERROR(VLOOKUP(C682,Master_Mappings!$A$4:$E$85,3,FALSE()),"UNMAPPED"))</f>
        <v>Financial Charges</v>
      </c>
      <c r="P682" s="1" t="str">
        <f aca="false">IF($C682="","",$C682&amp;"|"&amp;$E682&amp;"|"&amp;$M682&amp;"|"&amp;TEXT($G682,"yyyy-mm-dd")&amp;"|"&amp;LEFT($J682,40))</f>
        <v>7910|42499|60|2026-01-30|Bank Charges</v>
      </c>
      <c r="Q682" s="11" t="str">
        <f aca="false">IF(P682="","",IF(COUNTIF($P$2:$P$3000,P682)&gt;1,"DUPLICATE","OK"))</f>
        <v>OK</v>
      </c>
      <c r="R682" s="0" t="str">
        <f aca="false">IF($C682="","",IFERROR(VLOOKUP(--$C682,MM_Income!$Z$5:$AC$204,3,FALSE()),""))</f>
        <v>Excluded — Overhead (in fixed costs)</v>
      </c>
    </row>
    <row r="683" customFormat="false" ht="14.9" hidden="false" customHeight="false" outlineLevel="0" collapsed="false">
      <c r="A683" s="1" t="s">
        <v>49</v>
      </c>
      <c r="B683" s="1" t="s">
        <v>85</v>
      </c>
      <c r="C683" s="1" t="n">
        <v>7910</v>
      </c>
      <c r="D683" s="1" t="s">
        <v>762</v>
      </c>
      <c r="E683" s="1" t="n">
        <v>42526</v>
      </c>
      <c r="F683" s="1" t="s">
        <v>869</v>
      </c>
      <c r="G683" s="140" t="n">
        <v>46042</v>
      </c>
      <c r="H683" s="1" t="n">
        <v>1230</v>
      </c>
      <c r="I683" s="1" t="s">
        <v>1504</v>
      </c>
      <c r="J683" s="1" t="s">
        <v>762</v>
      </c>
      <c r="K683" s="1" t="n">
        <v>0.32</v>
      </c>
      <c r="M683" s="125" t="n">
        <f aca="false">Nominal_Activity[[#This Row],[Debit]]-Nominal_Activity[[#This Row],[Credit]]</f>
        <v>0.32</v>
      </c>
      <c r="N683" s="1" t="str">
        <f aca="false">IF(C683="","",IFERROR(VLOOKUP(C683,Master_Mappings!$A$4:$E$85,3,FALSE()),"UNMAPPED"))</f>
        <v>Financial Charges</v>
      </c>
      <c r="P683" s="1" t="str">
        <f aca="false">IF($C683="","",$C683&amp;"|"&amp;$E683&amp;"|"&amp;$M683&amp;"|"&amp;TEXT($G683,"yyyy-mm-dd")&amp;"|"&amp;LEFT($J683,40))</f>
        <v>7910|42526|0.32|2026-01-20|Bank Charges</v>
      </c>
      <c r="Q683" s="11" t="str">
        <f aca="false">IF(P683="","",IF(COUNTIF($P$2:$P$3000,P683)&gt;1,"DUPLICATE","OK"))</f>
        <v>OK</v>
      </c>
      <c r="R683" s="0" t="str">
        <f aca="false">IF($C683="","",IFERROR(VLOOKUP(--$C683,MM_Income!$Z$5:$AC$204,3,FALSE()),""))</f>
        <v>Excluded — Overhead (in fixed costs)</v>
      </c>
    </row>
    <row r="684" customFormat="false" ht="14.9" hidden="false" customHeight="false" outlineLevel="0" collapsed="false">
      <c r="A684" s="1" t="s">
        <v>49</v>
      </c>
      <c r="B684" s="1" t="s">
        <v>85</v>
      </c>
      <c r="C684" s="1" t="n">
        <v>7910</v>
      </c>
      <c r="D684" s="1" t="s">
        <v>762</v>
      </c>
      <c r="E684" s="1" t="n">
        <v>42528</v>
      </c>
      <c r="F684" s="1" t="s">
        <v>869</v>
      </c>
      <c r="G684" s="140" t="n">
        <v>46043</v>
      </c>
      <c r="H684" s="1" t="n">
        <v>1230</v>
      </c>
      <c r="I684" s="1" t="s">
        <v>1479</v>
      </c>
      <c r="J684" s="1" t="s">
        <v>762</v>
      </c>
      <c r="K684" s="1" t="n">
        <v>0.67</v>
      </c>
      <c r="M684" s="125" t="n">
        <f aca="false">Nominal_Activity[[#This Row],[Debit]]-Nominal_Activity[[#This Row],[Credit]]</f>
        <v>0.67</v>
      </c>
      <c r="N684" s="1" t="str">
        <f aca="false">IF(C684="","",IFERROR(VLOOKUP(C684,Master_Mappings!$A$4:$E$85,3,FALSE()),"UNMAPPED"))</f>
        <v>Financial Charges</v>
      </c>
      <c r="P684" s="1" t="str">
        <f aca="false">IF($C684="","",$C684&amp;"|"&amp;$E684&amp;"|"&amp;$M684&amp;"|"&amp;TEXT($G684,"yyyy-mm-dd")&amp;"|"&amp;LEFT($J684,40))</f>
        <v>7910|42528|0.67|2026-01-21|Bank Charges</v>
      </c>
      <c r="Q684" s="11" t="str">
        <f aca="false">IF(P684="","",IF(COUNTIF($P$2:$P$3000,P684)&gt;1,"DUPLICATE","OK"))</f>
        <v>OK</v>
      </c>
      <c r="R684" s="0" t="str">
        <f aca="false">IF($C684="","",IFERROR(VLOOKUP(--$C684,MM_Income!$Z$5:$AC$204,3,FALSE()),""))</f>
        <v>Excluded — Overhead (in fixed costs)</v>
      </c>
    </row>
    <row r="685" customFormat="false" ht="14.9" hidden="false" customHeight="false" outlineLevel="0" collapsed="false">
      <c r="A685" s="1" t="s">
        <v>49</v>
      </c>
      <c r="B685" s="1" t="s">
        <v>85</v>
      </c>
      <c r="C685" s="1" t="n">
        <v>7910</v>
      </c>
      <c r="D685" s="1" t="s">
        <v>762</v>
      </c>
      <c r="E685" s="1" t="n">
        <v>42530</v>
      </c>
      <c r="F685" s="1" t="s">
        <v>869</v>
      </c>
      <c r="G685" s="140" t="n">
        <v>46043</v>
      </c>
      <c r="H685" s="1" t="n">
        <v>1230</v>
      </c>
      <c r="I685" s="1" t="s">
        <v>1372</v>
      </c>
      <c r="J685" s="1" t="s">
        <v>762</v>
      </c>
      <c r="K685" s="1" t="n">
        <v>3.37</v>
      </c>
      <c r="M685" s="125" t="n">
        <f aca="false">Nominal_Activity[[#This Row],[Debit]]-Nominal_Activity[[#This Row],[Credit]]</f>
        <v>3.37</v>
      </c>
      <c r="N685" s="1" t="str">
        <f aca="false">IF(C685="","",IFERROR(VLOOKUP(C685,Master_Mappings!$A$4:$E$85,3,FALSE()),"UNMAPPED"))</f>
        <v>Financial Charges</v>
      </c>
      <c r="P685" s="1" t="str">
        <f aca="false">IF($C685="","",$C685&amp;"|"&amp;$E685&amp;"|"&amp;$M685&amp;"|"&amp;TEXT($G685,"yyyy-mm-dd")&amp;"|"&amp;LEFT($J685,40))</f>
        <v>7910|42530|3.37|2026-01-21|Bank Charges</v>
      </c>
      <c r="Q685" s="11" t="str">
        <f aca="false">IF(P685="","",IF(COUNTIF($P$2:$P$3000,P685)&gt;1,"DUPLICATE","OK"))</f>
        <v>OK</v>
      </c>
      <c r="R685" s="0" t="str">
        <f aca="false">IF($C685="","",IFERROR(VLOOKUP(--$C685,MM_Income!$Z$5:$AC$204,3,FALSE()),""))</f>
        <v>Excluded — Overhead (in fixed costs)</v>
      </c>
    </row>
    <row r="686" customFormat="false" ht="14.9" hidden="false" customHeight="false" outlineLevel="0" collapsed="false">
      <c r="A686" s="1" t="s">
        <v>49</v>
      </c>
      <c r="B686" s="1" t="s">
        <v>85</v>
      </c>
      <c r="C686" s="1" t="n">
        <v>7910</v>
      </c>
      <c r="D686" s="1" t="s">
        <v>762</v>
      </c>
      <c r="E686" s="1" t="n">
        <v>42532</v>
      </c>
      <c r="F686" s="1" t="s">
        <v>869</v>
      </c>
      <c r="G686" s="140" t="n">
        <v>46043</v>
      </c>
      <c r="H686" s="1" t="n">
        <v>1230</v>
      </c>
      <c r="I686" s="1" t="s">
        <v>1481</v>
      </c>
      <c r="J686" s="1" t="s">
        <v>762</v>
      </c>
      <c r="K686" s="1" t="n">
        <v>15.22</v>
      </c>
      <c r="M686" s="125" t="n">
        <f aca="false">Nominal_Activity[[#This Row],[Debit]]-Nominal_Activity[[#This Row],[Credit]]</f>
        <v>15.22</v>
      </c>
      <c r="N686" s="1" t="str">
        <f aca="false">IF(C686="","",IFERROR(VLOOKUP(C686,Master_Mappings!$A$4:$E$85,3,FALSE()),"UNMAPPED"))</f>
        <v>Financial Charges</v>
      </c>
      <c r="P686" s="1" t="str">
        <f aca="false">IF($C686="","",$C686&amp;"|"&amp;$E686&amp;"|"&amp;$M686&amp;"|"&amp;TEXT($G686,"yyyy-mm-dd")&amp;"|"&amp;LEFT($J686,40))</f>
        <v>7910|42532|15.22|2026-01-21|Bank Charges</v>
      </c>
      <c r="Q686" s="11" t="str">
        <f aca="false">IF(P686="","",IF(COUNTIF($P$2:$P$3000,P686)&gt;1,"DUPLICATE","OK"))</f>
        <v>OK</v>
      </c>
      <c r="R686" s="0" t="str">
        <f aca="false">IF($C686="","",IFERROR(VLOOKUP(--$C686,MM_Income!$Z$5:$AC$204,3,FALSE()),""))</f>
        <v>Excluded — Overhead (in fixed costs)</v>
      </c>
    </row>
    <row r="687" customFormat="false" ht="14.9" hidden="false" customHeight="false" outlineLevel="0" collapsed="false">
      <c r="A687" s="1" t="s">
        <v>49</v>
      </c>
      <c r="B687" s="1" t="s">
        <v>85</v>
      </c>
      <c r="C687" s="1" t="n">
        <v>7910</v>
      </c>
      <c r="D687" s="1" t="s">
        <v>762</v>
      </c>
      <c r="E687" s="1" t="n">
        <v>42534</v>
      </c>
      <c r="F687" s="1" t="s">
        <v>869</v>
      </c>
      <c r="G687" s="140" t="n">
        <v>46044</v>
      </c>
      <c r="H687" s="1" t="n">
        <v>1230</v>
      </c>
      <c r="I687" s="1" t="s">
        <v>1483</v>
      </c>
      <c r="J687" s="1" t="s">
        <v>762</v>
      </c>
      <c r="K687" s="1" t="n">
        <v>15.9</v>
      </c>
      <c r="M687" s="125" t="n">
        <f aca="false">Nominal_Activity[[#This Row],[Debit]]-Nominal_Activity[[#This Row],[Credit]]</f>
        <v>15.9</v>
      </c>
      <c r="N687" s="1" t="str">
        <f aca="false">IF(C687="","",IFERROR(VLOOKUP(C687,Master_Mappings!$A$4:$E$85,3,FALSE()),"UNMAPPED"))</f>
        <v>Financial Charges</v>
      </c>
      <c r="P687" s="1" t="str">
        <f aca="false">IF($C687="","",$C687&amp;"|"&amp;$E687&amp;"|"&amp;$M687&amp;"|"&amp;TEXT($G687,"yyyy-mm-dd")&amp;"|"&amp;LEFT($J687,40))</f>
        <v>7910|42534|15.9|2026-01-22|Bank Charges</v>
      </c>
      <c r="Q687" s="11" t="str">
        <f aca="false">IF(P687="","",IF(COUNTIF($P$2:$P$3000,P687)&gt;1,"DUPLICATE","OK"))</f>
        <v>OK</v>
      </c>
      <c r="R687" s="0" t="str">
        <f aca="false">IF($C687="","",IFERROR(VLOOKUP(--$C687,MM_Income!$Z$5:$AC$204,3,FALSE()),""))</f>
        <v>Excluded — Overhead (in fixed costs)</v>
      </c>
    </row>
    <row r="688" customFormat="false" ht="14.9" hidden="false" customHeight="false" outlineLevel="0" collapsed="false">
      <c r="A688" s="1" t="s">
        <v>49</v>
      </c>
      <c r="B688" s="1" t="s">
        <v>85</v>
      </c>
      <c r="C688" s="1" t="n">
        <v>7910</v>
      </c>
      <c r="D688" s="1" t="s">
        <v>762</v>
      </c>
      <c r="E688" s="1" t="n">
        <v>42536</v>
      </c>
      <c r="F688" s="1" t="s">
        <v>869</v>
      </c>
      <c r="G688" s="140" t="n">
        <v>46045</v>
      </c>
      <c r="H688" s="1" t="n">
        <v>1230</v>
      </c>
      <c r="I688" s="1" t="s">
        <v>1485</v>
      </c>
      <c r="J688" s="1" t="s">
        <v>762</v>
      </c>
      <c r="K688" s="1" t="n">
        <v>26.25</v>
      </c>
      <c r="M688" s="125" t="n">
        <f aca="false">Nominal_Activity[[#This Row],[Debit]]-Nominal_Activity[[#This Row],[Credit]]</f>
        <v>26.25</v>
      </c>
      <c r="N688" s="1" t="str">
        <f aca="false">IF(C688="","",IFERROR(VLOOKUP(C688,Master_Mappings!$A$4:$E$85,3,FALSE()),"UNMAPPED"))</f>
        <v>Financial Charges</v>
      </c>
      <c r="P688" s="1" t="str">
        <f aca="false">IF($C688="","",$C688&amp;"|"&amp;$E688&amp;"|"&amp;$M688&amp;"|"&amp;TEXT($G688,"yyyy-mm-dd")&amp;"|"&amp;LEFT($J688,40))</f>
        <v>7910|42536|26.25|2026-01-23|Bank Charges</v>
      </c>
      <c r="Q688" s="11" t="str">
        <f aca="false">IF(P688="","",IF(COUNTIF($P$2:$P$3000,P688)&gt;1,"DUPLICATE","OK"))</f>
        <v>OK</v>
      </c>
      <c r="R688" s="0" t="str">
        <f aca="false">IF($C688="","",IFERROR(VLOOKUP(--$C688,MM_Income!$Z$5:$AC$204,3,FALSE()),""))</f>
        <v>Excluded — Overhead (in fixed costs)</v>
      </c>
    </row>
    <row r="689" customFormat="false" ht="14.9" hidden="false" customHeight="false" outlineLevel="0" collapsed="false">
      <c r="A689" s="1" t="s">
        <v>49</v>
      </c>
      <c r="B689" s="1" t="s">
        <v>85</v>
      </c>
      <c r="C689" s="1" t="n">
        <v>7910</v>
      </c>
      <c r="D689" s="1" t="s">
        <v>762</v>
      </c>
      <c r="E689" s="1" t="n">
        <v>42539</v>
      </c>
      <c r="F689" s="1" t="s">
        <v>869</v>
      </c>
      <c r="G689" s="140" t="n">
        <v>46049</v>
      </c>
      <c r="H689" s="1" t="n">
        <v>1230</v>
      </c>
      <c r="I689" s="1" t="s">
        <v>1472</v>
      </c>
      <c r="J689" s="1" t="s">
        <v>762</v>
      </c>
      <c r="K689" s="1" t="n">
        <v>10</v>
      </c>
      <c r="M689" s="125" t="n">
        <f aca="false">Nominal_Activity[[#This Row],[Debit]]-Nominal_Activity[[#This Row],[Credit]]</f>
        <v>10</v>
      </c>
      <c r="N689" s="1" t="str">
        <f aca="false">IF(C689="","",IFERROR(VLOOKUP(C689,Master_Mappings!$A$4:$E$85,3,FALSE()),"UNMAPPED"))</f>
        <v>Financial Charges</v>
      </c>
      <c r="P689" s="1" t="str">
        <f aca="false">IF($C689="","",$C689&amp;"|"&amp;$E689&amp;"|"&amp;$M689&amp;"|"&amp;TEXT($G689,"yyyy-mm-dd")&amp;"|"&amp;LEFT($J689,40))</f>
        <v>7910|42539|10|2026-01-27|Bank Charges</v>
      </c>
      <c r="Q689" s="11" t="str">
        <f aca="false">IF(P689="","",IF(COUNTIF($P$2:$P$3000,P689)&gt;1,"DUPLICATE","OK"))</f>
        <v>OK</v>
      </c>
      <c r="R689" s="0" t="str">
        <f aca="false">IF($C689="","",IFERROR(VLOOKUP(--$C689,MM_Income!$Z$5:$AC$204,3,FALSE()),""))</f>
        <v>Excluded — Overhead (in fixed costs)</v>
      </c>
    </row>
    <row r="690" customFormat="false" ht="14.9" hidden="false" customHeight="false" outlineLevel="0" collapsed="false">
      <c r="A690" s="1" t="s">
        <v>49</v>
      </c>
      <c r="B690" s="1" t="s">
        <v>85</v>
      </c>
      <c r="C690" s="1" t="n">
        <v>7910</v>
      </c>
      <c r="D690" s="1" t="s">
        <v>762</v>
      </c>
      <c r="E690" s="1" t="n">
        <v>42544</v>
      </c>
      <c r="F690" s="1" t="s">
        <v>869</v>
      </c>
      <c r="G690" s="140" t="n">
        <v>46055</v>
      </c>
      <c r="H690" s="1" t="n">
        <v>1230</v>
      </c>
      <c r="I690" s="1" t="s">
        <v>1270</v>
      </c>
      <c r="J690" s="1" t="s">
        <v>762</v>
      </c>
      <c r="K690" s="1" t="n">
        <v>1.02</v>
      </c>
      <c r="M690" s="125" t="n">
        <f aca="false">Nominal_Activity[[#This Row],[Debit]]-Nominal_Activity[[#This Row],[Credit]]</f>
        <v>1.02</v>
      </c>
      <c r="N690" s="1" t="str">
        <f aca="false">IF(C690="","",IFERROR(VLOOKUP(C690,Master_Mappings!$A$4:$E$85,3,FALSE()),"UNMAPPED"))</f>
        <v>Financial Charges</v>
      </c>
      <c r="P690" s="1" t="str">
        <f aca="false">IF($C690="","",$C690&amp;"|"&amp;$E690&amp;"|"&amp;$M690&amp;"|"&amp;TEXT($G690,"yyyy-mm-dd")&amp;"|"&amp;LEFT($J690,40))</f>
        <v>7910|42544|1.02|2026-02-02|Bank Charges</v>
      </c>
      <c r="Q690" s="11" t="str">
        <f aca="false">IF(P690="","",IF(COUNTIF($P$2:$P$3000,P690)&gt;1,"DUPLICATE","OK"))</f>
        <v>OK</v>
      </c>
      <c r="R690" s="0" t="str">
        <f aca="false">IF($C690="","",IFERROR(VLOOKUP(--$C690,MM_Income!$Z$5:$AC$204,3,FALSE()),""))</f>
        <v>Excluded — Overhead (in fixed costs)</v>
      </c>
    </row>
    <row r="691" customFormat="false" ht="14.9" hidden="false" customHeight="false" outlineLevel="0" collapsed="false">
      <c r="A691" s="1" t="s">
        <v>49</v>
      </c>
      <c r="B691" s="1" t="s">
        <v>85</v>
      </c>
      <c r="C691" s="1" t="n">
        <v>7910</v>
      </c>
      <c r="D691" s="1" t="s">
        <v>762</v>
      </c>
      <c r="E691" s="1" t="n">
        <v>42546</v>
      </c>
      <c r="F691" s="1" t="s">
        <v>869</v>
      </c>
      <c r="G691" s="140" t="n">
        <v>46059</v>
      </c>
      <c r="H691" s="1" t="n">
        <v>1230</v>
      </c>
      <c r="I691" s="1" t="s">
        <v>1629</v>
      </c>
      <c r="J691" s="1" t="s">
        <v>762</v>
      </c>
      <c r="K691" s="1" t="n">
        <v>2.52</v>
      </c>
      <c r="M691" s="125" t="n">
        <f aca="false">Nominal_Activity[[#This Row],[Debit]]-Nominal_Activity[[#This Row],[Credit]]</f>
        <v>2.52</v>
      </c>
      <c r="N691" s="1" t="str">
        <f aca="false">IF(C691="","",IFERROR(VLOOKUP(C691,Master_Mappings!$A$4:$E$85,3,FALSE()),"UNMAPPED"))</f>
        <v>Financial Charges</v>
      </c>
      <c r="P691" s="1" t="str">
        <f aca="false">IF($C691="","",$C691&amp;"|"&amp;$E691&amp;"|"&amp;$M691&amp;"|"&amp;TEXT($G691,"yyyy-mm-dd")&amp;"|"&amp;LEFT($J691,40))</f>
        <v>7910|42546|2.52|2026-02-06|Bank Charges</v>
      </c>
      <c r="Q691" s="11" t="str">
        <f aca="false">IF(P691="","",IF(COUNTIF($P$2:$P$3000,P691)&gt;1,"DUPLICATE","OK"))</f>
        <v>OK</v>
      </c>
      <c r="R691" s="0" t="str">
        <f aca="false">IF($C691="","",IFERROR(VLOOKUP(--$C691,MM_Income!$Z$5:$AC$204,3,FALSE()),""))</f>
        <v>Excluded — Overhead (in fixed costs)</v>
      </c>
    </row>
    <row r="692" customFormat="false" ht="14.9" hidden="false" customHeight="false" outlineLevel="0" collapsed="false">
      <c r="A692" s="1" t="s">
        <v>49</v>
      </c>
      <c r="B692" s="1" t="s">
        <v>85</v>
      </c>
      <c r="C692" s="1" t="n">
        <v>7910</v>
      </c>
      <c r="D692" s="1" t="s">
        <v>762</v>
      </c>
      <c r="E692" s="1" t="n">
        <v>42548</v>
      </c>
      <c r="F692" s="1" t="s">
        <v>869</v>
      </c>
      <c r="G692" s="140" t="n">
        <v>46062</v>
      </c>
      <c r="H692" s="1" t="n">
        <v>1230</v>
      </c>
      <c r="I692" s="1" t="s">
        <v>1506</v>
      </c>
      <c r="J692" s="1" t="s">
        <v>762</v>
      </c>
      <c r="K692" s="1" t="n">
        <v>1.09</v>
      </c>
      <c r="M692" s="125" t="n">
        <f aca="false">Nominal_Activity[[#This Row],[Debit]]-Nominal_Activity[[#This Row],[Credit]]</f>
        <v>1.09</v>
      </c>
      <c r="N692" s="1" t="str">
        <f aca="false">IF(C692="","",IFERROR(VLOOKUP(C692,Master_Mappings!$A$4:$E$85,3,FALSE()),"UNMAPPED"))</f>
        <v>Financial Charges</v>
      </c>
      <c r="P692" s="1" t="str">
        <f aca="false">IF($C692="","",$C692&amp;"|"&amp;$E692&amp;"|"&amp;$M692&amp;"|"&amp;TEXT($G692,"yyyy-mm-dd")&amp;"|"&amp;LEFT($J692,40))</f>
        <v>7910|42548|1.09|2026-02-09|Bank Charges</v>
      </c>
      <c r="Q692" s="11" t="str">
        <f aca="false">IF(P692="","",IF(COUNTIF($P$2:$P$3000,P692)&gt;1,"DUPLICATE","OK"))</f>
        <v>OK</v>
      </c>
      <c r="R692" s="0" t="str">
        <f aca="false">IF($C692="","",IFERROR(VLOOKUP(--$C692,MM_Income!$Z$5:$AC$204,3,FALSE()),""))</f>
        <v>Excluded — Overhead (in fixed costs)</v>
      </c>
    </row>
    <row r="693" customFormat="false" ht="14.9" hidden="false" customHeight="false" outlineLevel="0" collapsed="false">
      <c r="A693" s="1" t="s">
        <v>49</v>
      </c>
      <c r="B693" s="1" t="s">
        <v>85</v>
      </c>
      <c r="C693" s="1" t="n">
        <v>7910</v>
      </c>
      <c r="D693" s="1" t="s">
        <v>762</v>
      </c>
      <c r="E693" s="1" t="n">
        <v>42550</v>
      </c>
      <c r="F693" s="1" t="s">
        <v>869</v>
      </c>
      <c r="G693" s="140" t="n">
        <v>46063</v>
      </c>
      <c r="H693" s="1" t="n">
        <v>1230</v>
      </c>
      <c r="I693" s="1" t="s">
        <v>1374</v>
      </c>
      <c r="J693" s="1" t="s">
        <v>762</v>
      </c>
      <c r="K693" s="1" t="n">
        <v>12.71</v>
      </c>
      <c r="M693" s="125" t="n">
        <f aca="false">Nominal_Activity[[#This Row],[Debit]]-Nominal_Activity[[#This Row],[Credit]]</f>
        <v>12.71</v>
      </c>
      <c r="N693" s="1" t="str">
        <f aca="false">IF(C693="","",IFERROR(VLOOKUP(C693,Master_Mappings!$A$4:$E$85,3,FALSE()),"UNMAPPED"))</f>
        <v>Financial Charges</v>
      </c>
      <c r="P693" s="1" t="str">
        <f aca="false">IF($C693="","",$C693&amp;"|"&amp;$E693&amp;"|"&amp;$M693&amp;"|"&amp;TEXT($G693,"yyyy-mm-dd")&amp;"|"&amp;LEFT($J693,40))</f>
        <v>7910|42550|12.71|2026-02-10|Bank Charges</v>
      </c>
      <c r="Q693" s="11" t="str">
        <f aca="false">IF(P693="","",IF(COUNTIF($P$2:$P$3000,P693)&gt;1,"DUPLICATE","OK"))</f>
        <v>OK</v>
      </c>
      <c r="R693" s="0" t="str">
        <f aca="false">IF($C693="","",IFERROR(VLOOKUP(--$C693,MM_Income!$Z$5:$AC$204,3,FALSE()),""))</f>
        <v>Excluded — Overhead (in fixed costs)</v>
      </c>
    </row>
    <row r="694" customFormat="false" ht="14.9" hidden="false" customHeight="false" outlineLevel="0" collapsed="false">
      <c r="A694" s="1" t="s">
        <v>49</v>
      </c>
      <c r="B694" s="1" t="s">
        <v>85</v>
      </c>
      <c r="C694" s="1" t="n">
        <v>7910</v>
      </c>
      <c r="D694" s="1" t="s">
        <v>762</v>
      </c>
      <c r="E694" s="1" t="n">
        <v>42552</v>
      </c>
      <c r="F694" s="1" t="s">
        <v>869</v>
      </c>
      <c r="G694" s="140" t="n">
        <v>46064</v>
      </c>
      <c r="H694" s="1" t="n">
        <v>1230</v>
      </c>
      <c r="I694" s="1" t="s">
        <v>1376</v>
      </c>
      <c r="J694" s="1" t="s">
        <v>762</v>
      </c>
      <c r="K694" s="1" t="n">
        <v>3.37</v>
      </c>
      <c r="M694" s="125" t="n">
        <f aca="false">Nominal_Activity[[#This Row],[Debit]]-Nominal_Activity[[#This Row],[Credit]]</f>
        <v>3.37</v>
      </c>
      <c r="N694" s="1" t="str">
        <f aca="false">IF(C694="","",IFERROR(VLOOKUP(C694,Master_Mappings!$A$4:$E$85,3,FALSE()),"UNMAPPED"))</f>
        <v>Financial Charges</v>
      </c>
      <c r="P694" s="1" t="str">
        <f aca="false">IF($C694="","",$C694&amp;"|"&amp;$E694&amp;"|"&amp;$M694&amp;"|"&amp;TEXT($G694,"yyyy-mm-dd")&amp;"|"&amp;LEFT($J694,40))</f>
        <v>7910|42552|3.37|2026-02-11|Bank Charges</v>
      </c>
      <c r="Q694" s="11" t="str">
        <f aca="false">IF(P694="","",IF(COUNTIF($P$2:$P$3000,P694)&gt;1,"DUPLICATE","OK"))</f>
        <v>OK</v>
      </c>
      <c r="R694" s="0" t="str">
        <f aca="false">IF($C694="","",IFERROR(VLOOKUP(--$C694,MM_Income!$Z$5:$AC$204,3,FALSE()),""))</f>
        <v>Excluded — Overhead (in fixed costs)</v>
      </c>
    </row>
    <row r="695" customFormat="false" ht="14.9" hidden="false" customHeight="false" outlineLevel="0" collapsed="false">
      <c r="A695" s="1" t="s">
        <v>49</v>
      </c>
      <c r="B695" s="1" t="s">
        <v>85</v>
      </c>
      <c r="C695" s="1" t="n">
        <v>7910</v>
      </c>
      <c r="D695" s="1" t="s">
        <v>762</v>
      </c>
      <c r="E695" s="1" t="n">
        <v>42554</v>
      </c>
      <c r="F695" s="1" t="s">
        <v>869</v>
      </c>
      <c r="G695" s="140" t="n">
        <v>46065</v>
      </c>
      <c r="H695" s="1" t="n">
        <v>1230</v>
      </c>
      <c r="I695" s="1" t="s">
        <v>1272</v>
      </c>
      <c r="J695" s="1" t="s">
        <v>762</v>
      </c>
      <c r="K695" s="1" t="n">
        <v>11.88</v>
      </c>
      <c r="M695" s="125" t="n">
        <f aca="false">Nominal_Activity[[#This Row],[Debit]]-Nominal_Activity[[#This Row],[Credit]]</f>
        <v>11.88</v>
      </c>
      <c r="N695" s="1" t="str">
        <f aca="false">IF(C695="","",IFERROR(VLOOKUP(C695,Master_Mappings!$A$4:$E$85,3,FALSE()),"UNMAPPED"))</f>
        <v>Financial Charges</v>
      </c>
      <c r="P695" s="1" t="str">
        <f aca="false">IF($C695="","",$C695&amp;"|"&amp;$E695&amp;"|"&amp;$M695&amp;"|"&amp;TEXT($G695,"yyyy-mm-dd")&amp;"|"&amp;LEFT($J695,40))</f>
        <v>7910|42554|11.88|2026-02-12|Bank Charges</v>
      </c>
      <c r="Q695" s="11" t="str">
        <f aca="false">IF(P695="","",IF(COUNTIF($P$2:$P$3000,P695)&gt;1,"DUPLICATE","OK"))</f>
        <v>OK</v>
      </c>
      <c r="R695" s="0" t="str">
        <f aca="false">IF($C695="","",IFERROR(VLOOKUP(--$C695,MM_Income!$Z$5:$AC$204,3,FALSE()),""))</f>
        <v>Excluded — Overhead (in fixed costs)</v>
      </c>
    </row>
    <row r="696" customFormat="false" ht="14.9" hidden="false" customHeight="false" outlineLevel="0" collapsed="false">
      <c r="A696" s="1" t="s">
        <v>49</v>
      </c>
      <c r="B696" s="1" t="s">
        <v>85</v>
      </c>
      <c r="C696" s="1" t="n">
        <v>7910</v>
      </c>
      <c r="D696" s="1" t="s">
        <v>762</v>
      </c>
      <c r="E696" s="1" t="n">
        <v>42558</v>
      </c>
      <c r="F696" s="1" t="s">
        <v>869</v>
      </c>
      <c r="G696" s="140" t="n">
        <v>46065</v>
      </c>
      <c r="H696" s="1" t="n">
        <v>1230</v>
      </c>
      <c r="J696" s="1" t="s">
        <v>762</v>
      </c>
      <c r="K696" s="1" t="n">
        <v>3.17</v>
      </c>
      <c r="M696" s="125" t="n">
        <f aca="false">Nominal_Activity[[#This Row],[Debit]]-Nominal_Activity[[#This Row],[Credit]]</f>
        <v>3.17</v>
      </c>
      <c r="N696" s="1" t="str">
        <f aca="false">IF(C696="","",IFERROR(VLOOKUP(C696,Master_Mappings!$A$4:$E$85,3,FALSE()),"UNMAPPED"))</f>
        <v>Financial Charges</v>
      </c>
      <c r="P696" s="1" t="str">
        <f aca="false">IF($C696="","",$C696&amp;"|"&amp;$E696&amp;"|"&amp;$M696&amp;"|"&amp;TEXT($G696,"yyyy-mm-dd")&amp;"|"&amp;LEFT($J696,40))</f>
        <v>7910|42558|3.17|2026-02-12|Bank Charges</v>
      </c>
      <c r="Q696" s="11" t="str">
        <f aca="false">IF(P696="","",IF(COUNTIF($P$2:$P$3000,P696)&gt;1,"DUPLICATE","OK"))</f>
        <v>OK</v>
      </c>
      <c r="R696" s="0" t="str">
        <f aca="false">IF($C696="","",IFERROR(VLOOKUP(--$C696,MM_Income!$Z$5:$AC$204,3,FALSE()),""))</f>
        <v>Excluded — Overhead (in fixed costs)</v>
      </c>
    </row>
    <row r="697" customFormat="false" ht="14.9" hidden="false" customHeight="false" outlineLevel="0" collapsed="false">
      <c r="A697" s="1" t="s">
        <v>49</v>
      </c>
      <c r="B697" s="1" t="s">
        <v>85</v>
      </c>
      <c r="C697" s="1" t="n">
        <v>7910</v>
      </c>
      <c r="D697" s="1" t="s">
        <v>762</v>
      </c>
      <c r="E697" s="1" t="n">
        <v>42703</v>
      </c>
      <c r="F697" s="1" t="s">
        <v>914</v>
      </c>
      <c r="G697" s="140" t="n">
        <v>46069</v>
      </c>
      <c r="H697" s="1" t="n">
        <v>1210</v>
      </c>
      <c r="J697" s="1" t="s">
        <v>762</v>
      </c>
      <c r="K697" s="1" t="n">
        <v>428</v>
      </c>
      <c r="M697" s="125" t="n">
        <f aca="false">Nominal_Activity[[#This Row],[Debit]]-Nominal_Activity[[#This Row],[Credit]]</f>
        <v>428</v>
      </c>
      <c r="N697" s="1" t="str">
        <f aca="false">IF(C697="","",IFERROR(VLOOKUP(C697,Master_Mappings!$A$4:$E$85,3,FALSE()),"UNMAPPED"))</f>
        <v>Financial Charges</v>
      </c>
      <c r="P697" s="1" t="str">
        <f aca="false">IF($C697="","",$C697&amp;"|"&amp;$E697&amp;"|"&amp;$M697&amp;"|"&amp;TEXT($G697,"yyyy-mm-dd")&amp;"|"&amp;LEFT($J697,40))</f>
        <v>7910|42703|428|2026-02-16|Bank Charges</v>
      </c>
      <c r="Q697" s="11" t="str">
        <f aca="false">IF(P697="","",IF(COUNTIF($P$2:$P$3000,P697)&gt;1,"DUPLICATE","OK"))</f>
        <v>OK</v>
      </c>
      <c r="R697" s="0" t="str">
        <f aca="false">IF($C697="","",IFERROR(VLOOKUP(--$C697,MM_Income!$Z$5:$AC$204,3,FALSE()),""))</f>
        <v>Excluded — Overhead (in fixed costs)</v>
      </c>
    </row>
    <row r="698" customFormat="false" ht="14.9" hidden="false" customHeight="false" outlineLevel="0" collapsed="false">
      <c r="A698" s="1" t="s">
        <v>49</v>
      </c>
      <c r="B698" s="1" t="s">
        <v>85</v>
      </c>
      <c r="C698" s="1" t="n">
        <v>7910</v>
      </c>
      <c r="D698" s="1" t="s">
        <v>762</v>
      </c>
      <c r="E698" s="1" t="n">
        <v>42704</v>
      </c>
      <c r="F698" s="1" t="s">
        <v>914</v>
      </c>
      <c r="G698" s="140" t="n">
        <v>46069</v>
      </c>
      <c r="H698" s="1" t="n">
        <v>1210</v>
      </c>
      <c r="J698" s="1" t="s">
        <v>762</v>
      </c>
      <c r="K698" s="1" t="n">
        <v>481.5</v>
      </c>
      <c r="M698" s="125" t="n">
        <f aca="false">Nominal_Activity[[#This Row],[Debit]]-Nominal_Activity[[#This Row],[Credit]]</f>
        <v>481.5</v>
      </c>
      <c r="N698" s="1" t="str">
        <f aca="false">IF(C698="","",IFERROR(VLOOKUP(C698,Master_Mappings!$A$4:$E$85,3,FALSE()),"UNMAPPED"))</f>
        <v>Financial Charges</v>
      </c>
      <c r="P698" s="1" t="str">
        <f aca="false">IF($C698="","",$C698&amp;"|"&amp;$E698&amp;"|"&amp;$M698&amp;"|"&amp;TEXT($G698,"yyyy-mm-dd")&amp;"|"&amp;LEFT($J698,40))</f>
        <v>7910|42704|481.5|2026-02-16|Bank Charges</v>
      </c>
      <c r="Q698" s="11" t="str">
        <f aca="false">IF(P698="","",IF(COUNTIF($P$2:$P$3000,P698)&gt;1,"DUPLICATE","OK"))</f>
        <v>OK</v>
      </c>
      <c r="R698" s="0" t="str">
        <f aca="false">IF($C698="","",IFERROR(VLOOKUP(--$C698,MM_Income!$Z$5:$AC$204,3,FALSE()),""))</f>
        <v>Excluded — Overhead (in fixed costs)</v>
      </c>
    </row>
    <row r="699" customFormat="false" ht="14.9" hidden="false" customHeight="false" outlineLevel="0" collapsed="false">
      <c r="A699" s="1" t="s">
        <v>49</v>
      </c>
      <c r="B699" s="1" t="s">
        <v>85</v>
      </c>
      <c r="C699" s="1" t="n">
        <v>7910</v>
      </c>
      <c r="D699" s="1" t="s">
        <v>762</v>
      </c>
      <c r="E699" s="1" t="n">
        <v>42705</v>
      </c>
      <c r="F699" s="1" t="s">
        <v>914</v>
      </c>
      <c r="G699" s="140" t="n">
        <v>46070</v>
      </c>
      <c r="H699" s="1" t="n">
        <v>1210</v>
      </c>
      <c r="J699" s="1" t="s">
        <v>762</v>
      </c>
      <c r="K699" s="1" t="n">
        <v>428</v>
      </c>
      <c r="M699" s="125" t="n">
        <f aca="false">Nominal_Activity[[#This Row],[Debit]]-Nominal_Activity[[#This Row],[Credit]]</f>
        <v>428</v>
      </c>
      <c r="N699" s="1" t="str">
        <f aca="false">IF(C699="","",IFERROR(VLOOKUP(C699,Master_Mappings!$A$4:$E$85,3,FALSE()),"UNMAPPED"))</f>
        <v>Financial Charges</v>
      </c>
      <c r="P699" s="1" t="str">
        <f aca="false">IF($C699="","",$C699&amp;"|"&amp;$E699&amp;"|"&amp;$M699&amp;"|"&amp;TEXT($G699,"yyyy-mm-dd")&amp;"|"&amp;LEFT($J699,40))</f>
        <v>7910|42705|428|2026-02-17|Bank Charges</v>
      </c>
      <c r="Q699" s="11" t="str">
        <f aca="false">IF(P699="","",IF(COUNTIF($P$2:$P$3000,P699)&gt;1,"DUPLICATE","OK"))</f>
        <v>OK</v>
      </c>
      <c r="R699" s="0" t="str">
        <f aca="false">IF($C699="","",IFERROR(VLOOKUP(--$C699,MM_Income!$Z$5:$AC$204,3,FALSE()),""))</f>
        <v>Excluded — Overhead (in fixed costs)</v>
      </c>
    </row>
    <row r="700" customFormat="false" ht="14.9" hidden="false" customHeight="false" outlineLevel="0" collapsed="false">
      <c r="A700" s="1" t="s">
        <v>49</v>
      </c>
      <c r="B700" s="1" t="s">
        <v>85</v>
      </c>
      <c r="C700" s="1" t="n">
        <v>7910</v>
      </c>
      <c r="D700" s="1" t="s">
        <v>762</v>
      </c>
      <c r="E700" s="1" t="n">
        <v>42706</v>
      </c>
      <c r="F700" s="1" t="s">
        <v>914</v>
      </c>
      <c r="G700" s="140" t="n">
        <v>46070</v>
      </c>
      <c r="H700" s="1" t="n">
        <v>1210</v>
      </c>
      <c r="J700" s="1" t="s">
        <v>762</v>
      </c>
      <c r="K700" s="1" t="n">
        <v>481.5</v>
      </c>
      <c r="M700" s="125" t="n">
        <f aca="false">Nominal_Activity[[#This Row],[Debit]]-Nominal_Activity[[#This Row],[Credit]]</f>
        <v>481.5</v>
      </c>
      <c r="N700" s="1" t="str">
        <f aca="false">IF(C700="","",IFERROR(VLOOKUP(C700,Master_Mappings!$A$4:$E$85,3,FALSE()),"UNMAPPED"))</f>
        <v>Financial Charges</v>
      </c>
      <c r="P700" s="1" t="str">
        <f aca="false">IF($C700="","",$C700&amp;"|"&amp;$E700&amp;"|"&amp;$M700&amp;"|"&amp;TEXT($G700,"yyyy-mm-dd")&amp;"|"&amp;LEFT($J700,40))</f>
        <v>7910|42706|481.5|2026-02-17|Bank Charges</v>
      </c>
      <c r="Q700" s="11" t="str">
        <f aca="false">IF(P700="","",IF(COUNTIF($P$2:$P$3000,P700)&gt;1,"DUPLICATE","OK"))</f>
        <v>OK</v>
      </c>
      <c r="R700" s="0" t="str">
        <f aca="false">IF($C700="","",IFERROR(VLOOKUP(--$C700,MM_Income!$Z$5:$AC$204,3,FALSE()),""))</f>
        <v>Excluded — Overhead (in fixed costs)</v>
      </c>
    </row>
    <row r="701" customFormat="false" ht="14.9" hidden="false" customHeight="false" outlineLevel="0" collapsed="false">
      <c r="A701" s="1" t="s">
        <v>49</v>
      </c>
      <c r="B701" s="1" t="s">
        <v>85</v>
      </c>
      <c r="C701" s="1" t="n">
        <v>7910</v>
      </c>
      <c r="D701" s="1" t="s">
        <v>762</v>
      </c>
      <c r="E701" s="1" t="n">
        <v>42709</v>
      </c>
      <c r="F701" s="1" t="s">
        <v>914</v>
      </c>
      <c r="G701" s="140" t="n">
        <v>46072</v>
      </c>
      <c r="H701" s="1" t="n">
        <v>1210</v>
      </c>
      <c r="J701" s="1" t="s">
        <v>762</v>
      </c>
      <c r="K701" s="1" t="n">
        <v>428</v>
      </c>
      <c r="M701" s="125" t="n">
        <f aca="false">Nominal_Activity[[#This Row],[Debit]]-Nominal_Activity[[#This Row],[Credit]]</f>
        <v>428</v>
      </c>
      <c r="N701" s="1" t="str">
        <f aca="false">IF(C701="","",IFERROR(VLOOKUP(C701,Master_Mappings!$A$4:$E$85,3,FALSE()),"UNMAPPED"))</f>
        <v>Financial Charges</v>
      </c>
      <c r="P701" s="1" t="str">
        <f aca="false">IF($C701="","",$C701&amp;"|"&amp;$E701&amp;"|"&amp;$M701&amp;"|"&amp;TEXT($G701,"yyyy-mm-dd")&amp;"|"&amp;LEFT($J701,40))</f>
        <v>7910|42709|428|2026-02-19|Bank Charges</v>
      </c>
      <c r="Q701" s="11" t="str">
        <f aca="false">IF(P701="","",IF(COUNTIF($P$2:$P$3000,P701)&gt;1,"DUPLICATE","OK"))</f>
        <v>OK</v>
      </c>
      <c r="R701" s="0" t="str">
        <f aca="false">IF($C701="","",IFERROR(VLOOKUP(--$C701,MM_Income!$Z$5:$AC$204,3,FALSE()),""))</f>
        <v>Excluded — Overhead (in fixed costs)</v>
      </c>
    </row>
    <row r="702" customFormat="false" ht="14.9" hidden="false" customHeight="false" outlineLevel="0" collapsed="false">
      <c r="A702" s="1" t="s">
        <v>49</v>
      </c>
      <c r="B702" s="1" t="s">
        <v>85</v>
      </c>
      <c r="C702" s="1" t="n">
        <v>7910</v>
      </c>
      <c r="D702" s="1" t="s">
        <v>762</v>
      </c>
      <c r="E702" s="1" t="n">
        <v>42710</v>
      </c>
      <c r="F702" s="1" t="s">
        <v>914</v>
      </c>
      <c r="G702" s="140" t="n">
        <v>46072</v>
      </c>
      <c r="H702" s="1" t="n">
        <v>1210</v>
      </c>
      <c r="J702" s="1" t="s">
        <v>762</v>
      </c>
      <c r="K702" s="1" t="n">
        <v>481.5</v>
      </c>
      <c r="M702" s="125" t="n">
        <f aca="false">Nominal_Activity[[#This Row],[Debit]]-Nominal_Activity[[#This Row],[Credit]]</f>
        <v>481.5</v>
      </c>
      <c r="N702" s="1" t="str">
        <f aca="false">IF(C702="","",IFERROR(VLOOKUP(C702,Master_Mappings!$A$4:$E$85,3,FALSE()),"UNMAPPED"))</f>
        <v>Financial Charges</v>
      </c>
      <c r="P702" s="1" t="str">
        <f aca="false">IF($C702="","",$C702&amp;"|"&amp;$E702&amp;"|"&amp;$M702&amp;"|"&amp;TEXT($G702,"yyyy-mm-dd")&amp;"|"&amp;LEFT($J702,40))</f>
        <v>7910|42710|481.5|2026-02-19|Bank Charges</v>
      </c>
      <c r="Q702" s="11" t="str">
        <f aca="false">IF(P702="","",IF(COUNTIF($P$2:$P$3000,P702)&gt;1,"DUPLICATE","OK"))</f>
        <v>OK</v>
      </c>
      <c r="R702" s="0" t="str">
        <f aca="false">IF($C702="","",IFERROR(VLOOKUP(--$C702,MM_Income!$Z$5:$AC$204,3,FALSE()),""))</f>
        <v>Excluded — Overhead (in fixed costs)</v>
      </c>
    </row>
    <row r="703" customFormat="false" ht="14.9" hidden="false" customHeight="false" outlineLevel="0" collapsed="false">
      <c r="A703" s="1" t="s">
        <v>49</v>
      </c>
      <c r="B703" s="1" t="s">
        <v>85</v>
      </c>
      <c r="C703" s="1" t="n">
        <v>7910</v>
      </c>
      <c r="D703" s="1" t="s">
        <v>762</v>
      </c>
      <c r="E703" s="1" t="n">
        <v>42711</v>
      </c>
      <c r="F703" s="1" t="s">
        <v>914</v>
      </c>
      <c r="G703" s="140" t="n">
        <v>46072</v>
      </c>
      <c r="H703" s="1" t="n">
        <v>1210</v>
      </c>
      <c r="J703" s="1" t="s">
        <v>762</v>
      </c>
      <c r="K703" s="1" t="n">
        <v>428</v>
      </c>
      <c r="M703" s="125" t="n">
        <f aca="false">Nominal_Activity[[#This Row],[Debit]]-Nominal_Activity[[#This Row],[Credit]]</f>
        <v>428</v>
      </c>
      <c r="N703" s="1" t="str">
        <f aca="false">IF(C703="","",IFERROR(VLOOKUP(C703,Master_Mappings!$A$4:$E$85,3,FALSE()),"UNMAPPED"))</f>
        <v>Financial Charges</v>
      </c>
      <c r="P703" s="1" t="str">
        <f aca="false">IF($C703="","",$C703&amp;"|"&amp;$E703&amp;"|"&amp;$M703&amp;"|"&amp;TEXT($G703,"yyyy-mm-dd")&amp;"|"&amp;LEFT($J703,40))</f>
        <v>7910|42711|428|2026-02-19|Bank Charges</v>
      </c>
      <c r="Q703" s="11" t="str">
        <f aca="false">IF(P703="","",IF(COUNTIF($P$2:$P$3000,P703)&gt;1,"DUPLICATE","OK"))</f>
        <v>OK</v>
      </c>
      <c r="R703" s="0" t="str">
        <f aca="false">IF($C703="","",IFERROR(VLOOKUP(--$C703,MM_Income!$Z$5:$AC$204,3,FALSE()),""))</f>
        <v>Excluded — Overhead (in fixed costs)</v>
      </c>
    </row>
    <row r="704" customFormat="false" ht="14.9" hidden="false" customHeight="false" outlineLevel="0" collapsed="false">
      <c r="A704" s="1" t="s">
        <v>49</v>
      </c>
      <c r="B704" s="1" t="s">
        <v>85</v>
      </c>
      <c r="C704" s="1" t="n">
        <v>7910</v>
      </c>
      <c r="D704" s="1" t="s">
        <v>762</v>
      </c>
      <c r="E704" s="1" t="n">
        <v>42712</v>
      </c>
      <c r="F704" s="1" t="s">
        <v>914</v>
      </c>
      <c r="G704" s="140" t="n">
        <v>46072</v>
      </c>
      <c r="H704" s="1" t="n">
        <v>1210</v>
      </c>
      <c r="J704" s="1" t="s">
        <v>762</v>
      </c>
      <c r="K704" s="1" t="n">
        <v>481.5</v>
      </c>
      <c r="M704" s="125" t="n">
        <f aca="false">Nominal_Activity[[#This Row],[Debit]]-Nominal_Activity[[#This Row],[Credit]]</f>
        <v>481.5</v>
      </c>
      <c r="N704" s="1" t="str">
        <f aca="false">IF(C704="","",IFERROR(VLOOKUP(C704,Master_Mappings!$A$4:$E$85,3,FALSE()),"UNMAPPED"))</f>
        <v>Financial Charges</v>
      </c>
      <c r="P704" s="1" t="str">
        <f aca="false">IF($C704="","",$C704&amp;"|"&amp;$E704&amp;"|"&amp;$M704&amp;"|"&amp;TEXT($G704,"yyyy-mm-dd")&amp;"|"&amp;LEFT($J704,40))</f>
        <v>7910|42712|481.5|2026-02-19|Bank Charges</v>
      </c>
      <c r="Q704" s="11" t="str">
        <f aca="false">IF(P704="","",IF(COUNTIF($P$2:$P$3000,P704)&gt;1,"DUPLICATE","OK"))</f>
        <v>OK</v>
      </c>
      <c r="R704" s="0" t="str">
        <f aca="false">IF($C704="","",IFERROR(VLOOKUP(--$C704,MM_Income!$Z$5:$AC$204,3,FALSE()),""))</f>
        <v>Excluded — Overhead (in fixed costs)</v>
      </c>
    </row>
    <row r="705" customFormat="false" ht="14.9" hidden="false" customHeight="false" outlineLevel="0" collapsed="false">
      <c r="A705" s="1" t="s">
        <v>49</v>
      </c>
      <c r="B705" s="1" t="s">
        <v>85</v>
      </c>
      <c r="C705" s="1" t="n">
        <v>7910</v>
      </c>
      <c r="D705" s="1" t="s">
        <v>762</v>
      </c>
      <c r="E705" s="1" t="n">
        <v>42746</v>
      </c>
      <c r="F705" s="1" t="s">
        <v>914</v>
      </c>
      <c r="G705" s="140" t="n">
        <v>46069</v>
      </c>
      <c r="H705" s="1" t="n">
        <v>1200</v>
      </c>
      <c r="J705" s="1" t="s">
        <v>762</v>
      </c>
      <c r="K705" s="1" t="n">
        <v>20</v>
      </c>
      <c r="M705" s="125" t="n">
        <f aca="false">Nominal_Activity[[#This Row],[Debit]]-Nominal_Activity[[#This Row],[Credit]]</f>
        <v>20</v>
      </c>
      <c r="N705" s="1" t="str">
        <f aca="false">IF(C705="","",IFERROR(VLOOKUP(C705,Master_Mappings!$A$4:$E$85,3,FALSE()),"UNMAPPED"))</f>
        <v>Financial Charges</v>
      </c>
      <c r="P705" s="1" t="str">
        <f aca="false">IF($C705="","",$C705&amp;"|"&amp;$E705&amp;"|"&amp;$M705&amp;"|"&amp;TEXT($G705,"yyyy-mm-dd")&amp;"|"&amp;LEFT($J705,40))</f>
        <v>7910|42746|20|2026-02-16|Bank Charges</v>
      </c>
      <c r="Q705" s="11" t="str">
        <f aca="false">IF(P705="","",IF(COUNTIF($P$2:$P$3000,P705)&gt;1,"DUPLICATE","OK"))</f>
        <v>OK</v>
      </c>
      <c r="R705" s="0" t="str">
        <f aca="false">IF($C705="","",IFERROR(VLOOKUP(--$C705,MM_Income!$Z$5:$AC$204,3,FALSE()),""))</f>
        <v>Excluded — Overhead (in fixed costs)</v>
      </c>
    </row>
    <row r="706" customFormat="false" ht="14.9" hidden="false" customHeight="false" outlineLevel="0" collapsed="false">
      <c r="A706" s="1" t="s">
        <v>49</v>
      </c>
      <c r="B706" s="1" t="s">
        <v>85</v>
      </c>
      <c r="C706" s="1" t="n">
        <v>7910</v>
      </c>
      <c r="D706" s="1" t="s">
        <v>762</v>
      </c>
      <c r="E706" s="1" t="n">
        <v>42748</v>
      </c>
      <c r="F706" s="1" t="s">
        <v>914</v>
      </c>
      <c r="G706" s="140" t="n">
        <v>46070</v>
      </c>
      <c r="H706" s="1" t="n">
        <v>1200</v>
      </c>
      <c r="J706" s="1" t="s">
        <v>762</v>
      </c>
      <c r="K706" s="1" t="n">
        <v>5</v>
      </c>
      <c r="M706" s="125" t="n">
        <f aca="false">Nominal_Activity[[#This Row],[Debit]]-Nominal_Activity[[#This Row],[Credit]]</f>
        <v>5</v>
      </c>
      <c r="N706" s="1" t="str">
        <f aca="false">IF(C706="","",IFERROR(VLOOKUP(C706,Master_Mappings!$A$4:$E$85,3,FALSE()),"UNMAPPED"))</f>
        <v>Financial Charges</v>
      </c>
      <c r="P706" s="1" t="str">
        <f aca="false">IF($C706="","",$C706&amp;"|"&amp;$E706&amp;"|"&amp;$M706&amp;"|"&amp;TEXT($G706,"yyyy-mm-dd")&amp;"|"&amp;LEFT($J706,40))</f>
        <v>7910|42748|5|2026-02-17|Bank Charges</v>
      </c>
      <c r="Q706" s="11" t="str">
        <f aca="false">IF(P706="","",IF(COUNTIF($P$2:$P$3000,P706)&gt;1,"DUPLICATE","OK"))</f>
        <v>OK</v>
      </c>
      <c r="R706" s="0" t="str">
        <f aca="false">IF($C706="","",IFERROR(VLOOKUP(--$C706,MM_Income!$Z$5:$AC$204,3,FALSE()),""))</f>
        <v>Excluded — Overhead (in fixed costs)</v>
      </c>
    </row>
    <row r="707" customFormat="false" ht="14.9" hidden="false" customHeight="false" outlineLevel="0" collapsed="false">
      <c r="A707" s="1" t="s">
        <v>49</v>
      </c>
      <c r="B707" s="1" t="s">
        <v>85</v>
      </c>
      <c r="C707" s="1" t="n">
        <v>7910</v>
      </c>
      <c r="D707" s="1" t="s">
        <v>762</v>
      </c>
      <c r="E707" s="1" t="n">
        <v>42762</v>
      </c>
      <c r="F707" s="1" t="s">
        <v>914</v>
      </c>
      <c r="G707" s="140" t="n">
        <v>46071</v>
      </c>
      <c r="H707" s="1" t="n">
        <v>1200</v>
      </c>
      <c r="J707" s="1" t="s">
        <v>762</v>
      </c>
      <c r="K707" s="1" t="n">
        <v>20</v>
      </c>
      <c r="M707" s="125" t="n">
        <f aca="false">Nominal_Activity[[#This Row],[Debit]]-Nominal_Activity[[#This Row],[Credit]]</f>
        <v>20</v>
      </c>
      <c r="N707" s="1" t="str">
        <f aca="false">IF(C707="","",IFERROR(VLOOKUP(C707,Master_Mappings!$A$4:$E$85,3,FALSE()),"UNMAPPED"))</f>
        <v>Financial Charges</v>
      </c>
      <c r="P707" s="1" t="str">
        <f aca="false">IF($C707="","",$C707&amp;"|"&amp;$E707&amp;"|"&amp;$M707&amp;"|"&amp;TEXT($G707,"yyyy-mm-dd")&amp;"|"&amp;LEFT($J707,40))</f>
        <v>7910|42762|20|2026-02-18|Bank Charges</v>
      </c>
      <c r="Q707" s="11" t="str">
        <f aca="false">IF(P707="","",IF(COUNTIF($P$2:$P$3000,P707)&gt;1,"DUPLICATE","OK"))</f>
        <v>OK</v>
      </c>
      <c r="R707" s="0" t="str">
        <f aca="false">IF($C707="","",IFERROR(VLOOKUP(--$C707,MM_Income!$Z$5:$AC$204,3,FALSE()),""))</f>
        <v>Excluded — Overhead (in fixed costs)</v>
      </c>
    </row>
    <row r="708" customFormat="false" ht="14.9" hidden="false" customHeight="false" outlineLevel="0" collapsed="false">
      <c r="A708" s="1" t="s">
        <v>49</v>
      </c>
      <c r="B708" s="1" t="s">
        <v>85</v>
      </c>
      <c r="C708" s="1" t="n">
        <v>7910</v>
      </c>
      <c r="D708" s="1" t="s">
        <v>762</v>
      </c>
      <c r="E708" s="1" t="n">
        <v>42765</v>
      </c>
      <c r="F708" s="1" t="s">
        <v>914</v>
      </c>
      <c r="G708" s="140" t="n">
        <v>46073</v>
      </c>
      <c r="H708" s="1" t="n">
        <v>1200</v>
      </c>
      <c r="J708" s="1" t="s">
        <v>762</v>
      </c>
      <c r="K708" s="1" t="n">
        <v>19.5</v>
      </c>
      <c r="M708" s="125" t="n">
        <f aca="false">Nominal_Activity[[#This Row],[Debit]]-Nominal_Activity[[#This Row],[Credit]]</f>
        <v>19.5</v>
      </c>
      <c r="N708" s="1" t="str">
        <f aca="false">IF(C708="","",IFERROR(VLOOKUP(C708,Master_Mappings!$A$4:$E$85,3,FALSE()),"UNMAPPED"))</f>
        <v>Financial Charges</v>
      </c>
      <c r="P708" s="1" t="str">
        <f aca="false">IF($C708="","",$C708&amp;"|"&amp;$E708&amp;"|"&amp;$M708&amp;"|"&amp;TEXT($G708,"yyyy-mm-dd")&amp;"|"&amp;LEFT($J708,40))</f>
        <v>7910|42765|19.5|2026-02-20|Bank Charges</v>
      </c>
      <c r="Q708" s="11" t="str">
        <f aca="false">IF(P708="","",IF(COUNTIF($P$2:$P$3000,P708)&gt;1,"DUPLICATE","OK"))</f>
        <v>OK</v>
      </c>
      <c r="R708" s="0" t="str">
        <f aca="false">IF($C708="","",IFERROR(VLOOKUP(--$C708,MM_Income!$Z$5:$AC$204,3,FALSE()),""))</f>
        <v>Excluded — Overhead (in fixed costs)</v>
      </c>
    </row>
    <row r="709" customFormat="false" ht="14.9" hidden="false" customHeight="false" outlineLevel="0" collapsed="false">
      <c r="A709" s="1" t="s">
        <v>49</v>
      </c>
      <c r="B709" s="1" t="s">
        <v>85</v>
      </c>
      <c r="C709" s="1" t="n">
        <v>7910</v>
      </c>
      <c r="D709" s="1" t="s">
        <v>762</v>
      </c>
      <c r="E709" s="1" t="n">
        <v>42767</v>
      </c>
      <c r="F709" s="1" t="s">
        <v>914</v>
      </c>
      <c r="G709" s="140" t="n">
        <v>46076</v>
      </c>
      <c r="H709" s="1" t="n">
        <v>1200</v>
      </c>
      <c r="J709" s="1" t="s">
        <v>762</v>
      </c>
      <c r="K709" s="1" t="n">
        <v>5</v>
      </c>
      <c r="M709" s="125" t="n">
        <f aca="false">Nominal_Activity[[#This Row],[Debit]]-Nominal_Activity[[#This Row],[Credit]]</f>
        <v>5</v>
      </c>
      <c r="N709" s="1" t="str">
        <f aca="false">IF(C709="","",IFERROR(VLOOKUP(C709,Master_Mappings!$A$4:$E$85,3,FALSE()),"UNMAPPED"))</f>
        <v>Financial Charges</v>
      </c>
      <c r="P709" s="1" t="str">
        <f aca="false">IF($C709="","",$C709&amp;"|"&amp;$E709&amp;"|"&amp;$M709&amp;"|"&amp;TEXT($G709,"yyyy-mm-dd")&amp;"|"&amp;LEFT($J709,40))</f>
        <v>7910|42767|5|2026-02-23|Bank Charges</v>
      </c>
      <c r="Q709" s="11" t="str">
        <f aca="false">IF(P709="","",IF(COUNTIF($P$2:$P$3000,P709)&gt;1,"DUPLICATE","OK"))</f>
        <v>OK</v>
      </c>
      <c r="R709" s="0" t="str">
        <f aca="false">IF($C709="","",IFERROR(VLOOKUP(--$C709,MM_Income!$Z$5:$AC$204,3,FALSE()),""))</f>
        <v>Excluded — Overhead (in fixed costs)</v>
      </c>
    </row>
    <row r="710" customFormat="false" ht="14.9" hidden="false" customHeight="false" outlineLevel="0" collapsed="false">
      <c r="A710" s="1" t="s">
        <v>49</v>
      </c>
      <c r="B710" s="1" t="s">
        <v>85</v>
      </c>
      <c r="C710" s="1" t="n">
        <v>7910</v>
      </c>
      <c r="D710" s="1" t="s">
        <v>762</v>
      </c>
      <c r="E710" s="1" t="n">
        <v>42768</v>
      </c>
      <c r="F710" s="1" t="s">
        <v>914</v>
      </c>
      <c r="G710" s="140" t="n">
        <v>46077</v>
      </c>
      <c r="H710" s="1" t="n">
        <v>1200</v>
      </c>
      <c r="J710" s="1" t="s">
        <v>1670</v>
      </c>
      <c r="K710" s="1" t="n">
        <v>5</v>
      </c>
      <c r="M710" s="125" t="n">
        <f aca="false">Nominal_Activity[[#This Row],[Debit]]-Nominal_Activity[[#This Row],[Credit]]</f>
        <v>5</v>
      </c>
      <c r="N710" s="1" t="str">
        <f aca="false">IF(C710="","",IFERROR(VLOOKUP(C710,Master_Mappings!$A$4:$E$85,3,FALSE()),"UNMAPPED"))</f>
        <v>Financial Charges</v>
      </c>
      <c r="P710" s="1" t="str">
        <f aca="false">IF($C710="","",$C710&amp;"|"&amp;$E710&amp;"|"&amp;$M710&amp;"|"&amp;TEXT($G710,"yyyy-mm-dd")&amp;"|"&amp;LEFT($J710,40))</f>
        <v>7910|42768|5|2026-02-24|ank Charges</v>
      </c>
      <c r="Q710" s="11" t="str">
        <f aca="false">IF(P710="","",IF(COUNTIF($P$2:$P$3000,P710)&gt;1,"DUPLICATE","OK"))</f>
        <v>OK</v>
      </c>
      <c r="R710" s="0" t="str">
        <f aca="false">IF($C710="","",IFERROR(VLOOKUP(--$C710,MM_Income!$Z$5:$AC$204,3,FALSE()),""))</f>
        <v>Excluded — Overhead (in fixed costs)</v>
      </c>
    </row>
    <row r="711" customFormat="false" ht="14.9" hidden="false" customHeight="false" outlineLevel="0" collapsed="false">
      <c r="A711" s="1" t="s">
        <v>49</v>
      </c>
      <c r="B711" s="1" t="s">
        <v>85</v>
      </c>
      <c r="C711" s="1" t="n">
        <v>7910</v>
      </c>
      <c r="D711" s="1" t="s">
        <v>762</v>
      </c>
      <c r="E711" s="1" t="n">
        <v>42778</v>
      </c>
      <c r="F711" s="1" t="s">
        <v>914</v>
      </c>
      <c r="G711" s="140" t="n">
        <v>46080</v>
      </c>
      <c r="H711" s="1" t="n">
        <v>1200</v>
      </c>
      <c r="J711" s="1" t="s">
        <v>762</v>
      </c>
      <c r="K711" s="1" t="n">
        <v>20</v>
      </c>
      <c r="M711" s="125" t="n">
        <f aca="false">Nominal_Activity[[#This Row],[Debit]]-Nominal_Activity[[#This Row],[Credit]]</f>
        <v>20</v>
      </c>
      <c r="N711" s="1" t="str">
        <f aca="false">IF(C711="","",IFERROR(VLOOKUP(C711,Master_Mappings!$A$4:$E$85,3,FALSE()),"UNMAPPED"))</f>
        <v>Financial Charges</v>
      </c>
      <c r="P711" s="1" t="str">
        <f aca="false">IF($C711="","",$C711&amp;"|"&amp;$E711&amp;"|"&amp;$M711&amp;"|"&amp;TEXT($G711,"yyyy-mm-dd")&amp;"|"&amp;LEFT($J711,40))</f>
        <v>7910|42778|20|2026-02-27|Bank Charges</v>
      </c>
      <c r="Q711" s="11" t="str">
        <f aca="false">IF(P711="","",IF(COUNTIF($P$2:$P$3000,P711)&gt;1,"DUPLICATE","OK"))</f>
        <v>OK</v>
      </c>
      <c r="R711" s="0" t="str">
        <f aca="false">IF($C711="","",IFERROR(VLOOKUP(--$C711,MM_Income!$Z$5:$AC$204,3,FALSE()),""))</f>
        <v>Excluded — Overhead (in fixed costs)</v>
      </c>
    </row>
    <row r="712" customFormat="false" ht="14.9" hidden="false" customHeight="false" outlineLevel="0" collapsed="false">
      <c r="A712" s="1" t="s">
        <v>49</v>
      </c>
      <c r="B712" s="1" t="s">
        <v>85</v>
      </c>
      <c r="C712" s="1" t="n">
        <v>7910</v>
      </c>
      <c r="D712" s="1" t="s">
        <v>762</v>
      </c>
      <c r="E712" s="1" t="n">
        <v>42780</v>
      </c>
      <c r="F712" s="1" t="s">
        <v>914</v>
      </c>
      <c r="G712" s="140" t="n">
        <v>46080</v>
      </c>
      <c r="H712" s="1" t="n">
        <v>1200</v>
      </c>
      <c r="J712" s="1" t="s">
        <v>762</v>
      </c>
      <c r="K712" s="1" t="n">
        <v>5</v>
      </c>
      <c r="M712" s="125" t="n">
        <f aca="false">Nominal_Activity[[#This Row],[Debit]]-Nominal_Activity[[#This Row],[Credit]]</f>
        <v>5</v>
      </c>
      <c r="N712" s="1" t="str">
        <f aca="false">IF(C712="","",IFERROR(VLOOKUP(C712,Master_Mappings!$A$4:$E$85,3,FALSE()),"UNMAPPED"))</f>
        <v>Financial Charges</v>
      </c>
      <c r="P712" s="1" t="str">
        <f aca="false">IF($C712="","",$C712&amp;"|"&amp;$E712&amp;"|"&amp;$M712&amp;"|"&amp;TEXT($G712,"yyyy-mm-dd")&amp;"|"&amp;LEFT($J712,40))</f>
        <v>7910|42780|5|2026-02-27|Bank Charges</v>
      </c>
      <c r="Q712" s="11" t="str">
        <f aca="false">IF(P712="","",IF(COUNTIF($P$2:$P$3000,P712)&gt;1,"DUPLICATE","OK"))</f>
        <v>OK</v>
      </c>
      <c r="R712" s="0" t="str">
        <f aca="false">IF($C712="","",IFERROR(VLOOKUP(--$C712,MM_Income!$Z$5:$AC$204,3,FALSE()),""))</f>
        <v>Excluded — Overhead (in fixed costs)</v>
      </c>
    </row>
    <row r="713" customFormat="false" ht="14.9" hidden="false" customHeight="false" outlineLevel="0" collapsed="false">
      <c r="A713" s="1" t="s">
        <v>49</v>
      </c>
      <c r="B713" s="1" t="s">
        <v>85</v>
      </c>
      <c r="C713" s="1" t="n">
        <v>7910</v>
      </c>
      <c r="D713" s="1" t="s">
        <v>762</v>
      </c>
      <c r="E713" s="1" t="n">
        <v>42781</v>
      </c>
      <c r="F713" s="1" t="s">
        <v>914</v>
      </c>
      <c r="G713" s="140" t="n">
        <v>46080</v>
      </c>
      <c r="H713" s="1" t="n">
        <v>1200</v>
      </c>
      <c r="J713" s="1" t="s">
        <v>1671</v>
      </c>
      <c r="K713" s="1" t="n">
        <v>60</v>
      </c>
      <c r="M713" s="125" t="n">
        <f aca="false">Nominal_Activity[[#This Row],[Debit]]-Nominal_Activity[[#This Row],[Credit]]</f>
        <v>60</v>
      </c>
      <c r="N713" s="1" t="str">
        <f aca="false">IF(C713="","",IFERROR(VLOOKUP(C713,Master_Mappings!$A$4:$E$85,3,FALSE()),"UNMAPPED"))</f>
        <v>Financial Charges</v>
      </c>
      <c r="P713" s="1" t="str">
        <f aca="false">IF($C713="","",$C713&amp;"|"&amp;$E713&amp;"|"&amp;$M713&amp;"|"&amp;TEXT($G713,"yyyy-mm-dd")&amp;"|"&amp;LEFT($J713,40))</f>
        <v>7910|42781|60|2026-02-27|Current Account service charge</v>
      </c>
      <c r="Q713" s="11" t="str">
        <f aca="false">IF(P713="","",IF(COUNTIF($P$2:$P$3000,P713)&gt;1,"DUPLICATE","OK"))</f>
        <v>OK</v>
      </c>
      <c r="R713" s="0" t="str">
        <f aca="false">IF($C713="","",IFERROR(VLOOKUP(--$C713,MM_Income!$Z$5:$AC$204,3,FALSE()),""))</f>
        <v>Excluded — Overhead (in fixed costs)</v>
      </c>
    </row>
    <row r="714" customFormat="false" ht="14.9" hidden="false" customHeight="false" outlineLevel="0" collapsed="false">
      <c r="A714" s="1" t="s">
        <v>49</v>
      </c>
      <c r="B714" s="1" t="s">
        <v>85</v>
      </c>
      <c r="C714" s="1" t="n">
        <v>7910</v>
      </c>
      <c r="D714" s="1" t="s">
        <v>762</v>
      </c>
      <c r="E714" s="1" t="n">
        <v>42920</v>
      </c>
      <c r="F714" s="1" t="s">
        <v>869</v>
      </c>
      <c r="G714" s="140" t="n">
        <v>46071</v>
      </c>
      <c r="H714" s="1" t="n">
        <v>1230</v>
      </c>
      <c r="I714" s="1" t="s">
        <v>1638</v>
      </c>
      <c r="J714" s="1" t="s">
        <v>762</v>
      </c>
      <c r="K714" s="1" t="n">
        <v>6.24</v>
      </c>
      <c r="M714" s="125" t="n">
        <f aca="false">Nominal_Activity[[#This Row],[Debit]]-Nominal_Activity[[#This Row],[Credit]]</f>
        <v>6.24</v>
      </c>
      <c r="N714" s="1" t="str">
        <f aca="false">IF(C714="","",IFERROR(VLOOKUP(C714,Master_Mappings!$A$4:$E$85,3,FALSE()),"UNMAPPED"))</f>
        <v>Financial Charges</v>
      </c>
      <c r="P714" s="1" t="str">
        <f aca="false">IF($C714="","",$C714&amp;"|"&amp;$E714&amp;"|"&amp;$M714&amp;"|"&amp;TEXT($G714,"yyyy-mm-dd")&amp;"|"&amp;LEFT($J714,40))</f>
        <v>7910|42920|6.24|2026-02-18|Bank Charges</v>
      </c>
      <c r="Q714" s="11" t="str">
        <f aca="false">IF(P714="","",IF(COUNTIF($P$2:$P$3000,P714)&gt;1,"DUPLICATE","OK"))</f>
        <v>OK</v>
      </c>
      <c r="R714" s="0" t="str">
        <f aca="false">IF($C714="","",IFERROR(VLOOKUP(--$C714,MM_Income!$Z$5:$AC$204,3,FALSE()),""))</f>
        <v>Excluded — Overhead (in fixed costs)</v>
      </c>
    </row>
    <row r="715" customFormat="false" ht="14.9" hidden="false" customHeight="false" outlineLevel="0" collapsed="false">
      <c r="A715" s="1" t="s">
        <v>49</v>
      </c>
      <c r="B715" s="1" t="s">
        <v>85</v>
      </c>
      <c r="C715" s="1" t="n">
        <v>7910</v>
      </c>
      <c r="D715" s="1" t="s">
        <v>762</v>
      </c>
      <c r="E715" s="1" t="n">
        <v>42924</v>
      </c>
      <c r="F715" s="1" t="s">
        <v>869</v>
      </c>
      <c r="G715" s="140" t="n">
        <v>46085</v>
      </c>
      <c r="H715" s="1" t="n">
        <v>1230</v>
      </c>
      <c r="I715" s="1" t="s">
        <v>1278</v>
      </c>
      <c r="J715" s="1" t="s">
        <v>762</v>
      </c>
      <c r="K715" s="1" t="n">
        <v>0.98</v>
      </c>
      <c r="M715" s="125" t="n">
        <f aca="false">Nominal_Activity[[#This Row],[Debit]]-Nominal_Activity[[#This Row],[Credit]]</f>
        <v>0.98</v>
      </c>
      <c r="N715" s="1" t="str">
        <f aca="false">IF(C715="","",IFERROR(VLOOKUP(C715,Master_Mappings!$A$4:$E$85,3,FALSE()),"UNMAPPED"))</f>
        <v>Financial Charges</v>
      </c>
      <c r="P715" s="1" t="str">
        <f aca="false">IF($C715="","",$C715&amp;"|"&amp;$E715&amp;"|"&amp;$M715&amp;"|"&amp;TEXT($G715,"yyyy-mm-dd")&amp;"|"&amp;LEFT($J715,40))</f>
        <v>7910|42924|0.98|2026-03-04|Bank Charges</v>
      </c>
      <c r="Q715" s="11" t="str">
        <f aca="false">IF(P715="","",IF(COUNTIF($P$2:$P$3000,P715)&gt;1,"DUPLICATE","OK"))</f>
        <v>OK</v>
      </c>
      <c r="R715" s="0" t="str">
        <f aca="false">IF($C715="","",IFERROR(VLOOKUP(--$C715,MM_Income!$Z$5:$AC$204,3,FALSE()),""))</f>
        <v>Excluded — Overhead (in fixed costs)</v>
      </c>
    </row>
    <row r="716" customFormat="false" ht="14.9" hidden="false" customHeight="false" outlineLevel="0" collapsed="false">
      <c r="A716" s="1" t="s">
        <v>49</v>
      </c>
      <c r="B716" s="1" t="s">
        <v>85</v>
      </c>
      <c r="C716" s="1" t="n">
        <v>7910</v>
      </c>
      <c r="D716" s="1" t="s">
        <v>762</v>
      </c>
      <c r="E716" s="1" t="n">
        <v>42926</v>
      </c>
      <c r="F716" s="1" t="s">
        <v>869</v>
      </c>
      <c r="G716" s="140" t="n">
        <v>46093</v>
      </c>
      <c r="H716" s="1" t="n">
        <v>1230</v>
      </c>
      <c r="I716" s="1" t="s">
        <v>1382</v>
      </c>
      <c r="J716" s="1" t="s">
        <v>762</v>
      </c>
      <c r="K716" s="1" t="n">
        <v>3.37</v>
      </c>
      <c r="M716" s="125" t="n">
        <f aca="false">Nominal_Activity[[#This Row],[Debit]]-Nominal_Activity[[#This Row],[Credit]]</f>
        <v>3.37</v>
      </c>
      <c r="N716" s="1" t="str">
        <f aca="false">IF(C716="","",IFERROR(VLOOKUP(C716,Master_Mappings!$A$4:$E$85,3,FALSE()),"UNMAPPED"))</f>
        <v>Financial Charges</v>
      </c>
      <c r="P716" s="1" t="str">
        <f aca="false">IF($C716="","",$C716&amp;"|"&amp;$E716&amp;"|"&amp;$M716&amp;"|"&amp;TEXT($G716,"yyyy-mm-dd")&amp;"|"&amp;LEFT($J716,40))</f>
        <v>7910|42926|3.37|2026-03-12|Bank Charges</v>
      </c>
      <c r="Q716" s="11" t="str">
        <f aca="false">IF(P716="","",IF(COUNTIF($P$2:$P$3000,P716)&gt;1,"DUPLICATE","OK"))</f>
        <v>OK</v>
      </c>
      <c r="R716" s="0" t="str">
        <f aca="false">IF($C716="","",IFERROR(VLOOKUP(--$C716,MM_Income!$Z$5:$AC$204,3,FALSE()),""))</f>
        <v>Excluded — Overhead (in fixed costs)</v>
      </c>
    </row>
    <row r="717" customFormat="false" ht="14.9" hidden="false" customHeight="false" outlineLevel="0" collapsed="false">
      <c r="A717" s="1" t="s">
        <v>49</v>
      </c>
      <c r="B717" s="1" t="s">
        <v>85</v>
      </c>
      <c r="C717" s="1" t="n">
        <v>7910</v>
      </c>
      <c r="D717" s="1" t="s">
        <v>762</v>
      </c>
      <c r="E717" s="1" t="n">
        <v>42929</v>
      </c>
      <c r="F717" s="1" t="s">
        <v>869</v>
      </c>
      <c r="G717" s="140" t="n">
        <v>46097</v>
      </c>
      <c r="H717" s="1" t="n">
        <v>1230</v>
      </c>
      <c r="I717" s="1" t="s">
        <v>1642</v>
      </c>
      <c r="J717" s="1" t="s">
        <v>762</v>
      </c>
      <c r="K717" s="1" t="n">
        <v>6.24</v>
      </c>
      <c r="M717" s="125" t="n">
        <f aca="false">Nominal_Activity[[#This Row],[Debit]]-Nominal_Activity[[#This Row],[Credit]]</f>
        <v>6.24</v>
      </c>
      <c r="N717" s="1" t="str">
        <f aca="false">IF(C717="","",IFERROR(VLOOKUP(C717,Master_Mappings!$A$4:$E$85,3,FALSE()),"UNMAPPED"))</f>
        <v>Financial Charges</v>
      </c>
      <c r="P717" s="1" t="str">
        <f aca="false">IF($C717="","",$C717&amp;"|"&amp;$E717&amp;"|"&amp;$M717&amp;"|"&amp;TEXT($G717,"yyyy-mm-dd")&amp;"|"&amp;LEFT($J717,40))</f>
        <v>7910|42929|6.24|2026-03-16|Bank Charges</v>
      </c>
      <c r="Q717" s="11" t="str">
        <f aca="false">IF(P717="","",IF(COUNTIF($P$2:$P$3000,P717)&gt;1,"DUPLICATE","OK"))</f>
        <v>OK</v>
      </c>
      <c r="R717" s="0" t="str">
        <f aca="false">IF($C717="","",IFERROR(VLOOKUP(--$C717,MM_Income!$Z$5:$AC$204,3,FALSE()),""))</f>
        <v>Excluded — Overhead (in fixed costs)</v>
      </c>
    </row>
    <row r="718" customFormat="false" ht="14.9" hidden="false" customHeight="false" outlineLevel="0" collapsed="false">
      <c r="A718" s="1" t="s">
        <v>49</v>
      </c>
      <c r="B718" s="1" t="s">
        <v>89</v>
      </c>
      <c r="C718" s="1" t="n">
        <v>7910</v>
      </c>
      <c r="D718" s="1" t="s">
        <v>762</v>
      </c>
      <c r="E718" s="1" t="n">
        <v>42931</v>
      </c>
      <c r="F718" s="1" t="s">
        <v>869</v>
      </c>
      <c r="G718" s="140" t="n">
        <v>46113</v>
      </c>
      <c r="H718" s="1" t="n">
        <v>1230</v>
      </c>
      <c r="I718" s="1" t="s">
        <v>1280</v>
      </c>
      <c r="J718" s="1" t="s">
        <v>762</v>
      </c>
      <c r="K718" s="1" t="n">
        <v>4.39</v>
      </c>
      <c r="M718" s="125" t="n">
        <f aca="false">Nominal_Activity[[#This Row],[Debit]]-Nominal_Activity[[#This Row],[Credit]]</f>
        <v>4.39</v>
      </c>
      <c r="N718" s="1" t="str">
        <f aca="false">IF(C718="","",IFERROR(VLOOKUP(C718,Master_Mappings!$A$4:$E$85,3,FALSE()),"UNMAPPED"))</f>
        <v>Financial Charges</v>
      </c>
      <c r="P718" s="1" t="str">
        <f aca="false">IF($C718="","",$C718&amp;"|"&amp;$E718&amp;"|"&amp;$M718&amp;"|"&amp;TEXT($G718,"yyyy-mm-dd")&amp;"|"&amp;LEFT($J718,40))</f>
        <v>7910|42931|4.39|2026-04-01|Bank Charges</v>
      </c>
      <c r="Q718" s="11" t="str">
        <f aca="false">IF(P718="","",IF(COUNTIF($P$2:$P$3000,P718)&gt;1,"DUPLICATE","OK"))</f>
        <v>OK</v>
      </c>
      <c r="R718" s="0" t="str">
        <f aca="false">IF($C718="","",IFERROR(VLOOKUP(--$C718,MM_Income!$Z$5:$AC$204,3,FALSE()),""))</f>
        <v>Excluded — Overhead (in fixed costs)</v>
      </c>
    </row>
    <row r="719" customFormat="false" ht="14.9" hidden="false" customHeight="false" outlineLevel="0" collapsed="false">
      <c r="A719" s="1" t="s">
        <v>49</v>
      </c>
      <c r="B719" s="1" t="s">
        <v>89</v>
      </c>
      <c r="C719" s="1" t="n">
        <v>7910</v>
      </c>
      <c r="D719" s="1" t="s">
        <v>762</v>
      </c>
      <c r="E719" s="1" t="n">
        <v>42933</v>
      </c>
      <c r="F719" s="1" t="s">
        <v>869</v>
      </c>
      <c r="G719" s="140" t="n">
        <v>46114</v>
      </c>
      <c r="H719" s="1" t="n">
        <v>1230</v>
      </c>
      <c r="I719" s="1" t="s">
        <v>1511</v>
      </c>
      <c r="J719" s="1" t="s">
        <v>762</v>
      </c>
      <c r="K719" s="1" t="n">
        <v>0.28</v>
      </c>
      <c r="M719" s="125" t="n">
        <f aca="false">Nominal_Activity[[#This Row],[Debit]]-Nominal_Activity[[#This Row],[Credit]]</f>
        <v>0.28</v>
      </c>
      <c r="N719" s="1" t="str">
        <f aca="false">IF(C719="","",IFERROR(VLOOKUP(C719,Master_Mappings!$A$4:$E$85,3,FALSE()),"UNMAPPED"))</f>
        <v>Financial Charges</v>
      </c>
      <c r="P719" s="1" t="str">
        <f aca="false">IF($C719="","",$C719&amp;"|"&amp;$E719&amp;"|"&amp;$M719&amp;"|"&amp;TEXT($G719,"yyyy-mm-dd")&amp;"|"&amp;LEFT($J719,40))</f>
        <v>7910|42933|0.28|2026-04-02|Bank Charges</v>
      </c>
      <c r="Q719" s="11" t="str">
        <f aca="false">IF(P719="","",IF(COUNTIF($P$2:$P$3000,P719)&gt;1,"DUPLICATE","OK"))</f>
        <v>OK</v>
      </c>
      <c r="R719" s="0" t="str">
        <f aca="false">IF($C719="","",IFERROR(VLOOKUP(--$C719,MM_Income!$Z$5:$AC$204,3,FALSE()),""))</f>
        <v>Excluded — Overhead (in fixed costs)</v>
      </c>
    </row>
    <row r="720" customFormat="false" ht="14.9" hidden="false" customHeight="false" outlineLevel="0" collapsed="false">
      <c r="A720" s="1" t="s">
        <v>49</v>
      </c>
      <c r="B720" s="1" t="s">
        <v>85</v>
      </c>
      <c r="C720" s="1" t="n">
        <v>7910</v>
      </c>
      <c r="D720" s="1" t="s">
        <v>762</v>
      </c>
      <c r="E720" s="1" t="n">
        <v>42958</v>
      </c>
      <c r="F720" s="1" t="s">
        <v>1209</v>
      </c>
      <c r="G720" s="140" t="n">
        <v>46084</v>
      </c>
      <c r="H720" s="1" t="s">
        <v>398</v>
      </c>
      <c r="J720" s="1" t="s">
        <v>1672</v>
      </c>
      <c r="K720" s="1" t="n">
        <v>374.5</v>
      </c>
      <c r="M720" s="125" t="n">
        <f aca="false">Nominal_Activity[[#This Row],[Debit]]-Nominal_Activity[[#This Row],[Credit]]</f>
        <v>374.5</v>
      </c>
      <c r="N720" s="1" t="str">
        <f aca="false">IF(C720="","",IFERROR(VLOOKUP(C720,Master_Mappings!$A$4:$E$85,3,FALSE()),"UNMAPPED"))</f>
        <v>Financial Charges</v>
      </c>
      <c r="P720" s="1" t="str">
        <f aca="false">IF($C720="","",$C720&amp;"|"&amp;$E720&amp;"|"&amp;$M720&amp;"|"&amp;TEXT($G720,"yyyy-mm-dd")&amp;"|"&amp;LEFT($J720,40))</f>
        <v>7910|42958|374.5|2026-03-03|Bank Charges on funds received from RENL</v>
      </c>
      <c r="Q720" s="11" t="str">
        <f aca="false">IF(P720="","",IF(COUNTIF($P$2:$P$3000,P720)&gt;1,"DUPLICATE","OK"))</f>
        <v>OK</v>
      </c>
      <c r="R720" s="0" t="str">
        <f aca="false">IF($C720="","",IFERROR(VLOOKUP(--$C720,MM_Income!$Z$5:$AC$204,3,FALSE()),""))</f>
        <v>Excluded — Overhead (in fixed costs)</v>
      </c>
    </row>
    <row r="721" customFormat="false" ht="14.9" hidden="false" customHeight="false" outlineLevel="0" collapsed="false">
      <c r="A721" s="1" t="s">
        <v>49</v>
      </c>
      <c r="B721" s="1" t="s">
        <v>85</v>
      </c>
      <c r="C721" s="1" t="n">
        <v>7910</v>
      </c>
      <c r="D721" s="1" t="s">
        <v>762</v>
      </c>
      <c r="E721" s="1" t="n">
        <v>42962</v>
      </c>
      <c r="F721" s="1" t="s">
        <v>914</v>
      </c>
      <c r="G721" s="140" t="n">
        <v>46090</v>
      </c>
      <c r="H721" s="1" t="n">
        <v>1210</v>
      </c>
      <c r="J721" s="1" t="s">
        <v>1673</v>
      </c>
      <c r="K721" s="1" t="n">
        <v>428</v>
      </c>
      <c r="M721" s="125" t="n">
        <f aca="false">Nominal_Activity[[#This Row],[Debit]]-Nominal_Activity[[#This Row],[Credit]]</f>
        <v>428</v>
      </c>
      <c r="N721" s="1" t="str">
        <f aca="false">IF(C721="","",IFERROR(VLOOKUP(C721,Master_Mappings!$A$4:$E$85,3,FALSE()),"UNMAPPED"))</f>
        <v>Financial Charges</v>
      </c>
      <c r="P721" s="1" t="str">
        <f aca="false">IF($C721="","",$C721&amp;"|"&amp;$E721&amp;"|"&amp;$M721&amp;"|"&amp;TEXT($G721,"yyyy-mm-dd")&amp;"|"&amp;LEFT($J721,40))</f>
        <v>7910|42962|428|2026-03-09|Bank Charges on Sugar conference ticket</v>
      </c>
      <c r="Q721" s="11" t="str">
        <f aca="false">IF(P721="","",IF(COUNTIF($P$2:$P$3000,P721)&gt;1,"DUPLICATE","OK"))</f>
        <v>OK</v>
      </c>
      <c r="R721" s="0" t="str">
        <f aca="false">IF($C721="","",IFERROR(VLOOKUP(--$C721,MM_Income!$Z$5:$AC$204,3,FALSE()),""))</f>
        <v>Excluded — Overhead (in fixed costs)</v>
      </c>
    </row>
    <row r="722" customFormat="false" ht="14.9" hidden="false" customHeight="false" outlineLevel="0" collapsed="false">
      <c r="A722" s="1" t="s">
        <v>49</v>
      </c>
      <c r="B722" s="1" t="s">
        <v>85</v>
      </c>
      <c r="C722" s="1" t="n">
        <v>7910</v>
      </c>
      <c r="D722" s="1" t="s">
        <v>762</v>
      </c>
      <c r="E722" s="1" t="n">
        <v>42963</v>
      </c>
      <c r="F722" s="1" t="s">
        <v>914</v>
      </c>
      <c r="G722" s="140" t="n">
        <v>46090</v>
      </c>
      <c r="H722" s="1" t="n">
        <v>1210</v>
      </c>
      <c r="J722" s="1" t="s">
        <v>1673</v>
      </c>
      <c r="K722" s="1" t="n">
        <v>481.5</v>
      </c>
      <c r="M722" s="125" t="n">
        <f aca="false">Nominal_Activity[[#This Row],[Debit]]-Nominal_Activity[[#This Row],[Credit]]</f>
        <v>481.5</v>
      </c>
      <c r="N722" s="1" t="str">
        <f aca="false">IF(C722="","",IFERROR(VLOOKUP(C722,Master_Mappings!$A$4:$E$85,3,FALSE()),"UNMAPPED"))</f>
        <v>Financial Charges</v>
      </c>
      <c r="P722" s="1" t="str">
        <f aca="false">IF($C722="","",$C722&amp;"|"&amp;$E722&amp;"|"&amp;$M722&amp;"|"&amp;TEXT($G722,"yyyy-mm-dd")&amp;"|"&amp;LEFT($J722,40))</f>
        <v>7910|42963|481.5|2026-03-09|Bank Charges on Sugar conference ticket</v>
      </c>
      <c r="Q722" s="11" t="str">
        <f aca="false">IF(P722="","",IF(COUNTIF($P$2:$P$3000,P722)&gt;1,"DUPLICATE","OK"))</f>
        <v>OK</v>
      </c>
      <c r="R722" s="0" t="str">
        <f aca="false">IF($C722="","",IFERROR(VLOOKUP(--$C722,MM_Income!$Z$5:$AC$204,3,FALSE()),""))</f>
        <v>Excluded — Overhead (in fixed costs)</v>
      </c>
    </row>
    <row r="723" customFormat="false" ht="14.9" hidden="false" customHeight="false" outlineLevel="0" collapsed="false">
      <c r="A723" s="1" t="s">
        <v>49</v>
      </c>
      <c r="B723" s="1" t="s">
        <v>85</v>
      </c>
      <c r="C723" s="1" t="n">
        <v>7910</v>
      </c>
      <c r="D723" s="1" t="s">
        <v>762</v>
      </c>
      <c r="E723" s="1" t="n">
        <v>42966</v>
      </c>
      <c r="F723" s="1" t="s">
        <v>914</v>
      </c>
      <c r="G723" s="140" t="n">
        <v>46100</v>
      </c>
      <c r="H723" s="1" t="n">
        <v>1210</v>
      </c>
      <c r="J723" s="1" t="s">
        <v>762</v>
      </c>
      <c r="K723" s="1" t="n">
        <v>428</v>
      </c>
      <c r="M723" s="125" t="n">
        <f aca="false">Nominal_Activity[[#This Row],[Debit]]-Nominal_Activity[[#This Row],[Credit]]</f>
        <v>428</v>
      </c>
      <c r="N723" s="1" t="str">
        <f aca="false">IF(C723="","",IFERROR(VLOOKUP(C723,Master_Mappings!$A$4:$E$85,3,FALSE()),"UNMAPPED"))</f>
        <v>Financial Charges</v>
      </c>
      <c r="P723" s="1" t="str">
        <f aca="false">IF($C723="","",$C723&amp;"|"&amp;$E723&amp;"|"&amp;$M723&amp;"|"&amp;TEXT($G723,"yyyy-mm-dd")&amp;"|"&amp;LEFT($J723,40))</f>
        <v>7910|42966|428|2026-03-19|Bank Charges</v>
      </c>
      <c r="Q723" s="11" t="str">
        <f aca="false">IF(P723="","",IF(COUNTIF($P$2:$P$3000,P723)&gt;1,"DUPLICATE","OK"))</f>
        <v>OK</v>
      </c>
      <c r="R723" s="0" t="str">
        <f aca="false">IF($C723="","",IFERROR(VLOOKUP(--$C723,MM_Income!$Z$5:$AC$204,3,FALSE()),""))</f>
        <v>Excluded — Overhead (in fixed costs)</v>
      </c>
    </row>
    <row r="724" customFormat="false" ht="14.9" hidden="false" customHeight="false" outlineLevel="0" collapsed="false">
      <c r="A724" s="1" t="s">
        <v>49</v>
      </c>
      <c r="B724" s="1" t="s">
        <v>85</v>
      </c>
      <c r="C724" s="1" t="n">
        <v>7910</v>
      </c>
      <c r="D724" s="1" t="s">
        <v>762</v>
      </c>
      <c r="E724" s="1" t="n">
        <v>42967</v>
      </c>
      <c r="F724" s="1" t="s">
        <v>914</v>
      </c>
      <c r="G724" s="140" t="n">
        <v>46100</v>
      </c>
      <c r="H724" s="1" t="n">
        <v>1210</v>
      </c>
      <c r="J724" s="1" t="s">
        <v>762</v>
      </c>
      <c r="K724" s="1" t="n">
        <v>481.5</v>
      </c>
      <c r="M724" s="125" t="n">
        <f aca="false">Nominal_Activity[[#This Row],[Debit]]-Nominal_Activity[[#This Row],[Credit]]</f>
        <v>481.5</v>
      </c>
      <c r="N724" s="1" t="str">
        <f aca="false">IF(C724="","",IFERROR(VLOOKUP(C724,Master_Mappings!$A$4:$E$85,3,FALSE()),"UNMAPPED"))</f>
        <v>Financial Charges</v>
      </c>
      <c r="P724" s="1" t="str">
        <f aca="false">IF($C724="","",$C724&amp;"|"&amp;$E724&amp;"|"&amp;$M724&amp;"|"&amp;TEXT($G724,"yyyy-mm-dd")&amp;"|"&amp;LEFT($J724,40))</f>
        <v>7910|42967|481.5|2026-03-19|Bank Charges</v>
      </c>
      <c r="Q724" s="11" t="str">
        <f aca="false">IF(P724="","",IF(COUNTIF($P$2:$P$3000,P724)&gt;1,"DUPLICATE","OK"))</f>
        <v>OK</v>
      </c>
      <c r="R724" s="0" t="str">
        <f aca="false">IF($C724="","",IFERROR(VLOOKUP(--$C724,MM_Income!$Z$5:$AC$204,3,FALSE()),""))</f>
        <v>Excluded — Overhead (in fixed costs)</v>
      </c>
    </row>
    <row r="725" customFormat="false" ht="14.9" hidden="false" customHeight="false" outlineLevel="0" collapsed="false">
      <c r="A725" s="1" t="s">
        <v>49</v>
      </c>
      <c r="B725" s="1" t="s">
        <v>85</v>
      </c>
      <c r="C725" s="1" t="n">
        <v>7910</v>
      </c>
      <c r="D725" s="1" t="s">
        <v>762</v>
      </c>
      <c r="E725" s="1" t="n">
        <v>42972</v>
      </c>
      <c r="F725" s="1" t="s">
        <v>1209</v>
      </c>
      <c r="G725" s="140" t="n">
        <v>46093</v>
      </c>
      <c r="H725" s="1" t="s">
        <v>921</v>
      </c>
      <c r="J725" s="1" t="s">
        <v>1669</v>
      </c>
      <c r="K725" s="1" t="n">
        <v>481.5</v>
      </c>
      <c r="M725" s="125" t="n">
        <f aca="false">Nominal_Activity[[#This Row],[Debit]]-Nominal_Activity[[#This Row],[Credit]]</f>
        <v>481.5</v>
      </c>
      <c r="N725" s="1" t="str">
        <f aca="false">IF(C725="","",IFERROR(VLOOKUP(C725,Master_Mappings!$A$4:$E$85,3,FALSE()),"UNMAPPED"))</f>
        <v>Financial Charges</v>
      </c>
      <c r="P725" s="1" t="str">
        <f aca="false">IF($C725="","",$C725&amp;"|"&amp;$E725&amp;"|"&amp;$M725&amp;"|"&amp;TEXT($G725,"yyyy-mm-dd")&amp;"|"&amp;LEFT($J725,40))</f>
        <v>7910|42972|481.5|2026-03-12|Bank Charges on funds received</v>
      </c>
      <c r="Q725" s="11" t="str">
        <f aca="false">IF(P725="","",IF(COUNTIF($P$2:$P$3000,P725)&gt;1,"DUPLICATE","OK"))</f>
        <v>OK</v>
      </c>
      <c r="R725" s="0" t="str">
        <f aca="false">IF($C725="","",IFERROR(VLOOKUP(--$C725,MM_Income!$Z$5:$AC$204,3,FALSE()),""))</f>
        <v>Excluded — Overhead (in fixed costs)</v>
      </c>
    </row>
    <row r="726" customFormat="false" ht="14.9" hidden="false" customHeight="false" outlineLevel="0" collapsed="false">
      <c r="A726" s="1" t="s">
        <v>49</v>
      </c>
      <c r="B726" s="1" t="s">
        <v>85</v>
      </c>
      <c r="C726" s="1" t="n">
        <v>7910</v>
      </c>
      <c r="D726" s="1" t="s">
        <v>762</v>
      </c>
      <c r="E726" s="1" t="n">
        <v>42975</v>
      </c>
      <c r="F726" s="1" t="s">
        <v>1209</v>
      </c>
      <c r="G726" s="140" t="n">
        <v>46094</v>
      </c>
      <c r="H726" s="1" t="s">
        <v>1674</v>
      </c>
      <c r="J726" s="1" t="s">
        <v>1669</v>
      </c>
      <c r="K726" s="1" t="n">
        <v>107</v>
      </c>
      <c r="M726" s="125" t="n">
        <f aca="false">Nominal_Activity[[#This Row],[Debit]]-Nominal_Activity[[#This Row],[Credit]]</f>
        <v>107</v>
      </c>
      <c r="N726" s="1" t="str">
        <f aca="false">IF(C726="","",IFERROR(VLOOKUP(C726,Master_Mappings!$A$4:$E$85,3,FALSE()),"UNMAPPED"))</f>
        <v>Financial Charges</v>
      </c>
      <c r="P726" s="1" t="str">
        <f aca="false">IF($C726="","",$C726&amp;"|"&amp;$E726&amp;"|"&amp;$M726&amp;"|"&amp;TEXT($G726,"yyyy-mm-dd")&amp;"|"&amp;LEFT($J726,40))</f>
        <v>7910|42975|107|2026-03-13|Bank Charges on funds received</v>
      </c>
      <c r="Q726" s="11" t="str">
        <f aca="false">IF(P726="","",IF(COUNTIF($P$2:$P$3000,P726)&gt;1,"DUPLICATE","OK"))</f>
        <v>OK</v>
      </c>
      <c r="R726" s="0" t="str">
        <f aca="false">IF($C726="","",IFERROR(VLOOKUP(--$C726,MM_Income!$Z$5:$AC$204,3,FALSE()),""))</f>
        <v>Excluded — Overhead (in fixed costs)</v>
      </c>
    </row>
    <row r="727" customFormat="false" ht="14.9" hidden="false" customHeight="false" outlineLevel="0" collapsed="false">
      <c r="A727" s="1" t="s">
        <v>49</v>
      </c>
      <c r="B727" s="1" t="s">
        <v>85</v>
      </c>
      <c r="C727" s="1" t="n">
        <v>7910</v>
      </c>
      <c r="D727" s="1" t="s">
        <v>762</v>
      </c>
      <c r="E727" s="1" t="n">
        <v>42992</v>
      </c>
      <c r="F727" s="1" t="s">
        <v>914</v>
      </c>
      <c r="G727" s="140" t="n">
        <v>46090</v>
      </c>
      <c r="H727" s="1" t="n">
        <v>1200</v>
      </c>
      <c r="J727" s="1" t="s">
        <v>762</v>
      </c>
      <c r="K727" s="1" t="n">
        <v>5</v>
      </c>
      <c r="M727" s="125" t="n">
        <f aca="false">Nominal_Activity[[#This Row],[Debit]]-Nominal_Activity[[#This Row],[Credit]]</f>
        <v>5</v>
      </c>
      <c r="N727" s="1" t="str">
        <f aca="false">IF(C727="","",IFERROR(VLOOKUP(C727,Master_Mappings!$A$4:$E$85,3,FALSE()),"UNMAPPED"))</f>
        <v>Financial Charges</v>
      </c>
      <c r="P727" s="1" t="str">
        <f aca="false">IF($C727="","",$C727&amp;"|"&amp;$E727&amp;"|"&amp;$M727&amp;"|"&amp;TEXT($G727,"yyyy-mm-dd")&amp;"|"&amp;LEFT($J727,40))</f>
        <v>7910|42992|5|2026-03-09|Bank Charges</v>
      </c>
      <c r="Q727" s="11" t="str">
        <f aca="false">IF(P727="","",IF(COUNTIF($P$2:$P$3000,P727)&gt;1,"DUPLICATE","OK"))</f>
        <v>OK</v>
      </c>
      <c r="R727" s="0" t="str">
        <f aca="false">IF($C727="","",IFERROR(VLOOKUP(--$C727,MM_Income!$Z$5:$AC$204,3,FALSE()),""))</f>
        <v>Excluded — Overhead (in fixed costs)</v>
      </c>
    </row>
    <row r="728" customFormat="false" ht="14.9" hidden="false" customHeight="false" outlineLevel="0" collapsed="false">
      <c r="A728" s="1" t="s">
        <v>49</v>
      </c>
      <c r="B728" s="1" t="s">
        <v>85</v>
      </c>
      <c r="C728" s="1" t="n">
        <v>7910</v>
      </c>
      <c r="D728" s="1" t="s">
        <v>762</v>
      </c>
      <c r="E728" s="1" t="n">
        <v>42993</v>
      </c>
      <c r="F728" s="1" t="s">
        <v>914</v>
      </c>
      <c r="G728" s="140" t="n">
        <v>46090</v>
      </c>
      <c r="H728" s="1" t="n">
        <v>1200</v>
      </c>
      <c r="J728" s="1" t="s">
        <v>762</v>
      </c>
      <c r="K728" s="1" t="n">
        <v>5</v>
      </c>
      <c r="M728" s="125" t="n">
        <f aca="false">Nominal_Activity[[#This Row],[Debit]]-Nominal_Activity[[#This Row],[Credit]]</f>
        <v>5</v>
      </c>
      <c r="N728" s="1" t="str">
        <f aca="false">IF(C728="","",IFERROR(VLOOKUP(C728,Master_Mappings!$A$4:$E$85,3,FALSE()),"UNMAPPED"))</f>
        <v>Financial Charges</v>
      </c>
      <c r="P728" s="1" t="str">
        <f aca="false">IF($C728="","",$C728&amp;"|"&amp;$E728&amp;"|"&amp;$M728&amp;"|"&amp;TEXT($G728,"yyyy-mm-dd")&amp;"|"&amp;LEFT($J728,40))</f>
        <v>7910|42993|5|2026-03-09|Bank Charges</v>
      </c>
      <c r="Q728" s="11" t="str">
        <f aca="false">IF(P728="","",IF(COUNTIF($P$2:$P$3000,P728)&gt;1,"DUPLICATE","OK"))</f>
        <v>OK</v>
      </c>
      <c r="R728" s="0" t="str">
        <f aca="false">IF($C728="","",IFERROR(VLOOKUP(--$C728,MM_Income!$Z$5:$AC$204,3,FALSE()),""))</f>
        <v>Excluded — Overhead (in fixed costs)</v>
      </c>
    </row>
    <row r="729" customFormat="false" ht="14.9" hidden="false" customHeight="false" outlineLevel="0" collapsed="false">
      <c r="A729" s="1" t="s">
        <v>49</v>
      </c>
      <c r="B729" s="1" t="s">
        <v>85</v>
      </c>
      <c r="C729" s="1" t="n">
        <v>7910</v>
      </c>
      <c r="D729" s="1" t="s">
        <v>762</v>
      </c>
      <c r="E729" s="1" t="n">
        <v>42994</v>
      </c>
      <c r="F729" s="1" t="s">
        <v>914</v>
      </c>
      <c r="G729" s="140" t="n">
        <v>46090</v>
      </c>
      <c r="H729" s="1" t="n">
        <v>1200</v>
      </c>
      <c r="J729" s="1" t="s">
        <v>762</v>
      </c>
      <c r="K729" s="1" t="n">
        <v>5</v>
      </c>
      <c r="M729" s="125" t="n">
        <f aca="false">Nominal_Activity[[#This Row],[Debit]]-Nominal_Activity[[#This Row],[Credit]]</f>
        <v>5</v>
      </c>
      <c r="N729" s="1" t="str">
        <f aca="false">IF(C729="","",IFERROR(VLOOKUP(C729,Master_Mappings!$A$4:$E$85,3,FALSE()),"UNMAPPED"))</f>
        <v>Financial Charges</v>
      </c>
      <c r="P729" s="1" t="str">
        <f aca="false">IF($C729="","",$C729&amp;"|"&amp;$E729&amp;"|"&amp;$M729&amp;"|"&amp;TEXT($G729,"yyyy-mm-dd")&amp;"|"&amp;LEFT($J729,40))</f>
        <v>7910|42994|5|2026-03-09|Bank Charges</v>
      </c>
      <c r="Q729" s="11" t="str">
        <f aca="false">IF(P729="","",IF(COUNTIF($P$2:$P$3000,P729)&gt;1,"DUPLICATE","OK"))</f>
        <v>OK</v>
      </c>
      <c r="R729" s="0" t="str">
        <f aca="false">IF($C729="","",IFERROR(VLOOKUP(--$C729,MM_Income!$Z$5:$AC$204,3,FALSE()),""))</f>
        <v>Excluded — Overhead (in fixed costs)</v>
      </c>
    </row>
    <row r="730" customFormat="false" ht="14.9" hidden="false" customHeight="false" outlineLevel="0" collapsed="false">
      <c r="A730" s="1" t="s">
        <v>49</v>
      </c>
      <c r="B730" s="1" t="s">
        <v>85</v>
      </c>
      <c r="C730" s="1" t="n">
        <v>7910</v>
      </c>
      <c r="D730" s="1" t="s">
        <v>762</v>
      </c>
      <c r="E730" s="1" t="n">
        <v>43019</v>
      </c>
      <c r="F730" s="1" t="s">
        <v>914</v>
      </c>
      <c r="G730" s="140" t="n">
        <v>46097</v>
      </c>
      <c r="H730" s="1" t="n">
        <v>1200</v>
      </c>
      <c r="J730" s="1" t="s">
        <v>762</v>
      </c>
      <c r="K730" s="1" t="n">
        <v>5</v>
      </c>
      <c r="M730" s="125" t="n">
        <f aca="false">Nominal_Activity[[#This Row],[Debit]]-Nominal_Activity[[#This Row],[Credit]]</f>
        <v>5</v>
      </c>
      <c r="N730" s="1" t="str">
        <f aca="false">IF(C730="","",IFERROR(VLOOKUP(C730,Master_Mappings!$A$4:$E$85,3,FALSE()),"UNMAPPED"))</f>
        <v>Financial Charges</v>
      </c>
      <c r="P730" s="1" t="str">
        <f aca="false">IF($C730="","",$C730&amp;"|"&amp;$E730&amp;"|"&amp;$M730&amp;"|"&amp;TEXT($G730,"yyyy-mm-dd")&amp;"|"&amp;LEFT($J730,40))</f>
        <v>7910|43019|5|2026-03-16|Bank Charges</v>
      </c>
      <c r="Q730" s="11" t="str">
        <f aca="false">IF(P730="","",IF(COUNTIF($P$2:$P$3000,P730)&gt;1,"DUPLICATE","OK"))</f>
        <v>OK</v>
      </c>
      <c r="R730" s="0" t="str">
        <f aca="false">IF($C730="","",IFERROR(VLOOKUP(--$C730,MM_Income!$Z$5:$AC$204,3,FALSE()),""))</f>
        <v>Excluded — Overhead (in fixed costs)</v>
      </c>
    </row>
    <row r="731" customFormat="false" ht="14.9" hidden="false" customHeight="false" outlineLevel="0" collapsed="false">
      <c r="A731" s="1" t="s">
        <v>49</v>
      </c>
      <c r="B731" s="1" t="s">
        <v>85</v>
      </c>
      <c r="C731" s="1" t="n">
        <v>7910</v>
      </c>
      <c r="D731" s="1" t="s">
        <v>762</v>
      </c>
      <c r="E731" s="1" t="n">
        <v>43020</v>
      </c>
      <c r="F731" s="1" t="s">
        <v>914</v>
      </c>
      <c r="G731" s="140" t="n">
        <v>46097</v>
      </c>
      <c r="H731" s="1" t="n">
        <v>1200</v>
      </c>
      <c r="J731" s="1" t="s">
        <v>762</v>
      </c>
      <c r="K731" s="1" t="n">
        <v>7</v>
      </c>
      <c r="M731" s="125" t="n">
        <f aca="false">Nominal_Activity[[#This Row],[Debit]]-Nominal_Activity[[#This Row],[Credit]]</f>
        <v>7</v>
      </c>
      <c r="N731" s="1" t="str">
        <f aca="false">IF(C731="","",IFERROR(VLOOKUP(C731,Master_Mappings!$A$4:$E$85,3,FALSE()),"UNMAPPED"))</f>
        <v>Financial Charges</v>
      </c>
      <c r="P731" s="1" t="str">
        <f aca="false">IF($C731="","",$C731&amp;"|"&amp;$E731&amp;"|"&amp;$M731&amp;"|"&amp;TEXT($G731,"yyyy-mm-dd")&amp;"|"&amp;LEFT($J731,40))</f>
        <v>7910|43020|7|2026-03-16|Bank Charges</v>
      </c>
      <c r="Q731" s="11" t="str">
        <f aca="false">IF(P731="","",IF(COUNTIF($P$2:$P$3000,P731)&gt;1,"DUPLICATE","OK"))</f>
        <v>OK</v>
      </c>
      <c r="R731" s="0" t="str">
        <f aca="false">IF($C731="","",IFERROR(VLOOKUP(--$C731,MM_Income!$Z$5:$AC$204,3,FALSE()),""))</f>
        <v>Excluded — Overhead (in fixed costs)</v>
      </c>
    </row>
    <row r="732" customFormat="false" ht="14.9" hidden="false" customHeight="false" outlineLevel="0" collapsed="false">
      <c r="A732" s="1" t="s">
        <v>49</v>
      </c>
      <c r="B732" s="1" t="s">
        <v>85</v>
      </c>
      <c r="C732" s="1" t="n">
        <v>7910</v>
      </c>
      <c r="D732" s="1" t="s">
        <v>762</v>
      </c>
      <c r="E732" s="1" t="n">
        <v>43021</v>
      </c>
      <c r="F732" s="1" t="s">
        <v>914</v>
      </c>
      <c r="G732" s="140" t="n">
        <v>46097</v>
      </c>
      <c r="H732" s="1" t="n">
        <v>1200</v>
      </c>
      <c r="J732" s="1" t="s">
        <v>762</v>
      </c>
      <c r="K732" s="1" t="n">
        <v>8.49</v>
      </c>
      <c r="M732" s="125" t="n">
        <f aca="false">Nominal_Activity[[#This Row],[Debit]]-Nominal_Activity[[#This Row],[Credit]]</f>
        <v>8.49</v>
      </c>
      <c r="N732" s="1" t="str">
        <f aca="false">IF(C732="","",IFERROR(VLOOKUP(C732,Master_Mappings!$A$4:$E$85,3,FALSE()),"UNMAPPED"))</f>
        <v>Financial Charges</v>
      </c>
      <c r="P732" s="1" t="str">
        <f aca="false">IF($C732="","",$C732&amp;"|"&amp;$E732&amp;"|"&amp;$M732&amp;"|"&amp;TEXT($G732,"yyyy-mm-dd")&amp;"|"&amp;LEFT($J732,40))</f>
        <v>7910|43021|8.49|2026-03-16|Bank Charges</v>
      </c>
      <c r="Q732" s="11" t="str">
        <f aca="false">IF(P732="","",IF(COUNTIF($P$2:$P$3000,P732)&gt;1,"DUPLICATE","OK"))</f>
        <v>OK</v>
      </c>
      <c r="R732" s="0" t="str">
        <f aca="false">IF($C732="","",IFERROR(VLOOKUP(--$C732,MM_Income!$Z$5:$AC$204,3,FALSE()),""))</f>
        <v>Excluded — Overhead (in fixed costs)</v>
      </c>
    </row>
    <row r="733" customFormat="false" ht="14.9" hidden="false" customHeight="false" outlineLevel="0" collapsed="false">
      <c r="A733" s="1" t="s">
        <v>49</v>
      </c>
      <c r="B733" s="1" t="s">
        <v>85</v>
      </c>
      <c r="C733" s="1" t="n">
        <v>7910</v>
      </c>
      <c r="D733" s="1" t="s">
        <v>762</v>
      </c>
      <c r="E733" s="1" t="n">
        <v>43022</v>
      </c>
      <c r="F733" s="1" t="s">
        <v>914</v>
      </c>
      <c r="G733" s="140" t="n">
        <v>46097</v>
      </c>
      <c r="H733" s="1" t="n">
        <v>1200</v>
      </c>
      <c r="J733" s="1" t="s">
        <v>762</v>
      </c>
      <c r="K733" s="1" t="n">
        <v>5</v>
      </c>
      <c r="M733" s="125" t="n">
        <f aca="false">Nominal_Activity[[#This Row],[Debit]]-Nominal_Activity[[#This Row],[Credit]]</f>
        <v>5</v>
      </c>
      <c r="N733" s="1" t="str">
        <f aca="false">IF(C733="","",IFERROR(VLOOKUP(C733,Master_Mappings!$A$4:$E$85,3,FALSE()),"UNMAPPED"))</f>
        <v>Financial Charges</v>
      </c>
      <c r="P733" s="1" t="str">
        <f aca="false">IF($C733="","",$C733&amp;"|"&amp;$E733&amp;"|"&amp;$M733&amp;"|"&amp;TEXT($G733,"yyyy-mm-dd")&amp;"|"&amp;LEFT($J733,40))</f>
        <v>7910|43022|5|2026-03-16|Bank Charges</v>
      </c>
      <c r="Q733" s="11" t="str">
        <f aca="false">IF(P733="","",IF(COUNTIF($P$2:$P$3000,P733)&gt;1,"DUPLICATE","OK"))</f>
        <v>OK</v>
      </c>
      <c r="R733" s="0" t="str">
        <f aca="false">IF($C733="","",IFERROR(VLOOKUP(--$C733,MM_Income!$Z$5:$AC$204,3,FALSE()),""))</f>
        <v>Excluded — Overhead (in fixed costs)</v>
      </c>
    </row>
    <row r="734" customFormat="false" ht="14.9" hidden="false" customHeight="false" outlineLevel="0" collapsed="false">
      <c r="A734" s="1" t="s">
        <v>49</v>
      </c>
      <c r="B734" s="1" t="s">
        <v>85</v>
      </c>
      <c r="C734" s="1" t="n">
        <v>7910</v>
      </c>
      <c r="D734" s="1" t="s">
        <v>762</v>
      </c>
      <c r="E734" s="1" t="n">
        <v>43023</v>
      </c>
      <c r="F734" s="1" t="s">
        <v>914</v>
      </c>
      <c r="G734" s="140" t="n">
        <v>46097</v>
      </c>
      <c r="H734" s="1" t="n">
        <v>1200</v>
      </c>
      <c r="J734" s="1" t="s">
        <v>762</v>
      </c>
      <c r="K734" s="1" t="n">
        <v>5</v>
      </c>
      <c r="M734" s="125" t="n">
        <f aca="false">Nominal_Activity[[#This Row],[Debit]]-Nominal_Activity[[#This Row],[Credit]]</f>
        <v>5</v>
      </c>
      <c r="N734" s="1" t="str">
        <f aca="false">IF(C734="","",IFERROR(VLOOKUP(C734,Master_Mappings!$A$4:$E$85,3,FALSE()),"UNMAPPED"))</f>
        <v>Financial Charges</v>
      </c>
      <c r="P734" s="1" t="str">
        <f aca="false">IF($C734="","",$C734&amp;"|"&amp;$E734&amp;"|"&amp;$M734&amp;"|"&amp;TEXT($G734,"yyyy-mm-dd")&amp;"|"&amp;LEFT($J734,40))</f>
        <v>7910|43023|5|2026-03-16|Bank Charges</v>
      </c>
      <c r="Q734" s="11" t="str">
        <f aca="false">IF(P734="","",IF(COUNTIF($P$2:$P$3000,P734)&gt;1,"DUPLICATE","OK"))</f>
        <v>OK</v>
      </c>
      <c r="R734" s="0" t="str">
        <f aca="false">IF($C734="","",IFERROR(VLOOKUP(--$C734,MM_Income!$Z$5:$AC$204,3,FALSE()),""))</f>
        <v>Excluded — Overhead (in fixed costs)</v>
      </c>
    </row>
    <row r="735" customFormat="false" ht="14.9" hidden="false" customHeight="false" outlineLevel="0" collapsed="false">
      <c r="A735" s="1" t="s">
        <v>49</v>
      </c>
      <c r="B735" s="1" t="s">
        <v>85</v>
      </c>
      <c r="C735" s="1" t="n">
        <v>7910</v>
      </c>
      <c r="D735" s="1" t="s">
        <v>762</v>
      </c>
      <c r="E735" s="1" t="n">
        <v>43028</v>
      </c>
      <c r="F735" s="1" t="s">
        <v>914</v>
      </c>
      <c r="G735" s="140" t="n">
        <v>46100</v>
      </c>
      <c r="H735" s="1" t="n">
        <v>1200</v>
      </c>
      <c r="J735" s="1" t="s">
        <v>762</v>
      </c>
      <c r="K735" s="1" t="n">
        <v>5</v>
      </c>
      <c r="M735" s="125" t="n">
        <f aca="false">Nominal_Activity[[#This Row],[Debit]]-Nominal_Activity[[#This Row],[Credit]]</f>
        <v>5</v>
      </c>
      <c r="N735" s="1" t="str">
        <f aca="false">IF(C735="","",IFERROR(VLOOKUP(C735,Master_Mappings!$A$4:$E$85,3,FALSE()),"UNMAPPED"))</f>
        <v>Financial Charges</v>
      </c>
      <c r="P735" s="1" t="str">
        <f aca="false">IF($C735="","",$C735&amp;"|"&amp;$E735&amp;"|"&amp;$M735&amp;"|"&amp;TEXT($G735,"yyyy-mm-dd")&amp;"|"&amp;LEFT($J735,40))</f>
        <v>7910|43028|5|2026-03-19|Bank Charges</v>
      </c>
      <c r="Q735" s="11" t="str">
        <f aca="false">IF(P735="","",IF(COUNTIF($P$2:$P$3000,P735)&gt;1,"DUPLICATE","OK"))</f>
        <v>OK</v>
      </c>
      <c r="R735" s="0" t="str">
        <f aca="false">IF($C735="","",IFERROR(VLOOKUP(--$C735,MM_Income!$Z$5:$AC$204,3,FALSE()),""))</f>
        <v>Excluded — Overhead (in fixed costs)</v>
      </c>
    </row>
    <row r="736" customFormat="false" ht="14.9" hidden="false" customHeight="false" outlineLevel="0" collapsed="false">
      <c r="A736" s="1" t="s">
        <v>49</v>
      </c>
      <c r="B736" s="1" t="s">
        <v>85</v>
      </c>
      <c r="C736" s="1" t="n">
        <v>7910</v>
      </c>
      <c r="D736" s="1" t="s">
        <v>762</v>
      </c>
      <c r="E736" s="1" t="n">
        <v>43034</v>
      </c>
      <c r="F736" s="1" t="s">
        <v>914</v>
      </c>
      <c r="G736" s="140" t="n">
        <v>46107</v>
      </c>
      <c r="H736" s="1" t="n">
        <v>1200</v>
      </c>
      <c r="J736" s="1" t="s">
        <v>762</v>
      </c>
      <c r="K736" s="1" t="n">
        <v>20</v>
      </c>
      <c r="M736" s="125" t="n">
        <f aca="false">Nominal_Activity[[#This Row],[Debit]]-Nominal_Activity[[#This Row],[Credit]]</f>
        <v>20</v>
      </c>
      <c r="N736" s="1" t="str">
        <f aca="false">IF(C736="","",IFERROR(VLOOKUP(C736,Master_Mappings!$A$4:$E$85,3,FALSE()),"UNMAPPED"))</f>
        <v>Financial Charges</v>
      </c>
      <c r="P736" s="1" t="str">
        <f aca="false">IF($C736="","",$C736&amp;"|"&amp;$E736&amp;"|"&amp;$M736&amp;"|"&amp;TEXT($G736,"yyyy-mm-dd")&amp;"|"&amp;LEFT($J736,40))</f>
        <v>7910|43034|20|2026-03-26|Bank Charges</v>
      </c>
      <c r="Q736" s="11" t="str">
        <f aca="false">IF(P736="","",IF(COUNTIF($P$2:$P$3000,P736)&gt;1,"DUPLICATE","OK"))</f>
        <v>OK</v>
      </c>
      <c r="R736" s="0" t="str">
        <f aca="false">IF($C736="","",IFERROR(VLOOKUP(--$C736,MM_Income!$Z$5:$AC$204,3,FALSE()),""))</f>
        <v>Excluded — Overhead (in fixed costs)</v>
      </c>
    </row>
    <row r="737" customFormat="false" ht="14.9" hidden="false" customHeight="false" outlineLevel="0" collapsed="false">
      <c r="A737" s="1" t="s">
        <v>49</v>
      </c>
      <c r="B737" s="1" t="s">
        <v>85</v>
      </c>
      <c r="C737" s="1" t="n">
        <v>7910</v>
      </c>
      <c r="D737" s="1" t="s">
        <v>762</v>
      </c>
      <c r="E737" s="1" t="n">
        <v>43035</v>
      </c>
      <c r="F737" s="1" t="s">
        <v>914</v>
      </c>
      <c r="G737" s="140" t="n">
        <v>46107</v>
      </c>
      <c r="H737" s="1" t="n">
        <v>1200</v>
      </c>
      <c r="J737" s="1" t="s">
        <v>762</v>
      </c>
      <c r="K737" s="1" t="n">
        <v>20</v>
      </c>
      <c r="M737" s="125" t="n">
        <f aca="false">Nominal_Activity[[#This Row],[Debit]]-Nominal_Activity[[#This Row],[Credit]]</f>
        <v>20</v>
      </c>
      <c r="N737" s="1" t="str">
        <f aca="false">IF(C737="","",IFERROR(VLOOKUP(C737,Master_Mappings!$A$4:$E$85,3,FALSE()),"UNMAPPED"))</f>
        <v>Financial Charges</v>
      </c>
      <c r="P737" s="1" t="str">
        <f aca="false">IF($C737="","",$C737&amp;"|"&amp;$E737&amp;"|"&amp;$M737&amp;"|"&amp;TEXT($G737,"yyyy-mm-dd")&amp;"|"&amp;LEFT($J737,40))</f>
        <v>7910|43035|20|2026-03-26|Bank Charges</v>
      </c>
      <c r="Q737" s="11" t="str">
        <f aca="false">IF(P737="","",IF(COUNTIF($P$2:$P$3000,P737)&gt;1,"DUPLICATE","OK"))</f>
        <v>OK</v>
      </c>
      <c r="R737" s="0" t="str">
        <f aca="false">IF($C737="","",IFERROR(VLOOKUP(--$C737,MM_Income!$Z$5:$AC$204,3,FALSE()),""))</f>
        <v>Excluded — Overhead (in fixed costs)</v>
      </c>
    </row>
    <row r="738" customFormat="false" ht="14.9" hidden="false" customHeight="false" outlineLevel="0" collapsed="false">
      <c r="A738" s="1" t="s">
        <v>49</v>
      </c>
      <c r="B738" s="1" t="s">
        <v>85</v>
      </c>
      <c r="C738" s="1" t="n">
        <v>7910</v>
      </c>
      <c r="D738" s="1" t="s">
        <v>762</v>
      </c>
      <c r="E738" s="1" t="n">
        <v>43039</v>
      </c>
      <c r="F738" s="1" t="s">
        <v>914</v>
      </c>
      <c r="G738" s="140" t="n">
        <v>46111</v>
      </c>
      <c r="H738" s="1" t="n">
        <v>1200</v>
      </c>
      <c r="J738" s="1" t="s">
        <v>762</v>
      </c>
      <c r="K738" s="1" t="n">
        <v>7</v>
      </c>
      <c r="M738" s="125" t="n">
        <f aca="false">Nominal_Activity[[#This Row],[Debit]]-Nominal_Activity[[#This Row],[Credit]]</f>
        <v>7</v>
      </c>
      <c r="N738" s="1" t="str">
        <f aca="false">IF(C738="","",IFERROR(VLOOKUP(C738,Master_Mappings!$A$4:$E$85,3,FALSE()),"UNMAPPED"))</f>
        <v>Financial Charges</v>
      </c>
      <c r="P738" s="1" t="str">
        <f aca="false">IF($C738="","",$C738&amp;"|"&amp;$E738&amp;"|"&amp;$M738&amp;"|"&amp;TEXT($G738,"yyyy-mm-dd")&amp;"|"&amp;LEFT($J738,40))</f>
        <v>7910|43039|7|2026-03-30|Bank Charges</v>
      </c>
      <c r="Q738" s="11" t="str">
        <f aca="false">IF(P738="","",IF(COUNTIF($P$2:$P$3000,P738)&gt;1,"DUPLICATE","OK"))</f>
        <v>OK</v>
      </c>
      <c r="R738" s="0" t="str">
        <f aca="false">IF($C738="","",IFERROR(VLOOKUP(--$C738,MM_Income!$Z$5:$AC$204,3,FALSE()),""))</f>
        <v>Excluded — Overhead (in fixed costs)</v>
      </c>
    </row>
    <row r="739" customFormat="false" ht="14.9" hidden="false" customHeight="false" outlineLevel="0" collapsed="false">
      <c r="A739" s="1" t="s">
        <v>49</v>
      </c>
      <c r="B739" s="1" t="s">
        <v>85</v>
      </c>
      <c r="C739" s="1" t="n">
        <v>7910</v>
      </c>
      <c r="D739" s="1" t="s">
        <v>762</v>
      </c>
      <c r="E739" s="1" t="n">
        <v>43040</v>
      </c>
      <c r="F739" s="1" t="s">
        <v>914</v>
      </c>
      <c r="G739" s="140" t="n">
        <v>46111</v>
      </c>
      <c r="H739" s="1" t="n">
        <v>1200</v>
      </c>
      <c r="J739" s="1" t="s">
        <v>762</v>
      </c>
      <c r="K739" s="1" t="n">
        <v>5</v>
      </c>
      <c r="M739" s="125" t="n">
        <f aca="false">Nominal_Activity[[#This Row],[Debit]]-Nominal_Activity[[#This Row],[Credit]]</f>
        <v>5</v>
      </c>
      <c r="N739" s="1" t="str">
        <f aca="false">IF(C739="","",IFERROR(VLOOKUP(C739,Master_Mappings!$A$4:$E$85,3,FALSE()),"UNMAPPED"))</f>
        <v>Financial Charges</v>
      </c>
      <c r="P739" s="1" t="str">
        <f aca="false">IF($C739="","",$C739&amp;"|"&amp;$E739&amp;"|"&amp;$M739&amp;"|"&amp;TEXT($G739,"yyyy-mm-dd")&amp;"|"&amp;LEFT($J739,40))</f>
        <v>7910|43040|5|2026-03-30|Bank Charges</v>
      </c>
      <c r="Q739" s="11" t="str">
        <f aca="false">IF(P739="","",IF(COUNTIF($P$2:$P$3000,P739)&gt;1,"DUPLICATE","OK"))</f>
        <v>OK</v>
      </c>
      <c r="R739" s="0" t="str">
        <f aca="false">IF($C739="","",IFERROR(VLOOKUP(--$C739,MM_Income!$Z$5:$AC$204,3,FALSE()),""))</f>
        <v>Excluded — Overhead (in fixed costs)</v>
      </c>
    </row>
    <row r="740" customFormat="false" ht="14.9" hidden="false" customHeight="false" outlineLevel="0" collapsed="false">
      <c r="A740" s="1" t="s">
        <v>49</v>
      </c>
      <c r="B740" s="1" t="s">
        <v>85</v>
      </c>
      <c r="C740" s="1" t="n">
        <v>7910</v>
      </c>
      <c r="D740" s="1" t="s">
        <v>762</v>
      </c>
      <c r="E740" s="1" t="n">
        <v>43041</v>
      </c>
      <c r="F740" s="1" t="s">
        <v>914</v>
      </c>
      <c r="G740" s="140" t="n">
        <v>46112</v>
      </c>
      <c r="H740" s="1" t="n">
        <v>1200</v>
      </c>
      <c r="J740" s="1" t="s">
        <v>762</v>
      </c>
      <c r="K740" s="1" t="n">
        <v>60</v>
      </c>
      <c r="M740" s="125" t="n">
        <f aca="false">Nominal_Activity[[#This Row],[Debit]]-Nominal_Activity[[#This Row],[Credit]]</f>
        <v>60</v>
      </c>
      <c r="N740" s="1" t="str">
        <f aca="false">IF(C740="","",IFERROR(VLOOKUP(C740,Master_Mappings!$A$4:$E$85,3,FALSE()),"UNMAPPED"))</f>
        <v>Financial Charges</v>
      </c>
      <c r="P740" s="1" t="str">
        <f aca="false">IF($C740="","",$C740&amp;"|"&amp;$E740&amp;"|"&amp;$M740&amp;"|"&amp;TEXT($G740,"yyyy-mm-dd")&amp;"|"&amp;LEFT($J740,40))</f>
        <v>7910|43041|60|2026-03-31|Bank Charges</v>
      </c>
      <c r="Q740" s="11" t="str">
        <f aca="false">IF(P740="","",IF(COUNTIF($P$2:$P$3000,P740)&gt;1,"DUPLICATE","OK"))</f>
        <v>OK</v>
      </c>
      <c r="R740" s="0" t="str">
        <f aca="false">IF($C740="","",IFERROR(VLOOKUP(--$C740,MM_Income!$Z$5:$AC$204,3,FALSE()),""))</f>
        <v>Excluded — Overhead (in fixed costs)</v>
      </c>
    </row>
    <row r="741" customFormat="false" ht="14.9" hidden="false" customHeight="false" outlineLevel="0" collapsed="false">
      <c r="A741" s="1" t="s">
        <v>49</v>
      </c>
      <c r="B741" s="1" t="s">
        <v>85</v>
      </c>
      <c r="C741" s="1" t="n">
        <v>7910</v>
      </c>
      <c r="D741" s="1" t="s">
        <v>762</v>
      </c>
      <c r="E741" s="1" t="n">
        <v>43048</v>
      </c>
      <c r="F741" s="1" t="s">
        <v>914</v>
      </c>
      <c r="G741" s="140" t="n">
        <v>46094</v>
      </c>
      <c r="H741" s="1" t="n">
        <v>1200</v>
      </c>
      <c r="J741" s="1" t="s">
        <v>762</v>
      </c>
      <c r="K741" s="1" t="n">
        <v>16.7</v>
      </c>
      <c r="M741" s="125" t="n">
        <f aca="false">Nominal_Activity[[#This Row],[Debit]]-Nominal_Activity[[#This Row],[Credit]]</f>
        <v>16.7</v>
      </c>
      <c r="N741" s="1" t="str">
        <f aca="false">IF(C741="","",IFERROR(VLOOKUP(C741,Master_Mappings!$A$4:$E$85,3,FALSE()),"UNMAPPED"))</f>
        <v>Financial Charges</v>
      </c>
      <c r="P741" s="1" t="str">
        <f aca="false">IF($C741="","",$C741&amp;"|"&amp;$E741&amp;"|"&amp;$M741&amp;"|"&amp;TEXT($G741,"yyyy-mm-dd")&amp;"|"&amp;LEFT($J741,40))</f>
        <v>7910|43048|16.7|2026-03-13|Bank Charges</v>
      </c>
      <c r="Q741" s="11" t="str">
        <f aca="false">IF(P741="","",IF(COUNTIF($P$2:$P$3000,P741)&gt;1,"DUPLICATE","OK"))</f>
        <v>OK</v>
      </c>
      <c r="R741" s="0" t="str">
        <f aca="false">IF($C741="","",IFERROR(VLOOKUP(--$C741,MM_Income!$Z$5:$AC$204,3,FALSE()),""))</f>
        <v>Excluded — Overhead (in fixed costs)</v>
      </c>
    </row>
    <row r="742" customFormat="false" ht="14.9" hidden="false" customHeight="false" outlineLevel="0" collapsed="false">
      <c r="A742" s="1" t="s">
        <v>49</v>
      </c>
      <c r="B742" s="1" t="s">
        <v>85</v>
      </c>
      <c r="C742" s="1" t="n">
        <v>7910</v>
      </c>
      <c r="D742" s="1" t="s">
        <v>762</v>
      </c>
      <c r="E742" s="1" t="n">
        <v>43049</v>
      </c>
      <c r="F742" s="1" t="s">
        <v>914</v>
      </c>
      <c r="G742" s="140" t="n">
        <v>46094</v>
      </c>
      <c r="H742" s="1" t="n">
        <v>1200</v>
      </c>
      <c r="J742" s="1" t="s">
        <v>762</v>
      </c>
      <c r="K742" s="1" t="n">
        <v>20</v>
      </c>
      <c r="M742" s="125" t="n">
        <f aca="false">Nominal_Activity[[#This Row],[Debit]]-Nominal_Activity[[#This Row],[Credit]]</f>
        <v>20</v>
      </c>
      <c r="N742" s="1" t="str">
        <f aca="false">IF(C742="","",IFERROR(VLOOKUP(C742,Master_Mappings!$A$4:$E$85,3,FALSE()),"UNMAPPED"))</f>
        <v>Financial Charges</v>
      </c>
      <c r="P742" s="1" t="str">
        <f aca="false">IF($C742="","",$C742&amp;"|"&amp;$E742&amp;"|"&amp;$M742&amp;"|"&amp;TEXT($G742,"yyyy-mm-dd")&amp;"|"&amp;LEFT($J742,40))</f>
        <v>7910|43049|20|2026-03-13|Bank Charges</v>
      </c>
      <c r="Q742" s="11" t="str">
        <f aca="false">IF(P742="","",IF(COUNTIF($P$2:$P$3000,P742)&gt;1,"DUPLICATE","OK"))</f>
        <v>OK</v>
      </c>
      <c r="R742" s="0" t="str">
        <f aca="false">IF($C742="","",IFERROR(VLOOKUP(--$C742,MM_Income!$Z$5:$AC$204,3,FALSE()),""))</f>
        <v>Excluded — Overhead (in fixed costs)</v>
      </c>
    </row>
    <row r="743" customFormat="false" ht="14.9" hidden="false" customHeight="false" outlineLevel="0" collapsed="false">
      <c r="A743" s="1" t="s">
        <v>49</v>
      </c>
      <c r="B743" s="1" t="s">
        <v>89</v>
      </c>
      <c r="C743" s="1" t="n">
        <v>7910</v>
      </c>
      <c r="D743" s="1" t="s">
        <v>762</v>
      </c>
      <c r="E743" s="1" t="n">
        <v>43068</v>
      </c>
      <c r="F743" s="1" t="s">
        <v>914</v>
      </c>
      <c r="G743" s="140" t="n">
        <v>46114</v>
      </c>
      <c r="H743" s="1" t="n">
        <v>1209</v>
      </c>
      <c r="J743" s="1" t="s">
        <v>1675</v>
      </c>
      <c r="K743" s="1" t="n">
        <v>2651</v>
      </c>
      <c r="M743" s="125" t="n">
        <f aca="false">Nominal_Activity[[#This Row],[Debit]]-Nominal_Activity[[#This Row],[Credit]]</f>
        <v>2651</v>
      </c>
      <c r="N743" s="1" t="str">
        <f aca="false">IF(C743="","",IFERROR(VLOOKUP(C743,Master_Mappings!$A$4:$E$85,3,FALSE()),"UNMAPPED"))</f>
        <v>Financial Charges</v>
      </c>
      <c r="P743" s="1" t="str">
        <f aca="false">IF($C743="","",$C743&amp;"|"&amp;$E743&amp;"|"&amp;$M743&amp;"|"&amp;TEXT($G743,"yyyy-mm-dd")&amp;"|"&amp;LEFT($J743,40))</f>
        <v>7910|43068|2651|2026-04-02|Bank charges on cheque withdrawal</v>
      </c>
      <c r="Q743" s="11" t="str">
        <f aca="false">IF(P743="","",IF(COUNTIF($P$2:$P$3000,P743)&gt;1,"DUPLICATE","OK"))</f>
        <v>OK</v>
      </c>
      <c r="R743" s="0" t="str">
        <f aca="false">IF($C743="","",IFERROR(VLOOKUP(--$C743,MM_Income!$Z$5:$AC$204,3,FALSE()),""))</f>
        <v>Excluded — Overhead (in fixed costs)</v>
      </c>
    </row>
    <row r="744" customFormat="false" ht="14.9" hidden="false" customHeight="false" outlineLevel="0" collapsed="false">
      <c r="A744" s="1" t="s">
        <v>49</v>
      </c>
      <c r="B744" s="1" t="s">
        <v>89</v>
      </c>
      <c r="C744" s="1" t="n">
        <v>7910</v>
      </c>
      <c r="D744" s="1" t="s">
        <v>762</v>
      </c>
      <c r="E744" s="1" t="n">
        <v>43076</v>
      </c>
      <c r="F744" s="1" t="s">
        <v>914</v>
      </c>
      <c r="G744" s="140" t="n">
        <v>46114</v>
      </c>
      <c r="H744" s="1" t="n">
        <v>1210</v>
      </c>
      <c r="J744" s="1" t="s">
        <v>1676</v>
      </c>
      <c r="K744" s="1" t="n">
        <v>66.22</v>
      </c>
      <c r="M744" s="125" t="n">
        <f aca="false">Nominal_Activity[[#This Row],[Debit]]-Nominal_Activity[[#This Row],[Credit]]</f>
        <v>66.22</v>
      </c>
      <c r="N744" s="1" t="str">
        <f aca="false">IF(C744="","",IFERROR(VLOOKUP(C744,Master_Mappings!$A$4:$E$85,3,FALSE()),"UNMAPPED"))</f>
        <v>Financial Charges</v>
      </c>
      <c r="P744" s="1" t="str">
        <f aca="false">IF($C744="","",$C744&amp;"|"&amp;$E744&amp;"|"&amp;$M744&amp;"|"&amp;TEXT($G744,"yyyy-mm-dd")&amp;"|"&amp;LEFT($J744,40))</f>
        <v>7910|43076|66.22|2026-04-02|Bank Charge for printing bank statement</v>
      </c>
      <c r="Q744" s="11" t="str">
        <f aca="false">IF(P744="","",IF(COUNTIF($P$2:$P$3000,P744)&gt;1,"DUPLICATE","OK"))</f>
        <v>OK</v>
      </c>
      <c r="R744" s="0" t="str">
        <f aca="false">IF($C744="","",IFERROR(VLOOKUP(--$C744,MM_Income!$Z$5:$AC$204,3,FALSE()),""))</f>
        <v>Excluded — Overhead (in fixed costs)</v>
      </c>
    </row>
    <row r="745" customFormat="false" ht="14.9" hidden="false" customHeight="false" outlineLevel="0" collapsed="false">
      <c r="A745" s="1" t="s">
        <v>49</v>
      </c>
      <c r="B745" s="1" t="s">
        <v>89</v>
      </c>
      <c r="C745" s="1" t="n">
        <v>7910</v>
      </c>
      <c r="D745" s="1" t="s">
        <v>762</v>
      </c>
      <c r="E745" s="1" t="n">
        <v>43080</v>
      </c>
      <c r="F745" s="1" t="s">
        <v>1209</v>
      </c>
      <c r="G745" s="140" t="n">
        <v>46119</v>
      </c>
      <c r="H745" s="1" t="s">
        <v>382</v>
      </c>
      <c r="J745" s="1" t="s">
        <v>1677</v>
      </c>
      <c r="K745" s="1" t="n">
        <v>96.3</v>
      </c>
      <c r="M745" s="125" t="n">
        <f aca="false">Nominal_Activity[[#This Row],[Debit]]-Nominal_Activity[[#This Row],[Credit]]</f>
        <v>96.3</v>
      </c>
      <c r="N745" s="1" t="str">
        <f aca="false">IF(C745="","",IFERROR(VLOOKUP(C745,Master_Mappings!$A$4:$E$85,3,FALSE()),"UNMAPPED"))</f>
        <v>Financial Charges</v>
      </c>
      <c r="P745" s="1" t="str">
        <f aca="false">IF($C745="","",$C745&amp;"|"&amp;$E745&amp;"|"&amp;$M745&amp;"|"&amp;TEXT($G745,"yyyy-mm-dd")&amp;"|"&amp;LEFT($J745,40))</f>
        <v>7910|43080|96.3|2026-04-07|Bank Charges on funds received from GVL</v>
      </c>
      <c r="Q745" s="11" t="str">
        <f aca="false">IF(P745="","",IF(COUNTIF($P$2:$P$3000,P745)&gt;1,"DUPLICATE","OK"))</f>
        <v>OK</v>
      </c>
      <c r="R745" s="0" t="str">
        <f aca="false">IF($C745="","",IFERROR(VLOOKUP(--$C745,MM_Income!$Z$5:$AC$204,3,FALSE()),""))</f>
        <v>Excluded — Overhead (in fixed costs)</v>
      </c>
    </row>
    <row r="746" customFormat="false" ht="14.9" hidden="false" customHeight="false" outlineLevel="0" collapsed="false">
      <c r="A746" s="1" t="s">
        <v>49</v>
      </c>
      <c r="B746" s="1" t="s">
        <v>89</v>
      </c>
      <c r="C746" s="1" t="n">
        <v>7910</v>
      </c>
      <c r="D746" s="1" t="s">
        <v>762</v>
      </c>
      <c r="E746" s="1" t="n">
        <v>43187</v>
      </c>
      <c r="F746" s="1" t="s">
        <v>869</v>
      </c>
      <c r="G746" s="140" t="n">
        <v>46125</v>
      </c>
      <c r="H746" s="1" t="n">
        <v>1230</v>
      </c>
      <c r="I746" s="1" t="s">
        <v>1647</v>
      </c>
      <c r="J746" s="1" t="s">
        <v>762</v>
      </c>
      <c r="K746" s="1" t="n">
        <v>1.67</v>
      </c>
      <c r="M746" s="125" t="n">
        <f aca="false">Nominal_Activity[[#This Row],[Debit]]-Nominal_Activity[[#This Row],[Credit]]</f>
        <v>1.67</v>
      </c>
      <c r="N746" s="1" t="str">
        <f aca="false">IF(C746="","",IFERROR(VLOOKUP(C746,Master_Mappings!$A$4:$E$85,3,FALSE()),"UNMAPPED"))</f>
        <v>Financial Charges</v>
      </c>
      <c r="P746" s="1" t="str">
        <f aca="false">IF($C746="","",$C746&amp;"|"&amp;$E746&amp;"|"&amp;$M746&amp;"|"&amp;TEXT($G746,"yyyy-mm-dd")&amp;"|"&amp;LEFT($J746,40))</f>
        <v>7910|43187|1.67|2026-04-13|Bank Charges</v>
      </c>
      <c r="Q746" s="11" t="str">
        <f aca="false">IF(P746="","",IF(COUNTIF($P$2:$P$3000,P746)&gt;1,"DUPLICATE","OK"))</f>
        <v>OK</v>
      </c>
      <c r="R746" s="0" t="str">
        <f aca="false">IF($C746="","",IFERROR(VLOOKUP(--$C746,MM_Income!$Z$5:$AC$204,3,FALSE()),""))</f>
        <v>Excluded — Overhead (in fixed costs)</v>
      </c>
    </row>
    <row r="747" customFormat="false" ht="14.9" hidden="false" customHeight="false" outlineLevel="0" collapsed="false">
      <c r="A747" s="1" t="s">
        <v>49</v>
      </c>
      <c r="B747" s="1" t="s">
        <v>89</v>
      </c>
      <c r="C747" s="1" t="n">
        <v>7910</v>
      </c>
      <c r="D747" s="1" t="s">
        <v>762</v>
      </c>
      <c r="E747" s="1" t="n">
        <v>43190</v>
      </c>
      <c r="F747" s="1" t="s">
        <v>869</v>
      </c>
      <c r="G747" s="140" t="n">
        <v>46125</v>
      </c>
      <c r="H747" s="1" t="n">
        <v>1230</v>
      </c>
      <c r="I747" s="1" t="s">
        <v>1284</v>
      </c>
      <c r="J747" s="1" t="s">
        <v>762</v>
      </c>
      <c r="K747" s="1" t="n">
        <v>1.11</v>
      </c>
      <c r="M747" s="125" t="n">
        <f aca="false">Nominal_Activity[[#This Row],[Debit]]-Nominal_Activity[[#This Row],[Credit]]</f>
        <v>1.11</v>
      </c>
      <c r="N747" s="1" t="str">
        <f aca="false">IF(C747="","",IFERROR(VLOOKUP(C747,Master_Mappings!$A$4:$E$85,3,FALSE()),"UNMAPPED"))</f>
        <v>Financial Charges</v>
      </c>
      <c r="P747" s="1" t="str">
        <f aca="false">IF($C747="","",$C747&amp;"|"&amp;$E747&amp;"|"&amp;$M747&amp;"|"&amp;TEXT($G747,"yyyy-mm-dd")&amp;"|"&amp;LEFT($J747,40))</f>
        <v>7910|43190|1.11|2026-04-13|Bank Charges</v>
      </c>
      <c r="Q747" s="11" t="str">
        <f aca="false">IF(P747="","",IF(COUNTIF($P$2:$P$3000,P747)&gt;1,"DUPLICATE","OK"))</f>
        <v>OK</v>
      </c>
      <c r="R747" s="0" t="str">
        <f aca="false">IF($C747="","",IFERROR(VLOOKUP(--$C747,MM_Income!$Z$5:$AC$204,3,FALSE()),""))</f>
        <v>Excluded — Overhead (in fixed costs)</v>
      </c>
    </row>
    <row r="748" customFormat="false" ht="14.9" hidden="false" customHeight="false" outlineLevel="0" collapsed="false">
      <c r="A748" s="1" t="s">
        <v>49</v>
      </c>
      <c r="B748" s="1" t="s">
        <v>89</v>
      </c>
      <c r="C748" s="1" t="n">
        <v>7910</v>
      </c>
      <c r="D748" s="1" t="s">
        <v>762</v>
      </c>
      <c r="E748" s="1" t="n">
        <v>43193</v>
      </c>
      <c r="F748" s="1" t="s">
        <v>869</v>
      </c>
      <c r="G748" s="140" t="n">
        <v>46126</v>
      </c>
      <c r="H748" s="1" t="n">
        <v>1230</v>
      </c>
      <c r="I748" s="1" t="s">
        <v>1285</v>
      </c>
      <c r="J748" s="1" t="s">
        <v>762</v>
      </c>
      <c r="K748" s="1" t="n">
        <v>1.27</v>
      </c>
      <c r="M748" s="125" t="n">
        <f aca="false">Nominal_Activity[[#This Row],[Debit]]-Nominal_Activity[[#This Row],[Credit]]</f>
        <v>1.27</v>
      </c>
      <c r="N748" s="1" t="str">
        <f aca="false">IF(C748="","",IFERROR(VLOOKUP(C748,Master_Mappings!$A$4:$E$85,3,FALSE()),"UNMAPPED"))</f>
        <v>Financial Charges</v>
      </c>
      <c r="P748" s="1" t="str">
        <f aca="false">IF($C748="","",$C748&amp;"|"&amp;$E748&amp;"|"&amp;$M748&amp;"|"&amp;TEXT($G748,"yyyy-mm-dd")&amp;"|"&amp;LEFT($J748,40))</f>
        <v>7910|43193|1.27|2026-04-14|Bank Charges</v>
      </c>
      <c r="Q748" s="11" t="str">
        <f aca="false">IF(P748="","",IF(COUNTIF($P$2:$P$3000,P748)&gt;1,"DUPLICATE","OK"))</f>
        <v>OK</v>
      </c>
      <c r="R748" s="0" t="str">
        <f aca="false">IF($C748="","",IFERROR(VLOOKUP(--$C748,MM_Income!$Z$5:$AC$204,3,FALSE()),""))</f>
        <v>Excluded — Overhead (in fixed costs)</v>
      </c>
    </row>
    <row r="749" customFormat="false" ht="14.9" hidden="false" customHeight="false" outlineLevel="0" collapsed="false">
      <c r="A749" s="1" t="s">
        <v>49</v>
      </c>
      <c r="B749" s="1" t="s">
        <v>89</v>
      </c>
      <c r="C749" s="1" t="n">
        <v>7910</v>
      </c>
      <c r="D749" s="1" t="s">
        <v>762</v>
      </c>
      <c r="E749" s="1" t="n">
        <v>43196</v>
      </c>
      <c r="F749" s="1" t="s">
        <v>869</v>
      </c>
      <c r="G749" s="140" t="n">
        <v>46127</v>
      </c>
      <c r="H749" s="1" t="n">
        <v>1230</v>
      </c>
      <c r="I749" s="1" t="s">
        <v>1286</v>
      </c>
      <c r="J749" s="1" t="s">
        <v>762</v>
      </c>
      <c r="K749" s="1" t="n">
        <v>1.27</v>
      </c>
      <c r="M749" s="125" t="n">
        <f aca="false">Nominal_Activity[[#This Row],[Debit]]-Nominal_Activity[[#This Row],[Credit]]</f>
        <v>1.27</v>
      </c>
      <c r="N749" s="1" t="str">
        <f aca="false">IF(C749="","",IFERROR(VLOOKUP(C749,Master_Mappings!$A$4:$E$85,3,FALSE()),"UNMAPPED"))</f>
        <v>Financial Charges</v>
      </c>
      <c r="P749" s="1" t="str">
        <f aca="false">IF($C749="","",$C749&amp;"|"&amp;$E749&amp;"|"&amp;$M749&amp;"|"&amp;TEXT($G749,"yyyy-mm-dd")&amp;"|"&amp;LEFT($J749,40))</f>
        <v>7910|43196|1.27|2026-04-15|Bank Charges</v>
      </c>
      <c r="Q749" s="11" t="str">
        <f aca="false">IF(P749="","",IF(COUNTIF($P$2:$P$3000,P749)&gt;1,"DUPLICATE","OK"))</f>
        <v>OK</v>
      </c>
      <c r="R749" s="0" t="str">
        <f aca="false">IF($C749="","",IFERROR(VLOOKUP(--$C749,MM_Income!$Z$5:$AC$204,3,FALSE()),""))</f>
        <v>Excluded — Overhead (in fixed costs)</v>
      </c>
    </row>
    <row r="750" customFormat="false" ht="14.9" hidden="false" customHeight="false" outlineLevel="0" collapsed="false">
      <c r="A750" s="1" t="s">
        <v>49</v>
      </c>
      <c r="B750" s="1" t="s">
        <v>89</v>
      </c>
      <c r="C750" s="1" t="n">
        <v>7910</v>
      </c>
      <c r="D750" s="1" t="s">
        <v>762</v>
      </c>
      <c r="E750" s="1" t="n">
        <v>43199</v>
      </c>
      <c r="F750" s="1" t="s">
        <v>869</v>
      </c>
      <c r="G750" s="140" t="n">
        <v>46128</v>
      </c>
      <c r="H750" s="1" t="n">
        <v>1230</v>
      </c>
      <c r="I750" s="1" t="s">
        <v>1287</v>
      </c>
      <c r="J750" s="1" t="s">
        <v>762</v>
      </c>
      <c r="K750" s="1" t="n">
        <v>9.13</v>
      </c>
      <c r="M750" s="125" t="n">
        <f aca="false">Nominal_Activity[[#This Row],[Debit]]-Nominal_Activity[[#This Row],[Credit]]</f>
        <v>9.13</v>
      </c>
      <c r="N750" s="1" t="str">
        <f aca="false">IF(C750="","",IFERROR(VLOOKUP(C750,Master_Mappings!$A$4:$E$85,3,FALSE()),"UNMAPPED"))</f>
        <v>Financial Charges</v>
      </c>
      <c r="P750" s="1" t="str">
        <f aca="false">IF($C750="","",$C750&amp;"|"&amp;$E750&amp;"|"&amp;$M750&amp;"|"&amp;TEXT($G750,"yyyy-mm-dd")&amp;"|"&amp;LEFT($J750,40))</f>
        <v>7910|43199|9.13|2026-04-16|Bank Charges</v>
      </c>
      <c r="Q750" s="11" t="str">
        <f aca="false">IF(P750="","",IF(COUNTIF($P$2:$P$3000,P750)&gt;1,"DUPLICATE","OK"))</f>
        <v>OK</v>
      </c>
      <c r="R750" s="0" t="str">
        <f aca="false">IF($C750="","",IFERROR(VLOOKUP(--$C750,MM_Income!$Z$5:$AC$204,3,FALSE()),""))</f>
        <v>Excluded — Overhead (in fixed costs)</v>
      </c>
    </row>
    <row r="751" customFormat="false" ht="14.9" hidden="false" customHeight="false" outlineLevel="0" collapsed="false">
      <c r="A751" s="1" t="s">
        <v>49</v>
      </c>
      <c r="B751" s="1" t="s">
        <v>89</v>
      </c>
      <c r="C751" s="1" t="n">
        <v>7910</v>
      </c>
      <c r="D751" s="1" t="s">
        <v>762</v>
      </c>
      <c r="E751" s="1" t="n">
        <v>43202</v>
      </c>
      <c r="F751" s="1" t="s">
        <v>869</v>
      </c>
      <c r="G751" s="140" t="n">
        <v>46129</v>
      </c>
      <c r="H751" s="1" t="n">
        <v>1230</v>
      </c>
      <c r="I751" s="1" t="s">
        <v>1289</v>
      </c>
      <c r="J751" s="1" t="s">
        <v>762</v>
      </c>
      <c r="K751" s="1" t="n">
        <v>2.85</v>
      </c>
      <c r="M751" s="125" t="n">
        <f aca="false">Nominal_Activity[[#This Row],[Debit]]-Nominal_Activity[[#This Row],[Credit]]</f>
        <v>2.85</v>
      </c>
      <c r="N751" s="1" t="str">
        <f aca="false">IF(C751="","",IFERROR(VLOOKUP(C751,Master_Mappings!$A$4:$E$85,3,FALSE()),"UNMAPPED"))</f>
        <v>Financial Charges</v>
      </c>
      <c r="P751" s="1" t="str">
        <f aca="false">IF($C751="","",$C751&amp;"|"&amp;$E751&amp;"|"&amp;$M751&amp;"|"&amp;TEXT($G751,"yyyy-mm-dd")&amp;"|"&amp;LEFT($J751,40))</f>
        <v>7910|43202|2.85|2026-04-17|Bank Charges</v>
      </c>
      <c r="Q751" s="11" t="str">
        <f aca="false">IF(P751="","",IF(COUNTIF($P$2:$P$3000,P751)&gt;1,"DUPLICATE","OK"))</f>
        <v>OK</v>
      </c>
      <c r="R751" s="0" t="str">
        <f aca="false">IF($C751="","",IFERROR(VLOOKUP(--$C751,MM_Income!$Z$5:$AC$204,3,FALSE()),""))</f>
        <v>Excluded — Overhead (in fixed costs)</v>
      </c>
    </row>
    <row r="752" customFormat="false" ht="14.9" hidden="false" customHeight="false" outlineLevel="0" collapsed="false">
      <c r="A752" s="1" t="s">
        <v>49</v>
      </c>
      <c r="B752" s="1" t="s">
        <v>89</v>
      </c>
      <c r="C752" s="1" t="n">
        <v>7910</v>
      </c>
      <c r="D752" s="1" t="s">
        <v>762</v>
      </c>
      <c r="E752" s="1" t="n">
        <v>43204</v>
      </c>
      <c r="F752" s="1" t="s">
        <v>869</v>
      </c>
      <c r="G752" s="140" t="n">
        <v>46132</v>
      </c>
      <c r="H752" s="1" t="n">
        <v>1230</v>
      </c>
      <c r="I752" s="1" t="s">
        <v>1290</v>
      </c>
      <c r="J752" s="1" t="s">
        <v>762</v>
      </c>
      <c r="K752" s="1" t="n">
        <v>1.08</v>
      </c>
      <c r="M752" s="125" t="n">
        <f aca="false">Nominal_Activity[[#This Row],[Debit]]-Nominal_Activity[[#This Row],[Credit]]</f>
        <v>1.08</v>
      </c>
      <c r="N752" s="1" t="str">
        <f aca="false">IF(C752="","",IFERROR(VLOOKUP(C752,Master_Mappings!$A$4:$E$85,3,FALSE()),"UNMAPPED"))</f>
        <v>Financial Charges</v>
      </c>
      <c r="P752" s="1" t="str">
        <f aca="false">IF($C752="","",$C752&amp;"|"&amp;$E752&amp;"|"&amp;$M752&amp;"|"&amp;TEXT($G752,"yyyy-mm-dd")&amp;"|"&amp;LEFT($J752,40))</f>
        <v>7910|43204|1.08|2026-04-20|Bank Charges</v>
      </c>
      <c r="Q752" s="11" t="str">
        <f aca="false">IF(P752="","",IF(COUNTIF($P$2:$P$3000,P752)&gt;1,"DUPLICATE","OK"))</f>
        <v>OK</v>
      </c>
      <c r="R752" s="0" t="str">
        <f aca="false">IF($C752="","",IFERROR(VLOOKUP(--$C752,MM_Income!$Z$5:$AC$204,3,FALSE()),""))</f>
        <v>Excluded — Overhead (in fixed costs)</v>
      </c>
    </row>
    <row r="753" customFormat="false" ht="14.9" hidden="false" customHeight="false" outlineLevel="0" collapsed="false">
      <c r="A753" s="1" t="s">
        <v>49</v>
      </c>
      <c r="B753" s="1" t="s">
        <v>89</v>
      </c>
      <c r="C753" s="1" t="n">
        <v>7910</v>
      </c>
      <c r="D753" s="1" t="s">
        <v>762</v>
      </c>
      <c r="E753" s="1" t="n">
        <v>43207</v>
      </c>
      <c r="F753" s="1" t="s">
        <v>869</v>
      </c>
      <c r="G753" s="140" t="n">
        <v>46132</v>
      </c>
      <c r="H753" s="1" t="n">
        <v>1230</v>
      </c>
      <c r="I753" s="1" t="s">
        <v>1514</v>
      </c>
      <c r="J753" s="1" t="s">
        <v>762</v>
      </c>
      <c r="K753" s="1" t="n">
        <v>0.36</v>
      </c>
      <c r="M753" s="125" t="n">
        <f aca="false">Nominal_Activity[[#This Row],[Debit]]-Nominal_Activity[[#This Row],[Credit]]</f>
        <v>0.36</v>
      </c>
      <c r="N753" s="1" t="str">
        <f aca="false">IF(C753="","",IFERROR(VLOOKUP(C753,Master_Mappings!$A$4:$E$85,3,FALSE()),"UNMAPPED"))</f>
        <v>Financial Charges</v>
      </c>
      <c r="P753" s="1" t="str">
        <f aca="false">IF($C753="","",$C753&amp;"|"&amp;$E753&amp;"|"&amp;$M753&amp;"|"&amp;TEXT($G753,"yyyy-mm-dd")&amp;"|"&amp;LEFT($J753,40))</f>
        <v>7910|43207|0.36|2026-04-20|Bank Charges</v>
      </c>
      <c r="Q753" s="11" t="str">
        <f aca="false">IF(P753="","",IF(COUNTIF($P$2:$P$3000,P753)&gt;1,"DUPLICATE","OK"))</f>
        <v>OK</v>
      </c>
      <c r="R753" s="0" t="str">
        <f aca="false">IF($C753="","",IFERROR(VLOOKUP(--$C753,MM_Income!$Z$5:$AC$204,3,FALSE()),""))</f>
        <v>Excluded — Overhead (in fixed costs)</v>
      </c>
    </row>
    <row r="754" customFormat="false" ht="14.9" hidden="false" customHeight="false" outlineLevel="0" collapsed="false">
      <c r="A754" s="1" t="s">
        <v>49</v>
      </c>
      <c r="B754" s="1" t="s">
        <v>89</v>
      </c>
      <c r="C754" s="1" t="n">
        <v>7910</v>
      </c>
      <c r="D754" s="1" t="s">
        <v>762</v>
      </c>
      <c r="E754" s="1" t="n">
        <v>43210</v>
      </c>
      <c r="F754" s="1" t="s">
        <v>869</v>
      </c>
      <c r="G754" s="140" t="n">
        <v>46133</v>
      </c>
      <c r="H754" s="1" t="n">
        <v>1230</v>
      </c>
      <c r="I754" s="1" t="s">
        <v>1291</v>
      </c>
      <c r="J754" s="1" t="s">
        <v>762</v>
      </c>
      <c r="K754" s="1" t="n">
        <v>1.09</v>
      </c>
      <c r="M754" s="125" t="n">
        <f aca="false">Nominal_Activity[[#This Row],[Debit]]-Nominal_Activity[[#This Row],[Credit]]</f>
        <v>1.09</v>
      </c>
      <c r="N754" s="1" t="str">
        <f aca="false">IF(C754="","",IFERROR(VLOOKUP(C754,Master_Mappings!$A$4:$E$85,3,FALSE()),"UNMAPPED"))</f>
        <v>Financial Charges</v>
      </c>
      <c r="P754" s="1" t="str">
        <f aca="false">IF($C754="","",$C754&amp;"|"&amp;$E754&amp;"|"&amp;$M754&amp;"|"&amp;TEXT($G754,"yyyy-mm-dd")&amp;"|"&amp;LEFT($J754,40))</f>
        <v>7910|43210|1.09|2026-04-21|Bank Charges</v>
      </c>
      <c r="Q754" s="11" t="str">
        <f aca="false">IF(P754="","",IF(COUNTIF($P$2:$P$3000,P754)&gt;1,"DUPLICATE","OK"))</f>
        <v>OK</v>
      </c>
      <c r="R754" s="0" t="str">
        <f aca="false">IF($C754="","",IFERROR(VLOOKUP(--$C754,MM_Income!$Z$5:$AC$204,3,FALSE()),""))</f>
        <v>Excluded — Overhead (in fixed costs)</v>
      </c>
    </row>
    <row r="755" customFormat="false" ht="14.9" hidden="false" customHeight="false" outlineLevel="0" collapsed="false">
      <c r="A755" s="1" t="s">
        <v>49</v>
      </c>
      <c r="B755" s="1" t="s">
        <v>89</v>
      </c>
      <c r="C755" s="1" t="n">
        <v>7910</v>
      </c>
      <c r="D755" s="1" t="s">
        <v>762</v>
      </c>
      <c r="E755" s="1" t="n">
        <v>43212</v>
      </c>
      <c r="F755" s="1" t="s">
        <v>869</v>
      </c>
      <c r="G755" s="140" t="n">
        <v>46133</v>
      </c>
      <c r="H755" s="1" t="n">
        <v>1230</v>
      </c>
      <c r="I755" s="1" t="s">
        <v>1292</v>
      </c>
      <c r="J755" s="1" t="s">
        <v>762</v>
      </c>
      <c r="K755" s="1" t="n">
        <v>0.75</v>
      </c>
      <c r="M755" s="125" t="n">
        <f aca="false">Nominal_Activity[[#This Row],[Debit]]-Nominal_Activity[[#This Row],[Credit]]</f>
        <v>0.75</v>
      </c>
      <c r="N755" s="1" t="str">
        <f aca="false">IF(C755="","",IFERROR(VLOOKUP(C755,Master_Mappings!$A$4:$E$85,3,FALSE()),"UNMAPPED"))</f>
        <v>Financial Charges</v>
      </c>
      <c r="P755" s="1" t="str">
        <f aca="false">IF($C755="","",$C755&amp;"|"&amp;$E755&amp;"|"&amp;$M755&amp;"|"&amp;TEXT($G755,"yyyy-mm-dd")&amp;"|"&amp;LEFT($J755,40))</f>
        <v>7910|43212|0.75|2026-04-21|Bank Charges</v>
      </c>
      <c r="Q755" s="11" t="str">
        <f aca="false">IF(P755="","",IF(COUNTIF($P$2:$P$3000,P755)&gt;1,"DUPLICATE","OK"))</f>
        <v>OK</v>
      </c>
      <c r="R755" s="0" t="str">
        <f aca="false">IF($C755="","",IFERROR(VLOOKUP(--$C755,MM_Income!$Z$5:$AC$204,3,FALSE()),""))</f>
        <v>Excluded — Overhead (in fixed costs)</v>
      </c>
    </row>
    <row r="756" customFormat="false" ht="14.9" hidden="false" customHeight="false" outlineLevel="0" collapsed="false">
      <c r="A756" s="1" t="s">
        <v>49</v>
      </c>
      <c r="B756" s="1" t="s">
        <v>89</v>
      </c>
      <c r="C756" s="1" t="n">
        <v>7910</v>
      </c>
      <c r="D756" s="1" t="s">
        <v>762</v>
      </c>
      <c r="E756" s="1" t="n">
        <v>43215</v>
      </c>
      <c r="F756" s="1" t="s">
        <v>869</v>
      </c>
      <c r="G756" s="140" t="n">
        <v>46134</v>
      </c>
      <c r="H756" s="1" t="n">
        <v>1230</v>
      </c>
      <c r="I756" s="1" t="s">
        <v>1292</v>
      </c>
      <c r="J756" s="1" t="s">
        <v>762</v>
      </c>
      <c r="K756" s="1" t="n">
        <v>1.45</v>
      </c>
      <c r="M756" s="125" t="n">
        <f aca="false">Nominal_Activity[[#This Row],[Debit]]-Nominal_Activity[[#This Row],[Credit]]</f>
        <v>1.45</v>
      </c>
      <c r="N756" s="1" t="str">
        <f aca="false">IF(C756="","",IFERROR(VLOOKUP(C756,Master_Mappings!$A$4:$E$85,3,FALSE()),"UNMAPPED"))</f>
        <v>Financial Charges</v>
      </c>
      <c r="P756" s="1" t="str">
        <f aca="false">IF($C756="","",$C756&amp;"|"&amp;$E756&amp;"|"&amp;$M756&amp;"|"&amp;TEXT($G756,"yyyy-mm-dd")&amp;"|"&amp;LEFT($J756,40))</f>
        <v>7910|43215|1.45|2026-04-22|Bank Charges</v>
      </c>
      <c r="Q756" s="11" t="str">
        <f aca="false">IF(P756="","",IF(COUNTIF($P$2:$P$3000,P756)&gt;1,"DUPLICATE","OK"))</f>
        <v>OK</v>
      </c>
      <c r="R756" s="0" t="str">
        <f aca="false">IF($C756="","",IFERROR(VLOOKUP(--$C756,MM_Income!$Z$5:$AC$204,3,FALSE()),""))</f>
        <v>Excluded — Overhead (in fixed costs)</v>
      </c>
    </row>
    <row r="757" customFormat="false" ht="14.9" hidden="false" customHeight="false" outlineLevel="0" collapsed="false">
      <c r="A757" s="1" t="s">
        <v>49</v>
      </c>
      <c r="B757" s="1" t="s">
        <v>89</v>
      </c>
      <c r="C757" s="1" t="n">
        <v>7910</v>
      </c>
      <c r="D757" s="1" t="s">
        <v>762</v>
      </c>
      <c r="E757" s="1" t="n">
        <v>43247</v>
      </c>
      <c r="F757" s="1" t="s">
        <v>869</v>
      </c>
      <c r="G757" s="140" t="n">
        <v>46136</v>
      </c>
      <c r="H757" s="1" t="n">
        <v>1230</v>
      </c>
      <c r="I757" s="1" t="s">
        <v>1516</v>
      </c>
      <c r="J757" s="1" t="s">
        <v>762</v>
      </c>
      <c r="K757" s="1" t="n">
        <v>1.12</v>
      </c>
      <c r="M757" s="125" t="n">
        <f aca="false">Nominal_Activity[[#This Row],[Debit]]-Nominal_Activity[[#This Row],[Credit]]</f>
        <v>1.12</v>
      </c>
      <c r="N757" s="1" t="str">
        <f aca="false">IF(C757="","",IFERROR(VLOOKUP(C757,Master_Mappings!$A$4:$E$85,3,FALSE()),"UNMAPPED"))</f>
        <v>Financial Charges</v>
      </c>
      <c r="P757" s="1" t="str">
        <f aca="false">IF($C757="","",$C757&amp;"|"&amp;$E757&amp;"|"&amp;$M757&amp;"|"&amp;TEXT($G757,"yyyy-mm-dd")&amp;"|"&amp;LEFT($J757,40))</f>
        <v>7910|43247|1.12|2026-04-24|Bank Charges</v>
      </c>
      <c r="Q757" s="11" t="str">
        <f aca="false">IF(P757="","",IF(COUNTIF($P$2:$P$3000,P757)&gt;1,"DUPLICATE","OK"))</f>
        <v>OK</v>
      </c>
      <c r="R757" s="0" t="str">
        <f aca="false">IF($C757="","",IFERROR(VLOOKUP(--$C757,MM_Income!$Z$5:$AC$204,3,FALSE()),""))</f>
        <v>Excluded — Overhead (in fixed costs)</v>
      </c>
    </row>
    <row r="758" customFormat="false" ht="14.9" hidden="false" customHeight="false" outlineLevel="0" collapsed="false">
      <c r="A758" s="1" t="s">
        <v>49</v>
      </c>
      <c r="B758" s="1" t="s">
        <v>89</v>
      </c>
      <c r="C758" s="1" t="n">
        <v>7910</v>
      </c>
      <c r="D758" s="1" t="s">
        <v>762</v>
      </c>
      <c r="E758" s="1" t="n">
        <v>43257</v>
      </c>
      <c r="F758" s="1" t="s">
        <v>869</v>
      </c>
      <c r="G758" s="140" t="n">
        <v>46139</v>
      </c>
      <c r="H758" s="1" t="n">
        <v>1230</v>
      </c>
      <c r="I758" s="1" t="s">
        <v>1518</v>
      </c>
      <c r="J758" s="1" t="s">
        <v>762</v>
      </c>
      <c r="K758" s="1" t="n">
        <v>0.69</v>
      </c>
      <c r="M758" s="125" t="n">
        <f aca="false">Nominal_Activity[[#This Row],[Debit]]-Nominal_Activity[[#This Row],[Credit]]</f>
        <v>0.69</v>
      </c>
      <c r="N758" s="1" t="str">
        <f aca="false">IF(C758="","",IFERROR(VLOOKUP(C758,Master_Mappings!$A$4:$E$85,3,FALSE()),"UNMAPPED"))</f>
        <v>Financial Charges</v>
      </c>
      <c r="P758" s="1" t="str">
        <f aca="false">IF($C758="","",$C758&amp;"|"&amp;$E758&amp;"|"&amp;$M758&amp;"|"&amp;TEXT($G758,"yyyy-mm-dd")&amp;"|"&amp;LEFT($J758,40))</f>
        <v>7910|43257|0.69|2026-04-27|Bank Charges</v>
      </c>
      <c r="Q758" s="11" t="str">
        <f aca="false">IF(P758="","",IF(COUNTIF($P$2:$P$3000,P758)&gt;1,"DUPLICATE","OK"))</f>
        <v>OK</v>
      </c>
      <c r="R758" s="0" t="str">
        <f aca="false">IF($C758="","",IFERROR(VLOOKUP(--$C758,MM_Income!$Z$5:$AC$204,3,FALSE()),""))</f>
        <v>Excluded — Overhead (in fixed costs)</v>
      </c>
    </row>
    <row r="759" customFormat="false" ht="14.9" hidden="false" customHeight="false" outlineLevel="0" collapsed="false">
      <c r="A759" s="1" t="s">
        <v>49</v>
      </c>
      <c r="B759" s="1" t="s">
        <v>89</v>
      </c>
      <c r="C759" s="1" t="n">
        <v>7910</v>
      </c>
      <c r="D759" s="1" t="s">
        <v>762</v>
      </c>
      <c r="E759" s="1" t="n">
        <v>43308</v>
      </c>
      <c r="F759" s="1" t="s">
        <v>869</v>
      </c>
      <c r="G759" s="140" t="n">
        <v>46139</v>
      </c>
      <c r="H759" s="1" t="n">
        <v>1230</v>
      </c>
      <c r="I759" s="1" t="s">
        <v>1293</v>
      </c>
      <c r="J759" s="1" t="s">
        <v>762</v>
      </c>
      <c r="K759" s="1" t="n">
        <v>0.75</v>
      </c>
      <c r="M759" s="125" t="n">
        <f aca="false">Nominal_Activity[[#This Row],[Debit]]-Nominal_Activity[[#This Row],[Credit]]</f>
        <v>0.75</v>
      </c>
      <c r="N759" s="1" t="str">
        <f aca="false">IF(C759="","",IFERROR(VLOOKUP(C759,Master_Mappings!$A$4:$E$85,3,FALSE()),"UNMAPPED"))</f>
        <v>Financial Charges</v>
      </c>
      <c r="P759" s="1" t="str">
        <f aca="false">IF($C759="","",$C759&amp;"|"&amp;$E759&amp;"|"&amp;$M759&amp;"|"&amp;TEXT($G759,"yyyy-mm-dd")&amp;"|"&amp;LEFT($J759,40))</f>
        <v>7910|43308|0.75|2026-04-27|Bank Charges</v>
      </c>
      <c r="Q759" s="11" t="str">
        <f aca="false">IF(P759="","",IF(COUNTIF($P$2:$P$3000,P759)&gt;1,"DUPLICATE","OK"))</f>
        <v>OK</v>
      </c>
      <c r="R759" s="0" t="str">
        <f aca="false">IF($C759="","",IFERROR(VLOOKUP(--$C759,MM_Income!$Z$5:$AC$204,3,FALSE()),""))</f>
        <v>Excluded — Overhead (in fixed costs)</v>
      </c>
    </row>
    <row r="760" customFormat="false" ht="14.9" hidden="false" customHeight="false" outlineLevel="0" collapsed="false">
      <c r="A760" s="1" t="s">
        <v>49</v>
      </c>
      <c r="B760" s="1" t="s">
        <v>89</v>
      </c>
      <c r="C760" s="1" t="n">
        <v>7910</v>
      </c>
      <c r="D760" s="1" t="s">
        <v>762</v>
      </c>
      <c r="E760" s="1" t="n">
        <v>43310</v>
      </c>
      <c r="F760" s="1" t="s">
        <v>869</v>
      </c>
      <c r="G760" s="140" t="n">
        <v>46140</v>
      </c>
      <c r="H760" s="1" t="n">
        <v>1230</v>
      </c>
      <c r="I760" s="1" t="s">
        <v>1597</v>
      </c>
      <c r="J760" s="1" t="s">
        <v>762</v>
      </c>
      <c r="K760" s="1" t="n">
        <v>3</v>
      </c>
      <c r="M760" s="125" t="n">
        <f aca="false">Nominal_Activity[[#This Row],[Debit]]-Nominal_Activity[[#This Row],[Credit]]</f>
        <v>3</v>
      </c>
      <c r="N760" s="1" t="str">
        <f aca="false">IF(C760="","",IFERROR(VLOOKUP(C760,Master_Mappings!$A$4:$E$85,3,FALSE()),"UNMAPPED"))</f>
        <v>Financial Charges</v>
      </c>
      <c r="P760" s="1" t="str">
        <f aca="false">IF($C760="","",$C760&amp;"|"&amp;$E760&amp;"|"&amp;$M760&amp;"|"&amp;TEXT($G760,"yyyy-mm-dd")&amp;"|"&amp;LEFT($J760,40))</f>
        <v>7910|43310|3|2026-04-28|Bank Charges</v>
      </c>
      <c r="Q760" s="11" t="str">
        <f aca="false">IF(P760="","",IF(COUNTIF($P$2:$P$3000,P760)&gt;1,"DUPLICATE","OK"))</f>
        <v>OK</v>
      </c>
      <c r="R760" s="0" t="str">
        <f aca="false">IF($C760="","",IFERROR(VLOOKUP(--$C760,MM_Income!$Z$5:$AC$204,3,FALSE()),""))</f>
        <v>Excluded — Overhead (in fixed costs)</v>
      </c>
    </row>
    <row r="761" customFormat="false" ht="14.9" hidden="false" customHeight="false" outlineLevel="0" collapsed="false">
      <c r="A761" s="1" t="s">
        <v>49</v>
      </c>
      <c r="B761" s="1" t="s">
        <v>89</v>
      </c>
      <c r="C761" s="1" t="n">
        <v>7910</v>
      </c>
      <c r="D761" s="1" t="s">
        <v>762</v>
      </c>
      <c r="E761" s="1" t="n">
        <v>43313</v>
      </c>
      <c r="F761" s="1" t="s">
        <v>869</v>
      </c>
      <c r="G761" s="140" t="n">
        <v>46140</v>
      </c>
      <c r="H761" s="1" t="n">
        <v>1230</v>
      </c>
      <c r="I761" s="1" t="s">
        <v>1294</v>
      </c>
      <c r="J761" s="1" t="s">
        <v>762</v>
      </c>
      <c r="K761" s="1" t="n">
        <v>1.12</v>
      </c>
      <c r="M761" s="125" t="n">
        <f aca="false">Nominal_Activity[[#This Row],[Debit]]-Nominal_Activity[[#This Row],[Credit]]</f>
        <v>1.12</v>
      </c>
      <c r="N761" s="1" t="str">
        <f aca="false">IF(C761="","",IFERROR(VLOOKUP(C761,Master_Mappings!$A$4:$E$85,3,FALSE()),"UNMAPPED"))</f>
        <v>Financial Charges</v>
      </c>
      <c r="P761" s="1" t="str">
        <f aca="false">IF($C761="","",$C761&amp;"|"&amp;$E761&amp;"|"&amp;$M761&amp;"|"&amp;TEXT($G761,"yyyy-mm-dd")&amp;"|"&amp;LEFT($J761,40))</f>
        <v>7910|43313|1.12|2026-04-28|Bank Charges</v>
      </c>
      <c r="Q761" s="11" t="str">
        <f aca="false">IF(P761="","",IF(COUNTIF($P$2:$P$3000,P761)&gt;1,"DUPLICATE","OK"))</f>
        <v>OK</v>
      </c>
      <c r="R761" s="0" t="str">
        <f aca="false">IF($C761="","",IFERROR(VLOOKUP(--$C761,MM_Income!$Z$5:$AC$204,3,FALSE()),""))</f>
        <v>Excluded — Overhead (in fixed costs)</v>
      </c>
    </row>
    <row r="762" customFormat="false" ht="14.9" hidden="false" customHeight="false" outlineLevel="0" collapsed="false">
      <c r="A762" s="1" t="s">
        <v>49</v>
      </c>
      <c r="B762" s="1" t="s">
        <v>89</v>
      </c>
      <c r="C762" s="1" t="n">
        <v>7910</v>
      </c>
      <c r="D762" s="1" t="s">
        <v>762</v>
      </c>
      <c r="E762" s="1" t="n">
        <v>43401</v>
      </c>
      <c r="F762" s="1" t="s">
        <v>914</v>
      </c>
      <c r="G762" s="140" t="n">
        <v>46119</v>
      </c>
      <c r="H762" s="1" t="n">
        <v>1210</v>
      </c>
      <c r="J762" s="1" t="s">
        <v>1678</v>
      </c>
      <c r="K762" s="1" t="n">
        <v>1454.56</v>
      </c>
      <c r="M762" s="125" t="n">
        <f aca="false">Nominal_Activity[[#This Row],[Debit]]-Nominal_Activity[[#This Row],[Credit]]</f>
        <v>1454.56</v>
      </c>
      <c r="N762" s="1" t="str">
        <f aca="false">IF(C762="","",IFERROR(VLOOKUP(C762,Master_Mappings!$A$4:$E$85,3,FALSE()),"UNMAPPED"))</f>
        <v>Financial Charges</v>
      </c>
      <c r="P762" s="1" t="str">
        <f aca="false">IF($C762="","",$C762&amp;"|"&amp;$E762&amp;"|"&amp;$M762&amp;"|"&amp;TEXT($G762,"yyyy-mm-dd")&amp;"|"&amp;LEFT($J762,40))</f>
        <v>7910|43401|1454.56|2026-04-07|Bank Charges on hotel payment PCGH780</v>
      </c>
      <c r="Q762" s="11" t="str">
        <f aca="false">IF(P762="","",IF(COUNTIF($P$2:$P$3000,P762)&gt;1,"DUPLICATE","OK"))</f>
        <v>OK</v>
      </c>
      <c r="R762" s="0" t="str">
        <f aca="false">IF($C762="","",IFERROR(VLOOKUP(--$C762,MM_Income!$Z$5:$AC$204,3,FALSE()),""))</f>
        <v>Excluded — Overhead (in fixed costs)</v>
      </c>
    </row>
    <row r="763" customFormat="false" ht="14.9" hidden="false" customHeight="false" outlineLevel="0" collapsed="false">
      <c r="A763" s="1" t="s">
        <v>49</v>
      </c>
      <c r="B763" s="1" t="s">
        <v>89</v>
      </c>
      <c r="C763" s="1" t="n">
        <v>7910</v>
      </c>
      <c r="D763" s="1" t="s">
        <v>762</v>
      </c>
      <c r="E763" s="1" t="n">
        <v>43402</v>
      </c>
      <c r="F763" s="1" t="s">
        <v>914</v>
      </c>
      <c r="G763" s="140" t="n">
        <v>46119</v>
      </c>
      <c r="H763" s="1" t="n">
        <v>1210</v>
      </c>
      <c r="J763" s="1" t="s">
        <v>1678</v>
      </c>
      <c r="K763" s="1" t="n">
        <v>495.46</v>
      </c>
      <c r="M763" s="125" t="n">
        <f aca="false">Nominal_Activity[[#This Row],[Debit]]-Nominal_Activity[[#This Row],[Credit]]</f>
        <v>495.46</v>
      </c>
      <c r="N763" s="1" t="str">
        <f aca="false">IF(C763="","",IFERROR(VLOOKUP(C763,Master_Mappings!$A$4:$E$85,3,FALSE()),"UNMAPPED"))</f>
        <v>Financial Charges</v>
      </c>
      <c r="P763" s="1" t="str">
        <f aca="false">IF($C763="","",$C763&amp;"|"&amp;$E763&amp;"|"&amp;$M763&amp;"|"&amp;TEXT($G763,"yyyy-mm-dd")&amp;"|"&amp;LEFT($J763,40))</f>
        <v>7910|43402|495.46|2026-04-07|Bank Charges on hotel payment PCGH780</v>
      </c>
      <c r="Q763" s="11" t="str">
        <f aca="false">IF(P763="","",IF(COUNTIF($P$2:$P$3000,P763)&gt;1,"DUPLICATE","OK"))</f>
        <v>OK</v>
      </c>
      <c r="R763" s="0" t="str">
        <f aca="false">IF($C763="","",IFERROR(VLOOKUP(--$C763,MM_Income!$Z$5:$AC$204,3,FALSE()),""))</f>
        <v>Excluded — Overhead (in fixed costs)</v>
      </c>
    </row>
    <row r="764" customFormat="false" ht="14.9" hidden="false" customHeight="false" outlineLevel="0" collapsed="false">
      <c r="A764" s="1" t="s">
        <v>49</v>
      </c>
      <c r="B764" s="1" t="s">
        <v>89</v>
      </c>
      <c r="C764" s="1" t="n">
        <v>7910</v>
      </c>
      <c r="D764" s="1" t="s">
        <v>762</v>
      </c>
      <c r="E764" s="1" t="n">
        <v>43410</v>
      </c>
      <c r="F764" s="1" t="s">
        <v>914</v>
      </c>
      <c r="G764" s="140" t="n">
        <v>46122</v>
      </c>
      <c r="H764" s="1" t="n">
        <v>1210</v>
      </c>
      <c r="J764" s="1" t="s">
        <v>762</v>
      </c>
      <c r="K764" s="1" t="n">
        <v>441.2</v>
      </c>
      <c r="M764" s="125" t="n">
        <f aca="false">Nominal_Activity[[#This Row],[Debit]]-Nominal_Activity[[#This Row],[Credit]]</f>
        <v>441.2</v>
      </c>
      <c r="N764" s="1" t="str">
        <f aca="false">IF(C764="","",IFERROR(VLOOKUP(C764,Master_Mappings!$A$4:$E$85,3,FALSE()),"UNMAPPED"))</f>
        <v>Financial Charges</v>
      </c>
      <c r="P764" s="1" t="str">
        <f aca="false">IF($C764="","",$C764&amp;"|"&amp;$E764&amp;"|"&amp;$M764&amp;"|"&amp;TEXT($G764,"yyyy-mm-dd")&amp;"|"&amp;LEFT($J764,40))</f>
        <v>7910|43410|441.2|2026-04-10|Bank Charges</v>
      </c>
      <c r="Q764" s="11" t="str">
        <f aca="false">IF(P764="","",IF(COUNTIF($P$2:$P$3000,P764)&gt;1,"DUPLICATE","OK"))</f>
        <v>OK</v>
      </c>
      <c r="R764" s="0" t="str">
        <f aca="false">IF($C764="","",IFERROR(VLOOKUP(--$C764,MM_Income!$Z$5:$AC$204,3,FALSE()),""))</f>
        <v>Excluded — Overhead (in fixed costs)</v>
      </c>
    </row>
    <row r="765" customFormat="false" ht="14.9" hidden="false" customHeight="false" outlineLevel="0" collapsed="false">
      <c r="A765" s="1" t="s">
        <v>49</v>
      </c>
      <c r="B765" s="1" t="s">
        <v>89</v>
      </c>
      <c r="C765" s="1" t="n">
        <v>7910</v>
      </c>
      <c r="D765" s="1" t="s">
        <v>762</v>
      </c>
      <c r="E765" s="1" t="n">
        <v>43411</v>
      </c>
      <c r="F765" s="1" t="s">
        <v>914</v>
      </c>
      <c r="G765" s="140" t="n">
        <v>46122</v>
      </c>
      <c r="H765" s="1" t="n">
        <v>1210</v>
      </c>
      <c r="J765" s="1" t="s">
        <v>762</v>
      </c>
      <c r="K765" s="1" t="n">
        <v>496.35</v>
      </c>
      <c r="M765" s="125" t="n">
        <f aca="false">Nominal_Activity[[#This Row],[Debit]]-Nominal_Activity[[#This Row],[Credit]]</f>
        <v>496.35</v>
      </c>
      <c r="N765" s="1" t="str">
        <f aca="false">IF(C765="","",IFERROR(VLOOKUP(C765,Master_Mappings!$A$4:$E$85,3,FALSE()),"UNMAPPED"))</f>
        <v>Financial Charges</v>
      </c>
      <c r="P765" s="1" t="str">
        <f aca="false">IF($C765="","",$C765&amp;"|"&amp;$E765&amp;"|"&amp;$M765&amp;"|"&amp;TEXT($G765,"yyyy-mm-dd")&amp;"|"&amp;LEFT($J765,40))</f>
        <v>7910|43411|496.35|2026-04-10|Bank Charges</v>
      </c>
      <c r="Q765" s="11" t="str">
        <f aca="false">IF(P765="","",IF(COUNTIF($P$2:$P$3000,P765)&gt;1,"DUPLICATE","OK"))</f>
        <v>OK</v>
      </c>
      <c r="R765" s="0" t="str">
        <f aca="false">IF($C765="","",IFERROR(VLOOKUP(--$C765,MM_Income!$Z$5:$AC$204,3,FALSE()),""))</f>
        <v>Excluded — Overhead (in fixed costs)</v>
      </c>
    </row>
    <row r="766" customFormat="false" ht="14.9" hidden="false" customHeight="false" outlineLevel="0" collapsed="false">
      <c r="A766" s="1" t="s">
        <v>49</v>
      </c>
      <c r="B766" s="1" t="s">
        <v>89</v>
      </c>
      <c r="C766" s="1" t="n">
        <v>7910</v>
      </c>
      <c r="D766" s="1" t="s">
        <v>762</v>
      </c>
      <c r="E766" s="1" t="n">
        <v>43412</v>
      </c>
      <c r="F766" s="1" t="s">
        <v>914</v>
      </c>
      <c r="G766" s="140" t="n">
        <v>46122</v>
      </c>
      <c r="H766" s="1" t="n">
        <v>1210</v>
      </c>
      <c r="J766" s="1" t="s">
        <v>762</v>
      </c>
      <c r="K766" s="1" t="n">
        <v>441.2</v>
      </c>
      <c r="M766" s="125" t="n">
        <f aca="false">Nominal_Activity[[#This Row],[Debit]]-Nominal_Activity[[#This Row],[Credit]]</f>
        <v>441.2</v>
      </c>
      <c r="N766" s="1" t="str">
        <f aca="false">IF(C766="","",IFERROR(VLOOKUP(C766,Master_Mappings!$A$4:$E$85,3,FALSE()),"UNMAPPED"))</f>
        <v>Financial Charges</v>
      </c>
      <c r="P766" s="1" t="str">
        <f aca="false">IF($C766="","",$C766&amp;"|"&amp;$E766&amp;"|"&amp;$M766&amp;"|"&amp;TEXT($G766,"yyyy-mm-dd")&amp;"|"&amp;LEFT($J766,40))</f>
        <v>7910|43412|441.2|2026-04-10|Bank Charges</v>
      </c>
      <c r="Q766" s="11" t="str">
        <f aca="false">IF(P766="","",IF(COUNTIF($P$2:$P$3000,P766)&gt;1,"DUPLICATE","OK"))</f>
        <v>OK</v>
      </c>
      <c r="R766" s="0" t="str">
        <f aca="false">IF($C766="","",IFERROR(VLOOKUP(--$C766,MM_Income!$Z$5:$AC$204,3,FALSE()),""))</f>
        <v>Excluded — Overhead (in fixed costs)</v>
      </c>
    </row>
    <row r="767" customFormat="false" ht="14.9" hidden="false" customHeight="false" outlineLevel="0" collapsed="false">
      <c r="A767" s="1" t="s">
        <v>49</v>
      </c>
      <c r="B767" s="1" t="s">
        <v>89</v>
      </c>
      <c r="C767" s="1" t="n">
        <v>7910</v>
      </c>
      <c r="D767" s="1" t="s">
        <v>762</v>
      </c>
      <c r="E767" s="1" t="n">
        <v>43413</v>
      </c>
      <c r="F767" s="1" t="s">
        <v>914</v>
      </c>
      <c r="G767" s="140" t="n">
        <v>46122</v>
      </c>
      <c r="H767" s="1" t="n">
        <v>1210</v>
      </c>
      <c r="J767" s="1" t="s">
        <v>762</v>
      </c>
      <c r="K767" s="1" t="n">
        <v>496.35</v>
      </c>
      <c r="M767" s="125" t="n">
        <f aca="false">Nominal_Activity[[#This Row],[Debit]]-Nominal_Activity[[#This Row],[Credit]]</f>
        <v>496.35</v>
      </c>
      <c r="N767" s="1" t="str">
        <f aca="false">IF(C767="","",IFERROR(VLOOKUP(C767,Master_Mappings!$A$4:$E$85,3,FALSE()),"UNMAPPED"))</f>
        <v>Financial Charges</v>
      </c>
      <c r="P767" s="1" t="str">
        <f aca="false">IF($C767="","",$C767&amp;"|"&amp;$E767&amp;"|"&amp;$M767&amp;"|"&amp;TEXT($G767,"yyyy-mm-dd")&amp;"|"&amp;LEFT($J767,40))</f>
        <v>7910|43413|496.35|2026-04-10|Bank Charges</v>
      </c>
      <c r="Q767" s="11" t="str">
        <f aca="false">IF(P767="","",IF(COUNTIF($P$2:$P$3000,P767)&gt;1,"DUPLICATE","OK"))</f>
        <v>OK</v>
      </c>
      <c r="R767" s="0" t="str">
        <f aca="false">IF($C767="","",IFERROR(VLOOKUP(--$C767,MM_Income!$Z$5:$AC$204,3,FALSE()),""))</f>
        <v>Excluded — Overhead (in fixed costs)</v>
      </c>
    </row>
    <row r="768" customFormat="false" ht="14.9" hidden="false" customHeight="false" outlineLevel="0" collapsed="false">
      <c r="A768" s="1" t="s">
        <v>49</v>
      </c>
      <c r="B768" s="1" t="s">
        <v>89</v>
      </c>
      <c r="C768" s="1" t="n">
        <v>7910</v>
      </c>
      <c r="D768" s="1" t="s">
        <v>762</v>
      </c>
      <c r="E768" s="1" t="n">
        <v>43421</v>
      </c>
      <c r="F768" s="1" t="s">
        <v>1209</v>
      </c>
      <c r="G768" s="140" t="n">
        <v>46133</v>
      </c>
      <c r="H768" s="1" t="s">
        <v>1679</v>
      </c>
      <c r="I768" s="1" t="s">
        <v>1680</v>
      </c>
      <c r="J768" s="1" t="s">
        <v>1681</v>
      </c>
      <c r="K768" s="1" t="n">
        <v>121.5</v>
      </c>
      <c r="M768" s="125" t="n">
        <f aca="false">Nominal_Activity[[#This Row],[Debit]]-Nominal_Activity[[#This Row],[Credit]]</f>
        <v>121.5</v>
      </c>
      <c r="N768" s="1" t="str">
        <f aca="false">IF(C768="","",IFERROR(VLOOKUP(C768,Master_Mappings!$A$4:$E$85,3,FALSE()),"UNMAPPED"))</f>
        <v>Financial Charges</v>
      </c>
      <c r="P768" s="1" t="str">
        <f aca="false">IF($C768="","",$C768&amp;"|"&amp;$E768&amp;"|"&amp;$M768&amp;"|"&amp;TEXT($G768,"yyyy-mm-dd")&amp;"|"&amp;LEFT($J768,40))</f>
        <v>7910|43421|121.5|2026-04-21|Bank Charges on funds received from Jopa</v>
      </c>
      <c r="Q768" s="11" t="str">
        <f aca="false">IF(P768="","",IF(COUNTIF($P$2:$P$3000,P768)&gt;1,"DUPLICATE","OK"))</f>
        <v>OK</v>
      </c>
      <c r="R768" s="0" t="str">
        <f aca="false">IF($C768="","",IFERROR(VLOOKUP(--$C768,MM_Income!$Z$5:$AC$204,3,FALSE()),""))</f>
        <v>Excluded — Overhead (in fixed costs)</v>
      </c>
    </row>
    <row r="769" customFormat="false" ht="14.9" hidden="false" customHeight="false" outlineLevel="0" collapsed="false">
      <c r="A769" s="1" t="s">
        <v>49</v>
      </c>
      <c r="B769" s="1" t="s">
        <v>89</v>
      </c>
      <c r="C769" s="1" t="n">
        <v>7910</v>
      </c>
      <c r="D769" s="1" t="s">
        <v>762</v>
      </c>
      <c r="E769" s="1" t="n">
        <v>43425</v>
      </c>
      <c r="F769" s="1" t="s">
        <v>1209</v>
      </c>
      <c r="G769" s="140" t="n">
        <v>46136</v>
      </c>
      <c r="H769" s="1" t="s">
        <v>1682</v>
      </c>
      <c r="I769" s="1" t="s">
        <v>1683</v>
      </c>
      <c r="J769" s="1" t="s">
        <v>1684</v>
      </c>
      <c r="K769" s="1" t="n">
        <v>96.3</v>
      </c>
      <c r="M769" s="125" t="n">
        <f aca="false">Nominal_Activity[[#This Row],[Debit]]-Nominal_Activity[[#This Row],[Credit]]</f>
        <v>96.3</v>
      </c>
      <c r="N769" s="1" t="str">
        <f aca="false">IF(C769="","",IFERROR(VLOOKUP(C769,Master_Mappings!$A$4:$E$85,3,FALSE()),"UNMAPPED"))</f>
        <v>Financial Charges</v>
      </c>
      <c r="P769" s="1" t="str">
        <f aca="false">IF($C769="","",$C769&amp;"|"&amp;$E769&amp;"|"&amp;$M769&amp;"|"&amp;TEXT($G769,"yyyy-mm-dd")&amp;"|"&amp;LEFT($J769,40))</f>
        <v>7910|43425|96.3|2026-04-24|Bank Charges on funds received from Aris</v>
      </c>
      <c r="Q769" s="11" t="str">
        <f aca="false">IF(P769="","",IF(COUNTIF($P$2:$P$3000,P769)&gt;1,"DUPLICATE","OK"))</f>
        <v>OK</v>
      </c>
      <c r="R769" s="0" t="str">
        <f aca="false">IF($C769="","",IFERROR(VLOOKUP(--$C769,MM_Income!$Z$5:$AC$204,3,FALSE()),""))</f>
        <v>Excluded — Overhead (in fixed costs)</v>
      </c>
    </row>
    <row r="770" customFormat="false" ht="14.9" hidden="false" customHeight="false" outlineLevel="0" collapsed="false">
      <c r="A770" s="1" t="s">
        <v>49</v>
      </c>
      <c r="B770" s="1" t="s">
        <v>89</v>
      </c>
      <c r="C770" s="1" t="n">
        <v>7910</v>
      </c>
      <c r="D770" s="1" t="s">
        <v>762</v>
      </c>
      <c r="E770" s="1" t="n">
        <v>43428</v>
      </c>
      <c r="F770" s="1" t="s">
        <v>914</v>
      </c>
      <c r="G770" s="140" t="n">
        <v>46139</v>
      </c>
      <c r="H770" s="1" t="n">
        <v>1210</v>
      </c>
      <c r="J770" s="1" t="s">
        <v>762</v>
      </c>
      <c r="K770" s="1" t="n">
        <v>1002.68</v>
      </c>
      <c r="M770" s="125" t="n">
        <f aca="false">Nominal_Activity[[#This Row],[Debit]]-Nominal_Activity[[#This Row],[Credit]]</f>
        <v>1002.68</v>
      </c>
      <c r="N770" s="1" t="str">
        <f aca="false">IF(C770="","",IFERROR(VLOOKUP(C770,Master_Mappings!$A$4:$E$85,3,FALSE()),"UNMAPPED"))</f>
        <v>Financial Charges</v>
      </c>
      <c r="P770" s="1" t="str">
        <f aca="false">IF($C770="","",$C770&amp;"|"&amp;$E770&amp;"|"&amp;$M770&amp;"|"&amp;TEXT($G770,"yyyy-mm-dd")&amp;"|"&amp;LEFT($J770,40))</f>
        <v>7910|43428|1002.68|2026-04-27|Bank Charges</v>
      </c>
      <c r="Q770" s="11" t="str">
        <f aca="false">IF(P770="","",IF(COUNTIF($P$2:$P$3000,P770)&gt;1,"DUPLICATE","OK"))</f>
        <v>OK</v>
      </c>
      <c r="R770" s="0" t="str">
        <f aca="false">IF($C770="","",IFERROR(VLOOKUP(--$C770,MM_Income!$Z$5:$AC$204,3,FALSE()),""))</f>
        <v>Excluded — Overhead (in fixed costs)</v>
      </c>
    </row>
    <row r="771" customFormat="false" ht="14.9" hidden="false" customHeight="false" outlineLevel="0" collapsed="false">
      <c r="A771" s="1" t="s">
        <v>49</v>
      </c>
      <c r="B771" s="1" t="s">
        <v>89</v>
      </c>
      <c r="C771" s="1" t="n">
        <v>7910</v>
      </c>
      <c r="D771" s="1" t="s">
        <v>762</v>
      </c>
      <c r="E771" s="1" t="n">
        <v>43429</v>
      </c>
      <c r="F771" s="1" t="s">
        <v>914</v>
      </c>
      <c r="G771" s="140" t="n">
        <v>46139</v>
      </c>
      <c r="H771" s="1" t="n">
        <v>1210</v>
      </c>
      <c r="J771" s="1" t="s">
        <v>762</v>
      </c>
      <c r="K771" s="1" t="n">
        <v>499.95</v>
      </c>
      <c r="M771" s="125" t="n">
        <f aca="false">Nominal_Activity[[#This Row],[Debit]]-Nominal_Activity[[#This Row],[Credit]]</f>
        <v>499.95</v>
      </c>
      <c r="N771" s="1" t="str">
        <f aca="false">IF(C771="","",IFERROR(VLOOKUP(C771,Master_Mappings!$A$4:$E$85,3,FALSE()),"UNMAPPED"))</f>
        <v>Financial Charges</v>
      </c>
      <c r="P771" s="1" t="str">
        <f aca="false">IF($C771="","",$C771&amp;"|"&amp;$E771&amp;"|"&amp;$M771&amp;"|"&amp;TEXT($G771,"yyyy-mm-dd")&amp;"|"&amp;LEFT($J771,40))</f>
        <v>7910|43429|499.95|2026-04-27|Bank Charges</v>
      </c>
      <c r="Q771" s="11" t="str">
        <f aca="false">IF(P771="","",IF(COUNTIF($P$2:$P$3000,P771)&gt;1,"DUPLICATE","OK"))</f>
        <v>OK</v>
      </c>
      <c r="R771" s="0" t="str">
        <f aca="false">IF($C771="","",IFERROR(VLOOKUP(--$C771,MM_Income!$Z$5:$AC$204,3,FALSE()),""))</f>
        <v>Excluded — Overhead (in fixed costs)</v>
      </c>
    </row>
    <row r="772" customFormat="false" ht="14.9" hidden="false" customHeight="false" outlineLevel="0" collapsed="false">
      <c r="A772" s="1" t="s">
        <v>49</v>
      </c>
      <c r="B772" s="1" t="s">
        <v>89</v>
      </c>
      <c r="C772" s="1" t="n">
        <v>7910</v>
      </c>
      <c r="D772" s="1" t="s">
        <v>762</v>
      </c>
      <c r="E772" s="1" t="n">
        <v>43431</v>
      </c>
      <c r="F772" s="1" t="s">
        <v>914</v>
      </c>
      <c r="G772" s="140" t="n">
        <v>46142</v>
      </c>
      <c r="H772" s="1" t="n">
        <v>1210</v>
      </c>
      <c r="J772" s="1" t="s">
        <v>1676</v>
      </c>
      <c r="K772" s="1" t="n">
        <v>61.32</v>
      </c>
      <c r="M772" s="125" t="n">
        <f aca="false">Nominal_Activity[[#This Row],[Debit]]-Nominal_Activity[[#This Row],[Credit]]</f>
        <v>61.32</v>
      </c>
      <c r="N772" s="1" t="str">
        <f aca="false">IF(C772="","",IFERROR(VLOOKUP(C772,Master_Mappings!$A$4:$E$85,3,FALSE()),"UNMAPPED"))</f>
        <v>Financial Charges</v>
      </c>
      <c r="P772" s="1" t="str">
        <f aca="false">IF($C772="","",$C772&amp;"|"&amp;$E772&amp;"|"&amp;$M772&amp;"|"&amp;TEXT($G772,"yyyy-mm-dd")&amp;"|"&amp;LEFT($J772,40))</f>
        <v>7910|43431|61.32|2026-04-30|Bank Charge for printing bank statement</v>
      </c>
      <c r="Q772" s="11" t="str">
        <f aca="false">IF(P772="","",IF(COUNTIF($P$2:$P$3000,P772)&gt;1,"DUPLICATE","OK"))</f>
        <v>OK</v>
      </c>
      <c r="R772" s="0" t="str">
        <f aca="false">IF($C772="","",IFERROR(VLOOKUP(--$C772,MM_Income!$Z$5:$AC$204,3,FALSE()),""))</f>
        <v>Excluded — Overhead (in fixed costs)</v>
      </c>
    </row>
    <row r="773" customFormat="false" ht="14.9" hidden="false" customHeight="false" outlineLevel="0" collapsed="false">
      <c r="A773" s="1" t="s">
        <v>49</v>
      </c>
      <c r="B773" s="1" t="s">
        <v>89</v>
      </c>
      <c r="C773" s="1" t="n">
        <v>7910</v>
      </c>
      <c r="D773" s="1" t="s">
        <v>762</v>
      </c>
      <c r="E773" s="1" t="n">
        <v>43438</v>
      </c>
      <c r="F773" s="1" t="s">
        <v>914</v>
      </c>
      <c r="G773" s="140" t="n">
        <v>46113</v>
      </c>
      <c r="H773" s="1" t="n">
        <v>1200</v>
      </c>
      <c r="J773" s="1" t="s">
        <v>762</v>
      </c>
      <c r="K773" s="1" t="n">
        <v>5</v>
      </c>
      <c r="M773" s="125" t="n">
        <f aca="false">Nominal_Activity[[#This Row],[Debit]]-Nominal_Activity[[#This Row],[Credit]]</f>
        <v>5</v>
      </c>
      <c r="N773" s="1" t="str">
        <f aca="false">IF(C773="","",IFERROR(VLOOKUP(C773,Master_Mappings!$A$4:$E$85,3,FALSE()),"UNMAPPED"))</f>
        <v>Financial Charges</v>
      </c>
      <c r="P773" s="1" t="str">
        <f aca="false">IF($C773="","",$C773&amp;"|"&amp;$E773&amp;"|"&amp;$M773&amp;"|"&amp;TEXT($G773,"yyyy-mm-dd")&amp;"|"&amp;LEFT($J773,40))</f>
        <v>7910|43438|5|2026-04-01|Bank Charges</v>
      </c>
      <c r="Q773" s="11" t="str">
        <f aca="false">IF(P773="","",IF(COUNTIF($P$2:$P$3000,P773)&gt;1,"DUPLICATE","OK"))</f>
        <v>OK</v>
      </c>
      <c r="R773" s="0" t="str">
        <f aca="false">IF($C773="","",IFERROR(VLOOKUP(--$C773,MM_Income!$Z$5:$AC$204,3,FALSE()),""))</f>
        <v>Excluded — Overhead (in fixed costs)</v>
      </c>
    </row>
    <row r="774" customFormat="false" ht="14.9" hidden="false" customHeight="false" outlineLevel="0" collapsed="false">
      <c r="A774" s="1" t="s">
        <v>49</v>
      </c>
      <c r="B774" s="1" t="s">
        <v>89</v>
      </c>
      <c r="C774" s="1" t="n">
        <v>7910</v>
      </c>
      <c r="D774" s="1" t="s">
        <v>762</v>
      </c>
      <c r="E774" s="1" t="n">
        <v>43444</v>
      </c>
      <c r="F774" s="1" t="s">
        <v>914</v>
      </c>
      <c r="G774" s="140" t="n">
        <v>46119</v>
      </c>
      <c r="H774" s="1" t="n">
        <v>1200</v>
      </c>
      <c r="J774" s="1" t="s">
        <v>762</v>
      </c>
      <c r="K774" s="1" t="n">
        <v>18.75</v>
      </c>
      <c r="M774" s="125" t="n">
        <f aca="false">Nominal_Activity[[#This Row],[Debit]]-Nominal_Activity[[#This Row],[Credit]]</f>
        <v>18.75</v>
      </c>
      <c r="N774" s="1" t="str">
        <f aca="false">IF(C774="","",IFERROR(VLOOKUP(C774,Master_Mappings!$A$4:$E$85,3,FALSE()),"UNMAPPED"))</f>
        <v>Financial Charges</v>
      </c>
      <c r="P774" s="1" t="str">
        <f aca="false">IF($C774="","",$C774&amp;"|"&amp;$E774&amp;"|"&amp;$M774&amp;"|"&amp;TEXT($G774,"yyyy-mm-dd")&amp;"|"&amp;LEFT($J774,40))</f>
        <v>7910|43444|18.75|2026-04-07|Bank Charges</v>
      </c>
      <c r="Q774" s="11" t="str">
        <f aca="false">IF(P774="","",IF(COUNTIF($P$2:$P$3000,P774)&gt;1,"DUPLICATE","OK"))</f>
        <v>OK</v>
      </c>
      <c r="R774" s="0" t="str">
        <f aca="false">IF($C774="","",IFERROR(VLOOKUP(--$C774,MM_Income!$Z$5:$AC$204,3,FALSE()),""))</f>
        <v>Excluded — Overhead (in fixed costs)</v>
      </c>
    </row>
    <row r="775" customFormat="false" ht="14.9" hidden="false" customHeight="false" outlineLevel="0" collapsed="false">
      <c r="A775" s="1" t="s">
        <v>49</v>
      </c>
      <c r="B775" s="1" t="s">
        <v>89</v>
      </c>
      <c r="C775" s="1" t="n">
        <v>7910</v>
      </c>
      <c r="D775" s="1" t="s">
        <v>762</v>
      </c>
      <c r="E775" s="1" t="n">
        <v>43445</v>
      </c>
      <c r="F775" s="1" t="s">
        <v>914</v>
      </c>
      <c r="G775" s="140" t="n">
        <v>46119</v>
      </c>
      <c r="H775" s="1" t="n">
        <v>1200</v>
      </c>
      <c r="J775" s="1" t="s">
        <v>762</v>
      </c>
      <c r="K775" s="1" t="n">
        <v>8</v>
      </c>
      <c r="M775" s="125" t="n">
        <f aca="false">Nominal_Activity[[#This Row],[Debit]]-Nominal_Activity[[#This Row],[Credit]]</f>
        <v>8</v>
      </c>
      <c r="N775" s="1" t="str">
        <f aca="false">IF(C775="","",IFERROR(VLOOKUP(C775,Master_Mappings!$A$4:$E$85,3,FALSE()),"UNMAPPED"))</f>
        <v>Financial Charges</v>
      </c>
      <c r="P775" s="1" t="str">
        <f aca="false">IF($C775="","",$C775&amp;"|"&amp;$E775&amp;"|"&amp;$M775&amp;"|"&amp;TEXT($G775,"yyyy-mm-dd")&amp;"|"&amp;LEFT($J775,40))</f>
        <v>7910|43445|8|2026-04-07|Bank Charges</v>
      </c>
      <c r="Q775" s="11" t="str">
        <f aca="false">IF(P775="","",IF(COUNTIF($P$2:$P$3000,P775)&gt;1,"DUPLICATE","OK"))</f>
        <v>OK</v>
      </c>
      <c r="R775" s="0" t="str">
        <f aca="false">IF($C775="","",IFERROR(VLOOKUP(--$C775,MM_Income!$Z$5:$AC$204,3,FALSE()),""))</f>
        <v>Excluded — Overhead (in fixed costs)</v>
      </c>
    </row>
    <row r="776" customFormat="false" ht="14.9" hidden="false" customHeight="false" outlineLevel="0" collapsed="false">
      <c r="A776" s="1" t="s">
        <v>49</v>
      </c>
      <c r="B776" s="1" t="s">
        <v>89</v>
      </c>
      <c r="C776" s="1" t="n">
        <v>7910</v>
      </c>
      <c r="D776" s="1" t="s">
        <v>762</v>
      </c>
      <c r="E776" s="1" t="n">
        <v>43446</v>
      </c>
      <c r="F776" s="1" t="s">
        <v>914</v>
      </c>
      <c r="G776" s="140" t="n">
        <v>46119</v>
      </c>
      <c r="H776" s="1" t="n">
        <v>1200</v>
      </c>
      <c r="J776" s="1" t="s">
        <v>762</v>
      </c>
      <c r="K776" s="1" t="n">
        <v>10</v>
      </c>
      <c r="M776" s="125" t="n">
        <f aca="false">Nominal_Activity[[#This Row],[Debit]]-Nominal_Activity[[#This Row],[Credit]]</f>
        <v>10</v>
      </c>
      <c r="N776" s="1" t="str">
        <f aca="false">IF(C776="","",IFERROR(VLOOKUP(C776,Master_Mappings!$A$4:$E$85,3,FALSE()),"UNMAPPED"))</f>
        <v>Financial Charges</v>
      </c>
      <c r="P776" s="1" t="str">
        <f aca="false">IF($C776="","",$C776&amp;"|"&amp;$E776&amp;"|"&amp;$M776&amp;"|"&amp;TEXT($G776,"yyyy-mm-dd")&amp;"|"&amp;LEFT($J776,40))</f>
        <v>7910|43446|10|2026-04-07|Bank Charges</v>
      </c>
      <c r="Q776" s="11" t="str">
        <f aca="false">IF(P776="","",IF(COUNTIF($P$2:$P$3000,P776)&gt;1,"DUPLICATE","OK"))</f>
        <v>OK</v>
      </c>
      <c r="R776" s="0" t="str">
        <f aca="false">IF($C776="","",IFERROR(VLOOKUP(--$C776,MM_Income!$Z$5:$AC$204,3,FALSE()),""))</f>
        <v>Excluded — Overhead (in fixed costs)</v>
      </c>
    </row>
    <row r="777" customFormat="false" ht="14.9" hidden="false" customHeight="false" outlineLevel="0" collapsed="false">
      <c r="A777" s="1" t="s">
        <v>49</v>
      </c>
      <c r="B777" s="1" t="s">
        <v>89</v>
      </c>
      <c r="C777" s="1" t="n">
        <v>7910</v>
      </c>
      <c r="D777" s="1" t="s">
        <v>762</v>
      </c>
      <c r="E777" s="1" t="n">
        <v>43455</v>
      </c>
      <c r="F777" s="1" t="s">
        <v>914</v>
      </c>
      <c r="G777" s="140" t="n">
        <v>46125</v>
      </c>
      <c r="H777" s="1" t="n">
        <v>1200</v>
      </c>
      <c r="J777" s="1" t="s">
        <v>762</v>
      </c>
      <c r="K777" s="1" t="n">
        <v>7</v>
      </c>
      <c r="M777" s="125" t="n">
        <f aca="false">Nominal_Activity[[#This Row],[Debit]]-Nominal_Activity[[#This Row],[Credit]]</f>
        <v>7</v>
      </c>
      <c r="N777" s="1" t="str">
        <f aca="false">IF(C777="","",IFERROR(VLOOKUP(C777,Master_Mappings!$A$4:$E$85,3,FALSE()),"UNMAPPED"))</f>
        <v>Financial Charges</v>
      </c>
      <c r="P777" s="1" t="str">
        <f aca="false">IF($C777="","",$C777&amp;"|"&amp;$E777&amp;"|"&amp;$M777&amp;"|"&amp;TEXT($G777,"yyyy-mm-dd")&amp;"|"&amp;LEFT($J777,40))</f>
        <v>7910|43455|7|2026-04-13|Bank Charges</v>
      </c>
      <c r="Q777" s="11" t="str">
        <f aca="false">IF(P777="","",IF(COUNTIF($P$2:$P$3000,P777)&gt;1,"DUPLICATE","OK"))</f>
        <v>OK</v>
      </c>
      <c r="R777" s="0" t="str">
        <f aca="false">IF($C777="","",IFERROR(VLOOKUP(--$C777,MM_Income!$Z$5:$AC$204,3,FALSE()),""))</f>
        <v>Excluded — Overhead (in fixed costs)</v>
      </c>
    </row>
    <row r="778" customFormat="false" ht="14.9" hidden="false" customHeight="false" outlineLevel="0" collapsed="false">
      <c r="A778" s="1" t="s">
        <v>49</v>
      </c>
      <c r="B778" s="1" t="s">
        <v>89</v>
      </c>
      <c r="C778" s="1" t="n">
        <v>7910</v>
      </c>
      <c r="D778" s="1" t="s">
        <v>762</v>
      </c>
      <c r="E778" s="1" t="n">
        <v>43456</v>
      </c>
      <c r="F778" s="1" t="s">
        <v>914</v>
      </c>
      <c r="G778" s="140" t="n">
        <v>46125</v>
      </c>
      <c r="H778" s="1" t="n">
        <v>1200</v>
      </c>
      <c r="J778" s="1" t="s">
        <v>762</v>
      </c>
      <c r="K778" s="1" t="n">
        <v>5</v>
      </c>
      <c r="M778" s="125" t="n">
        <f aca="false">Nominal_Activity[[#This Row],[Debit]]-Nominal_Activity[[#This Row],[Credit]]</f>
        <v>5</v>
      </c>
      <c r="N778" s="1" t="str">
        <f aca="false">IF(C778="","",IFERROR(VLOOKUP(C778,Master_Mappings!$A$4:$E$85,3,FALSE()),"UNMAPPED"))</f>
        <v>Financial Charges</v>
      </c>
      <c r="P778" s="1" t="str">
        <f aca="false">IF($C778="","",$C778&amp;"|"&amp;$E778&amp;"|"&amp;$M778&amp;"|"&amp;TEXT($G778,"yyyy-mm-dd")&amp;"|"&amp;LEFT($J778,40))</f>
        <v>7910|43456|5|2026-04-13|Bank Charges</v>
      </c>
      <c r="Q778" s="11" t="str">
        <f aca="false">IF(P778="","",IF(COUNTIF($P$2:$P$3000,P778)&gt;1,"DUPLICATE","OK"))</f>
        <v>OK</v>
      </c>
      <c r="R778" s="0" t="str">
        <f aca="false">IF($C778="","",IFERROR(VLOOKUP(--$C778,MM_Income!$Z$5:$AC$204,3,FALSE()),""))</f>
        <v>Excluded — Overhead (in fixed costs)</v>
      </c>
    </row>
    <row r="779" customFormat="false" ht="14.9" hidden="false" customHeight="false" outlineLevel="0" collapsed="false">
      <c r="A779" s="1" t="s">
        <v>49</v>
      </c>
      <c r="B779" s="1" t="s">
        <v>89</v>
      </c>
      <c r="C779" s="1" t="n">
        <v>7910</v>
      </c>
      <c r="D779" s="1" t="s">
        <v>762</v>
      </c>
      <c r="E779" s="1" t="n">
        <v>43460</v>
      </c>
      <c r="F779" s="1" t="s">
        <v>914</v>
      </c>
      <c r="G779" s="140" t="n">
        <v>46126</v>
      </c>
      <c r="H779" s="1" t="n">
        <v>1200</v>
      </c>
      <c r="J779" s="1" t="s">
        <v>762</v>
      </c>
      <c r="K779" s="1" t="n">
        <v>8.33</v>
      </c>
      <c r="M779" s="125" t="n">
        <f aca="false">Nominal_Activity[[#This Row],[Debit]]-Nominal_Activity[[#This Row],[Credit]]</f>
        <v>8.33</v>
      </c>
      <c r="N779" s="1" t="str">
        <f aca="false">IF(C779="","",IFERROR(VLOOKUP(C779,Master_Mappings!$A$4:$E$85,3,FALSE()),"UNMAPPED"))</f>
        <v>Financial Charges</v>
      </c>
      <c r="P779" s="1" t="str">
        <f aca="false">IF($C779="","",$C779&amp;"|"&amp;$E779&amp;"|"&amp;$M779&amp;"|"&amp;TEXT($G779,"yyyy-mm-dd")&amp;"|"&amp;LEFT($J779,40))</f>
        <v>7910|43460|8.33|2026-04-14|Bank Charges</v>
      </c>
      <c r="Q779" s="11" t="str">
        <f aca="false">IF(P779="","",IF(COUNTIF($P$2:$P$3000,P779)&gt;1,"DUPLICATE","OK"))</f>
        <v>OK</v>
      </c>
      <c r="R779" s="0" t="str">
        <f aca="false">IF($C779="","",IFERROR(VLOOKUP(--$C779,MM_Income!$Z$5:$AC$204,3,FALSE()),""))</f>
        <v>Excluded — Overhead (in fixed costs)</v>
      </c>
    </row>
    <row r="780" customFormat="false" ht="14.9" hidden="false" customHeight="false" outlineLevel="0" collapsed="false">
      <c r="A780" s="1" t="s">
        <v>49</v>
      </c>
      <c r="B780" s="1" t="s">
        <v>89</v>
      </c>
      <c r="C780" s="1" t="n">
        <v>7910</v>
      </c>
      <c r="D780" s="1" t="s">
        <v>762</v>
      </c>
      <c r="E780" s="1" t="n">
        <v>43463</v>
      </c>
      <c r="F780" s="1" t="s">
        <v>914</v>
      </c>
      <c r="G780" s="140" t="n">
        <v>46127</v>
      </c>
      <c r="H780" s="1" t="n">
        <v>1200</v>
      </c>
      <c r="J780" s="1" t="s">
        <v>762</v>
      </c>
      <c r="K780" s="1" t="n">
        <v>5</v>
      </c>
      <c r="M780" s="125" t="n">
        <f aca="false">Nominal_Activity[[#This Row],[Debit]]-Nominal_Activity[[#This Row],[Credit]]</f>
        <v>5</v>
      </c>
      <c r="N780" s="1" t="str">
        <f aca="false">IF(C780="","",IFERROR(VLOOKUP(C780,Master_Mappings!$A$4:$E$85,3,FALSE()),"UNMAPPED"))</f>
        <v>Financial Charges</v>
      </c>
      <c r="P780" s="1" t="str">
        <f aca="false">IF($C780="","",$C780&amp;"|"&amp;$E780&amp;"|"&amp;$M780&amp;"|"&amp;TEXT($G780,"yyyy-mm-dd")&amp;"|"&amp;LEFT($J780,40))</f>
        <v>7910|43463|5|2026-04-15|Bank Charges</v>
      </c>
      <c r="Q780" s="11" t="str">
        <f aca="false">IF(P780="","",IF(COUNTIF($P$2:$P$3000,P780)&gt;1,"DUPLICATE","OK"))</f>
        <v>OK</v>
      </c>
      <c r="R780" s="0" t="str">
        <f aca="false">IF($C780="","",IFERROR(VLOOKUP(--$C780,MM_Income!$Z$5:$AC$204,3,FALSE()),""))</f>
        <v>Excluded — Overhead (in fixed costs)</v>
      </c>
    </row>
    <row r="781" customFormat="false" ht="14.9" hidden="false" customHeight="false" outlineLevel="0" collapsed="false">
      <c r="A781" s="1" t="s">
        <v>49</v>
      </c>
      <c r="B781" s="1" t="s">
        <v>89</v>
      </c>
      <c r="C781" s="1" t="n">
        <v>7910</v>
      </c>
      <c r="D781" s="1" t="s">
        <v>762</v>
      </c>
      <c r="E781" s="1" t="n">
        <v>43464</v>
      </c>
      <c r="F781" s="1" t="s">
        <v>914</v>
      </c>
      <c r="G781" s="140" t="n">
        <v>46127</v>
      </c>
      <c r="H781" s="1" t="n">
        <v>1200</v>
      </c>
      <c r="J781" s="1" t="s">
        <v>762</v>
      </c>
      <c r="K781" s="1" t="n">
        <v>5</v>
      </c>
      <c r="M781" s="125" t="n">
        <f aca="false">Nominal_Activity[[#This Row],[Debit]]-Nominal_Activity[[#This Row],[Credit]]</f>
        <v>5</v>
      </c>
      <c r="N781" s="1" t="str">
        <f aca="false">IF(C781="","",IFERROR(VLOOKUP(C781,Master_Mappings!$A$4:$E$85,3,FALSE()),"UNMAPPED"))</f>
        <v>Financial Charges</v>
      </c>
      <c r="P781" s="1" t="str">
        <f aca="false">IF($C781="","",$C781&amp;"|"&amp;$E781&amp;"|"&amp;$M781&amp;"|"&amp;TEXT($G781,"yyyy-mm-dd")&amp;"|"&amp;LEFT($J781,40))</f>
        <v>7910|43464|5|2026-04-15|Bank Charges</v>
      </c>
      <c r="Q781" s="11" t="str">
        <f aca="false">IF(P781="","",IF(COUNTIF($P$2:$P$3000,P781)&gt;1,"DUPLICATE","OK"))</f>
        <v>OK</v>
      </c>
      <c r="R781" s="0" t="str">
        <f aca="false">IF($C781="","",IFERROR(VLOOKUP(--$C781,MM_Income!$Z$5:$AC$204,3,FALSE()),""))</f>
        <v>Excluded — Overhead (in fixed costs)</v>
      </c>
    </row>
    <row r="782" customFormat="false" ht="14.9" hidden="false" customHeight="false" outlineLevel="0" collapsed="false">
      <c r="A782" s="1" t="s">
        <v>49</v>
      </c>
      <c r="B782" s="1" t="s">
        <v>89</v>
      </c>
      <c r="C782" s="1" t="n">
        <v>7910</v>
      </c>
      <c r="D782" s="1" t="s">
        <v>762</v>
      </c>
      <c r="E782" s="1" t="n">
        <v>43466</v>
      </c>
      <c r="F782" s="1" t="s">
        <v>914</v>
      </c>
      <c r="G782" s="140" t="n">
        <v>46127</v>
      </c>
      <c r="H782" s="1" t="n">
        <v>1200</v>
      </c>
      <c r="J782" s="1" t="s">
        <v>762</v>
      </c>
      <c r="K782" s="1" t="n">
        <v>5</v>
      </c>
      <c r="M782" s="125" t="n">
        <f aca="false">Nominal_Activity[[#This Row],[Debit]]-Nominal_Activity[[#This Row],[Credit]]</f>
        <v>5</v>
      </c>
      <c r="N782" s="1" t="str">
        <f aca="false">IF(C782="","",IFERROR(VLOOKUP(C782,Master_Mappings!$A$4:$E$85,3,FALSE()),"UNMAPPED"))</f>
        <v>Financial Charges</v>
      </c>
      <c r="P782" s="1" t="str">
        <f aca="false">IF($C782="","",$C782&amp;"|"&amp;$E782&amp;"|"&amp;$M782&amp;"|"&amp;TEXT($G782,"yyyy-mm-dd")&amp;"|"&amp;LEFT($J782,40))</f>
        <v>7910|43466|5|2026-04-15|Bank Charges</v>
      </c>
      <c r="Q782" s="11" t="str">
        <f aca="false">IF(P782="","",IF(COUNTIF($P$2:$P$3000,P782)&gt;1,"DUPLICATE","OK"))</f>
        <v>OK</v>
      </c>
      <c r="R782" s="0" t="str">
        <f aca="false">IF($C782="","",IFERROR(VLOOKUP(--$C782,MM_Income!$Z$5:$AC$204,3,FALSE()),""))</f>
        <v>Excluded — Overhead (in fixed costs)</v>
      </c>
    </row>
    <row r="783" customFormat="false" ht="14.9" hidden="false" customHeight="false" outlineLevel="0" collapsed="false">
      <c r="A783" s="1" t="s">
        <v>49</v>
      </c>
      <c r="B783" s="1" t="s">
        <v>89</v>
      </c>
      <c r="C783" s="1" t="n">
        <v>7910</v>
      </c>
      <c r="D783" s="1" t="s">
        <v>762</v>
      </c>
      <c r="E783" s="1" t="n">
        <v>43467</v>
      </c>
      <c r="F783" s="1" t="s">
        <v>914</v>
      </c>
      <c r="G783" s="140" t="n">
        <v>46127</v>
      </c>
      <c r="H783" s="1" t="n">
        <v>1200</v>
      </c>
      <c r="J783" s="1" t="s">
        <v>762</v>
      </c>
      <c r="K783" s="1" t="n">
        <v>5</v>
      </c>
      <c r="M783" s="125" t="n">
        <f aca="false">Nominal_Activity[[#This Row],[Debit]]-Nominal_Activity[[#This Row],[Credit]]</f>
        <v>5</v>
      </c>
      <c r="N783" s="1" t="str">
        <f aca="false">IF(C783="","",IFERROR(VLOOKUP(C783,Master_Mappings!$A$4:$E$85,3,FALSE()),"UNMAPPED"))</f>
        <v>Financial Charges</v>
      </c>
      <c r="P783" s="1" t="str">
        <f aca="false">IF($C783="","",$C783&amp;"|"&amp;$E783&amp;"|"&amp;$M783&amp;"|"&amp;TEXT($G783,"yyyy-mm-dd")&amp;"|"&amp;LEFT($J783,40))</f>
        <v>7910|43467|5|2026-04-15|Bank Charges</v>
      </c>
      <c r="Q783" s="11" t="str">
        <f aca="false">IF(P783="","",IF(COUNTIF($P$2:$P$3000,P783)&gt;1,"DUPLICATE","OK"))</f>
        <v>OK</v>
      </c>
      <c r="R783" s="0" t="str">
        <f aca="false">IF($C783="","",IFERROR(VLOOKUP(--$C783,MM_Income!$Z$5:$AC$204,3,FALSE()),""))</f>
        <v>Excluded — Overhead (in fixed costs)</v>
      </c>
    </row>
    <row r="784" customFormat="false" ht="14.9" hidden="false" customHeight="false" outlineLevel="0" collapsed="false">
      <c r="A784" s="1" t="s">
        <v>49</v>
      </c>
      <c r="B784" s="1" t="s">
        <v>89</v>
      </c>
      <c r="C784" s="1" t="n">
        <v>7910</v>
      </c>
      <c r="D784" s="1" t="s">
        <v>762</v>
      </c>
      <c r="E784" s="1" t="n">
        <v>43469</v>
      </c>
      <c r="F784" s="1" t="s">
        <v>914</v>
      </c>
      <c r="G784" s="140" t="n">
        <v>46128</v>
      </c>
      <c r="H784" s="1" t="n">
        <v>1200</v>
      </c>
      <c r="J784" s="1" t="s">
        <v>762</v>
      </c>
      <c r="K784" s="1" t="n">
        <v>20</v>
      </c>
      <c r="M784" s="125" t="n">
        <f aca="false">Nominal_Activity[[#This Row],[Debit]]-Nominal_Activity[[#This Row],[Credit]]</f>
        <v>20</v>
      </c>
      <c r="N784" s="1" t="str">
        <f aca="false">IF(C784="","",IFERROR(VLOOKUP(C784,Master_Mappings!$A$4:$E$85,3,FALSE()),"UNMAPPED"))</f>
        <v>Financial Charges</v>
      </c>
      <c r="P784" s="1" t="str">
        <f aca="false">IF($C784="","",$C784&amp;"|"&amp;$E784&amp;"|"&amp;$M784&amp;"|"&amp;TEXT($G784,"yyyy-mm-dd")&amp;"|"&amp;LEFT($J784,40))</f>
        <v>7910|43469|20|2026-04-16|Bank Charges</v>
      </c>
      <c r="Q784" s="11" t="str">
        <f aca="false">IF(P784="","",IF(COUNTIF($P$2:$P$3000,P784)&gt;1,"DUPLICATE","OK"))</f>
        <v>OK</v>
      </c>
      <c r="R784" s="0" t="str">
        <f aca="false">IF($C784="","",IFERROR(VLOOKUP(--$C784,MM_Income!$Z$5:$AC$204,3,FALSE()),""))</f>
        <v>Excluded — Overhead (in fixed costs)</v>
      </c>
    </row>
    <row r="785" customFormat="false" ht="14.9" hidden="false" customHeight="false" outlineLevel="0" collapsed="false">
      <c r="A785" s="1" t="s">
        <v>49</v>
      </c>
      <c r="B785" s="1" t="s">
        <v>89</v>
      </c>
      <c r="C785" s="1" t="n">
        <v>7910</v>
      </c>
      <c r="D785" s="1" t="s">
        <v>762</v>
      </c>
      <c r="E785" s="1" t="n">
        <v>43488</v>
      </c>
      <c r="F785" s="1" t="s">
        <v>914</v>
      </c>
      <c r="G785" s="140" t="n">
        <v>46142</v>
      </c>
      <c r="H785" s="1" t="n">
        <v>1200</v>
      </c>
      <c r="J785" s="1" t="s">
        <v>762</v>
      </c>
      <c r="K785" s="1" t="n">
        <v>15</v>
      </c>
      <c r="M785" s="125" t="n">
        <f aca="false">Nominal_Activity[[#This Row],[Debit]]-Nominal_Activity[[#This Row],[Credit]]</f>
        <v>15</v>
      </c>
      <c r="N785" s="1" t="str">
        <f aca="false">IF(C785="","",IFERROR(VLOOKUP(C785,Master_Mappings!$A$4:$E$85,3,FALSE()),"UNMAPPED"))</f>
        <v>Financial Charges</v>
      </c>
      <c r="P785" s="1" t="str">
        <f aca="false">IF($C785="","",$C785&amp;"|"&amp;$E785&amp;"|"&amp;$M785&amp;"|"&amp;TEXT($G785,"yyyy-mm-dd")&amp;"|"&amp;LEFT($J785,40))</f>
        <v>7910|43488|15|2026-04-30|Bank Charges</v>
      </c>
      <c r="Q785" s="11" t="str">
        <f aca="false">IF(P785="","",IF(COUNTIF($P$2:$P$3000,P785)&gt;1,"DUPLICATE","OK"))</f>
        <v>OK</v>
      </c>
      <c r="R785" s="0" t="str">
        <f aca="false">IF($C785="","",IFERROR(VLOOKUP(--$C785,MM_Income!$Z$5:$AC$204,3,FALSE()),""))</f>
        <v>Excluded — Overhead (in fixed costs)</v>
      </c>
    </row>
    <row r="786" customFormat="false" ht="14.9" hidden="false" customHeight="false" outlineLevel="0" collapsed="false">
      <c r="A786" s="1" t="s">
        <v>49</v>
      </c>
      <c r="B786" s="1" t="s">
        <v>89</v>
      </c>
      <c r="C786" s="1" t="n">
        <v>7910</v>
      </c>
      <c r="D786" s="1" t="s">
        <v>762</v>
      </c>
      <c r="E786" s="1" t="n">
        <v>43491</v>
      </c>
      <c r="F786" s="1" t="s">
        <v>914</v>
      </c>
      <c r="G786" s="140" t="n">
        <v>46142</v>
      </c>
      <c r="H786" s="1" t="n">
        <v>1200</v>
      </c>
      <c r="J786" s="1" t="s">
        <v>1685</v>
      </c>
      <c r="K786" s="1" t="n">
        <v>60</v>
      </c>
      <c r="M786" s="125" t="n">
        <f aca="false">Nominal_Activity[[#This Row],[Debit]]-Nominal_Activity[[#This Row],[Credit]]</f>
        <v>60</v>
      </c>
      <c r="N786" s="1" t="str">
        <f aca="false">IF(C786="","",IFERROR(VLOOKUP(C786,Master_Mappings!$A$4:$E$85,3,FALSE()),"UNMAPPED"))</f>
        <v>Financial Charges</v>
      </c>
      <c r="P786" s="1" t="str">
        <f aca="false">IF($C786="","",$C786&amp;"|"&amp;$E786&amp;"|"&amp;$M786&amp;"|"&amp;TEXT($G786,"yyyy-mm-dd")&amp;"|"&amp;LEFT($J786,40))</f>
        <v>7910|43491|60|2026-04-30|Current account service charge</v>
      </c>
      <c r="Q786" s="11" t="str">
        <f aca="false">IF(P786="","",IF(COUNTIF($P$2:$P$3000,P786)&gt;1,"DUPLICATE","OK"))</f>
        <v>OK</v>
      </c>
      <c r="R786" s="0" t="str">
        <f aca="false">IF($C786="","",IFERROR(VLOOKUP(--$C786,MM_Income!$Z$5:$AC$204,3,FALSE()),""))</f>
        <v>Excluded — Overhead (in fixed costs)</v>
      </c>
    </row>
    <row r="787" customFormat="false" ht="14.9" hidden="false" customHeight="false" outlineLevel="0" collapsed="false">
      <c r="A787" s="1" t="s">
        <v>49</v>
      </c>
      <c r="B787" s="1" t="s">
        <v>89</v>
      </c>
      <c r="C787" s="1" t="n">
        <v>7910</v>
      </c>
      <c r="D787" s="1" t="s">
        <v>762</v>
      </c>
      <c r="E787" s="1" t="n">
        <v>43507</v>
      </c>
      <c r="F787" s="1" t="s">
        <v>869</v>
      </c>
      <c r="G787" s="140" t="n">
        <v>46146</v>
      </c>
      <c r="H787" s="1" t="n">
        <v>1230</v>
      </c>
      <c r="I787" s="1" t="s">
        <v>1531</v>
      </c>
      <c r="J787" s="1" t="s">
        <v>762</v>
      </c>
      <c r="K787" s="1" t="n">
        <v>5.25</v>
      </c>
      <c r="M787" s="125" t="n">
        <f aca="false">Nominal_Activity[[#This Row],[Debit]]-Nominal_Activity[[#This Row],[Credit]]</f>
        <v>5.25</v>
      </c>
      <c r="N787" s="1" t="str">
        <f aca="false">IF(C787="","",IFERROR(VLOOKUP(C787,Master_Mappings!$A$4:$E$85,3,FALSE()),"UNMAPPED"))</f>
        <v>Financial Charges</v>
      </c>
      <c r="P787" s="1" t="str">
        <f aca="false">IF($C787="","",$C787&amp;"|"&amp;$E787&amp;"|"&amp;$M787&amp;"|"&amp;TEXT($G787,"yyyy-mm-dd")&amp;"|"&amp;LEFT($J787,40))</f>
        <v>7910|43507|5.25|2026-05-04|Bank Charges</v>
      </c>
      <c r="Q787" s="11" t="str">
        <f aca="false">IF(P787="","",IF(COUNTIF($P$2:$P$3000,P787)&gt;1,"DUPLICATE","OK"))</f>
        <v>OK</v>
      </c>
      <c r="R787" s="0" t="str">
        <f aca="false">IF($C787="","",IFERROR(VLOOKUP(--$C787,MM_Income!$Z$5:$AC$204,3,FALSE()),""))</f>
        <v>Excluded — Overhead (in fixed costs)</v>
      </c>
    </row>
    <row r="788" customFormat="false" ht="14.9" hidden="false" customHeight="false" outlineLevel="0" collapsed="false">
      <c r="A788" s="1" t="s">
        <v>49</v>
      </c>
      <c r="B788" s="1" t="s">
        <v>89</v>
      </c>
      <c r="C788" s="1" t="n">
        <v>7910</v>
      </c>
      <c r="D788" s="1" t="s">
        <v>762</v>
      </c>
      <c r="E788" s="1" t="n">
        <v>43509</v>
      </c>
      <c r="F788" s="1" t="s">
        <v>869</v>
      </c>
      <c r="G788" s="140" t="n">
        <v>46147</v>
      </c>
      <c r="H788" s="1" t="n">
        <v>1230</v>
      </c>
      <c r="I788" s="1" t="s">
        <v>1297</v>
      </c>
      <c r="J788" s="1" t="s">
        <v>762</v>
      </c>
      <c r="K788" s="1" t="n">
        <v>3</v>
      </c>
      <c r="M788" s="125" t="n">
        <f aca="false">Nominal_Activity[[#This Row],[Debit]]-Nominal_Activity[[#This Row],[Credit]]</f>
        <v>3</v>
      </c>
      <c r="N788" s="1" t="str">
        <f aca="false">IF(C788="","",IFERROR(VLOOKUP(C788,Master_Mappings!$A$4:$E$85,3,FALSE()),"UNMAPPED"))</f>
        <v>Financial Charges</v>
      </c>
      <c r="P788" s="1" t="str">
        <f aca="false">IF($C788="","",$C788&amp;"|"&amp;$E788&amp;"|"&amp;$M788&amp;"|"&amp;TEXT($G788,"yyyy-mm-dd")&amp;"|"&amp;LEFT($J788,40))</f>
        <v>7910|43509|3|2026-05-05|Bank Charges</v>
      </c>
      <c r="Q788" s="11" t="str">
        <f aca="false">IF(P788="","",IF(COUNTIF($P$2:$P$3000,P788)&gt;1,"DUPLICATE","OK"))</f>
        <v>OK</v>
      </c>
      <c r="R788" s="0" t="str">
        <f aca="false">IF($C788="","",IFERROR(VLOOKUP(--$C788,MM_Income!$Z$5:$AC$204,3,FALSE()),""))</f>
        <v>Excluded — Overhead (in fixed costs)</v>
      </c>
    </row>
    <row r="789" customFormat="false" ht="14.9" hidden="false" customHeight="false" outlineLevel="0" collapsed="false">
      <c r="A789" s="1" t="s">
        <v>49</v>
      </c>
      <c r="B789" s="1" t="s">
        <v>89</v>
      </c>
      <c r="C789" s="1" t="n">
        <v>7910</v>
      </c>
      <c r="D789" s="1" t="s">
        <v>762</v>
      </c>
      <c r="E789" s="1" t="n">
        <v>43512</v>
      </c>
      <c r="F789" s="1" t="s">
        <v>869</v>
      </c>
      <c r="G789" s="140" t="n">
        <v>46147</v>
      </c>
      <c r="H789" s="1" t="n">
        <v>1230</v>
      </c>
      <c r="I789" s="1" t="s">
        <v>1297</v>
      </c>
      <c r="J789" s="1" t="s">
        <v>762</v>
      </c>
      <c r="K789" s="1" t="n">
        <v>1.27</v>
      </c>
      <c r="M789" s="125" t="n">
        <f aca="false">Nominal_Activity[[#This Row],[Debit]]-Nominal_Activity[[#This Row],[Credit]]</f>
        <v>1.27</v>
      </c>
      <c r="N789" s="1" t="str">
        <f aca="false">IF(C789="","",IFERROR(VLOOKUP(C789,Master_Mappings!$A$4:$E$85,3,FALSE()),"UNMAPPED"))</f>
        <v>Financial Charges</v>
      </c>
      <c r="P789" s="1" t="str">
        <f aca="false">IF($C789="","",$C789&amp;"|"&amp;$E789&amp;"|"&amp;$M789&amp;"|"&amp;TEXT($G789,"yyyy-mm-dd")&amp;"|"&amp;LEFT($J789,40))</f>
        <v>7910|43512|1.27|2026-05-05|Bank Charges</v>
      </c>
      <c r="Q789" s="11" t="str">
        <f aca="false">IF(P789="","",IF(COUNTIF($P$2:$P$3000,P789)&gt;1,"DUPLICATE","OK"))</f>
        <v>OK</v>
      </c>
      <c r="R789" s="0" t="str">
        <f aca="false">IF($C789="","",IFERROR(VLOOKUP(--$C789,MM_Income!$Z$5:$AC$204,3,FALSE()),""))</f>
        <v>Excluded — Overhead (in fixed costs)</v>
      </c>
    </row>
    <row r="790" customFormat="false" ht="14.9" hidden="false" customHeight="false" outlineLevel="0" collapsed="false">
      <c r="A790" s="1" t="s">
        <v>49</v>
      </c>
      <c r="B790" s="1" t="s">
        <v>89</v>
      </c>
      <c r="C790" s="1" t="n">
        <v>7910</v>
      </c>
      <c r="D790" s="1" t="s">
        <v>762</v>
      </c>
      <c r="E790" s="1" t="n">
        <v>43514</v>
      </c>
      <c r="F790" s="1" t="s">
        <v>869</v>
      </c>
      <c r="G790" s="140" t="n">
        <v>46147</v>
      </c>
      <c r="H790" s="1" t="n">
        <v>1230</v>
      </c>
      <c r="I790" s="1" t="s">
        <v>1599</v>
      </c>
      <c r="J790" s="1" t="s">
        <v>762</v>
      </c>
      <c r="K790" s="1" t="n">
        <v>3</v>
      </c>
      <c r="M790" s="125" t="n">
        <f aca="false">Nominal_Activity[[#This Row],[Debit]]-Nominal_Activity[[#This Row],[Credit]]</f>
        <v>3</v>
      </c>
      <c r="N790" s="1" t="str">
        <f aca="false">IF(C790="","",IFERROR(VLOOKUP(C790,Master_Mappings!$A$4:$E$85,3,FALSE()),"UNMAPPED"))</f>
        <v>Financial Charges</v>
      </c>
      <c r="P790" s="1" t="str">
        <f aca="false">IF($C790="","",$C790&amp;"|"&amp;$E790&amp;"|"&amp;$M790&amp;"|"&amp;TEXT($G790,"yyyy-mm-dd")&amp;"|"&amp;LEFT($J790,40))</f>
        <v>7910|43514|3|2026-05-05|Bank Charges</v>
      </c>
      <c r="Q790" s="11" t="str">
        <f aca="false">IF(P790="","",IF(COUNTIF($P$2:$P$3000,P790)&gt;1,"DUPLICATE","OK"))</f>
        <v>OK</v>
      </c>
      <c r="R790" s="0" t="str">
        <f aca="false">IF($C790="","",IFERROR(VLOOKUP(--$C790,MM_Income!$Z$5:$AC$204,3,FALSE()),""))</f>
        <v>Excluded — Overhead (in fixed costs)</v>
      </c>
    </row>
    <row r="791" customFormat="false" ht="14.9" hidden="false" customHeight="false" outlineLevel="0" collapsed="false">
      <c r="A791" s="1" t="s">
        <v>49</v>
      </c>
      <c r="B791" s="1" t="s">
        <v>89</v>
      </c>
      <c r="C791" s="1" t="n">
        <v>7910</v>
      </c>
      <c r="D791" s="1" t="s">
        <v>762</v>
      </c>
      <c r="E791" s="1" t="n">
        <v>43517</v>
      </c>
      <c r="F791" s="1" t="s">
        <v>869</v>
      </c>
      <c r="G791" s="140" t="n">
        <v>46148</v>
      </c>
      <c r="H791" s="1" t="n">
        <v>1230</v>
      </c>
      <c r="I791" s="1" t="s">
        <v>1299</v>
      </c>
      <c r="J791" s="1" t="s">
        <v>762</v>
      </c>
      <c r="K791" s="1" t="n">
        <v>3.5</v>
      </c>
      <c r="M791" s="125" t="n">
        <f aca="false">Nominal_Activity[[#This Row],[Debit]]-Nominal_Activity[[#This Row],[Credit]]</f>
        <v>3.5</v>
      </c>
      <c r="N791" s="1" t="str">
        <f aca="false">IF(C791="","",IFERROR(VLOOKUP(C791,Master_Mappings!$A$4:$E$85,3,FALSE()),"UNMAPPED"))</f>
        <v>Financial Charges</v>
      </c>
      <c r="P791" s="1" t="str">
        <f aca="false">IF($C791="","",$C791&amp;"|"&amp;$E791&amp;"|"&amp;$M791&amp;"|"&amp;TEXT($G791,"yyyy-mm-dd")&amp;"|"&amp;LEFT($J791,40))</f>
        <v>7910|43517|3.5|2026-05-06|Bank Charges</v>
      </c>
      <c r="Q791" s="11" t="str">
        <f aca="false">IF(P791="","",IF(COUNTIF($P$2:$P$3000,P791)&gt;1,"DUPLICATE","OK"))</f>
        <v>OK</v>
      </c>
      <c r="R791" s="0" t="str">
        <f aca="false">IF($C791="","",IFERROR(VLOOKUP(--$C791,MM_Income!$Z$5:$AC$204,3,FALSE()),""))</f>
        <v>Excluded — Overhead (in fixed costs)</v>
      </c>
    </row>
    <row r="792" customFormat="false" ht="14.9" hidden="false" customHeight="false" outlineLevel="0" collapsed="false">
      <c r="A792" s="1" t="s">
        <v>49</v>
      </c>
      <c r="B792" s="1" t="s">
        <v>89</v>
      </c>
      <c r="C792" s="1" t="n">
        <v>7910</v>
      </c>
      <c r="D792" s="1" t="s">
        <v>762</v>
      </c>
      <c r="E792" s="1" t="n">
        <v>43520</v>
      </c>
      <c r="F792" s="1" t="s">
        <v>869</v>
      </c>
      <c r="G792" s="140" t="n">
        <v>46149</v>
      </c>
      <c r="H792" s="1" t="n">
        <v>1230</v>
      </c>
      <c r="I792" s="1" t="s">
        <v>1300</v>
      </c>
      <c r="J792" s="1" t="s">
        <v>762</v>
      </c>
      <c r="K792" s="1" t="n">
        <v>2.23</v>
      </c>
      <c r="M792" s="125" t="n">
        <f aca="false">Nominal_Activity[[#This Row],[Debit]]-Nominal_Activity[[#This Row],[Credit]]</f>
        <v>2.23</v>
      </c>
      <c r="N792" s="1" t="str">
        <f aca="false">IF(C792="","",IFERROR(VLOOKUP(C792,Master_Mappings!$A$4:$E$85,3,FALSE()),"UNMAPPED"))</f>
        <v>Financial Charges</v>
      </c>
      <c r="P792" s="1" t="str">
        <f aca="false">IF($C792="","",$C792&amp;"|"&amp;$E792&amp;"|"&amp;$M792&amp;"|"&amp;TEXT($G792,"yyyy-mm-dd")&amp;"|"&amp;LEFT($J792,40))</f>
        <v>7910|43520|2.23|2026-05-07|Bank Charges</v>
      </c>
      <c r="Q792" s="11" t="str">
        <f aca="false">IF(P792="","",IF(COUNTIF($P$2:$P$3000,P792)&gt;1,"DUPLICATE","OK"))</f>
        <v>OK</v>
      </c>
      <c r="R792" s="0" t="str">
        <f aca="false">IF($C792="","",IFERROR(VLOOKUP(--$C792,MM_Income!$Z$5:$AC$204,3,FALSE()),""))</f>
        <v>Excluded — Overhead (in fixed costs)</v>
      </c>
    </row>
    <row r="793" customFormat="false" ht="14.9" hidden="false" customHeight="false" outlineLevel="0" collapsed="false">
      <c r="A793" s="1" t="s">
        <v>49</v>
      </c>
      <c r="B793" s="1" t="s">
        <v>89</v>
      </c>
      <c r="C793" s="1" t="n">
        <v>7910</v>
      </c>
      <c r="D793" s="1" t="s">
        <v>762</v>
      </c>
      <c r="E793" s="1" t="n">
        <v>43524</v>
      </c>
      <c r="F793" s="1" t="s">
        <v>869</v>
      </c>
      <c r="G793" s="140" t="n">
        <v>46150</v>
      </c>
      <c r="H793" s="1" t="n">
        <v>1230</v>
      </c>
      <c r="I793" s="1" t="s">
        <v>1301</v>
      </c>
      <c r="J793" s="1" t="s">
        <v>762</v>
      </c>
      <c r="K793" s="1" t="n">
        <v>3.31</v>
      </c>
      <c r="M793" s="125" t="n">
        <f aca="false">Nominal_Activity[[#This Row],[Debit]]-Nominal_Activity[[#This Row],[Credit]]</f>
        <v>3.31</v>
      </c>
      <c r="N793" s="1" t="str">
        <f aca="false">IF(C793="","",IFERROR(VLOOKUP(C793,Master_Mappings!$A$4:$E$85,3,FALSE()),"UNMAPPED"))</f>
        <v>Financial Charges</v>
      </c>
      <c r="P793" s="1" t="str">
        <f aca="false">IF($C793="","",$C793&amp;"|"&amp;$E793&amp;"|"&amp;$M793&amp;"|"&amp;TEXT($G793,"yyyy-mm-dd")&amp;"|"&amp;LEFT($J793,40))</f>
        <v>7910|43524|3.31|2026-05-08|Bank Charges</v>
      </c>
      <c r="Q793" s="11" t="str">
        <f aca="false">IF(P793="","",IF(COUNTIF($P$2:$P$3000,P793)&gt;1,"DUPLICATE","OK"))</f>
        <v>OK</v>
      </c>
      <c r="R793" s="0" t="str">
        <f aca="false">IF($C793="","",IFERROR(VLOOKUP(--$C793,MM_Income!$Z$5:$AC$204,3,FALSE()),""))</f>
        <v>Excluded — Overhead (in fixed costs)</v>
      </c>
    </row>
    <row r="794" customFormat="false" ht="14.9" hidden="false" customHeight="false" outlineLevel="0" collapsed="false">
      <c r="A794" s="1" t="s">
        <v>49</v>
      </c>
      <c r="B794" s="1" t="s">
        <v>89</v>
      </c>
      <c r="C794" s="1" t="n">
        <v>7910</v>
      </c>
      <c r="D794" s="1" t="s">
        <v>762</v>
      </c>
      <c r="E794" s="1" t="n">
        <v>43526</v>
      </c>
      <c r="F794" s="1" t="s">
        <v>869</v>
      </c>
      <c r="G794" s="140" t="n">
        <v>46153</v>
      </c>
      <c r="H794" s="1" t="n">
        <v>1230</v>
      </c>
      <c r="I794" s="1" t="s">
        <v>1652</v>
      </c>
      <c r="J794" s="1" t="s">
        <v>762</v>
      </c>
      <c r="K794" s="1" t="n">
        <v>1.68</v>
      </c>
      <c r="M794" s="125" t="n">
        <f aca="false">Nominal_Activity[[#This Row],[Debit]]-Nominal_Activity[[#This Row],[Credit]]</f>
        <v>1.68</v>
      </c>
      <c r="N794" s="1" t="str">
        <f aca="false">IF(C794="","",IFERROR(VLOOKUP(C794,Master_Mappings!$A$4:$E$85,3,FALSE()),"UNMAPPED"))</f>
        <v>Financial Charges</v>
      </c>
      <c r="P794" s="1" t="str">
        <f aca="false">IF($C794="","",$C794&amp;"|"&amp;$E794&amp;"|"&amp;$M794&amp;"|"&amp;TEXT($G794,"yyyy-mm-dd")&amp;"|"&amp;LEFT($J794,40))</f>
        <v>7910|43526|1.68|2026-05-11|Bank Charges</v>
      </c>
      <c r="Q794" s="11" t="str">
        <f aca="false">IF(P794="","",IF(COUNTIF($P$2:$P$3000,P794)&gt;1,"DUPLICATE","OK"))</f>
        <v>OK</v>
      </c>
      <c r="R794" s="0" t="str">
        <f aca="false">IF($C794="","",IFERROR(VLOOKUP(--$C794,MM_Income!$Z$5:$AC$204,3,FALSE()),""))</f>
        <v>Excluded — Overhead (in fixed costs)</v>
      </c>
    </row>
    <row r="795" customFormat="false" ht="14.9" hidden="false" customHeight="false" outlineLevel="0" collapsed="false">
      <c r="A795" s="1" t="s">
        <v>49</v>
      </c>
      <c r="B795" s="1" t="s">
        <v>89</v>
      </c>
      <c r="C795" s="1" t="n">
        <v>7910</v>
      </c>
      <c r="D795" s="1" t="s">
        <v>762</v>
      </c>
      <c r="E795" s="1" t="n">
        <v>43528</v>
      </c>
      <c r="F795" s="1" t="s">
        <v>869</v>
      </c>
      <c r="G795" s="140" t="n">
        <v>46153</v>
      </c>
      <c r="H795" s="1" t="n">
        <v>1230</v>
      </c>
      <c r="I795" s="1" t="s">
        <v>1534</v>
      </c>
      <c r="J795" s="1" t="s">
        <v>762</v>
      </c>
      <c r="K795" s="1" t="n">
        <v>1.35</v>
      </c>
      <c r="M795" s="125" t="n">
        <f aca="false">Nominal_Activity[[#This Row],[Debit]]-Nominal_Activity[[#This Row],[Credit]]</f>
        <v>1.35</v>
      </c>
      <c r="N795" s="1" t="str">
        <f aca="false">IF(C795="","",IFERROR(VLOOKUP(C795,Master_Mappings!$A$4:$E$85,3,FALSE()),"UNMAPPED"))</f>
        <v>Financial Charges</v>
      </c>
      <c r="P795" s="1" t="str">
        <f aca="false">IF($C795="","",$C795&amp;"|"&amp;$E795&amp;"|"&amp;$M795&amp;"|"&amp;TEXT($G795,"yyyy-mm-dd")&amp;"|"&amp;LEFT($J795,40))</f>
        <v>7910|43528|1.35|2026-05-11|Bank Charges</v>
      </c>
      <c r="Q795" s="11" t="str">
        <f aca="false">IF(P795="","",IF(COUNTIF($P$2:$P$3000,P795)&gt;1,"DUPLICATE","OK"))</f>
        <v>OK</v>
      </c>
      <c r="R795" s="0" t="str">
        <f aca="false">IF($C795="","",IFERROR(VLOOKUP(--$C795,MM_Income!$Z$5:$AC$204,3,FALSE()),""))</f>
        <v>Excluded — Overhead (in fixed costs)</v>
      </c>
    </row>
    <row r="796" customFormat="false" ht="14.9" hidden="false" customHeight="false" outlineLevel="0" collapsed="false">
      <c r="A796" s="1" t="s">
        <v>49</v>
      </c>
      <c r="B796" s="1" t="s">
        <v>89</v>
      </c>
      <c r="C796" s="1" t="n">
        <v>7910</v>
      </c>
      <c r="D796" s="1" t="s">
        <v>762</v>
      </c>
      <c r="E796" s="1" t="n">
        <v>43530</v>
      </c>
      <c r="F796" s="1" t="s">
        <v>869</v>
      </c>
      <c r="G796" s="140" t="n">
        <v>46153</v>
      </c>
      <c r="H796" s="1" t="n">
        <v>1230</v>
      </c>
      <c r="I796" s="1" t="s">
        <v>991</v>
      </c>
      <c r="J796" s="1" t="s">
        <v>762</v>
      </c>
      <c r="K796" s="1" t="n">
        <v>0.56</v>
      </c>
      <c r="M796" s="125" t="n">
        <f aca="false">Nominal_Activity[[#This Row],[Debit]]-Nominal_Activity[[#This Row],[Credit]]</f>
        <v>0.56</v>
      </c>
      <c r="N796" s="1" t="str">
        <f aca="false">IF(C796="","",IFERROR(VLOOKUP(C796,Master_Mappings!$A$4:$E$85,3,FALSE()),"UNMAPPED"))</f>
        <v>Financial Charges</v>
      </c>
      <c r="P796" s="1" t="str">
        <f aca="false">IF($C796="","",$C796&amp;"|"&amp;$E796&amp;"|"&amp;$M796&amp;"|"&amp;TEXT($G796,"yyyy-mm-dd")&amp;"|"&amp;LEFT($J796,40))</f>
        <v>7910|43530|0.56|2026-05-11|Bank Charges</v>
      </c>
      <c r="Q796" s="11" t="str">
        <f aca="false">IF(P796="","",IF(COUNTIF($P$2:$P$3000,P796)&gt;1,"DUPLICATE","OK"))</f>
        <v>OK</v>
      </c>
      <c r="R796" s="0" t="str">
        <f aca="false">IF($C796="","",IFERROR(VLOOKUP(--$C796,MM_Income!$Z$5:$AC$204,3,FALSE()),""))</f>
        <v>Excluded — Overhead (in fixed costs)</v>
      </c>
    </row>
    <row r="797" customFormat="false" ht="14.9" hidden="false" customHeight="false" outlineLevel="0" collapsed="false">
      <c r="A797" s="1" t="s">
        <v>49</v>
      </c>
      <c r="B797" s="1" t="s">
        <v>89</v>
      </c>
      <c r="C797" s="1" t="n">
        <v>7910</v>
      </c>
      <c r="D797" s="1" t="s">
        <v>762</v>
      </c>
      <c r="E797" s="1" t="n">
        <v>43532</v>
      </c>
      <c r="F797" s="1" t="s">
        <v>869</v>
      </c>
      <c r="G797" s="140" t="n">
        <v>46154</v>
      </c>
      <c r="H797" s="1" t="n">
        <v>1230</v>
      </c>
      <c r="I797" s="1" t="s">
        <v>1535</v>
      </c>
      <c r="J797" s="1" t="s">
        <v>762</v>
      </c>
      <c r="K797" s="1" t="n">
        <v>2.32</v>
      </c>
      <c r="M797" s="125" t="n">
        <f aca="false">Nominal_Activity[[#This Row],[Debit]]-Nominal_Activity[[#This Row],[Credit]]</f>
        <v>2.32</v>
      </c>
      <c r="N797" s="1" t="str">
        <f aca="false">IF(C797="","",IFERROR(VLOOKUP(C797,Master_Mappings!$A$4:$E$85,3,FALSE()),"UNMAPPED"))</f>
        <v>Financial Charges</v>
      </c>
      <c r="P797" s="1" t="str">
        <f aca="false">IF($C797="","",$C797&amp;"|"&amp;$E797&amp;"|"&amp;$M797&amp;"|"&amp;TEXT($G797,"yyyy-mm-dd")&amp;"|"&amp;LEFT($J797,40))</f>
        <v>7910|43532|2.32|2026-05-12|Bank Charges</v>
      </c>
      <c r="Q797" s="11" t="str">
        <f aca="false">IF(P797="","",IF(COUNTIF($P$2:$P$3000,P797)&gt;1,"DUPLICATE","OK"))</f>
        <v>OK</v>
      </c>
      <c r="R797" s="0" t="str">
        <f aca="false">IF($C797="","",IFERROR(VLOOKUP(--$C797,MM_Income!$Z$5:$AC$204,3,FALSE()),""))</f>
        <v>Excluded — Overhead (in fixed costs)</v>
      </c>
    </row>
    <row r="798" customFormat="false" ht="14.9" hidden="false" customHeight="false" outlineLevel="0" collapsed="false">
      <c r="A798" s="1" t="s">
        <v>49</v>
      </c>
      <c r="B798" s="1" t="s">
        <v>89</v>
      </c>
      <c r="C798" s="1" t="n">
        <v>7910</v>
      </c>
      <c r="D798" s="1" t="s">
        <v>762</v>
      </c>
      <c r="E798" s="1" t="n">
        <v>43534</v>
      </c>
      <c r="F798" s="1" t="s">
        <v>869</v>
      </c>
      <c r="G798" s="140" t="n">
        <v>46155</v>
      </c>
      <c r="H798" s="1" t="n">
        <v>1230</v>
      </c>
      <c r="I798" s="1" t="s">
        <v>1536</v>
      </c>
      <c r="J798" s="1" t="s">
        <v>762</v>
      </c>
      <c r="K798" s="1" t="n">
        <v>2.9</v>
      </c>
      <c r="M798" s="125" t="n">
        <f aca="false">Nominal_Activity[[#This Row],[Debit]]-Nominal_Activity[[#This Row],[Credit]]</f>
        <v>2.9</v>
      </c>
      <c r="N798" s="1" t="str">
        <f aca="false">IF(C798="","",IFERROR(VLOOKUP(C798,Master_Mappings!$A$4:$E$85,3,FALSE()),"UNMAPPED"))</f>
        <v>Financial Charges</v>
      </c>
      <c r="P798" s="1" t="str">
        <f aca="false">IF($C798="","",$C798&amp;"|"&amp;$E798&amp;"|"&amp;$M798&amp;"|"&amp;TEXT($G798,"yyyy-mm-dd")&amp;"|"&amp;LEFT($J798,40))</f>
        <v>7910|43534|2.9|2026-05-13|Bank Charges</v>
      </c>
      <c r="Q798" s="11" t="str">
        <f aca="false">IF(P798="","",IF(COUNTIF($P$2:$P$3000,P798)&gt;1,"DUPLICATE","OK"))</f>
        <v>OK</v>
      </c>
      <c r="R798" s="0" t="str">
        <f aca="false">IF($C798="","",IFERROR(VLOOKUP(--$C798,MM_Income!$Z$5:$AC$204,3,FALSE()),""))</f>
        <v>Excluded — Overhead (in fixed costs)</v>
      </c>
    </row>
    <row r="799" customFormat="false" ht="14.9" hidden="false" customHeight="false" outlineLevel="0" collapsed="false">
      <c r="A799" s="1" t="s">
        <v>49</v>
      </c>
      <c r="B799" s="1" t="s">
        <v>89</v>
      </c>
      <c r="C799" s="1" t="n">
        <v>7910</v>
      </c>
      <c r="D799" s="1" t="s">
        <v>762</v>
      </c>
      <c r="E799" s="1" t="n">
        <v>43536</v>
      </c>
      <c r="F799" s="1" t="s">
        <v>869</v>
      </c>
      <c r="G799" s="140" t="n">
        <v>46156</v>
      </c>
      <c r="H799" s="1" t="n">
        <v>1230</v>
      </c>
      <c r="I799" s="1" t="s">
        <v>1537</v>
      </c>
      <c r="J799" s="1" t="s">
        <v>762</v>
      </c>
      <c r="K799" s="1" t="n">
        <v>2.17</v>
      </c>
      <c r="M799" s="125" t="n">
        <f aca="false">Nominal_Activity[[#This Row],[Debit]]-Nominal_Activity[[#This Row],[Credit]]</f>
        <v>2.17</v>
      </c>
      <c r="N799" s="1" t="str">
        <f aca="false">IF(C799="","",IFERROR(VLOOKUP(C799,Master_Mappings!$A$4:$E$85,3,FALSE()),"UNMAPPED"))</f>
        <v>Financial Charges</v>
      </c>
      <c r="P799" s="1" t="str">
        <f aca="false">IF($C799="","",$C799&amp;"|"&amp;$E799&amp;"|"&amp;$M799&amp;"|"&amp;TEXT($G799,"yyyy-mm-dd")&amp;"|"&amp;LEFT($J799,40))</f>
        <v>7910|43536|2.17|2026-05-14|Bank Charges</v>
      </c>
      <c r="Q799" s="11" t="str">
        <f aca="false">IF(P799="","",IF(COUNTIF($P$2:$P$3000,P799)&gt;1,"DUPLICATE","OK"))</f>
        <v>OK</v>
      </c>
      <c r="R799" s="0" t="str">
        <f aca="false">IF($C799="","",IFERROR(VLOOKUP(--$C799,MM_Income!$Z$5:$AC$204,3,FALSE()),""))</f>
        <v>Excluded — Overhead (in fixed costs)</v>
      </c>
    </row>
    <row r="800" customFormat="false" ht="14.9" hidden="false" customHeight="false" outlineLevel="0" collapsed="false">
      <c r="A800" s="1" t="s">
        <v>49</v>
      </c>
      <c r="B800" s="1" t="s">
        <v>89</v>
      </c>
      <c r="C800" s="1" t="n">
        <v>7910</v>
      </c>
      <c r="D800" s="1" t="s">
        <v>762</v>
      </c>
      <c r="E800" s="1" t="n">
        <v>43538</v>
      </c>
      <c r="F800" s="1" t="s">
        <v>869</v>
      </c>
      <c r="G800" s="140" t="n">
        <v>46157</v>
      </c>
      <c r="H800" s="1" t="n">
        <v>1230</v>
      </c>
      <c r="I800" s="1" t="s">
        <v>1302</v>
      </c>
      <c r="J800" s="1" t="s">
        <v>762</v>
      </c>
      <c r="K800" s="1" t="n">
        <v>2.59</v>
      </c>
      <c r="M800" s="125" t="n">
        <f aca="false">Nominal_Activity[[#This Row],[Debit]]-Nominal_Activity[[#This Row],[Credit]]</f>
        <v>2.59</v>
      </c>
      <c r="N800" s="1" t="str">
        <f aca="false">IF(C800="","",IFERROR(VLOOKUP(C800,Master_Mappings!$A$4:$E$85,3,FALSE()),"UNMAPPED"))</f>
        <v>Financial Charges</v>
      </c>
      <c r="P800" s="1" t="str">
        <f aca="false">IF($C800="","",$C800&amp;"|"&amp;$E800&amp;"|"&amp;$M800&amp;"|"&amp;TEXT($G800,"yyyy-mm-dd")&amp;"|"&amp;LEFT($J800,40))</f>
        <v>7910|43538|2.59|2026-05-15|Bank Charges</v>
      </c>
      <c r="Q800" s="11" t="str">
        <f aca="false">IF(P800="","",IF(COUNTIF($P$2:$P$3000,P800)&gt;1,"DUPLICATE","OK"))</f>
        <v>OK</v>
      </c>
      <c r="R800" s="0" t="str">
        <f aca="false">IF($C800="","",IFERROR(VLOOKUP(--$C800,MM_Income!$Z$5:$AC$204,3,FALSE()),""))</f>
        <v>Excluded — Overhead (in fixed costs)</v>
      </c>
    </row>
    <row r="801" customFormat="false" ht="14.9" hidden="false" customHeight="false" outlineLevel="0" collapsed="false">
      <c r="A801" s="1" t="s">
        <v>49</v>
      </c>
      <c r="B801" s="1" t="s">
        <v>89</v>
      </c>
      <c r="C801" s="1" t="n">
        <v>7910</v>
      </c>
      <c r="D801" s="1" t="s">
        <v>762</v>
      </c>
      <c r="E801" s="1" t="n">
        <v>43542</v>
      </c>
      <c r="F801" s="1" t="s">
        <v>869</v>
      </c>
      <c r="G801" s="140" t="n">
        <v>46160</v>
      </c>
      <c r="H801" s="1" t="n">
        <v>1230</v>
      </c>
      <c r="I801" s="1" t="s">
        <v>1303</v>
      </c>
      <c r="J801" s="1" t="s">
        <v>762</v>
      </c>
      <c r="K801" s="1" t="n">
        <v>1.2</v>
      </c>
      <c r="M801" s="125" t="n">
        <f aca="false">Nominal_Activity[[#This Row],[Debit]]-Nominal_Activity[[#This Row],[Credit]]</f>
        <v>1.2</v>
      </c>
      <c r="N801" s="1" t="str">
        <f aca="false">IF(C801="","",IFERROR(VLOOKUP(C801,Master_Mappings!$A$4:$E$85,3,FALSE()),"UNMAPPED"))</f>
        <v>Financial Charges</v>
      </c>
      <c r="P801" s="1" t="str">
        <f aca="false">IF($C801="","",$C801&amp;"|"&amp;$E801&amp;"|"&amp;$M801&amp;"|"&amp;TEXT($G801,"yyyy-mm-dd")&amp;"|"&amp;LEFT($J801,40))</f>
        <v>7910|43542|1.2|2026-05-18|Bank Charges</v>
      </c>
      <c r="Q801" s="11" t="str">
        <f aca="false">IF(P801="","",IF(COUNTIF($P$2:$P$3000,P801)&gt;1,"DUPLICATE","OK"))</f>
        <v>OK</v>
      </c>
      <c r="R801" s="0" t="str">
        <f aca="false">IF($C801="","",IFERROR(VLOOKUP(--$C801,MM_Income!$Z$5:$AC$204,3,FALSE()),""))</f>
        <v>Excluded — Overhead (in fixed costs)</v>
      </c>
    </row>
    <row r="802" customFormat="false" ht="14.9" hidden="false" customHeight="false" outlineLevel="0" collapsed="false">
      <c r="A802" s="1" t="s">
        <v>49</v>
      </c>
      <c r="B802" s="1" t="s">
        <v>89</v>
      </c>
      <c r="C802" s="1" t="n">
        <v>7910</v>
      </c>
      <c r="D802" s="1" t="s">
        <v>762</v>
      </c>
      <c r="E802" s="1" t="n">
        <v>43581</v>
      </c>
      <c r="F802" s="1" t="s">
        <v>914</v>
      </c>
      <c r="G802" s="140" t="n">
        <v>46156</v>
      </c>
      <c r="H802" s="1" t="n">
        <v>1209</v>
      </c>
      <c r="J802" s="1" t="s">
        <v>1686</v>
      </c>
      <c r="K802" s="1" t="n">
        <v>369.08</v>
      </c>
      <c r="M802" s="125" t="n">
        <f aca="false">Nominal_Activity[[#This Row],[Debit]]-Nominal_Activity[[#This Row],[Credit]]</f>
        <v>369.08</v>
      </c>
      <c r="N802" s="1" t="str">
        <f aca="false">IF(C802="","",IFERROR(VLOOKUP(C802,Master_Mappings!$A$4:$E$85,3,FALSE()),"UNMAPPED"))</f>
        <v>Financial Charges</v>
      </c>
      <c r="P802" s="1" t="str">
        <f aca="false">IF($C802="","",$C802&amp;"|"&amp;$E802&amp;"|"&amp;$M802&amp;"|"&amp;TEXT($G802,"yyyy-mm-dd")&amp;"|"&amp;LEFT($J802,40))</f>
        <v>7910|43581|369.08|2026-05-14|Bank charges</v>
      </c>
      <c r="Q802" s="11" t="str">
        <f aca="false">IF(P802="","",IF(COUNTIF($P$2:$P$3000,P802)&gt;1,"DUPLICATE","OK"))</f>
        <v>OK</v>
      </c>
      <c r="R802" s="0" t="str">
        <f aca="false">IF($C802="","",IFERROR(VLOOKUP(--$C802,MM_Income!$Z$5:$AC$204,3,FALSE()),""))</f>
        <v>Excluded — Overhead (in fixed costs)</v>
      </c>
    </row>
    <row r="803" customFormat="false" ht="14.9" hidden="false" customHeight="false" outlineLevel="0" collapsed="false">
      <c r="A803" s="1" t="s">
        <v>49</v>
      </c>
      <c r="B803" s="1" t="s">
        <v>89</v>
      </c>
      <c r="C803" s="1" t="n">
        <v>7910</v>
      </c>
      <c r="D803" s="1" t="s">
        <v>762</v>
      </c>
      <c r="E803" s="1" t="n">
        <v>43582</v>
      </c>
      <c r="F803" s="1" t="s">
        <v>914</v>
      </c>
      <c r="G803" s="140" t="n">
        <v>46156</v>
      </c>
      <c r="H803" s="1" t="n">
        <v>1209</v>
      </c>
      <c r="J803" s="1" t="s">
        <v>1686</v>
      </c>
      <c r="K803" s="1" t="n">
        <v>513.56</v>
      </c>
      <c r="M803" s="125" t="n">
        <f aca="false">Nominal_Activity[[#This Row],[Debit]]-Nominal_Activity[[#This Row],[Credit]]</f>
        <v>513.56</v>
      </c>
      <c r="N803" s="1" t="str">
        <f aca="false">IF(C803="","",IFERROR(VLOOKUP(C803,Master_Mappings!$A$4:$E$85,3,FALSE()),"UNMAPPED"))</f>
        <v>Financial Charges</v>
      </c>
      <c r="P803" s="1" t="str">
        <f aca="false">IF($C803="","",$C803&amp;"|"&amp;$E803&amp;"|"&amp;$M803&amp;"|"&amp;TEXT($G803,"yyyy-mm-dd")&amp;"|"&amp;LEFT($J803,40))</f>
        <v>7910|43582|513.56|2026-05-14|Bank charges</v>
      </c>
      <c r="Q803" s="11" t="str">
        <f aca="false">IF(P803="","",IF(COUNTIF($P$2:$P$3000,P803)&gt;1,"DUPLICATE","OK"))</f>
        <v>OK</v>
      </c>
      <c r="R803" s="0" t="str">
        <f aca="false">IF($C803="","",IFERROR(VLOOKUP(--$C803,MM_Income!$Z$5:$AC$204,3,FALSE()),""))</f>
        <v>Excluded — Overhead (in fixed costs)</v>
      </c>
    </row>
    <row r="804" customFormat="false" ht="14.9" hidden="false" customHeight="false" outlineLevel="0" collapsed="false">
      <c r="A804" s="1" t="s">
        <v>49</v>
      </c>
      <c r="B804" s="1" t="s">
        <v>89</v>
      </c>
      <c r="C804" s="1" t="n">
        <v>7910</v>
      </c>
      <c r="D804" s="1" t="s">
        <v>762</v>
      </c>
      <c r="E804" s="1" t="n">
        <v>43588</v>
      </c>
      <c r="F804" s="1" t="s">
        <v>914</v>
      </c>
      <c r="G804" s="140" t="n">
        <v>46156</v>
      </c>
      <c r="H804" s="1" t="n">
        <v>1210</v>
      </c>
      <c r="J804" s="1" t="s">
        <v>1686</v>
      </c>
      <c r="K804" s="1" t="n">
        <v>456.5</v>
      </c>
      <c r="M804" s="125" t="n">
        <f aca="false">Nominal_Activity[[#This Row],[Debit]]-Nominal_Activity[[#This Row],[Credit]]</f>
        <v>456.5</v>
      </c>
      <c r="N804" s="1" t="str">
        <f aca="false">IF(C804="","",IFERROR(VLOOKUP(C804,Master_Mappings!$A$4:$E$85,3,FALSE()),"UNMAPPED"))</f>
        <v>Financial Charges</v>
      </c>
      <c r="P804" s="1" t="str">
        <f aca="false">IF($C804="","",$C804&amp;"|"&amp;$E804&amp;"|"&amp;$M804&amp;"|"&amp;TEXT($G804,"yyyy-mm-dd")&amp;"|"&amp;LEFT($J804,40))</f>
        <v>7910|43588|456.5|2026-05-14|Bank charges</v>
      </c>
      <c r="Q804" s="11" t="str">
        <f aca="false">IF(P804="","",IF(COUNTIF($P$2:$P$3000,P804)&gt;1,"DUPLICATE","OK"))</f>
        <v>OK</v>
      </c>
      <c r="R804" s="0" t="str">
        <f aca="false">IF($C804="","",IFERROR(VLOOKUP(--$C804,MM_Income!$Z$5:$AC$204,3,FALSE()),""))</f>
        <v>Excluded — Overhead (in fixed costs)</v>
      </c>
    </row>
    <row r="805" customFormat="false" ht="14.9" hidden="false" customHeight="false" outlineLevel="0" collapsed="false">
      <c r="A805" s="1" t="s">
        <v>49</v>
      </c>
      <c r="B805" s="1" t="s">
        <v>89</v>
      </c>
      <c r="C805" s="1" t="n">
        <v>7910</v>
      </c>
      <c r="D805" s="1" t="s">
        <v>762</v>
      </c>
      <c r="E805" s="1" t="n">
        <v>43589</v>
      </c>
      <c r="F805" s="1" t="s">
        <v>914</v>
      </c>
      <c r="G805" s="140" t="n">
        <v>46156</v>
      </c>
      <c r="H805" s="1" t="n">
        <v>1210</v>
      </c>
      <c r="J805" s="1" t="s">
        <v>1686</v>
      </c>
      <c r="K805" s="1" t="n">
        <v>513.56</v>
      </c>
      <c r="M805" s="125" t="n">
        <f aca="false">Nominal_Activity[[#This Row],[Debit]]-Nominal_Activity[[#This Row],[Credit]]</f>
        <v>513.56</v>
      </c>
      <c r="N805" s="1" t="str">
        <f aca="false">IF(C805="","",IFERROR(VLOOKUP(C805,Master_Mappings!$A$4:$E$85,3,FALSE()),"UNMAPPED"))</f>
        <v>Financial Charges</v>
      </c>
      <c r="P805" s="1" t="str">
        <f aca="false">IF($C805="","",$C805&amp;"|"&amp;$E805&amp;"|"&amp;$M805&amp;"|"&amp;TEXT($G805,"yyyy-mm-dd")&amp;"|"&amp;LEFT($J805,40))</f>
        <v>7910|43589|513.56|2026-05-14|Bank charges</v>
      </c>
      <c r="Q805" s="11" t="str">
        <f aca="false">IF(P805="","",IF(COUNTIF($P$2:$P$3000,P805)&gt;1,"DUPLICATE","OK"))</f>
        <v>OK</v>
      </c>
      <c r="R805" s="0" t="str">
        <f aca="false">IF($C805="","",IFERROR(VLOOKUP(--$C805,MM_Income!$Z$5:$AC$204,3,FALSE()),""))</f>
        <v>Excluded — Overhead (in fixed costs)</v>
      </c>
    </row>
    <row r="806" customFormat="false" ht="14.9" hidden="false" customHeight="false" outlineLevel="0" collapsed="false">
      <c r="A806" s="1" t="s">
        <v>49</v>
      </c>
      <c r="B806" s="1" t="s">
        <v>89</v>
      </c>
      <c r="C806" s="1" t="n">
        <v>7910</v>
      </c>
      <c r="D806" s="1" t="s">
        <v>762</v>
      </c>
      <c r="E806" s="1" t="n">
        <v>43593</v>
      </c>
      <c r="F806" s="1" t="s">
        <v>914</v>
      </c>
      <c r="G806" s="140" t="n">
        <v>46161</v>
      </c>
      <c r="H806" s="1" t="n">
        <v>1210</v>
      </c>
      <c r="J806" s="1" t="s">
        <v>1686</v>
      </c>
      <c r="K806" s="1" t="n">
        <v>460.8</v>
      </c>
      <c r="M806" s="125" t="n">
        <f aca="false">Nominal_Activity[[#This Row],[Debit]]-Nominal_Activity[[#This Row],[Credit]]</f>
        <v>460.8</v>
      </c>
      <c r="N806" s="1" t="str">
        <f aca="false">IF(C806="","",IFERROR(VLOOKUP(C806,Master_Mappings!$A$4:$E$85,3,FALSE()),"UNMAPPED"))</f>
        <v>Financial Charges</v>
      </c>
      <c r="P806" s="1" t="str">
        <f aca="false">IF($C806="","",$C806&amp;"|"&amp;$E806&amp;"|"&amp;$M806&amp;"|"&amp;TEXT($G806,"yyyy-mm-dd")&amp;"|"&amp;LEFT($J806,40))</f>
        <v>7910|43593|460.8|2026-05-19|Bank charges</v>
      </c>
      <c r="Q806" s="11" t="str">
        <f aca="false">IF(P806="","",IF(COUNTIF($P$2:$P$3000,P806)&gt;1,"DUPLICATE","OK"))</f>
        <v>OK</v>
      </c>
      <c r="R806" s="0" t="str">
        <f aca="false">IF($C806="","",IFERROR(VLOOKUP(--$C806,MM_Income!$Z$5:$AC$204,3,FALSE()),""))</f>
        <v>Excluded — Overhead (in fixed costs)</v>
      </c>
    </row>
    <row r="807" customFormat="false" ht="14.9" hidden="false" customHeight="false" outlineLevel="0" collapsed="false">
      <c r="A807" s="1" t="s">
        <v>49</v>
      </c>
      <c r="B807" s="1" t="s">
        <v>89</v>
      </c>
      <c r="C807" s="1" t="n">
        <v>7910</v>
      </c>
      <c r="D807" s="1" t="s">
        <v>762</v>
      </c>
      <c r="E807" s="1" t="n">
        <v>43594</v>
      </c>
      <c r="F807" s="1" t="s">
        <v>914</v>
      </c>
      <c r="G807" s="140" t="n">
        <v>46161</v>
      </c>
      <c r="H807" s="1" t="n">
        <v>1210</v>
      </c>
      <c r="J807" s="1" t="s">
        <v>1686</v>
      </c>
      <c r="K807" s="1" t="n">
        <v>518.4</v>
      </c>
      <c r="M807" s="125" t="n">
        <f aca="false">Nominal_Activity[[#This Row],[Debit]]-Nominal_Activity[[#This Row],[Credit]]</f>
        <v>518.4</v>
      </c>
      <c r="N807" s="1" t="str">
        <f aca="false">IF(C807="","",IFERROR(VLOOKUP(C807,Master_Mappings!$A$4:$E$85,3,FALSE()),"UNMAPPED"))</f>
        <v>Financial Charges</v>
      </c>
      <c r="P807" s="1" t="str">
        <f aca="false">IF($C807="","",$C807&amp;"|"&amp;$E807&amp;"|"&amp;$M807&amp;"|"&amp;TEXT($G807,"yyyy-mm-dd")&amp;"|"&amp;LEFT($J807,40))</f>
        <v>7910|43594|518.4|2026-05-19|Bank charges</v>
      </c>
      <c r="Q807" s="11" t="str">
        <f aca="false">IF(P807="","",IF(COUNTIF($P$2:$P$3000,P807)&gt;1,"DUPLICATE","OK"))</f>
        <v>OK</v>
      </c>
      <c r="R807" s="0" t="str">
        <f aca="false">IF($C807="","",IFERROR(VLOOKUP(--$C807,MM_Income!$Z$5:$AC$204,3,FALSE()),""))</f>
        <v>Excluded — Overhead (in fixed costs)</v>
      </c>
    </row>
    <row r="808" customFormat="false" ht="14.9" hidden="false" customHeight="false" outlineLevel="0" collapsed="false">
      <c r="A808" s="1" t="s">
        <v>49</v>
      </c>
      <c r="B808" s="1" t="s">
        <v>89</v>
      </c>
      <c r="C808" s="1" t="n">
        <v>7910</v>
      </c>
      <c r="D808" s="1" t="s">
        <v>762</v>
      </c>
      <c r="E808" s="1" t="n">
        <v>43595</v>
      </c>
      <c r="F808" s="1" t="s">
        <v>914</v>
      </c>
      <c r="G808" s="140" t="n">
        <v>46161</v>
      </c>
      <c r="H808" s="1" t="n">
        <v>1210</v>
      </c>
      <c r="J808" s="1" t="s">
        <v>1686</v>
      </c>
      <c r="K808" s="1" t="n">
        <v>460.8</v>
      </c>
      <c r="M808" s="125" t="n">
        <f aca="false">Nominal_Activity[[#This Row],[Debit]]-Nominal_Activity[[#This Row],[Credit]]</f>
        <v>460.8</v>
      </c>
      <c r="N808" s="1" t="str">
        <f aca="false">IF(C808="","",IFERROR(VLOOKUP(C808,Master_Mappings!$A$4:$E$85,3,FALSE()),"UNMAPPED"))</f>
        <v>Financial Charges</v>
      </c>
      <c r="P808" s="1" t="str">
        <f aca="false">IF($C808="","",$C808&amp;"|"&amp;$E808&amp;"|"&amp;$M808&amp;"|"&amp;TEXT($G808,"yyyy-mm-dd")&amp;"|"&amp;LEFT($J808,40))</f>
        <v>7910|43595|460.8|2026-05-19|Bank charges</v>
      </c>
      <c r="Q808" s="11" t="str">
        <f aca="false">IF(P808="","",IF(COUNTIF($P$2:$P$3000,P808)&gt;1,"DUPLICATE","OK"))</f>
        <v>OK</v>
      </c>
      <c r="R808" s="0" t="str">
        <f aca="false">IF($C808="","",IFERROR(VLOOKUP(--$C808,MM_Income!$Z$5:$AC$204,3,FALSE()),""))</f>
        <v>Excluded — Overhead (in fixed costs)</v>
      </c>
    </row>
    <row r="809" customFormat="false" ht="14.9" hidden="false" customHeight="false" outlineLevel="0" collapsed="false">
      <c r="A809" s="1" t="s">
        <v>49</v>
      </c>
      <c r="B809" s="1" t="s">
        <v>89</v>
      </c>
      <c r="C809" s="1" t="n">
        <v>7910</v>
      </c>
      <c r="D809" s="1" t="s">
        <v>762</v>
      </c>
      <c r="E809" s="1" t="n">
        <v>43596</v>
      </c>
      <c r="F809" s="1" t="s">
        <v>914</v>
      </c>
      <c r="G809" s="140" t="n">
        <v>46161</v>
      </c>
      <c r="H809" s="1" t="n">
        <v>1210</v>
      </c>
      <c r="J809" s="1" t="s">
        <v>1686</v>
      </c>
      <c r="K809" s="1" t="n">
        <v>518.4</v>
      </c>
      <c r="M809" s="125" t="n">
        <f aca="false">Nominal_Activity[[#This Row],[Debit]]-Nominal_Activity[[#This Row],[Credit]]</f>
        <v>518.4</v>
      </c>
      <c r="N809" s="1" t="str">
        <f aca="false">IF(C809="","",IFERROR(VLOOKUP(C809,Master_Mappings!$A$4:$E$85,3,FALSE()),"UNMAPPED"))</f>
        <v>Financial Charges</v>
      </c>
      <c r="P809" s="1" t="str">
        <f aca="false">IF($C809="","",$C809&amp;"|"&amp;$E809&amp;"|"&amp;$M809&amp;"|"&amp;TEXT($G809,"yyyy-mm-dd")&amp;"|"&amp;LEFT($J809,40))</f>
        <v>7910|43596|518.4|2026-05-19|Bank charges</v>
      </c>
      <c r="Q809" s="11" t="str">
        <f aca="false">IF(P809="","",IF(COUNTIF($P$2:$P$3000,P809)&gt;1,"DUPLICATE","OK"))</f>
        <v>OK</v>
      </c>
      <c r="R809" s="0" t="str">
        <f aca="false">IF($C809="","",IFERROR(VLOOKUP(--$C809,MM_Income!$Z$5:$AC$204,3,FALSE()),""))</f>
        <v>Excluded — Overhead (in fixed costs)</v>
      </c>
    </row>
    <row r="810" customFormat="false" ht="14.9" hidden="false" customHeight="false" outlineLevel="0" collapsed="false">
      <c r="A810" s="1" t="s">
        <v>49</v>
      </c>
      <c r="B810" s="1" t="s">
        <v>89</v>
      </c>
      <c r="C810" s="1" t="n">
        <v>7910</v>
      </c>
      <c r="D810" s="1" t="s">
        <v>762</v>
      </c>
      <c r="E810" s="1" t="n">
        <v>43603</v>
      </c>
      <c r="F810" s="1" t="s">
        <v>914</v>
      </c>
      <c r="G810" s="140" t="n">
        <v>46171</v>
      </c>
      <c r="H810" s="1" t="n">
        <v>1210</v>
      </c>
      <c r="J810" s="1" t="s">
        <v>1686</v>
      </c>
      <c r="K810" s="1" t="n">
        <v>469.2</v>
      </c>
      <c r="M810" s="125" t="n">
        <f aca="false">Nominal_Activity[[#This Row],[Debit]]-Nominal_Activity[[#This Row],[Credit]]</f>
        <v>469.2</v>
      </c>
      <c r="N810" s="1" t="str">
        <f aca="false">IF(C810="","",IFERROR(VLOOKUP(C810,Master_Mappings!$A$4:$E$85,3,FALSE()),"UNMAPPED"))</f>
        <v>Financial Charges</v>
      </c>
      <c r="P810" s="1" t="str">
        <f aca="false">IF($C810="","",$C810&amp;"|"&amp;$E810&amp;"|"&amp;$M810&amp;"|"&amp;TEXT($G810,"yyyy-mm-dd")&amp;"|"&amp;LEFT($J810,40))</f>
        <v>7910|43603|469.2|2026-05-29|Bank charges</v>
      </c>
      <c r="Q810" s="11" t="str">
        <f aca="false">IF(P810="","",IF(COUNTIF($P$2:$P$3000,P810)&gt;1,"DUPLICATE","OK"))</f>
        <v>OK</v>
      </c>
      <c r="R810" s="0" t="str">
        <f aca="false">IF($C810="","",IFERROR(VLOOKUP(--$C810,MM_Income!$Z$5:$AC$204,3,FALSE()),""))</f>
        <v>Excluded — Overhead (in fixed costs)</v>
      </c>
    </row>
    <row r="811" customFormat="false" ht="14.9" hidden="false" customHeight="false" outlineLevel="0" collapsed="false">
      <c r="A811" s="1" t="s">
        <v>49</v>
      </c>
      <c r="B811" s="1" t="s">
        <v>89</v>
      </c>
      <c r="C811" s="1" t="n">
        <v>7910</v>
      </c>
      <c r="D811" s="1" t="s">
        <v>762</v>
      </c>
      <c r="E811" s="1" t="n">
        <v>43604</v>
      </c>
      <c r="F811" s="1" t="s">
        <v>914</v>
      </c>
      <c r="G811" s="140" t="n">
        <v>46171</v>
      </c>
      <c r="H811" s="1" t="n">
        <v>1210</v>
      </c>
      <c r="J811" s="1" t="s">
        <v>1686</v>
      </c>
      <c r="K811" s="1" t="n">
        <v>527.85</v>
      </c>
      <c r="M811" s="125" t="n">
        <f aca="false">Nominal_Activity[[#This Row],[Debit]]-Nominal_Activity[[#This Row],[Credit]]</f>
        <v>527.85</v>
      </c>
      <c r="N811" s="1" t="str">
        <f aca="false">IF(C811="","",IFERROR(VLOOKUP(C811,Master_Mappings!$A$4:$E$85,3,FALSE()),"UNMAPPED"))</f>
        <v>Financial Charges</v>
      </c>
      <c r="P811" s="1" t="str">
        <f aca="false">IF($C811="","",$C811&amp;"|"&amp;$E811&amp;"|"&amp;$M811&amp;"|"&amp;TEXT($G811,"yyyy-mm-dd")&amp;"|"&amp;LEFT($J811,40))</f>
        <v>7910|43604|527.85|2026-05-29|Bank charges</v>
      </c>
      <c r="Q811" s="11" t="str">
        <f aca="false">IF(P811="","",IF(COUNTIF($P$2:$P$3000,P811)&gt;1,"DUPLICATE","OK"))</f>
        <v>OK</v>
      </c>
      <c r="R811" s="0" t="str">
        <f aca="false">IF($C811="","",IFERROR(VLOOKUP(--$C811,MM_Income!$Z$5:$AC$204,3,FALSE()),""))</f>
        <v>Excluded — Overhead (in fixed costs)</v>
      </c>
    </row>
    <row r="812" customFormat="false" ht="14.9" hidden="false" customHeight="false" outlineLevel="0" collapsed="false">
      <c r="A812" s="1" t="s">
        <v>49</v>
      </c>
      <c r="B812" s="1" t="s">
        <v>89</v>
      </c>
      <c r="C812" s="1" t="n">
        <v>7910</v>
      </c>
      <c r="D812" s="1" t="s">
        <v>762</v>
      </c>
      <c r="E812" s="1" t="n">
        <v>43609</v>
      </c>
      <c r="F812" s="1" t="s">
        <v>914</v>
      </c>
      <c r="G812" s="140" t="n">
        <v>46146</v>
      </c>
      <c r="H812" s="1" t="n">
        <v>1200</v>
      </c>
      <c r="J812" s="1" t="s">
        <v>1686</v>
      </c>
      <c r="K812" s="1" t="n">
        <v>5</v>
      </c>
      <c r="M812" s="125" t="n">
        <f aca="false">Nominal_Activity[[#This Row],[Debit]]-Nominal_Activity[[#This Row],[Credit]]</f>
        <v>5</v>
      </c>
      <c r="N812" s="1" t="str">
        <f aca="false">IF(C812="","",IFERROR(VLOOKUP(C812,Master_Mappings!$A$4:$E$85,3,FALSE()),"UNMAPPED"))</f>
        <v>Financial Charges</v>
      </c>
      <c r="P812" s="1" t="str">
        <f aca="false">IF($C812="","",$C812&amp;"|"&amp;$E812&amp;"|"&amp;$M812&amp;"|"&amp;TEXT($G812,"yyyy-mm-dd")&amp;"|"&amp;LEFT($J812,40))</f>
        <v>7910|43609|5|2026-05-04|Bank charges</v>
      </c>
      <c r="Q812" s="11" t="str">
        <f aca="false">IF(P812="","",IF(COUNTIF($P$2:$P$3000,P812)&gt;1,"DUPLICATE","OK"))</f>
        <v>OK</v>
      </c>
      <c r="R812" s="0" t="str">
        <f aca="false">IF($C812="","",IFERROR(VLOOKUP(--$C812,MM_Income!$Z$5:$AC$204,3,FALSE()),""))</f>
        <v>Excluded — Overhead (in fixed costs)</v>
      </c>
    </row>
    <row r="813" customFormat="false" ht="14.9" hidden="false" customHeight="false" outlineLevel="0" collapsed="false">
      <c r="A813" s="1" t="s">
        <v>49</v>
      </c>
      <c r="B813" s="1" t="s">
        <v>89</v>
      </c>
      <c r="C813" s="1" t="n">
        <v>7910</v>
      </c>
      <c r="D813" s="1" t="s">
        <v>762</v>
      </c>
      <c r="E813" s="1" t="n">
        <v>43610</v>
      </c>
      <c r="F813" s="1" t="s">
        <v>914</v>
      </c>
      <c r="G813" s="140" t="n">
        <v>46146</v>
      </c>
      <c r="H813" s="1" t="n">
        <v>1200</v>
      </c>
      <c r="J813" s="1" t="s">
        <v>1687</v>
      </c>
      <c r="K813" s="1" t="n">
        <v>150</v>
      </c>
      <c r="M813" s="125" t="n">
        <f aca="false">Nominal_Activity[[#This Row],[Debit]]-Nominal_Activity[[#This Row],[Credit]]</f>
        <v>150</v>
      </c>
      <c r="N813" s="1" t="str">
        <f aca="false">IF(C813="","",IFERROR(VLOOKUP(C813,Master_Mappings!$A$4:$E$85,3,FALSE()),"UNMAPPED"))</f>
        <v>Financial Charges</v>
      </c>
      <c r="P813" s="1" t="str">
        <f aca="false">IF($C813="","",$C813&amp;"|"&amp;$E813&amp;"|"&amp;$M813&amp;"|"&amp;TEXT($G813,"yyyy-mm-dd")&amp;"|"&amp;LEFT($J813,40))</f>
        <v>7910|43610|150|2026-05-04|Bank charges-New Cheque books</v>
      </c>
      <c r="Q813" s="11" t="str">
        <f aca="false">IF(P813="","",IF(COUNTIF($P$2:$P$3000,P813)&gt;1,"DUPLICATE","OK"))</f>
        <v>OK</v>
      </c>
      <c r="R813" s="0" t="str">
        <f aca="false">IF($C813="","",IFERROR(VLOOKUP(--$C813,MM_Income!$Z$5:$AC$204,3,FALSE()),""))</f>
        <v>Excluded — Overhead (in fixed costs)</v>
      </c>
    </row>
    <row r="814" customFormat="false" ht="14.9" hidden="false" customHeight="false" outlineLevel="0" collapsed="false">
      <c r="A814" s="1" t="s">
        <v>49</v>
      </c>
      <c r="B814" s="1" t="s">
        <v>89</v>
      </c>
      <c r="C814" s="1" t="n">
        <v>7910</v>
      </c>
      <c r="D814" s="1" t="s">
        <v>762</v>
      </c>
      <c r="E814" s="1" t="n">
        <v>43618</v>
      </c>
      <c r="F814" s="1" t="s">
        <v>914</v>
      </c>
      <c r="G814" s="140" t="n">
        <v>46147</v>
      </c>
      <c r="H814" s="1" t="n">
        <v>1200</v>
      </c>
      <c r="J814" s="1" t="s">
        <v>1686</v>
      </c>
      <c r="K814" s="1" t="n">
        <v>20</v>
      </c>
      <c r="M814" s="125" t="n">
        <f aca="false">Nominal_Activity[[#This Row],[Debit]]-Nominal_Activity[[#This Row],[Credit]]</f>
        <v>20</v>
      </c>
      <c r="N814" s="1" t="str">
        <f aca="false">IF(C814="","",IFERROR(VLOOKUP(C814,Master_Mappings!$A$4:$E$85,3,FALSE()),"UNMAPPED"))</f>
        <v>Financial Charges</v>
      </c>
      <c r="P814" s="1" t="str">
        <f aca="false">IF($C814="","",$C814&amp;"|"&amp;$E814&amp;"|"&amp;$M814&amp;"|"&amp;TEXT($G814,"yyyy-mm-dd")&amp;"|"&amp;LEFT($J814,40))</f>
        <v>7910|43618|20|2026-05-05|Bank charges</v>
      </c>
      <c r="Q814" s="11" t="str">
        <f aca="false">IF(P814="","",IF(COUNTIF($P$2:$P$3000,P814)&gt;1,"DUPLICATE","OK"))</f>
        <v>OK</v>
      </c>
      <c r="R814" s="0" t="str">
        <f aca="false">IF($C814="","",IFERROR(VLOOKUP(--$C814,MM_Income!$Z$5:$AC$204,3,FALSE()),""))</f>
        <v>Excluded — Overhead (in fixed costs)</v>
      </c>
    </row>
    <row r="815" customFormat="false" ht="14.9" hidden="false" customHeight="false" outlineLevel="0" collapsed="false">
      <c r="A815" s="1" t="s">
        <v>49</v>
      </c>
      <c r="B815" s="1" t="s">
        <v>89</v>
      </c>
      <c r="C815" s="1" t="n">
        <v>7910</v>
      </c>
      <c r="D815" s="1" t="s">
        <v>762</v>
      </c>
      <c r="E815" s="1" t="n">
        <v>43619</v>
      </c>
      <c r="F815" s="1" t="s">
        <v>914</v>
      </c>
      <c r="G815" s="140" t="n">
        <v>46148</v>
      </c>
      <c r="H815" s="1" t="n">
        <v>1200</v>
      </c>
      <c r="J815" s="1" t="s">
        <v>1686</v>
      </c>
      <c r="K815" s="1" t="n">
        <v>5</v>
      </c>
      <c r="M815" s="125" t="n">
        <f aca="false">Nominal_Activity[[#This Row],[Debit]]-Nominal_Activity[[#This Row],[Credit]]</f>
        <v>5</v>
      </c>
      <c r="N815" s="1" t="str">
        <f aca="false">IF(C815="","",IFERROR(VLOOKUP(C815,Master_Mappings!$A$4:$E$85,3,FALSE()),"UNMAPPED"))</f>
        <v>Financial Charges</v>
      </c>
      <c r="P815" s="1" t="str">
        <f aca="false">IF($C815="","",$C815&amp;"|"&amp;$E815&amp;"|"&amp;$M815&amp;"|"&amp;TEXT($G815,"yyyy-mm-dd")&amp;"|"&amp;LEFT($J815,40))</f>
        <v>7910|43619|5|2026-05-06|Bank charges</v>
      </c>
      <c r="Q815" s="11" t="str">
        <f aca="false">IF(P815="","",IF(COUNTIF($P$2:$P$3000,P815)&gt;1,"DUPLICATE","OK"))</f>
        <v>OK</v>
      </c>
      <c r="R815" s="0" t="str">
        <f aca="false">IF($C815="","",IFERROR(VLOOKUP(--$C815,MM_Income!$Z$5:$AC$204,3,FALSE()),""))</f>
        <v>Excluded — Overhead (in fixed costs)</v>
      </c>
    </row>
    <row r="816" customFormat="false" ht="14.9" hidden="false" customHeight="false" outlineLevel="0" collapsed="false">
      <c r="A816" s="1" t="s">
        <v>49</v>
      </c>
      <c r="B816" s="1" t="s">
        <v>89</v>
      </c>
      <c r="C816" s="1" t="n">
        <v>7910</v>
      </c>
      <c r="D816" s="1" t="s">
        <v>762</v>
      </c>
      <c r="E816" s="1" t="n">
        <v>43622</v>
      </c>
      <c r="F816" s="1" t="s">
        <v>914</v>
      </c>
      <c r="G816" s="140" t="n">
        <v>46154</v>
      </c>
      <c r="H816" s="1" t="n">
        <v>1200</v>
      </c>
      <c r="J816" s="1" t="s">
        <v>1686</v>
      </c>
      <c r="K816" s="1" t="n">
        <v>13</v>
      </c>
      <c r="M816" s="125" t="n">
        <f aca="false">Nominal_Activity[[#This Row],[Debit]]-Nominal_Activity[[#This Row],[Credit]]</f>
        <v>13</v>
      </c>
      <c r="N816" s="1" t="str">
        <f aca="false">IF(C816="","",IFERROR(VLOOKUP(C816,Master_Mappings!$A$4:$E$85,3,FALSE()),"UNMAPPED"))</f>
        <v>Financial Charges</v>
      </c>
      <c r="P816" s="1" t="str">
        <f aca="false">IF($C816="","",$C816&amp;"|"&amp;$E816&amp;"|"&amp;$M816&amp;"|"&amp;TEXT($G816,"yyyy-mm-dd")&amp;"|"&amp;LEFT($J816,40))</f>
        <v>7910|43622|13|2026-05-12|Bank charges</v>
      </c>
      <c r="Q816" s="11" t="str">
        <f aca="false">IF(P816="","",IF(COUNTIF($P$2:$P$3000,P816)&gt;1,"DUPLICATE","OK"))</f>
        <v>OK</v>
      </c>
      <c r="R816" s="0" t="str">
        <f aca="false">IF($C816="","",IFERROR(VLOOKUP(--$C816,MM_Income!$Z$5:$AC$204,3,FALSE()),""))</f>
        <v>Excluded — Overhead (in fixed costs)</v>
      </c>
    </row>
    <row r="817" customFormat="false" ht="14.9" hidden="false" customHeight="false" outlineLevel="0" collapsed="false">
      <c r="A817" s="1" t="s">
        <v>49</v>
      </c>
      <c r="B817" s="1" t="s">
        <v>89</v>
      </c>
      <c r="C817" s="1" t="n">
        <v>7910</v>
      </c>
      <c r="D817" s="1" t="s">
        <v>762</v>
      </c>
      <c r="E817" s="1" t="n">
        <v>43628</v>
      </c>
      <c r="F817" s="1" t="s">
        <v>914</v>
      </c>
      <c r="G817" s="140" t="n">
        <v>46157</v>
      </c>
      <c r="H817" s="1" t="n">
        <v>1200</v>
      </c>
      <c r="J817" s="1" t="s">
        <v>1686</v>
      </c>
      <c r="K817" s="1" t="n">
        <v>10</v>
      </c>
      <c r="M817" s="125" t="n">
        <f aca="false">Nominal_Activity[[#This Row],[Debit]]-Nominal_Activity[[#This Row],[Credit]]</f>
        <v>10</v>
      </c>
      <c r="N817" s="1" t="str">
        <f aca="false">IF(C817="","",IFERROR(VLOOKUP(C817,Master_Mappings!$A$4:$E$85,3,FALSE()),"UNMAPPED"))</f>
        <v>Financial Charges</v>
      </c>
      <c r="P817" s="1" t="str">
        <f aca="false">IF($C817="","",$C817&amp;"|"&amp;$E817&amp;"|"&amp;$M817&amp;"|"&amp;TEXT($G817,"yyyy-mm-dd")&amp;"|"&amp;LEFT($J817,40))</f>
        <v>7910|43628|10|2026-05-15|Bank charges</v>
      </c>
      <c r="Q817" s="11" t="str">
        <f aca="false">IF(P817="","",IF(COUNTIF($P$2:$P$3000,P817)&gt;1,"DUPLICATE","OK"))</f>
        <v>OK</v>
      </c>
      <c r="R817" s="0" t="str">
        <f aca="false">IF($C817="","",IFERROR(VLOOKUP(--$C817,MM_Income!$Z$5:$AC$204,3,FALSE()),""))</f>
        <v>Excluded — Overhead (in fixed costs)</v>
      </c>
    </row>
    <row r="818" customFormat="false" ht="14.9" hidden="false" customHeight="false" outlineLevel="0" collapsed="false">
      <c r="A818" s="1" t="s">
        <v>49</v>
      </c>
      <c r="B818" s="1" t="s">
        <v>89</v>
      </c>
      <c r="C818" s="1" t="n">
        <v>7910</v>
      </c>
      <c r="D818" s="1" t="s">
        <v>762</v>
      </c>
      <c r="E818" s="1" t="n">
        <v>43629</v>
      </c>
      <c r="F818" s="1" t="s">
        <v>914</v>
      </c>
      <c r="G818" s="140" t="n">
        <v>46157</v>
      </c>
      <c r="H818" s="1" t="n">
        <v>1200</v>
      </c>
      <c r="J818" s="1" t="s">
        <v>1686</v>
      </c>
      <c r="K818" s="1" t="n">
        <v>8.33</v>
      </c>
      <c r="M818" s="125" t="n">
        <f aca="false">Nominal_Activity[[#This Row],[Debit]]-Nominal_Activity[[#This Row],[Credit]]</f>
        <v>8.33</v>
      </c>
      <c r="N818" s="1" t="str">
        <f aca="false">IF(C818="","",IFERROR(VLOOKUP(C818,Master_Mappings!$A$4:$E$85,3,FALSE()),"UNMAPPED"))</f>
        <v>Financial Charges</v>
      </c>
      <c r="P818" s="1" t="str">
        <f aca="false">IF($C818="","",$C818&amp;"|"&amp;$E818&amp;"|"&amp;$M818&amp;"|"&amp;TEXT($G818,"yyyy-mm-dd")&amp;"|"&amp;LEFT($J818,40))</f>
        <v>7910|43629|8.33|2026-05-15|Bank charges</v>
      </c>
      <c r="Q818" s="11" t="str">
        <f aca="false">IF(P818="","",IF(COUNTIF($P$2:$P$3000,P818)&gt;1,"DUPLICATE","OK"))</f>
        <v>OK</v>
      </c>
      <c r="R818" s="0" t="str">
        <f aca="false">IF($C818="","",IFERROR(VLOOKUP(--$C818,MM_Income!$Z$5:$AC$204,3,FALSE()),""))</f>
        <v>Excluded — Overhead (in fixed costs)</v>
      </c>
    </row>
    <row r="819" customFormat="false" ht="14.9" hidden="false" customHeight="false" outlineLevel="0" collapsed="false">
      <c r="A819" s="1" t="s">
        <v>49</v>
      </c>
      <c r="B819" s="1" t="s">
        <v>89</v>
      </c>
      <c r="C819" s="1" t="n">
        <v>7910</v>
      </c>
      <c r="D819" s="1" t="s">
        <v>762</v>
      </c>
      <c r="E819" s="1" t="n">
        <v>43644</v>
      </c>
      <c r="F819" s="1" t="s">
        <v>914</v>
      </c>
      <c r="G819" s="140" t="n">
        <v>46160</v>
      </c>
      <c r="H819" s="1" t="n">
        <v>1200</v>
      </c>
      <c r="J819" s="1" t="s">
        <v>1686</v>
      </c>
      <c r="K819" s="1" t="n">
        <v>10</v>
      </c>
      <c r="M819" s="125" t="n">
        <f aca="false">Nominal_Activity[[#This Row],[Debit]]-Nominal_Activity[[#This Row],[Credit]]</f>
        <v>10</v>
      </c>
      <c r="N819" s="1" t="str">
        <f aca="false">IF(C819="","",IFERROR(VLOOKUP(C819,Master_Mappings!$A$4:$E$85,3,FALSE()),"UNMAPPED"))</f>
        <v>Financial Charges</v>
      </c>
      <c r="P819" s="1" t="str">
        <f aca="false">IF($C819="","",$C819&amp;"|"&amp;$E819&amp;"|"&amp;$M819&amp;"|"&amp;TEXT($G819,"yyyy-mm-dd")&amp;"|"&amp;LEFT($J819,40))</f>
        <v>7910|43644|10|2026-05-18|Bank charges</v>
      </c>
      <c r="Q819" s="11" t="str">
        <f aca="false">IF(P819="","",IF(COUNTIF($P$2:$P$3000,P819)&gt;1,"DUPLICATE","OK"))</f>
        <v>OK</v>
      </c>
      <c r="R819" s="0" t="str">
        <f aca="false">IF($C819="","",IFERROR(VLOOKUP(--$C819,MM_Income!$Z$5:$AC$204,3,FALSE()),""))</f>
        <v>Excluded — Overhead (in fixed costs)</v>
      </c>
    </row>
    <row r="820" customFormat="false" ht="14.9" hidden="false" customHeight="false" outlineLevel="0" collapsed="false">
      <c r="A820" s="1" t="s">
        <v>49</v>
      </c>
      <c r="B820" s="1" t="s">
        <v>89</v>
      </c>
      <c r="C820" s="1" t="n">
        <v>7910</v>
      </c>
      <c r="D820" s="1" t="s">
        <v>762</v>
      </c>
      <c r="E820" s="1" t="n">
        <v>43645</v>
      </c>
      <c r="F820" s="1" t="s">
        <v>914</v>
      </c>
      <c r="G820" s="140" t="n">
        <v>46160</v>
      </c>
      <c r="H820" s="1" t="n">
        <v>1200</v>
      </c>
      <c r="J820" s="1" t="s">
        <v>1686</v>
      </c>
      <c r="K820" s="1" t="n">
        <v>7</v>
      </c>
      <c r="M820" s="125" t="n">
        <f aca="false">Nominal_Activity[[#This Row],[Debit]]-Nominal_Activity[[#This Row],[Credit]]</f>
        <v>7</v>
      </c>
      <c r="N820" s="1" t="str">
        <f aca="false">IF(C820="","",IFERROR(VLOOKUP(C820,Master_Mappings!$A$4:$E$85,3,FALSE()),"UNMAPPED"))</f>
        <v>Financial Charges</v>
      </c>
      <c r="P820" s="1" t="str">
        <f aca="false">IF($C820="","",$C820&amp;"|"&amp;$E820&amp;"|"&amp;$M820&amp;"|"&amp;TEXT($G820,"yyyy-mm-dd")&amp;"|"&amp;LEFT($J820,40))</f>
        <v>7910|43645|7|2026-05-18|Bank charges</v>
      </c>
      <c r="Q820" s="11" t="str">
        <f aca="false">IF(P820="","",IF(COUNTIF($P$2:$P$3000,P820)&gt;1,"DUPLICATE","OK"))</f>
        <v>OK</v>
      </c>
      <c r="R820" s="0" t="str">
        <f aca="false">IF($C820="","",IFERROR(VLOOKUP(--$C820,MM_Income!$Z$5:$AC$204,3,FALSE()),""))</f>
        <v>Excluded — Overhead (in fixed costs)</v>
      </c>
    </row>
    <row r="821" customFormat="false" ht="14.9" hidden="false" customHeight="false" outlineLevel="0" collapsed="false">
      <c r="A821" s="1" t="s">
        <v>49</v>
      </c>
      <c r="B821" s="1" t="s">
        <v>89</v>
      </c>
      <c r="C821" s="1" t="n">
        <v>7910</v>
      </c>
      <c r="D821" s="1" t="s">
        <v>762</v>
      </c>
      <c r="E821" s="1" t="n">
        <v>43647</v>
      </c>
      <c r="F821" s="1" t="s">
        <v>914</v>
      </c>
      <c r="G821" s="140" t="n">
        <v>46162</v>
      </c>
      <c r="H821" s="1" t="n">
        <v>1200</v>
      </c>
      <c r="J821" s="1" t="s">
        <v>1686</v>
      </c>
      <c r="K821" s="1" t="n">
        <v>20</v>
      </c>
      <c r="M821" s="125" t="n">
        <f aca="false">Nominal_Activity[[#This Row],[Debit]]-Nominal_Activity[[#This Row],[Credit]]</f>
        <v>20</v>
      </c>
      <c r="N821" s="1" t="str">
        <f aca="false">IF(C821="","",IFERROR(VLOOKUP(C821,Master_Mappings!$A$4:$E$85,3,FALSE()),"UNMAPPED"))</f>
        <v>Financial Charges</v>
      </c>
      <c r="P821" s="1" t="str">
        <f aca="false">IF($C821="","",$C821&amp;"|"&amp;$E821&amp;"|"&amp;$M821&amp;"|"&amp;TEXT($G821,"yyyy-mm-dd")&amp;"|"&amp;LEFT($J821,40))</f>
        <v>7910|43647|20|2026-05-20|Bank charges</v>
      </c>
      <c r="Q821" s="11" t="str">
        <f aca="false">IF(P821="","",IF(COUNTIF($P$2:$P$3000,P821)&gt;1,"DUPLICATE","OK"))</f>
        <v>OK</v>
      </c>
      <c r="R821" s="0" t="str">
        <f aca="false">IF($C821="","",IFERROR(VLOOKUP(--$C821,MM_Income!$Z$5:$AC$204,3,FALSE()),""))</f>
        <v>Excluded — Overhead (in fixed costs)</v>
      </c>
    </row>
    <row r="822" customFormat="false" ht="14.9" hidden="false" customHeight="false" outlineLevel="0" collapsed="false">
      <c r="A822" s="1" t="s">
        <v>49</v>
      </c>
      <c r="B822" s="1" t="s">
        <v>89</v>
      </c>
      <c r="C822" s="1" t="n">
        <v>7910</v>
      </c>
      <c r="D822" s="1" t="s">
        <v>762</v>
      </c>
      <c r="E822" s="1" t="n">
        <v>43657</v>
      </c>
      <c r="F822" s="1" t="s">
        <v>914</v>
      </c>
      <c r="G822" s="140" t="n">
        <v>46170</v>
      </c>
      <c r="H822" s="1" t="n">
        <v>1200</v>
      </c>
      <c r="J822" s="1" t="s">
        <v>1686</v>
      </c>
      <c r="K822" s="1" t="n">
        <v>5</v>
      </c>
      <c r="M822" s="125" t="n">
        <f aca="false">Nominal_Activity[[#This Row],[Debit]]-Nominal_Activity[[#This Row],[Credit]]</f>
        <v>5</v>
      </c>
      <c r="N822" s="1" t="str">
        <f aca="false">IF(C822="","",IFERROR(VLOOKUP(C822,Master_Mappings!$A$4:$E$85,3,FALSE()),"UNMAPPED"))</f>
        <v>Financial Charges</v>
      </c>
      <c r="P822" s="1" t="str">
        <f aca="false">IF($C822="","",$C822&amp;"|"&amp;$E822&amp;"|"&amp;$M822&amp;"|"&amp;TEXT($G822,"yyyy-mm-dd")&amp;"|"&amp;LEFT($J822,40))</f>
        <v>7910|43657|5|2026-05-28|Bank charges</v>
      </c>
      <c r="Q822" s="11" t="str">
        <f aca="false">IF(P822="","",IF(COUNTIF($P$2:$P$3000,P822)&gt;1,"DUPLICATE","OK"))</f>
        <v>OK</v>
      </c>
      <c r="R822" s="0" t="str">
        <f aca="false">IF($C822="","",IFERROR(VLOOKUP(--$C822,MM_Income!$Z$5:$AC$204,3,FALSE()),""))</f>
        <v>Excluded — Overhead (in fixed costs)</v>
      </c>
    </row>
    <row r="823" customFormat="false" ht="14.9" hidden="false" customHeight="false" outlineLevel="0" collapsed="false">
      <c r="A823" s="1" t="s">
        <v>49</v>
      </c>
      <c r="B823" s="1" t="s">
        <v>89</v>
      </c>
      <c r="C823" s="1" t="n">
        <v>7910</v>
      </c>
      <c r="D823" s="1" t="s">
        <v>762</v>
      </c>
      <c r="E823" s="1" t="n">
        <v>43659</v>
      </c>
      <c r="F823" s="1" t="s">
        <v>914</v>
      </c>
      <c r="G823" s="140" t="n">
        <v>46171</v>
      </c>
      <c r="H823" s="1" t="n">
        <v>1200</v>
      </c>
      <c r="J823" s="1" t="s">
        <v>1688</v>
      </c>
      <c r="K823" s="1" t="n">
        <v>60</v>
      </c>
      <c r="M823" s="125" t="n">
        <f aca="false">Nominal_Activity[[#This Row],[Debit]]-Nominal_Activity[[#This Row],[Credit]]</f>
        <v>60</v>
      </c>
      <c r="N823" s="1" t="str">
        <f aca="false">IF(C823="","",IFERROR(VLOOKUP(C823,Master_Mappings!$A$4:$E$85,3,FALSE()),"UNMAPPED"))</f>
        <v>Financial Charges</v>
      </c>
      <c r="P823" s="1" t="str">
        <f aca="false">IF($C823="","",$C823&amp;"|"&amp;$E823&amp;"|"&amp;$M823&amp;"|"&amp;TEXT($G823,"yyyy-mm-dd")&amp;"|"&amp;LEFT($J823,40))</f>
        <v>7910|43659|60|2026-05-29|Bank Charges - current account service c</v>
      </c>
      <c r="Q823" s="11" t="str">
        <f aca="false">IF(P823="","",IF(COUNTIF($P$2:$P$3000,P823)&gt;1,"DUPLICATE","OK"))</f>
        <v>OK</v>
      </c>
      <c r="R823" s="0" t="str">
        <f aca="false">IF($C823="","",IFERROR(VLOOKUP(--$C823,MM_Income!$Z$5:$AC$204,3,FALSE()),""))</f>
        <v>Excluded — Overhead (in fixed costs)</v>
      </c>
    </row>
    <row r="824" customFormat="false" ht="14.9" hidden="false" customHeight="false" outlineLevel="0" collapsed="false">
      <c r="A824" s="1" t="s">
        <v>49</v>
      </c>
      <c r="B824" s="1" t="s">
        <v>89</v>
      </c>
      <c r="C824" s="1" t="n">
        <v>7910</v>
      </c>
      <c r="D824" s="1" t="s">
        <v>762</v>
      </c>
      <c r="E824" s="1" t="n">
        <v>43806</v>
      </c>
      <c r="F824" s="1" t="s">
        <v>869</v>
      </c>
      <c r="G824" s="140" t="n">
        <v>46136</v>
      </c>
      <c r="H824" s="1" t="n">
        <v>1260</v>
      </c>
      <c r="I824" s="1" t="s">
        <v>1076</v>
      </c>
      <c r="J824" s="1" t="s">
        <v>1689</v>
      </c>
      <c r="K824" s="1" t="n">
        <v>100</v>
      </c>
      <c r="M824" s="125" t="n">
        <f aca="false">Nominal_Activity[[#This Row],[Debit]]-Nominal_Activity[[#This Row],[Credit]]</f>
        <v>100</v>
      </c>
      <c r="N824" s="1" t="str">
        <f aca="false">IF(C824="","",IFERROR(VLOOKUP(C824,Master_Mappings!$A$4:$E$85,3,FALSE()),"UNMAPPED"))</f>
        <v>Financial Charges</v>
      </c>
      <c r="P824" s="1" t="str">
        <f aca="false">IF($C824="","",$C824&amp;"|"&amp;$E824&amp;"|"&amp;$M824&amp;"|"&amp;TEXT($G824,"yyyy-mm-dd")&amp;"|"&amp;LEFT($J824,40))</f>
        <v>7910|43806|100|2026-04-24|Withdrawal Charges</v>
      </c>
      <c r="Q824" s="11" t="str">
        <f aca="false">IF(P824="","",IF(COUNTIF($P$2:$P$3000,P824)&gt;1,"DUPLICATE","OK"))</f>
        <v>OK</v>
      </c>
      <c r="R824" s="0" t="str">
        <f aca="false">IF($C824="","",IFERROR(VLOOKUP(--$C824,MM_Income!$Z$5:$AC$204,3,FALSE()),""))</f>
        <v>Excluded — Overhead (in fixed costs)</v>
      </c>
    </row>
    <row r="825" customFormat="false" ht="14.9" hidden="false" customHeight="false" outlineLevel="0" collapsed="false">
      <c r="A825" s="1" t="s">
        <v>49</v>
      </c>
      <c r="B825" s="1" t="s">
        <v>89</v>
      </c>
      <c r="C825" s="1" t="n">
        <v>7910</v>
      </c>
      <c r="D825" s="1" t="s">
        <v>762</v>
      </c>
      <c r="E825" s="1" t="n">
        <v>43814</v>
      </c>
      <c r="F825" s="1" t="s">
        <v>869</v>
      </c>
      <c r="G825" s="140" t="n">
        <v>46144</v>
      </c>
      <c r="H825" s="1" t="n">
        <v>1260</v>
      </c>
      <c r="I825" s="1" t="s">
        <v>1076</v>
      </c>
      <c r="J825" s="1" t="s">
        <v>1690</v>
      </c>
      <c r="K825" s="1" t="n">
        <v>20</v>
      </c>
      <c r="M825" s="125" t="n">
        <f aca="false">Nominal_Activity[[#This Row],[Debit]]-Nominal_Activity[[#This Row],[Credit]]</f>
        <v>20</v>
      </c>
      <c r="N825" s="1" t="str">
        <f aca="false">IF(C825="","",IFERROR(VLOOKUP(C825,Master_Mappings!$A$4:$E$85,3,FALSE()),"UNMAPPED"))</f>
        <v>Financial Charges</v>
      </c>
      <c r="P825" s="1" t="str">
        <f aca="false">IF($C825="","",$C825&amp;"|"&amp;$E825&amp;"|"&amp;$M825&amp;"|"&amp;TEXT($G825,"yyyy-mm-dd")&amp;"|"&amp;LEFT($J825,40))</f>
        <v>7910|43814|20|2026-05-02|Cash withdrawal charge</v>
      </c>
      <c r="Q825" s="11" t="str">
        <f aca="false">IF(P825="","",IF(COUNTIF($P$2:$P$3000,P825)&gt;1,"DUPLICATE","OK"))</f>
        <v>OK</v>
      </c>
      <c r="R825" s="0" t="str">
        <f aca="false">IF($C825="","",IFERROR(VLOOKUP(--$C825,MM_Income!$Z$5:$AC$204,3,FALSE()),""))</f>
        <v>Excluded — Overhead (in fixed costs)</v>
      </c>
    </row>
    <row r="826" customFormat="false" ht="14.9" hidden="false" customHeight="false" outlineLevel="0" collapsed="false">
      <c r="A826" s="1" t="s">
        <v>49</v>
      </c>
      <c r="B826" s="1" t="s">
        <v>89</v>
      </c>
      <c r="C826" s="1" t="n">
        <v>7910</v>
      </c>
      <c r="D826" s="1" t="s">
        <v>762</v>
      </c>
      <c r="E826" s="1" t="n">
        <v>43872</v>
      </c>
      <c r="F826" s="1" t="s">
        <v>914</v>
      </c>
      <c r="G826" s="140" t="n">
        <v>46184</v>
      </c>
      <c r="H826" s="1" t="n">
        <v>1210</v>
      </c>
      <c r="I826" s="1" t="s">
        <v>1691</v>
      </c>
      <c r="J826" s="1" t="s">
        <v>762</v>
      </c>
      <c r="K826" s="1" t="n">
        <v>442</v>
      </c>
      <c r="M826" s="125" t="n">
        <f aca="false">Nominal_Activity[[#This Row],[Debit]]-Nominal_Activity[[#This Row],[Credit]]</f>
        <v>442</v>
      </c>
      <c r="N826" s="1" t="str">
        <f aca="false">IF(C826="","",IFERROR(VLOOKUP(C826,Master_Mappings!$A$4:$E$85,3,FALSE()),"UNMAPPED"))</f>
        <v>Financial Charges</v>
      </c>
      <c r="P826" s="1" t="str">
        <f aca="false">IF($C826="","",$C826&amp;"|"&amp;$E826&amp;"|"&amp;$M826&amp;"|"&amp;TEXT($G826,"yyyy-mm-dd")&amp;"|"&amp;LEFT($J826,40))</f>
        <v>7910|43872|442|2026-06-11|Bank Charges</v>
      </c>
      <c r="Q826" s="11" t="str">
        <f aca="false">IF(P826="","",IF(COUNTIF($P$2:$P$3000,P826)&gt;1,"DUPLICATE","OK"))</f>
        <v>OK</v>
      </c>
      <c r="R826" s="0" t="str">
        <f aca="false">IF($C826="","",IFERROR(VLOOKUP(--$C826,MM_Income!$Z$5:$AC$204,3,FALSE()),""))</f>
        <v>Excluded — Overhead (in fixed costs)</v>
      </c>
    </row>
    <row r="827" customFormat="false" ht="14.9" hidden="false" customHeight="false" outlineLevel="0" collapsed="false">
      <c r="A827" s="1" t="s">
        <v>49</v>
      </c>
      <c r="B827" s="1" t="s">
        <v>89</v>
      </c>
      <c r="C827" s="1" t="n">
        <v>7910</v>
      </c>
      <c r="D827" s="1" t="s">
        <v>762</v>
      </c>
      <c r="E827" s="1" t="n">
        <v>43873</v>
      </c>
      <c r="F827" s="1" t="s">
        <v>914</v>
      </c>
      <c r="G827" s="140" t="n">
        <v>46184</v>
      </c>
      <c r="H827" s="1" t="n">
        <v>1210</v>
      </c>
      <c r="I827" s="1" t="s">
        <v>1691</v>
      </c>
      <c r="J827" s="1" t="s">
        <v>762</v>
      </c>
      <c r="K827" s="1" t="n">
        <v>497.25</v>
      </c>
      <c r="M827" s="125" t="n">
        <f aca="false">Nominal_Activity[[#This Row],[Debit]]-Nominal_Activity[[#This Row],[Credit]]</f>
        <v>497.25</v>
      </c>
      <c r="N827" s="1" t="str">
        <f aca="false">IF(C827="","",IFERROR(VLOOKUP(C827,Master_Mappings!$A$4:$E$85,3,FALSE()),"UNMAPPED"))</f>
        <v>Financial Charges</v>
      </c>
      <c r="P827" s="1" t="str">
        <f aca="false">IF($C827="","",$C827&amp;"|"&amp;$E827&amp;"|"&amp;$M827&amp;"|"&amp;TEXT($G827,"yyyy-mm-dd")&amp;"|"&amp;LEFT($J827,40))</f>
        <v>7910|43873|497.25|2026-06-11|Bank Charges</v>
      </c>
      <c r="Q827" s="11" t="str">
        <f aca="false">IF(P827="","",IF(COUNTIF($P$2:$P$3000,P827)&gt;1,"DUPLICATE","OK"))</f>
        <v>OK</v>
      </c>
      <c r="R827" s="0" t="str">
        <f aca="false">IF($C827="","",IFERROR(VLOOKUP(--$C827,MM_Income!$Z$5:$AC$204,3,FALSE()),""))</f>
        <v>Excluded — Overhead (in fixed costs)</v>
      </c>
    </row>
    <row r="828" customFormat="false" ht="14.9" hidden="false" customHeight="false" outlineLevel="0" collapsed="false">
      <c r="A828" s="1" t="s">
        <v>49</v>
      </c>
      <c r="B828" s="1" t="s">
        <v>89</v>
      </c>
      <c r="C828" s="1" t="n">
        <v>7910</v>
      </c>
      <c r="D828" s="1" t="s">
        <v>762</v>
      </c>
      <c r="E828" s="1" t="n">
        <v>43880</v>
      </c>
      <c r="F828" s="1" t="s">
        <v>914</v>
      </c>
      <c r="G828" s="140" t="n">
        <v>46184</v>
      </c>
      <c r="H828" s="1" t="n">
        <v>1210</v>
      </c>
      <c r="I828" s="1" t="s">
        <v>1692</v>
      </c>
      <c r="J828" s="1" t="s">
        <v>762</v>
      </c>
      <c r="K828" s="1" t="n">
        <v>473.59</v>
      </c>
      <c r="M828" s="125" t="n">
        <f aca="false">Nominal_Activity[[#This Row],[Debit]]-Nominal_Activity[[#This Row],[Credit]]</f>
        <v>473.59</v>
      </c>
      <c r="N828" s="1" t="str">
        <f aca="false">IF(C828="","",IFERROR(VLOOKUP(C828,Master_Mappings!$A$4:$E$85,3,FALSE()),"UNMAPPED"))</f>
        <v>Financial Charges</v>
      </c>
      <c r="P828" s="1" t="str">
        <f aca="false">IF($C828="","",$C828&amp;"|"&amp;$E828&amp;"|"&amp;$M828&amp;"|"&amp;TEXT($G828,"yyyy-mm-dd")&amp;"|"&amp;LEFT($J828,40))</f>
        <v>7910|43880|473.59|2026-06-11|Bank Charges</v>
      </c>
      <c r="Q828" s="11" t="str">
        <f aca="false">IF(P828="","",IF(COUNTIF($P$2:$P$3000,P828)&gt;1,"DUPLICATE","OK"))</f>
        <v>OK</v>
      </c>
      <c r="R828" s="0" t="str">
        <f aca="false">IF($C828="","",IFERROR(VLOOKUP(--$C828,MM_Income!$Z$5:$AC$204,3,FALSE()),""))</f>
        <v>Excluded — Overhead (in fixed costs)</v>
      </c>
    </row>
    <row r="829" customFormat="false" ht="14.9" hidden="false" customHeight="false" outlineLevel="0" collapsed="false">
      <c r="A829" s="1" t="s">
        <v>49</v>
      </c>
      <c r="B829" s="1" t="s">
        <v>89</v>
      </c>
      <c r="C829" s="1" t="n">
        <v>7910</v>
      </c>
      <c r="D829" s="1" t="s">
        <v>762</v>
      </c>
      <c r="E829" s="1" t="n">
        <v>43881</v>
      </c>
      <c r="F829" s="1" t="s">
        <v>914</v>
      </c>
      <c r="G829" s="140" t="n">
        <v>46184</v>
      </c>
      <c r="H829" s="1" t="n">
        <v>1210</v>
      </c>
      <c r="I829" s="1" t="s">
        <v>1692</v>
      </c>
      <c r="J829" s="1" t="s">
        <v>762</v>
      </c>
      <c r="K829" s="1" t="n">
        <v>532.79</v>
      </c>
      <c r="M829" s="125" t="n">
        <f aca="false">Nominal_Activity[[#This Row],[Debit]]-Nominal_Activity[[#This Row],[Credit]]</f>
        <v>532.79</v>
      </c>
      <c r="N829" s="1" t="str">
        <f aca="false">IF(C829="","",IFERROR(VLOOKUP(C829,Master_Mappings!$A$4:$E$85,3,FALSE()),"UNMAPPED"))</f>
        <v>Financial Charges</v>
      </c>
      <c r="P829" s="1" t="str">
        <f aca="false">IF($C829="","",$C829&amp;"|"&amp;$E829&amp;"|"&amp;$M829&amp;"|"&amp;TEXT($G829,"yyyy-mm-dd")&amp;"|"&amp;LEFT($J829,40))</f>
        <v>7910|43881|532.79|2026-06-11|Bank Charges</v>
      </c>
      <c r="Q829" s="11" t="str">
        <f aca="false">IF(P829="","",IF(COUNTIF($P$2:$P$3000,P829)&gt;1,"DUPLICATE","OK"))</f>
        <v>OK</v>
      </c>
      <c r="R829" s="0" t="str">
        <f aca="false">IF($C829="","",IFERROR(VLOOKUP(--$C829,MM_Income!$Z$5:$AC$204,3,FALSE()),""))</f>
        <v>Excluded — Overhead (in fixed costs)</v>
      </c>
    </row>
    <row r="830" customFormat="false" ht="14.9" hidden="false" customHeight="false" outlineLevel="0" collapsed="false">
      <c r="A830" s="1" t="s">
        <v>49</v>
      </c>
      <c r="B830" s="1" t="s">
        <v>89</v>
      </c>
      <c r="C830" s="1" t="n">
        <v>7910</v>
      </c>
      <c r="D830" s="1" t="s">
        <v>762</v>
      </c>
      <c r="E830" s="1" t="n">
        <v>43883</v>
      </c>
      <c r="F830" s="1" t="s">
        <v>869</v>
      </c>
      <c r="G830" s="140" t="n">
        <v>46160</v>
      </c>
      <c r="H830" s="1" t="n">
        <v>1230</v>
      </c>
      <c r="I830" s="1" t="s">
        <v>1538</v>
      </c>
      <c r="J830" s="1" t="s">
        <v>1686</v>
      </c>
      <c r="K830" s="1" t="n">
        <v>1.47</v>
      </c>
      <c r="M830" s="125" t="n">
        <f aca="false">Nominal_Activity[[#This Row],[Debit]]-Nominal_Activity[[#This Row],[Credit]]</f>
        <v>1.47</v>
      </c>
      <c r="N830" s="1" t="str">
        <f aca="false">IF(C830="","",IFERROR(VLOOKUP(C830,Master_Mappings!$A$4:$E$85,3,FALSE()),"UNMAPPED"))</f>
        <v>Financial Charges</v>
      </c>
      <c r="P830" s="1" t="str">
        <f aca="false">IF($C830="","",$C830&amp;"|"&amp;$E830&amp;"|"&amp;$M830&amp;"|"&amp;TEXT($G830,"yyyy-mm-dd")&amp;"|"&amp;LEFT($J830,40))</f>
        <v>7910|43883|1.47|2026-05-18|Bank charges</v>
      </c>
      <c r="Q830" s="11" t="str">
        <f aca="false">IF(P830="","",IF(COUNTIF($P$2:$P$3000,P830)&gt;1,"DUPLICATE","OK"))</f>
        <v>OK</v>
      </c>
      <c r="R830" s="0" t="str">
        <f aca="false">IF($C830="","",IFERROR(VLOOKUP(--$C830,MM_Income!$Z$5:$AC$204,3,FALSE()),""))</f>
        <v>Excluded — Overhead (in fixed costs)</v>
      </c>
    </row>
    <row r="831" customFormat="false" ht="14.9" hidden="false" customHeight="false" outlineLevel="0" collapsed="false">
      <c r="A831" s="1" t="s">
        <v>49</v>
      </c>
      <c r="B831" s="1" t="s">
        <v>89</v>
      </c>
      <c r="C831" s="1" t="n">
        <v>7910</v>
      </c>
      <c r="D831" s="1" t="s">
        <v>762</v>
      </c>
      <c r="E831" s="1" t="n">
        <v>43886</v>
      </c>
      <c r="F831" s="1" t="s">
        <v>869</v>
      </c>
      <c r="G831" s="140" t="n">
        <v>46161</v>
      </c>
      <c r="H831" s="1" t="n">
        <v>1230</v>
      </c>
      <c r="I831" s="1" t="s">
        <v>1307</v>
      </c>
      <c r="J831" s="1" t="s">
        <v>1686</v>
      </c>
      <c r="K831" s="1" t="n">
        <v>0.85</v>
      </c>
      <c r="M831" s="125" t="n">
        <f aca="false">Nominal_Activity[[#This Row],[Debit]]-Nominal_Activity[[#This Row],[Credit]]</f>
        <v>0.85</v>
      </c>
      <c r="N831" s="1" t="str">
        <f aca="false">IF(C831="","",IFERROR(VLOOKUP(C831,Master_Mappings!$A$4:$E$85,3,FALSE()),"UNMAPPED"))</f>
        <v>Financial Charges</v>
      </c>
      <c r="P831" s="1" t="str">
        <f aca="false">IF($C831="","",$C831&amp;"|"&amp;$E831&amp;"|"&amp;$M831&amp;"|"&amp;TEXT($G831,"yyyy-mm-dd")&amp;"|"&amp;LEFT($J831,40))</f>
        <v>7910|43886|0.85|2026-05-19|Bank charges</v>
      </c>
      <c r="Q831" s="11" t="str">
        <f aca="false">IF(P831="","",IF(COUNTIF($P$2:$P$3000,P831)&gt;1,"DUPLICATE","OK"))</f>
        <v>OK</v>
      </c>
      <c r="R831" s="0" t="str">
        <f aca="false">IF($C831="","",IFERROR(VLOOKUP(--$C831,MM_Income!$Z$5:$AC$204,3,FALSE()),""))</f>
        <v>Excluded — Overhead (in fixed costs)</v>
      </c>
    </row>
    <row r="832" customFormat="false" ht="14.9" hidden="false" customHeight="false" outlineLevel="0" collapsed="false">
      <c r="A832" s="1" t="s">
        <v>49</v>
      </c>
      <c r="B832" s="1" t="s">
        <v>89</v>
      </c>
      <c r="C832" s="1" t="n">
        <v>7910</v>
      </c>
      <c r="D832" s="1" t="s">
        <v>762</v>
      </c>
      <c r="E832" s="1" t="n">
        <v>43889</v>
      </c>
      <c r="F832" s="1" t="s">
        <v>869</v>
      </c>
      <c r="G832" s="140" t="n">
        <v>46162</v>
      </c>
      <c r="H832" s="1" t="n">
        <v>1230</v>
      </c>
      <c r="I832" s="1" t="s">
        <v>1309</v>
      </c>
      <c r="J832" s="1" t="s">
        <v>1686</v>
      </c>
      <c r="K832" s="1" t="n">
        <v>1.27</v>
      </c>
      <c r="M832" s="125" t="n">
        <f aca="false">Nominal_Activity[[#This Row],[Debit]]-Nominal_Activity[[#This Row],[Credit]]</f>
        <v>1.27</v>
      </c>
      <c r="N832" s="1" t="str">
        <f aca="false">IF(C832="","",IFERROR(VLOOKUP(C832,Master_Mappings!$A$4:$E$85,3,FALSE()),"UNMAPPED"))</f>
        <v>Financial Charges</v>
      </c>
      <c r="P832" s="1" t="str">
        <f aca="false">IF($C832="","",$C832&amp;"|"&amp;$E832&amp;"|"&amp;$M832&amp;"|"&amp;TEXT($G832,"yyyy-mm-dd")&amp;"|"&amp;LEFT($J832,40))</f>
        <v>7910|43889|1.27|2026-05-20|Bank charges</v>
      </c>
      <c r="Q832" s="11" t="str">
        <f aca="false">IF(P832="","",IF(COUNTIF($P$2:$P$3000,P832)&gt;1,"DUPLICATE","OK"))</f>
        <v>OK</v>
      </c>
      <c r="R832" s="0" t="str">
        <f aca="false">IF($C832="","",IFERROR(VLOOKUP(--$C832,MM_Income!$Z$5:$AC$204,3,FALSE()),""))</f>
        <v>Excluded — Overhead (in fixed costs)</v>
      </c>
    </row>
    <row r="833" customFormat="false" ht="14.9" hidden="false" customHeight="false" outlineLevel="0" collapsed="false">
      <c r="A833" s="1" t="s">
        <v>49</v>
      </c>
      <c r="B833" s="1" t="s">
        <v>89</v>
      </c>
      <c r="C833" s="1" t="n">
        <v>7910</v>
      </c>
      <c r="D833" s="1" t="s">
        <v>762</v>
      </c>
      <c r="E833" s="1" t="n">
        <v>43892</v>
      </c>
      <c r="F833" s="1" t="s">
        <v>869</v>
      </c>
      <c r="G833" s="140" t="n">
        <v>46163</v>
      </c>
      <c r="H833" s="1" t="n">
        <v>1230</v>
      </c>
      <c r="I833" s="1" t="s">
        <v>1310</v>
      </c>
      <c r="J833" s="1" t="s">
        <v>1686</v>
      </c>
      <c r="K833" s="1" t="n">
        <v>1.27</v>
      </c>
      <c r="M833" s="125" t="n">
        <f aca="false">Nominal_Activity[[#This Row],[Debit]]-Nominal_Activity[[#This Row],[Credit]]</f>
        <v>1.27</v>
      </c>
      <c r="N833" s="1" t="str">
        <f aca="false">IF(C833="","",IFERROR(VLOOKUP(C833,Master_Mappings!$A$4:$E$85,3,FALSE()),"UNMAPPED"))</f>
        <v>Financial Charges</v>
      </c>
      <c r="P833" s="1" t="str">
        <f aca="false">IF($C833="","",$C833&amp;"|"&amp;$E833&amp;"|"&amp;$M833&amp;"|"&amp;TEXT($G833,"yyyy-mm-dd")&amp;"|"&amp;LEFT($J833,40))</f>
        <v>7910|43892|1.27|2026-05-21|Bank charges</v>
      </c>
      <c r="Q833" s="11" t="str">
        <f aca="false">IF(P833="","",IF(COUNTIF($P$2:$P$3000,P833)&gt;1,"DUPLICATE","OK"))</f>
        <v>OK</v>
      </c>
      <c r="R833" s="0" t="str">
        <f aca="false">IF($C833="","",IFERROR(VLOOKUP(--$C833,MM_Income!$Z$5:$AC$204,3,FALSE()),""))</f>
        <v>Excluded — Overhead (in fixed costs)</v>
      </c>
    </row>
    <row r="834" customFormat="false" ht="14.9" hidden="false" customHeight="false" outlineLevel="0" collapsed="false">
      <c r="A834" s="1" t="s">
        <v>49</v>
      </c>
      <c r="B834" s="1" t="s">
        <v>89</v>
      </c>
      <c r="C834" s="1" t="n">
        <v>7910</v>
      </c>
      <c r="D834" s="1" t="s">
        <v>762</v>
      </c>
      <c r="E834" s="1" t="n">
        <v>43895</v>
      </c>
      <c r="F834" s="1" t="s">
        <v>869</v>
      </c>
      <c r="G834" s="140" t="n">
        <v>46164</v>
      </c>
      <c r="H834" s="1" t="n">
        <v>1230</v>
      </c>
      <c r="I834" s="1" t="s">
        <v>1311</v>
      </c>
      <c r="J834" s="1" t="s">
        <v>1686</v>
      </c>
      <c r="K834" s="1" t="n">
        <v>1.12</v>
      </c>
      <c r="M834" s="125" t="n">
        <f aca="false">Nominal_Activity[[#This Row],[Debit]]-Nominal_Activity[[#This Row],[Credit]]</f>
        <v>1.12</v>
      </c>
      <c r="N834" s="1" t="str">
        <f aca="false">IF(C834="","",IFERROR(VLOOKUP(C834,Master_Mappings!$A$4:$E$85,3,FALSE()),"UNMAPPED"))</f>
        <v>Financial Charges</v>
      </c>
      <c r="P834" s="1" t="str">
        <f aca="false">IF($C834="","",$C834&amp;"|"&amp;$E834&amp;"|"&amp;$M834&amp;"|"&amp;TEXT($G834,"yyyy-mm-dd")&amp;"|"&amp;LEFT($J834,40))</f>
        <v>7910|43895|1.12|2026-05-22|Bank charges</v>
      </c>
      <c r="Q834" s="11" t="str">
        <f aca="false">IF(P834="","",IF(COUNTIF($P$2:$P$3000,P834)&gt;1,"DUPLICATE","OK"))</f>
        <v>OK</v>
      </c>
      <c r="R834" s="0" t="str">
        <f aca="false">IF($C834="","",IFERROR(VLOOKUP(--$C834,MM_Income!$Z$5:$AC$204,3,FALSE()),""))</f>
        <v>Excluded — Overhead (in fixed costs)</v>
      </c>
    </row>
    <row r="835" customFormat="false" ht="14.9" hidden="false" customHeight="false" outlineLevel="0" collapsed="false">
      <c r="A835" s="1" t="s">
        <v>49</v>
      </c>
      <c r="B835" s="1" t="s">
        <v>89</v>
      </c>
      <c r="C835" s="1" t="n">
        <v>7910</v>
      </c>
      <c r="D835" s="1" t="s">
        <v>762</v>
      </c>
      <c r="E835" s="1" t="n">
        <v>43897</v>
      </c>
      <c r="F835" s="1" t="s">
        <v>869</v>
      </c>
      <c r="G835" s="140" t="n">
        <v>46164</v>
      </c>
      <c r="H835" s="1" t="n">
        <v>1230</v>
      </c>
      <c r="I835" s="1" t="s">
        <v>1312</v>
      </c>
      <c r="J835" s="1" t="s">
        <v>1686</v>
      </c>
      <c r="K835" s="1" t="n">
        <v>0.24</v>
      </c>
      <c r="M835" s="125" t="n">
        <f aca="false">Nominal_Activity[[#This Row],[Debit]]-Nominal_Activity[[#This Row],[Credit]]</f>
        <v>0.24</v>
      </c>
      <c r="N835" s="1" t="str">
        <f aca="false">IF(C835="","",IFERROR(VLOOKUP(C835,Master_Mappings!$A$4:$E$85,3,FALSE()),"UNMAPPED"))</f>
        <v>Financial Charges</v>
      </c>
      <c r="P835" s="1" t="str">
        <f aca="false">IF($C835="","",$C835&amp;"|"&amp;$E835&amp;"|"&amp;$M835&amp;"|"&amp;TEXT($G835,"yyyy-mm-dd")&amp;"|"&amp;LEFT($J835,40))</f>
        <v>7910|43897|0.24|2026-05-22|Bank charges</v>
      </c>
      <c r="Q835" s="11" t="str">
        <f aca="false">IF(P835="","",IF(COUNTIF($P$2:$P$3000,P835)&gt;1,"DUPLICATE","OK"))</f>
        <v>OK</v>
      </c>
      <c r="R835" s="0" t="str">
        <f aca="false">IF($C835="","",IFERROR(VLOOKUP(--$C835,MM_Income!$Z$5:$AC$204,3,FALSE()),""))</f>
        <v>Excluded — Overhead (in fixed costs)</v>
      </c>
    </row>
    <row r="836" customFormat="false" ht="14.9" hidden="false" customHeight="false" outlineLevel="0" collapsed="false">
      <c r="A836" s="1" t="s">
        <v>49</v>
      </c>
      <c r="B836" s="1" t="s">
        <v>89</v>
      </c>
      <c r="C836" s="1" t="n">
        <v>7910</v>
      </c>
      <c r="D836" s="1" t="s">
        <v>762</v>
      </c>
      <c r="E836" s="1" t="n">
        <v>43899</v>
      </c>
      <c r="F836" s="1" t="s">
        <v>869</v>
      </c>
      <c r="G836" s="140" t="n">
        <v>46167</v>
      </c>
      <c r="H836" s="1" t="n">
        <v>1230</v>
      </c>
      <c r="I836" s="1" t="s">
        <v>1314</v>
      </c>
      <c r="J836" s="1" t="s">
        <v>1686</v>
      </c>
      <c r="K836" s="1" t="n">
        <v>0.82</v>
      </c>
      <c r="M836" s="125" t="n">
        <f aca="false">Nominal_Activity[[#This Row],[Debit]]-Nominal_Activity[[#This Row],[Credit]]</f>
        <v>0.82</v>
      </c>
      <c r="N836" s="1" t="str">
        <f aca="false">IF(C836="","",IFERROR(VLOOKUP(C836,Master_Mappings!$A$4:$E$85,3,FALSE()),"UNMAPPED"))</f>
        <v>Financial Charges</v>
      </c>
      <c r="P836" s="1" t="str">
        <f aca="false">IF($C836="","",$C836&amp;"|"&amp;$E836&amp;"|"&amp;$M836&amp;"|"&amp;TEXT($G836,"yyyy-mm-dd")&amp;"|"&amp;LEFT($J836,40))</f>
        <v>7910|43899|0.82|2026-05-25|Bank charges</v>
      </c>
      <c r="Q836" s="11" t="str">
        <f aca="false">IF(P836="","",IF(COUNTIF($P$2:$P$3000,P836)&gt;1,"DUPLICATE","OK"))</f>
        <v>OK</v>
      </c>
      <c r="R836" s="0" t="str">
        <f aca="false">IF($C836="","",IFERROR(VLOOKUP(--$C836,MM_Income!$Z$5:$AC$204,3,FALSE()),""))</f>
        <v>Excluded — Overhead (in fixed costs)</v>
      </c>
    </row>
    <row r="837" customFormat="false" ht="14.9" hidden="false" customHeight="false" outlineLevel="0" collapsed="false">
      <c r="A837" s="1" t="s">
        <v>49</v>
      </c>
      <c r="B837" s="1" t="s">
        <v>89</v>
      </c>
      <c r="C837" s="1" t="n">
        <v>7910</v>
      </c>
      <c r="D837" s="1" t="s">
        <v>762</v>
      </c>
      <c r="E837" s="1" t="n">
        <v>43902</v>
      </c>
      <c r="F837" s="1" t="s">
        <v>869</v>
      </c>
      <c r="G837" s="140" t="n">
        <v>46168</v>
      </c>
      <c r="H837" s="1" t="n">
        <v>1230</v>
      </c>
      <c r="I837" s="1" t="s">
        <v>1315</v>
      </c>
      <c r="J837" s="1" t="s">
        <v>1686</v>
      </c>
      <c r="K837" s="1" t="n">
        <v>1.27</v>
      </c>
      <c r="M837" s="125" t="n">
        <f aca="false">Nominal_Activity[[#This Row],[Debit]]-Nominal_Activity[[#This Row],[Credit]]</f>
        <v>1.27</v>
      </c>
      <c r="N837" s="1" t="str">
        <f aca="false">IF(C837="","",IFERROR(VLOOKUP(C837,Master_Mappings!$A$4:$E$85,3,FALSE()),"UNMAPPED"))</f>
        <v>Financial Charges</v>
      </c>
      <c r="P837" s="1" t="str">
        <f aca="false">IF($C837="","",$C837&amp;"|"&amp;$E837&amp;"|"&amp;$M837&amp;"|"&amp;TEXT($G837,"yyyy-mm-dd")&amp;"|"&amp;LEFT($J837,40))</f>
        <v>7910|43902|1.27|2026-05-26|Bank charges</v>
      </c>
      <c r="Q837" s="11" t="str">
        <f aca="false">IF(P837="","",IF(COUNTIF($P$2:$P$3000,P837)&gt;1,"DUPLICATE","OK"))</f>
        <v>OK</v>
      </c>
      <c r="R837" s="0" t="str">
        <f aca="false">IF($C837="","",IFERROR(VLOOKUP(--$C837,MM_Income!$Z$5:$AC$204,3,FALSE()),""))</f>
        <v>Excluded — Overhead (in fixed costs)</v>
      </c>
    </row>
    <row r="838" customFormat="false" ht="14.9" hidden="false" customHeight="false" outlineLevel="0" collapsed="false">
      <c r="A838" s="1" t="s">
        <v>49</v>
      </c>
      <c r="B838" s="1" t="s">
        <v>89</v>
      </c>
      <c r="C838" s="1" t="n">
        <v>7910</v>
      </c>
      <c r="D838" s="1" t="s">
        <v>762</v>
      </c>
      <c r="E838" s="1" t="n">
        <v>43904</v>
      </c>
      <c r="F838" s="1" t="s">
        <v>869</v>
      </c>
      <c r="G838" s="140" t="n">
        <v>46170</v>
      </c>
      <c r="H838" s="1" t="n">
        <v>1230</v>
      </c>
      <c r="I838" s="1" t="s">
        <v>1500</v>
      </c>
      <c r="J838" s="1" t="s">
        <v>1686</v>
      </c>
      <c r="K838" s="1" t="n">
        <v>2</v>
      </c>
      <c r="M838" s="125" t="n">
        <f aca="false">Nominal_Activity[[#This Row],[Debit]]-Nominal_Activity[[#This Row],[Credit]]</f>
        <v>2</v>
      </c>
      <c r="N838" s="1" t="str">
        <f aca="false">IF(C838="","",IFERROR(VLOOKUP(C838,Master_Mappings!$A$4:$E$85,3,FALSE()),"UNMAPPED"))</f>
        <v>Financial Charges</v>
      </c>
      <c r="P838" s="1" t="str">
        <f aca="false">IF($C838="","",$C838&amp;"|"&amp;$E838&amp;"|"&amp;$M838&amp;"|"&amp;TEXT($G838,"yyyy-mm-dd")&amp;"|"&amp;LEFT($J838,40))</f>
        <v>7910|43904|2|2026-05-28|Bank charges</v>
      </c>
      <c r="Q838" s="11" t="str">
        <f aca="false">IF(P838="","",IF(COUNTIF($P$2:$P$3000,P838)&gt;1,"DUPLICATE","OK"))</f>
        <v>OK</v>
      </c>
      <c r="R838" s="0" t="str">
        <f aca="false">IF($C838="","",IFERROR(VLOOKUP(--$C838,MM_Income!$Z$5:$AC$204,3,FALSE()),""))</f>
        <v>Excluded — Overhead (in fixed costs)</v>
      </c>
    </row>
    <row r="839" customFormat="false" ht="14.9" hidden="false" customHeight="false" outlineLevel="0" collapsed="false">
      <c r="A839" s="1" t="s">
        <v>49</v>
      </c>
      <c r="B839" s="1" t="s">
        <v>89</v>
      </c>
      <c r="C839" s="1" t="n">
        <v>7910</v>
      </c>
      <c r="D839" s="1" t="s">
        <v>762</v>
      </c>
      <c r="E839" s="1" t="n">
        <v>43906</v>
      </c>
      <c r="F839" s="1" t="s">
        <v>869</v>
      </c>
      <c r="G839" s="140" t="n">
        <v>46170</v>
      </c>
      <c r="H839" s="1" t="n">
        <v>1230</v>
      </c>
      <c r="I839" s="1" t="s">
        <v>1521</v>
      </c>
      <c r="J839" s="1" t="s">
        <v>1686</v>
      </c>
      <c r="K839" s="1" t="n">
        <v>7.06</v>
      </c>
      <c r="M839" s="125" t="n">
        <f aca="false">Nominal_Activity[[#This Row],[Debit]]-Nominal_Activity[[#This Row],[Credit]]</f>
        <v>7.06</v>
      </c>
      <c r="N839" s="1" t="str">
        <f aca="false">IF(C839="","",IFERROR(VLOOKUP(C839,Master_Mappings!$A$4:$E$85,3,FALSE()),"UNMAPPED"))</f>
        <v>Financial Charges</v>
      </c>
      <c r="P839" s="1" t="str">
        <f aca="false">IF($C839="","",$C839&amp;"|"&amp;$E839&amp;"|"&amp;$M839&amp;"|"&amp;TEXT($G839,"yyyy-mm-dd")&amp;"|"&amp;LEFT($J839,40))</f>
        <v>7910|43906|7.06|2026-05-28|Bank charges</v>
      </c>
      <c r="Q839" s="11" t="str">
        <f aca="false">IF(P839="","",IF(COUNTIF($P$2:$P$3000,P839)&gt;1,"DUPLICATE","OK"))</f>
        <v>OK</v>
      </c>
      <c r="R839" s="0" t="str">
        <f aca="false">IF($C839="","",IFERROR(VLOOKUP(--$C839,MM_Income!$Z$5:$AC$204,3,FALSE()),""))</f>
        <v>Excluded — Overhead (in fixed costs)</v>
      </c>
    </row>
    <row r="840" customFormat="false" ht="14.9" hidden="false" customHeight="false" outlineLevel="0" collapsed="false">
      <c r="A840" s="1" t="s">
        <v>49</v>
      </c>
      <c r="B840" s="1" t="s">
        <v>89</v>
      </c>
      <c r="C840" s="1" t="n">
        <v>7910</v>
      </c>
      <c r="D840" s="1" t="s">
        <v>762</v>
      </c>
      <c r="E840" s="1" t="n">
        <v>43910</v>
      </c>
      <c r="F840" s="1" t="s">
        <v>869</v>
      </c>
      <c r="G840" s="140" t="n">
        <v>46170</v>
      </c>
      <c r="H840" s="1" t="n">
        <v>1230</v>
      </c>
      <c r="I840" s="1" t="s">
        <v>1316</v>
      </c>
      <c r="J840" s="1" t="s">
        <v>1686</v>
      </c>
      <c r="K840" s="1" t="n">
        <v>0.85</v>
      </c>
      <c r="M840" s="125" t="n">
        <f aca="false">Nominal_Activity[[#This Row],[Debit]]-Nominal_Activity[[#This Row],[Credit]]</f>
        <v>0.85</v>
      </c>
      <c r="N840" s="1" t="str">
        <f aca="false">IF(C840="","",IFERROR(VLOOKUP(C840,Master_Mappings!$A$4:$E$85,3,FALSE()),"UNMAPPED"))</f>
        <v>Financial Charges</v>
      </c>
      <c r="P840" s="1" t="str">
        <f aca="false">IF($C840="","",$C840&amp;"|"&amp;$E840&amp;"|"&amp;$M840&amp;"|"&amp;TEXT($G840,"yyyy-mm-dd")&amp;"|"&amp;LEFT($J840,40))</f>
        <v>7910|43910|0.85|2026-05-28|Bank charges</v>
      </c>
      <c r="Q840" s="11" t="str">
        <f aca="false">IF(P840="","",IF(COUNTIF($P$2:$P$3000,P840)&gt;1,"DUPLICATE","OK"))</f>
        <v>OK</v>
      </c>
      <c r="R840" s="0" t="str">
        <f aca="false">IF($C840="","",IFERROR(VLOOKUP(--$C840,MM_Income!$Z$5:$AC$204,3,FALSE()),""))</f>
        <v>Excluded — Overhead (in fixed costs)</v>
      </c>
    </row>
    <row r="841" customFormat="false" ht="14.9" hidden="false" customHeight="false" outlineLevel="0" collapsed="false">
      <c r="A841" s="1" t="s">
        <v>49</v>
      </c>
      <c r="B841" s="1" t="s">
        <v>89</v>
      </c>
      <c r="C841" s="1" t="n">
        <v>7910</v>
      </c>
      <c r="D841" s="1" t="s">
        <v>762</v>
      </c>
      <c r="E841" s="1" t="n">
        <v>43912</v>
      </c>
      <c r="F841" s="1" t="s">
        <v>869</v>
      </c>
      <c r="G841" s="140" t="n">
        <v>46171</v>
      </c>
      <c r="H841" s="1" t="n">
        <v>1230</v>
      </c>
      <c r="I841" s="1" t="s">
        <v>1693</v>
      </c>
      <c r="J841" s="1" t="s">
        <v>1686</v>
      </c>
      <c r="K841" s="1" t="n">
        <v>8.78</v>
      </c>
      <c r="M841" s="125" t="n">
        <f aca="false">Nominal_Activity[[#This Row],[Debit]]-Nominal_Activity[[#This Row],[Credit]]</f>
        <v>8.78</v>
      </c>
      <c r="N841" s="1" t="str">
        <f aca="false">IF(C841="","",IFERROR(VLOOKUP(C841,Master_Mappings!$A$4:$E$85,3,FALSE()),"UNMAPPED"))</f>
        <v>Financial Charges</v>
      </c>
      <c r="P841" s="1" t="str">
        <f aca="false">IF($C841="","",$C841&amp;"|"&amp;$E841&amp;"|"&amp;$M841&amp;"|"&amp;TEXT($G841,"yyyy-mm-dd")&amp;"|"&amp;LEFT($J841,40))</f>
        <v>7910|43912|8.78|2026-05-29|Bank charges</v>
      </c>
      <c r="Q841" s="11" t="str">
        <f aca="false">IF(P841="","",IF(COUNTIF($P$2:$P$3000,P841)&gt;1,"DUPLICATE","OK"))</f>
        <v>OK</v>
      </c>
      <c r="R841" s="0" t="str">
        <f aca="false">IF($C841="","",IFERROR(VLOOKUP(--$C841,MM_Income!$Z$5:$AC$204,3,FALSE()),""))</f>
        <v>Excluded — Overhead (in fixed costs)</v>
      </c>
    </row>
    <row r="842" customFormat="false" ht="14.9" hidden="false" customHeight="false" outlineLevel="0" collapsed="false">
      <c r="A842" s="1" t="s">
        <v>49</v>
      </c>
      <c r="B842" s="1" t="s">
        <v>89</v>
      </c>
      <c r="C842" s="1" t="n">
        <v>7910</v>
      </c>
      <c r="D842" s="1" t="s">
        <v>762</v>
      </c>
      <c r="E842" s="1" t="n">
        <v>43915</v>
      </c>
      <c r="F842" s="1" t="s">
        <v>869</v>
      </c>
      <c r="G842" s="140" t="n">
        <v>46171</v>
      </c>
      <c r="H842" s="1" t="n">
        <v>1230</v>
      </c>
      <c r="I842" s="1" t="s">
        <v>1317</v>
      </c>
      <c r="J842" s="1" t="s">
        <v>1686</v>
      </c>
      <c r="K842" s="1" t="n">
        <v>2.6</v>
      </c>
      <c r="M842" s="125" t="n">
        <f aca="false">Nominal_Activity[[#This Row],[Debit]]-Nominal_Activity[[#This Row],[Credit]]</f>
        <v>2.6</v>
      </c>
      <c r="N842" s="1" t="str">
        <f aca="false">IF(C842="","",IFERROR(VLOOKUP(C842,Master_Mappings!$A$4:$E$85,3,FALSE()),"UNMAPPED"))</f>
        <v>Financial Charges</v>
      </c>
      <c r="P842" s="1" t="str">
        <f aca="false">IF($C842="","",$C842&amp;"|"&amp;$E842&amp;"|"&amp;$M842&amp;"|"&amp;TEXT($G842,"yyyy-mm-dd")&amp;"|"&amp;LEFT($J842,40))</f>
        <v>7910|43915|2.6|2026-05-29|Bank charges</v>
      </c>
      <c r="Q842" s="11" t="str">
        <f aca="false">IF(P842="","",IF(COUNTIF($P$2:$P$3000,P842)&gt;1,"DUPLICATE","OK"))</f>
        <v>OK</v>
      </c>
      <c r="R842" s="0" t="str">
        <f aca="false">IF($C842="","",IFERROR(VLOOKUP(--$C842,MM_Income!$Z$5:$AC$204,3,FALSE()),""))</f>
        <v>Excluded — Overhead (in fixed costs)</v>
      </c>
    </row>
    <row r="843" customFormat="false" ht="14.9" hidden="false" customHeight="false" outlineLevel="0" collapsed="false">
      <c r="A843" s="1" t="s">
        <v>49</v>
      </c>
      <c r="B843" s="1" t="s">
        <v>89</v>
      </c>
      <c r="C843" s="1" t="n">
        <v>7910</v>
      </c>
      <c r="D843" s="1" t="s">
        <v>762</v>
      </c>
      <c r="E843" s="1" t="n">
        <v>43918</v>
      </c>
      <c r="F843" s="1" t="s">
        <v>869</v>
      </c>
      <c r="G843" s="140" t="n">
        <v>46171</v>
      </c>
      <c r="H843" s="1" t="n">
        <v>1230</v>
      </c>
      <c r="I843" s="1" t="s">
        <v>1317</v>
      </c>
      <c r="J843" s="1" t="s">
        <v>1686</v>
      </c>
      <c r="K843" s="1" t="n">
        <v>1.12</v>
      </c>
      <c r="M843" s="125" t="n">
        <f aca="false">Nominal_Activity[[#This Row],[Debit]]-Nominal_Activity[[#This Row],[Credit]]</f>
        <v>1.12</v>
      </c>
      <c r="N843" s="1" t="str">
        <f aca="false">IF(C843="","",IFERROR(VLOOKUP(C843,Master_Mappings!$A$4:$E$85,3,FALSE()),"UNMAPPED"))</f>
        <v>Financial Charges</v>
      </c>
      <c r="P843" s="1" t="str">
        <f aca="false">IF($C843="","",$C843&amp;"|"&amp;$E843&amp;"|"&amp;$M843&amp;"|"&amp;TEXT($G843,"yyyy-mm-dd")&amp;"|"&amp;LEFT($J843,40))</f>
        <v>7910|43918|1.12|2026-05-29|Bank charges</v>
      </c>
      <c r="Q843" s="11" t="str">
        <f aca="false">IF(P843="","",IF(COUNTIF($P$2:$P$3000,P843)&gt;1,"DUPLICATE","OK"))</f>
        <v>OK</v>
      </c>
      <c r="R843" s="0" t="str">
        <f aca="false">IF($C843="","",IFERROR(VLOOKUP(--$C843,MM_Income!$Z$5:$AC$204,3,FALSE()),""))</f>
        <v>Excluded — Overhead (in fixed costs)</v>
      </c>
    </row>
    <row r="844" customFormat="false" ht="14.9" hidden="false" customHeight="false" outlineLevel="0" collapsed="false">
      <c r="A844" s="1" t="s">
        <v>49</v>
      </c>
      <c r="B844" s="1" t="s">
        <v>89</v>
      </c>
      <c r="C844" s="1" t="n">
        <v>7910</v>
      </c>
      <c r="D844" s="1" t="s">
        <v>762</v>
      </c>
      <c r="E844" s="1" t="n">
        <v>43922</v>
      </c>
      <c r="F844" s="1" t="s">
        <v>869</v>
      </c>
      <c r="G844" s="140" t="n">
        <v>46176</v>
      </c>
      <c r="H844" s="1" t="n">
        <v>1230</v>
      </c>
      <c r="I844" s="1" t="s">
        <v>1318</v>
      </c>
      <c r="J844" s="1" t="s">
        <v>1686</v>
      </c>
      <c r="K844" s="1" t="n">
        <v>0.48</v>
      </c>
      <c r="M844" s="125" t="n">
        <f aca="false">Nominal_Activity[[#This Row],[Debit]]-Nominal_Activity[[#This Row],[Credit]]</f>
        <v>0.48</v>
      </c>
      <c r="N844" s="1" t="str">
        <f aca="false">IF(C844="","",IFERROR(VLOOKUP(C844,Master_Mappings!$A$4:$E$85,3,FALSE()),"UNMAPPED"))</f>
        <v>Financial Charges</v>
      </c>
      <c r="P844" s="1" t="str">
        <f aca="false">IF($C844="","",$C844&amp;"|"&amp;$E844&amp;"|"&amp;$M844&amp;"|"&amp;TEXT($G844,"yyyy-mm-dd")&amp;"|"&amp;LEFT($J844,40))</f>
        <v>7910|43922|0.48|2026-06-03|Bank charges</v>
      </c>
      <c r="Q844" s="11" t="str">
        <f aca="false">IF(P844="","",IF(COUNTIF($P$2:$P$3000,P844)&gt;1,"DUPLICATE","OK"))</f>
        <v>OK</v>
      </c>
      <c r="R844" s="0" t="str">
        <f aca="false">IF($C844="","",IFERROR(VLOOKUP(--$C844,MM_Income!$Z$5:$AC$204,3,FALSE()),""))</f>
        <v>Excluded — Overhead (in fixed costs)</v>
      </c>
    </row>
    <row r="845" customFormat="false" ht="14.9" hidden="false" customHeight="false" outlineLevel="0" collapsed="false">
      <c r="A845" s="1" t="s">
        <v>49</v>
      </c>
      <c r="B845" s="1" t="s">
        <v>89</v>
      </c>
      <c r="C845" s="1" t="n">
        <v>7910</v>
      </c>
      <c r="D845" s="1" t="s">
        <v>762</v>
      </c>
      <c r="E845" s="1" t="n">
        <v>43924</v>
      </c>
      <c r="F845" s="1" t="s">
        <v>869</v>
      </c>
      <c r="G845" s="140" t="n">
        <v>46177</v>
      </c>
      <c r="H845" s="1" t="n">
        <v>1230</v>
      </c>
      <c r="I845" s="1" t="s">
        <v>1395</v>
      </c>
      <c r="J845" s="1" t="s">
        <v>1686</v>
      </c>
      <c r="K845" s="1" t="n">
        <v>3.37</v>
      </c>
      <c r="M845" s="125" t="n">
        <f aca="false">Nominal_Activity[[#This Row],[Debit]]-Nominal_Activity[[#This Row],[Credit]]</f>
        <v>3.37</v>
      </c>
      <c r="N845" s="1" t="str">
        <f aca="false">IF(C845="","",IFERROR(VLOOKUP(C845,Master_Mappings!$A$4:$E$85,3,FALSE()),"UNMAPPED"))</f>
        <v>Financial Charges</v>
      </c>
      <c r="P845" s="1" t="str">
        <f aca="false">IF($C845="","",$C845&amp;"|"&amp;$E845&amp;"|"&amp;$M845&amp;"|"&amp;TEXT($G845,"yyyy-mm-dd")&amp;"|"&amp;LEFT($J845,40))</f>
        <v>7910|43924|3.37|2026-06-04|Bank charges</v>
      </c>
      <c r="Q845" s="11" t="str">
        <f aca="false">IF(P845="","",IF(COUNTIF($P$2:$P$3000,P845)&gt;1,"DUPLICATE","OK"))</f>
        <v>OK</v>
      </c>
      <c r="R845" s="0" t="str">
        <f aca="false">IF($C845="","",IFERROR(VLOOKUP(--$C845,MM_Income!$Z$5:$AC$204,3,FALSE()),""))</f>
        <v>Excluded — Overhead (in fixed costs)</v>
      </c>
    </row>
    <row r="846" customFormat="false" ht="14.9" hidden="false" customHeight="false" outlineLevel="0" collapsed="false">
      <c r="A846" s="1" t="s">
        <v>49</v>
      </c>
      <c r="B846" s="1" t="s">
        <v>89</v>
      </c>
      <c r="C846" s="1" t="n">
        <v>7910</v>
      </c>
      <c r="D846" s="1" t="s">
        <v>762</v>
      </c>
      <c r="E846" s="1" t="n">
        <v>43926</v>
      </c>
      <c r="F846" s="1" t="s">
        <v>869</v>
      </c>
      <c r="G846" s="140" t="n">
        <v>46178</v>
      </c>
      <c r="H846" s="1" t="n">
        <v>1230</v>
      </c>
      <c r="I846" s="1" t="s">
        <v>1659</v>
      </c>
      <c r="J846" s="1" t="s">
        <v>1686</v>
      </c>
      <c r="K846" s="1" t="n">
        <v>0.37</v>
      </c>
      <c r="M846" s="125" t="n">
        <f aca="false">Nominal_Activity[[#This Row],[Debit]]-Nominal_Activity[[#This Row],[Credit]]</f>
        <v>0.37</v>
      </c>
      <c r="N846" s="1" t="str">
        <f aca="false">IF(C846="","",IFERROR(VLOOKUP(C846,Master_Mappings!$A$4:$E$85,3,FALSE()),"UNMAPPED"))</f>
        <v>Financial Charges</v>
      </c>
      <c r="P846" s="1" t="str">
        <f aca="false">IF($C846="","",$C846&amp;"|"&amp;$E846&amp;"|"&amp;$M846&amp;"|"&amp;TEXT($G846,"yyyy-mm-dd")&amp;"|"&amp;LEFT($J846,40))</f>
        <v>7910|43926|0.37|2026-06-05|Bank charges</v>
      </c>
      <c r="Q846" s="11" t="str">
        <f aca="false">IF(P846="","",IF(COUNTIF($P$2:$P$3000,P846)&gt;1,"DUPLICATE","OK"))</f>
        <v>OK</v>
      </c>
      <c r="R846" s="0" t="str">
        <f aca="false">IF($C846="","",IFERROR(VLOOKUP(--$C846,MM_Income!$Z$5:$AC$204,3,FALSE()),""))</f>
        <v>Excluded — Overhead (in fixed costs)</v>
      </c>
    </row>
    <row r="847" customFormat="false" ht="14.9" hidden="false" customHeight="false" outlineLevel="0" collapsed="false">
      <c r="A847" s="1" t="s">
        <v>49</v>
      </c>
      <c r="B847" s="1" t="s">
        <v>89</v>
      </c>
      <c r="C847" s="1" t="n">
        <v>7910</v>
      </c>
      <c r="D847" s="1" t="s">
        <v>762</v>
      </c>
      <c r="E847" s="1" t="n">
        <v>43928</v>
      </c>
      <c r="F847" s="1" t="s">
        <v>869</v>
      </c>
      <c r="G847" s="140" t="n">
        <v>46181</v>
      </c>
      <c r="H847" s="1" t="n">
        <v>1230</v>
      </c>
      <c r="I847" s="1" t="s">
        <v>1397</v>
      </c>
      <c r="J847" s="1" t="s">
        <v>1686</v>
      </c>
      <c r="K847" s="1" t="n">
        <v>3.37</v>
      </c>
      <c r="M847" s="125" t="n">
        <f aca="false">Nominal_Activity[[#This Row],[Debit]]-Nominal_Activity[[#This Row],[Credit]]</f>
        <v>3.37</v>
      </c>
      <c r="N847" s="1" t="str">
        <f aca="false">IF(C847="","",IFERROR(VLOOKUP(C847,Master_Mappings!$A$4:$E$85,3,FALSE()),"UNMAPPED"))</f>
        <v>Financial Charges</v>
      </c>
      <c r="P847" s="1" t="str">
        <f aca="false">IF($C847="","",$C847&amp;"|"&amp;$E847&amp;"|"&amp;$M847&amp;"|"&amp;TEXT($G847,"yyyy-mm-dd")&amp;"|"&amp;LEFT($J847,40))</f>
        <v>7910|43928|3.37|2026-06-08|Bank charges</v>
      </c>
      <c r="Q847" s="11" t="str">
        <f aca="false">IF(P847="","",IF(COUNTIF($P$2:$P$3000,P847)&gt;1,"DUPLICATE","OK"))</f>
        <v>OK</v>
      </c>
      <c r="R847" s="0" t="str">
        <f aca="false">IF($C847="","",IFERROR(VLOOKUP(--$C847,MM_Income!$Z$5:$AC$204,3,FALSE()),""))</f>
        <v>Excluded — Overhead (in fixed costs)</v>
      </c>
    </row>
    <row r="848" customFormat="false" ht="14.9" hidden="false" customHeight="false" outlineLevel="0" collapsed="false">
      <c r="A848" s="1" t="s">
        <v>49</v>
      </c>
      <c r="B848" s="1" t="s">
        <v>89</v>
      </c>
      <c r="C848" s="1" t="n">
        <v>7910</v>
      </c>
      <c r="D848" s="1" t="s">
        <v>762</v>
      </c>
      <c r="E848" s="1" t="n">
        <v>43930</v>
      </c>
      <c r="F848" s="1" t="s">
        <v>869</v>
      </c>
      <c r="G848" s="140" t="n">
        <v>46183</v>
      </c>
      <c r="H848" s="1" t="n">
        <v>1230</v>
      </c>
      <c r="I848" s="1" t="s">
        <v>1320</v>
      </c>
      <c r="J848" s="1" t="s">
        <v>1686</v>
      </c>
      <c r="K848" s="1" t="n">
        <v>4.27</v>
      </c>
      <c r="M848" s="125" t="n">
        <f aca="false">Nominal_Activity[[#This Row],[Debit]]-Nominal_Activity[[#This Row],[Credit]]</f>
        <v>4.27</v>
      </c>
      <c r="N848" s="1" t="str">
        <f aca="false">IF(C848="","",IFERROR(VLOOKUP(C848,Master_Mappings!$A$4:$E$85,3,FALSE()),"UNMAPPED"))</f>
        <v>Financial Charges</v>
      </c>
      <c r="P848" s="1" t="str">
        <f aca="false">IF($C848="","",$C848&amp;"|"&amp;$E848&amp;"|"&amp;$M848&amp;"|"&amp;TEXT($G848,"yyyy-mm-dd")&amp;"|"&amp;LEFT($J848,40))</f>
        <v>7910|43930|4.27|2026-06-10|Bank charges</v>
      </c>
      <c r="Q848" s="11" t="str">
        <f aca="false">IF(P848="","",IF(COUNTIF($P$2:$P$3000,P848)&gt;1,"DUPLICATE","OK"))</f>
        <v>OK</v>
      </c>
      <c r="R848" s="0" t="str">
        <f aca="false">IF($C848="","",IFERROR(VLOOKUP(--$C848,MM_Income!$Z$5:$AC$204,3,FALSE()),""))</f>
        <v>Excluded — Overhead (in fixed costs)</v>
      </c>
    </row>
    <row r="849" customFormat="false" ht="14.9" hidden="false" customHeight="false" outlineLevel="0" collapsed="false">
      <c r="A849" s="1" t="s">
        <v>49</v>
      </c>
      <c r="B849" s="1" t="s">
        <v>89</v>
      </c>
      <c r="C849" s="1" t="n">
        <v>7910</v>
      </c>
      <c r="D849" s="1" t="s">
        <v>762</v>
      </c>
      <c r="E849" s="1" t="n">
        <v>43932</v>
      </c>
      <c r="F849" s="1" t="s">
        <v>869</v>
      </c>
      <c r="G849" s="140" t="n">
        <v>46185</v>
      </c>
      <c r="H849" s="1" t="n">
        <v>1230</v>
      </c>
      <c r="I849" s="1" t="s">
        <v>1524</v>
      </c>
      <c r="J849" s="1" t="s">
        <v>1686</v>
      </c>
      <c r="K849" s="1" t="n">
        <v>0.14</v>
      </c>
      <c r="M849" s="125" t="n">
        <f aca="false">Nominal_Activity[[#This Row],[Debit]]-Nominal_Activity[[#This Row],[Credit]]</f>
        <v>0.14</v>
      </c>
      <c r="N849" s="1" t="str">
        <f aca="false">IF(C849="","",IFERROR(VLOOKUP(C849,Master_Mappings!$A$4:$E$85,3,FALSE()),"UNMAPPED"))</f>
        <v>Financial Charges</v>
      </c>
      <c r="P849" s="1" t="str">
        <f aca="false">IF($C849="","",$C849&amp;"|"&amp;$E849&amp;"|"&amp;$M849&amp;"|"&amp;TEXT($G849,"yyyy-mm-dd")&amp;"|"&amp;LEFT($J849,40))</f>
        <v>7910|43932|0.14|2026-06-12|Bank charges</v>
      </c>
      <c r="Q849" s="11" t="str">
        <f aca="false">IF(P849="","",IF(COUNTIF($P$2:$P$3000,P849)&gt;1,"DUPLICATE","OK"))</f>
        <v>OK</v>
      </c>
      <c r="R849" s="0" t="str">
        <f aca="false">IF($C849="","",IFERROR(VLOOKUP(--$C849,MM_Income!$Z$5:$AC$204,3,FALSE()),""))</f>
        <v>Excluded — Overhead (in fixed costs)</v>
      </c>
    </row>
    <row r="850" customFormat="false" ht="14.9" hidden="false" customHeight="false" outlineLevel="0" collapsed="false">
      <c r="A850" s="1" t="s">
        <v>49</v>
      </c>
      <c r="B850" s="1" t="s">
        <v>89</v>
      </c>
      <c r="C850" s="1" t="n">
        <v>7910</v>
      </c>
      <c r="D850" s="1" t="s">
        <v>762</v>
      </c>
      <c r="E850" s="1" t="n">
        <v>43934</v>
      </c>
      <c r="F850" s="1" t="s">
        <v>869</v>
      </c>
      <c r="G850" s="140" t="n">
        <v>46188</v>
      </c>
      <c r="H850" s="1" t="n">
        <v>1230</v>
      </c>
      <c r="I850" s="1" t="s">
        <v>1661</v>
      </c>
      <c r="J850" s="1" t="s">
        <v>1686</v>
      </c>
      <c r="K850" s="1" t="n">
        <v>0.67</v>
      </c>
      <c r="M850" s="125" t="n">
        <f aca="false">Nominal_Activity[[#This Row],[Debit]]-Nominal_Activity[[#This Row],[Credit]]</f>
        <v>0.67</v>
      </c>
      <c r="N850" s="1" t="str">
        <f aca="false">IF(C850="","",IFERROR(VLOOKUP(C850,Master_Mappings!$A$4:$E$85,3,FALSE()),"UNMAPPED"))</f>
        <v>Financial Charges</v>
      </c>
      <c r="P850" s="1" t="str">
        <f aca="false">IF($C850="","",$C850&amp;"|"&amp;$E850&amp;"|"&amp;$M850&amp;"|"&amp;TEXT($G850,"yyyy-mm-dd")&amp;"|"&amp;LEFT($J850,40))</f>
        <v>7910|43934|0.67|2026-06-15|Bank charges</v>
      </c>
      <c r="Q850" s="11" t="str">
        <f aca="false">IF(P850="","",IF(COUNTIF($P$2:$P$3000,P850)&gt;1,"DUPLICATE","OK"))</f>
        <v>OK</v>
      </c>
      <c r="R850" s="0" t="str">
        <f aca="false">IF($C850="","",IFERROR(VLOOKUP(--$C850,MM_Income!$Z$5:$AC$204,3,FALSE()),""))</f>
        <v>Excluded — Overhead (in fixed costs)</v>
      </c>
    </row>
    <row r="851" customFormat="false" ht="14.9" hidden="false" customHeight="false" outlineLevel="0" collapsed="false">
      <c r="A851" s="1" t="s">
        <v>49</v>
      </c>
      <c r="B851" s="1" t="s">
        <v>89</v>
      </c>
      <c r="C851" s="1" t="n">
        <v>7910</v>
      </c>
      <c r="D851" s="1" t="s">
        <v>762</v>
      </c>
      <c r="E851" s="1" t="n">
        <v>43936</v>
      </c>
      <c r="F851" s="1" t="s">
        <v>869</v>
      </c>
      <c r="G851" s="140" t="n">
        <v>46192</v>
      </c>
      <c r="H851" s="1" t="n">
        <v>1230</v>
      </c>
      <c r="I851" s="1" t="s">
        <v>1662</v>
      </c>
      <c r="J851" s="1" t="s">
        <v>1686</v>
      </c>
      <c r="K851" s="1" t="n">
        <v>0.52</v>
      </c>
      <c r="M851" s="125" t="n">
        <f aca="false">Nominal_Activity[[#This Row],[Debit]]-Nominal_Activity[[#This Row],[Credit]]</f>
        <v>0.52</v>
      </c>
      <c r="N851" s="1" t="str">
        <f aca="false">IF(C851="","",IFERROR(VLOOKUP(C851,Master_Mappings!$A$4:$E$85,3,FALSE()),"UNMAPPED"))</f>
        <v>Financial Charges</v>
      </c>
      <c r="P851" s="1" t="str">
        <f aca="false">IF($C851="","",$C851&amp;"|"&amp;$E851&amp;"|"&amp;$M851&amp;"|"&amp;TEXT($G851,"yyyy-mm-dd")&amp;"|"&amp;LEFT($J851,40))</f>
        <v>7910|43936|0.52|2026-06-19|Bank charges</v>
      </c>
      <c r="Q851" s="11" t="str">
        <f aca="false">IF(P851="","",IF(COUNTIF($P$2:$P$3000,P851)&gt;1,"DUPLICATE","OK"))</f>
        <v>OK</v>
      </c>
      <c r="R851" s="0" t="str">
        <f aca="false">IF($C851="","",IFERROR(VLOOKUP(--$C851,MM_Income!$Z$5:$AC$204,3,FALSE()),""))</f>
        <v>Excluded — Overhead (in fixed costs)</v>
      </c>
    </row>
    <row r="852" customFormat="false" ht="14.9" hidden="false" customHeight="false" outlineLevel="0" collapsed="false">
      <c r="A852" s="1" t="s">
        <v>49</v>
      </c>
      <c r="B852" s="1" t="s">
        <v>89</v>
      </c>
      <c r="C852" s="1" t="n">
        <v>7910</v>
      </c>
      <c r="D852" s="1" t="s">
        <v>762</v>
      </c>
      <c r="E852" s="1" t="n">
        <v>43938</v>
      </c>
      <c r="F852" s="1" t="s">
        <v>869</v>
      </c>
      <c r="G852" s="140" t="n">
        <v>46192</v>
      </c>
      <c r="H852" s="1" t="n">
        <v>1230</v>
      </c>
      <c r="I852" s="1" t="s">
        <v>1526</v>
      </c>
      <c r="J852" s="1" t="s">
        <v>1686</v>
      </c>
      <c r="K852" s="1" t="n">
        <v>0.7</v>
      </c>
      <c r="M852" s="125" t="n">
        <f aca="false">Nominal_Activity[[#This Row],[Debit]]-Nominal_Activity[[#This Row],[Credit]]</f>
        <v>0.7</v>
      </c>
      <c r="N852" s="1" t="str">
        <f aca="false">IF(C852="","",IFERROR(VLOOKUP(C852,Master_Mappings!$A$4:$E$85,3,FALSE()),"UNMAPPED"))</f>
        <v>Financial Charges</v>
      </c>
      <c r="P852" s="1" t="str">
        <f aca="false">IF($C852="","",$C852&amp;"|"&amp;$E852&amp;"|"&amp;$M852&amp;"|"&amp;TEXT($G852,"yyyy-mm-dd")&amp;"|"&amp;LEFT($J852,40))</f>
        <v>7910|43938|0.7|2026-06-19|Bank charges</v>
      </c>
      <c r="Q852" s="11" t="str">
        <f aca="false">IF(P852="","",IF(COUNTIF($P$2:$P$3000,P852)&gt;1,"DUPLICATE","OK"))</f>
        <v>OK</v>
      </c>
      <c r="R852" s="0" t="str">
        <f aca="false">IF($C852="","",IFERROR(VLOOKUP(--$C852,MM_Income!$Z$5:$AC$204,3,FALSE()),""))</f>
        <v>Excluded — Overhead (in fixed costs)</v>
      </c>
    </row>
    <row r="853" customFormat="false" ht="14.9" hidden="false" customHeight="false" outlineLevel="0" collapsed="false">
      <c r="A853" s="1" t="s">
        <v>49</v>
      </c>
      <c r="B853" s="1" t="s">
        <v>89</v>
      </c>
      <c r="C853" s="1" t="n">
        <v>7910</v>
      </c>
      <c r="D853" s="1" t="s">
        <v>762</v>
      </c>
      <c r="E853" s="1" t="n">
        <v>43942</v>
      </c>
      <c r="F853" s="1" t="s">
        <v>869</v>
      </c>
      <c r="G853" s="140" t="n">
        <v>46190</v>
      </c>
      <c r="H853" s="1" t="n">
        <v>1230</v>
      </c>
      <c r="I853" s="1" t="s">
        <v>1662</v>
      </c>
      <c r="J853" s="1" t="s">
        <v>1686</v>
      </c>
      <c r="K853" s="1" t="n">
        <v>6.24</v>
      </c>
      <c r="M853" s="125" t="n">
        <f aca="false">Nominal_Activity[[#This Row],[Debit]]-Nominal_Activity[[#This Row],[Credit]]</f>
        <v>6.24</v>
      </c>
      <c r="N853" s="1" t="str">
        <f aca="false">IF(C853="","",IFERROR(VLOOKUP(C853,Master_Mappings!$A$4:$E$85,3,FALSE()),"UNMAPPED"))</f>
        <v>Financial Charges</v>
      </c>
      <c r="P853" s="1" t="str">
        <f aca="false">IF($C853="","",$C853&amp;"|"&amp;$E853&amp;"|"&amp;$M853&amp;"|"&amp;TEXT($G853,"yyyy-mm-dd")&amp;"|"&amp;LEFT($J853,40))</f>
        <v>7910|43942|6.24|2026-06-17|Bank charges</v>
      </c>
      <c r="Q853" s="11" t="str">
        <f aca="false">IF(P853="","",IF(COUNTIF($P$2:$P$3000,P853)&gt;1,"DUPLICATE","OK"))</f>
        <v>OK</v>
      </c>
      <c r="R853" s="0" t="str">
        <f aca="false">IF($C853="","",IFERROR(VLOOKUP(--$C853,MM_Income!$Z$5:$AC$204,3,FALSE()),""))</f>
        <v>Excluded — Overhead (in fixed costs)</v>
      </c>
    </row>
    <row r="854" customFormat="false" ht="14.9" hidden="false" customHeight="false" outlineLevel="0" collapsed="false">
      <c r="A854" s="1" t="s">
        <v>49</v>
      </c>
      <c r="B854" s="1" t="s">
        <v>89</v>
      </c>
      <c r="C854" s="1" t="n">
        <v>7910</v>
      </c>
      <c r="D854" s="1" t="s">
        <v>762</v>
      </c>
      <c r="E854" s="1" t="n">
        <v>44030</v>
      </c>
      <c r="F854" s="1" t="s">
        <v>914</v>
      </c>
      <c r="G854" s="140" t="n">
        <v>46197</v>
      </c>
      <c r="H854" s="1" t="n">
        <v>1210</v>
      </c>
      <c r="J854" s="1" t="s">
        <v>1694</v>
      </c>
      <c r="K854" s="1" t="n">
        <v>93.06</v>
      </c>
      <c r="M854" s="125" t="n">
        <f aca="false">Nominal_Activity[[#This Row],[Debit]]-Nominal_Activity[[#This Row],[Credit]]</f>
        <v>93.06</v>
      </c>
      <c r="N854" s="1" t="str">
        <f aca="false">IF(C854="","",IFERROR(VLOOKUP(C854,Master_Mappings!$A$4:$E$85,3,FALSE()),"UNMAPPED"))</f>
        <v>Financial Charges</v>
      </c>
      <c r="P854" s="1" t="str">
        <f aca="false">IF($C854="","",$C854&amp;"|"&amp;$E854&amp;"|"&amp;$M854&amp;"|"&amp;TEXT($G854,"yyyy-mm-dd")&amp;"|"&amp;LEFT($J854,40))</f>
        <v>7910|44030|93.06|2026-06-24|Bank Charges for Visa Statement Request</v>
      </c>
      <c r="Q854" s="11" t="str">
        <f aca="false">IF(P854="","",IF(COUNTIF($P$2:$P$3000,P854)&gt;1,"DUPLICATE","OK"))</f>
        <v>OK</v>
      </c>
      <c r="R854" s="0" t="str">
        <f aca="false">IF($C854="","",IFERROR(VLOOKUP(--$C854,MM_Income!$Z$5:$AC$204,3,FALSE()),""))</f>
        <v>Excluded — Overhead (in fixed costs)</v>
      </c>
    </row>
    <row r="855" customFormat="false" ht="14.9" hidden="false" customHeight="false" outlineLevel="0" collapsed="false">
      <c r="A855" s="1" t="s">
        <v>49</v>
      </c>
      <c r="B855" s="1" t="s">
        <v>89</v>
      </c>
      <c r="C855" s="1" t="n">
        <v>7910</v>
      </c>
      <c r="D855" s="1" t="s">
        <v>762</v>
      </c>
      <c r="E855" s="1" t="n">
        <v>44032</v>
      </c>
      <c r="F855" s="1" t="s">
        <v>914</v>
      </c>
      <c r="G855" s="140" t="n">
        <v>46202</v>
      </c>
      <c r="H855" s="1" t="n">
        <v>1210</v>
      </c>
      <c r="I855" s="1" t="s">
        <v>1695</v>
      </c>
      <c r="J855" s="1" t="s">
        <v>762</v>
      </c>
      <c r="K855" s="1" t="n">
        <v>428</v>
      </c>
      <c r="M855" s="125" t="n">
        <f aca="false">Nominal_Activity[[#This Row],[Debit]]-Nominal_Activity[[#This Row],[Credit]]</f>
        <v>428</v>
      </c>
      <c r="N855" s="1" t="str">
        <f aca="false">IF(C855="","",IFERROR(VLOOKUP(C855,Master_Mappings!$A$4:$E$85,3,FALSE()),"UNMAPPED"))</f>
        <v>Financial Charges</v>
      </c>
      <c r="P855" s="1" t="str">
        <f aca="false">IF($C855="","",$C855&amp;"|"&amp;$E855&amp;"|"&amp;$M855&amp;"|"&amp;TEXT($G855,"yyyy-mm-dd")&amp;"|"&amp;LEFT($J855,40))</f>
        <v>7910|44032|428|2026-06-29|Bank Charges</v>
      </c>
      <c r="Q855" s="11" t="str">
        <f aca="false">IF(P855="","",IF(COUNTIF($P$2:$P$3000,P855)&gt;1,"DUPLICATE","OK"))</f>
        <v>OK</v>
      </c>
      <c r="R855" s="0" t="str">
        <f aca="false">IF($C855="","",IFERROR(VLOOKUP(--$C855,MM_Income!$Z$5:$AC$204,3,FALSE()),""))</f>
        <v>Excluded — Overhead (in fixed costs)</v>
      </c>
    </row>
    <row r="856" customFormat="false" ht="14.9" hidden="false" customHeight="false" outlineLevel="0" collapsed="false">
      <c r="A856" s="1" t="s">
        <v>49</v>
      </c>
      <c r="B856" s="1" t="s">
        <v>89</v>
      </c>
      <c r="C856" s="1" t="n">
        <v>7910</v>
      </c>
      <c r="D856" s="1" t="s">
        <v>762</v>
      </c>
      <c r="E856" s="1" t="n">
        <v>44033</v>
      </c>
      <c r="F856" s="1" t="s">
        <v>914</v>
      </c>
      <c r="G856" s="140" t="n">
        <v>46202</v>
      </c>
      <c r="H856" s="1" t="n">
        <v>1210</v>
      </c>
      <c r="I856" s="1" t="s">
        <v>1695</v>
      </c>
      <c r="J856" s="1" t="s">
        <v>762</v>
      </c>
      <c r="K856" s="1" t="n">
        <v>481.5</v>
      </c>
      <c r="M856" s="125" t="n">
        <f aca="false">Nominal_Activity[[#This Row],[Debit]]-Nominal_Activity[[#This Row],[Credit]]</f>
        <v>481.5</v>
      </c>
      <c r="N856" s="1" t="str">
        <f aca="false">IF(C856="","",IFERROR(VLOOKUP(C856,Master_Mappings!$A$4:$E$85,3,FALSE()),"UNMAPPED"))</f>
        <v>Financial Charges</v>
      </c>
      <c r="P856" s="1" t="str">
        <f aca="false">IF($C856="","",$C856&amp;"|"&amp;$E856&amp;"|"&amp;$M856&amp;"|"&amp;TEXT($G856,"yyyy-mm-dd")&amp;"|"&amp;LEFT($J856,40))</f>
        <v>7910|44033|481.5|2026-06-29|Bank Charges</v>
      </c>
      <c r="Q856" s="11" t="str">
        <f aca="false">IF(P856="","",IF(COUNTIF($P$2:$P$3000,P856)&gt;1,"DUPLICATE","OK"))</f>
        <v>OK</v>
      </c>
      <c r="R856" s="0" t="str">
        <f aca="false">IF($C856="","",IFERROR(VLOOKUP(--$C856,MM_Income!$Z$5:$AC$204,3,FALSE()),""))</f>
        <v>Excluded — Overhead (in fixed costs)</v>
      </c>
    </row>
    <row r="857" customFormat="false" ht="14.9" hidden="false" customHeight="false" outlineLevel="0" collapsed="false">
      <c r="A857" s="1" t="s">
        <v>49</v>
      </c>
      <c r="B857" s="1" t="s">
        <v>89</v>
      </c>
      <c r="C857" s="1" t="n">
        <v>7910</v>
      </c>
      <c r="D857" s="1" t="s">
        <v>762</v>
      </c>
      <c r="E857" s="1" t="n">
        <v>44035</v>
      </c>
      <c r="F857" s="1" t="s">
        <v>914</v>
      </c>
      <c r="G857" s="140" t="n">
        <v>46174</v>
      </c>
      <c r="H857" s="1" t="n">
        <v>1200</v>
      </c>
      <c r="J857" s="1" t="s">
        <v>1696</v>
      </c>
      <c r="K857" s="1" t="n">
        <v>16.65</v>
      </c>
      <c r="M857" s="125" t="n">
        <f aca="false">Nominal_Activity[[#This Row],[Debit]]-Nominal_Activity[[#This Row],[Credit]]</f>
        <v>16.65</v>
      </c>
      <c r="N857" s="1" t="str">
        <f aca="false">IF(C857="","",IFERROR(VLOOKUP(C857,Master_Mappings!$A$4:$E$85,3,FALSE()),"UNMAPPED"))</f>
        <v>Financial Charges</v>
      </c>
      <c r="P857" s="1" t="str">
        <f aca="false">IF($C857="","",$C857&amp;"|"&amp;$E857&amp;"|"&amp;$M857&amp;"|"&amp;TEXT($G857,"yyyy-mm-dd")&amp;"|"&amp;LEFT($J857,40))</f>
        <v>7910|44035|16.65|2026-06-01|Bank Charges for Purchase of Microphone </v>
      </c>
      <c r="Q857" s="11" t="str">
        <f aca="false">IF(P857="","",IF(COUNTIF($P$2:$P$3000,P857)&gt;1,"DUPLICATE","OK"))</f>
        <v>OK</v>
      </c>
      <c r="R857" s="0" t="str">
        <f aca="false">IF($C857="","",IFERROR(VLOOKUP(--$C857,MM_Income!$Z$5:$AC$204,3,FALSE()),""))</f>
        <v>Excluded — Overhead (in fixed costs)</v>
      </c>
    </row>
    <row r="858" customFormat="false" ht="14.9" hidden="false" customHeight="false" outlineLevel="0" collapsed="false">
      <c r="A858" s="1" t="s">
        <v>49</v>
      </c>
      <c r="B858" s="1" t="s">
        <v>89</v>
      </c>
      <c r="C858" s="1" t="n">
        <v>7910</v>
      </c>
      <c r="D858" s="1" t="s">
        <v>762</v>
      </c>
      <c r="E858" s="1" t="n">
        <v>44036</v>
      </c>
      <c r="F858" s="1" t="s">
        <v>914</v>
      </c>
      <c r="G858" s="140" t="n">
        <v>46174</v>
      </c>
      <c r="H858" s="1" t="n">
        <v>1200</v>
      </c>
      <c r="J858" s="1" t="s">
        <v>1697</v>
      </c>
      <c r="K858" s="1" t="n">
        <v>200</v>
      </c>
      <c r="M858" s="125" t="n">
        <f aca="false">Nominal_Activity[[#This Row],[Debit]]-Nominal_Activity[[#This Row],[Credit]]</f>
        <v>200</v>
      </c>
      <c r="N858" s="1" t="str">
        <f aca="false">IF(C858="","",IFERROR(VLOOKUP(C858,Master_Mappings!$A$4:$E$85,3,FALSE()),"UNMAPPED"))</f>
        <v>Financial Charges</v>
      </c>
      <c r="P858" s="1" t="str">
        <f aca="false">IF($C858="","",$C858&amp;"|"&amp;$E858&amp;"|"&amp;$M858&amp;"|"&amp;TEXT($G858,"yyyy-mm-dd")&amp;"|"&amp;LEFT($J858,40))</f>
        <v>7910|44036|200|2026-06-01|Bank Charges for Bank Confirmation durin</v>
      </c>
      <c r="Q858" s="11" t="str">
        <f aca="false">IF(P858="","",IF(COUNTIF($P$2:$P$3000,P858)&gt;1,"DUPLICATE","OK"))</f>
        <v>OK</v>
      </c>
      <c r="R858" s="0" t="str">
        <f aca="false">IF($C858="","",IFERROR(VLOOKUP(--$C858,MM_Income!$Z$5:$AC$204,3,FALSE()),""))</f>
        <v>Excluded — Overhead (in fixed costs)</v>
      </c>
    </row>
    <row r="859" customFormat="false" ht="14.9" hidden="false" customHeight="false" outlineLevel="0" collapsed="false">
      <c r="A859" s="1" t="s">
        <v>49</v>
      </c>
      <c r="B859" s="1" t="s">
        <v>89</v>
      </c>
      <c r="C859" s="1" t="n">
        <v>7910</v>
      </c>
      <c r="D859" s="1" t="s">
        <v>762</v>
      </c>
      <c r="E859" s="1" t="n">
        <v>44047</v>
      </c>
      <c r="F859" s="1" t="s">
        <v>914</v>
      </c>
      <c r="G859" s="140" t="n">
        <v>46177</v>
      </c>
      <c r="H859" s="1" t="n">
        <v>1200</v>
      </c>
      <c r="J859" s="1" t="s">
        <v>762</v>
      </c>
      <c r="K859" s="1" t="n">
        <v>5</v>
      </c>
      <c r="M859" s="125" t="n">
        <f aca="false">Nominal_Activity[[#This Row],[Debit]]-Nominal_Activity[[#This Row],[Credit]]</f>
        <v>5</v>
      </c>
      <c r="N859" s="1" t="str">
        <f aca="false">IF(C859="","",IFERROR(VLOOKUP(C859,Master_Mappings!$A$4:$E$85,3,FALSE()),"UNMAPPED"))</f>
        <v>Financial Charges</v>
      </c>
      <c r="P859" s="1" t="str">
        <f aca="false">IF($C859="","",$C859&amp;"|"&amp;$E859&amp;"|"&amp;$M859&amp;"|"&amp;TEXT($G859,"yyyy-mm-dd")&amp;"|"&amp;LEFT($J859,40))</f>
        <v>7910|44047|5|2026-06-04|Bank Charges</v>
      </c>
      <c r="Q859" s="11" t="str">
        <f aca="false">IF(P859="","",IF(COUNTIF($P$2:$P$3000,P859)&gt;1,"DUPLICATE","OK"))</f>
        <v>OK</v>
      </c>
      <c r="R859" s="0" t="str">
        <f aca="false">IF($C859="","",IFERROR(VLOOKUP(--$C859,MM_Income!$Z$5:$AC$204,3,FALSE()),""))</f>
        <v>Excluded — Overhead (in fixed costs)</v>
      </c>
    </row>
    <row r="860" customFormat="false" ht="14.9" hidden="false" customHeight="false" outlineLevel="0" collapsed="false">
      <c r="A860" s="1" t="s">
        <v>49</v>
      </c>
      <c r="B860" s="1" t="s">
        <v>89</v>
      </c>
      <c r="C860" s="1" t="n">
        <v>7910</v>
      </c>
      <c r="D860" s="1" t="s">
        <v>762</v>
      </c>
      <c r="E860" s="1" t="n">
        <v>44055</v>
      </c>
      <c r="F860" s="1" t="s">
        <v>914</v>
      </c>
      <c r="G860" s="140" t="n">
        <v>46178</v>
      </c>
      <c r="H860" s="1" t="n">
        <v>1200</v>
      </c>
      <c r="J860" s="1" t="s">
        <v>762</v>
      </c>
      <c r="K860" s="1" t="n">
        <v>47.8</v>
      </c>
      <c r="M860" s="125" t="n">
        <f aca="false">Nominal_Activity[[#This Row],[Debit]]-Nominal_Activity[[#This Row],[Credit]]</f>
        <v>47.8</v>
      </c>
      <c r="N860" s="1" t="str">
        <f aca="false">IF(C860="","",IFERROR(VLOOKUP(C860,Master_Mappings!$A$4:$E$85,3,FALSE()),"UNMAPPED"))</f>
        <v>Financial Charges</v>
      </c>
      <c r="P860" s="1" t="str">
        <f aca="false">IF($C860="","",$C860&amp;"|"&amp;$E860&amp;"|"&amp;$M860&amp;"|"&amp;TEXT($G860,"yyyy-mm-dd")&amp;"|"&amp;LEFT($J860,40))</f>
        <v>7910|44055|47.8|2026-06-05|Bank Charges</v>
      </c>
      <c r="Q860" s="11" t="str">
        <f aca="false">IF(P860="","",IF(COUNTIF($P$2:$P$3000,P860)&gt;1,"DUPLICATE","OK"))</f>
        <v>OK</v>
      </c>
      <c r="R860" s="0" t="str">
        <f aca="false">IF($C860="","",IFERROR(VLOOKUP(--$C860,MM_Income!$Z$5:$AC$204,3,FALSE()),""))</f>
        <v>Excluded — Overhead (in fixed costs)</v>
      </c>
    </row>
    <row r="861" customFormat="false" ht="14.9" hidden="false" customHeight="false" outlineLevel="0" collapsed="false">
      <c r="A861" s="1" t="s">
        <v>49</v>
      </c>
      <c r="B861" s="1" t="s">
        <v>89</v>
      </c>
      <c r="C861" s="1" t="n">
        <v>7910</v>
      </c>
      <c r="D861" s="1" t="s">
        <v>762</v>
      </c>
      <c r="E861" s="1" t="n">
        <v>44056</v>
      </c>
      <c r="F861" s="1" t="s">
        <v>914</v>
      </c>
      <c r="G861" s="140" t="n">
        <v>46178</v>
      </c>
      <c r="H861" s="1" t="n">
        <v>1200</v>
      </c>
      <c r="J861" s="1" t="s">
        <v>762</v>
      </c>
      <c r="K861" s="1" t="n">
        <v>10</v>
      </c>
      <c r="M861" s="125" t="n">
        <f aca="false">Nominal_Activity[[#This Row],[Debit]]-Nominal_Activity[[#This Row],[Credit]]</f>
        <v>10</v>
      </c>
      <c r="N861" s="1" t="str">
        <f aca="false">IF(C861="","",IFERROR(VLOOKUP(C861,Master_Mappings!$A$4:$E$85,3,FALSE()),"UNMAPPED"))</f>
        <v>Financial Charges</v>
      </c>
      <c r="P861" s="1" t="str">
        <f aca="false">IF($C861="","",$C861&amp;"|"&amp;$E861&amp;"|"&amp;$M861&amp;"|"&amp;TEXT($G861,"yyyy-mm-dd")&amp;"|"&amp;LEFT($J861,40))</f>
        <v>7910|44056|10|2026-06-05|Bank Charges</v>
      </c>
      <c r="Q861" s="11" t="str">
        <f aca="false">IF(P861="","",IF(COUNTIF($P$2:$P$3000,P861)&gt;1,"DUPLICATE","OK"))</f>
        <v>OK</v>
      </c>
      <c r="R861" s="0" t="str">
        <f aca="false">IF($C861="","",IFERROR(VLOOKUP(--$C861,MM_Income!$Z$5:$AC$204,3,FALSE()),""))</f>
        <v>Excluded — Overhead (in fixed costs)</v>
      </c>
    </row>
    <row r="862" customFormat="false" ht="14.9" hidden="false" customHeight="false" outlineLevel="0" collapsed="false">
      <c r="A862" s="1" t="s">
        <v>49</v>
      </c>
      <c r="B862" s="1" t="s">
        <v>89</v>
      </c>
      <c r="C862" s="1" t="n">
        <v>7910</v>
      </c>
      <c r="D862" s="1" t="s">
        <v>762</v>
      </c>
      <c r="E862" s="1" t="n">
        <v>44084</v>
      </c>
      <c r="F862" s="1" t="s">
        <v>914</v>
      </c>
      <c r="G862" s="140" t="n">
        <v>46178</v>
      </c>
      <c r="H862" s="1" t="n">
        <v>1200</v>
      </c>
      <c r="J862" s="1" t="s">
        <v>762</v>
      </c>
      <c r="K862" s="1" t="n">
        <v>32</v>
      </c>
      <c r="M862" s="125" t="n">
        <f aca="false">Nominal_Activity[[#This Row],[Debit]]-Nominal_Activity[[#This Row],[Credit]]</f>
        <v>32</v>
      </c>
      <c r="N862" s="1" t="str">
        <f aca="false">IF(C862="","",IFERROR(VLOOKUP(C862,Master_Mappings!$A$4:$E$85,3,FALSE()),"UNMAPPED"))</f>
        <v>Financial Charges</v>
      </c>
      <c r="P862" s="1" t="str">
        <f aca="false">IF($C862="","",$C862&amp;"|"&amp;$E862&amp;"|"&amp;$M862&amp;"|"&amp;TEXT($G862,"yyyy-mm-dd")&amp;"|"&amp;LEFT($J862,40))</f>
        <v>7910|44084|32|2026-06-05|Bank Charges</v>
      </c>
      <c r="Q862" s="11" t="str">
        <f aca="false">IF(P862="","",IF(COUNTIF($P$2:$P$3000,P862)&gt;1,"DUPLICATE","OK"))</f>
        <v>OK</v>
      </c>
      <c r="R862" s="0" t="str">
        <f aca="false">IF($C862="","",IFERROR(VLOOKUP(--$C862,MM_Income!$Z$5:$AC$204,3,FALSE()),""))</f>
        <v>Excluded — Overhead (in fixed costs)</v>
      </c>
    </row>
    <row r="863" customFormat="false" ht="14.9" hidden="false" customHeight="false" outlineLevel="0" collapsed="false">
      <c r="A863" s="1" t="s">
        <v>49</v>
      </c>
      <c r="B863" s="1" t="s">
        <v>89</v>
      </c>
      <c r="C863" s="1" t="n">
        <v>7910</v>
      </c>
      <c r="D863" s="1" t="s">
        <v>762</v>
      </c>
      <c r="E863" s="1" t="n">
        <v>44085</v>
      </c>
      <c r="F863" s="1" t="s">
        <v>914</v>
      </c>
      <c r="G863" s="140" t="n">
        <v>46182</v>
      </c>
      <c r="H863" s="1" t="n">
        <v>1200</v>
      </c>
      <c r="J863" s="1" t="s">
        <v>762</v>
      </c>
      <c r="K863" s="1" t="n">
        <v>13.9</v>
      </c>
      <c r="M863" s="125" t="n">
        <f aca="false">Nominal_Activity[[#This Row],[Debit]]-Nominal_Activity[[#This Row],[Credit]]</f>
        <v>13.9</v>
      </c>
      <c r="N863" s="1" t="str">
        <f aca="false">IF(C863="","",IFERROR(VLOOKUP(C863,Master_Mappings!$A$4:$E$85,3,FALSE()),"UNMAPPED"))</f>
        <v>Financial Charges</v>
      </c>
      <c r="P863" s="1" t="str">
        <f aca="false">IF($C863="","",$C863&amp;"|"&amp;$E863&amp;"|"&amp;$M863&amp;"|"&amp;TEXT($G863,"yyyy-mm-dd")&amp;"|"&amp;LEFT($J863,40))</f>
        <v>7910|44085|13.9|2026-06-09|Bank Charges</v>
      </c>
      <c r="Q863" s="11" t="str">
        <f aca="false">IF(P863="","",IF(COUNTIF($P$2:$P$3000,P863)&gt;1,"DUPLICATE","OK"))</f>
        <v>OK</v>
      </c>
      <c r="R863" s="0" t="str">
        <f aca="false">IF($C863="","",IFERROR(VLOOKUP(--$C863,MM_Income!$Z$5:$AC$204,3,FALSE()),""))</f>
        <v>Excluded — Overhead (in fixed costs)</v>
      </c>
    </row>
    <row r="864" customFormat="false" ht="14.9" hidden="false" customHeight="false" outlineLevel="0" collapsed="false">
      <c r="A864" s="1" t="s">
        <v>49</v>
      </c>
      <c r="B864" s="1" t="s">
        <v>89</v>
      </c>
      <c r="C864" s="1" t="n">
        <v>7910</v>
      </c>
      <c r="D864" s="1" t="s">
        <v>762</v>
      </c>
      <c r="E864" s="1" t="n">
        <v>44092</v>
      </c>
      <c r="F864" s="1" t="s">
        <v>914</v>
      </c>
      <c r="G864" s="140" t="n">
        <v>46189</v>
      </c>
      <c r="H864" s="1" t="n">
        <v>1200</v>
      </c>
      <c r="J864" s="1" t="s">
        <v>762</v>
      </c>
      <c r="K864" s="1" t="n">
        <v>5</v>
      </c>
      <c r="M864" s="125" t="n">
        <f aca="false">Nominal_Activity[[#This Row],[Debit]]-Nominal_Activity[[#This Row],[Credit]]</f>
        <v>5</v>
      </c>
      <c r="N864" s="1" t="str">
        <f aca="false">IF(C864="","",IFERROR(VLOOKUP(C864,Master_Mappings!$A$4:$E$85,3,FALSE()),"UNMAPPED"))</f>
        <v>Financial Charges</v>
      </c>
      <c r="P864" s="1" t="str">
        <f aca="false">IF($C864="","",$C864&amp;"|"&amp;$E864&amp;"|"&amp;$M864&amp;"|"&amp;TEXT($G864,"yyyy-mm-dd")&amp;"|"&amp;LEFT($J864,40))</f>
        <v>7910|44092|5|2026-06-16|Bank Charges</v>
      </c>
      <c r="Q864" s="11" t="str">
        <f aca="false">IF(P864="","",IF(COUNTIF($P$2:$P$3000,P864)&gt;1,"DUPLICATE","OK"))</f>
        <v>OK</v>
      </c>
      <c r="R864" s="0" t="str">
        <f aca="false">IF($C864="","",IFERROR(VLOOKUP(--$C864,MM_Income!$Z$5:$AC$204,3,FALSE()),""))</f>
        <v>Excluded — Overhead (in fixed costs)</v>
      </c>
    </row>
    <row r="865" customFormat="false" ht="14.9" hidden="false" customHeight="false" outlineLevel="0" collapsed="false">
      <c r="A865" s="1" t="s">
        <v>49</v>
      </c>
      <c r="B865" s="1" t="s">
        <v>89</v>
      </c>
      <c r="C865" s="1" t="n">
        <v>7910</v>
      </c>
      <c r="D865" s="1" t="s">
        <v>762</v>
      </c>
      <c r="E865" s="1" t="n">
        <v>44096</v>
      </c>
      <c r="F865" s="1" t="s">
        <v>914</v>
      </c>
      <c r="G865" s="140" t="n">
        <v>46191</v>
      </c>
      <c r="H865" s="1" t="n">
        <v>1200</v>
      </c>
      <c r="J865" s="1" t="s">
        <v>762</v>
      </c>
      <c r="K865" s="1" t="n">
        <v>15</v>
      </c>
      <c r="M865" s="125" t="n">
        <f aca="false">Nominal_Activity[[#This Row],[Debit]]-Nominal_Activity[[#This Row],[Credit]]</f>
        <v>15</v>
      </c>
      <c r="N865" s="1" t="str">
        <f aca="false">IF(C865="","",IFERROR(VLOOKUP(C865,Master_Mappings!$A$4:$E$85,3,FALSE()),"UNMAPPED"))</f>
        <v>Financial Charges</v>
      </c>
      <c r="P865" s="1" t="str">
        <f aca="false">IF($C865="","",$C865&amp;"|"&amp;$E865&amp;"|"&amp;$M865&amp;"|"&amp;TEXT($G865,"yyyy-mm-dd")&amp;"|"&amp;LEFT($J865,40))</f>
        <v>7910|44096|15|2026-06-18|Bank Charges</v>
      </c>
      <c r="Q865" s="11" t="str">
        <f aca="false">IF(P865="","",IF(COUNTIF($P$2:$P$3000,P865)&gt;1,"DUPLICATE","OK"))</f>
        <v>OK</v>
      </c>
      <c r="R865" s="0" t="str">
        <f aca="false">IF($C865="","",IFERROR(VLOOKUP(--$C865,MM_Income!$Z$5:$AC$204,3,FALSE()),""))</f>
        <v>Excluded — Overhead (in fixed costs)</v>
      </c>
    </row>
    <row r="866" customFormat="false" ht="14.9" hidden="false" customHeight="false" outlineLevel="0" collapsed="false">
      <c r="A866" s="1" t="s">
        <v>49</v>
      </c>
      <c r="B866" s="1" t="s">
        <v>89</v>
      </c>
      <c r="C866" s="1" t="n">
        <v>7910</v>
      </c>
      <c r="D866" s="1" t="s">
        <v>762</v>
      </c>
      <c r="E866" s="1" t="n">
        <v>44106</v>
      </c>
      <c r="F866" s="1" t="s">
        <v>914</v>
      </c>
      <c r="G866" s="140" t="n">
        <v>46197</v>
      </c>
      <c r="H866" s="1" t="n">
        <v>1200</v>
      </c>
      <c r="J866" s="1" t="s">
        <v>762</v>
      </c>
      <c r="K866" s="1" t="n">
        <v>21</v>
      </c>
      <c r="M866" s="125" t="n">
        <f aca="false">Nominal_Activity[[#This Row],[Debit]]-Nominal_Activity[[#This Row],[Credit]]</f>
        <v>21</v>
      </c>
      <c r="N866" s="1" t="str">
        <f aca="false">IF(C866="","",IFERROR(VLOOKUP(C866,Master_Mappings!$A$4:$E$85,3,FALSE()),"UNMAPPED"))</f>
        <v>Financial Charges</v>
      </c>
      <c r="P866" s="1" t="str">
        <f aca="false">IF($C866="","",$C866&amp;"|"&amp;$E866&amp;"|"&amp;$M866&amp;"|"&amp;TEXT($G866,"yyyy-mm-dd")&amp;"|"&amp;LEFT($J866,40))</f>
        <v>7910|44106|21|2026-06-24|Bank Charges</v>
      </c>
      <c r="Q866" s="11" t="str">
        <f aca="false">IF(P866="","",IF(COUNTIF($P$2:$P$3000,P866)&gt;1,"DUPLICATE","OK"))</f>
        <v>OK</v>
      </c>
      <c r="R866" s="0" t="str">
        <f aca="false">IF($C866="","",IFERROR(VLOOKUP(--$C866,MM_Income!$Z$5:$AC$204,3,FALSE()),""))</f>
        <v>Excluded — Overhead (in fixed costs)</v>
      </c>
    </row>
    <row r="867" customFormat="false" ht="14.9" hidden="false" customHeight="false" outlineLevel="0" collapsed="false">
      <c r="A867" s="1" t="s">
        <v>49</v>
      </c>
      <c r="B867" s="1" t="s">
        <v>89</v>
      </c>
      <c r="C867" s="1" t="n">
        <v>7910</v>
      </c>
      <c r="D867" s="1" t="s">
        <v>762</v>
      </c>
      <c r="E867" s="1" t="n">
        <v>44107</v>
      </c>
      <c r="F867" s="1" t="s">
        <v>914</v>
      </c>
      <c r="G867" s="140" t="n">
        <v>46197</v>
      </c>
      <c r="H867" s="1" t="n">
        <v>1200</v>
      </c>
      <c r="J867" s="1" t="s">
        <v>762</v>
      </c>
      <c r="K867" s="1" t="n">
        <v>16.8</v>
      </c>
      <c r="M867" s="125" t="n">
        <f aca="false">Nominal_Activity[[#This Row],[Debit]]-Nominal_Activity[[#This Row],[Credit]]</f>
        <v>16.8</v>
      </c>
      <c r="N867" s="1" t="str">
        <f aca="false">IF(C867="","",IFERROR(VLOOKUP(C867,Master_Mappings!$A$4:$E$85,3,FALSE()),"UNMAPPED"))</f>
        <v>Financial Charges</v>
      </c>
      <c r="P867" s="1" t="str">
        <f aca="false">IF($C867="","",$C867&amp;"|"&amp;$E867&amp;"|"&amp;$M867&amp;"|"&amp;TEXT($G867,"yyyy-mm-dd")&amp;"|"&amp;LEFT($J867,40))</f>
        <v>7910|44107|16.8|2026-06-24|Bank Charges</v>
      </c>
      <c r="Q867" s="11" t="str">
        <f aca="false">IF(P867="","",IF(COUNTIF($P$2:$P$3000,P867)&gt;1,"DUPLICATE","OK"))</f>
        <v>OK</v>
      </c>
      <c r="R867" s="0" t="str">
        <f aca="false">IF($C867="","",IFERROR(VLOOKUP(--$C867,MM_Income!$Z$5:$AC$204,3,FALSE()),""))</f>
        <v>Excluded — Overhead (in fixed costs)</v>
      </c>
    </row>
    <row r="868" customFormat="false" ht="14.9" hidden="false" customHeight="false" outlineLevel="0" collapsed="false">
      <c r="A868" s="1" t="s">
        <v>49</v>
      </c>
      <c r="B868" s="1" t="s">
        <v>89</v>
      </c>
      <c r="C868" s="1" t="n">
        <v>7910</v>
      </c>
      <c r="D868" s="1" t="s">
        <v>762</v>
      </c>
      <c r="E868" s="1" t="n">
        <v>44108</v>
      </c>
      <c r="F868" s="1" t="s">
        <v>914</v>
      </c>
      <c r="G868" s="140" t="n">
        <v>46197</v>
      </c>
      <c r="H868" s="1" t="n">
        <v>1200</v>
      </c>
      <c r="J868" s="1" t="s">
        <v>762</v>
      </c>
      <c r="K868" s="1" t="n">
        <v>91</v>
      </c>
      <c r="M868" s="125" t="n">
        <f aca="false">Nominal_Activity[[#This Row],[Debit]]-Nominal_Activity[[#This Row],[Credit]]</f>
        <v>91</v>
      </c>
      <c r="N868" s="1" t="str">
        <f aca="false">IF(C868="","",IFERROR(VLOOKUP(C868,Master_Mappings!$A$4:$E$85,3,FALSE()),"UNMAPPED"))</f>
        <v>Financial Charges</v>
      </c>
      <c r="P868" s="1" t="str">
        <f aca="false">IF($C868="","",$C868&amp;"|"&amp;$E868&amp;"|"&amp;$M868&amp;"|"&amp;TEXT($G868,"yyyy-mm-dd")&amp;"|"&amp;LEFT($J868,40))</f>
        <v>7910|44108|91|2026-06-24|Bank Charges</v>
      </c>
      <c r="Q868" s="11" t="str">
        <f aca="false">IF(P868="","",IF(COUNTIF($P$2:$P$3000,P868)&gt;1,"DUPLICATE","OK"))</f>
        <v>OK</v>
      </c>
      <c r="R868" s="0" t="str">
        <f aca="false">IF($C868="","",IFERROR(VLOOKUP(--$C868,MM_Income!$Z$5:$AC$204,3,FALSE()),""))</f>
        <v>Excluded — Overhead (in fixed costs)</v>
      </c>
    </row>
    <row r="869" customFormat="false" ht="14.9" hidden="false" customHeight="false" outlineLevel="0" collapsed="false">
      <c r="A869" s="1" t="s">
        <v>49</v>
      </c>
      <c r="B869" s="1" t="s">
        <v>89</v>
      </c>
      <c r="C869" s="1" t="n">
        <v>7910</v>
      </c>
      <c r="D869" s="1" t="s">
        <v>762</v>
      </c>
      <c r="E869" s="1" t="n">
        <v>44109</v>
      </c>
      <c r="F869" s="1" t="s">
        <v>914</v>
      </c>
      <c r="G869" s="140" t="n">
        <v>46197</v>
      </c>
      <c r="H869" s="1" t="n">
        <v>1200</v>
      </c>
      <c r="J869" s="1" t="s">
        <v>762</v>
      </c>
      <c r="K869" s="1" t="n">
        <v>5</v>
      </c>
      <c r="M869" s="125" t="n">
        <f aca="false">Nominal_Activity[[#This Row],[Debit]]-Nominal_Activity[[#This Row],[Credit]]</f>
        <v>5</v>
      </c>
      <c r="N869" s="1" t="str">
        <f aca="false">IF(C869="","",IFERROR(VLOOKUP(C869,Master_Mappings!$A$4:$E$85,3,FALSE()),"UNMAPPED"))</f>
        <v>Financial Charges</v>
      </c>
      <c r="P869" s="1" t="str">
        <f aca="false">IF($C869="","",$C869&amp;"|"&amp;$E869&amp;"|"&amp;$M869&amp;"|"&amp;TEXT($G869,"yyyy-mm-dd")&amp;"|"&amp;LEFT($J869,40))</f>
        <v>7910|44109|5|2026-06-24|Bank Charges</v>
      </c>
      <c r="Q869" s="11" t="str">
        <f aca="false">IF(P869="","",IF(COUNTIF($P$2:$P$3000,P869)&gt;1,"DUPLICATE","OK"))</f>
        <v>OK</v>
      </c>
      <c r="R869" s="0" t="str">
        <f aca="false">IF($C869="","",IFERROR(VLOOKUP(--$C869,MM_Income!$Z$5:$AC$204,3,FALSE()),""))</f>
        <v>Excluded — Overhead (in fixed costs)</v>
      </c>
    </row>
    <row r="870" customFormat="false" ht="14.9" hidden="false" customHeight="false" outlineLevel="0" collapsed="false">
      <c r="A870" s="1" t="s">
        <v>49</v>
      </c>
      <c r="B870" s="1" t="s">
        <v>89</v>
      </c>
      <c r="C870" s="1" t="n">
        <v>7910</v>
      </c>
      <c r="D870" s="1" t="s">
        <v>762</v>
      </c>
      <c r="E870" s="1" t="n">
        <v>44110</v>
      </c>
      <c r="F870" s="1" t="s">
        <v>914</v>
      </c>
      <c r="G870" s="140" t="n">
        <v>46203</v>
      </c>
      <c r="H870" s="1" t="n">
        <v>1200</v>
      </c>
      <c r="J870" s="1" t="s">
        <v>1698</v>
      </c>
      <c r="K870" s="1" t="n">
        <v>60</v>
      </c>
      <c r="M870" s="125" t="n">
        <f aca="false">Nominal_Activity[[#This Row],[Debit]]-Nominal_Activity[[#This Row],[Credit]]</f>
        <v>60</v>
      </c>
      <c r="N870" s="1" t="str">
        <f aca="false">IF(C870="","",IFERROR(VLOOKUP(C870,Master_Mappings!$A$4:$E$85,3,FALSE()),"UNMAPPED"))</f>
        <v>Financial Charges</v>
      </c>
      <c r="P870" s="1" t="str">
        <f aca="false">IF($C870="","",$C870&amp;"|"&amp;$E870&amp;"|"&amp;$M870&amp;"|"&amp;TEXT($G870,"yyyy-mm-dd")&amp;"|"&amp;LEFT($J870,40))</f>
        <v>7910|44110|60|2026-06-30|Current Account Service Charge for June</v>
      </c>
      <c r="Q870" s="11" t="str">
        <f aca="false">IF(P870="","",IF(COUNTIF($P$2:$P$3000,P870)&gt;1,"DUPLICATE","OK"))</f>
        <v>OK</v>
      </c>
      <c r="R870" s="0" t="str">
        <f aca="false">IF($C870="","",IFERROR(VLOOKUP(--$C870,MM_Income!$Z$5:$AC$204,3,FALSE()),""))</f>
        <v>Excluded — Overhead (in fixed costs)</v>
      </c>
    </row>
    <row r="871" customFormat="false" ht="14.9" hidden="false" customHeight="false" outlineLevel="0" collapsed="false">
      <c r="A871" s="1" t="s">
        <v>49</v>
      </c>
      <c r="B871" s="1" t="s">
        <v>89</v>
      </c>
      <c r="C871" s="1" t="n">
        <v>7910</v>
      </c>
      <c r="D871" s="1" t="s">
        <v>762</v>
      </c>
      <c r="E871" s="1" t="n">
        <v>44208</v>
      </c>
      <c r="F871" s="1" t="s">
        <v>869</v>
      </c>
      <c r="G871" s="140" t="n">
        <v>46130</v>
      </c>
      <c r="H871" s="1" t="n">
        <v>1260</v>
      </c>
      <c r="I871" s="1" t="s">
        <v>1164</v>
      </c>
      <c r="J871" s="1" t="s">
        <v>1172</v>
      </c>
      <c r="K871" s="1" t="n">
        <v>75</v>
      </c>
      <c r="M871" s="125" t="n">
        <f aca="false">Nominal_Activity[[#This Row],[Debit]]-Nominal_Activity[[#This Row],[Credit]]</f>
        <v>75</v>
      </c>
      <c r="N871" s="1" t="str">
        <f aca="false">IF(C871="","",IFERROR(VLOOKUP(C871,Master_Mappings!$A$4:$E$85,3,FALSE()),"UNMAPPED"))</f>
        <v>Financial Charges</v>
      </c>
      <c r="P871" s="1" t="str">
        <f aca="false">IF($C871="","",$C871&amp;"|"&amp;$E871&amp;"|"&amp;$M871&amp;"|"&amp;TEXT($G871,"yyyy-mm-dd")&amp;"|"&amp;LEFT($J871,40))</f>
        <v>7910|44208|75|2026-04-18|ATM Fees</v>
      </c>
      <c r="Q871" s="11" t="str">
        <f aca="false">IF(P871="","",IF(COUNTIF($P$2:$P$3000,P871)&gt;1,"DUPLICATE","OK"))</f>
        <v>OK</v>
      </c>
      <c r="R871" s="0" t="str">
        <f aca="false">IF($C871="","",IFERROR(VLOOKUP(--$C871,MM_Income!$Z$5:$AC$204,3,FALSE()),""))</f>
        <v>Excluded — Overhead (in fixed costs)</v>
      </c>
    </row>
    <row r="872" customFormat="false" ht="14.9" hidden="false" customHeight="false" outlineLevel="0" collapsed="false">
      <c r="A872" s="1" t="s">
        <v>49</v>
      </c>
      <c r="B872" s="1" t="s">
        <v>89</v>
      </c>
      <c r="C872" s="1" t="n">
        <v>7910</v>
      </c>
      <c r="D872" s="1" t="s">
        <v>762</v>
      </c>
      <c r="E872" s="1" t="n">
        <v>44259</v>
      </c>
      <c r="F872" s="1" t="s">
        <v>869</v>
      </c>
      <c r="G872" s="140" t="n">
        <v>46203</v>
      </c>
      <c r="H872" s="1" t="n">
        <v>1230</v>
      </c>
      <c r="I872" s="1" t="s">
        <v>1526</v>
      </c>
      <c r="J872" s="1" t="s">
        <v>1686</v>
      </c>
      <c r="K872" s="1" t="n">
        <v>1.69</v>
      </c>
      <c r="M872" s="125" t="n">
        <f aca="false">Nominal_Activity[[#This Row],[Debit]]-Nominal_Activity[[#This Row],[Credit]]</f>
        <v>1.69</v>
      </c>
      <c r="N872" s="1" t="str">
        <f aca="false">IF(C872="","",IFERROR(VLOOKUP(C872,Master_Mappings!$A$4:$E$85,3,FALSE()),"UNMAPPED"))</f>
        <v>Financial Charges</v>
      </c>
      <c r="P872" s="1" t="str">
        <f aca="false">IF($C872="","",$C872&amp;"|"&amp;$E872&amp;"|"&amp;$M872&amp;"|"&amp;TEXT($G872,"yyyy-mm-dd")&amp;"|"&amp;LEFT($J872,40))</f>
        <v>7910|44259|1.69|2026-06-30|Bank charges</v>
      </c>
      <c r="Q872" s="11" t="str">
        <f aca="false">IF(P872="","",IF(COUNTIF($P$2:$P$3000,P872)&gt;1,"DUPLICATE","OK"))</f>
        <v>OK</v>
      </c>
      <c r="R872" s="0" t="str">
        <f aca="false">IF($C872="","",IFERROR(VLOOKUP(--$C872,MM_Income!$Z$5:$AC$204,3,FALSE()),""))</f>
        <v>Excluded — Overhead (in fixed costs)</v>
      </c>
    </row>
    <row r="873" customFormat="false" ht="14.9" hidden="false" customHeight="false" outlineLevel="0" collapsed="false">
      <c r="A873" s="1" t="s">
        <v>49</v>
      </c>
      <c r="B873" s="1" t="s">
        <v>85</v>
      </c>
      <c r="C873" s="1" t="n">
        <v>7940</v>
      </c>
      <c r="D873" s="1" t="s">
        <v>764</v>
      </c>
      <c r="E873" s="1" t="n">
        <v>42500</v>
      </c>
      <c r="F873" s="1" t="s">
        <v>914</v>
      </c>
      <c r="G873" s="140" t="n">
        <v>46052</v>
      </c>
      <c r="H873" s="1" t="n">
        <v>1200</v>
      </c>
      <c r="J873" s="1" t="s">
        <v>1699</v>
      </c>
      <c r="K873" s="1" t="n">
        <v>1.26</v>
      </c>
      <c r="M873" s="125" t="n">
        <f aca="false">Nominal_Activity[[#This Row],[Debit]]-Nominal_Activity[[#This Row],[Credit]]</f>
        <v>1.26</v>
      </c>
      <c r="N873" s="1" t="str">
        <f aca="false">IF(C873="","",IFERROR(VLOOKUP(C873,Master_Mappings!$A$4:$E$85,3,FALSE()),"UNMAPPED"))</f>
        <v>Foreign Exchange Losses / (Gains)</v>
      </c>
      <c r="P873" s="1" t="str">
        <f aca="false">IF($C873="","",$C873&amp;"|"&amp;$E873&amp;"|"&amp;$M873&amp;"|"&amp;TEXT($G873,"yyyy-mm-dd")&amp;"|"&amp;LEFT($J873,40))</f>
        <v>7940|42500|1.26|2026-01-30|Exchange rate variance</v>
      </c>
      <c r="Q873" s="11" t="str">
        <f aca="false">IF(P873="","",IF(COUNTIF($P$2:$P$3000,P873)&gt;1,"DUPLICATE","OK"))</f>
        <v>OK</v>
      </c>
      <c r="R873" s="0" t="str">
        <f aca="false">IF($C873="","",IFERROR(VLOOKUP(--$C873,MM_Income!$Z$5:$AC$204,3,FALSE()),""))</f>
        <v/>
      </c>
    </row>
    <row r="874" customFormat="false" ht="14.9" hidden="false" customHeight="false" outlineLevel="0" collapsed="false">
      <c r="A874" s="1" t="s">
        <v>49</v>
      </c>
      <c r="B874" s="1" t="s">
        <v>85</v>
      </c>
      <c r="C874" s="1" t="n">
        <v>7940</v>
      </c>
      <c r="D874" s="1" t="s">
        <v>764</v>
      </c>
      <c r="E874" s="1" t="n">
        <v>42784</v>
      </c>
      <c r="F874" s="1" t="s">
        <v>1700</v>
      </c>
      <c r="G874" s="140" t="n">
        <v>46081</v>
      </c>
      <c r="H874" s="1" t="n">
        <v>1200</v>
      </c>
      <c r="J874" s="1" t="s">
        <v>1699</v>
      </c>
      <c r="L874" s="1" t="n">
        <v>1</v>
      </c>
      <c r="M874" s="125" t="n">
        <f aca="false">Nominal_Activity[[#This Row],[Debit]]-Nominal_Activity[[#This Row],[Credit]]</f>
        <v>-1</v>
      </c>
      <c r="N874" s="1" t="str">
        <f aca="false">IF(C874="","",IFERROR(VLOOKUP(C874,Master_Mappings!$A$4:$E$85,3,FALSE()),"UNMAPPED"))</f>
        <v>Foreign Exchange Losses / (Gains)</v>
      </c>
      <c r="P874" s="1" t="str">
        <f aca="false">IF($C874="","",$C874&amp;"|"&amp;$E874&amp;"|"&amp;$M874&amp;"|"&amp;TEXT($G874,"yyyy-mm-dd")&amp;"|"&amp;LEFT($J874,40))</f>
        <v>7940|42784|-1|2026-02-28|Exchange rate variance</v>
      </c>
      <c r="Q874" s="11" t="str">
        <f aca="false">IF(P874="","",IF(COUNTIF($P$2:$P$3000,P874)&gt;1,"DUPLICATE","OK"))</f>
        <v>OK</v>
      </c>
      <c r="R874" s="0" t="str">
        <f aca="false">IF($C874="","",IFERROR(VLOOKUP(--$C874,MM_Income!$Z$5:$AC$204,3,FALSE()),""))</f>
        <v/>
      </c>
    </row>
    <row r="875" customFormat="false" ht="14.9" hidden="false" customHeight="false" outlineLevel="0" collapsed="false">
      <c r="A875" s="1" t="s">
        <v>49</v>
      </c>
      <c r="B875" s="1" t="s">
        <v>85</v>
      </c>
      <c r="C875" s="1" t="n">
        <v>7940</v>
      </c>
      <c r="D875" s="1" t="s">
        <v>764</v>
      </c>
      <c r="E875" s="1" t="n">
        <v>42971</v>
      </c>
      <c r="F875" s="1" t="s">
        <v>1209</v>
      </c>
      <c r="G875" s="140" t="n">
        <v>46093</v>
      </c>
      <c r="H875" s="1" t="s">
        <v>921</v>
      </c>
      <c r="I875" s="1" t="s">
        <v>1701</v>
      </c>
      <c r="J875" s="1" t="s">
        <v>1702</v>
      </c>
      <c r="K875" s="1" t="n">
        <v>0.01</v>
      </c>
      <c r="M875" s="125" t="n">
        <f aca="false">Nominal_Activity[[#This Row],[Debit]]-Nominal_Activity[[#This Row],[Credit]]</f>
        <v>0.01</v>
      </c>
      <c r="N875" s="1" t="str">
        <f aca="false">IF(C875="","",IFERROR(VLOOKUP(C875,Master_Mappings!$A$4:$E$85,3,FALSE()),"UNMAPPED"))</f>
        <v>Foreign Exchange Losses / (Gains)</v>
      </c>
      <c r="P875" s="1" t="str">
        <f aca="false">IF($C875="","",$C875&amp;"|"&amp;$E875&amp;"|"&amp;$M875&amp;"|"&amp;TEXT($G875,"yyyy-mm-dd")&amp;"|"&amp;LEFT($J875,40))</f>
        <v>7940|42971|0.01|2026-03-12|Currency Reval 0.01 to SI 42969</v>
      </c>
      <c r="Q875" s="11" t="str">
        <f aca="false">IF(P875="","",IF(COUNTIF($P$2:$P$3000,P875)&gt;1,"DUPLICATE","OK"))</f>
        <v>OK</v>
      </c>
      <c r="R875" s="0" t="str">
        <f aca="false">IF($C875="","",IFERROR(VLOOKUP(--$C875,MM_Income!$Z$5:$AC$204,3,FALSE()),""))</f>
        <v/>
      </c>
    </row>
    <row r="876" customFormat="false" ht="14.9" hidden="false" customHeight="false" outlineLevel="0" collapsed="false">
      <c r="A876" s="1" t="s">
        <v>49</v>
      </c>
      <c r="B876" s="1" t="s">
        <v>85</v>
      </c>
      <c r="C876" s="1" t="n">
        <v>7940</v>
      </c>
      <c r="D876" s="1" t="s">
        <v>764</v>
      </c>
      <c r="E876" s="1" t="n">
        <v>43064</v>
      </c>
      <c r="F876" s="1" t="s">
        <v>1700</v>
      </c>
      <c r="G876" s="140" t="n">
        <v>46112</v>
      </c>
      <c r="H876" s="1" t="n">
        <v>1200</v>
      </c>
      <c r="J876" s="1" t="s">
        <v>1699</v>
      </c>
      <c r="L876" s="1" t="n">
        <v>3.85</v>
      </c>
      <c r="M876" s="125" t="n">
        <f aca="false">Nominal_Activity[[#This Row],[Debit]]-Nominal_Activity[[#This Row],[Credit]]</f>
        <v>-3.85</v>
      </c>
      <c r="N876" s="1" t="str">
        <f aca="false">IF(C876="","",IFERROR(VLOOKUP(C876,Master_Mappings!$A$4:$E$85,3,FALSE()),"UNMAPPED"))</f>
        <v>Foreign Exchange Losses / (Gains)</v>
      </c>
      <c r="P876" s="1" t="str">
        <f aca="false">IF($C876="","",$C876&amp;"|"&amp;$E876&amp;"|"&amp;$M876&amp;"|"&amp;TEXT($G876,"yyyy-mm-dd")&amp;"|"&amp;LEFT($J876,40))</f>
        <v>7940|43064|-3.85|2026-03-31|Exchange rate variance</v>
      </c>
      <c r="Q876" s="11" t="str">
        <f aca="false">IF(P876="","",IF(COUNTIF($P$2:$P$3000,P876)&gt;1,"DUPLICATE","OK"))</f>
        <v>OK</v>
      </c>
      <c r="R876" s="0" t="str">
        <f aca="false">IF($C876="","",IFERROR(VLOOKUP(--$C876,MM_Income!$Z$5:$AC$204,3,FALSE()),""))</f>
        <v/>
      </c>
    </row>
    <row r="877" customFormat="false" ht="14.9" hidden="false" customHeight="false" outlineLevel="0" collapsed="false">
      <c r="A877" s="1" t="s">
        <v>49</v>
      </c>
      <c r="B877" s="1" t="s">
        <v>89</v>
      </c>
      <c r="C877" s="1" t="n">
        <v>7940</v>
      </c>
      <c r="D877" s="1" t="s">
        <v>764</v>
      </c>
      <c r="E877" s="1" t="n">
        <v>43073</v>
      </c>
      <c r="F877" s="1" t="s">
        <v>1237</v>
      </c>
      <c r="G877" s="140" t="n">
        <v>46114</v>
      </c>
      <c r="H877" s="1" t="n">
        <v>7940</v>
      </c>
      <c r="I877" s="1" t="s">
        <v>1701</v>
      </c>
      <c r="J877" s="1" t="s">
        <v>1703</v>
      </c>
      <c r="K877" s="1" t="n">
        <v>8244.04</v>
      </c>
      <c r="M877" s="125" t="n">
        <f aca="false">Nominal_Activity[[#This Row],[Debit]]-Nominal_Activity[[#This Row],[Credit]]</f>
        <v>8244.04</v>
      </c>
      <c r="N877" s="1" t="str">
        <f aca="false">IF(C877="","",IFERROR(VLOOKUP(C877,Master_Mappings!$A$4:$E$85,3,FALSE()),"UNMAPPED"))</f>
        <v>Foreign Exchange Losses / (Gains)</v>
      </c>
      <c r="P877" s="1" t="str">
        <f aca="false">IF($C877="","",$C877&amp;"|"&amp;$E877&amp;"|"&amp;$M877&amp;"|"&amp;TEXT($G877,"yyyy-mm-dd")&amp;"|"&amp;LEFT($J877,40))</f>
        <v>7940|43073|8244.04|2026-04-02|Foreign Bank Transfer Revaluation Journa</v>
      </c>
      <c r="Q877" s="11" t="str">
        <f aca="false">IF(P877="","",IF(COUNTIF($P$2:$P$3000,P877)&gt;1,"DUPLICATE","OK"))</f>
        <v>OK</v>
      </c>
      <c r="R877" s="0" t="str">
        <f aca="false">IF($C877="","",IFERROR(VLOOKUP(--$C877,MM_Income!$Z$5:$AC$204,3,FALSE()),""))</f>
        <v/>
      </c>
    </row>
    <row r="878" customFormat="false" ht="14.9" hidden="false" customHeight="false" outlineLevel="0" collapsed="false">
      <c r="A878" s="1" t="s">
        <v>49</v>
      </c>
      <c r="B878" s="1" t="s">
        <v>89</v>
      </c>
      <c r="C878" s="1" t="n">
        <v>7940</v>
      </c>
      <c r="D878" s="1" t="s">
        <v>764</v>
      </c>
      <c r="E878" s="1" t="n">
        <v>43075</v>
      </c>
      <c r="F878" s="1" t="s">
        <v>914</v>
      </c>
      <c r="G878" s="140" t="n">
        <v>46114</v>
      </c>
      <c r="H878" s="1" t="n">
        <v>1210</v>
      </c>
      <c r="J878" s="1" t="s">
        <v>1704</v>
      </c>
      <c r="K878" s="1" t="n">
        <v>0.11</v>
      </c>
      <c r="M878" s="125" t="n">
        <f aca="false">Nominal_Activity[[#This Row],[Debit]]-Nominal_Activity[[#This Row],[Credit]]</f>
        <v>0.11</v>
      </c>
      <c r="N878" s="1" t="str">
        <f aca="false">IF(C878="","",IFERROR(VLOOKUP(C878,Master_Mappings!$A$4:$E$85,3,FALSE()),"UNMAPPED"))</f>
        <v>Foreign Exchange Losses / (Gains)</v>
      </c>
      <c r="P878" s="1" t="str">
        <f aca="false">IF($C878="","",$C878&amp;"|"&amp;$E878&amp;"|"&amp;$M878&amp;"|"&amp;TEXT($G878,"yyyy-mm-dd")&amp;"|"&amp;LEFT($J878,40))</f>
        <v>7940|43075|0.11|2026-04-02|Exchange Rate Variance on GBP to USD tra</v>
      </c>
      <c r="Q878" s="11" t="str">
        <f aca="false">IF(P878="","",IF(COUNTIF($P$2:$P$3000,P878)&gt;1,"DUPLICATE","OK"))</f>
        <v>OK</v>
      </c>
      <c r="R878" s="0" t="str">
        <f aca="false">IF($C878="","",IFERROR(VLOOKUP(--$C878,MM_Income!$Z$5:$AC$204,3,FALSE()),""))</f>
        <v/>
      </c>
    </row>
    <row r="879" customFormat="false" ht="14.9" hidden="false" customHeight="false" outlineLevel="0" collapsed="false">
      <c r="A879" s="1" t="s">
        <v>49</v>
      </c>
      <c r="B879" s="1" t="s">
        <v>85</v>
      </c>
      <c r="C879" s="1" t="n">
        <v>7940</v>
      </c>
      <c r="D879" s="1" t="s">
        <v>764</v>
      </c>
      <c r="E879" s="1" t="n">
        <v>43249</v>
      </c>
      <c r="F879" s="1" t="s">
        <v>1237</v>
      </c>
      <c r="G879" s="140" t="n">
        <v>46112</v>
      </c>
      <c r="H879" s="1" t="n">
        <v>7940</v>
      </c>
      <c r="I879" s="1" t="s">
        <v>1701</v>
      </c>
      <c r="J879" s="1" t="s">
        <v>1705</v>
      </c>
      <c r="K879" s="1" t="n">
        <v>25447.47</v>
      </c>
      <c r="M879" s="125" t="n">
        <f aca="false">Nominal_Activity[[#This Row],[Debit]]-Nominal_Activity[[#This Row],[Credit]]</f>
        <v>25447.47</v>
      </c>
      <c r="N879" s="1" t="str">
        <f aca="false">IF(C879="","",IFERROR(VLOOKUP(C879,Master_Mappings!$A$4:$E$85,3,FALSE()),"UNMAPPED"))</f>
        <v>Foreign Exchange Losses / (Gains)</v>
      </c>
      <c r="P879" s="1" t="str">
        <f aca="false">IF($C879="","",$C879&amp;"|"&amp;$E879&amp;"|"&amp;$M879&amp;"|"&amp;TEXT($G879,"yyyy-mm-dd")&amp;"|"&amp;LEFT($J879,40))</f>
        <v>7940|43249|25447.47|2026-03-31|Foreign Bank Revaluation Journal</v>
      </c>
      <c r="Q879" s="11" t="str">
        <f aca="false">IF(P879="","",IF(COUNTIF($P$2:$P$3000,P879)&gt;1,"DUPLICATE","OK"))</f>
        <v>OK</v>
      </c>
      <c r="R879" s="0" t="str">
        <f aca="false">IF($C879="","",IFERROR(VLOOKUP(--$C879,MM_Income!$Z$5:$AC$204,3,FALSE()),""))</f>
        <v/>
      </c>
    </row>
    <row r="880" customFormat="false" ht="14.9" hidden="false" customHeight="false" outlineLevel="0" collapsed="false">
      <c r="A880" s="1" t="s">
        <v>49</v>
      </c>
      <c r="B880" s="1" t="s">
        <v>85</v>
      </c>
      <c r="C880" s="1" t="n">
        <v>7940</v>
      </c>
      <c r="D880" s="1" t="s">
        <v>764</v>
      </c>
      <c r="E880" s="1" t="n">
        <v>43252</v>
      </c>
      <c r="F880" s="1" t="s">
        <v>1215</v>
      </c>
      <c r="G880" s="140" t="n">
        <v>46112</v>
      </c>
      <c r="H880" s="1" t="n">
        <v>7940</v>
      </c>
      <c r="I880" s="1" t="s">
        <v>1701</v>
      </c>
      <c r="J880" s="1" t="s">
        <v>1705</v>
      </c>
      <c r="L880" s="1" t="n">
        <v>23926.49</v>
      </c>
      <c r="M880" s="125" t="n">
        <f aca="false">Nominal_Activity[[#This Row],[Debit]]-Nominal_Activity[[#This Row],[Credit]]</f>
        <v>-23926.49</v>
      </c>
      <c r="N880" s="1" t="str">
        <f aca="false">IF(C880="","",IFERROR(VLOOKUP(C880,Master_Mappings!$A$4:$E$85,3,FALSE()),"UNMAPPED"))</f>
        <v>Foreign Exchange Losses / (Gains)</v>
      </c>
      <c r="P880" s="1" t="str">
        <f aca="false">IF($C880="","",$C880&amp;"|"&amp;$E880&amp;"|"&amp;$M880&amp;"|"&amp;TEXT($G880,"yyyy-mm-dd")&amp;"|"&amp;LEFT($J880,40))</f>
        <v>7940|43252|-23926.49|2026-03-31|Foreign Bank Revaluation Journal</v>
      </c>
      <c r="Q880" s="11" t="str">
        <f aca="false">IF(P880="","",IF(COUNTIF($P$2:$P$3000,P880)&gt;1,"DUPLICATE","OK"))</f>
        <v>OK</v>
      </c>
      <c r="R880" s="0" t="str">
        <f aca="false">IF($C880="","",IFERROR(VLOOKUP(--$C880,MM_Income!$Z$5:$AC$204,3,FALSE()),""))</f>
        <v/>
      </c>
    </row>
    <row r="881" customFormat="false" ht="14.9" hidden="false" customHeight="false" outlineLevel="0" collapsed="false">
      <c r="A881" s="1" t="s">
        <v>49</v>
      </c>
      <c r="B881" s="1" t="s">
        <v>85</v>
      </c>
      <c r="C881" s="1" t="n">
        <v>7940</v>
      </c>
      <c r="D881" s="1" t="s">
        <v>764</v>
      </c>
      <c r="E881" s="1" t="n">
        <v>43254</v>
      </c>
      <c r="F881" s="1" t="s">
        <v>1215</v>
      </c>
      <c r="G881" s="140" t="n">
        <v>46112</v>
      </c>
      <c r="H881" s="1" t="n">
        <v>7940</v>
      </c>
      <c r="I881" s="1" t="s">
        <v>1701</v>
      </c>
      <c r="J881" s="1" t="s">
        <v>1705</v>
      </c>
      <c r="L881" s="1" t="n">
        <v>62982.89</v>
      </c>
      <c r="M881" s="125" t="n">
        <f aca="false">Nominal_Activity[[#This Row],[Debit]]-Nominal_Activity[[#This Row],[Credit]]</f>
        <v>-62982.89</v>
      </c>
      <c r="N881" s="1" t="str">
        <f aca="false">IF(C881="","",IFERROR(VLOOKUP(C881,Master_Mappings!$A$4:$E$85,3,FALSE()),"UNMAPPED"))</f>
        <v>Foreign Exchange Losses / (Gains)</v>
      </c>
      <c r="P881" s="1" t="str">
        <f aca="false">IF($C881="","",$C881&amp;"|"&amp;$E881&amp;"|"&amp;$M881&amp;"|"&amp;TEXT($G881,"yyyy-mm-dd")&amp;"|"&amp;LEFT($J881,40))</f>
        <v>7940|43254|-62982.89|2026-03-31|Foreign Bank Revaluation Journal</v>
      </c>
      <c r="Q881" s="11" t="str">
        <f aca="false">IF(P881="","",IF(COUNTIF($P$2:$P$3000,P881)&gt;1,"DUPLICATE","OK"))</f>
        <v>OK</v>
      </c>
      <c r="R881" s="0" t="str">
        <f aca="false">IF($C881="","",IFERROR(VLOOKUP(--$C881,MM_Income!$Z$5:$AC$204,3,FALSE()),""))</f>
        <v/>
      </c>
    </row>
    <row r="882" customFormat="false" ht="14.9" hidden="false" customHeight="false" outlineLevel="0" collapsed="false">
      <c r="A882" s="1" t="s">
        <v>49</v>
      </c>
      <c r="B882" s="1" t="s">
        <v>89</v>
      </c>
      <c r="C882" s="1" t="n">
        <v>7940</v>
      </c>
      <c r="D882" s="1" t="s">
        <v>764</v>
      </c>
      <c r="E882" s="1" t="n">
        <v>43496</v>
      </c>
      <c r="F882" s="1" t="s">
        <v>914</v>
      </c>
      <c r="G882" s="140" t="n">
        <v>46142</v>
      </c>
      <c r="H882" s="1" t="n">
        <v>1200</v>
      </c>
      <c r="J882" s="1" t="s">
        <v>1706</v>
      </c>
      <c r="K882" s="1" t="n">
        <v>3.05</v>
      </c>
      <c r="M882" s="125" t="n">
        <f aca="false">Nominal_Activity[[#This Row],[Debit]]-Nominal_Activity[[#This Row],[Credit]]</f>
        <v>3.05</v>
      </c>
      <c r="N882" s="1" t="str">
        <f aca="false">IF(C882="","",IFERROR(VLOOKUP(C882,Master_Mappings!$A$4:$E$85,3,FALSE()),"UNMAPPED"))</f>
        <v>Foreign Exchange Losses / (Gains)</v>
      </c>
      <c r="P882" s="1" t="str">
        <f aca="false">IF($C882="","",$C882&amp;"|"&amp;$E882&amp;"|"&amp;$M882&amp;"|"&amp;TEXT($G882,"yyyy-mm-dd")&amp;"|"&amp;LEFT($J882,40))</f>
        <v>7940|43496|3.05|2026-04-30|Exchange Rate Difference</v>
      </c>
      <c r="Q882" s="11" t="str">
        <f aca="false">IF(P882="","",IF(COUNTIF($P$2:$P$3000,P882)&gt;1,"DUPLICATE","OK"))</f>
        <v>OK</v>
      </c>
      <c r="R882" s="0" t="str">
        <f aca="false">IF($C882="","",IFERROR(VLOOKUP(--$C882,MM_Income!$Z$5:$AC$204,3,FALSE()),""))</f>
        <v/>
      </c>
    </row>
    <row r="883" customFormat="false" ht="14.9" hidden="false" customHeight="false" outlineLevel="0" collapsed="false">
      <c r="A883" s="1" t="s">
        <v>49</v>
      </c>
      <c r="B883" s="1" t="s">
        <v>89</v>
      </c>
      <c r="C883" s="1" t="n">
        <v>7940</v>
      </c>
      <c r="D883" s="1" t="s">
        <v>764</v>
      </c>
      <c r="E883" s="1" t="n">
        <v>43661</v>
      </c>
      <c r="F883" s="1" t="s">
        <v>914</v>
      </c>
      <c r="G883" s="140" t="n">
        <v>46171</v>
      </c>
      <c r="H883" s="1" t="n">
        <v>1200</v>
      </c>
      <c r="J883" s="1" t="s">
        <v>764</v>
      </c>
      <c r="K883" s="1" t="n">
        <v>1.54</v>
      </c>
      <c r="M883" s="125" t="n">
        <f aca="false">Nominal_Activity[[#This Row],[Debit]]-Nominal_Activity[[#This Row],[Credit]]</f>
        <v>1.54</v>
      </c>
      <c r="N883" s="1" t="str">
        <f aca="false">IF(C883="","",IFERROR(VLOOKUP(C883,Master_Mappings!$A$4:$E$85,3,FALSE()),"UNMAPPED"))</f>
        <v>Foreign Exchange Losses / (Gains)</v>
      </c>
      <c r="P883" s="1" t="str">
        <f aca="false">IF($C883="","",$C883&amp;"|"&amp;$E883&amp;"|"&amp;$M883&amp;"|"&amp;TEXT($G883,"yyyy-mm-dd")&amp;"|"&amp;LEFT($J883,40))</f>
        <v>7940|43661|1.54|2026-05-29|Exchange Rate Variance</v>
      </c>
      <c r="Q883" s="11" t="str">
        <f aca="false">IF(P883="","",IF(COUNTIF($P$2:$P$3000,P883)&gt;1,"DUPLICATE","OK"))</f>
        <v>OK</v>
      </c>
      <c r="R883" s="0" t="str">
        <f aca="false">IF($C883="","",IFERROR(VLOOKUP(--$C883,MM_Income!$Z$5:$AC$204,3,FALSE()),""))</f>
        <v/>
      </c>
    </row>
    <row r="884" customFormat="false" ht="14.9" hidden="false" customHeight="false" outlineLevel="0" collapsed="false">
      <c r="A884" s="1" t="s">
        <v>49</v>
      </c>
      <c r="B884" s="1" t="s">
        <v>89</v>
      </c>
      <c r="C884" s="1" t="n">
        <v>7940</v>
      </c>
      <c r="D884" s="1" t="s">
        <v>764</v>
      </c>
      <c r="E884" s="1" t="n">
        <v>44025</v>
      </c>
      <c r="F884" s="1" t="s">
        <v>1209</v>
      </c>
      <c r="G884" s="140" t="n">
        <v>46174</v>
      </c>
      <c r="H884" s="1" t="s">
        <v>907</v>
      </c>
      <c r="I884" s="1" t="s">
        <v>1701</v>
      </c>
      <c r="J884" s="1" t="s">
        <v>1707</v>
      </c>
      <c r="K884" s="1" t="n">
        <v>0.01</v>
      </c>
      <c r="M884" s="125" t="n">
        <f aca="false">Nominal_Activity[[#This Row],[Debit]]-Nominal_Activity[[#This Row],[Credit]]</f>
        <v>0.01</v>
      </c>
      <c r="N884" s="1" t="str">
        <f aca="false">IF(C884="","",IFERROR(VLOOKUP(C884,Master_Mappings!$A$4:$E$85,3,FALSE()),"UNMAPPED"))</f>
        <v>Foreign Exchange Losses / (Gains)</v>
      </c>
      <c r="P884" s="1" t="str">
        <f aca="false">IF($C884="","",$C884&amp;"|"&amp;$E884&amp;"|"&amp;$M884&amp;"|"&amp;TEXT($G884,"yyyy-mm-dd")&amp;"|"&amp;LEFT($J884,40))</f>
        <v>7940|44025|0.01|2026-06-01|Currency Reval 0.01 to SI 43948</v>
      </c>
      <c r="Q884" s="11" t="str">
        <f aca="false">IF(P884="","",IF(COUNTIF($P$2:$P$3000,P884)&gt;1,"DUPLICATE","OK"))</f>
        <v>OK</v>
      </c>
      <c r="R884" s="0" t="str">
        <f aca="false">IF($C884="","",IFERROR(VLOOKUP(--$C884,MM_Income!$Z$5:$AC$204,3,FALSE()),""))</f>
        <v/>
      </c>
    </row>
    <row r="885" customFormat="false" ht="14.9" hidden="false" customHeight="false" outlineLevel="0" collapsed="false">
      <c r="A885" s="1" t="s">
        <v>49</v>
      </c>
      <c r="B885" s="1" t="s">
        <v>89</v>
      </c>
      <c r="C885" s="1" t="n">
        <v>7940</v>
      </c>
      <c r="D885" s="1" t="s">
        <v>764</v>
      </c>
      <c r="E885" s="1" t="n">
        <v>44131</v>
      </c>
      <c r="F885" s="1" t="s">
        <v>1700</v>
      </c>
      <c r="G885" s="140" t="n">
        <v>46203</v>
      </c>
      <c r="H885" s="1" t="n">
        <v>1200</v>
      </c>
      <c r="I885" s="1" t="s">
        <v>1708</v>
      </c>
      <c r="J885" s="1" t="s">
        <v>764</v>
      </c>
      <c r="L885" s="1" t="n">
        <v>0.19</v>
      </c>
      <c r="M885" s="125" t="n">
        <f aca="false">Nominal_Activity[[#This Row],[Debit]]-Nominal_Activity[[#This Row],[Credit]]</f>
        <v>-0.19</v>
      </c>
      <c r="N885" s="1" t="str">
        <f aca="false">IF(C885="","",IFERROR(VLOOKUP(C885,Master_Mappings!$A$4:$E$85,3,FALSE()),"UNMAPPED"))</f>
        <v>Foreign Exchange Losses / (Gains)</v>
      </c>
      <c r="P885" s="1" t="str">
        <f aca="false">IF($C885="","",$C885&amp;"|"&amp;$E885&amp;"|"&amp;$M885&amp;"|"&amp;TEXT($G885,"yyyy-mm-dd")&amp;"|"&amp;LEFT($J885,40))</f>
        <v>7940|44131|-0.19|2026-06-30|Exchange Rate Variance</v>
      </c>
      <c r="Q885" s="11" t="str">
        <f aca="false">IF(P885="","",IF(COUNTIF($P$2:$P$3000,P885)&gt;1,"DUPLICATE","OK"))</f>
        <v>OK</v>
      </c>
      <c r="R885" s="0" t="str">
        <f aca="false">IF($C885="","",IFERROR(VLOOKUP(--$C885,MM_Income!$Z$5:$AC$204,3,FALSE()),""))</f>
        <v/>
      </c>
    </row>
    <row r="886" customFormat="false" ht="14.9" hidden="false" customHeight="false" outlineLevel="0" collapsed="false">
      <c r="A886" s="1" t="s">
        <v>49</v>
      </c>
      <c r="B886" s="1" t="s">
        <v>89</v>
      </c>
      <c r="C886" s="1" t="n">
        <v>7940</v>
      </c>
      <c r="D886" s="1" t="s">
        <v>764</v>
      </c>
      <c r="E886" s="1" t="n">
        <v>44245</v>
      </c>
      <c r="F886" s="1" t="s">
        <v>1237</v>
      </c>
      <c r="G886" s="140" t="n">
        <v>46203</v>
      </c>
      <c r="H886" s="1" t="n">
        <v>7940</v>
      </c>
      <c r="I886" s="1" t="s">
        <v>1709</v>
      </c>
      <c r="J886" s="1" t="s">
        <v>1710</v>
      </c>
      <c r="K886" s="1" t="n">
        <v>74.26</v>
      </c>
      <c r="M886" s="125" t="n">
        <f aca="false">Nominal_Activity[[#This Row],[Debit]]-Nominal_Activity[[#This Row],[Credit]]</f>
        <v>74.26</v>
      </c>
      <c r="N886" s="1" t="str">
        <f aca="false">IF(C886="","",IFERROR(VLOOKUP(C886,Master_Mappings!$A$4:$E$85,3,FALSE()),"UNMAPPED"))</f>
        <v>Foreign Exchange Losses / (Gains)</v>
      </c>
      <c r="P886" s="1" t="str">
        <f aca="false">IF($C886="","",$C886&amp;"|"&amp;$E886&amp;"|"&amp;$M886&amp;"|"&amp;TEXT($G886,"yyyy-mm-dd")&amp;"|"&amp;LEFT($J886,40))</f>
        <v>7940|44245|74.26|2026-06-30|Balance of Samuel Ayesu 7.5% WHT due to </v>
      </c>
      <c r="Q886" s="11" t="str">
        <f aca="false">IF(P886="","",IF(COUNTIF($P$2:$P$3000,P886)&gt;1,"DUPLICATE","OK"))</f>
        <v>OK</v>
      </c>
      <c r="R886" s="0" t="str">
        <f aca="false">IF($C886="","",IFERROR(VLOOKUP(--$C886,MM_Income!$Z$5:$AC$204,3,FALSE()),""))</f>
        <v/>
      </c>
    </row>
    <row r="887" customFormat="false" ht="14.9" hidden="false" customHeight="false" outlineLevel="0" collapsed="false">
      <c r="A887" s="1" t="s">
        <v>49</v>
      </c>
      <c r="B887" s="1" t="s">
        <v>89</v>
      </c>
      <c r="C887" s="1" t="n">
        <v>7940</v>
      </c>
      <c r="D887" s="1" t="s">
        <v>764</v>
      </c>
      <c r="E887" s="1" t="n">
        <v>44247</v>
      </c>
      <c r="F887" s="1" t="s">
        <v>1237</v>
      </c>
      <c r="G887" s="140" t="n">
        <v>46178</v>
      </c>
      <c r="H887" s="1" t="n">
        <v>7940</v>
      </c>
      <c r="I887" s="1" t="s">
        <v>1711</v>
      </c>
      <c r="J887" s="1" t="s">
        <v>1712</v>
      </c>
      <c r="K887" s="1" t="n">
        <v>69.66</v>
      </c>
      <c r="M887" s="125" t="n">
        <f aca="false">Nominal_Activity[[#This Row],[Debit]]-Nominal_Activity[[#This Row],[Credit]]</f>
        <v>69.66</v>
      </c>
      <c r="N887" s="1" t="str">
        <f aca="false">IF(C887="","",IFERROR(VLOOKUP(C887,Master_Mappings!$A$4:$E$85,3,FALSE()),"UNMAPPED"))</f>
        <v>Foreign Exchange Losses / (Gains)</v>
      </c>
      <c r="P887" s="1" t="str">
        <f aca="false">IF($C887="","",$C887&amp;"|"&amp;$E887&amp;"|"&amp;$M887&amp;"|"&amp;TEXT($G887,"yyyy-mm-dd")&amp;"|"&amp;LEFT($J887,40))</f>
        <v>7940|44247|69.66|2026-06-05|Balance of Emmanuel Danqua 7.5% WHT due </v>
      </c>
      <c r="Q887" s="11" t="str">
        <f aca="false">IF(P887="","",IF(COUNTIF($P$2:$P$3000,P887)&gt;1,"DUPLICATE","OK"))</f>
        <v>OK</v>
      </c>
      <c r="R887" s="0" t="str">
        <f aca="false">IF($C887="","",IFERROR(VLOOKUP(--$C887,MM_Income!$Z$5:$AC$204,3,FALSE()),""))</f>
        <v/>
      </c>
    </row>
    <row r="888" customFormat="false" ht="14.9" hidden="false" customHeight="false" outlineLevel="0" collapsed="false">
      <c r="A888" s="1" t="s">
        <v>49</v>
      </c>
      <c r="B888" s="1" t="s">
        <v>89</v>
      </c>
      <c r="C888" s="1" t="n">
        <v>7940</v>
      </c>
      <c r="D888" s="1" t="s">
        <v>764</v>
      </c>
      <c r="E888" s="1" t="n">
        <v>44251</v>
      </c>
      <c r="F888" s="1" t="s">
        <v>1215</v>
      </c>
      <c r="G888" s="140" t="n">
        <v>46203</v>
      </c>
      <c r="H888" s="1" t="n">
        <v>7940</v>
      </c>
      <c r="I888" s="1" t="s">
        <v>1701</v>
      </c>
      <c r="J888" s="1" t="s">
        <v>1705</v>
      </c>
      <c r="L888" s="1" t="n">
        <v>36250.46</v>
      </c>
      <c r="M888" s="125" t="n">
        <f aca="false">Nominal_Activity[[#This Row],[Debit]]-Nominal_Activity[[#This Row],[Credit]]</f>
        <v>-36250.46</v>
      </c>
      <c r="N888" s="1" t="str">
        <f aca="false">IF(C888="","",IFERROR(VLOOKUP(C888,Master_Mappings!$A$4:$E$85,3,FALSE()),"UNMAPPED"))</f>
        <v>Foreign Exchange Losses / (Gains)</v>
      </c>
      <c r="P888" s="1" t="str">
        <f aca="false">IF($C888="","",$C888&amp;"|"&amp;$E888&amp;"|"&amp;$M888&amp;"|"&amp;TEXT($G888,"yyyy-mm-dd")&amp;"|"&amp;LEFT($J888,40))</f>
        <v>7940|44251|-36250.46|2026-06-30|Foreign Bank Revaluation Journal</v>
      </c>
      <c r="Q888" s="11" t="str">
        <f aca="false">IF(P888="","",IF(COUNTIF($P$2:$P$3000,P888)&gt;1,"DUPLICATE","OK"))</f>
        <v>OK</v>
      </c>
      <c r="R888" s="0" t="str">
        <f aca="false">IF($C888="","",IFERROR(VLOOKUP(--$C888,MM_Income!$Z$5:$AC$204,3,FALSE()),""))</f>
        <v/>
      </c>
    </row>
    <row r="889" customFormat="false" ht="14.9" hidden="false" customHeight="false" outlineLevel="0" collapsed="false">
      <c r="A889" s="1" t="s">
        <v>49</v>
      </c>
      <c r="B889" s="1" t="s">
        <v>89</v>
      </c>
      <c r="C889" s="1" t="n">
        <v>7940</v>
      </c>
      <c r="D889" s="1" t="s">
        <v>764</v>
      </c>
      <c r="E889" s="1" t="n">
        <v>44253</v>
      </c>
      <c r="F889" s="1" t="s">
        <v>1215</v>
      </c>
      <c r="G889" s="140" t="n">
        <v>46203</v>
      </c>
      <c r="H889" s="1" t="n">
        <v>7940</v>
      </c>
      <c r="I889" s="1" t="s">
        <v>1701</v>
      </c>
      <c r="J889" s="1" t="s">
        <v>1705</v>
      </c>
      <c r="L889" s="1" t="n">
        <v>5007.91</v>
      </c>
      <c r="M889" s="125" t="n">
        <f aca="false">Nominal_Activity[[#This Row],[Debit]]-Nominal_Activity[[#This Row],[Credit]]</f>
        <v>-5007.91</v>
      </c>
      <c r="N889" s="1" t="str">
        <f aca="false">IF(C889="","",IFERROR(VLOOKUP(C889,Master_Mappings!$A$4:$E$85,3,FALSE()),"UNMAPPED"))</f>
        <v>Foreign Exchange Losses / (Gains)</v>
      </c>
      <c r="P889" s="1" t="str">
        <f aca="false">IF($C889="","",$C889&amp;"|"&amp;$E889&amp;"|"&amp;$M889&amp;"|"&amp;TEXT($G889,"yyyy-mm-dd")&amp;"|"&amp;LEFT($J889,40))</f>
        <v>7940|44253|-5007.91|2026-06-30|Foreign Bank Revaluation Journal</v>
      </c>
      <c r="Q889" s="11" t="str">
        <f aca="false">IF(P889="","",IF(COUNTIF($P$2:$P$3000,P889)&gt;1,"DUPLICATE","OK"))</f>
        <v>OK</v>
      </c>
      <c r="R889" s="0" t="str">
        <f aca="false">IF($C889="","",IFERROR(VLOOKUP(--$C889,MM_Income!$Z$5:$AC$204,3,FALSE()),""))</f>
        <v/>
      </c>
    </row>
    <row r="890" customFormat="false" ht="14.9" hidden="false" customHeight="false" outlineLevel="0" collapsed="false">
      <c r="A890" s="1" t="s">
        <v>49</v>
      </c>
      <c r="B890" s="1" t="s">
        <v>89</v>
      </c>
      <c r="C890" s="1" t="n">
        <v>7940</v>
      </c>
      <c r="D890" s="1" t="s">
        <v>764</v>
      </c>
      <c r="E890" s="1" t="n">
        <v>44254</v>
      </c>
      <c r="F890" s="1" t="s">
        <v>1237</v>
      </c>
      <c r="G890" s="140" t="n">
        <v>46203</v>
      </c>
      <c r="H890" s="1" t="n">
        <v>7940</v>
      </c>
      <c r="I890" s="1" t="s">
        <v>1701</v>
      </c>
      <c r="J890" s="1" t="s">
        <v>1705</v>
      </c>
      <c r="K890" s="1" t="n">
        <v>1775.21</v>
      </c>
      <c r="M890" s="125" t="n">
        <f aca="false">Nominal_Activity[[#This Row],[Debit]]-Nominal_Activity[[#This Row],[Credit]]</f>
        <v>1775.21</v>
      </c>
      <c r="N890" s="1" t="str">
        <f aca="false">IF(C890="","",IFERROR(VLOOKUP(C890,Master_Mappings!$A$4:$E$85,3,FALSE()),"UNMAPPED"))</f>
        <v>Foreign Exchange Losses / (Gains)</v>
      </c>
      <c r="P890" s="1" t="str">
        <f aca="false">IF($C890="","",$C890&amp;"|"&amp;$E890&amp;"|"&amp;$M890&amp;"|"&amp;TEXT($G890,"yyyy-mm-dd")&amp;"|"&amp;LEFT($J890,40))</f>
        <v>7940|44254|1775.21|2026-06-30|Foreign Bank Revaluation Journal</v>
      </c>
      <c r="Q890" s="11" t="str">
        <f aca="false">IF(P890="","",IF(COUNTIF($P$2:$P$3000,P890)&gt;1,"DUPLICATE","OK"))</f>
        <v>OK</v>
      </c>
      <c r="R890" s="0" t="str">
        <f aca="false">IF($C890="","",IFERROR(VLOOKUP(--$C890,MM_Income!$Z$5:$AC$204,3,FALSE()),""))</f>
        <v/>
      </c>
    </row>
    <row r="891" customFormat="false" ht="14.9" hidden="false" customHeight="false" outlineLevel="0" collapsed="false">
      <c r="A891" s="1" t="s">
        <v>49</v>
      </c>
      <c r="B891" s="1" t="s">
        <v>89</v>
      </c>
      <c r="C891" s="1" t="n">
        <v>7940</v>
      </c>
      <c r="D891" s="1" t="s">
        <v>764</v>
      </c>
      <c r="E891" s="1" t="n">
        <v>44257</v>
      </c>
      <c r="F891" s="1" t="s">
        <v>1215</v>
      </c>
      <c r="G891" s="140" t="n">
        <v>46203</v>
      </c>
      <c r="H891" s="1" t="n">
        <v>7940</v>
      </c>
      <c r="I891" s="1" t="s">
        <v>1701</v>
      </c>
      <c r="J891" s="1" t="s">
        <v>1705</v>
      </c>
      <c r="L891" s="1" t="n">
        <v>23587.4</v>
      </c>
      <c r="M891" s="125" t="n">
        <f aca="false">Nominal_Activity[[#This Row],[Debit]]-Nominal_Activity[[#This Row],[Credit]]</f>
        <v>-23587.4</v>
      </c>
      <c r="N891" s="1" t="str">
        <f aca="false">IF(C891="","",IFERROR(VLOOKUP(C891,Master_Mappings!$A$4:$E$85,3,FALSE()),"UNMAPPED"))</f>
        <v>Foreign Exchange Losses / (Gains)</v>
      </c>
      <c r="P891" s="1" t="str">
        <f aca="false">IF($C891="","",$C891&amp;"|"&amp;$E891&amp;"|"&amp;$M891&amp;"|"&amp;TEXT($G891,"yyyy-mm-dd")&amp;"|"&amp;LEFT($J891,40))</f>
        <v>7940|44257|-23587.4|2026-06-30|Foreign Bank Revaluation Journal</v>
      </c>
      <c r="Q891" s="11" t="str">
        <f aca="false">IF(P891="","",IF(COUNTIF($P$2:$P$3000,P891)&gt;1,"DUPLICATE","OK"))</f>
        <v>OK</v>
      </c>
      <c r="R891" s="0" t="str">
        <f aca="false">IF($C891="","",IFERROR(VLOOKUP(--$C891,MM_Income!$Z$5:$AC$204,3,FALSE()),""))</f>
        <v/>
      </c>
    </row>
    <row r="892" customFormat="false" ht="14.9" hidden="false" customHeight="false" outlineLevel="0" collapsed="false">
      <c r="A892" s="1" t="s">
        <v>49</v>
      </c>
      <c r="B892" s="1" t="s">
        <v>89</v>
      </c>
      <c r="C892" s="1" t="n">
        <v>7940</v>
      </c>
      <c r="D892" s="1" t="s">
        <v>764</v>
      </c>
      <c r="E892" s="1" t="n">
        <v>44262</v>
      </c>
      <c r="F892" s="1" t="s">
        <v>1237</v>
      </c>
      <c r="G892" s="140" t="n">
        <v>46203</v>
      </c>
      <c r="H892" s="1" t="n">
        <v>7940</v>
      </c>
      <c r="I892" s="1" t="s">
        <v>1713</v>
      </c>
      <c r="J892" s="1" t="s">
        <v>1714</v>
      </c>
      <c r="K892" s="1" t="n">
        <v>15.04</v>
      </c>
      <c r="M892" s="125" t="n">
        <f aca="false">Nominal_Activity[[#This Row],[Debit]]-Nominal_Activity[[#This Row],[Credit]]</f>
        <v>15.04</v>
      </c>
      <c r="N892" s="1" t="str">
        <f aca="false">IF(C892="","",IFERROR(VLOOKUP(C892,Master_Mappings!$A$4:$E$85,3,FALSE()),"UNMAPPED"))</f>
        <v>Foreign Exchange Losses / (Gains)</v>
      </c>
      <c r="P892" s="1" t="str">
        <f aca="false">IF($C892="","",$C892&amp;"|"&amp;$E892&amp;"|"&amp;$M892&amp;"|"&amp;TEXT($G892,"yyyy-mm-dd")&amp;"|"&amp;LEFT($J892,40))</f>
        <v>7940|44262|15.04|2026-06-30|Write off of old leone notes due to rede</v>
      </c>
      <c r="Q892" s="11" t="str">
        <f aca="false">IF(P892="","",IF(COUNTIF($P$2:$P$3000,P892)&gt;1,"DUPLICATE","OK"))</f>
        <v>OK</v>
      </c>
      <c r="R892" s="0" t="str">
        <f aca="false">IF($C892="","",IFERROR(VLOOKUP(--$C892,MM_Income!$Z$5:$AC$204,3,FALSE()),""))</f>
        <v/>
      </c>
    </row>
    <row r="893" customFormat="false" ht="13.5" hidden="false" customHeight="false" outlineLevel="0" collapsed="false">
      <c r="N893" s="1" t="str">
        <f aca="false">IF(C893="","",IFERROR(VLOOKUP(C893,Master_Mappings!$A$4:$E$85,3,FALSE()),"UNMAPPED"))</f>
        <v/>
      </c>
      <c r="P893" s="1" t="str">
        <f aca="false">IF($C893="","",$C893&amp;"|"&amp;$E893&amp;"|"&amp;$M893&amp;"|"&amp;TEXT($G893,"yyyy-mm-dd")&amp;"|"&amp;LEFT($J893,40))</f>
        <v/>
      </c>
      <c r="Q893" s="11" t="str">
        <f aca="false">IF(P893="","",IF(COUNTIF($P$2:$P$3000,P893)&gt;1,"DUPLICATE","OK"))</f>
        <v/>
      </c>
      <c r="R893" s="0" t="str">
        <f aca="false">IF($C893="","",IFERROR(VLOOKUP(--$C893,MM_Income!$Z$5:$AC$204,3,FALSE()),""))</f>
        <v/>
      </c>
    </row>
    <row r="894" customFormat="false" ht="13.5" hidden="false" customHeight="false" outlineLevel="0" collapsed="false">
      <c r="N894" s="1" t="str">
        <f aca="false">IF(C894="","",IFERROR(VLOOKUP(C894,Master_Mappings!$A$4:$E$85,3,FALSE()),"UNMAPPED"))</f>
        <v/>
      </c>
      <c r="P894" s="1" t="str">
        <f aca="false">IF($C894="","",$C894&amp;"|"&amp;$E894&amp;"|"&amp;$M894&amp;"|"&amp;TEXT($G894,"yyyy-mm-dd")&amp;"|"&amp;LEFT($J894,40))</f>
        <v/>
      </c>
      <c r="Q894" s="11" t="str">
        <f aca="false">IF(P894="","",IF(COUNTIF($P$2:$P$3000,P894)&gt;1,"DUPLICATE","OK"))</f>
        <v/>
      </c>
      <c r="R894" s="0" t="str">
        <f aca="false">IF($C894="","",IFERROR(VLOOKUP(--$C894,MM_Income!$Z$5:$AC$204,3,FALSE()),""))</f>
        <v/>
      </c>
    </row>
    <row r="895" customFormat="false" ht="13.5" hidden="false" customHeight="false" outlineLevel="0" collapsed="false">
      <c r="N895" s="1" t="str">
        <f aca="false">IF(C895="","",IFERROR(VLOOKUP(C895,Master_Mappings!$A$4:$E$85,3,FALSE()),"UNMAPPED"))</f>
        <v/>
      </c>
      <c r="P895" s="1" t="str">
        <f aca="false">IF($C895="","",$C895&amp;"|"&amp;$E895&amp;"|"&amp;$M895&amp;"|"&amp;TEXT($G895,"yyyy-mm-dd")&amp;"|"&amp;LEFT($J895,40))</f>
        <v/>
      </c>
      <c r="Q895" s="11" t="str">
        <f aca="false">IF(P895="","",IF(COUNTIF($P$2:$P$3000,P895)&gt;1,"DUPLICATE","OK"))</f>
        <v/>
      </c>
      <c r="R895" s="0" t="str">
        <f aca="false">IF($C895="","",IFERROR(VLOOKUP(--$C895,MM_Income!$Z$5:$AC$204,3,FALSE()),""))</f>
        <v/>
      </c>
    </row>
    <row r="896" customFormat="false" ht="13.5" hidden="false" customHeight="false" outlineLevel="0" collapsed="false">
      <c r="N896" s="1" t="str">
        <f aca="false">IF(C896="","",IFERROR(VLOOKUP(C896,Master_Mappings!$A$4:$E$85,3,FALSE()),"UNMAPPED"))</f>
        <v/>
      </c>
      <c r="P896" s="1" t="str">
        <f aca="false">IF($C896="","",$C896&amp;"|"&amp;$E896&amp;"|"&amp;$M896&amp;"|"&amp;TEXT($G896,"yyyy-mm-dd")&amp;"|"&amp;LEFT($J896,40))</f>
        <v/>
      </c>
      <c r="Q896" s="11" t="str">
        <f aca="false">IF(P896="","",IF(COUNTIF($P$2:$P$3000,P896)&gt;1,"DUPLICATE","OK"))</f>
        <v/>
      </c>
      <c r="R896" s="0" t="str">
        <f aca="false">IF($C896="","",IFERROR(VLOOKUP(--$C896,MM_Income!$Z$5:$AC$204,3,FALSE()),""))</f>
        <v/>
      </c>
    </row>
    <row r="897" customFormat="false" ht="13.5" hidden="false" customHeight="false" outlineLevel="0" collapsed="false">
      <c r="N897" s="1" t="str">
        <f aca="false">IF(C897="","",IFERROR(VLOOKUP(C897,Master_Mappings!$A$4:$E$85,3,FALSE()),"UNMAPPED"))</f>
        <v/>
      </c>
      <c r="P897" s="1" t="str">
        <f aca="false">IF($C897="","",$C897&amp;"|"&amp;$E897&amp;"|"&amp;$M897&amp;"|"&amp;TEXT($G897,"yyyy-mm-dd")&amp;"|"&amp;LEFT($J897,40))</f>
        <v/>
      </c>
      <c r="Q897" s="11" t="str">
        <f aca="false">IF(P897="","",IF(COUNTIF($P$2:$P$3000,P897)&gt;1,"DUPLICATE","OK"))</f>
        <v/>
      </c>
      <c r="R897" s="0" t="str">
        <f aca="false">IF($C897="","",IFERROR(VLOOKUP(--$C897,MM_Income!$Z$5:$AC$204,3,FALSE()),""))</f>
        <v/>
      </c>
    </row>
    <row r="898" customFormat="false" ht="13.5" hidden="false" customHeight="false" outlineLevel="0" collapsed="false">
      <c r="N898" s="1" t="str">
        <f aca="false">IF(C898="","",IFERROR(VLOOKUP(C898,Master_Mappings!$A$4:$E$85,3,FALSE()),"UNMAPPED"))</f>
        <v/>
      </c>
      <c r="P898" s="1" t="str">
        <f aca="false">IF($C898="","",$C898&amp;"|"&amp;$E898&amp;"|"&amp;$M898&amp;"|"&amp;TEXT($G898,"yyyy-mm-dd")&amp;"|"&amp;LEFT($J898,40))</f>
        <v/>
      </c>
      <c r="Q898" s="11" t="str">
        <f aca="false">IF(P898="","",IF(COUNTIF($P$2:$P$3000,P898)&gt;1,"DUPLICATE","OK"))</f>
        <v/>
      </c>
      <c r="R898" s="0" t="str">
        <f aca="false">IF($C898="","",IFERROR(VLOOKUP(--$C898,MM_Income!$Z$5:$AC$204,3,FALSE()),""))</f>
        <v/>
      </c>
    </row>
    <row r="899" customFormat="false" ht="13.5" hidden="false" customHeight="false" outlineLevel="0" collapsed="false">
      <c r="N899" s="1" t="str">
        <f aca="false">IF(C899="","",IFERROR(VLOOKUP(C899,Master_Mappings!$A$4:$E$85,3,FALSE()),"UNMAPPED"))</f>
        <v/>
      </c>
      <c r="P899" s="1" t="str">
        <f aca="false">IF($C899="","",$C899&amp;"|"&amp;$E899&amp;"|"&amp;$M899&amp;"|"&amp;TEXT($G899,"yyyy-mm-dd")&amp;"|"&amp;LEFT($J899,40))</f>
        <v/>
      </c>
      <c r="Q899" s="11" t="str">
        <f aca="false">IF(P899="","",IF(COUNTIF($P$2:$P$3000,P899)&gt;1,"DUPLICATE","OK"))</f>
        <v/>
      </c>
      <c r="R899" s="0" t="str">
        <f aca="false">IF($C899="","",IFERROR(VLOOKUP(--$C899,MM_Income!$Z$5:$AC$204,3,FALSE()),""))</f>
        <v/>
      </c>
    </row>
    <row r="900" customFormat="false" ht="13.5" hidden="false" customHeight="false" outlineLevel="0" collapsed="false">
      <c r="N900" s="1" t="str">
        <f aca="false">IF(C900="","",IFERROR(VLOOKUP(C900,Master_Mappings!$A$4:$E$85,3,FALSE()),"UNMAPPED"))</f>
        <v/>
      </c>
      <c r="P900" s="1" t="str">
        <f aca="false">IF($C900="","",$C900&amp;"|"&amp;$E900&amp;"|"&amp;$M900&amp;"|"&amp;TEXT($G900,"yyyy-mm-dd")&amp;"|"&amp;LEFT($J900,40))</f>
        <v/>
      </c>
      <c r="Q900" s="11" t="str">
        <f aca="false">IF(P900="","",IF(COUNTIF($P$2:$P$3000,P900)&gt;1,"DUPLICATE","OK"))</f>
        <v/>
      </c>
      <c r="R900" s="0" t="str">
        <f aca="false">IF($C900="","",IFERROR(VLOOKUP(--$C900,MM_Income!$Z$5:$AC$204,3,FALSE()),""))</f>
        <v/>
      </c>
    </row>
    <row r="901" customFormat="false" ht="13.5" hidden="false" customHeight="false" outlineLevel="0" collapsed="false">
      <c r="N901" s="1" t="str">
        <f aca="false">IF(C901="","",IFERROR(VLOOKUP(C901,Master_Mappings!$A$4:$E$85,3,FALSE()),"UNMAPPED"))</f>
        <v/>
      </c>
      <c r="P901" s="1" t="str">
        <f aca="false">IF($C901="","",$C901&amp;"|"&amp;$E901&amp;"|"&amp;$M901&amp;"|"&amp;TEXT($G901,"yyyy-mm-dd")&amp;"|"&amp;LEFT($J901,40))</f>
        <v/>
      </c>
      <c r="Q901" s="11" t="str">
        <f aca="false">IF(P901="","",IF(COUNTIF($P$2:$P$3000,P901)&gt;1,"DUPLICATE","OK"))</f>
        <v/>
      </c>
      <c r="R901" s="0" t="str">
        <f aca="false">IF($C901="","",IFERROR(VLOOKUP(--$C901,MM_Income!$Z$5:$AC$204,3,FALSE()),""))</f>
        <v/>
      </c>
    </row>
    <row r="902" customFormat="false" ht="13.5" hidden="false" customHeight="false" outlineLevel="0" collapsed="false">
      <c r="N902" s="1" t="str">
        <f aca="false">IF(C902="","",IFERROR(VLOOKUP(C902,Master_Mappings!$A$4:$E$85,3,FALSE()),"UNMAPPED"))</f>
        <v/>
      </c>
      <c r="P902" s="1" t="str">
        <f aca="false">IF($C902="","",$C902&amp;"|"&amp;$E902&amp;"|"&amp;$M902&amp;"|"&amp;TEXT($G902,"yyyy-mm-dd")&amp;"|"&amp;LEFT($J902,40))</f>
        <v/>
      </c>
      <c r="Q902" s="11" t="str">
        <f aca="false">IF(P902="","",IF(COUNTIF($P$2:$P$3000,P902)&gt;1,"DUPLICATE","OK"))</f>
        <v/>
      </c>
      <c r="R902" s="0" t="str">
        <f aca="false">IF($C902="","",IFERROR(VLOOKUP(--$C902,MM_Income!$Z$5:$AC$204,3,FALSE()),""))</f>
        <v/>
      </c>
    </row>
    <row r="903" customFormat="false" ht="13.5" hidden="false" customHeight="false" outlineLevel="0" collapsed="false">
      <c r="N903" s="1" t="str">
        <f aca="false">IF(C903="","",IFERROR(VLOOKUP(C903,Master_Mappings!$A$4:$E$85,3,FALSE()),"UNMAPPED"))</f>
        <v/>
      </c>
      <c r="P903" s="1" t="str">
        <f aca="false">IF($C903="","",$C903&amp;"|"&amp;$E903&amp;"|"&amp;$M903&amp;"|"&amp;TEXT($G903,"yyyy-mm-dd")&amp;"|"&amp;LEFT($J903,40))</f>
        <v/>
      </c>
      <c r="Q903" s="11" t="str">
        <f aca="false">IF(P903="","",IF(COUNTIF($P$2:$P$3000,P903)&gt;1,"DUPLICATE","OK"))</f>
        <v/>
      </c>
      <c r="R903" s="0" t="str">
        <f aca="false">IF($C903="","",IFERROR(VLOOKUP(--$C903,MM_Income!$Z$5:$AC$204,3,FALSE()),""))</f>
        <v/>
      </c>
    </row>
    <row r="904" customFormat="false" ht="13.5" hidden="false" customHeight="false" outlineLevel="0" collapsed="false">
      <c r="N904" s="1" t="str">
        <f aca="false">IF(C904="","",IFERROR(VLOOKUP(C904,Master_Mappings!$A$4:$E$85,3,FALSE()),"UNMAPPED"))</f>
        <v/>
      </c>
      <c r="P904" s="1" t="str">
        <f aca="false">IF($C904="","",$C904&amp;"|"&amp;$E904&amp;"|"&amp;$M904&amp;"|"&amp;TEXT($G904,"yyyy-mm-dd")&amp;"|"&amp;LEFT($J904,40))</f>
        <v/>
      </c>
      <c r="Q904" s="11" t="str">
        <f aca="false">IF(P904="","",IF(COUNTIF($P$2:$P$3000,P904)&gt;1,"DUPLICATE","OK"))</f>
        <v/>
      </c>
      <c r="R904" s="0" t="str">
        <f aca="false">IF($C904="","",IFERROR(VLOOKUP(--$C904,MM_Income!$Z$5:$AC$204,3,FALSE()),""))</f>
        <v/>
      </c>
    </row>
    <row r="905" customFormat="false" ht="13.5" hidden="false" customHeight="false" outlineLevel="0" collapsed="false">
      <c r="N905" s="1" t="str">
        <f aca="false">IF(C905="","",IFERROR(VLOOKUP(C905,Master_Mappings!$A$4:$E$85,3,FALSE()),"UNMAPPED"))</f>
        <v/>
      </c>
      <c r="P905" s="1" t="str">
        <f aca="false">IF($C905="","",$C905&amp;"|"&amp;$E905&amp;"|"&amp;$M905&amp;"|"&amp;TEXT($G905,"yyyy-mm-dd")&amp;"|"&amp;LEFT($J905,40))</f>
        <v/>
      </c>
      <c r="Q905" s="11" t="str">
        <f aca="false">IF(P905="","",IF(COUNTIF($P$2:$P$3000,P905)&gt;1,"DUPLICATE","OK"))</f>
        <v/>
      </c>
      <c r="R905" s="0" t="str">
        <f aca="false">IF($C905="","",IFERROR(VLOOKUP(--$C905,MM_Income!$Z$5:$AC$204,3,FALSE()),""))</f>
        <v/>
      </c>
    </row>
    <row r="906" customFormat="false" ht="13.5" hidden="false" customHeight="false" outlineLevel="0" collapsed="false">
      <c r="N906" s="1" t="str">
        <f aca="false">IF(C906="","",IFERROR(VLOOKUP(C906,Master_Mappings!$A$4:$E$85,3,FALSE()),"UNMAPPED"))</f>
        <v/>
      </c>
      <c r="P906" s="1" t="str">
        <f aca="false">IF($C906="","",$C906&amp;"|"&amp;$E906&amp;"|"&amp;$M906&amp;"|"&amp;TEXT($G906,"yyyy-mm-dd")&amp;"|"&amp;LEFT($J906,40))</f>
        <v/>
      </c>
      <c r="Q906" s="11" t="str">
        <f aca="false">IF(P906="","",IF(COUNTIF($P$2:$P$3000,P906)&gt;1,"DUPLICATE","OK"))</f>
        <v/>
      </c>
      <c r="R906" s="0" t="str">
        <f aca="false">IF($C906="","",IFERROR(VLOOKUP(--$C906,MM_Income!$Z$5:$AC$204,3,FALSE()),""))</f>
        <v/>
      </c>
    </row>
    <row r="907" customFormat="false" ht="13.5" hidden="false" customHeight="false" outlineLevel="0" collapsed="false">
      <c r="N907" s="1" t="str">
        <f aca="false">IF(C907="","",IFERROR(VLOOKUP(C907,Master_Mappings!$A$4:$E$85,3,FALSE()),"UNMAPPED"))</f>
        <v/>
      </c>
      <c r="P907" s="1" t="str">
        <f aca="false">IF($C907="","",$C907&amp;"|"&amp;$E907&amp;"|"&amp;$M907&amp;"|"&amp;TEXT($G907,"yyyy-mm-dd")&amp;"|"&amp;LEFT($J907,40))</f>
        <v/>
      </c>
      <c r="Q907" s="11" t="str">
        <f aca="false">IF(P907="","",IF(COUNTIF($P$2:$P$3000,P907)&gt;1,"DUPLICATE","OK"))</f>
        <v/>
      </c>
      <c r="R907" s="0" t="str">
        <f aca="false">IF($C907="","",IFERROR(VLOOKUP(--$C907,MM_Income!$Z$5:$AC$204,3,FALSE()),""))</f>
        <v/>
      </c>
    </row>
    <row r="908" customFormat="false" ht="13.5" hidden="false" customHeight="false" outlineLevel="0" collapsed="false">
      <c r="N908" s="1" t="str">
        <f aca="false">IF(C908="","",IFERROR(VLOOKUP(C908,Master_Mappings!$A$4:$E$85,3,FALSE()),"UNMAPPED"))</f>
        <v/>
      </c>
      <c r="P908" s="1" t="str">
        <f aca="false">IF($C908="","",$C908&amp;"|"&amp;$E908&amp;"|"&amp;$M908&amp;"|"&amp;TEXT($G908,"yyyy-mm-dd")&amp;"|"&amp;LEFT($J908,40))</f>
        <v/>
      </c>
      <c r="Q908" s="11" t="str">
        <f aca="false">IF(P908="","",IF(COUNTIF($P$2:$P$3000,P908)&gt;1,"DUPLICATE","OK"))</f>
        <v/>
      </c>
      <c r="R908" s="0" t="str">
        <f aca="false">IF($C908="","",IFERROR(VLOOKUP(--$C908,MM_Income!$Z$5:$AC$204,3,FALSE()),""))</f>
        <v/>
      </c>
    </row>
    <row r="909" customFormat="false" ht="13.5" hidden="false" customHeight="false" outlineLevel="0" collapsed="false">
      <c r="N909" s="1" t="str">
        <f aca="false">IF(C909="","",IFERROR(VLOOKUP(C909,Master_Mappings!$A$4:$E$85,3,FALSE()),"UNMAPPED"))</f>
        <v/>
      </c>
      <c r="P909" s="1" t="str">
        <f aca="false">IF($C909="","",$C909&amp;"|"&amp;$E909&amp;"|"&amp;$M909&amp;"|"&amp;TEXT($G909,"yyyy-mm-dd")&amp;"|"&amp;LEFT($J909,40))</f>
        <v/>
      </c>
      <c r="Q909" s="11" t="str">
        <f aca="false">IF(P909="","",IF(COUNTIF($P$2:$P$3000,P909)&gt;1,"DUPLICATE","OK"))</f>
        <v/>
      </c>
      <c r="R909" s="0" t="str">
        <f aca="false">IF($C909="","",IFERROR(VLOOKUP(--$C909,MM_Income!$Z$5:$AC$204,3,FALSE()),""))</f>
        <v/>
      </c>
    </row>
    <row r="910" customFormat="false" ht="13.5" hidden="false" customHeight="false" outlineLevel="0" collapsed="false">
      <c r="N910" s="1" t="str">
        <f aca="false">IF(C910="","",IFERROR(VLOOKUP(C910,Master_Mappings!$A$4:$E$85,3,FALSE()),"UNMAPPED"))</f>
        <v/>
      </c>
      <c r="P910" s="1" t="str">
        <f aca="false">IF($C910="","",$C910&amp;"|"&amp;$E910&amp;"|"&amp;$M910&amp;"|"&amp;TEXT($G910,"yyyy-mm-dd")&amp;"|"&amp;LEFT($J910,40))</f>
        <v/>
      </c>
      <c r="Q910" s="11" t="str">
        <f aca="false">IF(P910="","",IF(COUNTIF($P$2:$P$3000,P910)&gt;1,"DUPLICATE","OK"))</f>
        <v/>
      </c>
      <c r="R910" s="0" t="str">
        <f aca="false">IF($C910="","",IFERROR(VLOOKUP(--$C910,MM_Income!$Z$5:$AC$204,3,FALSE()),""))</f>
        <v/>
      </c>
    </row>
    <row r="911" customFormat="false" ht="13.5" hidden="false" customHeight="false" outlineLevel="0" collapsed="false">
      <c r="N911" s="1" t="str">
        <f aca="false">IF(C911="","",IFERROR(VLOOKUP(C911,Master_Mappings!$A$4:$E$85,3,FALSE()),"UNMAPPED"))</f>
        <v/>
      </c>
      <c r="P911" s="1" t="str">
        <f aca="false">IF($C911="","",$C911&amp;"|"&amp;$E911&amp;"|"&amp;$M911&amp;"|"&amp;TEXT($G911,"yyyy-mm-dd")&amp;"|"&amp;LEFT($J911,40))</f>
        <v/>
      </c>
      <c r="Q911" s="11" t="str">
        <f aca="false">IF(P911="","",IF(COUNTIF($P$2:$P$3000,P911)&gt;1,"DUPLICATE","OK"))</f>
        <v/>
      </c>
      <c r="R911" s="0" t="str">
        <f aca="false">IF($C911="","",IFERROR(VLOOKUP(--$C911,MM_Income!$Z$5:$AC$204,3,FALSE()),""))</f>
        <v/>
      </c>
    </row>
    <row r="912" customFormat="false" ht="13.5" hidden="false" customHeight="false" outlineLevel="0" collapsed="false">
      <c r="N912" s="1" t="str">
        <f aca="false">IF(C912="","",IFERROR(VLOOKUP(C912,Master_Mappings!$A$4:$E$85,3,FALSE()),"UNMAPPED"))</f>
        <v/>
      </c>
      <c r="P912" s="1" t="str">
        <f aca="false">IF($C912="","",$C912&amp;"|"&amp;$E912&amp;"|"&amp;$M912&amp;"|"&amp;TEXT($G912,"yyyy-mm-dd")&amp;"|"&amp;LEFT($J912,40))</f>
        <v/>
      </c>
      <c r="Q912" s="11" t="str">
        <f aca="false">IF(P912="","",IF(COUNTIF($P$2:$P$3000,P912)&gt;1,"DUPLICATE","OK"))</f>
        <v/>
      </c>
      <c r="R912" s="0" t="str">
        <f aca="false">IF($C912="","",IFERROR(VLOOKUP(--$C912,MM_Income!$Z$5:$AC$204,3,FALSE()),""))</f>
        <v/>
      </c>
    </row>
    <row r="913" customFormat="false" ht="13.5" hidden="false" customHeight="false" outlineLevel="0" collapsed="false">
      <c r="N913" s="1" t="str">
        <f aca="false">IF(C913="","",IFERROR(VLOOKUP(C913,Master_Mappings!$A$4:$E$85,3,FALSE()),"UNMAPPED"))</f>
        <v/>
      </c>
      <c r="P913" s="1" t="str">
        <f aca="false">IF($C913="","",$C913&amp;"|"&amp;$E913&amp;"|"&amp;$M913&amp;"|"&amp;TEXT($G913,"yyyy-mm-dd")&amp;"|"&amp;LEFT($J913,40))</f>
        <v/>
      </c>
      <c r="Q913" s="11" t="str">
        <f aca="false">IF(P913="","",IF(COUNTIF($P$2:$P$3000,P913)&gt;1,"DUPLICATE","OK"))</f>
        <v/>
      </c>
      <c r="R913" s="0" t="str">
        <f aca="false">IF($C913="","",IFERROR(VLOOKUP(--$C913,MM_Income!$Z$5:$AC$204,3,FALSE()),""))</f>
        <v/>
      </c>
    </row>
    <row r="914" customFormat="false" ht="13.5" hidden="false" customHeight="false" outlineLevel="0" collapsed="false">
      <c r="N914" s="1" t="str">
        <f aca="false">IF(C914="","",IFERROR(VLOOKUP(C914,Master_Mappings!$A$4:$E$85,3,FALSE()),"UNMAPPED"))</f>
        <v/>
      </c>
      <c r="P914" s="1" t="str">
        <f aca="false">IF($C914="","",$C914&amp;"|"&amp;$E914&amp;"|"&amp;$M914&amp;"|"&amp;TEXT($G914,"yyyy-mm-dd")&amp;"|"&amp;LEFT($J914,40))</f>
        <v/>
      </c>
      <c r="Q914" s="11" t="str">
        <f aca="false">IF(P914="","",IF(COUNTIF($P$2:$P$3000,P914)&gt;1,"DUPLICATE","OK"))</f>
        <v/>
      </c>
      <c r="R914" s="0" t="str">
        <f aca="false">IF($C914="","",IFERROR(VLOOKUP(--$C914,MM_Income!$Z$5:$AC$204,3,FALSE()),""))</f>
        <v/>
      </c>
    </row>
    <row r="915" customFormat="false" ht="13.5" hidden="false" customHeight="false" outlineLevel="0" collapsed="false">
      <c r="N915" s="1" t="str">
        <f aca="false">IF(C915="","",IFERROR(VLOOKUP(C915,Master_Mappings!$A$4:$E$85,3,FALSE()),"UNMAPPED"))</f>
        <v/>
      </c>
      <c r="P915" s="1" t="str">
        <f aca="false">IF($C915="","",$C915&amp;"|"&amp;$E915&amp;"|"&amp;$M915&amp;"|"&amp;TEXT($G915,"yyyy-mm-dd")&amp;"|"&amp;LEFT($J915,40))</f>
        <v/>
      </c>
      <c r="Q915" s="11" t="str">
        <f aca="false">IF(P915="","",IF(COUNTIF($P$2:$P$3000,P915)&gt;1,"DUPLICATE","OK"))</f>
        <v/>
      </c>
      <c r="R915" s="0" t="str">
        <f aca="false">IF($C915="","",IFERROR(VLOOKUP(--$C915,MM_Income!$Z$5:$AC$204,3,FALSE()),""))</f>
        <v/>
      </c>
    </row>
    <row r="916" customFormat="false" ht="13.5" hidden="false" customHeight="false" outlineLevel="0" collapsed="false">
      <c r="N916" s="1" t="str">
        <f aca="false">IF(C916="","",IFERROR(VLOOKUP(C916,Master_Mappings!$A$4:$E$85,3,FALSE()),"UNMAPPED"))</f>
        <v/>
      </c>
      <c r="P916" s="1" t="str">
        <f aca="false">IF($C916="","",$C916&amp;"|"&amp;$E916&amp;"|"&amp;$M916&amp;"|"&amp;TEXT($G916,"yyyy-mm-dd")&amp;"|"&amp;LEFT($J916,40))</f>
        <v/>
      </c>
      <c r="Q916" s="11" t="str">
        <f aca="false">IF(P916="","",IF(COUNTIF($P$2:$P$3000,P916)&gt;1,"DUPLICATE","OK"))</f>
        <v/>
      </c>
      <c r="R916" s="0" t="str">
        <f aca="false">IF($C916="","",IFERROR(VLOOKUP(--$C916,MM_Income!$Z$5:$AC$204,3,FALSE()),""))</f>
        <v/>
      </c>
    </row>
    <row r="917" customFormat="false" ht="13.5" hidden="false" customHeight="false" outlineLevel="0" collapsed="false">
      <c r="N917" s="1" t="str">
        <f aca="false">IF(C917="","",IFERROR(VLOOKUP(C917,Master_Mappings!$A$4:$E$85,3,FALSE()),"UNMAPPED"))</f>
        <v/>
      </c>
      <c r="P917" s="1" t="str">
        <f aca="false">IF($C917="","",$C917&amp;"|"&amp;$E917&amp;"|"&amp;$M917&amp;"|"&amp;TEXT($G917,"yyyy-mm-dd")&amp;"|"&amp;LEFT($J917,40))</f>
        <v/>
      </c>
      <c r="Q917" s="11" t="str">
        <f aca="false">IF(P917="","",IF(COUNTIF($P$2:$P$3000,P917)&gt;1,"DUPLICATE","OK"))</f>
        <v/>
      </c>
      <c r="R917" s="0" t="str">
        <f aca="false">IF($C917="","",IFERROR(VLOOKUP(--$C917,MM_Income!$Z$5:$AC$204,3,FALSE()),""))</f>
        <v/>
      </c>
    </row>
    <row r="918" customFormat="false" ht="13.5" hidden="false" customHeight="false" outlineLevel="0" collapsed="false">
      <c r="N918" s="1" t="str">
        <f aca="false">IF(C918="","",IFERROR(VLOOKUP(C918,Master_Mappings!$A$4:$E$85,3,FALSE()),"UNMAPPED"))</f>
        <v/>
      </c>
      <c r="P918" s="1" t="str">
        <f aca="false">IF($C918="","",$C918&amp;"|"&amp;$E918&amp;"|"&amp;$M918&amp;"|"&amp;TEXT($G918,"yyyy-mm-dd")&amp;"|"&amp;LEFT($J918,40))</f>
        <v/>
      </c>
      <c r="Q918" s="11" t="str">
        <f aca="false">IF(P918="","",IF(COUNTIF($P$2:$P$3000,P918)&gt;1,"DUPLICATE","OK"))</f>
        <v/>
      </c>
      <c r="R918" s="0" t="str">
        <f aca="false">IF($C918="","",IFERROR(VLOOKUP(--$C918,MM_Income!$Z$5:$AC$204,3,FALSE()),""))</f>
        <v/>
      </c>
    </row>
    <row r="919" customFormat="false" ht="13.5" hidden="false" customHeight="false" outlineLevel="0" collapsed="false">
      <c r="N919" s="1" t="str">
        <f aca="false">IF(C919="","",IFERROR(VLOOKUP(C919,Master_Mappings!$A$4:$E$85,3,FALSE()),"UNMAPPED"))</f>
        <v/>
      </c>
      <c r="P919" s="1" t="str">
        <f aca="false">IF($C919="","",$C919&amp;"|"&amp;$E919&amp;"|"&amp;$M919&amp;"|"&amp;TEXT($G919,"yyyy-mm-dd")&amp;"|"&amp;LEFT($J919,40))</f>
        <v/>
      </c>
      <c r="Q919" s="11" t="str">
        <f aca="false">IF(P919="","",IF(COUNTIF($P$2:$P$3000,P919)&gt;1,"DUPLICATE","OK"))</f>
        <v/>
      </c>
      <c r="R919" s="0" t="str">
        <f aca="false">IF($C919="","",IFERROR(VLOOKUP(--$C919,MM_Income!$Z$5:$AC$204,3,FALSE()),""))</f>
        <v/>
      </c>
    </row>
    <row r="920" customFormat="false" ht="13.5" hidden="false" customHeight="false" outlineLevel="0" collapsed="false">
      <c r="N920" s="1" t="str">
        <f aca="false">IF(C920="","",IFERROR(VLOOKUP(C920,Master_Mappings!$A$4:$E$85,3,FALSE()),"UNMAPPED"))</f>
        <v/>
      </c>
      <c r="P920" s="1" t="str">
        <f aca="false">IF($C920="","",$C920&amp;"|"&amp;$E920&amp;"|"&amp;$M920&amp;"|"&amp;TEXT($G920,"yyyy-mm-dd")&amp;"|"&amp;LEFT($J920,40))</f>
        <v/>
      </c>
      <c r="Q920" s="11" t="str">
        <f aca="false">IF(P920="","",IF(COUNTIF($P$2:$P$3000,P920)&gt;1,"DUPLICATE","OK"))</f>
        <v/>
      </c>
      <c r="R920" s="0" t="str">
        <f aca="false">IF($C920="","",IFERROR(VLOOKUP(--$C920,MM_Income!$Z$5:$AC$204,3,FALSE()),""))</f>
        <v/>
      </c>
    </row>
    <row r="921" customFormat="false" ht="13.5" hidden="false" customHeight="false" outlineLevel="0" collapsed="false">
      <c r="N921" s="1" t="str">
        <f aca="false">IF(C921="","",IFERROR(VLOOKUP(C921,Master_Mappings!$A$4:$E$85,3,FALSE()),"UNMAPPED"))</f>
        <v/>
      </c>
      <c r="P921" s="1" t="str">
        <f aca="false">IF($C921="","",$C921&amp;"|"&amp;$E921&amp;"|"&amp;$M921&amp;"|"&amp;TEXT($G921,"yyyy-mm-dd")&amp;"|"&amp;LEFT($J921,40))</f>
        <v/>
      </c>
      <c r="Q921" s="11" t="str">
        <f aca="false">IF(P921="","",IF(COUNTIF($P$2:$P$3000,P921)&gt;1,"DUPLICATE","OK"))</f>
        <v/>
      </c>
      <c r="R921" s="0" t="str">
        <f aca="false">IF($C921="","",IFERROR(VLOOKUP(--$C921,MM_Income!$Z$5:$AC$204,3,FALSE()),""))</f>
        <v/>
      </c>
    </row>
    <row r="922" customFormat="false" ht="13.5" hidden="false" customHeight="false" outlineLevel="0" collapsed="false">
      <c r="N922" s="1" t="str">
        <f aca="false">IF(C922="","",IFERROR(VLOOKUP(C922,Master_Mappings!$A$4:$E$85,3,FALSE()),"UNMAPPED"))</f>
        <v/>
      </c>
      <c r="P922" s="1" t="str">
        <f aca="false">IF($C922="","",$C922&amp;"|"&amp;$E922&amp;"|"&amp;$M922&amp;"|"&amp;TEXT($G922,"yyyy-mm-dd")&amp;"|"&amp;LEFT($J922,40))</f>
        <v/>
      </c>
      <c r="Q922" s="11" t="str">
        <f aca="false">IF(P922="","",IF(COUNTIF($P$2:$P$3000,P922)&gt;1,"DUPLICATE","OK"))</f>
        <v/>
      </c>
      <c r="R922" s="0" t="str">
        <f aca="false">IF($C922="","",IFERROR(VLOOKUP(--$C922,MM_Income!$Z$5:$AC$204,3,FALSE()),""))</f>
        <v/>
      </c>
    </row>
    <row r="923" customFormat="false" ht="13.5" hidden="false" customHeight="false" outlineLevel="0" collapsed="false">
      <c r="N923" s="1" t="str">
        <f aca="false">IF(C923="","",IFERROR(VLOOKUP(C923,Master_Mappings!$A$4:$E$85,3,FALSE()),"UNMAPPED"))</f>
        <v/>
      </c>
      <c r="P923" s="1" t="str">
        <f aca="false">IF($C923="","",$C923&amp;"|"&amp;$E923&amp;"|"&amp;$M923&amp;"|"&amp;TEXT($G923,"yyyy-mm-dd")&amp;"|"&amp;LEFT($J923,40))</f>
        <v/>
      </c>
      <c r="Q923" s="11" t="str">
        <f aca="false">IF(P923="","",IF(COUNTIF($P$2:$P$3000,P923)&gt;1,"DUPLICATE","OK"))</f>
        <v/>
      </c>
      <c r="R923" s="0" t="str">
        <f aca="false">IF($C923="","",IFERROR(VLOOKUP(--$C923,MM_Income!$Z$5:$AC$204,3,FALSE()),""))</f>
        <v/>
      </c>
    </row>
    <row r="924" customFormat="false" ht="13.5" hidden="false" customHeight="false" outlineLevel="0" collapsed="false">
      <c r="N924" s="1" t="str">
        <f aca="false">IF(C924="","",IFERROR(VLOOKUP(C924,Master_Mappings!$A$4:$E$85,3,FALSE()),"UNMAPPED"))</f>
        <v/>
      </c>
      <c r="P924" s="1" t="str">
        <f aca="false">IF($C924="","",$C924&amp;"|"&amp;$E924&amp;"|"&amp;$M924&amp;"|"&amp;TEXT($G924,"yyyy-mm-dd")&amp;"|"&amp;LEFT($J924,40))</f>
        <v/>
      </c>
      <c r="Q924" s="11" t="str">
        <f aca="false">IF(P924="","",IF(COUNTIF($P$2:$P$3000,P924)&gt;1,"DUPLICATE","OK"))</f>
        <v/>
      </c>
      <c r="R924" s="0" t="str">
        <f aca="false">IF($C924="","",IFERROR(VLOOKUP(--$C924,MM_Income!$Z$5:$AC$204,3,FALSE()),""))</f>
        <v/>
      </c>
    </row>
    <row r="925" customFormat="false" ht="13.5" hidden="false" customHeight="false" outlineLevel="0" collapsed="false">
      <c r="N925" s="1" t="str">
        <f aca="false">IF(C925="","",IFERROR(VLOOKUP(C925,Master_Mappings!$A$4:$E$85,3,FALSE()),"UNMAPPED"))</f>
        <v/>
      </c>
      <c r="P925" s="1" t="str">
        <f aca="false">IF($C925="","",$C925&amp;"|"&amp;$E925&amp;"|"&amp;$M925&amp;"|"&amp;TEXT($G925,"yyyy-mm-dd")&amp;"|"&amp;LEFT($J925,40))</f>
        <v/>
      </c>
      <c r="Q925" s="11" t="str">
        <f aca="false">IF(P925="","",IF(COUNTIF($P$2:$P$3000,P925)&gt;1,"DUPLICATE","OK"))</f>
        <v/>
      </c>
      <c r="R925" s="0" t="str">
        <f aca="false">IF($C925="","",IFERROR(VLOOKUP(--$C925,MM_Income!$Z$5:$AC$204,3,FALSE()),""))</f>
        <v/>
      </c>
    </row>
    <row r="926" customFormat="false" ht="13.5" hidden="false" customHeight="false" outlineLevel="0" collapsed="false">
      <c r="N926" s="1" t="str">
        <f aca="false">IF(C926="","",IFERROR(VLOOKUP(C926,Master_Mappings!$A$4:$E$85,3,FALSE()),"UNMAPPED"))</f>
        <v/>
      </c>
      <c r="P926" s="1" t="str">
        <f aca="false">IF($C926="","",$C926&amp;"|"&amp;$E926&amp;"|"&amp;$M926&amp;"|"&amp;TEXT($G926,"yyyy-mm-dd")&amp;"|"&amp;LEFT($J926,40))</f>
        <v/>
      </c>
      <c r="Q926" s="11" t="str">
        <f aca="false">IF(P926="","",IF(COUNTIF($P$2:$P$3000,P926)&gt;1,"DUPLICATE","OK"))</f>
        <v/>
      </c>
      <c r="R926" s="0" t="str">
        <f aca="false">IF($C926="","",IFERROR(VLOOKUP(--$C926,MM_Income!$Z$5:$AC$204,3,FALSE()),""))</f>
        <v/>
      </c>
    </row>
    <row r="927" customFormat="false" ht="13.5" hidden="false" customHeight="false" outlineLevel="0" collapsed="false">
      <c r="N927" s="1" t="str">
        <f aca="false">IF(C927="","",IFERROR(VLOOKUP(C927,Master_Mappings!$A$4:$E$85,3,FALSE()),"UNMAPPED"))</f>
        <v/>
      </c>
      <c r="P927" s="1" t="str">
        <f aca="false">IF($C927="","",$C927&amp;"|"&amp;$E927&amp;"|"&amp;$M927&amp;"|"&amp;TEXT($G927,"yyyy-mm-dd")&amp;"|"&amp;LEFT($J927,40))</f>
        <v/>
      </c>
      <c r="Q927" s="11" t="str">
        <f aca="false">IF(P927="","",IF(COUNTIF($P$2:$P$3000,P927)&gt;1,"DUPLICATE","OK"))</f>
        <v/>
      </c>
      <c r="R927" s="0" t="str">
        <f aca="false">IF($C927="","",IFERROR(VLOOKUP(--$C927,MM_Income!$Z$5:$AC$204,3,FALSE()),""))</f>
        <v/>
      </c>
    </row>
    <row r="928" customFormat="false" ht="13.5" hidden="false" customHeight="false" outlineLevel="0" collapsed="false">
      <c r="N928" s="1" t="str">
        <f aca="false">IF(C928="","",IFERROR(VLOOKUP(C928,Master_Mappings!$A$4:$E$85,3,FALSE()),"UNMAPPED"))</f>
        <v/>
      </c>
      <c r="P928" s="1" t="str">
        <f aca="false">IF($C928="","",$C928&amp;"|"&amp;$E928&amp;"|"&amp;$M928&amp;"|"&amp;TEXT($G928,"yyyy-mm-dd")&amp;"|"&amp;LEFT($J928,40))</f>
        <v/>
      </c>
      <c r="Q928" s="11" t="str">
        <f aca="false">IF(P928="","",IF(COUNTIF($P$2:$P$3000,P928)&gt;1,"DUPLICATE","OK"))</f>
        <v/>
      </c>
      <c r="R928" s="0" t="str">
        <f aca="false">IF($C928="","",IFERROR(VLOOKUP(--$C928,MM_Income!$Z$5:$AC$204,3,FALSE()),""))</f>
        <v/>
      </c>
    </row>
    <row r="929" customFormat="false" ht="13.5" hidden="false" customHeight="false" outlineLevel="0" collapsed="false">
      <c r="N929" s="1" t="str">
        <f aca="false">IF(C929="","",IFERROR(VLOOKUP(C929,Master_Mappings!$A$4:$E$85,3,FALSE()),"UNMAPPED"))</f>
        <v/>
      </c>
      <c r="P929" s="1" t="str">
        <f aca="false">IF($C929="","",$C929&amp;"|"&amp;$E929&amp;"|"&amp;$M929&amp;"|"&amp;TEXT($G929,"yyyy-mm-dd")&amp;"|"&amp;LEFT($J929,40))</f>
        <v/>
      </c>
      <c r="Q929" s="11" t="str">
        <f aca="false">IF(P929="","",IF(COUNTIF($P$2:$P$3000,P929)&gt;1,"DUPLICATE","OK"))</f>
        <v/>
      </c>
      <c r="R929" s="0" t="str">
        <f aca="false">IF($C929="","",IFERROR(VLOOKUP(--$C929,MM_Income!$Z$5:$AC$204,3,FALSE()),""))</f>
        <v/>
      </c>
    </row>
    <row r="930" customFormat="false" ht="13.5" hidden="false" customHeight="false" outlineLevel="0" collapsed="false">
      <c r="N930" s="1" t="str">
        <f aca="false">IF(C930="","",IFERROR(VLOOKUP(C930,Master_Mappings!$A$4:$E$85,3,FALSE()),"UNMAPPED"))</f>
        <v/>
      </c>
      <c r="P930" s="1" t="str">
        <f aca="false">IF($C930="","",$C930&amp;"|"&amp;$E930&amp;"|"&amp;$M930&amp;"|"&amp;TEXT($G930,"yyyy-mm-dd")&amp;"|"&amp;LEFT($J930,40))</f>
        <v/>
      </c>
      <c r="Q930" s="11" t="str">
        <f aca="false">IF(P930="","",IF(COUNTIF($P$2:$P$3000,P930)&gt;1,"DUPLICATE","OK"))</f>
        <v/>
      </c>
      <c r="R930" s="0" t="str">
        <f aca="false">IF($C930="","",IFERROR(VLOOKUP(--$C930,MM_Income!$Z$5:$AC$204,3,FALSE()),""))</f>
        <v/>
      </c>
    </row>
    <row r="931" customFormat="false" ht="13.5" hidden="false" customHeight="false" outlineLevel="0" collapsed="false">
      <c r="N931" s="1" t="str">
        <f aca="false">IF(C931="","",IFERROR(VLOOKUP(C931,Master_Mappings!$A$4:$E$85,3,FALSE()),"UNMAPPED"))</f>
        <v/>
      </c>
      <c r="P931" s="1" t="str">
        <f aca="false">IF($C931="","",$C931&amp;"|"&amp;$E931&amp;"|"&amp;$M931&amp;"|"&amp;TEXT($G931,"yyyy-mm-dd")&amp;"|"&amp;LEFT($J931,40))</f>
        <v/>
      </c>
      <c r="Q931" s="11" t="str">
        <f aca="false">IF(P931="","",IF(COUNTIF($P$2:$P$3000,P931)&gt;1,"DUPLICATE","OK"))</f>
        <v/>
      </c>
      <c r="R931" s="0" t="str">
        <f aca="false">IF($C931="","",IFERROR(VLOOKUP(--$C931,MM_Income!$Z$5:$AC$204,3,FALSE()),""))</f>
        <v/>
      </c>
    </row>
    <row r="932" customFormat="false" ht="13.5" hidden="false" customHeight="false" outlineLevel="0" collapsed="false">
      <c r="N932" s="1" t="str">
        <f aca="false">IF(C932="","",IFERROR(VLOOKUP(C932,Master_Mappings!$A$4:$E$85,3,FALSE()),"UNMAPPED"))</f>
        <v/>
      </c>
      <c r="P932" s="1" t="str">
        <f aca="false">IF($C932="","",$C932&amp;"|"&amp;$E932&amp;"|"&amp;$M932&amp;"|"&amp;TEXT($G932,"yyyy-mm-dd")&amp;"|"&amp;LEFT($J932,40))</f>
        <v/>
      </c>
      <c r="Q932" s="11" t="str">
        <f aca="false">IF(P932="","",IF(COUNTIF($P$2:$P$3000,P932)&gt;1,"DUPLICATE","OK"))</f>
        <v/>
      </c>
      <c r="R932" s="0" t="str">
        <f aca="false">IF($C932="","",IFERROR(VLOOKUP(--$C932,MM_Income!$Z$5:$AC$204,3,FALSE()),""))</f>
        <v/>
      </c>
    </row>
    <row r="933" customFormat="false" ht="13.5" hidden="false" customHeight="false" outlineLevel="0" collapsed="false">
      <c r="N933" s="1" t="str">
        <f aca="false">IF(C933="","",IFERROR(VLOOKUP(C933,Master_Mappings!$A$4:$E$85,3,FALSE()),"UNMAPPED"))</f>
        <v/>
      </c>
      <c r="P933" s="1" t="str">
        <f aca="false">IF($C933="","",$C933&amp;"|"&amp;$E933&amp;"|"&amp;$M933&amp;"|"&amp;TEXT($G933,"yyyy-mm-dd")&amp;"|"&amp;LEFT($J933,40))</f>
        <v/>
      </c>
      <c r="Q933" s="11" t="str">
        <f aca="false">IF(P933="","",IF(COUNTIF($P$2:$P$3000,P933)&gt;1,"DUPLICATE","OK"))</f>
        <v/>
      </c>
      <c r="R933" s="0" t="str">
        <f aca="false">IF($C933="","",IFERROR(VLOOKUP(--$C933,MM_Income!$Z$5:$AC$204,3,FALSE()),""))</f>
        <v/>
      </c>
    </row>
    <row r="934" customFormat="false" ht="13.5" hidden="false" customHeight="false" outlineLevel="0" collapsed="false">
      <c r="N934" s="1" t="str">
        <f aca="false">IF(C934="","",IFERROR(VLOOKUP(C934,Master_Mappings!$A$4:$E$85,3,FALSE()),"UNMAPPED"))</f>
        <v/>
      </c>
      <c r="P934" s="1" t="str">
        <f aca="false">IF($C934="","",$C934&amp;"|"&amp;$E934&amp;"|"&amp;$M934&amp;"|"&amp;TEXT($G934,"yyyy-mm-dd")&amp;"|"&amp;LEFT($J934,40))</f>
        <v/>
      </c>
      <c r="Q934" s="11" t="str">
        <f aca="false">IF(P934="","",IF(COUNTIF($P$2:$P$3000,P934)&gt;1,"DUPLICATE","OK"))</f>
        <v/>
      </c>
      <c r="R934" s="0" t="str">
        <f aca="false">IF($C934="","",IFERROR(VLOOKUP(--$C934,MM_Income!$Z$5:$AC$204,3,FALSE()),""))</f>
        <v/>
      </c>
    </row>
    <row r="935" customFormat="false" ht="13.5" hidden="false" customHeight="false" outlineLevel="0" collapsed="false">
      <c r="N935" s="1" t="str">
        <f aca="false">IF(C935="","",IFERROR(VLOOKUP(C935,Master_Mappings!$A$4:$E$85,3,FALSE()),"UNMAPPED"))</f>
        <v/>
      </c>
      <c r="P935" s="1" t="str">
        <f aca="false">IF($C935="","",$C935&amp;"|"&amp;$E935&amp;"|"&amp;$M935&amp;"|"&amp;TEXT($G935,"yyyy-mm-dd")&amp;"|"&amp;LEFT($J935,40))</f>
        <v/>
      </c>
      <c r="Q935" s="11" t="str">
        <f aca="false">IF(P935="","",IF(COUNTIF($P$2:$P$3000,P935)&gt;1,"DUPLICATE","OK"))</f>
        <v/>
      </c>
      <c r="R935" s="0" t="str">
        <f aca="false">IF($C935="","",IFERROR(VLOOKUP(--$C935,MM_Income!$Z$5:$AC$204,3,FALSE()),""))</f>
        <v/>
      </c>
    </row>
    <row r="936" customFormat="false" ht="13.5" hidden="false" customHeight="false" outlineLevel="0" collapsed="false">
      <c r="N936" s="1" t="str">
        <f aca="false">IF(C936="","",IFERROR(VLOOKUP(C936,Master_Mappings!$A$4:$E$85,3,FALSE()),"UNMAPPED"))</f>
        <v/>
      </c>
      <c r="P936" s="1" t="str">
        <f aca="false">IF($C936="","",$C936&amp;"|"&amp;$E936&amp;"|"&amp;$M936&amp;"|"&amp;TEXT($G936,"yyyy-mm-dd")&amp;"|"&amp;LEFT($J936,40))</f>
        <v/>
      </c>
      <c r="Q936" s="11" t="str">
        <f aca="false">IF(P936="","",IF(COUNTIF($P$2:$P$3000,P936)&gt;1,"DUPLICATE","OK"))</f>
        <v/>
      </c>
      <c r="R936" s="0" t="str">
        <f aca="false">IF($C936="","",IFERROR(VLOOKUP(--$C936,MM_Income!$Z$5:$AC$204,3,FALSE()),""))</f>
        <v/>
      </c>
    </row>
    <row r="937" customFormat="false" ht="13.5" hidden="false" customHeight="false" outlineLevel="0" collapsed="false">
      <c r="N937" s="1" t="str">
        <f aca="false">IF(C937="","",IFERROR(VLOOKUP(C937,Master_Mappings!$A$4:$E$85,3,FALSE()),"UNMAPPED"))</f>
        <v/>
      </c>
      <c r="P937" s="1" t="str">
        <f aca="false">IF($C937="","",$C937&amp;"|"&amp;$E937&amp;"|"&amp;$M937&amp;"|"&amp;TEXT($G937,"yyyy-mm-dd")&amp;"|"&amp;LEFT($J937,40))</f>
        <v/>
      </c>
      <c r="Q937" s="11" t="str">
        <f aca="false">IF(P937="","",IF(COUNTIF($P$2:$P$3000,P937)&gt;1,"DUPLICATE","OK"))</f>
        <v/>
      </c>
      <c r="R937" s="0" t="str">
        <f aca="false">IF($C937="","",IFERROR(VLOOKUP(--$C937,MM_Income!$Z$5:$AC$204,3,FALSE()),""))</f>
        <v/>
      </c>
    </row>
    <row r="938" customFormat="false" ht="13.5" hidden="false" customHeight="false" outlineLevel="0" collapsed="false">
      <c r="N938" s="1" t="str">
        <f aca="false">IF(C938="","",IFERROR(VLOOKUP(C938,Master_Mappings!$A$4:$E$85,3,FALSE()),"UNMAPPED"))</f>
        <v/>
      </c>
      <c r="P938" s="1" t="str">
        <f aca="false">IF($C938="","",$C938&amp;"|"&amp;$E938&amp;"|"&amp;$M938&amp;"|"&amp;TEXT($G938,"yyyy-mm-dd")&amp;"|"&amp;LEFT($J938,40))</f>
        <v/>
      </c>
      <c r="Q938" s="11" t="str">
        <f aca="false">IF(P938="","",IF(COUNTIF($P$2:$P$3000,P938)&gt;1,"DUPLICATE","OK"))</f>
        <v/>
      </c>
      <c r="R938" s="0" t="str">
        <f aca="false">IF($C938="","",IFERROR(VLOOKUP(--$C938,MM_Income!$Z$5:$AC$204,3,FALSE()),""))</f>
        <v/>
      </c>
    </row>
    <row r="939" customFormat="false" ht="13.5" hidden="false" customHeight="false" outlineLevel="0" collapsed="false">
      <c r="N939" s="1" t="str">
        <f aca="false">IF(C939="","",IFERROR(VLOOKUP(C939,Master_Mappings!$A$4:$E$85,3,FALSE()),"UNMAPPED"))</f>
        <v/>
      </c>
      <c r="P939" s="1" t="str">
        <f aca="false">IF($C939="","",$C939&amp;"|"&amp;$E939&amp;"|"&amp;$M939&amp;"|"&amp;TEXT($G939,"yyyy-mm-dd")&amp;"|"&amp;LEFT($J939,40))</f>
        <v/>
      </c>
      <c r="Q939" s="11" t="str">
        <f aca="false">IF(P939="","",IF(COUNTIF($P$2:$P$3000,P939)&gt;1,"DUPLICATE","OK"))</f>
        <v/>
      </c>
      <c r="R939" s="0" t="str">
        <f aca="false">IF($C939="","",IFERROR(VLOOKUP(--$C939,MM_Income!$Z$5:$AC$204,3,FALSE()),""))</f>
        <v/>
      </c>
    </row>
    <row r="940" customFormat="false" ht="13.5" hidden="false" customHeight="false" outlineLevel="0" collapsed="false">
      <c r="N940" s="1" t="str">
        <f aca="false">IF(C940="","",IFERROR(VLOOKUP(C940,Master_Mappings!$A$4:$E$85,3,FALSE()),"UNMAPPED"))</f>
        <v/>
      </c>
      <c r="P940" s="1" t="str">
        <f aca="false">IF($C940="","",$C940&amp;"|"&amp;$E940&amp;"|"&amp;$M940&amp;"|"&amp;TEXT($G940,"yyyy-mm-dd")&amp;"|"&amp;LEFT($J940,40))</f>
        <v/>
      </c>
      <c r="Q940" s="11" t="str">
        <f aca="false">IF(P940="","",IF(COUNTIF($P$2:$P$3000,P940)&gt;1,"DUPLICATE","OK"))</f>
        <v/>
      </c>
      <c r="R940" s="0" t="str">
        <f aca="false">IF($C940="","",IFERROR(VLOOKUP(--$C940,MM_Income!$Z$5:$AC$204,3,FALSE()),""))</f>
        <v/>
      </c>
    </row>
    <row r="941" customFormat="false" ht="13.5" hidden="false" customHeight="false" outlineLevel="0" collapsed="false">
      <c r="N941" s="1" t="str">
        <f aca="false">IF(C941="","",IFERROR(VLOOKUP(C941,Master_Mappings!$A$4:$E$85,3,FALSE()),"UNMAPPED"))</f>
        <v/>
      </c>
      <c r="P941" s="1" t="str">
        <f aca="false">IF($C941="","",$C941&amp;"|"&amp;$E941&amp;"|"&amp;$M941&amp;"|"&amp;TEXT($G941,"yyyy-mm-dd")&amp;"|"&amp;LEFT($J941,40))</f>
        <v/>
      </c>
      <c r="Q941" s="11" t="str">
        <f aca="false">IF(P941="","",IF(COUNTIF($P$2:$P$3000,P941)&gt;1,"DUPLICATE","OK"))</f>
        <v/>
      </c>
      <c r="R941" s="0" t="str">
        <f aca="false">IF($C941="","",IFERROR(VLOOKUP(--$C941,MM_Income!$Z$5:$AC$204,3,FALSE()),""))</f>
        <v/>
      </c>
    </row>
    <row r="942" customFormat="false" ht="13.5" hidden="false" customHeight="false" outlineLevel="0" collapsed="false">
      <c r="N942" s="1" t="str">
        <f aca="false">IF(C942="","",IFERROR(VLOOKUP(C942,Master_Mappings!$A$4:$E$85,3,FALSE()),"UNMAPPED"))</f>
        <v/>
      </c>
      <c r="P942" s="1" t="str">
        <f aca="false">IF($C942="","",$C942&amp;"|"&amp;$E942&amp;"|"&amp;$M942&amp;"|"&amp;TEXT($G942,"yyyy-mm-dd")&amp;"|"&amp;LEFT($J942,40))</f>
        <v/>
      </c>
      <c r="Q942" s="11" t="str">
        <f aca="false">IF(P942="","",IF(COUNTIF($P$2:$P$3000,P942)&gt;1,"DUPLICATE","OK"))</f>
        <v/>
      </c>
      <c r="R942" s="0" t="str">
        <f aca="false">IF($C942="","",IFERROR(VLOOKUP(--$C942,MM_Income!$Z$5:$AC$204,3,FALSE()),""))</f>
        <v/>
      </c>
    </row>
    <row r="943" customFormat="false" ht="13.5" hidden="false" customHeight="false" outlineLevel="0" collapsed="false">
      <c r="N943" s="1" t="str">
        <f aca="false">IF(C943="","",IFERROR(VLOOKUP(C943,Master_Mappings!$A$4:$E$85,3,FALSE()),"UNMAPPED"))</f>
        <v/>
      </c>
      <c r="P943" s="1" t="str">
        <f aca="false">IF($C943="","",$C943&amp;"|"&amp;$E943&amp;"|"&amp;$M943&amp;"|"&amp;TEXT($G943,"yyyy-mm-dd")&amp;"|"&amp;LEFT($J943,40))</f>
        <v/>
      </c>
      <c r="Q943" s="11" t="str">
        <f aca="false">IF(P943="","",IF(COUNTIF($P$2:$P$3000,P943)&gt;1,"DUPLICATE","OK"))</f>
        <v/>
      </c>
      <c r="R943" s="0" t="str">
        <f aca="false">IF($C943="","",IFERROR(VLOOKUP(--$C943,MM_Income!$Z$5:$AC$204,3,FALSE()),""))</f>
        <v/>
      </c>
    </row>
    <row r="944" customFormat="false" ht="13.5" hidden="false" customHeight="false" outlineLevel="0" collapsed="false">
      <c r="N944" s="1" t="str">
        <f aca="false">IF(C944="","",IFERROR(VLOOKUP(C944,Master_Mappings!$A$4:$E$85,3,FALSE()),"UNMAPPED"))</f>
        <v/>
      </c>
      <c r="P944" s="1" t="str">
        <f aca="false">IF($C944="","",$C944&amp;"|"&amp;$E944&amp;"|"&amp;$M944&amp;"|"&amp;TEXT($G944,"yyyy-mm-dd")&amp;"|"&amp;LEFT($J944,40))</f>
        <v/>
      </c>
      <c r="Q944" s="11" t="str">
        <f aca="false">IF(P944="","",IF(COUNTIF($P$2:$P$3000,P944)&gt;1,"DUPLICATE","OK"))</f>
        <v/>
      </c>
      <c r="R944" s="0" t="str">
        <f aca="false">IF($C944="","",IFERROR(VLOOKUP(--$C944,MM_Income!$Z$5:$AC$204,3,FALSE()),""))</f>
        <v/>
      </c>
    </row>
    <row r="945" customFormat="false" ht="13.5" hidden="false" customHeight="false" outlineLevel="0" collapsed="false">
      <c r="N945" s="1" t="str">
        <f aca="false">IF(C945="","",IFERROR(VLOOKUP(C945,Master_Mappings!$A$4:$E$85,3,FALSE()),"UNMAPPED"))</f>
        <v/>
      </c>
      <c r="P945" s="1" t="str">
        <f aca="false">IF($C945="","",$C945&amp;"|"&amp;$E945&amp;"|"&amp;$M945&amp;"|"&amp;TEXT($G945,"yyyy-mm-dd")&amp;"|"&amp;LEFT($J945,40))</f>
        <v/>
      </c>
      <c r="Q945" s="11" t="str">
        <f aca="false">IF(P945="","",IF(COUNTIF($P$2:$P$3000,P945)&gt;1,"DUPLICATE","OK"))</f>
        <v/>
      </c>
      <c r="R945" s="0" t="str">
        <f aca="false">IF($C945="","",IFERROR(VLOOKUP(--$C945,MM_Income!$Z$5:$AC$204,3,FALSE()),""))</f>
        <v/>
      </c>
    </row>
    <row r="946" customFormat="false" ht="13.5" hidden="false" customHeight="false" outlineLevel="0" collapsed="false">
      <c r="N946" s="1" t="str">
        <f aca="false">IF(C946="","",IFERROR(VLOOKUP(C946,Master_Mappings!$A$4:$E$85,3,FALSE()),"UNMAPPED"))</f>
        <v/>
      </c>
      <c r="P946" s="1" t="str">
        <f aca="false">IF($C946="","",$C946&amp;"|"&amp;$E946&amp;"|"&amp;$M946&amp;"|"&amp;TEXT($G946,"yyyy-mm-dd")&amp;"|"&amp;LEFT($J946,40))</f>
        <v/>
      </c>
      <c r="Q946" s="11" t="str">
        <f aca="false">IF(P946="","",IF(COUNTIF($P$2:$P$3000,P946)&gt;1,"DUPLICATE","OK"))</f>
        <v/>
      </c>
      <c r="R946" s="0" t="str">
        <f aca="false">IF($C946="","",IFERROR(VLOOKUP(--$C946,MM_Income!$Z$5:$AC$204,3,FALSE()),""))</f>
        <v/>
      </c>
    </row>
    <row r="947" customFormat="false" ht="13.5" hidden="false" customHeight="false" outlineLevel="0" collapsed="false">
      <c r="N947" s="1" t="str">
        <f aca="false">IF(C947="","",IFERROR(VLOOKUP(C947,Master_Mappings!$A$4:$E$85,3,FALSE()),"UNMAPPED"))</f>
        <v/>
      </c>
      <c r="P947" s="1" t="str">
        <f aca="false">IF($C947="","",$C947&amp;"|"&amp;$E947&amp;"|"&amp;$M947&amp;"|"&amp;TEXT($G947,"yyyy-mm-dd")&amp;"|"&amp;LEFT($J947,40))</f>
        <v/>
      </c>
      <c r="Q947" s="11" t="str">
        <f aca="false">IF(P947="","",IF(COUNTIF($P$2:$P$3000,P947)&gt;1,"DUPLICATE","OK"))</f>
        <v/>
      </c>
      <c r="R947" s="0" t="str">
        <f aca="false">IF($C947="","",IFERROR(VLOOKUP(--$C947,MM_Income!$Z$5:$AC$204,3,FALSE()),""))</f>
        <v/>
      </c>
    </row>
    <row r="948" customFormat="false" ht="13.5" hidden="false" customHeight="false" outlineLevel="0" collapsed="false">
      <c r="N948" s="1" t="str">
        <f aca="false">IF(C948="","",IFERROR(VLOOKUP(C948,Master_Mappings!$A$4:$E$85,3,FALSE()),"UNMAPPED"))</f>
        <v/>
      </c>
      <c r="P948" s="1" t="str">
        <f aca="false">IF($C948="","",$C948&amp;"|"&amp;$E948&amp;"|"&amp;$M948&amp;"|"&amp;TEXT($G948,"yyyy-mm-dd")&amp;"|"&amp;LEFT($J948,40))</f>
        <v/>
      </c>
      <c r="Q948" s="11" t="str">
        <f aca="false">IF(P948="","",IF(COUNTIF($P$2:$P$3000,P948)&gt;1,"DUPLICATE","OK"))</f>
        <v/>
      </c>
      <c r="R948" s="0" t="str">
        <f aca="false">IF($C948="","",IFERROR(VLOOKUP(--$C948,MM_Income!$Z$5:$AC$204,3,FALSE()),""))</f>
        <v/>
      </c>
    </row>
    <row r="949" customFormat="false" ht="13.5" hidden="false" customHeight="false" outlineLevel="0" collapsed="false">
      <c r="N949" s="1" t="str">
        <f aca="false">IF(C949="","",IFERROR(VLOOKUP(C949,Master_Mappings!$A$4:$E$85,3,FALSE()),"UNMAPPED"))</f>
        <v/>
      </c>
      <c r="P949" s="1" t="str">
        <f aca="false">IF($C949="","",$C949&amp;"|"&amp;$E949&amp;"|"&amp;$M949&amp;"|"&amp;TEXT($G949,"yyyy-mm-dd")&amp;"|"&amp;LEFT($J949,40))</f>
        <v/>
      </c>
      <c r="Q949" s="11" t="str">
        <f aca="false">IF(P949="","",IF(COUNTIF($P$2:$P$3000,P949)&gt;1,"DUPLICATE","OK"))</f>
        <v/>
      </c>
      <c r="R949" s="0" t="str">
        <f aca="false">IF($C949="","",IFERROR(VLOOKUP(--$C949,MM_Income!$Z$5:$AC$204,3,FALSE()),""))</f>
        <v/>
      </c>
    </row>
    <row r="950" customFormat="false" ht="13.5" hidden="false" customHeight="false" outlineLevel="0" collapsed="false">
      <c r="N950" s="1" t="str">
        <f aca="false">IF(C950="","",IFERROR(VLOOKUP(C950,Master_Mappings!$A$4:$E$85,3,FALSE()),"UNMAPPED"))</f>
        <v/>
      </c>
      <c r="P950" s="1" t="str">
        <f aca="false">IF($C950="","",$C950&amp;"|"&amp;$E950&amp;"|"&amp;$M950&amp;"|"&amp;TEXT($G950,"yyyy-mm-dd")&amp;"|"&amp;LEFT($J950,40))</f>
        <v/>
      </c>
      <c r="Q950" s="11" t="str">
        <f aca="false">IF(P950="","",IF(COUNTIF($P$2:$P$3000,P950)&gt;1,"DUPLICATE","OK"))</f>
        <v/>
      </c>
      <c r="R950" s="0" t="str">
        <f aca="false">IF($C950="","",IFERROR(VLOOKUP(--$C950,MM_Income!$Z$5:$AC$204,3,FALSE()),""))</f>
        <v/>
      </c>
    </row>
    <row r="951" customFormat="false" ht="13.5" hidden="false" customHeight="false" outlineLevel="0" collapsed="false">
      <c r="N951" s="1" t="str">
        <f aca="false">IF(C951="","",IFERROR(VLOOKUP(C951,Master_Mappings!$A$4:$E$85,3,FALSE()),"UNMAPPED"))</f>
        <v/>
      </c>
      <c r="P951" s="1" t="str">
        <f aca="false">IF($C951="","",$C951&amp;"|"&amp;$E951&amp;"|"&amp;$M951&amp;"|"&amp;TEXT($G951,"yyyy-mm-dd")&amp;"|"&amp;LEFT($J951,40))</f>
        <v/>
      </c>
      <c r="Q951" s="11" t="str">
        <f aca="false">IF(P951="","",IF(COUNTIF($P$2:$P$3000,P951)&gt;1,"DUPLICATE","OK"))</f>
        <v/>
      </c>
      <c r="R951" s="0" t="str">
        <f aca="false">IF($C951="","",IFERROR(VLOOKUP(--$C951,MM_Income!$Z$5:$AC$204,3,FALSE()),""))</f>
        <v/>
      </c>
    </row>
    <row r="952" customFormat="false" ht="13.5" hidden="false" customHeight="false" outlineLevel="0" collapsed="false">
      <c r="N952" s="1" t="str">
        <f aca="false">IF(C952="","",IFERROR(VLOOKUP(C952,Master_Mappings!$A$4:$E$85,3,FALSE()),"UNMAPPED"))</f>
        <v/>
      </c>
      <c r="P952" s="1" t="str">
        <f aca="false">IF($C952="","",$C952&amp;"|"&amp;$E952&amp;"|"&amp;$M952&amp;"|"&amp;TEXT($G952,"yyyy-mm-dd")&amp;"|"&amp;LEFT($J952,40))</f>
        <v/>
      </c>
      <c r="Q952" s="11" t="str">
        <f aca="false">IF(P952="","",IF(COUNTIF($P$2:$P$3000,P952)&gt;1,"DUPLICATE","OK"))</f>
        <v/>
      </c>
      <c r="R952" s="0" t="str">
        <f aca="false">IF($C952="","",IFERROR(VLOOKUP(--$C952,MM_Income!$Z$5:$AC$204,3,FALSE()),""))</f>
        <v/>
      </c>
    </row>
    <row r="953" customFormat="false" ht="13.5" hidden="false" customHeight="false" outlineLevel="0" collapsed="false">
      <c r="N953" s="1" t="str">
        <f aca="false">IF(C953="","",IFERROR(VLOOKUP(C953,Master_Mappings!$A$4:$E$85,3,FALSE()),"UNMAPPED"))</f>
        <v/>
      </c>
      <c r="P953" s="1" t="str">
        <f aca="false">IF($C953="","",$C953&amp;"|"&amp;$E953&amp;"|"&amp;$M953&amp;"|"&amp;TEXT($G953,"yyyy-mm-dd")&amp;"|"&amp;LEFT($J953,40))</f>
        <v/>
      </c>
      <c r="Q953" s="11" t="str">
        <f aca="false">IF(P953="","",IF(COUNTIF($P$2:$P$3000,P953)&gt;1,"DUPLICATE","OK"))</f>
        <v/>
      </c>
      <c r="R953" s="0" t="str">
        <f aca="false">IF($C953="","",IFERROR(VLOOKUP(--$C953,MM_Income!$Z$5:$AC$204,3,FALSE()),""))</f>
        <v/>
      </c>
    </row>
    <row r="954" customFormat="false" ht="13.5" hidden="false" customHeight="false" outlineLevel="0" collapsed="false">
      <c r="N954" s="1" t="str">
        <f aca="false">IF(C954="","",IFERROR(VLOOKUP(C954,Master_Mappings!$A$4:$E$85,3,FALSE()),"UNMAPPED"))</f>
        <v/>
      </c>
      <c r="P954" s="1" t="str">
        <f aca="false">IF($C954="","",$C954&amp;"|"&amp;$E954&amp;"|"&amp;$M954&amp;"|"&amp;TEXT($G954,"yyyy-mm-dd")&amp;"|"&amp;LEFT($J954,40))</f>
        <v/>
      </c>
      <c r="Q954" s="11" t="str">
        <f aca="false">IF(P954="","",IF(COUNTIF($P$2:$P$3000,P954)&gt;1,"DUPLICATE","OK"))</f>
        <v/>
      </c>
      <c r="R954" s="0" t="str">
        <f aca="false">IF($C954="","",IFERROR(VLOOKUP(--$C954,MM_Income!$Z$5:$AC$204,3,FALSE()),""))</f>
        <v/>
      </c>
    </row>
    <row r="955" customFormat="false" ht="13.5" hidden="false" customHeight="false" outlineLevel="0" collapsed="false">
      <c r="N955" s="1" t="str">
        <f aca="false">IF(C955="","",IFERROR(VLOOKUP(C955,Master_Mappings!$A$4:$E$85,3,FALSE()),"UNMAPPED"))</f>
        <v/>
      </c>
      <c r="P955" s="1" t="str">
        <f aca="false">IF($C955="","",$C955&amp;"|"&amp;$E955&amp;"|"&amp;$M955&amp;"|"&amp;TEXT($G955,"yyyy-mm-dd")&amp;"|"&amp;LEFT($J955,40))</f>
        <v/>
      </c>
      <c r="Q955" s="11" t="str">
        <f aca="false">IF(P955="","",IF(COUNTIF($P$2:$P$3000,P955)&gt;1,"DUPLICATE","OK"))</f>
        <v/>
      </c>
      <c r="R955" s="0" t="str">
        <f aca="false">IF($C955="","",IFERROR(VLOOKUP(--$C955,MM_Income!$Z$5:$AC$204,3,FALSE()),""))</f>
        <v/>
      </c>
    </row>
    <row r="956" customFormat="false" ht="13.5" hidden="false" customHeight="false" outlineLevel="0" collapsed="false">
      <c r="N956" s="1" t="str">
        <f aca="false">IF(C956="","",IFERROR(VLOOKUP(C956,Master_Mappings!$A$4:$E$85,3,FALSE()),"UNMAPPED"))</f>
        <v/>
      </c>
      <c r="P956" s="1" t="str">
        <f aca="false">IF($C956="","",$C956&amp;"|"&amp;$E956&amp;"|"&amp;$M956&amp;"|"&amp;TEXT($G956,"yyyy-mm-dd")&amp;"|"&amp;LEFT($J956,40))</f>
        <v/>
      </c>
      <c r="Q956" s="11" t="str">
        <f aca="false">IF(P956="","",IF(COUNTIF($P$2:$P$3000,P956)&gt;1,"DUPLICATE","OK"))</f>
        <v/>
      </c>
      <c r="R956" s="0" t="str">
        <f aca="false">IF($C956="","",IFERROR(VLOOKUP(--$C956,MM_Income!$Z$5:$AC$204,3,FALSE()),""))</f>
        <v/>
      </c>
    </row>
    <row r="957" customFormat="false" ht="13.5" hidden="false" customHeight="false" outlineLevel="0" collapsed="false">
      <c r="N957" s="1" t="str">
        <f aca="false">IF(C957="","",IFERROR(VLOOKUP(C957,Master_Mappings!$A$4:$E$85,3,FALSE()),"UNMAPPED"))</f>
        <v/>
      </c>
      <c r="P957" s="1" t="str">
        <f aca="false">IF($C957="","",$C957&amp;"|"&amp;$E957&amp;"|"&amp;$M957&amp;"|"&amp;TEXT($G957,"yyyy-mm-dd")&amp;"|"&amp;LEFT($J957,40))</f>
        <v/>
      </c>
      <c r="Q957" s="11" t="str">
        <f aca="false">IF(P957="","",IF(COUNTIF($P$2:$P$3000,P957)&gt;1,"DUPLICATE","OK"))</f>
        <v/>
      </c>
      <c r="R957" s="0" t="str">
        <f aca="false">IF($C957="","",IFERROR(VLOOKUP(--$C957,MM_Income!$Z$5:$AC$204,3,FALSE()),""))</f>
        <v/>
      </c>
    </row>
    <row r="958" customFormat="false" ht="13.5" hidden="false" customHeight="false" outlineLevel="0" collapsed="false">
      <c r="N958" s="1" t="str">
        <f aca="false">IF(C958="","",IFERROR(VLOOKUP(C958,Master_Mappings!$A$4:$E$85,3,FALSE()),"UNMAPPED"))</f>
        <v/>
      </c>
      <c r="P958" s="1" t="str">
        <f aca="false">IF($C958="","",$C958&amp;"|"&amp;$E958&amp;"|"&amp;$M958&amp;"|"&amp;TEXT($G958,"yyyy-mm-dd")&amp;"|"&amp;LEFT($J958,40))</f>
        <v/>
      </c>
      <c r="Q958" s="11" t="str">
        <f aca="false">IF(P958="","",IF(COUNTIF($P$2:$P$3000,P958)&gt;1,"DUPLICATE","OK"))</f>
        <v/>
      </c>
      <c r="R958" s="0" t="str">
        <f aca="false">IF($C958="","",IFERROR(VLOOKUP(--$C958,MM_Income!$Z$5:$AC$204,3,FALSE()),""))</f>
        <v/>
      </c>
    </row>
    <row r="959" customFormat="false" ht="13.5" hidden="false" customHeight="false" outlineLevel="0" collapsed="false">
      <c r="N959" s="1" t="str">
        <f aca="false">IF(C959="","",IFERROR(VLOOKUP(C959,Master_Mappings!$A$4:$E$85,3,FALSE()),"UNMAPPED"))</f>
        <v/>
      </c>
      <c r="P959" s="1" t="str">
        <f aca="false">IF($C959="","",$C959&amp;"|"&amp;$E959&amp;"|"&amp;$M959&amp;"|"&amp;TEXT($G959,"yyyy-mm-dd")&amp;"|"&amp;LEFT($J959,40))</f>
        <v/>
      </c>
      <c r="Q959" s="11" t="str">
        <f aca="false">IF(P959="","",IF(COUNTIF($P$2:$P$3000,P959)&gt;1,"DUPLICATE","OK"))</f>
        <v/>
      </c>
      <c r="R959" s="0" t="str">
        <f aca="false">IF($C959="","",IFERROR(VLOOKUP(--$C959,MM_Income!$Z$5:$AC$204,3,FALSE()),""))</f>
        <v/>
      </c>
    </row>
    <row r="960" customFormat="false" ht="13.5" hidden="false" customHeight="false" outlineLevel="0" collapsed="false">
      <c r="N960" s="1" t="str">
        <f aca="false">IF(C960="","",IFERROR(VLOOKUP(C960,Master_Mappings!$A$4:$E$85,3,FALSE()),"UNMAPPED"))</f>
        <v/>
      </c>
      <c r="P960" s="1" t="str">
        <f aca="false">IF($C960="","",$C960&amp;"|"&amp;$E960&amp;"|"&amp;$M960&amp;"|"&amp;TEXT($G960,"yyyy-mm-dd")&amp;"|"&amp;LEFT($J960,40))</f>
        <v/>
      </c>
      <c r="Q960" s="11" t="str">
        <f aca="false">IF(P960="","",IF(COUNTIF($P$2:$P$3000,P960)&gt;1,"DUPLICATE","OK"))</f>
        <v/>
      </c>
      <c r="R960" s="0" t="str">
        <f aca="false">IF($C960="","",IFERROR(VLOOKUP(--$C960,MM_Income!$Z$5:$AC$204,3,FALSE()),""))</f>
        <v/>
      </c>
    </row>
    <row r="961" customFormat="false" ht="13.5" hidden="false" customHeight="false" outlineLevel="0" collapsed="false">
      <c r="N961" s="1" t="str">
        <f aca="false">IF(C961="","",IFERROR(VLOOKUP(C961,Master_Mappings!$A$4:$E$85,3,FALSE()),"UNMAPPED"))</f>
        <v/>
      </c>
      <c r="P961" s="1" t="str">
        <f aca="false">IF($C961="","",$C961&amp;"|"&amp;$E961&amp;"|"&amp;$M961&amp;"|"&amp;TEXT($G961,"yyyy-mm-dd")&amp;"|"&amp;LEFT($J961,40))</f>
        <v/>
      </c>
      <c r="Q961" s="11" t="str">
        <f aca="false">IF(P961="","",IF(COUNTIF($P$2:$P$3000,P961)&gt;1,"DUPLICATE","OK"))</f>
        <v/>
      </c>
      <c r="R961" s="0" t="str">
        <f aca="false">IF($C961="","",IFERROR(VLOOKUP(--$C961,MM_Income!$Z$5:$AC$204,3,FALSE()),""))</f>
        <v/>
      </c>
    </row>
    <row r="962" customFormat="false" ht="13.5" hidden="false" customHeight="false" outlineLevel="0" collapsed="false">
      <c r="N962" s="1" t="str">
        <f aca="false">IF(C962="","",IFERROR(VLOOKUP(C962,Master_Mappings!$A$4:$E$85,3,FALSE()),"UNMAPPED"))</f>
        <v/>
      </c>
      <c r="P962" s="1" t="str">
        <f aca="false">IF($C962="","",$C962&amp;"|"&amp;$E962&amp;"|"&amp;$M962&amp;"|"&amp;TEXT($G962,"yyyy-mm-dd")&amp;"|"&amp;LEFT($J962,40))</f>
        <v/>
      </c>
      <c r="Q962" s="11" t="str">
        <f aca="false">IF(P962="","",IF(COUNTIF($P$2:$P$3000,P962)&gt;1,"DUPLICATE","OK"))</f>
        <v/>
      </c>
      <c r="R962" s="0" t="str">
        <f aca="false">IF($C962="","",IFERROR(VLOOKUP(--$C962,MM_Income!$Z$5:$AC$204,3,FALSE()),""))</f>
        <v/>
      </c>
    </row>
    <row r="963" customFormat="false" ht="13.5" hidden="false" customHeight="false" outlineLevel="0" collapsed="false">
      <c r="N963" s="1" t="str">
        <f aca="false">IF(C963="","",IFERROR(VLOOKUP(C963,Master_Mappings!$A$4:$E$85,3,FALSE()),"UNMAPPED"))</f>
        <v/>
      </c>
      <c r="P963" s="1" t="str">
        <f aca="false">IF($C963="","",$C963&amp;"|"&amp;$E963&amp;"|"&amp;$M963&amp;"|"&amp;TEXT($G963,"yyyy-mm-dd")&amp;"|"&amp;LEFT($J963,40))</f>
        <v/>
      </c>
      <c r="Q963" s="11" t="str">
        <f aca="false">IF(P963="","",IF(COUNTIF($P$2:$P$3000,P963)&gt;1,"DUPLICATE","OK"))</f>
        <v/>
      </c>
      <c r="R963" s="0" t="str">
        <f aca="false">IF($C963="","",IFERROR(VLOOKUP(--$C963,MM_Income!$Z$5:$AC$204,3,FALSE()),""))</f>
        <v/>
      </c>
    </row>
    <row r="964" customFormat="false" ht="13.5" hidden="false" customHeight="false" outlineLevel="0" collapsed="false">
      <c r="N964" s="1" t="str">
        <f aca="false">IF(C964="","",IFERROR(VLOOKUP(C964,Master_Mappings!$A$4:$E$85,3,FALSE()),"UNMAPPED"))</f>
        <v/>
      </c>
      <c r="P964" s="1" t="str">
        <f aca="false">IF($C964="","",$C964&amp;"|"&amp;$E964&amp;"|"&amp;$M964&amp;"|"&amp;TEXT($G964,"yyyy-mm-dd")&amp;"|"&amp;LEFT($J964,40))</f>
        <v/>
      </c>
      <c r="Q964" s="11" t="str">
        <f aca="false">IF(P964="","",IF(COUNTIF($P$2:$P$3000,P964)&gt;1,"DUPLICATE","OK"))</f>
        <v/>
      </c>
      <c r="R964" s="0" t="str">
        <f aca="false">IF($C964="","",IFERROR(VLOOKUP(--$C964,MM_Income!$Z$5:$AC$204,3,FALSE()),""))</f>
        <v/>
      </c>
    </row>
    <row r="965" customFormat="false" ht="13.5" hidden="false" customHeight="false" outlineLevel="0" collapsed="false">
      <c r="N965" s="1" t="str">
        <f aca="false">IF(C965="","",IFERROR(VLOOKUP(C965,Master_Mappings!$A$4:$E$85,3,FALSE()),"UNMAPPED"))</f>
        <v/>
      </c>
      <c r="P965" s="1" t="str">
        <f aca="false">IF($C965="","",$C965&amp;"|"&amp;$E965&amp;"|"&amp;$M965&amp;"|"&amp;TEXT($G965,"yyyy-mm-dd")&amp;"|"&amp;LEFT($J965,40))</f>
        <v/>
      </c>
      <c r="Q965" s="11" t="str">
        <f aca="false">IF(P965="","",IF(COUNTIF($P$2:$P$3000,P965)&gt;1,"DUPLICATE","OK"))</f>
        <v/>
      </c>
      <c r="R965" s="0" t="str">
        <f aca="false">IF($C965="","",IFERROR(VLOOKUP(--$C965,MM_Income!$Z$5:$AC$204,3,FALSE()),""))</f>
        <v/>
      </c>
    </row>
    <row r="966" customFormat="false" ht="13.5" hidden="false" customHeight="false" outlineLevel="0" collapsed="false">
      <c r="N966" s="1" t="str">
        <f aca="false">IF(C966="","",IFERROR(VLOOKUP(C966,Master_Mappings!$A$4:$E$85,3,FALSE()),"UNMAPPED"))</f>
        <v/>
      </c>
      <c r="P966" s="1" t="str">
        <f aca="false">IF($C966="","",$C966&amp;"|"&amp;$E966&amp;"|"&amp;$M966&amp;"|"&amp;TEXT($G966,"yyyy-mm-dd")&amp;"|"&amp;LEFT($J966,40))</f>
        <v/>
      </c>
      <c r="Q966" s="11" t="str">
        <f aca="false">IF(P966="","",IF(COUNTIF($P$2:$P$3000,P966)&gt;1,"DUPLICATE","OK"))</f>
        <v/>
      </c>
      <c r="R966" s="0" t="str">
        <f aca="false">IF($C966="","",IFERROR(VLOOKUP(--$C966,MM_Income!$Z$5:$AC$204,3,FALSE()),""))</f>
        <v/>
      </c>
    </row>
    <row r="967" customFormat="false" ht="13.5" hidden="false" customHeight="false" outlineLevel="0" collapsed="false">
      <c r="N967" s="1" t="str">
        <f aca="false">IF(C967="","",IFERROR(VLOOKUP(C967,Master_Mappings!$A$4:$E$85,3,FALSE()),"UNMAPPED"))</f>
        <v/>
      </c>
      <c r="P967" s="1" t="str">
        <f aca="false">IF($C967="","",$C967&amp;"|"&amp;$E967&amp;"|"&amp;$M967&amp;"|"&amp;TEXT($G967,"yyyy-mm-dd")&amp;"|"&amp;LEFT($J967,40))</f>
        <v/>
      </c>
      <c r="Q967" s="11" t="str">
        <f aca="false">IF(P967="","",IF(COUNTIF($P$2:$P$3000,P967)&gt;1,"DUPLICATE","OK"))</f>
        <v/>
      </c>
      <c r="R967" s="0" t="str">
        <f aca="false">IF($C967="","",IFERROR(VLOOKUP(--$C967,MM_Income!$Z$5:$AC$204,3,FALSE()),""))</f>
        <v/>
      </c>
    </row>
    <row r="968" customFormat="false" ht="13.5" hidden="false" customHeight="false" outlineLevel="0" collapsed="false">
      <c r="N968" s="1" t="str">
        <f aca="false">IF(C968="","",IFERROR(VLOOKUP(C968,Master_Mappings!$A$4:$E$85,3,FALSE()),"UNMAPPED"))</f>
        <v/>
      </c>
      <c r="P968" s="1" t="str">
        <f aca="false">IF($C968="","",$C968&amp;"|"&amp;$E968&amp;"|"&amp;$M968&amp;"|"&amp;TEXT($G968,"yyyy-mm-dd")&amp;"|"&amp;LEFT($J968,40))</f>
        <v/>
      </c>
      <c r="Q968" s="11" t="str">
        <f aca="false">IF(P968="","",IF(COUNTIF($P$2:$P$3000,P968)&gt;1,"DUPLICATE","OK"))</f>
        <v/>
      </c>
      <c r="R968" s="0" t="str">
        <f aca="false">IF($C968="","",IFERROR(VLOOKUP(--$C968,MM_Income!$Z$5:$AC$204,3,FALSE()),""))</f>
        <v/>
      </c>
    </row>
    <row r="969" customFormat="false" ht="13.5" hidden="false" customHeight="false" outlineLevel="0" collapsed="false">
      <c r="N969" s="1" t="str">
        <f aca="false">IF(C969="","",IFERROR(VLOOKUP(C969,Master_Mappings!$A$4:$E$85,3,FALSE()),"UNMAPPED"))</f>
        <v/>
      </c>
      <c r="P969" s="1" t="str">
        <f aca="false">IF($C969="","",$C969&amp;"|"&amp;$E969&amp;"|"&amp;$M969&amp;"|"&amp;TEXT($G969,"yyyy-mm-dd")&amp;"|"&amp;LEFT($J969,40))</f>
        <v/>
      </c>
      <c r="Q969" s="11" t="str">
        <f aca="false">IF(P969="","",IF(COUNTIF($P$2:$P$3000,P969)&gt;1,"DUPLICATE","OK"))</f>
        <v/>
      </c>
      <c r="R969" s="0" t="str">
        <f aca="false">IF($C969="","",IFERROR(VLOOKUP(--$C969,MM_Income!$Z$5:$AC$204,3,FALSE()),""))</f>
        <v/>
      </c>
    </row>
    <row r="970" customFormat="false" ht="13.5" hidden="false" customHeight="false" outlineLevel="0" collapsed="false">
      <c r="N970" s="1" t="str">
        <f aca="false">IF(C970="","",IFERROR(VLOOKUP(C970,Master_Mappings!$A$4:$E$85,3,FALSE()),"UNMAPPED"))</f>
        <v/>
      </c>
      <c r="P970" s="1" t="str">
        <f aca="false">IF($C970="","",$C970&amp;"|"&amp;$E970&amp;"|"&amp;$M970&amp;"|"&amp;TEXT($G970,"yyyy-mm-dd")&amp;"|"&amp;LEFT($J970,40))</f>
        <v/>
      </c>
      <c r="Q970" s="11" t="str">
        <f aca="false">IF(P970="","",IF(COUNTIF($P$2:$P$3000,P970)&gt;1,"DUPLICATE","OK"))</f>
        <v/>
      </c>
      <c r="R970" s="0" t="str">
        <f aca="false">IF($C970="","",IFERROR(VLOOKUP(--$C970,MM_Income!$Z$5:$AC$204,3,FALSE()),""))</f>
        <v/>
      </c>
    </row>
    <row r="971" customFormat="false" ht="13.5" hidden="false" customHeight="false" outlineLevel="0" collapsed="false">
      <c r="N971" s="1" t="str">
        <f aca="false">IF(C971="","",IFERROR(VLOOKUP(C971,Master_Mappings!$A$4:$E$85,3,FALSE()),"UNMAPPED"))</f>
        <v/>
      </c>
      <c r="P971" s="1" t="str">
        <f aca="false">IF($C971="","",$C971&amp;"|"&amp;$E971&amp;"|"&amp;$M971&amp;"|"&amp;TEXT($G971,"yyyy-mm-dd")&amp;"|"&amp;LEFT($J971,40))</f>
        <v/>
      </c>
      <c r="Q971" s="11" t="str">
        <f aca="false">IF(P971="","",IF(COUNTIF($P$2:$P$3000,P971)&gt;1,"DUPLICATE","OK"))</f>
        <v/>
      </c>
      <c r="R971" s="0" t="str">
        <f aca="false">IF($C971="","",IFERROR(VLOOKUP(--$C971,MM_Income!$Z$5:$AC$204,3,FALSE()),""))</f>
        <v/>
      </c>
    </row>
    <row r="972" customFormat="false" ht="13.5" hidden="false" customHeight="false" outlineLevel="0" collapsed="false">
      <c r="N972" s="1" t="str">
        <f aca="false">IF(C972="","",IFERROR(VLOOKUP(C972,Master_Mappings!$A$4:$E$85,3,FALSE()),"UNMAPPED"))</f>
        <v/>
      </c>
      <c r="P972" s="1" t="str">
        <f aca="false">IF($C972="","",$C972&amp;"|"&amp;$E972&amp;"|"&amp;$M972&amp;"|"&amp;TEXT($G972,"yyyy-mm-dd")&amp;"|"&amp;LEFT($J972,40))</f>
        <v/>
      </c>
      <c r="Q972" s="11" t="str">
        <f aca="false">IF(P972="","",IF(COUNTIF($P$2:$P$3000,P972)&gt;1,"DUPLICATE","OK"))</f>
        <v/>
      </c>
      <c r="R972" s="0" t="str">
        <f aca="false">IF($C972="","",IFERROR(VLOOKUP(--$C972,MM_Income!$Z$5:$AC$204,3,FALSE()),""))</f>
        <v/>
      </c>
    </row>
    <row r="973" customFormat="false" ht="13.5" hidden="false" customHeight="false" outlineLevel="0" collapsed="false">
      <c r="N973" s="1" t="str">
        <f aca="false">IF(C973="","",IFERROR(VLOOKUP(C973,Master_Mappings!$A$4:$E$85,3,FALSE()),"UNMAPPED"))</f>
        <v/>
      </c>
      <c r="P973" s="1" t="str">
        <f aca="false">IF($C973="","",$C973&amp;"|"&amp;$E973&amp;"|"&amp;$M973&amp;"|"&amp;TEXT($G973,"yyyy-mm-dd")&amp;"|"&amp;LEFT($J973,40))</f>
        <v/>
      </c>
      <c r="Q973" s="11" t="str">
        <f aca="false">IF(P973="","",IF(COUNTIF($P$2:$P$3000,P973)&gt;1,"DUPLICATE","OK"))</f>
        <v/>
      </c>
      <c r="R973" s="0" t="str">
        <f aca="false">IF($C973="","",IFERROR(VLOOKUP(--$C973,MM_Income!$Z$5:$AC$204,3,FALSE()),""))</f>
        <v/>
      </c>
    </row>
    <row r="974" customFormat="false" ht="13.5" hidden="false" customHeight="false" outlineLevel="0" collapsed="false">
      <c r="N974" s="1" t="str">
        <f aca="false">IF(C974="","",IFERROR(VLOOKUP(C974,Master_Mappings!$A$4:$E$85,3,FALSE()),"UNMAPPED"))</f>
        <v/>
      </c>
      <c r="P974" s="1" t="str">
        <f aca="false">IF($C974="","",$C974&amp;"|"&amp;$E974&amp;"|"&amp;$M974&amp;"|"&amp;TEXT($G974,"yyyy-mm-dd")&amp;"|"&amp;LEFT($J974,40))</f>
        <v/>
      </c>
      <c r="Q974" s="11" t="str">
        <f aca="false">IF(P974="","",IF(COUNTIF($P$2:$P$3000,P974)&gt;1,"DUPLICATE","OK"))</f>
        <v/>
      </c>
      <c r="R974" s="0" t="str">
        <f aca="false">IF($C974="","",IFERROR(VLOOKUP(--$C974,MM_Income!$Z$5:$AC$204,3,FALSE()),""))</f>
        <v/>
      </c>
    </row>
    <row r="975" customFormat="false" ht="13.5" hidden="false" customHeight="false" outlineLevel="0" collapsed="false">
      <c r="N975" s="1" t="str">
        <f aca="false">IF(C975="","",IFERROR(VLOOKUP(C975,Master_Mappings!$A$4:$E$85,3,FALSE()),"UNMAPPED"))</f>
        <v/>
      </c>
      <c r="P975" s="1" t="str">
        <f aca="false">IF($C975="","",$C975&amp;"|"&amp;$E975&amp;"|"&amp;$M975&amp;"|"&amp;TEXT($G975,"yyyy-mm-dd")&amp;"|"&amp;LEFT($J975,40))</f>
        <v/>
      </c>
      <c r="Q975" s="11" t="str">
        <f aca="false">IF(P975="","",IF(COUNTIF($P$2:$P$3000,P975)&gt;1,"DUPLICATE","OK"))</f>
        <v/>
      </c>
      <c r="R975" s="0" t="str">
        <f aca="false">IF($C975="","",IFERROR(VLOOKUP(--$C975,MM_Income!$Z$5:$AC$204,3,FALSE()),""))</f>
        <v/>
      </c>
    </row>
    <row r="976" customFormat="false" ht="13.5" hidden="false" customHeight="false" outlineLevel="0" collapsed="false">
      <c r="N976" s="1" t="str">
        <f aca="false">IF(C976="","",IFERROR(VLOOKUP(C976,Master_Mappings!$A$4:$E$85,3,FALSE()),"UNMAPPED"))</f>
        <v/>
      </c>
      <c r="P976" s="1" t="str">
        <f aca="false">IF($C976="","",$C976&amp;"|"&amp;$E976&amp;"|"&amp;$M976&amp;"|"&amp;TEXT($G976,"yyyy-mm-dd")&amp;"|"&amp;LEFT($J976,40))</f>
        <v/>
      </c>
      <c r="Q976" s="11" t="str">
        <f aca="false">IF(P976="","",IF(COUNTIF($P$2:$P$3000,P976)&gt;1,"DUPLICATE","OK"))</f>
        <v/>
      </c>
      <c r="R976" s="0" t="str">
        <f aca="false">IF($C976="","",IFERROR(VLOOKUP(--$C976,MM_Income!$Z$5:$AC$204,3,FALSE()),""))</f>
        <v/>
      </c>
    </row>
    <row r="977" customFormat="false" ht="13.5" hidden="false" customHeight="false" outlineLevel="0" collapsed="false">
      <c r="N977" s="1" t="str">
        <f aca="false">IF(C977="","",IFERROR(VLOOKUP(C977,Master_Mappings!$A$4:$E$85,3,FALSE()),"UNMAPPED"))</f>
        <v/>
      </c>
      <c r="P977" s="1" t="str">
        <f aca="false">IF($C977="","",$C977&amp;"|"&amp;$E977&amp;"|"&amp;$M977&amp;"|"&amp;TEXT($G977,"yyyy-mm-dd")&amp;"|"&amp;LEFT($J977,40))</f>
        <v/>
      </c>
      <c r="Q977" s="11" t="str">
        <f aca="false">IF(P977="","",IF(COUNTIF($P$2:$P$3000,P977)&gt;1,"DUPLICATE","OK"))</f>
        <v/>
      </c>
      <c r="R977" s="0" t="str">
        <f aca="false">IF($C977="","",IFERROR(VLOOKUP(--$C977,MM_Income!$Z$5:$AC$204,3,FALSE()),""))</f>
        <v/>
      </c>
    </row>
    <row r="978" customFormat="false" ht="13.5" hidden="false" customHeight="false" outlineLevel="0" collapsed="false">
      <c r="N978" s="1" t="str">
        <f aca="false">IF(C978="","",IFERROR(VLOOKUP(C978,Master_Mappings!$A$4:$E$85,3,FALSE()),"UNMAPPED"))</f>
        <v/>
      </c>
      <c r="P978" s="1" t="str">
        <f aca="false">IF($C978="","",$C978&amp;"|"&amp;$E978&amp;"|"&amp;$M978&amp;"|"&amp;TEXT($G978,"yyyy-mm-dd")&amp;"|"&amp;LEFT($J978,40))</f>
        <v/>
      </c>
      <c r="Q978" s="11" t="str">
        <f aca="false">IF(P978="","",IF(COUNTIF($P$2:$P$3000,P978)&gt;1,"DUPLICATE","OK"))</f>
        <v/>
      </c>
      <c r="R978" s="0" t="str">
        <f aca="false">IF($C978="","",IFERROR(VLOOKUP(--$C978,MM_Income!$Z$5:$AC$204,3,FALSE()),""))</f>
        <v/>
      </c>
    </row>
    <row r="979" customFormat="false" ht="13.5" hidden="false" customHeight="false" outlineLevel="0" collapsed="false">
      <c r="N979" s="1" t="str">
        <f aca="false">IF(C979="","",IFERROR(VLOOKUP(C979,Master_Mappings!$A$4:$E$85,3,FALSE()),"UNMAPPED"))</f>
        <v/>
      </c>
      <c r="P979" s="1" t="str">
        <f aca="false">IF($C979="","",$C979&amp;"|"&amp;$E979&amp;"|"&amp;$M979&amp;"|"&amp;TEXT($G979,"yyyy-mm-dd")&amp;"|"&amp;LEFT($J979,40))</f>
        <v/>
      </c>
      <c r="Q979" s="11" t="str">
        <f aca="false">IF(P979="","",IF(COUNTIF($P$2:$P$3000,P979)&gt;1,"DUPLICATE","OK"))</f>
        <v/>
      </c>
      <c r="R979" s="0" t="str">
        <f aca="false">IF($C979="","",IFERROR(VLOOKUP(--$C979,MM_Income!$Z$5:$AC$204,3,FALSE()),""))</f>
        <v/>
      </c>
    </row>
    <row r="980" customFormat="false" ht="13.5" hidden="false" customHeight="false" outlineLevel="0" collapsed="false">
      <c r="N980" s="1" t="str">
        <f aca="false">IF(C980="","",IFERROR(VLOOKUP(C980,Master_Mappings!$A$4:$E$85,3,FALSE()),"UNMAPPED"))</f>
        <v/>
      </c>
      <c r="P980" s="1" t="str">
        <f aca="false">IF($C980="","",$C980&amp;"|"&amp;$E980&amp;"|"&amp;$M980&amp;"|"&amp;TEXT($G980,"yyyy-mm-dd")&amp;"|"&amp;LEFT($J980,40))</f>
        <v/>
      </c>
      <c r="Q980" s="11" t="str">
        <f aca="false">IF(P980="","",IF(COUNTIF($P$2:$P$3000,P980)&gt;1,"DUPLICATE","OK"))</f>
        <v/>
      </c>
      <c r="R980" s="0" t="str">
        <f aca="false">IF($C980="","",IFERROR(VLOOKUP(--$C980,MM_Income!$Z$5:$AC$204,3,FALSE()),""))</f>
        <v/>
      </c>
    </row>
    <row r="981" customFormat="false" ht="13.5" hidden="false" customHeight="false" outlineLevel="0" collapsed="false">
      <c r="N981" s="1" t="str">
        <f aca="false">IF(C981="","",IFERROR(VLOOKUP(C981,Master_Mappings!$A$4:$E$85,3,FALSE()),"UNMAPPED"))</f>
        <v/>
      </c>
      <c r="P981" s="1" t="str">
        <f aca="false">IF($C981="","",$C981&amp;"|"&amp;$E981&amp;"|"&amp;$M981&amp;"|"&amp;TEXT($G981,"yyyy-mm-dd")&amp;"|"&amp;LEFT($J981,40))</f>
        <v/>
      </c>
      <c r="Q981" s="11" t="str">
        <f aca="false">IF(P981="","",IF(COUNTIF($P$2:$P$3000,P981)&gt;1,"DUPLICATE","OK"))</f>
        <v/>
      </c>
      <c r="R981" s="0" t="str">
        <f aca="false">IF($C981="","",IFERROR(VLOOKUP(--$C981,MM_Income!$Z$5:$AC$204,3,FALSE()),""))</f>
        <v/>
      </c>
    </row>
    <row r="982" customFormat="false" ht="13.5" hidden="false" customHeight="false" outlineLevel="0" collapsed="false">
      <c r="N982" s="1" t="str">
        <f aca="false">IF(C982="","",IFERROR(VLOOKUP(C982,Master_Mappings!$A$4:$E$85,3,FALSE()),"UNMAPPED"))</f>
        <v/>
      </c>
      <c r="P982" s="1" t="str">
        <f aca="false">IF($C982="","",$C982&amp;"|"&amp;$E982&amp;"|"&amp;$M982&amp;"|"&amp;TEXT($G982,"yyyy-mm-dd")&amp;"|"&amp;LEFT($J982,40))</f>
        <v/>
      </c>
      <c r="Q982" s="11" t="str">
        <f aca="false">IF(P982="","",IF(COUNTIF($P$2:$P$3000,P982)&gt;1,"DUPLICATE","OK"))</f>
        <v/>
      </c>
      <c r="R982" s="0" t="str">
        <f aca="false">IF($C982="","",IFERROR(VLOOKUP(--$C982,MM_Income!$Z$5:$AC$204,3,FALSE()),""))</f>
        <v/>
      </c>
    </row>
    <row r="983" customFormat="false" ht="13.5" hidden="false" customHeight="false" outlineLevel="0" collapsed="false">
      <c r="N983" s="1" t="str">
        <f aca="false">IF(C983="","",IFERROR(VLOOKUP(C983,Master_Mappings!$A$4:$E$85,3,FALSE()),"UNMAPPED"))</f>
        <v/>
      </c>
      <c r="P983" s="1" t="str">
        <f aca="false">IF($C983="","",$C983&amp;"|"&amp;$E983&amp;"|"&amp;$M983&amp;"|"&amp;TEXT($G983,"yyyy-mm-dd")&amp;"|"&amp;LEFT($J983,40))</f>
        <v/>
      </c>
      <c r="Q983" s="11" t="str">
        <f aca="false">IF(P983="","",IF(COUNTIF($P$2:$P$3000,P983)&gt;1,"DUPLICATE","OK"))</f>
        <v/>
      </c>
      <c r="R983" s="0" t="str">
        <f aca="false">IF($C983="","",IFERROR(VLOOKUP(--$C983,MM_Income!$Z$5:$AC$204,3,FALSE()),""))</f>
        <v/>
      </c>
    </row>
    <row r="984" customFormat="false" ht="13.5" hidden="false" customHeight="false" outlineLevel="0" collapsed="false">
      <c r="N984" s="1" t="str">
        <f aca="false">IF(C984="","",IFERROR(VLOOKUP(C984,Master_Mappings!$A$4:$E$85,3,FALSE()),"UNMAPPED"))</f>
        <v/>
      </c>
      <c r="P984" s="1" t="str">
        <f aca="false">IF($C984="","",$C984&amp;"|"&amp;$E984&amp;"|"&amp;$M984&amp;"|"&amp;TEXT($G984,"yyyy-mm-dd")&amp;"|"&amp;LEFT($J984,40))</f>
        <v/>
      </c>
      <c r="Q984" s="11" t="str">
        <f aca="false">IF(P984="","",IF(COUNTIF($P$2:$P$3000,P984)&gt;1,"DUPLICATE","OK"))</f>
        <v/>
      </c>
      <c r="R984" s="0" t="str">
        <f aca="false">IF($C984="","",IFERROR(VLOOKUP(--$C984,MM_Income!$Z$5:$AC$204,3,FALSE()),""))</f>
        <v/>
      </c>
    </row>
    <row r="985" customFormat="false" ht="13.5" hidden="false" customHeight="false" outlineLevel="0" collapsed="false">
      <c r="N985" s="1" t="str">
        <f aca="false">IF(C985="","",IFERROR(VLOOKUP(C985,Master_Mappings!$A$4:$E$85,3,FALSE()),"UNMAPPED"))</f>
        <v/>
      </c>
      <c r="P985" s="1" t="str">
        <f aca="false">IF($C985="","",$C985&amp;"|"&amp;$E985&amp;"|"&amp;$M985&amp;"|"&amp;TEXT($G985,"yyyy-mm-dd")&amp;"|"&amp;LEFT($J985,40))</f>
        <v/>
      </c>
      <c r="Q985" s="11" t="str">
        <f aca="false">IF(P985="","",IF(COUNTIF($P$2:$P$3000,P985)&gt;1,"DUPLICATE","OK"))</f>
        <v/>
      </c>
      <c r="R985" s="0" t="str">
        <f aca="false">IF($C985="","",IFERROR(VLOOKUP(--$C985,MM_Income!$Z$5:$AC$204,3,FALSE()),""))</f>
        <v/>
      </c>
    </row>
    <row r="986" customFormat="false" ht="13.5" hidden="false" customHeight="false" outlineLevel="0" collapsed="false">
      <c r="N986" s="1" t="str">
        <f aca="false">IF(C986="","",IFERROR(VLOOKUP(C986,Master_Mappings!$A$4:$E$85,3,FALSE()),"UNMAPPED"))</f>
        <v/>
      </c>
      <c r="P986" s="1" t="str">
        <f aca="false">IF($C986="","",$C986&amp;"|"&amp;$E986&amp;"|"&amp;$M986&amp;"|"&amp;TEXT($G986,"yyyy-mm-dd")&amp;"|"&amp;LEFT($J986,40))</f>
        <v/>
      </c>
      <c r="Q986" s="11" t="str">
        <f aca="false">IF(P986="","",IF(COUNTIF($P$2:$P$3000,P986)&gt;1,"DUPLICATE","OK"))</f>
        <v/>
      </c>
      <c r="R986" s="0" t="str">
        <f aca="false">IF($C986="","",IFERROR(VLOOKUP(--$C986,MM_Income!$Z$5:$AC$204,3,FALSE()),""))</f>
        <v/>
      </c>
    </row>
    <row r="987" customFormat="false" ht="13.5" hidden="false" customHeight="false" outlineLevel="0" collapsed="false">
      <c r="N987" s="1" t="str">
        <f aca="false">IF(C987="","",IFERROR(VLOOKUP(C987,Master_Mappings!$A$4:$E$85,3,FALSE()),"UNMAPPED"))</f>
        <v/>
      </c>
      <c r="P987" s="1" t="str">
        <f aca="false">IF($C987="","",$C987&amp;"|"&amp;$E987&amp;"|"&amp;$M987&amp;"|"&amp;TEXT($G987,"yyyy-mm-dd")&amp;"|"&amp;LEFT($J987,40))</f>
        <v/>
      </c>
      <c r="Q987" s="11" t="str">
        <f aca="false">IF(P987="","",IF(COUNTIF($P$2:$P$3000,P987)&gt;1,"DUPLICATE","OK"))</f>
        <v/>
      </c>
      <c r="R987" s="0" t="str">
        <f aca="false">IF($C987="","",IFERROR(VLOOKUP(--$C987,MM_Income!$Z$5:$AC$204,3,FALSE()),""))</f>
        <v/>
      </c>
    </row>
    <row r="988" customFormat="false" ht="13.5" hidden="false" customHeight="false" outlineLevel="0" collapsed="false">
      <c r="N988" s="1" t="str">
        <f aca="false">IF(C988="","",IFERROR(VLOOKUP(C988,Master_Mappings!$A$4:$E$85,3,FALSE()),"UNMAPPED"))</f>
        <v/>
      </c>
      <c r="P988" s="1" t="str">
        <f aca="false">IF($C988="","",$C988&amp;"|"&amp;$E988&amp;"|"&amp;$M988&amp;"|"&amp;TEXT($G988,"yyyy-mm-dd")&amp;"|"&amp;LEFT($J988,40))</f>
        <v/>
      </c>
      <c r="Q988" s="11" t="str">
        <f aca="false">IF(P988="","",IF(COUNTIF($P$2:$P$3000,P988)&gt;1,"DUPLICATE","OK"))</f>
        <v/>
      </c>
      <c r="R988" s="0" t="str">
        <f aca="false">IF($C988="","",IFERROR(VLOOKUP(--$C988,MM_Income!$Z$5:$AC$204,3,FALSE()),""))</f>
        <v/>
      </c>
    </row>
    <row r="989" customFormat="false" ht="13.5" hidden="false" customHeight="false" outlineLevel="0" collapsed="false">
      <c r="N989" s="1" t="str">
        <f aca="false">IF(C989="","",IFERROR(VLOOKUP(C989,Master_Mappings!$A$4:$E$85,3,FALSE()),"UNMAPPED"))</f>
        <v/>
      </c>
      <c r="P989" s="1" t="str">
        <f aca="false">IF($C989="","",$C989&amp;"|"&amp;$E989&amp;"|"&amp;$M989&amp;"|"&amp;TEXT($G989,"yyyy-mm-dd")&amp;"|"&amp;LEFT($J989,40))</f>
        <v/>
      </c>
      <c r="Q989" s="11" t="str">
        <f aca="false">IF(P989="","",IF(COUNTIF($P$2:$P$3000,P989)&gt;1,"DUPLICATE","OK"))</f>
        <v/>
      </c>
      <c r="R989" s="0" t="str">
        <f aca="false">IF($C989="","",IFERROR(VLOOKUP(--$C989,MM_Income!$Z$5:$AC$204,3,FALSE()),""))</f>
        <v/>
      </c>
    </row>
    <row r="990" customFormat="false" ht="13.5" hidden="false" customHeight="false" outlineLevel="0" collapsed="false">
      <c r="N990" s="1" t="str">
        <f aca="false">IF(C990="","",IFERROR(VLOOKUP(C990,Master_Mappings!$A$4:$E$85,3,FALSE()),"UNMAPPED"))</f>
        <v/>
      </c>
      <c r="P990" s="1" t="str">
        <f aca="false">IF($C990="","",$C990&amp;"|"&amp;$E990&amp;"|"&amp;$M990&amp;"|"&amp;TEXT($G990,"yyyy-mm-dd")&amp;"|"&amp;LEFT($J990,40))</f>
        <v/>
      </c>
      <c r="Q990" s="11" t="str">
        <f aca="false">IF(P990="","",IF(COUNTIF($P$2:$P$3000,P990)&gt;1,"DUPLICATE","OK"))</f>
        <v/>
      </c>
      <c r="R990" s="0" t="str">
        <f aca="false">IF($C990="","",IFERROR(VLOOKUP(--$C990,MM_Income!$Z$5:$AC$204,3,FALSE()),""))</f>
        <v/>
      </c>
    </row>
    <row r="991" customFormat="false" ht="13.5" hidden="false" customHeight="false" outlineLevel="0" collapsed="false">
      <c r="N991" s="1" t="str">
        <f aca="false">IF(C991="","",IFERROR(VLOOKUP(C991,Master_Mappings!$A$4:$E$85,3,FALSE()),"UNMAPPED"))</f>
        <v/>
      </c>
      <c r="P991" s="1" t="str">
        <f aca="false">IF($C991="","",$C991&amp;"|"&amp;$E991&amp;"|"&amp;$M991&amp;"|"&amp;TEXT($G991,"yyyy-mm-dd")&amp;"|"&amp;LEFT($J991,40))</f>
        <v/>
      </c>
      <c r="Q991" s="11" t="str">
        <f aca="false">IF(P991="","",IF(COUNTIF($P$2:$P$3000,P991)&gt;1,"DUPLICATE","OK"))</f>
        <v/>
      </c>
      <c r="R991" s="0" t="str">
        <f aca="false">IF($C991="","",IFERROR(VLOOKUP(--$C991,MM_Income!$Z$5:$AC$204,3,FALSE()),""))</f>
        <v/>
      </c>
    </row>
    <row r="992" customFormat="false" ht="13.5" hidden="false" customHeight="false" outlineLevel="0" collapsed="false">
      <c r="N992" s="1" t="str">
        <f aca="false">IF(C992="","",IFERROR(VLOOKUP(C992,Master_Mappings!$A$4:$E$85,3,FALSE()),"UNMAPPED"))</f>
        <v/>
      </c>
      <c r="P992" s="1" t="str">
        <f aca="false">IF($C992="","",$C992&amp;"|"&amp;$E992&amp;"|"&amp;$M992&amp;"|"&amp;TEXT($G992,"yyyy-mm-dd")&amp;"|"&amp;LEFT($J992,40))</f>
        <v/>
      </c>
      <c r="Q992" s="11" t="str">
        <f aca="false">IF(P992="","",IF(COUNTIF($P$2:$P$3000,P992)&gt;1,"DUPLICATE","OK"))</f>
        <v/>
      </c>
      <c r="R992" s="0" t="str">
        <f aca="false">IF($C992="","",IFERROR(VLOOKUP(--$C992,MM_Income!$Z$5:$AC$204,3,FALSE()),""))</f>
        <v/>
      </c>
    </row>
    <row r="993" customFormat="false" ht="13.5" hidden="false" customHeight="false" outlineLevel="0" collapsed="false">
      <c r="N993" s="1" t="str">
        <f aca="false">IF(C993="","",IFERROR(VLOOKUP(C993,Master_Mappings!$A$4:$E$85,3,FALSE()),"UNMAPPED"))</f>
        <v/>
      </c>
      <c r="P993" s="1" t="str">
        <f aca="false">IF($C993="","",$C993&amp;"|"&amp;$E993&amp;"|"&amp;$M993&amp;"|"&amp;TEXT($G993,"yyyy-mm-dd")&amp;"|"&amp;LEFT($J993,40))</f>
        <v/>
      </c>
      <c r="Q993" s="11" t="str">
        <f aca="false">IF(P993="","",IF(COUNTIF($P$2:$P$3000,P993)&gt;1,"DUPLICATE","OK"))</f>
        <v/>
      </c>
      <c r="R993" s="0" t="str">
        <f aca="false">IF($C993="","",IFERROR(VLOOKUP(--$C993,MM_Income!$Z$5:$AC$204,3,FALSE()),""))</f>
        <v/>
      </c>
    </row>
    <row r="994" customFormat="false" ht="13.5" hidden="false" customHeight="false" outlineLevel="0" collapsed="false">
      <c r="N994" s="1" t="str">
        <f aca="false">IF(C994="","",IFERROR(VLOOKUP(C994,Master_Mappings!$A$4:$E$85,3,FALSE()),"UNMAPPED"))</f>
        <v/>
      </c>
      <c r="P994" s="1" t="str">
        <f aca="false">IF($C994="","",$C994&amp;"|"&amp;$E994&amp;"|"&amp;$M994&amp;"|"&amp;TEXT($G994,"yyyy-mm-dd")&amp;"|"&amp;LEFT($J994,40))</f>
        <v/>
      </c>
      <c r="Q994" s="11" t="str">
        <f aca="false">IF(P994="","",IF(COUNTIF($P$2:$P$3000,P994)&gt;1,"DUPLICATE","OK"))</f>
        <v/>
      </c>
      <c r="R994" s="0" t="str">
        <f aca="false">IF($C994="","",IFERROR(VLOOKUP(--$C994,MM_Income!$Z$5:$AC$204,3,FALSE()),""))</f>
        <v/>
      </c>
    </row>
    <row r="995" customFormat="false" ht="13.5" hidden="false" customHeight="false" outlineLevel="0" collapsed="false">
      <c r="N995" s="1" t="str">
        <f aca="false">IF(C995="","",IFERROR(VLOOKUP(C995,Master_Mappings!$A$4:$E$85,3,FALSE()),"UNMAPPED"))</f>
        <v/>
      </c>
      <c r="P995" s="1" t="str">
        <f aca="false">IF($C995="","",$C995&amp;"|"&amp;$E995&amp;"|"&amp;$M995&amp;"|"&amp;TEXT($G995,"yyyy-mm-dd")&amp;"|"&amp;LEFT($J995,40))</f>
        <v/>
      </c>
      <c r="Q995" s="11" t="str">
        <f aca="false">IF(P995="","",IF(COUNTIF($P$2:$P$3000,P995)&gt;1,"DUPLICATE","OK"))</f>
        <v/>
      </c>
      <c r="R995" s="0" t="str">
        <f aca="false">IF($C995="","",IFERROR(VLOOKUP(--$C995,MM_Income!$Z$5:$AC$204,3,FALSE()),""))</f>
        <v/>
      </c>
    </row>
    <row r="996" customFormat="false" ht="13.5" hidden="false" customHeight="false" outlineLevel="0" collapsed="false">
      <c r="N996" s="1" t="str">
        <f aca="false">IF(C996="","",IFERROR(VLOOKUP(C996,Master_Mappings!$A$4:$E$85,3,FALSE()),"UNMAPPED"))</f>
        <v/>
      </c>
      <c r="P996" s="1" t="str">
        <f aca="false">IF($C996="","",$C996&amp;"|"&amp;$E996&amp;"|"&amp;$M996&amp;"|"&amp;TEXT($G996,"yyyy-mm-dd")&amp;"|"&amp;LEFT($J996,40))</f>
        <v/>
      </c>
      <c r="Q996" s="11" t="str">
        <f aca="false">IF(P996="","",IF(COUNTIF($P$2:$P$3000,P996)&gt;1,"DUPLICATE","OK"))</f>
        <v/>
      </c>
      <c r="R996" s="0" t="str">
        <f aca="false">IF($C996="","",IFERROR(VLOOKUP(--$C996,MM_Income!$Z$5:$AC$204,3,FALSE()),""))</f>
        <v/>
      </c>
    </row>
    <row r="997" customFormat="false" ht="13.5" hidden="false" customHeight="false" outlineLevel="0" collapsed="false">
      <c r="N997" s="1" t="str">
        <f aca="false">IF(C997="","",IFERROR(VLOOKUP(C997,Master_Mappings!$A$4:$E$85,3,FALSE()),"UNMAPPED"))</f>
        <v/>
      </c>
      <c r="P997" s="1" t="str">
        <f aca="false">IF($C997="","",$C997&amp;"|"&amp;$E997&amp;"|"&amp;$M997&amp;"|"&amp;TEXT($G997,"yyyy-mm-dd")&amp;"|"&amp;LEFT($J997,40))</f>
        <v/>
      </c>
      <c r="Q997" s="11" t="str">
        <f aca="false">IF(P997="","",IF(COUNTIF($P$2:$P$3000,P997)&gt;1,"DUPLICATE","OK"))</f>
        <v/>
      </c>
      <c r="R997" s="0" t="str">
        <f aca="false">IF($C997="","",IFERROR(VLOOKUP(--$C997,MM_Income!$Z$5:$AC$204,3,FALSE()),""))</f>
        <v/>
      </c>
    </row>
    <row r="998" customFormat="false" ht="13.5" hidden="false" customHeight="false" outlineLevel="0" collapsed="false">
      <c r="N998" s="1" t="str">
        <f aca="false">IF(C998="","",IFERROR(VLOOKUP(C998,Master_Mappings!$A$4:$E$85,3,FALSE()),"UNMAPPED"))</f>
        <v/>
      </c>
      <c r="P998" s="1" t="str">
        <f aca="false">IF($C998="","",$C998&amp;"|"&amp;$E998&amp;"|"&amp;$M998&amp;"|"&amp;TEXT($G998,"yyyy-mm-dd")&amp;"|"&amp;LEFT($J998,40))</f>
        <v/>
      </c>
      <c r="Q998" s="11" t="str">
        <f aca="false">IF(P998="","",IF(COUNTIF($P$2:$P$3000,P998)&gt;1,"DUPLICATE","OK"))</f>
        <v/>
      </c>
      <c r="R998" s="0" t="str">
        <f aca="false">IF($C998="","",IFERROR(VLOOKUP(--$C998,MM_Income!$Z$5:$AC$204,3,FALSE()),""))</f>
        <v/>
      </c>
    </row>
    <row r="999" customFormat="false" ht="13.5" hidden="false" customHeight="false" outlineLevel="0" collapsed="false">
      <c r="N999" s="1" t="str">
        <f aca="false">IF(C999="","",IFERROR(VLOOKUP(C999,Master_Mappings!$A$4:$E$85,3,FALSE()),"UNMAPPED"))</f>
        <v/>
      </c>
      <c r="P999" s="1" t="str">
        <f aca="false">IF($C999="","",$C999&amp;"|"&amp;$E999&amp;"|"&amp;$M999&amp;"|"&amp;TEXT($G999,"yyyy-mm-dd")&amp;"|"&amp;LEFT($J999,40))</f>
        <v/>
      </c>
      <c r="Q999" s="11" t="str">
        <f aca="false">IF(P999="","",IF(COUNTIF($P$2:$P$3000,P999)&gt;1,"DUPLICATE","OK"))</f>
        <v/>
      </c>
      <c r="R999" s="0" t="str">
        <f aca="false">IF($C999="","",IFERROR(VLOOKUP(--$C999,MM_Income!$Z$5:$AC$204,3,FALSE()),""))</f>
        <v/>
      </c>
    </row>
    <row r="1000" customFormat="false" ht="13.5" hidden="false" customHeight="false" outlineLevel="0" collapsed="false">
      <c r="N1000" s="1" t="str">
        <f aca="false">IF(C1000="","",IFERROR(VLOOKUP(C1000,Master_Mappings!$A$4:$E$85,3,FALSE()),"UNMAPPED"))</f>
        <v/>
      </c>
      <c r="P1000" s="1" t="str">
        <f aca="false">IF($C1000="","",$C1000&amp;"|"&amp;$E1000&amp;"|"&amp;$M1000&amp;"|"&amp;TEXT($G1000,"yyyy-mm-dd")&amp;"|"&amp;LEFT($J1000,40))</f>
        <v/>
      </c>
      <c r="Q1000" s="11" t="str">
        <f aca="false">IF(P1000="","",IF(COUNTIF($P$2:$P$3000,P1000)&gt;1,"DUPLICATE","OK"))</f>
        <v/>
      </c>
      <c r="R1000" s="0" t="str">
        <f aca="false">IF($C1000="","",IFERROR(VLOOKUP(--$C1000,MM_Income!$Z$5:$AC$204,3,FALSE()),""))</f>
        <v/>
      </c>
    </row>
    <row r="1001" customFormat="false" ht="13.5" hidden="false" customHeight="false" outlineLevel="0" collapsed="false">
      <c r="N1001" s="1" t="str">
        <f aca="false">IF(C1001="","",IFERROR(VLOOKUP(C1001,Master_Mappings!$A$4:$E$85,3,FALSE()),"UNMAPPED"))</f>
        <v/>
      </c>
      <c r="P1001" s="1" t="str">
        <f aca="false">IF($C1001="","",$C1001&amp;"|"&amp;$E1001&amp;"|"&amp;$M1001&amp;"|"&amp;TEXT($G1001,"yyyy-mm-dd")&amp;"|"&amp;LEFT($J1001,40))</f>
        <v/>
      </c>
      <c r="Q1001" s="11" t="str">
        <f aca="false">IF(P1001="","",IF(COUNTIF($P$2:$P$3000,P1001)&gt;1,"DUPLICATE","OK"))</f>
        <v/>
      </c>
      <c r="R1001" s="0" t="str">
        <f aca="false">IF($C1001="","",IFERROR(VLOOKUP(--$C1001,MM_Income!$Z$5:$AC$204,3,FALSE()),""))</f>
        <v/>
      </c>
    </row>
    <row r="1002" customFormat="false" ht="13.5" hidden="false" customHeight="false" outlineLevel="0" collapsed="false">
      <c r="N1002" s="1" t="str">
        <f aca="false">IF(C1002="","",IFERROR(VLOOKUP(C1002,Master_Mappings!$A$4:$E$85,3,FALSE()),"UNMAPPED"))</f>
        <v/>
      </c>
      <c r="P1002" s="1" t="str">
        <f aca="false">IF($C1002="","",$C1002&amp;"|"&amp;$E1002&amp;"|"&amp;$M1002&amp;"|"&amp;TEXT($G1002,"yyyy-mm-dd")&amp;"|"&amp;LEFT($J1002,40))</f>
        <v/>
      </c>
      <c r="Q1002" s="11" t="str">
        <f aca="false">IF(P1002="","",IF(COUNTIF($P$2:$P$3000,P1002)&gt;1,"DUPLICATE","OK"))</f>
        <v/>
      </c>
      <c r="R1002" s="0" t="str">
        <f aca="false">IF($C1002="","",IFERROR(VLOOKUP(--$C1002,MM_Income!$Z$5:$AC$204,3,FALSE()),""))</f>
        <v/>
      </c>
    </row>
    <row r="1003" customFormat="false" ht="13.5" hidden="false" customHeight="false" outlineLevel="0" collapsed="false">
      <c r="N1003" s="1" t="str">
        <f aca="false">IF(C1003="","",IFERROR(VLOOKUP(C1003,Master_Mappings!$A$4:$E$85,3,FALSE()),"UNMAPPED"))</f>
        <v/>
      </c>
      <c r="P1003" s="1" t="str">
        <f aca="false">IF($C1003="","",$C1003&amp;"|"&amp;$E1003&amp;"|"&amp;$M1003&amp;"|"&amp;TEXT($G1003,"yyyy-mm-dd")&amp;"|"&amp;LEFT($J1003,40))</f>
        <v/>
      </c>
      <c r="Q1003" s="11" t="str">
        <f aca="false">IF(P1003="","",IF(COUNTIF($P$2:$P$3000,P1003)&gt;1,"DUPLICATE","OK"))</f>
        <v/>
      </c>
      <c r="R1003" s="0" t="str">
        <f aca="false">IF($C1003="","",IFERROR(VLOOKUP(--$C1003,MM_Income!$Z$5:$AC$204,3,FALSE()),""))</f>
        <v/>
      </c>
    </row>
    <row r="1004" customFormat="false" ht="13.5" hidden="false" customHeight="false" outlineLevel="0" collapsed="false">
      <c r="N1004" s="1" t="str">
        <f aca="false">IF(C1004="","",IFERROR(VLOOKUP(C1004,Master_Mappings!$A$4:$E$85,3,FALSE()),"UNMAPPED"))</f>
        <v/>
      </c>
      <c r="P1004" s="1" t="str">
        <f aca="false">IF($C1004="","",$C1004&amp;"|"&amp;$E1004&amp;"|"&amp;$M1004&amp;"|"&amp;TEXT($G1004,"yyyy-mm-dd")&amp;"|"&amp;LEFT($J1004,40))</f>
        <v/>
      </c>
      <c r="Q1004" s="11" t="str">
        <f aca="false">IF(P1004="","",IF(COUNTIF($P$2:$P$3000,P1004)&gt;1,"DUPLICATE","OK"))</f>
        <v/>
      </c>
      <c r="R1004" s="0" t="str">
        <f aca="false">IF($C1004="","",IFERROR(VLOOKUP(--$C1004,MM_Income!$Z$5:$AC$204,3,FALSE()),""))</f>
        <v/>
      </c>
    </row>
    <row r="1005" customFormat="false" ht="13.5" hidden="false" customHeight="false" outlineLevel="0" collapsed="false">
      <c r="N1005" s="1" t="str">
        <f aca="false">IF(C1005="","",IFERROR(VLOOKUP(C1005,Master_Mappings!$A$4:$E$85,3,FALSE()),"UNMAPPED"))</f>
        <v/>
      </c>
      <c r="P1005" s="1" t="str">
        <f aca="false">IF($C1005="","",$C1005&amp;"|"&amp;$E1005&amp;"|"&amp;$M1005&amp;"|"&amp;TEXT($G1005,"yyyy-mm-dd")&amp;"|"&amp;LEFT($J1005,40))</f>
        <v/>
      </c>
      <c r="Q1005" s="11" t="str">
        <f aca="false">IF(P1005="","",IF(COUNTIF($P$2:$P$3000,P1005)&gt;1,"DUPLICATE","OK"))</f>
        <v/>
      </c>
      <c r="R1005" s="0" t="str">
        <f aca="false">IF($C1005="","",IFERROR(VLOOKUP(--$C1005,MM_Income!$Z$5:$AC$204,3,FALSE()),""))</f>
        <v/>
      </c>
    </row>
    <row r="1006" customFormat="false" ht="13.5" hidden="false" customHeight="false" outlineLevel="0" collapsed="false">
      <c r="N1006" s="1" t="str">
        <f aca="false">IF(C1006="","",IFERROR(VLOOKUP(C1006,Master_Mappings!$A$4:$E$85,3,FALSE()),"UNMAPPED"))</f>
        <v/>
      </c>
      <c r="P1006" s="1" t="str">
        <f aca="false">IF($C1006="","",$C1006&amp;"|"&amp;$E1006&amp;"|"&amp;$M1006&amp;"|"&amp;TEXT($G1006,"yyyy-mm-dd")&amp;"|"&amp;LEFT($J1006,40))</f>
        <v/>
      </c>
      <c r="Q1006" s="11" t="str">
        <f aca="false">IF(P1006="","",IF(COUNTIF($P$2:$P$3000,P1006)&gt;1,"DUPLICATE","OK"))</f>
        <v/>
      </c>
      <c r="R1006" s="0" t="str">
        <f aca="false">IF($C1006="","",IFERROR(VLOOKUP(--$C1006,MM_Income!$Z$5:$AC$204,3,FALSE()),""))</f>
        <v/>
      </c>
    </row>
    <row r="1007" customFormat="false" ht="13.5" hidden="false" customHeight="false" outlineLevel="0" collapsed="false">
      <c r="N1007" s="1" t="str">
        <f aca="false">IF(C1007="","",IFERROR(VLOOKUP(C1007,Master_Mappings!$A$4:$E$85,3,FALSE()),"UNMAPPED"))</f>
        <v/>
      </c>
      <c r="P1007" s="1" t="str">
        <f aca="false">IF($C1007="","",$C1007&amp;"|"&amp;$E1007&amp;"|"&amp;$M1007&amp;"|"&amp;TEXT($G1007,"yyyy-mm-dd")&amp;"|"&amp;LEFT($J1007,40))</f>
        <v/>
      </c>
      <c r="Q1007" s="11" t="str">
        <f aca="false">IF(P1007="","",IF(COUNTIF($P$2:$P$3000,P1007)&gt;1,"DUPLICATE","OK"))</f>
        <v/>
      </c>
      <c r="R1007" s="0" t="str">
        <f aca="false">IF($C1007="","",IFERROR(VLOOKUP(--$C1007,MM_Income!$Z$5:$AC$204,3,FALSE()),""))</f>
        <v/>
      </c>
    </row>
    <row r="1008" customFormat="false" ht="13.5" hidden="false" customHeight="false" outlineLevel="0" collapsed="false">
      <c r="N1008" s="1" t="str">
        <f aca="false">IF(C1008="","",IFERROR(VLOOKUP(C1008,Master_Mappings!$A$4:$E$85,3,FALSE()),"UNMAPPED"))</f>
        <v/>
      </c>
      <c r="P1008" s="1" t="str">
        <f aca="false">IF($C1008="","",$C1008&amp;"|"&amp;$E1008&amp;"|"&amp;$M1008&amp;"|"&amp;TEXT($G1008,"yyyy-mm-dd")&amp;"|"&amp;LEFT($J1008,40))</f>
        <v/>
      </c>
      <c r="Q1008" s="11" t="str">
        <f aca="false">IF(P1008="","",IF(COUNTIF($P$2:$P$3000,P1008)&gt;1,"DUPLICATE","OK"))</f>
        <v/>
      </c>
      <c r="R1008" s="0" t="str">
        <f aca="false">IF($C1008="","",IFERROR(VLOOKUP(--$C1008,MM_Income!$Z$5:$AC$204,3,FALSE()),""))</f>
        <v/>
      </c>
    </row>
    <row r="1009" customFormat="false" ht="13.5" hidden="false" customHeight="false" outlineLevel="0" collapsed="false">
      <c r="N1009" s="1" t="str">
        <f aca="false">IF(C1009="","",IFERROR(VLOOKUP(C1009,Master_Mappings!$A$4:$E$85,3,FALSE()),"UNMAPPED"))</f>
        <v/>
      </c>
      <c r="P1009" s="1" t="str">
        <f aca="false">IF($C1009="","",$C1009&amp;"|"&amp;$E1009&amp;"|"&amp;$M1009&amp;"|"&amp;TEXT($G1009,"yyyy-mm-dd")&amp;"|"&amp;LEFT($J1009,40))</f>
        <v/>
      </c>
      <c r="Q1009" s="11" t="str">
        <f aca="false">IF(P1009="","",IF(COUNTIF($P$2:$P$3000,P1009)&gt;1,"DUPLICATE","OK"))</f>
        <v/>
      </c>
      <c r="R1009" s="0" t="str">
        <f aca="false">IF($C1009="","",IFERROR(VLOOKUP(--$C1009,MM_Income!$Z$5:$AC$204,3,FALSE()),""))</f>
        <v/>
      </c>
    </row>
    <row r="1010" customFormat="false" ht="13.5" hidden="false" customHeight="false" outlineLevel="0" collapsed="false">
      <c r="N1010" s="1" t="str">
        <f aca="false">IF(C1010="","",IFERROR(VLOOKUP(C1010,Master_Mappings!$A$4:$E$85,3,FALSE()),"UNMAPPED"))</f>
        <v/>
      </c>
      <c r="P1010" s="1" t="str">
        <f aca="false">IF($C1010="","",$C1010&amp;"|"&amp;$E1010&amp;"|"&amp;$M1010&amp;"|"&amp;TEXT($G1010,"yyyy-mm-dd")&amp;"|"&amp;LEFT($J1010,40))</f>
        <v/>
      </c>
      <c r="Q1010" s="11" t="str">
        <f aca="false">IF(P1010="","",IF(COUNTIF($P$2:$P$3000,P1010)&gt;1,"DUPLICATE","OK"))</f>
        <v/>
      </c>
      <c r="R1010" s="0" t="str">
        <f aca="false">IF($C1010="","",IFERROR(VLOOKUP(--$C1010,MM_Income!$Z$5:$AC$204,3,FALSE()),""))</f>
        <v/>
      </c>
    </row>
    <row r="1011" customFormat="false" ht="13.5" hidden="false" customHeight="false" outlineLevel="0" collapsed="false">
      <c r="N1011" s="1" t="str">
        <f aca="false">IF(C1011="","",IFERROR(VLOOKUP(C1011,Master_Mappings!$A$4:$E$85,3,FALSE()),"UNMAPPED"))</f>
        <v/>
      </c>
      <c r="P1011" s="1" t="str">
        <f aca="false">IF($C1011="","",$C1011&amp;"|"&amp;$E1011&amp;"|"&amp;$M1011&amp;"|"&amp;TEXT($G1011,"yyyy-mm-dd")&amp;"|"&amp;LEFT($J1011,40))</f>
        <v/>
      </c>
      <c r="Q1011" s="11" t="str">
        <f aca="false">IF(P1011="","",IF(COUNTIF($P$2:$P$3000,P1011)&gt;1,"DUPLICATE","OK"))</f>
        <v/>
      </c>
      <c r="R1011" s="0" t="str">
        <f aca="false">IF($C1011="","",IFERROR(VLOOKUP(--$C1011,MM_Income!$Z$5:$AC$204,3,FALSE()),""))</f>
        <v/>
      </c>
    </row>
    <row r="1012" customFormat="false" ht="13.5" hidden="false" customHeight="false" outlineLevel="0" collapsed="false">
      <c r="N1012" s="1" t="str">
        <f aca="false">IF(C1012="","",IFERROR(VLOOKUP(C1012,Master_Mappings!$A$4:$E$85,3,FALSE()),"UNMAPPED"))</f>
        <v/>
      </c>
      <c r="P1012" s="1" t="str">
        <f aca="false">IF($C1012="","",$C1012&amp;"|"&amp;$E1012&amp;"|"&amp;$M1012&amp;"|"&amp;TEXT($G1012,"yyyy-mm-dd")&amp;"|"&amp;LEFT($J1012,40))</f>
        <v/>
      </c>
      <c r="Q1012" s="11" t="str">
        <f aca="false">IF(P1012="","",IF(COUNTIF($P$2:$P$3000,P1012)&gt;1,"DUPLICATE","OK"))</f>
        <v/>
      </c>
      <c r="R1012" s="0" t="str">
        <f aca="false">IF($C1012="","",IFERROR(VLOOKUP(--$C1012,MM_Income!$Z$5:$AC$204,3,FALSE()),""))</f>
        <v/>
      </c>
    </row>
    <row r="1013" customFormat="false" ht="13.5" hidden="false" customHeight="false" outlineLevel="0" collapsed="false">
      <c r="N1013" s="1" t="str">
        <f aca="false">IF(C1013="","",IFERROR(VLOOKUP(C1013,Master_Mappings!$A$4:$E$85,3,FALSE()),"UNMAPPED"))</f>
        <v/>
      </c>
      <c r="P1013" s="1" t="str">
        <f aca="false">IF($C1013="","",$C1013&amp;"|"&amp;$E1013&amp;"|"&amp;$M1013&amp;"|"&amp;TEXT($G1013,"yyyy-mm-dd")&amp;"|"&amp;LEFT($J1013,40))</f>
        <v/>
      </c>
      <c r="Q1013" s="11" t="str">
        <f aca="false">IF(P1013="","",IF(COUNTIF($P$2:$P$3000,P1013)&gt;1,"DUPLICATE","OK"))</f>
        <v/>
      </c>
      <c r="R1013" s="0" t="str">
        <f aca="false">IF($C1013="","",IFERROR(VLOOKUP(--$C1013,MM_Income!$Z$5:$AC$204,3,FALSE()),""))</f>
        <v/>
      </c>
    </row>
    <row r="1014" customFormat="false" ht="13.5" hidden="false" customHeight="false" outlineLevel="0" collapsed="false">
      <c r="N1014" s="1" t="str">
        <f aca="false">IF(C1014="","",IFERROR(VLOOKUP(C1014,Master_Mappings!$A$4:$E$85,3,FALSE()),"UNMAPPED"))</f>
        <v/>
      </c>
      <c r="P1014" s="1" t="str">
        <f aca="false">IF($C1014="","",$C1014&amp;"|"&amp;$E1014&amp;"|"&amp;$M1014&amp;"|"&amp;TEXT($G1014,"yyyy-mm-dd")&amp;"|"&amp;LEFT($J1014,40))</f>
        <v/>
      </c>
      <c r="Q1014" s="11" t="str">
        <f aca="false">IF(P1014="","",IF(COUNTIF($P$2:$P$3000,P1014)&gt;1,"DUPLICATE","OK"))</f>
        <v/>
      </c>
      <c r="R1014" s="0" t="str">
        <f aca="false">IF($C1014="","",IFERROR(VLOOKUP(--$C1014,MM_Income!$Z$5:$AC$204,3,FALSE()),""))</f>
        <v/>
      </c>
    </row>
    <row r="1015" customFormat="false" ht="13.5" hidden="false" customHeight="false" outlineLevel="0" collapsed="false">
      <c r="N1015" s="1" t="str">
        <f aca="false">IF(C1015="","",IFERROR(VLOOKUP(C1015,Master_Mappings!$A$4:$E$85,3,FALSE()),"UNMAPPED"))</f>
        <v/>
      </c>
      <c r="P1015" s="1" t="str">
        <f aca="false">IF($C1015="","",$C1015&amp;"|"&amp;$E1015&amp;"|"&amp;$M1015&amp;"|"&amp;TEXT($G1015,"yyyy-mm-dd")&amp;"|"&amp;LEFT($J1015,40))</f>
        <v/>
      </c>
      <c r="Q1015" s="11" t="str">
        <f aca="false">IF(P1015="","",IF(COUNTIF($P$2:$P$3000,P1015)&gt;1,"DUPLICATE","OK"))</f>
        <v/>
      </c>
      <c r="R1015" s="0" t="str">
        <f aca="false">IF($C1015="","",IFERROR(VLOOKUP(--$C1015,MM_Income!$Z$5:$AC$204,3,FALSE()),""))</f>
        <v/>
      </c>
    </row>
    <row r="1016" customFormat="false" ht="13.5" hidden="false" customHeight="false" outlineLevel="0" collapsed="false">
      <c r="N1016" s="1" t="str">
        <f aca="false">IF(C1016="","",IFERROR(VLOOKUP(C1016,Master_Mappings!$A$4:$E$85,3,FALSE()),"UNMAPPED"))</f>
        <v/>
      </c>
      <c r="P1016" s="1" t="str">
        <f aca="false">IF($C1016="","",$C1016&amp;"|"&amp;$E1016&amp;"|"&amp;$M1016&amp;"|"&amp;TEXT($G1016,"yyyy-mm-dd")&amp;"|"&amp;LEFT($J1016,40))</f>
        <v/>
      </c>
      <c r="Q1016" s="11" t="str">
        <f aca="false">IF(P1016="","",IF(COUNTIF($P$2:$P$3000,P1016)&gt;1,"DUPLICATE","OK"))</f>
        <v/>
      </c>
      <c r="R1016" s="0" t="str">
        <f aca="false">IF($C1016="","",IFERROR(VLOOKUP(--$C1016,MM_Income!$Z$5:$AC$204,3,FALSE()),""))</f>
        <v/>
      </c>
    </row>
    <row r="1017" customFormat="false" ht="13.5" hidden="false" customHeight="false" outlineLevel="0" collapsed="false">
      <c r="N1017" s="1" t="str">
        <f aca="false">IF(C1017="","",IFERROR(VLOOKUP(C1017,Master_Mappings!$A$4:$E$85,3,FALSE()),"UNMAPPED"))</f>
        <v/>
      </c>
      <c r="P1017" s="1" t="str">
        <f aca="false">IF($C1017="","",$C1017&amp;"|"&amp;$E1017&amp;"|"&amp;$M1017&amp;"|"&amp;TEXT($G1017,"yyyy-mm-dd")&amp;"|"&amp;LEFT($J1017,40))</f>
        <v/>
      </c>
      <c r="Q1017" s="11" t="str">
        <f aca="false">IF(P1017="","",IF(COUNTIF($P$2:$P$3000,P1017)&gt;1,"DUPLICATE","OK"))</f>
        <v/>
      </c>
      <c r="R1017" s="0" t="str">
        <f aca="false">IF($C1017="","",IFERROR(VLOOKUP(--$C1017,MM_Income!$Z$5:$AC$204,3,FALSE()),""))</f>
        <v/>
      </c>
    </row>
    <row r="1018" customFormat="false" ht="13.5" hidden="false" customHeight="false" outlineLevel="0" collapsed="false">
      <c r="N1018" s="1" t="str">
        <f aca="false">IF(C1018="","",IFERROR(VLOOKUP(C1018,Master_Mappings!$A$4:$E$85,3,FALSE()),"UNMAPPED"))</f>
        <v/>
      </c>
      <c r="P1018" s="1" t="str">
        <f aca="false">IF($C1018="","",$C1018&amp;"|"&amp;$E1018&amp;"|"&amp;$M1018&amp;"|"&amp;TEXT($G1018,"yyyy-mm-dd")&amp;"|"&amp;LEFT($J1018,40))</f>
        <v/>
      </c>
      <c r="Q1018" s="11" t="str">
        <f aca="false">IF(P1018="","",IF(COUNTIF($P$2:$P$3000,P1018)&gt;1,"DUPLICATE","OK"))</f>
        <v/>
      </c>
      <c r="R1018" s="0" t="str">
        <f aca="false">IF($C1018="","",IFERROR(VLOOKUP(--$C1018,MM_Income!$Z$5:$AC$204,3,FALSE()),""))</f>
        <v/>
      </c>
    </row>
    <row r="1019" customFormat="false" ht="13.5" hidden="false" customHeight="false" outlineLevel="0" collapsed="false">
      <c r="N1019" s="1" t="str">
        <f aca="false">IF(C1019="","",IFERROR(VLOOKUP(C1019,Master_Mappings!$A$4:$E$85,3,FALSE()),"UNMAPPED"))</f>
        <v/>
      </c>
      <c r="P1019" s="1" t="str">
        <f aca="false">IF($C1019="","",$C1019&amp;"|"&amp;$E1019&amp;"|"&amp;$M1019&amp;"|"&amp;TEXT($G1019,"yyyy-mm-dd")&amp;"|"&amp;LEFT($J1019,40))</f>
        <v/>
      </c>
      <c r="Q1019" s="11" t="str">
        <f aca="false">IF(P1019="","",IF(COUNTIF($P$2:$P$3000,P1019)&gt;1,"DUPLICATE","OK"))</f>
        <v/>
      </c>
      <c r="R1019" s="0" t="str">
        <f aca="false">IF($C1019="","",IFERROR(VLOOKUP(--$C1019,MM_Income!$Z$5:$AC$204,3,FALSE()),""))</f>
        <v/>
      </c>
    </row>
    <row r="1020" customFormat="false" ht="13.5" hidden="false" customHeight="false" outlineLevel="0" collapsed="false">
      <c r="N1020" s="1" t="str">
        <f aca="false">IF(C1020="","",IFERROR(VLOOKUP(C1020,Master_Mappings!$A$4:$E$85,3,FALSE()),"UNMAPPED"))</f>
        <v/>
      </c>
      <c r="P1020" s="1" t="str">
        <f aca="false">IF($C1020="","",$C1020&amp;"|"&amp;$E1020&amp;"|"&amp;$M1020&amp;"|"&amp;TEXT($G1020,"yyyy-mm-dd")&amp;"|"&amp;LEFT($J1020,40))</f>
        <v/>
      </c>
      <c r="Q1020" s="11" t="str">
        <f aca="false">IF(P1020="","",IF(COUNTIF($P$2:$P$3000,P1020)&gt;1,"DUPLICATE","OK"))</f>
        <v/>
      </c>
      <c r="R1020" s="0" t="str">
        <f aca="false">IF($C1020="","",IFERROR(VLOOKUP(--$C1020,MM_Income!$Z$5:$AC$204,3,FALSE()),""))</f>
        <v/>
      </c>
    </row>
    <row r="1021" customFormat="false" ht="13.5" hidden="false" customHeight="false" outlineLevel="0" collapsed="false">
      <c r="N1021" s="1" t="str">
        <f aca="false">IF(C1021="","",IFERROR(VLOOKUP(C1021,Master_Mappings!$A$4:$E$85,3,FALSE()),"UNMAPPED"))</f>
        <v/>
      </c>
      <c r="P1021" s="1" t="str">
        <f aca="false">IF($C1021="","",$C1021&amp;"|"&amp;$E1021&amp;"|"&amp;$M1021&amp;"|"&amp;TEXT($G1021,"yyyy-mm-dd")&amp;"|"&amp;LEFT($J1021,40))</f>
        <v/>
      </c>
      <c r="Q1021" s="11" t="str">
        <f aca="false">IF(P1021="","",IF(COUNTIF($P$2:$P$3000,P1021)&gt;1,"DUPLICATE","OK"))</f>
        <v/>
      </c>
      <c r="R1021" s="0" t="str">
        <f aca="false">IF($C1021="","",IFERROR(VLOOKUP(--$C1021,MM_Income!$Z$5:$AC$204,3,FALSE()),""))</f>
        <v/>
      </c>
    </row>
    <row r="1022" customFormat="false" ht="13.5" hidden="false" customHeight="false" outlineLevel="0" collapsed="false">
      <c r="N1022" s="1" t="str">
        <f aca="false">IF(C1022="","",IFERROR(VLOOKUP(C1022,Master_Mappings!$A$4:$E$85,3,FALSE()),"UNMAPPED"))</f>
        <v/>
      </c>
      <c r="P1022" s="1" t="str">
        <f aca="false">IF($C1022="","",$C1022&amp;"|"&amp;$E1022&amp;"|"&amp;$M1022&amp;"|"&amp;TEXT($G1022,"yyyy-mm-dd")&amp;"|"&amp;LEFT($J1022,40))</f>
        <v/>
      </c>
      <c r="Q1022" s="11" t="str">
        <f aca="false">IF(P1022="","",IF(COUNTIF($P$2:$P$3000,P1022)&gt;1,"DUPLICATE","OK"))</f>
        <v/>
      </c>
      <c r="R1022" s="0" t="str">
        <f aca="false">IF($C1022="","",IFERROR(VLOOKUP(--$C1022,MM_Income!$Z$5:$AC$204,3,FALSE()),""))</f>
        <v/>
      </c>
    </row>
    <row r="1023" customFormat="false" ht="13.5" hidden="false" customHeight="false" outlineLevel="0" collapsed="false">
      <c r="N1023" s="1" t="str">
        <f aca="false">IF(C1023="","",IFERROR(VLOOKUP(C1023,Master_Mappings!$A$4:$E$85,3,FALSE()),"UNMAPPED"))</f>
        <v/>
      </c>
      <c r="P1023" s="1" t="str">
        <f aca="false">IF($C1023="","",$C1023&amp;"|"&amp;$E1023&amp;"|"&amp;$M1023&amp;"|"&amp;TEXT($G1023,"yyyy-mm-dd")&amp;"|"&amp;LEFT($J1023,40))</f>
        <v/>
      </c>
      <c r="Q1023" s="11" t="str">
        <f aca="false">IF(P1023="","",IF(COUNTIF($P$2:$P$3000,P1023)&gt;1,"DUPLICATE","OK"))</f>
        <v/>
      </c>
      <c r="R1023" s="0" t="str">
        <f aca="false">IF($C1023="","",IFERROR(VLOOKUP(--$C1023,MM_Income!$Z$5:$AC$204,3,FALSE()),""))</f>
        <v/>
      </c>
    </row>
    <row r="1024" customFormat="false" ht="13.5" hidden="false" customHeight="false" outlineLevel="0" collapsed="false">
      <c r="N1024" s="1" t="str">
        <f aca="false">IF(C1024="","",IFERROR(VLOOKUP(C1024,Master_Mappings!$A$4:$E$85,3,FALSE()),"UNMAPPED"))</f>
        <v/>
      </c>
      <c r="P1024" s="1" t="str">
        <f aca="false">IF($C1024="","",$C1024&amp;"|"&amp;$E1024&amp;"|"&amp;$M1024&amp;"|"&amp;TEXT($G1024,"yyyy-mm-dd")&amp;"|"&amp;LEFT($J1024,40))</f>
        <v/>
      </c>
      <c r="Q1024" s="11" t="str">
        <f aca="false">IF(P1024="","",IF(COUNTIF($P$2:$P$3000,P1024)&gt;1,"DUPLICATE","OK"))</f>
        <v/>
      </c>
      <c r="R1024" s="0" t="str">
        <f aca="false">IF($C1024="","",IFERROR(VLOOKUP(--$C1024,MM_Income!$Z$5:$AC$204,3,FALSE()),""))</f>
        <v/>
      </c>
    </row>
    <row r="1025" customFormat="false" ht="13.5" hidden="false" customHeight="false" outlineLevel="0" collapsed="false">
      <c r="N1025" s="1" t="str">
        <f aca="false">IF(C1025="","",IFERROR(VLOOKUP(C1025,Master_Mappings!$A$4:$E$85,3,FALSE()),"UNMAPPED"))</f>
        <v/>
      </c>
      <c r="P1025" s="1" t="str">
        <f aca="false">IF($C1025="","",$C1025&amp;"|"&amp;$E1025&amp;"|"&amp;$M1025&amp;"|"&amp;TEXT($G1025,"yyyy-mm-dd")&amp;"|"&amp;LEFT($J1025,40))</f>
        <v/>
      </c>
      <c r="Q1025" s="11" t="str">
        <f aca="false">IF(P1025="","",IF(COUNTIF($P$2:$P$3000,P1025)&gt;1,"DUPLICATE","OK"))</f>
        <v/>
      </c>
      <c r="R1025" s="0" t="str">
        <f aca="false">IF($C1025="","",IFERROR(VLOOKUP(--$C1025,MM_Income!$Z$5:$AC$204,3,FALSE()),""))</f>
        <v/>
      </c>
    </row>
    <row r="1026" customFormat="false" ht="13.5" hidden="false" customHeight="false" outlineLevel="0" collapsed="false">
      <c r="N1026" s="1" t="str">
        <f aca="false">IF(C1026="","",IFERROR(VLOOKUP(C1026,Master_Mappings!$A$4:$E$85,3,FALSE()),"UNMAPPED"))</f>
        <v/>
      </c>
      <c r="P1026" s="1" t="str">
        <f aca="false">IF($C1026="","",$C1026&amp;"|"&amp;$E1026&amp;"|"&amp;$M1026&amp;"|"&amp;TEXT($G1026,"yyyy-mm-dd")&amp;"|"&amp;LEFT($J1026,40))</f>
        <v/>
      </c>
      <c r="Q1026" s="11" t="str">
        <f aca="false">IF(P1026="","",IF(COUNTIF($P$2:$P$3000,P1026)&gt;1,"DUPLICATE","OK"))</f>
        <v/>
      </c>
      <c r="R1026" s="0" t="str">
        <f aca="false">IF($C1026="","",IFERROR(VLOOKUP(--$C1026,MM_Income!$Z$5:$AC$204,3,FALSE()),""))</f>
        <v/>
      </c>
    </row>
    <row r="1027" customFormat="false" ht="13.5" hidden="false" customHeight="false" outlineLevel="0" collapsed="false">
      <c r="N1027" s="1" t="str">
        <f aca="false">IF(C1027="","",IFERROR(VLOOKUP(C1027,Master_Mappings!$A$4:$E$85,3,FALSE()),"UNMAPPED"))</f>
        <v/>
      </c>
      <c r="P1027" s="1" t="str">
        <f aca="false">IF($C1027="","",$C1027&amp;"|"&amp;$E1027&amp;"|"&amp;$M1027&amp;"|"&amp;TEXT($G1027,"yyyy-mm-dd")&amp;"|"&amp;LEFT($J1027,40))</f>
        <v/>
      </c>
      <c r="Q1027" s="11" t="str">
        <f aca="false">IF(P1027="","",IF(COUNTIF($P$2:$P$3000,P1027)&gt;1,"DUPLICATE","OK"))</f>
        <v/>
      </c>
      <c r="R1027" s="0" t="str">
        <f aca="false">IF($C1027="","",IFERROR(VLOOKUP(--$C1027,MM_Income!$Z$5:$AC$204,3,FALSE()),""))</f>
        <v/>
      </c>
    </row>
    <row r="1028" customFormat="false" ht="13.5" hidden="false" customHeight="false" outlineLevel="0" collapsed="false">
      <c r="N1028" s="1" t="str">
        <f aca="false">IF(C1028="","",IFERROR(VLOOKUP(C1028,Master_Mappings!$A$4:$E$85,3,FALSE()),"UNMAPPED"))</f>
        <v/>
      </c>
      <c r="P1028" s="1" t="str">
        <f aca="false">IF($C1028="","",$C1028&amp;"|"&amp;$E1028&amp;"|"&amp;$M1028&amp;"|"&amp;TEXT($G1028,"yyyy-mm-dd")&amp;"|"&amp;LEFT($J1028,40))</f>
        <v/>
      </c>
      <c r="Q1028" s="11" t="str">
        <f aca="false">IF(P1028="","",IF(COUNTIF($P$2:$P$3000,P1028)&gt;1,"DUPLICATE","OK"))</f>
        <v/>
      </c>
      <c r="R1028" s="0" t="str">
        <f aca="false">IF($C1028="","",IFERROR(VLOOKUP(--$C1028,MM_Income!$Z$5:$AC$204,3,FALSE()),""))</f>
        <v/>
      </c>
    </row>
    <row r="1029" customFormat="false" ht="13.5" hidden="false" customHeight="false" outlineLevel="0" collapsed="false">
      <c r="N1029" s="1" t="str">
        <f aca="false">IF(C1029="","",IFERROR(VLOOKUP(C1029,Master_Mappings!$A$4:$E$85,3,FALSE()),"UNMAPPED"))</f>
        <v/>
      </c>
      <c r="P1029" s="1" t="str">
        <f aca="false">IF($C1029="","",$C1029&amp;"|"&amp;$E1029&amp;"|"&amp;$M1029&amp;"|"&amp;TEXT($G1029,"yyyy-mm-dd")&amp;"|"&amp;LEFT($J1029,40))</f>
        <v/>
      </c>
      <c r="Q1029" s="11" t="str">
        <f aca="false">IF(P1029="","",IF(COUNTIF($P$2:$P$3000,P1029)&gt;1,"DUPLICATE","OK"))</f>
        <v/>
      </c>
      <c r="R1029" s="0" t="str">
        <f aca="false">IF($C1029="","",IFERROR(VLOOKUP(--$C1029,MM_Income!$Z$5:$AC$204,3,FALSE()),""))</f>
        <v/>
      </c>
    </row>
    <row r="1030" customFormat="false" ht="13.5" hidden="false" customHeight="false" outlineLevel="0" collapsed="false">
      <c r="N1030" s="1" t="str">
        <f aca="false">IF(C1030="","",IFERROR(VLOOKUP(C1030,Master_Mappings!$A$4:$E$85,3,FALSE()),"UNMAPPED"))</f>
        <v/>
      </c>
      <c r="P1030" s="1" t="str">
        <f aca="false">IF($C1030="","",$C1030&amp;"|"&amp;$E1030&amp;"|"&amp;$M1030&amp;"|"&amp;TEXT($G1030,"yyyy-mm-dd")&amp;"|"&amp;LEFT($J1030,40))</f>
        <v/>
      </c>
      <c r="Q1030" s="11" t="str">
        <f aca="false">IF(P1030="","",IF(COUNTIF($P$2:$P$3000,P1030)&gt;1,"DUPLICATE","OK"))</f>
        <v/>
      </c>
      <c r="R1030" s="0" t="str">
        <f aca="false">IF($C1030="","",IFERROR(VLOOKUP(--$C1030,MM_Income!$Z$5:$AC$204,3,FALSE()),""))</f>
        <v/>
      </c>
    </row>
    <row r="1031" customFormat="false" ht="13.5" hidden="false" customHeight="false" outlineLevel="0" collapsed="false">
      <c r="N1031" s="1" t="str">
        <f aca="false">IF(C1031="","",IFERROR(VLOOKUP(C1031,Master_Mappings!$A$4:$E$85,3,FALSE()),"UNMAPPED"))</f>
        <v/>
      </c>
      <c r="P1031" s="1" t="str">
        <f aca="false">IF($C1031="","",$C1031&amp;"|"&amp;$E1031&amp;"|"&amp;$M1031&amp;"|"&amp;TEXT($G1031,"yyyy-mm-dd")&amp;"|"&amp;LEFT($J1031,40))</f>
        <v/>
      </c>
      <c r="Q1031" s="11" t="str">
        <f aca="false">IF(P1031="","",IF(COUNTIF($P$2:$P$3000,P1031)&gt;1,"DUPLICATE","OK"))</f>
        <v/>
      </c>
      <c r="R1031" s="0" t="str">
        <f aca="false">IF($C1031="","",IFERROR(VLOOKUP(--$C1031,MM_Income!$Z$5:$AC$204,3,FALSE()),""))</f>
        <v/>
      </c>
    </row>
    <row r="1032" customFormat="false" ht="13.5" hidden="false" customHeight="false" outlineLevel="0" collapsed="false">
      <c r="N1032" s="1" t="str">
        <f aca="false">IF(C1032="","",IFERROR(VLOOKUP(C1032,Master_Mappings!$A$4:$E$85,3,FALSE()),"UNMAPPED"))</f>
        <v/>
      </c>
      <c r="P1032" s="1" t="str">
        <f aca="false">IF($C1032="","",$C1032&amp;"|"&amp;$E1032&amp;"|"&amp;$M1032&amp;"|"&amp;TEXT($G1032,"yyyy-mm-dd")&amp;"|"&amp;LEFT($J1032,40))</f>
        <v/>
      </c>
      <c r="Q1032" s="11" t="str">
        <f aca="false">IF(P1032="","",IF(COUNTIF($P$2:$P$3000,P1032)&gt;1,"DUPLICATE","OK"))</f>
        <v/>
      </c>
      <c r="R1032" s="0" t="str">
        <f aca="false">IF($C1032="","",IFERROR(VLOOKUP(--$C1032,MM_Income!$Z$5:$AC$204,3,FALSE()),""))</f>
        <v/>
      </c>
    </row>
    <row r="1033" customFormat="false" ht="13.5" hidden="false" customHeight="false" outlineLevel="0" collapsed="false">
      <c r="N1033" s="1" t="str">
        <f aca="false">IF(C1033="","",IFERROR(VLOOKUP(C1033,Master_Mappings!$A$4:$E$85,3,FALSE()),"UNMAPPED"))</f>
        <v/>
      </c>
      <c r="P1033" s="1" t="str">
        <f aca="false">IF($C1033="","",$C1033&amp;"|"&amp;$E1033&amp;"|"&amp;$M1033&amp;"|"&amp;TEXT($G1033,"yyyy-mm-dd")&amp;"|"&amp;LEFT($J1033,40))</f>
        <v/>
      </c>
      <c r="Q1033" s="11" t="str">
        <f aca="false">IF(P1033="","",IF(COUNTIF($P$2:$P$3000,P1033)&gt;1,"DUPLICATE","OK"))</f>
        <v/>
      </c>
      <c r="R1033" s="0" t="str">
        <f aca="false">IF($C1033="","",IFERROR(VLOOKUP(--$C1033,MM_Income!$Z$5:$AC$204,3,FALSE()),""))</f>
        <v/>
      </c>
    </row>
    <row r="1034" customFormat="false" ht="13.5" hidden="false" customHeight="false" outlineLevel="0" collapsed="false">
      <c r="N1034" s="1" t="str">
        <f aca="false">IF(C1034="","",IFERROR(VLOOKUP(C1034,Master_Mappings!$A$4:$E$85,3,FALSE()),"UNMAPPED"))</f>
        <v/>
      </c>
      <c r="P1034" s="1" t="str">
        <f aca="false">IF($C1034="","",$C1034&amp;"|"&amp;$E1034&amp;"|"&amp;$M1034&amp;"|"&amp;TEXT($G1034,"yyyy-mm-dd")&amp;"|"&amp;LEFT($J1034,40))</f>
        <v/>
      </c>
      <c r="Q1034" s="11" t="str">
        <f aca="false">IF(P1034="","",IF(COUNTIF($P$2:$P$3000,P1034)&gt;1,"DUPLICATE","OK"))</f>
        <v/>
      </c>
      <c r="R1034" s="0" t="str">
        <f aca="false">IF($C1034="","",IFERROR(VLOOKUP(--$C1034,MM_Income!$Z$5:$AC$204,3,FALSE()),""))</f>
        <v/>
      </c>
    </row>
    <row r="1035" customFormat="false" ht="13.5" hidden="false" customHeight="false" outlineLevel="0" collapsed="false">
      <c r="N1035" s="1" t="str">
        <f aca="false">IF(C1035="","",IFERROR(VLOOKUP(C1035,Master_Mappings!$A$4:$E$85,3,FALSE()),"UNMAPPED"))</f>
        <v/>
      </c>
      <c r="P1035" s="1" t="str">
        <f aca="false">IF($C1035="","",$C1035&amp;"|"&amp;$E1035&amp;"|"&amp;$M1035&amp;"|"&amp;TEXT($G1035,"yyyy-mm-dd")&amp;"|"&amp;LEFT($J1035,40))</f>
        <v/>
      </c>
      <c r="Q1035" s="11" t="str">
        <f aca="false">IF(P1035="","",IF(COUNTIF($P$2:$P$3000,P1035)&gt;1,"DUPLICATE","OK"))</f>
        <v/>
      </c>
      <c r="R1035" s="0" t="str">
        <f aca="false">IF($C1035="","",IFERROR(VLOOKUP(--$C1035,MM_Income!$Z$5:$AC$204,3,FALSE()),""))</f>
        <v/>
      </c>
    </row>
    <row r="1036" customFormat="false" ht="13.5" hidden="false" customHeight="false" outlineLevel="0" collapsed="false">
      <c r="N1036" s="1" t="str">
        <f aca="false">IF(C1036="","",IFERROR(VLOOKUP(C1036,Master_Mappings!$A$4:$E$85,3,FALSE()),"UNMAPPED"))</f>
        <v/>
      </c>
      <c r="P1036" s="1" t="str">
        <f aca="false">IF($C1036="","",$C1036&amp;"|"&amp;$E1036&amp;"|"&amp;$M1036&amp;"|"&amp;TEXT($G1036,"yyyy-mm-dd")&amp;"|"&amp;LEFT($J1036,40))</f>
        <v/>
      </c>
      <c r="Q1036" s="11" t="str">
        <f aca="false">IF(P1036="","",IF(COUNTIF($P$2:$P$3000,P1036)&gt;1,"DUPLICATE","OK"))</f>
        <v/>
      </c>
      <c r="R1036" s="0" t="str">
        <f aca="false">IF($C1036="","",IFERROR(VLOOKUP(--$C1036,MM_Income!$Z$5:$AC$204,3,FALSE()),""))</f>
        <v/>
      </c>
    </row>
    <row r="1037" customFormat="false" ht="13.5" hidden="false" customHeight="false" outlineLevel="0" collapsed="false">
      <c r="N1037" s="1" t="str">
        <f aca="false">IF(C1037="","",IFERROR(VLOOKUP(C1037,Master_Mappings!$A$4:$E$85,3,FALSE()),"UNMAPPED"))</f>
        <v/>
      </c>
      <c r="P1037" s="1" t="str">
        <f aca="false">IF($C1037="","",$C1037&amp;"|"&amp;$E1037&amp;"|"&amp;$M1037&amp;"|"&amp;TEXT($G1037,"yyyy-mm-dd")&amp;"|"&amp;LEFT($J1037,40))</f>
        <v/>
      </c>
      <c r="Q1037" s="11" t="str">
        <f aca="false">IF(P1037="","",IF(COUNTIF($P$2:$P$3000,P1037)&gt;1,"DUPLICATE","OK"))</f>
        <v/>
      </c>
      <c r="R1037" s="0" t="str">
        <f aca="false">IF($C1037="","",IFERROR(VLOOKUP(--$C1037,MM_Income!$Z$5:$AC$204,3,FALSE()),""))</f>
        <v/>
      </c>
    </row>
    <row r="1038" customFormat="false" ht="13.5" hidden="false" customHeight="false" outlineLevel="0" collapsed="false">
      <c r="N1038" s="1" t="str">
        <f aca="false">IF(C1038="","",IFERROR(VLOOKUP(C1038,Master_Mappings!$A$4:$E$85,3,FALSE()),"UNMAPPED"))</f>
        <v/>
      </c>
      <c r="P1038" s="1" t="str">
        <f aca="false">IF($C1038="","",$C1038&amp;"|"&amp;$E1038&amp;"|"&amp;$M1038&amp;"|"&amp;TEXT($G1038,"yyyy-mm-dd")&amp;"|"&amp;LEFT($J1038,40))</f>
        <v/>
      </c>
      <c r="Q1038" s="11" t="str">
        <f aca="false">IF(P1038="","",IF(COUNTIF($P$2:$P$3000,P1038)&gt;1,"DUPLICATE","OK"))</f>
        <v/>
      </c>
      <c r="R1038" s="0" t="str">
        <f aca="false">IF($C1038="","",IFERROR(VLOOKUP(--$C1038,MM_Income!$Z$5:$AC$204,3,FALSE()),""))</f>
        <v/>
      </c>
    </row>
    <row r="1039" customFormat="false" ht="13.5" hidden="false" customHeight="false" outlineLevel="0" collapsed="false">
      <c r="N1039" s="1" t="str">
        <f aca="false">IF(C1039="","",IFERROR(VLOOKUP(C1039,Master_Mappings!$A$4:$E$85,3,FALSE()),"UNMAPPED"))</f>
        <v/>
      </c>
      <c r="P1039" s="1" t="str">
        <f aca="false">IF($C1039="","",$C1039&amp;"|"&amp;$E1039&amp;"|"&amp;$M1039&amp;"|"&amp;TEXT($G1039,"yyyy-mm-dd")&amp;"|"&amp;LEFT($J1039,40))</f>
        <v/>
      </c>
      <c r="Q1039" s="11" t="str">
        <f aca="false">IF(P1039="","",IF(COUNTIF($P$2:$P$3000,P1039)&gt;1,"DUPLICATE","OK"))</f>
        <v/>
      </c>
      <c r="R1039" s="0" t="str">
        <f aca="false">IF($C1039="","",IFERROR(VLOOKUP(--$C1039,MM_Income!$Z$5:$AC$204,3,FALSE()),""))</f>
        <v/>
      </c>
    </row>
    <row r="1040" customFormat="false" ht="13.5" hidden="false" customHeight="false" outlineLevel="0" collapsed="false">
      <c r="N1040" s="1" t="str">
        <f aca="false">IF(C1040="","",IFERROR(VLOOKUP(C1040,Master_Mappings!$A$4:$E$85,3,FALSE()),"UNMAPPED"))</f>
        <v/>
      </c>
      <c r="P1040" s="1" t="str">
        <f aca="false">IF($C1040="","",$C1040&amp;"|"&amp;$E1040&amp;"|"&amp;$M1040&amp;"|"&amp;TEXT($G1040,"yyyy-mm-dd")&amp;"|"&amp;LEFT($J1040,40))</f>
        <v/>
      </c>
      <c r="Q1040" s="11" t="str">
        <f aca="false">IF(P1040="","",IF(COUNTIF($P$2:$P$3000,P1040)&gt;1,"DUPLICATE","OK"))</f>
        <v/>
      </c>
      <c r="R1040" s="0" t="str">
        <f aca="false">IF($C1040="","",IFERROR(VLOOKUP(--$C1040,MM_Income!$Z$5:$AC$204,3,FALSE()),""))</f>
        <v/>
      </c>
    </row>
    <row r="1041" customFormat="false" ht="13.5" hidden="false" customHeight="false" outlineLevel="0" collapsed="false">
      <c r="N1041" s="1" t="str">
        <f aca="false">IF(C1041="","",IFERROR(VLOOKUP(C1041,Master_Mappings!$A$4:$E$85,3,FALSE()),"UNMAPPED"))</f>
        <v/>
      </c>
      <c r="P1041" s="1" t="str">
        <f aca="false">IF($C1041="","",$C1041&amp;"|"&amp;$E1041&amp;"|"&amp;$M1041&amp;"|"&amp;TEXT($G1041,"yyyy-mm-dd")&amp;"|"&amp;LEFT($J1041,40))</f>
        <v/>
      </c>
      <c r="Q1041" s="11" t="str">
        <f aca="false">IF(P1041="","",IF(COUNTIF($P$2:$P$3000,P1041)&gt;1,"DUPLICATE","OK"))</f>
        <v/>
      </c>
      <c r="R1041" s="0" t="str">
        <f aca="false">IF($C1041="","",IFERROR(VLOOKUP(--$C1041,MM_Income!$Z$5:$AC$204,3,FALSE()),""))</f>
        <v/>
      </c>
    </row>
    <row r="1042" customFormat="false" ht="13.5" hidden="false" customHeight="false" outlineLevel="0" collapsed="false">
      <c r="N1042" s="1" t="str">
        <f aca="false">IF(C1042="","",IFERROR(VLOOKUP(C1042,Master_Mappings!$A$4:$E$85,3,FALSE()),"UNMAPPED"))</f>
        <v/>
      </c>
      <c r="P1042" s="1" t="str">
        <f aca="false">IF($C1042="","",$C1042&amp;"|"&amp;$E1042&amp;"|"&amp;$M1042&amp;"|"&amp;TEXT($G1042,"yyyy-mm-dd")&amp;"|"&amp;LEFT($J1042,40))</f>
        <v/>
      </c>
      <c r="Q1042" s="11" t="str">
        <f aca="false">IF(P1042="","",IF(COUNTIF($P$2:$P$3000,P1042)&gt;1,"DUPLICATE","OK"))</f>
        <v/>
      </c>
      <c r="R1042" s="0" t="str">
        <f aca="false">IF($C1042="","",IFERROR(VLOOKUP(--$C1042,MM_Income!$Z$5:$AC$204,3,FALSE()),""))</f>
        <v/>
      </c>
    </row>
    <row r="1043" customFormat="false" ht="13.5" hidden="false" customHeight="false" outlineLevel="0" collapsed="false">
      <c r="N1043" s="1" t="str">
        <f aca="false">IF(C1043="","",IFERROR(VLOOKUP(C1043,Master_Mappings!$A$4:$E$85,3,FALSE()),"UNMAPPED"))</f>
        <v/>
      </c>
      <c r="P1043" s="1" t="str">
        <f aca="false">IF($C1043="","",$C1043&amp;"|"&amp;$E1043&amp;"|"&amp;$M1043&amp;"|"&amp;TEXT($G1043,"yyyy-mm-dd")&amp;"|"&amp;LEFT($J1043,40))</f>
        <v/>
      </c>
      <c r="Q1043" s="11" t="str">
        <f aca="false">IF(P1043="","",IF(COUNTIF($P$2:$P$3000,P1043)&gt;1,"DUPLICATE","OK"))</f>
        <v/>
      </c>
      <c r="R1043" s="0" t="str">
        <f aca="false">IF($C1043="","",IFERROR(VLOOKUP(--$C1043,MM_Income!$Z$5:$AC$204,3,FALSE()),""))</f>
        <v/>
      </c>
    </row>
    <row r="1044" customFormat="false" ht="13.5" hidden="false" customHeight="false" outlineLevel="0" collapsed="false">
      <c r="N1044" s="1" t="str">
        <f aca="false">IF(C1044="","",IFERROR(VLOOKUP(C1044,Master_Mappings!$A$4:$E$85,3,FALSE()),"UNMAPPED"))</f>
        <v/>
      </c>
      <c r="P1044" s="1" t="str">
        <f aca="false">IF($C1044="","",$C1044&amp;"|"&amp;$E1044&amp;"|"&amp;$M1044&amp;"|"&amp;TEXT($G1044,"yyyy-mm-dd")&amp;"|"&amp;LEFT($J1044,40))</f>
        <v/>
      </c>
      <c r="Q1044" s="11" t="str">
        <f aca="false">IF(P1044="","",IF(COUNTIF($P$2:$P$3000,P1044)&gt;1,"DUPLICATE","OK"))</f>
        <v/>
      </c>
      <c r="R1044" s="0" t="str">
        <f aca="false">IF($C1044="","",IFERROR(VLOOKUP(--$C1044,MM_Income!$Z$5:$AC$204,3,FALSE()),""))</f>
        <v/>
      </c>
    </row>
    <row r="1045" customFormat="false" ht="13.5" hidden="false" customHeight="false" outlineLevel="0" collapsed="false">
      <c r="N1045" s="1" t="str">
        <f aca="false">IF(C1045="","",IFERROR(VLOOKUP(C1045,Master_Mappings!$A$4:$E$85,3,FALSE()),"UNMAPPED"))</f>
        <v/>
      </c>
      <c r="P1045" s="1" t="str">
        <f aca="false">IF($C1045="","",$C1045&amp;"|"&amp;$E1045&amp;"|"&amp;$M1045&amp;"|"&amp;TEXT($G1045,"yyyy-mm-dd")&amp;"|"&amp;LEFT($J1045,40))</f>
        <v/>
      </c>
      <c r="Q1045" s="11" t="str">
        <f aca="false">IF(P1045="","",IF(COUNTIF($P$2:$P$3000,P1045)&gt;1,"DUPLICATE","OK"))</f>
        <v/>
      </c>
      <c r="R1045" s="0" t="str">
        <f aca="false">IF($C1045="","",IFERROR(VLOOKUP(--$C1045,MM_Income!$Z$5:$AC$204,3,FALSE()),""))</f>
        <v/>
      </c>
    </row>
    <row r="1046" customFormat="false" ht="13.5" hidden="false" customHeight="false" outlineLevel="0" collapsed="false">
      <c r="N1046" s="1" t="str">
        <f aca="false">IF(C1046="","",IFERROR(VLOOKUP(C1046,Master_Mappings!$A$4:$E$85,3,FALSE()),"UNMAPPED"))</f>
        <v/>
      </c>
      <c r="P1046" s="1" t="str">
        <f aca="false">IF($C1046="","",$C1046&amp;"|"&amp;$E1046&amp;"|"&amp;$M1046&amp;"|"&amp;TEXT($G1046,"yyyy-mm-dd")&amp;"|"&amp;LEFT($J1046,40))</f>
        <v/>
      </c>
      <c r="Q1046" s="11" t="str">
        <f aca="false">IF(P1046="","",IF(COUNTIF($P$2:$P$3000,P1046)&gt;1,"DUPLICATE","OK"))</f>
        <v/>
      </c>
      <c r="R1046" s="0" t="str">
        <f aca="false">IF($C1046="","",IFERROR(VLOOKUP(--$C1046,MM_Income!$Z$5:$AC$204,3,FALSE()),""))</f>
        <v/>
      </c>
    </row>
    <row r="1047" customFormat="false" ht="13.5" hidden="false" customHeight="false" outlineLevel="0" collapsed="false">
      <c r="N1047" s="1" t="str">
        <f aca="false">IF(C1047="","",IFERROR(VLOOKUP(C1047,Master_Mappings!$A$4:$E$85,3,FALSE()),"UNMAPPED"))</f>
        <v/>
      </c>
      <c r="P1047" s="1" t="str">
        <f aca="false">IF($C1047="","",$C1047&amp;"|"&amp;$E1047&amp;"|"&amp;$M1047&amp;"|"&amp;TEXT($G1047,"yyyy-mm-dd")&amp;"|"&amp;LEFT($J1047,40))</f>
        <v/>
      </c>
      <c r="Q1047" s="11" t="str">
        <f aca="false">IF(P1047="","",IF(COUNTIF($P$2:$P$3000,P1047)&gt;1,"DUPLICATE","OK"))</f>
        <v/>
      </c>
      <c r="R1047" s="0" t="str">
        <f aca="false">IF($C1047="","",IFERROR(VLOOKUP(--$C1047,MM_Income!$Z$5:$AC$204,3,FALSE()),""))</f>
        <v/>
      </c>
    </row>
    <row r="1048" customFormat="false" ht="13.5" hidden="false" customHeight="false" outlineLevel="0" collapsed="false">
      <c r="N1048" s="1" t="str">
        <f aca="false">IF(C1048="","",IFERROR(VLOOKUP(C1048,Master_Mappings!$A$4:$E$85,3,FALSE()),"UNMAPPED"))</f>
        <v/>
      </c>
      <c r="P1048" s="1" t="str">
        <f aca="false">IF($C1048="","",$C1048&amp;"|"&amp;$E1048&amp;"|"&amp;$M1048&amp;"|"&amp;TEXT($G1048,"yyyy-mm-dd")&amp;"|"&amp;LEFT($J1048,40))</f>
        <v/>
      </c>
      <c r="Q1048" s="11" t="str">
        <f aca="false">IF(P1048="","",IF(COUNTIF($P$2:$P$3000,P1048)&gt;1,"DUPLICATE","OK"))</f>
        <v/>
      </c>
      <c r="R1048" s="0" t="str">
        <f aca="false">IF($C1048="","",IFERROR(VLOOKUP(--$C1048,MM_Income!$Z$5:$AC$204,3,FALSE()),""))</f>
        <v/>
      </c>
    </row>
    <row r="1049" customFormat="false" ht="13.5" hidden="false" customHeight="false" outlineLevel="0" collapsed="false">
      <c r="N1049" s="1" t="str">
        <f aca="false">IF(C1049="","",IFERROR(VLOOKUP(C1049,Master_Mappings!$A$4:$E$85,3,FALSE()),"UNMAPPED"))</f>
        <v/>
      </c>
      <c r="P1049" s="1" t="str">
        <f aca="false">IF($C1049="","",$C1049&amp;"|"&amp;$E1049&amp;"|"&amp;$M1049&amp;"|"&amp;TEXT($G1049,"yyyy-mm-dd")&amp;"|"&amp;LEFT($J1049,40))</f>
        <v/>
      </c>
      <c r="Q1049" s="11" t="str">
        <f aca="false">IF(P1049="","",IF(COUNTIF($P$2:$P$3000,P1049)&gt;1,"DUPLICATE","OK"))</f>
        <v/>
      </c>
      <c r="R1049" s="0" t="str">
        <f aca="false">IF($C1049="","",IFERROR(VLOOKUP(--$C1049,MM_Income!$Z$5:$AC$204,3,FALSE()),""))</f>
        <v/>
      </c>
    </row>
    <row r="1050" customFormat="false" ht="13.5" hidden="false" customHeight="false" outlineLevel="0" collapsed="false">
      <c r="N1050" s="1" t="str">
        <f aca="false">IF(C1050="","",IFERROR(VLOOKUP(C1050,Master_Mappings!$A$4:$E$85,3,FALSE()),"UNMAPPED"))</f>
        <v/>
      </c>
      <c r="P1050" s="1" t="str">
        <f aca="false">IF($C1050="","",$C1050&amp;"|"&amp;$E1050&amp;"|"&amp;$M1050&amp;"|"&amp;TEXT($G1050,"yyyy-mm-dd")&amp;"|"&amp;LEFT($J1050,40))</f>
        <v/>
      </c>
      <c r="Q1050" s="11" t="str">
        <f aca="false">IF(P1050="","",IF(COUNTIF($P$2:$P$3000,P1050)&gt;1,"DUPLICATE","OK"))</f>
        <v/>
      </c>
      <c r="R1050" s="0" t="str">
        <f aca="false">IF($C1050="","",IFERROR(VLOOKUP(--$C1050,MM_Income!$Z$5:$AC$204,3,FALSE()),""))</f>
        <v/>
      </c>
    </row>
    <row r="1051" customFormat="false" ht="13.5" hidden="false" customHeight="false" outlineLevel="0" collapsed="false">
      <c r="N1051" s="1" t="str">
        <f aca="false">IF(C1051="","",IFERROR(VLOOKUP(C1051,Master_Mappings!$A$4:$E$85,3,FALSE()),"UNMAPPED"))</f>
        <v/>
      </c>
      <c r="P1051" s="1" t="str">
        <f aca="false">IF($C1051="","",$C1051&amp;"|"&amp;$E1051&amp;"|"&amp;$M1051&amp;"|"&amp;TEXT($G1051,"yyyy-mm-dd")&amp;"|"&amp;LEFT($J1051,40))</f>
        <v/>
      </c>
      <c r="Q1051" s="11" t="str">
        <f aca="false">IF(P1051="","",IF(COUNTIF($P$2:$P$3000,P1051)&gt;1,"DUPLICATE","OK"))</f>
        <v/>
      </c>
      <c r="R1051" s="0" t="str">
        <f aca="false">IF($C1051="","",IFERROR(VLOOKUP(--$C1051,MM_Income!$Z$5:$AC$204,3,FALSE()),""))</f>
        <v/>
      </c>
    </row>
    <row r="1052" customFormat="false" ht="13.5" hidden="false" customHeight="false" outlineLevel="0" collapsed="false">
      <c r="N1052" s="1" t="str">
        <f aca="false">IF(C1052="","",IFERROR(VLOOKUP(C1052,Master_Mappings!$A$4:$E$85,3,FALSE()),"UNMAPPED"))</f>
        <v/>
      </c>
      <c r="P1052" s="1" t="str">
        <f aca="false">IF($C1052="","",$C1052&amp;"|"&amp;$E1052&amp;"|"&amp;$M1052&amp;"|"&amp;TEXT($G1052,"yyyy-mm-dd")&amp;"|"&amp;LEFT($J1052,40))</f>
        <v/>
      </c>
      <c r="Q1052" s="11" t="str">
        <f aca="false">IF(P1052="","",IF(COUNTIF($P$2:$P$3000,P1052)&gt;1,"DUPLICATE","OK"))</f>
        <v/>
      </c>
      <c r="R1052" s="0" t="str">
        <f aca="false">IF($C1052="","",IFERROR(VLOOKUP(--$C1052,MM_Income!$Z$5:$AC$204,3,FALSE()),""))</f>
        <v/>
      </c>
    </row>
    <row r="1053" customFormat="false" ht="13.5" hidden="false" customHeight="false" outlineLevel="0" collapsed="false">
      <c r="N1053" s="1" t="str">
        <f aca="false">IF(C1053="","",IFERROR(VLOOKUP(C1053,Master_Mappings!$A$4:$E$85,3,FALSE()),"UNMAPPED"))</f>
        <v/>
      </c>
      <c r="P1053" s="1" t="str">
        <f aca="false">IF($C1053="","",$C1053&amp;"|"&amp;$E1053&amp;"|"&amp;$M1053&amp;"|"&amp;TEXT($G1053,"yyyy-mm-dd")&amp;"|"&amp;LEFT($J1053,40))</f>
        <v/>
      </c>
      <c r="Q1053" s="11" t="str">
        <f aca="false">IF(P1053="","",IF(COUNTIF($P$2:$P$3000,P1053)&gt;1,"DUPLICATE","OK"))</f>
        <v/>
      </c>
      <c r="R1053" s="0" t="str">
        <f aca="false">IF($C1053="","",IFERROR(VLOOKUP(--$C1053,MM_Income!$Z$5:$AC$204,3,FALSE()),""))</f>
        <v/>
      </c>
    </row>
    <row r="1054" customFormat="false" ht="13.5" hidden="false" customHeight="false" outlineLevel="0" collapsed="false">
      <c r="N1054" s="1" t="str">
        <f aca="false">IF(C1054="","",IFERROR(VLOOKUP(C1054,Master_Mappings!$A$4:$E$85,3,FALSE()),"UNMAPPED"))</f>
        <v/>
      </c>
      <c r="P1054" s="1" t="str">
        <f aca="false">IF($C1054="","",$C1054&amp;"|"&amp;$E1054&amp;"|"&amp;$M1054&amp;"|"&amp;TEXT($G1054,"yyyy-mm-dd")&amp;"|"&amp;LEFT($J1054,40))</f>
        <v/>
      </c>
      <c r="Q1054" s="11" t="str">
        <f aca="false">IF(P1054="","",IF(COUNTIF($P$2:$P$3000,P1054)&gt;1,"DUPLICATE","OK"))</f>
        <v/>
      </c>
      <c r="R1054" s="0" t="str">
        <f aca="false">IF($C1054="","",IFERROR(VLOOKUP(--$C1054,MM_Income!$Z$5:$AC$204,3,FALSE()),""))</f>
        <v/>
      </c>
    </row>
    <row r="1055" customFormat="false" ht="13.5" hidden="false" customHeight="false" outlineLevel="0" collapsed="false">
      <c r="N1055" s="1" t="str">
        <f aca="false">IF(C1055="","",IFERROR(VLOOKUP(C1055,Master_Mappings!$A$4:$E$85,3,FALSE()),"UNMAPPED"))</f>
        <v/>
      </c>
      <c r="P1055" s="1" t="str">
        <f aca="false">IF($C1055="","",$C1055&amp;"|"&amp;$E1055&amp;"|"&amp;$M1055&amp;"|"&amp;TEXT($G1055,"yyyy-mm-dd")&amp;"|"&amp;LEFT($J1055,40))</f>
        <v/>
      </c>
      <c r="Q1055" s="11" t="str">
        <f aca="false">IF(P1055="","",IF(COUNTIF($P$2:$P$3000,P1055)&gt;1,"DUPLICATE","OK"))</f>
        <v/>
      </c>
      <c r="R1055" s="0" t="str">
        <f aca="false">IF($C1055="","",IFERROR(VLOOKUP(--$C1055,MM_Income!$Z$5:$AC$204,3,FALSE()),""))</f>
        <v/>
      </c>
    </row>
    <row r="1056" customFormat="false" ht="13.5" hidden="false" customHeight="false" outlineLevel="0" collapsed="false">
      <c r="N1056" s="1" t="str">
        <f aca="false">IF(C1056="","",IFERROR(VLOOKUP(C1056,Master_Mappings!$A$4:$E$85,3,FALSE()),"UNMAPPED"))</f>
        <v/>
      </c>
      <c r="P1056" s="1" t="str">
        <f aca="false">IF($C1056="","",$C1056&amp;"|"&amp;$E1056&amp;"|"&amp;$M1056&amp;"|"&amp;TEXT($G1056,"yyyy-mm-dd")&amp;"|"&amp;LEFT($J1056,40))</f>
        <v/>
      </c>
      <c r="Q1056" s="11" t="str">
        <f aca="false">IF(P1056="","",IF(COUNTIF($P$2:$P$3000,P1056)&gt;1,"DUPLICATE","OK"))</f>
        <v/>
      </c>
      <c r="R1056" s="0" t="str">
        <f aca="false">IF($C1056="","",IFERROR(VLOOKUP(--$C1056,MM_Income!$Z$5:$AC$204,3,FALSE()),""))</f>
        <v/>
      </c>
    </row>
    <row r="1057" customFormat="false" ht="13.5" hidden="false" customHeight="false" outlineLevel="0" collapsed="false">
      <c r="N1057" s="1" t="str">
        <f aca="false">IF(C1057="","",IFERROR(VLOOKUP(C1057,Master_Mappings!$A$4:$E$85,3,FALSE()),"UNMAPPED"))</f>
        <v/>
      </c>
      <c r="P1057" s="1" t="str">
        <f aca="false">IF($C1057="","",$C1057&amp;"|"&amp;$E1057&amp;"|"&amp;$M1057&amp;"|"&amp;TEXT($G1057,"yyyy-mm-dd")&amp;"|"&amp;LEFT($J1057,40))</f>
        <v/>
      </c>
      <c r="Q1057" s="11" t="str">
        <f aca="false">IF(P1057="","",IF(COUNTIF($P$2:$P$3000,P1057)&gt;1,"DUPLICATE","OK"))</f>
        <v/>
      </c>
      <c r="R1057" s="0" t="str">
        <f aca="false">IF($C1057="","",IFERROR(VLOOKUP(--$C1057,MM_Income!$Z$5:$AC$204,3,FALSE()),""))</f>
        <v/>
      </c>
    </row>
    <row r="1058" customFormat="false" ht="13.5" hidden="false" customHeight="false" outlineLevel="0" collapsed="false">
      <c r="N1058" s="1" t="str">
        <f aca="false">IF(C1058="","",IFERROR(VLOOKUP(C1058,Master_Mappings!$A$4:$E$85,3,FALSE()),"UNMAPPED"))</f>
        <v/>
      </c>
      <c r="P1058" s="1" t="str">
        <f aca="false">IF($C1058="","",$C1058&amp;"|"&amp;$E1058&amp;"|"&amp;$M1058&amp;"|"&amp;TEXT($G1058,"yyyy-mm-dd")&amp;"|"&amp;LEFT($J1058,40))</f>
        <v/>
      </c>
      <c r="Q1058" s="11" t="str">
        <f aca="false">IF(P1058="","",IF(COUNTIF($P$2:$P$3000,P1058)&gt;1,"DUPLICATE","OK"))</f>
        <v/>
      </c>
      <c r="R1058" s="0" t="str">
        <f aca="false">IF($C1058="","",IFERROR(VLOOKUP(--$C1058,MM_Income!$Z$5:$AC$204,3,FALSE()),""))</f>
        <v/>
      </c>
    </row>
    <row r="1059" customFormat="false" ht="13.5" hidden="false" customHeight="false" outlineLevel="0" collapsed="false">
      <c r="N1059" s="1" t="str">
        <f aca="false">IF(C1059="","",IFERROR(VLOOKUP(C1059,Master_Mappings!$A$4:$E$85,3,FALSE()),"UNMAPPED"))</f>
        <v/>
      </c>
      <c r="P1059" s="1" t="str">
        <f aca="false">IF($C1059="","",$C1059&amp;"|"&amp;$E1059&amp;"|"&amp;$M1059&amp;"|"&amp;TEXT($G1059,"yyyy-mm-dd")&amp;"|"&amp;LEFT($J1059,40))</f>
        <v/>
      </c>
      <c r="Q1059" s="11" t="str">
        <f aca="false">IF(P1059="","",IF(COUNTIF($P$2:$P$3000,P1059)&gt;1,"DUPLICATE","OK"))</f>
        <v/>
      </c>
      <c r="R1059" s="0" t="str">
        <f aca="false">IF($C1059="","",IFERROR(VLOOKUP(--$C1059,MM_Income!$Z$5:$AC$204,3,FALSE()),""))</f>
        <v/>
      </c>
    </row>
    <row r="1060" customFormat="false" ht="13.5" hidden="false" customHeight="false" outlineLevel="0" collapsed="false">
      <c r="N1060" s="1" t="str">
        <f aca="false">IF(C1060="","",IFERROR(VLOOKUP(C1060,Master_Mappings!$A$4:$E$85,3,FALSE()),"UNMAPPED"))</f>
        <v/>
      </c>
      <c r="P1060" s="1" t="str">
        <f aca="false">IF($C1060="","",$C1060&amp;"|"&amp;$E1060&amp;"|"&amp;$M1060&amp;"|"&amp;TEXT($G1060,"yyyy-mm-dd")&amp;"|"&amp;LEFT($J1060,40))</f>
        <v/>
      </c>
      <c r="Q1060" s="11" t="str">
        <f aca="false">IF(P1060="","",IF(COUNTIF($P$2:$P$3000,P1060)&gt;1,"DUPLICATE","OK"))</f>
        <v/>
      </c>
      <c r="R1060" s="0" t="str">
        <f aca="false">IF($C1060="","",IFERROR(VLOOKUP(--$C1060,MM_Income!$Z$5:$AC$204,3,FALSE()),""))</f>
        <v/>
      </c>
    </row>
    <row r="1061" customFormat="false" ht="13.5" hidden="false" customHeight="false" outlineLevel="0" collapsed="false">
      <c r="N1061" s="1" t="str">
        <f aca="false">IF(C1061="","",IFERROR(VLOOKUP(C1061,Master_Mappings!$A$4:$E$85,3,FALSE()),"UNMAPPED"))</f>
        <v/>
      </c>
      <c r="P1061" s="1" t="str">
        <f aca="false">IF($C1061="","",$C1061&amp;"|"&amp;$E1061&amp;"|"&amp;$M1061&amp;"|"&amp;TEXT($G1061,"yyyy-mm-dd")&amp;"|"&amp;LEFT($J1061,40))</f>
        <v/>
      </c>
      <c r="Q1061" s="11" t="str">
        <f aca="false">IF(P1061="","",IF(COUNTIF($P$2:$P$3000,P1061)&gt;1,"DUPLICATE","OK"))</f>
        <v/>
      </c>
      <c r="R1061" s="0" t="str">
        <f aca="false">IF($C1061="","",IFERROR(VLOOKUP(--$C1061,MM_Income!$Z$5:$AC$204,3,FALSE()),""))</f>
        <v/>
      </c>
    </row>
    <row r="1062" customFormat="false" ht="13.5" hidden="false" customHeight="false" outlineLevel="0" collapsed="false">
      <c r="N1062" s="1" t="str">
        <f aca="false">IF(C1062="","",IFERROR(VLOOKUP(C1062,Master_Mappings!$A$4:$E$85,3,FALSE()),"UNMAPPED"))</f>
        <v/>
      </c>
      <c r="P1062" s="1" t="str">
        <f aca="false">IF($C1062="","",$C1062&amp;"|"&amp;$E1062&amp;"|"&amp;$M1062&amp;"|"&amp;TEXT($G1062,"yyyy-mm-dd")&amp;"|"&amp;LEFT($J1062,40))</f>
        <v/>
      </c>
      <c r="Q1062" s="11" t="str">
        <f aca="false">IF(P1062="","",IF(COUNTIF($P$2:$P$3000,P1062)&gt;1,"DUPLICATE","OK"))</f>
        <v/>
      </c>
      <c r="R1062" s="0" t="str">
        <f aca="false">IF($C1062="","",IFERROR(VLOOKUP(--$C1062,MM_Income!$Z$5:$AC$204,3,FALSE()),""))</f>
        <v/>
      </c>
    </row>
    <row r="1063" customFormat="false" ht="13.5" hidden="false" customHeight="false" outlineLevel="0" collapsed="false">
      <c r="N1063" s="1" t="str">
        <f aca="false">IF(C1063="","",IFERROR(VLOOKUP(C1063,Master_Mappings!$A$4:$E$85,3,FALSE()),"UNMAPPED"))</f>
        <v/>
      </c>
      <c r="P1063" s="1" t="str">
        <f aca="false">IF($C1063="","",$C1063&amp;"|"&amp;$E1063&amp;"|"&amp;$M1063&amp;"|"&amp;TEXT($G1063,"yyyy-mm-dd")&amp;"|"&amp;LEFT($J1063,40))</f>
        <v/>
      </c>
      <c r="Q1063" s="11" t="str">
        <f aca="false">IF(P1063="","",IF(COUNTIF($P$2:$P$3000,P1063)&gt;1,"DUPLICATE","OK"))</f>
        <v/>
      </c>
      <c r="R1063" s="0" t="str">
        <f aca="false">IF($C1063="","",IFERROR(VLOOKUP(--$C1063,MM_Income!$Z$5:$AC$204,3,FALSE()),""))</f>
        <v/>
      </c>
    </row>
    <row r="1064" customFormat="false" ht="13.5" hidden="false" customHeight="false" outlineLevel="0" collapsed="false">
      <c r="N1064" s="1" t="str">
        <f aca="false">IF(C1064="","",IFERROR(VLOOKUP(C1064,Master_Mappings!$A$4:$E$85,3,FALSE()),"UNMAPPED"))</f>
        <v/>
      </c>
      <c r="P1064" s="1" t="str">
        <f aca="false">IF($C1064="","",$C1064&amp;"|"&amp;$E1064&amp;"|"&amp;$M1064&amp;"|"&amp;TEXT($G1064,"yyyy-mm-dd")&amp;"|"&amp;LEFT($J1064,40))</f>
        <v/>
      </c>
      <c r="Q1064" s="11" t="str">
        <f aca="false">IF(P1064="","",IF(COUNTIF($P$2:$P$3000,P1064)&gt;1,"DUPLICATE","OK"))</f>
        <v/>
      </c>
      <c r="R1064" s="0" t="str">
        <f aca="false">IF($C1064="","",IFERROR(VLOOKUP(--$C1064,MM_Income!$Z$5:$AC$204,3,FALSE()),""))</f>
        <v/>
      </c>
    </row>
    <row r="1065" customFormat="false" ht="13.5" hidden="false" customHeight="false" outlineLevel="0" collapsed="false">
      <c r="N1065" s="1" t="str">
        <f aca="false">IF(C1065="","",IFERROR(VLOOKUP(C1065,Master_Mappings!$A$4:$E$85,3,FALSE()),"UNMAPPED"))</f>
        <v/>
      </c>
      <c r="P1065" s="1" t="str">
        <f aca="false">IF($C1065="","",$C1065&amp;"|"&amp;$E1065&amp;"|"&amp;$M1065&amp;"|"&amp;TEXT($G1065,"yyyy-mm-dd")&amp;"|"&amp;LEFT($J1065,40))</f>
        <v/>
      </c>
      <c r="Q1065" s="11" t="str">
        <f aca="false">IF(P1065="","",IF(COUNTIF($P$2:$P$3000,P1065)&gt;1,"DUPLICATE","OK"))</f>
        <v/>
      </c>
      <c r="R1065" s="0" t="str">
        <f aca="false">IF($C1065="","",IFERROR(VLOOKUP(--$C1065,MM_Income!$Z$5:$AC$204,3,FALSE()),""))</f>
        <v/>
      </c>
    </row>
    <row r="1066" customFormat="false" ht="13.5" hidden="false" customHeight="false" outlineLevel="0" collapsed="false">
      <c r="N1066" s="1" t="str">
        <f aca="false">IF(C1066="","",IFERROR(VLOOKUP(C1066,Master_Mappings!$A$4:$E$85,3,FALSE()),"UNMAPPED"))</f>
        <v/>
      </c>
      <c r="P1066" s="1" t="str">
        <f aca="false">IF($C1066="","",$C1066&amp;"|"&amp;$E1066&amp;"|"&amp;$M1066&amp;"|"&amp;TEXT($G1066,"yyyy-mm-dd")&amp;"|"&amp;LEFT($J1066,40))</f>
        <v/>
      </c>
      <c r="Q1066" s="11" t="str">
        <f aca="false">IF(P1066="","",IF(COUNTIF($P$2:$P$3000,P1066)&gt;1,"DUPLICATE","OK"))</f>
        <v/>
      </c>
      <c r="R1066" s="0" t="str">
        <f aca="false">IF($C1066="","",IFERROR(VLOOKUP(--$C1066,MM_Income!$Z$5:$AC$204,3,FALSE()),""))</f>
        <v/>
      </c>
    </row>
    <row r="1067" customFormat="false" ht="13.5" hidden="false" customHeight="false" outlineLevel="0" collapsed="false">
      <c r="N1067" s="1" t="str">
        <f aca="false">IF(C1067="","",IFERROR(VLOOKUP(C1067,Master_Mappings!$A$4:$E$85,3,FALSE()),"UNMAPPED"))</f>
        <v/>
      </c>
      <c r="P1067" s="1" t="str">
        <f aca="false">IF($C1067="","",$C1067&amp;"|"&amp;$E1067&amp;"|"&amp;$M1067&amp;"|"&amp;TEXT($G1067,"yyyy-mm-dd")&amp;"|"&amp;LEFT($J1067,40))</f>
        <v/>
      </c>
      <c r="Q1067" s="11" t="str">
        <f aca="false">IF(P1067="","",IF(COUNTIF($P$2:$P$3000,P1067)&gt;1,"DUPLICATE","OK"))</f>
        <v/>
      </c>
      <c r="R1067" s="0" t="str">
        <f aca="false">IF($C1067="","",IFERROR(VLOOKUP(--$C1067,MM_Income!$Z$5:$AC$204,3,FALSE()),""))</f>
        <v/>
      </c>
    </row>
    <row r="1068" customFormat="false" ht="13.5" hidden="false" customHeight="false" outlineLevel="0" collapsed="false">
      <c r="N1068" s="1" t="str">
        <f aca="false">IF(C1068="","",IFERROR(VLOOKUP(C1068,Master_Mappings!$A$4:$E$85,3,FALSE()),"UNMAPPED"))</f>
        <v/>
      </c>
      <c r="P1068" s="1" t="str">
        <f aca="false">IF($C1068="","",$C1068&amp;"|"&amp;$E1068&amp;"|"&amp;$M1068&amp;"|"&amp;TEXT($G1068,"yyyy-mm-dd")&amp;"|"&amp;LEFT($J1068,40))</f>
        <v/>
      </c>
      <c r="Q1068" s="11" t="str">
        <f aca="false">IF(P1068="","",IF(COUNTIF($P$2:$P$3000,P1068)&gt;1,"DUPLICATE","OK"))</f>
        <v/>
      </c>
      <c r="R1068" s="0" t="str">
        <f aca="false">IF($C1068="","",IFERROR(VLOOKUP(--$C1068,MM_Income!$Z$5:$AC$204,3,FALSE()),""))</f>
        <v/>
      </c>
    </row>
    <row r="1069" customFormat="false" ht="13.5" hidden="false" customHeight="false" outlineLevel="0" collapsed="false">
      <c r="N1069" s="1" t="str">
        <f aca="false">IF(C1069="","",IFERROR(VLOOKUP(C1069,Master_Mappings!$A$4:$E$85,3,FALSE()),"UNMAPPED"))</f>
        <v/>
      </c>
      <c r="P1069" s="1" t="str">
        <f aca="false">IF($C1069="","",$C1069&amp;"|"&amp;$E1069&amp;"|"&amp;$M1069&amp;"|"&amp;TEXT($G1069,"yyyy-mm-dd")&amp;"|"&amp;LEFT($J1069,40))</f>
        <v/>
      </c>
      <c r="Q1069" s="11" t="str">
        <f aca="false">IF(P1069="","",IF(COUNTIF($P$2:$P$3000,P1069)&gt;1,"DUPLICATE","OK"))</f>
        <v/>
      </c>
      <c r="R1069" s="0" t="str">
        <f aca="false">IF($C1069="","",IFERROR(VLOOKUP(--$C1069,MM_Income!$Z$5:$AC$204,3,FALSE()),""))</f>
        <v/>
      </c>
    </row>
    <row r="1070" customFormat="false" ht="13.5" hidden="false" customHeight="false" outlineLevel="0" collapsed="false">
      <c r="N1070" s="1" t="str">
        <f aca="false">IF(C1070="","",IFERROR(VLOOKUP(C1070,Master_Mappings!$A$4:$E$85,3,FALSE()),"UNMAPPED"))</f>
        <v/>
      </c>
      <c r="P1070" s="1" t="str">
        <f aca="false">IF($C1070="","",$C1070&amp;"|"&amp;$E1070&amp;"|"&amp;$M1070&amp;"|"&amp;TEXT($G1070,"yyyy-mm-dd")&amp;"|"&amp;LEFT($J1070,40))</f>
        <v/>
      </c>
      <c r="Q1070" s="11" t="str">
        <f aca="false">IF(P1070="","",IF(COUNTIF($P$2:$P$3000,P1070)&gt;1,"DUPLICATE","OK"))</f>
        <v/>
      </c>
      <c r="R1070" s="0" t="str">
        <f aca="false">IF($C1070="","",IFERROR(VLOOKUP(--$C1070,MM_Income!$Z$5:$AC$204,3,FALSE()),""))</f>
        <v/>
      </c>
    </row>
    <row r="1071" customFormat="false" ht="13.5" hidden="false" customHeight="false" outlineLevel="0" collapsed="false">
      <c r="N1071" s="1" t="str">
        <f aca="false">IF(C1071="","",IFERROR(VLOOKUP(C1071,Master_Mappings!$A$4:$E$85,3,FALSE()),"UNMAPPED"))</f>
        <v/>
      </c>
      <c r="P1071" s="1" t="str">
        <f aca="false">IF($C1071="","",$C1071&amp;"|"&amp;$E1071&amp;"|"&amp;$M1071&amp;"|"&amp;TEXT($G1071,"yyyy-mm-dd")&amp;"|"&amp;LEFT($J1071,40))</f>
        <v/>
      </c>
      <c r="Q1071" s="11" t="str">
        <f aca="false">IF(P1071="","",IF(COUNTIF($P$2:$P$3000,P1071)&gt;1,"DUPLICATE","OK"))</f>
        <v/>
      </c>
      <c r="R1071" s="0" t="str">
        <f aca="false">IF($C1071="","",IFERROR(VLOOKUP(--$C1071,MM_Income!$Z$5:$AC$204,3,FALSE()),""))</f>
        <v/>
      </c>
    </row>
    <row r="1072" customFormat="false" ht="13.5" hidden="false" customHeight="false" outlineLevel="0" collapsed="false">
      <c r="N1072" s="1" t="str">
        <f aca="false">IF(C1072="","",IFERROR(VLOOKUP(C1072,Master_Mappings!$A$4:$E$85,3,FALSE()),"UNMAPPED"))</f>
        <v/>
      </c>
      <c r="P1072" s="1" t="str">
        <f aca="false">IF($C1072="","",$C1072&amp;"|"&amp;$E1072&amp;"|"&amp;$M1072&amp;"|"&amp;TEXT($G1072,"yyyy-mm-dd")&amp;"|"&amp;LEFT($J1072,40))</f>
        <v/>
      </c>
      <c r="Q1072" s="11" t="str">
        <f aca="false">IF(P1072="","",IF(COUNTIF($P$2:$P$3000,P1072)&gt;1,"DUPLICATE","OK"))</f>
        <v/>
      </c>
      <c r="R1072" s="0" t="str">
        <f aca="false">IF($C1072="","",IFERROR(VLOOKUP(--$C1072,MM_Income!$Z$5:$AC$204,3,FALSE()),""))</f>
        <v/>
      </c>
    </row>
    <row r="1073" customFormat="false" ht="13.5" hidden="false" customHeight="false" outlineLevel="0" collapsed="false">
      <c r="N1073" s="1" t="str">
        <f aca="false">IF(C1073="","",IFERROR(VLOOKUP(C1073,Master_Mappings!$A$4:$E$85,3,FALSE()),"UNMAPPED"))</f>
        <v/>
      </c>
      <c r="P1073" s="1" t="str">
        <f aca="false">IF($C1073="","",$C1073&amp;"|"&amp;$E1073&amp;"|"&amp;$M1073&amp;"|"&amp;TEXT($G1073,"yyyy-mm-dd")&amp;"|"&amp;LEFT($J1073,40))</f>
        <v/>
      </c>
      <c r="Q1073" s="11" t="str">
        <f aca="false">IF(P1073="","",IF(COUNTIF($P$2:$P$3000,P1073)&gt;1,"DUPLICATE","OK"))</f>
        <v/>
      </c>
      <c r="R1073" s="0" t="str">
        <f aca="false">IF($C1073="","",IFERROR(VLOOKUP(--$C1073,MM_Income!$Z$5:$AC$204,3,FALSE()),""))</f>
        <v/>
      </c>
    </row>
    <row r="1074" customFormat="false" ht="13.5" hidden="false" customHeight="false" outlineLevel="0" collapsed="false">
      <c r="N1074" s="1" t="str">
        <f aca="false">IF(C1074="","",IFERROR(VLOOKUP(C1074,Master_Mappings!$A$4:$E$85,3,FALSE()),"UNMAPPED"))</f>
        <v/>
      </c>
      <c r="P1074" s="1" t="str">
        <f aca="false">IF($C1074="","",$C1074&amp;"|"&amp;$E1074&amp;"|"&amp;$M1074&amp;"|"&amp;TEXT($G1074,"yyyy-mm-dd")&amp;"|"&amp;LEFT($J1074,40))</f>
        <v/>
      </c>
      <c r="Q1074" s="11" t="str">
        <f aca="false">IF(P1074="","",IF(COUNTIF($P$2:$P$3000,P1074)&gt;1,"DUPLICATE","OK"))</f>
        <v/>
      </c>
      <c r="R1074" s="0" t="str">
        <f aca="false">IF($C1074="","",IFERROR(VLOOKUP(--$C1074,MM_Income!$Z$5:$AC$204,3,FALSE()),""))</f>
        <v/>
      </c>
    </row>
    <row r="1075" customFormat="false" ht="13.5" hidden="false" customHeight="false" outlineLevel="0" collapsed="false">
      <c r="N1075" s="1" t="str">
        <f aca="false">IF(C1075="","",IFERROR(VLOOKUP(C1075,Master_Mappings!$A$4:$E$85,3,FALSE()),"UNMAPPED"))</f>
        <v/>
      </c>
      <c r="P1075" s="1" t="str">
        <f aca="false">IF($C1075="","",$C1075&amp;"|"&amp;$E1075&amp;"|"&amp;$M1075&amp;"|"&amp;TEXT($G1075,"yyyy-mm-dd")&amp;"|"&amp;LEFT($J1075,40))</f>
        <v/>
      </c>
      <c r="Q1075" s="11" t="str">
        <f aca="false">IF(P1075="","",IF(COUNTIF($P$2:$P$3000,P1075)&gt;1,"DUPLICATE","OK"))</f>
        <v/>
      </c>
      <c r="R1075" s="0" t="str">
        <f aca="false">IF($C1075="","",IFERROR(VLOOKUP(--$C1075,MM_Income!$Z$5:$AC$204,3,FALSE()),""))</f>
        <v/>
      </c>
    </row>
    <row r="1076" customFormat="false" ht="13.5" hidden="false" customHeight="false" outlineLevel="0" collapsed="false">
      <c r="N1076" s="1" t="str">
        <f aca="false">IF(C1076="","",IFERROR(VLOOKUP(C1076,Master_Mappings!$A$4:$E$85,3,FALSE()),"UNMAPPED"))</f>
        <v/>
      </c>
      <c r="P1076" s="1" t="str">
        <f aca="false">IF($C1076="","",$C1076&amp;"|"&amp;$E1076&amp;"|"&amp;$M1076&amp;"|"&amp;TEXT($G1076,"yyyy-mm-dd")&amp;"|"&amp;LEFT($J1076,40))</f>
        <v/>
      </c>
      <c r="Q1076" s="11" t="str">
        <f aca="false">IF(P1076="","",IF(COUNTIF($P$2:$P$3000,P1076)&gt;1,"DUPLICATE","OK"))</f>
        <v/>
      </c>
      <c r="R1076" s="0" t="str">
        <f aca="false">IF($C1076="","",IFERROR(VLOOKUP(--$C1076,MM_Income!$Z$5:$AC$204,3,FALSE()),""))</f>
        <v/>
      </c>
    </row>
    <row r="1077" customFormat="false" ht="13.5" hidden="false" customHeight="false" outlineLevel="0" collapsed="false">
      <c r="N1077" s="1" t="str">
        <f aca="false">IF(C1077="","",IFERROR(VLOOKUP(C1077,Master_Mappings!$A$4:$E$85,3,FALSE()),"UNMAPPED"))</f>
        <v/>
      </c>
      <c r="P1077" s="1" t="str">
        <f aca="false">IF($C1077="","",$C1077&amp;"|"&amp;$E1077&amp;"|"&amp;$M1077&amp;"|"&amp;TEXT($G1077,"yyyy-mm-dd")&amp;"|"&amp;LEFT($J1077,40))</f>
        <v/>
      </c>
      <c r="Q1077" s="11" t="str">
        <f aca="false">IF(P1077="","",IF(COUNTIF($P$2:$P$3000,P1077)&gt;1,"DUPLICATE","OK"))</f>
        <v/>
      </c>
      <c r="R1077" s="0" t="str">
        <f aca="false">IF($C1077="","",IFERROR(VLOOKUP(--$C1077,MM_Income!$Z$5:$AC$204,3,FALSE()),""))</f>
        <v/>
      </c>
    </row>
    <row r="1078" customFormat="false" ht="13.5" hidden="false" customHeight="false" outlineLevel="0" collapsed="false">
      <c r="N1078" s="1" t="str">
        <f aca="false">IF(C1078="","",IFERROR(VLOOKUP(C1078,Master_Mappings!$A$4:$E$85,3,FALSE()),"UNMAPPED"))</f>
        <v/>
      </c>
      <c r="P1078" s="1" t="str">
        <f aca="false">IF($C1078="","",$C1078&amp;"|"&amp;$E1078&amp;"|"&amp;$M1078&amp;"|"&amp;TEXT($G1078,"yyyy-mm-dd")&amp;"|"&amp;LEFT($J1078,40))</f>
        <v/>
      </c>
      <c r="Q1078" s="11" t="str">
        <f aca="false">IF(P1078="","",IF(COUNTIF($P$2:$P$3000,P1078)&gt;1,"DUPLICATE","OK"))</f>
        <v/>
      </c>
      <c r="R1078" s="0" t="str">
        <f aca="false">IF($C1078="","",IFERROR(VLOOKUP(--$C1078,MM_Income!$Z$5:$AC$204,3,FALSE()),""))</f>
        <v/>
      </c>
    </row>
    <row r="1079" customFormat="false" ht="13.5" hidden="false" customHeight="false" outlineLevel="0" collapsed="false">
      <c r="N1079" s="1" t="str">
        <f aca="false">IF(C1079="","",IFERROR(VLOOKUP(C1079,Master_Mappings!$A$4:$E$85,3,FALSE()),"UNMAPPED"))</f>
        <v/>
      </c>
      <c r="P1079" s="1" t="str">
        <f aca="false">IF($C1079="","",$C1079&amp;"|"&amp;$E1079&amp;"|"&amp;$M1079&amp;"|"&amp;TEXT($G1079,"yyyy-mm-dd")&amp;"|"&amp;LEFT($J1079,40))</f>
        <v/>
      </c>
      <c r="Q1079" s="11" t="str">
        <f aca="false">IF(P1079="","",IF(COUNTIF($P$2:$P$3000,P1079)&gt;1,"DUPLICATE","OK"))</f>
        <v/>
      </c>
      <c r="R1079" s="0" t="str">
        <f aca="false">IF($C1079="","",IFERROR(VLOOKUP(--$C1079,MM_Income!$Z$5:$AC$204,3,FALSE()),""))</f>
        <v/>
      </c>
    </row>
    <row r="1080" customFormat="false" ht="13.5" hidden="false" customHeight="false" outlineLevel="0" collapsed="false">
      <c r="N1080" s="1" t="str">
        <f aca="false">IF(C1080="","",IFERROR(VLOOKUP(C1080,Master_Mappings!$A$4:$E$85,3,FALSE()),"UNMAPPED"))</f>
        <v/>
      </c>
      <c r="P1080" s="1" t="str">
        <f aca="false">IF($C1080="","",$C1080&amp;"|"&amp;$E1080&amp;"|"&amp;$M1080&amp;"|"&amp;TEXT($G1080,"yyyy-mm-dd")&amp;"|"&amp;LEFT($J1080,40))</f>
        <v/>
      </c>
      <c r="Q1080" s="11" t="str">
        <f aca="false">IF(P1080="","",IF(COUNTIF($P$2:$P$3000,P1080)&gt;1,"DUPLICATE","OK"))</f>
        <v/>
      </c>
      <c r="R1080" s="0" t="str">
        <f aca="false">IF($C1080="","",IFERROR(VLOOKUP(--$C1080,MM_Income!$Z$5:$AC$204,3,FALSE()),""))</f>
        <v/>
      </c>
    </row>
    <row r="1081" customFormat="false" ht="13.5" hidden="false" customHeight="false" outlineLevel="0" collapsed="false">
      <c r="N1081" s="1" t="str">
        <f aca="false">IF(C1081="","",IFERROR(VLOOKUP(C1081,Master_Mappings!$A$4:$E$85,3,FALSE()),"UNMAPPED"))</f>
        <v/>
      </c>
      <c r="P1081" s="1" t="str">
        <f aca="false">IF($C1081="","",$C1081&amp;"|"&amp;$E1081&amp;"|"&amp;$M1081&amp;"|"&amp;TEXT($G1081,"yyyy-mm-dd")&amp;"|"&amp;LEFT($J1081,40))</f>
        <v/>
      </c>
      <c r="Q1081" s="11" t="str">
        <f aca="false">IF(P1081="","",IF(COUNTIF($P$2:$P$3000,P1081)&gt;1,"DUPLICATE","OK"))</f>
        <v/>
      </c>
      <c r="R1081" s="0" t="str">
        <f aca="false">IF($C1081="","",IFERROR(VLOOKUP(--$C1081,MM_Income!$Z$5:$AC$204,3,FALSE()),""))</f>
        <v/>
      </c>
    </row>
    <row r="1082" customFormat="false" ht="13.5" hidden="false" customHeight="false" outlineLevel="0" collapsed="false">
      <c r="N1082" s="1" t="str">
        <f aca="false">IF(C1082="","",IFERROR(VLOOKUP(C1082,Master_Mappings!$A$4:$E$85,3,FALSE()),"UNMAPPED"))</f>
        <v/>
      </c>
      <c r="P1082" s="1" t="str">
        <f aca="false">IF($C1082="","",$C1082&amp;"|"&amp;$E1082&amp;"|"&amp;$M1082&amp;"|"&amp;TEXT($G1082,"yyyy-mm-dd")&amp;"|"&amp;LEFT($J1082,40))</f>
        <v/>
      </c>
      <c r="Q1082" s="11" t="str">
        <f aca="false">IF(P1082="","",IF(COUNTIF($P$2:$P$3000,P1082)&gt;1,"DUPLICATE","OK"))</f>
        <v/>
      </c>
      <c r="R1082" s="0" t="str">
        <f aca="false">IF($C1082="","",IFERROR(VLOOKUP(--$C1082,MM_Income!$Z$5:$AC$204,3,FALSE()),""))</f>
        <v/>
      </c>
    </row>
    <row r="1083" customFormat="false" ht="13.5" hidden="false" customHeight="false" outlineLevel="0" collapsed="false">
      <c r="N1083" s="1" t="str">
        <f aca="false">IF(C1083="","",IFERROR(VLOOKUP(C1083,Master_Mappings!$A$4:$E$85,3,FALSE()),"UNMAPPED"))</f>
        <v/>
      </c>
      <c r="P1083" s="1" t="str">
        <f aca="false">IF($C1083="","",$C1083&amp;"|"&amp;$E1083&amp;"|"&amp;$M1083&amp;"|"&amp;TEXT($G1083,"yyyy-mm-dd")&amp;"|"&amp;LEFT($J1083,40))</f>
        <v/>
      </c>
      <c r="Q1083" s="11" t="str">
        <f aca="false">IF(P1083="","",IF(COUNTIF($P$2:$P$3000,P1083)&gt;1,"DUPLICATE","OK"))</f>
        <v/>
      </c>
      <c r="R1083" s="0" t="str">
        <f aca="false">IF($C1083="","",IFERROR(VLOOKUP(--$C1083,MM_Income!$Z$5:$AC$204,3,FALSE()),""))</f>
        <v/>
      </c>
    </row>
    <row r="1084" customFormat="false" ht="13.5" hidden="false" customHeight="false" outlineLevel="0" collapsed="false">
      <c r="N1084" s="1" t="str">
        <f aca="false">IF(C1084="","",IFERROR(VLOOKUP(C1084,Master_Mappings!$A$4:$E$85,3,FALSE()),"UNMAPPED"))</f>
        <v/>
      </c>
      <c r="P1084" s="1" t="str">
        <f aca="false">IF($C1084="","",$C1084&amp;"|"&amp;$E1084&amp;"|"&amp;$M1084&amp;"|"&amp;TEXT($G1084,"yyyy-mm-dd")&amp;"|"&amp;LEFT($J1084,40))</f>
        <v/>
      </c>
      <c r="Q1084" s="11" t="str">
        <f aca="false">IF(P1084="","",IF(COUNTIF($P$2:$P$3000,P1084)&gt;1,"DUPLICATE","OK"))</f>
        <v/>
      </c>
      <c r="R1084" s="0" t="str">
        <f aca="false">IF($C1084="","",IFERROR(VLOOKUP(--$C1084,MM_Income!$Z$5:$AC$204,3,FALSE()),""))</f>
        <v/>
      </c>
    </row>
    <row r="1085" customFormat="false" ht="13.5" hidden="false" customHeight="false" outlineLevel="0" collapsed="false">
      <c r="N1085" s="1" t="str">
        <f aca="false">IF(C1085="","",IFERROR(VLOOKUP(C1085,Master_Mappings!$A$4:$E$85,3,FALSE()),"UNMAPPED"))</f>
        <v/>
      </c>
      <c r="P1085" s="1" t="str">
        <f aca="false">IF($C1085="","",$C1085&amp;"|"&amp;$E1085&amp;"|"&amp;$M1085&amp;"|"&amp;TEXT($G1085,"yyyy-mm-dd")&amp;"|"&amp;LEFT($J1085,40))</f>
        <v/>
      </c>
      <c r="Q1085" s="11" t="str">
        <f aca="false">IF(P1085="","",IF(COUNTIF($P$2:$P$3000,P1085)&gt;1,"DUPLICATE","OK"))</f>
        <v/>
      </c>
      <c r="R1085" s="0" t="str">
        <f aca="false">IF($C1085="","",IFERROR(VLOOKUP(--$C1085,MM_Income!$Z$5:$AC$204,3,FALSE()),""))</f>
        <v/>
      </c>
    </row>
    <row r="1086" customFormat="false" ht="13.5" hidden="false" customHeight="false" outlineLevel="0" collapsed="false">
      <c r="N1086" s="1" t="str">
        <f aca="false">IF(C1086="","",IFERROR(VLOOKUP(C1086,Master_Mappings!$A$4:$E$85,3,FALSE()),"UNMAPPED"))</f>
        <v/>
      </c>
      <c r="P1086" s="1" t="str">
        <f aca="false">IF($C1086="","",$C1086&amp;"|"&amp;$E1086&amp;"|"&amp;$M1086&amp;"|"&amp;TEXT($G1086,"yyyy-mm-dd")&amp;"|"&amp;LEFT($J1086,40))</f>
        <v/>
      </c>
      <c r="Q1086" s="11" t="str">
        <f aca="false">IF(P1086="","",IF(COUNTIF($P$2:$P$3000,P1086)&gt;1,"DUPLICATE","OK"))</f>
        <v/>
      </c>
      <c r="R1086" s="0" t="str">
        <f aca="false">IF($C1086="","",IFERROR(VLOOKUP(--$C1086,MM_Income!$Z$5:$AC$204,3,FALSE()),""))</f>
        <v/>
      </c>
    </row>
    <row r="1087" customFormat="false" ht="13.5" hidden="false" customHeight="false" outlineLevel="0" collapsed="false">
      <c r="N1087" s="1" t="str">
        <f aca="false">IF(C1087="","",IFERROR(VLOOKUP(C1087,Master_Mappings!$A$4:$E$85,3,FALSE()),"UNMAPPED"))</f>
        <v/>
      </c>
      <c r="P1087" s="1" t="str">
        <f aca="false">IF($C1087="","",$C1087&amp;"|"&amp;$E1087&amp;"|"&amp;$M1087&amp;"|"&amp;TEXT($G1087,"yyyy-mm-dd")&amp;"|"&amp;LEFT($J1087,40))</f>
        <v/>
      </c>
      <c r="Q1087" s="11" t="str">
        <f aca="false">IF(P1087="","",IF(COUNTIF($P$2:$P$3000,P1087)&gt;1,"DUPLICATE","OK"))</f>
        <v/>
      </c>
      <c r="R1087" s="0" t="str">
        <f aca="false">IF($C1087="","",IFERROR(VLOOKUP(--$C1087,MM_Income!$Z$5:$AC$204,3,FALSE()),""))</f>
        <v/>
      </c>
    </row>
    <row r="1088" customFormat="false" ht="13.5" hidden="false" customHeight="false" outlineLevel="0" collapsed="false">
      <c r="N1088" s="1" t="str">
        <f aca="false">IF(C1088="","",IFERROR(VLOOKUP(C1088,Master_Mappings!$A$4:$E$85,3,FALSE()),"UNMAPPED"))</f>
        <v/>
      </c>
      <c r="P1088" s="1" t="str">
        <f aca="false">IF($C1088="","",$C1088&amp;"|"&amp;$E1088&amp;"|"&amp;$M1088&amp;"|"&amp;TEXT($G1088,"yyyy-mm-dd")&amp;"|"&amp;LEFT($J1088,40))</f>
        <v/>
      </c>
      <c r="Q1088" s="11" t="str">
        <f aca="false">IF(P1088="","",IF(COUNTIF($P$2:$P$3000,P1088)&gt;1,"DUPLICATE","OK"))</f>
        <v/>
      </c>
      <c r="R1088" s="0" t="str">
        <f aca="false">IF($C1088="","",IFERROR(VLOOKUP(--$C1088,MM_Income!$Z$5:$AC$204,3,FALSE()),""))</f>
        <v/>
      </c>
    </row>
    <row r="1089" customFormat="false" ht="13.5" hidden="false" customHeight="false" outlineLevel="0" collapsed="false">
      <c r="N1089" s="1" t="str">
        <f aca="false">IF(C1089="","",IFERROR(VLOOKUP(C1089,Master_Mappings!$A$4:$E$85,3,FALSE()),"UNMAPPED"))</f>
        <v/>
      </c>
      <c r="P1089" s="1" t="str">
        <f aca="false">IF($C1089="","",$C1089&amp;"|"&amp;$E1089&amp;"|"&amp;$M1089&amp;"|"&amp;TEXT($G1089,"yyyy-mm-dd")&amp;"|"&amp;LEFT($J1089,40))</f>
        <v/>
      </c>
      <c r="Q1089" s="11" t="str">
        <f aca="false">IF(P1089="","",IF(COUNTIF($P$2:$P$3000,P1089)&gt;1,"DUPLICATE","OK"))</f>
        <v/>
      </c>
      <c r="R1089" s="0" t="str">
        <f aca="false">IF($C1089="","",IFERROR(VLOOKUP(--$C1089,MM_Income!$Z$5:$AC$204,3,FALSE()),""))</f>
        <v/>
      </c>
    </row>
    <row r="1090" customFormat="false" ht="13.5" hidden="false" customHeight="false" outlineLevel="0" collapsed="false">
      <c r="N1090" s="1" t="str">
        <f aca="false">IF(C1090="","",IFERROR(VLOOKUP(C1090,Master_Mappings!$A$4:$E$85,3,FALSE()),"UNMAPPED"))</f>
        <v/>
      </c>
      <c r="P1090" s="1" t="str">
        <f aca="false">IF($C1090="","",$C1090&amp;"|"&amp;$E1090&amp;"|"&amp;$M1090&amp;"|"&amp;TEXT($G1090,"yyyy-mm-dd")&amp;"|"&amp;LEFT($J1090,40))</f>
        <v/>
      </c>
      <c r="Q1090" s="11" t="str">
        <f aca="false">IF(P1090="","",IF(COUNTIF($P$2:$P$3000,P1090)&gt;1,"DUPLICATE","OK"))</f>
        <v/>
      </c>
      <c r="R1090" s="0" t="str">
        <f aca="false">IF($C1090="","",IFERROR(VLOOKUP(--$C1090,MM_Income!$Z$5:$AC$204,3,FALSE()),""))</f>
        <v/>
      </c>
    </row>
    <row r="1091" customFormat="false" ht="13.5" hidden="false" customHeight="false" outlineLevel="0" collapsed="false">
      <c r="N1091" s="1" t="str">
        <f aca="false">IF(C1091="","",IFERROR(VLOOKUP(C1091,Master_Mappings!$A$4:$E$85,3,FALSE()),"UNMAPPED"))</f>
        <v/>
      </c>
      <c r="P1091" s="1" t="str">
        <f aca="false">IF($C1091="","",$C1091&amp;"|"&amp;$E1091&amp;"|"&amp;$M1091&amp;"|"&amp;TEXT($G1091,"yyyy-mm-dd")&amp;"|"&amp;LEFT($J1091,40))</f>
        <v/>
      </c>
      <c r="Q1091" s="11" t="str">
        <f aca="false">IF(P1091="","",IF(COUNTIF($P$2:$P$3000,P1091)&gt;1,"DUPLICATE","OK"))</f>
        <v/>
      </c>
      <c r="R1091" s="0" t="str">
        <f aca="false">IF($C1091="","",IFERROR(VLOOKUP(--$C1091,MM_Income!$Z$5:$AC$204,3,FALSE()),""))</f>
        <v/>
      </c>
    </row>
    <row r="1092" customFormat="false" ht="13.5" hidden="false" customHeight="false" outlineLevel="0" collapsed="false">
      <c r="N1092" s="1" t="str">
        <f aca="false">IF(C1092="","",IFERROR(VLOOKUP(C1092,Master_Mappings!$A$4:$E$85,3,FALSE()),"UNMAPPED"))</f>
        <v/>
      </c>
      <c r="P1092" s="1" t="str">
        <f aca="false">IF($C1092="","",$C1092&amp;"|"&amp;$E1092&amp;"|"&amp;$M1092&amp;"|"&amp;TEXT($G1092,"yyyy-mm-dd")&amp;"|"&amp;LEFT($J1092,40))</f>
        <v/>
      </c>
      <c r="Q1092" s="11" t="str">
        <f aca="false">IF(P1092="","",IF(COUNTIF($P$2:$P$3000,P1092)&gt;1,"DUPLICATE","OK"))</f>
        <v/>
      </c>
      <c r="R1092" s="0" t="str">
        <f aca="false">IF($C1092="","",IFERROR(VLOOKUP(--$C1092,MM_Income!$Z$5:$AC$204,3,FALSE()),""))</f>
        <v/>
      </c>
    </row>
    <row r="1093" customFormat="false" ht="13.5" hidden="false" customHeight="false" outlineLevel="0" collapsed="false">
      <c r="N1093" s="1" t="str">
        <f aca="false">IF(C1093="","",IFERROR(VLOOKUP(C1093,Master_Mappings!$A$4:$E$85,3,FALSE()),"UNMAPPED"))</f>
        <v/>
      </c>
      <c r="P1093" s="1" t="str">
        <f aca="false">IF($C1093="","",$C1093&amp;"|"&amp;$E1093&amp;"|"&amp;$M1093&amp;"|"&amp;TEXT($G1093,"yyyy-mm-dd")&amp;"|"&amp;LEFT($J1093,40))</f>
        <v/>
      </c>
      <c r="Q1093" s="11" t="str">
        <f aca="false">IF(P1093="","",IF(COUNTIF($P$2:$P$3000,P1093)&gt;1,"DUPLICATE","OK"))</f>
        <v/>
      </c>
      <c r="R1093" s="0" t="str">
        <f aca="false">IF($C1093="","",IFERROR(VLOOKUP(--$C1093,MM_Income!$Z$5:$AC$204,3,FALSE()),""))</f>
        <v/>
      </c>
    </row>
    <row r="1094" customFormat="false" ht="13.5" hidden="false" customHeight="false" outlineLevel="0" collapsed="false">
      <c r="N1094" s="1" t="str">
        <f aca="false">IF(C1094="","",IFERROR(VLOOKUP(C1094,Master_Mappings!$A$4:$E$85,3,FALSE()),"UNMAPPED"))</f>
        <v/>
      </c>
      <c r="P1094" s="1" t="str">
        <f aca="false">IF($C1094="","",$C1094&amp;"|"&amp;$E1094&amp;"|"&amp;$M1094&amp;"|"&amp;TEXT($G1094,"yyyy-mm-dd")&amp;"|"&amp;LEFT($J1094,40))</f>
        <v/>
      </c>
      <c r="Q1094" s="11" t="str">
        <f aca="false">IF(P1094="","",IF(COUNTIF($P$2:$P$3000,P1094)&gt;1,"DUPLICATE","OK"))</f>
        <v/>
      </c>
      <c r="R1094" s="0" t="str">
        <f aca="false">IF($C1094="","",IFERROR(VLOOKUP(--$C1094,MM_Income!$Z$5:$AC$204,3,FALSE()),""))</f>
        <v/>
      </c>
    </row>
    <row r="1095" customFormat="false" ht="13.5" hidden="false" customHeight="false" outlineLevel="0" collapsed="false">
      <c r="N1095" s="1" t="str">
        <f aca="false">IF(C1095="","",IFERROR(VLOOKUP(C1095,Master_Mappings!$A$4:$E$85,3,FALSE()),"UNMAPPED"))</f>
        <v/>
      </c>
      <c r="P1095" s="1" t="str">
        <f aca="false">IF($C1095="","",$C1095&amp;"|"&amp;$E1095&amp;"|"&amp;$M1095&amp;"|"&amp;TEXT($G1095,"yyyy-mm-dd")&amp;"|"&amp;LEFT($J1095,40))</f>
        <v/>
      </c>
      <c r="Q1095" s="11" t="str">
        <f aca="false">IF(P1095="","",IF(COUNTIF($P$2:$P$3000,P1095)&gt;1,"DUPLICATE","OK"))</f>
        <v/>
      </c>
      <c r="R1095" s="0" t="str">
        <f aca="false">IF($C1095="","",IFERROR(VLOOKUP(--$C1095,MM_Income!$Z$5:$AC$204,3,FALSE()),""))</f>
        <v/>
      </c>
    </row>
    <row r="1096" customFormat="false" ht="13.5" hidden="false" customHeight="false" outlineLevel="0" collapsed="false">
      <c r="N1096" s="1" t="str">
        <f aca="false">IF(C1096="","",IFERROR(VLOOKUP(C1096,Master_Mappings!$A$4:$E$85,3,FALSE()),"UNMAPPED"))</f>
        <v/>
      </c>
      <c r="P1096" s="1" t="str">
        <f aca="false">IF($C1096="","",$C1096&amp;"|"&amp;$E1096&amp;"|"&amp;$M1096&amp;"|"&amp;TEXT($G1096,"yyyy-mm-dd")&amp;"|"&amp;LEFT($J1096,40))</f>
        <v/>
      </c>
      <c r="Q1096" s="11" t="str">
        <f aca="false">IF(P1096="","",IF(COUNTIF($P$2:$P$3000,P1096)&gt;1,"DUPLICATE","OK"))</f>
        <v/>
      </c>
      <c r="R1096" s="0" t="str">
        <f aca="false">IF($C1096="","",IFERROR(VLOOKUP(--$C1096,MM_Income!$Z$5:$AC$204,3,FALSE()),""))</f>
        <v/>
      </c>
    </row>
    <row r="1097" customFormat="false" ht="13.5" hidden="false" customHeight="false" outlineLevel="0" collapsed="false">
      <c r="N1097" s="1" t="str">
        <f aca="false">IF(C1097="","",IFERROR(VLOOKUP(C1097,Master_Mappings!$A$4:$E$85,3,FALSE()),"UNMAPPED"))</f>
        <v/>
      </c>
      <c r="P1097" s="1" t="str">
        <f aca="false">IF($C1097="","",$C1097&amp;"|"&amp;$E1097&amp;"|"&amp;$M1097&amp;"|"&amp;TEXT($G1097,"yyyy-mm-dd")&amp;"|"&amp;LEFT($J1097,40))</f>
        <v/>
      </c>
      <c r="Q1097" s="11" t="str">
        <f aca="false">IF(P1097="","",IF(COUNTIF($P$2:$P$3000,P1097)&gt;1,"DUPLICATE","OK"))</f>
        <v/>
      </c>
      <c r="R1097" s="0" t="str">
        <f aca="false">IF($C1097="","",IFERROR(VLOOKUP(--$C1097,MM_Income!$Z$5:$AC$204,3,FALSE()),""))</f>
        <v/>
      </c>
    </row>
    <row r="1098" customFormat="false" ht="13.5" hidden="false" customHeight="false" outlineLevel="0" collapsed="false">
      <c r="N1098" s="1" t="str">
        <f aca="false">IF(C1098="","",IFERROR(VLOOKUP(C1098,Master_Mappings!$A$4:$E$85,3,FALSE()),"UNMAPPED"))</f>
        <v/>
      </c>
      <c r="P1098" s="1" t="str">
        <f aca="false">IF($C1098="","",$C1098&amp;"|"&amp;$E1098&amp;"|"&amp;$M1098&amp;"|"&amp;TEXT($G1098,"yyyy-mm-dd")&amp;"|"&amp;LEFT($J1098,40))</f>
        <v/>
      </c>
      <c r="Q1098" s="11" t="str">
        <f aca="false">IF(P1098="","",IF(COUNTIF($P$2:$P$3000,P1098)&gt;1,"DUPLICATE","OK"))</f>
        <v/>
      </c>
      <c r="R1098" s="0" t="str">
        <f aca="false">IF($C1098="","",IFERROR(VLOOKUP(--$C1098,MM_Income!$Z$5:$AC$204,3,FALSE()),""))</f>
        <v/>
      </c>
    </row>
    <row r="1099" customFormat="false" ht="13.5" hidden="false" customHeight="false" outlineLevel="0" collapsed="false">
      <c r="N1099" s="1" t="str">
        <f aca="false">IF(C1099="","",IFERROR(VLOOKUP(C1099,Master_Mappings!$A$4:$E$85,3,FALSE()),"UNMAPPED"))</f>
        <v/>
      </c>
      <c r="P1099" s="1" t="str">
        <f aca="false">IF($C1099="","",$C1099&amp;"|"&amp;$E1099&amp;"|"&amp;$M1099&amp;"|"&amp;TEXT($G1099,"yyyy-mm-dd")&amp;"|"&amp;LEFT($J1099,40))</f>
        <v/>
      </c>
      <c r="Q1099" s="11" t="str">
        <f aca="false">IF(P1099="","",IF(COUNTIF($P$2:$P$3000,P1099)&gt;1,"DUPLICATE","OK"))</f>
        <v/>
      </c>
      <c r="R1099" s="0" t="str">
        <f aca="false">IF($C1099="","",IFERROR(VLOOKUP(--$C1099,MM_Income!$Z$5:$AC$204,3,FALSE()),""))</f>
        <v/>
      </c>
    </row>
    <row r="1100" customFormat="false" ht="13.5" hidden="false" customHeight="false" outlineLevel="0" collapsed="false">
      <c r="N1100" s="1" t="str">
        <f aca="false">IF(C1100="","",IFERROR(VLOOKUP(C1100,Master_Mappings!$A$4:$E$85,3,FALSE()),"UNMAPPED"))</f>
        <v/>
      </c>
      <c r="P1100" s="1" t="str">
        <f aca="false">IF($C1100="","",$C1100&amp;"|"&amp;$E1100&amp;"|"&amp;$M1100&amp;"|"&amp;TEXT($G1100,"yyyy-mm-dd")&amp;"|"&amp;LEFT($J1100,40))</f>
        <v/>
      </c>
      <c r="Q1100" s="11" t="str">
        <f aca="false">IF(P1100="","",IF(COUNTIF($P$2:$P$3000,P1100)&gt;1,"DUPLICATE","OK"))</f>
        <v/>
      </c>
      <c r="R1100" s="0" t="str">
        <f aca="false">IF($C1100="","",IFERROR(VLOOKUP(--$C1100,MM_Income!$Z$5:$AC$204,3,FALSE()),""))</f>
        <v/>
      </c>
    </row>
    <row r="1101" customFormat="false" ht="13.5" hidden="false" customHeight="false" outlineLevel="0" collapsed="false">
      <c r="N1101" s="1" t="str">
        <f aca="false">IF(C1101="","",IFERROR(VLOOKUP(C1101,Master_Mappings!$A$4:$E$85,3,FALSE()),"UNMAPPED"))</f>
        <v/>
      </c>
      <c r="P1101" s="1" t="str">
        <f aca="false">IF($C1101="","",$C1101&amp;"|"&amp;$E1101&amp;"|"&amp;$M1101&amp;"|"&amp;TEXT($G1101,"yyyy-mm-dd")&amp;"|"&amp;LEFT($J1101,40))</f>
        <v/>
      </c>
      <c r="Q1101" s="11" t="str">
        <f aca="false">IF(P1101="","",IF(COUNTIF($P$2:$P$3000,P1101)&gt;1,"DUPLICATE","OK"))</f>
        <v/>
      </c>
      <c r="R1101" s="0" t="str">
        <f aca="false">IF($C1101="","",IFERROR(VLOOKUP(--$C1101,MM_Income!$Z$5:$AC$204,3,FALSE()),""))</f>
        <v/>
      </c>
    </row>
    <row r="1102" customFormat="false" ht="13.5" hidden="false" customHeight="false" outlineLevel="0" collapsed="false">
      <c r="N1102" s="1" t="str">
        <f aca="false">IF(C1102="","",IFERROR(VLOOKUP(C1102,Master_Mappings!$A$4:$E$85,3,FALSE()),"UNMAPPED"))</f>
        <v/>
      </c>
      <c r="P1102" s="1" t="str">
        <f aca="false">IF($C1102="","",$C1102&amp;"|"&amp;$E1102&amp;"|"&amp;$M1102&amp;"|"&amp;TEXT($G1102,"yyyy-mm-dd")&amp;"|"&amp;LEFT($J1102,40))</f>
        <v/>
      </c>
      <c r="Q1102" s="11" t="str">
        <f aca="false">IF(P1102="","",IF(COUNTIF($P$2:$P$3000,P1102)&gt;1,"DUPLICATE","OK"))</f>
        <v/>
      </c>
      <c r="R1102" s="0" t="str">
        <f aca="false">IF($C1102="","",IFERROR(VLOOKUP(--$C1102,MM_Income!$Z$5:$AC$204,3,FALSE()),""))</f>
        <v/>
      </c>
    </row>
    <row r="1103" customFormat="false" ht="13.5" hidden="false" customHeight="false" outlineLevel="0" collapsed="false">
      <c r="N1103" s="1" t="str">
        <f aca="false">IF(C1103="","",IFERROR(VLOOKUP(C1103,Master_Mappings!$A$4:$E$85,3,FALSE()),"UNMAPPED"))</f>
        <v/>
      </c>
      <c r="P1103" s="1" t="str">
        <f aca="false">IF($C1103="","",$C1103&amp;"|"&amp;$E1103&amp;"|"&amp;$M1103&amp;"|"&amp;TEXT($G1103,"yyyy-mm-dd")&amp;"|"&amp;LEFT($J1103,40))</f>
        <v/>
      </c>
      <c r="Q1103" s="11" t="str">
        <f aca="false">IF(P1103="","",IF(COUNTIF($P$2:$P$3000,P1103)&gt;1,"DUPLICATE","OK"))</f>
        <v/>
      </c>
      <c r="R1103" s="0" t="str">
        <f aca="false">IF($C1103="","",IFERROR(VLOOKUP(--$C1103,MM_Income!$Z$5:$AC$204,3,FALSE()),""))</f>
        <v/>
      </c>
    </row>
    <row r="1104" customFormat="false" ht="13.5" hidden="false" customHeight="false" outlineLevel="0" collapsed="false">
      <c r="N1104" s="1" t="str">
        <f aca="false">IF(C1104="","",IFERROR(VLOOKUP(C1104,Master_Mappings!$A$4:$E$85,3,FALSE()),"UNMAPPED"))</f>
        <v/>
      </c>
      <c r="P1104" s="1" t="str">
        <f aca="false">IF($C1104="","",$C1104&amp;"|"&amp;$E1104&amp;"|"&amp;$M1104&amp;"|"&amp;TEXT($G1104,"yyyy-mm-dd")&amp;"|"&amp;LEFT($J1104,40))</f>
        <v/>
      </c>
      <c r="Q1104" s="11" t="str">
        <f aca="false">IF(P1104="","",IF(COUNTIF($P$2:$P$3000,P1104)&gt;1,"DUPLICATE","OK"))</f>
        <v/>
      </c>
      <c r="R1104" s="0" t="str">
        <f aca="false">IF($C1104="","",IFERROR(VLOOKUP(--$C1104,MM_Income!$Z$5:$AC$204,3,FALSE()),""))</f>
        <v/>
      </c>
    </row>
    <row r="1105" customFormat="false" ht="13.5" hidden="false" customHeight="false" outlineLevel="0" collapsed="false">
      <c r="N1105" s="1" t="str">
        <f aca="false">IF(C1105="","",IFERROR(VLOOKUP(C1105,Master_Mappings!$A$4:$E$85,3,FALSE()),"UNMAPPED"))</f>
        <v/>
      </c>
      <c r="P1105" s="1" t="str">
        <f aca="false">IF($C1105="","",$C1105&amp;"|"&amp;$E1105&amp;"|"&amp;$M1105&amp;"|"&amp;TEXT($G1105,"yyyy-mm-dd")&amp;"|"&amp;LEFT($J1105,40))</f>
        <v/>
      </c>
      <c r="Q1105" s="11" t="str">
        <f aca="false">IF(P1105="","",IF(COUNTIF($P$2:$P$3000,P1105)&gt;1,"DUPLICATE","OK"))</f>
        <v/>
      </c>
      <c r="R1105" s="0" t="str">
        <f aca="false">IF($C1105="","",IFERROR(VLOOKUP(--$C1105,MM_Income!$Z$5:$AC$204,3,FALSE()),""))</f>
        <v/>
      </c>
    </row>
    <row r="1106" customFormat="false" ht="13.5" hidden="false" customHeight="false" outlineLevel="0" collapsed="false">
      <c r="N1106" s="1" t="str">
        <f aca="false">IF(C1106="","",IFERROR(VLOOKUP(C1106,Master_Mappings!$A$4:$E$85,3,FALSE()),"UNMAPPED"))</f>
        <v/>
      </c>
      <c r="P1106" s="1" t="str">
        <f aca="false">IF($C1106="","",$C1106&amp;"|"&amp;$E1106&amp;"|"&amp;$M1106&amp;"|"&amp;TEXT($G1106,"yyyy-mm-dd")&amp;"|"&amp;LEFT($J1106,40))</f>
        <v/>
      </c>
      <c r="Q1106" s="11" t="str">
        <f aca="false">IF(P1106="","",IF(COUNTIF($P$2:$P$3000,P1106)&gt;1,"DUPLICATE","OK"))</f>
        <v/>
      </c>
      <c r="R1106" s="0" t="str">
        <f aca="false">IF($C1106="","",IFERROR(VLOOKUP(--$C1106,MM_Income!$Z$5:$AC$204,3,FALSE()),""))</f>
        <v/>
      </c>
    </row>
    <row r="1107" customFormat="false" ht="13.5" hidden="false" customHeight="false" outlineLevel="0" collapsed="false">
      <c r="N1107" s="1" t="str">
        <f aca="false">IF(C1107="","",IFERROR(VLOOKUP(C1107,Master_Mappings!$A$4:$E$85,3,FALSE()),"UNMAPPED"))</f>
        <v/>
      </c>
      <c r="P1107" s="1" t="str">
        <f aca="false">IF($C1107="","",$C1107&amp;"|"&amp;$E1107&amp;"|"&amp;$M1107&amp;"|"&amp;TEXT($G1107,"yyyy-mm-dd")&amp;"|"&amp;LEFT($J1107,40))</f>
        <v/>
      </c>
      <c r="Q1107" s="11" t="str">
        <f aca="false">IF(P1107="","",IF(COUNTIF($P$2:$P$3000,P1107)&gt;1,"DUPLICATE","OK"))</f>
        <v/>
      </c>
      <c r="R1107" s="0" t="str">
        <f aca="false">IF($C1107="","",IFERROR(VLOOKUP(--$C1107,MM_Income!$Z$5:$AC$204,3,FALSE()),""))</f>
        <v/>
      </c>
    </row>
    <row r="1108" customFormat="false" ht="13.5" hidden="false" customHeight="false" outlineLevel="0" collapsed="false">
      <c r="N1108" s="1" t="str">
        <f aca="false">IF(C1108="","",IFERROR(VLOOKUP(C1108,Master_Mappings!$A$4:$E$85,3,FALSE()),"UNMAPPED"))</f>
        <v/>
      </c>
      <c r="P1108" s="1" t="str">
        <f aca="false">IF($C1108="","",$C1108&amp;"|"&amp;$E1108&amp;"|"&amp;$M1108&amp;"|"&amp;TEXT($G1108,"yyyy-mm-dd")&amp;"|"&amp;LEFT($J1108,40))</f>
        <v/>
      </c>
      <c r="Q1108" s="11" t="str">
        <f aca="false">IF(P1108="","",IF(COUNTIF($P$2:$P$3000,P1108)&gt;1,"DUPLICATE","OK"))</f>
        <v/>
      </c>
      <c r="R1108" s="0" t="str">
        <f aca="false">IF($C1108="","",IFERROR(VLOOKUP(--$C1108,MM_Income!$Z$5:$AC$204,3,FALSE()),""))</f>
        <v/>
      </c>
    </row>
    <row r="1109" customFormat="false" ht="13.5" hidden="false" customHeight="false" outlineLevel="0" collapsed="false">
      <c r="N1109" s="1" t="str">
        <f aca="false">IF(C1109="","",IFERROR(VLOOKUP(C1109,Master_Mappings!$A$4:$E$85,3,FALSE()),"UNMAPPED"))</f>
        <v/>
      </c>
      <c r="P1109" s="1" t="str">
        <f aca="false">IF($C1109="","",$C1109&amp;"|"&amp;$E1109&amp;"|"&amp;$M1109&amp;"|"&amp;TEXT($G1109,"yyyy-mm-dd")&amp;"|"&amp;LEFT($J1109,40))</f>
        <v/>
      </c>
      <c r="Q1109" s="11" t="str">
        <f aca="false">IF(P1109="","",IF(COUNTIF($P$2:$P$3000,P1109)&gt;1,"DUPLICATE","OK"))</f>
        <v/>
      </c>
      <c r="R1109" s="0" t="str">
        <f aca="false">IF($C1109="","",IFERROR(VLOOKUP(--$C1109,MM_Income!$Z$5:$AC$204,3,FALSE()),""))</f>
        <v/>
      </c>
    </row>
    <row r="1110" customFormat="false" ht="13.5" hidden="false" customHeight="false" outlineLevel="0" collapsed="false">
      <c r="N1110" s="1" t="str">
        <f aca="false">IF(C1110="","",IFERROR(VLOOKUP(C1110,Master_Mappings!$A$4:$E$85,3,FALSE()),"UNMAPPED"))</f>
        <v/>
      </c>
      <c r="P1110" s="1" t="str">
        <f aca="false">IF($C1110="","",$C1110&amp;"|"&amp;$E1110&amp;"|"&amp;$M1110&amp;"|"&amp;TEXT($G1110,"yyyy-mm-dd")&amp;"|"&amp;LEFT($J1110,40))</f>
        <v/>
      </c>
      <c r="Q1110" s="11" t="str">
        <f aca="false">IF(P1110="","",IF(COUNTIF($P$2:$P$3000,P1110)&gt;1,"DUPLICATE","OK"))</f>
        <v/>
      </c>
      <c r="R1110" s="0" t="str">
        <f aca="false">IF($C1110="","",IFERROR(VLOOKUP(--$C1110,MM_Income!$Z$5:$AC$204,3,FALSE()),""))</f>
        <v/>
      </c>
    </row>
    <row r="1111" customFormat="false" ht="13.5" hidden="false" customHeight="false" outlineLevel="0" collapsed="false">
      <c r="N1111" s="1" t="str">
        <f aca="false">IF(C1111="","",IFERROR(VLOOKUP(C1111,Master_Mappings!$A$4:$E$85,3,FALSE()),"UNMAPPED"))</f>
        <v/>
      </c>
      <c r="P1111" s="1" t="str">
        <f aca="false">IF($C1111="","",$C1111&amp;"|"&amp;$E1111&amp;"|"&amp;$M1111&amp;"|"&amp;TEXT($G1111,"yyyy-mm-dd")&amp;"|"&amp;LEFT($J1111,40))</f>
        <v/>
      </c>
      <c r="Q1111" s="11" t="str">
        <f aca="false">IF(P1111="","",IF(COUNTIF($P$2:$P$3000,P1111)&gt;1,"DUPLICATE","OK"))</f>
        <v/>
      </c>
      <c r="R1111" s="0" t="str">
        <f aca="false">IF($C1111="","",IFERROR(VLOOKUP(--$C1111,MM_Income!$Z$5:$AC$204,3,FALSE()),""))</f>
        <v/>
      </c>
    </row>
    <row r="1112" customFormat="false" ht="13.5" hidden="false" customHeight="false" outlineLevel="0" collapsed="false">
      <c r="N1112" s="1" t="str">
        <f aca="false">IF(C1112="","",IFERROR(VLOOKUP(C1112,Master_Mappings!$A$4:$E$85,3,FALSE()),"UNMAPPED"))</f>
        <v/>
      </c>
      <c r="P1112" s="1" t="str">
        <f aca="false">IF($C1112="","",$C1112&amp;"|"&amp;$E1112&amp;"|"&amp;$M1112&amp;"|"&amp;TEXT($G1112,"yyyy-mm-dd")&amp;"|"&amp;LEFT($J1112,40))</f>
        <v/>
      </c>
      <c r="Q1112" s="11" t="str">
        <f aca="false">IF(P1112="","",IF(COUNTIF($P$2:$P$3000,P1112)&gt;1,"DUPLICATE","OK"))</f>
        <v/>
      </c>
      <c r="R1112" s="0" t="str">
        <f aca="false">IF($C1112="","",IFERROR(VLOOKUP(--$C1112,MM_Income!$Z$5:$AC$204,3,FALSE()),""))</f>
        <v/>
      </c>
    </row>
    <row r="1113" customFormat="false" ht="13.5" hidden="false" customHeight="false" outlineLevel="0" collapsed="false">
      <c r="N1113" s="1" t="str">
        <f aca="false">IF(C1113="","",IFERROR(VLOOKUP(C1113,Master_Mappings!$A$4:$E$85,3,FALSE()),"UNMAPPED"))</f>
        <v/>
      </c>
      <c r="P1113" s="1" t="str">
        <f aca="false">IF($C1113="","",$C1113&amp;"|"&amp;$E1113&amp;"|"&amp;$M1113&amp;"|"&amp;TEXT($G1113,"yyyy-mm-dd")&amp;"|"&amp;LEFT($J1113,40))</f>
        <v/>
      </c>
      <c r="Q1113" s="11" t="str">
        <f aca="false">IF(P1113="","",IF(COUNTIF($P$2:$P$3000,P1113)&gt;1,"DUPLICATE","OK"))</f>
        <v/>
      </c>
      <c r="R1113" s="0" t="str">
        <f aca="false">IF($C1113="","",IFERROR(VLOOKUP(--$C1113,MM_Income!$Z$5:$AC$204,3,FALSE()),""))</f>
        <v/>
      </c>
    </row>
    <row r="1114" customFormat="false" ht="13.5" hidden="false" customHeight="false" outlineLevel="0" collapsed="false">
      <c r="N1114" s="1" t="str">
        <f aca="false">IF(C1114="","",IFERROR(VLOOKUP(C1114,Master_Mappings!$A$4:$E$85,3,FALSE()),"UNMAPPED"))</f>
        <v/>
      </c>
      <c r="P1114" s="1" t="str">
        <f aca="false">IF($C1114="","",$C1114&amp;"|"&amp;$E1114&amp;"|"&amp;$M1114&amp;"|"&amp;TEXT($G1114,"yyyy-mm-dd")&amp;"|"&amp;LEFT($J1114,40))</f>
        <v/>
      </c>
      <c r="Q1114" s="11" t="str">
        <f aca="false">IF(P1114="","",IF(COUNTIF($P$2:$P$3000,P1114)&gt;1,"DUPLICATE","OK"))</f>
        <v/>
      </c>
      <c r="R1114" s="0" t="str">
        <f aca="false">IF($C1114="","",IFERROR(VLOOKUP(--$C1114,MM_Income!$Z$5:$AC$204,3,FALSE()),""))</f>
        <v/>
      </c>
    </row>
    <row r="1115" customFormat="false" ht="13.5" hidden="false" customHeight="false" outlineLevel="0" collapsed="false">
      <c r="N1115" s="1" t="str">
        <f aca="false">IF(C1115="","",IFERROR(VLOOKUP(C1115,Master_Mappings!$A$4:$E$85,3,FALSE()),"UNMAPPED"))</f>
        <v/>
      </c>
      <c r="P1115" s="1" t="str">
        <f aca="false">IF($C1115="","",$C1115&amp;"|"&amp;$E1115&amp;"|"&amp;$M1115&amp;"|"&amp;TEXT($G1115,"yyyy-mm-dd")&amp;"|"&amp;LEFT($J1115,40))</f>
        <v/>
      </c>
      <c r="Q1115" s="11" t="str">
        <f aca="false">IF(P1115="","",IF(COUNTIF($P$2:$P$3000,P1115)&gt;1,"DUPLICATE","OK"))</f>
        <v/>
      </c>
      <c r="R1115" s="0" t="str">
        <f aca="false">IF($C1115="","",IFERROR(VLOOKUP(--$C1115,MM_Income!$Z$5:$AC$204,3,FALSE()),""))</f>
        <v/>
      </c>
    </row>
    <row r="1116" customFormat="false" ht="13.5" hidden="false" customHeight="false" outlineLevel="0" collapsed="false">
      <c r="N1116" s="1" t="str">
        <f aca="false">IF(C1116="","",IFERROR(VLOOKUP(C1116,Master_Mappings!$A$4:$E$85,3,FALSE()),"UNMAPPED"))</f>
        <v/>
      </c>
      <c r="P1116" s="1" t="str">
        <f aca="false">IF($C1116="","",$C1116&amp;"|"&amp;$E1116&amp;"|"&amp;$M1116&amp;"|"&amp;TEXT($G1116,"yyyy-mm-dd")&amp;"|"&amp;LEFT($J1116,40))</f>
        <v/>
      </c>
      <c r="Q1116" s="11" t="str">
        <f aca="false">IF(P1116="","",IF(COUNTIF($P$2:$P$3000,P1116)&gt;1,"DUPLICATE","OK"))</f>
        <v/>
      </c>
      <c r="R1116" s="0" t="str">
        <f aca="false">IF($C1116="","",IFERROR(VLOOKUP(--$C1116,MM_Income!$Z$5:$AC$204,3,FALSE()),""))</f>
        <v/>
      </c>
    </row>
    <row r="1117" customFormat="false" ht="13.5" hidden="false" customHeight="false" outlineLevel="0" collapsed="false">
      <c r="N1117" s="1" t="str">
        <f aca="false">IF(C1117="","",IFERROR(VLOOKUP(C1117,Master_Mappings!$A$4:$E$85,3,FALSE()),"UNMAPPED"))</f>
        <v/>
      </c>
      <c r="P1117" s="1" t="str">
        <f aca="false">IF($C1117="","",$C1117&amp;"|"&amp;$E1117&amp;"|"&amp;$M1117&amp;"|"&amp;TEXT($G1117,"yyyy-mm-dd")&amp;"|"&amp;LEFT($J1117,40))</f>
        <v/>
      </c>
      <c r="Q1117" s="11" t="str">
        <f aca="false">IF(P1117="","",IF(COUNTIF($P$2:$P$3000,P1117)&gt;1,"DUPLICATE","OK"))</f>
        <v/>
      </c>
      <c r="R1117" s="0" t="str">
        <f aca="false">IF($C1117="","",IFERROR(VLOOKUP(--$C1117,MM_Income!$Z$5:$AC$204,3,FALSE()),""))</f>
        <v/>
      </c>
    </row>
    <row r="1118" customFormat="false" ht="13.5" hidden="false" customHeight="false" outlineLevel="0" collapsed="false">
      <c r="N1118" s="1" t="str">
        <f aca="false">IF(C1118="","",IFERROR(VLOOKUP(C1118,Master_Mappings!$A$4:$E$85,3,FALSE()),"UNMAPPED"))</f>
        <v/>
      </c>
      <c r="P1118" s="1" t="str">
        <f aca="false">IF($C1118="","",$C1118&amp;"|"&amp;$E1118&amp;"|"&amp;$M1118&amp;"|"&amp;TEXT($G1118,"yyyy-mm-dd")&amp;"|"&amp;LEFT($J1118,40))</f>
        <v/>
      </c>
      <c r="Q1118" s="11" t="str">
        <f aca="false">IF(P1118="","",IF(COUNTIF($P$2:$P$3000,P1118)&gt;1,"DUPLICATE","OK"))</f>
        <v/>
      </c>
      <c r="R1118" s="0" t="str">
        <f aca="false">IF($C1118="","",IFERROR(VLOOKUP(--$C1118,MM_Income!$Z$5:$AC$204,3,FALSE()),""))</f>
        <v/>
      </c>
    </row>
    <row r="1119" customFormat="false" ht="13.5" hidden="false" customHeight="false" outlineLevel="0" collapsed="false">
      <c r="N1119" s="1" t="str">
        <f aca="false">IF(C1119="","",IFERROR(VLOOKUP(C1119,Master_Mappings!$A$4:$E$85,3,FALSE()),"UNMAPPED"))</f>
        <v/>
      </c>
      <c r="P1119" s="1" t="str">
        <f aca="false">IF($C1119="","",$C1119&amp;"|"&amp;$E1119&amp;"|"&amp;$M1119&amp;"|"&amp;TEXT($G1119,"yyyy-mm-dd")&amp;"|"&amp;LEFT($J1119,40))</f>
        <v/>
      </c>
      <c r="Q1119" s="11" t="str">
        <f aca="false">IF(P1119="","",IF(COUNTIF($P$2:$P$3000,P1119)&gt;1,"DUPLICATE","OK"))</f>
        <v/>
      </c>
      <c r="R1119" s="0" t="str">
        <f aca="false">IF($C1119="","",IFERROR(VLOOKUP(--$C1119,MM_Income!$Z$5:$AC$204,3,FALSE()),""))</f>
        <v/>
      </c>
    </row>
    <row r="1120" customFormat="false" ht="13.5" hidden="false" customHeight="false" outlineLevel="0" collapsed="false">
      <c r="N1120" s="1" t="str">
        <f aca="false">IF(C1120="","",IFERROR(VLOOKUP(C1120,Master_Mappings!$A$4:$E$85,3,FALSE()),"UNMAPPED"))</f>
        <v/>
      </c>
      <c r="P1120" s="1" t="str">
        <f aca="false">IF($C1120="","",$C1120&amp;"|"&amp;$E1120&amp;"|"&amp;$M1120&amp;"|"&amp;TEXT($G1120,"yyyy-mm-dd")&amp;"|"&amp;LEFT($J1120,40))</f>
        <v/>
      </c>
      <c r="Q1120" s="11" t="str">
        <f aca="false">IF(P1120="","",IF(COUNTIF($P$2:$P$3000,P1120)&gt;1,"DUPLICATE","OK"))</f>
        <v/>
      </c>
      <c r="R1120" s="0" t="str">
        <f aca="false">IF($C1120="","",IFERROR(VLOOKUP(--$C1120,MM_Income!$Z$5:$AC$204,3,FALSE()),""))</f>
        <v/>
      </c>
    </row>
    <row r="1121" customFormat="false" ht="13.5" hidden="false" customHeight="false" outlineLevel="0" collapsed="false">
      <c r="N1121" s="1" t="str">
        <f aca="false">IF(C1121="","",IFERROR(VLOOKUP(C1121,Master_Mappings!$A$4:$E$85,3,FALSE()),"UNMAPPED"))</f>
        <v/>
      </c>
      <c r="P1121" s="1" t="str">
        <f aca="false">IF($C1121="","",$C1121&amp;"|"&amp;$E1121&amp;"|"&amp;$M1121&amp;"|"&amp;TEXT($G1121,"yyyy-mm-dd")&amp;"|"&amp;LEFT($J1121,40))</f>
        <v/>
      </c>
      <c r="Q1121" s="11" t="str">
        <f aca="false">IF(P1121="","",IF(COUNTIF($P$2:$P$3000,P1121)&gt;1,"DUPLICATE","OK"))</f>
        <v/>
      </c>
      <c r="R1121" s="0" t="str">
        <f aca="false">IF($C1121="","",IFERROR(VLOOKUP(--$C1121,MM_Income!$Z$5:$AC$204,3,FALSE()),""))</f>
        <v/>
      </c>
    </row>
    <row r="1122" customFormat="false" ht="13.5" hidden="false" customHeight="false" outlineLevel="0" collapsed="false">
      <c r="N1122" s="1" t="str">
        <f aca="false">IF(C1122="","",IFERROR(VLOOKUP(C1122,Master_Mappings!$A$4:$E$85,3,FALSE()),"UNMAPPED"))</f>
        <v/>
      </c>
      <c r="P1122" s="1" t="str">
        <f aca="false">IF($C1122="","",$C1122&amp;"|"&amp;$E1122&amp;"|"&amp;$M1122&amp;"|"&amp;TEXT($G1122,"yyyy-mm-dd")&amp;"|"&amp;LEFT($J1122,40))</f>
        <v/>
      </c>
      <c r="Q1122" s="11" t="str">
        <f aca="false">IF(P1122="","",IF(COUNTIF($P$2:$P$3000,P1122)&gt;1,"DUPLICATE","OK"))</f>
        <v/>
      </c>
      <c r="R1122" s="0" t="str">
        <f aca="false">IF($C1122="","",IFERROR(VLOOKUP(--$C1122,MM_Income!$Z$5:$AC$204,3,FALSE()),""))</f>
        <v/>
      </c>
    </row>
    <row r="1123" customFormat="false" ht="13.5" hidden="false" customHeight="false" outlineLevel="0" collapsed="false">
      <c r="N1123" s="1" t="str">
        <f aca="false">IF(C1123="","",IFERROR(VLOOKUP(C1123,Master_Mappings!$A$4:$E$85,3,FALSE()),"UNMAPPED"))</f>
        <v/>
      </c>
      <c r="P1123" s="1" t="str">
        <f aca="false">IF($C1123="","",$C1123&amp;"|"&amp;$E1123&amp;"|"&amp;$M1123&amp;"|"&amp;TEXT($G1123,"yyyy-mm-dd")&amp;"|"&amp;LEFT($J1123,40))</f>
        <v/>
      </c>
      <c r="Q1123" s="11" t="str">
        <f aca="false">IF(P1123="","",IF(COUNTIF($P$2:$P$3000,P1123)&gt;1,"DUPLICATE","OK"))</f>
        <v/>
      </c>
      <c r="R1123" s="0" t="str">
        <f aca="false">IF($C1123="","",IFERROR(VLOOKUP(--$C1123,MM_Income!$Z$5:$AC$204,3,FALSE()),""))</f>
        <v/>
      </c>
    </row>
    <row r="1124" customFormat="false" ht="13.5" hidden="false" customHeight="false" outlineLevel="0" collapsed="false">
      <c r="N1124" s="1" t="str">
        <f aca="false">IF(C1124="","",IFERROR(VLOOKUP(C1124,Master_Mappings!$A$4:$E$85,3,FALSE()),"UNMAPPED"))</f>
        <v/>
      </c>
      <c r="P1124" s="1" t="str">
        <f aca="false">IF($C1124="","",$C1124&amp;"|"&amp;$E1124&amp;"|"&amp;$M1124&amp;"|"&amp;TEXT($G1124,"yyyy-mm-dd")&amp;"|"&amp;LEFT($J1124,40))</f>
        <v/>
      </c>
      <c r="Q1124" s="11" t="str">
        <f aca="false">IF(P1124="","",IF(COUNTIF($P$2:$P$3000,P1124)&gt;1,"DUPLICATE","OK"))</f>
        <v/>
      </c>
      <c r="R1124" s="0" t="str">
        <f aca="false">IF($C1124="","",IFERROR(VLOOKUP(--$C1124,MM_Income!$Z$5:$AC$204,3,FALSE()),""))</f>
        <v/>
      </c>
    </row>
    <row r="1125" customFormat="false" ht="13.5" hidden="false" customHeight="false" outlineLevel="0" collapsed="false">
      <c r="N1125" s="1" t="str">
        <f aca="false">IF(C1125="","",IFERROR(VLOOKUP(C1125,Master_Mappings!$A$4:$E$85,3,FALSE()),"UNMAPPED"))</f>
        <v/>
      </c>
      <c r="P1125" s="1" t="str">
        <f aca="false">IF($C1125="","",$C1125&amp;"|"&amp;$E1125&amp;"|"&amp;$M1125&amp;"|"&amp;TEXT($G1125,"yyyy-mm-dd")&amp;"|"&amp;LEFT($J1125,40))</f>
        <v/>
      </c>
      <c r="Q1125" s="11" t="str">
        <f aca="false">IF(P1125="","",IF(COUNTIF($P$2:$P$3000,P1125)&gt;1,"DUPLICATE","OK"))</f>
        <v/>
      </c>
      <c r="R1125" s="0" t="str">
        <f aca="false">IF($C1125="","",IFERROR(VLOOKUP(--$C1125,MM_Income!$Z$5:$AC$204,3,FALSE()),""))</f>
        <v/>
      </c>
    </row>
    <row r="1126" customFormat="false" ht="13.5" hidden="false" customHeight="false" outlineLevel="0" collapsed="false">
      <c r="N1126" s="1" t="str">
        <f aca="false">IF(C1126="","",IFERROR(VLOOKUP(C1126,Master_Mappings!$A$4:$E$85,3,FALSE()),"UNMAPPED"))</f>
        <v/>
      </c>
      <c r="P1126" s="1" t="str">
        <f aca="false">IF($C1126="","",$C1126&amp;"|"&amp;$E1126&amp;"|"&amp;$M1126&amp;"|"&amp;TEXT($G1126,"yyyy-mm-dd")&amp;"|"&amp;LEFT($J1126,40))</f>
        <v/>
      </c>
      <c r="Q1126" s="11" t="str">
        <f aca="false">IF(P1126="","",IF(COUNTIF($P$2:$P$3000,P1126)&gt;1,"DUPLICATE","OK"))</f>
        <v/>
      </c>
      <c r="R1126" s="0" t="str">
        <f aca="false">IF($C1126="","",IFERROR(VLOOKUP(--$C1126,MM_Income!$Z$5:$AC$204,3,FALSE()),""))</f>
        <v/>
      </c>
    </row>
    <row r="1127" customFormat="false" ht="13.5" hidden="false" customHeight="false" outlineLevel="0" collapsed="false">
      <c r="N1127" s="1" t="str">
        <f aca="false">IF(C1127="","",IFERROR(VLOOKUP(C1127,Master_Mappings!$A$4:$E$85,3,FALSE()),"UNMAPPED"))</f>
        <v/>
      </c>
      <c r="P1127" s="1" t="str">
        <f aca="false">IF($C1127="","",$C1127&amp;"|"&amp;$E1127&amp;"|"&amp;$M1127&amp;"|"&amp;TEXT($G1127,"yyyy-mm-dd")&amp;"|"&amp;LEFT($J1127,40))</f>
        <v/>
      </c>
      <c r="Q1127" s="11" t="str">
        <f aca="false">IF(P1127="","",IF(COUNTIF($P$2:$P$3000,P1127)&gt;1,"DUPLICATE","OK"))</f>
        <v/>
      </c>
      <c r="R1127" s="0" t="str">
        <f aca="false">IF($C1127="","",IFERROR(VLOOKUP(--$C1127,MM_Income!$Z$5:$AC$204,3,FALSE()),""))</f>
        <v/>
      </c>
    </row>
    <row r="1128" customFormat="false" ht="13.5" hidden="false" customHeight="false" outlineLevel="0" collapsed="false">
      <c r="N1128" s="1" t="str">
        <f aca="false">IF(C1128="","",IFERROR(VLOOKUP(C1128,Master_Mappings!$A$4:$E$85,3,FALSE()),"UNMAPPED"))</f>
        <v/>
      </c>
      <c r="P1128" s="1" t="str">
        <f aca="false">IF($C1128="","",$C1128&amp;"|"&amp;$E1128&amp;"|"&amp;$M1128&amp;"|"&amp;TEXT($G1128,"yyyy-mm-dd")&amp;"|"&amp;LEFT($J1128,40))</f>
        <v/>
      </c>
      <c r="Q1128" s="11" t="str">
        <f aca="false">IF(P1128="","",IF(COUNTIF($P$2:$P$3000,P1128)&gt;1,"DUPLICATE","OK"))</f>
        <v/>
      </c>
      <c r="R1128" s="0" t="str">
        <f aca="false">IF($C1128="","",IFERROR(VLOOKUP(--$C1128,MM_Income!$Z$5:$AC$204,3,FALSE()),""))</f>
        <v/>
      </c>
    </row>
    <row r="1129" customFormat="false" ht="13.5" hidden="false" customHeight="false" outlineLevel="0" collapsed="false">
      <c r="N1129" s="1" t="str">
        <f aca="false">IF(C1129="","",IFERROR(VLOOKUP(C1129,Master_Mappings!$A$4:$E$85,3,FALSE()),"UNMAPPED"))</f>
        <v/>
      </c>
      <c r="P1129" s="1" t="str">
        <f aca="false">IF($C1129="","",$C1129&amp;"|"&amp;$E1129&amp;"|"&amp;$M1129&amp;"|"&amp;TEXT($G1129,"yyyy-mm-dd")&amp;"|"&amp;LEFT($J1129,40))</f>
        <v/>
      </c>
      <c r="Q1129" s="11" t="str">
        <f aca="false">IF(P1129="","",IF(COUNTIF($P$2:$P$3000,P1129)&gt;1,"DUPLICATE","OK"))</f>
        <v/>
      </c>
      <c r="R1129" s="0" t="str">
        <f aca="false">IF($C1129="","",IFERROR(VLOOKUP(--$C1129,MM_Income!$Z$5:$AC$204,3,FALSE()),""))</f>
        <v/>
      </c>
    </row>
    <row r="1130" customFormat="false" ht="13.5" hidden="false" customHeight="false" outlineLevel="0" collapsed="false">
      <c r="N1130" s="1" t="str">
        <f aca="false">IF(C1130="","",IFERROR(VLOOKUP(C1130,Master_Mappings!$A$4:$E$85,3,FALSE()),"UNMAPPED"))</f>
        <v/>
      </c>
      <c r="P1130" s="1" t="str">
        <f aca="false">IF($C1130="","",$C1130&amp;"|"&amp;$E1130&amp;"|"&amp;$M1130&amp;"|"&amp;TEXT($G1130,"yyyy-mm-dd")&amp;"|"&amp;LEFT($J1130,40))</f>
        <v/>
      </c>
      <c r="Q1130" s="11" t="str">
        <f aca="false">IF(P1130="","",IF(COUNTIF($P$2:$P$3000,P1130)&gt;1,"DUPLICATE","OK"))</f>
        <v/>
      </c>
      <c r="R1130" s="0" t="str">
        <f aca="false">IF($C1130="","",IFERROR(VLOOKUP(--$C1130,MM_Income!$Z$5:$AC$204,3,FALSE()),""))</f>
        <v/>
      </c>
    </row>
    <row r="1131" customFormat="false" ht="13.5" hidden="false" customHeight="false" outlineLevel="0" collapsed="false">
      <c r="N1131" s="1" t="str">
        <f aca="false">IF(C1131="","",IFERROR(VLOOKUP(C1131,Master_Mappings!$A$4:$E$85,3,FALSE()),"UNMAPPED"))</f>
        <v/>
      </c>
      <c r="P1131" s="1" t="str">
        <f aca="false">IF($C1131="","",$C1131&amp;"|"&amp;$E1131&amp;"|"&amp;$M1131&amp;"|"&amp;TEXT($G1131,"yyyy-mm-dd")&amp;"|"&amp;LEFT($J1131,40))</f>
        <v/>
      </c>
      <c r="Q1131" s="11" t="str">
        <f aca="false">IF(P1131="","",IF(COUNTIF($P$2:$P$3000,P1131)&gt;1,"DUPLICATE","OK"))</f>
        <v/>
      </c>
      <c r="R1131" s="0" t="str">
        <f aca="false">IF($C1131="","",IFERROR(VLOOKUP(--$C1131,MM_Income!$Z$5:$AC$204,3,FALSE()),""))</f>
        <v/>
      </c>
    </row>
    <row r="1132" customFormat="false" ht="13.5" hidden="false" customHeight="false" outlineLevel="0" collapsed="false">
      <c r="N1132" s="1" t="str">
        <f aca="false">IF(C1132="","",IFERROR(VLOOKUP(C1132,Master_Mappings!$A$4:$E$85,3,FALSE()),"UNMAPPED"))</f>
        <v/>
      </c>
      <c r="P1132" s="1" t="str">
        <f aca="false">IF($C1132="","",$C1132&amp;"|"&amp;$E1132&amp;"|"&amp;$M1132&amp;"|"&amp;TEXT($G1132,"yyyy-mm-dd")&amp;"|"&amp;LEFT($J1132,40))</f>
        <v/>
      </c>
      <c r="Q1132" s="11" t="str">
        <f aca="false">IF(P1132="","",IF(COUNTIF($P$2:$P$3000,P1132)&gt;1,"DUPLICATE","OK"))</f>
        <v/>
      </c>
      <c r="R1132" s="0" t="str">
        <f aca="false">IF($C1132="","",IFERROR(VLOOKUP(--$C1132,MM_Income!$Z$5:$AC$204,3,FALSE()),""))</f>
        <v/>
      </c>
    </row>
    <row r="1133" customFormat="false" ht="13.5" hidden="false" customHeight="false" outlineLevel="0" collapsed="false">
      <c r="N1133" s="1" t="str">
        <f aca="false">IF(C1133="","",IFERROR(VLOOKUP(C1133,Master_Mappings!$A$4:$E$85,3,FALSE()),"UNMAPPED"))</f>
        <v/>
      </c>
      <c r="P1133" s="1" t="str">
        <f aca="false">IF($C1133="","",$C1133&amp;"|"&amp;$E1133&amp;"|"&amp;$M1133&amp;"|"&amp;TEXT($G1133,"yyyy-mm-dd")&amp;"|"&amp;LEFT($J1133,40))</f>
        <v/>
      </c>
      <c r="Q1133" s="11" t="str">
        <f aca="false">IF(P1133="","",IF(COUNTIF($P$2:$P$3000,P1133)&gt;1,"DUPLICATE","OK"))</f>
        <v/>
      </c>
      <c r="R1133" s="0" t="str">
        <f aca="false">IF($C1133="","",IFERROR(VLOOKUP(--$C1133,MM_Income!$Z$5:$AC$204,3,FALSE()),""))</f>
        <v/>
      </c>
    </row>
    <row r="1134" customFormat="false" ht="13.5" hidden="false" customHeight="false" outlineLevel="0" collapsed="false">
      <c r="N1134" s="1" t="str">
        <f aca="false">IF(C1134="","",IFERROR(VLOOKUP(C1134,Master_Mappings!$A$4:$E$85,3,FALSE()),"UNMAPPED"))</f>
        <v/>
      </c>
      <c r="P1134" s="1" t="str">
        <f aca="false">IF($C1134="","",$C1134&amp;"|"&amp;$E1134&amp;"|"&amp;$M1134&amp;"|"&amp;TEXT($G1134,"yyyy-mm-dd")&amp;"|"&amp;LEFT($J1134,40))</f>
        <v/>
      </c>
      <c r="Q1134" s="11" t="str">
        <f aca="false">IF(P1134="","",IF(COUNTIF($P$2:$P$3000,P1134)&gt;1,"DUPLICATE","OK"))</f>
        <v/>
      </c>
      <c r="R1134" s="0" t="str">
        <f aca="false">IF($C1134="","",IFERROR(VLOOKUP(--$C1134,MM_Income!$Z$5:$AC$204,3,FALSE()),""))</f>
        <v/>
      </c>
    </row>
    <row r="1135" customFormat="false" ht="13.5" hidden="false" customHeight="false" outlineLevel="0" collapsed="false">
      <c r="N1135" s="1" t="str">
        <f aca="false">IF(C1135="","",IFERROR(VLOOKUP(C1135,Master_Mappings!$A$4:$E$85,3,FALSE()),"UNMAPPED"))</f>
        <v/>
      </c>
      <c r="P1135" s="1" t="str">
        <f aca="false">IF($C1135="","",$C1135&amp;"|"&amp;$E1135&amp;"|"&amp;$M1135&amp;"|"&amp;TEXT($G1135,"yyyy-mm-dd")&amp;"|"&amp;LEFT($J1135,40))</f>
        <v/>
      </c>
      <c r="Q1135" s="11" t="str">
        <f aca="false">IF(P1135="","",IF(COUNTIF($P$2:$P$3000,P1135)&gt;1,"DUPLICATE","OK"))</f>
        <v/>
      </c>
      <c r="R1135" s="0" t="str">
        <f aca="false">IF($C1135="","",IFERROR(VLOOKUP(--$C1135,MM_Income!$Z$5:$AC$204,3,FALSE()),""))</f>
        <v/>
      </c>
    </row>
    <row r="1136" customFormat="false" ht="13.5" hidden="false" customHeight="false" outlineLevel="0" collapsed="false">
      <c r="N1136" s="1" t="str">
        <f aca="false">IF(C1136="","",IFERROR(VLOOKUP(C1136,Master_Mappings!$A$4:$E$85,3,FALSE()),"UNMAPPED"))</f>
        <v/>
      </c>
      <c r="P1136" s="1" t="str">
        <f aca="false">IF($C1136="","",$C1136&amp;"|"&amp;$E1136&amp;"|"&amp;$M1136&amp;"|"&amp;TEXT($G1136,"yyyy-mm-dd")&amp;"|"&amp;LEFT($J1136,40))</f>
        <v/>
      </c>
      <c r="Q1136" s="11" t="str">
        <f aca="false">IF(P1136="","",IF(COUNTIF($P$2:$P$3000,P1136)&gt;1,"DUPLICATE","OK"))</f>
        <v/>
      </c>
      <c r="R1136" s="0" t="str">
        <f aca="false">IF($C1136="","",IFERROR(VLOOKUP(--$C1136,MM_Income!$Z$5:$AC$204,3,FALSE()),""))</f>
        <v/>
      </c>
    </row>
    <row r="1137" customFormat="false" ht="13.5" hidden="false" customHeight="false" outlineLevel="0" collapsed="false">
      <c r="N1137" s="1" t="str">
        <f aca="false">IF(C1137="","",IFERROR(VLOOKUP(C1137,Master_Mappings!$A$4:$E$85,3,FALSE()),"UNMAPPED"))</f>
        <v/>
      </c>
      <c r="P1137" s="1" t="str">
        <f aca="false">IF($C1137="","",$C1137&amp;"|"&amp;$E1137&amp;"|"&amp;$M1137&amp;"|"&amp;TEXT($G1137,"yyyy-mm-dd")&amp;"|"&amp;LEFT($J1137,40))</f>
        <v/>
      </c>
      <c r="Q1137" s="11" t="str">
        <f aca="false">IF(P1137="","",IF(COUNTIF($P$2:$P$3000,P1137)&gt;1,"DUPLICATE","OK"))</f>
        <v/>
      </c>
      <c r="R1137" s="0" t="str">
        <f aca="false">IF($C1137="","",IFERROR(VLOOKUP(--$C1137,MM_Income!$Z$5:$AC$204,3,FALSE()),""))</f>
        <v/>
      </c>
    </row>
    <row r="1138" customFormat="false" ht="13.5" hidden="false" customHeight="false" outlineLevel="0" collapsed="false">
      <c r="N1138" s="1" t="str">
        <f aca="false">IF(C1138="","",IFERROR(VLOOKUP(C1138,Master_Mappings!$A$4:$E$85,3,FALSE()),"UNMAPPED"))</f>
        <v/>
      </c>
      <c r="P1138" s="1" t="str">
        <f aca="false">IF($C1138="","",$C1138&amp;"|"&amp;$E1138&amp;"|"&amp;$M1138&amp;"|"&amp;TEXT($G1138,"yyyy-mm-dd")&amp;"|"&amp;LEFT($J1138,40))</f>
        <v/>
      </c>
      <c r="Q1138" s="11" t="str">
        <f aca="false">IF(P1138="","",IF(COUNTIF($P$2:$P$3000,P1138)&gt;1,"DUPLICATE","OK"))</f>
        <v/>
      </c>
      <c r="R1138" s="0" t="str">
        <f aca="false">IF($C1138="","",IFERROR(VLOOKUP(--$C1138,MM_Income!$Z$5:$AC$204,3,FALSE()),""))</f>
        <v/>
      </c>
    </row>
    <row r="1139" customFormat="false" ht="13.5" hidden="false" customHeight="false" outlineLevel="0" collapsed="false">
      <c r="N1139" s="1" t="str">
        <f aca="false">IF(C1139="","",IFERROR(VLOOKUP(C1139,Master_Mappings!$A$4:$E$85,3,FALSE()),"UNMAPPED"))</f>
        <v/>
      </c>
      <c r="P1139" s="1" t="str">
        <f aca="false">IF($C1139="","",$C1139&amp;"|"&amp;$E1139&amp;"|"&amp;$M1139&amp;"|"&amp;TEXT($G1139,"yyyy-mm-dd")&amp;"|"&amp;LEFT($J1139,40))</f>
        <v/>
      </c>
      <c r="Q1139" s="11" t="str">
        <f aca="false">IF(P1139="","",IF(COUNTIF($P$2:$P$3000,P1139)&gt;1,"DUPLICATE","OK"))</f>
        <v/>
      </c>
      <c r="R1139" s="0" t="str">
        <f aca="false">IF($C1139="","",IFERROR(VLOOKUP(--$C1139,MM_Income!$Z$5:$AC$204,3,FALSE()),""))</f>
        <v/>
      </c>
    </row>
    <row r="1140" customFormat="false" ht="13.5" hidden="false" customHeight="false" outlineLevel="0" collapsed="false">
      <c r="N1140" s="1" t="str">
        <f aca="false">IF(C1140="","",IFERROR(VLOOKUP(C1140,Master_Mappings!$A$4:$E$85,3,FALSE()),"UNMAPPED"))</f>
        <v/>
      </c>
      <c r="P1140" s="1" t="str">
        <f aca="false">IF($C1140="","",$C1140&amp;"|"&amp;$E1140&amp;"|"&amp;$M1140&amp;"|"&amp;TEXT($G1140,"yyyy-mm-dd")&amp;"|"&amp;LEFT($J1140,40))</f>
        <v/>
      </c>
      <c r="Q1140" s="11" t="str">
        <f aca="false">IF(P1140="","",IF(COUNTIF($P$2:$P$3000,P1140)&gt;1,"DUPLICATE","OK"))</f>
        <v/>
      </c>
      <c r="R1140" s="0" t="str">
        <f aca="false">IF($C1140="","",IFERROR(VLOOKUP(--$C1140,MM_Income!$Z$5:$AC$204,3,FALSE()),""))</f>
        <v/>
      </c>
    </row>
    <row r="1141" customFormat="false" ht="13.5" hidden="false" customHeight="false" outlineLevel="0" collapsed="false">
      <c r="N1141" s="1" t="str">
        <f aca="false">IF(C1141="","",IFERROR(VLOOKUP(C1141,Master_Mappings!$A$4:$E$85,3,FALSE()),"UNMAPPED"))</f>
        <v/>
      </c>
      <c r="P1141" s="1" t="str">
        <f aca="false">IF($C1141="","",$C1141&amp;"|"&amp;$E1141&amp;"|"&amp;$M1141&amp;"|"&amp;TEXT($G1141,"yyyy-mm-dd")&amp;"|"&amp;LEFT($J1141,40))</f>
        <v/>
      </c>
      <c r="Q1141" s="11" t="str">
        <f aca="false">IF(P1141="","",IF(COUNTIF($P$2:$P$3000,P1141)&gt;1,"DUPLICATE","OK"))</f>
        <v/>
      </c>
      <c r="R1141" s="0" t="str">
        <f aca="false">IF($C1141="","",IFERROR(VLOOKUP(--$C1141,MM_Income!$Z$5:$AC$204,3,FALSE()),""))</f>
        <v/>
      </c>
    </row>
    <row r="1142" customFormat="false" ht="13.5" hidden="false" customHeight="false" outlineLevel="0" collapsed="false">
      <c r="N1142" s="1" t="str">
        <f aca="false">IF(C1142="","",IFERROR(VLOOKUP(C1142,Master_Mappings!$A$4:$E$85,3,FALSE()),"UNMAPPED"))</f>
        <v/>
      </c>
      <c r="P1142" s="1" t="str">
        <f aca="false">IF($C1142="","",$C1142&amp;"|"&amp;$E1142&amp;"|"&amp;$M1142&amp;"|"&amp;TEXT($G1142,"yyyy-mm-dd")&amp;"|"&amp;LEFT($J1142,40))</f>
        <v/>
      </c>
      <c r="Q1142" s="11" t="str">
        <f aca="false">IF(P1142="","",IF(COUNTIF($P$2:$P$3000,P1142)&gt;1,"DUPLICATE","OK"))</f>
        <v/>
      </c>
      <c r="R1142" s="0" t="str">
        <f aca="false">IF($C1142="","",IFERROR(VLOOKUP(--$C1142,MM_Income!$Z$5:$AC$204,3,FALSE()),""))</f>
        <v/>
      </c>
    </row>
    <row r="1143" customFormat="false" ht="13.5" hidden="false" customHeight="false" outlineLevel="0" collapsed="false">
      <c r="N1143" s="1" t="str">
        <f aca="false">IF(C1143="","",IFERROR(VLOOKUP(C1143,Master_Mappings!$A$4:$E$85,3,FALSE()),"UNMAPPED"))</f>
        <v/>
      </c>
      <c r="P1143" s="1" t="str">
        <f aca="false">IF($C1143="","",$C1143&amp;"|"&amp;$E1143&amp;"|"&amp;$M1143&amp;"|"&amp;TEXT($G1143,"yyyy-mm-dd")&amp;"|"&amp;LEFT($J1143,40))</f>
        <v/>
      </c>
      <c r="Q1143" s="11" t="str">
        <f aca="false">IF(P1143="","",IF(COUNTIF($P$2:$P$3000,P1143)&gt;1,"DUPLICATE","OK"))</f>
        <v/>
      </c>
      <c r="R1143" s="0" t="str">
        <f aca="false">IF($C1143="","",IFERROR(VLOOKUP(--$C1143,MM_Income!$Z$5:$AC$204,3,FALSE()),""))</f>
        <v/>
      </c>
    </row>
    <row r="1144" customFormat="false" ht="13.5" hidden="false" customHeight="false" outlineLevel="0" collapsed="false">
      <c r="N1144" s="1" t="str">
        <f aca="false">IF(C1144="","",IFERROR(VLOOKUP(C1144,Master_Mappings!$A$4:$E$85,3,FALSE()),"UNMAPPED"))</f>
        <v/>
      </c>
      <c r="P1144" s="1" t="str">
        <f aca="false">IF($C1144="","",$C1144&amp;"|"&amp;$E1144&amp;"|"&amp;$M1144&amp;"|"&amp;TEXT($G1144,"yyyy-mm-dd")&amp;"|"&amp;LEFT($J1144,40))</f>
        <v/>
      </c>
      <c r="Q1144" s="11" t="str">
        <f aca="false">IF(P1144="","",IF(COUNTIF($P$2:$P$3000,P1144)&gt;1,"DUPLICATE","OK"))</f>
        <v/>
      </c>
      <c r="R1144" s="0" t="str">
        <f aca="false">IF($C1144="","",IFERROR(VLOOKUP(--$C1144,MM_Income!$Z$5:$AC$204,3,FALSE()),""))</f>
        <v/>
      </c>
    </row>
    <row r="1145" customFormat="false" ht="13.5" hidden="false" customHeight="false" outlineLevel="0" collapsed="false">
      <c r="N1145" s="1" t="str">
        <f aca="false">IF(C1145="","",IFERROR(VLOOKUP(C1145,Master_Mappings!$A$4:$E$85,3,FALSE()),"UNMAPPED"))</f>
        <v/>
      </c>
      <c r="P1145" s="1" t="str">
        <f aca="false">IF($C1145="","",$C1145&amp;"|"&amp;$E1145&amp;"|"&amp;$M1145&amp;"|"&amp;TEXT($G1145,"yyyy-mm-dd")&amp;"|"&amp;LEFT($J1145,40))</f>
        <v/>
      </c>
      <c r="Q1145" s="11" t="str">
        <f aca="false">IF(P1145="","",IF(COUNTIF($P$2:$P$3000,P1145)&gt;1,"DUPLICATE","OK"))</f>
        <v/>
      </c>
      <c r="R1145" s="0" t="str">
        <f aca="false">IF($C1145="","",IFERROR(VLOOKUP(--$C1145,MM_Income!$Z$5:$AC$204,3,FALSE()),""))</f>
        <v/>
      </c>
    </row>
    <row r="1146" customFormat="false" ht="13.5" hidden="false" customHeight="false" outlineLevel="0" collapsed="false">
      <c r="N1146" s="1" t="str">
        <f aca="false">IF(C1146="","",IFERROR(VLOOKUP(C1146,Master_Mappings!$A$4:$E$85,3,FALSE()),"UNMAPPED"))</f>
        <v/>
      </c>
      <c r="P1146" s="1" t="str">
        <f aca="false">IF($C1146="","",$C1146&amp;"|"&amp;$E1146&amp;"|"&amp;$M1146&amp;"|"&amp;TEXT($G1146,"yyyy-mm-dd")&amp;"|"&amp;LEFT($J1146,40))</f>
        <v/>
      </c>
      <c r="Q1146" s="11" t="str">
        <f aca="false">IF(P1146="","",IF(COUNTIF($P$2:$P$3000,P1146)&gt;1,"DUPLICATE","OK"))</f>
        <v/>
      </c>
      <c r="R1146" s="0" t="str">
        <f aca="false">IF($C1146="","",IFERROR(VLOOKUP(--$C1146,MM_Income!$Z$5:$AC$204,3,FALSE()),""))</f>
        <v/>
      </c>
    </row>
    <row r="1147" customFormat="false" ht="13.5" hidden="false" customHeight="false" outlineLevel="0" collapsed="false">
      <c r="N1147" s="1" t="str">
        <f aca="false">IF(C1147="","",IFERROR(VLOOKUP(C1147,Master_Mappings!$A$4:$E$85,3,FALSE()),"UNMAPPED"))</f>
        <v/>
      </c>
      <c r="P1147" s="1" t="str">
        <f aca="false">IF($C1147="","",$C1147&amp;"|"&amp;$E1147&amp;"|"&amp;$M1147&amp;"|"&amp;TEXT($G1147,"yyyy-mm-dd")&amp;"|"&amp;LEFT($J1147,40))</f>
        <v/>
      </c>
      <c r="Q1147" s="11" t="str">
        <f aca="false">IF(P1147="","",IF(COUNTIF($P$2:$P$3000,P1147)&gt;1,"DUPLICATE","OK"))</f>
        <v/>
      </c>
      <c r="R1147" s="0" t="str">
        <f aca="false">IF($C1147="","",IFERROR(VLOOKUP(--$C1147,MM_Income!$Z$5:$AC$204,3,FALSE()),""))</f>
        <v/>
      </c>
    </row>
    <row r="1148" customFormat="false" ht="13.5" hidden="false" customHeight="false" outlineLevel="0" collapsed="false">
      <c r="N1148" s="1" t="str">
        <f aca="false">IF(C1148="","",IFERROR(VLOOKUP(C1148,Master_Mappings!$A$4:$E$85,3,FALSE()),"UNMAPPED"))</f>
        <v/>
      </c>
      <c r="P1148" s="1" t="str">
        <f aca="false">IF($C1148="","",$C1148&amp;"|"&amp;$E1148&amp;"|"&amp;$M1148&amp;"|"&amp;TEXT($G1148,"yyyy-mm-dd")&amp;"|"&amp;LEFT($J1148,40))</f>
        <v/>
      </c>
      <c r="Q1148" s="11" t="str">
        <f aca="false">IF(P1148="","",IF(COUNTIF($P$2:$P$3000,P1148)&gt;1,"DUPLICATE","OK"))</f>
        <v/>
      </c>
      <c r="R1148" s="0" t="str">
        <f aca="false">IF($C1148="","",IFERROR(VLOOKUP(--$C1148,MM_Income!$Z$5:$AC$204,3,FALSE()),""))</f>
        <v/>
      </c>
    </row>
    <row r="1149" customFormat="false" ht="13.5" hidden="false" customHeight="false" outlineLevel="0" collapsed="false">
      <c r="N1149" s="1" t="str">
        <f aca="false">IF(C1149="","",IFERROR(VLOOKUP(C1149,Master_Mappings!$A$4:$E$85,3,FALSE()),"UNMAPPED"))</f>
        <v/>
      </c>
      <c r="P1149" s="1" t="str">
        <f aca="false">IF($C1149="","",$C1149&amp;"|"&amp;$E1149&amp;"|"&amp;$M1149&amp;"|"&amp;TEXT($G1149,"yyyy-mm-dd")&amp;"|"&amp;LEFT($J1149,40))</f>
        <v/>
      </c>
      <c r="Q1149" s="11" t="str">
        <f aca="false">IF(P1149="","",IF(COUNTIF($P$2:$P$3000,P1149)&gt;1,"DUPLICATE","OK"))</f>
        <v/>
      </c>
      <c r="R1149" s="0" t="str">
        <f aca="false">IF($C1149="","",IFERROR(VLOOKUP(--$C1149,MM_Income!$Z$5:$AC$204,3,FALSE()),""))</f>
        <v/>
      </c>
    </row>
    <row r="1150" customFormat="false" ht="13.5" hidden="false" customHeight="false" outlineLevel="0" collapsed="false">
      <c r="N1150" s="1" t="str">
        <f aca="false">IF(C1150="","",IFERROR(VLOOKUP(C1150,Master_Mappings!$A$4:$E$85,3,FALSE()),"UNMAPPED"))</f>
        <v/>
      </c>
      <c r="P1150" s="1" t="str">
        <f aca="false">IF($C1150="","",$C1150&amp;"|"&amp;$E1150&amp;"|"&amp;$M1150&amp;"|"&amp;TEXT($G1150,"yyyy-mm-dd")&amp;"|"&amp;LEFT($J1150,40))</f>
        <v/>
      </c>
      <c r="Q1150" s="11" t="str">
        <f aca="false">IF(P1150="","",IF(COUNTIF($P$2:$P$3000,P1150)&gt;1,"DUPLICATE","OK"))</f>
        <v/>
      </c>
      <c r="R1150" s="0" t="str">
        <f aca="false">IF($C1150="","",IFERROR(VLOOKUP(--$C1150,MM_Income!$Z$5:$AC$204,3,FALSE()),""))</f>
        <v/>
      </c>
    </row>
    <row r="1151" customFormat="false" ht="13.5" hidden="false" customHeight="false" outlineLevel="0" collapsed="false">
      <c r="N1151" s="1" t="str">
        <f aca="false">IF(C1151="","",IFERROR(VLOOKUP(C1151,Master_Mappings!$A$4:$E$85,3,FALSE()),"UNMAPPED"))</f>
        <v/>
      </c>
      <c r="P1151" s="1" t="str">
        <f aca="false">IF($C1151="","",$C1151&amp;"|"&amp;$E1151&amp;"|"&amp;$M1151&amp;"|"&amp;TEXT($G1151,"yyyy-mm-dd")&amp;"|"&amp;LEFT($J1151,40))</f>
        <v/>
      </c>
      <c r="Q1151" s="11" t="str">
        <f aca="false">IF(P1151="","",IF(COUNTIF($P$2:$P$3000,P1151)&gt;1,"DUPLICATE","OK"))</f>
        <v/>
      </c>
      <c r="R1151" s="0" t="str">
        <f aca="false">IF($C1151="","",IFERROR(VLOOKUP(--$C1151,MM_Income!$Z$5:$AC$204,3,FALSE()),""))</f>
        <v/>
      </c>
    </row>
    <row r="1152" customFormat="false" ht="13.5" hidden="false" customHeight="false" outlineLevel="0" collapsed="false">
      <c r="N1152" s="1" t="str">
        <f aca="false">IF(C1152="","",IFERROR(VLOOKUP(C1152,Master_Mappings!$A$4:$E$85,3,FALSE()),"UNMAPPED"))</f>
        <v/>
      </c>
      <c r="P1152" s="1" t="str">
        <f aca="false">IF($C1152="","",$C1152&amp;"|"&amp;$E1152&amp;"|"&amp;$M1152&amp;"|"&amp;TEXT($G1152,"yyyy-mm-dd")&amp;"|"&amp;LEFT($J1152,40))</f>
        <v/>
      </c>
      <c r="Q1152" s="11" t="str">
        <f aca="false">IF(P1152="","",IF(COUNTIF($P$2:$P$3000,P1152)&gt;1,"DUPLICATE","OK"))</f>
        <v/>
      </c>
      <c r="R1152" s="0" t="str">
        <f aca="false">IF($C1152="","",IFERROR(VLOOKUP(--$C1152,MM_Income!$Z$5:$AC$204,3,FALSE()),""))</f>
        <v/>
      </c>
    </row>
    <row r="1153" customFormat="false" ht="13.5" hidden="false" customHeight="false" outlineLevel="0" collapsed="false">
      <c r="N1153" s="1" t="str">
        <f aca="false">IF(C1153="","",IFERROR(VLOOKUP(C1153,Master_Mappings!$A$4:$E$85,3,FALSE()),"UNMAPPED"))</f>
        <v/>
      </c>
      <c r="P1153" s="1" t="str">
        <f aca="false">IF($C1153="","",$C1153&amp;"|"&amp;$E1153&amp;"|"&amp;$M1153&amp;"|"&amp;TEXT($G1153,"yyyy-mm-dd")&amp;"|"&amp;LEFT($J1153,40))</f>
        <v/>
      </c>
      <c r="Q1153" s="11" t="str">
        <f aca="false">IF(P1153="","",IF(COUNTIF($P$2:$P$3000,P1153)&gt;1,"DUPLICATE","OK"))</f>
        <v/>
      </c>
      <c r="R1153" s="0" t="str">
        <f aca="false">IF($C1153="","",IFERROR(VLOOKUP(--$C1153,MM_Income!$Z$5:$AC$204,3,FALSE()),""))</f>
        <v/>
      </c>
    </row>
    <row r="1154" customFormat="false" ht="13.5" hidden="false" customHeight="false" outlineLevel="0" collapsed="false">
      <c r="N1154" s="1" t="str">
        <f aca="false">IF(C1154="","",IFERROR(VLOOKUP(C1154,Master_Mappings!$A$4:$E$85,3,FALSE()),"UNMAPPED"))</f>
        <v/>
      </c>
      <c r="P1154" s="1" t="str">
        <f aca="false">IF($C1154="","",$C1154&amp;"|"&amp;$E1154&amp;"|"&amp;$M1154&amp;"|"&amp;TEXT($G1154,"yyyy-mm-dd")&amp;"|"&amp;LEFT($J1154,40))</f>
        <v/>
      </c>
      <c r="Q1154" s="11" t="str">
        <f aca="false">IF(P1154="","",IF(COUNTIF($P$2:$P$3000,P1154)&gt;1,"DUPLICATE","OK"))</f>
        <v/>
      </c>
      <c r="R1154" s="0" t="str">
        <f aca="false">IF($C1154="","",IFERROR(VLOOKUP(--$C1154,MM_Income!$Z$5:$AC$204,3,FALSE()),""))</f>
        <v/>
      </c>
    </row>
    <row r="1155" customFormat="false" ht="13.5" hidden="false" customHeight="false" outlineLevel="0" collapsed="false">
      <c r="N1155" s="1" t="str">
        <f aca="false">IF(C1155="","",IFERROR(VLOOKUP(C1155,Master_Mappings!$A$4:$E$85,3,FALSE()),"UNMAPPED"))</f>
        <v/>
      </c>
      <c r="P1155" s="1" t="str">
        <f aca="false">IF($C1155="","",$C1155&amp;"|"&amp;$E1155&amp;"|"&amp;$M1155&amp;"|"&amp;TEXT($G1155,"yyyy-mm-dd")&amp;"|"&amp;LEFT($J1155,40))</f>
        <v/>
      </c>
      <c r="Q1155" s="11" t="str">
        <f aca="false">IF(P1155="","",IF(COUNTIF($P$2:$P$3000,P1155)&gt;1,"DUPLICATE","OK"))</f>
        <v/>
      </c>
      <c r="R1155" s="0" t="str">
        <f aca="false">IF($C1155="","",IFERROR(VLOOKUP(--$C1155,MM_Income!$Z$5:$AC$204,3,FALSE()),""))</f>
        <v/>
      </c>
    </row>
    <row r="1156" customFormat="false" ht="13.5" hidden="false" customHeight="false" outlineLevel="0" collapsed="false">
      <c r="N1156" s="1" t="str">
        <f aca="false">IF(C1156="","",IFERROR(VLOOKUP(C1156,Master_Mappings!$A$4:$E$85,3,FALSE()),"UNMAPPED"))</f>
        <v/>
      </c>
      <c r="P1156" s="1" t="str">
        <f aca="false">IF($C1156="","",$C1156&amp;"|"&amp;$E1156&amp;"|"&amp;$M1156&amp;"|"&amp;TEXT($G1156,"yyyy-mm-dd")&amp;"|"&amp;LEFT($J1156,40))</f>
        <v/>
      </c>
      <c r="Q1156" s="11" t="str">
        <f aca="false">IF(P1156="","",IF(COUNTIF($P$2:$P$3000,P1156)&gt;1,"DUPLICATE","OK"))</f>
        <v/>
      </c>
      <c r="R1156" s="0" t="str">
        <f aca="false">IF($C1156="","",IFERROR(VLOOKUP(--$C1156,MM_Income!$Z$5:$AC$204,3,FALSE()),""))</f>
        <v/>
      </c>
    </row>
    <row r="1157" customFormat="false" ht="13.5" hidden="false" customHeight="false" outlineLevel="0" collapsed="false">
      <c r="N1157" s="1" t="str">
        <f aca="false">IF(C1157="","",IFERROR(VLOOKUP(C1157,Master_Mappings!$A$4:$E$85,3,FALSE()),"UNMAPPED"))</f>
        <v/>
      </c>
      <c r="P1157" s="1" t="str">
        <f aca="false">IF($C1157="","",$C1157&amp;"|"&amp;$E1157&amp;"|"&amp;$M1157&amp;"|"&amp;TEXT($G1157,"yyyy-mm-dd")&amp;"|"&amp;LEFT($J1157,40))</f>
        <v/>
      </c>
      <c r="Q1157" s="11" t="str">
        <f aca="false">IF(P1157="","",IF(COUNTIF($P$2:$P$3000,P1157)&gt;1,"DUPLICATE","OK"))</f>
        <v/>
      </c>
      <c r="R1157" s="0" t="str">
        <f aca="false">IF($C1157="","",IFERROR(VLOOKUP(--$C1157,MM_Income!$Z$5:$AC$204,3,FALSE()),""))</f>
        <v/>
      </c>
    </row>
    <row r="1158" customFormat="false" ht="13.5" hidden="false" customHeight="false" outlineLevel="0" collapsed="false">
      <c r="N1158" s="1" t="str">
        <f aca="false">IF(C1158="","",IFERROR(VLOOKUP(C1158,Master_Mappings!$A$4:$E$85,3,FALSE()),"UNMAPPED"))</f>
        <v/>
      </c>
      <c r="P1158" s="1" t="str">
        <f aca="false">IF($C1158="","",$C1158&amp;"|"&amp;$E1158&amp;"|"&amp;$M1158&amp;"|"&amp;TEXT($G1158,"yyyy-mm-dd")&amp;"|"&amp;LEFT($J1158,40))</f>
        <v/>
      </c>
      <c r="Q1158" s="11" t="str">
        <f aca="false">IF(P1158="","",IF(COUNTIF($P$2:$P$3000,P1158)&gt;1,"DUPLICATE","OK"))</f>
        <v/>
      </c>
      <c r="R1158" s="0" t="str">
        <f aca="false">IF($C1158="","",IFERROR(VLOOKUP(--$C1158,MM_Income!$Z$5:$AC$204,3,FALSE()),""))</f>
        <v/>
      </c>
    </row>
    <row r="1159" customFormat="false" ht="13.5" hidden="false" customHeight="false" outlineLevel="0" collapsed="false">
      <c r="N1159" s="1" t="str">
        <f aca="false">IF(C1159="","",IFERROR(VLOOKUP(C1159,Master_Mappings!$A$4:$E$85,3,FALSE()),"UNMAPPED"))</f>
        <v/>
      </c>
      <c r="P1159" s="1" t="str">
        <f aca="false">IF($C1159="","",$C1159&amp;"|"&amp;$E1159&amp;"|"&amp;$M1159&amp;"|"&amp;TEXT($G1159,"yyyy-mm-dd")&amp;"|"&amp;LEFT($J1159,40))</f>
        <v/>
      </c>
      <c r="Q1159" s="11" t="str">
        <f aca="false">IF(P1159="","",IF(COUNTIF($P$2:$P$3000,P1159)&gt;1,"DUPLICATE","OK"))</f>
        <v/>
      </c>
      <c r="R1159" s="0" t="str">
        <f aca="false">IF($C1159="","",IFERROR(VLOOKUP(--$C1159,MM_Income!$Z$5:$AC$204,3,FALSE()),""))</f>
        <v/>
      </c>
    </row>
    <row r="1160" customFormat="false" ht="13.5" hidden="false" customHeight="false" outlineLevel="0" collapsed="false">
      <c r="N1160" s="1" t="str">
        <f aca="false">IF(C1160="","",IFERROR(VLOOKUP(C1160,Master_Mappings!$A$4:$E$85,3,FALSE()),"UNMAPPED"))</f>
        <v/>
      </c>
      <c r="P1160" s="1" t="str">
        <f aca="false">IF($C1160="","",$C1160&amp;"|"&amp;$E1160&amp;"|"&amp;$M1160&amp;"|"&amp;TEXT($G1160,"yyyy-mm-dd")&amp;"|"&amp;LEFT($J1160,40))</f>
        <v/>
      </c>
      <c r="Q1160" s="11" t="str">
        <f aca="false">IF(P1160="","",IF(COUNTIF($P$2:$P$3000,P1160)&gt;1,"DUPLICATE","OK"))</f>
        <v/>
      </c>
      <c r="R1160" s="0" t="str">
        <f aca="false">IF($C1160="","",IFERROR(VLOOKUP(--$C1160,MM_Income!$Z$5:$AC$204,3,FALSE()),""))</f>
        <v/>
      </c>
    </row>
    <row r="1161" customFormat="false" ht="13.5" hidden="false" customHeight="false" outlineLevel="0" collapsed="false">
      <c r="N1161" s="1" t="str">
        <f aca="false">IF(C1161="","",IFERROR(VLOOKUP(C1161,Master_Mappings!$A$4:$E$85,3,FALSE()),"UNMAPPED"))</f>
        <v/>
      </c>
      <c r="P1161" s="1" t="str">
        <f aca="false">IF($C1161="","",$C1161&amp;"|"&amp;$E1161&amp;"|"&amp;$M1161&amp;"|"&amp;TEXT($G1161,"yyyy-mm-dd")&amp;"|"&amp;LEFT($J1161,40))</f>
        <v/>
      </c>
      <c r="Q1161" s="11" t="str">
        <f aca="false">IF(P1161="","",IF(COUNTIF($P$2:$P$3000,P1161)&gt;1,"DUPLICATE","OK"))</f>
        <v/>
      </c>
      <c r="R1161" s="0" t="str">
        <f aca="false">IF($C1161="","",IFERROR(VLOOKUP(--$C1161,MM_Income!$Z$5:$AC$204,3,FALSE()),""))</f>
        <v/>
      </c>
    </row>
    <row r="1162" customFormat="false" ht="13.5" hidden="false" customHeight="false" outlineLevel="0" collapsed="false">
      <c r="N1162" s="1" t="str">
        <f aca="false">IF(C1162="","",IFERROR(VLOOKUP(C1162,Master_Mappings!$A$4:$E$85,3,FALSE()),"UNMAPPED"))</f>
        <v/>
      </c>
      <c r="P1162" s="1" t="str">
        <f aca="false">IF($C1162="","",$C1162&amp;"|"&amp;$E1162&amp;"|"&amp;$M1162&amp;"|"&amp;TEXT($G1162,"yyyy-mm-dd")&amp;"|"&amp;LEFT($J1162,40))</f>
        <v/>
      </c>
      <c r="Q1162" s="11" t="str">
        <f aca="false">IF(P1162="","",IF(COUNTIF($P$2:$P$3000,P1162)&gt;1,"DUPLICATE","OK"))</f>
        <v/>
      </c>
      <c r="R1162" s="0" t="str">
        <f aca="false">IF($C1162="","",IFERROR(VLOOKUP(--$C1162,MM_Income!$Z$5:$AC$204,3,FALSE()),""))</f>
        <v/>
      </c>
    </row>
    <row r="1163" customFormat="false" ht="13.5" hidden="false" customHeight="false" outlineLevel="0" collapsed="false">
      <c r="N1163" s="1" t="str">
        <f aca="false">IF(C1163="","",IFERROR(VLOOKUP(C1163,Master_Mappings!$A$4:$E$85,3,FALSE()),"UNMAPPED"))</f>
        <v/>
      </c>
      <c r="P1163" s="1" t="str">
        <f aca="false">IF($C1163="","",$C1163&amp;"|"&amp;$E1163&amp;"|"&amp;$M1163&amp;"|"&amp;TEXT($G1163,"yyyy-mm-dd")&amp;"|"&amp;LEFT($J1163,40))</f>
        <v/>
      </c>
      <c r="Q1163" s="11" t="str">
        <f aca="false">IF(P1163="","",IF(COUNTIF($P$2:$P$3000,P1163)&gt;1,"DUPLICATE","OK"))</f>
        <v/>
      </c>
      <c r="R1163" s="0" t="str">
        <f aca="false">IF($C1163="","",IFERROR(VLOOKUP(--$C1163,MM_Income!$Z$5:$AC$204,3,FALSE()),""))</f>
        <v/>
      </c>
    </row>
    <row r="1164" customFormat="false" ht="13.5" hidden="false" customHeight="false" outlineLevel="0" collapsed="false">
      <c r="N1164" s="1" t="str">
        <f aca="false">IF(C1164="","",IFERROR(VLOOKUP(C1164,Master_Mappings!$A$4:$E$85,3,FALSE()),"UNMAPPED"))</f>
        <v/>
      </c>
      <c r="P1164" s="1" t="str">
        <f aca="false">IF($C1164="","",$C1164&amp;"|"&amp;$E1164&amp;"|"&amp;$M1164&amp;"|"&amp;TEXT($G1164,"yyyy-mm-dd")&amp;"|"&amp;LEFT($J1164,40))</f>
        <v/>
      </c>
      <c r="Q1164" s="11" t="str">
        <f aca="false">IF(P1164="","",IF(COUNTIF($P$2:$P$3000,P1164)&gt;1,"DUPLICATE","OK"))</f>
        <v/>
      </c>
      <c r="R1164" s="0" t="str">
        <f aca="false">IF($C1164="","",IFERROR(VLOOKUP(--$C1164,MM_Income!$Z$5:$AC$204,3,FALSE()),""))</f>
        <v/>
      </c>
    </row>
    <row r="1165" customFormat="false" ht="13.5" hidden="false" customHeight="false" outlineLevel="0" collapsed="false">
      <c r="N1165" s="1" t="str">
        <f aca="false">IF(C1165="","",IFERROR(VLOOKUP(C1165,Master_Mappings!$A$4:$E$85,3,FALSE()),"UNMAPPED"))</f>
        <v/>
      </c>
      <c r="P1165" s="1" t="str">
        <f aca="false">IF($C1165="","",$C1165&amp;"|"&amp;$E1165&amp;"|"&amp;$M1165&amp;"|"&amp;TEXT($G1165,"yyyy-mm-dd")&amp;"|"&amp;LEFT($J1165,40))</f>
        <v/>
      </c>
      <c r="Q1165" s="11" t="str">
        <f aca="false">IF(P1165="","",IF(COUNTIF($P$2:$P$3000,P1165)&gt;1,"DUPLICATE","OK"))</f>
        <v/>
      </c>
      <c r="R1165" s="0" t="str">
        <f aca="false">IF($C1165="","",IFERROR(VLOOKUP(--$C1165,MM_Income!$Z$5:$AC$204,3,FALSE()),""))</f>
        <v/>
      </c>
    </row>
    <row r="1166" customFormat="false" ht="13.5" hidden="false" customHeight="false" outlineLevel="0" collapsed="false">
      <c r="N1166" s="1" t="str">
        <f aca="false">IF(C1166="","",IFERROR(VLOOKUP(C1166,Master_Mappings!$A$4:$E$85,3,FALSE()),"UNMAPPED"))</f>
        <v/>
      </c>
      <c r="P1166" s="1" t="str">
        <f aca="false">IF($C1166="","",$C1166&amp;"|"&amp;$E1166&amp;"|"&amp;$M1166&amp;"|"&amp;TEXT($G1166,"yyyy-mm-dd")&amp;"|"&amp;LEFT($J1166,40))</f>
        <v/>
      </c>
      <c r="Q1166" s="11" t="str">
        <f aca="false">IF(P1166="","",IF(COUNTIF($P$2:$P$3000,P1166)&gt;1,"DUPLICATE","OK"))</f>
        <v/>
      </c>
      <c r="R1166" s="0" t="str">
        <f aca="false">IF($C1166="","",IFERROR(VLOOKUP(--$C1166,MM_Income!$Z$5:$AC$204,3,FALSE()),""))</f>
        <v/>
      </c>
    </row>
    <row r="1167" customFormat="false" ht="13.5" hidden="false" customHeight="false" outlineLevel="0" collapsed="false">
      <c r="N1167" s="1" t="str">
        <f aca="false">IF(C1167="","",IFERROR(VLOOKUP(C1167,Master_Mappings!$A$4:$E$85,3,FALSE()),"UNMAPPED"))</f>
        <v/>
      </c>
      <c r="P1167" s="1" t="str">
        <f aca="false">IF($C1167="","",$C1167&amp;"|"&amp;$E1167&amp;"|"&amp;$M1167&amp;"|"&amp;TEXT($G1167,"yyyy-mm-dd")&amp;"|"&amp;LEFT($J1167,40))</f>
        <v/>
      </c>
      <c r="Q1167" s="11" t="str">
        <f aca="false">IF(P1167="","",IF(COUNTIF($P$2:$P$3000,P1167)&gt;1,"DUPLICATE","OK"))</f>
        <v/>
      </c>
      <c r="R1167" s="0" t="str">
        <f aca="false">IF($C1167="","",IFERROR(VLOOKUP(--$C1167,MM_Income!$Z$5:$AC$204,3,FALSE()),""))</f>
        <v/>
      </c>
    </row>
    <row r="1168" customFormat="false" ht="13.5" hidden="false" customHeight="false" outlineLevel="0" collapsed="false">
      <c r="N1168" s="1" t="str">
        <f aca="false">IF(C1168="","",IFERROR(VLOOKUP(C1168,Master_Mappings!$A$4:$E$85,3,FALSE()),"UNMAPPED"))</f>
        <v/>
      </c>
      <c r="P1168" s="1" t="str">
        <f aca="false">IF($C1168="","",$C1168&amp;"|"&amp;$E1168&amp;"|"&amp;$M1168&amp;"|"&amp;TEXT($G1168,"yyyy-mm-dd")&amp;"|"&amp;LEFT($J1168,40))</f>
        <v/>
      </c>
      <c r="Q1168" s="11" t="str">
        <f aca="false">IF(P1168="","",IF(COUNTIF($P$2:$P$3000,P1168)&gt;1,"DUPLICATE","OK"))</f>
        <v/>
      </c>
      <c r="R1168" s="0" t="str">
        <f aca="false">IF($C1168="","",IFERROR(VLOOKUP(--$C1168,MM_Income!$Z$5:$AC$204,3,FALSE()),""))</f>
        <v/>
      </c>
    </row>
    <row r="1169" customFormat="false" ht="13.5" hidden="false" customHeight="false" outlineLevel="0" collapsed="false">
      <c r="N1169" s="1" t="str">
        <f aca="false">IF(C1169="","",IFERROR(VLOOKUP(C1169,Master_Mappings!$A$4:$E$85,3,FALSE()),"UNMAPPED"))</f>
        <v/>
      </c>
      <c r="P1169" s="1" t="str">
        <f aca="false">IF($C1169="","",$C1169&amp;"|"&amp;$E1169&amp;"|"&amp;$M1169&amp;"|"&amp;TEXT($G1169,"yyyy-mm-dd")&amp;"|"&amp;LEFT($J1169,40))</f>
        <v/>
      </c>
      <c r="Q1169" s="11" t="str">
        <f aca="false">IF(P1169="","",IF(COUNTIF($P$2:$P$3000,P1169)&gt;1,"DUPLICATE","OK"))</f>
        <v/>
      </c>
      <c r="R1169" s="0" t="str">
        <f aca="false">IF($C1169="","",IFERROR(VLOOKUP(--$C1169,MM_Income!$Z$5:$AC$204,3,FALSE()),""))</f>
        <v/>
      </c>
    </row>
    <row r="1170" customFormat="false" ht="13.5" hidden="false" customHeight="false" outlineLevel="0" collapsed="false">
      <c r="N1170" s="1" t="str">
        <f aca="false">IF(C1170="","",IFERROR(VLOOKUP(C1170,Master_Mappings!$A$4:$E$85,3,FALSE()),"UNMAPPED"))</f>
        <v/>
      </c>
      <c r="P1170" s="1" t="str">
        <f aca="false">IF($C1170="","",$C1170&amp;"|"&amp;$E1170&amp;"|"&amp;$M1170&amp;"|"&amp;TEXT($G1170,"yyyy-mm-dd")&amp;"|"&amp;LEFT($J1170,40))</f>
        <v/>
      </c>
      <c r="Q1170" s="11" t="str">
        <f aca="false">IF(P1170="","",IF(COUNTIF($P$2:$P$3000,P1170)&gt;1,"DUPLICATE","OK"))</f>
        <v/>
      </c>
      <c r="R1170" s="0" t="str">
        <f aca="false">IF($C1170="","",IFERROR(VLOOKUP(--$C1170,MM_Income!$Z$5:$AC$204,3,FALSE()),""))</f>
        <v/>
      </c>
    </row>
    <row r="1171" customFormat="false" ht="13.5" hidden="false" customHeight="false" outlineLevel="0" collapsed="false">
      <c r="N1171" s="1" t="str">
        <f aca="false">IF(C1171="","",IFERROR(VLOOKUP(C1171,Master_Mappings!$A$4:$E$85,3,FALSE()),"UNMAPPED"))</f>
        <v/>
      </c>
      <c r="P1171" s="1" t="str">
        <f aca="false">IF($C1171="","",$C1171&amp;"|"&amp;$E1171&amp;"|"&amp;$M1171&amp;"|"&amp;TEXT($G1171,"yyyy-mm-dd")&amp;"|"&amp;LEFT($J1171,40))</f>
        <v/>
      </c>
      <c r="Q1171" s="11" t="str">
        <f aca="false">IF(P1171="","",IF(COUNTIF($P$2:$P$3000,P1171)&gt;1,"DUPLICATE","OK"))</f>
        <v/>
      </c>
      <c r="R1171" s="0" t="str">
        <f aca="false">IF($C1171="","",IFERROR(VLOOKUP(--$C1171,MM_Income!$Z$5:$AC$204,3,FALSE()),""))</f>
        <v/>
      </c>
    </row>
    <row r="1172" customFormat="false" ht="13.5" hidden="false" customHeight="false" outlineLevel="0" collapsed="false">
      <c r="N1172" s="1" t="str">
        <f aca="false">IF(C1172="","",IFERROR(VLOOKUP(C1172,Master_Mappings!$A$4:$E$85,3,FALSE()),"UNMAPPED"))</f>
        <v/>
      </c>
      <c r="P1172" s="1" t="str">
        <f aca="false">IF($C1172="","",$C1172&amp;"|"&amp;$E1172&amp;"|"&amp;$M1172&amp;"|"&amp;TEXT($G1172,"yyyy-mm-dd")&amp;"|"&amp;LEFT($J1172,40))</f>
        <v/>
      </c>
      <c r="Q1172" s="11" t="str">
        <f aca="false">IF(P1172="","",IF(COUNTIF($P$2:$P$3000,P1172)&gt;1,"DUPLICATE","OK"))</f>
        <v/>
      </c>
      <c r="R1172" s="0" t="str">
        <f aca="false">IF($C1172="","",IFERROR(VLOOKUP(--$C1172,MM_Income!$Z$5:$AC$204,3,FALSE()),""))</f>
        <v/>
      </c>
    </row>
    <row r="1173" customFormat="false" ht="13.5" hidden="false" customHeight="false" outlineLevel="0" collapsed="false">
      <c r="N1173" s="1" t="str">
        <f aca="false">IF(C1173="","",IFERROR(VLOOKUP(C1173,Master_Mappings!$A$4:$E$85,3,FALSE()),"UNMAPPED"))</f>
        <v/>
      </c>
      <c r="P1173" s="1" t="str">
        <f aca="false">IF($C1173="","",$C1173&amp;"|"&amp;$E1173&amp;"|"&amp;$M1173&amp;"|"&amp;TEXT($G1173,"yyyy-mm-dd")&amp;"|"&amp;LEFT($J1173,40))</f>
        <v/>
      </c>
      <c r="Q1173" s="11" t="str">
        <f aca="false">IF(P1173="","",IF(COUNTIF($P$2:$P$3000,P1173)&gt;1,"DUPLICATE","OK"))</f>
        <v/>
      </c>
      <c r="R1173" s="0" t="str">
        <f aca="false">IF($C1173="","",IFERROR(VLOOKUP(--$C1173,MM_Income!$Z$5:$AC$204,3,FALSE()),""))</f>
        <v/>
      </c>
    </row>
    <row r="1174" customFormat="false" ht="13.5" hidden="false" customHeight="false" outlineLevel="0" collapsed="false">
      <c r="N1174" s="1" t="str">
        <f aca="false">IF(C1174="","",IFERROR(VLOOKUP(C1174,Master_Mappings!$A$4:$E$85,3,FALSE()),"UNMAPPED"))</f>
        <v/>
      </c>
      <c r="P1174" s="1" t="str">
        <f aca="false">IF($C1174="","",$C1174&amp;"|"&amp;$E1174&amp;"|"&amp;$M1174&amp;"|"&amp;TEXT($G1174,"yyyy-mm-dd")&amp;"|"&amp;LEFT($J1174,40))</f>
        <v/>
      </c>
      <c r="Q1174" s="11" t="str">
        <f aca="false">IF(P1174="","",IF(COUNTIF($P$2:$P$3000,P1174)&gt;1,"DUPLICATE","OK"))</f>
        <v/>
      </c>
      <c r="R1174" s="0" t="str">
        <f aca="false">IF($C1174="","",IFERROR(VLOOKUP(--$C1174,MM_Income!$Z$5:$AC$204,3,FALSE()),""))</f>
        <v/>
      </c>
    </row>
    <row r="1175" customFormat="false" ht="13.5" hidden="false" customHeight="false" outlineLevel="0" collapsed="false">
      <c r="N1175" s="1" t="str">
        <f aca="false">IF(C1175="","",IFERROR(VLOOKUP(C1175,Master_Mappings!$A$4:$E$85,3,FALSE()),"UNMAPPED"))</f>
        <v/>
      </c>
      <c r="P1175" s="1" t="str">
        <f aca="false">IF($C1175="","",$C1175&amp;"|"&amp;$E1175&amp;"|"&amp;$M1175&amp;"|"&amp;TEXT($G1175,"yyyy-mm-dd")&amp;"|"&amp;LEFT($J1175,40))</f>
        <v/>
      </c>
      <c r="Q1175" s="11" t="str">
        <f aca="false">IF(P1175="","",IF(COUNTIF($P$2:$P$3000,P1175)&gt;1,"DUPLICATE","OK"))</f>
        <v/>
      </c>
      <c r="R1175" s="0" t="str">
        <f aca="false">IF($C1175="","",IFERROR(VLOOKUP(--$C1175,MM_Income!$Z$5:$AC$204,3,FALSE()),""))</f>
        <v/>
      </c>
    </row>
    <row r="1176" customFormat="false" ht="13.5" hidden="false" customHeight="false" outlineLevel="0" collapsed="false">
      <c r="N1176" s="1" t="str">
        <f aca="false">IF(C1176="","",IFERROR(VLOOKUP(C1176,Master_Mappings!$A$4:$E$85,3,FALSE()),"UNMAPPED"))</f>
        <v/>
      </c>
      <c r="P1176" s="1" t="str">
        <f aca="false">IF($C1176="","",$C1176&amp;"|"&amp;$E1176&amp;"|"&amp;$M1176&amp;"|"&amp;TEXT($G1176,"yyyy-mm-dd")&amp;"|"&amp;LEFT($J1176,40))</f>
        <v/>
      </c>
      <c r="Q1176" s="11" t="str">
        <f aca="false">IF(P1176="","",IF(COUNTIF($P$2:$P$3000,P1176)&gt;1,"DUPLICATE","OK"))</f>
        <v/>
      </c>
      <c r="R1176" s="0" t="str">
        <f aca="false">IF($C1176="","",IFERROR(VLOOKUP(--$C1176,MM_Income!$Z$5:$AC$204,3,FALSE()),""))</f>
        <v/>
      </c>
    </row>
    <row r="1177" customFormat="false" ht="13.5" hidden="false" customHeight="false" outlineLevel="0" collapsed="false">
      <c r="N1177" s="1" t="str">
        <f aca="false">IF(C1177="","",IFERROR(VLOOKUP(C1177,Master_Mappings!$A$4:$E$85,3,FALSE()),"UNMAPPED"))</f>
        <v/>
      </c>
      <c r="P1177" s="1" t="str">
        <f aca="false">IF($C1177="","",$C1177&amp;"|"&amp;$E1177&amp;"|"&amp;$M1177&amp;"|"&amp;TEXT($G1177,"yyyy-mm-dd")&amp;"|"&amp;LEFT($J1177,40))</f>
        <v/>
      </c>
      <c r="Q1177" s="11" t="str">
        <f aca="false">IF(P1177="","",IF(COUNTIF($P$2:$P$3000,P1177)&gt;1,"DUPLICATE","OK"))</f>
        <v/>
      </c>
      <c r="R1177" s="0" t="str">
        <f aca="false">IF($C1177="","",IFERROR(VLOOKUP(--$C1177,MM_Income!$Z$5:$AC$204,3,FALSE()),""))</f>
        <v/>
      </c>
    </row>
    <row r="1178" customFormat="false" ht="13.5" hidden="false" customHeight="false" outlineLevel="0" collapsed="false">
      <c r="N1178" s="1" t="str">
        <f aca="false">IF(C1178="","",IFERROR(VLOOKUP(C1178,Master_Mappings!$A$4:$E$85,3,FALSE()),"UNMAPPED"))</f>
        <v/>
      </c>
      <c r="P1178" s="1" t="str">
        <f aca="false">IF($C1178="","",$C1178&amp;"|"&amp;$E1178&amp;"|"&amp;$M1178&amp;"|"&amp;TEXT($G1178,"yyyy-mm-dd")&amp;"|"&amp;LEFT($J1178,40))</f>
        <v/>
      </c>
      <c r="Q1178" s="11" t="str">
        <f aca="false">IF(P1178="","",IF(COUNTIF($P$2:$P$3000,P1178)&gt;1,"DUPLICATE","OK"))</f>
        <v/>
      </c>
      <c r="R1178" s="0" t="str">
        <f aca="false">IF($C1178="","",IFERROR(VLOOKUP(--$C1178,MM_Income!$Z$5:$AC$204,3,FALSE()),""))</f>
        <v/>
      </c>
    </row>
    <row r="1179" customFormat="false" ht="13.5" hidden="false" customHeight="false" outlineLevel="0" collapsed="false">
      <c r="N1179" s="1" t="str">
        <f aca="false">IF(C1179="","",IFERROR(VLOOKUP(C1179,Master_Mappings!$A$4:$E$85,3,FALSE()),"UNMAPPED"))</f>
        <v/>
      </c>
      <c r="P1179" s="1" t="str">
        <f aca="false">IF($C1179="","",$C1179&amp;"|"&amp;$E1179&amp;"|"&amp;$M1179&amp;"|"&amp;TEXT($G1179,"yyyy-mm-dd")&amp;"|"&amp;LEFT($J1179,40))</f>
        <v/>
      </c>
      <c r="Q1179" s="11" t="str">
        <f aca="false">IF(P1179="","",IF(COUNTIF($P$2:$P$3000,P1179)&gt;1,"DUPLICATE","OK"))</f>
        <v/>
      </c>
      <c r="R1179" s="0" t="str">
        <f aca="false">IF($C1179="","",IFERROR(VLOOKUP(--$C1179,MM_Income!$Z$5:$AC$204,3,FALSE()),""))</f>
        <v/>
      </c>
    </row>
    <row r="1180" customFormat="false" ht="13.5" hidden="false" customHeight="false" outlineLevel="0" collapsed="false">
      <c r="N1180" s="1" t="str">
        <f aca="false">IF(C1180="","",IFERROR(VLOOKUP(C1180,Master_Mappings!$A$4:$E$85,3,FALSE()),"UNMAPPED"))</f>
        <v/>
      </c>
      <c r="P1180" s="1" t="str">
        <f aca="false">IF($C1180="","",$C1180&amp;"|"&amp;$E1180&amp;"|"&amp;$M1180&amp;"|"&amp;TEXT($G1180,"yyyy-mm-dd")&amp;"|"&amp;LEFT($J1180,40))</f>
        <v/>
      </c>
      <c r="Q1180" s="11" t="str">
        <f aca="false">IF(P1180="","",IF(COUNTIF($P$2:$P$3000,P1180)&gt;1,"DUPLICATE","OK"))</f>
        <v/>
      </c>
      <c r="R1180" s="0" t="str">
        <f aca="false">IF($C1180="","",IFERROR(VLOOKUP(--$C1180,MM_Income!$Z$5:$AC$204,3,FALSE()),""))</f>
        <v/>
      </c>
    </row>
    <row r="1181" customFormat="false" ht="13.5" hidden="false" customHeight="false" outlineLevel="0" collapsed="false">
      <c r="N1181" s="1" t="str">
        <f aca="false">IF(C1181="","",IFERROR(VLOOKUP(C1181,Master_Mappings!$A$4:$E$85,3,FALSE()),"UNMAPPED"))</f>
        <v/>
      </c>
      <c r="P1181" s="1" t="str">
        <f aca="false">IF($C1181="","",$C1181&amp;"|"&amp;$E1181&amp;"|"&amp;$M1181&amp;"|"&amp;TEXT($G1181,"yyyy-mm-dd")&amp;"|"&amp;LEFT($J1181,40))</f>
        <v/>
      </c>
      <c r="Q1181" s="11" t="str">
        <f aca="false">IF(P1181="","",IF(COUNTIF($P$2:$P$3000,P1181)&gt;1,"DUPLICATE","OK"))</f>
        <v/>
      </c>
      <c r="R1181" s="0" t="str">
        <f aca="false">IF($C1181="","",IFERROR(VLOOKUP(--$C1181,MM_Income!$Z$5:$AC$204,3,FALSE()),""))</f>
        <v/>
      </c>
    </row>
    <row r="1182" customFormat="false" ht="13.5" hidden="false" customHeight="false" outlineLevel="0" collapsed="false">
      <c r="N1182" s="1" t="str">
        <f aca="false">IF(C1182="","",IFERROR(VLOOKUP(C1182,Master_Mappings!$A$4:$E$85,3,FALSE()),"UNMAPPED"))</f>
        <v/>
      </c>
      <c r="P1182" s="1" t="str">
        <f aca="false">IF($C1182="","",$C1182&amp;"|"&amp;$E1182&amp;"|"&amp;$M1182&amp;"|"&amp;TEXT($G1182,"yyyy-mm-dd")&amp;"|"&amp;LEFT($J1182,40))</f>
        <v/>
      </c>
      <c r="Q1182" s="11" t="str">
        <f aca="false">IF(P1182="","",IF(COUNTIF($P$2:$P$3000,P1182)&gt;1,"DUPLICATE","OK"))</f>
        <v/>
      </c>
      <c r="R1182" s="0" t="str">
        <f aca="false">IF($C1182="","",IFERROR(VLOOKUP(--$C1182,MM_Income!$Z$5:$AC$204,3,FALSE()),""))</f>
        <v/>
      </c>
    </row>
    <row r="1183" customFormat="false" ht="13.5" hidden="false" customHeight="false" outlineLevel="0" collapsed="false">
      <c r="N1183" s="1" t="str">
        <f aca="false">IF(C1183="","",IFERROR(VLOOKUP(C1183,Master_Mappings!$A$4:$E$85,3,FALSE()),"UNMAPPED"))</f>
        <v/>
      </c>
      <c r="P1183" s="1" t="str">
        <f aca="false">IF($C1183="","",$C1183&amp;"|"&amp;$E1183&amp;"|"&amp;$M1183&amp;"|"&amp;TEXT($G1183,"yyyy-mm-dd")&amp;"|"&amp;LEFT($J1183,40))</f>
        <v/>
      </c>
      <c r="Q1183" s="11" t="str">
        <f aca="false">IF(P1183="","",IF(COUNTIF($P$2:$P$3000,P1183)&gt;1,"DUPLICATE","OK"))</f>
        <v/>
      </c>
      <c r="R1183" s="0" t="str">
        <f aca="false">IF($C1183="","",IFERROR(VLOOKUP(--$C1183,MM_Income!$Z$5:$AC$204,3,FALSE()),""))</f>
        <v/>
      </c>
    </row>
    <row r="1184" customFormat="false" ht="13.5" hidden="false" customHeight="false" outlineLevel="0" collapsed="false">
      <c r="N1184" s="1" t="str">
        <f aca="false">IF(C1184="","",IFERROR(VLOOKUP(C1184,Master_Mappings!$A$4:$E$85,3,FALSE()),"UNMAPPED"))</f>
        <v/>
      </c>
      <c r="P1184" s="1" t="str">
        <f aca="false">IF($C1184="","",$C1184&amp;"|"&amp;$E1184&amp;"|"&amp;$M1184&amp;"|"&amp;TEXT($G1184,"yyyy-mm-dd")&amp;"|"&amp;LEFT($J1184,40))</f>
        <v/>
      </c>
      <c r="Q1184" s="11" t="str">
        <f aca="false">IF(P1184="","",IF(COUNTIF($P$2:$P$3000,P1184)&gt;1,"DUPLICATE","OK"))</f>
        <v/>
      </c>
      <c r="R1184" s="0" t="str">
        <f aca="false">IF($C1184="","",IFERROR(VLOOKUP(--$C1184,MM_Income!$Z$5:$AC$204,3,FALSE()),""))</f>
        <v/>
      </c>
    </row>
    <row r="1185" customFormat="false" ht="13.5" hidden="false" customHeight="false" outlineLevel="0" collapsed="false">
      <c r="N1185" s="1" t="str">
        <f aca="false">IF(C1185="","",IFERROR(VLOOKUP(C1185,Master_Mappings!$A$4:$E$85,3,FALSE()),"UNMAPPED"))</f>
        <v/>
      </c>
      <c r="P1185" s="1" t="str">
        <f aca="false">IF($C1185="","",$C1185&amp;"|"&amp;$E1185&amp;"|"&amp;$M1185&amp;"|"&amp;TEXT($G1185,"yyyy-mm-dd")&amp;"|"&amp;LEFT($J1185,40))</f>
        <v/>
      </c>
      <c r="Q1185" s="11" t="str">
        <f aca="false">IF(P1185="","",IF(COUNTIF($P$2:$P$3000,P1185)&gt;1,"DUPLICATE","OK"))</f>
        <v/>
      </c>
      <c r="R1185" s="0" t="str">
        <f aca="false">IF($C1185="","",IFERROR(VLOOKUP(--$C1185,MM_Income!$Z$5:$AC$204,3,FALSE()),""))</f>
        <v/>
      </c>
    </row>
    <row r="1186" customFormat="false" ht="13.5" hidden="false" customHeight="false" outlineLevel="0" collapsed="false">
      <c r="N1186" s="1" t="str">
        <f aca="false">IF(C1186="","",IFERROR(VLOOKUP(C1186,Master_Mappings!$A$4:$E$85,3,FALSE()),"UNMAPPED"))</f>
        <v/>
      </c>
      <c r="P1186" s="1" t="str">
        <f aca="false">IF($C1186="","",$C1186&amp;"|"&amp;$E1186&amp;"|"&amp;$M1186&amp;"|"&amp;TEXT($G1186,"yyyy-mm-dd")&amp;"|"&amp;LEFT($J1186,40))</f>
        <v/>
      </c>
      <c r="Q1186" s="11" t="str">
        <f aca="false">IF(P1186="","",IF(COUNTIF($P$2:$P$3000,P1186)&gt;1,"DUPLICATE","OK"))</f>
        <v/>
      </c>
      <c r="R1186" s="0" t="str">
        <f aca="false">IF($C1186="","",IFERROR(VLOOKUP(--$C1186,MM_Income!$Z$5:$AC$204,3,FALSE()),""))</f>
        <v/>
      </c>
    </row>
    <row r="1187" customFormat="false" ht="13.5" hidden="false" customHeight="false" outlineLevel="0" collapsed="false">
      <c r="N1187" s="1" t="str">
        <f aca="false">IF(C1187="","",IFERROR(VLOOKUP(C1187,Master_Mappings!$A$4:$E$85,3,FALSE()),"UNMAPPED"))</f>
        <v/>
      </c>
      <c r="P1187" s="1" t="str">
        <f aca="false">IF($C1187="","",$C1187&amp;"|"&amp;$E1187&amp;"|"&amp;$M1187&amp;"|"&amp;TEXT($G1187,"yyyy-mm-dd")&amp;"|"&amp;LEFT($J1187,40))</f>
        <v/>
      </c>
      <c r="Q1187" s="11" t="str">
        <f aca="false">IF(P1187="","",IF(COUNTIF($P$2:$P$3000,P1187)&gt;1,"DUPLICATE","OK"))</f>
        <v/>
      </c>
      <c r="R1187" s="0" t="str">
        <f aca="false">IF($C1187="","",IFERROR(VLOOKUP(--$C1187,MM_Income!$Z$5:$AC$204,3,FALSE()),""))</f>
        <v/>
      </c>
    </row>
    <row r="1188" customFormat="false" ht="13.5" hidden="false" customHeight="false" outlineLevel="0" collapsed="false">
      <c r="N1188" s="1" t="str">
        <f aca="false">IF(C1188="","",IFERROR(VLOOKUP(C1188,Master_Mappings!$A$4:$E$85,3,FALSE()),"UNMAPPED"))</f>
        <v/>
      </c>
      <c r="P1188" s="1" t="str">
        <f aca="false">IF($C1188="","",$C1188&amp;"|"&amp;$E1188&amp;"|"&amp;$M1188&amp;"|"&amp;TEXT($G1188,"yyyy-mm-dd")&amp;"|"&amp;LEFT($J1188,40))</f>
        <v/>
      </c>
      <c r="Q1188" s="11" t="str">
        <f aca="false">IF(P1188="","",IF(COUNTIF($P$2:$P$3000,P1188)&gt;1,"DUPLICATE","OK"))</f>
        <v/>
      </c>
      <c r="R1188" s="0" t="str">
        <f aca="false">IF($C1188="","",IFERROR(VLOOKUP(--$C1188,MM_Income!$Z$5:$AC$204,3,FALSE()),""))</f>
        <v/>
      </c>
    </row>
    <row r="1189" customFormat="false" ht="13.5" hidden="false" customHeight="false" outlineLevel="0" collapsed="false">
      <c r="N1189" s="1" t="str">
        <f aca="false">IF(C1189="","",IFERROR(VLOOKUP(C1189,Master_Mappings!$A$4:$E$85,3,FALSE()),"UNMAPPED"))</f>
        <v/>
      </c>
      <c r="P1189" s="1" t="str">
        <f aca="false">IF($C1189="","",$C1189&amp;"|"&amp;$E1189&amp;"|"&amp;$M1189&amp;"|"&amp;TEXT($G1189,"yyyy-mm-dd")&amp;"|"&amp;LEFT($J1189,40))</f>
        <v/>
      </c>
      <c r="Q1189" s="11" t="str">
        <f aca="false">IF(P1189="","",IF(COUNTIF($P$2:$P$3000,P1189)&gt;1,"DUPLICATE","OK"))</f>
        <v/>
      </c>
      <c r="R1189" s="0" t="str">
        <f aca="false">IF($C1189="","",IFERROR(VLOOKUP(--$C1189,MM_Income!$Z$5:$AC$204,3,FALSE()),""))</f>
        <v/>
      </c>
    </row>
    <row r="1190" customFormat="false" ht="13.5" hidden="false" customHeight="false" outlineLevel="0" collapsed="false">
      <c r="N1190" s="1" t="str">
        <f aca="false">IF(C1190="","",IFERROR(VLOOKUP(C1190,Master_Mappings!$A$4:$E$85,3,FALSE()),"UNMAPPED"))</f>
        <v/>
      </c>
      <c r="P1190" s="1" t="str">
        <f aca="false">IF($C1190="","",$C1190&amp;"|"&amp;$E1190&amp;"|"&amp;$M1190&amp;"|"&amp;TEXT($G1190,"yyyy-mm-dd")&amp;"|"&amp;LEFT($J1190,40))</f>
        <v/>
      </c>
      <c r="Q1190" s="11" t="str">
        <f aca="false">IF(P1190="","",IF(COUNTIF($P$2:$P$3000,P1190)&gt;1,"DUPLICATE","OK"))</f>
        <v/>
      </c>
      <c r="R1190" s="0" t="str">
        <f aca="false">IF($C1190="","",IFERROR(VLOOKUP(--$C1190,MM_Income!$Z$5:$AC$204,3,FALSE()),""))</f>
        <v/>
      </c>
    </row>
    <row r="1191" customFormat="false" ht="13.5" hidden="false" customHeight="false" outlineLevel="0" collapsed="false">
      <c r="N1191" s="1" t="str">
        <f aca="false">IF(C1191="","",IFERROR(VLOOKUP(C1191,Master_Mappings!$A$4:$E$85,3,FALSE()),"UNMAPPED"))</f>
        <v/>
      </c>
      <c r="P1191" s="1" t="str">
        <f aca="false">IF($C1191="","",$C1191&amp;"|"&amp;$E1191&amp;"|"&amp;$M1191&amp;"|"&amp;TEXT($G1191,"yyyy-mm-dd")&amp;"|"&amp;LEFT($J1191,40))</f>
        <v/>
      </c>
      <c r="Q1191" s="11" t="str">
        <f aca="false">IF(P1191="","",IF(COUNTIF($P$2:$P$3000,P1191)&gt;1,"DUPLICATE","OK"))</f>
        <v/>
      </c>
      <c r="R1191" s="0" t="str">
        <f aca="false">IF($C1191="","",IFERROR(VLOOKUP(--$C1191,MM_Income!$Z$5:$AC$204,3,FALSE()),""))</f>
        <v/>
      </c>
    </row>
    <row r="1192" customFormat="false" ht="13.5" hidden="false" customHeight="false" outlineLevel="0" collapsed="false">
      <c r="N1192" s="1" t="str">
        <f aca="false">IF(C1192="","",IFERROR(VLOOKUP(C1192,Master_Mappings!$A$4:$E$85,3,FALSE()),"UNMAPPED"))</f>
        <v/>
      </c>
      <c r="P1192" s="1" t="str">
        <f aca="false">IF($C1192="","",$C1192&amp;"|"&amp;$E1192&amp;"|"&amp;$M1192&amp;"|"&amp;TEXT($G1192,"yyyy-mm-dd")&amp;"|"&amp;LEFT($J1192,40))</f>
        <v/>
      </c>
      <c r="Q1192" s="11" t="str">
        <f aca="false">IF(P1192="","",IF(COUNTIF($P$2:$P$3000,P1192)&gt;1,"DUPLICATE","OK"))</f>
        <v/>
      </c>
      <c r="R1192" s="0" t="str">
        <f aca="false">IF($C1192="","",IFERROR(VLOOKUP(--$C1192,MM_Income!$Z$5:$AC$204,3,FALSE()),""))</f>
        <v/>
      </c>
    </row>
    <row r="1193" customFormat="false" ht="13.5" hidden="false" customHeight="false" outlineLevel="0" collapsed="false">
      <c r="N1193" s="1" t="str">
        <f aca="false">IF(C1193="","",IFERROR(VLOOKUP(C1193,Master_Mappings!$A$4:$E$85,3,FALSE()),"UNMAPPED"))</f>
        <v/>
      </c>
      <c r="P1193" s="1" t="str">
        <f aca="false">IF($C1193="","",$C1193&amp;"|"&amp;$E1193&amp;"|"&amp;$M1193&amp;"|"&amp;TEXT($G1193,"yyyy-mm-dd")&amp;"|"&amp;LEFT($J1193,40))</f>
        <v/>
      </c>
      <c r="Q1193" s="11" t="str">
        <f aca="false">IF(P1193="","",IF(COUNTIF($P$2:$P$3000,P1193)&gt;1,"DUPLICATE","OK"))</f>
        <v/>
      </c>
      <c r="R1193" s="0" t="str">
        <f aca="false">IF($C1193="","",IFERROR(VLOOKUP(--$C1193,MM_Income!$Z$5:$AC$204,3,FALSE()),""))</f>
        <v/>
      </c>
    </row>
    <row r="1194" customFormat="false" ht="13.5" hidden="false" customHeight="false" outlineLevel="0" collapsed="false">
      <c r="N1194" s="1" t="str">
        <f aca="false">IF(C1194="","",IFERROR(VLOOKUP(C1194,Master_Mappings!$A$4:$E$85,3,FALSE()),"UNMAPPED"))</f>
        <v/>
      </c>
      <c r="P1194" s="1" t="str">
        <f aca="false">IF($C1194="","",$C1194&amp;"|"&amp;$E1194&amp;"|"&amp;$M1194&amp;"|"&amp;TEXT($G1194,"yyyy-mm-dd")&amp;"|"&amp;LEFT($J1194,40))</f>
        <v/>
      </c>
      <c r="Q1194" s="11" t="str">
        <f aca="false">IF(P1194="","",IF(COUNTIF($P$2:$P$3000,P1194)&gt;1,"DUPLICATE","OK"))</f>
        <v/>
      </c>
      <c r="R1194" s="0" t="str">
        <f aca="false">IF($C1194="","",IFERROR(VLOOKUP(--$C1194,MM_Income!$Z$5:$AC$204,3,FALSE()),""))</f>
        <v/>
      </c>
    </row>
    <row r="1195" customFormat="false" ht="13.5" hidden="false" customHeight="false" outlineLevel="0" collapsed="false">
      <c r="N1195" s="1" t="str">
        <f aca="false">IF(C1195="","",IFERROR(VLOOKUP(C1195,Master_Mappings!$A$4:$E$85,3,FALSE()),"UNMAPPED"))</f>
        <v/>
      </c>
      <c r="P1195" s="1" t="str">
        <f aca="false">IF($C1195="","",$C1195&amp;"|"&amp;$E1195&amp;"|"&amp;$M1195&amp;"|"&amp;TEXT($G1195,"yyyy-mm-dd")&amp;"|"&amp;LEFT($J1195,40))</f>
        <v/>
      </c>
      <c r="Q1195" s="11" t="str">
        <f aca="false">IF(P1195="","",IF(COUNTIF($P$2:$P$3000,P1195)&gt;1,"DUPLICATE","OK"))</f>
        <v/>
      </c>
      <c r="R1195" s="0" t="str">
        <f aca="false">IF($C1195="","",IFERROR(VLOOKUP(--$C1195,MM_Income!$Z$5:$AC$204,3,FALSE()),""))</f>
        <v/>
      </c>
    </row>
    <row r="1196" customFormat="false" ht="13.5" hidden="false" customHeight="false" outlineLevel="0" collapsed="false">
      <c r="N1196" s="1" t="str">
        <f aca="false">IF(C1196="","",IFERROR(VLOOKUP(C1196,Master_Mappings!$A$4:$E$85,3,FALSE()),"UNMAPPED"))</f>
        <v/>
      </c>
      <c r="P1196" s="1" t="str">
        <f aca="false">IF($C1196="","",$C1196&amp;"|"&amp;$E1196&amp;"|"&amp;$M1196&amp;"|"&amp;TEXT($G1196,"yyyy-mm-dd")&amp;"|"&amp;LEFT($J1196,40))</f>
        <v/>
      </c>
      <c r="Q1196" s="11" t="str">
        <f aca="false">IF(P1196="","",IF(COUNTIF($P$2:$P$3000,P1196)&gt;1,"DUPLICATE","OK"))</f>
        <v/>
      </c>
      <c r="R1196" s="0" t="str">
        <f aca="false">IF($C1196="","",IFERROR(VLOOKUP(--$C1196,MM_Income!$Z$5:$AC$204,3,FALSE()),""))</f>
        <v/>
      </c>
    </row>
    <row r="1197" customFormat="false" ht="13.5" hidden="false" customHeight="false" outlineLevel="0" collapsed="false">
      <c r="N1197" s="1" t="str">
        <f aca="false">IF(C1197="","",IFERROR(VLOOKUP(C1197,Master_Mappings!$A$4:$E$85,3,FALSE()),"UNMAPPED"))</f>
        <v/>
      </c>
      <c r="P1197" s="1" t="str">
        <f aca="false">IF($C1197="","",$C1197&amp;"|"&amp;$E1197&amp;"|"&amp;$M1197&amp;"|"&amp;TEXT($G1197,"yyyy-mm-dd")&amp;"|"&amp;LEFT($J1197,40))</f>
        <v/>
      </c>
      <c r="Q1197" s="11" t="str">
        <f aca="false">IF(P1197="","",IF(COUNTIF($P$2:$P$3000,P1197)&gt;1,"DUPLICATE","OK"))</f>
        <v/>
      </c>
      <c r="R1197" s="0" t="str">
        <f aca="false">IF($C1197="","",IFERROR(VLOOKUP(--$C1197,MM_Income!$Z$5:$AC$204,3,FALSE()),""))</f>
        <v/>
      </c>
    </row>
    <row r="1198" customFormat="false" ht="13.5" hidden="false" customHeight="false" outlineLevel="0" collapsed="false">
      <c r="N1198" s="1" t="str">
        <f aca="false">IF(C1198="","",IFERROR(VLOOKUP(C1198,Master_Mappings!$A$4:$E$85,3,FALSE()),"UNMAPPED"))</f>
        <v/>
      </c>
      <c r="P1198" s="1" t="str">
        <f aca="false">IF($C1198="","",$C1198&amp;"|"&amp;$E1198&amp;"|"&amp;$M1198&amp;"|"&amp;TEXT($G1198,"yyyy-mm-dd")&amp;"|"&amp;LEFT($J1198,40))</f>
        <v/>
      </c>
      <c r="Q1198" s="11" t="str">
        <f aca="false">IF(P1198="","",IF(COUNTIF($P$2:$P$3000,P1198)&gt;1,"DUPLICATE","OK"))</f>
        <v/>
      </c>
      <c r="R1198" s="0" t="str">
        <f aca="false">IF($C1198="","",IFERROR(VLOOKUP(--$C1198,MM_Income!$Z$5:$AC$204,3,FALSE()),""))</f>
        <v/>
      </c>
    </row>
    <row r="1199" customFormat="false" ht="13.5" hidden="false" customHeight="false" outlineLevel="0" collapsed="false">
      <c r="N1199" s="1" t="str">
        <f aca="false">IF(C1199="","",IFERROR(VLOOKUP(C1199,Master_Mappings!$A$4:$E$85,3,FALSE()),"UNMAPPED"))</f>
        <v/>
      </c>
      <c r="P1199" s="1" t="str">
        <f aca="false">IF($C1199="","",$C1199&amp;"|"&amp;$E1199&amp;"|"&amp;$M1199&amp;"|"&amp;TEXT($G1199,"yyyy-mm-dd")&amp;"|"&amp;LEFT($J1199,40))</f>
        <v/>
      </c>
      <c r="Q1199" s="11" t="str">
        <f aca="false">IF(P1199="","",IF(COUNTIF($P$2:$P$3000,P1199)&gt;1,"DUPLICATE","OK"))</f>
        <v/>
      </c>
      <c r="R1199" s="0" t="str">
        <f aca="false">IF($C1199="","",IFERROR(VLOOKUP(--$C1199,MM_Income!$Z$5:$AC$204,3,FALSE()),""))</f>
        <v/>
      </c>
    </row>
    <row r="1200" customFormat="false" ht="13.5" hidden="false" customHeight="false" outlineLevel="0" collapsed="false">
      <c r="N1200" s="1" t="str">
        <f aca="false">IF(C1200="","",IFERROR(VLOOKUP(C1200,Master_Mappings!$A$4:$E$85,3,FALSE()),"UNMAPPED"))</f>
        <v/>
      </c>
      <c r="P1200" s="1" t="str">
        <f aca="false">IF($C1200="","",$C1200&amp;"|"&amp;$E1200&amp;"|"&amp;$M1200&amp;"|"&amp;TEXT($G1200,"yyyy-mm-dd")&amp;"|"&amp;LEFT($J1200,40))</f>
        <v/>
      </c>
      <c r="Q1200" s="11" t="str">
        <f aca="false">IF(P1200="","",IF(COUNTIF($P$2:$P$3000,P1200)&gt;1,"DUPLICATE","OK"))</f>
        <v/>
      </c>
      <c r="R1200" s="0" t="str">
        <f aca="false">IF($C1200="","",IFERROR(VLOOKUP(--$C1200,MM_Income!$Z$5:$AC$204,3,FALSE()),""))</f>
        <v/>
      </c>
    </row>
    <row r="1201" customFormat="false" ht="13.5" hidden="false" customHeight="false" outlineLevel="0" collapsed="false">
      <c r="N1201" s="1" t="str">
        <f aca="false">IF(C1201="","",IFERROR(VLOOKUP(C1201,Master_Mappings!$A$4:$E$85,3,FALSE()),"UNMAPPED"))</f>
        <v/>
      </c>
      <c r="P1201" s="1" t="str">
        <f aca="false">IF($C1201="","",$C1201&amp;"|"&amp;$E1201&amp;"|"&amp;$M1201&amp;"|"&amp;TEXT($G1201,"yyyy-mm-dd")&amp;"|"&amp;LEFT($J1201,40))</f>
        <v/>
      </c>
      <c r="Q1201" s="11" t="str">
        <f aca="false">IF(P1201="","",IF(COUNTIF($P$2:$P$3000,P1201)&gt;1,"DUPLICATE","OK"))</f>
        <v/>
      </c>
      <c r="R1201" s="0" t="str">
        <f aca="false">IF($C1201="","",IFERROR(VLOOKUP(--$C1201,MM_Income!$Z$5:$AC$204,3,FALSE()),""))</f>
        <v/>
      </c>
    </row>
    <row r="1202" customFormat="false" ht="13.5" hidden="false" customHeight="false" outlineLevel="0" collapsed="false">
      <c r="N1202" s="1" t="str">
        <f aca="false">IF(C1202="","",IFERROR(VLOOKUP(C1202,Master_Mappings!$A$4:$E$85,3,FALSE()),"UNMAPPED"))</f>
        <v/>
      </c>
      <c r="P1202" s="1" t="str">
        <f aca="false">IF($C1202="","",$C1202&amp;"|"&amp;$E1202&amp;"|"&amp;$M1202&amp;"|"&amp;TEXT($G1202,"yyyy-mm-dd")&amp;"|"&amp;LEFT($J1202,40))</f>
        <v/>
      </c>
      <c r="Q1202" s="11" t="str">
        <f aca="false">IF(P1202="","",IF(COUNTIF($P$2:$P$3000,P1202)&gt;1,"DUPLICATE","OK"))</f>
        <v/>
      </c>
      <c r="R1202" s="0" t="str">
        <f aca="false">IF($C1202="","",IFERROR(VLOOKUP(--$C1202,MM_Income!$Z$5:$AC$204,3,FALSE()),""))</f>
        <v/>
      </c>
    </row>
    <row r="1203" customFormat="false" ht="13.5" hidden="false" customHeight="false" outlineLevel="0" collapsed="false">
      <c r="N1203" s="1" t="str">
        <f aca="false">IF(C1203="","",IFERROR(VLOOKUP(C1203,Master_Mappings!$A$4:$E$85,3,FALSE()),"UNMAPPED"))</f>
        <v/>
      </c>
      <c r="P1203" s="1" t="str">
        <f aca="false">IF($C1203="","",$C1203&amp;"|"&amp;$E1203&amp;"|"&amp;$M1203&amp;"|"&amp;TEXT($G1203,"yyyy-mm-dd")&amp;"|"&amp;LEFT($J1203,40))</f>
        <v/>
      </c>
      <c r="Q1203" s="11" t="str">
        <f aca="false">IF(P1203="","",IF(COUNTIF($P$2:$P$3000,P1203)&gt;1,"DUPLICATE","OK"))</f>
        <v/>
      </c>
      <c r="R1203" s="0" t="str">
        <f aca="false">IF($C1203="","",IFERROR(VLOOKUP(--$C1203,MM_Income!$Z$5:$AC$204,3,FALSE()),""))</f>
        <v/>
      </c>
    </row>
    <row r="1204" customFormat="false" ht="13.5" hidden="false" customHeight="false" outlineLevel="0" collapsed="false">
      <c r="N1204" s="1" t="str">
        <f aca="false">IF(C1204="","",IFERROR(VLOOKUP(C1204,Master_Mappings!$A$4:$E$85,3,FALSE()),"UNMAPPED"))</f>
        <v/>
      </c>
      <c r="P1204" s="1" t="str">
        <f aca="false">IF($C1204="","",$C1204&amp;"|"&amp;$E1204&amp;"|"&amp;$M1204&amp;"|"&amp;TEXT($G1204,"yyyy-mm-dd")&amp;"|"&amp;LEFT($J1204,40))</f>
        <v/>
      </c>
      <c r="Q1204" s="11" t="str">
        <f aca="false">IF(P1204="","",IF(COUNTIF($P$2:$P$3000,P1204)&gt;1,"DUPLICATE","OK"))</f>
        <v/>
      </c>
      <c r="R1204" s="0" t="str">
        <f aca="false">IF($C1204="","",IFERROR(VLOOKUP(--$C1204,MM_Income!$Z$5:$AC$204,3,FALSE()),""))</f>
        <v/>
      </c>
    </row>
    <row r="1205" customFormat="false" ht="13.5" hidden="false" customHeight="false" outlineLevel="0" collapsed="false">
      <c r="N1205" s="1" t="str">
        <f aca="false">IF(C1205="","",IFERROR(VLOOKUP(C1205,Master_Mappings!$A$4:$E$85,3,FALSE()),"UNMAPPED"))</f>
        <v/>
      </c>
      <c r="P1205" s="1" t="str">
        <f aca="false">IF($C1205="","",$C1205&amp;"|"&amp;$E1205&amp;"|"&amp;$M1205&amp;"|"&amp;TEXT($G1205,"yyyy-mm-dd")&amp;"|"&amp;LEFT($J1205,40))</f>
        <v/>
      </c>
      <c r="Q1205" s="11" t="str">
        <f aca="false">IF(P1205="","",IF(COUNTIF($P$2:$P$3000,P1205)&gt;1,"DUPLICATE","OK"))</f>
        <v/>
      </c>
      <c r="R1205" s="0" t="str">
        <f aca="false">IF($C1205="","",IFERROR(VLOOKUP(--$C1205,MM_Income!$Z$5:$AC$204,3,FALSE()),""))</f>
        <v/>
      </c>
    </row>
    <row r="1206" customFormat="false" ht="13.5" hidden="false" customHeight="false" outlineLevel="0" collapsed="false">
      <c r="N1206" s="1" t="str">
        <f aca="false">IF(C1206="","",IFERROR(VLOOKUP(C1206,Master_Mappings!$A$4:$E$85,3,FALSE()),"UNMAPPED"))</f>
        <v/>
      </c>
      <c r="P1206" s="1" t="str">
        <f aca="false">IF($C1206="","",$C1206&amp;"|"&amp;$E1206&amp;"|"&amp;$M1206&amp;"|"&amp;TEXT($G1206,"yyyy-mm-dd")&amp;"|"&amp;LEFT($J1206,40))</f>
        <v/>
      </c>
      <c r="Q1206" s="11" t="str">
        <f aca="false">IF(P1206="","",IF(COUNTIF($P$2:$P$3000,P1206)&gt;1,"DUPLICATE","OK"))</f>
        <v/>
      </c>
      <c r="R1206" s="0" t="str">
        <f aca="false">IF($C1206="","",IFERROR(VLOOKUP(--$C1206,MM_Income!$Z$5:$AC$204,3,FALSE()),""))</f>
        <v/>
      </c>
    </row>
    <row r="1207" customFormat="false" ht="13.5" hidden="false" customHeight="false" outlineLevel="0" collapsed="false">
      <c r="N1207" s="1" t="str">
        <f aca="false">IF(C1207="","",IFERROR(VLOOKUP(C1207,Master_Mappings!$A$4:$E$85,3,FALSE()),"UNMAPPED"))</f>
        <v/>
      </c>
      <c r="P1207" s="1" t="str">
        <f aca="false">IF($C1207="","",$C1207&amp;"|"&amp;$E1207&amp;"|"&amp;$M1207&amp;"|"&amp;TEXT($G1207,"yyyy-mm-dd")&amp;"|"&amp;LEFT($J1207,40))</f>
        <v/>
      </c>
      <c r="Q1207" s="11" t="str">
        <f aca="false">IF(P1207="","",IF(COUNTIF($P$2:$P$3000,P1207)&gt;1,"DUPLICATE","OK"))</f>
        <v/>
      </c>
      <c r="R1207" s="0" t="str">
        <f aca="false">IF($C1207="","",IFERROR(VLOOKUP(--$C1207,MM_Income!$Z$5:$AC$204,3,FALSE()),""))</f>
        <v/>
      </c>
    </row>
    <row r="1208" customFormat="false" ht="13.5" hidden="false" customHeight="false" outlineLevel="0" collapsed="false">
      <c r="N1208" s="1" t="str">
        <f aca="false">IF(C1208="","",IFERROR(VLOOKUP(C1208,Master_Mappings!$A$4:$E$85,3,FALSE()),"UNMAPPED"))</f>
        <v/>
      </c>
      <c r="P1208" s="1" t="str">
        <f aca="false">IF($C1208="","",$C1208&amp;"|"&amp;$E1208&amp;"|"&amp;$M1208&amp;"|"&amp;TEXT($G1208,"yyyy-mm-dd")&amp;"|"&amp;LEFT($J1208,40))</f>
        <v/>
      </c>
      <c r="Q1208" s="11" t="str">
        <f aca="false">IF(P1208="","",IF(COUNTIF($P$2:$P$3000,P1208)&gt;1,"DUPLICATE","OK"))</f>
        <v/>
      </c>
      <c r="R1208" s="0" t="str">
        <f aca="false">IF($C1208="","",IFERROR(VLOOKUP(--$C1208,MM_Income!$Z$5:$AC$204,3,FALSE()),""))</f>
        <v/>
      </c>
    </row>
    <row r="1209" customFormat="false" ht="13.5" hidden="false" customHeight="false" outlineLevel="0" collapsed="false">
      <c r="N1209" s="1" t="str">
        <f aca="false">IF(C1209="","",IFERROR(VLOOKUP(C1209,Master_Mappings!$A$4:$E$85,3,FALSE()),"UNMAPPED"))</f>
        <v/>
      </c>
      <c r="P1209" s="1" t="str">
        <f aca="false">IF($C1209="","",$C1209&amp;"|"&amp;$E1209&amp;"|"&amp;$M1209&amp;"|"&amp;TEXT($G1209,"yyyy-mm-dd")&amp;"|"&amp;LEFT($J1209,40))</f>
        <v/>
      </c>
      <c r="Q1209" s="11" t="str">
        <f aca="false">IF(P1209="","",IF(COUNTIF($P$2:$P$3000,P1209)&gt;1,"DUPLICATE","OK"))</f>
        <v/>
      </c>
      <c r="R1209" s="0" t="str">
        <f aca="false">IF($C1209="","",IFERROR(VLOOKUP(--$C1209,MM_Income!$Z$5:$AC$204,3,FALSE()),""))</f>
        <v/>
      </c>
    </row>
    <row r="1210" customFormat="false" ht="13.5" hidden="false" customHeight="false" outlineLevel="0" collapsed="false">
      <c r="N1210" s="1" t="str">
        <f aca="false">IF(C1210="","",IFERROR(VLOOKUP(C1210,Master_Mappings!$A$4:$E$85,3,FALSE()),"UNMAPPED"))</f>
        <v/>
      </c>
      <c r="P1210" s="1" t="str">
        <f aca="false">IF($C1210="","",$C1210&amp;"|"&amp;$E1210&amp;"|"&amp;$M1210&amp;"|"&amp;TEXT($G1210,"yyyy-mm-dd")&amp;"|"&amp;LEFT($J1210,40))</f>
        <v/>
      </c>
      <c r="Q1210" s="11" t="str">
        <f aca="false">IF(P1210="","",IF(COUNTIF($P$2:$P$3000,P1210)&gt;1,"DUPLICATE","OK"))</f>
        <v/>
      </c>
      <c r="R1210" s="0" t="str">
        <f aca="false">IF($C1210="","",IFERROR(VLOOKUP(--$C1210,MM_Income!$Z$5:$AC$204,3,FALSE()),""))</f>
        <v/>
      </c>
    </row>
    <row r="1211" customFormat="false" ht="13.5" hidden="false" customHeight="false" outlineLevel="0" collapsed="false">
      <c r="N1211" s="1" t="str">
        <f aca="false">IF(C1211="","",IFERROR(VLOOKUP(C1211,Master_Mappings!$A$4:$E$85,3,FALSE()),"UNMAPPED"))</f>
        <v/>
      </c>
      <c r="P1211" s="1" t="str">
        <f aca="false">IF($C1211="","",$C1211&amp;"|"&amp;$E1211&amp;"|"&amp;$M1211&amp;"|"&amp;TEXT($G1211,"yyyy-mm-dd")&amp;"|"&amp;LEFT($J1211,40))</f>
        <v/>
      </c>
      <c r="Q1211" s="11" t="str">
        <f aca="false">IF(P1211="","",IF(COUNTIF($P$2:$P$3000,P1211)&gt;1,"DUPLICATE","OK"))</f>
        <v/>
      </c>
      <c r="R1211" s="0" t="str">
        <f aca="false">IF($C1211="","",IFERROR(VLOOKUP(--$C1211,MM_Income!$Z$5:$AC$204,3,FALSE()),""))</f>
        <v/>
      </c>
    </row>
    <row r="1212" customFormat="false" ht="13.5" hidden="false" customHeight="false" outlineLevel="0" collapsed="false">
      <c r="N1212" s="1" t="str">
        <f aca="false">IF(C1212="","",IFERROR(VLOOKUP(C1212,Master_Mappings!$A$4:$E$85,3,FALSE()),"UNMAPPED"))</f>
        <v/>
      </c>
      <c r="P1212" s="1" t="str">
        <f aca="false">IF($C1212="","",$C1212&amp;"|"&amp;$E1212&amp;"|"&amp;$M1212&amp;"|"&amp;TEXT($G1212,"yyyy-mm-dd")&amp;"|"&amp;LEFT($J1212,40))</f>
        <v/>
      </c>
      <c r="Q1212" s="11" t="str">
        <f aca="false">IF(P1212="","",IF(COUNTIF($P$2:$P$3000,P1212)&gt;1,"DUPLICATE","OK"))</f>
        <v/>
      </c>
      <c r="R1212" s="0" t="str">
        <f aca="false">IF($C1212="","",IFERROR(VLOOKUP(--$C1212,MM_Income!$Z$5:$AC$204,3,FALSE()),""))</f>
        <v/>
      </c>
    </row>
    <row r="1213" customFormat="false" ht="13.5" hidden="false" customHeight="false" outlineLevel="0" collapsed="false">
      <c r="N1213" s="1" t="str">
        <f aca="false">IF(C1213="","",IFERROR(VLOOKUP(C1213,Master_Mappings!$A$4:$E$85,3,FALSE()),"UNMAPPED"))</f>
        <v/>
      </c>
      <c r="P1213" s="1" t="str">
        <f aca="false">IF($C1213="","",$C1213&amp;"|"&amp;$E1213&amp;"|"&amp;$M1213&amp;"|"&amp;TEXT($G1213,"yyyy-mm-dd")&amp;"|"&amp;LEFT($J1213,40))</f>
        <v/>
      </c>
      <c r="Q1213" s="11" t="str">
        <f aca="false">IF(P1213="","",IF(COUNTIF($P$2:$P$3000,P1213)&gt;1,"DUPLICATE","OK"))</f>
        <v/>
      </c>
      <c r="R1213" s="0" t="str">
        <f aca="false">IF($C1213="","",IFERROR(VLOOKUP(--$C1213,MM_Income!$Z$5:$AC$204,3,FALSE()),""))</f>
        <v/>
      </c>
    </row>
    <row r="1214" customFormat="false" ht="13.5" hidden="false" customHeight="false" outlineLevel="0" collapsed="false">
      <c r="N1214" s="1" t="str">
        <f aca="false">IF(C1214="","",IFERROR(VLOOKUP(C1214,Master_Mappings!$A$4:$E$85,3,FALSE()),"UNMAPPED"))</f>
        <v/>
      </c>
      <c r="P1214" s="1" t="str">
        <f aca="false">IF($C1214="","",$C1214&amp;"|"&amp;$E1214&amp;"|"&amp;$M1214&amp;"|"&amp;TEXT($G1214,"yyyy-mm-dd")&amp;"|"&amp;LEFT($J1214,40))</f>
        <v/>
      </c>
      <c r="Q1214" s="11" t="str">
        <f aca="false">IF(P1214="","",IF(COUNTIF($P$2:$P$3000,P1214)&gt;1,"DUPLICATE","OK"))</f>
        <v/>
      </c>
      <c r="R1214" s="0" t="str">
        <f aca="false">IF($C1214="","",IFERROR(VLOOKUP(--$C1214,MM_Income!$Z$5:$AC$204,3,FALSE()),""))</f>
        <v/>
      </c>
    </row>
    <row r="1215" customFormat="false" ht="13.5" hidden="false" customHeight="false" outlineLevel="0" collapsed="false">
      <c r="N1215" s="1" t="str">
        <f aca="false">IF(C1215="","",IFERROR(VLOOKUP(C1215,Master_Mappings!$A$4:$E$85,3,FALSE()),"UNMAPPED"))</f>
        <v/>
      </c>
      <c r="P1215" s="1" t="str">
        <f aca="false">IF($C1215="","",$C1215&amp;"|"&amp;$E1215&amp;"|"&amp;$M1215&amp;"|"&amp;TEXT($G1215,"yyyy-mm-dd")&amp;"|"&amp;LEFT($J1215,40))</f>
        <v/>
      </c>
      <c r="Q1215" s="11" t="str">
        <f aca="false">IF(P1215="","",IF(COUNTIF($P$2:$P$3000,P1215)&gt;1,"DUPLICATE","OK"))</f>
        <v/>
      </c>
      <c r="R1215" s="0" t="str">
        <f aca="false">IF($C1215="","",IFERROR(VLOOKUP(--$C1215,MM_Income!$Z$5:$AC$204,3,FALSE()),""))</f>
        <v/>
      </c>
    </row>
    <row r="1216" customFormat="false" ht="13.5" hidden="false" customHeight="false" outlineLevel="0" collapsed="false">
      <c r="N1216" s="1" t="str">
        <f aca="false">IF(C1216="","",IFERROR(VLOOKUP(C1216,Master_Mappings!$A$4:$E$85,3,FALSE()),"UNMAPPED"))</f>
        <v/>
      </c>
      <c r="P1216" s="1" t="str">
        <f aca="false">IF($C1216="","",$C1216&amp;"|"&amp;$E1216&amp;"|"&amp;$M1216&amp;"|"&amp;TEXT($G1216,"yyyy-mm-dd")&amp;"|"&amp;LEFT($J1216,40))</f>
        <v/>
      </c>
      <c r="Q1216" s="11" t="str">
        <f aca="false">IF(P1216="","",IF(COUNTIF($P$2:$P$3000,P1216)&gt;1,"DUPLICATE","OK"))</f>
        <v/>
      </c>
      <c r="R1216" s="0" t="str">
        <f aca="false">IF($C1216="","",IFERROR(VLOOKUP(--$C1216,MM_Income!$Z$5:$AC$204,3,FALSE()),""))</f>
        <v/>
      </c>
    </row>
    <row r="1217" customFormat="false" ht="13.5" hidden="false" customHeight="false" outlineLevel="0" collapsed="false">
      <c r="N1217" s="1" t="str">
        <f aca="false">IF(C1217="","",IFERROR(VLOOKUP(C1217,Master_Mappings!$A$4:$E$85,3,FALSE()),"UNMAPPED"))</f>
        <v/>
      </c>
      <c r="P1217" s="1" t="str">
        <f aca="false">IF($C1217="","",$C1217&amp;"|"&amp;$E1217&amp;"|"&amp;$M1217&amp;"|"&amp;TEXT($G1217,"yyyy-mm-dd")&amp;"|"&amp;LEFT($J1217,40))</f>
        <v/>
      </c>
      <c r="Q1217" s="11" t="str">
        <f aca="false">IF(P1217="","",IF(COUNTIF($P$2:$P$3000,P1217)&gt;1,"DUPLICATE","OK"))</f>
        <v/>
      </c>
      <c r="R1217" s="0" t="str">
        <f aca="false">IF($C1217="","",IFERROR(VLOOKUP(--$C1217,MM_Income!$Z$5:$AC$204,3,FALSE()),""))</f>
        <v/>
      </c>
    </row>
    <row r="1218" customFormat="false" ht="13.5" hidden="false" customHeight="false" outlineLevel="0" collapsed="false">
      <c r="N1218" s="1" t="str">
        <f aca="false">IF(C1218="","",IFERROR(VLOOKUP(C1218,Master_Mappings!$A$4:$E$85,3,FALSE()),"UNMAPPED"))</f>
        <v/>
      </c>
      <c r="P1218" s="1" t="str">
        <f aca="false">IF($C1218="","",$C1218&amp;"|"&amp;$E1218&amp;"|"&amp;$M1218&amp;"|"&amp;TEXT($G1218,"yyyy-mm-dd")&amp;"|"&amp;LEFT($J1218,40))</f>
        <v/>
      </c>
      <c r="Q1218" s="11" t="str">
        <f aca="false">IF(P1218="","",IF(COUNTIF($P$2:$P$3000,P1218)&gt;1,"DUPLICATE","OK"))</f>
        <v/>
      </c>
      <c r="R1218" s="0" t="str">
        <f aca="false">IF($C1218="","",IFERROR(VLOOKUP(--$C1218,MM_Income!$Z$5:$AC$204,3,FALSE()),""))</f>
        <v/>
      </c>
    </row>
    <row r="1219" customFormat="false" ht="13.5" hidden="false" customHeight="false" outlineLevel="0" collapsed="false">
      <c r="N1219" s="1" t="str">
        <f aca="false">IF(C1219="","",IFERROR(VLOOKUP(C1219,Master_Mappings!$A$4:$E$85,3,FALSE()),"UNMAPPED"))</f>
        <v/>
      </c>
      <c r="P1219" s="1" t="str">
        <f aca="false">IF($C1219="","",$C1219&amp;"|"&amp;$E1219&amp;"|"&amp;$M1219&amp;"|"&amp;TEXT($G1219,"yyyy-mm-dd")&amp;"|"&amp;LEFT($J1219,40))</f>
        <v/>
      </c>
      <c r="Q1219" s="11" t="str">
        <f aca="false">IF(P1219="","",IF(COUNTIF($P$2:$P$3000,P1219)&gt;1,"DUPLICATE","OK"))</f>
        <v/>
      </c>
      <c r="R1219" s="0" t="str">
        <f aca="false">IF($C1219="","",IFERROR(VLOOKUP(--$C1219,MM_Income!$Z$5:$AC$204,3,FALSE()),""))</f>
        <v/>
      </c>
    </row>
    <row r="1220" customFormat="false" ht="13.5" hidden="false" customHeight="false" outlineLevel="0" collapsed="false">
      <c r="N1220" s="1" t="str">
        <f aca="false">IF(C1220="","",IFERROR(VLOOKUP(C1220,Master_Mappings!$A$4:$E$85,3,FALSE()),"UNMAPPED"))</f>
        <v/>
      </c>
      <c r="P1220" s="1" t="str">
        <f aca="false">IF($C1220="","",$C1220&amp;"|"&amp;$E1220&amp;"|"&amp;$M1220&amp;"|"&amp;TEXT($G1220,"yyyy-mm-dd")&amp;"|"&amp;LEFT($J1220,40))</f>
        <v/>
      </c>
      <c r="Q1220" s="11" t="str">
        <f aca="false">IF(P1220="","",IF(COUNTIF($P$2:$P$3000,P1220)&gt;1,"DUPLICATE","OK"))</f>
        <v/>
      </c>
      <c r="R1220" s="0" t="str">
        <f aca="false">IF($C1220="","",IFERROR(VLOOKUP(--$C1220,MM_Income!$Z$5:$AC$204,3,FALSE()),""))</f>
        <v/>
      </c>
    </row>
    <row r="1221" customFormat="false" ht="13.5" hidden="false" customHeight="false" outlineLevel="0" collapsed="false">
      <c r="N1221" s="1" t="str">
        <f aca="false">IF(C1221="","",IFERROR(VLOOKUP(C1221,Master_Mappings!$A$4:$E$85,3,FALSE()),"UNMAPPED"))</f>
        <v/>
      </c>
      <c r="P1221" s="1" t="str">
        <f aca="false">IF($C1221="","",$C1221&amp;"|"&amp;$E1221&amp;"|"&amp;$M1221&amp;"|"&amp;TEXT($G1221,"yyyy-mm-dd")&amp;"|"&amp;LEFT($J1221,40))</f>
        <v/>
      </c>
      <c r="Q1221" s="11" t="str">
        <f aca="false">IF(P1221="","",IF(COUNTIF($P$2:$P$3000,P1221)&gt;1,"DUPLICATE","OK"))</f>
        <v/>
      </c>
      <c r="R1221" s="0" t="str">
        <f aca="false">IF($C1221="","",IFERROR(VLOOKUP(--$C1221,MM_Income!$Z$5:$AC$204,3,FALSE()),""))</f>
        <v/>
      </c>
    </row>
    <row r="1222" customFormat="false" ht="13.5" hidden="false" customHeight="false" outlineLevel="0" collapsed="false">
      <c r="N1222" s="1" t="str">
        <f aca="false">IF(C1222="","",IFERROR(VLOOKUP(C1222,Master_Mappings!$A$4:$E$85,3,FALSE()),"UNMAPPED"))</f>
        <v/>
      </c>
      <c r="P1222" s="1" t="str">
        <f aca="false">IF($C1222="","",$C1222&amp;"|"&amp;$E1222&amp;"|"&amp;$M1222&amp;"|"&amp;TEXT($G1222,"yyyy-mm-dd")&amp;"|"&amp;LEFT($J1222,40))</f>
        <v/>
      </c>
      <c r="Q1222" s="11" t="str">
        <f aca="false">IF(P1222="","",IF(COUNTIF($P$2:$P$3000,P1222)&gt;1,"DUPLICATE","OK"))</f>
        <v/>
      </c>
      <c r="R1222" s="0" t="str">
        <f aca="false">IF($C1222="","",IFERROR(VLOOKUP(--$C1222,MM_Income!$Z$5:$AC$204,3,FALSE()),""))</f>
        <v/>
      </c>
    </row>
    <row r="1223" customFormat="false" ht="13.5" hidden="false" customHeight="false" outlineLevel="0" collapsed="false">
      <c r="N1223" s="1" t="str">
        <f aca="false">IF(C1223="","",IFERROR(VLOOKUP(C1223,Master_Mappings!$A$4:$E$85,3,FALSE()),"UNMAPPED"))</f>
        <v/>
      </c>
      <c r="P1223" s="1" t="str">
        <f aca="false">IF($C1223="","",$C1223&amp;"|"&amp;$E1223&amp;"|"&amp;$M1223&amp;"|"&amp;TEXT($G1223,"yyyy-mm-dd")&amp;"|"&amp;LEFT($J1223,40))</f>
        <v/>
      </c>
      <c r="Q1223" s="11" t="str">
        <f aca="false">IF(P1223="","",IF(COUNTIF($P$2:$P$3000,P1223)&gt;1,"DUPLICATE","OK"))</f>
        <v/>
      </c>
      <c r="R1223" s="0" t="str">
        <f aca="false">IF($C1223="","",IFERROR(VLOOKUP(--$C1223,MM_Income!$Z$5:$AC$204,3,FALSE()),""))</f>
        <v/>
      </c>
    </row>
    <row r="1224" customFormat="false" ht="13.5" hidden="false" customHeight="false" outlineLevel="0" collapsed="false">
      <c r="N1224" s="1" t="str">
        <f aca="false">IF(C1224="","",IFERROR(VLOOKUP(C1224,Master_Mappings!$A$4:$E$85,3,FALSE()),"UNMAPPED"))</f>
        <v/>
      </c>
      <c r="P1224" s="1" t="str">
        <f aca="false">IF($C1224="","",$C1224&amp;"|"&amp;$E1224&amp;"|"&amp;$M1224&amp;"|"&amp;TEXT($G1224,"yyyy-mm-dd")&amp;"|"&amp;LEFT($J1224,40))</f>
        <v/>
      </c>
      <c r="Q1224" s="11" t="str">
        <f aca="false">IF(P1224="","",IF(COUNTIF($P$2:$P$3000,P1224)&gt;1,"DUPLICATE","OK"))</f>
        <v/>
      </c>
      <c r="R1224" s="0" t="str">
        <f aca="false">IF($C1224="","",IFERROR(VLOOKUP(--$C1224,MM_Income!$Z$5:$AC$204,3,FALSE()),""))</f>
        <v/>
      </c>
    </row>
    <row r="1225" customFormat="false" ht="13.5" hidden="false" customHeight="false" outlineLevel="0" collapsed="false">
      <c r="N1225" s="1" t="str">
        <f aca="false">IF(C1225="","",IFERROR(VLOOKUP(C1225,Master_Mappings!$A$4:$E$85,3,FALSE()),"UNMAPPED"))</f>
        <v/>
      </c>
      <c r="P1225" s="1" t="str">
        <f aca="false">IF($C1225="","",$C1225&amp;"|"&amp;$E1225&amp;"|"&amp;$M1225&amp;"|"&amp;TEXT($G1225,"yyyy-mm-dd")&amp;"|"&amp;LEFT($J1225,40))</f>
        <v/>
      </c>
      <c r="Q1225" s="11" t="str">
        <f aca="false">IF(P1225="","",IF(COUNTIF($P$2:$P$3000,P1225)&gt;1,"DUPLICATE","OK"))</f>
        <v/>
      </c>
      <c r="R1225" s="0" t="str">
        <f aca="false">IF($C1225="","",IFERROR(VLOOKUP(--$C1225,MM_Income!$Z$5:$AC$204,3,FALSE()),""))</f>
        <v/>
      </c>
    </row>
    <row r="1226" customFormat="false" ht="13.5" hidden="false" customHeight="false" outlineLevel="0" collapsed="false">
      <c r="N1226" s="1" t="str">
        <f aca="false">IF(C1226="","",IFERROR(VLOOKUP(C1226,Master_Mappings!$A$4:$E$85,3,FALSE()),"UNMAPPED"))</f>
        <v/>
      </c>
      <c r="P1226" s="1" t="str">
        <f aca="false">IF($C1226="","",$C1226&amp;"|"&amp;$E1226&amp;"|"&amp;$M1226&amp;"|"&amp;TEXT($G1226,"yyyy-mm-dd")&amp;"|"&amp;LEFT($J1226,40))</f>
        <v/>
      </c>
      <c r="Q1226" s="11" t="str">
        <f aca="false">IF(P1226="","",IF(COUNTIF($P$2:$P$3000,P1226)&gt;1,"DUPLICATE","OK"))</f>
        <v/>
      </c>
      <c r="R1226" s="0" t="str">
        <f aca="false">IF($C1226="","",IFERROR(VLOOKUP(--$C1226,MM_Income!$Z$5:$AC$204,3,FALSE()),""))</f>
        <v/>
      </c>
    </row>
    <row r="1227" customFormat="false" ht="13.5" hidden="false" customHeight="false" outlineLevel="0" collapsed="false">
      <c r="N1227" s="1" t="str">
        <f aca="false">IF(C1227="","",IFERROR(VLOOKUP(C1227,Master_Mappings!$A$4:$E$85,3,FALSE()),"UNMAPPED"))</f>
        <v/>
      </c>
      <c r="P1227" s="1" t="str">
        <f aca="false">IF($C1227="","",$C1227&amp;"|"&amp;$E1227&amp;"|"&amp;$M1227&amp;"|"&amp;TEXT($G1227,"yyyy-mm-dd")&amp;"|"&amp;LEFT($J1227,40))</f>
        <v/>
      </c>
      <c r="Q1227" s="11" t="str">
        <f aca="false">IF(P1227="","",IF(COUNTIF($P$2:$P$3000,P1227)&gt;1,"DUPLICATE","OK"))</f>
        <v/>
      </c>
      <c r="R1227" s="0" t="str">
        <f aca="false">IF($C1227="","",IFERROR(VLOOKUP(--$C1227,MM_Income!$Z$5:$AC$204,3,FALSE()),""))</f>
        <v/>
      </c>
    </row>
    <row r="1228" customFormat="false" ht="13.5" hidden="false" customHeight="false" outlineLevel="0" collapsed="false">
      <c r="N1228" s="1" t="str">
        <f aca="false">IF(C1228="","",IFERROR(VLOOKUP(C1228,Master_Mappings!$A$4:$E$85,3,FALSE()),"UNMAPPED"))</f>
        <v/>
      </c>
      <c r="P1228" s="1" t="str">
        <f aca="false">IF($C1228="","",$C1228&amp;"|"&amp;$E1228&amp;"|"&amp;$M1228&amp;"|"&amp;TEXT($G1228,"yyyy-mm-dd")&amp;"|"&amp;LEFT($J1228,40))</f>
        <v/>
      </c>
      <c r="Q1228" s="11" t="str">
        <f aca="false">IF(P1228="","",IF(COUNTIF($P$2:$P$3000,P1228)&gt;1,"DUPLICATE","OK"))</f>
        <v/>
      </c>
      <c r="R1228" s="0" t="str">
        <f aca="false">IF($C1228="","",IFERROR(VLOOKUP(--$C1228,MM_Income!$Z$5:$AC$204,3,FALSE()),""))</f>
        <v/>
      </c>
    </row>
    <row r="1229" customFormat="false" ht="13.5" hidden="false" customHeight="false" outlineLevel="0" collapsed="false">
      <c r="N1229" s="1" t="str">
        <f aca="false">IF(C1229="","",IFERROR(VLOOKUP(C1229,Master_Mappings!$A$4:$E$85,3,FALSE()),"UNMAPPED"))</f>
        <v/>
      </c>
      <c r="P1229" s="1" t="str">
        <f aca="false">IF($C1229="","",$C1229&amp;"|"&amp;$E1229&amp;"|"&amp;$M1229&amp;"|"&amp;TEXT($G1229,"yyyy-mm-dd")&amp;"|"&amp;LEFT($J1229,40))</f>
        <v/>
      </c>
      <c r="Q1229" s="11" t="str">
        <f aca="false">IF(P1229="","",IF(COUNTIF($P$2:$P$3000,P1229)&gt;1,"DUPLICATE","OK"))</f>
        <v/>
      </c>
      <c r="R1229" s="0" t="str">
        <f aca="false">IF($C1229="","",IFERROR(VLOOKUP(--$C1229,MM_Income!$Z$5:$AC$204,3,FALSE()),""))</f>
        <v/>
      </c>
    </row>
    <row r="1230" customFormat="false" ht="13.5" hidden="false" customHeight="false" outlineLevel="0" collapsed="false">
      <c r="N1230" s="1" t="str">
        <f aca="false">IF(C1230="","",IFERROR(VLOOKUP(C1230,Master_Mappings!$A$4:$E$85,3,FALSE()),"UNMAPPED"))</f>
        <v/>
      </c>
      <c r="P1230" s="1" t="str">
        <f aca="false">IF($C1230="","",$C1230&amp;"|"&amp;$E1230&amp;"|"&amp;$M1230&amp;"|"&amp;TEXT($G1230,"yyyy-mm-dd")&amp;"|"&amp;LEFT($J1230,40))</f>
        <v/>
      </c>
      <c r="Q1230" s="11" t="str">
        <f aca="false">IF(P1230="","",IF(COUNTIF($P$2:$P$3000,P1230)&gt;1,"DUPLICATE","OK"))</f>
        <v/>
      </c>
      <c r="R1230" s="0" t="str">
        <f aca="false">IF($C1230="","",IFERROR(VLOOKUP(--$C1230,MM_Income!$Z$5:$AC$204,3,FALSE()),""))</f>
        <v/>
      </c>
    </row>
    <row r="1231" customFormat="false" ht="13.5" hidden="false" customHeight="false" outlineLevel="0" collapsed="false">
      <c r="N1231" s="1" t="str">
        <f aca="false">IF(C1231="","",IFERROR(VLOOKUP(C1231,Master_Mappings!$A$4:$E$85,3,FALSE()),"UNMAPPED"))</f>
        <v/>
      </c>
      <c r="P1231" s="1" t="str">
        <f aca="false">IF($C1231="","",$C1231&amp;"|"&amp;$E1231&amp;"|"&amp;$M1231&amp;"|"&amp;TEXT($G1231,"yyyy-mm-dd")&amp;"|"&amp;LEFT($J1231,40))</f>
        <v/>
      </c>
      <c r="Q1231" s="11" t="str">
        <f aca="false">IF(P1231="","",IF(COUNTIF($P$2:$P$3000,P1231)&gt;1,"DUPLICATE","OK"))</f>
        <v/>
      </c>
      <c r="R1231" s="0" t="str">
        <f aca="false">IF($C1231="","",IFERROR(VLOOKUP(--$C1231,MM_Income!$Z$5:$AC$204,3,FALSE()),""))</f>
        <v/>
      </c>
    </row>
    <row r="1232" customFormat="false" ht="13.5" hidden="false" customHeight="false" outlineLevel="0" collapsed="false">
      <c r="N1232" s="1" t="str">
        <f aca="false">IF(C1232="","",IFERROR(VLOOKUP(C1232,Master_Mappings!$A$4:$E$85,3,FALSE()),"UNMAPPED"))</f>
        <v/>
      </c>
      <c r="P1232" s="1" t="str">
        <f aca="false">IF($C1232="","",$C1232&amp;"|"&amp;$E1232&amp;"|"&amp;$M1232&amp;"|"&amp;TEXT($G1232,"yyyy-mm-dd")&amp;"|"&amp;LEFT($J1232,40))</f>
        <v/>
      </c>
      <c r="Q1232" s="11" t="str">
        <f aca="false">IF(P1232="","",IF(COUNTIF($P$2:$P$3000,P1232)&gt;1,"DUPLICATE","OK"))</f>
        <v/>
      </c>
      <c r="R1232" s="0" t="str">
        <f aca="false">IF($C1232="","",IFERROR(VLOOKUP(--$C1232,MM_Income!$Z$5:$AC$204,3,FALSE()),""))</f>
        <v/>
      </c>
    </row>
    <row r="1233" customFormat="false" ht="13.5" hidden="false" customHeight="false" outlineLevel="0" collapsed="false">
      <c r="N1233" s="1" t="str">
        <f aca="false">IF(C1233="","",IFERROR(VLOOKUP(C1233,Master_Mappings!$A$4:$E$85,3,FALSE()),"UNMAPPED"))</f>
        <v/>
      </c>
      <c r="P1233" s="1" t="str">
        <f aca="false">IF($C1233="","",$C1233&amp;"|"&amp;$E1233&amp;"|"&amp;$M1233&amp;"|"&amp;TEXT($G1233,"yyyy-mm-dd")&amp;"|"&amp;LEFT($J1233,40))</f>
        <v/>
      </c>
      <c r="Q1233" s="11" t="str">
        <f aca="false">IF(P1233="","",IF(COUNTIF($P$2:$P$3000,P1233)&gt;1,"DUPLICATE","OK"))</f>
        <v/>
      </c>
      <c r="R1233" s="0" t="str">
        <f aca="false">IF($C1233="","",IFERROR(VLOOKUP(--$C1233,MM_Income!$Z$5:$AC$204,3,FALSE()),""))</f>
        <v/>
      </c>
    </row>
    <row r="1234" customFormat="false" ht="13.5" hidden="false" customHeight="false" outlineLevel="0" collapsed="false">
      <c r="N1234" s="1" t="str">
        <f aca="false">IF(C1234="","",IFERROR(VLOOKUP(C1234,Master_Mappings!$A$4:$E$85,3,FALSE()),"UNMAPPED"))</f>
        <v/>
      </c>
      <c r="P1234" s="1" t="str">
        <f aca="false">IF($C1234="","",$C1234&amp;"|"&amp;$E1234&amp;"|"&amp;$M1234&amp;"|"&amp;TEXT($G1234,"yyyy-mm-dd")&amp;"|"&amp;LEFT($J1234,40))</f>
        <v/>
      </c>
      <c r="Q1234" s="11" t="str">
        <f aca="false">IF(P1234="","",IF(COUNTIF($P$2:$P$3000,P1234)&gt;1,"DUPLICATE","OK"))</f>
        <v/>
      </c>
      <c r="R1234" s="0" t="str">
        <f aca="false">IF($C1234="","",IFERROR(VLOOKUP(--$C1234,MM_Income!$Z$5:$AC$204,3,FALSE()),""))</f>
        <v/>
      </c>
    </row>
    <row r="1235" customFormat="false" ht="13.5" hidden="false" customHeight="false" outlineLevel="0" collapsed="false">
      <c r="N1235" s="1" t="str">
        <f aca="false">IF(C1235="","",IFERROR(VLOOKUP(C1235,Master_Mappings!$A$4:$E$85,3,FALSE()),"UNMAPPED"))</f>
        <v/>
      </c>
      <c r="P1235" s="1" t="str">
        <f aca="false">IF($C1235="","",$C1235&amp;"|"&amp;$E1235&amp;"|"&amp;$M1235&amp;"|"&amp;TEXT($G1235,"yyyy-mm-dd")&amp;"|"&amp;LEFT($J1235,40))</f>
        <v/>
      </c>
      <c r="Q1235" s="11" t="str">
        <f aca="false">IF(P1235="","",IF(COUNTIF($P$2:$P$3000,P1235)&gt;1,"DUPLICATE","OK"))</f>
        <v/>
      </c>
      <c r="R1235" s="0" t="str">
        <f aca="false">IF($C1235="","",IFERROR(VLOOKUP(--$C1235,MM_Income!$Z$5:$AC$204,3,FALSE()),""))</f>
        <v/>
      </c>
    </row>
    <row r="1236" customFormat="false" ht="13.5" hidden="false" customHeight="false" outlineLevel="0" collapsed="false">
      <c r="N1236" s="1" t="str">
        <f aca="false">IF(C1236="","",IFERROR(VLOOKUP(C1236,Master_Mappings!$A$4:$E$85,3,FALSE()),"UNMAPPED"))</f>
        <v/>
      </c>
      <c r="P1236" s="1" t="str">
        <f aca="false">IF($C1236="","",$C1236&amp;"|"&amp;$E1236&amp;"|"&amp;$M1236&amp;"|"&amp;TEXT($G1236,"yyyy-mm-dd")&amp;"|"&amp;LEFT($J1236,40))</f>
        <v/>
      </c>
      <c r="Q1236" s="11" t="str">
        <f aca="false">IF(P1236="","",IF(COUNTIF($P$2:$P$3000,P1236)&gt;1,"DUPLICATE","OK"))</f>
        <v/>
      </c>
      <c r="R1236" s="0" t="str">
        <f aca="false">IF($C1236="","",IFERROR(VLOOKUP(--$C1236,MM_Income!$Z$5:$AC$204,3,FALSE()),""))</f>
        <v/>
      </c>
    </row>
    <row r="1237" customFormat="false" ht="13.5" hidden="false" customHeight="false" outlineLevel="0" collapsed="false">
      <c r="N1237" s="1" t="str">
        <f aca="false">IF(C1237="","",IFERROR(VLOOKUP(C1237,Master_Mappings!$A$4:$E$85,3,FALSE()),"UNMAPPED"))</f>
        <v/>
      </c>
      <c r="P1237" s="1" t="str">
        <f aca="false">IF($C1237="","",$C1237&amp;"|"&amp;$E1237&amp;"|"&amp;$M1237&amp;"|"&amp;TEXT($G1237,"yyyy-mm-dd")&amp;"|"&amp;LEFT($J1237,40))</f>
        <v/>
      </c>
      <c r="Q1237" s="11" t="str">
        <f aca="false">IF(P1237="","",IF(COUNTIF($P$2:$P$3000,P1237)&gt;1,"DUPLICATE","OK"))</f>
        <v/>
      </c>
      <c r="R1237" s="0" t="str">
        <f aca="false">IF($C1237="","",IFERROR(VLOOKUP(--$C1237,MM_Income!$Z$5:$AC$204,3,FALSE()),""))</f>
        <v/>
      </c>
    </row>
    <row r="1238" customFormat="false" ht="13.5" hidden="false" customHeight="false" outlineLevel="0" collapsed="false">
      <c r="N1238" s="1" t="str">
        <f aca="false">IF(C1238="","",IFERROR(VLOOKUP(C1238,Master_Mappings!$A$4:$E$85,3,FALSE()),"UNMAPPED"))</f>
        <v/>
      </c>
      <c r="P1238" s="1" t="str">
        <f aca="false">IF($C1238="","",$C1238&amp;"|"&amp;$E1238&amp;"|"&amp;$M1238&amp;"|"&amp;TEXT($G1238,"yyyy-mm-dd")&amp;"|"&amp;LEFT($J1238,40))</f>
        <v/>
      </c>
      <c r="Q1238" s="11" t="str">
        <f aca="false">IF(P1238="","",IF(COUNTIF($P$2:$P$3000,P1238)&gt;1,"DUPLICATE","OK"))</f>
        <v/>
      </c>
      <c r="R1238" s="0" t="str">
        <f aca="false">IF($C1238="","",IFERROR(VLOOKUP(--$C1238,MM_Income!$Z$5:$AC$204,3,FALSE()),""))</f>
        <v/>
      </c>
    </row>
    <row r="1239" customFormat="false" ht="13.5" hidden="false" customHeight="false" outlineLevel="0" collapsed="false">
      <c r="N1239" s="1" t="str">
        <f aca="false">IF(C1239="","",IFERROR(VLOOKUP(C1239,Master_Mappings!$A$4:$E$85,3,FALSE()),"UNMAPPED"))</f>
        <v/>
      </c>
      <c r="P1239" s="1" t="str">
        <f aca="false">IF($C1239="","",$C1239&amp;"|"&amp;$E1239&amp;"|"&amp;$M1239&amp;"|"&amp;TEXT($G1239,"yyyy-mm-dd")&amp;"|"&amp;LEFT($J1239,40))</f>
        <v/>
      </c>
      <c r="Q1239" s="11" t="str">
        <f aca="false">IF(P1239="","",IF(COUNTIF($P$2:$P$3000,P1239)&gt;1,"DUPLICATE","OK"))</f>
        <v/>
      </c>
      <c r="R1239" s="0" t="str">
        <f aca="false">IF($C1239="","",IFERROR(VLOOKUP(--$C1239,MM_Income!$Z$5:$AC$204,3,FALSE()),""))</f>
        <v/>
      </c>
    </row>
    <row r="1240" customFormat="false" ht="13.5" hidden="false" customHeight="false" outlineLevel="0" collapsed="false">
      <c r="N1240" s="1" t="str">
        <f aca="false">IF(C1240="","",IFERROR(VLOOKUP(C1240,Master_Mappings!$A$4:$E$85,3,FALSE()),"UNMAPPED"))</f>
        <v/>
      </c>
      <c r="P1240" s="1" t="str">
        <f aca="false">IF($C1240="","",$C1240&amp;"|"&amp;$E1240&amp;"|"&amp;$M1240&amp;"|"&amp;TEXT($G1240,"yyyy-mm-dd")&amp;"|"&amp;LEFT($J1240,40))</f>
        <v/>
      </c>
      <c r="Q1240" s="11" t="str">
        <f aca="false">IF(P1240="","",IF(COUNTIF($P$2:$P$3000,P1240)&gt;1,"DUPLICATE","OK"))</f>
        <v/>
      </c>
      <c r="R1240" s="0" t="str">
        <f aca="false">IF($C1240="","",IFERROR(VLOOKUP(--$C1240,MM_Income!$Z$5:$AC$204,3,FALSE()),""))</f>
        <v/>
      </c>
    </row>
    <row r="1241" customFormat="false" ht="13.5" hidden="false" customHeight="false" outlineLevel="0" collapsed="false">
      <c r="N1241" s="1" t="str">
        <f aca="false">IF(C1241="","",IFERROR(VLOOKUP(C1241,Master_Mappings!$A$4:$E$85,3,FALSE()),"UNMAPPED"))</f>
        <v/>
      </c>
      <c r="P1241" s="1" t="str">
        <f aca="false">IF($C1241="","",$C1241&amp;"|"&amp;$E1241&amp;"|"&amp;$M1241&amp;"|"&amp;TEXT($G1241,"yyyy-mm-dd")&amp;"|"&amp;LEFT($J1241,40))</f>
        <v/>
      </c>
      <c r="Q1241" s="11" t="str">
        <f aca="false">IF(P1241="","",IF(COUNTIF($P$2:$P$3000,P1241)&gt;1,"DUPLICATE","OK"))</f>
        <v/>
      </c>
      <c r="R1241" s="0" t="str">
        <f aca="false">IF($C1241="","",IFERROR(VLOOKUP(--$C1241,MM_Income!$Z$5:$AC$204,3,FALSE()),""))</f>
        <v/>
      </c>
    </row>
    <row r="1242" customFormat="false" ht="13.5" hidden="false" customHeight="false" outlineLevel="0" collapsed="false">
      <c r="N1242" s="1" t="str">
        <f aca="false">IF(C1242="","",IFERROR(VLOOKUP(C1242,Master_Mappings!$A$4:$E$85,3,FALSE()),"UNMAPPED"))</f>
        <v/>
      </c>
      <c r="P1242" s="1" t="str">
        <f aca="false">IF($C1242="","",$C1242&amp;"|"&amp;$E1242&amp;"|"&amp;$M1242&amp;"|"&amp;TEXT($G1242,"yyyy-mm-dd")&amp;"|"&amp;LEFT($J1242,40))</f>
        <v/>
      </c>
      <c r="Q1242" s="11" t="str">
        <f aca="false">IF(P1242="","",IF(COUNTIF($P$2:$P$3000,P1242)&gt;1,"DUPLICATE","OK"))</f>
        <v/>
      </c>
      <c r="R1242" s="0" t="str">
        <f aca="false">IF($C1242="","",IFERROR(VLOOKUP(--$C1242,MM_Income!$Z$5:$AC$204,3,FALSE()),""))</f>
        <v/>
      </c>
    </row>
    <row r="1243" customFormat="false" ht="13.5" hidden="false" customHeight="false" outlineLevel="0" collapsed="false">
      <c r="N1243" s="1" t="str">
        <f aca="false">IF(C1243="","",IFERROR(VLOOKUP(C1243,Master_Mappings!$A$4:$E$85,3,FALSE()),"UNMAPPED"))</f>
        <v/>
      </c>
      <c r="P1243" s="1" t="str">
        <f aca="false">IF($C1243="","",$C1243&amp;"|"&amp;$E1243&amp;"|"&amp;$M1243&amp;"|"&amp;TEXT($G1243,"yyyy-mm-dd")&amp;"|"&amp;LEFT($J1243,40))</f>
        <v/>
      </c>
      <c r="Q1243" s="11" t="str">
        <f aca="false">IF(P1243="","",IF(COUNTIF($P$2:$P$3000,P1243)&gt;1,"DUPLICATE","OK"))</f>
        <v/>
      </c>
      <c r="R1243" s="0" t="str">
        <f aca="false">IF($C1243="","",IFERROR(VLOOKUP(--$C1243,MM_Income!$Z$5:$AC$204,3,FALSE()),""))</f>
        <v/>
      </c>
    </row>
    <row r="1244" customFormat="false" ht="13.5" hidden="false" customHeight="false" outlineLevel="0" collapsed="false">
      <c r="N1244" s="1" t="str">
        <f aca="false">IF(C1244="","",IFERROR(VLOOKUP(C1244,Master_Mappings!$A$4:$E$85,3,FALSE()),"UNMAPPED"))</f>
        <v/>
      </c>
      <c r="P1244" s="1" t="str">
        <f aca="false">IF($C1244="","",$C1244&amp;"|"&amp;$E1244&amp;"|"&amp;$M1244&amp;"|"&amp;TEXT($G1244,"yyyy-mm-dd")&amp;"|"&amp;LEFT($J1244,40))</f>
        <v/>
      </c>
      <c r="Q1244" s="11" t="str">
        <f aca="false">IF(P1244="","",IF(COUNTIF($P$2:$P$3000,P1244)&gt;1,"DUPLICATE","OK"))</f>
        <v/>
      </c>
      <c r="R1244" s="0" t="str">
        <f aca="false">IF($C1244="","",IFERROR(VLOOKUP(--$C1244,MM_Income!$Z$5:$AC$204,3,FALSE()),""))</f>
        <v/>
      </c>
    </row>
    <row r="1245" customFormat="false" ht="13.5" hidden="false" customHeight="false" outlineLevel="0" collapsed="false">
      <c r="N1245" s="1" t="str">
        <f aca="false">IF(C1245="","",IFERROR(VLOOKUP(C1245,Master_Mappings!$A$4:$E$85,3,FALSE()),"UNMAPPED"))</f>
        <v/>
      </c>
      <c r="P1245" s="1" t="str">
        <f aca="false">IF($C1245="","",$C1245&amp;"|"&amp;$E1245&amp;"|"&amp;$M1245&amp;"|"&amp;TEXT($G1245,"yyyy-mm-dd")&amp;"|"&amp;LEFT($J1245,40))</f>
        <v/>
      </c>
      <c r="Q1245" s="11" t="str">
        <f aca="false">IF(P1245="","",IF(COUNTIF($P$2:$P$3000,P1245)&gt;1,"DUPLICATE","OK"))</f>
        <v/>
      </c>
      <c r="R1245" s="0" t="str">
        <f aca="false">IF($C1245="","",IFERROR(VLOOKUP(--$C1245,MM_Income!$Z$5:$AC$204,3,FALSE()),""))</f>
        <v/>
      </c>
    </row>
    <row r="1246" customFormat="false" ht="13.5" hidden="false" customHeight="false" outlineLevel="0" collapsed="false">
      <c r="N1246" s="1" t="str">
        <f aca="false">IF(C1246="","",IFERROR(VLOOKUP(C1246,Master_Mappings!$A$4:$E$85,3,FALSE()),"UNMAPPED"))</f>
        <v/>
      </c>
      <c r="P1246" s="1" t="str">
        <f aca="false">IF($C1246="","",$C1246&amp;"|"&amp;$E1246&amp;"|"&amp;$M1246&amp;"|"&amp;TEXT($G1246,"yyyy-mm-dd")&amp;"|"&amp;LEFT($J1246,40))</f>
        <v/>
      </c>
      <c r="Q1246" s="11" t="str">
        <f aca="false">IF(P1246="","",IF(COUNTIF($P$2:$P$3000,P1246)&gt;1,"DUPLICATE","OK"))</f>
        <v/>
      </c>
      <c r="R1246" s="0" t="str">
        <f aca="false">IF($C1246="","",IFERROR(VLOOKUP(--$C1246,MM_Income!$Z$5:$AC$204,3,FALSE()),""))</f>
        <v/>
      </c>
    </row>
    <row r="1247" customFormat="false" ht="13.5" hidden="false" customHeight="false" outlineLevel="0" collapsed="false">
      <c r="N1247" s="1" t="str">
        <f aca="false">IF(C1247="","",IFERROR(VLOOKUP(C1247,Master_Mappings!$A$4:$E$85,3,FALSE()),"UNMAPPED"))</f>
        <v/>
      </c>
      <c r="P1247" s="1" t="str">
        <f aca="false">IF($C1247="","",$C1247&amp;"|"&amp;$E1247&amp;"|"&amp;$M1247&amp;"|"&amp;TEXT($G1247,"yyyy-mm-dd")&amp;"|"&amp;LEFT($J1247,40))</f>
        <v/>
      </c>
      <c r="Q1247" s="11" t="str">
        <f aca="false">IF(P1247="","",IF(COUNTIF($P$2:$P$3000,P1247)&gt;1,"DUPLICATE","OK"))</f>
        <v/>
      </c>
      <c r="R1247" s="0" t="str">
        <f aca="false">IF($C1247="","",IFERROR(VLOOKUP(--$C1247,MM_Income!$Z$5:$AC$204,3,FALSE()),""))</f>
        <v/>
      </c>
    </row>
    <row r="1248" customFormat="false" ht="13.5" hidden="false" customHeight="false" outlineLevel="0" collapsed="false">
      <c r="N1248" s="1" t="str">
        <f aca="false">IF(C1248="","",IFERROR(VLOOKUP(C1248,Master_Mappings!$A$4:$E$85,3,FALSE()),"UNMAPPED"))</f>
        <v/>
      </c>
      <c r="P1248" s="1" t="str">
        <f aca="false">IF($C1248="","",$C1248&amp;"|"&amp;$E1248&amp;"|"&amp;$M1248&amp;"|"&amp;TEXT($G1248,"yyyy-mm-dd")&amp;"|"&amp;LEFT($J1248,40))</f>
        <v/>
      </c>
      <c r="Q1248" s="11" t="str">
        <f aca="false">IF(P1248="","",IF(COUNTIF($P$2:$P$3000,P1248)&gt;1,"DUPLICATE","OK"))</f>
        <v/>
      </c>
      <c r="R1248" s="0" t="str">
        <f aca="false">IF($C1248="","",IFERROR(VLOOKUP(--$C1248,MM_Income!$Z$5:$AC$204,3,FALSE()),""))</f>
        <v/>
      </c>
    </row>
    <row r="1249" customFormat="false" ht="13.5" hidden="false" customHeight="false" outlineLevel="0" collapsed="false">
      <c r="N1249" s="1" t="str">
        <f aca="false">IF(C1249="","",IFERROR(VLOOKUP(C1249,Master_Mappings!$A$4:$E$85,3,FALSE()),"UNMAPPED"))</f>
        <v/>
      </c>
      <c r="P1249" s="1" t="str">
        <f aca="false">IF($C1249="","",$C1249&amp;"|"&amp;$E1249&amp;"|"&amp;$M1249&amp;"|"&amp;TEXT($G1249,"yyyy-mm-dd")&amp;"|"&amp;LEFT($J1249,40))</f>
        <v/>
      </c>
      <c r="Q1249" s="11" t="str">
        <f aca="false">IF(P1249="","",IF(COUNTIF($P$2:$P$3000,P1249)&gt;1,"DUPLICATE","OK"))</f>
        <v/>
      </c>
      <c r="R1249" s="0" t="str">
        <f aca="false">IF($C1249="","",IFERROR(VLOOKUP(--$C1249,MM_Income!$Z$5:$AC$204,3,FALSE()),""))</f>
        <v/>
      </c>
    </row>
    <row r="1250" customFormat="false" ht="13.5" hidden="false" customHeight="false" outlineLevel="0" collapsed="false">
      <c r="N1250" s="1" t="str">
        <f aca="false">IF(C1250="","",IFERROR(VLOOKUP(C1250,Master_Mappings!$A$4:$E$85,3,FALSE()),"UNMAPPED"))</f>
        <v/>
      </c>
      <c r="P1250" s="1" t="str">
        <f aca="false">IF($C1250="","",$C1250&amp;"|"&amp;$E1250&amp;"|"&amp;$M1250&amp;"|"&amp;TEXT($G1250,"yyyy-mm-dd")&amp;"|"&amp;LEFT($J1250,40))</f>
        <v/>
      </c>
      <c r="Q1250" s="11" t="str">
        <f aca="false">IF(P1250="","",IF(COUNTIF($P$2:$P$3000,P1250)&gt;1,"DUPLICATE","OK"))</f>
        <v/>
      </c>
      <c r="R1250" s="0" t="str">
        <f aca="false">IF($C1250="","",IFERROR(VLOOKUP(--$C1250,MM_Income!$Z$5:$AC$204,3,FALSE()),""))</f>
        <v/>
      </c>
    </row>
    <row r="1251" customFormat="false" ht="13.5" hidden="false" customHeight="false" outlineLevel="0" collapsed="false">
      <c r="N1251" s="1" t="str">
        <f aca="false">IF(C1251="","",IFERROR(VLOOKUP(C1251,Master_Mappings!$A$4:$E$85,3,FALSE()),"UNMAPPED"))</f>
        <v/>
      </c>
      <c r="P1251" s="1" t="str">
        <f aca="false">IF($C1251="","",$C1251&amp;"|"&amp;$E1251&amp;"|"&amp;$M1251&amp;"|"&amp;TEXT($G1251,"yyyy-mm-dd")&amp;"|"&amp;LEFT($J1251,40))</f>
        <v/>
      </c>
      <c r="Q1251" s="11" t="str">
        <f aca="false">IF(P1251="","",IF(COUNTIF($P$2:$P$3000,P1251)&gt;1,"DUPLICATE","OK"))</f>
        <v/>
      </c>
      <c r="R1251" s="0" t="str">
        <f aca="false">IF($C1251="","",IFERROR(VLOOKUP(--$C1251,MM_Income!$Z$5:$AC$204,3,FALSE()),""))</f>
        <v/>
      </c>
    </row>
    <row r="1252" customFormat="false" ht="13.5" hidden="false" customHeight="false" outlineLevel="0" collapsed="false">
      <c r="N1252" s="1" t="str">
        <f aca="false">IF(C1252="","",IFERROR(VLOOKUP(C1252,Master_Mappings!$A$4:$E$85,3,FALSE()),"UNMAPPED"))</f>
        <v/>
      </c>
      <c r="P1252" s="1" t="str">
        <f aca="false">IF($C1252="","",$C1252&amp;"|"&amp;$E1252&amp;"|"&amp;$M1252&amp;"|"&amp;TEXT($G1252,"yyyy-mm-dd")&amp;"|"&amp;LEFT($J1252,40))</f>
        <v/>
      </c>
      <c r="Q1252" s="11" t="str">
        <f aca="false">IF(P1252="","",IF(COUNTIF($P$2:$P$3000,P1252)&gt;1,"DUPLICATE","OK"))</f>
        <v/>
      </c>
      <c r="R1252" s="0" t="str">
        <f aca="false">IF($C1252="","",IFERROR(VLOOKUP(--$C1252,MM_Income!$Z$5:$AC$204,3,FALSE()),""))</f>
        <v/>
      </c>
    </row>
    <row r="1253" customFormat="false" ht="13.5" hidden="false" customHeight="false" outlineLevel="0" collapsed="false">
      <c r="N1253" s="1" t="str">
        <f aca="false">IF(C1253="","",IFERROR(VLOOKUP(C1253,Master_Mappings!$A$4:$E$85,3,FALSE()),"UNMAPPED"))</f>
        <v/>
      </c>
      <c r="P1253" s="1" t="str">
        <f aca="false">IF($C1253="","",$C1253&amp;"|"&amp;$E1253&amp;"|"&amp;$M1253&amp;"|"&amp;TEXT($G1253,"yyyy-mm-dd")&amp;"|"&amp;LEFT($J1253,40))</f>
        <v/>
      </c>
      <c r="Q1253" s="11" t="str">
        <f aca="false">IF(P1253="","",IF(COUNTIF($P$2:$P$3000,P1253)&gt;1,"DUPLICATE","OK"))</f>
        <v/>
      </c>
      <c r="R1253" s="0" t="str">
        <f aca="false">IF($C1253="","",IFERROR(VLOOKUP(--$C1253,MM_Income!$Z$5:$AC$204,3,FALSE()),""))</f>
        <v/>
      </c>
    </row>
    <row r="1254" customFormat="false" ht="13.5" hidden="false" customHeight="false" outlineLevel="0" collapsed="false">
      <c r="N1254" s="1" t="str">
        <f aca="false">IF(C1254="","",IFERROR(VLOOKUP(C1254,Master_Mappings!$A$4:$E$85,3,FALSE()),"UNMAPPED"))</f>
        <v/>
      </c>
      <c r="P1254" s="1" t="str">
        <f aca="false">IF($C1254="","",$C1254&amp;"|"&amp;$E1254&amp;"|"&amp;$M1254&amp;"|"&amp;TEXT($G1254,"yyyy-mm-dd")&amp;"|"&amp;LEFT($J1254,40))</f>
        <v/>
      </c>
      <c r="Q1254" s="11" t="str">
        <f aca="false">IF(P1254="","",IF(COUNTIF($P$2:$P$3000,P1254)&gt;1,"DUPLICATE","OK"))</f>
        <v/>
      </c>
      <c r="R1254" s="0" t="str">
        <f aca="false">IF($C1254="","",IFERROR(VLOOKUP(--$C1254,MM_Income!$Z$5:$AC$204,3,FALSE()),""))</f>
        <v/>
      </c>
    </row>
    <row r="1255" customFormat="false" ht="13.5" hidden="false" customHeight="false" outlineLevel="0" collapsed="false">
      <c r="N1255" s="1" t="str">
        <f aca="false">IF(C1255="","",IFERROR(VLOOKUP(C1255,Master_Mappings!$A$4:$E$85,3,FALSE()),"UNMAPPED"))</f>
        <v/>
      </c>
      <c r="P1255" s="1" t="str">
        <f aca="false">IF($C1255="","",$C1255&amp;"|"&amp;$E1255&amp;"|"&amp;$M1255&amp;"|"&amp;TEXT($G1255,"yyyy-mm-dd")&amp;"|"&amp;LEFT($J1255,40))</f>
        <v/>
      </c>
      <c r="Q1255" s="11" t="str">
        <f aca="false">IF(P1255="","",IF(COUNTIF($P$2:$P$3000,P1255)&gt;1,"DUPLICATE","OK"))</f>
        <v/>
      </c>
      <c r="R1255" s="0" t="str">
        <f aca="false">IF($C1255="","",IFERROR(VLOOKUP(--$C1255,MM_Income!$Z$5:$AC$204,3,FALSE()),""))</f>
        <v/>
      </c>
    </row>
    <row r="1256" customFormat="false" ht="13.5" hidden="false" customHeight="false" outlineLevel="0" collapsed="false">
      <c r="N1256" s="1" t="str">
        <f aca="false">IF(C1256="","",IFERROR(VLOOKUP(C1256,Master_Mappings!$A$4:$E$85,3,FALSE()),"UNMAPPED"))</f>
        <v/>
      </c>
      <c r="P1256" s="1" t="str">
        <f aca="false">IF($C1256="","",$C1256&amp;"|"&amp;$E1256&amp;"|"&amp;$M1256&amp;"|"&amp;TEXT($G1256,"yyyy-mm-dd")&amp;"|"&amp;LEFT($J1256,40))</f>
        <v/>
      </c>
      <c r="Q1256" s="11" t="str">
        <f aca="false">IF(P1256="","",IF(COUNTIF($P$2:$P$3000,P1256)&gt;1,"DUPLICATE","OK"))</f>
        <v/>
      </c>
      <c r="R1256" s="0" t="str">
        <f aca="false">IF($C1256="","",IFERROR(VLOOKUP(--$C1256,MM_Income!$Z$5:$AC$204,3,FALSE()),""))</f>
        <v/>
      </c>
    </row>
    <row r="1257" customFormat="false" ht="13.5" hidden="false" customHeight="false" outlineLevel="0" collapsed="false">
      <c r="N1257" s="1" t="str">
        <f aca="false">IF(C1257="","",IFERROR(VLOOKUP(C1257,Master_Mappings!$A$4:$E$85,3,FALSE()),"UNMAPPED"))</f>
        <v/>
      </c>
      <c r="P1257" s="1" t="str">
        <f aca="false">IF($C1257="","",$C1257&amp;"|"&amp;$E1257&amp;"|"&amp;$M1257&amp;"|"&amp;TEXT($G1257,"yyyy-mm-dd")&amp;"|"&amp;LEFT($J1257,40))</f>
        <v/>
      </c>
      <c r="Q1257" s="11" t="str">
        <f aca="false">IF(P1257="","",IF(COUNTIF($P$2:$P$3000,P1257)&gt;1,"DUPLICATE","OK"))</f>
        <v/>
      </c>
      <c r="R1257" s="0" t="str">
        <f aca="false">IF($C1257="","",IFERROR(VLOOKUP(--$C1257,MM_Income!$Z$5:$AC$204,3,FALSE()),""))</f>
        <v/>
      </c>
    </row>
    <row r="1258" customFormat="false" ht="13.5" hidden="false" customHeight="false" outlineLevel="0" collapsed="false">
      <c r="N1258" s="1" t="str">
        <f aca="false">IF(C1258="","",IFERROR(VLOOKUP(C1258,Master_Mappings!$A$4:$E$85,3,FALSE()),"UNMAPPED"))</f>
        <v/>
      </c>
      <c r="P1258" s="1" t="str">
        <f aca="false">IF($C1258="","",$C1258&amp;"|"&amp;$E1258&amp;"|"&amp;$M1258&amp;"|"&amp;TEXT($G1258,"yyyy-mm-dd")&amp;"|"&amp;LEFT($J1258,40))</f>
        <v/>
      </c>
      <c r="Q1258" s="11" t="str">
        <f aca="false">IF(P1258="","",IF(COUNTIF($P$2:$P$3000,P1258)&gt;1,"DUPLICATE","OK"))</f>
        <v/>
      </c>
      <c r="R1258" s="0" t="str">
        <f aca="false">IF($C1258="","",IFERROR(VLOOKUP(--$C1258,MM_Income!$Z$5:$AC$204,3,FALSE()),""))</f>
        <v/>
      </c>
    </row>
    <row r="1259" customFormat="false" ht="13.5" hidden="false" customHeight="false" outlineLevel="0" collapsed="false">
      <c r="N1259" s="1" t="str">
        <f aca="false">IF(C1259="","",IFERROR(VLOOKUP(C1259,Master_Mappings!$A$4:$E$85,3,FALSE()),"UNMAPPED"))</f>
        <v/>
      </c>
      <c r="P1259" s="1" t="str">
        <f aca="false">IF($C1259="","",$C1259&amp;"|"&amp;$E1259&amp;"|"&amp;$M1259&amp;"|"&amp;TEXT($G1259,"yyyy-mm-dd")&amp;"|"&amp;LEFT($J1259,40))</f>
        <v/>
      </c>
      <c r="Q1259" s="11" t="str">
        <f aca="false">IF(P1259="","",IF(COUNTIF($P$2:$P$3000,P1259)&gt;1,"DUPLICATE","OK"))</f>
        <v/>
      </c>
      <c r="R1259" s="0" t="str">
        <f aca="false">IF($C1259="","",IFERROR(VLOOKUP(--$C1259,MM_Income!$Z$5:$AC$204,3,FALSE()),""))</f>
        <v/>
      </c>
    </row>
    <row r="1260" customFormat="false" ht="13.5" hidden="false" customHeight="false" outlineLevel="0" collapsed="false">
      <c r="N1260" s="1" t="str">
        <f aca="false">IF(C1260="","",IFERROR(VLOOKUP(C1260,Master_Mappings!$A$4:$E$85,3,FALSE()),"UNMAPPED"))</f>
        <v/>
      </c>
      <c r="P1260" s="1" t="str">
        <f aca="false">IF($C1260="","",$C1260&amp;"|"&amp;$E1260&amp;"|"&amp;$M1260&amp;"|"&amp;TEXT($G1260,"yyyy-mm-dd")&amp;"|"&amp;LEFT($J1260,40))</f>
        <v/>
      </c>
      <c r="Q1260" s="11" t="str">
        <f aca="false">IF(P1260="","",IF(COUNTIF($P$2:$P$3000,P1260)&gt;1,"DUPLICATE","OK"))</f>
        <v/>
      </c>
      <c r="R1260" s="0" t="str">
        <f aca="false">IF($C1260="","",IFERROR(VLOOKUP(--$C1260,MM_Income!$Z$5:$AC$204,3,FALSE()),""))</f>
        <v/>
      </c>
    </row>
    <row r="1261" customFormat="false" ht="13.5" hidden="false" customHeight="false" outlineLevel="0" collapsed="false">
      <c r="N1261" s="1" t="str">
        <f aca="false">IF(C1261="","",IFERROR(VLOOKUP(C1261,Master_Mappings!$A$4:$E$85,3,FALSE()),"UNMAPPED"))</f>
        <v/>
      </c>
      <c r="P1261" s="1" t="str">
        <f aca="false">IF($C1261="","",$C1261&amp;"|"&amp;$E1261&amp;"|"&amp;$M1261&amp;"|"&amp;TEXT($G1261,"yyyy-mm-dd")&amp;"|"&amp;LEFT($J1261,40))</f>
        <v/>
      </c>
      <c r="Q1261" s="11" t="str">
        <f aca="false">IF(P1261="","",IF(COUNTIF($P$2:$P$3000,P1261)&gt;1,"DUPLICATE","OK"))</f>
        <v/>
      </c>
      <c r="R1261" s="0" t="str">
        <f aca="false">IF($C1261="","",IFERROR(VLOOKUP(--$C1261,MM_Income!$Z$5:$AC$204,3,FALSE()),""))</f>
        <v/>
      </c>
    </row>
    <row r="1262" customFormat="false" ht="13.5" hidden="false" customHeight="false" outlineLevel="0" collapsed="false">
      <c r="N1262" s="1" t="str">
        <f aca="false">IF(C1262="","",IFERROR(VLOOKUP(C1262,Master_Mappings!$A$4:$E$85,3,FALSE()),"UNMAPPED"))</f>
        <v/>
      </c>
      <c r="P1262" s="1" t="str">
        <f aca="false">IF($C1262="","",$C1262&amp;"|"&amp;$E1262&amp;"|"&amp;$M1262&amp;"|"&amp;TEXT($G1262,"yyyy-mm-dd")&amp;"|"&amp;LEFT($J1262,40))</f>
        <v/>
      </c>
      <c r="Q1262" s="11" t="str">
        <f aca="false">IF(P1262="","",IF(COUNTIF($P$2:$P$3000,P1262)&gt;1,"DUPLICATE","OK"))</f>
        <v/>
      </c>
      <c r="R1262" s="0" t="str">
        <f aca="false">IF($C1262="","",IFERROR(VLOOKUP(--$C1262,MM_Income!$Z$5:$AC$204,3,FALSE()),""))</f>
        <v/>
      </c>
    </row>
    <row r="1263" customFormat="false" ht="13.5" hidden="false" customHeight="false" outlineLevel="0" collapsed="false">
      <c r="N1263" s="1" t="str">
        <f aca="false">IF(C1263="","",IFERROR(VLOOKUP(C1263,Master_Mappings!$A$4:$E$85,3,FALSE()),"UNMAPPED"))</f>
        <v/>
      </c>
      <c r="P1263" s="1" t="str">
        <f aca="false">IF($C1263="","",$C1263&amp;"|"&amp;$E1263&amp;"|"&amp;$M1263&amp;"|"&amp;TEXT($G1263,"yyyy-mm-dd")&amp;"|"&amp;LEFT($J1263,40))</f>
        <v/>
      </c>
      <c r="Q1263" s="11" t="str">
        <f aca="false">IF(P1263="","",IF(COUNTIF($P$2:$P$3000,P1263)&gt;1,"DUPLICATE","OK"))</f>
        <v/>
      </c>
      <c r="R1263" s="0" t="str">
        <f aca="false">IF($C1263="","",IFERROR(VLOOKUP(--$C1263,MM_Income!$Z$5:$AC$204,3,FALSE()),""))</f>
        <v/>
      </c>
    </row>
    <row r="1264" customFormat="false" ht="13.5" hidden="false" customHeight="false" outlineLevel="0" collapsed="false">
      <c r="N1264" s="1" t="str">
        <f aca="false">IF(C1264="","",IFERROR(VLOOKUP(C1264,Master_Mappings!$A$4:$E$85,3,FALSE()),"UNMAPPED"))</f>
        <v/>
      </c>
      <c r="P1264" s="1" t="str">
        <f aca="false">IF($C1264="","",$C1264&amp;"|"&amp;$E1264&amp;"|"&amp;$M1264&amp;"|"&amp;TEXT($G1264,"yyyy-mm-dd")&amp;"|"&amp;LEFT($J1264,40))</f>
        <v/>
      </c>
      <c r="Q1264" s="11" t="str">
        <f aca="false">IF(P1264="","",IF(COUNTIF($P$2:$P$3000,P1264)&gt;1,"DUPLICATE","OK"))</f>
        <v/>
      </c>
      <c r="R1264" s="0" t="str">
        <f aca="false">IF($C1264="","",IFERROR(VLOOKUP(--$C1264,MM_Income!$Z$5:$AC$204,3,FALSE()),""))</f>
        <v/>
      </c>
    </row>
    <row r="1265" customFormat="false" ht="13.5" hidden="false" customHeight="false" outlineLevel="0" collapsed="false">
      <c r="N1265" s="1" t="str">
        <f aca="false">IF(C1265="","",IFERROR(VLOOKUP(C1265,Master_Mappings!$A$4:$E$85,3,FALSE()),"UNMAPPED"))</f>
        <v/>
      </c>
      <c r="P1265" s="1" t="str">
        <f aca="false">IF($C1265="","",$C1265&amp;"|"&amp;$E1265&amp;"|"&amp;$M1265&amp;"|"&amp;TEXT($G1265,"yyyy-mm-dd")&amp;"|"&amp;LEFT($J1265,40))</f>
        <v/>
      </c>
      <c r="Q1265" s="11" t="str">
        <f aca="false">IF(P1265="","",IF(COUNTIF($P$2:$P$3000,P1265)&gt;1,"DUPLICATE","OK"))</f>
        <v/>
      </c>
      <c r="R1265" s="0" t="str">
        <f aca="false">IF($C1265="","",IFERROR(VLOOKUP(--$C1265,MM_Income!$Z$5:$AC$204,3,FALSE()),""))</f>
        <v/>
      </c>
    </row>
    <row r="1266" customFormat="false" ht="13.5" hidden="false" customHeight="false" outlineLevel="0" collapsed="false">
      <c r="N1266" s="1" t="str">
        <f aca="false">IF(C1266="","",IFERROR(VLOOKUP(C1266,Master_Mappings!$A$4:$E$85,3,FALSE()),"UNMAPPED"))</f>
        <v/>
      </c>
      <c r="P1266" s="1" t="str">
        <f aca="false">IF($C1266="","",$C1266&amp;"|"&amp;$E1266&amp;"|"&amp;$M1266&amp;"|"&amp;TEXT($G1266,"yyyy-mm-dd")&amp;"|"&amp;LEFT($J1266,40))</f>
        <v/>
      </c>
      <c r="Q1266" s="11" t="str">
        <f aca="false">IF(P1266="","",IF(COUNTIF($P$2:$P$3000,P1266)&gt;1,"DUPLICATE","OK"))</f>
        <v/>
      </c>
      <c r="R1266" s="0" t="str">
        <f aca="false">IF($C1266="","",IFERROR(VLOOKUP(--$C1266,MM_Income!$Z$5:$AC$204,3,FALSE()),""))</f>
        <v/>
      </c>
    </row>
    <row r="1267" customFormat="false" ht="13.5" hidden="false" customHeight="false" outlineLevel="0" collapsed="false">
      <c r="N1267" s="1" t="str">
        <f aca="false">IF(C1267="","",IFERROR(VLOOKUP(C1267,Master_Mappings!$A$4:$E$85,3,FALSE()),"UNMAPPED"))</f>
        <v/>
      </c>
      <c r="P1267" s="1" t="str">
        <f aca="false">IF($C1267="","",$C1267&amp;"|"&amp;$E1267&amp;"|"&amp;$M1267&amp;"|"&amp;TEXT($G1267,"yyyy-mm-dd")&amp;"|"&amp;LEFT($J1267,40))</f>
        <v/>
      </c>
      <c r="Q1267" s="11" t="str">
        <f aca="false">IF(P1267="","",IF(COUNTIF($P$2:$P$3000,P1267)&gt;1,"DUPLICATE","OK"))</f>
        <v/>
      </c>
      <c r="R1267" s="0" t="str">
        <f aca="false">IF($C1267="","",IFERROR(VLOOKUP(--$C1267,MM_Income!$Z$5:$AC$204,3,FALSE()),""))</f>
        <v/>
      </c>
    </row>
    <row r="1268" customFormat="false" ht="13.5" hidden="false" customHeight="false" outlineLevel="0" collapsed="false">
      <c r="N1268" s="1" t="str">
        <f aca="false">IF(C1268="","",IFERROR(VLOOKUP(C1268,Master_Mappings!$A$4:$E$85,3,FALSE()),"UNMAPPED"))</f>
        <v/>
      </c>
      <c r="P1268" s="1" t="str">
        <f aca="false">IF($C1268="","",$C1268&amp;"|"&amp;$E1268&amp;"|"&amp;$M1268&amp;"|"&amp;TEXT($G1268,"yyyy-mm-dd")&amp;"|"&amp;LEFT($J1268,40))</f>
        <v/>
      </c>
      <c r="Q1268" s="11" t="str">
        <f aca="false">IF(P1268="","",IF(COUNTIF($P$2:$P$3000,P1268)&gt;1,"DUPLICATE","OK"))</f>
        <v/>
      </c>
      <c r="R1268" s="0" t="str">
        <f aca="false">IF($C1268="","",IFERROR(VLOOKUP(--$C1268,MM_Income!$Z$5:$AC$204,3,FALSE()),""))</f>
        <v/>
      </c>
    </row>
    <row r="1269" customFormat="false" ht="13.5" hidden="false" customHeight="false" outlineLevel="0" collapsed="false">
      <c r="N1269" s="1" t="str">
        <f aca="false">IF(C1269="","",IFERROR(VLOOKUP(C1269,Master_Mappings!$A$4:$E$85,3,FALSE()),"UNMAPPED"))</f>
        <v/>
      </c>
      <c r="P1269" s="1" t="str">
        <f aca="false">IF($C1269="","",$C1269&amp;"|"&amp;$E1269&amp;"|"&amp;$M1269&amp;"|"&amp;TEXT($G1269,"yyyy-mm-dd")&amp;"|"&amp;LEFT($J1269,40))</f>
        <v/>
      </c>
      <c r="Q1269" s="11" t="str">
        <f aca="false">IF(P1269="","",IF(COUNTIF($P$2:$P$3000,P1269)&gt;1,"DUPLICATE","OK"))</f>
        <v/>
      </c>
      <c r="R1269" s="0" t="str">
        <f aca="false">IF($C1269="","",IFERROR(VLOOKUP(--$C1269,MM_Income!$Z$5:$AC$204,3,FALSE()),""))</f>
        <v/>
      </c>
    </row>
    <row r="1270" customFormat="false" ht="13.5" hidden="false" customHeight="false" outlineLevel="0" collapsed="false">
      <c r="N1270" s="1" t="str">
        <f aca="false">IF(C1270="","",IFERROR(VLOOKUP(C1270,Master_Mappings!$A$4:$E$85,3,FALSE()),"UNMAPPED"))</f>
        <v/>
      </c>
      <c r="P1270" s="1" t="str">
        <f aca="false">IF($C1270="","",$C1270&amp;"|"&amp;$E1270&amp;"|"&amp;$M1270&amp;"|"&amp;TEXT($G1270,"yyyy-mm-dd")&amp;"|"&amp;LEFT($J1270,40))</f>
        <v/>
      </c>
      <c r="Q1270" s="11" t="str">
        <f aca="false">IF(P1270="","",IF(COUNTIF($P$2:$P$3000,P1270)&gt;1,"DUPLICATE","OK"))</f>
        <v/>
      </c>
      <c r="R1270" s="0" t="str">
        <f aca="false">IF($C1270="","",IFERROR(VLOOKUP(--$C1270,MM_Income!$Z$5:$AC$204,3,FALSE()),""))</f>
        <v/>
      </c>
    </row>
    <row r="1271" customFormat="false" ht="13.5" hidden="false" customHeight="false" outlineLevel="0" collapsed="false">
      <c r="N1271" s="1" t="str">
        <f aca="false">IF(C1271="","",IFERROR(VLOOKUP(C1271,Master_Mappings!$A$4:$E$85,3,FALSE()),"UNMAPPED"))</f>
        <v/>
      </c>
      <c r="P1271" s="1" t="str">
        <f aca="false">IF($C1271="","",$C1271&amp;"|"&amp;$E1271&amp;"|"&amp;$M1271&amp;"|"&amp;TEXT($G1271,"yyyy-mm-dd")&amp;"|"&amp;LEFT($J1271,40))</f>
        <v/>
      </c>
      <c r="Q1271" s="11" t="str">
        <f aca="false">IF(P1271="","",IF(COUNTIF($P$2:$P$3000,P1271)&gt;1,"DUPLICATE","OK"))</f>
        <v/>
      </c>
      <c r="R1271" s="0" t="str">
        <f aca="false">IF($C1271="","",IFERROR(VLOOKUP(--$C1271,MM_Income!$Z$5:$AC$204,3,FALSE()),""))</f>
        <v/>
      </c>
    </row>
    <row r="1272" customFormat="false" ht="13.5" hidden="false" customHeight="false" outlineLevel="0" collapsed="false">
      <c r="N1272" s="1" t="str">
        <f aca="false">IF(C1272="","",IFERROR(VLOOKUP(C1272,Master_Mappings!$A$4:$E$85,3,FALSE()),"UNMAPPED"))</f>
        <v/>
      </c>
      <c r="P1272" s="1" t="str">
        <f aca="false">IF($C1272="","",$C1272&amp;"|"&amp;$E1272&amp;"|"&amp;$M1272&amp;"|"&amp;TEXT($G1272,"yyyy-mm-dd")&amp;"|"&amp;LEFT($J1272,40))</f>
        <v/>
      </c>
      <c r="Q1272" s="11" t="str">
        <f aca="false">IF(P1272="","",IF(COUNTIF($P$2:$P$3000,P1272)&gt;1,"DUPLICATE","OK"))</f>
        <v/>
      </c>
      <c r="R1272" s="0" t="str">
        <f aca="false">IF($C1272="","",IFERROR(VLOOKUP(--$C1272,MM_Income!$Z$5:$AC$204,3,FALSE()),""))</f>
        <v/>
      </c>
    </row>
    <row r="1273" customFormat="false" ht="13.5" hidden="false" customHeight="false" outlineLevel="0" collapsed="false">
      <c r="N1273" s="1" t="str">
        <f aca="false">IF(C1273="","",IFERROR(VLOOKUP(C1273,Master_Mappings!$A$4:$E$85,3,FALSE()),"UNMAPPED"))</f>
        <v/>
      </c>
      <c r="P1273" s="1" t="str">
        <f aca="false">IF($C1273="","",$C1273&amp;"|"&amp;$E1273&amp;"|"&amp;$M1273&amp;"|"&amp;TEXT($G1273,"yyyy-mm-dd")&amp;"|"&amp;LEFT($J1273,40))</f>
        <v/>
      </c>
      <c r="Q1273" s="11" t="str">
        <f aca="false">IF(P1273="","",IF(COUNTIF($P$2:$P$3000,P1273)&gt;1,"DUPLICATE","OK"))</f>
        <v/>
      </c>
      <c r="R1273" s="0" t="str">
        <f aca="false">IF($C1273="","",IFERROR(VLOOKUP(--$C1273,MM_Income!$Z$5:$AC$204,3,FALSE()),""))</f>
        <v/>
      </c>
    </row>
    <row r="1274" customFormat="false" ht="13.5" hidden="false" customHeight="false" outlineLevel="0" collapsed="false">
      <c r="N1274" s="1" t="str">
        <f aca="false">IF(C1274="","",IFERROR(VLOOKUP(C1274,Master_Mappings!$A$4:$E$85,3,FALSE()),"UNMAPPED"))</f>
        <v/>
      </c>
      <c r="P1274" s="1" t="str">
        <f aca="false">IF($C1274="","",$C1274&amp;"|"&amp;$E1274&amp;"|"&amp;$M1274&amp;"|"&amp;TEXT($G1274,"yyyy-mm-dd")&amp;"|"&amp;LEFT($J1274,40))</f>
        <v/>
      </c>
      <c r="Q1274" s="11" t="str">
        <f aca="false">IF(P1274="","",IF(COUNTIF($P$2:$P$3000,P1274)&gt;1,"DUPLICATE","OK"))</f>
        <v/>
      </c>
      <c r="R1274" s="0" t="str">
        <f aca="false">IF($C1274="","",IFERROR(VLOOKUP(--$C1274,MM_Income!$Z$5:$AC$204,3,FALSE()),""))</f>
        <v/>
      </c>
    </row>
    <row r="1275" customFormat="false" ht="13.5" hidden="false" customHeight="false" outlineLevel="0" collapsed="false">
      <c r="N1275" s="1" t="str">
        <f aca="false">IF(C1275="","",IFERROR(VLOOKUP(C1275,Master_Mappings!$A$4:$E$85,3,FALSE()),"UNMAPPED"))</f>
        <v/>
      </c>
      <c r="P1275" s="1" t="str">
        <f aca="false">IF($C1275="","",$C1275&amp;"|"&amp;$E1275&amp;"|"&amp;$M1275&amp;"|"&amp;TEXT($G1275,"yyyy-mm-dd")&amp;"|"&amp;LEFT($J1275,40))</f>
        <v/>
      </c>
      <c r="Q1275" s="11" t="str">
        <f aca="false">IF(P1275="","",IF(COUNTIF($P$2:$P$3000,P1275)&gt;1,"DUPLICATE","OK"))</f>
        <v/>
      </c>
      <c r="R1275" s="0" t="str">
        <f aca="false">IF($C1275="","",IFERROR(VLOOKUP(--$C1275,MM_Income!$Z$5:$AC$204,3,FALSE()),""))</f>
        <v/>
      </c>
    </row>
    <row r="1276" customFormat="false" ht="13.5" hidden="false" customHeight="false" outlineLevel="0" collapsed="false">
      <c r="N1276" s="1" t="str">
        <f aca="false">IF(C1276="","",IFERROR(VLOOKUP(C1276,Master_Mappings!$A$4:$E$85,3,FALSE()),"UNMAPPED"))</f>
        <v/>
      </c>
      <c r="P1276" s="1" t="str">
        <f aca="false">IF($C1276="","",$C1276&amp;"|"&amp;$E1276&amp;"|"&amp;$M1276&amp;"|"&amp;TEXT($G1276,"yyyy-mm-dd")&amp;"|"&amp;LEFT($J1276,40))</f>
        <v/>
      </c>
      <c r="Q1276" s="11" t="str">
        <f aca="false">IF(P1276="","",IF(COUNTIF($P$2:$P$3000,P1276)&gt;1,"DUPLICATE","OK"))</f>
        <v/>
      </c>
      <c r="R1276" s="0" t="str">
        <f aca="false">IF($C1276="","",IFERROR(VLOOKUP(--$C1276,MM_Income!$Z$5:$AC$204,3,FALSE()),""))</f>
        <v/>
      </c>
    </row>
    <row r="1277" customFormat="false" ht="13.5" hidden="false" customHeight="false" outlineLevel="0" collapsed="false">
      <c r="N1277" s="1" t="str">
        <f aca="false">IF(C1277="","",IFERROR(VLOOKUP(C1277,Master_Mappings!$A$4:$E$85,3,FALSE()),"UNMAPPED"))</f>
        <v/>
      </c>
      <c r="P1277" s="1" t="str">
        <f aca="false">IF($C1277="","",$C1277&amp;"|"&amp;$E1277&amp;"|"&amp;$M1277&amp;"|"&amp;TEXT($G1277,"yyyy-mm-dd")&amp;"|"&amp;LEFT($J1277,40))</f>
        <v/>
      </c>
      <c r="Q1277" s="11" t="str">
        <f aca="false">IF(P1277="","",IF(COUNTIF($P$2:$P$3000,P1277)&gt;1,"DUPLICATE","OK"))</f>
        <v/>
      </c>
      <c r="R1277" s="0" t="str">
        <f aca="false">IF($C1277="","",IFERROR(VLOOKUP(--$C1277,MM_Income!$Z$5:$AC$204,3,FALSE()),""))</f>
        <v/>
      </c>
    </row>
    <row r="1278" customFormat="false" ht="13.5" hidden="false" customHeight="false" outlineLevel="0" collapsed="false">
      <c r="N1278" s="1" t="str">
        <f aca="false">IF(C1278="","",IFERROR(VLOOKUP(C1278,Master_Mappings!$A$4:$E$85,3,FALSE()),"UNMAPPED"))</f>
        <v/>
      </c>
      <c r="P1278" s="1" t="str">
        <f aca="false">IF($C1278="","",$C1278&amp;"|"&amp;$E1278&amp;"|"&amp;$M1278&amp;"|"&amp;TEXT($G1278,"yyyy-mm-dd")&amp;"|"&amp;LEFT($J1278,40))</f>
        <v/>
      </c>
      <c r="Q1278" s="11" t="str">
        <f aca="false">IF(P1278="","",IF(COUNTIF($P$2:$P$3000,P1278)&gt;1,"DUPLICATE","OK"))</f>
        <v/>
      </c>
      <c r="R1278" s="0" t="str">
        <f aca="false">IF($C1278="","",IFERROR(VLOOKUP(--$C1278,MM_Income!$Z$5:$AC$204,3,FALSE()),""))</f>
        <v/>
      </c>
    </row>
    <row r="1279" customFormat="false" ht="13.5" hidden="false" customHeight="false" outlineLevel="0" collapsed="false">
      <c r="N1279" s="1" t="str">
        <f aca="false">IF(C1279="","",IFERROR(VLOOKUP(C1279,Master_Mappings!$A$4:$E$85,3,FALSE()),"UNMAPPED"))</f>
        <v/>
      </c>
      <c r="P1279" s="1" t="str">
        <f aca="false">IF($C1279="","",$C1279&amp;"|"&amp;$E1279&amp;"|"&amp;$M1279&amp;"|"&amp;TEXT($G1279,"yyyy-mm-dd")&amp;"|"&amp;LEFT($J1279,40))</f>
        <v/>
      </c>
      <c r="Q1279" s="11" t="str">
        <f aca="false">IF(P1279="","",IF(COUNTIF($P$2:$P$3000,P1279)&gt;1,"DUPLICATE","OK"))</f>
        <v/>
      </c>
      <c r="R1279" s="0" t="str">
        <f aca="false">IF($C1279="","",IFERROR(VLOOKUP(--$C1279,MM_Income!$Z$5:$AC$204,3,FALSE()),""))</f>
        <v/>
      </c>
    </row>
    <row r="1280" customFormat="false" ht="13.5" hidden="false" customHeight="false" outlineLevel="0" collapsed="false">
      <c r="N1280" s="1" t="str">
        <f aca="false">IF(C1280="","",IFERROR(VLOOKUP(C1280,Master_Mappings!$A$4:$E$85,3,FALSE()),"UNMAPPED"))</f>
        <v/>
      </c>
      <c r="P1280" s="1" t="str">
        <f aca="false">IF($C1280="","",$C1280&amp;"|"&amp;$E1280&amp;"|"&amp;$M1280&amp;"|"&amp;TEXT($G1280,"yyyy-mm-dd")&amp;"|"&amp;LEFT($J1280,40))</f>
        <v/>
      </c>
      <c r="Q1280" s="11" t="str">
        <f aca="false">IF(P1280="","",IF(COUNTIF($P$2:$P$3000,P1280)&gt;1,"DUPLICATE","OK"))</f>
        <v/>
      </c>
      <c r="R1280" s="0" t="str">
        <f aca="false">IF($C1280="","",IFERROR(VLOOKUP(--$C1280,MM_Income!$Z$5:$AC$204,3,FALSE()),""))</f>
        <v/>
      </c>
    </row>
    <row r="1281" customFormat="false" ht="13.5" hidden="false" customHeight="false" outlineLevel="0" collapsed="false">
      <c r="N1281" s="1" t="str">
        <f aca="false">IF(C1281="","",IFERROR(VLOOKUP(C1281,Master_Mappings!$A$4:$E$85,3,FALSE()),"UNMAPPED"))</f>
        <v/>
      </c>
      <c r="P1281" s="1" t="str">
        <f aca="false">IF($C1281="","",$C1281&amp;"|"&amp;$E1281&amp;"|"&amp;$M1281&amp;"|"&amp;TEXT($G1281,"yyyy-mm-dd")&amp;"|"&amp;LEFT($J1281,40))</f>
        <v/>
      </c>
      <c r="Q1281" s="11" t="str">
        <f aca="false">IF(P1281="","",IF(COUNTIF($P$2:$P$3000,P1281)&gt;1,"DUPLICATE","OK"))</f>
        <v/>
      </c>
      <c r="R1281" s="0" t="str">
        <f aca="false">IF($C1281="","",IFERROR(VLOOKUP(--$C1281,MM_Income!$Z$5:$AC$204,3,FALSE()),""))</f>
        <v/>
      </c>
    </row>
    <row r="1282" customFormat="false" ht="13.5" hidden="false" customHeight="false" outlineLevel="0" collapsed="false">
      <c r="N1282" s="1" t="str">
        <f aca="false">IF(C1282="","",IFERROR(VLOOKUP(C1282,Master_Mappings!$A$4:$E$85,3,FALSE()),"UNMAPPED"))</f>
        <v/>
      </c>
      <c r="P1282" s="1" t="str">
        <f aca="false">IF($C1282="","",$C1282&amp;"|"&amp;$E1282&amp;"|"&amp;$M1282&amp;"|"&amp;TEXT($G1282,"yyyy-mm-dd")&amp;"|"&amp;LEFT($J1282,40))</f>
        <v/>
      </c>
      <c r="Q1282" s="11" t="str">
        <f aca="false">IF(P1282="","",IF(COUNTIF($P$2:$P$3000,P1282)&gt;1,"DUPLICATE","OK"))</f>
        <v/>
      </c>
      <c r="R1282" s="0" t="str">
        <f aca="false">IF($C1282="","",IFERROR(VLOOKUP(--$C1282,MM_Income!$Z$5:$AC$204,3,FALSE()),""))</f>
        <v/>
      </c>
    </row>
    <row r="1283" customFormat="false" ht="13.5" hidden="false" customHeight="false" outlineLevel="0" collapsed="false">
      <c r="N1283" s="1" t="str">
        <f aca="false">IF(C1283="","",IFERROR(VLOOKUP(C1283,Master_Mappings!$A$4:$E$85,3,FALSE()),"UNMAPPED"))</f>
        <v/>
      </c>
      <c r="P1283" s="1" t="str">
        <f aca="false">IF($C1283="","",$C1283&amp;"|"&amp;$E1283&amp;"|"&amp;$M1283&amp;"|"&amp;TEXT($G1283,"yyyy-mm-dd")&amp;"|"&amp;LEFT($J1283,40))</f>
        <v/>
      </c>
      <c r="Q1283" s="11" t="str">
        <f aca="false">IF(P1283="","",IF(COUNTIF($P$2:$P$3000,P1283)&gt;1,"DUPLICATE","OK"))</f>
        <v/>
      </c>
      <c r="R1283" s="0" t="str">
        <f aca="false">IF($C1283="","",IFERROR(VLOOKUP(--$C1283,MM_Income!$Z$5:$AC$204,3,FALSE()),""))</f>
        <v/>
      </c>
    </row>
    <row r="1284" customFormat="false" ht="13.5" hidden="false" customHeight="false" outlineLevel="0" collapsed="false">
      <c r="N1284" s="1" t="str">
        <f aca="false">IF(C1284="","",IFERROR(VLOOKUP(C1284,Master_Mappings!$A$4:$E$85,3,FALSE()),"UNMAPPED"))</f>
        <v/>
      </c>
      <c r="P1284" s="1" t="str">
        <f aca="false">IF($C1284="","",$C1284&amp;"|"&amp;$E1284&amp;"|"&amp;$M1284&amp;"|"&amp;TEXT($G1284,"yyyy-mm-dd")&amp;"|"&amp;LEFT($J1284,40))</f>
        <v/>
      </c>
      <c r="Q1284" s="11" t="str">
        <f aca="false">IF(P1284="","",IF(COUNTIF($P$2:$P$3000,P1284)&gt;1,"DUPLICATE","OK"))</f>
        <v/>
      </c>
      <c r="R1284" s="0" t="str">
        <f aca="false">IF($C1284="","",IFERROR(VLOOKUP(--$C1284,MM_Income!$Z$5:$AC$204,3,FALSE()),""))</f>
        <v/>
      </c>
    </row>
    <row r="1285" customFormat="false" ht="13.5" hidden="false" customHeight="false" outlineLevel="0" collapsed="false">
      <c r="N1285" s="1" t="str">
        <f aca="false">IF(C1285="","",IFERROR(VLOOKUP(C1285,Master_Mappings!$A$4:$E$85,3,FALSE()),"UNMAPPED"))</f>
        <v/>
      </c>
      <c r="P1285" s="1" t="str">
        <f aca="false">IF($C1285="","",$C1285&amp;"|"&amp;$E1285&amp;"|"&amp;$M1285&amp;"|"&amp;TEXT($G1285,"yyyy-mm-dd")&amp;"|"&amp;LEFT($J1285,40))</f>
        <v/>
      </c>
      <c r="Q1285" s="11" t="str">
        <f aca="false">IF(P1285="","",IF(COUNTIF($P$2:$P$3000,P1285)&gt;1,"DUPLICATE","OK"))</f>
        <v/>
      </c>
      <c r="R1285" s="0" t="str">
        <f aca="false">IF($C1285="","",IFERROR(VLOOKUP(--$C1285,MM_Income!$Z$5:$AC$204,3,FALSE()),""))</f>
        <v/>
      </c>
    </row>
    <row r="1286" customFormat="false" ht="13.5" hidden="false" customHeight="false" outlineLevel="0" collapsed="false">
      <c r="N1286" s="1" t="str">
        <f aca="false">IF(C1286="","",IFERROR(VLOOKUP(C1286,Master_Mappings!$A$4:$E$85,3,FALSE()),"UNMAPPED"))</f>
        <v/>
      </c>
      <c r="P1286" s="1" t="str">
        <f aca="false">IF($C1286="","",$C1286&amp;"|"&amp;$E1286&amp;"|"&amp;$M1286&amp;"|"&amp;TEXT($G1286,"yyyy-mm-dd")&amp;"|"&amp;LEFT($J1286,40))</f>
        <v/>
      </c>
      <c r="Q1286" s="11" t="str">
        <f aca="false">IF(P1286="","",IF(COUNTIF($P$2:$P$3000,P1286)&gt;1,"DUPLICATE","OK"))</f>
        <v/>
      </c>
      <c r="R1286" s="0" t="str">
        <f aca="false">IF($C1286="","",IFERROR(VLOOKUP(--$C1286,MM_Income!$Z$5:$AC$204,3,FALSE()),""))</f>
        <v/>
      </c>
    </row>
    <row r="1287" customFormat="false" ht="13.5" hidden="false" customHeight="false" outlineLevel="0" collapsed="false">
      <c r="N1287" s="1" t="str">
        <f aca="false">IF(C1287="","",IFERROR(VLOOKUP(C1287,Master_Mappings!$A$4:$E$85,3,FALSE()),"UNMAPPED"))</f>
        <v/>
      </c>
      <c r="P1287" s="1" t="str">
        <f aca="false">IF($C1287="","",$C1287&amp;"|"&amp;$E1287&amp;"|"&amp;$M1287&amp;"|"&amp;TEXT($G1287,"yyyy-mm-dd")&amp;"|"&amp;LEFT($J1287,40))</f>
        <v/>
      </c>
      <c r="Q1287" s="11" t="str">
        <f aca="false">IF(P1287="","",IF(COUNTIF($P$2:$P$3000,P1287)&gt;1,"DUPLICATE","OK"))</f>
        <v/>
      </c>
      <c r="R1287" s="0" t="str">
        <f aca="false">IF($C1287="","",IFERROR(VLOOKUP(--$C1287,MM_Income!$Z$5:$AC$204,3,FALSE()),""))</f>
        <v/>
      </c>
    </row>
    <row r="1288" customFormat="false" ht="13.5" hidden="false" customHeight="false" outlineLevel="0" collapsed="false">
      <c r="N1288" s="1" t="str">
        <f aca="false">IF(C1288="","",IFERROR(VLOOKUP(C1288,Master_Mappings!$A$4:$E$85,3,FALSE()),"UNMAPPED"))</f>
        <v/>
      </c>
      <c r="P1288" s="1" t="str">
        <f aca="false">IF($C1288="","",$C1288&amp;"|"&amp;$E1288&amp;"|"&amp;$M1288&amp;"|"&amp;TEXT($G1288,"yyyy-mm-dd")&amp;"|"&amp;LEFT($J1288,40))</f>
        <v/>
      </c>
      <c r="Q1288" s="11" t="str">
        <f aca="false">IF(P1288="","",IF(COUNTIF($P$2:$P$3000,P1288)&gt;1,"DUPLICATE","OK"))</f>
        <v/>
      </c>
      <c r="R1288" s="0" t="str">
        <f aca="false">IF($C1288="","",IFERROR(VLOOKUP(--$C1288,MM_Income!$Z$5:$AC$204,3,FALSE()),""))</f>
        <v/>
      </c>
    </row>
    <row r="1289" customFormat="false" ht="13.5" hidden="false" customHeight="false" outlineLevel="0" collapsed="false">
      <c r="N1289" s="1" t="str">
        <f aca="false">IF(C1289="","",IFERROR(VLOOKUP(C1289,Master_Mappings!$A$4:$E$85,3,FALSE()),"UNMAPPED"))</f>
        <v/>
      </c>
      <c r="P1289" s="1" t="str">
        <f aca="false">IF($C1289="","",$C1289&amp;"|"&amp;$E1289&amp;"|"&amp;$M1289&amp;"|"&amp;TEXT($G1289,"yyyy-mm-dd")&amp;"|"&amp;LEFT($J1289,40))</f>
        <v/>
      </c>
      <c r="Q1289" s="11" t="str">
        <f aca="false">IF(P1289="","",IF(COUNTIF($P$2:$P$3000,P1289)&gt;1,"DUPLICATE","OK"))</f>
        <v/>
      </c>
      <c r="R1289" s="0" t="str">
        <f aca="false">IF($C1289="","",IFERROR(VLOOKUP(--$C1289,MM_Income!$Z$5:$AC$204,3,FALSE()),""))</f>
        <v/>
      </c>
    </row>
    <row r="1290" customFormat="false" ht="13.5" hidden="false" customHeight="false" outlineLevel="0" collapsed="false">
      <c r="N1290" s="1" t="str">
        <f aca="false">IF(C1290="","",IFERROR(VLOOKUP(C1290,Master_Mappings!$A$4:$E$85,3,FALSE()),"UNMAPPED"))</f>
        <v/>
      </c>
      <c r="P1290" s="1" t="str">
        <f aca="false">IF($C1290="","",$C1290&amp;"|"&amp;$E1290&amp;"|"&amp;$M1290&amp;"|"&amp;TEXT($G1290,"yyyy-mm-dd")&amp;"|"&amp;LEFT($J1290,40))</f>
        <v/>
      </c>
      <c r="Q1290" s="11" t="str">
        <f aca="false">IF(P1290="","",IF(COUNTIF($P$2:$P$3000,P1290)&gt;1,"DUPLICATE","OK"))</f>
        <v/>
      </c>
      <c r="R1290" s="0" t="str">
        <f aca="false">IF($C1290="","",IFERROR(VLOOKUP(--$C1290,MM_Income!$Z$5:$AC$204,3,FALSE()),""))</f>
        <v/>
      </c>
    </row>
    <row r="1291" customFormat="false" ht="13.5" hidden="false" customHeight="false" outlineLevel="0" collapsed="false">
      <c r="N1291" s="1" t="str">
        <f aca="false">IF(C1291="","",IFERROR(VLOOKUP(C1291,Master_Mappings!$A$4:$E$85,3,FALSE()),"UNMAPPED"))</f>
        <v/>
      </c>
      <c r="P1291" s="1" t="str">
        <f aca="false">IF($C1291="","",$C1291&amp;"|"&amp;$E1291&amp;"|"&amp;$M1291&amp;"|"&amp;TEXT($G1291,"yyyy-mm-dd")&amp;"|"&amp;LEFT($J1291,40))</f>
        <v/>
      </c>
      <c r="Q1291" s="11" t="str">
        <f aca="false">IF(P1291="","",IF(COUNTIF($P$2:$P$3000,P1291)&gt;1,"DUPLICATE","OK"))</f>
        <v/>
      </c>
      <c r="R1291" s="0" t="str">
        <f aca="false">IF($C1291="","",IFERROR(VLOOKUP(--$C1291,MM_Income!$Z$5:$AC$204,3,FALSE()),""))</f>
        <v/>
      </c>
    </row>
    <row r="1292" customFormat="false" ht="13.5" hidden="false" customHeight="false" outlineLevel="0" collapsed="false">
      <c r="N1292" s="1" t="str">
        <f aca="false">IF(C1292="","",IFERROR(VLOOKUP(C1292,Master_Mappings!$A$4:$E$85,3,FALSE()),"UNMAPPED"))</f>
        <v/>
      </c>
      <c r="P1292" s="1" t="str">
        <f aca="false">IF($C1292="","",$C1292&amp;"|"&amp;$E1292&amp;"|"&amp;$M1292&amp;"|"&amp;TEXT($G1292,"yyyy-mm-dd")&amp;"|"&amp;LEFT($J1292,40))</f>
        <v/>
      </c>
      <c r="Q1292" s="11" t="str">
        <f aca="false">IF(P1292="","",IF(COUNTIF($P$2:$P$3000,P1292)&gt;1,"DUPLICATE","OK"))</f>
        <v/>
      </c>
      <c r="R1292" s="0" t="str">
        <f aca="false">IF($C1292="","",IFERROR(VLOOKUP(--$C1292,MM_Income!$Z$5:$AC$204,3,FALSE()),""))</f>
        <v/>
      </c>
    </row>
    <row r="1293" customFormat="false" ht="13.5" hidden="false" customHeight="false" outlineLevel="0" collapsed="false">
      <c r="N1293" s="1" t="str">
        <f aca="false">IF(C1293="","",IFERROR(VLOOKUP(C1293,Master_Mappings!$A$4:$E$85,3,FALSE()),"UNMAPPED"))</f>
        <v/>
      </c>
      <c r="P1293" s="1" t="str">
        <f aca="false">IF($C1293="","",$C1293&amp;"|"&amp;$E1293&amp;"|"&amp;$M1293&amp;"|"&amp;TEXT($G1293,"yyyy-mm-dd")&amp;"|"&amp;LEFT($J1293,40))</f>
        <v/>
      </c>
      <c r="Q1293" s="11" t="str">
        <f aca="false">IF(P1293="","",IF(COUNTIF($P$2:$P$3000,P1293)&gt;1,"DUPLICATE","OK"))</f>
        <v/>
      </c>
      <c r="R1293" s="0" t="str">
        <f aca="false">IF($C1293="","",IFERROR(VLOOKUP(--$C1293,MM_Income!$Z$5:$AC$204,3,FALSE()),""))</f>
        <v/>
      </c>
    </row>
    <row r="1294" customFormat="false" ht="13.5" hidden="false" customHeight="false" outlineLevel="0" collapsed="false">
      <c r="N1294" s="1" t="str">
        <f aca="false">IF(C1294="","",IFERROR(VLOOKUP(C1294,Master_Mappings!$A$4:$E$85,3,FALSE()),"UNMAPPED"))</f>
        <v/>
      </c>
      <c r="P1294" s="1" t="str">
        <f aca="false">IF($C1294="","",$C1294&amp;"|"&amp;$E1294&amp;"|"&amp;$M1294&amp;"|"&amp;TEXT($G1294,"yyyy-mm-dd")&amp;"|"&amp;LEFT($J1294,40))</f>
        <v/>
      </c>
      <c r="Q1294" s="11" t="str">
        <f aca="false">IF(P1294="","",IF(COUNTIF($P$2:$P$3000,P1294)&gt;1,"DUPLICATE","OK"))</f>
        <v/>
      </c>
      <c r="R1294" s="0" t="str">
        <f aca="false">IF($C1294="","",IFERROR(VLOOKUP(--$C1294,MM_Income!$Z$5:$AC$204,3,FALSE()),""))</f>
        <v/>
      </c>
    </row>
    <row r="1295" customFormat="false" ht="13.5" hidden="false" customHeight="false" outlineLevel="0" collapsed="false">
      <c r="N1295" s="1" t="str">
        <f aca="false">IF(C1295="","",IFERROR(VLOOKUP(C1295,Master_Mappings!$A$4:$E$85,3,FALSE()),"UNMAPPED"))</f>
        <v/>
      </c>
      <c r="P1295" s="1" t="str">
        <f aca="false">IF($C1295="","",$C1295&amp;"|"&amp;$E1295&amp;"|"&amp;$M1295&amp;"|"&amp;TEXT($G1295,"yyyy-mm-dd")&amp;"|"&amp;LEFT($J1295,40))</f>
        <v/>
      </c>
      <c r="Q1295" s="11" t="str">
        <f aca="false">IF(P1295="","",IF(COUNTIF($P$2:$P$3000,P1295)&gt;1,"DUPLICATE","OK"))</f>
        <v/>
      </c>
      <c r="R1295" s="0" t="str">
        <f aca="false">IF($C1295="","",IFERROR(VLOOKUP(--$C1295,MM_Income!$Z$5:$AC$204,3,FALSE()),""))</f>
        <v/>
      </c>
    </row>
    <row r="1296" customFormat="false" ht="13.5" hidden="false" customHeight="false" outlineLevel="0" collapsed="false">
      <c r="N1296" s="1" t="str">
        <f aca="false">IF(C1296="","",IFERROR(VLOOKUP(C1296,Master_Mappings!$A$4:$E$85,3,FALSE()),"UNMAPPED"))</f>
        <v/>
      </c>
      <c r="P1296" s="1" t="str">
        <f aca="false">IF($C1296="","",$C1296&amp;"|"&amp;$E1296&amp;"|"&amp;$M1296&amp;"|"&amp;TEXT($G1296,"yyyy-mm-dd")&amp;"|"&amp;LEFT($J1296,40))</f>
        <v/>
      </c>
      <c r="Q1296" s="11" t="str">
        <f aca="false">IF(P1296="","",IF(COUNTIF($P$2:$P$3000,P1296)&gt;1,"DUPLICATE","OK"))</f>
        <v/>
      </c>
      <c r="R1296" s="0" t="str">
        <f aca="false">IF($C1296="","",IFERROR(VLOOKUP(--$C1296,MM_Income!$Z$5:$AC$204,3,FALSE()),""))</f>
        <v/>
      </c>
    </row>
    <row r="1297" customFormat="false" ht="13.5" hidden="false" customHeight="false" outlineLevel="0" collapsed="false">
      <c r="N1297" s="1" t="str">
        <f aca="false">IF(C1297="","",IFERROR(VLOOKUP(C1297,Master_Mappings!$A$4:$E$85,3,FALSE()),"UNMAPPED"))</f>
        <v/>
      </c>
      <c r="P1297" s="1" t="str">
        <f aca="false">IF($C1297="","",$C1297&amp;"|"&amp;$E1297&amp;"|"&amp;$M1297&amp;"|"&amp;TEXT($G1297,"yyyy-mm-dd")&amp;"|"&amp;LEFT($J1297,40))</f>
        <v/>
      </c>
      <c r="Q1297" s="11" t="str">
        <f aca="false">IF(P1297="","",IF(COUNTIF($P$2:$P$3000,P1297)&gt;1,"DUPLICATE","OK"))</f>
        <v/>
      </c>
      <c r="R1297" s="0" t="str">
        <f aca="false">IF($C1297="","",IFERROR(VLOOKUP(--$C1297,MM_Income!$Z$5:$AC$204,3,FALSE()),""))</f>
        <v/>
      </c>
    </row>
    <row r="1298" customFormat="false" ht="13.5" hidden="false" customHeight="false" outlineLevel="0" collapsed="false">
      <c r="N1298" s="1" t="str">
        <f aca="false">IF(C1298="","",IFERROR(VLOOKUP(C1298,Master_Mappings!$A$4:$E$85,3,FALSE()),"UNMAPPED"))</f>
        <v/>
      </c>
      <c r="P1298" s="1" t="str">
        <f aca="false">IF($C1298="","",$C1298&amp;"|"&amp;$E1298&amp;"|"&amp;$M1298&amp;"|"&amp;TEXT($G1298,"yyyy-mm-dd")&amp;"|"&amp;LEFT($J1298,40))</f>
        <v/>
      </c>
      <c r="Q1298" s="11" t="str">
        <f aca="false">IF(P1298="","",IF(COUNTIF($P$2:$P$3000,P1298)&gt;1,"DUPLICATE","OK"))</f>
        <v/>
      </c>
      <c r="R1298" s="0" t="str">
        <f aca="false">IF($C1298="","",IFERROR(VLOOKUP(--$C1298,MM_Income!$Z$5:$AC$204,3,FALSE()),""))</f>
        <v/>
      </c>
    </row>
    <row r="1299" customFormat="false" ht="13.5" hidden="false" customHeight="false" outlineLevel="0" collapsed="false">
      <c r="N1299" s="1" t="str">
        <f aca="false">IF(C1299="","",IFERROR(VLOOKUP(C1299,Master_Mappings!$A$4:$E$85,3,FALSE()),"UNMAPPED"))</f>
        <v/>
      </c>
      <c r="P1299" s="1" t="str">
        <f aca="false">IF($C1299="","",$C1299&amp;"|"&amp;$E1299&amp;"|"&amp;$M1299&amp;"|"&amp;TEXT($G1299,"yyyy-mm-dd")&amp;"|"&amp;LEFT($J1299,40))</f>
        <v/>
      </c>
      <c r="Q1299" s="11" t="str">
        <f aca="false">IF(P1299="","",IF(COUNTIF($P$2:$P$3000,P1299)&gt;1,"DUPLICATE","OK"))</f>
        <v/>
      </c>
      <c r="R1299" s="0" t="str">
        <f aca="false">IF($C1299="","",IFERROR(VLOOKUP(--$C1299,MM_Income!$Z$5:$AC$204,3,FALSE()),""))</f>
        <v/>
      </c>
    </row>
    <row r="1300" customFormat="false" ht="13.5" hidden="false" customHeight="false" outlineLevel="0" collapsed="false">
      <c r="N1300" s="1" t="str">
        <f aca="false">IF(C1300="","",IFERROR(VLOOKUP(C1300,Master_Mappings!$A$4:$E$85,3,FALSE()),"UNMAPPED"))</f>
        <v/>
      </c>
      <c r="P1300" s="1" t="str">
        <f aca="false">IF($C1300="","",$C1300&amp;"|"&amp;$E1300&amp;"|"&amp;$M1300&amp;"|"&amp;TEXT($G1300,"yyyy-mm-dd")&amp;"|"&amp;LEFT($J1300,40))</f>
        <v/>
      </c>
      <c r="Q1300" s="11" t="str">
        <f aca="false">IF(P1300="","",IF(COUNTIF($P$2:$P$3000,P1300)&gt;1,"DUPLICATE","OK"))</f>
        <v/>
      </c>
      <c r="R1300" s="0" t="str">
        <f aca="false">IF($C1300="","",IFERROR(VLOOKUP(--$C1300,MM_Income!$Z$5:$AC$204,3,FALSE()),""))</f>
        <v/>
      </c>
    </row>
    <row r="1301" customFormat="false" ht="13.5" hidden="false" customHeight="false" outlineLevel="0" collapsed="false">
      <c r="N1301" s="1" t="str">
        <f aca="false">IF(C1301="","",IFERROR(VLOOKUP(C1301,Master_Mappings!$A$4:$E$85,3,FALSE()),"UNMAPPED"))</f>
        <v/>
      </c>
      <c r="P1301" s="1" t="str">
        <f aca="false">IF($C1301="","",$C1301&amp;"|"&amp;$E1301&amp;"|"&amp;$M1301&amp;"|"&amp;TEXT($G1301,"yyyy-mm-dd")&amp;"|"&amp;LEFT($J1301,40))</f>
        <v/>
      </c>
      <c r="Q1301" s="11" t="str">
        <f aca="false">IF(P1301="","",IF(COUNTIF($P$2:$P$3000,P1301)&gt;1,"DUPLICATE","OK"))</f>
        <v/>
      </c>
      <c r="R1301" s="0" t="str">
        <f aca="false">IF($C1301="","",IFERROR(VLOOKUP(--$C1301,MM_Income!$Z$5:$AC$204,3,FALSE()),""))</f>
        <v/>
      </c>
    </row>
    <row r="1302" customFormat="false" ht="13.5" hidden="false" customHeight="false" outlineLevel="0" collapsed="false">
      <c r="N1302" s="1" t="str">
        <f aca="false">IF(C1302="","",IFERROR(VLOOKUP(C1302,Master_Mappings!$A$4:$E$85,3,FALSE()),"UNMAPPED"))</f>
        <v/>
      </c>
      <c r="P1302" s="1" t="str">
        <f aca="false">IF($C1302="","",$C1302&amp;"|"&amp;$E1302&amp;"|"&amp;$M1302&amp;"|"&amp;TEXT($G1302,"yyyy-mm-dd")&amp;"|"&amp;LEFT($J1302,40))</f>
        <v/>
      </c>
      <c r="Q1302" s="11" t="str">
        <f aca="false">IF(P1302="","",IF(COUNTIF($P$2:$P$3000,P1302)&gt;1,"DUPLICATE","OK"))</f>
        <v/>
      </c>
      <c r="R1302" s="0" t="str">
        <f aca="false">IF($C1302="","",IFERROR(VLOOKUP(--$C1302,MM_Income!$Z$5:$AC$204,3,FALSE()),""))</f>
        <v/>
      </c>
    </row>
    <row r="1303" customFormat="false" ht="13.5" hidden="false" customHeight="false" outlineLevel="0" collapsed="false">
      <c r="N1303" s="1" t="str">
        <f aca="false">IF(C1303="","",IFERROR(VLOOKUP(C1303,Master_Mappings!$A$4:$E$85,3,FALSE()),"UNMAPPED"))</f>
        <v/>
      </c>
      <c r="P1303" s="1" t="str">
        <f aca="false">IF($C1303="","",$C1303&amp;"|"&amp;$E1303&amp;"|"&amp;$M1303&amp;"|"&amp;TEXT($G1303,"yyyy-mm-dd")&amp;"|"&amp;LEFT($J1303,40))</f>
        <v/>
      </c>
      <c r="Q1303" s="11" t="str">
        <f aca="false">IF(P1303="","",IF(COUNTIF($P$2:$P$3000,P1303)&gt;1,"DUPLICATE","OK"))</f>
        <v/>
      </c>
      <c r="R1303" s="0" t="str">
        <f aca="false">IF($C1303="","",IFERROR(VLOOKUP(--$C1303,MM_Income!$Z$5:$AC$204,3,FALSE()),""))</f>
        <v/>
      </c>
    </row>
    <row r="1304" customFormat="false" ht="13.5" hidden="false" customHeight="false" outlineLevel="0" collapsed="false">
      <c r="N1304" s="1" t="str">
        <f aca="false">IF(C1304="","",IFERROR(VLOOKUP(C1304,Master_Mappings!$A$4:$E$85,3,FALSE()),"UNMAPPED"))</f>
        <v/>
      </c>
      <c r="P1304" s="1" t="str">
        <f aca="false">IF($C1304="","",$C1304&amp;"|"&amp;$E1304&amp;"|"&amp;$M1304&amp;"|"&amp;TEXT($G1304,"yyyy-mm-dd")&amp;"|"&amp;LEFT($J1304,40))</f>
        <v/>
      </c>
      <c r="Q1304" s="11" t="str">
        <f aca="false">IF(P1304="","",IF(COUNTIF($P$2:$P$3000,P1304)&gt;1,"DUPLICATE","OK"))</f>
        <v/>
      </c>
      <c r="R1304" s="0" t="str">
        <f aca="false">IF($C1304="","",IFERROR(VLOOKUP(--$C1304,MM_Income!$Z$5:$AC$204,3,FALSE()),""))</f>
        <v/>
      </c>
    </row>
    <row r="1305" customFormat="false" ht="13.5" hidden="false" customHeight="false" outlineLevel="0" collapsed="false">
      <c r="N1305" s="1" t="str">
        <f aca="false">IF(C1305="","",IFERROR(VLOOKUP(C1305,Master_Mappings!$A$4:$E$85,3,FALSE()),"UNMAPPED"))</f>
        <v/>
      </c>
      <c r="P1305" s="1" t="str">
        <f aca="false">IF($C1305="","",$C1305&amp;"|"&amp;$E1305&amp;"|"&amp;$M1305&amp;"|"&amp;TEXT($G1305,"yyyy-mm-dd")&amp;"|"&amp;LEFT($J1305,40))</f>
        <v/>
      </c>
      <c r="Q1305" s="11" t="str">
        <f aca="false">IF(P1305="","",IF(COUNTIF($P$2:$P$3000,P1305)&gt;1,"DUPLICATE","OK"))</f>
        <v/>
      </c>
      <c r="R1305" s="0" t="str">
        <f aca="false">IF($C1305="","",IFERROR(VLOOKUP(--$C1305,MM_Income!$Z$5:$AC$204,3,FALSE()),""))</f>
        <v/>
      </c>
    </row>
    <row r="1306" customFormat="false" ht="13.5" hidden="false" customHeight="false" outlineLevel="0" collapsed="false">
      <c r="N1306" s="1" t="str">
        <f aca="false">IF(C1306="","",IFERROR(VLOOKUP(C1306,Master_Mappings!$A$4:$E$85,3,FALSE()),"UNMAPPED"))</f>
        <v/>
      </c>
      <c r="P1306" s="1" t="str">
        <f aca="false">IF($C1306="","",$C1306&amp;"|"&amp;$E1306&amp;"|"&amp;$M1306&amp;"|"&amp;TEXT($G1306,"yyyy-mm-dd")&amp;"|"&amp;LEFT($J1306,40))</f>
        <v/>
      </c>
      <c r="Q1306" s="11" t="str">
        <f aca="false">IF(P1306="","",IF(COUNTIF($P$2:$P$3000,P1306)&gt;1,"DUPLICATE","OK"))</f>
        <v/>
      </c>
      <c r="R1306" s="0" t="str">
        <f aca="false">IF($C1306="","",IFERROR(VLOOKUP(--$C1306,MM_Income!$Z$5:$AC$204,3,FALSE()),""))</f>
        <v/>
      </c>
    </row>
    <row r="1307" customFormat="false" ht="13.5" hidden="false" customHeight="false" outlineLevel="0" collapsed="false">
      <c r="N1307" s="1" t="str">
        <f aca="false">IF(C1307="","",IFERROR(VLOOKUP(C1307,Master_Mappings!$A$4:$E$85,3,FALSE()),"UNMAPPED"))</f>
        <v/>
      </c>
      <c r="P1307" s="1" t="str">
        <f aca="false">IF($C1307="","",$C1307&amp;"|"&amp;$E1307&amp;"|"&amp;$M1307&amp;"|"&amp;TEXT($G1307,"yyyy-mm-dd")&amp;"|"&amp;LEFT($J1307,40))</f>
        <v/>
      </c>
      <c r="Q1307" s="11" t="str">
        <f aca="false">IF(P1307="","",IF(COUNTIF($P$2:$P$3000,P1307)&gt;1,"DUPLICATE","OK"))</f>
        <v/>
      </c>
      <c r="R1307" s="0" t="str">
        <f aca="false">IF($C1307="","",IFERROR(VLOOKUP(--$C1307,MM_Income!$Z$5:$AC$204,3,FALSE()),""))</f>
        <v/>
      </c>
    </row>
    <row r="1308" customFormat="false" ht="13.5" hidden="false" customHeight="false" outlineLevel="0" collapsed="false">
      <c r="N1308" s="1" t="str">
        <f aca="false">IF(C1308="","",IFERROR(VLOOKUP(C1308,Master_Mappings!$A$4:$E$85,3,FALSE()),"UNMAPPED"))</f>
        <v/>
      </c>
      <c r="P1308" s="1" t="str">
        <f aca="false">IF($C1308="","",$C1308&amp;"|"&amp;$E1308&amp;"|"&amp;$M1308&amp;"|"&amp;TEXT($G1308,"yyyy-mm-dd")&amp;"|"&amp;LEFT($J1308,40))</f>
        <v/>
      </c>
      <c r="Q1308" s="11" t="str">
        <f aca="false">IF(P1308="","",IF(COUNTIF($P$2:$P$3000,P1308)&gt;1,"DUPLICATE","OK"))</f>
        <v/>
      </c>
      <c r="R1308" s="0" t="str">
        <f aca="false">IF($C1308="","",IFERROR(VLOOKUP(--$C1308,MM_Income!$Z$5:$AC$204,3,FALSE()),""))</f>
        <v/>
      </c>
    </row>
    <row r="1309" customFormat="false" ht="13.5" hidden="false" customHeight="false" outlineLevel="0" collapsed="false">
      <c r="N1309" s="1" t="str">
        <f aca="false">IF(C1309="","",IFERROR(VLOOKUP(C1309,Master_Mappings!$A$4:$E$85,3,FALSE()),"UNMAPPED"))</f>
        <v/>
      </c>
      <c r="P1309" s="1" t="str">
        <f aca="false">IF($C1309="","",$C1309&amp;"|"&amp;$E1309&amp;"|"&amp;$M1309&amp;"|"&amp;TEXT($G1309,"yyyy-mm-dd")&amp;"|"&amp;LEFT($J1309,40))</f>
        <v/>
      </c>
      <c r="Q1309" s="11" t="str">
        <f aca="false">IF(P1309="","",IF(COUNTIF($P$2:$P$3000,P1309)&gt;1,"DUPLICATE","OK"))</f>
        <v/>
      </c>
      <c r="R1309" s="0" t="str">
        <f aca="false">IF($C1309="","",IFERROR(VLOOKUP(--$C1309,MM_Income!$Z$5:$AC$204,3,FALSE()),""))</f>
        <v/>
      </c>
    </row>
    <row r="1310" customFormat="false" ht="13.5" hidden="false" customHeight="false" outlineLevel="0" collapsed="false">
      <c r="N1310" s="1" t="str">
        <f aca="false">IF(C1310="","",IFERROR(VLOOKUP(C1310,Master_Mappings!$A$4:$E$85,3,FALSE()),"UNMAPPED"))</f>
        <v/>
      </c>
      <c r="P1310" s="1" t="str">
        <f aca="false">IF($C1310="","",$C1310&amp;"|"&amp;$E1310&amp;"|"&amp;$M1310&amp;"|"&amp;TEXT($G1310,"yyyy-mm-dd")&amp;"|"&amp;LEFT($J1310,40))</f>
        <v/>
      </c>
      <c r="Q1310" s="11" t="str">
        <f aca="false">IF(P1310="","",IF(COUNTIF($P$2:$P$3000,P1310)&gt;1,"DUPLICATE","OK"))</f>
        <v/>
      </c>
      <c r="R1310" s="0" t="str">
        <f aca="false">IF($C1310="","",IFERROR(VLOOKUP(--$C1310,MM_Income!$Z$5:$AC$204,3,FALSE()),""))</f>
        <v/>
      </c>
    </row>
    <row r="1311" customFormat="false" ht="13.5" hidden="false" customHeight="false" outlineLevel="0" collapsed="false">
      <c r="N1311" s="1" t="str">
        <f aca="false">IF(C1311="","",IFERROR(VLOOKUP(C1311,Master_Mappings!$A$4:$E$85,3,FALSE()),"UNMAPPED"))</f>
        <v/>
      </c>
      <c r="P1311" s="1" t="str">
        <f aca="false">IF($C1311="","",$C1311&amp;"|"&amp;$E1311&amp;"|"&amp;$M1311&amp;"|"&amp;TEXT($G1311,"yyyy-mm-dd")&amp;"|"&amp;LEFT($J1311,40))</f>
        <v/>
      </c>
      <c r="Q1311" s="11" t="str">
        <f aca="false">IF(P1311="","",IF(COUNTIF($P$2:$P$3000,P1311)&gt;1,"DUPLICATE","OK"))</f>
        <v/>
      </c>
      <c r="R1311" s="0" t="str">
        <f aca="false">IF($C1311="","",IFERROR(VLOOKUP(--$C1311,MM_Income!$Z$5:$AC$204,3,FALSE()),""))</f>
        <v/>
      </c>
    </row>
    <row r="1312" customFormat="false" ht="13.5" hidden="false" customHeight="false" outlineLevel="0" collapsed="false">
      <c r="N1312" s="1" t="str">
        <f aca="false">IF(C1312="","",IFERROR(VLOOKUP(C1312,Master_Mappings!$A$4:$E$85,3,FALSE()),"UNMAPPED"))</f>
        <v/>
      </c>
      <c r="P1312" s="1" t="str">
        <f aca="false">IF($C1312="","",$C1312&amp;"|"&amp;$E1312&amp;"|"&amp;$M1312&amp;"|"&amp;TEXT($G1312,"yyyy-mm-dd")&amp;"|"&amp;LEFT($J1312,40))</f>
        <v/>
      </c>
      <c r="Q1312" s="11" t="str">
        <f aca="false">IF(P1312="","",IF(COUNTIF($P$2:$P$3000,P1312)&gt;1,"DUPLICATE","OK"))</f>
        <v/>
      </c>
      <c r="R1312" s="0" t="str">
        <f aca="false">IF($C1312="","",IFERROR(VLOOKUP(--$C1312,MM_Income!$Z$5:$AC$204,3,FALSE()),""))</f>
        <v/>
      </c>
    </row>
    <row r="1313" customFormat="false" ht="13.5" hidden="false" customHeight="false" outlineLevel="0" collapsed="false">
      <c r="N1313" s="1" t="str">
        <f aca="false">IF(C1313="","",IFERROR(VLOOKUP(C1313,Master_Mappings!$A$4:$E$85,3,FALSE()),"UNMAPPED"))</f>
        <v/>
      </c>
      <c r="P1313" s="1" t="str">
        <f aca="false">IF($C1313="","",$C1313&amp;"|"&amp;$E1313&amp;"|"&amp;$M1313&amp;"|"&amp;TEXT($G1313,"yyyy-mm-dd")&amp;"|"&amp;LEFT($J1313,40))</f>
        <v/>
      </c>
      <c r="Q1313" s="11" t="str">
        <f aca="false">IF(P1313="","",IF(COUNTIF($P$2:$P$3000,P1313)&gt;1,"DUPLICATE","OK"))</f>
        <v/>
      </c>
      <c r="R1313" s="0" t="str">
        <f aca="false">IF($C1313="","",IFERROR(VLOOKUP(--$C1313,MM_Income!$Z$5:$AC$204,3,FALSE()),""))</f>
        <v/>
      </c>
    </row>
    <row r="1314" customFormat="false" ht="13.5" hidden="false" customHeight="false" outlineLevel="0" collapsed="false">
      <c r="N1314" s="1" t="str">
        <f aca="false">IF(C1314="","",IFERROR(VLOOKUP(C1314,Master_Mappings!$A$4:$E$85,3,FALSE()),"UNMAPPED"))</f>
        <v/>
      </c>
      <c r="P1314" s="1" t="str">
        <f aca="false">IF($C1314="","",$C1314&amp;"|"&amp;$E1314&amp;"|"&amp;$M1314&amp;"|"&amp;TEXT($G1314,"yyyy-mm-dd")&amp;"|"&amp;LEFT($J1314,40))</f>
        <v/>
      </c>
      <c r="Q1314" s="11" t="str">
        <f aca="false">IF(P1314="","",IF(COUNTIF($P$2:$P$3000,P1314)&gt;1,"DUPLICATE","OK"))</f>
        <v/>
      </c>
      <c r="R1314" s="0" t="str">
        <f aca="false">IF($C1314="","",IFERROR(VLOOKUP(--$C1314,MM_Income!$Z$5:$AC$204,3,FALSE()),""))</f>
        <v/>
      </c>
    </row>
    <row r="1315" customFormat="false" ht="13.5" hidden="false" customHeight="false" outlineLevel="0" collapsed="false">
      <c r="N1315" s="1" t="str">
        <f aca="false">IF(C1315="","",IFERROR(VLOOKUP(C1315,Master_Mappings!$A$4:$E$85,3,FALSE()),"UNMAPPED"))</f>
        <v/>
      </c>
      <c r="P1315" s="1" t="str">
        <f aca="false">IF($C1315="","",$C1315&amp;"|"&amp;$E1315&amp;"|"&amp;$M1315&amp;"|"&amp;TEXT($G1315,"yyyy-mm-dd")&amp;"|"&amp;LEFT($J1315,40))</f>
        <v/>
      </c>
      <c r="Q1315" s="11" t="str">
        <f aca="false">IF(P1315="","",IF(COUNTIF($P$2:$P$3000,P1315)&gt;1,"DUPLICATE","OK"))</f>
        <v/>
      </c>
      <c r="R1315" s="0" t="str">
        <f aca="false">IF($C1315="","",IFERROR(VLOOKUP(--$C1315,MM_Income!$Z$5:$AC$204,3,FALSE()),""))</f>
        <v/>
      </c>
    </row>
    <row r="1316" customFormat="false" ht="13.5" hidden="false" customHeight="false" outlineLevel="0" collapsed="false">
      <c r="N1316" s="1" t="str">
        <f aca="false">IF(C1316="","",IFERROR(VLOOKUP(C1316,Master_Mappings!$A$4:$E$85,3,FALSE()),"UNMAPPED"))</f>
        <v/>
      </c>
      <c r="P1316" s="1" t="str">
        <f aca="false">IF($C1316="","",$C1316&amp;"|"&amp;$E1316&amp;"|"&amp;$M1316&amp;"|"&amp;TEXT($G1316,"yyyy-mm-dd")&amp;"|"&amp;LEFT($J1316,40))</f>
        <v/>
      </c>
      <c r="Q1316" s="11" t="str">
        <f aca="false">IF(P1316="","",IF(COUNTIF($P$2:$P$3000,P1316)&gt;1,"DUPLICATE","OK"))</f>
        <v/>
      </c>
      <c r="R1316" s="0" t="str">
        <f aca="false">IF($C1316="","",IFERROR(VLOOKUP(--$C1316,MM_Income!$Z$5:$AC$204,3,FALSE()),""))</f>
        <v/>
      </c>
    </row>
    <row r="1317" customFormat="false" ht="13.5" hidden="false" customHeight="false" outlineLevel="0" collapsed="false">
      <c r="N1317" s="1" t="str">
        <f aca="false">IF(C1317="","",IFERROR(VLOOKUP(C1317,Master_Mappings!$A$4:$E$85,3,FALSE()),"UNMAPPED"))</f>
        <v/>
      </c>
      <c r="P1317" s="1" t="str">
        <f aca="false">IF($C1317="","",$C1317&amp;"|"&amp;$E1317&amp;"|"&amp;$M1317&amp;"|"&amp;TEXT($G1317,"yyyy-mm-dd")&amp;"|"&amp;LEFT($J1317,40))</f>
        <v/>
      </c>
      <c r="Q1317" s="11" t="str">
        <f aca="false">IF(P1317="","",IF(COUNTIF($P$2:$P$3000,P1317)&gt;1,"DUPLICATE","OK"))</f>
        <v/>
      </c>
      <c r="R1317" s="0" t="str">
        <f aca="false">IF($C1317="","",IFERROR(VLOOKUP(--$C1317,MM_Income!$Z$5:$AC$204,3,FALSE()),""))</f>
        <v/>
      </c>
    </row>
    <row r="1318" customFormat="false" ht="13.5" hidden="false" customHeight="false" outlineLevel="0" collapsed="false">
      <c r="N1318" s="1" t="str">
        <f aca="false">IF(C1318="","",IFERROR(VLOOKUP(C1318,Master_Mappings!$A$4:$E$85,3,FALSE()),"UNMAPPED"))</f>
        <v/>
      </c>
      <c r="P1318" s="1" t="str">
        <f aca="false">IF($C1318="","",$C1318&amp;"|"&amp;$E1318&amp;"|"&amp;$M1318&amp;"|"&amp;TEXT($G1318,"yyyy-mm-dd")&amp;"|"&amp;LEFT($J1318,40))</f>
        <v/>
      </c>
      <c r="Q1318" s="11" t="str">
        <f aca="false">IF(P1318="","",IF(COUNTIF($P$2:$P$3000,P1318)&gt;1,"DUPLICATE","OK"))</f>
        <v/>
      </c>
      <c r="R1318" s="0" t="str">
        <f aca="false">IF($C1318="","",IFERROR(VLOOKUP(--$C1318,MM_Income!$Z$5:$AC$204,3,FALSE()),""))</f>
        <v/>
      </c>
    </row>
    <row r="1319" customFormat="false" ht="13.5" hidden="false" customHeight="false" outlineLevel="0" collapsed="false">
      <c r="N1319" s="1" t="str">
        <f aca="false">IF(C1319="","",IFERROR(VLOOKUP(C1319,Master_Mappings!$A$4:$E$85,3,FALSE()),"UNMAPPED"))</f>
        <v/>
      </c>
      <c r="P1319" s="1" t="str">
        <f aca="false">IF($C1319="","",$C1319&amp;"|"&amp;$E1319&amp;"|"&amp;$M1319&amp;"|"&amp;TEXT($G1319,"yyyy-mm-dd")&amp;"|"&amp;LEFT($J1319,40))</f>
        <v/>
      </c>
      <c r="Q1319" s="11" t="str">
        <f aca="false">IF(P1319="","",IF(COUNTIF($P$2:$P$3000,P1319)&gt;1,"DUPLICATE","OK"))</f>
        <v/>
      </c>
      <c r="R1319" s="0" t="str">
        <f aca="false">IF($C1319="","",IFERROR(VLOOKUP(--$C1319,MM_Income!$Z$5:$AC$204,3,FALSE()),""))</f>
        <v/>
      </c>
    </row>
    <row r="1320" customFormat="false" ht="13.5" hidden="false" customHeight="false" outlineLevel="0" collapsed="false">
      <c r="N1320" s="1" t="str">
        <f aca="false">IF(C1320="","",IFERROR(VLOOKUP(C1320,Master_Mappings!$A$4:$E$85,3,FALSE()),"UNMAPPED"))</f>
        <v/>
      </c>
      <c r="P1320" s="1" t="str">
        <f aca="false">IF($C1320="","",$C1320&amp;"|"&amp;$E1320&amp;"|"&amp;$M1320&amp;"|"&amp;TEXT($G1320,"yyyy-mm-dd")&amp;"|"&amp;LEFT($J1320,40))</f>
        <v/>
      </c>
      <c r="Q1320" s="11" t="str">
        <f aca="false">IF(P1320="","",IF(COUNTIF($P$2:$P$3000,P1320)&gt;1,"DUPLICATE","OK"))</f>
        <v/>
      </c>
      <c r="R1320" s="0" t="str">
        <f aca="false">IF($C1320="","",IFERROR(VLOOKUP(--$C1320,MM_Income!$Z$5:$AC$204,3,FALSE()),""))</f>
        <v/>
      </c>
    </row>
    <row r="1321" customFormat="false" ht="13.5" hidden="false" customHeight="false" outlineLevel="0" collapsed="false">
      <c r="N1321" s="1" t="str">
        <f aca="false">IF(C1321="","",IFERROR(VLOOKUP(C1321,Master_Mappings!$A$4:$E$85,3,FALSE()),"UNMAPPED"))</f>
        <v/>
      </c>
      <c r="P1321" s="1" t="str">
        <f aca="false">IF($C1321="","",$C1321&amp;"|"&amp;$E1321&amp;"|"&amp;$M1321&amp;"|"&amp;TEXT($G1321,"yyyy-mm-dd")&amp;"|"&amp;LEFT($J1321,40))</f>
        <v/>
      </c>
      <c r="Q1321" s="11" t="str">
        <f aca="false">IF(P1321="","",IF(COUNTIF($P$2:$P$3000,P1321)&gt;1,"DUPLICATE","OK"))</f>
        <v/>
      </c>
      <c r="R1321" s="0" t="str">
        <f aca="false">IF($C1321="","",IFERROR(VLOOKUP(--$C1321,MM_Income!$Z$5:$AC$204,3,FALSE()),""))</f>
        <v/>
      </c>
    </row>
    <row r="1322" customFormat="false" ht="13.5" hidden="false" customHeight="false" outlineLevel="0" collapsed="false">
      <c r="N1322" s="1" t="str">
        <f aca="false">IF(C1322="","",IFERROR(VLOOKUP(C1322,Master_Mappings!$A$4:$E$85,3,FALSE()),"UNMAPPED"))</f>
        <v/>
      </c>
      <c r="P1322" s="1" t="str">
        <f aca="false">IF($C1322="","",$C1322&amp;"|"&amp;$E1322&amp;"|"&amp;$M1322&amp;"|"&amp;TEXT($G1322,"yyyy-mm-dd")&amp;"|"&amp;LEFT($J1322,40))</f>
        <v/>
      </c>
      <c r="Q1322" s="11" t="str">
        <f aca="false">IF(P1322="","",IF(COUNTIF($P$2:$P$3000,P1322)&gt;1,"DUPLICATE","OK"))</f>
        <v/>
      </c>
      <c r="R1322" s="0" t="str">
        <f aca="false">IF($C1322="","",IFERROR(VLOOKUP(--$C1322,MM_Income!$Z$5:$AC$204,3,FALSE()),""))</f>
        <v/>
      </c>
    </row>
    <row r="1323" customFormat="false" ht="13.5" hidden="false" customHeight="false" outlineLevel="0" collapsed="false">
      <c r="N1323" s="1" t="str">
        <f aca="false">IF(C1323="","",IFERROR(VLOOKUP(C1323,Master_Mappings!$A$4:$E$85,3,FALSE()),"UNMAPPED"))</f>
        <v/>
      </c>
      <c r="P1323" s="1" t="str">
        <f aca="false">IF($C1323="","",$C1323&amp;"|"&amp;$E1323&amp;"|"&amp;$M1323&amp;"|"&amp;TEXT($G1323,"yyyy-mm-dd")&amp;"|"&amp;LEFT($J1323,40))</f>
        <v/>
      </c>
      <c r="Q1323" s="11" t="str">
        <f aca="false">IF(P1323="","",IF(COUNTIF($P$2:$P$3000,P1323)&gt;1,"DUPLICATE","OK"))</f>
        <v/>
      </c>
      <c r="R1323" s="0" t="str">
        <f aca="false">IF($C1323="","",IFERROR(VLOOKUP(--$C1323,MM_Income!$Z$5:$AC$204,3,FALSE()),""))</f>
        <v/>
      </c>
    </row>
    <row r="1324" customFormat="false" ht="13.5" hidden="false" customHeight="false" outlineLevel="0" collapsed="false">
      <c r="N1324" s="1" t="str">
        <f aca="false">IF(C1324="","",IFERROR(VLOOKUP(C1324,Master_Mappings!$A$4:$E$85,3,FALSE()),"UNMAPPED"))</f>
        <v/>
      </c>
      <c r="P1324" s="1" t="str">
        <f aca="false">IF($C1324="","",$C1324&amp;"|"&amp;$E1324&amp;"|"&amp;$M1324&amp;"|"&amp;TEXT($G1324,"yyyy-mm-dd")&amp;"|"&amp;LEFT($J1324,40))</f>
        <v/>
      </c>
      <c r="Q1324" s="11" t="str">
        <f aca="false">IF(P1324="","",IF(COUNTIF($P$2:$P$3000,P1324)&gt;1,"DUPLICATE","OK"))</f>
        <v/>
      </c>
      <c r="R1324" s="0" t="str">
        <f aca="false">IF($C1324="","",IFERROR(VLOOKUP(--$C1324,MM_Income!$Z$5:$AC$204,3,FALSE()),""))</f>
        <v/>
      </c>
    </row>
    <row r="1325" customFormat="false" ht="13.5" hidden="false" customHeight="false" outlineLevel="0" collapsed="false">
      <c r="N1325" s="1" t="str">
        <f aca="false">IF(C1325="","",IFERROR(VLOOKUP(C1325,Master_Mappings!$A$4:$E$85,3,FALSE()),"UNMAPPED"))</f>
        <v/>
      </c>
      <c r="P1325" s="1" t="str">
        <f aca="false">IF($C1325="","",$C1325&amp;"|"&amp;$E1325&amp;"|"&amp;$M1325&amp;"|"&amp;TEXT($G1325,"yyyy-mm-dd")&amp;"|"&amp;LEFT($J1325,40))</f>
        <v/>
      </c>
      <c r="Q1325" s="11" t="str">
        <f aca="false">IF(P1325="","",IF(COUNTIF($P$2:$P$3000,P1325)&gt;1,"DUPLICATE","OK"))</f>
        <v/>
      </c>
      <c r="R1325" s="0" t="str">
        <f aca="false">IF($C1325="","",IFERROR(VLOOKUP(--$C1325,MM_Income!$Z$5:$AC$204,3,FALSE()),""))</f>
        <v/>
      </c>
    </row>
    <row r="1326" customFormat="false" ht="13.5" hidden="false" customHeight="false" outlineLevel="0" collapsed="false">
      <c r="N1326" s="1" t="str">
        <f aca="false">IF(C1326="","",IFERROR(VLOOKUP(C1326,Master_Mappings!$A$4:$E$85,3,FALSE()),"UNMAPPED"))</f>
        <v/>
      </c>
      <c r="P1326" s="1" t="str">
        <f aca="false">IF($C1326="","",$C1326&amp;"|"&amp;$E1326&amp;"|"&amp;$M1326&amp;"|"&amp;TEXT($G1326,"yyyy-mm-dd")&amp;"|"&amp;LEFT($J1326,40))</f>
        <v/>
      </c>
      <c r="Q1326" s="11" t="str">
        <f aca="false">IF(P1326="","",IF(COUNTIF($P$2:$P$3000,P1326)&gt;1,"DUPLICATE","OK"))</f>
        <v/>
      </c>
      <c r="R1326" s="0" t="str">
        <f aca="false">IF($C1326="","",IFERROR(VLOOKUP(--$C1326,MM_Income!$Z$5:$AC$204,3,FALSE()),""))</f>
        <v/>
      </c>
    </row>
    <row r="1327" customFormat="false" ht="13.5" hidden="false" customHeight="false" outlineLevel="0" collapsed="false">
      <c r="N1327" s="1" t="str">
        <f aca="false">IF(C1327="","",IFERROR(VLOOKUP(C1327,Master_Mappings!$A$4:$E$85,3,FALSE()),"UNMAPPED"))</f>
        <v/>
      </c>
      <c r="P1327" s="1" t="str">
        <f aca="false">IF($C1327="","",$C1327&amp;"|"&amp;$E1327&amp;"|"&amp;$M1327&amp;"|"&amp;TEXT($G1327,"yyyy-mm-dd")&amp;"|"&amp;LEFT($J1327,40))</f>
        <v/>
      </c>
      <c r="Q1327" s="11" t="str">
        <f aca="false">IF(P1327="","",IF(COUNTIF($P$2:$P$3000,P1327)&gt;1,"DUPLICATE","OK"))</f>
        <v/>
      </c>
      <c r="R1327" s="0" t="str">
        <f aca="false">IF($C1327="","",IFERROR(VLOOKUP(--$C1327,MM_Income!$Z$5:$AC$204,3,FALSE()),""))</f>
        <v/>
      </c>
    </row>
    <row r="1328" customFormat="false" ht="13.5" hidden="false" customHeight="false" outlineLevel="0" collapsed="false">
      <c r="N1328" s="1" t="str">
        <f aca="false">IF(C1328="","",IFERROR(VLOOKUP(C1328,Master_Mappings!$A$4:$E$85,3,FALSE()),"UNMAPPED"))</f>
        <v/>
      </c>
      <c r="P1328" s="1" t="str">
        <f aca="false">IF($C1328="","",$C1328&amp;"|"&amp;$E1328&amp;"|"&amp;$M1328&amp;"|"&amp;TEXT($G1328,"yyyy-mm-dd")&amp;"|"&amp;LEFT($J1328,40))</f>
        <v/>
      </c>
      <c r="Q1328" s="11" t="str">
        <f aca="false">IF(P1328="","",IF(COUNTIF($P$2:$P$3000,P1328)&gt;1,"DUPLICATE","OK"))</f>
        <v/>
      </c>
      <c r="R1328" s="0" t="str">
        <f aca="false">IF($C1328="","",IFERROR(VLOOKUP(--$C1328,MM_Income!$Z$5:$AC$204,3,FALSE()),""))</f>
        <v/>
      </c>
    </row>
    <row r="1329" customFormat="false" ht="13.5" hidden="false" customHeight="false" outlineLevel="0" collapsed="false">
      <c r="N1329" s="1" t="str">
        <f aca="false">IF(C1329="","",IFERROR(VLOOKUP(C1329,Master_Mappings!$A$4:$E$85,3,FALSE()),"UNMAPPED"))</f>
        <v/>
      </c>
      <c r="P1329" s="1" t="str">
        <f aca="false">IF($C1329="","",$C1329&amp;"|"&amp;$E1329&amp;"|"&amp;$M1329&amp;"|"&amp;TEXT($G1329,"yyyy-mm-dd")&amp;"|"&amp;LEFT($J1329,40))</f>
        <v/>
      </c>
      <c r="Q1329" s="11" t="str">
        <f aca="false">IF(P1329="","",IF(COUNTIF($P$2:$P$3000,P1329)&gt;1,"DUPLICATE","OK"))</f>
        <v/>
      </c>
      <c r="R1329" s="0" t="str">
        <f aca="false">IF($C1329="","",IFERROR(VLOOKUP(--$C1329,MM_Income!$Z$5:$AC$204,3,FALSE()),""))</f>
        <v/>
      </c>
    </row>
    <row r="1330" customFormat="false" ht="13.5" hidden="false" customHeight="false" outlineLevel="0" collapsed="false">
      <c r="N1330" s="1" t="str">
        <f aca="false">IF(C1330="","",IFERROR(VLOOKUP(C1330,Master_Mappings!$A$4:$E$85,3,FALSE()),"UNMAPPED"))</f>
        <v/>
      </c>
      <c r="P1330" s="1" t="str">
        <f aca="false">IF($C1330="","",$C1330&amp;"|"&amp;$E1330&amp;"|"&amp;$M1330&amp;"|"&amp;TEXT($G1330,"yyyy-mm-dd")&amp;"|"&amp;LEFT($J1330,40))</f>
        <v/>
      </c>
      <c r="Q1330" s="11" t="str">
        <f aca="false">IF(P1330="","",IF(COUNTIF($P$2:$P$3000,P1330)&gt;1,"DUPLICATE","OK"))</f>
        <v/>
      </c>
      <c r="R1330" s="0" t="str">
        <f aca="false">IF($C1330="","",IFERROR(VLOOKUP(--$C1330,MM_Income!$Z$5:$AC$204,3,FALSE()),""))</f>
        <v/>
      </c>
    </row>
    <row r="1331" customFormat="false" ht="13.5" hidden="false" customHeight="false" outlineLevel="0" collapsed="false">
      <c r="N1331" s="1" t="str">
        <f aca="false">IF(C1331="","",IFERROR(VLOOKUP(C1331,Master_Mappings!$A$4:$E$85,3,FALSE()),"UNMAPPED"))</f>
        <v/>
      </c>
      <c r="P1331" s="1" t="str">
        <f aca="false">IF($C1331="","",$C1331&amp;"|"&amp;$E1331&amp;"|"&amp;$M1331&amp;"|"&amp;TEXT($G1331,"yyyy-mm-dd")&amp;"|"&amp;LEFT($J1331,40))</f>
        <v/>
      </c>
      <c r="Q1331" s="11" t="str">
        <f aca="false">IF(P1331="","",IF(COUNTIF($P$2:$P$3000,P1331)&gt;1,"DUPLICATE","OK"))</f>
        <v/>
      </c>
      <c r="R1331" s="0" t="str">
        <f aca="false">IF($C1331="","",IFERROR(VLOOKUP(--$C1331,MM_Income!$Z$5:$AC$204,3,FALSE()),""))</f>
        <v/>
      </c>
    </row>
    <row r="1332" customFormat="false" ht="13.5" hidden="false" customHeight="false" outlineLevel="0" collapsed="false">
      <c r="N1332" s="1" t="str">
        <f aca="false">IF(C1332="","",IFERROR(VLOOKUP(C1332,Master_Mappings!$A$4:$E$85,3,FALSE()),"UNMAPPED"))</f>
        <v/>
      </c>
      <c r="P1332" s="1" t="str">
        <f aca="false">IF($C1332="","",$C1332&amp;"|"&amp;$E1332&amp;"|"&amp;$M1332&amp;"|"&amp;TEXT($G1332,"yyyy-mm-dd")&amp;"|"&amp;LEFT($J1332,40))</f>
        <v/>
      </c>
      <c r="Q1332" s="11" t="str">
        <f aca="false">IF(P1332="","",IF(COUNTIF($P$2:$P$3000,P1332)&gt;1,"DUPLICATE","OK"))</f>
        <v/>
      </c>
      <c r="R1332" s="0" t="str">
        <f aca="false">IF($C1332="","",IFERROR(VLOOKUP(--$C1332,MM_Income!$Z$5:$AC$204,3,FALSE()),""))</f>
        <v/>
      </c>
    </row>
    <row r="1333" customFormat="false" ht="13.5" hidden="false" customHeight="false" outlineLevel="0" collapsed="false">
      <c r="N1333" s="1" t="str">
        <f aca="false">IF(C1333="","",IFERROR(VLOOKUP(C1333,Master_Mappings!$A$4:$E$85,3,FALSE()),"UNMAPPED"))</f>
        <v/>
      </c>
      <c r="P1333" s="1" t="str">
        <f aca="false">IF($C1333="","",$C1333&amp;"|"&amp;$E1333&amp;"|"&amp;$M1333&amp;"|"&amp;TEXT($G1333,"yyyy-mm-dd")&amp;"|"&amp;LEFT($J1333,40))</f>
        <v/>
      </c>
      <c r="Q1333" s="11" t="str">
        <f aca="false">IF(P1333="","",IF(COUNTIF($P$2:$P$3000,P1333)&gt;1,"DUPLICATE","OK"))</f>
        <v/>
      </c>
      <c r="R1333" s="0" t="str">
        <f aca="false">IF($C1333="","",IFERROR(VLOOKUP(--$C1333,MM_Income!$Z$5:$AC$204,3,FALSE()),""))</f>
        <v/>
      </c>
    </row>
    <row r="1334" customFormat="false" ht="13.5" hidden="false" customHeight="false" outlineLevel="0" collapsed="false">
      <c r="N1334" s="1" t="str">
        <f aca="false">IF(C1334="","",IFERROR(VLOOKUP(C1334,Master_Mappings!$A$4:$E$85,3,FALSE()),"UNMAPPED"))</f>
        <v/>
      </c>
      <c r="P1334" s="1" t="str">
        <f aca="false">IF($C1334="","",$C1334&amp;"|"&amp;$E1334&amp;"|"&amp;$M1334&amp;"|"&amp;TEXT($G1334,"yyyy-mm-dd")&amp;"|"&amp;LEFT($J1334,40))</f>
        <v/>
      </c>
      <c r="Q1334" s="11" t="str">
        <f aca="false">IF(P1334="","",IF(COUNTIF($P$2:$P$3000,P1334)&gt;1,"DUPLICATE","OK"))</f>
        <v/>
      </c>
      <c r="R1334" s="0" t="str">
        <f aca="false">IF($C1334="","",IFERROR(VLOOKUP(--$C1334,MM_Income!$Z$5:$AC$204,3,FALSE()),""))</f>
        <v/>
      </c>
    </row>
    <row r="1335" customFormat="false" ht="13.5" hidden="false" customHeight="false" outlineLevel="0" collapsed="false">
      <c r="N1335" s="1" t="str">
        <f aca="false">IF(C1335="","",IFERROR(VLOOKUP(C1335,Master_Mappings!$A$4:$E$85,3,FALSE()),"UNMAPPED"))</f>
        <v/>
      </c>
      <c r="P1335" s="1" t="str">
        <f aca="false">IF($C1335="","",$C1335&amp;"|"&amp;$E1335&amp;"|"&amp;$M1335&amp;"|"&amp;TEXT($G1335,"yyyy-mm-dd")&amp;"|"&amp;LEFT($J1335,40))</f>
        <v/>
      </c>
      <c r="Q1335" s="11" t="str">
        <f aca="false">IF(P1335="","",IF(COUNTIF($P$2:$P$3000,P1335)&gt;1,"DUPLICATE","OK"))</f>
        <v/>
      </c>
      <c r="R1335" s="0" t="str">
        <f aca="false">IF($C1335="","",IFERROR(VLOOKUP(--$C1335,MM_Income!$Z$5:$AC$204,3,FALSE()),""))</f>
        <v/>
      </c>
    </row>
    <row r="1336" customFormat="false" ht="13.5" hidden="false" customHeight="false" outlineLevel="0" collapsed="false">
      <c r="N1336" s="1" t="str">
        <f aca="false">IF(C1336="","",IFERROR(VLOOKUP(C1336,Master_Mappings!$A$4:$E$85,3,FALSE()),"UNMAPPED"))</f>
        <v/>
      </c>
      <c r="P1336" s="1" t="str">
        <f aca="false">IF($C1336="","",$C1336&amp;"|"&amp;$E1336&amp;"|"&amp;$M1336&amp;"|"&amp;TEXT($G1336,"yyyy-mm-dd")&amp;"|"&amp;LEFT($J1336,40))</f>
        <v/>
      </c>
      <c r="Q1336" s="11" t="str">
        <f aca="false">IF(P1336="","",IF(COUNTIF($P$2:$P$3000,P1336)&gt;1,"DUPLICATE","OK"))</f>
        <v/>
      </c>
      <c r="R1336" s="0" t="str">
        <f aca="false">IF($C1336="","",IFERROR(VLOOKUP(--$C1336,MM_Income!$Z$5:$AC$204,3,FALSE()),""))</f>
        <v/>
      </c>
    </row>
    <row r="1337" customFormat="false" ht="13.5" hidden="false" customHeight="false" outlineLevel="0" collapsed="false">
      <c r="N1337" s="1" t="str">
        <f aca="false">IF(C1337="","",IFERROR(VLOOKUP(C1337,Master_Mappings!$A$4:$E$85,3,FALSE()),"UNMAPPED"))</f>
        <v/>
      </c>
      <c r="P1337" s="1" t="str">
        <f aca="false">IF($C1337="","",$C1337&amp;"|"&amp;$E1337&amp;"|"&amp;$M1337&amp;"|"&amp;TEXT($G1337,"yyyy-mm-dd")&amp;"|"&amp;LEFT($J1337,40))</f>
        <v/>
      </c>
      <c r="Q1337" s="11" t="str">
        <f aca="false">IF(P1337="","",IF(COUNTIF($P$2:$P$3000,P1337)&gt;1,"DUPLICATE","OK"))</f>
        <v/>
      </c>
      <c r="R1337" s="0" t="str">
        <f aca="false">IF($C1337="","",IFERROR(VLOOKUP(--$C1337,MM_Income!$Z$5:$AC$204,3,FALSE()),""))</f>
        <v/>
      </c>
    </row>
    <row r="1338" customFormat="false" ht="13.5" hidden="false" customHeight="false" outlineLevel="0" collapsed="false">
      <c r="N1338" s="1" t="str">
        <f aca="false">IF(C1338="","",IFERROR(VLOOKUP(C1338,Master_Mappings!$A$4:$E$85,3,FALSE()),"UNMAPPED"))</f>
        <v/>
      </c>
      <c r="P1338" s="1" t="str">
        <f aca="false">IF($C1338="","",$C1338&amp;"|"&amp;$E1338&amp;"|"&amp;$M1338&amp;"|"&amp;TEXT($G1338,"yyyy-mm-dd")&amp;"|"&amp;LEFT($J1338,40))</f>
        <v/>
      </c>
      <c r="Q1338" s="11" t="str">
        <f aca="false">IF(P1338="","",IF(COUNTIF($P$2:$P$3000,P1338)&gt;1,"DUPLICATE","OK"))</f>
        <v/>
      </c>
      <c r="R1338" s="0" t="str">
        <f aca="false">IF($C1338="","",IFERROR(VLOOKUP(--$C1338,MM_Income!$Z$5:$AC$204,3,FALSE()),""))</f>
        <v/>
      </c>
    </row>
    <row r="1339" customFormat="false" ht="13.5" hidden="false" customHeight="false" outlineLevel="0" collapsed="false">
      <c r="N1339" s="1" t="str">
        <f aca="false">IF(C1339="","",IFERROR(VLOOKUP(C1339,Master_Mappings!$A$4:$E$85,3,FALSE()),"UNMAPPED"))</f>
        <v/>
      </c>
      <c r="P1339" s="1" t="str">
        <f aca="false">IF($C1339="","",$C1339&amp;"|"&amp;$E1339&amp;"|"&amp;$M1339&amp;"|"&amp;TEXT($G1339,"yyyy-mm-dd")&amp;"|"&amp;LEFT($J1339,40))</f>
        <v/>
      </c>
      <c r="Q1339" s="11" t="str">
        <f aca="false">IF(P1339="","",IF(COUNTIF($P$2:$P$3000,P1339)&gt;1,"DUPLICATE","OK"))</f>
        <v/>
      </c>
      <c r="R1339" s="0" t="str">
        <f aca="false">IF($C1339="","",IFERROR(VLOOKUP(--$C1339,MM_Income!$Z$5:$AC$204,3,FALSE()),""))</f>
        <v/>
      </c>
    </row>
    <row r="1340" customFormat="false" ht="13.5" hidden="false" customHeight="false" outlineLevel="0" collapsed="false">
      <c r="N1340" s="1" t="str">
        <f aca="false">IF(C1340="","",IFERROR(VLOOKUP(C1340,Master_Mappings!$A$4:$E$85,3,FALSE()),"UNMAPPED"))</f>
        <v/>
      </c>
      <c r="P1340" s="1" t="str">
        <f aca="false">IF($C1340="","",$C1340&amp;"|"&amp;$E1340&amp;"|"&amp;$M1340&amp;"|"&amp;TEXT($G1340,"yyyy-mm-dd")&amp;"|"&amp;LEFT($J1340,40))</f>
        <v/>
      </c>
      <c r="Q1340" s="11" t="str">
        <f aca="false">IF(P1340="","",IF(COUNTIF($P$2:$P$3000,P1340)&gt;1,"DUPLICATE","OK"))</f>
        <v/>
      </c>
      <c r="R1340" s="0" t="str">
        <f aca="false">IF($C1340="","",IFERROR(VLOOKUP(--$C1340,MM_Income!$Z$5:$AC$204,3,FALSE()),""))</f>
        <v/>
      </c>
    </row>
    <row r="1341" customFormat="false" ht="13.5" hidden="false" customHeight="false" outlineLevel="0" collapsed="false">
      <c r="N1341" s="1" t="str">
        <f aca="false">IF(C1341="","",IFERROR(VLOOKUP(C1341,Master_Mappings!$A$4:$E$85,3,FALSE()),"UNMAPPED"))</f>
        <v/>
      </c>
      <c r="P1341" s="1" t="str">
        <f aca="false">IF($C1341="","",$C1341&amp;"|"&amp;$E1341&amp;"|"&amp;$M1341&amp;"|"&amp;TEXT($G1341,"yyyy-mm-dd")&amp;"|"&amp;LEFT($J1341,40))</f>
        <v/>
      </c>
      <c r="Q1341" s="11" t="str">
        <f aca="false">IF(P1341="","",IF(COUNTIF($P$2:$P$3000,P1341)&gt;1,"DUPLICATE","OK"))</f>
        <v/>
      </c>
      <c r="R1341" s="0" t="str">
        <f aca="false">IF($C1341="","",IFERROR(VLOOKUP(--$C1341,MM_Income!$Z$5:$AC$204,3,FALSE()),""))</f>
        <v/>
      </c>
    </row>
    <row r="1342" customFormat="false" ht="13.5" hidden="false" customHeight="false" outlineLevel="0" collapsed="false">
      <c r="N1342" s="1" t="str">
        <f aca="false">IF(C1342="","",IFERROR(VLOOKUP(C1342,Master_Mappings!$A$4:$E$85,3,FALSE()),"UNMAPPED"))</f>
        <v/>
      </c>
      <c r="P1342" s="1" t="str">
        <f aca="false">IF($C1342="","",$C1342&amp;"|"&amp;$E1342&amp;"|"&amp;$M1342&amp;"|"&amp;TEXT($G1342,"yyyy-mm-dd")&amp;"|"&amp;LEFT($J1342,40))</f>
        <v/>
      </c>
      <c r="Q1342" s="11" t="str">
        <f aca="false">IF(P1342="","",IF(COUNTIF($P$2:$P$3000,P1342)&gt;1,"DUPLICATE","OK"))</f>
        <v/>
      </c>
      <c r="R1342" s="0" t="str">
        <f aca="false">IF($C1342="","",IFERROR(VLOOKUP(--$C1342,MM_Income!$Z$5:$AC$204,3,FALSE()),""))</f>
        <v/>
      </c>
    </row>
    <row r="1343" customFormat="false" ht="13.5" hidden="false" customHeight="false" outlineLevel="0" collapsed="false">
      <c r="N1343" s="1" t="str">
        <f aca="false">IF(C1343="","",IFERROR(VLOOKUP(C1343,Master_Mappings!$A$4:$E$85,3,FALSE()),"UNMAPPED"))</f>
        <v/>
      </c>
      <c r="P1343" s="1" t="str">
        <f aca="false">IF($C1343="","",$C1343&amp;"|"&amp;$E1343&amp;"|"&amp;$M1343&amp;"|"&amp;TEXT($G1343,"yyyy-mm-dd")&amp;"|"&amp;LEFT($J1343,40))</f>
        <v/>
      </c>
      <c r="Q1343" s="11" t="str">
        <f aca="false">IF(P1343="","",IF(COUNTIF($P$2:$P$3000,P1343)&gt;1,"DUPLICATE","OK"))</f>
        <v/>
      </c>
      <c r="R1343" s="0" t="str">
        <f aca="false">IF($C1343="","",IFERROR(VLOOKUP(--$C1343,MM_Income!$Z$5:$AC$204,3,FALSE()),""))</f>
        <v/>
      </c>
    </row>
    <row r="1344" customFormat="false" ht="13.5" hidden="false" customHeight="false" outlineLevel="0" collapsed="false">
      <c r="N1344" s="1" t="str">
        <f aca="false">IF(C1344="","",IFERROR(VLOOKUP(C1344,Master_Mappings!$A$4:$E$85,3,FALSE()),"UNMAPPED"))</f>
        <v/>
      </c>
      <c r="P1344" s="1" t="str">
        <f aca="false">IF($C1344="","",$C1344&amp;"|"&amp;$E1344&amp;"|"&amp;$M1344&amp;"|"&amp;TEXT($G1344,"yyyy-mm-dd")&amp;"|"&amp;LEFT($J1344,40))</f>
        <v/>
      </c>
      <c r="Q1344" s="11" t="str">
        <f aca="false">IF(P1344="","",IF(COUNTIF($P$2:$P$3000,P1344)&gt;1,"DUPLICATE","OK"))</f>
        <v/>
      </c>
      <c r="R1344" s="0" t="str">
        <f aca="false">IF($C1344="","",IFERROR(VLOOKUP(--$C1344,MM_Income!$Z$5:$AC$204,3,FALSE()),""))</f>
        <v/>
      </c>
    </row>
    <row r="1345" customFormat="false" ht="13.5" hidden="false" customHeight="false" outlineLevel="0" collapsed="false">
      <c r="N1345" s="1" t="str">
        <f aca="false">IF(C1345="","",IFERROR(VLOOKUP(C1345,Master_Mappings!$A$4:$E$85,3,FALSE()),"UNMAPPED"))</f>
        <v/>
      </c>
      <c r="P1345" s="1" t="str">
        <f aca="false">IF($C1345="","",$C1345&amp;"|"&amp;$E1345&amp;"|"&amp;$M1345&amp;"|"&amp;TEXT($G1345,"yyyy-mm-dd")&amp;"|"&amp;LEFT($J1345,40))</f>
        <v/>
      </c>
      <c r="Q1345" s="11" t="str">
        <f aca="false">IF(P1345="","",IF(COUNTIF($P$2:$P$3000,P1345)&gt;1,"DUPLICATE","OK"))</f>
        <v/>
      </c>
      <c r="R1345" s="0" t="str">
        <f aca="false">IF($C1345="","",IFERROR(VLOOKUP(--$C1345,MM_Income!$Z$5:$AC$204,3,FALSE()),""))</f>
        <v/>
      </c>
    </row>
    <row r="1346" customFormat="false" ht="13.5" hidden="false" customHeight="false" outlineLevel="0" collapsed="false">
      <c r="N1346" s="1" t="str">
        <f aca="false">IF(C1346="","",IFERROR(VLOOKUP(C1346,Master_Mappings!$A$4:$E$85,3,FALSE()),"UNMAPPED"))</f>
        <v/>
      </c>
      <c r="P1346" s="1" t="str">
        <f aca="false">IF($C1346="","",$C1346&amp;"|"&amp;$E1346&amp;"|"&amp;$M1346&amp;"|"&amp;TEXT($G1346,"yyyy-mm-dd")&amp;"|"&amp;LEFT($J1346,40))</f>
        <v/>
      </c>
      <c r="Q1346" s="11" t="str">
        <f aca="false">IF(P1346="","",IF(COUNTIF($P$2:$P$3000,P1346)&gt;1,"DUPLICATE","OK"))</f>
        <v/>
      </c>
      <c r="R1346" s="0" t="str">
        <f aca="false">IF($C1346="","",IFERROR(VLOOKUP(--$C1346,MM_Income!$Z$5:$AC$204,3,FALSE()),""))</f>
        <v/>
      </c>
    </row>
    <row r="1347" customFormat="false" ht="13.5" hidden="false" customHeight="false" outlineLevel="0" collapsed="false">
      <c r="N1347" s="1" t="str">
        <f aca="false">IF(C1347="","",IFERROR(VLOOKUP(C1347,Master_Mappings!$A$4:$E$85,3,FALSE()),"UNMAPPED"))</f>
        <v/>
      </c>
      <c r="P1347" s="1" t="str">
        <f aca="false">IF($C1347="","",$C1347&amp;"|"&amp;$E1347&amp;"|"&amp;$M1347&amp;"|"&amp;TEXT($G1347,"yyyy-mm-dd")&amp;"|"&amp;LEFT($J1347,40))</f>
        <v/>
      </c>
      <c r="Q1347" s="11" t="str">
        <f aca="false">IF(P1347="","",IF(COUNTIF($P$2:$P$3000,P1347)&gt;1,"DUPLICATE","OK"))</f>
        <v/>
      </c>
      <c r="R1347" s="0" t="str">
        <f aca="false">IF($C1347="","",IFERROR(VLOOKUP(--$C1347,MM_Income!$Z$5:$AC$204,3,FALSE()),""))</f>
        <v/>
      </c>
    </row>
    <row r="1348" customFormat="false" ht="13.5" hidden="false" customHeight="false" outlineLevel="0" collapsed="false">
      <c r="N1348" s="1" t="str">
        <f aca="false">IF(C1348="","",IFERROR(VLOOKUP(C1348,Master_Mappings!$A$4:$E$85,3,FALSE()),"UNMAPPED"))</f>
        <v/>
      </c>
      <c r="P1348" s="1" t="str">
        <f aca="false">IF($C1348="","",$C1348&amp;"|"&amp;$E1348&amp;"|"&amp;$M1348&amp;"|"&amp;TEXT($G1348,"yyyy-mm-dd")&amp;"|"&amp;LEFT($J1348,40))</f>
        <v/>
      </c>
      <c r="Q1348" s="11" t="str">
        <f aca="false">IF(P1348="","",IF(COUNTIF($P$2:$P$3000,P1348)&gt;1,"DUPLICATE","OK"))</f>
        <v/>
      </c>
      <c r="R1348" s="0" t="str">
        <f aca="false">IF($C1348="","",IFERROR(VLOOKUP(--$C1348,MM_Income!$Z$5:$AC$204,3,FALSE()),""))</f>
        <v/>
      </c>
    </row>
    <row r="1349" customFormat="false" ht="13.5" hidden="false" customHeight="false" outlineLevel="0" collapsed="false">
      <c r="N1349" s="1" t="str">
        <f aca="false">IF(C1349="","",IFERROR(VLOOKUP(C1349,Master_Mappings!$A$4:$E$85,3,FALSE()),"UNMAPPED"))</f>
        <v/>
      </c>
      <c r="P1349" s="1" t="str">
        <f aca="false">IF($C1349="","",$C1349&amp;"|"&amp;$E1349&amp;"|"&amp;$M1349&amp;"|"&amp;TEXT($G1349,"yyyy-mm-dd")&amp;"|"&amp;LEFT($J1349,40))</f>
        <v/>
      </c>
      <c r="Q1349" s="11" t="str">
        <f aca="false">IF(P1349="","",IF(COUNTIF($P$2:$P$3000,P1349)&gt;1,"DUPLICATE","OK"))</f>
        <v/>
      </c>
      <c r="R1349" s="0" t="str">
        <f aca="false">IF($C1349="","",IFERROR(VLOOKUP(--$C1349,MM_Income!$Z$5:$AC$204,3,FALSE()),""))</f>
        <v/>
      </c>
    </row>
    <row r="1350" customFormat="false" ht="13.5" hidden="false" customHeight="false" outlineLevel="0" collapsed="false">
      <c r="N1350" s="1" t="str">
        <f aca="false">IF(C1350="","",IFERROR(VLOOKUP(C1350,Master_Mappings!$A$4:$E$85,3,FALSE()),"UNMAPPED"))</f>
        <v/>
      </c>
      <c r="P1350" s="1" t="str">
        <f aca="false">IF($C1350="","",$C1350&amp;"|"&amp;$E1350&amp;"|"&amp;$M1350&amp;"|"&amp;TEXT($G1350,"yyyy-mm-dd")&amp;"|"&amp;LEFT($J1350,40))</f>
        <v/>
      </c>
      <c r="Q1350" s="11" t="str">
        <f aca="false">IF(P1350="","",IF(COUNTIF($P$2:$P$3000,P1350)&gt;1,"DUPLICATE","OK"))</f>
        <v/>
      </c>
      <c r="R1350" s="0" t="str">
        <f aca="false">IF($C1350="","",IFERROR(VLOOKUP(--$C1350,MM_Income!$Z$5:$AC$204,3,FALSE()),""))</f>
        <v/>
      </c>
    </row>
    <row r="1351" customFormat="false" ht="13.5" hidden="false" customHeight="false" outlineLevel="0" collapsed="false">
      <c r="N1351" s="1" t="str">
        <f aca="false">IF(C1351="","",IFERROR(VLOOKUP(C1351,Master_Mappings!$A$4:$E$85,3,FALSE()),"UNMAPPED"))</f>
        <v/>
      </c>
      <c r="P1351" s="1" t="str">
        <f aca="false">IF($C1351="","",$C1351&amp;"|"&amp;$E1351&amp;"|"&amp;$M1351&amp;"|"&amp;TEXT($G1351,"yyyy-mm-dd")&amp;"|"&amp;LEFT($J1351,40))</f>
        <v/>
      </c>
      <c r="Q1351" s="11" t="str">
        <f aca="false">IF(P1351="","",IF(COUNTIF($P$2:$P$3000,P1351)&gt;1,"DUPLICATE","OK"))</f>
        <v/>
      </c>
      <c r="R1351" s="0" t="str">
        <f aca="false">IF($C1351="","",IFERROR(VLOOKUP(--$C1351,MM_Income!$Z$5:$AC$204,3,FALSE()),""))</f>
        <v/>
      </c>
    </row>
    <row r="1352" customFormat="false" ht="13.5" hidden="false" customHeight="false" outlineLevel="0" collapsed="false">
      <c r="N1352" s="1" t="str">
        <f aca="false">IF(C1352="","",IFERROR(VLOOKUP(C1352,Master_Mappings!$A$4:$E$85,3,FALSE()),"UNMAPPED"))</f>
        <v/>
      </c>
      <c r="P1352" s="1" t="str">
        <f aca="false">IF($C1352="","",$C1352&amp;"|"&amp;$E1352&amp;"|"&amp;$M1352&amp;"|"&amp;TEXT($G1352,"yyyy-mm-dd")&amp;"|"&amp;LEFT($J1352,40))</f>
        <v/>
      </c>
      <c r="Q1352" s="11" t="str">
        <f aca="false">IF(P1352="","",IF(COUNTIF($P$2:$P$3000,P1352)&gt;1,"DUPLICATE","OK"))</f>
        <v/>
      </c>
      <c r="R1352" s="0" t="str">
        <f aca="false">IF($C1352="","",IFERROR(VLOOKUP(--$C1352,MM_Income!$Z$5:$AC$204,3,FALSE()),""))</f>
        <v/>
      </c>
    </row>
    <row r="1353" customFormat="false" ht="13.5" hidden="false" customHeight="false" outlineLevel="0" collapsed="false">
      <c r="N1353" s="1" t="str">
        <f aca="false">IF(C1353="","",IFERROR(VLOOKUP(C1353,Master_Mappings!$A$4:$E$85,3,FALSE()),"UNMAPPED"))</f>
        <v/>
      </c>
      <c r="P1353" s="1" t="str">
        <f aca="false">IF($C1353="","",$C1353&amp;"|"&amp;$E1353&amp;"|"&amp;$M1353&amp;"|"&amp;TEXT($G1353,"yyyy-mm-dd")&amp;"|"&amp;LEFT($J1353,40))</f>
        <v/>
      </c>
      <c r="Q1353" s="11" t="str">
        <f aca="false">IF(P1353="","",IF(COUNTIF($P$2:$P$3000,P1353)&gt;1,"DUPLICATE","OK"))</f>
        <v/>
      </c>
      <c r="R1353" s="0" t="str">
        <f aca="false">IF($C1353="","",IFERROR(VLOOKUP(--$C1353,MM_Income!$Z$5:$AC$204,3,FALSE()),""))</f>
        <v/>
      </c>
    </row>
    <row r="1354" customFormat="false" ht="13.5" hidden="false" customHeight="false" outlineLevel="0" collapsed="false">
      <c r="N1354" s="1" t="str">
        <f aca="false">IF(C1354="","",IFERROR(VLOOKUP(C1354,Master_Mappings!$A$4:$E$85,3,FALSE()),"UNMAPPED"))</f>
        <v/>
      </c>
      <c r="P1354" s="1" t="str">
        <f aca="false">IF($C1354="","",$C1354&amp;"|"&amp;$E1354&amp;"|"&amp;$M1354&amp;"|"&amp;TEXT($G1354,"yyyy-mm-dd")&amp;"|"&amp;LEFT($J1354,40))</f>
        <v/>
      </c>
      <c r="Q1354" s="11" t="str">
        <f aca="false">IF(P1354="","",IF(COUNTIF($P$2:$P$3000,P1354)&gt;1,"DUPLICATE","OK"))</f>
        <v/>
      </c>
      <c r="R1354" s="0" t="str">
        <f aca="false">IF($C1354="","",IFERROR(VLOOKUP(--$C1354,MM_Income!$Z$5:$AC$204,3,FALSE()),""))</f>
        <v/>
      </c>
    </row>
    <row r="1355" customFormat="false" ht="13.5" hidden="false" customHeight="false" outlineLevel="0" collapsed="false">
      <c r="N1355" s="1" t="str">
        <f aca="false">IF(C1355="","",IFERROR(VLOOKUP(C1355,Master_Mappings!$A$4:$E$85,3,FALSE()),"UNMAPPED"))</f>
        <v/>
      </c>
      <c r="P1355" s="1" t="str">
        <f aca="false">IF($C1355="","",$C1355&amp;"|"&amp;$E1355&amp;"|"&amp;$M1355&amp;"|"&amp;TEXT($G1355,"yyyy-mm-dd")&amp;"|"&amp;LEFT($J1355,40))</f>
        <v/>
      </c>
      <c r="Q1355" s="11" t="str">
        <f aca="false">IF(P1355="","",IF(COUNTIF($P$2:$P$3000,P1355)&gt;1,"DUPLICATE","OK"))</f>
        <v/>
      </c>
      <c r="R1355" s="0" t="str">
        <f aca="false">IF($C1355="","",IFERROR(VLOOKUP(--$C1355,MM_Income!$Z$5:$AC$204,3,FALSE()),""))</f>
        <v/>
      </c>
    </row>
    <row r="1356" customFormat="false" ht="13.5" hidden="false" customHeight="false" outlineLevel="0" collapsed="false">
      <c r="N1356" s="1" t="str">
        <f aca="false">IF(C1356="","",IFERROR(VLOOKUP(C1356,Master_Mappings!$A$4:$E$85,3,FALSE()),"UNMAPPED"))</f>
        <v/>
      </c>
      <c r="P1356" s="1" t="str">
        <f aca="false">IF($C1356="","",$C1356&amp;"|"&amp;$E1356&amp;"|"&amp;$M1356&amp;"|"&amp;TEXT($G1356,"yyyy-mm-dd")&amp;"|"&amp;LEFT($J1356,40))</f>
        <v/>
      </c>
      <c r="Q1356" s="11" t="str">
        <f aca="false">IF(P1356="","",IF(COUNTIF($P$2:$P$3000,P1356)&gt;1,"DUPLICATE","OK"))</f>
        <v/>
      </c>
      <c r="R1356" s="0" t="str">
        <f aca="false">IF($C1356="","",IFERROR(VLOOKUP(--$C1356,MM_Income!$Z$5:$AC$204,3,FALSE()),""))</f>
        <v/>
      </c>
    </row>
    <row r="1357" customFormat="false" ht="13.5" hidden="false" customHeight="false" outlineLevel="0" collapsed="false">
      <c r="N1357" s="1" t="str">
        <f aca="false">IF(C1357="","",IFERROR(VLOOKUP(C1357,Master_Mappings!$A$4:$E$85,3,FALSE()),"UNMAPPED"))</f>
        <v/>
      </c>
      <c r="P1357" s="1" t="str">
        <f aca="false">IF($C1357="","",$C1357&amp;"|"&amp;$E1357&amp;"|"&amp;$M1357&amp;"|"&amp;TEXT($G1357,"yyyy-mm-dd")&amp;"|"&amp;LEFT($J1357,40))</f>
        <v/>
      </c>
      <c r="Q1357" s="11" t="str">
        <f aca="false">IF(P1357="","",IF(COUNTIF($P$2:$P$3000,P1357)&gt;1,"DUPLICATE","OK"))</f>
        <v/>
      </c>
      <c r="R1357" s="0" t="str">
        <f aca="false">IF($C1357="","",IFERROR(VLOOKUP(--$C1357,MM_Income!$Z$5:$AC$204,3,FALSE()),""))</f>
        <v/>
      </c>
    </row>
    <row r="1358" customFormat="false" ht="13.5" hidden="false" customHeight="false" outlineLevel="0" collapsed="false">
      <c r="N1358" s="1" t="str">
        <f aca="false">IF(C1358="","",IFERROR(VLOOKUP(C1358,Master_Mappings!$A$4:$E$85,3,FALSE()),"UNMAPPED"))</f>
        <v/>
      </c>
      <c r="P1358" s="1" t="str">
        <f aca="false">IF($C1358="","",$C1358&amp;"|"&amp;$E1358&amp;"|"&amp;$M1358&amp;"|"&amp;TEXT($G1358,"yyyy-mm-dd")&amp;"|"&amp;LEFT($J1358,40))</f>
        <v/>
      </c>
      <c r="Q1358" s="11" t="str">
        <f aca="false">IF(P1358="","",IF(COUNTIF($P$2:$P$3000,P1358)&gt;1,"DUPLICATE","OK"))</f>
        <v/>
      </c>
      <c r="R1358" s="0" t="str">
        <f aca="false">IF($C1358="","",IFERROR(VLOOKUP(--$C1358,MM_Income!$Z$5:$AC$204,3,FALSE()),""))</f>
        <v/>
      </c>
    </row>
    <row r="1359" customFormat="false" ht="13.5" hidden="false" customHeight="false" outlineLevel="0" collapsed="false">
      <c r="N1359" s="1" t="str">
        <f aca="false">IF(C1359="","",IFERROR(VLOOKUP(C1359,Master_Mappings!$A$4:$E$85,3,FALSE()),"UNMAPPED"))</f>
        <v/>
      </c>
      <c r="P1359" s="1" t="str">
        <f aca="false">IF($C1359="","",$C1359&amp;"|"&amp;$E1359&amp;"|"&amp;$M1359&amp;"|"&amp;TEXT($G1359,"yyyy-mm-dd")&amp;"|"&amp;LEFT($J1359,40))</f>
        <v/>
      </c>
      <c r="Q1359" s="11" t="str">
        <f aca="false">IF(P1359="","",IF(COUNTIF($P$2:$P$3000,P1359)&gt;1,"DUPLICATE","OK"))</f>
        <v/>
      </c>
      <c r="R1359" s="0" t="str">
        <f aca="false">IF($C1359="","",IFERROR(VLOOKUP(--$C1359,MM_Income!$Z$5:$AC$204,3,FALSE()),""))</f>
        <v/>
      </c>
    </row>
    <row r="1360" customFormat="false" ht="13.5" hidden="false" customHeight="false" outlineLevel="0" collapsed="false">
      <c r="N1360" s="1" t="str">
        <f aca="false">IF(C1360="","",IFERROR(VLOOKUP(C1360,Master_Mappings!$A$4:$E$85,3,FALSE()),"UNMAPPED"))</f>
        <v/>
      </c>
      <c r="P1360" s="1" t="str">
        <f aca="false">IF($C1360="","",$C1360&amp;"|"&amp;$E1360&amp;"|"&amp;$M1360&amp;"|"&amp;TEXT($G1360,"yyyy-mm-dd")&amp;"|"&amp;LEFT($J1360,40))</f>
        <v/>
      </c>
      <c r="Q1360" s="11" t="str">
        <f aca="false">IF(P1360="","",IF(COUNTIF($P$2:$P$3000,P1360)&gt;1,"DUPLICATE","OK"))</f>
        <v/>
      </c>
      <c r="R1360" s="0" t="str">
        <f aca="false">IF($C1360="","",IFERROR(VLOOKUP(--$C1360,MM_Income!$Z$5:$AC$204,3,FALSE()),""))</f>
        <v/>
      </c>
    </row>
    <row r="1361" customFormat="false" ht="13.5" hidden="false" customHeight="false" outlineLevel="0" collapsed="false">
      <c r="N1361" s="1" t="str">
        <f aca="false">IF(C1361="","",IFERROR(VLOOKUP(C1361,Master_Mappings!$A$4:$E$85,3,FALSE()),"UNMAPPED"))</f>
        <v/>
      </c>
      <c r="P1361" s="1" t="str">
        <f aca="false">IF($C1361="","",$C1361&amp;"|"&amp;$E1361&amp;"|"&amp;$M1361&amp;"|"&amp;TEXT($G1361,"yyyy-mm-dd")&amp;"|"&amp;LEFT($J1361,40))</f>
        <v/>
      </c>
      <c r="Q1361" s="11" t="str">
        <f aca="false">IF(P1361="","",IF(COUNTIF($P$2:$P$3000,P1361)&gt;1,"DUPLICATE","OK"))</f>
        <v/>
      </c>
      <c r="R1361" s="0" t="str">
        <f aca="false">IF($C1361="","",IFERROR(VLOOKUP(--$C1361,MM_Income!$Z$5:$AC$204,3,FALSE()),""))</f>
        <v/>
      </c>
    </row>
    <row r="1362" customFormat="false" ht="13.5" hidden="false" customHeight="false" outlineLevel="0" collapsed="false">
      <c r="N1362" s="1" t="str">
        <f aca="false">IF(C1362="","",IFERROR(VLOOKUP(C1362,Master_Mappings!$A$4:$E$85,3,FALSE()),"UNMAPPED"))</f>
        <v/>
      </c>
      <c r="P1362" s="1" t="str">
        <f aca="false">IF($C1362="","",$C1362&amp;"|"&amp;$E1362&amp;"|"&amp;$M1362&amp;"|"&amp;TEXT($G1362,"yyyy-mm-dd")&amp;"|"&amp;LEFT($J1362,40))</f>
        <v/>
      </c>
      <c r="Q1362" s="11" t="str">
        <f aca="false">IF(P1362="","",IF(COUNTIF($P$2:$P$3000,P1362)&gt;1,"DUPLICATE","OK"))</f>
        <v/>
      </c>
      <c r="R1362" s="0" t="str">
        <f aca="false">IF($C1362="","",IFERROR(VLOOKUP(--$C1362,MM_Income!$Z$5:$AC$204,3,FALSE()),""))</f>
        <v/>
      </c>
    </row>
    <row r="1363" customFormat="false" ht="13.5" hidden="false" customHeight="false" outlineLevel="0" collapsed="false">
      <c r="N1363" s="1" t="str">
        <f aca="false">IF(C1363="","",IFERROR(VLOOKUP(C1363,Master_Mappings!$A$4:$E$85,3,FALSE()),"UNMAPPED"))</f>
        <v/>
      </c>
      <c r="P1363" s="1" t="str">
        <f aca="false">IF($C1363="","",$C1363&amp;"|"&amp;$E1363&amp;"|"&amp;$M1363&amp;"|"&amp;TEXT($G1363,"yyyy-mm-dd")&amp;"|"&amp;LEFT($J1363,40))</f>
        <v/>
      </c>
      <c r="Q1363" s="11" t="str">
        <f aca="false">IF(P1363="","",IF(COUNTIF($P$2:$P$3000,P1363)&gt;1,"DUPLICATE","OK"))</f>
        <v/>
      </c>
      <c r="R1363" s="0" t="str">
        <f aca="false">IF($C1363="","",IFERROR(VLOOKUP(--$C1363,MM_Income!$Z$5:$AC$204,3,FALSE()),""))</f>
        <v/>
      </c>
    </row>
    <row r="1364" customFormat="false" ht="13.5" hidden="false" customHeight="false" outlineLevel="0" collapsed="false">
      <c r="N1364" s="1" t="str">
        <f aca="false">IF(C1364="","",IFERROR(VLOOKUP(C1364,Master_Mappings!$A$4:$E$85,3,FALSE()),"UNMAPPED"))</f>
        <v/>
      </c>
      <c r="P1364" s="1" t="str">
        <f aca="false">IF($C1364="","",$C1364&amp;"|"&amp;$E1364&amp;"|"&amp;$M1364&amp;"|"&amp;TEXT($G1364,"yyyy-mm-dd")&amp;"|"&amp;LEFT($J1364,40))</f>
        <v/>
      </c>
      <c r="Q1364" s="11" t="str">
        <f aca="false">IF(P1364="","",IF(COUNTIF($P$2:$P$3000,P1364)&gt;1,"DUPLICATE","OK"))</f>
        <v/>
      </c>
      <c r="R1364" s="0" t="str">
        <f aca="false">IF($C1364="","",IFERROR(VLOOKUP(--$C1364,MM_Income!$Z$5:$AC$204,3,FALSE()),""))</f>
        <v/>
      </c>
    </row>
    <row r="1365" customFormat="false" ht="13.5" hidden="false" customHeight="false" outlineLevel="0" collapsed="false">
      <c r="N1365" s="1" t="str">
        <f aca="false">IF(C1365="","",IFERROR(VLOOKUP(C1365,Master_Mappings!$A$4:$E$85,3,FALSE()),"UNMAPPED"))</f>
        <v/>
      </c>
      <c r="P1365" s="1" t="str">
        <f aca="false">IF($C1365="","",$C1365&amp;"|"&amp;$E1365&amp;"|"&amp;$M1365&amp;"|"&amp;TEXT($G1365,"yyyy-mm-dd")&amp;"|"&amp;LEFT($J1365,40))</f>
        <v/>
      </c>
      <c r="Q1365" s="11" t="str">
        <f aca="false">IF(P1365="","",IF(COUNTIF($P$2:$P$3000,P1365)&gt;1,"DUPLICATE","OK"))</f>
        <v/>
      </c>
      <c r="R1365" s="0" t="str">
        <f aca="false">IF($C1365="","",IFERROR(VLOOKUP(--$C1365,MM_Income!$Z$5:$AC$204,3,FALSE()),""))</f>
        <v/>
      </c>
    </row>
    <row r="1366" customFormat="false" ht="13.5" hidden="false" customHeight="false" outlineLevel="0" collapsed="false">
      <c r="N1366" s="1" t="str">
        <f aca="false">IF(C1366="","",IFERROR(VLOOKUP(C1366,Master_Mappings!$A$4:$E$85,3,FALSE()),"UNMAPPED"))</f>
        <v/>
      </c>
      <c r="P1366" s="1" t="str">
        <f aca="false">IF($C1366="","",$C1366&amp;"|"&amp;$E1366&amp;"|"&amp;$M1366&amp;"|"&amp;TEXT($G1366,"yyyy-mm-dd")&amp;"|"&amp;LEFT($J1366,40))</f>
        <v/>
      </c>
      <c r="Q1366" s="11" t="str">
        <f aca="false">IF(P1366="","",IF(COUNTIF($P$2:$P$3000,P1366)&gt;1,"DUPLICATE","OK"))</f>
        <v/>
      </c>
      <c r="R1366" s="0" t="str">
        <f aca="false">IF($C1366="","",IFERROR(VLOOKUP(--$C1366,MM_Income!$Z$5:$AC$204,3,FALSE()),""))</f>
        <v/>
      </c>
    </row>
    <row r="1367" customFormat="false" ht="13.5" hidden="false" customHeight="false" outlineLevel="0" collapsed="false">
      <c r="N1367" s="1" t="str">
        <f aca="false">IF(C1367="","",IFERROR(VLOOKUP(C1367,Master_Mappings!$A$4:$E$85,3,FALSE()),"UNMAPPED"))</f>
        <v/>
      </c>
      <c r="P1367" s="1" t="str">
        <f aca="false">IF($C1367="","",$C1367&amp;"|"&amp;$E1367&amp;"|"&amp;$M1367&amp;"|"&amp;TEXT($G1367,"yyyy-mm-dd")&amp;"|"&amp;LEFT($J1367,40))</f>
        <v/>
      </c>
      <c r="Q1367" s="11" t="str">
        <f aca="false">IF(P1367="","",IF(COUNTIF($P$2:$P$3000,P1367)&gt;1,"DUPLICATE","OK"))</f>
        <v/>
      </c>
      <c r="R1367" s="0" t="str">
        <f aca="false">IF($C1367="","",IFERROR(VLOOKUP(--$C1367,MM_Income!$Z$5:$AC$204,3,FALSE()),""))</f>
        <v/>
      </c>
    </row>
    <row r="1368" customFormat="false" ht="13.5" hidden="false" customHeight="false" outlineLevel="0" collapsed="false">
      <c r="N1368" s="1" t="str">
        <f aca="false">IF(C1368="","",IFERROR(VLOOKUP(C1368,Master_Mappings!$A$4:$E$85,3,FALSE()),"UNMAPPED"))</f>
        <v/>
      </c>
      <c r="P1368" s="1" t="str">
        <f aca="false">IF($C1368="","",$C1368&amp;"|"&amp;$E1368&amp;"|"&amp;$M1368&amp;"|"&amp;TEXT($G1368,"yyyy-mm-dd")&amp;"|"&amp;LEFT($J1368,40))</f>
        <v/>
      </c>
      <c r="Q1368" s="11" t="str">
        <f aca="false">IF(P1368="","",IF(COUNTIF($P$2:$P$3000,P1368)&gt;1,"DUPLICATE","OK"))</f>
        <v/>
      </c>
      <c r="R1368" s="0" t="str">
        <f aca="false">IF($C1368="","",IFERROR(VLOOKUP(--$C1368,MM_Income!$Z$5:$AC$204,3,FALSE()),""))</f>
        <v/>
      </c>
    </row>
    <row r="1369" customFormat="false" ht="13.5" hidden="false" customHeight="false" outlineLevel="0" collapsed="false">
      <c r="N1369" s="1" t="str">
        <f aca="false">IF(C1369="","",IFERROR(VLOOKUP(C1369,Master_Mappings!$A$4:$E$85,3,FALSE()),"UNMAPPED"))</f>
        <v/>
      </c>
      <c r="P1369" s="1" t="str">
        <f aca="false">IF($C1369="","",$C1369&amp;"|"&amp;$E1369&amp;"|"&amp;$M1369&amp;"|"&amp;TEXT($G1369,"yyyy-mm-dd")&amp;"|"&amp;LEFT($J1369,40))</f>
        <v/>
      </c>
      <c r="Q1369" s="11" t="str">
        <f aca="false">IF(P1369="","",IF(COUNTIF($P$2:$P$3000,P1369)&gt;1,"DUPLICATE","OK"))</f>
        <v/>
      </c>
      <c r="R1369" s="0" t="str">
        <f aca="false">IF($C1369="","",IFERROR(VLOOKUP(--$C1369,MM_Income!$Z$5:$AC$204,3,FALSE()),""))</f>
        <v/>
      </c>
    </row>
    <row r="1370" customFormat="false" ht="13.5" hidden="false" customHeight="false" outlineLevel="0" collapsed="false">
      <c r="N1370" s="1" t="str">
        <f aca="false">IF(C1370="","",IFERROR(VLOOKUP(C1370,Master_Mappings!$A$4:$E$85,3,FALSE()),"UNMAPPED"))</f>
        <v/>
      </c>
      <c r="P1370" s="1" t="str">
        <f aca="false">IF($C1370="","",$C1370&amp;"|"&amp;$E1370&amp;"|"&amp;$M1370&amp;"|"&amp;TEXT($G1370,"yyyy-mm-dd")&amp;"|"&amp;LEFT($J1370,40))</f>
        <v/>
      </c>
      <c r="Q1370" s="11" t="str">
        <f aca="false">IF(P1370="","",IF(COUNTIF($P$2:$P$3000,P1370)&gt;1,"DUPLICATE","OK"))</f>
        <v/>
      </c>
      <c r="R1370" s="0" t="str">
        <f aca="false">IF($C1370="","",IFERROR(VLOOKUP(--$C1370,MM_Income!$Z$5:$AC$204,3,FALSE()),""))</f>
        <v/>
      </c>
    </row>
    <row r="1371" customFormat="false" ht="13.5" hidden="false" customHeight="false" outlineLevel="0" collapsed="false">
      <c r="N1371" s="1" t="str">
        <f aca="false">IF(C1371="","",IFERROR(VLOOKUP(C1371,Master_Mappings!$A$4:$E$85,3,FALSE()),"UNMAPPED"))</f>
        <v/>
      </c>
      <c r="P1371" s="1" t="str">
        <f aca="false">IF($C1371="","",$C1371&amp;"|"&amp;$E1371&amp;"|"&amp;$M1371&amp;"|"&amp;TEXT($G1371,"yyyy-mm-dd")&amp;"|"&amp;LEFT($J1371,40))</f>
        <v/>
      </c>
      <c r="Q1371" s="11" t="str">
        <f aca="false">IF(P1371="","",IF(COUNTIF($P$2:$P$3000,P1371)&gt;1,"DUPLICATE","OK"))</f>
        <v/>
      </c>
      <c r="R1371" s="0" t="str">
        <f aca="false">IF($C1371="","",IFERROR(VLOOKUP(--$C1371,MM_Income!$Z$5:$AC$204,3,FALSE()),""))</f>
        <v/>
      </c>
    </row>
    <row r="1372" customFormat="false" ht="13.5" hidden="false" customHeight="false" outlineLevel="0" collapsed="false">
      <c r="N1372" s="1" t="str">
        <f aca="false">IF(C1372="","",IFERROR(VLOOKUP(C1372,Master_Mappings!$A$4:$E$85,3,FALSE()),"UNMAPPED"))</f>
        <v/>
      </c>
      <c r="P1372" s="1" t="str">
        <f aca="false">IF($C1372="","",$C1372&amp;"|"&amp;$E1372&amp;"|"&amp;$M1372&amp;"|"&amp;TEXT($G1372,"yyyy-mm-dd")&amp;"|"&amp;LEFT($J1372,40))</f>
        <v/>
      </c>
      <c r="Q1372" s="11" t="str">
        <f aca="false">IF(P1372="","",IF(COUNTIF($P$2:$P$3000,P1372)&gt;1,"DUPLICATE","OK"))</f>
        <v/>
      </c>
      <c r="R1372" s="0" t="str">
        <f aca="false">IF($C1372="","",IFERROR(VLOOKUP(--$C1372,MM_Income!$Z$5:$AC$204,3,FALSE()),""))</f>
        <v/>
      </c>
    </row>
    <row r="1373" customFormat="false" ht="13.5" hidden="false" customHeight="false" outlineLevel="0" collapsed="false">
      <c r="N1373" s="1" t="str">
        <f aca="false">IF(C1373="","",IFERROR(VLOOKUP(C1373,Master_Mappings!$A$4:$E$85,3,FALSE()),"UNMAPPED"))</f>
        <v/>
      </c>
      <c r="P1373" s="1" t="str">
        <f aca="false">IF($C1373="","",$C1373&amp;"|"&amp;$E1373&amp;"|"&amp;$M1373&amp;"|"&amp;TEXT($G1373,"yyyy-mm-dd")&amp;"|"&amp;LEFT($J1373,40))</f>
        <v/>
      </c>
      <c r="Q1373" s="11" t="str">
        <f aca="false">IF(P1373="","",IF(COUNTIF($P$2:$P$3000,P1373)&gt;1,"DUPLICATE","OK"))</f>
        <v/>
      </c>
      <c r="R1373" s="0" t="str">
        <f aca="false">IF($C1373="","",IFERROR(VLOOKUP(--$C1373,MM_Income!$Z$5:$AC$204,3,FALSE()),""))</f>
        <v/>
      </c>
    </row>
    <row r="1374" customFormat="false" ht="13.5" hidden="false" customHeight="false" outlineLevel="0" collapsed="false">
      <c r="N1374" s="1" t="str">
        <f aca="false">IF(C1374="","",IFERROR(VLOOKUP(C1374,Master_Mappings!$A$4:$E$85,3,FALSE()),"UNMAPPED"))</f>
        <v/>
      </c>
      <c r="P1374" s="1" t="str">
        <f aca="false">IF($C1374="","",$C1374&amp;"|"&amp;$E1374&amp;"|"&amp;$M1374&amp;"|"&amp;TEXT($G1374,"yyyy-mm-dd")&amp;"|"&amp;LEFT($J1374,40))</f>
        <v/>
      </c>
      <c r="Q1374" s="11" t="str">
        <f aca="false">IF(P1374="","",IF(COUNTIF($P$2:$P$3000,P1374)&gt;1,"DUPLICATE","OK"))</f>
        <v/>
      </c>
      <c r="R1374" s="0" t="str">
        <f aca="false">IF($C1374="","",IFERROR(VLOOKUP(--$C1374,MM_Income!$Z$5:$AC$204,3,FALSE()),""))</f>
        <v/>
      </c>
    </row>
    <row r="1375" customFormat="false" ht="13.5" hidden="false" customHeight="false" outlineLevel="0" collapsed="false">
      <c r="N1375" s="1" t="str">
        <f aca="false">IF(C1375="","",IFERROR(VLOOKUP(C1375,Master_Mappings!$A$4:$E$85,3,FALSE()),"UNMAPPED"))</f>
        <v/>
      </c>
      <c r="P1375" s="1" t="str">
        <f aca="false">IF($C1375="","",$C1375&amp;"|"&amp;$E1375&amp;"|"&amp;$M1375&amp;"|"&amp;TEXT($G1375,"yyyy-mm-dd")&amp;"|"&amp;LEFT($J1375,40))</f>
        <v/>
      </c>
      <c r="Q1375" s="11" t="str">
        <f aca="false">IF(P1375="","",IF(COUNTIF($P$2:$P$3000,P1375)&gt;1,"DUPLICATE","OK"))</f>
        <v/>
      </c>
      <c r="R1375" s="0" t="str">
        <f aca="false">IF($C1375="","",IFERROR(VLOOKUP(--$C1375,MM_Income!$Z$5:$AC$204,3,FALSE()),""))</f>
        <v/>
      </c>
    </row>
    <row r="1376" customFormat="false" ht="13.5" hidden="false" customHeight="false" outlineLevel="0" collapsed="false">
      <c r="N1376" s="1" t="str">
        <f aca="false">IF(C1376="","",IFERROR(VLOOKUP(C1376,Master_Mappings!$A$4:$E$85,3,FALSE()),"UNMAPPED"))</f>
        <v/>
      </c>
      <c r="P1376" s="1" t="str">
        <f aca="false">IF($C1376="","",$C1376&amp;"|"&amp;$E1376&amp;"|"&amp;$M1376&amp;"|"&amp;TEXT($G1376,"yyyy-mm-dd")&amp;"|"&amp;LEFT($J1376,40))</f>
        <v/>
      </c>
      <c r="Q1376" s="11" t="str">
        <f aca="false">IF(P1376="","",IF(COUNTIF($P$2:$P$3000,P1376)&gt;1,"DUPLICATE","OK"))</f>
        <v/>
      </c>
      <c r="R1376" s="0" t="str">
        <f aca="false">IF($C1376="","",IFERROR(VLOOKUP(--$C1376,MM_Income!$Z$5:$AC$204,3,FALSE()),""))</f>
        <v/>
      </c>
    </row>
    <row r="1377" customFormat="false" ht="13.5" hidden="false" customHeight="false" outlineLevel="0" collapsed="false">
      <c r="N1377" s="1" t="str">
        <f aca="false">IF(C1377="","",IFERROR(VLOOKUP(C1377,Master_Mappings!$A$4:$E$85,3,FALSE()),"UNMAPPED"))</f>
        <v/>
      </c>
      <c r="P1377" s="1" t="str">
        <f aca="false">IF($C1377="","",$C1377&amp;"|"&amp;$E1377&amp;"|"&amp;$M1377&amp;"|"&amp;TEXT($G1377,"yyyy-mm-dd")&amp;"|"&amp;LEFT($J1377,40))</f>
        <v/>
      </c>
      <c r="Q1377" s="11" t="str">
        <f aca="false">IF(P1377="","",IF(COUNTIF($P$2:$P$3000,P1377)&gt;1,"DUPLICATE","OK"))</f>
        <v/>
      </c>
      <c r="R1377" s="0" t="str">
        <f aca="false">IF($C1377="","",IFERROR(VLOOKUP(--$C1377,MM_Income!$Z$5:$AC$204,3,FALSE()),""))</f>
        <v/>
      </c>
    </row>
    <row r="1378" customFormat="false" ht="13.5" hidden="false" customHeight="false" outlineLevel="0" collapsed="false">
      <c r="N1378" s="1" t="str">
        <f aca="false">IF(C1378="","",IFERROR(VLOOKUP(C1378,Master_Mappings!$A$4:$E$85,3,FALSE()),"UNMAPPED"))</f>
        <v/>
      </c>
      <c r="P1378" s="1" t="str">
        <f aca="false">IF($C1378="","",$C1378&amp;"|"&amp;$E1378&amp;"|"&amp;$M1378&amp;"|"&amp;TEXT($G1378,"yyyy-mm-dd")&amp;"|"&amp;LEFT($J1378,40))</f>
        <v/>
      </c>
      <c r="Q1378" s="11" t="str">
        <f aca="false">IF(P1378="","",IF(COUNTIF($P$2:$P$3000,P1378)&gt;1,"DUPLICATE","OK"))</f>
        <v/>
      </c>
      <c r="R1378" s="0" t="str">
        <f aca="false">IF($C1378="","",IFERROR(VLOOKUP(--$C1378,MM_Income!$Z$5:$AC$204,3,FALSE()),""))</f>
        <v/>
      </c>
    </row>
    <row r="1379" customFormat="false" ht="13.5" hidden="false" customHeight="false" outlineLevel="0" collapsed="false">
      <c r="N1379" s="1" t="str">
        <f aca="false">IF(C1379="","",IFERROR(VLOOKUP(C1379,Master_Mappings!$A$4:$E$85,3,FALSE()),"UNMAPPED"))</f>
        <v/>
      </c>
      <c r="P1379" s="1" t="str">
        <f aca="false">IF($C1379="","",$C1379&amp;"|"&amp;$E1379&amp;"|"&amp;$M1379&amp;"|"&amp;TEXT($G1379,"yyyy-mm-dd")&amp;"|"&amp;LEFT($J1379,40))</f>
        <v/>
      </c>
      <c r="Q1379" s="11" t="str">
        <f aca="false">IF(P1379="","",IF(COUNTIF($P$2:$P$3000,P1379)&gt;1,"DUPLICATE","OK"))</f>
        <v/>
      </c>
      <c r="R1379" s="0" t="str">
        <f aca="false">IF($C1379="","",IFERROR(VLOOKUP(--$C1379,MM_Income!$Z$5:$AC$204,3,FALSE()),""))</f>
        <v/>
      </c>
    </row>
    <row r="1380" customFormat="false" ht="13.5" hidden="false" customHeight="false" outlineLevel="0" collapsed="false">
      <c r="N1380" s="1" t="str">
        <f aca="false">IF(C1380="","",IFERROR(VLOOKUP(C1380,Master_Mappings!$A$4:$E$85,3,FALSE()),"UNMAPPED"))</f>
        <v/>
      </c>
      <c r="P1380" s="1" t="str">
        <f aca="false">IF($C1380="","",$C1380&amp;"|"&amp;$E1380&amp;"|"&amp;$M1380&amp;"|"&amp;TEXT($G1380,"yyyy-mm-dd")&amp;"|"&amp;LEFT($J1380,40))</f>
        <v/>
      </c>
      <c r="Q1380" s="11" t="str">
        <f aca="false">IF(P1380="","",IF(COUNTIF($P$2:$P$3000,P1380)&gt;1,"DUPLICATE","OK"))</f>
        <v/>
      </c>
      <c r="R1380" s="0" t="str">
        <f aca="false">IF($C1380="","",IFERROR(VLOOKUP(--$C1380,MM_Income!$Z$5:$AC$204,3,FALSE()),""))</f>
        <v/>
      </c>
    </row>
    <row r="1381" customFormat="false" ht="13.5" hidden="false" customHeight="false" outlineLevel="0" collapsed="false">
      <c r="N1381" s="1" t="str">
        <f aca="false">IF(C1381="","",IFERROR(VLOOKUP(C1381,Master_Mappings!$A$4:$E$85,3,FALSE()),"UNMAPPED"))</f>
        <v/>
      </c>
      <c r="P1381" s="1" t="str">
        <f aca="false">IF($C1381="","",$C1381&amp;"|"&amp;$E1381&amp;"|"&amp;$M1381&amp;"|"&amp;TEXT($G1381,"yyyy-mm-dd")&amp;"|"&amp;LEFT($J1381,40))</f>
        <v/>
      </c>
      <c r="Q1381" s="11" t="str">
        <f aca="false">IF(P1381="","",IF(COUNTIF($P$2:$P$3000,P1381)&gt;1,"DUPLICATE","OK"))</f>
        <v/>
      </c>
      <c r="R1381" s="0" t="str">
        <f aca="false">IF($C1381="","",IFERROR(VLOOKUP(--$C1381,MM_Income!$Z$5:$AC$204,3,FALSE()),""))</f>
        <v/>
      </c>
    </row>
    <row r="1382" customFormat="false" ht="13.5" hidden="false" customHeight="false" outlineLevel="0" collapsed="false">
      <c r="N1382" s="1" t="str">
        <f aca="false">IF(C1382="","",IFERROR(VLOOKUP(C1382,Master_Mappings!$A$4:$E$85,3,FALSE()),"UNMAPPED"))</f>
        <v/>
      </c>
      <c r="P1382" s="1" t="str">
        <f aca="false">IF($C1382="","",$C1382&amp;"|"&amp;$E1382&amp;"|"&amp;$M1382&amp;"|"&amp;TEXT($G1382,"yyyy-mm-dd")&amp;"|"&amp;LEFT($J1382,40))</f>
        <v/>
      </c>
      <c r="Q1382" s="11" t="str">
        <f aca="false">IF(P1382="","",IF(COUNTIF($P$2:$P$3000,P1382)&gt;1,"DUPLICATE","OK"))</f>
        <v/>
      </c>
      <c r="R1382" s="0" t="str">
        <f aca="false">IF($C1382="","",IFERROR(VLOOKUP(--$C1382,MM_Income!$Z$5:$AC$204,3,FALSE()),""))</f>
        <v/>
      </c>
    </row>
    <row r="1383" customFormat="false" ht="13.5" hidden="false" customHeight="false" outlineLevel="0" collapsed="false">
      <c r="N1383" s="1" t="str">
        <f aca="false">IF(C1383="","",IFERROR(VLOOKUP(C1383,Master_Mappings!$A$4:$E$85,3,FALSE()),"UNMAPPED"))</f>
        <v/>
      </c>
      <c r="P1383" s="1" t="str">
        <f aca="false">IF($C1383="","",$C1383&amp;"|"&amp;$E1383&amp;"|"&amp;$M1383&amp;"|"&amp;TEXT($G1383,"yyyy-mm-dd")&amp;"|"&amp;LEFT($J1383,40))</f>
        <v/>
      </c>
      <c r="Q1383" s="11" t="str">
        <f aca="false">IF(P1383="","",IF(COUNTIF($P$2:$P$3000,P1383)&gt;1,"DUPLICATE","OK"))</f>
        <v/>
      </c>
      <c r="R1383" s="0" t="str">
        <f aca="false">IF($C1383="","",IFERROR(VLOOKUP(--$C1383,MM_Income!$Z$5:$AC$204,3,FALSE()),""))</f>
        <v/>
      </c>
    </row>
    <row r="1384" customFormat="false" ht="13.5" hidden="false" customHeight="false" outlineLevel="0" collapsed="false">
      <c r="N1384" s="1" t="str">
        <f aca="false">IF(C1384="","",IFERROR(VLOOKUP(C1384,Master_Mappings!$A$4:$E$85,3,FALSE()),"UNMAPPED"))</f>
        <v/>
      </c>
      <c r="P1384" s="1" t="str">
        <f aca="false">IF($C1384="","",$C1384&amp;"|"&amp;$E1384&amp;"|"&amp;$M1384&amp;"|"&amp;TEXT($G1384,"yyyy-mm-dd")&amp;"|"&amp;LEFT($J1384,40))</f>
        <v/>
      </c>
      <c r="Q1384" s="11" t="str">
        <f aca="false">IF(P1384="","",IF(COUNTIF($P$2:$P$3000,P1384)&gt;1,"DUPLICATE","OK"))</f>
        <v/>
      </c>
      <c r="R1384" s="0" t="str">
        <f aca="false">IF($C1384="","",IFERROR(VLOOKUP(--$C1384,MM_Income!$Z$5:$AC$204,3,FALSE()),""))</f>
        <v/>
      </c>
    </row>
    <row r="1385" customFormat="false" ht="13.5" hidden="false" customHeight="false" outlineLevel="0" collapsed="false">
      <c r="N1385" s="1" t="str">
        <f aca="false">IF(C1385="","",IFERROR(VLOOKUP(C1385,Master_Mappings!$A$4:$E$85,3,FALSE()),"UNMAPPED"))</f>
        <v/>
      </c>
      <c r="P1385" s="1" t="str">
        <f aca="false">IF($C1385="","",$C1385&amp;"|"&amp;$E1385&amp;"|"&amp;$M1385&amp;"|"&amp;TEXT($G1385,"yyyy-mm-dd")&amp;"|"&amp;LEFT($J1385,40))</f>
        <v/>
      </c>
      <c r="Q1385" s="11" t="str">
        <f aca="false">IF(P1385="","",IF(COUNTIF($P$2:$P$3000,P1385)&gt;1,"DUPLICATE","OK"))</f>
        <v/>
      </c>
      <c r="R1385" s="0" t="str">
        <f aca="false">IF($C1385="","",IFERROR(VLOOKUP(--$C1385,MM_Income!$Z$5:$AC$204,3,FALSE()),""))</f>
        <v/>
      </c>
    </row>
    <row r="1386" customFormat="false" ht="13.5" hidden="false" customHeight="false" outlineLevel="0" collapsed="false">
      <c r="N1386" s="1" t="str">
        <f aca="false">IF(C1386="","",IFERROR(VLOOKUP(C1386,Master_Mappings!$A$4:$E$85,3,FALSE()),"UNMAPPED"))</f>
        <v/>
      </c>
      <c r="P1386" s="1" t="str">
        <f aca="false">IF($C1386="","",$C1386&amp;"|"&amp;$E1386&amp;"|"&amp;$M1386&amp;"|"&amp;TEXT($G1386,"yyyy-mm-dd")&amp;"|"&amp;LEFT($J1386,40))</f>
        <v/>
      </c>
      <c r="Q1386" s="11" t="str">
        <f aca="false">IF(P1386="","",IF(COUNTIF($P$2:$P$3000,P1386)&gt;1,"DUPLICATE","OK"))</f>
        <v/>
      </c>
      <c r="R1386" s="0" t="str">
        <f aca="false">IF($C1386="","",IFERROR(VLOOKUP(--$C1386,MM_Income!$Z$5:$AC$204,3,FALSE()),""))</f>
        <v/>
      </c>
    </row>
    <row r="1387" customFormat="false" ht="13.5" hidden="false" customHeight="false" outlineLevel="0" collapsed="false">
      <c r="N1387" s="1" t="str">
        <f aca="false">IF(C1387="","",IFERROR(VLOOKUP(C1387,Master_Mappings!$A$4:$E$85,3,FALSE()),"UNMAPPED"))</f>
        <v/>
      </c>
      <c r="P1387" s="1" t="str">
        <f aca="false">IF($C1387="","",$C1387&amp;"|"&amp;$E1387&amp;"|"&amp;$M1387&amp;"|"&amp;TEXT($G1387,"yyyy-mm-dd")&amp;"|"&amp;LEFT($J1387,40))</f>
        <v/>
      </c>
      <c r="Q1387" s="11" t="str">
        <f aca="false">IF(P1387="","",IF(COUNTIF($P$2:$P$3000,P1387)&gt;1,"DUPLICATE","OK"))</f>
        <v/>
      </c>
      <c r="R1387" s="0" t="str">
        <f aca="false">IF($C1387="","",IFERROR(VLOOKUP(--$C1387,MM_Income!$Z$5:$AC$204,3,FALSE()),""))</f>
        <v/>
      </c>
    </row>
    <row r="1388" customFormat="false" ht="13.5" hidden="false" customHeight="false" outlineLevel="0" collapsed="false">
      <c r="N1388" s="1" t="str">
        <f aca="false">IF(C1388="","",IFERROR(VLOOKUP(C1388,Master_Mappings!$A$4:$E$85,3,FALSE()),"UNMAPPED"))</f>
        <v/>
      </c>
      <c r="P1388" s="1" t="str">
        <f aca="false">IF($C1388="","",$C1388&amp;"|"&amp;$E1388&amp;"|"&amp;$M1388&amp;"|"&amp;TEXT($G1388,"yyyy-mm-dd")&amp;"|"&amp;LEFT($J1388,40))</f>
        <v/>
      </c>
      <c r="Q1388" s="11" t="str">
        <f aca="false">IF(P1388="","",IF(COUNTIF($P$2:$P$3000,P1388)&gt;1,"DUPLICATE","OK"))</f>
        <v/>
      </c>
      <c r="R1388" s="0" t="str">
        <f aca="false">IF($C1388="","",IFERROR(VLOOKUP(--$C1388,MM_Income!$Z$5:$AC$204,3,FALSE()),""))</f>
        <v/>
      </c>
    </row>
    <row r="1389" customFormat="false" ht="13.5" hidden="false" customHeight="false" outlineLevel="0" collapsed="false">
      <c r="N1389" s="1" t="str">
        <f aca="false">IF(C1389="","",IFERROR(VLOOKUP(C1389,Master_Mappings!$A$4:$E$85,3,FALSE()),"UNMAPPED"))</f>
        <v/>
      </c>
      <c r="P1389" s="1" t="str">
        <f aca="false">IF($C1389="","",$C1389&amp;"|"&amp;$E1389&amp;"|"&amp;$M1389&amp;"|"&amp;TEXT($G1389,"yyyy-mm-dd")&amp;"|"&amp;LEFT($J1389,40))</f>
        <v/>
      </c>
      <c r="Q1389" s="11" t="str">
        <f aca="false">IF(P1389="","",IF(COUNTIF($P$2:$P$3000,P1389)&gt;1,"DUPLICATE","OK"))</f>
        <v/>
      </c>
      <c r="R1389" s="0" t="str">
        <f aca="false">IF($C1389="","",IFERROR(VLOOKUP(--$C1389,MM_Income!$Z$5:$AC$204,3,FALSE()),""))</f>
        <v/>
      </c>
    </row>
    <row r="1390" customFormat="false" ht="13.5" hidden="false" customHeight="false" outlineLevel="0" collapsed="false">
      <c r="N1390" s="1" t="str">
        <f aca="false">IF(C1390="","",IFERROR(VLOOKUP(C1390,Master_Mappings!$A$4:$E$85,3,FALSE()),"UNMAPPED"))</f>
        <v/>
      </c>
      <c r="P1390" s="1" t="str">
        <f aca="false">IF($C1390="","",$C1390&amp;"|"&amp;$E1390&amp;"|"&amp;$M1390&amp;"|"&amp;TEXT($G1390,"yyyy-mm-dd")&amp;"|"&amp;LEFT($J1390,40))</f>
        <v/>
      </c>
      <c r="Q1390" s="11" t="str">
        <f aca="false">IF(P1390="","",IF(COUNTIF($P$2:$P$3000,P1390)&gt;1,"DUPLICATE","OK"))</f>
        <v/>
      </c>
      <c r="R1390" s="0" t="str">
        <f aca="false">IF($C1390="","",IFERROR(VLOOKUP(--$C1390,MM_Income!$Z$5:$AC$204,3,FALSE()),""))</f>
        <v/>
      </c>
    </row>
    <row r="1391" customFormat="false" ht="13.5" hidden="false" customHeight="false" outlineLevel="0" collapsed="false">
      <c r="N1391" s="1" t="str">
        <f aca="false">IF(C1391="","",IFERROR(VLOOKUP(C1391,Master_Mappings!$A$4:$E$85,3,FALSE()),"UNMAPPED"))</f>
        <v/>
      </c>
      <c r="P1391" s="1" t="str">
        <f aca="false">IF($C1391="","",$C1391&amp;"|"&amp;$E1391&amp;"|"&amp;$M1391&amp;"|"&amp;TEXT($G1391,"yyyy-mm-dd")&amp;"|"&amp;LEFT($J1391,40))</f>
        <v/>
      </c>
      <c r="Q1391" s="11" t="str">
        <f aca="false">IF(P1391="","",IF(COUNTIF($P$2:$P$3000,P1391)&gt;1,"DUPLICATE","OK"))</f>
        <v/>
      </c>
      <c r="R1391" s="0" t="str">
        <f aca="false">IF($C1391="","",IFERROR(VLOOKUP(--$C1391,MM_Income!$Z$5:$AC$204,3,FALSE()),""))</f>
        <v/>
      </c>
    </row>
    <row r="1392" customFormat="false" ht="13.5" hidden="false" customHeight="false" outlineLevel="0" collapsed="false">
      <c r="N1392" s="1" t="str">
        <f aca="false">IF(C1392="","",IFERROR(VLOOKUP(C1392,Master_Mappings!$A$4:$E$85,3,FALSE()),"UNMAPPED"))</f>
        <v/>
      </c>
      <c r="P1392" s="1" t="str">
        <f aca="false">IF($C1392="","",$C1392&amp;"|"&amp;$E1392&amp;"|"&amp;$M1392&amp;"|"&amp;TEXT($G1392,"yyyy-mm-dd")&amp;"|"&amp;LEFT($J1392,40))</f>
        <v/>
      </c>
      <c r="Q1392" s="11" t="str">
        <f aca="false">IF(P1392="","",IF(COUNTIF($P$2:$P$3000,P1392)&gt;1,"DUPLICATE","OK"))</f>
        <v/>
      </c>
      <c r="R1392" s="0" t="str">
        <f aca="false">IF($C1392="","",IFERROR(VLOOKUP(--$C1392,MM_Income!$Z$5:$AC$204,3,FALSE()),""))</f>
        <v/>
      </c>
    </row>
    <row r="1393" customFormat="false" ht="13.5" hidden="false" customHeight="false" outlineLevel="0" collapsed="false">
      <c r="N1393" s="1" t="str">
        <f aca="false">IF(C1393="","",IFERROR(VLOOKUP(C1393,Master_Mappings!$A$4:$E$85,3,FALSE()),"UNMAPPED"))</f>
        <v/>
      </c>
      <c r="P1393" s="1" t="str">
        <f aca="false">IF($C1393="","",$C1393&amp;"|"&amp;$E1393&amp;"|"&amp;$M1393&amp;"|"&amp;TEXT($G1393,"yyyy-mm-dd")&amp;"|"&amp;LEFT($J1393,40))</f>
        <v/>
      </c>
      <c r="Q1393" s="11" t="str">
        <f aca="false">IF(P1393="","",IF(COUNTIF($P$2:$P$3000,P1393)&gt;1,"DUPLICATE","OK"))</f>
        <v/>
      </c>
      <c r="R1393" s="0" t="str">
        <f aca="false">IF($C1393="","",IFERROR(VLOOKUP(--$C1393,MM_Income!$Z$5:$AC$204,3,FALSE()),""))</f>
        <v/>
      </c>
    </row>
    <row r="1394" customFormat="false" ht="13.5" hidden="false" customHeight="false" outlineLevel="0" collapsed="false">
      <c r="N1394" s="1" t="str">
        <f aca="false">IF(C1394="","",IFERROR(VLOOKUP(C1394,Master_Mappings!$A$4:$E$85,3,FALSE()),"UNMAPPED"))</f>
        <v/>
      </c>
      <c r="P1394" s="1" t="str">
        <f aca="false">IF($C1394="","",$C1394&amp;"|"&amp;$E1394&amp;"|"&amp;$M1394&amp;"|"&amp;TEXT($G1394,"yyyy-mm-dd")&amp;"|"&amp;LEFT($J1394,40))</f>
        <v/>
      </c>
      <c r="Q1394" s="11" t="str">
        <f aca="false">IF(P1394="","",IF(COUNTIF($P$2:$P$3000,P1394)&gt;1,"DUPLICATE","OK"))</f>
        <v/>
      </c>
      <c r="R1394" s="0" t="str">
        <f aca="false">IF($C1394="","",IFERROR(VLOOKUP(--$C1394,MM_Income!$Z$5:$AC$204,3,FALSE()),""))</f>
        <v/>
      </c>
    </row>
    <row r="1395" customFormat="false" ht="13.5" hidden="false" customHeight="false" outlineLevel="0" collapsed="false">
      <c r="N1395" s="1" t="str">
        <f aca="false">IF(C1395="","",IFERROR(VLOOKUP(C1395,Master_Mappings!$A$4:$E$85,3,FALSE()),"UNMAPPED"))</f>
        <v/>
      </c>
      <c r="P1395" s="1" t="str">
        <f aca="false">IF($C1395="","",$C1395&amp;"|"&amp;$E1395&amp;"|"&amp;$M1395&amp;"|"&amp;TEXT($G1395,"yyyy-mm-dd")&amp;"|"&amp;LEFT($J1395,40))</f>
        <v/>
      </c>
      <c r="Q1395" s="11" t="str">
        <f aca="false">IF(P1395="","",IF(COUNTIF($P$2:$P$3000,P1395)&gt;1,"DUPLICATE","OK"))</f>
        <v/>
      </c>
      <c r="R1395" s="0" t="str">
        <f aca="false">IF($C1395="","",IFERROR(VLOOKUP(--$C1395,MM_Income!$Z$5:$AC$204,3,FALSE()),""))</f>
        <v/>
      </c>
    </row>
    <row r="1396" customFormat="false" ht="13.5" hidden="false" customHeight="false" outlineLevel="0" collapsed="false">
      <c r="N1396" s="1" t="str">
        <f aca="false">IF(C1396="","",IFERROR(VLOOKUP(C1396,Master_Mappings!$A$4:$E$85,3,FALSE()),"UNMAPPED"))</f>
        <v/>
      </c>
      <c r="P1396" s="1" t="str">
        <f aca="false">IF($C1396="","",$C1396&amp;"|"&amp;$E1396&amp;"|"&amp;$M1396&amp;"|"&amp;TEXT($G1396,"yyyy-mm-dd")&amp;"|"&amp;LEFT($J1396,40))</f>
        <v/>
      </c>
      <c r="Q1396" s="11" t="str">
        <f aca="false">IF(P1396="","",IF(COUNTIF($P$2:$P$3000,P1396)&gt;1,"DUPLICATE","OK"))</f>
        <v/>
      </c>
      <c r="R1396" s="0" t="str">
        <f aca="false">IF($C1396="","",IFERROR(VLOOKUP(--$C1396,MM_Income!$Z$5:$AC$204,3,FALSE()),""))</f>
        <v/>
      </c>
    </row>
    <row r="1397" customFormat="false" ht="13.5" hidden="false" customHeight="false" outlineLevel="0" collapsed="false">
      <c r="N1397" s="1" t="str">
        <f aca="false">IF(C1397="","",IFERROR(VLOOKUP(C1397,Master_Mappings!$A$4:$E$85,3,FALSE()),"UNMAPPED"))</f>
        <v/>
      </c>
      <c r="P1397" s="1" t="str">
        <f aca="false">IF($C1397="","",$C1397&amp;"|"&amp;$E1397&amp;"|"&amp;$M1397&amp;"|"&amp;TEXT($G1397,"yyyy-mm-dd")&amp;"|"&amp;LEFT($J1397,40))</f>
        <v/>
      </c>
      <c r="Q1397" s="11" t="str">
        <f aca="false">IF(P1397="","",IF(COUNTIF($P$2:$P$3000,P1397)&gt;1,"DUPLICATE","OK"))</f>
        <v/>
      </c>
      <c r="R1397" s="0" t="str">
        <f aca="false">IF($C1397="","",IFERROR(VLOOKUP(--$C1397,MM_Income!$Z$5:$AC$204,3,FALSE()),""))</f>
        <v/>
      </c>
    </row>
    <row r="1398" customFormat="false" ht="13.5" hidden="false" customHeight="false" outlineLevel="0" collapsed="false">
      <c r="N1398" s="1" t="str">
        <f aca="false">IF(C1398="","",IFERROR(VLOOKUP(C1398,Master_Mappings!$A$4:$E$85,3,FALSE()),"UNMAPPED"))</f>
        <v/>
      </c>
      <c r="P1398" s="1" t="str">
        <f aca="false">IF($C1398="","",$C1398&amp;"|"&amp;$E1398&amp;"|"&amp;$M1398&amp;"|"&amp;TEXT($G1398,"yyyy-mm-dd")&amp;"|"&amp;LEFT($J1398,40))</f>
        <v/>
      </c>
      <c r="Q1398" s="11" t="str">
        <f aca="false">IF(P1398="","",IF(COUNTIF($P$2:$P$3000,P1398)&gt;1,"DUPLICATE","OK"))</f>
        <v/>
      </c>
      <c r="R1398" s="0" t="str">
        <f aca="false">IF($C1398="","",IFERROR(VLOOKUP(--$C1398,MM_Income!$Z$5:$AC$204,3,FALSE()),""))</f>
        <v/>
      </c>
    </row>
    <row r="1399" customFormat="false" ht="13.5" hidden="false" customHeight="false" outlineLevel="0" collapsed="false">
      <c r="N1399" s="1" t="str">
        <f aca="false">IF(C1399="","",IFERROR(VLOOKUP(C1399,Master_Mappings!$A$4:$E$85,3,FALSE()),"UNMAPPED"))</f>
        <v/>
      </c>
      <c r="P1399" s="1" t="str">
        <f aca="false">IF($C1399="","",$C1399&amp;"|"&amp;$E1399&amp;"|"&amp;$M1399&amp;"|"&amp;TEXT($G1399,"yyyy-mm-dd")&amp;"|"&amp;LEFT($J1399,40))</f>
        <v/>
      </c>
      <c r="Q1399" s="11" t="str">
        <f aca="false">IF(P1399="","",IF(COUNTIF($P$2:$P$3000,P1399)&gt;1,"DUPLICATE","OK"))</f>
        <v/>
      </c>
      <c r="R1399" s="0" t="str">
        <f aca="false">IF($C1399="","",IFERROR(VLOOKUP(--$C1399,MM_Income!$Z$5:$AC$204,3,FALSE()),""))</f>
        <v/>
      </c>
    </row>
    <row r="1400" customFormat="false" ht="13.5" hidden="false" customHeight="false" outlineLevel="0" collapsed="false">
      <c r="N1400" s="1" t="str">
        <f aca="false">IF(C1400="","",IFERROR(VLOOKUP(C1400,Master_Mappings!$A$4:$E$85,3,FALSE()),"UNMAPPED"))</f>
        <v/>
      </c>
      <c r="P1400" s="1" t="str">
        <f aca="false">IF($C1400="","",$C1400&amp;"|"&amp;$E1400&amp;"|"&amp;$M1400&amp;"|"&amp;TEXT($G1400,"yyyy-mm-dd")&amp;"|"&amp;LEFT($J1400,40))</f>
        <v/>
      </c>
      <c r="Q1400" s="11" t="str">
        <f aca="false">IF(P1400="","",IF(COUNTIF($P$2:$P$3000,P1400)&gt;1,"DUPLICATE","OK"))</f>
        <v/>
      </c>
      <c r="R1400" s="0" t="str">
        <f aca="false">IF($C1400="","",IFERROR(VLOOKUP(--$C1400,MM_Income!$Z$5:$AC$204,3,FALSE()),""))</f>
        <v/>
      </c>
    </row>
    <row r="1401" customFormat="false" ht="13.5" hidden="false" customHeight="false" outlineLevel="0" collapsed="false">
      <c r="N1401" s="1" t="str">
        <f aca="false">IF(C1401="","",IFERROR(VLOOKUP(C1401,Master_Mappings!$A$4:$E$85,3,FALSE()),"UNMAPPED"))</f>
        <v/>
      </c>
      <c r="P1401" s="1" t="str">
        <f aca="false">IF($C1401="","",$C1401&amp;"|"&amp;$E1401&amp;"|"&amp;$M1401&amp;"|"&amp;TEXT($G1401,"yyyy-mm-dd")&amp;"|"&amp;LEFT($J1401,40))</f>
        <v/>
      </c>
      <c r="Q1401" s="11" t="str">
        <f aca="false">IF(P1401="","",IF(COUNTIF($P$2:$P$3000,P1401)&gt;1,"DUPLICATE","OK"))</f>
        <v/>
      </c>
      <c r="R1401" s="0" t="str">
        <f aca="false">IF($C1401="","",IFERROR(VLOOKUP(--$C1401,MM_Income!$Z$5:$AC$204,3,FALSE()),""))</f>
        <v/>
      </c>
    </row>
    <row r="1402" customFormat="false" ht="13.5" hidden="false" customHeight="false" outlineLevel="0" collapsed="false">
      <c r="N1402" s="1" t="str">
        <f aca="false">IF(C1402="","",IFERROR(VLOOKUP(C1402,Master_Mappings!$A$4:$E$85,3,FALSE()),"UNMAPPED"))</f>
        <v/>
      </c>
      <c r="P1402" s="1" t="str">
        <f aca="false">IF($C1402="","",$C1402&amp;"|"&amp;$E1402&amp;"|"&amp;$M1402&amp;"|"&amp;TEXT($G1402,"yyyy-mm-dd")&amp;"|"&amp;LEFT($J1402,40))</f>
        <v/>
      </c>
      <c r="Q1402" s="11" t="str">
        <f aca="false">IF(P1402="","",IF(COUNTIF($P$2:$P$3000,P1402)&gt;1,"DUPLICATE","OK"))</f>
        <v/>
      </c>
      <c r="R1402" s="0" t="str">
        <f aca="false">IF($C1402="","",IFERROR(VLOOKUP(--$C1402,MM_Income!$Z$5:$AC$204,3,FALSE()),""))</f>
        <v/>
      </c>
    </row>
    <row r="1403" customFormat="false" ht="13.5" hidden="false" customHeight="false" outlineLevel="0" collapsed="false">
      <c r="N1403" s="1" t="str">
        <f aca="false">IF(C1403="","",IFERROR(VLOOKUP(C1403,Master_Mappings!$A$4:$E$85,3,FALSE()),"UNMAPPED"))</f>
        <v/>
      </c>
      <c r="P1403" s="1" t="str">
        <f aca="false">IF($C1403="","",$C1403&amp;"|"&amp;$E1403&amp;"|"&amp;$M1403&amp;"|"&amp;TEXT($G1403,"yyyy-mm-dd")&amp;"|"&amp;LEFT($J1403,40))</f>
        <v/>
      </c>
      <c r="Q1403" s="11" t="str">
        <f aca="false">IF(P1403="","",IF(COUNTIF($P$2:$P$3000,P1403)&gt;1,"DUPLICATE","OK"))</f>
        <v/>
      </c>
      <c r="R1403" s="0" t="str">
        <f aca="false">IF($C1403="","",IFERROR(VLOOKUP(--$C1403,MM_Income!$Z$5:$AC$204,3,FALSE()),""))</f>
        <v/>
      </c>
    </row>
    <row r="1404" customFormat="false" ht="13.5" hidden="false" customHeight="false" outlineLevel="0" collapsed="false">
      <c r="N1404" s="1" t="str">
        <f aca="false">IF(C1404="","",IFERROR(VLOOKUP(C1404,Master_Mappings!$A$4:$E$85,3,FALSE()),"UNMAPPED"))</f>
        <v/>
      </c>
      <c r="P1404" s="1" t="str">
        <f aca="false">IF($C1404="","",$C1404&amp;"|"&amp;$E1404&amp;"|"&amp;$M1404&amp;"|"&amp;TEXT($G1404,"yyyy-mm-dd")&amp;"|"&amp;LEFT($J1404,40))</f>
        <v/>
      </c>
      <c r="Q1404" s="11" t="str">
        <f aca="false">IF(P1404="","",IF(COUNTIF($P$2:$P$3000,P1404)&gt;1,"DUPLICATE","OK"))</f>
        <v/>
      </c>
      <c r="R1404" s="0" t="str">
        <f aca="false">IF($C1404="","",IFERROR(VLOOKUP(--$C1404,MM_Income!$Z$5:$AC$204,3,FALSE()),""))</f>
        <v/>
      </c>
    </row>
    <row r="1405" customFormat="false" ht="13.5" hidden="false" customHeight="false" outlineLevel="0" collapsed="false">
      <c r="N1405" s="1" t="str">
        <f aca="false">IF(C1405="","",IFERROR(VLOOKUP(C1405,Master_Mappings!$A$4:$E$85,3,FALSE()),"UNMAPPED"))</f>
        <v/>
      </c>
      <c r="P1405" s="1" t="str">
        <f aca="false">IF($C1405="","",$C1405&amp;"|"&amp;$E1405&amp;"|"&amp;$M1405&amp;"|"&amp;TEXT($G1405,"yyyy-mm-dd")&amp;"|"&amp;LEFT($J1405,40))</f>
        <v/>
      </c>
      <c r="Q1405" s="11" t="str">
        <f aca="false">IF(P1405="","",IF(COUNTIF($P$2:$P$3000,P1405)&gt;1,"DUPLICATE","OK"))</f>
        <v/>
      </c>
      <c r="R1405" s="0" t="str">
        <f aca="false">IF($C1405="","",IFERROR(VLOOKUP(--$C1405,MM_Income!$Z$5:$AC$204,3,FALSE()),""))</f>
        <v/>
      </c>
    </row>
    <row r="1406" customFormat="false" ht="13.5" hidden="false" customHeight="false" outlineLevel="0" collapsed="false">
      <c r="N1406" s="1" t="str">
        <f aca="false">IF(C1406="","",IFERROR(VLOOKUP(C1406,Master_Mappings!$A$4:$E$85,3,FALSE()),"UNMAPPED"))</f>
        <v/>
      </c>
      <c r="P1406" s="1" t="str">
        <f aca="false">IF($C1406="","",$C1406&amp;"|"&amp;$E1406&amp;"|"&amp;$M1406&amp;"|"&amp;TEXT($G1406,"yyyy-mm-dd")&amp;"|"&amp;LEFT($J1406,40))</f>
        <v/>
      </c>
      <c r="Q1406" s="11" t="str">
        <f aca="false">IF(P1406="","",IF(COUNTIF($P$2:$P$3000,P1406)&gt;1,"DUPLICATE","OK"))</f>
        <v/>
      </c>
      <c r="R1406" s="0" t="str">
        <f aca="false">IF($C1406="","",IFERROR(VLOOKUP(--$C1406,MM_Income!$Z$5:$AC$204,3,FALSE()),""))</f>
        <v/>
      </c>
    </row>
    <row r="1407" customFormat="false" ht="13.5" hidden="false" customHeight="false" outlineLevel="0" collapsed="false">
      <c r="N1407" s="1" t="str">
        <f aca="false">IF(C1407="","",IFERROR(VLOOKUP(C1407,Master_Mappings!$A$4:$E$85,3,FALSE()),"UNMAPPED"))</f>
        <v/>
      </c>
      <c r="P1407" s="1" t="str">
        <f aca="false">IF($C1407="","",$C1407&amp;"|"&amp;$E1407&amp;"|"&amp;$M1407&amp;"|"&amp;TEXT($G1407,"yyyy-mm-dd")&amp;"|"&amp;LEFT($J1407,40))</f>
        <v/>
      </c>
      <c r="Q1407" s="11" t="str">
        <f aca="false">IF(P1407="","",IF(COUNTIF($P$2:$P$3000,P1407)&gt;1,"DUPLICATE","OK"))</f>
        <v/>
      </c>
      <c r="R1407" s="0" t="str">
        <f aca="false">IF($C1407="","",IFERROR(VLOOKUP(--$C1407,MM_Income!$Z$5:$AC$204,3,FALSE()),""))</f>
        <v/>
      </c>
    </row>
    <row r="1408" customFormat="false" ht="13.5" hidden="false" customHeight="false" outlineLevel="0" collapsed="false">
      <c r="N1408" s="1" t="str">
        <f aca="false">IF(C1408="","",IFERROR(VLOOKUP(C1408,Master_Mappings!$A$4:$E$85,3,FALSE()),"UNMAPPED"))</f>
        <v/>
      </c>
      <c r="P1408" s="1" t="str">
        <f aca="false">IF($C1408="","",$C1408&amp;"|"&amp;$E1408&amp;"|"&amp;$M1408&amp;"|"&amp;TEXT($G1408,"yyyy-mm-dd")&amp;"|"&amp;LEFT($J1408,40))</f>
        <v/>
      </c>
      <c r="Q1408" s="11" t="str">
        <f aca="false">IF(P1408="","",IF(COUNTIF($P$2:$P$3000,P1408)&gt;1,"DUPLICATE","OK"))</f>
        <v/>
      </c>
      <c r="R1408" s="0" t="str">
        <f aca="false">IF($C1408="","",IFERROR(VLOOKUP(--$C1408,MM_Income!$Z$5:$AC$204,3,FALSE()),""))</f>
        <v/>
      </c>
    </row>
    <row r="1409" customFormat="false" ht="13.5" hidden="false" customHeight="false" outlineLevel="0" collapsed="false">
      <c r="N1409" s="1" t="str">
        <f aca="false">IF(C1409="","",IFERROR(VLOOKUP(C1409,Master_Mappings!$A$4:$E$85,3,FALSE()),"UNMAPPED"))</f>
        <v/>
      </c>
      <c r="P1409" s="1" t="str">
        <f aca="false">IF($C1409="","",$C1409&amp;"|"&amp;$E1409&amp;"|"&amp;$M1409&amp;"|"&amp;TEXT($G1409,"yyyy-mm-dd")&amp;"|"&amp;LEFT($J1409,40))</f>
        <v/>
      </c>
      <c r="Q1409" s="11" t="str">
        <f aca="false">IF(P1409="","",IF(COUNTIF($P$2:$P$3000,P1409)&gt;1,"DUPLICATE","OK"))</f>
        <v/>
      </c>
      <c r="R1409" s="0" t="str">
        <f aca="false">IF($C1409="","",IFERROR(VLOOKUP(--$C1409,MM_Income!$Z$5:$AC$204,3,FALSE()),""))</f>
        <v/>
      </c>
    </row>
    <row r="1410" customFormat="false" ht="13.5" hidden="false" customHeight="false" outlineLevel="0" collapsed="false">
      <c r="N1410" s="1" t="str">
        <f aca="false">IF(C1410="","",IFERROR(VLOOKUP(C1410,Master_Mappings!$A$4:$E$85,3,FALSE()),"UNMAPPED"))</f>
        <v/>
      </c>
      <c r="P1410" s="1" t="str">
        <f aca="false">IF($C1410="","",$C1410&amp;"|"&amp;$E1410&amp;"|"&amp;$M1410&amp;"|"&amp;TEXT($G1410,"yyyy-mm-dd")&amp;"|"&amp;LEFT($J1410,40))</f>
        <v/>
      </c>
      <c r="Q1410" s="11" t="str">
        <f aca="false">IF(P1410="","",IF(COUNTIF($P$2:$P$3000,P1410)&gt;1,"DUPLICATE","OK"))</f>
        <v/>
      </c>
      <c r="R1410" s="0" t="str">
        <f aca="false">IF($C1410="","",IFERROR(VLOOKUP(--$C1410,MM_Income!$Z$5:$AC$204,3,FALSE()),""))</f>
        <v/>
      </c>
    </row>
    <row r="1411" customFormat="false" ht="13.5" hidden="false" customHeight="false" outlineLevel="0" collapsed="false">
      <c r="N1411" s="1" t="str">
        <f aca="false">IF(C1411="","",IFERROR(VLOOKUP(C1411,Master_Mappings!$A$4:$E$85,3,FALSE()),"UNMAPPED"))</f>
        <v/>
      </c>
      <c r="P1411" s="1" t="str">
        <f aca="false">IF($C1411="","",$C1411&amp;"|"&amp;$E1411&amp;"|"&amp;$M1411&amp;"|"&amp;TEXT($G1411,"yyyy-mm-dd")&amp;"|"&amp;LEFT($J1411,40))</f>
        <v/>
      </c>
      <c r="Q1411" s="11" t="str">
        <f aca="false">IF(P1411="","",IF(COUNTIF($P$2:$P$3000,P1411)&gt;1,"DUPLICATE","OK"))</f>
        <v/>
      </c>
      <c r="R1411" s="0" t="str">
        <f aca="false">IF($C1411="","",IFERROR(VLOOKUP(--$C1411,MM_Income!$Z$5:$AC$204,3,FALSE()),""))</f>
        <v/>
      </c>
    </row>
    <row r="1412" customFormat="false" ht="13.5" hidden="false" customHeight="false" outlineLevel="0" collapsed="false">
      <c r="N1412" s="1" t="str">
        <f aca="false">IF(C1412="","",IFERROR(VLOOKUP(C1412,Master_Mappings!$A$4:$E$85,3,FALSE()),"UNMAPPED"))</f>
        <v/>
      </c>
      <c r="P1412" s="1" t="str">
        <f aca="false">IF($C1412="","",$C1412&amp;"|"&amp;$E1412&amp;"|"&amp;$M1412&amp;"|"&amp;TEXT($G1412,"yyyy-mm-dd")&amp;"|"&amp;LEFT($J1412,40))</f>
        <v/>
      </c>
      <c r="Q1412" s="11" t="str">
        <f aca="false">IF(P1412="","",IF(COUNTIF($P$2:$P$3000,P1412)&gt;1,"DUPLICATE","OK"))</f>
        <v/>
      </c>
      <c r="R1412" s="0" t="str">
        <f aca="false">IF($C1412="","",IFERROR(VLOOKUP(--$C1412,MM_Income!$Z$5:$AC$204,3,FALSE()),""))</f>
        <v/>
      </c>
    </row>
    <row r="1413" customFormat="false" ht="13.5" hidden="false" customHeight="false" outlineLevel="0" collapsed="false">
      <c r="N1413" s="1" t="str">
        <f aca="false">IF(C1413="","",IFERROR(VLOOKUP(C1413,Master_Mappings!$A$4:$E$85,3,FALSE()),"UNMAPPED"))</f>
        <v/>
      </c>
      <c r="P1413" s="1" t="str">
        <f aca="false">IF($C1413="","",$C1413&amp;"|"&amp;$E1413&amp;"|"&amp;$M1413&amp;"|"&amp;TEXT($G1413,"yyyy-mm-dd")&amp;"|"&amp;LEFT($J1413,40))</f>
        <v/>
      </c>
      <c r="Q1413" s="11" t="str">
        <f aca="false">IF(P1413="","",IF(COUNTIF($P$2:$P$3000,P1413)&gt;1,"DUPLICATE","OK"))</f>
        <v/>
      </c>
      <c r="R1413" s="0" t="str">
        <f aca="false">IF($C1413="","",IFERROR(VLOOKUP(--$C1413,MM_Income!$Z$5:$AC$204,3,FALSE()),""))</f>
        <v/>
      </c>
    </row>
    <row r="1414" customFormat="false" ht="13.5" hidden="false" customHeight="false" outlineLevel="0" collapsed="false">
      <c r="N1414" s="1" t="str">
        <f aca="false">IF(C1414="","",IFERROR(VLOOKUP(C1414,Master_Mappings!$A$4:$E$85,3,FALSE()),"UNMAPPED"))</f>
        <v/>
      </c>
      <c r="P1414" s="1" t="str">
        <f aca="false">IF($C1414="","",$C1414&amp;"|"&amp;$E1414&amp;"|"&amp;$M1414&amp;"|"&amp;TEXT($G1414,"yyyy-mm-dd")&amp;"|"&amp;LEFT($J1414,40))</f>
        <v/>
      </c>
      <c r="Q1414" s="11" t="str">
        <f aca="false">IF(P1414="","",IF(COUNTIF($P$2:$P$3000,P1414)&gt;1,"DUPLICATE","OK"))</f>
        <v/>
      </c>
      <c r="R1414" s="0" t="str">
        <f aca="false">IF($C1414="","",IFERROR(VLOOKUP(--$C1414,MM_Income!$Z$5:$AC$204,3,FALSE()),""))</f>
        <v/>
      </c>
    </row>
    <row r="1415" customFormat="false" ht="13.5" hidden="false" customHeight="false" outlineLevel="0" collapsed="false">
      <c r="N1415" s="1" t="str">
        <f aca="false">IF(C1415="","",IFERROR(VLOOKUP(C1415,Master_Mappings!$A$4:$E$85,3,FALSE()),"UNMAPPED"))</f>
        <v/>
      </c>
      <c r="P1415" s="1" t="str">
        <f aca="false">IF($C1415="","",$C1415&amp;"|"&amp;$E1415&amp;"|"&amp;$M1415&amp;"|"&amp;TEXT($G1415,"yyyy-mm-dd")&amp;"|"&amp;LEFT($J1415,40))</f>
        <v/>
      </c>
      <c r="Q1415" s="11" t="str">
        <f aca="false">IF(P1415="","",IF(COUNTIF($P$2:$P$3000,P1415)&gt;1,"DUPLICATE","OK"))</f>
        <v/>
      </c>
      <c r="R1415" s="0" t="str">
        <f aca="false">IF($C1415="","",IFERROR(VLOOKUP(--$C1415,MM_Income!$Z$5:$AC$204,3,FALSE()),""))</f>
        <v/>
      </c>
    </row>
    <row r="1416" customFormat="false" ht="13.5" hidden="false" customHeight="false" outlineLevel="0" collapsed="false">
      <c r="N1416" s="1" t="str">
        <f aca="false">IF(C1416="","",IFERROR(VLOOKUP(C1416,Master_Mappings!$A$4:$E$85,3,FALSE()),"UNMAPPED"))</f>
        <v/>
      </c>
      <c r="P1416" s="1" t="str">
        <f aca="false">IF($C1416="","",$C1416&amp;"|"&amp;$E1416&amp;"|"&amp;$M1416&amp;"|"&amp;TEXT($G1416,"yyyy-mm-dd")&amp;"|"&amp;LEFT($J1416,40))</f>
        <v/>
      </c>
      <c r="Q1416" s="11" t="str">
        <f aca="false">IF(P1416="","",IF(COUNTIF($P$2:$P$3000,P1416)&gt;1,"DUPLICATE","OK"))</f>
        <v/>
      </c>
      <c r="R1416" s="0" t="str">
        <f aca="false">IF($C1416="","",IFERROR(VLOOKUP(--$C1416,MM_Income!$Z$5:$AC$204,3,FALSE()),""))</f>
        <v/>
      </c>
    </row>
    <row r="1417" customFormat="false" ht="13.5" hidden="false" customHeight="false" outlineLevel="0" collapsed="false">
      <c r="N1417" s="1" t="str">
        <f aca="false">IF(C1417="","",IFERROR(VLOOKUP(C1417,Master_Mappings!$A$4:$E$85,3,FALSE()),"UNMAPPED"))</f>
        <v/>
      </c>
      <c r="P1417" s="1" t="str">
        <f aca="false">IF($C1417="","",$C1417&amp;"|"&amp;$E1417&amp;"|"&amp;$M1417&amp;"|"&amp;TEXT($G1417,"yyyy-mm-dd")&amp;"|"&amp;LEFT($J1417,40))</f>
        <v/>
      </c>
      <c r="Q1417" s="11" t="str">
        <f aca="false">IF(P1417="","",IF(COUNTIF($P$2:$P$3000,P1417)&gt;1,"DUPLICATE","OK"))</f>
        <v/>
      </c>
      <c r="R1417" s="0" t="str">
        <f aca="false">IF($C1417="","",IFERROR(VLOOKUP(--$C1417,MM_Income!$Z$5:$AC$204,3,FALSE()),""))</f>
        <v/>
      </c>
    </row>
    <row r="1418" customFormat="false" ht="13.5" hidden="false" customHeight="false" outlineLevel="0" collapsed="false">
      <c r="N1418" s="1" t="str">
        <f aca="false">IF(C1418="","",IFERROR(VLOOKUP(C1418,Master_Mappings!$A$4:$E$85,3,FALSE()),"UNMAPPED"))</f>
        <v/>
      </c>
      <c r="P1418" s="1" t="str">
        <f aca="false">IF($C1418="","",$C1418&amp;"|"&amp;$E1418&amp;"|"&amp;$M1418&amp;"|"&amp;TEXT($G1418,"yyyy-mm-dd")&amp;"|"&amp;LEFT($J1418,40))</f>
        <v/>
      </c>
      <c r="Q1418" s="11" t="str">
        <f aca="false">IF(P1418="","",IF(COUNTIF($P$2:$P$3000,P1418)&gt;1,"DUPLICATE","OK"))</f>
        <v/>
      </c>
      <c r="R1418" s="0" t="str">
        <f aca="false">IF($C1418="","",IFERROR(VLOOKUP(--$C1418,MM_Income!$Z$5:$AC$204,3,FALSE()),""))</f>
        <v/>
      </c>
    </row>
    <row r="1419" customFormat="false" ht="13.5" hidden="false" customHeight="false" outlineLevel="0" collapsed="false">
      <c r="N1419" s="1" t="str">
        <f aca="false">IF(C1419="","",IFERROR(VLOOKUP(C1419,Master_Mappings!$A$4:$E$85,3,FALSE()),"UNMAPPED"))</f>
        <v/>
      </c>
      <c r="P1419" s="1" t="str">
        <f aca="false">IF($C1419="","",$C1419&amp;"|"&amp;$E1419&amp;"|"&amp;$M1419&amp;"|"&amp;TEXT($G1419,"yyyy-mm-dd")&amp;"|"&amp;LEFT($J1419,40))</f>
        <v/>
      </c>
      <c r="Q1419" s="11" t="str">
        <f aca="false">IF(P1419="","",IF(COUNTIF($P$2:$P$3000,P1419)&gt;1,"DUPLICATE","OK"))</f>
        <v/>
      </c>
      <c r="R1419" s="0" t="str">
        <f aca="false">IF($C1419="","",IFERROR(VLOOKUP(--$C1419,MM_Income!$Z$5:$AC$204,3,FALSE()),""))</f>
        <v/>
      </c>
    </row>
    <row r="1420" customFormat="false" ht="13.5" hidden="false" customHeight="false" outlineLevel="0" collapsed="false">
      <c r="N1420" s="1" t="str">
        <f aca="false">IF(C1420="","",IFERROR(VLOOKUP(C1420,Master_Mappings!$A$4:$E$85,3,FALSE()),"UNMAPPED"))</f>
        <v/>
      </c>
      <c r="P1420" s="1" t="str">
        <f aca="false">IF($C1420="","",$C1420&amp;"|"&amp;$E1420&amp;"|"&amp;$M1420&amp;"|"&amp;TEXT($G1420,"yyyy-mm-dd")&amp;"|"&amp;LEFT($J1420,40))</f>
        <v/>
      </c>
      <c r="Q1420" s="11" t="str">
        <f aca="false">IF(P1420="","",IF(COUNTIF($P$2:$P$3000,P1420)&gt;1,"DUPLICATE","OK"))</f>
        <v/>
      </c>
      <c r="R1420" s="0" t="str">
        <f aca="false">IF($C1420="","",IFERROR(VLOOKUP(--$C1420,MM_Income!$Z$5:$AC$204,3,FALSE()),""))</f>
        <v/>
      </c>
    </row>
    <row r="1421" customFormat="false" ht="13.5" hidden="false" customHeight="false" outlineLevel="0" collapsed="false">
      <c r="N1421" s="1" t="str">
        <f aca="false">IF(C1421="","",IFERROR(VLOOKUP(C1421,Master_Mappings!$A$4:$E$85,3,FALSE()),"UNMAPPED"))</f>
        <v/>
      </c>
      <c r="P1421" s="1" t="str">
        <f aca="false">IF($C1421="","",$C1421&amp;"|"&amp;$E1421&amp;"|"&amp;$M1421&amp;"|"&amp;TEXT($G1421,"yyyy-mm-dd")&amp;"|"&amp;LEFT($J1421,40))</f>
        <v/>
      </c>
      <c r="Q1421" s="11" t="str">
        <f aca="false">IF(P1421="","",IF(COUNTIF($P$2:$P$3000,P1421)&gt;1,"DUPLICATE","OK"))</f>
        <v/>
      </c>
      <c r="R1421" s="0" t="str">
        <f aca="false">IF($C1421="","",IFERROR(VLOOKUP(--$C1421,MM_Income!$Z$5:$AC$204,3,FALSE()),""))</f>
        <v/>
      </c>
    </row>
    <row r="1422" customFormat="false" ht="13.5" hidden="false" customHeight="false" outlineLevel="0" collapsed="false">
      <c r="N1422" s="1" t="str">
        <f aca="false">IF(C1422="","",IFERROR(VLOOKUP(C1422,Master_Mappings!$A$4:$E$85,3,FALSE()),"UNMAPPED"))</f>
        <v/>
      </c>
      <c r="P1422" s="1" t="str">
        <f aca="false">IF($C1422="","",$C1422&amp;"|"&amp;$E1422&amp;"|"&amp;$M1422&amp;"|"&amp;TEXT($G1422,"yyyy-mm-dd")&amp;"|"&amp;LEFT($J1422,40))</f>
        <v/>
      </c>
      <c r="Q1422" s="11" t="str">
        <f aca="false">IF(P1422="","",IF(COUNTIF($P$2:$P$3000,P1422)&gt;1,"DUPLICATE","OK"))</f>
        <v/>
      </c>
      <c r="R1422" s="0" t="str">
        <f aca="false">IF($C1422="","",IFERROR(VLOOKUP(--$C1422,MM_Income!$Z$5:$AC$204,3,FALSE()),""))</f>
        <v/>
      </c>
    </row>
    <row r="1423" customFormat="false" ht="13.5" hidden="false" customHeight="false" outlineLevel="0" collapsed="false">
      <c r="N1423" s="1" t="str">
        <f aca="false">IF(C1423="","",IFERROR(VLOOKUP(C1423,Master_Mappings!$A$4:$E$85,3,FALSE()),"UNMAPPED"))</f>
        <v/>
      </c>
      <c r="P1423" s="1" t="str">
        <f aca="false">IF($C1423="","",$C1423&amp;"|"&amp;$E1423&amp;"|"&amp;$M1423&amp;"|"&amp;TEXT($G1423,"yyyy-mm-dd")&amp;"|"&amp;LEFT($J1423,40))</f>
        <v/>
      </c>
      <c r="Q1423" s="11" t="str">
        <f aca="false">IF(P1423="","",IF(COUNTIF($P$2:$P$3000,P1423)&gt;1,"DUPLICATE","OK"))</f>
        <v/>
      </c>
      <c r="R1423" s="0" t="str">
        <f aca="false">IF($C1423="","",IFERROR(VLOOKUP(--$C1423,MM_Income!$Z$5:$AC$204,3,FALSE()),""))</f>
        <v/>
      </c>
    </row>
    <row r="1424" customFormat="false" ht="13.5" hidden="false" customHeight="false" outlineLevel="0" collapsed="false">
      <c r="N1424" s="1" t="str">
        <f aca="false">IF(C1424="","",IFERROR(VLOOKUP(C1424,Master_Mappings!$A$4:$E$85,3,FALSE()),"UNMAPPED"))</f>
        <v/>
      </c>
      <c r="P1424" s="1" t="str">
        <f aca="false">IF($C1424="","",$C1424&amp;"|"&amp;$E1424&amp;"|"&amp;$M1424&amp;"|"&amp;TEXT($G1424,"yyyy-mm-dd")&amp;"|"&amp;LEFT($J1424,40))</f>
        <v/>
      </c>
      <c r="Q1424" s="11" t="str">
        <f aca="false">IF(P1424="","",IF(COUNTIF($P$2:$P$3000,P1424)&gt;1,"DUPLICATE","OK"))</f>
        <v/>
      </c>
      <c r="R1424" s="0" t="str">
        <f aca="false">IF($C1424="","",IFERROR(VLOOKUP(--$C1424,MM_Income!$Z$5:$AC$204,3,FALSE()),""))</f>
        <v/>
      </c>
    </row>
    <row r="1425" customFormat="false" ht="13.5" hidden="false" customHeight="false" outlineLevel="0" collapsed="false">
      <c r="N1425" s="1" t="str">
        <f aca="false">IF(C1425="","",IFERROR(VLOOKUP(C1425,Master_Mappings!$A$4:$E$85,3,FALSE()),"UNMAPPED"))</f>
        <v/>
      </c>
      <c r="P1425" s="1" t="str">
        <f aca="false">IF($C1425="","",$C1425&amp;"|"&amp;$E1425&amp;"|"&amp;$M1425&amp;"|"&amp;TEXT($G1425,"yyyy-mm-dd")&amp;"|"&amp;LEFT($J1425,40))</f>
        <v/>
      </c>
      <c r="Q1425" s="11" t="str">
        <f aca="false">IF(P1425="","",IF(COUNTIF($P$2:$P$3000,P1425)&gt;1,"DUPLICATE","OK"))</f>
        <v/>
      </c>
      <c r="R1425" s="0" t="str">
        <f aca="false">IF($C1425="","",IFERROR(VLOOKUP(--$C1425,MM_Income!$Z$5:$AC$204,3,FALSE()),""))</f>
        <v/>
      </c>
    </row>
    <row r="1426" customFormat="false" ht="13.5" hidden="false" customHeight="false" outlineLevel="0" collapsed="false">
      <c r="N1426" s="1" t="str">
        <f aca="false">IF(C1426="","",IFERROR(VLOOKUP(C1426,Master_Mappings!$A$4:$E$85,3,FALSE()),"UNMAPPED"))</f>
        <v/>
      </c>
      <c r="P1426" s="1" t="str">
        <f aca="false">IF($C1426="","",$C1426&amp;"|"&amp;$E1426&amp;"|"&amp;$M1426&amp;"|"&amp;TEXT($G1426,"yyyy-mm-dd")&amp;"|"&amp;LEFT($J1426,40))</f>
        <v/>
      </c>
      <c r="Q1426" s="11" t="str">
        <f aca="false">IF(P1426="","",IF(COUNTIF($P$2:$P$3000,P1426)&gt;1,"DUPLICATE","OK"))</f>
        <v/>
      </c>
      <c r="R1426" s="0" t="str">
        <f aca="false">IF($C1426="","",IFERROR(VLOOKUP(--$C1426,MM_Income!$Z$5:$AC$204,3,FALSE()),""))</f>
        <v/>
      </c>
    </row>
    <row r="1427" customFormat="false" ht="13.5" hidden="false" customHeight="false" outlineLevel="0" collapsed="false">
      <c r="N1427" s="1" t="str">
        <f aca="false">IF(C1427="","",IFERROR(VLOOKUP(C1427,Master_Mappings!$A$4:$E$85,3,FALSE()),"UNMAPPED"))</f>
        <v/>
      </c>
      <c r="P1427" s="1" t="str">
        <f aca="false">IF($C1427="","",$C1427&amp;"|"&amp;$E1427&amp;"|"&amp;$M1427&amp;"|"&amp;TEXT($G1427,"yyyy-mm-dd")&amp;"|"&amp;LEFT($J1427,40))</f>
        <v/>
      </c>
      <c r="Q1427" s="11" t="str">
        <f aca="false">IF(P1427="","",IF(COUNTIF($P$2:$P$3000,P1427)&gt;1,"DUPLICATE","OK"))</f>
        <v/>
      </c>
      <c r="R1427" s="0" t="str">
        <f aca="false">IF($C1427="","",IFERROR(VLOOKUP(--$C1427,MM_Income!$Z$5:$AC$204,3,FALSE()),""))</f>
        <v/>
      </c>
    </row>
    <row r="1428" customFormat="false" ht="13.5" hidden="false" customHeight="false" outlineLevel="0" collapsed="false">
      <c r="N1428" s="1" t="str">
        <f aca="false">IF(C1428="","",IFERROR(VLOOKUP(C1428,Master_Mappings!$A$4:$E$85,3,FALSE()),"UNMAPPED"))</f>
        <v/>
      </c>
      <c r="P1428" s="1" t="str">
        <f aca="false">IF($C1428="","",$C1428&amp;"|"&amp;$E1428&amp;"|"&amp;$M1428&amp;"|"&amp;TEXT($G1428,"yyyy-mm-dd")&amp;"|"&amp;LEFT($J1428,40))</f>
        <v/>
      </c>
      <c r="Q1428" s="11" t="str">
        <f aca="false">IF(P1428="","",IF(COUNTIF($P$2:$P$3000,P1428)&gt;1,"DUPLICATE","OK"))</f>
        <v/>
      </c>
      <c r="R1428" s="0" t="str">
        <f aca="false">IF($C1428="","",IFERROR(VLOOKUP(--$C1428,MM_Income!$Z$5:$AC$204,3,FALSE()),""))</f>
        <v/>
      </c>
    </row>
    <row r="1429" customFormat="false" ht="13.5" hidden="false" customHeight="false" outlineLevel="0" collapsed="false">
      <c r="N1429" s="1" t="str">
        <f aca="false">IF(C1429="","",IFERROR(VLOOKUP(C1429,Master_Mappings!$A$4:$E$85,3,FALSE()),"UNMAPPED"))</f>
        <v/>
      </c>
      <c r="P1429" s="1" t="str">
        <f aca="false">IF($C1429="","",$C1429&amp;"|"&amp;$E1429&amp;"|"&amp;$M1429&amp;"|"&amp;TEXT($G1429,"yyyy-mm-dd")&amp;"|"&amp;LEFT($J1429,40))</f>
        <v/>
      </c>
      <c r="Q1429" s="11" t="str">
        <f aca="false">IF(P1429="","",IF(COUNTIF($P$2:$P$3000,P1429)&gt;1,"DUPLICATE","OK"))</f>
        <v/>
      </c>
      <c r="R1429" s="0" t="str">
        <f aca="false">IF($C1429="","",IFERROR(VLOOKUP(--$C1429,MM_Income!$Z$5:$AC$204,3,FALSE()),""))</f>
        <v/>
      </c>
    </row>
    <row r="1430" customFormat="false" ht="13.5" hidden="false" customHeight="false" outlineLevel="0" collapsed="false">
      <c r="N1430" s="1" t="str">
        <f aca="false">IF(C1430="","",IFERROR(VLOOKUP(C1430,Master_Mappings!$A$4:$E$85,3,FALSE()),"UNMAPPED"))</f>
        <v/>
      </c>
      <c r="P1430" s="1" t="str">
        <f aca="false">IF($C1430="","",$C1430&amp;"|"&amp;$E1430&amp;"|"&amp;$M1430&amp;"|"&amp;TEXT($G1430,"yyyy-mm-dd")&amp;"|"&amp;LEFT($J1430,40))</f>
        <v/>
      </c>
      <c r="Q1430" s="11" t="str">
        <f aca="false">IF(P1430="","",IF(COUNTIF($P$2:$P$3000,P1430)&gt;1,"DUPLICATE","OK"))</f>
        <v/>
      </c>
      <c r="R1430" s="0" t="str">
        <f aca="false">IF($C1430="","",IFERROR(VLOOKUP(--$C1430,MM_Income!$Z$5:$AC$204,3,FALSE()),""))</f>
        <v/>
      </c>
    </row>
    <row r="1431" customFormat="false" ht="13.5" hidden="false" customHeight="false" outlineLevel="0" collapsed="false">
      <c r="N1431" s="1" t="str">
        <f aca="false">IF(C1431="","",IFERROR(VLOOKUP(C1431,Master_Mappings!$A$4:$E$85,3,FALSE()),"UNMAPPED"))</f>
        <v/>
      </c>
      <c r="P1431" s="1" t="str">
        <f aca="false">IF($C1431="","",$C1431&amp;"|"&amp;$E1431&amp;"|"&amp;$M1431&amp;"|"&amp;TEXT($G1431,"yyyy-mm-dd")&amp;"|"&amp;LEFT($J1431,40))</f>
        <v/>
      </c>
      <c r="Q1431" s="11" t="str">
        <f aca="false">IF(P1431="","",IF(COUNTIF($P$2:$P$3000,P1431)&gt;1,"DUPLICATE","OK"))</f>
        <v/>
      </c>
      <c r="R1431" s="0" t="str">
        <f aca="false">IF($C1431="","",IFERROR(VLOOKUP(--$C1431,MM_Income!$Z$5:$AC$204,3,FALSE()),""))</f>
        <v/>
      </c>
    </row>
    <row r="1432" customFormat="false" ht="13.5" hidden="false" customHeight="false" outlineLevel="0" collapsed="false">
      <c r="N1432" s="1" t="str">
        <f aca="false">IF(C1432="","",IFERROR(VLOOKUP(C1432,Master_Mappings!$A$4:$E$85,3,FALSE()),"UNMAPPED"))</f>
        <v/>
      </c>
      <c r="P1432" s="1" t="str">
        <f aca="false">IF($C1432="","",$C1432&amp;"|"&amp;$E1432&amp;"|"&amp;$M1432&amp;"|"&amp;TEXT($G1432,"yyyy-mm-dd")&amp;"|"&amp;LEFT($J1432,40))</f>
        <v/>
      </c>
      <c r="Q1432" s="11" t="str">
        <f aca="false">IF(P1432="","",IF(COUNTIF($P$2:$P$3000,P1432)&gt;1,"DUPLICATE","OK"))</f>
        <v/>
      </c>
      <c r="R1432" s="0" t="str">
        <f aca="false">IF($C1432="","",IFERROR(VLOOKUP(--$C1432,MM_Income!$Z$5:$AC$204,3,FALSE()),""))</f>
        <v/>
      </c>
    </row>
    <row r="1433" customFormat="false" ht="13.5" hidden="false" customHeight="false" outlineLevel="0" collapsed="false">
      <c r="N1433" s="1" t="str">
        <f aca="false">IF(C1433="","",IFERROR(VLOOKUP(C1433,Master_Mappings!$A$4:$E$85,3,FALSE()),"UNMAPPED"))</f>
        <v/>
      </c>
      <c r="P1433" s="1" t="str">
        <f aca="false">IF($C1433="","",$C1433&amp;"|"&amp;$E1433&amp;"|"&amp;$M1433&amp;"|"&amp;TEXT($G1433,"yyyy-mm-dd")&amp;"|"&amp;LEFT($J1433,40))</f>
        <v/>
      </c>
      <c r="Q1433" s="11" t="str">
        <f aca="false">IF(P1433="","",IF(COUNTIF($P$2:$P$3000,P1433)&gt;1,"DUPLICATE","OK"))</f>
        <v/>
      </c>
      <c r="R1433" s="0" t="str">
        <f aca="false">IF($C1433="","",IFERROR(VLOOKUP(--$C1433,MM_Income!$Z$5:$AC$204,3,FALSE()),""))</f>
        <v/>
      </c>
    </row>
    <row r="1434" customFormat="false" ht="13.5" hidden="false" customHeight="false" outlineLevel="0" collapsed="false">
      <c r="N1434" s="1" t="str">
        <f aca="false">IF(C1434="","",IFERROR(VLOOKUP(C1434,Master_Mappings!$A$4:$E$85,3,FALSE()),"UNMAPPED"))</f>
        <v/>
      </c>
      <c r="P1434" s="1" t="str">
        <f aca="false">IF($C1434="","",$C1434&amp;"|"&amp;$E1434&amp;"|"&amp;$M1434&amp;"|"&amp;TEXT($G1434,"yyyy-mm-dd")&amp;"|"&amp;LEFT($J1434,40))</f>
        <v/>
      </c>
      <c r="Q1434" s="11" t="str">
        <f aca="false">IF(P1434="","",IF(COUNTIF($P$2:$P$3000,P1434)&gt;1,"DUPLICATE","OK"))</f>
        <v/>
      </c>
      <c r="R1434" s="0" t="str">
        <f aca="false">IF($C1434="","",IFERROR(VLOOKUP(--$C1434,MM_Income!$Z$5:$AC$204,3,FALSE()),""))</f>
        <v/>
      </c>
    </row>
    <row r="1435" customFormat="false" ht="13.5" hidden="false" customHeight="false" outlineLevel="0" collapsed="false">
      <c r="N1435" s="1" t="str">
        <f aca="false">IF(C1435="","",IFERROR(VLOOKUP(C1435,Master_Mappings!$A$4:$E$85,3,FALSE()),"UNMAPPED"))</f>
        <v/>
      </c>
      <c r="P1435" s="1" t="str">
        <f aca="false">IF($C1435="","",$C1435&amp;"|"&amp;$E1435&amp;"|"&amp;$M1435&amp;"|"&amp;TEXT($G1435,"yyyy-mm-dd")&amp;"|"&amp;LEFT($J1435,40))</f>
        <v/>
      </c>
      <c r="Q1435" s="11" t="str">
        <f aca="false">IF(P1435="","",IF(COUNTIF($P$2:$P$3000,P1435)&gt;1,"DUPLICATE","OK"))</f>
        <v/>
      </c>
      <c r="R1435" s="0" t="str">
        <f aca="false">IF($C1435="","",IFERROR(VLOOKUP(--$C1435,MM_Income!$Z$5:$AC$204,3,FALSE()),""))</f>
        <v/>
      </c>
    </row>
    <row r="1436" customFormat="false" ht="13.5" hidden="false" customHeight="false" outlineLevel="0" collapsed="false">
      <c r="N1436" s="1" t="str">
        <f aca="false">IF(C1436="","",IFERROR(VLOOKUP(C1436,Master_Mappings!$A$4:$E$85,3,FALSE()),"UNMAPPED"))</f>
        <v/>
      </c>
      <c r="P1436" s="1" t="str">
        <f aca="false">IF($C1436="","",$C1436&amp;"|"&amp;$E1436&amp;"|"&amp;$M1436&amp;"|"&amp;TEXT($G1436,"yyyy-mm-dd")&amp;"|"&amp;LEFT($J1436,40))</f>
        <v/>
      </c>
      <c r="Q1436" s="11" t="str">
        <f aca="false">IF(P1436="","",IF(COUNTIF($P$2:$P$3000,P1436)&gt;1,"DUPLICATE","OK"))</f>
        <v/>
      </c>
      <c r="R1436" s="0" t="str">
        <f aca="false">IF($C1436="","",IFERROR(VLOOKUP(--$C1436,MM_Income!$Z$5:$AC$204,3,FALSE()),""))</f>
        <v/>
      </c>
    </row>
    <row r="1437" customFormat="false" ht="13.5" hidden="false" customHeight="false" outlineLevel="0" collapsed="false">
      <c r="N1437" s="1" t="str">
        <f aca="false">IF(C1437="","",IFERROR(VLOOKUP(C1437,Master_Mappings!$A$4:$E$85,3,FALSE()),"UNMAPPED"))</f>
        <v/>
      </c>
      <c r="P1437" s="1" t="str">
        <f aca="false">IF($C1437="","",$C1437&amp;"|"&amp;$E1437&amp;"|"&amp;$M1437&amp;"|"&amp;TEXT($G1437,"yyyy-mm-dd")&amp;"|"&amp;LEFT($J1437,40))</f>
        <v/>
      </c>
      <c r="Q1437" s="11" t="str">
        <f aca="false">IF(P1437="","",IF(COUNTIF($P$2:$P$3000,P1437)&gt;1,"DUPLICATE","OK"))</f>
        <v/>
      </c>
      <c r="R1437" s="0" t="str">
        <f aca="false">IF($C1437="","",IFERROR(VLOOKUP(--$C1437,MM_Income!$Z$5:$AC$204,3,FALSE()),""))</f>
        <v/>
      </c>
    </row>
    <row r="1438" customFormat="false" ht="13.5" hidden="false" customHeight="false" outlineLevel="0" collapsed="false">
      <c r="N1438" s="1" t="str">
        <f aca="false">IF(C1438="","",IFERROR(VLOOKUP(C1438,Master_Mappings!$A$4:$E$85,3,FALSE()),"UNMAPPED"))</f>
        <v/>
      </c>
      <c r="P1438" s="1" t="str">
        <f aca="false">IF($C1438="","",$C1438&amp;"|"&amp;$E1438&amp;"|"&amp;$M1438&amp;"|"&amp;TEXT($G1438,"yyyy-mm-dd")&amp;"|"&amp;LEFT($J1438,40))</f>
        <v/>
      </c>
      <c r="Q1438" s="11" t="str">
        <f aca="false">IF(P1438="","",IF(COUNTIF($P$2:$P$3000,P1438)&gt;1,"DUPLICATE","OK"))</f>
        <v/>
      </c>
      <c r="R1438" s="0" t="str">
        <f aca="false">IF($C1438="","",IFERROR(VLOOKUP(--$C1438,MM_Income!$Z$5:$AC$204,3,FALSE()),""))</f>
        <v/>
      </c>
    </row>
    <row r="1439" customFormat="false" ht="13.5" hidden="false" customHeight="false" outlineLevel="0" collapsed="false">
      <c r="N1439" s="1" t="str">
        <f aca="false">IF(C1439="","",IFERROR(VLOOKUP(C1439,Master_Mappings!$A$4:$E$85,3,FALSE()),"UNMAPPED"))</f>
        <v/>
      </c>
      <c r="P1439" s="1" t="str">
        <f aca="false">IF($C1439="","",$C1439&amp;"|"&amp;$E1439&amp;"|"&amp;$M1439&amp;"|"&amp;TEXT($G1439,"yyyy-mm-dd")&amp;"|"&amp;LEFT($J1439,40))</f>
        <v/>
      </c>
      <c r="Q1439" s="11" t="str">
        <f aca="false">IF(P1439="","",IF(COUNTIF($P$2:$P$3000,P1439)&gt;1,"DUPLICATE","OK"))</f>
        <v/>
      </c>
      <c r="R1439" s="0" t="str">
        <f aca="false">IF($C1439="","",IFERROR(VLOOKUP(--$C1439,MM_Income!$Z$5:$AC$204,3,FALSE()),""))</f>
        <v/>
      </c>
    </row>
    <row r="1440" customFormat="false" ht="13.5" hidden="false" customHeight="false" outlineLevel="0" collapsed="false">
      <c r="N1440" s="1" t="str">
        <f aca="false">IF(C1440="","",IFERROR(VLOOKUP(C1440,Master_Mappings!$A$4:$E$85,3,FALSE()),"UNMAPPED"))</f>
        <v/>
      </c>
      <c r="P1440" s="1" t="str">
        <f aca="false">IF($C1440="","",$C1440&amp;"|"&amp;$E1440&amp;"|"&amp;$M1440&amp;"|"&amp;TEXT($G1440,"yyyy-mm-dd")&amp;"|"&amp;LEFT($J1440,40))</f>
        <v/>
      </c>
      <c r="Q1440" s="11" t="str">
        <f aca="false">IF(P1440="","",IF(COUNTIF($P$2:$P$3000,P1440)&gt;1,"DUPLICATE","OK"))</f>
        <v/>
      </c>
      <c r="R1440" s="0" t="str">
        <f aca="false">IF($C1440="","",IFERROR(VLOOKUP(--$C1440,MM_Income!$Z$5:$AC$204,3,FALSE()),""))</f>
        <v/>
      </c>
    </row>
    <row r="1441" customFormat="false" ht="13.5" hidden="false" customHeight="false" outlineLevel="0" collapsed="false">
      <c r="N1441" s="1" t="str">
        <f aca="false">IF(C1441="","",IFERROR(VLOOKUP(C1441,Master_Mappings!$A$4:$E$85,3,FALSE()),"UNMAPPED"))</f>
        <v/>
      </c>
      <c r="P1441" s="1" t="str">
        <f aca="false">IF($C1441="","",$C1441&amp;"|"&amp;$E1441&amp;"|"&amp;$M1441&amp;"|"&amp;TEXT($G1441,"yyyy-mm-dd")&amp;"|"&amp;LEFT($J1441,40))</f>
        <v/>
      </c>
      <c r="Q1441" s="11" t="str">
        <f aca="false">IF(P1441="","",IF(COUNTIF($P$2:$P$3000,P1441)&gt;1,"DUPLICATE","OK"))</f>
        <v/>
      </c>
      <c r="R1441" s="0" t="str">
        <f aca="false">IF($C1441="","",IFERROR(VLOOKUP(--$C1441,MM_Income!$Z$5:$AC$204,3,FALSE()),""))</f>
        <v/>
      </c>
    </row>
    <row r="1442" customFormat="false" ht="13.5" hidden="false" customHeight="false" outlineLevel="0" collapsed="false">
      <c r="N1442" s="1" t="str">
        <f aca="false">IF(C1442="","",IFERROR(VLOOKUP(C1442,Master_Mappings!$A$4:$E$85,3,FALSE()),"UNMAPPED"))</f>
        <v/>
      </c>
      <c r="P1442" s="1" t="str">
        <f aca="false">IF($C1442="","",$C1442&amp;"|"&amp;$E1442&amp;"|"&amp;$M1442&amp;"|"&amp;TEXT($G1442,"yyyy-mm-dd")&amp;"|"&amp;LEFT($J1442,40))</f>
        <v/>
      </c>
      <c r="Q1442" s="11" t="str">
        <f aca="false">IF(P1442="","",IF(COUNTIF($P$2:$P$3000,P1442)&gt;1,"DUPLICATE","OK"))</f>
        <v/>
      </c>
      <c r="R1442" s="0" t="str">
        <f aca="false">IF($C1442="","",IFERROR(VLOOKUP(--$C1442,MM_Income!$Z$5:$AC$204,3,FALSE()),""))</f>
        <v/>
      </c>
    </row>
    <row r="1443" customFormat="false" ht="13.5" hidden="false" customHeight="false" outlineLevel="0" collapsed="false">
      <c r="N1443" s="1" t="str">
        <f aca="false">IF(C1443="","",IFERROR(VLOOKUP(C1443,Master_Mappings!$A$4:$E$85,3,FALSE()),"UNMAPPED"))</f>
        <v/>
      </c>
      <c r="P1443" s="1" t="str">
        <f aca="false">IF($C1443="","",$C1443&amp;"|"&amp;$E1443&amp;"|"&amp;$M1443&amp;"|"&amp;TEXT($G1443,"yyyy-mm-dd")&amp;"|"&amp;LEFT($J1443,40))</f>
        <v/>
      </c>
      <c r="Q1443" s="11" t="str">
        <f aca="false">IF(P1443="","",IF(COUNTIF($P$2:$P$3000,P1443)&gt;1,"DUPLICATE","OK"))</f>
        <v/>
      </c>
      <c r="R1443" s="0" t="str">
        <f aca="false">IF($C1443="","",IFERROR(VLOOKUP(--$C1443,MM_Income!$Z$5:$AC$204,3,FALSE()),""))</f>
        <v/>
      </c>
    </row>
    <row r="1444" customFormat="false" ht="13.5" hidden="false" customHeight="false" outlineLevel="0" collapsed="false">
      <c r="N1444" s="1" t="str">
        <f aca="false">IF(C1444="","",IFERROR(VLOOKUP(C1444,Master_Mappings!$A$4:$E$85,3,FALSE()),"UNMAPPED"))</f>
        <v/>
      </c>
      <c r="P1444" s="1" t="str">
        <f aca="false">IF($C1444="","",$C1444&amp;"|"&amp;$E1444&amp;"|"&amp;$M1444&amp;"|"&amp;TEXT($G1444,"yyyy-mm-dd")&amp;"|"&amp;LEFT($J1444,40))</f>
        <v/>
      </c>
      <c r="Q1444" s="11" t="str">
        <f aca="false">IF(P1444="","",IF(COUNTIF($P$2:$P$3000,P1444)&gt;1,"DUPLICATE","OK"))</f>
        <v/>
      </c>
      <c r="R1444" s="0" t="str">
        <f aca="false">IF($C1444="","",IFERROR(VLOOKUP(--$C1444,MM_Income!$Z$5:$AC$204,3,FALSE()),""))</f>
        <v/>
      </c>
    </row>
    <row r="1445" customFormat="false" ht="13.5" hidden="false" customHeight="false" outlineLevel="0" collapsed="false">
      <c r="N1445" s="1" t="str">
        <f aca="false">IF(C1445="","",IFERROR(VLOOKUP(C1445,Master_Mappings!$A$4:$E$85,3,FALSE()),"UNMAPPED"))</f>
        <v/>
      </c>
      <c r="P1445" s="1" t="str">
        <f aca="false">IF($C1445="","",$C1445&amp;"|"&amp;$E1445&amp;"|"&amp;$M1445&amp;"|"&amp;TEXT($G1445,"yyyy-mm-dd")&amp;"|"&amp;LEFT($J1445,40))</f>
        <v/>
      </c>
      <c r="Q1445" s="11" t="str">
        <f aca="false">IF(P1445="","",IF(COUNTIF($P$2:$P$3000,P1445)&gt;1,"DUPLICATE","OK"))</f>
        <v/>
      </c>
      <c r="R1445" s="0" t="str">
        <f aca="false">IF($C1445="","",IFERROR(VLOOKUP(--$C1445,MM_Income!$Z$5:$AC$204,3,FALSE()),""))</f>
        <v/>
      </c>
    </row>
    <row r="1446" customFormat="false" ht="13.5" hidden="false" customHeight="false" outlineLevel="0" collapsed="false">
      <c r="N1446" s="1" t="str">
        <f aca="false">IF(C1446="","",IFERROR(VLOOKUP(C1446,Master_Mappings!$A$4:$E$85,3,FALSE()),"UNMAPPED"))</f>
        <v/>
      </c>
      <c r="P1446" s="1" t="str">
        <f aca="false">IF($C1446="","",$C1446&amp;"|"&amp;$E1446&amp;"|"&amp;$M1446&amp;"|"&amp;TEXT($G1446,"yyyy-mm-dd")&amp;"|"&amp;LEFT($J1446,40))</f>
        <v/>
      </c>
      <c r="Q1446" s="11" t="str">
        <f aca="false">IF(P1446="","",IF(COUNTIF($P$2:$P$3000,P1446)&gt;1,"DUPLICATE","OK"))</f>
        <v/>
      </c>
      <c r="R1446" s="0" t="str">
        <f aca="false">IF($C1446="","",IFERROR(VLOOKUP(--$C1446,MM_Income!$Z$5:$AC$204,3,FALSE()),""))</f>
        <v/>
      </c>
    </row>
    <row r="1447" customFormat="false" ht="13.5" hidden="false" customHeight="false" outlineLevel="0" collapsed="false">
      <c r="N1447" s="1" t="str">
        <f aca="false">IF(C1447="","",IFERROR(VLOOKUP(C1447,Master_Mappings!$A$4:$E$85,3,FALSE()),"UNMAPPED"))</f>
        <v/>
      </c>
      <c r="P1447" s="1" t="str">
        <f aca="false">IF($C1447="","",$C1447&amp;"|"&amp;$E1447&amp;"|"&amp;$M1447&amp;"|"&amp;TEXT($G1447,"yyyy-mm-dd")&amp;"|"&amp;LEFT($J1447,40))</f>
        <v/>
      </c>
      <c r="Q1447" s="11" t="str">
        <f aca="false">IF(P1447="","",IF(COUNTIF($P$2:$P$3000,P1447)&gt;1,"DUPLICATE","OK"))</f>
        <v/>
      </c>
      <c r="R1447" s="0" t="str">
        <f aca="false">IF($C1447="","",IFERROR(VLOOKUP(--$C1447,MM_Income!$Z$5:$AC$204,3,FALSE()),""))</f>
        <v/>
      </c>
    </row>
    <row r="1448" customFormat="false" ht="13.5" hidden="false" customHeight="false" outlineLevel="0" collapsed="false">
      <c r="N1448" s="1" t="str">
        <f aca="false">IF(C1448="","",IFERROR(VLOOKUP(C1448,Master_Mappings!$A$4:$E$85,3,FALSE()),"UNMAPPED"))</f>
        <v/>
      </c>
      <c r="P1448" s="1" t="str">
        <f aca="false">IF($C1448="","",$C1448&amp;"|"&amp;$E1448&amp;"|"&amp;$M1448&amp;"|"&amp;TEXT($G1448,"yyyy-mm-dd")&amp;"|"&amp;LEFT($J1448,40))</f>
        <v/>
      </c>
      <c r="Q1448" s="11" t="str">
        <f aca="false">IF(P1448="","",IF(COUNTIF($P$2:$P$3000,P1448)&gt;1,"DUPLICATE","OK"))</f>
        <v/>
      </c>
      <c r="R1448" s="0" t="str">
        <f aca="false">IF($C1448="","",IFERROR(VLOOKUP(--$C1448,MM_Income!$Z$5:$AC$204,3,FALSE()),""))</f>
        <v/>
      </c>
    </row>
    <row r="1449" customFormat="false" ht="13.5" hidden="false" customHeight="false" outlineLevel="0" collapsed="false">
      <c r="N1449" s="1" t="str">
        <f aca="false">IF(C1449="","",IFERROR(VLOOKUP(C1449,Master_Mappings!$A$4:$E$85,3,FALSE()),"UNMAPPED"))</f>
        <v/>
      </c>
      <c r="P1449" s="1" t="str">
        <f aca="false">IF($C1449="","",$C1449&amp;"|"&amp;$E1449&amp;"|"&amp;$M1449&amp;"|"&amp;TEXT($G1449,"yyyy-mm-dd")&amp;"|"&amp;LEFT($J1449,40))</f>
        <v/>
      </c>
      <c r="Q1449" s="11" t="str">
        <f aca="false">IF(P1449="","",IF(COUNTIF($P$2:$P$3000,P1449)&gt;1,"DUPLICATE","OK"))</f>
        <v/>
      </c>
      <c r="R1449" s="0" t="str">
        <f aca="false">IF($C1449="","",IFERROR(VLOOKUP(--$C1449,MM_Income!$Z$5:$AC$204,3,FALSE()),""))</f>
        <v/>
      </c>
    </row>
    <row r="1450" customFormat="false" ht="13.5" hidden="false" customHeight="false" outlineLevel="0" collapsed="false">
      <c r="N1450" s="1" t="str">
        <f aca="false">IF(C1450="","",IFERROR(VLOOKUP(C1450,Master_Mappings!$A$4:$E$85,3,FALSE()),"UNMAPPED"))</f>
        <v/>
      </c>
      <c r="P1450" s="1" t="str">
        <f aca="false">IF($C1450="","",$C1450&amp;"|"&amp;$E1450&amp;"|"&amp;$M1450&amp;"|"&amp;TEXT($G1450,"yyyy-mm-dd")&amp;"|"&amp;LEFT($J1450,40))</f>
        <v/>
      </c>
      <c r="Q1450" s="11" t="str">
        <f aca="false">IF(P1450="","",IF(COUNTIF($P$2:$P$3000,P1450)&gt;1,"DUPLICATE","OK"))</f>
        <v/>
      </c>
      <c r="R1450" s="0" t="str">
        <f aca="false">IF($C1450="","",IFERROR(VLOOKUP(--$C1450,MM_Income!$Z$5:$AC$204,3,FALSE()),""))</f>
        <v/>
      </c>
    </row>
    <row r="1451" customFormat="false" ht="13.5" hidden="false" customHeight="false" outlineLevel="0" collapsed="false">
      <c r="N1451" s="1" t="str">
        <f aca="false">IF(C1451="","",IFERROR(VLOOKUP(C1451,Master_Mappings!$A$4:$E$85,3,FALSE()),"UNMAPPED"))</f>
        <v/>
      </c>
      <c r="P1451" s="1" t="str">
        <f aca="false">IF($C1451="","",$C1451&amp;"|"&amp;$E1451&amp;"|"&amp;$M1451&amp;"|"&amp;TEXT($G1451,"yyyy-mm-dd")&amp;"|"&amp;LEFT($J1451,40))</f>
        <v/>
      </c>
      <c r="Q1451" s="11" t="str">
        <f aca="false">IF(P1451="","",IF(COUNTIF($P$2:$P$3000,P1451)&gt;1,"DUPLICATE","OK"))</f>
        <v/>
      </c>
      <c r="R1451" s="0" t="str">
        <f aca="false">IF($C1451="","",IFERROR(VLOOKUP(--$C1451,MM_Income!$Z$5:$AC$204,3,FALSE()),""))</f>
        <v/>
      </c>
    </row>
    <row r="1452" customFormat="false" ht="13.5" hidden="false" customHeight="false" outlineLevel="0" collapsed="false">
      <c r="N1452" s="1" t="str">
        <f aca="false">IF(C1452="","",IFERROR(VLOOKUP(C1452,Master_Mappings!$A$4:$E$85,3,FALSE()),"UNMAPPED"))</f>
        <v/>
      </c>
      <c r="P1452" s="1" t="str">
        <f aca="false">IF($C1452="","",$C1452&amp;"|"&amp;$E1452&amp;"|"&amp;$M1452&amp;"|"&amp;TEXT($G1452,"yyyy-mm-dd")&amp;"|"&amp;LEFT($J1452,40))</f>
        <v/>
      </c>
      <c r="Q1452" s="11" t="str">
        <f aca="false">IF(P1452="","",IF(COUNTIF($P$2:$P$3000,P1452)&gt;1,"DUPLICATE","OK"))</f>
        <v/>
      </c>
      <c r="R1452" s="0" t="str">
        <f aca="false">IF($C1452="","",IFERROR(VLOOKUP(--$C1452,MM_Income!$Z$5:$AC$204,3,FALSE()),""))</f>
        <v/>
      </c>
    </row>
    <row r="1453" customFormat="false" ht="13.5" hidden="false" customHeight="false" outlineLevel="0" collapsed="false">
      <c r="N1453" s="1" t="str">
        <f aca="false">IF(C1453="","",IFERROR(VLOOKUP(C1453,Master_Mappings!$A$4:$E$85,3,FALSE()),"UNMAPPED"))</f>
        <v/>
      </c>
      <c r="P1453" s="1" t="str">
        <f aca="false">IF($C1453="","",$C1453&amp;"|"&amp;$E1453&amp;"|"&amp;$M1453&amp;"|"&amp;TEXT($G1453,"yyyy-mm-dd")&amp;"|"&amp;LEFT($J1453,40))</f>
        <v/>
      </c>
      <c r="Q1453" s="11" t="str">
        <f aca="false">IF(P1453="","",IF(COUNTIF($P$2:$P$3000,P1453)&gt;1,"DUPLICATE","OK"))</f>
        <v/>
      </c>
      <c r="R1453" s="0" t="str">
        <f aca="false">IF($C1453="","",IFERROR(VLOOKUP(--$C1453,MM_Income!$Z$5:$AC$204,3,FALSE()),""))</f>
        <v/>
      </c>
    </row>
    <row r="1454" customFormat="false" ht="13.5" hidden="false" customHeight="false" outlineLevel="0" collapsed="false">
      <c r="N1454" s="1" t="str">
        <f aca="false">IF(C1454="","",IFERROR(VLOOKUP(C1454,Master_Mappings!$A$4:$E$85,3,FALSE()),"UNMAPPED"))</f>
        <v/>
      </c>
      <c r="P1454" s="1" t="str">
        <f aca="false">IF($C1454="","",$C1454&amp;"|"&amp;$E1454&amp;"|"&amp;$M1454&amp;"|"&amp;TEXT($G1454,"yyyy-mm-dd")&amp;"|"&amp;LEFT($J1454,40))</f>
        <v/>
      </c>
      <c r="Q1454" s="11" t="str">
        <f aca="false">IF(P1454="","",IF(COUNTIF($P$2:$P$3000,P1454)&gt;1,"DUPLICATE","OK"))</f>
        <v/>
      </c>
      <c r="R1454" s="0" t="str">
        <f aca="false">IF($C1454="","",IFERROR(VLOOKUP(--$C1454,MM_Income!$Z$5:$AC$204,3,FALSE()),""))</f>
        <v/>
      </c>
    </row>
    <row r="1455" customFormat="false" ht="13.5" hidden="false" customHeight="false" outlineLevel="0" collapsed="false">
      <c r="N1455" s="1" t="str">
        <f aca="false">IF(C1455="","",IFERROR(VLOOKUP(C1455,Master_Mappings!$A$4:$E$85,3,FALSE()),"UNMAPPED"))</f>
        <v/>
      </c>
      <c r="P1455" s="1" t="str">
        <f aca="false">IF($C1455="","",$C1455&amp;"|"&amp;$E1455&amp;"|"&amp;$M1455&amp;"|"&amp;TEXT($G1455,"yyyy-mm-dd")&amp;"|"&amp;LEFT($J1455,40))</f>
        <v/>
      </c>
      <c r="Q1455" s="11" t="str">
        <f aca="false">IF(P1455="","",IF(COUNTIF($P$2:$P$3000,P1455)&gt;1,"DUPLICATE","OK"))</f>
        <v/>
      </c>
      <c r="R1455" s="0" t="str">
        <f aca="false">IF($C1455="","",IFERROR(VLOOKUP(--$C1455,MM_Income!$Z$5:$AC$204,3,FALSE()),""))</f>
        <v/>
      </c>
    </row>
    <row r="1456" customFormat="false" ht="13.5" hidden="false" customHeight="false" outlineLevel="0" collapsed="false">
      <c r="N1456" s="1" t="str">
        <f aca="false">IF(C1456="","",IFERROR(VLOOKUP(C1456,Master_Mappings!$A$4:$E$85,3,FALSE()),"UNMAPPED"))</f>
        <v/>
      </c>
      <c r="P1456" s="1" t="str">
        <f aca="false">IF($C1456="","",$C1456&amp;"|"&amp;$E1456&amp;"|"&amp;$M1456&amp;"|"&amp;TEXT($G1456,"yyyy-mm-dd")&amp;"|"&amp;LEFT($J1456,40))</f>
        <v/>
      </c>
      <c r="Q1456" s="11" t="str">
        <f aca="false">IF(P1456="","",IF(COUNTIF($P$2:$P$3000,P1456)&gt;1,"DUPLICATE","OK"))</f>
        <v/>
      </c>
      <c r="R1456" s="0" t="str">
        <f aca="false">IF($C1456="","",IFERROR(VLOOKUP(--$C1456,MM_Income!$Z$5:$AC$204,3,FALSE()),""))</f>
        <v/>
      </c>
    </row>
    <row r="1457" customFormat="false" ht="13.5" hidden="false" customHeight="false" outlineLevel="0" collapsed="false">
      <c r="N1457" s="1" t="str">
        <f aca="false">IF(C1457="","",IFERROR(VLOOKUP(C1457,Master_Mappings!$A$4:$E$85,3,FALSE()),"UNMAPPED"))</f>
        <v/>
      </c>
      <c r="P1457" s="1" t="str">
        <f aca="false">IF($C1457="","",$C1457&amp;"|"&amp;$E1457&amp;"|"&amp;$M1457&amp;"|"&amp;TEXT($G1457,"yyyy-mm-dd")&amp;"|"&amp;LEFT($J1457,40))</f>
        <v/>
      </c>
      <c r="Q1457" s="11" t="str">
        <f aca="false">IF(P1457="","",IF(COUNTIF($P$2:$P$3000,P1457)&gt;1,"DUPLICATE","OK"))</f>
        <v/>
      </c>
      <c r="R1457" s="0" t="str">
        <f aca="false">IF($C1457="","",IFERROR(VLOOKUP(--$C1457,MM_Income!$Z$5:$AC$204,3,FALSE()),""))</f>
        <v/>
      </c>
    </row>
    <row r="1458" customFormat="false" ht="13.5" hidden="false" customHeight="false" outlineLevel="0" collapsed="false">
      <c r="N1458" s="1" t="str">
        <f aca="false">IF(C1458="","",IFERROR(VLOOKUP(C1458,Master_Mappings!$A$4:$E$85,3,FALSE()),"UNMAPPED"))</f>
        <v/>
      </c>
      <c r="P1458" s="1" t="str">
        <f aca="false">IF($C1458="","",$C1458&amp;"|"&amp;$E1458&amp;"|"&amp;$M1458&amp;"|"&amp;TEXT($G1458,"yyyy-mm-dd")&amp;"|"&amp;LEFT($J1458,40))</f>
        <v/>
      </c>
      <c r="Q1458" s="11" t="str">
        <f aca="false">IF(P1458="","",IF(COUNTIF($P$2:$P$3000,P1458)&gt;1,"DUPLICATE","OK"))</f>
        <v/>
      </c>
      <c r="R1458" s="0" t="str">
        <f aca="false">IF($C1458="","",IFERROR(VLOOKUP(--$C1458,MM_Income!$Z$5:$AC$204,3,FALSE()),""))</f>
        <v/>
      </c>
    </row>
    <row r="1459" customFormat="false" ht="13.5" hidden="false" customHeight="false" outlineLevel="0" collapsed="false">
      <c r="N1459" s="1" t="str">
        <f aca="false">IF(C1459="","",IFERROR(VLOOKUP(C1459,Master_Mappings!$A$4:$E$85,3,FALSE()),"UNMAPPED"))</f>
        <v/>
      </c>
      <c r="P1459" s="1" t="str">
        <f aca="false">IF($C1459="","",$C1459&amp;"|"&amp;$E1459&amp;"|"&amp;$M1459&amp;"|"&amp;TEXT($G1459,"yyyy-mm-dd")&amp;"|"&amp;LEFT($J1459,40))</f>
        <v/>
      </c>
      <c r="Q1459" s="11" t="str">
        <f aca="false">IF(P1459="","",IF(COUNTIF($P$2:$P$3000,P1459)&gt;1,"DUPLICATE","OK"))</f>
        <v/>
      </c>
      <c r="R1459" s="0" t="str">
        <f aca="false">IF($C1459="","",IFERROR(VLOOKUP(--$C1459,MM_Income!$Z$5:$AC$204,3,FALSE()),""))</f>
        <v/>
      </c>
    </row>
    <row r="1460" customFormat="false" ht="13.5" hidden="false" customHeight="false" outlineLevel="0" collapsed="false">
      <c r="N1460" s="1" t="str">
        <f aca="false">IF(C1460="","",IFERROR(VLOOKUP(C1460,Master_Mappings!$A$4:$E$85,3,FALSE()),"UNMAPPED"))</f>
        <v/>
      </c>
      <c r="P1460" s="1" t="str">
        <f aca="false">IF($C1460="","",$C1460&amp;"|"&amp;$E1460&amp;"|"&amp;$M1460&amp;"|"&amp;TEXT($G1460,"yyyy-mm-dd")&amp;"|"&amp;LEFT($J1460,40))</f>
        <v/>
      </c>
      <c r="Q1460" s="11" t="str">
        <f aca="false">IF(P1460="","",IF(COUNTIF($P$2:$P$3000,P1460)&gt;1,"DUPLICATE","OK"))</f>
        <v/>
      </c>
      <c r="R1460" s="0" t="str">
        <f aca="false">IF($C1460="","",IFERROR(VLOOKUP(--$C1460,MM_Income!$Z$5:$AC$204,3,FALSE()),""))</f>
        <v/>
      </c>
    </row>
    <row r="1461" customFormat="false" ht="13.5" hidden="false" customHeight="false" outlineLevel="0" collapsed="false">
      <c r="N1461" s="1" t="str">
        <f aca="false">IF(C1461="","",IFERROR(VLOOKUP(C1461,Master_Mappings!$A$4:$E$85,3,FALSE()),"UNMAPPED"))</f>
        <v/>
      </c>
      <c r="P1461" s="1" t="str">
        <f aca="false">IF($C1461="","",$C1461&amp;"|"&amp;$E1461&amp;"|"&amp;$M1461&amp;"|"&amp;TEXT($G1461,"yyyy-mm-dd")&amp;"|"&amp;LEFT($J1461,40))</f>
        <v/>
      </c>
      <c r="Q1461" s="11" t="str">
        <f aca="false">IF(P1461="","",IF(COUNTIF($P$2:$P$3000,P1461)&gt;1,"DUPLICATE","OK"))</f>
        <v/>
      </c>
      <c r="R1461" s="0" t="str">
        <f aca="false">IF($C1461="","",IFERROR(VLOOKUP(--$C1461,MM_Income!$Z$5:$AC$204,3,FALSE()),""))</f>
        <v/>
      </c>
    </row>
    <row r="1462" customFormat="false" ht="13.5" hidden="false" customHeight="false" outlineLevel="0" collapsed="false">
      <c r="N1462" s="1" t="str">
        <f aca="false">IF(C1462="","",IFERROR(VLOOKUP(C1462,Master_Mappings!$A$4:$E$85,3,FALSE()),"UNMAPPED"))</f>
        <v/>
      </c>
      <c r="P1462" s="1" t="str">
        <f aca="false">IF($C1462="","",$C1462&amp;"|"&amp;$E1462&amp;"|"&amp;$M1462&amp;"|"&amp;TEXT($G1462,"yyyy-mm-dd")&amp;"|"&amp;LEFT($J1462,40))</f>
        <v/>
      </c>
      <c r="Q1462" s="11" t="str">
        <f aca="false">IF(P1462="","",IF(COUNTIF($P$2:$P$3000,P1462)&gt;1,"DUPLICATE","OK"))</f>
        <v/>
      </c>
      <c r="R1462" s="0" t="str">
        <f aca="false">IF($C1462="","",IFERROR(VLOOKUP(--$C1462,MM_Income!$Z$5:$AC$204,3,FALSE()),""))</f>
        <v/>
      </c>
    </row>
    <row r="1463" customFormat="false" ht="13.5" hidden="false" customHeight="false" outlineLevel="0" collapsed="false">
      <c r="N1463" s="1" t="str">
        <f aca="false">IF(C1463="","",IFERROR(VLOOKUP(C1463,Master_Mappings!$A$4:$E$85,3,FALSE()),"UNMAPPED"))</f>
        <v/>
      </c>
      <c r="P1463" s="1" t="str">
        <f aca="false">IF($C1463="","",$C1463&amp;"|"&amp;$E1463&amp;"|"&amp;$M1463&amp;"|"&amp;TEXT($G1463,"yyyy-mm-dd")&amp;"|"&amp;LEFT($J1463,40))</f>
        <v/>
      </c>
      <c r="Q1463" s="11" t="str">
        <f aca="false">IF(P1463="","",IF(COUNTIF($P$2:$P$3000,P1463)&gt;1,"DUPLICATE","OK"))</f>
        <v/>
      </c>
      <c r="R1463" s="0" t="str">
        <f aca="false">IF($C1463="","",IFERROR(VLOOKUP(--$C1463,MM_Income!$Z$5:$AC$204,3,FALSE()),""))</f>
        <v/>
      </c>
    </row>
    <row r="1464" customFormat="false" ht="13.5" hidden="false" customHeight="false" outlineLevel="0" collapsed="false">
      <c r="N1464" s="1" t="str">
        <f aca="false">IF(C1464="","",IFERROR(VLOOKUP(C1464,Master_Mappings!$A$4:$E$85,3,FALSE()),"UNMAPPED"))</f>
        <v/>
      </c>
      <c r="P1464" s="1" t="str">
        <f aca="false">IF($C1464="","",$C1464&amp;"|"&amp;$E1464&amp;"|"&amp;$M1464&amp;"|"&amp;TEXT($G1464,"yyyy-mm-dd")&amp;"|"&amp;LEFT($J1464,40))</f>
        <v/>
      </c>
      <c r="Q1464" s="11" t="str">
        <f aca="false">IF(P1464="","",IF(COUNTIF($P$2:$P$3000,P1464)&gt;1,"DUPLICATE","OK"))</f>
        <v/>
      </c>
      <c r="R1464" s="0" t="str">
        <f aca="false">IF($C1464="","",IFERROR(VLOOKUP(--$C1464,MM_Income!$Z$5:$AC$204,3,FALSE()),""))</f>
        <v/>
      </c>
    </row>
    <row r="1465" customFormat="false" ht="13.5" hidden="false" customHeight="false" outlineLevel="0" collapsed="false">
      <c r="N1465" s="1" t="str">
        <f aca="false">IF(C1465="","",IFERROR(VLOOKUP(C1465,Master_Mappings!$A$4:$E$85,3,FALSE()),"UNMAPPED"))</f>
        <v/>
      </c>
      <c r="P1465" s="1" t="str">
        <f aca="false">IF($C1465="","",$C1465&amp;"|"&amp;$E1465&amp;"|"&amp;$M1465&amp;"|"&amp;TEXT($G1465,"yyyy-mm-dd")&amp;"|"&amp;LEFT($J1465,40))</f>
        <v/>
      </c>
      <c r="Q1465" s="11" t="str">
        <f aca="false">IF(P1465="","",IF(COUNTIF($P$2:$P$3000,P1465)&gt;1,"DUPLICATE","OK"))</f>
        <v/>
      </c>
      <c r="R1465" s="0" t="str">
        <f aca="false">IF($C1465="","",IFERROR(VLOOKUP(--$C1465,MM_Income!$Z$5:$AC$204,3,FALSE()),""))</f>
        <v/>
      </c>
    </row>
    <row r="1466" customFormat="false" ht="13.5" hidden="false" customHeight="false" outlineLevel="0" collapsed="false">
      <c r="N1466" s="1" t="str">
        <f aca="false">IF(C1466="","",IFERROR(VLOOKUP(C1466,Master_Mappings!$A$4:$E$85,3,FALSE()),"UNMAPPED"))</f>
        <v/>
      </c>
      <c r="P1466" s="1" t="str">
        <f aca="false">IF($C1466="","",$C1466&amp;"|"&amp;$E1466&amp;"|"&amp;$M1466&amp;"|"&amp;TEXT($G1466,"yyyy-mm-dd")&amp;"|"&amp;LEFT($J1466,40))</f>
        <v/>
      </c>
      <c r="Q1466" s="11" t="str">
        <f aca="false">IF(P1466="","",IF(COUNTIF($P$2:$P$3000,P1466)&gt;1,"DUPLICATE","OK"))</f>
        <v/>
      </c>
      <c r="R1466" s="0" t="str">
        <f aca="false">IF($C1466="","",IFERROR(VLOOKUP(--$C1466,MM_Income!$Z$5:$AC$204,3,FALSE()),""))</f>
        <v/>
      </c>
    </row>
    <row r="1467" customFormat="false" ht="13.5" hidden="false" customHeight="false" outlineLevel="0" collapsed="false">
      <c r="N1467" s="1" t="str">
        <f aca="false">IF(C1467="","",IFERROR(VLOOKUP(C1467,Master_Mappings!$A$4:$E$85,3,FALSE()),"UNMAPPED"))</f>
        <v/>
      </c>
      <c r="P1467" s="1" t="str">
        <f aca="false">IF($C1467="","",$C1467&amp;"|"&amp;$E1467&amp;"|"&amp;$M1467&amp;"|"&amp;TEXT($G1467,"yyyy-mm-dd")&amp;"|"&amp;LEFT($J1467,40))</f>
        <v/>
      </c>
      <c r="Q1467" s="11" t="str">
        <f aca="false">IF(P1467="","",IF(COUNTIF($P$2:$P$3000,P1467)&gt;1,"DUPLICATE","OK"))</f>
        <v/>
      </c>
      <c r="R1467" s="0" t="str">
        <f aca="false">IF($C1467="","",IFERROR(VLOOKUP(--$C1467,MM_Income!$Z$5:$AC$204,3,FALSE()),""))</f>
        <v/>
      </c>
    </row>
    <row r="1468" customFormat="false" ht="13.5" hidden="false" customHeight="false" outlineLevel="0" collapsed="false">
      <c r="N1468" s="1" t="str">
        <f aca="false">IF(C1468="","",IFERROR(VLOOKUP(C1468,Master_Mappings!$A$4:$E$85,3,FALSE()),"UNMAPPED"))</f>
        <v/>
      </c>
      <c r="P1468" s="1" t="str">
        <f aca="false">IF($C1468="","",$C1468&amp;"|"&amp;$E1468&amp;"|"&amp;$M1468&amp;"|"&amp;TEXT($G1468,"yyyy-mm-dd")&amp;"|"&amp;LEFT($J1468,40))</f>
        <v/>
      </c>
      <c r="Q1468" s="11" t="str">
        <f aca="false">IF(P1468="","",IF(COUNTIF($P$2:$P$3000,P1468)&gt;1,"DUPLICATE","OK"))</f>
        <v/>
      </c>
      <c r="R1468" s="0" t="str">
        <f aca="false">IF($C1468="","",IFERROR(VLOOKUP(--$C1468,MM_Income!$Z$5:$AC$204,3,FALSE()),""))</f>
        <v/>
      </c>
    </row>
    <row r="1469" customFormat="false" ht="13.5" hidden="false" customHeight="false" outlineLevel="0" collapsed="false">
      <c r="N1469" s="1" t="str">
        <f aca="false">IF(C1469="","",IFERROR(VLOOKUP(C1469,Master_Mappings!$A$4:$E$85,3,FALSE()),"UNMAPPED"))</f>
        <v/>
      </c>
      <c r="P1469" s="1" t="str">
        <f aca="false">IF($C1469="","",$C1469&amp;"|"&amp;$E1469&amp;"|"&amp;$M1469&amp;"|"&amp;TEXT($G1469,"yyyy-mm-dd")&amp;"|"&amp;LEFT($J1469,40))</f>
        <v/>
      </c>
      <c r="Q1469" s="11" t="str">
        <f aca="false">IF(P1469="","",IF(COUNTIF($P$2:$P$3000,P1469)&gt;1,"DUPLICATE","OK"))</f>
        <v/>
      </c>
      <c r="R1469" s="0" t="str">
        <f aca="false">IF($C1469="","",IFERROR(VLOOKUP(--$C1469,MM_Income!$Z$5:$AC$204,3,FALSE()),""))</f>
        <v/>
      </c>
    </row>
    <row r="1470" customFormat="false" ht="13.5" hidden="false" customHeight="false" outlineLevel="0" collapsed="false">
      <c r="N1470" s="1" t="str">
        <f aca="false">IF(C1470="","",IFERROR(VLOOKUP(C1470,Master_Mappings!$A$4:$E$85,3,FALSE()),"UNMAPPED"))</f>
        <v/>
      </c>
      <c r="P1470" s="1" t="str">
        <f aca="false">IF($C1470="","",$C1470&amp;"|"&amp;$E1470&amp;"|"&amp;$M1470&amp;"|"&amp;TEXT($G1470,"yyyy-mm-dd")&amp;"|"&amp;LEFT($J1470,40))</f>
        <v/>
      </c>
      <c r="Q1470" s="11" t="str">
        <f aca="false">IF(P1470="","",IF(COUNTIF($P$2:$P$3000,P1470)&gt;1,"DUPLICATE","OK"))</f>
        <v/>
      </c>
      <c r="R1470" s="0" t="str">
        <f aca="false">IF($C1470="","",IFERROR(VLOOKUP(--$C1470,MM_Income!$Z$5:$AC$204,3,FALSE()),""))</f>
        <v/>
      </c>
    </row>
    <row r="1471" customFormat="false" ht="13.5" hidden="false" customHeight="false" outlineLevel="0" collapsed="false">
      <c r="N1471" s="1" t="str">
        <f aca="false">IF(C1471="","",IFERROR(VLOOKUP(C1471,Master_Mappings!$A$4:$E$85,3,FALSE()),"UNMAPPED"))</f>
        <v/>
      </c>
      <c r="P1471" s="1" t="str">
        <f aca="false">IF($C1471="","",$C1471&amp;"|"&amp;$E1471&amp;"|"&amp;$M1471&amp;"|"&amp;TEXT($G1471,"yyyy-mm-dd")&amp;"|"&amp;LEFT($J1471,40))</f>
        <v/>
      </c>
      <c r="Q1471" s="11" t="str">
        <f aca="false">IF(P1471="","",IF(COUNTIF($P$2:$P$3000,P1471)&gt;1,"DUPLICATE","OK"))</f>
        <v/>
      </c>
      <c r="R1471" s="0" t="str">
        <f aca="false">IF($C1471="","",IFERROR(VLOOKUP(--$C1471,MM_Income!$Z$5:$AC$204,3,FALSE()),""))</f>
        <v/>
      </c>
    </row>
    <row r="1472" customFormat="false" ht="13.5" hidden="false" customHeight="false" outlineLevel="0" collapsed="false">
      <c r="N1472" s="1" t="str">
        <f aca="false">IF(C1472="","",IFERROR(VLOOKUP(C1472,Master_Mappings!$A$4:$E$85,3,FALSE()),"UNMAPPED"))</f>
        <v/>
      </c>
      <c r="P1472" s="1" t="str">
        <f aca="false">IF($C1472="","",$C1472&amp;"|"&amp;$E1472&amp;"|"&amp;$M1472&amp;"|"&amp;TEXT($G1472,"yyyy-mm-dd")&amp;"|"&amp;LEFT($J1472,40))</f>
        <v/>
      </c>
      <c r="Q1472" s="11" t="str">
        <f aca="false">IF(P1472="","",IF(COUNTIF($P$2:$P$3000,P1472)&gt;1,"DUPLICATE","OK"))</f>
        <v/>
      </c>
      <c r="R1472" s="0" t="str">
        <f aca="false">IF($C1472="","",IFERROR(VLOOKUP(--$C1472,MM_Income!$Z$5:$AC$204,3,FALSE()),""))</f>
        <v/>
      </c>
    </row>
    <row r="1473" customFormat="false" ht="13.5" hidden="false" customHeight="false" outlineLevel="0" collapsed="false">
      <c r="N1473" s="1" t="str">
        <f aca="false">IF(C1473="","",IFERROR(VLOOKUP(C1473,Master_Mappings!$A$4:$E$85,3,FALSE()),"UNMAPPED"))</f>
        <v/>
      </c>
      <c r="P1473" s="1" t="str">
        <f aca="false">IF($C1473="","",$C1473&amp;"|"&amp;$E1473&amp;"|"&amp;$M1473&amp;"|"&amp;TEXT($G1473,"yyyy-mm-dd")&amp;"|"&amp;LEFT($J1473,40))</f>
        <v/>
      </c>
      <c r="Q1473" s="11" t="str">
        <f aca="false">IF(P1473="","",IF(COUNTIF($P$2:$P$3000,P1473)&gt;1,"DUPLICATE","OK"))</f>
        <v/>
      </c>
      <c r="R1473" s="0" t="str">
        <f aca="false">IF($C1473="","",IFERROR(VLOOKUP(--$C1473,MM_Income!$Z$5:$AC$204,3,FALSE()),""))</f>
        <v/>
      </c>
    </row>
    <row r="1474" customFormat="false" ht="13.5" hidden="false" customHeight="false" outlineLevel="0" collapsed="false">
      <c r="N1474" s="1" t="str">
        <f aca="false">IF(C1474="","",IFERROR(VLOOKUP(C1474,Master_Mappings!$A$4:$E$85,3,FALSE()),"UNMAPPED"))</f>
        <v/>
      </c>
      <c r="P1474" s="1" t="str">
        <f aca="false">IF($C1474="","",$C1474&amp;"|"&amp;$E1474&amp;"|"&amp;$M1474&amp;"|"&amp;TEXT($G1474,"yyyy-mm-dd")&amp;"|"&amp;LEFT($J1474,40))</f>
        <v/>
      </c>
      <c r="Q1474" s="11" t="str">
        <f aca="false">IF(P1474="","",IF(COUNTIF($P$2:$P$3000,P1474)&gt;1,"DUPLICATE","OK"))</f>
        <v/>
      </c>
      <c r="R1474" s="0" t="str">
        <f aca="false">IF($C1474="","",IFERROR(VLOOKUP(--$C1474,MM_Income!$Z$5:$AC$204,3,FALSE()),""))</f>
        <v/>
      </c>
    </row>
    <row r="1475" customFormat="false" ht="13.5" hidden="false" customHeight="false" outlineLevel="0" collapsed="false">
      <c r="N1475" s="1" t="str">
        <f aca="false">IF(C1475="","",IFERROR(VLOOKUP(C1475,Master_Mappings!$A$4:$E$85,3,FALSE()),"UNMAPPED"))</f>
        <v/>
      </c>
      <c r="P1475" s="1" t="str">
        <f aca="false">IF($C1475="","",$C1475&amp;"|"&amp;$E1475&amp;"|"&amp;$M1475&amp;"|"&amp;TEXT($G1475,"yyyy-mm-dd")&amp;"|"&amp;LEFT($J1475,40))</f>
        <v/>
      </c>
      <c r="Q1475" s="11" t="str">
        <f aca="false">IF(P1475="","",IF(COUNTIF($P$2:$P$3000,P1475)&gt;1,"DUPLICATE","OK"))</f>
        <v/>
      </c>
      <c r="R1475" s="0" t="str">
        <f aca="false">IF($C1475="","",IFERROR(VLOOKUP(--$C1475,MM_Income!$Z$5:$AC$204,3,FALSE()),""))</f>
        <v/>
      </c>
    </row>
    <row r="1476" customFormat="false" ht="13.5" hidden="false" customHeight="false" outlineLevel="0" collapsed="false">
      <c r="N1476" s="1" t="str">
        <f aca="false">IF(C1476="","",IFERROR(VLOOKUP(C1476,Master_Mappings!$A$4:$E$85,3,FALSE()),"UNMAPPED"))</f>
        <v/>
      </c>
      <c r="P1476" s="1" t="str">
        <f aca="false">IF($C1476="","",$C1476&amp;"|"&amp;$E1476&amp;"|"&amp;$M1476&amp;"|"&amp;TEXT($G1476,"yyyy-mm-dd")&amp;"|"&amp;LEFT($J1476,40))</f>
        <v/>
      </c>
      <c r="Q1476" s="11" t="str">
        <f aca="false">IF(P1476="","",IF(COUNTIF($P$2:$P$3000,P1476)&gt;1,"DUPLICATE","OK"))</f>
        <v/>
      </c>
      <c r="R1476" s="0" t="str">
        <f aca="false">IF($C1476="","",IFERROR(VLOOKUP(--$C1476,MM_Income!$Z$5:$AC$204,3,FALSE()),""))</f>
        <v/>
      </c>
    </row>
    <row r="1477" customFormat="false" ht="13.5" hidden="false" customHeight="false" outlineLevel="0" collapsed="false">
      <c r="N1477" s="1" t="str">
        <f aca="false">IF(C1477="","",IFERROR(VLOOKUP(C1477,Master_Mappings!$A$4:$E$85,3,FALSE()),"UNMAPPED"))</f>
        <v/>
      </c>
      <c r="P1477" s="1" t="str">
        <f aca="false">IF($C1477="","",$C1477&amp;"|"&amp;$E1477&amp;"|"&amp;$M1477&amp;"|"&amp;TEXT($G1477,"yyyy-mm-dd")&amp;"|"&amp;LEFT($J1477,40))</f>
        <v/>
      </c>
      <c r="Q1477" s="11" t="str">
        <f aca="false">IF(P1477="","",IF(COUNTIF($P$2:$P$3000,P1477)&gt;1,"DUPLICATE","OK"))</f>
        <v/>
      </c>
      <c r="R1477" s="0" t="str">
        <f aca="false">IF($C1477="","",IFERROR(VLOOKUP(--$C1477,MM_Income!$Z$5:$AC$204,3,FALSE()),""))</f>
        <v/>
      </c>
    </row>
    <row r="1478" customFormat="false" ht="13.5" hidden="false" customHeight="false" outlineLevel="0" collapsed="false">
      <c r="N1478" s="1" t="str">
        <f aca="false">IF(C1478="","",IFERROR(VLOOKUP(C1478,Master_Mappings!$A$4:$E$85,3,FALSE()),"UNMAPPED"))</f>
        <v/>
      </c>
      <c r="P1478" s="1" t="str">
        <f aca="false">IF($C1478="","",$C1478&amp;"|"&amp;$E1478&amp;"|"&amp;$M1478&amp;"|"&amp;TEXT($G1478,"yyyy-mm-dd")&amp;"|"&amp;LEFT($J1478,40))</f>
        <v/>
      </c>
      <c r="Q1478" s="11" t="str">
        <f aca="false">IF(P1478="","",IF(COUNTIF($P$2:$P$3000,P1478)&gt;1,"DUPLICATE","OK"))</f>
        <v/>
      </c>
      <c r="R1478" s="0" t="str">
        <f aca="false">IF($C1478="","",IFERROR(VLOOKUP(--$C1478,MM_Income!$Z$5:$AC$204,3,FALSE()),""))</f>
        <v/>
      </c>
    </row>
    <row r="1479" customFormat="false" ht="13.5" hidden="false" customHeight="false" outlineLevel="0" collapsed="false">
      <c r="N1479" s="1" t="str">
        <f aca="false">IF(C1479="","",IFERROR(VLOOKUP(C1479,Master_Mappings!$A$4:$E$85,3,FALSE()),"UNMAPPED"))</f>
        <v/>
      </c>
      <c r="P1479" s="1" t="str">
        <f aca="false">IF($C1479="","",$C1479&amp;"|"&amp;$E1479&amp;"|"&amp;$M1479&amp;"|"&amp;TEXT($G1479,"yyyy-mm-dd")&amp;"|"&amp;LEFT($J1479,40))</f>
        <v/>
      </c>
      <c r="Q1479" s="11" t="str">
        <f aca="false">IF(P1479="","",IF(COUNTIF($P$2:$P$3000,P1479)&gt;1,"DUPLICATE","OK"))</f>
        <v/>
      </c>
      <c r="R1479" s="0" t="str">
        <f aca="false">IF($C1479="","",IFERROR(VLOOKUP(--$C1479,MM_Income!$Z$5:$AC$204,3,FALSE()),""))</f>
        <v/>
      </c>
    </row>
    <row r="1480" customFormat="false" ht="13.5" hidden="false" customHeight="false" outlineLevel="0" collapsed="false">
      <c r="N1480" s="1" t="str">
        <f aca="false">IF(C1480="","",IFERROR(VLOOKUP(C1480,Master_Mappings!$A$4:$E$85,3,FALSE()),"UNMAPPED"))</f>
        <v/>
      </c>
      <c r="P1480" s="1" t="str">
        <f aca="false">IF($C1480="","",$C1480&amp;"|"&amp;$E1480&amp;"|"&amp;$M1480&amp;"|"&amp;TEXT($G1480,"yyyy-mm-dd")&amp;"|"&amp;LEFT($J1480,40))</f>
        <v/>
      </c>
      <c r="Q1480" s="11" t="str">
        <f aca="false">IF(P1480="","",IF(COUNTIF($P$2:$P$3000,P1480)&gt;1,"DUPLICATE","OK"))</f>
        <v/>
      </c>
      <c r="R1480" s="0" t="str">
        <f aca="false">IF($C1480="","",IFERROR(VLOOKUP(--$C1480,MM_Income!$Z$5:$AC$204,3,FALSE()),""))</f>
        <v/>
      </c>
    </row>
    <row r="1481" customFormat="false" ht="13.5" hidden="false" customHeight="false" outlineLevel="0" collapsed="false">
      <c r="N1481" s="1" t="str">
        <f aca="false">IF(C1481="","",IFERROR(VLOOKUP(C1481,Master_Mappings!$A$4:$E$85,3,FALSE()),"UNMAPPED"))</f>
        <v/>
      </c>
      <c r="P1481" s="1" t="str">
        <f aca="false">IF($C1481="","",$C1481&amp;"|"&amp;$E1481&amp;"|"&amp;$M1481&amp;"|"&amp;TEXT($G1481,"yyyy-mm-dd")&amp;"|"&amp;LEFT($J1481,40))</f>
        <v/>
      </c>
      <c r="Q1481" s="11" t="str">
        <f aca="false">IF(P1481="","",IF(COUNTIF($P$2:$P$3000,P1481)&gt;1,"DUPLICATE","OK"))</f>
        <v/>
      </c>
      <c r="R1481" s="0" t="str">
        <f aca="false">IF($C1481="","",IFERROR(VLOOKUP(--$C1481,MM_Income!$Z$5:$AC$204,3,FALSE()),""))</f>
        <v/>
      </c>
    </row>
    <row r="1482" customFormat="false" ht="13.5" hidden="false" customHeight="false" outlineLevel="0" collapsed="false">
      <c r="N1482" s="1" t="str">
        <f aca="false">IF(C1482="","",IFERROR(VLOOKUP(C1482,Master_Mappings!$A$4:$E$85,3,FALSE()),"UNMAPPED"))</f>
        <v/>
      </c>
      <c r="P1482" s="1" t="str">
        <f aca="false">IF($C1482="","",$C1482&amp;"|"&amp;$E1482&amp;"|"&amp;$M1482&amp;"|"&amp;TEXT($G1482,"yyyy-mm-dd")&amp;"|"&amp;LEFT($J1482,40))</f>
        <v/>
      </c>
      <c r="Q1482" s="11" t="str">
        <f aca="false">IF(P1482="","",IF(COUNTIF($P$2:$P$3000,P1482)&gt;1,"DUPLICATE","OK"))</f>
        <v/>
      </c>
      <c r="R1482" s="0" t="str">
        <f aca="false">IF($C1482="","",IFERROR(VLOOKUP(--$C1482,MM_Income!$Z$5:$AC$204,3,FALSE()),""))</f>
        <v/>
      </c>
    </row>
    <row r="1483" customFormat="false" ht="13.5" hidden="false" customHeight="false" outlineLevel="0" collapsed="false">
      <c r="N1483" s="1" t="str">
        <f aca="false">IF(C1483="","",IFERROR(VLOOKUP(C1483,Master_Mappings!$A$4:$E$85,3,FALSE()),"UNMAPPED"))</f>
        <v/>
      </c>
      <c r="P1483" s="1" t="str">
        <f aca="false">IF($C1483="","",$C1483&amp;"|"&amp;$E1483&amp;"|"&amp;$M1483&amp;"|"&amp;TEXT($G1483,"yyyy-mm-dd")&amp;"|"&amp;LEFT($J1483,40))</f>
        <v/>
      </c>
      <c r="Q1483" s="11" t="str">
        <f aca="false">IF(P1483="","",IF(COUNTIF($P$2:$P$3000,P1483)&gt;1,"DUPLICATE","OK"))</f>
        <v/>
      </c>
      <c r="R1483" s="0" t="str">
        <f aca="false">IF($C1483="","",IFERROR(VLOOKUP(--$C1483,MM_Income!$Z$5:$AC$204,3,FALSE()),""))</f>
        <v/>
      </c>
    </row>
    <row r="1484" customFormat="false" ht="13.5" hidden="false" customHeight="false" outlineLevel="0" collapsed="false">
      <c r="N1484" s="1" t="str">
        <f aca="false">IF(C1484="","",IFERROR(VLOOKUP(C1484,Master_Mappings!$A$4:$E$85,3,FALSE()),"UNMAPPED"))</f>
        <v/>
      </c>
      <c r="P1484" s="1" t="str">
        <f aca="false">IF($C1484="","",$C1484&amp;"|"&amp;$E1484&amp;"|"&amp;$M1484&amp;"|"&amp;TEXT($G1484,"yyyy-mm-dd")&amp;"|"&amp;LEFT($J1484,40))</f>
        <v/>
      </c>
      <c r="Q1484" s="11" t="str">
        <f aca="false">IF(P1484="","",IF(COUNTIF($P$2:$P$3000,P1484)&gt;1,"DUPLICATE","OK"))</f>
        <v/>
      </c>
      <c r="R1484" s="0" t="str">
        <f aca="false">IF($C1484="","",IFERROR(VLOOKUP(--$C1484,MM_Income!$Z$5:$AC$204,3,FALSE()),""))</f>
        <v/>
      </c>
    </row>
    <row r="1485" customFormat="false" ht="13.5" hidden="false" customHeight="false" outlineLevel="0" collapsed="false">
      <c r="N1485" s="1" t="str">
        <f aca="false">IF(C1485="","",IFERROR(VLOOKUP(C1485,Master_Mappings!$A$4:$E$85,3,FALSE()),"UNMAPPED"))</f>
        <v/>
      </c>
      <c r="P1485" s="1" t="str">
        <f aca="false">IF($C1485="","",$C1485&amp;"|"&amp;$E1485&amp;"|"&amp;$M1485&amp;"|"&amp;TEXT($G1485,"yyyy-mm-dd")&amp;"|"&amp;LEFT($J1485,40))</f>
        <v/>
      </c>
      <c r="Q1485" s="11" t="str">
        <f aca="false">IF(P1485="","",IF(COUNTIF($P$2:$P$3000,P1485)&gt;1,"DUPLICATE","OK"))</f>
        <v/>
      </c>
      <c r="R1485" s="0" t="str">
        <f aca="false">IF($C1485="","",IFERROR(VLOOKUP(--$C1485,MM_Income!$Z$5:$AC$204,3,FALSE()),""))</f>
        <v/>
      </c>
    </row>
    <row r="1486" customFormat="false" ht="13.5" hidden="false" customHeight="false" outlineLevel="0" collapsed="false">
      <c r="N1486" s="1" t="str">
        <f aca="false">IF(C1486="","",IFERROR(VLOOKUP(C1486,Master_Mappings!$A$4:$E$85,3,FALSE()),"UNMAPPED"))</f>
        <v/>
      </c>
      <c r="P1486" s="1" t="str">
        <f aca="false">IF($C1486="","",$C1486&amp;"|"&amp;$E1486&amp;"|"&amp;$M1486&amp;"|"&amp;TEXT($G1486,"yyyy-mm-dd")&amp;"|"&amp;LEFT($J1486,40))</f>
        <v/>
      </c>
      <c r="Q1486" s="11" t="str">
        <f aca="false">IF(P1486="","",IF(COUNTIF($P$2:$P$3000,P1486)&gt;1,"DUPLICATE","OK"))</f>
        <v/>
      </c>
      <c r="R1486" s="0" t="str">
        <f aca="false">IF($C1486="","",IFERROR(VLOOKUP(--$C1486,MM_Income!$Z$5:$AC$204,3,FALSE()),""))</f>
        <v/>
      </c>
    </row>
    <row r="1487" customFormat="false" ht="13.5" hidden="false" customHeight="false" outlineLevel="0" collapsed="false">
      <c r="N1487" s="1" t="str">
        <f aca="false">IF(C1487="","",IFERROR(VLOOKUP(C1487,Master_Mappings!$A$4:$E$85,3,FALSE()),"UNMAPPED"))</f>
        <v/>
      </c>
      <c r="P1487" s="1" t="str">
        <f aca="false">IF($C1487="","",$C1487&amp;"|"&amp;$E1487&amp;"|"&amp;$M1487&amp;"|"&amp;TEXT($G1487,"yyyy-mm-dd")&amp;"|"&amp;LEFT($J1487,40))</f>
        <v/>
      </c>
      <c r="Q1487" s="11" t="str">
        <f aca="false">IF(P1487="","",IF(COUNTIF($P$2:$P$3000,P1487)&gt;1,"DUPLICATE","OK"))</f>
        <v/>
      </c>
      <c r="R1487" s="0" t="str">
        <f aca="false">IF($C1487="","",IFERROR(VLOOKUP(--$C1487,MM_Income!$Z$5:$AC$204,3,FALSE()),""))</f>
        <v/>
      </c>
    </row>
    <row r="1488" customFormat="false" ht="13.5" hidden="false" customHeight="false" outlineLevel="0" collapsed="false">
      <c r="N1488" s="1" t="str">
        <f aca="false">IF(C1488="","",IFERROR(VLOOKUP(C1488,Master_Mappings!$A$4:$E$85,3,FALSE()),"UNMAPPED"))</f>
        <v/>
      </c>
      <c r="P1488" s="1" t="str">
        <f aca="false">IF($C1488="","",$C1488&amp;"|"&amp;$E1488&amp;"|"&amp;$M1488&amp;"|"&amp;TEXT($G1488,"yyyy-mm-dd")&amp;"|"&amp;LEFT($J1488,40))</f>
        <v/>
      </c>
      <c r="Q1488" s="11" t="str">
        <f aca="false">IF(P1488="","",IF(COUNTIF($P$2:$P$3000,P1488)&gt;1,"DUPLICATE","OK"))</f>
        <v/>
      </c>
      <c r="R1488" s="0" t="str">
        <f aca="false">IF($C1488="","",IFERROR(VLOOKUP(--$C1488,MM_Income!$Z$5:$AC$204,3,FALSE()),""))</f>
        <v/>
      </c>
    </row>
    <row r="1489" customFormat="false" ht="13.5" hidden="false" customHeight="false" outlineLevel="0" collapsed="false">
      <c r="N1489" s="1" t="str">
        <f aca="false">IF(C1489="","",IFERROR(VLOOKUP(C1489,Master_Mappings!$A$4:$E$85,3,FALSE()),"UNMAPPED"))</f>
        <v/>
      </c>
      <c r="P1489" s="1" t="str">
        <f aca="false">IF($C1489="","",$C1489&amp;"|"&amp;$E1489&amp;"|"&amp;$M1489&amp;"|"&amp;TEXT($G1489,"yyyy-mm-dd")&amp;"|"&amp;LEFT($J1489,40))</f>
        <v/>
      </c>
      <c r="Q1489" s="11" t="str">
        <f aca="false">IF(P1489="","",IF(COUNTIF($P$2:$P$3000,P1489)&gt;1,"DUPLICATE","OK"))</f>
        <v/>
      </c>
      <c r="R1489" s="0" t="str">
        <f aca="false">IF($C1489="","",IFERROR(VLOOKUP(--$C1489,MM_Income!$Z$5:$AC$204,3,FALSE()),""))</f>
        <v/>
      </c>
    </row>
    <row r="1490" customFormat="false" ht="13.5" hidden="false" customHeight="false" outlineLevel="0" collapsed="false">
      <c r="N1490" s="1" t="str">
        <f aca="false">IF(C1490="","",IFERROR(VLOOKUP(C1490,Master_Mappings!$A$4:$E$85,3,FALSE()),"UNMAPPED"))</f>
        <v/>
      </c>
      <c r="P1490" s="1" t="str">
        <f aca="false">IF($C1490="","",$C1490&amp;"|"&amp;$E1490&amp;"|"&amp;$M1490&amp;"|"&amp;TEXT($G1490,"yyyy-mm-dd")&amp;"|"&amp;LEFT($J1490,40))</f>
        <v/>
      </c>
      <c r="Q1490" s="11" t="str">
        <f aca="false">IF(P1490="","",IF(COUNTIF($P$2:$P$3000,P1490)&gt;1,"DUPLICATE","OK"))</f>
        <v/>
      </c>
      <c r="R1490" s="0" t="str">
        <f aca="false">IF($C1490="","",IFERROR(VLOOKUP(--$C1490,MM_Income!$Z$5:$AC$204,3,FALSE()),""))</f>
        <v/>
      </c>
    </row>
    <row r="1491" customFormat="false" ht="13.5" hidden="false" customHeight="false" outlineLevel="0" collapsed="false">
      <c r="N1491" s="1" t="str">
        <f aca="false">IF(C1491="","",IFERROR(VLOOKUP(C1491,Master_Mappings!$A$4:$E$85,3,FALSE()),"UNMAPPED"))</f>
        <v/>
      </c>
      <c r="P1491" s="1" t="str">
        <f aca="false">IF($C1491="","",$C1491&amp;"|"&amp;$E1491&amp;"|"&amp;$M1491&amp;"|"&amp;TEXT($G1491,"yyyy-mm-dd")&amp;"|"&amp;LEFT($J1491,40))</f>
        <v/>
      </c>
      <c r="Q1491" s="11" t="str">
        <f aca="false">IF(P1491="","",IF(COUNTIF($P$2:$P$3000,P1491)&gt;1,"DUPLICATE","OK"))</f>
        <v/>
      </c>
      <c r="R1491" s="0" t="str">
        <f aca="false">IF($C1491="","",IFERROR(VLOOKUP(--$C1491,MM_Income!$Z$5:$AC$204,3,FALSE()),""))</f>
        <v/>
      </c>
    </row>
    <row r="1492" customFormat="false" ht="13.5" hidden="false" customHeight="false" outlineLevel="0" collapsed="false">
      <c r="N1492" s="1" t="str">
        <f aca="false">IF(C1492="","",IFERROR(VLOOKUP(C1492,Master_Mappings!$A$4:$E$85,3,FALSE()),"UNMAPPED"))</f>
        <v/>
      </c>
      <c r="P1492" s="1" t="str">
        <f aca="false">IF($C1492="","",$C1492&amp;"|"&amp;$E1492&amp;"|"&amp;$M1492&amp;"|"&amp;TEXT($G1492,"yyyy-mm-dd")&amp;"|"&amp;LEFT($J1492,40))</f>
        <v/>
      </c>
      <c r="Q1492" s="11" t="str">
        <f aca="false">IF(P1492="","",IF(COUNTIF($P$2:$P$3000,P1492)&gt;1,"DUPLICATE","OK"))</f>
        <v/>
      </c>
      <c r="R1492" s="0" t="str">
        <f aca="false">IF($C1492="","",IFERROR(VLOOKUP(--$C1492,MM_Income!$Z$5:$AC$204,3,FALSE()),""))</f>
        <v/>
      </c>
    </row>
    <row r="1493" customFormat="false" ht="13.5" hidden="false" customHeight="false" outlineLevel="0" collapsed="false">
      <c r="N1493" s="1" t="str">
        <f aca="false">IF(C1493="","",IFERROR(VLOOKUP(C1493,Master_Mappings!$A$4:$E$85,3,FALSE()),"UNMAPPED"))</f>
        <v/>
      </c>
      <c r="P1493" s="1" t="str">
        <f aca="false">IF($C1493="","",$C1493&amp;"|"&amp;$E1493&amp;"|"&amp;$M1493&amp;"|"&amp;TEXT($G1493,"yyyy-mm-dd")&amp;"|"&amp;LEFT($J1493,40))</f>
        <v/>
      </c>
      <c r="Q1493" s="11" t="str">
        <f aca="false">IF(P1493="","",IF(COUNTIF($P$2:$P$3000,P1493)&gt;1,"DUPLICATE","OK"))</f>
        <v/>
      </c>
      <c r="R1493" s="0" t="str">
        <f aca="false">IF($C1493="","",IFERROR(VLOOKUP(--$C1493,MM_Income!$Z$5:$AC$204,3,FALSE()),""))</f>
        <v/>
      </c>
    </row>
    <row r="1494" customFormat="false" ht="13.5" hidden="false" customHeight="false" outlineLevel="0" collapsed="false">
      <c r="N1494" s="1" t="str">
        <f aca="false">IF(C1494="","",IFERROR(VLOOKUP(C1494,Master_Mappings!$A$4:$E$85,3,FALSE()),"UNMAPPED"))</f>
        <v/>
      </c>
      <c r="P1494" s="1" t="str">
        <f aca="false">IF($C1494="","",$C1494&amp;"|"&amp;$E1494&amp;"|"&amp;$M1494&amp;"|"&amp;TEXT($G1494,"yyyy-mm-dd")&amp;"|"&amp;LEFT($J1494,40))</f>
        <v/>
      </c>
      <c r="Q1494" s="11" t="str">
        <f aca="false">IF(P1494="","",IF(COUNTIF($P$2:$P$3000,P1494)&gt;1,"DUPLICATE","OK"))</f>
        <v/>
      </c>
      <c r="R1494" s="0" t="str">
        <f aca="false">IF($C1494="","",IFERROR(VLOOKUP(--$C1494,MM_Income!$Z$5:$AC$204,3,FALSE()),""))</f>
        <v/>
      </c>
    </row>
    <row r="1495" customFormat="false" ht="13.5" hidden="false" customHeight="false" outlineLevel="0" collapsed="false">
      <c r="N1495" s="1" t="str">
        <f aca="false">IF(C1495="","",IFERROR(VLOOKUP(C1495,Master_Mappings!$A$4:$E$85,3,FALSE()),"UNMAPPED"))</f>
        <v/>
      </c>
      <c r="P1495" s="1" t="str">
        <f aca="false">IF($C1495="","",$C1495&amp;"|"&amp;$E1495&amp;"|"&amp;$M1495&amp;"|"&amp;TEXT($G1495,"yyyy-mm-dd")&amp;"|"&amp;LEFT($J1495,40))</f>
        <v/>
      </c>
      <c r="Q1495" s="11" t="str">
        <f aca="false">IF(P1495="","",IF(COUNTIF($P$2:$P$3000,P1495)&gt;1,"DUPLICATE","OK"))</f>
        <v/>
      </c>
      <c r="R1495" s="0" t="str">
        <f aca="false">IF($C1495="","",IFERROR(VLOOKUP(--$C1495,MM_Income!$Z$5:$AC$204,3,FALSE()),""))</f>
        <v/>
      </c>
    </row>
    <row r="1496" customFormat="false" ht="13.5" hidden="false" customHeight="false" outlineLevel="0" collapsed="false">
      <c r="N1496" s="1" t="str">
        <f aca="false">IF(C1496="","",IFERROR(VLOOKUP(C1496,Master_Mappings!$A$4:$E$85,3,FALSE()),"UNMAPPED"))</f>
        <v/>
      </c>
      <c r="P1496" s="1" t="str">
        <f aca="false">IF($C1496="","",$C1496&amp;"|"&amp;$E1496&amp;"|"&amp;$M1496&amp;"|"&amp;TEXT($G1496,"yyyy-mm-dd")&amp;"|"&amp;LEFT($J1496,40))</f>
        <v/>
      </c>
      <c r="Q1496" s="11" t="str">
        <f aca="false">IF(P1496="","",IF(COUNTIF($P$2:$P$3000,P1496)&gt;1,"DUPLICATE","OK"))</f>
        <v/>
      </c>
      <c r="R1496" s="0" t="str">
        <f aca="false">IF($C1496="","",IFERROR(VLOOKUP(--$C1496,MM_Income!$Z$5:$AC$204,3,FALSE()),""))</f>
        <v/>
      </c>
    </row>
    <row r="1497" customFormat="false" ht="13.5" hidden="false" customHeight="false" outlineLevel="0" collapsed="false">
      <c r="N1497" s="1" t="str">
        <f aca="false">IF(C1497="","",IFERROR(VLOOKUP(C1497,Master_Mappings!$A$4:$E$85,3,FALSE()),"UNMAPPED"))</f>
        <v/>
      </c>
      <c r="P1497" s="1" t="str">
        <f aca="false">IF($C1497="","",$C1497&amp;"|"&amp;$E1497&amp;"|"&amp;$M1497&amp;"|"&amp;TEXT($G1497,"yyyy-mm-dd")&amp;"|"&amp;LEFT($J1497,40))</f>
        <v/>
      </c>
      <c r="Q1497" s="11" t="str">
        <f aca="false">IF(P1497="","",IF(COUNTIF($P$2:$P$3000,P1497)&gt;1,"DUPLICATE","OK"))</f>
        <v/>
      </c>
      <c r="R1497" s="0" t="str">
        <f aca="false">IF($C1497="","",IFERROR(VLOOKUP(--$C1497,MM_Income!$Z$5:$AC$204,3,FALSE()),""))</f>
        <v/>
      </c>
    </row>
    <row r="1498" customFormat="false" ht="13.5" hidden="false" customHeight="false" outlineLevel="0" collapsed="false">
      <c r="N1498" s="1" t="str">
        <f aca="false">IF(C1498="","",IFERROR(VLOOKUP(C1498,Master_Mappings!$A$4:$E$85,3,FALSE()),"UNMAPPED"))</f>
        <v/>
      </c>
      <c r="P1498" s="1" t="str">
        <f aca="false">IF($C1498="","",$C1498&amp;"|"&amp;$E1498&amp;"|"&amp;$M1498&amp;"|"&amp;TEXT($G1498,"yyyy-mm-dd")&amp;"|"&amp;LEFT($J1498,40))</f>
        <v/>
      </c>
      <c r="Q1498" s="11" t="str">
        <f aca="false">IF(P1498="","",IF(COUNTIF($P$2:$P$3000,P1498)&gt;1,"DUPLICATE","OK"))</f>
        <v/>
      </c>
      <c r="R1498" s="0" t="str">
        <f aca="false">IF($C1498="","",IFERROR(VLOOKUP(--$C1498,MM_Income!$Z$5:$AC$204,3,FALSE()),""))</f>
        <v/>
      </c>
    </row>
    <row r="1499" customFormat="false" ht="13.5" hidden="false" customHeight="false" outlineLevel="0" collapsed="false">
      <c r="N1499" s="1" t="str">
        <f aca="false">IF(C1499="","",IFERROR(VLOOKUP(C1499,Master_Mappings!$A$4:$E$85,3,FALSE()),"UNMAPPED"))</f>
        <v/>
      </c>
      <c r="P1499" s="1" t="str">
        <f aca="false">IF($C1499="","",$C1499&amp;"|"&amp;$E1499&amp;"|"&amp;$M1499&amp;"|"&amp;TEXT($G1499,"yyyy-mm-dd")&amp;"|"&amp;LEFT($J1499,40))</f>
        <v/>
      </c>
      <c r="Q1499" s="11" t="str">
        <f aca="false">IF(P1499="","",IF(COUNTIF($P$2:$P$3000,P1499)&gt;1,"DUPLICATE","OK"))</f>
        <v/>
      </c>
      <c r="R1499" s="0" t="str">
        <f aca="false">IF($C1499="","",IFERROR(VLOOKUP(--$C1499,MM_Income!$Z$5:$AC$204,3,FALSE()),""))</f>
        <v/>
      </c>
    </row>
    <row r="1500" customFormat="false" ht="13.5" hidden="false" customHeight="false" outlineLevel="0" collapsed="false">
      <c r="N1500" s="1" t="str">
        <f aca="false">IF(C1500="","",IFERROR(VLOOKUP(C1500,Master_Mappings!$A$4:$E$85,3,FALSE()),"UNMAPPED"))</f>
        <v/>
      </c>
      <c r="P1500" s="1" t="str">
        <f aca="false">IF($C1500="","",$C1500&amp;"|"&amp;$E1500&amp;"|"&amp;$M1500&amp;"|"&amp;TEXT($G1500,"yyyy-mm-dd")&amp;"|"&amp;LEFT($J1500,40))</f>
        <v/>
      </c>
      <c r="Q1500" s="11" t="str">
        <f aca="false">IF(P1500="","",IF(COUNTIF($P$2:$P$3000,P1500)&gt;1,"DUPLICATE","OK"))</f>
        <v/>
      </c>
      <c r="R1500" s="0" t="str">
        <f aca="false">IF($C1500="","",IFERROR(VLOOKUP(--$C1500,MM_Income!$Z$5:$AC$204,3,FALSE()),""))</f>
        <v/>
      </c>
    </row>
    <row r="1501" customFormat="false" ht="13.5" hidden="false" customHeight="false" outlineLevel="0" collapsed="false">
      <c r="N1501" s="1" t="str">
        <f aca="false">IF(C1501="","",IFERROR(VLOOKUP(C1501,Master_Mappings!$A$4:$E$85,3,FALSE()),"UNMAPPED"))</f>
        <v/>
      </c>
      <c r="P1501" s="1" t="str">
        <f aca="false">IF($C1501="","",$C1501&amp;"|"&amp;$E1501&amp;"|"&amp;$M1501&amp;"|"&amp;TEXT($G1501,"yyyy-mm-dd")&amp;"|"&amp;LEFT($J1501,40))</f>
        <v/>
      </c>
      <c r="Q1501" s="11" t="str">
        <f aca="false">IF(P1501="","",IF(COUNTIF($P$2:$P$3000,P1501)&gt;1,"DUPLICATE","OK"))</f>
        <v/>
      </c>
      <c r="R1501" s="0" t="str">
        <f aca="false">IF($C1501="","",IFERROR(VLOOKUP(--$C1501,MM_Income!$Z$5:$AC$204,3,FALSE()),""))</f>
        <v/>
      </c>
    </row>
    <row r="1502" customFormat="false" ht="13.5" hidden="false" customHeight="false" outlineLevel="0" collapsed="false">
      <c r="N1502" s="1" t="str">
        <f aca="false">IF(C1502="","",IFERROR(VLOOKUP(C1502,Master_Mappings!$A$4:$E$85,3,FALSE()),"UNMAPPED"))</f>
        <v/>
      </c>
      <c r="P1502" s="1" t="str">
        <f aca="false">IF($C1502="","",$C1502&amp;"|"&amp;$E1502&amp;"|"&amp;$M1502&amp;"|"&amp;TEXT($G1502,"yyyy-mm-dd")&amp;"|"&amp;LEFT($J1502,40))</f>
        <v/>
      </c>
      <c r="Q1502" s="11" t="str">
        <f aca="false">IF(P1502="","",IF(COUNTIF($P$2:$P$3000,P1502)&gt;1,"DUPLICATE","OK"))</f>
        <v/>
      </c>
      <c r="R1502" s="0" t="str">
        <f aca="false">IF($C1502="","",IFERROR(VLOOKUP(--$C1502,MM_Income!$Z$5:$AC$204,3,FALSE()),""))</f>
        <v/>
      </c>
    </row>
    <row r="1503" customFormat="false" ht="13.5" hidden="false" customHeight="false" outlineLevel="0" collapsed="false">
      <c r="N1503" s="1" t="str">
        <f aca="false">IF(C1503="","",IFERROR(VLOOKUP(C1503,Master_Mappings!$A$4:$E$85,3,FALSE()),"UNMAPPED"))</f>
        <v/>
      </c>
      <c r="P1503" s="1" t="str">
        <f aca="false">IF($C1503="","",$C1503&amp;"|"&amp;$E1503&amp;"|"&amp;$M1503&amp;"|"&amp;TEXT($G1503,"yyyy-mm-dd")&amp;"|"&amp;LEFT($J1503,40))</f>
        <v/>
      </c>
      <c r="Q1503" s="11" t="str">
        <f aca="false">IF(P1503="","",IF(COUNTIF($P$2:$P$3000,P1503)&gt;1,"DUPLICATE","OK"))</f>
        <v/>
      </c>
      <c r="R1503" s="0" t="str">
        <f aca="false">IF($C1503="","",IFERROR(VLOOKUP(--$C1503,MM_Income!$Z$5:$AC$204,3,FALSE()),""))</f>
        <v/>
      </c>
    </row>
    <row r="1504" customFormat="false" ht="13.5" hidden="false" customHeight="false" outlineLevel="0" collapsed="false">
      <c r="N1504" s="1" t="str">
        <f aca="false">IF(C1504="","",IFERROR(VLOOKUP(C1504,Master_Mappings!$A$4:$E$85,3,FALSE()),"UNMAPPED"))</f>
        <v/>
      </c>
      <c r="P1504" s="1" t="str">
        <f aca="false">IF($C1504="","",$C1504&amp;"|"&amp;$E1504&amp;"|"&amp;$M1504&amp;"|"&amp;TEXT($G1504,"yyyy-mm-dd")&amp;"|"&amp;LEFT($J1504,40))</f>
        <v/>
      </c>
      <c r="Q1504" s="11" t="str">
        <f aca="false">IF(P1504="","",IF(COUNTIF($P$2:$P$3000,P1504)&gt;1,"DUPLICATE","OK"))</f>
        <v/>
      </c>
      <c r="R1504" s="0" t="str">
        <f aca="false">IF($C1504="","",IFERROR(VLOOKUP(--$C1504,MM_Income!$Z$5:$AC$204,3,FALSE()),""))</f>
        <v/>
      </c>
    </row>
    <row r="1505" customFormat="false" ht="13.5" hidden="false" customHeight="false" outlineLevel="0" collapsed="false">
      <c r="N1505" s="1" t="str">
        <f aca="false">IF(C1505="","",IFERROR(VLOOKUP(C1505,Master_Mappings!$A$4:$E$85,3,FALSE()),"UNMAPPED"))</f>
        <v/>
      </c>
      <c r="P1505" s="1" t="str">
        <f aca="false">IF($C1505="","",$C1505&amp;"|"&amp;$E1505&amp;"|"&amp;$M1505&amp;"|"&amp;TEXT($G1505,"yyyy-mm-dd")&amp;"|"&amp;LEFT($J1505,40))</f>
        <v/>
      </c>
      <c r="Q1505" s="11" t="str">
        <f aca="false">IF(P1505="","",IF(COUNTIF($P$2:$P$3000,P1505)&gt;1,"DUPLICATE","OK"))</f>
        <v/>
      </c>
      <c r="R1505" s="0" t="str">
        <f aca="false">IF($C1505="","",IFERROR(VLOOKUP(--$C1505,MM_Income!$Z$5:$AC$204,3,FALSE()),""))</f>
        <v/>
      </c>
    </row>
    <row r="1506" customFormat="false" ht="13.5" hidden="false" customHeight="false" outlineLevel="0" collapsed="false">
      <c r="N1506" s="1" t="str">
        <f aca="false">IF(C1506="","",IFERROR(VLOOKUP(C1506,Master_Mappings!$A$4:$E$85,3,FALSE()),"UNMAPPED"))</f>
        <v/>
      </c>
      <c r="P1506" s="1" t="str">
        <f aca="false">IF($C1506="","",$C1506&amp;"|"&amp;$E1506&amp;"|"&amp;$M1506&amp;"|"&amp;TEXT($G1506,"yyyy-mm-dd")&amp;"|"&amp;LEFT($J1506,40))</f>
        <v/>
      </c>
      <c r="Q1506" s="11" t="str">
        <f aca="false">IF(P1506="","",IF(COUNTIF($P$2:$P$3000,P1506)&gt;1,"DUPLICATE","OK"))</f>
        <v/>
      </c>
      <c r="R1506" s="0" t="str">
        <f aca="false">IF($C1506="","",IFERROR(VLOOKUP(--$C1506,MM_Income!$Z$5:$AC$204,3,FALSE()),""))</f>
        <v/>
      </c>
    </row>
    <row r="1507" customFormat="false" ht="13.5" hidden="false" customHeight="false" outlineLevel="0" collapsed="false">
      <c r="N1507" s="1" t="str">
        <f aca="false">IF(C1507="","",IFERROR(VLOOKUP(C1507,Master_Mappings!$A$4:$E$85,3,FALSE()),"UNMAPPED"))</f>
        <v/>
      </c>
      <c r="P1507" s="1" t="str">
        <f aca="false">IF($C1507="","",$C1507&amp;"|"&amp;$E1507&amp;"|"&amp;$M1507&amp;"|"&amp;TEXT($G1507,"yyyy-mm-dd")&amp;"|"&amp;LEFT($J1507,40))</f>
        <v/>
      </c>
      <c r="Q1507" s="11" t="str">
        <f aca="false">IF(P1507="","",IF(COUNTIF($P$2:$P$3000,P1507)&gt;1,"DUPLICATE","OK"))</f>
        <v/>
      </c>
      <c r="R1507" s="0" t="str">
        <f aca="false">IF($C1507="","",IFERROR(VLOOKUP(--$C1507,MM_Income!$Z$5:$AC$204,3,FALSE()),""))</f>
        <v/>
      </c>
    </row>
    <row r="1508" customFormat="false" ht="13.5" hidden="false" customHeight="false" outlineLevel="0" collapsed="false">
      <c r="N1508" s="1" t="str">
        <f aca="false">IF(C1508="","",IFERROR(VLOOKUP(C1508,Master_Mappings!$A$4:$E$85,3,FALSE()),"UNMAPPED"))</f>
        <v/>
      </c>
      <c r="P1508" s="1" t="str">
        <f aca="false">IF($C1508="","",$C1508&amp;"|"&amp;$E1508&amp;"|"&amp;$M1508&amp;"|"&amp;TEXT($G1508,"yyyy-mm-dd")&amp;"|"&amp;LEFT($J1508,40))</f>
        <v/>
      </c>
      <c r="Q1508" s="11" t="str">
        <f aca="false">IF(P1508="","",IF(COUNTIF($P$2:$P$3000,P1508)&gt;1,"DUPLICATE","OK"))</f>
        <v/>
      </c>
      <c r="R1508" s="0" t="str">
        <f aca="false">IF($C1508="","",IFERROR(VLOOKUP(--$C1508,MM_Income!$Z$5:$AC$204,3,FALSE()),""))</f>
        <v/>
      </c>
    </row>
    <row r="1509" customFormat="false" ht="13.5" hidden="false" customHeight="false" outlineLevel="0" collapsed="false">
      <c r="N1509" s="1" t="str">
        <f aca="false">IF(C1509="","",IFERROR(VLOOKUP(C1509,Master_Mappings!$A$4:$E$85,3,FALSE()),"UNMAPPED"))</f>
        <v/>
      </c>
      <c r="P1509" s="1" t="str">
        <f aca="false">IF($C1509="","",$C1509&amp;"|"&amp;$E1509&amp;"|"&amp;$M1509&amp;"|"&amp;TEXT($G1509,"yyyy-mm-dd")&amp;"|"&amp;LEFT($J1509,40))</f>
        <v/>
      </c>
      <c r="Q1509" s="11" t="str">
        <f aca="false">IF(P1509="","",IF(COUNTIF($P$2:$P$3000,P1509)&gt;1,"DUPLICATE","OK"))</f>
        <v/>
      </c>
      <c r="R1509" s="0" t="str">
        <f aca="false">IF($C1509="","",IFERROR(VLOOKUP(--$C1509,MM_Income!$Z$5:$AC$204,3,FALSE()),""))</f>
        <v/>
      </c>
    </row>
    <row r="1510" customFormat="false" ht="13.5" hidden="false" customHeight="false" outlineLevel="0" collapsed="false">
      <c r="N1510" s="1" t="str">
        <f aca="false">IF(C1510="","",IFERROR(VLOOKUP(C1510,Master_Mappings!$A$4:$E$85,3,FALSE()),"UNMAPPED"))</f>
        <v/>
      </c>
      <c r="P1510" s="1" t="str">
        <f aca="false">IF($C1510="","",$C1510&amp;"|"&amp;$E1510&amp;"|"&amp;$M1510&amp;"|"&amp;TEXT($G1510,"yyyy-mm-dd")&amp;"|"&amp;LEFT($J1510,40))</f>
        <v/>
      </c>
      <c r="Q1510" s="11" t="str">
        <f aca="false">IF(P1510="","",IF(COUNTIF($P$2:$P$3000,P1510)&gt;1,"DUPLICATE","OK"))</f>
        <v/>
      </c>
      <c r="R1510" s="0" t="str">
        <f aca="false">IF($C1510="","",IFERROR(VLOOKUP(--$C1510,MM_Income!$Z$5:$AC$204,3,FALSE()),""))</f>
        <v/>
      </c>
    </row>
    <row r="1511" customFormat="false" ht="13.5" hidden="false" customHeight="false" outlineLevel="0" collapsed="false">
      <c r="N1511" s="1" t="str">
        <f aca="false">IF(C1511="","",IFERROR(VLOOKUP(C1511,Master_Mappings!$A$4:$E$85,3,FALSE()),"UNMAPPED"))</f>
        <v/>
      </c>
      <c r="P1511" s="1" t="str">
        <f aca="false">IF($C1511="","",$C1511&amp;"|"&amp;$E1511&amp;"|"&amp;$M1511&amp;"|"&amp;TEXT($G1511,"yyyy-mm-dd")&amp;"|"&amp;LEFT($J1511,40))</f>
        <v/>
      </c>
      <c r="Q1511" s="11" t="str">
        <f aca="false">IF(P1511="","",IF(COUNTIF($P$2:$P$3000,P1511)&gt;1,"DUPLICATE","OK"))</f>
        <v/>
      </c>
      <c r="R1511" s="0" t="str">
        <f aca="false">IF($C1511="","",IFERROR(VLOOKUP(--$C1511,MM_Income!$Z$5:$AC$204,3,FALSE()),""))</f>
        <v/>
      </c>
    </row>
    <row r="1512" customFormat="false" ht="13.5" hidden="false" customHeight="false" outlineLevel="0" collapsed="false">
      <c r="N1512" s="1" t="str">
        <f aca="false">IF(C1512="","",IFERROR(VLOOKUP(C1512,Master_Mappings!$A$4:$E$85,3,FALSE()),"UNMAPPED"))</f>
        <v/>
      </c>
      <c r="P1512" s="1" t="str">
        <f aca="false">IF($C1512="","",$C1512&amp;"|"&amp;$E1512&amp;"|"&amp;$M1512&amp;"|"&amp;TEXT($G1512,"yyyy-mm-dd")&amp;"|"&amp;LEFT($J1512,40))</f>
        <v/>
      </c>
      <c r="Q1512" s="11" t="str">
        <f aca="false">IF(P1512="","",IF(COUNTIF($P$2:$P$3000,P1512)&gt;1,"DUPLICATE","OK"))</f>
        <v/>
      </c>
      <c r="R1512" s="0" t="str">
        <f aca="false">IF($C1512="","",IFERROR(VLOOKUP(--$C1512,MM_Income!$Z$5:$AC$204,3,FALSE()),""))</f>
        <v/>
      </c>
    </row>
    <row r="1513" customFormat="false" ht="13.5" hidden="false" customHeight="false" outlineLevel="0" collapsed="false">
      <c r="N1513" s="1" t="str">
        <f aca="false">IF(C1513="","",IFERROR(VLOOKUP(C1513,Master_Mappings!$A$4:$E$85,3,FALSE()),"UNMAPPED"))</f>
        <v/>
      </c>
      <c r="P1513" s="1" t="str">
        <f aca="false">IF($C1513="","",$C1513&amp;"|"&amp;$E1513&amp;"|"&amp;$M1513&amp;"|"&amp;TEXT($G1513,"yyyy-mm-dd")&amp;"|"&amp;LEFT($J1513,40))</f>
        <v/>
      </c>
      <c r="Q1513" s="11" t="str">
        <f aca="false">IF(P1513="","",IF(COUNTIF($P$2:$P$3000,P1513)&gt;1,"DUPLICATE","OK"))</f>
        <v/>
      </c>
      <c r="R1513" s="0" t="str">
        <f aca="false">IF($C1513="","",IFERROR(VLOOKUP(--$C1513,MM_Income!$Z$5:$AC$204,3,FALSE()),""))</f>
        <v/>
      </c>
    </row>
    <row r="1514" customFormat="false" ht="13.5" hidden="false" customHeight="false" outlineLevel="0" collapsed="false">
      <c r="N1514" s="1" t="str">
        <f aca="false">IF(C1514="","",IFERROR(VLOOKUP(C1514,Master_Mappings!$A$4:$E$85,3,FALSE()),"UNMAPPED"))</f>
        <v/>
      </c>
      <c r="P1514" s="1" t="str">
        <f aca="false">IF($C1514="","",$C1514&amp;"|"&amp;$E1514&amp;"|"&amp;$M1514&amp;"|"&amp;TEXT($G1514,"yyyy-mm-dd")&amp;"|"&amp;LEFT($J1514,40))</f>
        <v/>
      </c>
      <c r="Q1514" s="11" t="str">
        <f aca="false">IF(P1514="","",IF(COUNTIF($P$2:$P$3000,P1514)&gt;1,"DUPLICATE","OK"))</f>
        <v/>
      </c>
      <c r="R1514" s="0" t="str">
        <f aca="false">IF($C1514="","",IFERROR(VLOOKUP(--$C1514,MM_Income!$Z$5:$AC$204,3,FALSE()),""))</f>
        <v/>
      </c>
    </row>
    <row r="1515" customFormat="false" ht="13.5" hidden="false" customHeight="false" outlineLevel="0" collapsed="false">
      <c r="N1515" s="1" t="str">
        <f aca="false">IF(C1515="","",IFERROR(VLOOKUP(C1515,Master_Mappings!$A$4:$E$85,3,FALSE()),"UNMAPPED"))</f>
        <v/>
      </c>
      <c r="P1515" s="1" t="str">
        <f aca="false">IF($C1515="","",$C1515&amp;"|"&amp;$E1515&amp;"|"&amp;$M1515&amp;"|"&amp;TEXT($G1515,"yyyy-mm-dd")&amp;"|"&amp;LEFT($J1515,40))</f>
        <v/>
      </c>
      <c r="Q1515" s="11" t="str">
        <f aca="false">IF(P1515="","",IF(COUNTIF($P$2:$P$3000,P1515)&gt;1,"DUPLICATE","OK"))</f>
        <v/>
      </c>
      <c r="R1515" s="0" t="str">
        <f aca="false">IF($C1515="","",IFERROR(VLOOKUP(--$C1515,MM_Income!$Z$5:$AC$204,3,FALSE()),""))</f>
        <v/>
      </c>
    </row>
    <row r="1516" customFormat="false" ht="13.5" hidden="false" customHeight="false" outlineLevel="0" collapsed="false">
      <c r="N1516" s="1" t="str">
        <f aca="false">IF(C1516="","",IFERROR(VLOOKUP(C1516,Master_Mappings!$A$4:$E$85,3,FALSE()),"UNMAPPED"))</f>
        <v/>
      </c>
      <c r="P1516" s="1" t="str">
        <f aca="false">IF($C1516="","",$C1516&amp;"|"&amp;$E1516&amp;"|"&amp;$M1516&amp;"|"&amp;TEXT($G1516,"yyyy-mm-dd")&amp;"|"&amp;LEFT($J1516,40))</f>
        <v/>
      </c>
      <c r="Q1516" s="11" t="str">
        <f aca="false">IF(P1516="","",IF(COUNTIF($P$2:$P$3000,P1516)&gt;1,"DUPLICATE","OK"))</f>
        <v/>
      </c>
      <c r="R1516" s="0" t="str">
        <f aca="false">IF($C1516="","",IFERROR(VLOOKUP(--$C1516,MM_Income!$Z$5:$AC$204,3,FALSE()),""))</f>
        <v/>
      </c>
    </row>
    <row r="1517" customFormat="false" ht="13.5" hidden="false" customHeight="false" outlineLevel="0" collapsed="false">
      <c r="N1517" s="1" t="str">
        <f aca="false">IF(C1517="","",IFERROR(VLOOKUP(C1517,Master_Mappings!$A$4:$E$85,3,FALSE()),"UNMAPPED"))</f>
        <v/>
      </c>
      <c r="P1517" s="1" t="str">
        <f aca="false">IF($C1517="","",$C1517&amp;"|"&amp;$E1517&amp;"|"&amp;$M1517&amp;"|"&amp;TEXT($G1517,"yyyy-mm-dd")&amp;"|"&amp;LEFT($J1517,40))</f>
        <v/>
      </c>
      <c r="Q1517" s="11" t="str">
        <f aca="false">IF(P1517="","",IF(COUNTIF($P$2:$P$3000,P1517)&gt;1,"DUPLICATE","OK"))</f>
        <v/>
      </c>
      <c r="R1517" s="0" t="str">
        <f aca="false">IF($C1517="","",IFERROR(VLOOKUP(--$C1517,MM_Income!$Z$5:$AC$204,3,FALSE()),""))</f>
        <v/>
      </c>
    </row>
    <row r="1518" customFormat="false" ht="13.5" hidden="false" customHeight="false" outlineLevel="0" collapsed="false">
      <c r="N1518" s="1" t="str">
        <f aca="false">IF(C1518="","",IFERROR(VLOOKUP(C1518,Master_Mappings!$A$4:$E$85,3,FALSE()),"UNMAPPED"))</f>
        <v/>
      </c>
      <c r="P1518" s="1" t="str">
        <f aca="false">IF($C1518="","",$C1518&amp;"|"&amp;$E1518&amp;"|"&amp;$M1518&amp;"|"&amp;TEXT($G1518,"yyyy-mm-dd")&amp;"|"&amp;LEFT($J1518,40))</f>
        <v/>
      </c>
      <c r="Q1518" s="11" t="str">
        <f aca="false">IF(P1518="","",IF(COUNTIF($P$2:$P$3000,P1518)&gt;1,"DUPLICATE","OK"))</f>
        <v/>
      </c>
      <c r="R1518" s="0" t="str">
        <f aca="false">IF($C1518="","",IFERROR(VLOOKUP(--$C1518,MM_Income!$Z$5:$AC$204,3,FALSE()),""))</f>
        <v/>
      </c>
    </row>
    <row r="1519" customFormat="false" ht="13.5" hidden="false" customHeight="false" outlineLevel="0" collapsed="false">
      <c r="N1519" s="1" t="str">
        <f aca="false">IF(C1519="","",IFERROR(VLOOKUP(C1519,Master_Mappings!$A$4:$E$85,3,FALSE()),"UNMAPPED"))</f>
        <v/>
      </c>
      <c r="P1519" s="1" t="str">
        <f aca="false">IF($C1519="","",$C1519&amp;"|"&amp;$E1519&amp;"|"&amp;$M1519&amp;"|"&amp;TEXT($G1519,"yyyy-mm-dd")&amp;"|"&amp;LEFT($J1519,40))</f>
        <v/>
      </c>
      <c r="Q1519" s="11" t="str">
        <f aca="false">IF(P1519="","",IF(COUNTIF($P$2:$P$3000,P1519)&gt;1,"DUPLICATE","OK"))</f>
        <v/>
      </c>
      <c r="R1519" s="0" t="str">
        <f aca="false">IF($C1519="","",IFERROR(VLOOKUP(--$C1519,MM_Income!$Z$5:$AC$204,3,FALSE()),""))</f>
        <v/>
      </c>
    </row>
    <row r="1520" customFormat="false" ht="13.5" hidden="false" customHeight="false" outlineLevel="0" collapsed="false">
      <c r="N1520" s="1" t="str">
        <f aca="false">IF(C1520="","",IFERROR(VLOOKUP(C1520,Master_Mappings!$A$4:$E$85,3,FALSE()),"UNMAPPED"))</f>
        <v/>
      </c>
      <c r="P1520" s="1" t="str">
        <f aca="false">IF($C1520="","",$C1520&amp;"|"&amp;$E1520&amp;"|"&amp;$M1520&amp;"|"&amp;TEXT($G1520,"yyyy-mm-dd")&amp;"|"&amp;LEFT($J1520,40))</f>
        <v/>
      </c>
      <c r="Q1520" s="11" t="str">
        <f aca="false">IF(P1520="","",IF(COUNTIF($P$2:$P$3000,P1520)&gt;1,"DUPLICATE","OK"))</f>
        <v/>
      </c>
      <c r="R1520" s="0" t="str">
        <f aca="false">IF($C1520="","",IFERROR(VLOOKUP(--$C1520,MM_Income!$Z$5:$AC$204,3,FALSE()),""))</f>
        <v/>
      </c>
    </row>
    <row r="1521" customFormat="false" ht="13.5" hidden="false" customHeight="false" outlineLevel="0" collapsed="false">
      <c r="N1521" s="1" t="str">
        <f aca="false">IF(C1521="","",IFERROR(VLOOKUP(C1521,Master_Mappings!$A$4:$E$85,3,FALSE()),"UNMAPPED"))</f>
        <v/>
      </c>
      <c r="P1521" s="1" t="str">
        <f aca="false">IF($C1521="","",$C1521&amp;"|"&amp;$E1521&amp;"|"&amp;$M1521&amp;"|"&amp;TEXT($G1521,"yyyy-mm-dd")&amp;"|"&amp;LEFT($J1521,40))</f>
        <v/>
      </c>
      <c r="Q1521" s="11" t="str">
        <f aca="false">IF(P1521="","",IF(COUNTIF($P$2:$P$3000,P1521)&gt;1,"DUPLICATE","OK"))</f>
        <v/>
      </c>
      <c r="R1521" s="0" t="str">
        <f aca="false">IF($C1521="","",IFERROR(VLOOKUP(--$C1521,MM_Income!$Z$5:$AC$204,3,FALSE()),""))</f>
        <v/>
      </c>
    </row>
    <row r="1522" customFormat="false" ht="13.5" hidden="false" customHeight="false" outlineLevel="0" collapsed="false">
      <c r="N1522" s="1" t="str">
        <f aca="false">IF(C1522="","",IFERROR(VLOOKUP(C1522,Master_Mappings!$A$4:$E$85,3,FALSE()),"UNMAPPED"))</f>
        <v/>
      </c>
      <c r="P1522" s="1" t="str">
        <f aca="false">IF($C1522="","",$C1522&amp;"|"&amp;$E1522&amp;"|"&amp;$M1522&amp;"|"&amp;TEXT($G1522,"yyyy-mm-dd")&amp;"|"&amp;LEFT($J1522,40))</f>
        <v/>
      </c>
      <c r="Q1522" s="11" t="str">
        <f aca="false">IF(P1522="","",IF(COUNTIF($P$2:$P$3000,P1522)&gt;1,"DUPLICATE","OK"))</f>
        <v/>
      </c>
      <c r="R1522" s="0" t="str">
        <f aca="false">IF($C1522="","",IFERROR(VLOOKUP(--$C1522,MM_Income!$Z$5:$AC$204,3,FALSE()),""))</f>
        <v/>
      </c>
    </row>
    <row r="1523" customFormat="false" ht="13.5" hidden="false" customHeight="false" outlineLevel="0" collapsed="false">
      <c r="N1523" s="1" t="str">
        <f aca="false">IF(C1523="","",IFERROR(VLOOKUP(C1523,Master_Mappings!$A$4:$E$85,3,FALSE()),"UNMAPPED"))</f>
        <v/>
      </c>
      <c r="P1523" s="1" t="str">
        <f aca="false">IF($C1523="","",$C1523&amp;"|"&amp;$E1523&amp;"|"&amp;$M1523&amp;"|"&amp;TEXT($G1523,"yyyy-mm-dd")&amp;"|"&amp;LEFT($J1523,40))</f>
        <v/>
      </c>
      <c r="Q1523" s="11" t="str">
        <f aca="false">IF(P1523="","",IF(COUNTIF($P$2:$P$3000,P1523)&gt;1,"DUPLICATE","OK"))</f>
        <v/>
      </c>
      <c r="R1523" s="0" t="str">
        <f aca="false">IF($C1523="","",IFERROR(VLOOKUP(--$C1523,MM_Income!$Z$5:$AC$204,3,FALSE()),""))</f>
        <v/>
      </c>
    </row>
    <row r="1524" customFormat="false" ht="13.5" hidden="false" customHeight="false" outlineLevel="0" collapsed="false">
      <c r="N1524" s="1" t="str">
        <f aca="false">IF(C1524="","",IFERROR(VLOOKUP(C1524,Master_Mappings!$A$4:$E$85,3,FALSE()),"UNMAPPED"))</f>
        <v/>
      </c>
      <c r="P1524" s="1" t="str">
        <f aca="false">IF($C1524="","",$C1524&amp;"|"&amp;$E1524&amp;"|"&amp;$M1524&amp;"|"&amp;TEXT($G1524,"yyyy-mm-dd")&amp;"|"&amp;LEFT($J1524,40))</f>
        <v/>
      </c>
      <c r="Q1524" s="11" t="str">
        <f aca="false">IF(P1524="","",IF(COUNTIF($P$2:$P$3000,P1524)&gt;1,"DUPLICATE","OK"))</f>
        <v/>
      </c>
      <c r="R1524" s="0" t="str">
        <f aca="false">IF($C1524="","",IFERROR(VLOOKUP(--$C1524,MM_Income!$Z$5:$AC$204,3,FALSE()),""))</f>
        <v/>
      </c>
    </row>
    <row r="1525" customFormat="false" ht="13.5" hidden="false" customHeight="false" outlineLevel="0" collapsed="false">
      <c r="N1525" s="1" t="str">
        <f aca="false">IF(C1525="","",IFERROR(VLOOKUP(C1525,Master_Mappings!$A$4:$E$85,3,FALSE()),"UNMAPPED"))</f>
        <v/>
      </c>
      <c r="P1525" s="1" t="str">
        <f aca="false">IF($C1525="","",$C1525&amp;"|"&amp;$E1525&amp;"|"&amp;$M1525&amp;"|"&amp;TEXT($G1525,"yyyy-mm-dd")&amp;"|"&amp;LEFT($J1525,40))</f>
        <v/>
      </c>
      <c r="Q1525" s="11" t="str">
        <f aca="false">IF(P1525="","",IF(COUNTIF($P$2:$P$3000,P1525)&gt;1,"DUPLICATE","OK"))</f>
        <v/>
      </c>
      <c r="R1525" s="0" t="str">
        <f aca="false">IF($C1525="","",IFERROR(VLOOKUP(--$C1525,MM_Income!$Z$5:$AC$204,3,FALSE()),""))</f>
        <v/>
      </c>
    </row>
    <row r="1526" customFormat="false" ht="13.5" hidden="false" customHeight="false" outlineLevel="0" collapsed="false">
      <c r="N1526" s="1" t="str">
        <f aca="false">IF(C1526="","",IFERROR(VLOOKUP(C1526,Master_Mappings!$A$4:$E$85,3,FALSE()),"UNMAPPED"))</f>
        <v/>
      </c>
      <c r="P1526" s="1" t="str">
        <f aca="false">IF($C1526="","",$C1526&amp;"|"&amp;$E1526&amp;"|"&amp;$M1526&amp;"|"&amp;TEXT($G1526,"yyyy-mm-dd")&amp;"|"&amp;LEFT($J1526,40))</f>
        <v/>
      </c>
      <c r="Q1526" s="11" t="str">
        <f aca="false">IF(P1526="","",IF(COUNTIF($P$2:$P$3000,P1526)&gt;1,"DUPLICATE","OK"))</f>
        <v/>
      </c>
      <c r="R1526" s="0" t="str">
        <f aca="false">IF($C1526="","",IFERROR(VLOOKUP(--$C1526,MM_Income!$Z$5:$AC$204,3,FALSE()),""))</f>
        <v/>
      </c>
    </row>
    <row r="1527" customFormat="false" ht="13.5" hidden="false" customHeight="false" outlineLevel="0" collapsed="false">
      <c r="N1527" s="1" t="str">
        <f aca="false">IF(C1527="","",IFERROR(VLOOKUP(C1527,Master_Mappings!$A$4:$E$85,3,FALSE()),"UNMAPPED"))</f>
        <v/>
      </c>
      <c r="P1527" s="1" t="str">
        <f aca="false">IF($C1527="","",$C1527&amp;"|"&amp;$E1527&amp;"|"&amp;$M1527&amp;"|"&amp;TEXT($G1527,"yyyy-mm-dd")&amp;"|"&amp;LEFT($J1527,40))</f>
        <v/>
      </c>
      <c r="Q1527" s="11" t="str">
        <f aca="false">IF(P1527="","",IF(COUNTIF($P$2:$P$3000,P1527)&gt;1,"DUPLICATE","OK"))</f>
        <v/>
      </c>
      <c r="R1527" s="0" t="str">
        <f aca="false">IF($C1527="","",IFERROR(VLOOKUP(--$C1527,MM_Income!$Z$5:$AC$204,3,FALSE()),""))</f>
        <v/>
      </c>
    </row>
    <row r="1528" customFormat="false" ht="13.5" hidden="false" customHeight="false" outlineLevel="0" collapsed="false">
      <c r="N1528" s="1" t="str">
        <f aca="false">IF(C1528="","",IFERROR(VLOOKUP(C1528,Master_Mappings!$A$4:$E$85,3,FALSE()),"UNMAPPED"))</f>
        <v/>
      </c>
      <c r="P1528" s="1" t="str">
        <f aca="false">IF($C1528="","",$C1528&amp;"|"&amp;$E1528&amp;"|"&amp;$M1528&amp;"|"&amp;TEXT($G1528,"yyyy-mm-dd")&amp;"|"&amp;LEFT($J1528,40))</f>
        <v/>
      </c>
      <c r="Q1528" s="11" t="str">
        <f aca="false">IF(P1528="","",IF(COUNTIF($P$2:$P$3000,P1528)&gt;1,"DUPLICATE","OK"))</f>
        <v/>
      </c>
      <c r="R1528" s="0" t="str">
        <f aca="false">IF($C1528="","",IFERROR(VLOOKUP(--$C1528,MM_Income!$Z$5:$AC$204,3,FALSE()),""))</f>
        <v/>
      </c>
    </row>
    <row r="1529" customFormat="false" ht="13.5" hidden="false" customHeight="false" outlineLevel="0" collapsed="false">
      <c r="N1529" s="1" t="str">
        <f aca="false">IF(C1529="","",IFERROR(VLOOKUP(C1529,Master_Mappings!$A$4:$E$85,3,FALSE()),"UNMAPPED"))</f>
        <v/>
      </c>
      <c r="P1529" s="1" t="str">
        <f aca="false">IF($C1529="","",$C1529&amp;"|"&amp;$E1529&amp;"|"&amp;$M1529&amp;"|"&amp;TEXT($G1529,"yyyy-mm-dd")&amp;"|"&amp;LEFT($J1529,40))</f>
        <v/>
      </c>
      <c r="Q1529" s="11" t="str">
        <f aca="false">IF(P1529="","",IF(COUNTIF($P$2:$P$3000,P1529)&gt;1,"DUPLICATE","OK"))</f>
        <v/>
      </c>
      <c r="R1529" s="0" t="str">
        <f aca="false">IF($C1529="","",IFERROR(VLOOKUP(--$C1529,MM_Income!$Z$5:$AC$204,3,FALSE()),""))</f>
        <v/>
      </c>
    </row>
    <row r="1530" customFormat="false" ht="13.5" hidden="false" customHeight="false" outlineLevel="0" collapsed="false">
      <c r="N1530" s="1" t="str">
        <f aca="false">IF(C1530="","",IFERROR(VLOOKUP(C1530,Master_Mappings!$A$4:$E$85,3,FALSE()),"UNMAPPED"))</f>
        <v/>
      </c>
      <c r="P1530" s="1" t="str">
        <f aca="false">IF($C1530="","",$C1530&amp;"|"&amp;$E1530&amp;"|"&amp;$M1530&amp;"|"&amp;TEXT($G1530,"yyyy-mm-dd")&amp;"|"&amp;LEFT($J1530,40))</f>
        <v/>
      </c>
      <c r="Q1530" s="11" t="str">
        <f aca="false">IF(P1530="","",IF(COUNTIF($P$2:$P$3000,P1530)&gt;1,"DUPLICATE","OK"))</f>
        <v/>
      </c>
      <c r="R1530" s="0" t="str">
        <f aca="false">IF($C1530="","",IFERROR(VLOOKUP(--$C1530,MM_Income!$Z$5:$AC$204,3,FALSE()),""))</f>
        <v/>
      </c>
    </row>
    <row r="1531" customFormat="false" ht="13.5" hidden="false" customHeight="false" outlineLevel="0" collapsed="false">
      <c r="N1531" s="1" t="str">
        <f aca="false">IF(C1531="","",IFERROR(VLOOKUP(C1531,Master_Mappings!$A$4:$E$85,3,FALSE()),"UNMAPPED"))</f>
        <v/>
      </c>
      <c r="P1531" s="1" t="str">
        <f aca="false">IF($C1531="","",$C1531&amp;"|"&amp;$E1531&amp;"|"&amp;$M1531&amp;"|"&amp;TEXT($G1531,"yyyy-mm-dd")&amp;"|"&amp;LEFT($J1531,40))</f>
        <v/>
      </c>
      <c r="Q1531" s="11" t="str">
        <f aca="false">IF(P1531="","",IF(COUNTIF($P$2:$P$3000,P1531)&gt;1,"DUPLICATE","OK"))</f>
        <v/>
      </c>
      <c r="R1531" s="0" t="str">
        <f aca="false">IF($C1531="","",IFERROR(VLOOKUP(--$C1531,MM_Income!$Z$5:$AC$204,3,FALSE()),""))</f>
        <v/>
      </c>
    </row>
    <row r="1532" customFormat="false" ht="13.5" hidden="false" customHeight="false" outlineLevel="0" collapsed="false">
      <c r="N1532" s="1" t="str">
        <f aca="false">IF(C1532="","",IFERROR(VLOOKUP(C1532,Master_Mappings!$A$4:$E$85,3,FALSE()),"UNMAPPED"))</f>
        <v/>
      </c>
      <c r="P1532" s="1" t="str">
        <f aca="false">IF($C1532="","",$C1532&amp;"|"&amp;$E1532&amp;"|"&amp;$M1532&amp;"|"&amp;TEXT($G1532,"yyyy-mm-dd")&amp;"|"&amp;LEFT($J1532,40))</f>
        <v/>
      </c>
      <c r="Q1532" s="11" t="str">
        <f aca="false">IF(P1532="","",IF(COUNTIF($P$2:$P$3000,P1532)&gt;1,"DUPLICATE","OK"))</f>
        <v/>
      </c>
      <c r="R1532" s="0" t="str">
        <f aca="false">IF($C1532="","",IFERROR(VLOOKUP(--$C1532,MM_Income!$Z$5:$AC$204,3,FALSE()),""))</f>
        <v/>
      </c>
    </row>
    <row r="1533" customFormat="false" ht="13.5" hidden="false" customHeight="false" outlineLevel="0" collapsed="false">
      <c r="N1533" s="1" t="str">
        <f aca="false">IF(C1533="","",IFERROR(VLOOKUP(C1533,Master_Mappings!$A$4:$E$85,3,FALSE()),"UNMAPPED"))</f>
        <v/>
      </c>
      <c r="P1533" s="1" t="str">
        <f aca="false">IF($C1533="","",$C1533&amp;"|"&amp;$E1533&amp;"|"&amp;$M1533&amp;"|"&amp;TEXT($G1533,"yyyy-mm-dd")&amp;"|"&amp;LEFT($J1533,40))</f>
        <v/>
      </c>
      <c r="Q1533" s="11" t="str">
        <f aca="false">IF(P1533="","",IF(COUNTIF($P$2:$P$3000,P1533)&gt;1,"DUPLICATE","OK"))</f>
        <v/>
      </c>
      <c r="R1533" s="0" t="str">
        <f aca="false">IF($C1533="","",IFERROR(VLOOKUP(--$C1533,MM_Income!$Z$5:$AC$204,3,FALSE()),""))</f>
        <v/>
      </c>
    </row>
    <row r="1534" customFormat="false" ht="13.5" hidden="false" customHeight="false" outlineLevel="0" collapsed="false">
      <c r="N1534" s="1" t="str">
        <f aca="false">IF(C1534="","",IFERROR(VLOOKUP(C1534,Master_Mappings!$A$4:$E$85,3,FALSE()),"UNMAPPED"))</f>
        <v/>
      </c>
      <c r="P1534" s="1" t="str">
        <f aca="false">IF($C1534="","",$C1534&amp;"|"&amp;$E1534&amp;"|"&amp;$M1534&amp;"|"&amp;TEXT($G1534,"yyyy-mm-dd")&amp;"|"&amp;LEFT($J1534,40))</f>
        <v/>
      </c>
      <c r="Q1534" s="11" t="str">
        <f aca="false">IF(P1534="","",IF(COUNTIF($P$2:$P$3000,P1534)&gt;1,"DUPLICATE","OK"))</f>
        <v/>
      </c>
      <c r="R1534" s="0" t="str">
        <f aca="false">IF($C1534="","",IFERROR(VLOOKUP(--$C1534,MM_Income!$Z$5:$AC$204,3,FALSE()),""))</f>
        <v/>
      </c>
    </row>
    <row r="1535" customFormat="false" ht="13.5" hidden="false" customHeight="false" outlineLevel="0" collapsed="false">
      <c r="N1535" s="1" t="str">
        <f aca="false">IF(C1535="","",IFERROR(VLOOKUP(C1535,Master_Mappings!$A$4:$E$85,3,FALSE()),"UNMAPPED"))</f>
        <v/>
      </c>
      <c r="P1535" s="1" t="str">
        <f aca="false">IF($C1535="","",$C1535&amp;"|"&amp;$E1535&amp;"|"&amp;$M1535&amp;"|"&amp;TEXT($G1535,"yyyy-mm-dd")&amp;"|"&amp;LEFT($J1535,40))</f>
        <v/>
      </c>
      <c r="Q1535" s="11" t="str">
        <f aca="false">IF(P1535="","",IF(COUNTIF($P$2:$P$3000,P1535)&gt;1,"DUPLICATE","OK"))</f>
        <v/>
      </c>
      <c r="R1535" s="0" t="str">
        <f aca="false">IF($C1535="","",IFERROR(VLOOKUP(--$C1535,MM_Income!$Z$5:$AC$204,3,FALSE()),""))</f>
        <v/>
      </c>
    </row>
    <row r="1536" customFormat="false" ht="13.5" hidden="false" customHeight="false" outlineLevel="0" collapsed="false">
      <c r="N1536" s="1" t="str">
        <f aca="false">IF(C1536="","",IFERROR(VLOOKUP(C1536,Master_Mappings!$A$4:$E$85,3,FALSE()),"UNMAPPED"))</f>
        <v/>
      </c>
      <c r="P1536" s="1" t="str">
        <f aca="false">IF($C1536="","",$C1536&amp;"|"&amp;$E1536&amp;"|"&amp;$M1536&amp;"|"&amp;TEXT($G1536,"yyyy-mm-dd")&amp;"|"&amp;LEFT($J1536,40))</f>
        <v/>
      </c>
      <c r="Q1536" s="11" t="str">
        <f aca="false">IF(P1536="","",IF(COUNTIF($P$2:$P$3000,P1536)&gt;1,"DUPLICATE","OK"))</f>
        <v/>
      </c>
      <c r="R1536" s="0" t="str">
        <f aca="false">IF($C1536="","",IFERROR(VLOOKUP(--$C1536,MM_Income!$Z$5:$AC$204,3,FALSE()),""))</f>
        <v/>
      </c>
    </row>
    <row r="1537" customFormat="false" ht="13.5" hidden="false" customHeight="false" outlineLevel="0" collapsed="false">
      <c r="N1537" s="1" t="str">
        <f aca="false">IF(C1537="","",IFERROR(VLOOKUP(C1537,Master_Mappings!$A$4:$E$85,3,FALSE()),"UNMAPPED"))</f>
        <v/>
      </c>
      <c r="P1537" s="1" t="str">
        <f aca="false">IF($C1537="","",$C1537&amp;"|"&amp;$E1537&amp;"|"&amp;$M1537&amp;"|"&amp;TEXT($G1537,"yyyy-mm-dd")&amp;"|"&amp;LEFT($J1537,40))</f>
        <v/>
      </c>
      <c r="Q1537" s="11" t="str">
        <f aca="false">IF(P1537="","",IF(COUNTIF($P$2:$P$3000,P1537)&gt;1,"DUPLICATE","OK"))</f>
        <v/>
      </c>
      <c r="R1537" s="0" t="str">
        <f aca="false">IF($C1537="","",IFERROR(VLOOKUP(--$C1537,MM_Income!$Z$5:$AC$204,3,FALSE()),""))</f>
        <v/>
      </c>
    </row>
    <row r="1538" customFormat="false" ht="13.5" hidden="false" customHeight="false" outlineLevel="0" collapsed="false">
      <c r="N1538" s="1" t="str">
        <f aca="false">IF(C1538="","",IFERROR(VLOOKUP(C1538,Master_Mappings!$A$4:$E$85,3,FALSE()),"UNMAPPED"))</f>
        <v/>
      </c>
      <c r="P1538" s="1" t="str">
        <f aca="false">IF($C1538="","",$C1538&amp;"|"&amp;$E1538&amp;"|"&amp;$M1538&amp;"|"&amp;TEXT($G1538,"yyyy-mm-dd")&amp;"|"&amp;LEFT($J1538,40))</f>
        <v/>
      </c>
      <c r="Q1538" s="11" t="str">
        <f aca="false">IF(P1538="","",IF(COUNTIF($P$2:$P$3000,P1538)&gt;1,"DUPLICATE","OK"))</f>
        <v/>
      </c>
      <c r="R1538" s="0" t="str">
        <f aca="false">IF($C1538="","",IFERROR(VLOOKUP(--$C1538,MM_Income!$Z$5:$AC$204,3,FALSE()),""))</f>
        <v/>
      </c>
    </row>
    <row r="1539" customFormat="false" ht="13.5" hidden="false" customHeight="false" outlineLevel="0" collapsed="false">
      <c r="N1539" s="1" t="str">
        <f aca="false">IF(C1539="","",IFERROR(VLOOKUP(C1539,Master_Mappings!$A$4:$E$85,3,FALSE()),"UNMAPPED"))</f>
        <v/>
      </c>
      <c r="P1539" s="1" t="str">
        <f aca="false">IF($C1539="","",$C1539&amp;"|"&amp;$E1539&amp;"|"&amp;$M1539&amp;"|"&amp;TEXT($G1539,"yyyy-mm-dd")&amp;"|"&amp;LEFT($J1539,40))</f>
        <v/>
      </c>
      <c r="Q1539" s="11" t="str">
        <f aca="false">IF(P1539="","",IF(COUNTIF($P$2:$P$3000,P1539)&gt;1,"DUPLICATE","OK"))</f>
        <v/>
      </c>
      <c r="R1539" s="0" t="str">
        <f aca="false">IF($C1539="","",IFERROR(VLOOKUP(--$C1539,MM_Income!$Z$5:$AC$204,3,FALSE()),""))</f>
        <v/>
      </c>
    </row>
    <row r="1540" customFormat="false" ht="13.5" hidden="false" customHeight="false" outlineLevel="0" collapsed="false">
      <c r="N1540" s="1" t="str">
        <f aca="false">IF(C1540="","",IFERROR(VLOOKUP(C1540,Master_Mappings!$A$4:$E$85,3,FALSE()),"UNMAPPED"))</f>
        <v/>
      </c>
      <c r="P1540" s="1" t="str">
        <f aca="false">IF($C1540="","",$C1540&amp;"|"&amp;$E1540&amp;"|"&amp;$M1540&amp;"|"&amp;TEXT($G1540,"yyyy-mm-dd")&amp;"|"&amp;LEFT($J1540,40))</f>
        <v/>
      </c>
      <c r="Q1540" s="11" t="str">
        <f aca="false">IF(P1540="","",IF(COUNTIF($P$2:$P$3000,P1540)&gt;1,"DUPLICATE","OK"))</f>
        <v/>
      </c>
      <c r="R1540" s="0" t="str">
        <f aca="false">IF($C1540="","",IFERROR(VLOOKUP(--$C1540,MM_Income!$Z$5:$AC$204,3,FALSE()),""))</f>
        <v/>
      </c>
    </row>
    <row r="1541" customFormat="false" ht="13.5" hidden="false" customHeight="false" outlineLevel="0" collapsed="false">
      <c r="N1541" s="1" t="str">
        <f aca="false">IF(C1541="","",IFERROR(VLOOKUP(C1541,Master_Mappings!$A$4:$E$85,3,FALSE()),"UNMAPPED"))</f>
        <v/>
      </c>
      <c r="P1541" s="1" t="str">
        <f aca="false">IF($C1541="","",$C1541&amp;"|"&amp;$E1541&amp;"|"&amp;$M1541&amp;"|"&amp;TEXT($G1541,"yyyy-mm-dd")&amp;"|"&amp;LEFT($J1541,40))</f>
        <v/>
      </c>
      <c r="Q1541" s="11" t="str">
        <f aca="false">IF(P1541="","",IF(COUNTIF($P$2:$P$3000,P1541)&gt;1,"DUPLICATE","OK"))</f>
        <v/>
      </c>
      <c r="R1541" s="0" t="str">
        <f aca="false">IF($C1541="","",IFERROR(VLOOKUP(--$C1541,MM_Income!$Z$5:$AC$204,3,FALSE()),""))</f>
        <v/>
      </c>
    </row>
    <row r="1542" customFormat="false" ht="13.5" hidden="false" customHeight="false" outlineLevel="0" collapsed="false">
      <c r="N1542" s="1" t="str">
        <f aca="false">IF(C1542="","",IFERROR(VLOOKUP(C1542,Master_Mappings!$A$4:$E$85,3,FALSE()),"UNMAPPED"))</f>
        <v/>
      </c>
      <c r="P1542" s="1" t="str">
        <f aca="false">IF($C1542="","",$C1542&amp;"|"&amp;$E1542&amp;"|"&amp;$M1542&amp;"|"&amp;TEXT($G1542,"yyyy-mm-dd")&amp;"|"&amp;LEFT($J1542,40))</f>
        <v/>
      </c>
      <c r="Q1542" s="11" t="str">
        <f aca="false">IF(P1542="","",IF(COUNTIF($P$2:$P$3000,P1542)&gt;1,"DUPLICATE","OK"))</f>
        <v/>
      </c>
      <c r="R1542" s="0" t="str">
        <f aca="false">IF($C1542="","",IFERROR(VLOOKUP(--$C1542,MM_Income!$Z$5:$AC$204,3,FALSE()),""))</f>
        <v/>
      </c>
    </row>
    <row r="1543" customFormat="false" ht="13.5" hidden="false" customHeight="false" outlineLevel="0" collapsed="false">
      <c r="N1543" s="1" t="str">
        <f aca="false">IF(C1543="","",IFERROR(VLOOKUP(C1543,Master_Mappings!$A$4:$E$85,3,FALSE()),"UNMAPPED"))</f>
        <v/>
      </c>
      <c r="P1543" s="1" t="str">
        <f aca="false">IF($C1543="","",$C1543&amp;"|"&amp;$E1543&amp;"|"&amp;$M1543&amp;"|"&amp;TEXT($G1543,"yyyy-mm-dd")&amp;"|"&amp;LEFT($J1543,40))</f>
        <v/>
      </c>
      <c r="Q1543" s="11" t="str">
        <f aca="false">IF(P1543="","",IF(COUNTIF($P$2:$P$3000,P1543)&gt;1,"DUPLICATE","OK"))</f>
        <v/>
      </c>
      <c r="R1543" s="0" t="str">
        <f aca="false">IF($C1543="","",IFERROR(VLOOKUP(--$C1543,MM_Income!$Z$5:$AC$204,3,FALSE()),""))</f>
        <v/>
      </c>
    </row>
    <row r="1544" customFormat="false" ht="13.5" hidden="false" customHeight="false" outlineLevel="0" collapsed="false">
      <c r="N1544" s="1" t="str">
        <f aca="false">IF(C1544="","",IFERROR(VLOOKUP(C1544,Master_Mappings!$A$4:$E$85,3,FALSE()),"UNMAPPED"))</f>
        <v/>
      </c>
      <c r="P1544" s="1" t="str">
        <f aca="false">IF($C1544="","",$C1544&amp;"|"&amp;$E1544&amp;"|"&amp;$M1544&amp;"|"&amp;TEXT($G1544,"yyyy-mm-dd")&amp;"|"&amp;LEFT($J1544,40))</f>
        <v/>
      </c>
      <c r="Q1544" s="11" t="str">
        <f aca="false">IF(P1544="","",IF(COUNTIF($P$2:$P$3000,P1544)&gt;1,"DUPLICATE","OK"))</f>
        <v/>
      </c>
      <c r="R1544" s="0" t="str">
        <f aca="false">IF($C1544="","",IFERROR(VLOOKUP(--$C1544,MM_Income!$Z$5:$AC$204,3,FALSE()),""))</f>
        <v/>
      </c>
    </row>
    <row r="1545" customFormat="false" ht="13.5" hidden="false" customHeight="false" outlineLevel="0" collapsed="false">
      <c r="N1545" s="1" t="str">
        <f aca="false">IF(C1545="","",IFERROR(VLOOKUP(C1545,Master_Mappings!$A$4:$E$85,3,FALSE()),"UNMAPPED"))</f>
        <v/>
      </c>
      <c r="P1545" s="1" t="str">
        <f aca="false">IF($C1545="","",$C1545&amp;"|"&amp;$E1545&amp;"|"&amp;$M1545&amp;"|"&amp;TEXT($G1545,"yyyy-mm-dd")&amp;"|"&amp;LEFT($J1545,40))</f>
        <v/>
      </c>
      <c r="Q1545" s="11" t="str">
        <f aca="false">IF(P1545="","",IF(COUNTIF($P$2:$P$3000,P1545)&gt;1,"DUPLICATE","OK"))</f>
        <v/>
      </c>
      <c r="R1545" s="0" t="str">
        <f aca="false">IF($C1545="","",IFERROR(VLOOKUP(--$C1545,MM_Income!$Z$5:$AC$204,3,FALSE()),""))</f>
        <v/>
      </c>
    </row>
    <row r="1546" customFormat="false" ht="13.5" hidden="false" customHeight="false" outlineLevel="0" collapsed="false">
      <c r="N1546" s="1" t="str">
        <f aca="false">IF(C1546="","",IFERROR(VLOOKUP(C1546,Master_Mappings!$A$4:$E$85,3,FALSE()),"UNMAPPED"))</f>
        <v/>
      </c>
      <c r="P1546" s="1" t="str">
        <f aca="false">IF($C1546="","",$C1546&amp;"|"&amp;$E1546&amp;"|"&amp;$M1546&amp;"|"&amp;TEXT($G1546,"yyyy-mm-dd")&amp;"|"&amp;LEFT($J1546,40))</f>
        <v/>
      </c>
      <c r="Q1546" s="11" t="str">
        <f aca="false">IF(P1546="","",IF(COUNTIF($P$2:$P$3000,P1546)&gt;1,"DUPLICATE","OK"))</f>
        <v/>
      </c>
      <c r="R1546" s="0" t="str">
        <f aca="false">IF($C1546="","",IFERROR(VLOOKUP(--$C1546,MM_Income!$Z$5:$AC$204,3,FALSE()),""))</f>
        <v/>
      </c>
    </row>
    <row r="1547" customFormat="false" ht="13.5" hidden="false" customHeight="false" outlineLevel="0" collapsed="false">
      <c r="N1547" s="1" t="str">
        <f aca="false">IF(C1547="","",IFERROR(VLOOKUP(C1547,Master_Mappings!$A$4:$E$85,3,FALSE()),"UNMAPPED"))</f>
        <v/>
      </c>
      <c r="P1547" s="1" t="str">
        <f aca="false">IF($C1547="","",$C1547&amp;"|"&amp;$E1547&amp;"|"&amp;$M1547&amp;"|"&amp;TEXT($G1547,"yyyy-mm-dd")&amp;"|"&amp;LEFT($J1547,40))</f>
        <v/>
      </c>
      <c r="Q1547" s="11" t="str">
        <f aca="false">IF(P1547="","",IF(COUNTIF($P$2:$P$3000,P1547)&gt;1,"DUPLICATE","OK"))</f>
        <v/>
      </c>
      <c r="R1547" s="0" t="str">
        <f aca="false">IF($C1547="","",IFERROR(VLOOKUP(--$C1547,MM_Income!$Z$5:$AC$204,3,FALSE()),""))</f>
        <v/>
      </c>
    </row>
    <row r="1548" customFormat="false" ht="13.5" hidden="false" customHeight="false" outlineLevel="0" collapsed="false">
      <c r="N1548" s="1" t="str">
        <f aca="false">IF(C1548="","",IFERROR(VLOOKUP(C1548,Master_Mappings!$A$4:$E$85,3,FALSE()),"UNMAPPED"))</f>
        <v/>
      </c>
      <c r="P1548" s="1" t="str">
        <f aca="false">IF($C1548="","",$C1548&amp;"|"&amp;$E1548&amp;"|"&amp;$M1548&amp;"|"&amp;TEXT($G1548,"yyyy-mm-dd")&amp;"|"&amp;LEFT($J1548,40))</f>
        <v/>
      </c>
      <c r="Q1548" s="11" t="str">
        <f aca="false">IF(P1548="","",IF(COUNTIF($P$2:$P$3000,P1548)&gt;1,"DUPLICATE","OK"))</f>
        <v/>
      </c>
      <c r="R1548" s="0" t="str">
        <f aca="false">IF($C1548="","",IFERROR(VLOOKUP(--$C1548,MM_Income!$Z$5:$AC$204,3,FALSE()),""))</f>
        <v/>
      </c>
    </row>
    <row r="1549" customFormat="false" ht="13.5" hidden="false" customHeight="false" outlineLevel="0" collapsed="false">
      <c r="N1549" s="1" t="str">
        <f aca="false">IF(C1549="","",IFERROR(VLOOKUP(C1549,Master_Mappings!$A$4:$E$85,3,FALSE()),"UNMAPPED"))</f>
        <v/>
      </c>
      <c r="P1549" s="1" t="str">
        <f aca="false">IF($C1549="","",$C1549&amp;"|"&amp;$E1549&amp;"|"&amp;$M1549&amp;"|"&amp;TEXT($G1549,"yyyy-mm-dd")&amp;"|"&amp;LEFT($J1549,40))</f>
        <v/>
      </c>
      <c r="Q1549" s="11" t="str">
        <f aca="false">IF(P1549="","",IF(COUNTIF($P$2:$P$3000,P1549)&gt;1,"DUPLICATE","OK"))</f>
        <v/>
      </c>
      <c r="R1549" s="0" t="str">
        <f aca="false">IF($C1549="","",IFERROR(VLOOKUP(--$C1549,MM_Income!$Z$5:$AC$204,3,FALSE()),""))</f>
        <v/>
      </c>
    </row>
    <row r="1550" customFormat="false" ht="13.5" hidden="false" customHeight="false" outlineLevel="0" collapsed="false">
      <c r="N1550" s="1" t="str">
        <f aca="false">IF(C1550="","",IFERROR(VLOOKUP(C1550,Master_Mappings!$A$4:$E$85,3,FALSE()),"UNMAPPED"))</f>
        <v/>
      </c>
      <c r="P1550" s="1" t="str">
        <f aca="false">IF($C1550="","",$C1550&amp;"|"&amp;$E1550&amp;"|"&amp;$M1550&amp;"|"&amp;TEXT($G1550,"yyyy-mm-dd")&amp;"|"&amp;LEFT($J1550,40))</f>
        <v/>
      </c>
      <c r="Q1550" s="11" t="str">
        <f aca="false">IF(P1550="","",IF(COUNTIF($P$2:$P$3000,P1550)&gt;1,"DUPLICATE","OK"))</f>
        <v/>
      </c>
      <c r="R1550" s="0" t="str">
        <f aca="false">IF($C1550="","",IFERROR(VLOOKUP(--$C1550,MM_Income!$Z$5:$AC$204,3,FALSE()),""))</f>
        <v/>
      </c>
    </row>
    <row r="1551" customFormat="false" ht="13.5" hidden="false" customHeight="false" outlineLevel="0" collapsed="false">
      <c r="N1551" s="1" t="str">
        <f aca="false">IF(C1551="","",IFERROR(VLOOKUP(C1551,Master_Mappings!$A$4:$E$85,3,FALSE()),"UNMAPPED"))</f>
        <v/>
      </c>
      <c r="P1551" s="1" t="str">
        <f aca="false">IF($C1551="","",$C1551&amp;"|"&amp;$E1551&amp;"|"&amp;$M1551&amp;"|"&amp;TEXT($G1551,"yyyy-mm-dd")&amp;"|"&amp;LEFT($J1551,40))</f>
        <v/>
      </c>
      <c r="Q1551" s="11" t="str">
        <f aca="false">IF(P1551="","",IF(COUNTIF($P$2:$P$3000,P1551)&gt;1,"DUPLICATE","OK"))</f>
        <v/>
      </c>
      <c r="R1551" s="0" t="str">
        <f aca="false">IF($C1551="","",IFERROR(VLOOKUP(--$C1551,MM_Income!$Z$5:$AC$204,3,FALSE()),""))</f>
        <v/>
      </c>
    </row>
    <row r="1552" customFormat="false" ht="13.5" hidden="false" customHeight="false" outlineLevel="0" collapsed="false">
      <c r="N1552" s="1" t="str">
        <f aca="false">IF(C1552="","",IFERROR(VLOOKUP(C1552,Master_Mappings!$A$4:$E$85,3,FALSE()),"UNMAPPED"))</f>
        <v/>
      </c>
      <c r="P1552" s="1" t="str">
        <f aca="false">IF($C1552="","",$C1552&amp;"|"&amp;$E1552&amp;"|"&amp;$M1552&amp;"|"&amp;TEXT($G1552,"yyyy-mm-dd")&amp;"|"&amp;LEFT($J1552,40))</f>
        <v/>
      </c>
      <c r="Q1552" s="11" t="str">
        <f aca="false">IF(P1552="","",IF(COUNTIF($P$2:$P$3000,P1552)&gt;1,"DUPLICATE","OK"))</f>
        <v/>
      </c>
      <c r="R1552" s="0" t="str">
        <f aca="false">IF($C1552="","",IFERROR(VLOOKUP(--$C1552,MM_Income!$Z$5:$AC$204,3,FALSE()),""))</f>
        <v/>
      </c>
    </row>
    <row r="1553" customFormat="false" ht="13.5" hidden="false" customHeight="false" outlineLevel="0" collapsed="false">
      <c r="N1553" s="1" t="str">
        <f aca="false">IF(C1553="","",IFERROR(VLOOKUP(C1553,Master_Mappings!$A$4:$E$85,3,FALSE()),"UNMAPPED"))</f>
        <v/>
      </c>
      <c r="P1553" s="1" t="str">
        <f aca="false">IF($C1553="","",$C1553&amp;"|"&amp;$E1553&amp;"|"&amp;$M1553&amp;"|"&amp;TEXT($G1553,"yyyy-mm-dd")&amp;"|"&amp;LEFT($J1553,40))</f>
        <v/>
      </c>
      <c r="Q1553" s="11" t="str">
        <f aca="false">IF(P1553="","",IF(COUNTIF($P$2:$P$3000,P1553)&gt;1,"DUPLICATE","OK"))</f>
        <v/>
      </c>
      <c r="R1553" s="0" t="str">
        <f aca="false">IF($C1553="","",IFERROR(VLOOKUP(--$C1553,MM_Income!$Z$5:$AC$204,3,FALSE()),""))</f>
        <v/>
      </c>
    </row>
    <row r="1554" customFormat="false" ht="13.5" hidden="false" customHeight="false" outlineLevel="0" collapsed="false">
      <c r="N1554" s="1" t="str">
        <f aca="false">IF(C1554="","",IFERROR(VLOOKUP(C1554,Master_Mappings!$A$4:$E$85,3,FALSE()),"UNMAPPED"))</f>
        <v/>
      </c>
      <c r="P1554" s="1" t="str">
        <f aca="false">IF($C1554="","",$C1554&amp;"|"&amp;$E1554&amp;"|"&amp;$M1554&amp;"|"&amp;TEXT($G1554,"yyyy-mm-dd")&amp;"|"&amp;LEFT($J1554,40))</f>
        <v/>
      </c>
      <c r="Q1554" s="11" t="str">
        <f aca="false">IF(P1554="","",IF(COUNTIF($P$2:$P$3000,P1554)&gt;1,"DUPLICATE","OK"))</f>
        <v/>
      </c>
      <c r="R1554" s="0" t="str">
        <f aca="false">IF($C1554="","",IFERROR(VLOOKUP(--$C1554,MM_Income!$Z$5:$AC$204,3,FALSE()),""))</f>
        <v/>
      </c>
    </row>
    <row r="1555" customFormat="false" ht="13.5" hidden="false" customHeight="false" outlineLevel="0" collapsed="false">
      <c r="N1555" s="1" t="str">
        <f aca="false">IF(C1555="","",IFERROR(VLOOKUP(C1555,Master_Mappings!$A$4:$E$85,3,FALSE()),"UNMAPPED"))</f>
        <v/>
      </c>
      <c r="P1555" s="1" t="str">
        <f aca="false">IF($C1555="","",$C1555&amp;"|"&amp;$E1555&amp;"|"&amp;$M1555&amp;"|"&amp;TEXT($G1555,"yyyy-mm-dd")&amp;"|"&amp;LEFT($J1555,40))</f>
        <v/>
      </c>
      <c r="Q1555" s="11" t="str">
        <f aca="false">IF(P1555="","",IF(COUNTIF($P$2:$P$3000,P1555)&gt;1,"DUPLICATE","OK"))</f>
        <v/>
      </c>
      <c r="R1555" s="0" t="str">
        <f aca="false">IF($C1555="","",IFERROR(VLOOKUP(--$C1555,MM_Income!$Z$5:$AC$204,3,FALSE()),""))</f>
        <v/>
      </c>
    </row>
    <row r="1556" customFormat="false" ht="13.5" hidden="false" customHeight="false" outlineLevel="0" collapsed="false">
      <c r="N1556" s="1" t="str">
        <f aca="false">IF(C1556="","",IFERROR(VLOOKUP(C1556,Master_Mappings!$A$4:$E$85,3,FALSE()),"UNMAPPED"))</f>
        <v/>
      </c>
      <c r="P1556" s="1" t="str">
        <f aca="false">IF($C1556="","",$C1556&amp;"|"&amp;$E1556&amp;"|"&amp;$M1556&amp;"|"&amp;TEXT($G1556,"yyyy-mm-dd")&amp;"|"&amp;LEFT($J1556,40))</f>
        <v/>
      </c>
      <c r="Q1556" s="11" t="str">
        <f aca="false">IF(P1556="","",IF(COUNTIF($P$2:$P$3000,P1556)&gt;1,"DUPLICATE","OK"))</f>
        <v/>
      </c>
      <c r="R1556" s="0" t="str">
        <f aca="false">IF($C1556="","",IFERROR(VLOOKUP(--$C1556,MM_Income!$Z$5:$AC$204,3,FALSE()),""))</f>
        <v/>
      </c>
    </row>
    <row r="1557" customFormat="false" ht="13.5" hidden="false" customHeight="false" outlineLevel="0" collapsed="false">
      <c r="N1557" s="1" t="str">
        <f aca="false">IF(C1557="","",IFERROR(VLOOKUP(C1557,Master_Mappings!$A$4:$E$85,3,FALSE()),"UNMAPPED"))</f>
        <v/>
      </c>
      <c r="P1557" s="1" t="str">
        <f aca="false">IF($C1557="","",$C1557&amp;"|"&amp;$E1557&amp;"|"&amp;$M1557&amp;"|"&amp;TEXT($G1557,"yyyy-mm-dd")&amp;"|"&amp;LEFT($J1557,40))</f>
        <v/>
      </c>
      <c r="Q1557" s="11" t="str">
        <f aca="false">IF(P1557="","",IF(COUNTIF($P$2:$P$3000,P1557)&gt;1,"DUPLICATE","OK"))</f>
        <v/>
      </c>
      <c r="R1557" s="0" t="str">
        <f aca="false">IF($C1557="","",IFERROR(VLOOKUP(--$C1557,MM_Income!$Z$5:$AC$204,3,FALSE()),""))</f>
        <v/>
      </c>
    </row>
    <row r="1558" customFormat="false" ht="13.5" hidden="false" customHeight="false" outlineLevel="0" collapsed="false">
      <c r="N1558" s="1" t="str">
        <f aca="false">IF(C1558="","",IFERROR(VLOOKUP(C1558,Master_Mappings!$A$4:$E$85,3,FALSE()),"UNMAPPED"))</f>
        <v/>
      </c>
      <c r="P1558" s="1" t="str">
        <f aca="false">IF($C1558="","",$C1558&amp;"|"&amp;$E1558&amp;"|"&amp;$M1558&amp;"|"&amp;TEXT($G1558,"yyyy-mm-dd")&amp;"|"&amp;LEFT($J1558,40))</f>
        <v/>
      </c>
      <c r="Q1558" s="11" t="str">
        <f aca="false">IF(P1558="","",IF(COUNTIF($P$2:$P$3000,P1558)&gt;1,"DUPLICATE","OK"))</f>
        <v/>
      </c>
      <c r="R1558" s="0" t="str">
        <f aca="false">IF($C1558="","",IFERROR(VLOOKUP(--$C1558,MM_Income!$Z$5:$AC$204,3,FALSE()),""))</f>
        <v/>
      </c>
    </row>
    <row r="1559" customFormat="false" ht="13.5" hidden="false" customHeight="false" outlineLevel="0" collapsed="false">
      <c r="N1559" s="1" t="str">
        <f aca="false">IF(C1559="","",IFERROR(VLOOKUP(C1559,Master_Mappings!$A$4:$E$85,3,FALSE()),"UNMAPPED"))</f>
        <v/>
      </c>
      <c r="P1559" s="1" t="str">
        <f aca="false">IF($C1559="","",$C1559&amp;"|"&amp;$E1559&amp;"|"&amp;$M1559&amp;"|"&amp;TEXT($G1559,"yyyy-mm-dd")&amp;"|"&amp;LEFT($J1559,40))</f>
        <v/>
      </c>
      <c r="Q1559" s="11" t="str">
        <f aca="false">IF(P1559="","",IF(COUNTIF($P$2:$P$3000,P1559)&gt;1,"DUPLICATE","OK"))</f>
        <v/>
      </c>
      <c r="R1559" s="0" t="str">
        <f aca="false">IF($C1559="","",IFERROR(VLOOKUP(--$C1559,MM_Income!$Z$5:$AC$204,3,FALSE()),""))</f>
        <v/>
      </c>
    </row>
    <row r="1560" customFormat="false" ht="13.5" hidden="false" customHeight="false" outlineLevel="0" collapsed="false">
      <c r="N1560" s="1" t="str">
        <f aca="false">IF(C1560="","",IFERROR(VLOOKUP(C1560,Master_Mappings!$A$4:$E$85,3,FALSE()),"UNMAPPED"))</f>
        <v/>
      </c>
      <c r="P1560" s="1" t="str">
        <f aca="false">IF($C1560="","",$C1560&amp;"|"&amp;$E1560&amp;"|"&amp;$M1560&amp;"|"&amp;TEXT($G1560,"yyyy-mm-dd")&amp;"|"&amp;LEFT($J1560,40))</f>
        <v/>
      </c>
      <c r="Q1560" s="11" t="str">
        <f aca="false">IF(P1560="","",IF(COUNTIF($P$2:$P$3000,P1560)&gt;1,"DUPLICATE","OK"))</f>
        <v/>
      </c>
      <c r="R1560" s="0" t="str">
        <f aca="false">IF($C1560="","",IFERROR(VLOOKUP(--$C1560,MM_Income!$Z$5:$AC$204,3,FALSE()),""))</f>
        <v/>
      </c>
    </row>
    <row r="1561" customFormat="false" ht="13.5" hidden="false" customHeight="false" outlineLevel="0" collapsed="false">
      <c r="N1561" s="1" t="str">
        <f aca="false">IF(C1561="","",IFERROR(VLOOKUP(C1561,Master_Mappings!$A$4:$E$85,3,FALSE()),"UNMAPPED"))</f>
        <v/>
      </c>
      <c r="P1561" s="1" t="str">
        <f aca="false">IF($C1561="","",$C1561&amp;"|"&amp;$E1561&amp;"|"&amp;$M1561&amp;"|"&amp;TEXT($G1561,"yyyy-mm-dd")&amp;"|"&amp;LEFT($J1561,40))</f>
        <v/>
      </c>
      <c r="Q1561" s="11" t="str">
        <f aca="false">IF(P1561="","",IF(COUNTIF($P$2:$P$3000,P1561)&gt;1,"DUPLICATE","OK"))</f>
        <v/>
      </c>
      <c r="R1561" s="0" t="str">
        <f aca="false">IF($C1561="","",IFERROR(VLOOKUP(--$C1561,MM_Income!$Z$5:$AC$204,3,FALSE()),""))</f>
        <v/>
      </c>
    </row>
    <row r="1562" customFormat="false" ht="13.5" hidden="false" customHeight="false" outlineLevel="0" collapsed="false">
      <c r="N1562" s="1" t="str">
        <f aca="false">IF(C1562="","",IFERROR(VLOOKUP(C1562,Master_Mappings!$A$4:$E$85,3,FALSE()),"UNMAPPED"))</f>
        <v/>
      </c>
      <c r="P1562" s="1" t="str">
        <f aca="false">IF($C1562="","",$C1562&amp;"|"&amp;$E1562&amp;"|"&amp;$M1562&amp;"|"&amp;TEXT($G1562,"yyyy-mm-dd")&amp;"|"&amp;LEFT($J1562,40))</f>
        <v/>
      </c>
      <c r="Q1562" s="11" t="str">
        <f aca="false">IF(P1562="","",IF(COUNTIF($P$2:$P$3000,P1562)&gt;1,"DUPLICATE","OK"))</f>
        <v/>
      </c>
      <c r="R1562" s="0" t="str">
        <f aca="false">IF($C1562="","",IFERROR(VLOOKUP(--$C1562,MM_Income!$Z$5:$AC$204,3,FALSE()),""))</f>
        <v/>
      </c>
    </row>
    <row r="1563" customFormat="false" ht="13.5" hidden="false" customHeight="false" outlineLevel="0" collapsed="false">
      <c r="N1563" s="1" t="str">
        <f aca="false">IF(C1563="","",IFERROR(VLOOKUP(C1563,Master_Mappings!$A$4:$E$85,3,FALSE()),"UNMAPPED"))</f>
        <v/>
      </c>
      <c r="P1563" s="1" t="str">
        <f aca="false">IF($C1563="","",$C1563&amp;"|"&amp;$E1563&amp;"|"&amp;$M1563&amp;"|"&amp;TEXT($G1563,"yyyy-mm-dd")&amp;"|"&amp;LEFT($J1563,40))</f>
        <v/>
      </c>
      <c r="Q1563" s="11" t="str">
        <f aca="false">IF(P1563="","",IF(COUNTIF($P$2:$P$3000,P1563)&gt;1,"DUPLICATE","OK"))</f>
        <v/>
      </c>
      <c r="R1563" s="0" t="str">
        <f aca="false">IF($C1563="","",IFERROR(VLOOKUP(--$C1563,MM_Income!$Z$5:$AC$204,3,FALSE()),""))</f>
        <v/>
      </c>
    </row>
    <row r="1564" customFormat="false" ht="13.5" hidden="false" customHeight="false" outlineLevel="0" collapsed="false">
      <c r="N1564" s="1" t="str">
        <f aca="false">IF(C1564="","",IFERROR(VLOOKUP(C1564,Master_Mappings!$A$4:$E$85,3,FALSE()),"UNMAPPED"))</f>
        <v/>
      </c>
      <c r="P1564" s="1" t="str">
        <f aca="false">IF($C1564="","",$C1564&amp;"|"&amp;$E1564&amp;"|"&amp;$M1564&amp;"|"&amp;TEXT($G1564,"yyyy-mm-dd")&amp;"|"&amp;LEFT($J1564,40))</f>
        <v/>
      </c>
      <c r="Q1564" s="11" t="str">
        <f aca="false">IF(P1564="","",IF(COUNTIF($P$2:$P$3000,P1564)&gt;1,"DUPLICATE","OK"))</f>
        <v/>
      </c>
      <c r="R1564" s="0" t="str">
        <f aca="false">IF($C1564="","",IFERROR(VLOOKUP(--$C1564,MM_Income!$Z$5:$AC$204,3,FALSE()),""))</f>
        <v/>
      </c>
    </row>
    <row r="1565" customFormat="false" ht="13.5" hidden="false" customHeight="false" outlineLevel="0" collapsed="false">
      <c r="N1565" s="1" t="str">
        <f aca="false">IF(C1565="","",IFERROR(VLOOKUP(C1565,Master_Mappings!$A$4:$E$85,3,FALSE()),"UNMAPPED"))</f>
        <v/>
      </c>
      <c r="P1565" s="1" t="str">
        <f aca="false">IF($C1565="","",$C1565&amp;"|"&amp;$E1565&amp;"|"&amp;$M1565&amp;"|"&amp;TEXT($G1565,"yyyy-mm-dd")&amp;"|"&amp;LEFT($J1565,40))</f>
        <v/>
      </c>
      <c r="Q1565" s="11" t="str">
        <f aca="false">IF(P1565="","",IF(COUNTIF($P$2:$P$3000,P1565)&gt;1,"DUPLICATE","OK"))</f>
        <v/>
      </c>
      <c r="R1565" s="0" t="str">
        <f aca="false">IF($C1565="","",IFERROR(VLOOKUP(--$C1565,MM_Income!$Z$5:$AC$204,3,FALSE()),""))</f>
        <v/>
      </c>
    </row>
    <row r="1566" customFormat="false" ht="13.5" hidden="false" customHeight="false" outlineLevel="0" collapsed="false">
      <c r="N1566" s="1" t="str">
        <f aca="false">IF(C1566="","",IFERROR(VLOOKUP(C1566,Master_Mappings!$A$4:$E$85,3,FALSE()),"UNMAPPED"))</f>
        <v/>
      </c>
      <c r="P1566" s="1" t="str">
        <f aca="false">IF($C1566="","",$C1566&amp;"|"&amp;$E1566&amp;"|"&amp;$M1566&amp;"|"&amp;TEXT($G1566,"yyyy-mm-dd")&amp;"|"&amp;LEFT($J1566,40))</f>
        <v/>
      </c>
      <c r="Q1566" s="11" t="str">
        <f aca="false">IF(P1566="","",IF(COUNTIF($P$2:$P$3000,P1566)&gt;1,"DUPLICATE","OK"))</f>
        <v/>
      </c>
      <c r="R1566" s="0" t="str">
        <f aca="false">IF($C1566="","",IFERROR(VLOOKUP(--$C1566,MM_Income!$Z$5:$AC$204,3,FALSE()),""))</f>
        <v/>
      </c>
    </row>
    <row r="1567" customFormat="false" ht="13.5" hidden="false" customHeight="false" outlineLevel="0" collapsed="false">
      <c r="N1567" s="1" t="str">
        <f aca="false">IF(C1567="","",IFERROR(VLOOKUP(C1567,Master_Mappings!$A$4:$E$85,3,FALSE()),"UNMAPPED"))</f>
        <v/>
      </c>
      <c r="P1567" s="1" t="str">
        <f aca="false">IF($C1567="","",$C1567&amp;"|"&amp;$E1567&amp;"|"&amp;$M1567&amp;"|"&amp;TEXT($G1567,"yyyy-mm-dd")&amp;"|"&amp;LEFT($J1567,40))</f>
        <v/>
      </c>
      <c r="Q1567" s="11" t="str">
        <f aca="false">IF(P1567="","",IF(COUNTIF($P$2:$P$3000,P1567)&gt;1,"DUPLICATE","OK"))</f>
        <v/>
      </c>
      <c r="R1567" s="0" t="str">
        <f aca="false">IF($C1567="","",IFERROR(VLOOKUP(--$C1567,MM_Income!$Z$5:$AC$204,3,FALSE()),""))</f>
        <v/>
      </c>
    </row>
    <row r="1568" customFormat="false" ht="13.5" hidden="false" customHeight="false" outlineLevel="0" collapsed="false">
      <c r="N1568" s="1" t="str">
        <f aca="false">IF(C1568="","",IFERROR(VLOOKUP(C1568,Master_Mappings!$A$4:$E$85,3,FALSE()),"UNMAPPED"))</f>
        <v/>
      </c>
      <c r="P1568" s="1" t="str">
        <f aca="false">IF($C1568="","",$C1568&amp;"|"&amp;$E1568&amp;"|"&amp;$M1568&amp;"|"&amp;TEXT($G1568,"yyyy-mm-dd")&amp;"|"&amp;LEFT($J1568,40))</f>
        <v/>
      </c>
      <c r="Q1568" s="11" t="str">
        <f aca="false">IF(P1568="","",IF(COUNTIF($P$2:$P$3000,P1568)&gt;1,"DUPLICATE","OK"))</f>
        <v/>
      </c>
      <c r="R1568" s="0" t="str">
        <f aca="false">IF($C1568="","",IFERROR(VLOOKUP(--$C1568,MM_Income!$Z$5:$AC$204,3,FALSE()),""))</f>
        <v/>
      </c>
    </row>
    <row r="1569" customFormat="false" ht="13.5" hidden="false" customHeight="false" outlineLevel="0" collapsed="false">
      <c r="N1569" s="1" t="str">
        <f aca="false">IF(C1569="","",IFERROR(VLOOKUP(C1569,Master_Mappings!$A$4:$E$85,3,FALSE()),"UNMAPPED"))</f>
        <v/>
      </c>
      <c r="P1569" s="1" t="str">
        <f aca="false">IF($C1569="","",$C1569&amp;"|"&amp;$E1569&amp;"|"&amp;$M1569&amp;"|"&amp;TEXT($G1569,"yyyy-mm-dd")&amp;"|"&amp;LEFT($J1569,40))</f>
        <v/>
      </c>
      <c r="Q1569" s="11" t="str">
        <f aca="false">IF(P1569="","",IF(COUNTIF($P$2:$P$3000,P1569)&gt;1,"DUPLICATE","OK"))</f>
        <v/>
      </c>
      <c r="R1569" s="0" t="str">
        <f aca="false">IF($C1569="","",IFERROR(VLOOKUP(--$C1569,MM_Income!$Z$5:$AC$204,3,FALSE()),""))</f>
        <v/>
      </c>
    </row>
    <row r="1570" customFormat="false" ht="13.5" hidden="false" customHeight="false" outlineLevel="0" collapsed="false">
      <c r="N1570" s="1" t="str">
        <f aca="false">IF(C1570="","",IFERROR(VLOOKUP(C1570,Master_Mappings!$A$4:$E$85,3,FALSE()),"UNMAPPED"))</f>
        <v/>
      </c>
      <c r="P1570" s="1" t="str">
        <f aca="false">IF($C1570="","",$C1570&amp;"|"&amp;$E1570&amp;"|"&amp;$M1570&amp;"|"&amp;TEXT($G1570,"yyyy-mm-dd")&amp;"|"&amp;LEFT($J1570,40))</f>
        <v/>
      </c>
      <c r="Q1570" s="11" t="str">
        <f aca="false">IF(P1570="","",IF(COUNTIF($P$2:$P$3000,P1570)&gt;1,"DUPLICATE","OK"))</f>
        <v/>
      </c>
      <c r="R1570" s="0" t="str">
        <f aca="false">IF($C1570="","",IFERROR(VLOOKUP(--$C1570,MM_Income!$Z$5:$AC$204,3,FALSE()),""))</f>
        <v/>
      </c>
    </row>
    <row r="1571" customFormat="false" ht="13.5" hidden="false" customHeight="false" outlineLevel="0" collapsed="false">
      <c r="N1571" s="1" t="str">
        <f aca="false">IF(C1571="","",IFERROR(VLOOKUP(C1571,Master_Mappings!$A$4:$E$85,3,FALSE()),"UNMAPPED"))</f>
        <v/>
      </c>
      <c r="P1571" s="1" t="str">
        <f aca="false">IF($C1571="","",$C1571&amp;"|"&amp;$E1571&amp;"|"&amp;$M1571&amp;"|"&amp;TEXT($G1571,"yyyy-mm-dd")&amp;"|"&amp;LEFT($J1571,40))</f>
        <v/>
      </c>
      <c r="Q1571" s="11" t="str">
        <f aca="false">IF(P1571="","",IF(COUNTIF($P$2:$P$3000,P1571)&gt;1,"DUPLICATE","OK"))</f>
        <v/>
      </c>
      <c r="R1571" s="0" t="str">
        <f aca="false">IF($C1571="","",IFERROR(VLOOKUP(--$C1571,MM_Income!$Z$5:$AC$204,3,FALSE()),""))</f>
        <v/>
      </c>
    </row>
    <row r="1572" customFormat="false" ht="13.5" hidden="false" customHeight="false" outlineLevel="0" collapsed="false">
      <c r="N1572" s="1" t="str">
        <f aca="false">IF(C1572="","",IFERROR(VLOOKUP(C1572,Master_Mappings!$A$4:$E$85,3,FALSE()),"UNMAPPED"))</f>
        <v/>
      </c>
      <c r="P1572" s="1" t="str">
        <f aca="false">IF($C1572="","",$C1572&amp;"|"&amp;$E1572&amp;"|"&amp;$M1572&amp;"|"&amp;TEXT($G1572,"yyyy-mm-dd")&amp;"|"&amp;LEFT($J1572,40))</f>
        <v/>
      </c>
      <c r="Q1572" s="11" t="str">
        <f aca="false">IF(P1572="","",IF(COUNTIF($P$2:$P$3000,P1572)&gt;1,"DUPLICATE","OK"))</f>
        <v/>
      </c>
      <c r="R1572" s="0" t="str">
        <f aca="false">IF($C1572="","",IFERROR(VLOOKUP(--$C1572,MM_Income!$Z$5:$AC$204,3,FALSE()),""))</f>
        <v/>
      </c>
    </row>
    <row r="1573" customFormat="false" ht="13.5" hidden="false" customHeight="false" outlineLevel="0" collapsed="false">
      <c r="N1573" s="1" t="str">
        <f aca="false">IF(C1573="","",IFERROR(VLOOKUP(C1573,Master_Mappings!$A$4:$E$85,3,FALSE()),"UNMAPPED"))</f>
        <v/>
      </c>
      <c r="P1573" s="1" t="str">
        <f aca="false">IF($C1573="","",$C1573&amp;"|"&amp;$E1573&amp;"|"&amp;$M1573&amp;"|"&amp;TEXT($G1573,"yyyy-mm-dd")&amp;"|"&amp;LEFT($J1573,40))</f>
        <v/>
      </c>
      <c r="Q1573" s="11" t="str">
        <f aca="false">IF(P1573="","",IF(COUNTIF($P$2:$P$3000,P1573)&gt;1,"DUPLICATE","OK"))</f>
        <v/>
      </c>
      <c r="R1573" s="0" t="str">
        <f aca="false">IF($C1573="","",IFERROR(VLOOKUP(--$C1573,MM_Income!$Z$5:$AC$204,3,FALSE()),""))</f>
        <v/>
      </c>
    </row>
    <row r="1574" customFormat="false" ht="13.5" hidden="false" customHeight="false" outlineLevel="0" collapsed="false">
      <c r="N1574" s="1" t="str">
        <f aca="false">IF(C1574="","",IFERROR(VLOOKUP(C1574,Master_Mappings!$A$4:$E$85,3,FALSE()),"UNMAPPED"))</f>
        <v/>
      </c>
      <c r="P1574" s="1" t="str">
        <f aca="false">IF($C1574="","",$C1574&amp;"|"&amp;$E1574&amp;"|"&amp;$M1574&amp;"|"&amp;TEXT($G1574,"yyyy-mm-dd")&amp;"|"&amp;LEFT($J1574,40))</f>
        <v/>
      </c>
      <c r="Q1574" s="11" t="str">
        <f aca="false">IF(P1574="","",IF(COUNTIF($P$2:$P$3000,P1574)&gt;1,"DUPLICATE","OK"))</f>
        <v/>
      </c>
      <c r="R1574" s="0" t="str">
        <f aca="false">IF($C1574="","",IFERROR(VLOOKUP(--$C1574,MM_Income!$Z$5:$AC$204,3,FALSE()),""))</f>
        <v/>
      </c>
    </row>
    <row r="1575" customFormat="false" ht="13.5" hidden="false" customHeight="false" outlineLevel="0" collapsed="false">
      <c r="N1575" s="1" t="str">
        <f aca="false">IF(C1575="","",IFERROR(VLOOKUP(C1575,Master_Mappings!$A$4:$E$85,3,FALSE()),"UNMAPPED"))</f>
        <v/>
      </c>
      <c r="P1575" s="1" t="str">
        <f aca="false">IF($C1575="","",$C1575&amp;"|"&amp;$E1575&amp;"|"&amp;$M1575&amp;"|"&amp;TEXT($G1575,"yyyy-mm-dd")&amp;"|"&amp;LEFT($J1575,40))</f>
        <v/>
      </c>
      <c r="Q1575" s="11" t="str">
        <f aca="false">IF(P1575="","",IF(COUNTIF($P$2:$P$3000,P1575)&gt;1,"DUPLICATE","OK"))</f>
        <v/>
      </c>
      <c r="R1575" s="0" t="str">
        <f aca="false">IF($C1575="","",IFERROR(VLOOKUP(--$C1575,MM_Income!$Z$5:$AC$204,3,FALSE()),""))</f>
        <v/>
      </c>
    </row>
    <row r="1576" customFormat="false" ht="13.5" hidden="false" customHeight="false" outlineLevel="0" collapsed="false">
      <c r="N1576" s="1" t="str">
        <f aca="false">IF(C1576="","",IFERROR(VLOOKUP(C1576,Master_Mappings!$A$4:$E$85,3,FALSE()),"UNMAPPED"))</f>
        <v/>
      </c>
      <c r="P1576" s="1" t="str">
        <f aca="false">IF($C1576="","",$C1576&amp;"|"&amp;$E1576&amp;"|"&amp;$M1576&amp;"|"&amp;TEXT($G1576,"yyyy-mm-dd")&amp;"|"&amp;LEFT($J1576,40))</f>
        <v/>
      </c>
      <c r="Q1576" s="11" t="str">
        <f aca="false">IF(P1576="","",IF(COUNTIF($P$2:$P$3000,P1576)&gt;1,"DUPLICATE","OK"))</f>
        <v/>
      </c>
      <c r="R1576" s="0" t="str">
        <f aca="false">IF($C1576="","",IFERROR(VLOOKUP(--$C1576,MM_Income!$Z$5:$AC$204,3,FALSE()),""))</f>
        <v/>
      </c>
    </row>
    <row r="1577" customFormat="false" ht="13.5" hidden="false" customHeight="false" outlineLevel="0" collapsed="false">
      <c r="N1577" s="1" t="str">
        <f aca="false">IF(C1577="","",IFERROR(VLOOKUP(C1577,Master_Mappings!$A$4:$E$85,3,FALSE()),"UNMAPPED"))</f>
        <v/>
      </c>
      <c r="P1577" s="1" t="str">
        <f aca="false">IF($C1577="","",$C1577&amp;"|"&amp;$E1577&amp;"|"&amp;$M1577&amp;"|"&amp;TEXT($G1577,"yyyy-mm-dd")&amp;"|"&amp;LEFT($J1577,40))</f>
        <v/>
      </c>
      <c r="Q1577" s="11" t="str">
        <f aca="false">IF(P1577="","",IF(COUNTIF($P$2:$P$3000,P1577)&gt;1,"DUPLICATE","OK"))</f>
        <v/>
      </c>
      <c r="R1577" s="0" t="str">
        <f aca="false">IF($C1577="","",IFERROR(VLOOKUP(--$C1577,MM_Income!$Z$5:$AC$204,3,FALSE()),""))</f>
        <v/>
      </c>
    </row>
    <row r="1578" customFormat="false" ht="13.5" hidden="false" customHeight="false" outlineLevel="0" collapsed="false">
      <c r="N1578" s="1" t="str">
        <f aca="false">IF(C1578="","",IFERROR(VLOOKUP(C1578,Master_Mappings!$A$4:$E$85,3,FALSE()),"UNMAPPED"))</f>
        <v/>
      </c>
      <c r="P1578" s="1" t="str">
        <f aca="false">IF($C1578="","",$C1578&amp;"|"&amp;$E1578&amp;"|"&amp;$M1578&amp;"|"&amp;TEXT($G1578,"yyyy-mm-dd")&amp;"|"&amp;LEFT($J1578,40))</f>
        <v/>
      </c>
      <c r="Q1578" s="11" t="str">
        <f aca="false">IF(P1578="","",IF(COUNTIF($P$2:$P$3000,P1578)&gt;1,"DUPLICATE","OK"))</f>
        <v/>
      </c>
      <c r="R1578" s="0" t="str">
        <f aca="false">IF($C1578="","",IFERROR(VLOOKUP(--$C1578,MM_Income!$Z$5:$AC$204,3,FALSE()),""))</f>
        <v/>
      </c>
    </row>
    <row r="1579" customFormat="false" ht="13.5" hidden="false" customHeight="false" outlineLevel="0" collapsed="false">
      <c r="N1579" s="1" t="str">
        <f aca="false">IF(C1579="","",IFERROR(VLOOKUP(C1579,Master_Mappings!$A$4:$E$85,3,FALSE()),"UNMAPPED"))</f>
        <v/>
      </c>
      <c r="P1579" s="1" t="str">
        <f aca="false">IF($C1579="","",$C1579&amp;"|"&amp;$E1579&amp;"|"&amp;$M1579&amp;"|"&amp;TEXT($G1579,"yyyy-mm-dd")&amp;"|"&amp;LEFT($J1579,40))</f>
        <v/>
      </c>
      <c r="Q1579" s="11" t="str">
        <f aca="false">IF(P1579="","",IF(COUNTIF($P$2:$P$3000,P1579)&gt;1,"DUPLICATE","OK"))</f>
        <v/>
      </c>
      <c r="R1579" s="0" t="str">
        <f aca="false">IF($C1579="","",IFERROR(VLOOKUP(--$C1579,MM_Income!$Z$5:$AC$204,3,FALSE()),""))</f>
        <v/>
      </c>
    </row>
    <row r="1580" customFormat="false" ht="13.5" hidden="false" customHeight="false" outlineLevel="0" collapsed="false">
      <c r="N1580" s="1" t="str">
        <f aca="false">IF(C1580="","",IFERROR(VLOOKUP(C1580,Master_Mappings!$A$4:$E$85,3,FALSE()),"UNMAPPED"))</f>
        <v/>
      </c>
      <c r="P1580" s="1" t="str">
        <f aca="false">IF($C1580="","",$C1580&amp;"|"&amp;$E1580&amp;"|"&amp;$M1580&amp;"|"&amp;TEXT($G1580,"yyyy-mm-dd")&amp;"|"&amp;LEFT($J1580,40))</f>
        <v/>
      </c>
      <c r="Q1580" s="11" t="str">
        <f aca="false">IF(P1580="","",IF(COUNTIF($P$2:$P$3000,P1580)&gt;1,"DUPLICATE","OK"))</f>
        <v/>
      </c>
      <c r="R1580" s="0" t="str">
        <f aca="false">IF($C1580="","",IFERROR(VLOOKUP(--$C1580,MM_Income!$Z$5:$AC$204,3,FALSE()),""))</f>
        <v/>
      </c>
    </row>
    <row r="1581" customFormat="false" ht="13.5" hidden="false" customHeight="false" outlineLevel="0" collapsed="false">
      <c r="N1581" s="1" t="str">
        <f aca="false">IF(C1581="","",IFERROR(VLOOKUP(C1581,Master_Mappings!$A$4:$E$85,3,FALSE()),"UNMAPPED"))</f>
        <v/>
      </c>
      <c r="P1581" s="1" t="str">
        <f aca="false">IF($C1581="","",$C1581&amp;"|"&amp;$E1581&amp;"|"&amp;$M1581&amp;"|"&amp;TEXT($G1581,"yyyy-mm-dd")&amp;"|"&amp;LEFT($J1581,40))</f>
        <v/>
      </c>
      <c r="Q1581" s="11" t="str">
        <f aca="false">IF(P1581="","",IF(COUNTIF($P$2:$P$3000,P1581)&gt;1,"DUPLICATE","OK"))</f>
        <v/>
      </c>
      <c r="R1581" s="0" t="str">
        <f aca="false">IF($C1581="","",IFERROR(VLOOKUP(--$C1581,MM_Income!$Z$5:$AC$204,3,FALSE()),""))</f>
        <v/>
      </c>
    </row>
    <row r="1582" customFormat="false" ht="13.5" hidden="false" customHeight="false" outlineLevel="0" collapsed="false">
      <c r="N1582" s="1" t="str">
        <f aca="false">IF(C1582="","",IFERROR(VLOOKUP(C1582,Master_Mappings!$A$4:$E$85,3,FALSE()),"UNMAPPED"))</f>
        <v/>
      </c>
      <c r="P1582" s="1" t="str">
        <f aca="false">IF($C1582="","",$C1582&amp;"|"&amp;$E1582&amp;"|"&amp;$M1582&amp;"|"&amp;TEXT($G1582,"yyyy-mm-dd")&amp;"|"&amp;LEFT($J1582,40))</f>
        <v/>
      </c>
      <c r="Q1582" s="11" t="str">
        <f aca="false">IF(P1582="","",IF(COUNTIF($P$2:$P$3000,P1582)&gt;1,"DUPLICATE","OK"))</f>
        <v/>
      </c>
      <c r="R1582" s="0" t="str">
        <f aca="false">IF($C1582="","",IFERROR(VLOOKUP(--$C1582,MM_Income!$Z$5:$AC$204,3,FALSE()),""))</f>
        <v/>
      </c>
    </row>
    <row r="1583" customFormat="false" ht="13.5" hidden="false" customHeight="false" outlineLevel="0" collapsed="false">
      <c r="N1583" s="1" t="str">
        <f aca="false">IF(C1583="","",IFERROR(VLOOKUP(C1583,Master_Mappings!$A$4:$E$85,3,FALSE()),"UNMAPPED"))</f>
        <v/>
      </c>
      <c r="P1583" s="1" t="str">
        <f aca="false">IF($C1583="","",$C1583&amp;"|"&amp;$E1583&amp;"|"&amp;$M1583&amp;"|"&amp;TEXT($G1583,"yyyy-mm-dd")&amp;"|"&amp;LEFT($J1583,40))</f>
        <v/>
      </c>
      <c r="Q1583" s="11" t="str">
        <f aca="false">IF(P1583="","",IF(COUNTIF($P$2:$P$3000,P1583)&gt;1,"DUPLICATE","OK"))</f>
        <v/>
      </c>
      <c r="R1583" s="0" t="str">
        <f aca="false">IF($C1583="","",IFERROR(VLOOKUP(--$C1583,MM_Income!$Z$5:$AC$204,3,FALSE()),""))</f>
        <v/>
      </c>
    </row>
    <row r="1584" customFormat="false" ht="13.5" hidden="false" customHeight="false" outlineLevel="0" collapsed="false">
      <c r="N1584" s="1" t="str">
        <f aca="false">IF(C1584="","",IFERROR(VLOOKUP(C1584,Master_Mappings!$A$4:$E$85,3,FALSE()),"UNMAPPED"))</f>
        <v/>
      </c>
      <c r="P1584" s="1" t="str">
        <f aca="false">IF($C1584="","",$C1584&amp;"|"&amp;$E1584&amp;"|"&amp;$M1584&amp;"|"&amp;TEXT($G1584,"yyyy-mm-dd")&amp;"|"&amp;LEFT($J1584,40))</f>
        <v/>
      </c>
      <c r="Q1584" s="11" t="str">
        <f aca="false">IF(P1584="","",IF(COUNTIF($P$2:$P$3000,P1584)&gt;1,"DUPLICATE","OK"))</f>
        <v/>
      </c>
      <c r="R1584" s="0" t="str">
        <f aca="false">IF($C1584="","",IFERROR(VLOOKUP(--$C1584,MM_Income!$Z$5:$AC$204,3,FALSE()),""))</f>
        <v/>
      </c>
    </row>
    <row r="1585" customFormat="false" ht="13.5" hidden="false" customHeight="false" outlineLevel="0" collapsed="false">
      <c r="N1585" s="1" t="str">
        <f aca="false">IF(C1585="","",IFERROR(VLOOKUP(C1585,Master_Mappings!$A$4:$E$85,3,FALSE()),"UNMAPPED"))</f>
        <v/>
      </c>
      <c r="P1585" s="1" t="str">
        <f aca="false">IF($C1585="","",$C1585&amp;"|"&amp;$E1585&amp;"|"&amp;$M1585&amp;"|"&amp;TEXT($G1585,"yyyy-mm-dd")&amp;"|"&amp;LEFT($J1585,40))</f>
        <v/>
      </c>
      <c r="Q1585" s="11" t="str">
        <f aca="false">IF(P1585="","",IF(COUNTIF($P$2:$P$3000,P1585)&gt;1,"DUPLICATE","OK"))</f>
        <v/>
      </c>
      <c r="R1585" s="0" t="str">
        <f aca="false">IF($C1585="","",IFERROR(VLOOKUP(--$C1585,MM_Income!$Z$5:$AC$204,3,FALSE()),""))</f>
        <v/>
      </c>
    </row>
    <row r="1586" customFormat="false" ht="13.5" hidden="false" customHeight="false" outlineLevel="0" collapsed="false">
      <c r="N1586" s="1" t="str">
        <f aca="false">IF(C1586="","",IFERROR(VLOOKUP(C1586,Master_Mappings!$A$4:$E$85,3,FALSE()),"UNMAPPED"))</f>
        <v/>
      </c>
      <c r="P1586" s="1" t="str">
        <f aca="false">IF($C1586="","",$C1586&amp;"|"&amp;$E1586&amp;"|"&amp;$M1586&amp;"|"&amp;TEXT($G1586,"yyyy-mm-dd")&amp;"|"&amp;LEFT($J1586,40))</f>
        <v/>
      </c>
      <c r="Q1586" s="11" t="str">
        <f aca="false">IF(P1586="","",IF(COUNTIF($P$2:$P$3000,P1586)&gt;1,"DUPLICATE","OK"))</f>
        <v/>
      </c>
      <c r="R1586" s="0" t="str">
        <f aca="false">IF($C1586="","",IFERROR(VLOOKUP(--$C1586,MM_Income!$Z$5:$AC$204,3,FALSE()),""))</f>
        <v/>
      </c>
    </row>
    <row r="1587" customFormat="false" ht="13.5" hidden="false" customHeight="false" outlineLevel="0" collapsed="false">
      <c r="N1587" s="1" t="str">
        <f aca="false">IF(C1587="","",IFERROR(VLOOKUP(C1587,Master_Mappings!$A$4:$E$85,3,FALSE()),"UNMAPPED"))</f>
        <v/>
      </c>
      <c r="P1587" s="1" t="str">
        <f aca="false">IF($C1587="","",$C1587&amp;"|"&amp;$E1587&amp;"|"&amp;$M1587&amp;"|"&amp;TEXT($G1587,"yyyy-mm-dd")&amp;"|"&amp;LEFT($J1587,40))</f>
        <v/>
      </c>
      <c r="Q1587" s="11" t="str">
        <f aca="false">IF(P1587="","",IF(COUNTIF($P$2:$P$3000,P1587)&gt;1,"DUPLICATE","OK"))</f>
        <v/>
      </c>
      <c r="R1587" s="0" t="str">
        <f aca="false">IF($C1587="","",IFERROR(VLOOKUP(--$C1587,MM_Income!$Z$5:$AC$204,3,FALSE()),""))</f>
        <v/>
      </c>
    </row>
    <row r="1588" customFormat="false" ht="13.5" hidden="false" customHeight="false" outlineLevel="0" collapsed="false">
      <c r="N1588" s="1" t="str">
        <f aca="false">IF(C1588="","",IFERROR(VLOOKUP(C1588,Master_Mappings!$A$4:$E$85,3,FALSE()),"UNMAPPED"))</f>
        <v/>
      </c>
      <c r="P1588" s="1" t="str">
        <f aca="false">IF($C1588="","",$C1588&amp;"|"&amp;$E1588&amp;"|"&amp;$M1588&amp;"|"&amp;TEXT($G1588,"yyyy-mm-dd")&amp;"|"&amp;LEFT($J1588,40))</f>
        <v/>
      </c>
      <c r="Q1588" s="11" t="str">
        <f aca="false">IF(P1588="","",IF(COUNTIF($P$2:$P$3000,P1588)&gt;1,"DUPLICATE","OK"))</f>
        <v/>
      </c>
      <c r="R1588" s="0" t="str">
        <f aca="false">IF($C1588="","",IFERROR(VLOOKUP(--$C1588,MM_Income!$Z$5:$AC$204,3,FALSE()),""))</f>
        <v/>
      </c>
    </row>
    <row r="1589" customFormat="false" ht="13.5" hidden="false" customHeight="false" outlineLevel="0" collapsed="false">
      <c r="N1589" s="1" t="str">
        <f aca="false">IF(C1589="","",IFERROR(VLOOKUP(C1589,Master_Mappings!$A$4:$E$85,3,FALSE()),"UNMAPPED"))</f>
        <v/>
      </c>
      <c r="P1589" s="1" t="str">
        <f aca="false">IF($C1589="","",$C1589&amp;"|"&amp;$E1589&amp;"|"&amp;$M1589&amp;"|"&amp;TEXT($G1589,"yyyy-mm-dd")&amp;"|"&amp;LEFT($J1589,40))</f>
        <v/>
      </c>
      <c r="Q1589" s="11" t="str">
        <f aca="false">IF(P1589="","",IF(COUNTIF($P$2:$P$3000,P1589)&gt;1,"DUPLICATE","OK"))</f>
        <v/>
      </c>
      <c r="R1589" s="0" t="str">
        <f aca="false">IF($C1589="","",IFERROR(VLOOKUP(--$C1589,MM_Income!$Z$5:$AC$204,3,FALSE()),""))</f>
        <v/>
      </c>
    </row>
    <row r="1590" customFormat="false" ht="13.5" hidden="false" customHeight="false" outlineLevel="0" collapsed="false">
      <c r="N1590" s="1" t="str">
        <f aca="false">IF(C1590="","",IFERROR(VLOOKUP(C1590,Master_Mappings!$A$4:$E$85,3,FALSE()),"UNMAPPED"))</f>
        <v/>
      </c>
      <c r="P1590" s="1" t="str">
        <f aca="false">IF($C1590="","",$C1590&amp;"|"&amp;$E1590&amp;"|"&amp;$M1590&amp;"|"&amp;TEXT($G1590,"yyyy-mm-dd")&amp;"|"&amp;LEFT($J1590,40))</f>
        <v/>
      </c>
      <c r="Q1590" s="11" t="str">
        <f aca="false">IF(P1590="","",IF(COUNTIF($P$2:$P$3000,P1590)&gt;1,"DUPLICATE","OK"))</f>
        <v/>
      </c>
      <c r="R1590" s="0" t="str">
        <f aca="false">IF($C1590="","",IFERROR(VLOOKUP(--$C1590,MM_Income!$Z$5:$AC$204,3,FALSE()),""))</f>
        <v/>
      </c>
    </row>
    <row r="1591" customFormat="false" ht="13.5" hidden="false" customHeight="false" outlineLevel="0" collapsed="false">
      <c r="N1591" s="1" t="str">
        <f aca="false">IF(C1591="","",IFERROR(VLOOKUP(C1591,Master_Mappings!$A$4:$E$85,3,FALSE()),"UNMAPPED"))</f>
        <v/>
      </c>
      <c r="P1591" s="1" t="str">
        <f aca="false">IF($C1591="","",$C1591&amp;"|"&amp;$E1591&amp;"|"&amp;$M1591&amp;"|"&amp;TEXT($G1591,"yyyy-mm-dd")&amp;"|"&amp;LEFT($J1591,40))</f>
        <v/>
      </c>
      <c r="Q1591" s="11" t="str">
        <f aca="false">IF(P1591="","",IF(COUNTIF($P$2:$P$3000,P1591)&gt;1,"DUPLICATE","OK"))</f>
        <v/>
      </c>
      <c r="R1591" s="0" t="str">
        <f aca="false">IF($C1591="","",IFERROR(VLOOKUP(--$C1591,MM_Income!$Z$5:$AC$204,3,FALSE()),""))</f>
        <v/>
      </c>
    </row>
    <row r="1592" customFormat="false" ht="13.5" hidden="false" customHeight="false" outlineLevel="0" collapsed="false">
      <c r="N1592" s="1" t="str">
        <f aca="false">IF(C1592="","",IFERROR(VLOOKUP(C1592,Master_Mappings!$A$4:$E$85,3,FALSE()),"UNMAPPED"))</f>
        <v/>
      </c>
      <c r="P1592" s="1" t="str">
        <f aca="false">IF($C1592="","",$C1592&amp;"|"&amp;$E1592&amp;"|"&amp;$M1592&amp;"|"&amp;TEXT($G1592,"yyyy-mm-dd")&amp;"|"&amp;LEFT($J1592,40))</f>
        <v/>
      </c>
      <c r="Q1592" s="11" t="str">
        <f aca="false">IF(P1592="","",IF(COUNTIF($P$2:$P$3000,P1592)&gt;1,"DUPLICATE","OK"))</f>
        <v/>
      </c>
      <c r="R1592" s="0" t="str">
        <f aca="false">IF($C1592="","",IFERROR(VLOOKUP(--$C1592,MM_Income!$Z$5:$AC$204,3,FALSE()),""))</f>
        <v/>
      </c>
    </row>
    <row r="1593" customFormat="false" ht="13.5" hidden="false" customHeight="false" outlineLevel="0" collapsed="false">
      <c r="N1593" s="1" t="str">
        <f aca="false">IF(C1593="","",IFERROR(VLOOKUP(C1593,Master_Mappings!$A$4:$E$85,3,FALSE()),"UNMAPPED"))</f>
        <v/>
      </c>
      <c r="P1593" s="1" t="str">
        <f aca="false">IF($C1593="","",$C1593&amp;"|"&amp;$E1593&amp;"|"&amp;$M1593&amp;"|"&amp;TEXT($G1593,"yyyy-mm-dd")&amp;"|"&amp;LEFT($J1593,40))</f>
        <v/>
      </c>
      <c r="Q1593" s="11" t="str">
        <f aca="false">IF(P1593="","",IF(COUNTIF($P$2:$P$3000,P1593)&gt;1,"DUPLICATE","OK"))</f>
        <v/>
      </c>
      <c r="R1593" s="0" t="str">
        <f aca="false">IF($C1593="","",IFERROR(VLOOKUP(--$C1593,MM_Income!$Z$5:$AC$204,3,FALSE()),""))</f>
        <v/>
      </c>
    </row>
    <row r="1594" customFormat="false" ht="13.5" hidden="false" customHeight="false" outlineLevel="0" collapsed="false">
      <c r="N1594" s="1" t="str">
        <f aca="false">IF(C1594="","",IFERROR(VLOOKUP(C1594,Master_Mappings!$A$4:$E$85,3,FALSE()),"UNMAPPED"))</f>
        <v/>
      </c>
      <c r="P1594" s="1" t="str">
        <f aca="false">IF($C1594="","",$C1594&amp;"|"&amp;$E1594&amp;"|"&amp;$M1594&amp;"|"&amp;TEXT($G1594,"yyyy-mm-dd")&amp;"|"&amp;LEFT($J1594,40))</f>
        <v/>
      </c>
      <c r="Q1594" s="11" t="str">
        <f aca="false">IF(P1594="","",IF(COUNTIF($P$2:$P$3000,P1594)&gt;1,"DUPLICATE","OK"))</f>
        <v/>
      </c>
      <c r="R1594" s="0" t="str">
        <f aca="false">IF($C1594="","",IFERROR(VLOOKUP(--$C1594,MM_Income!$Z$5:$AC$204,3,FALSE()),""))</f>
        <v/>
      </c>
    </row>
    <row r="1595" customFormat="false" ht="13.5" hidden="false" customHeight="false" outlineLevel="0" collapsed="false">
      <c r="N1595" s="1" t="str">
        <f aca="false">IF(C1595="","",IFERROR(VLOOKUP(C1595,Master_Mappings!$A$4:$E$85,3,FALSE()),"UNMAPPED"))</f>
        <v/>
      </c>
      <c r="P1595" s="1" t="str">
        <f aca="false">IF($C1595="","",$C1595&amp;"|"&amp;$E1595&amp;"|"&amp;$M1595&amp;"|"&amp;TEXT($G1595,"yyyy-mm-dd")&amp;"|"&amp;LEFT($J1595,40))</f>
        <v/>
      </c>
      <c r="Q1595" s="11" t="str">
        <f aca="false">IF(P1595="","",IF(COUNTIF($P$2:$P$3000,P1595)&gt;1,"DUPLICATE","OK"))</f>
        <v/>
      </c>
      <c r="R1595" s="0" t="str">
        <f aca="false">IF($C1595="","",IFERROR(VLOOKUP(--$C1595,MM_Income!$Z$5:$AC$204,3,FALSE()),""))</f>
        <v/>
      </c>
    </row>
    <row r="1596" customFormat="false" ht="13.5" hidden="false" customHeight="false" outlineLevel="0" collapsed="false">
      <c r="N1596" s="1" t="str">
        <f aca="false">IF(C1596="","",IFERROR(VLOOKUP(C1596,Master_Mappings!$A$4:$E$85,3,FALSE()),"UNMAPPED"))</f>
        <v/>
      </c>
      <c r="P1596" s="1" t="str">
        <f aca="false">IF($C1596="","",$C1596&amp;"|"&amp;$E1596&amp;"|"&amp;$M1596&amp;"|"&amp;TEXT($G1596,"yyyy-mm-dd")&amp;"|"&amp;LEFT($J1596,40))</f>
        <v/>
      </c>
      <c r="Q1596" s="11" t="str">
        <f aca="false">IF(P1596="","",IF(COUNTIF($P$2:$P$3000,P1596)&gt;1,"DUPLICATE","OK"))</f>
        <v/>
      </c>
      <c r="R1596" s="0" t="str">
        <f aca="false">IF($C1596="","",IFERROR(VLOOKUP(--$C1596,MM_Income!$Z$5:$AC$204,3,FALSE()),""))</f>
        <v/>
      </c>
    </row>
    <row r="1597" customFormat="false" ht="13.5" hidden="false" customHeight="false" outlineLevel="0" collapsed="false">
      <c r="N1597" s="1" t="str">
        <f aca="false">IF(C1597="","",IFERROR(VLOOKUP(C1597,Master_Mappings!$A$4:$E$85,3,FALSE()),"UNMAPPED"))</f>
        <v/>
      </c>
      <c r="P1597" s="1" t="str">
        <f aca="false">IF($C1597="","",$C1597&amp;"|"&amp;$E1597&amp;"|"&amp;$M1597&amp;"|"&amp;TEXT($G1597,"yyyy-mm-dd")&amp;"|"&amp;LEFT($J1597,40))</f>
        <v/>
      </c>
      <c r="Q1597" s="11" t="str">
        <f aca="false">IF(P1597="","",IF(COUNTIF($P$2:$P$3000,P1597)&gt;1,"DUPLICATE","OK"))</f>
        <v/>
      </c>
      <c r="R1597" s="0" t="str">
        <f aca="false">IF($C1597="","",IFERROR(VLOOKUP(--$C1597,MM_Income!$Z$5:$AC$204,3,FALSE()),""))</f>
        <v/>
      </c>
    </row>
    <row r="1598" customFormat="false" ht="13.5" hidden="false" customHeight="false" outlineLevel="0" collapsed="false">
      <c r="N1598" s="1" t="str">
        <f aca="false">IF(C1598="","",IFERROR(VLOOKUP(C1598,Master_Mappings!$A$4:$E$85,3,FALSE()),"UNMAPPED"))</f>
        <v/>
      </c>
      <c r="P1598" s="1" t="str">
        <f aca="false">IF($C1598="","",$C1598&amp;"|"&amp;$E1598&amp;"|"&amp;$M1598&amp;"|"&amp;TEXT($G1598,"yyyy-mm-dd")&amp;"|"&amp;LEFT($J1598,40))</f>
        <v/>
      </c>
      <c r="Q1598" s="11" t="str">
        <f aca="false">IF(P1598="","",IF(COUNTIF($P$2:$P$3000,P1598)&gt;1,"DUPLICATE","OK"))</f>
        <v/>
      </c>
      <c r="R1598" s="0" t="str">
        <f aca="false">IF($C1598="","",IFERROR(VLOOKUP(--$C1598,MM_Income!$Z$5:$AC$204,3,FALSE()),""))</f>
        <v/>
      </c>
    </row>
    <row r="1599" customFormat="false" ht="13.5" hidden="false" customHeight="false" outlineLevel="0" collapsed="false">
      <c r="N1599" s="1" t="str">
        <f aca="false">IF(C1599="","",IFERROR(VLOOKUP(C1599,Master_Mappings!$A$4:$E$85,3,FALSE()),"UNMAPPED"))</f>
        <v/>
      </c>
      <c r="P1599" s="1" t="str">
        <f aca="false">IF($C1599="","",$C1599&amp;"|"&amp;$E1599&amp;"|"&amp;$M1599&amp;"|"&amp;TEXT($G1599,"yyyy-mm-dd")&amp;"|"&amp;LEFT($J1599,40))</f>
        <v/>
      </c>
      <c r="Q1599" s="11" t="str">
        <f aca="false">IF(P1599="","",IF(COUNTIF($P$2:$P$3000,P1599)&gt;1,"DUPLICATE","OK"))</f>
        <v/>
      </c>
      <c r="R1599" s="0" t="str">
        <f aca="false">IF($C1599="","",IFERROR(VLOOKUP(--$C1599,MM_Income!$Z$5:$AC$204,3,FALSE()),""))</f>
        <v/>
      </c>
    </row>
    <row r="1600" customFormat="false" ht="13.5" hidden="false" customHeight="false" outlineLevel="0" collapsed="false">
      <c r="N1600" s="1" t="str">
        <f aca="false">IF(C1600="","",IFERROR(VLOOKUP(C1600,Master_Mappings!$A$4:$E$85,3,FALSE()),"UNMAPPED"))</f>
        <v/>
      </c>
      <c r="P1600" s="1" t="str">
        <f aca="false">IF($C1600="","",$C1600&amp;"|"&amp;$E1600&amp;"|"&amp;$M1600&amp;"|"&amp;TEXT($G1600,"yyyy-mm-dd")&amp;"|"&amp;LEFT($J1600,40))</f>
        <v/>
      </c>
      <c r="Q1600" s="11" t="str">
        <f aca="false">IF(P1600="","",IF(COUNTIF($P$2:$P$3000,P1600)&gt;1,"DUPLICATE","OK"))</f>
        <v/>
      </c>
      <c r="R1600" s="0" t="str">
        <f aca="false">IF($C1600="","",IFERROR(VLOOKUP(--$C1600,MM_Income!$Z$5:$AC$204,3,FALSE()),""))</f>
        <v/>
      </c>
    </row>
    <row r="1601" customFormat="false" ht="13.5" hidden="false" customHeight="false" outlineLevel="0" collapsed="false">
      <c r="N1601" s="1" t="str">
        <f aca="false">IF(C1601="","",IFERROR(VLOOKUP(C1601,Master_Mappings!$A$4:$E$85,3,FALSE()),"UNMAPPED"))</f>
        <v/>
      </c>
      <c r="P1601" s="1" t="str">
        <f aca="false">IF($C1601="","",$C1601&amp;"|"&amp;$E1601&amp;"|"&amp;$M1601&amp;"|"&amp;TEXT($G1601,"yyyy-mm-dd")&amp;"|"&amp;LEFT($J1601,40))</f>
        <v/>
      </c>
      <c r="Q1601" s="11" t="str">
        <f aca="false">IF(P1601="","",IF(COUNTIF($P$2:$P$3000,P1601)&gt;1,"DUPLICATE","OK"))</f>
        <v/>
      </c>
      <c r="R1601" s="0" t="str">
        <f aca="false">IF($C1601="","",IFERROR(VLOOKUP(--$C1601,MM_Income!$Z$5:$AC$204,3,FALSE()),""))</f>
        <v/>
      </c>
    </row>
    <row r="1602" customFormat="false" ht="13.5" hidden="false" customHeight="false" outlineLevel="0" collapsed="false">
      <c r="N1602" s="1" t="str">
        <f aca="false">IF(C1602="","",IFERROR(VLOOKUP(C1602,Master_Mappings!$A$4:$E$85,3,FALSE()),"UNMAPPED"))</f>
        <v/>
      </c>
      <c r="P1602" s="1" t="str">
        <f aca="false">IF($C1602="","",$C1602&amp;"|"&amp;$E1602&amp;"|"&amp;$M1602&amp;"|"&amp;TEXT($G1602,"yyyy-mm-dd")&amp;"|"&amp;LEFT($J1602,40))</f>
        <v/>
      </c>
      <c r="Q1602" s="11" t="str">
        <f aca="false">IF(P1602="","",IF(COUNTIF($P$2:$P$3000,P1602)&gt;1,"DUPLICATE","OK"))</f>
        <v/>
      </c>
      <c r="R1602" s="0" t="str">
        <f aca="false">IF($C1602="","",IFERROR(VLOOKUP(--$C1602,MM_Income!$Z$5:$AC$204,3,FALSE()),""))</f>
        <v/>
      </c>
    </row>
    <row r="1603" customFormat="false" ht="13.5" hidden="false" customHeight="false" outlineLevel="0" collapsed="false">
      <c r="N1603" s="1" t="str">
        <f aca="false">IF(C1603="","",IFERROR(VLOOKUP(C1603,Master_Mappings!$A$4:$E$85,3,FALSE()),"UNMAPPED"))</f>
        <v/>
      </c>
      <c r="P1603" s="1" t="str">
        <f aca="false">IF($C1603="","",$C1603&amp;"|"&amp;$E1603&amp;"|"&amp;$M1603&amp;"|"&amp;TEXT($G1603,"yyyy-mm-dd")&amp;"|"&amp;LEFT($J1603,40))</f>
        <v/>
      </c>
      <c r="Q1603" s="11" t="str">
        <f aca="false">IF(P1603="","",IF(COUNTIF($P$2:$P$3000,P1603)&gt;1,"DUPLICATE","OK"))</f>
        <v/>
      </c>
      <c r="R1603" s="0" t="str">
        <f aca="false">IF($C1603="","",IFERROR(VLOOKUP(--$C1603,MM_Income!$Z$5:$AC$204,3,FALSE()),""))</f>
        <v/>
      </c>
    </row>
    <row r="1604" customFormat="false" ht="13.5" hidden="false" customHeight="false" outlineLevel="0" collapsed="false">
      <c r="N1604" s="1" t="str">
        <f aca="false">IF(C1604="","",IFERROR(VLOOKUP(C1604,Master_Mappings!$A$4:$E$85,3,FALSE()),"UNMAPPED"))</f>
        <v/>
      </c>
      <c r="P1604" s="1" t="str">
        <f aca="false">IF($C1604="","",$C1604&amp;"|"&amp;$E1604&amp;"|"&amp;$M1604&amp;"|"&amp;TEXT($G1604,"yyyy-mm-dd")&amp;"|"&amp;LEFT($J1604,40))</f>
        <v/>
      </c>
      <c r="Q1604" s="11" t="str">
        <f aca="false">IF(P1604="","",IF(COUNTIF($P$2:$P$3000,P1604)&gt;1,"DUPLICATE","OK"))</f>
        <v/>
      </c>
      <c r="R1604" s="0" t="str">
        <f aca="false">IF($C1604="","",IFERROR(VLOOKUP(--$C1604,MM_Income!$Z$5:$AC$204,3,FALSE()),""))</f>
        <v/>
      </c>
    </row>
    <row r="1605" customFormat="false" ht="13.5" hidden="false" customHeight="false" outlineLevel="0" collapsed="false">
      <c r="N1605" s="1" t="str">
        <f aca="false">IF(C1605="","",IFERROR(VLOOKUP(C1605,Master_Mappings!$A$4:$E$85,3,FALSE()),"UNMAPPED"))</f>
        <v/>
      </c>
      <c r="P1605" s="1" t="str">
        <f aca="false">IF($C1605="","",$C1605&amp;"|"&amp;$E1605&amp;"|"&amp;$M1605&amp;"|"&amp;TEXT($G1605,"yyyy-mm-dd")&amp;"|"&amp;LEFT($J1605,40))</f>
        <v/>
      </c>
      <c r="Q1605" s="11" t="str">
        <f aca="false">IF(P1605="","",IF(COUNTIF($P$2:$P$3000,P1605)&gt;1,"DUPLICATE","OK"))</f>
        <v/>
      </c>
      <c r="R1605" s="0" t="str">
        <f aca="false">IF($C1605="","",IFERROR(VLOOKUP(--$C1605,MM_Income!$Z$5:$AC$204,3,FALSE()),""))</f>
        <v/>
      </c>
    </row>
    <row r="1606" customFormat="false" ht="13.5" hidden="false" customHeight="false" outlineLevel="0" collapsed="false">
      <c r="N1606" s="1" t="str">
        <f aca="false">IF(C1606="","",IFERROR(VLOOKUP(C1606,Master_Mappings!$A$4:$E$85,3,FALSE()),"UNMAPPED"))</f>
        <v/>
      </c>
      <c r="P1606" s="1" t="str">
        <f aca="false">IF($C1606="","",$C1606&amp;"|"&amp;$E1606&amp;"|"&amp;$M1606&amp;"|"&amp;TEXT($G1606,"yyyy-mm-dd")&amp;"|"&amp;LEFT($J1606,40))</f>
        <v/>
      </c>
      <c r="Q1606" s="11" t="str">
        <f aca="false">IF(P1606="","",IF(COUNTIF($P$2:$P$3000,P1606)&gt;1,"DUPLICATE","OK"))</f>
        <v/>
      </c>
      <c r="R1606" s="0" t="str">
        <f aca="false">IF($C1606="","",IFERROR(VLOOKUP(--$C1606,MM_Income!$Z$5:$AC$204,3,FALSE()),""))</f>
        <v/>
      </c>
    </row>
    <row r="1607" customFormat="false" ht="13.5" hidden="false" customHeight="false" outlineLevel="0" collapsed="false">
      <c r="N1607" s="1" t="str">
        <f aca="false">IF(C1607="","",IFERROR(VLOOKUP(C1607,Master_Mappings!$A$4:$E$85,3,FALSE()),"UNMAPPED"))</f>
        <v/>
      </c>
      <c r="P1607" s="1" t="str">
        <f aca="false">IF($C1607="","",$C1607&amp;"|"&amp;$E1607&amp;"|"&amp;$M1607&amp;"|"&amp;TEXT($G1607,"yyyy-mm-dd")&amp;"|"&amp;LEFT($J1607,40))</f>
        <v/>
      </c>
      <c r="Q1607" s="11" t="str">
        <f aca="false">IF(P1607="","",IF(COUNTIF($P$2:$P$3000,P1607)&gt;1,"DUPLICATE","OK"))</f>
        <v/>
      </c>
      <c r="R1607" s="0" t="str">
        <f aca="false">IF($C1607="","",IFERROR(VLOOKUP(--$C1607,MM_Income!$Z$5:$AC$204,3,FALSE()),""))</f>
        <v/>
      </c>
    </row>
    <row r="1608" customFormat="false" ht="13.5" hidden="false" customHeight="false" outlineLevel="0" collapsed="false">
      <c r="N1608" s="1" t="str">
        <f aca="false">IF(C1608="","",IFERROR(VLOOKUP(C1608,Master_Mappings!$A$4:$E$85,3,FALSE()),"UNMAPPED"))</f>
        <v/>
      </c>
      <c r="P1608" s="1" t="str">
        <f aca="false">IF($C1608="","",$C1608&amp;"|"&amp;$E1608&amp;"|"&amp;$M1608&amp;"|"&amp;TEXT($G1608,"yyyy-mm-dd")&amp;"|"&amp;LEFT($J1608,40))</f>
        <v/>
      </c>
      <c r="Q1608" s="11" t="str">
        <f aca="false">IF(P1608="","",IF(COUNTIF($P$2:$P$3000,P1608)&gt;1,"DUPLICATE","OK"))</f>
        <v/>
      </c>
      <c r="R1608" s="0" t="str">
        <f aca="false">IF($C1608="","",IFERROR(VLOOKUP(--$C1608,MM_Income!$Z$5:$AC$204,3,FALSE()),""))</f>
        <v/>
      </c>
    </row>
    <row r="1609" customFormat="false" ht="13.5" hidden="false" customHeight="false" outlineLevel="0" collapsed="false">
      <c r="N1609" s="1" t="str">
        <f aca="false">IF(C1609="","",IFERROR(VLOOKUP(C1609,Master_Mappings!$A$4:$E$85,3,FALSE()),"UNMAPPED"))</f>
        <v/>
      </c>
      <c r="P1609" s="1" t="str">
        <f aca="false">IF($C1609="","",$C1609&amp;"|"&amp;$E1609&amp;"|"&amp;$M1609&amp;"|"&amp;TEXT($G1609,"yyyy-mm-dd")&amp;"|"&amp;LEFT($J1609,40))</f>
        <v/>
      </c>
      <c r="Q1609" s="11" t="str">
        <f aca="false">IF(P1609="","",IF(COUNTIF($P$2:$P$3000,P1609)&gt;1,"DUPLICATE","OK"))</f>
        <v/>
      </c>
      <c r="R1609" s="0" t="str">
        <f aca="false">IF($C1609="","",IFERROR(VLOOKUP(--$C1609,MM_Income!$Z$5:$AC$204,3,FALSE()),""))</f>
        <v/>
      </c>
    </row>
    <row r="1610" customFormat="false" ht="13.5" hidden="false" customHeight="false" outlineLevel="0" collapsed="false">
      <c r="N1610" s="1" t="str">
        <f aca="false">IF(C1610="","",IFERROR(VLOOKUP(C1610,Master_Mappings!$A$4:$E$85,3,FALSE()),"UNMAPPED"))</f>
        <v/>
      </c>
      <c r="P1610" s="1" t="str">
        <f aca="false">IF($C1610="","",$C1610&amp;"|"&amp;$E1610&amp;"|"&amp;$M1610&amp;"|"&amp;TEXT($G1610,"yyyy-mm-dd")&amp;"|"&amp;LEFT($J1610,40))</f>
        <v/>
      </c>
      <c r="Q1610" s="11" t="str">
        <f aca="false">IF(P1610="","",IF(COUNTIF($P$2:$P$3000,P1610)&gt;1,"DUPLICATE","OK"))</f>
        <v/>
      </c>
      <c r="R1610" s="0" t="str">
        <f aca="false">IF($C1610="","",IFERROR(VLOOKUP(--$C1610,MM_Income!$Z$5:$AC$204,3,FALSE()),""))</f>
        <v/>
      </c>
    </row>
    <row r="1611" customFormat="false" ht="13.5" hidden="false" customHeight="false" outlineLevel="0" collapsed="false">
      <c r="N1611" s="1" t="str">
        <f aca="false">IF(C1611="","",IFERROR(VLOOKUP(C1611,Master_Mappings!$A$4:$E$85,3,FALSE()),"UNMAPPED"))</f>
        <v/>
      </c>
      <c r="P1611" s="1" t="str">
        <f aca="false">IF($C1611="","",$C1611&amp;"|"&amp;$E1611&amp;"|"&amp;$M1611&amp;"|"&amp;TEXT($G1611,"yyyy-mm-dd")&amp;"|"&amp;LEFT($J1611,40))</f>
        <v/>
      </c>
      <c r="Q1611" s="11" t="str">
        <f aca="false">IF(P1611="","",IF(COUNTIF($P$2:$P$3000,P1611)&gt;1,"DUPLICATE","OK"))</f>
        <v/>
      </c>
      <c r="R1611" s="0" t="str">
        <f aca="false">IF($C1611="","",IFERROR(VLOOKUP(--$C1611,MM_Income!$Z$5:$AC$204,3,FALSE()),""))</f>
        <v/>
      </c>
    </row>
    <row r="1612" customFormat="false" ht="13.5" hidden="false" customHeight="false" outlineLevel="0" collapsed="false">
      <c r="N1612" s="1" t="str">
        <f aca="false">IF(C1612="","",IFERROR(VLOOKUP(C1612,Master_Mappings!$A$4:$E$85,3,FALSE()),"UNMAPPED"))</f>
        <v/>
      </c>
      <c r="P1612" s="1" t="str">
        <f aca="false">IF($C1612="","",$C1612&amp;"|"&amp;$E1612&amp;"|"&amp;$M1612&amp;"|"&amp;TEXT($G1612,"yyyy-mm-dd")&amp;"|"&amp;LEFT($J1612,40))</f>
        <v/>
      </c>
      <c r="Q1612" s="11" t="str">
        <f aca="false">IF(P1612="","",IF(COUNTIF($P$2:$P$3000,P1612)&gt;1,"DUPLICATE","OK"))</f>
        <v/>
      </c>
      <c r="R1612" s="0" t="str">
        <f aca="false">IF($C1612="","",IFERROR(VLOOKUP(--$C1612,MM_Income!$Z$5:$AC$204,3,FALSE()),""))</f>
        <v/>
      </c>
    </row>
    <row r="1613" customFormat="false" ht="13.5" hidden="false" customHeight="false" outlineLevel="0" collapsed="false">
      <c r="N1613" s="1" t="str">
        <f aca="false">IF(C1613="","",IFERROR(VLOOKUP(C1613,Master_Mappings!$A$4:$E$85,3,FALSE()),"UNMAPPED"))</f>
        <v/>
      </c>
      <c r="P1613" s="1" t="str">
        <f aca="false">IF($C1613="","",$C1613&amp;"|"&amp;$E1613&amp;"|"&amp;$M1613&amp;"|"&amp;TEXT($G1613,"yyyy-mm-dd")&amp;"|"&amp;LEFT($J1613,40))</f>
        <v/>
      </c>
      <c r="Q1613" s="11" t="str">
        <f aca="false">IF(P1613="","",IF(COUNTIF($P$2:$P$3000,P1613)&gt;1,"DUPLICATE","OK"))</f>
        <v/>
      </c>
      <c r="R1613" s="0" t="str">
        <f aca="false">IF($C1613="","",IFERROR(VLOOKUP(--$C1613,MM_Income!$Z$5:$AC$204,3,FALSE()),""))</f>
        <v/>
      </c>
    </row>
    <row r="1614" customFormat="false" ht="13.5" hidden="false" customHeight="false" outlineLevel="0" collapsed="false">
      <c r="N1614" s="1" t="str">
        <f aca="false">IF(C1614="","",IFERROR(VLOOKUP(C1614,Master_Mappings!$A$4:$E$85,3,FALSE()),"UNMAPPED"))</f>
        <v/>
      </c>
      <c r="P1614" s="1" t="str">
        <f aca="false">IF($C1614="","",$C1614&amp;"|"&amp;$E1614&amp;"|"&amp;$M1614&amp;"|"&amp;TEXT($G1614,"yyyy-mm-dd")&amp;"|"&amp;LEFT($J1614,40))</f>
        <v/>
      </c>
      <c r="Q1614" s="11" t="str">
        <f aca="false">IF(P1614="","",IF(COUNTIF($P$2:$P$3000,P1614)&gt;1,"DUPLICATE","OK"))</f>
        <v/>
      </c>
      <c r="R1614" s="0" t="str">
        <f aca="false">IF($C1614="","",IFERROR(VLOOKUP(--$C1614,MM_Income!$Z$5:$AC$204,3,FALSE()),""))</f>
        <v/>
      </c>
    </row>
    <row r="1615" customFormat="false" ht="13.5" hidden="false" customHeight="false" outlineLevel="0" collapsed="false">
      <c r="N1615" s="1" t="str">
        <f aca="false">IF(C1615="","",IFERROR(VLOOKUP(C1615,Master_Mappings!$A$4:$E$85,3,FALSE()),"UNMAPPED"))</f>
        <v/>
      </c>
      <c r="P1615" s="1" t="str">
        <f aca="false">IF($C1615="","",$C1615&amp;"|"&amp;$E1615&amp;"|"&amp;$M1615&amp;"|"&amp;TEXT($G1615,"yyyy-mm-dd")&amp;"|"&amp;LEFT($J1615,40))</f>
        <v/>
      </c>
      <c r="Q1615" s="11" t="str">
        <f aca="false">IF(P1615="","",IF(COUNTIF($P$2:$P$3000,P1615)&gt;1,"DUPLICATE","OK"))</f>
        <v/>
      </c>
      <c r="R1615" s="0" t="str">
        <f aca="false">IF($C1615="","",IFERROR(VLOOKUP(--$C1615,MM_Income!$Z$5:$AC$204,3,FALSE()),""))</f>
        <v/>
      </c>
    </row>
    <row r="1616" customFormat="false" ht="13.5" hidden="false" customHeight="false" outlineLevel="0" collapsed="false">
      <c r="N1616" s="1" t="str">
        <f aca="false">IF(C1616="","",IFERROR(VLOOKUP(C1616,Master_Mappings!$A$4:$E$85,3,FALSE()),"UNMAPPED"))</f>
        <v/>
      </c>
      <c r="P1616" s="1" t="str">
        <f aca="false">IF($C1616="","",$C1616&amp;"|"&amp;$E1616&amp;"|"&amp;$M1616&amp;"|"&amp;TEXT($G1616,"yyyy-mm-dd")&amp;"|"&amp;LEFT($J1616,40))</f>
        <v/>
      </c>
      <c r="Q1616" s="11" t="str">
        <f aca="false">IF(P1616="","",IF(COUNTIF($P$2:$P$3000,P1616)&gt;1,"DUPLICATE","OK"))</f>
        <v/>
      </c>
      <c r="R1616" s="0" t="str">
        <f aca="false">IF($C1616="","",IFERROR(VLOOKUP(--$C1616,MM_Income!$Z$5:$AC$204,3,FALSE()),""))</f>
        <v/>
      </c>
    </row>
    <row r="1617" customFormat="false" ht="13.5" hidden="false" customHeight="false" outlineLevel="0" collapsed="false">
      <c r="N1617" s="1" t="str">
        <f aca="false">IF(C1617="","",IFERROR(VLOOKUP(C1617,Master_Mappings!$A$4:$E$85,3,FALSE()),"UNMAPPED"))</f>
        <v/>
      </c>
      <c r="P1617" s="1" t="str">
        <f aca="false">IF($C1617="","",$C1617&amp;"|"&amp;$E1617&amp;"|"&amp;$M1617&amp;"|"&amp;TEXT($G1617,"yyyy-mm-dd")&amp;"|"&amp;LEFT($J1617,40))</f>
        <v/>
      </c>
      <c r="Q1617" s="11" t="str">
        <f aca="false">IF(P1617="","",IF(COUNTIF($P$2:$P$3000,P1617)&gt;1,"DUPLICATE","OK"))</f>
        <v/>
      </c>
      <c r="R1617" s="0" t="str">
        <f aca="false">IF($C1617="","",IFERROR(VLOOKUP(--$C1617,MM_Income!$Z$5:$AC$204,3,FALSE()),""))</f>
        <v/>
      </c>
    </row>
    <row r="1618" customFormat="false" ht="13.5" hidden="false" customHeight="false" outlineLevel="0" collapsed="false">
      <c r="N1618" s="1" t="str">
        <f aca="false">IF(C1618="","",IFERROR(VLOOKUP(C1618,Master_Mappings!$A$4:$E$85,3,FALSE()),"UNMAPPED"))</f>
        <v/>
      </c>
      <c r="P1618" s="1" t="str">
        <f aca="false">IF($C1618="","",$C1618&amp;"|"&amp;$E1618&amp;"|"&amp;$M1618&amp;"|"&amp;TEXT($G1618,"yyyy-mm-dd")&amp;"|"&amp;LEFT($J1618,40))</f>
        <v/>
      </c>
      <c r="Q1618" s="11" t="str">
        <f aca="false">IF(P1618="","",IF(COUNTIF($P$2:$P$3000,P1618)&gt;1,"DUPLICATE","OK"))</f>
        <v/>
      </c>
      <c r="R1618" s="0" t="str">
        <f aca="false">IF($C1618="","",IFERROR(VLOOKUP(--$C1618,MM_Income!$Z$5:$AC$204,3,FALSE()),""))</f>
        <v/>
      </c>
    </row>
    <row r="1619" customFormat="false" ht="13.5" hidden="false" customHeight="false" outlineLevel="0" collapsed="false">
      <c r="N1619" s="1" t="str">
        <f aca="false">IF(C1619="","",IFERROR(VLOOKUP(C1619,Master_Mappings!$A$4:$E$85,3,FALSE()),"UNMAPPED"))</f>
        <v/>
      </c>
      <c r="P1619" s="1" t="str">
        <f aca="false">IF($C1619="","",$C1619&amp;"|"&amp;$E1619&amp;"|"&amp;$M1619&amp;"|"&amp;TEXT($G1619,"yyyy-mm-dd")&amp;"|"&amp;LEFT($J1619,40))</f>
        <v/>
      </c>
      <c r="Q1619" s="11" t="str">
        <f aca="false">IF(P1619="","",IF(COUNTIF($P$2:$P$3000,P1619)&gt;1,"DUPLICATE","OK"))</f>
        <v/>
      </c>
      <c r="R1619" s="0" t="str">
        <f aca="false">IF($C1619="","",IFERROR(VLOOKUP(--$C1619,MM_Income!$Z$5:$AC$204,3,FALSE()),""))</f>
        <v/>
      </c>
    </row>
    <row r="1620" customFormat="false" ht="13.5" hidden="false" customHeight="false" outlineLevel="0" collapsed="false">
      <c r="N1620" s="1" t="str">
        <f aca="false">IF(C1620="","",IFERROR(VLOOKUP(C1620,Master_Mappings!$A$4:$E$85,3,FALSE()),"UNMAPPED"))</f>
        <v/>
      </c>
      <c r="P1620" s="1" t="str">
        <f aca="false">IF($C1620="","",$C1620&amp;"|"&amp;$E1620&amp;"|"&amp;$M1620&amp;"|"&amp;TEXT($G1620,"yyyy-mm-dd")&amp;"|"&amp;LEFT($J1620,40))</f>
        <v/>
      </c>
      <c r="Q1620" s="11" t="str">
        <f aca="false">IF(P1620="","",IF(COUNTIF($P$2:$P$3000,P1620)&gt;1,"DUPLICATE","OK"))</f>
        <v/>
      </c>
      <c r="R1620" s="0" t="str">
        <f aca="false">IF($C1620="","",IFERROR(VLOOKUP(--$C1620,MM_Income!$Z$5:$AC$204,3,FALSE()),""))</f>
        <v/>
      </c>
    </row>
    <row r="1621" customFormat="false" ht="13.5" hidden="false" customHeight="false" outlineLevel="0" collapsed="false">
      <c r="N1621" s="1" t="str">
        <f aca="false">IF(C1621="","",IFERROR(VLOOKUP(C1621,Master_Mappings!$A$4:$E$85,3,FALSE()),"UNMAPPED"))</f>
        <v/>
      </c>
      <c r="P1621" s="1" t="str">
        <f aca="false">IF($C1621="","",$C1621&amp;"|"&amp;$E1621&amp;"|"&amp;$M1621&amp;"|"&amp;TEXT($G1621,"yyyy-mm-dd")&amp;"|"&amp;LEFT($J1621,40))</f>
        <v/>
      </c>
      <c r="Q1621" s="11" t="str">
        <f aca="false">IF(P1621="","",IF(COUNTIF($P$2:$P$3000,P1621)&gt;1,"DUPLICATE","OK"))</f>
        <v/>
      </c>
      <c r="R1621" s="0" t="str">
        <f aca="false">IF($C1621="","",IFERROR(VLOOKUP(--$C1621,MM_Income!$Z$5:$AC$204,3,FALSE()),""))</f>
        <v/>
      </c>
    </row>
    <row r="1622" customFormat="false" ht="13.5" hidden="false" customHeight="false" outlineLevel="0" collapsed="false">
      <c r="N1622" s="1" t="str">
        <f aca="false">IF(C1622="","",IFERROR(VLOOKUP(C1622,Master_Mappings!$A$4:$E$85,3,FALSE()),"UNMAPPED"))</f>
        <v/>
      </c>
      <c r="P1622" s="1" t="str">
        <f aca="false">IF($C1622="","",$C1622&amp;"|"&amp;$E1622&amp;"|"&amp;$M1622&amp;"|"&amp;TEXT($G1622,"yyyy-mm-dd")&amp;"|"&amp;LEFT($J1622,40))</f>
        <v/>
      </c>
      <c r="Q1622" s="11" t="str">
        <f aca="false">IF(P1622="","",IF(COUNTIF($P$2:$P$3000,P1622)&gt;1,"DUPLICATE","OK"))</f>
        <v/>
      </c>
      <c r="R1622" s="0" t="str">
        <f aca="false">IF($C1622="","",IFERROR(VLOOKUP(--$C1622,MM_Income!$Z$5:$AC$204,3,FALSE()),""))</f>
        <v/>
      </c>
    </row>
    <row r="1623" customFormat="false" ht="13.5" hidden="false" customHeight="false" outlineLevel="0" collapsed="false">
      <c r="N1623" s="1" t="str">
        <f aca="false">IF(C1623="","",IFERROR(VLOOKUP(C1623,Master_Mappings!$A$4:$E$85,3,FALSE()),"UNMAPPED"))</f>
        <v/>
      </c>
      <c r="P1623" s="1" t="str">
        <f aca="false">IF($C1623="","",$C1623&amp;"|"&amp;$E1623&amp;"|"&amp;$M1623&amp;"|"&amp;TEXT($G1623,"yyyy-mm-dd")&amp;"|"&amp;LEFT($J1623,40))</f>
        <v/>
      </c>
      <c r="Q1623" s="11" t="str">
        <f aca="false">IF(P1623="","",IF(COUNTIF($P$2:$P$3000,P1623)&gt;1,"DUPLICATE","OK"))</f>
        <v/>
      </c>
      <c r="R1623" s="0" t="str">
        <f aca="false">IF($C1623="","",IFERROR(VLOOKUP(--$C1623,MM_Income!$Z$5:$AC$204,3,FALSE()),""))</f>
        <v/>
      </c>
    </row>
    <row r="1624" customFormat="false" ht="13.5" hidden="false" customHeight="false" outlineLevel="0" collapsed="false">
      <c r="N1624" s="1" t="str">
        <f aca="false">IF(C1624="","",IFERROR(VLOOKUP(C1624,Master_Mappings!$A$4:$E$85,3,FALSE()),"UNMAPPED"))</f>
        <v/>
      </c>
      <c r="P1624" s="1" t="str">
        <f aca="false">IF($C1624="","",$C1624&amp;"|"&amp;$E1624&amp;"|"&amp;$M1624&amp;"|"&amp;TEXT($G1624,"yyyy-mm-dd")&amp;"|"&amp;LEFT($J1624,40))</f>
        <v/>
      </c>
      <c r="Q1624" s="11" t="str">
        <f aca="false">IF(P1624="","",IF(COUNTIF($P$2:$P$3000,P1624)&gt;1,"DUPLICATE","OK"))</f>
        <v/>
      </c>
      <c r="R1624" s="0" t="str">
        <f aca="false">IF($C1624="","",IFERROR(VLOOKUP(--$C1624,MM_Income!$Z$5:$AC$204,3,FALSE()),""))</f>
        <v/>
      </c>
    </row>
    <row r="1625" customFormat="false" ht="13.5" hidden="false" customHeight="false" outlineLevel="0" collapsed="false">
      <c r="N1625" s="1" t="str">
        <f aca="false">IF(C1625="","",IFERROR(VLOOKUP(C1625,Master_Mappings!$A$4:$E$85,3,FALSE()),"UNMAPPED"))</f>
        <v/>
      </c>
      <c r="P1625" s="1" t="str">
        <f aca="false">IF($C1625="","",$C1625&amp;"|"&amp;$E1625&amp;"|"&amp;$M1625&amp;"|"&amp;TEXT($G1625,"yyyy-mm-dd")&amp;"|"&amp;LEFT($J1625,40))</f>
        <v/>
      </c>
      <c r="Q1625" s="11" t="str">
        <f aca="false">IF(P1625="","",IF(COUNTIF($P$2:$P$3000,P1625)&gt;1,"DUPLICATE","OK"))</f>
        <v/>
      </c>
      <c r="R1625" s="0" t="str">
        <f aca="false">IF($C1625="","",IFERROR(VLOOKUP(--$C1625,MM_Income!$Z$5:$AC$204,3,FALSE()),""))</f>
        <v/>
      </c>
    </row>
    <row r="1626" customFormat="false" ht="13.5" hidden="false" customHeight="false" outlineLevel="0" collapsed="false">
      <c r="N1626" s="1" t="str">
        <f aca="false">IF(C1626="","",IFERROR(VLOOKUP(C1626,Master_Mappings!$A$4:$E$85,3,FALSE()),"UNMAPPED"))</f>
        <v/>
      </c>
      <c r="P1626" s="1" t="str">
        <f aca="false">IF($C1626="","",$C1626&amp;"|"&amp;$E1626&amp;"|"&amp;$M1626&amp;"|"&amp;TEXT($G1626,"yyyy-mm-dd")&amp;"|"&amp;LEFT($J1626,40))</f>
        <v/>
      </c>
      <c r="Q1626" s="11" t="str">
        <f aca="false">IF(P1626="","",IF(COUNTIF($P$2:$P$3000,P1626)&gt;1,"DUPLICATE","OK"))</f>
        <v/>
      </c>
      <c r="R1626" s="0" t="str">
        <f aca="false">IF($C1626="","",IFERROR(VLOOKUP(--$C1626,MM_Income!$Z$5:$AC$204,3,FALSE()),""))</f>
        <v/>
      </c>
    </row>
    <row r="1627" customFormat="false" ht="13.5" hidden="false" customHeight="false" outlineLevel="0" collapsed="false">
      <c r="N1627" s="1" t="str">
        <f aca="false">IF(C1627="","",IFERROR(VLOOKUP(C1627,Master_Mappings!$A$4:$E$85,3,FALSE()),"UNMAPPED"))</f>
        <v/>
      </c>
      <c r="P1627" s="1" t="str">
        <f aca="false">IF($C1627="","",$C1627&amp;"|"&amp;$E1627&amp;"|"&amp;$M1627&amp;"|"&amp;TEXT($G1627,"yyyy-mm-dd")&amp;"|"&amp;LEFT($J1627,40))</f>
        <v/>
      </c>
      <c r="Q1627" s="11" t="str">
        <f aca="false">IF(P1627="","",IF(COUNTIF($P$2:$P$3000,P1627)&gt;1,"DUPLICATE","OK"))</f>
        <v/>
      </c>
      <c r="R1627" s="0" t="str">
        <f aca="false">IF($C1627="","",IFERROR(VLOOKUP(--$C1627,MM_Income!$Z$5:$AC$204,3,FALSE()),""))</f>
        <v/>
      </c>
    </row>
    <row r="1628" customFormat="false" ht="13.5" hidden="false" customHeight="false" outlineLevel="0" collapsed="false">
      <c r="N1628" s="1" t="str">
        <f aca="false">IF(C1628="","",IFERROR(VLOOKUP(C1628,Master_Mappings!$A$4:$E$85,3,FALSE()),"UNMAPPED"))</f>
        <v/>
      </c>
      <c r="P1628" s="1" t="str">
        <f aca="false">IF($C1628="","",$C1628&amp;"|"&amp;$E1628&amp;"|"&amp;$M1628&amp;"|"&amp;TEXT($G1628,"yyyy-mm-dd")&amp;"|"&amp;LEFT($J1628,40))</f>
        <v/>
      </c>
      <c r="Q1628" s="11" t="str">
        <f aca="false">IF(P1628="","",IF(COUNTIF($P$2:$P$3000,P1628)&gt;1,"DUPLICATE","OK"))</f>
        <v/>
      </c>
      <c r="R1628" s="0" t="str">
        <f aca="false">IF($C1628="","",IFERROR(VLOOKUP(--$C1628,MM_Income!$Z$5:$AC$204,3,FALSE()),""))</f>
        <v/>
      </c>
    </row>
    <row r="1629" customFormat="false" ht="13.5" hidden="false" customHeight="false" outlineLevel="0" collapsed="false">
      <c r="N1629" s="1" t="str">
        <f aca="false">IF(C1629="","",IFERROR(VLOOKUP(C1629,Master_Mappings!$A$4:$E$85,3,FALSE()),"UNMAPPED"))</f>
        <v/>
      </c>
      <c r="P1629" s="1" t="str">
        <f aca="false">IF($C1629="","",$C1629&amp;"|"&amp;$E1629&amp;"|"&amp;$M1629&amp;"|"&amp;TEXT($G1629,"yyyy-mm-dd")&amp;"|"&amp;LEFT($J1629,40))</f>
        <v/>
      </c>
      <c r="Q1629" s="11" t="str">
        <f aca="false">IF(P1629="","",IF(COUNTIF($P$2:$P$3000,P1629)&gt;1,"DUPLICATE","OK"))</f>
        <v/>
      </c>
      <c r="R1629" s="0" t="str">
        <f aca="false">IF($C1629="","",IFERROR(VLOOKUP(--$C1629,MM_Income!$Z$5:$AC$204,3,FALSE()),""))</f>
        <v/>
      </c>
    </row>
    <row r="1630" customFormat="false" ht="13.5" hidden="false" customHeight="false" outlineLevel="0" collapsed="false">
      <c r="N1630" s="1" t="str">
        <f aca="false">IF(C1630="","",IFERROR(VLOOKUP(C1630,Master_Mappings!$A$4:$E$85,3,FALSE()),"UNMAPPED"))</f>
        <v/>
      </c>
      <c r="P1630" s="1" t="str">
        <f aca="false">IF($C1630="","",$C1630&amp;"|"&amp;$E1630&amp;"|"&amp;$M1630&amp;"|"&amp;TEXT($G1630,"yyyy-mm-dd")&amp;"|"&amp;LEFT($J1630,40))</f>
        <v/>
      </c>
      <c r="Q1630" s="11" t="str">
        <f aca="false">IF(P1630="","",IF(COUNTIF($P$2:$P$3000,P1630)&gt;1,"DUPLICATE","OK"))</f>
        <v/>
      </c>
      <c r="R1630" s="0" t="str">
        <f aca="false">IF($C1630="","",IFERROR(VLOOKUP(--$C1630,MM_Income!$Z$5:$AC$204,3,FALSE()),""))</f>
        <v/>
      </c>
    </row>
    <row r="1631" customFormat="false" ht="13.5" hidden="false" customHeight="false" outlineLevel="0" collapsed="false">
      <c r="N1631" s="1" t="str">
        <f aca="false">IF(C1631="","",IFERROR(VLOOKUP(C1631,Master_Mappings!$A$4:$E$85,3,FALSE()),"UNMAPPED"))</f>
        <v/>
      </c>
      <c r="P1631" s="1" t="str">
        <f aca="false">IF($C1631="","",$C1631&amp;"|"&amp;$E1631&amp;"|"&amp;$M1631&amp;"|"&amp;TEXT($G1631,"yyyy-mm-dd")&amp;"|"&amp;LEFT($J1631,40))</f>
        <v/>
      </c>
      <c r="Q1631" s="11" t="str">
        <f aca="false">IF(P1631="","",IF(COUNTIF($P$2:$P$3000,P1631)&gt;1,"DUPLICATE","OK"))</f>
        <v/>
      </c>
      <c r="R1631" s="0" t="str">
        <f aca="false">IF($C1631="","",IFERROR(VLOOKUP(--$C1631,MM_Income!$Z$5:$AC$204,3,FALSE()),""))</f>
        <v/>
      </c>
    </row>
    <row r="1632" customFormat="false" ht="13.5" hidden="false" customHeight="false" outlineLevel="0" collapsed="false">
      <c r="N1632" s="1" t="str">
        <f aca="false">IF(C1632="","",IFERROR(VLOOKUP(C1632,Master_Mappings!$A$4:$E$85,3,FALSE()),"UNMAPPED"))</f>
        <v/>
      </c>
      <c r="P1632" s="1" t="str">
        <f aca="false">IF($C1632="","",$C1632&amp;"|"&amp;$E1632&amp;"|"&amp;$M1632&amp;"|"&amp;TEXT($G1632,"yyyy-mm-dd")&amp;"|"&amp;LEFT($J1632,40))</f>
        <v/>
      </c>
      <c r="Q1632" s="11" t="str">
        <f aca="false">IF(P1632="","",IF(COUNTIF($P$2:$P$3000,P1632)&gt;1,"DUPLICATE","OK"))</f>
        <v/>
      </c>
      <c r="R1632" s="0" t="str">
        <f aca="false">IF($C1632="","",IFERROR(VLOOKUP(--$C1632,MM_Income!$Z$5:$AC$204,3,FALSE()),""))</f>
        <v/>
      </c>
    </row>
    <row r="1633" customFormat="false" ht="13.5" hidden="false" customHeight="false" outlineLevel="0" collapsed="false">
      <c r="N1633" s="1" t="str">
        <f aca="false">IF(C1633="","",IFERROR(VLOOKUP(C1633,Master_Mappings!$A$4:$E$85,3,FALSE()),"UNMAPPED"))</f>
        <v/>
      </c>
      <c r="P1633" s="1" t="str">
        <f aca="false">IF($C1633="","",$C1633&amp;"|"&amp;$E1633&amp;"|"&amp;$M1633&amp;"|"&amp;TEXT($G1633,"yyyy-mm-dd")&amp;"|"&amp;LEFT($J1633,40))</f>
        <v/>
      </c>
      <c r="Q1633" s="11" t="str">
        <f aca="false">IF(P1633="","",IF(COUNTIF($P$2:$P$3000,P1633)&gt;1,"DUPLICATE","OK"))</f>
        <v/>
      </c>
      <c r="R1633" s="0" t="str">
        <f aca="false">IF($C1633="","",IFERROR(VLOOKUP(--$C1633,MM_Income!$Z$5:$AC$204,3,FALSE()),""))</f>
        <v/>
      </c>
    </row>
    <row r="1634" customFormat="false" ht="13.5" hidden="false" customHeight="false" outlineLevel="0" collapsed="false">
      <c r="N1634" s="1" t="str">
        <f aca="false">IF(C1634="","",IFERROR(VLOOKUP(C1634,Master_Mappings!$A$4:$E$85,3,FALSE()),"UNMAPPED"))</f>
        <v/>
      </c>
      <c r="P1634" s="1" t="str">
        <f aca="false">IF($C1634="","",$C1634&amp;"|"&amp;$E1634&amp;"|"&amp;$M1634&amp;"|"&amp;TEXT($G1634,"yyyy-mm-dd")&amp;"|"&amp;LEFT($J1634,40))</f>
        <v/>
      </c>
      <c r="Q1634" s="11" t="str">
        <f aca="false">IF(P1634="","",IF(COUNTIF($P$2:$P$3000,P1634)&gt;1,"DUPLICATE","OK"))</f>
        <v/>
      </c>
      <c r="R1634" s="0" t="str">
        <f aca="false">IF($C1634="","",IFERROR(VLOOKUP(--$C1634,MM_Income!$Z$5:$AC$204,3,FALSE()),""))</f>
        <v/>
      </c>
    </row>
    <row r="1635" customFormat="false" ht="13.5" hidden="false" customHeight="false" outlineLevel="0" collapsed="false">
      <c r="N1635" s="1" t="str">
        <f aca="false">IF(C1635="","",IFERROR(VLOOKUP(C1635,Master_Mappings!$A$4:$E$85,3,FALSE()),"UNMAPPED"))</f>
        <v/>
      </c>
      <c r="P1635" s="1" t="str">
        <f aca="false">IF($C1635="","",$C1635&amp;"|"&amp;$E1635&amp;"|"&amp;$M1635&amp;"|"&amp;TEXT($G1635,"yyyy-mm-dd")&amp;"|"&amp;LEFT($J1635,40))</f>
        <v/>
      </c>
      <c r="Q1635" s="11" t="str">
        <f aca="false">IF(P1635="","",IF(COUNTIF($P$2:$P$3000,P1635)&gt;1,"DUPLICATE","OK"))</f>
        <v/>
      </c>
      <c r="R1635" s="0" t="str">
        <f aca="false">IF($C1635="","",IFERROR(VLOOKUP(--$C1635,MM_Income!$Z$5:$AC$204,3,FALSE()),""))</f>
        <v/>
      </c>
    </row>
    <row r="1636" customFormat="false" ht="13.5" hidden="false" customHeight="false" outlineLevel="0" collapsed="false">
      <c r="N1636" s="1" t="str">
        <f aca="false">IF(C1636="","",IFERROR(VLOOKUP(C1636,Master_Mappings!$A$4:$E$85,3,FALSE()),"UNMAPPED"))</f>
        <v/>
      </c>
      <c r="P1636" s="1" t="str">
        <f aca="false">IF($C1636="","",$C1636&amp;"|"&amp;$E1636&amp;"|"&amp;$M1636&amp;"|"&amp;TEXT($G1636,"yyyy-mm-dd")&amp;"|"&amp;LEFT($J1636,40))</f>
        <v/>
      </c>
      <c r="Q1636" s="11" t="str">
        <f aca="false">IF(P1636="","",IF(COUNTIF($P$2:$P$3000,P1636)&gt;1,"DUPLICATE","OK"))</f>
        <v/>
      </c>
      <c r="R1636" s="0" t="str">
        <f aca="false">IF($C1636="","",IFERROR(VLOOKUP(--$C1636,MM_Income!$Z$5:$AC$204,3,FALSE()),""))</f>
        <v/>
      </c>
    </row>
    <row r="1637" customFormat="false" ht="13.5" hidden="false" customHeight="false" outlineLevel="0" collapsed="false">
      <c r="N1637" s="1" t="str">
        <f aca="false">IF(C1637="","",IFERROR(VLOOKUP(C1637,Master_Mappings!$A$4:$E$85,3,FALSE()),"UNMAPPED"))</f>
        <v/>
      </c>
      <c r="P1637" s="1" t="str">
        <f aca="false">IF($C1637="","",$C1637&amp;"|"&amp;$E1637&amp;"|"&amp;$M1637&amp;"|"&amp;TEXT($G1637,"yyyy-mm-dd")&amp;"|"&amp;LEFT($J1637,40))</f>
        <v/>
      </c>
      <c r="Q1637" s="11" t="str">
        <f aca="false">IF(P1637="","",IF(COUNTIF($P$2:$P$3000,P1637)&gt;1,"DUPLICATE","OK"))</f>
        <v/>
      </c>
      <c r="R1637" s="0" t="str">
        <f aca="false">IF($C1637="","",IFERROR(VLOOKUP(--$C1637,MM_Income!$Z$5:$AC$204,3,FALSE()),""))</f>
        <v/>
      </c>
    </row>
    <row r="1638" customFormat="false" ht="13.5" hidden="false" customHeight="false" outlineLevel="0" collapsed="false">
      <c r="N1638" s="1" t="str">
        <f aca="false">IF(C1638="","",IFERROR(VLOOKUP(C1638,Master_Mappings!$A$4:$E$85,3,FALSE()),"UNMAPPED"))</f>
        <v/>
      </c>
      <c r="P1638" s="1" t="str">
        <f aca="false">IF($C1638="","",$C1638&amp;"|"&amp;$E1638&amp;"|"&amp;$M1638&amp;"|"&amp;TEXT($G1638,"yyyy-mm-dd")&amp;"|"&amp;LEFT($J1638,40))</f>
        <v/>
      </c>
      <c r="Q1638" s="11" t="str">
        <f aca="false">IF(P1638="","",IF(COUNTIF($P$2:$P$3000,P1638)&gt;1,"DUPLICATE","OK"))</f>
        <v/>
      </c>
      <c r="R1638" s="0" t="str">
        <f aca="false">IF($C1638="","",IFERROR(VLOOKUP(--$C1638,MM_Income!$Z$5:$AC$204,3,FALSE()),""))</f>
        <v/>
      </c>
    </row>
    <row r="1639" customFormat="false" ht="13.5" hidden="false" customHeight="false" outlineLevel="0" collapsed="false">
      <c r="N1639" s="1" t="str">
        <f aca="false">IF(C1639="","",IFERROR(VLOOKUP(C1639,Master_Mappings!$A$4:$E$85,3,FALSE()),"UNMAPPED"))</f>
        <v/>
      </c>
      <c r="P1639" s="1" t="str">
        <f aca="false">IF($C1639="","",$C1639&amp;"|"&amp;$E1639&amp;"|"&amp;$M1639&amp;"|"&amp;TEXT($G1639,"yyyy-mm-dd")&amp;"|"&amp;LEFT($J1639,40))</f>
        <v/>
      </c>
      <c r="Q1639" s="11" t="str">
        <f aca="false">IF(P1639="","",IF(COUNTIF($P$2:$P$3000,P1639)&gt;1,"DUPLICATE","OK"))</f>
        <v/>
      </c>
      <c r="R1639" s="0" t="str">
        <f aca="false">IF($C1639="","",IFERROR(VLOOKUP(--$C1639,MM_Income!$Z$5:$AC$204,3,FALSE()),""))</f>
        <v/>
      </c>
    </row>
    <row r="1640" customFormat="false" ht="13.5" hidden="false" customHeight="false" outlineLevel="0" collapsed="false">
      <c r="N1640" s="1" t="str">
        <f aca="false">IF(C1640="","",IFERROR(VLOOKUP(C1640,Master_Mappings!$A$4:$E$85,3,FALSE()),"UNMAPPED"))</f>
        <v/>
      </c>
      <c r="P1640" s="1" t="str">
        <f aca="false">IF($C1640="","",$C1640&amp;"|"&amp;$E1640&amp;"|"&amp;$M1640&amp;"|"&amp;TEXT($G1640,"yyyy-mm-dd")&amp;"|"&amp;LEFT($J1640,40))</f>
        <v/>
      </c>
      <c r="Q1640" s="11" t="str">
        <f aca="false">IF(P1640="","",IF(COUNTIF($P$2:$P$3000,P1640)&gt;1,"DUPLICATE","OK"))</f>
        <v/>
      </c>
      <c r="R1640" s="0" t="str">
        <f aca="false">IF($C1640="","",IFERROR(VLOOKUP(--$C1640,MM_Income!$Z$5:$AC$204,3,FALSE()),""))</f>
        <v/>
      </c>
    </row>
    <row r="1641" customFormat="false" ht="13.5" hidden="false" customHeight="false" outlineLevel="0" collapsed="false">
      <c r="N1641" s="1" t="str">
        <f aca="false">IF(C1641="","",IFERROR(VLOOKUP(C1641,Master_Mappings!$A$4:$E$85,3,FALSE()),"UNMAPPED"))</f>
        <v/>
      </c>
      <c r="P1641" s="1" t="str">
        <f aca="false">IF($C1641="","",$C1641&amp;"|"&amp;$E1641&amp;"|"&amp;$M1641&amp;"|"&amp;TEXT($G1641,"yyyy-mm-dd")&amp;"|"&amp;LEFT($J1641,40))</f>
        <v/>
      </c>
      <c r="Q1641" s="11" t="str">
        <f aca="false">IF(P1641="","",IF(COUNTIF($P$2:$P$3000,P1641)&gt;1,"DUPLICATE","OK"))</f>
        <v/>
      </c>
      <c r="R1641" s="0" t="str">
        <f aca="false">IF($C1641="","",IFERROR(VLOOKUP(--$C1641,MM_Income!$Z$5:$AC$204,3,FALSE()),""))</f>
        <v/>
      </c>
    </row>
    <row r="1642" customFormat="false" ht="13.5" hidden="false" customHeight="false" outlineLevel="0" collapsed="false">
      <c r="N1642" s="1" t="str">
        <f aca="false">IF(C1642="","",IFERROR(VLOOKUP(C1642,Master_Mappings!$A$4:$E$85,3,FALSE()),"UNMAPPED"))</f>
        <v/>
      </c>
      <c r="P1642" s="1" t="str">
        <f aca="false">IF($C1642="","",$C1642&amp;"|"&amp;$E1642&amp;"|"&amp;$M1642&amp;"|"&amp;TEXT($G1642,"yyyy-mm-dd")&amp;"|"&amp;LEFT($J1642,40))</f>
        <v/>
      </c>
      <c r="Q1642" s="11" t="str">
        <f aca="false">IF(P1642="","",IF(COUNTIF($P$2:$P$3000,P1642)&gt;1,"DUPLICATE","OK"))</f>
        <v/>
      </c>
      <c r="R1642" s="0" t="str">
        <f aca="false">IF($C1642="","",IFERROR(VLOOKUP(--$C1642,MM_Income!$Z$5:$AC$204,3,FALSE()),""))</f>
        <v/>
      </c>
    </row>
    <row r="1643" customFormat="false" ht="13.5" hidden="false" customHeight="false" outlineLevel="0" collapsed="false">
      <c r="N1643" s="1" t="str">
        <f aca="false">IF(C1643="","",IFERROR(VLOOKUP(C1643,Master_Mappings!$A$4:$E$85,3,FALSE()),"UNMAPPED"))</f>
        <v/>
      </c>
      <c r="P1643" s="1" t="str">
        <f aca="false">IF($C1643="","",$C1643&amp;"|"&amp;$E1643&amp;"|"&amp;$M1643&amp;"|"&amp;TEXT($G1643,"yyyy-mm-dd")&amp;"|"&amp;LEFT($J1643,40))</f>
        <v/>
      </c>
      <c r="Q1643" s="11" t="str">
        <f aca="false">IF(P1643="","",IF(COUNTIF($P$2:$P$3000,P1643)&gt;1,"DUPLICATE","OK"))</f>
        <v/>
      </c>
      <c r="R1643" s="0" t="str">
        <f aca="false">IF($C1643="","",IFERROR(VLOOKUP(--$C1643,MM_Income!$Z$5:$AC$204,3,FALSE()),""))</f>
        <v/>
      </c>
    </row>
    <row r="1644" customFormat="false" ht="13.5" hidden="false" customHeight="false" outlineLevel="0" collapsed="false">
      <c r="N1644" s="1" t="str">
        <f aca="false">IF(C1644="","",IFERROR(VLOOKUP(C1644,Master_Mappings!$A$4:$E$85,3,FALSE()),"UNMAPPED"))</f>
        <v/>
      </c>
      <c r="P1644" s="1" t="str">
        <f aca="false">IF($C1644="","",$C1644&amp;"|"&amp;$E1644&amp;"|"&amp;$M1644&amp;"|"&amp;TEXT($G1644,"yyyy-mm-dd")&amp;"|"&amp;LEFT($J1644,40))</f>
        <v/>
      </c>
      <c r="Q1644" s="11" t="str">
        <f aca="false">IF(P1644="","",IF(COUNTIF($P$2:$P$3000,P1644)&gt;1,"DUPLICATE","OK"))</f>
        <v/>
      </c>
      <c r="R1644" s="0" t="str">
        <f aca="false">IF($C1644="","",IFERROR(VLOOKUP(--$C1644,MM_Income!$Z$5:$AC$204,3,FALSE()),""))</f>
        <v/>
      </c>
    </row>
    <row r="1645" customFormat="false" ht="13.5" hidden="false" customHeight="false" outlineLevel="0" collapsed="false">
      <c r="N1645" s="1" t="str">
        <f aca="false">IF(C1645="","",IFERROR(VLOOKUP(C1645,Master_Mappings!$A$4:$E$85,3,FALSE()),"UNMAPPED"))</f>
        <v/>
      </c>
      <c r="P1645" s="1" t="str">
        <f aca="false">IF($C1645="","",$C1645&amp;"|"&amp;$E1645&amp;"|"&amp;$M1645&amp;"|"&amp;TEXT($G1645,"yyyy-mm-dd")&amp;"|"&amp;LEFT($J1645,40))</f>
        <v/>
      </c>
      <c r="Q1645" s="11" t="str">
        <f aca="false">IF(P1645="","",IF(COUNTIF($P$2:$P$3000,P1645)&gt;1,"DUPLICATE","OK"))</f>
        <v/>
      </c>
      <c r="R1645" s="0" t="str">
        <f aca="false">IF($C1645="","",IFERROR(VLOOKUP(--$C1645,MM_Income!$Z$5:$AC$204,3,FALSE()),""))</f>
        <v/>
      </c>
    </row>
    <row r="1646" customFormat="false" ht="13.5" hidden="false" customHeight="false" outlineLevel="0" collapsed="false">
      <c r="N1646" s="1" t="str">
        <f aca="false">IF(C1646="","",IFERROR(VLOOKUP(C1646,Master_Mappings!$A$4:$E$85,3,FALSE()),"UNMAPPED"))</f>
        <v/>
      </c>
      <c r="P1646" s="1" t="str">
        <f aca="false">IF($C1646="","",$C1646&amp;"|"&amp;$E1646&amp;"|"&amp;$M1646&amp;"|"&amp;TEXT($G1646,"yyyy-mm-dd")&amp;"|"&amp;LEFT($J1646,40))</f>
        <v/>
      </c>
      <c r="Q1646" s="11" t="str">
        <f aca="false">IF(P1646="","",IF(COUNTIF($P$2:$P$3000,P1646)&gt;1,"DUPLICATE","OK"))</f>
        <v/>
      </c>
      <c r="R1646" s="0" t="str">
        <f aca="false">IF($C1646="","",IFERROR(VLOOKUP(--$C1646,MM_Income!$Z$5:$AC$204,3,FALSE()),""))</f>
        <v/>
      </c>
    </row>
    <row r="1647" customFormat="false" ht="13.5" hidden="false" customHeight="false" outlineLevel="0" collapsed="false">
      <c r="N1647" s="1" t="str">
        <f aca="false">IF(C1647="","",IFERROR(VLOOKUP(C1647,Master_Mappings!$A$4:$E$85,3,FALSE()),"UNMAPPED"))</f>
        <v/>
      </c>
      <c r="P1647" s="1" t="str">
        <f aca="false">IF($C1647="","",$C1647&amp;"|"&amp;$E1647&amp;"|"&amp;$M1647&amp;"|"&amp;TEXT($G1647,"yyyy-mm-dd")&amp;"|"&amp;LEFT($J1647,40))</f>
        <v/>
      </c>
      <c r="Q1647" s="11" t="str">
        <f aca="false">IF(P1647="","",IF(COUNTIF($P$2:$P$3000,P1647)&gt;1,"DUPLICATE","OK"))</f>
        <v/>
      </c>
      <c r="R1647" s="0" t="str">
        <f aca="false">IF($C1647="","",IFERROR(VLOOKUP(--$C1647,MM_Income!$Z$5:$AC$204,3,FALSE()),""))</f>
        <v/>
      </c>
    </row>
    <row r="1648" customFormat="false" ht="13.5" hidden="false" customHeight="false" outlineLevel="0" collapsed="false">
      <c r="N1648" s="1" t="str">
        <f aca="false">IF(C1648="","",IFERROR(VLOOKUP(C1648,Master_Mappings!$A$4:$E$85,3,FALSE()),"UNMAPPED"))</f>
        <v/>
      </c>
      <c r="P1648" s="1" t="str">
        <f aca="false">IF($C1648="","",$C1648&amp;"|"&amp;$E1648&amp;"|"&amp;$M1648&amp;"|"&amp;TEXT($G1648,"yyyy-mm-dd")&amp;"|"&amp;LEFT($J1648,40))</f>
        <v/>
      </c>
      <c r="Q1648" s="11" t="str">
        <f aca="false">IF(P1648="","",IF(COUNTIF($P$2:$P$3000,P1648)&gt;1,"DUPLICATE","OK"))</f>
        <v/>
      </c>
      <c r="R1648" s="0" t="str">
        <f aca="false">IF($C1648="","",IFERROR(VLOOKUP(--$C1648,MM_Income!$Z$5:$AC$204,3,FALSE()),""))</f>
        <v/>
      </c>
    </row>
    <row r="1649" customFormat="false" ht="13.5" hidden="false" customHeight="false" outlineLevel="0" collapsed="false">
      <c r="N1649" s="1" t="str">
        <f aca="false">IF(C1649="","",IFERROR(VLOOKUP(C1649,Master_Mappings!$A$4:$E$85,3,FALSE()),"UNMAPPED"))</f>
        <v/>
      </c>
      <c r="P1649" s="1" t="str">
        <f aca="false">IF($C1649="","",$C1649&amp;"|"&amp;$E1649&amp;"|"&amp;$M1649&amp;"|"&amp;TEXT($G1649,"yyyy-mm-dd")&amp;"|"&amp;LEFT($J1649,40))</f>
        <v/>
      </c>
      <c r="Q1649" s="11" t="str">
        <f aca="false">IF(P1649="","",IF(COUNTIF($P$2:$P$3000,P1649)&gt;1,"DUPLICATE","OK"))</f>
        <v/>
      </c>
      <c r="R1649" s="0" t="str">
        <f aca="false">IF($C1649="","",IFERROR(VLOOKUP(--$C1649,MM_Income!$Z$5:$AC$204,3,FALSE()),""))</f>
        <v/>
      </c>
    </row>
    <row r="1650" customFormat="false" ht="13.5" hidden="false" customHeight="false" outlineLevel="0" collapsed="false">
      <c r="N1650" s="1" t="str">
        <f aca="false">IF(C1650="","",IFERROR(VLOOKUP(C1650,Master_Mappings!$A$4:$E$85,3,FALSE()),"UNMAPPED"))</f>
        <v/>
      </c>
      <c r="P1650" s="1" t="str">
        <f aca="false">IF($C1650="","",$C1650&amp;"|"&amp;$E1650&amp;"|"&amp;$M1650&amp;"|"&amp;TEXT($G1650,"yyyy-mm-dd")&amp;"|"&amp;LEFT($J1650,40))</f>
        <v/>
      </c>
      <c r="Q1650" s="11" t="str">
        <f aca="false">IF(P1650="","",IF(COUNTIF($P$2:$P$3000,P1650)&gt;1,"DUPLICATE","OK"))</f>
        <v/>
      </c>
      <c r="R1650" s="0" t="str">
        <f aca="false">IF($C1650="","",IFERROR(VLOOKUP(--$C1650,MM_Income!$Z$5:$AC$204,3,FALSE()),""))</f>
        <v/>
      </c>
    </row>
    <row r="1651" customFormat="false" ht="13.5" hidden="false" customHeight="false" outlineLevel="0" collapsed="false">
      <c r="N1651" s="1" t="str">
        <f aca="false">IF(C1651="","",IFERROR(VLOOKUP(C1651,Master_Mappings!$A$4:$E$85,3,FALSE()),"UNMAPPED"))</f>
        <v/>
      </c>
      <c r="P1651" s="1" t="str">
        <f aca="false">IF($C1651="","",$C1651&amp;"|"&amp;$E1651&amp;"|"&amp;$M1651&amp;"|"&amp;TEXT($G1651,"yyyy-mm-dd")&amp;"|"&amp;LEFT($J1651,40))</f>
        <v/>
      </c>
      <c r="Q1651" s="11" t="str">
        <f aca="false">IF(P1651="","",IF(COUNTIF($P$2:$P$3000,P1651)&gt;1,"DUPLICATE","OK"))</f>
        <v/>
      </c>
      <c r="R1651" s="0" t="str">
        <f aca="false">IF($C1651="","",IFERROR(VLOOKUP(--$C1651,MM_Income!$Z$5:$AC$204,3,FALSE()),""))</f>
        <v/>
      </c>
    </row>
    <row r="1652" customFormat="false" ht="13.5" hidden="false" customHeight="false" outlineLevel="0" collapsed="false">
      <c r="N1652" s="1" t="str">
        <f aca="false">IF(C1652="","",IFERROR(VLOOKUP(C1652,Master_Mappings!$A$4:$E$85,3,FALSE()),"UNMAPPED"))</f>
        <v/>
      </c>
      <c r="P1652" s="1" t="str">
        <f aca="false">IF($C1652="","",$C1652&amp;"|"&amp;$E1652&amp;"|"&amp;$M1652&amp;"|"&amp;TEXT($G1652,"yyyy-mm-dd")&amp;"|"&amp;LEFT($J1652,40))</f>
        <v/>
      </c>
      <c r="Q1652" s="11" t="str">
        <f aca="false">IF(P1652="","",IF(COUNTIF($P$2:$P$3000,P1652)&gt;1,"DUPLICATE","OK"))</f>
        <v/>
      </c>
      <c r="R1652" s="0" t="str">
        <f aca="false">IF($C1652="","",IFERROR(VLOOKUP(--$C1652,MM_Income!$Z$5:$AC$204,3,FALSE()),""))</f>
        <v/>
      </c>
    </row>
    <row r="1653" customFormat="false" ht="13.5" hidden="false" customHeight="false" outlineLevel="0" collapsed="false">
      <c r="N1653" s="1" t="str">
        <f aca="false">IF(C1653="","",IFERROR(VLOOKUP(C1653,Master_Mappings!$A$4:$E$85,3,FALSE()),"UNMAPPED"))</f>
        <v/>
      </c>
      <c r="P1653" s="1" t="str">
        <f aca="false">IF($C1653="","",$C1653&amp;"|"&amp;$E1653&amp;"|"&amp;$M1653&amp;"|"&amp;TEXT($G1653,"yyyy-mm-dd")&amp;"|"&amp;LEFT($J1653,40))</f>
        <v/>
      </c>
      <c r="Q1653" s="11" t="str">
        <f aca="false">IF(P1653="","",IF(COUNTIF($P$2:$P$3000,P1653)&gt;1,"DUPLICATE","OK"))</f>
        <v/>
      </c>
      <c r="R1653" s="0" t="str">
        <f aca="false">IF($C1653="","",IFERROR(VLOOKUP(--$C1653,MM_Income!$Z$5:$AC$204,3,FALSE()),""))</f>
        <v/>
      </c>
    </row>
    <row r="1654" customFormat="false" ht="13.5" hidden="false" customHeight="false" outlineLevel="0" collapsed="false">
      <c r="N1654" s="1" t="str">
        <f aca="false">IF(C1654="","",IFERROR(VLOOKUP(C1654,Master_Mappings!$A$4:$E$85,3,FALSE()),"UNMAPPED"))</f>
        <v/>
      </c>
      <c r="P1654" s="1" t="str">
        <f aca="false">IF($C1654="","",$C1654&amp;"|"&amp;$E1654&amp;"|"&amp;$M1654&amp;"|"&amp;TEXT($G1654,"yyyy-mm-dd")&amp;"|"&amp;LEFT($J1654,40))</f>
        <v/>
      </c>
      <c r="Q1654" s="11" t="str">
        <f aca="false">IF(P1654="","",IF(COUNTIF($P$2:$P$3000,P1654)&gt;1,"DUPLICATE","OK"))</f>
        <v/>
      </c>
      <c r="R1654" s="0" t="str">
        <f aca="false">IF($C1654="","",IFERROR(VLOOKUP(--$C1654,MM_Income!$Z$5:$AC$204,3,FALSE()),""))</f>
        <v/>
      </c>
    </row>
    <row r="1655" customFormat="false" ht="13.5" hidden="false" customHeight="false" outlineLevel="0" collapsed="false">
      <c r="N1655" s="1" t="str">
        <f aca="false">IF(C1655="","",IFERROR(VLOOKUP(C1655,Master_Mappings!$A$4:$E$85,3,FALSE()),"UNMAPPED"))</f>
        <v/>
      </c>
      <c r="P1655" s="1" t="str">
        <f aca="false">IF($C1655="","",$C1655&amp;"|"&amp;$E1655&amp;"|"&amp;$M1655&amp;"|"&amp;TEXT($G1655,"yyyy-mm-dd")&amp;"|"&amp;LEFT($J1655,40))</f>
        <v/>
      </c>
      <c r="Q1655" s="11" t="str">
        <f aca="false">IF(P1655="","",IF(COUNTIF($P$2:$P$3000,P1655)&gt;1,"DUPLICATE","OK"))</f>
        <v/>
      </c>
      <c r="R1655" s="0" t="str">
        <f aca="false">IF($C1655="","",IFERROR(VLOOKUP(--$C1655,MM_Income!$Z$5:$AC$204,3,FALSE()),""))</f>
        <v/>
      </c>
    </row>
    <row r="1656" customFormat="false" ht="13.5" hidden="false" customHeight="false" outlineLevel="0" collapsed="false">
      <c r="N1656" s="1" t="str">
        <f aca="false">IF(C1656="","",IFERROR(VLOOKUP(C1656,Master_Mappings!$A$4:$E$85,3,FALSE()),"UNMAPPED"))</f>
        <v/>
      </c>
      <c r="P1656" s="1" t="str">
        <f aca="false">IF($C1656="","",$C1656&amp;"|"&amp;$E1656&amp;"|"&amp;$M1656&amp;"|"&amp;TEXT($G1656,"yyyy-mm-dd")&amp;"|"&amp;LEFT($J1656,40))</f>
        <v/>
      </c>
      <c r="Q1656" s="11" t="str">
        <f aca="false">IF(P1656="","",IF(COUNTIF($P$2:$P$3000,P1656)&gt;1,"DUPLICATE","OK"))</f>
        <v/>
      </c>
      <c r="R1656" s="0" t="str">
        <f aca="false">IF($C1656="","",IFERROR(VLOOKUP(--$C1656,MM_Income!$Z$5:$AC$204,3,FALSE()),""))</f>
        <v/>
      </c>
    </row>
    <row r="1657" customFormat="false" ht="13.5" hidden="false" customHeight="false" outlineLevel="0" collapsed="false">
      <c r="N1657" s="1" t="str">
        <f aca="false">IF(C1657="","",IFERROR(VLOOKUP(C1657,Master_Mappings!$A$4:$E$85,3,FALSE()),"UNMAPPED"))</f>
        <v/>
      </c>
      <c r="P1657" s="1" t="str">
        <f aca="false">IF($C1657="","",$C1657&amp;"|"&amp;$E1657&amp;"|"&amp;$M1657&amp;"|"&amp;TEXT($G1657,"yyyy-mm-dd")&amp;"|"&amp;LEFT($J1657,40))</f>
        <v/>
      </c>
      <c r="Q1657" s="11" t="str">
        <f aca="false">IF(P1657="","",IF(COUNTIF($P$2:$P$3000,P1657)&gt;1,"DUPLICATE","OK"))</f>
        <v/>
      </c>
      <c r="R1657" s="0" t="str">
        <f aca="false">IF($C1657="","",IFERROR(VLOOKUP(--$C1657,MM_Income!$Z$5:$AC$204,3,FALSE()),""))</f>
        <v/>
      </c>
    </row>
    <row r="1658" customFormat="false" ht="13.5" hidden="false" customHeight="false" outlineLevel="0" collapsed="false">
      <c r="N1658" s="1" t="str">
        <f aca="false">IF(C1658="","",IFERROR(VLOOKUP(C1658,Master_Mappings!$A$4:$E$85,3,FALSE()),"UNMAPPED"))</f>
        <v/>
      </c>
      <c r="P1658" s="1" t="str">
        <f aca="false">IF($C1658="","",$C1658&amp;"|"&amp;$E1658&amp;"|"&amp;$M1658&amp;"|"&amp;TEXT($G1658,"yyyy-mm-dd")&amp;"|"&amp;LEFT($J1658,40))</f>
        <v/>
      </c>
      <c r="Q1658" s="11" t="str">
        <f aca="false">IF(P1658="","",IF(COUNTIF($P$2:$P$3000,P1658)&gt;1,"DUPLICATE","OK"))</f>
        <v/>
      </c>
      <c r="R1658" s="0" t="str">
        <f aca="false">IF($C1658="","",IFERROR(VLOOKUP(--$C1658,MM_Income!$Z$5:$AC$204,3,FALSE()),""))</f>
        <v/>
      </c>
    </row>
    <row r="1659" customFormat="false" ht="13.5" hidden="false" customHeight="false" outlineLevel="0" collapsed="false">
      <c r="N1659" s="1" t="str">
        <f aca="false">IF(C1659="","",IFERROR(VLOOKUP(C1659,Master_Mappings!$A$4:$E$85,3,FALSE()),"UNMAPPED"))</f>
        <v/>
      </c>
      <c r="P1659" s="1" t="str">
        <f aca="false">IF($C1659="","",$C1659&amp;"|"&amp;$E1659&amp;"|"&amp;$M1659&amp;"|"&amp;TEXT($G1659,"yyyy-mm-dd")&amp;"|"&amp;LEFT($J1659,40))</f>
        <v/>
      </c>
      <c r="Q1659" s="11" t="str">
        <f aca="false">IF(P1659="","",IF(COUNTIF($P$2:$P$3000,P1659)&gt;1,"DUPLICATE","OK"))</f>
        <v/>
      </c>
      <c r="R1659" s="0" t="str">
        <f aca="false">IF($C1659="","",IFERROR(VLOOKUP(--$C1659,MM_Income!$Z$5:$AC$204,3,FALSE()),""))</f>
        <v/>
      </c>
    </row>
    <row r="1660" customFormat="false" ht="13.5" hidden="false" customHeight="false" outlineLevel="0" collapsed="false">
      <c r="N1660" s="1" t="str">
        <f aca="false">IF(C1660="","",IFERROR(VLOOKUP(C1660,Master_Mappings!$A$4:$E$85,3,FALSE()),"UNMAPPED"))</f>
        <v/>
      </c>
      <c r="P1660" s="1" t="str">
        <f aca="false">IF($C1660="","",$C1660&amp;"|"&amp;$E1660&amp;"|"&amp;$M1660&amp;"|"&amp;TEXT($G1660,"yyyy-mm-dd")&amp;"|"&amp;LEFT($J1660,40))</f>
        <v/>
      </c>
      <c r="Q1660" s="11" t="str">
        <f aca="false">IF(P1660="","",IF(COUNTIF($P$2:$P$3000,P1660)&gt;1,"DUPLICATE","OK"))</f>
        <v/>
      </c>
      <c r="R1660" s="0" t="str">
        <f aca="false">IF($C1660="","",IFERROR(VLOOKUP(--$C1660,MM_Income!$Z$5:$AC$204,3,FALSE()),""))</f>
        <v/>
      </c>
    </row>
    <row r="1661" customFormat="false" ht="13.5" hidden="false" customHeight="false" outlineLevel="0" collapsed="false">
      <c r="N1661" s="1" t="str">
        <f aca="false">IF(C1661="","",IFERROR(VLOOKUP(C1661,Master_Mappings!$A$4:$E$85,3,FALSE()),"UNMAPPED"))</f>
        <v/>
      </c>
      <c r="P1661" s="1" t="str">
        <f aca="false">IF($C1661="","",$C1661&amp;"|"&amp;$E1661&amp;"|"&amp;$M1661&amp;"|"&amp;TEXT($G1661,"yyyy-mm-dd")&amp;"|"&amp;LEFT($J1661,40))</f>
        <v/>
      </c>
      <c r="Q1661" s="11" t="str">
        <f aca="false">IF(P1661="","",IF(COUNTIF($P$2:$P$3000,P1661)&gt;1,"DUPLICATE","OK"))</f>
        <v/>
      </c>
      <c r="R1661" s="0" t="str">
        <f aca="false">IF($C1661="","",IFERROR(VLOOKUP(--$C1661,MM_Income!$Z$5:$AC$204,3,FALSE()),""))</f>
        <v/>
      </c>
    </row>
    <row r="1662" customFormat="false" ht="13.5" hidden="false" customHeight="false" outlineLevel="0" collapsed="false">
      <c r="N1662" s="1" t="str">
        <f aca="false">IF(C1662="","",IFERROR(VLOOKUP(C1662,Master_Mappings!$A$4:$E$85,3,FALSE()),"UNMAPPED"))</f>
        <v/>
      </c>
      <c r="P1662" s="1" t="str">
        <f aca="false">IF($C1662="","",$C1662&amp;"|"&amp;$E1662&amp;"|"&amp;$M1662&amp;"|"&amp;TEXT($G1662,"yyyy-mm-dd")&amp;"|"&amp;LEFT($J1662,40))</f>
        <v/>
      </c>
      <c r="Q1662" s="11" t="str">
        <f aca="false">IF(P1662="","",IF(COUNTIF($P$2:$P$3000,P1662)&gt;1,"DUPLICATE","OK"))</f>
        <v/>
      </c>
      <c r="R1662" s="0" t="str">
        <f aca="false">IF($C1662="","",IFERROR(VLOOKUP(--$C1662,MM_Income!$Z$5:$AC$204,3,FALSE()),""))</f>
        <v/>
      </c>
    </row>
    <row r="1663" customFormat="false" ht="13.5" hidden="false" customHeight="false" outlineLevel="0" collapsed="false">
      <c r="N1663" s="1" t="str">
        <f aca="false">IF(C1663="","",IFERROR(VLOOKUP(C1663,Master_Mappings!$A$4:$E$85,3,FALSE()),"UNMAPPED"))</f>
        <v/>
      </c>
      <c r="P1663" s="1" t="str">
        <f aca="false">IF($C1663="","",$C1663&amp;"|"&amp;$E1663&amp;"|"&amp;$M1663&amp;"|"&amp;TEXT($G1663,"yyyy-mm-dd")&amp;"|"&amp;LEFT($J1663,40))</f>
        <v/>
      </c>
      <c r="Q1663" s="11" t="str">
        <f aca="false">IF(P1663="","",IF(COUNTIF($P$2:$P$3000,P1663)&gt;1,"DUPLICATE","OK"))</f>
        <v/>
      </c>
      <c r="R1663" s="0" t="str">
        <f aca="false">IF($C1663="","",IFERROR(VLOOKUP(--$C1663,MM_Income!$Z$5:$AC$204,3,FALSE()),""))</f>
        <v/>
      </c>
    </row>
    <row r="1664" customFormat="false" ht="13.5" hidden="false" customHeight="false" outlineLevel="0" collapsed="false">
      <c r="N1664" s="1" t="str">
        <f aca="false">IF(C1664="","",IFERROR(VLOOKUP(C1664,Master_Mappings!$A$4:$E$85,3,FALSE()),"UNMAPPED"))</f>
        <v/>
      </c>
      <c r="P1664" s="1" t="str">
        <f aca="false">IF($C1664="","",$C1664&amp;"|"&amp;$E1664&amp;"|"&amp;$M1664&amp;"|"&amp;TEXT($G1664,"yyyy-mm-dd")&amp;"|"&amp;LEFT($J1664,40))</f>
        <v/>
      </c>
      <c r="Q1664" s="11" t="str">
        <f aca="false">IF(P1664="","",IF(COUNTIF($P$2:$P$3000,P1664)&gt;1,"DUPLICATE","OK"))</f>
        <v/>
      </c>
      <c r="R1664" s="0" t="str">
        <f aca="false">IF($C1664="","",IFERROR(VLOOKUP(--$C1664,MM_Income!$Z$5:$AC$204,3,FALSE()),""))</f>
        <v/>
      </c>
    </row>
    <row r="1665" customFormat="false" ht="13.5" hidden="false" customHeight="false" outlineLevel="0" collapsed="false">
      <c r="N1665" s="1" t="str">
        <f aca="false">IF(C1665="","",IFERROR(VLOOKUP(C1665,Master_Mappings!$A$4:$E$85,3,FALSE()),"UNMAPPED"))</f>
        <v/>
      </c>
      <c r="P1665" s="1" t="str">
        <f aca="false">IF($C1665="","",$C1665&amp;"|"&amp;$E1665&amp;"|"&amp;$M1665&amp;"|"&amp;TEXT($G1665,"yyyy-mm-dd")&amp;"|"&amp;LEFT($J1665,40))</f>
        <v/>
      </c>
      <c r="Q1665" s="11" t="str">
        <f aca="false">IF(P1665="","",IF(COUNTIF($P$2:$P$3000,P1665)&gt;1,"DUPLICATE","OK"))</f>
        <v/>
      </c>
      <c r="R1665" s="0" t="str">
        <f aca="false">IF($C1665="","",IFERROR(VLOOKUP(--$C1665,MM_Income!$Z$5:$AC$204,3,FALSE()),""))</f>
        <v/>
      </c>
    </row>
    <row r="1666" customFormat="false" ht="13.5" hidden="false" customHeight="false" outlineLevel="0" collapsed="false">
      <c r="N1666" s="1" t="str">
        <f aca="false">IF(C1666="","",IFERROR(VLOOKUP(C1666,Master_Mappings!$A$4:$E$85,3,FALSE()),"UNMAPPED"))</f>
        <v/>
      </c>
      <c r="P1666" s="1" t="str">
        <f aca="false">IF($C1666="","",$C1666&amp;"|"&amp;$E1666&amp;"|"&amp;$M1666&amp;"|"&amp;TEXT($G1666,"yyyy-mm-dd")&amp;"|"&amp;LEFT($J1666,40))</f>
        <v/>
      </c>
      <c r="Q1666" s="11" t="str">
        <f aca="false">IF(P1666="","",IF(COUNTIF($P$2:$P$3000,P1666)&gt;1,"DUPLICATE","OK"))</f>
        <v/>
      </c>
      <c r="R1666" s="0" t="str">
        <f aca="false">IF($C1666="","",IFERROR(VLOOKUP(--$C1666,MM_Income!$Z$5:$AC$204,3,FALSE()),""))</f>
        <v/>
      </c>
    </row>
    <row r="1667" customFormat="false" ht="13.5" hidden="false" customHeight="false" outlineLevel="0" collapsed="false">
      <c r="N1667" s="1" t="str">
        <f aca="false">IF(C1667="","",IFERROR(VLOOKUP(C1667,Master_Mappings!$A$4:$E$85,3,FALSE()),"UNMAPPED"))</f>
        <v/>
      </c>
      <c r="P1667" s="1" t="str">
        <f aca="false">IF($C1667="","",$C1667&amp;"|"&amp;$E1667&amp;"|"&amp;$M1667&amp;"|"&amp;TEXT($G1667,"yyyy-mm-dd")&amp;"|"&amp;LEFT($J1667,40))</f>
        <v/>
      </c>
      <c r="Q1667" s="11" t="str">
        <f aca="false">IF(P1667="","",IF(COUNTIF($P$2:$P$3000,P1667)&gt;1,"DUPLICATE","OK"))</f>
        <v/>
      </c>
      <c r="R1667" s="0" t="str">
        <f aca="false">IF($C1667="","",IFERROR(VLOOKUP(--$C1667,MM_Income!$Z$5:$AC$204,3,FALSE()),""))</f>
        <v/>
      </c>
    </row>
    <row r="1668" customFormat="false" ht="13.5" hidden="false" customHeight="false" outlineLevel="0" collapsed="false">
      <c r="N1668" s="1" t="str">
        <f aca="false">IF(C1668="","",IFERROR(VLOOKUP(C1668,Master_Mappings!$A$4:$E$85,3,FALSE()),"UNMAPPED"))</f>
        <v/>
      </c>
      <c r="P1668" s="1" t="str">
        <f aca="false">IF($C1668="","",$C1668&amp;"|"&amp;$E1668&amp;"|"&amp;$M1668&amp;"|"&amp;TEXT($G1668,"yyyy-mm-dd")&amp;"|"&amp;LEFT($J1668,40))</f>
        <v/>
      </c>
      <c r="Q1668" s="11" t="str">
        <f aca="false">IF(P1668="","",IF(COUNTIF($P$2:$P$3000,P1668)&gt;1,"DUPLICATE","OK"))</f>
        <v/>
      </c>
      <c r="R1668" s="0" t="str">
        <f aca="false">IF($C1668="","",IFERROR(VLOOKUP(--$C1668,MM_Income!$Z$5:$AC$204,3,FALSE()),""))</f>
        <v/>
      </c>
    </row>
    <row r="1669" customFormat="false" ht="13.5" hidden="false" customHeight="false" outlineLevel="0" collapsed="false">
      <c r="N1669" s="1" t="str">
        <f aca="false">IF(C1669="","",IFERROR(VLOOKUP(C1669,Master_Mappings!$A$4:$E$85,3,FALSE()),"UNMAPPED"))</f>
        <v/>
      </c>
      <c r="P1669" s="1" t="str">
        <f aca="false">IF($C1669="","",$C1669&amp;"|"&amp;$E1669&amp;"|"&amp;$M1669&amp;"|"&amp;TEXT($G1669,"yyyy-mm-dd")&amp;"|"&amp;LEFT($J1669,40))</f>
        <v/>
      </c>
      <c r="Q1669" s="11" t="str">
        <f aca="false">IF(P1669="","",IF(COUNTIF($P$2:$P$3000,P1669)&gt;1,"DUPLICATE","OK"))</f>
        <v/>
      </c>
      <c r="R1669" s="0" t="str">
        <f aca="false">IF($C1669="","",IFERROR(VLOOKUP(--$C1669,MM_Income!$Z$5:$AC$204,3,FALSE()),""))</f>
        <v/>
      </c>
    </row>
    <row r="1670" customFormat="false" ht="13.5" hidden="false" customHeight="false" outlineLevel="0" collapsed="false">
      <c r="N1670" s="1" t="str">
        <f aca="false">IF(C1670="","",IFERROR(VLOOKUP(C1670,Master_Mappings!$A$4:$E$85,3,FALSE()),"UNMAPPED"))</f>
        <v/>
      </c>
      <c r="P1670" s="1" t="str">
        <f aca="false">IF($C1670="","",$C1670&amp;"|"&amp;$E1670&amp;"|"&amp;$M1670&amp;"|"&amp;TEXT($G1670,"yyyy-mm-dd")&amp;"|"&amp;LEFT($J1670,40))</f>
        <v/>
      </c>
      <c r="Q1670" s="11" t="str">
        <f aca="false">IF(P1670="","",IF(COUNTIF($P$2:$P$3000,P1670)&gt;1,"DUPLICATE","OK"))</f>
        <v/>
      </c>
      <c r="R1670" s="0" t="str">
        <f aca="false">IF($C1670="","",IFERROR(VLOOKUP(--$C1670,MM_Income!$Z$5:$AC$204,3,FALSE()),""))</f>
        <v/>
      </c>
    </row>
    <row r="1671" customFormat="false" ht="13.5" hidden="false" customHeight="false" outlineLevel="0" collapsed="false">
      <c r="N1671" s="1" t="str">
        <f aca="false">IF(C1671="","",IFERROR(VLOOKUP(C1671,Master_Mappings!$A$4:$E$85,3,FALSE()),"UNMAPPED"))</f>
        <v/>
      </c>
      <c r="P1671" s="1" t="str">
        <f aca="false">IF($C1671="","",$C1671&amp;"|"&amp;$E1671&amp;"|"&amp;$M1671&amp;"|"&amp;TEXT($G1671,"yyyy-mm-dd")&amp;"|"&amp;LEFT($J1671,40))</f>
        <v/>
      </c>
      <c r="Q1671" s="11" t="str">
        <f aca="false">IF(P1671="","",IF(COUNTIF($P$2:$P$3000,P1671)&gt;1,"DUPLICATE","OK"))</f>
        <v/>
      </c>
      <c r="R1671" s="0" t="str">
        <f aca="false">IF($C1671="","",IFERROR(VLOOKUP(--$C1671,MM_Income!$Z$5:$AC$204,3,FALSE()),""))</f>
        <v/>
      </c>
    </row>
    <row r="1672" customFormat="false" ht="13.5" hidden="false" customHeight="false" outlineLevel="0" collapsed="false">
      <c r="N1672" s="1" t="str">
        <f aca="false">IF(C1672="","",IFERROR(VLOOKUP(C1672,Master_Mappings!$A$4:$E$85,3,FALSE()),"UNMAPPED"))</f>
        <v/>
      </c>
      <c r="P1672" s="1" t="str">
        <f aca="false">IF($C1672="","",$C1672&amp;"|"&amp;$E1672&amp;"|"&amp;$M1672&amp;"|"&amp;TEXT($G1672,"yyyy-mm-dd")&amp;"|"&amp;LEFT($J1672,40))</f>
        <v/>
      </c>
      <c r="Q1672" s="11" t="str">
        <f aca="false">IF(P1672="","",IF(COUNTIF($P$2:$P$3000,P1672)&gt;1,"DUPLICATE","OK"))</f>
        <v/>
      </c>
      <c r="R1672" s="0" t="str">
        <f aca="false">IF($C1672="","",IFERROR(VLOOKUP(--$C1672,MM_Income!$Z$5:$AC$204,3,FALSE()),""))</f>
        <v/>
      </c>
    </row>
    <row r="1673" customFormat="false" ht="13.5" hidden="false" customHeight="false" outlineLevel="0" collapsed="false">
      <c r="N1673" s="1" t="str">
        <f aca="false">IF(C1673="","",IFERROR(VLOOKUP(C1673,Master_Mappings!$A$4:$E$85,3,FALSE()),"UNMAPPED"))</f>
        <v/>
      </c>
      <c r="P1673" s="1" t="str">
        <f aca="false">IF($C1673="","",$C1673&amp;"|"&amp;$E1673&amp;"|"&amp;$M1673&amp;"|"&amp;TEXT($G1673,"yyyy-mm-dd")&amp;"|"&amp;LEFT($J1673,40))</f>
        <v/>
      </c>
      <c r="Q1673" s="11" t="str">
        <f aca="false">IF(P1673="","",IF(COUNTIF($P$2:$P$3000,P1673)&gt;1,"DUPLICATE","OK"))</f>
        <v/>
      </c>
      <c r="R1673" s="0" t="str">
        <f aca="false">IF($C1673="","",IFERROR(VLOOKUP(--$C1673,MM_Income!$Z$5:$AC$204,3,FALSE()),""))</f>
        <v/>
      </c>
    </row>
    <row r="1674" customFormat="false" ht="13.5" hidden="false" customHeight="false" outlineLevel="0" collapsed="false">
      <c r="N1674" s="1" t="str">
        <f aca="false">IF(C1674="","",IFERROR(VLOOKUP(C1674,Master_Mappings!$A$4:$E$85,3,FALSE()),"UNMAPPED"))</f>
        <v/>
      </c>
      <c r="P1674" s="1" t="str">
        <f aca="false">IF($C1674="","",$C1674&amp;"|"&amp;$E1674&amp;"|"&amp;$M1674&amp;"|"&amp;TEXT($G1674,"yyyy-mm-dd")&amp;"|"&amp;LEFT($J1674,40))</f>
        <v/>
      </c>
      <c r="Q1674" s="11" t="str">
        <f aca="false">IF(P1674="","",IF(COUNTIF($P$2:$P$3000,P1674)&gt;1,"DUPLICATE","OK"))</f>
        <v/>
      </c>
      <c r="R1674" s="0" t="str">
        <f aca="false">IF($C1674="","",IFERROR(VLOOKUP(--$C1674,MM_Income!$Z$5:$AC$204,3,FALSE()),""))</f>
        <v/>
      </c>
    </row>
    <row r="1675" customFormat="false" ht="13.5" hidden="false" customHeight="false" outlineLevel="0" collapsed="false">
      <c r="N1675" s="1" t="str">
        <f aca="false">IF(C1675="","",IFERROR(VLOOKUP(C1675,Master_Mappings!$A$4:$E$85,3,FALSE()),"UNMAPPED"))</f>
        <v/>
      </c>
      <c r="P1675" s="1" t="str">
        <f aca="false">IF($C1675="","",$C1675&amp;"|"&amp;$E1675&amp;"|"&amp;$M1675&amp;"|"&amp;TEXT($G1675,"yyyy-mm-dd")&amp;"|"&amp;LEFT($J1675,40))</f>
        <v/>
      </c>
      <c r="Q1675" s="11" t="str">
        <f aca="false">IF(P1675="","",IF(COUNTIF($P$2:$P$3000,P1675)&gt;1,"DUPLICATE","OK"))</f>
        <v/>
      </c>
      <c r="R1675" s="0" t="str">
        <f aca="false">IF($C1675="","",IFERROR(VLOOKUP(--$C1675,MM_Income!$Z$5:$AC$204,3,FALSE()),""))</f>
        <v/>
      </c>
    </row>
    <row r="1676" customFormat="false" ht="13.5" hidden="false" customHeight="false" outlineLevel="0" collapsed="false">
      <c r="N1676" s="1" t="str">
        <f aca="false">IF(C1676="","",IFERROR(VLOOKUP(C1676,Master_Mappings!$A$4:$E$85,3,FALSE()),"UNMAPPED"))</f>
        <v/>
      </c>
      <c r="P1676" s="1" t="str">
        <f aca="false">IF($C1676="","",$C1676&amp;"|"&amp;$E1676&amp;"|"&amp;$M1676&amp;"|"&amp;TEXT($G1676,"yyyy-mm-dd")&amp;"|"&amp;LEFT($J1676,40))</f>
        <v/>
      </c>
      <c r="Q1676" s="11" t="str">
        <f aca="false">IF(P1676="","",IF(COUNTIF($P$2:$P$3000,P1676)&gt;1,"DUPLICATE","OK"))</f>
        <v/>
      </c>
      <c r="R1676" s="0" t="str">
        <f aca="false">IF($C1676="","",IFERROR(VLOOKUP(--$C1676,MM_Income!$Z$5:$AC$204,3,FALSE()),""))</f>
        <v/>
      </c>
    </row>
    <row r="1677" customFormat="false" ht="13.5" hidden="false" customHeight="false" outlineLevel="0" collapsed="false">
      <c r="N1677" s="1" t="str">
        <f aca="false">IF(C1677="","",IFERROR(VLOOKUP(C1677,Master_Mappings!$A$4:$E$85,3,FALSE()),"UNMAPPED"))</f>
        <v/>
      </c>
      <c r="P1677" s="1" t="str">
        <f aca="false">IF($C1677="","",$C1677&amp;"|"&amp;$E1677&amp;"|"&amp;$M1677&amp;"|"&amp;TEXT($G1677,"yyyy-mm-dd")&amp;"|"&amp;LEFT($J1677,40))</f>
        <v/>
      </c>
      <c r="Q1677" s="11" t="str">
        <f aca="false">IF(P1677="","",IF(COUNTIF($P$2:$P$3000,P1677)&gt;1,"DUPLICATE","OK"))</f>
        <v/>
      </c>
      <c r="R1677" s="0" t="str">
        <f aca="false">IF($C1677="","",IFERROR(VLOOKUP(--$C1677,MM_Income!$Z$5:$AC$204,3,FALSE()),""))</f>
        <v/>
      </c>
    </row>
    <row r="1678" customFormat="false" ht="13.5" hidden="false" customHeight="false" outlineLevel="0" collapsed="false">
      <c r="N1678" s="1" t="str">
        <f aca="false">IF(C1678="","",IFERROR(VLOOKUP(C1678,Master_Mappings!$A$4:$E$85,3,FALSE()),"UNMAPPED"))</f>
        <v/>
      </c>
      <c r="P1678" s="1" t="str">
        <f aca="false">IF($C1678="","",$C1678&amp;"|"&amp;$E1678&amp;"|"&amp;$M1678&amp;"|"&amp;TEXT($G1678,"yyyy-mm-dd")&amp;"|"&amp;LEFT($J1678,40))</f>
        <v/>
      </c>
      <c r="Q1678" s="11" t="str">
        <f aca="false">IF(P1678="","",IF(COUNTIF($P$2:$P$3000,P1678)&gt;1,"DUPLICATE","OK"))</f>
        <v/>
      </c>
      <c r="R1678" s="0" t="str">
        <f aca="false">IF($C1678="","",IFERROR(VLOOKUP(--$C1678,MM_Income!$Z$5:$AC$204,3,FALSE()),""))</f>
        <v/>
      </c>
    </row>
    <row r="1679" customFormat="false" ht="13.5" hidden="false" customHeight="false" outlineLevel="0" collapsed="false">
      <c r="N1679" s="1" t="str">
        <f aca="false">IF(C1679="","",IFERROR(VLOOKUP(C1679,Master_Mappings!$A$4:$E$85,3,FALSE()),"UNMAPPED"))</f>
        <v/>
      </c>
      <c r="P1679" s="1" t="str">
        <f aca="false">IF($C1679="","",$C1679&amp;"|"&amp;$E1679&amp;"|"&amp;$M1679&amp;"|"&amp;TEXT($G1679,"yyyy-mm-dd")&amp;"|"&amp;LEFT($J1679,40))</f>
        <v/>
      </c>
      <c r="Q1679" s="11" t="str">
        <f aca="false">IF(P1679="","",IF(COUNTIF($P$2:$P$3000,P1679)&gt;1,"DUPLICATE","OK"))</f>
        <v/>
      </c>
      <c r="R1679" s="0" t="str">
        <f aca="false">IF($C1679="","",IFERROR(VLOOKUP(--$C1679,MM_Income!$Z$5:$AC$204,3,FALSE()),""))</f>
        <v/>
      </c>
    </row>
    <row r="1680" customFormat="false" ht="13.5" hidden="false" customHeight="false" outlineLevel="0" collapsed="false">
      <c r="N1680" s="1" t="str">
        <f aca="false">IF(C1680="","",IFERROR(VLOOKUP(C1680,Master_Mappings!$A$4:$E$85,3,FALSE()),"UNMAPPED"))</f>
        <v/>
      </c>
      <c r="P1680" s="1" t="str">
        <f aca="false">IF($C1680="","",$C1680&amp;"|"&amp;$E1680&amp;"|"&amp;$M1680&amp;"|"&amp;TEXT($G1680,"yyyy-mm-dd")&amp;"|"&amp;LEFT($J1680,40))</f>
        <v/>
      </c>
      <c r="Q1680" s="11" t="str">
        <f aca="false">IF(P1680="","",IF(COUNTIF($P$2:$P$3000,P1680)&gt;1,"DUPLICATE","OK"))</f>
        <v/>
      </c>
      <c r="R1680" s="0" t="str">
        <f aca="false">IF($C1680="","",IFERROR(VLOOKUP(--$C1680,MM_Income!$Z$5:$AC$204,3,FALSE()),""))</f>
        <v/>
      </c>
    </row>
    <row r="1681" customFormat="false" ht="13.5" hidden="false" customHeight="false" outlineLevel="0" collapsed="false">
      <c r="N1681" s="1" t="str">
        <f aca="false">IF(C1681="","",IFERROR(VLOOKUP(C1681,Master_Mappings!$A$4:$E$85,3,FALSE()),"UNMAPPED"))</f>
        <v/>
      </c>
      <c r="P1681" s="1" t="str">
        <f aca="false">IF($C1681="","",$C1681&amp;"|"&amp;$E1681&amp;"|"&amp;$M1681&amp;"|"&amp;TEXT($G1681,"yyyy-mm-dd")&amp;"|"&amp;LEFT($J1681,40))</f>
        <v/>
      </c>
      <c r="Q1681" s="11" t="str">
        <f aca="false">IF(P1681="","",IF(COUNTIF($P$2:$P$3000,P1681)&gt;1,"DUPLICATE","OK"))</f>
        <v/>
      </c>
      <c r="R1681" s="0" t="str">
        <f aca="false">IF($C1681="","",IFERROR(VLOOKUP(--$C1681,MM_Income!$Z$5:$AC$204,3,FALSE()),""))</f>
        <v/>
      </c>
    </row>
    <row r="1682" customFormat="false" ht="13.5" hidden="false" customHeight="false" outlineLevel="0" collapsed="false">
      <c r="N1682" s="1" t="str">
        <f aca="false">IF(C1682="","",IFERROR(VLOOKUP(C1682,Master_Mappings!$A$4:$E$85,3,FALSE()),"UNMAPPED"))</f>
        <v/>
      </c>
      <c r="P1682" s="1" t="str">
        <f aca="false">IF($C1682="","",$C1682&amp;"|"&amp;$E1682&amp;"|"&amp;$M1682&amp;"|"&amp;TEXT($G1682,"yyyy-mm-dd")&amp;"|"&amp;LEFT($J1682,40))</f>
        <v/>
      </c>
      <c r="Q1682" s="11" t="str">
        <f aca="false">IF(P1682="","",IF(COUNTIF($P$2:$P$3000,P1682)&gt;1,"DUPLICATE","OK"))</f>
        <v/>
      </c>
      <c r="R1682" s="0" t="str">
        <f aca="false">IF($C1682="","",IFERROR(VLOOKUP(--$C1682,MM_Income!$Z$5:$AC$204,3,FALSE()),""))</f>
        <v/>
      </c>
    </row>
    <row r="1683" customFormat="false" ht="13.5" hidden="false" customHeight="false" outlineLevel="0" collapsed="false">
      <c r="N1683" s="1" t="str">
        <f aca="false">IF(C1683="","",IFERROR(VLOOKUP(C1683,Master_Mappings!$A$4:$E$85,3,FALSE()),"UNMAPPED"))</f>
        <v/>
      </c>
      <c r="P1683" s="1" t="str">
        <f aca="false">IF($C1683="","",$C1683&amp;"|"&amp;$E1683&amp;"|"&amp;$M1683&amp;"|"&amp;TEXT($G1683,"yyyy-mm-dd")&amp;"|"&amp;LEFT($J1683,40))</f>
        <v/>
      </c>
      <c r="Q1683" s="11" t="str">
        <f aca="false">IF(P1683="","",IF(COUNTIF($P$2:$P$3000,P1683)&gt;1,"DUPLICATE","OK"))</f>
        <v/>
      </c>
      <c r="R1683" s="0" t="str">
        <f aca="false">IF($C1683="","",IFERROR(VLOOKUP(--$C1683,MM_Income!$Z$5:$AC$204,3,FALSE()),""))</f>
        <v/>
      </c>
    </row>
    <row r="1684" customFormat="false" ht="13.5" hidden="false" customHeight="false" outlineLevel="0" collapsed="false">
      <c r="N1684" s="1" t="str">
        <f aca="false">IF(C1684="","",IFERROR(VLOOKUP(C1684,Master_Mappings!$A$4:$E$85,3,FALSE()),"UNMAPPED"))</f>
        <v/>
      </c>
      <c r="P1684" s="1" t="str">
        <f aca="false">IF($C1684="","",$C1684&amp;"|"&amp;$E1684&amp;"|"&amp;$M1684&amp;"|"&amp;TEXT($G1684,"yyyy-mm-dd")&amp;"|"&amp;LEFT($J1684,40))</f>
        <v/>
      </c>
      <c r="Q1684" s="11" t="str">
        <f aca="false">IF(P1684="","",IF(COUNTIF($P$2:$P$3000,P1684)&gt;1,"DUPLICATE","OK"))</f>
        <v/>
      </c>
      <c r="R1684" s="0" t="str">
        <f aca="false">IF($C1684="","",IFERROR(VLOOKUP(--$C1684,MM_Income!$Z$5:$AC$204,3,FALSE()),""))</f>
        <v/>
      </c>
    </row>
    <row r="1685" customFormat="false" ht="13.5" hidden="false" customHeight="false" outlineLevel="0" collapsed="false">
      <c r="N1685" s="1" t="str">
        <f aca="false">IF(C1685="","",IFERROR(VLOOKUP(C1685,Master_Mappings!$A$4:$E$85,3,FALSE()),"UNMAPPED"))</f>
        <v/>
      </c>
      <c r="P1685" s="1" t="str">
        <f aca="false">IF($C1685="","",$C1685&amp;"|"&amp;$E1685&amp;"|"&amp;$M1685&amp;"|"&amp;TEXT($G1685,"yyyy-mm-dd")&amp;"|"&amp;LEFT($J1685,40))</f>
        <v/>
      </c>
      <c r="Q1685" s="11" t="str">
        <f aca="false">IF(P1685="","",IF(COUNTIF($P$2:$P$3000,P1685)&gt;1,"DUPLICATE","OK"))</f>
        <v/>
      </c>
      <c r="R1685" s="0" t="str">
        <f aca="false">IF($C1685="","",IFERROR(VLOOKUP(--$C1685,MM_Income!$Z$5:$AC$204,3,FALSE()),""))</f>
        <v/>
      </c>
    </row>
    <row r="1686" customFormat="false" ht="13.5" hidden="false" customHeight="false" outlineLevel="0" collapsed="false">
      <c r="N1686" s="1" t="str">
        <f aca="false">IF(C1686="","",IFERROR(VLOOKUP(C1686,Master_Mappings!$A$4:$E$85,3,FALSE()),"UNMAPPED"))</f>
        <v/>
      </c>
      <c r="P1686" s="1" t="str">
        <f aca="false">IF($C1686="","",$C1686&amp;"|"&amp;$E1686&amp;"|"&amp;$M1686&amp;"|"&amp;TEXT($G1686,"yyyy-mm-dd")&amp;"|"&amp;LEFT($J1686,40))</f>
        <v/>
      </c>
      <c r="Q1686" s="11" t="str">
        <f aca="false">IF(P1686="","",IF(COUNTIF($P$2:$P$3000,P1686)&gt;1,"DUPLICATE","OK"))</f>
        <v/>
      </c>
      <c r="R1686" s="0" t="str">
        <f aca="false">IF($C1686="","",IFERROR(VLOOKUP(--$C1686,MM_Income!$Z$5:$AC$204,3,FALSE()),""))</f>
        <v/>
      </c>
    </row>
    <row r="1687" customFormat="false" ht="13.5" hidden="false" customHeight="false" outlineLevel="0" collapsed="false">
      <c r="N1687" s="1" t="str">
        <f aca="false">IF(C1687="","",IFERROR(VLOOKUP(C1687,Master_Mappings!$A$4:$E$85,3,FALSE()),"UNMAPPED"))</f>
        <v/>
      </c>
      <c r="P1687" s="1" t="str">
        <f aca="false">IF($C1687="","",$C1687&amp;"|"&amp;$E1687&amp;"|"&amp;$M1687&amp;"|"&amp;TEXT($G1687,"yyyy-mm-dd")&amp;"|"&amp;LEFT($J1687,40))</f>
        <v/>
      </c>
      <c r="Q1687" s="11" t="str">
        <f aca="false">IF(P1687="","",IF(COUNTIF($P$2:$P$3000,P1687)&gt;1,"DUPLICATE","OK"))</f>
        <v/>
      </c>
      <c r="R1687" s="0" t="str">
        <f aca="false">IF($C1687="","",IFERROR(VLOOKUP(--$C1687,MM_Income!$Z$5:$AC$204,3,FALSE()),""))</f>
        <v/>
      </c>
    </row>
    <row r="1688" customFormat="false" ht="13.5" hidden="false" customHeight="false" outlineLevel="0" collapsed="false">
      <c r="N1688" s="1" t="str">
        <f aca="false">IF(C1688="","",IFERROR(VLOOKUP(C1688,Master_Mappings!$A$4:$E$85,3,FALSE()),"UNMAPPED"))</f>
        <v/>
      </c>
      <c r="P1688" s="1" t="str">
        <f aca="false">IF($C1688="","",$C1688&amp;"|"&amp;$E1688&amp;"|"&amp;$M1688&amp;"|"&amp;TEXT($G1688,"yyyy-mm-dd")&amp;"|"&amp;LEFT($J1688,40))</f>
        <v/>
      </c>
      <c r="Q1688" s="11" t="str">
        <f aca="false">IF(P1688="","",IF(COUNTIF($P$2:$P$3000,P1688)&gt;1,"DUPLICATE","OK"))</f>
        <v/>
      </c>
      <c r="R1688" s="0" t="str">
        <f aca="false">IF($C1688="","",IFERROR(VLOOKUP(--$C1688,MM_Income!$Z$5:$AC$204,3,FALSE()),""))</f>
        <v/>
      </c>
    </row>
    <row r="1689" customFormat="false" ht="13.5" hidden="false" customHeight="false" outlineLevel="0" collapsed="false">
      <c r="N1689" s="1" t="str">
        <f aca="false">IF(C1689="","",IFERROR(VLOOKUP(C1689,Master_Mappings!$A$4:$E$85,3,FALSE()),"UNMAPPED"))</f>
        <v/>
      </c>
      <c r="P1689" s="1" t="str">
        <f aca="false">IF($C1689="","",$C1689&amp;"|"&amp;$E1689&amp;"|"&amp;$M1689&amp;"|"&amp;TEXT($G1689,"yyyy-mm-dd")&amp;"|"&amp;LEFT($J1689,40))</f>
        <v/>
      </c>
      <c r="Q1689" s="11" t="str">
        <f aca="false">IF(P1689="","",IF(COUNTIF($P$2:$P$3000,P1689)&gt;1,"DUPLICATE","OK"))</f>
        <v/>
      </c>
      <c r="R1689" s="0" t="str">
        <f aca="false">IF($C1689="","",IFERROR(VLOOKUP(--$C1689,MM_Income!$Z$5:$AC$204,3,FALSE()),""))</f>
        <v/>
      </c>
    </row>
    <row r="1690" customFormat="false" ht="13.5" hidden="false" customHeight="false" outlineLevel="0" collapsed="false">
      <c r="N1690" s="1" t="str">
        <f aca="false">IF(C1690="","",IFERROR(VLOOKUP(C1690,Master_Mappings!$A$4:$E$85,3,FALSE()),"UNMAPPED"))</f>
        <v/>
      </c>
      <c r="P1690" s="1" t="str">
        <f aca="false">IF($C1690="","",$C1690&amp;"|"&amp;$E1690&amp;"|"&amp;$M1690&amp;"|"&amp;TEXT($G1690,"yyyy-mm-dd")&amp;"|"&amp;LEFT($J1690,40))</f>
        <v/>
      </c>
      <c r="Q1690" s="11" t="str">
        <f aca="false">IF(P1690="","",IF(COUNTIF($P$2:$P$3000,P1690)&gt;1,"DUPLICATE","OK"))</f>
        <v/>
      </c>
      <c r="R1690" s="0" t="str">
        <f aca="false">IF($C1690="","",IFERROR(VLOOKUP(--$C1690,MM_Income!$Z$5:$AC$204,3,FALSE()),""))</f>
        <v/>
      </c>
    </row>
    <row r="1691" customFormat="false" ht="13.5" hidden="false" customHeight="false" outlineLevel="0" collapsed="false">
      <c r="N1691" s="1" t="str">
        <f aca="false">IF(C1691="","",IFERROR(VLOOKUP(C1691,Master_Mappings!$A$4:$E$85,3,FALSE()),"UNMAPPED"))</f>
        <v/>
      </c>
      <c r="P1691" s="1" t="str">
        <f aca="false">IF($C1691="","",$C1691&amp;"|"&amp;$E1691&amp;"|"&amp;$M1691&amp;"|"&amp;TEXT($G1691,"yyyy-mm-dd")&amp;"|"&amp;LEFT($J1691,40))</f>
        <v/>
      </c>
      <c r="Q1691" s="11" t="str">
        <f aca="false">IF(P1691="","",IF(COUNTIF($P$2:$P$3000,P1691)&gt;1,"DUPLICATE","OK"))</f>
        <v/>
      </c>
      <c r="R1691" s="0" t="str">
        <f aca="false">IF($C1691="","",IFERROR(VLOOKUP(--$C1691,MM_Income!$Z$5:$AC$204,3,FALSE()),""))</f>
        <v/>
      </c>
    </row>
    <row r="1692" customFormat="false" ht="13.5" hidden="false" customHeight="false" outlineLevel="0" collapsed="false">
      <c r="N1692" s="1" t="str">
        <f aca="false">IF(C1692="","",IFERROR(VLOOKUP(C1692,Master_Mappings!$A$4:$E$85,3,FALSE()),"UNMAPPED"))</f>
        <v/>
      </c>
      <c r="P1692" s="1" t="str">
        <f aca="false">IF($C1692="","",$C1692&amp;"|"&amp;$E1692&amp;"|"&amp;$M1692&amp;"|"&amp;TEXT($G1692,"yyyy-mm-dd")&amp;"|"&amp;LEFT($J1692,40))</f>
        <v/>
      </c>
      <c r="Q1692" s="11" t="str">
        <f aca="false">IF(P1692="","",IF(COUNTIF($P$2:$P$3000,P1692)&gt;1,"DUPLICATE","OK"))</f>
        <v/>
      </c>
      <c r="R1692" s="0" t="str">
        <f aca="false">IF($C1692="","",IFERROR(VLOOKUP(--$C1692,MM_Income!$Z$5:$AC$204,3,FALSE()),""))</f>
        <v/>
      </c>
    </row>
    <row r="1693" customFormat="false" ht="13.5" hidden="false" customHeight="false" outlineLevel="0" collapsed="false">
      <c r="N1693" s="1" t="str">
        <f aca="false">IF(C1693="","",IFERROR(VLOOKUP(C1693,Master_Mappings!$A$4:$E$85,3,FALSE()),"UNMAPPED"))</f>
        <v/>
      </c>
      <c r="P1693" s="1" t="str">
        <f aca="false">IF($C1693="","",$C1693&amp;"|"&amp;$E1693&amp;"|"&amp;$M1693&amp;"|"&amp;TEXT($G1693,"yyyy-mm-dd")&amp;"|"&amp;LEFT($J1693,40))</f>
        <v/>
      </c>
      <c r="Q1693" s="11" t="str">
        <f aca="false">IF(P1693="","",IF(COUNTIF($P$2:$P$3000,P1693)&gt;1,"DUPLICATE","OK"))</f>
        <v/>
      </c>
      <c r="R1693" s="0" t="str">
        <f aca="false">IF($C1693="","",IFERROR(VLOOKUP(--$C1693,MM_Income!$Z$5:$AC$204,3,FALSE()),""))</f>
        <v/>
      </c>
    </row>
    <row r="1694" customFormat="false" ht="13.5" hidden="false" customHeight="false" outlineLevel="0" collapsed="false">
      <c r="N1694" s="1" t="str">
        <f aca="false">IF(C1694="","",IFERROR(VLOOKUP(C1694,Master_Mappings!$A$4:$E$85,3,FALSE()),"UNMAPPED"))</f>
        <v/>
      </c>
      <c r="P1694" s="1" t="str">
        <f aca="false">IF($C1694="","",$C1694&amp;"|"&amp;$E1694&amp;"|"&amp;$M1694&amp;"|"&amp;TEXT($G1694,"yyyy-mm-dd")&amp;"|"&amp;LEFT($J1694,40))</f>
        <v/>
      </c>
      <c r="Q1694" s="11" t="str">
        <f aca="false">IF(P1694="","",IF(COUNTIF($P$2:$P$3000,P1694)&gt;1,"DUPLICATE","OK"))</f>
        <v/>
      </c>
      <c r="R1694" s="0" t="str">
        <f aca="false">IF($C1694="","",IFERROR(VLOOKUP(--$C1694,MM_Income!$Z$5:$AC$204,3,FALSE()),""))</f>
        <v/>
      </c>
    </row>
    <row r="1695" customFormat="false" ht="13.5" hidden="false" customHeight="false" outlineLevel="0" collapsed="false">
      <c r="N1695" s="1" t="str">
        <f aca="false">IF(C1695="","",IFERROR(VLOOKUP(C1695,Master_Mappings!$A$4:$E$85,3,FALSE()),"UNMAPPED"))</f>
        <v/>
      </c>
      <c r="P1695" s="1" t="str">
        <f aca="false">IF($C1695="","",$C1695&amp;"|"&amp;$E1695&amp;"|"&amp;$M1695&amp;"|"&amp;TEXT($G1695,"yyyy-mm-dd")&amp;"|"&amp;LEFT($J1695,40))</f>
        <v/>
      </c>
      <c r="Q1695" s="11" t="str">
        <f aca="false">IF(P1695="","",IF(COUNTIF($P$2:$P$3000,P1695)&gt;1,"DUPLICATE","OK"))</f>
        <v/>
      </c>
      <c r="R1695" s="0" t="str">
        <f aca="false">IF($C1695="","",IFERROR(VLOOKUP(--$C1695,MM_Income!$Z$5:$AC$204,3,FALSE()),""))</f>
        <v/>
      </c>
    </row>
    <row r="1696" customFormat="false" ht="13.5" hidden="false" customHeight="false" outlineLevel="0" collapsed="false">
      <c r="N1696" s="1" t="str">
        <f aca="false">IF(C1696="","",IFERROR(VLOOKUP(C1696,Master_Mappings!$A$4:$E$85,3,FALSE()),"UNMAPPED"))</f>
        <v/>
      </c>
      <c r="P1696" s="1" t="str">
        <f aca="false">IF($C1696="","",$C1696&amp;"|"&amp;$E1696&amp;"|"&amp;$M1696&amp;"|"&amp;TEXT($G1696,"yyyy-mm-dd")&amp;"|"&amp;LEFT($J1696,40))</f>
        <v/>
      </c>
      <c r="Q1696" s="11" t="str">
        <f aca="false">IF(P1696="","",IF(COUNTIF($P$2:$P$3000,P1696)&gt;1,"DUPLICATE","OK"))</f>
        <v/>
      </c>
      <c r="R1696" s="0" t="str">
        <f aca="false">IF($C1696="","",IFERROR(VLOOKUP(--$C1696,MM_Income!$Z$5:$AC$204,3,FALSE()),""))</f>
        <v/>
      </c>
    </row>
    <row r="1697" customFormat="false" ht="13.5" hidden="false" customHeight="false" outlineLevel="0" collapsed="false">
      <c r="N1697" s="1" t="str">
        <f aca="false">IF(C1697="","",IFERROR(VLOOKUP(C1697,Master_Mappings!$A$4:$E$85,3,FALSE()),"UNMAPPED"))</f>
        <v/>
      </c>
      <c r="P1697" s="1" t="str">
        <f aca="false">IF($C1697="","",$C1697&amp;"|"&amp;$E1697&amp;"|"&amp;$M1697&amp;"|"&amp;TEXT($G1697,"yyyy-mm-dd")&amp;"|"&amp;LEFT($J1697,40))</f>
        <v/>
      </c>
      <c r="Q1697" s="11" t="str">
        <f aca="false">IF(P1697="","",IF(COUNTIF($P$2:$P$3000,P1697)&gt;1,"DUPLICATE","OK"))</f>
        <v/>
      </c>
      <c r="R1697" s="0" t="str">
        <f aca="false">IF($C1697="","",IFERROR(VLOOKUP(--$C1697,MM_Income!$Z$5:$AC$204,3,FALSE()),""))</f>
        <v/>
      </c>
    </row>
    <row r="1698" customFormat="false" ht="13.5" hidden="false" customHeight="false" outlineLevel="0" collapsed="false">
      <c r="N1698" s="1" t="str">
        <f aca="false">IF(C1698="","",IFERROR(VLOOKUP(C1698,Master_Mappings!$A$4:$E$85,3,FALSE()),"UNMAPPED"))</f>
        <v/>
      </c>
      <c r="P1698" s="1" t="str">
        <f aca="false">IF($C1698="","",$C1698&amp;"|"&amp;$E1698&amp;"|"&amp;$M1698&amp;"|"&amp;TEXT($G1698,"yyyy-mm-dd")&amp;"|"&amp;LEFT($J1698,40))</f>
        <v/>
      </c>
      <c r="Q1698" s="11" t="str">
        <f aca="false">IF(P1698="","",IF(COUNTIF($P$2:$P$3000,P1698)&gt;1,"DUPLICATE","OK"))</f>
        <v/>
      </c>
      <c r="R1698" s="0" t="str">
        <f aca="false">IF($C1698="","",IFERROR(VLOOKUP(--$C1698,MM_Income!$Z$5:$AC$204,3,FALSE()),""))</f>
        <v/>
      </c>
    </row>
    <row r="1699" customFormat="false" ht="13.5" hidden="false" customHeight="false" outlineLevel="0" collapsed="false">
      <c r="N1699" s="1" t="str">
        <f aca="false">IF(C1699="","",IFERROR(VLOOKUP(C1699,Master_Mappings!$A$4:$E$85,3,FALSE()),"UNMAPPED"))</f>
        <v/>
      </c>
      <c r="P1699" s="1" t="str">
        <f aca="false">IF($C1699="","",$C1699&amp;"|"&amp;$E1699&amp;"|"&amp;$M1699&amp;"|"&amp;TEXT($G1699,"yyyy-mm-dd")&amp;"|"&amp;LEFT($J1699,40))</f>
        <v/>
      </c>
      <c r="Q1699" s="11" t="str">
        <f aca="false">IF(P1699="","",IF(COUNTIF($P$2:$P$3000,P1699)&gt;1,"DUPLICATE","OK"))</f>
        <v/>
      </c>
      <c r="R1699" s="0" t="str">
        <f aca="false">IF($C1699="","",IFERROR(VLOOKUP(--$C1699,MM_Income!$Z$5:$AC$204,3,FALSE()),""))</f>
        <v/>
      </c>
    </row>
    <row r="1700" customFormat="false" ht="13.5" hidden="false" customHeight="false" outlineLevel="0" collapsed="false">
      <c r="N1700" s="1" t="str">
        <f aca="false">IF(C1700="","",IFERROR(VLOOKUP(C1700,Master_Mappings!$A$4:$E$85,3,FALSE()),"UNMAPPED"))</f>
        <v/>
      </c>
      <c r="P1700" s="1" t="str">
        <f aca="false">IF($C1700="","",$C1700&amp;"|"&amp;$E1700&amp;"|"&amp;$M1700&amp;"|"&amp;TEXT($G1700,"yyyy-mm-dd")&amp;"|"&amp;LEFT($J1700,40))</f>
        <v/>
      </c>
      <c r="Q1700" s="11" t="str">
        <f aca="false">IF(P1700="","",IF(COUNTIF($P$2:$P$3000,P1700)&gt;1,"DUPLICATE","OK"))</f>
        <v/>
      </c>
      <c r="R1700" s="0" t="str">
        <f aca="false">IF($C1700="","",IFERROR(VLOOKUP(--$C1700,MM_Income!$Z$5:$AC$204,3,FALSE()),""))</f>
        <v/>
      </c>
    </row>
    <row r="1701" customFormat="false" ht="13.5" hidden="false" customHeight="false" outlineLevel="0" collapsed="false">
      <c r="N1701" s="1" t="str">
        <f aca="false">IF(C1701="","",IFERROR(VLOOKUP(C1701,Master_Mappings!$A$4:$E$85,3,FALSE()),"UNMAPPED"))</f>
        <v/>
      </c>
      <c r="P1701" s="1" t="str">
        <f aca="false">IF($C1701="","",$C1701&amp;"|"&amp;$E1701&amp;"|"&amp;$M1701&amp;"|"&amp;TEXT($G1701,"yyyy-mm-dd")&amp;"|"&amp;LEFT($J1701,40))</f>
        <v/>
      </c>
      <c r="Q1701" s="11" t="str">
        <f aca="false">IF(P1701="","",IF(COUNTIF($P$2:$P$3000,P1701)&gt;1,"DUPLICATE","OK"))</f>
        <v/>
      </c>
      <c r="R1701" s="0" t="str">
        <f aca="false">IF($C1701="","",IFERROR(VLOOKUP(--$C1701,MM_Income!$Z$5:$AC$204,3,FALSE()),""))</f>
        <v/>
      </c>
    </row>
    <row r="1702" customFormat="false" ht="13.5" hidden="false" customHeight="false" outlineLevel="0" collapsed="false">
      <c r="N1702" s="1" t="str">
        <f aca="false">IF(C1702="","",IFERROR(VLOOKUP(C1702,Master_Mappings!$A$4:$E$85,3,FALSE()),"UNMAPPED"))</f>
        <v/>
      </c>
      <c r="P1702" s="1" t="str">
        <f aca="false">IF($C1702="","",$C1702&amp;"|"&amp;$E1702&amp;"|"&amp;$M1702&amp;"|"&amp;TEXT($G1702,"yyyy-mm-dd")&amp;"|"&amp;LEFT($J1702,40))</f>
        <v/>
      </c>
      <c r="Q1702" s="11" t="str">
        <f aca="false">IF(P1702="","",IF(COUNTIF($P$2:$P$3000,P1702)&gt;1,"DUPLICATE","OK"))</f>
        <v/>
      </c>
      <c r="R1702" s="0" t="str">
        <f aca="false">IF($C1702="","",IFERROR(VLOOKUP(--$C1702,MM_Income!$Z$5:$AC$204,3,FALSE()),""))</f>
        <v/>
      </c>
    </row>
    <row r="1703" customFormat="false" ht="13.5" hidden="false" customHeight="false" outlineLevel="0" collapsed="false">
      <c r="N1703" s="1" t="str">
        <f aca="false">IF(C1703="","",IFERROR(VLOOKUP(C1703,Master_Mappings!$A$4:$E$85,3,FALSE()),"UNMAPPED"))</f>
        <v/>
      </c>
      <c r="P1703" s="1" t="str">
        <f aca="false">IF($C1703="","",$C1703&amp;"|"&amp;$E1703&amp;"|"&amp;$M1703&amp;"|"&amp;TEXT($G1703,"yyyy-mm-dd")&amp;"|"&amp;LEFT($J1703,40))</f>
        <v/>
      </c>
      <c r="Q1703" s="11" t="str">
        <f aca="false">IF(P1703="","",IF(COUNTIF($P$2:$P$3000,P1703)&gt;1,"DUPLICATE","OK"))</f>
        <v/>
      </c>
      <c r="R1703" s="0" t="str">
        <f aca="false">IF($C1703="","",IFERROR(VLOOKUP(--$C1703,MM_Income!$Z$5:$AC$204,3,FALSE()),""))</f>
        <v/>
      </c>
    </row>
    <row r="1704" customFormat="false" ht="13.5" hidden="false" customHeight="false" outlineLevel="0" collapsed="false">
      <c r="N1704" s="1" t="str">
        <f aca="false">IF(C1704="","",IFERROR(VLOOKUP(C1704,Master_Mappings!$A$4:$E$85,3,FALSE()),"UNMAPPED"))</f>
        <v/>
      </c>
      <c r="P1704" s="1" t="str">
        <f aca="false">IF($C1704="","",$C1704&amp;"|"&amp;$E1704&amp;"|"&amp;$M1704&amp;"|"&amp;TEXT($G1704,"yyyy-mm-dd")&amp;"|"&amp;LEFT($J1704,40))</f>
        <v/>
      </c>
      <c r="Q1704" s="11" t="str">
        <f aca="false">IF(P1704="","",IF(COUNTIF($P$2:$P$3000,P1704)&gt;1,"DUPLICATE","OK"))</f>
        <v/>
      </c>
      <c r="R1704" s="0" t="str">
        <f aca="false">IF($C1704="","",IFERROR(VLOOKUP(--$C1704,MM_Income!$Z$5:$AC$204,3,FALSE()),""))</f>
        <v/>
      </c>
    </row>
    <row r="1705" customFormat="false" ht="13.5" hidden="false" customHeight="false" outlineLevel="0" collapsed="false">
      <c r="N1705" s="1" t="str">
        <f aca="false">IF(C1705="","",IFERROR(VLOOKUP(C1705,Master_Mappings!$A$4:$E$85,3,FALSE()),"UNMAPPED"))</f>
        <v/>
      </c>
      <c r="P1705" s="1" t="str">
        <f aca="false">IF($C1705="","",$C1705&amp;"|"&amp;$E1705&amp;"|"&amp;$M1705&amp;"|"&amp;TEXT($G1705,"yyyy-mm-dd")&amp;"|"&amp;LEFT($J1705,40))</f>
        <v/>
      </c>
      <c r="Q1705" s="11" t="str">
        <f aca="false">IF(P1705="","",IF(COUNTIF($P$2:$P$3000,P1705)&gt;1,"DUPLICATE","OK"))</f>
        <v/>
      </c>
      <c r="R1705" s="0" t="str">
        <f aca="false">IF($C1705="","",IFERROR(VLOOKUP(--$C1705,MM_Income!$Z$5:$AC$204,3,FALSE()),""))</f>
        <v/>
      </c>
    </row>
    <row r="1706" customFormat="false" ht="13.5" hidden="false" customHeight="false" outlineLevel="0" collapsed="false">
      <c r="N1706" s="1" t="str">
        <f aca="false">IF(C1706="","",IFERROR(VLOOKUP(C1706,Master_Mappings!$A$4:$E$85,3,FALSE()),"UNMAPPED"))</f>
        <v/>
      </c>
      <c r="P1706" s="1" t="str">
        <f aca="false">IF($C1706="","",$C1706&amp;"|"&amp;$E1706&amp;"|"&amp;$M1706&amp;"|"&amp;TEXT($G1706,"yyyy-mm-dd")&amp;"|"&amp;LEFT($J1706,40))</f>
        <v/>
      </c>
      <c r="Q1706" s="11" t="str">
        <f aca="false">IF(P1706="","",IF(COUNTIF($P$2:$P$3000,P1706)&gt;1,"DUPLICATE","OK"))</f>
        <v/>
      </c>
      <c r="R1706" s="0" t="str">
        <f aca="false">IF($C1706="","",IFERROR(VLOOKUP(--$C1706,MM_Income!$Z$5:$AC$204,3,FALSE()),""))</f>
        <v/>
      </c>
    </row>
    <row r="1707" customFormat="false" ht="13.5" hidden="false" customHeight="false" outlineLevel="0" collapsed="false">
      <c r="N1707" s="1" t="str">
        <f aca="false">IF(C1707="","",IFERROR(VLOOKUP(C1707,Master_Mappings!$A$4:$E$85,3,FALSE()),"UNMAPPED"))</f>
        <v/>
      </c>
      <c r="P1707" s="1" t="str">
        <f aca="false">IF($C1707="","",$C1707&amp;"|"&amp;$E1707&amp;"|"&amp;$M1707&amp;"|"&amp;TEXT($G1707,"yyyy-mm-dd")&amp;"|"&amp;LEFT($J1707,40))</f>
        <v/>
      </c>
      <c r="Q1707" s="11" t="str">
        <f aca="false">IF(P1707="","",IF(COUNTIF($P$2:$P$3000,P1707)&gt;1,"DUPLICATE","OK"))</f>
        <v/>
      </c>
      <c r="R1707" s="0" t="str">
        <f aca="false">IF($C1707="","",IFERROR(VLOOKUP(--$C1707,MM_Income!$Z$5:$AC$204,3,FALSE()),""))</f>
        <v/>
      </c>
    </row>
    <row r="1708" customFormat="false" ht="13.5" hidden="false" customHeight="false" outlineLevel="0" collapsed="false">
      <c r="N1708" s="1" t="str">
        <f aca="false">IF(C1708="","",IFERROR(VLOOKUP(C1708,Master_Mappings!$A$4:$E$85,3,FALSE()),"UNMAPPED"))</f>
        <v/>
      </c>
      <c r="P1708" s="1" t="str">
        <f aca="false">IF($C1708="","",$C1708&amp;"|"&amp;$E1708&amp;"|"&amp;$M1708&amp;"|"&amp;TEXT($G1708,"yyyy-mm-dd")&amp;"|"&amp;LEFT($J1708,40))</f>
        <v/>
      </c>
      <c r="Q1708" s="11" t="str">
        <f aca="false">IF(P1708="","",IF(COUNTIF($P$2:$P$3000,P1708)&gt;1,"DUPLICATE","OK"))</f>
        <v/>
      </c>
      <c r="R1708" s="0" t="str">
        <f aca="false">IF($C1708="","",IFERROR(VLOOKUP(--$C1708,MM_Income!$Z$5:$AC$204,3,FALSE()),""))</f>
        <v/>
      </c>
    </row>
    <row r="1709" customFormat="false" ht="13.5" hidden="false" customHeight="false" outlineLevel="0" collapsed="false">
      <c r="N1709" s="1" t="str">
        <f aca="false">IF(C1709="","",IFERROR(VLOOKUP(C1709,Master_Mappings!$A$4:$E$85,3,FALSE()),"UNMAPPED"))</f>
        <v/>
      </c>
      <c r="P1709" s="1" t="str">
        <f aca="false">IF($C1709="","",$C1709&amp;"|"&amp;$E1709&amp;"|"&amp;$M1709&amp;"|"&amp;TEXT($G1709,"yyyy-mm-dd")&amp;"|"&amp;LEFT($J1709,40))</f>
        <v/>
      </c>
      <c r="Q1709" s="11" t="str">
        <f aca="false">IF(P1709="","",IF(COUNTIF($P$2:$P$3000,P1709)&gt;1,"DUPLICATE","OK"))</f>
        <v/>
      </c>
      <c r="R1709" s="0" t="str">
        <f aca="false">IF($C1709="","",IFERROR(VLOOKUP(--$C1709,MM_Income!$Z$5:$AC$204,3,FALSE()),""))</f>
        <v/>
      </c>
    </row>
    <row r="1710" customFormat="false" ht="13.5" hidden="false" customHeight="false" outlineLevel="0" collapsed="false">
      <c r="N1710" s="1" t="str">
        <f aca="false">IF(C1710="","",IFERROR(VLOOKUP(C1710,Master_Mappings!$A$4:$E$85,3,FALSE()),"UNMAPPED"))</f>
        <v/>
      </c>
      <c r="P1710" s="1" t="str">
        <f aca="false">IF($C1710="","",$C1710&amp;"|"&amp;$E1710&amp;"|"&amp;$M1710&amp;"|"&amp;TEXT($G1710,"yyyy-mm-dd")&amp;"|"&amp;LEFT($J1710,40))</f>
        <v/>
      </c>
      <c r="Q1710" s="11" t="str">
        <f aca="false">IF(P1710="","",IF(COUNTIF($P$2:$P$3000,P1710)&gt;1,"DUPLICATE","OK"))</f>
        <v/>
      </c>
      <c r="R1710" s="0" t="str">
        <f aca="false">IF($C1710="","",IFERROR(VLOOKUP(--$C1710,MM_Income!$Z$5:$AC$204,3,FALSE()),""))</f>
        <v/>
      </c>
    </row>
    <row r="1711" customFormat="false" ht="13.5" hidden="false" customHeight="false" outlineLevel="0" collapsed="false">
      <c r="N1711" s="1" t="str">
        <f aca="false">IF(C1711="","",IFERROR(VLOOKUP(C1711,Master_Mappings!$A$4:$E$85,3,FALSE()),"UNMAPPED"))</f>
        <v/>
      </c>
      <c r="P1711" s="1" t="str">
        <f aca="false">IF($C1711="","",$C1711&amp;"|"&amp;$E1711&amp;"|"&amp;$M1711&amp;"|"&amp;TEXT($G1711,"yyyy-mm-dd")&amp;"|"&amp;LEFT($J1711,40))</f>
        <v/>
      </c>
      <c r="Q1711" s="11" t="str">
        <f aca="false">IF(P1711="","",IF(COUNTIF($P$2:$P$3000,P1711)&gt;1,"DUPLICATE","OK"))</f>
        <v/>
      </c>
      <c r="R1711" s="0" t="str">
        <f aca="false">IF($C1711="","",IFERROR(VLOOKUP(--$C1711,MM_Income!$Z$5:$AC$204,3,FALSE()),""))</f>
        <v/>
      </c>
    </row>
    <row r="1712" customFormat="false" ht="13.5" hidden="false" customHeight="false" outlineLevel="0" collapsed="false">
      <c r="N1712" s="1" t="str">
        <f aca="false">IF(C1712="","",IFERROR(VLOOKUP(C1712,Master_Mappings!$A$4:$E$85,3,FALSE()),"UNMAPPED"))</f>
        <v/>
      </c>
      <c r="P1712" s="1" t="str">
        <f aca="false">IF($C1712="","",$C1712&amp;"|"&amp;$E1712&amp;"|"&amp;$M1712&amp;"|"&amp;TEXT($G1712,"yyyy-mm-dd")&amp;"|"&amp;LEFT($J1712,40))</f>
        <v/>
      </c>
      <c r="Q1712" s="11" t="str">
        <f aca="false">IF(P1712="","",IF(COUNTIF($P$2:$P$3000,P1712)&gt;1,"DUPLICATE","OK"))</f>
        <v/>
      </c>
      <c r="R1712" s="0" t="str">
        <f aca="false">IF($C1712="","",IFERROR(VLOOKUP(--$C1712,MM_Income!$Z$5:$AC$204,3,FALSE()),""))</f>
        <v/>
      </c>
    </row>
    <row r="1713" customFormat="false" ht="13.5" hidden="false" customHeight="false" outlineLevel="0" collapsed="false">
      <c r="N1713" s="1" t="str">
        <f aca="false">IF(C1713="","",IFERROR(VLOOKUP(C1713,Master_Mappings!$A$4:$E$85,3,FALSE()),"UNMAPPED"))</f>
        <v/>
      </c>
      <c r="P1713" s="1" t="str">
        <f aca="false">IF($C1713="","",$C1713&amp;"|"&amp;$E1713&amp;"|"&amp;$M1713&amp;"|"&amp;TEXT($G1713,"yyyy-mm-dd")&amp;"|"&amp;LEFT($J1713,40))</f>
        <v/>
      </c>
      <c r="Q1713" s="11" t="str">
        <f aca="false">IF(P1713="","",IF(COUNTIF($P$2:$P$3000,P1713)&gt;1,"DUPLICATE","OK"))</f>
        <v/>
      </c>
      <c r="R1713" s="0" t="str">
        <f aca="false">IF($C1713="","",IFERROR(VLOOKUP(--$C1713,MM_Income!$Z$5:$AC$204,3,FALSE()),""))</f>
        <v/>
      </c>
    </row>
    <row r="1714" customFormat="false" ht="13.5" hidden="false" customHeight="false" outlineLevel="0" collapsed="false">
      <c r="N1714" s="1" t="str">
        <f aca="false">IF(C1714="","",IFERROR(VLOOKUP(C1714,Master_Mappings!$A$4:$E$85,3,FALSE()),"UNMAPPED"))</f>
        <v/>
      </c>
      <c r="P1714" s="1" t="str">
        <f aca="false">IF($C1714="","",$C1714&amp;"|"&amp;$E1714&amp;"|"&amp;$M1714&amp;"|"&amp;TEXT($G1714,"yyyy-mm-dd")&amp;"|"&amp;LEFT($J1714,40))</f>
        <v/>
      </c>
      <c r="Q1714" s="11" t="str">
        <f aca="false">IF(P1714="","",IF(COUNTIF($P$2:$P$3000,P1714)&gt;1,"DUPLICATE","OK"))</f>
        <v/>
      </c>
      <c r="R1714" s="0" t="str">
        <f aca="false">IF($C1714="","",IFERROR(VLOOKUP(--$C1714,MM_Income!$Z$5:$AC$204,3,FALSE()),""))</f>
        <v/>
      </c>
    </row>
    <row r="1715" customFormat="false" ht="13.5" hidden="false" customHeight="false" outlineLevel="0" collapsed="false">
      <c r="N1715" s="1" t="str">
        <f aca="false">IF(C1715="","",IFERROR(VLOOKUP(C1715,Master_Mappings!$A$4:$E$85,3,FALSE()),"UNMAPPED"))</f>
        <v/>
      </c>
      <c r="P1715" s="1" t="str">
        <f aca="false">IF($C1715="","",$C1715&amp;"|"&amp;$E1715&amp;"|"&amp;$M1715&amp;"|"&amp;TEXT($G1715,"yyyy-mm-dd")&amp;"|"&amp;LEFT($J1715,40))</f>
        <v/>
      </c>
      <c r="Q1715" s="11" t="str">
        <f aca="false">IF(P1715="","",IF(COUNTIF($P$2:$P$3000,P1715)&gt;1,"DUPLICATE","OK"))</f>
        <v/>
      </c>
      <c r="R1715" s="0" t="str">
        <f aca="false">IF($C1715="","",IFERROR(VLOOKUP(--$C1715,MM_Income!$Z$5:$AC$204,3,FALSE()),""))</f>
        <v/>
      </c>
    </row>
    <row r="1716" customFormat="false" ht="13.5" hidden="false" customHeight="false" outlineLevel="0" collapsed="false">
      <c r="N1716" s="1" t="str">
        <f aca="false">IF(C1716="","",IFERROR(VLOOKUP(C1716,Master_Mappings!$A$4:$E$85,3,FALSE()),"UNMAPPED"))</f>
        <v/>
      </c>
      <c r="P1716" s="1" t="str">
        <f aca="false">IF($C1716="","",$C1716&amp;"|"&amp;$E1716&amp;"|"&amp;$M1716&amp;"|"&amp;TEXT($G1716,"yyyy-mm-dd")&amp;"|"&amp;LEFT($J1716,40))</f>
        <v/>
      </c>
      <c r="Q1716" s="11" t="str">
        <f aca="false">IF(P1716="","",IF(COUNTIF($P$2:$P$3000,P1716)&gt;1,"DUPLICATE","OK"))</f>
        <v/>
      </c>
      <c r="R1716" s="0" t="str">
        <f aca="false">IF($C1716="","",IFERROR(VLOOKUP(--$C1716,MM_Income!$Z$5:$AC$204,3,FALSE()),""))</f>
        <v/>
      </c>
    </row>
    <row r="1717" customFormat="false" ht="13.5" hidden="false" customHeight="false" outlineLevel="0" collapsed="false">
      <c r="N1717" s="1" t="str">
        <f aca="false">IF(C1717="","",IFERROR(VLOOKUP(C1717,Master_Mappings!$A$4:$E$85,3,FALSE()),"UNMAPPED"))</f>
        <v/>
      </c>
      <c r="P1717" s="1" t="str">
        <f aca="false">IF($C1717="","",$C1717&amp;"|"&amp;$E1717&amp;"|"&amp;$M1717&amp;"|"&amp;TEXT($G1717,"yyyy-mm-dd")&amp;"|"&amp;LEFT($J1717,40))</f>
        <v/>
      </c>
      <c r="Q1717" s="11" t="str">
        <f aca="false">IF(P1717="","",IF(COUNTIF($P$2:$P$3000,P1717)&gt;1,"DUPLICATE","OK"))</f>
        <v/>
      </c>
      <c r="R1717" s="0" t="str">
        <f aca="false">IF($C1717="","",IFERROR(VLOOKUP(--$C1717,MM_Income!$Z$5:$AC$204,3,FALSE()),""))</f>
        <v/>
      </c>
    </row>
    <row r="1718" customFormat="false" ht="13.5" hidden="false" customHeight="false" outlineLevel="0" collapsed="false">
      <c r="N1718" s="1" t="str">
        <f aca="false">IF(C1718="","",IFERROR(VLOOKUP(C1718,Master_Mappings!$A$4:$E$85,3,FALSE()),"UNMAPPED"))</f>
        <v/>
      </c>
      <c r="P1718" s="1" t="str">
        <f aca="false">IF($C1718="","",$C1718&amp;"|"&amp;$E1718&amp;"|"&amp;$M1718&amp;"|"&amp;TEXT($G1718,"yyyy-mm-dd")&amp;"|"&amp;LEFT($J1718,40))</f>
        <v/>
      </c>
      <c r="Q1718" s="11" t="str">
        <f aca="false">IF(P1718="","",IF(COUNTIF($P$2:$P$3000,P1718)&gt;1,"DUPLICATE","OK"))</f>
        <v/>
      </c>
      <c r="R1718" s="0" t="str">
        <f aca="false">IF($C1718="","",IFERROR(VLOOKUP(--$C1718,MM_Income!$Z$5:$AC$204,3,FALSE()),""))</f>
        <v/>
      </c>
    </row>
    <row r="1719" customFormat="false" ht="13.5" hidden="false" customHeight="false" outlineLevel="0" collapsed="false">
      <c r="N1719" s="1" t="str">
        <f aca="false">IF(C1719="","",IFERROR(VLOOKUP(C1719,Master_Mappings!$A$4:$E$85,3,FALSE()),"UNMAPPED"))</f>
        <v/>
      </c>
      <c r="P1719" s="1" t="str">
        <f aca="false">IF($C1719="","",$C1719&amp;"|"&amp;$E1719&amp;"|"&amp;$M1719&amp;"|"&amp;TEXT($G1719,"yyyy-mm-dd")&amp;"|"&amp;LEFT($J1719,40))</f>
        <v/>
      </c>
      <c r="Q1719" s="11" t="str">
        <f aca="false">IF(P1719="","",IF(COUNTIF($P$2:$P$3000,P1719)&gt;1,"DUPLICATE","OK"))</f>
        <v/>
      </c>
      <c r="R1719" s="0" t="str">
        <f aca="false">IF($C1719="","",IFERROR(VLOOKUP(--$C1719,MM_Income!$Z$5:$AC$204,3,FALSE()),""))</f>
        <v/>
      </c>
    </row>
    <row r="1720" customFormat="false" ht="13.5" hidden="false" customHeight="false" outlineLevel="0" collapsed="false">
      <c r="N1720" s="1" t="str">
        <f aca="false">IF(C1720="","",IFERROR(VLOOKUP(C1720,Master_Mappings!$A$4:$E$85,3,FALSE()),"UNMAPPED"))</f>
        <v/>
      </c>
      <c r="P1720" s="1" t="str">
        <f aca="false">IF($C1720="","",$C1720&amp;"|"&amp;$E1720&amp;"|"&amp;$M1720&amp;"|"&amp;TEXT($G1720,"yyyy-mm-dd")&amp;"|"&amp;LEFT($J1720,40))</f>
        <v/>
      </c>
      <c r="Q1720" s="11" t="str">
        <f aca="false">IF(P1720="","",IF(COUNTIF($P$2:$P$3000,P1720)&gt;1,"DUPLICATE","OK"))</f>
        <v/>
      </c>
      <c r="R1720" s="0" t="str">
        <f aca="false">IF($C1720="","",IFERROR(VLOOKUP(--$C1720,MM_Income!$Z$5:$AC$204,3,FALSE()),""))</f>
        <v/>
      </c>
    </row>
    <row r="1721" customFormat="false" ht="13.5" hidden="false" customHeight="false" outlineLevel="0" collapsed="false">
      <c r="N1721" s="1" t="str">
        <f aca="false">IF(C1721="","",IFERROR(VLOOKUP(C1721,Master_Mappings!$A$4:$E$85,3,FALSE()),"UNMAPPED"))</f>
        <v/>
      </c>
      <c r="P1721" s="1" t="str">
        <f aca="false">IF($C1721="","",$C1721&amp;"|"&amp;$E1721&amp;"|"&amp;$M1721&amp;"|"&amp;TEXT($G1721,"yyyy-mm-dd")&amp;"|"&amp;LEFT($J1721,40))</f>
        <v/>
      </c>
      <c r="Q1721" s="11" t="str">
        <f aca="false">IF(P1721="","",IF(COUNTIF($P$2:$P$3000,P1721)&gt;1,"DUPLICATE","OK"))</f>
        <v/>
      </c>
      <c r="R1721" s="0" t="str">
        <f aca="false">IF($C1721="","",IFERROR(VLOOKUP(--$C1721,MM_Income!$Z$5:$AC$204,3,FALSE()),""))</f>
        <v/>
      </c>
    </row>
    <row r="1722" customFormat="false" ht="13.5" hidden="false" customHeight="false" outlineLevel="0" collapsed="false">
      <c r="N1722" s="1" t="str">
        <f aca="false">IF(C1722="","",IFERROR(VLOOKUP(C1722,Master_Mappings!$A$4:$E$85,3,FALSE()),"UNMAPPED"))</f>
        <v/>
      </c>
      <c r="P1722" s="1" t="str">
        <f aca="false">IF($C1722="","",$C1722&amp;"|"&amp;$E1722&amp;"|"&amp;$M1722&amp;"|"&amp;TEXT($G1722,"yyyy-mm-dd")&amp;"|"&amp;LEFT($J1722,40))</f>
        <v/>
      </c>
      <c r="Q1722" s="11" t="str">
        <f aca="false">IF(P1722="","",IF(COUNTIF($P$2:$P$3000,P1722)&gt;1,"DUPLICATE","OK"))</f>
        <v/>
      </c>
      <c r="R1722" s="0" t="str">
        <f aca="false">IF($C1722="","",IFERROR(VLOOKUP(--$C1722,MM_Income!$Z$5:$AC$204,3,FALSE()),""))</f>
        <v/>
      </c>
    </row>
    <row r="1723" customFormat="false" ht="13.5" hidden="false" customHeight="false" outlineLevel="0" collapsed="false">
      <c r="N1723" s="1" t="str">
        <f aca="false">IF(C1723="","",IFERROR(VLOOKUP(C1723,Master_Mappings!$A$4:$E$85,3,FALSE()),"UNMAPPED"))</f>
        <v/>
      </c>
      <c r="P1723" s="1" t="str">
        <f aca="false">IF($C1723="","",$C1723&amp;"|"&amp;$E1723&amp;"|"&amp;$M1723&amp;"|"&amp;TEXT($G1723,"yyyy-mm-dd")&amp;"|"&amp;LEFT($J1723,40))</f>
        <v/>
      </c>
      <c r="Q1723" s="11" t="str">
        <f aca="false">IF(P1723="","",IF(COUNTIF($P$2:$P$3000,P1723)&gt;1,"DUPLICATE","OK"))</f>
        <v/>
      </c>
      <c r="R1723" s="0" t="str">
        <f aca="false">IF($C1723="","",IFERROR(VLOOKUP(--$C1723,MM_Income!$Z$5:$AC$204,3,FALSE()),""))</f>
        <v/>
      </c>
    </row>
    <row r="1724" customFormat="false" ht="13.5" hidden="false" customHeight="false" outlineLevel="0" collapsed="false">
      <c r="N1724" s="1" t="str">
        <f aca="false">IF(C1724="","",IFERROR(VLOOKUP(C1724,Master_Mappings!$A$4:$E$85,3,FALSE()),"UNMAPPED"))</f>
        <v/>
      </c>
      <c r="P1724" s="1" t="str">
        <f aca="false">IF($C1724="","",$C1724&amp;"|"&amp;$E1724&amp;"|"&amp;$M1724&amp;"|"&amp;TEXT($G1724,"yyyy-mm-dd")&amp;"|"&amp;LEFT($J1724,40))</f>
        <v/>
      </c>
      <c r="Q1724" s="11" t="str">
        <f aca="false">IF(P1724="","",IF(COUNTIF($P$2:$P$3000,P1724)&gt;1,"DUPLICATE","OK"))</f>
        <v/>
      </c>
      <c r="R1724" s="0" t="str">
        <f aca="false">IF($C1724="","",IFERROR(VLOOKUP(--$C1724,MM_Income!$Z$5:$AC$204,3,FALSE()),""))</f>
        <v/>
      </c>
    </row>
    <row r="1725" customFormat="false" ht="13.5" hidden="false" customHeight="false" outlineLevel="0" collapsed="false">
      <c r="N1725" s="1" t="str">
        <f aca="false">IF(C1725="","",IFERROR(VLOOKUP(C1725,Master_Mappings!$A$4:$E$85,3,FALSE()),"UNMAPPED"))</f>
        <v/>
      </c>
      <c r="P1725" s="1" t="str">
        <f aca="false">IF($C1725="","",$C1725&amp;"|"&amp;$E1725&amp;"|"&amp;$M1725&amp;"|"&amp;TEXT($G1725,"yyyy-mm-dd")&amp;"|"&amp;LEFT($J1725,40))</f>
        <v/>
      </c>
      <c r="Q1725" s="11" t="str">
        <f aca="false">IF(P1725="","",IF(COUNTIF($P$2:$P$3000,P1725)&gt;1,"DUPLICATE","OK"))</f>
        <v/>
      </c>
      <c r="R1725" s="0" t="str">
        <f aca="false">IF($C1725="","",IFERROR(VLOOKUP(--$C1725,MM_Income!$Z$5:$AC$204,3,FALSE()),""))</f>
        <v/>
      </c>
    </row>
    <row r="1726" customFormat="false" ht="13.5" hidden="false" customHeight="false" outlineLevel="0" collapsed="false">
      <c r="N1726" s="1" t="str">
        <f aca="false">IF(C1726="","",IFERROR(VLOOKUP(C1726,Master_Mappings!$A$4:$E$85,3,FALSE()),"UNMAPPED"))</f>
        <v/>
      </c>
      <c r="P1726" s="1" t="str">
        <f aca="false">IF($C1726="","",$C1726&amp;"|"&amp;$E1726&amp;"|"&amp;$M1726&amp;"|"&amp;TEXT($G1726,"yyyy-mm-dd")&amp;"|"&amp;LEFT($J1726,40))</f>
        <v/>
      </c>
      <c r="Q1726" s="11" t="str">
        <f aca="false">IF(P1726="","",IF(COUNTIF($P$2:$P$3000,P1726)&gt;1,"DUPLICATE","OK"))</f>
        <v/>
      </c>
      <c r="R1726" s="0" t="str">
        <f aca="false">IF($C1726="","",IFERROR(VLOOKUP(--$C1726,MM_Income!$Z$5:$AC$204,3,FALSE()),""))</f>
        <v/>
      </c>
    </row>
    <row r="1727" customFormat="false" ht="13.5" hidden="false" customHeight="false" outlineLevel="0" collapsed="false">
      <c r="N1727" s="1" t="str">
        <f aca="false">IF(C1727="","",IFERROR(VLOOKUP(C1727,Master_Mappings!$A$4:$E$85,3,FALSE()),"UNMAPPED"))</f>
        <v/>
      </c>
      <c r="P1727" s="1" t="str">
        <f aca="false">IF($C1727="","",$C1727&amp;"|"&amp;$E1727&amp;"|"&amp;$M1727&amp;"|"&amp;TEXT($G1727,"yyyy-mm-dd")&amp;"|"&amp;LEFT($J1727,40))</f>
        <v/>
      </c>
      <c r="Q1727" s="11" t="str">
        <f aca="false">IF(P1727="","",IF(COUNTIF($P$2:$P$3000,P1727)&gt;1,"DUPLICATE","OK"))</f>
        <v/>
      </c>
      <c r="R1727" s="0" t="str">
        <f aca="false">IF($C1727="","",IFERROR(VLOOKUP(--$C1727,MM_Income!$Z$5:$AC$204,3,FALSE()),""))</f>
        <v/>
      </c>
    </row>
    <row r="1728" customFormat="false" ht="13.5" hidden="false" customHeight="false" outlineLevel="0" collapsed="false">
      <c r="N1728" s="1" t="str">
        <f aca="false">IF(C1728="","",IFERROR(VLOOKUP(C1728,Master_Mappings!$A$4:$E$85,3,FALSE()),"UNMAPPED"))</f>
        <v/>
      </c>
      <c r="P1728" s="1" t="str">
        <f aca="false">IF($C1728="","",$C1728&amp;"|"&amp;$E1728&amp;"|"&amp;$M1728&amp;"|"&amp;TEXT($G1728,"yyyy-mm-dd")&amp;"|"&amp;LEFT($J1728,40))</f>
        <v/>
      </c>
      <c r="Q1728" s="11" t="str">
        <f aca="false">IF(P1728="","",IF(COUNTIF($P$2:$P$3000,P1728)&gt;1,"DUPLICATE","OK"))</f>
        <v/>
      </c>
      <c r="R1728" s="0" t="str">
        <f aca="false">IF($C1728="","",IFERROR(VLOOKUP(--$C1728,MM_Income!$Z$5:$AC$204,3,FALSE()),""))</f>
        <v/>
      </c>
    </row>
    <row r="1729" customFormat="false" ht="13.5" hidden="false" customHeight="false" outlineLevel="0" collapsed="false">
      <c r="N1729" s="1" t="str">
        <f aca="false">IF(C1729="","",IFERROR(VLOOKUP(C1729,Master_Mappings!$A$4:$E$85,3,FALSE()),"UNMAPPED"))</f>
        <v/>
      </c>
      <c r="P1729" s="1" t="str">
        <f aca="false">IF($C1729="","",$C1729&amp;"|"&amp;$E1729&amp;"|"&amp;$M1729&amp;"|"&amp;TEXT($G1729,"yyyy-mm-dd")&amp;"|"&amp;LEFT($J1729,40))</f>
        <v/>
      </c>
      <c r="Q1729" s="11" t="str">
        <f aca="false">IF(P1729="","",IF(COUNTIF($P$2:$P$3000,P1729)&gt;1,"DUPLICATE","OK"))</f>
        <v/>
      </c>
      <c r="R1729" s="0" t="str">
        <f aca="false">IF($C1729="","",IFERROR(VLOOKUP(--$C1729,MM_Income!$Z$5:$AC$204,3,FALSE()),""))</f>
        <v/>
      </c>
    </row>
    <row r="1730" customFormat="false" ht="13.5" hidden="false" customHeight="false" outlineLevel="0" collapsed="false">
      <c r="N1730" s="1" t="str">
        <f aca="false">IF(C1730="","",IFERROR(VLOOKUP(C1730,Master_Mappings!$A$4:$E$85,3,FALSE()),"UNMAPPED"))</f>
        <v/>
      </c>
      <c r="P1730" s="1" t="str">
        <f aca="false">IF($C1730="","",$C1730&amp;"|"&amp;$E1730&amp;"|"&amp;$M1730&amp;"|"&amp;TEXT($G1730,"yyyy-mm-dd")&amp;"|"&amp;LEFT($J1730,40))</f>
        <v/>
      </c>
      <c r="Q1730" s="11" t="str">
        <f aca="false">IF(P1730="","",IF(COUNTIF($P$2:$P$3000,P1730)&gt;1,"DUPLICATE","OK"))</f>
        <v/>
      </c>
      <c r="R1730" s="0" t="str">
        <f aca="false">IF($C1730="","",IFERROR(VLOOKUP(--$C1730,MM_Income!$Z$5:$AC$204,3,FALSE()),""))</f>
        <v/>
      </c>
    </row>
    <row r="1731" customFormat="false" ht="13.5" hidden="false" customHeight="false" outlineLevel="0" collapsed="false">
      <c r="N1731" s="1" t="str">
        <f aca="false">IF(C1731="","",IFERROR(VLOOKUP(C1731,Master_Mappings!$A$4:$E$85,3,FALSE()),"UNMAPPED"))</f>
        <v/>
      </c>
      <c r="P1731" s="1" t="str">
        <f aca="false">IF($C1731="","",$C1731&amp;"|"&amp;$E1731&amp;"|"&amp;$M1731&amp;"|"&amp;TEXT($G1731,"yyyy-mm-dd")&amp;"|"&amp;LEFT($J1731,40))</f>
        <v/>
      </c>
      <c r="Q1731" s="11" t="str">
        <f aca="false">IF(P1731="","",IF(COUNTIF($P$2:$P$3000,P1731)&gt;1,"DUPLICATE","OK"))</f>
        <v/>
      </c>
      <c r="R1731" s="0" t="str">
        <f aca="false">IF($C1731="","",IFERROR(VLOOKUP(--$C1731,MM_Income!$Z$5:$AC$204,3,FALSE()),""))</f>
        <v/>
      </c>
    </row>
    <row r="1732" customFormat="false" ht="13.5" hidden="false" customHeight="false" outlineLevel="0" collapsed="false">
      <c r="N1732" s="1" t="str">
        <f aca="false">IF(C1732="","",IFERROR(VLOOKUP(C1732,Master_Mappings!$A$4:$E$85,3,FALSE()),"UNMAPPED"))</f>
        <v/>
      </c>
      <c r="P1732" s="1" t="str">
        <f aca="false">IF($C1732="","",$C1732&amp;"|"&amp;$E1732&amp;"|"&amp;$M1732&amp;"|"&amp;TEXT($G1732,"yyyy-mm-dd")&amp;"|"&amp;LEFT($J1732,40))</f>
        <v/>
      </c>
      <c r="Q1732" s="11" t="str">
        <f aca="false">IF(P1732="","",IF(COUNTIF($P$2:$P$3000,P1732)&gt;1,"DUPLICATE","OK"))</f>
        <v/>
      </c>
      <c r="R1732" s="0" t="str">
        <f aca="false">IF($C1732="","",IFERROR(VLOOKUP(--$C1732,MM_Income!$Z$5:$AC$204,3,FALSE()),""))</f>
        <v/>
      </c>
    </row>
    <row r="1733" customFormat="false" ht="13.5" hidden="false" customHeight="false" outlineLevel="0" collapsed="false">
      <c r="N1733" s="1" t="str">
        <f aca="false">IF(C1733="","",IFERROR(VLOOKUP(C1733,Master_Mappings!$A$4:$E$85,3,FALSE()),"UNMAPPED"))</f>
        <v/>
      </c>
      <c r="P1733" s="1" t="str">
        <f aca="false">IF($C1733="","",$C1733&amp;"|"&amp;$E1733&amp;"|"&amp;$M1733&amp;"|"&amp;TEXT($G1733,"yyyy-mm-dd")&amp;"|"&amp;LEFT($J1733,40))</f>
        <v/>
      </c>
      <c r="Q1733" s="11" t="str">
        <f aca="false">IF(P1733="","",IF(COUNTIF($P$2:$P$3000,P1733)&gt;1,"DUPLICATE","OK"))</f>
        <v/>
      </c>
      <c r="R1733" s="0" t="str">
        <f aca="false">IF($C1733="","",IFERROR(VLOOKUP(--$C1733,MM_Income!$Z$5:$AC$204,3,FALSE()),""))</f>
        <v/>
      </c>
    </row>
    <row r="1734" customFormat="false" ht="13.5" hidden="false" customHeight="false" outlineLevel="0" collapsed="false">
      <c r="N1734" s="1" t="str">
        <f aca="false">IF(C1734="","",IFERROR(VLOOKUP(C1734,Master_Mappings!$A$4:$E$85,3,FALSE()),"UNMAPPED"))</f>
        <v/>
      </c>
      <c r="P1734" s="1" t="str">
        <f aca="false">IF($C1734="","",$C1734&amp;"|"&amp;$E1734&amp;"|"&amp;$M1734&amp;"|"&amp;TEXT($G1734,"yyyy-mm-dd")&amp;"|"&amp;LEFT($J1734,40))</f>
        <v/>
      </c>
      <c r="Q1734" s="11" t="str">
        <f aca="false">IF(P1734="","",IF(COUNTIF($P$2:$P$3000,P1734)&gt;1,"DUPLICATE","OK"))</f>
        <v/>
      </c>
      <c r="R1734" s="0" t="str">
        <f aca="false">IF($C1734="","",IFERROR(VLOOKUP(--$C1734,MM_Income!$Z$5:$AC$204,3,FALSE()),""))</f>
        <v/>
      </c>
    </row>
    <row r="1735" customFormat="false" ht="13.5" hidden="false" customHeight="false" outlineLevel="0" collapsed="false">
      <c r="N1735" s="1" t="str">
        <f aca="false">IF(C1735="","",IFERROR(VLOOKUP(C1735,Master_Mappings!$A$4:$E$85,3,FALSE()),"UNMAPPED"))</f>
        <v/>
      </c>
      <c r="P1735" s="1" t="str">
        <f aca="false">IF($C1735="","",$C1735&amp;"|"&amp;$E1735&amp;"|"&amp;$M1735&amp;"|"&amp;TEXT($G1735,"yyyy-mm-dd")&amp;"|"&amp;LEFT($J1735,40))</f>
        <v/>
      </c>
      <c r="Q1735" s="11" t="str">
        <f aca="false">IF(P1735="","",IF(COUNTIF($P$2:$P$3000,P1735)&gt;1,"DUPLICATE","OK"))</f>
        <v/>
      </c>
      <c r="R1735" s="0" t="str">
        <f aca="false">IF($C1735="","",IFERROR(VLOOKUP(--$C1735,MM_Income!$Z$5:$AC$204,3,FALSE()),""))</f>
        <v/>
      </c>
    </row>
    <row r="1736" customFormat="false" ht="13.5" hidden="false" customHeight="false" outlineLevel="0" collapsed="false">
      <c r="N1736" s="1" t="str">
        <f aca="false">IF(C1736="","",IFERROR(VLOOKUP(C1736,Master_Mappings!$A$4:$E$85,3,FALSE()),"UNMAPPED"))</f>
        <v/>
      </c>
      <c r="P1736" s="1" t="str">
        <f aca="false">IF($C1736="","",$C1736&amp;"|"&amp;$E1736&amp;"|"&amp;$M1736&amp;"|"&amp;TEXT($G1736,"yyyy-mm-dd")&amp;"|"&amp;LEFT($J1736,40))</f>
        <v/>
      </c>
      <c r="Q1736" s="11" t="str">
        <f aca="false">IF(P1736="","",IF(COUNTIF($P$2:$P$3000,P1736)&gt;1,"DUPLICATE","OK"))</f>
        <v/>
      </c>
      <c r="R1736" s="0" t="str">
        <f aca="false">IF($C1736="","",IFERROR(VLOOKUP(--$C1736,MM_Income!$Z$5:$AC$204,3,FALSE()),""))</f>
        <v/>
      </c>
    </row>
    <row r="1737" customFormat="false" ht="13.5" hidden="false" customHeight="false" outlineLevel="0" collapsed="false">
      <c r="N1737" s="1" t="str">
        <f aca="false">IF(C1737="","",IFERROR(VLOOKUP(C1737,Master_Mappings!$A$4:$E$85,3,FALSE()),"UNMAPPED"))</f>
        <v/>
      </c>
      <c r="P1737" s="1" t="str">
        <f aca="false">IF($C1737="","",$C1737&amp;"|"&amp;$E1737&amp;"|"&amp;$M1737&amp;"|"&amp;TEXT($G1737,"yyyy-mm-dd")&amp;"|"&amp;LEFT($J1737,40))</f>
        <v/>
      </c>
      <c r="Q1737" s="11" t="str">
        <f aca="false">IF(P1737="","",IF(COUNTIF($P$2:$P$3000,P1737)&gt;1,"DUPLICATE","OK"))</f>
        <v/>
      </c>
      <c r="R1737" s="0" t="str">
        <f aca="false">IF($C1737="","",IFERROR(VLOOKUP(--$C1737,MM_Income!$Z$5:$AC$204,3,FALSE()),""))</f>
        <v/>
      </c>
    </row>
    <row r="1738" customFormat="false" ht="13.5" hidden="false" customHeight="false" outlineLevel="0" collapsed="false">
      <c r="N1738" s="1" t="str">
        <f aca="false">IF(C1738="","",IFERROR(VLOOKUP(C1738,Master_Mappings!$A$4:$E$85,3,FALSE()),"UNMAPPED"))</f>
        <v/>
      </c>
      <c r="P1738" s="1" t="str">
        <f aca="false">IF($C1738="","",$C1738&amp;"|"&amp;$E1738&amp;"|"&amp;$M1738&amp;"|"&amp;TEXT($G1738,"yyyy-mm-dd")&amp;"|"&amp;LEFT($J1738,40))</f>
        <v/>
      </c>
      <c r="Q1738" s="11" t="str">
        <f aca="false">IF(P1738="","",IF(COUNTIF($P$2:$P$3000,P1738)&gt;1,"DUPLICATE","OK"))</f>
        <v/>
      </c>
      <c r="R1738" s="0" t="str">
        <f aca="false">IF($C1738="","",IFERROR(VLOOKUP(--$C1738,MM_Income!$Z$5:$AC$204,3,FALSE()),""))</f>
        <v/>
      </c>
    </row>
    <row r="1739" customFormat="false" ht="13.5" hidden="false" customHeight="false" outlineLevel="0" collapsed="false">
      <c r="N1739" s="1" t="str">
        <f aca="false">IF(C1739="","",IFERROR(VLOOKUP(C1739,Master_Mappings!$A$4:$E$85,3,FALSE()),"UNMAPPED"))</f>
        <v/>
      </c>
      <c r="P1739" s="1" t="str">
        <f aca="false">IF($C1739="","",$C1739&amp;"|"&amp;$E1739&amp;"|"&amp;$M1739&amp;"|"&amp;TEXT($G1739,"yyyy-mm-dd")&amp;"|"&amp;LEFT($J1739,40))</f>
        <v/>
      </c>
      <c r="Q1739" s="11" t="str">
        <f aca="false">IF(P1739="","",IF(COUNTIF($P$2:$P$3000,P1739)&gt;1,"DUPLICATE","OK"))</f>
        <v/>
      </c>
      <c r="R1739" s="0" t="str">
        <f aca="false">IF($C1739="","",IFERROR(VLOOKUP(--$C1739,MM_Income!$Z$5:$AC$204,3,FALSE()),""))</f>
        <v/>
      </c>
    </row>
    <row r="1740" customFormat="false" ht="13.5" hidden="false" customHeight="false" outlineLevel="0" collapsed="false">
      <c r="N1740" s="1" t="str">
        <f aca="false">IF(C1740="","",IFERROR(VLOOKUP(C1740,Master_Mappings!$A$4:$E$85,3,FALSE()),"UNMAPPED"))</f>
        <v/>
      </c>
      <c r="P1740" s="1" t="str">
        <f aca="false">IF($C1740="","",$C1740&amp;"|"&amp;$E1740&amp;"|"&amp;$M1740&amp;"|"&amp;TEXT($G1740,"yyyy-mm-dd")&amp;"|"&amp;LEFT($J1740,40))</f>
        <v/>
      </c>
      <c r="Q1740" s="11" t="str">
        <f aca="false">IF(P1740="","",IF(COUNTIF($P$2:$P$3000,P1740)&gt;1,"DUPLICATE","OK"))</f>
        <v/>
      </c>
      <c r="R1740" s="0" t="str">
        <f aca="false">IF($C1740="","",IFERROR(VLOOKUP(--$C1740,MM_Income!$Z$5:$AC$204,3,FALSE()),""))</f>
        <v/>
      </c>
    </row>
    <row r="1741" customFormat="false" ht="13.5" hidden="false" customHeight="false" outlineLevel="0" collapsed="false">
      <c r="N1741" s="1" t="str">
        <f aca="false">IF(C1741="","",IFERROR(VLOOKUP(C1741,Master_Mappings!$A$4:$E$85,3,FALSE()),"UNMAPPED"))</f>
        <v/>
      </c>
      <c r="P1741" s="1" t="str">
        <f aca="false">IF($C1741="","",$C1741&amp;"|"&amp;$E1741&amp;"|"&amp;$M1741&amp;"|"&amp;TEXT($G1741,"yyyy-mm-dd")&amp;"|"&amp;LEFT($J1741,40))</f>
        <v/>
      </c>
      <c r="Q1741" s="11" t="str">
        <f aca="false">IF(P1741="","",IF(COUNTIF($P$2:$P$3000,P1741)&gt;1,"DUPLICATE","OK"))</f>
        <v/>
      </c>
      <c r="R1741" s="0" t="str">
        <f aca="false">IF($C1741="","",IFERROR(VLOOKUP(--$C1741,MM_Income!$Z$5:$AC$204,3,FALSE()),""))</f>
        <v/>
      </c>
    </row>
    <row r="1742" customFormat="false" ht="13.5" hidden="false" customHeight="false" outlineLevel="0" collapsed="false">
      <c r="N1742" s="1" t="str">
        <f aca="false">IF(C1742="","",IFERROR(VLOOKUP(C1742,Master_Mappings!$A$4:$E$85,3,FALSE()),"UNMAPPED"))</f>
        <v/>
      </c>
      <c r="P1742" s="1" t="str">
        <f aca="false">IF($C1742="","",$C1742&amp;"|"&amp;$E1742&amp;"|"&amp;$M1742&amp;"|"&amp;TEXT($G1742,"yyyy-mm-dd")&amp;"|"&amp;LEFT($J1742,40))</f>
        <v/>
      </c>
      <c r="Q1742" s="11" t="str">
        <f aca="false">IF(P1742="","",IF(COUNTIF($P$2:$P$3000,P1742)&gt;1,"DUPLICATE","OK"))</f>
        <v/>
      </c>
      <c r="R1742" s="0" t="str">
        <f aca="false">IF($C1742="","",IFERROR(VLOOKUP(--$C1742,MM_Income!$Z$5:$AC$204,3,FALSE()),""))</f>
        <v/>
      </c>
    </row>
    <row r="1743" customFormat="false" ht="13.5" hidden="false" customHeight="false" outlineLevel="0" collapsed="false">
      <c r="N1743" s="1" t="str">
        <f aca="false">IF(C1743="","",IFERROR(VLOOKUP(C1743,Master_Mappings!$A$4:$E$85,3,FALSE()),"UNMAPPED"))</f>
        <v/>
      </c>
      <c r="P1743" s="1" t="str">
        <f aca="false">IF($C1743="","",$C1743&amp;"|"&amp;$E1743&amp;"|"&amp;$M1743&amp;"|"&amp;TEXT($G1743,"yyyy-mm-dd")&amp;"|"&amp;LEFT($J1743,40))</f>
        <v/>
      </c>
      <c r="Q1743" s="11" t="str">
        <f aca="false">IF(P1743="","",IF(COUNTIF($P$2:$P$3000,P1743)&gt;1,"DUPLICATE","OK"))</f>
        <v/>
      </c>
      <c r="R1743" s="0" t="str">
        <f aca="false">IF($C1743="","",IFERROR(VLOOKUP(--$C1743,MM_Income!$Z$5:$AC$204,3,FALSE()),""))</f>
        <v/>
      </c>
    </row>
    <row r="1744" customFormat="false" ht="13.5" hidden="false" customHeight="false" outlineLevel="0" collapsed="false">
      <c r="N1744" s="1" t="str">
        <f aca="false">IF(C1744="","",IFERROR(VLOOKUP(C1744,Master_Mappings!$A$4:$E$85,3,FALSE()),"UNMAPPED"))</f>
        <v/>
      </c>
      <c r="P1744" s="1" t="str">
        <f aca="false">IF($C1744="","",$C1744&amp;"|"&amp;$E1744&amp;"|"&amp;$M1744&amp;"|"&amp;TEXT($G1744,"yyyy-mm-dd")&amp;"|"&amp;LEFT($J1744,40))</f>
        <v/>
      </c>
      <c r="Q1744" s="11" t="str">
        <f aca="false">IF(P1744="","",IF(COUNTIF($P$2:$P$3000,P1744)&gt;1,"DUPLICATE","OK"))</f>
        <v/>
      </c>
      <c r="R1744" s="0" t="str">
        <f aca="false">IF($C1744="","",IFERROR(VLOOKUP(--$C1744,MM_Income!$Z$5:$AC$204,3,FALSE()),""))</f>
        <v/>
      </c>
    </row>
    <row r="1745" customFormat="false" ht="13.5" hidden="false" customHeight="false" outlineLevel="0" collapsed="false">
      <c r="N1745" s="1" t="str">
        <f aca="false">IF(C1745="","",IFERROR(VLOOKUP(C1745,Master_Mappings!$A$4:$E$85,3,FALSE()),"UNMAPPED"))</f>
        <v/>
      </c>
      <c r="P1745" s="1" t="str">
        <f aca="false">IF($C1745="","",$C1745&amp;"|"&amp;$E1745&amp;"|"&amp;$M1745&amp;"|"&amp;TEXT($G1745,"yyyy-mm-dd")&amp;"|"&amp;LEFT($J1745,40))</f>
        <v/>
      </c>
      <c r="Q1745" s="11" t="str">
        <f aca="false">IF(P1745="","",IF(COUNTIF($P$2:$P$3000,P1745)&gt;1,"DUPLICATE","OK"))</f>
        <v/>
      </c>
      <c r="R1745" s="0" t="str">
        <f aca="false">IF($C1745="","",IFERROR(VLOOKUP(--$C1745,MM_Income!$Z$5:$AC$204,3,FALSE()),""))</f>
        <v/>
      </c>
    </row>
    <row r="1746" customFormat="false" ht="13.5" hidden="false" customHeight="false" outlineLevel="0" collapsed="false">
      <c r="N1746" s="1" t="str">
        <f aca="false">IF(C1746="","",IFERROR(VLOOKUP(C1746,Master_Mappings!$A$4:$E$85,3,FALSE()),"UNMAPPED"))</f>
        <v/>
      </c>
      <c r="P1746" s="1" t="str">
        <f aca="false">IF($C1746="","",$C1746&amp;"|"&amp;$E1746&amp;"|"&amp;$M1746&amp;"|"&amp;TEXT($G1746,"yyyy-mm-dd")&amp;"|"&amp;LEFT($J1746,40))</f>
        <v/>
      </c>
      <c r="Q1746" s="11" t="str">
        <f aca="false">IF(P1746="","",IF(COUNTIF($P$2:$P$3000,P1746)&gt;1,"DUPLICATE","OK"))</f>
        <v/>
      </c>
      <c r="R1746" s="0" t="str">
        <f aca="false">IF($C1746="","",IFERROR(VLOOKUP(--$C1746,MM_Income!$Z$5:$AC$204,3,FALSE()),""))</f>
        <v/>
      </c>
    </row>
    <row r="1747" customFormat="false" ht="13.5" hidden="false" customHeight="false" outlineLevel="0" collapsed="false">
      <c r="N1747" s="1" t="str">
        <f aca="false">IF(C1747="","",IFERROR(VLOOKUP(C1747,Master_Mappings!$A$4:$E$85,3,FALSE()),"UNMAPPED"))</f>
        <v/>
      </c>
      <c r="P1747" s="1" t="str">
        <f aca="false">IF($C1747="","",$C1747&amp;"|"&amp;$E1747&amp;"|"&amp;$M1747&amp;"|"&amp;TEXT($G1747,"yyyy-mm-dd")&amp;"|"&amp;LEFT($J1747,40))</f>
        <v/>
      </c>
      <c r="Q1747" s="11" t="str">
        <f aca="false">IF(P1747="","",IF(COUNTIF($P$2:$P$3000,P1747)&gt;1,"DUPLICATE","OK"))</f>
        <v/>
      </c>
      <c r="R1747" s="0" t="str">
        <f aca="false">IF($C1747="","",IFERROR(VLOOKUP(--$C1747,MM_Income!$Z$5:$AC$204,3,FALSE()),""))</f>
        <v/>
      </c>
    </row>
    <row r="1748" customFormat="false" ht="13.5" hidden="false" customHeight="false" outlineLevel="0" collapsed="false">
      <c r="N1748" s="1" t="str">
        <f aca="false">IF(C1748="","",IFERROR(VLOOKUP(C1748,Master_Mappings!$A$4:$E$85,3,FALSE()),"UNMAPPED"))</f>
        <v/>
      </c>
      <c r="P1748" s="1" t="str">
        <f aca="false">IF($C1748="","",$C1748&amp;"|"&amp;$E1748&amp;"|"&amp;$M1748&amp;"|"&amp;TEXT($G1748,"yyyy-mm-dd")&amp;"|"&amp;LEFT($J1748,40))</f>
        <v/>
      </c>
      <c r="Q1748" s="11" t="str">
        <f aca="false">IF(P1748="","",IF(COUNTIF($P$2:$P$3000,P1748)&gt;1,"DUPLICATE","OK"))</f>
        <v/>
      </c>
      <c r="R1748" s="0" t="str">
        <f aca="false">IF($C1748="","",IFERROR(VLOOKUP(--$C1748,MM_Income!$Z$5:$AC$204,3,FALSE()),""))</f>
        <v/>
      </c>
    </row>
    <row r="1749" customFormat="false" ht="13.5" hidden="false" customHeight="false" outlineLevel="0" collapsed="false">
      <c r="N1749" s="1" t="str">
        <f aca="false">IF(C1749="","",IFERROR(VLOOKUP(C1749,Master_Mappings!$A$4:$E$85,3,FALSE()),"UNMAPPED"))</f>
        <v/>
      </c>
      <c r="P1749" s="1" t="str">
        <f aca="false">IF($C1749="","",$C1749&amp;"|"&amp;$E1749&amp;"|"&amp;$M1749&amp;"|"&amp;TEXT($G1749,"yyyy-mm-dd")&amp;"|"&amp;LEFT($J1749,40))</f>
        <v/>
      </c>
      <c r="Q1749" s="11" t="str">
        <f aca="false">IF(P1749="","",IF(COUNTIF($P$2:$P$3000,P1749)&gt;1,"DUPLICATE","OK"))</f>
        <v/>
      </c>
      <c r="R1749" s="0" t="str">
        <f aca="false">IF($C1749="","",IFERROR(VLOOKUP(--$C1749,MM_Income!$Z$5:$AC$204,3,FALSE()),""))</f>
        <v/>
      </c>
    </row>
    <row r="1750" customFormat="false" ht="13.5" hidden="false" customHeight="false" outlineLevel="0" collapsed="false">
      <c r="N1750" s="1" t="str">
        <f aca="false">IF(C1750="","",IFERROR(VLOOKUP(C1750,Master_Mappings!$A$4:$E$85,3,FALSE()),"UNMAPPED"))</f>
        <v/>
      </c>
      <c r="P1750" s="1" t="str">
        <f aca="false">IF($C1750="","",$C1750&amp;"|"&amp;$E1750&amp;"|"&amp;$M1750&amp;"|"&amp;TEXT($G1750,"yyyy-mm-dd")&amp;"|"&amp;LEFT($J1750,40))</f>
        <v/>
      </c>
      <c r="Q1750" s="11" t="str">
        <f aca="false">IF(P1750="","",IF(COUNTIF($P$2:$P$3000,P1750)&gt;1,"DUPLICATE","OK"))</f>
        <v/>
      </c>
      <c r="R1750" s="0" t="str">
        <f aca="false">IF($C1750="","",IFERROR(VLOOKUP(--$C1750,MM_Income!$Z$5:$AC$204,3,FALSE()),""))</f>
        <v/>
      </c>
    </row>
    <row r="1751" customFormat="false" ht="13.5" hidden="false" customHeight="false" outlineLevel="0" collapsed="false">
      <c r="N1751" s="1" t="str">
        <f aca="false">IF(C1751="","",IFERROR(VLOOKUP(C1751,Master_Mappings!$A$4:$E$85,3,FALSE()),"UNMAPPED"))</f>
        <v/>
      </c>
      <c r="P1751" s="1" t="str">
        <f aca="false">IF($C1751="","",$C1751&amp;"|"&amp;$E1751&amp;"|"&amp;$M1751&amp;"|"&amp;TEXT($G1751,"yyyy-mm-dd")&amp;"|"&amp;LEFT($J1751,40))</f>
        <v/>
      </c>
      <c r="Q1751" s="11" t="str">
        <f aca="false">IF(P1751="","",IF(COUNTIF($P$2:$P$3000,P1751)&gt;1,"DUPLICATE","OK"))</f>
        <v/>
      </c>
      <c r="R1751" s="0" t="str">
        <f aca="false">IF($C1751="","",IFERROR(VLOOKUP(--$C1751,MM_Income!$Z$5:$AC$204,3,FALSE()),""))</f>
        <v/>
      </c>
    </row>
    <row r="1752" customFormat="false" ht="13.5" hidden="false" customHeight="false" outlineLevel="0" collapsed="false">
      <c r="N1752" s="1" t="str">
        <f aca="false">IF(C1752="","",IFERROR(VLOOKUP(C1752,Master_Mappings!$A$4:$E$85,3,FALSE()),"UNMAPPED"))</f>
        <v/>
      </c>
      <c r="P1752" s="1" t="str">
        <f aca="false">IF($C1752="","",$C1752&amp;"|"&amp;$E1752&amp;"|"&amp;$M1752&amp;"|"&amp;TEXT($G1752,"yyyy-mm-dd")&amp;"|"&amp;LEFT($J1752,40))</f>
        <v/>
      </c>
      <c r="Q1752" s="11" t="str">
        <f aca="false">IF(P1752="","",IF(COUNTIF($P$2:$P$3000,P1752)&gt;1,"DUPLICATE","OK"))</f>
        <v/>
      </c>
      <c r="R1752" s="0" t="str">
        <f aca="false">IF($C1752="","",IFERROR(VLOOKUP(--$C1752,MM_Income!$Z$5:$AC$204,3,FALSE()),""))</f>
        <v/>
      </c>
    </row>
    <row r="1753" customFormat="false" ht="13.5" hidden="false" customHeight="false" outlineLevel="0" collapsed="false">
      <c r="N1753" s="1" t="str">
        <f aca="false">IF(C1753="","",IFERROR(VLOOKUP(C1753,Master_Mappings!$A$4:$E$85,3,FALSE()),"UNMAPPED"))</f>
        <v/>
      </c>
      <c r="P1753" s="1" t="str">
        <f aca="false">IF($C1753="","",$C1753&amp;"|"&amp;$E1753&amp;"|"&amp;$M1753&amp;"|"&amp;TEXT($G1753,"yyyy-mm-dd")&amp;"|"&amp;LEFT($J1753,40))</f>
        <v/>
      </c>
      <c r="Q1753" s="11" t="str">
        <f aca="false">IF(P1753="","",IF(COUNTIF($P$2:$P$3000,P1753)&gt;1,"DUPLICATE","OK"))</f>
        <v/>
      </c>
      <c r="R1753" s="0" t="str">
        <f aca="false">IF($C1753="","",IFERROR(VLOOKUP(--$C1753,MM_Income!$Z$5:$AC$204,3,FALSE()),""))</f>
        <v/>
      </c>
    </row>
    <row r="1754" customFormat="false" ht="13.5" hidden="false" customHeight="false" outlineLevel="0" collapsed="false">
      <c r="N1754" s="1" t="str">
        <f aca="false">IF(C1754="","",IFERROR(VLOOKUP(C1754,Master_Mappings!$A$4:$E$85,3,FALSE()),"UNMAPPED"))</f>
        <v/>
      </c>
      <c r="P1754" s="1" t="str">
        <f aca="false">IF($C1754="","",$C1754&amp;"|"&amp;$E1754&amp;"|"&amp;$M1754&amp;"|"&amp;TEXT($G1754,"yyyy-mm-dd")&amp;"|"&amp;LEFT($J1754,40))</f>
        <v/>
      </c>
      <c r="Q1754" s="11" t="str">
        <f aca="false">IF(P1754="","",IF(COUNTIF($P$2:$P$3000,P1754)&gt;1,"DUPLICATE","OK"))</f>
        <v/>
      </c>
      <c r="R1754" s="0" t="str">
        <f aca="false">IF($C1754="","",IFERROR(VLOOKUP(--$C1754,MM_Income!$Z$5:$AC$204,3,FALSE()),""))</f>
        <v/>
      </c>
    </row>
    <row r="1755" customFormat="false" ht="13.5" hidden="false" customHeight="false" outlineLevel="0" collapsed="false">
      <c r="N1755" s="1" t="str">
        <f aca="false">IF(C1755="","",IFERROR(VLOOKUP(C1755,Master_Mappings!$A$4:$E$85,3,FALSE()),"UNMAPPED"))</f>
        <v/>
      </c>
      <c r="P1755" s="1" t="str">
        <f aca="false">IF($C1755="","",$C1755&amp;"|"&amp;$E1755&amp;"|"&amp;$M1755&amp;"|"&amp;TEXT($G1755,"yyyy-mm-dd")&amp;"|"&amp;LEFT($J1755,40))</f>
        <v/>
      </c>
      <c r="Q1755" s="11" t="str">
        <f aca="false">IF(P1755="","",IF(COUNTIF($P$2:$P$3000,P1755)&gt;1,"DUPLICATE","OK"))</f>
        <v/>
      </c>
      <c r="R1755" s="0" t="str">
        <f aca="false">IF($C1755="","",IFERROR(VLOOKUP(--$C1755,MM_Income!$Z$5:$AC$204,3,FALSE()),""))</f>
        <v/>
      </c>
    </row>
    <row r="1756" customFormat="false" ht="13.5" hidden="false" customHeight="false" outlineLevel="0" collapsed="false">
      <c r="N1756" s="1" t="str">
        <f aca="false">IF(C1756="","",IFERROR(VLOOKUP(C1756,Master_Mappings!$A$4:$E$85,3,FALSE()),"UNMAPPED"))</f>
        <v/>
      </c>
      <c r="P1756" s="1" t="str">
        <f aca="false">IF($C1756="","",$C1756&amp;"|"&amp;$E1756&amp;"|"&amp;$M1756&amp;"|"&amp;TEXT($G1756,"yyyy-mm-dd")&amp;"|"&amp;LEFT($J1756,40))</f>
        <v/>
      </c>
      <c r="Q1756" s="11" t="str">
        <f aca="false">IF(P1756="","",IF(COUNTIF($P$2:$P$3000,P1756)&gt;1,"DUPLICATE","OK"))</f>
        <v/>
      </c>
      <c r="R1756" s="0" t="str">
        <f aca="false">IF($C1756="","",IFERROR(VLOOKUP(--$C1756,MM_Income!$Z$5:$AC$204,3,FALSE()),""))</f>
        <v/>
      </c>
    </row>
    <row r="1757" customFormat="false" ht="13.5" hidden="false" customHeight="false" outlineLevel="0" collapsed="false">
      <c r="N1757" s="1" t="str">
        <f aca="false">IF(C1757="","",IFERROR(VLOOKUP(C1757,Master_Mappings!$A$4:$E$85,3,FALSE()),"UNMAPPED"))</f>
        <v/>
      </c>
      <c r="P1757" s="1" t="str">
        <f aca="false">IF($C1757="","",$C1757&amp;"|"&amp;$E1757&amp;"|"&amp;$M1757&amp;"|"&amp;TEXT($G1757,"yyyy-mm-dd")&amp;"|"&amp;LEFT($J1757,40))</f>
        <v/>
      </c>
      <c r="Q1757" s="11" t="str">
        <f aca="false">IF(P1757="","",IF(COUNTIF($P$2:$P$3000,P1757)&gt;1,"DUPLICATE","OK"))</f>
        <v/>
      </c>
      <c r="R1757" s="0" t="str">
        <f aca="false">IF($C1757="","",IFERROR(VLOOKUP(--$C1757,MM_Income!$Z$5:$AC$204,3,FALSE()),""))</f>
        <v/>
      </c>
    </row>
    <row r="1758" customFormat="false" ht="13.5" hidden="false" customHeight="false" outlineLevel="0" collapsed="false">
      <c r="N1758" s="1" t="str">
        <f aca="false">IF(C1758="","",IFERROR(VLOOKUP(C1758,Master_Mappings!$A$4:$E$85,3,FALSE()),"UNMAPPED"))</f>
        <v/>
      </c>
      <c r="P1758" s="1" t="str">
        <f aca="false">IF($C1758="","",$C1758&amp;"|"&amp;$E1758&amp;"|"&amp;$M1758&amp;"|"&amp;TEXT($G1758,"yyyy-mm-dd")&amp;"|"&amp;LEFT($J1758,40))</f>
        <v/>
      </c>
      <c r="Q1758" s="11" t="str">
        <f aca="false">IF(P1758="","",IF(COUNTIF($P$2:$P$3000,P1758)&gt;1,"DUPLICATE","OK"))</f>
        <v/>
      </c>
      <c r="R1758" s="0" t="str">
        <f aca="false">IF($C1758="","",IFERROR(VLOOKUP(--$C1758,MM_Income!$Z$5:$AC$204,3,FALSE()),""))</f>
        <v/>
      </c>
    </row>
    <row r="1759" customFormat="false" ht="13.5" hidden="false" customHeight="false" outlineLevel="0" collapsed="false">
      <c r="N1759" s="1" t="str">
        <f aca="false">IF(C1759="","",IFERROR(VLOOKUP(C1759,Master_Mappings!$A$4:$E$85,3,FALSE()),"UNMAPPED"))</f>
        <v/>
      </c>
      <c r="P1759" s="1" t="str">
        <f aca="false">IF($C1759="","",$C1759&amp;"|"&amp;$E1759&amp;"|"&amp;$M1759&amp;"|"&amp;TEXT($G1759,"yyyy-mm-dd")&amp;"|"&amp;LEFT($J1759,40))</f>
        <v/>
      </c>
      <c r="Q1759" s="11" t="str">
        <f aca="false">IF(P1759="","",IF(COUNTIF($P$2:$P$3000,P1759)&gt;1,"DUPLICATE","OK"))</f>
        <v/>
      </c>
      <c r="R1759" s="0" t="str">
        <f aca="false">IF($C1759="","",IFERROR(VLOOKUP(--$C1759,MM_Income!$Z$5:$AC$204,3,FALSE()),""))</f>
        <v/>
      </c>
    </row>
    <row r="1760" customFormat="false" ht="13.5" hidden="false" customHeight="false" outlineLevel="0" collapsed="false">
      <c r="N1760" s="1" t="str">
        <f aca="false">IF(C1760="","",IFERROR(VLOOKUP(C1760,Master_Mappings!$A$4:$E$85,3,FALSE()),"UNMAPPED"))</f>
        <v/>
      </c>
      <c r="P1760" s="1" t="str">
        <f aca="false">IF($C1760="","",$C1760&amp;"|"&amp;$E1760&amp;"|"&amp;$M1760&amp;"|"&amp;TEXT($G1760,"yyyy-mm-dd")&amp;"|"&amp;LEFT($J1760,40))</f>
        <v/>
      </c>
      <c r="Q1760" s="11" t="str">
        <f aca="false">IF(P1760="","",IF(COUNTIF($P$2:$P$3000,P1760)&gt;1,"DUPLICATE","OK"))</f>
        <v/>
      </c>
      <c r="R1760" s="0" t="str">
        <f aca="false">IF($C1760="","",IFERROR(VLOOKUP(--$C1760,MM_Income!$Z$5:$AC$204,3,FALSE()),""))</f>
        <v/>
      </c>
    </row>
    <row r="1761" customFormat="false" ht="13.5" hidden="false" customHeight="false" outlineLevel="0" collapsed="false">
      <c r="N1761" s="1" t="str">
        <f aca="false">IF(C1761="","",IFERROR(VLOOKUP(C1761,Master_Mappings!$A$4:$E$85,3,FALSE()),"UNMAPPED"))</f>
        <v/>
      </c>
      <c r="P1761" s="1" t="str">
        <f aca="false">IF($C1761="","",$C1761&amp;"|"&amp;$E1761&amp;"|"&amp;$M1761&amp;"|"&amp;TEXT($G1761,"yyyy-mm-dd")&amp;"|"&amp;LEFT($J1761,40))</f>
        <v/>
      </c>
      <c r="Q1761" s="11" t="str">
        <f aca="false">IF(P1761="","",IF(COUNTIF($P$2:$P$3000,P1761)&gt;1,"DUPLICATE","OK"))</f>
        <v/>
      </c>
      <c r="R1761" s="0" t="str">
        <f aca="false">IF($C1761="","",IFERROR(VLOOKUP(--$C1761,MM_Income!$Z$5:$AC$204,3,FALSE()),""))</f>
        <v/>
      </c>
    </row>
    <row r="1762" customFormat="false" ht="13.5" hidden="false" customHeight="false" outlineLevel="0" collapsed="false">
      <c r="N1762" s="1" t="str">
        <f aca="false">IF(C1762="","",IFERROR(VLOOKUP(C1762,Master_Mappings!$A$4:$E$85,3,FALSE()),"UNMAPPED"))</f>
        <v/>
      </c>
      <c r="P1762" s="1" t="str">
        <f aca="false">IF($C1762="","",$C1762&amp;"|"&amp;$E1762&amp;"|"&amp;$M1762&amp;"|"&amp;TEXT($G1762,"yyyy-mm-dd")&amp;"|"&amp;LEFT($J1762,40))</f>
        <v/>
      </c>
      <c r="Q1762" s="11" t="str">
        <f aca="false">IF(P1762="","",IF(COUNTIF($P$2:$P$3000,P1762)&gt;1,"DUPLICATE","OK"))</f>
        <v/>
      </c>
      <c r="R1762" s="0" t="str">
        <f aca="false">IF($C1762="","",IFERROR(VLOOKUP(--$C1762,MM_Income!$Z$5:$AC$204,3,FALSE()),""))</f>
        <v/>
      </c>
    </row>
    <row r="1763" customFormat="false" ht="13.5" hidden="false" customHeight="false" outlineLevel="0" collapsed="false">
      <c r="N1763" s="1" t="str">
        <f aca="false">IF(C1763="","",IFERROR(VLOOKUP(C1763,Master_Mappings!$A$4:$E$85,3,FALSE()),"UNMAPPED"))</f>
        <v/>
      </c>
      <c r="P1763" s="1" t="str">
        <f aca="false">IF($C1763="","",$C1763&amp;"|"&amp;$E1763&amp;"|"&amp;$M1763&amp;"|"&amp;TEXT($G1763,"yyyy-mm-dd")&amp;"|"&amp;LEFT($J1763,40))</f>
        <v/>
      </c>
      <c r="Q1763" s="11" t="str">
        <f aca="false">IF(P1763="","",IF(COUNTIF($P$2:$P$3000,P1763)&gt;1,"DUPLICATE","OK"))</f>
        <v/>
      </c>
      <c r="R1763" s="0" t="str">
        <f aca="false">IF($C1763="","",IFERROR(VLOOKUP(--$C1763,MM_Income!$Z$5:$AC$204,3,FALSE()),""))</f>
        <v/>
      </c>
    </row>
    <row r="1764" customFormat="false" ht="13.5" hidden="false" customHeight="false" outlineLevel="0" collapsed="false">
      <c r="N1764" s="1" t="str">
        <f aca="false">IF(C1764="","",IFERROR(VLOOKUP(C1764,Master_Mappings!$A$4:$E$85,3,FALSE()),"UNMAPPED"))</f>
        <v/>
      </c>
      <c r="P1764" s="1" t="str">
        <f aca="false">IF($C1764="","",$C1764&amp;"|"&amp;$E1764&amp;"|"&amp;$M1764&amp;"|"&amp;TEXT($G1764,"yyyy-mm-dd")&amp;"|"&amp;LEFT($J1764,40))</f>
        <v/>
      </c>
      <c r="Q1764" s="11" t="str">
        <f aca="false">IF(P1764="","",IF(COUNTIF($P$2:$P$3000,P1764)&gt;1,"DUPLICATE","OK"))</f>
        <v/>
      </c>
      <c r="R1764" s="0" t="str">
        <f aca="false">IF($C1764="","",IFERROR(VLOOKUP(--$C1764,MM_Income!$Z$5:$AC$204,3,FALSE()),""))</f>
        <v/>
      </c>
    </row>
    <row r="1765" customFormat="false" ht="13.5" hidden="false" customHeight="false" outlineLevel="0" collapsed="false">
      <c r="N1765" s="1" t="str">
        <f aca="false">IF(C1765="","",IFERROR(VLOOKUP(C1765,Master_Mappings!$A$4:$E$85,3,FALSE()),"UNMAPPED"))</f>
        <v/>
      </c>
      <c r="P1765" s="1" t="str">
        <f aca="false">IF($C1765="","",$C1765&amp;"|"&amp;$E1765&amp;"|"&amp;$M1765&amp;"|"&amp;TEXT($G1765,"yyyy-mm-dd")&amp;"|"&amp;LEFT($J1765,40))</f>
        <v/>
      </c>
      <c r="Q1765" s="11" t="str">
        <f aca="false">IF(P1765="","",IF(COUNTIF($P$2:$P$3000,P1765)&gt;1,"DUPLICATE","OK"))</f>
        <v/>
      </c>
      <c r="R1765" s="0" t="str">
        <f aca="false">IF($C1765="","",IFERROR(VLOOKUP(--$C1765,MM_Income!$Z$5:$AC$204,3,FALSE()),""))</f>
        <v/>
      </c>
    </row>
    <row r="1766" customFormat="false" ht="13.5" hidden="false" customHeight="false" outlineLevel="0" collapsed="false">
      <c r="N1766" s="1" t="str">
        <f aca="false">IF(C1766="","",IFERROR(VLOOKUP(C1766,Master_Mappings!$A$4:$E$85,3,FALSE()),"UNMAPPED"))</f>
        <v/>
      </c>
      <c r="P1766" s="1" t="str">
        <f aca="false">IF($C1766="","",$C1766&amp;"|"&amp;$E1766&amp;"|"&amp;$M1766&amp;"|"&amp;TEXT($G1766,"yyyy-mm-dd")&amp;"|"&amp;LEFT($J1766,40))</f>
        <v/>
      </c>
      <c r="Q1766" s="11" t="str">
        <f aca="false">IF(P1766="","",IF(COUNTIF($P$2:$P$3000,P1766)&gt;1,"DUPLICATE","OK"))</f>
        <v/>
      </c>
      <c r="R1766" s="0" t="str">
        <f aca="false">IF($C1766="","",IFERROR(VLOOKUP(--$C1766,MM_Income!$Z$5:$AC$204,3,FALSE()),""))</f>
        <v/>
      </c>
    </row>
    <row r="1767" customFormat="false" ht="13.5" hidden="false" customHeight="false" outlineLevel="0" collapsed="false">
      <c r="N1767" s="1" t="str">
        <f aca="false">IF(C1767="","",IFERROR(VLOOKUP(C1767,Master_Mappings!$A$4:$E$85,3,FALSE()),"UNMAPPED"))</f>
        <v/>
      </c>
      <c r="P1767" s="1" t="str">
        <f aca="false">IF($C1767="","",$C1767&amp;"|"&amp;$E1767&amp;"|"&amp;$M1767&amp;"|"&amp;TEXT($G1767,"yyyy-mm-dd")&amp;"|"&amp;LEFT($J1767,40))</f>
        <v/>
      </c>
      <c r="Q1767" s="11" t="str">
        <f aca="false">IF(P1767="","",IF(COUNTIF($P$2:$P$3000,P1767)&gt;1,"DUPLICATE","OK"))</f>
        <v/>
      </c>
      <c r="R1767" s="0" t="str">
        <f aca="false">IF($C1767="","",IFERROR(VLOOKUP(--$C1767,MM_Income!$Z$5:$AC$204,3,FALSE()),""))</f>
        <v/>
      </c>
    </row>
    <row r="1768" customFormat="false" ht="13.5" hidden="false" customHeight="false" outlineLevel="0" collapsed="false">
      <c r="N1768" s="1" t="str">
        <f aca="false">IF(C1768="","",IFERROR(VLOOKUP(C1768,Master_Mappings!$A$4:$E$85,3,FALSE()),"UNMAPPED"))</f>
        <v/>
      </c>
      <c r="P1768" s="1" t="str">
        <f aca="false">IF($C1768="","",$C1768&amp;"|"&amp;$E1768&amp;"|"&amp;$M1768&amp;"|"&amp;TEXT($G1768,"yyyy-mm-dd")&amp;"|"&amp;LEFT($J1768,40))</f>
        <v/>
      </c>
      <c r="Q1768" s="11" t="str">
        <f aca="false">IF(P1768="","",IF(COUNTIF($P$2:$P$3000,P1768)&gt;1,"DUPLICATE","OK"))</f>
        <v/>
      </c>
      <c r="R1768" s="0" t="str">
        <f aca="false">IF($C1768="","",IFERROR(VLOOKUP(--$C1768,MM_Income!$Z$5:$AC$204,3,FALSE()),""))</f>
        <v/>
      </c>
    </row>
    <row r="1769" customFormat="false" ht="13.5" hidden="false" customHeight="false" outlineLevel="0" collapsed="false">
      <c r="N1769" s="1" t="str">
        <f aca="false">IF(C1769="","",IFERROR(VLOOKUP(C1769,Master_Mappings!$A$4:$E$85,3,FALSE()),"UNMAPPED"))</f>
        <v/>
      </c>
      <c r="P1769" s="1" t="str">
        <f aca="false">IF($C1769="","",$C1769&amp;"|"&amp;$E1769&amp;"|"&amp;$M1769&amp;"|"&amp;TEXT($G1769,"yyyy-mm-dd")&amp;"|"&amp;LEFT($J1769,40))</f>
        <v/>
      </c>
      <c r="Q1769" s="11" t="str">
        <f aca="false">IF(P1769="","",IF(COUNTIF($P$2:$P$3000,P1769)&gt;1,"DUPLICATE","OK"))</f>
        <v/>
      </c>
      <c r="R1769" s="0" t="str">
        <f aca="false">IF($C1769="","",IFERROR(VLOOKUP(--$C1769,MM_Income!$Z$5:$AC$204,3,FALSE()),""))</f>
        <v/>
      </c>
    </row>
    <row r="1770" customFormat="false" ht="13.5" hidden="false" customHeight="false" outlineLevel="0" collapsed="false">
      <c r="N1770" s="1" t="str">
        <f aca="false">IF(C1770="","",IFERROR(VLOOKUP(C1770,Master_Mappings!$A$4:$E$85,3,FALSE()),"UNMAPPED"))</f>
        <v/>
      </c>
      <c r="P1770" s="1" t="str">
        <f aca="false">IF($C1770="","",$C1770&amp;"|"&amp;$E1770&amp;"|"&amp;$M1770&amp;"|"&amp;TEXT($G1770,"yyyy-mm-dd")&amp;"|"&amp;LEFT($J1770,40))</f>
        <v/>
      </c>
      <c r="Q1770" s="11" t="str">
        <f aca="false">IF(P1770="","",IF(COUNTIF($P$2:$P$3000,P1770)&gt;1,"DUPLICATE","OK"))</f>
        <v/>
      </c>
      <c r="R1770" s="0" t="str">
        <f aca="false">IF($C1770="","",IFERROR(VLOOKUP(--$C1770,MM_Income!$Z$5:$AC$204,3,FALSE()),""))</f>
        <v/>
      </c>
    </row>
    <row r="1771" customFormat="false" ht="13.5" hidden="false" customHeight="false" outlineLevel="0" collapsed="false">
      <c r="N1771" s="1" t="str">
        <f aca="false">IF(C1771="","",IFERROR(VLOOKUP(C1771,Master_Mappings!$A$4:$E$85,3,FALSE()),"UNMAPPED"))</f>
        <v/>
      </c>
      <c r="P1771" s="1" t="str">
        <f aca="false">IF($C1771="","",$C1771&amp;"|"&amp;$E1771&amp;"|"&amp;$M1771&amp;"|"&amp;TEXT($G1771,"yyyy-mm-dd")&amp;"|"&amp;LEFT($J1771,40))</f>
        <v/>
      </c>
      <c r="Q1771" s="11" t="str">
        <f aca="false">IF(P1771="","",IF(COUNTIF($P$2:$P$3000,P1771)&gt;1,"DUPLICATE","OK"))</f>
        <v/>
      </c>
      <c r="R1771" s="0" t="str">
        <f aca="false">IF($C1771="","",IFERROR(VLOOKUP(--$C1771,MM_Income!$Z$5:$AC$204,3,FALSE()),""))</f>
        <v/>
      </c>
    </row>
    <row r="1772" customFormat="false" ht="13.5" hidden="false" customHeight="false" outlineLevel="0" collapsed="false">
      <c r="N1772" s="1" t="str">
        <f aca="false">IF(C1772="","",IFERROR(VLOOKUP(C1772,Master_Mappings!$A$4:$E$85,3,FALSE()),"UNMAPPED"))</f>
        <v/>
      </c>
      <c r="P1772" s="1" t="str">
        <f aca="false">IF($C1772="","",$C1772&amp;"|"&amp;$E1772&amp;"|"&amp;$M1772&amp;"|"&amp;TEXT($G1772,"yyyy-mm-dd")&amp;"|"&amp;LEFT($J1772,40))</f>
        <v/>
      </c>
      <c r="Q1772" s="11" t="str">
        <f aca="false">IF(P1772="","",IF(COUNTIF($P$2:$P$3000,P1772)&gt;1,"DUPLICATE","OK"))</f>
        <v/>
      </c>
      <c r="R1772" s="0" t="str">
        <f aca="false">IF($C1772="","",IFERROR(VLOOKUP(--$C1772,MM_Income!$Z$5:$AC$204,3,FALSE()),""))</f>
        <v/>
      </c>
    </row>
    <row r="1773" customFormat="false" ht="13.5" hidden="false" customHeight="false" outlineLevel="0" collapsed="false">
      <c r="N1773" s="1" t="str">
        <f aca="false">IF(C1773="","",IFERROR(VLOOKUP(C1773,Master_Mappings!$A$4:$E$85,3,FALSE()),"UNMAPPED"))</f>
        <v/>
      </c>
      <c r="P1773" s="1" t="str">
        <f aca="false">IF($C1773="","",$C1773&amp;"|"&amp;$E1773&amp;"|"&amp;$M1773&amp;"|"&amp;TEXT($G1773,"yyyy-mm-dd")&amp;"|"&amp;LEFT($J1773,40))</f>
        <v/>
      </c>
      <c r="Q1773" s="11" t="str">
        <f aca="false">IF(P1773="","",IF(COUNTIF($P$2:$P$3000,P1773)&gt;1,"DUPLICATE","OK"))</f>
        <v/>
      </c>
      <c r="R1773" s="0" t="str">
        <f aca="false">IF($C1773="","",IFERROR(VLOOKUP(--$C1773,MM_Income!$Z$5:$AC$204,3,FALSE()),""))</f>
        <v/>
      </c>
    </row>
    <row r="1774" customFormat="false" ht="13.5" hidden="false" customHeight="false" outlineLevel="0" collapsed="false">
      <c r="N1774" s="1" t="str">
        <f aca="false">IF(C1774="","",IFERROR(VLOOKUP(C1774,Master_Mappings!$A$4:$E$85,3,FALSE()),"UNMAPPED"))</f>
        <v/>
      </c>
      <c r="P1774" s="1" t="str">
        <f aca="false">IF($C1774="","",$C1774&amp;"|"&amp;$E1774&amp;"|"&amp;$M1774&amp;"|"&amp;TEXT($G1774,"yyyy-mm-dd")&amp;"|"&amp;LEFT($J1774,40))</f>
        <v/>
      </c>
      <c r="Q1774" s="11" t="str">
        <f aca="false">IF(P1774="","",IF(COUNTIF($P$2:$P$3000,P1774)&gt;1,"DUPLICATE","OK"))</f>
        <v/>
      </c>
      <c r="R1774" s="0" t="str">
        <f aca="false">IF($C1774="","",IFERROR(VLOOKUP(--$C1774,MM_Income!$Z$5:$AC$204,3,FALSE()),""))</f>
        <v/>
      </c>
    </row>
    <row r="1775" customFormat="false" ht="13.5" hidden="false" customHeight="false" outlineLevel="0" collapsed="false">
      <c r="N1775" s="1" t="str">
        <f aca="false">IF(C1775="","",IFERROR(VLOOKUP(C1775,Master_Mappings!$A$4:$E$85,3,FALSE()),"UNMAPPED"))</f>
        <v/>
      </c>
      <c r="P1775" s="1" t="str">
        <f aca="false">IF($C1775="","",$C1775&amp;"|"&amp;$E1775&amp;"|"&amp;$M1775&amp;"|"&amp;TEXT($G1775,"yyyy-mm-dd")&amp;"|"&amp;LEFT($J1775,40))</f>
        <v/>
      </c>
      <c r="Q1775" s="11" t="str">
        <f aca="false">IF(P1775="","",IF(COUNTIF($P$2:$P$3000,P1775)&gt;1,"DUPLICATE","OK"))</f>
        <v/>
      </c>
      <c r="R1775" s="0" t="str">
        <f aca="false">IF($C1775="","",IFERROR(VLOOKUP(--$C1775,MM_Income!$Z$5:$AC$204,3,FALSE()),""))</f>
        <v/>
      </c>
    </row>
    <row r="1776" customFormat="false" ht="13.5" hidden="false" customHeight="false" outlineLevel="0" collapsed="false">
      <c r="N1776" s="1" t="str">
        <f aca="false">IF(C1776="","",IFERROR(VLOOKUP(C1776,Master_Mappings!$A$4:$E$85,3,FALSE()),"UNMAPPED"))</f>
        <v/>
      </c>
      <c r="P1776" s="1" t="str">
        <f aca="false">IF($C1776="","",$C1776&amp;"|"&amp;$E1776&amp;"|"&amp;$M1776&amp;"|"&amp;TEXT($G1776,"yyyy-mm-dd")&amp;"|"&amp;LEFT($J1776,40))</f>
        <v/>
      </c>
      <c r="Q1776" s="11" t="str">
        <f aca="false">IF(P1776="","",IF(COUNTIF($P$2:$P$3000,P1776)&gt;1,"DUPLICATE","OK"))</f>
        <v/>
      </c>
      <c r="R1776" s="0" t="str">
        <f aca="false">IF($C1776="","",IFERROR(VLOOKUP(--$C1776,MM_Income!$Z$5:$AC$204,3,FALSE()),""))</f>
        <v/>
      </c>
    </row>
    <row r="1777" customFormat="false" ht="13.5" hidden="false" customHeight="false" outlineLevel="0" collapsed="false">
      <c r="N1777" s="1" t="str">
        <f aca="false">IF(C1777="","",IFERROR(VLOOKUP(C1777,Master_Mappings!$A$4:$E$85,3,FALSE()),"UNMAPPED"))</f>
        <v/>
      </c>
      <c r="P1777" s="1" t="str">
        <f aca="false">IF($C1777="","",$C1777&amp;"|"&amp;$E1777&amp;"|"&amp;$M1777&amp;"|"&amp;TEXT($G1777,"yyyy-mm-dd")&amp;"|"&amp;LEFT($J1777,40))</f>
        <v/>
      </c>
      <c r="Q1777" s="11" t="str">
        <f aca="false">IF(P1777="","",IF(COUNTIF($P$2:$P$3000,P1777)&gt;1,"DUPLICATE","OK"))</f>
        <v/>
      </c>
      <c r="R1777" s="0" t="str">
        <f aca="false">IF($C1777="","",IFERROR(VLOOKUP(--$C1777,MM_Income!$Z$5:$AC$204,3,FALSE()),""))</f>
        <v/>
      </c>
    </row>
    <row r="1778" customFormat="false" ht="13.5" hidden="false" customHeight="false" outlineLevel="0" collapsed="false">
      <c r="N1778" s="1" t="str">
        <f aca="false">IF(C1778="","",IFERROR(VLOOKUP(C1778,Master_Mappings!$A$4:$E$85,3,FALSE()),"UNMAPPED"))</f>
        <v/>
      </c>
      <c r="P1778" s="1" t="str">
        <f aca="false">IF($C1778="","",$C1778&amp;"|"&amp;$E1778&amp;"|"&amp;$M1778&amp;"|"&amp;TEXT($G1778,"yyyy-mm-dd")&amp;"|"&amp;LEFT($J1778,40))</f>
        <v/>
      </c>
      <c r="Q1778" s="11" t="str">
        <f aca="false">IF(P1778="","",IF(COUNTIF($P$2:$P$3000,P1778)&gt;1,"DUPLICATE","OK"))</f>
        <v/>
      </c>
      <c r="R1778" s="0" t="str">
        <f aca="false">IF($C1778="","",IFERROR(VLOOKUP(--$C1778,MM_Income!$Z$5:$AC$204,3,FALSE()),""))</f>
        <v/>
      </c>
    </row>
    <row r="1779" customFormat="false" ht="13.5" hidden="false" customHeight="false" outlineLevel="0" collapsed="false">
      <c r="N1779" s="1" t="str">
        <f aca="false">IF(C1779="","",IFERROR(VLOOKUP(C1779,Master_Mappings!$A$4:$E$85,3,FALSE()),"UNMAPPED"))</f>
        <v/>
      </c>
      <c r="P1779" s="1" t="str">
        <f aca="false">IF($C1779="","",$C1779&amp;"|"&amp;$E1779&amp;"|"&amp;$M1779&amp;"|"&amp;TEXT($G1779,"yyyy-mm-dd")&amp;"|"&amp;LEFT($J1779,40))</f>
        <v/>
      </c>
      <c r="Q1779" s="11" t="str">
        <f aca="false">IF(P1779="","",IF(COUNTIF($P$2:$P$3000,P1779)&gt;1,"DUPLICATE","OK"))</f>
        <v/>
      </c>
      <c r="R1779" s="0" t="str">
        <f aca="false">IF($C1779="","",IFERROR(VLOOKUP(--$C1779,MM_Income!$Z$5:$AC$204,3,FALSE()),""))</f>
        <v/>
      </c>
    </row>
    <row r="1780" customFormat="false" ht="13.5" hidden="false" customHeight="false" outlineLevel="0" collapsed="false">
      <c r="N1780" s="1" t="str">
        <f aca="false">IF(C1780="","",IFERROR(VLOOKUP(C1780,Master_Mappings!$A$4:$E$85,3,FALSE()),"UNMAPPED"))</f>
        <v/>
      </c>
      <c r="P1780" s="1" t="str">
        <f aca="false">IF($C1780="","",$C1780&amp;"|"&amp;$E1780&amp;"|"&amp;$M1780&amp;"|"&amp;TEXT($G1780,"yyyy-mm-dd")&amp;"|"&amp;LEFT($J1780,40))</f>
        <v/>
      </c>
      <c r="Q1780" s="11" t="str">
        <f aca="false">IF(P1780="","",IF(COUNTIF($P$2:$P$3000,P1780)&gt;1,"DUPLICATE","OK"))</f>
        <v/>
      </c>
      <c r="R1780" s="0" t="str">
        <f aca="false">IF($C1780="","",IFERROR(VLOOKUP(--$C1780,MM_Income!$Z$5:$AC$204,3,FALSE()),""))</f>
        <v/>
      </c>
    </row>
    <row r="1781" customFormat="false" ht="13.5" hidden="false" customHeight="false" outlineLevel="0" collapsed="false">
      <c r="N1781" s="1" t="str">
        <f aca="false">IF(C1781="","",IFERROR(VLOOKUP(C1781,Master_Mappings!$A$4:$E$85,3,FALSE()),"UNMAPPED"))</f>
        <v/>
      </c>
      <c r="P1781" s="1" t="str">
        <f aca="false">IF($C1781="","",$C1781&amp;"|"&amp;$E1781&amp;"|"&amp;$M1781&amp;"|"&amp;TEXT($G1781,"yyyy-mm-dd")&amp;"|"&amp;LEFT($J1781,40))</f>
        <v/>
      </c>
      <c r="Q1781" s="11" t="str">
        <f aca="false">IF(P1781="","",IF(COUNTIF($P$2:$P$3000,P1781)&gt;1,"DUPLICATE","OK"))</f>
        <v/>
      </c>
      <c r="R1781" s="0" t="str">
        <f aca="false">IF($C1781="","",IFERROR(VLOOKUP(--$C1781,MM_Income!$Z$5:$AC$204,3,FALSE()),""))</f>
        <v/>
      </c>
    </row>
    <row r="1782" customFormat="false" ht="13.5" hidden="false" customHeight="false" outlineLevel="0" collapsed="false">
      <c r="N1782" s="1" t="str">
        <f aca="false">IF(C1782="","",IFERROR(VLOOKUP(C1782,Master_Mappings!$A$4:$E$85,3,FALSE()),"UNMAPPED"))</f>
        <v/>
      </c>
      <c r="P1782" s="1" t="str">
        <f aca="false">IF($C1782="","",$C1782&amp;"|"&amp;$E1782&amp;"|"&amp;$M1782&amp;"|"&amp;TEXT($G1782,"yyyy-mm-dd")&amp;"|"&amp;LEFT($J1782,40))</f>
        <v/>
      </c>
      <c r="Q1782" s="11" t="str">
        <f aca="false">IF(P1782="","",IF(COUNTIF($P$2:$P$3000,P1782)&gt;1,"DUPLICATE","OK"))</f>
        <v/>
      </c>
      <c r="R1782" s="0" t="str">
        <f aca="false">IF($C1782="","",IFERROR(VLOOKUP(--$C1782,MM_Income!$Z$5:$AC$204,3,FALSE()),""))</f>
        <v/>
      </c>
    </row>
    <row r="1783" customFormat="false" ht="13.5" hidden="false" customHeight="false" outlineLevel="0" collapsed="false">
      <c r="N1783" s="1" t="str">
        <f aca="false">IF(C1783="","",IFERROR(VLOOKUP(C1783,Master_Mappings!$A$4:$E$85,3,FALSE()),"UNMAPPED"))</f>
        <v/>
      </c>
      <c r="P1783" s="1" t="str">
        <f aca="false">IF($C1783="","",$C1783&amp;"|"&amp;$E1783&amp;"|"&amp;$M1783&amp;"|"&amp;TEXT($G1783,"yyyy-mm-dd")&amp;"|"&amp;LEFT($J1783,40))</f>
        <v/>
      </c>
      <c r="Q1783" s="11" t="str">
        <f aca="false">IF(P1783="","",IF(COUNTIF($P$2:$P$3000,P1783)&gt;1,"DUPLICATE","OK"))</f>
        <v/>
      </c>
      <c r="R1783" s="0" t="str">
        <f aca="false">IF($C1783="","",IFERROR(VLOOKUP(--$C1783,MM_Income!$Z$5:$AC$204,3,FALSE()),""))</f>
        <v/>
      </c>
    </row>
    <row r="1784" customFormat="false" ht="13.5" hidden="false" customHeight="false" outlineLevel="0" collapsed="false">
      <c r="N1784" s="1" t="str">
        <f aca="false">IF(C1784="","",IFERROR(VLOOKUP(C1784,Master_Mappings!$A$4:$E$85,3,FALSE()),"UNMAPPED"))</f>
        <v/>
      </c>
      <c r="P1784" s="1" t="str">
        <f aca="false">IF($C1784="","",$C1784&amp;"|"&amp;$E1784&amp;"|"&amp;$M1784&amp;"|"&amp;TEXT($G1784,"yyyy-mm-dd")&amp;"|"&amp;LEFT($J1784,40))</f>
        <v/>
      </c>
      <c r="Q1784" s="11" t="str">
        <f aca="false">IF(P1784="","",IF(COUNTIF($P$2:$P$3000,P1784)&gt;1,"DUPLICATE","OK"))</f>
        <v/>
      </c>
      <c r="R1784" s="0" t="str">
        <f aca="false">IF($C1784="","",IFERROR(VLOOKUP(--$C1784,MM_Income!$Z$5:$AC$204,3,FALSE()),""))</f>
        <v/>
      </c>
    </row>
    <row r="1785" customFormat="false" ht="13.5" hidden="false" customHeight="false" outlineLevel="0" collapsed="false">
      <c r="N1785" s="1" t="str">
        <f aca="false">IF(C1785="","",IFERROR(VLOOKUP(C1785,Master_Mappings!$A$4:$E$85,3,FALSE()),"UNMAPPED"))</f>
        <v/>
      </c>
      <c r="P1785" s="1" t="str">
        <f aca="false">IF($C1785="","",$C1785&amp;"|"&amp;$E1785&amp;"|"&amp;$M1785&amp;"|"&amp;TEXT($G1785,"yyyy-mm-dd")&amp;"|"&amp;LEFT($J1785,40))</f>
        <v/>
      </c>
      <c r="Q1785" s="11" t="str">
        <f aca="false">IF(P1785="","",IF(COUNTIF($P$2:$P$3000,P1785)&gt;1,"DUPLICATE","OK"))</f>
        <v/>
      </c>
      <c r="R1785" s="0" t="str">
        <f aca="false">IF($C1785="","",IFERROR(VLOOKUP(--$C1785,MM_Income!$Z$5:$AC$204,3,FALSE()),""))</f>
        <v/>
      </c>
    </row>
    <row r="1786" customFormat="false" ht="13.5" hidden="false" customHeight="false" outlineLevel="0" collapsed="false">
      <c r="N1786" s="1" t="str">
        <f aca="false">IF(C1786="","",IFERROR(VLOOKUP(C1786,Master_Mappings!$A$4:$E$85,3,FALSE()),"UNMAPPED"))</f>
        <v/>
      </c>
      <c r="P1786" s="1" t="str">
        <f aca="false">IF($C1786="","",$C1786&amp;"|"&amp;$E1786&amp;"|"&amp;$M1786&amp;"|"&amp;TEXT($G1786,"yyyy-mm-dd")&amp;"|"&amp;LEFT($J1786,40))</f>
        <v/>
      </c>
      <c r="Q1786" s="11" t="str">
        <f aca="false">IF(P1786="","",IF(COUNTIF($P$2:$P$3000,P1786)&gt;1,"DUPLICATE","OK"))</f>
        <v/>
      </c>
      <c r="R1786" s="0" t="str">
        <f aca="false">IF($C1786="","",IFERROR(VLOOKUP(--$C1786,MM_Income!$Z$5:$AC$204,3,FALSE()),""))</f>
        <v/>
      </c>
    </row>
    <row r="1787" customFormat="false" ht="13.5" hidden="false" customHeight="false" outlineLevel="0" collapsed="false">
      <c r="N1787" s="1" t="str">
        <f aca="false">IF(C1787="","",IFERROR(VLOOKUP(C1787,Master_Mappings!$A$4:$E$85,3,FALSE()),"UNMAPPED"))</f>
        <v/>
      </c>
      <c r="P1787" s="1" t="str">
        <f aca="false">IF($C1787="","",$C1787&amp;"|"&amp;$E1787&amp;"|"&amp;$M1787&amp;"|"&amp;TEXT($G1787,"yyyy-mm-dd")&amp;"|"&amp;LEFT($J1787,40))</f>
        <v/>
      </c>
      <c r="Q1787" s="11" t="str">
        <f aca="false">IF(P1787="","",IF(COUNTIF($P$2:$P$3000,P1787)&gt;1,"DUPLICATE","OK"))</f>
        <v/>
      </c>
      <c r="R1787" s="0" t="str">
        <f aca="false">IF($C1787="","",IFERROR(VLOOKUP(--$C1787,MM_Income!$Z$5:$AC$204,3,FALSE()),""))</f>
        <v/>
      </c>
    </row>
    <row r="1788" customFormat="false" ht="13.5" hidden="false" customHeight="false" outlineLevel="0" collapsed="false">
      <c r="N1788" s="1" t="str">
        <f aca="false">IF(C1788="","",IFERROR(VLOOKUP(C1788,Master_Mappings!$A$4:$E$85,3,FALSE()),"UNMAPPED"))</f>
        <v/>
      </c>
      <c r="P1788" s="1" t="str">
        <f aca="false">IF($C1788="","",$C1788&amp;"|"&amp;$E1788&amp;"|"&amp;$M1788&amp;"|"&amp;TEXT($G1788,"yyyy-mm-dd")&amp;"|"&amp;LEFT($J1788,40))</f>
        <v/>
      </c>
      <c r="Q1788" s="11" t="str">
        <f aca="false">IF(P1788="","",IF(COUNTIF($P$2:$P$3000,P1788)&gt;1,"DUPLICATE","OK"))</f>
        <v/>
      </c>
      <c r="R1788" s="0" t="str">
        <f aca="false">IF($C1788="","",IFERROR(VLOOKUP(--$C1788,MM_Income!$Z$5:$AC$204,3,FALSE()),""))</f>
        <v/>
      </c>
    </row>
    <row r="1789" customFormat="false" ht="13.5" hidden="false" customHeight="false" outlineLevel="0" collapsed="false">
      <c r="N1789" s="1" t="str">
        <f aca="false">IF(C1789="","",IFERROR(VLOOKUP(C1789,Master_Mappings!$A$4:$E$85,3,FALSE()),"UNMAPPED"))</f>
        <v/>
      </c>
      <c r="P1789" s="1" t="str">
        <f aca="false">IF($C1789="","",$C1789&amp;"|"&amp;$E1789&amp;"|"&amp;$M1789&amp;"|"&amp;TEXT($G1789,"yyyy-mm-dd")&amp;"|"&amp;LEFT($J1789,40))</f>
        <v/>
      </c>
      <c r="Q1789" s="11" t="str">
        <f aca="false">IF(P1789="","",IF(COUNTIF($P$2:$P$3000,P1789)&gt;1,"DUPLICATE","OK"))</f>
        <v/>
      </c>
      <c r="R1789" s="0" t="str">
        <f aca="false">IF($C1789="","",IFERROR(VLOOKUP(--$C1789,MM_Income!$Z$5:$AC$204,3,FALSE()),""))</f>
        <v/>
      </c>
    </row>
    <row r="1790" customFormat="false" ht="13.5" hidden="false" customHeight="false" outlineLevel="0" collapsed="false">
      <c r="N1790" s="1" t="str">
        <f aca="false">IF(C1790="","",IFERROR(VLOOKUP(C1790,Master_Mappings!$A$4:$E$85,3,FALSE()),"UNMAPPED"))</f>
        <v/>
      </c>
      <c r="P1790" s="1" t="str">
        <f aca="false">IF($C1790="","",$C1790&amp;"|"&amp;$E1790&amp;"|"&amp;$M1790&amp;"|"&amp;TEXT($G1790,"yyyy-mm-dd")&amp;"|"&amp;LEFT($J1790,40))</f>
        <v/>
      </c>
      <c r="Q1790" s="11" t="str">
        <f aca="false">IF(P1790="","",IF(COUNTIF($P$2:$P$3000,P1790)&gt;1,"DUPLICATE","OK"))</f>
        <v/>
      </c>
      <c r="R1790" s="0" t="str">
        <f aca="false">IF($C1790="","",IFERROR(VLOOKUP(--$C1790,MM_Income!$Z$5:$AC$204,3,FALSE()),""))</f>
        <v/>
      </c>
    </row>
    <row r="1791" customFormat="false" ht="13.5" hidden="false" customHeight="false" outlineLevel="0" collapsed="false">
      <c r="N1791" s="1" t="str">
        <f aca="false">IF(C1791="","",IFERROR(VLOOKUP(C1791,Master_Mappings!$A$4:$E$85,3,FALSE()),"UNMAPPED"))</f>
        <v/>
      </c>
      <c r="P1791" s="1" t="str">
        <f aca="false">IF($C1791="","",$C1791&amp;"|"&amp;$E1791&amp;"|"&amp;$M1791&amp;"|"&amp;TEXT($G1791,"yyyy-mm-dd")&amp;"|"&amp;LEFT($J1791,40))</f>
        <v/>
      </c>
      <c r="Q1791" s="11" t="str">
        <f aca="false">IF(P1791="","",IF(COUNTIF($P$2:$P$3000,P1791)&gt;1,"DUPLICATE","OK"))</f>
        <v/>
      </c>
      <c r="R1791" s="0" t="str">
        <f aca="false">IF($C1791="","",IFERROR(VLOOKUP(--$C1791,MM_Income!$Z$5:$AC$204,3,FALSE()),""))</f>
        <v/>
      </c>
    </row>
    <row r="1792" customFormat="false" ht="13.5" hidden="false" customHeight="false" outlineLevel="0" collapsed="false">
      <c r="N1792" s="1" t="str">
        <f aca="false">IF(C1792="","",IFERROR(VLOOKUP(C1792,Master_Mappings!$A$4:$E$85,3,FALSE()),"UNMAPPED"))</f>
        <v/>
      </c>
      <c r="P1792" s="1" t="str">
        <f aca="false">IF($C1792="","",$C1792&amp;"|"&amp;$E1792&amp;"|"&amp;$M1792&amp;"|"&amp;TEXT($G1792,"yyyy-mm-dd")&amp;"|"&amp;LEFT($J1792,40))</f>
        <v/>
      </c>
      <c r="Q1792" s="11" t="str">
        <f aca="false">IF(P1792="","",IF(COUNTIF($P$2:$P$3000,P1792)&gt;1,"DUPLICATE","OK"))</f>
        <v/>
      </c>
      <c r="R1792" s="0" t="str">
        <f aca="false">IF($C1792="","",IFERROR(VLOOKUP(--$C1792,MM_Income!$Z$5:$AC$204,3,FALSE()),""))</f>
        <v/>
      </c>
    </row>
    <row r="1793" customFormat="false" ht="13.5" hidden="false" customHeight="false" outlineLevel="0" collapsed="false">
      <c r="N1793" s="1" t="str">
        <f aca="false">IF(C1793="","",IFERROR(VLOOKUP(C1793,Master_Mappings!$A$4:$E$85,3,FALSE()),"UNMAPPED"))</f>
        <v/>
      </c>
      <c r="P1793" s="1" t="str">
        <f aca="false">IF($C1793="","",$C1793&amp;"|"&amp;$E1793&amp;"|"&amp;$M1793&amp;"|"&amp;TEXT($G1793,"yyyy-mm-dd")&amp;"|"&amp;LEFT($J1793,40))</f>
        <v/>
      </c>
      <c r="Q1793" s="11" t="str">
        <f aca="false">IF(P1793="","",IF(COUNTIF($P$2:$P$3000,P1793)&gt;1,"DUPLICATE","OK"))</f>
        <v/>
      </c>
      <c r="R1793" s="0" t="str">
        <f aca="false">IF($C1793="","",IFERROR(VLOOKUP(--$C1793,MM_Income!$Z$5:$AC$204,3,FALSE()),""))</f>
        <v/>
      </c>
    </row>
    <row r="1794" customFormat="false" ht="13.5" hidden="false" customHeight="false" outlineLevel="0" collapsed="false">
      <c r="N1794" s="1" t="str">
        <f aca="false">IF(C1794="","",IFERROR(VLOOKUP(C1794,Master_Mappings!$A$4:$E$85,3,FALSE()),"UNMAPPED"))</f>
        <v/>
      </c>
      <c r="P1794" s="1" t="str">
        <f aca="false">IF($C1794="","",$C1794&amp;"|"&amp;$E1794&amp;"|"&amp;$M1794&amp;"|"&amp;TEXT($G1794,"yyyy-mm-dd")&amp;"|"&amp;LEFT($J1794,40))</f>
        <v/>
      </c>
      <c r="Q1794" s="11" t="str">
        <f aca="false">IF(P1794="","",IF(COUNTIF($P$2:$P$3000,P1794)&gt;1,"DUPLICATE","OK"))</f>
        <v/>
      </c>
      <c r="R1794" s="0" t="str">
        <f aca="false">IF($C1794="","",IFERROR(VLOOKUP(--$C1794,MM_Income!$Z$5:$AC$204,3,FALSE()),""))</f>
        <v/>
      </c>
    </row>
    <row r="1795" customFormat="false" ht="13.5" hidden="false" customHeight="false" outlineLevel="0" collapsed="false">
      <c r="N1795" s="1" t="str">
        <f aca="false">IF(C1795="","",IFERROR(VLOOKUP(C1795,Master_Mappings!$A$4:$E$85,3,FALSE()),"UNMAPPED"))</f>
        <v/>
      </c>
      <c r="P1795" s="1" t="str">
        <f aca="false">IF($C1795="","",$C1795&amp;"|"&amp;$E1795&amp;"|"&amp;$M1795&amp;"|"&amp;TEXT($G1795,"yyyy-mm-dd")&amp;"|"&amp;LEFT($J1795,40))</f>
        <v/>
      </c>
      <c r="Q1795" s="11" t="str">
        <f aca="false">IF(P1795="","",IF(COUNTIF($P$2:$P$3000,P1795)&gt;1,"DUPLICATE","OK"))</f>
        <v/>
      </c>
      <c r="R1795" s="0" t="str">
        <f aca="false">IF($C1795="","",IFERROR(VLOOKUP(--$C1795,MM_Income!$Z$5:$AC$204,3,FALSE()),""))</f>
        <v/>
      </c>
    </row>
    <row r="1796" customFormat="false" ht="13.5" hidden="false" customHeight="false" outlineLevel="0" collapsed="false">
      <c r="N1796" s="1" t="str">
        <f aca="false">IF(C1796="","",IFERROR(VLOOKUP(C1796,Master_Mappings!$A$4:$E$85,3,FALSE()),"UNMAPPED"))</f>
        <v/>
      </c>
      <c r="P1796" s="1" t="str">
        <f aca="false">IF($C1796="","",$C1796&amp;"|"&amp;$E1796&amp;"|"&amp;$M1796&amp;"|"&amp;TEXT($G1796,"yyyy-mm-dd")&amp;"|"&amp;LEFT($J1796,40))</f>
        <v/>
      </c>
      <c r="Q1796" s="11" t="str">
        <f aca="false">IF(P1796="","",IF(COUNTIF($P$2:$P$3000,P1796)&gt;1,"DUPLICATE","OK"))</f>
        <v/>
      </c>
      <c r="R1796" s="0" t="str">
        <f aca="false">IF($C1796="","",IFERROR(VLOOKUP(--$C1796,MM_Income!$Z$5:$AC$204,3,FALSE()),""))</f>
        <v/>
      </c>
    </row>
    <row r="1797" customFormat="false" ht="13.5" hidden="false" customHeight="false" outlineLevel="0" collapsed="false">
      <c r="N1797" s="1" t="str">
        <f aca="false">IF(C1797="","",IFERROR(VLOOKUP(C1797,Master_Mappings!$A$4:$E$85,3,FALSE()),"UNMAPPED"))</f>
        <v/>
      </c>
      <c r="P1797" s="1" t="str">
        <f aca="false">IF($C1797="","",$C1797&amp;"|"&amp;$E1797&amp;"|"&amp;$M1797&amp;"|"&amp;TEXT($G1797,"yyyy-mm-dd")&amp;"|"&amp;LEFT($J1797,40))</f>
        <v/>
      </c>
      <c r="Q1797" s="11" t="str">
        <f aca="false">IF(P1797="","",IF(COUNTIF($P$2:$P$3000,P1797)&gt;1,"DUPLICATE","OK"))</f>
        <v/>
      </c>
      <c r="R1797" s="0" t="str">
        <f aca="false">IF($C1797="","",IFERROR(VLOOKUP(--$C1797,MM_Income!$Z$5:$AC$204,3,FALSE()),""))</f>
        <v/>
      </c>
    </row>
    <row r="1798" customFormat="false" ht="13.5" hidden="false" customHeight="false" outlineLevel="0" collapsed="false">
      <c r="N1798" s="1" t="str">
        <f aca="false">IF(C1798="","",IFERROR(VLOOKUP(C1798,Master_Mappings!$A$4:$E$85,3,FALSE()),"UNMAPPED"))</f>
        <v/>
      </c>
      <c r="P1798" s="1" t="str">
        <f aca="false">IF($C1798="","",$C1798&amp;"|"&amp;$E1798&amp;"|"&amp;$M1798&amp;"|"&amp;TEXT($G1798,"yyyy-mm-dd")&amp;"|"&amp;LEFT($J1798,40))</f>
        <v/>
      </c>
      <c r="Q1798" s="11" t="str">
        <f aca="false">IF(P1798="","",IF(COUNTIF($P$2:$P$3000,P1798)&gt;1,"DUPLICATE","OK"))</f>
        <v/>
      </c>
      <c r="R1798" s="0" t="str">
        <f aca="false">IF($C1798="","",IFERROR(VLOOKUP(--$C1798,MM_Income!$Z$5:$AC$204,3,FALSE()),""))</f>
        <v/>
      </c>
    </row>
    <row r="1799" customFormat="false" ht="13.5" hidden="false" customHeight="false" outlineLevel="0" collapsed="false">
      <c r="N1799" s="1" t="str">
        <f aca="false">IF(C1799="","",IFERROR(VLOOKUP(C1799,Master_Mappings!$A$4:$E$85,3,FALSE()),"UNMAPPED"))</f>
        <v/>
      </c>
      <c r="P1799" s="1" t="str">
        <f aca="false">IF($C1799="","",$C1799&amp;"|"&amp;$E1799&amp;"|"&amp;$M1799&amp;"|"&amp;TEXT($G1799,"yyyy-mm-dd")&amp;"|"&amp;LEFT($J1799,40))</f>
        <v/>
      </c>
      <c r="Q1799" s="11" t="str">
        <f aca="false">IF(P1799="","",IF(COUNTIF($P$2:$P$3000,P1799)&gt;1,"DUPLICATE","OK"))</f>
        <v/>
      </c>
      <c r="R1799" s="0" t="str">
        <f aca="false">IF($C1799="","",IFERROR(VLOOKUP(--$C1799,MM_Income!$Z$5:$AC$204,3,FALSE()),""))</f>
        <v/>
      </c>
    </row>
    <row r="1800" customFormat="false" ht="13.5" hidden="false" customHeight="false" outlineLevel="0" collapsed="false">
      <c r="N1800" s="1" t="str">
        <f aca="false">IF(C1800="","",IFERROR(VLOOKUP(C1800,Master_Mappings!$A$4:$E$85,3,FALSE()),"UNMAPPED"))</f>
        <v/>
      </c>
      <c r="P1800" s="1" t="str">
        <f aca="false">IF($C1800="","",$C1800&amp;"|"&amp;$E1800&amp;"|"&amp;$M1800&amp;"|"&amp;TEXT($G1800,"yyyy-mm-dd")&amp;"|"&amp;LEFT($J1800,40))</f>
        <v/>
      </c>
      <c r="Q1800" s="11" t="str">
        <f aca="false">IF(P1800="","",IF(COUNTIF($P$2:$P$3000,P1800)&gt;1,"DUPLICATE","OK"))</f>
        <v/>
      </c>
      <c r="R1800" s="0" t="str">
        <f aca="false">IF($C1800="","",IFERROR(VLOOKUP(--$C1800,MM_Income!$Z$5:$AC$204,3,FALSE()),""))</f>
        <v/>
      </c>
    </row>
    <row r="1801" customFormat="false" ht="13.5" hidden="false" customHeight="false" outlineLevel="0" collapsed="false">
      <c r="N1801" s="1" t="str">
        <f aca="false">IF(C1801="","",IFERROR(VLOOKUP(C1801,Master_Mappings!$A$4:$E$85,3,FALSE()),"UNMAPPED"))</f>
        <v/>
      </c>
      <c r="P1801" s="1" t="str">
        <f aca="false">IF($C1801="","",$C1801&amp;"|"&amp;$E1801&amp;"|"&amp;$M1801&amp;"|"&amp;TEXT($G1801,"yyyy-mm-dd")&amp;"|"&amp;LEFT($J1801,40))</f>
        <v/>
      </c>
      <c r="Q1801" s="11" t="str">
        <f aca="false">IF(P1801="","",IF(COUNTIF($P$2:$P$3000,P1801)&gt;1,"DUPLICATE","OK"))</f>
        <v/>
      </c>
      <c r="R1801" s="0" t="str">
        <f aca="false">IF($C1801="","",IFERROR(VLOOKUP(--$C1801,MM_Income!$Z$5:$AC$204,3,FALSE()),""))</f>
        <v/>
      </c>
    </row>
    <row r="1802" customFormat="false" ht="13.5" hidden="false" customHeight="false" outlineLevel="0" collapsed="false">
      <c r="N1802" s="1" t="str">
        <f aca="false">IF(C1802="","",IFERROR(VLOOKUP(C1802,Master_Mappings!$A$4:$E$85,3,FALSE()),"UNMAPPED"))</f>
        <v/>
      </c>
      <c r="P1802" s="1" t="str">
        <f aca="false">IF($C1802="","",$C1802&amp;"|"&amp;$E1802&amp;"|"&amp;$M1802&amp;"|"&amp;TEXT($G1802,"yyyy-mm-dd")&amp;"|"&amp;LEFT($J1802,40))</f>
        <v/>
      </c>
      <c r="Q1802" s="11" t="str">
        <f aca="false">IF(P1802="","",IF(COUNTIF($P$2:$P$3000,P1802)&gt;1,"DUPLICATE","OK"))</f>
        <v/>
      </c>
      <c r="R1802" s="0" t="str">
        <f aca="false">IF($C1802="","",IFERROR(VLOOKUP(--$C1802,MM_Income!$Z$5:$AC$204,3,FALSE()),""))</f>
        <v/>
      </c>
    </row>
    <row r="1803" customFormat="false" ht="13.5" hidden="false" customHeight="false" outlineLevel="0" collapsed="false">
      <c r="N1803" s="1" t="str">
        <f aca="false">IF(C1803="","",IFERROR(VLOOKUP(C1803,Master_Mappings!$A$4:$E$85,3,FALSE()),"UNMAPPED"))</f>
        <v/>
      </c>
      <c r="P1803" s="1" t="str">
        <f aca="false">IF($C1803="","",$C1803&amp;"|"&amp;$E1803&amp;"|"&amp;$M1803&amp;"|"&amp;TEXT($G1803,"yyyy-mm-dd")&amp;"|"&amp;LEFT($J1803,40))</f>
        <v/>
      </c>
      <c r="Q1803" s="11" t="str">
        <f aca="false">IF(P1803="","",IF(COUNTIF($P$2:$P$3000,P1803)&gt;1,"DUPLICATE","OK"))</f>
        <v/>
      </c>
      <c r="R1803" s="0" t="str">
        <f aca="false">IF($C1803="","",IFERROR(VLOOKUP(--$C1803,MM_Income!$Z$5:$AC$204,3,FALSE()),""))</f>
        <v/>
      </c>
    </row>
    <row r="1804" customFormat="false" ht="13.5" hidden="false" customHeight="false" outlineLevel="0" collapsed="false">
      <c r="N1804" s="1" t="str">
        <f aca="false">IF(C1804="","",IFERROR(VLOOKUP(C1804,Master_Mappings!$A$4:$E$85,3,FALSE()),"UNMAPPED"))</f>
        <v/>
      </c>
      <c r="P1804" s="1" t="str">
        <f aca="false">IF($C1804="","",$C1804&amp;"|"&amp;$E1804&amp;"|"&amp;$M1804&amp;"|"&amp;TEXT($G1804,"yyyy-mm-dd")&amp;"|"&amp;LEFT($J1804,40))</f>
        <v/>
      </c>
      <c r="Q1804" s="11" t="str">
        <f aca="false">IF(P1804="","",IF(COUNTIF($P$2:$P$3000,P1804)&gt;1,"DUPLICATE","OK"))</f>
        <v/>
      </c>
      <c r="R1804" s="0" t="str">
        <f aca="false">IF($C1804="","",IFERROR(VLOOKUP(--$C1804,MM_Income!$Z$5:$AC$204,3,FALSE()),""))</f>
        <v/>
      </c>
    </row>
    <row r="1805" customFormat="false" ht="13.5" hidden="false" customHeight="false" outlineLevel="0" collapsed="false">
      <c r="N1805" s="1" t="str">
        <f aca="false">IF(C1805="","",IFERROR(VLOOKUP(C1805,Master_Mappings!$A$4:$E$85,3,FALSE()),"UNMAPPED"))</f>
        <v/>
      </c>
      <c r="P1805" s="1" t="str">
        <f aca="false">IF($C1805="","",$C1805&amp;"|"&amp;$E1805&amp;"|"&amp;$M1805&amp;"|"&amp;TEXT($G1805,"yyyy-mm-dd")&amp;"|"&amp;LEFT($J1805,40))</f>
        <v/>
      </c>
      <c r="Q1805" s="11" t="str">
        <f aca="false">IF(P1805="","",IF(COUNTIF($P$2:$P$3000,P1805)&gt;1,"DUPLICATE","OK"))</f>
        <v/>
      </c>
      <c r="R1805" s="0" t="str">
        <f aca="false">IF($C1805="","",IFERROR(VLOOKUP(--$C1805,MM_Income!$Z$5:$AC$204,3,FALSE()),""))</f>
        <v/>
      </c>
    </row>
    <row r="1806" customFormat="false" ht="13.5" hidden="false" customHeight="false" outlineLevel="0" collapsed="false">
      <c r="N1806" s="1" t="str">
        <f aca="false">IF(C1806="","",IFERROR(VLOOKUP(C1806,Master_Mappings!$A$4:$E$85,3,FALSE()),"UNMAPPED"))</f>
        <v/>
      </c>
      <c r="P1806" s="1" t="str">
        <f aca="false">IF($C1806="","",$C1806&amp;"|"&amp;$E1806&amp;"|"&amp;$M1806&amp;"|"&amp;TEXT($G1806,"yyyy-mm-dd")&amp;"|"&amp;LEFT($J1806,40))</f>
        <v/>
      </c>
      <c r="Q1806" s="11" t="str">
        <f aca="false">IF(P1806="","",IF(COUNTIF($P$2:$P$3000,P1806)&gt;1,"DUPLICATE","OK"))</f>
        <v/>
      </c>
      <c r="R1806" s="0" t="str">
        <f aca="false">IF($C1806="","",IFERROR(VLOOKUP(--$C1806,MM_Income!$Z$5:$AC$204,3,FALSE()),""))</f>
        <v/>
      </c>
    </row>
    <row r="1807" customFormat="false" ht="13.5" hidden="false" customHeight="false" outlineLevel="0" collapsed="false">
      <c r="N1807" s="1" t="str">
        <f aca="false">IF(C1807="","",IFERROR(VLOOKUP(C1807,Master_Mappings!$A$4:$E$85,3,FALSE()),"UNMAPPED"))</f>
        <v/>
      </c>
      <c r="P1807" s="1" t="str">
        <f aca="false">IF($C1807="","",$C1807&amp;"|"&amp;$E1807&amp;"|"&amp;$M1807&amp;"|"&amp;TEXT($G1807,"yyyy-mm-dd")&amp;"|"&amp;LEFT($J1807,40))</f>
        <v/>
      </c>
      <c r="Q1807" s="11" t="str">
        <f aca="false">IF(P1807="","",IF(COUNTIF($P$2:$P$3000,P1807)&gt;1,"DUPLICATE","OK"))</f>
        <v/>
      </c>
      <c r="R1807" s="0" t="str">
        <f aca="false">IF($C1807="","",IFERROR(VLOOKUP(--$C1807,MM_Income!$Z$5:$AC$204,3,FALSE()),""))</f>
        <v/>
      </c>
    </row>
    <row r="1808" customFormat="false" ht="13.5" hidden="false" customHeight="false" outlineLevel="0" collapsed="false">
      <c r="N1808" s="1" t="str">
        <f aca="false">IF(C1808="","",IFERROR(VLOOKUP(C1808,Master_Mappings!$A$4:$E$85,3,FALSE()),"UNMAPPED"))</f>
        <v/>
      </c>
      <c r="P1808" s="1" t="str">
        <f aca="false">IF($C1808="","",$C1808&amp;"|"&amp;$E1808&amp;"|"&amp;$M1808&amp;"|"&amp;TEXT($G1808,"yyyy-mm-dd")&amp;"|"&amp;LEFT($J1808,40))</f>
        <v/>
      </c>
      <c r="Q1808" s="11" t="str">
        <f aca="false">IF(P1808="","",IF(COUNTIF($P$2:$P$3000,P1808)&gt;1,"DUPLICATE","OK"))</f>
        <v/>
      </c>
      <c r="R1808" s="0" t="str">
        <f aca="false">IF($C1808="","",IFERROR(VLOOKUP(--$C1808,MM_Income!$Z$5:$AC$204,3,FALSE()),""))</f>
        <v/>
      </c>
    </row>
    <row r="1809" customFormat="false" ht="13.5" hidden="false" customHeight="false" outlineLevel="0" collapsed="false">
      <c r="N1809" s="1" t="str">
        <f aca="false">IF(C1809="","",IFERROR(VLOOKUP(C1809,Master_Mappings!$A$4:$E$85,3,FALSE()),"UNMAPPED"))</f>
        <v/>
      </c>
      <c r="P1809" s="1" t="str">
        <f aca="false">IF($C1809="","",$C1809&amp;"|"&amp;$E1809&amp;"|"&amp;$M1809&amp;"|"&amp;TEXT($G1809,"yyyy-mm-dd")&amp;"|"&amp;LEFT($J1809,40))</f>
        <v/>
      </c>
      <c r="Q1809" s="11" t="str">
        <f aca="false">IF(P1809="","",IF(COUNTIF($P$2:$P$3000,P1809)&gt;1,"DUPLICATE","OK"))</f>
        <v/>
      </c>
      <c r="R1809" s="0" t="str">
        <f aca="false">IF($C1809="","",IFERROR(VLOOKUP(--$C1809,MM_Income!$Z$5:$AC$204,3,FALSE()),""))</f>
        <v/>
      </c>
    </row>
    <row r="1810" customFormat="false" ht="13.5" hidden="false" customHeight="false" outlineLevel="0" collapsed="false">
      <c r="N1810" s="1" t="str">
        <f aca="false">IF(C1810="","",IFERROR(VLOOKUP(C1810,Master_Mappings!$A$4:$E$85,3,FALSE()),"UNMAPPED"))</f>
        <v/>
      </c>
      <c r="P1810" s="1" t="str">
        <f aca="false">IF($C1810="","",$C1810&amp;"|"&amp;$E1810&amp;"|"&amp;$M1810&amp;"|"&amp;TEXT($G1810,"yyyy-mm-dd")&amp;"|"&amp;LEFT($J1810,40))</f>
        <v/>
      </c>
      <c r="Q1810" s="11" t="str">
        <f aca="false">IF(P1810="","",IF(COUNTIF($P$2:$P$3000,P1810)&gt;1,"DUPLICATE","OK"))</f>
        <v/>
      </c>
      <c r="R1810" s="0" t="str">
        <f aca="false">IF($C1810="","",IFERROR(VLOOKUP(--$C1810,MM_Income!$Z$5:$AC$204,3,FALSE()),""))</f>
        <v/>
      </c>
    </row>
    <row r="1811" customFormat="false" ht="13.5" hidden="false" customHeight="false" outlineLevel="0" collapsed="false">
      <c r="N1811" s="1" t="str">
        <f aca="false">IF(C1811="","",IFERROR(VLOOKUP(C1811,Master_Mappings!$A$4:$E$85,3,FALSE()),"UNMAPPED"))</f>
        <v/>
      </c>
      <c r="P1811" s="1" t="str">
        <f aca="false">IF($C1811="","",$C1811&amp;"|"&amp;$E1811&amp;"|"&amp;$M1811&amp;"|"&amp;TEXT($G1811,"yyyy-mm-dd")&amp;"|"&amp;LEFT($J1811,40))</f>
        <v/>
      </c>
      <c r="Q1811" s="11" t="str">
        <f aca="false">IF(P1811="","",IF(COUNTIF($P$2:$P$3000,P1811)&gt;1,"DUPLICATE","OK"))</f>
        <v/>
      </c>
      <c r="R1811" s="0" t="str">
        <f aca="false">IF($C1811="","",IFERROR(VLOOKUP(--$C1811,MM_Income!$Z$5:$AC$204,3,FALSE()),""))</f>
        <v/>
      </c>
    </row>
    <row r="1812" customFormat="false" ht="13.5" hidden="false" customHeight="false" outlineLevel="0" collapsed="false">
      <c r="N1812" s="1" t="str">
        <f aca="false">IF(C1812="","",IFERROR(VLOOKUP(C1812,Master_Mappings!$A$4:$E$85,3,FALSE()),"UNMAPPED"))</f>
        <v/>
      </c>
      <c r="P1812" s="1" t="str">
        <f aca="false">IF($C1812="","",$C1812&amp;"|"&amp;$E1812&amp;"|"&amp;$M1812&amp;"|"&amp;TEXT($G1812,"yyyy-mm-dd")&amp;"|"&amp;LEFT($J1812,40))</f>
        <v/>
      </c>
      <c r="Q1812" s="11" t="str">
        <f aca="false">IF(P1812="","",IF(COUNTIF($P$2:$P$3000,P1812)&gt;1,"DUPLICATE","OK"))</f>
        <v/>
      </c>
      <c r="R1812" s="0" t="str">
        <f aca="false">IF($C1812="","",IFERROR(VLOOKUP(--$C1812,MM_Income!$Z$5:$AC$204,3,FALSE()),""))</f>
        <v/>
      </c>
    </row>
    <row r="1813" customFormat="false" ht="13.5" hidden="false" customHeight="false" outlineLevel="0" collapsed="false">
      <c r="N1813" s="1" t="str">
        <f aca="false">IF(C1813="","",IFERROR(VLOOKUP(C1813,Master_Mappings!$A$4:$E$85,3,FALSE()),"UNMAPPED"))</f>
        <v/>
      </c>
      <c r="P1813" s="1" t="str">
        <f aca="false">IF($C1813="","",$C1813&amp;"|"&amp;$E1813&amp;"|"&amp;$M1813&amp;"|"&amp;TEXT($G1813,"yyyy-mm-dd")&amp;"|"&amp;LEFT($J1813,40))</f>
        <v/>
      </c>
      <c r="Q1813" s="11" t="str">
        <f aca="false">IF(P1813="","",IF(COUNTIF($P$2:$P$3000,P1813)&gt;1,"DUPLICATE","OK"))</f>
        <v/>
      </c>
      <c r="R1813" s="0" t="str">
        <f aca="false">IF($C1813="","",IFERROR(VLOOKUP(--$C1813,MM_Income!$Z$5:$AC$204,3,FALSE()),""))</f>
        <v/>
      </c>
    </row>
    <row r="1814" customFormat="false" ht="13.5" hidden="false" customHeight="false" outlineLevel="0" collapsed="false">
      <c r="N1814" s="1" t="str">
        <f aca="false">IF(C1814="","",IFERROR(VLOOKUP(C1814,Master_Mappings!$A$4:$E$85,3,FALSE()),"UNMAPPED"))</f>
        <v/>
      </c>
      <c r="P1814" s="1" t="str">
        <f aca="false">IF($C1814="","",$C1814&amp;"|"&amp;$E1814&amp;"|"&amp;$M1814&amp;"|"&amp;TEXT($G1814,"yyyy-mm-dd")&amp;"|"&amp;LEFT($J1814,40))</f>
        <v/>
      </c>
      <c r="Q1814" s="11" t="str">
        <f aca="false">IF(P1814="","",IF(COUNTIF($P$2:$P$3000,P1814)&gt;1,"DUPLICATE","OK"))</f>
        <v/>
      </c>
      <c r="R1814" s="0" t="str">
        <f aca="false">IF($C1814="","",IFERROR(VLOOKUP(--$C1814,MM_Income!$Z$5:$AC$204,3,FALSE()),""))</f>
        <v/>
      </c>
    </row>
    <row r="1815" customFormat="false" ht="13.5" hidden="false" customHeight="false" outlineLevel="0" collapsed="false">
      <c r="N1815" s="1" t="str">
        <f aca="false">IF(C1815="","",IFERROR(VLOOKUP(C1815,Master_Mappings!$A$4:$E$85,3,FALSE()),"UNMAPPED"))</f>
        <v/>
      </c>
      <c r="P1815" s="1" t="str">
        <f aca="false">IF($C1815="","",$C1815&amp;"|"&amp;$E1815&amp;"|"&amp;$M1815&amp;"|"&amp;TEXT($G1815,"yyyy-mm-dd")&amp;"|"&amp;LEFT($J1815,40))</f>
        <v/>
      </c>
      <c r="Q1815" s="11" t="str">
        <f aca="false">IF(P1815="","",IF(COUNTIF($P$2:$P$3000,P1815)&gt;1,"DUPLICATE","OK"))</f>
        <v/>
      </c>
      <c r="R1815" s="0" t="str">
        <f aca="false">IF($C1815="","",IFERROR(VLOOKUP(--$C1815,MM_Income!$Z$5:$AC$204,3,FALSE()),""))</f>
        <v/>
      </c>
    </row>
    <row r="1816" customFormat="false" ht="13.5" hidden="false" customHeight="false" outlineLevel="0" collapsed="false">
      <c r="N1816" s="1" t="str">
        <f aca="false">IF(C1816="","",IFERROR(VLOOKUP(C1816,Master_Mappings!$A$4:$E$85,3,FALSE()),"UNMAPPED"))</f>
        <v/>
      </c>
      <c r="P1816" s="1" t="str">
        <f aca="false">IF($C1816="","",$C1816&amp;"|"&amp;$E1816&amp;"|"&amp;$M1816&amp;"|"&amp;TEXT($G1816,"yyyy-mm-dd")&amp;"|"&amp;LEFT($J1816,40))</f>
        <v/>
      </c>
      <c r="Q1816" s="11" t="str">
        <f aca="false">IF(P1816="","",IF(COUNTIF($P$2:$P$3000,P1816)&gt;1,"DUPLICATE","OK"))</f>
        <v/>
      </c>
      <c r="R1816" s="0" t="str">
        <f aca="false">IF($C1816="","",IFERROR(VLOOKUP(--$C1816,MM_Income!$Z$5:$AC$204,3,FALSE()),""))</f>
        <v/>
      </c>
    </row>
    <row r="1817" customFormat="false" ht="13.5" hidden="false" customHeight="false" outlineLevel="0" collapsed="false">
      <c r="N1817" s="1" t="str">
        <f aca="false">IF(C1817="","",IFERROR(VLOOKUP(C1817,Master_Mappings!$A$4:$E$85,3,FALSE()),"UNMAPPED"))</f>
        <v/>
      </c>
      <c r="P1817" s="1" t="str">
        <f aca="false">IF($C1817="","",$C1817&amp;"|"&amp;$E1817&amp;"|"&amp;$M1817&amp;"|"&amp;TEXT($G1817,"yyyy-mm-dd")&amp;"|"&amp;LEFT($J1817,40))</f>
        <v/>
      </c>
      <c r="Q1817" s="11" t="str">
        <f aca="false">IF(P1817="","",IF(COUNTIF($P$2:$P$3000,P1817)&gt;1,"DUPLICATE","OK"))</f>
        <v/>
      </c>
      <c r="R1817" s="0" t="str">
        <f aca="false">IF($C1817="","",IFERROR(VLOOKUP(--$C1817,MM_Income!$Z$5:$AC$204,3,FALSE()),""))</f>
        <v/>
      </c>
    </row>
    <row r="1818" customFormat="false" ht="13.5" hidden="false" customHeight="false" outlineLevel="0" collapsed="false">
      <c r="N1818" s="1" t="str">
        <f aca="false">IF(C1818="","",IFERROR(VLOOKUP(C1818,Master_Mappings!$A$4:$E$85,3,FALSE()),"UNMAPPED"))</f>
        <v/>
      </c>
      <c r="P1818" s="1" t="str">
        <f aca="false">IF($C1818="","",$C1818&amp;"|"&amp;$E1818&amp;"|"&amp;$M1818&amp;"|"&amp;TEXT($G1818,"yyyy-mm-dd")&amp;"|"&amp;LEFT($J1818,40))</f>
        <v/>
      </c>
      <c r="Q1818" s="11" t="str">
        <f aca="false">IF(P1818="","",IF(COUNTIF($P$2:$P$3000,P1818)&gt;1,"DUPLICATE","OK"))</f>
        <v/>
      </c>
      <c r="R1818" s="0" t="str">
        <f aca="false">IF($C1818="","",IFERROR(VLOOKUP(--$C1818,MM_Income!$Z$5:$AC$204,3,FALSE()),""))</f>
        <v/>
      </c>
    </row>
    <row r="1819" customFormat="false" ht="13.5" hidden="false" customHeight="false" outlineLevel="0" collapsed="false">
      <c r="N1819" s="1" t="str">
        <f aca="false">IF(C1819="","",IFERROR(VLOOKUP(C1819,Master_Mappings!$A$4:$E$85,3,FALSE()),"UNMAPPED"))</f>
        <v/>
      </c>
      <c r="P1819" s="1" t="str">
        <f aca="false">IF($C1819="","",$C1819&amp;"|"&amp;$E1819&amp;"|"&amp;$M1819&amp;"|"&amp;TEXT($G1819,"yyyy-mm-dd")&amp;"|"&amp;LEFT($J1819,40))</f>
        <v/>
      </c>
      <c r="Q1819" s="11" t="str">
        <f aca="false">IF(P1819="","",IF(COUNTIF($P$2:$P$3000,P1819)&gt;1,"DUPLICATE","OK"))</f>
        <v/>
      </c>
      <c r="R1819" s="0" t="str">
        <f aca="false">IF($C1819="","",IFERROR(VLOOKUP(--$C1819,MM_Income!$Z$5:$AC$204,3,FALSE()),""))</f>
        <v/>
      </c>
    </row>
    <row r="1820" customFormat="false" ht="13.5" hidden="false" customHeight="false" outlineLevel="0" collapsed="false">
      <c r="N1820" s="1" t="str">
        <f aca="false">IF(C1820="","",IFERROR(VLOOKUP(C1820,Master_Mappings!$A$4:$E$85,3,FALSE()),"UNMAPPED"))</f>
        <v/>
      </c>
      <c r="P1820" s="1" t="str">
        <f aca="false">IF($C1820="","",$C1820&amp;"|"&amp;$E1820&amp;"|"&amp;$M1820&amp;"|"&amp;TEXT($G1820,"yyyy-mm-dd")&amp;"|"&amp;LEFT($J1820,40))</f>
        <v/>
      </c>
      <c r="Q1820" s="11" t="str">
        <f aca="false">IF(P1820="","",IF(COUNTIF($P$2:$P$3000,P1820)&gt;1,"DUPLICATE","OK"))</f>
        <v/>
      </c>
      <c r="R1820" s="0" t="str">
        <f aca="false">IF($C1820="","",IFERROR(VLOOKUP(--$C1820,MM_Income!$Z$5:$AC$204,3,FALSE()),""))</f>
        <v/>
      </c>
    </row>
    <row r="1821" customFormat="false" ht="13.5" hidden="false" customHeight="false" outlineLevel="0" collapsed="false">
      <c r="N1821" s="1" t="str">
        <f aca="false">IF(C1821="","",IFERROR(VLOOKUP(C1821,Master_Mappings!$A$4:$E$85,3,FALSE()),"UNMAPPED"))</f>
        <v/>
      </c>
      <c r="P1821" s="1" t="str">
        <f aca="false">IF($C1821="","",$C1821&amp;"|"&amp;$E1821&amp;"|"&amp;$M1821&amp;"|"&amp;TEXT($G1821,"yyyy-mm-dd")&amp;"|"&amp;LEFT($J1821,40))</f>
        <v/>
      </c>
      <c r="Q1821" s="11" t="str">
        <f aca="false">IF(P1821="","",IF(COUNTIF($P$2:$P$3000,P1821)&gt;1,"DUPLICATE","OK"))</f>
        <v/>
      </c>
      <c r="R1821" s="0" t="str">
        <f aca="false">IF($C1821="","",IFERROR(VLOOKUP(--$C1821,MM_Income!$Z$5:$AC$204,3,FALSE()),""))</f>
        <v/>
      </c>
    </row>
    <row r="1822" customFormat="false" ht="13.5" hidden="false" customHeight="false" outlineLevel="0" collapsed="false">
      <c r="N1822" s="1" t="str">
        <f aca="false">IF(C1822="","",IFERROR(VLOOKUP(C1822,Master_Mappings!$A$4:$E$85,3,FALSE()),"UNMAPPED"))</f>
        <v/>
      </c>
      <c r="P1822" s="1" t="str">
        <f aca="false">IF($C1822="","",$C1822&amp;"|"&amp;$E1822&amp;"|"&amp;$M1822&amp;"|"&amp;TEXT($G1822,"yyyy-mm-dd")&amp;"|"&amp;LEFT($J1822,40))</f>
        <v/>
      </c>
      <c r="Q1822" s="11" t="str">
        <f aca="false">IF(P1822="","",IF(COUNTIF($P$2:$P$3000,P1822)&gt;1,"DUPLICATE","OK"))</f>
        <v/>
      </c>
      <c r="R1822" s="0" t="str">
        <f aca="false">IF($C1822="","",IFERROR(VLOOKUP(--$C1822,MM_Income!$Z$5:$AC$204,3,FALSE()),""))</f>
        <v/>
      </c>
    </row>
    <row r="1823" customFormat="false" ht="13.5" hidden="false" customHeight="false" outlineLevel="0" collapsed="false">
      <c r="N1823" s="1" t="str">
        <f aca="false">IF(C1823="","",IFERROR(VLOOKUP(C1823,Master_Mappings!$A$4:$E$85,3,FALSE()),"UNMAPPED"))</f>
        <v/>
      </c>
      <c r="P1823" s="1" t="str">
        <f aca="false">IF($C1823="","",$C1823&amp;"|"&amp;$E1823&amp;"|"&amp;$M1823&amp;"|"&amp;TEXT($G1823,"yyyy-mm-dd")&amp;"|"&amp;LEFT($J1823,40))</f>
        <v/>
      </c>
      <c r="Q1823" s="11" t="str">
        <f aca="false">IF(P1823="","",IF(COUNTIF($P$2:$P$3000,P1823)&gt;1,"DUPLICATE","OK"))</f>
        <v/>
      </c>
      <c r="R1823" s="0" t="str">
        <f aca="false">IF($C1823="","",IFERROR(VLOOKUP(--$C1823,MM_Income!$Z$5:$AC$204,3,FALSE()),""))</f>
        <v/>
      </c>
    </row>
    <row r="1824" customFormat="false" ht="13.5" hidden="false" customHeight="false" outlineLevel="0" collapsed="false">
      <c r="N1824" s="1" t="str">
        <f aca="false">IF(C1824="","",IFERROR(VLOOKUP(C1824,Master_Mappings!$A$4:$E$85,3,FALSE()),"UNMAPPED"))</f>
        <v/>
      </c>
      <c r="P1824" s="1" t="str">
        <f aca="false">IF($C1824="","",$C1824&amp;"|"&amp;$E1824&amp;"|"&amp;$M1824&amp;"|"&amp;TEXT($G1824,"yyyy-mm-dd")&amp;"|"&amp;LEFT($J1824,40))</f>
        <v/>
      </c>
      <c r="Q1824" s="11" t="str">
        <f aca="false">IF(P1824="","",IF(COUNTIF($P$2:$P$3000,P1824)&gt;1,"DUPLICATE","OK"))</f>
        <v/>
      </c>
      <c r="R1824" s="0" t="str">
        <f aca="false">IF($C1824="","",IFERROR(VLOOKUP(--$C1824,MM_Income!$Z$5:$AC$204,3,FALSE()),""))</f>
        <v/>
      </c>
    </row>
    <row r="1825" customFormat="false" ht="13.5" hidden="false" customHeight="false" outlineLevel="0" collapsed="false">
      <c r="N1825" s="1" t="str">
        <f aca="false">IF(C1825="","",IFERROR(VLOOKUP(C1825,Master_Mappings!$A$4:$E$85,3,FALSE()),"UNMAPPED"))</f>
        <v/>
      </c>
      <c r="P1825" s="1" t="str">
        <f aca="false">IF($C1825="","",$C1825&amp;"|"&amp;$E1825&amp;"|"&amp;$M1825&amp;"|"&amp;TEXT($G1825,"yyyy-mm-dd")&amp;"|"&amp;LEFT($J1825,40))</f>
        <v/>
      </c>
      <c r="Q1825" s="11" t="str">
        <f aca="false">IF(P1825="","",IF(COUNTIF($P$2:$P$3000,P1825)&gt;1,"DUPLICATE","OK"))</f>
        <v/>
      </c>
      <c r="R1825" s="0" t="str">
        <f aca="false">IF($C1825="","",IFERROR(VLOOKUP(--$C1825,MM_Income!$Z$5:$AC$204,3,FALSE()),""))</f>
        <v/>
      </c>
    </row>
    <row r="1826" customFormat="false" ht="13.5" hidden="false" customHeight="false" outlineLevel="0" collapsed="false">
      <c r="N1826" s="1" t="str">
        <f aca="false">IF(C1826="","",IFERROR(VLOOKUP(C1826,Master_Mappings!$A$4:$E$85,3,FALSE()),"UNMAPPED"))</f>
        <v/>
      </c>
      <c r="P1826" s="1" t="str">
        <f aca="false">IF($C1826="","",$C1826&amp;"|"&amp;$E1826&amp;"|"&amp;$M1826&amp;"|"&amp;TEXT($G1826,"yyyy-mm-dd")&amp;"|"&amp;LEFT($J1826,40))</f>
        <v/>
      </c>
      <c r="Q1826" s="11" t="str">
        <f aca="false">IF(P1826="","",IF(COUNTIF($P$2:$P$3000,P1826)&gt;1,"DUPLICATE","OK"))</f>
        <v/>
      </c>
      <c r="R1826" s="0" t="str">
        <f aca="false">IF($C1826="","",IFERROR(VLOOKUP(--$C1826,MM_Income!$Z$5:$AC$204,3,FALSE()),""))</f>
        <v/>
      </c>
    </row>
    <row r="1827" customFormat="false" ht="13.5" hidden="false" customHeight="false" outlineLevel="0" collapsed="false">
      <c r="N1827" s="1" t="str">
        <f aca="false">IF(C1827="","",IFERROR(VLOOKUP(C1827,Master_Mappings!$A$4:$E$85,3,FALSE()),"UNMAPPED"))</f>
        <v/>
      </c>
      <c r="P1827" s="1" t="str">
        <f aca="false">IF($C1827="","",$C1827&amp;"|"&amp;$E1827&amp;"|"&amp;$M1827&amp;"|"&amp;TEXT($G1827,"yyyy-mm-dd")&amp;"|"&amp;LEFT($J1827,40))</f>
        <v/>
      </c>
      <c r="Q1827" s="11" t="str">
        <f aca="false">IF(P1827="","",IF(COUNTIF($P$2:$P$3000,P1827)&gt;1,"DUPLICATE","OK"))</f>
        <v/>
      </c>
      <c r="R1827" s="0" t="str">
        <f aca="false">IF($C1827="","",IFERROR(VLOOKUP(--$C1827,MM_Income!$Z$5:$AC$204,3,FALSE()),""))</f>
        <v/>
      </c>
    </row>
    <row r="1828" customFormat="false" ht="13.5" hidden="false" customHeight="false" outlineLevel="0" collapsed="false">
      <c r="N1828" s="1" t="str">
        <f aca="false">IF(C1828="","",IFERROR(VLOOKUP(C1828,Master_Mappings!$A$4:$E$85,3,FALSE()),"UNMAPPED"))</f>
        <v/>
      </c>
      <c r="P1828" s="1" t="str">
        <f aca="false">IF($C1828="","",$C1828&amp;"|"&amp;$E1828&amp;"|"&amp;$M1828&amp;"|"&amp;TEXT($G1828,"yyyy-mm-dd")&amp;"|"&amp;LEFT($J1828,40))</f>
        <v/>
      </c>
      <c r="Q1828" s="11" t="str">
        <f aca="false">IF(P1828="","",IF(COUNTIF($P$2:$P$3000,P1828)&gt;1,"DUPLICATE","OK"))</f>
        <v/>
      </c>
      <c r="R1828" s="0" t="str">
        <f aca="false">IF($C1828="","",IFERROR(VLOOKUP(--$C1828,MM_Income!$Z$5:$AC$204,3,FALSE()),""))</f>
        <v/>
      </c>
    </row>
    <row r="1829" customFormat="false" ht="13.5" hidden="false" customHeight="false" outlineLevel="0" collapsed="false">
      <c r="N1829" s="1" t="str">
        <f aca="false">IF(C1829="","",IFERROR(VLOOKUP(C1829,Master_Mappings!$A$4:$E$85,3,FALSE()),"UNMAPPED"))</f>
        <v/>
      </c>
      <c r="P1829" s="1" t="str">
        <f aca="false">IF($C1829="","",$C1829&amp;"|"&amp;$E1829&amp;"|"&amp;$M1829&amp;"|"&amp;TEXT($G1829,"yyyy-mm-dd")&amp;"|"&amp;LEFT($J1829,40))</f>
        <v/>
      </c>
      <c r="Q1829" s="11" t="str">
        <f aca="false">IF(P1829="","",IF(COUNTIF($P$2:$P$3000,P1829)&gt;1,"DUPLICATE","OK"))</f>
        <v/>
      </c>
      <c r="R1829" s="0" t="str">
        <f aca="false">IF($C1829="","",IFERROR(VLOOKUP(--$C1829,MM_Income!$Z$5:$AC$204,3,FALSE()),""))</f>
        <v/>
      </c>
    </row>
    <row r="1830" customFormat="false" ht="13.5" hidden="false" customHeight="false" outlineLevel="0" collapsed="false">
      <c r="N1830" s="1" t="str">
        <f aca="false">IF(C1830="","",IFERROR(VLOOKUP(C1830,Master_Mappings!$A$4:$E$85,3,FALSE()),"UNMAPPED"))</f>
        <v/>
      </c>
      <c r="P1830" s="1" t="str">
        <f aca="false">IF($C1830="","",$C1830&amp;"|"&amp;$E1830&amp;"|"&amp;$M1830&amp;"|"&amp;TEXT($G1830,"yyyy-mm-dd")&amp;"|"&amp;LEFT($J1830,40))</f>
        <v/>
      </c>
      <c r="Q1830" s="11" t="str">
        <f aca="false">IF(P1830="","",IF(COUNTIF($P$2:$P$3000,P1830)&gt;1,"DUPLICATE","OK"))</f>
        <v/>
      </c>
      <c r="R1830" s="0" t="str">
        <f aca="false">IF($C1830="","",IFERROR(VLOOKUP(--$C1830,MM_Income!$Z$5:$AC$204,3,FALSE()),""))</f>
        <v/>
      </c>
    </row>
    <row r="1831" customFormat="false" ht="13.5" hidden="false" customHeight="false" outlineLevel="0" collapsed="false">
      <c r="N1831" s="1" t="str">
        <f aca="false">IF(C1831="","",IFERROR(VLOOKUP(C1831,Master_Mappings!$A$4:$E$85,3,FALSE()),"UNMAPPED"))</f>
        <v/>
      </c>
      <c r="P1831" s="1" t="str">
        <f aca="false">IF($C1831="","",$C1831&amp;"|"&amp;$E1831&amp;"|"&amp;$M1831&amp;"|"&amp;TEXT($G1831,"yyyy-mm-dd")&amp;"|"&amp;LEFT($J1831,40))</f>
        <v/>
      </c>
      <c r="Q1831" s="11" t="str">
        <f aca="false">IF(P1831="","",IF(COUNTIF($P$2:$P$3000,P1831)&gt;1,"DUPLICATE","OK"))</f>
        <v/>
      </c>
      <c r="R1831" s="0" t="str">
        <f aca="false">IF($C1831="","",IFERROR(VLOOKUP(--$C1831,MM_Income!$Z$5:$AC$204,3,FALSE()),""))</f>
        <v/>
      </c>
    </row>
    <row r="1832" customFormat="false" ht="13.5" hidden="false" customHeight="false" outlineLevel="0" collapsed="false">
      <c r="N1832" s="1" t="str">
        <f aca="false">IF(C1832="","",IFERROR(VLOOKUP(C1832,Master_Mappings!$A$4:$E$85,3,FALSE()),"UNMAPPED"))</f>
        <v/>
      </c>
      <c r="P1832" s="1" t="str">
        <f aca="false">IF($C1832="","",$C1832&amp;"|"&amp;$E1832&amp;"|"&amp;$M1832&amp;"|"&amp;TEXT($G1832,"yyyy-mm-dd")&amp;"|"&amp;LEFT($J1832,40))</f>
        <v/>
      </c>
      <c r="Q1832" s="11" t="str">
        <f aca="false">IF(P1832="","",IF(COUNTIF($P$2:$P$3000,P1832)&gt;1,"DUPLICATE","OK"))</f>
        <v/>
      </c>
      <c r="R1832" s="0" t="str">
        <f aca="false">IF($C1832="","",IFERROR(VLOOKUP(--$C1832,MM_Income!$Z$5:$AC$204,3,FALSE()),""))</f>
        <v/>
      </c>
    </row>
    <row r="1833" customFormat="false" ht="13.5" hidden="false" customHeight="false" outlineLevel="0" collapsed="false">
      <c r="N1833" s="1" t="str">
        <f aca="false">IF(C1833="","",IFERROR(VLOOKUP(C1833,Master_Mappings!$A$4:$E$85,3,FALSE()),"UNMAPPED"))</f>
        <v/>
      </c>
      <c r="P1833" s="1" t="str">
        <f aca="false">IF($C1833="","",$C1833&amp;"|"&amp;$E1833&amp;"|"&amp;$M1833&amp;"|"&amp;TEXT($G1833,"yyyy-mm-dd")&amp;"|"&amp;LEFT($J1833,40))</f>
        <v/>
      </c>
      <c r="Q1833" s="11" t="str">
        <f aca="false">IF(P1833="","",IF(COUNTIF($P$2:$P$3000,P1833)&gt;1,"DUPLICATE","OK"))</f>
        <v/>
      </c>
      <c r="R1833" s="0" t="str">
        <f aca="false">IF($C1833="","",IFERROR(VLOOKUP(--$C1833,MM_Income!$Z$5:$AC$204,3,FALSE()),""))</f>
        <v/>
      </c>
    </row>
    <row r="1834" customFormat="false" ht="13.5" hidden="false" customHeight="false" outlineLevel="0" collapsed="false">
      <c r="N1834" s="1" t="str">
        <f aca="false">IF(C1834="","",IFERROR(VLOOKUP(C1834,Master_Mappings!$A$4:$E$85,3,FALSE()),"UNMAPPED"))</f>
        <v/>
      </c>
      <c r="P1834" s="1" t="str">
        <f aca="false">IF($C1834="","",$C1834&amp;"|"&amp;$E1834&amp;"|"&amp;$M1834&amp;"|"&amp;TEXT($G1834,"yyyy-mm-dd")&amp;"|"&amp;LEFT($J1834,40))</f>
        <v/>
      </c>
      <c r="Q1834" s="11" t="str">
        <f aca="false">IF(P1834="","",IF(COUNTIF($P$2:$P$3000,P1834)&gt;1,"DUPLICATE","OK"))</f>
        <v/>
      </c>
      <c r="R1834" s="0" t="str">
        <f aca="false">IF($C1834="","",IFERROR(VLOOKUP(--$C1834,MM_Income!$Z$5:$AC$204,3,FALSE()),""))</f>
        <v/>
      </c>
    </row>
    <row r="1835" customFormat="false" ht="13.5" hidden="false" customHeight="false" outlineLevel="0" collapsed="false">
      <c r="N1835" s="1" t="str">
        <f aca="false">IF(C1835="","",IFERROR(VLOOKUP(C1835,Master_Mappings!$A$4:$E$85,3,FALSE()),"UNMAPPED"))</f>
        <v/>
      </c>
      <c r="P1835" s="1" t="str">
        <f aca="false">IF($C1835="","",$C1835&amp;"|"&amp;$E1835&amp;"|"&amp;$M1835&amp;"|"&amp;TEXT($G1835,"yyyy-mm-dd")&amp;"|"&amp;LEFT($J1835,40))</f>
        <v/>
      </c>
      <c r="Q1835" s="11" t="str">
        <f aca="false">IF(P1835="","",IF(COUNTIF($P$2:$P$3000,P1835)&gt;1,"DUPLICATE","OK"))</f>
        <v/>
      </c>
      <c r="R1835" s="0" t="str">
        <f aca="false">IF($C1835="","",IFERROR(VLOOKUP(--$C1835,MM_Income!$Z$5:$AC$204,3,FALSE()),""))</f>
        <v/>
      </c>
    </row>
    <row r="1836" customFormat="false" ht="13.5" hidden="false" customHeight="false" outlineLevel="0" collapsed="false">
      <c r="N1836" s="1" t="str">
        <f aca="false">IF(C1836="","",IFERROR(VLOOKUP(C1836,Master_Mappings!$A$4:$E$85,3,FALSE()),"UNMAPPED"))</f>
        <v/>
      </c>
      <c r="P1836" s="1" t="str">
        <f aca="false">IF($C1836="","",$C1836&amp;"|"&amp;$E1836&amp;"|"&amp;$M1836&amp;"|"&amp;TEXT($G1836,"yyyy-mm-dd")&amp;"|"&amp;LEFT($J1836,40))</f>
        <v/>
      </c>
      <c r="Q1836" s="11" t="str">
        <f aca="false">IF(P1836="","",IF(COUNTIF($P$2:$P$3000,P1836)&gt;1,"DUPLICATE","OK"))</f>
        <v/>
      </c>
      <c r="R1836" s="0" t="str">
        <f aca="false">IF($C1836="","",IFERROR(VLOOKUP(--$C1836,MM_Income!$Z$5:$AC$204,3,FALSE()),""))</f>
        <v/>
      </c>
    </row>
    <row r="1837" customFormat="false" ht="13.5" hidden="false" customHeight="false" outlineLevel="0" collapsed="false">
      <c r="N1837" s="1" t="str">
        <f aca="false">IF(C1837="","",IFERROR(VLOOKUP(C1837,Master_Mappings!$A$4:$E$85,3,FALSE()),"UNMAPPED"))</f>
        <v/>
      </c>
      <c r="P1837" s="1" t="str">
        <f aca="false">IF($C1837="","",$C1837&amp;"|"&amp;$E1837&amp;"|"&amp;$M1837&amp;"|"&amp;TEXT($G1837,"yyyy-mm-dd")&amp;"|"&amp;LEFT($J1837,40))</f>
        <v/>
      </c>
      <c r="Q1837" s="11" t="str">
        <f aca="false">IF(P1837="","",IF(COUNTIF($P$2:$P$3000,P1837)&gt;1,"DUPLICATE","OK"))</f>
        <v/>
      </c>
      <c r="R1837" s="0" t="str">
        <f aca="false">IF($C1837="","",IFERROR(VLOOKUP(--$C1837,MM_Income!$Z$5:$AC$204,3,FALSE()),""))</f>
        <v/>
      </c>
    </row>
    <row r="1838" customFormat="false" ht="13.5" hidden="false" customHeight="false" outlineLevel="0" collapsed="false">
      <c r="N1838" s="1" t="str">
        <f aca="false">IF(C1838="","",IFERROR(VLOOKUP(C1838,Master_Mappings!$A$4:$E$85,3,FALSE()),"UNMAPPED"))</f>
        <v/>
      </c>
      <c r="P1838" s="1" t="str">
        <f aca="false">IF($C1838="","",$C1838&amp;"|"&amp;$E1838&amp;"|"&amp;$M1838&amp;"|"&amp;TEXT($G1838,"yyyy-mm-dd")&amp;"|"&amp;LEFT($J1838,40))</f>
        <v/>
      </c>
      <c r="Q1838" s="11" t="str">
        <f aca="false">IF(P1838="","",IF(COUNTIF($P$2:$P$3000,P1838)&gt;1,"DUPLICATE","OK"))</f>
        <v/>
      </c>
      <c r="R1838" s="0" t="str">
        <f aca="false">IF($C1838="","",IFERROR(VLOOKUP(--$C1838,MM_Income!$Z$5:$AC$204,3,FALSE()),""))</f>
        <v/>
      </c>
    </row>
    <row r="1839" customFormat="false" ht="13.5" hidden="false" customHeight="false" outlineLevel="0" collapsed="false">
      <c r="N1839" s="1" t="str">
        <f aca="false">IF(C1839="","",IFERROR(VLOOKUP(C1839,Master_Mappings!$A$4:$E$85,3,FALSE()),"UNMAPPED"))</f>
        <v/>
      </c>
      <c r="P1839" s="1" t="str">
        <f aca="false">IF($C1839="","",$C1839&amp;"|"&amp;$E1839&amp;"|"&amp;$M1839&amp;"|"&amp;TEXT($G1839,"yyyy-mm-dd")&amp;"|"&amp;LEFT($J1839,40))</f>
        <v/>
      </c>
      <c r="Q1839" s="11" t="str">
        <f aca="false">IF(P1839="","",IF(COUNTIF($P$2:$P$3000,P1839)&gt;1,"DUPLICATE","OK"))</f>
        <v/>
      </c>
      <c r="R1839" s="0" t="str">
        <f aca="false">IF($C1839="","",IFERROR(VLOOKUP(--$C1839,MM_Income!$Z$5:$AC$204,3,FALSE()),""))</f>
        <v/>
      </c>
    </row>
    <row r="1840" customFormat="false" ht="13.5" hidden="false" customHeight="false" outlineLevel="0" collapsed="false">
      <c r="N1840" s="1" t="str">
        <f aca="false">IF(C1840="","",IFERROR(VLOOKUP(C1840,Master_Mappings!$A$4:$E$85,3,FALSE()),"UNMAPPED"))</f>
        <v/>
      </c>
      <c r="P1840" s="1" t="str">
        <f aca="false">IF($C1840="","",$C1840&amp;"|"&amp;$E1840&amp;"|"&amp;$M1840&amp;"|"&amp;TEXT($G1840,"yyyy-mm-dd")&amp;"|"&amp;LEFT($J1840,40))</f>
        <v/>
      </c>
      <c r="Q1840" s="11" t="str">
        <f aca="false">IF(P1840="","",IF(COUNTIF($P$2:$P$3000,P1840)&gt;1,"DUPLICATE","OK"))</f>
        <v/>
      </c>
      <c r="R1840" s="0" t="str">
        <f aca="false">IF($C1840="","",IFERROR(VLOOKUP(--$C1840,MM_Income!$Z$5:$AC$204,3,FALSE()),""))</f>
        <v/>
      </c>
    </row>
    <row r="1841" customFormat="false" ht="13.5" hidden="false" customHeight="false" outlineLevel="0" collapsed="false">
      <c r="N1841" s="1" t="str">
        <f aca="false">IF(C1841="","",IFERROR(VLOOKUP(C1841,Master_Mappings!$A$4:$E$85,3,FALSE()),"UNMAPPED"))</f>
        <v/>
      </c>
      <c r="P1841" s="1" t="str">
        <f aca="false">IF($C1841="","",$C1841&amp;"|"&amp;$E1841&amp;"|"&amp;$M1841&amp;"|"&amp;TEXT($G1841,"yyyy-mm-dd")&amp;"|"&amp;LEFT($J1841,40))</f>
        <v/>
      </c>
      <c r="Q1841" s="11" t="str">
        <f aca="false">IF(P1841="","",IF(COUNTIF($P$2:$P$3000,P1841)&gt;1,"DUPLICATE","OK"))</f>
        <v/>
      </c>
      <c r="R1841" s="0" t="str">
        <f aca="false">IF($C1841="","",IFERROR(VLOOKUP(--$C1841,MM_Income!$Z$5:$AC$204,3,FALSE()),""))</f>
        <v/>
      </c>
    </row>
    <row r="1842" customFormat="false" ht="13.5" hidden="false" customHeight="false" outlineLevel="0" collapsed="false">
      <c r="N1842" s="1" t="str">
        <f aca="false">IF(C1842="","",IFERROR(VLOOKUP(C1842,Master_Mappings!$A$4:$E$85,3,FALSE()),"UNMAPPED"))</f>
        <v/>
      </c>
      <c r="P1842" s="1" t="str">
        <f aca="false">IF($C1842="","",$C1842&amp;"|"&amp;$E1842&amp;"|"&amp;$M1842&amp;"|"&amp;TEXT($G1842,"yyyy-mm-dd")&amp;"|"&amp;LEFT($J1842,40))</f>
        <v/>
      </c>
      <c r="Q1842" s="11" t="str">
        <f aca="false">IF(P1842="","",IF(COUNTIF($P$2:$P$3000,P1842)&gt;1,"DUPLICATE","OK"))</f>
        <v/>
      </c>
      <c r="R1842" s="0" t="str">
        <f aca="false">IF($C1842="","",IFERROR(VLOOKUP(--$C1842,MM_Income!$Z$5:$AC$204,3,FALSE()),""))</f>
        <v/>
      </c>
    </row>
    <row r="1843" customFormat="false" ht="13.5" hidden="false" customHeight="false" outlineLevel="0" collapsed="false">
      <c r="N1843" s="1" t="str">
        <f aca="false">IF(C1843="","",IFERROR(VLOOKUP(C1843,Master_Mappings!$A$4:$E$85,3,FALSE()),"UNMAPPED"))</f>
        <v/>
      </c>
      <c r="P1843" s="1" t="str">
        <f aca="false">IF($C1843="","",$C1843&amp;"|"&amp;$E1843&amp;"|"&amp;$M1843&amp;"|"&amp;TEXT($G1843,"yyyy-mm-dd")&amp;"|"&amp;LEFT($J1843,40))</f>
        <v/>
      </c>
      <c r="Q1843" s="11" t="str">
        <f aca="false">IF(P1843="","",IF(COUNTIF($P$2:$P$3000,P1843)&gt;1,"DUPLICATE","OK"))</f>
        <v/>
      </c>
      <c r="R1843" s="0" t="str">
        <f aca="false">IF($C1843="","",IFERROR(VLOOKUP(--$C1843,MM_Income!$Z$5:$AC$204,3,FALSE()),""))</f>
        <v/>
      </c>
    </row>
    <row r="1844" customFormat="false" ht="13.5" hidden="false" customHeight="false" outlineLevel="0" collapsed="false">
      <c r="N1844" s="1" t="str">
        <f aca="false">IF(C1844="","",IFERROR(VLOOKUP(C1844,Master_Mappings!$A$4:$E$85,3,FALSE()),"UNMAPPED"))</f>
        <v/>
      </c>
      <c r="P1844" s="1" t="str">
        <f aca="false">IF($C1844="","",$C1844&amp;"|"&amp;$E1844&amp;"|"&amp;$M1844&amp;"|"&amp;TEXT($G1844,"yyyy-mm-dd")&amp;"|"&amp;LEFT($J1844,40))</f>
        <v/>
      </c>
      <c r="Q1844" s="11" t="str">
        <f aca="false">IF(P1844="","",IF(COUNTIF($P$2:$P$3000,P1844)&gt;1,"DUPLICATE","OK"))</f>
        <v/>
      </c>
      <c r="R1844" s="0" t="str">
        <f aca="false">IF($C1844="","",IFERROR(VLOOKUP(--$C1844,MM_Income!$Z$5:$AC$204,3,FALSE()),""))</f>
        <v/>
      </c>
    </row>
    <row r="1845" customFormat="false" ht="13.5" hidden="false" customHeight="false" outlineLevel="0" collapsed="false">
      <c r="N1845" s="1" t="str">
        <f aca="false">IF(C1845="","",IFERROR(VLOOKUP(C1845,Master_Mappings!$A$4:$E$85,3,FALSE()),"UNMAPPED"))</f>
        <v/>
      </c>
      <c r="P1845" s="1" t="str">
        <f aca="false">IF($C1845="","",$C1845&amp;"|"&amp;$E1845&amp;"|"&amp;$M1845&amp;"|"&amp;TEXT($G1845,"yyyy-mm-dd")&amp;"|"&amp;LEFT($J1845,40))</f>
        <v/>
      </c>
      <c r="Q1845" s="11" t="str">
        <f aca="false">IF(P1845="","",IF(COUNTIF($P$2:$P$3000,P1845)&gt;1,"DUPLICATE","OK"))</f>
        <v/>
      </c>
      <c r="R1845" s="0" t="str">
        <f aca="false">IF($C1845="","",IFERROR(VLOOKUP(--$C1845,MM_Income!$Z$5:$AC$204,3,FALSE()),""))</f>
        <v/>
      </c>
    </row>
    <row r="1846" customFormat="false" ht="13.5" hidden="false" customHeight="false" outlineLevel="0" collapsed="false">
      <c r="N1846" s="1" t="str">
        <f aca="false">IF(C1846="","",IFERROR(VLOOKUP(C1846,Master_Mappings!$A$4:$E$85,3,FALSE()),"UNMAPPED"))</f>
        <v/>
      </c>
      <c r="P1846" s="1" t="str">
        <f aca="false">IF($C1846="","",$C1846&amp;"|"&amp;$E1846&amp;"|"&amp;$M1846&amp;"|"&amp;TEXT($G1846,"yyyy-mm-dd")&amp;"|"&amp;LEFT($J1846,40))</f>
        <v/>
      </c>
      <c r="Q1846" s="11" t="str">
        <f aca="false">IF(P1846="","",IF(COUNTIF($P$2:$P$3000,P1846)&gt;1,"DUPLICATE","OK"))</f>
        <v/>
      </c>
      <c r="R1846" s="0" t="str">
        <f aca="false">IF($C1846="","",IFERROR(VLOOKUP(--$C1846,MM_Income!$Z$5:$AC$204,3,FALSE()),""))</f>
        <v/>
      </c>
    </row>
    <row r="1847" customFormat="false" ht="13.5" hidden="false" customHeight="false" outlineLevel="0" collapsed="false">
      <c r="N1847" s="1" t="str">
        <f aca="false">IF(C1847="","",IFERROR(VLOOKUP(C1847,Master_Mappings!$A$4:$E$85,3,FALSE()),"UNMAPPED"))</f>
        <v/>
      </c>
      <c r="P1847" s="1" t="str">
        <f aca="false">IF($C1847="","",$C1847&amp;"|"&amp;$E1847&amp;"|"&amp;$M1847&amp;"|"&amp;TEXT($G1847,"yyyy-mm-dd")&amp;"|"&amp;LEFT($J1847,40))</f>
        <v/>
      </c>
      <c r="Q1847" s="11" t="str">
        <f aca="false">IF(P1847="","",IF(COUNTIF($P$2:$P$3000,P1847)&gt;1,"DUPLICATE","OK"))</f>
        <v/>
      </c>
      <c r="R1847" s="0" t="str">
        <f aca="false">IF($C1847="","",IFERROR(VLOOKUP(--$C1847,MM_Income!$Z$5:$AC$204,3,FALSE()),""))</f>
        <v/>
      </c>
    </row>
    <row r="1848" customFormat="false" ht="13.5" hidden="false" customHeight="false" outlineLevel="0" collapsed="false">
      <c r="N1848" s="1" t="str">
        <f aca="false">IF(C1848="","",IFERROR(VLOOKUP(C1848,Master_Mappings!$A$4:$E$85,3,FALSE()),"UNMAPPED"))</f>
        <v/>
      </c>
      <c r="P1848" s="1" t="str">
        <f aca="false">IF($C1848="","",$C1848&amp;"|"&amp;$E1848&amp;"|"&amp;$M1848&amp;"|"&amp;TEXT($G1848,"yyyy-mm-dd")&amp;"|"&amp;LEFT($J1848,40))</f>
        <v/>
      </c>
      <c r="Q1848" s="11" t="str">
        <f aca="false">IF(P1848="","",IF(COUNTIF($P$2:$P$3000,P1848)&gt;1,"DUPLICATE","OK"))</f>
        <v/>
      </c>
      <c r="R1848" s="0" t="str">
        <f aca="false">IF($C1848="","",IFERROR(VLOOKUP(--$C1848,MM_Income!$Z$5:$AC$204,3,FALSE()),""))</f>
        <v/>
      </c>
    </row>
    <row r="1849" customFormat="false" ht="13.5" hidden="false" customHeight="false" outlineLevel="0" collapsed="false">
      <c r="N1849" s="1" t="str">
        <f aca="false">IF(C1849="","",IFERROR(VLOOKUP(C1849,Master_Mappings!$A$4:$E$85,3,FALSE()),"UNMAPPED"))</f>
        <v/>
      </c>
      <c r="P1849" s="1" t="str">
        <f aca="false">IF($C1849="","",$C1849&amp;"|"&amp;$E1849&amp;"|"&amp;$M1849&amp;"|"&amp;TEXT($G1849,"yyyy-mm-dd")&amp;"|"&amp;LEFT($J1849,40))</f>
        <v/>
      </c>
      <c r="Q1849" s="11" t="str">
        <f aca="false">IF(P1849="","",IF(COUNTIF($P$2:$P$3000,P1849)&gt;1,"DUPLICATE","OK"))</f>
        <v/>
      </c>
      <c r="R1849" s="0" t="str">
        <f aca="false">IF($C1849="","",IFERROR(VLOOKUP(--$C1849,MM_Income!$Z$5:$AC$204,3,FALSE()),""))</f>
        <v/>
      </c>
    </row>
    <row r="1850" customFormat="false" ht="13.5" hidden="false" customHeight="false" outlineLevel="0" collapsed="false">
      <c r="N1850" s="1" t="str">
        <f aca="false">IF(C1850="","",IFERROR(VLOOKUP(C1850,Master_Mappings!$A$4:$E$85,3,FALSE()),"UNMAPPED"))</f>
        <v/>
      </c>
      <c r="P1850" s="1" t="str">
        <f aca="false">IF($C1850="","",$C1850&amp;"|"&amp;$E1850&amp;"|"&amp;$M1850&amp;"|"&amp;TEXT($G1850,"yyyy-mm-dd")&amp;"|"&amp;LEFT($J1850,40))</f>
        <v/>
      </c>
      <c r="Q1850" s="11" t="str">
        <f aca="false">IF(P1850="","",IF(COUNTIF($P$2:$P$3000,P1850)&gt;1,"DUPLICATE","OK"))</f>
        <v/>
      </c>
      <c r="R1850" s="0" t="str">
        <f aca="false">IF($C1850="","",IFERROR(VLOOKUP(--$C1850,MM_Income!$Z$5:$AC$204,3,FALSE()),""))</f>
        <v/>
      </c>
    </row>
    <row r="1851" customFormat="false" ht="13.5" hidden="false" customHeight="false" outlineLevel="0" collapsed="false">
      <c r="N1851" s="1" t="str">
        <f aca="false">IF(C1851="","",IFERROR(VLOOKUP(C1851,Master_Mappings!$A$4:$E$85,3,FALSE()),"UNMAPPED"))</f>
        <v/>
      </c>
      <c r="P1851" s="1" t="str">
        <f aca="false">IF($C1851="","",$C1851&amp;"|"&amp;$E1851&amp;"|"&amp;$M1851&amp;"|"&amp;TEXT($G1851,"yyyy-mm-dd")&amp;"|"&amp;LEFT($J1851,40))</f>
        <v/>
      </c>
      <c r="Q1851" s="11" t="str">
        <f aca="false">IF(P1851="","",IF(COUNTIF($P$2:$P$3000,P1851)&gt;1,"DUPLICATE","OK"))</f>
        <v/>
      </c>
      <c r="R1851" s="0" t="str">
        <f aca="false">IF($C1851="","",IFERROR(VLOOKUP(--$C1851,MM_Income!$Z$5:$AC$204,3,FALSE()),""))</f>
        <v/>
      </c>
    </row>
    <row r="1852" customFormat="false" ht="13.5" hidden="false" customHeight="false" outlineLevel="0" collapsed="false">
      <c r="N1852" s="1" t="str">
        <f aca="false">IF(C1852="","",IFERROR(VLOOKUP(C1852,Master_Mappings!$A$4:$E$85,3,FALSE()),"UNMAPPED"))</f>
        <v/>
      </c>
      <c r="P1852" s="1" t="str">
        <f aca="false">IF($C1852="","",$C1852&amp;"|"&amp;$E1852&amp;"|"&amp;$M1852&amp;"|"&amp;TEXT($G1852,"yyyy-mm-dd")&amp;"|"&amp;LEFT($J1852,40))</f>
        <v/>
      </c>
      <c r="Q1852" s="11" t="str">
        <f aca="false">IF(P1852="","",IF(COUNTIF($P$2:$P$3000,P1852)&gt;1,"DUPLICATE","OK"))</f>
        <v/>
      </c>
      <c r="R1852" s="0" t="str">
        <f aca="false">IF($C1852="","",IFERROR(VLOOKUP(--$C1852,MM_Income!$Z$5:$AC$204,3,FALSE()),""))</f>
        <v/>
      </c>
    </row>
    <row r="1853" customFormat="false" ht="13.5" hidden="false" customHeight="false" outlineLevel="0" collapsed="false">
      <c r="N1853" s="1" t="str">
        <f aca="false">IF(C1853="","",IFERROR(VLOOKUP(C1853,Master_Mappings!$A$4:$E$85,3,FALSE()),"UNMAPPED"))</f>
        <v/>
      </c>
      <c r="P1853" s="1" t="str">
        <f aca="false">IF($C1853="","",$C1853&amp;"|"&amp;$E1853&amp;"|"&amp;$M1853&amp;"|"&amp;TEXT($G1853,"yyyy-mm-dd")&amp;"|"&amp;LEFT($J1853,40))</f>
        <v/>
      </c>
      <c r="Q1853" s="11" t="str">
        <f aca="false">IF(P1853="","",IF(COUNTIF($P$2:$P$3000,P1853)&gt;1,"DUPLICATE","OK"))</f>
        <v/>
      </c>
      <c r="R1853" s="0" t="str">
        <f aca="false">IF($C1853="","",IFERROR(VLOOKUP(--$C1853,MM_Income!$Z$5:$AC$204,3,FALSE()),""))</f>
        <v/>
      </c>
    </row>
    <row r="1854" customFormat="false" ht="13.5" hidden="false" customHeight="false" outlineLevel="0" collapsed="false">
      <c r="N1854" s="1" t="str">
        <f aca="false">IF(C1854="","",IFERROR(VLOOKUP(C1854,Master_Mappings!$A$4:$E$85,3,FALSE()),"UNMAPPED"))</f>
        <v/>
      </c>
      <c r="P1854" s="1" t="str">
        <f aca="false">IF($C1854="","",$C1854&amp;"|"&amp;$E1854&amp;"|"&amp;$M1854&amp;"|"&amp;TEXT($G1854,"yyyy-mm-dd")&amp;"|"&amp;LEFT($J1854,40))</f>
        <v/>
      </c>
      <c r="Q1854" s="11" t="str">
        <f aca="false">IF(P1854="","",IF(COUNTIF($P$2:$P$3000,P1854)&gt;1,"DUPLICATE","OK"))</f>
        <v/>
      </c>
      <c r="R1854" s="0" t="str">
        <f aca="false">IF($C1854="","",IFERROR(VLOOKUP(--$C1854,MM_Income!$Z$5:$AC$204,3,FALSE()),""))</f>
        <v/>
      </c>
    </row>
    <row r="1855" customFormat="false" ht="13.5" hidden="false" customHeight="false" outlineLevel="0" collapsed="false">
      <c r="N1855" s="1" t="str">
        <f aca="false">IF(C1855="","",IFERROR(VLOOKUP(C1855,Master_Mappings!$A$4:$E$85,3,FALSE()),"UNMAPPED"))</f>
        <v/>
      </c>
      <c r="P1855" s="1" t="str">
        <f aca="false">IF($C1855="","",$C1855&amp;"|"&amp;$E1855&amp;"|"&amp;$M1855&amp;"|"&amp;TEXT($G1855,"yyyy-mm-dd")&amp;"|"&amp;LEFT($J1855,40))</f>
        <v/>
      </c>
      <c r="Q1855" s="11" t="str">
        <f aca="false">IF(P1855="","",IF(COUNTIF($P$2:$P$3000,P1855)&gt;1,"DUPLICATE","OK"))</f>
        <v/>
      </c>
      <c r="R1855" s="0" t="str">
        <f aca="false">IF($C1855="","",IFERROR(VLOOKUP(--$C1855,MM_Income!$Z$5:$AC$204,3,FALSE()),""))</f>
        <v/>
      </c>
    </row>
    <row r="1856" customFormat="false" ht="13.5" hidden="false" customHeight="false" outlineLevel="0" collapsed="false">
      <c r="N1856" s="1" t="str">
        <f aca="false">IF(C1856="","",IFERROR(VLOOKUP(C1856,Master_Mappings!$A$4:$E$85,3,FALSE()),"UNMAPPED"))</f>
        <v/>
      </c>
      <c r="P1856" s="1" t="str">
        <f aca="false">IF($C1856="","",$C1856&amp;"|"&amp;$E1856&amp;"|"&amp;$M1856&amp;"|"&amp;TEXT($G1856,"yyyy-mm-dd")&amp;"|"&amp;LEFT($J1856,40))</f>
        <v/>
      </c>
      <c r="Q1856" s="11" t="str">
        <f aca="false">IF(P1856="","",IF(COUNTIF($P$2:$P$3000,P1856)&gt;1,"DUPLICATE","OK"))</f>
        <v/>
      </c>
      <c r="R1856" s="0" t="str">
        <f aca="false">IF($C1856="","",IFERROR(VLOOKUP(--$C1856,MM_Income!$Z$5:$AC$204,3,FALSE()),""))</f>
        <v/>
      </c>
    </row>
    <row r="1857" customFormat="false" ht="13.5" hidden="false" customHeight="false" outlineLevel="0" collapsed="false">
      <c r="N1857" s="1" t="str">
        <f aca="false">IF(C1857="","",IFERROR(VLOOKUP(C1857,Master_Mappings!$A$4:$E$85,3,FALSE()),"UNMAPPED"))</f>
        <v/>
      </c>
      <c r="P1857" s="1" t="str">
        <f aca="false">IF($C1857="","",$C1857&amp;"|"&amp;$E1857&amp;"|"&amp;$M1857&amp;"|"&amp;TEXT($G1857,"yyyy-mm-dd")&amp;"|"&amp;LEFT($J1857,40))</f>
        <v/>
      </c>
      <c r="Q1857" s="11" t="str">
        <f aca="false">IF(P1857="","",IF(COUNTIF($P$2:$P$3000,P1857)&gt;1,"DUPLICATE","OK"))</f>
        <v/>
      </c>
      <c r="R1857" s="0" t="str">
        <f aca="false">IF($C1857="","",IFERROR(VLOOKUP(--$C1857,MM_Income!$Z$5:$AC$204,3,FALSE()),""))</f>
        <v/>
      </c>
    </row>
    <row r="1858" customFormat="false" ht="13.5" hidden="false" customHeight="false" outlineLevel="0" collapsed="false">
      <c r="N1858" s="1" t="str">
        <f aca="false">IF(C1858="","",IFERROR(VLOOKUP(C1858,Master_Mappings!$A$4:$E$85,3,FALSE()),"UNMAPPED"))</f>
        <v/>
      </c>
      <c r="P1858" s="1" t="str">
        <f aca="false">IF($C1858="","",$C1858&amp;"|"&amp;$E1858&amp;"|"&amp;$M1858&amp;"|"&amp;TEXT($G1858,"yyyy-mm-dd")&amp;"|"&amp;LEFT($J1858,40))</f>
        <v/>
      </c>
      <c r="Q1858" s="11" t="str">
        <f aca="false">IF(P1858="","",IF(COUNTIF($P$2:$P$3000,P1858)&gt;1,"DUPLICATE","OK"))</f>
        <v/>
      </c>
      <c r="R1858" s="0" t="str">
        <f aca="false">IF($C1858="","",IFERROR(VLOOKUP(--$C1858,MM_Income!$Z$5:$AC$204,3,FALSE()),""))</f>
        <v/>
      </c>
    </row>
    <row r="1859" customFormat="false" ht="13.5" hidden="false" customHeight="false" outlineLevel="0" collapsed="false">
      <c r="N1859" s="1" t="str">
        <f aca="false">IF(C1859="","",IFERROR(VLOOKUP(C1859,Master_Mappings!$A$4:$E$85,3,FALSE()),"UNMAPPED"))</f>
        <v/>
      </c>
      <c r="P1859" s="1" t="str">
        <f aca="false">IF($C1859="","",$C1859&amp;"|"&amp;$E1859&amp;"|"&amp;$M1859&amp;"|"&amp;TEXT($G1859,"yyyy-mm-dd")&amp;"|"&amp;LEFT($J1859,40))</f>
        <v/>
      </c>
      <c r="Q1859" s="11" t="str">
        <f aca="false">IF(P1859="","",IF(COUNTIF($P$2:$P$3000,P1859)&gt;1,"DUPLICATE","OK"))</f>
        <v/>
      </c>
      <c r="R1859" s="0" t="str">
        <f aca="false">IF($C1859="","",IFERROR(VLOOKUP(--$C1859,MM_Income!$Z$5:$AC$204,3,FALSE()),""))</f>
        <v/>
      </c>
    </row>
    <row r="1860" customFormat="false" ht="13.5" hidden="false" customHeight="false" outlineLevel="0" collapsed="false">
      <c r="N1860" s="1" t="str">
        <f aca="false">IF(C1860="","",IFERROR(VLOOKUP(C1860,Master_Mappings!$A$4:$E$85,3,FALSE()),"UNMAPPED"))</f>
        <v/>
      </c>
      <c r="P1860" s="1" t="str">
        <f aca="false">IF($C1860="","",$C1860&amp;"|"&amp;$E1860&amp;"|"&amp;$M1860&amp;"|"&amp;TEXT($G1860,"yyyy-mm-dd")&amp;"|"&amp;LEFT($J1860,40))</f>
        <v/>
      </c>
      <c r="Q1860" s="11" t="str">
        <f aca="false">IF(P1860="","",IF(COUNTIF($P$2:$P$3000,P1860)&gt;1,"DUPLICATE","OK"))</f>
        <v/>
      </c>
      <c r="R1860" s="0" t="str">
        <f aca="false">IF($C1860="","",IFERROR(VLOOKUP(--$C1860,MM_Income!$Z$5:$AC$204,3,FALSE()),""))</f>
        <v/>
      </c>
    </row>
    <row r="1861" customFormat="false" ht="13.5" hidden="false" customHeight="false" outlineLevel="0" collapsed="false">
      <c r="N1861" s="1" t="str">
        <f aca="false">IF(C1861="","",IFERROR(VLOOKUP(C1861,Master_Mappings!$A$4:$E$85,3,FALSE()),"UNMAPPED"))</f>
        <v/>
      </c>
      <c r="P1861" s="1" t="str">
        <f aca="false">IF($C1861="","",$C1861&amp;"|"&amp;$E1861&amp;"|"&amp;$M1861&amp;"|"&amp;TEXT($G1861,"yyyy-mm-dd")&amp;"|"&amp;LEFT($J1861,40))</f>
        <v/>
      </c>
      <c r="Q1861" s="11" t="str">
        <f aca="false">IF(P1861="","",IF(COUNTIF($P$2:$P$3000,P1861)&gt;1,"DUPLICATE","OK"))</f>
        <v/>
      </c>
      <c r="R1861" s="0" t="str">
        <f aca="false">IF($C1861="","",IFERROR(VLOOKUP(--$C1861,MM_Income!$Z$5:$AC$204,3,FALSE()),""))</f>
        <v/>
      </c>
    </row>
    <row r="1862" customFormat="false" ht="13.5" hidden="false" customHeight="false" outlineLevel="0" collapsed="false">
      <c r="N1862" s="1" t="str">
        <f aca="false">IF(C1862="","",IFERROR(VLOOKUP(C1862,Master_Mappings!$A$4:$E$85,3,FALSE()),"UNMAPPED"))</f>
        <v/>
      </c>
      <c r="P1862" s="1" t="str">
        <f aca="false">IF($C1862="","",$C1862&amp;"|"&amp;$E1862&amp;"|"&amp;$M1862&amp;"|"&amp;TEXT($G1862,"yyyy-mm-dd")&amp;"|"&amp;LEFT($J1862,40))</f>
        <v/>
      </c>
      <c r="Q1862" s="11" t="str">
        <f aca="false">IF(P1862="","",IF(COUNTIF($P$2:$P$3000,P1862)&gt;1,"DUPLICATE","OK"))</f>
        <v/>
      </c>
      <c r="R1862" s="0" t="str">
        <f aca="false">IF($C1862="","",IFERROR(VLOOKUP(--$C1862,MM_Income!$Z$5:$AC$204,3,FALSE()),""))</f>
        <v/>
      </c>
    </row>
    <row r="1863" customFormat="false" ht="13.5" hidden="false" customHeight="false" outlineLevel="0" collapsed="false">
      <c r="N1863" s="1" t="str">
        <f aca="false">IF(C1863="","",IFERROR(VLOOKUP(C1863,Master_Mappings!$A$4:$E$85,3,FALSE()),"UNMAPPED"))</f>
        <v/>
      </c>
      <c r="P1863" s="1" t="str">
        <f aca="false">IF($C1863="","",$C1863&amp;"|"&amp;$E1863&amp;"|"&amp;$M1863&amp;"|"&amp;TEXT($G1863,"yyyy-mm-dd")&amp;"|"&amp;LEFT($J1863,40))</f>
        <v/>
      </c>
      <c r="Q1863" s="11" t="str">
        <f aca="false">IF(P1863="","",IF(COUNTIF($P$2:$P$3000,P1863)&gt;1,"DUPLICATE","OK"))</f>
        <v/>
      </c>
      <c r="R1863" s="0" t="str">
        <f aca="false">IF($C1863="","",IFERROR(VLOOKUP(--$C1863,MM_Income!$Z$5:$AC$204,3,FALSE()),""))</f>
        <v/>
      </c>
    </row>
    <row r="1864" customFormat="false" ht="13.5" hidden="false" customHeight="false" outlineLevel="0" collapsed="false">
      <c r="N1864" s="1" t="str">
        <f aca="false">IF(C1864="","",IFERROR(VLOOKUP(C1864,Master_Mappings!$A$4:$E$85,3,FALSE()),"UNMAPPED"))</f>
        <v/>
      </c>
      <c r="P1864" s="1" t="str">
        <f aca="false">IF($C1864="","",$C1864&amp;"|"&amp;$E1864&amp;"|"&amp;$M1864&amp;"|"&amp;TEXT($G1864,"yyyy-mm-dd")&amp;"|"&amp;LEFT($J1864,40))</f>
        <v/>
      </c>
      <c r="Q1864" s="11" t="str">
        <f aca="false">IF(P1864="","",IF(COUNTIF($P$2:$P$3000,P1864)&gt;1,"DUPLICATE","OK"))</f>
        <v/>
      </c>
      <c r="R1864" s="0" t="str">
        <f aca="false">IF($C1864="","",IFERROR(VLOOKUP(--$C1864,MM_Income!$Z$5:$AC$204,3,FALSE()),""))</f>
        <v/>
      </c>
    </row>
    <row r="1865" customFormat="false" ht="13.5" hidden="false" customHeight="false" outlineLevel="0" collapsed="false">
      <c r="N1865" s="1" t="str">
        <f aca="false">IF(C1865="","",IFERROR(VLOOKUP(C1865,Master_Mappings!$A$4:$E$85,3,FALSE()),"UNMAPPED"))</f>
        <v/>
      </c>
      <c r="P1865" s="1" t="str">
        <f aca="false">IF($C1865="","",$C1865&amp;"|"&amp;$E1865&amp;"|"&amp;$M1865&amp;"|"&amp;TEXT($G1865,"yyyy-mm-dd")&amp;"|"&amp;LEFT($J1865,40))</f>
        <v/>
      </c>
      <c r="Q1865" s="11" t="str">
        <f aca="false">IF(P1865="","",IF(COUNTIF($P$2:$P$3000,P1865)&gt;1,"DUPLICATE","OK"))</f>
        <v/>
      </c>
      <c r="R1865" s="0" t="str">
        <f aca="false">IF($C1865="","",IFERROR(VLOOKUP(--$C1865,MM_Income!$Z$5:$AC$204,3,FALSE()),""))</f>
        <v/>
      </c>
    </row>
    <row r="1866" customFormat="false" ht="13.5" hidden="false" customHeight="false" outlineLevel="0" collapsed="false">
      <c r="N1866" s="1" t="str">
        <f aca="false">IF(C1866="","",IFERROR(VLOOKUP(C1866,Master_Mappings!$A$4:$E$85,3,FALSE()),"UNMAPPED"))</f>
        <v/>
      </c>
      <c r="P1866" s="1" t="str">
        <f aca="false">IF($C1866="","",$C1866&amp;"|"&amp;$E1866&amp;"|"&amp;$M1866&amp;"|"&amp;TEXT($G1866,"yyyy-mm-dd")&amp;"|"&amp;LEFT($J1866,40))</f>
        <v/>
      </c>
      <c r="Q1866" s="11" t="str">
        <f aca="false">IF(P1866="","",IF(COUNTIF($P$2:$P$3000,P1866)&gt;1,"DUPLICATE","OK"))</f>
        <v/>
      </c>
      <c r="R1866" s="0" t="str">
        <f aca="false">IF($C1866="","",IFERROR(VLOOKUP(--$C1866,MM_Income!$Z$5:$AC$204,3,FALSE()),""))</f>
        <v/>
      </c>
    </row>
    <row r="1867" customFormat="false" ht="13.5" hidden="false" customHeight="false" outlineLevel="0" collapsed="false">
      <c r="N1867" s="1" t="str">
        <f aca="false">IF(C1867="","",IFERROR(VLOOKUP(C1867,Master_Mappings!$A$4:$E$85,3,FALSE()),"UNMAPPED"))</f>
        <v/>
      </c>
      <c r="P1867" s="1" t="str">
        <f aca="false">IF($C1867="","",$C1867&amp;"|"&amp;$E1867&amp;"|"&amp;$M1867&amp;"|"&amp;TEXT($G1867,"yyyy-mm-dd")&amp;"|"&amp;LEFT($J1867,40))</f>
        <v/>
      </c>
      <c r="Q1867" s="11" t="str">
        <f aca="false">IF(P1867="","",IF(COUNTIF($P$2:$P$3000,P1867)&gt;1,"DUPLICATE","OK"))</f>
        <v/>
      </c>
      <c r="R1867" s="0" t="str">
        <f aca="false">IF($C1867="","",IFERROR(VLOOKUP(--$C1867,MM_Income!$Z$5:$AC$204,3,FALSE()),""))</f>
        <v/>
      </c>
    </row>
    <row r="1868" customFormat="false" ht="13.5" hidden="false" customHeight="false" outlineLevel="0" collapsed="false">
      <c r="N1868" s="1" t="str">
        <f aca="false">IF(C1868="","",IFERROR(VLOOKUP(C1868,Master_Mappings!$A$4:$E$85,3,FALSE()),"UNMAPPED"))</f>
        <v/>
      </c>
      <c r="P1868" s="1" t="str">
        <f aca="false">IF($C1868="","",$C1868&amp;"|"&amp;$E1868&amp;"|"&amp;$M1868&amp;"|"&amp;TEXT($G1868,"yyyy-mm-dd")&amp;"|"&amp;LEFT($J1868,40))</f>
        <v/>
      </c>
      <c r="Q1868" s="11" t="str">
        <f aca="false">IF(P1868="","",IF(COUNTIF($P$2:$P$3000,P1868)&gt;1,"DUPLICATE","OK"))</f>
        <v/>
      </c>
      <c r="R1868" s="0" t="str">
        <f aca="false">IF($C1868="","",IFERROR(VLOOKUP(--$C1868,MM_Income!$Z$5:$AC$204,3,FALSE()),""))</f>
        <v/>
      </c>
    </row>
    <row r="1869" customFormat="false" ht="13.5" hidden="false" customHeight="false" outlineLevel="0" collapsed="false">
      <c r="N1869" s="1" t="str">
        <f aca="false">IF(C1869="","",IFERROR(VLOOKUP(C1869,Master_Mappings!$A$4:$E$85,3,FALSE()),"UNMAPPED"))</f>
        <v/>
      </c>
      <c r="P1869" s="1" t="str">
        <f aca="false">IF($C1869="","",$C1869&amp;"|"&amp;$E1869&amp;"|"&amp;$M1869&amp;"|"&amp;TEXT($G1869,"yyyy-mm-dd")&amp;"|"&amp;LEFT($J1869,40))</f>
        <v/>
      </c>
      <c r="Q1869" s="11" t="str">
        <f aca="false">IF(P1869="","",IF(COUNTIF($P$2:$P$3000,P1869)&gt;1,"DUPLICATE","OK"))</f>
        <v/>
      </c>
      <c r="R1869" s="0" t="str">
        <f aca="false">IF($C1869="","",IFERROR(VLOOKUP(--$C1869,MM_Income!$Z$5:$AC$204,3,FALSE()),""))</f>
        <v/>
      </c>
    </row>
    <row r="1870" customFormat="false" ht="13.5" hidden="false" customHeight="false" outlineLevel="0" collapsed="false">
      <c r="N1870" s="1" t="str">
        <f aca="false">IF(C1870="","",IFERROR(VLOOKUP(C1870,Master_Mappings!$A$4:$E$85,3,FALSE()),"UNMAPPED"))</f>
        <v/>
      </c>
      <c r="P1870" s="1" t="str">
        <f aca="false">IF($C1870="","",$C1870&amp;"|"&amp;$E1870&amp;"|"&amp;$M1870&amp;"|"&amp;TEXT($G1870,"yyyy-mm-dd")&amp;"|"&amp;LEFT($J1870,40))</f>
        <v/>
      </c>
      <c r="Q1870" s="11" t="str">
        <f aca="false">IF(P1870="","",IF(COUNTIF($P$2:$P$3000,P1870)&gt;1,"DUPLICATE","OK"))</f>
        <v/>
      </c>
      <c r="R1870" s="0" t="str">
        <f aca="false">IF($C1870="","",IFERROR(VLOOKUP(--$C1870,MM_Income!$Z$5:$AC$204,3,FALSE()),""))</f>
        <v/>
      </c>
    </row>
    <row r="1871" customFormat="false" ht="13.5" hidden="false" customHeight="false" outlineLevel="0" collapsed="false">
      <c r="N1871" s="1" t="str">
        <f aca="false">IF(C1871="","",IFERROR(VLOOKUP(C1871,Master_Mappings!$A$4:$E$85,3,FALSE()),"UNMAPPED"))</f>
        <v/>
      </c>
      <c r="P1871" s="1" t="str">
        <f aca="false">IF($C1871="","",$C1871&amp;"|"&amp;$E1871&amp;"|"&amp;$M1871&amp;"|"&amp;TEXT($G1871,"yyyy-mm-dd")&amp;"|"&amp;LEFT($J1871,40))</f>
        <v/>
      </c>
      <c r="Q1871" s="11" t="str">
        <f aca="false">IF(P1871="","",IF(COUNTIF($P$2:$P$3000,P1871)&gt;1,"DUPLICATE","OK"))</f>
        <v/>
      </c>
      <c r="R1871" s="0" t="str">
        <f aca="false">IF($C1871="","",IFERROR(VLOOKUP(--$C1871,MM_Income!$Z$5:$AC$204,3,FALSE()),""))</f>
        <v/>
      </c>
    </row>
    <row r="1872" customFormat="false" ht="13.5" hidden="false" customHeight="false" outlineLevel="0" collapsed="false">
      <c r="N1872" s="1" t="str">
        <f aca="false">IF(C1872="","",IFERROR(VLOOKUP(C1872,Master_Mappings!$A$4:$E$85,3,FALSE()),"UNMAPPED"))</f>
        <v/>
      </c>
      <c r="P1872" s="1" t="str">
        <f aca="false">IF($C1872="","",$C1872&amp;"|"&amp;$E1872&amp;"|"&amp;$M1872&amp;"|"&amp;TEXT($G1872,"yyyy-mm-dd")&amp;"|"&amp;LEFT($J1872,40))</f>
        <v/>
      </c>
      <c r="Q1872" s="11" t="str">
        <f aca="false">IF(P1872="","",IF(COUNTIF($P$2:$P$3000,P1872)&gt;1,"DUPLICATE","OK"))</f>
        <v/>
      </c>
      <c r="R1872" s="0" t="str">
        <f aca="false">IF($C1872="","",IFERROR(VLOOKUP(--$C1872,MM_Income!$Z$5:$AC$204,3,FALSE()),""))</f>
        <v/>
      </c>
    </row>
    <row r="1873" customFormat="false" ht="13.5" hidden="false" customHeight="false" outlineLevel="0" collapsed="false">
      <c r="N1873" s="1" t="str">
        <f aca="false">IF(C1873="","",IFERROR(VLOOKUP(C1873,Master_Mappings!$A$4:$E$85,3,FALSE()),"UNMAPPED"))</f>
        <v/>
      </c>
      <c r="P1873" s="1" t="str">
        <f aca="false">IF($C1873="","",$C1873&amp;"|"&amp;$E1873&amp;"|"&amp;$M1873&amp;"|"&amp;TEXT($G1873,"yyyy-mm-dd")&amp;"|"&amp;LEFT($J1873,40))</f>
        <v/>
      </c>
      <c r="Q1873" s="11" t="str">
        <f aca="false">IF(P1873="","",IF(COUNTIF($P$2:$P$3000,P1873)&gt;1,"DUPLICATE","OK"))</f>
        <v/>
      </c>
      <c r="R1873" s="0" t="str">
        <f aca="false">IF($C1873="","",IFERROR(VLOOKUP(--$C1873,MM_Income!$Z$5:$AC$204,3,FALSE()),""))</f>
        <v/>
      </c>
    </row>
    <row r="1874" customFormat="false" ht="13.5" hidden="false" customHeight="false" outlineLevel="0" collapsed="false">
      <c r="N1874" s="1" t="str">
        <f aca="false">IF(C1874="","",IFERROR(VLOOKUP(C1874,Master_Mappings!$A$4:$E$85,3,FALSE()),"UNMAPPED"))</f>
        <v/>
      </c>
      <c r="P1874" s="1" t="str">
        <f aca="false">IF($C1874="","",$C1874&amp;"|"&amp;$E1874&amp;"|"&amp;$M1874&amp;"|"&amp;TEXT($G1874,"yyyy-mm-dd")&amp;"|"&amp;LEFT($J1874,40))</f>
        <v/>
      </c>
      <c r="Q1874" s="11" t="str">
        <f aca="false">IF(P1874="","",IF(COUNTIF($P$2:$P$3000,P1874)&gt;1,"DUPLICATE","OK"))</f>
        <v/>
      </c>
      <c r="R1874" s="0" t="str">
        <f aca="false">IF($C1874="","",IFERROR(VLOOKUP(--$C1874,MM_Income!$Z$5:$AC$204,3,FALSE()),""))</f>
        <v/>
      </c>
    </row>
    <row r="1875" customFormat="false" ht="13.5" hidden="false" customHeight="false" outlineLevel="0" collapsed="false">
      <c r="N1875" s="1" t="str">
        <f aca="false">IF(C1875="","",IFERROR(VLOOKUP(C1875,Master_Mappings!$A$4:$E$85,3,FALSE()),"UNMAPPED"))</f>
        <v/>
      </c>
      <c r="P1875" s="1" t="str">
        <f aca="false">IF($C1875="","",$C1875&amp;"|"&amp;$E1875&amp;"|"&amp;$M1875&amp;"|"&amp;TEXT($G1875,"yyyy-mm-dd")&amp;"|"&amp;LEFT($J1875,40))</f>
        <v/>
      </c>
      <c r="Q1875" s="11" t="str">
        <f aca="false">IF(P1875="","",IF(COUNTIF($P$2:$P$3000,P1875)&gt;1,"DUPLICATE","OK"))</f>
        <v/>
      </c>
      <c r="R1875" s="0" t="str">
        <f aca="false">IF($C1875="","",IFERROR(VLOOKUP(--$C1875,MM_Income!$Z$5:$AC$204,3,FALSE()),""))</f>
        <v/>
      </c>
    </row>
    <row r="1876" customFormat="false" ht="13.5" hidden="false" customHeight="false" outlineLevel="0" collapsed="false">
      <c r="N1876" s="1" t="str">
        <f aca="false">IF(C1876="","",IFERROR(VLOOKUP(C1876,Master_Mappings!$A$4:$E$85,3,FALSE()),"UNMAPPED"))</f>
        <v/>
      </c>
      <c r="P1876" s="1" t="str">
        <f aca="false">IF($C1876="","",$C1876&amp;"|"&amp;$E1876&amp;"|"&amp;$M1876&amp;"|"&amp;TEXT($G1876,"yyyy-mm-dd")&amp;"|"&amp;LEFT($J1876,40))</f>
        <v/>
      </c>
      <c r="Q1876" s="11" t="str">
        <f aca="false">IF(P1876="","",IF(COUNTIF($P$2:$P$3000,P1876)&gt;1,"DUPLICATE","OK"))</f>
        <v/>
      </c>
      <c r="R1876" s="0" t="str">
        <f aca="false">IF($C1876="","",IFERROR(VLOOKUP(--$C1876,MM_Income!$Z$5:$AC$204,3,FALSE()),""))</f>
        <v/>
      </c>
    </row>
    <row r="1877" customFormat="false" ht="13.5" hidden="false" customHeight="false" outlineLevel="0" collapsed="false">
      <c r="N1877" s="1" t="str">
        <f aca="false">IF(C1877="","",IFERROR(VLOOKUP(C1877,Master_Mappings!$A$4:$E$85,3,FALSE()),"UNMAPPED"))</f>
        <v/>
      </c>
      <c r="P1877" s="1" t="str">
        <f aca="false">IF($C1877="","",$C1877&amp;"|"&amp;$E1877&amp;"|"&amp;$M1877&amp;"|"&amp;TEXT($G1877,"yyyy-mm-dd")&amp;"|"&amp;LEFT($J1877,40))</f>
        <v/>
      </c>
      <c r="Q1877" s="11" t="str">
        <f aca="false">IF(P1877="","",IF(COUNTIF($P$2:$P$3000,P1877)&gt;1,"DUPLICATE","OK"))</f>
        <v/>
      </c>
      <c r="R1877" s="0" t="str">
        <f aca="false">IF($C1877="","",IFERROR(VLOOKUP(--$C1877,MM_Income!$Z$5:$AC$204,3,FALSE()),""))</f>
        <v/>
      </c>
    </row>
    <row r="1878" customFormat="false" ht="13.5" hidden="false" customHeight="false" outlineLevel="0" collapsed="false">
      <c r="N1878" s="1" t="str">
        <f aca="false">IF(C1878="","",IFERROR(VLOOKUP(C1878,Master_Mappings!$A$4:$E$85,3,FALSE()),"UNMAPPED"))</f>
        <v/>
      </c>
      <c r="P1878" s="1" t="str">
        <f aca="false">IF($C1878="","",$C1878&amp;"|"&amp;$E1878&amp;"|"&amp;$M1878&amp;"|"&amp;TEXT($G1878,"yyyy-mm-dd")&amp;"|"&amp;LEFT($J1878,40))</f>
        <v/>
      </c>
      <c r="Q1878" s="11" t="str">
        <f aca="false">IF(P1878="","",IF(COUNTIF($P$2:$P$3000,P1878)&gt;1,"DUPLICATE","OK"))</f>
        <v/>
      </c>
      <c r="R1878" s="0" t="str">
        <f aca="false">IF($C1878="","",IFERROR(VLOOKUP(--$C1878,MM_Income!$Z$5:$AC$204,3,FALSE()),""))</f>
        <v/>
      </c>
    </row>
    <row r="1879" customFormat="false" ht="13.5" hidden="false" customHeight="false" outlineLevel="0" collapsed="false">
      <c r="N1879" s="1" t="str">
        <f aca="false">IF(C1879="","",IFERROR(VLOOKUP(C1879,Master_Mappings!$A$4:$E$85,3,FALSE()),"UNMAPPED"))</f>
        <v/>
      </c>
      <c r="P1879" s="1" t="str">
        <f aca="false">IF($C1879="","",$C1879&amp;"|"&amp;$E1879&amp;"|"&amp;$M1879&amp;"|"&amp;TEXT($G1879,"yyyy-mm-dd")&amp;"|"&amp;LEFT($J1879,40))</f>
        <v/>
      </c>
      <c r="Q1879" s="11" t="str">
        <f aca="false">IF(P1879="","",IF(COUNTIF($P$2:$P$3000,P1879)&gt;1,"DUPLICATE","OK"))</f>
        <v/>
      </c>
      <c r="R1879" s="0" t="str">
        <f aca="false">IF($C1879="","",IFERROR(VLOOKUP(--$C1879,MM_Income!$Z$5:$AC$204,3,FALSE()),""))</f>
        <v/>
      </c>
    </row>
    <row r="1880" customFormat="false" ht="13.5" hidden="false" customHeight="false" outlineLevel="0" collapsed="false">
      <c r="N1880" s="1" t="str">
        <f aca="false">IF(C1880="","",IFERROR(VLOOKUP(C1880,Master_Mappings!$A$4:$E$85,3,FALSE()),"UNMAPPED"))</f>
        <v/>
      </c>
      <c r="P1880" s="1" t="str">
        <f aca="false">IF($C1880="","",$C1880&amp;"|"&amp;$E1880&amp;"|"&amp;$M1880&amp;"|"&amp;TEXT($G1880,"yyyy-mm-dd")&amp;"|"&amp;LEFT($J1880,40))</f>
        <v/>
      </c>
      <c r="Q1880" s="11" t="str">
        <f aca="false">IF(P1880="","",IF(COUNTIF($P$2:$P$3000,P1880)&gt;1,"DUPLICATE","OK"))</f>
        <v/>
      </c>
      <c r="R1880" s="0" t="str">
        <f aca="false">IF($C1880="","",IFERROR(VLOOKUP(--$C1880,MM_Income!$Z$5:$AC$204,3,FALSE()),""))</f>
        <v/>
      </c>
    </row>
    <row r="1881" customFormat="false" ht="13.5" hidden="false" customHeight="false" outlineLevel="0" collapsed="false">
      <c r="N1881" s="1" t="str">
        <f aca="false">IF(C1881="","",IFERROR(VLOOKUP(C1881,Master_Mappings!$A$4:$E$85,3,FALSE()),"UNMAPPED"))</f>
        <v/>
      </c>
      <c r="P1881" s="1" t="str">
        <f aca="false">IF($C1881="","",$C1881&amp;"|"&amp;$E1881&amp;"|"&amp;$M1881&amp;"|"&amp;TEXT($G1881,"yyyy-mm-dd")&amp;"|"&amp;LEFT($J1881,40))</f>
        <v/>
      </c>
      <c r="Q1881" s="11" t="str">
        <f aca="false">IF(P1881="","",IF(COUNTIF($P$2:$P$3000,P1881)&gt;1,"DUPLICATE","OK"))</f>
        <v/>
      </c>
      <c r="R1881" s="0" t="str">
        <f aca="false">IF($C1881="","",IFERROR(VLOOKUP(--$C1881,MM_Income!$Z$5:$AC$204,3,FALSE()),""))</f>
        <v/>
      </c>
    </row>
    <row r="1882" customFormat="false" ht="13.5" hidden="false" customHeight="false" outlineLevel="0" collapsed="false">
      <c r="N1882" s="1" t="str">
        <f aca="false">IF(C1882="","",IFERROR(VLOOKUP(C1882,Master_Mappings!$A$4:$E$85,3,FALSE()),"UNMAPPED"))</f>
        <v/>
      </c>
      <c r="P1882" s="1" t="str">
        <f aca="false">IF($C1882="","",$C1882&amp;"|"&amp;$E1882&amp;"|"&amp;$M1882&amp;"|"&amp;TEXT($G1882,"yyyy-mm-dd")&amp;"|"&amp;LEFT($J1882,40))</f>
        <v/>
      </c>
      <c r="Q1882" s="11" t="str">
        <f aca="false">IF(P1882="","",IF(COUNTIF($P$2:$P$3000,P1882)&gt;1,"DUPLICATE","OK"))</f>
        <v/>
      </c>
      <c r="R1882" s="0" t="str">
        <f aca="false">IF($C1882="","",IFERROR(VLOOKUP(--$C1882,MM_Income!$Z$5:$AC$204,3,FALSE()),""))</f>
        <v/>
      </c>
    </row>
    <row r="1883" customFormat="false" ht="13.5" hidden="false" customHeight="false" outlineLevel="0" collapsed="false">
      <c r="N1883" s="1" t="str">
        <f aca="false">IF(C1883="","",IFERROR(VLOOKUP(C1883,Master_Mappings!$A$4:$E$85,3,FALSE()),"UNMAPPED"))</f>
        <v/>
      </c>
      <c r="P1883" s="1" t="str">
        <f aca="false">IF($C1883="","",$C1883&amp;"|"&amp;$E1883&amp;"|"&amp;$M1883&amp;"|"&amp;TEXT($G1883,"yyyy-mm-dd")&amp;"|"&amp;LEFT($J1883,40))</f>
        <v/>
      </c>
      <c r="Q1883" s="11" t="str">
        <f aca="false">IF(P1883="","",IF(COUNTIF($P$2:$P$3000,P1883)&gt;1,"DUPLICATE","OK"))</f>
        <v/>
      </c>
      <c r="R1883" s="0" t="str">
        <f aca="false">IF($C1883="","",IFERROR(VLOOKUP(--$C1883,MM_Income!$Z$5:$AC$204,3,FALSE()),""))</f>
        <v/>
      </c>
    </row>
    <row r="1884" customFormat="false" ht="13.5" hidden="false" customHeight="false" outlineLevel="0" collapsed="false">
      <c r="N1884" s="1" t="str">
        <f aca="false">IF(C1884="","",IFERROR(VLOOKUP(C1884,Master_Mappings!$A$4:$E$85,3,FALSE()),"UNMAPPED"))</f>
        <v/>
      </c>
      <c r="P1884" s="1" t="str">
        <f aca="false">IF($C1884="","",$C1884&amp;"|"&amp;$E1884&amp;"|"&amp;$M1884&amp;"|"&amp;TEXT($G1884,"yyyy-mm-dd")&amp;"|"&amp;LEFT($J1884,40))</f>
        <v/>
      </c>
      <c r="Q1884" s="11" t="str">
        <f aca="false">IF(P1884="","",IF(COUNTIF($P$2:$P$3000,P1884)&gt;1,"DUPLICATE","OK"))</f>
        <v/>
      </c>
      <c r="R1884" s="0" t="str">
        <f aca="false">IF($C1884="","",IFERROR(VLOOKUP(--$C1884,MM_Income!$Z$5:$AC$204,3,FALSE()),""))</f>
        <v/>
      </c>
    </row>
    <row r="1885" customFormat="false" ht="13.5" hidden="false" customHeight="false" outlineLevel="0" collapsed="false">
      <c r="N1885" s="1" t="str">
        <f aca="false">IF(C1885="","",IFERROR(VLOOKUP(C1885,Master_Mappings!$A$4:$E$85,3,FALSE()),"UNMAPPED"))</f>
        <v/>
      </c>
      <c r="P1885" s="1" t="str">
        <f aca="false">IF($C1885="","",$C1885&amp;"|"&amp;$E1885&amp;"|"&amp;$M1885&amp;"|"&amp;TEXT($G1885,"yyyy-mm-dd")&amp;"|"&amp;LEFT($J1885,40))</f>
        <v/>
      </c>
      <c r="Q1885" s="11" t="str">
        <f aca="false">IF(P1885="","",IF(COUNTIF($P$2:$P$3000,P1885)&gt;1,"DUPLICATE","OK"))</f>
        <v/>
      </c>
      <c r="R1885" s="0" t="str">
        <f aca="false">IF($C1885="","",IFERROR(VLOOKUP(--$C1885,MM_Income!$Z$5:$AC$204,3,FALSE()),""))</f>
        <v/>
      </c>
    </row>
    <row r="1886" customFormat="false" ht="13.5" hidden="false" customHeight="false" outlineLevel="0" collapsed="false">
      <c r="N1886" s="1" t="str">
        <f aca="false">IF(C1886="","",IFERROR(VLOOKUP(C1886,Master_Mappings!$A$4:$E$85,3,FALSE()),"UNMAPPED"))</f>
        <v/>
      </c>
      <c r="P1886" s="1" t="str">
        <f aca="false">IF($C1886="","",$C1886&amp;"|"&amp;$E1886&amp;"|"&amp;$M1886&amp;"|"&amp;TEXT($G1886,"yyyy-mm-dd")&amp;"|"&amp;LEFT($J1886,40))</f>
        <v/>
      </c>
      <c r="Q1886" s="11" t="str">
        <f aca="false">IF(P1886="","",IF(COUNTIF($P$2:$P$3000,P1886)&gt;1,"DUPLICATE","OK"))</f>
        <v/>
      </c>
      <c r="R1886" s="0" t="str">
        <f aca="false">IF($C1886="","",IFERROR(VLOOKUP(--$C1886,MM_Income!$Z$5:$AC$204,3,FALSE()),""))</f>
        <v/>
      </c>
    </row>
    <row r="1887" customFormat="false" ht="13.5" hidden="false" customHeight="false" outlineLevel="0" collapsed="false">
      <c r="N1887" s="1" t="str">
        <f aca="false">IF(C1887="","",IFERROR(VLOOKUP(C1887,Master_Mappings!$A$4:$E$85,3,FALSE()),"UNMAPPED"))</f>
        <v/>
      </c>
      <c r="P1887" s="1" t="str">
        <f aca="false">IF($C1887="","",$C1887&amp;"|"&amp;$E1887&amp;"|"&amp;$M1887&amp;"|"&amp;TEXT($G1887,"yyyy-mm-dd")&amp;"|"&amp;LEFT($J1887,40))</f>
        <v/>
      </c>
      <c r="Q1887" s="11" t="str">
        <f aca="false">IF(P1887="","",IF(COUNTIF($P$2:$P$3000,P1887)&gt;1,"DUPLICATE","OK"))</f>
        <v/>
      </c>
      <c r="R1887" s="0" t="str">
        <f aca="false">IF($C1887="","",IFERROR(VLOOKUP(--$C1887,MM_Income!$Z$5:$AC$204,3,FALSE()),""))</f>
        <v/>
      </c>
    </row>
    <row r="1888" customFormat="false" ht="13.5" hidden="false" customHeight="false" outlineLevel="0" collapsed="false">
      <c r="N1888" s="1" t="str">
        <f aca="false">IF(C1888="","",IFERROR(VLOOKUP(C1888,Master_Mappings!$A$4:$E$85,3,FALSE()),"UNMAPPED"))</f>
        <v/>
      </c>
      <c r="P1888" s="1" t="str">
        <f aca="false">IF($C1888="","",$C1888&amp;"|"&amp;$E1888&amp;"|"&amp;$M1888&amp;"|"&amp;TEXT($G1888,"yyyy-mm-dd")&amp;"|"&amp;LEFT($J1888,40))</f>
        <v/>
      </c>
      <c r="Q1888" s="11" t="str">
        <f aca="false">IF(P1888="","",IF(COUNTIF($P$2:$P$3000,P1888)&gt;1,"DUPLICATE","OK"))</f>
        <v/>
      </c>
      <c r="R1888" s="0" t="str">
        <f aca="false">IF($C1888="","",IFERROR(VLOOKUP(--$C1888,MM_Income!$Z$5:$AC$204,3,FALSE()),""))</f>
        <v/>
      </c>
    </row>
    <row r="1889" customFormat="false" ht="13.5" hidden="false" customHeight="false" outlineLevel="0" collapsed="false">
      <c r="N1889" s="1" t="str">
        <f aca="false">IF(C1889="","",IFERROR(VLOOKUP(C1889,Master_Mappings!$A$4:$E$85,3,FALSE()),"UNMAPPED"))</f>
        <v/>
      </c>
      <c r="P1889" s="1" t="str">
        <f aca="false">IF($C1889="","",$C1889&amp;"|"&amp;$E1889&amp;"|"&amp;$M1889&amp;"|"&amp;TEXT($G1889,"yyyy-mm-dd")&amp;"|"&amp;LEFT($J1889,40))</f>
        <v/>
      </c>
      <c r="Q1889" s="11" t="str">
        <f aca="false">IF(P1889="","",IF(COUNTIF($P$2:$P$3000,P1889)&gt;1,"DUPLICATE","OK"))</f>
        <v/>
      </c>
      <c r="R1889" s="0" t="str">
        <f aca="false">IF($C1889="","",IFERROR(VLOOKUP(--$C1889,MM_Income!$Z$5:$AC$204,3,FALSE()),""))</f>
        <v/>
      </c>
    </row>
    <row r="1890" customFormat="false" ht="13.5" hidden="false" customHeight="false" outlineLevel="0" collapsed="false">
      <c r="N1890" s="1" t="str">
        <f aca="false">IF(C1890="","",IFERROR(VLOOKUP(C1890,Master_Mappings!$A$4:$E$85,3,FALSE()),"UNMAPPED"))</f>
        <v/>
      </c>
      <c r="P1890" s="1" t="str">
        <f aca="false">IF($C1890="","",$C1890&amp;"|"&amp;$E1890&amp;"|"&amp;$M1890&amp;"|"&amp;TEXT($G1890,"yyyy-mm-dd")&amp;"|"&amp;LEFT($J1890,40))</f>
        <v/>
      </c>
      <c r="Q1890" s="11" t="str">
        <f aca="false">IF(P1890="","",IF(COUNTIF($P$2:$P$3000,P1890)&gt;1,"DUPLICATE","OK"))</f>
        <v/>
      </c>
      <c r="R1890" s="0" t="str">
        <f aca="false">IF($C1890="","",IFERROR(VLOOKUP(--$C1890,MM_Income!$Z$5:$AC$204,3,FALSE()),""))</f>
        <v/>
      </c>
    </row>
    <row r="1891" customFormat="false" ht="13.5" hidden="false" customHeight="false" outlineLevel="0" collapsed="false">
      <c r="N1891" s="1" t="str">
        <f aca="false">IF(C1891="","",IFERROR(VLOOKUP(C1891,Master_Mappings!$A$4:$E$85,3,FALSE()),"UNMAPPED"))</f>
        <v/>
      </c>
      <c r="P1891" s="1" t="str">
        <f aca="false">IF($C1891="","",$C1891&amp;"|"&amp;$E1891&amp;"|"&amp;$M1891&amp;"|"&amp;TEXT($G1891,"yyyy-mm-dd")&amp;"|"&amp;LEFT($J1891,40))</f>
        <v/>
      </c>
      <c r="Q1891" s="11" t="str">
        <f aca="false">IF(P1891="","",IF(COUNTIF($P$2:$P$3000,P1891)&gt;1,"DUPLICATE","OK"))</f>
        <v/>
      </c>
      <c r="R1891" s="0" t="str">
        <f aca="false">IF($C1891="","",IFERROR(VLOOKUP(--$C1891,MM_Income!$Z$5:$AC$204,3,FALSE()),""))</f>
        <v/>
      </c>
    </row>
    <row r="1892" customFormat="false" ht="13.5" hidden="false" customHeight="false" outlineLevel="0" collapsed="false">
      <c r="N1892" s="1" t="str">
        <f aca="false">IF(C1892="","",IFERROR(VLOOKUP(C1892,Master_Mappings!$A$4:$E$85,3,FALSE()),"UNMAPPED"))</f>
        <v/>
      </c>
      <c r="P1892" s="1" t="str">
        <f aca="false">IF($C1892="","",$C1892&amp;"|"&amp;$E1892&amp;"|"&amp;$M1892&amp;"|"&amp;TEXT($G1892,"yyyy-mm-dd")&amp;"|"&amp;LEFT($J1892,40))</f>
        <v/>
      </c>
      <c r="Q1892" s="11" t="str">
        <f aca="false">IF(P1892="","",IF(COUNTIF($P$2:$P$3000,P1892)&gt;1,"DUPLICATE","OK"))</f>
        <v/>
      </c>
      <c r="R1892" s="0" t="str">
        <f aca="false">IF($C1892="","",IFERROR(VLOOKUP(--$C1892,MM_Income!$Z$5:$AC$204,3,FALSE()),""))</f>
        <v/>
      </c>
    </row>
    <row r="1893" customFormat="false" ht="13.5" hidden="false" customHeight="false" outlineLevel="0" collapsed="false">
      <c r="N1893" s="1" t="str">
        <f aca="false">IF(C1893="","",IFERROR(VLOOKUP(C1893,Master_Mappings!$A$4:$E$85,3,FALSE()),"UNMAPPED"))</f>
        <v/>
      </c>
      <c r="P1893" s="1" t="str">
        <f aca="false">IF($C1893="","",$C1893&amp;"|"&amp;$E1893&amp;"|"&amp;$M1893&amp;"|"&amp;TEXT($G1893,"yyyy-mm-dd")&amp;"|"&amp;LEFT($J1893,40))</f>
        <v/>
      </c>
      <c r="Q1893" s="11" t="str">
        <f aca="false">IF(P1893="","",IF(COUNTIF($P$2:$P$3000,P1893)&gt;1,"DUPLICATE","OK"))</f>
        <v/>
      </c>
      <c r="R1893" s="0" t="str">
        <f aca="false">IF($C1893="","",IFERROR(VLOOKUP(--$C1893,MM_Income!$Z$5:$AC$204,3,FALSE()),""))</f>
        <v/>
      </c>
    </row>
    <row r="1894" customFormat="false" ht="13.5" hidden="false" customHeight="false" outlineLevel="0" collapsed="false">
      <c r="N1894" s="1" t="str">
        <f aca="false">IF(C1894="","",IFERROR(VLOOKUP(C1894,Master_Mappings!$A$4:$E$85,3,FALSE()),"UNMAPPED"))</f>
        <v/>
      </c>
      <c r="P1894" s="1" t="str">
        <f aca="false">IF($C1894="","",$C1894&amp;"|"&amp;$E1894&amp;"|"&amp;$M1894&amp;"|"&amp;TEXT($G1894,"yyyy-mm-dd")&amp;"|"&amp;LEFT($J1894,40))</f>
        <v/>
      </c>
      <c r="Q1894" s="11" t="str">
        <f aca="false">IF(P1894="","",IF(COUNTIF($P$2:$P$3000,P1894)&gt;1,"DUPLICATE","OK"))</f>
        <v/>
      </c>
      <c r="R1894" s="0" t="str">
        <f aca="false">IF($C1894="","",IFERROR(VLOOKUP(--$C1894,MM_Income!$Z$5:$AC$204,3,FALSE()),""))</f>
        <v/>
      </c>
    </row>
    <row r="1895" customFormat="false" ht="13.5" hidden="false" customHeight="false" outlineLevel="0" collapsed="false">
      <c r="N1895" s="1" t="str">
        <f aca="false">IF(C1895="","",IFERROR(VLOOKUP(C1895,Master_Mappings!$A$4:$E$85,3,FALSE()),"UNMAPPED"))</f>
        <v/>
      </c>
      <c r="P1895" s="1" t="str">
        <f aca="false">IF($C1895="","",$C1895&amp;"|"&amp;$E1895&amp;"|"&amp;$M1895&amp;"|"&amp;TEXT($G1895,"yyyy-mm-dd")&amp;"|"&amp;LEFT($J1895,40))</f>
        <v/>
      </c>
      <c r="Q1895" s="11" t="str">
        <f aca="false">IF(P1895="","",IF(COUNTIF($P$2:$P$3000,P1895)&gt;1,"DUPLICATE","OK"))</f>
        <v/>
      </c>
      <c r="R1895" s="0" t="str">
        <f aca="false">IF($C1895="","",IFERROR(VLOOKUP(--$C1895,MM_Income!$Z$5:$AC$204,3,FALSE()),""))</f>
        <v/>
      </c>
    </row>
    <row r="1896" customFormat="false" ht="13.5" hidden="false" customHeight="false" outlineLevel="0" collapsed="false">
      <c r="N1896" s="1" t="str">
        <f aca="false">IF(C1896="","",IFERROR(VLOOKUP(C1896,Master_Mappings!$A$4:$E$85,3,FALSE()),"UNMAPPED"))</f>
        <v/>
      </c>
      <c r="P1896" s="1" t="str">
        <f aca="false">IF($C1896="","",$C1896&amp;"|"&amp;$E1896&amp;"|"&amp;$M1896&amp;"|"&amp;TEXT($G1896,"yyyy-mm-dd")&amp;"|"&amp;LEFT($J1896,40))</f>
        <v/>
      </c>
      <c r="Q1896" s="11" t="str">
        <f aca="false">IF(P1896="","",IF(COUNTIF($P$2:$P$3000,P1896)&gt;1,"DUPLICATE","OK"))</f>
        <v/>
      </c>
      <c r="R1896" s="0" t="str">
        <f aca="false">IF($C1896="","",IFERROR(VLOOKUP(--$C1896,MM_Income!$Z$5:$AC$204,3,FALSE()),""))</f>
        <v/>
      </c>
    </row>
    <row r="1897" customFormat="false" ht="13.5" hidden="false" customHeight="false" outlineLevel="0" collapsed="false">
      <c r="N1897" s="1" t="str">
        <f aca="false">IF(C1897="","",IFERROR(VLOOKUP(C1897,Master_Mappings!$A$4:$E$85,3,FALSE()),"UNMAPPED"))</f>
        <v/>
      </c>
      <c r="P1897" s="1" t="str">
        <f aca="false">IF($C1897="","",$C1897&amp;"|"&amp;$E1897&amp;"|"&amp;$M1897&amp;"|"&amp;TEXT($G1897,"yyyy-mm-dd")&amp;"|"&amp;LEFT($J1897,40))</f>
        <v/>
      </c>
      <c r="Q1897" s="11" t="str">
        <f aca="false">IF(P1897="","",IF(COUNTIF($P$2:$P$3000,P1897)&gt;1,"DUPLICATE","OK"))</f>
        <v/>
      </c>
      <c r="R1897" s="0" t="str">
        <f aca="false">IF($C1897="","",IFERROR(VLOOKUP(--$C1897,MM_Income!$Z$5:$AC$204,3,FALSE()),""))</f>
        <v/>
      </c>
    </row>
    <row r="1898" customFormat="false" ht="13.5" hidden="false" customHeight="false" outlineLevel="0" collapsed="false">
      <c r="N1898" s="1" t="str">
        <f aca="false">IF(C1898="","",IFERROR(VLOOKUP(C1898,Master_Mappings!$A$4:$E$85,3,FALSE()),"UNMAPPED"))</f>
        <v/>
      </c>
      <c r="P1898" s="1" t="str">
        <f aca="false">IF($C1898="","",$C1898&amp;"|"&amp;$E1898&amp;"|"&amp;$M1898&amp;"|"&amp;TEXT($G1898,"yyyy-mm-dd")&amp;"|"&amp;LEFT($J1898,40))</f>
        <v/>
      </c>
      <c r="Q1898" s="11" t="str">
        <f aca="false">IF(P1898="","",IF(COUNTIF($P$2:$P$3000,P1898)&gt;1,"DUPLICATE","OK"))</f>
        <v/>
      </c>
      <c r="R1898" s="0" t="str">
        <f aca="false">IF($C1898="","",IFERROR(VLOOKUP(--$C1898,MM_Income!$Z$5:$AC$204,3,FALSE()),""))</f>
        <v/>
      </c>
    </row>
    <row r="1899" customFormat="false" ht="13.5" hidden="false" customHeight="false" outlineLevel="0" collapsed="false">
      <c r="N1899" s="1" t="str">
        <f aca="false">IF(C1899="","",IFERROR(VLOOKUP(C1899,Master_Mappings!$A$4:$E$85,3,FALSE()),"UNMAPPED"))</f>
        <v/>
      </c>
      <c r="P1899" s="1" t="str">
        <f aca="false">IF($C1899="","",$C1899&amp;"|"&amp;$E1899&amp;"|"&amp;$M1899&amp;"|"&amp;TEXT($G1899,"yyyy-mm-dd")&amp;"|"&amp;LEFT($J1899,40))</f>
        <v/>
      </c>
      <c r="Q1899" s="11" t="str">
        <f aca="false">IF(P1899="","",IF(COUNTIF($P$2:$P$3000,P1899)&gt;1,"DUPLICATE","OK"))</f>
        <v/>
      </c>
      <c r="R1899" s="0" t="str">
        <f aca="false">IF($C1899="","",IFERROR(VLOOKUP(--$C1899,MM_Income!$Z$5:$AC$204,3,FALSE()),""))</f>
        <v/>
      </c>
    </row>
    <row r="1900" customFormat="false" ht="13.5" hidden="false" customHeight="false" outlineLevel="0" collapsed="false">
      <c r="N1900" s="1" t="str">
        <f aca="false">IF(C1900="","",IFERROR(VLOOKUP(C1900,Master_Mappings!$A$4:$E$85,3,FALSE()),"UNMAPPED"))</f>
        <v/>
      </c>
      <c r="P1900" s="1" t="str">
        <f aca="false">IF($C1900="","",$C1900&amp;"|"&amp;$E1900&amp;"|"&amp;$M1900&amp;"|"&amp;TEXT($G1900,"yyyy-mm-dd")&amp;"|"&amp;LEFT($J1900,40))</f>
        <v/>
      </c>
      <c r="Q1900" s="11" t="str">
        <f aca="false">IF(P1900="","",IF(COUNTIF($P$2:$P$3000,P1900)&gt;1,"DUPLICATE","OK"))</f>
        <v/>
      </c>
      <c r="R1900" s="0" t="str">
        <f aca="false">IF($C1900="","",IFERROR(VLOOKUP(--$C1900,MM_Income!$Z$5:$AC$204,3,FALSE()),""))</f>
        <v/>
      </c>
    </row>
    <row r="1901" customFormat="false" ht="13.5" hidden="false" customHeight="false" outlineLevel="0" collapsed="false">
      <c r="N1901" s="1" t="str">
        <f aca="false">IF(C1901="","",IFERROR(VLOOKUP(C1901,Master_Mappings!$A$4:$E$85,3,FALSE()),"UNMAPPED"))</f>
        <v/>
      </c>
      <c r="P1901" s="1" t="str">
        <f aca="false">IF($C1901="","",$C1901&amp;"|"&amp;$E1901&amp;"|"&amp;$M1901&amp;"|"&amp;TEXT($G1901,"yyyy-mm-dd")&amp;"|"&amp;LEFT($J1901,40))</f>
        <v/>
      </c>
      <c r="Q1901" s="11" t="str">
        <f aca="false">IF(P1901="","",IF(COUNTIF($P$2:$P$3000,P1901)&gt;1,"DUPLICATE","OK"))</f>
        <v/>
      </c>
      <c r="R1901" s="0" t="str">
        <f aca="false">IF($C1901="","",IFERROR(VLOOKUP(--$C1901,MM_Income!$Z$5:$AC$204,3,FALSE()),""))</f>
        <v/>
      </c>
    </row>
    <row r="1902" customFormat="false" ht="13.5" hidden="false" customHeight="false" outlineLevel="0" collapsed="false">
      <c r="N1902" s="1" t="str">
        <f aca="false">IF(C1902="","",IFERROR(VLOOKUP(C1902,Master_Mappings!$A$4:$E$85,3,FALSE()),"UNMAPPED"))</f>
        <v/>
      </c>
      <c r="P1902" s="1" t="str">
        <f aca="false">IF($C1902="","",$C1902&amp;"|"&amp;$E1902&amp;"|"&amp;$M1902&amp;"|"&amp;TEXT($G1902,"yyyy-mm-dd")&amp;"|"&amp;LEFT($J1902,40))</f>
        <v/>
      </c>
      <c r="Q1902" s="11" t="str">
        <f aca="false">IF(P1902="","",IF(COUNTIF($P$2:$P$3000,P1902)&gt;1,"DUPLICATE","OK"))</f>
        <v/>
      </c>
      <c r="R1902" s="0" t="str">
        <f aca="false">IF($C1902="","",IFERROR(VLOOKUP(--$C1902,MM_Income!$Z$5:$AC$204,3,FALSE()),""))</f>
        <v/>
      </c>
    </row>
    <row r="1903" customFormat="false" ht="13.5" hidden="false" customHeight="false" outlineLevel="0" collapsed="false">
      <c r="N1903" s="1" t="str">
        <f aca="false">IF(C1903="","",IFERROR(VLOOKUP(C1903,Master_Mappings!$A$4:$E$85,3,FALSE()),"UNMAPPED"))</f>
        <v/>
      </c>
      <c r="P1903" s="1" t="str">
        <f aca="false">IF($C1903="","",$C1903&amp;"|"&amp;$E1903&amp;"|"&amp;$M1903&amp;"|"&amp;TEXT($G1903,"yyyy-mm-dd")&amp;"|"&amp;LEFT($J1903,40))</f>
        <v/>
      </c>
      <c r="Q1903" s="11" t="str">
        <f aca="false">IF(P1903="","",IF(COUNTIF($P$2:$P$3000,P1903)&gt;1,"DUPLICATE","OK"))</f>
        <v/>
      </c>
      <c r="R1903" s="0" t="str">
        <f aca="false">IF($C1903="","",IFERROR(VLOOKUP(--$C1903,MM_Income!$Z$5:$AC$204,3,FALSE()),""))</f>
        <v/>
      </c>
    </row>
    <row r="1904" customFormat="false" ht="13.5" hidden="false" customHeight="false" outlineLevel="0" collapsed="false">
      <c r="N1904" s="1" t="str">
        <f aca="false">IF(C1904="","",IFERROR(VLOOKUP(C1904,Master_Mappings!$A$4:$E$85,3,FALSE()),"UNMAPPED"))</f>
        <v/>
      </c>
      <c r="P1904" s="1" t="str">
        <f aca="false">IF($C1904="","",$C1904&amp;"|"&amp;$E1904&amp;"|"&amp;$M1904&amp;"|"&amp;TEXT($G1904,"yyyy-mm-dd")&amp;"|"&amp;LEFT($J1904,40))</f>
        <v/>
      </c>
      <c r="Q1904" s="11" t="str">
        <f aca="false">IF(P1904="","",IF(COUNTIF($P$2:$P$3000,P1904)&gt;1,"DUPLICATE","OK"))</f>
        <v/>
      </c>
      <c r="R1904" s="0" t="str">
        <f aca="false">IF($C1904="","",IFERROR(VLOOKUP(--$C1904,MM_Income!$Z$5:$AC$204,3,FALSE()),""))</f>
        <v/>
      </c>
    </row>
    <row r="1905" customFormat="false" ht="13.5" hidden="false" customHeight="false" outlineLevel="0" collapsed="false">
      <c r="N1905" s="1" t="str">
        <f aca="false">IF(C1905="","",IFERROR(VLOOKUP(C1905,Master_Mappings!$A$4:$E$85,3,FALSE()),"UNMAPPED"))</f>
        <v/>
      </c>
      <c r="P1905" s="1" t="str">
        <f aca="false">IF($C1905="","",$C1905&amp;"|"&amp;$E1905&amp;"|"&amp;$M1905&amp;"|"&amp;TEXT($G1905,"yyyy-mm-dd")&amp;"|"&amp;LEFT($J1905,40))</f>
        <v/>
      </c>
      <c r="Q1905" s="11" t="str">
        <f aca="false">IF(P1905="","",IF(COUNTIF($P$2:$P$3000,P1905)&gt;1,"DUPLICATE","OK"))</f>
        <v/>
      </c>
      <c r="R1905" s="0" t="str">
        <f aca="false">IF($C1905="","",IFERROR(VLOOKUP(--$C1905,MM_Income!$Z$5:$AC$204,3,FALSE()),""))</f>
        <v/>
      </c>
    </row>
    <row r="1906" customFormat="false" ht="13.5" hidden="false" customHeight="false" outlineLevel="0" collapsed="false">
      <c r="N1906" s="1" t="str">
        <f aca="false">IF(C1906="","",IFERROR(VLOOKUP(C1906,Master_Mappings!$A$4:$E$85,3,FALSE()),"UNMAPPED"))</f>
        <v/>
      </c>
      <c r="P1906" s="1" t="str">
        <f aca="false">IF($C1906="","",$C1906&amp;"|"&amp;$E1906&amp;"|"&amp;$M1906&amp;"|"&amp;TEXT($G1906,"yyyy-mm-dd")&amp;"|"&amp;LEFT($J1906,40))</f>
        <v/>
      </c>
      <c r="Q1906" s="11" t="str">
        <f aca="false">IF(P1906="","",IF(COUNTIF($P$2:$P$3000,P1906)&gt;1,"DUPLICATE","OK"))</f>
        <v/>
      </c>
      <c r="R1906" s="0" t="str">
        <f aca="false">IF($C1906="","",IFERROR(VLOOKUP(--$C1906,MM_Income!$Z$5:$AC$204,3,FALSE()),""))</f>
        <v/>
      </c>
    </row>
    <row r="1907" customFormat="false" ht="13.5" hidden="false" customHeight="false" outlineLevel="0" collapsed="false">
      <c r="N1907" s="1" t="str">
        <f aca="false">IF(C1907="","",IFERROR(VLOOKUP(C1907,Master_Mappings!$A$4:$E$85,3,FALSE()),"UNMAPPED"))</f>
        <v/>
      </c>
      <c r="P1907" s="1" t="str">
        <f aca="false">IF($C1907="","",$C1907&amp;"|"&amp;$E1907&amp;"|"&amp;$M1907&amp;"|"&amp;TEXT($G1907,"yyyy-mm-dd")&amp;"|"&amp;LEFT($J1907,40))</f>
        <v/>
      </c>
      <c r="Q1907" s="11" t="str">
        <f aca="false">IF(P1907="","",IF(COUNTIF($P$2:$P$3000,P1907)&gt;1,"DUPLICATE","OK"))</f>
        <v/>
      </c>
      <c r="R1907" s="0" t="str">
        <f aca="false">IF($C1907="","",IFERROR(VLOOKUP(--$C1907,MM_Income!$Z$5:$AC$204,3,FALSE()),""))</f>
        <v/>
      </c>
    </row>
    <row r="1908" customFormat="false" ht="13.5" hidden="false" customHeight="false" outlineLevel="0" collapsed="false">
      <c r="N1908" s="1" t="str">
        <f aca="false">IF(C1908="","",IFERROR(VLOOKUP(C1908,Master_Mappings!$A$4:$E$85,3,FALSE()),"UNMAPPED"))</f>
        <v/>
      </c>
      <c r="P1908" s="1" t="str">
        <f aca="false">IF($C1908="","",$C1908&amp;"|"&amp;$E1908&amp;"|"&amp;$M1908&amp;"|"&amp;TEXT($G1908,"yyyy-mm-dd")&amp;"|"&amp;LEFT($J1908,40))</f>
        <v/>
      </c>
      <c r="Q1908" s="11" t="str">
        <f aca="false">IF(P1908="","",IF(COUNTIF($P$2:$P$3000,P1908)&gt;1,"DUPLICATE","OK"))</f>
        <v/>
      </c>
      <c r="R1908" s="0" t="str">
        <f aca="false">IF($C1908="","",IFERROR(VLOOKUP(--$C1908,MM_Income!$Z$5:$AC$204,3,FALSE()),""))</f>
        <v/>
      </c>
    </row>
    <row r="1909" customFormat="false" ht="13.5" hidden="false" customHeight="false" outlineLevel="0" collapsed="false">
      <c r="N1909" s="1" t="str">
        <f aca="false">IF(C1909="","",IFERROR(VLOOKUP(C1909,Master_Mappings!$A$4:$E$85,3,FALSE()),"UNMAPPED"))</f>
        <v/>
      </c>
      <c r="P1909" s="1" t="str">
        <f aca="false">IF($C1909="","",$C1909&amp;"|"&amp;$E1909&amp;"|"&amp;$M1909&amp;"|"&amp;TEXT($G1909,"yyyy-mm-dd")&amp;"|"&amp;LEFT($J1909,40))</f>
        <v/>
      </c>
      <c r="Q1909" s="11" t="str">
        <f aca="false">IF(P1909="","",IF(COUNTIF($P$2:$P$3000,P1909)&gt;1,"DUPLICATE","OK"))</f>
        <v/>
      </c>
      <c r="R1909" s="0" t="str">
        <f aca="false">IF($C1909="","",IFERROR(VLOOKUP(--$C1909,MM_Income!$Z$5:$AC$204,3,FALSE()),""))</f>
        <v/>
      </c>
    </row>
    <row r="1910" customFormat="false" ht="13.5" hidden="false" customHeight="false" outlineLevel="0" collapsed="false">
      <c r="N1910" s="1" t="str">
        <f aca="false">IF(C1910="","",IFERROR(VLOOKUP(C1910,Master_Mappings!$A$4:$E$85,3,FALSE()),"UNMAPPED"))</f>
        <v/>
      </c>
      <c r="P1910" s="1" t="str">
        <f aca="false">IF($C1910="","",$C1910&amp;"|"&amp;$E1910&amp;"|"&amp;$M1910&amp;"|"&amp;TEXT($G1910,"yyyy-mm-dd")&amp;"|"&amp;LEFT($J1910,40))</f>
        <v/>
      </c>
      <c r="Q1910" s="11" t="str">
        <f aca="false">IF(P1910="","",IF(COUNTIF($P$2:$P$3000,P1910)&gt;1,"DUPLICATE","OK"))</f>
        <v/>
      </c>
      <c r="R1910" s="0" t="str">
        <f aca="false">IF($C1910="","",IFERROR(VLOOKUP(--$C1910,MM_Income!$Z$5:$AC$204,3,FALSE()),""))</f>
        <v/>
      </c>
    </row>
    <row r="1911" customFormat="false" ht="13.5" hidden="false" customHeight="false" outlineLevel="0" collapsed="false">
      <c r="N1911" s="1" t="str">
        <f aca="false">IF(C1911="","",IFERROR(VLOOKUP(C1911,Master_Mappings!$A$4:$E$85,3,FALSE()),"UNMAPPED"))</f>
        <v/>
      </c>
      <c r="P1911" s="1" t="str">
        <f aca="false">IF($C1911="","",$C1911&amp;"|"&amp;$E1911&amp;"|"&amp;$M1911&amp;"|"&amp;TEXT($G1911,"yyyy-mm-dd")&amp;"|"&amp;LEFT($J1911,40))</f>
        <v/>
      </c>
      <c r="Q1911" s="11" t="str">
        <f aca="false">IF(P1911="","",IF(COUNTIF($P$2:$P$3000,P1911)&gt;1,"DUPLICATE","OK"))</f>
        <v/>
      </c>
      <c r="R1911" s="0" t="str">
        <f aca="false">IF($C1911="","",IFERROR(VLOOKUP(--$C1911,MM_Income!$Z$5:$AC$204,3,FALSE()),""))</f>
        <v/>
      </c>
    </row>
    <row r="1912" customFormat="false" ht="13.5" hidden="false" customHeight="false" outlineLevel="0" collapsed="false">
      <c r="N1912" s="1" t="str">
        <f aca="false">IF(C1912="","",IFERROR(VLOOKUP(C1912,Master_Mappings!$A$4:$E$85,3,FALSE()),"UNMAPPED"))</f>
        <v/>
      </c>
      <c r="P1912" s="1" t="str">
        <f aca="false">IF($C1912="","",$C1912&amp;"|"&amp;$E1912&amp;"|"&amp;$M1912&amp;"|"&amp;TEXT($G1912,"yyyy-mm-dd")&amp;"|"&amp;LEFT($J1912,40))</f>
        <v/>
      </c>
      <c r="Q1912" s="11" t="str">
        <f aca="false">IF(P1912="","",IF(COUNTIF($P$2:$P$3000,P1912)&gt;1,"DUPLICATE","OK"))</f>
        <v/>
      </c>
      <c r="R1912" s="0" t="str">
        <f aca="false">IF($C1912="","",IFERROR(VLOOKUP(--$C1912,MM_Income!$Z$5:$AC$204,3,FALSE()),""))</f>
        <v/>
      </c>
    </row>
    <row r="1913" customFormat="false" ht="13.5" hidden="false" customHeight="false" outlineLevel="0" collapsed="false">
      <c r="N1913" s="1" t="str">
        <f aca="false">IF(C1913="","",IFERROR(VLOOKUP(C1913,Master_Mappings!$A$4:$E$85,3,FALSE()),"UNMAPPED"))</f>
        <v/>
      </c>
      <c r="P1913" s="1" t="str">
        <f aca="false">IF($C1913="","",$C1913&amp;"|"&amp;$E1913&amp;"|"&amp;$M1913&amp;"|"&amp;TEXT($G1913,"yyyy-mm-dd")&amp;"|"&amp;LEFT($J1913,40))</f>
        <v/>
      </c>
      <c r="Q1913" s="11" t="str">
        <f aca="false">IF(P1913="","",IF(COUNTIF($P$2:$P$3000,P1913)&gt;1,"DUPLICATE","OK"))</f>
        <v/>
      </c>
      <c r="R1913" s="0" t="str">
        <f aca="false">IF($C1913="","",IFERROR(VLOOKUP(--$C1913,MM_Income!$Z$5:$AC$204,3,FALSE()),""))</f>
        <v/>
      </c>
    </row>
    <row r="1914" customFormat="false" ht="13.5" hidden="false" customHeight="false" outlineLevel="0" collapsed="false">
      <c r="N1914" s="1" t="str">
        <f aca="false">IF(C1914="","",IFERROR(VLOOKUP(C1914,Master_Mappings!$A$4:$E$85,3,FALSE()),"UNMAPPED"))</f>
        <v/>
      </c>
      <c r="P1914" s="1" t="str">
        <f aca="false">IF($C1914="","",$C1914&amp;"|"&amp;$E1914&amp;"|"&amp;$M1914&amp;"|"&amp;TEXT($G1914,"yyyy-mm-dd")&amp;"|"&amp;LEFT($J1914,40))</f>
        <v/>
      </c>
      <c r="Q1914" s="11" t="str">
        <f aca="false">IF(P1914="","",IF(COUNTIF($P$2:$P$3000,P1914)&gt;1,"DUPLICATE","OK"))</f>
        <v/>
      </c>
      <c r="R1914" s="0" t="str">
        <f aca="false">IF($C1914="","",IFERROR(VLOOKUP(--$C1914,MM_Income!$Z$5:$AC$204,3,FALSE()),""))</f>
        <v/>
      </c>
    </row>
    <row r="1915" customFormat="false" ht="13.5" hidden="false" customHeight="false" outlineLevel="0" collapsed="false">
      <c r="N1915" s="1" t="str">
        <f aca="false">IF(C1915="","",IFERROR(VLOOKUP(C1915,Master_Mappings!$A$4:$E$85,3,FALSE()),"UNMAPPED"))</f>
        <v/>
      </c>
      <c r="P1915" s="1" t="str">
        <f aca="false">IF($C1915="","",$C1915&amp;"|"&amp;$E1915&amp;"|"&amp;$M1915&amp;"|"&amp;TEXT($G1915,"yyyy-mm-dd")&amp;"|"&amp;LEFT($J1915,40))</f>
        <v/>
      </c>
      <c r="Q1915" s="11" t="str">
        <f aca="false">IF(P1915="","",IF(COUNTIF($P$2:$P$3000,P1915)&gt;1,"DUPLICATE","OK"))</f>
        <v/>
      </c>
      <c r="R1915" s="0" t="str">
        <f aca="false">IF($C1915="","",IFERROR(VLOOKUP(--$C1915,MM_Income!$Z$5:$AC$204,3,FALSE()),""))</f>
        <v/>
      </c>
    </row>
    <row r="1916" customFormat="false" ht="13.5" hidden="false" customHeight="false" outlineLevel="0" collapsed="false">
      <c r="N1916" s="1" t="str">
        <f aca="false">IF(C1916="","",IFERROR(VLOOKUP(C1916,Master_Mappings!$A$4:$E$85,3,FALSE()),"UNMAPPED"))</f>
        <v/>
      </c>
      <c r="P1916" s="1" t="str">
        <f aca="false">IF($C1916="","",$C1916&amp;"|"&amp;$E1916&amp;"|"&amp;$M1916&amp;"|"&amp;TEXT($G1916,"yyyy-mm-dd")&amp;"|"&amp;LEFT($J1916,40))</f>
        <v/>
      </c>
      <c r="Q1916" s="11" t="str">
        <f aca="false">IF(P1916="","",IF(COUNTIF($P$2:$P$3000,P1916)&gt;1,"DUPLICATE","OK"))</f>
        <v/>
      </c>
      <c r="R1916" s="0" t="str">
        <f aca="false">IF($C1916="","",IFERROR(VLOOKUP(--$C1916,MM_Income!$Z$5:$AC$204,3,FALSE()),""))</f>
        <v/>
      </c>
    </row>
    <row r="1917" customFormat="false" ht="13.5" hidden="false" customHeight="false" outlineLevel="0" collapsed="false">
      <c r="N1917" s="1" t="str">
        <f aca="false">IF(C1917="","",IFERROR(VLOOKUP(C1917,Master_Mappings!$A$4:$E$85,3,FALSE()),"UNMAPPED"))</f>
        <v/>
      </c>
      <c r="P1917" s="1" t="str">
        <f aca="false">IF($C1917="","",$C1917&amp;"|"&amp;$E1917&amp;"|"&amp;$M1917&amp;"|"&amp;TEXT($G1917,"yyyy-mm-dd")&amp;"|"&amp;LEFT($J1917,40))</f>
        <v/>
      </c>
      <c r="Q1917" s="11" t="str">
        <f aca="false">IF(P1917="","",IF(COUNTIF($P$2:$P$3000,P1917)&gt;1,"DUPLICATE","OK"))</f>
        <v/>
      </c>
      <c r="R1917" s="0" t="str">
        <f aca="false">IF($C1917="","",IFERROR(VLOOKUP(--$C1917,MM_Income!$Z$5:$AC$204,3,FALSE()),""))</f>
        <v/>
      </c>
    </row>
    <row r="1918" customFormat="false" ht="13.5" hidden="false" customHeight="false" outlineLevel="0" collapsed="false">
      <c r="N1918" s="1" t="str">
        <f aca="false">IF(C1918="","",IFERROR(VLOOKUP(C1918,Master_Mappings!$A$4:$E$85,3,FALSE()),"UNMAPPED"))</f>
        <v/>
      </c>
      <c r="P1918" s="1" t="str">
        <f aca="false">IF($C1918="","",$C1918&amp;"|"&amp;$E1918&amp;"|"&amp;$M1918&amp;"|"&amp;TEXT($G1918,"yyyy-mm-dd")&amp;"|"&amp;LEFT($J1918,40))</f>
        <v/>
      </c>
      <c r="Q1918" s="11" t="str">
        <f aca="false">IF(P1918="","",IF(COUNTIF($P$2:$P$3000,P1918)&gt;1,"DUPLICATE","OK"))</f>
        <v/>
      </c>
      <c r="R1918" s="0" t="str">
        <f aca="false">IF($C1918="","",IFERROR(VLOOKUP(--$C1918,MM_Income!$Z$5:$AC$204,3,FALSE()),""))</f>
        <v/>
      </c>
    </row>
    <row r="1919" customFormat="false" ht="13.5" hidden="false" customHeight="false" outlineLevel="0" collapsed="false">
      <c r="N1919" s="1" t="str">
        <f aca="false">IF(C1919="","",IFERROR(VLOOKUP(C1919,Master_Mappings!$A$4:$E$85,3,FALSE()),"UNMAPPED"))</f>
        <v/>
      </c>
      <c r="P1919" s="1" t="str">
        <f aca="false">IF($C1919="","",$C1919&amp;"|"&amp;$E1919&amp;"|"&amp;$M1919&amp;"|"&amp;TEXT($G1919,"yyyy-mm-dd")&amp;"|"&amp;LEFT($J1919,40))</f>
        <v/>
      </c>
      <c r="Q1919" s="11" t="str">
        <f aca="false">IF(P1919="","",IF(COUNTIF($P$2:$P$3000,P1919)&gt;1,"DUPLICATE","OK"))</f>
        <v/>
      </c>
      <c r="R1919" s="0" t="str">
        <f aca="false">IF($C1919="","",IFERROR(VLOOKUP(--$C1919,MM_Income!$Z$5:$AC$204,3,FALSE()),""))</f>
        <v/>
      </c>
    </row>
    <row r="1920" customFormat="false" ht="13.5" hidden="false" customHeight="false" outlineLevel="0" collapsed="false">
      <c r="N1920" s="1" t="str">
        <f aca="false">IF(C1920="","",IFERROR(VLOOKUP(C1920,Master_Mappings!$A$4:$E$85,3,FALSE()),"UNMAPPED"))</f>
        <v/>
      </c>
      <c r="P1920" s="1" t="str">
        <f aca="false">IF($C1920="","",$C1920&amp;"|"&amp;$E1920&amp;"|"&amp;$M1920&amp;"|"&amp;TEXT($G1920,"yyyy-mm-dd")&amp;"|"&amp;LEFT($J1920,40))</f>
        <v/>
      </c>
      <c r="Q1920" s="11" t="str">
        <f aca="false">IF(P1920="","",IF(COUNTIF($P$2:$P$3000,P1920)&gt;1,"DUPLICATE","OK"))</f>
        <v/>
      </c>
      <c r="R1920" s="0" t="str">
        <f aca="false">IF($C1920="","",IFERROR(VLOOKUP(--$C1920,MM_Income!$Z$5:$AC$204,3,FALSE()),""))</f>
        <v/>
      </c>
    </row>
    <row r="1921" customFormat="false" ht="13.5" hidden="false" customHeight="false" outlineLevel="0" collapsed="false">
      <c r="N1921" s="1" t="str">
        <f aca="false">IF(C1921="","",IFERROR(VLOOKUP(C1921,Master_Mappings!$A$4:$E$85,3,FALSE()),"UNMAPPED"))</f>
        <v/>
      </c>
      <c r="P1921" s="1" t="str">
        <f aca="false">IF($C1921="","",$C1921&amp;"|"&amp;$E1921&amp;"|"&amp;$M1921&amp;"|"&amp;TEXT($G1921,"yyyy-mm-dd")&amp;"|"&amp;LEFT($J1921,40))</f>
        <v/>
      </c>
      <c r="Q1921" s="11" t="str">
        <f aca="false">IF(P1921="","",IF(COUNTIF($P$2:$P$3000,P1921)&gt;1,"DUPLICATE","OK"))</f>
        <v/>
      </c>
      <c r="R1921" s="0" t="str">
        <f aca="false">IF($C1921="","",IFERROR(VLOOKUP(--$C1921,MM_Income!$Z$5:$AC$204,3,FALSE()),""))</f>
        <v/>
      </c>
    </row>
    <row r="1922" customFormat="false" ht="13.5" hidden="false" customHeight="false" outlineLevel="0" collapsed="false">
      <c r="N1922" s="1" t="str">
        <f aca="false">IF(C1922="","",IFERROR(VLOOKUP(C1922,Master_Mappings!$A$4:$E$85,3,FALSE()),"UNMAPPED"))</f>
        <v/>
      </c>
      <c r="P1922" s="1" t="str">
        <f aca="false">IF($C1922="","",$C1922&amp;"|"&amp;$E1922&amp;"|"&amp;$M1922&amp;"|"&amp;TEXT($G1922,"yyyy-mm-dd")&amp;"|"&amp;LEFT($J1922,40))</f>
        <v/>
      </c>
      <c r="Q1922" s="11" t="str">
        <f aca="false">IF(P1922="","",IF(COUNTIF($P$2:$P$3000,P1922)&gt;1,"DUPLICATE","OK"))</f>
        <v/>
      </c>
      <c r="R1922" s="0" t="str">
        <f aca="false">IF($C1922="","",IFERROR(VLOOKUP(--$C1922,MM_Income!$Z$5:$AC$204,3,FALSE()),""))</f>
        <v/>
      </c>
    </row>
    <row r="1923" customFormat="false" ht="13.5" hidden="false" customHeight="false" outlineLevel="0" collapsed="false">
      <c r="N1923" s="1" t="str">
        <f aca="false">IF(C1923="","",IFERROR(VLOOKUP(C1923,Master_Mappings!$A$4:$E$85,3,FALSE()),"UNMAPPED"))</f>
        <v/>
      </c>
      <c r="P1923" s="1" t="str">
        <f aca="false">IF($C1923="","",$C1923&amp;"|"&amp;$E1923&amp;"|"&amp;$M1923&amp;"|"&amp;TEXT($G1923,"yyyy-mm-dd")&amp;"|"&amp;LEFT($J1923,40))</f>
        <v/>
      </c>
      <c r="Q1923" s="11" t="str">
        <f aca="false">IF(P1923="","",IF(COUNTIF($P$2:$P$3000,P1923)&gt;1,"DUPLICATE","OK"))</f>
        <v/>
      </c>
      <c r="R1923" s="0" t="str">
        <f aca="false">IF($C1923="","",IFERROR(VLOOKUP(--$C1923,MM_Income!$Z$5:$AC$204,3,FALSE()),""))</f>
        <v/>
      </c>
    </row>
    <row r="1924" customFormat="false" ht="13.5" hidden="false" customHeight="false" outlineLevel="0" collapsed="false">
      <c r="N1924" s="1" t="str">
        <f aca="false">IF(C1924="","",IFERROR(VLOOKUP(C1924,Master_Mappings!$A$4:$E$85,3,FALSE()),"UNMAPPED"))</f>
        <v/>
      </c>
      <c r="P1924" s="1" t="str">
        <f aca="false">IF($C1924="","",$C1924&amp;"|"&amp;$E1924&amp;"|"&amp;$M1924&amp;"|"&amp;TEXT($G1924,"yyyy-mm-dd")&amp;"|"&amp;LEFT($J1924,40))</f>
        <v/>
      </c>
      <c r="Q1924" s="11" t="str">
        <f aca="false">IF(P1924="","",IF(COUNTIF($P$2:$P$3000,P1924)&gt;1,"DUPLICATE","OK"))</f>
        <v/>
      </c>
      <c r="R1924" s="0" t="str">
        <f aca="false">IF($C1924="","",IFERROR(VLOOKUP(--$C1924,MM_Income!$Z$5:$AC$204,3,FALSE()),""))</f>
        <v/>
      </c>
    </row>
    <row r="1925" customFormat="false" ht="13.5" hidden="false" customHeight="false" outlineLevel="0" collapsed="false">
      <c r="N1925" s="1" t="str">
        <f aca="false">IF(C1925="","",IFERROR(VLOOKUP(C1925,Master_Mappings!$A$4:$E$85,3,FALSE()),"UNMAPPED"))</f>
        <v/>
      </c>
      <c r="P1925" s="1" t="str">
        <f aca="false">IF($C1925="","",$C1925&amp;"|"&amp;$E1925&amp;"|"&amp;$M1925&amp;"|"&amp;TEXT($G1925,"yyyy-mm-dd")&amp;"|"&amp;LEFT($J1925,40))</f>
        <v/>
      </c>
      <c r="Q1925" s="11" t="str">
        <f aca="false">IF(P1925="","",IF(COUNTIF($P$2:$P$3000,P1925)&gt;1,"DUPLICATE","OK"))</f>
        <v/>
      </c>
      <c r="R1925" s="0" t="str">
        <f aca="false">IF($C1925="","",IFERROR(VLOOKUP(--$C1925,MM_Income!$Z$5:$AC$204,3,FALSE()),""))</f>
        <v/>
      </c>
    </row>
    <row r="1926" customFormat="false" ht="13.5" hidden="false" customHeight="false" outlineLevel="0" collapsed="false">
      <c r="N1926" s="1" t="str">
        <f aca="false">IF(C1926="","",IFERROR(VLOOKUP(C1926,Master_Mappings!$A$4:$E$85,3,FALSE()),"UNMAPPED"))</f>
        <v/>
      </c>
      <c r="P1926" s="1" t="str">
        <f aca="false">IF($C1926="","",$C1926&amp;"|"&amp;$E1926&amp;"|"&amp;$M1926&amp;"|"&amp;TEXT($G1926,"yyyy-mm-dd")&amp;"|"&amp;LEFT($J1926,40))</f>
        <v/>
      </c>
      <c r="Q1926" s="11" t="str">
        <f aca="false">IF(P1926="","",IF(COUNTIF($P$2:$P$3000,P1926)&gt;1,"DUPLICATE","OK"))</f>
        <v/>
      </c>
      <c r="R1926" s="0" t="str">
        <f aca="false">IF($C1926="","",IFERROR(VLOOKUP(--$C1926,MM_Income!$Z$5:$AC$204,3,FALSE()),""))</f>
        <v/>
      </c>
    </row>
    <row r="1927" customFormat="false" ht="13.5" hidden="false" customHeight="false" outlineLevel="0" collapsed="false">
      <c r="N1927" s="1" t="str">
        <f aca="false">IF(C1927="","",IFERROR(VLOOKUP(C1927,Master_Mappings!$A$4:$E$85,3,FALSE()),"UNMAPPED"))</f>
        <v/>
      </c>
      <c r="P1927" s="1" t="str">
        <f aca="false">IF($C1927="","",$C1927&amp;"|"&amp;$E1927&amp;"|"&amp;$M1927&amp;"|"&amp;TEXT($G1927,"yyyy-mm-dd")&amp;"|"&amp;LEFT($J1927,40))</f>
        <v/>
      </c>
      <c r="Q1927" s="11" t="str">
        <f aca="false">IF(P1927="","",IF(COUNTIF($P$2:$P$3000,P1927)&gt;1,"DUPLICATE","OK"))</f>
        <v/>
      </c>
      <c r="R1927" s="0" t="str">
        <f aca="false">IF($C1927="","",IFERROR(VLOOKUP(--$C1927,MM_Income!$Z$5:$AC$204,3,FALSE()),""))</f>
        <v/>
      </c>
    </row>
    <row r="1928" customFormat="false" ht="13.5" hidden="false" customHeight="false" outlineLevel="0" collapsed="false">
      <c r="N1928" s="1" t="str">
        <f aca="false">IF(C1928="","",IFERROR(VLOOKUP(C1928,Master_Mappings!$A$4:$E$85,3,FALSE()),"UNMAPPED"))</f>
        <v/>
      </c>
      <c r="P1928" s="1" t="str">
        <f aca="false">IF($C1928="","",$C1928&amp;"|"&amp;$E1928&amp;"|"&amp;$M1928&amp;"|"&amp;TEXT($G1928,"yyyy-mm-dd")&amp;"|"&amp;LEFT($J1928,40))</f>
        <v/>
      </c>
      <c r="Q1928" s="11" t="str">
        <f aca="false">IF(P1928="","",IF(COUNTIF($P$2:$P$3000,P1928)&gt;1,"DUPLICATE","OK"))</f>
        <v/>
      </c>
      <c r="R1928" s="0" t="str">
        <f aca="false">IF($C1928="","",IFERROR(VLOOKUP(--$C1928,MM_Income!$Z$5:$AC$204,3,FALSE()),""))</f>
        <v/>
      </c>
    </row>
    <row r="1929" customFormat="false" ht="13.5" hidden="false" customHeight="false" outlineLevel="0" collapsed="false">
      <c r="N1929" s="1" t="str">
        <f aca="false">IF(C1929="","",IFERROR(VLOOKUP(C1929,Master_Mappings!$A$4:$E$85,3,FALSE()),"UNMAPPED"))</f>
        <v/>
      </c>
      <c r="P1929" s="1" t="str">
        <f aca="false">IF($C1929="","",$C1929&amp;"|"&amp;$E1929&amp;"|"&amp;$M1929&amp;"|"&amp;TEXT($G1929,"yyyy-mm-dd")&amp;"|"&amp;LEFT($J1929,40))</f>
        <v/>
      </c>
      <c r="Q1929" s="11" t="str">
        <f aca="false">IF(P1929="","",IF(COUNTIF($P$2:$P$3000,P1929)&gt;1,"DUPLICATE","OK"))</f>
        <v/>
      </c>
      <c r="R1929" s="0" t="str">
        <f aca="false">IF($C1929="","",IFERROR(VLOOKUP(--$C1929,MM_Income!$Z$5:$AC$204,3,FALSE()),""))</f>
        <v/>
      </c>
    </row>
    <row r="1930" customFormat="false" ht="13.5" hidden="false" customHeight="false" outlineLevel="0" collapsed="false">
      <c r="N1930" s="1" t="str">
        <f aca="false">IF(C1930="","",IFERROR(VLOOKUP(C1930,Master_Mappings!$A$4:$E$85,3,FALSE()),"UNMAPPED"))</f>
        <v/>
      </c>
      <c r="P1930" s="1" t="str">
        <f aca="false">IF($C1930="","",$C1930&amp;"|"&amp;$E1930&amp;"|"&amp;$M1930&amp;"|"&amp;TEXT($G1930,"yyyy-mm-dd")&amp;"|"&amp;LEFT($J1930,40))</f>
        <v/>
      </c>
      <c r="Q1930" s="11" t="str">
        <f aca="false">IF(P1930="","",IF(COUNTIF($P$2:$P$3000,P1930)&gt;1,"DUPLICATE","OK"))</f>
        <v/>
      </c>
      <c r="R1930" s="0" t="str">
        <f aca="false">IF($C1930="","",IFERROR(VLOOKUP(--$C1930,MM_Income!$Z$5:$AC$204,3,FALSE()),""))</f>
        <v/>
      </c>
    </row>
    <row r="1931" customFormat="false" ht="13.5" hidden="false" customHeight="false" outlineLevel="0" collapsed="false">
      <c r="N1931" s="1" t="str">
        <f aca="false">IF(C1931="","",IFERROR(VLOOKUP(C1931,Master_Mappings!$A$4:$E$85,3,FALSE()),"UNMAPPED"))</f>
        <v/>
      </c>
      <c r="P1931" s="1" t="str">
        <f aca="false">IF($C1931="","",$C1931&amp;"|"&amp;$E1931&amp;"|"&amp;$M1931&amp;"|"&amp;TEXT($G1931,"yyyy-mm-dd")&amp;"|"&amp;LEFT($J1931,40))</f>
        <v/>
      </c>
      <c r="Q1931" s="11" t="str">
        <f aca="false">IF(P1931="","",IF(COUNTIF($P$2:$P$3000,P1931)&gt;1,"DUPLICATE","OK"))</f>
        <v/>
      </c>
      <c r="R1931" s="0" t="str">
        <f aca="false">IF($C1931="","",IFERROR(VLOOKUP(--$C1931,MM_Income!$Z$5:$AC$204,3,FALSE()),""))</f>
        <v/>
      </c>
    </row>
    <row r="1932" customFormat="false" ht="13.5" hidden="false" customHeight="false" outlineLevel="0" collapsed="false">
      <c r="N1932" s="1" t="str">
        <f aca="false">IF(C1932="","",IFERROR(VLOOKUP(C1932,Master_Mappings!$A$4:$E$85,3,FALSE()),"UNMAPPED"))</f>
        <v/>
      </c>
      <c r="P1932" s="1" t="str">
        <f aca="false">IF($C1932="","",$C1932&amp;"|"&amp;$E1932&amp;"|"&amp;$M1932&amp;"|"&amp;TEXT($G1932,"yyyy-mm-dd")&amp;"|"&amp;LEFT($J1932,40))</f>
        <v/>
      </c>
      <c r="Q1932" s="11" t="str">
        <f aca="false">IF(P1932="","",IF(COUNTIF($P$2:$P$3000,P1932)&gt;1,"DUPLICATE","OK"))</f>
        <v/>
      </c>
      <c r="R1932" s="0" t="str">
        <f aca="false">IF($C1932="","",IFERROR(VLOOKUP(--$C1932,MM_Income!$Z$5:$AC$204,3,FALSE()),""))</f>
        <v/>
      </c>
    </row>
    <row r="1933" customFormat="false" ht="13.5" hidden="false" customHeight="false" outlineLevel="0" collapsed="false">
      <c r="N1933" s="1" t="str">
        <f aca="false">IF(C1933="","",IFERROR(VLOOKUP(C1933,Master_Mappings!$A$4:$E$85,3,FALSE()),"UNMAPPED"))</f>
        <v/>
      </c>
      <c r="P1933" s="1" t="str">
        <f aca="false">IF($C1933="","",$C1933&amp;"|"&amp;$E1933&amp;"|"&amp;$M1933&amp;"|"&amp;TEXT($G1933,"yyyy-mm-dd")&amp;"|"&amp;LEFT($J1933,40))</f>
        <v/>
      </c>
      <c r="Q1933" s="11" t="str">
        <f aca="false">IF(P1933="","",IF(COUNTIF($P$2:$P$3000,P1933)&gt;1,"DUPLICATE","OK"))</f>
        <v/>
      </c>
      <c r="R1933" s="0" t="str">
        <f aca="false">IF($C1933="","",IFERROR(VLOOKUP(--$C1933,MM_Income!$Z$5:$AC$204,3,FALSE()),""))</f>
        <v/>
      </c>
    </row>
    <row r="1934" customFormat="false" ht="13.5" hidden="false" customHeight="false" outlineLevel="0" collapsed="false">
      <c r="N1934" s="1" t="str">
        <f aca="false">IF(C1934="","",IFERROR(VLOOKUP(C1934,Master_Mappings!$A$4:$E$85,3,FALSE()),"UNMAPPED"))</f>
        <v/>
      </c>
      <c r="P1934" s="1" t="str">
        <f aca="false">IF($C1934="","",$C1934&amp;"|"&amp;$E1934&amp;"|"&amp;$M1934&amp;"|"&amp;TEXT($G1934,"yyyy-mm-dd")&amp;"|"&amp;LEFT($J1934,40))</f>
        <v/>
      </c>
      <c r="Q1934" s="11" t="str">
        <f aca="false">IF(P1934="","",IF(COUNTIF($P$2:$P$3000,P1934)&gt;1,"DUPLICATE","OK"))</f>
        <v/>
      </c>
      <c r="R1934" s="0" t="str">
        <f aca="false">IF($C1934="","",IFERROR(VLOOKUP(--$C1934,MM_Income!$Z$5:$AC$204,3,FALSE()),""))</f>
        <v/>
      </c>
    </row>
    <row r="1935" customFormat="false" ht="13.5" hidden="false" customHeight="false" outlineLevel="0" collapsed="false">
      <c r="N1935" s="1" t="str">
        <f aca="false">IF(C1935="","",IFERROR(VLOOKUP(C1935,Master_Mappings!$A$4:$E$85,3,FALSE()),"UNMAPPED"))</f>
        <v/>
      </c>
      <c r="P1935" s="1" t="str">
        <f aca="false">IF($C1935="","",$C1935&amp;"|"&amp;$E1935&amp;"|"&amp;$M1935&amp;"|"&amp;TEXT($G1935,"yyyy-mm-dd")&amp;"|"&amp;LEFT($J1935,40))</f>
        <v/>
      </c>
      <c r="Q1935" s="11" t="str">
        <f aca="false">IF(P1935="","",IF(COUNTIF($P$2:$P$3000,P1935)&gt;1,"DUPLICATE","OK"))</f>
        <v/>
      </c>
      <c r="R1935" s="0" t="str">
        <f aca="false">IF($C1935="","",IFERROR(VLOOKUP(--$C1935,MM_Income!$Z$5:$AC$204,3,FALSE()),""))</f>
        <v/>
      </c>
    </row>
    <row r="1936" customFormat="false" ht="13.5" hidden="false" customHeight="false" outlineLevel="0" collapsed="false">
      <c r="N1936" s="1" t="str">
        <f aca="false">IF(C1936="","",IFERROR(VLOOKUP(C1936,Master_Mappings!$A$4:$E$85,3,FALSE()),"UNMAPPED"))</f>
        <v/>
      </c>
      <c r="P1936" s="1" t="str">
        <f aca="false">IF($C1936="","",$C1936&amp;"|"&amp;$E1936&amp;"|"&amp;$M1936&amp;"|"&amp;TEXT($G1936,"yyyy-mm-dd")&amp;"|"&amp;LEFT($J1936,40))</f>
        <v/>
      </c>
      <c r="Q1936" s="11" t="str">
        <f aca="false">IF(P1936="","",IF(COUNTIF($P$2:$P$3000,P1936)&gt;1,"DUPLICATE","OK"))</f>
        <v/>
      </c>
      <c r="R1936" s="0" t="str">
        <f aca="false">IF($C1936="","",IFERROR(VLOOKUP(--$C1936,MM_Income!$Z$5:$AC$204,3,FALSE()),""))</f>
        <v/>
      </c>
    </row>
    <row r="1937" customFormat="false" ht="13.5" hidden="false" customHeight="false" outlineLevel="0" collapsed="false">
      <c r="N1937" s="1" t="str">
        <f aca="false">IF(C1937="","",IFERROR(VLOOKUP(C1937,Master_Mappings!$A$4:$E$85,3,FALSE()),"UNMAPPED"))</f>
        <v/>
      </c>
      <c r="P1937" s="1" t="str">
        <f aca="false">IF($C1937="","",$C1937&amp;"|"&amp;$E1937&amp;"|"&amp;$M1937&amp;"|"&amp;TEXT($G1937,"yyyy-mm-dd")&amp;"|"&amp;LEFT($J1937,40))</f>
        <v/>
      </c>
      <c r="Q1937" s="11" t="str">
        <f aca="false">IF(P1937="","",IF(COUNTIF($P$2:$P$3000,P1937)&gt;1,"DUPLICATE","OK"))</f>
        <v/>
      </c>
      <c r="R1937" s="0" t="str">
        <f aca="false">IF($C1937="","",IFERROR(VLOOKUP(--$C1937,MM_Income!$Z$5:$AC$204,3,FALSE()),""))</f>
        <v/>
      </c>
    </row>
    <row r="1938" customFormat="false" ht="13.5" hidden="false" customHeight="false" outlineLevel="0" collapsed="false">
      <c r="N1938" s="1" t="str">
        <f aca="false">IF(C1938="","",IFERROR(VLOOKUP(C1938,Master_Mappings!$A$4:$E$85,3,FALSE()),"UNMAPPED"))</f>
        <v/>
      </c>
      <c r="P1938" s="1" t="str">
        <f aca="false">IF($C1938="","",$C1938&amp;"|"&amp;$E1938&amp;"|"&amp;$M1938&amp;"|"&amp;TEXT($G1938,"yyyy-mm-dd")&amp;"|"&amp;LEFT($J1938,40))</f>
        <v/>
      </c>
      <c r="Q1938" s="11" t="str">
        <f aca="false">IF(P1938="","",IF(COUNTIF($P$2:$P$3000,P1938)&gt;1,"DUPLICATE","OK"))</f>
        <v/>
      </c>
      <c r="R1938" s="0" t="str">
        <f aca="false">IF($C1938="","",IFERROR(VLOOKUP(--$C1938,MM_Income!$Z$5:$AC$204,3,FALSE()),""))</f>
        <v/>
      </c>
    </row>
    <row r="1939" customFormat="false" ht="13.5" hidden="false" customHeight="false" outlineLevel="0" collapsed="false">
      <c r="N1939" s="1" t="str">
        <f aca="false">IF(C1939="","",IFERROR(VLOOKUP(C1939,Master_Mappings!$A$4:$E$85,3,FALSE()),"UNMAPPED"))</f>
        <v/>
      </c>
      <c r="P1939" s="1" t="str">
        <f aca="false">IF($C1939="","",$C1939&amp;"|"&amp;$E1939&amp;"|"&amp;$M1939&amp;"|"&amp;TEXT($G1939,"yyyy-mm-dd")&amp;"|"&amp;LEFT($J1939,40))</f>
        <v/>
      </c>
      <c r="Q1939" s="11" t="str">
        <f aca="false">IF(P1939="","",IF(COUNTIF($P$2:$P$3000,P1939)&gt;1,"DUPLICATE","OK"))</f>
        <v/>
      </c>
      <c r="R1939" s="0" t="str">
        <f aca="false">IF($C1939="","",IFERROR(VLOOKUP(--$C1939,MM_Income!$Z$5:$AC$204,3,FALSE()),""))</f>
        <v/>
      </c>
    </row>
    <row r="1940" customFormat="false" ht="13.5" hidden="false" customHeight="false" outlineLevel="0" collapsed="false">
      <c r="N1940" s="1" t="str">
        <f aca="false">IF(C1940="","",IFERROR(VLOOKUP(C1940,Master_Mappings!$A$4:$E$85,3,FALSE()),"UNMAPPED"))</f>
        <v/>
      </c>
      <c r="P1940" s="1" t="str">
        <f aca="false">IF($C1940="","",$C1940&amp;"|"&amp;$E1940&amp;"|"&amp;$M1940&amp;"|"&amp;TEXT($G1940,"yyyy-mm-dd")&amp;"|"&amp;LEFT($J1940,40))</f>
        <v/>
      </c>
      <c r="Q1940" s="11" t="str">
        <f aca="false">IF(P1940="","",IF(COUNTIF($P$2:$P$3000,P1940)&gt;1,"DUPLICATE","OK"))</f>
        <v/>
      </c>
      <c r="R1940" s="0" t="str">
        <f aca="false">IF($C1940="","",IFERROR(VLOOKUP(--$C1940,MM_Income!$Z$5:$AC$204,3,FALSE()),""))</f>
        <v/>
      </c>
    </row>
    <row r="1941" customFormat="false" ht="13.5" hidden="false" customHeight="false" outlineLevel="0" collapsed="false">
      <c r="N1941" s="1" t="str">
        <f aca="false">IF(C1941="","",IFERROR(VLOOKUP(C1941,Master_Mappings!$A$4:$E$85,3,FALSE()),"UNMAPPED"))</f>
        <v/>
      </c>
      <c r="P1941" s="1" t="str">
        <f aca="false">IF($C1941="","",$C1941&amp;"|"&amp;$E1941&amp;"|"&amp;$M1941&amp;"|"&amp;TEXT($G1941,"yyyy-mm-dd")&amp;"|"&amp;LEFT($J1941,40))</f>
        <v/>
      </c>
      <c r="Q1941" s="11" t="str">
        <f aca="false">IF(P1941="","",IF(COUNTIF($P$2:$P$3000,P1941)&gt;1,"DUPLICATE","OK"))</f>
        <v/>
      </c>
      <c r="R1941" s="0" t="str">
        <f aca="false">IF($C1941="","",IFERROR(VLOOKUP(--$C1941,MM_Income!$Z$5:$AC$204,3,FALSE()),""))</f>
        <v/>
      </c>
    </row>
    <row r="1942" customFormat="false" ht="13.5" hidden="false" customHeight="false" outlineLevel="0" collapsed="false">
      <c r="N1942" s="1" t="str">
        <f aca="false">IF(C1942="","",IFERROR(VLOOKUP(C1942,Master_Mappings!$A$4:$E$85,3,FALSE()),"UNMAPPED"))</f>
        <v/>
      </c>
      <c r="P1942" s="1" t="str">
        <f aca="false">IF($C1942="","",$C1942&amp;"|"&amp;$E1942&amp;"|"&amp;$M1942&amp;"|"&amp;TEXT($G1942,"yyyy-mm-dd")&amp;"|"&amp;LEFT($J1942,40))</f>
        <v/>
      </c>
      <c r="Q1942" s="11" t="str">
        <f aca="false">IF(P1942="","",IF(COUNTIF($P$2:$P$3000,P1942)&gt;1,"DUPLICATE","OK"))</f>
        <v/>
      </c>
      <c r="R1942" s="0" t="str">
        <f aca="false">IF($C1942="","",IFERROR(VLOOKUP(--$C1942,MM_Income!$Z$5:$AC$204,3,FALSE()),""))</f>
        <v/>
      </c>
    </row>
    <row r="1943" customFormat="false" ht="13.5" hidden="false" customHeight="false" outlineLevel="0" collapsed="false">
      <c r="N1943" s="1" t="str">
        <f aca="false">IF(C1943="","",IFERROR(VLOOKUP(C1943,Master_Mappings!$A$4:$E$85,3,FALSE()),"UNMAPPED"))</f>
        <v/>
      </c>
      <c r="P1943" s="1" t="str">
        <f aca="false">IF($C1943="","",$C1943&amp;"|"&amp;$E1943&amp;"|"&amp;$M1943&amp;"|"&amp;TEXT($G1943,"yyyy-mm-dd")&amp;"|"&amp;LEFT($J1943,40))</f>
        <v/>
      </c>
      <c r="Q1943" s="11" t="str">
        <f aca="false">IF(P1943="","",IF(COUNTIF($P$2:$P$3000,P1943)&gt;1,"DUPLICATE","OK"))</f>
        <v/>
      </c>
      <c r="R1943" s="0" t="str">
        <f aca="false">IF($C1943="","",IFERROR(VLOOKUP(--$C1943,MM_Income!$Z$5:$AC$204,3,FALSE()),""))</f>
        <v/>
      </c>
    </row>
    <row r="1944" customFormat="false" ht="13.5" hidden="false" customHeight="false" outlineLevel="0" collapsed="false">
      <c r="N1944" s="1" t="str">
        <f aca="false">IF(C1944="","",IFERROR(VLOOKUP(C1944,Master_Mappings!$A$4:$E$85,3,FALSE()),"UNMAPPED"))</f>
        <v/>
      </c>
      <c r="P1944" s="1" t="str">
        <f aca="false">IF($C1944="","",$C1944&amp;"|"&amp;$E1944&amp;"|"&amp;$M1944&amp;"|"&amp;TEXT($G1944,"yyyy-mm-dd")&amp;"|"&amp;LEFT($J1944,40))</f>
        <v/>
      </c>
      <c r="Q1944" s="11" t="str">
        <f aca="false">IF(P1944="","",IF(COUNTIF($P$2:$P$3000,P1944)&gt;1,"DUPLICATE","OK"))</f>
        <v/>
      </c>
      <c r="R1944" s="0" t="str">
        <f aca="false">IF($C1944="","",IFERROR(VLOOKUP(--$C1944,MM_Income!$Z$5:$AC$204,3,FALSE()),""))</f>
        <v/>
      </c>
    </row>
    <row r="1945" customFormat="false" ht="13.5" hidden="false" customHeight="false" outlineLevel="0" collapsed="false">
      <c r="N1945" s="1" t="str">
        <f aca="false">IF(C1945="","",IFERROR(VLOOKUP(C1945,Master_Mappings!$A$4:$E$85,3,FALSE()),"UNMAPPED"))</f>
        <v/>
      </c>
      <c r="P1945" s="1" t="str">
        <f aca="false">IF($C1945="","",$C1945&amp;"|"&amp;$E1945&amp;"|"&amp;$M1945&amp;"|"&amp;TEXT($G1945,"yyyy-mm-dd")&amp;"|"&amp;LEFT($J1945,40))</f>
        <v/>
      </c>
      <c r="Q1945" s="11" t="str">
        <f aca="false">IF(P1945="","",IF(COUNTIF($P$2:$P$3000,P1945)&gt;1,"DUPLICATE","OK"))</f>
        <v/>
      </c>
      <c r="R1945" s="0" t="str">
        <f aca="false">IF($C1945="","",IFERROR(VLOOKUP(--$C1945,MM_Income!$Z$5:$AC$204,3,FALSE()),""))</f>
        <v/>
      </c>
    </row>
    <row r="1946" customFormat="false" ht="13.5" hidden="false" customHeight="false" outlineLevel="0" collapsed="false">
      <c r="N1946" s="1" t="str">
        <f aca="false">IF(C1946="","",IFERROR(VLOOKUP(C1946,Master_Mappings!$A$4:$E$85,3,FALSE()),"UNMAPPED"))</f>
        <v/>
      </c>
      <c r="P1946" s="1" t="str">
        <f aca="false">IF($C1946="","",$C1946&amp;"|"&amp;$E1946&amp;"|"&amp;$M1946&amp;"|"&amp;TEXT($G1946,"yyyy-mm-dd")&amp;"|"&amp;LEFT($J1946,40))</f>
        <v/>
      </c>
      <c r="Q1946" s="11" t="str">
        <f aca="false">IF(P1946="","",IF(COUNTIF($P$2:$P$3000,P1946)&gt;1,"DUPLICATE","OK"))</f>
        <v/>
      </c>
      <c r="R1946" s="0" t="str">
        <f aca="false">IF($C1946="","",IFERROR(VLOOKUP(--$C1946,MM_Income!$Z$5:$AC$204,3,FALSE()),""))</f>
        <v/>
      </c>
    </row>
    <row r="1947" customFormat="false" ht="13.5" hidden="false" customHeight="false" outlineLevel="0" collapsed="false">
      <c r="N1947" s="1" t="str">
        <f aca="false">IF(C1947="","",IFERROR(VLOOKUP(C1947,Master_Mappings!$A$4:$E$85,3,FALSE()),"UNMAPPED"))</f>
        <v/>
      </c>
      <c r="P1947" s="1" t="str">
        <f aca="false">IF($C1947="","",$C1947&amp;"|"&amp;$E1947&amp;"|"&amp;$M1947&amp;"|"&amp;TEXT($G1947,"yyyy-mm-dd")&amp;"|"&amp;LEFT($J1947,40))</f>
        <v/>
      </c>
      <c r="Q1947" s="11" t="str">
        <f aca="false">IF(P1947="","",IF(COUNTIF($P$2:$P$3000,P1947)&gt;1,"DUPLICATE","OK"))</f>
        <v/>
      </c>
      <c r="R1947" s="0" t="str">
        <f aca="false">IF($C1947="","",IFERROR(VLOOKUP(--$C1947,MM_Income!$Z$5:$AC$204,3,FALSE()),""))</f>
        <v/>
      </c>
    </row>
    <row r="1948" customFormat="false" ht="13.5" hidden="false" customHeight="false" outlineLevel="0" collapsed="false">
      <c r="N1948" s="1" t="str">
        <f aca="false">IF(C1948="","",IFERROR(VLOOKUP(C1948,Master_Mappings!$A$4:$E$85,3,FALSE()),"UNMAPPED"))</f>
        <v/>
      </c>
      <c r="P1948" s="1" t="str">
        <f aca="false">IF($C1948="","",$C1948&amp;"|"&amp;$E1948&amp;"|"&amp;$M1948&amp;"|"&amp;TEXT($G1948,"yyyy-mm-dd")&amp;"|"&amp;LEFT($J1948,40))</f>
        <v/>
      </c>
      <c r="Q1948" s="11" t="str">
        <f aca="false">IF(P1948="","",IF(COUNTIF($P$2:$P$3000,P1948)&gt;1,"DUPLICATE","OK"))</f>
        <v/>
      </c>
      <c r="R1948" s="0" t="str">
        <f aca="false">IF($C1948="","",IFERROR(VLOOKUP(--$C1948,MM_Income!$Z$5:$AC$204,3,FALSE()),""))</f>
        <v/>
      </c>
    </row>
    <row r="1949" customFormat="false" ht="13.5" hidden="false" customHeight="false" outlineLevel="0" collapsed="false">
      <c r="N1949" s="1" t="str">
        <f aca="false">IF(C1949="","",IFERROR(VLOOKUP(C1949,Master_Mappings!$A$4:$E$85,3,FALSE()),"UNMAPPED"))</f>
        <v/>
      </c>
      <c r="P1949" s="1" t="str">
        <f aca="false">IF($C1949="","",$C1949&amp;"|"&amp;$E1949&amp;"|"&amp;$M1949&amp;"|"&amp;TEXT($G1949,"yyyy-mm-dd")&amp;"|"&amp;LEFT($J1949,40))</f>
        <v/>
      </c>
      <c r="Q1949" s="11" t="str">
        <f aca="false">IF(P1949="","",IF(COUNTIF($P$2:$P$3000,P1949)&gt;1,"DUPLICATE","OK"))</f>
        <v/>
      </c>
      <c r="R1949" s="0" t="str">
        <f aca="false">IF($C1949="","",IFERROR(VLOOKUP(--$C1949,MM_Income!$Z$5:$AC$204,3,FALSE()),""))</f>
        <v/>
      </c>
    </row>
    <row r="1950" customFormat="false" ht="13.5" hidden="false" customHeight="false" outlineLevel="0" collapsed="false">
      <c r="N1950" s="1" t="str">
        <f aca="false">IF(C1950="","",IFERROR(VLOOKUP(C1950,Master_Mappings!$A$4:$E$85,3,FALSE()),"UNMAPPED"))</f>
        <v/>
      </c>
      <c r="P1950" s="1" t="str">
        <f aca="false">IF($C1950="","",$C1950&amp;"|"&amp;$E1950&amp;"|"&amp;$M1950&amp;"|"&amp;TEXT($G1950,"yyyy-mm-dd")&amp;"|"&amp;LEFT($J1950,40))</f>
        <v/>
      </c>
      <c r="Q1950" s="11" t="str">
        <f aca="false">IF(P1950="","",IF(COUNTIF($P$2:$P$3000,P1950)&gt;1,"DUPLICATE","OK"))</f>
        <v/>
      </c>
      <c r="R1950" s="0" t="str">
        <f aca="false">IF($C1950="","",IFERROR(VLOOKUP(--$C1950,MM_Income!$Z$5:$AC$204,3,FALSE()),""))</f>
        <v/>
      </c>
    </row>
    <row r="1951" customFormat="false" ht="13.5" hidden="false" customHeight="false" outlineLevel="0" collapsed="false">
      <c r="N1951" s="1" t="str">
        <f aca="false">IF(C1951="","",IFERROR(VLOOKUP(C1951,Master_Mappings!$A$4:$E$85,3,FALSE()),"UNMAPPED"))</f>
        <v/>
      </c>
      <c r="P1951" s="1" t="str">
        <f aca="false">IF($C1951="","",$C1951&amp;"|"&amp;$E1951&amp;"|"&amp;$M1951&amp;"|"&amp;TEXT($G1951,"yyyy-mm-dd")&amp;"|"&amp;LEFT($J1951,40))</f>
        <v/>
      </c>
      <c r="Q1951" s="11" t="str">
        <f aca="false">IF(P1951="","",IF(COUNTIF($P$2:$P$3000,P1951)&gt;1,"DUPLICATE","OK"))</f>
        <v/>
      </c>
      <c r="R1951" s="0" t="str">
        <f aca="false">IF($C1951="","",IFERROR(VLOOKUP(--$C1951,MM_Income!$Z$5:$AC$204,3,FALSE()),""))</f>
        <v/>
      </c>
    </row>
    <row r="1952" customFormat="false" ht="13.5" hidden="false" customHeight="false" outlineLevel="0" collapsed="false">
      <c r="N1952" s="1" t="str">
        <f aca="false">IF(C1952="","",IFERROR(VLOOKUP(C1952,Master_Mappings!$A$4:$E$85,3,FALSE()),"UNMAPPED"))</f>
        <v/>
      </c>
      <c r="P1952" s="1" t="str">
        <f aca="false">IF($C1952="","",$C1952&amp;"|"&amp;$E1952&amp;"|"&amp;$M1952&amp;"|"&amp;TEXT($G1952,"yyyy-mm-dd")&amp;"|"&amp;LEFT($J1952,40))</f>
        <v/>
      </c>
      <c r="Q1952" s="11" t="str">
        <f aca="false">IF(P1952="","",IF(COUNTIF($P$2:$P$3000,P1952)&gt;1,"DUPLICATE","OK"))</f>
        <v/>
      </c>
      <c r="R1952" s="0" t="str">
        <f aca="false">IF($C1952="","",IFERROR(VLOOKUP(--$C1952,MM_Income!$Z$5:$AC$204,3,FALSE()),""))</f>
        <v/>
      </c>
    </row>
    <row r="1953" customFormat="false" ht="13.5" hidden="false" customHeight="false" outlineLevel="0" collapsed="false">
      <c r="N1953" s="1" t="str">
        <f aca="false">IF(C1953="","",IFERROR(VLOOKUP(C1953,Master_Mappings!$A$4:$E$85,3,FALSE()),"UNMAPPED"))</f>
        <v/>
      </c>
      <c r="P1953" s="1" t="str">
        <f aca="false">IF($C1953="","",$C1953&amp;"|"&amp;$E1953&amp;"|"&amp;$M1953&amp;"|"&amp;TEXT($G1953,"yyyy-mm-dd")&amp;"|"&amp;LEFT($J1953,40))</f>
        <v/>
      </c>
      <c r="Q1953" s="11" t="str">
        <f aca="false">IF(P1953="","",IF(COUNTIF($P$2:$P$3000,P1953)&gt;1,"DUPLICATE","OK"))</f>
        <v/>
      </c>
      <c r="R1953" s="0" t="str">
        <f aca="false">IF($C1953="","",IFERROR(VLOOKUP(--$C1953,MM_Income!$Z$5:$AC$204,3,FALSE()),""))</f>
        <v/>
      </c>
    </row>
    <row r="1954" customFormat="false" ht="13.5" hidden="false" customHeight="false" outlineLevel="0" collapsed="false">
      <c r="N1954" s="1" t="str">
        <f aca="false">IF(C1954="","",IFERROR(VLOOKUP(C1954,Master_Mappings!$A$4:$E$85,3,FALSE()),"UNMAPPED"))</f>
        <v/>
      </c>
      <c r="P1954" s="1" t="str">
        <f aca="false">IF($C1954="","",$C1954&amp;"|"&amp;$E1954&amp;"|"&amp;$M1954&amp;"|"&amp;TEXT($G1954,"yyyy-mm-dd")&amp;"|"&amp;LEFT($J1954,40))</f>
        <v/>
      </c>
      <c r="Q1954" s="11" t="str">
        <f aca="false">IF(P1954="","",IF(COUNTIF($P$2:$P$3000,P1954)&gt;1,"DUPLICATE","OK"))</f>
        <v/>
      </c>
      <c r="R1954" s="0" t="str">
        <f aca="false">IF($C1954="","",IFERROR(VLOOKUP(--$C1954,MM_Income!$Z$5:$AC$204,3,FALSE()),""))</f>
        <v/>
      </c>
    </row>
    <row r="1955" customFormat="false" ht="13.5" hidden="false" customHeight="false" outlineLevel="0" collapsed="false">
      <c r="N1955" s="1" t="str">
        <f aca="false">IF(C1955="","",IFERROR(VLOOKUP(C1955,Master_Mappings!$A$4:$E$85,3,FALSE()),"UNMAPPED"))</f>
        <v/>
      </c>
      <c r="P1955" s="1" t="str">
        <f aca="false">IF($C1955="","",$C1955&amp;"|"&amp;$E1955&amp;"|"&amp;$M1955&amp;"|"&amp;TEXT($G1955,"yyyy-mm-dd")&amp;"|"&amp;LEFT($J1955,40))</f>
        <v/>
      </c>
      <c r="Q1955" s="11" t="str">
        <f aca="false">IF(P1955="","",IF(COUNTIF($P$2:$P$3000,P1955)&gt;1,"DUPLICATE","OK"))</f>
        <v/>
      </c>
      <c r="R1955" s="0" t="str">
        <f aca="false">IF($C1955="","",IFERROR(VLOOKUP(--$C1955,MM_Income!$Z$5:$AC$204,3,FALSE()),""))</f>
        <v/>
      </c>
    </row>
    <row r="1956" customFormat="false" ht="13.5" hidden="false" customHeight="false" outlineLevel="0" collapsed="false">
      <c r="N1956" s="1" t="str">
        <f aca="false">IF(C1956="","",IFERROR(VLOOKUP(C1956,Master_Mappings!$A$4:$E$85,3,FALSE()),"UNMAPPED"))</f>
        <v/>
      </c>
      <c r="P1956" s="1" t="str">
        <f aca="false">IF($C1956="","",$C1956&amp;"|"&amp;$E1956&amp;"|"&amp;$M1956&amp;"|"&amp;TEXT($G1956,"yyyy-mm-dd")&amp;"|"&amp;LEFT($J1956,40))</f>
        <v/>
      </c>
      <c r="Q1956" s="11" t="str">
        <f aca="false">IF(P1956="","",IF(COUNTIF($P$2:$P$3000,P1956)&gt;1,"DUPLICATE","OK"))</f>
        <v/>
      </c>
      <c r="R1956" s="0" t="str">
        <f aca="false">IF($C1956="","",IFERROR(VLOOKUP(--$C1956,MM_Income!$Z$5:$AC$204,3,FALSE()),""))</f>
        <v/>
      </c>
    </row>
    <row r="1957" customFormat="false" ht="13.5" hidden="false" customHeight="false" outlineLevel="0" collapsed="false">
      <c r="N1957" s="1" t="str">
        <f aca="false">IF(C1957="","",IFERROR(VLOOKUP(C1957,Master_Mappings!$A$4:$E$85,3,FALSE()),"UNMAPPED"))</f>
        <v/>
      </c>
      <c r="P1957" s="1" t="str">
        <f aca="false">IF($C1957="","",$C1957&amp;"|"&amp;$E1957&amp;"|"&amp;$M1957&amp;"|"&amp;TEXT($G1957,"yyyy-mm-dd")&amp;"|"&amp;LEFT($J1957,40))</f>
        <v/>
      </c>
      <c r="Q1957" s="11" t="str">
        <f aca="false">IF(P1957="","",IF(COUNTIF($P$2:$P$3000,P1957)&gt;1,"DUPLICATE","OK"))</f>
        <v/>
      </c>
      <c r="R1957" s="0" t="str">
        <f aca="false">IF($C1957="","",IFERROR(VLOOKUP(--$C1957,MM_Income!$Z$5:$AC$204,3,FALSE()),""))</f>
        <v/>
      </c>
    </row>
    <row r="1958" customFormat="false" ht="13.5" hidden="false" customHeight="false" outlineLevel="0" collapsed="false">
      <c r="N1958" s="1" t="str">
        <f aca="false">IF(C1958="","",IFERROR(VLOOKUP(C1958,Master_Mappings!$A$4:$E$85,3,FALSE()),"UNMAPPED"))</f>
        <v/>
      </c>
      <c r="P1958" s="1" t="str">
        <f aca="false">IF($C1958="","",$C1958&amp;"|"&amp;$E1958&amp;"|"&amp;$M1958&amp;"|"&amp;TEXT($G1958,"yyyy-mm-dd")&amp;"|"&amp;LEFT($J1958,40))</f>
        <v/>
      </c>
      <c r="Q1958" s="11" t="str">
        <f aca="false">IF(P1958="","",IF(COUNTIF($P$2:$P$3000,P1958)&gt;1,"DUPLICATE","OK"))</f>
        <v/>
      </c>
      <c r="R1958" s="0" t="str">
        <f aca="false">IF($C1958="","",IFERROR(VLOOKUP(--$C1958,MM_Income!$Z$5:$AC$204,3,FALSE()),""))</f>
        <v/>
      </c>
    </row>
    <row r="1959" customFormat="false" ht="13.5" hidden="false" customHeight="false" outlineLevel="0" collapsed="false">
      <c r="N1959" s="1" t="str">
        <f aca="false">IF(C1959="","",IFERROR(VLOOKUP(C1959,Master_Mappings!$A$4:$E$85,3,FALSE()),"UNMAPPED"))</f>
        <v/>
      </c>
      <c r="P1959" s="1" t="str">
        <f aca="false">IF($C1959="","",$C1959&amp;"|"&amp;$E1959&amp;"|"&amp;$M1959&amp;"|"&amp;TEXT($G1959,"yyyy-mm-dd")&amp;"|"&amp;LEFT($J1959,40))</f>
        <v/>
      </c>
      <c r="Q1959" s="11" t="str">
        <f aca="false">IF(P1959="","",IF(COUNTIF($P$2:$P$3000,P1959)&gt;1,"DUPLICATE","OK"))</f>
        <v/>
      </c>
      <c r="R1959" s="0" t="str">
        <f aca="false">IF($C1959="","",IFERROR(VLOOKUP(--$C1959,MM_Income!$Z$5:$AC$204,3,FALSE()),""))</f>
        <v/>
      </c>
    </row>
    <row r="1960" customFormat="false" ht="13.5" hidden="false" customHeight="false" outlineLevel="0" collapsed="false">
      <c r="N1960" s="1" t="str">
        <f aca="false">IF(C1960="","",IFERROR(VLOOKUP(C1960,Master_Mappings!$A$4:$E$85,3,FALSE()),"UNMAPPED"))</f>
        <v/>
      </c>
      <c r="P1960" s="1" t="str">
        <f aca="false">IF($C1960="","",$C1960&amp;"|"&amp;$E1960&amp;"|"&amp;$M1960&amp;"|"&amp;TEXT($G1960,"yyyy-mm-dd")&amp;"|"&amp;LEFT($J1960,40))</f>
        <v/>
      </c>
      <c r="Q1960" s="11" t="str">
        <f aca="false">IF(P1960="","",IF(COUNTIF($P$2:$P$3000,P1960)&gt;1,"DUPLICATE","OK"))</f>
        <v/>
      </c>
      <c r="R1960" s="0" t="str">
        <f aca="false">IF($C1960="","",IFERROR(VLOOKUP(--$C1960,MM_Income!$Z$5:$AC$204,3,FALSE()),""))</f>
        <v/>
      </c>
    </row>
    <row r="1961" customFormat="false" ht="13.5" hidden="false" customHeight="false" outlineLevel="0" collapsed="false">
      <c r="N1961" s="1" t="str">
        <f aca="false">IF(C1961="","",IFERROR(VLOOKUP(C1961,Master_Mappings!$A$4:$E$85,3,FALSE()),"UNMAPPED"))</f>
        <v/>
      </c>
      <c r="P1961" s="1" t="str">
        <f aca="false">IF($C1961="","",$C1961&amp;"|"&amp;$E1961&amp;"|"&amp;$M1961&amp;"|"&amp;TEXT($G1961,"yyyy-mm-dd")&amp;"|"&amp;LEFT($J1961,40))</f>
        <v/>
      </c>
      <c r="Q1961" s="11" t="str">
        <f aca="false">IF(P1961="","",IF(COUNTIF($P$2:$P$3000,P1961)&gt;1,"DUPLICATE","OK"))</f>
        <v/>
      </c>
      <c r="R1961" s="0" t="str">
        <f aca="false">IF($C1961="","",IFERROR(VLOOKUP(--$C1961,MM_Income!$Z$5:$AC$204,3,FALSE()),""))</f>
        <v/>
      </c>
    </row>
    <row r="1962" customFormat="false" ht="13.5" hidden="false" customHeight="false" outlineLevel="0" collapsed="false">
      <c r="N1962" s="1" t="str">
        <f aca="false">IF(C1962="","",IFERROR(VLOOKUP(C1962,Master_Mappings!$A$4:$E$85,3,FALSE()),"UNMAPPED"))</f>
        <v/>
      </c>
      <c r="P1962" s="1" t="str">
        <f aca="false">IF($C1962="","",$C1962&amp;"|"&amp;$E1962&amp;"|"&amp;$M1962&amp;"|"&amp;TEXT($G1962,"yyyy-mm-dd")&amp;"|"&amp;LEFT($J1962,40))</f>
        <v/>
      </c>
      <c r="Q1962" s="11" t="str">
        <f aca="false">IF(P1962="","",IF(COUNTIF($P$2:$P$3000,P1962)&gt;1,"DUPLICATE","OK"))</f>
        <v/>
      </c>
      <c r="R1962" s="0" t="str">
        <f aca="false">IF($C1962="","",IFERROR(VLOOKUP(--$C1962,MM_Income!$Z$5:$AC$204,3,FALSE()),""))</f>
        <v/>
      </c>
    </row>
    <row r="1963" customFormat="false" ht="13.5" hidden="false" customHeight="false" outlineLevel="0" collapsed="false">
      <c r="N1963" s="1" t="str">
        <f aca="false">IF(C1963="","",IFERROR(VLOOKUP(C1963,Master_Mappings!$A$4:$E$85,3,FALSE()),"UNMAPPED"))</f>
        <v/>
      </c>
      <c r="P1963" s="1" t="str">
        <f aca="false">IF($C1963="","",$C1963&amp;"|"&amp;$E1963&amp;"|"&amp;$M1963&amp;"|"&amp;TEXT($G1963,"yyyy-mm-dd")&amp;"|"&amp;LEFT($J1963,40))</f>
        <v/>
      </c>
      <c r="Q1963" s="11" t="str">
        <f aca="false">IF(P1963="","",IF(COUNTIF($P$2:$P$3000,P1963)&gt;1,"DUPLICATE","OK"))</f>
        <v/>
      </c>
      <c r="R1963" s="0" t="str">
        <f aca="false">IF($C1963="","",IFERROR(VLOOKUP(--$C1963,MM_Income!$Z$5:$AC$204,3,FALSE()),""))</f>
        <v/>
      </c>
    </row>
    <row r="1964" customFormat="false" ht="13.5" hidden="false" customHeight="false" outlineLevel="0" collapsed="false">
      <c r="N1964" s="1" t="str">
        <f aca="false">IF(C1964="","",IFERROR(VLOOKUP(C1964,Master_Mappings!$A$4:$E$85,3,FALSE()),"UNMAPPED"))</f>
        <v/>
      </c>
      <c r="P1964" s="1" t="str">
        <f aca="false">IF($C1964="","",$C1964&amp;"|"&amp;$E1964&amp;"|"&amp;$M1964&amp;"|"&amp;TEXT($G1964,"yyyy-mm-dd")&amp;"|"&amp;LEFT($J1964,40))</f>
        <v/>
      </c>
      <c r="Q1964" s="11" t="str">
        <f aca="false">IF(P1964="","",IF(COUNTIF($P$2:$P$3000,P1964)&gt;1,"DUPLICATE","OK"))</f>
        <v/>
      </c>
      <c r="R1964" s="0" t="str">
        <f aca="false">IF($C1964="","",IFERROR(VLOOKUP(--$C1964,MM_Income!$Z$5:$AC$204,3,FALSE()),""))</f>
        <v/>
      </c>
    </row>
    <row r="1965" customFormat="false" ht="13.5" hidden="false" customHeight="false" outlineLevel="0" collapsed="false">
      <c r="N1965" s="1" t="str">
        <f aca="false">IF(C1965="","",IFERROR(VLOOKUP(C1965,Master_Mappings!$A$4:$E$85,3,FALSE()),"UNMAPPED"))</f>
        <v/>
      </c>
      <c r="P1965" s="1" t="str">
        <f aca="false">IF($C1965="","",$C1965&amp;"|"&amp;$E1965&amp;"|"&amp;$M1965&amp;"|"&amp;TEXT($G1965,"yyyy-mm-dd")&amp;"|"&amp;LEFT($J1965,40))</f>
        <v/>
      </c>
      <c r="Q1965" s="11" t="str">
        <f aca="false">IF(P1965="","",IF(COUNTIF($P$2:$P$3000,P1965)&gt;1,"DUPLICATE","OK"))</f>
        <v/>
      </c>
      <c r="R1965" s="0" t="str">
        <f aca="false">IF($C1965="","",IFERROR(VLOOKUP(--$C1965,MM_Income!$Z$5:$AC$204,3,FALSE()),""))</f>
        <v/>
      </c>
    </row>
    <row r="1966" customFormat="false" ht="13.5" hidden="false" customHeight="false" outlineLevel="0" collapsed="false">
      <c r="N1966" s="1" t="str">
        <f aca="false">IF(C1966="","",IFERROR(VLOOKUP(C1966,Master_Mappings!$A$4:$E$85,3,FALSE()),"UNMAPPED"))</f>
        <v/>
      </c>
      <c r="P1966" s="1" t="str">
        <f aca="false">IF($C1966="","",$C1966&amp;"|"&amp;$E1966&amp;"|"&amp;$M1966&amp;"|"&amp;TEXT($G1966,"yyyy-mm-dd")&amp;"|"&amp;LEFT($J1966,40))</f>
        <v/>
      </c>
      <c r="Q1966" s="11" t="str">
        <f aca="false">IF(P1966="","",IF(COUNTIF($P$2:$P$3000,P1966)&gt;1,"DUPLICATE","OK"))</f>
        <v/>
      </c>
      <c r="R1966" s="0" t="str">
        <f aca="false">IF($C1966="","",IFERROR(VLOOKUP(--$C1966,MM_Income!$Z$5:$AC$204,3,FALSE()),""))</f>
        <v/>
      </c>
    </row>
    <row r="1967" customFormat="false" ht="13.5" hidden="false" customHeight="false" outlineLevel="0" collapsed="false">
      <c r="N1967" s="1" t="str">
        <f aca="false">IF(C1967="","",IFERROR(VLOOKUP(C1967,Master_Mappings!$A$4:$E$85,3,FALSE()),"UNMAPPED"))</f>
        <v/>
      </c>
      <c r="P1967" s="1" t="str">
        <f aca="false">IF($C1967="","",$C1967&amp;"|"&amp;$E1967&amp;"|"&amp;$M1967&amp;"|"&amp;TEXT($G1967,"yyyy-mm-dd")&amp;"|"&amp;LEFT($J1967,40))</f>
        <v/>
      </c>
      <c r="Q1967" s="11" t="str">
        <f aca="false">IF(P1967="","",IF(COUNTIF($P$2:$P$3000,P1967)&gt;1,"DUPLICATE","OK"))</f>
        <v/>
      </c>
      <c r="R1967" s="0" t="str">
        <f aca="false">IF($C1967="","",IFERROR(VLOOKUP(--$C1967,MM_Income!$Z$5:$AC$204,3,FALSE()),""))</f>
        <v/>
      </c>
    </row>
    <row r="1968" customFormat="false" ht="13.5" hidden="false" customHeight="false" outlineLevel="0" collapsed="false">
      <c r="N1968" s="1" t="str">
        <f aca="false">IF(C1968="","",IFERROR(VLOOKUP(C1968,Master_Mappings!$A$4:$E$85,3,FALSE()),"UNMAPPED"))</f>
        <v/>
      </c>
      <c r="P1968" s="1" t="str">
        <f aca="false">IF($C1968="","",$C1968&amp;"|"&amp;$E1968&amp;"|"&amp;$M1968&amp;"|"&amp;TEXT($G1968,"yyyy-mm-dd")&amp;"|"&amp;LEFT($J1968,40))</f>
        <v/>
      </c>
      <c r="Q1968" s="11" t="str">
        <f aca="false">IF(P1968="","",IF(COUNTIF($P$2:$P$3000,P1968)&gt;1,"DUPLICATE","OK"))</f>
        <v/>
      </c>
      <c r="R1968" s="0" t="str">
        <f aca="false">IF($C1968="","",IFERROR(VLOOKUP(--$C1968,MM_Income!$Z$5:$AC$204,3,FALSE()),""))</f>
        <v/>
      </c>
    </row>
    <row r="1969" customFormat="false" ht="13.5" hidden="false" customHeight="false" outlineLevel="0" collapsed="false">
      <c r="N1969" s="1" t="str">
        <f aca="false">IF(C1969="","",IFERROR(VLOOKUP(C1969,Master_Mappings!$A$4:$E$85,3,FALSE()),"UNMAPPED"))</f>
        <v/>
      </c>
      <c r="P1969" s="1" t="str">
        <f aca="false">IF($C1969="","",$C1969&amp;"|"&amp;$E1969&amp;"|"&amp;$M1969&amp;"|"&amp;TEXT($G1969,"yyyy-mm-dd")&amp;"|"&amp;LEFT($J1969,40))</f>
        <v/>
      </c>
      <c r="Q1969" s="11" t="str">
        <f aca="false">IF(P1969="","",IF(COUNTIF($P$2:$P$3000,P1969)&gt;1,"DUPLICATE","OK"))</f>
        <v/>
      </c>
      <c r="R1969" s="0" t="str">
        <f aca="false">IF($C1969="","",IFERROR(VLOOKUP(--$C1969,MM_Income!$Z$5:$AC$204,3,FALSE()),""))</f>
        <v/>
      </c>
    </row>
    <row r="1970" customFormat="false" ht="13.5" hidden="false" customHeight="false" outlineLevel="0" collapsed="false">
      <c r="N1970" s="1" t="str">
        <f aca="false">IF(C1970="","",IFERROR(VLOOKUP(C1970,Master_Mappings!$A$4:$E$85,3,FALSE()),"UNMAPPED"))</f>
        <v/>
      </c>
      <c r="P1970" s="1" t="str">
        <f aca="false">IF($C1970="","",$C1970&amp;"|"&amp;$E1970&amp;"|"&amp;$M1970&amp;"|"&amp;TEXT($G1970,"yyyy-mm-dd")&amp;"|"&amp;LEFT($J1970,40))</f>
        <v/>
      </c>
      <c r="Q1970" s="11" t="str">
        <f aca="false">IF(P1970="","",IF(COUNTIF($P$2:$P$3000,P1970)&gt;1,"DUPLICATE","OK"))</f>
        <v/>
      </c>
      <c r="R1970" s="0" t="str">
        <f aca="false">IF($C1970="","",IFERROR(VLOOKUP(--$C1970,MM_Income!$Z$5:$AC$204,3,FALSE()),""))</f>
        <v/>
      </c>
    </row>
    <row r="1971" customFormat="false" ht="13.5" hidden="false" customHeight="false" outlineLevel="0" collapsed="false">
      <c r="N1971" s="1" t="str">
        <f aca="false">IF(C1971="","",IFERROR(VLOOKUP(C1971,Master_Mappings!$A$4:$E$85,3,FALSE()),"UNMAPPED"))</f>
        <v/>
      </c>
      <c r="P1971" s="1" t="str">
        <f aca="false">IF($C1971="","",$C1971&amp;"|"&amp;$E1971&amp;"|"&amp;$M1971&amp;"|"&amp;TEXT($G1971,"yyyy-mm-dd")&amp;"|"&amp;LEFT($J1971,40))</f>
        <v/>
      </c>
      <c r="Q1971" s="11" t="str">
        <f aca="false">IF(P1971="","",IF(COUNTIF($P$2:$P$3000,P1971)&gt;1,"DUPLICATE","OK"))</f>
        <v/>
      </c>
      <c r="R1971" s="0" t="str">
        <f aca="false">IF($C1971="","",IFERROR(VLOOKUP(--$C1971,MM_Income!$Z$5:$AC$204,3,FALSE()),""))</f>
        <v/>
      </c>
    </row>
    <row r="1972" customFormat="false" ht="13.5" hidden="false" customHeight="false" outlineLevel="0" collapsed="false">
      <c r="N1972" s="1" t="str">
        <f aca="false">IF(C1972="","",IFERROR(VLOOKUP(C1972,Master_Mappings!$A$4:$E$85,3,FALSE()),"UNMAPPED"))</f>
        <v/>
      </c>
      <c r="P1972" s="1" t="str">
        <f aca="false">IF($C1972="","",$C1972&amp;"|"&amp;$E1972&amp;"|"&amp;$M1972&amp;"|"&amp;TEXT($G1972,"yyyy-mm-dd")&amp;"|"&amp;LEFT($J1972,40))</f>
        <v/>
      </c>
      <c r="Q1972" s="11" t="str">
        <f aca="false">IF(P1972="","",IF(COUNTIF($P$2:$P$3000,P1972)&gt;1,"DUPLICATE","OK"))</f>
        <v/>
      </c>
      <c r="R1972" s="0" t="str">
        <f aca="false">IF($C1972="","",IFERROR(VLOOKUP(--$C1972,MM_Income!$Z$5:$AC$204,3,FALSE()),""))</f>
        <v/>
      </c>
    </row>
    <row r="1973" customFormat="false" ht="13.5" hidden="false" customHeight="false" outlineLevel="0" collapsed="false">
      <c r="N1973" s="1" t="str">
        <f aca="false">IF(C1973="","",IFERROR(VLOOKUP(C1973,Master_Mappings!$A$4:$E$85,3,FALSE()),"UNMAPPED"))</f>
        <v/>
      </c>
      <c r="P1973" s="1" t="str">
        <f aca="false">IF($C1973="","",$C1973&amp;"|"&amp;$E1973&amp;"|"&amp;$M1973&amp;"|"&amp;TEXT($G1973,"yyyy-mm-dd")&amp;"|"&amp;LEFT($J1973,40))</f>
        <v/>
      </c>
      <c r="Q1973" s="11" t="str">
        <f aca="false">IF(P1973="","",IF(COUNTIF($P$2:$P$3000,P1973)&gt;1,"DUPLICATE","OK"))</f>
        <v/>
      </c>
      <c r="R1973" s="0" t="str">
        <f aca="false">IF($C1973="","",IFERROR(VLOOKUP(--$C1973,MM_Income!$Z$5:$AC$204,3,FALSE()),""))</f>
        <v/>
      </c>
    </row>
    <row r="1974" customFormat="false" ht="13.5" hidden="false" customHeight="false" outlineLevel="0" collapsed="false">
      <c r="N1974" s="1" t="str">
        <f aca="false">IF(C1974="","",IFERROR(VLOOKUP(C1974,Master_Mappings!$A$4:$E$85,3,FALSE()),"UNMAPPED"))</f>
        <v/>
      </c>
      <c r="P1974" s="1" t="str">
        <f aca="false">IF($C1974="","",$C1974&amp;"|"&amp;$E1974&amp;"|"&amp;$M1974&amp;"|"&amp;TEXT($G1974,"yyyy-mm-dd")&amp;"|"&amp;LEFT($J1974,40))</f>
        <v/>
      </c>
      <c r="Q1974" s="11" t="str">
        <f aca="false">IF(P1974="","",IF(COUNTIF($P$2:$P$3000,P1974)&gt;1,"DUPLICATE","OK"))</f>
        <v/>
      </c>
      <c r="R1974" s="0" t="str">
        <f aca="false">IF($C1974="","",IFERROR(VLOOKUP(--$C1974,MM_Income!$Z$5:$AC$204,3,FALSE()),""))</f>
        <v/>
      </c>
    </row>
    <row r="1975" customFormat="false" ht="13.5" hidden="false" customHeight="false" outlineLevel="0" collapsed="false">
      <c r="N1975" s="1" t="str">
        <f aca="false">IF(C1975="","",IFERROR(VLOOKUP(C1975,Master_Mappings!$A$4:$E$85,3,FALSE()),"UNMAPPED"))</f>
        <v/>
      </c>
      <c r="P1975" s="1" t="str">
        <f aca="false">IF($C1975="","",$C1975&amp;"|"&amp;$E1975&amp;"|"&amp;$M1975&amp;"|"&amp;TEXT($G1975,"yyyy-mm-dd")&amp;"|"&amp;LEFT($J1975,40))</f>
        <v/>
      </c>
      <c r="Q1975" s="11" t="str">
        <f aca="false">IF(P1975="","",IF(COUNTIF($P$2:$P$3000,P1975)&gt;1,"DUPLICATE","OK"))</f>
        <v/>
      </c>
      <c r="R1975" s="0" t="str">
        <f aca="false">IF($C1975="","",IFERROR(VLOOKUP(--$C1975,MM_Income!$Z$5:$AC$204,3,FALSE()),""))</f>
        <v/>
      </c>
    </row>
    <row r="1976" customFormat="false" ht="13.5" hidden="false" customHeight="false" outlineLevel="0" collapsed="false">
      <c r="N1976" s="1" t="str">
        <f aca="false">IF(C1976="","",IFERROR(VLOOKUP(C1976,Master_Mappings!$A$4:$E$85,3,FALSE()),"UNMAPPED"))</f>
        <v/>
      </c>
      <c r="P1976" s="1" t="str">
        <f aca="false">IF($C1976="","",$C1976&amp;"|"&amp;$E1976&amp;"|"&amp;$M1976&amp;"|"&amp;TEXT($G1976,"yyyy-mm-dd")&amp;"|"&amp;LEFT($J1976,40))</f>
        <v/>
      </c>
      <c r="Q1976" s="11" t="str">
        <f aca="false">IF(P1976="","",IF(COUNTIF($P$2:$P$3000,P1976)&gt;1,"DUPLICATE","OK"))</f>
        <v/>
      </c>
      <c r="R1976" s="0" t="str">
        <f aca="false">IF($C1976="","",IFERROR(VLOOKUP(--$C1976,MM_Income!$Z$5:$AC$204,3,FALSE()),""))</f>
        <v/>
      </c>
    </row>
    <row r="1977" customFormat="false" ht="13.5" hidden="false" customHeight="false" outlineLevel="0" collapsed="false">
      <c r="N1977" s="1" t="str">
        <f aca="false">IF(C1977="","",IFERROR(VLOOKUP(C1977,Master_Mappings!$A$4:$E$85,3,FALSE()),"UNMAPPED"))</f>
        <v/>
      </c>
      <c r="P1977" s="1" t="str">
        <f aca="false">IF($C1977="","",$C1977&amp;"|"&amp;$E1977&amp;"|"&amp;$M1977&amp;"|"&amp;TEXT($G1977,"yyyy-mm-dd")&amp;"|"&amp;LEFT($J1977,40))</f>
        <v/>
      </c>
      <c r="Q1977" s="11" t="str">
        <f aca="false">IF(P1977="","",IF(COUNTIF($P$2:$P$3000,P1977)&gt;1,"DUPLICATE","OK"))</f>
        <v/>
      </c>
      <c r="R1977" s="0" t="str">
        <f aca="false">IF($C1977="","",IFERROR(VLOOKUP(--$C1977,MM_Income!$Z$5:$AC$204,3,FALSE()),""))</f>
        <v/>
      </c>
    </row>
    <row r="1978" customFormat="false" ht="13.5" hidden="false" customHeight="false" outlineLevel="0" collapsed="false">
      <c r="N1978" s="1" t="str">
        <f aca="false">IF(C1978="","",IFERROR(VLOOKUP(C1978,Master_Mappings!$A$4:$E$85,3,FALSE()),"UNMAPPED"))</f>
        <v/>
      </c>
      <c r="P1978" s="1" t="str">
        <f aca="false">IF($C1978="","",$C1978&amp;"|"&amp;$E1978&amp;"|"&amp;$M1978&amp;"|"&amp;TEXT($G1978,"yyyy-mm-dd")&amp;"|"&amp;LEFT($J1978,40))</f>
        <v/>
      </c>
      <c r="Q1978" s="11" t="str">
        <f aca="false">IF(P1978="","",IF(COUNTIF($P$2:$P$3000,P1978)&gt;1,"DUPLICATE","OK"))</f>
        <v/>
      </c>
      <c r="R1978" s="0" t="str">
        <f aca="false">IF($C1978="","",IFERROR(VLOOKUP(--$C1978,MM_Income!$Z$5:$AC$204,3,FALSE()),""))</f>
        <v/>
      </c>
    </row>
    <row r="1979" customFormat="false" ht="13.5" hidden="false" customHeight="false" outlineLevel="0" collapsed="false">
      <c r="N1979" s="1" t="str">
        <f aca="false">IF(C1979="","",IFERROR(VLOOKUP(C1979,Master_Mappings!$A$4:$E$85,3,FALSE()),"UNMAPPED"))</f>
        <v/>
      </c>
      <c r="P1979" s="1" t="str">
        <f aca="false">IF($C1979="","",$C1979&amp;"|"&amp;$E1979&amp;"|"&amp;$M1979&amp;"|"&amp;TEXT($G1979,"yyyy-mm-dd")&amp;"|"&amp;LEFT($J1979,40))</f>
        <v/>
      </c>
      <c r="Q1979" s="11" t="str">
        <f aca="false">IF(P1979="","",IF(COUNTIF($P$2:$P$3000,P1979)&gt;1,"DUPLICATE","OK"))</f>
        <v/>
      </c>
      <c r="R1979" s="0" t="str">
        <f aca="false">IF($C1979="","",IFERROR(VLOOKUP(--$C1979,MM_Income!$Z$5:$AC$204,3,FALSE()),""))</f>
        <v/>
      </c>
    </row>
    <row r="1980" customFormat="false" ht="13.5" hidden="false" customHeight="false" outlineLevel="0" collapsed="false">
      <c r="N1980" s="1" t="str">
        <f aca="false">IF(C1980="","",IFERROR(VLOOKUP(C1980,Master_Mappings!$A$4:$E$85,3,FALSE()),"UNMAPPED"))</f>
        <v/>
      </c>
      <c r="P1980" s="1" t="str">
        <f aca="false">IF($C1980="","",$C1980&amp;"|"&amp;$E1980&amp;"|"&amp;$M1980&amp;"|"&amp;TEXT($G1980,"yyyy-mm-dd")&amp;"|"&amp;LEFT($J1980,40))</f>
        <v/>
      </c>
      <c r="Q1980" s="11" t="str">
        <f aca="false">IF(P1980="","",IF(COUNTIF($P$2:$P$3000,P1980)&gt;1,"DUPLICATE","OK"))</f>
        <v/>
      </c>
      <c r="R1980" s="0" t="str">
        <f aca="false">IF($C1980="","",IFERROR(VLOOKUP(--$C1980,MM_Income!$Z$5:$AC$204,3,FALSE()),""))</f>
        <v/>
      </c>
    </row>
    <row r="1981" customFormat="false" ht="13.5" hidden="false" customHeight="false" outlineLevel="0" collapsed="false">
      <c r="N1981" s="1" t="str">
        <f aca="false">IF(C1981="","",IFERROR(VLOOKUP(C1981,Master_Mappings!$A$4:$E$85,3,FALSE()),"UNMAPPED"))</f>
        <v/>
      </c>
      <c r="P1981" s="1" t="str">
        <f aca="false">IF($C1981="","",$C1981&amp;"|"&amp;$E1981&amp;"|"&amp;$M1981&amp;"|"&amp;TEXT($G1981,"yyyy-mm-dd")&amp;"|"&amp;LEFT($J1981,40))</f>
        <v/>
      </c>
      <c r="Q1981" s="11" t="str">
        <f aca="false">IF(P1981="","",IF(COUNTIF($P$2:$P$3000,P1981)&gt;1,"DUPLICATE","OK"))</f>
        <v/>
      </c>
      <c r="R1981" s="0" t="str">
        <f aca="false">IF($C1981="","",IFERROR(VLOOKUP(--$C1981,MM_Income!$Z$5:$AC$204,3,FALSE()),""))</f>
        <v/>
      </c>
    </row>
    <row r="1982" customFormat="false" ht="13.5" hidden="false" customHeight="false" outlineLevel="0" collapsed="false">
      <c r="N1982" s="1" t="str">
        <f aca="false">IF(C1982="","",IFERROR(VLOOKUP(C1982,Master_Mappings!$A$4:$E$85,3,FALSE()),"UNMAPPED"))</f>
        <v/>
      </c>
      <c r="P1982" s="1" t="str">
        <f aca="false">IF($C1982="","",$C1982&amp;"|"&amp;$E1982&amp;"|"&amp;$M1982&amp;"|"&amp;TEXT($G1982,"yyyy-mm-dd")&amp;"|"&amp;LEFT($J1982,40))</f>
        <v/>
      </c>
      <c r="Q1982" s="11" t="str">
        <f aca="false">IF(P1982="","",IF(COUNTIF($P$2:$P$3000,P1982)&gt;1,"DUPLICATE","OK"))</f>
        <v/>
      </c>
      <c r="R1982" s="0" t="str">
        <f aca="false">IF($C1982="","",IFERROR(VLOOKUP(--$C1982,MM_Income!$Z$5:$AC$204,3,FALSE()),""))</f>
        <v/>
      </c>
    </row>
    <row r="1983" customFormat="false" ht="13.5" hidden="false" customHeight="false" outlineLevel="0" collapsed="false">
      <c r="N1983" s="1" t="str">
        <f aca="false">IF(C1983="","",IFERROR(VLOOKUP(C1983,Master_Mappings!$A$4:$E$85,3,FALSE()),"UNMAPPED"))</f>
        <v/>
      </c>
      <c r="P1983" s="1" t="str">
        <f aca="false">IF($C1983="","",$C1983&amp;"|"&amp;$E1983&amp;"|"&amp;$M1983&amp;"|"&amp;TEXT($G1983,"yyyy-mm-dd")&amp;"|"&amp;LEFT($J1983,40))</f>
        <v/>
      </c>
      <c r="Q1983" s="11" t="str">
        <f aca="false">IF(P1983="","",IF(COUNTIF($P$2:$P$3000,P1983)&gt;1,"DUPLICATE","OK"))</f>
        <v/>
      </c>
      <c r="R1983" s="0" t="str">
        <f aca="false">IF($C1983="","",IFERROR(VLOOKUP(--$C1983,MM_Income!$Z$5:$AC$204,3,FALSE()),""))</f>
        <v/>
      </c>
    </row>
    <row r="1984" customFormat="false" ht="13.5" hidden="false" customHeight="false" outlineLevel="0" collapsed="false">
      <c r="N1984" s="1" t="str">
        <f aca="false">IF(C1984="","",IFERROR(VLOOKUP(C1984,Master_Mappings!$A$4:$E$85,3,FALSE()),"UNMAPPED"))</f>
        <v/>
      </c>
      <c r="P1984" s="1" t="str">
        <f aca="false">IF($C1984="","",$C1984&amp;"|"&amp;$E1984&amp;"|"&amp;$M1984&amp;"|"&amp;TEXT($G1984,"yyyy-mm-dd")&amp;"|"&amp;LEFT($J1984,40))</f>
        <v/>
      </c>
      <c r="Q1984" s="11" t="str">
        <f aca="false">IF(P1984="","",IF(COUNTIF($P$2:$P$3000,P1984)&gt;1,"DUPLICATE","OK"))</f>
        <v/>
      </c>
      <c r="R1984" s="0" t="str">
        <f aca="false">IF($C1984="","",IFERROR(VLOOKUP(--$C1984,MM_Income!$Z$5:$AC$204,3,FALSE()),""))</f>
        <v/>
      </c>
    </row>
    <row r="1985" customFormat="false" ht="13.5" hidden="false" customHeight="false" outlineLevel="0" collapsed="false">
      <c r="N1985" s="1" t="str">
        <f aca="false">IF(C1985="","",IFERROR(VLOOKUP(C1985,Master_Mappings!$A$4:$E$85,3,FALSE()),"UNMAPPED"))</f>
        <v/>
      </c>
      <c r="P1985" s="1" t="str">
        <f aca="false">IF($C1985="","",$C1985&amp;"|"&amp;$E1985&amp;"|"&amp;$M1985&amp;"|"&amp;TEXT($G1985,"yyyy-mm-dd")&amp;"|"&amp;LEFT($J1985,40))</f>
        <v/>
      </c>
      <c r="Q1985" s="11" t="str">
        <f aca="false">IF(P1985="","",IF(COUNTIF($P$2:$P$3000,P1985)&gt;1,"DUPLICATE","OK"))</f>
        <v/>
      </c>
      <c r="R1985" s="0" t="str">
        <f aca="false">IF($C1985="","",IFERROR(VLOOKUP(--$C1985,MM_Income!$Z$5:$AC$204,3,FALSE()),""))</f>
        <v/>
      </c>
    </row>
    <row r="1986" customFormat="false" ht="13.5" hidden="false" customHeight="false" outlineLevel="0" collapsed="false">
      <c r="N1986" s="1" t="str">
        <f aca="false">IF(C1986="","",IFERROR(VLOOKUP(C1986,Master_Mappings!$A$4:$E$85,3,FALSE()),"UNMAPPED"))</f>
        <v/>
      </c>
      <c r="P1986" s="1" t="str">
        <f aca="false">IF($C1986="","",$C1986&amp;"|"&amp;$E1986&amp;"|"&amp;$M1986&amp;"|"&amp;TEXT($G1986,"yyyy-mm-dd")&amp;"|"&amp;LEFT($J1986,40))</f>
        <v/>
      </c>
      <c r="Q1986" s="11" t="str">
        <f aca="false">IF(P1986="","",IF(COUNTIF($P$2:$P$3000,P1986)&gt;1,"DUPLICATE","OK"))</f>
        <v/>
      </c>
      <c r="R1986" s="0" t="str">
        <f aca="false">IF($C1986="","",IFERROR(VLOOKUP(--$C1986,MM_Income!$Z$5:$AC$204,3,FALSE()),""))</f>
        <v/>
      </c>
    </row>
    <row r="1987" customFormat="false" ht="13.5" hidden="false" customHeight="false" outlineLevel="0" collapsed="false">
      <c r="N1987" s="1" t="str">
        <f aca="false">IF(C1987="","",IFERROR(VLOOKUP(C1987,Master_Mappings!$A$4:$E$85,3,FALSE()),"UNMAPPED"))</f>
        <v/>
      </c>
      <c r="P1987" s="1" t="str">
        <f aca="false">IF($C1987="","",$C1987&amp;"|"&amp;$E1987&amp;"|"&amp;$M1987&amp;"|"&amp;TEXT($G1987,"yyyy-mm-dd")&amp;"|"&amp;LEFT($J1987,40))</f>
        <v/>
      </c>
      <c r="Q1987" s="11" t="str">
        <f aca="false">IF(P1987="","",IF(COUNTIF($P$2:$P$3000,P1987)&gt;1,"DUPLICATE","OK"))</f>
        <v/>
      </c>
      <c r="R1987" s="0" t="str">
        <f aca="false">IF($C1987="","",IFERROR(VLOOKUP(--$C1987,MM_Income!$Z$5:$AC$204,3,FALSE()),""))</f>
        <v/>
      </c>
    </row>
    <row r="1988" customFormat="false" ht="13.5" hidden="false" customHeight="false" outlineLevel="0" collapsed="false">
      <c r="N1988" s="1" t="str">
        <f aca="false">IF(C1988="","",IFERROR(VLOOKUP(C1988,Master_Mappings!$A$4:$E$85,3,FALSE()),"UNMAPPED"))</f>
        <v/>
      </c>
      <c r="P1988" s="1" t="str">
        <f aca="false">IF($C1988="","",$C1988&amp;"|"&amp;$E1988&amp;"|"&amp;$M1988&amp;"|"&amp;TEXT($G1988,"yyyy-mm-dd")&amp;"|"&amp;LEFT($J1988,40))</f>
        <v/>
      </c>
      <c r="Q1988" s="11" t="str">
        <f aca="false">IF(P1988="","",IF(COUNTIF($P$2:$P$3000,P1988)&gt;1,"DUPLICATE","OK"))</f>
        <v/>
      </c>
      <c r="R1988" s="0" t="str">
        <f aca="false">IF($C1988="","",IFERROR(VLOOKUP(--$C1988,MM_Income!$Z$5:$AC$204,3,FALSE()),""))</f>
        <v/>
      </c>
    </row>
    <row r="1989" customFormat="false" ht="13.5" hidden="false" customHeight="false" outlineLevel="0" collapsed="false">
      <c r="N1989" s="1" t="str">
        <f aca="false">IF(C1989="","",IFERROR(VLOOKUP(C1989,Master_Mappings!$A$4:$E$85,3,FALSE()),"UNMAPPED"))</f>
        <v/>
      </c>
      <c r="P1989" s="1" t="str">
        <f aca="false">IF($C1989="","",$C1989&amp;"|"&amp;$E1989&amp;"|"&amp;$M1989&amp;"|"&amp;TEXT($G1989,"yyyy-mm-dd")&amp;"|"&amp;LEFT($J1989,40))</f>
        <v/>
      </c>
      <c r="Q1989" s="11" t="str">
        <f aca="false">IF(P1989="","",IF(COUNTIF($P$2:$P$3000,P1989)&gt;1,"DUPLICATE","OK"))</f>
        <v/>
      </c>
      <c r="R1989" s="0" t="str">
        <f aca="false">IF($C1989="","",IFERROR(VLOOKUP(--$C1989,MM_Income!$Z$5:$AC$204,3,FALSE()),""))</f>
        <v/>
      </c>
    </row>
    <row r="1990" customFormat="false" ht="13.5" hidden="false" customHeight="false" outlineLevel="0" collapsed="false">
      <c r="N1990" s="1" t="str">
        <f aca="false">IF(C1990="","",IFERROR(VLOOKUP(C1990,Master_Mappings!$A$4:$E$85,3,FALSE()),"UNMAPPED"))</f>
        <v/>
      </c>
      <c r="P1990" s="1" t="str">
        <f aca="false">IF($C1990="","",$C1990&amp;"|"&amp;$E1990&amp;"|"&amp;$M1990&amp;"|"&amp;TEXT($G1990,"yyyy-mm-dd")&amp;"|"&amp;LEFT($J1990,40))</f>
        <v/>
      </c>
      <c r="Q1990" s="11" t="str">
        <f aca="false">IF(P1990="","",IF(COUNTIF($P$2:$P$3000,P1990)&gt;1,"DUPLICATE","OK"))</f>
        <v/>
      </c>
      <c r="R1990" s="0" t="str">
        <f aca="false">IF($C1990="","",IFERROR(VLOOKUP(--$C1990,MM_Income!$Z$5:$AC$204,3,FALSE()),""))</f>
        <v/>
      </c>
    </row>
    <row r="1991" customFormat="false" ht="13.5" hidden="false" customHeight="false" outlineLevel="0" collapsed="false">
      <c r="N1991" s="1" t="str">
        <f aca="false">IF(C1991="","",IFERROR(VLOOKUP(C1991,Master_Mappings!$A$4:$E$85,3,FALSE()),"UNMAPPED"))</f>
        <v/>
      </c>
      <c r="P1991" s="1" t="str">
        <f aca="false">IF($C1991="","",$C1991&amp;"|"&amp;$E1991&amp;"|"&amp;$M1991&amp;"|"&amp;TEXT($G1991,"yyyy-mm-dd")&amp;"|"&amp;LEFT($J1991,40))</f>
        <v/>
      </c>
      <c r="Q1991" s="11" t="str">
        <f aca="false">IF(P1991="","",IF(COUNTIF($P$2:$P$3000,P1991)&gt;1,"DUPLICATE","OK"))</f>
        <v/>
      </c>
      <c r="R1991" s="0" t="str">
        <f aca="false">IF($C1991="","",IFERROR(VLOOKUP(--$C1991,MM_Income!$Z$5:$AC$204,3,FALSE()),""))</f>
        <v/>
      </c>
    </row>
    <row r="1992" customFormat="false" ht="13.5" hidden="false" customHeight="false" outlineLevel="0" collapsed="false">
      <c r="N1992" s="1" t="str">
        <f aca="false">IF(C1992="","",IFERROR(VLOOKUP(C1992,Master_Mappings!$A$4:$E$85,3,FALSE()),"UNMAPPED"))</f>
        <v/>
      </c>
      <c r="P1992" s="1" t="str">
        <f aca="false">IF($C1992="","",$C1992&amp;"|"&amp;$E1992&amp;"|"&amp;$M1992&amp;"|"&amp;TEXT($G1992,"yyyy-mm-dd")&amp;"|"&amp;LEFT($J1992,40))</f>
        <v/>
      </c>
      <c r="Q1992" s="11" t="str">
        <f aca="false">IF(P1992="","",IF(COUNTIF($P$2:$P$3000,P1992)&gt;1,"DUPLICATE","OK"))</f>
        <v/>
      </c>
      <c r="R1992" s="0" t="str">
        <f aca="false">IF($C1992="","",IFERROR(VLOOKUP(--$C1992,MM_Income!$Z$5:$AC$204,3,FALSE()),""))</f>
        <v/>
      </c>
    </row>
    <row r="1993" customFormat="false" ht="13.5" hidden="false" customHeight="false" outlineLevel="0" collapsed="false">
      <c r="N1993" s="1" t="str">
        <f aca="false">IF(C1993="","",IFERROR(VLOOKUP(C1993,Master_Mappings!$A$4:$E$85,3,FALSE()),"UNMAPPED"))</f>
        <v/>
      </c>
      <c r="P1993" s="1" t="str">
        <f aca="false">IF($C1993="","",$C1993&amp;"|"&amp;$E1993&amp;"|"&amp;$M1993&amp;"|"&amp;TEXT($G1993,"yyyy-mm-dd")&amp;"|"&amp;LEFT($J1993,40))</f>
        <v/>
      </c>
      <c r="Q1993" s="11" t="str">
        <f aca="false">IF(P1993="","",IF(COUNTIF($P$2:$P$3000,P1993)&gt;1,"DUPLICATE","OK"))</f>
        <v/>
      </c>
      <c r="R1993" s="0" t="str">
        <f aca="false">IF($C1993="","",IFERROR(VLOOKUP(--$C1993,MM_Income!$Z$5:$AC$204,3,FALSE()),""))</f>
        <v/>
      </c>
    </row>
    <row r="1994" customFormat="false" ht="13.5" hidden="false" customHeight="false" outlineLevel="0" collapsed="false">
      <c r="N1994" s="1" t="str">
        <f aca="false">IF(C1994="","",IFERROR(VLOOKUP(C1994,Master_Mappings!$A$4:$E$85,3,FALSE()),"UNMAPPED"))</f>
        <v/>
      </c>
      <c r="P1994" s="1" t="str">
        <f aca="false">IF($C1994="","",$C1994&amp;"|"&amp;$E1994&amp;"|"&amp;$M1994&amp;"|"&amp;TEXT($G1994,"yyyy-mm-dd")&amp;"|"&amp;LEFT($J1994,40))</f>
        <v/>
      </c>
      <c r="Q1994" s="11" t="str">
        <f aca="false">IF(P1994="","",IF(COUNTIF($P$2:$P$3000,P1994)&gt;1,"DUPLICATE","OK"))</f>
        <v/>
      </c>
      <c r="R1994" s="0" t="str">
        <f aca="false">IF($C1994="","",IFERROR(VLOOKUP(--$C1994,MM_Income!$Z$5:$AC$204,3,FALSE()),""))</f>
        <v/>
      </c>
    </row>
    <row r="1995" customFormat="false" ht="13.5" hidden="false" customHeight="false" outlineLevel="0" collapsed="false">
      <c r="N1995" s="1" t="str">
        <f aca="false">IF(C1995="","",IFERROR(VLOOKUP(C1995,Master_Mappings!$A$4:$E$85,3,FALSE()),"UNMAPPED"))</f>
        <v/>
      </c>
      <c r="P1995" s="1" t="str">
        <f aca="false">IF($C1995="","",$C1995&amp;"|"&amp;$E1995&amp;"|"&amp;$M1995&amp;"|"&amp;TEXT($G1995,"yyyy-mm-dd")&amp;"|"&amp;LEFT($J1995,40))</f>
        <v/>
      </c>
      <c r="Q1995" s="11" t="str">
        <f aca="false">IF(P1995="","",IF(COUNTIF($P$2:$P$3000,P1995)&gt;1,"DUPLICATE","OK"))</f>
        <v/>
      </c>
      <c r="R1995" s="0" t="str">
        <f aca="false">IF($C1995="","",IFERROR(VLOOKUP(--$C1995,MM_Income!$Z$5:$AC$204,3,FALSE()),""))</f>
        <v/>
      </c>
    </row>
    <row r="1996" customFormat="false" ht="13.5" hidden="false" customHeight="false" outlineLevel="0" collapsed="false">
      <c r="N1996" s="1" t="str">
        <f aca="false">IF(C1996="","",IFERROR(VLOOKUP(C1996,Master_Mappings!$A$4:$E$85,3,FALSE()),"UNMAPPED"))</f>
        <v/>
      </c>
      <c r="P1996" s="1" t="str">
        <f aca="false">IF($C1996="","",$C1996&amp;"|"&amp;$E1996&amp;"|"&amp;$M1996&amp;"|"&amp;TEXT($G1996,"yyyy-mm-dd")&amp;"|"&amp;LEFT($J1996,40))</f>
        <v/>
      </c>
      <c r="Q1996" s="11" t="str">
        <f aca="false">IF(P1996="","",IF(COUNTIF($P$2:$P$3000,P1996)&gt;1,"DUPLICATE","OK"))</f>
        <v/>
      </c>
      <c r="R1996" s="0" t="str">
        <f aca="false">IF($C1996="","",IFERROR(VLOOKUP(--$C1996,MM_Income!$Z$5:$AC$204,3,FALSE()),""))</f>
        <v/>
      </c>
    </row>
    <row r="1997" customFormat="false" ht="13.5" hidden="false" customHeight="false" outlineLevel="0" collapsed="false">
      <c r="N1997" s="1" t="str">
        <f aca="false">IF(C1997="","",IFERROR(VLOOKUP(C1997,Master_Mappings!$A$4:$E$85,3,FALSE()),"UNMAPPED"))</f>
        <v/>
      </c>
      <c r="P1997" s="1" t="str">
        <f aca="false">IF($C1997="","",$C1997&amp;"|"&amp;$E1997&amp;"|"&amp;$M1997&amp;"|"&amp;TEXT($G1997,"yyyy-mm-dd")&amp;"|"&amp;LEFT($J1997,40))</f>
        <v/>
      </c>
      <c r="Q1997" s="11" t="str">
        <f aca="false">IF(P1997="","",IF(COUNTIF($P$2:$P$3000,P1997)&gt;1,"DUPLICATE","OK"))</f>
        <v/>
      </c>
      <c r="R1997" s="0" t="str">
        <f aca="false">IF($C1997="","",IFERROR(VLOOKUP(--$C1997,MM_Income!$Z$5:$AC$204,3,FALSE()),""))</f>
        <v/>
      </c>
    </row>
    <row r="1998" customFormat="false" ht="13.5" hidden="false" customHeight="false" outlineLevel="0" collapsed="false">
      <c r="N1998" s="1" t="str">
        <f aca="false">IF(C1998="","",IFERROR(VLOOKUP(C1998,Master_Mappings!$A$4:$E$85,3,FALSE()),"UNMAPPED"))</f>
        <v/>
      </c>
      <c r="P1998" s="1" t="str">
        <f aca="false">IF($C1998="","",$C1998&amp;"|"&amp;$E1998&amp;"|"&amp;$M1998&amp;"|"&amp;TEXT($G1998,"yyyy-mm-dd")&amp;"|"&amp;LEFT($J1998,40))</f>
        <v/>
      </c>
      <c r="Q1998" s="11" t="str">
        <f aca="false">IF(P1998="","",IF(COUNTIF($P$2:$P$3000,P1998)&gt;1,"DUPLICATE","OK"))</f>
        <v/>
      </c>
      <c r="R1998" s="0" t="str">
        <f aca="false">IF($C1998="","",IFERROR(VLOOKUP(--$C1998,MM_Income!$Z$5:$AC$204,3,FALSE()),""))</f>
        <v/>
      </c>
    </row>
    <row r="1999" customFormat="false" ht="13.5" hidden="false" customHeight="false" outlineLevel="0" collapsed="false">
      <c r="N1999" s="1" t="str">
        <f aca="false">IF(C1999="","",IFERROR(VLOOKUP(C1999,Master_Mappings!$A$4:$E$85,3,FALSE()),"UNMAPPED"))</f>
        <v/>
      </c>
      <c r="P1999" s="1" t="str">
        <f aca="false">IF($C1999="","",$C1999&amp;"|"&amp;$E1999&amp;"|"&amp;$M1999&amp;"|"&amp;TEXT($G1999,"yyyy-mm-dd")&amp;"|"&amp;LEFT($J1999,40))</f>
        <v/>
      </c>
      <c r="Q1999" s="11" t="str">
        <f aca="false">IF(P1999="","",IF(COUNTIF($P$2:$P$3000,P1999)&gt;1,"DUPLICATE","OK"))</f>
        <v/>
      </c>
      <c r="R1999" s="0" t="str">
        <f aca="false">IF($C1999="","",IFERROR(VLOOKUP(--$C1999,MM_Income!$Z$5:$AC$204,3,FALSE()),""))</f>
        <v/>
      </c>
    </row>
    <row r="2000" customFormat="false" ht="13.5" hidden="false" customHeight="false" outlineLevel="0" collapsed="false">
      <c r="N2000" s="1" t="str">
        <f aca="false">IF(C2000="","",IFERROR(VLOOKUP(C2000,Master_Mappings!$A$4:$E$85,3,FALSE()),"UNMAPPED"))</f>
        <v/>
      </c>
      <c r="P2000" s="1" t="str">
        <f aca="false">IF($C2000="","",$C2000&amp;"|"&amp;$E2000&amp;"|"&amp;$M2000&amp;"|"&amp;TEXT($G2000,"yyyy-mm-dd")&amp;"|"&amp;LEFT($J2000,40))</f>
        <v/>
      </c>
      <c r="Q2000" s="11" t="str">
        <f aca="false">IF(P2000="","",IF(COUNTIF($P$2:$P$3000,P2000)&gt;1,"DUPLICATE","OK"))</f>
        <v/>
      </c>
      <c r="R2000" s="0" t="str">
        <f aca="false">IF($C2000="","",IFERROR(VLOOKUP(--$C2000,MM_Income!$Z$5:$AC$204,3,FALSE()),""))</f>
        <v/>
      </c>
    </row>
    <row r="2001" customFormat="false" ht="13.5" hidden="false" customHeight="false" outlineLevel="0" collapsed="false">
      <c r="N2001" s="1" t="str">
        <f aca="false">IF(C2001="","",IFERROR(VLOOKUP(C2001,Master_Mappings!$A$4:$E$85,3,FALSE()),"UNMAPPED"))</f>
        <v/>
      </c>
      <c r="P2001" s="1" t="str">
        <f aca="false">IF($C2001="","",$C2001&amp;"|"&amp;$E2001&amp;"|"&amp;$M2001&amp;"|"&amp;TEXT($G2001,"yyyy-mm-dd")&amp;"|"&amp;LEFT($J2001,40))</f>
        <v/>
      </c>
      <c r="Q2001" s="11" t="str">
        <f aca="false">IF(P2001="","",IF(COUNTIF($P$2:$P$3000,P2001)&gt;1,"DUPLICATE","OK"))</f>
        <v/>
      </c>
      <c r="R2001" s="0" t="str">
        <f aca="false">IF($C2001="","",IFERROR(VLOOKUP(--$C2001,MM_Income!$Z$5:$AC$204,3,FALSE()),""))</f>
        <v/>
      </c>
    </row>
    <row r="2002" customFormat="false" ht="13.5" hidden="false" customHeight="false" outlineLevel="0" collapsed="false">
      <c r="N2002" s="1" t="str">
        <f aca="false">IF(C2002="","",IFERROR(VLOOKUP(C2002,Master_Mappings!$A$4:$E$85,3,FALSE()),"UNMAPPED"))</f>
        <v/>
      </c>
      <c r="P2002" s="1" t="str">
        <f aca="false">IF($C2002="","",$C2002&amp;"|"&amp;$E2002&amp;"|"&amp;$M2002&amp;"|"&amp;TEXT($G2002,"yyyy-mm-dd")&amp;"|"&amp;LEFT($J2002,40))</f>
        <v/>
      </c>
      <c r="Q2002" s="11" t="str">
        <f aca="false">IF(P2002="","",IF(COUNTIF($P$2:$P$3000,P2002)&gt;1,"DUPLICATE","OK"))</f>
        <v/>
      </c>
      <c r="R2002" s="0" t="str">
        <f aca="false">IF($C2002="","",IFERROR(VLOOKUP(--$C2002,MM_Income!$Z$5:$AC$204,3,FALSE()),""))</f>
        <v/>
      </c>
    </row>
    <row r="2003" customFormat="false" ht="13.5" hidden="false" customHeight="false" outlineLevel="0" collapsed="false">
      <c r="N2003" s="1" t="str">
        <f aca="false">IF(C2003="","",IFERROR(VLOOKUP(C2003,Master_Mappings!$A$4:$E$85,3,FALSE()),"UNMAPPED"))</f>
        <v/>
      </c>
      <c r="P2003" s="1" t="str">
        <f aca="false">IF($C2003="","",$C2003&amp;"|"&amp;$E2003&amp;"|"&amp;$M2003&amp;"|"&amp;TEXT($G2003,"yyyy-mm-dd")&amp;"|"&amp;LEFT($J2003,40))</f>
        <v/>
      </c>
      <c r="Q2003" s="11" t="str">
        <f aca="false">IF(P2003="","",IF(COUNTIF($P$2:$P$3000,P2003)&gt;1,"DUPLICATE","OK"))</f>
        <v/>
      </c>
      <c r="R2003" s="0" t="str">
        <f aca="false">IF($C2003="","",IFERROR(VLOOKUP(--$C2003,MM_Income!$Z$5:$AC$204,3,FALSE()),""))</f>
        <v/>
      </c>
    </row>
    <row r="2004" customFormat="false" ht="13.5" hidden="false" customHeight="false" outlineLevel="0" collapsed="false">
      <c r="N2004" s="1" t="str">
        <f aca="false">IF(C2004="","",IFERROR(VLOOKUP(C2004,Master_Mappings!$A$4:$E$85,3,FALSE()),"UNMAPPED"))</f>
        <v/>
      </c>
      <c r="P2004" s="1" t="str">
        <f aca="false">IF($C2004="","",$C2004&amp;"|"&amp;$E2004&amp;"|"&amp;$M2004&amp;"|"&amp;TEXT($G2004,"yyyy-mm-dd")&amp;"|"&amp;LEFT($J2004,40))</f>
        <v/>
      </c>
      <c r="Q2004" s="11" t="str">
        <f aca="false">IF(P2004="","",IF(COUNTIF($P$2:$P$3000,P2004)&gt;1,"DUPLICATE","OK"))</f>
        <v/>
      </c>
      <c r="R2004" s="0" t="str">
        <f aca="false">IF($C2004="","",IFERROR(VLOOKUP(--$C2004,MM_Income!$Z$5:$AC$204,3,FALSE()),""))</f>
        <v/>
      </c>
    </row>
    <row r="2005" customFormat="false" ht="13.5" hidden="false" customHeight="false" outlineLevel="0" collapsed="false">
      <c r="N2005" s="1" t="str">
        <f aca="false">IF(C2005="","",IFERROR(VLOOKUP(C2005,Master_Mappings!$A$4:$E$85,3,FALSE()),"UNMAPPED"))</f>
        <v/>
      </c>
      <c r="P2005" s="1" t="str">
        <f aca="false">IF($C2005="","",$C2005&amp;"|"&amp;$E2005&amp;"|"&amp;$M2005&amp;"|"&amp;TEXT($G2005,"yyyy-mm-dd")&amp;"|"&amp;LEFT($J2005,40))</f>
        <v/>
      </c>
      <c r="Q2005" s="11" t="str">
        <f aca="false">IF(P2005="","",IF(COUNTIF($P$2:$P$3000,P2005)&gt;1,"DUPLICATE","OK"))</f>
        <v/>
      </c>
      <c r="R2005" s="0" t="str">
        <f aca="false">IF($C2005="","",IFERROR(VLOOKUP(--$C2005,MM_Income!$Z$5:$AC$204,3,FALSE()),""))</f>
        <v/>
      </c>
    </row>
    <row r="2006" customFormat="false" ht="13.5" hidden="false" customHeight="false" outlineLevel="0" collapsed="false">
      <c r="N2006" s="1" t="str">
        <f aca="false">IF(C2006="","",IFERROR(VLOOKUP(C2006,Master_Mappings!$A$4:$E$85,3,FALSE()),"UNMAPPED"))</f>
        <v/>
      </c>
      <c r="P2006" s="1" t="str">
        <f aca="false">IF($C2006="","",$C2006&amp;"|"&amp;$E2006&amp;"|"&amp;$M2006&amp;"|"&amp;TEXT($G2006,"yyyy-mm-dd")&amp;"|"&amp;LEFT($J2006,40))</f>
        <v/>
      </c>
      <c r="Q2006" s="11" t="str">
        <f aca="false">IF(P2006="","",IF(COUNTIF($P$2:$P$3000,P2006)&gt;1,"DUPLICATE","OK"))</f>
        <v/>
      </c>
      <c r="R2006" s="0" t="str">
        <f aca="false">IF($C2006="","",IFERROR(VLOOKUP(--$C2006,MM_Income!$Z$5:$AC$204,3,FALSE()),""))</f>
        <v/>
      </c>
    </row>
    <row r="2007" customFormat="false" ht="13.5" hidden="false" customHeight="false" outlineLevel="0" collapsed="false">
      <c r="N2007" s="1" t="str">
        <f aca="false">IF(C2007="","",IFERROR(VLOOKUP(C2007,Master_Mappings!$A$4:$E$85,3,FALSE()),"UNMAPPED"))</f>
        <v/>
      </c>
      <c r="P2007" s="1" t="str">
        <f aca="false">IF($C2007="","",$C2007&amp;"|"&amp;$E2007&amp;"|"&amp;$M2007&amp;"|"&amp;TEXT($G2007,"yyyy-mm-dd")&amp;"|"&amp;LEFT($J2007,40))</f>
        <v/>
      </c>
      <c r="Q2007" s="11" t="str">
        <f aca="false">IF(P2007="","",IF(COUNTIF($P$2:$P$3000,P2007)&gt;1,"DUPLICATE","OK"))</f>
        <v/>
      </c>
      <c r="R2007" s="0" t="str">
        <f aca="false">IF($C2007="","",IFERROR(VLOOKUP(--$C2007,MM_Income!$Z$5:$AC$204,3,FALSE()),""))</f>
        <v/>
      </c>
    </row>
    <row r="2008" customFormat="false" ht="13.5" hidden="false" customHeight="false" outlineLevel="0" collapsed="false">
      <c r="N2008" s="1" t="str">
        <f aca="false">IF(C2008="","",IFERROR(VLOOKUP(C2008,Master_Mappings!$A$4:$E$85,3,FALSE()),"UNMAPPED"))</f>
        <v/>
      </c>
      <c r="P2008" s="1" t="str">
        <f aca="false">IF($C2008="","",$C2008&amp;"|"&amp;$E2008&amp;"|"&amp;$M2008&amp;"|"&amp;TEXT($G2008,"yyyy-mm-dd")&amp;"|"&amp;LEFT($J2008,40))</f>
        <v/>
      </c>
      <c r="Q2008" s="11" t="str">
        <f aca="false">IF(P2008="","",IF(COUNTIF($P$2:$P$3000,P2008)&gt;1,"DUPLICATE","OK"))</f>
        <v/>
      </c>
      <c r="R2008" s="0" t="str">
        <f aca="false">IF($C2008="","",IFERROR(VLOOKUP(--$C2008,MM_Income!$Z$5:$AC$204,3,FALSE()),""))</f>
        <v/>
      </c>
    </row>
    <row r="2009" customFormat="false" ht="13.5" hidden="false" customHeight="false" outlineLevel="0" collapsed="false">
      <c r="N2009" s="1" t="str">
        <f aca="false">IF(C2009="","",IFERROR(VLOOKUP(C2009,Master_Mappings!$A$4:$E$85,3,FALSE()),"UNMAPPED"))</f>
        <v/>
      </c>
      <c r="P2009" s="1" t="str">
        <f aca="false">IF($C2009="","",$C2009&amp;"|"&amp;$E2009&amp;"|"&amp;$M2009&amp;"|"&amp;TEXT($G2009,"yyyy-mm-dd")&amp;"|"&amp;LEFT($J2009,40))</f>
        <v/>
      </c>
      <c r="Q2009" s="11" t="str">
        <f aca="false">IF(P2009="","",IF(COUNTIF($P$2:$P$3000,P2009)&gt;1,"DUPLICATE","OK"))</f>
        <v/>
      </c>
      <c r="R2009" s="0" t="str">
        <f aca="false">IF($C2009="","",IFERROR(VLOOKUP(--$C2009,MM_Income!$Z$5:$AC$204,3,FALSE()),""))</f>
        <v/>
      </c>
    </row>
    <row r="2010" customFormat="false" ht="13.5" hidden="false" customHeight="false" outlineLevel="0" collapsed="false">
      <c r="N2010" s="1" t="str">
        <f aca="false">IF(C2010="","",IFERROR(VLOOKUP(C2010,Master_Mappings!$A$4:$E$85,3,FALSE()),"UNMAPPED"))</f>
        <v/>
      </c>
      <c r="P2010" s="1" t="str">
        <f aca="false">IF($C2010="","",$C2010&amp;"|"&amp;$E2010&amp;"|"&amp;$M2010&amp;"|"&amp;TEXT($G2010,"yyyy-mm-dd")&amp;"|"&amp;LEFT($J2010,40))</f>
        <v/>
      </c>
      <c r="Q2010" s="11" t="str">
        <f aca="false">IF(P2010="","",IF(COUNTIF($P$2:$P$3000,P2010)&gt;1,"DUPLICATE","OK"))</f>
        <v/>
      </c>
      <c r="R2010" s="0" t="str">
        <f aca="false">IF($C2010="","",IFERROR(VLOOKUP(--$C2010,MM_Income!$Z$5:$AC$204,3,FALSE()),""))</f>
        <v/>
      </c>
    </row>
    <row r="2011" customFormat="false" ht="13.5" hidden="false" customHeight="false" outlineLevel="0" collapsed="false">
      <c r="N2011" s="1" t="str">
        <f aca="false">IF(C2011="","",IFERROR(VLOOKUP(C2011,Master_Mappings!$A$4:$E$85,3,FALSE()),"UNMAPPED"))</f>
        <v/>
      </c>
      <c r="P2011" s="1" t="str">
        <f aca="false">IF($C2011="","",$C2011&amp;"|"&amp;$E2011&amp;"|"&amp;$M2011&amp;"|"&amp;TEXT($G2011,"yyyy-mm-dd")&amp;"|"&amp;LEFT($J2011,40))</f>
        <v/>
      </c>
      <c r="Q2011" s="11" t="str">
        <f aca="false">IF(P2011="","",IF(COUNTIF($P$2:$P$3000,P2011)&gt;1,"DUPLICATE","OK"))</f>
        <v/>
      </c>
      <c r="R2011" s="0" t="str">
        <f aca="false">IF($C2011="","",IFERROR(VLOOKUP(--$C2011,MM_Income!$Z$5:$AC$204,3,FALSE()),""))</f>
        <v/>
      </c>
    </row>
    <row r="2012" customFormat="false" ht="13.5" hidden="false" customHeight="false" outlineLevel="0" collapsed="false">
      <c r="N2012" s="1" t="str">
        <f aca="false">IF(C2012="","",IFERROR(VLOOKUP(C2012,Master_Mappings!$A$4:$E$85,3,FALSE()),"UNMAPPED"))</f>
        <v/>
      </c>
      <c r="P2012" s="1" t="str">
        <f aca="false">IF($C2012="","",$C2012&amp;"|"&amp;$E2012&amp;"|"&amp;$M2012&amp;"|"&amp;TEXT($G2012,"yyyy-mm-dd")&amp;"|"&amp;LEFT($J2012,40))</f>
        <v/>
      </c>
      <c r="Q2012" s="11" t="str">
        <f aca="false">IF(P2012="","",IF(COUNTIF($P$2:$P$3000,P2012)&gt;1,"DUPLICATE","OK"))</f>
        <v/>
      </c>
      <c r="R2012" s="0" t="str">
        <f aca="false">IF($C2012="","",IFERROR(VLOOKUP(--$C2012,MM_Income!$Z$5:$AC$204,3,FALSE()),""))</f>
        <v/>
      </c>
    </row>
    <row r="2013" customFormat="false" ht="13.5" hidden="false" customHeight="false" outlineLevel="0" collapsed="false">
      <c r="N2013" s="1" t="str">
        <f aca="false">IF(C2013="","",IFERROR(VLOOKUP(C2013,Master_Mappings!$A$4:$E$85,3,FALSE()),"UNMAPPED"))</f>
        <v/>
      </c>
      <c r="P2013" s="1" t="str">
        <f aca="false">IF($C2013="","",$C2013&amp;"|"&amp;$E2013&amp;"|"&amp;$M2013&amp;"|"&amp;TEXT($G2013,"yyyy-mm-dd")&amp;"|"&amp;LEFT($J2013,40))</f>
        <v/>
      </c>
      <c r="Q2013" s="11" t="str">
        <f aca="false">IF(P2013="","",IF(COUNTIF($P$2:$P$3000,P2013)&gt;1,"DUPLICATE","OK"))</f>
        <v/>
      </c>
      <c r="R2013" s="0" t="str">
        <f aca="false">IF($C2013="","",IFERROR(VLOOKUP(--$C2013,MM_Income!$Z$5:$AC$204,3,FALSE()),""))</f>
        <v/>
      </c>
    </row>
    <row r="2014" customFormat="false" ht="13.5" hidden="false" customHeight="false" outlineLevel="0" collapsed="false">
      <c r="N2014" s="1" t="str">
        <f aca="false">IF(C2014="","",IFERROR(VLOOKUP(C2014,Master_Mappings!$A$4:$E$85,3,FALSE()),"UNMAPPED"))</f>
        <v/>
      </c>
      <c r="P2014" s="1" t="str">
        <f aca="false">IF($C2014="","",$C2014&amp;"|"&amp;$E2014&amp;"|"&amp;$M2014&amp;"|"&amp;TEXT($G2014,"yyyy-mm-dd")&amp;"|"&amp;LEFT($J2014,40))</f>
        <v/>
      </c>
      <c r="Q2014" s="11" t="str">
        <f aca="false">IF(P2014="","",IF(COUNTIF($P$2:$P$3000,P2014)&gt;1,"DUPLICATE","OK"))</f>
        <v/>
      </c>
      <c r="R2014" s="0" t="str">
        <f aca="false">IF($C2014="","",IFERROR(VLOOKUP(--$C2014,MM_Income!$Z$5:$AC$204,3,FALSE()),""))</f>
        <v/>
      </c>
    </row>
    <row r="2015" customFormat="false" ht="13.5" hidden="false" customHeight="false" outlineLevel="0" collapsed="false">
      <c r="N2015" s="1" t="str">
        <f aca="false">IF(C2015="","",IFERROR(VLOOKUP(C2015,Master_Mappings!$A$4:$E$85,3,FALSE()),"UNMAPPED"))</f>
        <v/>
      </c>
      <c r="P2015" s="1" t="str">
        <f aca="false">IF($C2015="","",$C2015&amp;"|"&amp;$E2015&amp;"|"&amp;$M2015&amp;"|"&amp;TEXT($G2015,"yyyy-mm-dd")&amp;"|"&amp;LEFT($J2015,40))</f>
        <v/>
      </c>
      <c r="Q2015" s="11" t="str">
        <f aca="false">IF(P2015="","",IF(COUNTIF($P$2:$P$3000,P2015)&gt;1,"DUPLICATE","OK"))</f>
        <v/>
      </c>
      <c r="R2015" s="0" t="str">
        <f aca="false">IF($C2015="","",IFERROR(VLOOKUP(--$C2015,MM_Income!$Z$5:$AC$204,3,FALSE()),""))</f>
        <v/>
      </c>
    </row>
    <row r="2016" customFormat="false" ht="13.5" hidden="false" customHeight="false" outlineLevel="0" collapsed="false">
      <c r="N2016" s="1" t="str">
        <f aca="false">IF(C2016="","",IFERROR(VLOOKUP(C2016,Master_Mappings!$A$4:$E$85,3,FALSE()),"UNMAPPED"))</f>
        <v/>
      </c>
      <c r="P2016" s="1" t="str">
        <f aca="false">IF($C2016="","",$C2016&amp;"|"&amp;$E2016&amp;"|"&amp;$M2016&amp;"|"&amp;TEXT($G2016,"yyyy-mm-dd")&amp;"|"&amp;LEFT($J2016,40))</f>
        <v/>
      </c>
      <c r="Q2016" s="11" t="str">
        <f aca="false">IF(P2016="","",IF(COUNTIF($P$2:$P$3000,P2016)&gt;1,"DUPLICATE","OK"))</f>
        <v/>
      </c>
      <c r="R2016" s="0" t="str">
        <f aca="false">IF($C2016="","",IFERROR(VLOOKUP(--$C2016,MM_Income!$Z$5:$AC$204,3,FALSE()),""))</f>
        <v/>
      </c>
    </row>
    <row r="2017" customFormat="false" ht="13.5" hidden="false" customHeight="false" outlineLevel="0" collapsed="false">
      <c r="N2017" s="1" t="str">
        <f aca="false">IF(C2017="","",IFERROR(VLOOKUP(C2017,Master_Mappings!$A$4:$E$85,3,FALSE()),"UNMAPPED"))</f>
        <v/>
      </c>
      <c r="P2017" s="1" t="str">
        <f aca="false">IF($C2017="","",$C2017&amp;"|"&amp;$E2017&amp;"|"&amp;$M2017&amp;"|"&amp;TEXT($G2017,"yyyy-mm-dd")&amp;"|"&amp;LEFT($J2017,40))</f>
        <v/>
      </c>
      <c r="Q2017" s="11" t="str">
        <f aca="false">IF(P2017="","",IF(COUNTIF($P$2:$P$3000,P2017)&gt;1,"DUPLICATE","OK"))</f>
        <v/>
      </c>
      <c r="R2017" s="0" t="str">
        <f aca="false">IF($C2017="","",IFERROR(VLOOKUP(--$C2017,MM_Income!$Z$5:$AC$204,3,FALSE()),""))</f>
        <v/>
      </c>
    </row>
    <row r="2018" customFormat="false" ht="13.5" hidden="false" customHeight="false" outlineLevel="0" collapsed="false">
      <c r="N2018" s="1" t="str">
        <f aca="false">IF(C2018="","",IFERROR(VLOOKUP(C2018,Master_Mappings!$A$4:$E$85,3,FALSE()),"UNMAPPED"))</f>
        <v/>
      </c>
      <c r="P2018" s="1" t="str">
        <f aca="false">IF($C2018="","",$C2018&amp;"|"&amp;$E2018&amp;"|"&amp;$M2018&amp;"|"&amp;TEXT($G2018,"yyyy-mm-dd")&amp;"|"&amp;LEFT($J2018,40))</f>
        <v/>
      </c>
      <c r="Q2018" s="11" t="str">
        <f aca="false">IF(P2018="","",IF(COUNTIF($P$2:$P$3000,P2018)&gt;1,"DUPLICATE","OK"))</f>
        <v/>
      </c>
      <c r="R2018" s="0" t="str">
        <f aca="false">IF($C2018="","",IFERROR(VLOOKUP(--$C2018,MM_Income!$Z$5:$AC$204,3,FALSE()),""))</f>
        <v/>
      </c>
    </row>
    <row r="2019" customFormat="false" ht="13.5" hidden="false" customHeight="false" outlineLevel="0" collapsed="false">
      <c r="N2019" s="1" t="str">
        <f aca="false">IF(C2019="","",IFERROR(VLOOKUP(C2019,Master_Mappings!$A$4:$E$85,3,FALSE()),"UNMAPPED"))</f>
        <v/>
      </c>
      <c r="P2019" s="1" t="str">
        <f aca="false">IF($C2019="","",$C2019&amp;"|"&amp;$E2019&amp;"|"&amp;$M2019&amp;"|"&amp;TEXT($G2019,"yyyy-mm-dd")&amp;"|"&amp;LEFT($J2019,40))</f>
        <v/>
      </c>
      <c r="Q2019" s="11" t="str">
        <f aca="false">IF(P2019="","",IF(COUNTIF($P$2:$P$3000,P2019)&gt;1,"DUPLICATE","OK"))</f>
        <v/>
      </c>
      <c r="R2019" s="0" t="str">
        <f aca="false">IF($C2019="","",IFERROR(VLOOKUP(--$C2019,MM_Income!$Z$5:$AC$204,3,FALSE()),""))</f>
        <v/>
      </c>
    </row>
    <row r="2020" customFormat="false" ht="13.5" hidden="false" customHeight="false" outlineLevel="0" collapsed="false">
      <c r="N2020" s="1" t="str">
        <f aca="false">IF(C2020="","",IFERROR(VLOOKUP(C2020,Master_Mappings!$A$4:$E$85,3,FALSE()),"UNMAPPED"))</f>
        <v/>
      </c>
      <c r="P2020" s="1" t="str">
        <f aca="false">IF($C2020="","",$C2020&amp;"|"&amp;$E2020&amp;"|"&amp;$M2020&amp;"|"&amp;TEXT($G2020,"yyyy-mm-dd")&amp;"|"&amp;LEFT($J2020,40))</f>
        <v/>
      </c>
      <c r="Q2020" s="11" t="str">
        <f aca="false">IF(P2020="","",IF(COUNTIF($P$2:$P$3000,P2020)&gt;1,"DUPLICATE","OK"))</f>
        <v/>
      </c>
      <c r="R2020" s="0" t="str">
        <f aca="false">IF($C2020="","",IFERROR(VLOOKUP(--$C2020,MM_Income!$Z$5:$AC$204,3,FALSE()),""))</f>
        <v/>
      </c>
    </row>
    <row r="2021" customFormat="false" ht="13.5" hidden="false" customHeight="false" outlineLevel="0" collapsed="false">
      <c r="N2021" s="1" t="str">
        <f aca="false">IF(C2021="","",IFERROR(VLOOKUP(C2021,Master_Mappings!$A$4:$E$85,3,FALSE()),"UNMAPPED"))</f>
        <v/>
      </c>
      <c r="P2021" s="1" t="str">
        <f aca="false">IF($C2021="","",$C2021&amp;"|"&amp;$E2021&amp;"|"&amp;$M2021&amp;"|"&amp;TEXT($G2021,"yyyy-mm-dd")&amp;"|"&amp;LEFT($J2021,40))</f>
        <v/>
      </c>
      <c r="Q2021" s="11" t="str">
        <f aca="false">IF(P2021="","",IF(COUNTIF($P$2:$P$3000,P2021)&gt;1,"DUPLICATE","OK"))</f>
        <v/>
      </c>
      <c r="R2021" s="0" t="str">
        <f aca="false">IF($C2021="","",IFERROR(VLOOKUP(--$C2021,MM_Income!$Z$5:$AC$204,3,FALSE()),""))</f>
        <v/>
      </c>
    </row>
    <row r="2022" customFormat="false" ht="13.5" hidden="false" customHeight="false" outlineLevel="0" collapsed="false">
      <c r="N2022" s="1" t="str">
        <f aca="false">IF(C2022="","",IFERROR(VLOOKUP(C2022,Master_Mappings!$A$4:$E$85,3,FALSE()),"UNMAPPED"))</f>
        <v/>
      </c>
      <c r="P2022" s="1" t="str">
        <f aca="false">IF($C2022="","",$C2022&amp;"|"&amp;$E2022&amp;"|"&amp;$M2022&amp;"|"&amp;TEXT($G2022,"yyyy-mm-dd")&amp;"|"&amp;LEFT($J2022,40))</f>
        <v/>
      </c>
      <c r="Q2022" s="11" t="str">
        <f aca="false">IF(P2022="","",IF(COUNTIF($P$2:$P$3000,P2022)&gt;1,"DUPLICATE","OK"))</f>
        <v/>
      </c>
      <c r="R2022" s="0" t="str">
        <f aca="false">IF($C2022="","",IFERROR(VLOOKUP(--$C2022,MM_Income!$Z$5:$AC$204,3,FALSE()),""))</f>
        <v/>
      </c>
    </row>
    <row r="2023" customFormat="false" ht="13.5" hidden="false" customHeight="false" outlineLevel="0" collapsed="false">
      <c r="N2023" s="1" t="str">
        <f aca="false">IF(C2023="","",IFERROR(VLOOKUP(C2023,Master_Mappings!$A$4:$E$85,3,FALSE()),"UNMAPPED"))</f>
        <v/>
      </c>
      <c r="P2023" s="1" t="str">
        <f aca="false">IF($C2023="","",$C2023&amp;"|"&amp;$E2023&amp;"|"&amp;$M2023&amp;"|"&amp;TEXT($G2023,"yyyy-mm-dd")&amp;"|"&amp;LEFT($J2023,40))</f>
        <v/>
      </c>
      <c r="Q2023" s="11" t="str">
        <f aca="false">IF(P2023="","",IF(COUNTIF($P$2:$P$3000,P2023)&gt;1,"DUPLICATE","OK"))</f>
        <v/>
      </c>
      <c r="R2023" s="0" t="str">
        <f aca="false">IF($C2023="","",IFERROR(VLOOKUP(--$C2023,MM_Income!$Z$5:$AC$204,3,FALSE()),""))</f>
        <v/>
      </c>
    </row>
    <row r="2024" customFormat="false" ht="13.5" hidden="false" customHeight="false" outlineLevel="0" collapsed="false">
      <c r="N2024" s="1" t="str">
        <f aca="false">IF(C2024="","",IFERROR(VLOOKUP(C2024,Master_Mappings!$A$4:$E$85,3,FALSE()),"UNMAPPED"))</f>
        <v/>
      </c>
      <c r="P2024" s="1" t="str">
        <f aca="false">IF($C2024="","",$C2024&amp;"|"&amp;$E2024&amp;"|"&amp;$M2024&amp;"|"&amp;TEXT($G2024,"yyyy-mm-dd")&amp;"|"&amp;LEFT($J2024,40))</f>
        <v/>
      </c>
      <c r="Q2024" s="11" t="str">
        <f aca="false">IF(P2024="","",IF(COUNTIF($P$2:$P$3000,P2024)&gt;1,"DUPLICATE","OK"))</f>
        <v/>
      </c>
      <c r="R2024" s="0" t="str">
        <f aca="false">IF($C2024="","",IFERROR(VLOOKUP(--$C2024,MM_Income!$Z$5:$AC$204,3,FALSE()),""))</f>
        <v/>
      </c>
    </row>
    <row r="2025" customFormat="false" ht="13.5" hidden="false" customHeight="false" outlineLevel="0" collapsed="false">
      <c r="N2025" s="1" t="str">
        <f aca="false">IF(C2025="","",IFERROR(VLOOKUP(C2025,Master_Mappings!$A$4:$E$85,3,FALSE()),"UNMAPPED"))</f>
        <v/>
      </c>
      <c r="P2025" s="1" t="str">
        <f aca="false">IF($C2025="","",$C2025&amp;"|"&amp;$E2025&amp;"|"&amp;$M2025&amp;"|"&amp;TEXT($G2025,"yyyy-mm-dd")&amp;"|"&amp;LEFT($J2025,40))</f>
        <v/>
      </c>
      <c r="Q2025" s="11" t="str">
        <f aca="false">IF(P2025="","",IF(COUNTIF($P$2:$P$3000,P2025)&gt;1,"DUPLICATE","OK"))</f>
        <v/>
      </c>
      <c r="R2025" s="0" t="str">
        <f aca="false">IF($C2025="","",IFERROR(VLOOKUP(--$C2025,MM_Income!$Z$5:$AC$204,3,FALSE()),""))</f>
        <v/>
      </c>
    </row>
    <row r="2026" customFormat="false" ht="13.5" hidden="false" customHeight="false" outlineLevel="0" collapsed="false">
      <c r="N2026" s="1" t="str">
        <f aca="false">IF(C2026="","",IFERROR(VLOOKUP(C2026,Master_Mappings!$A$4:$E$85,3,FALSE()),"UNMAPPED"))</f>
        <v/>
      </c>
      <c r="P2026" s="1" t="str">
        <f aca="false">IF($C2026="","",$C2026&amp;"|"&amp;$E2026&amp;"|"&amp;$M2026&amp;"|"&amp;TEXT($G2026,"yyyy-mm-dd")&amp;"|"&amp;LEFT($J2026,40))</f>
        <v/>
      </c>
      <c r="Q2026" s="11" t="str">
        <f aca="false">IF(P2026="","",IF(COUNTIF($P$2:$P$3000,P2026)&gt;1,"DUPLICATE","OK"))</f>
        <v/>
      </c>
      <c r="R2026" s="0" t="str">
        <f aca="false">IF($C2026="","",IFERROR(VLOOKUP(--$C2026,MM_Income!$Z$5:$AC$204,3,FALSE()),""))</f>
        <v/>
      </c>
    </row>
    <row r="2027" customFormat="false" ht="13.5" hidden="false" customHeight="false" outlineLevel="0" collapsed="false">
      <c r="N2027" s="1" t="str">
        <f aca="false">IF(C2027="","",IFERROR(VLOOKUP(C2027,Master_Mappings!$A$4:$E$85,3,FALSE()),"UNMAPPED"))</f>
        <v/>
      </c>
      <c r="P2027" s="1" t="str">
        <f aca="false">IF($C2027="","",$C2027&amp;"|"&amp;$E2027&amp;"|"&amp;$M2027&amp;"|"&amp;TEXT($G2027,"yyyy-mm-dd")&amp;"|"&amp;LEFT($J2027,40))</f>
        <v/>
      </c>
      <c r="Q2027" s="11" t="str">
        <f aca="false">IF(P2027="","",IF(COUNTIF($P$2:$P$3000,P2027)&gt;1,"DUPLICATE","OK"))</f>
        <v/>
      </c>
      <c r="R2027" s="0" t="str">
        <f aca="false">IF($C2027="","",IFERROR(VLOOKUP(--$C2027,MM_Income!$Z$5:$AC$204,3,FALSE()),""))</f>
        <v/>
      </c>
    </row>
    <row r="2028" customFormat="false" ht="13.5" hidden="false" customHeight="false" outlineLevel="0" collapsed="false">
      <c r="N2028" s="1" t="str">
        <f aca="false">IF(C2028="","",IFERROR(VLOOKUP(C2028,Master_Mappings!$A$4:$E$85,3,FALSE()),"UNMAPPED"))</f>
        <v/>
      </c>
      <c r="P2028" s="1" t="str">
        <f aca="false">IF($C2028="","",$C2028&amp;"|"&amp;$E2028&amp;"|"&amp;$M2028&amp;"|"&amp;TEXT($G2028,"yyyy-mm-dd")&amp;"|"&amp;LEFT($J2028,40))</f>
        <v/>
      </c>
      <c r="Q2028" s="11" t="str">
        <f aca="false">IF(P2028="","",IF(COUNTIF($P$2:$P$3000,P2028)&gt;1,"DUPLICATE","OK"))</f>
        <v/>
      </c>
      <c r="R2028" s="0" t="str">
        <f aca="false">IF($C2028="","",IFERROR(VLOOKUP(--$C2028,MM_Income!$Z$5:$AC$204,3,FALSE()),""))</f>
        <v/>
      </c>
    </row>
    <row r="2029" customFormat="false" ht="13.5" hidden="false" customHeight="false" outlineLevel="0" collapsed="false">
      <c r="N2029" s="1" t="str">
        <f aca="false">IF(C2029="","",IFERROR(VLOOKUP(C2029,Master_Mappings!$A$4:$E$85,3,FALSE()),"UNMAPPED"))</f>
        <v/>
      </c>
      <c r="P2029" s="1" t="str">
        <f aca="false">IF($C2029="","",$C2029&amp;"|"&amp;$E2029&amp;"|"&amp;$M2029&amp;"|"&amp;TEXT($G2029,"yyyy-mm-dd")&amp;"|"&amp;LEFT($J2029,40))</f>
        <v/>
      </c>
      <c r="Q2029" s="11" t="str">
        <f aca="false">IF(P2029="","",IF(COUNTIF($P$2:$P$3000,P2029)&gt;1,"DUPLICATE","OK"))</f>
        <v/>
      </c>
      <c r="R2029" s="0" t="str">
        <f aca="false">IF($C2029="","",IFERROR(VLOOKUP(--$C2029,MM_Income!$Z$5:$AC$204,3,FALSE()),""))</f>
        <v/>
      </c>
    </row>
    <row r="2030" customFormat="false" ht="13.5" hidden="false" customHeight="false" outlineLevel="0" collapsed="false">
      <c r="N2030" s="1" t="str">
        <f aca="false">IF(C2030="","",IFERROR(VLOOKUP(C2030,Master_Mappings!$A$4:$E$85,3,FALSE()),"UNMAPPED"))</f>
        <v/>
      </c>
      <c r="P2030" s="1" t="str">
        <f aca="false">IF($C2030="","",$C2030&amp;"|"&amp;$E2030&amp;"|"&amp;$M2030&amp;"|"&amp;TEXT($G2030,"yyyy-mm-dd")&amp;"|"&amp;LEFT($J2030,40))</f>
        <v/>
      </c>
      <c r="Q2030" s="11" t="str">
        <f aca="false">IF(P2030="","",IF(COUNTIF($P$2:$P$3000,P2030)&gt;1,"DUPLICATE","OK"))</f>
        <v/>
      </c>
      <c r="R2030" s="0" t="str">
        <f aca="false">IF($C2030="","",IFERROR(VLOOKUP(--$C2030,MM_Income!$Z$5:$AC$204,3,FALSE()),""))</f>
        <v/>
      </c>
    </row>
    <row r="2031" customFormat="false" ht="13.5" hidden="false" customHeight="false" outlineLevel="0" collapsed="false">
      <c r="N2031" s="1" t="str">
        <f aca="false">IF(C2031="","",IFERROR(VLOOKUP(C2031,Master_Mappings!$A$4:$E$85,3,FALSE()),"UNMAPPED"))</f>
        <v/>
      </c>
      <c r="P2031" s="1" t="str">
        <f aca="false">IF($C2031="","",$C2031&amp;"|"&amp;$E2031&amp;"|"&amp;$M2031&amp;"|"&amp;TEXT($G2031,"yyyy-mm-dd")&amp;"|"&amp;LEFT($J2031,40))</f>
        <v/>
      </c>
      <c r="Q2031" s="11" t="str">
        <f aca="false">IF(P2031="","",IF(COUNTIF($P$2:$P$3000,P2031)&gt;1,"DUPLICATE","OK"))</f>
        <v/>
      </c>
      <c r="R2031" s="0" t="str">
        <f aca="false">IF($C2031="","",IFERROR(VLOOKUP(--$C2031,MM_Income!$Z$5:$AC$204,3,FALSE()),""))</f>
        <v/>
      </c>
    </row>
    <row r="2032" customFormat="false" ht="13.5" hidden="false" customHeight="false" outlineLevel="0" collapsed="false">
      <c r="N2032" s="1" t="str">
        <f aca="false">IF(C2032="","",IFERROR(VLOOKUP(C2032,Master_Mappings!$A$4:$E$85,3,FALSE()),"UNMAPPED"))</f>
        <v/>
      </c>
      <c r="P2032" s="1" t="str">
        <f aca="false">IF($C2032="","",$C2032&amp;"|"&amp;$E2032&amp;"|"&amp;$M2032&amp;"|"&amp;TEXT($G2032,"yyyy-mm-dd")&amp;"|"&amp;LEFT($J2032,40))</f>
        <v/>
      </c>
      <c r="Q2032" s="11" t="str">
        <f aca="false">IF(P2032="","",IF(COUNTIF($P$2:$P$3000,P2032)&gt;1,"DUPLICATE","OK"))</f>
        <v/>
      </c>
      <c r="R2032" s="0" t="str">
        <f aca="false">IF($C2032="","",IFERROR(VLOOKUP(--$C2032,MM_Income!$Z$5:$AC$204,3,FALSE()),""))</f>
        <v/>
      </c>
    </row>
    <row r="2033" customFormat="false" ht="13.5" hidden="false" customHeight="false" outlineLevel="0" collapsed="false">
      <c r="N2033" s="1" t="str">
        <f aca="false">IF(C2033="","",IFERROR(VLOOKUP(C2033,Master_Mappings!$A$4:$E$85,3,FALSE()),"UNMAPPED"))</f>
        <v/>
      </c>
      <c r="P2033" s="1" t="str">
        <f aca="false">IF($C2033="","",$C2033&amp;"|"&amp;$E2033&amp;"|"&amp;$M2033&amp;"|"&amp;TEXT($G2033,"yyyy-mm-dd")&amp;"|"&amp;LEFT($J2033,40))</f>
        <v/>
      </c>
      <c r="Q2033" s="11" t="str">
        <f aca="false">IF(P2033="","",IF(COUNTIF($P$2:$P$3000,P2033)&gt;1,"DUPLICATE","OK"))</f>
        <v/>
      </c>
      <c r="R2033" s="0" t="str">
        <f aca="false">IF($C2033="","",IFERROR(VLOOKUP(--$C2033,MM_Income!$Z$5:$AC$204,3,FALSE()),""))</f>
        <v/>
      </c>
    </row>
    <row r="2034" customFormat="false" ht="13.5" hidden="false" customHeight="false" outlineLevel="0" collapsed="false">
      <c r="N2034" s="1" t="str">
        <f aca="false">IF(C2034="","",IFERROR(VLOOKUP(C2034,Master_Mappings!$A$4:$E$85,3,FALSE()),"UNMAPPED"))</f>
        <v/>
      </c>
      <c r="P2034" s="1" t="str">
        <f aca="false">IF($C2034="","",$C2034&amp;"|"&amp;$E2034&amp;"|"&amp;$M2034&amp;"|"&amp;TEXT($G2034,"yyyy-mm-dd")&amp;"|"&amp;LEFT($J2034,40))</f>
        <v/>
      </c>
      <c r="Q2034" s="11" t="str">
        <f aca="false">IF(P2034="","",IF(COUNTIF($P$2:$P$3000,P2034)&gt;1,"DUPLICATE","OK"))</f>
        <v/>
      </c>
      <c r="R2034" s="0" t="str">
        <f aca="false">IF($C2034="","",IFERROR(VLOOKUP(--$C2034,MM_Income!$Z$5:$AC$204,3,FALSE()),""))</f>
        <v/>
      </c>
    </row>
    <row r="2035" customFormat="false" ht="13.5" hidden="false" customHeight="false" outlineLevel="0" collapsed="false">
      <c r="N2035" s="1" t="str">
        <f aca="false">IF(C2035="","",IFERROR(VLOOKUP(C2035,Master_Mappings!$A$4:$E$85,3,FALSE()),"UNMAPPED"))</f>
        <v/>
      </c>
      <c r="P2035" s="1" t="str">
        <f aca="false">IF($C2035="","",$C2035&amp;"|"&amp;$E2035&amp;"|"&amp;$M2035&amp;"|"&amp;TEXT($G2035,"yyyy-mm-dd")&amp;"|"&amp;LEFT($J2035,40))</f>
        <v/>
      </c>
      <c r="Q2035" s="11" t="str">
        <f aca="false">IF(P2035="","",IF(COUNTIF($P$2:$P$3000,P2035)&gt;1,"DUPLICATE","OK"))</f>
        <v/>
      </c>
      <c r="R2035" s="0" t="str">
        <f aca="false">IF($C2035="","",IFERROR(VLOOKUP(--$C2035,MM_Income!$Z$5:$AC$204,3,FALSE()),""))</f>
        <v/>
      </c>
    </row>
    <row r="2036" customFormat="false" ht="13.5" hidden="false" customHeight="false" outlineLevel="0" collapsed="false">
      <c r="N2036" s="1" t="str">
        <f aca="false">IF(C2036="","",IFERROR(VLOOKUP(C2036,Master_Mappings!$A$4:$E$85,3,FALSE()),"UNMAPPED"))</f>
        <v/>
      </c>
      <c r="P2036" s="1" t="str">
        <f aca="false">IF($C2036="","",$C2036&amp;"|"&amp;$E2036&amp;"|"&amp;$M2036&amp;"|"&amp;TEXT($G2036,"yyyy-mm-dd")&amp;"|"&amp;LEFT($J2036,40))</f>
        <v/>
      </c>
      <c r="Q2036" s="11" t="str">
        <f aca="false">IF(P2036="","",IF(COUNTIF($P$2:$P$3000,P2036)&gt;1,"DUPLICATE","OK"))</f>
        <v/>
      </c>
      <c r="R2036" s="0" t="str">
        <f aca="false">IF($C2036="","",IFERROR(VLOOKUP(--$C2036,MM_Income!$Z$5:$AC$204,3,FALSE()),""))</f>
        <v/>
      </c>
    </row>
    <row r="2037" customFormat="false" ht="13.5" hidden="false" customHeight="false" outlineLevel="0" collapsed="false">
      <c r="N2037" s="1" t="str">
        <f aca="false">IF(C2037="","",IFERROR(VLOOKUP(C2037,Master_Mappings!$A$4:$E$85,3,FALSE()),"UNMAPPED"))</f>
        <v/>
      </c>
      <c r="P2037" s="1" t="str">
        <f aca="false">IF($C2037="","",$C2037&amp;"|"&amp;$E2037&amp;"|"&amp;$M2037&amp;"|"&amp;TEXT($G2037,"yyyy-mm-dd")&amp;"|"&amp;LEFT($J2037,40))</f>
        <v/>
      </c>
      <c r="Q2037" s="11" t="str">
        <f aca="false">IF(P2037="","",IF(COUNTIF($P$2:$P$3000,P2037)&gt;1,"DUPLICATE","OK"))</f>
        <v/>
      </c>
      <c r="R2037" s="0" t="str">
        <f aca="false">IF($C2037="","",IFERROR(VLOOKUP(--$C2037,MM_Income!$Z$5:$AC$204,3,FALSE()),""))</f>
        <v/>
      </c>
    </row>
    <row r="2038" customFormat="false" ht="13.5" hidden="false" customHeight="false" outlineLevel="0" collapsed="false">
      <c r="N2038" s="1" t="str">
        <f aca="false">IF(C2038="","",IFERROR(VLOOKUP(C2038,Master_Mappings!$A$4:$E$85,3,FALSE()),"UNMAPPED"))</f>
        <v/>
      </c>
      <c r="P2038" s="1" t="str">
        <f aca="false">IF($C2038="","",$C2038&amp;"|"&amp;$E2038&amp;"|"&amp;$M2038&amp;"|"&amp;TEXT($G2038,"yyyy-mm-dd")&amp;"|"&amp;LEFT($J2038,40))</f>
        <v/>
      </c>
      <c r="Q2038" s="11" t="str">
        <f aca="false">IF(P2038="","",IF(COUNTIF($P$2:$P$3000,P2038)&gt;1,"DUPLICATE","OK"))</f>
        <v/>
      </c>
      <c r="R2038" s="0" t="str">
        <f aca="false">IF($C2038="","",IFERROR(VLOOKUP(--$C2038,MM_Income!$Z$5:$AC$204,3,FALSE()),""))</f>
        <v/>
      </c>
    </row>
    <row r="2039" customFormat="false" ht="13.5" hidden="false" customHeight="false" outlineLevel="0" collapsed="false">
      <c r="N2039" s="1" t="str">
        <f aca="false">IF(C2039="","",IFERROR(VLOOKUP(C2039,Master_Mappings!$A$4:$E$85,3,FALSE()),"UNMAPPED"))</f>
        <v/>
      </c>
      <c r="P2039" s="1" t="str">
        <f aca="false">IF($C2039="","",$C2039&amp;"|"&amp;$E2039&amp;"|"&amp;$M2039&amp;"|"&amp;TEXT($G2039,"yyyy-mm-dd")&amp;"|"&amp;LEFT($J2039,40))</f>
        <v/>
      </c>
      <c r="Q2039" s="11" t="str">
        <f aca="false">IF(P2039="","",IF(COUNTIF($P$2:$P$3000,P2039)&gt;1,"DUPLICATE","OK"))</f>
        <v/>
      </c>
      <c r="R2039" s="0" t="str">
        <f aca="false">IF($C2039="","",IFERROR(VLOOKUP(--$C2039,MM_Income!$Z$5:$AC$204,3,FALSE()),""))</f>
        <v/>
      </c>
    </row>
    <row r="2040" customFormat="false" ht="13.5" hidden="false" customHeight="false" outlineLevel="0" collapsed="false">
      <c r="N2040" s="1" t="str">
        <f aca="false">IF(C2040="","",IFERROR(VLOOKUP(C2040,Master_Mappings!$A$4:$E$85,3,FALSE()),"UNMAPPED"))</f>
        <v/>
      </c>
      <c r="P2040" s="1" t="str">
        <f aca="false">IF($C2040="","",$C2040&amp;"|"&amp;$E2040&amp;"|"&amp;$M2040&amp;"|"&amp;TEXT($G2040,"yyyy-mm-dd")&amp;"|"&amp;LEFT($J2040,40))</f>
        <v/>
      </c>
      <c r="Q2040" s="11" t="str">
        <f aca="false">IF(P2040="","",IF(COUNTIF($P$2:$P$3000,P2040)&gt;1,"DUPLICATE","OK"))</f>
        <v/>
      </c>
      <c r="R2040" s="0" t="str">
        <f aca="false">IF($C2040="","",IFERROR(VLOOKUP(--$C2040,MM_Income!$Z$5:$AC$204,3,FALSE()),""))</f>
        <v/>
      </c>
    </row>
    <row r="2041" customFormat="false" ht="13.5" hidden="false" customHeight="false" outlineLevel="0" collapsed="false">
      <c r="N2041" s="1" t="str">
        <f aca="false">IF(C2041="","",IFERROR(VLOOKUP(C2041,Master_Mappings!$A$4:$E$85,3,FALSE()),"UNMAPPED"))</f>
        <v/>
      </c>
      <c r="P2041" s="1" t="str">
        <f aca="false">IF($C2041="","",$C2041&amp;"|"&amp;$E2041&amp;"|"&amp;$M2041&amp;"|"&amp;TEXT($G2041,"yyyy-mm-dd")&amp;"|"&amp;LEFT($J2041,40))</f>
        <v/>
      </c>
      <c r="Q2041" s="11" t="str">
        <f aca="false">IF(P2041="","",IF(COUNTIF($P$2:$P$3000,P2041)&gt;1,"DUPLICATE","OK"))</f>
        <v/>
      </c>
      <c r="R2041" s="0" t="str">
        <f aca="false">IF($C2041="","",IFERROR(VLOOKUP(--$C2041,MM_Income!$Z$5:$AC$204,3,FALSE()),""))</f>
        <v/>
      </c>
    </row>
    <row r="2042" customFormat="false" ht="13.5" hidden="false" customHeight="false" outlineLevel="0" collapsed="false">
      <c r="N2042" s="1" t="str">
        <f aca="false">IF(C2042="","",IFERROR(VLOOKUP(C2042,Master_Mappings!$A$4:$E$85,3,FALSE()),"UNMAPPED"))</f>
        <v/>
      </c>
      <c r="P2042" s="1" t="str">
        <f aca="false">IF($C2042="","",$C2042&amp;"|"&amp;$E2042&amp;"|"&amp;$M2042&amp;"|"&amp;TEXT($G2042,"yyyy-mm-dd")&amp;"|"&amp;LEFT($J2042,40))</f>
        <v/>
      </c>
      <c r="Q2042" s="11" t="str">
        <f aca="false">IF(P2042="","",IF(COUNTIF($P$2:$P$3000,P2042)&gt;1,"DUPLICATE","OK"))</f>
        <v/>
      </c>
      <c r="R2042" s="0" t="str">
        <f aca="false">IF($C2042="","",IFERROR(VLOOKUP(--$C2042,MM_Income!$Z$5:$AC$204,3,FALSE()),""))</f>
        <v/>
      </c>
    </row>
    <row r="2043" customFormat="false" ht="13.5" hidden="false" customHeight="false" outlineLevel="0" collapsed="false">
      <c r="N2043" s="1" t="str">
        <f aca="false">IF(C2043="","",IFERROR(VLOOKUP(C2043,Master_Mappings!$A$4:$E$85,3,FALSE()),"UNMAPPED"))</f>
        <v/>
      </c>
      <c r="P2043" s="1" t="str">
        <f aca="false">IF($C2043="","",$C2043&amp;"|"&amp;$E2043&amp;"|"&amp;$M2043&amp;"|"&amp;TEXT($G2043,"yyyy-mm-dd")&amp;"|"&amp;LEFT($J2043,40))</f>
        <v/>
      </c>
      <c r="Q2043" s="11" t="str">
        <f aca="false">IF(P2043="","",IF(COUNTIF($P$2:$P$3000,P2043)&gt;1,"DUPLICATE","OK"))</f>
        <v/>
      </c>
      <c r="R2043" s="0" t="str">
        <f aca="false">IF($C2043="","",IFERROR(VLOOKUP(--$C2043,MM_Income!$Z$5:$AC$204,3,FALSE()),""))</f>
        <v/>
      </c>
    </row>
    <row r="2044" customFormat="false" ht="13.5" hidden="false" customHeight="false" outlineLevel="0" collapsed="false">
      <c r="N2044" s="1" t="str">
        <f aca="false">IF(C2044="","",IFERROR(VLOOKUP(C2044,Master_Mappings!$A$4:$E$85,3,FALSE()),"UNMAPPED"))</f>
        <v/>
      </c>
      <c r="P2044" s="1" t="str">
        <f aca="false">IF($C2044="","",$C2044&amp;"|"&amp;$E2044&amp;"|"&amp;$M2044&amp;"|"&amp;TEXT($G2044,"yyyy-mm-dd")&amp;"|"&amp;LEFT($J2044,40))</f>
        <v/>
      </c>
      <c r="Q2044" s="11" t="str">
        <f aca="false">IF(P2044="","",IF(COUNTIF($P$2:$P$3000,P2044)&gt;1,"DUPLICATE","OK"))</f>
        <v/>
      </c>
      <c r="R2044" s="0" t="str">
        <f aca="false">IF($C2044="","",IFERROR(VLOOKUP(--$C2044,MM_Income!$Z$5:$AC$204,3,FALSE()),""))</f>
        <v/>
      </c>
    </row>
    <row r="2045" customFormat="false" ht="13.5" hidden="false" customHeight="false" outlineLevel="0" collapsed="false">
      <c r="N2045" s="1" t="str">
        <f aca="false">IF(C2045="","",IFERROR(VLOOKUP(C2045,Master_Mappings!$A$4:$E$85,3,FALSE()),"UNMAPPED"))</f>
        <v/>
      </c>
      <c r="P2045" s="1" t="str">
        <f aca="false">IF($C2045="","",$C2045&amp;"|"&amp;$E2045&amp;"|"&amp;$M2045&amp;"|"&amp;TEXT($G2045,"yyyy-mm-dd")&amp;"|"&amp;LEFT($J2045,40))</f>
        <v/>
      </c>
      <c r="Q2045" s="11" t="str">
        <f aca="false">IF(P2045="","",IF(COUNTIF($P$2:$P$3000,P2045)&gt;1,"DUPLICATE","OK"))</f>
        <v/>
      </c>
      <c r="R2045" s="0" t="str">
        <f aca="false">IF($C2045="","",IFERROR(VLOOKUP(--$C2045,MM_Income!$Z$5:$AC$204,3,FALSE()),""))</f>
        <v/>
      </c>
    </row>
    <row r="2046" customFormat="false" ht="13.5" hidden="false" customHeight="false" outlineLevel="0" collapsed="false">
      <c r="N2046" s="1" t="str">
        <f aca="false">IF(C2046="","",IFERROR(VLOOKUP(C2046,Master_Mappings!$A$4:$E$85,3,FALSE()),"UNMAPPED"))</f>
        <v/>
      </c>
      <c r="P2046" s="1" t="str">
        <f aca="false">IF($C2046="","",$C2046&amp;"|"&amp;$E2046&amp;"|"&amp;$M2046&amp;"|"&amp;TEXT($G2046,"yyyy-mm-dd")&amp;"|"&amp;LEFT($J2046,40))</f>
        <v/>
      </c>
      <c r="Q2046" s="11" t="str">
        <f aca="false">IF(P2046="","",IF(COUNTIF($P$2:$P$3000,P2046)&gt;1,"DUPLICATE","OK"))</f>
        <v/>
      </c>
      <c r="R2046" s="0" t="str">
        <f aca="false">IF($C2046="","",IFERROR(VLOOKUP(--$C2046,MM_Income!$Z$5:$AC$204,3,FALSE()),""))</f>
        <v/>
      </c>
    </row>
    <row r="2047" customFormat="false" ht="13.5" hidden="false" customHeight="false" outlineLevel="0" collapsed="false">
      <c r="N2047" s="1" t="str">
        <f aca="false">IF(C2047="","",IFERROR(VLOOKUP(C2047,Master_Mappings!$A$4:$E$85,3,FALSE()),"UNMAPPED"))</f>
        <v/>
      </c>
      <c r="P2047" s="1" t="str">
        <f aca="false">IF($C2047="","",$C2047&amp;"|"&amp;$E2047&amp;"|"&amp;$M2047&amp;"|"&amp;TEXT($G2047,"yyyy-mm-dd")&amp;"|"&amp;LEFT($J2047,40))</f>
        <v/>
      </c>
      <c r="Q2047" s="11" t="str">
        <f aca="false">IF(P2047="","",IF(COUNTIF($P$2:$P$3000,P2047)&gt;1,"DUPLICATE","OK"))</f>
        <v/>
      </c>
      <c r="R2047" s="0" t="str">
        <f aca="false">IF($C2047="","",IFERROR(VLOOKUP(--$C2047,MM_Income!$Z$5:$AC$204,3,FALSE()),""))</f>
        <v/>
      </c>
    </row>
    <row r="2048" customFormat="false" ht="13.5" hidden="false" customHeight="false" outlineLevel="0" collapsed="false">
      <c r="N2048" s="1" t="str">
        <f aca="false">IF(C2048="","",IFERROR(VLOOKUP(C2048,Master_Mappings!$A$4:$E$85,3,FALSE()),"UNMAPPED"))</f>
        <v/>
      </c>
      <c r="P2048" s="1" t="str">
        <f aca="false">IF($C2048="","",$C2048&amp;"|"&amp;$E2048&amp;"|"&amp;$M2048&amp;"|"&amp;TEXT($G2048,"yyyy-mm-dd")&amp;"|"&amp;LEFT($J2048,40))</f>
        <v/>
      </c>
      <c r="Q2048" s="11" t="str">
        <f aca="false">IF(P2048="","",IF(COUNTIF($P$2:$P$3000,P2048)&gt;1,"DUPLICATE","OK"))</f>
        <v/>
      </c>
      <c r="R2048" s="0" t="str">
        <f aca="false">IF($C2048="","",IFERROR(VLOOKUP(--$C2048,MM_Income!$Z$5:$AC$204,3,FALSE()),""))</f>
        <v/>
      </c>
    </row>
    <row r="2049" customFormat="false" ht="13.5" hidden="false" customHeight="false" outlineLevel="0" collapsed="false">
      <c r="N2049" s="1" t="str">
        <f aca="false">IF(C2049="","",IFERROR(VLOOKUP(C2049,Master_Mappings!$A$4:$E$85,3,FALSE()),"UNMAPPED"))</f>
        <v/>
      </c>
      <c r="P2049" s="1" t="str">
        <f aca="false">IF($C2049="","",$C2049&amp;"|"&amp;$E2049&amp;"|"&amp;$M2049&amp;"|"&amp;TEXT($G2049,"yyyy-mm-dd")&amp;"|"&amp;LEFT($J2049,40))</f>
        <v/>
      </c>
      <c r="Q2049" s="11" t="str">
        <f aca="false">IF(P2049="","",IF(COUNTIF($P$2:$P$3000,P2049)&gt;1,"DUPLICATE","OK"))</f>
        <v/>
      </c>
      <c r="R2049" s="0" t="str">
        <f aca="false">IF($C2049="","",IFERROR(VLOOKUP(--$C2049,MM_Income!$Z$5:$AC$204,3,FALSE()),""))</f>
        <v/>
      </c>
    </row>
    <row r="2050" customFormat="false" ht="13.5" hidden="false" customHeight="false" outlineLevel="0" collapsed="false">
      <c r="N2050" s="1" t="str">
        <f aca="false">IF(C2050="","",IFERROR(VLOOKUP(C2050,Master_Mappings!$A$4:$E$85,3,FALSE()),"UNMAPPED"))</f>
        <v/>
      </c>
      <c r="P2050" s="1" t="str">
        <f aca="false">IF($C2050="","",$C2050&amp;"|"&amp;$E2050&amp;"|"&amp;$M2050&amp;"|"&amp;TEXT($G2050,"yyyy-mm-dd")&amp;"|"&amp;LEFT($J2050,40))</f>
        <v/>
      </c>
      <c r="Q2050" s="11" t="str">
        <f aca="false">IF(P2050="","",IF(COUNTIF($P$2:$P$3000,P2050)&gt;1,"DUPLICATE","OK"))</f>
        <v/>
      </c>
      <c r="R2050" s="0" t="str">
        <f aca="false">IF($C2050="","",IFERROR(VLOOKUP(--$C2050,MM_Income!$Z$5:$AC$204,3,FALSE()),""))</f>
        <v/>
      </c>
    </row>
    <row r="2051" customFormat="false" ht="13.5" hidden="false" customHeight="false" outlineLevel="0" collapsed="false">
      <c r="N2051" s="1" t="str">
        <f aca="false">IF(C2051="","",IFERROR(VLOOKUP(C2051,Master_Mappings!$A$4:$E$85,3,FALSE()),"UNMAPPED"))</f>
        <v/>
      </c>
      <c r="P2051" s="1" t="str">
        <f aca="false">IF($C2051="","",$C2051&amp;"|"&amp;$E2051&amp;"|"&amp;$M2051&amp;"|"&amp;TEXT($G2051,"yyyy-mm-dd")&amp;"|"&amp;LEFT($J2051,40))</f>
        <v/>
      </c>
      <c r="Q2051" s="11" t="str">
        <f aca="false">IF(P2051="","",IF(COUNTIF($P$2:$P$3000,P2051)&gt;1,"DUPLICATE","OK"))</f>
        <v/>
      </c>
      <c r="R2051" s="0" t="str">
        <f aca="false">IF($C2051="","",IFERROR(VLOOKUP(--$C2051,MM_Income!$Z$5:$AC$204,3,FALSE()),""))</f>
        <v/>
      </c>
    </row>
    <row r="2052" customFormat="false" ht="13.5" hidden="false" customHeight="false" outlineLevel="0" collapsed="false">
      <c r="N2052" s="1" t="str">
        <f aca="false">IF(C2052="","",IFERROR(VLOOKUP(C2052,Master_Mappings!$A$4:$E$85,3,FALSE()),"UNMAPPED"))</f>
        <v/>
      </c>
      <c r="P2052" s="1" t="str">
        <f aca="false">IF($C2052="","",$C2052&amp;"|"&amp;$E2052&amp;"|"&amp;$M2052&amp;"|"&amp;TEXT($G2052,"yyyy-mm-dd")&amp;"|"&amp;LEFT($J2052,40))</f>
        <v/>
      </c>
      <c r="Q2052" s="11" t="str">
        <f aca="false">IF(P2052="","",IF(COUNTIF($P$2:$P$3000,P2052)&gt;1,"DUPLICATE","OK"))</f>
        <v/>
      </c>
      <c r="R2052" s="0" t="str">
        <f aca="false">IF($C2052="","",IFERROR(VLOOKUP(--$C2052,MM_Income!$Z$5:$AC$204,3,FALSE()),""))</f>
        <v/>
      </c>
    </row>
    <row r="2053" customFormat="false" ht="13.5" hidden="false" customHeight="false" outlineLevel="0" collapsed="false">
      <c r="N2053" s="1" t="str">
        <f aca="false">IF(C2053="","",IFERROR(VLOOKUP(C2053,Master_Mappings!$A$4:$E$85,3,FALSE()),"UNMAPPED"))</f>
        <v/>
      </c>
      <c r="P2053" s="1" t="str">
        <f aca="false">IF($C2053="","",$C2053&amp;"|"&amp;$E2053&amp;"|"&amp;$M2053&amp;"|"&amp;TEXT($G2053,"yyyy-mm-dd")&amp;"|"&amp;LEFT($J2053,40))</f>
        <v/>
      </c>
      <c r="Q2053" s="11" t="str">
        <f aca="false">IF(P2053="","",IF(COUNTIF($P$2:$P$3000,P2053)&gt;1,"DUPLICATE","OK"))</f>
        <v/>
      </c>
      <c r="R2053" s="0" t="str">
        <f aca="false">IF($C2053="","",IFERROR(VLOOKUP(--$C2053,MM_Income!$Z$5:$AC$204,3,FALSE()),""))</f>
        <v/>
      </c>
    </row>
    <row r="2054" customFormat="false" ht="13.5" hidden="false" customHeight="false" outlineLevel="0" collapsed="false">
      <c r="N2054" s="1" t="str">
        <f aca="false">IF(C2054="","",IFERROR(VLOOKUP(C2054,Master_Mappings!$A$4:$E$85,3,FALSE()),"UNMAPPED"))</f>
        <v/>
      </c>
      <c r="P2054" s="1" t="str">
        <f aca="false">IF($C2054="","",$C2054&amp;"|"&amp;$E2054&amp;"|"&amp;$M2054&amp;"|"&amp;TEXT($G2054,"yyyy-mm-dd")&amp;"|"&amp;LEFT($J2054,40))</f>
        <v/>
      </c>
      <c r="Q2054" s="11" t="str">
        <f aca="false">IF(P2054="","",IF(COUNTIF($P$2:$P$3000,P2054)&gt;1,"DUPLICATE","OK"))</f>
        <v/>
      </c>
      <c r="R2054" s="0" t="str">
        <f aca="false">IF($C2054="","",IFERROR(VLOOKUP(--$C2054,MM_Income!$Z$5:$AC$204,3,FALSE()),""))</f>
        <v/>
      </c>
    </row>
    <row r="2055" customFormat="false" ht="13.5" hidden="false" customHeight="false" outlineLevel="0" collapsed="false">
      <c r="N2055" s="1" t="str">
        <f aca="false">IF(C2055="","",IFERROR(VLOOKUP(C2055,Master_Mappings!$A$4:$E$85,3,FALSE()),"UNMAPPED"))</f>
        <v/>
      </c>
      <c r="P2055" s="1" t="str">
        <f aca="false">IF($C2055="","",$C2055&amp;"|"&amp;$E2055&amp;"|"&amp;$M2055&amp;"|"&amp;TEXT($G2055,"yyyy-mm-dd")&amp;"|"&amp;LEFT($J2055,40))</f>
        <v/>
      </c>
      <c r="Q2055" s="11" t="str">
        <f aca="false">IF(P2055="","",IF(COUNTIF($P$2:$P$3000,P2055)&gt;1,"DUPLICATE","OK"))</f>
        <v/>
      </c>
      <c r="R2055" s="0" t="str">
        <f aca="false">IF($C2055="","",IFERROR(VLOOKUP(--$C2055,MM_Income!$Z$5:$AC$204,3,FALSE()),""))</f>
        <v/>
      </c>
    </row>
    <row r="2056" customFormat="false" ht="13.5" hidden="false" customHeight="false" outlineLevel="0" collapsed="false">
      <c r="N2056" s="1" t="str">
        <f aca="false">IF(C2056="","",IFERROR(VLOOKUP(C2056,Master_Mappings!$A$4:$E$85,3,FALSE()),"UNMAPPED"))</f>
        <v/>
      </c>
      <c r="P2056" s="1" t="str">
        <f aca="false">IF($C2056="","",$C2056&amp;"|"&amp;$E2056&amp;"|"&amp;$M2056&amp;"|"&amp;TEXT($G2056,"yyyy-mm-dd")&amp;"|"&amp;LEFT($J2056,40))</f>
        <v/>
      </c>
      <c r="Q2056" s="11" t="str">
        <f aca="false">IF(P2056="","",IF(COUNTIF($P$2:$P$3000,P2056)&gt;1,"DUPLICATE","OK"))</f>
        <v/>
      </c>
      <c r="R2056" s="0" t="str">
        <f aca="false">IF($C2056="","",IFERROR(VLOOKUP(--$C2056,MM_Income!$Z$5:$AC$204,3,FALSE()),""))</f>
        <v/>
      </c>
    </row>
    <row r="2057" customFormat="false" ht="13.5" hidden="false" customHeight="false" outlineLevel="0" collapsed="false">
      <c r="N2057" s="1" t="str">
        <f aca="false">IF(C2057="","",IFERROR(VLOOKUP(C2057,Master_Mappings!$A$4:$E$85,3,FALSE()),"UNMAPPED"))</f>
        <v/>
      </c>
      <c r="P2057" s="1" t="str">
        <f aca="false">IF($C2057="","",$C2057&amp;"|"&amp;$E2057&amp;"|"&amp;$M2057&amp;"|"&amp;TEXT($G2057,"yyyy-mm-dd")&amp;"|"&amp;LEFT($J2057,40))</f>
        <v/>
      </c>
      <c r="Q2057" s="11" t="str">
        <f aca="false">IF(P2057="","",IF(COUNTIF($P$2:$P$3000,P2057)&gt;1,"DUPLICATE","OK"))</f>
        <v/>
      </c>
      <c r="R2057" s="0" t="str">
        <f aca="false">IF($C2057="","",IFERROR(VLOOKUP(--$C2057,MM_Income!$Z$5:$AC$204,3,FALSE()),""))</f>
        <v/>
      </c>
    </row>
    <row r="2058" customFormat="false" ht="13.5" hidden="false" customHeight="false" outlineLevel="0" collapsed="false">
      <c r="N2058" s="1" t="str">
        <f aca="false">IF(C2058="","",IFERROR(VLOOKUP(C2058,Master_Mappings!$A$4:$E$85,3,FALSE()),"UNMAPPED"))</f>
        <v/>
      </c>
      <c r="P2058" s="1" t="str">
        <f aca="false">IF($C2058="","",$C2058&amp;"|"&amp;$E2058&amp;"|"&amp;$M2058&amp;"|"&amp;TEXT($G2058,"yyyy-mm-dd")&amp;"|"&amp;LEFT($J2058,40))</f>
        <v/>
      </c>
      <c r="Q2058" s="11" t="str">
        <f aca="false">IF(P2058="","",IF(COUNTIF($P$2:$P$3000,P2058)&gt;1,"DUPLICATE","OK"))</f>
        <v/>
      </c>
      <c r="R2058" s="0" t="str">
        <f aca="false">IF($C2058="","",IFERROR(VLOOKUP(--$C2058,MM_Income!$Z$5:$AC$204,3,FALSE()),""))</f>
        <v/>
      </c>
    </row>
    <row r="2059" customFormat="false" ht="13.5" hidden="false" customHeight="false" outlineLevel="0" collapsed="false">
      <c r="N2059" s="1" t="str">
        <f aca="false">IF(C2059="","",IFERROR(VLOOKUP(C2059,Master_Mappings!$A$4:$E$85,3,FALSE()),"UNMAPPED"))</f>
        <v/>
      </c>
      <c r="P2059" s="1" t="str">
        <f aca="false">IF($C2059="","",$C2059&amp;"|"&amp;$E2059&amp;"|"&amp;$M2059&amp;"|"&amp;TEXT($G2059,"yyyy-mm-dd")&amp;"|"&amp;LEFT($J2059,40))</f>
        <v/>
      </c>
      <c r="Q2059" s="11" t="str">
        <f aca="false">IF(P2059="","",IF(COUNTIF($P$2:$P$3000,P2059)&gt;1,"DUPLICATE","OK"))</f>
        <v/>
      </c>
      <c r="R2059" s="0" t="str">
        <f aca="false">IF($C2059="","",IFERROR(VLOOKUP(--$C2059,MM_Income!$Z$5:$AC$204,3,FALSE()),""))</f>
        <v/>
      </c>
    </row>
    <row r="2060" customFormat="false" ht="13.5" hidden="false" customHeight="false" outlineLevel="0" collapsed="false">
      <c r="N2060" s="1" t="str">
        <f aca="false">IF(C2060="","",IFERROR(VLOOKUP(C2060,Master_Mappings!$A$4:$E$85,3,FALSE()),"UNMAPPED"))</f>
        <v/>
      </c>
      <c r="P2060" s="1" t="str">
        <f aca="false">IF($C2060="","",$C2060&amp;"|"&amp;$E2060&amp;"|"&amp;$M2060&amp;"|"&amp;TEXT($G2060,"yyyy-mm-dd")&amp;"|"&amp;LEFT($J2060,40))</f>
        <v/>
      </c>
      <c r="Q2060" s="11" t="str">
        <f aca="false">IF(P2060="","",IF(COUNTIF($P$2:$P$3000,P2060)&gt;1,"DUPLICATE","OK"))</f>
        <v/>
      </c>
      <c r="R2060" s="0" t="str">
        <f aca="false">IF($C2060="","",IFERROR(VLOOKUP(--$C2060,MM_Income!$Z$5:$AC$204,3,FALSE()),""))</f>
        <v/>
      </c>
    </row>
    <row r="2061" customFormat="false" ht="13.5" hidden="false" customHeight="false" outlineLevel="0" collapsed="false">
      <c r="N2061" s="1" t="str">
        <f aca="false">IF(C2061="","",IFERROR(VLOOKUP(C2061,Master_Mappings!$A$4:$E$85,3,FALSE()),"UNMAPPED"))</f>
        <v/>
      </c>
      <c r="P2061" s="1" t="str">
        <f aca="false">IF($C2061="","",$C2061&amp;"|"&amp;$E2061&amp;"|"&amp;$M2061&amp;"|"&amp;TEXT($G2061,"yyyy-mm-dd")&amp;"|"&amp;LEFT($J2061,40))</f>
        <v/>
      </c>
      <c r="Q2061" s="11" t="str">
        <f aca="false">IF(P2061="","",IF(COUNTIF($P$2:$P$3000,P2061)&gt;1,"DUPLICATE","OK"))</f>
        <v/>
      </c>
      <c r="R2061" s="0" t="str">
        <f aca="false">IF($C2061="","",IFERROR(VLOOKUP(--$C2061,MM_Income!$Z$5:$AC$204,3,FALSE()),""))</f>
        <v/>
      </c>
    </row>
    <row r="2062" customFormat="false" ht="13.5" hidden="false" customHeight="false" outlineLevel="0" collapsed="false">
      <c r="N2062" s="1" t="str">
        <f aca="false">IF(C2062="","",IFERROR(VLOOKUP(C2062,Master_Mappings!$A$4:$E$85,3,FALSE()),"UNMAPPED"))</f>
        <v/>
      </c>
      <c r="P2062" s="1" t="str">
        <f aca="false">IF($C2062="","",$C2062&amp;"|"&amp;$E2062&amp;"|"&amp;$M2062&amp;"|"&amp;TEXT($G2062,"yyyy-mm-dd")&amp;"|"&amp;LEFT($J2062,40))</f>
        <v/>
      </c>
      <c r="Q2062" s="11" t="str">
        <f aca="false">IF(P2062="","",IF(COUNTIF($P$2:$P$3000,P2062)&gt;1,"DUPLICATE","OK"))</f>
        <v/>
      </c>
      <c r="R2062" s="0" t="str">
        <f aca="false">IF($C2062="","",IFERROR(VLOOKUP(--$C2062,MM_Income!$Z$5:$AC$204,3,FALSE()),""))</f>
        <v/>
      </c>
    </row>
    <row r="2063" customFormat="false" ht="13.5" hidden="false" customHeight="false" outlineLevel="0" collapsed="false">
      <c r="N2063" s="1" t="str">
        <f aca="false">IF(C2063="","",IFERROR(VLOOKUP(C2063,Master_Mappings!$A$4:$E$85,3,FALSE()),"UNMAPPED"))</f>
        <v/>
      </c>
      <c r="P2063" s="1" t="str">
        <f aca="false">IF($C2063="","",$C2063&amp;"|"&amp;$E2063&amp;"|"&amp;$M2063&amp;"|"&amp;TEXT($G2063,"yyyy-mm-dd")&amp;"|"&amp;LEFT($J2063,40))</f>
        <v/>
      </c>
      <c r="Q2063" s="11" t="str">
        <f aca="false">IF(P2063="","",IF(COUNTIF($P$2:$P$3000,P2063)&gt;1,"DUPLICATE","OK"))</f>
        <v/>
      </c>
      <c r="R2063" s="0" t="str">
        <f aca="false">IF($C2063="","",IFERROR(VLOOKUP(--$C2063,MM_Income!$Z$5:$AC$204,3,FALSE()),""))</f>
        <v/>
      </c>
    </row>
    <row r="2064" customFormat="false" ht="13.5" hidden="false" customHeight="false" outlineLevel="0" collapsed="false">
      <c r="N2064" s="1" t="str">
        <f aca="false">IF(C2064="","",IFERROR(VLOOKUP(C2064,Master_Mappings!$A$4:$E$85,3,FALSE()),"UNMAPPED"))</f>
        <v/>
      </c>
      <c r="P2064" s="1" t="str">
        <f aca="false">IF($C2064="","",$C2064&amp;"|"&amp;$E2064&amp;"|"&amp;$M2064&amp;"|"&amp;TEXT($G2064,"yyyy-mm-dd")&amp;"|"&amp;LEFT($J2064,40))</f>
        <v/>
      </c>
      <c r="Q2064" s="11" t="str">
        <f aca="false">IF(P2064="","",IF(COUNTIF($P$2:$P$3000,P2064)&gt;1,"DUPLICATE","OK"))</f>
        <v/>
      </c>
      <c r="R2064" s="0" t="str">
        <f aca="false">IF($C2064="","",IFERROR(VLOOKUP(--$C2064,MM_Income!$Z$5:$AC$204,3,FALSE()),""))</f>
        <v/>
      </c>
    </row>
    <row r="2065" customFormat="false" ht="13.5" hidden="false" customHeight="false" outlineLevel="0" collapsed="false">
      <c r="N2065" s="1" t="str">
        <f aca="false">IF(C2065="","",IFERROR(VLOOKUP(C2065,Master_Mappings!$A$4:$E$85,3,FALSE()),"UNMAPPED"))</f>
        <v/>
      </c>
      <c r="P2065" s="1" t="str">
        <f aca="false">IF($C2065="","",$C2065&amp;"|"&amp;$E2065&amp;"|"&amp;$M2065&amp;"|"&amp;TEXT($G2065,"yyyy-mm-dd")&amp;"|"&amp;LEFT($J2065,40))</f>
        <v/>
      </c>
      <c r="Q2065" s="11" t="str">
        <f aca="false">IF(P2065="","",IF(COUNTIF($P$2:$P$3000,P2065)&gt;1,"DUPLICATE","OK"))</f>
        <v/>
      </c>
      <c r="R2065" s="0" t="str">
        <f aca="false">IF($C2065="","",IFERROR(VLOOKUP(--$C2065,MM_Income!$Z$5:$AC$204,3,FALSE()),""))</f>
        <v/>
      </c>
    </row>
    <row r="2066" customFormat="false" ht="13.5" hidden="false" customHeight="false" outlineLevel="0" collapsed="false">
      <c r="N2066" s="1" t="str">
        <f aca="false">IF(C2066="","",IFERROR(VLOOKUP(C2066,Master_Mappings!$A$4:$E$85,3,FALSE()),"UNMAPPED"))</f>
        <v/>
      </c>
      <c r="P2066" s="1" t="str">
        <f aca="false">IF($C2066="","",$C2066&amp;"|"&amp;$E2066&amp;"|"&amp;$M2066&amp;"|"&amp;TEXT($G2066,"yyyy-mm-dd")&amp;"|"&amp;LEFT($J2066,40))</f>
        <v/>
      </c>
      <c r="Q2066" s="11" t="str">
        <f aca="false">IF(P2066="","",IF(COUNTIF($P$2:$P$3000,P2066)&gt;1,"DUPLICATE","OK"))</f>
        <v/>
      </c>
      <c r="R2066" s="0" t="str">
        <f aca="false">IF($C2066="","",IFERROR(VLOOKUP(--$C2066,MM_Income!$Z$5:$AC$204,3,FALSE()),""))</f>
        <v/>
      </c>
    </row>
    <row r="2067" customFormat="false" ht="13.5" hidden="false" customHeight="false" outlineLevel="0" collapsed="false">
      <c r="N2067" s="1" t="str">
        <f aca="false">IF(C2067="","",IFERROR(VLOOKUP(C2067,Master_Mappings!$A$4:$E$85,3,FALSE()),"UNMAPPED"))</f>
        <v/>
      </c>
      <c r="P2067" s="1" t="str">
        <f aca="false">IF($C2067="","",$C2067&amp;"|"&amp;$E2067&amp;"|"&amp;$M2067&amp;"|"&amp;TEXT($G2067,"yyyy-mm-dd")&amp;"|"&amp;LEFT($J2067,40))</f>
        <v/>
      </c>
      <c r="Q2067" s="11" t="str">
        <f aca="false">IF(P2067="","",IF(COUNTIF($P$2:$P$3000,P2067)&gt;1,"DUPLICATE","OK"))</f>
        <v/>
      </c>
      <c r="R2067" s="0" t="str">
        <f aca="false">IF($C2067="","",IFERROR(VLOOKUP(--$C2067,MM_Income!$Z$5:$AC$204,3,FALSE()),""))</f>
        <v/>
      </c>
    </row>
    <row r="2068" customFormat="false" ht="13.5" hidden="false" customHeight="false" outlineLevel="0" collapsed="false">
      <c r="N2068" s="1" t="str">
        <f aca="false">IF(C2068="","",IFERROR(VLOOKUP(C2068,Master_Mappings!$A$4:$E$85,3,FALSE()),"UNMAPPED"))</f>
        <v/>
      </c>
      <c r="P2068" s="1" t="str">
        <f aca="false">IF($C2068="","",$C2068&amp;"|"&amp;$E2068&amp;"|"&amp;$M2068&amp;"|"&amp;TEXT($G2068,"yyyy-mm-dd")&amp;"|"&amp;LEFT($J2068,40))</f>
        <v/>
      </c>
      <c r="Q2068" s="11" t="str">
        <f aca="false">IF(P2068="","",IF(COUNTIF($P$2:$P$3000,P2068)&gt;1,"DUPLICATE","OK"))</f>
        <v/>
      </c>
      <c r="R2068" s="0" t="str">
        <f aca="false">IF($C2068="","",IFERROR(VLOOKUP(--$C2068,MM_Income!$Z$5:$AC$204,3,FALSE()),""))</f>
        <v/>
      </c>
    </row>
    <row r="2069" customFormat="false" ht="13.5" hidden="false" customHeight="false" outlineLevel="0" collapsed="false">
      <c r="N2069" s="1" t="str">
        <f aca="false">IF(C2069="","",IFERROR(VLOOKUP(C2069,Master_Mappings!$A$4:$E$85,3,FALSE()),"UNMAPPED"))</f>
        <v/>
      </c>
      <c r="P2069" s="1" t="str">
        <f aca="false">IF($C2069="","",$C2069&amp;"|"&amp;$E2069&amp;"|"&amp;$M2069&amp;"|"&amp;TEXT($G2069,"yyyy-mm-dd")&amp;"|"&amp;LEFT($J2069,40))</f>
        <v/>
      </c>
      <c r="Q2069" s="11" t="str">
        <f aca="false">IF(P2069="","",IF(COUNTIF($P$2:$P$3000,P2069)&gt;1,"DUPLICATE","OK"))</f>
        <v/>
      </c>
      <c r="R2069" s="0" t="str">
        <f aca="false">IF($C2069="","",IFERROR(VLOOKUP(--$C2069,MM_Income!$Z$5:$AC$204,3,FALSE()),""))</f>
        <v/>
      </c>
    </row>
    <row r="2070" customFormat="false" ht="13.5" hidden="false" customHeight="false" outlineLevel="0" collapsed="false">
      <c r="N2070" s="1" t="str">
        <f aca="false">IF(C2070="","",IFERROR(VLOOKUP(C2070,Master_Mappings!$A$4:$E$85,3,FALSE()),"UNMAPPED"))</f>
        <v/>
      </c>
      <c r="P2070" s="1" t="str">
        <f aca="false">IF($C2070="","",$C2070&amp;"|"&amp;$E2070&amp;"|"&amp;$M2070&amp;"|"&amp;TEXT($G2070,"yyyy-mm-dd")&amp;"|"&amp;LEFT($J2070,40))</f>
        <v/>
      </c>
      <c r="Q2070" s="11" t="str">
        <f aca="false">IF(P2070="","",IF(COUNTIF($P$2:$P$3000,P2070)&gt;1,"DUPLICATE","OK"))</f>
        <v/>
      </c>
      <c r="R2070" s="0" t="str">
        <f aca="false">IF($C2070="","",IFERROR(VLOOKUP(--$C2070,MM_Income!$Z$5:$AC$204,3,FALSE()),""))</f>
        <v/>
      </c>
    </row>
    <row r="2071" customFormat="false" ht="13.5" hidden="false" customHeight="false" outlineLevel="0" collapsed="false">
      <c r="N2071" s="1" t="str">
        <f aca="false">IF(C2071="","",IFERROR(VLOOKUP(C2071,Master_Mappings!$A$4:$E$85,3,FALSE()),"UNMAPPED"))</f>
        <v/>
      </c>
      <c r="P2071" s="1" t="str">
        <f aca="false">IF($C2071="","",$C2071&amp;"|"&amp;$E2071&amp;"|"&amp;$M2071&amp;"|"&amp;TEXT($G2071,"yyyy-mm-dd")&amp;"|"&amp;LEFT($J2071,40))</f>
        <v/>
      </c>
      <c r="Q2071" s="11" t="str">
        <f aca="false">IF(P2071="","",IF(COUNTIF($P$2:$P$3000,P2071)&gt;1,"DUPLICATE","OK"))</f>
        <v/>
      </c>
      <c r="R2071" s="0" t="str">
        <f aca="false">IF($C2071="","",IFERROR(VLOOKUP(--$C2071,MM_Income!$Z$5:$AC$204,3,FALSE()),""))</f>
        <v/>
      </c>
    </row>
    <row r="2072" customFormat="false" ht="13.5" hidden="false" customHeight="false" outlineLevel="0" collapsed="false">
      <c r="N2072" s="1" t="str">
        <f aca="false">IF(C2072="","",IFERROR(VLOOKUP(C2072,Master_Mappings!$A$4:$E$85,3,FALSE()),"UNMAPPED"))</f>
        <v/>
      </c>
      <c r="P2072" s="1" t="str">
        <f aca="false">IF($C2072="","",$C2072&amp;"|"&amp;$E2072&amp;"|"&amp;$M2072&amp;"|"&amp;TEXT($G2072,"yyyy-mm-dd")&amp;"|"&amp;LEFT($J2072,40))</f>
        <v/>
      </c>
      <c r="Q2072" s="11" t="str">
        <f aca="false">IF(P2072="","",IF(COUNTIF($P$2:$P$3000,P2072)&gt;1,"DUPLICATE","OK"))</f>
        <v/>
      </c>
      <c r="R2072" s="0" t="str">
        <f aca="false">IF($C2072="","",IFERROR(VLOOKUP(--$C2072,MM_Income!$Z$5:$AC$204,3,FALSE()),""))</f>
        <v/>
      </c>
    </row>
    <row r="2073" customFormat="false" ht="13.5" hidden="false" customHeight="false" outlineLevel="0" collapsed="false">
      <c r="N2073" s="1" t="str">
        <f aca="false">IF(C2073="","",IFERROR(VLOOKUP(C2073,Master_Mappings!$A$4:$E$85,3,FALSE()),"UNMAPPED"))</f>
        <v/>
      </c>
      <c r="P2073" s="1" t="str">
        <f aca="false">IF($C2073="","",$C2073&amp;"|"&amp;$E2073&amp;"|"&amp;$M2073&amp;"|"&amp;TEXT($G2073,"yyyy-mm-dd")&amp;"|"&amp;LEFT($J2073,40))</f>
        <v/>
      </c>
      <c r="Q2073" s="11" t="str">
        <f aca="false">IF(P2073="","",IF(COUNTIF($P$2:$P$3000,P2073)&gt;1,"DUPLICATE","OK"))</f>
        <v/>
      </c>
      <c r="R2073" s="0" t="str">
        <f aca="false">IF($C2073="","",IFERROR(VLOOKUP(--$C2073,MM_Income!$Z$5:$AC$204,3,FALSE()),""))</f>
        <v/>
      </c>
    </row>
    <row r="2074" customFormat="false" ht="13.5" hidden="false" customHeight="false" outlineLevel="0" collapsed="false">
      <c r="N2074" s="1" t="str">
        <f aca="false">IF(C2074="","",IFERROR(VLOOKUP(C2074,Master_Mappings!$A$4:$E$85,3,FALSE()),"UNMAPPED"))</f>
        <v/>
      </c>
      <c r="P2074" s="1" t="str">
        <f aca="false">IF($C2074="","",$C2074&amp;"|"&amp;$E2074&amp;"|"&amp;$M2074&amp;"|"&amp;TEXT($G2074,"yyyy-mm-dd")&amp;"|"&amp;LEFT($J2074,40))</f>
        <v/>
      </c>
      <c r="Q2074" s="11" t="str">
        <f aca="false">IF(P2074="","",IF(COUNTIF($P$2:$P$3000,P2074)&gt;1,"DUPLICATE","OK"))</f>
        <v/>
      </c>
      <c r="R2074" s="0" t="str">
        <f aca="false">IF($C2074="","",IFERROR(VLOOKUP(--$C2074,MM_Income!$Z$5:$AC$204,3,FALSE()),""))</f>
        <v/>
      </c>
    </row>
    <row r="2075" customFormat="false" ht="13.5" hidden="false" customHeight="false" outlineLevel="0" collapsed="false">
      <c r="N2075" s="1" t="str">
        <f aca="false">IF(C2075="","",IFERROR(VLOOKUP(C2075,Master_Mappings!$A$4:$E$85,3,FALSE()),"UNMAPPED"))</f>
        <v/>
      </c>
      <c r="P2075" s="1" t="str">
        <f aca="false">IF($C2075="","",$C2075&amp;"|"&amp;$E2075&amp;"|"&amp;$M2075&amp;"|"&amp;TEXT($G2075,"yyyy-mm-dd")&amp;"|"&amp;LEFT($J2075,40))</f>
        <v/>
      </c>
      <c r="Q2075" s="11" t="str">
        <f aca="false">IF(P2075="","",IF(COUNTIF($P$2:$P$3000,P2075)&gt;1,"DUPLICATE","OK"))</f>
        <v/>
      </c>
      <c r="R2075" s="0" t="str">
        <f aca="false">IF($C2075="","",IFERROR(VLOOKUP(--$C2075,MM_Income!$Z$5:$AC$204,3,FALSE()),""))</f>
        <v/>
      </c>
    </row>
    <row r="2076" customFormat="false" ht="13.5" hidden="false" customHeight="false" outlineLevel="0" collapsed="false">
      <c r="N2076" s="1" t="str">
        <f aca="false">IF(C2076="","",IFERROR(VLOOKUP(C2076,Master_Mappings!$A$4:$E$85,3,FALSE()),"UNMAPPED"))</f>
        <v/>
      </c>
      <c r="P2076" s="1" t="str">
        <f aca="false">IF($C2076="","",$C2076&amp;"|"&amp;$E2076&amp;"|"&amp;$M2076&amp;"|"&amp;TEXT($G2076,"yyyy-mm-dd")&amp;"|"&amp;LEFT($J2076,40))</f>
        <v/>
      </c>
      <c r="Q2076" s="11" t="str">
        <f aca="false">IF(P2076="","",IF(COUNTIF($P$2:$P$3000,P2076)&gt;1,"DUPLICATE","OK"))</f>
        <v/>
      </c>
      <c r="R2076" s="0" t="str">
        <f aca="false">IF($C2076="","",IFERROR(VLOOKUP(--$C2076,MM_Income!$Z$5:$AC$204,3,FALSE()),""))</f>
        <v/>
      </c>
    </row>
    <row r="2077" customFormat="false" ht="13.5" hidden="false" customHeight="false" outlineLevel="0" collapsed="false">
      <c r="N2077" s="1" t="str">
        <f aca="false">IF(C2077="","",IFERROR(VLOOKUP(C2077,Master_Mappings!$A$4:$E$85,3,FALSE()),"UNMAPPED"))</f>
        <v/>
      </c>
      <c r="P2077" s="1" t="str">
        <f aca="false">IF($C2077="","",$C2077&amp;"|"&amp;$E2077&amp;"|"&amp;$M2077&amp;"|"&amp;TEXT($G2077,"yyyy-mm-dd")&amp;"|"&amp;LEFT($J2077,40))</f>
        <v/>
      </c>
      <c r="Q2077" s="11" t="str">
        <f aca="false">IF(P2077="","",IF(COUNTIF($P$2:$P$3000,P2077)&gt;1,"DUPLICATE","OK"))</f>
        <v/>
      </c>
      <c r="R2077" s="0" t="str">
        <f aca="false">IF($C2077="","",IFERROR(VLOOKUP(--$C2077,MM_Income!$Z$5:$AC$204,3,FALSE()),""))</f>
        <v/>
      </c>
    </row>
    <row r="2078" customFormat="false" ht="13.5" hidden="false" customHeight="false" outlineLevel="0" collapsed="false">
      <c r="N2078" s="1" t="str">
        <f aca="false">IF(C2078="","",IFERROR(VLOOKUP(C2078,Master_Mappings!$A$4:$E$85,3,FALSE()),"UNMAPPED"))</f>
        <v/>
      </c>
      <c r="P2078" s="1" t="str">
        <f aca="false">IF($C2078="","",$C2078&amp;"|"&amp;$E2078&amp;"|"&amp;$M2078&amp;"|"&amp;TEXT($G2078,"yyyy-mm-dd")&amp;"|"&amp;LEFT($J2078,40))</f>
        <v/>
      </c>
      <c r="Q2078" s="11" t="str">
        <f aca="false">IF(P2078="","",IF(COUNTIF($P$2:$P$3000,P2078)&gt;1,"DUPLICATE","OK"))</f>
        <v/>
      </c>
      <c r="R2078" s="0" t="str">
        <f aca="false">IF($C2078="","",IFERROR(VLOOKUP(--$C2078,MM_Income!$Z$5:$AC$204,3,FALSE()),""))</f>
        <v/>
      </c>
    </row>
    <row r="2079" customFormat="false" ht="13.5" hidden="false" customHeight="false" outlineLevel="0" collapsed="false">
      <c r="N2079" s="1" t="str">
        <f aca="false">IF(C2079="","",IFERROR(VLOOKUP(C2079,Master_Mappings!$A$4:$E$85,3,FALSE()),"UNMAPPED"))</f>
        <v/>
      </c>
      <c r="P2079" s="1" t="str">
        <f aca="false">IF($C2079="","",$C2079&amp;"|"&amp;$E2079&amp;"|"&amp;$M2079&amp;"|"&amp;TEXT($G2079,"yyyy-mm-dd")&amp;"|"&amp;LEFT($J2079,40))</f>
        <v/>
      </c>
      <c r="Q2079" s="11" t="str">
        <f aca="false">IF(P2079="","",IF(COUNTIF($P$2:$P$3000,P2079)&gt;1,"DUPLICATE","OK"))</f>
        <v/>
      </c>
      <c r="R2079" s="0" t="str">
        <f aca="false">IF($C2079="","",IFERROR(VLOOKUP(--$C2079,MM_Income!$Z$5:$AC$204,3,FALSE()),""))</f>
        <v/>
      </c>
    </row>
    <row r="2080" customFormat="false" ht="13.5" hidden="false" customHeight="false" outlineLevel="0" collapsed="false">
      <c r="N2080" s="1" t="str">
        <f aca="false">IF(C2080="","",IFERROR(VLOOKUP(C2080,Master_Mappings!$A$4:$E$85,3,FALSE()),"UNMAPPED"))</f>
        <v/>
      </c>
      <c r="P2080" s="1" t="str">
        <f aca="false">IF($C2080="","",$C2080&amp;"|"&amp;$E2080&amp;"|"&amp;$M2080&amp;"|"&amp;TEXT($G2080,"yyyy-mm-dd")&amp;"|"&amp;LEFT($J2080,40))</f>
        <v/>
      </c>
      <c r="Q2080" s="11" t="str">
        <f aca="false">IF(P2080="","",IF(COUNTIF($P$2:$P$3000,P2080)&gt;1,"DUPLICATE","OK"))</f>
        <v/>
      </c>
      <c r="R2080" s="0" t="str">
        <f aca="false">IF($C2080="","",IFERROR(VLOOKUP(--$C2080,MM_Income!$Z$5:$AC$204,3,FALSE()),""))</f>
        <v/>
      </c>
    </row>
    <row r="2081" customFormat="false" ht="13.5" hidden="false" customHeight="false" outlineLevel="0" collapsed="false">
      <c r="N2081" s="1" t="str">
        <f aca="false">IF(C2081="","",IFERROR(VLOOKUP(C2081,Master_Mappings!$A$4:$E$85,3,FALSE()),"UNMAPPED"))</f>
        <v/>
      </c>
      <c r="P2081" s="1" t="str">
        <f aca="false">IF($C2081="","",$C2081&amp;"|"&amp;$E2081&amp;"|"&amp;$M2081&amp;"|"&amp;TEXT($G2081,"yyyy-mm-dd")&amp;"|"&amp;LEFT($J2081,40))</f>
        <v/>
      </c>
      <c r="Q2081" s="11" t="str">
        <f aca="false">IF(P2081="","",IF(COUNTIF($P$2:$P$3000,P2081)&gt;1,"DUPLICATE","OK"))</f>
        <v/>
      </c>
      <c r="R2081" s="0" t="str">
        <f aca="false">IF($C2081="","",IFERROR(VLOOKUP(--$C2081,MM_Income!$Z$5:$AC$204,3,FALSE()),""))</f>
        <v/>
      </c>
    </row>
    <row r="2082" customFormat="false" ht="13.5" hidden="false" customHeight="false" outlineLevel="0" collapsed="false">
      <c r="N2082" s="1" t="str">
        <f aca="false">IF(C2082="","",IFERROR(VLOOKUP(C2082,Master_Mappings!$A$4:$E$85,3,FALSE()),"UNMAPPED"))</f>
        <v/>
      </c>
      <c r="P2082" s="1" t="str">
        <f aca="false">IF($C2082="","",$C2082&amp;"|"&amp;$E2082&amp;"|"&amp;$M2082&amp;"|"&amp;TEXT($G2082,"yyyy-mm-dd")&amp;"|"&amp;LEFT($J2082,40))</f>
        <v/>
      </c>
      <c r="Q2082" s="11" t="str">
        <f aca="false">IF(P2082="","",IF(COUNTIF($P$2:$P$3000,P2082)&gt;1,"DUPLICATE","OK"))</f>
        <v/>
      </c>
      <c r="R2082" s="0" t="str">
        <f aca="false">IF($C2082="","",IFERROR(VLOOKUP(--$C2082,MM_Income!$Z$5:$AC$204,3,FALSE()),""))</f>
        <v/>
      </c>
    </row>
    <row r="2083" customFormat="false" ht="13.5" hidden="false" customHeight="false" outlineLevel="0" collapsed="false">
      <c r="N2083" s="1" t="str">
        <f aca="false">IF(C2083="","",IFERROR(VLOOKUP(C2083,Master_Mappings!$A$4:$E$85,3,FALSE()),"UNMAPPED"))</f>
        <v/>
      </c>
      <c r="P2083" s="1" t="str">
        <f aca="false">IF($C2083="","",$C2083&amp;"|"&amp;$E2083&amp;"|"&amp;$M2083&amp;"|"&amp;TEXT($G2083,"yyyy-mm-dd")&amp;"|"&amp;LEFT($J2083,40))</f>
        <v/>
      </c>
      <c r="Q2083" s="11" t="str">
        <f aca="false">IF(P2083="","",IF(COUNTIF($P$2:$P$3000,P2083)&gt;1,"DUPLICATE","OK"))</f>
        <v/>
      </c>
      <c r="R2083" s="0" t="str">
        <f aca="false">IF($C2083="","",IFERROR(VLOOKUP(--$C2083,MM_Income!$Z$5:$AC$204,3,FALSE()),""))</f>
        <v/>
      </c>
    </row>
    <row r="2084" customFormat="false" ht="13.5" hidden="false" customHeight="false" outlineLevel="0" collapsed="false">
      <c r="N2084" s="1" t="str">
        <f aca="false">IF(C2084="","",IFERROR(VLOOKUP(C2084,Master_Mappings!$A$4:$E$85,3,FALSE()),"UNMAPPED"))</f>
        <v/>
      </c>
      <c r="P2084" s="1" t="str">
        <f aca="false">IF($C2084="","",$C2084&amp;"|"&amp;$E2084&amp;"|"&amp;$M2084&amp;"|"&amp;TEXT($G2084,"yyyy-mm-dd")&amp;"|"&amp;LEFT($J2084,40))</f>
        <v/>
      </c>
      <c r="Q2084" s="11" t="str">
        <f aca="false">IF(P2084="","",IF(COUNTIF($P$2:$P$3000,P2084)&gt;1,"DUPLICATE","OK"))</f>
        <v/>
      </c>
      <c r="R2084" s="0" t="str">
        <f aca="false">IF($C2084="","",IFERROR(VLOOKUP(--$C2084,MM_Income!$Z$5:$AC$204,3,FALSE()),""))</f>
        <v/>
      </c>
    </row>
    <row r="2085" customFormat="false" ht="13.5" hidden="false" customHeight="false" outlineLevel="0" collapsed="false">
      <c r="N2085" s="1" t="str">
        <f aca="false">IF(C2085="","",IFERROR(VLOOKUP(C2085,Master_Mappings!$A$4:$E$85,3,FALSE()),"UNMAPPED"))</f>
        <v/>
      </c>
      <c r="P2085" s="1" t="str">
        <f aca="false">IF($C2085="","",$C2085&amp;"|"&amp;$E2085&amp;"|"&amp;$M2085&amp;"|"&amp;TEXT($G2085,"yyyy-mm-dd")&amp;"|"&amp;LEFT($J2085,40))</f>
        <v/>
      </c>
      <c r="Q2085" s="11" t="str">
        <f aca="false">IF(P2085="","",IF(COUNTIF($P$2:$P$3000,P2085)&gt;1,"DUPLICATE","OK"))</f>
        <v/>
      </c>
      <c r="R2085" s="0" t="str">
        <f aca="false">IF($C2085="","",IFERROR(VLOOKUP(--$C2085,MM_Income!$Z$5:$AC$204,3,FALSE()),""))</f>
        <v/>
      </c>
    </row>
    <row r="2086" customFormat="false" ht="13.5" hidden="false" customHeight="false" outlineLevel="0" collapsed="false">
      <c r="N2086" s="1" t="str">
        <f aca="false">IF(C2086="","",IFERROR(VLOOKUP(C2086,Master_Mappings!$A$4:$E$85,3,FALSE()),"UNMAPPED"))</f>
        <v/>
      </c>
      <c r="P2086" s="1" t="str">
        <f aca="false">IF($C2086="","",$C2086&amp;"|"&amp;$E2086&amp;"|"&amp;$M2086&amp;"|"&amp;TEXT($G2086,"yyyy-mm-dd")&amp;"|"&amp;LEFT($J2086,40))</f>
        <v/>
      </c>
      <c r="Q2086" s="11" t="str">
        <f aca="false">IF(P2086="","",IF(COUNTIF($P$2:$P$3000,P2086)&gt;1,"DUPLICATE","OK"))</f>
        <v/>
      </c>
      <c r="R2086" s="0" t="str">
        <f aca="false">IF($C2086="","",IFERROR(VLOOKUP(--$C2086,MM_Income!$Z$5:$AC$204,3,FALSE()),""))</f>
        <v/>
      </c>
    </row>
    <row r="2087" customFormat="false" ht="13.5" hidden="false" customHeight="false" outlineLevel="0" collapsed="false">
      <c r="N2087" s="1" t="str">
        <f aca="false">IF(C2087="","",IFERROR(VLOOKUP(C2087,Master_Mappings!$A$4:$E$85,3,FALSE()),"UNMAPPED"))</f>
        <v/>
      </c>
      <c r="P2087" s="1" t="str">
        <f aca="false">IF($C2087="","",$C2087&amp;"|"&amp;$E2087&amp;"|"&amp;$M2087&amp;"|"&amp;TEXT($G2087,"yyyy-mm-dd")&amp;"|"&amp;LEFT($J2087,40))</f>
        <v/>
      </c>
      <c r="Q2087" s="11" t="str">
        <f aca="false">IF(P2087="","",IF(COUNTIF($P$2:$P$3000,P2087)&gt;1,"DUPLICATE","OK"))</f>
        <v/>
      </c>
      <c r="R2087" s="0" t="str">
        <f aca="false">IF($C2087="","",IFERROR(VLOOKUP(--$C2087,MM_Income!$Z$5:$AC$204,3,FALSE()),""))</f>
        <v/>
      </c>
    </row>
    <row r="2088" customFormat="false" ht="13.5" hidden="false" customHeight="false" outlineLevel="0" collapsed="false">
      <c r="N2088" s="1" t="str">
        <f aca="false">IF(C2088="","",IFERROR(VLOOKUP(C2088,Master_Mappings!$A$4:$E$85,3,FALSE()),"UNMAPPED"))</f>
        <v/>
      </c>
      <c r="P2088" s="1" t="str">
        <f aca="false">IF($C2088="","",$C2088&amp;"|"&amp;$E2088&amp;"|"&amp;$M2088&amp;"|"&amp;TEXT($G2088,"yyyy-mm-dd")&amp;"|"&amp;LEFT($J2088,40))</f>
        <v/>
      </c>
      <c r="Q2088" s="11" t="str">
        <f aca="false">IF(P2088="","",IF(COUNTIF($P$2:$P$3000,P2088)&gt;1,"DUPLICATE","OK"))</f>
        <v/>
      </c>
      <c r="R2088" s="0" t="str">
        <f aca="false">IF($C2088="","",IFERROR(VLOOKUP(--$C2088,MM_Income!$Z$5:$AC$204,3,FALSE()),""))</f>
        <v/>
      </c>
    </row>
    <row r="2089" customFormat="false" ht="13.5" hidden="false" customHeight="false" outlineLevel="0" collapsed="false">
      <c r="N2089" s="1" t="str">
        <f aca="false">IF(C2089="","",IFERROR(VLOOKUP(C2089,Master_Mappings!$A$4:$E$85,3,FALSE()),"UNMAPPED"))</f>
        <v/>
      </c>
      <c r="P2089" s="1" t="str">
        <f aca="false">IF($C2089="","",$C2089&amp;"|"&amp;$E2089&amp;"|"&amp;$M2089&amp;"|"&amp;TEXT($G2089,"yyyy-mm-dd")&amp;"|"&amp;LEFT($J2089,40))</f>
        <v/>
      </c>
      <c r="Q2089" s="11" t="str">
        <f aca="false">IF(P2089="","",IF(COUNTIF($P$2:$P$3000,P2089)&gt;1,"DUPLICATE","OK"))</f>
        <v/>
      </c>
      <c r="R2089" s="0" t="str">
        <f aca="false">IF($C2089="","",IFERROR(VLOOKUP(--$C2089,MM_Income!$Z$5:$AC$204,3,FALSE()),""))</f>
        <v/>
      </c>
    </row>
    <row r="2090" customFormat="false" ht="13.5" hidden="false" customHeight="false" outlineLevel="0" collapsed="false">
      <c r="N2090" s="1" t="str">
        <f aca="false">IF(C2090="","",IFERROR(VLOOKUP(C2090,Master_Mappings!$A$4:$E$85,3,FALSE()),"UNMAPPED"))</f>
        <v/>
      </c>
      <c r="P2090" s="1" t="str">
        <f aca="false">IF($C2090="","",$C2090&amp;"|"&amp;$E2090&amp;"|"&amp;$M2090&amp;"|"&amp;TEXT($G2090,"yyyy-mm-dd")&amp;"|"&amp;LEFT($J2090,40))</f>
        <v/>
      </c>
      <c r="Q2090" s="11" t="str">
        <f aca="false">IF(P2090="","",IF(COUNTIF($P$2:$P$3000,P2090)&gt;1,"DUPLICATE","OK"))</f>
        <v/>
      </c>
      <c r="R2090" s="0" t="str">
        <f aca="false">IF($C2090="","",IFERROR(VLOOKUP(--$C2090,MM_Income!$Z$5:$AC$204,3,FALSE()),""))</f>
        <v/>
      </c>
    </row>
    <row r="2091" customFormat="false" ht="13.5" hidden="false" customHeight="false" outlineLevel="0" collapsed="false">
      <c r="N2091" s="1" t="str">
        <f aca="false">IF(C2091="","",IFERROR(VLOOKUP(C2091,Master_Mappings!$A$4:$E$85,3,FALSE()),"UNMAPPED"))</f>
        <v/>
      </c>
      <c r="P2091" s="1" t="str">
        <f aca="false">IF($C2091="","",$C2091&amp;"|"&amp;$E2091&amp;"|"&amp;$M2091&amp;"|"&amp;TEXT($G2091,"yyyy-mm-dd")&amp;"|"&amp;LEFT($J2091,40))</f>
        <v/>
      </c>
      <c r="Q2091" s="11" t="str">
        <f aca="false">IF(P2091="","",IF(COUNTIF($P$2:$P$3000,P2091)&gt;1,"DUPLICATE","OK"))</f>
        <v/>
      </c>
      <c r="R2091" s="0" t="str">
        <f aca="false">IF($C2091="","",IFERROR(VLOOKUP(--$C2091,MM_Income!$Z$5:$AC$204,3,FALSE()),""))</f>
        <v/>
      </c>
    </row>
    <row r="2092" customFormat="false" ht="13.5" hidden="false" customHeight="false" outlineLevel="0" collapsed="false">
      <c r="N2092" s="1" t="str">
        <f aca="false">IF(C2092="","",IFERROR(VLOOKUP(C2092,Master_Mappings!$A$4:$E$85,3,FALSE()),"UNMAPPED"))</f>
        <v/>
      </c>
      <c r="P2092" s="1" t="str">
        <f aca="false">IF($C2092="","",$C2092&amp;"|"&amp;$E2092&amp;"|"&amp;$M2092&amp;"|"&amp;TEXT($G2092,"yyyy-mm-dd")&amp;"|"&amp;LEFT($J2092,40))</f>
        <v/>
      </c>
      <c r="Q2092" s="11" t="str">
        <f aca="false">IF(P2092="","",IF(COUNTIF($P$2:$P$3000,P2092)&gt;1,"DUPLICATE","OK"))</f>
        <v/>
      </c>
      <c r="R2092" s="0" t="str">
        <f aca="false">IF($C2092="","",IFERROR(VLOOKUP(--$C2092,MM_Income!$Z$5:$AC$204,3,FALSE()),""))</f>
        <v/>
      </c>
    </row>
    <row r="2093" customFormat="false" ht="13.5" hidden="false" customHeight="false" outlineLevel="0" collapsed="false">
      <c r="N2093" s="1" t="str">
        <f aca="false">IF(C2093="","",IFERROR(VLOOKUP(C2093,Master_Mappings!$A$4:$E$85,3,FALSE()),"UNMAPPED"))</f>
        <v/>
      </c>
      <c r="P2093" s="1" t="str">
        <f aca="false">IF($C2093="","",$C2093&amp;"|"&amp;$E2093&amp;"|"&amp;$M2093&amp;"|"&amp;TEXT($G2093,"yyyy-mm-dd")&amp;"|"&amp;LEFT($J2093,40))</f>
        <v/>
      </c>
      <c r="Q2093" s="11" t="str">
        <f aca="false">IF(P2093="","",IF(COUNTIF($P$2:$P$3000,P2093)&gt;1,"DUPLICATE","OK"))</f>
        <v/>
      </c>
      <c r="R2093" s="0" t="str">
        <f aca="false">IF($C2093="","",IFERROR(VLOOKUP(--$C2093,MM_Income!$Z$5:$AC$204,3,FALSE()),""))</f>
        <v/>
      </c>
    </row>
    <row r="2094" customFormat="false" ht="13.5" hidden="false" customHeight="false" outlineLevel="0" collapsed="false">
      <c r="N2094" s="1" t="str">
        <f aca="false">IF(C2094="","",IFERROR(VLOOKUP(C2094,Master_Mappings!$A$4:$E$85,3,FALSE()),"UNMAPPED"))</f>
        <v/>
      </c>
      <c r="P2094" s="1" t="str">
        <f aca="false">IF($C2094="","",$C2094&amp;"|"&amp;$E2094&amp;"|"&amp;$M2094&amp;"|"&amp;TEXT($G2094,"yyyy-mm-dd")&amp;"|"&amp;LEFT($J2094,40))</f>
        <v/>
      </c>
      <c r="Q2094" s="11" t="str">
        <f aca="false">IF(P2094="","",IF(COUNTIF($P$2:$P$3000,P2094)&gt;1,"DUPLICATE","OK"))</f>
        <v/>
      </c>
      <c r="R2094" s="0" t="str">
        <f aca="false">IF($C2094="","",IFERROR(VLOOKUP(--$C2094,MM_Income!$Z$5:$AC$204,3,FALSE()),""))</f>
        <v/>
      </c>
    </row>
    <row r="2095" customFormat="false" ht="13.5" hidden="false" customHeight="false" outlineLevel="0" collapsed="false">
      <c r="N2095" s="1" t="str">
        <f aca="false">IF(C2095="","",IFERROR(VLOOKUP(C2095,Master_Mappings!$A$4:$E$85,3,FALSE()),"UNMAPPED"))</f>
        <v/>
      </c>
      <c r="P2095" s="1" t="str">
        <f aca="false">IF($C2095="","",$C2095&amp;"|"&amp;$E2095&amp;"|"&amp;$M2095&amp;"|"&amp;TEXT($G2095,"yyyy-mm-dd")&amp;"|"&amp;LEFT($J2095,40))</f>
        <v/>
      </c>
      <c r="Q2095" s="11" t="str">
        <f aca="false">IF(P2095="","",IF(COUNTIF($P$2:$P$3000,P2095)&gt;1,"DUPLICATE","OK"))</f>
        <v/>
      </c>
      <c r="R2095" s="0" t="str">
        <f aca="false">IF($C2095="","",IFERROR(VLOOKUP(--$C2095,MM_Income!$Z$5:$AC$204,3,FALSE()),""))</f>
        <v/>
      </c>
    </row>
    <row r="2096" customFormat="false" ht="13.5" hidden="false" customHeight="false" outlineLevel="0" collapsed="false">
      <c r="N2096" s="1" t="str">
        <f aca="false">IF(C2096="","",IFERROR(VLOOKUP(C2096,Master_Mappings!$A$4:$E$85,3,FALSE()),"UNMAPPED"))</f>
        <v/>
      </c>
      <c r="P2096" s="1" t="str">
        <f aca="false">IF($C2096="","",$C2096&amp;"|"&amp;$E2096&amp;"|"&amp;$M2096&amp;"|"&amp;TEXT($G2096,"yyyy-mm-dd")&amp;"|"&amp;LEFT($J2096,40))</f>
        <v/>
      </c>
      <c r="Q2096" s="11" t="str">
        <f aca="false">IF(P2096="","",IF(COUNTIF($P$2:$P$3000,P2096)&gt;1,"DUPLICATE","OK"))</f>
        <v/>
      </c>
      <c r="R2096" s="0" t="str">
        <f aca="false">IF($C2096="","",IFERROR(VLOOKUP(--$C2096,MM_Income!$Z$5:$AC$204,3,FALSE()),""))</f>
        <v/>
      </c>
    </row>
    <row r="2097" customFormat="false" ht="13.5" hidden="false" customHeight="false" outlineLevel="0" collapsed="false">
      <c r="N2097" s="1" t="str">
        <f aca="false">IF(C2097="","",IFERROR(VLOOKUP(C2097,Master_Mappings!$A$4:$E$85,3,FALSE()),"UNMAPPED"))</f>
        <v/>
      </c>
      <c r="P2097" s="1" t="str">
        <f aca="false">IF($C2097="","",$C2097&amp;"|"&amp;$E2097&amp;"|"&amp;$M2097&amp;"|"&amp;TEXT($G2097,"yyyy-mm-dd")&amp;"|"&amp;LEFT($J2097,40))</f>
        <v/>
      </c>
      <c r="Q2097" s="11" t="str">
        <f aca="false">IF(P2097="","",IF(COUNTIF($P$2:$P$3000,P2097)&gt;1,"DUPLICATE","OK"))</f>
        <v/>
      </c>
      <c r="R2097" s="0" t="str">
        <f aca="false">IF($C2097="","",IFERROR(VLOOKUP(--$C2097,MM_Income!$Z$5:$AC$204,3,FALSE()),""))</f>
        <v/>
      </c>
    </row>
    <row r="2098" customFormat="false" ht="13.5" hidden="false" customHeight="false" outlineLevel="0" collapsed="false">
      <c r="N2098" s="1" t="str">
        <f aca="false">IF(C2098="","",IFERROR(VLOOKUP(C2098,Master_Mappings!$A$4:$E$85,3,FALSE()),"UNMAPPED"))</f>
        <v/>
      </c>
      <c r="P2098" s="1" t="str">
        <f aca="false">IF($C2098="","",$C2098&amp;"|"&amp;$E2098&amp;"|"&amp;$M2098&amp;"|"&amp;TEXT($G2098,"yyyy-mm-dd")&amp;"|"&amp;LEFT($J2098,40))</f>
        <v/>
      </c>
      <c r="Q2098" s="11" t="str">
        <f aca="false">IF(P2098="","",IF(COUNTIF($P$2:$P$3000,P2098)&gt;1,"DUPLICATE","OK"))</f>
        <v/>
      </c>
      <c r="R2098" s="0" t="str">
        <f aca="false">IF($C2098="","",IFERROR(VLOOKUP(--$C2098,MM_Income!$Z$5:$AC$204,3,FALSE()),""))</f>
        <v/>
      </c>
    </row>
    <row r="2099" customFormat="false" ht="13.5" hidden="false" customHeight="false" outlineLevel="0" collapsed="false">
      <c r="N2099" s="1" t="str">
        <f aca="false">IF(C2099="","",IFERROR(VLOOKUP(C2099,Master_Mappings!$A$4:$E$85,3,FALSE()),"UNMAPPED"))</f>
        <v/>
      </c>
      <c r="P2099" s="1" t="str">
        <f aca="false">IF($C2099="","",$C2099&amp;"|"&amp;$E2099&amp;"|"&amp;$M2099&amp;"|"&amp;TEXT($G2099,"yyyy-mm-dd")&amp;"|"&amp;LEFT($J2099,40))</f>
        <v/>
      </c>
      <c r="Q2099" s="11" t="str">
        <f aca="false">IF(P2099="","",IF(COUNTIF($P$2:$P$3000,P2099)&gt;1,"DUPLICATE","OK"))</f>
        <v/>
      </c>
      <c r="R2099" s="0" t="str">
        <f aca="false">IF($C2099="","",IFERROR(VLOOKUP(--$C2099,MM_Income!$Z$5:$AC$204,3,FALSE()),""))</f>
        <v/>
      </c>
    </row>
    <row r="2100" customFormat="false" ht="13.5" hidden="false" customHeight="false" outlineLevel="0" collapsed="false">
      <c r="N2100" s="1" t="str">
        <f aca="false">IF(C2100="","",IFERROR(VLOOKUP(C2100,Master_Mappings!$A$4:$E$85,3,FALSE()),"UNMAPPED"))</f>
        <v/>
      </c>
      <c r="P2100" s="1" t="str">
        <f aca="false">IF($C2100="","",$C2100&amp;"|"&amp;$E2100&amp;"|"&amp;$M2100&amp;"|"&amp;TEXT($G2100,"yyyy-mm-dd")&amp;"|"&amp;LEFT($J2100,40))</f>
        <v/>
      </c>
      <c r="Q2100" s="11" t="str">
        <f aca="false">IF(P2100="","",IF(COUNTIF($P$2:$P$3000,P2100)&gt;1,"DUPLICATE","OK"))</f>
        <v/>
      </c>
      <c r="R2100" s="0" t="str">
        <f aca="false">IF($C2100="","",IFERROR(VLOOKUP(--$C2100,MM_Income!$Z$5:$AC$204,3,FALSE()),""))</f>
        <v/>
      </c>
    </row>
    <row r="2101" customFormat="false" ht="13.5" hidden="false" customHeight="false" outlineLevel="0" collapsed="false">
      <c r="N2101" s="1" t="str">
        <f aca="false">IF(C2101="","",IFERROR(VLOOKUP(C2101,Master_Mappings!$A$4:$E$85,3,FALSE()),"UNMAPPED"))</f>
        <v/>
      </c>
      <c r="P2101" s="1" t="str">
        <f aca="false">IF($C2101="","",$C2101&amp;"|"&amp;$E2101&amp;"|"&amp;$M2101&amp;"|"&amp;TEXT($G2101,"yyyy-mm-dd")&amp;"|"&amp;LEFT($J2101,40))</f>
        <v/>
      </c>
      <c r="Q2101" s="11" t="str">
        <f aca="false">IF(P2101="","",IF(COUNTIF($P$2:$P$3000,P2101)&gt;1,"DUPLICATE","OK"))</f>
        <v/>
      </c>
      <c r="R2101" s="0" t="str">
        <f aca="false">IF($C2101="","",IFERROR(VLOOKUP(--$C2101,MM_Income!$Z$5:$AC$204,3,FALSE()),""))</f>
        <v/>
      </c>
    </row>
    <row r="2102" customFormat="false" ht="13.5" hidden="false" customHeight="false" outlineLevel="0" collapsed="false">
      <c r="N2102" s="1" t="str">
        <f aca="false">IF(C2102="","",IFERROR(VLOOKUP(C2102,Master_Mappings!$A$4:$E$85,3,FALSE()),"UNMAPPED"))</f>
        <v/>
      </c>
      <c r="P2102" s="1" t="str">
        <f aca="false">IF($C2102="","",$C2102&amp;"|"&amp;$E2102&amp;"|"&amp;$M2102&amp;"|"&amp;TEXT($G2102,"yyyy-mm-dd")&amp;"|"&amp;LEFT($J2102,40))</f>
        <v/>
      </c>
      <c r="Q2102" s="11" t="str">
        <f aca="false">IF(P2102="","",IF(COUNTIF($P$2:$P$3000,P2102)&gt;1,"DUPLICATE","OK"))</f>
        <v/>
      </c>
      <c r="R2102" s="0" t="str">
        <f aca="false">IF($C2102="","",IFERROR(VLOOKUP(--$C2102,MM_Income!$Z$5:$AC$204,3,FALSE()),""))</f>
        <v/>
      </c>
    </row>
    <row r="2103" customFormat="false" ht="13.5" hidden="false" customHeight="false" outlineLevel="0" collapsed="false">
      <c r="N2103" s="1" t="str">
        <f aca="false">IF(C2103="","",IFERROR(VLOOKUP(C2103,Master_Mappings!$A$4:$E$85,3,FALSE()),"UNMAPPED"))</f>
        <v/>
      </c>
      <c r="P2103" s="1" t="str">
        <f aca="false">IF($C2103="","",$C2103&amp;"|"&amp;$E2103&amp;"|"&amp;$M2103&amp;"|"&amp;TEXT($G2103,"yyyy-mm-dd")&amp;"|"&amp;LEFT($J2103,40))</f>
        <v/>
      </c>
      <c r="Q2103" s="11" t="str">
        <f aca="false">IF(P2103="","",IF(COUNTIF($P$2:$P$3000,P2103)&gt;1,"DUPLICATE","OK"))</f>
        <v/>
      </c>
      <c r="R2103" s="0" t="str">
        <f aca="false">IF($C2103="","",IFERROR(VLOOKUP(--$C2103,MM_Income!$Z$5:$AC$204,3,FALSE()),""))</f>
        <v/>
      </c>
    </row>
    <row r="2104" customFormat="false" ht="13.5" hidden="false" customHeight="false" outlineLevel="0" collapsed="false">
      <c r="N2104" s="1" t="str">
        <f aca="false">IF(C2104="","",IFERROR(VLOOKUP(C2104,Master_Mappings!$A$4:$E$85,3,FALSE()),"UNMAPPED"))</f>
        <v/>
      </c>
      <c r="P2104" s="1" t="str">
        <f aca="false">IF($C2104="","",$C2104&amp;"|"&amp;$E2104&amp;"|"&amp;$M2104&amp;"|"&amp;TEXT($G2104,"yyyy-mm-dd")&amp;"|"&amp;LEFT($J2104,40))</f>
        <v/>
      </c>
      <c r="Q2104" s="11" t="str">
        <f aca="false">IF(P2104="","",IF(COUNTIF($P$2:$P$3000,P2104)&gt;1,"DUPLICATE","OK"))</f>
        <v/>
      </c>
      <c r="R2104" s="0" t="str">
        <f aca="false">IF($C2104="","",IFERROR(VLOOKUP(--$C2104,MM_Income!$Z$5:$AC$204,3,FALSE()),""))</f>
        <v/>
      </c>
    </row>
    <row r="2105" customFormat="false" ht="13.5" hidden="false" customHeight="false" outlineLevel="0" collapsed="false">
      <c r="N2105" s="1" t="str">
        <f aca="false">IF(C2105="","",IFERROR(VLOOKUP(C2105,Master_Mappings!$A$4:$E$85,3,FALSE()),"UNMAPPED"))</f>
        <v/>
      </c>
      <c r="P2105" s="1" t="str">
        <f aca="false">IF($C2105="","",$C2105&amp;"|"&amp;$E2105&amp;"|"&amp;$M2105&amp;"|"&amp;TEXT($G2105,"yyyy-mm-dd")&amp;"|"&amp;LEFT($J2105,40))</f>
        <v/>
      </c>
      <c r="Q2105" s="11" t="str">
        <f aca="false">IF(P2105="","",IF(COUNTIF($P$2:$P$3000,P2105)&gt;1,"DUPLICATE","OK"))</f>
        <v/>
      </c>
      <c r="R2105" s="0" t="str">
        <f aca="false">IF($C2105="","",IFERROR(VLOOKUP(--$C2105,MM_Income!$Z$5:$AC$204,3,FALSE()),""))</f>
        <v/>
      </c>
    </row>
    <row r="2106" customFormat="false" ht="13.5" hidden="false" customHeight="false" outlineLevel="0" collapsed="false">
      <c r="N2106" s="1" t="str">
        <f aca="false">IF(C2106="","",IFERROR(VLOOKUP(C2106,Master_Mappings!$A$4:$E$85,3,FALSE()),"UNMAPPED"))</f>
        <v/>
      </c>
      <c r="P2106" s="1" t="str">
        <f aca="false">IF($C2106="","",$C2106&amp;"|"&amp;$E2106&amp;"|"&amp;$M2106&amp;"|"&amp;TEXT($G2106,"yyyy-mm-dd")&amp;"|"&amp;LEFT($J2106,40))</f>
        <v/>
      </c>
      <c r="Q2106" s="11" t="str">
        <f aca="false">IF(P2106="","",IF(COUNTIF($P$2:$P$3000,P2106)&gt;1,"DUPLICATE","OK"))</f>
        <v/>
      </c>
      <c r="R2106" s="0" t="str">
        <f aca="false">IF($C2106="","",IFERROR(VLOOKUP(--$C2106,MM_Income!$Z$5:$AC$204,3,FALSE()),""))</f>
        <v/>
      </c>
    </row>
    <row r="2107" customFormat="false" ht="13.5" hidden="false" customHeight="false" outlineLevel="0" collapsed="false">
      <c r="N2107" s="1" t="str">
        <f aca="false">IF(C2107="","",IFERROR(VLOOKUP(C2107,Master_Mappings!$A$4:$E$85,3,FALSE()),"UNMAPPED"))</f>
        <v/>
      </c>
      <c r="P2107" s="1" t="str">
        <f aca="false">IF($C2107="","",$C2107&amp;"|"&amp;$E2107&amp;"|"&amp;$M2107&amp;"|"&amp;TEXT($G2107,"yyyy-mm-dd")&amp;"|"&amp;LEFT($J2107,40))</f>
        <v/>
      </c>
      <c r="Q2107" s="11" t="str">
        <f aca="false">IF(P2107="","",IF(COUNTIF($P$2:$P$3000,P2107)&gt;1,"DUPLICATE","OK"))</f>
        <v/>
      </c>
      <c r="R2107" s="0" t="str">
        <f aca="false">IF($C2107="","",IFERROR(VLOOKUP(--$C2107,MM_Income!$Z$5:$AC$204,3,FALSE()),""))</f>
        <v/>
      </c>
    </row>
    <row r="2108" customFormat="false" ht="13.5" hidden="false" customHeight="false" outlineLevel="0" collapsed="false">
      <c r="N2108" s="1" t="str">
        <f aca="false">IF(C2108="","",IFERROR(VLOOKUP(C2108,Master_Mappings!$A$4:$E$85,3,FALSE()),"UNMAPPED"))</f>
        <v/>
      </c>
      <c r="P2108" s="1" t="str">
        <f aca="false">IF($C2108="","",$C2108&amp;"|"&amp;$E2108&amp;"|"&amp;$M2108&amp;"|"&amp;TEXT($G2108,"yyyy-mm-dd")&amp;"|"&amp;LEFT($J2108,40))</f>
        <v/>
      </c>
      <c r="Q2108" s="11" t="str">
        <f aca="false">IF(P2108="","",IF(COUNTIF($P$2:$P$3000,P2108)&gt;1,"DUPLICATE","OK"))</f>
        <v/>
      </c>
      <c r="R2108" s="0" t="str">
        <f aca="false">IF($C2108="","",IFERROR(VLOOKUP(--$C2108,MM_Income!$Z$5:$AC$204,3,FALSE()),""))</f>
        <v/>
      </c>
    </row>
    <row r="2109" customFormat="false" ht="13.5" hidden="false" customHeight="false" outlineLevel="0" collapsed="false">
      <c r="N2109" s="1" t="str">
        <f aca="false">IF(C2109="","",IFERROR(VLOOKUP(C2109,Master_Mappings!$A$4:$E$85,3,FALSE()),"UNMAPPED"))</f>
        <v/>
      </c>
      <c r="P2109" s="1" t="str">
        <f aca="false">IF($C2109="","",$C2109&amp;"|"&amp;$E2109&amp;"|"&amp;$M2109&amp;"|"&amp;TEXT($G2109,"yyyy-mm-dd")&amp;"|"&amp;LEFT($J2109,40))</f>
        <v/>
      </c>
      <c r="Q2109" s="11" t="str">
        <f aca="false">IF(P2109="","",IF(COUNTIF($P$2:$P$3000,P2109)&gt;1,"DUPLICATE","OK"))</f>
        <v/>
      </c>
      <c r="R2109" s="0" t="str">
        <f aca="false">IF($C2109="","",IFERROR(VLOOKUP(--$C2109,MM_Income!$Z$5:$AC$204,3,FALSE()),""))</f>
        <v/>
      </c>
    </row>
    <row r="2110" customFormat="false" ht="13.5" hidden="false" customHeight="false" outlineLevel="0" collapsed="false">
      <c r="N2110" s="1" t="str">
        <f aca="false">IF(C2110="","",IFERROR(VLOOKUP(C2110,Master_Mappings!$A$4:$E$85,3,FALSE()),"UNMAPPED"))</f>
        <v/>
      </c>
      <c r="P2110" s="1" t="str">
        <f aca="false">IF($C2110="","",$C2110&amp;"|"&amp;$E2110&amp;"|"&amp;$M2110&amp;"|"&amp;TEXT($G2110,"yyyy-mm-dd")&amp;"|"&amp;LEFT($J2110,40))</f>
        <v/>
      </c>
      <c r="Q2110" s="11" t="str">
        <f aca="false">IF(P2110="","",IF(COUNTIF($P$2:$P$3000,P2110)&gt;1,"DUPLICATE","OK"))</f>
        <v/>
      </c>
      <c r="R2110" s="0" t="str">
        <f aca="false">IF($C2110="","",IFERROR(VLOOKUP(--$C2110,MM_Income!$Z$5:$AC$204,3,FALSE()),""))</f>
        <v/>
      </c>
    </row>
    <row r="2111" customFormat="false" ht="13.5" hidden="false" customHeight="false" outlineLevel="0" collapsed="false">
      <c r="N2111" s="1" t="str">
        <f aca="false">IF(C2111="","",IFERROR(VLOOKUP(C2111,Master_Mappings!$A$4:$E$85,3,FALSE()),"UNMAPPED"))</f>
        <v/>
      </c>
      <c r="P2111" s="1" t="str">
        <f aca="false">IF($C2111="","",$C2111&amp;"|"&amp;$E2111&amp;"|"&amp;$M2111&amp;"|"&amp;TEXT($G2111,"yyyy-mm-dd")&amp;"|"&amp;LEFT($J2111,40))</f>
        <v/>
      </c>
      <c r="Q2111" s="11" t="str">
        <f aca="false">IF(P2111="","",IF(COUNTIF($P$2:$P$3000,P2111)&gt;1,"DUPLICATE","OK"))</f>
        <v/>
      </c>
      <c r="R2111" s="0" t="str">
        <f aca="false">IF($C2111="","",IFERROR(VLOOKUP(--$C2111,MM_Income!$Z$5:$AC$204,3,FALSE()),""))</f>
        <v/>
      </c>
    </row>
    <row r="2112" customFormat="false" ht="13.5" hidden="false" customHeight="false" outlineLevel="0" collapsed="false">
      <c r="N2112" s="1" t="str">
        <f aca="false">IF(C2112="","",IFERROR(VLOOKUP(C2112,Master_Mappings!$A$4:$E$85,3,FALSE()),"UNMAPPED"))</f>
        <v/>
      </c>
      <c r="P2112" s="1" t="str">
        <f aca="false">IF($C2112="","",$C2112&amp;"|"&amp;$E2112&amp;"|"&amp;$M2112&amp;"|"&amp;TEXT($G2112,"yyyy-mm-dd")&amp;"|"&amp;LEFT($J2112,40))</f>
        <v/>
      </c>
      <c r="Q2112" s="11" t="str">
        <f aca="false">IF(P2112="","",IF(COUNTIF($P$2:$P$3000,P2112)&gt;1,"DUPLICATE","OK"))</f>
        <v/>
      </c>
      <c r="R2112" s="0" t="str">
        <f aca="false">IF($C2112="","",IFERROR(VLOOKUP(--$C2112,MM_Income!$Z$5:$AC$204,3,FALSE()),""))</f>
        <v/>
      </c>
    </row>
    <row r="2113" customFormat="false" ht="13.5" hidden="false" customHeight="false" outlineLevel="0" collapsed="false">
      <c r="N2113" s="1" t="str">
        <f aca="false">IF(C2113="","",IFERROR(VLOOKUP(C2113,Master_Mappings!$A$4:$E$85,3,FALSE()),"UNMAPPED"))</f>
        <v/>
      </c>
      <c r="P2113" s="1" t="str">
        <f aca="false">IF($C2113="","",$C2113&amp;"|"&amp;$E2113&amp;"|"&amp;$M2113&amp;"|"&amp;TEXT($G2113,"yyyy-mm-dd")&amp;"|"&amp;LEFT($J2113,40))</f>
        <v/>
      </c>
      <c r="Q2113" s="11" t="str">
        <f aca="false">IF(P2113="","",IF(COUNTIF($P$2:$P$3000,P2113)&gt;1,"DUPLICATE","OK"))</f>
        <v/>
      </c>
      <c r="R2113" s="0" t="str">
        <f aca="false">IF($C2113="","",IFERROR(VLOOKUP(--$C2113,MM_Income!$Z$5:$AC$204,3,FALSE()),""))</f>
        <v/>
      </c>
    </row>
    <row r="2114" customFormat="false" ht="13.5" hidden="false" customHeight="false" outlineLevel="0" collapsed="false">
      <c r="N2114" s="1" t="str">
        <f aca="false">IF(C2114="","",IFERROR(VLOOKUP(C2114,Master_Mappings!$A$4:$E$85,3,FALSE()),"UNMAPPED"))</f>
        <v/>
      </c>
      <c r="P2114" s="1" t="str">
        <f aca="false">IF($C2114="","",$C2114&amp;"|"&amp;$E2114&amp;"|"&amp;$M2114&amp;"|"&amp;TEXT($G2114,"yyyy-mm-dd")&amp;"|"&amp;LEFT($J2114,40))</f>
        <v/>
      </c>
      <c r="Q2114" s="11" t="str">
        <f aca="false">IF(P2114="","",IF(COUNTIF($P$2:$P$3000,P2114)&gt;1,"DUPLICATE","OK"))</f>
        <v/>
      </c>
      <c r="R2114" s="0" t="str">
        <f aca="false">IF($C2114="","",IFERROR(VLOOKUP(--$C2114,MM_Income!$Z$5:$AC$204,3,FALSE()),""))</f>
        <v/>
      </c>
    </row>
    <row r="2115" customFormat="false" ht="13.5" hidden="false" customHeight="false" outlineLevel="0" collapsed="false">
      <c r="N2115" s="1" t="str">
        <f aca="false">IF(C2115="","",IFERROR(VLOOKUP(C2115,Master_Mappings!$A$4:$E$85,3,FALSE()),"UNMAPPED"))</f>
        <v/>
      </c>
      <c r="P2115" s="1" t="str">
        <f aca="false">IF($C2115="","",$C2115&amp;"|"&amp;$E2115&amp;"|"&amp;$M2115&amp;"|"&amp;TEXT($G2115,"yyyy-mm-dd")&amp;"|"&amp;LEFT($J2115,40))</f>
        <v/>
      </c>
      <c r="Q2115" s="11" t="str">
        <f aca="false">IF(P2115="","",IF(COUNTIF($P$2:$P$3000,P2115)&gt;1,"DUPLICATE","OK"))</f>
        <v/>
      </c>
      <c r="R2115" s="0" t="str">
        <f aca="false">IF($C2115="","",IFERROR(VLOOKUP(--$C2115,MM_Income!$Z$5:$AC$204,3,FALSE()),""))</f>
        <v/>
      </c>
    </row>
    <row r="2116" customFormat="false" ht="13.5" hidden="false" customHeight="false" outlineLevel="0" collapsed="false">
      <c r="N2116" s="1" t="str">
        <f aca="false">IF(C2116="","",IFERROR(VLOOKUP(C2116,Master_Mappings!$A$4:$E$85,3,FALSE()),"UNMAPPED"))</f>
        <v/>
      </c>
      <c r="P2116" s="1" t="str">
        <f aca="false">IF($C2116="","",$C2116&amp;"|"&amp;$E2116&amp;"|"&amp;$M2116&amp;"|"&amp;TEXT($G2116,"yyyy-mm-dd")&amp;"|"&amp;LEFT($J2116,40))</f>
        <v/>
      </c>
      <c r="Q2116" s="11" t="str">
        <f aca="false">IF(P2116="","",IF(COUNTIF($P$2:$P$3000,P2116)&gt;1,"DUPLICATE","OK"))</f>
        <v/>
      </c>
      <c r="R2116" s="0" t="str">
        <f aca="false">IF($C2116="","",IFERROR(VLOOKUP(--$C2116,MM_Income!$Z$5:$AC$204,3,FALSE()),""))</f>
        <v/>
      </c>
    </row>
    <row r="2117" customFormat="false" ht="13.5" hidden="false" customHeight="false" outlineLevel="0" collapsed="false">
      <c r="N2117" s="1" t="str">
        <f aca="false">IF(C2117="","",IFERROR(VLOOKUP(C2117,Master_Mappings!$A$4:$E$85,3,FALSE()),"UNMAPPED"))</f>
        <v/>
      </c>
      <c r="P2117" s="1" t="str">
        <f aca="false">IF($C2117="","",$C2117&amp;"|"&amp;$E2117&amp;"|"&amp;$M2117&amp;"|"&amp;TEXT($G2117,"yyyy-mm-dd")&amp;"|"&amp;LEFT($J2117,40))</f>
        <v/>
      </c>
      <c r="Q2117" s="11" t="str">
        <f aca="false">IF(P2117="","",IF(COUNTIF($P$2:$P$3000,P2117)&gt;1,"DUPLICATE","OK"))</f>
        <v/>
      </c>
      <c r="R2117" s="0" t="str">
        <f aca="false">IF($C2117="","",IFERROR(VLOOKUP(--$C2117,MM_Income!$Z$5:$AC$204,3,FALSE()),""))</f>
        <v/>
      </c>
    </row>
    <row r="2118" customFormat="false" ht="13.5" hidden="false" customHeight="false" outlineLevel="0" collapsed="false">
      <c r="N2118" s="1" t="str">
        <f aca="false">IF(C2118="","",IFERROR(VLOOKUP(C2118,Master_Mappings!$A$4:$E$85,3,FALSE()),"UNMAPPED"))</f>
        <v/>
      </c>
      <c r="P2118" s="1" t="str">
        <f aca="false">IF($C2118="","",$C2118&amp;"|"&amp;$E2118&amp;"|"&amp;$M2118&amp;"|"&amp;TEXT($G2118,"yyyy-mm-dd")&amp;"|"&amp;LEFT($J2118,40))</f>
        <v/>
      </c>
      <c r="Q2118" s="11" t="str">
        <f aca="false">IF(P2118="","",IF(COUNTIF($P$2:$P$3000,P2118)&gt;1,"DUPLICATE","OK"))</f>
        <v/>
      </c>
      <c r="R2118" s="0" t="str">
        <f aca="false">IF($C2118="","",IFERROR(VLOOKUP(--$C2118,MM_Income!$Z$5:$AC$204,3,FALSE()),""))</f>
        <v/>
      </c>
    </row>
    <row r="2119" customFormat="false" ht="13.5" hidden="false" customHeight="false" outlineLevel="0" collapsed="false">
      <c r="N2119" s="1" t="str">
        <f aca="false">IF(C2119="","",IFERROR(VLOOKUP(C2119,Master_Mappings!$A$4:$E$85,3,FALSE()),"UNMAPPED"))</f>
        <v/>
      </c>
      <c r="P2119" s="1" t="str">
        <f aca="false">IF($C2119="","",$C2119&amp;"|"&amp;$E2119&amp;"|"&amp;$M2119&amp;"|"&amp;TEXT($G2119,"yyyy-mm-dd")&amp;"|"&amp;LEFT($J2119,40))</f>
        <v/>
      </c>
      <c r="Q2119" s="11" t="str">
        <f aca="false">IF(P2119="","",IF(COUNTIF($P$2:$P$3000,P2119)&gt;1,"DUPLICATE","OK"))</f>
        <v/>
      </c>
      <c r="R2119" s="0" t="str">
        <f aca="false">IF($C2119="","",IFERROR(VLOOKUP(--$C2119,MM_Income!$Z$5:$AC$204,3,FALSE()),""))</f>
        <v/>
      </c>
    </row>
    <row r="2120" customFormat="false" ht="13.5" hidden="false" customHeight="false" outlineLevel="0" collapsed="false">
      <c r="N2120" s="1" t="str">
        <f aca="false">IF(C2120="","",IFERROR(VLOOKUP(C2120,Master_Mappings!$A$4:$E$85,3,FALSE()),"UNMAPPED"))</f>
        <v/>
      </c>
      <c r="P2120" s="1" t="str">
        <f aca="false">IF($C2120="","",$C2120&amp;"|"&amp;$E2120&amp;"|"&amp;$M2120&amp;"|"&amp;TEXT($G2120,"yyyy-mm-dd")&amp;"|"&amp;LEFT($J2120,40))</f>
        <v/>
      </c>
      <c r="Q2120" s="11" t="str">
        <f aca="false">IF(P2120="","",IF(COUNTIF($P$2:$P$3000,P2120)&gt;1,"DUPLICATE","OK"))</f>
        <v/>
      </c>
      <c r="R2120" s="0" t="str">
        <f aca="false">IF($C2120="","",IFERROR(VLOOKUP(--$C2120,MM_Income!$Z$5:$AC$204,3,FALSE()),""))</f>
        <v/>
      </c>
    </row>
    <row r="2121" customFormat="false" ht="13.5" hidden="false" customHeight="false" outlineLevel="0" collapsed="false">
      <c r="N2121" s="1" t="str">
        <f aca="false">IF(C2121="","",IFERROR(VLOOKUP(C2121,Master_Mappings!$A$4:$E$85,3,FALSE()),"UNMAPPED"))</f>
        <v/>
      </c>
      <c r="P2121" s="1" t="str">
        <f aca="false">IF($C2121="","",$C2121&amp;"|"&amp;$E2121&amp;"|"&amp;$M2121&amp;"|"&amp;TEXT($G2121,"yyyy-mm-dd")&amp;"|"&amp;LEFT($J2121,40))</f>
        <v/>
      </c>
      <c r="Q2121" s="11" t="str">
        <f aca="false">IF(P2121="","",IF(COUNTIF($P$2:$P$3000,P2121)&gt;1,"DUPLICATE","OK"))</f>
        <v/>
      </c>
      <c r="R2121" s="0" t="str">
        <f aca="false">IF($C2121="","",IFERROR(VLOOKUP(--$C2121,MM_Income!$Z$5:$AC$204,3,FALSE()),""))</f>
        <v/>
      </c>
    </row>
    <row r="2122" customFormat="false" ht="13.5" hidden="false" customHeight="false" outlineLevel="0" collapsed="false">
      <c r="N2122" s="1" t="str">
        <f aca="false">IF(C2122="","",IFERROR(VLOOKUP(C2122,Master_Mappings!$A$4:$E$85,3,FALSE()),"UNMAPPED"))</f>
        <v/>
      </c>
      <c r="P2122" s="1" t="str">
        <f aca="false">IF($C2122="","",$C2122&amp;"|"&amp;$E2122&amp;"|"&amp;$M2122&amp;"|"&amp;TEXT($G2122,"yyyy-mm-dd")&amp;"|"&amp;LEFT($J2122,40))</f>
        <v/>
      </c>
      <c r="Q2122" s="11" t="str">
        <f aca="false">IF(P2122="","",IF(COUNTIF($P$2:$P$3000,P2122)&gt;1,"DUPLICATE","OK"))</f>
        <v/>
      </c>
      <c r="R2122" s="0" t="str">
        <f aca="false">IF($C2122="","",IFERROR(VLOOKUP(--$C2122,MM_Income!$Z$5:$AC$204,3,FALSE()),""))</f>
        <v/>
      </c>
    </row>
    <row r="2123" customFormat="false" ht="13.5" hidden="false" customHeight="false" outlineLevel="0" collapsed="false">
      <c r="N2123" s="1" t="str">
        <f aca="false">IF(C2123="","",IFERROR(VLOOKUP(C2123,Master_Mappings!$A$4:$E$85,3,FALSE()),"UNMAPPED"))</f>
        <v/>
      </c>
      <c r="P2123" s="1" t="str">
        <f aca="false">IF($C2123="","",$C2123&amp;"|"&amp;$E2123&amp;"|"&amp;$M2123&amp;"|"&amp;TEXT($G2123,"yyyy-mm-dd")&amp;"|"&amp;LEFT($J2123,40))</f>
        <v/>
      </c>
      <c r="Q2123" s="11" t="str">
        <f aca="false">IF(P2123="","",IF(COUNTIF($P$2:$P$3000,P2123)&gt;1,"DUPLICATE","OK"))</f>
        <v/>
      </c>
      <c r="R2123" s="0" t="str">
        <f aca="false">IF($C2123="","",IFERROR(VLOOKUP(--$C2123,MM_Income!$Z$5:$AC$204,3,FALSE()),""))</f>
        <v/>
      </c>
    </row>
    <row r="2124" customFormat="false" ht="13.5" hidden="false" customHeight="false" outlineLevel="0" collapsed="false">
      <c r="N2124" s="1" t="str">
        <f aca="false">IF(C2124="","",IFERROR(VLOOKUP(C2124,Master_Mappings!$A$4:$E$85,3,FALSE()),"UNMAPPED"))</f>
        <v/>
      </c>
      <c r="P2124" s="1" t="str">
        <f aca="false">IF($C2124="","",$C2124&amp;"|"&amp;$E2124&amp;"|"&amp;$M2124&amp;"|"&amp;TEXT($G2124,"yyyy-mm-dd")&amp;"|"&amp;LEFT($J2124,40))</f>
        <v/>
      </c>
      <c r="Q2124" s="11" t="str">
        <f aca="false">IF(P2124="","",IF(COUNTIF($P$2:$P$3000,P2124)&gt;1,"DUPLICATE","OK"))</f>
        <v/>
      </c>
      <c r="R2124" s="0" t="str">
        <f aca="false">IF($C2124="","",IFERROR(VLOOKUP(--$C2124,MM_Income!$Z$5:$AC$204,3,FALSE()),""))</f>
        <v/>
      </c>
    </row>
    <row r="2125" customFormat="false" ht="13.5" hidden="false" customHeight="false" outlineLevel="0" collapsed="false">
      <c r="N2125" s="1" t="str">
        <f aca="false">IF(C2125="","",IFERROR(VLOOKUP(C2125,Master_Mappings!$A$4:$E$85,3,FALSE()),"UNMAPPED"))</f>
        <v/>
      </c>
      <c r="P2125" s="1" t="str">
        <f aca="false">IF($C2125="","",$C2125&amp;"|"&amp;$E2125&amp;"|"&amp;$M2125&amp;"|"&amp;TEXT($G2125,"yyyy-mm-dd")&amp;"|"&amp;LEFT($J2125,40))</f>
        <v/>
      </c>
      <c r="Q2125" s="11" t="str">
        <f aca="false">IF(P2125="","",IF(COUNTIF($P$2:$P$3000,P2125)&gt;1,"DUPLICATE","OK"))</f>
        <v/>
      </c>
      <c r="R2125" s="0" t="str">
        <f aca="false">IF($C2125="","",IFERROR(VLOOKUP(--$C2125,MM_Income!$Z$5:$AC$204,3,FALSE()),""))</f>
        <v/>
      </c>
    </row>
    <row r="2126" customFormat="false" ht="13.5" hidden="false" customHeight="false" outlineLevel="0" collapsed="false">
      <c r="N2126" s="1" t="str">
        <f aca="false">IF(C2126="","",IFERROR(VLOOKUP(C2126,Master_Mappings!$A$4:$E$85,3,FALSE()),"UNMAPPED"))</f>
        <v/>
      </c>
      <c r="P2126" s="1" t="str">
        <f aca="false">IF($C2126="","",$C2126&amp;"|"&amp;$E2126&amp;"|"&amp;$M2126&amp;"|"&amp;TEXT($G2126,"yyyy-mm-dd")&amp;"|"&amp;LEFT($J2126,40))</f>
        <v/>
      </c>
      <c r="Q2126" s="11" t="str">
        <f aca="false">IF(P2126="","",IF(COUNTIF($P$2:$P$3000,P2126)&gt;1,"DUPLICATE","OK"))</f>
        <v/>
      </c>
      <c r="R2126" s="0" t="str">
        <f aca="false">IF($C2126="","",IFERROR(VLOOKUP(--$C2126,MM_Income!$Z$5:$AC$204,3,FALSE()),""))</f>
        <v/>
      </c>
    </row>
    <row r="2127" customFormat="false" ht="13.5" hidden="false" customHeight="false" outlineLevel="0" collapsed="false">
      <c r="N2127" s="1" t="str">
        <f aca="false">IF(C2127="","",IFERROR(VLOOKUP(C2127,Master_Mappings!$A$4:$E$85,3,FALSE()),"UNMAPPED"))</f>
        <v/>
      </c>
      <c r="P2127" s="1" t="str">
        <f aca="false">IF($C2127="","",$C2127&amp;"|"&amp;$E2127&amp;"|"&amp;$M2127&amp;"|"&amp;TEXT($G2127,"yyyy-mm-dd")&amp;"|"&amp;LEFT($J2127,40))</f>
        <v/>
      </c>
      <c r="Q2127" s="11" t="str">
        <f aca="false">IF(P2127="","",IF(COUNTIF($P$2:$P$3000,P2127)&gt;1,"DUPLICATE","OK"))</f>
        <v/>
      </c>
      <c r="R2127" s="0" t="str">
        <f aca="false">IF($C2127="","",IFERROR(VLOOKUP(--$C2127,MM_Income!$Z$5:$AC$204,3,FALSE()),""))</f>
        <v/>
      </c>
    </row>
    <row r="2128" customFormat="false" ht="13.5" hidden="false" customHeight="false" outlineLevel="0" collapsed="false">
      <c r="N2128" s="1" t="str">
        <f aca="false">IF(C2128="","",IFERROR(VLOOKUP(C2128,Master_Mappings!$A$4:$E$85,3,FALSE()),"UNMAPPED"))</f>
        <v/>
      </c>
      <c r="P2128" s="1" t="str">
        <f aca="false">IF($C2128="","",$C2128&amp;"|"&amp;$E2128&amp;"|"&amp;$M2128&amp;"|"&amp;TEXT($G2128,"yyyy-mm-dd")&amp;"|"&amp;LEFT($J2128,40))</f>
        <v/>
      </c>
      <c r="Q2128" s="11" t="str">
        <f aca="false">IF(P2128="","",IF(COUNTIF($P$2:$P$3000,P2128)&gt;1,"DUPLICATE","OK"))</f>
        <v/>
      </c>
      <c r="R2128" s="0" t="str">
        <f aca="false">IF($C2128="","",IFERROR(VLOOKUP(--$C2128,MM_Income!$Z$5:$AC$204,3,FALSE()),""))</f>
        <v/>
      </c>
    </row>
    <row r="2129" customFormat="false" ht="13.5" hidden="false" customHeight="false" outlineLevel="0" collapsed="false">
      <c r="N2129" s="1" t="str">
        <f aca="false">IF(C2129="","",IFERROR(VLOOKUP(C2129,Master_Mappings!$A$4:$E$85,3,FALSE()),"UNMAPPED"))</f>
        <v/>
      </c>
      <c r="P2129" s="1" t="str">
        <f aca="false">IF($C2129="","",$C2129&amp;"|"&amp;$E2129&amp;"|"&amp;$M2129&amp;"|"&amp;TEXT($G2129,"yyyy-mm-dd")&amp;"|"&amp;LEFT($J2129,40))</f>
        <v/>
      </c>
      <c r="Q2129" s="11" t="str">
        <f aca="false">IF(P2129="","",IF(COUNTIF($P$2:$P$3000,P2129)&gt;1,"DUPLICATE","OK"))</f>
        <v/>
      </c>
      <c r="R2129" s="0" t="str">
        <f aca="false">IF($C2129="","",IFERROR(VLOOKUP(--$C2129,MM_Income!$Z$5:$AC$204,3,FALSE()),""))</f>
        <v/>
      </c>
    </row>
    <row r="2130" customFormat="false" ht="13.5" hidden="false" customHeight="false" outlineLevel="0" collapsed="false">
      <c r="N2130" s="1" t="str">
        <f aca="false">IF(C2130="","",IFERROR(VLOOKUP(C2130,Master_Mappings!$A$4:$E$85,3,FALSE()),"UNMAPPED"))</f>
        <v/>
      </c>
      <c r="P2130" s="1" t="str">
        <f aca="false">IF($C2130="","",$C2130&amp;"|"&amp;$E2130&amp;"|"&amp;$M2130&amp;"|"&amp;TEXT($G2130,"yyyy-mm-dd")&amp;"|"&amp;LEFT($J2130,40))</f>
        <v/>
      </c>
      <c r="Q2130" s="11" t="str">
        <f aca="false">IF(P2130="","",IF(COUNTIF($P$2:$P$3000,P2130)&gt;1,"DUPLICATE","OK"))</f>
        <v/>
      </c>
      <c r="R2130" s="0" t="str">
        <f aca="false">IF($C2130="","",IFERROR(VLOOKUP(--$C2130,MM_Income!$Z$5:$AC$204,3,FALSE()),""))</f>
        <v/>
      </c>
    </row>
    <row r="2131" customFormat="false" ht="13.5" hidden="false" customHeight="false" outlineLevel="0" collapsed="false">
      <c r="N2131" s="1" t="str">
        <f aca="false">IF(C2131="","",IFERROR(VLOOKUP(C2131,Master_Mappings!$A$4:$E$85,3,FALSE()),"UNMAPPED"))</f>
        <v/>
      </c>
      <c r="P2131" s="1" t="str">
        <f aca="false">IF($C2131="","",$C2131&amp;"|"&amp;$E2131&amp;"|"&amp;$M2131&amp;"|"&amp;TEXT($G2131,"yyyy-mm-dd")&amp;"|"&amp;LEFT($J2131,40))</f>
        <v/>
      </c>
      <c r="Q2131" s="11" t="str">
        <f aca="false">IF(P2131="","",IF(COUNTIF($P$2:$P$3000,P2131)&gt;1,"DUPLICATE","OK"))</f>
        <v/>
      </c>
      <c r="R2131" s="0" t="str">
        <f aca="false">IF($C2131="","",IFERROR(VLOOKUP(--$C2131,MM_Income!$Z$5:$AC$204,3,FALSE()),""))</f>
        <v/>
      </c>
    </row>
    <row r="2132" customFormat="false" ht="13.5" hidden="false" customHeight="false" outlineLevel="0" collapsed="false">
      <c r="N2132" s="1" t="str">
        <f aca="false">IF(C2132="","",IFERROR(VLOOKUP(C2132,Master_Mappings!$A$4:$E$85,3,FALSE()),"UNMAPPED"))</f>
        <v/>
      </c>
      <c r="P2132" s="1" t="str">
        <f aca="false">IF($C2132="","",$C2132&amp;"|"&amp;$E2132&amp;"|"&amp;$M2132&amp;"|"&amp;TEXT($G2132,"yyyy-mm-dd")&amp;"|"&amp;LEFT($J2132,40))</f>
        <v/>
      </c>
      <c r="Q2132" s="11" t="str">
        <f aca="false">IF(P2132="","",IF(COUNTIF($P$2:$P$3000,P2132)&gt;1,"DUPLICATE","OK"))</f>
        <v/>
      </c>
      <c r="R2132" s="0" t="str">
        <f aca="false">IF($C2132="","",IFERROR(VLOOKUP(--$C2132,MM_Income!$Z$5:$AC$204,3,FALSE()),""))</f>
        <v/>
      </c>
    </row>
    <row r="2133" customFormat="false" ht="13.5" hidden="false" customHeight="false" outlineLevel="0" collapsed="false">
      <c r="N2133" s="1" t="str">
        <f aca="false">IF(C2133="","",IFERROR(VLOOKUP(C2133,Master_Mappings!$A$4:$E$85,3,FALSE()),"UNMAPPED"))</f>
        <v/>
      </c>
      <c r="P2133" s="1" t="str">
        <f aca="false">IF($C2133="","",$C2133&amp;"|"&amp;$E2133&amp;"|"&amp;$M2133&amp;"|"&amp;TEXT($G2133,"yyyy-mm-dd")&amp;"|"&amp;LEFT($J2133,40))</f>
        <v/>
      </c>
      <c r="Q2133" s="11" t="str">
        <f aca="false">IF(P2133="","",IF(COUNTIF($P$2:$P$3000,P2133)&gt;1,"DUPLICATE","OK"))</f>
        <v/>
      </c>
      <c r="R2133" s="0" t="str">
        <f aca="false">IF($C2133="","",IFERROR(VLOOKUP(--$C2133,MM_Income!$Z$5:$AC$204,3,FALSE()),""))</f>
        <v/>
      </c>
    </row>
    <row r="2134" customFormat="false" ht="13.5" hidden="false" customHeight="false" outlineLevel="0" collapsed="false">
      <c r="N2134" s="1" t="str">
        <f aca="false">IF(C2134="","",IFERROR(VLOOKUP(C2134,Master_Mappings!$A$4:$E$85,3,FALSE()),"UNMAPPED"))</f>
        <v/>
      </c>
      <c r="P2134" s="1" t="str">
        <f aca="false">IF($C2134="","",$C2134&amp;"|"&amp;$E2134&amp;"|"&amp;$M2134&amp;"|"&amp;TEXT($G2134,"yyyy-mm-dd")&amp;"|"&amp;LEFT($J2134,40))</f>
        <v/>
      </c>
      <c r="Q2134" s="11" t="str">
        <f aca="false">IF(P2134="","",IF(COUNTIF($P$2:$P$3000,P2134)&gt;1,"DUPLICATE","OK"))</f>
        <v/>
      </c>
      <c r="R2134" s="0" t="str">
        <f aca="false">IF($C2134="","",IFERROR(VLOOKUP(--$C2134,MM_Income!$Z$5:$AC$204,3,FALSE()),""))</f>
        <v/>
      </c>
    </row>
    <row r="2135" customFormat="false" ht="13.5" hidden="false" customHeight="false" outlineLevel="0" collapsed="false">
      <c r="N2135" s="1" t="str">
        <f aca="false">IF(C2135="","",IFERROR(VLOOKUP(C2135,Master_Mappings!$A$4:$E$85,3,FALSE()),"UNMAPPED"))</f>
        <v/>
      </c>
      <c r="P2135" s="1" t="str">
        <f aca="false">IF($C2135="","",$C2135&amp;"|"&amp;$E2135&amp;"|"&amp;$M2135&amp;"|"&amp;TEXT($G2135,"yyyy-mm-dd")&amp;"|"&amp;LEFT($J2135,40))</f>
        <v/>
      </c>
      <c r="Q2135" s="11" t="str">
        <f aca="false">IF(P2135="","",IF(COUNTIF($P$2:$P$3000,P2135)&gt;1,"DUPLICATE","OK"))</f>
        <v/>
      </c>
      <c r="R2135" s="0" t="str">
        <f aca="false">IF($C2135="","",IFERROR(VLOOKUP(--$C2135,MM_Income!$Z$5:$AC$204,3,FALSE()),""))</f>
        <v/>
      </c>
    </row>
    <row r="2136" customFormat="false" ht="13.5" hidden="false" customHeight="false" outlineLevel="0" collapsed="false">
      <c r="N2136" s="1" t="str">
        <f aca="false">IF(C2136="","",IFERROR(VLOOKUP(C2136,Master_Mappings!$A$4:$E$85,3,FALSE()),"UNMAPPED"))</f>
        <v/>
      </c>
      <c r="P2136" s="1" t="str">
        <f aca="false">IF($C2136="","",$C2136&amp;"|"&amp;$E2136&amp;"|"&amp;$M2136&amp;"|"&amp;TEXT($G2136,"yyyy-mm-dd")&amp;"|"&amp;LEFT($J2136,40))</f>
        <v/>
      </c>
      <c r="Q2136" s="11" t="str">
        <f aca="false">IF(P2136="","",IF(COUNTIF($P$2:$P$3000,P2136)&gt;1,"DUPLICATE","OK"))</f>
        <v/>
      </c>
      <c r="R2136" s="0" t="str">
        <f aca="false">IF($C2136="","",IFERROR(VLOOKUP(--$C2136,MM_Income!$Z$5:$AC$204,3,FALSE()),""))</f>
        <v/>
      </c>
    </row>
    <row r="2137" customFormat="false" ht="13.5" hidden="false" customHeight="false" outlineLevel="0" collapsed="false">
      <c r="N2137" s="1" t="str">
        <f aca="false">IF(C2137="","",IFERROR(VLOOKUP(C2137,Master_Mappings!$A$4:$E$85,3,FALSE()),"UNMAPPED"))</f>
        <v/>
      </c>
      <c r="P2137" s="1" t="str">
        <f aca="false">IF($C2137="","",$C2137&amp;"|"&amp;$E2137&amp;"|"&amp;$M2137&amp;"|"&amp;TEXT($G2137,"yyyy-mm-dd")&amp;"|"&amp;LEFT($J2137,40))</f>
        <v/>
      </c>
      <c r="Q2137" s="11" t="str">
        <f aca="false">IF(P2137="","",IF(COUNTIF($P$2:$P$3000,P2137)&gt;1,"DUPLICATE","OK"))</f>
        <v/>
      </c>
      <c r="R2137" s="0" t="str">
        <f aca="false">IF($C2137="","",IFERROR(VLOOKUP(--$C2137,MM_Income!$Z$5:$AC$204,3,FALSE()),""))</f>
        <v/>
      </c>
    </row>
    <row r="2138" customFormat="false" ht="13.5" hidden="false" customHeight="false" outlineLevel="0" collapsed="false">
      <c r="N2138" s="1" t="str">
        <f aca="false">IF(C2138="","",IFERROR(VLOOKUP(C2138,Master_Mappings!$A$4:$E$85,3,FALSE()),"UNMAPPED"))</f>
        <v/>
      </c>
      <c r="P2138" s="1" t="str">
        <f aca="false">IF($C2138="","",$C2138&amp;"|"&amp;$E2138&amp;"|"&amp;$M2138&amp;"|"&amp;TEXT($G2138,"yyyy-mm-dd")&amp;"|"&amp;LEFT($J2138,40))</f>
        <v/>
      </c>
      <c r="Q2138" s="11" t="str">
        <f aca="false">IF(P2138="","",IF(COUNTIF($P$2:$P$3000,P2138)&gt;1,"DUPLICATE","OK"))</f>
        <v/>
      </c>
      <c r="R2138" s="0" t="str">
        <f aca="false">IF($C2138="","",IFERROR(VLOOKUP(--$C2138,MM_Income!$Z$5:$AC$204,3,FALSE()),""))</f>
        <v/>
      </c>
    </row>
    <row r="2139" customFormat="false" ht="13.5" hidden="false" customHeight="false" outlineLevel="0" collapsed="false">
      <c r="N2139" s="1" t="str">
        <f aca="false">IF(C2139="","",IFERROR(VLOOKUP(C2139,Master_Mappings!$A$4:$E$85,3,FALSE()),"UNMAPPED"))</f>
        <v/>
      </c>
      <c r="P2139" s="1" t="str">
        <f aca="false">IF($C2139="","",$C2139&amp;"|"&amp;$E2139&amp;"|"&amp;$M2139&amp;"|"&amp;TEXT($G2139,"yyyy-mm-dd")&amp;"|"&amp;LEFT($J2139,40))</f>
        <v/>
      </c>
      <c r="Q2139" s="11" t="str">
        <f aca="false">IF(P2139="","",IF(COUNTIF($P$2:$P$3000,P2139)&gt;1,"DUPLICATE","OK"))</f>
        <v/>
      </c>
      <c r="R2139" s="0" t="str">
        <f aca="false">IF($C2139="","",IFERROR(VLOOKUP(--$C2139,MM_Income!$Z$5:$AC$204,3,FALSE()),""))</f>
        <v/>
      </c>
    </row>
    <row r="2140" customFormat="false" ht="13.5" hidden="false" customHeight="false" outlineLevel="0" collapsed="false">
      <c r="N2140" s="1" t="str">
        <f aca="false">IF(C2140="","",IFERROR(VLOOKUP(C2140,Master_Mappings!$A$4:$E$85,3,FALSE()),"UNMAPPED"))</f>
        <v/>
      </c>
      <c r="P2140" s="1" t="str">
        <f aca="false">IF($C2140="","",$C2140&amp;"|"&amp;$E2140&amp;"|"&amp;$M2140&amp;"|"&amp;TEXT($G2140,"yyyy-mm-dd")&amp;"|"&amp;LEFT($J2140,40))</f>
        <v/>
      </c>
      <c r="Q2140" s="11" t="str">
        <f aca="false">IF(P2140="","",IF(COUNTIF($P$2:$P$3000,P2140)&gt;1,"DUPLICATE","OK"))</f>
        <v/>
      </c>
      <c r="R2140" s="0" t="str">
        <f aca="false">IF($C2140="","",IFERROR(VLOOKUP(--$C2140,MM_Income!$Z$5:$AC$204,3,FALSE()),""))</f>
        <v/>
      </c>
    </row>
    <row r="2141" customFormat="false" ht="13.5" hidden="false" customHeight="false" outlineLevel="0" collapsed="false">
      <c r="N2141" s="1" t="str">
        <f aca="false">IF(C2141="","",IFERROR(VLOOKUP(C2141,Master_Mappings!$A$4:$E$85,3,FALSE()),"UNMAPPED"))</f>
        <v/>
      </c>
      <c r="P2141" s="1" t="str">
        <f aca="false">IF($C2141="","",$C2141&amp;"|"&amp;$E2141&amp;"|"&amp;$M2141&amp;"|"&amp;TEXT($G2141,"yyyy-mm-dd")&amp;"|"&amp;LEFT($J2141,40))</f>
        <v/>
      </c>
      <c r="Q2141" s="11" t="str">
        <f aca="false">IF(P2141="","",IF(COUNTIF($P$2:$P$3000,P2141)&gt;1,"DUPLICATE","OK"))</f>
        <v/>
      </c>
      <c r="R2141" s="0" t="str">
        <f aca="false">IF($C2141="","",IFERROR(VLOOKUP(--$C2141,MM_Income!$Z$5:$AC$204,3,FALSE()),""))</f>
        <v/>
      </c>
    </row>
    <row r="2142" customFormat="false" ht="13.5" hidden="false" customHeight="false" outlineLevel="0" collapsed="false">
      <c r="N2142" s="1" t="str">
        <f aca="false">IF(C2142="","",IFERROR(VLOOKUP(C2142,Master_Mappings!$A$4:$E$85,3,FALSE()),"UNMAPPED"))</f>
        <v/>
      </c>
      <c r="P2142" s="1" t="str">
        <f aca="false">IF($C2142="","",$C2142&amp;"|"&amp;$E2142&amp;"|"&amp;$M2142&amp;"|"&amp;TEXT($G2142,"yyyy-mm-dd")&amp;"|"&amp;LEFT($J2142,40))</f>
        <v/>
      </c>
      <c r="Q2142" s="11" t="str">
        <f aca="false">IF(P2142="","",IF(COUNTIF($P$2:$P$3000,P2142)&gt;1,"DUPLICATE","OK"))</f>
        <v/>
      </c>
      <c r="R2142" s="0" t="str">
        <f aca="false">IF($C2142="","",IFERROR(VLOOKUP(--$C2142,MM_Income!$Z$5:$AC$204,3,FALSE()),""))</f>
        <v/>
      </c>
    </row>
    <row r="2143" customFormat="false" ht="13.5" hidden="false" customHeight="false" outlineLevel="0" collapsed="false">
      <c r="N2143" s="1" t="str">
        <f aca="false">IF(C2143="","",IFERROR(VLOOKUP(C2143,Master_Mappings!$A$4:$E$85,3,FALSE()),"UNMAPPED"))</f>
        <v/>
      </c>
      <c r="P2143" s="1" t="str">
        <f aca="false">IF($C2143="","",$C2143&amp;"|"&amp;$E2143&amp;"|"&amp;$M2143&amp;"|"&amp;TEXT($G2143,"yyyy-mm-dd")&amp;"|"&amp;LEFT($J2143,40))</f>
        <v/>
      </c>
      <c r="Q2143" s="11" t="str">
        <f aca="false">IF(P2143="","",IF(COUNTIF($P$2:$P$3000,P2143)&gt;1,"DUPLICATE","OK"))</f>
        <v/>
      </c>
      <c r="R2143" s="0" t="str">
        <f aca="false">IF($C2143="","",IFERROR(VLOOKUP(--$C2143,MM_Income!$Z$5:$AC$204,3,FALSE()),""))</f>
        <v/>
      </c>
    </row>
    <row r="2144" customFormat="false" ht="13.5" hidden="false" customHeight="false" outlineLevel="0" collapsed="false">
      <c r="N2144" s="1" t="str">
        <f aca="false">IF(C2144="","",IFERROR(VLOOKUP(C2144,Master_Mappings!$A$4:$E$85,3,FALSE()),"UNMAPPED"))</f>
        <v/>
      </c>
      <c r="P2144" s="1" t="str">
        <f aca="false">IF($C2144="","",$C2144&amp;"|"&amp;$E2144&amp;"|"&amp;$M2144&amp;"|"&amp;TEXT($G2144,"yyyy-mm-dd")&amp;"|"&amp;LEFT($J2144,40))</f>
        <v/>
      </c>
      <c r="Q2144" s="11" t="str">
        <f aca="false">IF(P2144="","",IF(COUNTIF($P$2:$P$3000,P2144)&gt;1,"DUPLICATE","OK"))</f>
        <v/>
      </c>
      <c r="R2144" s="0" t="str">
        <f aca="false">IF($C2144="","",IFERROR(VLOOKUP(--$C2144,MM_Income!$Z$5:$AC$204,3,FALSE()),""))</f>
        <v/>
      </c>
    </row>
    <row r="2145" customFormat="false" ht="13.5" hidden="false" customHeight="false" outlineLevel="0" collapsed="false">
      <c r="N2145" s="1" t="str">
        <f aca="false">IF(C2145="","",IFERROR(VLOOKUP(C2145,Master_Mappings!$A$4:$E$85,3,FALSE()),"UNMAPPED"))</f>
        <v/>
      </c>
      <c r="P2145" s="1" t="str">
        <f aca="false">IF($C2145="","",$C2145&amp;"|"&amp;$E2145&amp;"|"&amp;$M2145&amp;"|"&amp;TEXT($G2145,"yyyy-mm-dd")&amp;"|"&amp;LEFT($J2145,40))</f>
        <v/>
      </c>
      <c r="Q2145" s="11" t="str">
        <f aca="false">IF(P2145="","",IF(COUNTIF($P$2:$P$3000,P2145)&gt;1,"DUPLICATE","OK"))</f>
        <v/>
      </c>
      <c r="R2145" s="0" t="str">
        <f aca="false">IF($C2145="","",IFERROR(VLOOKUP(--$C2145,MM_Income!$Z$5:$AC$204,3,FALSE()),""))</f>
        <v/>
      </c>
    </row>
    <row r="2146" customFormat="false" ht="13.5" hidden="false" customHeight="false" outlineLevel="0" collapsed="false">
      <c r="N2146" s="1" t="str">
        <f aca="false">IF(C2146="","",IFERROR(VLOOKUP(C2146,Master_Mappings!$A$4:$E$85,3,FALSE()),"UNMAPPED"))</f>
        <v/>
      </c>
      <c r="P2146" s="1" t="str">
        <f aca="false">IF($C2146="","",$C2146&amp;"|"&amp;$E2146&amp;"|"&amp;$M2146&amp;"|"&amp;TEXT($G2146,"yyyy-mm-dd")&amp;"|"&amp;LEFT($J2146,40))</f>
        <v/>
      </c>
      <c r="Q2146" s="11" t="str">
        <f aca="false">IF(P2146="","",IF(COUNTIF($P$2:$P$3000,P2146)&gt;1,"DUPLICATE","OK"))</f>
        <v/>
      </c>
      <c r="R2146" s="0" t="str">
        <f aca="false">IF($C2146="","",IFERROR(VLOOKUP(--$C2146,MM_Income!$Z$5:$AC$204,3,FALSE()),""))</f>
        <v/>
      </c>
    </row>
    <row r="2147" customFormat="false" ht="13.5" hidden="false" customHeight="false" outlineLevel="0" collapsed="false">
      <c r="N2147" s="1" t="str">
        <f aca="false">IF(C2147="","",IFERROR(VLOOKUP(C2147,Master_Mappings!$A$4:$E$85,3,FALSE()),"UNMAPPED"))</f>
        <v/>
      </c>
      <c r="P2147" s="1" t="str">
        <f aca="false">IF($C2147="","",$C2147&amp;"|"&amp;$E2147&amp;"|"&amp;$M2147&amp;"|"&amp;TEXT($G2147,"yyyy-mm-dd")&amp;"|"&amp;LEFT($J2147,40))</f>
        <v/>
      </c>
      <c r="Q2147" s="11" t="str">
        <f aca="false">IF(P2147="","",IF(COUNTIF($P$2:$P$3000,P2147)&gt;1,"DUPLICATE","OK"))</f>
        <v/>
      </c>
      <c r="R2147" s="0" t="str">
        <f aca="false">IF($C2147="","",IFERROR(VLOOKUP(--$C2147,MM_Income!$Z$5:$AC$204,3,FALSE()),""))</f>
        <v/>
      </c>
    </row>
    <row r="2148" customFormat="false" ht="13.5" hidden="false" customHeight="false" outlineLevel="0" collapsed="false">
      <c r="N2148" s="1" t="str">
        <f aca="false">IF(C2148="","",IFERROR(VLOOKUP(C2148,Master_Mappings!$A$4:$E$85,3,FALSE()),"UNMAPPED"))</f>
        <v/>
      </c>
      <c r="P2148" s="1" t="str">
        <f aca="false">IF($C2148="","",$C2148&amp;"|"&amp;$E2148&amp;"|"&amp;$M2148&amp;"|"&amp;TEXT($G2148,"yyyy-mm-dd")&amp;"|"&amp;LEFT($J2148,40))</f>
        <v/>
      </c>
      <c r="Q2148" s="11" t="str">
        <f aca="false">IF(P2148="","",IF(COUNTIF($P$2:$P$3000,P2148)&gt;1,"DUPLICATE","OK"))</f>
        <v/>
      </c>
      <c r="R2148" s="0" t="str">
        <f aca="false">IF($C2148="","",IFERROR(VLOOKUP(--$C2148,MM_Income!$Z$5:$AC$204,3,FALSE()),""))</f>
        <v/>
      </c>
    </row>
    <row r="2149" customFormat="false" ht="13.5" hidden="false" customHeight="false" outlineLevel="0" collapsed="false">
      <c r="N2149" s="1" t="str">
        <f aca="false">IF(C2149="","",IFERROR(VLOOKUP(C2149,Master_Mappings!$A$4:$E$85,3,FALSE()),"UNMAPPED"))</f>
        <v/>
      </c>
      <c r="P2149" s="1" t="str">
        <f aca="false">IF($C2149="","",$C2149&amp;"|"&amp;$E2149&amp;"|"&amp;$M2149&amp;"|"&amp;TEXT($G2149,"yyyy-mm-dd")&amp;"|"&amp;LEFT($J2149,40))</f>
        <v/>
      </c>
      <c r="Q2149" s="11" t="str">
        <f aca="false">IF(P2149="","",IF(COUNTIF($P$2:$P$3000,P2149)&gt;1,"DUPLICATE","OK"))</f>
        <v/>
      </c>
      <c r="R2149" s="0" t="str">
        <f aca="false">IF($C2149="","",IFERROR(VLOOKUP(--$C2149,MM_Income!$Z$5:$AC$204,3,FALSE()),""))</f>
        <v/>
      </c>
    </row>
    <row r="2150" customFormat="false" ht="13.5" hidden="false" customHeight="false" outlineLevel="0" collapsed="false">
      <c r="N2150" s="1" t="str">
        <f aca="false">IF(C2150="","",IFERROR(VLOOKUP(C2150,Master_Mappings!$A$4:$E$85,3,FALSE()),"UNMAPPED"))</f>
        <v/>
      </c>
      <c r="P2150" s="1" t="str">
        <f aca="false">IF($C2150="","",$C2150&amp;"|"&amp;$E2150&amp;"|"&amp;$M2150&amp;"|"&amp;TEXT($G2150,"yyyy-mm-dd")&amp;"|"&amp;LEFT($J2150,40))</f>
        <v/>
      </c>
      <c r="Q2150" s="11" t="str">
        <f aca="false">IF(P2150="","",IF(COUNTIF($P$2:$P$3000,P2150)&gt;1,"DUPLICATE","OK"))</f>
        <v/>
      </c>
      <c r="R2150" s="0" t="str">
        <f aca="false">IF($C2150="","",IFERROR(VLOOKUP(--$C2150,MM_Income!$Z$5:$AC$204,3,FALSE()),""))</f>
        <v/>
      </c>
    </row>
    <row r="2151" customFormat="false" ht="13.5" hidden="false" customHeight="false" outlineLevel="0" collapsed="false">
      <c r="N2151" s="1" t="str">
        <f aca="false">IF(C2151="","",IFERROR(VLOOKUP(C2151,Master_Mappings!$A$4:$E$85,3,FALSE()),"UNMAPPED"))</f>
        <v/>
      </c>
      <c r="P2151" s="1" t="str">
        <f aca="false">IF($C2151="","",$C2151&amp;"|"&amp;$E2151&amp;"|"&amp;$M2151&amp;"|"&amp;TEXT($G2151,"yyyy-mm-dd")&amp;"|"&amp;LEFT($J2151,40))</f>
        <v/>
      </c>
      <c r="Q2151" s="11" t="str">
        <f aca="false">IF(P2151="","",IF(COUNTIF($P$2:$P$3000,P2151)&gt;1,"DUPLICATE","OK"))</f>
        <v/>
      </c>
      <c r="R2151" s="0" t="str">
        <f aca="false">IF($C2151="","",IFERROR(VLOOKUP(--$C2151,MM_Income!$Z$5:$AC$204,3,FALSE()),""))</f>
        <v/>
      </c>
    </row>
    <row r="2152" customFormat="false" ht="13.5" hidden="false" customHeight="false" outlineLevel="0" collapsed="false">
      <c r="N2152" s="1" t="str">
        <f aca="false">IF(C2152="","",IFERROR(VLOOKUP(C2152,Master_Mappings!$A$4:$E$85,3,FALSE()),"UNMAPPED"))</f>
        <v/>
      </c>
      <c r="P2152" s="1" t="str">
        <f aca="false">IF($C2152="","",$C2152&amp;"|"&amp;$E2152&amp;"|"&amp;$M2152&amp;"|"&amp;TEXT($G2152,"yyyy-mm-dd")&amp;"|"&amp;LEFT($J2152,40))</f>
        <v/>
      </c>
      <c r="Q2152" s="11" t="str">
        <f aca="false">IF(P2152="","",IF(COUNTIF($P$2:$P$3000,P2152)&gt;1,"DUPLICATE","OK"))</f>
        <v/>
      </c>
      <c r="R2152" s="0" t="str">
        <f aca="false">IF($C2152="","",IFERROR(VLOOKUP(--$C2152,MM_Income!$Z$5:$AC$204,3,FALSE()),""))</f>
        <v/>
      </c>
    </row>
    <row r="2153" customFormat="false" ht="13.5" hidden="false" customHeight="false" outlineLevel="0" collapsed="false">
      <c r="N2153" s="1" t="str">
        <f aca="false">IF(C2153="","",IFERROR(VLOOKUP(C2153,Master_Mappings!$A$4:$E$85,3,FALSE()),"UNMAPPED"))</f>
        <v/>
      </c>
      <c r="P2153" s="1" t="str">
        <f aca="false">IF($C2153="","",$C2153&amp;"|"&amp;$E2153&amp;"|"&amp;$M2153&amp;"|"&amp;TEXT($G2153,"yyyy-mm-dd")&amp;"|"&amp;LEFT($J2153,40))</f>
        <v/>
      </c>
      <c r="Q2153" s="11" t="str">
        <f aca="false">IF(P2153="","",IF(COUNTIF($P$2:$P$3000,P2153)&gt;1,"DUPLICATE","OK"))</f>
        <v/>
      </c>
      <c r="R2153" s="0" t="str">
        <f aca="false">IF($C2153="","",IFERROR(VLOOKUP(--$C2153,MM_Income!$Z$5:$AC$204,3,FALSE()),""))</f>
        <v/>
      </c>
    </row>
    <row r="2154" customFormat="false" ht="13.5" hidden="false" customHeight="false" outlineLevel="0" collapsed="false">
      <c r="N2154" s="1" t="str">
        <f aca="false">IF(C2154="","",IFERROR(VLOOKUP(C2154,Master_Mappings!$A$4:$E$85,3,FALSE()),"UNMAPPED"))</f>
        <v/>
      </c>
      <c r="P2154" s="1" t="str">
        <f aca="false">IF($C2154="","",$C2154&amp;"|"&amp;$E2154&amp;"|"&amp;$M2154&amp;"|"&amp;TEXT($G2154,"yyyy-mm-dd")&amp;"|"&amp;LEFT($J2154,40))</f>
        <v/>
      </c>
      <c r="Q2154" s="11" t="str">
        <f aca="false">IF(P2154="","",IF(COUNTIF($P$2:$P$3000,P2154)&gt;1,"DUPLICATE","OK"))</f>
        <v/>
      </c>
      <c r="R2154" s="0" t="str">
        <f aca="false">IF($C2154="","",IFERROR(VLOOKUP(--$C2154,MM_Income!$Z$5:$AC$204,3,FALSE()),""))</f>
        <v/>
      </c>
    </row>
    <row r="2155" customFormat="false" ht="13.5" hidden="false" customHeight="false" outlineLevel="0" collapsed="false">
      <c r="N2155" s="1" t="str">
        <f aca="false">IF(C2155="","",IFERROR(VLOOKUP(C2155,Master_Mappings!$A$4:$E$85,3,FALSE()),"UNMAPPED"))</f>
        <v/>
      </c>
      <c r="P2155" s="1" t="str">
        <f aca="false">IF($C2155="","",$C2155&amp;"|"&amp;$E2155&amp;"|"&amp;$M2155&amp;"|"&amp;TEXT($G2155,"yyyy-mm-dd")&amp;"|"&amp;LEFT($J2155,40))</f>
        <v/>
      </c>
      <c r="Q2155" s="11" t="str">
        <f aca="false">IF(P2155="","",IF(COUNTIF($P$2:$P$3000,P2155)&gt;1,"DUPLICATE","OK"))</f>
        <v/>
      </c>
      <c r="R2155" s="0" t="str">
        <f aca="false">IF($C2155="","",IFERROR(VLOOKUP(--$C2155,MM_Income!$Z$5:$AC$204,3,FALSE()),""))</f>
        <v/>
      </c>
    </row>
    <row r="2156" customFormat="false" ht="13.5" hidden="false" customHeight="false" outlineLevel="0" collapsed="false">
      <c r="N2156" s="1" t="str">
        <f aca="false">IF(C2156="","",IFERROR(VLOOKUP(C2156,Master_Mappings!$A$4:$E$85,3,FALSE()),"UNMAPPED"))</f>
        <v/>
      </c>
      <c r="P2156" s="1" t="str">
        <f aca="false">IF($C2156="","",$C2156&amp;"|"&amp;$E2156&amp;"|"&amp;$M2156&amp;"|"&amp;TEXT($G2156,"yyyy-mm-dd")&amp;"|"&amp;LEFT($J2156,40))</f>
        <v/>
      </c>
      <c r="Q2156" s="11" t="str">
        <f aca="false">IF(P2156="","",IF(COUNTIF($P$2:$P$3000,P2156)&gt;1,"DUPLICATE","OK"))</f>
        <v/>
      </c>
      <c r="R2156" s="0" t="str">
        <f aca="false">IF($C2156="","",IFERROR(VLOOKUP(--$C2156,MM_Income!$Z$5:$AC$204,3,FALSE()),""))</f>
        <v/>
      </c>
    </row>
    <row r="2157" customFormat="false" ht="13.5" hidden="false" customHeight="false" outlineLevel="0" collapsed="false">
      <c r="N2157" s="1" t="str">
        <f aca="false">IF(C2157="","",IFERROR(VLOOKUP(C2157,Master_Mappings!$A$4:$E$85,3,FALSE()),"UNMAPPED"))</f>
        <v/>
      </c>
      <c r="P2157" s="1" t="str">
        <f aca="false">IF($C2157="","",$C2157&amp;"|"&amp;$E2157&amp;"|"&amp;$M2157&amp;"|"&amp;TEXT($G2157,"yyyy-mm-dd")&amp;"|"&amp;LEFT($J2157,40))</f>
        <v/>
      </c>
      <c r="Q2157" s="11" t="str">
        <f aca="false">IF(P2157="","",IF(COUNTIF($P$2:$P$3000,P2157)&gt;1,"DUPLICATE","OK"))</f>
        <v/>
      </c>
      <c r="R2157" s="0" t="str">
        <f aca="false">IF($C2157="","",IFERROR(VLOOKUP(--$C2157,MM_Income!$Z$5:$AC$204,3,FALSE()),""))</f>
        <v/>
      </c>
    </row>
    <row r="2158" customFormat="false" ht="13.5" hidden="false" customHeight="false" outlineLevel="0" collapsed="false">
      <c r="N2158" s="1" t="str">
        <f aca="false">IF(C2158="","",IFERROR(VLOOKUP(C2158,Master_Mappings!$A$4:$E$85,3,FALSE()),"UNMAPPED"))</f>
        <v/>
      </c>
      <c r="P2158" s="1" t="str">
        <f aca="false">IF($C2158="","",$C2158&amp;"|"&amp;$E2158&amp;"|"&amp;$M2158&amp;"|"&amp;TEXT($G2158,"yyyy-mm-dd")&amp;"|"&amp;LEFT($J2158,40))</f>
        <v/>
      </c>
      <c r="Q2158" s="11" t="str">
        <f aca="false">IF(P2158="","",IF(COUNTIF($P$2:$P$3000,P2158)&gt;1,"DUPLICATE","OK"))</f>
        <v/>
      </c>
      <c r="R2158" s="0" t="str">
        <f aca="false">IF($C2158="","",IFERROR(VLOOKUP(--$C2158,MM_Income!$Z$5:$AC$204,3,FALSE()),""))</f>
        <v/>
      </c>
    </row>
    <row r="2159" customFormat="false" ht="13.5" hidden="false" customHeight="false" outlineLevel="0" collapsed="false">
      <c r="N2159" s="1" t="str">
        <f aca="false">IF(C2159="","",IFERROR(VLOOKUP(C2159,Master_Mappings!$A$4:$E$85,3,FALSE()),"UNMAPPED"))</f>
        <v/>
      </c>
      <c r="P2159" s="1" t="str">
        <f aca="false">IF($C2159="","",$C2159&amp;"|"&amp;$E2159&amp;"|"&amp;$M2159&amp;"|"&amp;TEXT($G2159,"yyyy-mm-dd")&amp;"|"&amp;LEFT($J2159,40))</f>
        <v/>
      </c>
      <c r="Q2159" s="11" t="str">
        <f aca="false">IF(P2159="","",IF(COUNTIF($P$2:$P$3000,P2159)&gt;1,"DUPLICATE","OK"))</f>
        <v/>
      </c>
      <c r="R2159" s="0" t="str">
        <f aca="false">IF($C2159="","",IFERROR(VLOOKUP(--$C2159,MM_Income!$Z$5:$AC$204,3,FALSE()),""))</f>
        <v/>
      </c>
    </row>
    <row r="2160" customFormat="false" ht="13.5" hidden="false" customHeight="false" outlineLevel="0" collapsed="false">
      <c r="N2160" s="1" t="str">
        <f aca="false">IF(C2160="","",IFERROR(VLOOKUP(C2160,Master_Mappings!$A$4:$E$85,3,FALSE()),"UNMAPPED"))</f>
        <v/>
      </c>
      <c r="P2160" s="1" t="str">
        <f aca="false">IF($C2160="","",$C2160&amp;"|"&amp;$E2160&amp;"|"&amp;$M2160&amp;"|"&amp;TEXT($G2160,"yyyy-mm-dd")&amp;"|"&amp;LEFT($J2160,40))</f>
        <v/>
      </c>
      <c r="Q2160" s="11" t="str">
        <f aca="false">IF(P2160="","",IF(COUNTIF($P$2:$P$3000,P2160)&gt;1,"DUPLICATE","OK"))</f>
        <v/>
      </c>
      <c r="R2160" s="0" t="str">
        <f aca="false">IF($C2160="","",IFERROR(VLOOKUP(--$C2160,MM_Income!$Z$5:$AC$204,3,FALSE()),""))</f>
        <v/>
      </c>
    </row>
    <row r="2161" customFormat="false" ht="13.5" hidden="false" customHeight="false" outlineLevel="0" collapsed="false">
      <c r="N2161" s="1" t="str">
        <f aca="false">IF(C2161="","",IFERROR(VLOOKUP(C2161,Master_Mappings!$A$4:$E$85,3,FALSE()),"UNMAPPED"))</f>
        <v/>
      </c>
      <c r="P2161" s="1" t="str">
        <f aca="false">IF($C2161="","",$C2161&amp;"|"&amp;$E2161&amp;"|"&amp;$M2161&amp;"|"&amp;TEXT($G2161,"yyyy-mm-dd")&amp;"|"&amp;LEFT($J2161,40))</f>
        <v/>
      </c>
      <c r="Q2161" s="11" t="str">
        <f aca="false">IF(P2161="","",IF(COUNTIF($P$2:$P$3000,P2161)&gt;1,"DUPLICATE","OK"))</f>
        <v/>
      </c>
      <c r="R2161" s="0" t="str">
        <f aca="false">IF($C2161="","",IFERROR(VLOOKUP(--$C2161,MM_Income!$Z$5:$AC$204,3,FALSE()),""))</f>
        <v/>
      </c>
    </row>
    <row r="2162" customFormat="false" ht="13.5" hidden="false" customHeight="false" outlineLevel="0" collapsed="false">
      <c r="N2162" s="1" t="str">
        <f aca="false">IF(C2162="","",IFERROR(VLOOKUP(C2162,Master_Mappings!$A$4:$E$85,3,FALSE()),"UNMAPPED"))</f>
        <v/>
      </c>
      <c r="P2162" s="1" t="str">
        <f aca="false">IF($C2162="","",$C2162&amp;"|"&amp;$E2162&amp;"|"&amp;$M2162&amp;"|"&amp;TEXT($G2162,"yyyy-mm-dd")&amp;"|"&amp;LEFT($J2162,40))</f>
        <v/>
      </c>
      <c r="Q2162" s="11" t="str">
        <f aca="false">IF(P2162="","",IF(COUNTIF($P$2:$P$3000,P2162)&gt;1,"DUPLICATE","OK"))</f>
        <v/>
      </c>
      <c r="R2162" s="0" t="str">
        <f aca="false">IF($C2162="","",IFERROR(VLOOKUP(--$C2162,MM_Income!$Z$5:$AC$204,3,FALSE()),""))</f>
        <v/>
      </c>
    </row>
    <row r="2163" customFormat="false" ht="13.5" hidden="false" customHeight="false" outlineLevel="0" collapsed="false">
      <c r="N2163" s="1" t="str">
        <f aca="false">IF(C2163="","",IFERROR(VLOOKUP(C2163,Master_Mappings!$A$4:$E$85,3,FALSE()),"UNMAPPED"))</f>
        <v/>
      </c>
      <c r="P2163" s="1" t="str">
        <f aca="false">IF($C2163="","",$C2163&amp;"|"&amp;$E2163&amp;"|"&amp;$M2163&amp;"|"&amp;TEXT($G2163,"yyyy-mm-dd")&amp;"|"&amp;LEFT($J2163,40))</f>
        <v/>
      </c>
      <c r="Q2163" s="11" t="str">
        <f aca="false">IF(P2163="","",IF(COUNTIF($P$2:$P$3000,P2163)&gt;1,"DUPLICATE","OK"))</f>
        <v/>
      </c>
      <c r="R2163" s="0" t="str">
        <f aca="false">IF($C2163="","",IFERROR(VLOOKUP(--$C2163,MM_Income!$Z$5:$AC$204,3,FALSE()),""))</f>
        <v/>
      </c>
    </row>
    <row r="2164" customFormat="false" ht="13.5" hidden="false" customHeight="false" outlineLevel="0" collapsed="false">
      <c r="N2164" s="1" t="str">
        <f aca="false">IF(C2164="","",IFERROR(VLOOKUP(C2164,Master_Mappings!$A$4:$E$85,3,FALSE()),"UNMAPPED"))</f>
        <v/>
      </c>
      <c r="P2164" s="1" t="str">
        <f aca="false">IF($C2164="","",$C2164&amp;"|"&amp;$E2164&amp;"|"&amp;$M2164&amp;"|"&amp;TEXT($G2164,"yyyy-mm-dd")&amp;"|"&amp;LEFT($J2164,40))</f>
        <v/>
      </c>
      <c r="Q2164" s="11" t="str">
        <f aca="false">IF(P2164="","",IF(COUNTIF($P$2:$P$3000,P2164)&gt;1,"DUPLICATE","OK"))</f>
        <v/>
      </c>
      <c r="R2164" s="0" t="str">
        <f aca="false">IF($C2164="","",IFERROR(VLOOKUP(--$C2164,MM_Income!$Z$5:$AC$204,3,FALSE()),""))</f>
        <v/>
      </c>
    </row>
    <row r="2165" customFormat="false" ht="13.5" hidden="false" customHeight="false" outlineLevel="0" collapsed="false">
      <c r="N2165" s="1" t="str">
        <f aca="false">IF(C2165="","",IFERROR(VLOOKUP(C2165,Master_Mappings!$A$4:$E$85,3,FALSE()),"UNMAPPED"))</f>
        <v/>
      </c>
      <c r="P2165" s="1" t="str">
        <f aca="false">IF($C2165="","",$C2165&amp;"|"&amp;$E2165&amp;"|"&amp;$M2165&amp;"|"&amp;TEXT($G2165,"yyyy-mm-dd")&amp;"|"&amp;LEFT($J2165,40))</f>
        <v/>
      </c>
      <c r="Q2165" s="11" t="str">
        <f aca="false">IF(P2165="","",IF(COUNTIF($P$2:$P$3000,P2165)&gt;1,"DUPLICATE","OK"))</f>
        <v/>
      </c>
      <c r="R2165" s="0" t="str">
        <f aca="false">IF($C2165="","",IFERROR(VLOOKUP(--$C2165,MM_Income!$Z$5:$AC$204,3,FALSE()),""))</f>
        <v/>
      </c>
    </row>
    <row r="2166" customFormat="false" ht="13.5" hidden="false" customHeight="false" outlineLevel="0" collapsed="false">
      <c r="N2166" s="1" t="str">
        <f aca="false">IF(C2166="","",IFERROR(VLOOKUP(C2166,Master_Mappings!$A$4:$E$85,3,FALSE()),"UNMAPPED"))</f>
        <v/>
      </c>
      <c r="P2166" s="1" t="str">
        <f aca="false">IF($C2166="","",$C2166&amp;"|"&amp;$E2166&amp;"|"&amp;$M2166&amp;"|"&amp;TEXT($G2166,"yyyy-mm-dd")&amp;"|"&amp;LEFT($J2166,40))</f>
        <v/>
      </c>
      <c r="Q2166" s="11" t="str">
        <f aca="false">IF(P2166="","",IF(COUNTIF($P$2:$P$3000,P2166)&gt;1,"DUPLICATE","OK"))</f>
        <v/>
      </c>
      <c r="R2166" s="0" t="str">
        <f aca="false">IF($C2166="","",IFERROR(VLOOKUP(--$C2166,MM_Income!$Z$5:$AC$204,3,FALSE()),""))</f>
        <v/>
      </c>
    </row>
    <row r="2167" customFormat="false" ht="13.5" hidden="false" customHeight="false" outlineLevel="0" collapsed="false">
      <c r="N2167" s="1" t="str">
        <f aca="false">IF(C2167="","",IFERROR(VLOOKUP(C2167,Master_Mappings!$A$4:$E$85,3,FALSE()),"UNMAPPED"))</f>
        <v/>
      </c>
      <c r="P2167" s="1" t="str">
        <f aca="false">IF($C2167="","",$C2167&amp;"|"&amp;$E2167&amp;"|"&amp;$M2167&amp;"|"&amp;TEXT($G2167,"yyyy-mm-dd")&amp;"|"&amp;LEFT($J2167,40))</f>
        <v/>
      </c>
      <c r="Q2167" s="11" t="str">
        <f aca="false">IF(P2167="","",IF(COUNTIF($P$2:$P$3000,P2167)&gt;1,"DUPLICATE","OK"))</f>
        <v/>
      </c>
      <c r="R2167" s="0" t="str">
        <f aca="false">IF($C2167="","",IFERROR(VLOOKUP(--$C2167,MM_Income!$Z$5:$AC$204,3,FALSE()),""))</f>
        <v/>
      </c>
    </row>
    <row r="2168" customFormat="false" ht="13.5" hidden="false" customHeight="false" outlineLevel="0" collapsed="false">
      <c r="N2168" s="1" t="str">
        <f aca="false">IF(C2168="","",IFERROR(VLOOKUP(C2168,Master_Mappings!$A$4:$E$85,3,FALSE()),"UNMAPPED"))</f>
        <v/>
      </c>
      <c r="P2168" s="1" t="str">
        <f aca="false">IF($C2168="","",$C2168&amp;"|"&amp;$E2168&amp;"|"&amp;$M2168&amp;"|"&amp;TEXT($G2168,"yyyy-mm-dd")&amp;"|"&amp;LEFT($J2168,40))</f>
        <v/>
      </c>
      <c r="Q2168" s="11" t="str">
        <f aca="false">IF(P2168="","",IF(COUNTIF($P$2:$P$3000,P2168)&gt;1,"DUPLICATE","OK"))</f>
        <v/>
      </c>
      <c r="R2168" s="0" t="str">
        <f aca="false">IF($C2168="","",IFERROR(VLOOKUP(--$C2168,MM_Income!$Z$5:$AC$204,3,FALSE()),""))</f>
        <v/>
      </c>
    </row>
    <row r="2169" customFormat="false" ht="13.5" hidden="false" customHeight="false" outlineLevel="0" collapsed="false">
      <c r="N2169" s="1" t="str">
        <f aca="false">IF(C2169="","",IFERROR(VLOOKUP(C2169,Master_Mappings!$A$4:$E$85,3,FALSE()),"UNMAPPED"))</f>
        <v/>
      </c>
      <c r="P2169" s="1" t="str">
        <f aca="false">IF($C2169="","",$C2169&amp;"|"&amp;$E2169&amp;"|"&amp;$M2169&amp;"|"&amp;TEXT($G2169,"yyyy-mm-dd")&amp;"|"&amp;LEFT($J2169,40))</f>
        <v/>
      </c>
      <c r="Q2169" s="11" t="str">
        <f aca="false">IF(P2169="","",IF(COUNTIF($P$2:$P$3000,P2169)&gt;1,"DUPLICATE","OK"))</f>
        <v/>
      </c>
      <c r="R2169" s="0" t="str">
        <f aca="false">IF($C2169="","",IFERROR(VLOOKUP(--$C2169,MM_Income!$Z$5:$AC$204,3,FALSE()),""))</f>
        <v/>
      </c>
    </row>
    <row r="2170" customFormat="false" ht="13.5" hidden="false" customHeight="false" outlineLevel="0" collapsed="false">
      <c r="N2170" s="1" t="str">
        <f aca="false">IF(C2170="","",IFERROR(VLOOKUP(C2170,Master_Mappings!$A$4:$E$85,3,FALSE()),"UNMAPPED"))</f>
        <v/>
      </c>
      <c r="P2170" s="1" t="str">
        <f aca="false">IF($C2170="","",$C2170&amp;"|"&amp;$E2170&amp;"|"&amp;$M2170&amp;"|"&amp;TEXT($G2170,"yyyy-mm-dd")&amp;"|"&amp;LEFT($J2170,40))</f>
        <v/>
      </c>
      <c r="Q2170" s="11" t="str">
        <f aca="false">IF(P2170="","",IF(COUNTIF($P$2:$P$3000,P2170)&gt;1,"DUPLICATE","OK"))</f>
        <v/>
      </c>
      <c r="R2170" s="0" t="str">
        <f aca="false">IF($C2170="","",IFERROR(VLOOKUP(--$C2170,MM_Income!$Z$5:$AC$204,3,FALSE()),""))</f>
        <v/>
      </c>
    </row>
    <row r="2171" customFormat="false" ht="13.5" hidden="false" customHeight="false" outlineLevel="0" collapsed="false">
      <c r="N2171" s="1" t="str">
        <f aca="false">IF(C2171="","",IFERROR(VLOOKUP(C2171,Master_Mappings!$A$4:$E$85,3,FALSE()),"UNMAPPED"))</f>
        <v/>
      </c>
      <c r="P2171" s="1" t="str">
        <f aca="false">IF($C2171="","",$C2171&amp;"|"&amp;$E2171&amp;"|"&amp;$M2171&amp;"|"&amp;TEXT($G2171,"yyyy-mm-dd")&amp;"|"&amp;LEFT($J2171,40))</f>
        <v/>
      </c>
      <c r="Q2171" s="11" t="str">
        <f aca="false">IF(P2171="","",IF(COUNTIF($P$2:$P$3000,P2171)&gt;1,"DUPLICATE","OK"))</f>
        <v/>
      </c>
      <c r="R2171" s="0" t="str">
        <f aca="false">IF($C2171="","",IFERROR(VLOOKUP(--$C2171,MM_Income!$Z$5:$AC$204,3,FALSE()),""))</f>
        <v/>
      </c>
    </row>
    <row r="2172" customFormat="false" ht="13.5" hidden="false" customHeight="false" outlineLevel="0" collapsed="false">
      <c r="N2172" s="1" t="str">
        <f aca="false">IF(C2172="","",IFERROR(VLOOKUP(C2172,Master_Mappings!$A$4:$E$85,3,FALSE()),"UNMAPPED"))</f>
        <v/>
      </c>
      <c r="P2172" s="1" t="str">
        <f aca="false">IF($C2172="","",$C2172&amp;"|"&amp;$E2172&amp;"|"&amp;$M2172&amp;"|"&amp;TEXT($G2172,"yyyy-mm-dd")&amp;"|"&amp;LEFT($J2172,40))</f>
        <v/>
      </c>
      <c r="Q2172" s="11" t="str">
        <f aca="false">IF(P2172="","",IF(COUNTIF($P$2:$P$3000,P2172)&gt;1,"DUPLICATE","OK"))</f>
        <v/>
      </c>
      <c r="R2172" s="0" t="str">
        <f aca="false">IF($C2172="","",IFERROR(VLOOKUP(--$C2172,MM_Income!$Z$5:$AC$204,3,FALSE()),""))</f>
        <v/>
      </c>
    </row>
    <row r="2173" customFormat="false" ht="13.5" hidden="false" customHeight="false" outlineLevel="0" collapsed="false">
      <c r="N2173" s="1" t="str">
        <f aca="false">IF(C2173="","",IFERROR(VLOOKUP(C2173,Master_Mappings!$A$4:$E$85,3,FALSE()),"UNMAPPED"))</f>
        <v/>
      </c>
      <c r="P2173" s="1" t="str">
        <f aca="false">IF($C2173="","",$C2173&amp;"|"&amp;$E2173&amp;"|"&amp;$M2173&amp;"|"&amp;TEXT($G2173,"yyyy-mm-dd")&amp;"|"&amp;LEFT($J2173,40))</f>
        <v/>
      </c>
      <c r="Q2173" s="11" t="str">
        <f aca="false">IF(P2173="","",IF(COUNTIF($P$2:$P$3000,P2173)&gt;1,"DUPLICATE","OK"))</f>
        <v/>
      </c>
      <c r="R2173" s="0" t="str">
        <f aca="false">IF($C2173="","",IFERROR(VLOOKUP(--$C2173,MM_Income!$Z$5:$AC$204,3,FALSE()),""))</f>
        <v/>
      </c>
    </row>
    <row r="2174" customFormat="false" ht="13.5" hidden="false" customHeight="false" outlineLevel="0" collapsed="false">
      <c r="N2174" s="1" t="str">
        <f aca="false">IF(C2174="","",IFERROR(VLOOKUP(C2174,Master_Mappings!$A$4:$E$85,3,FALSE()),"UNMAPPED"))</f>
        <v/>
      </c>
      <c r="P2174" s="1" t="str">
        <f aca="false">IF($C2174="","",$C2174&amp;"|"&amp;$E2174&amp;"|"&amp;$M2174&amp;"|"&amp;TEXT($G2174,"yyyy-mm-dd")&amp;"|"&amp;LEFT($J2174,40))</f>
        <v/>
      </c>
      <c r="Q2174" s="11" t="str">
        <f aca="false">IF(P2174="","",IF(COUNTIF($P$2:$P$3000,P2174)&gt;1,"DUPLICATE","OK"))</f>
        <v/>
      </c>
      <c r="R2174" s="0" t="str">
        <f aca="false">IF($C2174="","",IFERROR(VLOOKUP(--$C2174,MM_Income!$Z$5:$AC$204,3,FALSE()),""))</f>
        <v/>
      </c>
    </row>
    <row r="2175" customFormat="false" ht="13.5" hidden="false" customHeight="false" outlineLevel="0" collapsed="false">
      <c r="N2175" s="1" t="str">
        <f aca="false">IF(C2175="","",IFERROR(VLOOKUP(C2175,Master_Mappings!$A$4:$E$85,3,FALSE()),"UNMAPPED"))</f>
        <v/>
      </c>
      <c r="P2175" s="1" t="str">
        <f aca="false">IF($C2175="","",$C2175&amp;"|"&amp;$E2175&amp;"|"&amp;$M2175&amp;"|"&amp;TEXT($G2175,"yyyy-mm-dd")&amp;"|"&amp;LEFT($J2175,40))</f>
        <v/>
      </c>
      <c r="Q2175" s="11" t="str">
        <f aca="false">IF(P2175="","",IF(COUNTIF($P$2:$P$3000,P2175)&gt;1,"DUPLICATE","OK"))</f>
        <v/>
      </c>
      <c r="R2175" s="0" t="str">
        <f aca="false">IF($C2175="","",IFERROR(VLOOKUP(--$C2175,MM_Income!$Z$5:$AC$204,3,FALSE()),""))</f>
        <v/>
      </c>
    </row>
    <row r="2176" customFormat="false" ht="13.5" hidden="false" customHeight="false" outlineLevel="0" collapsed="false">
      <c r="N2176" s="1" t="str">
        <f aca="false">IF(C2176="","",IFERROR(VLOOKUP(C2176,Master_Mappings!$A$4:$E$85,3,FALSE()),"UNMAPPED"))</f>
        <v/>
      </c>
      <c r="P2176" s="1" t="str">
        <f aca="false">IF($C2176="","",$C2176&amp;"|"&amp;$E2176&amp;"|"&amp;$M2176&amp;"|"&amp;TEXT($G2176,"yyyy-mm-dd")&amp;"|"&amp;LEFT($J2176,40))</f>
        <v/>
      </c>
      <c r="Q2176" s="11" t="str">
        <f aca="false">IF(P2176="","",IF(COUNTIF($P$2:$P$3000,P2176)&gt;1,"DUPLICATE","OK"))</f>
        <v/>
      </c>
      <c r="R2176" s="0" t="str">
        <f aca="false">IF($C2176="","",IFERROR(VLOOKUP(--$C2176,MM_Income!$Z$5:$AC$204,3,FALSE()),""))</f>
        <v/>
      </c>
    </row>
    <row r="2177" customFormat="false" ht="13.5" hidden="false" customHeight="false" outlineLevel="0" collapsed="false">
      <c r="N2177" s="1" t="str">
        <f aca="false">IF(C2177="","",IFERROR(VLOOKUP(C2177,Master_Mappings!$A$4:$E$85,3,FALSE()),"UNMAPPED"))</f>
        <v/>
      </c>
      <c r="P2177" s="1" t="str">
        <f aca="false">IF($C2177="","",$C2177&amp;"|"&amp;$E2177&amp;"|"&amp;$M2177&amp;"|"&amp;TEXT($G2177,"yyyy-mm-dd")&amp;"|"&amp;LEFT($J2177,40))</f>
        <v/>
      </c>
      <c r="Q2177" s="11" t="str">
        <f aca="false">IF(P2177="","",IF(COUNTIF($P$2:$P$3000,P2177)&gt;1,"DUPLICATE","OK"))</f>
        <v/>
      </c>
      <c r="R2177" s="0" t="str">
        <f aca="false">IF($C2177="","",IFERROR(VLOOKUP(--$C2177,MM_Income!$Z$5:$AC$204,3,FALSE()),""))</f>
        <v/>
      </c>
    </row>
    <row r="2178" customFormat="false" ht="13.5" hidden="false" customHeight="false" outlineLevel="0" collapsed="false">
      <c r="N2178" s="1" t="str">
        <f aca="false">IF(C2178="","",IFERROR(VLOOKUP(C2178,Master_Mappings!$A$4:$E$85,3,FALSE()),"UNMAPPED"))</f>
        <v/>
      </c>
      <c r="P2178" s="1" t="str">
        <f aca="false">IF($C2178="","",$C2178&amp;"|"&amp;$E2178&amp;"|"&amp;$M2178&amp;"|"&amp;TEXT($G2178,"yyyy-mm-dd")&amp;"|"&amp;LEFT($J2178,40))</f>
        <v/>
      </c>
      <c r="Q2178" s="11" t="str">
        <f aca="false">IF(P2178="","",IF(COUNTIF($P$2:$P$3000,P2178)&gt;1,"DUPLICATE","OK"))</f>
        <v/>
      </c>
      <c r="R2178" s="0" t="str">
        <f aca="false">IF($C2178="","",IFERROR(VLOOKUP(--$C2178,MM_Income!$Z$5:$AC$204,3,FALSE()),""))</f>
        <v/>
      </c>
    </row>
    <row r="2179" customFormat="false" ht="13.5" hidden="false" customHeight="false" outlineLevel="0" collapsed="false">
      <c r="N2179" s="1" t="str">
        <f aca="false">IF(C2179="","",IFERROR(VLOOKUP(C2179,Master_Mappings!$A$4:$E$85,3,FALSE()),"UNMAPPED"))</f>
        <v/>
      </c>
      <c r="P2179" s="1" t="str">
        <f aca="false">IF($C2179="","",$C2179&amp;"|"&amp;$E2179&amp;"|"&amp;$M2179&amp;"|"&amp;TEXT($G2179,"yyyy-mm-dd")&amp;"|"&amp;LEFT($J2179,40))</f>
        <v/>
      </c>
      <c r="Q2179" s="11" t="str">
        <f aca="false">IF(P2179="","",IF(COUNTIF($P$2:$P$3000,P2179)&gt;1,"DUPLICATE","OK"))</f>
        <v/>
      </c>
      <c r="R2179" s="0" t="str">
        <f aca="false">IF($C2179="","",IFERROR(VLOOKUP(--$C2179,MM_Income!$Z$5:$AC$204,3,FALSE()),""))</f>
        <v/>
      </c>
    </row>
    <row r="2180" customFormat="false" ht="13.5" hidden="false" customHeight="false" outlineLevel="0" collapsed="false">
      <c r="N2180" s="1" t="str">
        <f aca="false">IF(C2180="","",IFERROR(VLOOKUP(C2180,Master_Mappings!$A$4:$E$85,3,FALSE()),"UNMAPPED"))</f>
        <v/>
      </c>
      <c r="P2180" s="1" t="str">
        <f aca="false">IF($C2180="","",$C2180&amp;"|"&amp;$E2180&amp;"|"&amp;$M2180&amp;"|"&amp;TEXT($G2180,"yyyy-mm-dd")&amp;"|"&amp;LEFT($J2180,40))</f>
        <v/>
      </c>
      <c r="Q2180" s="11" t="str">
        <f aca="false">IF(P2180="","",IF(COUNTIF($P$2:$P$3000,P2180)&gt;1,"DUPLICATE","OK"))</f>
        <v/>
      </c>
      <c r="R2180" s="0" t="str">
        <f aca="false">IF($C2180="","",IFERROR(VLOOKUP(--$C2180,MM_Income!$Z$5:$AC$204,3,FALSE()),""))</f>
        <v/>
      </c>
    </row>
    <row r="2181" customFormat="false" ht="13.5" hidden="false" customHeight="false" outlineLevel="0" collapsed="false">
      <c r="N2181" s="1" t="str">
        <f aca="false">IF(C2181="","",IFERROR(VLOOKUP(C2181,Master_Mappings!$A$4:$E$85,3,FALSE()),"UNMAPPED"))</f>
        <v/>
      </c>
      <c r="P2181" s="1" t="str">
        <f aca="false">IF($C2181="","",$C2181&amp;"|"&amp;$E2181&amp;"|"&amp;$M2181&amp;"|"&amp;TEXT($G2181,"yyyy-mm-dd")&amp;"|"&amp;LEFT($J2181,40))</f>
        <v/>
      </c>
      <c r="Q2181" s="11" t="str">
        <f aca="false">IF(P2181="","",IF(COUNTIF($P$2:$P$3000,P2181)&gt;1,"DUPLICATE","OK"))</f>
        <v/>
      </c>
      <c r="R2181" s="0" t="str">
        <f aca="false">IF($C2181="","",IFERROR(VLOOKUP(--$C2181,MM_Income!$Z$5:$AC$204,3,FALSE()),""))</f>
        <v/>
      </c>
    </row>
    <row r="2182" customFormat="false" ht="13.5" hidden="false" customHeight="false" outlineLevel="0" collapsed="false">
      <c r="N2182" s="1" t="str">
        <f aca="false">IF(C2182="","",IFERROR(VLOOKUP(C2182,Master_Mappings!$A$4:$E$85,3,FALSE()),"UNMAPPED"))</f>
        <v/>
      </c>
      <c r="P2182" s="1" t="str">
        <f aca="false">IF($C2182="","",$C2182&amp;"|"&amp;$E2182&amp;"|"&amp;$M2182&amp;"|"&amp;TEXT($G2182,"yyyy-mm-dd")&amp;"|"&amp;LEFT($J2182,40))</f>
        <v/>
      </c>
      <c r="Q2182" s="11" t="str">
        <f aca="false">IF(P2182="","",IF(COUNTIF($P$2:$P$3000,P2182)&gt;1,"DUPLICATE","OK"))</f>
        <v/>
      </c>
      <c r="R2182" s="0" t="str">
        <f aca="false">IF($C2182="","",IFERROR(VLOOKUP(--$C2182,MM_Income!$Z$5:$AC$204,3,FALSE()),""))</f>
        <v/>
      </c>
    </row>
    <row r="2183" customFormat="false" ht="13.5" hidden="false" customHeight="false" outlineLevel="0" collapsed="false">
      <c r="N2183" s="1" t="str">
        <f aca="false">IF(C2183="","",IFERROR(VLOOKUP(C2183,Master_Mappings!$A$4:$E$85,3,FALSE()),"UNMAPPED"))</f>
        <v/>
      </c>
      <c r="P2183" s="1" t="str">
        <f aca="false">IF($C2183="","",$C2183&amp;"|"&amp;$E2183&amp;"|"&amp;$M2183&amp;"|"&amp;TEXT($G2183,"yyyy-mm-dd")&amp;"|"&amp;LEFT($J2183,40))</f>
        <v/>
      </c>
      <c r="Q2183" s="11" t="str">
        <f aca="false">IF(P2183="","",IF(COUNTIF($P$2:$P$3000,P2183)&gt;1,"DUPLICATE","OK"))</f>
        <v/>
      </c>
      <c r="R2183" s="0" t="str">
        <f aca="false">IF($C2183="","",IFERROR(VLOOKUP(--$C2183,MM_Income!$Z$5:$AC$204,3,FALSE()),""))</f>
        <v/>
      </c>
    </row>
    <row r="2184" customFormat="false" ht="13.5" hidden="false" customHeight="false" outlineLevel="0" collapsed="false">
      <c r="N2184" s="1" t="str">
        <f aca="false">IF(C2184="","",IFERROR(VLOOKUP(C2184,Master_Mappings!$A$4:$E$85,3,FALSE()),"UNMAPPED"))</f>
        <v/>
      </c>
      <c r="P2184" s="1" t="str">
        <f aca="false">IF($C2184="","",$C2184&amp;"|"&amp;$E2184&amp;"|"&amp;$M2184&amp;"|"&amp;TEXT($G2184,"yyyy-mm-dd")&amp;"|"&amp;LEFT($J2184,40))</f>
        <v/>
      </c>
      <c r="Q2184" s="11" t="str">
        <f aca="false">IF(P2184="","",IF(COUNTIF($P$2:$P$3000,P2184)&gt;1,"DUPLICATE","OK"))</f>
        <v/>
      </c>
      <c r="R2184" s="0" t="str">
        <f aca="false">IF($C2184="","",IFERROR(VLOOKUP(--$C2184,MM_Income!$Z$5:$AC$204,3,FALSE()),""))</f>
        <v/>
      </c>
    </row>
    <row r="2185" customFormat="false" ht="13.5" hidden="false" customHeight="false" outlineLevel="0" collapsed="false">
      <c r="N2185" s="1" t="str">
        <f aca="false">IF(C2185="","",IFERROR(VLOOKUP(C2185,Master_Mappings!$A$4:$E$85,3,FALSE()),"UNMAPPED"))</f>
        <v/>
      </c>
      <c r="P2185" s="1" t="str">
        <f aca="false">IF($C2185="","",$C2185&amp;"|"&amp;$E2185&amp;"|"&amp;$M2185&amp;"|"&amp;TEXT($G2185,"yyyy-mm-dd")&amp;"|"&amp;LEFT($J2185,40))</f>
        <v/>
      </c>
      <c r="Q2185" s="11" t="str">
        <f aca="false">IF(P2185="","",IF(COUNTIF($P$2:$P$3000,P2185)&gt;1,"DUPLICATE","OK"))</f>
        <v/>
      </c>
      <c r="R2185" s="0" t="str">
        <f aca="false">IF($C2185="","",IFERROR(VLOOKUP(--$C2185,MM_Income!$Z$5:$AC$204,3,FALSE()),""))</f>
        <v/>
      </c>
    </row>
    <row r="2186" customFormat="false" ht="13.5" hidden="false" customHeight="false" outlineLevel="0" collapsed="false">
      <c r="N2186" s="1" t="str">
        <f aca="false">IF(C2186="","",IFERROR(VLOOKUP(C2186,Master_Mappings!$A$4:$E$85,3,FALSE()),"UNMAPPED"))</f>
        <v/>
      </c>
      <c r="P2186" s="1" t="str">
        <f aca="false">IF($C2186="","",$C2186&amp;"|"&amp;$E2186&amp;"|"&amp;$M2186&amp;"|"&amp;TEXT($G2186,"yyyy-mm-dd")&amp;"|"&amp;LEFT($J2186,40))</f>
        <v/>
      </c>
      <c r="Q2186" s="11" t="str">
        <f aca="false">IF(P2186="","",IF(COUNTIF($P$2:$P$3000,P2186)&gt;1,"DUPLICATE","OK"))</f>
        <v/>
      </c>
      <c r="R2186" s="0" t="str">
        <f aca="false">IF($C2186="","",IFERROR(VLOOKUP(--$C2186,MM_Income!$Z$5:$AC$204,3,FALSE()),""))</f>
        <v/>
      </c>
    </row>
    <row r="2187" customFormat="false" ht="13.5" hidden="false" customHeight="false" outlineLevel="0" collapsed="false">
      <c r="N2187" s="1" t="str">
        <f aca="false">IF(C2187="","",IFERROR(VLOOKUP(C2187,Master_Mappings!$A$4:$E$85,3,FALSE()),"UNMAPPED"))</f>
        <v/>
      </c>
      <c r="P2187" s="1" t="str">
        <f aca="false">IF($C2187="","",$C2187&amp;"|"&amp;$E2187&amp;"|"&amp;$M2187&amp;"|"&amp;TEXT($G2187,"yyyy-mm-dd")&amp;"|"&amp;LEFT($J2187,40))</f>
        <v/>
      </c>
      <c r="Q2187" s="11" t="str">
        <f aca="false">IF(P2187="","",IF(COUNTIF($P$2:$P$3000,P2187)&gt;1,"DUPLICATE","OK"))</f>
        <v/>
      </c>
      <c r="R2187" s="0" t="str">
        <f aca="false">IF($C2187="","",IFERROR(VLOOKUP(--$C2187,MM_Income!$Z$5:$AC$204,3,FALSE()),""))</f>
        <v/>
      </c>
    </row>
    <row r="2188" customFormat="false" ht="13.5" hidden="false" customHeight="false" outlineLevel="0" collapsed="false">
      <c r="N2188" s="1" t="str">
        <f aca="false">IF(C2188="","",IFERROR(VLOOKUP(C2188,Master_Mappings!$A$4:$E$85,3,FALSE()),"UNMAPPED"))</f>
        <v/>
      </c>
      <c r="P2188" s="1" t="str">
        <f aca="false">IF($C2188="","",$C2188&amp;"|"&amp;$E2188&amp;"|"&amp;$M2188&amp;"|"&amp;TEXT($G2188,"yyyy-mm-dd")&amp;"|"&amp;LEFT($J2188,40))</f>
        <v/>
      </c>
      <c r="Q2188" s="11" t="str">
        <f aca="false">IF(P2188="","",IF(COUNTIF($P$2:$P$3000,P2188)&gt;1,"DUPLICATE","OK"))</f>
        <v/>
      </c>
      <c r="R2188" s="0" t="str">
        <f aca="false">IF($C2188="","",IFERROR(VLOOKUP(--$C2188,MM_Income!$Z$5:$AC$204,3,FALSE()),""))</f>
        <v/>
      </c>
    </row>
    <row r="2189" customFormat="false" ht="13.5" hidden="false" customHeight="false" outlineLevel="0" collapsed="false">
      <c r="N2189" s="1" t="str">
        <f aca="false">IF(C2189="","",IFERROR(VLOOKUP(C2189,Master_Mappings!$A$4:$E$85,3,FALSE()),"UNMAPPED"))</f>
        <v/>
      </c>
      <c r="P2189" s="1" t="str">
        <f aca="false">IF($C2189="","",$C2189&amp;"|"&amp;$E2189&amp;"|"&amp;$M2189&amp;"|"&amp;TEXT($G2189,"yyyy-mm-dd")&amp;"|"&amp;LEFT($J2189,40))</f>
        <v/>
      </c>
      <c r="Q2189" s="11" t="str">
        <f aca="false">IF(P2189="","",IF(COUNTIF($P$2:$P$3000,P2189)&gt;1,"DUPLICATE","OK"))</f>
        <v/>
      </c>
      <c r="R2189" s="0" t="str">
        <f aca="false">IF($C2189="","",IFERROR(VLOOKUP(--$C2189,MM_Income!$Z$5:$AC$204,3,FALSE()),""))</f>
        <v/>
      </c>
    </row>
    <row r="2190" customFormat="false" ht="13.5" hidden="false" customHeight="false" outlineLevel="0" collapsed="false">
      <c r="N2190" s="1" t="str">
        <f aca="false">IF(C2190="","",IFERROR(VLOOKUP(C2190,Master_Mappings!$A$4:$E$85,3,FALSE()),"UNMAPPED"))</f>
        <v/>
      </c>
      <c r="P2190" s="1" t="str">
        <f aca="false">IF($C2190="","",$C2190&amp;"|"&amp;$E2190&amp;"|"&amp;$M2190&amp;"|"&amp;TEXT($G2190,"yyyy-mm-dd")&amp;"|"&amp;LEFT($J2190,40))</f>
        <v/>
      </c>
      <c r="Q2190" s="11" t="str">
        <f aca="false">IF(P2190="","",IF(COUNTIF($P$2:$P$3000,P2190)&gt;1,"DUPLICATE","OK"))</f>
        <v/>
      </c>
      <c r="R2190" s="0" t="str">
        <f aca="false">IF($C2190="","",IFERROR(VLOOKUP(--$C2190,MM_Income!$Z$5:$AC$204,3,FALSE()),""))</f>
        <v/>
      </c>
    </row>
    <row r="2191" customFormat="false" ht="13.5" hidden="false" customHeight="false" outlineLevel="0" collapsed="false">
      <c r="N2191" s="1" t="str">
        <f aca="false">IF(C2191="","",IFERROR(VLOOKUP(C2191,Master_Mappings!$A$4:$E$85,3,FALSE()),"UNMAPPED"))</f>
        <v/>
      </c>
      <c r="P2191" s="1" t="str">
        <f aca="false">IF($C2191="","",$C2191&amp;"|"&amp;$E2191&amp;"|"&amp;$M2191&amp;"|"&amp;TEXT($G2191,"yyyy-mm-dd")&amp;"|"&amp;LEFT($J2191,40))</f>
        <v/>
      </c>
      <c r="Q2191" s="11" t="str">
        <f aca="false">IF(P2191="","",IF(COUNTIF($P$2:$P$3000,P2191)&gt;1,"DUPLICATE","OK"))</f>
        <v/>
      </c>
      <c r="R2191" s="0" t="str">
        <f aca="false">IF($C2191="","",IFERROR(VLOOKUP(--$C2191,MM_Income!$Z$5:$AC$204,3,FALSE()),""))</f>
        <v/>
      </c>
    </row>
    <row r="2192" customFormat="false" ht="13.5" hidden="false" customHeight="false" outlineLevel="0" collapsed="false">
      <c r="N2192" s="1" t="str">
        <f aca="false">IF(C2192="","",IFERROR(VLOOKUP(C2192,Master_Mappings!$A$4:$E$85,3,FALSE()),"UNMAPPED"))</f>
        <v/>
      </c>
      <c r="P2192" s="1" t="str">
        <f aca="false">IF($C2192="","",$C2192&amp;"|"&amp;$E2192&amp;"|"&amp;$M2192&amp;"|"&amp;TEXT($G2192,"yyyy-mm-dd")&amp;"|"&amp;LEFT($J2192,40))</f>
        <v/>
      </c>
      <c r="Q2192" s="11" t="str">
        <f aca="false">IF(P2192="","",IF(COUNTIF($P$2:$P$3000,P2192)&gt;1,"DUPLICATE","OK"))</f>
        <v/>
      </c>
      <c r="R2192" s="0" t="str">
        <f aca="false">IF($C2192="","",IFERROR(VLOOKUP(--$C2192,MM_Income!$Z$5:$AC$204,3,FALSE()),""))</f>
        <v/>
      </c>
    </row>
    <row r="2193" customFormat="false" ht="13.5" hidden="false" customHeight="false" outlineLevel="0" collapsed="false">
      <c r="N2193" s="1" t="str">
        <f aca="false">IF(C2193="","",IFERROR(VLOOKUP(C2193,Master_Mappings!$A$4:$E$85,3,FALSE()),"UNMAPPED"))</f>
        <v/>
      </c>
      <c r="P2193" s="1" t="str">
        <f aca="false">IF($C2193="","",$C2193&amp;"|"&amp;$E2193&amp;"|"&amp;$M2193&amp;"|"&amp;TEXT($G2193,"yyyy-mm-dd")&amp;"|"&amp;LEFT($J2193,40))</f>
        <v/>
      </c>
      <c r="Q2193" s="11" t="str">
        <f aca="false">IF(P2193="","",IF(COUNTIF($P$2:$P$3000,P2193)&gt;1,"DUPLICATE","OK"))</f>
        <v/>
      </c>
      <c r="R2193" s="0" t="str">
        <f aca="false">IF($C2193="","",IFERROR(VLOOKUP(--$C2193,MM_Income!$Z$5:$AC$204,3,FALSE()),""))</f>
        <v/>
      </c>
    </row>
    <row r="2194" customFormat="false" ht="13.5" hidden="false" customHeight="false" outlineLevel="0" collapsed="false">
      <c r="N2194" s="1" t="str">
        <f aca="false">IF(C2194="","",IFERROR(VLOOKUP(C2194,Master_Mappings!$A$4:$E$85,3,FALSE()),"UNMAPPED"))</f>
        <v/>
      </c>
      <c r="P2194" s="1" t="str">
        <f aca="false">IF($C2194="","",$C2194&amp;"|"&amp;$E2194&amp;"|"&amp;$M2194&amp;"|"&amp;TEXT($G2194,"yyyy-mm-dd")&amp;"|"&amp;LEFT($J2194,40))</f>
        <v/>
      </c>
      <c r="Q2194" s="11" t="str">
        <f aca="false">IF(P2194="","",IF(COUNTIF($P$2:$P$3000,P2194)&gt;1,"DUPLICATE","OK"))</f>
        <v/>
      </c>
      <c r="R2194" s="0" t="str">
        <f aca="false">IF($C2194="","",IFERROR(VLOOKUP(--$C2194,MM_Income!$Z$5:$AC$204,3,FALSE()),""))</f>
        <v/>
      </c>
    </row>
    <row r="2195" customFormat="false" ht="13.5" hidden="false" customHeight="false" outlineLevel="0" collapsed="false">
      <c r="N2195" s="1" t="str">
        <f aca="false">IF(C2195="","",IFERROR(VLOOKUP(C2195,Master_Mappings!$A$4:$E$85,3,FALSE()),"UNMAPPED"))</f>
        <v/>
      </c>
      <c r="P2195" s="1" t="str">
        <f aca="false">IF($C2195="","",$C2195&amp;"|"&amp;$E2195&amp;"|"&amp;$M2195&amp;"|"&amp;TEXT($G2195,"yyyy-mm-dd")&amp;"|"&amp;LEFT($J2195,40))</f>
        <v/>
      </c>
      <c r="Q2195" s="11" t="str">
        <f aca="false">IF(P2195="","",IF(COUNTIF($P$2:$P$3000,P2195)&gt;1,"DUPLICATE","OK"))</f>
        <v/>
      </c>
      <c r="R2195" s="0" t="str">
        <f aca="false">IF($C2195="","",IFERROR(VLOOKUP(--$C2195,MM_Income!$Z$5:$AC$204,3,FALSE()),""))</f>
        <v/>
      </c>
    </row>
    <row r="2196" customFormat="false" ht="13.5" hidden="false" customHeight="false" outlineLevel="0" collapsed="false">
      <c r="N2196" s="1" t="str">
        <f aca="false">IF(C2196="","",IFERROR(VLOOKUP(C2196,Master_Mappings!$A$4:$E$85,3,FALSE()),"UNMAPPED"))</f>
        <v/>
      </c>
      <c r="P2196" s="1" t="str">
        <f aca="false">IF($C2196="","",$C2196&amp;"|"&amp;$E2196&amp;"|"&amp;$M2196&amp;"|"&amp;TEXT($G2196,"yyyy-mm-dd")&amp;"|"&amp;LEFT($J2196,40))</f>
        <v/>
      </c>
      <c r="Q2196" s="11" t="str">
        <f aca="false">IF(P2196="","",IF(COUNTIF($P$2:$P$3000,P2196)&gt;1,"DUPLICATE","OK"))</f>
        <v/>
      </c>
      <c r="R2196" s="0" t="str">
        <f aca="false">IF($C2196="","",IFERROR(VLOOKUP(--$C2196,MM_Income!$Z$5:$AC$204,3,FALSE()),""))</f>
        <v/>
      </c>
    </row>
    <row r="2197" customFormat="false" ht="13.5" hidden="false" customHeight="false" outlineLevel="0" collapsed="false">
      <c r="N2197" s="1" t="str">
        <f aca="false">IF(C2197="","",IFERROR(VLOOKUP(C2197,Master_Mappings!$A$4:$E$85,3,FALSE()),"UNMAPPED"))</f>
        <v/>
      </c>
      <c r="P2197" s="1" t="str">
        <f aca="false">IF($C2197="","",$C2197&amp;"|"&amp;$E2197&amp;"|"&amp;$M2197&amp;"|"&amp;TEXT($G2197,"yyyy-mm-dd")&amp;"|"&amp;LEFT($J2197,40))</f>
        <v/>
      </c>
      <c r="Q2197" s="11" t="str">
        <f aca="false">IF(P2197="","",IF(COUNTIF($P$2:$P$3000,P2197)&gt;1,"DUPLICATE","OK"))</f>
        <v/>
      </c>
      <c r="R2197" s="0" t="str">
        <f aca="false">IF($C2197="","",IFERROR(VLOOKUP(--$C2197,MM_Income!$Z$5:$AC$204,3,FALSE()),""))</f>
        <v/>
      </c>
    </row>
    <row r="2198" customFormat="false" ht="13.5" hidden="false" customHeight="false" outlineLevel="0" collapsed="false">
      <c r="N2198" s="1" t="str">
        <f aca="false">IF(C2198="","",IFERROR(VLOOKUP(C2198,Master_Mappings!$A$4:$E$85,3,FALSE()),"UNMAPPED"))</f>
        <v/>
      </c>
      <c r="P2198" s="1" t="str">
        <f aca="false">IF($C2198="","",$C2198&amp;"|"&amp;$E2198&amp;"|"&amp;$M2198&amp;"|"&amp;TEXT($G2198,"yyyy-mm-dd")&amp;"|"&amp;LEFT($J2198,40))</f>
        <v/>
      </c>
      <c r="Q2198" s="11" t="str">
        <f aca="false">IF(P2198="","",IF(COUNTIF($P$2:$P$3000,P2198)&gt;1,"DUPLICATE","OK"))</f>
        <v/>
      </c>
      <c r="R2198" s="0" t="str">
        <f aca="false">IF($C2198="","",IFERROR(VLOOKUP(--$C2198,MM_Income!$Z$5:$AC$204,3,FALSE()),""))</f>
        <v/>
      </c>
    </row>
    <row r="2199" customFormat="false" ht="13.5" hidden="false" customHeight="false" outlineLevel="0" collapsed="false">
      <c r="N2199" s="1" t="str">
        <f aca="false">IF(C2199="","",IFERROR(VLOOKUP(C2199,Master_Mappings!$A$4:$E$85,3,FALSE()),"UNMAPPED"))</f>
        <v/>
      </c>
      <c r="P2199" s="1" t="str">
        <f aca="false">IF($C2199="","",$C2199&amp;"|"&amp;$E2199&amp;"|"&amp;$M2199&amp;"|"&amp;TEXT($G2199,"yyyy-mm-dd")&amp;"|"&amp;LEFT($J2199,40))</f>
        <v/>
      </c>
      <c r="Q2199" s="11" t="str">
        <f aca="false">IF(P2199="","",IF(COUNTIF($P$2:$P$3000,P2199)&gt;1,"DUPLICATE","OK"))</f>
        <v/>
      </c>
      <c r="R2199" s="0" t="str">
        <f aca="false">IF($C2199="","",IFERROR(VLOOKUP(--$C2199,MM_Income!$Z$5:$AC$204,3,FALSE()),""))</f>
        <v/>
      </c>
    </row>
    <row r="2200" customFormat="false" ht="13.5" hidden="false" customHeight="false" outlineLevel="0" collapsed="false">
      <c r="N2200" s="1" t="str">
        <f aca="false">IF(C2200="","",IFERROR(VLOOKUP(C2200,Master_Mappings!$A$4:$E$85,3,FALSE()),"UNMAPPED"))</f>
        <v/>
      </c>
      <c r="P2200" s="1" t="str">
        <f aca="false">IF($C2200="","",$C2200&amp;"|"&amp;$E2200&amp;"|"&amp;$M2200&amp;"|"&amp;TEXT($G2200,"yyyy-mm-dd")&amp;"|"&amp;LEFT($J2200,40))</f>
        <v/>
      </c>
      <c r="Q2200" s="11" t="str">
        <f aca="false">IF(P2200="","",IF(COUNTIF($P$2:$P$3000,P2200)&gt;1,"DUPLICATE","OK"))</f>
        <v/>
      </c>
      <c r="R2200" s="0" t="str">
        <f aca="false">IF($C2200="","",IFERROR(VLOOKUP(--$C2200,MM_Income!$Z$5:$AC$204,3,FALSE()),""))</f>
        <v/>
      </c>
    </row>
    <row r="2201" customFormat="false" ht="13.5" hidden="false" customHeight="false" outlineLevel="0" collapsed="false">
      <c r="N2201" s="1" t="str">
        <f aca="false">IF(C2201="","",IFERROR(VLOOKUP(C2201,Master_Mappings!$A$4:$E$85,3,FALSE()),"UNMAPPED"))</f>
        <v/>
      </c>
      <c r="P2201" s="1" t="str">
        <f aca="false">IF($C2201="","",$C2201&amp;"|"&amp;$E2201&amp;"|"&amp;$M2201&amp;"|"&amp;TEXT($G2201,"yyyy-mm-dd")&amp;"|"&amp;LEFT($J2201,40))</f>
        <v/>
      </c>
      <c r="Q2201" s="11" t="str">
        <f aca="false">IF(P2201="","",IF(COUNTIF($P$2:$P$3000,P2201)&gt;1,"DUPLICATE","OK"))</f>
        <v/>
      </c>
      <c r="R2201" s="0" t="str">
        <f aca="false">IF($C2201="","",IFERROR(VLOOKUP(--$C2201,MM_Income!$Z$5:$AC$204,3,FALSE()),""))</f>
        <v/>
      </c>
    </row>
    <row r="2202" customFormat="false" ht="13.5" hidden="false" customHeight="false" outlineLevel="0" collapsed="false">
      <c r="N2202" s="1" t="str">
        <f aca="false">IF(C2202="","",IFERROR(VLOOKUP(C2202,Master_Mappings!$A$4:$E$85,3,FALSE()),"UNMAPPED"))</f>
        <v/>
      </c>
      <c r="P2202" s="1" t="str">
        <f aca="false">IF($C2202="","",$C2202&amp;"|"&amp;$E2202&amp;"|"&amp;$M2202&amp;"|"&amp;TEXT($G2202,"yyyy-mm-dd")&amp;"|"&amp;LEFT($J2202,40))</f>
        <v/>
      </c>
      <c r="Q2202" s="11" t="str">
        <f aca="false">IF(P2202="","",IF(COUNTIF($P$2:$P$3000,P2202)&gt;1,"DUPLICATE","OK"))</f>
        <v/>
      </c>
      <c r="R2202" s="0" t="str">
        <f aca="false">IF($C2202="","",IFERROR(VLOOKUP(--$C2202,MM_Income!$Z$5:$AC$204,3,FALSE()),""))</f>
        <v/>
      </c>
    </row>
    <row r="2203" customFormat="false" ht="13.5" hidden="false" customHeight="false" outlineLevel="0" collapsed="false">
      <c r="N2203" s="1" t="str">
        <f aca="false">IF(C2203="","",IFERROR(VLOOKUP(C2203,Master_Mappings!$A$4:$E$85,3,FALSE()),"UNMAPPED"))</f>
        <v/>
      </c>
      <c r="P2203" s="1" t="str">
        <f aca="false">IF($C2203="","",$C2203&amp;"|"&amp;$E2203&amp;"|"&amp;$M2203&amp;"|"&amp;TEXT($G2203,"yyyy-mm-dd")&amp;"|"&amp;LEFT($J2203,40))</f>
        <v/>
      </c>
      <c r="Q2203" s="11" t="str">
        <f aca="false">IF(P2203="","",IF(COUNTIF($P$2:$P$3000,P2203)&gt;1,"DUPLICATE","OK"))</f>
        <v/>
      </c>
      <c r="R2203" s="0" t="str">
        <f aca="false">IF($C2203="","",IFERROR(VLOOKUP(--$C2203,MM_Income!$Z$5:$AC$204,3,FALSE()),""))</f>
        <v/>
      </c>
    </row>
    <row r="2204" customFormat="false" ht="13.5" hidden="false" customHeight="false" outlineLevel="0" collapsed="false">
      <c r="N2204" s="1" t="str">
        <f aca="false">IF(C2204="","",IFERROR(VLOOKUP(C2204,Master_Mappings!$A$4:$E$85,3,FALSE()),"UNMAPPED"))</f>
        <v/>
      </c>
      <c r="P2204" s="1" t="str">
        <f aca="false">IF($C2204="","",$C2204&amp;"|"&amp;$E2204&amp;"|"&amp;$M2204&amp;"|"&amp;TEXT($G2204,"yyyy-mm-dd")&amp;"|"&amp;LEFT($J2204,40))</f>
        <v/>
      </c>
      <c r="Q2204" s="11" t="str">
        <f aca="false">IF(P2204="","",IF(COUNTIF($P$2:$P$3000,P2204)&gt;1,"DUPLICATE","OK"))</f>
        <v/>
      </c>
      <c r="R2204" s="0" t="str">
        <f aca="false">IF($C2204="","",IFERROR(VLOOKUP(--$C2204,MM_Income!$Z$5:$AC$204,3,FALSE()),""))</f>
        <v/>
      </c>
    </row>
    <row r="2205" customFormat="false" ht="13.5" hidden="false" customHeight="false" outlineLevel="0" collapsed="false">
      <c r="N2205" s="1" t="str">
        <f aca="false">IF(C2205="","",IFERROR(VLOOKUP(C2205,Master_Mappings!$A$4:$E$85,3,FALSE()),"UNMAPPED"))</f>
        <v/>
      </c>
      <c r="P2205" s="1" t="str">
        <f aca="false">IF($C2205="","",$C2205&amp;"|"&amp;$E2205&amp;"|"&amp;$M2205&amp;"|"&amp;TEXT($G2205,"yyyy-mm-dd")&amp;"|"&amp;LEFT($J2205,40))</f>
        <v/>
      </c>
      <c r="Q2205" s="11" t="str">
        <f aca="false">IF(P2205="","",IF(COUNTIF($P$2:$P$3000,P2205)&gt;1,"DUPLICATE","OK"))</f>
        <v/>
      </c>
      <c r="R2205" s="0" t="str">
        <f aca="false">IF($C2205="","",IFERROR(VLOOKUP(--$C2205,MM_Income!$Z$5:$AC$204,3,FALSE()),""))</f>
        <v/>
      </c>
    </row>
    <row r="2206" customFormat="false" ht="13.5" hidden="false" customHeight="false" outlineLevel="0" collapsed="false">
      <c r="N2206" s="1" t="str">
        <f aca="false">IF(C2206="","",IFERROR(VLOOKUP(C2206,Master_Mappings!$A$4:$E$85,3,FALSE()),"UNMAPPED"))</f>
        <v/>
      </c>
      <c r="P2206" s="1" t="str">
        <f aca="false">IF($C2206="","",$C2206&amp;"|"&amp;$E2206&amp;"|"&amp;$M2206&amp;"|"&amp;TEXT($G2206,"yyyy-mm-dd")&amp;"|"&amp;LEFT($J2206,40))</f>
        <v/>
      </c>
      <c r="Q2206" s="11" t="str">
        <f aca="false">IF(P2206="","",IF(COUNTIF($P$2:$P$3000,P2206)&gt;1,"DUPLICATE","OK"))</f>
        <v/>
      </c>
      <c r="R2206" s="0" t="str">
        <f aca="false">IF($C2206="","",IFERROR(VLOOKUP(--$C2206,MM_Income!$Z$5:$AC$204,3,FALSE()),""))</f>
        <v/>
      </c>
    </row>
    <row r="2207" customFormat="false" ht="13.5" hidden="false" customHeight="false" outlineLevel="0" collapsed="false">
      <c r="N2207" s="1" t="str">
        <f aca="false">IF(C2207="","",IFERROR(VLOOKUP(C2207,Master_Mappings!$A$4:$E$85,3,FALSE()),"UNMAPPED"))</f>
        <v/>
      </c>
      <c r="P2207" s="1" t="str">
        <f aca="false">IF($C2207="","",$C2207&amp;"|"&amp;$E2207&amp;"|"&amp;$M2207&amp;"|"&amp;TEXT($G2207,"yyyy-mm-dd")&amp;"|"&amp;LEFT($J2207,40))</f>
        <v/>
      </c>
      <c r="Q2207" s="11" t="str">
        <f aca="false">IF(P2207="","",IF(COUNTIF($P$2:$P$3000,P2207)&gt;1,"DUPLICATE","OK"))</f>
        <v/>
      </c>
      <c r="R2207" s="0" t="str">
        <f aca="false">IF($C2207="","",IFERROR(VLOOKUP(--$C2207,MM_Income!$Z$5:$AC$204,3,FALSE()),""))</f>
        <v/>
      </c>
    </row>
    <row r="2208" customFormat="false" ht="13.5" hidden="false" customHeight="false" outlineLevel="0" collapsed="false">
      <c r="N2208" s="1" t="str">
        <f aca="false">IF(C2208="","",IFERROR(VLOOKUP(C2208,Master_Mappings!$A$4:$E$85,3,FALSE()),"UNMAPPED"))</f>
        <v/>
      </c>
      <c r="P2208" s="1" t="str">
        <f aca="false">IF($C2208="","",$C2208&amp;"|"&amp;$E2208&amp;"|"&amp;$M2208&amp;"|"&amp;TEXT($G2208,"yyyy-mm-dd")&amp;"|"&amp;LEFT($J2208,40))</f>
        <v/>
      </c>
      <c r="Q2208" s="11" t="str">
        <f aca="false">IF(P2208="","",IF(COUNTIF($P$2:$P$3000,P2208)&gt;1,"DUPLICATE","OK"))</f>
        <v/>
      </c>
      <c r="R2208" s="0" t="str">
        <f aca="false">IF($C2208="","",IFERROR(VLOOKUP(--$C2208,MM_Income!$Z$5:$AC$204,3,FALSE()),""))</f>
        <v/>
      </c>
    </row>
    <row r="2209" customFormat="false" ht="13.5" hidden="false" customHeight="false" outlineLevel="0" collapsed="false">
      <c r="N2209" s="1" t="str">
        <f aca="false">IF(C2209="","",IFERROR(VLOOKUP(C2209,Master_Mappings!$A$4:$E$85,3,FALSE()),"UNMAPPED"))</f>
        <v/>
      </c>
      <c r="P2209" s="1" t="str">
        <f aca="false">IF($C2209="","",$C2209&amp;"|"&amp;$E2209&amp;"|"&amp;$M2209&amp;"|"&amp;TEXT($G2209,"yyyy-mm-dd")&amp;"|"&amp;LEFT($J2209,40))</f>
        <v/>
      </c>
      <c r="Q2209" s="11" t="str">
        <f aca="false">IF(P2209="","",IF(COUNTIF($P$2:$P$3000,P2209)&gt;1,"DUPLICATE","OK"))</f>
        <v/>
      </c>
      <c r="R2209" s="0" t="str">
        <f aca="false">IF($C2209="","",IFERROR(VLOOKUP(--$C2209,MM_Income!$Z$5:$AC$204,3,FALSE()),""))</f>
        <v/>
      </c>
    </row>
    <row r="2210" customFormat="false" ht="13.5" hidden="false" customHeight="false" outlineLevel="0" collapsed="false">
      <c r="N2210" s="1" t="str">
        <f aca="false">IF(C2210="","",IFERROR(VLOOKUP(C2210,Master_Mappings!$A$4:$E$85,3,FALSE()),"UNMAPPED"))</f>
        <v/>
      </c>
      <c r="P2210" s="1" t="str">
        <f aca="false">IF($C2210="","",$C2210&amp;"|"&amp;$E2210&amp;"|"&amp;$M2210&amp;"|"&amp;TEXT($G2210,"yyyy-mm-dd")&amp;"|"&amp;LEFT($J2210,40))</f>
        <v/>
      </c>
      <c r="Q2210" s="11" t="str">
        <f aca="false">IF(P2210="","",IF(COUNTIF($P$2:$P$3000,P2210)&gt;1,"DUPLICATE","OK"))</f>
        <v/>
      </c>
      <c r="R2210" s="0" t="str">
        <f aca="false">IF($C2210="","",IFERROR(VLOOKUP(--$C2210,MM_Income!$Z$5:$AC$204,3,FALSE()),""))</f>
        <v/>
      </c>
    </row>
    <row r="2211" customFormat="false" ht="13.5" hidden="false" customHeight="false" outlineLevel="0" collapsed="false">
      <c r="N2211" s="1" t="str">
        <f aca="false">IF(C2211="","",IFERROR(VLOOKUP(C2211,Master_Mappings!$A$4:$E$85,3,FALSE()),"UNMAPPED"))</f>
        <v/>
      </c>
      <c r="P2211" s="1" t="str">
        <f aca="false">IF($C2211="","",$C2211&amp;"|"&amp;$E2211&amp;"|"&amp;$M2211&amp;"|"&amp;TEXT($G2211,"yyyy-mm-dd")&amp;"|"&amp;LEFT($J2211,40))</f>
        <v/>
      </c>
      <c r="Q2211" s="11" t="str">
        <f aca="false">IF(P2211="","",IF(COUNTIF($P$2:$P$3000,P2211)&gt;1,"DUPLICATE","OK"))</f>
        <v/>
      </c>
      <c r="R2211" s="0" t="str">
        <f aca="false">IF($C2211="","",IFERROR(VLOOKUP(--$C2211,MM_Income!$Z$5:$AC$204,3,FALSE()),""))</f>
        <v/>
      </c>
    </row>
    <row r="2212" customFormat="false" ht="13.5" hidden="false" customHeight="false" outlineLevel="0" collapsed="false">
      <c r="N2212" s="1" t="str">
        <f aca="false">IF(C2212="","",IFERROR(VLOOKUP(C2212,Master_Mappings!$A$4:$E$85,3,FALSE()),"UNMAPPED"))</f>
        <v/>
      </c>
      <c r="P2212" s="1" t="str">
        <f aca="false">IF($C2212="","",$C2212&amp;"|"&amp;$E2212&amp;"|"&amp;$M2212&amp;"|"&amp;TEXT($G2212,"yyyy-mm-dd")&amp;"|"&amp;LEFT($J2212,40))</f>
        <v/>
      </c>
      <c r="Q2212" s="11" t="str">
        <f aca="false">IF(P2212="","",IF(COUNTIF($P$2:$P$3000,P2212)&gt;1,"DUPLICATE","OK"))</f>
        <v/>
      </c>
      <c r="R2212" s="0" t="str">
        <f aca="false">IF($C2212="","",IFERROR(VLOOKUP(--$C2212,MM_Income!$Z$5:$AC$204,3,FALSE()),""))</f>
        <v/>
      </c>
    </row>
    <row r="2213" customFormat="false" ht="13.5" hidden="false" customHeight="false" outlineLevel="0" collapsed="false">
      <c r="N2213" s="1" t="str">
        <f aca="false">IF(C2213="","",IFERROR(VLOOKUP(C2213,Master_Mappings!$A$4:$E$85,3,FALSE()),"UNMAPPED"))</f>
        <v/>
      </c>
      <c r="P2213" s="1" t="str">
        <f aca="false">IF($C2213="","",$C2213&amp;"|"&amp;$E2213&amp;"|"&amp;$M2213&amp;"|"&amp;TEXT($G2213,"yyyy-mm-dd")&amp;"|"&amp;LEFT($J2213,40))</f>
        <v/>
      </c>
      <c r="Q2213" s="11" t="str">
        <f aca="false">IF(P2213="","",IF(COUNTIF($P$2:$P$3000,P2213)&gt;1,"DUPLICATE","OK"))</f>
        <v/>
      </c>
      <c r="R2213" s="0" t="str">
        <f aca="false">IF($C2213="","",IFERROR(VLOOKUP(--$C2213,MM_Income!$Z$5:$AC$204,3,FALSE()),""))</f>
        <v/>
      </c>
    </row>
    <row r="2214" customFormat="false" ht="13.5" hidden="false" customHeight="false" outlineLevel="0" collapsed="false">
      <c r="N2214" s="1" t="str">
        <f aca="false">IF(C2214="","",IFERROR(VLOOKUP(C2214,Master_Mappings!$A$4:$E$85,3,FALSE()),"UNMAPPED"))</f>
        <v/>
      </c>
      <c r="P2214" s="1" t="str">
        <f aca="false">IF($C2214="","",$C2214&amp;"|"&amp;$E2214&amp;"|"&amp;$M2214&amp;"|"&amp;TEXT($G2214,"yyyy-mm-dd")&amp;"|"&amp;LEFT($J2214,40))</f>
        <v/>
      </c>
      <c r="Q2214" s="11" t="str">
        <f aca="false">IF(P2214="","",IF(COUNTIF($P$2:$P$3000,P2214)&gt;1,"DUPLICATE","OK"))</f>
        <v/>
      </c>
      <c r="R2214" s="0" t="str">
        <f aca="false">IF($C2214="","",IFERROR(VLOOKUP(--$C2214,MM_Income!$Z$5:$AC$204,3,FALSE()),""))</f>
        <v/>
      </c>
    </row>
    <row r="2215" customFormat="false" ht="13.5" hidden="false" customHeight="false" outlineLevel="0" collapsed="false">
      <c r="N2215" s="1" t="str">
        <f aca="false">IF(C2215="","",IFERROR(VLOOKUP(C2215,Master_Mappings!$A$4:$E$85,3,FALSE()),"UNMAPPED"))</f>
        <v/>
      </c>
      <c r="P2215" s="1" t="str">
        <f aca="false">IF($C2215="","",$C2215&amp;"|"&amp;$E2215&amp;"|"&amp;$M2215&amp;"|"&amp;TEXT($G2215,"yyyy-mm-dd")&amp;"|"&amp;LEFT($J2215,40))</f>
        <v/>
      </c>
      <c r="Q2215" s="11" t="str">
        <f aca="false">IF(P2215="","",IF(COUNTIF($P$2:$P$3000,P2215)&gt;1,"DUPLICATE","OK"))</f>
        <v/>
      </c>
      <c r="R2215" s="0" t="str">
        <f aca="false">IF($C2215="","",IFERROR(VLOOKUP(--$C2215,MM_Income!$Z$5:$AC$204,3,FALSE()),""))</f>
        <v/>
      </c>
    </row>
    <row r="2216" customFormat="false" ht="13.5" hidden="false" customHeight="false" outlineLevel="0" collapsed="false">
      <c r="N2216" s="1" t="str">
        <f aca="false">IF(C2216="","",IFERROR(VLOOKUP(C2216,Master_Mappings!$A$4:$E$85,3,FALSE()),"UNMAPPED"))</f>
        <v/>
      </c>
      <c r="P2216" s="1" t="str">
        <f aca="false">IF($C2216="","",$C2216&amp;"|"&amp;$E2216&amp;"|"&amp;$M2216&amp;"|"&amp;TEXT($G2216,"yyyy-mm-dd")&amp;"|"&amp;LEFT($J2216,40))</f>
        <v/>
      </c>
      <c r="Q2216" s="11" t="str">
        <f aca="false">IF(P2216="","",IF(COUNTIF($P$2:$P$3000,P2216)&gt;1,"DUPLICATE","OK"))</f>
        <v/>
      </c>
      <c r="R2216" s="0" t="str">
        <f aca="false">IF($C2216="","",IFERROR(VLOOKUP(--$C2216,MM_Income!$Z$5:$AC$204,3,FALSE()),""))</f>
        <v/>
      </c>
    </row>
    <row r="2217" customFormat="false" ht="13.5" hidden="false" customHeight="false" outlineLevel="0" collapsed="false">
      <c r="N2217" s="1" t="str">
        <f aca="false">IF(C2217="","",IFERROR(VLOOKUP(C2217,Master_Mappings!$A$4:$E$85,3,FALSE()),"UNMAPPED"))</f>
        <v/>
      </c>
      <c r="P2217" s="1" t="str">
        <f aca="false">IF($C2217="","",$C2217&amp;"|"&amp;$E2217&amp;"|"&amp;$M2217&amp;"|"&amp;TEXT($G2217,"yyyy-mm-dd")&amp;"|"&amp;LEFT($J2217,40))</f>
        <v/>
      </c>
      <c r="Q2217" s="11" t="str">
        <f aca="false">IF(P2217="","",IF(COUNTIF($P$2:$P$3000,P2217)&gt;1,"DUPLICATE","OK"))</f>
        <v/>
      </c>
      <c r="R2217" s="0" t="str">
        <f aca="false">IF($C2217="","",IFERROR(VLOOKUP(--$C2217,MM_Income!$Z$5:$AC$204,3,FALSE()),""))</f>
        <v/>
      </c>
    </row>
    <row r="2218" customFormat="false" ht="13.5" hidden="false" customHeight="false" outlineLevel="0" collapsed="false">
      <c r="N2218" s="1" t="str">
        <f aca="false">IF(C2218="","",IFERROR(VLOOKUP(C2218,Master_Mappings!$A$4:$E$85,3,FALSE()),"UNMAPPED"))</f>
        <v/>
      </c>
      <c r="P2218" s="1" t="str">
        <f aca="false">IF($C2218="","",$C2218&amp;"|"&amp;$E2218&amp;"|"&amp;$M2218&amp;"|"&amp;TEXT($G2218,"yyyy-mm-dd")&amp;"|"&amp;LEFT($J2218,40))</f>
        <v/>
      </c>
      <c r="Q2218" s="11" t="str">
        <f aca="false">IF(P2218="","",IF(COUNTIF($P$2:$P$3000,P2218)&gt;1,"DUPLICATE","OK"))</f>
        <v/>
      </c>
      <c r="R2218" s="0" t="str">
        <f aca="false">IF($C2218="","",IFERROR(VLOOKUP(--$C2218,MM_Income!$Z$5:$AC$204,3,FALSE()),""))</f>
        <v/>
      </c>
    </row>
    <row r="2219" customFormat="false" ht="13.5" hidden="false" customHeight="false" outlineLevel="0" collapsed="false">
      <c r="N2219" s="1" t="str">
        <f aca="false">IF(C2219="","",IFERROR(VLOOKUP(C2219,Master_Mappings!$A$4:$E$85,3,FALSE()),"UNMAPPED"))</f>
        <v/>
      </c>
      <c r="P2219" s="1" t="str">
        <f aca="false">IF($C2219="","",$C2219&amp;"|"&amp;$E2219&amp;"|"&amp;$M2219&amp;"|"&amp;TEXT($G2219,"yyyy-mm-dd")&amp;"|"&amp;LEFT($J2219,40))</f>
        <v/>
      </c>
      <c r="Q2219" s="11" t="str">
        <f aca="false">IF(P2219="","",IF(COUNTIF($P$2:$P$3000,P2219)&gt;1,"DUPLICATE","OK"))</f>
        <v/>
      </c>
      <c r="R2219" s="0" t="str">
        <f aca="false">IF($C2219="","",IFERROR(VLOOKUP(--$C2219,MM_Income!$Z$5:$AC$204,3,FALSE()),""))</f>
        <v/>
      </c>
    </row>
    <row r="2220" customFormat="false" ht="13.5" hidden="false" customHeight="false" outlineLevel="0" collapsed="false">
      <c r="N2220" s="1" t="str">
        <f aca="false">IF(C2220="","",IFERROR(VLOOKUP(C2220,Master_Mappings!$A$4:$E$85,3,FALSE()),"UNMAPPED"))</f>
        <v/>
      </c>
      <c r="P2220" s="1" t="str">
        <f aca="false">IF($C2220="","",$C2220&amp;"|"&amp;$E2220&amp;"|"&amp;$M2220&amp;"|"&amp;TEXT($G2220,"yyyy-mm-dd")&amp;"|"&amp;LEFT($J2220,40))</f>
        <v/>
      </c>
      <c r="Q2220" s="11" t="str">
        <f aca="false">IF(P2220="","",IF(COUNTIF($P$2:$P$3000,P2220)&gt;1,"DUPLICATE","OK"))</f>
        <v/>
      </c>
      <c r="R2220" s="0" t="str">
        <f aca="false">IF($C2220="","",IFERROR(VLOOKUP(--$C2220,MM_Income!$Z$5:$AC$204,3,FALSE()),""))</f>
        <v/>
      </c>
    </row>
    <row r="2221" customFormat="false" ht="13.5" hidden="false" customHeight="false" outlineLevel="0" collapsed="false">
      <c r="N2221" s="1" t="str">
        <f aca="false">IF(C2221="","",IFERROR(VLOOKUP(C2221,Master_Mappings!$A$4:$E$85,3,FALSE()),"UNMAPPED"))</f>
        <v/>
      </c>
      <c r="P2221" s="1" t="str">
        <f aca="false">IF($C2221="","",$C2221&amp;"|"&amp;$E2221&amp;"|"&amp;$M2221&amp;"|"&amp;TEXT($G2221,"yyyy-mm-dd")&amp;"|"&amp;LEFT($J2221,40))</f>
        <v/>
      </c>
      <c r="Q2221" s="11" t="str">
        <f aca="false">IF(P2221="","",IF(COUNTIF($P$2:$P$3000,P2221)&gt;1,"DUPLICATE","OK"))</f>
        <v/>
      </c>
      <c r="R2221" s="0" t="str">
        <f aca="false">IF($C2221="","",IFERROR(VLOOKUP(--$C2221,MM_Income!$Z$5:$AC$204,3,FALSE()),""))</f>
        <v/>
      </c>
    </row>
    <row r="2222" customFormat="false" ht="13.5" hidden="false" customHeight="false" outlineLevel="0" collapsed="false">
      <c r="N2222" s="1" t="str">
        <f aca="false">IF(C2222="","",IFERROR(VLOOKUP(C2222,Master_Mappings!$A$4:$E$85,3,FALSE()),"UNMAPPED"))</f>
        <v/>
      </c>
      <c r="P2222" s="1" t="str">
        <f aca="false">IF($C2222="","",$C2222&amp;"|"&amp;$E2222&amp;"|"&amp;$M2222&amp;"|"&amp;TEXT($G2222,"yyyy-mm-dd")&amp;"|"&amp;LEFT($J2222,40))</f>
        <v/>
      </c>
      <c r="Q2222" s="11" t="str">
        <f aca="false">IF(P2222="","",IF(COUNTIF($P$2:$P$3000,P2222)&gt;1,"DUPLICATE","OK"))</f>
        <v/>
      </c>
      <c r="R2222" s="0" t="str">
        <f aca="false">IF($C2222="","",IFERROR(VLOOKUP(--$C2222,MM_Income!$Z$5:$AC$204,3,FALSE()),""))</f>
        <v/>
      </c>
    </row>
    <row r="2223" customFormat="false" ht="13.5" hidden="false" customHeight="false" outlineLevel="0" collapsed="false">
      <c r="N2223" s="1" t="str">
        <f aca="false">IF(C2223="","",IFERROR(VLOOKUP(C2223,Master_Mappings!$A$4:$E$85,3,FALSE()),"UNMAPPED"))</f>
        <v/>
      </c>
      <c r="P2223" s="1" t="str">
        <f aca="false">IF($C2223="","",$C2223&amp;"|"&amp;$E2223&amp;"|"&amp;$M2223&amp;"|"&amp;TEXT($G2223,"yyyy-mm-dd")&amp;"|"&amp;LEFT($J2223,40))</f>
        <v/>
      </c>
      <c r="Q2223" s="11" t="str">
        <f aca="false">IF(P2223="","",IF(COUNTIF($P$2:$P$3000,P2223)&gt;1,"DUPLICATE","OK"))</f>
        <v/>
      </c>
      <c r="R2223" s="0" t="str">
        <f aca="false">IF($C2223="","",IFERROR(VLOOKUP(--$C2223,MM_Income!$Z$5:$AC$204,3,FALSE()),""))</f>
        <v/>
      </c>
    </row>
    <row r="2224" customFormat="false" ht="13.5" hidden="false" customHeight="false" outlineLevel="0" collapsed="false">
      <c r="N2224" s="1" t="str">
        <f aca="false">IF(C2224="","",IFERROR(VLOOKUP(C2224,Master_Mappings!$A$4:$E$85,3,FALSE()),"UNMAPPED"))</f>
        <v/>
      </c>
      <c r="P2224" s="1" t="str">
        <f aca="false">IF($C2224="","",$C2224&amp;"|"&amp;$E2224&amp;"|"&amp;$M2224&amp;"|"&amp;TEXT($G2224,"yyyy-mm-dd")&amp;"|"&amp;LEFT($J2224,40))</f>
        <v/>
      </c>
      <c r="Q2224" s="11" t="str">
        <f aca="false">IF(P2224="","",IF(COUNTIF($P$2:$P$3000,P2224)&gt;1,"DUPLICATE","OK"))</f>
        <v/>
      </c>
      <c r="R2224" s="0" t="str">
        <f aca="false">IF($C2224="","",IFERROR(VLOOKUP(--$C2224,MM_Income!$Z$5:$AC$204,3,FALSE()),""))</f>
        <v/>
      </c>
    </row>
    <row r="2225" customFormat="false" ht="13.5" hidden="false" customHeight="false" outlineLevel="0" collapsed="false">
      <c r="N2225" s="1" t="str">
        <f aca="false">IF(C2225="","",IFERROR(VLOOKUP(C2225,Master_Mappings!$A$4:$E$85,3,FALSE()),"UNMAPPED"))</f>
        <v/>
      </c>
      <c r="P2225" s="1" t="str">
        <f aca="false">IF($C2225="","",$C2225&amp;"|"&amp;$E2225&amp;"|"&amp;$M2225&amp;"|"&amp;TEXT($G2225,"yyyy-mm-dd")&amp;"|"&amp;LEFT($J2225,40))</f>
        <v/>
      </c>
      <c r="Q2225" s="11" t="str">
        <f aca="false">IF(P2225="","",IF(COUNTIF($P$2:$P$3000,P2225)&gt;1,"DUPLICATE","OK"))</f>
        <v/>
      </c>
      <c r="R2225" s="0" t="str">
        <f aca="false">IF($C2225="","",IFERROR(VLOOKUP(--$C2225,MM_Income!$Z$5:$AC$204,3,FALSE()),""))</f>
        <v/>
      </c>
    </row>
    <row r="2226" customFormat="false" ht="13.5" hidden="false" customHeight="false" outlineLevel="0" collapsed="false">
      <c r="N2226" s="1" t="str">
        <f aca="false">IF(C2226="","",IFERROR(VLOOKUP(C2226,Master_Mappings!$A$4:$E$85,3,FALSE()),"UNMAPPED"))</f>
        <v/>
      </c>
      <c r="P2226" s="1" t="str">
        <f aca="false">IF($C2226="","",$C2226&amp;"|"&amp;$E2226&amp;"|"&amp;$M2226&amp;"|"&amp;TEXT($G2226,"yyyy-mm-dd")&amp;"|"&amp;LEFT($J2226,40))</f>
        <v/>
      </c>
      <c r="Q2226" s="11" t="str">
        <f aca="false">IF(P2226="","",IF(COUNTIF($P$2:$P$3000,P2226)&gt;1,"DUPLICATE","OK"))</f>
        <v/>
      </c>
      <c r="R2226" s="0" t="str">
        <f aca="false">IF($C2226="","",IFERROR(VLOOKUP(--$C2226,MM_Income!$Z$5:$AC$204,3,FALSE()),""))</f>
        <v/>
      </c>
    </row>
    <row r="2227" customFormat="false" ht="13.5" hidden="false" customHeight="false" outlineLevel="0" collapsed="false">
      <c r="N2227" s="1" t="str">
        <f aca="false">IF(C2227="","",IFERROR(VLOOKUP(C2227,Master_Mappings!$A$4:$E$85,3,FALSE()),"UNMAPPED"))</f>
        <v/>
      </c>
      <c r="P2227" s="1" t="str">
        <f aca="false">IF($C2227="","",$C2227&amp;"|"&amp;$E2227&amp;"|"&amp;$M2227&amp;"|"&amp;TEXT($G2227,"yyyy-mm-dd")&amp;"|"&amp;LEFT($J2227,40))</f>
        <v/>
      </c>
      <c r="Q2227" s="11" t="str">
        <f aca="false">IF(P2227="","",IF(COUNTIF($P$2:$P$3000,P2227)&gt;1,"DUPLICATE","OK"))</f>
        <v/>
      </c>
      <c r="R2227" s="0" t="str">
        <f aca="false">IF($C2227="","",IFERROR(VLOOKUP(--$C2227,MM_Income!$Z$5:$AC$204,3,FALSE()),""))</f>
        <v/>
      </c>
    </row>
    <row r="2228" customFormat="false" ht="13.5" hidden="false" customHeight="false" outlineLevel="0" collapsed="false">
      <c r="N2228" s="1" t="str">
        <f aca="false">IF(C2228="","",IFERROR(VLOOKUP(C2228,Master_Mappings!$A$4:$E$85,3,FALSE()),"UNMAPPED"))</f>
        <v/>
      </c>
      <c r="P2228" s="1" t="str">
        <f aca="false">IF($C2228="","",$C2228&amp;"|"&amp;$E2228&amp;"|"&amp;$M2228&amp;"|"&amp;TEXT($G2228,"yyyy-mm-dd")&amp;"|"&amp;LEFT($J2228,40))</f>
        <v/>
      </c>
      <c r="Q2228" s="11" t="str">
        <f aca="false">IF(P2228="","",IF(COUNTIF($P$2:$P$3000,P2228)&gt;1,"DUPLICATE","OK"))</f>
        <v/>
      </c>
      <c r="R2228" s="0" t="str">
        <f aca="false">IF($C2228="","",IFERROR(VLOOKUP(--$C2228,MM_Income!$Z$5:$AC$204,3,FALSE()),""))</f>
        <v/>
      </c>
    </row>
    <row r="2229" customFormat="false" ht="13.5" hidden="false" customHeight="false" outlineLevel="0" collapsed="false">
      <c r="N2229" s="1" t="str">
        <f aca="false">IF(C2229="","",IFERROR(VLOOKUP(C2229,Master_Mappings!$A$4:$E$85,3,FALSE()),"UNMAPPED"))</f>
        <v/>
      </c>
      <c r="P2229" s="1" t="str">
        <f aca="false">IF($C2229="","",$C2229&amp;"|"&amp;$E2229&amp;"|"&amp;$M2229&amp;"|"&amp;TEXT($G2229,"yyyy-mm-dd")&amp;"|"&amp;LEFT($J2229,40))</f>
        <v/>
      </c>
      <c r="Q2229" s="11" t="str">
        <f aca="false">IF(P2229="","",IF(COUNTIF($P$2:$P$3000,P2229)&gt;1,"DUPLICATE","OK"))</f>
        <v/>
      </c>
      <c r="R2229" s="0" t="str">
        <f aca="false">IF($C2229="","",IFERROR(VLOOKUP(--$C2229,MM_Income!$Z$5:$AC$204,3,FALSE()),""))</f>
        <v/>
      </c>
    </row>
    <row r="2230" customFormat="false" ht="13.5" hidden="false" customHeight="false" outlineLevel="0" collapsed="false">
      <c r="N2230" s="1" t="str">
        <f aca="false">IF(C2230="","",IFERROR(VLOOKUP(C2230,Master_Mappings!$A$4:$E$85,3,FALSE()),"UNMAPPED"))</f>
        <v/>
      </c>
      <c r="P2230" s="1" t="str">
        <f aca="false">IF($C2230="","",$C2230&amp;"|"&amp;$E2230&amp;"|"&amp;$M2230&amp;"|"&amp;TEXT($G2230,"yyyy-mm-dd")&amp;"|"&amp;LEFT($J2230,40))</f>
        <v/>
      </c>
      <c r="Q2230" s="11" t="str">
        <f aca="false">IF(P2230="","",IF(COUNTIF($P$2:$P$3000,P2230)&gt;1,"DUPLICATE","OK"))</f>
        <v/>
      </c>
      <c r="R2230" s="0" t="str">
        <f aca="false">IF($C2230="","",IFERROR(VLOOKUP(--$C2230,MM_Income!$Z$5:$AC$204,3,FALSE()),""))</f>
        <v/>
      </c>
    </row>
    <row r="2231" customFormat="false" ht="13.5" hidden="false" customHeight="false" outlineLevel="0" collapsed="false">
      <c r="N2231" s="1" t="str">
        <f aca="false">IF(C2231="","",IFERROR(VLOOKUP(C2231,Master_Mappings!$A$4:$E$85,3,FALSE()),"UNMAPPED"))</f>
        <v/>
      </c>
      <c r="P2231" s="1" t="str">
        <f aca="false">IF($C2231="","",$C2231&amp;"|"&amp;$E2231&amp;"|"&amp;$M2231&amp;"|"&amp;TEXT($G2231,"yyyy-mm-dd")&amp;"|"&amp;LEFT($J2231,40))</f>
        <v/>
      </c>
      <c r="Q2231" s="11" t="str">
        <f aca="false">IF(P2231="","",IF(COUNTIF($P$2:$P$3000,P2231)&gt;1,"DUPLICATE","OK"))</f>
        <v/>
      </c>
      <c r="R2231" s="0" t="str">
        <f aca="false">IF($C2231="","",IFERROR(VLOOKUP(--$C2231,MM_Income!$Z$5:$AC$204,3,FALSE()),""))</f>
        <v/>
      </c>
    </row>
    <row r="2232" customFormat="false" ht="13.5" hidden="false" customHeight="false" outlineLevel="0" collapsed="false">
      <c r="N2232" s="1" t="str">
        <f aca="false">IF(C2232="","",IFERROR(VLOOKUP(C2232,Master_Mappings!$A$4:$E$85,3,FALSE()),"UNMAPPED"))</f>
        <v/>
      </c>
      <c r="P2232" s="1" t="str">
        <f aca="false">IF($C2232="","",$C2232&amp;"|"&amp;$E2232&amp;"|"&amp;$M2232&amp;"|"&amp;TEXT($G2232,"yyyy-mm-dd")&amp;"|"&amp;LEFT($J2232,40))</f>
        <v/>
      </c>
      <c r="Q2232" s="11" t="str">
        <f aca="false">IF(P2232="","",IF(COUNTIF($P$2:$P$3000,P2232)&gt;1,"DUPLICATE","OK"))</f>
        <v/>
      </c>
      <c r="R2232" s="0" t="str">
        <f aca="false">IF($C2232="","",IFERROR(VLOOKUP(--$C2232,MM_Income!$Z$5:$AC$204,3,FALSE()),""))</f>
        <v/>
      </c>
    </row>
    <row r="2233" customFormat="false" ht="13.5" hidden="false" customHeight="false" outlineLevel="0" collapsed="false">
      <c r="N2233" s="1" t="str">
        <f aca="false">IF(C2233="","",IFERROR(VLOOKUP(C2233,Master_Mappings!$A$4:$E$85,3,FALSE()),"UNMAPPED"))</f>
        <v/>
      </c>
      <c r="P2233" s="1" t="str">
        <f aca="false">IF($C2233="","",$C2233&amp;"|"&amp;$E2233&amp;"|"&amp;$M2233&amp;"|"&amp;TEXT($G2233,"yyyy-mm-dd")&amp;"|"&amp;LEFT($J2233,40))</f>
        <v/>
      </c>
      <c r="Q2233" s="11" t="str">
        <f aca="false">IF(P2233="","",IF(COUNTIF($P$2:$P$3000,P2233)&gt;1,"DUPLICATE","OK"))</f>
        <v/>
      </c>
      <c r="R2233" s="0" t="str">
        <f aca="false">IF($C2233="","",IFERROR(VLOOKUP(--$C2233,MM_Income!$Z$5:$AC$204,3,FALSE()),""))</f>
        <v/>
      </c>
    </row>
    <row r="2234" customFormat="false" ht="13.5" hidden="false" customHeight="false" outlineLevel="0" collapsed="false">
      <c r="N2234" s="1" t="str">
        <f aca="false">IF(C2234="","",IFERROR(VLOOKUP(C2234,Master_Mappings!$A$4:$E$85,3,FALSE()),"UNMAPPED"))</f>
        <v/>
      </c>
      <c r="P2234" s="1" t="str">
        <f aca="false">IF($C2234="","",$C2234&amp;"|"&amp;$E2234&amp;"|"&amp;$M2234&amp;"|"&amp;TEXT($G2234,"yyyy-mm-dd")&amp;"|"&amp;LEFT($J2234,40))</f>
        <v/>
      </c>
      <c r="Q2234" s="11" t="str">
        <f aca="false">IF(P2234="","",IF(COUNTIF($P$2:$P$3000,P2234)&gt;1,"DUPLICATE","OK"))</f>
        <v/>
      </c>
      <c r="R2234" s="0" t="str">
        <f aca="false">IF($C2234="","",IFERROR(VLOOKUP(--$C2234,MM_Income!$Z$5:$AC$204,3,FALSE()),""))</f>
        <v/>
      </c>
    </row>
    <row r="2235" customFormat="false" ht="13.5" hidden="false" customHeight="false" outlineLevel="0" collapsed="false">
      <c r="N2235" s="1" t="str">
        <f aca="false">IF(C2235="","",IFERROR(VLOOKUP(C2235,Master_Mappings!$A$4:$E$85,3,FALSE()),"UNMAPPED"))</f>
        <v/>
      </c>
      <c r="P2235" s="1" t="str">
        <f aca="false">IF($C2235="","",$C2235&amp;"|"&amp;$E2235&amp;"|"&amp;$M2235&amp;"|"&amp;TEXT($G2235,"yyyy-mm-dd")&amp;"|"&amp;LEFT($J2235,40))</f>
        <v/>
      </c>
      <c r="Q2235" s="11" t="str">
        <f aca="false">IF(P2235="","",IF(COUNTIF($P$2:$P$3000,P2235)&gt;1,"DUPLICATE","OK"))</f>
        <v/>
      </c>
      <c r="R2235" s="0" t="str">
        <f aca="false">IF($C2235="","",IFERROR(VLOOKUP(--$C2235,MM_Income!$Z$5:$AC$204,3,FALSE()),""))</f>
        <v/>
      </c>
    </row>
    <row r="2236" customFormat="false" ht="13.5" hidden="false" customHeight="false" outlineLevel="0" collapsed="false">
      <c r="N2236" s="1" t="str">
        <f aca="false">IF(C2236="","",IFERROR(VLOOKUP(C2236,Master_Mappings!$A$4:$E$85,3,FALSE()),"UNMAPPED"))</f>
        <v/>
      </c>
      <c r="P2236" s="1" t="str">
        <f aca="false">IF($C2236="","",$C2236&amp;"|"&amp;$E2236&amp;"|"&amp;$M2236&amp;"|"&amp;TEXT($G2236,"yyyy-mm-dd")&amp;"|"&amp;LEFT($J2236,40))</f>
        <v/>
      </c>
      <c r="Q2236" s="11" t="str">
        <f aca="false">IF(P2236="","",IF(COUNTIF($P$2:$P$3000,P2236)&gt;1,"DUPLICATE","OK"))</f>
        <v/>
      </c>
      <c r="R2236" s="0" t="str">
        <f aca="false">IF($C2236="","",IFERROR(VLOOKUP(--$C2236,MM_Income!$Z$5:$AC$204,3,FALSE()),""))</f>
        <v/>
      </c>
    </row>
    <row r="2237" customFormat="false" ht="13.5" hidden="false" customHeight="false" outlineLevel="0" collapsed="false">
      <c r="N2237" s="1" t="str">
        <f aca="false">IF(C2237="","",IFERROR(VLOOKUP(C2237,Master_Mappings!$A$4:$E$85,3,FALSE()),"UNMAPPED"))</f>
        <v/>
      </c>
      <c r="P2237" s="1" t="str">
        <f aca="false">IF($C2237="","",$C2237&amp;"|"&amp;$E2237&amp;"|"&amp;$M2237&amp;"|"&amp;TEXT($G2237,"yyyy-mm-dd")&amp;"|"&amp;LEFT($J2237,40))</f>
        <v/>
      </c>
      <c r="Q2237" s="11" t="str">
        <f aca="false">IF(P2237="","",IF(COUNTIF($P$2:$P$3000,P2237)&gt;1,"DUPLICATE","OK"))</f>
        <v/>
      </c>
      <c r="R2237" s="0" t="str">
        <f aca="false">IF($C2237="","",IFERROR(VLOOKUP(--$C2237,MM_Income!$Z$5:$AC$204,3,FALSE()),""))</f>
        <v/>
      </c>
    </row>
    <row r="2238" customFormat="false" ht="13.5" hidden="false" customHeight="false" outlineLevel="0" collapsed="false">
      <c r="N2238" s="1" t="str">
        <f aca="false">IF(C2238="","",IFERROR(VLOOKUP(C2238,Master_Mappings!$A$4:$E$85,3,FALSE()),"UNMAPPED"))</f>
        <v/>
      </c>
      <c r="P2238" s="1" t="str">
        <f aca="false">IF($C2238="","",$C2238&amp;"|"&amp;$E2238&amp;"|"&amp;$M2238&amp;"|"&amp;TEXT($G2238,"yyyy-mm-dd")&amp;"|"&amp;LEFT($J2238,40))</f>
        <v/>
      </c>
      <c r="Q2238" s="11" t="str">
        <f aca="false">IF(P2238="","",IF(COUNTIF($P$2:$P$3000,P2238)&gt;1,"DUPLICATE","OK"))</f>
        <v/>
      </c>
      <c r="R2238" s="0" t="str">
        <f aca="false">IF($C2238="","",IFERROR(VLOOKUP(--$C2238,MM_Income!$Z$5:$AC$204,3,FALSE()),""))</f>
        <v/>
      </c>
    </row>
    <row r="2239" customFormat="false" ht="13.5" hidden="false" customHeight="false" outlineLevel="0" collapsed="false">
      <c r="N2239" s="1" t="str">
        <f aca="false">IF(C2239="","",IFERROR(VLOOKUP(C2239,Master_Mappings!$A$4:$E$85,3,FALSE()),"UNMAPPED"))</f>
        <v/>
      </c>
      <c r="P2239" s="1" t="str">
        <f aca="false">IF($C2239="","",$C2239&amp;"|"&amp;$E2239&amp;"|"&amp;$M2239&amp;"|"&amp;TEXT($G2239,"yyyy-mm-dd")&amp;"|"&amp;LEFT($J2239,40))</f>
        <v/>
      </c>
      <c r="Q2239" s="11" t="str">
        <f aca="false">IF(P2239="","",IF(COUNTIF($P$2:$P$3000,P2239)&gt;1,"DUPLICATE","OK"))</f>
        <v/>
      </c>
      <c r="R2239" s="0" t="str">
        <f aca="false">IF($C2239="","",IFERROR(VLOOKUP(--$C2239,MM_Income!$Z$5:$AC$204,3,FALSE()),""))</f>
        <v/>
      </c>
    </row>
    <row r="2240" customFormat="false" ht="13.5" hidden="false" customHeight="false" outlineLevel="0" collapsed="false">
      <c r="N2240" s="1" t="str">
        <f aca="false">IF(C2240="","",IFERROR(VLOOKUP(C2240,Master_Mappings!$A$4:$E$85,3,FALSE()),"UNMAPPED"))</f>
        <v/>
      </c>
      <c r="P2240" s="1" t="str">
        <f aca="false">IF($C2240="","",$C2240&amp;"|"&amp;$E2240&amp;"|"&amp;$M2240&amp;"|"&amp;TEXT($G2240,"yyyy-mm-dd")&amp;"|"&amp;LEFT($J2240,40))</f>
        <v/>
      </c>
      <c r="Q2240" s="11" t="str">
        <f aca="false">IF(P2240="","",IF(COUNTIF($P$2:$P$3000,P2240)&gt;1,"DUPLICATE","OK"))</f>
        <v/>
      </c>
      <c r="R2240" s="0" t="str">
        <f aca="false">IF($C2240="","",IFERROR(VLOOKUP(--$C2240,MM_Income!$Z$5:$AC$204,3,FALSE()),""))</f>
        <v/>
      </c>
    </row>
    <row r="2241" customFormat="false" ht="13.5" hidden="false" customHeight="false" outlineLevel="0" collapsed="false">
      <c r="N2241" s="1" t="str">
        <f aca="false">IF(C2241="","",IFERROR(VLOOKUP(C2241,Master_Mappings!$A$4:$E$85,3,FALSE()),"UNMAPPED"))</f>
        <v/>
      </c>
      <c r="P2241" s="1" t="str">
        <f aca="false">IF($C2241="","",$C2241&amp;"|"&amp;$E2241&amp;"|"&amp;$M2241&amp;"|"&amp;TEXT($G2241,"yyyy-mm-dd")&amp;"|"&amp;LEFT($J2241,40))</f>
        <v/>
      </c>
      <c r="Q2241" s="11" t="str">
        <f aca="false">IF(P2241="","",IF(COUNTIF($P$2:$P$3000,P2241)&gt;1,"DUPLICATE","OK"))</f>
        <v/>
      </c>
      <c r="R2241" s="0" t="str">
        <f aca="false">IF($C2241="","",IFERROR(VLOOKUP(--$C2241,MM_Income!$Z$5:$AC$204,3,FALSE()),""))</f>
        <v/>
      </c>
    </row>
    <row r="2242" customFormat="false" ht="13.5" hidden="false" customHeight="false" outlineLevel="0" collapsed="false">
      <c r="N2242" s="1" t="str">
        <f aca="false">IF(C2242="","",IFERROR(VLOOKUP(C2242,Master_Mappings!$A$4:$E$85,3,FALSE()),"UNMAPPED"))</f>
        <v/>
      </c>
      <c r="P2242" s="1" t="str">
        <f aca="false">IF($C2242="","",$C2242&amp;"|"&amp;$E2242&amp;"|"&amp;$M2242&amp;"|"&amp;TEXT($G2242,"yyyy-mm-dd")&amp;"|"&amp;LEFT($J2242,40))</f>
        <v/>
      </c>
      <c r="Q2242" s="11" t="str">
        <f aca="false">IF(P2242="","",IF(COUNTIF($P$2:$P$3000,P2242)&gt;1,"DUPLICATE","OK"))</f>
        <v/>
      </c>
      <c r="R2242" s="0" t="str">
        <f aca="false">IF($C2242="","",IFERROR(VLOOKUP(--$C2242,MM_Income!$Z$5:$AC$204,3,FALSE()),""))</f>
        <v/>
      </c>
    </row>
    <row r="2243" customFormat="false" ht="13.5" hidden="false" customHeight="false" outlineLevel="0" collapsed="false">
      <c r="N2243" s="1" t="str">
        <f aca="false">IF(C2243="","",IFERROR(VLOOKUP(C2243,Master_Mappings!$A$4:$E$85,3,FALSE()),"UNMAPPED"))</f>
        <v/>
      </c>
      <c r="P2243" s="1" t="str">
        <f aca="false">IF($C2243="","",$C2243&amp;"|"&amp;$E2243&amp;"|"&amp;$M2243&amp;"|"&amp;TEXT($G2243,"yyyy-mm-dd")&amp;"|"&amp;LEFT($J2243,40))</f>
        <v/>
      </c>
      <c r="Q2243" s="11" t="str">
        <f aca="false">IF(P2243="","",IF(COUNTIF($P$2:$P$3000,P2243)&gt;1,"DUPLICATE","OK"))</f>
        <v/>
      </c>
      <c r="R2243" s="0" t="str">
        <f aca="false">IF($C2243="","",IFERROR(VLOOKUP(--$C2243,MM_Income!$Z$5:$AC$204,3,FALSE()),""))</f>
        <v/>
      </c>
    </row>
    <row r="2244" customFormat="false" ht="13.5" hidden="false" customHeight="false" outlineLevel="0" collapsed="false">
      <c r="N2244" s="1" t="str">
        <f aca="false">IF(C2244="","",IFERROR(VLOOKUP(C2244,Master_Mappings!$A$4:$E$85,3,FALSE()),"UNMAPPED"))</f>
        <v/>
      </c>
      <c r="P2244" s="1" t="str">
        <f aca="false">IF($C2244="","",$C2244&amp;"|"&amp;$E2244&amp;"|"&amp;$M2244&amp;"|"&amp;TEXT($G2244,"yyyy-mm-dd")&amp;"|"&amp;LEFT($J2244,40))</f>
        <v/>
      </c>
      <c r="Q2244" s="11" t="str">
        <f aca="false">IF(P2244="","",IF(COUNTIF($P$2:$P$3000,P2244)&gt;1,"DUPLICATE","OK"))</f>
        <v/>
      </c>
      <c r="R2244" s="0" t="str">
        <f aca="false">IF($C2244="","",IFERROR(VLOOKUP(--$C2244,MM_Income!$Z$5:$AC$204,3,FALSE()),""))</f>
        <v/>
      </c>
    </row>
    <row r="2245" customFormat="false" ht="13.5" hidden="false" customHeight="false" outlineLevel="0" collapsed="false">
      <c r="N2245" s="1" t="str">
        <f aca="false">IF(C2245="","",IFERROR(VLOOKUP(C2245,Master_Mappings!$A$4:$E$85,3,FALSE()),"UNMAPPED"))</f>
        <v/>
      </c>
      <c r="P2245" s="1" t="str">
        <f aca="false">IF($C2245="","",$C2245&amp;"|"&amp;$E2245&amp;"|"&amp;$M2245&amp;"|"&amp;TEXT($G2245,"yyyy-mm-dd")&amp;"|"&amp;LEFT($J2245,40))</f>
        <v/>
      </c>
      <c r="Q2245" s="11" t="str">
        <f aca="false">IF(P2245="","",IF(COUNTIF($P$2:$P$3000,P2245)&gt;1,"DUPLICATE","OK"))</f>
        <v/>
      </c>
      <c r="R2245" s="0" t="str">
        <f aca="false">IF($C2245="","",IFERROR(VLOOKUP(--$C2245,MM_Income!$Z$5:$AC$204,3,FALSE()),""))</f>
        <v/>
      </c>
    </row>
    <row r="2246" customFormat="false" ht="13.5" hidden="false" customHeight="false" outlineLevel="0" collapsed="false">
      <c r="N2246" s="1" t="str">
        <f aca="false">IF(C2246="","",IFERROR(VLOOKUP(C2246,Master_Mappings!$A$4:$E$85,3,FALSE()),"UNMAPPED"))</f>
        <v/>
      </c>
      <c r="P2246" s="1" t="str">
        <f aca="false">IF($C2246="","",$C2246&amp;"|"&amp;$E2246&amp;"|"&amp;$M2246&amp;"|"&amp;TEXT($G2246,"yyyy-mm-dd")&amp;"|"&amp;LEFT($J2246,40))</f>
        <v/>
      </c>
      <c r="Q2246" s="11" t="str">
        <f aca="false">IF(P2246="","",IF(COUNTIF($P$2:$P$3000,P2246)&gt;1,"DUPLICATE","OK"))</f>
        <v/>
      </c>
      <c r="R2246" s="0" t="str">
        <f aca="false">IF($C2246="","",IFERROR(VLOOKUP(--$C2246,MM_Income!$Z$5:$AC$204,3,FALSE()),""))</f>
        <v/>
      </c>
    </row>
    <row r="2247" customFormat="false" ht="13.5" hidden="false" customHeight="false" outlineLevel="0" collapsed="false">
      <c r="N2247" s="1" t="str">
        <f aca="false">IF(C2247="","",IFERROR(VLOOKUP(C2247,Master_Mappings!$A$4:$E$85,3,FALSE()),"UNMAPPED"))</f>
        <v/>
      </c>
      <c r="P2247" s="1" t="str">
        <f aca="false">IF($C2247="","",$C2247&amp;"|"&amp;$E2247&amp;"|"&amp;$M2247&amp;"|"&amp;TEXT($G2247,"yyyy-mm-dd")&amp;"|"&amp;LEFT($J2247,40))</f>
        <v/>
      </c>
      <c r="Q2247" s="11" t="str">
        <f aca="false">IF(P2247="","",IF(COUNTIF($P$2:$P$3000,P2247)&gt;1,"DUPLICATE","OK"))</f>
        <v/>
      </c>
      <c r="R2247" s="0" t="str">
        <f aca="false">IF($C2247="","",IFERROR(VLOOKUP(--$C2247,MM_Income!$Z$5:$AC$204,3,FALSE()),""))</f>
        <v/>
      </c>
    </row>
    <row r="2248" customFormat="false" ht="13.5" hidden="false" customHeight="false" outlineLevel="0" collapsed="false">
      <c r="N2248" s="1" t="str">
        <f aca="false">IF(C2248="","",IFERROR(VLOOKUP(C2248,Master_Mappings!$A$4:$E$85,3,FALSE()),"UNMAPPED"))</f>
        <v/>
      </c>
      <c r="P2248" s="1" t="str">
        <f aca="false">IF($C2248="","",$C2248&amp;"|"&amp;$E2248&amp;"|"&amp;$M2248&amp;"|"&amp;TEXT($G2248,"yyyy-mm-dd")&amp;"|"&amp;LEFT($J2248,40))</f>
        <v/>
      </c>
      <c r="Q2248" s="11" t="str">
        <f aca="false">IF(P2248="","",IF(COUNTIF($P$2:$P$3000,P2248)&gt;1,"DUPLICATE","OK"))</f>
        <v/>
      </c>
      <c r="R2248" s="0" t="str">
        <f aca="false">IF($C2248="","",IFERROR(VLOOKUP(--$C2248,MM_Income!$Z$5:$AC$204,3,FALSE()),""))</f>
        <v/>
      </c>
    </row>
    <row r="2249" customFormat="false" ht="13.5" hidden="false" customHeight="false" outlineLevel="0" collapsed="false">
      <c r="N2249" s="1" t="str">
        <f aca="false">IF(C2249="","",IFERROR(VLOOKUP(C2249,Master_Mappings!$A$4:$E$85,3,FALSE()),"UNMAPPED"))</f>
        <v/>
      </c>
      <c r="P2249" s="1" t="str">
        <f aca="false">IF($C2249="","",$C2249&amp;"|"&amp;$E2249&amp;"|"&amp;$M2249&amp;"|"&amp;TEXT($G2249,"yyyy-mm-dd")&amp;"|"&amp;LEFT($J2249,40))</f>
        <v/>
      </c>
      <c r="Q2249" s="11" t="str">
        <f aca="false">IF(P2249="","",IF(COUNTIF($P$2:$P$3000,P2249)&gt;1,"DUPLICATE","OK"))</f>
        <v/>
      </c>
      <c r="R2249" s="0" t="str">
        <f aca="false">IF($C2249="","",IFERROR(VLOOKUP(--$C2249,MM_Income!$Z$5:$AC$204,3,FALSE()),""))</f>
        <v/>
      </c>
    </row>
    <row r="2250" customFormat="false" ht="13.5" hidden="false" customHeight="false" outlineLevel="0" collapsed="false">
      <c r="N2250" s="1" t="str">
        <f aca="false">IF(C2250="","",IFERROR(VLOOKUP(C2250,Master_Mappings!$A$4:$E$85,3,FALSE()),"UNMAPPED"))</f>
        <v/>
      </c>
      <c r="P2250" s="1" t="str">
        <f aca="false">IF($C2250="","",$C2250&amp;"|"&amp;$E2250&amp;"|"&amp;$M2250&amp;"|"&amp;TEXT($G2250,"yyyy-mm-dd")&amp;"|"&amp;LEFT($J2250,40))</f>
        <v/>
      </c>
      <c r="Q2250" s="11" t="str">
        <f aca="false">IF(P2250="","",IF(COUNTIF($P$2:$P$3000,P2250)&gt;1,"DUPLICATE","OK"))</f>
        <v/>
      </c>
      <c r="R2250" s="0" t="str">
        <f aca="false">IF($C2250="","",IFERROR(VLOOKUP(--$C2250,MM_Income!$Z$5:$AC$204,3,FALSE()),""))</f>
        <v/>
      </c>
    </row>
    <row r="2251" customFormat="false" ht="13.5" hidden="false" customHeight="false" outlineLevel="0" collapsed="false">
      <c r="N2251" s="1" t="str">
        <f aca="false">IF(C2251="","",IFERROR(VLOOKUP(C2251,Master_Mappings!$A$4:$E$85,3,FALSE()),"UNMAPPED"))</f>
        <v/>
      </c>
      <c r="P2251" s="1" t="str">
        <f aca="false">IF($C2251="","",$C2251&amp;"|"&amp;$E2251&amp;"|"&amp;$M2251&amp;"|"&amp;TEXT($G2251,"yyyy-mm-dd")&amp;"|"&amp;LEFT($J2251,40))</f>
        <v/>
      </c>
      <c r="Q2251" s="11" t="str">
        <f aca="false">IF(P2251="","",IF(COUNTIF($P$2:$P$3000,P2251)&gt;1,"DUPLICATE","OK"))</f>
        <v/>
      </c>
      <c r="R2251" s="0" t="str">
        <f aca="false">IF($C2251="","",IFERROR(VLOOKUP(--$C2251,MM_Income!$Z$5:$AC$204,3,FALSE()),""))</f>
        <v/>
      </c>
    </row>
    <row r="2252" customFormat="false" ht="13.5" hidden="false" customHeight="false" outlineLevel="0" collapsed="false">
      <c r="N2252" s="1" t="str">
        <f aca="false">IF(C2252="","",IFERROR(VLOOKUP(C2252,Master_Mappings!$A$4:$E$85,3,FALSE()),"UNMAPPED"))</f>
        <v/>
      </c>
      <c r="P2252" s="1" t="str">
        <f aca="false">IF($C2252="","",$C2252&amp;"|"&amp;$E2252&amp;"|"&amp;$M2252&amp;"|"&amp;TEXT($G2252,"yyyy-mm-dd")&amp;"|"&amp;LEFT($J2252,40))</f>
        <v/>
      </c>
      <c r="Q2252" s="11" t="str">
        <f aca="false">IF(P2252="","",IF(COUNTIF($P$2:$P$3000,P2252)&gt;1,"DUPLICATE","OK"))</f>
        <v/>
      </c>
      <c r="R2252" s="0" t="str">
        <f aca="false">IF($C2252="","",IFERROR(VLOOKUP(--$C2252,MM_Income!$Z$5:$AC$204,3,FALSE()),""))</f>
        <v/>
      </c>
    </row>
    <row r="2253" customFormat="false" ht="13.5" hidden="false" customHeight="false" outlineLevel="0" collapsed="false">
      <c r="N2253" s="1" t="str">
        <f aca="false">IF(C2253="","",IFERROR(VLOOKUP(C2253,Master_Mappings!$A$4:$E$85,3,FALSE()),"UNMAPPED"))</f>
        <v/>
      </c>
      <c r="P2253" s="1" t="str">
        <f aca="false">IF($C2253="","",$C2253&amp;"|"&amp;$E2253&amp;"|"&amp;$M2253&amp;"|"&amp;TEXT($G2253,"yyyy-mm-dd")&amp;"|"&amp;LEFT($J2253,40))</f>
        <v/>
      </c>
      <c r="Q2253" s="11" t="str">
        <f aca="false">IF(P2253="","",IF(COUNTIF($P$2:$P$3000,P2253)&gt;1,"DUPLICATE","OK"))</f>
        <v/>
      </c>
      <c r="R2253" s="0" t="str">
        <f aca="false">IF($C2253="","",IFERROR(VLOOKUP(--$C2253,MM_Income!$Z$5:$AC$204,3,FALSE()),""))</f>
        <v/>
      </c>
    </row>
    <row r="2254" customFormat="false" ht="13.5" hidden="false" customHeight="false" outlineLevel="0" collapsed="false">
      <c r="N2254" s="1" t="str">
        <f aca="false">IF(C2254="","",IFERROR(VLOOKUP(C2254,Master_Mappings!$A$4:$E$85,3,FALSE()),"UNMAPPED"))</f>
        <v/>
      </c>
      <c r="P2254" s="1" t="str">
        <f aca="false">IF($C2254="","",$C2254&amp;"|"&amp;$E2254&amp;"|"&amp;$M2254&amp;"|"&amp;TEXT($G2254,"yyyy-mm-dd")&amp;"|"&amp;LEFT($J2254,40))</f>
        <v/>
      </c>
      <c r="Q2254" s="11" t="str">
        <f aca="false">IF(P2254="","",IF(COUNTIF($P$2:$P$3000,P2254)&gt;1,"DUPLICATE","OK"))</f>
        <v/>
      </c>
      <c r="R2254" s="0" t="str">
        <f aca="false">IF($C2254="","",IFERROR(VLOOKUP(--$C2254,MM_Income!$Z$5:$AC$204,3,FALSE()),""))</f>
        <v/>
      </c>
    </row>
    <row r="2255" customFormat="false" ht="13.5" hidden="false" customHeight="false" outlineLevel="0" collapsed="false">
      <c r="N2255" s="1" t="str">
        <f aca="false">IF(C2255="","",IFERROR(VLOOKUP(C2255,Master_Mappings!$A$4:$E$85,3,FALSE()),"UNMAPPED"))</f>
        <v/>
      </c>
      <c r="P2255" s="1" t="str">
        <f aca="false">IF($C2255="","",$C2255&amp;"|"&amp;$E2255&amp;"|"&amp;$M2255&amp;"|"&amp;TEXT($G2255,"yyyy-mm-dd")&amp;"|"&amp;LEFT($J2255,40))</f>
        <v/>
      </c>
      <c r="Q2255" s="11" t="str">
        <f aca="false">IF(P2255="","",IF(COUNTIF($P$2:$P$3000,P2255)&gt;1,"DUPLICATE","OK"))</f>
        <v/>
      </c>
      <c r="R2255" s="0" t="str">
        <f aca="false">IF($C2255="","",IFERROR(VLOOKUP(--$C2255,MM_Income!$Z$5:$AC$204,3,FALSE()),""))</f>
        <v/>
      </c>
    </row>
    <row r="2256" customFormat="false" ht="13.5" hidden="false" customHeight="false" outlineLevel="0" collapsed="false">
      <c r="N2256" s="1" t="str">
        <f aca="false">IF(C2256="","",IFERROR(VLOOKUP(C2256,Master_Mappings!$A$4:$E$85,3,FALSE()),"UNMAPPED"))</f>
        <v/>
      </c>
      <c r="P2256" s="1" t="str">
        <f aca="false">IF($C2256="","",$C2256&amp;"|"&amp;$E2256&amp;"|"&amp;$M2256&amp;"|"&amp;TEXT($G2256,"yyyy-mm-dd")&amp;"|"&amp;LEFT($J2256,40))</f>
        <v/>
      </c>
      <c r="Q2256" s="11" t="str">
        <f aca="false">IF(P2256="","",IF(COUNTIF($P$2:$P$3000,P2256)&gt;1,"DUPLICATE","OK"))</f>
        <v/>
      </c>
      <c r="R2256" s="0" t="str">
        <f aca="false">IF($C2256="","",IFERROR(VLOOKUP(--$C2256,MM_Income!$Z$5:$AC$204,3,FALSE()),""))</f>
        <v/>
      </c>
    </row>
    <row r="2257" customFormat="false" ht="13.5" hidden="false" customHeight="false" outlineLevel="0" collapsed="false">
      <c r="N2257" s="1" t="str">
        <f aca="false">IF(C2257="","",IFERROR(VLOOKUP(C2257,Master_Mappings!$A$4:$E$85,3,FALSE()),"UNMAPPED"))</f>
        <v/>
      </c>
      <c r="P2257" s="1" t="str">
        <f aca="false">IF($C2257="","",$C2257&amp;"|"&amp;$E2257&amp;"|"&amp;$M2257&amp;"|"&amp;TEXT($G2257,"yyyy-mm-dd")&amp;"|"&amp;LEFT($J2257,40))</f>
        <v/>
      </c>
      <c r="Q2257" s="11" t="str">
        <f aca="false">IF(P2257="","",IF(COUNTIF($P$2:$P$3000,P2257)&gt;1,"DUPLICATE","OK"))</f>
        <v/>
      </c>
      <c r="R2257" s="0" t="str">
        <f aca="false">IF($C2257="","",IFERROR(VLOOKUP(--$C2257,MM_Income!$Z$5:$AC$204,3,FALSE()),""))</f>
        <v/>
      </c>
    </row>
    <row r="2258" customFormat="false" ht="13.5" hidden="false" customHeight="false" outlineLevel="0" collapsed="false">
      <c r="N2258" s="1" t="str">
        <f aca="false">IF(C2258="","",IFERROR(VLOOKUP(C2258,Master_Mappings!$A$4:$E$85,3,FALSE()),"UNMAPPED"))</f>
        <v/>
      </c>
      <c r="P2258" s="1" t="str">
        <f aca="false">IF($C2258="","",$C2258&amp;"|"&amp;$E2258&amp;"|"&amp;$M2258&amp;"|"&amp;TEXT($G2258,"yyyy-mm-dd")&amp;"|"&amp;LEFT($J2258,40))</f>
        <v/>
      </c>
      <c r="Q2258" s="11" t="str">
        <f aca="false">IF(P2258="","",IF(COUNTIF($P$2:$P$3000,P2258)&gt;1,"DUPLICATE","OK"))</f>
        <v/>
      </c>
      <c r="R2258" s="0" t="str">
        <f aca="false">IF($C2258="","",IFERROR(VLOOKUP(--$C2258,MM_Income!$Z$5:$AC$204,3,FALSE()),""))</f>
        <v/>
      </c>
    </row>
    <row r="2259" customFormat="false" ht="13.5" hidden="false" customHeight="false" outlineLevel="0" collapsed="false">
      <c r="N2259" s="1" t="str">
        <f aca="false">IF(C2259="","",IFERROR(VLOOKUP(C2259,Master_Mappings!$A$4:$E$85,3,FALSE()),"UNMAPPED"))</f>
        <v/>
      </c>
      <c r="P2259" s="1" t="str">
        <f aca="false">IF($C2259="","",$C2259&amp;"|"&amp;$E2259&amp;"|"&amp;$M2259&amp;"|"&amp;TEXT($G2259,"yyyy-mm-dd")&amp;"|"&amp;LEFT($J2259,40))</f>
        <v/>
      </c>
      <c r="Q2259" s="11" t="str">
        <f aca="false">IF(P2259="","",IF(COUNTIF($P$2:$P$3000,P2259)&gt;1,"DUPLICATE","OK"))</f>
        <v/>
      </c>
      <c r="R2259" s="0" t="str">
        <f aca="false">IF($C2259="","",IFERROR(VLOOKUP(--$C2259,MM_Income!$Z$5:$AC$204,3,FALSE()),""))</f>
        <v/>
      </c>
    </row>
    <row r="2260" customFormat="false" ht="13.5" hidden="false" customHeight="false" outlineLevel="0" collapsed="false">
      <c r="N2260" s="1" t="str">
        <f aca="false">IF(C2260="","",IFERROR(VLOOKUP(C2260,Master_Mappings!$A$4:$E$85,3,FALSE()),"UNMAPPED"))</f>
        <v/>
      </c>
      <c r="P2260" s="1" t="str">
        <f aca="false">IF($C2260="","",$C2260&amp;"|"&amp;$E2260&amp;"|"&amp;$M2260&amp;"|"&amp;TEXT($G2260,"yyyy-mm-dd")&amp;"|"&amp;LEFT($J2260,40))</f>
        <v/>
      </c>
      <c r="Q2260" s="11" t="str">
        <f aca="false">IF(P2260="","",IF(COUNTIF($P$2:$P$3000,P2260)&gt;1,"DUPLICATE","OK"))</f>
        <v/>
      </c>
      <c r="R2260" s="0" t="str">
        <f aca="false">IF($C2260="","",IFERROR(VLOOKUP(--$C2260,MM_Income!$Z$5:$AC$204,3,FALSE()),""))</f>
        <v/>
      </c>
    </row>
    <row r="2261" customFormat="false" ht="13.5" hidden="false" customHeight="false" outlineLevel="0" collapsed="false">
      <c r="N2261" s="1" t="str">
        <f aca="false">IF(C2261="","",IFERROR(VLOOKUP(C2261,Master_Mappings!$A$4:$E$85,3,FALSE()),"UNMAPPED"))</f>
        <v/>
      </c>
      <c r="P2261" s="1" t="str">
        <f aca="false">IF($C2261="","",$C2261&amp;"|"&amp;$E2261&amp;"|"&amp;$M2261&amp;"|"&amp;TEXT($G2261,"yyyy-mm-dd")&amp;"|"&amp;LEFT($J2261,40))</f>
        <v/>
      </c>
      <c r="Q2261" s="11" t="str">
        <f aca="false">IF(P2261="","",IF(COUNTIF($P$2:$P$3000,P2261)&gt;1,"DUPLICATE","OK"))</f>
        <v/>
      </c>
      <c r="R2261" s="0" t="str">
        <f aca="false">IF($C2261="","",IFERROR(VLOOKUP(--$C2261,MM_Income!$Z$5:$AC$204,3,FALSE()),""))</f>
        <v/>
      </c>
    </row>
    <row r="2262" customFormat="false" ht="13.5" hidden="false" customHeight="false" outlineLevel="0" collapsed="false">
      <c r="N2262" s="1" t="str">
        <f aca="false">IF(C2262="","",IFERROR(VLOOKUP(C2262,Master_Mappings!$A$4:$E$85,3,FALSE()),"UNMAPPED"))</f>
        <v/>
      </c>
      <c r="P2262" s="1" t="str">
        <f aca="false">IF($C2262="","",$C2262&amp;"|"&amp;$E2262&amp;"|"&amp;$M2262&amp;"|"&amp;TEXT($G2262,"yyyy-mm-dd")&amp;"|"&amp;LEFT($J2262,40))</f>
        <v/>
      </c>
      <c r="Q2262" s="11" t="str">
        <f aca="false">IF(P2262="","",IF(COUNTIF($P$2:$P$3000,P2262)&gt;1,"DUPLICATE","OK"))</f>
        <v/>
      </c>
      <c r="R2262" s="0" t="str">
        <f aca="false">IF($C2262="","",IFERROR(VLOOKUP(--$C2262,MM_Income!$Z$5:$AC$204,3,FALSE()),""))</f>
        <v/>
      </c>
    </row>
    <row r="2263" customFormat="false" ht="13.5" hidden="false" customHeight="false" outlineLevel="0" collapsed="false">
      <c r="N2263" s="1" t="str">
        <f aca="false">IF(C2263="","",IFERROR(VLOOKUP(C2263,Master_Mappings!$A$4:$E$85,3,FALSE()),"UNMAPPED"))</f>
        <v/>
      </c>
      <c r="P2263" s="1" t="str">
        <f aca="false">IF($C2263="","",$C2263&amp;"|"&amp;$E2263&amp;"|"&amp;$M2263&amp;"|"&amp;TEXT($G2263,"yyyy-mm-dd")&amp;"|"&amp;LEFT($J2263,40))</f>
        <v/>
      </c>
      <c r="Q2263" s="11" t="str">
        <f aca="false">IF(P2263="","",IF(COUNTIF($P$2:$P$3000,P2263)&gt;1,"DUPLICATE","OK"))</f>
        <v/>
      </c>
      <c r="R2263" s="0" t="str">
        <f aca="false">IF($C2263="","",IFERROR(VLOOKUP(--$C2263,MM_Income!$Z$5:$AC$204,3,FALSE()),""))</f>
        <v/>
      </c>
    </row>
    <row r="2264" customFormat="false" ht="13.5" hidden="false" customHeight="false" outlineLevel="0" collapsed="false">
      <c r="N2264" s="1" t="str">
        <f aca="false">IF(C2264="","",IFERROR(VLOOKUP(C2264,Master_Mappings!$A$4:$E$85,3,FALSE()),"UNMAPPED"))</f>
        <v/>
      </c>
      <c r="P2264" s="1" t="str">
        <f aca="false">IF($C2264="","",$C2264&amp;"|"&amp;$E2264&amp;"|"&amp;$M2264&amp;"|"&amp;TEXT($G2264,"yyyy-mm-dd")&amp;"|"&amp;LEFT($J2264,40))</f>
        <v/>
      </c>
      <c r="Q2264" s="11" t="str">
        <f aca="false">IF(P2264="","",IF(COUNTIF($P$2:$P$3000,P2264)&gt;1,"DUPLICATE","OK"))</f>
        <v/>
      </c>
      <c r="R2264" s="0" t="str">
        <f aca="false">IF($C2264="","",IFERROR(VLOOKUP(--$C2264,MM_Income!$Z$5:$AC$204,3,FALSE()),""))</f>
        <v/>
      </c>
    </row>
    <row r="2265" customFormat="false" ht="13.5" hidden="false" customHeight="false" outlineLevel="0" collapsed="false">
      <c r="N2265" s="1" t="str">
        <f aca="false">IF(C2265="","",IFERROR(VLOOKUP(C2265,Master_Mappings!$A$4:$E$85,3,FALSE()),"UNMAPPED"))</f>
        <v/>
      </c>
      <c r="P2265" s="1" t="str">
        <f aca="false">IF($C2265="","",$C2265&amp;"|"&amp;$E2265&amp;"|"&amp;$M2265&amp;"|"&amp;TEXT($G2265,"yyyy-mm-dd")&amp;"|"&amp;LEFT($J2265,40))</f>
        <v/>
      </c>
      <c r="Q2265" s="11" t="str">
        <f aca="false">IF(P2265="","",IF(COUNTIF($P$2:$P$3000,P2265)&gt;1,"DUPLICATE","OK"))</f>
        <v/>
      </c>
      <c r="R2265" s="0" t="str">
        <f aca="false">IF($C2265="","",IFERROR(VLOOKUP(--$C2265,MM_Income!$Z$5:$AC$204,3,FALSE()),""))</f>
        <v/>
      </c>
    </row>
    <row r="2266" customFormat="false" ht="13.5" hidden="false" customHeight="false" outlineLevel="0" collapsed="false">
      <c r="N2266" s="1" t="str">
        <f aca="false">IF(C2266="","",IFERROR(VLOOKUP(C2266,Master_Mappings!$A$4:$E$85,3,FALSE()),"UNMAPPED"))</f>
        <v/>
      </c>
      <c r="P2266" s="1" t="str">
        <f aca="false">IF($C2266="","",$C2266&amp;"|"&amp;$E2266&amp;"|"&amp;$M2266&amp;"|"&amp;TEXT($G2266,"yyyy-mm-dd")&amp;"|"&amp;LEFT($J2266,40))</f>
        <v/>
      </c>
      <c r="Q2266" s="11" t="str">
        <f aca="false">IF(P2266="","",IF(COUNTIF($P$2:$P$3000,P2266)&gt;1,"DUPLICATE","OK"))</f>
        <v/>
      </c>
      <c r="R2266" s="0" t="str">
        <f aca="false">IF($C2266="","",IFERROR(VLOOKUP(--$C2266,MM_Income!$Z$5:$AC$204,3,FALSE()),""))</f>
        <v/>
      </c>
    </row>
    <row r="2267" customFormat="false" ht="13.5" hidden="false" customHeight="false" outlineLevel="0" collapsed="false">
      <c r="N2267" s="1" t="str">
        <f aca="false">IF(C2267="","",IFERROR(VLOOKUP(C2267,Master_Mappings!$A$4:$E$85,3,FALSE()),"UNMAPPED"))</f>
        <v/>
      </c>
      <c r="P2267" s="1" t="str">
        <f aca="false">IF($C2267="","",$C2267&amp;"|"&amp;$E2267&amp;"|"&amp;$M2267&amp;"|"&amp;TEXT($G2267,"yyyy-mm-dd")&amp;"|"&amp;LEFT($J2267,40))</f>
        <v/>
      </c>
      <c r="Q2267" s="11" t="str">
        <f aca="false">IF(P2267="","",IF(COUNTIF($P$2:$P$3000,P2267)&gt;1,"DUPLICATE","OK"))</f>
        <v/>
      </c>
      <c r="R2267" s="0" t="str">
        <f aca="false">IF($C2267="","",IFERROR(VLOOKUP(--$C2267,MM_Income!$Z$5:$AC$204,3,FALSE()),""))</f>
        <v/>
      </c>
    </row>
    <row r="2268" customFormat="false" ht="13.5" hidden="false" customHeight="false" outlineLevel="0" collapsed="false">
      <c r="N2268" s="1" t="str">
        <f aca="false">IF(C2268="","",IFERROR(VLOOKUP(C2268,Master_Mappings!$A$4:$E$85,3,FALSE()),"UNMAPPED"))</f>
        <v/>
      </c>
      <c r="P2268" s="1" t="str">
        <f aca="false">IF($C2268="","",$C2268&amp;"|"&amp;$E2268&amp;"|"&amp;$M2268&amp;"|"&amp;TEXT($G2268,"yyyy-mm-dd")&amp;"|"&amp;LEFT($J2268,40))</f>
        <v/>
      </c>
      <c r="Q2268" s="11" t="str">
        <f aca="false">IF(P2268="","",IF(COUNTIF($P$2:$P$3000,P2268)&gt;1,"DUPLICATE","OK"))</f>
        <v/>
      </c>
      <c r="R2268" s="0" t="str">
        <f aca="false">IF($C2268="","",IFERROR(VLOOKUP(--$C2268,MM_Income!$Z$5:$AC$204,3,FALSE()),""))</f>
        <v/>
      </c>
    </row>
    <row r="2269" customFormat="false" ht="13.5" hidden="false" customHeight="false" outlineLevel="0" collapsed="false">
      <c r="N2269" s="1" t="str">
        <f aca="false">IF(C2269="","",IFERROR(VLOOKUP(C2269,Master_Mappings!$A$4:$E$85,3,FALSE()),"UNMAPPED"))</f>
        <v/>
      </c>
      <c r="P2269" s="1" t="str">
        <f aca="false">IF($C2269="","",$C2269&amp;"|"&amp;$E2269&amp;"|"&amp;$M2269&amp;"|"&amp;TEXT($G2269,"yyyy-mm-dd")&amp;"|"&amp;LEFT($J2269,40))</f>
        <v/>
      </c>
      <c r="Q2269" s="11" t="str">
        <f aca="false">IF(P2269="","",IF(COUNTIF($P$2:$P$3000,P2269)&gt;1,"DUPLICATE","OK"))</f>
        <v/>
      </c>
      <c r="R2269" s="0" t="str">
        <f aca="false">IF($C2269="","",IFERROR(VLOOKUP(--$C2269,MM_Income!$Z$5:$AC$204,3,FALSE()),""))</f>
        <v/>
      </c>
    </row>
    <row r="2270" customFormat="false" ht="13.5" hidden="false" customHeight="false" outlineLevel="0" collapsed="false">
      <c r="N2270" s="1" t="str">
        <f aca="false">IF(C2270="","",IFERROR(VLOOKUP(C2270,Master_Mappings!$A$4:$E$85,3,FALSE()),"UNMAPPED"))</f>
        <v/>
      </c>
      <c r="P2270" s="1" t="str">
        <f aca="false">IF($C2270="","",$C2270&amp;"|"&amp;$E2270&amp;"|"&amp;$M2270&amp;"|"&amp;TEXT($G2270,"yyyy-mm-dd")&amp;"|"&amp;LEFT($J2270,40))</f>
        <v/>
      </c>
      <c r="Q2270" s="11" t="str">
        <f aca="false">IF(P2270="","",IF(COUNTIF($P$2:$P$3000,P2270)&gt;1,"DUPLICATE","OK"))</f>
        <v/>
      </c>
      <c r="R2270" s="0" t="str">
        <f aca="false">IF($C2270="","",IFERROR(VLOOKUP(--$C2270,MM_Income!$Z$5:$AC$204,3,FALSE()),""))</f>
        <v/>
      </c>
    </row>
    <row r="2271" customFormat="false" ht="13.5" hidden="false" customHeight="false" outlineLevel="0" collapsed="false">
      <c r="N2271" s="1" t="str">
        <f aca="false">IF(C2271="","",IFERROR(VLOOKUP(C2271,Master_Mappings!$A$4:$E$85,3,FALSE()),"UNMAPPED"))</f>
        <v/>
      </c>
      <c r="P2271" s="1" t="str">
        <f aca="false">IF($C2271="","",$C2271&amp;"|"&amp;$E2271&amp;"|"&amp;$M2271&amp;"|"&amp;TEXT($G2271,"yyyy-mm-dd")&amp;"|"&amp;LEFT($J2271,40))</f>
        <v/>
      </c>
      <c r="Q2271" s="11" t="str">
        <f aca="false">IF(P2271="","",IF(COUNTIF($P$2:$P$3000,P2271)&gt;1,"DUPLICATE","OK"))</f>
        <v/>
      </c>
      <c r="R2271" s="0" t="str">
        <f aca="false">IF($C2271="","",IFERROR(VLOOKUP(--$C2271,MM_Income!$Z$5:$AC$204,3,FALSE()),""))</f>
        <v/>
      </c>
    </row>
    <row r="2272" customFormat="false" ht="13.5" hidden="false" customHeight="false" outlineLevel="0" collapsed="false">
      <c r="N2272" s="1" t="str">
        <f aca="false">IF(C2272="","",IFERROR(VLOOKUP(C2272,Master_Mappings!$A$4:$E$85,3,FALSE()),"UNMAPPED"))</f>
        <v/>
      </c>
      <c r="P2272" s="1" t="str">
        <f aca="false">IF($C2272="","",$C2272&amp;"|"&amp;$E2272&amp;"|"&amp;$M2272&amp;"|"&amp;TEXT($G2272,"yyyy-mm-dd")&amp;"|"&amp;LEFT($J2272,40))</f>
        <v/>
      </c>
      <c r="Q2272" s="11" t="str">
        <f aca="false">IF(P2272="","",IF(COUNTIF($P$2:$P$3000,P2272)&gt;1,"DUPLICATE","OK"))</f>
        <v/>
      </c>
      <c r="R2272" s="0" t="str">
        <f aca="false">IF($C2272="","",IFERROR(VLOOKUP(--$C2272,MM_Income!$Z$5:$AC$204,3,FALSE()),""))</f>
        <v/>
      </c>
    </row>
    <row r="2273" customFormat="false" ht="13.5" hidden="false" customHeight="false" outlineLevel="0" collapsed="false">
      <c r="N2273" s="1" t="str">
        <f aca="false">IF(C2273="","",IFERROR(VLOOKUP(C2273,Master_Mappings!$A$4:$E$85,3,FALSE()),"UNMAPPED"))</f>
        <v/>
      </c>
      <c r="P2273" s="1" t="str">
        <f aca="false">IF($C2273="","",$C2273&amp;"|"&amp;$E2273&amp;"|"&amp;$M2273&amp;"|"&amp;TEXT($G2273,"yyyy-mm-dd")&amp;"|"&amp;LEFT($J2273,40))</f>
        <v/>
      </c>
      <c r="Q2273" s="11" t="str">
        <f aca="false">IF(P2273="","",IF(COUNTIF($P$2:$P$3000,P2273)&gt;1,"DUPLICATE","OK"))</f>
        <v/>
      </c>
      <c r="R2273" s="0" t="str">
        <f aca="false">IF($C2273="","",IFERROR(VLOOKUP(--$C2273,MM_Income!$Z$5:$AC$204,3,FALSE()),""))</f>
        <v/>
      </c>
    </row>
    <row r="2274" customFormat="false" ht="13.5" hidden="false" customHeight="false" outlineLevel="0" collapsed="false">
      <c r="N2274" s="1" t="str">
        <f aca="false">IF(C2274="","",IFERROR(VLOOKUP(C2274,Master_Mappings!$A$4:$E$85,3,FALSE()),"UNMAPPED"))</f>
        <v/>
      </c>
      <c r="P2274" s="1" t="str">
        <f aca="false">IF($C2274="","",$C2274&amp;"|"&amp;$E2274&amp;"|"&amp;$M2274&amp;"|"&amp;TEXT($G2274,"yyyy-mm-dd")&amp;"|"&amp;LEFT($J2274,40))</f>
        <v/>
      </c>
      <c r="Q2274" s="11" t="str">
        <f aca="false">IF(P2274="","",IF(COUNTIF($P$2:$P$3000,P2274)&gt;1,"DUPLICATE","OK"))</f>
        <v/>
      </c>
      <c r="R2274" s="0" t="str">
        <f aca="false">IF($C2274="","",IFERROR(VLOOKUP(--$C2274,MM_Income!$Z$5:$AC$204,3,FALSE()),""))</f>
        <v/>
      </c>
    </row>
    <row r="2275" customFormat="false" ht="13.5" hidden="false" customHeight="false" outlineLevel="0" collapsed="false">
      <c r="N2275" s="1" t="str">
        <f aca="false">IF(C2275="","",IFERROR(VLOOKUP(C2275,Master_Mappings!$A$4:$E$85,3,FALSE()),"UNMAPPED"))</f>
        <v/>
      </c>
      <c r="P2275" s="1" t="str">
        <f aca="false">IF($C2275="","",$C2275&amp;"|"&amp;$E2275&amp;"|"&amp;$M2275&amp;"|"&amp;TEXT($G2275,"yyyy-mm-dd")&amp;"|"&amp;LEFT($J2275,40))</f>
        <v/>
      </c>
      <c r="Q2275" s="11" t="str">
        <f aca="false">IF(P2275="","",IF(COUNTIF($P$2:$P$3000,P2275)&gt;1,"DUPLICATE","OK"))</f>
        <v/>
      </c>
      <c r="R2275" s="0" t="str">
        <f aca="false">IF($C2275="","",IFERROR(VLOOKUP(--$C2275,MM_Income!$Z$5:$AC$204,3,FALSE()),""))</f>
        <v/>
      </c>
    </row>
    <row r="2276" customFormat="false" ht="13.5" hidden="false" customHeight="false" outlineLevel="0" collapsed="false">
      <c r="N2276" s="1" t="str">
        <f aca="false">IF(C2276="","",IFERROR(VLOOKUP(C2276,Master_Mappings!$A$4:$E$85,3,FALSE()),"UNMAPPED"))</f>
        <v/>
      </c>
      <c r="P2276" s="1" t="str">
        <f aca="false">IF($C2276="","",$C2276&amp;"|"&amp;$E2276&amp;"|"&amp;$M2276&amp;"|"&amp;TEXT($G2276,"yyyy-mm-dd")&amp;"|"&amp;LEFT($J2276,40))</f>
        <v/>
      </c>
      <c r="Q2276" s="11" t="str">
        <f aca="false">IF(P2276="","",IF(COUNTIF($P$2:$P$3000,P2276)&gt;1,"DUPLICATE","OK"))</f>
        <v/>
      </c>
      <c r="R2276" s="0" t="str">
        <f aca="false">IF($C2276="","",IFERROR(VLOOKUP(--$C2276,MM_Income!$Z$5:$AC$204,3,FALSE()),""))</f>
        <v/>
      </c>
    </row>
    <row r="2277" customFormat="false" ht="13.5" hidden="false" customHeight="false" outlineLevel="0" collapsed="false">
      <c r="N2277" s="1" t="str">
        <f aca="false">IF(C2277="","",IFERROR(VLOOKUP(C2277,Master_Mappings!$A$4:$E$85,3,FALSE()),"UNMAPPED"))</f>
        <v/>
      </c>
      <c r="P2277" s="1" t="str">
        <f aca="false">IF($C2277="","",$C2277&amp;"|"&amp;$E2277&amp;"|"&amp;$M2277&amp;"|"&amp;TEXT($G2277,"yyyy-mm-dd")&amp;"|"&amp;LEFT($J2277,40))</f>
        <v/>
      </c>
      <c r="Q2277" s="11" t="str">
        <f aca="false">IF(P2277="","",IF(COUNTIF($P$2:$P$3000,P2277)&gt;1,"DUPLICATE","OK"))</f>
        <v/>
      </c>
      <c r="R2277" s="0" t="str">
        <f aca="false">IF($C2277="","",IFERROR(VLOOKUP(--$C2277,MM_Income!$Z$5:$AC$204,3,FALSE()),""))</f>
        <v/>
      </c>
    </row>
    <row r="2278" customFormat="false" ht="13.5" hidden="false" customHeight="false" outlineLevel="0" collapsed="false">
      <c r="N2278" s="1" t="str">
        <f aca="false">IF(C2278="","",IFERROR(VLOOKUP(C2278,Master_Mappings!$A$4:$E$85,3,FALSE()),"UNMAPPED"))</f>
        <v/>
      </c>
      <c r="P2278" s="1" t="str">
        <f aca="false">IF($C2278="","",$C2278&amp;"|"&amp;$E2278&amp;"|"&amp;$M2278&amp;"|"&amp;TEXT($G2278,"yyyy-mm-dd")&amp;"|"&amp;LEFT($J2278,40))</f>
        <v/>
      </c>
      <c r="Q2278" s="11" t="str">
        <f aca="false">IF(P2278="","",IF(COUNTIF($P$2:$P$3000,P2278)&gt;1,"DUPLICATE","OK"))</f>
        <v/>
      </c>
      <c r="R2278" s="0" t="str">
        <f aca="false">IF($C2278="","",IFERROR(VLOOKUP(--$C2278,MM_Income!$Z$5:$AC$204,3,FALSE()),""))</f>
        <v/>
      </c>
    </row>
    <row r="2279" customFormat="false" ht="13.5" hidden="false" customHeight="false" outlineLevel="0" collapsed="false">
      <c r="N2279" s="1" t="str">
        <f aca="false">IF(C2279="","",IFERROR(VLOOKUP(C2279,Master_Mappings!$A$4:$E$85,3,FALSE()),"UNMAPPED"))</f>
        <v/>
      </c>
      <c r="P2279" s="1" t="str">
        <f aca="false">IF($C2279="","",$C2279&amp;"|"&amp;$E2279&amp;"|"&amp;$M2279&amp;"|"&amp;TEXT($G2279,"yyyy-mm-dd")&amp;"|"&amp;LEFT($J2279,40))</f>
        <v/>
      </c>
      <c r="Q2279" s="11" t="str">
        <f aca="false">IF(P2279="","",IF(COUNTIF($P$2:$P$3000,P2279)&gt;1,"DUPLICATE","OK"))</f>
        <v/>
      </c>
      <c r="R2279" s="0" t="str">
        <f aca="false">IF($C2279="","",IFERROR(VLOOKUP(--$C2279,MM_Income!$Z$5:$AC$204,3,FALSE()),""))</f>
        <v/>
      </c>
    </row>
    <row r="2280" customFormat="false" ht="13.5" hidden="false" customHeight="false" outlineLevel="0" collapsed="false">
      <c r="N2280" s="1" t="str">
        <f aca="false">IF(C2280="","",IFERROR(VLOOKUP(C2280,Master_Mappings!$A$4:$E$85,3,FALSE()),"UNMAPPED"))</f>
        <v/>
      </c>
      <c r="P2280" s="1" t="str">
        <f aca="false">IF($C2280="","",$C2280&amp;"|"&amp;$E2280&amp;"|"&amp;$M2280&amp;"|"&amp;TEXT($G2280,"yyyy-mm-dd")&amp;"|"&amp;LEFT($J2280,40))</f>
        <v/>
      </c>
      <c r="Q2280" s="11" t="str">
        <f aca="false">IF(P2280="","",IF(COUNTIF($P$2:$P$3000,P2280)&gt;1,"DUPLICATE","OK"))</f>
        <v/>
      </c>
      <c r="R2280" s="0" t="str">
        <f aca="false">IF($C2280="","",IFERROR(VLOOKUP(--$C2280,MM_Income!$Z$5:$AC$204,3,FALSE()),""))</f>
        <v/>
      </c>
    </row>
    <row r="2281" customFormat="false" ht="13.5" hidden="false" customHeight="false" outlineLevel="0" collapsed="false">
      <c r="N2281" s="1" t="str">
        <f aca="false">IF(C2281="","",IFERROR(VLOOKUP(C2281,Master_Mappings!$A$4:$E$85,3,FALSE()),"UNMAPPED"))</f>
        <v/>
      </c>
      <c r="P2281" s="1" t="str">
        <f aca="false">IF($C2281="","",$C2281&amp;"|"&amp;$E2281&amp;"|"&amp;$M2281&amp;"|"&amp;TEXT($G2281,"yyyy-mm-dd")&amp;"|"&amp;LEFT($J2281,40))</f>
        <v/>
      </c>
      <c r="Q2281" s="11" t="str">
        <f aca="false">IF(P2281="","",IF(COUNTIF($P$2:$P$3000,P2281)&gt;1,"DUPLICATE","OK"))</f>
        <v/>
      </c>
      <c r="R2281" s="0" t="str">
        <f aca="false">IF($C2281="","",IFERROR(VLOOKUP(--$C2281,MM_Income!$Z$5:$AC$204,3,FALSE()),""))</f>
        <v/>
      </c>
    </row>
    <row r="2282" customFormat="false" ht="13.5" hidden="false" customHeight="false" outlineLevel="0" collapsed="false">
      <c r="N2282" s="1" t="str">
        <f aca="false">IF(C2282="","",IFERROR(VLOOKUP(C2282,Master_Mappings!$A$4:$E$85,3,FALSE()),"UNMAPPED"))</f>
        <v/>
      </c>
      <c r="P2282" s="1" t="str">
        <f aca="false">IF($C2282="","",$C2282&amp;"|"&amp;$E2282&amp;"|"&amp;$M2282&amp;"|"&amp;TEXT($G2282,"yyyy-mm-dd")&amp;"|"&amp;LEFT($J2282,40))</f>
        <v/>
      </c>
      <c r="Q2282" s="11" t="str">
        <f aca="false">IF(P2282="","",IF(COUNTIF($P$2:$P$3000,P2282)&gt;1,"DUPLICATE","OK"))</f>
        <v/>
      </c>
      <c r="R2282" s="0" t="str">
        <f aca="false">IF($C2282="","",IFERROR(VLOOKUP(--$C2282,MM_Income!$Z$5:$AC$204,3,FALSE()),""))</f>
        <v/>
      </c>
    </row>
    <row r="2283" customFormat="false" ht="13.5" hidden="false" customHeight="false" outlineLevel="0" collapsed="false">
      <c r="N2283" s="1" t="str">
        <f aca="false">IF(C2283="","",IFERROR(VLOOKUP(C2283,Master_Mappings!$A$4:$E$85,3,FALSE()),"UNMAPPED"))</f>
        <v/>
      </c>
      <c r="P2283" s="1" t="str">
        <f aca="false">IF($C2283="","",$C2283&amp;"|"&amp;$E2283&amp;"|"&amp;$M2283&amp;"|"&amp;TEXT($G2283,"yyyy-mm-dd")&amp;"|"&amp;LEFT($J2283,40))</f>
        <v/>
      </c>
      <c r="Q2283" s="11" t="str">
        <f aca="false">IF(P2283="","",IF(COUNTIF($P$2:$P$3000,P2283)&gt;1,"DUPLICATE","OK"))</f>
        <v/>
      </c>
      <c r="R2283" s="0" t="str">
        <f aca="false">IF($C2283="","",IFERROR(VLOOKUP(--$C2283,MM_Income!$Z$5:$AC$204,3,FALSE()),""))</f>
        <v/>
      </c>
    </row>
    <row r="2284" customFormat="false" ht="13.5" hidden="false" customHeight="false" outlineLevel="0" collapsed="false">
      <c r="N2284" s="1" t="str">
        <f aca="false">IF(C2284="","",IFERROR(VLOOKUP(C2284,Master_Mappings!$A$4:$E$85,3,FALSE()),"UNMAPPED"))</f>
        <v/>
      </c>
      <c r="P2284" s="1" t="str">
        <f aca="false">IF($C2284="","",$C2284&amp;"|"&amp;$E2284&amp;"|"&amp;$M2284&amp;"|"&amp;TEXT($G2284,"yyyy-mm-dd")&amp;"|"&amp;LEFT($J2284,40))</f>
        <v/>
      </c>
      <c r="Q2284" s="11" t="str">
        <f aca="false">IF(P2284="","",IF(COUNTIF($P$2:$P$3000,P2284)&gt;1,"DUPLICATE","OK"))</f>
        <v/>
      </c>
      <c r="R2284" s="0" t="str">
        <f aca="false">IF($C2284="","",IFERROR(VLOOKUP(--$C2284,MM_Income!$Z$5:$AC$204,3,FALSE()),""))</f>
        <v/>
      </c>
    </row>
    <row r="2285" customFormat="false" ht="13.5" hidden="false" customHeight="false" outlineLevel="0" collapsed="false">
      <c r="N2285" s="1" t="str">
        <f aca="false">IF(C2285="","",IFERROR(VLOOKUP(C2285,Master_Mappings!$A$4:$E$85,3,FALSE()),"UNMAPPED"))</f>
        <v/>
      </c>
      <c r="P2285" s="1" t="str">
        <f aca="false">IF($C2285="","",$C2285&amp;"|"&amp;$E2285&amp;"|"&amp;$M2285&amp;"|"&amp;TEXT($G2285,"yyyy-mm-dd")&amp;"|"&amp;LEFT($J2285,40))</f>
        <v/>
      </c>
      <c r="Q2285" s="11" t="str">
        <f aca="false">IF(P2285="","",IF(COUNTIF($P$2:$P$3000,P2285)&gt;1,"DUPLICATE","OK"))</f>
        <v/>
      </c>
      <c r="R2285" s="0" t="str">
        <f aca="false">IF($C2285="","",IFERROR(VLOOKUP(--$C2285,MM_Income!$Z$5:$AC$204,3,FALSE()),""))</f>
        <v/>
      </c>
    </row>
    <row r="2286" customFormat="false" ht="13.5" hidden="false" customHeight="false" outlineLevel="0" collapsed="false">
      <c r="N2286" s="1" t="str">
        <f aca="false">IF(C2286="","",IFERROR(VLOOKUP(C2286,Master_Mappings!$A$4:$E$85,3,FALSE()),"UNMAPPED"))</f>
        <v/>
      </c>
      <c r="P2286" s="1" t="str">
        <f aca="false">IF($C2286="","",$C2286&amp;"|"&amp;$E2286&amp;"|"&amp;$M2286&amp;"|"&amp;TEXT($G2286,"yyyy-mm-dd")&amp;"|"&amp;LEFT($J2286,40))</f>
        <v/>
      </c>
      <c r="Q2286" s="11" t="str">
        <f aca="false">IF(P2286="","",IF(COUNTIF($P$2:$P$3000,P2286)&gt;1,"DUPLICATE","OK"))</f>
        <v/>
      </c>
      <c r="R2286" s="0" t="str">
        <f aca="false">IF($C2286="","",IFERROR(VLOOKUP(--$C2286,MM_Income!$Z$5:$AC$204,3,FALSE()),""))</f>
        <v/>
      </c>
    </row>
    <row r="2287" customFormat="false" ht="13.5" hidden="false" customHeight="false" outlineLevel="0" collapsed="false">
      <c r="N2287" s="1" t="str">
        <f aca="false">IF(C2287="","",IFERROR(VLOOKUP(C2287,Master_Mappings!$A$4:$E$85,3,FALSE()),"UNMAPPED"))</f>
        <v/>
      </c>
      <c r="P2287" s="1" t="str">
        <f aca="false">IF($C2287="","",$C2287&amp;"|"&amp;$E2287&amp;"|"&amp;$M2287&amp;"|"&amp;TEXT($G2287,"yyyy-mm-dd")&amp;"|"&amp;LEFT($J2287,40))</f>
        <v/>
      </c>
      <c r="Q2287" s="11" t="str">
        <f aca="false">IF(P2287="","",IF(COUNTIF($P$2:$P$3000,P2287)&gt;1,"DUPLICATE","OK"))</f>
        <v/>
      </c>
      <c r="R2287" s="0" t="str">
        <f aca="false">IF($C2287="","",IFERROR(VLOOKUP(--$C2287,MM_Income!$Z$5:$AC$204,3,FALSE()),""))</f>
        <v/>
      </c>
    </row>
    <row r="2288" customFormat="false" ht="13.5" hidden="false" customHeight="false" outlineLevel="0" collapsed="false">
      <c r="N2288" s="1" t="str">
        <f aca="false">IF(C2288="","",IFERROR(VLOOKUP(C2288,Master_Mappings!$A$4:$E$85,3,FALSE()),"UNMAPPED"))</f>
        <v/>
      </c>
      <c r="P2288" s="1" t="str">
        <f aca="false">IF($C2288="","",$C2288&amp;"|"&amp;$E2288&amp;"|"&amp;$M2288&amp;"|"&amp;TEXT($G2288,"yyyy-mm-dd")&amp;"|"&amp;LEFT($J2288,40))</f>
        <v/>
      </c>
      <c r="Q2288" s="11" t="str">
        <f aca="false">IF(P2288="","",IF(COUNTIF($P$2:$P$3000,P2288)&gt;1,"DUPLICATE","OK"))</f>
        <v/>
      </c>
      <c r="R2288" s="0" t="str">
        <f aca="false">IF($C2288="","",IFERROR(VLOOKUP(--$C2288,MM_Income!$Z$5:$AC$204,3,FALSE()),""))</f>
        <v/>
      </c>
    </row>
    <row r="2289" customFormat="false" ht="13.5" hidden="false" customHeight="false" outlineLevel="0" collapsed="false">
      <c r="N2289" s="1" t="str">
        <f aca="false">IF(C2289="","",IFERROR(VLOOKUP(C2289,Master_Mappings!$A$4:$E$85,3,FALSE()),"UNMAPPED"))</f>
        <v/>
      </c>
      <c r="P2289" s="1" t="str">
        <f aca="false">IF($C2289="","",$C2289&amp;"|"&amp;$E2289&amp;"|"&amp;$M2289&amp;"|"&amp;TEXT($G2289,"yyyy-mm-dd")&amp;"|"&amp;LEFT($J2289,40))</f>
        <v/>
      </c>
      <c r="Q2289" s="11" t="str">
        <f aca="false">IF(P2289="","",IF(COUNTIF($P$2:$P$3000,P2289)&gt;1,"DUPLICATE","OK"))</f>
        <v/>
      </c>
      <c r="R2289" s="0" t="str">
        <f aca="false">IF($C2289="","",IFERROR(VLOOKUP(--$C2289,MM_Income!$Z$5:$AC$204,3,FALSE()),""))</f>
        <v/>
      </c>
    </row>
    <row r="2290" customFormat="false" ht="13.5" hidden="false" customHeight="false" outlineLevel="0" collapsed="false">
      <c r="N2290" s="1" t="str">
        <f aca="false">IF(C2290="","",IFERROR(VLOOKUP(C2290,Master_Mappings!$A$4:$E$85,3,FALSE()),"UNMAPPED"))</f>
        <v/>
      </c>
      <c r="P2290" s="1" t="str">
        <f aca="false">IF($C2290="","",$C2290&amp;"|"&amp;$E2290&amp;"|"&amp;$M2290&amp;"|"&amp;TEXT($G2290,"yyyy-mm-dd")&amp;"|"&amp;LEFT($J2290,40))</f>
        <v/>
      </c>
      <c r="Q2290" s="11" t="str">
        <f aca="false">IF(P2290="","",IF(COUNTIF($P$2:$P$3000,P2290)&gt;1,"DUPLICATE","OK"))</f>
        <v/>
      </c>
      <c r="R2290" s="0" t="str">
        <f aca="false">IF($C2290="","",IFERROR(VLOOKUP(--$C2290,MM_Income!$Z$5:$AC$204,3,FALSE()),""))</f>
        <v/>
      </c>
    </row>
    <row r="2291" customFormat="false" ht="13.5" hidden="false" customHeight="false" outlineLevel="0" collapsed="false">
      <c r="N2291" s="1" t="str">
        <f aca="false">IF(C2291="","",IFERROR(VLOOKUP(C2291,Master_Mappings!$A$4:$E$85,3,FALSE()),"UNMAPPED"))</f>
        <v/>
      </c>
      <c r="P2291" s="1" t="str">
        <f aca="false">IF($C2291="","",$C2291&amp;"|"&amp;$E2291&amp;"|"&amp;$M2291&amp;"|"&amp;TEXT($G2291,"yyyy-mm-dd")&amp;"|"&amp;LEFT($J2291,40))</f>
        <v/>
      </c>
      <c r="Q2291" s="11" t="str">
        <f aca="false">IF(P2291="","",IF(COUNTIF($P$2:$P$3000,P2291)&gt;1,"DUPLICATE","OK"))</f>
        <v/>
      </c>
      <c r="R2291" s="0" t="str">
        <f aca="false">IF($C2291="","",IFERROR(VLOOKUP(--$C2291,MM_Income!$Z$5:$AC$204,3,FALSE()),""))</f>
        <v/>
      </c>
    </row>
    <row r="2292" customFormat="false" ht="13.5" hidden="false" customHeight="false" outlineLevel="0" collapsed="false">
      <c r="N2292" s="1" t="str">
        <f aca="false">IF(C2292="","",IFERROR(VLOOKUP(C2292,Master_Mappings!$A$4:$E$85,3,FALSE()),"UNMAPPED"))</f>
        <v/>
      </c>
      <c r="P2292" s="1" t="str">
        <f aca="false">IF($C2292="","",$C2292&amp;"|"&amp;$E2292&amp;"|"&amp;$M2292&amp;"|"&amp;TEXT($G2292,"yyyy-mm-dd")&amp;"|"&amp;LEFT($J2292,40))</f>
        <v/>
      </c>
      <c r="Q2292" s="11" t="str">
        <f aca="false">IF(P2292="","",IF(COUNTIF($P$2:$P$3000,P2292)&gt;1,"DUPLICATE","OK"))</f>
        <v/>
      </c>
      <c r="R2292" s="0" t="str">
        <f aca="false">IF($C2292="","",IFERROR(VLOOKUP(--$C2292,MM_Income!$Z$5:$AC$204,3,FALSE()),""))</f>
        <v/>
      </c>
    </row>
    <row r="2293" customFormat="false" ht="13.5" hidden="false" customHeight="false" outlineLevel="0" collapsed="false">
      <c r="N2293" s="1" t="str">
        <f aca="false">IF(C2293="","",IFERROR(VLOOKUP(C2293,Master_Mappings!$A$4:$E$85,3,FALSE()),"UNMAPPED"))</f>
        <v/>
      </c>
      <c r="P2293" s="1" t="str">
        <f aca="false">IF($C2293="","",$C2293&amp;"|"&amp;$E2293&amp;"|"&amp;$M2293&amp;"|"&amp;TEXT($G2293,"yyyy-mm-dd")&amp;"|"&amp;LEFT($J2293,40))</f>
        <v/>
      </c>
      <c r="Q2293" s="11" t="str">
        <f aca="false">IF(P2293="","",IF(COUNTIF($P$2:$P$3000,P2293)&gt;1,"DUPLICATE","OK"))</f>
        <v/>
      </c>
      <c r="R2293" s="0" t="str">
        <f aca="false">IF($C2293="","",IFERROR(VLOOKUP(--$C2293,MM_Income!$Z$5:$AC$204,3,FALSE()),""))</f>
        <v/>
      </c>
    </row>
    <row r="2294" customFormat="false" ht="13.5" hidden="false" customHeight="false" outlineLevel="0" collapsed="false">
      <c r="N2294" s="1" t="str">
        <f aca="false">IF(C2294="","",IFERROR(VLOOKUP(C2294,Master_Mappings!$A$4:$E$85,3,FALSE()),"UNMAPPED"))</f>
        <v/>
      </c>
      <c r="P2294" s="1" t="str">
        <f aca="false">IF($C2294="","",$C2294&amp;"|"&amp;$E2294&amp;"|"&amp;$M2294&amp;"|"&amp;TEXT($G2294,"yyyy-mm-dd")&amp;"|"&amp;LEFT($J2294,40))</f>
        <v/>
      </c>
      <c r="Q2294" s="11" t="str">
        <f aca="false">IF(P2294="","",IF(COUNTIF($P$2:$P$3000,P2294)&gt;1,"DUPLICATE","OK"))</f>
        <v/>
      </c>
      <c r="R2294" s="0" t="str">
        <f aca="false">IF($C2294="","",IFERROR(VLOOKUP(--$C2294,MM_Income!$Z$5:$AC$204,3,FALSE()),""))</f>
        <v/>
      </c>
    </row>
    <row r="2295" customFormat="false" ht="13.5" hidden="false" customHeight="false" outlineLevel="0" collapsed="false">
      <c r="N2295" s="1" t="str">
        <f aca="false">IF(C2295="","",IFERROR(VLOOKUP(C2295,Master_Mappings!$A$4:$E$85,3,FALSE()),"UNMAPPED"))</f>
        <v/>
      </c>
      <c r="P2295" s="1" t="str">
        <f aca="false">IF($C2295="","",$C2295&amp;"|"&amp;$E2295&amp;"|"&amp;$M2295&amp;"|"&amp;TEXT($G2295,"yyyy-mm-dd")&amp;"|"&amp;LEFT($J2295,40))</f>
        <v/>
      </c>
      <c r="Q2295" s="11" t="str">
        <f aca="false">IF(P2295="","",IF(COUNTIF($P$2:$P$3000,P2295)&gt;1,"DUPLICATE","OK"))</f>
        <v/>
      </c>
      <c r="R2295" s="0" t="str">
        <f aca="false">IF($C2295="","",IFERROR(VLOOKUP(--$C2295,MM_Income!$Z$5:$AC$204,3,FALSE()),""))</f>
        <v/>
      </c>
    </row>
    <row r="2296" customFormat="false" ht="13.5" hidden="false" customHeight="false" outlineLevel="0" collapsed="false">
      <c r="N2296" s="1" t="str">
        <f aca="false">IF(C2296="","",IFERROR(VLOOKUP(C2296,Master_Mappings!$A$4:$E$85,3,FALSE()),"UNMAPPED"))</f>
        <v/>
      </c>
      <c r="P2296" s="1" t="str">
        <f aca="false">IF($C2296="","",$C2296&amp;"|"&amp;$E2296&amp;"|"&amp;$M2296&amp;"|"&amp;TEXT($G2296,"yyyy-mm-dd")&amp;"|"&amp;LEFT($J2296,40))</f>
        <v/>
      </c>
      <c r="Q2296" s="11" t="str">
        <f aca="false">IF(P2296="","",IF(COUNTIF($P$2:$P$3000,P2296)&gt;1,"DUPLICATE","OK"))</f>
        <v/>
      </c>
      <c r="R2296" s="0" t="str">
        <f aca="false">IF($C2296="","",IFERROR(VLOOKUP(--$C2296,MM_Income!$Z$5:$AC$204,3,FALSE()),""))</f>
        <v/>
      </c>
    </row>
    <row r="2297" customFormat="false" ht="13.5" hidden="false" customHeight="false" outlineLevel="0" collapsed="false">
      <c r="N2297" s="1" t="str">
        <f aca="false">IF(C2297="","",IFERROR(VLOOKUP(C2297,Master_Mappings!$A$4:$E$85,3,FALSE()),"UNMAPPED"))</f>
        <v/>
      </c>
      <c r="P2297" s="1" t="str">
        <f aca="false">IF($C2297="","",$C2297&amp;"|"&amp;$E2297&amp;"|"&amp;$M2297&amp;"|"&amp;TEXT($G2297,"yyyy-mm-dd")&amp;"|"&amp;LEFT($J2297,40))</f>
        <v/>
      </c>
      <c r="Q2297" s="11" t="str">
        <f aca="false">IF(P2297="","",IF(COUNTIF($P$2:$P$3000,P2297)&gt;1,"DUPLICATE","OK"))</f>
        <v/>
      </c>
      <c r="R2297" s="0" t="str">
        <f aca="false">IF($C2297="","",IFERROR(VLOOKUP(--$C2297,MM_Income!$Z$5:$AC$204,3,FALSE()),""))</f>
        <v/>
      </c>
    </row>
    <row r="2298" customFormat="false" ht="13.5" hidden="false" customHeight="false" outlineLevel="0" collapsed="false">
      <c r="N2298" s="1" t="str">
        <f aca="false">IF(C2298="","",IFERROR(VLOOKUP(C2298,Master_Mappings!$A$4:$E$85,3,FALSE()),"UNMAPPED"))</f>
        <v/>
      </c>
      <c r="P2298" s="1" t="str">
        <f aca="false">IF($C2298="","",$C2298&amp;"|"&amp;$E2298&amp;"|"&amp;$M2298&amp;"|"&amp;TEXT($G2298,"yyyy-mm-dd")&amp;"|"&amp;LEFT($J2298,40))</f>
        <v/>
      </c>
      <c r="Q2298" s="11" t="str">
        <f aca="false">IF(P2298="","",IF(COUNTIF($P$2:$P$3000,P2298)&gt;1,"DUPLICATE","OK"))</f>
        <v/>
      </c>
      <c r="R2298" s="0" t="str">
        <f aca="false">IF($C2298="","",IFERROR(VLOOKUP(--$C2298,MM_Income!$Z$5:$AC$204,3,FALSE()),""))</f>
        <v/>
      </c>
    </row>
    <row r="2299" customFormat="false" ht="13.5" hidden="false" customHeight="false" outlineLevel="0" collapsed="false">
      <c r="N2299" s="1" t="str">
        <f aca="false">IF(C2299="","",IFERROR(VLOOKUP(C2299,Master_Mappings!$A$4:$E$85,3,FALSE()),"UNMAPPED"))</f>
        <v/>
      </c>
      <c r="P2299" s="1" t="str">
        <f aca="false">IF($C2299="","",$C2299&amp;"|"&amp;$E2299&amp;"|"&amp;$M2299&amp;"|"&amp;TEXT($G2299,"yyyy-mm-dd")&amp;"|"&amp;LEFT($J2299,40))</f>
        <v/>
      </c>
      <c r="Q2299" s="11" t="str">
        <f aca="false">IF(P2299="","",IF(COUNTIF($P$2:$P$3000,P2299)&gt;1,"DUPLICATE","OK"))</f>
        <v/>
      </c>
      <c r="R2299" s="0" t="str">
        <f aca="false">IF($C2299="","",IFERROR(VLOOKUP(--$C2299,MM_Income!$Z$5:$AC$204,3,FALSE()),""))</f>
        <v/>
      </c>
    </row>
    <row r="2300" customFormat="false" ht="13.5" hidden="false" customHeight="false" outlineLevel="0" collapsed="false">
      <c r="N2300" s="1" t="str">
        <f aca="false">IF(C2300="","",IFERROR(VLOOKUP(C2300,Master_Mappings!$A$4:$E$85,3,FALSE()),"UNMAPPED"))</f>
        <v/>
      </c>
      <c r="P2300" s="1" t="str">
        <f aca="false">IF($C2300="","",$C2300&amp;"|"&amp;$E2300&amp;"|"&amp;$M2300&amp;"|"&amp;TEXT($G2300,"yyyy-mm-dd")&amp;"|"&amp;LEFT($J2300,40))</f>
        <v/>
      </c>
      <c r="Q2300" s="11" t="str">
        <f aca="false">IF(P2300="","",IF(COUNTIF($P$2:$P$3000,P2300)&gt;1,"DUPLICATE","OK"))</f>
        <v/>
      </c>
      <c r="R2300" s="0" t="str">
        <f aca="false">IF($C2300="","",IFERROR(VLOOKUP(--$C2300,MM_Income!$Z$5:$AC$204,3,FALSE()),""))</f>
        <v/>
      </c>
    </row>
    <row r="2301" customFormat="false" ht="13.5" hidden="false" customHeight="false" outlineLevel="0" collapsed="false">
      <c r="N2301" s="1" t="str">
        <f aca="false">IF(C2301="","",IFERROR(VLOOKUP(C2301,Master_Mappings!$A$4:$E$85,3,FALSE()),"UNMAPPED"))</f>
        <v/>
      </c>
      <c r="P2301" s="1" t="str">
        <f aca="false">IF($C2301="","",$C2301&amp;"|"&amp;$E2301&amp;"|"&amp;$M2301&amp;"|"&amp;TEXT($G2301,"yyyy-mm-dd")&amp;"|"&amp;LEFT($J2301,40))</f>
        <v/>
      </c>
      <c r="Q2301" s="11" t="str">
        <f aca="false">IF(P2301="","",IF(COUNTIF($P$2:$P$3000,P2301)&gt;1,"DUPLICATE","OK"))</f>
        <v/>
      </c>
      <c r="R2301" s="0" t="str">
        <f aca="false">IF($C2301="","",IFERROR(VLOOKUP(--$C2301,MM_Income!$Z$5:$AC$204,3,FALSE()),""))</f>
        <v/>
      </c>
    </row>
    <row r="2302" customFormat="false" ht="13.5" hidden="false" customHeight="false" outlineLevel="0" collapsed="false">
      <c r="N2302" s="1" t="str">
        <f aca="false">IF(C2302="","",IFERROR(VLOOKUP(C2302,Master_Mappings!$A$4:$E$85,3,FALSE()),"UNMAPPED"))</f>
        <v/>
      </c>
      <c r="P2302" s="1" t="str">
        <f aca="false">IF($C2302="","",$C2302&amp;"|"&amp;$E2302&amp;"|"&amp;$M2302&amp;"|"&amp;TEXT($G2302,"yyyy-mm-dd")&amp;"|"&amp;LEFT($J2302,40))</f>
        <v/>
      </c>
      <c r="Q2302" s="11" t="str">
        <f aca="false">IF(P2302="","",IF(COUNTIF($P$2:$P$3000,P2302)&gt;1,"DUPLICATE","OK"))</f>
        <v/>
      </c>
      <c r="R2302" s="0" t="str">
        <f aca="false">IF($C2302="","",IFERROR(VLOOKUP(--$C2302,MM_Income!$Z$5:$AC$204,3,FALSE()),""))</f>
        <v/>
      </c>
    </row>
    <row r="2303" customFormat="false" ht="13.5" hidden="false" customHeight="false" outlineLevel="0" collapsed="false">
      <c r="N2303" s="1" t="str">
        <f aca="false">IF(C2303="","",IFERROR(VLOOKUP(C2303,Master_Mappings!$A$4:$E$85,3,FALSE()),"UNMAPPED"))</f>
        <v/>
      </c>
      <c r="P2303" s="1" t="str">
        <f aca="false">IF($C2303="","",$C2303&amp;"|"&amp;$E2303&amp;"|"&amp;$M2303&amp;"|"&amp;TEXT($G2303,"yyyy-mm-dd")&amp;"|"&amp;LEFT($J2303,40))</f>
        <v/>
      </c>
      <c r="Q2303" s="11" t="str">
        <f aca="false">IF(P2303="","",IF(COUNTIF($P$2:$P$3000,P2303)&gt;1,"DUPLICATE","OK"))</f>
        <v/>
      </c>
      <c r="R2303" s="0" t="str">
        <f aca="false">IF($C2303="","",IFERROR(VLOOKUP(--$C2303,MM_Income!$Z$5:$AC$204,3,FALSE()),""))</f>
        <v/>
      </c>
    </row>
    <row r="2304" customFormat="false" ht="13.5" hidden="false" customHeight="false" outlineLevel="0" collapsed="false">
      <c r="N2304" s="1" t="str">
        <f aca="false">IF(C2304="","",IFERROR(VLOOKUP(C2304,Master_Mappings!$A$4:$E$85,3,FALSE()),"UNMAPPED"))</f>
        <v/>
      </c>
      <c r="P2304" s="1" t="str">
        <f aca="false">IF($C2304="","",$C2304&amp;"|"&amp;$E2304&amp;"|"&amp;$M2304&amp;"|"&amp;TEXT($G2304,"yyyy-mm-dd")&amp;"|"&amp;LEFT($J2304,40))</f>
        <v/>
      </c>
      <c r="Q2304" s="11" t="str">
        <f aca="false">IF(P2304="","",IF(COUNTIF($P$2:$P$3000,P2304)&gt;1,"DUPLICATE","OK"))</f>
        <v/>
      </c>
      <c r="R2304" s="0" t="str">
        <f aca="false">IF($C2304="","",IFERROR(VLOOKUP(--$C2304,MM_Income!$Z$5:$AC$204,3,FALSE()),""))</f>
        <v/>
      </c>
    </row>
    <row r="2305" customFormat="false" ht="13.5" hidden="false" customHeight="false" outlineLevel="0" collapsed="false">
      <c r="N2305" s="1" t="str">
        <f aca="false">IF(C2305="","",IFERROR(VLOOKUP(C2305,Master_Mappings!$A$4:$E$85,3,FALSE()),"UNMAPPED"))</f>
        <v/>
      </c>
      <c r="P2305" s="1" t="str">
        <f aca="false">IF($C2305="","",$C2305&amp;"|"&amp;$E2305&amp;"|"&amp;$M2305&amp;"|"&amp;TEXT($G2305,"yyyy-mm-dd")&amp;"|"&amp;LEFT($J2305,40))</f>
        <v/>
      </c>
      <c r="Q2305" s="11" t="str">
        <f aca="false">IF(P2305="","",IF(COUNTIF($P$2:$P$3000,P2305)&gt;1,"DUPLICATE","OK"))</f>
        <v/>
      </c>
      <c r="R2305" s="0" t="str">
        <f aca="false">IF($C2305="","",IFERROR(VLOOKUP(--$C2305,MM_Income!$Z$5:$AC$204,3,FALSE()),""))</f>
        <v/>
      </c>
    </row>
    <row r="2306" customFormat="false" ht="13.5" hidden="false" customHeight="false" outlineLevel="0" collapsed="false">
      <c r="N2306" s="1" t="str">
        <f aca="false">IF(C2306="","",IFERROR(VLOOKUP(C2306,Master_Mappings!$A$4:$E$85,3,FALSE()),"UNMAPPED"))</f>
        <v/>
      </c>
      <c r="P2306" s="1" t="str">
        <f aca="false">IF($C2306="","",$C2306&amp;"|"&amp;$E2306&amp;"|"&amp;$M2306&amp;"|"&amp;TEXT($G2306,"yyyy-mm-dd")&amp;"|"&amp;LEFT($J2306,40))</f>
        <v/>
      </c>
      <c r="Q2306" s="11" t="str">
        <f aca="false">IF(P2306="","",IF(COUNTIF($P$2:$P$3000,P2306)&gt;1,"DUPLICATE","OK"))</f>
        <v/>
      </c>
      <c r="R2306" s="0" t="str">
        <f aca="false">IF($C2306="","",IFERROR(VLOOKUP(--$C2306,MM_Income!$Z$5:$AC$204,3,FALSE()),""))</f>
        <v/>
      </c>
    </row>
    <row r="2307" customFormat="false" ht="13.5" hidden="false" customHeight="false" outlineLevel="0" collapsed="false">
      <c r="N2307" s="1" t="str">
        <f aca="false">IF(C2307="","",IFERROR(VLOOKUP(C2307,Master_Mappings!$A$4:$E$85,3,FALSE()),"UNMAPPED"))</f>
        <v/>
      </c>
      <c r="P2307" s="1" t="str">
        <f aca="false">IF($C2307="","",$C2307&amp;"|"&amp;$E2307&amp;"|"&amp;$M2307&amp;"|"&amp;TEXT($G2307,"yyyy-mm-dd")&amp;"|"&amp;LEFT($J2307,40))</f>
        <v/>
      </c>
      <c r="Q2307" s="11" t="str">
        <f aca="false">IF(P2307="","",IF(COUNTIF($P$2:$P$3000,P2307)&gt;1,"DUPLICATE","OK"))</f>
        <v/>
      </c>
      <c r="R2307" s="0" t="str">
        <f aca="false">IF($C2307="","",IFERROR(VLOOKUP(--$C2307,MM_Income!$Z$5:$AC$204,3,FALSE()),""))</f>
        <v/>
      </c>
    </row>
    <row r="2308" customFormat="false" ht="13.5" hidden="false" customHeight="false" outlineLevel="0" collapsed="false">
      <c r="N2308" s="1" t="str">
        <f aca="false">IF(C2308="","",IFERROR(VLOOKUP(C2308,Master_Mappings!$A$4:$E$85,3,FALSE()),"UNMAPPED"))</f>
        <v/>
      </c>
      <c r="P2308" s="1" t="str">
        <f aca="false">IF($C2308="","",$C2308&amp;"|"&amp;$E2308&amp;"|"&amp;$M2308&amp;"|"&amp;TEXT($G2308,"yyyy-mm-dd")&amp;"|"&amp;LEFT($J2308,40))</f>
        <v/>
      </c>
      <c r="Q2308" s="11" t="str">
        <f aca="false">IF(P2308="","",IF(COUNTIF($P$2:$P$3000,P2308)&gt;1,"DUPLICATE","OK"))</f>
        <v/>
      </c>
      <c r="R2308" s="0" t="str">
        <f aca="false">IF($C2308="","",IFERROR(VLOOKUP(--$C2308,MM_Income!$Z$5:$AC$204,3,FALSE()),""))</f>
        <v/>
      </c>
    </row>
    <row r="2309" customFormat="false" ht="13.5" hidden="false" customHeight="false" outlineLevel="0" collapsed="false">
      <c r="N2309" s="1" t="str">
        <f aca="false">IF(C2309="","",IFERROR(VLOOKUP(C2309,Master_Mappings!$A$4:$E$85,3,FALSE()),"UNMAPPED"))</f>
        <v/>
      </c>
      <c r="P2309" s="1" t="str">
        <f aca="false">IF($C2309="","",$C2309&amp;"|"&amp;$E2309&amp;"|"&amp;$M2309&amp;"|"&amp;TEXT($G2309,"yyyy-mm-dd")&amp;"|"&amp;LEFT($J2309,40))</f>
        <v/>
      </c>
      <c r="Q2309" s="11" t="str">
        <f aca="false">IF(P2309="","",IF(COUNTIF($P$2:$P$3000,P2309)&gt;1,"DUPLICATE","OK"))</f>
        <v/>
      </c>
      <c r="R2309" s="0" t="str">
        <f aca="false">IF($C2309="","",IFERROR(VLOOKUP(--$C2309,MM_Income!$Z$5:$AC$204,3,FALSE()),""))</f>
        <v/>
      </c>
    </row>
    <row r="2310" customFormat="false" ht="13.5" hidden="false" customHeight="false" outlineLevel="0" collapsed="false">
      <c r="N2310" s="1" t="str">
        <f aca="false">IF(C2310="","",IFERROR(VLOOKUP(C2310,Master_Mappings!$A$4:$E$85,3,FALSE()),"UNMAPPED"))</f>
        <v/>
      </c>
      <c r="P2310" s="1" t="str">
        <f aca="false">IF($C2310="","",$C2310&amp;"|"&amp;$E2310&amp;"|"&amp;$M2310&amp;"|"&amp;TEXT($G2310,"yyyy-mm-dd")&amp;"|"&amp;LEFT($J2310,40))</f>
        <v/>
      </c>
      <c r="Q2310" s="11" t="str">
        <f aca="false">IF(P2310="","",IF(COUNTIF($P$2:$P$3000,P2310)&gt;1,"DUPLICATE","OK"))</f>
        <v/>
      </c>
      <c r="R2310" s="0" t="str">
        <f aca="false">IF($C2310="","",IFERROR(VLOOKUP(--$C2310,MM_Income!$Z$5:$AC$204,3,FALSE()),""))</f>
        <v/>
      </c>
    </row>
    <row r="2311" customFormat="false" ht="13.5" hidden="false" customHeight="false" outlineLevel="0" collapsed="false">
      <c r="N2311" s="1" t="str">
        <f aca="false">IF(C2311="","",IFERROR(VLOOKUP(C2311,Master_Mappings!$A$4:$E$85,3,FALSE()),"UNMAPPED"))</f>
        <v/>
      </c>
      <c r="P2311" s="1" t="str">
        <f aca="false">IF($C2311="","",$C2311&amp;"|"&amp;$E2311&amp;"|"&amp;$M2311&amp;"|"&amp;TEXT($G2311,"yyyy-mm-dd")&amp;"|"&amp;LEFT($J2311,40))</f>
        <v/>
      </c>
      <c r="Q2311" s="11" t="str">
        <f aca="false">IF(P2311="","",IF(COUNTIF($P$2:$P$3000,P2311)&gt;1,"DUPLICATE","OK"))</f>
        <v/>
      </c>
      <c r="R2311" s="0" t="str">
        <f aca="false">IF($C2311="","",IFERROR(VLOOKUP(--$C2311,MM_Income!$Z$5:$AC$204,3,FALSE()),""))</f>
        <v/>
      </c>
    </row>
    <row r="2312" customFormat="false" ht="13.5" hidden="false" customHeight="false" outlineLevel="0" collapsed="false">
      <c r="N2312" s="1" t="str">
        <f aca="false">IF(C2312="","",IFERROR(VLOOKUP(C2312,Master_Mappings!$A$4:$E$85,3,FALSE()),"UNMAPPED"))</f>
        <v/>
      </c>
      <c r="P2312" s="1" t="str">
        <f aca="false">IF($C2312="","",$C2312&amp;"|"&amp;$E2312&amp;"|"&amp;$M2312&amp;"|"&amp;TEXT($G2312,"yyyy-mm-dd")&amp;"|"&amp;LEFT($J2312,40))</f>
        <v/>
      </c>
      <c r="Q2312" s="11" t="str">
        <f aca="false">IF(P2312="","",IF(COUNTIF($P$2:$P$3000,P2312)&gt;1,"DUPLICATE","OK"))</f>
        <v/>
      </c>
      <c r="R2312" s="0" t="str">
        <f aca="false">IF($C2312="","",IFERROR(VLOOKUP(--$C2312,MM_Income!$Z$5:$AC$204,3,FALSE()),""))</f>
        <v/>
      </c>
    </row>
    <row r="2313" customFormat="false" ht="13.5" hidden="false" customHeight="false" outlineLevel="0" collapsed="false">
      <c r="N2313" s="1" t="str">
        <f aca="false">IF(C2313="","",IFERROR(VLOOKUP(C2313,Master_Mappings!$A$4:$E$85,3,FALSE()),"UNMAPPED"))</f>
        <v/>
      </c>
      <c r="P2313" s="1" t="str">
        <f aca="false">IF($C2313="","",$C2313&amp;"|"&amp;$E2313&amp;"|"&amp;$M2313&amp;"|"&amp;TEXT($G2313,"yyyy-mm-dd")&amp;"|"&amp;LEFT($J2313,40))</f>
        <v/>
      </c>
      <c r="Q2313" s="11" t="str">
        <f aca="false">IF(P2313="","",IF(COUNTIF($P$2:$P$3000,P2313)&gt;1,"DUPLICATE","OK"))</f>
        <v/>
      </c>
      <c r="R2313" s="0" t="str">
        <f aca="false">IF($C2313="","",IFERROR(VLOOKUP(--$C2313,MM_Income!$Z$5:$AC$204,3,FALSE()),""))</f>
        <v/>
      </c>
    </row>
    <row r="2314" customFormat="false" ht="13.5" hidden="false" customHeight="false" outlineLevel="0" collapsed="false">
      <c r="N2314" s="1" t="str">
        <f aca="false">IF(C2314="","",IFERROR(VLOOKUP(C2314,Master_Mappings!$A$4:$E$85,3,FALSE()),"UNMAPPED"))</f>
        <v/>
      </c>
      <c r="P2314" s="1" t="str">
        <f aca="false">IF($C2314="","",$C2314&amp;"|"&amp;$E2314&amp;"|"&amp;$M2314&amp;"|"&amp;TEXT($G2314,"yyyy-mm-dd")&amp;"|"&amp;LEFT($J2314,40))</f>
        <v/>
      </c>
      <c r="Q2314" s="11" t="str">
        <f aca="false">IF(P2314="","",IF(COUNTIF($P$2:$P$3000,P2314)&gt;1,"DUPLICATE","OK"))</f>
        <v/>
      </c>
      <c r="R2314" s="0" t="str">
        <f aca="false">IF($C2314="","",IFERROR(VLOOKUP(--$C2314,MM_Income!$Z$5:$AC$204,3,FALSE()),""))</f>
        <v/>
      </c>
    </row>
    <row r="2315" customFormat="false" ht="13.5" hidden="false" customHeight="false" outlineLevel="0" collapsed="false">
      <c r="N2315" s="1" t="str">
        <f aca="false">IF(C2315="","",IFERROR(VLOOKUP(C2315,Master_Mappings!$A$4:$E$85,3,FALSE()),"UNMAPPED"))</f>
        <v/>
      </c>
      <c r="P2315" s="1" t="str">
        <f aca="false">IF($C2315="","",$C2315&amp;"|"&amp;$E2315&amp;"|"&amp;$M2315&amp;"|"&amp;TEXT($G2315,"yyyy-mm-dd")&amp;"|"&amp;LEFT($J2315,40))</f>
        <v/>
      </c>
      <c r="Q2315" s="11" t="str">
        <f aca="false">IF(P2315="","",IF(COUNTIF($P$2:$P$3000,P2315)&gt;1,"DUPLICATE","OK"))</f>
        <v/>
      </c>
      <c r="R2315" s="0" t="str">
        <f aca="false">IF($C2315="","",IFERROR(VLOOKUP(--$C2315,MM_Income!$Z$5:$AC$204,3,FALSE()),""))</f>
        <v/>
      </c>
    </row>
    <row r="2316" customFormat="false" ht="13.5" hidden="false" customHeight="false" outlineLevel="0" collapsed="false">
      <c r="N2316" s="1" t="str">
        <f aca="false">IF(C2316="","",IFERROR(VLOOKUP(C2316,Master_Mappings!$A$4:$E$85,3,FALSE()),"UNMAPPED"))</f>
        <v/>
      </c>
      <c r="P2316" s="1" t="str">
        <f aca="false">IF($C2316="","",$C2316&amp;"|"&amp;$E2316&amp;"|"&amp;$M2316&amp;"|"&amp;TEXT($G2316,"yyyy-mm-dd")&amp;"|"&amp;LEFT($J2316,40))</f>
        <v/>
      </c>
      <c r="Q2316" s="11" t="str">
        <f aca="false">IF(P2316="","",IF(COUNTIF($P$2:$P$3000,P2316)&gt;1,"DUPLICATE","OK"))</f>
        <v/>
      </c>
      <c r="R2316" s="0" t="str">
        <f aca="false">IF($C2316="","",IFERROR(VLOOKUP(--$C2316,MM_Income!$Z$5:$AC$204,3,FALSE()),""))</f>
        <v/>
      </c>
    </row>
    <row r="2317" customFormat="false" ht="13.5" hidden="false" customHeight="false" outlineLevel="0" collapsed="false">
      <c r="N2317" s="1" t="str">
        <f aca="false">IF(C2317="","",IFERROR(VLOOKUP(C2317,Master_Mappings!$A$4:$E$85,3,FALSE()),"UNMAPPED"))</f>
        <v/>
      </c>
      <c r="P2317" s="1" t="str">
        <f aca="false">IF($C2317="","",$C2317&amp;"|"&amp;$E2317&amp;"|"&amp;$M2317&amp;"|"&amp;TEXT($G2317,"yyyy-mm-dd")&amp;"|"&amp;LEFT($J2317,40))</f>
        <v/>
      </c>
      <c r="Q2317" s="11" t="str">
        <f aca="false">IF(P2317="","",IF(COUNTIF($P$2:$P$3000,P2317)&gt;1,"DUPLICATE","OK"))</f>
        <v/>
      </c>
      <c r="R2317" s="0" t="str">
        <f aca="false">IF($C2317="","",IFERROR(VLOOKUP(--$C2317,MM_Income!$Z$5:$AC$204,3,FALSE()),""))</f>
        <v/>
      </c>
    </row>
    <row r="2318" customFormat="false" ht="13.5" hidden="false" customHeight="false" outlineLevel="0" collapsed="false">
      <c r="N2318" s="1" t="str">
        <f aca="false">IF(C2318="","",IFERROR(VLOOKUP(C2318,Master_Mappings!$A$4:$E$85,3,FALSE()),"UNMAPPED"))</f>
        <v/>
      </c>
      <c r="P2318" s="1" t="str">
        <f aca="false">IF($C2318="","",$C2318&amp;"|"&amp;$E2318&amp;"|"&amp;$M2318&amp;"|"&amp;TEXT($G2318,"yyyy-mm-dd")&amp;"|"&amp;LEFT($J2318,40))</f>
        <v/>
      </c>
      <c r="Q2318" s="11" t="str">
        <f aca="false">IF(P2318="","",IF(COUNTIF($P$2:$P$3000,P2318)&gt;1,"DUPLICATE","OK"))</f>
        <v/>
      </c>
      <c r="R2318" s="0" t="str">
        <f aca="false">IF($C2318="","",IFERROR(VLOOKUP(--$C2318,MM_Income!$Z$5:$AC$204,3,FALSE()),""))</f>
        <v/>
      </c>
    </row>
    <row r="2319" customFormat="false" ht="13.5" hidden="false" customHeight="false" outlineLevel="0" collapsed="false">
      <c r="N2319" s="1" t="str">
        <f aca="false">IF(C2319="","",IFERROR(VLOOKUP(C2319,Master_Mappings!$A$4:$E$85,3,FALSE()),"UNMAPPED"))</f>
        <v/>
      </c>
      <c r="P2319" s="1" t="str">
        <f aca="false">IF($C2319="","",$C2319&amp;"|"&amp;$E2319&amp;"|"&amp;$M2319&amp;"|"&amp;TEXT($G2319,"yyyy-mm-dd")&amp;"|"&amp;LEFT($J2319,40))</f>
        <v/>
      </c>
      <c r="Q2319" s="11" t="str">
        <f aca="false">IF(P2319="","",IF(COUNTIF($P$2:$P$3000,P2319)&gt;1,"DUPLICATE","OK"))</f>
        <v/>
      </c>
      <c r="R2319" s="0" t="str">
        <f aca="false">IF($C2319="","",IFERROR(VLOOKUP(--$C2319,MM_Income!$Z$5:$AC$204,3,FALSE()),""))</f>
        <v/>
      </c>
    </row>
    <row r="2320" customFormat="false" ht="13.5" hidden="false" customHeight="false" outlineLevel="0" collapsed="false">
      <c r="N2320" s="1" t="str">
        <f aca="false">IF(C2320="","",IFERROR(VLOOKUP(C2320,Master_Mappings!$A$4:$E$85,3,FALSE()),"UNMAPPED"))</f>
        <v/>
      </c>
      <c r="P2320" s="1" t="str">
        <f aca="false">IF($C2320="","",$C2320&amp;"|"&amp;$E2320&amp;"|"&amp;$M2320&amp;"|"&amp;TEXT($G2320,"yyyy-mm-dd")&amp;"|"&amp;LEFT($J2320,40))</f>
        <v/>
      </c>
      <c r="Q2320" s="11" t="str">
        <f aca="false">IF(P2320="","",IF(COUNTIF($P$2:$P$3000,P2320)&gt;1,"DUPLICATE","OK"))</f>
        <v/>
      </c>
      <c r="R2320" s="0" t="str">
        <f aca="false">IF($C2320="","",IFERROR(VLOOKUP(--$C2320,MM_Income!$Z$5:$AC$204,3,FALSE()),""))</f>
        <v/>
      </c>
    </row>
    <row r="2321" customFormat="false" ht="13.5" hidden="false" customHeight="false" outlineLevel="0" collapsed="false">
      <c r="N2321" s="1" t="str">
        <f aca="false">IF(C2321="","",IFERROR(VLOOKUP(C2321,Master_Mappings!$A$4:$E$85,3,FALSE()),"UNMAPPED"))</f>
        <v/>
      </c>
      <c r="P2321" s="1" t="str">
        <f aca="false">IF($C2321="","",$C2321&amp;"|"&amp;$E2321&amp;"|"&amp;$M2321&amp;"|"&amp;TEXT($G2321,"yyyy-mm-dd")&amp;"|"&amp;LEFT($J2321,40))</f>
        <v/>
      </c>
      <c r="Q2321" s="11" t="str">
        <f aca="false">IF(P2321="","",IF(COUNTIF($P$2:$P$3000,P2321)&gt;1,"DUPLICATE","OK"))</f>
        <v/>
      </c>
      <c r="R2321" s="0" t="str">
        <f aca="false">IF($C2321="","",IFERROR(VLOOKUP(--$C2321,MM_Income!$Z$5:$AC$204,3,FALSE()),""))</f>
        <v/>
      </c>
    </row>
    <row r="2322" customFormat="false" ht="13.5" hidden="false" customHeight="false" outlineLevel="0" collapsed="false">
      <c r="N2322" s="1" t="str">
        <f aca="false">IF(C2322="","",IFERROR(VLOOKUP(C2322,Master_Mappings!$A$4:$E$85,3,FALSE()),"UNMAPPED"))</f>
        <v/>
      </c>
      <c r="P2322" s="1" t="str">
        <f aca="false">IF($C2322="","",$C2322&amp;"|"&amp;$E2322&amp;"|"&amp;$M2322&amp;"|"&amp;TEXT($G2322,"yyyy-mm-dd")&amp;"|"&amp;LEFT($J2322,40))</f>
        <v/>
      </c>
      <c r="Q2322" s="11" t="str">
        <f aca="false">IF(P2322="","",IF(COUNTIF($P$2:$P$3000,P2322)&gt;1,"DUPLICATE","OK"))</f>
        <v/>
      </c>
      <c r="R2322" s="0" t="str">
        <f aca="false">IF($C2322="","",IFERROR(VLOOKUP(--$C2322,MM_Income!$Z$5:$AC$204,3,FALSE()),""))</f>
        <v/>
      </c>
    </row>
    <row r="2323" customFormat="false" ht="13.5" hidden="false" customHeight="false" outlineLevel="0" collapsed="false">
      <c r="N2323" s="1" t="str">
        <f aca="false">IF(C2323="","",IFERROR(VLOOKUP(C2323,Master_Mappings!$A$4:$E$85,3,FALSE()),"UNMAPPED"))</f>
        <v/>
      </c>
      <c r="P2323" s="1" t="str">
        <f aca="false">IF($C2323="","",$C2323&amp;"|"&amp;$E2323&amp;"|"&amp;$M2323&amp;"|"&amp;TEXT($G2323,"yyyy-mm-dd")&amp;"|"&amp;LEFT($J2323,40))</f>
        <v/>
      </c>
      <c r="Q2323" s="11" t="str">
        <f aca="false">IF(P2323="","",IF(COUNTIF($P$2:$P$3000,P2323)&gt;1,"DUPLICATE","OK"))</f>
        <v/>
      </c>
      <c r="R2323" s="0" t="str">
        <f aca="false">IF($C2323="","",IFERROR(VLOOKUP(--$C2323,MM_Income!$Z$5:$AC$204,3,FALSE()),""))</f>
        <v/>
      </c>
    </row>
    <row r="2324" customFormat="false" ht="13.5" hidden="false" customHeight="false" outlineLevel="0" collapsed="false">
      <c r="N2324" s="1" t="str">
        <f aca="false">IF(C2324="","",IFERROR(VLOOKUP(C2324,Master_Mappings!$A$4:$E$85,3,FALSE()),"UNMAPPED"))</f>
        <v/>
      </c>
      <c r="P2324" s="1" t="str">
        <f aca="false">IF($C2324="","",$C2324&amp;"|"&amp;$E2324&amp;"|"&amp;$M2324&amp;"|"&amp;TEXT($G2324,"yyyy-mm-dd")&amp;"|"&amp;LEFT($J2324,40))</f>
        <v/>
      </c>
      <c r="Q2324" s="11" t="str">
        <f aca="false">IF(P2324="","",IF(COUNTIF($P$2:$P$3000,P2324)&gt;1,"DUPLICATE","OK"))</f>
        <v/>
      </c>
      <c r="R2324" s="0" t="str">
        <f aca="false">IF($C2324="","",IFERROR(VLOOKUP(--$C2324,MM_Income!$Z$5:$AC$204,3,FALSE()),""))</f>
        <v/>
      </c>
    </row>
    <row r="2325" customFormat="false" ht="13.5" hidden="false" customHeight="false" outlineLevel="0" collapsed="false">
      <c r="N2325" s="1" t="str">
        <f aca="false">IF(C2325="","",IFERROR(VLOOKUP(C2325,Master_Mappings!$A$4:$E$85,3,FALSE()),"UNMAPPED"))</f>
        <v/>
      </c>
      <c r="P2325" s="1" t="str">
        <f aca="false">IF($C2325="","",$C2325&amp;"|"&amp;$E2325&amp;"|"&amp;$M2325&amp;"|"&amp;TEXT($G2325,"yyyy-mm-dd")&amp;"|"&amp;LEFT($J2325,40))</f>
        <v/>
      </c>
      <c r="Q2325" s="11" t="str">
        <f aca="false">IF(P2325="","",IF(COUNTIF($P$2:$P$3000,P2325)&gt;1,"DUPLICATE","OK"))</f>
        <v/>
      </c>
      <c r="R2325" s="0" t="str">
        <f aca="false">IF($C2325="","",IFERROR(VLOOKUP(--$C2325,MM_Income!$Z$5:$AC$204,3,FALSE()),""))</f>
        <v/>
      </c>
    </row>
    <row r="2326" customFormat="false" ht="13.5" hidden="false" customHeight="false" outlineLevel="0" collapsed="false">
      <c r="N2326" s="1" t="str">
        <f aca="false">IF(C2326="","",IFERROR(VLOOKUP(C2326,Master_Mappings!$A$4:$E$85,3,FALSE()),"UNMAPPED"))</f>
        <v/>
      </c>
      <c r="P2326" s="1" t="str">
        <f aca="false">IF($C2326="","",$C2326&amp;"|"&amp;$E2326&amp;"|"&amp;$M2326&amp;"|"&amp;TEXT($G2326,"yyyy-mm-dd")&amp;"|"&amp;LEFT($J2326,40))</f>
        <v/>
      </c>
      <c r="Q2326" s="11" t="str">
        <f aca="false">IF(P2326="","",IF(COUNTIF($P$2:$P$3000,P2326)&gt;1,"DUPLICATE","OK"))</f>
        <v/>
      </c>
      <c r="R2326" s="0" t="str">
        <f aca="false">IF($C2326="","",IFERROR(VLOOKUP(--$C2326,MM_Income!$Z$5:$AC$204,3,FALSE()),""))</f>
        <v/>
      </c>
    </row>
    <row r="2327" customFormat="false" ht="13.5" hidden="false" customHeight="false" outlineLevel="0" collapsed="false">
      <c r="N2327" s="1" t="str">
        <f aca="false">IF(C2327="","",IFERROR(VLOOKUP(C2327,Master_Mappings!$A$4:$E$85,3,FALSE()),"UNMAPPED"))</f>
        <v/>
      </c>
      <c r="P2327" s="1" t="str">
        <f aca="false">IF($C2327="","",$C2327&amp;"|"&amp;$E2327&amp;"|"&amp;$M2327&amp;"|"&amp;TEXT($G2327,"yyyy-mm-dd")&amp;"|"&amp;LEFT($J2327,40))</f>
        <v/>
      </c>
      <c r="Q2327" s="11" t="str">
        <f aca="false">IF(P2327="","",IF(COUNTIF($P$2:$P$3000,P2327)&gt;1,"DUPLICATE","OK"))</f>
        <v/>
      </c>
      <c r="R2327" s="0" t="str">
        <f aca="false">IF($C2327="","",IFERROR(VLOOKUP(--$C2327,MM_Income!$Z$5:$AC$204,3,FALSE()),""))</f>
        <v/>
      </c>
    </row>
    <row r="2328" customFormat="false" ht="13.5" hidden="false" customHeight="false" outlineLevel="0" collapsed="false">
      <c r="N2328" s="1" t="str">
        <f aca="false">IF(C2328="","",IFERROR(VLOOKUP(C2328,Master_Mappings!$A$4:$E$85,3,FALSE()),"UNMAPPED"))</f>
        <v/>
      </c>
      <c r="P2328" s="1" t="str">
        <f aca="false">IF($C2328="","",$C2328&amp;"|"&amp;$E2328&amp;"|"&amp;$M2328&amp;"|"&amp;TEXT($G2328,"yyyy-mm-dd")&amp;"|"&amp;LEFT($J2328,40))</f>
        <v/>
      </c>
      <c r="Q2328" s="11" t="str">
        <f aca="false">IF(P2328="","",IF(COUNTIF($P$2:$P$3000,P2328)&gt;1,"DUPLICATE","OK"))</f>
        <v/>
      </c>
      <c r="R2328" s="0" t="str">
        <f aca="false">IF($C2328="","",IFERROR(VLOOKUP(--$C2328,MM_Income!$Z$5:$AC$204,3,FALSE()),""))</f>
        <v/>
      </c>
    </row>
    <row r="2329" customFormat="false" ht="13.5" hidden="false" customHeight="false" outlineLevel="0" collapsed="false">
      <c r="N2329" s="1" t="str">
        <f aca="false">IF(C2329="","",IFERROR(VLOOKUP(C2329,Master_Mappings!$A$4:$E$85,3,FALSE()),"UNMAPPED"))</f>
        <v/>
      </c>
      <c r="P2329" s="1" t="str">
        <f aca="false">IF($C2329="","",$C2329&amp;"|"&amp;$E2329&amp;"|"&amp;$M2329&amp;"|"&amp;TEXT($G2329,"yyyy-mm-dd")&amp;"|"&amp;LEFT($J2329,40))</f>
        <v/>
      </c>
      <c r="Q2329" s="11" t="str">
        <f aca="false">IF(P2329="","",IF(COUNTIF($P$2:$P$3000,P2329)&gt;1,"DUPLICATE","OK"))</f>
        <v/>
      </c>
      <c r="R2329" s="0" t="str">
        <f aca="false">IF($C2329="","",IFERROR(VLOOKUP(--$C2329,MM_Income!$Z$5:$AC$204,3,FALSE()),""))</f>
        <v/>
      </c>
    </row>
    <row r="2330" customFormat="false" ht="13.5" hidden="false" customHeight="false" outlineLevel="0" collapsed="false">
      <c r="N2330" s="1" t="str">
        <f aca="false">IF(C2330="","",IFERROR(VLOOKUP(C2330,Master_Mappings!$A$4:$E$85,3,FALSE()),"UNMAPPED"))</f>
        <v/>
      </c>
      <c r="P2330" s="1" t="str">
        <f aca="false">IF($C2330="","",$C2330&amp;"|"&amp;$E2330&amp;"|"&amp;$M2330&amp;"|"&amp;TEXT($G2330,"yyyy-mm-dd")&amp;"|"&amp;LEFT($J2330,40))</f>
        <v/>
      </c>
      <c r="Q2330" s="11" t="str">
        <f aca="false">IF(P2330="","",IF(COUNTIF($P$2:$P$3000,P2330)&gt;1,"DUPLICATE","OK"))</f>
        <v/>
      </c>
      <c r="R2330" s="0" t="str">
        <f aca="false">IF($C2330="","",IFERROR(VLOOKUP(--$C2330,MM_Income!$Z$5:$AC$204,3,FALSE()),""))</f>
        <v/>
      </c>
    </row>
    <row r="2331" customFormat="false" ht="13.5" hidden="false" customHeight="false" outlineLevel="0" collapsed="false">
      <c r="N2331" s="1" t="str">
        <f aca="false">IF(C2331="","",IFERROR(VLOOKUP(C2331,Master_Mappings!$A$4:$E$85,3,FALSE()),"UNMAPPED"))</f>
        <v/>
      </c>
      <c r="P2331" s="1" t="str">
        <f aca="false">IF($C2331="","",$C2331&amp;"|"&amp;$E2331&amp;"|"&amp;$M2331&amp;"|"&amp;TEXT($G2331,"yyyy-mm-dd")&amp;"|"&amp;LEFT($J2331,40))</f>
        <v/>
      </c>
      <c r="Q2331" s="11" t="str">
        <f aca="false">IF(P2331="","",IF(COUNTIF($P$2:$P$3000,P2331)&gt;1,"DUPLICATE","OK"))</f>
        <v/>
      </c>
      <c r="R2331" s="0" t="str">
        <f aca="false">IF($C2331="","",IFERROR(VLOOKUP(--$C2331,MM_Income!$Z$5:$AC$204,3,FALSE()),""))</f>
        <v/>
      </c>
    </row>
    <row r="2332" customFormat="false" ht="13.5" hidden="false" customHeight="false" outlineLevel="0" collapsed="false">
      <c r="N2332" s="1" t="str">
        <f aca="false">IF(C2332="","",IFERROR(VLOOKUP(C2332,Master_Mappings!$A$4:$E$85,3,FALSE()),"UNMAPPED"))</f>
        <v/>
      </c>
      <c r="P2332" s="1" t="str">
        <f aca="false">IF($C2332="","",$C2332&amp;"|"&amp;$E2332&amp;"|"&amp;$M2332&amp;"|"&amp;TEXT($G2332,"yyyy-mm-dd")&amp;"|"&amp;LEFT($J2332,40))</f>
        <v/>
      </c>
      <c r="Q2332" s="11" t="str">
        <f aca="false">IF(P2332="","",IF(COUNTIF($P$2:$P$3000,P2332)&gt;1,"DUPLICATE","OK"))</f>
        <v/>
      </c>
      <c r="R2332" s="0" t="str">
        <f aca="false">IF($C2332="","",IFERROR(VLOOKUP(--$C2332,MM_Income!$Z$5:$AC$204,3,FALSE()),""))</f>
        <v/>
      </c>
    </row>
    <row r="2333" customFormat="false" ht="13.5" hidden="false" customHeight="false" outlineLevel="0" collapsed="false">
      <c r="N2333" s="1" t="str">
        <f aca="false">IF(C2333="","",IFERROR(VLOOKUP(C2333,Master_Mappings!$A$4:$E$85,3,FALSE()),"UNMAPPED"))</f>
        <v/>
      </c>
      <c r="P2333" s="1" t="str">
        <f aca="false">IF($C2333="","",$C2333&amp;"|"&amp;$E2333&amp;"|"&amp;$M2333&amp;"|"&amp;TEXT($G2333,"yyyy-mm-dd")&amp;"|"&amp;LEFT($J2333,40))</f>
        <v/>
      </c>
      <c r="Q2333" s="11" t="str">
        <f aca="false">IF(P2333="","",IF(COUNTIF($P$2:$P$3000,P2333)&gt;1,"DUPLICATE","OK"))</f>
        <v/>
      </c>
      <c r="R2333" s="0" t="str">
        <f aca="false">IF($C2333="","",IFERROR(VLOOKUP(--$C2333,MM_Income!$Z$5:$AC$204,3,FALSE()),""))</f>
        <v/>
      </c>
    </row>
    <row r="2334" customFormat="false" ht="13.5" hidden="false" customHeight="false" outlineLevel="0" collapsed="false">
      <c r="N2334" s="1" t="str">
        <f aca="false">IF(C2334="","",IFERROR(VLOOKUP(C2334,Master_Mappings!$A$4:$E$85,3,FALSE()),"UNMAPPED"))</f>
        <v/>
      </c>
      <c r="P2334" s="1" t="str">
        <f aca="false">IF($C2334="","",$C2334&amp;"|"&amp;$E2334&amp;"|"&amp;$M2334&amp;"|"&amp;TEXT($G2334,"yyyy-mm-dd")&amp;"|"&amp;LEFT($J2334,40))</f>
        <v/>
      </c>
      <c r="Q2334" s="11" t="str">
        <f aca="false">IF(P2334="","",IF(COUNTIF($P$2:$P$3000,P2334)&gt;1,"DUPLICATE","OK"))</f>
        <v/>
      </c>
      <c r="R2334" s="0" t="str">
        <f aca="false">IF($C2334="","",IFERROR(VLOOKUP(--$C2334,MM_Income!$Z$5:$AC$204,3,FALSE()),""))</f>
        <v/>
      </c>
    </row>
    <row r="2335" customFormat="false" ht="13.5" hidden="false" customHeight="false" outlineLevel="0" collapsed="false">
      <c r="N2335" s="1" t="str">
        <f aca="false">IF(C2335="","",IFERROR(VLOOKUP(C2335,Master_Mappings!$A$4:$E$85,3,FALSE()),"UNMAPPED"))</f>
        <v/>
      </c>
      <c r="P2335" s="1" t="str">
        <f aca="false">IF($C2335="","",$C2335&amp;"|"&amp;$E2335&amp;"|"&amp;$M2335&amp;"|"&amp;TEXT($G2335,"yyyy-mm-dd")&amp;"|"&amp;LEFT($J2335,40))</f>
        <v/>
      </c>
      <c r="Q2335" s="11" t="str">
        <f aca="false">IF(P2335="","",IF(COUNTIF($P$2:$P$3000,P2335)&gt;1,"DUPLICATE","OK"))</f>
        <v/>
      </c>
      <c r="R2335" s="0" t="str">
        <f aca="false">IF($C2335="","",IFERROR(VLOOKUP(--$C2335,MM_Income!$Z$5:$AC$204,3,FALSE()),""))</f>
        <v/>
      </c>
    </row>
    <row r="2336" customFormat="false" ht="13.5" hidden="false" customHeight="false" outlineLevel="0" collapsed="false">
      <c r="N2336" s="1" t="str">
        <f aca="false">IF(C2336="","",IFERROR(VLOOKUP(C2336,Master_Mappings!$A$4:$E$85,3,FALSE()),"UNMAPPED"))</f>
        <v/>
      </c>
      <c r="P2336" s="1" t="str">
        <f aca="false">IF($C2336="","",$C2336&amp;"|"&amp;$E2336&amp;"|"&amp;$M2336&amp;"|"&amp;TEXT($G2336,"yyyy-mm-dd")&amp;"|"&amp;LEFT($J2336,40))</f>
        <v/>
      </c>
      <c r="Q2336" s="11" t="str">
        <f aca="false">IF(P2336="","",IF(COUNTIF($P$2:$P$3000,P2336)&gt;1,"DUPLICATE","OK"))</f>
        <v/>
      </c>
      <c r="R2336" s="0" t="str">
        <f aca="false">IF($C2336="","",IFERROR(VLOOKUP(--$C2336,MM_Income!$Z$5:$AC$204,3,FALSE()),""))</f>
        <v/>
      </c>
    </row>
    <row r="2337" customFormat="false" ht="13.5" hidden="false" customHeight="false" outlineLevel="0" collapsed="false">
      <c r="N2337" s="1" t="str">
        <f aca="false">IF(C2337="","",IFERROR(VLOOKUP(C2337,Master_Mappings!$A$4:$E$85,3,FALSE()),"UNMAPPED"))</f>
        <v/>
      </c>
      <c r="P2337" s="1" t="str">
        <f aca="false">IF($C2337="","",$C2337&amp;"|"&amp;$E2337&amp;"|"&amp;$M2337&amp;"|"&amp;TEXT($G2337,"yyyy-mm-dd")&amp;"|"&amp;LEFT($J2337,40))</f>
        <v/>
      </c>
      <c r="Q2337" s="11" t="str">
        <f aca="false">IF(P2337="","",IF(COUNTIF($P$2:$P$3000,P2337)&gt;1,"DUPLICATE","OK"))</f>
        <v/>
      </c>
      <c r="R2337" s="0" t="str">
        <f aca="false">IF($C2337="","",IFERROR(VLOOKUP(--$C2337,MM_Income!$Z$5:$AC$204,3,FALSE()),""))</f>
        <v/>
      </c>
    </row>
    <row r="2338" customFormat="false" ht="13.5" hidden="false" customHeight="false" outlineLevel="0" collapsed="false">
      <c r="N2338" s="1" t="str">
        <f aca="false">IF(C2338="","",IFERROR(VLOOKUP(C2338,Master_Mappings!$A$4:$E$85,3,FALSE()),"UNMAPPED"))</f>
        <v/>
      </c>
      <c r="P2338" s="1" t="str">
        <f aca="false">IF($C2338="","",$C2338&amp;"|"&amp;$E2338&amp;"|"&amp;$M2338&amp;"|"&amp;TEXT($G2338,"yyyy-mm-dd")&amp;"|"&amp;LEFT($J2338,40))</f>
        <v/>
      </c>
      <c r="Q2338" s="11" t="str">
        <f aca="false">IF(P2338="","",IF(COUNTIF($P$2:$P$3000,P2338)&gt;1,"DUPLICATE","OK"))</f>
        <v/>
      </c>
      <c r="R2338" s="0" t="str">
        <f aca="false">IF($C2338="","",IFERROR(VLOOKUP(--$C2338,MM_Income!$Z$5:$AC$204,3,FALSE()),""))</f>
        <v/>
      </c>
    </row>
    <row r="2339" customFormat="false" ht="13.5" hidden="false" customHeight="false" outlineLevel="0" collapsed="false">
      <c r="N2339" s="1" t="str">
        <f aca="false">IF(C2339="","",IFERROR(VLOOKUP(C2339,Master_Mappings!$A$4:$E$85,3,FALSE()),"UNMAPPED"))</f>
        <v/>
      </c>
      <c r="P2339" s="1" t="str">
        <f aca="false">IF($C2339="","",$C2339&amp;"|"&amp;$E2339&amp;"|"&amp;$M2339&amp;"|"&amp;TEXT($G2339,"yyyy-mm-dd")&amp;"|"&amp;LEFT($J2339,40))</f>
        <v/>
      </c>
      <c r="Q2339" s="11" t="str">
        <f aca="false">IF(P2339="","",IF(COUNTIF($P$2:$P$3000,P2339)&gt;1,"DUPLICATE","OK"))</f>
        <v/>
      </c>
      <c r="R2339" s="0" t="str">
        <f aca="false">IF($C2339="","",IFERROR(VLOOKUP(--$C2339,MM_Income!$Z$5:$AC$204,3,FALSE()),""))</f>
        <v/>
      </c>
    </row>
    <row r="2340" customFormat="false" ht="13.5" hidden="false" customHeight="false" outlineLevel="0" collapsed="false">
      <c r="N2340" s="1" t="str">
        <f aca="false">IF(C2340="","",IFERROR(VLOOKUP(C2340,Master_Mappings!$A$4:$E$85,3,FALSE()),"UNMAPPED"))</f>
        <v/>
      </c>
      <c r="P2340" s="1" t="str">
        <f aca="false">IF($C2340="","",$C2340&amp;"|"&amp;$E2340&amp;"|"&amp;$M2340&amp;"|"&amp;TEXT($G2340,"yyyy-mm-dd")&amp;"|"&amp;LEFT($J2340,40))</f>
        <v/>
      </c>
      <c r="Q2340" s="11" t="str">
        <f aca="false">IF(P2340="","",IF(COUNTIF($P$2:$P$3000,P2340)&gt;1,"DUPLICATE","OK"))</f>
        <v/>
      </c>
      <c r="R2340" s="0" t="str">
        <f aca="false">IF($C2340="","",IFERROR(VLOOKUP(--$C2340,MM_Income!$Z$5:$AC$204,3,FALSE()),""))</f>
        <v/>
      </c>
    </row>
    <row r="2341" customFormat="false" ht="13.5" hidden="false" customHeight="false" outlineLevel="0" collapsed="false">
      <c r="N2341" s="1" t="str">
        <f aca="false">IF(C2341="","",IFERROR(VLOOKUP(C2341,Master_Mappings!$A$4:$E$85,3,FALSE()),"UNMAPPED"))</f>
        <v/>
      </c>
      <c r="P2341" s="1" t="str">
        <f aca="false">IF($C2341="","",$C2341&amp;"|"&amp;$E2341&amp;"|"&amp;$M2341&amp;"|"&amp;TEXT($G2341,"yyyy-mm-dd")&amp;"|"&amp;LEFT($J2341,40))</f>
        <v/>
      </c>
      <c r="Q2341" s="11" t="str">
        <f aca="false">IF(P2341="","",IF(COUNTIF($P$2:$P$3000,P2341)&gt;1,"DUPLICATE","OK"))</f>
        <v/>
      </c>
      <c r="R2341" s="0" t="str">
        <f aca="false">IF($C2341="","",IFERROR(VLOOKUP(--$C2341,MM_Income!$Z$5:$AC$204,3,FALSE()),""))</f>
        <v/>
      </c>
    </row>
    <row r="2342" customFormat="false" ht="13.5" hidden="false" customHeight="false" outlineLevel="0" collapsed="false">
      <c r="N2342" s="1" t="str">
        <f aca="false">IF(C2342="","",IFERROR(VLOOKUP(C2342,Master_Mappings!$A$4:$E$85,3,FALSE()),"UNMAPPED"))</f>
        <v/>
      </c>
      <c r="P2342" s="1" t="str">
        <f aca="false">IF($C2342="","",$C2342&amp;"|"&amp;$E2342&amp;"|"&amp;$M2342&amp;"|"&amp;TEXT($G2342,"yyyy-mm-dd")&amp;"|"&amp;LEFT($J2342,40))</f>
        <v/>
      </c>
      <c r="Q2342" s="11" t="str">
        <f aca="false">IF(P2342="","",IF(COUNTIF($P$2:$P$3000,P2342)&gt;1,"DUPLICATE","OK"))</f>
        <v/>
      </c>
      <c r="R2342" s="0" t="str">
        <f aca="false">IF($C2342="","",IFERROR(VLOOKUP(--$C2342,MM_Income!$Z$5:$AC$204,3,FALSE()),""))</f>
        <v/>
      </c>
    </row>
    <row r="2343" customFormat="false" ht="13.5" hidden="false" customHeight="false" outlineLevel="0" collapsed="false">
      <c r="N2343" s="1" t="str">
        <f aca="false">IF(C2343="","",IFERROR(VLOOKUP(C2343,Master_Mappings!$A$4:$E$85,3,FALSE()),"UNMAPPED"))</f>
        <v/>
      </c>
      <c r="P2343" s="1" t="str">
        <f aca="false">IF($C2343="","",$C2343&amp;"|"&amp;$E2343&amp;"|"&amp;$M2343&amp;"|"&amp;TEXT($G2343,"yyyy-mm-dd")&amp;"|"&amp;LEFT($J2343,40))</f>
        <v/>
      </c>
      <c r="Q2343" s="11" t="str">
        <f aca="false">IF(P2343="","",IF(COUNTIF($P$2:$P$3000,P2343)&gt;1,"DUPLICATE","OK"))</f>
        <v/>
      </c>
      <c r="R2343" s="0" t="str">
        <f aca="false">IF($C2343="","",IFERROR(VLOOKUP(--$C2343,MM_Income!$Z$5:$AC$204,3,FALSE()),""))</f>
        <v/>
      </c>
    </row>
    <row r="2344" customFormat="false" ht="13.5" hidden="false" customHeight="false" outlineLevel="0" collapsed="false">
      <c r="N2344" s="1" t="str">
        <f aca="false">IF(C2344="","",IFERROR(VLOOKUP(C2344,Master_Mappings!$A$4:$E$85,3,FALSE()),"UNMAPPED"))</f>
        <v/>
      </c>
      <c r="P2344" s="1" t="str">
        <f aca="false">IF($C2344="","",$C2344&amp;"|"&amp;$E2344&amp;"|"&amp;$M2344&amp;"|"&amp;TEXT($G2344,"yyyy-mm-dd")&amp;"|"&amp;LEFT($J2344,40))</f>
        <v/>
      </c>
      <c r="Q2344" s="11" t="str">
        <f aca="false">IF(P2344="","",IF(COUNTIF($P$2:$P$3000,P2344)&gt;1,"DUPLICATE","OK"))</f>
        <v/>
      </c>
      <c r="R2344" s="0" t="str">
        <f aca="false">IF($C2344="","",IFERROR(VLOOKUP(--$C2344,MM_Income!$Z$5:$AC$204,3,FALSE()),""))</f>
        <v/>
      </c>
    </row>
    <row r="2345" customFormat="false" ht="13.5" hidden="false" customHeight="false" outlineLevel="0" collapsed="false">
      <c r="N2345" s="1" t="str">
        <f aca="false">IF(C2345="","",IFERROR(VLOOKUP(C2345,Master_Mappings!$A$4:$E$85,3,FALSE()),"UNMAPPED"))</f>
        <v/>
      </c>
      <c r="P2345" s="1" t="str">
        <f aca="false">IF($C2345="","",$C2345&amp;"|"&amp;$E2345&amp;"|"&amp;$M2345&amp;"|"&amp;TEXT($G2345,"yyyy-mm-dd")&amp;"|"&amp;LEFT($J2345,40))</f>
        <v/>
      </c>
      <c r="Q2345" s="11" t="str">
        <f aca="false">IF(P2345="","",IF(COUNTIF($P$2:$P$3000,P2345)&gt;1,"DUPLICATE","OK"))</f>
        <v/>
      </c>
      <c r="R2345" s="0" t="str">
        <f aca="false">IF($C2345="","",IFERROR(VLOOKUP(--$C2345,MM_Income!$Z$5:$AC$204,3,FALSE()),""))</f>
        <v/>
      </c>
    </row>
    <row r="2346" customFormat="false" ht="13.5" hidden="false" customHeight="false" outlineLevel="0" collapsed="false">
      <c r="N2346" s="1" t="str">
        <f aca="false">IF(C2346="","",IFERROR(VLOOKUP(C2346,Master_Mappings!$A$4:$E$85,3,FALSE()),"UNMAPPED"))</f>
        <v/>
      </c>
      <c r="P2346" s="1" t="str">
        <f aca="false">IF($C2346="","",$C2346&amp;"|"&amp;$E2346&amp;"|"&amp;$M2346&amp;"|"&amp;TEXT($G2346,"yyyy-mm-dd")&amp;"|"&amp;LEFT($J2346,40))</f>
        <v/>
      </c>
      <c r="Q2346" s="11" t="str">
        <f aca="false">IF(P2346="","",IF(COUNTIF($P$2:$P$3000,P2346)&gt;1,"DUPLICATE","OK"))</f>
        <v/>
      </c>
      <c r="R2346" s="0" t="str">
        <f aca="false">IF($C2346="","",IFERROR(VLOOKUP(--$C2346,MM_Income!$Z$5:$AC$204,3,FALSE()),""))</f>
        <v/>
      </c>
    </row>
    <row r="2347" customFormat="false" ht="13.5" hidden="false" customHeight="false" outlineLevel="0" collapsed="false">
      <c r="N2347" s="1" t="str">
        <f aca="false">IF(C2347="","",IFERROR(VLOOKUP(C2347,Master_Mappings!$A$4:$E$85,3,FALSE()),"UNMAPPED"))</f>
        <v/>
      </c>
      <c r="P2347" s="1" t="str">
        <f aca="false">IF($C2347="","",$C2347&amp;"|"&amp;$E2347&amp;"|"&amp;$M2347&amp;"|"&amp;TEXT($G2347,"yyyy-mm-dd")&amp;"|"&amp;LEFT($J2347,40))</f>
        <v/>
      </c>
      <c r="Q2347" s="11" t="str">
        <f aca="false">IF(P2347="","",IF(COUNTIF($P$2:$P$3000,P2347)&gt;1,"DUPLICATE","OK"))</f>
        <v/>
      </c>
      <c r="R2347" s="0" t="str">
        <f aca="false">IF($C2347="","",IFERROR(VLOOKUP(--$C2347,MM_Income!$Z$5:$AC$204,3,FALSE()),""))</f>
        <v/>
      </c>
    </row>
    <row r="2348" customFormat="false" ht="13.5" hidden="false" customHeight="false" outlineLevel="0" collapsed="false">
      <c r="N2348" s="1" t="str">
        <f aca="false">IF(C2348="","",IFERROR(VLOOKUP(C2348,Master_Mappings!$A$4:$E$85,3,FALSE()),"UNMAPPED"))</f>
        <v/>
      </c>
      <c r="P2348" s="1" t="str">
        <f aca="false">IF($C2348="","",$C2348&amp;"|"&amp;$E2348&amp;"|"&amp;$M2348&amp;"|"&amp;TEXT($G2348,"yyyy-mm-dd")&amp;"|"&amp;LEFT($J2348,40))</f>
        <v/>
      </c>
      <c r="Q2348" s="11" t="str">
        <f aca="false">IF(P2348="","",IF(COUNTIF($P$2:$P$3000,P2348)&gt;1,"DUPLICATE","OK"))</f>
        <v/>
      </c>
      <c r="R2348" s="0" t="str">
        <f aca="false">IF($C2348="","",IFERROR(VLOOKUP(--$C2348,MM_Income!$Z$5:$AC$204,3,FALSE()),""))</f>
        <v/>
      </c>
    </row>
    <row r="2349" customFormat="false" ht="13.5" hidden="false" customHeight="false" outlineLevel="0" collapsed="false">
      <c r="N2349" s="1" t="str">
        <f aca="false">IF(C2349="","",IFERROR(VLOOKUP(C2349,Master_Mappings!$A$4:$E$85,3,FALSE()),"UNMAPPED"))</f>
        <v/>
      </c>
      <c r="P2349" s="1" t="str">
        <f aca="false">IF($C2349="","",$C2349&amp;"|"&amp;$E2349&amp;"|"&amp;$M2349&amp;"|"&amp;TEXT($G2349,"yyyy-mm-dd")&amp;"|"&amp;LEFT($J2349,40))</f>
        <v/>
      </c>
      <c r="Q2349" s="11" t="str">
        <f aca="false">IF(P2349="","",IF(COUNTIF($P$2:$P$3000,P2349)&gt;1,"DUPLICATE","OK"))</f>
        <v/>
      </c>
      <c r="R2349" s="0" t="str">
        <f aca="false">IF($C2349="","",IFERROR(VLOOKUP(--$C2349,MM_Income!$Z$5:$AC$204,3,FALSE()),""))</f>
        <v/>
      </c>
    </row>
    <row r="2350" customFormat="false" ht="13.5" hidden="false" customHeight="false" outlineLevel="0" collapsed="false">
      <c r="N2350" s="1" t="str">
        <f aca="false">IF(C2350="","",IFERROR(VLOOKUP(C2350,Master_Mappings!$A$4:$E$85,3,FALSE()),"UNMAPPED"))</f>
        <v/>
      </c>
      <c r="P2350" s="1" t="str">
        <f aca="false">IF($C2350="","",$C2350&amp;"|"&amp;$E2350&amp;"|"&amp;$M2350&amp;"|"&amp;TEXT($G2350,"yyyy-mm-dd")&amp;"|"&amp;LEFT($J2350,40))</f>
        <v/>
      </c>
      <c r="Q2350" s="11" t="str">
        <f aca="false">IF(P2350="","",IF(COUNTIF($P$2:$P$3000,P2350)&gt;1,"DUPLICATE","OK"))</f>
        <v/>
      </c>
      <c r="R2350" s="0" t="str">
        <f aca="false">IF($C2350="","",IFERROR(VLOOKUP(--$C2350,MM_Income!$Z$5:$AC$204,3,FALSE()),""))</f>
        <v/>
      </c>
    </row>
    <row r="2351" customFormat="false" ht="13.5" hidden="false" customHeight="false" outlineLevel="0" collapsed="false">
      <c r="N2351" s="1" t="str">
        <f aca="false">IF(C2351="","",IFERROR(VLOOKUP(C2351,Master_Mappings!$A$4:$E$85,3,FALSE()),"UNMAPPED"))</f>
        <v/>
      </c>
      <c r="P2351" s="1" t="str">
        <f aca="false">IF($C2351="","",$C2351&amp;"|"&amp;$E2351&amp;"|"&amp;$M2351&amp;"|"&amp;TEXT($G2351,"yyyy-mm-dd")&amp;"|"&amp;LEFT($J2351,40))</f>
        <v/>
      </c>
      <c r="Q2351" s="11" t="str">
        <f aca="false">IF(P2351="","",IF(COUNTIF($P$2:$P$3000,P2351)&gt;1,"DUPLICATE","OK"))</f>
        <v/>
      </c>
      <c r="R2351" s="0" t="str">
        <f aca="false">IF($C2351="","",IFERROR(VLOOKUP(--$C2351,MM_Income!$Z$5:$AC$204,3,FALSE()),""))</f>
        <v/>
      </c>
    </row>
    <row r="2352" customFormat="false" ht="13.5" hidden="false" customHeight="false" outlineLevel="0" collapsed="false">
      <c r="N2352" s="1" t="str">
        <f aca="false">IF(C2352="","",IFERROR(VLOOKUP(C2352,Master_Mappings!$A$4:$E$85,3,FALSE()),"UNMAPPED"))</f>
        <v/>
      </c>
      <c r="P2352" s="1" t="str">
        <f aca="false">IF($C2352="","",$C2352&amp;"|"&amp;$E2352&amp;"|"&amp;$M2352&amp;"|"&amp;TEXT($G2352,"yyyy-mm-dd")&amp;"|"&amp;LEFT($J2352,40))</f>
        <v/>
      </c>
      <c r="Q2352" s="11" t="str">
        <f aca="false">IF(P2352="","",IF(COUNTIF($P$2:$P$3000,P2352)&gt;1,"DUPLICATE","OK"))</f>
        <v/>
      </c>
      <c r="R2352" s="0" t="str">
        <f aca="false">IF($C2352="","",IFERROR(VLOOKUP(--$C2352,MM_Income!$Z$5:$AC$204,3,FALSE()),""))</f>
        <v/>
      </c>
    </row>
    <row r="2353" customFormat="false" ht="13.5" hidden="false" customHeight="false" outlineLevel="0" collapsed="false">
      <c r="N2353" s="1" t="str">
        <f aca="false">IF(C2353="","",IFERROR(VLOOKUP(C2353,Master_Mappings!$A$4:$E$85,3,FALSE()),"UNMAPPED"))</f>
        <v/>
      </c>
      <c r="P2353" s="1" t="str">
        <f aca="false">IF($C2353="","",$C2353&amp;"|"&amp;$E2353&amp;"|"&amp;$M2353&amp;"|"&amp;TEXT($G2353,"yyyy-mm-dd")&amp;"|"&amp;LEFT($J2353,40))</f>
        <v/>
      </c>
      <c r="Q2353" s="11" t="str">
        <f aca="false">IF(P2353="","",IF(COUNTIF($P$2:$P$3000,P2353)&gt;1,"DUPLICATE","OK"))</f>
        <v/>
      </c>
      <c r="R2353" s="0" t="str">
        <f aca="false">IF($C2353="","",IFERROR(VLOOKUP(--$C2353,MM_Income!$Z$5:$AC$204,3,FALSE()),""))</f>
        <v/>
      </c>
    </row>
    <row r="2354" customFormat="false" ht="13.5" hidden="false" customHeight="false" outlineLevel="0" collapsed="false">
      <c r="N2354" s="1" t="str">
        <f aca="false">IF(C2354="","",IFERROR(VLOOKUP(C2354,Master_Mappings!$A$4:$E$85,3,FALSE()),"UNMAPPED"))</f>
        <v/>
      </c>
      <c r="P2354" s="1" t="str">
        <f aca="false">IF($C2354="","",$C2354&amp;"|"&amp;$E2354&amp;"|"&amp;$M2354&amp;"|"&amp;TEXT($G2354,"yyyy-mm-dd")&amp;"|"&amp;LEFT($J2354,40))</f>
        <v/>
      </c>
      <c r="Q2354" s="11" t="str">
        <f aca="false">IF(P2354="","",IF(COUNTIF($P$2:$P$3000,P2354)&gt;1,"DUPLICATE","OK"))</f>
        <v/>
      </c>
      <c r="R2354" s="0" t="str">
        <f aca="false">IF($C2354="","",IFERROR(VLOOKUP(--$C2354,MM_Income!$Z$5:$AC$204,3,FALSE()),""))</f>
        <v/>
      </c>
    </row>
    <row r="2355" customFormat="false" ht="13.5" hidden="false" customHeight="false" outlineLevel="0" collapsed="false">
      <c r="N2355" s="1" t="str">
        <f aca="false">IF(C2355="","",IFERROR(VLOOKUP(C2355,Master_Mappings!$A$4:$E$85,3,FALSE()),"UNMAPPED"))</f>
        <v/>
      </c>
      <c r="P2355" s="1" t="str">
        <f aca="false">IF($C2355="","",$C2355&amp;"|"&amp;$E2355&amp;"|"&amp;$M2355&amp;"|"&amp;TEXT($G2355,"yyyy-mm-dd")&amp;"|"&amp;LEFT($J2355,40))</f>
        <v/>
      </c>
      <c r="Q2355" s="11" t="str">
        <f aca="false">IF(P2355="","",IF(COUNTIF($P$2:$P$3000,P2355)&gt;1,"DUPLICATE","OK"))</f>
        <v/>
      </c>
      <c r="R2355" s="0" t="str">
        <f aca="false">IF($C2355="","",IFERROR(VLOOKUP(--$C2355,MM_Income!$Z$5:$AC$204,3,FALSE()),""))</f>
        <v/>
      </c>
    </row>
    <row r="2356" customFormat="false" ht="13.5" hidden="false" customHeight="false" outlineLevel="0" collapsed="false">
      <c r="N2356" s="1" t="str">
        <f aca="false">IF(C2356="","",IFERROR(VLOOKUP(C2356,Master_Mappings!$A$4:$E$85,3,FALSE()),"UNMAPPED"))</f>
        <v/>
      </c>
      <c r="P2356" s="1" t="str">
        <f aca="false">IF($C2356="","",$C2356&amp;"|"&amp;$E2356&amp;"|"&amp;$M2356&amp;"|"&amp;TEXT($G2356,"yyyy-mm-dd")&amp;"|"&amp;LEFT($J2356,40))</f>
        <v/>
      </c>
      <c r="Q2356" s="11" t="str">
        <f aca="false">IF(P2356="","",IF(COUNTIF($P$2:$P$3000,P2356)&gt;1,"DUPLICATE","OK"))</f>
        <v/>
      </c>
      <c r="R2356" s="0" t="str">
        <f aca="false">IF($C2356="","",IFERROR(VLOOKUP(--$C2356,MM_Income!$Z$5:$AC$204,3,FALSE()),""))</f>
        <v/>
      </c>
    </row>
    <row r="2357" customFormat="false" ht="13.5" hidden="false" customHeight="false" outlineLevel="0" collapsed="false">
      <c r="N2357" s="1" t="str">
        <f aca="false">IF(C2357="","",IFERROR(VLOOKUP(C2357,Master_Mappings!$A$4:$E$85,3,FALSE()),"UNMAPPED"))</f>
        <v/>
      </c>
      <c r="P2357" s="1" t="str">
        <f aca="false">IF($C2357="","",$C2357&amp;"|"&amp;$E2357&amp;"|"&amp;$M2357&amp;"|"&amp;TEXT($G2357,"yyyy-mm-dd")&amp;"|"&amp;LEFT($J2357,40))</f>
        <v/>
      </c>
      <c r="Q2357" s="11" t="str">
        <f aca="false">IF(P2357="","",IF(COUNTIF($P$2:$P$3000,P2357)&gt;1,"DUPLICATE","OK"))</f>
        <v/>
      </c>
      <c r="R2357" s="0" t="str">
        <f aca="false">IF($C2357="","",IFERROR(VLOOKUP(--$C2357,MM_Income!$Z$5:$AC$204,3,FALSE()),""))</f>
        <v/>
      </c>
    </row>
    <row r="2358" customFormat="false" ht="13.5" hidden="false" customHeight="false" outlineLevel="0" collapsed="false">
      <c r="N2358" s="1" t="str">
        <f aca="false">IF(C2358="","",IFERROR(VLOOKUP(C2358,Master_Mappings!$A$4:$E$85,3,FALSE()),"UNMAPPED"))</f>
        <v/>
      </c>
      <c r="P2358" s="1" t="str">
        <f aca="false">IF($C2358="","",$C2358&amp;"|"&amp;$E2358&amp;"|"&amp;$M2358&amp;"|"&amp;TEXT($G2358,"yyyy-mm-dd")&amp;"|"&amp;LEFT($J2358,40))</f>
        <v/>
      </c>
      <c r="Q2358" s="11" t="str">
        <f aca="false">IF(P2358="","",IF(COUNTIF($P$2:$P$3000,P2358)&gt;1,"DUPLICATE","OK"))</f>
        <v/>
      </c>
      <c r="R2358" s="0" t="str">
        <f aca="false">IF($C2358="","",IFERROR(VLOOKUP(--$C2358,MM_Income!$Z$5:$AC$204,3,FALSE()),""))</f>
        <v/>
      </c>
    </row>
    <row r="2359" customFormat="false" ht="13.5" hidden="false" customHeight="false" outlineLevel="0" collapsed="false">
      <c r="N2359" s="1" t="str">
        <f aca="false">IF(C2359="","",IFERROR(VLOOKUP(C2359,Master_Mappings!$A$4:$E$85,3,FALSE()),"UNMAPPED"))</f>
        <v/>
      </c>
      <c r="P2359" s="1" t="str">
        <f aca="false">IF($C2359="","",$C2359&amp;"|"&amp;$E2359&amp;"|"&amp;$M2359&amp;"|"&amp;TEXT($G2359,"yyyy-mm-dd")&amp;"|"&amp;LEFT($J2359,40))</f>
        <v/>
      </c>
      <c r="Q2359" s="11" t="str">
        <f aca="false">IF(P2359="","",IF(COUNTIF($P$2:$P$3000,P2359)&gt;1,"DUPLICATE","OK"))</f>
        <v/>
      </c>
      <c r="R2359" s="0" t="str">
        <f aca="false">IF($C2359="","",IFERROR(VLOOKUP(--$C2359,MM_Income!$Z$5:$AC$204,3,FALSE()),""))</f>
        <v/>
      </c>
    </row>
    <row r="2360" customFormat="false" ht="13.5" hidden="false" customHeight="false" outlineLevel="0" collapsed="false">
      <c r="N2360" s="1" t="str">
        <f aca="false">IF(C2360="","",IFERROR(VLOOKUP(C2360,Master_Mappings!$A$4:$E$85,3,FALSE()),"UNMAPPED"))</f>
        <v/>
      </c>
      <c r="P2360" s="1" t="str">
        <f aca="false">IF($C2360="","",$C2360&amp;"|"&amp;$E2360&amp;"|"&amp;$M2360&amp;"|"&amp;TEXT($G2360,"yyyy-mm-dd")&amp;"|"&amp;LEFT($J2360,40))</f>
        <v/>
      </c>
      <c r="Q2360" s="11" t="str">
        <f aca="false">IF(P2360="","",IF(COUNTIF($P$2:$P$3000,P2360)&gt;1,"DUPLICATE","OK"))</f>
        <v/>
      </c>
      <c r="R2360" s="0" t="str">
        <f aca="false">IF($C2360="","",IFERROR(VLOOKUP(--$C2360,MM_Income!$Z$5:$AC$204,3,FALSE()),""))</f>
        <v/>
      </c>
    </row>
    <row r="2361" customFormat="false" ht="13.5" hidden="false" customHeight="false" outlineLevel="0" collapsed="false">
      <c r="N2361" s="1" t="str">
        <f aca="false">IF(C2361="","",IFERROR(VLOOKUP(C2361,Master_Mappings!$A$4:$E$85,3,FALSE()),"UNMAPPED"))</f>
        <v/>
      </c>
      <c r="P2361" s="1" t="str">
        <f aca="false">IF($C2361="","",$C2361&amp;"|"&amp;$E2361&amp;"|"&amp;$M2361&amp;"|"&amp;TEXT($G2361,"yyyy-mm-dd")&amp;"|"&amp;LEFT($J2361,40))</f>
        <v/>
      </c>
      <c r="Q2361" s="11" t="str">
        <f aca="false">IF(P2361="","",IF(COUNTIF($P$2:$P$3000,P2361)&gt;1,"DUPLICATE","OK"))</f>
        <v/>
      </c>
      <c r="R2361" s="0" t="str">
        <f aca="false">IF($C2361="","",IFERROR(VLOOKUP(--$C2361,MM_Income!$Z$5:$AC$204,3,FALSE()),""))</f>
        <v/>
      </c>
    </row>
    <row r="2362" customFormat="false" ht="13.5" hidden="false" customHeight="false" outlineLevel="0" collapsed="false">
      <c r="N2362" s="1" t="str">
        <f aca="false">IF(C2362="","",IFERROR(VLOOKUP(C2362,Master_Mappings!$A$4:$E$85,3,FALSE()),"UNMAPPED"))</f>
        <v/>
      </c>
      <c r="P2362" s="1" t="str">
        <f aca="false">IF($C2362="","",$C2362&amp;"|"&amp;$E2362&amp;"|"&amp;$M2362&amp;"|"&amp;TEXT($G2362,"yyyy-mm-dd")&amp;"|"&amp;LEFT($J2362,40))</f>
        <v/>
      </c>
      <c r="Q2362" s="11" t="str">
        <f aca="false">IF(P2362="","",IF(COUNTIF($P$2:$P$3000,P2362)&gt;1,"DUPLICATE","OK"))</f>
        <v/>
      </c>
      <c r="R2362" s="0" t="str">
        <f aca="false">IF($C2362="","",IFERROR(VLOOKUP(--$C2362,MM_Income!$Z$5:$AC$204,3,FALSE()),""))</f>
        <v/>
      </c>
    </row>
    <row r="2363" customFormat="false" ht="13.5" hidden="false" customHeight="false" outlineLevel="0" collapsed="false">
      <c r="N2363" s="1" t="str">
        <f aca="false">IF(C2363="","",IFERROR(VLOOKUP(C2363,Master_Mappings!$A$4:$E$85,3,FALSE()),"UNMAPPED"))</f>
        <v/>
      </c>
      <c r="P2363" s="1" t="str">
        <f aca="false">IF($C2363="","",$C2363&amp;"|"&amp;$E2363&amp;"|"&amp;$M2363&amp;"|"&amp;TEXT($G2363,"yyyy-mm-dd")&amp;"|"&amp;LEFT($J2363,40))</f>
        <v/>
      </c>
      <c r="Q2363" s="11" t="str">
        <f aca="false">IF(P2363="","",IF(COUNTIF($P$2:$P$3000,P2363)&gt;1,"DUPLICATE","OK"))</f>
        <v/>
      </c>
      <c r="R2363" s="0" t="str">
        <f aca="false">IF($C2363="","",IFERROR(VLOOKUP(--$C2363,MM_Income!$Z$5:$AC$204,3,FALSE()),""))</f>
        <v/>
      </c>
    </row>
    <row r="2364" customFormat="false" ht="13.5" hidden="false" customHeight="false" outlineLevel="0" collapsed="false">
      <c r="N2364" s="1" t="str">
        <f aca="false">IF(C2364="","",IFERROR(VLOOKUP(C2364,Master_Mappings!$A$4:$E$85,3,FALSE()),"UNMAPPED"))</f>
        <v/>
      </c>
      <c r="P2364" s="1" t="str">
        <f aca="false">IF($C2364="","",$C2364&amp;"|"&amp;$E2364&amp;"|"&amp;$M2364&amp;"|"&amp;TEXT($G2364,"yyyy-mm-dd")&amp;"|"&amp;LEFT($J2364,40))</f>
        <v/>
      </c>
      <c r="Q2364" s="11" t="str">
        <f aca="false">IF(P2364="","",IF(COUNTIF($P$2:$P$3000,P2364)&gt;1,"DUPLICATE","OK"))</f>
        <v/>
      </c>
      <c r="R2364" s="0" t="str">
        <f aca="false">IF($C2364="","",IFERROR(VLOOKUP(--$C2364,MM_Income!$Z$5:$AC$204,3,FALSE()),""))</f>
        <v/>
      </c>
    </row>
    <row r="2365" customFormat="false" ht="13.5" hidden="false" customHeight="false" outlineLevel="0" collapsed="false">
      <c r="N2365" s="1" t="str">
        <f aca="false">IF(C2365="","",IFERROR(VLOOKUP(C2365,Master_Mappings!$A$4:$E$85,3,FALSE()),"UNMAPPED"))</f>
        <v/>
      </c>
      <c r="P2365" s="1" t="str">
        <f aca="false">IF($C2365="","",$C2365&amp;"|"&amp;$E2365&amp;"|"&amp;$M2365&amp;"|"&amp;TEXT($G2365,"yyyy-mm-dd")&amp;"|"&amp;LEFT($J2365,40))</f>
        <v/>
      </c>
      <c r="Q2365" s="11" t="str">
        <f aca="false">IF(P2365="","",IF(COUNTIF($P$2:$P$3000,P2365)&gt;1,"DUPLICATE","OK"))</f>
        <v/>
      </c>
      <c r="R2365" s="0" t="str">
        <f aca="false">IF($C2365="","",IFERROR(VLOOKUP(--$C2365,MM_Income!$Z$5:$AC$204,3,FALSE()),""))</f>
        <v/>
      </c>
    </row>
    <row r="2366" customFormat="false" ht="13.5" hidden="false" customHeight="false" outlineLevel="0" collapsed="false">
      <c r="N2366" s="1" t="str">
        <f aca="false">IF(C2366="","",IFERROR(VLOOKUP(C2366,Master_Mappings!$A$4:$E$85,3,FALSE()),"UNMAPPED"))</f>
        <v/>
      </c>
      <c r="P2366" s="1" t="str">
        <f aca="false">IF($C2366="","",$C2366&amp;"|"&amp;$E2366&amp;"|"&amp;$M2366&amp;"|"&amp;TEXT($G2366,"yyyy-mm-dd")&amp;"|"&amp;LEFT($J2366,40))</f>
        <v/>
      </c>
      <c r="Q2366" s="11" t="str">
        <f aca="false">IF(P2366="","",IF(COUNTIF($P$2:$P$3000,P2366)&gt;1,"DUPLICATE","OK"))</f>
        <v/>
      </c>
      <c r="R2366" s="0" t="str">
        <f aca="false">IF($C2366="","",IFERROR(VLOOKUP(--$C2366,MM_Income!$Z$5:$AC$204,3,FALSE()),""))</f>
        <v/>
      </c>
    </row>
    <row r="2367" customFormat="false" ht="13.5" hidden="false" customHeight="false" outlineLevel="0" collapsed="false">
      <c r="N2367" s="1" t="str">
        <f aca="false">IF(C2367="","",IFERROR(VLOOKUP(C2367,Master_Mappings!$A$4:$E$85,3,FALSE()),"UNMAPPED"))</f>
        <v/>
      </c>
      <c r="P2367" s="1" t="str">
        <f aca="false">IF($C2367="","",$C2367&amp;"|"&amp;$E2367&amp;"|"&amp;$M2367&amp;"|"&amp;TEXT($G2367,"yyyy-mm-dd")&amp;"|"&amp;LEFT($J2367,40))</f>
        <v/>
      </c>
      <c r="Q2367" s="11" t="str">
        <f aca="false">IF(P2367="","",IF(COUNTIF($P$2:$P$3000,P2367)&gt;1,"DUPLICATE","OK"))</f>
        <v/>
      </c>
      <c r="R2367" s="0" t="str">
        <f aca="false">IF($C2367="","",IFERROR(VLOOKUP(--$C2367,MM_Income!$Z$5:$AC$204,3,FALSE()),""))</f>
        <v/>
      </c>
    </row>
    <row r="2368" customFormat="false" ht="13.5" hidden="false" customHeight="false" outlineLevel="0" collapsed="false">
      <c r="N2368" s="1" t="str">
        <f aca="false">IF(C2368="","",IFERROR(VLOOKUP(C2368,Master_Mappings!$A$4:$E$85,3,FALSE()),"UNMAPPED"))</f>
        <v/>
      </c>
      <c r="P2368" s="1" t="str">
        <f aca="false">IF($C2368="","",$C2368&amp;"|"&amp;$E2368&amp;"|"&amp;$M2368&amp;"|"&amp;TEXT($G2368,"yyyy-mm-dd")&amp;"|"&amp;LEFT($J2368,40))</f>
        <v/>
      </c>
      <c r="Q2368" s="11" t="str">
        <f aca="false">IF(P2368="","",IF(COUNTIF($P$2:$P$3000,P2368)&gt;1,"DUPLICATE","OK"))</f>
        <v/>
      </c>
      <c r="R2368" s="0" t="str">
        <f aca="false">IF($C2368="","",IFERROR(VLOOKUP(--$C2368,MM_Income!$Z$5:$AC$204,3,FALSE()),""))</f>
        <v/>
      </c>
    </row>
    <row r="2369" customFormat="false" ht="13.5" hidden="false" customHeight="false" outlineLevel="0" collapsed="false">
      <c r="N2369" s="1" t="str">
        <f aca="false">IF(C2369="","",IFERROR(VLOOKUP(C2369,Master_Mappings!$A$4:$E$85,3,FALSE()),"UNMAPPED"))</f>
        <v/>
      </c>
      <c r="P2369" s="1" t="str">
        <f aca="false">IF($C2369="","",$C2369&amp;"|"&amp;$E2369&amp;"|"&amp;$M2369&amp;"|"&amp;TEXT($G2369,"yyyy-mm-dd")&amp;"|"&amp;LEFT($J2369,40))</f>
        <v/>
      </c>
      <c r="Q2369" s="11" t="str">
        <f aca="false">IF(P2369="","",IF(COUNTIF($P$2:$P$3000,P2369)&gt;1,"DUPLICATE","OK"))</f>
        <v/>
      </c>
      <c r="R2369" s="0" t="str">
        <f aca="false">IF($C2369="","",IFERROR(VLOOKUP(--$C2369,MM_Income!$Z$5:$AC$204,3,FALSE()),""))</f>
        <v/>
      </c>
    </row>
    <row r="2370" customFormat="false" ht="13.5" hidden="false" customHeight="false" outlineLevel="0" collapsed="false">
      <c r="N2370" s="1" t="str">
        <f aca="false">IF(C2370="","",IFERROR(VLOOKUP(C2370,Master_Mappings!$A$4:$E$85,3,FALSE()),"UNMAPPED"))</f>
        <v/>
      </c>
      <c r="P2370" s="1" t="str">
        <f aca="false">IF($C2370="","",$C2370&amp;"|"&amp;$E2370&amp;"|"&amp;$M2370&amp;"|"&amp;TEXT($G2370,"yyyy-mm-dd")&amp;"|"&amp;LEFT($J2370,40))</f>
        <v/>
      </c>
      <c r="Q2370" s="11" t="str">
        <f aca="false">IF(P2370="","",IF(COUNTIF($P$2:$P$3000,P2370)&gt;1,"DUPLICATE","OK"))</f>
        <v/>
      </c>
      <c r="R2370" s="0" t="str">
        <f aca="false">IF($C2370="","",IFERROR(VLOOKUP(--$C2370,MM_Income!$Z$5:$AC$204,3,FALSE()),""))</f>
        <v/>
      </c>
    </row>
    <row r="2371" customFormat="false" ht="13.5" hidden="false" customHeight="false" outlineLevel="0" collapsed="false">
      <c r="N2371" s="1" t="str">
        <f aca="false">IF(C2371="","",IFERROR(VLOOKUP(C2371,Master_Mappings!$A$4:$E$85,3,FALSE()),"UNMAPPED"))</f>
        <v/>
      </c>
      <c r="P2371" s="1" t="str">
        <f aca="false">IF($C2371="","",$C2371&amp;"|"&amp;$E2371&amp;"|"&amp;$M2371&amp;"|"&amp;TEXT($G2371,"yyyy-mm-dd")&amp;"|"&amp;LEFT($J2371,40))</f>
        <v/>
      </c>
      <c r="Q2371" s="11" t="str">
        <f aca="false">IF(P2371="","",IF(COUNTIF($P$2:$P$3000,P2371)&gt;1,"DUPLICATE","OK"))</f>
        <v/>
      </c>
      <c r="R2371" s="0" t="str">
        <f aca="false">IF($C2371="","",IFERROR(VLOOKUP(--$C2371,MM_Income!$Z$5:$AC$204,3,FALSE()),""))</f>
        <v/>
      </c>
    </row>
    <row r="2372" customFormat="false" ht="13.5" hidden="false" customHeight="false" outlineLevel="0" collapsed="false">
      <c r="N2372" s="1" t="str">
        <f aca="false">IF(C2372="","",IFERROR(VLOOKUP(C2372,Master_Mappings!$A$4:$E$85,3,FALSE()),"UNMAPPED"))</f>
        <v/>
      </c>
      <c r="P2372" s="1" t="str">
        <f aca="false">IF($C2372="","",$C2372&amp;"|"&amp;$E2372&amp;"|"&amp;$M2372&amp;"|"&amp;TEXT($G2372,"yyyy-mm-dd")&amp;"|"&amp;LEFT($J2372,40))</f>
        <v/>
      </c>
      <c r="Q2372" s="11" t="str">
        <f aca="false">IF(P2372="","",IF(COUNTIF($P$2:$P$3000,P2372)&gt;1,"DUPLICATE","OK"))</f>
        <v/>
      </c>
      <c r="R2372" s="0" t="str">
        <f aca="false">IF($C2372="","",IFERROR(VLOOKUP(--$C2372,MM_Income!$Z$5:$AC$204,3,FALSE()),""))</f>
        <v/>
      </c>
    </row>
    <row r="2373" customFormat="false" ht="13.5" hidden="false" customHeight="false" outlineLevel="0" collapsed="false">
      <c r="N2373" s="1" t="str">
        <f aca="false">IF(C2373="","",IFERROR(VLOOKUP(C2373,Master_Mappings!$A$4:$E$85,3,FALSE()),"UNMAPPED"))</f>
        <v/>
      </c>
      <c r="P2373" s="1" t="str">
        <f aca="false">IF($C2373="","",$C2373&amp;"|"&amp;$E2373&amp;"|"&amp;$M2373&amp;"|"&amp;TEXT($G2373,"yyyy-mm-dd")&amp;"|"&amp;LEFT($J2373,40))</f>
        <v/>
      </c>
      <c r="Q2373" s="11" t="str">
        <f aca="false">IF(P2373="","",IF(COUNTIF($P$2:$P$3000,P2373)&gt;1,"DUPLICATE","OK"))</f>
        <v/>
      </c>
      <c r="R2373" s="0" t="str">
        <f aca="false">IF($C2373="","",IFERROR(VLOOKUP(--$C2373,MM_Income!$Z$5:$AC$204,3,FALSE()),""))</f>
        <v/>
      </c>
    </row>
    <row r="2374" customFormat="false" ht="13.5" hidden="false" customHeight="false" outlineLevel="0" collapsed="false">
      <c r="N2374" s="1" t="str">
        <f aca="false">IF(C2374="","",IFERROR(VLOOKUP(C2374,Master_Mappings!$A$4:$E$85,3,FALSE()),"UNMAPPED"))</f>
        <v/>
      </c>
      <c r="P2374" s="1" t="str">
        <f aca="false">IF($C2374="","",$C2374&amp;"|"&amp;$E2374&amp;"|"&amp;$M2374&amp;"|"&amp;TEXT($G2374,"yyyy-mm-dd")&amp;"|"&amp;LEFT($J2374,40))</f>
        <v/>
      </c>
      <c r="Q2374" s="11" t="str">
        <f aca="false">IF(P2374="","",IF(COUNTIF($P$2:$P$3000,P2374)&gt;1,"DUPLICATE","OK"))</f>
        <v/>
      </c>
      <c r="R2374" s="0" t="str">
        <f aca="false">IF($C2374="","",IFERROR(VLOOKUP(--$C2374,MM_Income!$Z$5:$AC$204,3,FALSE()),""))</f>
        <v/>
      </c>
    </row>
    <row r="2375" customFormat="false" ht="13.5" hidden="false" customHeight="false" outlineLevel="0" collapsed="false">
      <c r="N2375" s="1" t="str">
        <f aca="false">IF(C2375="","",IFERROR(VLOOKUP(C2375,Master_Mappings!$A$4:$E$85,3,FALSE()),"UNMAPPED"))</f>
        <v/>
      </c>
      <c r="P2375" s="1" t="str">
        <f aca="false">IF($C2375="","",$C2375&amp;"|"&amp;$E2375&amp;"|"&amp;$M2375&amp;"|"&amp;TEXT($G2375,"yyyy-mm-dd")&amp;"|"&amp;LEFT($J2375,40))</f>
        <v/>
      </c>
      <c r="Q2375" s="11" t="str">
        <f aca="false">IF(P2375="","",IF(COUNTIF($P$2:$P$3000,P2375)&gt;1,"DUPLICATE","OK"))</f>
        <v/>
      </c>
      <c r="R2375" s="0" t="str">
        <f aca="false">IF($C2375="","",IFERROR(VLOOKUP(--$C2375,MM_Income!$Z$5:$AC$204,3,FALSE()),""))</f>
        <v/>
      </c>
    </row>
    <row r="2376" customFormat="false" ht="13.5" hidden="false" customHeight="false" outlineLevel="0" collapsed="false">
      <c r="N2376" s="1" t="str">
        <f aca="false">IF(C2376="","",IFERROR(VLOOKUP(C2376,Master_Mappings!$A$4:$E$85,3,FALSE()),"UNMAPPED"))</f>
        <v/>
      </c>
      <c r="P2376" s="1" t="str">
        <f aca="false">IF($C2376="","",$C2376&amp;"|"&amp;$E2376&amp;"|"&amp;$M2376&amp;"|"&amp;TEXT($G2376,"yyyy-mm-dd")&amp;"|"&amp;LEFT($J2376,40))</f>
        <v/>
      </c>
      <c r="Q2376" s="11" t="str">
        <f aca="false">IF(P2376="","",IF(COUNTIF($P$2:$P$3000,P2376)&gt;1,"DUPLICATE","OK"))</f>
        <v/>
      </c>
      <c r="R2376" s="0" t="str">
        <f aca="false">IF($C2376="","",IFERROR(VLOOKUP(--$C2376,MM_Income!$Z$5:$AC$204,3,FALSE()),""))</f>
        <v/>
      </c>
    </row>
    <row r="2377" customFormat="false" ht="13.5" hidden="false" customHeight="false" outlineLevel="0" collapsed="false">
      <c r="N2377" s="1" t="str">
        <f aca="false">IF(C2377="","",IFERROR(VLOOKUP(C2377,Master_Mappings!$A$4:$E$85,3,FALSE()),"UNMAPPED"))</f>
        <v/>
      </c>
      <c r="P2377" s="1" t="str">
        <f aca="false">IF($C2377="","",$C2377&amp;"|"&amp;$E2377&amp;"|"&amp;$M2377&amp;"|"&amp;TEXT($G2377,"yyyy-mm-dd")&amp;"|"&amp;LEFT($J2377,40))</f>
        <v/>
      </c>
      <c r="Q2377" s="11" t="str">
        <f aca="false">IF(P2377="","",IF(COUNTIF($P$2:$P$3000,P2377)&gt;1,"DUPLICATE","OK"))</f>
        <v/>
      </c>
      <c r="R2377" s="0" t="str">
        <f aca="false">IF($C2377="","",IFERROR(VLOOKUP(--$C2377,MM_Income!$Z$5:$AC$204,3,FALSE()),""))</f>
        <v/>
      </c>
    </row>
    <row r="2378" customFormat="false" ht="13.5" hidden="false" customHeight="false" outlineLevel="0" collapsed="false">
      <c r="N2378" s="1" t="str">
        <f aca="false">IF(C2378="","",IFERROR(VLOOKUP(C2378,Master_Mappings!$A$4:$E$85,3,FALSE()),"UNMAPPED"))</f>
        <v/>
      </c>
      <c r="P2378" s="1" t="str">
        <f aca="false">IF($C2378="","",$C2378&amp;"|"&amp;$E2378&amp;"|"&amp;$M2378&amp;"|"&amp;TEXT($G2378,"yyyy-mm-dd")&amp;"|"&amp;LEFT($J2378,40))</f>
        <v/>
      </c>
      <c r="Q2378" s="11" t="str">
        <f aca="false">IF(P2378="","",IF(COUNTIF($P$2:$P$3000,P2378)&gt;1,"DUPLICATE","OK"))</f>
        <v/>
      </c>
      <c r="R2378" s="0" t="str">
        <f aca="false">IF($C2378="","",IFERROR(VLOOKUP(--$C2378,MM_Income!$Z$5:$AC$204,3,FALSE()),""))</f>
        <v/>
      </c>
    </row>
    <row r="2379" customFormat="false" ht="13.5" hidden="false" customHeight="false" outlineLevel="0" collapsed="false">
      <c r="N2379" s="1" t="str">
        <f aca="false">IF(C2379="","",IFERROR(VLOOKUP(C2379,Master_Mappings!$A$4:$E$85,3,FALSE()),"UNMAPPED"))</f>
        <v/>
      </c>
      <c r="P2379" s="1" t="str">
        <f aca="false">IF($C2379="","",$C2379&amp;"|"&amp;$E2379&amp;"|"&amp;$M2379&amp;"|"&amp;TEXT($G2379,"yyyy-mm-dd")&amp;"|"&amp;LEFT($J2379,40))</f>
        <v/>
      </c>
      <c r="Q2379" s="11" t="str">
        <f aca="false">IF(P2379="","",IF(COUNTIF($P$2:$P$3000,P2379)&gt;1,"DUPLICATE","OK"))</f>
        <v/>
      </c>
      <c r="R2379" s="0" t="str">
        <f aca="false">IF($C2379="","",IFERROR(VLOOKUP(--$C2379,MM_Income!$Z$5:$AC$204,3,FALSE()),""))</f>
        <v/>
      </c>
    </row>
    <row r="2380" customFormat="false" ht="13.5" hidden="false" customHeight="false" outlineLevel="0" collapsed="false">
      <c r="N2380" s="1" t="str">
        <f aca="false">IF(C2380="","",IFERROR(VLOOKUP(C2380,Master_Mappings!$A$4:$E$85,3,FALSE()),"UNMAPPED"))</f>
        <v/>
      </c>
      <c r="P2380" s="1" t="str">
        <f aca="false">IF($C2380="","",$C2380&amp;"|"&amp;$E2380&amp;"|"&amp;$M2380&amp;"|"&amp;TEXT($G2380,"yyyy-mm-dd")&amp;"|"&amp;LEFT($J2380,40))</f>
        <v/>
      </c>
      <c r="Q2380" s="11" t="str">
        <f aca="false">IF(P2380="","",IF(COUNTIF($P$2:$P$3000,P2380)&gt;1,"DUPLICATE","OK"))</f>
        <v/>
      </c>
      <c r="R2380" s="0" t="str">
        <f aca="false">IF($C2380="","",IFERROR(VLOOKUP(--$C2380,MM_Income!$Z$5:$AC$204,3,FALSE()),""))</f>
        <v/>
      </c>
    </row>
    <row r="2381" customFormat="false" ht="13.5" hidden="false" customHeight="false" outlineLevel="0" collapsed="false">
      <c r="N2381" s="1" t="str">
        <f aca="false">IF(C2381="","",IFERROR(VLOOKUP(C2381,Master_Mappings!$A$4:$E$85,3,FALSE()),"UNMAPPED"))</f>
        <v/>
      </c>
      <c r="P2381" s="1" t="str">
        <f aca="false">IF($C2381="","",$C2381&amp;"|"&amp;$E2381&amp;"|"&amp;$M2381&amp;"|"&amp;TEXT($G2381,"yyyy-mm-dd")&amp;"|"&amp;LEFT($J2381,40))</f>
        <v/>
      </c>
      <c r="Q2381" s="11" t="str">
        <f aca="false">IF(P2381="","",IF(COUNTIF($P$2:$P$3000,P2381)&gt;1,"DUPLICATE","OK"))</f>
        <v/>
      </c>
      <c r="R2381" s="0" t="str">
        <f aca="false">IF($C2381="","",IFERROR(VLOOKUP(--$C2381,MM_Income!$Z$5:$AC$204,3,FALSE()),""))</f>
        <v/>
      </c>
    </row>
    <row r="2382" customFormat="false" ht="13.5" hidden="false" customHeight="false" outlineLevel="0" collapsed="false">
      <c r="N2382" s="1" t="str">
        <f aca="false">IF(C2382="","",IFERROR(VLOOKUP(C2382,Master_Mappings!$A$4:$E$85,3,FALSE()),"UNMAPPED"))</f>
        <v/>
      </c>
      <c r="P2382" s="1" t="str">
        <f aca="false">IF($C2382="","",$C2382&amp;"|"&amp;$E2382&amp;"|"&amp;$M2382&amp;"|"&amp;TEXT($G2382,"yyyy-mm-dd")&amp;"|"&amp;LEFT($J2382,40))</f>
        <v/>
      </c>
      <c r="Q2382" s="11" t="str">
        <f aca="false">IF(P2382="","",IF(COUNTIF($P$2:$P$3000,P2382)&gt;1,"DUPLICATE","OK"))</f>
        <v/>
      </c>
      <c r="R2382" s="0" t="str">
        <f aca="false">IF($C2382="","",IFERROR(VLOOKUP(--$C2382,MM_Income!$Z$5:$AC$204,3,FALSE()),""))</f>
        <v/>
      </c>
    </row>
    <row r="2383" customFormat="false" ht="13.5" hidden="false" customHeight="false" outlineLevel="0" collapsed="false">
      <c r="N2383" s="1" t="str">
        <f aca="false">IF(C2383="","",IFERROR(VLOOKUP(C2383,Master_Mappings!$A$4:$E$85,3,FALSE()),"UNMAPPED"))</f>
        <v/>
      </c>
      <c r="P2383" s="1" t="str">
        <f aca="false">IF($C2383="","",$C2383&amp;"|"&amp;$E2383&amp;"|"&amp;$M2383&amp;"|"&amp;TEXT($G2383,"yyyy-mm-dd")&amp;"|"&amp;LEFT($J2383,40))</f>
        <v/>
      </c>
      <c r="Q2383" s="11" t="str">
        <f aca="false">IF(P2383="","",IF(COUNTIF($P$2:$P$3000,P2383)&gt;1,"DUPLICATE","OK"))</f>
        <v/>
      </c>
      <c r="R2383" s="0" t="str">
        <f aca="false">IF($C2383="","",IFERROR(VLOOKUP(--$C2383,MM_Income!$Z$5:$AC$204,3,FALSE()),""))</f>
        <v/>
      </c>
    </row>
    <row r="2384" customFormat="false" ht="13.5" hidden="false" customHeight="false" outlineLevel="0" collapsed="false">
      <c r="N2384" s="1" t="str">
        <f aca="false">IF(C2384="","",IFERROR(VLOOKUP(C2384,Master_Mappings!$A$4:$E$85,3,FALSE()),"UNMAPPED"))</f>
        <v/>
      </c>
      <c r="P2384" s="1" t="str">
        <f aca="false">IF($C2384="","",$C2384&amp;"|"&amp;$E2384&amp;"|"&amp;$M2384&amp;"|"&amp;TEXT($G2384,"yyyy-mm-dd")&amp;"|"&amp;LEFT($J2384,40))</f>
        <v/>
      </c>
      <c r="Q2384" s="11" t="str">
        <f aca="false">IF(P2384="","",IF(COUNTIF($P$2:$P$3000,P2384)&gt;1,"DUPLICATE","OK"))</f>
        <v/>
      </c>
      <c r="R2384" s="0" t="str">
        <f aca="false">IF($C2384="","",IFERROR(VLOOKUP(--$C2384,MM_Income!$Z$5:$AC$204,3,FALSE()),""))</f>
        <v/>
      </c>
    </row>
    <row r="2385" customFormat="false" ht="13.5" hidden="false" customHeight="false" outlineLevel="0" collapsed="false">
      <c r="N2385" s="1" t="str">
        <f aca="false">IF(C2385="","",IFERROR(VLOOKUP(C2385,Master_Mappings!$A$4:$E$85,3,FALSE()),"UNMAPPED"))</f>
        <v/>
      </c>
      <c r="P2385" s="1" t="str">
        <f aca="false">IF($C2385="","",$C2385&amp;"|"&amp;$E2385&amp;"|"&amp;$M2385&amp;"|"&amp;TEXT($G2385,"yyyy-mm-dd")&amp;"|"&amp;LEFT($J2385,40))</f>
        <v/>
      </c>
      <c r="Q2385" s="11" t="str">
        <f aca="false">IF(P2385="","",IF(COUNTIF($P$2:$P$3000,P2385)&gt;1,"DUPLICATE","OK"))</f>
        <v/>
      </c>
      <c r="R2385" s="0" t="str">
        <f aca="false">IF($C2385="","",IFERROR(VLOOKUP(--$C2385,MM_Income!$Z$5:$AC$204,3,FALSE()),""))</f>
        <v/>
      </c>
    </row>
    <row r="2386" customFormat="false" ht="13.5" hidden="false" customHeight="false" outlineLevel="0" collapsed="false">
      <c r="N2386" s="1" t="str">
        <f aca="false">IF(C2386="","",IFERROR(VLOOKUP(C2386,Master_Mappings!$A$4:$E$85,3,FALSE()),"UNMAPPED"))</f>
        <v/>
      </c>
      <c r="P2386" s="1" t="str">
        <f aca="false">IF($C2386="","",$C2386&amp;"|"&amp;$E2386&amp;"|"&amp;$M2386&amp;"|"&amp;TEXT($G2386,"yyyy-mm-dd")&amp;"|"&amp;LEFT($J2386,40))</f>
        <v/>
      </c>
      <c r="Q2386" s="11" t="str">
        <f aca="false">IF(P2386="","",IF(COUNTIF($P$2:$P$3000,P2386)&gt;1,"DUPLICATE","OK"))</f>
        <v/>
      </c>
      <c r="R2386" s="0" t="str">
        <f aca="false">IF($C2386="","",IFERROR(VLOOKUP(--$C2386,MM_Income!$Z$5:$AC$204,3,FALSE()),""))</f>
        <v/>
      </c>
    </row>
    <row r="2387" customFormat="false" ht="13.5" hidden="false" customHeight="false" outlineLevel="0" collapsed="false">
      <c r="N2387" s="1" t="str">
        <f aca="false">IF(C2387="","",IFERROR(VLOOKUP(C2387,Master_Mappings!$A$4:$E$85,3,FALSE()),"UNMAPPED"))</f>
        <v/>
      </c>
      <c r="P2387" s="1" t="str">
        <f aca="false">IF($C2387="","",$C2387&amp;"|"&amp;$E2387&amp;"|"&amp;$M2387&amp;"|"&amp;TEXT($G2387,"yyyy-mm-dd")&amp;"|"&amp;LEFT($J2387,40))</f>
        <v/>
      </c>
      <c r="Q2387" s="11" t="str">
        <f aca="false">IF(P2387="","",IF(COUNTIF($P$2:$P$3000,P2387)&gt;1,"DUPLICATE","OK"))</f>
        <v/>
      </c>
      <c r="R2387" s="0" t="str">
        <f aca="false">IF($C2387="","",IFERROR(VLOOKUP(--$C2387,MM_Income!$Z$5:$AC$204,3,FALSE()),""))</f>
        <v/>
      </c>
    </row>
    <row r="2388" customFormat="false" ht="13.5" hidden="false" customHeight="false" outlineLevel="0" collapsed="false">
      <c r="N2388" s="1" t="str">
        <f aca="false">IF(C2388="","",IFERROR(VLOOKUP(C2388,Master_Mappings!$A$4:$E$85,3,FALSE()),"UNMAPPED"))</f>
        <v/>
      </c>
      <c r="P2388" s="1" t="str">
        <f aca="false">IF($C2388="","",$C2388&amp;"|"&amp;$E2388&amp;"|"&amp;$M2388&amp;"|"&amp;TEXT($G2388,"yyyy-mm-dd")&amp;"|"&amp;LEFT($J2388,40))</f>
        <v/>
      </c>
      <c r="Q2388" s="11" t="str">
        <f aca="false">IF(P2388="","",IF(COUNTIF($P$2:$P$3000,P2388)&gt;1,"DUPLICATE","OK"))</f>
        <v/>
      </c>
      <c r="R2388" s="0" t="str">
        <f aca="false">IF($C2388="","",IFERROR(VLOOKUP(--$C2388,MM_Income!$Z$5:$AC$204,3,FALSE()),""))</f>
        <v/>
      </c>
    </row>
    <row r="2389" customFormat="false" ht="13.5" hidden="false" customHeight="false" outlineLevel="0" collapsed="false">
      <c r="N2389" s="1" t="str">
        <f aca="false">IF(C2389="","",IFERROR(VLOOKUP(C2389,Master_Mappings!$A$4:$E$85,3,FALSE()),"UNMAPPED"))</f>
        <v/>
      </c>
      <c r="P2389" s="1" t="str">
        <f aca="false">IF($C2389="","",$C2389&amp;"|"&amp;$E2389&amp;"|"&amp;$M2389&amp;"|"&amp;TEXT($G2389,"yyyy-mm-dd")&amp;"|"&amp;LEFT($J2389,40))</f>
        <v/>
      </c>
      <c r="Q2389" s="11" t="str">
        <f aca="false">IF(P2389="","",IF(COUNTIF($P$2:$P$3000,P2389)&gt;1,"DUPLICATE","OK"))</f>
        <v/>
      </c>
      <c r="R2389" s="0" t="str">
        <f aca="false">IF($C2389="","",IFERROR(VLOOKUP(--$C2389,MM_Income!$Z$5:$AC$204,3,FALSE()),""))</f>
        <v/>
      </c>
    </row>
    <row r="2390" customFormat="false" ht="13.5" hidden="false" customHeight="false" outlineLevel="0" collapsed="false">
      <c r="N2390" s="1" t="str">
        <f aca="false">IF(C2390="","",IFERROR(VLOOKUP(C2390,Master_Mappings!$A$4:$E$85,3,FALSE()),"UNMAPPED"))</f>
        <v/>
      </c>
      <c r="P2390" s="1" t="str">
        <f aca="false">IF($C2390="","",$C2390&amp;"|"&amp;$E2390&amp;"|"&amp;$M2390&amp;"|"&amp;TEXT($G2390,"yyyy-mm-dd")&amp;"|"&amp;LEFT($J2390,40))</f>
        <v/>
      </c>
      <c r="Q2390" s="11" t="str">
        <f aca="false">IF(P2390="","",IF(COUNTIF($P$2:$P$3000,P2390)&gt;1,"DUPLICATE","OK"))</f>
        <v/>
      </c>
      <c r="R2390" s="0" t="str">
        <f aca="false">IF($C2390="","",IFERROR(VLOOKUP(--$C2390,MM_Income!$Z$5:$AC$204,3,FALSE()),""))</f>
        <v/>
      </c>
    </row>
    <row r="2391" customFormat="false" ht="13.5" hidden="false" customHeight="false" outlineLevel="0" collapsed="false">
      <c r="N2391" s="1" t="str">
        <f aca="false">IF(C2391="","",IFERROR(VLOOKUP(C2391,Master_Mappings!$A$4:$E$85,3,FALSE()),"UNMAPPED"))</f>
        <v/>
      </c>
      <c r="P2391" s="1" t="str">
        <f aca="false">IF($C2391="","",$C2391&amp;"|"&amp;$E2391&amp;"|"&amp;$M2391&amp;"|"&amp;TEXT($G2391,"yyyy-mm-dd")&amp;"|"&amp;LEFT($J2391,40))</f>
        <v/>
      </c>
      <c r="Q2391" s="11" t="str">
        <f aca="false">IF(P2391="","",IF(COUNTIF($P$2:$P$3000,P2391)&gt;1,"DUPLICATE","OK"))</f>
        <v/>
      </c>
      <c r="R2391" s="0" t="str">
        <f aca="false">IF($C2391="","",IFERROR(VLOOKUP(--$C2391,MM_Income!$Z$5:$AC$204,3,FALSE()),""))</f>
        <v/>
      </c>
    </row>
    <row r="2392" customFormat="false" ht="13.5" hidden="false" customHeight="false" outlineLevel="0" collapsed="false">
      <c r="N2392" s="1" t="str">
        <f aca="false">IF(C2392="","",IFERROR(VLOOKUP(C2392,Master_Mappings!$A$4:$E$85,3,FALSE()),"UNMAPPED"))</f>
        <v/>
      </c>
      <c r="P2392" s="1" t="str">
        <f aca="false">IF($C2392="","",$C2392&amp;"|"&amp;$E2392&amp;"|"&amp;$M2392&amp;"|"&amp;TEXT($G2392,"yyyy-mm-dd")&amp;"|"&amp;LEFT($J2392,40))</f>
        <v/>
      </c>
      <c r="Q2392" s="11" t="str">
        <f aca="false">IF(P2392="","",IF(COUNTIF($P$2:$P$3000,P2392)&gt;1,"DUPLICATE","OK"))</f>
        <v/>
      </c>
      <c r="R2392" s="0" t="str">
        <f aca="false">IF($C2392="","",IFERROR(VLOOKUP(--$C2392,MM_Income!$Z$5:$AC$204,3,FALSE()),""))</f>
        <v/>
      </c>
    </row>
    <row r="2393" customFormat="false" ht="13.5" hidden="false" customHeight="false" outlineLevel="0" collapsed="false">
      <c r="N2393" s="1" t="str">
        <f aca="false">IF(C2393="","",IFERROR(VLOOKUP(C2393,Master_Mappings!$A$4:$E$85,3,FALSE()),"UNMAPPED"))</f>
        <v/>
      </c>
      <c r="P2393" s="1" t="str">
        <f aca="false">IF($C2393="","",$C2393&amp;"|"&amp;$E2393&amp;"|"&amp;$M2393&amp;"|"&amp;TEXT($G2393,"yyyy-mm-dd")&amp;"|"&amp;LEFT($J2393,40))</f>
        <v/>
      </c>
      <c r="Q2393" s="11" t="str">
        <f aca="false">IF(P2393="","",IF(COUNTIF($P$2:$P$3000,P2393)&gt;1,"DUPLICATE","OK"))</f>
        <v/>
      </c>
      <c r="R2393" s="0" t="str">
        <f aca="false">IF($C2393="","",IFERROR(VLOOKUP(--$C2393,MM_Income!$Z$5:$AC$204,3,FALSE()),""))</f>
        <v/>
      </c>
    </row>
    <row r="2394" customFormat="false" ht="13.5" hidden="false" customHeight="false" outlineLevel="0" collapsed="false">
      <c r="N2394" s="1" t="str">
        <f aca="false">IF(C2394="","",IFERROR(VLOOKUP(C2394,Master_Mappings!$A$4:$E$85,3,FALSE()),"UNMAPPED"))</f>
        <v/>
      </c>
      <c r="P2394" s="1" t="str">
        <f aca="false">IF($C2394="","",$C2394&amp;"|"&amp;$E2394&amp;"|"&amp;$M2394&amp;"|"&amp;TEXT($G2394,"yyyy-mm-dd")&amp;"|"&amp;LEFT($J2394,40))</f>
        <v/>
      </c>
      <c r="Q2394" s="11" t="str">
        <f aca="false">IF(P2394="","",IF(COUNTIF($P$2:$P$3000,P2394)&gt;1,"DUPLICATE","OK"))</f>
        <v/>
      </c>
      <c r="R2394" s="0" t="str">
        <f aca="false">IF($C2394="","",IFERROR(VLOOKUP(--$C2394,MM_Income!$Z$5:$AC$204,3,FALSE()),""))</f>
        <v/>
      </c>
    </row>
    <row r="2395" customFormat="false" ht="13.5" hidden="false" customHeight="false" outlineLevel="0" collapsed="false">
      <c r="N2395" s="1" t="str">
        <f aca="false">IF(C2395="","",IFERROR(VLOOKUP(C2395,Master_Mappings!$A$4:$E$85,3,FALSE()),"UNMAPPED"))</f>
        <v/>
      </c>
      <c r="P2395" s="1" t="str">
        <f aca="false">IF($C2395="","",$C2395&amp;"|"&amp;$E2395&amp;"|"&amp;$M2395&amp;"|"&amp;TEXT($G2395,"yyyy-mm-dd")&amp;"|"&amp;LEFT($J2395,40))</f>
        <v/>
      </c>
      <c r="Q2395" s="11" t="str">
        <f aca="false">IF(P2395="","",IF(COUNTIF($P$2:$P$3000,P2395)&gt;1,"DUPLICATE","OK"))</f>
        <v/>
      </c>
      <c r="R2395" s="0" t="str">
        <f aca="false">IF($C2395="","",IFERROR(VLOOKUP(--$C2395,MM_Income!$Z$5:$AC$204,3,FALSE()),""))</f>
        <v/>
      </c>
    </row>
    <row r="2396" customFormat="false" ht="13.5" hidden="false" customHeight="false" outlineLevel="0" collapsed="false">
      <c r="N2396" s="1" t="str">
        <f aca="false">IF(C2396="","",IFERROR(VLOOKUP(C2396,Master_Mappings!$A$4:$E$85,3,FALSE()),"UNMAPPED"))</f>
        <v/>
      </c>
      <c r="P2396" s="1" t="str">
        <f aca="false">IF($C2396="","",$C2396&amp;"|"&amp;$E2396&amp;"|"&amp;$M2396&amp;"|"&amp;TEXT($G2396,"yyyy-mm-dd")&amp;"|"&amp;LEFT($J2396,40))</f>
        <v/>
      </c>
      <c r="Q2396" s="11" t="str">
        <f aca="false">IF(P2396="","",IF(COUNTIF($P$2:$P$3000,P2396)&gt;1,"DUPLICATE","OK"))</f>
        <v/>
      </c>
      <c r="R2396" s="0" t="str">
        <f aca="false">IF($C2396="","",IFERROR(VLOOKUP(--$C2396,MM_Income!$Z$5:$AC$204,3,FALSE()),""))</f>
        <v/>
      </c>
    </row>
    <row r="2397" customFormat="false" ht="13.5" hidden="false" customHeight="false" outlineLevel="0" collapsed="false">
      <c r="N2397" s="1" t="str">
        <f aca="false">IF(C2397="","",IFERROR(VLOOKUP(C2397,Master_Mappings!$A$4:$E$85,3,FALSE()),"UNMAPPED"))</f>
        <v/>
      </c>
      <c r="P2397" s="1" t="str">
        <f aca="false">IF($C2397="","",$C2397&amp;"|"&amp;$E2397&amp;"|"&amp;$M2397&amp;"|"&amp;TEXT($G2397,"yyyy-mm-dd")&amp;"|"&amp;LEFT($J2397,40))</f>
        <v/>
      </c>
      <c r="Q2397" s="11" t="str">
        <f aca="false">IF(P2397="","",IF(COUNTIF($P$2:$P$3000,P2397)&gt;1,"DUPLICATE","OK"))</f>
        <v/>
      </c>
      <c r="R2397" s="0" t="str">
        <f aca="false">IF($C2397="","",IFERROR(VLOOKUP(--$C2397,MM_Income!$Z$5:$AC$204,3,FALSE()),""))</f>
        <v/>
      </c>
    </row>
    <row r="2398" customFormat="false" ht="13.5" hidden="false" customHeight="false" outlineLevel="0" collapsed="false">
      <c r="N2398" s="1" t="str">
        <f aca="false">IF(C2398="","",IFERROR(VLOOKUP(C2398,Master_Mappings!$A$4:$E$85,3,FALSE()),"UNMAPPED"))</f>
        <v/>
      </c>
      <c r="P2398" s="1" t="str">
        <f aca="false">IF($C2398="","",$C2398&amp;"|"&amp;$E2398&amp;"|"&amp;$M2398&amp;"|"&amp;TEXT($G2398,"yyyy-mm-dd")&amp;"|"&amp;LEFT($J2398,40))</f>
        <v/>
      </c>
      <c r="Q2398" s="11" t="str">
        <f aca="false">IF(P2398="","",IF(COUNTIF($P$2:$P$3000,P2398)&gt;1,"DUPLICATE","OK"))</f>
        <v/>
      </c>
      <c r="R2398" s="0" t="str">
        <f aca="false">IF($C2398="","",IFERROR(VLOOKUP(--$C2398,MM_Income!$Z$5:$AC$204,3,FALSE()),""))</f>
        <v/>
      </c>
    </row>
    <row r="2399" customFormat="false" ht="13.5" hidden="false" customHeight="false" outlineLevel="0" collapsed="false">
      <c r="N2399" s="1" t="str">
        <f aca="false">IF(C2399="","",IFERROR(VLOOKUP(C2399,Master_Mappings!$A$4:$E$85,3,FALSE()),"UNMAPPED"))</f>
        <v/>
      </c>
      <c r="P2399" s="1" t="str">
        <f aca="false">IF($C2399="","",$C2399&amp;"|"&amp;$E2399&amp;"|"&amp;$M2399&amp;"|"&amp;TEXT($G2399,"yyyy-mm-dd")&amp;"|"&amp;LEFT($J2399,40))</f>
        <v/>
      </c>
      <c r="Q2399" s="11" t="str">
        <f aca="false">IF(P2399="","",IF(COUNTIF($P$2:$P$3000,P2399)&gt;1,"DUPLICATE","OK"))</f>
        <v/>
      </c>
      <c r="R2399" s="0" t="str">
        <f aca="false">IF($C2399="","",IFERROR(VLOOKUP(--$C2399,MM_Income!$Z$5:$AC$204,3,FALSE()),""))</f>
        <v/>
      </c>
    </row>
    <row r="2400" customFormat="false" ht="13.5" hidden="false" customHeight="false" outlineLevel="0" collapsed="false">
      <c r="N2400" s="1" t="str">
        <f aca="false">IF(C2400="","",IFERROR(VLOOKUP(C2400,Master_Mappings!$A$4:$E$85,3,FALSE()),"UNMAPPED"))</f>
        <v/>
      </c>
      <c r="P2400" s="1" t="str">
        <f aca="false">IF($C2400="","",$C2400&amp;"|"&amp;$E2400&amp;"|"&amp;$M2400&amp;"|"&amp;TEXT($G2400,"yyyy-mm-dd")&amp;"|"&amp;LEFT($J2400,40))</f>
        <v/>
      </c>
      <c r="Q2400" s="11" t="str">
        <f aca="false">IF(P2400="","",IF(COUNTIF($P$2:$P$3000,P2400)&gt;1,"DUPLICATE","OK"))</f>
        <v/>
      </c>
      <c r="R2400" s="0" t="str">
        <f aca="false">IF($C2400="","",IFERROR(VLOOKUP(--$C2400,MM_Income!$Z$5:$AC$204,3,FALSE()),""))</f>
        <v/>
      </c>
    </row>
    <row r="2401" customFormat="false" ht="13.5" hidden="false" customHeight="false" outlineLevel="0" collapsed="false">
      <c r="N2401" s="1" t="str">
        <f aca="false">IF(C2401="","",IFERROR(VLOOKUP(C2401,Master_Mappings!$A$4:$E$85,3,FALSE()),"UNMAPPED"))</f>
        <v/>
      </c>
      <c r="P2401" s="1" t="str">
        <f aca="false">IF($C2401="","",$C2401&amp;"|"&amp;$E2401&amp;"|"&amp;$M2401&amp;"|"&amp;TEXT($G2401,"yyyy-mm-dd")&amp;"|"&amp;LEFT($J2401,40))</f>
        <v/>
      </c>
      <c r="Q2401" s="11" t="str">
        <f aca="false">IF(P2401="","",IF(COUNTIF($P$2:$P$3000,P2401)&gt;1,"DUPLICATE","OK"))</f>
        <v/>
      </c>
      <c r="R2401" s="0" t="str">
        <f aca="false">IF($C2401="","",IFERROR(VLOOKUP(--$C2401,MM_Income!$Z$5:$AC$204,3,FALSE()),""))</f>
        <v/>
      </c>
    </row>
    <row r="2402" customFormat="false" ht="13.5" hidden="false" customHeight="false" outlineLevel="0" collapsed="false">
      <c r="N2402" s="1" t="str">
        <f aca="false">IF(C2402="","",IFERROR(VLOOKUP(C2402,Master_Mappings!$A$4:$E$85,3,FALSE()),"UNMAPPED"))</f>
        <v/>
      </c>
      <c r="P2402" s="1" t="str">
        <f aca="false">IF($C2402="","",$C2402&amp;"|"&amp;$E2402&amp;"|"&amp;$M2402&amp;"|"&amp;TEXT($G2402,"yyyy-mm-dd")&amp;"|"&amp;LEFT($J2402,40))</f>
        <v/>
      </c>
      <c r="Q2402" s="11" t="str">
        <f aca="false">IF(P2402="","",IF(COUNTIF($P$2:$P$3000,P2402)&gt;1,"DUPLICATE","OK"))</f>
        <v/>
      </c>
      <c r="R2402" s="0" t="str">
        <f aca="false">IF($C2402="","",IFERROR(VLOOKUP(--$C2402,MM_Income!$Z$5:$AC$204,3,FALSE()),""))</f>
        <v/>
      </c>
    </row>
    <row r="2403" customFormat="false" ht="13.5" hidden="false" customHeight="false" outlineLevel="0" collapsed="false">
      <c r="N2403" s="1" t="str">
        <f aca="false">IF(C2403="","",IFERROR(VLOOKUP(C2403,Master_Mappings!$A$4:$E$85,3,FALSE()),"UNMAPPED"))</f>
        <v/>
      </c>
      <c r="P2403" s="1" t="str">
        <f aca="false">IF($C2403="","",$C2403&amp;"|"&amp;$E2403&amp;"|"&amp;$M2403&amp;"|"&amp;TEXT($G2403,"yyyy-mm-dd")&amp;"|"&amp;LEFT($J2403,40))</f>
        <v/>
      </c>
      <c r="Q2403" s="11" t="str">
        <f aca="false">IF(P2403="","",IF(COUNTIF($P$2:$P$3000,P2403)&gt;1,"DUPLICATE","OK"))</f>
        <v/>
      </c>
      <c r="R2403" s="0" t="str">
        <f aca="false">IF($C2403="","",IFERROR(VLOOKUP(--$C2403,MM_Income!$Z$5:$AC$204,3,FALSE()),""))</f>
        <v/>
      </c>
    </row>
    <row r="2404" customFormat="false" ht="13.5" hidden="false" customHeight="false" outlineLevel="0" collapsed="false">
      <c r="N2404" s="1" t="str">
        <f aca="false">IF(C2404="","",IFERROR(VLOOKUP(C2404,Master_Mappings!$A$4:$E$85,3,FALSE()),"UNMAPPED"))</f>
        <v/>
      </c>
      <c r="P2404" s="1" t="str">
        <f aca="false">IF($C2404="","",$C2404&amp;"|"&amp;$E2404&amp;"|"&amp;$M2404&amp;"|"&amp;TEXT($G2404,"yyyy-mm-dd")&amp;"|"&amp;LEFT($J2404,40))</f>
        <v/>
      </c>
      <c r="Q2404" s="11" t="str">
        <f aca="false">IF(P2404="","",IF(COUNTIF($P$2:$P$3000,P2404)&gt;1,"DUPLICATE","OK"))</f>
        <v/>
      </c>
      <c r="R2404" s="0" t="str">
        <f aca="false">IF($C2404="","",IFERROR(VLOOKUP(--$C2404,MM_Income!$Z$5:$AC$204,3,FALSE()),""))</f>
        <v/>
      </c>
    </row>
    <row r="2405" customFormat="false" ht="13.5" hidden="false" customHeight="false" outlineLevel="0" collapsed="false">
      <c r="N2405" s="1" t="str">
        <f aca="false">IF(C2405="","",IFERROR(VLOOKUP(C2405,Master_Mappings!$A$4:$E$85,3,FALSE()),"UNMAPPED"))</f>
        <v/>
      </c>
      <c r="P2405" s="1" t="str">
        <f aca="false">IF($C2405="","",$C2405&amp;"|"&amp;$E2405&amp;"|"&amp;$M2405&amp;"|"&amp;TEXT($G2405,"yyyy-mm-dd")&amp;"|"&amp;LEFT($J2405,40))</f>
        <v/>
      </c>
      <c r="Q2405" s="11" t="str">
        <f aca="false">IF(P2405="","",IF(COUNTIF($P$2:$P$3000,P2405)&gt;1,"DUPLICATE","OK"))</f>
        <v/>
      </c>
      <c r="R2405" s="0" t="str">
        <f aca="false">IF($C2405="","",IFERROR(VLOOKUP(--$C2405,MM_Income!$Z$5:$AC$204,3,FALSE()),""))</f>
        <v/>
      </c>
    </row>
    <row r="2406" customFormat="false" ht="13.5" hidden="false" customHeight="false" outlineLevel="0" collapsed="false">
      <c r="N2406" s="1" t="str">
        <f aca="false">IF(C2406="","",IFERROR(VLOOKUP(C2406,Master_Mappings!$A$4:$E$85,3,FALSE()),"UNMAPPED"))</f>
        <v/>
      </c>
      <c r="P2406" s="1" t="str">
        <f aca="false">IF($C2406="","",$C2406&amp;"|"&amp;$E2406&amp;"|"&amp;$M2406&amp;"|"&amp;TEXT($G2406,"yyyy-mm-dd")&amp;"|"&amp;LEFT($J2406,40))</f>
        <v/>
      </c>
      <c r="Q2406" s="11" t="str">
        <f aca="false">IF(P2406="","",IF(COUNTIF($P$2:$P$3000,P2406)&gt;1,"DUPLICATE","OK"))</f>
        <v/>
      </c>
      <c r="R2406" s="0" t="str">
        <f aca="false">IF($C2406="","",IFERROR(VLOOKUP(--$C2406,MM_Income!$Z$5:$AC$204,3,FALSE()),""))</f>
        <v/>
      </c>
    </row>
    <row r="2407" customFormat="false" ht="13.5" hidden="false" customHeight="false" outlineLevel="0" collapsed="false">
      <c r="N2407" s="1" t="str">
        <f aca="false">IF(C2407="","",IFERROR(VLOOKUP(C2407,Master_Mappings!$A$4:$E$85,3,FALSE()),"UNMAPPED"))</f>
        <v/>
      </c>
      <c r="P2407" s="1" t="str">
        <f aca="false">IF($C2407="","",$C2407&amp;"|"&amp;$E2407&amp;"|"&amp;$M2407&amp;"|"&amp;TEXT($G2407,"yyyy-mm-dd")&amp;"|"&amp;LEFT($J2407,40))</f>
        <v/>
      </c>
      <c r="Q2407" s="11" t="str">
        <f aca="false">IF(P2407="","",IF(COUNTIF($P$2:$P$3000,P2407)&gt;1,"DUPLICATE","OK"))</f>
        <v/>
      </c>
      <c r="R2407" s="0" t="str">
        <f aca="false">IF($C2407="","",IFERROR(VLOOKUP(--$C2407,MM_Income!$Z$5:$AC$204,3,FALSE()),""))</f>
        <v/>
      </c>
    </row>
    <row r="2408" customFormat="false" ht="13.5" hidden="false" customHeight="false" outlineLevel="0" collapsed="false">
      <c r="N2408" s="1" t="str">
        <f aca="false">IF(C2408="","",IFERROR(VLOOKUP(C2408,Master_Mappings!$A$4:$E$85,3,FALSE()),"UNMAPPED"))</f>
        <v/>
      </c>
      <c r="P2408" s="1" t="str">
        <f aca="false">IF($C2408="","",$C2408&amp;"|"&amp;$E2408&amp;"|"&amp;$M2408&amp;"|"&amp;TEXT($G2408,"yyyy-mm-dd")&amp;"|"&amp;LEFT($J2408,40))</f>
        <v/>
      </c>
      <c r="Q2408" s="11" t="str">
        <f aca="false">IF(P2408="","",IF(COUNTIF($P$2:$P$3000,P2408)&gt;1,"DUPLICATE","OK"))</f>
        <v/>
      </c>
      <c r="R2408" s="0" t="str">
        <f aca="false">IF($C2408="","",IFERROR(VLOOKUP(--$C2408,MM_Income!$Z$5:$AC$204,3,FALSE()),""))</f>
        <v/>
      </c>
    </row>
    <row r="2409" customFormat="false" ht="13.5" hidden="false" customHeight="false" outlineLevel="0" collapsed="false">
      <c r="N2409" s="1" t="str">
        <f aca="false">IF(C2409="","",IFERROR(VLOOKUP(C2409,Master_Mappings!$A$4:$E$85,3,FALSE()),"UNMAPPED"))</f>
        <v/>
      </c>
      <c r="P2409" s="1" t="str">
        <f aca="false">IF($C2409="","",$C2409&amp;"|"&amp;$E2409&amp;"|"&amp;$M2409&amp;"|"&amp;TEXT($G2409,"yyyy-mm-dd")&amp;"|"&amp;LEFT($J2409,40))</f>
        <v/>
      </c>
      <c r="Q2409" s="11" t="str">
        <f aca="false">IF(P2409="","",IF(COUNTIF($P$2:$P$3000,P2409)&gt;1,"DUPLICATE","OK"))</f>
        <v/>
      </c>
      <c r="R2409" s="0" t="str">
        <f aca="false">IF($C2409="","",IFERROR(VLOOKUP(--$C2409,MM_Income!$Z$5:$AC$204,3,FALSE()),""))</f>
        <v/>
      </c>
    </row>
    <row r="2410" customFormat="false" ht="13.5" hidden="false" customHeight="false" outlineLevel="0" collapsed="false">
      <c r="N2410" s="1" t="str">
        <f aca="false">IF(C2410="","",IFERROR(VLOOKUP(C2410,Master_Mappings!$A$4:$E$85,3,FALSE()),"UNMAPPED"))</f>
        <v/>
      </c>
      <c r="P2410" s="1" t="str">
        <f aca="false">IF($C2410="","",$C2410&amp;"|"&amp;$E2410&amp;"|"&amp;$M2410&amp;"|"&amp;TEXT($G2410,"yyyy-mm-dd")&amp;"|"&amp;LEFT($J2410,40))</f>
        <v/>
      </c>
      <c r="Q2410" s="11" t="str">
        <f aca="false">IF(P2410="","",IF(COUNTIF($P$2:$P$3000,P2410)&gt;1,"DUPLICATE","OK"))</f>
        <v/>
      </c>
      <c r="R2410" s="0" t="str">
        <f aca="false">IF($C2410="","",IFERROR(VLOOKUP(--$C2410,MM_Income!$Z$5:$AC$204,3,FALSE()),""))</f>
        <v/>
      </c>
    </row>
    <row r="2411" customFormat="false" ht="13.5" hidden="false" customHeight="false" outlineLevel="0" collapsed="false">
      <c r="N2411" s="1" t="str">
        <f aca="false">IF(C2411="","",IFERROR(VLOOKUP(C2411,Master_Mappings!$A$4:$E$85,3,FALSE()),"UNMAPPED"))</f>
        <v/>
      </c>
      <c r="P2411" s="1" t="str">
        <f aca="false">IF($C2411="","",$C2411&amp;"|"&amp;$E2411&amp;"|"&amp;$M2411&amp;"|"&amp;TEXT($G2411,"yyyy-mm-dd")&amp;"|"&amp;LEFT($J2411,40))</f>
        <v/>
      </c>
      <c r="Q2411" s="11" t="str">
        <f aca="false">IF(P2411="","",IF(COUNTIF($P$2:$P$3000,P2411)&gt;1,"DUPLICATE","OK"))</f>
        <v/>
      </c>
      <c r="R2411" s="0" t="str">
        <f aca="false">IF($C2411="","",IFERROR(VLOOKUP(--$C2411,MM_Income!$Z$5:$AC$204,3,FALSE()),""))</f>
        <v/>
      </c>
    </row>
    <row r="2412" customFormat="false" ht="13.5" hidden="false" customHeight="false" outlineLevel="0" collapsed="false">
      <c r="N2412" s="1" t="str">
        <f aca="false">IF(C2412="","",IFERROR(VLOOKUP(C2412,Master_Mappings!$A$4:$E$85,3,FALSE()),"UNMAPPED"))</f>
        <v/>
      </c>
      <c r="P2412" s="1" t="str">
        <f aca="false">IF($C2412="","",$C2412&amp;"|"&amp;$E2412&amp;"|"&amp;$M2412&amp;"|"&amp;TEXT($G2412,"yyyy-mm-dd")&amp;"|"&amp;LEFT($J2412,40))</f>
        <v/>
      </c>
      <c r="Q2412" s="11" t="str">
        <f aca="false">IF(P2412="","",IF(COUNTIF($P$2:$P$3000,P2412)&gt;1,"DUPLICATE","OK"))</f>
        <v/>
      </c>
      <c r="R2412" s="0" t="str">
        <f aca="false">IF($C2412="","",IFERROR(VLOOKUP(--$C2412,MM_Income!$Z$5:$AC$204,3,FALSE()),""))</f>
        <v/>
      </c>
    </row>
    <row r="2413" customFormat="false" ht="13.5" hidden="false" customHeight="false" outlineLevel="0" collapsed="false">
      <c r="N2413" s="1" t="str">
        <f aca="false">IF(C2413="","",IFERROR(VLOOKUP(C2413,Master_Mappings!$A$4:$E$85,3,FALSE()),"UNMAPPED"))</f>
        <v/>
      </c>
      <c r="P2413" s="1" t="str">
        <f aca="false">IF($C2413="","",$C2413&amp;"|"&amp;$E2413&amp;"|"&amp;$M2413&amp;"|"&amp;TEXT($G2413,"yyyy-mm-dd")&amp;"|"&amp;LEFT($J2413,40))</f>
        <v/>
      </c>
      <c r="Q2413" s="11" t="str">
        <f aca="false">IF(P2413="","",IF(COUNTIF($P$2:$P$3000,P2413)&gt;1,"DUPLICATE","OK"))</f>
        <v/>
      </c>
      <c r="R2413" s="0" t="str">
        <f aca="false">IF($C2413="","",IFERROR(VLOOKUP(--$C2413,MM_Income!$Z$5:$AC$204,3,FALSE()),""))</f>
        <v/>
      </c>
    </row>
    <row r="2414" customFormat="false" ht="13.5" hidden="false" customHeight="false" outlineLevel="0" collapsed="false">
      <c r="N2414" s="1" t="str">
        <f aca="false">IF(C2414="","",IFERROR(VLOOKUP(C2414,Master_Mappings!$A$4:$E$85,3,FALSE()),"UNMAPPED"))</f>
        <v/>
      </c>
      <c r="P2414" s="1" t="str">
        <f aca="false">IF($C2414="","",$C2414&amp;"|"&amp;$E2414&amp;"|"&amp;$M2414&amp;"|"&amp;TEXT($G2414,"yyyy-mm-dd")&amp;"|"&amp;LEFT($J2414,40))</f>
        <v/>
      </c>
      <c r="Q2414" s="11" t="str">
        <f aca="false">IF(P2414="","",IF(COUNTIF($P$2:$P$3000,P2414)&gt;1,"DUPLICATE","OK"))</f>
        <v/>
      </c>
      <c r="R2414" s="0" t="str">
        <f aca="false">IF($C2414="","",IFERROR(VLOOKUP(--$C2414,MM_Income!$Z$5:$AC$204,3,FALSE()),""))</f>
        <v/>
      </c>
    </row>
    <row r="2415" customFormat="false" ht="13.5" hidden="false" customHeight="false" outlineLevel="0" collapsed="false">
      <c r="N2415" s="1" t="str">
        <f aca="false">IF(C2415="","",IFERROR(VLOOKUP(C2415,Master_Mappings!$A$4:$E$85,3,FALSE()),"UNMAPPED"))</f>
        <v/>
      </c>
      <c r="P2415" s="1" t="str">
        <f aca="false">IF($C2415="","",$C2415&amp;"|"&amp;$E2415&amp;"|"&amp;$M2415&amp;"|"&amp;TEXT($G2415,"yyyy-mm-dd")&amp;"|"&amp;LEFT($J2415,40))</f>
        <v/>
      </c>
      <c r="Q2415" s="11" t="str">
        <f aca="false">IF(P2415="","",IF(COUNTIF($P$2:$P$3000,P2415)&gt;1,"DUPLICATE","OK"))</f>
        <v/>
      </c>
      <c r="R2415" s="0" t="str">
        <f aca="false">IF($C2415="","",IFERROR(VLOOKUP(--$C2415,MM_Income!$Z$5:$AC$204,3,FALSE()),""))</f>
        <v/>
      </c>
    </row>
    <row r="2416" customFormat="false" ht="13.5" hidden="false" customHeight="false" outlineLevel="0" collapsed="false">
      <c r="N2416" s="1" t="str">
        <f aca="false">IF(C2416="","",IFERROR(VLOOKUP(C2416,Master_Mappings!$A$4:$E$85,3,FALSE()),"UNMAPPED"))</f>
        <v/>
      </c>
      <c r="P2416" s="1" t="str">
        <f aca="false">IF($C2416="","",$C2416&amp;"|"&amp;$E2416&amp;"|"&amp;$M2416&amp;"|"&amp;TEXT($G2416,"yyyy-mm-dd")&amp;"|"&amp;LEFT($J2416,40))</f>
        <v/>
      </c>
      <c r="Q2416" s="11" t="str">
        <f aca="false">IF(P2416="","",IF(COUNTIF($P$2:$P$3000,P2416)&gt;1,"DUPLICATE","OK"))</f>
        <v/>
      </c>
      <c r="R2416" s="0" t="str">
        <f aca="false">IF($C2416="","",IFERROR(VLOOKUP(--$C2416,MM_Income!$Z$5:$AC$204,3,FALSE()),""))</f>
        <v/>
      </c>
    </row>
    <row r="2417" customFormat="false" ht="13.5" hidden="false" customHeight="false" outlineLevel="0" collapsed="false">
      <c r="N2417" s="1" t="str">
        <f aca="false">IF(C2417="","",IFERROR(VLOOKUP(C2417,Master_Mappings!$A$4:$E$85,3,FALSE()),"UNMAPPED"))</f>
        <v/>
      </c>
      <c r="P2417" s="1" t="str">
        <f aca="false">IF($C2417="","",$C2417&amp;"|"&amp;$E2417&amp;"|"&amp;$M2417&amp;"|"&amp;TEXT($G2417,"yyyy-mm-dd")&amp;"|"&amp;LEFT($J2417,40))</f>
        <v/>
      </c>
      <c r="Q2417" s="11" t="str">
        <f aca="false">IF(P2417="","",IF(COUNTIF($P$2:$P$3000,P2417)&gt;1,"DUPLICATE","OK"))</f>
        <v/>
      </c>
      <c r="R2417" s="0" t="str">
        <f aca="false">IF($C2417="","",IFERROR(VLOOKUP(--$C2417,MM_Income!$Z$5:$AC$204,3,FALSE()),""))</f>
        <v/>
      </c>
    </row>
    <row r="2418" customFormat="false" ht="13.5" hidden="false" customHeight="false" outlineLevel="0" collapsed="false">
      <c r="N2418" s="1" t="str">
        <f aca="false">IF(C2418="","",IFERROR(VLOOKUP(C2418,Master_Mappings!$A$4:$E$85,3,FALSE()),"UNMAPPED"))</f>
        <v/>
      </c>
      <c r="P2418" s="1" t="str">
        <f aca="false">IF($C2418="","",$C2418&amp;"|"&amp;$E2418&amp;"|"&amp;$M2418&amp;"|"&amp;TEXT($G2418,"yyyy-mm-dd")&amp;"|"&amp;LEFT($J2418,40))</f>
        <v/>
      </c>
      <c r="Q2418" s="11" t="str">
        <f aca="false">IF(P2418="","",IF(COUNTIF($P$2:$P$3000,P2418)&gt;1,"DUPLICATE","OK"))</f>
        <v/>
      </c>
      <c r="R2418" s="0" t="str">
        <f aca="false">IF($C2418="","",IFERROR(VLOOKUP(--$C2418,MM_Income!$Z$5:$AC$204,3,FALSE()),""))</f>
        <v/>
      </c>
    </row>
    <row r="2419" customFormat="false" ht="13.5" hidden="false" customHeight="false" outlineLevel="0" collapsed="false">
      <c r="N2419" s="1" t="str">
        <f aca="false">IF(C2419="","",IFERROR(VLOOKUP(C2419,Master_Mappings!$A$4:$E$85,3,FALSE()),"UNMAPPED"))</f>
        <v/>
      </c>
      <c r="P2419" s="1" t="str">
        <f aca="false">IF($C2419="","",$C2419&amp;"|"&amp;$E2419&amp;"|"&amp;$M2419&amp;"|"&amp;TEXT($G2419,"yyyy-mm-dd")&amp;"|"&amp;LEFT($J2419,40))</f>
        <v/>
      </c>
      <c r="Q2419" s="11" t="str">
        <f aca="false">IF(P2419="","",IF(COUNTIF($P$2:$P$3000,P2419)&gt;1,"DUPLICATE","OK"))</f>
        <v/>
      </c>
      <c r="R2419" s="0" t="str">
        <f aca="false">IF($C2419="","",IFERROR(VLOOKUP(--$C2419,MM_Income!$Z$5:$AC$204,3,FALSE()),""))</f>
        <v/>
      </c>
    </row>
    <row r="2420" customFormat="false" ht="13.5" hidden="false" customHeight="false" outlineLevel="0" collapsed="false">
      <c r="N2420" s="1" t="str">
        <f aca="false">IF(C2420="","",IFERROR(VLOOKUP(C2420,Master_Mappings!$A$4:$E$85,3,FALSE()),"UNMAPPED"))</f>
        <v/>
      </c>
      <c r="P2420" s="1" t="str">
        <f aca="false">IF($C2420="","",$C2420&amp;"|"&amp;$E2420&amp;"|"&amp;$M2420&amp;"|"&amp;TEXT($G2420,"yyyy-mm-dd")&amp;"|"&amp;LEFT($J2420,40))</f>
        <v/>
      </c>
      <c r="Q2420" s="11" t="str">
        <f aca="false">IF(P2420="","",IF(COUNTIF($P$2:$P$3000,P2420)&gt;1,"DUPLICATE","OK"))</f>
        <v/>
      </c>
      <c r="R2420" s="0" t="str">
        <f aca="false">IF($C2420="","",IFERROR(VLOOKUP(--$C2420,MM_Income!$Z$5:$AC$204,3,FALSE()),""))</f>
        <v/>
      </c>
    </row>
    <row r="2421" customFormat="false" ht="13.5" hidden="false" customHeight="false" outlineLevel="0" collapsed="false">
      <c r="N2421" s="1" t="str">
        <f aca="false">IF(C2421="","",IFERROR(VLOOKUP(C2421,Master_Mappings!$A$4:$E$85,3,FALSE()),"UNMAPPED"))</f>
        <v/>
      </c>
      <c r="P2421" s="1" t="str">
        <f aca="false">IF($C2421="","",$C2421&amp;"|"&amp;$E2421&amp;"|"&amp;$M2421&amp;"|"&amp;TEXT($G2421,"yyyy-mm-dd")&amp;"|"&amp;LEFT($J2421,40))</f>
        <v/>
      </c>
      <c r="Q2421" s="11" t="str">
        <f aca="false">IF(P2421="","",IF(COUNTIF($P$2:$P$3000,P2421)&gt;1,"DUPLICATE","OK"))</f>
        <v/>
      </c>
      <c r="R2421" s="0" t="str">
        <f aca="false">IF($C2421="","",IFERROR(VLOOKUP(--$C2421,MM_Income!$Z$5:$AC$204,3,FALSE()),""))</f>
        <v/>
      </c>
    </row>
    <row r="2422" customFormat="false" ht="13.5" hidden="false" customHeight="false" outlineLevel="0" collapsed="false">
      <c r="N2422" s="1" t="str">
        <f aca="false">IF(C2422="","",IFERROR(VLOOKUP(C2422,Master_Mappings!$A$4:$E$85,3,FALSE()),"UNMAPPED"))</f>
        <v/>
      </c>
      <c r="P2422" s="1" t="str">
        <f aca="false">IF($C2422="","",$C2422&amp;"|"&amp;$E2422&amp;"|"&amp;$M2422&amp;"|"&amp;TEXT($G2422,"yyyy-mm-dd")&amp;"|"&amp;LEFT($J2422,40))</f>
        <v/>
      </c>
      <c r="Q2422" s="11" t="str">
        <f aca="false">IF(P2422="","",IF(COUNTIF($P$2:$P$3000,P2422)&gt;1,"DUPLICATE","OK"))</f>
        <v/>
      </c>
      <c r="R2422" s="0" t="str">
        <f aca="false">IF($C2422="","",IFERROR(VLOOKUP(--$C2422,MM_Income!$Z$5:$AC$204,3,FALSE()),""))</f>
        <v/>
      </c>
    </row>
    <row r="2423" customFormat="false" ht="13.5" hidden="false" customHeight="false" outlineLevel="0" collapsed="false">
      <c r="N2423" s="1" t="str">
        <f aca="false">IF(C2423="","",IFERROR(VLOOKUP(C2423,Master_Mappings!$A$4:$E$85,3,FALSE()),"UNMAPPED"))</f>
        <v/>
      </c>
      <c r="P2423" s="1" t="str">
        <f aca="false">IF($C2423="","",$C2423&amp;"|"&amp;$E2423&amp;"|"&amp;$M2423&amp;"|"&amp;TEXT($G2423,"yyyy-mm-dd")&amp;"|"&amp;LEFT($J2423,40))</f>
        <v/>
      </c>
      <c r="Q2423" s="11" t="str">
        <f aca="false">IF(P2423="","",IF(COUNTIF($P$2:$P$3000,P2423)&gt;1,"DUPLICATE","OK"))</f>
        <v/>
      </c>
      <c r="R2423" s="0" t="str">
        <f aca="false">IF($C2423="","",IFERROR(VLOOKUP(--$C2423,MM_Income!$Z$5:$AC$204,3,FALSE()),""))</f>
        <v/>
      </c>
    </row>
    <row r="2424" customFormat="false" ht="13.5" hidden="false" customHeight="false" outlineLevel="0" collapsed="false">
      <c r="N2424" s="1" t="str">
        <f aca="false">IF(C2424="","",IFERROR(VLOOKUP(C2424,Master_Mappings!$A$4:$E$85,3,FALSE()),"UNMAPPED"))</f>
        <v/>
      </c>
      <c r="P2424" s="1" t="str">
        <f aca="false">IF($C2424="","",$C2424&amp;"|"&amp;$E2424&amp;"|"&amp;$M2424&amp;"|"&amp;TEXT($G2424,"yyyy-mm-dd")&amp;"|"&amp;LEFT($J2424,40))</f>
        <v/>
      </c>
      <c r="Q2424" s="11" t="str">
        <f aca="false">IF(P2424="","",IF(COUNTIF($P$2:$P$3000,P2424)&gt;1,"DUPLICATE","OK"))</f>
        <v/>
      </c>
      <c r="R2424" s="0" t="str">
        <f aca="false">IF($C2424="","",IFERROR(VLOOKUP(--$C2424,MM_Income!$Z$5:$AC$204,3,FALSE()),""))</f>
        <v/>
      </c>
    </row>
    <row r="2425" customFormat="false" ht="13.5" hidden="false" customHeight="false" outlineLevel="0" collapsed="false">
      <c r="N2425" s="1" t="str">
        <f aca="false">IF(C2425="","",IFERROR(VLOOKUP(C2425,Master_Mappings!$A$4:$E$85,3,FALSE()),"UNMAPPED"))</f>
        <v/>
      </c>
      <c r="P2425" s="1" t="str">
        <f aca="false">IF($C2425="","",$C2425&amp;"|"&amp;$E2425&amp;"|"&amp;$M2425&amp;"|"&amp;TEXT($G2425,"yyyy-mm-dd")&amp;"|"&amp;LEFT($J2425,40))</f>
        <v/>
      </c>
      <c r="Q2425" s="11" t="str">
        <f aca="false">IF(P2425="","",IF(COUNTIF($P$2:$P$3000,P2425)&gt;1,"DUPLICATE","OK"))</f>
        <v/>
      </c>
      <c r="R2425" s="0" t="str">
        <f aca="false">IF($C2425="","",IFERROR(VLOOKUP(--$C2425,MM_Income!$Z$5:$AC$204,3,FALSE()),""))</f>
        <v/>
      </c>
    </row>
    <row r="2426" customFormat="false" ht="13.5" hidden="false" customHeight="false" outlineLevel="0" collapsed="false">
      <c r="N2426" s="1" t="str">
        <f aca="false">IF(C2426="","",IFERROR(VLOOKUP(C2426,Master_Mappings!$A$4:$E$85,3,FALSE()),"UNMAPPED"))</f>
        <v/>
      </c>
      <c r="P2426" s="1" t="str">
        <f aca="false">IF($C2426="","",$C2426&amp;"|"&amp;$E2426&amp;"|"&amp;$M2426&amp;"|"&amp;TEXT($G2426,"yyyy-mm-dd")&amp;"|"&amp;LEFT($J2426,40))</f>
        <v/>
      </c>
      <c r="Q2426" s="11" t="str">
        <f aca="false">IF(P2426="","",IF(COUNTIF($P$2:$P$3000,P2426)&gt;1,"DUPLICATE","OK"))</f>
        <v/>
      </c>
      <c r="R2426" s="0" t="str">
        <f aca="false">IF($C2426="","",IFERROR(VLOOKUP(--$C2426,MM_Income!$Z$5:$AC$204,3,FALSE()),""))</f>
        <v/>
      </c>
    </row>
    <row r="2427" customFormat="false" ht="13.5" hidden="false" customHeight="false" outlineLevel="0" collapsed="false">
      <c r="N2427" s="1" t="str">
        <f aca="false">IF(C2427="","",IFERROR(VLOOKUP(C2427,Master_Mappings!$A$4:$E$85,3,FALSE()),"UNMAPPED"))</f>
        <v/>
      </c>
      <c r="P2427" s="1" t="str">
        <f aca="false">IF($C2427="","",$C2427&amp;"|"&amp;$E2427&amp;"|"&amp;$M2427&amp;"|"&amp;TEXT($G2427,"yyyy-mm-dd")&amp;"|"&amp;LEFT($J2427,40))</f>
        <v/>
      </c>
      <c r="Q2427" s="11" t="str">
        <f aca="false">IF(P2427="","",IF(COUNTIF($P$2:$P$3000,P2427)&gt;1,"DUPLICATE","OK"))</f>
        <v/>
      </c>
      <c r="R2427" s="0" t="str">
        <f aca="false">IF($C2427="","",IFERROR(VLOOKUP(--$C2427,MM_Income!$Z$5:$AC$204,3,FALSE()),""))</f>
        <v/>
      </c>
    </row>
    <row r="2428" customFormat="false" ht="13.5" hidden="false" customHeight="false" outlineLevel="0" collapsed="false">
      <c r="N2428" s="1" t="str">
        <f aca="false">IF(C2428="","",IFERROR(VLOOKUP(C2428,Master_Mappings!$A$4:$E$85,3,FALSE()),"UNMAPPED"))</f>
        <v/>
      </c>
      <c r="P2428" s="1" t="str">
        <f aca="false">IF($C2428="","",$C2428&amp;"|"&amp;$E2428&amp;"|"&amp;$M2428&amp;"|"&amp;TEXT($G2428,"yyyy-mm-dd")&amp;"|"&amp;LEFT($J2428,40))</f>
        <v/>
      </c>
      <c r="Q2428" s="11" t="str">
        <f aca="false">IF(P2428="","",IF(COUNTIF($P$2:$P$3000,P2428)&gt;1,"DUPLICATE","OK"))</f>
        <v/>
      </c>
      <c r="R2428" s="0" t="str">
        <f aca="false">IF($C2428="","",IFERROR(VLOOKUP(--$C2428,MM_Income!$Z$5:$AC$204,3,FALSE()),""))</f>
        <v/>
      </c>
    </row>
    <row r="2429" customFormat="false" ht="13.5" hidden="false" customHeight="false" outlineLevel="0" collapsed="false">
      <c r="N2429" s="1" t="str">
        <f aca="false">IF(C2429="","",IFERROR(VLOOKUP(C2429,Master_Mappings!$A$4:$E$85,3,FALSE()),"UNMAPPED"))</f>
        <v/>
      </c>
      <c r="P2429" s="1" t="str">
        <f aca="false">IF($C2429="","",$C2429&amp;"|"&amp;$E2429&amp;"|"&amp;$M2429&amp;"|"&amp;TEXT($G2429,"yyyy-mm-dd")&amp;"|"&amp;LEFT($J2429,40))</f>
        <v/>
      </c>
      <c r="Q2429" s="11" t="str">
        <f aca="false">IF(P2429="","",IF(COUNTIF($P$2:$P$3000,P2429)&gt;1,"DUPLICATE","OK"))</f>
        <v/>
      </c>
      <c r="R2429" s="0" t="str">
        <f aca="false">IF($C2429="","",IFERROR(VLOOKUP(--$C2429,MM_Income!$Z$5:$AC$204,3,FALSE()),""))</f>
        <v/>
      </c>
    </row>
    <row r="2430" customFormat="false" ht="13.5" hidden="false" customHeight="false" outlineLevel="0" collapsed="false">
      <c r="N2430" s="1" t="str">
        <f aca="false">IF(C2430="","",IFERROR(VLOOKUP(C2430,Master_Mappings!$A$4:$E$85,3,FALSE()),"UNMAPPED"))</f>
        <v/>
      </c>
      <c r="P2430" s="1" t="str">
        <f aca="false">IF($C2430="","",$C2430&amp;"|"&amp;$E2430&amp;"|"&amp;$M2430&amp;"|"&amp;TEXT($G2430,"yyyy-mm-dd")&amp;"|"&amp;LEFT($J2430,40))</f>
        <v/>
      </c>
      <c r="Q2430" s="11" t="str">
        <f aca="false">IF(P2430="","",IF(COUNTIF($P$2:$P$3000,P2430)&gt;1,"DUPLICATE","OK"))</f>
        <v/>
      </c>
      <c r="R2430" s="0" t="str">
        <f aca="false">IF($C2430="","",IFERROR(VLOOKUP(--$C2430,MM_Income!$Z$5:$AC$204,3,FALSE()),""))</f>
        <v/>
      </c>
    </row>
    <row r="2431" customFormat="false" ht="13.5" hidden="false" customHeight="false" outlineLevel="0" collapsed="false">
      <c r="N2431" s="1" t="str">
        <f aca="false">IF(C2431="","",IFERROR(VLOOKUP(C2431,Master_Mappings!$A$4:$E$85,3,FALSE()),"UNMAPPED"))</f>
        <v/>
      </c>
      <c r="P2431" s="1" t="str">
        <f aca="false">IF($C2431="","",$C2431&amp;"|"&amp;$E2431&amp;"|"&amp;$M2431&amp;"|"&amp;TEXT($G2431,"yyyy-mm-dd")&amp;"|"&amp;LEFT($J2431,40))</f>
        <v/>
      </c>
      <c r="Q2431" s="11" t="str">
        <f aca="false">IF(P2431="","",IF(COUNTIF($P$2:$P$3000,P2431)&gt;1,"DUPLICATE","OK"))</f>
        <v/>
      </c>
      <c r="R2431" s="0" t="str">
        <f aca="false">IF($C2431="","",IFERROR(VLOOKUP(--$C2431,MM_Income!$Z$5:$AC$204,3,FALSE()),""))</f>
        <v/>
      </c>
    </row>
    <row r="2432" customFormat="false" ht="13.5" hidden="false" customHeight="false" outlineLevel="0" collapsed="false">
      <c r="N2432" s="1" t="str">
        <f aca="false">IF(C2432="","",IFERROR(VLOOKUP(C2432,Master_Mappings!$A$4:$E$85,3,FALSE()),"UNMAPPED"))</f>
        <v/>
      </c>
      <c r="P2432" s="1" t="str">
        <f aca="false">IF($C2432="","",$C2432&amp;"|"&amp;$E2432&amp;"|"&amp;$M2432&amp;"|"&amp;TEXT($G2432,"yyyy-mm-dd")&amp;"|"&amp;LEFT($J2432,40))</f>
        <v/>
      </c>
      <c r="Q2432" s="11" t="str">
        <f aca="false">IF(P2432="","",IF(COUNTIF($P$2:$P$3000,P2432)&gt;1,"DUPLICATE","OK"))</f>
        <v/>
      </c>
      <c r="R2432" s="0" t="str">
        <f aca="false">IF($C2432="","",IFERROR(VLOOKUP(--$C2432,MM_Income!$Z$5:$AC$204,3,FALSE()),""))</f>
        <v/>
      </c>
    </row>
    <row r="2433" customFormat="false" ht="13.5" hidden="false" customHeight="false" outlineLevel="0" collapsed="false">
      <c r="N2433" s="1" t="str">
        <f aca="false">IF(C2433="","",IFERROR(VLOOKUP(C2433,Master_Mappings!$A$4:$E$85,3,FALSE()),"UNMAPPED"))</f>
        <v/>
      </c>
      <c r="P2433" s="1" t="str">
        <f aca="false">IF($C2433="","",$C2433&amp;"|"&amp;$E2433&amp;"|"&amp;$M2433&amp;"|"&amp;TEXT($G2433,"yyyy-mm-dd")&amp;"|"&amp;LEFT($J2433,40))</f>
        <v/>
      </c>
      <c r="Q2433" s="11" t="str">
        <f aca="false">IF(P2433="","",IF(COUNTIF($P$2:$P$3000,P2433)&gt;1,"DUPLICATE","OK"))</f>
        <v/>
      </c>
      <c r="R2433" s="0" t="str">
        <f aca="false">IF($C2433="","",IFERROR(VLOOKUP(--$C2433,MM_Income!$Z$5:$AC$204,3,FALSE()),""))</f>
        <v/>
      </c>
    </row>
    <row r="2434" customFormat="false" ht="13.5" hidden="false" customHeight="false" outlineLevel="0" collapsed="false">
      <c r="N2434" s="1" t="str">
        <f aca="false">IF(C2434="","",IFERROR(VLOOKUP(C2434,Master_Mappings!$A$4:$E$85,3,FALSE()),"UNMAPPED"))</f>
        <v/>
      </c>
      <c r="P2434" s="1" t="str">
        <f aca="false">IF($C2434="","",$C2434&amp;"|"&amp;$E2434&amp;"|"&amp;$M2434&amp;"|"&amp;TEXT($G2434,"yyyy-mm-dd")&amp;"|"&amp;LEFT($J2434,40))</f>
        <v/>
      </c>
      <c r="Q2434" s="11" t="str">
        <f aca="false">IF(P2434="","",IF(COUNTIF($P$2:$P$3000,P2434)&gt;1,"DUPLICATE","OK"))</f>
        <v/>
      </c>
      <c r="R2434" s="0" t="str">
        <f aca="false">IF($C2434="","",IFERROR(VLOOKUP(--$C2434,MM_Income!$Z$5:$AC$204,3,FALSE()),""))</f>
        <v/>
      </c>
    </row>
    <row r="2435" customFormat="false" ht="13.5" hidden="false" customHeight="false" outlineLevel="0" collapsed="false">
      <c r="N2435" s="1" t="str">
        <f aca="false">IF(C2435="","",IFERROR(VLOOKUP(C2435,Master_Mappings!$A$4:$E$85,3,FALSE()),"UNMAPPED"))</f>
        <v/>
      </c>
      <c r="P2435" s="1" t="str">
        <f aca="false">IF($C2435="","",$C2435&amp;"|"&amp;$E2435&amp;"|"&amp;$M2435&amp;"|"&amp;TEXT($G2435,"yyyy-mm-dd")&amp;"|"&amp;LEFT($J2435,40))</f>
        <v/>
      </c>
      <c r="Q2435" s="11" t="str">
        <f aca="false">IF(P2435="","",IF(COUNTIF($P$2:$P$3000,P2435)&gt;1,"DUPLICATE","OK"))</f>
        <v/>
      </c>
      <c r="R2435" s="0" t="str">
        <f aca="false">IF($C2435="","",IFERROR(VLOOKUP(--$C2435,MM_Income!$Z$5:$AC$204,3,FALSE()),""))</f>
        <v/>
      </c>
    </row>
    <row r="2436" customFormat="false" ht="13.5" hidden="false" customHeight="false" outlineLevel="0" collapsed="false">
      <c r="N2436" s="1" t="str">
        <f aca="false">IF(C2436="","",IFERROR(VLOOKUP(C2436,Master_Mappings!$A$4:$E$85,3,FALSE()),"UNMAPPED"))</f>
        <v/>
      </c>
      <c r="P2436" s="1" t="str">
        <f aca="false">IF($C2436="","",$C2436&amp;"|"&amp;$E2436&amp;"|"&amp;$M2436&amp;"|"&amp;TEXT($G2436,"yyyy-mm-dd")&amp;"|"&amp;LEFT($J2436,40))</f>
        <v/>
      </c>
      <c r="Q2436" s="11" t="str">
        <f aca="false">IF(P2436="","",IF(COUNTIF($P$2:$P$3000,P2436)&gt;1,"DUPLICATE","OK"))</f>
        <v/>
      </c>
      <c r="R2436" s="0" t="str">
        <f aca="false">IF($C2436="","",IFERROR(VLOOKUP(--$C2436,MM_Income!$Z$5:$AC$204,3,FALSE()),""))</f>
        <v/>
      </c>
    </row>
    <row r="2437" customFormat="false" ht="13.5" hidden="false" customHeight="false" outlineLevel="0" collapsed="false">
      <c r="N2437" s="1" t="str">
        <f aca="false">IF(C2437="","",IFERROR(VLOOKUP(C2437,Master_Mappings!$A$4:$E$85,3,FALSE()),"UNMAPPED"))</f>
        <v/>
      </c>
      <c r="P2437" s="1" t="str">
        <f aca="false">IF($C2437="","",$C2437&amp;"|"&amp;$E2437&amp;"|"&amp;$M2437&amp;"|"&amp;TEXT($G2437,"yyyy-mm-dd")&amp;"|"&amp;LEFT($J2437,40))</f>
        <v/>
      </c>
      <c r="Q2437" s="11" t="str">
        <f aca="false">IF(P2437="","",IF(COUNTIF($P$2:$P$3000,P2437)&gt;1,"DUPLICATE","OK"))</f>
        <v/>
      </c>
      <c r="R2437" s="0" t="str">
        <f aca="false">IF($C2437="","",IFERROR(VLOOKUP(--$C2437,MM_Income!$Z$5:$AC$204,3,FALSE()),""))</f>
        <v/>
      </c>
    </row>
    <row r="2438" customFormat="false" ht="13.5" hidden="false" customHeight="false" outlineLevel="0" collapsed="false">
      <c r="N2438" s="1" t="str">
        <f aca="false">IF(C2438="","",IFERROR(VLOOKUP(C2438,Master_Mappings!$A$4:$E$85,3,FALSE()),"UNMAPPED"))</f>
        <v/>
      </c>
      <c r="P2438" s="1" t="str">
        <f aca="false">IF($C2438="","",$C2438&amp;"|"&amp;$E2438&amp;"|"&amp;$M2438&amp;"|"&amp;TEXT($G2438,"yyyy-mm-dd")&amp;"|"&amp;LEFT($J2438,40))</f>
        <v/>
      </c>
      <c r="Q2438" s="11" t="str">
        <f aca="false">IF(P2438="","",IF(COUNTIF($P$2:$P$3000,P2438)&gt;1,"DUPLICATE","OK"))</f>
        <v/>
      </c>
      <c r="R2438" s="0" t="str">
        <f aca="false">IF($C2438="","",IFERROR(VLOOKUP(--$C2438,MM_Income!$Z$5:$AC$204,3,FALSE()),""))</f>
        <v/>
      </c>
    </row>
    <row r="2439" customFormat="false" ht="13.5" hidden="false" customHeight="false" outlineLevel="0" collapsed="false">
      <c r="N2439" s="1" t="str">
        <f aca="false">IF(C2439="","",IFERROR(VLOOKUP(C2439,Master_Mappings!$A$4:$E$85,3,FALSE()),"UNMAPPED"))</f>
        <v/>
      </c>
      <c r="P2439" s="1" t="str">
        <f aca="false">IF($C2439="","",$C2439&amp;"|"&amp;$E2439&amp;"|"&amp;$M2439&amp;"|"&amp;TEXT($G2439,"yyyy-mm-dd")&amp;"|"&amp;LEFT($J2439,40))</f>
        <v/>
      </c>
      <c r="Q2439" s="11" t="str">
        <f aca="false">IF(P2439="","",IF(COUNTIF($P$2:$P$3000,P2439)&gt;1,"DUPLICATE","OK"))</f>
        <v/>
      </c>
      <c r="R2439" s="0" t="str">
        <f aca="false">IF($C2439="","",IFERROR(VLOOKUP(--$C2439,MM_Income!$Z$5:$AC$204,3,FALSE()),""))</f>
        <v/>
      </c>
    </row>
    <row r="2440" customFormat="false" ht="13.5" hidden="false" customHeight="false" outlineLevel="0" collapsed="false">
      <c r="N2440" s="1" t="str">
        <f aca="false">IF(C2440="","",IFERROR(VLOOKUP(C2440,Master_Mappings!$A$4:$E$85,3,FALSE()),"UNMAPPED"))</f>
        <v/>
      </c>
      <c r="P2440" s="1" t="str">
        <f aca="false">IF($C2440="","",$C2440&amp;"|"&amp;$E2440&amp;"|"&amp;$M2440&amp;"|"&amp;TEXT($G2440,"yyyy-mm-dd")&amp;"|"&amp;LEFT($J2440,40))</f>
        <v/>
      </c>
      <c r="Q2440" s="11" t="str">
        <f aca="false">IF(P2440="","",IF(COUNTIF($P$2:$P$3000,P2440)&gt;1,"DUPLICATE","OK"))</f>
        <v/>
      </c>
      <c r="R2440" s="0" t="str">
        <f aca="false">IF($C2440="","",IFERROR(VLOOKUP(--$C2440,MM_Income!$Z$5:$AC$204,3,FALSE()),""))</f>
        <v/>
      </c>
    </row>
    <row r="2441" customFormat="false" ht="13.5" hidden="false" customHeight="false" outlineLevel="0" collapsed="false">
      <c r="N2441" s="1" t="str">
        <f aca="false">IF(C2441="","",IFERROR(VLOOKUP(C2441,Master_Mappings!$A$4:$E$85,3,FALSE()),"UNMAPPED"))</f>
        <v/>
      </c>
      <c r="P2441" s="1" t="str">
        <f aca="false">IF($C2441="","",$C2441&amp;"|"&amp;$E2441&amp;"|"&amp;$M2441&amp;"|"&amp;TEXT($G2441,"yyyy-mm-dd")&amp;"|"&amp;LEFT($J2441,40))</f>
        <v/>
      </c>
      <c r="Q2441" s="11" t="str">
        <f aca="false">IF(P2441="","",IF(COUNTIF($P$2:$P$3000,P2441)&gt;1,"DUPLICATE","OK"))</f>
        <v/>
      </c>
      <c r="R2441" s="0" t="str">
        <f aca="false">IF($C2441="","",IFERROR(VLOOKUP(--$C2441,MM_Income!$Z$5:$AC$204,3,FALSE()),""))</f>
        <v/>
      </c>
    </row>
    <row r="2442" customFormat="false" ht="13.5" hidden="false" customHeight="false" outlineLevel="0" collapsed="false">
      <c r="N2442" s="1" t="str">
        <f aca="false">IF(C2442="","",IFERROR(VLOOKUP(C2442,Master_Mappings!$A$4:$E$85,3,FALSE()),"UNMAPPED"))</f>
        <v/>
      </c>
      <c r="P2442" s="1" t="str">
        <f aca="false">IF($C2442="","",$C2442&amp;"|"&amp;$E2442&amp;"|"&amp;$M2442&amp;"|"&amp;TEXT($G2442,"yyyy-mm-dd")&amp;"|"&amp;LEFT($J2442,40))</f>
        <v/>
      </c>
      <c r="Q2442" s="11" t="str">
        <f aca="false">IF(P2442="","",IF(COUNTIF($P$2:$P$3000,P2442)&gt;1,"DUPLICATE","OK"))</f>
        <v/>
      </c>
      <c r="R2442" s="0" t="str">
        <f aca="false">IF($C2442="","",IFERROR(VLOOKUP(--$C2442,MM_Income!$Z$5:$AC$204,3,FALSE()),""))</f>
        <v/>
      </c>
    </row>
    <row r="2443" customFormat="false" ht="13.5" hidden="false" customHeight="false" outlineLevel="0" collapsed="false">
      <c r="N2443" s="1" t="str">
        <f aca="false">IF(C2443="","",IFERROR(VLOOKUP(C2443,Master_Mappings!$A$4:$E$85,3,FALSE()),"UNMAPPED"))</f>
        <v/>
      </c>
      <c r="P2443" s="1" t="str">
        <f aca="false">IF($C2443="","",$C2443&amp;"|"&amp;$E2443&amp;"|"&amp;$M2443&amp;"|"&amp;TEXT($G2443,"yyyy-mm-dd")&amp;"|"&amp;LEFT($J2443,40))</f>
        <v/>
      </c>
      <c r="Q2443" s="11" t="str">
        <f aca="false">IF(P2443="","",IF(COUNTIF($P$2:$P$3000,P2443)&gt;1,"DUPLICATE","OK"))</f>
        <v/>
      </c>
      <c r="R2443" s="0" t="str">
        <f aca="false">IF($C2443="","",IFERROR(VLOOKUP(--$C2443,MM_Income!$Z$5:$AC$204,3,FALSE()),""))</f>
        <v/>
      </c>
    </row>
    <row r="2444" customFormat="false" ht="13.5" hidden="false" customHeight="false" outlineLevel="0" collapsed="false">
      <c r="N2444" s="1" t="str">
        <f aca="false">IF(C2444="","",IFERROR(VLOOKUP(C2444,Master_Mappings!$A$4:$E$85,3,FALSE()),"UNMAPPED"))</f>
        <v/>
      </c>
      <c r="P2444" s="1" t="str">
        <f aca="false">IF($C2444="","",$C2444&amp;"|"&amp;$E2444&amp;"|"&amp;$M2444&amp;"|"&amp;TEXT($G2444,"yyyy-mm-dd")&amp;"|"&amp;LEFT($J2444,40))</f>
        <v/>
      </c>
      <c r="Q2444" s="11" t="str">
        <f aca="false">IF(P2444="","",IF(COUNTIF($P$2:$P$3000,P2444)&gt;1,"DUPLICATE","OK"))</f>
        <v/>
      </c>
      <c r="R2444" s="0" t="str">
        <f aca="false">IF($C2444="","",IFERROR(VLOOKUP(--$C2444,MM_Income!$Z$5:$AC$204,3,FALSE()),""))</f>
        <v/>
      </c>
    </row>
    <row r="2445" customFormat="false" ht="13.5" hidden="false" customHeight="false" outlineLevel="0" collapsed="false">
      <c r="N2445" s="1" t="str">
        <f aca="false">IF(C2445="","",IFERROR(VLOOKUP(C2445,Master_Mappings!$A$4:$E$85,3,FALSE()),"UNMAPPED"))</f>
        <v/>
      </c>
      <c r="P2445" s="1" t="str">
        <f aca="false">IF($C2445="","",$C2445&amp;"|"&amp;$E2445&amp;"|"&amp;$M2445&amp;"|"&amp;TEXT($G2445,"yyyy-mm-dd")&amp;"|"&amp;LEFT($J2445,40))</f>
        <v/>
      </c>
      <c r="Q2445" s="11" t="str">
        <f aca="false">IF(P2445="","",IF(COUNTIF($P$2:$P$3000,P2445)&gt;1,"DUPLICATE","OK"))</f>
        <v/>
      </c>
      <c r="R2445" s="0" t="str">
        <f aca="false">IF($C2445="","",IFERROR(VLOOKUP(--$C2445,MM_Income!$Z$5:$AC$204,3,FALSE()),""))</f>
        <v/>
      </c>
    </row>
    <row r="2446" customFormat="false" ht="13.5" hidden="false" customHeight="false" outlineLevel="0" collapsed="false">
      <c r="N2446" s="1" t="str">
        <f aca="false">IF(C2446="","",IFERROR(VLOOKUP(C2446,Master_Mappings!$A$4:$E$85,3,FALSE()),"UNMAPPED"))</f>
        <v/>
      </c>
      <c r="P2446" s="1" t="str">
        <f aca="false">IF($C2446="","",$C2446&amp;"|"&amp;$E2446&amp;"|"&amp;$M2446&amp;"|"&amp;TEXT($G2446,"yyyy-mm-dd")&amp;"|"&amp;LEFT($J2446,40))</f>
        <v/>
      </c>
      <c r="Q2446" s="11" t="str">
        <f aca="false">IF(P2446="","",IF(COUNTIF($P$2:$P$3000,P2446)&gt;1,"DUPLICATE","OK"))</f>
        <v/>
      </c>
      <c r="R2446" s="0" t="str">
        <f aca="false">IF($C2446="","",IFERROR(VLOOKUP(--$C2446,MM_Income!$Z$5:$AC$204,3,FALSE()),""))</f>
        <v/>
      </c>
    </row>
    <row r="2447" customFormat="false" ht="13.5" hidden="false" customHeight="false" outlineLevel="0" collapsed="false">
      <c r="N2447" s="1" t="str">
        <f aca="false">IF(C2447="","",IFERROR(VLOOKUP(C2447,Master_Mappings!$A$4:$E$85,3,FALSE()),"UNMAPPED"))</f>
        <v/>
      </c>
      <c r="P2447" s="1" t="str">
        <f aca="false">IF($C2447="","",$C2447&amp;"|"&amp;$E2447&amp;"|"&amp;$M2447&amp;"|"&amp;TEXT($G2447,"yyyy-mm-dd")&amp;"|"&amp;LEFT($J2447,40))</f>
        <v/>
      </c>
      <c r="Q2447" s="11" t="str">
        <f aca="false">IF(P2447="","",IF(COUNTIF($P$2:$P$3000,P2447)&gt;1,"DUPLICATE","OK"))</f>
        <v/>
      </c>
      <c r="R2447" s="0" t="str">
        <f aca="false">IF($C2447="","",IFERROR(VLOOKUP(--$C2447,MM_Income!$Z$5:$AC$204,3,FALSE()),""))</f>
        <v/>
      </c>
    </row>
    <row r="2448" customFormat="false" ht="13.5" hidden="false" customHeight="false" outlineLevel="0" collapsed="false">
      <c r="N2448" s="1" t="str">
        <f aca="false">IF(C2448="","",IFERROR(VLOOKUP(C2448,Master_Mappings!$A$4:$E$85,3,FALSE()),"UNMAPPED"))</f>
        <v/>
      </c>
      <c r="P2448" s="1" t="str">
        <f aca="false">IF($C2448="","",$C2448&amp;"|"&amp;$E2448&amp;"|"&amp;$M2448&amp;"|"&amp;TEXT($G2448,"yyyy-mm-dd")&amp;"|"&amp;LEFT($J2448,40))</f>
        <v/>
      </c>
      <c r="Q2448" s="11" t="str">
        <f aca="false">IF(P2448="","",IF(COUNTIF($P$2:$P$3000,P2448)&gt;1,"DUPLICATE","OK"))</f>
        <v/>
      </c>
      <c r="R2448" s="0" t="str">
        <f aca="false">IF($C2448="","",IFERROR(VLOOKUP(--$C2448,MM_Income!$Z$5:$AC$204,3,FALSE()),""))</f>
        <v/>
      </c>
    </row>
    <row r="2449" customFormat="false" ht="13.5" hidden="false" customHeight="false" outlineLevel="0" collapsed="false">
      <c r="N2449" s="1" t="str">
        <f aca="false">IF(C2449="","",IFERROR(VLOOKUP(C2449,Master_Mappings!$A$4:$E$85,3,FALSE()),"UNMAPPED"))</f>
        <v/>
      </c>
      <c r="P2449" s="1" t="str">
        <f aca="false">IF($C2449="","",$C2449&amp;"|"&amp;$E2449&amp;"|"&amp;$M2449&amp;"|"&amp;TEXT($G2449,"yyyy-mm-dd")&amp;"|"&amp;LEFT($J2449,40))</f>
        <v/>
      </c>
      <c r="Q2449" s="11" t="str">
        <f aca="false">IF(P2449="","",IF(COUNTIF($P$2:$P$3000,P2449)&gt;1,"DUPLICATE","OK"))</f>
        <v/>
      </c>
      <c r="R2449" s="0" t="str">
        <f aca="false">IF($C2449="","",IFERROR(VLOOKUP(--$C2449,MM_Income!$Z$5:$AC$204,3,FALSE()),""))</f>
        <v/>
      </c>
    </row>
    <row r="2450" customFormat="false" ht="13.5" hidden="false" customHeight="false" outlineLevel="0" collapsed="false">
      <c r="N2450" s="1" t="str">
        <f aca="false">IF(C2450="","",IFERROR(VLOOKUP(C2450,Master_Mappings!$A$4:$E$85,3,FALSE()),"UNMAPPED"))</f>
        <v/>
      </c>
      <c r="P2450" s="1" t="str">
        <f aca="false">IF($C2450="","",$C2450&amp;"|"&amp;$E2450&amp;"|"&amp;$M2450&amp;"|"&amp;TEXT($G2450,"yyyy-mm-dd")&amp;"|"&amp;LEFT($J2450,40))</f>
        <v/>
      </c>
      <c r="Q2450" s="11" t="str">
        <f aca="false">IF(P2450="","",IF(COUNTIF($P$2:$P$3000,P2450)&gt;1,"DUPLICATE","OK"))</f>
        <v/>
      </c>
      <c r="R2450" s="0" t="str">
        <f aca="false">IF($C2450="","",IFERROR(VLOOKUP(--$C2450,MM_Income!$Z$5:$AC$204,3,FALSE()),""))</f>
        <v/>
      </c>
    </row>
    <row r="2451" customFormat="false" ht="13.5" hidden="false" customHeight="false" outlineLevel="0" collapsed="false">
      <c r="N2451" s="1" t="str">
        <f aca="false">IF(C2451="","",IFERROR(VLOOKUP(C2451,Master_Mappings!$A$4:$E$85,3,FALSE()),"UNMAPPED"))</f>
        <v/>
      </c>
      <c r="P2451" s="1" t="str">
        <f aca="false">IF($C2451="","",$C2451&amp;"|"&amp;$E2451&amp;"|"&amp;$M2451&amp;"|"&amp;TEXT($G2451,"yyyy-mm-dd")&amp;"|"&amp;LEFT($J2451,40))</f>
        <v/>
      </c>
      <c r="Q2451" s="11" t="str">
        <f aca="false">IF(P2451="","",IF(COUNTIF($P$2:$P$3000,P2451)&gt;1,"DUPLICATE","OK"))</f>
        <v/>
      </c>
      <c r="R2451" s="0" t="str">
        <f aca="false">IF($C2451="","",IFERROR(VLOOKUP(--$C2451,MM_Income!$Z$5:$AC$204,3,FALSE()),""))</f>
        <v/>
      </c>
    </row>
    <row r="2452" customFormat="false" ht="13.5" hidden="false" customHeight="false" outlineLevel="0" collapsed="false">
      <c r="N2452" s="1" t="str">
        <f aca="false">IF(C2452="","",IFERROR(VLOOKUP(C2452,Master_Mappings!$A$4:$E$85,3,FALSE()),"UNMAPPED"))</f>
        <v/>
      </c>
      <c r="P2452" s="1" t="str">
        <f aca="false">IF($C2452="","",$C2452&amp;"|"&amp;$E2452&amp;"|"&amp;$M2452&amp;"|"&amp;TEXT($G2452,"yyyy-mm-dd")&amp;"|"&amp;LEFT($J2452,40))</f>
        <v/>
      </c>
      <c r="Q2452" s="11" t="str">
        <f aca="false">IF(P2452="","",IF(COUNTIF($P$2:$P$3000,P2452)&gt;1,"DUPLICATE","OK"))</f>
        <v/>
      </c>
      <c r="R2452" s="0" t="str">
        <f aca="false">IF($C2452="","",IFERROR(VLOOKUP(--$C2452,MM_Income!$Z$5:$AC$204,3,FALSE()),""))</f>
        <v/>
      </c>
    </row>
    <row r="2453" customFormat="false" ht="13.5" hidden="false" customHeight="false" outlineLevel="0" collapsed="false">
      <c r="N2453" s="1" t="str">
        <f aca="false">IF(C2453="","",IFERROR(VLOOKUP(C2453,Master_Mappings!$A$4:$E$85,3,FALSE()),"UNMAPPED"))</f>
        <v/>
      </c>
      <c r="P2453" s="1" t="str">
        <f aca="false">IF($C2453="","",$C2453&amp;"|"&amp;$E2453&amp;"|"&amp;$M2453&amp;"|"&amp;TEXT($G2453,"yyyy-mm-dd")&amp;"|"&amp;LEFT($J2453,40))</f>
        <v/>
      </c>
      <c r="Q2453" s="11" t="str">
        <f aca="false">IF(P2453="","",IF(COUNTIF($P$2:$P$3000,P2453)&gt;1,"DUPLICATE","OK"))</f>
        <v/>
      </c>
      <c r="R2453" s="0" t="str">
        <f aca="false">IF($C2453="","",IFERROR(VLOOKUP(--$C2453,MM_Income!$Z$5:$AC$204,3,FALSE()),""))</f>
        <v/>
      </c>
    </row>
    <row r="2454" customFormat="false" ht="13.5" hidden="false" customHeight="false" outlineLevel="0" collapsed="false">
      <c r="N2454" s="1" t="str">
        <f aca="false">IF(C2454="","",IFERROR(VLOOKUP(C2454,Master_Mappings!$A$4:$E$85,3,FALSE()),"UNMAPPED"))</f>
        <v/>
      </c>
      <c r="P2454" s="1" t="str">
        <f aca="false">IF($C2454="","",$C2454&amp;"|"&amp;$E2454&amp;"|"&amp;$M2454&amp;"|"&amp;TEXT($G2454,"yyyy-mm-dd")&amp;"|"&amp;LEFT($J2454,40))</f>
        <v/>
      </c>
      <c r="Q2454" s="11" t="str">
        <f aca="false">IF(P2454="","",IF(COUNTIF($P$2:$P$3000,P2454)&gt;1,"DUPLICATE","OK"))</f>
        <v/>
      </c>
      <c r="R2454" s="0" t="str">
        <f aca="false">IF($C2454="","",IFERROR(VLOOKUP(--$C2454,MM_Income!$Z$5:$AC$204,3,FALSE()),""))</f>
        <v/>
      </c>
    </row>
    <row r="2455" customFormat="false" ht="13.5" hidden="false" customHeight="false" outlineLevel="0" collapsed="false">
      <c r="N2455" s="1" t="str">
        <f aca="false">IF(C2455="","",IFERROR(VLOOKUP(C2455,Master_Mappings!$A$4:$E$85,3,FALSE()),"UNMAPPED"))</f>
        <v/>
      </c>
      <c r="P2455" s="1" t="str">
        <f aca="false">IF($C2455="","",$C2455&amp;"|"&amp;$E2455&amp;"|"&amp;$M2455&amp;"|"&amp;TEXT($G2455,"yyyy-mm-dd")&amp;"|"&amp;LEFT($J2455,40))</f>
        <v/>
      </c>
      <c r="Q2455" s="11" t="str">
        <f aca="false">IF(P2455="","",IF(COUNTIF($P$2:$P$3000,P2455)&gt;1,"DUPLICATE","OK"))</f>
        <v/>
      </c>
      <c r="R2455" s="0" t="str">
        <f aca="false">IF($C2455="","",IFERROR(VLOOKUP(--$C2455,MM_Income!$Z$5:$AC$204,3,FALSE()),""))</f>
        <v/>
      </c>
    </row>
    <row r="2456" customFormat="false" ht="13.5" hidden="false" customHeight="false" outlineLevel="0" collapsed="false">
      <c r="N2456" s="1" t="str">
        <f aca="false">IF(C2456="","",IFERROR(VLOOKUP(C2456,Master_Mappings!$A$4:$E$85,3,FALSE()),"UNMAPPED"))</f>
        <v/>
      </c>
      <c r="P2456" s="1" t="str">
        <f aca="false">IF($C2456="","",$C2456&amp;"|"&amp;$E2456&amp;"|"&amp;$M2456&amp;"|"&amp;TEXT($G2456,"yyyy-mm-dd")&amp;"|"&amp;LEFT($J2456,40))</f>
        <v/>
      </c>
      <c r="Q2456" s="11" t="str">
        <f aca="false">IF(P2456="","",IF(COUNTIF($P$2:$P$3000,P2456)&gt;1,"DUPLICATE","OK"))</f>
        <v/>
      </c>
      <c r="R2456" s="0" t="str">
        <f aca="false">IF($C2456="","",IFERROR(VLOOKUP(--$C2456,MM_Income!$Z$5:$AC$204,3,FALSE()),""))</f>
        <v/>
      </c>
    </row>
    <row r="2457" customFormat="false" ht="13.5" hidden="false" customHeight="false" outlineLevel="0" collapsed="false">
      <c r="N2457" s="1" t="str">
        <f aca="false">IF(C2457="","",IFERROR(VLOOKUP(C2457,Master_Mappings!$A$4:$E$85,3,FALSE()),"UNMAPPED"))</f>
        <v/>
      </c>
      <c r="P2457" s="1" t="str">
        <f aca="false">IF($C2457="","",$C2457&amp;"|"&amp;$E2457&amp;"|"&amp;$M2457&amp;"|"&amp;TEXT($G2457,"yyyy-mm-dd")&amp;"|"&amp;LEFT($J2457,40))</f>
        <v/>
      </c>
      <c r="Q2457" s="11" t="str">
        <f aca="false">IF(P2457="","",IF(COUNTIF($P$2:$P$3000,P2457)&gt;1,"DUPLICATE","OK"))</f>
        <v/>
      </c>
      <c r="R2457" s="0" t="str">
        <f aca="false">IF($C2457="","",IFERROR(VLOOKUP(--$C2457,MM_Income!$Z$5:$AC$204,3,FALSE()),""))</f>
        <v/>
      </c>
    </row>
    <row r="2458" customFormat="false" ht="13.5" hidden="false" customHeight="false" outlineLevel="0" collapsed="false">
      <c r="N2458" s="1" t="str">
        <f aca="false">IF(C2458="","",IFERROR(VLOOKUP(C2458,Master_Mappings!$A$4:$E$85,3,FALSE()),"UNMAPPED"))</f>
        <v/>
      </c>
      <c r="P2458" s="1" t="str">
        <f aca="false">IF($C2458="","",$C2458&amp;"|"&amp;$E2458&amp;"|"&amp;$M2458&amp;"|"&amp;TEXT($G2458,"yyyy-mm-dd")&amp;"|"&amp;LEFT($J2458,40))</f>
        <v/>
      </c>
      <c r="Q2458" s="11" t="str">
        <f aca="false">IF(P2458="","",IF(COUNTIF($P$2:$P$3000,P2458)&gt;1,"DUPLICATE","OK"))</f>
        <v/>
      </c>
      <c r="R2458" s="0" t="str">
        <f aca="false">IF($C2458="","",IFERROR(VLOOKUP(--$C2458,MM_Income!$Z$5:$AC$204,3,FALSE()),""))</f>
        <v/>
      </c>
    </row>
    <row r="2459" customFormat="false" ht="13.5" hidden="false" customHeight="false" outlineLevel="0" collapsed="false">
      <c r="N2459" s="1" t="str">
        <f aca="false">IF(C2459="","",IFERROR(VLOOKUP(C2459,Master_Mappings!$A$4:$E$85,3,FALSE()),"UNMAPPED"))</f>
        <v/>
      </c>
      <c r="P2459" s="1" t="str">
        <f aca="false">IF($C2459="","",$C2459&amp;"|"&amp;$E2459&amp;"|"&amp;$M2459&amp;"|"&amp;TEXT($G2459,"yyyy-mm-dd")&amp;"|"&amp;LEFT($J2459,40))</f>
        <v/>
      </c>
      <c r="Q2459" s="11" t="str">
        <f aca="false">IF(P2459="","",IF(COUNTIF($P$2:$P$3000,P2459)&gt;1,"DUPLICATE","OK"))</f>
        <v/>
      </c>
      <c r="R2459" s="0" t="str">
        <f aca="false">IF($C2459="","",IFERROR(VLOOKUP(--$C2459,MM_Income!$Z$5:$AC$204,3,FALSE()),""))</f>
        <v/>
      </c>
    </row>
    <row r="2460" customFormat="false" ht="13.5" hidden="false" customHeight="false" outlineLevel="0" collapsed="false">
      <c r="N2460" s="1" t="str">
        <f aca="false">IF(C2460="","",IFERROR(VLOOKUP(C2460,Master_Mappings!$A$4:$E$85,3,FALSE()),"UNMAPPED"))</f>
        <v/>
      </c>
      <c r="P2460" s="1" t="str">
        <f aca="false">IF($C2460="","",$C2460&amp;"|"&amp;$E2460&amp;"|"&amp;$M2460&amp;"|"&amp;TEXT($G2460,"yyyy-mm-dd")&amp;"|"&amp;LEFT($J2460,40))</f>
        <v/>
      </c>
      <c r="Q2460" s="11" t="str">
        <f aca="false">IF(P2460="","",IF(COUNTIF($P$2:$P$3000,P2460)&gt;1,"DUPLICATE","OK"))</f>
        <v/>
      </c>
      <c r="R2460" s="0" t="str">
        <f aca="false">IF($C2460="","",IFERROR(VLOOKUP(--$C2460,MM_Income!$Z$5:$AC$204,3,FALSE()),""))</f>
        <v/>
      </c>
    </row>
    <row r="2461" customFormat="false" ht="13.5" hidden="false" customHeight="false" outlineLevel="0" collapsed="false">
      <c r="N2461" s="1" t="str">
        <f aca="false">IF(C2461="","",IFERROR(VLOOKUP(C2461,Master_Mappings!$A$4:$E$85,3,FALSE()),"UNMAPPED"))</f>
        <v/>
      </c>
      <c r="P2461" s="1" t="str">
        <f aca="false">IF($C2461="","",$C2461&amp;"|"&amp;$E2461&amp;"|"&amp;$M2461&amp;"|"&amp;TEXT($G2461,"yyyy-mm-dd")&amp;"|"&amp;LEFT($J2461,40))</f>
        <v/>
      </c>
      <c r="Q2461" s="11" t="str">
        <f aca="false">IF(P2461="","",IF(COUNTIF($P$2:$P$3000,P2461)&gt;1,"DUPLICATE","OK"))</f>
        <v/>
      </c>
      <c r="R2461" s="0" t="str">
        <f aca="false">IF($C2461="","",IFERROR(VLOOKUP(--$C2461,MM_Income!$Z$5:$AC$204,3,FALSE()),""))</f>
        <v/>
      </c>
    </row>
    <row r="2462" customFormat="false" ht="13.5" hidden="false" customHeight="false" outlineLevel="0" collapsed="false">
      <c r="N2462" s="1" t="str">
        <f aca="false">IF(C2462="","",IFERROR(VLOOKUP(C2462,Master_Mappings!$A$4:$E$85,3,FALSE()),"UNMAPPED"))</f>
        <v/>
      </c>
      <c r="P2462" s="1" t="str">
        <f aca="false">IF($C2462="","",$C2462&amp;"|"&amp;$E2462&amp;"|"&amp;$M2462&amp;"|"&amp;TEXT($G2462,"yyyy-mm-dd")&amp;"|"&amp;LEFT($J2462,40))</f>
        <v/>
      </c>
      <c r="Q2462" s="11" t="str">
        <f aca="false">IF(P2462="","",IF(COUNTIF($P$2:$P$3000,P2462)&gt;1,"DUPLICATE","OK"))</f>
        <v/>
      </c>
      <c r="R2462" s="0" t="str">
        <f aca="false">IF($C2462="","",IFERROR(VLOOKUP(--$C2462,MM_Income!$Z$5:$AC$204,3,FALSE()),""))</f>
        <v/>
      </c>
    </row>
    <row r="2463" customFormat="false" ht="13.5" hidden="false" customHeight="false" outlineLevel="0" collapsed="false">
      <c r="N2463" s="1" t="str">
        <f aca="false">IF(C2463="","",IFERROR(VLOOKUP(C2463,Master_Mappings!$A$4:$E$85,3,FALSE()),"UNMAPPED"))</f>
        <v/>
      </c>
      <c r="P2463" s="1" t="str">
        <f aca="false">IF($C2463="","",$C2463&amp;"|"&amp;$E2463&amp;"|"&amp;$M2463&amp;"|"&amp;TEXT($G2463,"yyyy-mm-dd")&amp;"|"&amp;LEFT($J2463,40))</f>
        <v/>
      </c>
      <c r="Q2463" s="11" t="str">
        <f aca="false">IF(P2463="","",IF(COUNTIF($P$2:$P$3000,P2463)&gt;1,"DUPLICATE","OK"))</f>
        <v/>
      </c>
      <c r="R2463" s="0" t="str">
        <f aca="false">IF($C2463="","",IFERROR(VLOOKUP(--$C2463,MM_Income!$Z$5:$AC$204,3,FALSE()),""))</f>
        <v/>
      </c>
    </row>
    <row r="2464" customFormat="false" ht="13.5" hidden="false" customHeight="false" outlineLevel="0" collapsed="false">
      <c r="N2464" s="1" t="str">
        <f aca="false">IF(C2464="","",IFERROR(VLOOKUP(C2464,Master_Mappings!$A$4:$E$85,3,FALSE()),"UNMAPPED"))</f>
        <v/>
      </c>
      <c r="P2464" s="1" t="str">
        <f aca="false">IF($C2464="","",$C2464&amp;"|"&amp;$E2464&amp;"|"&amp;$M2464&amp;"|"&amp;TEXT($G2464,"yyyy-mm-dd")&amp;"|"&amp;LEFT($J2464,40))</f>
        <v/>
      </c>
      <c r="Q2464" s="11" t="str">
        <f aca="false">IF(P2464="","",IF(COUNTIF($P$2:$P$3000,P2464)&gt;1,"DUPLICATE","OK"))</f>
        <v/>
      </c>
      <c r="R2464" s="0" t="str">
        <f aca="false">IF($C2464="","",IFERROR(VLOOKUP(--$C2464,MM_Income!$Z$5:$AC$204,3,FALSE()),""))</f>
        <v/>
      </c>
    </row>
    <row r="2465" customFormat="false" ht="13.5" hidden="false" customHeight="false" outlineLevel="0" collapsed="false">
      <c r="N2465" s="1" t="str">
        <f aca="false">IF(C2465="","",IFERROR(VLOOKUP(C2465,Master_Mappings!$A$4:$E$85,3,FALSE()),"UNMAPPED"))</f>
        <v/>
      </c>
      <c r="P2465" s="1" t="str">
        <f aca="false">IF($C2465="","",$C2465&amp;"|"&amp;$E2465&amp;"|"&amp;$M2465&amp;"|"&amp;TEXT($G2465,"yyyy-mm-dd")&amp;"|"&amp;LEFT($J2465,40))</f>
        <v/>
      </c>
      <c r="Q2465" s="11" t="str">
        <f aca="false">IF(P2465="","",IF(COUNTIF($P$2:$P$3000,P2465)&gt;1,"DUPLICATE","OK"))</f>
        <v/>
      </c>
      <c r="R2465" s="0" t="str">
        <f aca="false">IF($C2465="","",IFERROR(VLOOKUP(--$C2465,MM_Income!$Z$5:$AC$204,3,FALSE()),""))</f>
        <v/>
      </c>
    </row>
    <row r="2466" customFormat="false" ht="13.5" hidden="false" customHeight="false" outlineLevel="0" collapsed="false">
      <c r="N2466" s="1" t="str">
        <f aca="false">IF(C2466="","",IFERROR(VLOOKUP(C2466,Master_Mappings!$A$4:$E$85,3,FALSE()),"UNMAPPED"))</f>
        <v/>
      </c>
      <c r="P2466" s="1" t="str">
        <f aca="false">IF($C2466="","",$C2466&amp;"|"&amp;$E2466&amp;"|"&amp;$M2466&amp;"|"&amp;TEXT($G2466,"yyyy-mm-dd")&amp;"|"&amp;LEFT($J2466,40))</f>
        <v/>
      </c>
      <c r="Q2466" s="11" t="str">
        <f aca="false">IF(P2466="","",IF(COUNTIF($P$2:$P$3000,P2466)&gt;1,"DUPLICATE","OK"))</f>
        <v/>
      </c>
      <c r="R2466" s="0" t="str">
        <f aca="false">IF($C2466="","",IFERROR(VLOOKUP(--$C2466,MM_Income!$Z$5:$AC$204,3,FALSE()),""))</f>
        <v/>
      </c>
    </row>
    <row r="2467" customFormat="false" ht="13.5" hidden="false" customHeight="false" outlineLevel="0" collapsed="false">
      <c r="N2467" s="1" t="str">
        <f aca="false">IF(C2467="","",IFERROR(VLOOKUP(C2467,Master_Mappings!$A$4:$E$85,3,FALSE()),"UNMAPPED"))</f>
        <v/>
      </c>
      <c r="P2467" s="1" t="str">
        <f aca="false">IF($C2467="","",$C2467&amp;"|"&amp;$E2467&amp;"|"&amp;$M2467&amp;"|"&amp;TEXT($G2467,"yyyy-mm-dd")&amp;"|"&amp;LEFT($J2467,40))</f>
        <v/>
      </c>
      <c r="Q2467" s="11" t="str">
        <f aca="false">IF(P2467="","",IF(COUNTIF($P$2:$P$3000,P2467)&gt;1,"DUPLICATE","OK"))</f>
        <v/>
      </c>
      <c r="R2467" s="0" t="str">
        <f aca="false">IF($C2467="","",IFERROR(VLOOKUP(--$C2467,MM_Income!$Z$5:$AC$204,3,FALSE()),""))</f>
        <v/>
      </c>
    </row>
    <row r="2468" customFormat="false" ht="13.5" hidden="false" customHeight="false" outlineLevel="0" collapsed="false">
      <c r="N2468" s="1" t="str">
        <f aca="false">IF(C2468="","",IFERROR(VLOOKUP(C2468,Master_Mappings!$A$4:$E$85,3,FALSE()),"UNMAPPED"))</f>
        <v/>
      </c>
      <c r="P2468" s="1" t="str">
        <f aca="false">IF($C2468="","",$C2468&amp;"|"&amp;$E2468&amp;"|"&amp;$M2468&amp;"|"&amp;TEXT($G2468,"yyyy-mm-dd")&amp;"|"&amp;LEFT($J2468,40))</f>
        <v/>
      </c>
      <c r="Q2468" s="11" t="str">
        <f aca="false">IF(P2468="","",IF(COUNTIF($P$2:$P$3000,P2468)&gt;1,"DUPLICATE","OK"))</f>
        <v/>
      </c>
      <c r="R2468" s="0" t="str">
        <f aca="false">IF($C2468="","",IFERROR(VLOOKUP(--$C2468,MM_Income!$Z$5:$AC$204,3,FALSE()),""))</f>
        <v/>
      </c>
    </row>
    <row r="2469" customFormat="false" ht="13.5" hidden="false" customHeight="false" outlineLevel="0" collapsed="false">
      <c r="N2469" s="1" t="str">
        <f aca="false">IF(C2469="","",IFERROR(VLOOKUP(C2469,Master_Mappings!$A$4:$E$85,3,FALSE()),"UNMAPPED"))</f>
        <v/>
      </c>
      <c r="P2469" s="1" t="str">
        <f aca="false">IF($C2469="","",$C2469&amp;"|"&amp;$E2469&amp;"|"&amp;$M2469&amp;"|"&amp;TEXT($G2469,"yyyy-mm-dd")&amp;"|"&amp;LEFT($J2469,40))</f>
        <v/>
      </c>
      <c r="Q2469" s="11" t="str">
        <f aca="false">IF(P2469="","",IF(COUNTIF($P$2:$P$3000,P2469)&gt;1,"DUPLICATE","OK"))</f>
        <v/>
      </c>
      <c r="R2469" s="0" t="str">
        <f aca="false">IF($C2469="","",IFERROR(VLOOKUP(--$C2469,MM_Income!$Z$5:$AC$204,3,FALSE()),""))</f>
        <v/>
      </c>
    </row>
    <row r="2470" customFormat="false" ht="13.5" hidden="false" customHeight="false" outlineLevel="0" collapsed="false">
      <c r="N2470" s="1" t="str">
        <f aca="false">IF(C2470="","",IFERROR(VLOOKUP(C2470,Master_Mappings!$A$4:$E$85,3,FALSE()),"UNMAPPED"))</f>
        <v/>
      </c>
      <c r="P2470" s="1" t="str">
        <f aca="false">IF($C2470="","",$C2470&amp;"|"&amp;$E2470&amp;"|"&amp;$M2470&amp;"|"&amp;TEXT($G2470,"yyyy-mm-dd")&amp;"|"&amp;LEFT($J2470,40))</f>
        <v/>
      </c>
      <c r="Q2470" s="11" t="str">
        <f aca="false">IF(P2470="","",IF(COUNTIF($P$2:$P$3000,P2470)&gt;1,"DUPLICATE","OK"))</f>
        <v/>
      </c>
      <c r="R2470" s="0" t="str">
        <f aca="false">IF($C2470="","",IFERROR(VLOOKUP(--$C2470,MM_Income!$Z$5:$AC$204,3,FALSE()),""))</f>
        <v/>
      </c>
    </row>
    <row r="2471" customFormat="false" ht="13.5" hidden="false" customHeight="false" outlineLevel="0" collapsed="false">
      <c r="N2471" s="1" t="str">
        <f aca="false">IF(C2471="","",IFERROR(VLOOKUP(C2471,Master_Mappings!$A$4:$E$85,3,FALSE()),"UNMAPPED"))</f>
        <v/>
      </c>
      <c r="P2471" s="1" t="str">
        <f aca="false">IF($C2471="","",$C2471&amp;"|"&amp;$E2471&amp;"|"&amp;$M2471&amp;"|"&amp;TEXT($G2471,"yyyy-mm-dd")&amp;"|"&amp;LEFT($J2471,40))</f>
        <v/>
      </c>
      <c r="Q2471" s="11" t="str">
        <f aca="false">IF(P2471="","",IF(COUNTIF($P$2:$P$3000,P2471)&gt;1,"DUPLICATE","OK"))</f>
        <v/>
      </c>
      <c r="R2471" s="0" t="str">
        <f aca="false">IF($C2471="","",IFERROR(VLOOKUP(--$C2471,MM_Income!$Z$5:$AC$204,3,FALSE()),""))</f>
        <v/>
      </c>
    </row>
    <row r="2472" customFormat="false" ht="13.5" hidden="false" customHeight="false" outlineLevel="0" collapsed="false">
      <c r="N2472" s="1" t="str">
        <f aca="false">IF(C2472="","",IFERROR(VLOOKUP(C2472,Master_Mappings!$A$4:$E$85,3,FALSE()),"UNMAPPED"))</f>
        <v/>
      </c>
      <c r="P2472" s="1" t="str">
        <f aca="false">IF($C2472="","",$C2472&amp;"|"&amp;$E2472&amp;"|"&amp;$M2472&amp;"|"&amp;TEXT($G2472,"yyyy-mm-dd")&amp;"|"&amp;LEFT($J2472,40))</f>
        <v/>
      </c>
      <c r="Q2472" s="11" t="str">
        <f aca="false">IF(P2472="","",IF(COUNTIF($P$2:$P$3000,P2472)&gt;1,"DUPLICATE","OK"))</f>
        <v/>
      </c>
      <c r="R2472" s="0" t="str">
        <f aca="false">IF($C2472="","",IFERROR(VLOOKUP(--$C2472,MM_Income!$Z$5:$AC$204,3,FALSE()),""))</f>
        <v/>
      </c>
    </row>
    <row r="2473" customFormat="false" ht="13.5" hidden="false" customHeight="false" outlineLevel="0" collapsed="false">
      <c r="N2473" s="1" t="str">
        <f aca="false">IF(C2473="","",IFERROR(VLOOKUP(C2473,Master_Mappings!$A$4:$E$85,3,FALSE()),"UNMAPPED"))</f>
        <v/>
      </c>
      <c r="P2473" s="1" t="str">
        <f aca="false">IF($C2473="","",$C2473&amp;"|"&amp;$E2473&amp;"|"&amp;$M2473&amp;"|"&amp;TEXT($G2473,"yyyy-mm-dd")&amp;"|"&amp;LEFT($J2473,40))</f>
        <v/>
      </c>
      <c r="Q2473" s="11" t="str">
        <f aca="false">IF(P2473="","",IF(COUNTIF($P$2:$P$3000,P2473)&gt;1,"DUPLICATE","OK"))</f>
        <v/>
      </c>
      <c r="R2473" s="0" t="str">
        <f aca="false">IF($C2473="","",IFERROR(VLOOKUP(--$C2473,MM_Income!$Z$5:$AC$204,3,FALSE()),""))</f>
        <v/>
      </c>
    </row>
    <row r="2474" customFormat="false" ht="13.5" hidden="false" customHeight="false" outlineLevel="0" collapsed="false">
      <c r="N2474" s="1" t="str">
        <f aca="false">IF(C2474="","",IFERROR(VLOOKUP(C2474,Master_Mappings!$A$4:$E$85,3,FALSE()),"UNMAPPED"))</f>
        <v/>
      </c>
      <c r="P2474" s="1" t="str">
        <f aca="false">IF($C2474="","",$C2474&amp;"|"&amp;$E2474&amp;"|"&amp;$M2474&amp;"|"&amp;TEXT($G2474,"yyyy-mm-dd")&amp;"|"&amp;LEFT($J2474,40))</f>
        <v/>
      </c>
      <c r="Q2474" s="11" t="str">
        <f aca="false">IF(P2474="","",IF(COUNTIF($P$2:$P$3000,P2474)&gt;1,"DUPLICATE","OK"))</f>
        <v/>
      </c>
      <c r="R2474" s="0" t="str">
        <f aca="false">IF($C2474="","",IFERROR(VLOOKUP(--$C2474,MM_Income!$Z$5:$AC$204,3,FALSE()),""))</f>
        <v/>
      </c>
    </row>
    <row r="2475" customFormat="false" ht="13.5" hidden="false" customHeight="false" outlineLevel="0" collapsed="false">
      <c r="N2475" s="1" t="str">
        <f aca="false">IF(C2475="","",IFERROR(VLOOKUP(C2475,Master_Mappings!$A$4:$E$85,3,FALSE()),"UNMAPPED"))</f>
        <v/>
      </c>
      <c r="P2475" s="1" t="str">
        <f aca="false">IF($C2475="","",$C2475&amp;"|"&amp;$E2475&amp;"|"&amp;$M2475&amp;"|"&amp;TEXT($G2475,"yyyy-mm-dd")&amp;"|"&amp;LEFT($J2475,40))</f>
        <v/>
      </c>
      <c r="Q2475" s="11" t="str">
        <f aca="false">IF(P2475="","",IF(COUNTIF($P$2:$P$3000,P2475)&gt;1,"DUPLICATE","OK"))</f>
        <v/>
      </c>
      <c r="R2475" s="0" t="str">
        <f aca="false">IF($C2475="","",IFERROR(VLOOKUP(--$C2475,MM_Income!$Z$5:$AC$204,3,FALSE()),""))</f>
        <v/>
      </c>
    </row>
    <row r="2476" customFormat="false" ht="13.5" hidden="false" customHeight="false" outlineLevel="0" collapsed="false">
      <c r="N2476" s="1" t="str">
        <f aca="false">IF(C2476="","",IFERROR(VLOOKUP(C2476,Master_Mappings!$A$4:$E$85,3,FALSE()),"UNMAPPED"))</f>
        <v/>
      </c>
      <c r="P2476" s="1" t="str">
        <f aca="false">IF($C2476="","",$C2476&amp;"|"&amp;$E2476&amp;"|"&amp;$M2476&amp;"|"&amp;TEXT($G2476,"yyyy-mm-dd")&amp;"|"&amp;LEFT($J2476,40))</f>
        <v/>
      </c>
      <c r="Q2476" s="11" t="str">
        <f aca="false">IF(P2476="","",IF(COUNTIF($P$2:$P$3000,P2476)&gt;1,"DUPLICATE","OK"))</f>
        <v/>
      </c>
      <c r="R2476" s="0" t="str">
        <f aca="false">IF($C2476="","",IFERROR(VLOOKUP(--$C2476,MM_Income!$Z$5:$AC$204,3,FALSE()),""))</f>
        <v/>
      </c>
    </row>
    <row r="2477" customFormat="false" ht="13.5" hidden="false" customHeight="false" outlineLevel="0" collapsed="false">
      <c r="N2477" s="1" t="str">
        <f aca="false">IF(C2477="","",IFERROR(VLOOKUP(C2477,Master_Mappings!$A$4:$E$85,3,FALSE()),"UNMAPPED"))</f>
        <v/>
      </c>
      <c r="P2477" s="1" t="str">
        <f aca="false">IF($C2477="","",$C2477&amp;"|"&amp;$E2477&amp;"|"&amp;$M2477&amp;"|"&amp;TEXT($G2477,"yyyy-mm-dd")&amp;"|"&amp;LEFT($J2477,40))</f>
        <v/>
      </c>
      <c r="Q2477" s="11" t="str">
        <f aca="false">IF(P2477="","",IF(COUNTIF($P$2:$P$3000,P2477)&gt;1,"DUPLICATE","OK"))</f>
        <v/>
      </c>
      <c r="R2477" s="0" t="str">
        <f aca="false">IF($C2477="","",IFERROR(VLOOKUP(--$C2477,MM_Income!$Z$5:$AC$204,3,FALSE()),""))</f>
        <v/>
      </c>
    </row>
    <row r="2478" customFormat="false" ht="13.5" hidden="false" customHeight="false" outlineLevel="0" collapsed="false">
      <c r="N2478" s="1" t="str">
        <f aca="false">IF(C2478="","",IFERROR(VLOOKUP(C2478,Master_Mappings!$A$4:$E$85,3,FALSE()),"UNMAPPED"))</f>
        <v/>
      </c>
      <c r="P2478" s="1" t="str">
        <f aca="false">IF($C2478="","",$C2478&amp;"|"&amp;$E2478&amp;"|"&amp;$M2478&amp;"|"&amp;TEXT($G2478,"yyyy-mm-dd")&amp;"|"&amp;LEFT($J2478,40))</f>
        <v/>
      </c>
      <c r="Q2478" s="11" t="str">
        <f aca="false">IF(P2478="","",IF(COUNTIF($P$2:$P$3000,P2478)&gt;1,"DUPLICATE","OK"))</f>
        <v/>
      </c>
      <c r="R2478" s="0" t="str">
        <f aca="false">IF($C2478="","",IFERROR(VLOOKUP(--$C2478,MM_Income!$Z$5:$AC$204,3,FALSE()),""))</f>
        <v/>
      </c>
    </row>
    <row r="2479" customFormat="false" ht="13.5" hidden="false" customHeight="false" outlineLevel="0" collapsed="false">
      <c r="N2479" s="1" t="str">
        <f aca="false">IF(C2479="","",IFERROR(VLOOKUP(C2479,Master_Mappings!$A$4:$E$85,3,FALSE()),"UNMAPPED"))</f>
        <v/>
      </c>
      <c r="P2479" s="1" t="str">
        <f aca="false">IF($C2479="","",$C2479&amp;"|"&amp;$E2479&amp;"|"&amp;$M2479&amp;"|"&amp;TEXT($G2479,"yyyy-mm-dd")&amp;"|"&amp;LEFT($J2479,40))</f>
        <v/>
      </c>
      <c r="Q2479" s="11" t="str">
        <f aca="false">IF(P2479="","",IF(COUNTIF($P$2:$P$3000,P2479)&gt;1,"DUPLICATE","OK"))</f>
        <v/>
      </c>
      <c r="R2479" s="0" t="str">
        <f aca="false">IF($C2479="","",IFERROR(VLOOKUP(--$C2479,MM_Income!$Z$5:$AC$204,3,FALSE()),""))</f>
        <v/>
      </c>
    </row>
    <row r="2480" customFormat="false" ht="13.5" hidden="false" customHeight="false" outlineLevel="0" collapsed="false">
      <c r="N2480" s="1" t="str">
        <f aca="false">IF(C2480="","",IFERROR(VLOOKUP(C2480,Master_Mappings!$A$4:$E$85,3,FALSE()),"UNMAPPED"))</f>
        <v/>
      </c>
      <c r="P2480" s="1" t="str">
        <f aca="false">IF($C2480="","",$C2480&amp;"|"&amp;$E2480&amp;"|"&amp;$M2480&amp;"|"&amp;TEXT($G2480,"yyyy-mm-dd")&amp;"|"&amp;LEFT($J2480,40))</f>
        <v/>
      </c>
      <c r="Q2480" s="11" t="str">
        <f aca="false">IF(P2480="","",IF(COUNTIF($P$2:$P$3000,P2480)&gt;1,"DUPLICATE","OK"))</f>
        <v/>
      </c>
      <c r="R2480" s="0" t="str">
        <f aca="false">IF($C2480="","",IFERROR(VLOOKUP(--$C2480,MM_Income!$Z$5:$AC$204,3,FALSE()),""))</f>
        <v/>
      </c>
    </row>
    <row r="2481" customFormat="false" ht="13.5" hidden="false" customHeight="false" outlineLevel="0" collapsed="false">
      <c r="N2481" s="1" t="str">
        <f aca="false">IF(C2481="","",IFERROR(VLOOKUP(C2481,Master_Mappings!$A$4:$E$85,3,FALSE()),"UNMAPPED"))</f>
        <v/>
      </c>
      <c r="P2481" s="1" t="str">
        <f aca="false">IF($C2481="","",$C2481&amp;"|"&amp;$E2481&amp;"|"&amp;$M2481&amp;"|"&amp;TEXT($G2481,"yyyy-mm-dd")&amp;"|"&amp;LEFT($J2481,40))</f>
        <v/>
      </c>
      <c r="Q2481" s="11" t="str">
        <f aca="false">IF(P2481="","",IF(COUNTIF($P$2:$P$3000,P2481)&gt;1,"DUPLICATE","OK"))</f>
        <v/>
      </c>
      <c r="R2481" s="0" t="str">
        <f aca="false">IF($C2481="","",IFERROR(VLOOKUP(--$C2481,MM_Income!$Z$5:$AC$204,3,FALSE()),""))</f>
        <v/>
      </c>
    </row>
    <row r="2482" customFormat="false" ht="13.5" hidden="false" customHeight="false" outlineLevel="0" collapsed="false">
      <c r="N2482" s="1" t="str">
        <f aca="false">IF(C2482="","",IFERROR(VLOOKUP(C2482,Master_Mappings!$A$4:$E$85,3,FALSE()),"UNMAPPED"))</f>
        <v/>
      </c>
      <c r="P2482" s="1" t="str">
        <f aca="false">IF($C2482="","",$C2482&amp;"|"&amp;$E2482&amp;"|"&amp;$M2482&amp;"|"&amp;TEXT($G2482,"yyyy-mm-dd")&amp;"|"&amp;LEFT($J2482,40))</f>
        <v/>
      </c>
      <c r="Q2482" s="11" t="str">
        <f aca="false">IF(P2482="","",IF(COUNTIF($P$2:$P$3000,P2482)&gt;1,"DUPLICATE","OK"))</f>
        <v/>
      </c>
      <c r="R2482" s="0" t="str">
        <f aca="false">IF($C2482="","",IFERROR(VLOOKUP(--$C2482,MM_Income!$Z$5:$AC$204,3,FALSE()),""))</f>
        <v/>
      </c>
    </row>
    <row r="2483" customFormat="false" ht="13.5" hidden="false" customHeight="false" outlineLevel="0" collapsed="false">
      <c r="N2483" s="1" t="str">
        <f aca="false">IF(C2483="","",IFERROR(VLOOKUP(C2483,Master_Mappings!$A$4:$E$85,3,FALSE()),"UNMAPPED"))</f>
        <v/>
      </c>
      <c r="P2483" s="1" t="str">
        <f aca="false">IF($C2483="","",$C2483&amp;"|"&amp;$E2483&amp;"|"&amp;$M2483&amp;"|"&amp;TEXT($G2483,"yyyy-mm-dd")&amp;"|"&amp;LEFT($J2483,40))</f>
        <v/>
      </c>
      <c r="Q2483" s="11" t="str">
        <f aca="false">IF(P2483="","",IF(COUNTIF($P$2:$P$3000,P2483)&gt;1,"DUPLICATE","OK"))</f>
        <v/>
      </c>
      <c r="R2483" s="0" t="str">
        <f aca="false">IF($C2483="","",IFERROR(VLOOKUP(--$C2483,MM_Income!$Z$5:$AC$204,3,FALSE()),""))</f>
        <v/>
      </c>
    </row>
    <row r="2484" customFormat="false" ht="13.5" hidden="false" customHeight="false" outlineLevel="0" collapsed="false">
      <c r="N2484" s="1" t="str">
        <f aca="false">IF(C2484="","",IFERROR(VLOOKUP(C2484,Master_Mappings!$A$4:$E$85,3,FALSE()),"UNMAPPED"))</f>
        <v/>
      </c>
      <c r="P2484" s="1" t="str">
        <f aca="false">IF($C2484="","",$C2484&amp;"|"&amp;$E2484&amp;"|"&amp;$M2484&amp;"|"&amp;TEXT($G2484,"yyyy-mm-dd")&amp;"|"&amp;LEFT($J2484,40))</f>
        <v/>
      </c>
      <c r="Q2484" s="11" t="str">
        <f aca="false">IF(P2484="","",IF(COUNTIF($P$2:$P$3000,P2484)&gt;1,"DUPLICATE","OK"))</f>
        <v/>
      </c>
      <c r="R2484" s="0" t="str">
        <f aca="false">IF($C2484="","",IFERROR(VLOOKUP(--$C2484,MM_Income!$Z$5:$AC$204,3,FALSE()),""))</f>
        <v/>
      </c>
    </row>
    <row r="2485" customFormat="false" ht="13.5" hidden="false" customHeight="false" outlineLevel="0" collapsed="false">
      <c r="N2485" s="1" t="str">
        <f aca="false">IF(C2485="","",IFERROR(VLOOKUP(C2485,Master_Mappings!$A$4:$E$85,3,FALSE()),"UNMAPPED"))</f>
        <v/>
      </c>
      <c r="P2485" s="1" t="str">
        <f aca="false">IF($C2485="","",$C2485&amp;"|"&amp;$E2485&amp;"|"&amp;$M2485&amp;"|"&amp;TEXT($G2485,"yyyy-mm-dd")&amp;"|"&amp;LEFT($J2485,40))</f>
        <v/>
      </c>
      <c r="Q2485" s="11" t="str">
        <f aca="false">IF(P2485="","",IF(COUNTIF($P$2:$P$3000,P2485)&gt;1,"DUPLICATE","OK"))</f>
        <v/>
      </c>
      <c r="R2485" s="0" t="str">
        <f aca="false">IF($C2485="","",IFERROR(VLOOKUP(--$C2485,MM_Income!$Z$5:$AC$204,3,FALSE()),""))</f>
        <v/>
      </c>
    </row>
    <row r="2486" customFormat="false" ht="13.5" hidden="false" customHeight="false" outlineLevel="0" collapsed="false">
      <c r="N2486" s="1" t="str">
        <f aca="false">IF(C2486="","",IFERROR(VLOOKUP(C2486,Master_Mappings!$A$4:$E$85,3,FALSE()),"UNMAPPED"))</f>
        <v/>
      </c>
      <c r="P2486" s="1" t="str">
        <f aca="false">IF($C2486="","",$C2486&amp;"|"&amp;$E2486&amp;"|"&amp;$M2486&amp;"|"&amp;TEXT($G2486,"yyyy-mm-dd")&amp;"|"&amp;LEFT($J2486,40))</f>
        <v/>
      </c>
      <c r="Q2486" s="11" t="str">
        <f aca="false">IF(P2486="","",IF(COUNTIF($P$2:$P$3000,P2486)&gt;1,"DUPLICATE","OK"))</f>
        <v/>
      </c>
      <c r="R2486" s="0" t="str">
        <f aca="false">IF($C2486="","",IFERROR(VLOOKUP(--$C2486,MM_Income!$Z$5:$AC$204,3,FALSE()),""))</f>
        <v/>
      </c>
    </row>
    <row r="2487" customFormat="false" ht="13.5" hidden="false" customHeight="false" outlineLevel="0" collapsed="false">
      <c r="N2487" s="1" t="str">
        <f aca="false">IF(C2487="","",IFERROR(VLOOKUP(C2487,Master_Mappings!$A$4:$E$85,3,FALSE()),"UNMAPPED"))</f>
        <v/>
      </c>
      <c r="P2487" s="1" t="str">
        <f aca="false">IF($C2487="","",$C2487&amp;"|"&amp;$E2487&amp;"|"&amp;$M2487&amp;"|"&amp;TEXT($G2487,"yyyy-mm-dd")&amp;"|"&amp;LEFT($J2487,40))</f>
        <v/>
      </c>
      <c r="Q2487" s="11" t="str">
        <f aca="false">IF(P2487="","",IF(COUNTIF($P$2:$P$3000,P2487)&gt;1,"DUPLICATE","OK"))</f>
        <v/>
      </c>
      <c r="R2487" s="0" t="str">
        <f aca="false">IF($C2487="","",IFERROR(VLOOKUP(--$C2487,MM_Income!$Z$5:$AC$204,3,FALSE()),""))</f>
        <v/>
      </c>
    </row>
    <row r="2488" customFormat="false" ht="13.5" hidden="false" customHeight="false" outlineLevel="0" collapsed="false">
      <c r="N2488" s="1" t="str">
        <f aca="false">IF(C2488="","",IFERROR(VLOOKUP(C2488,Master_Mappings!$A$4:$E$85,3,FALSE()),"UNMAPPED"))</f>
        <v/>
      </c>
      <c r="P2488" s="1" t="str">
        <f aca="false">IF($C2488="","",$C2488&amp;"|"&amp;$E2488&amp;"|"&amp;$M2488&amp;"|"&amp;TEXT($G2488,"yyyy-mm-dd")&amp;"|"&amp;LEFT($J2488,40))</f>
        <v/>
      </c>
      <c r="Q2488" s="11" t="str">
        <f aca="false">IF(P2488="","",IF(COUNTIF($P$2:$P$3000,P2488)&gt;1,"DUPLICATE","OK"))</f>
        <v/>
      </c>
      <c r="R2488" s="0" t="str">
        <f aca="false">IF($C2488="","",IFERROR(VLOOKUP(--$C2488,MM_Income!$Z$5:$AC$204,3,FALSE()),""))</f>
        <v/>
      </c>
    </row>
    <row r="2489" customFormat="false" ht="13.5" hidden="false" customHeight="false" outlineLevel="0" collapsed="false">
      <c r="N2489" s="1" t="str">
        <f aca="false">IF(C2489="","",IFERROR(VLOOKUP(C2489,Master_Mappings!$A$4:$E$85,3,FALSE()),"UNMAPPED"))</f>
        <v/>
      </c>
      <c r="P2489" s="1" t="str">
        <f aca="false">IF($C2489="","",$C2489&amp;"|"&amp;$E2489&amp;"|"&amp;$M2489&amp;"|"&amp;TEXT($G2489,"yyyy-mm-dd")&amp;"|"&amp;LEFT($J2489,40))</f>
        <v/>
      </c>
      <c r="Q2489" s="11" t="str">
        <f aca="false">IF(P2489="","",IF(COUNTIF($P$2:$P$3000,P2489)&gt;1,"DUPLICATE","OK"))</f>
        <v/>
      </c>
      <c r="R2489" s="0" t="str">
        <f aca="false">IF($C2489="","",IFERROR(VLOOKUP(--$C2489,MM_Income!$Z$5:$AC$204,3,FALSE()),""))</f>
        <v/>
      </c>
    </row>
    <row r="2490" customFormat="false" ht="13.5" hidden="false" customHeight="false" outlineLevel="0" collapsed="false">
      <c r="N2490" s="1" t="str">
        <f aca="false">IF(C2490="","",IFERROR(VLOOKUP(C2490,Master_Mappings!$A$4:$E$85,3,FALSE()),"UNMAPPED"))</f>
        <v/>
      </c>
      <c r="P2490" s="1" t="str">
        <f aca="false">IF($C2490="","",$C2490&amp;"|"&amp;$E2490&amp;"|"&amp;$M2490&amp;"|"&amp;TEXT($G2490,"yyyy-mm-dd")&amp;"|"&amp;LEFT($J2490,40))</f>
        <v/>
      </c>
      <c r="Q2490" s="11" t="str">
        <f aca="false">IF(P2490="","",IF(COUNTIF($P$2:$P$3000,P2490)&gt;1,"DUPLICATE","OK"))</f>
        <v/>
      </c>
      <c r="R2490" s="0" t="str">
        <f aca="false">IF($C2490="","",IFERROR(VLOOKUP(--$C2490,MM_Income!$Z$5:$AC$204,3,FALSE()),""))</f>
        <v/>
      </c>
    </row>
    <row r="2491" customFormat="false" ht="13.5" hidden="false" customHeight="false" outlineLevel="0" collapsed="false">
      <c r="N2491" s="1" t="str">
        <f aca="false">IF(C2491="","",IFERROR(VLOOKUP(C2491,Master_Mappings!$A$4:$E$85,3,FALSE()),"UNMAPPED"))</f>
        <v/>
      </c>
      <c r="P2491" s="1" t="str">
        <f aca="false">IF($C2491="","",$C2491&amp;"|"&amp;$E2491&amp;"|"&amp;$M2491&amp;"|"&amp;TEXT($G2491,"yyyy-mm-dd")&amp;"|"&amp;LEFT($J2491,40))</f>
        <v/>
      </c>
      <c r="Q2491" s="11" t="str">
        <f aca="false">IF(P2491="","",IF(COUNTIF($P$2:$P$3000,P2491)&gt;1,"DUPLICATE","OK"))</f>
        <v/>
      </c>
      <c r="R2491" s="0" t="str">
        <f aca="false">IF($C2491="","",IFERROR(VLOOKUP(--$C2491,MM_Income!$Z$5:$AC$204,3,FALSE()),""))</f>
        <v/>
      </c>
    </row>
    <row r="2492" customFormat="false" ht="13.5" hidden="false" customHeight="false" outlineLevel="0" collapsed="false">
      <c r="N2492" s="1" t="str">
        <f aca="false">IF(C2492="","",IFERROR(VLOOKUP(C2492,Master_Mappings!$A$4:$E$85,3,FALSE()),"UNMAPPED"))</f>
        <v/>
      </c>
      <c r="P2492" s="1" t="str">
        <f aca="false">IF($C2492="","",$C2492&amp;"|"&amp;$E2492&amp;"|"&amp;$M2492&amp;"|"&amp;TEXT($G2492,"yyyy-mm-dd")&amp;"|"&amp;LEFT($J2492,40))</f>
        <v/>
      </c>
      <c r="Q2492" s="11" t="str">
        <f aca="false">IF(P2492="","",IF(COUNTIF($P$2:$P$3000,P2492)&gt;1,"DUPLICATE","OK"))</f>
        <v/>
      </c>
      <c r="R2492" s="0" t="str">
        <f aca="false">IF($C2492="","",IFERROR(VLOOKUP(--$C2492,MM_Income!$Z$5:$AC$204,3,FALSE()),""))</f>
        <v/>
      </c>
    </row>
    <row r="2493" customFormat="false" ht="13.5" hidden="false" customHeight="false" outlineLevel="0" collapsed="false">
      <c r="N2493" s="1" t="str">
        <f aca="false">IF(C2493="","",IFERROR(VLOOKUP(C2493,Master_Mappings!$A$4:$E$85,3,FALSE()),"UNMAPPED"))</f>
        <v/>
      </c>
      <c r="P2493" s="1" t="str">
        <f aca="false">IF($C2493="","",$C2493&amp;"|"&amp;$E2493&amp;"|"&amp;$M2493&amp;"|"&amp;TEXT($G2493,"yyyy-mm-dd")&amp;"|"&amp;LEFT($J2493,40))</f>
        <v/>
      </c>
      <c r="Q2493" s="11" t="str">
        <f aca="false">IF(P2493="","",IF(COUNTIF($P$2:$P$3000,P2493)&gt;1,"DUPLICATE","OK"))</f>
        <v/>
      </c>
      <c r="R2493" s="0" t="str">
        <f aca="false">IF($C2493="","",IFERROR(VLOOKUP(--$C2493,MM_Income!$Z$5:$AC$204,3,FALSE()),""))</f>
        <v/>
      </c>
    </row>
    <row r="2494" customFormat="false" ht="13.5" hidden="false" customHeight="false" outlineLevel="0" collapsed="false">
      <c r="N2494" s="1" t="str">
        <f aca="false">IF(C2494="","",IFERROR(VLOOKUP(C2494,Master_Mappings!$A$4:$E$85,3,FALSE()),"UNMAPPED"))</f>
        <v/>
      </c>
      <c r="P2494" s="1" t="str">
        <f aca="false">IF($C2494="","",$C2494&amp;"|"&amp;$E2494&amp;"|"&amp;$M2494&amp;"|"&amp;TEXT($G2494,"yyyy-mm-dd")&amp;"|"&amp;LEFT($J2494,40))</f>
        <v/>
      </c>
      <c r="Q2494" s="11" t="str">
        <f aca="false">IF(P2494="","",IF(COUNTIF($P$2:$P$3000,P2494)&gt;1,"DUPLICATE","OK"))</f>
        <v/>
      </c>
      <c r="R2494" s="0" t="str">
        <f aca="false">IF($C2494="","",IFERROR(VLOOKUP(--$C2494,MM_Income!$Z$5:$AC$204,3,FALSE()),""))</f>
        <v/>
      </c>
    </row>
    <row r="2495" customFormat="false" ht="13.5" hidden="false" customHeight="false" outlineLevel="0" collapsed="false">
      <c r="N2495" s="1" t="str">
        <f aca="false">IF(C2495="","",IFERROR(VLOOKUP(C2495,Master_Mappings!$A$4:$E$85,3,FALSE()),"UNMAPPED"))</f>
        <v/>
      </c>
      <c r="P2495" s="1" t="str">
        <f aca="false">IF($C2495="","",$C2495&amp;"|"&amp;$E2495&amp;"|"&amp;$M2495&amp;"|"&amp;TEXT($G2495,"yyyy-mm-dd")&amp;"|"&amp;LEFT($J2495,40))</f>
        <v/>
      </c>
      <c r="Q2495" s="11" t="str">
        <f aca="false">IF(P2495="","",IF(COUNTIF($P$2:$P$3000,P2495)&gt;1,"DUPLICATE","OK"))</f>
        <v/>
      </c>
      <c r="R2495" s="0" t="str">
        <f aca="false">IF($C2495="","",IFERROR(VLOOKUP(--$C2495,MM_Income!$Z$5:$AC$204,3,FALSE()),""))</f>
        <v/>
      </c>
    </row>
    <row r="2496" customFormat="false" ht="13.5" hidden="false" customHeight="false" outlineLevel="0" collapsed="false">
      <c r="N2496" s="1" t="str">
        <f aca="false">IF(C2496="","",IFERROR(VLOOKUP(C2496,Master_Mappings!$A$4:$E$85,3,FALSE()),"UNMAPPED"))</f>
        <v/>
      </c>
      <c r="P2496" s="1" t="str">
        <f aca="false">IF($C2496="","",$C2496&amp;"|"&amp;$E2496&amp;"|"&amp;$M2496&amp;"|"&amp;TEXT($G2496,"yyyy-mm-dd")&amp;"|"&amp;LEFT($J2496,40))</f>
        <v/>
      </c>
      <c r="Q2496" s="11" t="str">
        <f aca="false">IF(P2496="","",IF(COUNTIF($P$2:$P$3000,P2496)&gt;1,"DUPLICATE","OK"))</f>
        <v/>
      </c>
      <c r="R2496" s="0" t="str">
        <f aca="false">IF($C2496="","",IFERROR(VLOOKUP(--$C2496,MM_Income!$Z$5:$AC$204,3,FALSE()),""))</f>
        <v/>
      </c>
    </row>
    <row r="2497" customFormat="false" ht="13.5" hidden="false" customHeight="false" outlineLevel="0" collapsed="false">
      <c r="N2497" s="1" t="str">
        <f aca="false">IF(C2497="","",IFERROR(VLOOKUP(C2497,Master_Mappings!$A$4:$E$85,3,FALSE()),"UNMAPPED"))</f>
        <v/>
      </c>
      <c r="P2497" s="1" t="str">
        <f aca="false">IF($C2497="","",$C2497&amp;"|"&amp;$E2497&amp;"|"&amp;$M2497&amp;"|"&amp;TEXT($G2497,"yyyy-mm-dd")&amp;"|"&amp;LEFT($J2497,40))</f>
        <v/>
      </c>
      <c r="Q2497" s="11" t="str">
        <f aca="false">IF(P2497="","",IF(COUNTIF($P$2:$P$3000,P2497)&gt;1,"DUPLICATE","OK"))</f>
        <v/>
      </c>
      <c r="R2497" s="0" t="str">
        <f aca="false">IF($C2497="","",IFERROR(VLOOKUP(--$C2497,MM_Income!$Z$5:$AC$204,3,FALSE()),""))</f>
        <v/>
      </c>
    </row>
    <row r="2498" customFormat="false" ht="13.5" hidden="false" customHeight="false" outlineLevel="0" collapsed="false">
      <c r="N2498" s="1" t="str">
        <f aca="false">IF(C2498="","",IFERROR(VLOOKUP(C2498,Master_Mappings!$A$4:$E$85,3,FALSE()),"UNMAPPED"))</f>
        <v/>
      </c>
      <c r="P2498" s="1" t="str">
        <f aca="false">IF($C2498="","",$C2498&amp;"|"&amp;$E2498&amp;"|"&amp;$M2498&amp;"|"&amp;TEXT($G2498,"yyyy-mm-dd")&amp;"|"&amp;LEFT($J2498,40))</f>
        <v/>
      </c>
      <c r="Q2498" s="11" t="str">
        <f aca="false">IF(P2498="","",IF(COUNTIF($P$2:$P$3000,P2498)&gt;1,"DUPLICATE","OK"))</f>
        <v/>
      </c>
      <c r="R2498" s="0" t="str">
        <f aca="false">IF($C2498="","",IFERROR(VLOOKUP(--$C2498,MM_Income!$Z$5:$AC$204,3,FALSE()),""))</f>
        <v/>
      </c>
    </row>
    <row r="2499" customFormat="false" ht="13.5" hidden="false" customHeight="false" outlineLevel="0" collapsed="false">
      <c r="N2499" s="1" t="str">
        <f aca="false">IF(C2499="","",IFERROR(VLOOKUP(C2499,Master_Mappings!$A$4:$E$85,3,FALSE()),"UNMAPPED"))</f>
        <v/>
      </c>
      <c r="P2499" s="1" t="str">
        <f aca="false">IF($C2499="","",$C2499&amp;"|"&amp;$E2499&amp;"|"&amp;$M2499&amp;"|"&amp;TEXT($G2499,"yyyy-mm-dd")&amp;"|"&amp;LEFT($J2499,40))</f>
        <v/>
      </c>
      <c r="Q2499" s="11" t="str">
        <f aca="false">IF(P2499="","",IF(COUNTIF($P$2:$P$3000,P2499)&gt;1,"DUPLICATE","OK"))</f>
        <v/>
      </c>
      <c r="R2499" s="0" t="str">
        <f aca="false">IF($C2499="","",IFERROR(VLOOKUP(--$C2499,MM_Income!$Z$5:$AC$204,3,FALSE()),""))</f>
        <v/>
      </c>
    </row>
    <row r="2500" customFormat="false" ht="13.5" hidden="false" customHeight="false" outlineLevel="0" collapsed="false">
      <c r="N2500" s="1" t="str">
        <f aca="false">IF(C2500="","",IFERROR(VLOOKUP(C2500,Master_Mappings!$A$4:$E$85,3,FALSE()),"UNMAPPED"))</f>
        <v/>
      </c>
      <c r="P2500" s="1" t="str">
        <f aca="false">IF($C2500="","",$C2500&amp;"|"&amp;$E2500&amp;"|"&amp;$M2500&amp;"|"&amp;TEXT($G2500,"yyyy-mm-dd")&amp;"|"&amp;LEFT($J2500,40))</f>
        <v/>
      </c>
      <c r="Q2500" s="11" t="str">
        <f aca="false">IF(P2500="","",IF(COUNTIF($P$2:$P$3000,P2500)&gt;1,"DUPLICATE","OK"))</f>
        <v/>
      </c>
      <c r="R2500" s="0" t="str">
        <f aca="false">IF($C2500="","",IFERROR(VLOOKUP(--$C2500,MM_Income!$Z$5:$AC$204,3,FALSE()),""))</f>
        <v/>
      </c>
    </row>
    <row r="2501" customFormat="false" ht="13.5" hidden="false" customHeight="false" outlineLevel="0" collapsed="false">
      <c r="N2501" s="1" t="str">
        <f aca="false">IF(C2501="","",IFERROR(VLOOKUP(C2501,Master_Mappings!$A$4:$E$85,3,FALSE()),"UNMAPPED"))</f>
        <v/>
      </c>
      <c r="P2501" s="1" t="str">
        <f aca="false">IF($C2501="","",$C2501&amp;"|"&amp;$E2501&amp;"|"&amp;$M2501&amp;"|"&amp;TEXT($G2501,"yyyy-mm-dd")&amp;"|"&amp;LEFT($J2501,40))</f>
        <v/>
      </c>
      <c r="Q2501" s="11" t="str">
        <f aca="false">IF(P2501="","",IF(COUNTIF($P$2:$P$3000,P2501)&gt;1,"DUPLICATE","OK"))</f>
        <v/>
      </c>
      <c r="R2501" s="0" t="str">
        <f aca="false">IF($C2501="","",IFERROR(VLOOKUP(--$C2501,MM_Income!$Z$5:$AC$204,3,FALSE()),""))</f>
        <v/>
      </c>
    </row>
    <row r="2502" customFormat="false" ht="13.5" hidden="false" customHeight="false" outlineLevel="0" collapsed="false">
      <c r="N2502" s="1" t="str">
        <f aca="false">IF(C2502="","",IFERROR(VLOOKUP(C2502,Master_Mappings!$A$4:$E$85,3,FALSE()),"UNMAPPED"))</f>
        <v/>
      </c>
      <c r="P2502" s="1" t="str">
        <f aca="false">IF($C2502="","",$C2502&amp;"|"&amp;$E2502&amp;"|"&amp;$M2502&amp;"|"&amp;TEXT($G2502,"yyyy-mm-dd")&amp;"|"&amp;LEFT($J2502,40))</f>
        <v/>
      </c>
      <c r="Q2502" s="11" t="str">
        <f aca="false">IF(P2502="","",IF(COUNTIF($P$2:$P$3000,P2502)&gt;1,"DUPLICATE","OK"))</f>
        <v/>
      </c>
      <c r="R2502" s="0" t="str">
        <f aca="false">IF($C2502="","",IFERROR(VLOOKUP(--$C2502,MM_Income!$Z$5:$AC$204,3,FALSE()),""))</f>
        <v/>
      </c>
    </row>
    <row r="2503" customFormat="false" ht="13.5" hidden="false" customHeight="false" outlineLevel="0" collapsed="false">
      <c r="N2503" s="1" t="str">
        <f aca="false">IF(C2503="","",IFERROR(VLOOKUP(C2503,Master_Mappings!$A$4:$E$85,3,FALSE()),"UNMAPPED"))</f>
        <v/>
      </c>
      <c r="P2503" s="1" t="str">
        <f aca="false">IF($C2503="","",$C2503&amp;"|"&amp;$E2503&amp;"|"&amp;$M2503&amp;"|"&amp;TEXT($G2503,"yyyy-mm-dd")&amp;"|"&amp;LEFT($J2503,40))</f>
        <v/>
      </c>
      <c r="Q2503" s="11" t="str">
        <f aca="false">IF(P2503="","",IF(COUNTIF($P$2:$P$3000,P2503)&gt;1,"DUPLICATE","OK"))</f>
        <v/>
      </c>
      <c r="R2503" s="0" t="str">
        <f aca="false">IF($C2503="","",IFERROR(VLOOKUP(--$C2503,MM_Income!$Z$5:$AC$204,3,FALSE()),""))</f>
        <v/>
      </c>
    </row>
    <row r="2504" customFormat="false" ht="13.5" hidden="false" customHeight="false" outlineLevel="0" collapsed="false">
      <c r="N2504" s="1" t="str">
        <f aca="false">IF(C2504="","",IFERROR(VLOOKUP(C2504,Master_Mappings!$A$4:$E$85,3,FALSE()),"UNMAPPED"))</f>
        <v/>
      </c>
      <c r="P2504" s="1" t="str">
        <f aca="false">IF($C2504="","",$C2504&amp;"|"&amp;$E2504&amp;"|"&amp;$M2504&amp;"|"&amp;TEXT($G2504,"yyyy-mm-dd")&amp;"|"&amp;LEFT($J2504,40))</f>
        <v/>
      </c>
      <c r="Q2504" s="11" t="str">
        <f aca="false">IF(P2504="","",IF(COUNTIF($P$2:$P$3000,P2504)&gt;1,"DUPLICATE","OK"))</f>
        <v/>
      </c>
      <c r="R2504" s="0" t="str">
        <f aca="false">IF($C2504="","",IFERROR(VLOOKUP(--$C2504,MM_Income!$Z$5:$AC$204,3,FALSE()),""))</f>
        <v/>
      </c>
    </row>
    <row r="2505" customFormat="false" ht="13.5" hidden="false" customHeight="false" outlineLevel="0" collapsed="false">
      <c r="N2505" s="1" t="str">
        <f aca="false">IF(C2505="","",IFERROR(VLOOKUP(C2505,Master_Mappings!$A$4:$E$85,3,FALSE()),"UNMAPPED"))</f>
        <v/>
      </c>
      <c r="P2505" s="1" t="str">
        <f aca="false">IF($C2505="","",$C2505&amp;"|"&amp;$E2505&amp;"|"&amp;$M2505&amp;"|"&amp;TEXT($G2505,"yyyy-mm-dd")&amp;"|"&amp;LEFT($J2505,40))</f>
        <v/>
      </c>
      <c r="Q2505" s="11" t="str">
        <f aca="false">IF(P2505="","",IF(COUNTIF($P$2:$P$3000,P2505)&gt;1,"DUPLICATE","OK"))</f>
        <v/>
      </c>
      <c r="R2505" s="0" t="str">
        <f aca="false">IF($C2505="","",IFERROR(VLOOKUP(--$C2505,MM_Income!$Z$5:$AC$204,3,FALSE()),""))</f>
        <v/>
      </c>
    </row>
    <row r="2506" customFormat="false" ht="13.5" hidden="false" customHeight="false" outlineLevel="0" collapsed="false">
      <c r="N2506" s="1" t="str">
        <f aca="false">IF(C2506="","",IFERROR(VLOOKUP(C2506,Master_Mappings!$A$4:$E$85,3,FALSE()),"UNMAPPED"))</f>
        <v/>
      </c>
      <c r="P2506" s="1" t="str">
        <f aca="false">IF($C2506="","",$C2506&amp;"|"&amp;$E2506&amp;"|"&amp;$M2506&amp;"|"&amp;TEXT($G2506,"yyyy-mm-dd")&amp;"|"&amp;LEFT($J2506,40))</f>
        <v/>
      </c>
      <c r="Q2506" s="11" t="str">
        <f aca="false">IF(P2506="","",IF(COUNTIF($P$2:$P$3000,P2506)&gt;1,"DUPLICATE","OK"))</f>
        <v/>
      </c>
      <c r="R2506" s="0" t="str">
        <f aca="false">IF($C2506="","",IFERROR(VLOOKUP(--$C2506,MM_Income!$Z$5:$AC$204,3,FALSE()),""))</f>
        <v/>
      </c>
    </row>
    <row r="2507" customFormat="false" ht="13.5" hidden="false" customHeight="false" outlineLevel="0" collapsed="false">
      <c r="N2507" s="1" t="str">
        <f aca="false">IF(C2507="","",IFERROR(VLOOKUP(C2507,Master_Mappings!$A$4:$E$85,3,FALSE()),"UNMAPPED"))</f>
        <v/>
      </c>
      <c r="P2507" s="1" t="str">
        <f aca="false">IF($C2507="","",$C2507&amp;"|"&amp;$E2507&amp;"|"&amp;$M2507&amp;"|"&amp;TEXT($G2507,"yyyy-mm-dd")&amp;"|"&amp;LEFT($J2507,40))</f>
        <v/>
      </c>
      <c r="Q2507" s="11" t="str">
        <f aca="false">IF(P2507="","",IF(COUNTIF($P$2:$P$3000,P2507)&gt;1,"DUPLICATE","OK"))</f>
        <v/>
      </c>
      <c r="R2507" s="0" t="str">
        <f aca="false">IF($C2507="","",IFERROR(VLOOKUP(--$C2507,MM_Income!$Z$5:$AC$204,3,FALSE()),""))</f>
        <v/>
      </c>
    </row>
    <row r="2508" customFormat="false" ht="13.5" hidden="false" customHeight="false" outlineLevel="0" collapsed="false">
      <c r="N2508" s="1" t="str">
        <f aca="false">IF(C2508="","",IFERROR(VLOOKUP(C2508,Master_Mappings!$A$4:$E$85,3,FALSE()),"UNMAPPED"))</f>
        <v/>
      </c>
      <c r="P2508" s="1" t="str">
        <f aca="false">IF($C2508="","",$C2508&amp;"|"&amp;$E2508&amp;"|"&amp;$M2508&amp;"|"&amp;TEXT($G2508,"yyyy-mm-dd")&amp;"|"&amp;LEFT($J2508,40))</f>
        <v/>
      </c>
      <c r="Q2508" s="11" t="str">
        <f aca="false">IF(P2508="","",IF(COUNTIF($P$2:$P$3000,P2508)&gt;1,"DUPLICATE","OK"))</f>
        <v/>
      </c>
      <c r="R2508" s="0" t="str">
        <f aca="false">IF($C2508="","",IFERROR(VLOOKUP(--$C2508,MM_Income!$Z$5:$AC$204,3,FALSE()),""))</f>
        <v/>
      </c>
    </row>
    <row r="2509" customFormat="false" ht="13.5" hidden="false" customHeight="false" outlineLevel="0" collapsed="false">
      <c r="N2509" s="1" t="str">
        <f aca="false">IF(C2509="","",IFERROR(VLOOKUP(C2509,Master_Mappings!$A$4:$E$85,3,FALSE()),"UNMAPPED"))</f>
        <v/>
      </c>
      <c r="P2509" s="1" t="str">
        <f aca="false">IF($C2509="","",$C2509&amp;"|"&amp;$E2509&amp;"|"&amp;$M2509&amp;"|"&amp;TEXT($G2509,"yyyy-mm-dd")&amp;"|"&amp;LEFT($J2509,40))</f>
        <v/>
      </c>
      <c r="Q2509" s="11" t="str">
        <f aca="false">IF(P2509="","",IF(COUNTIF($P$2:$P$3000,P2509)&gt;1,"DUPLICATE","OK"))</f>
        <v/>
      </c>
      <c r="R2509" s="0" t="str">
        <f aca="false">IF($C2509="","",IFERROR(VLOOKUP(--$C2509,MM_Income!$Z$5:$AC$204,3,FALSE()),""))</f>
        <v/>
      </c>
    </row>
    <row r="2510" customFormat="false" ht="13.5" hidden="false" customHeight="false" outlineLevel="0" collapsed="false">
      <c r="N2510" s="1" t="str">
        <f aca="false">IF(C2510="","",IFERROR(VLOOKUP(C2510,Master_Mappings!$A$4:$E$85,3,FALSE()),"UNMAPPED"))</f>
        <v/>
      </c>
      <c r="P2510" s="1" t="str">
        <f aca="false">IF($C2510="","",$C2510&amp;"|"&amp;$E2510&amp;"|"&amp;$M2510&amp;"|"&amp;TEXT($G2510,"yyyy-mm-dd")&amp;"|"&amp;LEFT($J2510,40))</f>
        <v/>
      </c>
      <c r="Q2510" s="11" t="str">
        <f aca="false">IF(P2510="","",IF(COUNTIF($P$2:$P$3000,P2510)&gt;1,"DUPLICATE","OK"))</f>
        <v/>
      </c>
      <c r="R2510" s="0" t="str">
        <f aca="false">IF($C2510="","",IFERROR(VLOOKUP(--$C2510,MM_Income!$Z$5:$AC$204,3,FALSE()),""))</f>
        <v/>
      </c>
    </row>
    <row r="2511" customFormat="false" ht="13.5" hidden="false" customHeight="false" outlineLevel="0" collapsed="false">
      <c r="N2511" s="1" t="str">
        <f aca="false">IF(C2511="","",IFERROR(VLOOKUP(C2511,Master_Mappings!$A$4:$E$85,3,FALSE()),"UNMAPPED"))</f>
        <v/>
      </c>
      <c r="P2511" s="1" t="str">
        <f aca="false">IF($C2511="","",$C2511&amp;"|"&amp;$E2511&amp;"|"&amp;$M2511&amp;"|"&amp;TEXT($G2511,"yyyy-mm-dd")&amp;"|"&amp;LEFT($J2511,40))</f>
        <v/>
      </c>
      <c r="Q2511" s="11" t="str">
        <f aca="false">IF(P2511="","",IF(COUNTIF($P$2:$P$3000,P2511)&gt;1,"DUPLICATE","OK"))</f>
        <v/>
      </c>
      <c r="R2511" s="0" t="str">
        <f aca="false">IF($C2511="","",IFERROR(VLOOKUP(--$C2511,MM_Income!$Z$5:$AC$204,3,FALSE()),""))</f>
        <v/>
      </c>
    </row>
    <row r="2512" customFormat="false" ht="13.5" hidden="false" customHeight="false" outlineLevel="0" collapsed="false">
      <c r="N2512" s="1" t="str">
        <f aca="false">IF(C2512="","",IFERROR(VLOOKUP(C2512,Master_Mappings!$A$4:$E$85,3,FALSE()),"UNMAPPED"))</f>
        <v/>
      </c>
      <c r="P2512" s="1" t="str">
        <f aca="false">IF($C2512="","",$C2512&amp;"|"&amp;$E2512&amp;"|"&amp;$M2512&amp;"|"&amp;TEXT($G2512,"yyyy-mm-dd")&amp;"|"&amp;LEFT($J2512,40))</f>
        <v/>
      </c>
      <c r="Q2512" s="11" t="str">
        <f aca="false">IF(P2512="","",IF(COUNTIF($P$2:$P$3000,P2512)&gt;1,"DUPLICATE","OK"))</f>
        <v/>
      </c>
      <c r="R2512" s="0" t="str">
        <f aca="false">IF($C2512="","",IFERROR(VLOOKUP(--$C2512,MM_Income!$Z$5:$AC$204,3,FALSE()),""))</f>
        <v/>
      </c>
    </row>
    <row r="2513" customFormat="false" ht="13.5" hidden="false" customHeight="false" outlineLevel="0" collapsed="false">
      <c r="N2513" s="1" t="str">
        <f aca="false">IF(C2513="","",IFERROR(VLOOKUP(C2513,Master_Mappings!$A$4:$E$85,3,FALSE()),"UNMAPPED"))</f>
        <v/>
      </c>
      <c r="P2513" s="1" t="str">
        <f aca="false">IF($C2513="","",$C2513&amp;"|"&amp;$E2513&amp;"|"&amp;$M2513&amp;"|"&amp;TEXT($G2513,"yyyy-mm-dd")&amp;"|"&amp;LEFT($J2513,40))</f>
        <v/>
      </c>
      <c r="Q2513" s="11" t="str">
        <f aca="false">IF(P2513="","",IF(COUNTIF($P$2:$P$3000,P2513)&gt;1,"DUPLICATE","OK"))</f>
        <v/>
      </c>
      <c r="R2513" s="0" t="str">
        <f aca="false">IF($C2513="","",IFERROR(VLOOKUP(--$C2513,MM_Income!$Z$5:$AC$204,3,FALSE()),""))</f>
        <v/>
      </c>
    </row>
    <row r="2514" customFormat="false" ht="13.5" hidden="false" customHeight="false" outlineLevel="0" collapsed="false">
      <c r="N2514" s="1" t="str">
        <f aca="false">IF(C2514="","",IFERROR(VLOOKUP(C2514,Master_Mappings!$A$4:$E$85,3,FALSE()),"UNMAPPED"))</f>
        <v/>
      </c>
      <c r="P2514" s="1" t="str">
        <f aca="false">IF($C2514="","",$C2514&amp;"|"&amp;$E2514&amp;"|"&amp;$M2514&amp;"|"&amp;TEXT($G2514,"yyyy-mm-dd")&amp;"|"&amp;LEFT($J2514,40))</f>
        <v/>
      </c>
      <c r="Q2514" s="11" t="str">
        <f aca="false">IF(P2514="","",IF(COUNTIF($P$2:$P$3000,P2514)&gt;1,"DUPLICATE","OK"))</f>
        <v/>
      </c>
      <c r="R2514" s="0" t="str">
        <f aca="false">IF($C2514="","",IFERROR(VLOOKUP(--$C2514,MM_Income!$Z$5:$AC$204,3,FALSE()),""))</f>
        <v/>
      </c>
    </row>
    <row r="2515" customFormat="false" ht="13.5" hidden="false" customHeight="false" outlineLevel="0" collapsed="false">
      <c r="N2515" s="1" t="str">
        <f aca="false">IF(C2515="","",IFERROR(VLOOKUP(C2515,Master_Mappings!$A$4:$E$85,3,FALSE()),"UNMAPPED"))</f>
        <v/>
      </c>
      <c r="P2515" s="1" t="str">
        <f aca="false">IF($C2515="","",$C2515&amp;"|"&amp;$E2515&amp;"|"&amp;$M2515&amp;"|"&amp;TEXT($G2515,"yyyy-mm-dd")&amp;"|"&amp;LEFT($J2515,40))</f>
        <v/>
      </c>
      <c r="Q2515" s="11" t="str">
        <f aca="false">IF(P2515="","",IF(COUNTIF($P$2:$P$3000,P2515)&gt;1,"DUPLICATE","OK"))</f>
        <v/>
      </c>
      <c r="R2515" s="0" t="str">
        <f aca="false">IF($C2515="","",IFERROR(VLOOKUP(--$C2515,MM_Income!$Z$5:$AC$204,3,FALSE()),""))</f>
        <v/>
      </c>
    </row>
    <row r="2516" customFormat="false" ht="13.5" hidden="false" customHeight="false" outlineLevel="0" collapsed="false">
      <c r="N2516" s="1" t="str">
        <f aca="false">IF(C2516="","",IFERROR(VLOOKUP(C2516,Master_Mappings!$A$4:$E$85,3,FALSE()),"UNMAPPED"))</f>
        <v/>
      </c>
      <c r="P2516" s="1" t="str">
        <f aca="false">IF($C2516="","",$C2516&amp;"|"&amp;$E2516&amp;"|"&amp;$M2516&amp;"|"&amp;TEXT($G2516,"yyyy-mm-dd")&amp;"|"&amp;LEFT($J2516,40))</f>
        <v/>
      </c>
      <c r="Q2516" s="11" t="str">
        <f aca="false">IF(P2516="","",IF(COUNTIF($P$2:$P$3000,P2516)&gt;1,"DUPLICATE","OK"))</f>
        <v/>
      </c>
      <c r="R2516" s="0" t="str">
        <f aca="false">IF($C2516="","",IFERROR(VLOOKUP(--$C2516,MM_Income!$Z$5:$AC$204,3,FALSE()),""))</f>
        <v/>
      </c>
    </row>
    <row r="2517" customFormat="false" ht="13.5" hidden="false" customHeight="false" outlineLevel="0" collapsed="false">
      <c r="N2517" s="1" t="str">
        <f aca="false">IF(C2517="","",IFERROR(VLOOKUP(C2517,Master_Mappings!$A$4:$E$85,3,FALSE()),"UNMAPPED"))</f>
        <v/>
      </c>
      <c r="P2517" s="1" t="str">
        <f aca="false">IF($C2517="","",$C2517&amp;"|"&amp;$E2517&amp;"|"&amp;$M2517&amp;"|"&amp;TEXT($G2517,"yyyy-mm-dd")&amp;"|"&amp;LEFT($J2517,40))</f>
        <v/>
      </c>
      <c r="Q2517" s="11" t="str">
        <f aca="false">IF(P2517="","",IF(COUNTIF($P$2:$P$3000,P2517)&gt;1,"DUPLICATE","OK"))</f>
        <v/>
      </c>
      <c r="R2517" s="0" t="str">
        <f aca="false">IF($C2517="","",IFERROR(VLOOKUP(--$C2517,MM_Income!$Z$5:$AC$204,3,FALSE()),""))</f>
        <v/>
      </c>
    </row>
    <row r="2518" customFormat="false" ht="13.5" hidden="false" customHeight="false" outlineLevel="0" collapsed="false">
      <c r="N2518" s="1" t="str">
        <f aca="false">IF(C2518="","",IFERROR(VLOOKUP(C2518,Master_Mappings!$A$4:$E$85,3,FALSE()),"UNMAPPED"))</f>
        <v/>
      </c>
      <c r="P2518" s="1" t="str">
        <f aca="false">IF($C2518="","",$C2518&amp;"|"&amp;$E2518&amp;"|"&amp;$M2518&amp;"|"&amp;TEXT($G2518,"yyyy-mm-dd")&amp;"|"&amp;LEFT($J2518,40))</f>
        <v/>
      </c>
      <c r="Q2518" s="11" t="str">
        <f aca="false">IF(P2518="","",IF(COUNTIF($P$2:$P$3000,P2518)&gt;1,"DUPLICATE","OK"))</f>
        <v/>
      </c>
      <c r="R2518" s="0" t="str">
        <f aca="false">IF($C2518="","",IFERROR(VLOOKUP(--$C2518,MM_Income!$Z$5:$AC$204,3,FALSE()),""))</f>
        <v/>
      </c>
    </row>
    <row r="2519" customFormat="false" ht="13.5" hidden="false" customHeight="false" outlineLevel="0" collapsed="false">
      <c r="N2519" s="1" t="str">
        <f aca="false">IF(C2519="","",IFERROR(VLOOKUP(C2519,Master_Mappings!$A$4:$E$85,3,FALSE()),"UNMAPPED"))</f>
        <v/>
      </c>
      <c r="P2519" s="1" t="str">
        <f aca="false">IF($C2519="","",$C2519&amp;"|"&amp;$E2519&amp;"|"&amp;$M2519&amp;"|"&amp;TEXT($G2519,"yyyy-mm-dd")&amp;"|"&amp;LEFT($J2519,40))</f>
        <v/>
      </c>
      <c r="Q2519" s="11" t="str">
        <f aca="false">IF(P2519="","",IF(COUNTIF($P$2:$P$3000,P2519)&gt;1,"DUPLICATE","OK"))</f>
        <v/>
      </c>
      <c r="R2519" s="0" t="str">
        <f aca="false">IF($C2519="","",IFERROR(VLOOKUP(--$C2519,MM_Income!$Z$5:$AC$204,3,FALSE()),""))</f>
        <v/>
      </c>
    </row>
    <row r="2520" customFormat="false" ht="13.5" hidden="false" customHeight="false" outlineLevel="0" collapsed="false">
      <c r="N2520" s="1" t="str">
        <f aca="false">IF(C2520="","",IFERROR(VLOOKUP(C2520,Master_Mappings!$A$4:$E$85,3,FALSE()),"UNMAPPED"))</f>
        <v/>
      </c>
      <c r="P2520" s="1" t="str">
        <f aca="false">IF($C2520="","",$C2520&amp;"|"&amp;$E2520&amp;"|"&amp;$M2520&amp;"|"&amp;TEXT($G2520,"yyyy-mm-dd")&amp;"|"&amp;LEFT($J2520,40))</f>
        <v/>
      </c>
      <c r="Q2520" s="11" t="str">
        <f aca="false">IF(P2520="","",IF(COUNTIF($P$2:$P$3000,P2520)&gt;1,"DUPLICATE","OK"))</f>
        <v/>
      </c>
      <c r="R2520" s="0" t="str">
        <f aca="false">IF($C2520="","",IFERROR(VLOOKUP(--$C2520,MM_Income!$Z$5:$AC$204,3,FALSE()),""))</f>
        <v/>
      </c>
    </row>
    <row r="2521" customFormat="false" ht="13.5" hidden="false" customHeight="false" outlineLevel="0" collapsed="false">
      <c r="N2521" s="1" t="str">
        <f aca="false">IF(C2521="","",IFERROR(VLOOKUP(C2521,Master_Mappings!$A$4:$E$85,3,FALSE()),"UNMAPPED"))</f>
        <v/>
      </c>
      <c r="P2521" s="1" t="str">
        <f aca="false">IF($C2521="","",$C2521&amp;"|"&amp;$E2521&amp;"|"&amp;$M2521&amp;"|"&amp;TEXT($G2521,"yyyy-mm-dd")&amp;"|"&amp;LEFT($J2521,40))</f>
        <v/>
      </c>
      <c r="Q2521" s="11" t="str">
        <f aca="false">IF(P2521="","",IF(COUNTIF($P$2:$P$3000,P2521)&gt;1,"DUPLICATE","OK"))</f>
        <v/>
      </c>
      <c r="R2521" s="0" t="str">
        <f aca="false">IF($C2521="","",IFERROR(VLOOKUP(--$C2521,MM_Income!$Z$5:$AC$204,3,FALSE()),""))</f>
        <v/>
      </c>
    </row>
    <row r="2522" customFormat="false" ht="13.5" hidden="false" customHeight="false" outlineLevel="0" collapsed="false">
      <c r="N2522" s="1" t="str">
        <f aca="false">IF(C2522="","",IFERROR(VLOOKUP(C2522,Master_Mappings!$A$4:$E$85,3,FALSE()),"UNMAPPED"))</f>
        <v/>
      </c>
      <c r="P2522" s="1" t="str">
        <f aca="false">IF($C2522="","",$C2522&amp;"|"&amp;$E2522&amp;"|"&amp;$M2522&amp;"|"&amp;TEXT($G2522,"yyyy-mm-dd")&amp;"|"&amp;LEFT($J2522,40))</f>
        <v/>
      </c>
      <c r="Q2522" s="11" t="str">
        <f aca="false">IF(P2522="","",IF(COUNTIF($P$2:$P$3000,P2522)&gt;1,"DUPLICATE","OK"))</f>
        <v/>
      </c>
      <c r="R2522" s="0" t="str">
        <f aca="false">IF($C2522="","",IFERROR(VLOOKUP(--$C2522,MM_Income!$Z$5:$AC$204,3,FALSE()),""))</f>
        <v/>
      </c>
    </row>
    <row r="2523" customFormat="false" ht="13.5" hidden="false" customHeight="false" outlineLevel="0" collapsed="false">
      <c r="N2523" s="1" t="str">
        <f aca="false">IF(C2523="","",IFERROR(VLOOKUP(C2523,Master_Mappings!$A$4:$E$85,3,FALSE()),"UNMAPPED"))</f>
        <v/>
      </c>
      <c r="P2523" s="1" t="str">
        <f aca="false">IF($C2523="","",$C2523&amp;"|"&amp;$E2523&amp;"|"&amp;$M2523&amp;"|"&amp;TEXT($G2523,"yyyy-mm-dd")&amp;"|"&amp;LEFT($J2523,40))</f>
        <v/>
      </c>
      <c r="Q2523" s="11" t="str">
        <f aca="false">IF(P2523="","",IF(COUNTIF($P$2:$P$3000,P2523)&gt;1,"DUPLICATE","OK"))</f>
        <v/>
      </c>
      <c r="R2523" s="0" t="str">
        <f aca="false">IF($C2523="","",IFERROR(VLOOKUP(--$C2523,MM_Income!$Z$5:$AC$204,3,FALSE()),""))</f>
        <v/>
      </c>
    </row>
    <row r="2524" customFormat="false" ht="13.5" hidden="false" customHeight="false" outlineLevel="0" collapsed="false">
      <c r="N2524" s="1" t="str">
        <f aca="false">IF(C2524="","",IFERROR(VLOOKUP(C2524,Master_Mappings!$A$4:$E$85,3,FALSE()),"UNMAPPED"))</f>
        <v/>
      </c>
      <c r="P2524" s="1" t="str">
        <f aca="false">IF($C2524="","",$C2524&amp;"|"&amp;$E2524&amp;"|"&amp;$M2524&amp;"|"&amp;TEXT($G2524,"yyyy-mm-dd")&amp;"|"&amp;LEFT($J2524,40))</f>
        <v/>
      </c>
      <c r="Q2524" s="11" t="str">
        <f aca="false">IF(P2524="","",IF(COUNTIF($P$2:$P$3000,P2524)&gt;1,"DUPLICATE","OK"))</f>
        <v/>
      </c>
      <c r="R2524" s="0" t="str">
        <f aca="false">IF($C2524="","",IFERROR(VLOOKUP(--$C2524,MM_Income!$Z$5:$AC$204,3,FALSE()),""))</f>
        <v/>
      </c>
    </row>
    <row r="2525" customFormat="false" ht="13.5" hidden="false" customHeight="false" outlineLevel="0" collapsed="false">
      <c r="N2525" s="1" t="str">
        <f aca="false">IF(C2525="","",IFERROR(VLOOKUP(C2525,Master_Mappings!$A$4:$E$85,3,FALSE()),"UNMAPPED"))</f>
        <v/>
      </c>
      <c r="P2525" s="1" t="str">
        <f aca="false">IF($C2525="","",$C2525&amp;"|"&amp;$E2525&amp;"|"&amp;$M2525&amp;"|"&amp;TEXT($G2525,"yyyy-mm-dd")&amp;"|"&amp;LEFT($J2525,40))</f>
        <v/>
      </c>
      <c r="Q2525" s="11" t="str">
        <f aca="false">IF(P2525="","",IF(COUNTIF($P$2:$P$3000,P2525)&gt;1,"DUPLICATE","OK"))</f>
        <v/>
      </c>
      <c r="R2525" s="0" t="str">
        <f aca="false">IF($C2525="","",IFERROR(VLOOKUP(--$C2525,MM_Income!$Z$5:$AC$204,3,FALSE()),""))</f>
        <v/>
      </c>
    </row>
    <row r="2526" customFormat="false" ht="13.5" hidden="false" customHeight="false" outlineLevel="0" collapsed="false">
      <c r="N2526" s="1" t="str">
        <f aca="false">IF(C2526="","",IFERROR(VLOOKUP(C2526,Master_Mappings!$A$4:$E$85,3,FALSE()),"UNMAPPED"))</f>
        <v/>
      </c>
      <c r="P2526" s="1" t="str">
        <f aca="false">IF($C2526="","",$C2526&amp;"|"&amp;$E2526&amp;"|"&amp;$M2526&amp;"|"&amp;TEXT($G2526,"yyyy-mm-dd")&amp;"|"&amp;LEFT($J2526,40))</f>
        <v/>
      </c>
      <c r="Q2526" s="11" t="str">
        <f aca="false">IF(P2526="","",IF(COUNTIF($P$2:$P$3000,P2526)&gt;1,"DUPLICATE","OK"))</f>
        <v/>
      </c>
      <c r="R2526" s="0" t="str">
        <f aca="false">IF($C2526="","",IFERROR(VLOOKUP(--$C2526,MM_Income!$Z$5:$AC$204,3,FALSE()),""))</f>
        <v/>
      </c>
    </row>
    <row r="2527" customFormat="false" ht="13.5" hidden="false" customHeight="false" outlineLevel="0" collapsed="false">
      <c r="N2527" s="1" t="str">
        <f aca="false">IF(C2527="","",IFERROR(VLOOKUP(C2527,Master_Mappings!$A$4:$E$85,3,FALSE()),"UNMAPPED"))</f>
        <v/>
      </c>
      <c r="P2527" s="1" t="str">
        <f aca="false">IF($C2527="","",$C2527&amp;"|"&amp;$E2527&amp;"|"&amp;$M2527&amp;"|"&amp;TEXT($G2527,"yyyy-mm-dd")&amp;"|"&amp;LEFT($J2527,40))</f>
        <v/>
      </c>
      <c r="Q2527" s="11" t="str">
        <f aca="false">IF(P2527="","",IF(COUNTIF($P$2:$P$3000,P2527)&gt;1,"DUPLICATE","OK"))</f>
        <v/>
      </c>
      <c r="R2527" s="0" t="str">
        <f aca="false">IF($C2527="","",IFERROR(VLOOKUP(--$C2527,MM_Income!$Z$5:$AC$204,3,FALSE()),""))</f>
        <v/>
      </c>
    </row>
    <row r="2528" customFormat="false" ht="13.5" hidden="false" customHeight="false" outlineLevel="0" collapsed="false">
      <c r="N2528" s="1" t="str">
        <f aca="false">IF(C2528="","",IFERROR(VLOOKUP(C2528,Master_Mappings!$A$4:$E$85,3,FALSE()),"UNMAPPED"))</f>
        <v/>
      </c>
      <c r="P2528" s="1" t="str">
        <f aca="false">IF($C2528="","",$C2528&amp;"|"&amp;$E2528&amp;"|"&amp;$M2528&amp;"|"&amp;TEXT($G2528,"yyyy-mm-dd")&amp;"|"&amp;LEFT($J2528,40))</f>
        <v/>
      </c>
      <c r="Q2528" s="11" t="str">
        <f aca="false">IF(P2528="","",IF(COUNTIF($P$2:$P$3000,P2528)&gt;1,"DUPLICATE","OK"))</f>
        <v/>
      </c>
      <c r="R2528" s="0" t="str">
        <f aca="false">IF($C2528="","",IFERROR(VLOOKUP(--$C2528,MM_Income!$Z$5:$AC$204,3,FALSE()),""))</f>
        <v/>
      </c>
    </row>
    <row r="2529" customFormat="false" ht="13.5" hidden="false" customHeight="false" outlineLevel="0" collapsed="false">
      <c r="N2529" s="1" t="str">
        <f aca="false">IF(C2529="","",IFERROR(VLOOKUP(C2529,Master_Mappings!$A$4:$E$85,3,FALSE()),"UNMAPPED"))</f>
        <v/>
      </c>
      <c r="P2529" s="1" t="str">
        <f aca="false">IF($C2529="","",$C2529&amp;"|"&amp;$E2529&amp;"|"&amp;$M2529&amp;"|"&amp;TEXT($G2529,"yyyy-mm-dd")&amp;"|"&amp;LEFT($J2529,40))</f>
        <v/>
      </c>
      <c r="Q2529" s="11" t="str">
        <f aca="false">IF(P2529="","",IF(COUNTIF($P$2:$P$3000,P2529)&gt;1,"DUPLICATE","OK"))</f>
        <v/>
      </c>
      <c r="R2529" s="0" t="str">
        <f aca="false">IF($C2529="","",IFERROR(VLOOKUP(--$C2529,MM_Income!$Z$5:$AC$204,3,FALSE()),""))</f>
        <v/>
      </c>
    </row>
    <row r="2530" customFormat="false" ht="13.5" hidden="false" customHeight="false" outlineLevel="0" collapsed="false">
      <c r="N2530" s="1" t="str">
        <f aca="false">IF(C2530="","",IFERROR(VLOOKUP(C2530,Master_Mappings!$A$4:$E$85,3,FALSE()),"UNMAPPED"))</f>
        <v/>
      </c>
      <c r="P2530" s="1" t="str">
        <f aca="false">IF($C2530="","",$C2530&amp;"|"&amp;$E2530&amp;"|"&amp;$M2530&amp;"|"&amp;TEXT($G2530,"yyyy-mm-dd")&amp;"|"&amp;LEFT($J2530,40))</f>
        <v/>
      </c>
      <c r="Q2530" s="11" t="str">
        <f aca="false">IF(P2530="","",IF(COUNTIF($P$2:$P$3000,P2530)&gt;1,"DUPLICATE","OK"))</f>
        <v/>
      </c>
      <c r="R2530" s="0" t="str">
        <f aca="false">IF($C2530="","",IFERROR(VLOOKUP(--$C2530,MM_Income!$Z$5:$AC$204,3,FALSE()),""))</f>
        <v/>
      </c>
    </row>
    <row r="2531" customFormat="false" ht="13.5" hidden="false" customHeight="false" outlineLevel="0" collapsed="false">
      <c r="N2531" s="1" t="str">
        <f aca="false">IF(C2531="","",IFERROR(VLOOKUP(C2531,Master_Mappings!$A$4:$E$85,3,FALSE()),"UNMAPPED"))</f>
        <v/>
      </c>
      <c r="P2531" s="1" t="str">
        <f aca="false">IF($C2531="","",$C2531&amp;"|"&amp;$E2531&amp;"|"&amp;$M2531&amp;"|"&amp;TEXT($G2531,"yyyy-mm-dd")&amp;"|"&amp;LEFT($J2531,40))</f>
        <v/>
      </c>
      <c r="Q2531" s="11" t="str">
        <f aca="false">IF(P2531="","",IF(COUNTIF($P$2:$P$3000,P2531)&gt;1,"DUPLICATE","OK"))</f>
        <v/>
      </c>
      <c r="R2531" s="0" t="str">
        <f aca="false">IF($C2531="","",IFERROR(VLOOKUP(--$C2531,MM_Income!$Z$5:$AC$204,3,FALSE()),""))</f>
        <v/>
      </c>
    </row>
    <row r="2532" customFormat="false" ht="13.5" hidden="false" customHeight="false" outlineLevel="0" collapsed="false">
      <c r="N2532" s="1" t="str">
        <f aca="false">IF(C2532="","",IFERROR(VLOOKUP(C2532,Master_Mappings!$A$4:$E$85,3,FALSE()),"UNMAPPED"))</f>
        <v/>
      </c>
      <c r="P2532" s="1" t="str">
        <f aca="false">IF($C2532="","",$C2532&amp;"|"&amp;$E2532&amp;"|"&amp;$M2532&amp;"|"&amp;TEXT($G2532,"yyyy-mm-dd")&amp;"|"&amp;LEFT($J2532,40))</f>
        <v/>
      </c>
      <c r="Q2532" s="11" t="str">
        <f aca="false">IF(P2532="","",IF(COUNTIF($P$2:$P$3000,P2532)&gt;1,"DUPLICATE","OK"))</f>
        <v/>
      </c>
      <c r="R2532" s="0" t="str">
        <f aca="false">IF($C2532="","",IFERROR(VLOOKUP(--$C2532,MM_Income!$Z$5:$AC$204,3,FALSE()),""))</f>
        <v/>
      </c>
    </row>
    <row r="2533" customFormat="false" ht="13.5" hidden="false" customHeight="false" outlineLevel="0" collapsed="false">
      <c r="N2533" s="1" t="str">
        <f aca="false">IF(C2533="","",IFERROR(VLOOKUP(C2533,Master_Mappings!$A$4:$E$85,3,FALSE()),"UNMAPPED"))</f>
        <v/>
      </c>
      <c r="P2533" s="1" t="str">
        <f aca="false">IF($C2533="","",$C2533&amp;"|"&amp;$E2533&amp;"|"&amp;$M2533&amp;"|"&amp;TEXT($G2533,"yyyy-mm-dd")&amp;"|"&amp;LEFT($J2533,40))</f>
        <v/>
      </c>
      <c r="Q2533" s="11" t="str">
        <f aca="false">IF(P2533="","",IF(COUNTIF($P$2:$P$3000,P2533)&gt;1,"DUPLICATE","OK"))</f>
        <v/>
      </c>
      <c r="R2533" s="0" t="str">
        <f aca="false">IF($C2533="","",IFERROR(VLOOKUP(--$C2533,MM_Income!$Z$5:$AC$204,3,FALSE()),""))</f>
        <v/>
      </c>
    </row>
    <row r="2534" customFormat="false" ht="13.5" hidden="false" customHeight="false" outlineLevel="0" collapsed="false">
      <c r="N2534" s="1" t="str">
        <f aca="false">IF(C2534="","",IFERROR(VLOOKUP(C2534,Master_Mappings!$A$4:$E$85,3,FALSE()),"UNMAPPED"))</f>
        <v/>
      </c>
      <c r="P2534" s="1" t="str">
        <f aca="false">IF($C2534="","",$C2534&amp;"|"&amp;$E2534&amp;"|"&amp;$M2534&amp;"|"&amp;TEXT($G2534,"yyyy-mm-dd")&amp;"|"&amp;LEFT($J2534,40))</f>
        <v/>
      </c>
      <c r="Q2534" s="11" t="str">
        <f aca="false">IF(P2534="","",IF(COUNTIF($P$2:$P$3000,P2534)&gt;1,"DUPLICATE","OK"))</f>
        <v/>
      </c>
      <c r="R2534" s="0" t="str">
        <f aca="false">IF($C2534="","",IFERROR(VLOOKUP(--$C2534,MM_Income!$Z$5:$AC$204,3,FALSE()),""))</f>
        <v/>
      </c>
    </row>
    <row r="2535" customFormat="false" ht="13.5" hidden="false" customHeight="false" outlineLevel="0" collapsed="false">
      <c r="N2535" s="1" t="str">
        <f aca="false">IF(C2535="","",IFERROR(VLOOKUP(C2535,Master_Mappings!$A$4:$E$85,3,FALSE()),"UNMAPPED"))</f>
        <v/>
      </c>
      <c r="P2535" s="1" t="str">
        <f aca="false">IF($C2535="","",$C2535&amp;"|"&amp;$E2535&amp;"|"&amp;$M2535&amp;"|"&amp;TEXT($G2535,"yyyy-mm-dd")&amp;"|"&amp;LEFT($J2535,40))</f>
        <v/>
      </c>
      <c r="Q2535" s="11" t="str">
        <f aca="false">IF(P2535="","",IF(COUNTIF($P$2:$P$3000,P2535)&gt;1,"DUPLICATE","OK"))</f>
        <v/>
      </c>
      <c r="R2535" s="0" t="str">
        <f aca="false">IF($C2535="","",IFERROR(VLOOKUP(--$C2535,MM_Income!$Z$5:$AC$204,3,FALSE()),""))</f>
        <v/>
      </c>
    </row>
    <row r="2536" customFormat="false" ht="13.5" hidden="false" customHeight="false" outlineLevel="0" collapsed="false">
      <c r="N2536" s="1" t="str">
        <f aca="false">IF(C2536="","",IFERROR(VLOOKUP(C2536,Master_Mappings!$A$4:$E$85,3,FALSE()),"UNMAPPED"))</f>
        <v/>
      </c>
      <c r="P2536" s="1" t="str">
        <f aca="false">IF($C2536="","",$C2536&amp;"|"&amp;$E2536&amp;"|"&amp;$M2536&amp;"|"&amp;TEXT($G2536,"yyyy-mm-dd")&amp;"|"&amp;LEFT($J2536,40))</f>
        <v/>
      </c>
      <c r="Q2536" s="11" t="str">
        <f aca="false">IF(P2536="","",IF(COUNTIF($P$2:$P$3000,P2536)&gt;1,"DUPLICATE","OK"))</f>
        <v/>
      </c>
      <c r="R2536" s="0" t="str">
        <f aca="false">IF($C2536="","",IFERROR(VLOOKUP(--$C2536,MM_Income!$Z$5:$AC$204,3,FALSE()),""))</f>
        <v/>
      </c>
    </row>
    <row r="2537" customFormat="false" ht="13.5" hidden="false" customHeight="false" outlineLevel="0" collapsed="false">
      <c r="N2537" s="1" t="str">
        <f aca="false">IF(C2537="","",IFERROR(VLOOKUP(C2537,Master_Mappings!$A$4:$E$85,3,FALSE()),"UNMAPPED"))</f>
        <v/>
      </c>
      <c r="P2537" s="1" t="str">
        <f aca="false">IF($C2537="","",$C2537&amp;"|"&amp;$E2537&amp;"|"&amp;$M2537&amp;"|"&amp;TEXT($G2537,"yyyy-mm-dd")&amp;"|"&amp;LEFT($J2537,40))</f>
        <v/>
      </c>
      <c r="Q2537" s="11" t="str">
        <f aca="false">IF(P2537="","",IF(COUNTIF($P$2:$P$3000,P2537)&gt;1,"DUPLICATE","OK"))</f>
        <v/>
      </c>
      <c r="R2537" s="0" t="str">
        <f aca="false">IF($C2537="","",IFERROR(VLOOKUP(--$C2537,MM_Income!$Z$5:$AC$204,3,FALSE()),""))</f>
        <v/>
      </c>
    </row>
    <row r="2538" customFormat="false" ht="13.5" hidden="false" customHeight="false" outlineLevel="0" collapsed="false">
      <c r="N2538" s="1" t="str">
        <f aca="false">IF(C2538="","",IFERROR(VLOOKUP(C2538,Master_Mappings!$A$4:$E$85,3,FALSE()),"UNMAPPED"))</f>
        <v/>
      </c>
      <c r="P2538" s="1" t="str">
        <f aca="false">IF($C2538="","",$C2538&amp;"|"&amp;$E2538&amp;"|"&amp;$M2538&amp;"|"&amp;TEXT($G2538,"yyyy-mm-dd")&amp;"|"&amp;LEFT($J2538,40))</f>
        <v/>
      </c>
      <c r="Q2538" s="11" t="str">
        <f aca="false">IF(P2538="","",IF(COUNTIF($P$2:$P$3000,P2538)&gt;1,"DUPLICATE","OK"))</f>
        <v/>
      </c>
      <c r="R2538" s="0" t="str">
        <f aca="false">IF($C2538="","",IFERROR(VLOOKUP(--$C2538,MM_Income!$Z$5:$AC$204,3,FALSE()),""))</f>
        <v/>
      </c>
    </row>
    <row r="2539" customFormat="false" ht="13.5" hidden="false" customHeight="false" outlineLevel="0" collapsed="false">
      <c r="N2539" s="1" t="str">
        <f aca="false">IF(C2539="","",IFERROR(VLOOKUP(C2539,Master_Mappings!$A$4:$E$85,3,FALSE()),"UNMAPPED"))</f>
        <v/>
      </c>
      <c r="P2539" s="1" t="str">
        <f aca="false">IF($C2539="","",$C2539&amp;"|"&amp;$E2539&amp;"|"&amp;$M2539&amp;"|"&amp;TEXT($G2539,"yyyy-mm-dd")&amp;"|"&amp;LEFT($J2539,40))</f>
        <v/>
      </c>
      <c r="Q2539" s="11" t="str">
        <f aca="false">IF(P2539="","",IF(COUNTIF($P$2:$P$3000,P2539)&gt;1,"DUPLICATE","OK"))</f>
        <v/>
      </c>
      <c r="R2539" s="0" t="str">
        <f aca="false">IF($C2539="","",IFERROR(VLOOKUP(--$C2539,MM_Income!$Z$5:$AC$204,3,FALSE()),""))</f>
        <v/>
      </c>
    </row>
    <row r="2540" customFormat="false" ht="13.5" hidden="false" customHeight="false" outlineLevel="0" collapsed="false">
      <c r="N2540" s="1" t="str">
        <f aca="false">IF(C2540="","",IFERROR(VLOOKUP(C2540,Master_Mappings!$A$4:$E$85,3,FALSE()),"UNMAPPED"))</f>
        <v/>
      </c>
      <c r="P2540" s="1" t="str">
        <f aca="false">IF($C2540="","",$C2540&amp;"|"&amp;$E2540&amp;"|"&amp;$M2540&amp;"|"&amp;TEXT($G2540,"yyyy-mm-dd")&amp;"|"&amp;LEFT($J2540,40))</f>
        <v/>
      </c>
      <c r="Q2540" s="11" t="str">
        <f aca="false">IF(P2540="","",IF(COUNTIF($P$2:$P$3000,P2540)&gt;1,"DUPLICATE","OK"))</f>
        <v/>
      </c>
      <c r="R2540" s="0" t="str">
        <f aca="false">IF($C2540="","",IFERROR(VLOOKUP(--$C2540,MM_Income!$Z$5:$AC$204,3,FALSE()),""))</f>
        <v/>
      </c>
    </row>
    <row r="2541" customFormat="false" ht="13.5" hidden="false" customHeight="false" outlineLevel="0" collapsed="false">
      <c r="N2541" s="1" t="str">
        <f aca="false">IF(C2541="","",IFERROR(VLOOKUP(C2541,Master_Mappings!$A$4:$E$85,3,FALSE()),"UNMAPPED"))</f>
        <v/>
      </c>
      <c r="P2541" s="1" t="str">
        <f aca="false">IF($C2541="","",$C2541&amp;"|"&amp;$E2541&amp;"|"&amp;$M2541&amp;"|"&amp;TEXT($G2541,"yyyy-mm-dd")&amp;"|"&amp;LEFT($J2541,40))</f>
        <v/>
      </c>
      <c r="Q2541" s="11" t="str">
        <f aca="false">IF(P2541="","",IF(COUNTIF($P$2:$P$3000,P2541)&gt;1,"DUPLICATE","OK"))</f>
        <v/>
      </c>
      <c r="R2541" s="0" t="str">
        <f aca="false">IF($C2541="","",IFERROR(VLOOKUP(--$C2541,MM_Income!$Z$5:$AC$204,3,FALSE()),""))</f>
        <v/>
      </c>
    </row>
    <row r="2542" customFormat="false" ht="13.5" hidden="false" customHeight="false" outlineLevel="0" collapsed="false">
      <c r="N2542" s="1" t="str">
        <f aca="false">IF(C2542="","",IFERROR(VLOOKUP(C2542,Master_Mappings!$A$4:$E$85,3,FALSE()),"UNMAPPED"))</f>
        <v/>
      </c>
      <c r="P2542" s="1" t="str">
        <f aca="false">IF($C2542="","",$C2542&amp;"|"&amp;$E2542&amp;"|"&amp;$M2542&amp;"|"&amp;TEXT($G2542,"yyyy-mm-dd")&amp;"|"&amp;LEFT($J2542,40))</f>
        <v/>
      </c>
      <c r="Q2542" s="11" t="str">
        <f aca="false">IF(P2542="","",IF(COUNTIF($P$2:$P$3000,P2542)&gt;1,"DUPLICATE","OK"))</f>
        <v/>
      </c>
      <c r="R2542" s="0" t="str">
        <f aca="false">IF($C2542="","",IFERROR(VLOOKUP(--$C2542,MM_Income!$Z$5:$AC$204,3,FALSE()),""))</f>
        <v/>
      </c>
    </row>
    <row r="2543" customFormat="false" ht="13.5" hidden="false" customHeight="false" outlineLevel="0" collapsed="false">
      <c r="N2543" s="1" t="str">
        <f aca="false">IF(C2543="","",IFERROR(VLOOKUP(C2543,Master_Mappings!$A$4:$E$85,3,FALSE()),"UNMAPPED"))</f>
        <v/>
      </c>
      <c r="P2543" s="1" t="str">
        <f aca="false">IF($C2543="","",$C2543&amp;"|"&amp;$E2543&amp;"|"&amp;$M2543&amp;"|"&amp;TEXT($G2543,"yyyy-mm-dd")&amp;"|"&amp;LEFT($J2543,40))</f>
        <v/>
      </c>
      <c r="Q2543" s="11" t="str">
        <f aca="false">IF(P2543="","",IF(COUNTIF($P$2:$P$3000,P2543)&gt;1,"DUPLICATE","OK"))</f>
        <v/>
      </c>
      <c r="R2543" s="0" t="str">
        <f aca="false">IF($C2543="","",IFERROR(VLOOKUP(--$C2543,MM_Income!$Z$5:$AC$204,3,FALSE()),""))</f>
        <v/>
      </c>
    </row>
    <row r="2544" customFormat="false" ht="13.5" hidden="false" customHeight="false" outlineLevel="0" collapsed="false">
      <c r="N2544" s="1" t="str">
        <f aca="false">IF(C2544="","",IFERROR(VLOOKUP(C2544,Master_Mappings!$A$4:$E$85,3,FALSE()),"UNMAPPED"))</f>
        <v/>
      </c>
      <c r="P2544" s="1" t="str">
        <f aca="false">IF($C2544="","",$C2544&amp;"|"&amp;$E2544&amp;"|"&amp;$M2544&amp;"|"&amp;TEXT($G2544,"yyyy-mm-dd")&amp;"|"&amp;LEFT($J2544,40))</f>
        <v/>
      </c>
      <c r="Q2544" s="11" t="str">
        <f aca="false">IF(P2544="","",IF(COUNTIF($P$2:$P$3000,P2544)&gt;1,"DUPLICATE","OK"))</f>
        <v/>
      </c>
      <c r="R2544" s="0" t="str">
        <f aca="false">IF($C2544="","",IFERROR(VLOOKUP(--$C2544,MM_Income!$Z$5:$AC$204,3,FALSE()),""))</f>
        <v/>
      </c>
    </row>
    <row r="2545" customFormat="false" ht="13.5" hidden="false" customHeight="false" outlineLevel="0" collapsed="false">
      <c r="N2545" s="1" t="str">
        <f aca="false">IF(C2545="","",IFERROR(VLOOKUP(C2545,Master_Mappings!$A$4:$E$85,3,FALSE()),"UNMAPPED"))</f>
        <v/>
      </c>
      <c r="P2545" s="1" t="str">
        <f aca="false">IF($C2545="","",$C2545&amp;"|"&amp;$E2545&amp;"|"&amp;$M2545&amp;"|"&amp;TEXT($G2545,"yyyy-mm-dd")&amp;"|"&amp;LEFT($J2545,40))</f>
        <v/>
      </c>
      <c r="Q2545" s="11" t="str">
        <f aca="false">IF(P2545="","",IF(COUNTIF($P$2:$P$3000,P2545)&gt;1,"DUPLICATE","OK"))</f>
        <v/>
      </c>
      <c r="R2545" s="0" t="str">
        <f aca="false">IF($C2545="","",IFERROR(VLOOKUP(--$C2545,MM_Income!$Z$5:$AC$204,3,FALSE()),""))</f>
        <v/>
      </c>
    </row>
    <row r="2546" customFormat="false" ht="13.5" hidden="false" customHeight="false" outlineLevel="0" collapsed="false">
      <c r="N2546" s="1" t="str">
        <f aca="false">IF(C2546="","",IFERROR(VLOOKUP(C2546,Master_Mappings!$A$4:$E$85,3,FALSE()),"UNMAPPED"))</f>
        <v/>
      </c>
      <c r="P2546" s="1" t="str">
        <f aca="false">IF($C2546="","",$C2546&amp;"|"&amp;$E2546&amp;"|"&amp;$M2546&amp;"|"&amp;TEXT($G2546,"yyyy-mm-dd")&amp;"|"&amp;LEFT($J2546,40))</f>
        <v/>
      </c>
      <c r="Q2546" s="11" t="str">
        <f aca="false">IF(P2546="","",IF(COUNTIF($P$2:$P$3000,P2546)&gt;1,"DUPLICATE","OK"))</f>
        <v/>
      </c>
      <c r="R2546" s="0" t="str">
        <f aca="false">IF($C2546="","",IFERROR(VLOOKUP(--$C2546,MM_Income!$Z$5:$AC$204,3,FALSE()),""))</f>
        <v/>
      </c>
    </row>
    <row r="2547" customFormat="false" ht="13.5" hidden="false" customHeight="false" outlineLevel="0" collapsed="false">
      <c r="N2547" s="1" t="str">
        <f aca="false">IF(C2547="","",IFERROR(VLOOKUP(C2547,Master_Mappings!$A$4:$E$85,3,FALSE()),"UNMAPPED"))</f>
        <v/>
      </c>
      <c r="P2547" s="1" t="str">
        <f aca="false">IF($C2547="","",$C2547&amp;"|"&amp;$E2547&amp;"|"&amp;$M2547&amp;"|"&amp;TEXT($G2547,"yyyy-mm-dd")&amp;"|"&amp;LEFT($J2547,40))</f>
        <v/>
      </c>
      <c r="Q2547" s="11" t="str">
        <f aca="false">IF(P2547="","",IF(COUNTIF($P$2:$P$3000,P2547)&gt;1,"DUPLICATE","OK"))</f>
        <v/>
      </c>
      <c r="R2547" s="0" t="str">
        <f aca="false">IF($C2547="","",IFERROR(VLOOKUP(--$C2547,MM_Income!$Z$5:$AC$204,3,FALSE()),""))</f>
        <v/>
      </c>
    </row>
    <row r="2548" customFormat="false" ht="13.5" hidden="false" customHeight="false" outlineLevel="0" collapsed="false">
      <c r="N2548" s="1" t="str">
        <f aca="false">IF(C2548="","",IFERROR(VLOOKUP(C2548,Master_Mappings!$A$4:$E$85,3,FALSE()),"UNMAPPED"))</f>
        <v/>
      </c>
      <c r="P2548" s="1" t="str">
        <f aca="false">IF($C2548="","",$C2548&amp;"|"&amp;$E2548&amp;"|"&amp;$M2548&amp;"|"&amp;TEXT($G2548,"yyyy-mm-dd")&amp;"|"&amp;LEFT($J2548,40))</f>
        <v/>
      </c>
      <c r="Q2548" s="11" t="str">
        <f aca="false">IF(P2548="","",IF(COUNTIF($P$2:$P$3000,P2548)&gt;1,"DUPLICATE","OK"))</f>
        <v/>
      </c>
      <c r="R2548" s="0" t="str">
        <f aca="false">IF($C2548="","",IFERROR(VLOOKUP(--$C2548,MM_Income!$Z$5:$AC$204,3,FALSE()),""))</f>
        <v/>
      </c>
    </row>
    <row r="2549" customFormat="false" ht="13.5" hidden="false" customHeight="false" outlineLevel="0" collapsed="false">
      <c r="N2549" s="1" t="str">
        <f aca="false">IF(C2549="","",IFERROR(VLOOKUP(C2549,Master_Mappings!$A$4:$E$85,3,FALSE()),"UNMAPPED"))</f>
        <v/>
      </c>
      <c r="P2549" s="1" t="str">
        <f aca="false">IF($C2549="","",$C2549&amp;"|"&amp;$E2549&amp;"|"&amp;$M2549&amp;"|"&amp;TEXT($G2549,"yyyy-mm-dd")&amp;"|"&amp;LEFT($J2549,40))</f>
        <v/>
      </c>
      <c r="Q2549" s="11" t="str">
        <f aca="false">IF(P2549="","",IF(COUNTIF($P$2:$P$3000,P2549)&gt;1,"DUPLICATE","OK"))</f>
        <v/>
      </c>
      <c r="R2549" s="0" t="str">
        <f aca="false">IF($C2549="","",IFERROR(VLOOKUP(--$C2549,MM_Income!$Z$5:$AC$204,3,FALSE()),""))</f>
        <v/>
      </c>
    </row>
    <row r="2550" customFormat="false" ht="13.5" hidden="false" customHeight="false" outlineLevel="0" collapsed="false">
      <c r="N2550" s="1" t="str">
        <f aca="false">IF(C2550="","",IFERROR(VLOOKUP(C2550,Master_Mappings!$A$4:$E$85,3,FALSE()),"UNMAPPED"))</f>
        <v/>
      </c>
      <c r="P2550" s="1" t="str">
        <f aca="false">IF($C2550="","",$C2550&amp;"|"&amp;$E2550&amp;"|"&amp;$M2550&amp;"|"&amp;TEXT($G2550,"yyyy-mm-dd")&amp;"|"&amp;LEFT($J2550,40))</f>
        <v/>
      </c>
      <c r="Q2550" s="11" t="str">
        <f aca="false">IF(P2550="","",IF(COUNTIF($P$2:$P$3000,P2550)&gt;1,"DUPLICATE","OK"))</f>
        <v/>
      </c>
      <c r="R2550" s="0" t="str">
        <f aca="false">IF($C2550="","",IFERROR(VLOOKUP(--$C2550,MM_Income!$Z$5:$AC$204,3,FALSE()),""))</f>
        <v/>
      </c>
    </row>
    <row r="2551" customFormat="false" ht="13.5" hidden="false" customHeight="false" outlineLevel="0" collapsed="false">
      <c r="N2551" s="1" t="str">
        <f aca="false">IF(C2551="","",IFERROR(VLOOKUP(C2551,Master_Mappings!$A$4:$E$85,3,FALSE()),"UNMAPPED"))</f>
        <v/>
      </c>
      <c r="P2551" s="1" t="str">
        <f aca="false">IF($C2551="","",$C2551&amp;"|"&amp;$E2551&amp;"|"&amp;$M2551&amp;"|"&amp;TEXT($G2551,"yyyy-mm-dd")&amp;"|"&amp;LEFT($J2551,40))</f>
        <v/>
      </c>
      <c r="Q2551" s="11" t="str">
        <f aca="false">IF(P2551="","",IF(COUNTIF($P$2:$P$3000,P2551)&gt;1,"DUPLICATE","OK"))</f>
        <v/>
      </c>
      <c r="R2551" s="0" t="str">
        <f aca="false">IF($C2551="","",IFERROR(VLOOKUP(--$C2551,MM_Income!$Z$5:$AC$204,3,FALSE()),""))</f>
        <v/>
      </c>
    </row>
    <row r="2552" customFormat="false" ht="13.5" hidden="false" customHeight="false" outlineLevel="0" collapsed="false">
      <c r="N2552" s="1" t="str">
        <f aca="false">IF(C2552="","",IFERROR(VLOOKUP(C2552,Master_Mappings!$A$4:$E$85,3,FALSE()),"UNMAPPED"))</f>
        <v/>
      </c>
      <c r="P2552" s="1" t="str">
        <f aca="false">IF($C2552="","",$C2552&amp;"|"&amp;$E2552&amp;"|"&amp;$M2552&amp;"|"&amp;TEXT($G2552,"yyyy-mm-dd")&amp;"|"&amp;LEFT($J2552,40))</f>
        <v/>
      </c>
      <c r="Q2552" s="11" t="str">
        <f aca="false">IF(P2552="","",IF(COUNTIF($P$2:$P$3000,P2552)&gt;1,"DUPLICATE","OK"))</f>
        <v/>
      </c>
      <c r="R2552" s="0" t="str">
        <f aca="false">IF($C2552="","",IFERROR(VLOOKUP(--$C2552,MM_Income!$Z$5:$AC$204,3,FALSE()),""))</f>
        <v/>
      </c>
    </row>
    <row r="2553" customFormat="false" ht="13.5" hidden="false" customHeight="false" outlineLevel="0" collapsed="false">
      <c r="N2553" s="1" t="str">
        <f aca="false">IF(C2553="","",IFERROR(VLOOKUP(C2553,Master_Mappings!$A$4:$E$85,3,FALSE()),"UNMAPPED"))</f>
        <v/>
      </c>
      <c r="P2553" s="1" t="str">
        <f aca="false">IF($C2553="","",$C2553&amp;"|"&amp;$E2553&amp;"|"&amp;$M2553&amp;"|"&amp;TEXT($G2553,"yyyy-mm-dd")&amp;"|"&amp;LEFT($J2553,40))</f>
        <v/>
      </c>
      <c r="Q2553" s="11" t="str">
        <f aca="false">IF(P2553="","",IF(COUNTIF($P$2:$P$3000,P2553)&gt;1,"DUPLICATE","OK"))</f>
        <v/>
      </c>
      <c r="R2553" s="0" t="str">
        <f aca="false">IF($C2553="","",IFERROR(VLOOKUP(--$C2553,MM_Income!$Z$5:$AC$204,3,FALSE()),""))</f>
        <v/>
      </c>
    </row>
    <row r="2554" customFormat="false" ht="13.5" hidden="false" customHeight="false" outlineLevel="0" collapsed="false">
      <c r="N2554" s="1" t="str">
        <f aca="false">IF(C2554="","",IFERROR(VLOOKUP(C2554,Master_Mappings!$A$4:$E$85,3,FALSE()),"UNMAPPED"))</f>
        <v/>
      </c>
      <c r="P2554" s="1" t="str">
        <f aca="false">IF($C2554="","",$C2554&amp;"|"&amp;$E2554&amp;"|"&amp;$M2554&amp;"|"&amp;TEXT($G2554,"yyyy-mm-dd")&amp;"|"&amp;LEFT($J2554,40))</f>
        <v/>
      </c>
      <c r="Q2554" s="11" t="str">
        <f aca="false">IF(P2554="","",IF(COUNTIF($P$2:$P$3000,P2554)&gt;1,"DUPLICATE","OK"))</f>
        <v/>
      </c>
      <c r="R2554" s="0" t="str">
        <f aca="false">IF($C2554="","",IFERROR(VLOOKUP(--$C2554,MM_Income!$Z$5:$AC$204,3,FALSE()),""))</f>
        <v/>
      </c>
    </row>
    <row r="2555" customFormat="false" ht="13.5" hidden="false" customHeight="false" outlineLevel="0" collapsed="false">
      <c r="N2555" s="1" t="str">
        <f aca="false">IF(C2555="","",IFERROR(VLOOKUP(C2555,Master_Mappings!$A$4:$E$85,3,FALSE()),"UNMAPPED"))</f>
        <v/>
      </c>
      <c r="P2555" s="1" t="str">
        <f aca="false">IF($C2555="","",$C2555&amp;"|"&amp;$E2555&amp;"|"&amp;$M2555&amp;"|"&amp;TEXT($G2555,"yyyy-mm-dd")&amp;"|"&amp;LEFT($J2555,40))</f>
        <v/>
      </c>
      <c r="Q2555" s="11" t="str">
        <f aca="false">IF(P2555="","",IF(COUNTIF($P$2:$P$3000,P2555)&gt;1,"DUPLICATE","OK"))</f>
        <v/>
      </c>
      <c r="R2555" s="0" t="str">
        <f aca="false">IF($C2555="","",IFERROR(VLOOKUP(--$C2555,MM_Income!$Z$5:$AC$204,3,FALSE()),""))</f>
        <v/>
      </c>
    </row>
    <row r="2556" customFormat="false" ht="13.5" hidden="false" customHeight="false" outlineLevel="0" collapsed="false">
      <c r="N2556" s="1" t="str">
        <f aca="false">IF(C2556="","",IFERROR(VLOOKUP(C2556,Master_Mappings!$A$4:$E$85,3,FALSE()),"UNMAPPED"))</f>
        <v/>
      </c>
      <c r="P2556" s="1" t="str">
        <f aca="false">IF($C2556="","",$C2556&amp;"|"&amp;$E2556&amp;"|"&amp;$M2556&amp;"|"&amp;TEXT($G2556,"yyyy-mm-dd")&amp;"|"&amp;LEFT($J2556,40))</f>
        <v/>
      </c>
      <c r="Q2556" s="11" t="str">
        <f aca="false">IF(P2556="","",IF(COUNTIF($P$2:$P$3000,P2556)&gt;1,"DUPLICATE","OK"))</f>
        <v/>
      </c>
      <c r="R2556" s="0" t="str">
        <f aca="false">IF($C2556="","",IFERROR(VLOOKUP(--$C2556,MM_Income!$Z$5:$AC$204,3,FALSE()),""))</f>
        <v/>
      </c>
    </row>
    <row r="2557" customFormat="false" ht="13.5" hidden="false" customHeight="false" outlineLevel="0" collapsed="false">
      <c r="N2557" s="1" t="str">
        <f aca="false">IF(C2557="","",IFERROR(VLOOKUP(C2557,Master_Mappings!$A$4:$E$85,3,FALSE()),"UNMAPPED"))</f>
        <v/>
      </c>
      <c r="P2557" s="1" t="str">
        <f aca="false">IF($C2557="","",$C2557&amp;"|"&amp;$E2557&amp;"|"&amp;$M2557&amp;"|"&amp;TEXT($G2557,"yyyy-mm-dd")&amp;"|"&amp;LEFT($J2557,40))</f>
        <v/>
      </c>
      <c r="Q2557" s="11" t="str">
        <f aca="false">IF(P2557="","",IF(COUNTIF($P$2:$P$3000,P2557)&gt;1,"DUPLICATE","OK"))</f>
        <v/>
      </c>
      <c r="R2557" s="0" t="str">
        <f aca="false">IF($C2557="","",IFERROR(VLOOKUP(--$C2557,MM_Income!$Z$5:$AC$204,3,FALSE()),""))</f>
        <v/>
      </c>
    </row>
    <row r="2558" customFormat="false" ht="13.5" hidden="false" customHeight="false" outlineLevel="0" collapsed="false">
      <c r="N2558" s="1" t="str">
        <f aca="false">IF(C2558="","",IFERROR(VLOOKUP(C2558,Master_Mappings!$A$4:$E$85,3,FALSE()),"UNMAPPED"))</f>
        <v/>
      </c>
      <c r="P2558" s="1" t="str">
        <f aca="false">IF($C2558="","",$C2558&amp;"|"&amp;$E2558&amp;"|"&amp;$M2558&amp;"|"&amp;TEXT($G2558,"yyyy-mm-dd")&amp;"|"&amp;LEFT($J2558,40))</f>
        <v/>
      </c>
      <c r="Q2558" s="11" t="str">
        <f aca="false">IF(P2558="","",IF(COUNTIF($P$2:$P$3000,P2558)&gt;1,"DUPLICATE","OK"))</f>
        <v/>
      </c>
      <c r="R2558" s="0" t="str">
        <f aca="false">IF($C2558="","",IFERROR(VLOOKUP(--$C2558,MM_Income!$Z$5:$AC$204,3,FALSE()),""))</f>
        <v/>
      </c>
    </row>
    <row r="2559" customFormat="false" ht="13.5" hidden="false" customHeight="false" outlineLevel="0" collapsed="false">
      <c r="N2559" s="1" t="str">
        <f aca="false">IF(C2559="","",IFERROR(VLOOKUP(C2559,Master_Mappings!$A$4:$E$85,3,FALSE()),"UNMAPPED"))</f>
        <v/>
      </c>
      <c r="P2559" s="1" t="str">
        <f aca="false">IF($C2559="","",$C2559&amp;"|"&amp;$E2559&amp;"|"&amp;$M2559&amp;"|"&amp;TEXT($G2559,"yyyy-mm-dd")&amp;"|"&amp;LEFT($J2559,40))</f>
        <v/>
      </c>
      <c r="Q2559" s="11" t="str">
        <f aca="false">IF(P2559="","",IF(COUNTIF($P$2:$P$3000,P2559)&gt;1,"DUPLICATE","OK"))</f>
        <v/>
      </c>
      <c r="R2559" s="0" t="str">
        <f aca="false">IF($C2559="","",IFERROR(VLOOKUP(--$C2559,MM_Income!$Z$5:$AC$204,3,FALSE()),""))</f>
        <v/>
      </c>
    </row>
    <row r="2560" customFormat="false" ht="13.5" hidden="false" customHeight="false" outlineLevel="0" collapsed="false">
      <c r="N2560" s="1" t="str">
        <f aca="false">IF(C2560="","",IFERROR(VLOOKUP(C2560,Master_Mappings!$A$4:$E$85,3,FALSE()),"UNMAPPED"))</f>
        <v/>
      </c>
      <c r="P2560" s="1" t="str">
        <f aca="false">IF($C2560="","",$C2560&amp;"|"&amp;$E2560&amp;"|"&amp;$M2560&amp;"|"&amp;TEXT($G2560,"yyyy-mm-dd")&amp;"|"&amp;LEFT($J2560,40))</f>
        <v/>
      </c>
      <c r="Q2560" s="11" t="str">
        <f aca="false">IF(P2560="","",IF(COUNTIF($P$2:$P$3000,P2560)&gt;1,"DUPLICATE","OK"))</f>
        <v/>
      </c>
      <c r="R2560" s="0" t="str">
        <f aca="false">IF($C2560="","",IFERROR(VLOOKUP(--$C2560,MM_Income!$Z$5:$AC$204,3,FALSE()),""))</f>
        <v/>
      </c>
    </row>
    <row r="2561" customFormat="false" ht="13.5" hidden="false" customHeight="false" outlineLevel="0" collapsed="false">
      <c r="N2561" s="1" t="str">
        <f aca="false">IF(C2561="","",IFERROR(VLOOKUP(C2561,Master_Mappings!$A$4:$E$85,3,FALSE()),"UNMAPPED"))</f>
        <v/>
      </c>
      <c r="P2561" s="1" t="str">
        <f aca="false">IF($C2561="","",$C2561&amp;"|"&amp;$E2561&amp;"|"&amp;$M2561&amp;"|"&amp;TEXT($G2561,"yyyy-mm-dd")&amp;"|"&amp;LEFT($J2561,40))</f>
        <v/>
      </c>
      <c r="Q2561" s="11" t="str">
        <f aca="false">IF(P2561="","",IF(COUNTIF($P$2:$P$3000,P2561)&gt;1,"DUPLICATE","OK"))</f>
        <v/>
      </c>
      <c r="R2561" s="0" t="str">
        <f aca="false">IF($C2561="","",IFERROR(VLOOKUP(--$C2561,MM_Income!$Z$5:$AC$204,3,FALSE()),""))</f>
        <v/>
      </c>
    </row>
    <row r="2562" customFormat="false" ht="13.5" hidden="false" customHeight="false" outlineLevel="0" collapsed="false">
      <c r="N2562" s="1" t="str">
        <f aca="false">IF(C2562="","",IFERROR(VLOOKUP(C2562,Master_Mappings!$A$4:$E$85,3,FALSE()),"UNMAPPED"))</f>
        <v/>
      </c>
      <c r="P2562" s="1" t="str">
        <f aca="false">IF($C2562="","",$C2562&amp;"|"&amp;$E2562&amp;"|"&amp;$M2562&amp;"|"&amp;TEXT($G2562,"yyyy-mm-dd")&amp;"|"&amp;LEFT($J2562,40))</f>
        <v/>
      </c>
      <c r="Q2562" s="11" t="str">
        <f aca="false">IF(P2562="","",IF(COUNTIF($P$2:$P$3000,P2562)&gt;1,"DUPLICATE","OK"))</f>
        <v/>
      </c>
      <c r="R2562" s="0" t="str">
        <f aca="false">IF($C2562="","",IFERROR(VLOOKUP(--$C2562,MM_Income!$Z$5:$AC$204,3,FALSE()),""))</f>
        <v/>
      </c>
    </row>
    <row r="2563" customFormat="false" ht="13.5" hidden="false" customHeight="false" outlineLevel="0" collapsed="false">
      <c r="N2563" s="1" t="str">
        <f aca="false">IF(C2563="","",IFERROR(VLOOKUP(C2563,Master_Mappings!$A$4:$E$85,3,FALSE()),"UNMAPPED"))</f>
        <v/>
      </c>
      <c r="P2563" s="1" t="str">
        <f aca="false">IF($C2563="","",$C2563&amp;"|"&amp;$E2563&amp;"|"&amp;$M2563&amp;"|"&amp;TEXT($G2563,"yyyy-mm-dd")&amp;"|"&amp;LEFT($J2563,40))</f>
        <v/>
      </c>
      <c r="Q2563" s="11" t="str">
        <f aca="false">IF(P2563="","",IF(COUNTIF($P$2:$P$3000,P2563)&gt;1,"DUPLICATE","OK"))</f>
        <v/>
      </c>
      <c r="R2563" s="0" t="str">
        <f aca="false">IF($C2563="","",IFERROR(VLOOKUP(--$C2563,MM_Income!$Z$5:$AC$204,3,FALSE()),""))</f>
        <v/>
      </c>
    </row>
    <row r="2564" customFormat="false" ht="13.5" hidden="false" customHeight="false" outlineLevel="0" collapsed="false">
      <c r="N2564" s="1" t="str">
        <f aca="false">IF(C2564="","",IFERROR(VLOOKUP(C2564,Master_Mappings!$A$4:$E$85,3,FALSE()),"UNMAPPED"))</f>
        <v/>
      </c>
      <c r="P2564" s="1" t="str">
        <f aca="false">IF($C2564="","",$C2564&amp;"|"&amp;$E2564&amp;"|"&amp;$M2564&amp;"|"&amp;TEXT($G2564,"yyyy-mm-dd")&amp;"|"&amp;LEFT($J2564,40))</f>
        <v/>
      </c>
      <c r="Q2564" s="11" t="str">
        <f aca="false">IF(P2564="","",IF(COUNTIF($P$2:$P$3000,P2564)&gt;1,"DUPLICATE","OK"))</f>
        <v/>
      </c>
      <c r="R2564" s="0" t="str">
        <f aca="false">IF($C2564="","",IFERROR(VLOOKUP(--$C2564,MM_Income!$Z$5:$AC$204,3,FALSE()),""))</f>
        <v/>
      </c>
    </row>
    <row r="2565" customFormat="false" ht="13.5" hidden="false" customHeight="false" outlineLevel="0" collapsed="false">
      <c r="N2565" s="1" t="str">
        <f aca="false">IF(C2565="","",IFERROR(VLOOKUP(C2565,Master_Mappings!$A$4:$E$85,3,FALSE()),"UNMAPPED"))</f>
        <v/>
      </c>
      <c r="P2565" s="1" t="str">
        <f aca="false">IF($C2565="","",$C2565&amp;"|"&amp;$E2565&amp;"|"&amp;$M2565&amp;"|"&amp;TEXT($G2565,"yyyy-mm-dd")&amp;"|"&amp;LEFT($J2565,40))</f>
        <v/>
      </c>
      <c r="Q2565" s="11" t="str">
        <f aca="false">IF(P2565="","",IF(COUNTIF($P$2:$P$3000,P2565)&gt;1,"DUPLICATE","OK"))</f>
        <v/>
      </c>
      <c r="R2565" s="0" t="str">
        <f aca="false">IF($C2565="","",IFERROR(VLOOKUP(--$C2565,MM_Income!$Z$5:$AC$204,3,FALSE()),""))</f>
        <v/>
      </c>
    </row>
    <row r="2566" customFormat="false" ht="13.5" hidden="false" customHeight="false" outlineLevel="0" collapsed="false">
      <c r="N2566" s="1" t="str">
        <f aca="false">IF(C2566="","",IFERROR(VLOOKUP(C2566,Master_Mappings!$A$4:$E$85,3,FALSE()),"UNMAPPED"))</f>
        <v/>
      </c>
      <c r="P2566" s="1" t="str">
        <f aca="false">IF($C2566="","",$C2566&amp;"|"&amp;$E2566&amp;"|"&amp;$M2566&amp;"|"&amp;TEXT($G2566,"yyyy-mm-dd")&amp;"|"&amp;LEFT($J2566,40))</f>
        <v/>
      </c>
      <c r="Q2566" s="11" t="str">
        <f aca="false">IF(P2566="","",IF(COUNTIF($P$2:$P$3000,P2566)&gt;1,"DUPLICATE","OK"))</f>
        <v/>
      </c>
      <c r="R2566" s="0" t="str">
        <f aca="false">IF($C2566="","",IFERROR(VLOOKUP(--$C2566,MM_Income!$Z$5:$AC$204,3,FALSE()),""))</f>
        <v/>
      </c>
    </row>
    <row r="2567" customFormat="false" ht="13.5" hidden="false" customHeight="false" outlineLevel="0" collapsed="false">
      <c r="N2567" s="1" t="str">
        <f aca="false">IF(C2567="","",IFERROR(VLOOKUP(C2567,Master_Mappings!$A$4:$E$85,3,FALSE()),"UNMAPPED"))</f>
        <v/>
      </c>
      <c r="P2567" s="1" t="str">
        <f aca="false">IF($C2567="","",$C2567&amp;"|"&amp;$E2567&amp;"|"&amp;$M2567&amp;"|"&amp;TEXT($G2567,"yyyy-mm-dd")&amp;"|"&amp;LEFT($J2567,40))</f>
        <v/>
      </c>
      <c r="Q2567" s="11" t="str">
        <f aca="false">IF(P2567="","",IF(COUNTIF($P$2:$P$3000,P2567)&gt;1,"DUPLICATE","OK"))</f>
        <v/>
      </c>
      <c r="R2567" s="0" t="str">
        <f aca="false">IF($C2567="","",IFERROR(VLOOKUP(--$C2567,MM_Income!$Z$5:$AC$204,3,FALSE()),""))</f>
        <v/>
      </c>
    </row>
    <row r="2568" customFormat="false" ht="13.5" hidden="false" customHeight="false" outlineLevel="0" collapsed="false">
      <c r="N2568" s="1" t="str">
        <f aca="false">IF(C2568="","",IFERROR(VLOOKUP(C2568,Master_Mappings!$A$4:$E$85,3,FALSE()),"UNMAPPED"))</f>
        <v/>
      </c>
      <c r="P2568" s="1" t="str">
        <f aca="false">IF($C2568="","",$C2568&amp;"|"&amp;$E2568&amp;"|"&amp;$M2568&amp;"|"&amp;TEXT($G2568,"yyyy-mm-dd")&amp;"|"&amp;LEFT($J2568,40))</f>
        <v/>
      </c>
      <c r="Q2568" s="11" t="str">
        <f aca="false">IF(P2568="","",IF(COUNTIF($P$2:$P$3000,P2568)&gt;1,"DUPLICATE","OK"))</f>
        <v/>
      </c>
      <c r="R2568" s="0" t="str">
        <f aca="false">IF($C2568="","",IFERROR(VLOOKUP(--$C2568,MM_Income!$Z$5:$AC$204,3,FALSE()),""))</f>
        <v/>
      </c>
    </row>
    <row r="2569" customFormat="false" ht="13.5" hidden="false" customHeight="false" outlineLevel="0" collapsed="false">
      <c r="N2569" s="1" t="str">
        <f aca="false">IF(C2569="","",IFERROR(VLOOKUP(C2569,Master_Mappings!$A$4:$E$85,3,FALSE()),"UNMAPPED"))</f>
        <v/>
      </c>
      <c r="P2569" s="1" t="str">
        <f aca="false">IF($C2569="","",$C2569&amp;"|"&amp;$E2569&amp;"|"&amp;$M2569&amp;"|"&amp;TEXT($G2569,"yyyy-mm-dd")&amp;"|"&amp;LEFT($J2569,40))</f>
        <v/>
      </c>
      <c r="Q2569" s="11" t="str">
        <f aca="false">IF(P2569="","",IF(COUNTIF($P$2:$P$3000,P2569)&gt;1,"DUPLICATE","OK"))</f>
        <v/>
      </c>
      <c r="R2569" s="0" t="str">
        <f aca="false">IF($C2569="","",IFERROR(VLOOKUP(--$C2569,MM_Income!$Z$5:$AC$204,3,FALSE()),""))</f>
        <v/>
      </c>
    </row>
    <row r="2570" customFormat="false" ht="13.5" hidden="false" customHeight="false" outlineLevel="0" collapsed="false">
      <c r="N2570" s="1" t="str">
        <f aca="false">IF(C2570="","",IFERROR(VLOOKUP(C2570,Master_Mappings!$A$4:$E$85,3,FALSE()),"UNMAPPED"))</f>
        <v/>
      </c>
      <c r="P2570" s="1" t="str">
        <f aca="false">IF($C2570="","",$C2570&amp;"|"&amp;$E2570&amp;"|"&amp;$M2570&amp;"|"&amp;TEXT($G2570,"yyyy-mm-dd")&amp;"|"&amp;LEFT($J2570,40))</f>
        <v/>
      </c>
      <c r="Q2570" s="11" t="str">
        <f aca="false">IF(P2570="","",IF(COUNTIF($P$2:$P$3000,P2570)&gt;1,"DUPLICATE","OK"))</f>
        <v/>
      </c>
      <c r="R2570" s="0" t="str">
        <f aca="false">IF($C2570="","",IFERROR(VLOOKUP(--$C2570,MM_Income!$Z$5:$AC$204,3,FALSE()),""))</f>
        <v/>
      </c>
    </row>
    <row r="2571" customFormat="false" ht="13.5" hidden="false" customHeight="false" outlineLevel="0" collapsed="false">
      <c r="N2571" s="1" t="str">
        <f aca="false">IF(C2571="","",IFERROR(VLOOKUP(C2571,Master_Mappings!$A$4:$E$85,3,FALSE()),"UNMAPPED"))</f>
        <v/>
      </c>
      <c r="P2571" s="1" t="str">
        <f aca="false">IF($C2571="","",$C2571&amp;"|"&amp;$E2571&amp;"|"&amp;$M2571&amp;"|"&amp;TEXT($G2571,"yyyy-mm-dd")&amp;"|"&amp;LEFT($J2571,40))</f>
        <v/>
      </c>
      <c r="Q2571" s="11" t="str">
        <f aca="false">IF(P2571="","",IF(COUNTIF($P$2:$P$3000,P2571)&gt;1,"DUPLICATE","OK"))</f>
        <v/>
      </c>
      <c r="R2571" s="0" t="str">
        <f aca="false">IF($C2571="","",IFERROR(VLOOKUP(--$C2571,MM_Income!$Z$5:$AC$204,3,FALSE()),""))</f>
        <v/>
      </c>
    </row>
    <row r="2572" customFormat="false" ht="13.5" hidden="false" customHeight="false" outlineLevel="0" collapsed="false">
      <c r="N2572" s="1" t="str">
        <f aca="false">IF(C2572="","",IFERROR(VLOOKUP(C2572,Master_Mappings!$A$4:$E$85,3,FALSE()),"UNMAPPED"))</f>
        <v/>
      </c>
      <c r="P2572" s="1" t="str">
        <f aca="false">IF($C2572="","",$C2572&amp;"|"&amp;$E2572&amp;"|"&amp;$M2572&amp;"|"&amp;TEXT($G2572,"yyyy-mm-dd")&amp;"|"&amp;LEFT($J2572,40))</f>
        <v/>
      </c>
      <c r="Q2572" s="11" t="str">
        <f aca="false">IF(P2572="","",IF(COUNTIF($P$2:$P$3000,P2572)&gt;1,"DUPLICATE","OK"))</f>
        <v/>
      </c>
      <c r="R2572" s="0" t="str">
        <f aca="false">IF($C2572="","",IFERROR(VLOOKUP(--$C2572,MM_Income!$Z$5:$AC$204,3,FALSE()),""))</f>
        <v/>
      </c>
    </row>
    <row r="2573" customFormat="false" ht="13.5" hidden="false" customHeight="false" outlineLevel="0" collapsed="false">
      <c r="N2573" s="1" t="str">
        <f aca="false">IF(C2573="","",IFERROR(VLOOKUP(C2573,Master_Mappings!$A$4:$E$85,3,FALSE()),"UNMAPPED"))</f>
        <v/>
      </c>
      <c r="P2573" s="1" t="str">
        <f aca="false">IF($C2573="","",$C2573&amp;"|"&amp;$E2573&amp;"|"&amp;$M2573&amp;"|"&amp;TEXT($G2573,"yyyy-mm-dd")&amp;"|"&amp;LEFT($J2573,40))</f>
        <v/>
      </c>
      <c r="Q2573" s="11" t="str">
        <f aca="false">IF(P2573="","",IF(COUNTIF($P$2:$P$3000,P2573)&gt;1,"DUPLICATE","OK"))</f>
        <v/>
      </c>
      <c r="R2573" s="0" t="str">
        <f aca="false">IF($C2573="","",IFERROR(VLOOKUP(--$C2573,MM_Income!$Z$5:$AC$204,3,FALSE()),""))</f>
        <v/>
      </c>
    </row>
    <row r="2574" customFormat="false" ht="13.5" hidden="false" customHeight="false" outlineLevel="0" collapsed="false">
      <c r="N2574" s="1" t="str">
        <f aca="false">IF(C2574="","",IFERROR(VLOOKUP(C2574,Master_Mappings!$A$4:$E$85,3,FALSE()),"UNMAPPED"))</f>
        <v/>
      </c>
      <c r="P2574" s="1" t="str">
        <f aca="false">IF($C2574="","",$C2574&amp;"|"&amp;$E2574&amp;"|"&amp;$M2574&amp;"|"&amp;TEXT($G2574,"yyyy-mm-dd")&amp;"|"&amp;LEFT($J2574,40))</f>
        <v/>
      </c>
      <c r="Q2574" s="11" t="str">
        <f aca="false">IF(P2574="","",IF(COUNTIF($P$2:$P$3000,P2574)&gt;1,"DUPLICATE","OK"))</f>
        <v/>
      </c>
      <c r="R2574" s="0" t="str">
        <f aca="false">IF($C2574="","",IFERROR(VLOOKUP(--$C2574,MM_Income!$Z$5:$AC$204,3,FALSE()),""))</f>
        <v/>
      </c>
    </row>
    <row r="2575" customFormat="false" ht="13.5" hidden="false" customHeight="false" outlineLevel="0" collapsed="false">
      <c r="N2575" s="1" t="str">
        <f aca="false">IF(C2575="","",IFERROR(VLOOKUP(C2575,Master_Mappings!$A$4:$E$85,3,FALSE()),"UNMAPPED"))</f>
        <v/>
      </c>
      <c r="P2575" s="1" t="str">
        <f aca="false">IF($C2575="","",$C2575&amp;"|"&amp;$E2575&amp;"|"&amp;$M2575&amp;"|"&amp;TEXT($G2575,"yyyy-mm-dd")&amp;"|"&amp;LEFT($J2575,40))</f>
        <v/>
      </c>
      <c r="Q2575" s="11" t="str">
        <f aca="false">IF(P2575="","",IF(COUNTIF($P$2:$P$3000,P2575)&gt;1,"DUPLICATE","OK"))</f>
        <v/>
      </c>
      <c r="R2575" s="0" t="str">
        <f aca="false">IF($C2575="","",IFERROR(VLOOKUP(--$C2575,MM_Income!$Z$5:$AC$204,3,FALSE()),""))</f>
        <v/>
      </c>
    </row>
    <row r="2576" customFormat="false" ht="13.5" hidden="false" customHeight="false" outlineLevel="0" collapsed="false">
      <c r="N2576" s="1" t="str">
        <f aca="false">IF(C2576="","",IFERROR(VLOOKUP(C2576,Master_Mappings!$A$4:$E$85,3,FALSE()),"UNMAPPED"))</f>
        <v/>
      </c>
      <c r="P2576" s="1" t="str">
        <f aca="false">IF($C2576="","",$C2576&amp;"|"&amp;$E2576&amp;"|"&amp;$M2576&amp;"|"&amp;TEXT($G2576,"yyyy-mm-dd")&amp;"|"&amp;LEFT($J2576,40))</f>
        <v/>
      </c>
      <c r="Q2576" s="11" t="str">
        <f aca="false">IF(P2576="","",IF(COUNTIF($P$2:$P$3000,P2576)&gt;1,"DUPLICATE","OK"))</f>
        <v/>
      </c>
      <c r="R2576" s="0" t="str">
        <f aca="false">IF($C2576="","",IFERROR(VLOOKUP(--$C2576,MM_Income!$Z$5:$AC$204,3,FALSE()),""))</f>
        <v/>
      </c>
    </row>
    <row r="2577" customFormat="false" ht="13.5" hidden="false" customHeight="false" outlineLevel="0" collapsed="false">
      <c r="N2577" s="1" t="str">
        <f aca="false">IF(C2577="","",IFERROR(VLOOKUP(C2577,Master_Mappings!$A$4:$E$85,3,FALSE()),"UNMAPPED"))</f>
        <v/>
      </c>
      <c r="P2577" s="1" t="str">
        <f aca="false">IF($C2577="","",$C2577&amp;"|"&amp;$E2577&amp;"|"&amp;$M2577&amp;"|"&amp;TEXT($G2577,"yyyy-mm-dd")&amp;"|"&amp;LEFT($J2577,40))</f>
        <v/>
      </c>
      <c r="Q2577" s="11" t="str">
        <f aca="false">IF(P2577="","",IF(COUNTIF($P$2:$P$3000,P2577)&gt;1,"DUPLICATE","OK"))</f>
        <v/>
      </c>
      <c r="R2577" s="0" t="str">
        <f aca="false">IF($C2577="","",IFERROR(VLOOKUP(--$C2577,MM_Income!$Z$5:$AC$204,3,FALSE()),""))</f>
        <v/>
      </c>
    </row>
    <row r="2578" customFormat="false" ht="13.5" hidden="false" customHeight="false" outlineLevel="0" collapsed="false">
      <c r="N2578" s="1" t="str">
        <f aca="false">IF(C2578="","",IFERROR(VLOOKUP(C2578,Master_Mappings!$A$4:$E$85,3,FALSE()),"UNMAPPED"))</f>
        <v/>
      </c>
      <c r="P2578" s="1" t="str">
        <f aca="false">IF($C2578="","",$C2578&amp;"|"&amp;$E2578&amp;"|"&amp;$M2578&amp;"|"&amp;TEXT($G2578,"yyyy-mm-dd")&amp;"|"&amp;LEFT($J2578,40))</f>
        <v/>
      </c>
      <c r="Q2578" s="11" t="str">
        <f aca="false">IF(P2578="","",IF(COUNTIF($P$2:$P$3000,P2578)&gt;1,"DUPLICATE","OK"))</f>
        <v/>
      </c>
      <c r="R2578" s="0" t="str">
        <f aca="false">IF($C2578="","",IFERROR(VLOOKUP(--$C2578,MM_Income!$Z$5:$AC$204,3,FALSE()),""))</f>
        <v/>
      </c>
    </row>
    <row r="2579" customFormat="false" ht="13.5" hidden="false" customHeight="false" outlineLevel="0" collapsed="false">
      <c r="N2579" s="1" t="str">
        <f aca="false">IF(C2579="","",IFERROR(VLOOKUP(C2579,Master_Mappings!$A$4:$E$85,3,FALSE()),"UNMAPPED"))</f>
        <v/>
      </c>
      <c r="P2579" s="1" t="str">
        <f aca="false">IF($C2579="","",$C2579&amp;"|"&amp;$E2579&amp;"|"&amp;$M2579&amp;"|"&amp;TEXT($G2579,"yyyy-mm-dd")&amp;"|"&amp;LEFT($J2579,40))</f>
        <v/>
      </c>
      <c r="Q2579" s="11" t="str">
        <f aca="false">IF(P2579="","",IF(COUNTIF($P$2:$P$3000,P2579)&gt;1,"DUPLICATE","OK"))</f>
        <v/>
      </c>
      <c r="R2579" s="0" t="str">
        <f aca="false">IF($C2579="","",IFERROR(VLOOKUP(--$C2579,MM_Income!$Z$5:$AC$204,3,FALSE()),""))</f>
        <v/>
      </c>
    </row>
    <row r="2580" customFormat="false" ht="13.5" hidden="false" customHeight="false" outlineLevel="0" collapsed="false">
      <c r="N2580" s="1" t="str">
        <f aca="false">IF(C2580="","",IFERROR(VLOOKUP(C2580,Master_Mappings!$A$4:$E$85,3,FALSE()),"UNMAPPED"))</f>
        <v/>
      </c>
      <c r="P2580" s="1" t="str">
        <f aca="false">IF($C2580="","",$C2580&amp;"|"&amp;$E2580&amp;"|"&amp;$M2580&amp;"|"&amp;TEXT($G2580,"yyyy-mm-dd")&amp;"|"&amp;LEFT($J2580,40))</f>
        <v/>
      </c>
      <c r="Q2580" s="11" t="str">
        <f aca="false">IF(P2580="","",IF(COUNTIF($P$2:$P$3000,P2580)&gt;1,"DUPLICATE","OK"))</f>
        <v/>
      </c>
      <c r="R2580" s="0" t="str">
        <f aca="false">IF($C2580="","",IFERROR(VLOOKUP(--$C2580,MM_Income!$Z$5:$AC$204,3,FALSE()),""))</f>
        <v/>
      </c>
    </row>
    <row r="2581" customFormat="false" ht="13.5" hidden="false" customHeight="false" outlineLevel="0" collapsed="false">
      <c r="N2581" s="1" t="str">
        <f aca="false">IF(C2581="","",IFERROR(VLOOKUP(C2581,Master_Mappings!$A$4:$E$85,3,FALSE()),"UNMAPPED"))</f>
        <v/>
      </c>
      <c r="P2581" s="1" t="str">
        <f aca="false">IF($C2581="","",$C2581&amp;"|"&amp;$E2581&amp;"|"&amp;$M2581&amp;"|"&amp;TEXT($G2581,"yyyy-mm-dd")&amp;"|"&amp;LEFT($J2581,40))</f>
        <v/>
      </c>
      <c r="Q2581" s="11" t="str">
        <f aca="false">IF(P2581="","",IF(COUNTIF($P$2:$P$3000,P2581)&gt;1,"DUPLICATE","OK"))</f>
        <v/>
      </c>
      <c r="R2581" s="0" t="str">
        <f aca="false">IF($C2581="","",IFERROR(VLOOKUP(--$C2581,MM_Income!$Z$5:$AC$204,3,FALSE()),""))</f>
        <v/>
      </c>
    </row>
    <row r="2582" customFormat="false" ht="13.5" hidden="false" customHeight="false" outlineLevel="0" collapsed="false">
      <c r="N2582" s="1" t="str">
        <f aca="false">IF(C2582="","",IFERROR(VLOOKUP(C2582,Master_Mappings!$A$4:$E$85,3,FALSE()),"UNMAPPED"))</f>
        <v/>
      </c>
      <c r="P2582" s="1" t="str">
        <f aca="false">IF($C2582="","",$C2582&amp;"|"&amp;$E2582&amp;"|"&amp;$M2582&amp;"|"&amp;TEXT($G2582,"yyyy-mm-dd")&amp;"|"&amp;LEFT($J2582,40))</f>
        <v/>
      </c>
      <c r="Q2582" s="11" t="str">
        <f aca="false">IF(P2582="","",IF(COUNTIF($P$2:$P$3000,P2582)&gt;1,"DUPLICATE","OK"))</f>
        <v/>
      </c>
      <c r="R2582" s="0" t="str">
        <f aca="false">IF($C2582="","",IFERROR(VLOOKUP(--$C2582,MM_Income!$Z$5:$AC$204,3,FALSE()),""))</f>
        <v/>
      </c>
    </row>
    <row r="2583" customFormat="false" ht="13.5" hidden="false" customHeight="false" outlineLevel="0" collapsed="false">
      <c r="N2583" s="1" t="str">
        <f aca="false">IF(C2583="","",IFERROR(VLOOKUP(C2583,Master_Mappings!$A$4:$E$85,3,FALSE()),"UNMAPPED"))</f>
        <v/>
      </c>
      <c r="P2583" s="1" t="str">
        <f aca="false">IF($C2583="","",$C2583&amp;"|"&amp;$E2583&amp;"|"&amp;$M2583&amp;"|"&amp;TEXT($G2583,"yyyy-mm-dd")&amp;"|"&amp;LEFT($J2583,40))</f>
        <v/>
      </c>
      <c r="Q2583" s="11" t="str">
        <f aca="false">IF(P2583="","",IF(COUNTIF($P$2:$P$3000,P2583)&gt;1,"DUPLICATE","OK"))</f>
        <v/>
      </c>
      <c r="R2583" s="0" t="str">
        <f aca="false">IF($C2583="","",IFERROR(VLOOKUP(--$C2583,MM_Income!$Z$5:$AC$204,3,FALSE()),""))</f>
        <v/>
      </c>
    </row>
    <row r="2584" customFormat="false" ht="13.5" hidden="false" customHeight="false" outlineLevel="0" collapsed="false">
      <c r="N2584" s="1" t="str">
        <f aca="false">IF(C2584="","",IFERROR(VLOOKUP(C2584,Master_Mappings!$A$4:$E$85,3,FALSE()),"UNMAPPED"))</f>
        <v/>
      </c>
      <c r="P2584" s="1" t="str">
        <f aca="false">IF($C2584="","",$C2584&amp;"|"&amp;$E2584&amp;"|"&amp;$M2584&amp;"|"&amp;TEXT($G2584,"yyyy-mm-dd")&amp;"|"&amp;LEFT($J2584,40))</f>
        <v/>
      </c>
      <c r="Q2584" s="11" t="str">
        <f aca="false">IF(P2584="","",IF(COUNTIF($P$2:$P$3000,P2584)&gt;1,"DUPLICATE","OK"))</f>
        <v/>
      </c>
      <c r="R2584" s="0" t="str">
        <f aca="false">IF($C2584="","",IFERROR(VLOOKUP(--$C2584,MM_Income!$Z$5:$AC$204,3,FALSE()),""))</f>
        <v/>
      </c>
    </row>
    <row r="2585" customFormat="false" ht="13.5" hidden="false" customHeight="false" outlineLevel="0" collapsed="false">
      <c r="N2585" s="1" t="str">
        <f aca="false">IF(C2585="","",IFERROR(VLOOKUP(C2585,Master_Mappings!$A$4:$E$85,3,FALSE()),"UNMAPPED"))</f>
        <v/>
      </c>
      <c r="P2585" s="1" t="str">
        <f aca="false">IF($C2585="","",$C2585&amp;"|"&amp;$E2585&amp;"|"&amp;$M2585&amp;"|"&amp;TEXT($G2585,"yyyy-mm-dd")&amp;"|"&amp;LEFT($J2585,40))</f>
        <v/>
      </c>
      <c r="Q2585" s="11" t="str">
        <f aca="false">IF(P2585="","",IF(COUNTIF($P$2:$P$3000,P2585)&gt;1,"DUPLICATE","OK"))</f>
        <v/>
      </c>
      <c r="R2585" s="0" t="str">
        <f aca="false">IF($C2585="","",IFERROR(VLOOKUP(--$C2585,MM_Income!$Z$5:$AC$204,3,FALSE()),""))</f>
        <v/>
      </c>
    </row>
    <row r="2586" customFormat="false" ht="13.5" hidden="false" customHeight="false" outlineLevel="0" collapsed="false">
      <c r="N2586" s="1" t="str">
        <f aca="false">IF(C2586="","",IFERROR(VLOOKUP(C2586,Master_Mappings!$A$4:$E$85,3,FALSE()),"UNMAPPED"))</f>
        <v/>
      </c>
      <c r="P2586" s="1" t="str">
        <f aca="false">IF($C2586="","",$C2586&amp;"|"&amp;$E2586&amp;"|"&amp;$M2586&amp;"|"&amp;TEXT($G2586,"yyyy-mm-dd")&amp;"|"&amp;LEFT($J2586,40))</f>
        <v/>
      </c>
      <c r="Q2586" s="11" t="str">
        <f aca="false">IF(P2586="","",IF(COUNTIF($P$2:$P$3000,P2586)&gt;1,"DUPLICATE","OK"))</f>
        <v/>
      </c>
      <c r="R2586" s="0" t="str">
        <f aca="false">IF($C2586="","",IFERROR(VLOOKUP(--$C2586,MM_Income!$Z$5:$AC$204,3,FALSE()),""))</f>
        <v/>
      </c>
    </row>
    <row r="2587" customFormat="false" ht="13.5" hidden="false" customHeight="false" outlineLevel="0" collapsed="false">
      <c r="N2587" s="1" t="str">
        <f aca="false">IF(C2587="","",IFERROR(VLOOKUP(C2587,Master_Mappings!$A$4:$E$85,3,FALSE()),"UNMAPPED"))</f>
        <v/>
      </c>
      <c r="P2587" s="1" t="str">
        <f aca="false">IF($C2587="","",$C2587&amp;"|"&amp;$E2587&amp;"|"&amp;$M2587&amp;"|"&amp;TEXT($G2587,"yyyy-mm-dd")&amp;"|"&amp;LEFT($J2587,40))</f>
        <v/>
      </c>
      <c r="Q2587" s="11" t="str">
        <f aca="false">IF(P2587="","",IF(COUNTIF($P$2:$P$3000,P2587)&gt;1,"DUPLICATE","OK"))</f>
        <v/>
      </c>
      <c r="R2587" s="0" t="str">
        <f aca="false">IF($C2587="","",IFERROR(VLOOKUP(--$C2587,MM_Income!$Z$5:$AC$204,3,FALSE()),""))</f>
        <v/>
      </c>
    </row>
    <row r="2588" customFormat="false" ht="13.5" hidden="false" customHeight="false" outlineLevel="0" collapsed="false">
      <c r="N2588" s="1" t="str">
        <f aca="false">IF(C2588="","",IFERROR(VLOOKUP(C2588,Master_Mappings!$A$4:$E$85,3,FALSE()),"UNMAPPED"))</f>
        <v/>
      </c>
      <c r="P2588" s="1" t="str">
        <f aca="false">IF($C2588="","",$C2588&amp;"|"&amp;$E2588&amp;"|"&amp;$M2588&amp;"|"&amp;TEXT($G2588,"yyyy-mm-dd")&amp;"|"&amp;LEFT($J2588,40))</f>
        <v/>
      </c>
      <c r="Q2588" s="11" t="str">
        <f aca="false">IF(P2588="","",IF(COUNTIF($P$2:$P$3000,P2588)&gt;1,"DUPLICATE","OK"))</f>
        <v/>
      </c>
      <c r="R2588" s="0" t="str">
        <f aca="false">IF($C2588="","",IFERROR(VLOOKUP(--$C2588,MM_Income!$Z$5:$AC$204,3,FALSE()),""))</f>
        <v/>
      </c>
    </row>
    <row r="2589" customFormat="false" ht="13.5" hidden="false" customHeight="false" outlineLevel="0" collapsed="false">
      <c r="N2589" s="1" t="str">
        <f aca="false">IF(C2589="","",IFERROR(VLOOKUP(C2589,Master_Mappings!$A$4:$E$85,3,FALSE()),"UNMAPPED"))</f>
        <v/>
      </c>
      <c r="P2589" s="1" t="str">
        <f aca="false">IF($C2589="","",$C2589&amp;"|"&amp;$E2589&amp;"|"&amp;$M2589&amp;"|"&amp;TEXT($G2589,"yyyy-mm-dd")&amp;"|"&amp;LEFT($J2589,40))</f>
        <v/>
      </c>
      <c r="Q2589" s="11" t="str">
        <f aca="false">IF(P2589="","",IF(COUNTIF($P$2:$P$3000,P2589)&gt;1,"DUPLICATE","OK"))</f>
        <v/>
      </c>
      <c r="R2589" s="0" t="str">
        <f aca="false">IF($C2589="","",IFERROR(VLOOKUP(--$C2589,MM_Income!$Z$5:$AC$204,3,FALSE()),""))</f>
        <v/>
      </c>
    </row>
    <row r="2590" customFormat="false" ht="13.5" hidden="false" customHeight="false" outlineLevel="0" collapsed="false">
      <c r="N2590" s="1" t="str">
        <f aca="false">IF(C2590="","",IFERROR(VLOOKUP(C2590,Master_Mappings!$A$4:$E$85,3,FALSE()),"UNMAPPED"))</f>
        <v/>
      </c>
      <c r="P2590" s="1" t="str">
        <f aca="false">IF($C2590="","",$C2590&amp;"|"&amp;$E2590&amp;"|"&amp;$M2590&amp;"|"&amp;TEXT($G2590,"yyyy-mm-dd")&amp;"|"&amp;LEFT($J2590,40))</f>
        <v/>
      </c>
      <c r="Q2590" s="11" t="str">
        <f aca="false">IF(P2590="","",IF(COUNTIF($P$2:$P$3000,P2590)&gt;1,"DUPLICATE","OK"))</f>
        <v/>
      </c>
      <c r="R2590" s="0" t="str">
        <f aca="false">IF($C2590="","",IFERROR(VLOOKUP(--$C2590,MM_Income!$Z$5:$AC$204,3,FALSE()),""))</f>
        <v/>
      </c>
    </row>
    <row r="2591" customFormat="false" ht="13.5" hidden="false" customHeight="false" outlineLevel="0" collapsed="false">
      <c r="N2591" s="1" t="str">
        <f aca="false">IF(C2591="","",IFERROR(VLOOKUP(C2591,Master_Mappings!$A$4:$E$85,3,FALSE()),"UNMAPPED"))</f>
        <v/>
      </c>
      <c r="P2591" s="1" t="str">
        <f aca="false">IF($C2591="","",$C2591&amp;"|"&amp;$E2591&amp;"|"&amp;$M2591&amp;"|"&amp;TEXT($G2591,"yyyy-mm-dd")&amp;"|"&amp;LEFT($J2591,40))</f>
        <v/>
      </c>
      <c r="Q2591" s="11" t="str">
        <f aca="false">IF(P2591="","",IF(COUNTIF($P$2:$P$3000,P2591)&gt;1,"DUPLICATE","OK"))</f>
        <v/>
      </c>
      <c r="R2591" s="0" t="str">
        <f aca="false">IF($C2591="","",IFERROR(VLOOKUP(--$C2591,MM_Income!$Z$5:$AC$204,3,FALSE()),""))</f>
        <v/>
      </c>
    </row>
    <row r="2592" customFormat="false" ht="13.5" hidden="false" customHeight="false" outlineLevel="0" collapsed="false">
      <c r="N2592" s="1" t="str">
        <f aca="false">IF(C2592="","",IFERROR(VLOOKUP(C2592,Master_Mappings!$A$4:$E$85,3,FALSE()),"UNMAPPED"))</f>
        <v/>
      </c>
      <c r="P2592" s="1" t="str">
        <f aca="false">IF($C2592="","",$C2592&amp;"|"&amp;$E2592&amp;"|"&amp;$M2592&amp;"|"&amp;TEXT($G2592,"yyyy-mm-dd")&amp;"|"&amp;LEFT($J2592,40))</f>
        <v/>
      </c>
      <c r="Q2592" s="11" t="str">
        <f aca="false">IF(P2592="","",IF(COUNTIF($P$2:$P$3000,P2592)&gt;1,"DUPLICATE","OK"))</f>
        <v/>
      </c>
      <c r="R2592" s="0" t="str">
        <f aca="false">IF($C2592="","",IFERROR(VLOOKUP(--$C2592,MM_Income!$Z$5:$AC$204,3,FALSE()),""))</f>
        <v/>
      </c>
    </row>
    <row r="2593" customFormat="false" ht="13.5" hidden="false" customHeight="false" outlineLevel="0" collapsed="false">
      <c r="N2593" s="1" t="str">
        <f aca="false">IF(C2593="","",IFERROR(VLOOKUP(C2593,Master_Mappings!$A$4:$E$85,3,FALSE()),"UNMAPPED"))</f>
        <v/>
      </c>
      <c r="P2593" s="1" t="str">
        <f aca="false">IF($C2593="","",$C2593&amp;"|"&amp;$E2593&amp;"|"&amp;$M2593&amp;"|"&amp;TEXT($G2593,"yyyy-mm-dd")&amp;"|"&amp;LEFT($J2593,40))</f>
        <v/>
      </c>
      <c r="Q2593" s="11" t="str">
        <f aca="false">IF(P2593="","",IF(COUNTIF($P$2:$P$3000,P2593)&gt;1,"DUPLICATE","OK"))</f>
        <v/>
      </c>
      <c r="R2593" s="0" t="str">
        <f aca="false">IF($C2593="","",IFERROR(VLOOKUP(--$C2593,MM_Income!$Z$5:$AC$204,3,FALSE()),""))</f>
        <v/>
      </c>
    </row>
    <row r="2594" customFormat="false" ht="13.5" hidden="false" customHeight="false" outlineLevel="0" collapsed="false">
      <c r="N2594" s="1" t="str">
        <f aca="false">IF(C2594="","",IFERROR(VLOOKUP(C2594,Master_Mappings!$A$4:$E$85,3,FALSE()),"UNMAPPED"))</f>
        <v/>
      </c>
      <c r="P2594" s="1" t="str">
        <f aca="false">IF($C2594="","",$C2594&amp;"|"&amp;$E2594&amp;"|"&amp;$M2594&amp;"|"&amp;TEXT($G2594,"yyyy-mm-dd")&amp;"|"&amp;LEFT($J2594,40))</f>
        <v/>
      </c>
      <c r="Q2594" s="11" t="str">
        <f aca="false">IF(P2594="","",IF(COUNTIF($P$2:$P$3000,P2594)&gt;1,"DUPLICATE","OK"))</f>
        <v/>
      </c>
      <c r="R2594" s="0" t="str">
        <f aca="false">IF($C2594="","",IFERROR(VLOOKUP(--$C2594,MM_Income!$Z$5:$AC$204,3,FALSE()),""))</f>
        <v/>
      </c>
    </row>
    <row r="2595" customFormat="false" ht="13.5" hidden="false" customHeight="false" outlineLevel="0" collapsed="false">
      <c r="N2595" s="1" t="str">
        <f aca="false">IF(C2595="","",IFERROR(VLOOKUP(C2595,Master_Mappings!$A$4:$E$85,3,FALSE()),"UNMAPPED"))</f>
        <v/>
      </c>
      <c r="P2595" s="1" t="str">
        <f aca="false">IF($C2595="","",$C2595&amp;"|"&amp;$E2595&amp;"|"&amp;$M2595&amp;"|"&amp;TEXT($G2595,"yyyy-mm-dd")&amp;"|"&amp;LEFT($J2595,40))</f>
        <v/>
      </c>
      <c r="Q2595" s="11" t="str">
        <f aca="false">IF(P2595="","",IF(COUNTIF($P$2:$P$3000,P2595)&gt;1,"DUPLICATE","OK"))</f>
        <v/>
      </c>
      <c r="R2595" s="0" t="str">
        <f aca="false">IF($C2595="","",IFERROR(VLOOKUP(--$C2595,MM_Income!$Z$5:$AC$204,3,FALSE()),""))</f>
        <v/>
      </c>
    </row>
    <row r="2596" customFormat="false" ht="13.5" hidden="false" customHeight="false" outlineLevel="0" collapsed="false">
      <c r="N2596" s="1" t="str">
        <f aca="false">IF(C2596="","",IFERROR(VLOOKUP(C2596,Master_Mappings!$A$4:$E$85,3,FALSE()),"UNMAPPED"))</f>
        <v/>
      </c>
      <c r="P2596" s="1" t="str">
        <f aca="false">IF($C2596="","",$C2596&amp;"|"&amp;$E2596&amp;"|"&amp;$M2596&amp;"|"&amp;TEXT($G2596,"yyyy-mm-dd")&amp;"|"&amp;LEFT($J2596,40))</f>
        <v/>
      </c>
      <c r="Q2596" s="11" t="str">
        <f aca="false">IF(P2596="","",IF(COUNTIF($P$2:$P$3000,P2596)&gt;1,"DUPLICATE","OK"))</f>
        <v/>
      </c>
      <c r="R2596" s="0" t="str">
        <f aca="false">IF($C2596="","",IFERROR(VLOOKUP(--$C2596,MM_Income!$Z$5:$AC$204,3,FALSE()),""))</f>
        <v/>
      </c>
    </row>
    <row r="2597" customFormat="false" ht="13.5" hidden="false" customHeight="false" outlineLevel="0" collapsed="false">
      <c r="N2597" s="1" t="str">
        <f aca="false">IF(C2597="","",IFERROR(VLOOKUP(C2597,Master_Mappings!$A$4:$E$85,3,FALSE()),"UNMAPPED"))</f>
        <v/>
      </c>
      <c r="P2597" s="1" t="str">
        <f aca="false">IF($C2597="","",$C2597&amp;"|"&amp;$E2597&amp;"|"&amp;$M2597&amp;"|"&amp;TEXT($G2597,"yyyy-mm-dd")&amp;"|"&amp;LEFT($J2597,40))</f>
        <v/>
      </c>
      <c r="Q2597" s="11" t="str">
        <f aca="false">IF(P2597="","",IF(COUNTIF($P$2:$P$3000,P2597)&gt;1,"DUPLICATE","OK"))</f>
        <v/>
      </c>
      <c r="R2597" s="0" t="str">
        <f aca="false">IF($C2597="","",IFERROR(VLOOKUP(--$C2597,MM_Income!$Z$5:$AC$204,3,FALSE()),""))</f>
        <v/>
      </c>
    </row>
    <row r="2598" customFormat="false" ht="13.5" hidden="false" customHeight="false" outlineLevel="0" collapsed="false">
      <c r="N2598" s="1" t="str">
        <f aca="false">IF(C2598="","",IFERROR(VLOOKUP(C2598,Master_Mappings!$A$4:$E$85,3,FALSE()),"UNMAPPED"))</f>
        <v/>
      </c>
      <c r="P2598" s="1" t="str">
        <f aca="false">IF($C2598="","",$C2598&amp;"|"&amp;$E2598&amp;"|"&amp;$M2598&amp;"|"&amp;TEXT($G2598,"yyyy-mm-dd")&amp;"|"&amp;LEFT($J2598,40))</f>
        <v/>
      </c>
      <c r="Q2598" s="11" t="str">
        <f aca="false">IF(P2598="","",IF(COUNTIF($P$2:$P$3000,P2598)&gt;1,"DUPLICATE","OK"))</f>
        <v/>
      </c>
      <c r="R2598" s="0" t="str">
        <f aca="false">IF($C2598="","",IFERROR(VLOOKUP(--$C2598,MM_Income!$Z$5:$AC$204,3,FALSE()),""))</f>
        <v/>
      </c>
    </row>
    <row r="2599" customFormat="false" ht="13.5" hidden="false" customHeight="false" outlineLevel="0" collapsed="false">
      <c r="N2599" s="1" t="str">
        <f aca="false">IF(C2599="","",IFERROR(VLOOKUP(C2599,Master_Mappings!$A$4:$E$85,3,FALSE()),"UNMAPPED"))</f>
        <v/>
      </c>
      <c r="P2599" s="1" t="str">
        <f aca="false">IF($C2599="","",$C2599&amp;"|"&amp;$E2599&amp;"|"&amp;$M2599&amp;"|"&amp;TEXT($G2599,"yyyy-mm-dd")&amp;"|"&amp;LEFT($J2599,40))</f>
        <v/>
      </c>
      <c r="Q2599" s="11" t="str">
        <f aca="false">IF(P2599="","",IF(COUNTIF($P$2:$P$3000,P2599)&gt;1,"DUPLICATE","OK"))</f>
        <v/>
      </c>
      <c r="R2599" s="0" t="str">
        <f aca="false">IF($C2599="","",IFERROR(VLOOKUP(--$C2599,MM_Income!$Z$5:$AC$204,3,FALSE()),""))</f>
        <v/>
      </c>
    </row>
    <row r="2600" customFormat="false" ht="13.5" hidden="false" customHeight="false" outlineLevel="0" collapsed="false">
      <c r="N2600" s="1" t="str">
        <f aca="false">IF(C2600="","",IFERROR(VLOOKUP(C2600,Master_Mappings!$A$4:$E$85,3,FALSE()),"UNMAPPED"))</f>
        <v/>
      </c>
      <c r="P2600" s="1" t="str">
        <f aca="false">IF($C2600="","",$C2600&amp;"|"&amp;$E2600&amp;"|"&amp;$M2600&amp;"|"&amp;TEXT($G2600,"yyyy-mm-dd")&amp;"|"&amp;LEFT($J2600,40))</f>
        <v/>
      </c>
      <c r="Q2600" s="11" t="str">
        <f aca="false">IF(P2600="","",IF(COUNTIF($P$2:$P$3000,P2600)&gt;1,"DUPLICATE","OK"))</f>
        <v/>
      </c>
      <c r="R2600" s="0" t="str">
        <f aca="false">IF($C2600="","",IFERROR(VLOOKUP(--$C2600,MM_Income!$Z$5:$AC$204,3,FALSE()),""))</f>
        <v/>
      </c>
    </row>
    <row r="2601" customFormat="false" ht="13.5" hidden="false" customHeight="false" outlineLevel="0" collapsed="false">
      <c r="N2601" s="1" t="str">
        <f aca="false">IF(C2601="","",IFERROR(VLOOKUP(C2601,Master_Mappings!$A$4:$E$85,3,FALSE()),"UNMAPPED"))</f>
        <v/>
      </c>
      <c r="P2601" s="1" t="str">
        <f aca="false">IF($C2601="","",$C2601&amp;"|"&amp;$E2601&amp;"|"&amp;$M2601&amp;"|"&amp;TEXT($G2601,"yyyy-mm-dd")&amp;"|"&amp;LEFT($J2601,40))</f>
        <v/>
      </c>
      <c r="Q2601" s="11" t="str">
        <f aca="false">IF(P2601="","",IF(COUNTIF($P$2:$P$3000,P2601)&gt;1,"DUPLICATE","OK"))</f>
        <v/>
      </c>
      <c r="R2601" s="0" t="str">
        <f aca="false">IF($C2601="","",IFERROR(VLOOKUP(--$C2601,MM_Income!$Z$5:$AC$204,3,FALSE()),""))</f>
        <v/>
      </c>
    </row>
    <row r="2602" customFormat="false" ht="13.5" hidden="false" customHeight="false" outlineLevel="0" collapsed="false">
      <c r="N2602" s="1" t="str">
        <f aca="false">IF(C2602="","",IFERROR(VLOOKUP(C2602,Master_Mappings!$A$4:$E$85,3,FALSE()),"UNMAPPED"))</f>
        <v/>
      </c>
      <c r="P2602" s="1" t="str">
        <f aca="false">IF($C2602="","",$C2602&amp;"|"&amp;$E2602&amp;"|"&amp;$M2602&amp;"|"&amp;TEXT($G2602,"yyyy-mm-dd")&amp;"|"&amp;LEFT($J2602,40))</f>
        <v/>
      </c>
      <c r="Q2602" s="11" t="str">
        <f aca="false">IF(P2602="","",IF(COUNTIF($P$2:$P$3000,P2602)&gt;1,"DUPLICATE","OK"))</f>
        <v/>
      </c>
      <c r="R2602" s="0" t="str">
        <f aca="false">IF($C2602="","",IFERROR(VLOOKUP(--$C2602,MM_Income!$Z$5:$AC$204,3,FALSE()),""))</f>
        <v/>
      </c>
    </row>
    <row r="2603" customFormat="false" ht="13.5" hidden="false" customHeight="false" outlineLevel="0" collapsed="false">
      <c r="N2603" s="1" t="str">
        <f aca="false">IF(C2603="","",IFERROR(VLOOKUP(C2603,Master_Mappings!$A$4:$E$85,3,FALSE()),"UNMAPPED"))</f>
        <v/>
      </c>
      <c r="P2603" s="1" t="str">
        <f aca="false">IF($C2603="","",$C2603&amp;"|"&amp;$E2603&amp;"|"&amp;$M2603&amp;"|"&amp;TEXT($G2603,"yyyy-mm-dd")&amp;"|"&amp;LEFT($J2603,40))</f>
        <v/>
      </c>
      <c r="Q2603" s="11" t="str">
        <f aca="false">IF(P2603="","",IF(COUNTIF($P$2:$P$3000,P2603)&gt;1,"DUPLICATE","OK"))</f>
        <v/>
      </c>
      <c r="R2603" s="0" t="str">
        <f aca="false">IF($C2603="","",IFERROR(VLOOKUP(--$C2603,MM_Income!$Z$5:$AC$204,3,FALSE()),""))</f>
        <v/>
      </c>
    </row>
    <row r="2604" customFormat="false" ht="13.5" hidden="false" customHeight="false" outlineLevel="0" collapsed="false">
      <c r="N2604" s="1" t="str">
        <f aca="false">IF(C2604="","",IFERROR(VLOOKUP(C2604,Master_Mappings!$A$4:$E$85,3,FALSE()),"UNMAPPED"))</f>
        <v/>
      </c>
      <c r="P2604" s="1" t="str">
        <f aca="false">IF($C2604="","",$C2604&amp;"|"&amp;$E2604&amp;"|"&amp;$M2604&amp;"|"&amp;TEXT($G2604,"yyyy-mm-dd")&amp;"|"&amp;LEFT($J2604,40))</f>
        <v/>
      </c>
      <c r="Q2604" s="11" t="str">
        <f aca="false">IF(P2604="","",IF(COUNTIF($P$2:$P$3000,P2604)&gt;1,"DUPLICATE","OK"))</f>
        <v/>
      </c>
      <c r="R2604" s="0" t="str">
        <f aca="false">IF($C2604="","",IFERROR(VLOOKUP(--$C2604,MM_Income!$Z$5:$AC$204,3,FALSE()),""))</f>
        <v/>
      </c>
    </row>
    <row r="2605" customFormat="false" ht="13.5" hidden="false" customHeight="false" outlineLevel="0" collapsed="false">
      <c r="N2605" s="1" t="str">
        <f aca="false">IF(C2605="","",IFERROR(VLOOKUP(C2605,Master_Mappings!$A$4:$E$85,3,FALSE()),"UNMAPPED"))</f>
        <v/>
      </c>
      <c r="P2605" s="1" t="str">
        <f aca="false">IF($C2605="","",$C2605&amp;"|"&amp;$E2605&amp;"|"&amp;$M2605&amp;"|"&amp;TEXT($G2605,"yyyy-mm-dd")&amp;"|"&amp;LEFT($J2605,40))</f>
        <v/>
      </c>
      <c r="Q2605" s="11" t="str">
        <f aca="false">IF(P2605="","",IF(COUNTIF($P$2:$P$3000,P2605)&gt;1,"DUPLICATE","OK"))</f>
        <v/>
      </c>
      <c r="R2605" s="0" t="str">
        <f aca="false">IF($C2605="","",IFERROR(VLOOKUP(--$C2605,MM_Income!$Z$5:$AC$204,3,FALSE()),""))</f>
        <v/>
      </c>
    </row>
    <row r="2606" customFormat="false" ht="13.5" hidden="false" customHeight="false" outlineLevel="0" collapsed="false">
      <c r="N2606" s="1" t="str">
        <f aca="false">IF(C2606="","",IFERROR(VLOOKUP(C2606,Master_Mappings!$A$4:$E$85,3,FALSE()),"UNMAPPED"))</f>
        <v/>
      </c>
      <c r="P2606" s="1" t="str">
        <f aca="false">IF($C2606="","",$C2606&amp;"|"&amp;$E2606&amp;"|"&amp;$M2606&amp;"|"&amp;TEXT($G2606,"yyyy-mm-dd")&amp;"|"&amp;LEFT($J2606,40))</f>
        <v/>
      </c>
      <c r="Q2606" s="11" t="str">
        <f aca="false">IF(P2606="","",IF(COUNTIF($P$2:$P$3000,P2606)&gt;1,"DUPLICATE","OK"))</f>
        <v/>
      </c>
      <c r="R2606" s="0" t="str">
        <f aca="false">IF($C2606="","",IFERROR(VLOOKUP(--$C2606,MM_Income!$Z$5:$AC$204,3,FALSE()),""))</f>
        <v/>
      </c>
    </row>
    <row r="2607" customFormat="false" ht="13.5" hidden="false" customHeight="false" outlineLevel="0" collapsed="false">
      <c r="N2607" s="1" t="str">
        <f aca="false">IF(C2607="","",IFERROR(VLOOKUP(C2607,Master_Mappings!$A$4:$E$85,3,FALSE()),"UNMAPPED"))</f>
        <v/>
      </c>
      <c r="P2607" s="1" t="str">
        <f aca="false">IF($C2607="","",$C2607&amp;"|"&amp;$E2607&amp;"|"&amp;$M2607&amp;"|"&amp;TEXT($G2607,"yyyy-mm-dd")&amp;"|"&amp;LEFT($J2607,40))</f>
        <v/>
      </c>
      <c r="Q2607" s="11" t="str">
        <f aca="false">IF(P2607="","",IF(COUNTIF($P$2:$P$3000,P2607)&gt;1,"DUPLICATE","OK"))</f>
        <v/>
      </c>
      <c r="R2607" s="0" t="str">
        <f aca="false">IF($C2607="","",IFERROR(VLOOKUP(--$C2607,MM_Income!$Z$5:$AC$204,3,FALSE()),""))</f>
        <v/>
      </c>
    </row>
    <row r="2608" customFormat="false" ht="13.5" hidden="false" customHeight="false" outlineLevel="0" collapsed="false">
      <c r="N2608" s="1" t="str">
        <f aca="false">IF(C2608="","",IFERROR(VLOOKUP(C2608,Master_Mappings!$A$4:$E$85,3,FALSE()),"UNMAPPED"))</f>
        <v/>
      </c>
      <c r="P2608" s="1" t="str">
        <f aca="false">IF($C2608="","",$C2608&amp;"|"&amp;$E2608&amp;"|"&amp;$M2608&amp;"|"&amp;TEXT($G2608,"yyyy-mm-dd")&amp;"|"&amp;LEFT($J2608,40))</f>
        <v/>
      </c>
      <c r="Q2608" s="11" t="str">
        <f aca="false">IF(P2608="","",IF(COUNTIF($P$2:$P$3000,P2608)&gt;1,"DUPLICATE","OK"))</f>
        <v/>
      </c>
      <c r="R2608" s="0" t="str">
        <f aca="false">IF($C2608="","",IFERROR(VLOOKUP(--$C2608,MM_Income!$Z$5:$AC$204,3,FALSE()),""))</f>
        <v/>
      </c>
    </row>
    <row r="2609" customFormat="false" ht="13.5" hidden="false" customHeight="false" outlineLevel="0" collapsed="false">
      <c r="N2609" s="1" t="str">
        <f aca="false">IF(C2609="","",IFERROR(VLOOKUP(C2609,Master_Mappings!$A$4:$E$85,3,FALSE()),"UNMAPPED"))</f>
        <v/>
      </c>
      <c r="P2609" s="1" t="str">
        <f aca="false">IF($C2609="","",$C2609&amp;"|"&amp;$E2609&amp;"|"&amp;$M2609&amp;"|"&amp;TEXT($G2609,"yyyy-mm-dd")&amp;"|"&amp;LEFT($J2609,40))</f>
        <v/>
      </c>
      <c r="Q2609" s="11" t="str">
        <f aca="false">IF(P2609="","",IF(COUNTIF($P$2:$P$3000,P2609)&gt;1,"DUPLICATE","OK"))</f>
        <v/>
      </c>
      <c r="R2609" s="0" t="str">
        <f aca="false">IF($C2609="","",IFERROR(VLOOKUP(--$C2609,MM_Income!$Z$5:$AC$204,3,FALSE()),""))</f>
        <v/>
      </c>
    </row>
    <row r="2610" customFormat="false" ht="13.5" hidden="false" customHeight="false" outlineLevel="0" collapsed="false">
      <c r="N2610" s="1" t="str">
        <f aca="false">IF(C2610="","",IFERROR(VLOOKUP(C2610,Master_Mappings!$A$4:$E$85,3,FALSE()),"UNMAPPED"))</f>
        <v/>
      </c>
      <c r="P2610" s="1" t="str">
        <f aca="false">IF($C2610="","",$C2610&amp;"|"&amp;$E2610&amp;"|"&amp;$M2610&amp;"|"&amp;TEXT($G2610,"yyyy-mm-dd")&amp;"|"&amp;LEFT($J2610,40))</f>
        <v/>
      </c>
      <c r="Q2610" s="11" t="str">
        <f aca="false">IF(P2610="","",IF(COUNTIF($P$2:$P$3000,P2610)&gt;1,"DUPLICATE","OK"))</f>
        <v/>
      </c>
      <c r="R2610" s="0" t="str">
        <f aca="false">IF($C2610="","",IFERROR(VLOOKUP(--$C2610,MM_Income!$Z$5:$AC$204,3,FALSE()),""))</f>
        <v/>
      </c>
    </row>
    <row r="2611" customFormat="false" ht="13.5" hidden="false" customHeight="false" outlineLevel="0" collapsed="false">
      <c r="N2611" s="1" t="str">
        <f aca="false">IF(C2611="","",IFERROR(VLOOKUP(C2611,Master_Mappings!$A$4:$E$85,3,FALSE()),"UNMAPPED"))</f>
        <v/>
      </c>
      <c r="P2611" s="1" t="str">
        <f aca="false">IF($C2611="","",$C2611&amp;"|"&amp;$E2611&amp;"|"&amp;$M2611&amp;"|"&amp;TEXT($G2611,"yyyy-mm-dd")&amp;"|"&amp;LEFT($J2611,40))</f>
        <v/>
      </c>
      <c r="Q2611" s="11" t="str">
        <f aca="false">IF(P2611="","",IF(COUNTIF($P$2:$P$3000,P2611)&gt;1,"DUPLICATE","OK"))</f>
        <v/>
      </c>
      <c r="R2611" s="0" t="str">
        <f aca="false">IF($C2611="","",IFERROR(VLOOKUP(--$C2611,MM_Income!$Z$5:$AC$204,3,FALSE()),""))</f>
        <v/>
      </c>
    </row>
    <row r="2612" customFormat="false" ht="13.5" hidden="false" customHeight="false" outlineLevel="0" collapsed="false">
      <c r="N2612" s="1" t="str">
        <f aca="false">IF(C2612="","",IFERROR(VLOOKUP(C2612,Master_Mappings!$A$4:$E$85,3,FALSE()),"UNMAPPED"))</f>
        <v/>
      </c>
      <c r="P2612" s="1" t="str">
        <f aca="false">IF($C2612="","",$C2612&amp;"|"&amp;$E2612&amp;"|"&amp;$M2612&amp;"|"&amp;TEXT($G2612,"yyyy-mm-dd")&amp;"|"&amp;LEFT($J2612,40))</f>
        <v/>
      </c>
      <c r="Q2612" s="11" t="str">
        <f aca="false">IF(P2612="","",IF(COUNTIF($P$2:$P$3000,P2612)&gt;1,"DUPLICATE","OK"))</f>
        <v/>
      </c>
      <c r="R2612" s="0" t="str">
        <f aca="false">IF($C2612="","",IFERROR(VLOOKUP(--$C2612,MM_Income!$Z$5:$AC$204,3,FALSE()),""))</f>
        <v/>
      </c>
    </row>
    <row r="2613" customFormat="false" ht="13.5" hidden="false" customHeight="false" outlineLevel="0" collapsed="false">
      <c r="N2613" s="1" t="str">
        <f aca="false">IF(C2613="","",IFERROR(VLOOKUP(C2613,Master_Mappings!$A$4:$E$85,3,FALSE()),"UNMAPPED"))</f>
        <v/>
      </c>
      <c r="P2613" s="1" t="str">
        <f aca="false">IF($C2613="","",$C2613&amp;"|"&amp;$E2613&amp;"|"&amp;$M2613&amp;"|"&amp;TEXT($G2613,"yyyy-mm-dd")&amp;"|"&amp;LEFT($J2613,40))</f>
        <v/>
      </c>
      <c r="Q2613" s="11" t="str">
        <f aca="false">IF(P2613="","",IF(COUNTIF($P$2:$P$3000,P2613)&gt;1,"DUPLICATE","OK"))</f>
        <v/>
      </c>
      <c r="R2613" s="0" t="str">
        <f aca="false">IF($C2613="","",IFERROR(VLOOKUP(--$C2613,MM_Income!$Z$5:$AC$204,3,FALSE()),""))</f>
        <v/>
      </c>
    </row>
    <row r="2614" customFormat="false" ht="13.5" hidden="false" customHeight="false" outlineLevel="0" collapsed="false">
      <c r="N2614" s="1" t="str">
        <f aca="false">IF(C2614="","",IFERROR(VLOOKUP(C2614,Master_Mappings!$A$4:$E$85,3,FALSE()),"UNMAPPED"))</f>
        <v/>
      </c>
      <c r="P2614" s="1" t="str">
        <f aca="false">IF($C2614="","",$C2614&amp;"|"&amp;$E2614&amp;"|"&amp;$M2614&amp;"|"&amp;TEXT($G2614,"yyyy-mm-dd")&amp;"|"&amp;LEFT($J2614,40))</f>
        <v/>
      </c>
      <c r="Q2614" s="11" t="str">
        <f aca="false">IF(P2614="","",IF(COUNTIF($P$2:$P$3000,P2614)&gt;1,"DUPLICATE","OK"))</f>
        <v/>
      </c>
      <c r="R2614" s="0" t="str">
        <f aca="false">IF($C2614="","",IFERROR(VLOOKUP(--$C2614,MM_Income!$Z$5:$AC$204,3,FALSE()),""))</f>
        <v/>
      </c>
    </row>
    <row r="2615" customFormat="false" ht="13.5" hidden="false" customHeight="false" outlineLevel="0" collapsed="false">
      <c r="N2615" s="1" t="str">
        <f aca="false">IF(C2615="","",IFERROR(VLOOKUP(C2615,Master_Mappings!$A$4:$E$85,3,FALSE()),"UNMAPPED"))</f>
        <v/>
      </c>
      <c r="P2615" s="1" t="str">
        <f aca="false">IF($C2615="","",$C2615&amp;"|"&amp;$E2615&amp;"|"&amp;$M2615&amp;"|"&amp;TEXT($G2615,"yyyy-mm-dd")&amp;"|"&amp;LEFT($J2615,40))</f>
        <v/>
      </c>
      <c r="Q2615" s="11" t="str">
        <f aca="false">IF(P2615="","",IF(COUNTIF($P$2:$P$3000,P2615)&gt;1,"DUPLICATE","OK"))</f>
        <v/>
      </c>
      <c r="R2615" s="0" t="str">
        <f aca="false">IF($C2615="","",IFERROR(VLOOKUP(--$C2615,MM_Income!$Z$5:$AC$204,3,FALSE()),""))</f>
        <v/>
      </c>
    </row>
    <row r="2616" customFormat="false" ht="13.5" hidden="false" customHeight="false" outlineLevel="0" collapsed="false">
      <c r="N2616" s="1" t="str">
        <f aca="false">IF(C2616="","",IFERROR(VLOOKUP(C2616,Master_Mappings!$A$4:$E$85,3,FALSE()),"UNMAPPED"))</f>
        <v/>
      </c>
      <c r="P2616" s="1" t="str">
        <f aca="false">IF($C2616="","",$C2616&amp;"|"&amp;$E2616&amp;"|"&amp;$M2616&amp;"|"&amp;TEXT($G2616,"yyyy-mm-dd")&amp;"|"&amp;LEFT($J2616,40))</f>
        <v/>
      </c>
      <c r="Q2616" s="11" t="str">
        <f aca="false">IF(P2616="","",IF(COUNTIF($P$2:$P$3000,P2616)&gt;1,"DUPLICATE","OK"))</f>
        <v/>
      </c>
      <c r="R2616" s="0" t="str">
        <f aca="false">IF($C2616="","",IFERROR(VLOOKUP(--$C2616,MM_Income!$Z$5:$AC$204,3,FALSE()),""))</f>
        <v/>
      </c>
    </row>
    <row r="2617" customFormat="false" ht="13.5" hidden="false" customHeight="false" outlineLevel="0" collapsed="false">
      <c r="N2617" s="1" t="str">
        <f aca="false">IF(C2617="","",IFERROR(VLOOKUP(C2617,Master_Mappings!$A$4:$E$85,3,FALSE()),"UNMAPPED"))</f>
        <v/>
      </c>
      <c r="P2617" s="1" t="str">
        <f aca="false">IF($C2617="","",$C2617&amp;"|"&amp;$E2617&amp;"|"&amp;$M2617&amp;"|"&amp;TEXT($G2617,"yyyy-mm-dd")&amp;"|"&amp;LEFT($J2617,40))</f>
        <v/>
      </c>
      <c r="Q2617" s="11" t="str">
        <f aca="false">IF(P2617="","",IF(COUNTIF($P$2:$P$3000,P2617)&gt;1,"DUPLICATE","OK"))</f>
        <v/>
      </c>
      <c r="R2617" s="0" t="str">
        <f aca="false">IF($C2617="","",IFERROR(VLOOKUP(--$C2617,MM_Income!$Z$5:$AC$204,3,FALSE()),""))</f>
        <v/>
      </c>
    </row>
    <row r="2618" customFormat="false" ht="13.5" hidden="false" customHeight="false" outlineLevel="0" collapsed="false">
      <c r="N2618" s="1" t="str">
        <f aca="false">IF(C2618="","",IFERROR(VLOOKUP(C2618,Master_Mappings!$A$4:$E$85,3,FALSE()),"UNMAPPED"))</f>
        <v/>
      </c>
      <c r="P2618" s="1" t="str">
        <f aca="false">IF($C2618="","",$C2618&amp;"|"&amp;$E2618&amp;"|"&amp;$M2618&amp;"|"&amp;TEXT($G2618,"yyyy-mm-dd")&amp;"|"&amp;LEFT($J2618,40))</f>
        <v/>
      </c>
      <c r="Q2618" s="11" t="str">
        <f aca="false">IF(P2618="","",IF(COUNTIF($P$2:$P$3000,P2618)&gt;1,"DUPLICATE","OK"))</f>
        <v/>
      </c>
      <c r="R2618" s="0" t="str">
        <f aca="false">IF($C2618="","",IFERROR(VLOOKUP(--$C2618,MM_Income!$Z$5:$AC$204,3,FALSE()),""))</f>
        <v/>
      </c>
    </row>
    <row r="2619" customFormat="false" ht="13.5" hidden="false" customHeight="false" outlineLevel="0" collapsed="false">
      <c r="N2619" s="1" t="str">
        <f aca="false">IF(C2619="","",IFERROR(VLOOKUP(C2619,Master_Mappings!$A$4:$E$85,3,FALSE()),"UNMAPPED"))</f>
        <v/>
      </c>
      <c r="P2619" s="1" t="str">
        <f aca="false">IF($C2619="","",$C2619&amp;"|"&amp;$E2619&amp;"|"&amp;$M2619&amp;"|"&amp;TEXT($G2619,"yyyy-mm-dd")&amp;"|"&amp;LEFT($J2619,40))</f>
        <v/>
      </c>
      <c r="Q2619" s="11" t="str">
        <f aca="false">IF(P2619="","",IF(COUNTIF($P$2:$P$3000,P2619)&gt;1,"DUPLICATE","OK"))</f>
        <v/>
      </c>
      <c r="R2619" s="0" t="str">
        <f aca="false">IF($C2619="","",IFERROR(VLOOKUP(--$C2619,MM_Income!$Z$5:$AC$204,3,FALSE()),""))</f>
        <v/>
      </c>
    </row>
    <row r="2620" customFormat="false" ht="13.5" hidden="false" customHeight="false" outlineLevel="0" collapsed="false">
      <c r="N2620" s="1" t="str">
        <f aca="false">IF(C2620="","",IFERROR(VLOOKUP(C2620,Master_Mappings!$A$4:$E$85,3,FALSE()),"UNMAPPED"))</f>
        <v/>
      </c>
      <c r="P2620" s="1" t="str">
        <f aca="false">IF($C2620="","",$C2620&amp;"|"&amp;$E2620&amp;"|"&amp;$M2620&amp;"|"&amp;TEXT($G2620,"yyyy-mm-dd")&amp;"|"&amp;LEFT($J2620,40))</f>
        <v/>
      </c>
      <c r="Q2620" s="11" t="str">
        <f aca="false">IF(P2620="","",IF(COUNTIF($P$2:$P$3000,P2620)&gt;1,"DUPLICATE","OK"))</f>
        <v/>
      </c>
      <c r="R2620" s="0" t="str">
        <f aca="false">IF($C2620="","",IFERROR(VLOOKUP(--$C2620,MM_Income!$Z$5:$AC$204,3,FALSE()),""))</f>
        <v/>
      </c>
    </row>
    <row r="2621" customFormat="false" ht="13.5" hidden="false" customHeight="false" outlineLevel="0" collapsed="false">
      <c r="N2621" s="1" t="str">
        <f aca="false">IF(C2621="","",IFERROR(VLOOKUP(C2621,Master_Mappings!$A$4:$E$85,3,FALSE()),"UNMAPPED"))</f>
        <v/>
      </c>
      <c r="P2621" s="1" t="str">
        <f aca="false">IF($C2621="","",$C2621&amp;"|"&amp;$E2621&amp;"|"&amp;$M2621&amp;"|"&amp;TEXT($G2621,"yyyy-mm-dd")&amp;"|"&amp;LEFT($J2621,40))</f>
        <v/>
      </c>
      <c r="Q2621" s="11" t="str">
        <f aca="false">IF(P2621="","",IF(COUNTIF($P$2:$P$3000,P2621)&gt;1,"DUPLICATE","OK"))</f>
        <v/>
      </c>
      <c r="R2621" s="0" t="str">
        <f aca="false">IF($C2621="","",IFERROR(VLOOKUP(--$C2621,MM_Income!$Z$5:$AC$204,3,FALSE()),""))</f>
        <v/>
      </c>
    </row>
    <row r="2622" customFormat="false" ht="13.5" hidden="false" customHeight="false" outlineLevel="0" collapsed="false">
      <c r="N2622" s="1" t="str">
        <f aca="false">IF(C2622="","",IFERROR(VLOOKUP(C2622,Master_Mappings!$A$4:$E$85,3,FALSE()),"UNMAPPED"))</f>
        <v/>
      </c>
      <c r="P2622" s="1" t="str">
        <f aca="false">IF($C2622="","",$C2622&amp;"|"&amp;$E2622&amp;"|"&amp;$M2622&amp;"|"&amp;TEXT($G2622,"yyyy-mm-dd")&amp;"|"&amp;LEFT($J2622,40))</f>
        <v/>
      </c>
      <c r="Q2622" s="11" t="str">
        <f aca="false">IF(P2622="","",IF(COUNTIF($P$2:$P$3000,P2622)&gt;1,"DUPLICATE","OK"))</f>
        <v/>
      </c>
      <c r="R2622" s="0" t="str">
        <f aca="false">IF($C2622="","",IFERROR(VLOOKUP(--$C2622,MM_Income!$Z$5:$AC$204,3,FALSE()),""))</f>
        <v/>
      </c>
    </row>
    <row r="2623" customFormat="false" ht="13.5" hidden="false" customHeight="false" outlineLevel="0" collapsed="false">
      <c r="N2623" s="1" t="str">
        <f aca="false">IF(C2623="","",IFERROR(VLOOKUP(C2623,Master_Mappings!$A$4:$E$85,3,FALSE()),"UNMAPPED"))</f>
        <v/>
      </c>
      <c r="P2623" s="1" t="str">
        <f aca="false">IF($C2623="","",$C2623&amp;"|"&amp;$E2623&amp;"|"&amp;$M2623&amp;"|"&amp;TEXT($G2623,"yyyy-mm-dd")&amp;"|"&amp;LEFT($J2623,40))</f>
        <v/>
      </c>
      <c r="Q2623" s="11" t="str">
        <f aca="false">IF(P2623="","",IF(COUNTIF($P$2:$P$3000,P2623)&gt;1,"DUPLICATE","OK"))</f>
        <v/>
      </c>
      <c r="R2623" s="0" t="str">
        <f aca="false">IF($C2623="","",IFERROR(VLOOKUP(--$C2623,MM_Income!$Z$5:$AC$204,3,FALSE()),""))</f>
        <v/>
      </c>
    </row>
    <row r="2624" customFormat="false" ht="13.5" hidden="false" customHeight="false" outlineLevel="0" collapsed="false">
      <c r="N2624" s="1" t="str">
        <f aca="false">IF(C2624="","",IFERROR(VLOOKUP(C2624,Master_Mappings!$A$4:$E$85,3,FALSE()),"UNMAPPED"))</f>
        <v/>
      </c>
      <c r="P2624" s="1" t="str">
        <f aca="false">IF($C2624="","",$C2624&amp;"|"&amp;$E2624&amp;"|"&amp;$M2624&amp;"|"&amp;TEXT($G2624,"yyyy-mm-dd")&amp;"|"&amp;LEFT($J2624,40))</f>
        <v/>
      </c>
      <c r="Q2624" s="11" t="str">
        <f aca="false">IF(P2624="","",IF(COUNTIF($P$2:$P$3000,P2624)&gt;1,"DUPLICATE","OK"))</f>
        <v/>
      </c>
      <c r="R2624" s="0" t="str">
        <f aca="false">IF($C2624="","",IFERROR(VLOOKUP(--$C2624,MM_Income!$Z$5:$AC$204,3,FALSE()),""))</f>
        <v/>
      </c>
    </row>
    <row r="2625" customFormat="false" ht="13.5" hidden="false" customHeight="false" outlineLevel="0" collapsed="false">
      <c r="N2625" s="1" t="str">
        <f aca="false">IF(C2625="","",IFERROR(VLOOKUP(C2625,Master_Mappings!$A$4:$E$85,3,FALSE()),"UNMAPPED"))</f>
        <v/>
      </c>
      <c r="P2625" s="1" t="str">
        <f aca="false">IF($C2625="","",$C2625&amp;"|"&amp;$E2625&amp;"|"&amp;$M2625&amp;"|"&amp;TEXT($G2625,"yyyy-mm-dd")&amp;"|"&amp;LEFT($J2625,40))</f>
        <v/>
      </c>
      <c r="Q2625" s="11" t="str">
        <f aca="false">IF(P2625="","",IF(COUNTIF($P$2:$P$3000,P2625)&gt;1,"DUPLICATE","OK"))</f>
        <v/>
      </c>
      <c r="R2625" s="0" t="str">
        <f aca="false">IF($C2625="","",IFERROR(VLOOKUP(--$C2625,MM_Income!$Z$5:$AC$204,3,FALSE()),""))</f>
        <v/>
      </c>
    </row>
    <row r="2626" customFormat="false" ht="13.5" hidden="false" customHeight="false" outlineLevel="0" collapsed="false">
      <c r="N2626" s="1" t="str">
        <f aca="false">IF(C2626="","",IFERROR(VLOOKUP(C2626,Master_Mappings!$A$4:$E$85,3,FALSE()),"UNMAPPED"))</f>
        <v/>
      </c>
      <c r="P2626" s="1" t="str">
        <f aca="false">IF($C2626="","",$C2626&amp;"|"&amp;$E2626&amp;"|"&amp;$M2626&amp;"|"&amp;TEXT($G2626,"yyyy-mm-dd")&amp;"|"&amp;LEFT($J2626,40))</f>
        <v/>
      </c>
      <c r="Q2626" s="11" t="str">
        <f aca="false">IF(P2626="","",IF(COUNTIF($P$2:$P$3000,P2626)&gt;1,"DUPLICATE","OK"))</f>
        <v/>
      </c>
      <c r="R2626" s="0" t="str">
        <f aca="false">IF($C2626="","",IFERROR(VLOOKUP(--$C2626,MM_Income!$Z$5:$AC$204,3,FALSE()),""))</f>
        <v/>
      </c>
    </row>
    <row r="2627" customFormat="false" ht="13.5" hidden="false" customHeight="false" outlineLevel="0" collapsed="false">
      <c r="N2627" s="1" t="str">
        <f aca="false">IF(C2627="","",IFERROR(VLOOKUP(C2627,Master_Mappings!$A$4:$E$85,3,FALSE()),"UNMAPPED"))</f>
        <v/>
      </c>
      <c r="P2627" s="1" t="str">
        <f aca="false">IF($C2627="","",$C2627&amp;"|"&amp;$E2627&amp;"|"&amp;$M2627&amp;"|"&amp;TEXT($G2627,"yyyy-mm-dd")&amp;"|"&amp;LEFT($J2627,40))</f>
        <v/>
      </c>
      <c r="Q2627" s="11" t="str">
        <f aca="false">IF(P2627="","",IF(COUNTIF($P$2:$P$3000,P2627)&gt;1,"DUPLICATE","OK"))</f>
        <v/>
      </c>
      <c r="R2627" s="0" t="str">
        <f aca="false">IF($C2627="","",IFERROR(VLOOKUP(--$C2627,MM_Income!$Z$5:$AC$204,3,FALSE()),""))</f>
        <v/>
      </c>
    </row>
    <row r="2628" customFormat="false" ht="13.5" hidden="false" customHeight="false" outlineLevel="0" collapsed="false">
      <c r="N2628" s="1" t="str">
        <f aca="false">IF(C2628="","",IFERROR(VLOOKUP(C2628,Master_Mappings!$A$4:$E$85,3,FALSE()),"UNMAPPED"))</f>
        <v/>
      </c>
      <c r="P2628" s="1" t="str">
        <f aca="false">IF($C2628="","",$C2628&amp;"|"&amp;$E2628&amp;"|"&amp;$M2628&amp;"|"&amp;TEXT($G2628,"yyyy-mm-dd")&amp;"|"&amp;LEFT($J2628,40))</f>
        <v/>
      </c>
      <c r="Q2628" s="11" t="str">
        <f aca="false">IF(P2628="","",IF(COUNTIF($P$2:$P$3000,P2628)&gt;1,"DUPLICATE","OK"))</f>
        <v/>
      </c>
      <c r="R2628" s="0" t="str">
        <f aca="false">IF($C2628="","",IFERROR(VLOOKUP(--$C2628,MM_Income!$Z$5:$AC$204,3,FALSE()),""))</f>
        <v/>
      </c>
    </row>
    <row r="2629" customFormat="false" ht="13.5" hidden="false" customHeight="false" outlineLevel="0" collapsed="false">
      <c r="N2629" s="1" t="str">
        <f aca="false">IF(C2629="","",IFERROR(VLOOKUP(C2629,Master_Mappings!$A$4:$E$85,3,FALSE()),"UNMAPPED"))</f>
        <v/>
      </c>
      <c r="P2629" s="1" t="str">
        <f aca="false">IF($C2629="","",$C2629&amp;"|"&amp;$E2629&amp;"|"&amp;$M2629&amp;"|"&amp;TEXT($G2629,"yyyy-mm-dd")&amp;"|"&amp;LEFT($J2629,40))</f>
        <v/>
      </c>
      <c r="Q2629" s="11" t="str">
        <f aca="false">IF(P2629="","",IF(COUNTIF($P$2:$P$3000,P2629)&gt;1,"DUPLICATE","OK"))</f>
        <v/>
      </c>
      <c r="R2629" s="0" t="str">
        <f aca="false">IF($C2629="","",IFERROR(VLOOKUP(--$C2629,MM_Income!$Z$5:$AC$204,3,FALSE()),""))</f>
        <v/>
      </c>
    </row>
    <row r="2630" customFormat="false" ht="13.5" hidden="false" customHeight="false" outlineLevel="0" collapsed="false">
      <c r="N2630" s="1" t="str">
        <f aca="false">IF(C2630="","",IFERROR(VLOOKUP(C2630,Master_Mappings!$A$4:$E$85,3,FALSE()),"UNMAPPED"))</f>
        <v/>
      </c>
      <c r="P2630" s="1" t="str">
        <f aca="false">IF($C2630="","",$C2630&amp;"|"&amp;$E2630&amp;"|"&amp;$M2630&amp;"|"&amp;TEXT($G2630,"yyyy-mm-dd")&amp;"|"&amp;LEFT($J2630,40))</f>
        <v/>
      </c>
      <c r="Q2630" s="11" t="str">
        <f aca="false">IF(P2630="","",IF(COUNTIF($P$2:$P$3000,P2630)&gt;1,"DUPLICATE","OK"))</f>
        <v/>
      </c>
      <c r="R2630" s="0" t="str">
        <f aca="false">IF($C2630="","",IFERROR(VLOOKUP(--$C2630,MM_Income!$Z$5:$AC$204,3,FALSE()),""))</f>
        <v/>
      </c>
    </row>
    <row r="2631" customFormat="false" ht="13.5" hidden="false" customHeight="false" outlineLevel="0" collapsed="false">
      <c r="N2631" s="1" t="str">
        <f aca="false">IF(C2631="","",IFERROR(VLOOKUP(C2631,Master_Mappings!$A$4:$E$85,3,FALSE()),"UNMAPPED"))</f>
        <v/>
      </c>
      <c r="P2631" s="1" t="str">
        <f aca="false">IF($C2631="","",$C2631&amp;"|"&amp;$E2631&amp;"|"&amp;$M2631&amp;"|"&amp;TEXT($G2631,"yyyy-mm-dd")&amp;"|"&amp;LEFT($J2631,40))</f>
        <v/>
      </c>
      <c r="Q2631" s="11" t="str">
        <f aca="false">IF(P2631="","",IF(COUNTIF($P$2:$P$3000,P2631)&gt;1,"DUPLICATE","OK"))</f>
        <v/>
      </c>
      <c r="R2631" s="0" t="str">
        <f aca="false">IF($C2631="","",IFERROR(VLOOKUP(--$C2631,MM_Income!$Z$5:$AC$204,3,FALSE()),""))</f>
        <v/>
      </c>
    </row>
    <row r="2632" customFormat="false" ht="13.5" hidden="false" customHeight="false" outlineLevel="0" collapsed="false">
      <c r="N2632" s="1" t="str">
        <f aca="false">IF(C2632="","",IFERROR(VLOOKUP(C2632,Master_Mappings!$A$4:$E$85,3,FALSE()),"UNMAPPED"))</f>
        <v/>
      </c>
      <c r="P2632" s="1" t="str">
        <f aca="false">IF($C2632="","",$C2632&amp;"|"&amp;$E2632&amp;"|"&amp;$M2632&amp;"|"&amp;TEXT($G2632,"yyyy-mm-dd")&amp;"|"&amp;LEFT($J2632,40))</f>
        <v/>
      </c>
      <c r="Q2632" s="11" t="str">
        <f aca="false">IF(P2632="","",IF(COUNTIF($P$2:$P$3000,P2632)&gt;1,"DUPLICATE","OK"))</f>
        <v/>
      </c>
      <c r="R2632" s="0" t="str">
        <f aca="false">IF($C2632="","",IFERROR(VLOOKUP(--$C2632,MM_Income!$Z$5:$AC$204,3,FALSE()),""))</f>
        <v/>
      </c>
    </row>
    <row r="2633" customFormat="false" ht="13.5" hidden="false" customHeight="false" outlineLevel="0" collapsed="false">
      <c r="N2633" s="1" t="str">
        <f aca="false">IF(C2633="","",IFERROR(VLOOKUP(C2633,Master_Mappings!$A$4:$E$85,3,FALSE()),"UNMAPPED"))</f>
        <v/>
      </c>
      <c r="P2633" s="1" t="str">
        <f aca="false">IF($C2633="","",$C2633&amp;"|"&amp;$E2633&amp;"|"&amp;$M2633&amp;"|"&amp;TEXT($G2633,"yyyy-mm-dd")&amp;"|"&amp;LEFT($J2633,40))</f>
        <v/>
      </c>
      <c r="Q2633" s="11" t="str">
        <f aca="false">IF(P2633="","",IF(COUNTIF($P$2:$P$3000,P2633)&gt;1,"DUPLICATE","OK"))</f>
        <v/>
      </c>
      <c r="R2633" s="0" t="str">
        <f aca="false">IF($C2633="","",IFERROR(VLOOKUP(--$C2633,MM_Income!$Z$5:$AC$204,3,FALSE()),""))</f>
        <v/>
      </c>
    </row>
    <row r="2634" customFormat="false" ht="13.5" hidden="false" customHeight="false" outlineLevel="0" collapsed="false">
      <c r="N2634" s="1" t="str">
        <f aca="false">IF(C2634="","",IFERROR(VLOOKUP(C2634,Master_Mappings!$A$4:$E$85,3,FALSE()),"UNMAPPED"))</f>
        <v/>
      </c>
      <c r="P2634" s="1" t="str">
        <f aca="false">IF($C2634="","",$C2634&amp;"|"&amp;$E2634&amp;"|"&amp;$M2634&amp;"|"&amp;TEXT($G2634,"yyyy-mm-dd")&amp;"|"&amp;LEFT($J2634,40))</f>
        <v/>
      </c>
      <c r="Q2634" s="11" t="str">
        <f aca="false">IF(P2634="","",IF(COUNTIF($P$2:$P$3000,P2634)&gt;1,"DUPLICATE","OK"))</f>
        <v/>
      </c>
      <c r="R2634" s="0" t="str">
        <f aca="false">IF($C2634="","",IFERROR(VLOOKUP(--$C2634,MM_Income!$Z$5:$AC$204,3,FALSE()),""))</f>
        <v/>
      </c>
    </row>
    <row r="2635" customFormat="false" ht="13.5" hidden="false" customHeight="false" outlineLevel="0" collapsed="false">
      <c r="N2635" s="1" t="str">
        <f aca="false">IF(C2635="","",IFERROR(VLOOKUP(C2635,Master_Mappings!$A$4:$E$85,3,FALSE()),"UNMAPPED"))</f>
        <v/>
      </c>
      <c r="P2635" s="1" t="str">
        <f aca="false">IF($C2635="","",$C2635&amp;"|"&amp;$E2635&amp;"|"&amp;$M2635&amp;"|"&amp;TEXT($G2635,"yyyy-mm-dd")&amp;"|"&amp;LEFT($J2635,40))</f>
        <v/>
      </c>
      <c r="Q2635" s="11" t="str">
        <f aca="false">IF(P2635="","",IF(COUNTIF($P$2:$P$3000,P2635)&gt;1,"DUPLICATE","OK"))</f>
        <v/>
      </c>
      <c r="R2635" s="0" t="str">
        <f aca="false">IF($C2635="","",IFERROR(VLOOKUP(--$C2635,MM_Income!$Z$5:$AC$204,3,FALSE()),""))</f>
        <v/>
      </c>
    </row>
    <row r="2636" customFormat="false" ht="13.5" hidden="false" customHeight="false" outlineLevel="0" collapsed="false">
      <c r="N2636" s="1" t="str">
        <f aca="false">IF(C2636="","",IFERROR(VLOOKUP(C2636,Master_Mappings!$A$4:$E$85,3,FALSE()),"UNMAPPED"))</f>
        <v/>
      </c>
      <c r="P2636" s="1" t="str">
        <f aca="false">IF($C2636="","",$C2636&amp;"|"&amp;$E2636&amp;"|"&amp;$M2636&amp;"|"&amp;TEXT($G2636,"yyyy-mm-dd")&amp;"|"&amp;LEFT($J2636,40))</f>
        <v/>
      </c>
      <c r="Q2636" s="11" t="str">
        <f aca="false">IF(P2636="","",IF(COUNTIF($P$2:$P$3000,P2636)&gt;1,"DUPLICATE","OK"))</f>
        <v/>
      </c>
      <c r="R2636" s="0" t="str">
        <f aca="false">IF($C2636="","",IFERROR(VLOOKUP(--$C2636,MM_Income!$Z$5:$AC$204,3,FALSE()),""))</f>
        <v/>
      </c>
    </row>
    <row r="2637" customFormat="false" ht="13.5" hidden="false" customHeight="false" outlineLevel="0" collapsed="false">
      <c r="N2637" s="1" t="str">
        <f aca="false">IF(C2637="","",IFERROR(VLOOKUP(C2637,Master_Mappings!$A$4:$E$85,3,FALSE()),"UNMAPPED"))</f>
        <v/>
      </c>
      <c r="P2637" s="1" t="str">
        <f aca="false">IF($C2637="","",$C2637&amp;"|"&amp;$E2637&amp;"|"&amp;$M2637&amp;"|"&amp;TEXT($G2637,"yyyy-mm-dd")&amp;"|"&amp;LEFT($J2637,40))</f>
        <v/>
      </c>
      <c r="Q2637" s="11" t="str">
        <f aca="false">IF(P2637="","",IF(COUNTIF($P$2:$P$3000,P2637)&gt;1,"DUPLICATE","OK"))</f>
        <v/>
      </c>
      <c r="R2637" s="0" t="str">
        <f aca="false">IF($C2637="","",IFERROR(VLOOKUP(--$C2637,MM_Income!$Z$5:$AC$204,3,FALSE()),""))</f>
        <v/>
      </c>
    </row>
    <row r="2638" customFormat="false" ht="13.5" hidden="false" customHeight="false" outlineLevel="0" collapsed="false">
      <c r="N2638" s="1" t="str">
        <f aca="false">IF(C2638="","",IFERROR(VLOOKUP(C2638,Master_Mappings!$A$4:$E$85,3,FALSE()),"UNMAPPED"))</f>
        <v/>
      </c>
      <c r="P2638" s="1" t="str">
        <f aca="false">IF($C2638="","",$C2638&amp;"|"&amp;$E2638&amp;"|"&amp;$M2638&amp;"|"&amp;TEXT($G2638,"yyyy-mm-dd")&amp;"|"&amp;LEFT($J2638,40))</f>
        <v/>
      </c>
      <c r="Q2638" s="11" t="str">
        <f aca="false">IF(P2638="","",IF(COUNTIF($P$2:$P$3000,P2638)&gt;1,"DUPLICATE","OK"))</f>
        <v/>
      </c>
      <c r="R2638" s="0" t="str">
        <f aca="false">IF($C2638="","",IFERROR(VLOOKUP(--$C2638,MM_Income!$Z$5:$AC$204,3,FALSE()),""))</f>
        <v/>
      </c>
    </row>
    <row r="2639" customFormat="false" ht="13.5" hidden="false" customHeight="false" outlineLevel="0" collapsed="false">
      <c r="N2639" s="1" t="str">
        <f aca="false">IF(C2639="","",IFERROR(VLOOKUP(C2639,Master_Mappings!$A$4:$E$85,3,FALSE()),"UNMAPPED"))</f>
        <v/>
      </c>
      <c r="P2639" s="1" t="str">
        <f aca="false">IF($C2639="","",$C2639&amp;"|"&amp;$E2639&amp;"|"&amp;$M2639&amp;"|"&amp;TEXT($G2639,"yyyy-mm-dd")&amp;"|"&amp;LEFT($J2639,40))</f>
        <v/>
      </c>
      <c r="Q2639" s="11" t="str">
        <f aca="false">IF(P2639="","",IF(COUNTIF($P$2:$P$3000,P2639)&gt;1,"DUPLICATE","OK"))</f>
        <v/>
      </c>
      <c r="R2639" s="0" t="str">
        <f aca="false">IF($C2639="","",IFERROR(VLOOKUP(--$C2639,MM_Income!$Z$5:$AC$204,3,FALSE()),""))</f>
        <v/>
      </c>
    </row>
    <row r="2640" customFormat="false" ht="13.5" hidden="false" customHeight="false" outlineLevel="0" collapsed="false">
      <c r="N2640" s="1" t="str">
        <f aca="false">IF(C2640="","",IFERROR(VLOOKUP(C2640,Master_Mappings!$A$4:$E$85,3,FALSE()),"UNMAPPED"))</f>
        <v/>
      </c>
      <c r="P2640" s="1" t="str">
        <f aca="false">IF($C2640="","",$C2640&amp;"|"&amp;$E2640&amp;"|"&amp;$M2640&amp;"|"&amp;TEXT($G2640,"yyyy-mm-dd")&amp;"|"&amp;LEFT($J2640,40))</f>
        <v/>
      </c>
      <c r="Q2640" s="11" t="str">
        <f aca="false">IF(P2640="","",IF(COUNTIF($P$2:$P$3000,P2640)&gt;1,"DUPLICATE","OK"))</f>
        <v/>
      </c>
      <c r="R2640" s="0" t="str">
        <f aca="false">IF($C2640="","",IFERROR(VLOOKUP(--$C2640,MM_Income!$Z$5:$AC$204,3,FALSE()),""))</f>
        <v/>
      </c>
    </row>
    <row r="2641" customFormat="false" ht="13.5" hidden="false" customHeight="false" outlineLevel="0" collapsed="false">
      <c r="N2641" s="1" t="str">
        <f aca="false">IF(C2641="","",IFERROR(VLOOKUP(C2641,Master_Mappings!$A$4:$E$85,3,FALSE()),"UNMAPPED"))</f>
        <v/>
      </c>
      <c r="P2641" s="1" t="str">
        <f aca="false">IF($C2641="","",$C2641&amp;"|"&amp;$E2641&amp;"|"&amp;$M2641&amp;"|"&amp;TEXT($G2641,"yyyy-mm-dd")&amp;"|"&amp;LEFT($J2641,40))</f>
        <v/>
      </c>
      <c r="Q2641" s="11" t="str">
        <f aca="false">IF(P2641="","",IF(COUNTIF($P$2:$P$3000,P2641)&gt;1,"DUPLICATE","OK"))</f>
        <v/>
      </c>
      <c r="R2641" s="0" t="str">
        <f aca="false">IF($C2641="","",IFERROR(VLOOKUP(--$C2641,MM_Income!$Z$5:$AC$204,3,FALSE()),""))</f>
        <v/>
      </c>
    </row>
    <row r="2642" customFormat="false" ht="13.5" hidden="false" customHeight="false" outlineLevel="0" collapsed="false">
      <c r="N2642" s="1" t="str">
        <f aca="false">IF(C2642="","",IFERROR(VLOOKUP(C2642,Master_Mappings!$A$4:$E$85,3,FALSE()),"UNMAPPED"))</f>
        <v/>
      </c>
      <c r="P2642" s="1" t="str">
        <f aca="false">IF($C2642="","",$C2642&amp;"|"&amp;$E2642&amp;"|"&amp;$M2642&amp;"|"&amp;TEXT($G2642,"yyyy-mm-dd")&amp;"|"&amp;LEFT($J2642,40))</f>
        <v/>
      </c>
      <c r="Q2642" s="11" t="str">
        <f aca="false">IF(P2642="","",IF(COUNTIF($P$2:$P$3000,P2642)&gt;1,"DUPLICATE","OK"))</f>
        <v/>
      </c>
      <c r="R2642" s="0" t="str">
        <f aca="false">IF($C2642="","",IFERROR(VLOOKUP(--$C2642,MM_Income!$Z$5:$AC$204,3,FALSE()),""))</f>
        <v/>
      </c>
    </row>
    <row r="2643" customFormat="false" ht="13.5" hidden="false" customHeight="false" outlineLevel="0" collapsed="false">
      <c r="N2643" s="1" t="str">
        <f aca="false">IF(C2643="","",IFERROR(VLOOKUP(C2643,Master_Mappings!$A$4:$E$85,3,FALSE()),"UNMAPPED"))</f>
        <v/>
      </c>
      <c r="P2643" s="1" t="str">
        <f aca="false">IF($C2643="","",$C2643&amp;"|"&amp;$E2643&amp;"|"&amp;$M2643&amp;"|"&amp;TEXT($G2643,"yyyy-mm-dd")&amp;"|"&amp;LEFT($J2643,40))</f>
        <v/>
      </c>
      <c r="Q2643" s="11" t="str">
        <f aca="false">IF(P2643="","",IF(COUNTIF($P$2:$P$3000,P2643)&gt;1,"DUPLICATE","OK"))</f>
        <v/>
      </c>
      <c r="R2643" s="0" t="str">
        <f aca="false">IF($C2643="","",IFERROR(VLOOKUP(--$C2643,MM_Income!$Z$5:$AC$204,3,FALSE()),""))</f>
        <v/>
      </c>
    </row>
    <row r="2644" customFormat="false" ht="13.5" hidden="false" customHeight="false" outlineLevel="0" collapsed="false">
      <c r="N2644" s="1" t="str">
        <f aca="false">IF(C2644="","",IFERROR(VLOOKUP(C2644,Master_Mappings!$A$4:$E$85,3,FALSE()),"UNMAPPED"))</f>
        <v/>
      </c>
      <c r="P2644" s="1" t="str">
        <f aca="false">IF($C2644="","",$C2644&amp;"|"&amp;$E2644&amp;"|"&amp;$M2644&amp;"|"&amp;TEXT($G2644,"yyyy-mm-dd")&amp;"|"&amp;LEFT($J2644,40))</f>
        <v/>
      </c>
      <c r="Q2644" s="11" t="str">
        <f aca="false">IF(P2644="","",IF(COUNTIF($P$2:$P$3000,P2644)&gt;1,"DUPLICATE","OK"))</f>
        <v/>
      </c>
      <c r="R2644" s="0" t="str">
        <f aca="false">IF($C2644="","",IFERROR(VLOOKUP(--$C2644,MM_Income!$Z$5:$AC$204,3,FALSE()),""))</f>
        <v/>
      </c>
    </row>
    <row r="2645" customFormat="false" ht="13.5" hidden="false" customHeight="false" outlineLevel="0" collapsed="false">
      <c r="N2645" s="1" t="str">
        <f aca="false">IF(C2645="","",IFERROR(VLOOKUP(C2645,Master_Mappings!$A$4:$E$85,3,FALSE()),"UNMAPPED"))</f>
        <v/>
      </c>
      <c r="P2645" s="1" t="str">
        <f aca="false">IF($C2645="","",$C2645&amp;"|"&amp;$E2645&amp;"|"&amp;$M2645&amp;"|"&amp;TEXT($G2645,"yyyy-mm-dd")&amp;"|"&amp;LEFT($J2645,40))</f>
        <v/>
      </c>
      <c r="Q2645" s="11" t="str">
        <f aca="false">IF(P2645="","",IF(COUNTIF($P$2:$P$3000,P2645)&gt;1,"DUPLICATE","OK"))</f>
        <v/>
      </c>
      <c r="R2645" s="0" t="str">
        <f aca="false">IF($C2645="","",IFERROR(VLOOKUP(--$C2645,MM_Income!$Z$5:$AC$204,3,FALSE()),""))</f>
        <v/>
      </c>
    </row>
    <row r="2646" customFormat="false" ht="13.5" hidden="false" customHeight="false" outlineLevel="0" collapsed="false">
      <c r="N2646" s="1" t="str">
        <f aca="false">IF(C2646="","",IFERROR(VLOOKUP(C2646,Master_Mappings!$A$4:$E$85,3,FALSE()),"UNMAPPED"))</f>
        <v/>
      </c>
      <c r="P2646" s="1" t="str">
        <f aca="false">IF($C2646="","",$C2646&amp;"|"&amp;$E2646&amp;"|"&amp;$M2646&amp;"|"&amp;TEXT($G2646,"yyyy-mm-dd")&amp;"|"&amp;LEFT($J2646,40))</f>
        <v/>
      </c>
      <c r="Q2646" s="11" t="str">
        <f aca="false">IF(P2646="","",IF(COUNTIF($P$2:$P$3000,P2646)&gt;1,"DUPLICATE","OK"))</f>
        <v/>
      </c>
      <c r="R2646" s="0" t="str">
        <f aca="false">IF($C2646="","",IFERROR(VLOOKUP(--$C2646,MM_Income!$Z$5:$AC$204,3,FALSE()),""))</f>
        <v/>
      </c>
    </row>
    <row r="2647" customFormat="false" ht="13.5" hidden="false" customHeight="false" outlineLevel="0" collapsed="false">
      <c r="N2647" s="1" t="str">
        <f aca="false">IF(C2647="","",IFERROR(VLOOKUP(C2647,Master_Mappings!$A$4:$E$85,3,FALSE()),"UNMAPPED"))</f>
        <v/>
      </c>
      <c r="P2647" s="1" t="str">
        <f aca="false">IF($C2647="","",$C2647&amp;"|"&amp;$E2647&amp;"|"&amp;$M2647&amp;"|"&amp;TEXT($G2647,"yyyy-mm-dd")&amp;"|"&amp;LEFT($J2647,40))</f>
        <v/>
      </c>
      <c r="Q2647" s="11" t="str">
        <f aca="false">IF(P2647="","",IF(COUNTIF($P$2:$P$3000,P2647)&gt;1,"DUPLICATE","OK"))</f>
        <v/>
      </c>
      <c r="R2647" s="0" t="str">
        <f aca="false">IF($C2647="","",IFERROR(VLOOKUP(--$C2647,MM_Income!$Z$5:$AC$204,3,FALSE()),""))</f>
        <v/>
      </c>
    </row>
    <row r="2648" customFormat="false" ht="13.5" hidden="false" customHeight="false" outlineLevel="0" collapsed="false">
      <c r="N2648" s="1" t="str">
        <f aca="false">IF(C2648="","",IFERROR(VLOOKUP(C2648,Master_Mappings!$A$4:$E$85,3,FALSE()),"UNMAPPED"))</f>
        <v/>
      </c>
      <c r="P2648" s="1" t="str">
        <f aca="false">IF($C2648="","",$C2648&amp;"|"&amp;$E2648&amp;"|"&amp;$M2648&amp;"|"&amp;TEXT($G2648,"yyyy-mm-dd")&amp;"|"&amp;LEFT($J2648,40))</f>
        <v/>
      </c>
      <c r="Q2648" s="11" t="str">
        <f aca="false">IF(P2648="","",IF(COUNTIF($P$2:$P$3000,P2648)&gt;1,"DUPLICATE","OK"))</f>
        <v/>
      </c>
      <c r="R2648" s="0" t="str">
        <f aca="false">IF($C2648="","",IFERROR(VLOOKUP(--$C2648,MM_Income!$Z$5:$AC$204,3,FALSE()),""))</f>
        <v/>
      </c>
    </row>
    <row r="2649" customFormat="false" ht="13.5" hidden="false" customHeight="false" outlineLevel="0" collapsed="false">
      <c r="N2649" s="1" t="str">
        <f aca="false">IF(C2649="","",IFERROR(VLOOKUP(C2649,Master_Mappings!$A$4:$E$85,3,FALSE()),"UNMAPPED"))</f>
        <v/>
      </c>
      <c r="P2649" s="1" t="str">
        <f aca="false">IF($C2649="","",$C2649&amp;"|"&amp;$E2649&amp;"|"&amp;$M2649&amp;"|"&amp;TEXT($G2649,"yyyy-mm-dd")&amp;"|"&amp;LEFT($J2649,40))</f>
        <v/>
      </c>
      <c r="Q2649" s="11" t="str">
        <f aca="false">IF(P2649="","",IF(COUNTIF($P$2:$P$3000,P2649)&gt;1,"DUPLICATE","OK"))</f>
        <v/>
      </c>
      <c r="R2649" s="0" t="str">
        <f aca="false">IF($C2649="","",IFERROR(VLOOKUP(--$C2649,MM_Income!$Z$5:$AC$204,3,FALSE()),""))</f>
        <v/>
      </c>
    </row>
    <row r="2650" customFormat="false" ht="13.5" hidden="false" customHeight="false" outlineLevel="0" collapsed="false">
      <c r="N2650" s="1" t="str">
        <f aca="false">IF(C2650="","",IFERROR(VLOOKUP(C2650,Master_Mappings!$A$4:$E$85,3,FALSE()),"UNMAPPED"))</f>
        <v/>
      </c>
      <c r="P2650" s="1" t="str">
        <f aca="false">IF($C2650="","",$C2650&amp;"|"&amp;$E2650&amp;"|"&amp;$M2650&amp;"|"&amp;TEXT($G2650,"yyyy-mm-dd")&amp;"|"&amp;LEFT($J2650,40))</f>
        <v/>
      </c>
      <c r="Q2650" s="11" t="str">
        <f aca="false">IF(P2650="","",IF(COUNTIF($P$2:$P$3000,P2650)&gt;1,"DUPLICATE","OK"))</f>
        <v/>
      </c>
      <c r="R2650" s="0" t="str">
        <f aca="false">IF($C2650="","",IFERROR(VLOOKUP(--$C2650,MM_Income!$Z$5:$AC$204,3,FALSE()),""))</f>
        <v/>
      </c>
    </row>
    <row r="2651" customFormat="false" ht="13.5" hidden="false" customHeight="false" outlineLevel="0" collapsed="false">
      <c r="N2651" s="1" t="str">
        <f aca="false">IF(C2651="","",IFERROR(VLOOKUP(C2651,Master_Mappings!$A$4:$E$85,3,FALSE()),"UNMAPPED"))</f>
        <v/>
      </c>
      <c r="P2651" s="1" t="str">
        <f aca="false">IF($C2651="","",$C2651&amp;"|"&amp;$E2651&amp;"|"&amp;$M2651&amp;"|"&amp;TEXT($G2651,"yyyy-mm-dd")&amp;"|"&amp;LEFT($J2651,40))</f>
        <v/>
      </c>
      <c r="Q2651" s="11" t="str">
        <f aca="false">IF(P2651="","",IF(COUNTIF($P$2:$P$3000,P2651)&gt;1,"DUPLICATE","OK"))</f>
        <v/>
      </c>
      <c r="R2651" s="0" t="str">
        <f aca="false">IF($C2651="","",IFERROR(VLOOKUP(--$C2651,MM_Income!$Z$5:$AC$204,3,FALSE()),""))</f>
        <v/>
      </c>
    </row>
    <row r="2652" customFormat="false" ht="13.5" hidden="false" customHeight="false" outlineLevel="0" collapsed="false">
      <c r="N2652" s="1" t="str">
        <f aca="false">IF(C2652="","",IFERROR(VLOOKUP(C2652,Master_Mappings!$A$4:$E$85,3,FALSE()),"UNMAPPED"))</f>
        <v/>
      </c>
      <c r="P2652" s="1" t="str">
        <f aca="false">IF($C2652="","",$C2652&amp;"|"&amp;$E2652&amp;"|"&amp;$M2652&amp;"|"&amp;TEXT($G2652,"yyyy-mm-dd")&amp;"|"&amp;LEFT($J2652,40))</f>
        <v/>
      </c>
      <c r="Q2652" s="11" t="str">
        <f aca="false">IF(P2652="","",IF(COUNTIF($P$2:$P$3000,P2652)&gt;1,"DUPLICATE","OK"))</f>
        <v/>
      </c>
      <c r="R2652" s="0" t="str">
        <f aca="false">IF($C2652="","",IFERROR(VLOOKUP(--$C2652,MM_Income!$Z$5:$AC$204,3,FALSE()),""))</f>
        <v/>
      </c>
    </row>
    <row r="2653" customFormat="false" ht="13.5" hidden="false" customHeight="false" outlineLevel="0" collapsed="false">
      <c r="N2653" s="1" t="str">
        <f aca="false">IF(C2653="","",IFERROR(VLOOKUP(C2653,Master_Mappings!$A$4:$E$85,3,FALSE()),"UNMAPPED"))</f>
        <v/>
      </c>
      <c r="P2653" s="1" t="str">
        <f aca="false">IF($C2653="","",$C2653&amp;"|"&amp;$E2653&amp;"|"&amp;$M2653&amp;"|"&amp;TEXT($G2653,"yyyy-mm-dd")&amp;"|"&amp;LEFT($J2653,40))</f>
        <v/>
      </c>
      <c r="Q2653" s="11" t="str">
        <f aca="false">IF(P2653="","",IF(COUNTIF($P$2:$P$3000,P2653)&gt;1,"DUPLICATE","OK"))</f>
        <v/>
      </c>
      <c r="R2653" s="0" t="str">
        <f aca="false">IF($C2653="","",IFERROR(VLOOKUP(--$C2653,MM_Income!$Z$5:$AC$204,3,FALSE()),""))</f>
        <v/>
      </c>
    </row>
    <row r="2654" customFormat="false" ht="13.5" hidden="false" customHeight="false" outlineLevel="0" collapsed="false">
      <c r="N2654" s="1" t="str">
        <f aca="false">IF(C2654="","",IFERROR(VLOOKUP(C2654,Master_Mappings!$A$4:$E$85,3,FALSE()),"UNMAPPED"))</f>
        <v/>
      </c>
      <c r="P2654" s="1" t="str">
        <f aca="false">IF($C2654="","",$C2654&amp;"|"&amp;$E2654&amp;"|"&amp;$M2654&amp;"|"&amp;TEXT($G2654,"yyyy-mm-dd")&amp;"|"&amp;LEFT($J2654,40))</f>
        <v/>
      </c>
      <c r="Q2654" s="11" t="str">
        <f aca="false">IF(P2654="","",IF(COUNTIF($P$2:$P$3000,P2654)&gt;1,"DUPLICATE","OK"))</f>
        <v/>
      </c>
      <c r="R2654" s="0" t="str">
        <f aca="false">IF($C2654="","",IFERROR(VLOOKUP(--$C2654,MM_Income!$Z$5:$AC$204,3,FALSE()),""))</f>
        <v/>
      </c>
    </row>
    <row r="2655" customFormat="false" ht="13.5" hidden="false" customHeight="false" outlineLevel="0" collapsed="false">
      <c r="N2655" s="1" t="str">
        <f aca="false">IF(C2655="","",IFERROR(VLOOKUP(C2655,Master_Mappings!$A$4:$E$85,3,FALSE()),"UNMAPPED"))</f>
        <v/>
      </c>
      <c r="P2655" s="1" t="str">
        <f aca="false">IF($C2655="","",$C2655&amp;"|"&amp;$E2655&amp;"|"&amp;$M2655&amp;"|"&amp;TEXT($G2655,"yyyy-mm-dd")&amp;"|"&amp;LEFT($J2655,40))</f>
        <v/>
      </c>
      <c r="Q2655" s="11" t="str">
        <f aca="false">IF(P2655="","",IF(COUNTIF($P$2:$P$3000,P2655)&gt;1,"DUPLICATE","OK"))</f>
        <v/>
      </c>
      <c r="R2655" s="0" t="str">
        <f aca="false">IF($C2655="","",IFERROR(VLOOKUP(--$C2655,MM_Income!$Z$5:$AC$204,3,FALSE()),""))</f>
        <v/>
      </c>
    </row>
    <row r="2656" customFormat="false" ht="13.5" hidden="false" customHeight="false" outlineLevel="0" collapsed="false">
      <c r="N2656" s="1" t="str">
        <f aca="false">IF(C2656="","",IFERROR(VLOOKUP(C2656,Master_Mappings!$A$4:$E$85,3,FALSE()),"UNMAPPED"))</f>
        <v/>
      </c>
      <c r="P2656" s="1" t="str">
        <f aca="false">IF($C2656="","",$C2656&amp;"|"&amp;$E2656&amp;"|"&amp;$M2656&amp;"|"&amp;TEXT($G2656,"yyyy-mm-dd")&amp;"|"&amp;LEFT($J2656,40))</f>
        <v/>
      </c>
      <c r="Q2656" s="11" t="str">
        <f aca="false">IF(P2656="","",IF(COUNTIF($P$2:$P$3000,P2656)&gt;1,"DUPLICATE","OK"))</f>
        <v/>
      </c>
      <c r="R2656" s="0" t="str">
        <f aca="false">IF($C2656="","",IFERROR(VLOOKUP(--$C2656,MM_Income!$Z$5:$AC$204,3,FALSE()),""))</f>
        <v/>
      </c>
    </row>
    <row r="2657" customFormat="false" ht="13.5" hidden="false" customHeight="false" outlineLevel="0" collapsed="false">
      <c r="N2657" s="1" t="str">
        <f aca="false">IF(C2657="","",IFERROR(VLOOKUP(C2657,Master_Mappings!$A$4:$E$85,3,FALSE()),"UNMAPPED"))</f>
        <v/>
      </c>
      <c r="P2657" s="1" t="str">
        <f aca="false">IF($C2657="","",$C2657&amp;"|"&amp;$E2657&amp;"|"&amp;$M2657&amp;"|"&amp;TEXT($G2657,"yyyy-mm-dd")&amp;"|"&amp;LEFT($J2657,40))</f>
        <v/>
      </c>
      <c r="Q2657" s="11" t="str">
        <f aca="false">IF(P2657="","",IF(COUNTIF($P$2:$P$3000,P2657)&gt;1,"DUPLICATE","OK"))</f>
        <v/>
      </c>
      <c r="R2657" s="0" t="str">
        <f aca="false">IF($C2657="","",IFERROR(VLOOKUP(--$C2657,MM_Income!$Z$5:$AC$204,3,FALSE()),""))</f>
        <v/>
      </c>
    </row>
    <row r="2658" customFormat="false" ht="13.5" hidden="false" customHeight="false" outlineLevel="0" collapsed="false">
      <c r="N2658" s="1" t="str">
        <f aca="false">IF(C2658="","",IFERROR(VLOOKUP(C2658,Master_Mappings!$A$4:$E$85,3,FALSE()),"UNMAPPED"))</f>
        <v/>
      </c>
      <c r="P2658" s="1" t="str">
        <f aca="false">IF($C2658="","",$C2658&amp;"|"&amp;$E2658&amp;"|"&amp;$M2658&amp;"|"&amp;TEXT($G2658,"yyyy-mm-dd")&amp;"|"&amp;LEFT($J2658,40))</f>
        <v/>
      </c>
      <c r="Q2658" s="11" t="str">
        <f aca="false">IF(P2658="","",IF(COUNTIF($P$2:$P$3000,P2658)&gt;1,"DUPLICATE","OK"))</f>
        <v/>
      </c>
      <c r="R2658" s="0" t="str">
        <f aca="false">IF($C2658="","",IFERROR(VLOOKUP(--$C2658,MM_Income!$Z$5:$AC$204,3,FALSE()),""))</f>
        <v/>
      </c>
    </row>
    <row r="2659" customFormat="false" ht="13.5" hidden="false" customHeight="false" outlineLevel="0" collapsed="false">
      <c r="N2659" s="1" t="str">
        <f aca="false">IF(C2659="","",IFERROR(VLOOKUP(C2659,Master_Mappings!$A$4:$E$85,3,FALSE()),"UNMAPPED"))</f>
        <v/>
      </c>
      <c r="P2659" s="1" t="str">
        <f aca="false">IF($C2659="","",$C2659&amp;"|"&amp;$E2659&amp;"|"&amp;$M2659&amp;"|"&amp;TEXT($G2659,"yyyy-mm-dd")&amp;"|"&amp;LEFT($J2659,40))</f>
        <v/>
      </c>
      <c r="Q2659" s="11" t="str">
        <f aca="false">IF(P2659="","",IF(COUNTIF($P$2:$P$3000,P2659)&gt;1,"DUPLICATE","OK"))</f>
        <v/>
      </c>
      <c r="R2659" s="0" t="str">
        <f aca="false">IF($C2659="","",IFERROR(VLOOKUP(--$C2659,MM_Income!$Z$5:$AC$204,3,FALSE()),""))</f>
        <v/>
      </c>
    </row>
    <row r="2660" customFormat="false" ht="13.5" hidden="false" customHeight="false" outlineLevel="0" collapsed="false">
      <c r="N2660" s="1" t="str">
        <f aca="false">IF(C2660="","",IFERROR(VLOOKUP(C2660,Master_Mappings!$A$4:$E$85,3,FALSE()),"UNMAPPED"))</f>
        <v/>
      </c>
      <c r="P2660" s="1" t="str">
        <f aca="false">IF($C2660="","",$C2660&amp;"|"&amp;$E2660&amp;"|"&amp;$M2660&amp;"|"&amp;TEXT($G2660,"yyyy-mm-dd")&amp;"|"&amp;LEFT($J2660,40))</f>
        <v/>
      </c>
      <c r="Q2660" s="11" t="str">
        <f aca="false">IF(P2660="","",IF(COUNTIF($P$2:$P$3000,P2660)&gt;1,"DUPLICATE","OK"))</f>
        <v/>
      </c>
      <c r="R2660" s="0" t="str">
        <f aca="false">IF($C2660="","",IFERROR(VLOOKUP(--$C2660,MM_Income!$Z$5:$AC$204,3,FALSE()),""))</f>
        <v/>
      </c>
    </row>
    <row r="2661" customFormat="false" ht="13.5" hidden="false" customHeight="false" outlineLevel="0" collapsed="false">
      <c r="N2661" s="1" t="str">
        <f aca="false">IF(C2661="","",IFERROR(VLOOKUP(C2661,Master_Mappings!$A$4:$E$85,3,FALSE()),"UNMAPPED"))</f>
        <v/>
      </c>
      <c r="P2661" s="1" t="str">
        <f aca="false">IF($C2661="","",$C2661&amp;"|"&amp;$E2661&amp;"|"&amp;$M2661&amp;"|"&amp;TEXT($G2661,"yyyy-mm-dd")&amp;"|"&amp;LEFT($J2661,40))</f>
        <v/>
      </c>
      <c r="Q2661" s="11" t="str">
        <f aca="false">IF(P2661="","",IF(COUNTIF($P$2:$P$3000,P2661)&gt;1,"DUPLICATE","OK"))</f>
        <v/>
      </c>
      <c r="R2661" s="0" t="str">
        <f aca="false">IF($C2661="","",IFERROR(VLOOKUP(--$C2661,MM_Income!$Z$5:$AC$204,3,FALSE()),""))</f>
        <v/>
      </c>
    </row>
    <row r="2662" customFormat="false" ht="13.5" hidden="false" customHeight="false" outlineLevel="0" collapsed="false">
      <c r="N2662" s="1" t="str">
        <f aca="false">IF(C2662="","",IFERROR(VLOOKUP(C2662,Master_Mappings!$A$4:$E$85,3,FALSE()),"UNMAPPED"))</f>
        <v/>
      </c>
      <c r="P2662" s="1" t="str">
        <f aca="false">IF($C2662="","",$C2662&amp;"|"&amp;$E2662&amp;"|"&amp;$M2662&amp;"|"&amp;TEXT($G2662,"yyyy-mm-dd")&amp;"|"&amp;LEFT($J2662,40))</f>
        <v/>
      </c>
      <c r="Q2662" s="11" t="str">
        <f aca="false">IF(P2662="","",IF(COUNTIF($P$2:$P$3000,P2662)&gt;1,"DUPLICATE","OK"))</f>
        <v/>
      </c>
      <c r="R2662" s="0" t="str">
        <f aca="false">IF($C2662="","",IFERROR(VLOOKUP(--$C2662,MM_Income!$Z$5:$AC$204,3,FALSE()),""))</f>
        <v/>
      </c>
    </row>
    <row r="2663" customFormat="false" ht="13.5" hidden="false" customHeight="false" outlineLevel="0" collapsed="false">
      <c r="N2663" s="1" t="str">
        <f aca="false">IF(C2663="","",IFERROR(VLOOKUP(C2663,Master_Mappings!$A$4:$E$85,3,FALSE()),"UNMAPPED"))</f>
        <v/>
      </c>
      <c r="P2663" s="1" t="str">
        <f aca="false">IF($C2663="","",$C2663&amp;"|"&amp;$E2663&amp;"|"&amp;$M2663&amp;"|"&amp;TEXT($G2663,"yyyy-mm-dd")&amp;"|"&amp;LEFT($J2663,40))</f>
        <v/>
      </c>
      <c r="Q2663" s="11" t="str">
        <f aca="false">IF(P2663="","",IF(COUNTIF($P$2:$P$3000,P2663)&gt;1,"DUPLICATE","OK"))</f>
        <v/>
      </c>
      <c r="R2663" s="0" t="str">
        <f aca="false">IF($C2663="","",IFERROR(VLOOKUP(--$C2663,MM_Income!$Z$5:$AC$204,3,FALSE()),""))</f>
        <v/>
      </c>
    </row>
    <row r="2664" customFormat="false" ht="13.5" hidden="false" customHeight="false" outlineLevel="0" collapsed="false">
      <c r="N2664" s="1" t="str">
        <f aca="false">IF(C2664="","",IFERROR(VLOOKUP(C2664,Master_Mappings!$A$4:$E$85,3,FALSE()),"UNMAPPED"))</f>
        <v/>
      </c>
      <c r="P2664" s="1" t="str">
        <f aca="false">IF($C2664="","",$C2664&amp;"|"&amp;$E2664&amp;"|"&amp;$M2664&amp;"|"&amp;TEXT($G2664,"yyyy-mm-dd")&amp;"|"&amp;LEFT($J2664,40))</f>
        <v/>
      </c>
      <c r="Q2664" s="11" t="str">
        <f aca="false">IF(P2664="","",IF(COUNTIF($P$2:$P$3000,P2664)&gt;1,"DUPLICATE","OK"))</f>
        <v/>
      </c>
      <c r="R2664" s="0" t="str">
        <f aca="false">IF($C2664="","",IFERROR(VLOOKUP(--$C2664,MM_Income!$Z$5:$AC$204,3,FALSE()),""))</f>
        <v/>
      </c>
    </row>
    <row r="2665" customFormat="false" ht="13.5" hidden="false" customHeight="false" outlineLevel="0" collapsed="false">
      <c r="N2665" s="1" t="str">
        <f aca="false">IF(C2665="","",IFERROR(VLOOKUP(C2665,Master_Mappings!$A$4:$E$85,3,FALSE()),"UNMAPPED"))</f>
        <v/>
      </c>
      <c r="P2665" s="1" t="str">
        <f aca="false">IF($C2665="","",$C2665&amp;"|"&amp;$E2665&amp;"|"&amp;$M2665&amp;"|"&amp;TEXT($G2665,"yyyy-mm-dd")&amp;"|"&amp;LEFT($J2665,40))</f>
        <v/>
      </c>
      <c r="Q2665" s="11" t="str">
        <f aca="false">IF(P2665="","",IF(COUNTIF($P$2:$P$3000,P2665)&gt;1,"DUPLICATE","OK"))</f>
        <v/>
      </c>
      <c r="R2665" s="0" t="str">
        <f aca="false">IF($C2665="","",IFERROR(VLOOKUP(--$C2665,MM_Income!$Z$5:$AC$204,3,FALSE()),""))</f>
        <v/>
      </c>
    </row>
    <row r="2666" customFormat="false" ht="13.5" hidden="false" customHeight="false" outlineLevel="0" collapsed="false">
      <c r="N2666" s="1" t="str">
        <f aca="false">IF(C2666="","",IFERROR(VLOOKUP(C2666,Master_Mappings!$A$4:$E$85,3,FALSE()),"UNMAPPED"))</f>
        <v/>
      </c>
      <c r="P2666" s="1" t="str">
        <f aca="false">IF($C2666="","",$C2666&amp;"|"&amp;$E2666&amp;"|"&amp;$M2666&amp;"|"&amp;TEXT($G2666,"yyyy-mm-dd")&amp;"|"&amp;LEFT($J2666,40))</f>
        <v/>
      </c>
      <c r="Q2666" s="11" t="str">
        <f aca="false">IF(P2666="","",IF(COUNTIF($P$2:$P$3000,P2666)&gt;1,"DUPLICATE","OK"))</f>
        <v/>
      </c>
      <c r="R2666" s="0" t="str">
        <f aca="false">IF($C2666="","",IFERROR(VLOOKUP(--$C2666,MM_Income!$Z$5:$AC$204,3,FALSE()),""))</f>
        <v/>
      </c>
    </row>
    <row r="2667" customFormat="false" ht="13.5" hidden="false" customHeight="false" outlineLevel="0" collapsed="false">
      <c r="N2667" s="1" t="str">
        <f aca="false">IF(C2667="","",IFERROR(VLOOKUP(C2667,Master_Mappings!$A$4:$E$85,3,FALSE()),"UNMAPPED"))</f>
        <v/>
      </c>
      <c r="P2667" s="1" t="str">
        <f aca="false">IF($C2667="","",$C2667&amp;"|"&amp;$E2667&amp;"|"&amp;$M2667&amp;"|"&amp;TEXT($G2667,"yyyy-mm-dd")&amp;"|"&amp;LEFT($J2667,40))</f>
        <v/>
      </c>
      <c r="Q2667" s="11" t="str">
        <f aca="false">IF(P2667="","",IF(COUNTIF($P$2:$P$3000,P2667)&gt;1,"DUPLICATE","OK"))</f>
        <v/>
      </c>
      <c r="R2667" s="0" t="str">
        <f aca="false">IF($C2667="","",IFERROR(VLOOKUP(--$C2667,MM_Income!$Z$5:$AC$204,3,FALSE()),""))</f>
        <v/>
      </c>
    </row>
    <row r="2668" customFormat="false" ht="13.5" hidden="false" customHeight="false" outlineLevel="0" collapsed="false">
      <c r="N2668" s="1" t="str">
        <f aca="false">IF(C2668="","",IFERROR(VLOOKUP(C2668,Master_Mappings!$A$4:$E$85,3,FALSE()),"UNMAPPED"))</f>
        <v/>
      </c>
      <c r="P2668" s="1" t="str">
        <f aca="false">IF($C2668="","",$C2668&amp;"|"&amp;$E2668&amp;"|"&amp;$M2668&amp;"|"&amp;TEXT($G2668,"yyyy-mm-dd")&amp;"|"&amp;LEFT($J2668,40))</f>
        <v/>
      </c>
      <c r="Q2668" s="11" t="str">
        <f aca="false">IF(P2668="","",IF(COUNTIF($P$2:$P$3000,P2668)&gt;1,"DUPLICATE","OK"))</f>
        <v/>
      </c>
      <c r="R2668" s="0" t="str">
        <f aca="false">IF($C2668="","",IFERROR(VLOOKUP(--$C2668,MM_Income!$Z$5:$AC$204,3,FALSE()),""))</f>
        <v/>
      </c>
    </row>
    <row r="2669" customFormat="false" ht="13.5" hidden="false" customHeight="false" outlineLevel="0" collapsed="false">
      <c r="N2669" s="1" t="str">
        <f aca="false">IF(C2669="","",IFERROR(VLOOKUP(C2669,Master_Mappings!$A$4:$E$85,3,FALSE()),"UNMAPPED"))</f>
        <v/>
      </c>
      <c r="P2669" s="1" t="str">
        <f aca="false">IF($C2669="","",$C2669&amp;"|"&amp;$E2669&amp;"|"&amp;$M2669&amp;"|"&amp;TEXT($G2669,"yyyy-mm-dd")&amp;"|"&amp;LEFT($J2669,40))</f>
        <v/>
      </c>
      <c r="Q2669" s="11" t="str">
        <f aca="false">IF(P2669="","",IF(COUNTIF($P$2:$P$3000,P2669)&gt;1,"DUPLICATE","OK"))</f>
        <v/>
      </c>
      <c r="R2669" s="0" t="str">
        <f aca="false">IF($C2669="","",IFERROR(VLOOKUP(--$C2669,MM_Income!$Z$5:$AC$204,3,FALSE()),""))</f>
        <v/>
      </c>
    </row>
    <row r="2670" customFormat="false" ht="13.5" hidden="false" customHeight="false" outlineLevel="0" collapsed="false">
      <c r="N2670" s="1" t="str">
        <f aca="false">IF(C2670="","",IFERROR(VLOOKUP(C2670,Master_Mappings!$A$4:$E$85,3,FALSE()),"UNMAPPED"))</f>
        <v/>
      </c>
      <c r="P2670" s="1" t="str">
        <f aca="false">IF($C2670="","",$C2670&amp;"|"&amp;$E2670&amp;"|"&amp;$M2670&amp;"|"&amp;TEXT($G2670,"yyyy-mm-dd")&amp;"|"&amp;LEFT($J2670,40))</f>
        <v/>
      </c>
      <c r="Q2670" s="11" t="str">
        <f aca="false">IF(P2670="","",IF(COUNTIF($P$2:$P$3000,P2670)&gt;1,"DUPLICATE","OK"))</f>
        <v/>
      </c>
      <c r="R2670" s="0" t="str">
        <f aca="false">IF($C2670="","",IFERROR(VLOOKUP(--$C2670,MM_Income!$Z$5:$AC$204,3,FALSE()),""))</f>
        <v/>
      </c>
    </row>
    <row r="2671" customFormat="false" ht="13.5" hidden="false" customHeight="false" outlineLevel="0" collapsed="false">
      <c r="N2671" s="1" t="str">
        <f aca="false">IF(C2671="","",IFERROR(VLOOKUP(C2671,Master_Mappings!$A$4:$E$85,3,FALSE()),"UNMAPPED"))</f>
        <v/>
      </c>
      <c r="P2671" s="1" t="str">
        <f aca="false">IF($C2671="","",$C2671&amp;"|"&amp;$E2671&amp;"|"&amp;$M2671&amp;"|"&amp;TEXT($G2671,"yyyy-mm-dd")&amp;"|"&amp;LEFT($J2671,40))</f>
        <v/>
      </c>
      <c r="Q2671" s="11" t="str">
        <f aca="false">IF(P2671="","",IF(COUNTIF($P$2:$P$3000,P2671)&gt;1,"DUPLICATE","OK"))</f>
        <v/>
      </c>
      <c r="R2671" s="0" t="str">
        <f aca="false">IF($C2671="","",IFERROR(VLOOKUP(--$C2671,MM_Income!$Z$5:$AC$204,3,FALSE()),""))</f>
        <v/>
      </c>
    </row>
    <row r="2672" customFormat="false" ht="13.5" hidden="false" customHeight="false" outlineLevel="0" collapsed="false">
      <c r="N2672" s="1" t="str">
        <f aca="false">IF(C2672="","",IFERROR(VLOOKUP(C2672,Master_Mappings!$A$4:$E$85,3,FALSE()),"UNMAPPED"))</f>
        <v/>
      </c>
      <c r="P2672" s="1" t="str">
        <f aca="false">IF($C2672="","",$C2672&amp;"|"&amp;$E2672&amp;"|"&amp;$M2672&amp;"|"&amp;TEXT($G2672,"yyyy-mm-dd")&amp;"|"&amp;LEFT($J2672,40))</f>
        <v/>
      </c>
      <c r="Q2672" s="11" t="str">
        <f aca="false">IF(P2672="","",IF(COUNTIF($P$2:$P$3000,P2672)&gt;1,"DUPLICATE","OK"))</f>
        <v/>
      </c>
      <c r="R2672" s="0" t="str">
        <f aca="false">IF($C2672="","",IFERROR(VLOOKUP(--$C2672,MM_Income!$Z$5:$AC$204,3,FALSE()),""))</f>
        <v/>
      </c>
    </row>
    <row r="2673" customFormat="false" ht="13.5" hidden="false" customHeight="false" outlineLevel="0" collapsed="false">
      <c r="N2673" s="1" t="str">
        <f aca="false">IF(C2673="","",IFERROR(VLOOKUP(C2673,Master_Mappings!$A$4:$E$85,3,FALSE()),"UNMAPPED"))</f>
        <v/>
      </c>
      <c r="P2673" s="1" t="str">
        <f aca="false">IF($C2673="","",$C2673&amp;"|"&amp;$E2673&amp;"|"&amp;$M2673&amp;"|"&amp;TEXT($G2673,"yyyy-mm-dd")&amp;"|"&amp;LEFT($J2673,40))</f>
        <v/>
      </c>
      <c r="Q2673" s="11" t="str">
        <f aca="false">IF(P2673="","",IF(COUNTIF($P$2:$P$3000,P2673)&gt;1,"DUPLICATE","OK"))</f>
        <v/>
      </c>
      <c r="R2673" s="0" t="str">
        <f aca="false">IF($C2673="","",IFERROR(VLOOKUP(--$C2673,MM_Income!$Z$5:$AC$204,3,FALSE()),""))</f>
        <v/>
      </c>
    </row>
    <row r="2674" customFormat="false" ht="13.5" hidden="false" customHeight="false" outlineLevel="0" collapsed="false">
      <c r="N2674" s="1" t="str">
        <f aca="false">IF(C2674="","",IFERROR(VLOOKUP(C2674,Master_Mappings!$A$4:$E$85,3,FALSE()),"UNMAPPED"))</f>
        <v/>
      </c>
      <c r="P2674" s="1" t="str">
        <f aca="false">IF($C2674="","",$C2674&amp;"|"&amp;$E2674&amp;"|"&amp;$M2674&amp;"|"&amp;TEXT($G2674,"yyyy-mm-dd")&amp;"|"&amp;LEFT($J2674,40))</f>
        <v/>
      </c>
      <c r="Q2674" s="11" t="str">
        <f aca="false">IF(P2674="","",IF(COUNTIF($P$2:$P$3000,P2674)&gt;1,"DUPLICATE","OK"))</f>
        <v/>
      </c>
      <c r="R2674" s="0" t="str">
        <f aca="false">IF($C2674="","",IFERROR(VLOOKUP(--$C2674,MM_Income!$Z$5:$AC$204,3,FALSE()),""))</f>
        <v/>
      </c>
    </row>
    <row r="2675" customFormat="false" ht="13.5" hidden="false" customHeight="false" outlineLevel="0" collapsed="false">
      <c r="N2675" s="1" t="str">
        <f aca="false">IF(C2675="","",IFERROR(VLOOKUP(C2675,Master_Mappings!$A$4:$E$85,3,FALSE()),"UNMAPPED"))</f>
        <v/>
      </c>
      <c r="P2675" s="1" t="str">
        <f aca="false">IF($C2675="","",$C2675&amp;"|"&amp;$E2675&amp;"|"&amp;$M2675&amp;"|"&amp;TEXT($G2675,"yyyy-mm-dd")&amp;"|"&amp;LEFT($J2675,40))</f>
        <v/>
      </c>
      <c r="Q2675" s="11" t="str">
        <f aca="false">IF(P2675="","",IF(COUNTIF($P$2:$P$3000,P2675)&gt;1,"DUPLICATE","OK"))</f>
        <v/>
      </c>
      <c r="R2675" s="0" t="str">
        <f aca="false">IF($C2675="","",IFERROR(VLOOKUP(--$C2675,MM_Income!$Z$5:$AC$204,3,FALSE()),""))</f>
        <v/>
      </c>
    </row>
    <row r="2676" customFormat="false" ht="13.5" hidden="false" customHeight="false" outlineLevel="0" collapsed="false">
      <c r="N2676" s="1" t="str">
        <f aca="false">IF(C2676="","",IFERROR(VLOOKUP(C2676,Master_Mappings!$A$4:$E$85,3,FALSE()),"UNMAPPED"))</f>
        <v/>
      </c>
      <c r="P2676" s="1" t="str">
        <f aca="false">IF($C2676="","",$C2676&amp;"|"&amp;$E2676&amp;"|"&amp;$M2676&amp;"|"&amp;TEXT($G2676,"yyyy-mm-dd")&amp;"|"&amp;LEFT($J2676,40))</f>
        <v/>
      </c>
      <c r="Q2676" s="11" t="str">
        <f aca="false">IF(P2676="","",IF(COUNTIF($P$2:$P$3000,P2676)&gt;1,"DUPLICATE","OK"))</f>
        <v/>
      </c>
      <c r="R2676" s="0" t="str">
        <f aca="false">IF($C2676="","",IFERROR(VLOOKUP(--$C2676,MM_Income!$Z$5:$AC$204,3,FALSE()),""))</f>
        <v/>
      </c>
    </row>
    <row r="2677" customFormat="false" ht="13.5" hidden="false" customHeight="false" outlineLevel="0" collapsed="false">
      <c r="N2677" s="1" t="str">
        <f aca="false">IF(C2677="","",IFERROR(VLOOKUP(C2677,Master_Mappings!$A$4:$E$85,3,FALSE()),"UNMAPPED"))</f>
        <v/>
      </c>
      <c r="P2677" s="1" t="str">
        <f aca="false">IF($C2677="","",$C2677&amp;"|"&amp;$E2677&amp;"|"&amp;$M2677&amp;"|"&amp;TEXT($G2677,"yyyy-mm-dd")&amp;"|"&amp;LEFT($J2677,40))</f>
        <v/>
      </c>
      <c r="Q2677" s="11" t="str">
        <f aca="false">IF(P2677="","",IF(COUNTIF($P$2:$P$3000,P2677)&gt;1,"DUPLICATE","OK"))</f>
        <v/>
      </c>
      <c r="R2677" s="0" t="str">
        <f aca="false">IF($C2677="","",IFERROR(VLOOKUP(--$C2677,MM_Income!$Z$5:$AC$204,3,FALSE()),""))</f>
        <v/>
      </c>
    </row>
    <row r="2678" customFormat="false" ht="13.5" hidden="false" customHeight="false" outlineLevel="0" collapsed="false">
      <c r="N2678" s="1" t="str">
        <f aca="false">IF(C2678="","",IFERROR(VLOOKUP(C2678,Master_Mappings!$A$4:$E$85,3,FALSE()),"UNMAPPED"))</f>
        <v/>
      </c>
      <c r="P2678" s="1" t="str">
        <f aca="false">IF($C2678="","",$C2678&amp;"|"&amp;$E2678&amp;"|"&amp;$M2678&amp;"|"&amp;TEXT($G2678,"yyyy-mm-dd")&amp;"|"&amp;LEFT($J2678,40))</f>
        <v/>
      </c>
      <c r="Q2678" s="11" t="str">
        <f aca="false">IF(P2678="","",IF(COUNTIF($P$2:$P$3000,P2678)&gt;1,"DUPLICATE","OK"))</f>
        <v/>
      </c>
      <c r="R2678" s="0" t="str">
        <f aca="false">IF($C2678="","",IFERROR(VLOOKUP(--$C2678,MM_Income!$Z$5:$AC$204,3,FALSE()),""))</f>
        <v/>
      </c>
    </row>
    <row r="2679" customFormat="false" ht="13.5" hidden="false" customHeight="false" outlineLevel="0" collapsed="false">
      <c r="N2679" s="1" t="str">
        <f aca="false">IF(C2679="","",IFERROR(VLOOKUP(C2679,Master_Mappings!$A$4:$E$85,3,FALSE()),"UNMAPPED"))</f>
        <v/>
      </c>
      <c r="P2679" s="1" t="str">
        <f aca="false">IF($C2679="","",$C2679&amp;"|"&amp;$E2679&amp;"|"&amp;$M2679&amp;"|"&amp;TEXT($G2679,"yyyy-mm-dd")&amp;"|"&amp;LEFT($J2679,40))</f>
        <v/>
      </c>
      <c r="Q2679" s="11" t="str">
        <f aca="false">IF(P2679="","",IF(COUNTIF($P$2:$P$3000,P2679)&gt;1,"DUPLICATE","OK"))</f>
        <v/>
      </c>
      <c r="R2679" s="0" t="str">
        <f aca="false">IF($C2679="","",IFERROR(VLOOKUP(--$C2679,MM_Income!$Z$5:$AC$204,3,FALSE()),""))</f>
        <v/>
      </c>
    </row>
    <row r="2680" customFormat="false" ht="13.5" hidden="false" customHeight="false" outlineLevel="0" collapsed="false">
      <c r="N2680" s="1" t="str">
        <f aca="false">IF(C2680="","",IFERROR(VLOOKUP(C2680,Master_Mappings!$A$4:$E$85,3,FALSE()),"UNMAPPED"))</f>
        <v/>
      </c>
      <c r="P2680" s="1" t="str">
        <f aca="false">IF($C2680="","",$C2680&amp;"|"&amp;$E2680&amp;"|"&amp;$M2680&amp;"|"&amp;TEXT($G2680,"yyyy-mm-dd")&amp;"|"&amp;LEFT($J2680,40))</f>
        <v/>
      </c>
      <c r="Q2680" s="11" t="str">
        <f aca="false">IF(P2680="","",IF(COUNTIF($P$2:$P$3000,P2680)&gt;1,"DUPLICATE","OK"))</f>
        <v/>
      </c>
      <c r="R2680" s="0" t="str">
        <f aca="false">IF($C2680="","",IFERROR(VLOOKUP(--$C2680,MM_Income!$Z$5:$AC$204,3,FALSE()),""))</f>
        <v/>
      </c>
    </row>
    <row r="2681" customFormat="false" ht="13.5" hidden="false" customHeight="false" outlineLevel="0" collapsed="false">
      <c r="N2681" s="1" t="str">
        <f aca="false">IF(C2681="","",IFERROR(VLOOKUP(C2681,Master_Mappings!$A$4:$E$85,3,FALSE()),"UNMAPPED"))</f>
        <v/>
      </c>
      <c r="P2681" s="1" t="str">
        <f aca="false">IF($C2681="","",$C2681&amp;"|"&amp;$E2681&amp;"|"&amp;$M2681&amp;"|"&amp;TEXT($G2681,"yyyy-mm-dd")&amp;"|"&amp;LEFT($J2681,40))</f>
        <v/>
      </c>
      <c r="Q2681" s="11" t="str">
        <f aca="false">IF(P2681="","",IF(COUNTIF($P$2:$P$3000,P2681)&gt;1,"DUPLICATE","OK"))</f>
        <v/>
      </c>
      <c r="R2681" s="0" t="str">
        <f aca="false">IF($C2681="","",IFERROR(VLOOKUP(--$C2681,MM_Income!$Z$5:$AC$204,3,FALSE()),""))</f>
        <v/>
      </c>
    </row>
    <row r="2682" customFormat="false" ht="13.5" hidden="false" customHeight="false" outlineLevel="0" collapsed="false">
      <c r="N2682" s="1" t="str">
        <f aca="false">IF(C2682="","",IFERROR(VLOOKUP(C2682,Master_Mappings!$A$4:$E$85,3,FALSE()),"UNMAPPED"))</f>
        <v/>
      </c>
      <c r="P2682" s="1" t="str">
        <f aca="false">IF($C2682="","",$C2682&amp;"|"&amp;$E2682&amp;"|"&amp;$M2682&amp;"|"&amp;TEXT($G2682,"yyyy-mm-dd")&amp;"|"&amp;LEFT($J2682,40))</f>
        <v/>
      </c>
      <c r="Q2682" s="11" t="str">
        <f aca="false">IF(P2682="","",IF(COUNTIF($P$2:$P$3000,P2682)&gt;1,"DUPLICATE","OK"))</f>
        <v/>
      </c>
      <c r="R2682" s="0" t="str">
        <f aca="false">IF($C2682="","",IFERROR(VLOOKUP(--$C2682,MM_Income!$Z$5:$AC$204,3,FALSE()),""))</f>
        <v/>
      </c>
    </row>
    <row r="2683" customFormat="false" ht="13.5" hidden="false" customHeight="false" outlineLevel="0" collapsed="false">
      <c r="N2683" s="1" t="str">
        <f aca="false">IF(C2683="","",IFERROR(VLOOKUP(C2683,Master_Mappings!$A$4:$E$85,3,FALSE()),"UNMAPPED"))</f>
        <v/>
      </c>
      <c r="P2683" s="1" t="str">
        <f aca="false">IF($C2683="","",$C2683&amp;"|"&amp;$E2683&amp;"|"&amp;$M2683&amp;"|"&amp;TEXT($G2683,"yyyy-mm-dd")&amp;"|"&amp;LEFT($J2683,40))</f>
        <v/>
      </c>
      <c r="Q2683" s="11" t="str">
        <f aca="false">IF(P2683="","",IF(COUNTIF($P$2:$P$3000,P2683)&gt;1,"DUPLICATE","OK"))</f>
        <v/>
      </c>
      <c r="R2683" s="0" t="str">
        <f aca="false">IF($C2683="","",IFERROR(VLOOKUP(--$C2683,MM_Income!$Z$5:$AC$204,3,FALSE()),""))</f>
        <v/>
      </c>
    </row>
    <row r="2684" customFormat="false" ht="13.5" hidden="false" customHeight="false" outlineLevel="0" collapsed="false">
      <c r="N2684" s="1" t="str">
        <f aca="false">IF(C2684="","",IFERROR(VLOOKUP(C2684,Master_Mappings!$A$4:$E$85,3,FALSE()),"UNMAPPED"))</f>
        <v/>
      </c>
      <c r="P2684" s="1" t="str">
        <f aca="false">IF($C2684="","",$C2684&amp;"|"&amp;$E2684&amp;"|"&amp;$M2684&amp;"|"&amp;TEXT($G2684,"yyyy-mm-dd")&amp;"|"&amp;LEFT($J2684,40))</f>
        <v/>
      </c>
      <c r="Q2684" s="11" t="str">
        <f aca="false">IF(P2684="","",IF(COUNTIF($P$2:$P$3000,P2684)&gt;1,"DUPLICATE","OK"))</f>
        <v/>
      </c>
      <c r="R2684" s="0" t="str">
        <f aca="false">IF($C2684="","",IFERROR(VLOOKUP(--$C2684,MM_Income!$Z$5:$AC$204,3,FALSE()),""))</f>
        <v/>
      </c>
    </row>
    <row r="2685" customFormat="false" ht="13.5" hidden="false" customHeight="false" outlineLevel="0" collapsed="false">
      <c r="N2685" s="1" t="str">
        <f aca="false">IF(C2685="","",IFERROR(VLOOKUP(C2685,Master_Mappings!$A$4:$E$85,3,FALSE()),"UNMAPPED"))</f>
        <v/>
      </c>
      <c r="P2685" s="1" t="str">
        <f aca="false">IF($C2685="","",$C2685&amp;"|"&amp;$E2685&amp;"|"&amp;$M2685&amp;"|"&amp;TEXT($G2685,"yyyy-mm-dd")&amp;"|"&amp;LEFT($J2685,40))</f>
        <v/>
      </c>
      <c r="Q2685" s="11" t="str">
        <f aca="false">IF(P2685="","",IF(COUNTIF($P$2:$P$3000,P2685)&gt;1,"DUPLICATE","OK"))</f>
        <v/>
      </c>
      <c r="R2685" s="0" t="str">
        <f aca="false">IF($C2685="","",IFERROR(VLOOKUP(--$C2685,MM_Income!$Z$5:$AC$204,3,FALSE()),""))</f>
        <v/>
      </c>
    </row>
    <row r="2686" customFormat="false" ht="13.5" hidden="false" customHeight="false" outlineLevel="0" collapsed="false">
      <c r="N2686" s="1" t="str">
        <f aca="false">IF(C2686="","",IFERROR(VLOOKUP(C2686,Master_Mappings!$A$4:$E$85,3,FALSE()),"UNMAPPED"))</f>
        <v/>
      </c>
      <c r="P2686" s="1" t="str">
        <f aca="false">IF($C2686="","",$C2686&amp;"|"&amp;$E2686&amp;"|"&amp;$M2686&amp;"|"&amp;TEXT($G2686,"yyyy-mm-dd")&amp;"|"&amp;LEFT($J2686,40))</f>
        <v/>
      </c>
      <c r="Q2686" s="11" t="str">
        <f aca="false">IF(P2686="","",IF(COUNTIF($P$2:$P$3000,P2686)&gt;1,"DUPLICATE","OK"))</f>
        <v/>
      </c>
      <c r="R2686" s="0" t="str">
        <f aca="false">IF($C2686="","",IFERROR(VLOOKUP(--$C2686,MM_Income!$Z$5:$AC$204,3,FALSE()),""))</f>
        <v/>
      </c>
    </row>
    <row r="2687" customFormat="false" ht="13.5" hidden="false" customHeight="false" outlineLevel="0" collapsed="false">
      <c r="N2687" s="1" t="str">
        <f aca="false">IF(C2687="","",IFERROR(VLOOKUP(C2687,Master_Mappings!$A$4:$E$85,3,FALSE()),"UNMAPPED"))</f>
        <v/>
      </c>
      <c r="P2687" s="1" t="str">
        <f aca="false">IF($C2687="","",$C2687&amp;"|"&amp;$E2687&amp;"|"&amp;$M2687&amp;"|"&amp;TEXT($G2687,"yyyy-mm-dd")&amp;"|"&amp;LEFT($J2687,40))</f>
        <v/>
      </c>
      <c r="Q2687" s="11" t="str">
        <f aca="false">IF(P2687="","",IF(COUNTIF($P$2:$P$3000,P2687)&gt;1,"DUPLICATE","OK"))</f>
        <v/>
      </c>
      <c r="R2687" s="0" t="str">
        <f aca="false">IF($C2687="","",IFERROR(VLOOKUP(--$C2687,MM_Income!$Z$5:$AC$204,3,FALSE()),""))</f>
        <v/>
      </c>
    </row>
    <row r="2688" customFormat="false" ht="13.5" hidden="false" customHeight="false" outlineLevel="0" collapsed="false">
      <c r="N2688" s="1" t="str">
        <f aca="false">IF(C2688="","",IFERROR(VLOOKUP(C2688,Master_Mappings!$A$4:$E$85,3,FALSE()),"UNMAPPED"))</f>
        <v/>
      </c>
      <c r="P2688" s="1" t="str">
        <f aca="false">IF($C2688="","",$C2688&amp;"|"&amp;$E2688&amp;"|"&amp;$M2688&amp;"|"&amp;TEXT($G2688,"yyyy-mm-dd")&amp;"|"&amp;LEFT($J2688,40))</f>
        <v/>
      </c>
      <c r="Q2688" s="11" t="str">
        <f aca="false">IF(P2688="","",IF(COUNTIF($P$2:$P$3000,P2688)&gt;1,"DUPLICATE","OK"))</f>
        <v/>
      </c>
      <c r="R2688" s="0" t="str">
        <f aca="false">IF($C2688="","",IFERROR(VLOOKUP(--$C2688,MM_Income!$Z$5:$AC$204,3,FALSE()),""))</f>
        <v/>
      </c>
    </row>
    <row r="2689" customFormat="false" ht="13.5" hidden="false" customHeight="false" outlineLevel="0" collapsed="false">
      <c r="N2689" s="1" t="str">
        <f aca="false">IF(C2689="","",IFERROR(VLOOKUP(C2689,Master_Mappings!$A$4:$E$85,3,FALSE()),"UNMAPPED"))</f>
        <v/>
      </c>
      <c r="P2689" s="1" t="str">
        <f aca="false">IF($C2689="","",$C2689&amp;"|"&amp;$E2689&amp;"|"&amp;$M2689&amp;"|"&amp;TEXT($G2689,"yyyy-mm-dd")&amp;"|"&amp;LEFT($J2689,40))</f>
        <v/>
      </c>
      <c r="Q2689" s="11" t="str">
        <f aca="false">IF(P2689="","",IF(COUNTIF($P$2:$P$3000,P2689)&gt;1,"DUPLICATE","OK"))</f>
        <v/>
      </c>
      <c r="R2689" s="0" t="str">
        <f aca="false">IF($C2689="","",IFERROR(VLOOKUP(--$C2689,MM_Income!$Z$5:$AC$204,3,FALSE()),""))</f>
        <v/>
      </c>
    </row>
    <row r="2690" customFormat="false" ht="13.5" hidden="false" customHeight="false" outlineLevel="0" collapsed="false">
      <c r="N2690" s="1" t="str">
        <f aca="false">IF(C2690="","",IFERROR(VLOOKUP(C2690,Master_Mappings!$A$4:$E$85,3,FALSE()),"UNMAPPED"))</f>
        <v/>
      </c>
      <c r="P2690" s="1" t="str">
        <f aca="false">IF($C2690="","",$C2690&amp;"|"&amp;$E2690&amp;"|"&amp;$M2690&amp;"|"&amp;TEXT($G2690,"yyyy-mm-dd")&amp;"|"&amp;LEFT($J2690,40))</f>
        <v/>
      </c>
      <c r="Q2690" s="11" t="str">
        <f aca="false">IF(P2690="","",IF(COUNTIF($P$2:$P$3000,P2690)&gt;1,"DUPLICATE","OK"))</f>
        <v/>
      </c>
      <c r="R2690" s="0" t="str">
        <f aca="false">IF($C2690="","",IFERROR(VLOOKUP(--$C2690,MM_Income!$Z$5:$AC$204,3,FALSE()),""))</f>
        <v/>
      </c>
    </row>
    <row r="2691" customFormat="false" ht="13.5" hidden="false" customHeight="false" outlineLevel="0" collapsed="false">
      <c r="N2691" s="1" t="str">
        <f aca="false">IF(C2691="","",IFERROR(VLOOKUP(C2691,Master_Mappings!$A$4:$E$85,3,FALSE()),"UNMAPPED"))</f>
        <v/>
      </c>
      <c r="P2691" s="1" t="str">
        <f aca="false">IF($C2691="","",$C2691&amp;"|"&amp;$E2691&amp;"|"&amp;$M2691&amp;"|"&amp;TEXT($G2691,"yyyy-mm-dd")&amp;"|"&amp;LEFT($J2691,40))</f>
        <v/>
      </c>
      <c r="Q2691" s="11" t="str">
        <f aca="false">IF(P2691="","",IF(COUNTIF($P$2:$P$3000,P2691)&gt;1,"DUPLICATE","OK"))</f>
        <v/>
      </c>
      <c r="R2691" s="0" t="str">
        <f aca="false">IF($C2691="","",IFERROR(VLOOKUP(--$C2691,MM_Income!$Z$5:$AC$204,3,FALSE()),""))</f>
        <v/>
      </c>
    </row>
    <row r="2692" customFormat="false" ht="13.5" hidden="false" customHeight="false" outlineLevel="0" collapsed="false">
      <c r="N2692" s="1" t="str">
        <f aca="false">IF(C2692="","",IFERROR(VLOOKUP(C2692,Master_Mappings!$A$4:$E$85,3,FALSE()),"UNMAPPED"))</f>
        <v/>
      </c>
      <c r="P2692" s="1" t="str">
        <f aca="false">IF($C2692="","",$C2692&amp;"|"&amp;$E2692&amp;"|"&amp;$M2692&amp;"|"&amp;TEXT($G2692,"yyyy-mm-dd")&amp;"|"&amp;LEFT($J2692,40))</f>
        <v/>
      </c>
      <c r="Q2692" s="11" t="str">
        <f aca="false">IF(P2692="","",IF(COUNTIF($P$2:$P$3000,P2692)&gt;1,"DUPLICATE","OK"))</f>
        <v/>
      </c>
      <c r="R2692" s="0" t="str">
        <f aca="false">IF($C2692="","",IFERROR(VLOOKUP(--$C2692,MM_Income!$Z$5:$AC$204,3,FALSE()),""))</f>
        <v/>
      </c>
    </row>
    <row r="2693" customFormat="false" ht="13.5" hidden="false" customHeight="false" outlineLevel="0" collapsed="false">
      <c r="N2693" s="1" t="str">
        <f aca="false">IF(C2693="","",IFERROR(VLOOKUP(C2693,Master_Mappings!$A$4:$E$85,3,FALSE()),"UNMAPPED"))</f>
        <v/>
      </c>
      <c r="P2693" s="1" t="str">
        <f aca="false">IF($C2693="","",$C2693&amp;"|"&amp;$E2693&amp;"|"&amp;$M2693&amp;"|"&amp;TEXT($G2693,"yyyy-mm-dd")&amp;"|"&amp;LEFT($J2693,40))</f>
        <v/>
      </c>
      <c r="Q2693" s="11" t="str">
        <f aca="false">IF(P2693="","",IF(COUNTIF($P$2:$P$3000,P2693)&gt;1,"DUPLICATE","OK"))</f>
        <v/>
      </c>
      <c r="R2693" s="0" t="str">
        <f aca="false">IF($C2693="","",IFERROR(VLOOKUP(--$C2693,MM_Income!$Z$5:$AC$204,3,FALSE()),""))</f>
        <v/>
      </c>
    </row>
    <row r="2694" customFormat="false" ht="13.5" hidden="false" customHeight="false" outlineLevel="0" collapsed="false">
      <c r="N2694" s="1" t="str">
        <f aca="false">IF(C2694="","",IFERROR(VLOOKUP(C2694,Master_Mappings!$A$4:$E$85,3,FALSE()),"UNMAPPED"))</f>
        <v/>
      </c>
      <c r="P2694" s="1" t="str">
        <f aca="false">IF($C2694="","",$C2694&amp;"|"&amp;$E2694&amp;"|"&amp;$M2694&amp;"|"&amp;TEXT($G2694,"yyyy-mm-dd")&amp;"|"&amp;LEFT($J2694,40))</f>
        <v/>
      </c>
      <c r="Q2694" s="11" t="str">
        <f aca="false">IF(P2694="","",IF(COUNTIF($P$2:$P$3000,P2694)&gt;1,"DUPLICATE","OK"))</f>
        <v/>
      </c>
      <c r="R2694" s="0" t="str">
        <f aca="false">IF($C2694="","",IFERROR(VLOOKUP(--$C2694,MM_Income!$Z$5:$AC$204,3,FALSE()),""))</f>
        <v/>
      </c>
    </row>
    <row r="2695" customFormat="false" ht="13.5" hidden="false" customHeight="false" outlineLevel="0" collapsed="false">
      <c r="N2695" s="1" t="str">
        <f aca="false">IF(C2695="","",IFERROR(VLOOKUP(C2695,Master_Mappings!$A$4:$E$85,3,FALSE()),"UNMAPPED"))</f>
        <v/>
      </c>
      <c r="P2695" s="1" t="str">
        <f aca="false">IF($C2695="","",$C2695&amp;"|"&amp;$E2695&amp;"|"&amp;$M2695&amp;"|"&amp;TEXT($G2695,"yyyy-mm-dd")&amp;"|"&amp;LEFT($J2695,40))</f>
        <v/>
      </c>
      <c r="Q2695" s="11" t="str">
        <f aca="false">IF(P2695="","",IF(COUNTIF($P$2:$P$3000,P2695)&gt;1,"DUPLICATE","OK"))</f>
        <v/>
      </c>
      <c r="R2695" s="0" t="str">
        <f aca="false">IF($C2695="","",IFERROR(VLOOKUP(--$C2695,MM_Income!$Z$5:$AC$204,3,FALSE()),""))</f>
        <v/>
      </c>
    </row>
    <row r="2696" customFormat="false" ht="13.5" hidden="false" customHeight="false" outlineLevel="0" collapsed="false">
      <c r="N2696" s="1" t="str">
        <f aca="false">IF(C2696="","",IFERROR(VLOOKUP(C2696,Master_Mappings!$A$4:$E$85,3,FALSE()),"UNMAPPED"))</f>
        <v/>
      </c>
      <c r="P2696" s="1" t="str">
        <f aca="false">IF($C2696="","",$C2696&amp;"|"&amp;$E2696&amp;"|"&amp;$M2696&amp;"|"&amp;TEXT($G2696,"yyyy-mm-dd")&amp;"|"&amp;LEFT($J2696,40))</f>
        <v/>
      </c>
      <c r="Q2696" s="11" t="str">
        <f aca="false">IF(P2696="","",IF(COUNTIF($P$2:$P$3000,P2696)&gt;1,"DUPLICATE","OK"))</f>
        <v/>
      </c>
      <c r="R2696" s="0" t="str">
        <f aca="false">IF($C2696="","",IFERROR(VLOOKUP(--$C2696,MM_Income!$Z$5:$AC$204,3,FALSE()),""))</f>
        <v/>
      </c>
    </row>
    <row r="2697" customFormat="false" ht="13.5" hidden="false" customHeight="false" outlineLevel="0" collapsed="false">
      <c r="N2697" s="1" t="str">
        <f aca="false">IF(C2697="","",IFERROR(VLOOKUP(C2697,Master_Mappings!$A$4:$E$85,3,FALSE()),"UNMAPPED"))</f>
        <v/>
      </c>
      <c r="P2697" s="1" t="str">
        <f aca="false">IF($C2697="","",$C2697&amp;"|"&amp;$E2697&amp;"|"&amp;$M2697&amp;"|"&amp;TEXT($G2697,"yyyy-mm-dd")&amp;"|"&amp;LEFT($J2697,40))</f>
        <v/>
      </c>
      <c r="Q2697" s="11" t="str">
        <f aca="false">IF(P2697="","",IF(COUNTIF($P$2:$P$3000,P2697)&gt;1,"DUPLICATE","OK"))</f>
        <v/>
      </c>
      <c r="R2697" s="0" t="str">
        <f aca="false">IF($C2697="","",IFERROR(VLOOKUP(--$C2697,MM_Income!$Z$5:$AC$204,3,FALSE()),""))</f>
        <v/>
      </c>
    </row>
    <row r="2698" customFormat="false" ht="13.5" hidden="false" customHeight="false" outlineLevel="0" collapsed="false">
      <c r="N2698" s="1" t="str">
        <f aca="false">IF(C2698="","",IFERROR(VLOOKUP(C2698,Master_Mappings!$A$4:$E$85,3,FALSE()),"UNMAPPED"))</f>
        <v/>
      </c>
      <c r="P2698" s="1" t="str">
        <f aca="false">IF($C2698="","",$C2698&amp;"|"&amp;$E2698&amp;"|"&amp;$M2698&amp;"|"&amp;TEXT($G2698,"yyyy-mm-dd")&amp;"|"&amp;LEFT($J2698,40))</f>
        <v/>
      </c>
      <c r="Q2698" s="11" t="str">
        <f aca="false">IF(P2698="","",IF(COUNTIF($P$2:$P$3000,P2698)&gt;1,"DUPLICATE","OK"))</f>
        <v/>
      </c>
      <c r="R2698" s="0" t="str">
        <f aca="false">IF($C2698="","",IFERROR(VLOOKUP(--$C2698,MM_Income!$Z$5:$AC$204,3,FALSE()),""))</f>
        <v/>
      </c>
    </row>
    <row r="2699" customFormat="false" ht="13.5" hidden="false" customHeight="false" outlineLevel="0" collapsed="false">
      <c r="N2699" s="1" t="str">
        <f aca="false">IF(C2699="","",IFERROR(VLOOKUP(C2699,Master_Mappings!$A$4:$E$85,3,FALSE()),"UNMAPPED"))</f>
        <v/>
      </c>
      <c r="P2699" s="1" t="str">
        <f aca="false">IF($C2699="","",$C2699&amp;"|"&amp;$E2699&amp;"|"&amp;$M2699&amp;"|"&amp;TEXT($G2699,"yyyy-mm-dd")&amp;"|"&amp;LEFT($J2699,40))</f>
        <v/>
      </c>
      <c r="Q2699" s="11" t="str">
        <f aca="false">IF(P2699="","",IF(COUNTIF($P$2:$P$3000,P2699)&gt;1,"DUPLICATE","OK"))</f>
        <v/>
      </c>
      <c r="R2699" s="0" t="str">
        <f aca="false">IF($C2699="","",IFERROR(VLOOKUP(--$C2699,MM_Income!$Z$5:$AC$204,3,FALSE()),""))</f>
        <v/>
      </c>
    </row>
    <row r="2700" customFormat="false" ht="13.5" hidden="false" customHeight="false" outlineLevel="0" collapsed="false">
      <c r="N2700" s="1" t="str">
        <f aca="false">IF(C2700="","",IFERROR(VLOOKUP(C2700,Master_Mappings!$A$4:$E$85,3,FALSE()),"UNMAPPED"))</f>
        <v/>
      </c>
      <c r="P2700" s="1" t="str">
        <f aca="false">IF($C2700="","",$C2700&amp;"|"&amp;$E2700&amp;"|"&amp;$M2700&amp;"|"&amp;TEXT($G2700,"yyyy-mm-dd")&amp;"|"&amp;LEFT($J2700,40))</f>
        <v/>
      </c>
      <c r="Q2700" s="11" t="str">
        <f aca="false">IF(P2700="","",IF(COUNTIF($P$2:$P$3000,P2700)&gt;1,"DUPLICATE","OK"))</f>
        <v/>
      </c>
      <c r="R2700" s="0" t="str">
        <f aca="false">IF($C2700="","",IFERROR(VLOOKUP(--$C2700,MM_Income!$Z$5:$AC$204,3,FALSE()),""))</f>
        <v/>
      </c>
    </row>
    <row r="2701" customFormat="false" ht="13.5" hidden="false" customHeight="false" outlineLevel="0" collapsed="false">
      <c r="N2701" s="1" t="str">
        <f aca="false">IF(C2701="","",IFERROR(VLOOKUP(C2701,Master_Mappings!$A$4:$E$85,3,FALSE()),"UNMAPPED"))</f>
        <v/>
      </c>
      <c r="P2701" s="1" t="str">
        <f aca="false">IF($C2701="","",$C2701&amp;"|"&amp;$E2701&amp;"|"&amp;$M2701&amp;"|"&amp;TEXT($G2701,"yyyy-mm-dd")&amp;"|"&amp;LEFT($J2701,40))</f>
        <v/>
      </c>
      <c r="Q2701" s="11" t="str">
        <f aca="false">IF(P2701="","",IF(COUNTIF($P$2:$P$3000,P2701)&gt;1,"DUPLICATE","OK"))</f>
        <v/>
      </c>
      <c r="R2701" s="0" t="str">
        <f aca="false">IF($C2701="","",IFERROR(VLOOKUP(--$C2701,MM_Income!$Z$5:$AC$204,3,FALSE()),""))</f>
        <v/>
      </c>
    </row>
    <row r="2702" customFormat="false" ht="13.5" hidden="false" customHeight="false" outlineLevel="0" collapsed="false">
      <c r="N2702" s="1" t="str">
        <f aca="false">IF(C2702="","",IFERROR(VLOOKUP(C2702,Master_Mappings!$A$4:$E$85,3,FALSE()),"UNMAPPED"))</f>
        <v/>
      </c>
      <c r="P2702" s="1" t="str">
        <f aca="false">IF($C2702="","",$C2702&amp;"|"&amp;$E2702&amp;"|"&amp;$M2702&amp;"|"&amp;TEXT($G2702,"yyyy-mm-dd")&amp;"|"&amp;LEFT($J2702,40))</f>
        <v/>
      </c>
      <c r="Q2702" s="11" t="str">
        <f aca="false">IF(P2702="","",IF(COUNTIF($P$2:$P$3000,P2702)&gt;1,"DUPLICATE","OK"))</f>
        <v/>
      </c>
      <c r="R2702" s="0" t="str">
        <f aca="false">IF($C2702="","",IFERROR(VLOOKUP(--$C2702,MM_Income!$Z$5:$AC$204,3,FALSE()),""))</f>
        <v/>
      </c>
    </row>
    <row r="2703" customFormat="false" ht="13.5" hidden="false" customHeight="false" outlineLevel="0" collapsed="false">
      <c r="N2703" s="1" t="str">
        <f aca="false">IF(C2703="","",IFERROR(VLOOKUP(C2703,Master_Mappings!$A$4:$E$85,3,FALSE()),"UNMAPPED"))</f>
        <v/>
      </c>
      <c r="P2703" s="1" t="str">
        <f aca="false">IF($C2703="","",$C2703&amp;"|"&amp;$E2703&amp;"|"&amp;$M2703&amp;"|"&amp;TEXT($G2703,"yyyy-mm-dd")&amp;"|"&amp;LEFT($J2703,40))</f>
        <v/>
      </c>
      <c r="Q2703" s="11" t="str">
        <f aca="false">IF(P2703="","",IF(COUNTIF($P$2:$P$3000,P2703)&gt;1,"DUPLICATE","OK"))</f>
        <v/>
      </c>
      <c r="R2703" s="0" t="str">
        <f aca="false">IF($C2703="","",IFERROR(VLOOKUP(--$C2703,MM_Income!$Z$5:$AC$204,3,FALSE()),""))</f>
        <v/>
      </c>
    </row>
    <row r="2704" customFormat="false" ht="13.5" hidden="false" customHeight="false" outlineLevel="0" collapsed="false">
      <c r="N2704" s="1" t="str">
        <f aca="false">IF(C2704="","",IFERROR(VLOOKUP(C2704,Master_Mappings!$A$4:$E$85,3,FALSE()),"UNMAPPED"))</f>
        <v/>
      </c>
      <c r="P2704" s="1" t="str">
        <f aca="false">IF($C2704="","",$C2704&amp;"|"&amp;$E2704&amp;"|"&amp;$M2704&amp;"|"&amp;TEXT($G2704,"yyyy-mm-dd")&amp;"|"&amp;LEFT($J2704,40))</f>
        <v/>
      </c>
      <c r="Q2704" s="11" t="str">
        <f aca="false">IF(P2704="","",IF(COUNTIF($P$2:$P$3000,P2704)&gt;1,"DUPLICATE","OK"))</f>
        <v/>
      </c>
      <c r="R2704" s="0" t="str">
        <f aca="false">IF($C2704="","",IFERROR(VLOOKUP(--$C2704,MM_Income!$Z$5:$AC$204,3,FALSE()),""))</f>
        <v/>
      </c>
    </row>
    <row r="2705" customFormat="false" ht="13.5" hidden="false" customHeight="false" outlineLevel="0" collapsed="false">
      <c r="N2705" s="1" t="str">
        <f aca="false">IF(C2705="","",IFERROR(VLOOKUP(C2705,Master_Mappings!$A$4:$E$85,3,FALSE()),"UNMAPPED"))</f>
        <v/>
      </c>
      <c r="P2705" s="1" t="str">
        <f aca="false">IF($C2705="","",$C2705&amp;"|"&amp;$E2705&amp;"|"&amp;$M2705&amp;"|"&amp;TEXT($G2705,"yyyy-mm-dd")&amp;"|"&amp;LEFT($J2705,40))</f>
        <v/>
      </c>
      <c r="Q2705" s="11" t="str">
        <f aca="false">IF(P2705="","",IF(COUNTIF($P$2:$P$3000,P2705)&gt;1,"DUPLICATE","OK"))</f>
        <v/>
      </c>
      <c r="R2705" s="0" t="str">
        <f aca="false">IF($C2705="","",IFERROR(VLOOKUP(--$C2705,MM_Income!$Z$5:$AC$204,3,FALSE()),""))</f>
        <v/>
      </c>
    </row>
    <row r="2706" customFormat="false" ht="13.5" hidden="false" customHeight="false" outlineLevel="0" collapsed="false">
      <c r="N2706" s="1" t="str">
        <f aca="false">IF(C2706="","",IFERROR(VLOOKUP(C2706,Master_Mappings!$A$4:$E$85,3,FALSE()),"UNMAPPED"))</f>
        <v/>
      </c>
      <c r="P2706" s="1" t="str">
        <f aca="false">IF($C2706="","",$C2706&amp;"|"&amp;$E2706&amp;"|"&amp;$M2706&amp;"|"&amp;TEXT($G2706,"yyyy-mm-dd")&amp;"|"&amp;LEFT($J2706,40))</f>
        <v/>
      </c>
      <c r="Q2706" s="11" t="str">
        <f aca="false">IF(P2706="","",IF(COUNTIF($P$2:$P$3000,P2706)&gt;1,"DUPLICATE","OK"))</f>
        <v/>
      </c>
      <c r="R2706" s="0" t="str">
        <f aca="false">IF($C2706="","",IFERROR(VLOOKUP(--$C2706,MM_Income!$Z$5:$AC$204,3,FALSE()),""))</f>
        <v/>
      </c>
    </row>
    <row r="2707" customFormat="false" ht="13.5" hidden="false" customHeight="false" outlineLevel="0" collapsed="false">
      <c r="N2707" s="1" t="str">
        <f aca="false">IF(C2707="","",IFERROR(VLOOKUP(C2707,Master_Mappings!$A$4:$E$85,3,FALSE()),"UNMAPPED"))</f>
        <v/>
      </c>
      <c r="P2707" s="1" t="str">
        <f aca="false">IF($C2707="","",$C2707&amp;"|"&amp;$E2707&amp;"|"&amp;$M2707&amp;"|"&amp;TEXT($G2707,"yyyy-mm-dd")&amp;"|"&amp;LEFT($J2707,40))</f>
        <v/>
      </c>
      <c r="Q2707" s="11" t="str">
        <f aca="false">IF(P2707="","",IF(COUNTIF($P$2:$P$3000,P2707)&gt;1,"DUPLICATE","OK"))</f>
        <v/>
      </c>
      <c r="R2707" s="0" t="str">
        <f aca="false">IF($C2707="","",IFERROR(VLOOKUP(--$C2707,MM_Income!$Z$5:$AC$204,3,FALSE()),""))</f>
        <v/>
      </c>
    </row>
    <row r="2708" customFormat="false" ht="13.5" hidden="false" customHeight="false" outlineLevel="0" collapsed="false">
      <c r="N2708" s="1" t="str">
        <f aca="false">IF(C2708="","",IFERROR(VLOOKUP(C2708,Master_Mappings!$A$4:$E$85,3,FALSE()),"UNMAPPED"))</f>
        <v/>
      </c>
      <c r="P2708" s="1" t="str">
        <f aca="false">IF($C2708="","",$C2708&amp;"|"&amp;$E2708&amp;"|"&amp;$M2708&amp;"|"&amp;TEXT($G2708,"yyyy-mm-dd")&amp;"|"&amp;LEFT($J2708,40))</f>
        <v/>
      </c>
      <c r="Q2708" s="11" t="str">
        <f aca="false">IF(P2708="","",IF(COUNTIF($P$2:$P$3000,P2708)&gt;1,"DUPLICATE","OK"))</f>
        <v/>
      </c>
      <c r="R2708" s="0" t="str">
        <f aca="false">IF($C2708="","",IFERROR(VLOOKUP(--$C2708,MM_Income!$Z$5:$AC$204,3,FALSE()),""))</f>
        <v/>
      </c>
    </row>
    <row r="2709" customFormat="false" ht="13.5" hidden="false" customHeight="false" outlineLevel="0" collapsed="false">
      <c r="N2709" s="1" t="str">
        <f aca="false">IF(C2709="","",IFERROR(VLOOKUP(C2709,Master_Mappings!$A$4:$E$85,3,FALSE()),"UNMAPPED"))</f>
        <v/>
      </c>
      <c r="P2709" s="1" t="str">
        <f aca="false">IF($C2709="","",$C2709&amp;"|"&amp;$E2709&amp;"|"&amp;$M2709&amp;"|"&amp;TEXT($G2709,"yyyy-mm-dd")&amp;"|"&amp;LEFT($J2709,40))</f>
        <v/>
      </c>
      <c r="Q2709" s="11" t="str">
        <f aca="false">IF(P2709="","",IF(COUNTIF($P$2:$P$3000,P2709)&gt;1,"DUPLICATE","OK"))</f>
        <v/>
      </c>
      <c r="R2709" s="0" t="str">
        <f aca="false">IF($C2709="","",IFERROR(VLOOKUP(--$C2709,MM_Income!$Z$5:$AC$204,3,FALSE()),""))</f>
        <v/>
      </c>
    </row>
    <row r="2710" customFormat="false" ht="13.5" hidden="false" customHeight="false" outlineLevel="0" collapsed="false">
      <c r="N2710" s="1" t="str">
        <f aca="false">IF(C2710="","",IFERROR(VLOOKUP(C2710,Master_Mappings!$A$4:$E$85,3,FALSE()),"UNMAPPED"))</f>
        <v/>
      </c>
      <c r="P2710" s="1" t="str">
        <f aca="false">IF($C2710="","",$C2710&amp;"|"&amp;$E2710&amp;"|"&amp;$M2710&amp;"|"&amp;TEXT($G2710,"yyyy-mm-dd")&amp;"|"&amp;LEFT($J2710,40))</f>
        <v/>
      </c>
      <c r="Q2710" s="11" t="str">
        <f aca="false">IF(P2710="","",IF(COUNTIF($P$2:$P$3000,P2710)&gt;1,"DUPLICATE","OK"))</f>
        <v/>
      </c>
      <c r="R2710" s="0" t="str">
        <f aca="false">IF($C2710="","",IFERROR(VLOOKUP(--$C2710,MM_Income!$Z$5:$AC$204,3,FALSE()),""))</f>
        <v/>
      </c>
    </row>
    <row r="2711" customFormat="false" ht="13.5" hidden="false" customHeight="false" outlineLevel="0" collapsed="false">
      <c r="N2711" s="1" t="str">
        <f aca="false">IF(C2711="","",IFERROR(VLOOKUP(C2711,Master_Mappings!$A$4:$E$85,3,FALSE()),"UNMAPPED"))</f>
        <v/>
      </c>
      <c r="P2711" s="1" t="str">
        <f aca="false">IF($C2711="","",$C2711&amp;"|"&amp;$E2711&amp;"|"&amp;$M2711&amp;"|"&amp;TEXT($G2711,"yyyy-mm-dd")&amp;"|"&amp;LEFT($J2711,40))</f>
        <v/>
      </c>
      <c r="Q2711" s="11" t="str">
        <f aca="false">IF(P2711="","",IF(COUNTIF($P$2:$P$3000,P2711)&gt;1,"DUPLICATE","OK"))</f>
        <v/>
      </c>
      <c r="R2711" s="0" t="str">
        <f aca="false">IF($C2711="","",IFERROR(VLOOKUP(--$C2711,MM_Income!$Z$5:$AC$204,3,FALSE()),""))</f>
        <v/>
      </c>
    </row>
    <row r="2712" customFormat="false" ht="13.5" hidden="false" customHeight="false" outlineLevel="0" collapsed="false">
      <c r="N2712" s="1" t="str">
        <f aca="false">IF(C2712="","",IFERROR(VLOOKUP(C2712,Master_Mappings!$A$4:$E$85,3,FALSE()),"UNMAPPED"))</f>
        <v/>
      </c>
      <c r="P2712" s="1" t="str">
        <f aca="false">IF($C2712="","",$C2712&amp;"|"&amp;$E2712&amp;"|"&amp;$M2712&amp;"|"&amp;TEXT($G2712,"yyyy-mm-dd")&amp;"|"&amp;LEFT($J2712,40))</f>
        <v/>
      </c>
      <c r="Q2712" s="11" t="str">
        <f aca="false">IF(P2712="","",IF(COUNTIF($P$2:$P$3000,P2712)&gt;1,"DUPLICATE","OK"))</f>
        <v/>
      </c>
      <c r="R2712" s="0" t="str">
        <f aca="false">IF($C2712="","",IFERROR(VLOOKUP(--$C2712,MM_Income!$Z$5:$AC$204,3,FALSE()),""))</f>
        <v/>
      </c>
    </row>
    <row r="2713" customFormat="false" ht="13.5" hidden="false" customHeight="false" outlineLevel="0" collapsed="false">
      <c r="N2713" s="1" t="str">
        <f aca="false">IF(C2713="","",IFERROR(VLOOKUP(C2713,Master_Mappings!$A$4:$E$85,3,FALSE()),"UNMAPPED"))</f>
        <v/>
      </c>
      <c r="P2713" s="1" t="str">
        <f aca="false">IF($C2713="","",$C2713&amp;"|"&amp;$E2713&amp;"|"&amp;$M2713&amp;"|"&amp;TEXT($G2713,"yyyy-mm-dd")&amp;"|"&amp;LEFT($J2713,40))</f>
        <v/>
      </c>
      <c r="Q2713" s="11" t="str">
        <f aca="false">IF(P2713="","",IF(COUNTIF($P$2:$P$3000,P2713)&gt;1,"DUPLICATE","OK"))</f>
        <v/>
      </c>
      <c r="R2713" s="0" t="str">
        <f aca="false">IF($C2713="","",IFERROR(VLOOKUP(--$C2713,MM_Income!$Z$5:$AC$204,3,FALSE()),""))</f>
        <v/>
      </c>
    </row>
    <row r="2714" customFormat="false" ht="13.5" hidden="false" customHeight="false" outlineLevel="0" collapsed="false">
      <c r="N2714" s="1" t="str">
        <f aca="false">IF(C2714="","",IFERROR(VLOOKUP(C2714,Master_Mappings!$A$4:$E$85,3,FALSE()),"UNMAPPED"))</f>
        <v/>
      </c>
      <c r="P2714" s="1" t="str">
        <f aca="false">IF($C2714="","",$C2714&amp;"|"&amp;$E2714&amp;"|"&amp;$M2714&amp;"|"&amp;TEXT($G2714,"yyyy-mm-dd")&amp;"|"&amp;LEFT($J2714,40))</f>
        <v/>
      </c>
      <c r="Q2714" s="11" t="str">
        <f aca="false">IF(P2714="","",IF(COUNTIF($P$2:$P$3000,P2714)&gt;1,"DUPLICATE","OK"))</f>
        <v/>
      </c>
      <c r="R2714" s="0" t="str">
        <f aca="false">IF($C2714="","",IFERROR(VLOOKUP(--$C2714,MM_Income!$Z$5:$AC$204,3,FALSE()),""))</f>
        <v/>
      </c>
    </row>
    <row r="2715" customFormat="false" ht="13.5" hidden="false" customHeight="false" outlineLevel="0" collapsed="false">
      <c r="N2715" s="1" t="str">
        <f aca="false">IF(C2715="","",IFERROR(VLOOKUP(C2715,Master_Mappings!$A$4:$E$85,3,FALSE()),"UNMAPPED"))</f>
        <v/>
      </c>
      <c r="P2715" s="1" t="str">
        <f aca="false">IF($C2715="","",$C2715&amp;"|"&amp;$E2715&amp;"|"&amp;$M2715&amp;"|"&amp;TEXT($G2715,"yyyy-mm-dd")&amp;"|"&amp;LEFT($J2715,40))</f>
        <v/>
      </c>
      <c r="Q2715" s="11" t="str">
        <f aca="false">IF(P2715="","",IF(COUNTIF($P$2:$P$3000,P2715)&gt;1,"DUPLICATE","OK"))</f>
        <v/>
      </c>
      <c r="R2715" s="0" t="str">
        <f aca="false">IF($C2715="","",IFERROR(VLOOKUP(--$C2715,MM_Income!$Z$5:$AC$204,3,FALSE()),""))</f>
        <v/>
      </c>
    </row>
    <row r="2716" customFormat="false" ht="13.5" hidden="false" customHeight="false" outlineLevel="0" collapsed="false">
      <c r="N2716" s="1" t="str">
        <f aca="false">IF(C2716="","",IFERROR(VLOOKUP(C2716,Master_Mappings!$A$4:$E$85,3,FALSE()),"UNMAPPED"))</f>
        <v/>
      </c>
      <c r="P2716" s="1" t="str">
        <f aca="false">IF($C2716="","",$C2716&amp;"|"&amp;$E2716&amp;"|"&amp;$M2716&amp;"|"&amp;TEXT($G2716,"yyyy-mm-dd")&amp;"|"&amp;LEFT($J2716,40))</f>
        <v/>
      </c>
      <c r="Q2716" s="11" t="str">
        <f aca="false">IF(P2716="","",IF(COUNTIF($P$2:$P$3000,P2716)&gt;1,"DUPLICATE","OK"))</f>
        <v/>
      </c>
      <c r="R2716" s="0" t="str">
        <f aca="false">IF($C2716="","",IFERROR(VLOOKUP(--$C2716,MM_Income!$Z$5:$AC$204,3,FALSE()),""))</f>
        <v/>
      </c>
    </row>
    <row r="2717" customFormat="false" ht="13.5" hidden="false" customHeight="false" outlineLevel="0" collapsed="false">
      <c r="N2717" s="1" t="str">
        <f aca="false">IF(C2717="","",IFERROR(VLOOKUP(C2717,Master_Mappings!$A$4:$E$85,3,FALSE()),"UNMAPPED"))</f>
        <v/>
      </c>
      <c r="P2717" s="1" t="str">
        <f aca="false">IF($C2717="","",$C2717&amp;"|"&amp;$E2717&amp;"|"&amp;$M2717&amp;"|"&amp;TEXT($G2717,"yyyy-mm-dd")&amp;"|"&amp;LEFT($J2717,40))</f>
        <v/>
      </c>
      <c r="Q2717" s="11" t="str">
        <f aca="false">IF(P2717="","",IF(COUNTIF($P$2:$P$3000,P2717)&gt;1,"DUPLICATE","OK"))</f>
        <v/>
      </c>
      <c r="R2717" s="0" t="str">
        <f aca="false">IF($C2717="","",IFERROR(VLOOKUP(--$C2717,MM_Income!$Z$5:$AC$204,3,FALSE()),""))</f>
        <v/>
      </c>
    </row>
    <row r="2718" customFormat="false" ht="13.5" hidden="false" customHeight="false" outlineLevel="0" collapsed="false">
      <c r="N2718" s="1" t="str">
        <f aca="false">IF(C2718="","",IFERROR(VLOOKUP(C2718,Master_Mappings!$A$4:$E$85,3,FALSE()),"UNMAPPED"))</f>
        <v/>
      </c>
      <c r="P2718" s="1" t="str">
        <f aca="false">IF($C2718="","",$C2718&amp;"|"&amp;$E2718&amp;"|"&amp;$M2718&amp;"|"&amp;TEXT($G2718,"yyyy-mm-dd")&amp;"|"&amp;LEFT($J2718,40))</f>
        <v/>
      </c>
      <c r="Q2718" s="11" t="str">
        <f aca="false">IF(P2718="","",IF(COUNTIF($P$2:$P$3000,P2718)&gt;1,"DUPLICATE","OK"))</f>
        <v/>
      </c>
      <c r="R2718" s="0" t="str">
        <f aca="false">IF($C2718="","",IFERROR(VLOOKUP(--$C2718,MM_Income!$Z$5:$AC$204,3,FALSE()),""))</f>
        <v/>
      </c>
    </row>
    <row r="2719" customFormat="false" ht="13.5" hidden="false" customHeight="false" outlineLevel="0" collapsed="false">
      <c r="N2719" s="1" t="str">
        <f aca="false">IF(C2719="","",IFERROR(VLOOKUP(C2719,Master_Mappings!$A$4:$E$85,3,FALSE()),"UNMAPPED"))</f>
        <v/>
      </c>
      <c r="P2719" s="1" t="str">
        <f aca="false">IF($C2719="","",$C2719&amp;"|"&amp;$E2719&amp;"|"&amp;$M2719&amp;"|"&amp;TEXT($G2719,"yyyy-mm-dd")&amp;"|"&amp;LEFT($J2719,40))</f>
        <v/>
      </c>
      <c r="Q2719" s="11" t="str">
        <f aca="false">IF(P2719="","",IF(COUNTIF($P$2:$P$3000,P2719)&gt;1,"DUPLICATE","OK"))</f>
        <v/>
      </c>
      <c r="R2719" s="0" t="str">
        <f aca="false">IF($C2719="","",IFERROR(VLOOKUP(--$C2719,MM_Income!$Z$5:$AC$204,3,FALSE()),""))</f>
        <v/>
      </c>
    </row>
    <row r="2720" customFormat="false" ht="13.5" hidden="false" customHeight="false" outlineLevel="0" collapsed="false">
      <c r="N2720" s="1" t="str">
        <f aca="false">IF(C2720="","",IFERROR(VLOOKUP(C2720,Master_Mappings!$A$4:$E$85,3,FALSE()),"UNMAPPED"))</f>
        <v/>
      </c>
      <c r="P2720" s="1" t="str">
        <f aca="false">IF($C2720="","",$C2720&amp;"|"&amp;$E2720&amp;"|"&amp;$M2720&amp;"|"&amp;TEXT($G2720,"yyyy-mm-dd")&amp;"|"&amp;LEFT($J2720,40))</f>
        <v/>
      </c>
      <c r="Q2720" s="11" t="str">
        <f aca="false">IF(P2720="","",IF(COUNTIF($P$2:$P$3000,P2720)&gt;1,"DUPLICATE","OK"))</f>
        <v/>
      </c>
      <c r="R2720" s="0" t="str">
        <f aca="false">IF($C2720="","",IFERROR(VLOOKUP(--$C2720,MM_Income!$Z$5:$AC$204,3,FALSE()),""))</f>
        <v/>
      </c>
    </row>
    <row r="2721" customFormat="false" ht="13.5" hidden="false" customHeight="false" outlineLevel="0" collapsed="false">
      <c r="N2721" s="1" t="str">
        <f aca="false">IF(C2721="","",IFERROR(VLOOKUP(C2721,Master_Mappings!$A$4:$E$85,3,FALSE()),"UNMAPPED"))</f>
        <v/>
      </c>
      <c r="P2721" s="1" t="str">
        <f aca="false">IF($C2721="","",$C2721&amp;"|"&amp;$E2721&amp;"|"&amp;$M2721&amp;"|"&amp;TEXT($G2721,"yyyy-mm-dd")&amp;"|"&amp;LEFT($J2721,40))</f>
        <v/>
      </c>
      <c r="Q2721" s="11" t="str">
        <f aca="false">IF(P2721="","",IF(COUNTIF($P$2:$P$3000,P2721)&gt;1,"DUPLICATE","OK"))</f>
        <v/>
      </c>
      <c r="R2721" s="0" t="str">
        <f aca="false">IF($C2721="","",IFERROR(VLOOKUP(--$C2721,MM_Income!$Z$5:$AC$204,3,FALSE()),""))</f>
        <v/>
      </c>
    </row>
    <row r="2722" customFormat="false" ht="13.5" hidden="false" customHeight="false" outlineLevel="0" collapsed="false">
      <c r="N2722" s="1" t="str">
        <f aca="false">IF(C2722="","",IFERROR(VLOOKUP(C2722,Master_Mappings!$A$4:$E$85,3,FALSE()),"UNMAPPED"))</f>
        <v/>
      </c>
      <c r="P2722" s="1" t="str">
        <f aca="false">IF($C2722="","",$C2722&amp;"|"&amp;$E2722&amp;"|"&amp;$M2722&amp;"|"&amp;TEXT($G2722,"yyyy-mm-dd")&amp;"|"&amp;LEFT($J2722,40))</f>
        <v/>
      </c>
      <c r="Q2722" s="11" t="str">
        <f aca="false">IF(P2722="","",IF(COUNTIF($P$2:$P$3000,P2722)&gt;1,"DUPLICATE","OK"))</f>
        <v/>
      </c>
      <c r="R2722" s="0" t="str">
        <f aca="false">IF($C2722="","",IFERROR(VLOOKUP(--$C2722,MM_Income!$Z$5:$AC$204,3,FALSE()),""))</f>
        <v/>
      </c>
    </row>
    <row r="2723" customFormat="false" ht="13.5" hidden="false" customHeight="false" outlineLevel="0" collapsed="false">
      <c r="N2723" s="1" t="str">
        <f aca="false">IF(C2723="","",IFERROR(VLOOKUP(C2723,Master_Mappings!$A$4:$E$85,3,FALSE()),"UNMAPPED"))</f>
        <v/>
      </c>
      <c r="P2723" s="1" t="str">
        <f aca="false">IF($C2723="","",$C2723&amp;"|"&amp;$E2723&amp;"|"&amp;$M2723&amp;"|"&amp;TEXT($G2723,"yyyy-mm-dd")&amp;"|"&amp;LEFT($J2723,40))</f>
        <v/>
      </c>
      <c r="Q2723" s="11" t="str">
        <f aca="false">IF(P2723="","",IF(COUNTIF($P$2:$P$3000,P2723)&gt;1,"DUPLICATE","OK"))</f>
        <v/>
      </c>
      <c r="R2723" s="0" t="str">
        <f aca="false">IF($C2723="","",IFERROR(VLOOKUP(--$C2723,MM_Income!$Z$5:$AC$204,3,FALSE()),""))</f>
        <v/>
      </c>
    </row>
    <row r="2724" customFormat="false" ht="13.5" hidden="false" customHeight="false" outlineLevel="0" collapsed="false">
      <c r="N2724" s="1" t="str">
        <f aca="false">IF(C2724="","",IFERROR(VLOOKUP(C2724,Master_Mappings!$A$4:$E$85,3,FALSE()),"UNMAPPED"))</f>
        <v/>
      </c>
      <c r="P2724" s="1" t="str">
        <f aca="false">IF($C2724="","",$C2724&amp;"|"&amp;$E2724&amp;"|"&amp;$M2724&amp;"|"&amp;TEXT($G2724,"yyyy-mm-dd")&amp;"|"&amp;LEFT($J2724,40))</f>
        <v/>
      </c>
      <c r="Q2724" s="11" t="str">
        <f aca="false">IF(P2724="","",IF(COUNTIF($P$2:$P$3000,P2724)&gt;1,"DUPLICATE","OK"))</f>
        <v/>
      </c>
      <c r="R2724" s="0" t="str">
        <f aca="false">IF($C2724="","",IFERROR(VLOOKUP(--$C2724,MM_Income!$Z$5:$AC$204,3,FALSE()),""))</f>
        <v/>
      </c>
    </row>
    <row r="2725" customFormat="false" ht="13.5" hidden="false" customHeight="false" outlineLevel="0" collapsed="false">
      <c r="N2725" s="1" t="str">
        <f aca="false">IF(C2725="","",IFERROR(VLOOKUP(C2725,Master_Mappings!$A$4:$E$85,3,FALSE()),"UNMAPPED"))</f>
        <v/>
      </c>
      <c r="P2725" s="1" t="str">
        <f aca="false">IF($C2725="","",$C2725&amp;"|"&amp;$E2725&amp;"|"&amp;$M2725&amp;"|"&amp;TEXT($G2725,"yyyy-mm-dd")&amp;"|"&amp;LEFT($J2725,40))</f>
        <v/>
      </c>
      <c r="Q2725" s="11" t="str">
        <f aca="false">IF(P2725="","",IF(COUNTIF($P$2:$P$3000,P2725)&gt;1,"DUPLICATE","OK"))</f>
        <v/>
      </c>
      <c r="R2725" s="0" t="str">
        <f aca="false">IF($C2725="","",IFERROR(VLOOKUP(--$C2725,MM_Income!$Z$5:$AC$204,3,FALSE()),""))</f>
        <v/>
      </c>
    </row>
    <row r="2726" customFormat="false" ht="13.5" hidden="false" customHeight="false" outlineLevel="0" collapsed="false">
      <c r="N2726" s="1" t="str">
        <f aca="false">IF(C2726="","",IFERROR(VLOOKUP(C2726,Master_Mappings!$A$4:$E$85,3,FALSE()),"UNMAPPED"))</f>
        <v/>
      </c>
      <c r="P2726" s="1" t="str">
        <f aca="false">IF($C2726="","",$C2726&amp;"|"&amp;$E2726&amp;"|"&amp;$M2726&amp;"|"&amp;TEXT($G2726,"yyyy-mm-dd")&amp;"|"&amp;LEFT($J2726,40))</f>
        <v/>
      </c>
      <c r="Q2726" s="11" t="str">
        <f aca="false">IF(P2726="","",IF(COUNTIF($P$2:$P$3000,P2726)&gt;1,"DUPLICATE","OK"))</f>
        <v/>
      </c>
      <c r="R2726" s="0" t="str">
        <f aca="false">IF($C2726="","",IFERROR(VLOOKUP(--$C2726,MM_Income!$Z$5:$AC$204,3,FALSE()),""))</f>
        <v/>
      </c>
    </row>
    <row r="2727" customFormat="false" ht="13.5" hidden="false" customHeight="false" outlineLevel="0" collapsed="false">
      <c r="N2727" s="1" t="str">
        <f aca="false">IF(C2727="","",IFERROR(VLOOKUP(C2727,Master_Mappings!$A$4:$E$85,3,FALSE()),"UNMAPPED"))</f>
        <v/>
      </c>
      <c r="P2727" s="1" t="str">
        <f aca="false">IF($C2727="","",$C2727&amp;"|"&amp;$E2727&amp;"|"&amp;$M2727&amp;"|"&amp;TEXT($G2727,"yyyy-mm-dd")&amp;"|"&amp;LEFT($J2727,40))</f>
        <v/>
      </c>
      <c r="Q2727" s="11" t="str">
        <f aca="false">IF(P2727="","",IF(COUNTIF($P$2:$P$3000,P2727)&gt;1,"DUPLICATE","OK"))</f>
        <v/>
      </c>
      <c r="R2727" s="0" t="str">
        <f aca="false">IF($C2727="","",IFERROR(VLOOKUP(--$C2727,MM_Income!$Z$5:$AC$204,3,FALSE()),""))</f>
        <v/>
      </c>
    </row>
    <row r="2728" customFormat="false" ht="13.5" hidden="false" customHeight="false" outlineLevel="0" collapsed="false">
      <c r="N2728" s="1" t="str">
        <f aca="false">IF(C2728="","",IFERROR(VLOOKUP(C2728,Master_Mappings!$A$4:$E$85,3,FALSE()),"UNMAPPED"))</f>
        <v/>
      </c>
      <c r="P2728" s="1" t="str">
        <f aca="false">IF($C2728="","",$C2728&amp;"|"&amp;$E2728&amp;"|"&amp;$M2728&amp;"|"&amp;TEXT($G2728,"yyyy-mm-dd")&amp;"|"&amp;LEFT($J2728,40))</f>
        <v/>
      </c>
      <c r="Q2728" s="11" t="str">
        <f aca="false">IF(P2728="","",IF(COUNTIF($P$2:$P$3000,P2728)&gt;1,"DUPLICATE","OK"))</f>
        <v/>
      </c>
      <c r="R2728" s="0" t="str">
        <f aca="false">IF($C2728="","",IFERROR(VLOOKUP(--$C2728,MM_Income!$Z$5:$AC$204,3,FALSE()),""))</f>
        <v/>
      </c>
    </row>
    <row r="2729" customFormat="false" ht="13.5" hidden="false" customHeight="false" outlineLevel="0" collapsed="false">
      <c r="N2729" s="1" t="str">
        <f aca="false">IF(C2729="","",IFERROR(VLOOKUP(C2729,Master_Mappings!$A$4:$E$85,3,FALSE()),"UNMAPPED"))</f>
        <v/>
      </c>
      <c r="P2729" s="1" t="str">
        <f aca="false">IF($C2729="","",$C2729&amp;"|"&amp;$E2729&amp;"|"&amp;$M2729&amp;"|"&amp;TEXT($G2729,"yyyy-mm-dd")&amp;"|"&amp;LEFT($J2729,40))</f>
        <v/>
      </c>
      <c r="Q2729" s="11" t="str">
        <f aca="false">IF(P2729="","",IF(COUNTIF($P$2:$P$3000,P2729)&gt;1,"DUPLICATE","OK"))</f>
        <v/>
      </c>
      <c r="R2729" s="0" t="str">
        <f aca="false">IF($C2729="","",IFERROR(VLOOKUP(--$C2729,MM_Income!$Z$5:$AC$204,3,FALSE()),""))</f>
        <v/>
      </c>
    </row>
    <row r="2730" customFormat="false" ht="13.5" hidden="false" customHeight="false" outlineLevel="0" collapsed="false">
      <c r="N2730" s="1" t="str">
        <f aca="false">IF(C2730="","",IFERROR(VLOOKUP(C2730,Master_Mappings!$A$4:$E$85,3,FALSE()),"UNMAPPED"))</f>
        <v/>
      </c>
      <c r="P2730" s="1" t="str">
        <f aca="false">IF($C2730="","",$C2730&amp;"|"&amp;$E2730&amp;"|"&amp;$M2730&amp;"|"&amp;TEXT($G2730,"yyyy-mm-dd")&amp;"|"&amp;LEFT($J2730,40))</f>
        <v/>
      </c>
      <c r="Q2730" s="11" t="str">
        <f aca="false">IF(P2730="","",IF(COUNTIF($P$2:$P$3000,P2730)&gt;1,"DUPLICATE","OK"))</f>
        <v/>
      </c>
      <c r="R2730" s="0" t="str">
        <f aca="false">IF($C2730="","",IFERROR(VLOOKUP(--$C2730,MM_Income!$Z$5:$AC$204,3,FALSE()),""))</f>
        <v/>
      </c>
    </row>
    <row r="2731" customFormat="false" ht="13.5" hidden="false" customHeight="false" outlineLevel="0" collapsed="false">
      <c r="N2731" s="1" t="str">
        <f aca="false">IF(C2731="","",IFERROR(VLOOKUP(C2731,Master_Mappings!$A$4:$E$85,3,FALSE()),"UNMAPPED"))</f>
        <v/>
      </c>
      <c r="P2731" s="1" t="str">
        <f aca="false">IF($C2731="","",$C2731&amp;"|"&amp;$E2731&amp;"|"&amp;$M2731&amp;"|"&amp;TEXT($G2731,"yyyy-mm-dd")&amp;"|"&amp;LEFT($J2731,40))</f>
        <v/>
      </c>
      <c r="Q2731" s="11" t="str">
        <f aca="false">IF(P2731="","",IF(COUNTIF($P$2:$P$3000,P2731)&gt;1,"DUPLICATE","OK"))</f>
        <v/>
      </c>
      <c r="R2731" s="0" t="str">
        <f aca="false">IF($C2731="","",IFERROR(VLOOKUP(--$C2731,MM_Income!$Z$5:$AC$204,3,FALSE()),""))</f>
        <v/>
      </c>
    </row>
    <row r="2732" customFormat="false" ht="13.5" hidden="false" customHeight="false" outlineLevel="0" collapsed="false">
      <c r="N2732" s="1" t="str">
        <f aca="false">IF(C2732="","",IFERROR(VLOOKUP(C2732,Master_Mappings!$A$4:$E$85,3,FALSE()),"UNMAPPED"))</f>
        <v/>
      </c>
      <c r="P2732" s="1" t="str">
        <f aca="false">IF($C2732="","",$C2732&amp;"|"&amp;$E2732&amp;"|"&amp;$M2732&amp;"|"&amp;TEXT($G2732,"yyyy-mm-dd")&amp;"|"&amp;LEFT($J2732,40))</f>
        <v/>
      </c>
      <c r="Q2732" s="11" t="str">
        <f aca="false">IF(P2732="","",IF(COUNTIF($P$2:$P$3000,P2732)&gt;1,"DUPLICATE","OK"))</f>
        <v/>
      </c>
      <c r="R2732" s="0" t="str">
        <f aca="false">IF($C2732="","",IFERROR(VLOOKUP(--$C2732,MM_Income!$Z$5:$AC$204,3,FALSE()),""))</f>
        <v/>
      </c>
    </row>
    <row r="2733" customFormat="false" ht="13.5" hidden="false" customHeight="false" outlineLevel="0" collapsed="false">
      <c r="N2733" s="1" t="str">
        <f aca="false">IF(C2733="","",IFERROR(VLOOKUP(C2733,Master_Mappings!$A$4:$E$85,3,FALSE()),"UNMAPPED"))</f>
        <v/>
      </c>
      <c r="P2733" s="1" t="str">
        <f aca="false">IF($C2733="","",$C2733&amp;"|"&amp;$E2733&amp;"|"&amp;$M2733&amp;"|"&amp;TEXT($G2733,"yyyy-mm-dd")&amp;"|"&amp;LEFT($J2733,40))</f>
        <v/>
      </c>
      <c r="Q2733" s="11" t="str">
        <f aca="false">IF(P2733="","",IF(COUNTIF($P$2:$P$3000,P2733)&gt;1,"DUPLICATE","OK"))</f>
        <v/>
      </c>
      <c r="R2733" s="0" t="str">
        <f aca="false">IF($C2733="","",IFERROR(VLOOKUP(--$C2733,MM_Income!$Z$5:$AC$204,3,FALSE()),""))</f>
        <v/>
      </c>
    </row>
    <row r="2734" customFormat="false" ht="13.5" hidden="false" customHeight="false" outlineLevel="0" collapsed="false">
      <c r="N2734" s="1" t="str">
        <f aca="false">IF(C2734="","",IFERROR(VLOOKUP(C2734,Master_Mappings!$A$4:$E$85,3,FALSE()),"UNMAPPED"))</f>
        <v/>
      </c>
      <c r="P2734" s="1" t="str">
        <f aca="false">IF($C2734="","",$C2734&amp;"|"&amp;$E2734&amp;"|"&amp;$M2734&amp;"|"&amp;TEXT($G2734,"yyyy-mm-dd")&amp;"|"&amp;LEFT($J2734,40))</f>
        <v/>
      </c>
      <c r="Q2734" s="11" t="str">
        <f aca="false">IF(P2734="","",IF(COUNTIF($P$2:$P$3000,P2734)&gt;1,"DUPLICATE","OK"))</f>
        <v/>
      </c>
      <c r="R2734" s="0" t="str">
        <f aca="false">IF($C2734="","",IFERROR(VLOOKUP(--$C2734,MM_Income!$Z$5:$AC$204,3,FALSE()),""))</f>
        <v/>
      </c>
    </row>
    <row r="2735" customFormat="false" ht="13.5" hidden="false" customHeight="false" outlineLevel="0" collapsed="false">
      <c r="N2735" s="1" t="str">
        <f aca="false">IF(C2735="","",IFERROR(VLOOKUP(C2735,Master_Mappings!$A$4:$E$85,3,FALSE()),"UNMAPPED"))</f>
        <v/>
      </c>
      <c r="P2735" s="1" t="str">
        <f aca="false">IF($C2735="","",$C2735&amp;"|"&amp;$E2735&amp;"|"&amp;$M2735&amp;"|"&amp;TEXT($G2735,"yyyy-mm-dd")&amp;"|"&amp;LEFT($J2735,40))</f>
        <v/>
      </c>
      <c r="Q2735" s="11" t="str">
        <f aca="false">IF(P2735="","",IF(COUNTIF($P$2:$P$3000,P2735)&gt;1,"DUPLICATE","OK"))</f>
        <v/>
      </c>
      <c r="R2735" s="0" t="str">
        <f aca="false">IF($C2735="","",IFERROR(VLOOKUP(--$C2735,MM_Income!$Z$5:$AC$204,3,FALSE()),""))</f>
        <v/>
      </c>
    </row>
    <row r="2736" customFormat="false" ht="13.5" hidden="false" customHeight="false" outlineLevel="0" collapsed="false">
      <c r="N2736" s="1" t="str">
        <f aca="false">IF(C2736="","",IFERROR(VLOOKUP(C2736,Master_Mappings!$A$4:$E$85,3,FALSE()),"UNMAPPED"))</f>
        <v/>
      </c>
      <c r="P2736" s="1" t="str">
        <f aca="false">IF($C2736="","",$C2736&amp;"|"&amp;$E2736&amp;"|"&amp;$M2736&amp;"|"&amp;TEXT($G2736,"yyyy-mm-dd")&amp;"|"&amp;LEFT($J2736,40))</f>
        <v/>
      </c>
      <c r="Q2736" s="11" t="str">
        <f aca="false">IF(P2736="","",IF(COUNTIF($P$2:$P$3000,P2736)&gt;1,"DUPLICATE","OK"))</f>
        <v/>
      </c>
      <c r="R2736" s="0" t="str">
        <f aca="false">IF($C2736="","",IFERROR(VLOOKUP(--$C2736,MM_Income!$Z$5:$AC$204,3,FALSE()),""))</f>
        <v/>
      </c>
    </row>
    <row r="2737" customFormat="false" ht="13.5" hidden="false" customHeight="false" outlineLevel="0" collapsed="false">
      <c r="N2737" s="1" t="str">
        <f aca="false">IF(C2737="","",IFERROR(VLOOKUP(C2737,Master_Mappings!$A$4:$E$85,3,FALSE()),"UNMAPPED"))</f>
        <v/>
      </c>
      <c r="P2737" s="1" t="str">
        <f aca="false">IF($C2737="","",$C2737&amp;"|"&amp;$E2737&amp;"|"&amp;$M2737&amp;"|"&amp;TEXT($G2737,"yyyy-mm-dd")&amp;"|"&amp;LEFT($J2737,40))</f>
        <v/>
      </c>
      <c r="Q2737" s="11" t="str">
        <f aca="false">IF(P2737="","",IF(COUNTIF($P$2:$P$3000,P2737)&gt;1,"DUPLICATE","OK"))</f>
        <v/>
      </c>
      <c r="R2737" s="0" t="str">
        <f aca="false">IF($C2737="","",IFERROR(VLOOKUP(--$C2737,MM_Income!$Z$5:$AC$204,3,FALSE()),""))</f>
        <v/>
      </c>
    </row>
    <row r="2738" customFormat="false" ht="13.5" hidden="false" customHeight="false" outlineLevel="0" collapsed="false">
      <c r="N2738" s="1" t="str">
        <f aca="false">IF(C2738="","",IFERROR(VLOOKUP(C2738,Master_Mappings!$A$4:$E$85,3,FALSE()),"UNMAPPED"))</f>
        <v/>
      </c>
      <c r="P2738" s="1" t="str">
        <f aca="false">IF($C2738="","",$C2738&amp;"|"&amp;$E2738&amp;"|"&amp;$M2738&amp;"|"&amp;TEXT($G2738,"yyyy-mm-dd")&amp;"|"&amp;LEFT($J2738,40))</f>
        <v/>
      </c>
      <c r="Q2738" s="11" t="str">
        <f aca="false">IF(P2738="","",IF(COUNTIF($P$2:$P$3000,P2738)&gt;1,"DUPLICATE","OK"))</f>
        <v/>
      </c>
      <c r="R2738" s="0" t="str">
        <f aca="false">IF($C2738="","",IFERROR(VLOOKUP(--$C2738,MM_Income!$Z$5:$AC$204,3,FALSE()),""))</f>
        <v/>
      </c>
    </row>
    <row r="2739" customFormat="false" ht="13.5" hidden="false" customHeight="false" outlineLevel="0" collapsed="false">
      <c r="N2739" s="1" t="str">
        <f aca="false">IF(C2739="","",IFERROR(VLOOKUP(C2739,Master_Mappings!$A$4:$E$85,3,FALSE()),"UNMAPPED"))</f>
        <v/>
      </c>
      <c r="P2739" s="1" t="str">
        <f aca="false">IF($C2739="","",$C2739&amp;"|"&amp;$E2739&amp;"|"&amp;$M2739&amp;"|"&amp;TEXT($G2739,"yyyy-mm-dd")&amp;"|"&amp;LEFT($J2739,40))</f>
        <v/>
      </c>
      <c r="Q2739" s="11" t="str">
        <f aca="false">IF(P2739="","",IF(COUNTIF($P$2:$P$3000,P2739)&gt;1,"DUPLICATE","OK"))</f>
        <v/>
      </c>
      <c r="R2739" s="0" t="str">
        <f aca="false">IF($C2739="","",IFERROR(VLOOKUP(--$C2739,MM_Income!$Z$5:$AC$204,3,FALSE()),""))</f>
        <v/>
      </c>
    </row>
    <row r="2740" customFormat="false" ht="13.5" hidden="false" customHeight="false" outlineLevel="0" collapsed="false">
      <c r="N2740" s="1" t="str">
        <f aca="false">IF(C2740="","",IFERROR(VLOOKUP(C2740,Master_Mappings!$A$4:$E$85,3,FALSE()),"UNMAPPED"))</f>
        <v/>
      </c>
      <c r="P2740" s="1" t="str">
        <f aca="false">IF($C2740="","",$C2740&amp;"|"&amp;$E2740&amp;"|"&amp;$M2740&amp;"|"&amp;TEXT($G2740,"yyyy-mm-dd")&amp;"|"&amp;LEFT($J2740,40))</f>
        <v/>
      </c>
      <c r="Q2740" s="11" t="str">
        <f aca="false">IF(P2740="","",IF(COUNTIF($P$2:$P$3000,P2740)&gt;1,"DUPLICATE","OK"))</f>
        <v/>
      </c>
      <c r="R2740" s="0" t="str">
        <f aca="false">IF($C2740="","",IFERROR(VLOOKUP(--$C2740,MM_Income!$Z$5:$AC$204,3,FALSE()),""))</f>
        <v/>
      </c>
    </row>
    <row r="2741" customFormat="false" ht="13.5" hidden="false" customHeight="false" outlineLevel="0" collapsed="false">
      <c r="N2741" s="1" t="str">
        <f aca="false">IF(C2741="","",IFERROR(VLOOKUP(C2741,Master_Mappings!$A$4:$E$85,3,FALSE()),"UNMAPPED"))</f>
        <v/>
      </c>
      <c r="P2741" s="1" t="str">
        <f aca="false">IF($C2741="","",$C2741&amp;"|"&amp;$E2741&amp;"|"&amp;$M2741&amp;"|"&amp;TEXT($G2741,"yyyy-mm-dd")&amp;"|"&amp;LEFT($J2741,40))</f>
        <v/>
      </c>
      <c r="Q2741" s="11" t="str">
        <f aca="false">IF(P2741="","",IF(COUNTIF($P$2:$P$3000,P2741)&gt;1,"DUPLICATE","OK"))</f>
        <v/>
      </c>
      <c r="R2741" s="0" t="str">
        <f aca="false">IF($C2741="","",IFERROR(VLOOKUP(--$C2741,MM_Income!$Z$5:$AC$204,3,FALSE()),""))</f>
        <v/>
      </c>
    </row>
    <row r="2742" customFormat="false" ht="13.5" hidden="false" customHeight="false" outlineLevel="0" collapsed="false">
      <c r="N2742" s="1" t="str">
        <f aca="false">IF(C2742="","",IFERROR(VLOOKUP(C2742,Master_Mappings!$A$4:$E$85,3,FALSE()),"UNMAPPED"))</f>
        <v/>
      </c>
      <c r="P2742" s="1" t="str">
        <f aca="false">IF($C2742="","",$C2742&amp;"|"&amp;$E2742&amp;"|"&amp;$M2742&amp;"|"&amp;TEXT($G2742,"yyyy-mm-dd")&amp;"|"&amp;LEFT($J2742,40))</f>
        <v/>
      </c>
      <c r="Q2742" s="11" t="str">
        <f aca="false">IF(P2742="","",IF(COUNTIF($P$2:$P$3000,P2742)&gt;1,"DUPLICATE","OK"))</f>
        <v/>
      </c>
      <c r="R2742" s="0" t="str">
        <f aca="false">IF($C2742="","",IFERROR(VLOOKUP(--$C2742,MM_Income!$Z$5:$AC$204,3,FALSE()),""))</f>
        <v/>
      </c>
    </row>
    <row r="2743" customFormat="false" ht="13.5" hidden="false" customHeight="false" outlineLevel="0" collapsed="false">
      <c r="N2743" s="1" t="str">
        <f aca="false">IF(C2743="","",IFERROR(VLOOKUP(C2743,Master_Mappings!$A$4:$E$85,3,FALSE()),"UNMAPPED"))</f>
        <v/>
      </c>
      <c r="P2743" s="1" t="str">
        <f aca="false">IF($C2743="","",$C2743&amp;"|"&amp;$E2743&amp;"|"&amp;$M2743&amp;"|"&amp;TEXT($G2743,"yyyy-mm-dd")&amp;"|"&amp;LEFT($J2743,40))</f>
        <v/>
      </c>
      <c r="Q2743" s="11" t="str">
        <f aca="false">IF(P2743="","",IF(COUNTIF($P$2:$P$3000,P2743)&gt;1,"DUPLICATE","OK"))</f>
        <v/>
      </c>
      <c r="R2743" s="0" t="str">
        <f aca="false">IF($C2743="","",IFERROR(VLOOKUP(--$C2743,MM_Income!$Z$5:$AC$204,3,FALSE()),""))</f>
        <v/>
      </c>
    </row>
    <row r="2744" customFormat="false" ht="13.5" hidden="false" customHeight="false" outlineLevel="0" collapsed="false">
      <c r="N2744" s="1" t="str">
        <f aca="false">IF(C2744="","",IFERROR(VLOOKUP(C2744,Master_Mappings!$A$4:$E$85,3,FALSE()),"UNMAPPED"))</f>
        <v/>
      </c>
      <c r="P2744" s="1" t="str">
        <f aca="false">IF($C2744="","",$C2744&amp;"|"&amp;$E2744&amp;"|"&amp;$M2744&amp;"|"&amp;TEXT($G2744,"yyyy-mm-dd")&amp;"|"&amp;LEFT($J2744,40))</f>
        <v/>
      </c>
      <c r="Q2744" s="11" t="str">
        <f aca="false">IF(P2744="","",IF(COUNTIF($P$2:$P$3000,P2744)&gt;1,"DUPLICATE","OK"))</f>
        <v/>
      </c>
      <c r="R2744" s="0" t="str">
        <f aca="false">IF($C2744="","",IFERROR(VLOOKUP(--$C2744,MM_Income!$Z$5:$AC$204,3,FALSE()),""))</f>
        <v/>
      </c>
    </row>
    <row r="2745" customFormat="false" ht="13.5" hidden="false" customHeight="false" outlineLevel="0" collapsed="false">
      <c r="N2745" s="1" t="str">
        <f aca="false">IF(C2745="","",IFERROR(VLOOKUP(C2745,Master_Mappings!$A$4:$E$85,3,FALSE()),"UNMAPPED"))</f>
        <v/>
      </c>
      <c r="P2745" s="1" t="str">
        <f aca="false">IF($C2745="","",$C2745&amp;"|"&amp;$E2745&amp;"|"&amp;$M2745&amp;"|"&amp;TEXT($G2745,"yyyy-mm-dd")&amp;"|"&amp;LEFT($J2745,40))</f>
        <v/>
      </c>
      <c r="Q2745" s="11" t="str">
        <f aca="false">IF(P2745="","",IF(COUNTIF($P$2:$P$3000,P2745)&gt;1,"DUPLICATE","OK"))</f>
        <v/>
      </c>
      <c r="R2745" s="0" t="str">
        <f aca="false">IF($C2745="","",IFERROR(VLOOKUP(--$C2745,MM_Income!$Z$5:$AC$204,3,FALSE()),""))</f>
        <v/>
      </c>
    </row>
    <row r="2746" customFormat="false" ht="13.5" hidden="false" customHeight="false" outlineLevel="0" collapsed="false">
      <c r="N2746" s="1" t="str">
        <f aca="false">IF(C2746="","",IFERROR(VLOOKUP(C2746,Master_Mappings!$A$4:$E$85,3,FALSE()),"UNMAPPED"))</f>
        <v/>
      </c>
      <c r="P2746" s="1" t="str">
        <f aca="false">IF($C2746="","",$C2746&amp;"|"&amp;$E2746&amp;"|"&amp;$M2746&amp;"|"&amp;TEXT($G2746,"yyyy-mm-dd")&amp;"|"&amp;LEFT($J2746,40))</f>
        <v/>
      </c>
      <c r="Q2746" s="11" t="str">
        <f aca="false">IF(P2746="","",IF(COUNTIF($P$2:$P$3000,P2746)&gt;1,"DUPLICATE","OK"))</f>
        <v/>
      </c>
      <c r="R2746" s="0" t="str">
        <f aca="false">IF($C2746="","",IFERROR(VLOOKUP(--$C2746,MM_Income!$Z$5:$AC$204,3,FALSE()),""))</f>
        <v/>
      </c>
    </row>
    <row r="2747" customFormat="false" ht="13.5" hidden="false" customHeight="false" outlineLevel="0" collapsed="false">
      <c r="N2747" s="1" t="str">
        <f aca="false">IF(C2747="","",IFERROR(VLOOKUP(C2747,Master_Mappings!$A$4:$E$85,3,FALSE()),"UNMAPPED"))</f>
        <v/>
      </c>
      <c r="P2747" s="1" t="str">
        <f aca="false">IF($C2747="","",$C2747&amp;"|"&amp;$E2747&amp;"|"&amp;$M2747&amp;"|"&amp;TEXT($G2747,"yyyy-mm-dd")&amp;"|"&amp;LEFT($J2747,40))</f>
        <v/>
      </c>
      <c r="Q2747" s="11" t="str">
        <f aca="false">IF(P2747="","",IF(COUNTIF($P$2:$P$3000,P2747)&gt;1,"DUPLICATE","OK"))</f>
        <v/>
      </c>
      <c r="R2747" s="0" t="str">
        <f aca="false">IF($C2747="","",IFERROR(VLOOKUP(--$C2747,MM_Income!$Z$5:$AC$204,3,FALSE()),""))</f>
        <v/>
      </c>
    </row>
    <row r="2748" customFormat="false" ht="13.5" hidden="false" customHeight="false" outlineLevel="0" collapsed="false">
      <c r="N2748" s="1" t="str">
        <f aca="false">IF(C2748="","",IFERROR(VLOOKUP(C2748,Master_Mappings!$A$4:$E$85,3,FALSE()),"UNMAPPED"))</f>
        <v/>
      </c>
      <c r="P2748" s="1" t="str">
        <f aca="false">IF($C2748="","",$C2748&amp;"|"&amp;$E2748&amp;"|"&amp;$M2748&amp;"|"&amp;TEXT($G2748,"yyyy-mm-dd")&amp;"|"&amp;LEFT($J2748,40))</f>
        <v/>
      </c>
      <c r="Q2748" s="11" t="str">
        <f aca="false">IF(P2748="","",IF(COUNTIF($P$2:$P$3000,P2748)&gt;1,"DUPLICATE","OK"))</f>
        <v/>
      </c>
      <c r="R2748" s="0" t="str">
        <f aca="false">IF($C2748="","",IFERROR(VLOOKUP(--$C2748,MM_Income!$Z$5:$AC$204,3,FALSE()),""))</f>
        <v/>
      </c>
    </row>
    <row r="2749" customFormat="false" ht="13.5" hidden="false" customHeight="false" outlineLevel="0" collapsed="false">
      <c r="N2749" s="1" t="str">
        <f aca="false">IF(C2749="","",IFERROR(VLOOKUP(C2749,Master_Mappings!$A$4:$E$85,3,FALSE()),"UNMAPPED"))</f>
        <v/>
      </c>
      <c r="P2749" s="1" t="str">
        <f aca="false">IF($C2749="","",$C2749&amp;"|"&amp;$E2749&amp;"|"&amp;$M2749&amp;"|"&amp;TEXT($G2749,"yyyy-mm-dd")&amp;"|"&amp;LEFT($J2749,40))</f>
        <v/>
      </c>
      <c r="Q2749" s="11" t="str">
        <f aca="false">IF(P2749="","",IF(COUNTIF($P$2:$P$3000,P2749)&gt;1,"DUPLICATE","OK"))</f>
        <v/>
      </c>
      <c r="R2749" s="0" t="str">
        <f aca="false">IF($C2749="","",IFERROR(VLOOKUP(--$C2749,MM_Income!$Z$5:$AC$204,3,FALSE()),""))</f>
        <v/>
      </c>
    </row>
    <row r="2750" customFormat="false" ht="13.5" hidden="false" customHeight="false" outlineLevel="0" collapsed="false">
      <c r="N2750" s="1" t="str">
        <f aca="false">IF(C2750="","",IFERROR(VLOOKUP(C2750,Master_Mappings!$A$4:$E$85,3,FALSE()),"UNMAPPED"))</f>
        <v/>
      </c>
      <c r="P2750" s="1" t="str">
        <f aca="false">IF($C2750="","",$C2750&amp;"|"&amp;$E2750&amp;"|"&amp;$M2750&amp;"|"&amp;TEXT($G2750,"yyyy-mm-dd")&amp;"|"&amp;LEFT($J2750,40))</f>
        <v/>
      </c>
      <c r="Q2750" s="11" t="str">
        <f aca="false">IF(P2750="","",IF(COUNTIF($P$2:$P$3000,P2750)&gt;1,"DUPLICATE","OK"))</f>
        <v/>
      </c>
      <c r="R2750" s="0" t="str">
        <f aca="false">IF($C2750="","",IFERROR(VLOOKUP(--$C2750,MM_Income!$Z$5:$AC$204,3,FALSE()),""))</f>
        <v/>
      </c>
    </row>
    <row r="2751" customFormat="false" ht="13.5" hidden="false" customHeight="false" outlineLevel="0" collapsed="false">
      <c r="N2751" s="1" t="str">
        <f aca="false">IF(C2751="","",IFERROR(VLOOKUP(C2751,Master_Mappings!$A$4:$E$85,3,FALSE()),"UNMAPPED"))</f>
        <v/>
      </c>
      <c r="P2751" s="1" t="str">
        <f aca="false">IF($C2751="","",$C2751&amp;"|"&amp;$E2751&amp;"|"&amp;$M2751&amp;"|"&amp;TEXT($G2751,"yyyy-mm-dd")&amp;"|"&amp;LEFT($J2751,40))</f>
        <v/>
      </c>
      <c r="Q2751" s="11" t="str">
        <f aca="false">IF(P2751="","",IF(COUNTIF($P$2:$P$3000,P2751)&gt;1,"DUPLICATE","OK"))</f>
        <v/>
      </c>
      <c r="R2751" s="0" t="str">
        <f aca="false">IF($C2751="","",IFERROR(VLOOKUP(--$C2751,MM_Income!$Z$5:$AC$204,3,FALSE()),""))</f>
        <v/>
      </c>
    </row>
    <row r="2752" customFormat="false" ht="13.5" hidden="false" customHeight="false" outlineLevel="0" collapsed="false">
      <c r="N2752" s="1" t="str">
        <f aca="false">IF(C2752="","",IFERROR(VLOOKUP(C2752,Master_Mappings!$A$4:$E$85,3,FALSE()),"UNMAPPED"))</f>
        <v/>
      </c>
      <c r="P2752" s="1" t="str">
        <f aca="false">IF($C2752="","",$C2752&amp;"|"&amp;$E2752&amp;"|"&amp;$M2752&amp;"|"&amp;TEXT($G2752,"yyyy-mm-dd")&amp;"|"&amp;LEFT($J2752,40))</f>
        <v/>
      </c>
      <c r="Q2752" s="11" t="str">
        <f aca="false">IF(P2752="","",IF(COUNTIF($P$2:$P$3000,P2752)&gt;1,"DUPLICATE","OK"))</f>
        <v/>
      </c>
      <c r="R2752" s="0" t="str">
        <f aca="false">IF($C2752="","",IFERROR(VLOOKUP(--$C2752,MM_Income!$Z$5:$AC$204,3,FALSE()),""))</f>
        <v/>
      </c>
    </row>
    <row r="2753" customFormat="false" ht="13.5" hidden="false" customHeight="false" outlineLevel="0" collapsed="false">
      <c r="N2753" s="1" t="str">
        <f aca="false">IF(C2753="","",IFERROR(VLOOKUP(C2753,Master_Mappings!$A$4:$E$85,3,FALSE()),"UNMAPPED"))</f>
        <v/>
      </c>
      <c r="P2753" s="1" t="str">
        <f aca="false">IF($C2753="","",$C2753&amp;"|"&amp;$E2753&amp;"|"&amp;$M2753&amp;"|"&amp;TEXT($G2753,"yyyy-mm-dd")&amp;"|"&amp;LEFT($J2753,40))</f>
        <v/>
      </c>
      <c r="Q2753" s="11" t="str">
        <f aca="false">IF(P2753="","",IF(COUNTIF($P$2:$P$3000,P2753)&gt;1,"DUPLICATE","OK"))</f>
        <v/>
      </c>
      <c r="R2753" s="0" t="str">
        <f aca="false">IF($C2753="","",IFERROR(VLOOKUP(--$C2753,MM_Income!$Z$5:$AC$204,3,FALSE()),""))</f>
        <v/>
      </c>
    </row>
    <row r="2754" customFormat="false" ht="13.5" hidden="false" customHeight="false" outlineLevel="0" collapsed="false">
      <c r="N2754" s="1" t="str">
        <f aca="false">IF(C2754="","",IFERROR(VLOOKUP(C2754,Master_Mappings!$A$4:$E$85,3,FALSE()),"UNMAPPED"))</f>
        <v/>
      </c>
      <c r="P2754" s="1" t="str">
        <f aca="false">IF($C2754="","",$C2754&amp;"|"&amp;$E2754&amp;"|"&amp;$M2754&amp;"|"&amp;TEXT($G2754,"yyyy-mm-dd")&amp;"|"&amp;LEFT($J2754,40))</f>
        <v/>
      </c>
      <c r="Q2754" s="11" t="str">
        <f aca="false">IF(P2754="","",IF(COUNTIF($P$2:$P$3000,P2754)&gt;1,"DUPLICATE","OK"))</f>
        <v/>
      </c>
      <c r="R2754" s="0" t="str">
        <f aca="false">IF($C2754="","",IFERROR(VLOOKUP(--$C2754,MM_Income!$Z$5:$AC$204,3,FALSE()),""))</f>
        <v/>
      </c>
    </row>
    <row r="2755" customFormat="false" ht="13.5" hidden="false" customHeight="false" outlineLevel="0" collapsed="false">
      <c r="N2755" s="1" t="str">
        <f aca="false">IF(C2755="","",IFERROR(VLOOKUP(C2755,Master_Mappings!$A$4:$E$85,3,FALSE()),"UNMAPPED"))</f>
        <v/>
      </c>
      <c r="P2755" s="1" t="str">
        <f aca="false">IF($C2755="","",$C2755&amp;"|"&amp;$E2755&amp;"|"&amp;$M2755&amp;"|"&amp;TEXT($G2755,"yyyy-mm-dd")&amp;"|"&amp;LEFT($J2755,40))</f>
        <v/>
      </c>
      <c r="Q2755" s="11" t="str">
        <f aca="false">IF(P2755="","",IF(COUNTIF($P$2:$P$3000,P2755)&gt;1,"DUPLICATE","OK"))</f>
        <v/>
      </c>
      <c r="R2755" s="0" t="str">
        <f aca="false">IF($C2755="","",IFERROR(VLOOKUP(--$C2755,MM_Income!$Z$5:$AC$204,3,FALSE()),""))</f>
        <v/>
      </c>
    </row>
    <row r="2756" customFormat="false" ht="13.5" hidden="false" customHeight="false" outlineLevel="0" collapsed="false">
      <c r="N2756" s="1" t="str">
        <f aca="false">IF(C2756="","",IFERROR(VLOOKUP(C2756,Master_Mappings!$A$4:$E$85,3,FALSE()),"UNMAPPED"))</f>
        <v/>
      </c>
      <c r="P2756" s="1" t="str">
        <f aca="false">IF($C2756="","",$C2756&amp;"|"&amp;$E2756&amp;"|"&amp;$M2756&amp;"|"&amp;TEXT($G2756,"yyyy-mm-dd")&amp;"|"&amp;LEFT($J2756,40))</f>
        <v/>
      </c>
      <c r="Q2756" s="11" t="str">
        <f aca="false">IF(P2756="","",IF(COUNTIF($P$2:$P$3000,P2756)&gt;1,"DUPLICATE","OK"))</f>
        <v/>
      </c>
      <c r="R2756" s="0" t="str">
        <f aca="false">IF($C2756="","",IFERROR(VLOOKUP(--$C2756,MM_Income!$Z$5:$AC$204,3,FALSE()),""))</f>
        <v/>
      </c>
    </row>
    <row r="2757" customFormat="false" ht="13.5" hidden="false" customHeight="false" outlineLevel="0" collapsed="false">
      <c r="N2757" s="1" t="str">
        <f aca="false">IF(C2757="","",IFERROR(VLOOKUP(C2757,Master_Mappings!$A$4:$E$85,3,FALSE()),"UNMAPPED"))</f>
        <v/>
      </c>
      <c r="P2757" s="1" t="str">
        <f aca="false">IF($C2757="","",$C2757&amp;"|"&amp;$E2757&amp;"|"&amp;$M2757&amp;"|"&amp;TEXT($G2757,"yyyy-mm-dd")&amp;"|"&amp;LEFT($J2757,40))</f>
        <v/>
      </c>
      <c r="Q2757" s="11" t="str">
        <f aca="false">IF(P2757="","",IF(COUNTIF($P$2:$P$3000,P2757)&gt;1,"DUPLICATE","OK"))</f>
        <v/>
      </c>
      <c r="R2757" s="0" t="str">
        <f aca="false">IF($C2757="","",IFERROR(VLOOKUP(--$C2757,MM_Income!$Z$5:$AC$204,3,FALSE()),""))</f>
        <v/>
      </c>
    </row>
    <row r="2758" customFormat="false" ht="13.5" hidden="false" customHeight="false" outlineLevel="0" collapsed="false">
      <c r="N2758" s="1" t="str">
        <f aca="false">IF(C2758="","",IFERROR(VLOOKUP(C2758,Master_Mappings!$A$4:$E$85,3,FALSE()),"UNMAPPED"))</f>
        <v/>
      </c>
      <c r="P2758" s="1" t="str">
        <f aca="false">IF($C2758="","",$C2758&amp;"|"&amp;$E2758&amp;"|"&amp;$M2758&amp;"|"&amp;TEXT($G2758,"yyyy-mm-dd")&amp;"|"&amp;LEFT($J2758,40))</f>
        <v/>
      </c>
      <c r="Q2758" s="11" t="str">
        <f aca="false">IF(P2758="","",IF(COUNTIF($P$2:$P$3000,P2758)&gt;1,"DUPLICATE","OK"))</f>
        <v/>
      </c>
      <c r="R2758" s="0" t="str">
        <f aca="false">IF($C2758="","",IFERROR(VLOOKUP(--$C2758,MM_Income!$Z$5:$AC$204,3,FALSE()),""))</f>
        <v/>
      </c>
    </row>
    <row r="2759" customFormat="false" ht="13.5" hidden="false" customHeight="false" outlineLevel="0" collapsed="false">
      <c r="N2759" s="1" t="str">
        <f aca="false">IF(C2759="","",IFERROR(VLOOKUP(C2759,Master_Mappings!$A$4:$E$85,3,FALSE()),"UNMAPPED"))</f>
        <v/>
      </c>
      <c r="P2759" s="1" t="str">
        <f aca="false">IF($C2759="","",$C2759&amp;"|"&amp;$E2759&amp;"|"&amp;$M2759&amp;"|"&amp;TEXT($G2759,"yyyy-mm-dd")&amp;"|"&amp;LEFT($J2759,40))</f>
        <v/>
      </c>
      <c r="Q2759" s="11" t="str">
        <f aca="false">IF(P2759="","",IF(COUNTIF($P$2:$P$3000,P2759)&gt;1,"DUPLICATE","OK"))</f>
        <v/>
      </c>
      <c r="R2759" s="0" t="str">
        <f aca="false">IF($C2759="","",IFERROR(VLOOKUP(--$C2759,MM_Income!$Z$5:$AC$204,3,FALSE()),""))</f>
        <v/>
      </c>
    </row>
    <row r="2760" customFormat="false" ht="13.5" hidden="false" customHeight="false" outlineLevel="0" collapsed="false">
      <c r="N2760" s="1" t="str">
        <f aca="false">IF(C2760="","",IFERROR(VLOOKUP(C2760,Master_Mappings!$A$4:$E$85,3,FALSE()),"UNMAPPED"))</f>
        <v/>
      </c>
      <c r="P2760" s="1" t="str">
        <f aca="false">IF($C2760="","",$C2760&amp;"|"&amp;$E2760&amp;"|"&amp;$M2760&amp;"|"&amp;TEXT($G2760,"yyyy-mm-dd")&amp;"|"&amp;LEFT($J2760,40))</f>
        <v/>
      </c>
      <c r="Q2760" s="11" t="str">
        <f aca="false">IF(P2760="","",IF(COUNTIF($P$2:$P$3000,P2760)&gt;1,"DUPLICATE","OK"))</f>
        <v/>
      </c>
      <c r="R2760" s="0" t="str">
        <f aca="false">IF($C2760="","",IFERROR(VLOOKUP(--$C2760,MM_Income!$Z$5:$AC$204,3,FALSE()),""))</f>
        <v/>
      </c>
    </row>
    <row r="2761" customFormat="false" ht="13.5" hidden="false" customHeight="false" outlineLevel="0" collapsed="false">
      <c r="N2761" s="1" t="str">
        <f aca="false">IF(C2761="","",IFERROR(VLOOKUP(C2761,Master_Mappings!$A$4:$E$85,3,FALSE()),"UNMAPPED"))</f>
        <v/>
      </c>
      <c r="P2761" s="1" t="str">
        <f aca="false">IF($C2761="","",$C2761&amp;"|"&amp;$E2761&amp;"|"&amp;$M2761&amp;"|"&amp;TEXT($G2761,"yyyy-mm-dd")&amp;"|"&amp;LEFT($J2761,40))</f>
        <v/>
      </c>
      <c r="Q2761" s="11" t="str">
        <f aca="false">IF(P2761="","",IF(COUNTIF($P$2:$P$3000,P2761)&gt;1,"DUPLICATE","OK"))</f>
        <v/>
      </c>
      <c r="R2761" s="0" t="str">
        <f aca="false">IF($C2761="","",IFERROR(VLOOKUP(--$C2761,MM_Income!$Z$5:$AC$204,3,FALSE()),""))</f>
        <v/>
      </c>
    </row>
    <row r="2762" customFormat="false" ht="13.5" hidden="false" customHeight="false" outlineLevel="0" collapsed="false">
      <c r="N2762" s="1" t="str">
        <f aca="false">IF(C2762="","",IFERROR(VLOOKUP(C2762,Master_Mappings!$A$4:$E$85,3,FALSE()),"UNMAPPED"))</f>
        <v/>
      </c>
      <c r="P2762" s="1" t="str">
        <f aca="false">IF($C2762="","",$C2762&amp;"|"&amp;$E2762&amp;"|"&amp;$M2762&amp;"|"&amp;TEXT($G2762,"yyyy-mm-dd")&amp;"|"&amp;LEFT($J2762,40))</f>
        <v/>
      </c>
      <c r="Q2762" s="11" t="str">
        <f aca="false">IF(P2762="","",IF(COUNTIF($P$2:$P$3000,P2762)&gt;1,"DUPLICATE","OK"))</f>
        <v/>
      </c>
      <c r="R2762" s="0" t="str">
        <f aca="false">IF($C2762="","",IFERROR(VLOOKUP(--$C2762,MM_Income!$Z$5:$AC$204,3,FALSE()),""))</f>
        <v/>
      </c>
    </row>
    <row r="2763" customFormat="false" ht="13.5" hidden="false" customHeight="false" outlineLevel="0" collapsed="false">
      <c r="N2763" s="1" t="str">
        <f aca="false">IF(C2763="","",IFERROR(VLOOKUP(C2763,Master_Mappings!$A$4:$E$85,3,FALSE()),"UNMAPPED"))</f>
        <v/>
      </c>
      <c r="P2763" s="1" t="str">
        <f aca="false">IF($C2763="","",$C2763&amp;"|"&amp;$E2763&amp;"|"&amp;$M2763&amp;"|"&amp;TEXT($G2763,"yyyy-mm-dd")&amp;"|"&amp;LEFT($J2763,40))</f>
        <v/>
      </c>
      <c r="Q2763" s="11" t="str">
        <f aca="false">IF(P2763="","",IF(COUNTIF($P$2:$P$3000,P2763)&gt;1,"DUPLICATE","OK"))</f>
        <v/>
      </c>
      <c r="R2763" s="0" t="str">
        <f aca="false">IF($C2763="","",IFERROR(VLOOKUP(--$C2763,MM_Income!$Z$5:$AC$204,3,FALSE()),""))</f>
        <v/>
      </c>
    </row>
    <row r="2764" customFormat="false" ht="13.5" hidden="false" customHeight="false" outlineLevel="0" collapsed="false">
      <c r="N2764" s="1" t="str">
        <f aca="false">IF(C2764="","",IFERROR(VLOOKUP(C2764,Master_Mappings!$A$4:$E$85,3,FALSE()),"UNMAPPED"))</f>
        <v/>
      </c>
      <c r="P2764" s="1" t="str">
        <f aca="false">IF($C2764="","",$C2764&amp;"|"&amp;$E2764&amp;"|"&amp;$M2764&amp;"|"&amp;TEXT($G2764,"yyyy-mm-dd")&amp;"|"&amp;LEFT($J2764,40))</f>
        <v/>
      </c>
      <c r="Q2764" s="11" t="str">
        <f aca="false">IF(P2764="","",IF(COUNTIF($P$2:$P$3000,P2764)&gt;1,"DUPLICATE","OK"))</f>
        <v/>
      </c>
      <c r="R2764" s="0" t="str">
        <f aca="false">IF($C2764="","",IFERROR(VLOOKUP(--$C2764,MM_Income!$Z$5:$AC$204,3,FALSE()),""))</f>
        <v/>
      </c>
    </row>
    <row r="2765" customFormat="false" ht="13.5" hidden="false" customHeight="false" outlineLevel="0" collapsed="false">
      <c r="N2765" s="1" t="str">
        <f aca="false">IF(C2765="","",IFERROR(VLOOKUP(C2765,Master_Mappings!$A$4:$E$85,3,FALSE()),"UNMAPPED"))</f>
        <v/>
      </c>
      <c r="P2765" s="1" t="str">
        <f aca="false">IF($C2765="","",$C2765&amp;"|"&amp;$E2765&amp;"|"&amp;$M2765&amp;"|"&amp;TEXT($G2765,"yyyy-mm-dd")&amp;"|"&amp;LEFT($J2765,40))</f>
        <v/>
      </c>
      <c r="Q2765" s="11" t="str">
        <f aca="false">IF(P2765="","",IF(COUNTIF($P$2:$P$3000,P2765)&gt;1,"DUPLICATE","OK"))</f>
        <v/>
      </c>
      <c r="R2765" s="0" t="str">
        <f aca="false">IF($C2765="","",IFERROR(VLOOKUP(--$C2765,MM_Income!$Z$5:$AC$204,3,FALSE()),""))</f>
        <v/>
      </c>
    </row>
    <row r="2766" customFormat="false" ht="13.5" hidden="false" customHeight="false" outlineLevel="0" collapsed="false">
      <c r="N2766" s="1" t="str">
        <f aca="false">IF(C2766="","",IFERROR(VLOOKUP(C2766,Master_Mappings!$A$4:$E$85,3,FALSE()),"UNMAPPED"))</f>
        <v/>
      </c>
      <c r="P2766" s="1" t="str">
        <f aca="false">IF($C2766="","",$C2766&amp;"|"&amp;$E2766&amp;"|"&amp;$M2766&amp;"|"&amp;TEXT($G2766,"yyyy-mm-dd")&amp;"|"&amp;LEFT($J2766,40))</f>
        <v/>
      </c>
      <c r="Q2766" s="11" t="str">
        <f aca="false">IF(P2766="","",IF(COUNTIF($P$2:$P$3000,P2766)&gt;1,"DUPLICATE","OK"))</f>
        <v/>
      </c>
      <c r="R2766" s="0" t="str">
        <f aca="false">IF($C2766="","",IFERROR(VLOOKUP(--$C2766,MM_Income!$Z$5:$AC$204,3,FALSE()),""))</f>
        <v/>
      </c>
    </row>
    <row r="2767" customFormat="false" ht="13.5" hidden="false" customHeight="false" outlineLevel="0" collapsed="false">
      <c r="N2767" s="1" t="str">
        <f aca="false">IF(C2767="","",IFERROR(VLOOKUP(C2767,Master_Mappings!$A$4:$E$85,3,FALSE()),"UNMAPPED"))</f>
        <v/>
      </c>
      <c r="P2767" s="1" t="str">
        <f aca="false">IF($C2767="","",$C2767&amp;"|"&amp;$E2767&amp;"|"&amp;$M2767&amp;"|"&amp;TEXT($G2767,"yyyy-mm-dd")&amp;"|"&amp;LEFT($J2767,40))</f>
        <v/>
      </c>
      <c r="Q2767" s="11" t="str">
        <f aca="false">IF(P2767="","",IF(COUNTIF($P$2:$P$3000,P2767)&gt;1,"DUPLICATE","OK"))</f>
        <v/>
      </c>
      <c r="R2767" s="0" t="str">
        <f aca="false">IF($C2767="","",IFERROR(VLOOKUP(--$C2767,MM_Income!$Z$5:$AC$204,3,FALSE()),""))</f>
        <v/>
      </c>
    </row>
    <row r="2768" customFormat="false" ht="13.5" hidden="false" customHeight="false" outlineLevel="0" collapsed="false">
      <c r="N2768" s="1" t="str">
        <f aca="false">IF(C2768="","",IFERROR(VLOOKUP(C2768,Master_Mappings!$A$4:$E$85,3,FALSE()),"UNMAPPED"))</f>
        <v/>
      </c>
      <c r="P2768" s="1" t="str">
        <f aca="false">IF($C2768="","",$C2768&amp;"|"&amp;$E2768&amp;"|"&amp;$M2768&amp;"|"&amp;TEXT($G2768,"yyyy-mm-dd")&amp;"|"&amp;LEFT($J2768,40))</f>
        <v/>
      </c>
      <c r="Q2768" s="11" t="str">
        <f aca="false">IF(P2768="","",IF(COUNTIF($P$2:$P$3000,P2768)&gt;1,"DUPLICATE","OK"))</f>
        <v/>
      </c>
      <c r="R2768" s="0" t="str">
        <f aca="false">IF($C2768="","",IFERROR(VLOOKUP(--$C2768,MM_Income!$Z$5:$AC$204,3,FALSE()),""))</f>
        <v/>
      </c>
    </row>
    <row r="2769" customFormat="false" ht="13.5" hidden="false" customHeight="false" outlineLevel="0" collapsed="false">
      <c r="N2769" s="1" t="str">
        <f aca="false">IF(C2769="","",IFERROR(VLOOKUP(C2769,Master_Mappings!$A$4:$E$85,3,FALSE()),"UNMAPPED"))</f>
        <v/>
      </c>
      <c r="P2769" s="1" t="str">
        <f aca="false">IF($C2769="","",$C2769&amp;"|"&amp;$E2769&amp;"|"&amp;$M2769&amp;"|"&amp;TEXT($G2769,"yyyy-mm-dd")&amp;"|"&amp;LEFT($J2769,40))</f>
        <v/>
      </c>
      <c r="Q2769" s="11" t="str">
        <f aca="false">IF(P2769="","",IF(COUNTIF($P$2:$P$3000,P2769)&gt;1,"DUPLICATE","OK"))</f>
        <v/>
      </c>
      <c r="R2769" s="0" t="str">
        <f aca="false">IF($C2769="","",IFERROR(VLOOKUP(--$C2769,MM_Income!$Z$5:$AC$204,3,FALSE()),""))</f>
        <v/>
      </c>
    </row>
    <row r="2770" customFormat="false" ht="13.5" hidden="false" customHeight="false" outlineLevel="0" collapsed="false">
      <c r="N2770" s="1" t="str">
        <f aca="false">IF(C2770="","",IFERROR(VLOOKUP(C2770,Master_Mappings!$A$4:$E$85,3,FALSE()),"UNMAPPED"))</f>
        <v/>
      </c>
      <c r="P2770" s="1" t="str">
        <f aca="false">IF($C2770="","",$C2770&amp;"|"&amp;$E2770&amp;"|"&amp;$M2770&amp;"|"&amp;TEXT($G2770,"yyyy-mm-dd")&amp;"|"&amp;LEFT($J2770,40))</f>
        <v/>
      </c>
      <c r="Q2770" s="11" t="str">
        <f aca="false">IF(P2770="","",IF(COUNTIF($P$2:$P$3000,P2770)&gt;1,"DUPLICATE","OK"))</f>
        <v/>
      </c>
      <c r="R2770" s="0" t="str">
        <f aca="false">IF($C2770="","",IFERROR(VLOOKUP(--$C2770,MM_Income!$Z$5:$AC$204,3,FALSE()),""))</f>
        <v/>
      </c>
    </row>
    <row r="2771" customFormat="false" ht="13.5" hidden="false" customHeight="false" outlineLevel="0" collapsed="false">
      <c r="N2771" s="1" t="str">
        <f aca="false">IF(C2771="","",IFERROR(VLOOKUP(C2771,Master_Mappings!$A$4:$E$85,3,FALSE()),"UNMAPPED"))</f>
        <v/>
      </c>
      <c r="P2771" s="1" t="str">
        <f aca="false">IF($C2771="","",$C2771&amp;"|"&amp;$E2771&amp;"|"&amp;$M2771&amp;"|"&amp;TEXT($G2771,"yyyy-mm-dd")&amp;"|"&amp;LEFT($J2771,40))</f>
        <v/>
      </c>
      <c r="Q2771" s="11" t="str">
        <f aca="false">IF(P2771="","",IF(COUNTIF($P$2:$P$3000,P2771)&gt;1,"DUPLICATE","OK"))</f>
        <v/>
      </c>
      <c r="R2771" s="0" t="str">
        <f aca="false">IF($C2771="","",IFERROR(VLOOKUP(--$C2771,MM_Income!$Z$5:$AC$204,3,FALSE()),""))</f>
        <v/>
      </c>
    </row>
    <row r="2772" customFormat="false" ht="13.5" hidden="false" customHeight="false" outlineLevel="0" collapsed="false">
      <c r="N2772" s="1" t="str">
        <f aca="false">IF(C2772="","",IFERROR(VLOOKUP(C2772,Master_Mappings!$A$4:$E$85,3,FALSE()),"UNMAPPED"))</f>
        <v/>
      </c>
      <c r="P2772" s="1" t="str">
        <f aca="false">IF($C2772="","",$C2772&amp;"|"&amp;$E2772&amp;"|"&amp;$M2772&amp;"|"&amp;TEXT($G2772,"yyyy-mm-dd")&amp;"|"&amp;LEFT($J2772,40))</f>
        <v/>
      </c>
      <c r="Q2772" s="11" t="str">
        <f aca="false">IF(P2772="","",IF(COUNTIF($P$2:$P$3000,P2772)&gt;1,"DUPLICATE","OK"))</f>
        <v/>
      </c>
      <c r="R2772" s="0" t="str">
        <f aca="false">IF($C2772="","",IFERROR(VLOOKUP(--$C2772,MM_Income!$Z$5:$AC$204,3,FALSE()),""))</f>
        <v/>
      </c>
    </row>
    <row r="2773" customFormat="false" ht="13.5" hidden="false" customHeight="false" outlineLevel="0" collapsed="false">
      <c r="N2773" s="1" t="str">
        <f aca="false">IF(C2773="","",IFERROR(VLOOKUP(C2773,Master_Mappings!$A$4:$E$85,3,FALSE()),"UNMAPPED"))</f>
        <v/>
      </c>
      <c r="P2773" s="1" t="str">
        <f aca="false">IF($C2773="","",$C2773&amp;"|"&amp;$E2773&amp;"|"&amp;$M2773&amp;"|"&amp;TEXT($G2773,"yyyy-mm-dd")&amp;"|"&amp;LEFT($J2773,40))</f>
        <v/>
      </c>
      <c r="Q2773" s="11" t="str">
        <f aca="false">IF(P2773="","",IF(COUNTIF($P$2:$P$3000,P2773)&gt;1,"DUPLICATE","OK"))</f>
        <v/>
      </c>
      <c r="R2773" s="0" t="str">
        <f aca="false">IF($C2773="","",IFERROR(VLOOKUP(--$C2773,MM_Income!$Z$5:$AC$204,3,FALSE()),""))</f>
        <v/>
      </c>
    </row>
    <row r="2774" customFormat="false" ht="13.5" hidden="false" customHeight="false" outlineLevel="0" collapsed="false">
      <c r="N2774" s="1" t="str">
        <f aca="false">IF(C2774="","",IFERROR(VLOOKUP(C2774,Master_Mappings!$A$4:$E$85,3,FALSE()),"UNMAPPED"))</f>
        <v/>
      </c>
      <c r="P2774" s="1" t="str">
        <f aca="false">IF($C2774="","",$C2774&amp;"|"&amp;$E2774&amp;"|"&amp;$M2774&amp;"|"&amp;TEXT($G2774,"yyyy-mm-dd")&amp;"|"&amp;LEFT($J2774,40))</f>
        <v/>
      </c>
      <c r="Q2774" s="11" t="str">
        <f aca="false">IF(P2774="","",IF(COUNTIF($P$2:$P$3000,P2774)&gt;1,"DUPLICATE","OK"))</f>
        <v/>
      </c>
      <c r="R2774" s="0" t="str">
        <f aca="false">IF($C2774="","",IFERROR(VLOOKUP(--$C2774,MM_Income!$Z$5:$AC$204,3,FALSE()),""))</f>
        <v/>
      </c>
    </row>
    <row r="2775" customFormat="false" ht="13.5" hidden="false" customHeight="false" outlineLevel="0" collapsed="false">
      <c r="N2775" s="1" t="str">
        <f aca="false">IF(C2775="","",IFERROR(VLOOKUP(C2775,Master_Mappings!$A$4:$E$85,3,FALSE()),"UNMAPPED"))</f>
        <v/>
      </c>
      <c r="P2775" s="1" t="str">
        <f aca="false">IF($C2775="","",$C2775&amp;"|"&amp;$E2775&amp;"|"&amp;$M2775&amp;"|"&amp;TEXT($G2775,"yyyy-mm-dd")&amp;"|"&amp;LEFT($J2775,40))</f>
        <v/>
      </c>
      <c r="Q2775" s="11" t="str">
        <f aca="false">IF(P2775="","",IF(COUNTIF($P$2:$P$3000,P2775)&gt;1,"DUPLICATE","OK"))</f>
        <v/>
      </c>
      <c r="R2775" s="0" t="str">
        <f aca="false">IF($C2775="","",IFERROR(VLOOKUP(--$C2775,MM_Income!$Z$5:$AC$204,3,FALSE()),""))</f>
        <v/>
      </c>
    </row>
    <row r="2776" customFormat="false" ht="13.5" hidden="false" customHeight="false" outlineLevel="0" collapsed="false">
      <c r="N2776" s="1" t="str">
        <f aca="false">IF(C2776="","",IFERROR(VLOOKUP(C2776,Master_Mappings!$A$4:$E$85,3,FALSE()),"UNMAPPED"))</f>
        <v/>
      </c>
      <c r="P2776" s="1" t="str">
        <f aca="false">IF($C2776="","",$C2776&amp;"|"&amp;$E2776&amp;"|"&amp;$M2776&amp;"|"&amp;TEXT($G2776,"yyyy-mm-dd")&amp;"|"&amp;LEFT($J2776,40))</f>
        <v/>
      </c>
      <c r="Q2776" s="11" t="str">
        <f aca="false">IF(P2776="","",IF(COUNTIF($P$2:$P$3000,P2776)&gt;1,"DUPLICATE","OK"))</f>
        <v/>
      </c>
      <c r="R2776" s="0" t="str">
        <f aca="false">IF($C2776="","",IFERROR(VLOOKUP(--$C2776,MM_Income!$Z$5:$AC$204,3,FALSE()),""))</f>
        <v/>
      </c>
    </row>
    <row r="2777" customFormat="false" ht="13.5" hidden="false" customHeight="false" outlineLevel="0" collapsed="false">
      <c r="N2777" s="1" t="str">
        <f aca="false">IF(C2777="","",IFERROR(VLOOKUP(C2777,Master_Mappings!$A$4:$E$85,3,FALSE()),"UNMAPPED"))</f>
        <v/>
      </c>
      <c r="P2777" s="1" t="str">
        <f aca="false">IF($C2777="","",$C2777&amp;"|"&amp;$E2777&amp;"|"&amp;$M2777&amp;"|"&amp;TEXT($G2777,"yyyy-mm-dd")&amp;"|"&amp;LEFT($J2777,40))</f>
        <v/>
      </c>
      <c r="Q2777" s="11" t="str">
        <f aca="false">IF(P2777="","",IF(COUNTIF($P$2:$P$3000,P2777)&gt;1,"DUPLICATE","OK"))</f>
        <v/>
      </c>
      <c r="R2777" s="0" t="str">
        <f aca="false">IF($C2777="","",IFERROR(VLOOKUP(--$C2777,MM_Income!$Z$5:$AC$204,3,FALSE()),""))</f>
        <v/>
      </c>
    </row>
    <row r="2778" customFormat="false" ht="13.5" hidden="false" customHeight="false" outlineLevel="0" collapsed="false">
      <c r="N2778" s="1" t="str">
        <f aca="false">IF(C2778="","",IFERROR(VLOOKUP(C2778,Master_Mappings!$A$4:$E$85,3,FALSE()),"UNMAPPED"))</f>
        <v/>
      </c>
      <c r="P2778" s="1" t="str">
        <f aca="false">IF($C2778="","",$C2778&amp;"|"&amp;$E2778&amp;"|"&amp;$M2778&amp;"|"&amp;TEXT($G2778,"yyyy-mm-dd")&amp;"|"&amp;LEFT($J2778,40))</f>
        <v/>
      </c>
      <c r="Q2778" s="11" t="str">
        <f aca="false">IF(P2778="","",IF(COUNTIF($P$2:$P$3000,P2778)&gt;1,"DUPLICATE","OK"))</f>
        <v/>
      </c>
      <c r="R2778" s="0" t="str">
        <f aca="false">IF($C2778="","",IFERROR(VLOOKUP(--$C2778,MM_Income!$Z$5:$AC$204,3,FALSE()),""))</f>
        <v/>
      </c>
    </row>
    <row r="2779" customFormat="false" ht="13.5" hidden="false" customHeight="false" outlineLevel="0" collapsed="false">
      <c r="N2779" s="1" t="str">
        <f aca="false">IF(C2779="","",IFERROR(VLOOKUP(C2779,Master_Mappings!$A$4:$E$85,3,FALSE()),"UNMAPPED"))</f>
        <v/>
      </c>
      <c r="P2779" s="1" t="str">
        <f aca="false">IF($C2779="","",$C2779&amp;"|"&amp;$E2779&amp;"|"&amp;$M2779&amp;"|"&amp;TEXT($G2779,"yyyy-mm-dd")&amp;"|"&amp;LEFT($J2779,40))</f>
        <v/>
      </c>
      <c r="Q2779" s="11" t="str">
        <f aca="false">IF(P2779="","",IF(COUNTIF($P$2:$P$3000,P2779)&gt;1,"DUPLICATE","OK"))</f>
        <v/>
      </c>
      <c r="R2779" s="0" t="str">
        <f aca="false">IF($C2779="","",IFERROR(VLOOKUP(--$C2779,MM_Income!$Z$5:$AC$204,3,FALSE()),""))</f>
        <v/>
      </c>
    </row>
    <row r="2780" customFormat="false" ht="13.5" hidden="false" customHeight="false" outlineLevel="0" collapsed="false">
      <c r="N2780" s="1" t="str">
        <f aca="false">IF(C2780="","",IFERROR(VLOOKUP(C2780,Master_Mappings!$A$4:$E$85,3,FALSE()),"UNMAPPED"))</f>
        <v/>
      </c>
      <c r="P2780" s="1" t="str">
        <f aca="false">IF($C2780="","",$C2780&amp;"|"&amp;$E2780&amp;"|"&amp;$M2780&amp;"|"&amp;TEXT($G2780,"yyyy-mm-dd")&amp;"|"&amp;LEFT($J2780,40))</f>
        <v/>
      </c>
      <c r="Q2780" s="11" t="str">
        <f aca="false">IF(P2780="","",IF(COUNTIF($P$2:$P$3000,P2780)&gt;1,"DUPLICATE","OK"))</f>
        <v/>
      </c>
      <c r="R2780" s="0" t="str">
        <f aca="false">IF($C2780="","",IFERROR(VLOOKUP(--$C2780,MM_Income!$Z$5:$AC$204,3,FALSE()),""))</f>
        <v/>
      </c>
    </row>
    <row r="2781" customFormat="false" ht="13.5" hidden="false" customHeight="false" outlineLevel="0" collapsed="false">
      <c r="N2781" s="1" t="str">
        <f aca="false">IF(C2781="","",IFERROR(VLOOKUP(C2781,Master_Mappings!$A$4:$E$85,3,FALSE()),"UNMAPPED"))</f>
        <v/>
      </c>
      <c r="P2781" s="1" t="str">
        <f aca="false">IF($C2781="","",$C2781&amp;"|"&amp;$E2781&amp;"|"&amp;$M2781&amp;"|"&amp;TEXT($G2781,"yyyy-mm-dd")&amp;"|"&amp;LEFT($J2781,40))</f>
        <v/>
      </c>
      <c r="Q2781" s="11" t="str">
        <f aca="false">IF(P2781="","",IF(COUNTIF($P$2:$P$3000,P2781)&gt;1,"DUPLICATE","OK"))</f>
        <v/>
      </c>
      <c r="R2781" s="0" t="str">
        <f aca="false">IF($C2781="","",IFERROR(VLOOKUP(--$C2781,MM_Income!$Z$5:$AC$204,3,FALSE()),""))</f>
        <v/>
      </c>
    </row>
    <row r="2782" customFormat="false" ht="13.5" hidden="false" customHeight="false" outlineLevel="0" collapsed="false">
      <c r="N2782" s="1" t="str">
        <f aca="false">IF(C2782="","",IFERROR(VLOOKUP(C2782,Master_Mappings!$A$4:$E$85,3,FALSE()),"UNMAPPED"))</f>
        <v/>
      </c>
      <c r="P2782" s="1" t="str">
        <f aca="false">IF($C2782="","",$C2782&amp;"|"&amp;$E2782&amp;"|"&amp;$M2782&amp;"|"&amp;TEXT($G2782,"yyyy-mm-dd")&amp;"|"&amp;LEFT($J2782,40))</f>
        <v/>
      </c>
      <c r="Q2782" s="11" t="str">
        <f aca="false">IF(P2782="","",IF(COUNTIF($P$2:$P$3000,P2782)&gt;1,"DUPLICATE","OK"))</f>
        <v/>
      </c>
      <c r="R2782" s="0" t="str">
        <f aca="false">IF($C2782="","",IFERROR(VLOOKUP(--$C2782,MM_Income!$Z$5:$AC$204,3,FALSE()),""))</f>
        <v/>
      </c>
    </row>
    <row r="2783" customFormat="false" ht="13.5" hidden="false" customHeight="false" outlineLevel="0" collapsed="false">
      <c r="N2783" s="1" t="str">
        <f aca="false">IF(C2783="","",IFERROR(VLOOKUP(C2783,Master_Mappings!$A$4:$E$85,3,FALSE()),"UNMAPPED"))</f>
        <v/>
      </c>
      <c r="P2783" s="1" t="str">
        <f aca="false">IF($C2783="","",$C2783&amp;"|"&amp;$E2783&amp;"|"&amp;$M2783&amp;"|"&amp;TEXT($G2783,"yyyy-mm-dd")&amp;"|"&amp;LEFT($J2783,40))</f>
        <v/>
      </c>
      <c r="Q2783" s="11" t="str">
        <f aca="false">IF(P2783="","",IF(COUNTIF($P$2:$P$3000,P2783)&gt;1,"DUPLICATE","OK"))</f>
        <v/>
      </c>
      <c r="R2783" s="0" t="str">
        <f aca="false">IF($C2783="","",IFERROR(VLOOKUP(--$C2783,MM_Income!$Z$5:$AC$204,3,FALSE()),""))</f>
        <v/>
      </c>
    </row>
    <row r="2784" customFormat="false" ht="13.5" hidden="false" customHeight="false" outlineLevel="0" collapsed="false">
      <c r="N2784" s="1" t="str">
        <f aca="false">IF(C2784="","",IFERROR(VLOOKUP(C2784,Master_Mappings!$A$4:$E$85,3,FALSE()),"UNMAPPED"))</f>
        <v/>
      </c>
      <c r="P2784" s="1" t="str">
        <f aca="false">IF($C2784="","",$C2784&amp;"|"&amp;$E2784&amp;"|"&amp;$M2784&amp;"|"&amp;TEXT($G2784,"yyyy-mm-dd")&amp;"|"&amp;LEFT($J2784,40))</f>
        <v/>
      </c>
      <c r="Q2784" s="11" t="str">
        <f aca="false">IF(P2784="","",IF(COUNTIF($P$2:$P$3000,P2784)&gt;1,"DUPLICATE","OK"))</f>
        <v/>
      </c>
      <c r="R2784" s="0" t="str">
        <f aca="false">IF($C2784="","",IFERROR(VLOOKUP(--$C2784,MM_Income!$Z$5:$AC$204,3,FALSE()),""))</f>
        <v/>
      </c>
    </row>
    <row r="2785" customFormat="false" ht="13.5" hidden="false" customHeight="false" outlineLevel="0" collapsed="false">
      <c r="N2785" s="1" t="str">
        <f aca="false">IF(C2785="","",IFERROR(VLOOKUP(C2785,Master_Mappings!$A$4:$E$85,3,FALSE()),"UNMAPPED"))</f>
        <v/>
      </c>
      <c r="P2785" s="1" t="str">
        <f aca="false">IF($C2785="","",$C2785&amp;"|"&amp;$E2785&amp;"|"&amp;$M2785&amp;"|"&amp;TEXT($G2785,"yyyy-mm-dd")&amp;"|"&amp;LEFT($J2785,40))</f>
        <v/>
      </c>
      <c r="Q2785" s="11" t="str">
        <f aca="false">IF(P2785="","",IF(COUNTIF($P$2:$P$3000,P2785)&gt;1,"DUPLICATE","OK"))</f>
        <v/>
      </c>
      <c r="R2785" s="0" t="str">
        <f aca="false">IF($C2785="","",IFERROR(VLOOKUP(--$C2785,MM_Income!$Z$5:$AC$204,3,FALSE()),""))</f>
        <v/>
      </c>
    </row>
    <row r="2786" customFormat="false" ht="13.5" hidden="false" customHeight="false" outlineLevel="0" collapsed="false">
      <c r="N2786" s="1" t="str">
        <f aca="false">IF(C2786="","",IFERROR(VLOOKUP(C2786,Master_Mappings!$A$4:$E$85,3,FALSE()),"UNMAPPED"))</f>
        <v/>
      </c>
      <c r="P2786" s="1" t="str">
        <f aca="false">IF($C2786="","",$C2786&amp;"|"&amp;$E2786&amp;"|"&amp;$M2786&amp;"|"&amp;TEXT($G2786,"yyyy-mm-dd")&amp;"|"&amp;LEFT($J2786,40))</f>
        <v/>
      </c>
      <c r="Q2786" s="11" t="str">
        <f aca="false">IF(P2786="","",IF(COUNTIF($P$2:$P$3000,P2786)&gt;1,"DUPLICATE","OK"))</f>
        <v/>
      </c>
      <c r="R2786" s="0" t="str">
        <f aca="false">IF($C2786="","",IFERROR(VLOOKUP(--$C2786,MM_Income!$Z$5:$AC$204,3,FALSE()),""))</f>
        <v/>
      </c>
    </row>
    <row r="2787" customFormat="false" ht="13.5" hidden="false" customHeight="false" outlineLevel="0" collapsed="false">
      <c r="N2787" s="1" t="str">
        <f aca="false">IF(C2787="","",IFERROR(VLOOKUP(C2787,Master_Mappings!$A$4:$E$85,3,FALSE()),"UNMAPPED"))</f>
        <v/>
      </c>
      <c r="P2787" s="1" t="str">
        <f aca="false">IF($C2787="","",$C2787&amp;"|"&amp;$E2787&amp;"|"&amp;$M2787&amp;"|"&amp;TEXT($G2787,"yyyy-mm-dd")&amp;"|"&amp;LEFT($J2787,40))</f>
        <v/>
      </c>
      <c r="Q2787" s="11" t="str">
        <f aca="false">IF(P2787="","",IF(COUNTIF($P$2:$P$3000,P2787)&gt;1,"DUPLICATE","OK"))</f>
        <v/>
      </c>
      <c r="R2787" s="0" t="str">
        <f aca="false">IF($C2787="","",IFERROR(VLOOKUP(--$C2787,MM_Income!$Z$5:$AC$204,3,FALSE()),""))</f>
        <v/>
      </c>
    </row>
    <row r="2788" customFormat="false" ht="13.5" hidden="false" customHeight="false" outlineLevel="0" collapsed="false">
      <c r="N2788" s="1" t="str">
        <f aca="false">IF(C2788="","",IFERROR(VLOOKUP(C2788,Master_Mappings!$A$4:$E$85,3,FALSE()),"UNMAPPED"))</f>
        <v/>
      </c>
      <c r="P2788" s="1" t="str">
        <f aca="false">IF($C2788="","",$C2788&amp;"|"&amp;$E2788&amp;"|"&amp;$M2788&amp;"|"&amp;TEXT($G2788,"yyyy-mm-dd")&amp;"|"&amp;LEFT($J2788,40))</f>
        <v/>
      </c>
      <c r="Q2788" s="11" t="str">
        <f aca="false">IF(P2788="","",IF(COUNTIF($P$2:$P$3000,P2788)&gt;1,"DUPLICATE","OK"))</f>
        <v/>
      </c>
      <c r="R2788" s="0" t="str">
        <f aca="false">IF($C2788="","",IFERROR(VLOOKUP(--$C2788,MM_Income!$Z$5:$AC$204,3,FALSE()),""))</f>
        <v/>
      </c>
    </row>
    <row r="2789" customFormat="false" ht="13.5" hidden="false" customHeight="false" outlineLevel="0" collapsed="false">
      <c r="N2789" s="1" t="str">
        <f aca="false">IF(C2789="","",IFERROR(VLOOKUP(C2789,Master_Mappings!$A$4:$E$85,3,FALSE()),"UNMAPPED"))</f>
        <v/>
      </c>
      <c r="P2789" s="1" t="str">
        <f aca="false">IF($C2789="","",$C2789&amp;"|"&amp;$E2789&amp;"|"&amp;$M2789&amp;"|"&amp;TEXT($G2789,"yyyy-mm-dd")&amp;"|"&amp;LEFT($J2789,40))</f>
        <v/>
      </c>
      <c r="Q2789" s="11" t="str">
        <f aca="false">IF(P2789="","",IF(COUNTIF($P$2:$P$3000,P2789)&gt;1,"DUPLICATE","OK"))</f>
        <v/>
      </c>
      <c r="R2789" s="0" t="str">
        <f aca="false">IF($C2789="","",IFERROR(VLOOKUP(--$C2789,MM_Income!$Z$5:$AC$204,3,FALSE()),""))</f>
        <v/>
      </c>
    </row>
    <row r="2790" customFormat="false" ht="13.5" hidden="false" customHeight="false" outlineLevel="0" collapsed="false">
      <c r="N2790" s="1" t="str">
        <f aca="false">IF(C2790="","",IFERROR(VLOOKUP(C2790,Master_Mappings!$A$4:$E$85,3,FALSE()),"UNMAPPED"))</f>
        <v/>
      </c>
      <c r="P2790" s="1" t="str">
        <f aca="false">IF($C2790="","",$C2790&amp;"|"&amp;$E2790&amp;"|"&amp;$M2790&amp;"|"&amp;TEXT($G2790,"yyyy-mm-dd")&amp;"|"&amp;LEFT($J2790,40))</f>
        <v/>
      </c>
      <c r="Q2790" s="11" t="str">
        <f aca="false">IF(P2790="","",IF(COUNTIF($P$2:$P$3000,P2790)&gt;1,"DUPLICATE","OK"))</f>
        <v/>
      </c>
      <c r="R2790" s="0" t="str">
        <f aca="false">IF($C2790="","",IFERROR(VLOOKUP(--$C2790,MM_Income!$Z$5:$AC$204,3,FALSE()),""))</f>
        <v/>
      </c>
    </row>
    <row r="2791" customFormat="false" ht="13.5" hidden="false" customHeight="false" outlineLevel="0" collapsed="false">
      <c r="N2791" s="1" t="str">
        <f aca="false">IF(C2791="","",IFERROR(VLOOKUP(C2791,Master_Mappings!$A$4:$E$85,3,FALSE()),"UNMAPPED"))</f>
        <v/>
      </c>
      <c r="P2791" s="1" t="str">
        <f aca="false">IF($C2791="","",$C2791&amp;"|"&amp;$E2791&amp;"|"&amp;$M2791&amp;"|"&amp;TEXT($G2791,"yyyy-mm-dd")&amp;"|"&amp;LEFT($J2791,40))</f>
        <v/>
      </c>
      <c r="Q2791" s="11" t="str">
        <f aca="false">IF(P2791="","",IF(COUNTIF($P$2:$P$3000,P2791)&gt;1,"DUPLICATE","OK"))</f>
        <v/>
      </c>
      <c r="R2791" s="0" t="str">
        <f aca="false">IF($C2791="","",IFERROR(VLOOKUP(--$C2791,MM_Income!$Z$5:$AC$204,3,FALSE()),""))</f>
        <v/>
      </c>
    </row>
    <row r="2792" customFormat="false" ht="13.5" hidden="false" customHeight="false" outlineLevel="0" collapsed="false">
      <c r="N2792" s="1" t="str">
        <f aca="false">IF(C2792="","",IFERROR(VLOOKUP(C2792,Master_Mappings!$A$4:$E$85,3,FALSE()),"UNMAPPED"))</f>
        <v/>
      </c>
      <c r="P2792" s="1" t="str">
        <f aca="false">IF($C2792="","",$C2792&amp;"|"&amp;$E2792&amp;"|"&amp;$M2792&amp;"|"&amp;TEXT($G2792,"yyyy-mm-dd")&amp;"|"&amp;LEFT($J2792,40))</f>
        <v/>
      </c>
      <c r="Q2792" s="11" t="str">
        <f aca="false">IF(P2792="","",IF(COUNTIF($P$2:$P$3000,P2792)&gt;1,"DUPLICATE","OK"))</f>
        <v/>
      </c>
      <c r="R2792" s="0" t="str">
        <f aca="false">IF($C2792="","",IFERROR(VLOOKUP(--$C2792,MM_Income!$Z$5:$AC$204,3,FALSE()),""))</f>
        <v/>
      </c>
    </row>
    <row r="2793" customFormat="false" ht="13.5" hidden="false" customHeight="false" outlineLevel="0" collapsed="false">
      <c r="N2793" s="1" t="str">
        <f aca="false">IF(C2793="","",IFERROR(VLOOKUP(C2793,Master_Mappings!$A$4:$E$85,3,FALSE()),"UNMAPPED"))</f>
        <v/>
      </c>
      <c r="P2793" s="1" t="str">
        <f aca="false">IF($C2793="","",$C2793&amp;"|"&amp;$E2793&amp;"|"&amp;$M2793&amp;"|"&amp;TEXT($G2793,"yyyy-mm-dd")&amp;"|"&amp;LEFT($J2793,40))</f>
        <v/>
      </c>
      <c r="Q2793" s="11" t="str">
        <f aca="false">IF(P2793="","",IF(COUNTIF($P$2:$P$3000,P2793)&gt;1,"DUPLICATE","OK"))</f>
        <v/>
      </c>
      <c r="R2793" s="0" t="str">
        <f aca="false">IF($C2793="","",IFERROR(VLOOKUP(--$C2793,MM_Income!$Z$5:$AC$204,3,FALSE()),""))</f>
        <v/>
      </c>
    </row>
    <row r="2794" customFormat="false" ht="13.5" hidden="false" customHeight="false" outlineLevel="0" collapsed="false">
      <c r="N2794" s="1" t="str">
        <f aca="false">IF(C2794="","",IFERROR(VLOOKUP(C2794,Master_Mappings!$A$4:$E$85,3,FALSE()),"UNMAPPED"))</f>
        <v/>
      </c>
      <c r="P2794" s="1" t="str">
        <f aca="false">IF($C2794="","",$C2794&amp;"|"&amp;$E2794&amp;"|"&amp;$M2794&amp;"|"&amp;TEXT($G2794,"yyyy-mm-dd")&amp;"|"&amp;LEFT($J2794,40))</f>
        <v/>
      </c>
      <c r="Q2794" s="11" t="str">
        <f aca="false">IF(P2794="","",IF(COUNTIF($P$2:$P$3000,P2794)&gt;1,"DUPLICATE","OK"))</f>
        <v/>
      </c>
      <c r="R2794" s="0" t="str">
        <f aca="false">IF($C2794="","",IFERROR(VLOOKUP(--$C2794,MM_Income!$Z$5:$AC$204,3,FALSE()),""))</f>
        <v/>
      </c>
    </row>
    <row r="2795" customFormat="false" ht="13.5" hidden="false" customHeight="false" outlineLevel="0" collapsed="false">
      <c r="N2795" s="1" t="str">
        <f aca="false">IF(C2795="","",IFERROR(VLOOKUP(C2795,Master_Mappings!$A$4:$E$85,3,FALSE()),"UNMAPPED"))</f>
        <v/>
      </c>
      <c r="P2795" s="1" t="str">
        <f aca="false">IF($C2795="","",$C2795&amp;"|"&amp;$E2795&amp;"|"&amp;$M2795&amp;"|"&amp;TEXT($G2795,"yyyy-mm-dd")&amp;"|"&amp;LEFT($J2795,40))</f>
        <v/>
      </c>
      <c r="Q2795" s="11" t="str">
        <f aca="false">IF(P2795="","",IF(COUNTIF($P$2:$P$3000,P2795)&gt;1,"DUPLICATE","OK"))</f>
        <v/>
      </c>
      <c r="R2795" s="0" t="str">
        <f aca="false">IF($C2795="","",IFERROR(VLOOKUP(--$C2795,MM_Income!$Z$5:$AC$204,3,FALSE()),""))</f>
        <v/>
      </c>
    </row>
    <row r="2796" customFormat="false" ht="13.5" hidden="false" customHeight="false" outlineLevel="0" collapsed="false">
      <c r="N2796" s="1" t="str">
        <f aca="false">IF(C2796="","",IFERROR(VLOOKUP(C2796,Master_Mappings!$A$4:$E$85,3,FALSE()),"UNMAPPED"))</f>
        <v/>
      </c>
      <c r="P2796" s="1" t="str">
        <f aca="false">IF($C2796="","",$C2796&amp;"|"&amp;$E2796&amp;"|"&amp;$M2796&amp;"|"&amp;TEXT($G2796,"yyyy-mm-dd")&amp;"|"&amp;LEFT($J2796,40))</f>
        <v/>
      </c>
      <c r="Q2796" s="11" t="str">
        <f aca="false">IF(P2796="","",IF(COUNTIF($P$2:$P$3000,P2796)&gt;1,"DUPLICATE","OK"))</f>
        <v/>
      </c>
      <c r="R2796" s="0" t="str">
        <f aca="false">IF($C2796="","",IFERROR(VLOOKUP(--$C2796,MM_Income!$Z$5:$AC$204,3,FALSE()),""))</f>
        <v/>
      </c>
    </row>
    <row r="2797" customFormat="false" ht="13.5" hidden="false" customHeight="false" outlineLevel="0" collapsed="false">
      <c r="N2797" s="1" t="str">
        <f aca="false">IF(C2797="","",IFERROR(VLOOKUP(C2797,Master_Mappings!$A$4:$E$85,3,FALSE()),"UNMAPPED"))</f>
        <v/>
      </c>
      <c r="P2797" s="1" t="str">
        <f aca="false">IF($C2797="","",$C2797&amp;"|"&amp;$E2797&amp;"|"&amp;$M2797&amp;"|"&amp;TEXT($G2797,"yyyy-mm-dd")&amp;"|"&amp;LEFT($J2797,40))</f>
        <v/>
      </c>
      <c r="Q2797" s="11" t="str">
        <f aca="false">IF(P2797="","",IF(COUNTIF($P$2:$P$3000,P2797)&gt;1,"DUPLICATE","OK"))</f>
        <v/>
      </c>
      <c r="R2797" s="0" t="str">
        <f aca="false">IF($C2797="","",IFERROR(VLOOKUP(--$C2797,MM_Income!$Z$5:$AC$204,3,FALSE()),""))</f>
        <v/>
      </c>
    </row>
    <row r="2798" customFormat="false" ht="13.5" hidden="false" customHeight="false" outlineLevel="0" collapsed="false">
      <c r="N2798" s="1" t="str">
        <f aca="false">IF(C2798="","",IFERROR(VLOOKUP(C2798,Master_Mappings!$A$4:$E$85,3,FALSE()),"UNMAPPED"))</f>
        <v/>
      </c>
      <c r="P2798" s="1" t="str">
        <f aca="false">IF($C2798="","",$C2798&amp;"|"&amp;$E2798&amp;"|"&amp;$M2798&amp;"|"&amp;TEXT($G2798,"yyyy-mm-dd")&amp;"|"&amp;LEFT($J2798,40))</f>
        <v/>
      </c>
      <c r="Q2798" s="11" t="str">
        <f aca="false">IF(P2798="","",IF(COUNTIF($P$2:$P$3000,P2798)&gt;1,"DUPLICATE","OK"))</f>
        <v/>
      </c>
      <c r="R2798" s="0" t="str">
        <f aca="false">IF($C2798="","",IFERROR(VLOOKUP(--$C2798,MM_Income!$Z$5:$AC$204,3,FALSE()),""))</f>
        <v/>
      </c>
    </row>
    <row r="2799" customFormat="false" ht="13.5" hidden="false" customHeight="false" outlineLevel="0" collapsed="false">
      <c r="N2799" s="1" t="str">
        <f aca="false">IF(C2799="","",IFERROR(VLOOKUP(C2799,Master_Mappings!$A$4:$E$85,3,FALSE()),"UNMAPPED"))</f>
        <v/>
      </c>
      <c r="P2799" s="1" t="str">
        <f aca="false">IF($C2799="","",$C2799&amp;"|"&amp;$E2799&amp;"|"&amp;$M2799&amp;"|"&amp;TEXT($G2799,"yyyy-mm-dd")&amp;"|"&amp;LEFT($J2799,40))</f>
        <v/>
      </c>
      <c r="Q2799" s="11" t="str">
        <f aca="false">IF(P2799="","",IF(COUNTIF($P$2:$P$3000,P2799)&gt;1,"DUPLICATE","OK"))</f>
        <v/>
      </c>
      <c r="R2799" s="0" t="str">
        <f aca="false">IF($C2799="","",IFERROR(VLOOKUP(--$C2799,MM_Income!$Z$5:$AC$204,3,FALSE()),""))</f>
        <v/>
      </c>
    </row>
    <row r="2800" customFormat="false" ht="13.5" hidden="false" customHeight="false" outlineLevel="0" collapsed="false">
      <c r="N2800" s="1" t="str">
        <f aca="false">IF(C2800="","",IFERROR(VLOOKUP(C2800,Master_Mappings!$A$4:$E$85,3,FALSE()),"UNMAPPED"))</f>
        <v/>
      </c>
      <c r="P2800" s="1" t="str">
        <f aca="false">IF($C2800="","",$C2800&amp;"|"&amp;$E2800&amp;"|"&amp;$M2800&amp;"|"&amp;TEXT($G2800,"yyyy-mm-dd")&amp;"|"&amp;LEFT($J2800,40))</f>
        <v/>
      </c>
      <c r="Q2800" s="11" t="str">
        <f aca="false">IF(P2800="","",IF(COUNTIF($P$2:$P$3000,P2800)&gt;1,"DUPLICATE","OK"))</f>
        <v/>
      </c>
      <c r="R2800" s="0" t="str">
        <f aca="false">IF($C2800="","",IFERROR(VLOOKUP(--$C2800,MM_Income!$Z$5:$AC$204,3,FALSE()),""))</f>
        <v/>
      </c>
    </row>
    <row r="2801" customFormat="false" ht="13.5" hidden="false" customHeight="false" outlineLevel="0" collapsed="false">
      <c r="N2801" s="1" t="str">
        <f aca="false">IF(C2801="","",IFERROR(VLOOKUP(C2801,Master_Mappings!$A$4:$E$85,3,FALSE()),"UNMAPPED"))</f>
        <v/>
      </c>
      <c r="P2801" s="1" t="str">
        <f aca="false">IF($C2801="","",$C2801&amp;"|"&amp;$E2801&amp;"|"&amp;$M2801&amp;"|"&amp;TEXT($G2801,"yyyy-mm-dd")&amp;"|"&amp;LEFT($J2801,40))</f>
        <v/>
      </c>
      <c r="Q2801" s="11" t="str">
        <f aca="false">IF(P2801="","",IF(COUNTIF($P$2:$P$3000,P2801)&gt;1,"DUPLICATE","OK"))</f>
        <v/>
      </c>
      <c r="R2801" s="0" t="str">
        <f aca="false">IF($C2801="","",IFERROR(VLOOKUP(--$C2801,MM_Income!$Z$5:$AC$204,3,FALSE()),""))</f>
        <v/>
      </c>
    </row>
    <row r="2802" customFormat="false" ht="13.5" hidden="false" customHeight="false" outlineLevel="0" collapsed="false">
      <c r="N2802" s="1" t="str">
        <f aca="false">IF(C2802="","",IFERROR(VLOOKUP(C2802,Master_Mappings!$A$4:$E$85,3,FALSE()),"UNMAPPED"))</f>
        <v/>
      </c>
      <c r="P2802" s="1" t="str">
        <f aca="false">IF($C2802="","",$C2802&amp;"|"&amp;$E2802&amp;"|"&amp;$M2802&amp;"|"&amp;TEXT($G2802,"yyyy-mm-dd")&amp;"|"&amp;LEFT($J2802,40))</f>
        <v/>
      </c>
      <c r="Q2802" s="11" t="str">
        <f aca="false">IF(P2802="","",IF(COUNTIF($P$2:$P$3000,P2802)&gt;1,"DUPLICATE","OK"))</f>
        <v/>
      </c>
      <c r="R2802" s="0" t="str">
        <f aca="false">IF($C2802="","",IFERROR(VLOOKUP(--$C2802,MM_Income!$Z$5:$AC$204,3,FALSE()),""))</f>
        <v/>
      </c>
    </row>
    <row r="2803" customFormat="false" ht="13.5" hidden="false" customHeight="false" outlineLevel="0" collapsed="false">
      <c r="N2803" s="1" t="str">
        <f aca="false">IF(C2803="","",IFERROR(VLOOKUP(C2803,Master_Mappings!$A$4:$E$85,3,FALSE()),"UNMAPPED"))</f>
        <v/>
      </c>
      <c r="P2803" s="1" t="str">
        <f aca="false">IF($C2803="","",$C2803&amp;"|"&amp;$E2803&amp;"|"&amp;$M2803&amp;"|"&amp;TEXT($G2803,"yyyy-mm-dd")&amp;"|"&amp;LEFT($J2803,40))</f>
        <v/>
      </c>
      <c r="Q2803" s="11" t="str">
        <f aca="false">IF(P2803="","",IF(COUNTIF($P$2:$P$3000,P2803)&gt;1,"DUPLICATE","OK"))</f>
        <v/>
      </c>
      <c r="R2803" s="0" t="str">
        <f aca="false">IF($C2803="","",IFERROR(VLOOKUP(--$C2803,MM_Income!$Z$5:$AC$204,3,FALSE()),""))</f>
        <v/>
      </c>
    </row>
    <row r="2804" customFormat="false" ht="13.5" hidden="false" customHeight="false" outlineLevel="0" collapsed="false">
      <c r="N2804" s="1" t="str">
        <f aca="false">IF(C2804="","",IFERROR(VLOOKUP(C2804,Master_Mappings!$A$4:$E$85,3,FALSE()),"UNMAPPED"))</f>
        <v/>
      </c>
      <c r="P2804" s="1" t="str">
        <f aca="false">IF($C2804="","",$C2804&amp;"|"&amp;$E2804&amp;"|"&amp;$M2804&amp;"|"&amp;TEXT($G2804,"yyyy-mm-dd")&amp;"|"&amp;LEFT($J2804,40))</f>
        <v/>
      </c>
      <c r="Q2804" s="11" t="str">
        <f aca="false">IF(P2804="","",IF(COUNTIF($P$2:$P$3000,P2804)&gt;1,"DUPLICATE","OK"))</f>
        <v/>
      </c>
      <c r="R2804" s="0" t="str">
        <f aca="false">IF($C2804="","",IFERROR(VLOOKUP(--$C2804,MM_Income!$Z$5:$AC$204,3,FALSE()),""))</f>
        <v/>
      </c>
    </row>
    <row r="2805" customFormat="false" ht="13.5" hidden="false" customHeight="false" outlineLevel="0" collapsed="false">
      <c r="N2805" s="1" t="str">
        <f aca="false">IF(C2805="","",IFERROR(VLOOKUP(C2805,Master_Mappings!$A$4:$E$85,3,FALSE()),"UNMAPPED"))</f>
        <v/>
      </c>
      <c r="P2805" s="1" t="str">
        <f aca="false">IF($C2805="","",$C2805&amp;"|"&amp;$E2805&amp;"|"&amp;$M2805&amp;"|"&amp;TEXT($G2805,"yyyy-mm-dd")&amp;"|"&amp;LEFT($J2805,40))</f>
        <v/>
      </c>
      <c r="Q2805" s="11" t="str">
        <f aca="false">IF(P2805="","",IF(COUNTIF($P$2:$P$3000,P2805)&gt;1,"DUPLICATE","OK"))</f>
        <v/>
      </c>
      <c r="R2805" s="0" t="str">
        <f aca="false">IF($C2805="","",IFERROR(VLOOKUP(--$C2805,MM_Income!$Z$5:$AC$204,3,FALSE()),""))</f>
        <v/>
      </c>
    </row>
    <row r="2806" customFormat="false" ht="13.5" hidden="false" customHeight="false" outlineLevel="0" collapsed="false">
      <c r="N2806" s="1" t="str">
        <f aca="false">IF(C2806="","",IFERROR(VLOOKUP(C2806,Master_Mappings!$A$4:$E$85,3,FALSE()),"UNMAPPED"))</f>
        <v/>
      </c>
      <c r="P2806" s="1" t="str">
        <f aca="false">IF($C2806="","",$C2806&amp;"|"&amp;$E2806&amp;"|"&amp;$M2806&amp;"|"&amp;TEXT($G2806,"yyyy-mm-dd")&amp;"|"&amp;LEFT($J2806,40))</f>
        <v/>
      </c>
      <c r="Q2806" s="11" t="str">
        <f aca="false">IF(P2806="","",IF(COUNTIF($P$2:$P$3000,P2806)&gt;1,"DUPLICATE","OK"))</f>
        <v/>
      </c>
      <c r="R2806" s="0" t="str">
        <f aca="false">IF($C2806="","",IFERROR(VLOOKUP(--$C2806,MM_Income!$Z$5:$AC$204,3,FALSE()),""))</f>
        <v/>
      </c>
    </row>
    <row r="2807" customFormat="false" ht="13.5" hidden="false" customHeight="false" outlineLevel="0" collapsed="false">
      <c r="N2807" s="1" t="str">
        <f aca="false">IF(C2807="","",IFERROR(VLOOKUP(C2807,Master_Mappings!$A$4:$E$85,3,FALSE()),"UNMAPPED"))</f>
        <v/>
      </c>
      <c r="P2807" s="1" t="str">
        <f aca="false">IF($C2807="","",$C2807&amp;"|"&amp;$E2807&amp;"|"&amp;$M2807&amp;"|"&amp;TEXT($G2807,"yyyy-mm-dd")&amp;"|"&amp;LEFT($J2807,40))</f>
        <v/>
      </c>
      <c r="Q2807" s="11" t="str">
        <f aca="false">IF(P2807="","",IF(COUNTIF($P$2:$P$3000,P2807)&gt;1,"DUPLICATE","OK"))</f>
        <v/>
      </c>
      <c r="R2807" s="0" t="str">
        <f aca="false">IF($C2807="","",IFERROR(VLOOKUP(--$C2807,MM_Income!$Z$5:$AC$204,3,FALSE()),""))</f>
        <v/>
      </c>
    </row>
    <row r="2808" customFormat="false" ht="13.5" hidden="false" customHeight="false" outlineLevel="0" collapsed="false">
      <c r="N2808" s="1" t="str">
        <f aca="false">IF(C2808="","",IFERROR(VLOOKUP(C2808,Master_Mappings!$A$4:$E$85,3,FALSE()),"UNMAPPED"))</f>
        <v/>
      </c>
      <c r="P2808" s="1" t="str">
        <f aca="false">IF($C2808="","",$C2808&amp;"|"&amp;$E2808&amp;"|"&amp;$M2808&amp;"|"&amp;TEXT($G2808,"yyyy-mm-dd")&amp;"|"&amp;LEFT($J2808,40))</f>
        <v/>
      </c>
      <c r="Q2808" s="11" t="str">
        <f aca="false">IF(P2808="","",IF(COUNTIF($P$2:$P$3000,P2808)&gt;1,"DUPLICATE","OK"))</f>
        <v/>
      </c>
      <c r="R2808" s="0" t="str">
        <f aca="false">IF($C2808="","",IFERROR(VLOOKUP(--$C2808,MM_Income!$Z$5:$AC$204,3,FALSE()),""))</f>
        <v/>
      </c>
    </row>
    <row r="2809" customFormat="false" ht="13.5" hidden="false" customHeight="false" outlineLevel="0" collapsed="false">
      <c r="N2809" s="1" t="str">
        <f aca="false">IF(C2809="","",IFERROR(VLOOKUP(C2809,Master_Mappings!$A$4:$E$85,3,FALSE()),"UNMAPPED"))</f>
        <v/>
      </c>
      <c r="P2809" s="1" t="str">
        <f aca="false">IF($C2809="","",$C2809&amp;"|"&amp;$E2809&amp;"|"&amp;$M2809&amp;"|"&amp;TEXT($G2809,"yyyy-mm-dd")&amp;"|"&amp;LEFT($J2809,40))</f>
        <v/>
      </c>
      <c r="Q2809" s="11" t="str">
        <f aca="false">IF(P2809="","",IF(COUNTIF($P$2:$P$3000,P2809)&gt;1,"DUPLICATE","OK"))</f>
        <v/>
      </c>
      <c r="R2809" s="0" t="str">
        <f aca="false">IF($C2809="","",IFERROR(VLOOKUP(--$C2809,MM_Income!$Z$5:$AC$204,3,FALSE()),""))</f>
        <v/>
      </c>
    </row>
    <row r="2810" customFormat="false" ht="13.5" hidden="false" customHeight="false" outlineLevel="0" collapsed="false">
      <c r="N2810" s="1" t="str">
        <f aca="false">IF(C2810="","",IFERROR(VLOOKUP(C2810,Master_Mappings!$A$4:$E$85,3,FALSE()),"UNMAPPED"))</f>
        <v/>
      </c>
      <c r="P2810" s="1" t="str">
        <f aca="false">IF($C2810="","",$C2810&amp;"|"&amp;$E2810&amp;"|"&amp;$M2810&amp;"|"&amp;TEXT($G2810,"yyyy-mm-dd")&amp;"|"&amp;LEFT($J2810,40))</f>
        <v/>
      </c>
      <c r="Q2810" s="11" t="str">
        <f aca="false">IF(P2810="","",IF(COUNTIF($P$2:$P$3000,P2810)&gt;1,"DUPLICATE","OK"))</f>
        <v/>
      </c>
      <c r="R2810" s="0" t="str">
        <f aca="false">IF($C2810="","",IFERROR(VLOOKUP(--$C2810,MM_Income!$Z$5:$AC$204,3,FALSE()),""))</f>
        <v/>
      </c>
    </row>
    <row r="2811" customFormat="false" ht="13.5" hidden="false" customHeight="false" outlineLevel="0" collapsed="false">
      <c r="N2811" s="1" t="str">
        <f aca="false">IF(C2811="","",IFERROR(VLOOKUP(C2811,Master_Mappings!$A$4:$E$85,3,FALSE()),"UNMAPPED"))</f>
        <v/>
      </c>
      <c r="P2811" s="1" t="str">
        <f aca="false">IF($C2811="","",$C2811&amp;"|"&amp;$E2811&amp;"|"&amp;$M2811&amp;"|"&amp;TEXT($G2811,"yyyy-mm-dd")&amp;"|"&amp;LEFT($J2811,40))</f>
        <v/>
      </c>
      <c r="Q2811" s="11" t="str">
        <f aca="false">IF(P2811="","",IF(COUNTIF($P$2:$P$3000,P2811)&gt;1,"DUPLICATE","OK"))</f>
        <v/>
      </c>
      <c r="R2811" s="0" t="str">
        <f aca="false">IF($C2811="","",IFERROR(VLOOKUP(--$C2811,MM_Income!$Z$5:$AC$204,3,FALSE()),""))</f>
        <v/>
      </c>
    </row>
    <row r="2812" customFormat="false" ht="13.5" hidden="false" customHeight="false" outlineLevel="0" collapsed="false">
      <c r="N2812" s="1" t="str">
        <f aca="false">IF(C2812="","",IFERROR(VLOOKUP(C2812,Master_Mappings!$A$4:$E$85,3,FALSE()),"UNMAPPED"))</f>
        <v/>
      </c>
      <c r="P2812" s="1" t="str">
        <f aca="false">IF($C2812="","",$C2812&amp;"|"&amp;$E2812&amp;"|"&amp;$M2812&amp;"|"&amp;TEXT($G2812,"yyyy-mm-dd")&amp;"|"&amp;LEFT($J2812,40))</f>
        <v/>
      </c>
      <c r="Q2812" s="11" t="str">
        <f aca="false">IF(P2812="","",IF(COUNTIF($P$2:$P$3000,P2812)&gt;1,"DUPLICATE","OK"))</f>
        <v/>
      </c>
      <c r="R2812" s="0" t="str">
        <f aca="false">IF($C2812="","",IFERROR(VLOOKUP(--$C2812,MM_Income!$Z$5:$AC$204,3,FALSE()),""))</f>
        <v/>
      </c>
    </row>
    <row r="2813" customFormat="false" ht="13.5" hidden="false" customHeight="false" outlineLevel="0" collapsed="false">
      <c r="N2813" s="1" t="str">
        <f aca="false">IF(C2813="","",IFERROR(VLOOKUP(C2813,Master_Mappings!$A$4:$E$85,3,FALSE()),"UNMAPPED"))</f>
        <v/>
      </c>
      <c r="P2813" s="1" t="str">
        <f aca="false">IF($C2813="","",$C2813&amp;"|"&amp;$E2813&amp;"|"&amp;$M2813&amp;"|"&amp;TEXT($G2813,"yyyy-mm-dd")&amp;"|"&amp;LEFT($J2813,40))</f>
        <v/>
      </c>
      <c r="Q2813" s="11" t="str">
        <f aca="false">IF(P2813="","",IF(COUNTIF($P$2:$P$3000,P2813)&gt;1,"DUPLICATE","OK"))</f>
        <v/>
      </c>
      <c r="R2813" s="0" t="str">
        <f aca="false">IF($C2813="","",IFERROR(VLOOKUP(--$C2813,MM_Income!$Z$5:$AC$204,3,FALSE()),""))</f>
        <v/>
      </c>
    </row>
    <row r="2814" customFormat="false" ht="13.5" hidden="false" customHeight="false" outlineLevel="0" collapsed="false">
      <c r="N2814" s="1" t="str">
        <f aca="false">IF(C2814="","",IFERROR(VLOOKUP(C2814,Master_Mappings!$A$4:$E$85,3,FALSE()),"UNMAPPED"))</f>
        <v/>
      </c>
      <c r="P2814" s="1" t="str">
        <f aca="false">IF($C2814="","",$C2814&amp;"|"&amp;$E2814&amp;"|"&amp;$M2814&amp;"|"&amp;TEXT($G2814,"yyyy-mm-dd")&amp;"|"&amp;LEFT($J2814,40))</f>
        <v/>
      </c>
      <c r="Q2814" s="11" t="str">
        <f aca="false">IF(P2814="","",IF(COUNTIF($P$2:$P$3000,P2814)&gt;1,"DUPLICATE","OK"))</f>
        <v/>
      </c>
      <c r="R2814" s="0" t="str">
        <f aca="false">IF($C2814="","",IFERROR(VLOOKUP(--$C2814,MM_Income!$Z$5:$AC$204,3,FALSE()),""))</f>
        <v/>
      </c>
    </row>
    <row r="2815" customFormat="false" ht="13.5" hidden="false" customHeight="false" outlineLevel="0" collapsed="false">
      <c r="N2815" s="1" t="str">
        <f aca="false">IF(C2815="","",IFERROR(VLOOKUP(C2815,Master_Mappings!$A$4:$E$85,3,FALSE()),"UNMAPPED"))</f>
        <v/>
      </c>
      <c r="P2815" s="1" t="str">
        <f aca="false">IF($C2815="","",$C2815&amp;"|"&amp;$E2815&amp;"|"&amp;$M2815&amp;"|"&amp;TEXT($G2815,"yyyy-mm-dd")&amp;"|"&amp;LEFT($J2815,40))</f>
        <v/>
      </c>
      <c r="Q2815" s="11" t="str">
        <f aca="false">IF(P2815="","",IF(COUNTIF($P$2:$P$3000,P2815)&gt;1,"DUPLICATE","OK"))</f>
        <v/>
      </c>
      <c r="R2815" s="0" t="str">
        <f aca="false">IF($C2815="","",IFERROR(VLOOKUP(--$C2815,MM_Income!$Z$5:$AC$204,3,FALSE()),""))</f>
        <v/>
      </c>
    </row>
    <row r="2816" customFormat="false" ht="13.5" hidden="false" customHeight="false" outlineLevel="0" collapsed="false">
      <c r="N2816" s="1" t="str">
        <f aca="false">IF(C2816="","",IFERROR(VLOOKUP(C2816,Master_Mappings!$A$4:$E$85,3,FALSE()),"UNMAPPED"))</f>
        <v/>
      </c>
      <c r="P2816" s="1" t="str">
        <f aca="false">IF($C2816="","",$C2816&amp;"|"&amp;$E2816&amp;"|"&amp;$M2816&amp;"|"&amp;TEXT($G2816,"yyyy-mm-dd")&amp;"|"&amp;LEFT($J2816,40))</f>
        <v/>
      </c>
      <c r="Q2816" s="11" t="str">
        <f aca="false">IF(P2816="","",IF(COUNTIF($P$2:$P$3000,P2816)&gt;1,"DUPLICATE","OK"))</f>
        <v/>
      </c>
      <c r="R2816" s="0" t="str">
        <f aca="false">IF($C2816="","",IFERROR(VLOOKUP(--$C2816,MM_Income!$Z$5:$AC$204,3,FALSE()),""))</f>
        <v/>
      </c>
    </row>
    <row r="2817" customFormat="false" ht="13.5" hidden="false" customHeight="false" outlineLevel="0" collapsed="false">
      <c r="N2817" s="1" t="str">
        <f aca="false">IF(C2817="","",IFERROR(VLOOKUP(C2817,Master_Mappings!$A$4:$E$85,3,FALSE()),"UNMAPPED"))</f>
        <v/>
      </c>
      <c r="P2817" s="1" t="str">
        <f aca="false">IF($C2817="","",$C2817&amp;"|"&amp;$E2817&amp;"|"&amp;$M2817&amp;"|"&amp;TEXT($G2817,"yyyy-mm-dd")&amp;"|"&amp;LEFT($J2817,40))</f>
        <v/>
      </c>
      <c r="Q2817" s="11" t="str">
        <f aca="false">IF(P2817="","",IF(COUNTIF($P$2:$P$3000,P2817)&gt;1,"DUPLICATE","OK"))</f>
        <v/>
      </c>
      <c r="R2817" s="0" t="str">
        <f aca="false">IF($C2817="","",IFERROR(VLOOKUP(--$C2817,MM_Income!$Z$5:$AC$204,3,FALSE()),""))</f>
        <v/>
      </c>
    </row>
    <row r="2818" customFormat="false" ht="13.5" hidden="false" customHeight="false" outlineLevel="0" collapsed="false">
      <c r="N2818" s="1" t="str">
        <f aca="false">IF(C2818="","",IFERROR(VLOOKUP(C2818,Master_Mappings!$A$4:$E$85,3,FALSE()),"UNMAPPED"))</f>
        <v/>
      </c>
      <c r="P2818" s="1" t="str">
        <f aca="false">IF($C2818="","",$C2818&amp;"|"&amp;$E2818&amp;"|"&amp;$M2818&amp;"|"&amp;TEXT($G2818,"yyyy-mm-dd")&amp;"|"&amp;LEFT($J2818,40))</f>
        <v/>
      </c>
      <c r="Q2818" s="11" t="str">
        <f aca="false">IF(P2818="","",IF(COUNTIF($P$2:$P$3000,P2818)&gt;1,"DUPLICATE","OK"))</f>
        <v/>
      </c>
      <c r="R2818" s="0" t="str">
        <f aca="false">IF($C2818="","",IFERROR(VLOOKUP(--$C2818,MM_Income!$Z$5:$AC$204,3,FALSE()),""))</f>
        <v/>
      </c>
    </row>
    <row r="2819" customFormat="false" ht="13.5" hidden="false" customHeight="false" outlineLevel="0" collapsed="false">
      <c r="N2819" s="1" t="str">
        <f aca="false">IF(C2819="","",IFERROR(VLOOKUP(C2819,Master_Mappings!$A$4:$E$85,3,FALSE()),"UNMAPPED"))</f>
        <v/>
      </c>
      <c r="P2819" s="1" t="str">
        <f aca="false">IF($C2819="","",$C2819&amp;"|"&amp;$E2819&amp;"|"&amp;$M2819&amp;"|"&amp;TEXT($G2819,"yyyy-mm-dd")&amp;"|"&amp;LEFT($J2819,40))</f>
        <v/>
      </c>
      <c r="Q2819" s="11" t="str">
        <f aca="false">IF(P2819="","",IF(COUNTIF($P$2:$P$3000,P2819)&gt;1,"DUPLICATE","OK"))</f>
        <v/>
      </c>
      <c r="R2819" s="0" t="str">
        <f aca="false">IF($C2819="","",IFERROR(VLOOKUP(--$C2819,MM_Income!$Z$5:$AC$204,3,FALSE()),""))</f>
        <v/>
      </c>
    </row>
    <row r="2820" customFormat="false" ht="13.5" hidden="false" customHeight="false" outlineLevel="0" collapsed="false">
      <c r="N2820" s="1" t="str">
        <f aca="false">IF(C2820="","",IFERROR(VLOOKUP(C2820,Master_Mappings!$A$4:$E$85,3,FALSE()),"UNMAPPED"))</f>
        <v/>
      </c>
      <c r="P2820" s="1" t="str">
        <f aca="false">IF($C2820="","",$C2820&amp;"|"&amp;$E2820&amp;"|"&amp;$M2820&amp;"|"&amp;TEXT($G2820,"yyyy-mm-dd")&amp;"|"&amp;LEFT($J2820,40))</f>
        <v/>
      </c>
      <c r="Q2820" s="11" t="str">
        <f aca="false">IF(P2820="","",IF(COUNTIF($P$2:$P$3000,P2820)&gt;1,"DUPLICATE","OK"))</f>
        <v/>
      </c>
      <c r="R2820" s="0" t="str">
        <f aca="false">IF($C2820="","",IFERROR(VLOOKUP(--$C2820,MM_Income!$Z$5:$AC$204,3,FALSE()),""))</f>
        <v/>
      </c>
    </row>
    <row r="2821" customFormat="false" ht="13.5" hidden="false" customHeight="false" outlineLevel="0" collapsed="false">
      <c r="N2821" s="1" t="str">
        <f aca="false">IF(C2821="","",IFERROR(VLOOKUP(C2821,Master_Mappings!$A$4:$E$85,3,FALSE()),"UNMAPPED"))</f>
        <v/>
      </c>
      <c r="P2821" s="1" t="str">
        <f aca="false">IF($C2821="","",$C2821&amp;"|"&amp;$E2821&amp;"|"&amp;$M2821&amp;"|"&amp;TEXT($G2821,"yyyy-mm-dd")&amp;"|"&amp;LEFT($J2821,40))</f>
        <v/>
      </c>
      <c r="Q2821" s="11" t="str">
        <f aca="false">IF(P2821="","",IF(COUNTIF($P$2:$P$3000,P2821)&gt;1,"DUPLICATE","OK"))</f>
        <v/>
      </c>
      <c r="R2821" s="0" t="str">
        <f aca="false">IF($C2821="","",IFERROR(VLOOKUP(--$C2821,MM_Income!$Z$5:$AC$204,3,FALSE()),""))</f>
        <v/>
      </c>
    </row>
    <row r="2822" customFormat="false" ht="13.5" hidden="false" customHeight="false" outlineLevel="0" collapsed="false">
      <c r="N2822" s="1" t="str">
        <f aca="false">IF(C2822="","",IFERROR(VLOOKUP(C2822,Master_Mappings!$A$4:$E$85,3,FALSE()),"UNMAPPED"))</f>
        <v/>
      </c>
      <c r="P2822" s="1" t="str">
        <f aca="false">IF($C2822="","",$C2822&amp;"|"&amp;$E2822&amp;"|"&amp;$M2822&amp;"|"&amp;TEXT($G2822,"yyyy-mm-dd")&amp;"|"&amp;LEFT($J2822,40))</f>
        <v/>
      </c>
      <c r="Q2822" s="11" t="str">
        <f aca="false">IF(P2822="","",IF(COUNTIF($P$2:$P$3000,P2822)&gt;1,"DUPLICATE","OK"))</f>
        <v/>
      </c>
      <c r="R2822" s="0" t="str">
        <f aca="false">IF($C2822="","",IFERROR(VLOOKUP(--$C2822,MM_Income!$Z$5:$AC$204,3,FALSE()),""))</f>
        <v/>
      </c>
    </row>
    <row r="2823" customFormat="false" ht="13.5" hidden="false" customHeight="false" outlineLevel="0" collapsed="false">
      <c r="N2823" s="1" t="str">
        <f aca="false">IF(C2823="","",IFERROR(VLOOKUP(C2823,Master_Mappings!$A$4:$E$85,3,FALSE()),"UNMAPPED"))</f>
        <v/>
      </c>
      <c r="P2823" s="1" t="str">
        <f aca="false">IF($C2823="","",$C2823&amp;"|"&amp;$E2823&amp;"|"&amp;$M2823&amp;"|"&amp;TEXT($G2823,"yyyy-mm-dd")&amp;"|"&amp;LEFT($J2823,40))</f>
        <v/>
      </c>
      <c r="Q2823" s="11" t="str">
        <f aca="false">IF(P2823="","",IF(COUNTIF($P$2:$P$3000,P2823)&gt;1,"DUPLICATE","OK"))</f>
        <v/>
      </c>
      <c r="R2823" s="0" t="str">
        <f aca="false">IF($C2823="","",IFERROR(VLOOKUP(--$C2823,MM_Income!$Z$5:$AC$204,3,FALSE()),""))</f>
        <v/>
      </c>
    </row>
    <row r="2824" customFormat="false" ht="13.5" hidden="false" customHeight="false" outlineLevel="0" collapsed="false">
      <c r="N2824" s="1" t="str">
        <f aca="false">IF(C2824="","",IFERROR(VLOOKUP(C2824,Master_Mappings!$A$4:$E$85,3,FALSE()),"UNMAPPED"))</f>
        <v/>
      </c>
      <c r="P2824" s="1" t="str">
        <f aca="false">IF($C2824="","",$C2824&amp;"|"&amp;$E2824&amp;"|"&amp;$M2824&amp;"|"&amp;TEXT($G2824,"yyyy-mm-dd")&amp;"|"&amp;LEFT($J2824,40))</f>
        <v/>
      </c>
      <c r="Q2824" s="11" t="str">
        <f aca="false">IF(P2824="","",IF(COUNTIF($P$2:$P$3000,P2824)&gt;1,"DUPLICATE","OK"))</f>
        <v/>
      </c>
      <c r="R2824" s="0" t="str">
        <f aca="false">IF($C2824="","",IFERROR(VLOOKUP(--$C2824,MM_Income!$Z$5:$AC$204,3,FALSE()),""))</f>
        <v/>
      </c>
    </row>
    <row r="2825" customFormat="false" ht="13.5" hidden="false" customHeight="false" outlineLevel="0" collapsed="false">
      <c r="N2825" s="1" t="str">
        <f aca="false">IF(C2825="","",IFERROR(VLOOKUP(C2825,Master_Mappings!$A$4:$E$85,3,FALSE()),"UNMAPPED"))</f>
        <v/>
      </c>
      <c r="P2825" s="1" t="str">
        <f aca="false">IF($C2825="","",$C2825&amp;"|"&amp;$E2825&amp;"|"&amp;$M2825&amp;"|"&amp;TEXT($G2825,"yyyy-mm-dd")&amp;"|"&amp;LEFT($J2825,40))</f>
        <v/>
      </c>
      <c r="Q2825" s="11" t="str">
        <f aca="false">IF(P2825="","",IF(COUNTIF($P$2:$P$3000,P2825)&gt;1,"DUPLICATE","OK"))</f>
        <v/>
      </c>
      <c r="R2825" s="0" t="str">
        <f aca="false">IF($C2825="","",IFERROR(VLOOKUP(--$C2825,MM_Income!$Z$5:$AC$204,3,FALSE()),""))</f>
        <v/>
      </c>
    </row>
    <row r="2826" customFormat="false" ht="13.5" hidden="false" customHeight="false" outlineLevel="0" collapsed="false">
      <c r="N2826" s="1" t="str">
        <f aca="false">IF(C2826="","",IFERROR(VLOOKUP(C2826,Master_Mappings!$A$4:$E$85,3,FALSE()),"UNMAPPED"))</f>
        <v/>
      </c>
      <c r="P2826" s="1" t="str">
        <f aca="false">IF($C2826="","",$C2826&amp;"|"&amp;$E2826&amp;"|"&amp;$M2826&amp;"|"&amp;TEXT($G2826,"yyyy-mm-dd")&amp;"|"&amp;LEFT($J2826,40))</f>
        <v/>
      </c>
      <c r="Q2826" s="11" t="str">
        <f aca="false">IF(P2826="","",IF(COUNTIF($P$2:$P$3000,P2826)&gt;1,"DUPLICATE","OK"))</f>
        <v/>
      </c>
      <c r="R2826" s="0" t="str">
        <f aca="false">IF($C2826="","",IFERROR(VLOOKUP(--$C2826,MM_Income!$Z$5:$AC$204,3,FALSE()),""))</f>
        <v/>
      </c>
    </row>
    <row r="2827" customFormat="false" ht="13.5" hidden="false" customHeight="false" outlineLevel="0" collapsed="false">
      <c r="N2827" s="1" t="str">
        <f aca="false">IF(C2827="","",IFERROR(VLOOKUP(C2827,Master_Mappings!$A$4:$E$85,3,FALSE()),"UNMAPPED"))</f>
        <v/>
      </c>
      <c r="P2827" s="1" t="str">
        <f aca="false">IF($C2827="","",$C2827&amp;"|"&amp;$E2827&amp;"|"&amp;$M2827&amp;"|"&amp;TEXT($G2827,"yyyy-mm-dd")&amp;"|"&amp;LEFT($J2827,40))</f>
        <v/>
      </c>
      <c r="Q2827" s="11" t="str">
        <f aca="false">IF(P2827="","",IF(COUNTIF($P$2:$P$3000,P2827)&gt;1,"DUPLICATE","OK"))</f>
        <v/>
      </c>
      <c r="R2827" s="0" t="str">
        <f aca="false">IF($C2827="","",IFERROR(VLOOKUP(--$C2827,MM_Income!$Z$5:$AC$204,3,FALSE()),""))</f>
        <v/>
      </c>
    </row>
    <row r="2828" customFormat="false" ht="13.5" hidden="false" customHeight="false" outlineLevel="0" collapsed="false">
      <c r="N2828" s="1" t="str">
        <f aca="false">IF(C2828="","",IFERROR(VLOOKUP(C2828,Master_Mappings!$A$4:$E$85,3,FALSE()),"UNMAPPED"))</f>
        <v/>
      </c>
      <c r="P2828" s="1" t="str">
        <f aca="false">IF($C2828="","",$C2828&amp;"|"&amp;$E2828&amp;"|"&amp;$M2828&amp;"|"&amp;TEXT($G2828,"yyyy-mm-dd")&amp;"|"&amp;LEFT($J2828,40))</f>
        <v/>
      </c>
      <c r="Q2828" s="11" t="str">
        <f aca="false">IF(P2828="","",IF(COUNTIF($P$2:$P$3000,P2828)&gt;1,"DUPLICATE","OK"))</f>
        <v/>
      </c>
      <c r="R2828" s="0" t="str">
        <f aca="false">IF($C2828="","",IFERROR(VLOOKUP(--$C2828,MM_Income!$Z$5:$AC$204,3,FALSE()),""))</f>
        <v/>
      </c>
    </row>
    <row r="2829" customFormat="false" ht="13.5" hidden="false" customHeight="false" outlineLevel="0" collapsed="false">
      <c r="N2829" s="1" t="str">
        <f aca="false">IF(C2829="","",IFERROR(VLOOKUP(C2829,Master_Mappings!$A$4:$E$85,3,FALSE()),"UNMAPPED"))</f>
        <v/>
      </c>
      <c r="P2829" s="1" t="str">
        <f aca="false">IF($C2829="","",$C2829&amp;"|"&amp;$E2829&amp;"|"&amp;$M2829&amp;"|"&amp;TEXT($G2829,"yyyy-mm-dd")&amp;"|"&amp;LEFT($J2829,40))</f>
        <v/>
      </c>
      <c r="Q2829" s="11" t="str">
        <f aca="false">IF(P2829="","",IF(COUNTIF($P$2:$P$3000,P2829)&gt;1,"DUPLICATE","OK"))</f>
        <v/>
      </c>
      <c r="R2829" s="0" t="str">
        <f aca="false">IF($C2829="","",IFERROR(VLOOKUP(--$C2829,MM_Income!$Z$5:$AC$204,3,FALSE()),""))</f>
        <v/>
      </c>
    </row>
    <row r="2830" customFormat="false" ht="13.5" hidden="false" customHeight="false" outlineLevel="0" collapsed="false">
      <c r="N2830" s="1" t="str">
        <f aca="false">IF(C2830="","",IFERROR(VLOOKUP(C2830,Master_Mappings!$A$4:$E$85,3,FALSE()),"UNMAPPED"))</f>
        <v/>
      </c>
      <c r="P2830" s="1" t="str">
        <f aca="false">IF($C2830="","",$C2830&amp;"|"&amp;$E2830&amp;"|"&amp;$M2830&amp;"|"&amp;TEXT($G2830,"yyyy-mm-dd")&amp;"|"&amp;LEFT($J2830,40))</f>
        <v/>
      </c>
      <c r="Q2830" s="11" t="str">
        <f aca="false">IF(P2830="","",IF(COUNTIF($P$2:$P$3000,P2830)&gt;1,"DUPLICATE","OK"))</f>
        <v/>
      </c>
      <c r="R2830" s="0" t="str">
        <f aca="false">IF($C2830="","",IFERROR(VLOOKUP(--$C2830,MM_Income!$Z$5:$AC$204,3,FALSE()),""))</f>
        <v/>
      </c>
    </row>
    <row r="2831" customFormat="false" ht="13.5" hidden="false" customHeight="false" outlineLevel="0" collapsed="false">
      <c r="N2831" s="1" t="str">
        <f aca="false">IF(C2831="","",IFERROR(VLOOKUP(C2831,Master_Mappings!$A$4:$E$85,3,FALSE()),"UNMAPPED"))</f>
        <v/>
      </c>
      <c r="P2831" s="1" t="str">
        <f aca="false">IF($C2831="","",$C2831&amp;"|"&amp;$E2831&amp;"|"&amp;$M2831&amp;"|"&amp;TEXT($G2831,"yyyy-mm-dd")&amp;"|"&amp;LEFT($J2831,40))</f>
        <v/>
      </c>
      <c r="Q2831" s="11" t="str">
        <f aca="false">IF(P2831="","",IF(COUNTIF($P$2:$P$3000,P2831)&gt;1,"DUPLICATE","OK"))</f>
        <v/>
      </c>
      <c r="R2831" s="0" t="str">
        <f aca="false">IF($C2831="","",IFERROR(VLOOKUP(--$C2831,MM_Income!$Z$5:$AC$204,3,FALSE()),""))</f>
        <v/>
      </c>
    </row>
    <row r="2832" customFormat="false" ht="13.5" hidden="false" customHeight="false" outlineLevel="0" collapsed="false">
      <c r="N2832" s="1" t="str">
        <f aca="false">IF(C2832="","",IFERROR(VLOOKUP(C2832,Master_Mappings!$A$4:$E$85,3,FALSE()),"UNMAPPED"))</f>
        <v/>
      </c>
      <c r="P2832" s="1" t="str">
        <f aca="false">IF($C2832="","",$C2832&amp;"|"&amp;$E2832&amp;"|"&amp;$M2832&amp;"|"&amp;TEXT($G2832,"yyyy-mm-dd")&amp;"|"&amp;LEFT($J2832,40))</f>
        <v/>
      </c>
      <c r="Q2832" s="11" t="str">
        <f aca="false">IF(P2832="","",IF(COUNTIF($P$2:$P$3000,P2832)&gt;1,"DUPLICATE","OK"))</f>
        <v/>
      </c>
      <c r="R2832" s="0" t="str">
        <f aca="false">IF($C2832="","",IFERROR(VLOOKUP(--$C2832,MM_Income!$Z$5:$AC$204,3,FALSE()),""))</f>
        <v/>
      </c>
    </row>
    <row r="2833" customFormat="false" ht="13.5" hidden="false" customHeight="false" outlineLevel="0" collapsed="false">
      <c r="N2833" s="1" t="str">
        <f aca="false">IF(C2833="","",IFERROR(VLOOKUP(C2833,Master_Mappings!$A$4:$E$85,3,FALSE()),"UNMAPPED"))</f>
        <v/>
      </c>
      <c r="P2833" s="1" t="str">
        <f aca="false">IF($C2833="","",$C2833&amp;"|"&amp;$E2833&amp;"|"&amp;$M2833&amp;"|"&amp;TEXT($G2833,"yyyy-mm-dd")&amp;"|"&amp;LEFT($J2833,40))</f>
        <v/>
      </c>
      <c r="Q2833" s="11" t="str">
        <f aca="false">IF(P2833="","",IF(COUNTIF($P$2:$P$3000,P2833)&gt;1,"DUPLICATE","OK"))</f>
        <v/>
      </c>
      <c r="R2833" s="0" t="str">
        <f aca="false">IF($C2833="","",IFERROR(VLOOKUP(--$C2833,MM_Income!$Z$5:$AC$204,3,FALSE()),""))</f>
        <v/>
      </c>
    </row>
    <row r="2834" customFormat="false" ht="13.5" hidden="false" customHeight="false" outlineLevel="0" collapsed="false">
      <c r="N2834" s="1" t="str">
        <f aca="false">IF(C2834="","",IFERROR(VLOOKUP(C2834,Master_Mappings!$A$4:$E$85,3,FALSE()),"UNMAPPED"))</f>
        <v/>
      </c>
      <c r="P2834" s="1" t="str">
        <f aca="false">IF($C2834="","",$C2834&amp;"|"&amp;$E2834&amp;"|"&amp;$M2834&amp;"|"&amp;TEXT($G2834,"yyyy-mm-dd")&amp;"|"&amp;LEFT($J2834,40))</f>
        <v/>
      </c>
      <c r="Q2834" s="11" t="str">
        <f aca="false">IF(P2834="","",IF(COUNTIF($P$2:$P$3000,P2834)&gt;1,"DUPLICATE","OK"))</f>
        <v/>
      </c>
      <c r="R2834" s="0" t="str">
        <f aca="false">IF($C2834="","",IFERROR(VLOOKUP(--$C2834,MM_Income!$Z$5:$AC$204,3,FALSE()),""))</f>
        <v/>
      </c>
    </row>
    <row r="2835" customFormat="false" ht="13.5" hidden="false" customHeight="false" outlineLevel="0" collapsed="false">
      <c r="N2835" s="1" t="str">
        <f aca="false">IF(C2835="","",IFERROR(VLOOKUP(C2835,Master_Mappings!$A$4:$E$85,3,FALSE()),"UNMAPPED"))</f>
        <v/>
      </c>
      <c r="P2835" s="1" t="str">
        <f aca="false">IF($C2835="","",$C2835&amp;"|"&amp;$E2835&amp;"|"&amp;$M2835&amp;"|"&amp;TEXT($G2835,"yyyy-mm-dd")&amp;"|"&amp;LEFT($J2835,40))</f>
        <v/>
      </c>
      <c r="Q2835" s="11" t="str">
        <f aca="false">IF(P2835="","",IF(COUNTIF($P$2:$P$3000,P2835)&gt;1,"DUPLICATE","OK"))</f>
        <v/>
      </c>
      <c r="R2835" s="0" t="str">
        <f aca="false">IF($C2835="","",IFERROR(VLOOKUP(--$C2835,MM_Income!$Z$5:$AC$204,3,FALSE()),""))</f>
        <v/>
      </c>
    </row>
    <row r="2836" customFormat="false" ht="13.5" hidden="false" customHeight="false" outlineLevel="0" collapsed="false">
      <c r="N2836" s="1" t="str">
        <f aca="false">IF(C2836="","",IFERROR(VLOOKUP(C2836,Master_Mappings!$A$4:$E$85,3,FALSE()),"UNMAPPED"))</f>
        <v/>
      </c>
      <c r="P2836" s="1" t="str">
        <f aca="false">IF($C2836="","",$C2836&amp;"|"&amp;$E2836&amp;"|"&amp;$M2836&amp;"|"&amp;TEXT($G2836,"yyyy-mm-dd")&amp;"|"&amp;LEFT($J2836,40))</f>
        <v/>
      </c>
      <c r="Q2836" s="11" t="str">
        <f aca="false">IF(P2836="","",IF(COUNTIF($P$2:$P$3000,P2836)&gt;1,"DUPLICATE","OK"))</f>
        <v/>
      </c>
      <c r="R2836" s="0" t="str">
        <f aca="false">IF($C2836="","",IFERROR(VLOOKUP(--$C2836,MM_Income!$Z$5:$AC$204,3,FALSE()),""))</f>
        <v/>
      </c>
    </row>
    <row r="2837" customFormat="false" ht="13.5" hidden="false" customHeight="false" outlineLevel="0" collapsed="false">
      <c r="N2837" s="1" t="str">
        <f aca="false">IF(C2837="","",IFERROR(VLOOKUP(C2837,Master_Mappings!$A$4:$E$85,3,FALSE()),"UNMAPPED"))</f>
        <v/>
      </c>
      <c r="P2837" s="1" t="str">
        <f aca="false">IF($C2837="","",$C2837&amp;"|"&amp;$E2837&amp;"|"&amp;$M2837&amp;"|"&amp;TEXT($G2837,"yyyy-mm-dd")&amp;"|"&amp;LEFT($J2837,40))</f>
        <v/>
      </c>
      <c r="Q2837" s="11" t="str">
        <f aca="false">IF(P2837="","",IF(COUNTIF($P$2:$P$3000,P2837)&gt;1,"DUPLICATE","OK"))</f>
        <v/>
      </c>
      <c r="R2837" s="0" t="str">
        <f aca="false">IF($C2837="","",IFERROR(VLOOKUP(--$C2837,MM_Income!$Z$5:$AC$204,3,FALSE()),""))</f>
        <v/>
      </c>
    </row>
    <row r="2838" customFormat="false" ht="13.5" hidden="false" customHeight="false" outlineLevel="0" collapsed="false">
      <c r="N2838" s="1" t="str">
        <f aca="false">IF(C2838="","",IFERROR(VLOOKUP(C2838,Master_Mappings!$A$4:$E$85,3,FALSE()),"UNMAPPED"))</f>
        <v/>
      </c>
      <c r="P2838" s="1" t="str">
        <f aca="false">IF($C2838="","",$C2838&amp;"|"&amp;$E2838&amp;"|"&amp;$M2838&amp;"|"&amp;TEXT($G2838,"yyyy-mm-dd")&amp;"|"&amp;LEFT($J2838,40))</f>
        <v/>
      </c>
      <c r="Q2838" s="11" t="str">
        <f aca="false">IF(P2838="","",IF(COUNTIF($P$2:$P$3000,P2838)&gt;1,"DUPLICATE","OK"))</f>
        <v/>
      </c>
      <c r="R2838" s="0" t="str">
        <f aca="false">IF($C2838="","",IFERROR(VLOOKUP(--$C2838,MM_Income!$Z$5:$AC$204,3,FALSE()),""))</f>
        <v/>
      </c>
    </row>
    <row r="2839" customFormat="false" ht="13.5" hidden="false" customHeight="false" outlineLevel="0" collapsed="false">
      <c r="N2839" s="1" t="str">
        <f aca="false">IF(C2839="","",IFERROR(VLOOKUP(C2839,Master_Mappings!$A$4:$E$85,3,FALSE()),"UNMAPPED"))</f>
        <v/>
      </c>
      <c r="P2839" s="1" t="str">
        <f aca="false">IF($C2839="","",$C2839&amp;"|"&amp;$E2839&amp;"|"&amp;$M2839&amp;"|"&amp;TEXT($G2839,"yyyy-mm-dd")&amp;"|"&amp;LEFT($J2839,40))</f>
        <v/>
      </c>
      <c r="Q2839" s="11" t="str">
        <f aca="false">IF(P2839="","",IF(COUNTIF($P$2:$P$3000,P2839)&gt;1,"DUPLICATE","OK"))</f>
        <v/>
      </c>
      <c r="R2839" s="0" t="str">
        <f aca="false">IF($C2839="","",IFERROR(VLOOKUP(--$C2839,MM_Income!$Z$5:$AC$204,3,FALSE()),""))</f>
        <v/>
      </c>
    </row>
    <row r="2840" customFormat="false" ht="13.5" hidden="false" customHeight="false" outlineLevel="0" collapsed="false">
      <c r="N2840" s="1" t="str">
        <f aca="false">IF(C2840="","",IFERROR(VLOOKUP(C2840,Master_Mappings!$A$4:$E$85,3,FALSE()),"UNMAPPED"))</f>
        <v/>
      </c>
      <c r="P2840" s="1" t="str">
        <f aca="false">IF($C2840="","",$C2840&amp;"|"&amp;$E2840&amp;"|"&amp;$M2840&amp;"|"&amp;TEXT($G2840,"yyyy-mm-dd")&amp;"|"&amp;LEFT($J2840,40))</f>
        <v/>
      </c>
      <c r="Q2840" s="11" t="str">
        <f aca="false">IF(P2840="","",IF(COUNTIF($P$2:$P$3000,P2840)&gt;1,"DUPLICATE","OK"))</f>
        <v/>
      </c>
      <c r="R2840" s="0" t="str">
        <f aca="false">IF($C2840="","",IFERROR(VLOOKUP(--$C2840,MM_Income!$Z$5:$AC$204,3,FALSE()),""))</f>
        <v/>
      </c>
    </row>
    <row r="2841" customFormat="false" ht="13.5" hidden="false" customHeight="false" outlineLevel="0" collapsed="false">
      <c r="N2841" s="1" t="str">
        <f aca="false">IF(C2841="","",IFERROR(VLOOKUP(C2841,Master_Mappings!$A$4:$E$85,3,FALSE()),"UNMAPPED"))</f>
        <v/>
      </c>
      <c r="P2841" s="1" t="str">
        <f aca="false">IF($C2841="","",$C2841&amp;"|"&amp;$E2841&amp;"|"&amp;$M2841&amp;"|"&amp;TEXT($G2841,"yyyy-mm-dd")&amp;"|"&amp;LEFT($J2841,40))</f>
        <v/>
      </c>
      <c r="Q2841" s="11" t="str">
        <f aca="false">IF(P2841="","",IF(COUNTIF($P$2:$P$3000,P2841)&gt;1,"DUPLICATE","OK"))</f>
        <v/>
      </c>
      <c r="R2841" s="0" t="str">
        <f aca="false">IF($C2841="","",IFERROR(VLOOKUP(--$C2841,MM_Income!$Z$5:$AC$204,3,FALSE()),""))</f>
        <v/>
      </c>
    </row>
    <row r="2842" customFormat="false" ht="13.5" hidden="false" customHeight="false" outlineLevel="0" collapsed="false">
      <c r="N2842" s="1" t="str">
        <f aca="false">IF(C2842="","",IFERROR(VLOOKUP(C2842,Master_Mappings!$A$4:$E$85,3,FALSE()),"UNMAPPED"))</f>
        <v/>
      </c>
      <c r="P2842" s="1" t="str">
        <f aca="false">IF($C2842="","",$C2842&amp;"|"&amp;$E2842&amp;"|"&amp;$M2842&amp;"|"&amp;TEXT($G2842,"yyyy-mm-dd")&amp;"|"&amp;LEFT($J2842,40))</f>
        <v/>
      </c>
      <c r="Q2842" s="11" t="str">
        <f aca="false">IF(P2842="","",IF(COUNTIF($P$2:$P$3000,P2842)&gt;1,"DUPLICATE","OK"))</f>
        <v/>
      </c>
      <c r="R2842" s="0" t="str">
        <f aca="false">IF($C2842="","",IFERROR(VLOOKUP(--$C2842,MM_Income!$Z$5:$AC$204,3,FALSE()),""))</f>
        <v/>
      </c>
    </row>
    <row r="2843" customFormat="false" ht="13.5" hidden="false" customHeight="false" outlineLevel="0" collapsed="false">
      <c r="N2843" s="1" t="str">
        <f aca="false">IF(C2843="","",IFERROR(VLOOKUP(C2843,Master_Mappings!$A$4:$E$85,3,FALSE()),"UNMAPPED"))</f>
        <v/>
      </c>
      <c r="P2843" s="1" t="str">
        <f aca="false">IF($C2843="","",$C2843&amp;"|"&amp;$E2843&amp;"|"&amp;$M2843&amp;"|"&amp;TEXT($G2843,"yyyy-mm-dd")&amp;"|"&amp;LEFT($J2843,40))</f>
        <v/>
      </c>
      <c r="Q2843" s="11" t="str">
        <f aca="false">IF(P2843="","",IF(COUNTIF($P$2:$P$3000,P2843)&gt;1,"DUPLICATE","OK"))</f>
        <v/>
      </c>
      <c r="R2843" s="0" t="str">
        <f aca="false">IF($C2843="","",IFERROR(VLOOKUP(--$C2843,MM_Income!$Z$5:$AC$204,3,FALSE()),""))</f>
        <v/>
      </c>
    </row>
    <row r="2844" customFormat="false" ht="13.5" hidden="false" customHeight="false" outlineLevel="0" collapsed="false">
      <c r="N2844" s="1" t="str">
        <f aca="false">IF(C2844="","",IFERROR(VLOOKUP(C2844,Master_Mappings!$A$4:$E$85,3,FALSE()),"UNMAPPED"))</f>
        <v/>
      </c>
      <c r="P2844" s="1" t="str">
        <f aca="false">IF($C2844="","",$C2844&amp;"|"&amp;$E2844&amp;"|"&amp;$M2844&amp;"|"&amp;TEXT($G2844,"yyyy-mm-dd")&amp;"|"&amp;LEFT($J2844,40))</f>
        <v/>
      </c>
      <c r="Q2844" s="11" t="str">
        <f aca="false">IF(P2844="","",IF(COUNTIF($P$2:$P$3000,P2844)&gt;1,"DUPLICATE","OK"))</f>
        <v/>
      </c>
      <c r="R2844" s="0" t="str">
        <f aca="false">IF($C2844="","",IFERROR(VLOOKUP(--$C2844,MM_Income!$Z$5:$AC$204,3,FALSE()),""))</f>
        <v/>
      </c>
    </row>
    <row r="2845" customFormat="false" ht="13.5" hidden="false" customHeight="false" outlineLevel="0" collapsed="false">
      <c r="N2845" s="1" t="str">
        <f aca="false">IF(C2845="","",IFERROR(VLOOKUP(C2845,Master_Mappings!$A$4:$E$85,3,FALSE()),"UNMAPPED"))</f>
        <v/>
      </c>
      <c r="P2845" s="1" t="str">
        <f aca="false">IF($C2845="","",$C2845&amp;"|"&amp;$E2845&amp;"|"&amp;$M2845&amp;"|"&amp;TEXT($G2845,"yyyy-mm-dd")&amp;"|"&amp;LEFT($J2845,40))</f>
        <v/>
      </c>
      <c r="Q2845" s="11" t="str">
        <f aca="false">IF(P2845="","",IF(COUNTIF($P$2:$P$3000,P2845)&gt;1,"DUPLICATE","OK"))</f>
        <v/>
      </c>
      <c r="R2845" s="0" t="str">
        <f aca="false">IF($C2845="","",IFERROR(VLOOKUP(--$C2845,MM_Income!$Z$5:$AC$204,3,FALSE()),""))</f>
        <v/>
      </c>
    </row>
    <row r="2846" customFormat="false" ht="13.5" hidden="false" customHeight="false" outlineLevel="0" collapsed="false">
      <c r="N2846" s="1" t="str">
        <f aca="false">IF(C2846="","",IFERROR(VLOOKUP(C2846,Master_Mappings!$A$4:$E$85,3,FALSE()),"UNMAPPED"))</f>
        <v/>
      </c>
      <c r="P2846" s="1" t="str">
        <f aca="false">IF($C2846="","",$C2846&amp;"|"&amp;$E2846&amp;"|"&amp;$M2846&amp;"|"&amp;TEXT($G2846,"yyyy-mm-dd")&amp;"|"&amp;LEFT($J2846,40))</f>
        <v/>
      </c>
      <c r="Q2846" s="11" t="str">
        <f aca="false">IF(P2846="","",IF(COUNTIF($P$2:$P$3000,P2846)&gt;1,"DUPLICATE","OK"))</f>
        <v/>
      </c>
      <c r="R2846" s="0" t="str">
        <f aca="false">IF($C2846="","",IFERROR(VLOOKUP(--$C2846,MM_Income!$Z$5:$AC$204,3,FALSE()),""))</f>
        <v/>
      </c>
    </row>
    <row r="2847" customFormat="false" ht="13.5" hidden="false" customHeight="false" outlineLevel="0" collapsed="false">
      <c r="N2847" s="1" t="str">
        <f aca="false">IF(C2847="","",IFERROR(VLOOKUP(C2847,Master_Mappings!$A$4:$E$85,3,FALSE()),"UNMAPPED"))</f>
        <v/>
      </c>
      <c r="P2847" s="1" t="str">
        <f aca="false">IF($C2847="","",$C2847&amp;"|"&amp;$E2847&amp;"|"&amp;$M2847&amp;"|"&amp;TEXT($G2847,"yyyy-mm-dd")&amp;"|"&amp;LEFT($J2847,40))</f>
        <v/>
      </c>
      <c r="Q2847" s="11" t="str">
        <f aca="false">IF(P2847="","",IF(COUNTIF($P$2:$P$3000,P2847)&gt;1,"DUPLICATE","OK"))</f>
        <v/>
      </c>
      <c r="R2847" s="0" t="str">
        <f aca="false">IF($C2847="","",IFERROR(VLOOKUP(--$C2847,MM_Income!$Z$5:$AC$204,3,FALSE()),""))</f>
        <v/>
      </c>
    </row>
    <row r="2848" customFormat="false" ht="13.5" hidden="false" customHeight="false" outlineLevel="0" collapsed="false">
      <c r="N2848" s="1" t="str">
        <f aca="false">IF(C2848="","",IFERROR(VLOOKUP(C2848,Master_Mappings!$A$4:$E$85,3,FALSE()),"UNMAPPED"))</f>
        <v/>
      </c>
      <c r="P2848" s="1" t="str">
        <f aca="false">IF($C2848="","",$C2848&amp;"|"&amp;$E2848&amp;"|"&amp;$M2848&amp;"|"&amp;TEXT($G2848,"yyyy-mm-dd")&amp;"|"&amp;LEFT($J2848,40))</f>
        <v/>
      </c>
      <c r="Q2848" s="11" t="str">
        <f aca="false">IF(P2848="","",IF(COUNTIF($P$2:$P$3000,P2848)&gt;1,"DUPLICATE","OK"))</f>
        <v/>
      </c>
      <c r="R2848" s="0" t="str">
        <f aca="false">IF($C2848="","",IFERROR(VLOOKUP(--$C2848,MM_Income!$Z$5:$AC$204,3,FALSE()),""))</f>
        <v/>
      </c>
    </row>
    <row r="2849" customFormat="false" ht="13.5" hidden="false" customHeight="false" outlineLevel="0" collapsed="false">
      <c r="N2849" s="1" t="str">
        <f aca="false">IF(C2849="","",IFERROR(VLOOKUP(C2849,Master_Mappings!$A$4:$E$85,3,FALSE()),"UNMAPPED"))</f>
        <v/>
      </c>
      <c r="P2849" s="1" t="str">
        <f aca="false">IF($C2849="","",$C2849&amp;"|"&amp;$E2849&amp;"|"&amp;$M2849&amp;"|"&amp;TEXT($G2849,"yyyy-mm-dd")&amp;"|"&amp;LEFT($J2849,40))</f>
        <v/>
      </c>
      <c r="Q2849" s="11" t="str">
        <f aca="false">IF(P2849="","",IF(COUNTIF($P$2:$P$3000,P2849)&gt;1,"DUPLICATE","OK"))</f>
        <v/>
      </c>
      <c r="R2849" s="0" t="str">
        <f aca="false">IF($C2849="","",IFERROR(VLOOKUP(--$C2849,MM_Income!$Z$5:$AC$204,3,FALSE()),""))</f>
        <v/>
      </c>
    </row>
    <row r="2850" customFormat="false" ht="13.5" hidden="false" customHeight="false" outlineLevel="0" collapsed="false">
      <c r="N2850" s="1" t="str">
        <f aca="false">IF(C2850="","",IFERROR(VLOOKUP(C2850,Master_Mappings!$A$4:$E$85,3,FALSE()),"UNMAPPED"))</f>
        <v/>
      </c>
      <c r="P2850" s="1" t="str">
        <f aca="false">IF($C2850="","",$C2850&amp;"|"&amp;$E2850&amp;"|"&amp;$M2850&amp;"|"&amp;TEXT($G2850,"yyyy-mm-dd")&amp;"|"&amp;LEFT($J2850,40))</f>
        <v/>
      </c>
      <c r="Q2850" s="11" t="str">
        <f aca="false">IF(P2850="","",IF(COUNTIF($P$2:$P$3000,P2850)&gt;1,"DUPLICATE","OK"))</f>
        <v/>
      </c>
      <c r="R2850" s="0" t="str">
        <f aca="false">IF($C2850="","",IFERROR(VLOOKUP(--$C2850,MM_Income!$Z$5:$AC$204,3,FALSE()),""))</f>
        <v/>
      </c>
    </row>
    <row r="2851" customFormat="false" ht="13.5" hidden="false" customHeight="false" outlineLevel="0" collapsed="false">
      <c r="N2851" s="1" t="str">
        <f aca="false">IF(C2851="","",IFERROR(VLOOKUP(C2851,Master_Mappings!$A$4:$E$85,3,FALSE()),"UNMAPPED"))</f>
        <v/>
      </c>
      <c r="P2851" s="1" t="str">
        <f aca="false">IF($C2851="","",$C2851&amp;"|"&amp;$E2851&amp;"|"&amp;$M2851&amp;"|"&amp;TEXT($G2851,"yyyy-mm-dd")&amp;"|"&amp;LEFT($J2851,40))</f>
        <v/>
      </c>
      <c r="Q2851" s="11" t="str">
        <f aca="false">IF(P2851="","",IF(COUNTIF($P$2:$P$3000,P2851)&gt;1,"DUPLICATE","OK"))</f>
        <v/>
      </c>
      <c r="R2851" s="0" t="str">
        <f aca="false">IF($C2851="","",IFERROR(VLOOKUP(--$C2851,MM_Income!$Z$5:$AC$204,3,FALSE()),""))</f>
        <v/>
      </c>
    </row>
    <row r="2852" customFormat="false" ht="13.5" hidden="false" customHeight="false" outlineLevel="0" collapsed="false">
      <c r="N2852" s="1" t="str">
        <f aca="false">IF(C2852="","",IFERROR(VLOOKUP(C2852,Master_Mappings!$A$4:$E$85,3,FALSE()),"UNMAPPED"))</f>
        <v/>
      </c>
      <c r="P2852" s="1" t="str">
        <f aca="false">IF($C2852="","",$C2852&amp;"|"&amp;$E2852&amp;"|"&amp;$M2852&amp;"|"&amp;TEXT($G2852,"yyyy-mm-dd")&amp;"|"&amp;LEFT($J2852,40))</f>
        <v/>
      </c>
      <c r="Q2852" s="11" t="str">
        <f aca="false">IF(P2852="","",IF(COUNTIF($P$2:$P$3000,P2852)&gt;1,"DUPLICATE","OK"))</f>
        <v/>
      </c>
      <c r="R2852" s="0" t="str">
        <f aca="false">IF($C2852="","",IFERROR(VLOOKUP(--$C2852,MM_Income!$Z$5:$AC$204,3,FALSE()),""))</f>
        <v/>
      </c>
    </row>
    <row r="2853" customFormat="false" ht="13.5" hidden="false" customHeight="false" outlineLevel="0" collapsed="false">
      <c r="N2853" s="1" t="str">
        <f aca="false">IF(C2853="","",IFERROR(VLOOKUP(C2853,Master_Mappings!$A$4:$E$85,3,FALSE()),"UNMAPPED"))</f>
        <v/>
      </c>
      <c r="P2853" s="1" t="str">
        <f aca="false">IF($C2853="","",$C2853&amp;"|"&amp;$E2853&amp;"|"&amp;$M2853&amp;"|"&amp;TEXT($G2853,"yyyy-mm-dd")&amp;"|"&amp;LEFT($J2853,40))</f>
        <v/>
      </c>
      <c r="Q2853" s="11" t="str">
        <f aca="false">IF(P2853="","",IF(COUNTIF($P$2:$P$3000,P2853)&gt;1,"DUPLICATE","OK"))</f>
        <v/>
      </c>
      <c r="R2853" s="0" t="str">
        <f aca="false">IF($C2853="","",IFERROR(VLOOKUP(--$C2853,MM_Income!$Z$5:$AC$204,3,FALSE()),""))</f>
        <v/>
      </c>
    </row>
    <row r="2854" customFormat="false" ht="13.5" hidden="false" customHeight="false" outlineLevel="0" collapsed="false">
      <c r="N2854" s="1" t="str">
        <f aca="false">IF(C2854="","",IFERROR(VLOOKUP(C2854,Master_Mappings!$A$4:$E$85,3,FALSE()),"UNMAPPED"))</f>
        <v/>
      </c>
      <c r="P2854" s="1" t="str">
        <f aca="false">IF($C2854="","",$C2854&amp;"|"&amp;$E2854&amp;"|"&amp;$M2854&amp;"|"&amp;TEXT($G2854,"yyyy-mm-dd")&amp;"|"&amp;LEFT($J2854,40))</f>
        <v/>
      </c>
      <c r="Q2854" s="11" t="str">
        <f aca="false">IF(P2854="","",IF(COUNTIF($P$2:$P$3000,P2854)&gt;1,"DUPLICATE","OK"))</f>
        <v/>
      </c>
      <c r="R2854" s="0" t="str">
        <f aca="false">IF($C2854="","",IFERROR(VLOOKUP(--$C2854,MM_Income!$Z$5:$AC$204,3,FALSE()),""))</f>
        <v/>
      </c>
    </row>
    <row r="2855" customFormat="false" ht="13.5" hidden="false" customHeight="false" outlineLevel="0" collapsed="false">
      <c r="N2855" s="1" t="str">
        <f aca="false">IF(C2855="","",IFERROR(VLOOKUP(C2855,Master_Mappings!$A$4:$E$85,3,FALSE()),"UNMAPPED"))</f>
        <v/>
      </c>
      <c r="P2855" s="1" t="str">
        <f aca="false">IF($C2855="","",$C2855&amp;"|"&amp;$E2855&amp;"|"&amp;$M2855&amp;"|"&amp;TEXT($G2855,"yyyy-mm-dd")&amp;"|"&amp;LEFT($J2855,40))</f>
        <v/>
      </c>
      <c r="Q2855" s="11" t="str">
        <f aca="false">IF(P2855="","",IF(COUNTIF($P$2:$P$3000,P2855)&gt;1,"DUPLICATE","OK"))</f>
        <v/>
      </c>
      <c r="R2855" s="0" t="str">
        <f aca="false">IF($C2855="","",IFERROR(VLOOKUP(--$C2855,MM_Income!$Z$5:$AC$204,3,FALSE()),""))</f>
        <v/>
      </c>
    </row>
    <row r="2856" customFormat="false" ht="13.5" hidden="false" customHeight="false" outlineLevel="0" collapsed="false">
      <c r="N2856" s="1" t="str">
        <f aca="false">IF(C2856="","",IFERROR(VLOOKUP(C2856,Master_Mappings!$A$4:$E$85,3,FALSE()),"UNMAPPED"))</f>
        <v/>
      </c>
      <c r="P2856" s="1" t="str">
        <f aca="false">IF($C2856="","",$C2856&amp;"|"&amp;$E2856&amp;"|"&amp;$M2856&amp;"|"&amp;TEXT($G2856,"yyyy-mm-dd")&amp;"|"&amp;LEFT($J2856,40))</f>
        <v/>
      </c>
      <c r="Q2856" s="11" t="str">
        <f aca="false">IF(P2856="","",IF(COUNTIF($P$2:$P$3000,P2856)&gt;1,"DUPLICATE","OK"))</f>
        <v/>
      </c>
      <c r="R2856" s="0" t="str">
        <f aca="false">IF($C2856="","",IFERROR(VLOOKUP(--$C2856,MM_Income!$Z$5:$AC$204,3,FALSE()),""))</f>
        <v/>
      </c>
    </row>
    <row r="2857" customFormat="false" ht="13.5" hidden="false" customHeight="false" outlineLevel="0" collapsed="false">
      <c r="N2857" s="1" t="str">
        <f aca="false">IF(C2857="","",IFERROR(VLOOKUP(C2857,Master_Mappings!$A$4:$E$85,3,FALSE()),"UNMAPPED"))</f>
        <v/>
      </c>
      <c r="P2857" s="1" t="str">
        <f aca="false">IF($C2857="","",$C2857&amp;"|"&amp;$E2857&amp;"|"&amp;$M2857&amp;"|"&amp;TEXT($G2857,"yyyy-mm-dd")&amp;"|"&amp;LEFT($J2857,40))</f>
        <v/>
      </c>
      <c r="Q2857" s="11" t="str">
        <f aca="false">IF(P2857="","",IF(COUNTIF($P$2:$P$3000,P2857)&gt;1,"DUPLICATE","OK"))</f>
        <v/>
      </c>
      <c r="R2857" s="0" t="str">
        <f aca="false">IF($C2857="","",IFERROR(VLOOKUP(--$C2857,MM_Income!$Z$5:$AC$204,3,FALSE()),""))</f>
        <v/>
      </c>
    </row>
    <row r="2858" customFormat="false" ht="13.5" hidden="false" customHeight="false" outlineLevel="0" collapsed="false">
      <c r="N2858" s="1" t="str">
        <f aca="false">IF(C2858="","",IFERROR(VLOOKUP(C2858,Master_Mappings!$A$4:$E$85,3,FALSE()),"UNMAPPED"))</f>
        <v/>
      </c>
      <c r="P2858" s="1" t="str">
        <f aca="false">IF($C2858="","",$C2858&amp;"|"&amp;$E2858&amp;"|"&amp;$M2858&amp;"|"&amp;TEXT($G2858,"yyyy-mm-dd")&amp;"|"&amp;LEFT($J2858,40))</f>
        <v/>
      </c>
      <c r="Q2858" s="11" t="str">
        <f aca="false">IF(P2858="","",IF(COUNTIF($P$2:$P$3000,P2858)&gt;1,"DUPLICATE","OK"))</f>
        <v/>
      </c>
      <c r="R2858" s="0" t="str">
        <f aca="false">IF($C2858="","",IFERROR(VLOOKUP(--$C2858,MM_Income!$Z$5:$AC$204,3,FALSE()),""))</f>
        <v/>
      </c>
    </row>
    <row r="2859" customFormat="false" ht="13.5" hidden="false" customHeight="false" outlineLevel="0" collapsed="false">
      <c r="N2859" s="1" t="str">
        <f aca="false">IF(C2859="","",IFERROR(VLOOKUP(C2859,Master_Mappings!$A$4:$E$85,3,FALSE()),"UNMAPPED"))</f>
        <v/>
      </c>
      <c r="P2859" s="1" t="str">
        <f aca="false">IF($C2859="","",$C2859&amp;"|"&amp;$E2859&amp;"|"&amp;$M2859&amp;"|"&amp;TEXT($G2859,"yyyy-mm-dd")&amp;"|"&amp;LEFT($J2859,40))</f>
        <v/>
      </c>
      <c r="Q2859" s="11" t="str">
        <f aca="false">IF(P2859="","",IF(COUNTIF($P$2:$P$3000,P2859)&gt;1,"DUPLICATE","OK"))</f>
        <v/>
      </c>
      <c r="R2859" s="0" t="str">
        <f aca="false">IF($C2859="","",IFERROR(VLOOKUP(--$C2859,MM_Income!$Z$5:$AC$204,3,FALSE()),""))</f>
        <v/>
      </c>
    </row>
    <row r="2860" customFormat="false" ht="13.5" hidden="false" customHeight="false" outlineLevel="0" collapsed="false">
      <c r="N2860" s="1" t="str">
        <f aca="false">IF(C2860="","",IFERROR(VLOOKUP(C2860,Master_Mappings!$A$4:$E$85,3,FALSE()),"UNMAPPED"))</f>
        <v/>
      </c>
      <c r="P2860" s="1" t="str">
        <f aca="false">IF($C2860="","",$C2860&amp;"|"&amp;$E2860&amp;"|"&amp;$M2860&amp;"|"&amp;TEXT($G2860,"yyyy-mm-dd")&amp;"|"&amp;LEFT($J2860,40))</f>
        <v/>
      </c>
      <c r="Q2860" s="11" t="str">
        <f aca="false">IF(P2860="","",IF(COUNTIF($P$2:$P$3000,P2860)&gt;1,"DUPLICATE","OK"))</f>
        <v/>
      </c>
      <c r="R2860" s="0" t="str">
        <f aca="false">IF($C2860="","",IFERROR(VLOOKUP(--$C2860,MM_Income!$Z$5:$AC$204,3,FALSE()),""))</f>
        <v/>
      </c>
    </row>
    <row r="2861" customFormat="false" ht="13.5" hidden="false" customHeight="false" outlineLevel="0" collapsed="false">
      <c r="N2861" s="1" t="str">
        <f aca="false">IF(C2861="","",IFERROR(VLOOKUP(C2861,Master_Mappings!$A$4:$E$85,3,FALSE()),"UNMAPPED"))</f>
        <v/>
      </c>
      <c r="P2861" s="1" t="str">
        <f aca="false">IF($C2861="","",$C2861&amp;"|"&amp;$E2861&amp;"|"&amp;$M2861&amp;"|"&amp;TEXT($G2861,"yyyy-mm-dd")&amp;"|"&amp;LEFT($J2861,40))</f>
        <v/>
      </c>
      <c r="Q2861" s="11" t="str">
        <f aca="false">IF(P2861="","",IF(COUNTIF($P$2:$P$3000,P2861)&gt;1,"DUPLICATE","OK"))</f>
        <v/>
      </c>
      <c r="R2861" s="0" t="str">
        <f aca="false">IF($C2861="","",IFERROR(VLOOKUP(--$C2861,MM_Income!$Z$5:$AC$204,3,FALSE()),""))</f>
        <v/>
      </c>
    </row>
    <row r="2862" customFormat="false" ht="13.5" hidden="false" customHeight="false" outlineLevel="0" collapsed="false">
      <c r="N2862" s="1" t="str">
        <f aca="false">IF(C2862="","",IFERROR(VLOOKUP(C2862,Master_Mappings!$A$4:$E$85,3,FALSE()),"UNMAPPED"))</f>
        <v/>
      </c>
      <c r="P2862" s="1" t="str">
        <f aca="false">IF($C2862="","",$C2862&amp;"|"&amp;$E2862&amp;"|"&amp;$M2862&amp;"|"&amp;TEXT($G2862,"yyyy-mm-dd")&amp;"|"&amp;LEFT($J2862,40))</f>
        <v/>
      </c>
      <c r="Q2862" s="11" t="str">
        <f aca="false">IF(P2862="","",IF(COUNTIF($P$2:$P$3000,P2862)&gt;1,"DUPLICATE","OK"))</f>
        <v/>
      </c>
      <c r="R2862" s="0" t="str">
        <f aca="false">IF($C2862="","",IFERROR(VLOOKUP(--$C2862,MM_Income!$Z$5:$AC$204,3,FALSE()),""))</f>
        <v/>
      </c>
    </row>
    <row r="2863" customFormat="false" ht="13.5" hidden="false" customHeight="false" outlineLevel="0" collapsed="false">
      <c r="N2863" s="1" t="str">
        <f aca="false">IF(C2863="","",IFERROR(VLOOKUP(C2863,Master_Mappings!$A$4:$E$85,3,FALSE()),"UNMAPPED"))</f>
        <v/>
      </c>
      <c r="P2863" s="1" t="str">
        <f aca="false">IF($C2863="","",$C2863&amp;"|"&amp;$E2863&amp;"|"&amp;$M2863&amp;"|"&amp;TEXT($G2863,"yyyy-mm-dd")&amp;"|"&amp;LEFT($J2863,40))</f>
        <v/>
      </c>
      <c r="Q2863" s="11" t="str">
        <f aca="false">IF(P2863="","",IF(COUNTIF($P$2:$P$3000,P2863)&gt;1,"DUPLICATE","OK"))</f>
        <v/>
      </c>
      <c r="R2863" s="0" t="str">
        <f aca="false">IF($C2863="","",IFERROR(VLOOKUP(--$C2863,MM_Income!$Z$5:$AC$204,3,FALSE()),""))</f>
        <v/>
      </c>
    </row>
    <row r="2864" customFormat="false" ht="13.5" hidden="false" customHeight="false" outlineLevel="0" collapsed="false">
      <c r="N2864" s="1" t="str">
        <f aca="false">IF(C2864="","",IFERROR(VLOOKUP(C2864,Master_Mappings!$A$4:$E$85,3,FALSE()),"UNMAPPED"))</f>
        <v/>
      </c>
      <c r="P2864" s="1" t="str">
        <f aca="false">IF($C2864="","",$C2864&amp;"|"&amp;$E2864&amp;"|"&amp;$M2864&amp;"|"&amp;TEXT($G2864,"yyyy-mm-dd")&amp;"|"&amp;LEFT($J2864,40))</f>
        <v/>
      </c>
      <c r="Q2864" s="11" t="str">
        <f aca="false">IF(P2864="","",IF(COUNTIF($P$2:$P$3000,P2864)&gt;1,"DUPLICATE","OK"))</f>
        <v/>
      </c>
      <c r="R2864" s="0" t="str">
        <f aca="false">IF($C2864="","",IFERROR(VLOOKUP(--$C2864,MM_Income!$Z$5:$AC$204,3,FALSE()),""))</f>
        <v/>
      </c>
    </row>
    <row r="2865" customFormat="false" ht="13.5" hidden="false" customHeight="false" outlineLevel="0" collapsed="false">
      <c r="N2865" s="1" t="str">
        <f aca="false">IF(C2865="","",IFERROR(VLOOKUP(C2865,Master_Mappings!$A$4:$E$85,3,FALSE()),"UNMAPPED"))</f>
        <v/>
      </c>
      <c r="P2865" s="1" t="str">
        <f aca="false">IF($C2865="","",$C2865&amp;"|"&amp;$E2865&amp;"|"&amp;$M2865&amp;"|"&amp;TEXT($G2865,"yyyy-mm-dd")&amp;"|"&amp;LEFT($J2865,40))</f>
        <v/>
      </c>
      <c r="Q2865" s="11" t="str">
        <f aca="false">IF(P2865="","",IF(COUNTIF($P$2:$P$3000,P2865)&gt;1,"DUPLICATE","OK"))</f>
        <v/>
      </c>
      <c r="R2865" s="0" t="str">
        <f aca="false">IF($C2865="","",IFERROR(VLOOKUP(--$C2865,MM_Income!$Z$5:$AC$204,3,FALSE()),""))</f>
        <v/>
      </c>
    </row>
    <row r="2866" customFormat="false" ht="13.5" hidden="false" customHeight="false" outlineLevel="0" collapsed="false">
      <c r="N2866" s="1" t="str">
        <f aca="false">IF(C2866="","",IFERROR(VLOOKUP(C2866,Master_Mappings!$A$4:$E$85,3,FALSE()),"UNMAPPED"))</f>
        <v/>
      </c>
      <c r="P2866" s="1" t="str">
        <f aca="false">IF($C2866="","",$C2866&amp;"|"&amp;$E2866&amp;"|"&amp;$M2866&amp;"|"&amp;TEXT($G2866,"yyyy-mm-dd")&amp;"|"&amp;LEFT($J2866,40))</f>
        <v/>
      </c>
      <c r="Q2866" s="11" t="str">
        <f aca="false">IF(P2866="","",IF(COUNTIF($P$2:$P$3000,P2866)&gt;1,"DUPLICATE","OK"))</f>
        <v/>
      </c>
      <c r="R2866" s="0" t="str">
        <f aca="false">IF($C2866="","",IFERROR(VLOOKUP(--$C2866,MM_Income!$Z$5:$AC$204,3,FALSE()),""))</f>
        <v/>
      </c>
    </row>
    <row r="2867" customFormat="false" ht="13.5" hidden="false" customHeight="false" outlineLevel="0" collapsed="false">
      <c r="N2867" s="1" t="str">
        <f aca="false">IF(C2867="","",IFERROR(VLOOKUP(C2867,Master_Mappings!$A$4:$E$85,3,FALSE()),"UNMAPPED"))</f>
        <v/>
      </c>
      <c r="P2867" s="1" t="str">
        <f aca="false">IF($C2867="","",$C2867&amp;"|"&amp;$E2867&amp;"|"&amp;$M2867&amp;"|"&amp;TEXT($G2867,"yyyy-mm-dd")&amp;"|"&amp;LEFT($J2867,40))</f>
        <v/>
      </c>
      <c r="Q2867" s="11" t="str">
        <f aca="false">IF(P2867="","",IF(COUNTIF($P$2:$P$3000,P2867)&gt;1,"DUPLICATE","OK"))</f>
        <v/>
      </c>
      <c r="R2867" s="0" t="str">
        <f aca="false">IF($C2867="","",IFERROR(VLOOKUP(--$C2867,MM_Income!$Z$5:$AC$204,3,FALSE()),""))</f>
        <v/>
      </c>
    </row>
    <row r="2868" customFormat="false" ht="13.5" hidden="false" customHeight="false" outlineLevel="0" collapsed="false">
      <c r="N2868" s="1" t="str">
        <f aca="false">IF(C2868="","",IFERROR(VLOOKUP(C2868,Master_Mappings!$A$4:$E$85,3,FALSE()),"UNMAPPED"))</f>
        <v/>
      </c>
      <c r="P2868" s="1" t="str">
        <f aca="false">IF($C2868="","",$C2868&amp;"|"&amp;$E2868&amp;"|"&amp;$M2868&amp;"|"&amp;TEXT($G2868,"yyyy-mm-dd")&amp;"|"&amp;LEFT($J2868,40))</f>
        <v/>
      </c>
      <c r="Q2868" s="11" t="str">
        <f aca="false">IF(P2868="","",IF(COUNTIF($P$2:$P$3000,P2868)&gt;1,"DUPLICATE","OK"))</f>
        <v/>
      </c>
      <c r="R2868" s="0" t="str">
        <f aca="false">IF($C2868="","",IFERROR(VLOOKUP(--$C2868,MM_Income!$Z$5:$AC$204,3,FALSE()),""))</f>
        <v/>
      </c>
    </row>
    <row r="2869" customFormat="false" ht="13.5" hidden="false" customHeight="false" outlineLevel="0" collapsed="false">
      <c r="N2869" s="1" t="str">
        <f aca="false">IF(C2869="","",IFERROR(VLOOKUP(C2869,Master_Mappings!$A$4:$E$85,3,FALSE()),"UNMAPPED"))</f>
        <v/>
      </c>
      <c r="P2869" s="1" t="str">
        <f aca="false">IF($C2869="","",$C2869&amp;"|"&amp;$E2869&amp;"|"&amp;$M2869&amp;"|"&amp;TEXT($G2869,"yyyy-mm-dd")&amp;"|"&amp;LEFT($J2869,40))</f>
        <v/>
      </c>
      <c r="Q2869" s="11" t="str">
        <f aca="false">IF(P2869="","",IF(COUNTIF($P$2:$P$3000,P2869)&gt;1,"DUPLICATE","OK"))</f>
        <v/>
      </c>
      <c r="R2869" s="0" t="str">
        <f aca="false">IF($C2869="","",IFERROR(VLOOKUP(--$C2869,MM_Income!$Z$5:$AC$204,3,FALSE()),""))</f>
        <v/>
      </c>
    </row>
    <row r="2870" customFormat="false" ht="13.5" hidden="false" customHeight="false" outlineLevel="0" collapsed="false">
      <c r="N2870" s="1" t="str">
        <f aca="false">IF(C2870="","",IFERROR(VLOOKUP(C2870,Master_Mappings!$A$4:$E$85,3,FALSE()),"UNMAPPED"))</f>
        <v/>
      </c>
      <c r="P2870" s="1" t="str">
        <f aca="false">IF($C2870="","",$C2870&amp;"|"&amp;$E2870&amp;"|"&amp;$M2870&amp;"|"&amp;TEXT($G2870,"yyyy-mm-dd")&amp;"|"&amp;LEFT($J2870,40))</f>
        <v/>
      </c>
      <c r="Q2870" s="11" t="str">
        <f aca="false">IF(P2870="","",IF(COUNTIF($P$2:$P$3000,P2870)&gt;1,"DUPLICATE","OK"))</f>
        <v/>
      </c>
      <c r="R2870" s="0" t="str">
        <f aca="false">IF($C2870="","",IFERROR(VLOOKUP(--$C2870,MM_Income!$Z$5:$AC$204,3,FALSE()),""))</f>
        <v/>
      </c>
    </row>
    <row r="2871" customFormat="false" ht="13.5" hidden="false" customHeight="false" outlineLevel="0" collapsed="false">
      <c r="N2871" s="1" t="str">
        <f aca="false">IF(C2871="","",IFERROR(VLOOKUP(C2871,Master_Mappings!$A$4:$E$85,3,FALSE()),"UNMAPPED"))</f>
        <v/>
      </c>
      <c r="P2871" s="1" t="str">
        <f aca="false">IF($C2871="","",$C2871&amp;"|"&amp;$E2871&amp;"|"&amp;$M2871&amp;"|"&amp;TEXT($G2871,"yyyy-mm-dd")&amp;"|"&amp;LEFT($J2871,40))</f>
        <v/>
      </c>
      <c r="Q2871" s="11" t="str">
        <f aca="false">IF(P2871="","",IF(COUNTIF($P$2:$P$3000,P2871)&gt;1,"DUPLICATE","OK"))</f>
        <v/>
      </c>
      <c r="R2871" s="0" t="str">
        <f aca="false">IF($C2871="","",IFERROR(VLOOKUP(--$C2871,MM_Income!$Z$5:$AC$204,3,FALSE()),""))</f>
        <v/>
      </c>
    </row>
    <row r="2872" customFormat="false" ht="13.5" hidden="false" customHeight="false" outlineLevel="0" collapsed="false">
      <c r="N2872" s="1" t="str">
        <f aca="false">IF(C2872="","",IFERROR(VLOOKUP(C2872,Master_Mappings!$A$4:$E$85,3,FALSE()),"UNMAPPED"))</f>
        <v/>
      </c>
      <c r="P2872" s="1" t="str">
        <f aca="false">IF($C2872="","",$C2872&amp;"|"&amp;$E2872&amp;"|"&amp;$M2872&amp;"|"&amp;TEXT($G2872,"yyyy-mm-dd")&amp;"|"&amp;LEFT($J2872,40))</f>
        <v/>
      </c>
      <c r="Q2872" s="11" t="str">
        <f aca="false">IF(P2872="","",IF(COUNTIF($P$2:$P$3000,P2872)&gt;1,"DUPLICATE","OK"))</f>
        <v/>
      </c>
      <c r="R2872" s="0" t="str">
        <f aca="false">IF($C2872="","",IFERROR(VLOOKUP(--$C2872,MM_Income!$Z$5:$AC$204,3,FALSE()),""))</f>
        <v/>
      </c>
    </row>
    <row r="2873" customFormat="false" ht="13.5" hidden="false" customHeight="false" outlineLevel="0" collapsed="false">
      <c r="N2873" s="1" t="str">
        <f aca="false">IF(C2873="","",IFERROR(VLOOKUP(C2873,Master_Mappings!$A$4:$E$85,3,FALSE()),"UNMAPPED"))</f>
        <v/>
      </c>
      <c r="P2873" s="1" t="str">
        <f aca="false">IF($C2873="","",$C2873&amp;"|"&amp;$E2873&amp;"|"&amp;$M2873&amp;"|"&amp;TEXT($G2873,"yyyy-mm-dd")&amp;"|"&amp;LEFT($J2873,40))</f>
        <v/>
      </c>
      <c r="Q2873" s="11" t="str">
        <f aca="false">IF(P2873="","",IF(COUNTIF($P$2:$P$3000,P2873)&gt;1,"DUPLICATE","OK"))</f>
        <v/>
      </c>
      <c r="R2873" s="0" t="str">
        <f aca="false">IF($C2873="","",IFERROR(VLOOKUP(--$C2873,MM_Income!$Z$5:$AC$204,3,FALSE()),""))</f>
        <v/>
      </c>
    </row>
    <row r="2874" customFormat="false" ht="13.5" hidden="false" customHeight="false" outlineLevel="0" collapsed="false">
      <c r="N2874" s="1" t="str">
        <f aca="false">IF(C2874="","",IFERROR(VLOOKUP(C2874,Master_Mappings!$A$4:$E$85,3,FALSE()),"UNMAPPED"))</f>
        <v/>
      </c>
      <c r="P2874" s="1" t="str">
        <f aca="false">IF($C2874="","",$C2874&amp;"|"&amp;$E2874&amp;"|"&amp;$M2874&amp;"|"&amp;TEXT($G2874,"yyyy-mm-dd")&amp;"|"&amp;LEFT($J2874,40))</f>
        <v/>
      </c>
      <c r="Q2874" s="11" t="str">
        <f aca="false">IF(P2874="","",IF(COUNTIF($P$2:$P$3000,P2874)&gt;1,"DUPLICATE","OK"))</f>
        <v/>
      </c>
      <c r="R2874" s="0" t="str">
        <f aca="false">IF($C2874="","",IFERROR(VLOOKUP(--$C2874,MM_Income!$Z$5:$AC$204,3,FALSE()),""))</f>
        <v/>
      </c>
    </row>
    <row r="2875" customFormat="false" ht="13.5" hidden="false" customHeight="false" outlineLevel="0" collapsed="false">
      <c r="N2875" s="1" t="str">
        <f aca="false">IF(C2875="","",IFERROR(VLOOKUP(C2875,Master_Mappings!$A$4:$E$85,3,FALSE()),"UNMAPPED"))</f>
        <v/>
      </c>
      <c r="P2875" s="1" t="str">
        <f aca="false">IF($C2875="","",$C2875&amp;"|"&amp;$E2875&amp;"|"&amp;$M2875&amp;"|"&amp;TEXT($G2875,"yyyy-mm-dd")&amp;"|"&amp;LEFT($J2875,40))</f>
        <v/>
      </c>
      <c r="Q2875" s="11" t="str">
        <f aca="false">IF(P2875="","",IF(COUNTIF($P$2:$P$3000,P2875)&gt;1,"DUPLICATE","OK"))</f>
        <v/>
      </c>
      <c r="R2875" s="0" t="str">
        <f aca="false">IF($C2875="","",IFERROR(VLOOKUP(--$C2875,MM_Income!$Z$5:$AC$204,3,FALSE()),""))</f>
        <v/>
      </c>
    </row>
    <row r="2876" customFormat="false" ht="13.5" hidden="false" customHeight="false" outlineLevel="0" collapsed="false">
      <c r="N2876" s="1" t="str">
        <f aca="false">IF(C2876="","",IFERROR(VLOOKUP(C2876,Master_Mappings!$A$4:$E$85,3,FALSE()),"UNMAPPED"))</f>
        <v/>
      </c>
      <c r="P2876" s="1" t="str">
        <f aca="false">IF($C2876="","",$C2876&amp;"|"&amp;$E2876&amp;"|"&amp;$M2876&amp;"|"&amp;TEXT($G2876,"yyyy-mm-dd")&amp;"|"&amp;LEFT($J2876,40))</f>
        <v/>
      </c>
      <c r="Q2876" s="11" t="str">
        <f aca="false">IF(P2876="","",IF(COUNTIF($P$2:$P$3000,P2876)&gt;1,"DUPLICATE","OK"))</f>
        <v/>
      </c>
      <c r="R2876" s="0" t="str">
        <f aca="false">IF($C2876="","",IFERROR(VLOOKUP(--$C2876,MM_Income!$Z$5:$AC$204,3,FALSE()),""))</f>
        <v/>
      </c>
    </row>
    <row r="2877" customFormat="false" ht="13.5" hidden="false" customHeight="false" outlineLevel="0" collapsed="false">
      <c r="N2877" s="1" t="str">
        <f aca="false">IF(C2877="","",IFERROR(VLOOKUP(C2877,Master_Mappings!$A$4:$E$85,3,FALSE()),"UNMAPPED"))</f>
        <v/>
      </c>
      <c r="P2877" s="1" t="str">
        <f aca="false">IF($C2877="","",$C2877&amp;"|"&amp;$E2877&amp;"|"&amp;$M2877&amp;"|"&amp;TEXT($G2877,"yyyy-mm-dd")&amp;"|"&amp;LEFT($J2877,40))</f>
        <v/>
      </c>
      <c r="Q2877" s="11" t="str">
        <f aca="false">IF(P2877="","",IF(COUNTIF($P$2:$P$3000,P2877)&gt;1,"DUPLICATE","OK"))</f>
        <v/>
      </c>
      <c r="R2877" s="0" t="str">
        <f aca="false">IF($C2877="","",IFERROR(VLOOKUP(--$C2877,MM_Income!$Z$5:$AC$204,3,FALSE()),""))</f>
        <v/>
      </c>
    </row>
    <row r="2878" customFormat="false" ht="13.5" hidden="false" customHeight="false" outlineLevel="0" collapsed="false">
      <c r="N2878" s="1" t="str">
        <f aca="false">IF(C2878="","",IFERROR(VLOOKUP(C2878,Master_Mappings!$A$4:$E$85,3,FALSE()),"UNMAPPED"))</f>
        <v/>
      </c>
      <c r="P2878" s="1" t="str">
        <f aca="false">IF($C2878="","",$C2878&amp;"|"&amp;$E2878&amp;"|"&amp;$M2878&amp;"|"&amp;TEXT($G2878,"yyyy-mm-dd")&amp;"|"&amp;LEFT($J2878,40))</f>
        <v/>
      </c>
      <c r="Q2878" s="11" t="str">
        <f aca="false">IF(P2878="","",IF(COUNTIF($P$2:$P$3000,P2878)&gt;1,"DUPLICATE","OK"))</f>
        <v/>
      </c>
      <c r="R2878" s="0" t="str">
        <f aca="false">IF($C2878="","",IFERROR(VLOOKUP(--$C2878,MM_Income!$Z$5:$AC$204,3,FALSE()),""))</f>
        <v/>
      </c>
    </row>
    <row r="2879" customFormat="false" ht="13.5" hidden="false" customHeight="false" outlineLevel="0" collapsed="false">
      <c r="N2879" s="1" t="str">
        <f aca="false">IF(C2879="","",IFERROR(VLOOKUP(C2879,Master_Mappings!$A$4:$E$85,3,FALSE()),"UNMAPPED"))</f>
        <v/>
      </c>
      <c r="P2879" s="1" t="str">
        <f aca="false">IF($C2879="","",$C2879&amp;"|"&amp;$E2879&amp;"|"&amp;$M2879&amp;"|"&amp;TEXT($G2879,"yyyy-mm-dd")&amp;"|"&amp;LEFT($J2879,40))</f>
        <v/>
      </c>
      <c r="Q2879" s="11" t="str">
        <f aca="false">IF(P2879="","",IF(COUNTIF($P$2:$P$3000,P2879)&gt;1,"DUPLICATE","OK"))</f>
        <v/>
      </c>
      <c r="R2879" s="0" t="str">
        <f aca="false">IF($C2879="","",IFERROR(VLOOKUP(--$C2879,MM_Income!$Z$5:$AC$204,3,FALSE()),""))</f>
        <v/>
      </c>
    </row>
    <row r="2880" customFormat="false" ht="13.5" hidden="false" customHeight="false" outlineLevel="0" collapsed="false">
      <c r="N2880" s="1" t="str">
        <f aca="false">IF(C2880="","",IFERROR(VLOOKUP(C2880,Master_Mappings!$A$4:$E$85,3,FALSE()),"UNMAPPED"))</f>
        <v/>
      </c>
      <c r="P2880" s="1" t="str">
        <f aca="false">IF($C2880="","",$C2880&amp;"|"&amp;$E2880&amp;"|"&amp;$M2880&amp;"|"&amp;TEXT($G2880,"yyyy-mm-dd")&amp;"|"&amp;LEFT($J2880,40))</f>
        <v/>
      </c>
      <c r="Q2880" s="11" t="str">
        <f aca="false">IF(P2880="","",IF(COUNTIF($P$2:$P$3000,P2880)&gt;1,"DUPLICATE","OK"))</f>
        <v/>
      </c>
      <c r="R2880" s="0" t="str">
        <f aca="false">IF($C2880="","",IFERROR(VLOOKUP(--$C2880,MM_Income!$Z$5:$AC$204,3,FALSE()),""))</f>
        <v/>
      </c>
    </row>
    <row r="2881" customFormat="false" ht="13.5" hidden="false" customHeight="false" outlineLevel="0" collapsed="false">
      <c r="N2881" s="1" t="str">
        <f aca="false">IF(C2881="","",IFERROR(VLOOKUP(C2881,Master_Mappings!$A$4:$E$85,3,FALSE()),"UNMAPPED"))</f>
        <v/>
      </c>
      <c r="P2881" s="1" t="str">
        <f aca="false">IF($C2881="","",$C2881&amp;"|"&amp;$E2881&amp;"|"&amp;$M2881&amp;"|"&amp;TEXT($G2881,"yyyy-mm-dd")&amp;"|"&amp;LEFT($J2881,40))</f>
        <v/>
      </c>
      <c r="Q2881" s="11" t="str">
        <f aca="false">IF(P2881="","",IF(COUNTIF($P$2:$P$3000,P2881)&gt;1,"DUPLICATE","OK"))</f>
        <v/>
      </c>
      <c r="R2881" s="0" t="str">
        <f aca="false">IF($C2881="","",IFERROR(VLOOKUP(--$C2881,MM_Income!$Z$5:$AC$204,3,FALSE()),""))</f>
        <v/>
      </c>
    </row>
    <row r="2882" customFormat="false" ht="13.5" hidden="false" customHeight="false" outlineLevel="0" collapsed="false">
      <c r="N2882" s="1" t="str">
        <f aca="false">IF(C2882="","",IFERROR(VLOOKUP(C2882,Master_Mappings!$A$4:$E$85,3,FALSE()),"UNMAPPED"))</f>
        <v/>
      </c>
      <c r="P2882" s="1" t="str">
        <f aca="false">IF($C2882="","",$C2882&amp;"|"&amp;$E2882&amp;"|"&amp;$M2882&amp;"|"&amp;TEXT($G2882,"yyyy-mm-dd")&amp;"|"&amp;LEFT($J2882,40))</f>
        <v/>
      </c>
      <c r="Q2882" s="11" t="str">
        <f aca="false">IF(P2882="","",IF(COUNTIF($P$2:$P$3000,P2882)&gt;1,"DUPLICATE","OK"))</f>
        <v/>
      </c>
      <c r="R2882" s="0" t="str">
        <f aca="false">IF($C2882="","",IFERROR(VLOOKUP(--$C2882,MM_Income!$Z$5:$AC$204,3,FALSE()),""))</f>
        <v/>
      </c>
    </row>
    <row r="2883" customFormat="false" ht="13.5" hidden="false" customHeight="false" outlineLevel="0" collapsed="false">
      <c r="N2883" s="1" t="str">
        <f aca="false">IF(C2883="","",IFERROR(VLOOKUP(C2883,Master_Mappings!$A$4:$E$85,3,FALSE()),"UNMAPPED"))</f>
        <v/>
      </c>
      <c r="P2883" s="1" t="str">
        <f aca="false">IF($C2883="","",$C2883&amp;"|"&amp;$E2883&amp;"|"&amp;$M2883&amp;"|"&amp;TEXT($G2883,"yyyy-mm-dd")&amp;"|"&amp;LEFT($J2883,40))</f>
        <v/>
      </c>
      <c r="Q2883" s="11" t="str">
        <f aca="false">IF(P2883="","",IF(COUNTIF($P$2:$P$3000,P2883)&gt;1,"DUPLICATE","OK"))</f>
        <v/>
      </c>
      <c r="R2883" s="0" t="str">
        <f aca="false">IF($C2883="","",IFERROR(VLOOKUP(--$C2883,MM_Income!$Z$5:$AC$204,3,FALSE()),""))</f>
        <v/>
      </c>
    </row>
    <row r="2884" customFormat="false" ht="13.5" hidden="false" customHeight="false" outlineLevel="0" collapsed="false">
      <c r="N2884" s="1" t="str">
        <f aca="false">IF(C2884="","",IFERROR(VLOOKUP(C2884,Master_Mappings!$A$4:$E$85,3,FALSE()),"UNMAPPED"))</f>
        <v/>
      </c>
      <c r="P2884" s="1" t="str">
        <f aca="false">IF($C2884="","",$C2884&amp;"|"&amp;$E2884&amp;"|"&amp;$M2884&amp;"|"&amp;TEXT($G2884,"yyyy-mm-dd")&amp;"|"&amp;LEFT($J2884,40))</f>
        <v/>
      </c>
      <c r="Q2884" s="11" t="str">
        <f aca="false">IF(P2884="","",IF(COUNTIF($P$2:$P$3000,P2884)&gt;1,"DUPLICATE","OK"))</f>
        <v/>
      </c>
      <c r="R2884" s="0" t="str">
        <f aca="false">IF($C2884="","",IFERROR(VLOOKUP(--$C2884,MM_Income!$Z$5:$AC$204,3,FALSE()),""))</f>
        <v/>
      </c>
    </row>
    <row r="2885" customFormat="false" ht="13.5" hidden="false" customHeight="false" outlineLevel="0" collapsed="false">
      <c r="N2885" s="1" t="str">
        <f aca="false">IF(C2885="","",IFERROR(VLOOKUP(C2885,Master_Mappings!$A$4:$E$85,3,FALSE()),"UNMAPPED"))</f>
        <v/>
      </c>
      <c r="P2885" s="1" t="str">
        <f aca="false">IF($C2885="","",$C2885&amp;"|"&amp;$E2885&amp;"|"&amp;$M2885&amp;"|"&amp;TEXT($G2885,"yyyy-mm-dd")&amp;"|"&amp;LEFT($J2885,40))</f>
        <v/>
      </c>
      <c r="Q2885" s="11" t="str">
        <f aca="false">IF(P2885="","",IF(COUNTIF($P$2:$P$3000,P2885)&gt;1,"DUPLICATE","OK"))</f>
        <v/>
      </c>
      <c r="R2885" s="0" t="str">
        <f aca="false">IF($C2885="","",IFERROR(VLOOKUP(--$C2885,MM_Income!$Z$5:$AC$204,3,FALSE()),""))</f>
        <v/>
      </c>
    </row>
    <row r="2886" customFormat="false" ht="13.5" hidden="false" customHeight="false" outlineLevel="0" collapsed="false">
      <c r="N2886" s="1" t="str">
        <f aca="false">IF(C2886="","",IFERROR(VLOOKUP(C2886,Master_Mappings!$A$4:$E$85,3,FALSE()),"UNMAPPED"))</f>
        <v/>
      </c>
      <c r="P2886" s="1" t="str">
        <f aca="false">IF($C2886="","",$C2886&amp;"|"&amp;$E2886&amp;"|"&amp;$M2886&amp;"|"&amp;TEXT($G2886,"yyyy-mm-dd")&amp;"|"&amp;LEFT($J2886,40))</f>
        <v/>
      </c>
      <c r="Q2886" s="11" t="str">
        <f aca="false">IF(P2886="","",IF(COUNTIF($P$2:$P$3000,P2886)&gt;1,"DUPLICATE","OK"))</f>
        <v/>
      </c>
      <c r="R2886" s="0" t="str">
        <f aca="false">IF($C2886="","",IFERROR(VLOOKUP(--$C2886,MM_Income!$Z$5:$AC$204,3,FALSE()),""))</f>
        <v/>
      </c>
    </row>
    <row r="2887" customFormat="false" ht="13.5" hidden="false" customHeight="false" outlineLevel="0" collapsed="false">
      <c r="N2887" s="1" t="str">
        <f aca="false">IF(C2887="","",IFERROR(VLOOKUP(C2887,Master_Mappings!$A$4:$E$85,3,FALSE()),"UNMAPPED"))</f>
        <v/>
      </c>
      <c r="P2887" s="1" t="str">
        <f aca="false">IF($C2887="","",$C2887&amp;"|"&amp;$E2887&amp;"|"&amp;$M2887&amp;"|"&amp;TEXT($G2887,"yyyy-mm-dd")&amp;"|"&amp;LEFT($J2887,40))</f>
        <v/>
      </c>
      <c r="Q2887" s="11" t="str">
        <f aca="false">IF(P2887="","",IF(COUNTIF($P$2:$P$3000,P2887)&gt;1,"DUPLICATE","OK"))</f>
        <v/>
      </c>
      <c r="R2887" s="0" t="str">
        <f aca="false">IF($C2887="","",IFERROR(VLOOKUP(--$C2887,MM_Income!$Z$5:$AC$204,3,FALSE()),""))</f>
        <v/>
      </c>
    </row>
    <row r="2888" customFormat="false" ht="13.5" hidden="false" customHeight="false" outlineLevel="0" collapsed="false">
      <c r="N2888" s="1" t="str">
        <f aca="false">IF(C2888="","",IFERROR(VLOOKUP(C2888,Master_Mappings!$A$4:$E$85,3,FALSE()),"UNMAPPED"))</f>
        <v/>
      </c>
      <c r="P2888" s="1" t="str">
        <f aca="false">IF($C2888="","",$C2888&amp;"|"&amp;$E2888&amp;"|"&amp;$M2888&amp;"|"&amp;TEXT($G2888,"yyyy-mm-dd")&amp;"|"&amp;LEFT($J2888,40))</f>
        <v/>
      </c>
      <c r="Q2888" s="11" t="str">
        <f aca="false">IF(P2888="","",IF(COUNTIF($P$2:$P$3000,P2888)&gt;1,"DUPLICATE","OK"))</f>
        <v/>
      </c>
      <c r="R2888" s="0" t="str">
        <f aca="false">IF($C2888="","",IFERROR(VLOOKUP(--$C2888,MM_Income!$Z$5:$AC$204,3,FALSE()),""))</f>
        <v/>
      </c>
    </row>
    <row r="2889" customFormat="false" ht="13.5" hidden="false" customHeight="false" outlineLevel="0" collapsed="false">
      <c r="N2889" s="1" t="str">
        <f aca="false">IF(C2889="","",IFERROR(VLOOKUP(C2889,Master_Mappings!$A$4:$E$85,3,FALSE()),"UNMAPPED"))</f>
        <v/>
      </c>
      <c r="P2889" s="1" t="str">
        <f aca="false">IF($C2889="","",$C2889&amp;"|"&amp;$E2889&amp;"|"&amp;$M2889&amp;"|"&amp;TEXT($G2889,"yyyy-mm-dd")&amp;"|"&amp;LEFT($J2889,40))</f>
        <v/>
      </c>
      <c r="Q2889" s="11" t="str">
        <f aca="false">IF(P2889="","",IF(COUNTIF($P$2:$P$3000,P2889)&gt;1,"DUPLICATE","OK"))</f>
        <v/>
      </c>
      <c r="R2889" s="0" t="str">
        <f aca="false">IF($C2889="","",IFERROR(VLOOKUP(--$C2889,MM_Income!$Z$5:$AC$204,3,FALSE()),""))</f>
        <v/>
      </c>
    </row>
    <row r="2890" customFormat="false" ht="13.5" hidden="false" customHeight="false" outlineLevel="0" collapsed="false">
      <c r="N2890" s="1" t="str">
        <f aca="false">IF(C2890="","",IFERROR(VLOOKUP(C2890,Master_Mappings!$A$4:$E$85,3,FALSE()),"UNMAPPED"))</f>
        <v/>
      </c>
      <c r="P2890" s="1" t="str">
        <f aca="false">IF($C2890="","",$C2890&amp;"|"&amp;$E2890&amp;"|"&amp;$M2890&amp;"|"&amp;TEXT($G2890,"yyyy-mm-dd")&amp;"|"&amp;LEFT($J2890,40))</f>
        <v/>
      </c>
      <c r="Q2890" s="11" t="str">
        <f aca="false">IF(P2890="","",IF(COUNTIF($P$2:$P$3000,P2890)&gt;1,"DUPLICATE","OK"))</f>
        <v/>
      </c>
      <c r="R2890" s="0" t="str">
        <f aca="false">IF($C2890="","",IFERROR(VLOOKUP(--$C2890,MM_Income!$Z$5:$AC$204,3,FALSE()),""))</f>
        <v/>
      </c>
    </row>
    <row r="2891" customFormat="false" ht="13.5" hidden="false" customHeight="false" outlineLevel="0" collapsed="false">
      <c r="N2891" s="1" t="str">
        <f aca="false">IF(C2891="","",IFERROR(VLOOKUP(C2891,Master_Mappings!$A$4:$E$85,3,FALSE()),"UNMAPPED"))</f>
        <v/>
      </c>
      <c r="P2891" s="1" t="str">
        <f aca="false">IF($C2891="","",$C2891&amp;"|"&amp;$E2891&amp;"|"&amp;$M2891&amp;"|"&amp;TEXT($G2891,"yyyy-mm-dd")&amp;"|"&amp;LEFT($J2891,40))</f>
        <v/>
      </c>
      <c r="Q2891" s="11" t="str">
        <f aca="false">IF(P2891="","",IF(COUNTIF($P$2:$P$3000,P2891)&gt;1,"DUPLICATE","OK"))</f>
        <v/>
      </c>
      <c r="R2891" s="0" t="str">
        <f aca="false">IF($C2891="","",IFERROR(VLOOKUP(--$C2891,MM_Income!$Z$5:$AC$204,3,FALSE()),""))</f>
        <v/>
      </c>
    </row>
    <row r="2892" customFormat="false" ht="13.5" hidden="false" customHeight="false" outlineLevel="0" collapsed="false">
      <c r="N2892" s="1" t="str">
        <f aca="false">IF(C2892="","",IFERROR(VLOOKUP(C2892,Master_Mappings!$A$4:$E$85,3,FALSE()),"UNMAPPED"))</f>
        <v/>
      </c>
      <c r="P2892" s="1" t="str">
        <f aca="false">IF($C2892="","",$C2892&amp;"|"&amp;$E2892&amp;"|"&amp;$M2892&amp;"|"&amp;TEXT($G2892,"yyyy-mm-dd")&amp;"|"&amp;LEFT($J2892,40))</f>
        <v/>
      </c>
      <c r="Q2892" s="11" t="str">
        <f aca="false">IF(P2892="","",IF(COUNTIF($P$2:$P$3000,P2892)&gt;1,"DUPLICATE","OK"))</f>
        <v/>
      </c>
      <c r="R2892" s="0" t="str">
        <f aca="false">IF($C2892="","",IFERROR(VLOOKUP(--$C2892,MM_Income!$Z$5:$AC$204,3,FALSE()),""))</f>
        <v/>
      </c>
    </row>
    <row r="2893" customFormat="false" ht="13.5" hidden="false" customHeight="false" outlineLevel="0" collapsed="false">
      <c r="N2893" s="1" t="str">
        <f aca="false">IF(C2893="","",IFERROR(VLOOKUP(C2893,Master_Mappings!$A$4:$E$85,3,FALSE()),"UNMAPPED"))</f>
        <v/>
      </c>
      <c r="P2893" s="1" t="str">
        <f aca="false">IF($C2893="","",$C2893&amp;"|"&amp;$E2893&amp;"|"&amp;$M2893&amp;"|"&amp;TEXT($G2893,"yyyy-mm-dd")&amp;"|"&amp;LEFT($J2893,40))</f>
        <v/>
      </c>
      <c r="Q2893" s="11" t="str">
        <f aca="false">IF(P2893="","",IF(COUNTIF($P$2:$P$3000,P2893)&gt;1,"DUPLICATE","OK"))</f>
        <v/>
      </c>
      <c r="R2893" s="0" t="str">
        <f aca="false">IF($C2893="","",IFERROR(VLOOKUP(--$C2893,MM_Income!$Z$5:$AC$204,3,FALSE()),""))</f>
        <v/>
      </c>
    </row>
    <row r="2894" customFormat="false" ht="13.5" hidden="false" customHeight="false" outlineLevel="0" collapsed="false">
      <c r="N2894" s="1" t="str">
        <f aca="false">IF(C2894="","",IFERROR(VLOOKUP(C2894,Master_Mappings!$A$4:$E$85,3,FALSE()),"UNMAPPED"))</f>
        <v/>
      </c>
      <c r="P2894" s="1" t="str">
        <f aca="false">IF($C2894="","",$C2894&amp;"|"&amp;$E2894&amp;"|"&amp;$M2894&amp;"|"&amp;TEXT($G2894,"yyyy-mm-dd")&amp;"|"&amp;LEFT($J2894,40))</f>
        <v/>
      </c>
      <c r="Q2894" s="11" t="str">
        <f aca="false">IF(P2894="","",IF(COUNTIF($P$2:$P$3000,P2894)&gt;1,"DUPLICATE","OK"))</f>
        <v/>
      </c>
      <c r="R2894" s="0" t="str">
        <f aca="false">IF($C2894="","",IFERROR(VLOOKUP(--$C2894,MM_Income!$Z$5:$AC$204,3,FALSE()),""))</f>
        <v/>
      </c>
    </row>
    <row r="2895" customFormat="false" ht="13.5" hidden="false" customHeight="false" outlineLevel="0" collapsed="false">
      <c r="N2895" s="1" t="str">
        <f aca="false">IF(C2895="","",IFERROR(VLOOKUP(C2895,Master_Mappings!$A$4:$E$85,3,FALSE()),"UNMAPPED"))</f>
        <v/>
      </c>
      <c r="P2895" s="1" t="str">
        <f aca="false">IF($C2895="","",$C2895&amp;"|"&amp;$E2895&amp;"|"&amp;$M2895&amp;"|"&amp;TEXT($G2895,"yyyy-mm-dd")&amp;"|"&amp;LEFT($J2895,40))</f>
        <v/>
      </c>
      <c r="Q2895" s="11" t="str">
        <f aca="false">IF(P2895="","",IF(COUNTIF($P$2:$P$3000,P2895)&gt;1,"DUPLICATE","OK"))</f>
        <v/>
      </c>
      <c r="R2895" s="0" t="str">
        <f aca="false">IF($C2895="","",IFERROR(VLOOKUP(--$C2895,MM_Income!$Z$5:$AC$204,3,FALSE()),""))</f>
        <v/>
      </c>
    </row>
    <row r="2896" customFormat="false" ht="13.5" hidden="false" customHeight="false" outlineLevel="0" collapsed="false">
      <c r="N2896" s="1" t="str">
        <f aca="false">IF(C2896="","",IFERROR(VLOOKUP(C2896,Master_Mappings!$A$4:$E$85,3,FALSE()),"UNMAPPED"))</f>
        <v/>
      </c>
      <c r="P2896" s="1" t="str">
        <f aca="false">IF($C2896="","",$C2896&amp;"|"&amp;$E2896&amp;"|"&amp;$M2896&amp;"|"&amp;TEXT($G2896,"yyyy-mm-dd")&amp;"|"&amp;LEFT($J2896,40))</f>
        <v/>
      </c>
      <c r="Q2896" s="11" t="str">
        <f aca="false">IF(P2896="","",IF(COUNTIF($P$2:$P$3000,P2896)&gt;1,"DUPLICATE","OK"))</f>
        <v/>
      </c>
      <c r="R2896" s="0" t="str">
        <f aca="false">IF($C2896="","",IFERROR(VLOOKUP(--$C2896,MM_Income!$Z$5:$AC$204,3,FALSE()),""))</f>
        <v/>
      </c>
    </row>
    <row r="2897" customFormat="false" ht="13.5" hidden="false" customHeight="false" outlineLevel="0" collapsed="false">
      <c r="N2897" s="1" t="str">
        <f aca="false">IF(C2897="","",IFERROR(VLOOKUP(C2897,Master_Mappings!$A$4:$E$85,3,FALSE()),"UNMAPPED"))</f>
        <v/>
      </c>
      <c r="P2897" s="1" t="str">
        <f aca="false">IF($C2897="","",$C2897&amp;"|"&amp;$E2897&amp;"|"&amp;$M2897&amp;"|"&amp;TEXT($G2897,"yyyy-mm-dd")&amp;"|"&amp;LEFT($J2897,40))</f>
        <v/>
      </c>
      <c r="Q2897" s="11" t="str">
        <f aca="false">IF(P2897="","",IF(COUNTIF($P$2:$P$3000,P2897)&gt;1,"DUPLICATE","OK"))</f>
        <v/>
      </c>
      <c r="R2897" s="0" t="str">
        <f aca="false">IF($C2897="","",IFERROR(VLOOKUP(--$C2897,MM_Income!$Z$5:$AC$204,3,FALSE()),""))</f>
        <v/>
      </c>
    </row>
    <row r="2898" customFormat="false" ht="13.5" hidden="false" customHeight="false" outlineLevel="0" collapsed="false">
      <c r="N2898" s="1" t="str">
        <f aca="false">IF(C2898="","",IFERROR(VLOOKUP(C2898,Master_Mappings!$A$4:$E$85,3,FALSE()),"UNMAPPED"))</f>
        <v/>
      </c>
      <c r="P2898" s="1" t="str">
        <f aca="false">IF($C2898="","",$C2898&amp;"|"&amp;$E2898&amp;"|"&amp;$M2898&amp;"|"&amp;TEXT($G2898,"yyyy-mm-dd")&amp;"|"&amp;LEFT($J2898,40))</f>
        <v/>
      </c>
      <c r="Q2898" s="11" t="str">
        <f aca="false">IF(P2898="","",IF(COUNTIF($P$2:$P$3000,P2898)&gt;1,"DUPLICATE","OK"))</f>
        <v/>
      </c>
      <c r="R2898" s="0" t="str">
        <f aca="false">IF($C2898="","",IFERROR(VLOOKUP(--$C2898,MM_Income!$Z$5:$AC$204,3,FALSE()),""))</f>
        <v/>
      </c>
    </row>
    <row r="2899" customFormat="false" ht="13.5" hidden="false" customHeight="false" outlineLevel="0" collapsed="false">
      <c r="N2899" s="1" t="str">
        <f aca="false">IF(C2899="","",IFERROR(VLOOKUP(C2899,Master_Mappings!$A$4:$E$85,3,FALSE()),"UNMAPPED"))</f>
        <v/>
      </c>
      <c r="P2899" s="1" t="str">
        <f aca="false">IF($C2899="","",$C2899&amp;"|"&amp;$E2899&amp;"|"&amp;$M2899&amp;"|"&amp;TEXT($G2899,"yyyy-mm-dd")&amp;"|"&amp;LEFT($J2899,40))</f>
        <v/>
      </c>
      <c r="Q2899" s="11" t="str">
        <f aca="false">IF(P2899="","",IF(COUNTIF($P$2:$P$3000,P2899)&gt;1,"DUPLICATE","OK"))</f>
        <v/>
      </c>
      <c r="R2899" s="0" t="str">
        <f aca="false">IF($C2899="","",IFERROR(VLOOKUP(--$C2899,MM_Income!$Z$5:$AC$204,3,FALSE()),""))</f>
        <v/>
      </c>
    </row>
    <row r="2900" customFormat="false" ht="13.5" hidden="false" customHeight="false" outlineLevel="0" collapsed="false">
      <c r="N2900" s="1" t="str">
        <f aca="false">IF(C2900="","",IFERROR(VLOOKUP(C2900,Master_Mappings!$A$4:$E$85,3,FALSE()),"UNMAPPED"))</f>
        <v/>
      </c>
      <c r="P2900" s="1" t="str">
        <f aca="false">IF($C2900="","",$C2900&amp;"|"&amp;$E2900&amp;"|"&amp;$M2900&amp;"|"&amp;TEXT($G2900,"yyyy-mm-dd")&amp;"|"&amp;LEFT($J2900,40))</f>
        <v/>
      </c>
      <c r="Q2900" s="11" t="str">
        <f aca="false">IF(P2900="","",IF(COUNTIF($P$2:$P$3000,P2900)&gt;1,"DUPLICATE","OK"))</f>
        <v/>
      </c>
      <c r="R2900" s="0" t="str">
        <f aca="false">IF($C2900="","",IFERROR(VLOOKUP(--$C2900,MM_Income!$Z$5:$AC$204,3,FALSE()),""))</f>
        <v/>
      </c>
    </row>
    <row r="2901" customFormat="false" ht="13.5" hidden="false" customHeight="false" outlineLevel="0" collapsed="false">
      <c r="N2901" s="1" t="str">
        <f aca="false">IF(C2901="","",IFERROR(VLOOKUP(C2901,Master_Mappings!$A$4:$E$85,3,FALSE()),"UNMAPPED"))</f>
        <v/>
      </c>
      <c r="P2901" s="1" t="str">
        <f aca="false">IF($C2901="","",$C2901&amp;"|"&amp;$E2901&amp;"|"&amp;$M2901&amp;"|"&amp;TEXT($G2901,"yyyy-mm-dd")&amp;"|"&amp;LEFT($J2901,40))</f>
        <v/>
      </c>
      <c r="Q2901" s="11" t="str">
        <f aca="false">IF(P2901="","",IF(COUNTIF($P$2:$P$3000,P2901)&gt;1,"DUPLICATE","OK"))</f>
        <v/>
      </c>
      <c r="R2901" s="0" t="str">
        <f aca="false">IF($C2901="","",IFERROR(VLOOKUP(--$C2901,MM_Income!$Z$5:$AC$204,3,FALSE()),""))</f>
        <v/>
      </c>
    </row>
    <row r="2902" customFormat="false" ht="13.5" hidden="false" customHeight="false" outlineLevel="0" collapsed="false">
      <c r="N2902" s="1" t="str">
        <f aca="false">IF(C2902="","",IFERROR(VLOOKUP(C2902,Master_Mappings!$A$4:$E$85,3,FALSE()),"UNMAPPED"))</f>
        <v/>
      </c>
      <c r="P2902" s="1" t="str">
        <f aca="false">IF($C2902="","",$C2902&amp;"|"&amp;$E2902&amp;"|"&amp;$M2902&amp;"|"&amp;TEXT($G2902,"yyyy-mm-dd")&amp;"|"&amp;LEFT($J2902,40))</f>
        <v/>
      </c>
      <c r="Q2902" s="11" t="str">
        <f aca="false">IF(P2902="","",IF(COUNTIF($P$2:$P$3000,P2902)&gt;1,"DUPLICATE","OK"))</f>
        <v/>
      </c>
      <c r="R2902" s="0" t="str">
        <f aca="false">IF($C2902="","",IFERROR(VLOOKUP(--$C2902,MM_Income!$Z$5:$AC$204,3,FALSE()),""))</f>
        <v/>
      </c>
    </row>
    <row r="2903" customFormat="false" ht="13.5" hidden="false" customHeight="false" outlineLevel="0" collapsed="false">
      <c r="N2903" s="1" t="str">
        <f aca="false">IF(C2903="","",IFERROR(VLOOKUP(C2903,Master_Mappings!$A$4:$E$85,3,FALSE()),"UNMAPPED"))</f>
        <v/>
      </c>
      <c r="P2903" s="1" t="str">
        <f aca="false">IF($C2903="","",$C2903&amp;"|"&amp;$E2903&amp;"|"&amp;$M2903&amp;"|"&amp;TEXT($G2903,"yyyy-mm-dd")&amp;"|"&amp;LEFT($J2903,40))</f>
        <v/>
      </c>
      <c r="Q2903" s="11" t="str">
        <f aca="false">IF(P2903="","",IF(COUNTIF($P$2:$P$3000,P2903)&gt;1,"DUPLICATE","OK"))</f>
        <v/>
      </c>
      <c r="R2903" s="0" t="str">
        <f aca="false">IF($C2903="","",IFERROR(VLOOKUP(--$C2903,MM_Income!$Z$5:$AC$204,3,FALSE()),""))</f>
        <v/>
      </c>
    </row>
    <row r="2904" customFormat="false" ht="13.5" hidden="false" customHeight="false" outlineLevel="0" collapsed="false">
      <c r="N2904" s="1" t="str">
        <f aca="false">IF(C2904="","",IFERROR(VLOOKUP(C2904,Master_Mappings!$A$4:$E$85,3,FALSE()),"UNMAPPED"))</f>
        <v/>
      </c>
      <c r="P2904" s="1" t="str">
        <f aca="false">IF($C2904="","",$C2904&amp;"|"&amp;$E2904&amp;"|"&amp;$M2904&amp;"|"&amp;TEXT($G2904,"yyyy-mm-dd")&amp;"|"&amp;LEFT($J2904,40))</f>
        <v/>
      </c>
      <c r="Q2904" s="11" t="str">
        <f aca="false">IF(P2904="","",IF(COUNTIF($P$2:$P$3000,P2904)&gt;1,"DUPLICATE","OK"))</f>
        <v/>
      </c>
      <c r="R2904" s="0" t="str">
        <f aca="false">IF($C2904="","",IFERROR(VLOOKUP(--$C2904,MM_Income!$Z$5:$AC$204,3,FALSE()),""))</f>
        <v/>
      </c>
    </row>
    <row r="2905" customFormat="false" ht="13.5" hidden="false" customHeight="false" outlineLevel="0" collapsed="false">
      <c r="N2905" s="1" t="str">
        <f aca="false">IF(C2905="","",IFERROR(VLOOKUP(C2905,Master_Mappings!$A$4:$E$85,3,FALSE()),"UNMAPPED"))</f>
        <v/>
      </c>
      <c r="P2905" s="1" t="str">
        <f aca="false">IF($C2905="","",$C2905&amp;"|"&amp;$E2905&amp;"|"&amp;$M2905&amp;"|"&amp;TEXT($G2905,"yyyy-mm-dd")&amp;"|"&amp;LEFT($J2905,40))</f>
        <v/>
      </c>
      <c r="Q2905" s="11" t="str">
        <f aca="false">IF(P2905="","",IF(COUNTIF($P$2:$P$3000,P2905)&gt;1,"DUPLICATE","OK"))</f>
        <v/>
      </c>
      <c r="R2905" s="0" t="str">
        <f aca="false">IF($C2905="","",IFERROR(VLOOKUP(--$C2905,MM_Income!$Z$5:$AC$204,3,FALSE()),""))</f>
        <v/>
      </c>
    </row>
    <row r="2906" customFormat="false" ht="13.5" hidden="false" customHeight="false" outlineLevel="0" collapsed="false">
      <c r="N2906" s="1" t="str">
        <f aca="false">IF(C2906="","",IFERROR(VLOOKUP(C2906,Master_Mappings!$A$4:$E$85,3,FALSE()),"UNMAPPED"))</f>
        <v/>
      </c>
      <c r="P2906" s="1" t="str">
        <f aca="false">IF($C2906="","",$C2906&amp;"|"&amp;$E2906&amp;"|"&amp;$M2906&amp;"|"&amp;TEXT($G2906,"yyyy-mm-dd")&amp;"|"&amp;LEFT($J2906,40))</f>
        <v/>
      </c>
      <c r="Q2906" s="11" t="str">
        <f aca="false">IF(P2906="","",IF(COUNTIF($P$2:$P$3000,P2906)&gt;1,"DUPLICATE","OK"))</f>
        <v/>
      </c>
      <c r="R2906" s="0" t="str">
        <f aca="false">IF($C2906="","",IFERROR(VLOOKUP(--$C2906,MM_Income!$Z$5:$AC$204,3,FALSE()),""))</f>
        <v/>
      </c>
    </row>
    <row r="2907" customFormat="false" ht="13.5" hidden="false" customHeight="false" outlineLevel="0" collapsed="false">
      <c r="N2907" s="1" t="str">
        <f aca="false">IF(C2907="","",IFERROR(VLOOKUP(C2907,Master_Mappings!$A$4:$E$85,3,FALSE()),"UNMAPPED"))</f>
        <v/>
      </c>
      <c r="P2907" s="1" t="str">
        <f aca="false">IF($C2907="","",$C2907&amp;"|"&amp;$E2907&amp;"|"&amp;$M2907&amp;"|"&amp;TEXT($G2907,"yyyy-mm-dd")&amp;"|"&amp;LEFT($J2907,40))</f>
        <v/>
      </c>
      <c r="Q2907" s="11" t="str">
        <f aca="false">IF(P2907="","",IF(COUNTIF($P$2:$P$3000,P2907)&gt;1,"DUPLICATE","OK"))</f>
        <v/>
      </c>
      <c r="R2907" s="0" t="str">
        <f aca="false">IF($C2907="","",IFERROR(VLOOKUP(--$C2907,MM_Income!$Z$5:$AC$204,3,FALSE()),""))</f>
        <v/>
      </c>
    </row>
    <row r="2908" customFormat="false" ht="13.5" hidden="false" customHeight="false" outlineLevel="0" collapsed="false">
      <c r="N2908" s="1" t="str">
        <f aca="false">IF(C2908="","",IFERROR(VLOOKUP(C2908,Master_Mappings!$A$4:$E$85,3,FALSE()),"UNMAPPED"))</f>
        <v/>
      </c>
      <c r="P2908" s="1" t="str">
        <f aca="false">IF($C2908="","",$C2908&amp;"|"&amp;$E2908&amp;"|"&amp;$M2908&amp;"|"&amp;TEXT($G2908,"yyyy-mm-dd")&amp;"|"&amp;LEFT($J2908,40))</f>
        <v/>
      </c>
      <c r="Q2908" s="11" t="str">
        <f aca="false">IF(P2908="","",IF(COUNTIF($P$2:$P$3000,P2908)&gt;1,"DUPLICATE","OK"))</f>
        <v/>
      </c>
      <c r="R2908" s="0" t="str">
        <f aca="false">IF($C2908="","",IFERROR(VLOOKUP(--$C2908,MM_Income!$Z$5:$AC$204,3,FALSE()),""))</f>
        <v/>
      </c>
    </row>
    <row r="2909" customFormat="false" ht="13.5" hidden="false" customHeight="false" outlineLevel="0" collapsed="false">
      <c r="N2909" s="1" t="str">
        <f aca="false">IF(C2909="","",IFERROR(VLOOKUP(C2909,Master_Mappings!$A$4:$E$85,3,FALSE()),"UNMAPPED"))</f>
        <v/>
      </c>
      <c r="P2909" s="1" t="str">
        <f aca="false">IF($C2909="","",$C2909&amp;"|"&amp;$E2909&amp;"|"&amp;$M2909&amp;"|"&amp;TEXT($G2909,"yyyy-mm-dd")&amp;"|"&amp;LEFT($J2909,40))</f>
        <v/>
      </c>
      <c r="Q2909" s="11" t="str">
        <f aca="false">IF(P2909="","",IF(COUNTIF($P$2:$P$3000,P2909)&gt;1,"DUPLICATE","OK"))</f>
        <v/>
      </c>
      <c r="R2909" s="0" t="str">
        <f aca="false">IF($C2909="","",IFERROR(VLOOKUP(--$C2909,MM_Income!$Z$5:$AC$204,3,FALSE()),""))</f>
        <v/>
      </c>
    </row>
    <row r="2910" customFormat="false" ht="13.5" hidden="false" customHeight="false" outlineLevel="0" collapsed="false">
      <c r="N2910" s="1" t="str">
        <f aca="false">IF(C2910="","",IFERROR(VLOOKUP(C2910,Master_Mappings!$A$4:$E$85,3,FALSE()),"UNMAPPED"))</f>
        <v/>
      </c>
      <c r="P2910" s="1" t="str">
        <f aca="false">IF($C2910="","",$C2910&amp;"|"&amp;$E2910&amp;"|"&amp;$M2910&amp;"|"&amp;TEXT($G2910,"yyyy-mm-dd")&amp;"|"&amp;LEFT($J2910,40))</f>
        <v/>
      </c>
      <c r="Q2910" s="11" t="str">
        <f aca="false">IF(P2910="","",IF(COUNTIF($P$2:$P$3000,P2910)&gt;1,"DUPLICATE","OK"))</f>
        <v/>
      </c>
      <c r="R2910" s="0" t="str">
        <f aca="false">IF($C2910="","",IFERROR(VLOOKUP(--$C2910,MM_Income!$Z$5:$AC$204,3,FALSE()),""))</f>
        <v/>
      </c>
    </row>
    <row r="2911" customFormat="false" ht="13.5" hidden="false" customHeight="false" outlineLevel="0" collapsed="false">
      <c r="N2911" s="1" t="str">
        <f aca="false">IF(C2911="","",IFERROR(VLOOKUP(C2911,Master_Mappings!$A$4:$E$85,3,FALSE()),"UNMAPPED"))</f>
        <v/>
      </c>
      <c r="P2911" s="1" t="str">
        <f aca="false">IF($C2911="","",$C2911&amp;"|"&amp;$E2911&amp;"|"&amp;$M2911&amp;"|"&amp;TEXT($G2911,"yyyy-mm-dd")&amp;"|"&amp;LEFT($J2911,40))</f>
        <v/>
      </c>
      <c r="Q2911" s="11" t="str">
        <f aca="false">IF(P2911="","",IF(COUNTIF($P$2:$P$3000,P2911)&gt;1,"DUPLICATE","OK"))</f>
        <v/>
      </c>
      <c r="R2911" s="0" t="str">
        <f aca="false">IF($C2911="","",IFERROR(VLOOKUP(--$C2911,MM_Income!$Z$5:$AC$204,3,FALSE()),""))</f>
        <v/>
      </c>
    </row>
    <row r="2912" customFormat="false" ht="13.5" hidden="false" customHeight="false" outlineLevel="0" collapsed="false">
      <c r="N2912" s="1" t="str">
        <f aca="false">IF(C2912="","",IFERROR(VLOOKUP(C2912,Master_Mappings!$A$4:$E$85,3,FALSE()),"UNMAPPED"))</f>
        <v/>
      </c>
      <c r="P2912" s="1" t="str">
        <f aca="false">IF($C2912="","",$C2912&amp;"|"&amp;$E2912&amp;"|"&amp;$M2912&amp;"|"&amp;TEXT($G2912,"yyyy-mm-dd")&amp;"|"&amp;LEFT($J2912,40))</f>
        <v/>
      </c>
      <c r="Q2912" s="11" t="str">
        <f aca="false">IF(P2912="","",IF(COUNTIF($P$2:$P$3000,P2912)&gt;1,"DUPLICATE","OK"))</f>
        <v/>
      </c>
      <c r="R2912" s="0" t="str">
        <f aca="false">IF($C2912="","",IFERROR(VLOOKUP(--$C2912,MM_Income!$Z$5:$AC$204,3,FALSE()),""))</f>
        <v/>
      </c>
    </row>
    <row r="2913" customFormat="false" ht="13.5" hidden="false" customHeight="false" outlineLevel="0" collapsed="false">
      <c r="N2913" s="1" t="str">
        <f aca="false">IF(C2913="","",IFERROR(VLOOKUP(C2913,Master_Mappings!$A$4:$E$85,3,FALSE()),"UNMAPPED"))</f>
        <v/>
      </c>
      <c r="P2913" s="1" t="str">
        <f aca="false">IF($C2913="","",$C2913&amp;"|"&amp;$E2913&amp;"|"&amp;$M2913&amp;"|"&amp;TEXT($G2913,"yyyy-mm-dd")&amp;"|"&amp;LEFT($J2913,40))</f>
        <v/>
      </c>
      <c r="Q2913" s="11" t="str">
        <f aca="false">IF(P2913="","",IF(COUNTIF($P$2:$P$3000,P2913)&gt;1,"DUPLICATE","OK"))</f>
        <v/>
      </c>
      <c r="R2913" s="0" t="str">
        <f aca="false">IF($C2913="","",IFERROR(VLOOKUP(--$C2913,MM_Income!$Z$5:$AC$204,3,FALSE()),""))</f>
        <v/>
      </c>
    </row>
    <row r="2914" customFormat="false" ht="13.5" hidden="false" customHeight="false" outlineLevel="0" collapsed="false">
      <c r="N2914" s="1" t="str">
        <f aca="false">IF(C2914="","",IFERROR(VLOOKUP(C2914,Master_Mappings!$A$4:$E$85,3,FALSE()),"UNMAPPED"))</f>
        <v/>
      </c>
      <c r="P2914" s="1" t="str">
        <f aca="false">IF($C2914="","",$C2914&amp;"|"&amp;$E2914&amp;"|"&amp;$M2914&amp;"|"&amp;TEXT($G2914,"yyyy-mm-dd")&amp;"|"&amp;LEFT($J2914,40))</f>
        <v/>
      </c>
      <c r="Q2914" s="11" t="str">
        <f aca="false">IF(P2914="","",IF(COUNTIF($P$2:$P$3000,P2914)&gt;1,"DUPLICATE","OK"))</f>
        <v/>
      </c>
      <c r="R2914" s="0" t="str">
        <f aca="false">IF($C2914="","",IFERROR(VLOOKUP(--$C2914,MM_Income!$Z$5:$AC$204,3,FALSE()),""))</f>
        <v/>
      </c>
    </row>
    <row r="2915" customFormat="false" ht="13.5" hidden="false" customHeight="false" outlineLevel="0" collapsed="false">
      <c r="N2915" s="1" t="str">
        <f aca="false">IF(C2915="","",IFERROR(VLOOKUP(C2915,Master_Mappings!$A$4:$E$85,3,FALSE()),"UNMAPPED"))</f>
        <v/>
      </c>
      <c r="P2915" s="1" t="str">
        <f aca="false">IF($C2915="","",$C2915&amp;"|"&amp;$E2915&amp;"|"&amp;$M2915&amp;"|"&amp;TEXT($G2915,"yyyy-mm-dd")&amp;"|"&amp;LEFT($J2915,40))</f>
        <v/>
      </c>
      <c r="Q2915" s="11" t="str">
        <f aca="false">IF(P2915="","",IF(COUNTIF($P$2:$P$3000,P2915)&gt;1,"DUPLICATE","OK"))</f>
        <v/>
      </c>
      <c r="R2915" s="0" t="str">
        <f aca="false">IF($C2915="","",IFERROR(VLOOKUP(--$C2915,MM_Income!$Z$5:$AC$204,3,FALSE()),""))</f>
        <v/>
      </c>
    </row>
    <row r="2916" customFormat="false" ht="13.5" hidden="false" customHeight="false" outlineLevel="0" collapsed="false">
      <c r="N2916" s="1" t="str">
        <f aca="false">IF(C2916="","",IFERROR(VLOOKUP(C2916,Master_Mappings!$A$4:$E$85,3,FALSE()),"UNMAPPED"))</f>
        <v/>
      </c>
      <c r="P2916" s="1" t="str">
        <f aca="false">IF($C2916="","",$C2916&amp;"|"&amp;$E2916&amp;"|"&amp;$M2916&amp;"|"&amp;TEXT($G2916,"yyyy-mm-dd")&amp;"|"&amp;LEFT($J2916,40))</f>
        <v/>
      </c>
      <c r="Q2916" s="11" t="str">
        <f aca="false">IF(P2916="","",IF(COUNTIF($P$2:$P$3000,P2916)&gt;1,"DUPLICATE","OK"))</f>
        <v/>
      </c>
      <c r="R2916" s="0" t="str">
        <f aca="false">IF($C2916="","",IFERROR(VLOOKUP(--$C2916,MM_Income!$Z$5:$AC$204,3,FALSE()),""))</f>
        <v/>
      </c>
    </row>
    <row r="2917" customFormat="false" ht="13.5" hidden="false" customHeight="false" outlineLevel="0" collapsed="false">
      <c r="N2917" s="1" t="str">
        <f aca="false">IF(C2917="","",IFERROR(VLOOKUP(C2917,Master_Mappings!$A$4:$E$85,3,FALSE()),"UNMAPPED"))</f>
        <v/>
      </c>
      <c r="P2917" s="1" t="str">
        <f aca="false">IF($C2917="","",$C2917&amp;"|"&amp;$E2917&amp;"|"&amp;$M2917&amp;"|"&amp;TEXT($G2917,"yyyy-mm-dd")&amp;"|"&amp;LEFT($J2917,40))</f>
        <v/>
      </c>
      <c r="Q2917" s="11" t="str">
        <f aca="false">IF(P2917="","",IF(COUNTIF($P$2:$P$3000,P2917)&gt;1,"DUPLICATE","OK"))</f>
        <v/>
      </c>
      <c r="R2917" s="0" t="str">
        <f aca="false">IF($C2917="","",IFERROR(VLOOKUP(--$C2917,MM_Income!$Z$5:$AC$204,3,FALSE()),""))</f>
        <v/>
      </c>
    </row>
    <row r="2918" customFormat="false" ht="13.5" hidden="false" customHeight="false" outlineLevel="0" collapsed="false">
      <c r="N2918" s="1" t="str">
        <f aca="false">IF(C2918="","",IFERROR(VLOOKUP(C2918,Master_Mappings!$A$4:$E$85,3,FALSE()),"UNMAPPED"))</f>
        <v/>
      </c>
      <c r="P2918" s="1" t="str">
        <f aca="false">IF($C2918="","",$C2918&amp;"|"&amp;$E2918&amp;"|"&amp;$M2918&amp;"|"&amp;TEXT($G2918,"yyyy-mm-dd")&amp;"|"&amp;LEFT($J2918,40))</f>
        <v/>
      </c>
      <c r="Q2918" s="11" t="str">
        <f aca="false">IF(P2918="","",IF(COUNTIF($P$2:$P$3000,P2918)&gt;1,"DUPLICATE","OK"))</f>
        <v/>
      </c>
      <c r="R2918" s="0" t="str">
        <f aca="false">IF($C2918="","",IFERROR(VLOOKUP(--$C2918,MM_Income!$Z$5:$AC$204,3,FALSE()),""))</f>
        <v/>
      </c>
    </row>
    <row r="2919" customFormat="false" ht="13.5" hidden="false" customHeight="false" outlineLevel="0" collapsed="false">
      <c r="N2919" s="1" t="str">
        <f aca="false">IF(C2919="","",IFERROR(VLOOKUP(C2919,Master_Mappings!$A$4:$E$85,3,FALSE()),"UNMAPPED"))</f>
        <v/>
      </c>
      <c r="P2919" s="1" t="str">
        <f aca="false">IF($C2919="","",$C2919&amp;"|"&amp;$E2919&amp;"|"&amp;$M2919&amp;"|"&amp;TEXT($G2919,"yyyy-mm-dd")&amp;"|"&amp;LEFT($J2919,40))</f>
        <v/>
      </c>
      <c r="Q2919" s="11" t="str">
        <f aca="false">IF(P2919="","",IF(COUNTIF($P$2:$P$3000,P2919)&gt;1,"DUPLICATE","OK"))</f>
        <v/>
      </c>
      <c r="R2919" s="0" t="str">
        <f aca="false">IF($C2919="","",IFERROR(VLOOKUP(--$C2919,MM_Income!$Z$5:$AC$204,3,FALSE()),""))</f>
        <v/>
      </c>
    </row>
    <row r="2920" customFormat="false" ht="13.5" hidden="false" customHeight="false" outlineLevel="0" collapsed="false">
      <c r="N2920" s="1" t="str">
        <f aca="false">IF(C2920="","",IFERROR(VLOOKUP(C2920,Master_Mappings!$A$4:$E$85,3,FALSE()),"UNMAPPED"))</f>
        <v/>
      </c>
      <c r="P2920" s="1" t="str">
        <f aca="false">IF($C2920="","",$C2920&amp;"|"&amp;$E2920&amp;"|"&amp;$M2920&amp;"|"&amp;TEXT($G2920,"yyyy-mm-dd")&amp;"|"&amp;LEFT($J2920,40))</f>
        <v/>
      </c>
      <c r="Q2920" s="11" t="str">
        <f aca="false">IF(P2920="","",IF(COUNTIF($P$2:$P$3000,P2920)&gt;1,"DUPLICATE","OK"))</f>
        <v/>
      </c>
      <c r="R2920" s="0" t="str">
        <f aca="false">IF($C2920="","",IFERROR(VLOOKUP(--$C2920,MM_Income!$Z$5:$AC$204,3,FALSE()),""))</f>
        <v/>
      </c>
    </row>
    <row r="2921" customFormat="false" ht="13.5" hidden="false" customHeight="false" outlineLevel="0" collapsed="false">
      <c r="N2921" s="1" t="str">
        <f aca="false">IF(C2921="","",IFERROR(VLOOKUP(C2921,Master_Mappings!$A$4:$E$85,3,FALSE()),"UNMAPPED"))</f>
        <v/>
      </c>
      <c r="P2921" s="1" t="str">
        <f aca="false">IF($C2921="","",$C2921&amp;"|"&amp;$E2921&amp;"|"&amp;$M2921&amp;"|"&amp;TEXT($G2921,"yyyy-mm-dd")&amp;"|"&amp;LEFT($J2921,40))</f>
        <v/>
      </c>
      <c r="Q2921" s="11" t="str">
        <f aca="false">IF(P2921="","",IF(COUNTIF($P$2:$P$3000,P2921)&gt;1,"DUPLICATE","OK"))</f>
        <v/>
      </c>
      <c r="R2921" s="0" t="str">
        <f aca="false">IF($C2921="","",IFERROR(VLOOKUP(--$C2921,MM_Income!$Z$5:$AC$204,3,FALSE()),""))</f>
        <v/>
      </c>
    </row>
    <row r="2922" customFormat="false" ht="13.5" hidden="false" customHeight="false" outlineLevel="0" collapsed="false">
      <c r="N2922" s="1" t="str">
        <f aca="false">IF(C2922="","",IFERROR(VLOOKUP(C2922,Master_Mappings!$A$4:$E$85,3,FALSE()),"UNMAPPED"))</f>
        <v/>
      </c>
      <c r="P2922" s="1" t="str">
        <f aca="false">IF($C2922="","",$C2922&amp;"|"&amp;$E2922&amp;"|"&amp;$M2922&amp;"|"&amp;TEXT($G2922,"yyyy-mm-dd")&amp;"|"&amp;LEFT($J2922,40))</f>
        <v/>
      </c>
      <c r="Q2922" s="11" t="str">
        <f aca="false">IF(P2922="","",IF(COUNTIF($P$2:$P$3000,P2922)&gt;1,"DUPLICATE","OK"))</f>
        <v/>
      </c>
      <c r="R2922" s="0" t="str">
        <f aca="false">IF($C2922="","",IFERROR(VLOOKUP(--$C2922,MM_Income!$Z$5:$AC$204,3,FALSE()),""))</f>
        <v/>
      </c>
    </row>
    <row r="2923" customFormat="false" ht="13.5" hidden="false" customHeight="false" outlineLevel="0" collapsed="false">
      <c r="N2923" s="1" t="str">
        <f aca="false">IF(C2923="","",IFERROR(VLOOKUP(C2923,Master_Mappings!$A$4:$E$85,3,FALSE()),"UNMAPPED"))</f>
        <v/>
      </c>
      <c r="P2923" s="1" t="str">
        <f aca="false">IF($C2923="","",$C2923&amp;"|"&amp;$E2923&amp;"|"&amp;$M2923&amp;"|"&amp;TEXT($G2923,"yyyy-mm-dd")&amp;"|"&amp;LEFT($J2923,40))</f>
        <v/>
      </c>
      <c r="Q2923" s="11" t="str">
        <f aca="false">IF(P2923="","",IF(COUNTIF($P$2:$P$3000,P2923)&gt;1,"DUPLICATE","OK"))</f>
        <v/>
      </c>
      <c r="R2923" s="0" t="str">
        <f aca="false">IF($C2923="","",IFERROR(VLOOKUP(--$C2923,MM_Income!$Z$5:$AC$204,3,FALSE()),""))</f>
        <v/>
      </c>
    </row>
    <row r="2924" customFormat="false" ht="13.5" hidden="false" customHeight="false" outlineLevel="0" collapsed="false">
      <c r="N2924" s="1" t="str">
        <f aca="false">IF(C2924="","",IFERROR(VLOOKUP(C2924,Master_Mappings!$A$4:$E$85,3,FALSE()),"UNMAPPED"))</f>
        <v/>
      </c>
      <c r="P2924" s="1" t="str">
        <f aca="false">IF($C2924="","",$C2924&amp;"|"&amp;$E2924&amp;"|"&amp;$M2924&amp;"|"&amp;TEXT($G2924,"yyyy-mm-dd")&amp;"|"&amp;LEFT($J2924,40))</f>
        <v/>
      </c>
      <c r="Q2924" s="11" t="str">
        <f aca="false">IF(P2924="","",IF(COUNTIF($P$2:$P$3000,P2924)&gt;1,"DUPLICATE","OK"))</f>
        <v/>
      </c>
      <c r="R2924" s="0" t="str">
        <f aca="false">IF($C2924="","",IFERROR(VLOOKUP(--$C2924,MM_Income!$Z$5:$AC$204,3,FALSE()),""))</f>
        <v/>
      </c>
    </row>
    <row r="2925" customFormat="false" ht="13.5" hidden="false" customHeight="false" outlineLevel="0" collapsed="false">
      <c r="N2925" s="1" t="str">
        <f aca="false">IF(C2925="","",IFERROR(VLOOKUP(C2925,Master_Mappings!$A$4:$E$85,3,FALSE()),"UNMAPPED"))</f>
        <v/>
      </c>
      <c r="P2925" s="1" t="str">
        <f aca="false">IF($C2925="","",$C2925&amp;"|"&amp;$E2925&amp;"|"&amp;$M2925&amp;"|"&amp;TEXT($G2925,"yyyy-mm-dd")&amp;"|"&amp;LEFT($J2925,40))</f>
        <v/>
      </c>
      <c r="Q2925" s="11" t="str">
        <f aca="false">IF(P2925="","",IF(COUNTIF($P$2:$P$3000,P2925)&gt;1,"DUPLICATE","OK"))</f>
        <v/>
      </c>
      <c r="R2925" s="0" t="str">
        <f aca="false">IF($C2925="","",IFERROR(VLOOKUP(--$C2925,MM_Income!$Z$5:$AC$204,3,FALSE()),""))</f>
        <v/>
      </c>
    </row>
    <row r="2926" customFormat="false" ht="13.5" hidden="false" customHeight="false" outlineLevel="0" collapsed="false">
      <c r="N2926" s="1" t="str">
        <f aca="false">IF(C2926="","",IFERROR(VLOOKUP(C2926,Master_Mappings!$A$4:$E$85,3,FALSE()),"UNMAPPED"))</f>
        <v/>
      </c>
      <c r="P2926" s="1" t="str">
        <f aca="false">IF($C2926="","",$C2926&amp;"|"&amp;$E2926&amp;"|"&amp;$M2926&amp;"|"&amp;TEXT($G2926,"yyyy-mm-dd")&amp;"|"&amp;LEFT($J2926,40))</f>
        <v/>
      </c>
      <c r="Q2926" s="11" t="str">
        <f aca="false">IF(P2926="","",IF(COUNTIF($P$2:$P$3000,P2926)&gt;1,"DUPLICATE","OK"))</f>
        <v/>
      </c>
      <c r="R2926" s="0" t="str">
        <f aca="false">IF($C2926="","",IFERROR(VLOOKUP(--$C2926,MM_Income!$Z$5:$AC$204,3,FALSE()),""))</f>
        <v/>
      </c>
    </row>
    <row r="2927" customFormat="false" ht="13.5" hidden="false" customHeight="false" outlineLevel="0" collapsed="false">
      <c r="N2927" s="1" t="str">
        <f aca="false">IF(C2927="","",IFERROR(VLOOKUP(C2927,Master_Mappings!$A$4:$E$85,3,FALSE()),"UNMAPPED"))</f>
        <v/>
      </c>
      <c r="P2927" s="1" t="str">
        <f aca="false">IF($C2927="","",$C2927&amp;"|"&amp;$E2927&amp;"|"&amp;$M2927&amp;"|"&amp;TEXT($G2927,"yyyy-mm-dd")&amp;"|"&amp;LEFT($J2927,40))</f>
        <v/>
      </c>
      <c r="Q2927" s="11" t="str">
        <f aca="false">IF(P2927="","",IF(COUNTIF($P$2:$P$3000,P2927)&gt;1,"DUPLICATE","OK"))</f>
        <v/>
      </c>
      <c r="R2927" s="0" t="str">
        <f aca="false">IF($C2927="","",IFERROR(VLOOKUP(--$C2927,MM_Income!$Z$5:$AC$204,3,FALSE()),""))</f>
        <v/>
      </c>
    </row>
    <row r="2928" customFormat="false" ht="13.5" hidden="false" customHeight="false" outlineLevel="0" collapsed="false">
      <c r="N2928" s="1" t="str">
        <f aca="false">IF(C2928="","",IFERROR(VLOOKUP(C2928,Master_Mappings!$A$4:$E$85,3,FALSE()),"UNMAPPED"))</f>
        <v/>
      </c>
      <c r="P2928" s="1" t="str">
        <f aca="false">IF($C2928="","",$C2928&amp;"|"&amp;$E2928&amp;"|"&amp;$M2928&amp;"|"&amp;TEXT($G2928,"yyyy-mm-dd")&amp;"|"&amp;LEFT($J2928,40))</f>
        <v/>
      </c>
      <c r="Q2928" s="11" t="str">
        <f aca="false">IF(P2928="","",IF(COUNTIF($P$2:$P$3000,P2928)&gt;1,"DUPLICATE","OK"))</f>
        <v/>
      </c>
      <c r="R2928" s="0" t="str">
        <f aca="false">IF($C2928="","",IFERROR(VLOOKUP(--$C2928,MM_Income!$Z$5:$AC$204,3,FALSE()),""))</f>
        <v/>
      </c>
    </row>
    <row r="2929" customFormat="false" ht="13.5" hidden="false" customHeight="false" outlineLevel="0" collapsed="false">
      <c r="N2929" s="1" t="str">
        <f aca="false">IF(C2929="","",IFERROR(VLOOKUP(C2929,Master_Mappings!$A$4:$E$85,3,FALSE()),"UNMAPPED"))</f>
        <v/>
      </c>
      <c r="P2929" s="1" t="str">
        <f aca="false">IF($C2929="","",$C2929&amp;"|"&amp;$E2929&amp;"|"&amp;$M2929&amp;"|"&amp;TEXT($G2929,"yyyy-mm-dd")&amp;"|"&amp;LEFT($J2929,40))</f>
        <v/>
      </c>
      <c r="Q2929" s="11" t="str">
        <f aca="false">IF(P2929="","",IF(COUNTIF($P$2:$P$3000,P2929)&gt;1,"DUPLICATE","OK"))</f>
        <v/>
      </c>
      <c r="R2929" s="0" t="str">
        <f aca="false">IF($C2929="","",IFERROR(VLOOKUP(--$C2929,MM_Income!$Z$5:$AC$204,3,FALSE()),""))</f>
        <v/>
      </c>
    </row>
    <row r="2930" customFormat="false" ht="13.5" hidden="false" customHeight="false" outlineLevel="0" collapsed="false">
      <c r="N2930" s="1" t="str">
        <f aca="false">IF(C2930="","",IFERROR(VLOOKUP(C2930,Master_Mappings!$A$4:$E$85,3,FALSE()),"UNMAPPED"))</f>
        <v/>
      </c>
      <c r="P2930" s="1" t="str">
        <f aca="false">IF($C2930="","",$C2930&amp;"|"&amp;$E2930&amp;"|"&amp;$M2930&amp;"|"&amp;TEXT($G2930,"yyyy-mm-dd")&amp;"|"&amp;LEFT($J2930,40))</f>
        <v/>
      </c>
      <c r="Q2930" s="11" t="str">
        <f aca="false">IF(P2930="","",IF(COUNTIF($P$2:$P$3000,P2930)&gt;1,"DUPLICATE","OK"))</f>
        <v/>
      </c>
      <c r="R2930" s="0" t="str">
        <f aca="false">IF($C2930="","",IFERROR(VLOOKUP(--$C2930,MM_Income!$Z$5:$AC$204,3,FALSE()),""))</f>
        <v/>
      </c>
    </row>
    <row r="2931" customFormat="false" ht="13.5" hidden="false" customHeight="false" outlineLevel="0" collapsed="false">
      <c r="N2931" s="1" t="str">
        <f aca="false">IF(C2931="","",IFERROR(VLOOKUP(C2931,Master_Mappings!$A$4:$E$85,3,FALSE()),"UNMAPPED"))</f>
        <v/>
      </c>
      <c r="P2931" s="1" t="str">
        <f aca="false">IF($C2931="","",$C2931&amp;"|"&amp;$E2931&amp;"|"&amp;$M2931&amp;"|"&amp;TEXT($G2931,"yyyy-mm-dd")&amp;"|"&amp;LEFT($J2931,40))</f>
        <v/>
      </c>
      <c r="Q2931" s="11" t="str">
        <f aca="false">IF(P2931="","",IF(COUNTIF($P$2:$P$3000,P2931)&gt;1,"DUPLICATE","OK"))</f>
        <v/>
      </c>
      <c r="R2931" s="0" t="str">
        <f aca="false">IF($C2931="","",IFERROR(VLOOKUP(--$C2931,MM_Income!$Z$5:$AC$204,3,FALSE()),""))</f>
        <v/>
      </c>
    </row>
    <row r="2932" customFormat="false" ht="13.5" hidden="false" customHeight="false" outlineLevel="0" collapsed="false">
      <c r="N2932" s="1" t="str">
        <f aca="false">IF(C2932="","",IFERROR(VLOOKUP(C2932,Master_Mappings!$A$4:$E$85,3,FALSE()),"UNMAPPED"))</f>
        <v/>
      </c>
      <c r="P2932" s="1" t="str">
        <f aca="false">IF($C2932="","",$C2932&amp;"|"&amp;$E2932&amp;"|"&amp;$M2932&amp;"|"&amp;TEXT($G2932,"yyyy-mm-dd")&amp;"|"&amp;LEFT($J2932,40))</f>
        <v/>
      </c>
      <c r="Q2932" s="11" t="str">
        <f aca="false">IF(P2932="","",IF(COUNTIF($P$2:$P$3000,P2932)&gt;1,"DUPLICATE","OK"))</f>
        <v/>
      </c>
      <c r="R2932" s="0" t="str">
        <f aca="false">IF($C2932="","",IFERROR(VLOOKUP(--$C2932,MM_Income!$Z$5:$AC$204,3,FALSE()),""))</f>
        <v/>
      </c>
    </row>
    <row r="2933" customFormat="false" ht="13.5" hidden="false" customHeight="false" outlineLevel="0" collapsed="false">
      <c r="N2933" s="1" t="str">
        <f aca="false">IF(C2933="","",IFERROR(VLOOKUP(C2933,Master_Mappings!$A$4:$E$85,3,FALSE()),"UNMAPPED"))</f>
        <v/>
      </c>
      <c r="P2933" s="1" t="str">
        <f aca="false">IF($C2933="","",$C2933&amp;"|"&amp;$E2933&amp;"|"&amp;$M2933&amp;"|"&amp;TEXT($G2933,"yyyy-mm-dd")&amp;"|"&amp;LEFT($J2933,40))</f>
        <v/>
      </c>
      <c r="Q2933" s="11" t="str">
        <f aca="false">IF(P2933="","",IF(COUNTIF($P$2:$P$3000,P2933)&gt;1,"DUPLICATE","OK"))</f>
        <v/>
      </c>
      <c r="R2933" s="0" t="str">
        <f aca="false">IF($C2933="","",IFERROR(VLOOKUP(--$C2933,MM_Income!$Z$5:$AC$204,3,FALSE()),""))</f>
        <v/>
      </c>
    </row>
    <row r="2934" customFormat="false" ht="13.5" hidden="false" customHeight="false" outlineLevel="0" collapsed="false">
      <c r="N2934" s="1" t="str">
        <f aca="false">IF(C2934="","",IFERROR(VLOOKUP(C2934,Master_Mappings!$A$4:$E$85,3,FALSE()),"UNMAPPED"))</f>
        <v/>
      </c>
      <c r="P2934" s="1" t="str">
        <f aca="false">IF($C2934="","",$C2934&amp;"|"&amp;$E2934&amp;"|"&amp;$M2934&amp;"|"&amp;TEXT($G2934,"yyyy-mm-dd")&amp;"|"&amp;LEFT($J2934,40))</f>
        <v/>
      </c>
      <c r="Q2934" s="11" t="str">
        <f aca="false">IF(P2934="","",IF(COUNTIF($P$2:$P$3000,P2934)&gt;1,"DUPLICATE","OK"))</f>
        <v/>
      </c>
      <c r="R2934" s="0" t="str">
        <f aca="false">IF($C2934="","",IFERROR(VLOOKUP(--$C2934,MM_Income!$Z$5:$AC$204,3,FALSE()),""))</f>
        <v/>
      </c>
    </row>
    <row r="2935" customFormat="false" ht="13.5" hidden="false" customHeight="false" outlineLevel="0" collapsed="false">
      <c r="N2935" s="1" t="str">
        <f aca="false">IF(C2935="","",IFERROR(VLOOKUP(C2935,Master_Mappings!$A$4:$E$85,3,FALSE()),"UNMAPPED"))</f>
        <v/>
      </c>
      <c r="P2935" s="1" t="str">
        <f aca="false">IF($C2935="","",$C2935&amp;"|"&amp;$E2935&amp;"|"&amp;$M2935&amp;"|"&amp;TEXT($G2935,"yyyy-mm-dd")&amp;"|"&amp;LEFT($J2935,40))</f>
        <v/>
      </c>
      <c r="Q2935" s="11" t="str">
        <f aca="false">IF(P2935="","",IF(COUNTIF($P$2:$P$3000,P2935)&gt;1,"DUPLICATE","OK"))</f>
        <v/>
      </c>
      <c r="R2935" s="0" t="str">
        <f aca="false">IF($C2935="","",IFERROR(VLOOKUP(--$C2935,MM_Income!$Z$5:$AC$204,3,FALSE()),""))</f>
        <v/>
      </c>
    </row>
    <row r="2936" customFormat="false" ht="13.5" hidden="false" customHeight="false" outlineLevel="0" collapsed="false">
      <c r="N2936" s="1" t="str">
        <f aca="false">IF(C2936="","",IFERROR(VLOOKUP(C2936,Master_Mappings!$A$4:$E$85,3,FALSE()),"UNMAPPED"))</f>
        <v/>
      </c>
      <c r="P2936" s="1" t="str">
        <f aca="false">IF($C2936="","",$C2936&amp;"|"&amp;$E2936&amp;"|"&amp;$M2936&amp;"|"&amp;TEXT($G2936,"yyyy-mm-dd")&amp;"|"&amp;LEFT($J2936,40))</f>
        <v/>
      </c>
      <c r="Q2936" s="11" t="str">
        <f aca="false">IF(P2936="","",IF(COUNTIF($P$2:$P$3000,P2936)&gt;1,"DUPLICATE","OK"))</f>
        <v/>
      </c>
      <c r="R2936" s="0" t="str">
        <f aca="false">IF($C2936="","",IFERROR(VLOOKUP(--$C2936,MM_Income!$Z$5:$AC$204,3,FALSE()),""))</f>
        <v/>
      </c>
    </row>
    <row r="2937" customFormat="false" ht="13.5" hidden="false" customHeight="false" outlineLevel="0" collapsed="false">
      <c r="N2937" s="1" t="str">
        <f aca="false">IF(C2937="","",IFERROR(VLOOKUP(C2937,Master_Mappings!$A$4:$E$85,3,FALSE()),"UNMAPPED"))</f>
        <v/>
      </c>
      <c r="P2937" s="1" t="str">
        <f aca="false">IF($C2937="","",$C2937&amp;"|"&amp;$E2937&amp;"|"&amp;$M2937&amp;"|"&amp;TEXT($G2937,"yyyy-mm-dd")&amp;"|"&amp;LEFT($J2937,40))</f>
        <v/>
      </c>
      <c r="Q2937" s="11" t="str">
        <f aca="false">IF(P2937="","",IF(COUNTIF($P$2:$P$3000,P2937)&gt;1,"DUPLICATE","OK"))</f>
        <v/>
      </c>
      <c r="R2937" s="0" t="str">
        <f aca="false">IF($C2937="","",IFERROR(VLOOKUP(--$C2937,MM_Income!$Z$5:$AC$204,3,FALSE()),""))</f>
        <v/>
      </c>
    </row>
    <row r="2938" customFormat="false" ht="13.5" hidden="false" customHeight="false" outlineLevel="0" collapsed="false">
      <c r="N2938" s="1" t="str">
        <f aca="false">IF(C2938="","",IFERROR(VLOOKUP(C2938,Master_Mappings!$A$4:$E$85,3,FALSE()),"UNMAPPED"))</f>
        <v/>
      </c>
      <c r="P2938" s="1" t="str">
        <f aca="false">IF($C2938="","",$C2938&amp;"|"&amp;$E2938&amp;"|"&amp;$M2938&amp;"|"&amp;TEXT($G2938,"yyyy-mm-dd")&amp;"|"&amp;LEFT($J2938,40))</f>
        <v/>
      </c>
      <c r="Q2938" s="11" t="str">
        <f aca="false">IF(P2938="","",IF(COUNTIF($P$2:$P$3000,P2938)&gt;1,"DUPLICATE","OK"))</f>
        <v/>
      </c>
      <c r="R2938" s="0" t="str">
        <f aca="false">IF($C2938="","",IFERROR(VLOOKUP(--$C2938,MM_Income!$Z$5:$AC$204,3,FALSE()),""))</f>
        <v/>
      </c>
    </row>
    <row r="2939" customFormat="false" ht="13.5" hidden="false" customHeight="false" outlineLevel="0" collapsed="false">
      <c r="N2939" s="1" t="str">
        <f aca="false">IF(C2939="","",IFERROR(VLOOKUP(C2939,Master_Mappings!$A$4:$E$85,3,FALSE()),"UNMAPPED"))</f>
        <v/>
      </c>
      <c r="P2939" s="1" t="str">
        <f aca="false">IF($C2939="","",$C2939&amp;"|"&amp;$E2939&amp;"|"&amp;$M2939&amp;"|"&amp;TEXT($G2939,"yyyy-mm-dd")&amp;"|"&amp;LEFT($J2939,40))</f>
        <v/>
      </c>
      <c r="Q2939" s="11" t="str">
        <f aca="false">IF(P2939="","",IF(COUNTIF($P$2:$P$3000,P2939)&gt;1,"DUPLICATE","OK"))</f>
        <v/>
      </c>
      <c r="R2939" s="0" t="str">
        <f aca="false">IF($C2939="","",IFERROR(VLOOKUP(--$C2939,MM_Income!$Z$5:$AC$204,3,FALSE()),""))</f>
        <v/>
      </c>
    </row>
    <row r="2940" customFormat="false" ht="13.5" hidden="false" customHeight="false" outlineLevel="0" collapsed="false">
      <c r="N2940" s="1" t="str">
        <f aca="false">IF(C2940="","",IFERROR(VLOOKUP(C2940,Master_Mappings!$A$4:$E$85,3,FALSE()),"UNMAPPED"))</f>
        <v/>
      </c>
      <c r="P2940" s="1" t="str">
        <f aca="false">IF($C2940="","",$C2940&amp;"|"&amp;$E2940&amp;"|"&amp;$M2940&amp;"|"&amp;TEXT($G2940,"yyyy-mm-dd")&amp;"|"&amp;LEFT($J2940,40))</f>
        <v/>
      </c>
      <c r="Q2940" s="11" t="str">
        <f aca="false">IF(P2940="","",IF(COUNTIF($P$2:$P$3000,P2940)&gt;1,"DUPLICATE","OK"))</f>
        <v/>
      </c>
      <c r="R2940" s="0" t="str">
        <f aca="false">IF($C2940="","",IFERROR(VLOOKUP(--$C2940,MM_Income!$Z$5:$AC$204,3,FALSE()),""))</f>
        <v/>
      </c>
    </row>
    <row r="2941" customFormat="false" ht="13.5" hidden="false" customHeight="false" outlineLevel="0" collapsed="false">
      <c r="N2941" s="1" t="str">
        <f aca="false">IF(C2941="","",IFERROR(VLOOKUP(C2941,Master_Mappings!$A$4:$E$85,3,FALSE()),"UNMAPPED"))</f>
        <v/>
      </c>
      <c r="P2941" s="1" t="str">
        <f aca="false">IF($C2941="","",$C2941&amp;"|"&amp;$E2941&amp;"|"&amp;$M2941&amp;"|"&amp;TEXT($G2941,"yyyy-mm-dd")&amp;"|"&amp;LEFT($J2941,40))</f>
        <v/>
      </c>
      <c r="Q2941" s="11" t="str">
        <f aca="false">IF(P2941="","",IF(COUNTIF($P$2:$P$3000,P2941)&gt;1,"DUPLICATE","OK"))</f>
        <v/>
      </c>
      <c r="R2941" s="0" t="str">
        <f aca="false">IF($C2941="","",IFERROR(VLOOKUP(--$C2941,MM_Income!$Z$5:$AC$204,3,FALSE()),""))</f>
        <v/>
      </c>
    </row>
    <row r="2942" customFormat="false" ht="13.5" hidden="false" customHeight="false" outlineLevel="0" collapsed="false">
      <c r="N2942" s="1" t="str">
        <f aca="false">IF(C2942="","",IFERROR(VLOOKUP(C2942,Master_Mappings!$A$4:$E$85,3,FALSE()),"UNMAPPED"))</f>
        <v/>
      </c>
      <c r="P2942" s="1" t="str">
        <f aca="false">IF($C2942="","",$C2942&amp;"|"&amp;$E2942&amp;"|"&amp;$M2942&amp;"|"&amp;TEXT($G2942,"yyyy-mm-dd")&amp;"|"&amp;LEFT($J2942,40))</f>
        <v/>
      </c>
      <c r="Q2942" s="11" t="str">
        <f aca="false">IF(P2942="","",IF(COUNTIF($P$2:$P$3000,P2942)&gt;1,"DUPLICATE","OK"))</f>
        <v/>
      </c>
      <c r="R2942" s="0" t="str">
        <f aca="false">IF($C2942="","",IFERROR(VLOOKUP(--$C2942,MM_Income!$Z$5:$AC$204,3,FALSE()),""))</f>
        <v/>
      </c>
    </row>
    <row r="2943" customFormat="false" ht="13.5" hidden="false" customHeight="false" outlineLevel="0" collapsed="false">
      <c r="N2943" s="1" t="str">
        <f aca="false">IF(C2943="","",IFERROR(VLOOKUP(C2943,Master_Mappings!$A$4:$E$85,3,FALSE()),"UNMAPPED"))</f>
        <v/>
      </c>
      <c r="P2943" s="1" t="str">
        <f aca="false">IF($C2943="","",$C2943&amp;"|"&amp;$E2943&amp;"|"&amp;$M2943&amp;"|"&amp;TEXT($G2943,"yyyy-mm-dd")&amp;"|"&amp;LEFT($J2943,40))</f>
        <v/>
      </c>
      <c r="Q2943" s="11" t="str">
        <f aca="false">IF(P2943="","",IF(COUNTIF($P$2:$P$3000,P2943)&gt;1,"DUPLICATE","OK"))</f>
        <v/>
      </c>
      <c r="R2943" s="0" t="str">
        <f aca="false">IF($C2943="","",IFERROR(VLOOKUP(--$C2943,MM_Income!$Z$5:$AC$204,3,FALSE()),""))</f>
        <v/>
      </c>
    </row>
    <row r="2944" customFormat="false" ht="13.5" hidden="false" customHeight="false" outlineLevel="0" collapsed="false">
      <c r="N2944" s="1" t="str">
        <f aca="false">IF(C2944="","",IFERROR(VLOOKUP(C2944,Master_Mappings!$A$4:$E$85,3,FALSE()),"UNMAPPED"))</f>
        <v/>
      </c>
      <c r="P2944" s="1" t="str">
        <f aca="false">IF($C2944="","",$C2944&amp;"|"&amp;$E2944&amp;"|"&amp;$M2944&amp;"|"&amp;TEXT($G2944,"yyyy-mm-dd")&amp;"|"&amp;LEFT($J2944,40))</f>
        <v/>
      </c>
      <c r="Q2944" s="11" t="str">
        <f aca="false">IF(P2944="","",IF(COUNTIF($P$2:$P$3000,P2944)&gt;1,"DUPLICATE","OK"))</f>
        <v/>
      </c>
      <c r="R2944" s="0" t="str">
        <f aca="false">IF($C2944="","",IFERROR(VLOOKUP(--$C2944,MM_Income!$Z$5:$AC$204,3,FALSE()),""))</f>
        <v/>
      </c>
    </row>
    <row r="2945" customFormat="false" ht="13.5" hidden="false" customHeight="false" outlineLevel="0" collapsed="false">
      <c r="N2945" s="1" t="str">
        <f aca="false">IF(C2945="","",IFERROR(VLOOKUP(C2945,Master_Mappings!$A$4:$E$85,3,FALSE()),"UNMAPPED"))</f>
        <v/>
      </c>
      <c r="P2945" s="1" t="str">
        <f aca="false">IF($C2945="","",$C2945&amp;"|"&amp;$E2945&amp;"|"&amp;$M2945&amp;"|"&amp;TEXT($G2945,"yyyy-mm-dd")&amp;"|"&amp;LEFT($J2945,40))</f>
        <v/>
      </c>
      <c r="Q2945" s="11" t="str">
        <f aca="false">IF(P2945="","",IF(COUNTIF($P$2:$P$3000,P2945)&gt;1,"DUPLICATE","OK"))</f>
        <v/>
      </c>
      <c r="R2945" s="0" t="str">
        <f aca="false">IF($C2945="","",IFERROR(VLOOKUP(--$C2945,MM_Income!$Z$5:$AC$204,3,FALSE()),""))</f>
        <v/>
      </c>
    </row>
    <row r="2946" customFormat="false" ht="13.5" hidden="false" customHeight="false" outlineLevel="0" collapsed="false">
      <c r="N2946" s="1" t="str">
        <f aca="false">IF(C2946="","",IFERROR(VLOOKUP(C2946,Master_Mappings!$A$4:$E$85,3,FALSE()),"UNMAPPED"))</f>
        <v/>
      </c>
      <c r="P2946" s="1" t="str">
        <f aca="false">IF($C2946="","",$C2946&amp;"|"&amp;$E2946&amp;"|"&amp;$M2946&amp;"|"&amp;TEXT($G2946,"yyyy-mm-dd")&amp;"|"&amp;LEFT($J2946,40))</f>
        <v/>
      </c>
      <c r="Q2946" s="11" t="str">
        <f aca="false">IF(P2946="","",IF(COUNTIF($P$2:$P$3000,P2946)&gt;1,"DUPLICATE","OK"))</f>
        <v/>
      </c>
      <c r="R2946" s="0" t="str">
        <f aca="false">IF($C2946="","",IFERROR(VLOOKUP(--$C2946,MM_Income!$Z$5:$AC$204,3,FALSE()),""))</f>
        <v/>
      </c>
    </row>
    <row r="2947" customFormat="false" ht="13.5" hidden="false" customHeight="false" outlineLevel="0" collapsed="false">
      <c r="N2947" s="1" t="str">
        <f aca="false">IF(C2947="","",IFERROR(VLOOKUP(C2947,Master_Mappings!$A$4:$E$85,3,FALSE()),"UNMAPPED"))</f>
        <v/>
      </c>
      <c r="P2947" s="1" t="str">
        <f aca="false">IF($C2947="","",$C2947&amp;"|"&amp;$E2947&amp;"|"&amp;$M2947&amp;"|"&amp;TEXT($G2947,"yyyy-mm-dd")&amp;"|"&amp;LEFT($J2947,40))</f>
        <v/>
      </c>
      <c r="Q2947" s="11" t="str">
        <f aca="false">IF(P2947="","",IF(COUNTIF($P$2:$P$3000,P2947)&gt;1,"DUPLICATE","OK"))</f>
        <v/>
      </c>
      <c r="R2947" s="0" t="str">
        <f aca="false">IF($C2947="","",IFERROR(VLOOKUP(--$C2947,MM_Income!$Z$5:$AC$204,3,FALSE()),""))</f>
        <v/>
      </c>
    </row>
    <row r="2948" customFormat="false" ht="13.5" hidden="false" customHeight="false" outlineLevel="0" collapsed="false">
      <c r="N2948" s="1" t="str">
        <f aca="false">IF(C2948="","",IFERROR(VLOOKUP(C2948,Master_Mappings!$A$4:$E$85,3,FALSE()),"UNMAPPED"))</f>
        <v/>
      </c>
      <c r="P2948" s="1" t="str">
        <f aca="false">IF($C2948="","",$C2948&amp;"|"&amp;$E2948&amp;"|"&amp;$M2948&amp;"|"&amp;TEXT($G2948,"yyyy-mm-dd")&amp;"|"&amp;LEFT($J2948,40))</f>
        <v/>
      </c>
      <c r="Q2948" s="11" t="str">
        <f aca="false">IF(P2948="","",IF(COUNTIF($P$2:$P$3000,P2948)&gt;1,"DUPLICATE","OK"))</f>
        <v/>
      </c>
      <c r="R2948" s="0" t="str">
        <f aca="false">IF($C2948="","",IFERROR(VLOOKUP(--$C2948,MM_Income!$Z$5:$AC$204,3,FALSE()),""))</f>
        <v/>
      </c>
    </row>
    <row r="2949" customFormat="false" ht="13.5" hidden="false" customHeight="false" outlineLevel="0" collapsed="false">
      <c r="N2949" s="1" t="str">
        <f aca="false">IF(C2949="","",IFERROR(VLOOKUP(C2949,Master_Mappings!$A$4:$E$85,3,FALSE()),"UNMAPPED"))</f>
        <v/>
      </c>
      <c r="P2949" s="1" t="str">
        <f aca="false">IF($C2949="","",$C2949&amp;"|"&amp;$E2949&amp;"|"&amp;$M2949&amp;"|"&amp;TEXT($G2949,"yyyy-mm-dd")&amp;"|"&amp;LEFT($J2949,40))</f>
        <v/>
      </c>
      <c r="Q2949" s="11" t="str">
        <f aca="false">IF(P2949="","",IF(COUNTIF($P$2:$P$3000,P2949)&gt;1,"DUPLICATE","OK"))</f>
        <v/>
      </c>
      <c r="R2949" s="0" t="str">
        <f aca="false">IF($C2949="","",IFERROR(VLOOKUP(--$C2949,MM_Income!$Z$5:$AC$204,3,FALSE()),""))</f>
        <v/>
      </c>
    </row>
    <row r="2950" customFormat="false" ht="13.5" hidden="false" customHeight="false" outlineLevel="0" collapsed="false">
      <c r="N2950" s="1" t="str">
        <f aca="false">IF(C2950="","",IFERROR(VLOOKUP(C2950,Master_Mappings!$A$4:$E$85,3,FALSE()),"UNMAPPED"))</f>
        <v/>
      </c>
      <c r="P2950" s="1" t="str">
        <f aca="false">IF($C2950="","",$C2950&amp;"|"&amp;$E2950&amp;"|"&amp;$M2950&amp;"|"&amp;TEXT($G2950,"yyyy-mm-dd")&amp;"|"&amp;LEFT($J2950,40))</f>
        <v/>
      </c>
      <c r="Q2950" s="11" t="str">
        <f aca="false">IF(P2950="","",IF(COUNTIF($P$2:$P$3000,P2950)&gt;1,"DUPLICATE","OK"))</f>
        <v/>
      </c>
      <c r="R2950" s="0" t="str">
        <f aca="false">IF($C2950="","",IFERROR(VLOOKUP(--$C2950,MM_Income!$Z$5:$AC$204,3,FALSE()),""))</f>
        <v/>
      </c>
    </row>
    <row r="2951" customFormat="false" ht="13.5" hidden="false" customHeight="false" outlineLevel="0" collapsed="false">
      <c r="N2951" s="1" t="str">
        <f aca="false">IF(C2951="","",IFERROR(VLOOKUP(C2951,Master_Mappings!$A$4:$E$85,3,FALSE()),"UNMAPPED"))</f>
        <v/>
      </c>
      <c r="P2951" s="1" t="str">
        <f aca="false">IF($C2951="","",$C2951&amp;"|"&amp;$E2951&amp;"|"&amp;$M2951&amp;"|"&amp;TEXT($G2951,"yyyy-mm-dd")&amp;"|"&amp;LEFT($J2951,40))</f>
        <v/>
      </c>
      <c r="Q2951" s="11" t="str">
        <f aca="false">IF(P2951="","",IF(COUNTIF($P$2:$P$3000,P2951)&gt;1,"DUPLICATE","OK"))</f>
        <v/>
      </c>
      <c r="R2951" s="0" t="str">
        <f aca="false">IF($C2951="","",IFERROR(VLOOKUP(--$C2951,MM_Income!$Z$5:$AC$204,3,FALSE()),""))</f>
        <v/>
      </c>
    </row>
    <row r="2952" customFormat="false" ht="13.5" hidden="false" customHeight="false" outlineLevel="0" collapsed="false">
      <c r="N2952" s="1" t="str">
        <f aca="false">IF(C2952="","",IFERROR(VLOOKUP(C2952,Master_Mappings!$A$4:$E$85,3,FALSE()),"UNMAPPED"))</f>
        <v/>
      </c>
      <c r="P2952" s="1" t="str">
        <f aca="false">IF($C2952="","",$C2952&amp;"|"&amp;$E2952&amp;"|"&amp;$M2952&amp;"|"&amp;TEXT($G2952,"yyyy-mm-dd")&amp;"|"&amp;LEFT($J2952,40))</f>
        <v/>
      </c>
      <c r="Q2952" s="11" t="str">
        <f aca="false">IF(P2952="","",IF(COUNTIF($P$2:$P$3000,P2952)&gt;1,"DUPLICATE","OK"))</f>
        <v/>
      </c>
      <c r="R2952" s="0" t="str">
        <f aca="false">IF($C2952="","",IFERROR(VLOOKUP(--$C2952,MM_Income!$Z$5:$AC$204,3,FALSE()),""))</f>
        <v/>
      </c>
    </row>
    <row r="2953" customFormat="false" ht="13.5" hidden="false" customHeight="false" outlineLevel="0" collapsed="false">
      <c r="N2953" s="1" t="str">
        <f aca="false">IF(C2953="","",IFERROR(VLOOKUP(C2953,Master_Mappings!$A$4:$E$85,3,FALSE()),"UNMAPPED"))</f>
        <v/>
      </c>
      <c r="P2953" s="1" t="str">
        <f aca="false">IF($C2953="","",$C2953&amp;"|"&amp;$E2953&amp;"|"&amp;$M2953&amp;"|"&amp;TEXT($G2953,"yyyy-mm-dd")&amp;"|"&amp;LEFT($J2953,40))</f>
        <v/>
      </c>
      <c r="Q2953" s="11" t="str">
        <f aca="false">IF(P2953="","",IF(COUNTIF($P$2:$P$3000,P2953)&gt;1,"DUPLICATE","OK"))</f>
        <v/>
      </c>
      <c r="R2953" s="0" t="str">
        <f aca="false">IF($C2953="","",IFERROR(VLOOKUP(--$C2953,MM_Income!$Z$5:$AC$204,3,FALSE()),""))</f>
        <v/>
      </c>
    </row>
    <row r="2954" customFormat="false" ht="13.5" hidden="false" customHeight="false" outlineLevel="0" collapsed="false">
      <c r="N2954" s="1" t="str">
        <f aca="false">IF(C2954="","",IFERROR(VLOOKUP(C2954,Master_Mappings!$A$4:$E$85,3,FALSE()),"UNMAPPED"))</f>
        <v/>
      </c>
      <c r="P2954" s="1" t="str">
        <f aca="false">IF($C2954="","",$C2954&amp;"|"&amp;$E2954&amp;"|"&amp;$M2954&amp;"|"&amp;TEXT($G2954,"yyyy-mm-dd")&amp;"|"&amp;LEFT($J2954,40))</f>
        <v/>
      </c>
      <c r="Q2954" s="11" t="str">
        <f aca="false">IF(P2954="","",IF(COUNTIF($P$2:$P$3000,P2954)&gt;1,"DUPLICATE","OK"))</f>
        <v/>
      </c>
      <c r="R2954" s="0" t="str">
        <f aca="false">IF($C2954="","",IFERROR(VLOOKUP(--$C2954,MM_Income!$Z$5:$AC$204,3,FALSE()),""))</f>
        <v/>
      </c>
    </row>
    <row r="2955" customFormat="false" ht="13.5" hidden="false" customHeight="false" outlineLevel="0" collapsed="false">
      <c r="N2955" s="1" t="str">
        <f aca="false">IF(C2955="","",IFERROR(VLOOKUP(C2955,Master_Mappings!$A$4:$E$85,3,FALSE()),"UNMAPPED"))</f>
        <v/>
      </c>
      <c r="P2955" s="1" t="str">
        <f aca="false">IF($C2955="","",$C2955&amp;"|"&amp;$E2955&amp;"|"&amp;$M2955&amp;"|"&amp;TEXT($G2955,"yyyy-mm-dd")&amp;"|"&amp;LEFT($J2955,40))</f>
        <v/>
      </c>
      <c r="Q2955" s="11" t="str">
        <f aca="false">IF(P2955="","",IF(COUNTIF($P$2:$P$3000,P2955)&gt;1,"DUPLICATE","OK"))</f>
        <v/>
      </c>
      <c r="R2955" s="0" t="str">
        <f aca="false">IF($C2955="","",IFERROR(VLOOKUP(--$C2955,MM_Income!$Z$5:$AC$204,3,FALSE()),""))</f>
        <v/>
      </c>
    </row>
    <row r="2956" customFormat="false" ht="13.5" hidden="false" customHeight="false" outlineLevel="0" collapsed="false">
      <c r="N2956" s="1" t="str">
        <f aca="false">IF(C2956="","",IFERROR(VLOOKUP(C2956,Master_Mappings!$A$4:$E$85,3,FALSE()),"UNMAPPED"))</f>
        <v/>
      </c>
      <c r="P2956" s="1" t="str">
        <f aca="false">IF($C2956="","",$C2956&amp;"|"&amp;$E2956&amp;"|"&amp;$M2956&amp;"|"&amp;TEXT($G2956,"yyyy-mm-dd")&amp;"|"&amp;LEFT($J2956,40))</f>
        <v/>
      </c>
      <c r="Q2956" s="11" t="str">
        <f aca="false">IF(P2956="","",IF(COUNTIF($P$2:$P$3000,P2956)&gt;1,"DUPLICATE","OK"))</f>
        <v/>
      </c>
      <c r="R2956" s="0" t="str">
        <f aca="false">IF($C2956="","",IFERROR(VLOOKUP(--$C2956,MM_Income!$Z$5:$AC$204,3,FALSE()),""))</f>
        <v/>
      </c>
    </row>
    <row r="2957" customFormat="false" ht="13.5" hidden="false" customHeight="false" outlineLevel="0" collapsed="false">
      <c r="N2957" s="1" t="str">
        <f aca="false">IF(C2957="","",IFERROR(VLOOKUP(C2957,Master_Mappings!$A$4:$E$85,3,FALSE()),"UNMAPPED"))</f>
        <v/>
      </c>
      <c r="P2957" s="1" t="str">
        <f aca="false">IF($C2957="","",$C2957&amp;"|"&amp;$E2957&amp;"|"&amp;$M2957&amp;"|"&amp;TEXT($G2957,"yyyy-mm-dd")&amp;"|"&amp;LEFT($J2957,40))</f>
        <v/>
      </c>
      <c r="Q2957" s="11" t="str">
        <f aca="false">IF(P2957="","",IF(COUNTIF($P$2:$P$3000,P2957)&gt;1,"DUPLICATE","OK"))</f>
        <v/>
      </c>
      <c r="R2957" s="0" t="str">
        <f aca="false">IF($C2957="","",IFERROR(VLOOKUP(--$C2957,MM_Income!$Z$5:$AC$204,3,FALSE()),""))</f>
        <v/>
      </c>
    </row>
    <row r="2958" customFormat="false" ht="13.5" hidden="false" customHeight="false" outlineLevel="0" collapsed="false">
      <c r="N2958" s="1" t="str">
        <f aca="false">IF(C2958="","",IFERROR(VLOOKUP(C2958,Master_Mappings!$A$4:$E$85,3,FALSE()),"UNMAPPED"))</f>
        <v/>
      </c>
      <c r="P2958" s="1" t="str">
        <f aca="false">IF($C2958="","",$C2958&amp;"|"&amp;$E2958&amp;"|"&amp;$M2958&amp;"|"&amp;TEXT($G2958,"yyyy-mm-dd")&amp;"|"&amp;LEFT($J2958,40))</f>
        <v/>
      </c>
      <c r="Q2958" s="11" t="str">
        <f aca="false">IF(P2958="","",IF(COUNTIF($P$2:$P$3000,P2958)&gt;1,"DUPLICATE","OK"))</f>
        <v/>
      </c>
      <c r="R2958" s="0" t="str">
        <f aca="false">IF($C2958="","",IFERROR(VLOOKUP(--$C2958,MM_Income!$Z$5:$AC$204,3,FALSE()),""))</f>
        <v/>
      </c>
    </row>
    <row r="2959" customFormat="false" ht="13.5" hidden="false" customHeight="false" outlineLevel="0" collapsed="false">
      <c r="N2959" s="1" t="str">
        <f aca="false">IF(C2959="","",IFERROR(VLOOKUP(C2959,Master_Mappings!$A$4:$E$85,3,FALSE()),"UNMAPPED"))</f>
        <v/>
      </c>
      <c r="P2959" s="1" t="str">
        <f aca="false">IF($C2959="","",$C2959&amp;"|"&amp;$E2959&amp;"|"&amp;$M2959&amp;"|"&amp;TEXT($G2959,"yyyy-mm-dd")&amp;"|"&amp;LEFT($J2959,40))</f>
        <v/>
      </c>
      <c r="Q2959" s="11" t="str">
        <f aca="false">IF(P2959="","",IF(COUNTIF($P$2:$P$3000,P2959)&gt;1,"DUPLICATE","OK"))</f>
        <v/>
      </c>
      <c r="R2959" s="0" t="str">
        <f aca="false">IF($C2959="","",IFERROR(VLOOKUP(--$C2959,MM_Income!$Z$5:$AC$204,3,FALSE()),""))</f>
        <v/>
      </c>
    </row>
    <row r="2960" customFormat="false" ht="13.5" hidden="false" customHeight="false" outlineLevel="0" collapsed="false">
      <c r="N2960" s="1" t="str">
        <f aca="false">IF(C2960="","",IFERROR(VLOOKUP(C2960,Master_Mappings!$A$4:$E$85,3,FALSE()),"UNMAPPED"))</f>
        <v/>
      </c>
      <c r="P2960" s="1" t="str">
        <f aca="false">IF($C2960="","",$C2960&amp;"|"&amp;$E2960&amp;"|"&amp;$M2960&amp;"|"&amp;TEXT($G2960,"yyyy-mm-dd")&amp;"|"&amp;LEFT($J2960,40))</f>
        <v/>
      </c>
      <c r="Q2960" s="11" t="str">
        <f aca="false">IF(P2960="","",IF(COUNTIF($P$2:$P$3000,P2960)&gt;1,"DUPLICATE","OK"))</f>
        <v/>
      </c>
      <c r="R2960" s="0" t="str">
        <f aca="false">IF($C2960="","",IFERROR(VLOOKUP(--$C2960,MM_Income!$Z$5:$AC$204,3,FALSE()),""))</f>
        <v/>
      </c>
    </row>
    <row r="2961" customFormat="false" ht="13.5" hidden="false" customHeight="false" outlineLevel="0" collapsed="false">
      <c r="N2961" s="1" t="str">
        <f aca="false">IF(C2961="","",IFERROR(VLOOKUP(C2961,Master_Mappings!$A$4:$E$85,3,FALSE()),"UNMAPPED"))</f>
        <v/>
      </c>
      <c r="P2961" s="1" t="str">
        <f aca="false">IF($C2961="","",$C2961&amp;"|"&amp;$E2961&amp;"|"&amp;$M2961&amp;"|"&amp;TEXT($G2961,"yyyy-mm-dd")&amp;"|"&amp;LEFT($J2961,40))</f>
        <v/>
      </c>
      <c r="Q2961" s="11" t="str">
        <f aca="false">IF(P2961="","",IF(COUNTIF($P$2:$P$3000,P2961)&gt;1,"DUPLICATE","OK"))</f>
        <v/>
      </c>
      <c r="R2961" s="0" t="str">
        <f aca="false">IF($C2961="","",IFERROR(VLOOKUP(--$C2961,MM_Income!$Z$5:$AC$204,3,FALSE()),""))</f>
        <v/>
      </c>
    </row>
    <row r="2962" customFormat="false" ht="13.5" hidden="false" customHeight="false" outlineLevel="0" collapsed="false">
      <c r="N2962" s="1" t="str">
        <f aca="false">IF(C2962="","",IFERROR(VLOOKUP(C2962,Master_Mappings!$A$4:$E$85,3,FALSE()),"UNMAPPED"))</f>
        <v/>
      </c>
      <c r="P2962" s="1" t="str">
        <f aca="false">IF($C2962="","",$C2962&amp;"|"&amp;$E2962&amp;"|"&amp;$M2962&amp;"|"&amp;TEXT($G2962,"yyyy-mm-dd")&amp;"|"&amp;LEFT($J2962,40))</f>
        <v/>
      </c>
      <c r="Q2962" s="11" t="str">
        <f aca="false">IF(P2962="","",IF(COUNTIF($P$2:$P$3000,P2962)&gt;1,"DUPLICATE","OK"))</f>
        <v/>
      </c>
      <c r="R2962" s="0" t="str">
        <f aca="false">IF($C2962="","",IFERROR(VLOOKUP(--$C2962,MM_Income!$Z$5:$AC$204,3,FALSE()),""))</f>
        <v/>
      </c>
    </row>
    <row r="2963" customFormat="false" ht="13.5" hidden="false" customHeight="false" outlineLevel="0" collapsed="false">
      <c r="N2963" s="1" t="str">
        <f aca="false">IF(C2963="","",IFERROR(VLOOKUP(C2963,Master_Mappings!$A$4:$E$85,3,FALSE()),"UNMAPPED"))</f>
        <v/>
      </c>
      <c r="P2963" s="1" t="str">
        <f aca="false">IF($C2963="","",$C2963&amp;"|"&amp;$E2963&amp;"|"&amp;$M2963&amp;"|"&amp;TEXT($G2963,"yyyy-mm-dd")&amp;"|"&amp;LEFT($J2963,40))</f>
        <v/>
      </c>
      <c r="Q2963" s="11" t="str">
        <f aca="false">IF(P2963="","",IF(COUNTIF($P$2:$P$3000,P2963)&gt;1,"DUPLICATE","OK"))</f>
        <v/>
      </c>
      <c r="R2963" s="0" t="str">
        <f aca="false">IF($C2963="","",IFERROR(VLOOKUP(--$C2963,MM_Income!$Z$5:$AC$204,3,FALSE()),""))</f>
        <v/>
      </c>
    </row>
    <row r="2964" customFormat="false" ht="13.5" hidden="false" customHeight="false" outlineLevel="0" collapsed="false">
      <c r="N2964" s="1" t="str">
        <f aca="false">IF(C2964="","",IFERROR(VLOOKUP(C2964,Master_Mappings!$A$4:$E$85,3,FALSE()),"UNMAPPED"))</f>
        <v/>
      </c>
      <c r="P2964" s="1" t="str">
        <f aca="false">IF($C2964="","",$C2964&amp;"|"&amp;$E2964&amp;"|"&amp;$M2964&amp;"|"&amp;TEXT($G2964,"yyyy-mm-dd")&amp;"|"&amp;LEFT($J2964,40))</f>
        <v/>
      </c>
      <c r="Q2964" s="11" t="str">
        <f aca="false">IF(P2964="","",IF(COUNTIF($P$2:$P$3000,P2964)&gt;1,"DUPLICATE","OK"))</f>
        <v/>
      </c>
      <c r="R2964" s="0" t="str">
        <f aca="false">IF($C2964="","",IFERROR(VLOOKUP(--$C2964,MM_Income!$Z$5:$AC$204,3,FALSE()),""))</f>
        <v/>
      </c>
    </row>
    <row r="2965" customFormat="false" ht="13.5" hidden="false" customHeight="false" outlineLevel="0" collapsed="false">
      <c r="N2965" s="1" t="str">
        <f aca="false">IF(C2965="","",IFERROR(VLOOKUP(C2965,Master_Mappings!$A$4:$E$85,3,FALSE()),"UNMAPPED"))</f>
        <v/>
      </c>
      <c r="P2965" s="1" t="str">
        <f aca="false">IF($C2965="","",$C2965&amp;"|"&amp;$E2965&amp;"|"&amp;$M2965&amp;"|"&amp;TEXT($G2965,"yyyy-mm-dd")&amp;"|"&amp;LEFT($J2965,40))</f>
        <v/>
      </c>
      <c r="Q2965" s="11" t="str">
        <f aca="false">IF(P2965="","",IF(COUNTIF($P$2:$P$3000,P2965)&gt;1,"DUPLICATE","OK"))</f>
        <v/>
      </c>
      <c r="R2965" s="0" t="str">
        <f aca="false">IF($C2965="","",IFERROR(VLOOKUP(--$C2965,MM_Income!$Z$5:$AC$204,3,FALSE()),""))</f>
        <v/>
      </c>
    </row>
    <row r="2966" customFormat="false" ht="13.5" hidden="false" customHeight="false" outlineLevel="0" collapsed="false">
      <c r="N2966" s="1" t="str">
        <f aca="false">IF(C2966="","",IFERROR(VLOOKUP(C2966,Master_Mappings!$A$4:$E$85,3,FALSE()),"UNMAPPED"))</f>
        <v/>
      </c>
      <c r="P2966" s="1" t="str">
        <f aca="false">IF($C2966="","",$C2966&amp;"|"&amp;$E2966&amp;"|"&amp;$M2966&amp;"|"&amp;TEXT($G2966,"yyyy-mm-dd")&amp;"|"&amp;LEFT($J2966,40))</f>
        <v/>
      </c>
      <c r="Q2966" s="11" t="str">
        <f aca="false">IF(P2966="","",IF(COUNTIF($P$2:$P$3000,P2966)&gt;1,"DUPLICATE","OK"))</f>
        <v/>
      </c>
      <c r="R2966" s="0" t="str">
        <f aca="false">IF($C2966="","",IFERROR(VLOOKUP(--$C2966,MM_Income!$Z$5:$AC$204,3,FALSE()),""))</f>
        <v/>
      </c>
    </row>
    <row r="2967" customFormat="false" ht="13.5" hidden="false" customHeight="false" outlineLevel="0" collapsed="false">
      <c r="N2967" s="1" t="str">
        <f aca="false">IF(C2967="","",IFERROR(VLOOKUP(C2967,Master_Mappings!$A$4:$E$85,3,FALSE()),"UNMAPPED"))</f>
        <v/>
      </c>
      <c r="P2967" s="1" t="str">
        <f aca="false">IF($C2967="","",$C2967&amp;"|"&amp;$E2967&amp;"|"&amp;$M2967&amp;"|"&amp;TEXT($G2967,"yyyy-mm-dd")&amp;"|"&amp;LEFT($J2967,40))</f>
        <v/>
      </c>
      <c r="Q2967" s="11" t="str">
        <f aca="false">IF(P2967="","",IF(COUNTIF($P$2:$P$3000,P2967)&gt;1,"DUPLICATE","OK"))</f>
        <v/>
      </c>
      <c r="R2967" s="0" t="str">
        <f aca="false">IF($C2967="","",IFERROR(VLOOKUP(--$C2967,MM_Income!$Z$5:$AC$204,3,FALSE()),""))</f>
        <v/>
      </c>
    </row>
    <row r="2968" customFormat="false" ht="13.5" hidden="false" customHeight="false" outlineLevel="0" collapsed="false">
      <c r="N2968" s="1" t="str">
        <f aca="false">IF(C2968="","",IFERROR(VLOOKUP(C2968,Master_Mappings!$A$4:$E$85,3,FALSE()),"UNMAPPED"))</f>
        <v/>
      </c>
      <c r="P2968" s="1" t="str">
        <f aca="false">IF($C2968="","",$C2968&amp;"|"&amp;$E2968&amp;"|"&amp;$M2968&amp;"|"&amp;TEXT($G2968,"yyyy-mm-dd")&amp;"|"&amp;LEFT($J2968,40))</f>
        <v/>
      </c>
      <c r="Q2968" s="11" t="str">
        <f aca="false">IF(P2968="","",IF(COUNTIF($P$2:$P$3000,P2968)&gt;1,"DUPLICATE","OK"))</f>
        <v/>
      </c>
      <c r="R2968" s="0" t="str">
        <f aca="false">IF($C2968="","",IFERROR(VLOOKUP(--$C2968,MM_Income!$Z$5:$AC$204,3,FALSE()),""))</f>
        <v/>
      </c>
    </row>
    <row r="2969" customFormat="false" ht="13.5" hidden="false" customHeight="false" outlineLevel="0" collapsed="false">
      <c r="N2969" s="1" t="str">
        <f aca="false">IF(C2969="","",IFERROR(VLOOKUP(C2969,Master_Mappings!$A$4:$E$85,3,FALSE()),"UNMAPPED"))</f>
        <v/>
      </c>
      <c r="P2969" s="1" t="str">
        <f aca="false">IF($C2969="","",$C2969&amp;"|"&amp;$E2969&amp;"|"&amp;$M2969&amp;"|"&amp;TEXT($G2969,"yyyy-mm-dd")&amp;"|"&amp;LEFT($J2969,40))</f>
        <v/>
      </c>
      <c r="Q2969" s="11" t="str">
        <f aca="false">IF(P2969="","",IF(COUNTIF($P$2:$P$3000,P2969)&gt;1,"DUPLICATE","OK"))</f>
        <v/>
      </c>
      <c r="R2969" s="0" t="str">
        <f aca="false">IF($C2969="","",IFERROR(VLOOKUP(--$C2969,MM_Income!$Z$5:$AC$204,3,FALSE()),""))</f>
        <v/>
      </c>
    </row>
    <row r="2970" customFormat="false" ht="13.5" hidden="false" customHeight="false" outlineLevel="0" collapsed="false">
      <c r="N2970" s="1" t="str">
        <f aca="false">IF(C2970="","",IFERROR(VLOOKUP(C2970,Master_Mappings!$A$4:$E$85,3,FALSE()),"UNMAPPED"))</f>
        <v/>
      </c>
      <c r="P2970" s="1" t="str">
        <f aca="false">IF($C2970="","",$C2970&amp;"|"&amp;$E2970&amp;"|"&amp;$M2970&amp;"|"&amp;TEXT($G2970,"yyyy-mm-dd")&amp;"|"&amp;LEFT($J2970,40))</f>
        <v/>
      </c>
      <c r="Q2970" s="11" t="str">
        <f aca="false">IF(P2970="","",IF(COUNTIF($P$2:$P$3000,P2970)&gt;1,"DUPLICATE","OK"))</f>
        <v/>
      </c>
      <c r="R2970" s="0" t="str">
        <f aca="false">IF($C2970="","",IFERROR(VLOOKUP(--$C2970,MM_Income!$Z$5:$AC$204,3,FALSE()),""))</f>
        <v/>
      </c>
    </row>
    <row r="2971" customFormat="false" ht="13.5" hidden="false" customHeight="false" outlineLevel="0" collapsed="false">
      <c r="N2971" s="1" t="str">
        <f aca="false">IF(C2971="","",IFERROR(VLOOKUP(C2971,Master_Mappings!$A$4:$E$85,3,FALSE()),"UNMAPPED"))</f>
        <v/>
      </c>
      <c r="P2971" s="1" t="str">
        <f aca="false">IF($C2971="","",$C2971&amp;"|"&amp;$E2971&amp;"|"&amp;$M2971&amp;"|"&amp;TEXT($G2971,"yyyy-mm-dd")&amp;"|"&amp;LEFT($J2971,40))</f>
        <v/>
      </c>
      <c r="Q2971" s="11" t="str">
        <f aca="false">IF(P2971="","",IF(COUNTIF($P$2:$P$3000,P2971)&gt;1,"DUPLICATE","OK"))</f>
        <v/>
      </c>
      <c r="R2971" s="0" t="str">
        <f aca="false">IF($C2971="","",IFERROR(VLOOKUP(--$C2971,MM_Income!$Z$5:$AC$204,3,FALSE()),""))</f>
        <v/>
      </c>
    </row>
    <row r="2972" customFormat="false" ht="13.5" hidden="false" customHeight="false" outlineLevel="0" collapsed="false">
      <c r="N2972" s="1" t="str">
        <f aca="false">IF(C2972="","",IFERROR(VLOOKUP(C2972,Master_Mappings!$A$4:$E$85,3,FALSE()),"UNMAPPED"))</f>
        <v/>
      </c>
      <c r="P2972" s="1" t="str">
        <f aca="false">IF($C2972="","",$C2972&amp;"|"&amp;$E2972&amp;"|"&amp;$M2972&amp;"|"&amp;TEXT($G2972,"yyyy-mm-dd")&amp;"|"&amp;LEFT($J2972,40))</f>
        <v/>
      </c>
      <c r="Q2972" s="11" t="str">
        <f aca="false">IF(P2972="","",IF(COUNTIF($P$2:$P$3000,P2972)&gt;1,"DUPLICATE","OK"))</f>
        <v/>
      </c>
      <c r="R2972" s="0" t="str">
        <f aca="false">IF($C2972="","",IFERROR(VLOOKUP(--$C2972,MM_Income!$Z$5:$AC$204,3,FALSE()),""))</f>
        <v/>
      </c>
    </row>
    <row r="2973" customFormat="false" ht="13.5" hidden="false" customHeight="false" outlineLevel="0" collapsed="false">
      <c r="N2973" s="1" t="str">
        <f aca="false">IF(C2973="","",IFERROR(VLOOKUP(C2973,Master_Mappings!$A$4:$E$85,3,FALSE()),"UNMAPPED"))</f>
        <v/>
      </c>
      <c r="P2973" s="1" t="str">
        <f aca="false">IF($C2973="","",$C2973&amp;"|"&amp;$E2973&amp;"|"&amp;$M2973&amp;"|"&amp;TEXT($G2973,"yyyy-mm-dd")&amp;"|"&amp;LEFT($J2973,40))</f>
        <v/>
      </c>
      <c r="Q2973" s="11" t="str">
        <f aca="false">IF(P2973="","",IF(COUNTIF($P$2:$P$3000,P2973)&gt;1,"DUPLICATE","OK"))</f>
        <v/>
      </c>
      <c r="R2973" s="0" t="str">
        <f aca="false">IF($C2973="","",IFERROR(VLOOKUP(--$C2973,MM_Income!$Z$5:$AC$204,3,FALSE()),""))</f>
        <v/>
      </c>
    </row>
    <row r="2974" customFormat="false" ht="13.5" hidden="false" customHeight="false" outlineLevel="0" collapsed="false">
      <c r="N2974" s="1" t="str">
        <f aca="false">IF(C2974="","",IFERROR(VLOOKUP(C2974,Master_Mappings!$A$4:$E$85,3,FALSE()),"UNMAPPED"))</f>
        <v/>
      </c>
      <c r="P2974" s="1" t="str">
        <f aca="false">IF($C2974="","",$C2974&amp;"|"&amp;$E2974&amp;"|"&amp;$M2974&amp;"|"&amp;TEXT($G2974,"yyyy-mm-dd")&amp;"|"&amp;LEFT($J2974,40))</f>
        <v/>
      </c>
      <c r="Q2974" s="11" t="str">
        <f aca="false">IF(P2974="","",IF(COUNTIF($P$2:$P$3000,P2974)&gt;1,"DUPLICATE","OK"))</f>
        <v/>
      </c>
      <c r="R2974" s="0" t="str">
        <f aca="false">IF($C2974="","",IFERROR(VLOOKUP(--$C2974,MM_Income!$Z$5:$AC$204,3,FALSE()),""))</f>
        <v/>
      </c>
    </row>
    <row r="2975" customFormat="false" ht="13.5" hidden="false" customHeight="false" outlineLevel="0" collapsed="false">
      <c r="N2975" s="1" t="str">
        <f aca="false">IF(C2975="","",IFERROR(VLOOKUP(C2975,Master_Mappings!$A$4:$E$85,3,FALSE()),"UNMAPPED"))</f>
        <v/>
      </c>
      <c r="P2975" s="1" t="str">
        <f aca="false">IF($C2975="","",$C2975&amp;"|"&amp;$E2975&amp;"|"&amp;$M2975&amp;"|"&amp;TEXT($G2975,"yyyy-mm-dd")&amp;"|"&amp;LEFT($J2975,40))</f>
        <v/>
      </c>
      <c r="Q2975" s="11" t="str">
        <f aca="false">IF(P2975="","",IF(COUNTIF($P$2:$P$3000,P2975)&gt;1,"DUPLICATE","OK"))</f>
        <v/>
      </c>
      <c r="R2975" s="0" t="str">
        <f aca="false">IF($C2975="","",IFERROR(VLOOKUP(--$C2975,MM_Income!$Z$5:$AC$204,3,FALSE()),""))</f>
        <v/>
      </c>
    </row>
    <row r="2976" customFormat="false" ht="13.5" hidden="false" customHeight="false" outlineLevel="0" collapsed="false">
      <c r="N2976" s="1" t="str">
        <f aca="false">IF(C2976="","",IFERROR(VLOOKUP(C2976,Master_Mappings!$A$4:$E$85,3,FALSE()),"UNMAPPED"))</f>
        <v/>
      </c>
      <c r="P2976" s="1" t="str">
        <f aca="false">IF($C2976="","",$C2976&amp;"|"&amp;$E2976&amp;"|"&amp;$M2976&amp;"|"&amp;TEXT($G2976,"yyyy-mm-dd")&amp;"|"&amp;LEFT($J2976,40))</f>
        <v/>
      </c>
      <c r="Q2976" s="11" t="str">
        <f aca="false">IF(P2976="","",IF(COUNTIF($P$2:$P$3000,P2976)&gt;1,"DUPLICATE","OK"))</f>
        <v/>
      </c>
      <c r="R2976" s="0" t="str">
        <f aca="false">IF($C2976="","",IFERROR(VLOOKUP(--$C2976,MM_Income!$Z$5:$AC$204,3,FALSE()),""))</f>
        <v/>
      </c>
    </row>
    <row r="2977" customFormat="false" ht="13.5" hidden="false" customHeight="false" outlineLevel="0" collapsed="false">
      <c r="N2977" s="1" t="str">
        <f aca="false">IF(C2977="","",IFERROR(VLOOKUP(C2977,Master_Mappings!$A$4:$E$85,3,FALSE()),"UNMAPPED"))</f>
        <v/>
      </c>
      <c r="P2977" s="1" t="str">
        <f aca="false">IF($C2977="","",$C2977&amp;"|"&amp;$E2977&amp;"|"&amp;$M2977&amp;"|"&amp;TEXT($G2977,"yyyy-mm-dd")&amp;"|"&amp;LEFT($J2977,40))</f>
        <v/>
      </c>
      <c r="Q2977" s="11" t="str">
        <f aca="false">IF(P2977="","",IF(COUNTIF($P$2:$P$3000,P2977)&gt;1,"DUPLICATE","OK"))</f>
        <v/>
      </c>
      <c r="R2977" s="0" t="str">
        <f aca="false">IF($C2977="","",IFERROR(VLOOKUP(--$C2977,MM_Income!$Z$5:$AC$204,3,FALSE()),""))</f>
        <v/>
      </c>
    </row>
    <row r="2978" customFormat="false" ht="13.5" hidden="false" customHeight="false" outlineLevel="0" collapsed="false">
      <c r="N2978" s="1" t="str">
        <f aca="false">IF(C2978="","",IFERROR(VLOOKUP(C2978,Master_Mappings!$A$4:$E$85,3,FALSE()),"UNMAPPED"))</f>
        <v/>
      </c>
      <c r="P2978" s="1" t="str">
        <f aca="false">IF($C2978="","",$C2978&amp;"|"&amp;$E2978&amp;"|"&amp;$M2978&amp;"|"&amp;TEXT($G2978,"yyyy-mm-dd")&amp;"|"&amp;LEFT($J2978,40))</f>
        <v/>
      </c>
      <c r="Q2978" s="11" t="str">
        <f aca="false">IF(P2978="","",IF(COUNTIF($P$2:$P$3000,P2978)&gt;1,"DUPLICATE","OK"))</f>
        <v/>
      </c>
      <c r="R2978" s="0" t="str">
        <f aca="false">IF($C2978="","",IFERROR(VLOOKUP(--$C2978,MM_Income!$Z$5:$AC$204,3,FALSE()),""))</f>
        <v/>
      </c>
    </row>
    <row r="2979" customFormat="false" ht="13.5" hidden="false" customHeight="false" outlineLevel="0" collapsed="false">
      <c r="N2979" s="1" t="str">
        <f aca="false">IF(C2979="","",IFERROR(VLOOKUP(C2979,Master_Mappings!$A$4:$E$85,3,FALSE()),"UNMAPPED"))</f>
        <v/>
      </c>
      <c r="P2979" s="1" t="str">
        <f aca="false">IF($C2979="","",$C2979&amp;"|"&amp;$E2979&amp;"|"&amp;$M2979&amp;"|"&amp;TEXT($G2979,"yyyy-mm-dd")&amp;"|"&amp;LEFT($J2979,40))</f>
        <v/>
      </c>
      <c r="Q2979" s="11" t="str">
        <f aca="false">IF(P2979="","",IF(COUNTIF($P$2:$P$3000,P2979)&gt;1,"DUPLICATE","OK"))</f>
        <v/>
      </c>
      <c r="R2979" s="0" t="str">
        <f aca="false">IF($C2979="","",IFERROR(VLOOKUP(--$C2979,MM_Income!$Z$5:$AC$204,3,FALSE()),""))</f>
        <v/>
      </c>
    </row>
    <row r="2980" customFormat="false" ht="13.5" hidden="false" customHeight="false" outlineLevel="0" collapsed="false">
      <c r="N2980" s="1" t="str">
        <f aca="false">IF(C2980="","",IFERROR(VLOOKUP(C2980,Master_Mappings!$A$4:$E$85,3,FALSE()),"UNMAPPED"))</f>
        <v/>
      </c>
      <c r="P2980" s="1" t="str">
        <f aca="false">IF($C2980="","",$C2980&amp;"|"&amp;$E2980&amp;"|"&amp;$M2980&amp;"|"&amp;TEXT($G2980,"yyyy-mm-dd")&amp;"|"&amp;LEFT($J2980,40))</f>
        <v/>
      </c>
      <c r="Q2980" s="11" t="str">
        <f aca="false">IF(P2980="","",IF(COUNTIF($P$2:$P$3000,P2980)&gt;1,"DUPLICATE","OK"))</f>
        <v/>
      </c>
      <c r="R2980" s="0" t="str">
        <f aca="false">IF($C2980="","",IFERROR(VLOOKUP(--$C2980,MM_Income!$Z$5:$AC$204,3,FALSE()),""))</f>
        <v/>
      </c>
    </row>
    <row r="2981" customFormat="false" ht="13.5" hidden="false" customHeight="false" outlineLevel="0" collapsed="false">
      <c r="N2981" s="1" t="str">
        <f aca="false">IF(C2981="","",IFERROR(VLOOKUP(C2981,Master_Mappings!$A$4:$E$85,3,FALSE()),"UNMAPPED"))</f>
        <v/>
      </c>
      <c r="P2981" s="1" t="str">
        <f aca="false">IF($C2981="","",$C2981&amp;"|"&amp;$E2981&amp;"|"&amp;$M2981&amp;"|"&amp;TEXT($G2981,"yyyy-mm-dd")&amp;"|"&amp;LEFT($J2981,40))</f>
        <v/>
      </c>
      <c r="Q2981" s="11" t="str">
        <f aca="false">IF(P2981="","",IF(COUNTIF($P$2:$P$3000,P2981)&gt;1,"DUPLICATE","OK"))</f>
        <v/>
      </c>
      <c r="R2981" s="0" t="str">
        <f aca="false">IF($C2981="","",IFERROR(VLOOKUP(--$C2981,MM_Income!$Z$5:$AC$204,3,FALSE()),""))</f>
        <v/>
      </c>
    </row>
    <row r="2982" customFormat="false" ht="13.5" hidden="false" customHeight="false" outlineLevel="0" collapsed="false">
      <c r="N2982" s="1" t="str">
        <f aca="false">IF(C2982="","",IFERROR(VLOOKUP(C2982,Master_Mappings!$A$4:$E$85,3,FALSE()),"UNMAPPED"))</f>
        <v/>
      </c>
      <c r="P2982" s="1" t="str">
        <f aca="false">IF($C2982="","",$C2982&amp;"|"&amp;$E2982&amp;"|"&amp;$M2982&amp;"|"&amp;TEXT($G2982,"yyyy-mm-dd")&amp;"|"&amp;LEFT($J2982,40))</f>
        <v/>
      </c>
      <c r="Q2982" s="11" t="str">
        <f aca="false">IF(P2982="","",IF(COUNTIF($P$2:$P$3000,P2982)&gt;1,"DUPLICATE","OK"))</f>
        <v/>
      </c>
      <c r="R2982" s="0" t="str">
        <f aca="false">IF($C2982="","",IFERROR(VLOOKUP(--$C2982,MM_Income!$Z$5:$AC$204,3,FALSE()),""))</f>
        <v/>
      </c>
    </row>
    <row r="2983" customFormat="false" ht="13.5" hidden="false" customHeight="false" outlineLevel="0" collapsed="false">
      <c r="N2983" s="1" t="str">
        <f aca="false">IF(C2983="","",IFERROR(VLOOKUP(C2983,Master_Mappings!$A$4:$E$85,3,FALSE()),"UNMAPPED"))</f>
        <v/>
      </c>
      <c r="P2983" s="1" t="str">
        <f aca="false">IF($C2983="","",$C2983&amp;"|"&amp;$E2983&amp;"|"&amp;$M2983&amp;"|"&amp;TEXT($G2983,"yyyy-mm-dd")&amp;"|"&amp;LEFT($J2983,40))</f>
        <v/>
      </c>
      <c r="Q2983" s="11" t="str">
        <f aca="false">IF(P2983="","",IF(COUNTIF($P$2:$P$3000,P2983)&gt;1,"DUPLICATE","OK"))</f>
        <v/>
      </c>
      <c r="R2983" s="0" t="str">
        <f aca="false">IF($C2983="","",IFERROR(VLOOKUP(--$C2983,MM_Income!$Z$5:$AC$204,3,FALSE()),""))</f>
        <v/>
      </c>
    </row>
    <row r="2984" customFormat="false" ht="13.5" hidden="false" customHeight="false" outlineLevel="0" collapsed="false">
      <c r="N2984" s="1" t="str">
        <f aca="false">IF(C2984="","",IFERROR(VLOOKUP(C2984,Master_Mappings!$A$4:$E$85,3,FALSE()),"UNMAPPED"))</f>
        <v/>
      </c>
      <c r="P2984" s="1" t="str">
        <f aca="false">IF($C2984="","",$C2984&amp;"|"&amp;$E2984&amp;"|"&amp;$M2984&amp;"|"&amp;TEXT($G2984,"yyyy-mm-dd")&amp;"|"&amp;LEFT($J2984,40))</f>
        <v/>
      </c>
      <c r="Q2984" s="11" t="str">
        <f aca="false">IF(P2984="","",IF(COUNTIF($P$2:$P$3000,P2984)&gt;1,"DUPLICATE","OK"))</f>
        <v/>
      </c>
      <c r="R2984" s="0" t="str">
        <f aca="false">IF($C2984="","",IFERROR(VLOOKUP(--$C2984,MM_Income!$Z$5:$AC$204,3,FALSE()),""))</f>
        <v/>
      </c>
    </row>
    <row r="2985" customFormat="false" ht="13.5" hidden="false" customHeight="false" outlineLevel="0" collapsed="false">
      <c r="N2985" s="1" t="str">
        <f aca="false">IF(C2985="","",IFERROR(VLOOKUP(C2985,Master_Mappings!$A$4:$E$85,3,FALSE()),"UNMAPPED"))</f>
        <v/>
      </c>
      <c r="P2985" s="1" t="str">
        <f aca="false">IF($C2985="","",$C2985&amp;"|"&amp;$E2985&amp;"|"&amp;$M2985&amp;"|"&amp;TEXT($G2985,"yyyy-mm-dd")&amp;"|"&amp;LEFT($J2985,40))</f>
        <v/>
      </c>
      <c r="Q2985" s="11" t="str">
        <f aca="false">IF(P2985="","",IF(COUNTIF($P$2:$P$3000,P2985)&gt;1,"DUPLICATE","OK"))</f>
        <v/>
      </c>
      <c r="R2985" s="0" t="str">
        <f aca="false">IF($C2985="","",IFERROR(VLOOKUP(--$C2985,MM_Income!$Z$5:$AC$204,3,FALSE()),""))</f>
        <v/>
      </c>
    </row>
    <row r="2986" customFormat="false" ht="13.5" hidden="false" customHeight="false" outlineLevel="0" collapsed="false">
      <c r="N2986" s="1" t="str">
        <f aca="false">IF(C2986="","",IFERROR(VLOOKUP(C2986,Master_Mappings!$A$4:$E$85,3,FALSE()),"UNMAPPED"))</f>
        <v/>
      </c>
      <c r="P2986" s="1" t="str">
        <f aca="false">IF($C2986="","",$C2986&amp;"|"&amp;$E2986&amp;"|"&amp;$M2986&amp;"|"&amp;TEXT($G2986,"yyyy-mm-dd")&amp;"|"&amp;LEFT($J2986,40))</f>
        <v/>
      </c>
      <c r="Q2986" s="11" t="str">
        <f aca="false">IF(P2986="","",IF(COUNTIF($P$2:$P$3000,P2986)&gt;1,"DUPLICATE","OK"))</f>
        <v/>
      </c>
      <c r="R2986" s="0" t="str">
        <f aca="false">IF($C2986="","",IFERROR(VLOOKUP(--$C2986,MM_Income!$Z$5:$AC$204,3,FALSE()),""))</f>
        <v/>
      </c>
    </row>
    <row r="2987" customFormat="false" ht="13.5" hidden="false" customHeight="false" outlineLevel="0" collapsed="false">
      <c r="N2987" s="1" t="str">
        <f aca="false">IF(C2987="","",IFERROR(VLOOKUP(C2987,Master_Mappings!$A$4:$E$85,3,FALSE()),"UNMAPPED"))</f>
        <v/>
      </c>
      <c r="P2987" s="1" t="str">
        <f aca="false">IF($C2987="","",$C2987&amp;"|"&amp;$E2987&amp;"|"&amp;$M2987&amp;"|"&amp;TEXT($G2987,"yyyy-mm-dd")&amp;"|"&amp;LEFT($J2987,40))</f>
        <v/>
      </c>
      <c r="Q2987" s="11" t="str">
        <f aca="false">IF(P2987="","",IF(COUNTIF($P$2:$P$3000,P2987)&gt;1,"DUPLICATE","OK"))</f>
        <v/>
      </c>
      <c r="R2987" s="0" t="str">
        <f aca="false">IF($C2987="","",IFERROR(VLOOKUP(--$C2987,MM_Income!$Z$5:$AC$204,3,FALSE()),""))</f>
        <v/>
      </c>
    </row>
    <row r="2988" customFormat="false" ht="13.5" hidden="false" customHeight="false" outlineLevel="0" collapsed="false">
      <c r="N2988" s="1" t="str">
        <f aca="false">IF(C2988="","",IFERROR(VLOOKUP(C2988,Master_Mappings!$A$4:$E$85,3,FALSE()),"UNMAPPED"))</f>
        <v/>
      </c>
      <c r="P2988" s="1" t="str">
        <f aca="false">IF($C2988="","",$C2988&amp;"|"&amp;$E2988&amp;"|"&amp;$M2988&amp;"|"&amp;TEXT($G2988,"yyyy-mm-dd")&amp;"|"&amp;LEFT($J2988,40))</f>
        <v/>
      </c>
      <c r="Q2988" s="11" t="str">
        <f aca="false">IF(P2988="","",IF(COUNTIF($P$2:$P$3000,P2988)&gt;1,"DUPLICATE","OK"))</f>
        <v/>
      </c>
      <c r="R2988" s="0" t="str">
        <f aca="false">IF($C2988="","",IFERROR(VLOOKUP(--$C2988,MM_Income!$Z$5:$AC$204,3,FALSE()),""))</f>
        <v/>
      </c>
    </row>
    <row r="2989" customFormat="false" ht="13.5" hidden="false" customHeight="false" outlineLevel="0" collapsed="false">
      <c r="N2989" s="1" t="str">
        <f aca="false">IF(C2989="","",IFERROR(VLOOKUP(C2989,Master_Mappings!$A$4:$E$85,3,FALSE()),"UNMAPPED"))</f>
        <v/>
      </c>
      <c r="P2989" s="1" t="str">
        <f aca="false">IF($C2989="","",$C2989&amp;"|"&amp;$E2989&amp;"|"&amp;$M2989&amp;"|"&amp;TEXT($G2989,"yyyy-mm-dd")&amp;"|"&amp;LEFT($J2989,40))</f>
        <v/>
      </c>
      <c r="Q2989" s="11" t="str">
        <f aca="false">IF(P2989="","",IF(COUNTIF($P$2:$P$3000,P2989)&gt;1,"DUPLICATE","OK"))</f>
        <v/>
      </c>
      <c r="R2989" s="0" t="str">
        <f aca="false">IF($C2989="","",IFERROR(VLOOKUP(--$C2989,MM_Income!$Z$5:$AC$204,3,FALSE()),""))</f>
        <v/>
      </c>
    </row>
    <row r="2990" customFormat="false" ht="13.5" hidden="false" customHeight="false" outlineLevel="0" collapsed="false">
      <c r="N2990" s="1" t="str">
        <f aca="false">IF(C2990="","",IFERROR(VLOOKUP(C2990,Master_Mappings!$A$4:$E$85,3,FALSE()),"UNMAPPED"))</f>
        <v/>
      </c>
      <c r="P2990" s="1" t="str">
        <f aca="false">IF($C2990="","",$C2990&amp;"|"&amp;$E2990&amp;"|"&amp;$M2990&amp;"|"&amp;TEXT($G2990,"yyyy-mm-dd")&amp;"|"&amp;LEFT($J2990,40))</f>
        <v/>
      </c>
      <c r="Q2990" s="11" t="str">
        <f aca="false">IF(P2990="","",IF(COUNTIF($P$2:$P$3000,P2990)&gt;1,"DUPLICATE","OK"))</f>
        <v/>
      </c>
      <c r="R2990" s="0" t="str">
        <f aca="false">IF($C2990="","",IFERROR(VLOOKUP(--$C2990,MM_Income!$Z$5:$AC$204,3,FALSE()),""))</f>
        <v/>
      </c>
    </row>
    <row r="2991" customFormat="false" ht="13.5" hidden="false" customHeight="false" outlineLevel="0" collapsed="false">
      <c r="N2991" s="1" t="str">
        <f aca="false">IF(C2991="","",IFERROR(VLOOKUP(C2991,Master_Mappings!$A$4:$E$85,3,FALSE()),"UNMAPPED"))</f>
        <v/>
      </c>
      <c r="P2991" s="1" t="str">
        <f aca="false">IF($C2991="","",$C2991&amp;"|"&amp;$E2991&amp;"|"&amp;$M2991&amp;"|"&amp;TEXT($G2991,"yyyy-mm-dd")&amp;"|"&amp;LEFT($J2991,40))</f>
        <v/>
      </c>
      <c r="Q2991" s="11" t="str">
        <f aca="false">IF(P2991="","",IF(COUNTIF($P$2:$P$3000,P2991)&gt;1,"DUPLICATE","OK"))</f>
        <v/>
      </c>
      <c r="R2991" s="0" t="str">
        <f aca="false">IF($C2991="","",IFERROR(VLOOKUP(--$C2991,MM_Income!$Z$5:$AC$204,3,FALSE()),""))</f>
        <v/>
      </c>
    </row>
    <row r="2992" customFormat="false" ht="13.5" hidden="false" customHeight="false" outlineLevel="0" collapsed="false">
      <c r="N2992" s="1" t="str">
        <f aca="false">IF(C2992="","",IFERROR(VLOOKUP(C2992,Master_Mappings!$A$4:$E$85,3,FALSE()),"UNMAPPED"))</f>
        <v/>
      </c>
      <c r="P2992" s="1" t="str">
        <f aca="false">IF($C2992="","",$C2992&amp;"|"&amp;$E2992&amp;"|"&amp;$M2992&amp;"|"&amp;TEXT($G2992,"yyyy-mm-dd")&amp;"|"&amp;LEFT($J2992,40))</f>
        <v/>
      </c>
      <c r="Q2992" s="11" t="str">
        <f aca="false">IF(P2992="","",IF(COUNTIF($P$2:$P$3000,P2992)&gt;1,"DUPLICATE","OK"))</f>
        <v/>
      </c>
      <c r="R2992" s="0" t="str">
        <f aca="false">IF($C2992="","",IFERROR(VLOOKUP(--$C2992,MM_Income!$Z$5:$AC$204,3,FALSE()),""))</f>
        <v/>
      </c>
    </row>
    <row r="2993" customFormat="false" ht="13.5" hidden="false" customHeight="false" outlineLevel="0" collapsed="false">
      <c r="N2993" s="1" t="str">
        <f aca="false">IF(C2993="","",IFERROR(VLOOKUP(C2993,Master_Mappings!$A$4:$E$85,3,FALSE()),"UNMAPPED"))</f>
        <v/>
      </c>
      <c r="P2993" s="1" t="str">
        <f aca="false">IF($C2993="","",$C2993&amp;"|"&amp;$E2993&amp;"|"&amp;$M2993&amp;"|"&amp;TEXT($G2993,"yyyy-mm-dd")&amp;"|"&amp;LEFT($J2993,40))</f>
        <v/>
      </c>
      <c r="Q2993" s="11" t="str">
        <f aca="false">IF(P2993="","",IF(COUNTIF($P$2:$P$3000,P2993)&gt;1,"DUPLICATE","OK"))</f>
        <v/>
      </c>
      <c r="R2993" s="0" t="str">
        <f aca="false">IF($C2993="","",IFERROR(VLOOKUP(--$C2993,MM_Income!$Z$5:$AC$204,3,FALSE()),""))</f>
        <v/>
      </c>
    </row>
    <row r="2994" customFormat="false" ht="13.5" hidden="false" customHeight="false" outlineLevel="0" collapsed="false">
      <c r="N2994" s="1" t="str">
        <f aca="false">IF(C2994="","",IFERROR(VLOOKUP(C2994,Master_Mappings!$A$4:$E$85,3,FALSE()),"UNMAPPED"))</f>
        <v/>
      </c>
      <c r="P2994" s="1" t="str">
        <f aca="false">IF($C2994="","",$C2994&amp;"|"&amp;$E2994&amp;"|"&amp;$M2994&amp;"|"&amp;TEXT($G2994,"yyyy-mm-dd")&amp;"|"&amp;LEFT($J2994,40))</f>
        <v/>
      </c>
      <c r="Q2994" s="11" t="str">
        <f aca="false">IF(P2994="","",IF(COUNTIF($P$2:$P$3000,P2994)&gt;1,"DUPLICATE","OK"))</f>
        <v/>
      </c>
      <c r="R2994" s="0" t="str">
        <f aca="false">IF($C2994="","",IFERROR(VLOOKUP(--$C2994,MM_Income!$Z$5:$AC$204,3,FALSE()),""))</f>
        <v/>
      </c>
    </row>
    <row r="2995" customFormat="false" ht="13.5" hidden="false" customHeight="false" outlineLevel="0" collapsed="false">
      <c r="N2995" s="1" t="str">
        <f aca="false">IF(C2995="","",IFERROR(VLOOKUP(C2995,Master_Mappings!$A$4:$E$85,3,FALSE()),"UNMAPPED"))</f>
        <v/>
      </c>
      <c r="P2995" s="1" t="str">
        <f aca="false">IF($C2995="","",$C2995&amp;"|"&amp;$E2995&amp;"|"&amp;$M2995&amp;"|"&amp;TEXT($G2995,"yyyy-mm-dd")&amp;"|"&amp;LEFT($J2995,40))</f>
        <v/>
      </c>
      <c r="Q2995" s="11" t="str">
        <f aca="false">IF(P2995="","",IF(COUNTIF($P$2:$P$3000,P2995)&gt;1,"DUPLICATE","OK"))</f>
        <v/>
      </c>
      <c r="R2995" s="0" t="str">
        <f aca="false">IF($C2995="","",IFERROR(VLOOKUP(--$C2995,MM_Income!$Z$5:$AC$204,3,FALSE()),""))</f>
        <v/>
      </c>
    </row>
    <row r="2996" customFormat="false" ht="13.5" hidden="false" customHeight="false" outlineLevel="0" collapsed="false">
      <c r="N2996" s="1" t="str">
        <f aca="false">IF(C2996="","",IFERROR(VLOOKUP(C2996,Master_Mappings!$A$4:$E$85,3,FALSE()),"UNMAPPED"))</f>
        <v/>
      </c>
      <c r="P2996" s="1" t="str">
        <f aca="false">IF($C2996="","",$C2996&amp;"|"&amp;$E2996&amp;"|"&amp;$M2996&amp;"|"&amp;TEXT($G2996,"yyyy-mm-dd")&amp;"|"&amp;LEFT($J2996,40))</f>
        <v/>
      </c>
      <c r="Q2996" s="11" t="str">
        <f aca="false">IF(P2996="","",IF(COUNTIF($P$2:$P$3000,P2996)&gt;1,"DUPLICATE","OK"))</f>
        <v/>
      </c>
      <c r="R2996" s="0" t="str">
        <f aca="false">IF($C2996="","",IFERROR(VLOOKUP(--$C2996,MM_Income!$Z$5:$AC$204,3,FALSE()),""))</f>
        <v/>
      </c>
    </row>
    <row r="2997" customFormat="false" ht="13.5" hidden="false" customHeight="false" outlineLevel="0" collapsed="false">
      <c r="N2997" s="1" t="str">
        <f aca="false">IF(C2997="","",IFERROR(VLOOKUP(C2997,Master_Mappings!$A$4:$E$85,3,FALSE()),"UNMAPPED"))</f>
        <v/>
      </c>
      <c r="P2997" s="1" t="str">
        <f aca="false">IF($C2997="","",$C2997&amp;"|"&amp;$E2997&amp;"|"&amp;$M2997&amp;"|"&amp;TEXT($G2997,"yyyy-mm-dd")&amp;"|"&amp;LEFT($J2997,40))</f>
        <v/>
      </c>
      <c r="Q2997" s="11" t="str">
        <f aca="false">IF(P2997="","",IF(COUNTIF($P$2:$P$3000,P2997)&gt;1,"DUPLICATE","OK"))</f>
        <v/>
      </c>
      <c r="R2997" s="0" t="str">
        <f aca="false">IF($C2997="","",IFERROR(VLOOKUP(--$C2997,MM_Income!$Z$5:$AC$204,3,FALSE()),""))</f>
        <v/>
      </c>
    </row>
    <row r="2998" customFormat="false" ht="13.5" hidden="false" customHeight="false" outlineLevel="0" collapsed="false">
      <c r="N2998" s="1" t="str">
        <f aca="false">IF(C2998="","",IFERROR(VLOOKUP(C2998,Master_Mappings!$A$4:$E$85,3,FALSE()),"UNMAPPED"))</f>
        <v/>
      </c>
      <c r="P2998" s="1" t="str">
        <f aca="false">IF($C2998="","",$C2998&amp;"|"&amp;$E2998&amp;"|"&amp;$M2998&amp;"|"&amp;TEXT($G2998,"yyyy-mm-dd")&amp;"|"&amp;LEFT($J2998,40))</f>
        <v/>
      </c>
      <c r="Q2998" s="11" t="str">
        <f aca="false">IF(P2998="","",IF(COUNTIF($P$2:$P$3000,P2998)&gt;1,"DUPLICATE","OK"))</f>
        <v/>
      </c>
      <c r="R2998" s="0" t="str">
        <f aca="false">IF($C2998="","",IFERROR(VLOOKUP(--$C2998,MM_Income!$Z$5:$AC$204,3,FALSE()),""))</f>
        <v/>
      </c>
    </row>
    <row r="2999" customFormat="false" ht="13.5" hidden="false" customHeight="false" outlineLevel="0" collapsed="false">
      <c r="N2999" s="1" t="str">
        <f aca="false">IF(C2999="","",IFERROR(VLOOKUP(C2999,Master_Mappings!$A$4:$E$85,3,FALSE()),"UNMAPPED"))</f>
        <v/>
      </c>
      <c r="P2999" s="1" t="str">
        <f aca="false">IF($C2999="","",$C2999&amp;"|"&amp;$E2999&amp;"|"&amp;$M2999&amp;"|"&amp;TEXT($G2999,"yyyy-mm-dd")&amp;"|"&amp;LEFT($J2999,40))</f>
        <v/>
      </c>
      <c r="Q2999" s="11" t="str">
        <f aca="false">IF(P2999="","",IF(COUNTIF($P$2:$P$3000,P2999)&gt;1,"DUPLICATE","OK"))</f>
        <v/>
      </c>
      <c r="R2999" s="0" t="str">
        <f aca="false">IF($C2999="","",IFERROR(VLOOKUP(--$C2999,MM_Income!$Z$5:$AC$204,3,FALSE()),""))</f>
        <v/>
      </c>
    </row>
    <row r="3000" customFormat="false" ht="13.5" hidden="false" customHeight="false" outlineLevel="0" collapsed="false">
      <c r="N3000" s="1" t="str">
        <f aca="false">IF(C3000="","",IFERROR(VLOOKUP(C3000,Master_Mappings!$A$4:$E$85,3,FALSE()),"UNMAPPED"))</f>
        <v/>
      </c>
      <c r="P3000" s="1" t="str">
        <f aca="false">IF($C3000="","",$C3000&amp;"|"&amp;$E3000&amp;"|"&amp;$M3000&amp;"|"&amp;TEXT($G3000,"yyyy-mm-dd")&amp;"|"&amp;LEFT($J3000,40))</f>
        <v/>
      </c>
      <c r="Q3000" s="11" t="str">
        <f aca="false">IF(P3000="","",IF(COUNTIF($P$2:$P$3000,P3000)&gt;1,"DUPLICATE","OK"))</f>
        <v/>
      </c>
      <c r="R3000" s="0" t="str">
        <f aca="false">IF($C3000="","",IFERROR(VLOOKUP(--$C3000,MM_Income!$Z$5:$AC$204,3,FALSE()),""))</f>
        <v/>
      </c>
    </row>
    <row r="3001" customFormat="false" ht="13.5" hidden="false" customHeight="false" outlineLevel="0" collapsed="false">
      <c r="Q3001" s="11"/>
    </row>
    <row r="3002" customFormat="false" ht="13.5" hidden="false" customHeight="false" outlineLevel="0" collapsed="false">
      <c r="Q3002" s="11"/>
    </row>
    <row r="3003" customFormat="false" ht="13.5" hidden="false" customHeight="false" outlineLevel="0" collapsed="false">
      <c r="Q3003" s="11"/>
    </row>
    <row r="3004" customFormat="false" ht="13.5" hidden="false" customHeight="false" outlineLevel="0" collapsed="false">
      <c r="Q3004" s="11"/>
    </row>
    <row r="3005" customFormat="false" ht="13.5" hidden="false" customHeight="false" outlineLevel="0" collapsed="false">
      <c r="Q3005" s="11"/>
    </row>
    <row r="3006" customFormat="false" ht="13.5" hidden="false" customHeight="false" outlineLevel="0" collapsed="false">
      <c r="Q3006" s="11"/>
    </row>
    <row r="3007" customFormat="false" ht="13.5" hidden="false" customHeight="false" outlineLevel="0" collapsed="false">
      <c r="Q3007" s="11"/>
    </row>
    <row r="3008" customFormat="false" ht="13.5" hidden="false" customHeight="false" outlineLevel="0" collapsed="false">
      <c r="Q3008" s="11"/>
    </row>
    <row r="3009" customFormat="false" ht="13.5" hidden="false" customHeight="false" outlineLevel="0" collapsed="false">
      <c r="Q3009" s="11"/>
    </row>
    <row r="3010" customFormat="false" ht="13.5" hidden="false" customHeight="false" outlineLevel="0" collapsed="false">
      <c r="Q3010" s="11"/>
    </row>
    <row r="3011" customFormat="false" ht="13.5" hidden="false" customHeight="false" outlineLevel="0" collapsed="false">
      <c r="Q3011" s="11"/>
    </row>
    <row r="3012" customFormat="false" ht="13.5" hidden="false" customHeight="false" outlineLevel="0" collapsed="false">
      <c r="Q3012" s="11"/>
    </row>
    <row r="3013" customFormat="false" ht="13.5" hidden="false" customHeight="false" outlineLevel="0" collapsed="false">
      <c r="Q3013" s="11"/>
    </row>
    <row r="3014" customFormat="false" ht="13.5" hidden="false" customHeight="false" outlineLevel="0" collapsed="false">
      <c r="Q3014" s="11"/>
    </row>
    <row r="3015" customFormat="false" ht="13.5" hidden="false" customHeight="false" outlineLevel="0" collapsed="false">
      <c r="Q3015" s="11"/>
    </row>
    <row r="3016" customFormat="false" ht="13.5" hidden="false" customHeight="false" outlineLevel="0" collapsed="false">
      <c r="Q3016" s="11"/>
    </row>
    <row r="3017" customFormat="false" ht="13.5" hidden="false" customHeight="false" outlineLevel="0" collapsed="false">
      <c r="Q3017" s="11"/>
    </row>
    <row r="3018" customFormat="false" ht="13.5" hidden="false" customHeight="false" outlineLevel="0" collapsed="false">
      <c r="Q3018" s="11"/>
    </row>
    <row r="3019" customFormat="false" ht="13.5" hidden="false" customHeight="false" outlineLevel="0" collapsed="false">
      <c r="Q3019" s="11"/>
    </row>
    <row r="3020" customFormat="false" ht="13.5" hidden="false" customHeight="false" outlineLevel="0" collapsed="false">
      <c r="Q3020" s="11"/>
    </row>
    <row r="3021" customFormat="false" ht="13.5" hidden="false" customHeight="false" outlineLevel="0" collapsed="false">
      <c r="Q3021" s="11"/>
    </row>
    <row r="3022" customFormat="false" ht="13.5" hidden="false" customHeight="false" outlineLevel="0" collapsed="false">
      <c r="Q3022" s="11"/>
    </row>
    <row r="3023" customFormat="false" ht="13.5" hidden="false" customHeight="false" outlineLevel="0" collapsed="false">
      <c r="Q3023" s="11"/>
    </row>
    <row r="3024" customFormat="false" ht="13.5" hidden="false" customHeight="false" outlineLevel="0" collapsed="false">
      <c r="Q3024" s="11"/>
    </row>
    <row r="3025" customFormat="false" ht="13.5" hidden="false" customHeight="false" outlineLevel="0" collapsed="false">
      <c r="Q3025" s="11"/>
    </row>
    <row r="3026" customFormat="false" ht="13.5" hidden="false" customHeight="false" outlineLevel="0" collapsed="false">
      <c r="Q3026" s="11"/>
    </row>
    <row r="3027" customFormat="false" ht="13.5" hidden="false" customHeight="false" outlineLevel="0" collapsed="false">
      <c r="Q3027" s="11"/>
    </row>
    <row r="3028" customFormat="false" ht="13.5" hidden="false" customHeight="false" outlineLevel="0" collapsed="false">
      <c r="Q3028" s="11"/>
    </row>
    <row r="3029" customFormat="false" ht="13.5" hidden="false" customHeight="false" outlineLevel="0" collapsed="false">
      <c r="Q3029" s="11"/>
    </row>
    <row r="3030" customFormat="false" ht="13.5" hidden="false" customHeight="false" outlineLevel="0" collapsed="false">
      <c r="Q3030" s="11"/>
    </row>
    <row r="3031" customFormat="false" ht="13.5" hidden="false" customHeight="false" outlineLevel="0" collapsed="false">
      <c r="Q3031" s="11"/>
    </row>
    <row r="3032" customFormat="false" ht="13.5" hidden="false" customHeight="false" outlineLevel="0" collapsed="false">
      <c r="Q3032" s="11"/>
    </row>
    <row r="3033" customFormat="false" ht="13.5" hidden="false" customHeight="false" outlineLevel="0" collapsed="false">
      <c r="Q3033" s="11"/>
    </row>
    <row r="3034" customFormat="false" ht="13.5" hidden="false" customHeight="false" outlineLevel="0" collapsed="false">
      <c r="Q3034" s="11"/>
    </row>
    <row r="3035" customFormat="false" ht="13.5" hidden="false" customHeight="false" outlineLevel="0" collapsed="false">
      <c r="Q3035" s="11"/>
    </row>
    <row r="3036" customFormat="false" ht="13.5" hidden="false" customHeight="false" outlineLevel="0" collapsed="false">
      <c r="Q3036" s="11"/>
    </row>
    <row r="3037" customFormat="false" ht="13.5" hidden="false" customHeight="false" outlineLevel="0" collapsed="false">
      <c r="Q3037" s="11"/>
    </row>
    <row r="3038" customFormat="false" ht="13.5" hidden="false" customHeight="false" outlineLevel="0" collapsed="false">
      <c r="Q3038" s="11"/>
    </row>
    <row r="3039" customFormat="false" ht="13.5" hidden="false" customHeight="false" outlineLevel="0" collapsed="false">
      <c r="Q3039" s="11"/>
    </row>
    <row r="3040" customFormat="false" ht="13.5" hidden="false" customHeight="false" outlineLevel="0" collapsed="false">
      <c r="Q3040" s="11"/>
    </row>
    <row r="3041" customFormat="false" ht="13.5" hidden="false" customHeight="false" outlineLevel="0" collapsed="false">
      <c r="Q3041" s="11"/>
    </row>
    <row r="3042" customFormat="false" ht="13.5" hidden="false" customHeight="false" outlineLevel="0" collapsed="false">
      <c r="Q3042" s="11"/>
    </row>
    <row r="3043" customFormat="false" ht="13.5" hidden="false" customHeight="false" outlineLevel="0" collapsed="false">
      <c r="Q3043" s="11"/>
    </row>
    <row r="3044" customFormat="false" ht="13.5" hidden="false" customHeight="false" outlineLevel="0" collapsed="false">
      <c r="Q3044" s="11"/>
    </row>
    <row r="3045" customFormat="false" ht="13.5" hidden="false" customHeight="false" outlineLevel="0" collapsed="false">
      <c r="Q3045" s="11"/>
    </row>
    <row r="3046" customFormat="false" ht="13.5" hidden="false" customHeight="false" outlineLevel="0" collapsed="false">
      <c r="Q3046" s="11"/>
    </row>
    <row r="3047" customFormat="false" ht="13.5" hidden="false" customHeight="false" outlineLevel="0" collapsed="false">
      <c r="Q3047" s="11"/>
    </row>
    <row r="3048" customFormat="false" ht="13.5" hidden="false" customHeight="false" outlineLevel="0" collapsed="false">
      <c r="Q3048" s="11"/>
    </row>
    <row r="3049" customFormat="false" ht="13.5" hidden="false" customHeight="false" outlineLevel="0" collapsed="false">
      <c r="Q3049" s="11"/>
    </row>
    <row r="3050" customFormat="false" ht="13.5" hidden="false" customHeight="false" outlineLevel="0" collapsed="false">
      <c r="Q3050" s="11"/>
    </row>
    <row r="3051" customFormat="false" ht="13.5" hidden="false" customHeight="false" outlineLevel="0" collapsed="false">
      <c r="Q3051" s="11"/>
    </row>
    <row r="3052" customFormat="false" ht="13.5" hidden="false" customHeight="false" outlineLevel="0" collapsed="false">
      <c r="Q3052" s="11"/>
    </row>
    <row r="3053" customFormat="false" ht="13.5" hidden="false" customHeight="false" outlineLevel="0" collapsed="false">
      <c r="Q3053" s="11"/>
    </row>
    <row r="3054" customFormat="false" ht="13.5" hidden="false" customHeight="false" outlineLevel="0" collapsed="false">
      <c r="Q3054" s="11"/>
    </row>
    <row r="3055" customFormat="false" ht="13.5" hidden="false" customHeight="false" outlineLevel="0" collapsed="false">
      <c r="Q3055" s="11"/>
    </row>
    <row r="3056" customFormat="false" ht="13.5" hidden="false" customHeight="false" outlineLevel="0" collapsed="false">
      <c r="Q3056" s="11"/>
    </row>
    <row r="3057" customFormat="false" ht="13.5" hidden="false" customHeight="false" outlineLevel="0" collapsed="false">
      <c r="Q3057" s="11"/>
    </row>
    <row r="3058" customFormat="false" ht="13.5" hidden="false" customHeight="false" outlineLevel="0" collapsed="false">
      <c r="Q3058" s="11"/>
    </row>
    <row r="3059" customFormat="false" ht="13.5" hidden="false" customHeight="false" outlineLevel="0" collapsed="false">
      <c r="Q3059" s="11"/>
    </row>
    <row r="3060" customFormat="false" ht="13.5" hidden="false" customHeight="false" outlineLevel="0" collapsed="false">
      <c r="Q3060" s="11"/>
    </row>
    <row r="3061" customFormat="false" ht="13.5" hidden="false" customHeight="false" outlineLevel="0" collapsed="false">
      <c r="Q3061" s="11"/>
    </row>
    <row r="3062" customFormat="false" ht="13.5" hidden="false" customHeight="false" outlineLevel="0" collapsed="false">
      <c r="Q3062" s="11"/>
    </row>
    <row r="3063" customFormat="false" ht="13.5" hidden="false" customHeight="false" outlineLevel="0" collapsed="false">
      <c r="Q3063" s="11"/>
    </row>
    <row r="3064" customFormat="false" ht="13.5" hidden="false" customHeight="false" outlineLevel="0" collapsed="false">
      <c r="Q3064" s="11"/>
    </row>
    <row r="3065" customFormat="false" ht="13.5" hidden="false" customHeight="false" outlineLevel="0" collapsed="false">
      <c r="Q3065" s="11"/>
    </row>
    <row r="3066" customFormat="false" ht="13.5" hidden="false" customHeight="false" outlineLevel="0" collapsed="false">
      <c r="Q3066" s="11"/>
    </row>
    <row r="3067" customFormat="false" ht="13.5" hidden="false" customHeight="false" outlineLevel="0" collapsed="false">
      <c r="Q3067" s="11"/>
    </row>
    <row r="3068" customFormat="false" ht="13.5" hidden="false" customHeight="false" outlineLevel="0" collapsed="false">
      <c r="Q3068" s="11"/>
    </row>
    <row r="3069" customFormat="false" ht="13.5" hidden="false" customHeight="false" outlineLevel="0" collapsed="false">
      <c r="Q3069" s="11"/>
    </row>
    <row r="3070" customFormat="false" ht="13.5" hidden="false" customHeight="false" outlineLevel="0" collapsed="false">
      <c r="Q3070" s="11"/>
    </row>
    <row r="3071" customFormat="false" ht="13.5" hidden="false" customHeight="false" outlineLevel="0" collapsed="false">
      <c r="Q3071" s="11"/>
    </row>
    <row r="3072" customFormat="false" ht="13.5" hidden="false" customHeight="false" outlineLevel="0" collapsed="false">
      <c r="Q3072" s="11"/>
    </row>
    <row r="3073" customFormat="false" ht="13.5" hidden="false" customHeight="false" outlineLevel="0" collapsed="false">
      <c r="Q3073" s="11"/>
    </row>
    <row r="3074" customFormat="false" ht="13.5" hidden="false" customHeight="false" outlineLevel="0" collapsed="false">
      <c r="Q3074" s="11"/>
    </row>
    <row r="3075" customFormat="false" ht="13.5" hidden="false" customHeight="false" outlineLevel="0" collapsed="false">
      <c r="Q3075" s="11"/>
    </row>
    <row r="3076" customFormat="false" ht="13.5" hidden="false" customHeight="false" outlineLevel="0" collapsed="false">
      <c r="Q3076" s="11"/>
    </row>
    <row r="3077" customFormat="false" ht="13.5" hidden="false" customHeight="false" outlineLevel="0" collapsed="false">
      <c r="Q3077" s="11"/>
    </row>
    <row r="3078" customFormat="false" ht="13.5" hidden="false" customHeight="false" outlineLevel="0" collapsed="false">
      <c r="Q3078" s="11"/>
    </row>
    <row r="3079" customFormat="false" ht="13.5" hidden="false" customHeight="false" outlineLevel="0" collapsed="false">
      <c r="Q3079" s="11"/>
    </row>
    <row r="3080" customFormat="false" ht="13.5" hidden="false" customHeight="false" outlineLevel="0" collapsed="false">
      <c r="Q3080" s="11"/>
    </row>
    <row r="3081" customFormat="false" ht="13.5" hidden="false" customHeight="false" outlineLevel="0" collapsed="false">
      <c r="Q3081" s="11"/>
    </row>
    <row r="3082" customFormat="false" ht="13.5" hidden="false" customHeight="false" outlineLevel="0" collapsed="false">
      <c r="Q3082" s="11"/>
    </row>
    <row r="3083" customFormat="false" ht="13.5" hidden="false" customHeight="false" outlineLevel="0" collapsed="false">
      <c r="Q3083" s="11"/>
    </row>
    <row r="3084" customFormat="false" ht="13.5" hidden="false" customHeight="false" outlineLevel="0" collapsed="false">
      <c r="Q3084" s="11"/>
    </row>
    <row r="3085" customFormat="false" ht="13.5" hidden="false" customHeight="false" outlineLevel="0" collapsed="false">
      <c r="Q3085" s="11"/>
    </row>
    <row r="3086" customFormat="false" ht="13.5" hidden="false" customHeight="false" outlineLevel="0" collapsed="false">
      <c r="Q3086" s="11"/>
    </row>
    <row r="3087" customFormat="false" ht="13.5" hidden="false" customHeight="false" outlineLevel="0" collapsed="false">
      <c r="Q3087" s="11"/>
    </row>
    <row r="3088" customFormat="false" ht="13.5" hidden="false" customHeight="false" outlineLevel="0" collapsed="false">
      <c r="Q3088" s="11"/>
    </row>
    <row r="3089" customFormat="false" ht="13.5" hidden="false" customHeight="false" outlineLevel="0" collapsed="false">
      <c r="Q3089" s="11"/>
    </row>
    <row r="3090" customFormat="false" ht="13.5" hidden="false" customHeight="false" outlineLevel="0" collapsed="false">
      <c r="Q3090" s="11"/>
    </row>
    <row r="3091" customFormat="false" ht="13.5" hidden="false" customHeight="false" outlineLevel="0" collapsed="false">
      <c r="Q3091" s="11"/>
    </row>
    <row r="3092" customFormat="false" ht="13.5" hidden="false" customHeight="false" outlineLevel="0" collapsed="false">
      <c r="Q3092" s="11"/>
    </row>
    <row r="3093" customFormat="false" ht="13.5" hidden="false" customHeight="false" outlineLevel="0" collapsed="false">
      <c r="Q3093" s="11"/>
    </row>
    <row r="3094" customFormat="false" ht="13.5" hidden="false" customHeight="false" outlineLevel="0" collapsed="false">
      <c r="Q3094" s="11"/>
    </row>
    <row r="3095" customFormat="false" ht="13.5" hidden="false" customHeight="false" outlineLevel="0" collapsed="false">
      <c r="Q3095" s="11"/>
    </row>
    <row r="3096" customFormat="false" ht="13.5" hidden="false" customHeight="false" outlineLevel="0" collapsed="false">
      <c r="Q3096" s="11"/>
    </row>
    <row r="3097" customFormat="false" ht="13.5" hidden="false" customHeight="false" outlineLevel="0" collapsed="false">
      <c r="Q3097" s="11"/>
    </row>
    <row r="3098" customFormat="false" ht="13.5" hidden="false" customHeight="false" outlineLevel="0" collapsed="false">
      <c r="Q3098" s="11"/>
    </row>
    <row r="3099" customFormat="false" ht="13.5" hidden="false" customHeight="false" outlineLevel="0" collapsed="false">
      <c r="Q3099" s="11"/>
    </row>
    <row r="3100" customFormat="false" ht="13.5" hidden="false" customHeight="false" outlineLevel="0" collapsed="false">
      <c r="Q3100" s="11"/>
    </row>
    <row r="3101" customFormat="false" ht="13.5" hidden="false" customHeight="false" outlineLevel="0" collapsed="false">
      <c r="Q3101" s="11"/>
    </row>
    <row r="3102" customFormat="false" ht="13.5" hidden="false" customHeight="false" outlineLevel="0" collapsed="false">
      <c r="Q3102" s="11"/>
    </row>
    <row r="3103" customFormat="false" ht="13.5" hidden="false" customHeight="false" outlineLevel="0" collapsed="false">
      <c r="Q3103" s="11"/>
    </row>
    <row r="3104" customFormat="false" ht="13.5" hidden="false" customHeight="false" outlineLevel="0" collapsed="false">
      <c r="Q3104" s="11"/>
    </row>
    <row r="3105" customFormat="false" ht="13.5" hidden="false" customHeight="false" outlineLevel="0" collapsed="false">
      <c r="Q3105" s="11"/>
    </row>
    <row r="3106" customFormat="false" ht="13.5" hidden="false" customHeight="false" outlineLevel="0" collapsed="false">
      <c r="Q3106" s="11"/>
    </row>
    <row r="3107" customFormat="false" ht="13.5" hidden="false" customHeight="false" outlineLevel="0" collapsed="false">
      <c r="Q3107" s="11"/>
    </row>
    <row r="3108" customFormat="false" ht="13.5" hidden="false" customHeight="false" outlineLevel="0" collapsed="false">
      <c r="Q3108" s="11"/>
    </row>
    <row r="3109" customFormat="false" ht="13.5" hidden="false" customHeight="false" outlineLevel="0" collapsed="false">
      <c r="Q3109" s="11"/>
    </row>
    <row r="3110" customFormat="false" ht="13.5" hidden="false" customHeight="false" outlineLevel="0" collapsed="false">
      <c r="Q3110" s="11"/>
    </row>
    <row r="3111" customFormat="false" ht="13.5" hidden="false" customHeight="false" outlineLevel="0" collapsed="false">
      <c r="Q3111" s="11"/>
    </row>
    <row r="3112" customFormat="false" ht="13.5" hidden="false" customHeight="false" outlineLevel="0" collapsed="false">
      <c r="Q3112" s="11"/>
    </row>
    <row r="3113" customFormat="false" ht="13.5" hidden="false" customHeight="false" outlineLevel="0" collapsed="false">
      <c r="Q3113" s="11"/>
    </row>
    <row r="3114" customFormat="false" ht="13.5" hidden="false" customHeight="false" outlineLevel="0" collapsed="false">
      <c r="Q3114" s="11"/>
    </row>
    <row r="3115" customFormat="false" ht="13.5" hidden="false" customHeight="false" outlineLevel="0" collapsed="false">
      <c r="Q3115" s="11"/>
    </row>
    <row r="3116" customFormat="false" ht="13.5" hidden="false" customHeight="false" outlineLevel="0" collapsed="false">
      <c r="Q3116" s="11"/>
    </row>
    <row r="3117" customFormat="false" ht="13.5" hidden="false" customHeight="false" outlineLevel="0" collapsed="false">
      <c r="Q3117" s="11"/>
    </row>
    <row r="3118" customFormat="false" ht="13.5" hidden="false" customHeight="false" outlineLevel="0" collapsed="false">
      <c r="Q3118" s="11"/>
    </row>
    <row r="3119" customFormat="false" ht="13.5" hidden="false" customHeight="false" outlineLevel="0" collapsed="false">
      <c r="Q3119" s="11"/>
    </row>
    <row r="3120" customFormat="false" ht="13.5" hidden="false" customHeight="false" outlineLevel="0" collapsed="false">
      <c r="Q3120" s="11"/>
    </row>
    <row r="3121" customFormat="false" ht="13.5" hidden="false" customHeight="false" outlineLevel="0" collapsed="false">
      <c r="Q3121" s="11"/>
    </row>
    <row r="3122" customFormat="false" ht="13.5" hidden="false" customHeight="false" outlineLevel="0" collapsed="false">
      <c r="Q3122" s="11"/>
    </row>
    <row r="3123" customFormat="false" ht="13.5" hidden="false" customHeight="false" outlineLevel="0" collapsed="false">
      <c r="Q3123" s="11"/>
    </row>
    <row r="3124" customFormat="false" ht="13.5" hidden="false" customHeight="false" outlineLevel="0" collapsed="false">
      <c r="Q3124" s="11"/>
    </row>
    <row r="3125" customFormat="false" ht="13.5" hidden="false" customHeight="false" outlineLevel="0" collapsed="false">
      <c r="Q3125" s="11"/>
    </row>
    <row r="3126" customFormat="false" ht="13.5" hidden="false" customHeight="false" outlineLevel="0" collapsed="false">
      <c r="Q3126" s="11"/>
    </row>
    <row r="3127" customFormat="false" ht="13.5" hidden="false" customHeight="false" outlineLevel="0" collapsed="false">
      <c r="Q3127" s="11"/>
    </row>
    <row r="3128" customFormat="false" ht="13.5" hidden="false" customHeight="false" outlineLevel="0" collapsed="false">
      <c r="Q3128" s="11"/>
    </row>
    <row r="3129" customFormat="false" ht="13.5" hidden="false" customHeight="false" outlineLevel="0" collapsed="false">
      <c r="Q3129" s="11"/>
    </row>
    <row r="3130" customFormat="false" ht="13.5" hidden="false" customHeight="false" outlineLevel="0" collapsed="false">
      <c r="Q3130" s="11"/>
    </row>
    <row r="3131" customFormat="false" ht="13.5" hidden="false" customHeight="false" outlineLevel="0" collapsed="false">
      <c r="Q3131" s="11"/>
    </row>
    <row r="3132" customFormat="false" ht="13.5" hidden="false" customHeight="false" outlineLevel="0" collapsed="false">
      <c r="Q3132" s="11"/>
    </row>
    <row r="3133" customFormat="false" ht="13.5" hidden="false" customHeight="false" outlineLevel="0" collapsed="false">
      <c r="Q3133" s="11"/>
    </row>
    <row r="3134" customFormat="false" ht="13.5" hidden="false" customHeight="false" outlineLevel="0" collapsed="false">
      <c r="Q3134" s="11"/>
    </row>
    <row r="3135" customFormat="false" ht="13.5" hidden="false" customHeight="false" outlineLevel="0" collapsed="false">
      <c r="Q3135" s="11"/>
    </row>
    <row r="3136" customFormat="false" ht="13.5" hidden="false" customHeight="false" outlineLevel="0" collapsed="false">
      <c r="Q3136" s="11"/>
    </row>
    <row r="3137" customFormat="false" ht="13.5" hidden="false" customHeight="false" outlineLevel="0" collapsed="false">
      <c r="Q3137" s="11"/>
    </row>
    <row r="3138" customFormat="false" ht="13.5" hidden="false" customHeight="false" outlineLevel="0" collapsed="false">
      <c r="Q3138" s="11"/>
    </row>
    <row r="3139" customFormat="false" ht="13.5" hidden="false" customHeight="false" outlineLevel="0" collapsed="false">
      <c r="Q3139" s="11"/>
    </row>
    <row r="3140" customFormat="false" ht="13.5" hidden="false" customHeight="false" outlineLevel="0" collapsed="false">
      <c r="Q3140" s="11"/>
    </row>
    <row r="3141" customFormat="false" ht="13.5" hidden="false" customHeight="false" outlineLevel="0" collapsed="false">
      <c r="Q3141" s="11"/>
    </row>
    <row r="3142" customFormat="false" ht="13.5" hidden="false" customHeight="false" outlineLevel="0" collapsed="false">
      <c r="Q3142" s="11"/>
    </row>
    <row r="3143" customFormat="false" ht="13.5" hidden="false" customHeight="false" outlineLevel="0" collapsed="false">
      <c r="Q3143" s="11"/>
    </row>
    <row r="3144" customFormat="false" ht="13.5" hidden="false" customHeight="false" outlineLevel="0" collapsed="false">
      <c r="Q3144" s="11"/>
    </row>
    <row r="3145" customFormat="false" ht="13.5" hidden="false" customHeight="false" outlineLevel="0" collapsed="false">
      <c r="Q3145" s="11"/>
    </row>
    <row r="3146" customFormat="false" ht="13.5" hidden="false" customHeight="false" outlineLevel="0" collapsed="false">
      <c r="Q3146" s="11"/>
    </row>
    <row r="3147" customFormat="false" ht="13.5" hidden="false" customHeight="false" outlineLevel="0" collapsed="false">
      <c r="Q3147" s="11"/>
    </row>
    <row r="3148" customFormat="false" ht="13.5" hidden="false" customHeight="false" outlineLevel="0" collapsed="false">
      <c r="Q3148" s="11"/>
    </row>
    <row r="3149" customFormat="false" ht="13.5" hidden="false" customHeight="false" outlineLevel="0" collapsed="false">
      <c r="Q3149" s="11"/>
    </row>
    <row r="3150" customFormat="false" ht="13.5" hidden="false" customHeight="false" outlineLevel="0" collapsed="false">
      <c r="Q3150" s="11"/>
    </row>
    <row r="3151" customFormat="false" ht="13.5" hidden="false" customHeight="false" outlineLevel="0" collapsed="false">
      <c r="Q3151" s="11"/>
    </row>
    <row r="3152" customFormat="false" ht="13.5" hidden="false" customHeight="false" outlineLevel="0" collapsed="false">
      <c r="Q3152" s="11"/>
    </row>
    <row r="3153" customFormat="false" ht="13.5" hidden="false" customHeight="false" outlineLevel="0" collapsed="false">
      <c r="Q3153" s="11"/>
    </row>
    <row r="3154" customFormat="false" ht="13.5" hidden="false" customHeight="false" outlineLevel="0" collapsed="false">
      <c r="Q3154" s="11"/>
    </row>
    <row r="3155" customFormat="false" ht="13.5" hidden="false" customHeight="false" outlineLevel="0" collapsed="false">
      <c r="Q3155" s="11"/>
    </row>
    <row r="3156" customFormat="false" ht="13.5" hidden="false" customHeight="false" outlineLevel="0" collapsed="false">
      <c r="Q3156" s="11"/>
    </row>
    <row r="3157" customFormat="false" ht="13.5" hidden="false" customHeight="false" outlineLevel="0" collapsed="false">
      <c r="Q3157" s="11"/>
    </row>
    <row r="3158" customFormat="false" ht="13.5" hidden="false" customHeight="false" outlineLevel="0" collapsed="false">
      <c r="Q3158" s="11"/>
    </row>
    <row r="3159" customFormat="false" ht="13.5" hidden="false" customHeight="false" outlineLevel="0" collapsed="false">
      <c r="Q3159" s="11"/>
    </row>
    <row r="3160" customFormat="false" ht="13.5" hidden="false" customHeight="false" outlineLevel="0" collapsed="false">
      <c r="Q3160" s="11"/>
    </row>
    <row r="3161" customFormat="false" ht="13.5" hidden="false" customHeight="false" outlineLevel="0" collapsed="false">
      <c r="Q3161" s="11"/>
    </row>
    <row r="3162" customFormat="false" ht="13.5" hidden="false" customHeight="false" outlineLevel="0" collapsed="false">
      <c r="Q3162" s="11"/>
    </row>
    <row r="3163" customFormat="false" ht="13.5" hidden="false" customHeight="false" outlineLevel="0" collapsed="false">
      <c r="Q3163" s="11"/>
    </row>
    <row r="3164" customFormat="false" ht="13.5" hidden="false" customHeight="false" outlineLevel="0" collapsed="false">
      <c r="Q3164" s="11"/>
    </row>
    <row r="3165" customFormat="false" ht="13.5" hidden="false" customHeight="false" outlineLevel="0" collapsed="false">
      <c r="Q3165" s="11"/>
    </row>
    <row r="3166" customFormat="false" ht="13.5" hidden="false" customHeight="false" outlineLevel="0" collapsed="false">
      <c r="Q3166" s="11"/>
    </row>
    <row r="3167" customFormat="false" ht="13.5" hidden="false" customHeight="false" outlineLevel="0" collapsed="false">
      <c r="Q3167" s="11"/>
    </row>
    <row r="3168" customFormat="false" ht="13.5" hidden="false" customHeight="false" outlineLevel="0" collapsed="false">
      <c r="Q3168" s="11"/>
    </row>
    <row r="3169" customFormat="false" ht="13.5" hidden="false" customHeight="false" outlineLevel="0" collapsed="false">
      <c r="Q3169" s="11"/>
    </row>
    <row r="3170" customFormat="false" ht="13.5" hidden="false" customHeight="false" outlineLevel="0" collapsed="false">
      <c r="Q3170" s="11"/>
    </row>
    <row r="3171" customFormat="false" ht="13.5" hidden="false" customHeight="false" outlineLevel="0" collapsed="false">
      <c r="Q3171" s="11"/>
    </row>
    <row r="3172" customFormat="false" ht="13.5" hidden="false" customHeight="false" outlineLevel="0" collapsed="false">
      <c r="Q3172" s="11"/>
    </row>
    <row r="3173" customFormat="false" ht="13.5" hidden="false" customHeight="false" outlineLevel="0" collapsed="false">
      <c r="Q3173" s="11"/>
    </row>
    <row r="3174" customFormat="false" ht="13.5" hidden="false" customHeight="false" outlineLevel="0" collapsed="false">
      <c r="Q3174" s="11"/>
    </row>
    <row r="3175" customFormat="false" ht="13.5" hidden="false" customHeight="false" outlineLevel="0" collapsed="false">
      <c r="Q3175" s="11"/>
    </row>
    <row r="3176" customFormat="false" ht="13.5" hidden="false" customHeight="false" outlineLevel="0" collapsed="false">
      <c r="Q3176" s="11"/>
    </row>
    <row r="3177" customFormat="false" ht="13.5" hidden="false" customHeight="false" outlineLevel="0" collapsed="false">
      <c r="Q3177" s="11"/>
    </row>
    <row r="3178" customFormat="false" ht="13.5" hidden="false" customHeight="false" outlineLevel="0" collapsed="false">
      <c r="Q3178" s="11"/>
    </row>
    <row r="3179" customFormat="false" ht="13.5" hidden="false" customHeight="false" outlineLevel="0" collapsed="false">
      <c r="Q3179" s="11"/>
    </row>
    <row r="3180" customFormat="false" ht="13.5" hidden="false" customHeight="false" outlineLevel="0" collapsed="false">
      <c r="Q3180" s="11"/>
    </row>
    <row r="3181" customFormat="false" ht="13.5" hidden="false" customHeight="false" outlineLevel="0" collapsed="false">
      <c r="Q3181" s="11"/>
    </row>
    <row r="3182" customFormat="false" ht="13.5" hidden="false" customHeight="false" outlineLevel="0" collapsed="false">
      <c r="Q3182" s="11"/>
    </row>
    <row r="3183" customFormat="false" ht="13.5" hidden="false" customHeight="false" outlineLevel="0" collapsed="false">
      <c r="Q3183" s="11"/>
    </row>
    <row r="3184" customFormat="false" ht="13.5" hidden="false" customHeight="false" outlineLevel="0" collapsed="false">
      <c r="Q3184" s="11"/>
    </row>
    <row r="3185" customFormat="false" ht="13.5" hidden="false" customHeight="false" outlineLevel="0" collapsed="false">
      <c r="Q3185" s="11"/>
    </row>
    <row r="3186" customFormat="false" ht="13.5" hidden="false" customHeight="false" outlineLevel="0" collapsed="false">
      <c r="Q3186" s="11"/>
    </row>
    <row r="3187" customFormat="false" ht="13.5" hidden="false" customHeight="false" outlineLevel="0" collapsed="false">
      <c r="Q3187" s="11"/>
    </row>
    <row r="3188" customFormat="false" ht="13.5" hidden="false" customHeight="false" outlineLevel="0" collapsed="false">
      <c r="Q3188" s="11"/>
    </row>
    <row r="3189" customFormat="false" ht="13.5" hidden="false" customHeight="false" outlineLevel="0" collapsed="false">
      <c r="Q3189" s="11"/>
    </row>
    <row r="3190" customFormat="false" ht="13.5" hidden="false" customHeight="false" outlineLevel="0" collapsed="false">
      <c r="Q3190" s="11"/>
    </row>
    <row r="3191" customFormat="false" ht="13.5" hidden="false" customHeight="false" outlineLevel="0" collapsed="false">
      <c r="Q3191" s="11"/>
    </row>
    <row r="3192" customFormat="false" ht="13.5" hidden="false" customHeight="false" outlineLevel="0" collapsed="false">
      <c r="Q3192" s="11"/>
    </row>
    <row r="3193" customFormat="false" ht="13.5" hidden="false" customHeight="false" outlineLevel="0" collapsed="false">
      <c r="Q3193" s="11"/>
    </row>
    <row r="3194" customFormat="false" ht="13.5" hidden="false" customHeight="false" outlineLevel="0" collapsed="false">
      <c r="Q3194" s="11"/>
    </row>
    <row r="3195" customFormat="false" ht="13.5" hidden="false" customHeight="false" outlineLevel="0" collapsed="false">
      <c r="Q3195" s="11"/>
    </row>
    <row r="3196" customFormat="false" ht="13.5" hidden="false" customHeight="false" outlineLevel="0" collapsed="false">
      <c r="Q3196" s="11"/>
    </row>
    <row r="3197" customFormat="false" ht="13.5" hidden="false" customHeight="false" outlineLevel="0" collapsed="false">
      <c r="Q3197" s="11"/>
    </row>
    <row r="3198" customFormat="false" ht="13.5" hidden="false" customHeight="false" outlineLevel="0" collapsed="false">
      <c r="Q3198" s="11"/>
    </row>
    <row r="3199" customFormat="false" ht="13.5" hidden="false" customHeight="false" outlineLevel="0" collapsed="false">
      <c r="Q3199" s="11"/>
    </row>
    <row r="3200" customFormat="false" ht="13.5" hidden="false" customHeight="false" outlineLevel="0" collapsed="false">
      <c r="Q3200" s="11"/>
    </row>
    <row r="3201" customFormat="false" ht="13.5" hidden="false" customHeight="false" outlineLevel="0" collapsed="false">
      <c r="Q3201" s="11"/>
    </row>
    <row r="3202" customFormat="false" ht="13.5" hidden="false" customHeight="false" outlineLevel="0" collapsed="false">
      <c r="Q3202" s="11"/>
    </row>
    <row r="3203" customFormat="false" ht="13.5" hidden="false" customHeight="false" outlineLevel="0" collapsed="false">
      <c r="Q3203" s="11"/>
    </row>
    <row r="3204" customFormat="false" ht="13.5" hidden="false" customHeight="false" outlineLevel="0" collapsed="false">
      <c r="Q3204" s="11"/>
    </row>
    <row r="3205" customFormat="false" ht="13.5" hidden="false" customHeight="false" outlineLevel="0" collapsed="false">
      <c r="Q3205" s="11"/>
    </row>
    <row r="3206" customFormat="false" ht="13.5" hidden="false" customHeight="false" outlineLevel="0" collapsed="false">
      <c r="Q3206" s="11"/>
    </row>
    <row r="3207" customFormat="false" ht="13.5" hidden="false" customHeight="false" outlineLevel="0" collapsed="false">
      <c r="Q3207" s="11"/>
    </row>
    <row r="3208" customFormat="false" ht="13.5" hidden="false" customHeight="false" outlineLevel="0" collapsed="false">
      <c r="Q3208" s="11"/>
    </row>
    <row r="3209" customFormat="false" ht="13.5" hidden="false" customHeight="false" outlineLevel="0" collapsed="false">
      <c r="Q3209" s="11"/>
    </row>
    <row r="3210" customFormat="false" ht="13.5" hidden="false" customHeight="false" outlineLevel="0" collapsed="false">
      <c r="Q3210" s="11"/>
    </row>
    <row r="3211" customFormat="false" ht="13.5" hidden="false" customHeight="false" outlineLevel="0" collapsed="false">
      <c r="Q3211" s="11"/>
    </row>
    <row r="3212" customFormat="false" ht="13.5" hidden="false" customHeight="false" outlineLevel="0" collapsed="false">
      <c r="Q3212" s="11"/>
    </row>
    <row r="3213" customFormat="false" ht="13.5" hidden="false" customHeight="false" outlineLevel="0" collapsed="false">
      <c r="Q3213" s="11"/>
    </row>
    <row r="3214" customFormat="false" ht="13.5" hidden="false" customHeight="false" outlineLevel="0" collapsed="false">
      <c r="Q3214" s="11"/>
    </row>
    <row r="3215" customFormat="false" ht="13.5" hidden="false" customHeight="false" outlineLevel="0" collapsed="false">
      <c r="Q3215" s="11"/>
    </row>
    <row r="3216" customFormat="false" ht="13.5" hidden="false" customHeight="false" outlineLevel="0" collapsed="false">
      <c r="Q3216" s="11"/>
    </row>
    <row r="3217" customFormat="false" ht="13.5" hidden="false" customHeight="false" outlineLevel="0" collapsed="false">
      <c r="Q3217" s="11"/>
    </row>
    <row r="3218" customFormat="false" ht="13.5" hidden="false" customHeight="false" outlineLevel="0" collapsed="false">
      <c r="Q3218" s="11"/>
    </row>
    <row r="3219" customFormat="false" ht="13.5" hidden="false" customHeight="false" outlineLevel="0" collapsed="false">
      <c r="Q3219" s="11"/>
    </row>
    <row r="3220" customFormat="false" ht="13.5" hidden="false" customHeight="false" outlineLevel="0" collapsed="false">
      <c r="Q3220" s="11"/>
    </row>
    <row r="3221" customFormat="false" ht="13.5" hidden="false" customHeight="false" outlineLevel="0" collapsed="false">
      <c r="Q3221" s="11"/>
    </row>
    <row r="3222" customFormat="false" ht="13.5" hidden="false" customHeight="false" outlineLevel="0" collapsed="false">
      <c r="Q3222" s="11"/>
    </row>
    <row r="3223" customFormat="false" ht="13.5" hidden="false" customHeight="false" outlineLevel="0" collapsed="false">
      <c r="Q3223" s="11"/>
    </row>
    <row r="3224" customFormat="false" ht="13.5" hidden="false" customHeight="false" outlineLevel="0" collapsed="false">
      <c r="Q3224" s="11"/>
    </row>
    <row r="3225" customFormat="false" ht="13.5" hidden="false" customHeight="false" outlineLevel="0" collapsed="false">
      <c r="Q3225" s="11"/>
    </row>
    <row r="3226" customFormat="false" ht="13.5" hidden="false" customHeight="false" outlineLevel="0" collapsed="false">
      <c r="Q3226" s="11"/>
    </row>
    <row r="3227" customFormat="false" ht="13.5" hidden="false" customHeight="false" outlineLevel="0" collapsed="false">
      <c r="Q3227" s="11"/>
    </row>
    <row r="3228" customFormat="false" ht="13.5" hidden="false" customHeight="false" outlineLevel="0" collapsed="false">
      <c r="Q3228" s="11"/>
    </row>
    <row r="3229" customFormat="false" ht="13.5" hidden="false" customHeight="false" outlineLevel="0" collapsed="false">
      <c r="Q3229" s="11"/>
    </row>
    <row r="3230" customFormat="false" ht="13.5" hidden="false" customHeight="false" outlineLevel="0" collapsed="false">
      <c r="Q3230" s="11"/>
    </row>
    <row r="3231" customFormat="false" ht="13.5" hidden="false" customHeight="false" outlineLevel="0" collapsed="false">
      <c r="Q3231" s="11"/>
    </row>
    <row r="3232" customFormat="false" ht="13.5" hidden="false" customHeight="false" outlineLevel="0" collapsed="false">
      <c r="Q3232" s="11"/>
    </row>
    <row r="3233" customFormat="false" ht="13.5" hidden="false" customHeight="false" outlineLevel="0" collapsed="false">
      <c r="Q3233" s="11"/>
    </row>
    <row r="3234" customFormat="false" ht="13.5" hidden="false" customHeight="false" outlineLevel="0" collapsed="false">
      <c r="Q3234" s="11"/>
    </row>
    <row r="3235" customFormat="false" ht="13.5" hidden="false" customHeight="false" outlineLevel="0" collapsed="false">
      <c r="Q3235" s="11"/>
    </row>
    <row r="3236" customFormat="false" ht="13.5" hidden="false" customHeight="false" outlineLevel="0" collapsed="false">
      <c r="Q3236" s="11"/>
    </row>
    <row r="3237" customFormat="false" ht="13.5" hidden="false" customHeight="false" outlineLevel="0" collapsed="false">
      <c r="Q3237" s="11"/>
    </row>
    <row r="3238" customFormat="false" ht="13.5" hidden="false" customHeight="false" outlineLevel="0" collapsed="false">
      <c r="Q3238" s="11"/>
    </row>
    <row r="3239" customFormat="false" ht="13.5" hidden="false" customHeight="false" outlineLevel="0" collapsed="false">
      <c r="Q3239" s="11"/>
    </row>
    <row r="3240" customFormat="false" ht="13.5" hidden="false" customHeight="false" outlineLevel="0" collapsed="false">
      <c r="Q3240" s="11"/>
    </row>
    <row r="3241" customFormat="false" ht="13.5" hidden="false" customHeight="false" outlineLevel="0" collapsed="false">
      <c r="Q3241" s="11"/>
    </row>
    <row r="3242" customFormat="false" ht="13.5" hidden="false" customHeight="false" outlineLevel="0" collapsed="false">
      <c r="Q3242" s="11"/>
    </row>
    <row r="3243" customFormat="false" ht="13.5" hidden="false" customHeight="false" outlineLevel="0" collapsed="false">
      <c r="Q3243" s="11"/>
    </row>
    <row r="3244" customFormat="false" ht="13.5" hidden="false" customHeight="false" outlineLevel="0" collapsed="false">
      <c r="Q3244" s="11"/>
    </row>
    <row r="3245" customFormat="false" ht="13.5" hidden="false" customHeight="false" outlineLevel="0" collapsed="false">
      <c r="Q3245" s="11"/>
    </row>
    <row r="3246" customFormat="false" ht="13.5" hidden="false" customHeight="false" outlineLevel="0" collapsed="false">
      <c r="Q3246" s="11"/>
    </row>
    <row r="3247" customFormat="false" ht="13.5" hidden="false" customHeight="false" outlineLevel="0" collapsed="false">
      <c r="Q3247" s="11"/>
    </row>
    <row r="3248" customFormat="false" ht="13.5" hidden="false" customHeight="false" outlineLevel="0" collapsed="false">
      <c r="Q3248" s="11"/>
    </row>
    <row r="3249" customFormat="false" ht="13.5" hidden="false" customHeight="false" outlineLevel="0" collapsed="false">
      <c r="Q3249" s="11"/>
    </row>
    <row r="3250" customFormat="false" ht="13.5" hidden="false" customHeight="false" outlineLevel="0" collapsed="false">
      <c r="Q3250" s="11"/>
    </row>
    <row r="3251" customFormat="false" ht="13.5" hidden="false" customHeight="false" outlineLevel="0" collapsed="false">
      <c r="Q3251" s="11"/>
    </row>
    <row r="3252" customFormat="false" ht="13.5" hidden="false" customHeight="false" outlineLevel="0" collapsed="false">
      <c r="Q3252" s="11"/>
    </row>
    <row r="3253" customFormat="false" ht="13.5" hidden="false" customHeight="false" outlineLevel="0" collapsed="false">
      <c r="Q3253" s="11"/>
    </row>
    <row r="3254" customFormat="false" ht="13.5" hidden="false" customHeight="false" outlineLevel="0" collapsed="false">
      <c r="Q3254" s="11"/>
    </row>
    <row r="3255" customFormat="false" ht="13.5" hidden="false" customHeight="false" outlineLevel="0" collapsed="false">
      <c r="Q3255" s="11"/>
    </row>
    <row r="3256" customFormat="false" ht="13.5" hidden="false" customHeight="false" outlineLevel="0" collapsed="false">
      <c r="Q3256" s="11"/>
    </row>
    <row r="3257" customFormat="false" ht="13.5" hidden="false" customHeight="false" outlineLevel="0" collapsed="false">
      <c r="Q3257" s="11"/>
    </row>
    <row r="3258" customFormat="false" ht="13.5" hidden="false" customHeight="false" outlineLevel="0" collapsed="false">
      <c r="Q3258" s="11"/>
    </row>
    <row r="3259" customFormat="false" ht="13.5" hidden="false" customHeight="false" outlineLevel="0" collapsed="false">
      <c r="Q3259" s="11"/>
    </row>
    <row r="3260" customFormat="false" ht="13.5" hidden="false" customHeight="false" outlineLevel="0" collapsed="false">
      <c r="Q3260" s="11"/>
    </row>
    <row r="3261" customFormat="false" ht="13.5" hidden="false" customHeight="false" outlineLevel="0" collapsed="false">
      <c r="Q3261" s="11"/>
    </row>
    <row r="3262" customFormat="false" ht="13.5" hidden="false" customHeight="false" outlineLevel="0" collapsed="false">
      <c r="Q3262" s="11"/>
    </row>
    <row r="3263" customFormat="false" ht="13.5" hidden="false" customHeight="false" outlineLevel="0" collapsed="false">
      <c r="Q3263" s="11"/>
    </row>
    <row r="3264" customFormat="false" ht="13.5" hidden="false" customHeight="false" outlineLevel="0" collapsed="false">
      <c r="Q3264" s="11"/>
    </row>
    <row r="3265" customFormat="false" ht="13.5" hidden="false" customHeight="false" outlineLevel="0" collapsed="false">
      <c r="Q3265" s="11"/>
    </row>
    <row r="3266" customFormat="false" ht="13.5" hidden="false" customHeight="false" outlineLevel="0" collapsed="false">
      <c r="Q3266" s="11"/>
    </row>
    <row r="3267" customFormat="false" ht="13.5" hidden="false" customHeight="false" outlineLevel="0" collapsed="false">
      <c r="Q3267" s="11"/>
    </row>
    <row r="3268" customFormat="false" ht="13.5" hidden="false" customHeight="false" outlineLevel="0" collapsed="false">
      <c r="Q3268" s="11"/>
    </row>
    <row r="3269" customFormat="false" ht="13.5" hidden="false" customHeight="false" outlineLevel="0" collapsed="false">
      <c r="Q3269" s="11"/>
    </row>
    <row r="3270" customFormat="false" ht="13.5" hidden="false" customHeight="false" outlineLevel="0" collapsed="false">
      <c r="Q3270" s="11"/>
    </row>
    <row r="3271" customFormat="false" ht="13.5" hidden="false" customHeight="false" outlineLevel="0" collapsed="false">
      <c r="Q3271" s="11"/>
    </row>
    <row r="3272" customFormat="false" ht="13.5" hidden="false" customHeight="false" outlineLevel="0" collapsed="false">
      <c r="Q3272" s="11"/>
    </row>
    <row r="3273" customFormat="false" ht="13.5" hidden="false" customHeight="false" outlineLevel="0" collapsed="false">
      <c r="Q3273" s="11"/>
    </row>
    <row r="3274" customFormat="false" ht="13.5" hidden="false" customHeight="false" outlineLevel="0" collapsed="false">
      <c r="Q3274" s="11"/>
    </row>
    <row r="3275" customFormat="false" ht="13.5" hidden="false" customHeight="false" outlineLevel="0" collapsed="false">
      <c r="Q3275" s="11"/>
    </row>
    <row r="3276" customFormat="false" ht="13.5" hidden="false" customHeight="false" outlineLevel="0" collapsed="false">
      <c r="Q3276" s="11"/>
    </row>
    <row r="3277" customFormat="false" ht="13.5" hidden="false" customHeight="false" outlineLevel="0" collapsed="false">
      <c r="Q3277" s="11"/>
    </row>
    <row r="3278" customFormat="false" ht="13.5" hidden="false" customHeight="false" outlineLevel="0" collapsed="false">
      <c r="Q3278" s="11"/>
    </row>
    <row r="3279" customFormat="false" ht="13.5" hidden="false" customHeight="false" outlineLevel="0" collapsed="false">
      <c r="Q3279" s="11"/>
    </row>
    <row r="3280" customFormat="false" ht="13.5" hidden="false" customHeight="false" outlineLevel="0" collapsed="false">
      <c r="Q3280" s="11"/>
    </row>
    <row r="3281" customFormat="false" ht="13.5" hidden="false" customHeight="false" outlineLevel="0" collapsed="false">
      <c r="Q3281" s="11"/>
    </row>
    <row r="3282" customFormat="false" ht="13.5" hidden="false" customHeight="false" outlineLevel="0" collapsed="false">
      <c r="Q3282" s="11"/>
    </row>
    <row r="3283" customFormat="false" ht="13.5" hidden="false" customHeight="false" outlineLevel="0" collapsed="false">
      <c r="Q3283" s="11"/>
    </row>
    <row r="3284" customFormat="false" ht="13.5" hidden="false" customHeight="false" outlineLevel="0" collapsed="false">
      <c r="Q3284" s="11"/>
    </row>
    <row r="3285" customFormat="false" ht="13.5" hidden="false" customHeight="false" outlineLevel="0" collapsed="false">
      <c r="Q3285" s="11"/>
    </row>
    <row r="3286" customFormat="false" ht="13.5" hidden="false" customHeight="false" outlineLevel="0" collapsed="false">
      <c r="Q3286" s="11"/>
    </row>
    <row r="3287" customFormat="false" ht="13.5" hidden="false" customHeight="false" outlineLevel="0" collapsed="false">
      <c r="Q3287" s="11"/>
    </row>
    <row r="3288" customFormat="false" ht="13.5" hidden="false" customHeight="false" outlineLevel="0" collapsed="false">
      <c r="Q3288" s="11"/>
    </row>
    <row r="3289" customFormat="false" ht="13.5" hidden="false" customHeight="false" outlineLevel="0" collapsed="false">
      <c r="Q3289" s="11"/>
    </row>
    <row r="3290" customFormat="false" ht="13.5" hidden="false" customHeight="false" outlineLevel="0" collapsed="false">
      <c r="Q3290" s="11"/>
    </row>
    <row r="3291" customFormat="false" ht="13.5" hidden="false" customHeight="false" outlineLevel="0" collapsed="false">
      <c r="Q3291" s="11"/>
    </row>
    <row r="3292" customFormat="false" ht="13.5" hidden="false" customHeight="false" outlineLevel="0" collapsed="false">
      <c r="Q3292" s="11"/>
    </row>
    <row r="3293" customFormat="false" ht="13.5" hidden="false" customHeight="false" outlineLevel="0" collapsed="false">
      <c r="Q3293" s="11"/>
    </row>
    <row r="3294" customFormat="false" ht="13.5" hidden="false" customHeight="false" outlineLevel="0" collapsed="false">
      <c r="Q3294" s="11"/>
    </row>
    <row r="3295" customFormat="false" ht="13.5" hidden="false" customHeight="false" outlineLevel="0" collapsed="false">
      <c r="Q3295" s="11"/>
    </row>
    <row r="3296" customFormat="false" ht="13.5" hidden="false" customHeight="false" outlineLevel="0" collapsed="false">
      <c r="Q3296" s="11"/>
    </row>
    <row r="3297" customFormat="false" ht="13.5" hidden="false" customHeight="false" outlineLevel="0" collapsed="false">
      <c r="Q3297" s="11"/>
    </row>
    <row r="3298" customFormat="false" ht="13.5" hidden="false" customHeight="false" outlineLevel="0" collapsed="false">
      <c r="Q3298" s="11"/>
    </row>
    <row r="3299" customFormat="false" ht="13.5" hidden="false" customHeight="false" outlineLevel="0" collapsed="false">
      <c r="Q3299" s="11"/>
    </row>
    <row r="3300" customFormat="false" ht="13.5" hidden="false" customHeight="false" outlineLevel="0" collapsed="false">
      <c r="Q3300" s="11"/>
    </row>
    <row r="3301" customFormat="false" ht="13.5" hidden="false" customHeight="false" outlineLevel="0" collapsed="false">
      <c r="Q3301" s="11"/>
    </row>
    <row r="3302" customFormat="false" ht="13.5" hidden="false" customHeight="false" outlineLevel="0" collapsed="false">
      <c r="Q3302" s="11"/>
    </row>
    <row r="3303" customFormat="false" ht="13.5" hidden="false" customHeight="false" outlineLevel="0" collapsed="false">
      <c r="Q3303" s="11"/>
    </row>
    <row r="3304" customFormat="false" ht="13.5" hidden="false" customHeight="false" outlineLevel="0" collapsed="false">
      <c r="Q3304" s="11"/>
    </row>
    <row r="3305" customFormat="false" ht="13.5" hidden="false" customHeight="false" outlineLevel="0" collapsed="false">
      <c r="Q3305" s="11"/>
    </row>
    <row r="3306" customFormat="false" ht="13.5" hidden="false" customHeight="false" outlineLevel="0" collapsed="false">
      <c r="Q3306" s="11"/>
    </row>
    <row r="3307" customFormat="false" ht="13.5" hidden="false" customHeight="false" outlineLevel="0" collapsed="false">
      <c r="Q3307" s="11"/>
    </row>
    <row r="3308" customFormat="false" ht="13.5" hidden="false" customHeight="false" outlineLevel="0" collapsed="false">
      <c r="Q3308" s="11"/>
    </row>
    <row r="3309" customFormat="false" ht="13.5" hidden="false" customHeight="false" outlineLevel="0" collapsed="false">
      <c r="Q3309" s="11"/>
    </row>
    <row r="3310" customFormat="false" ht="13.5" hidden="false" customHeight="false" outlineLevel="0" collapsed="false">
      <c r="Q3310" s="11"/>
    </row>
    <row r="3311" customFormat="false" ht="13.5" hidden="false" customHeight="false" outlineLevel="0" collapsed="false">
      <c r="Q3311" s="11"/>
    </row>
    <row r="3312" customFormat="false" ht="13.5" hidden="false" customHeight="false" outlineLevel="0" collapsed="false">
      <c r="Q3312" s="11"/>
    </row>
    <row r="3313" customFormat="false" ht="13.5" hidden="false" customHeight="false" outlineLevel="0" collapsed="false">
      <c r="Q3313" s="11"/>
    </row>
    <row r="3314" customFormat="false" ht="13.5" hidden="false" customHeight="false" outlineLevel="0" collapsed="false">
      <c r="Q3314" s="11"/>
    </row>
    <row r="3315" customFormat="false" ht="13.5" hidden="false" customHeight="false" outlineLevel="0" collapsed="false">
      <c r="Q3315" s="11"/>
    </row>
    <row r="3316" customFormat="false" ht="13.5" hidden="false" customHeight="false" outlineLevel="0" collapsed="false">
      <c r="Q3316" s="11"/>
    </row>
    <row r="3317" customFormat="false" ht="13.5" hidden="false" customHeight="false" outlineLevel="0" collapsed="false">
      <c r="Q3317" s="11"/>
    </row>
    <row r="3318" customFormat="false" ht="13.5" hidden="false" customHeight="false" outlineLevel="0" collapsed="false">
      <c r="Q3318" s="11"/>
    </row>
    <row r="3319" customFormat="false" ht="13.5" hidden="false" customHeight="false" outlineLevel="0" collapsed="false">
      <c r="Q3319" s="11"/>
    </row>
    <row r="3320" customFormat="false" ht="13.5" hidden="false" customHeight="false" outlineLevel="0" collapsed="false">
      <c r="Q3320" s="11"/>
    </row>
    <row r="3321" customFormat="false" ht="13.5" hidden="false" customHeight="false" outlineLevel="0" collapsed="false">
      <c r="Q3321" s="11"/>
    </row>
    <row r="3322" customFormat="false" ht="13.5" hidden="false" customHeight="false" outlineLevel="0" collapsed="false">
      <c r="Q3322" s="11"/>
    </row>
    <row r="3323" customFormat="false" ht="13.5" hidden="false" customHeight="false" outlineLevel="0" collapsed="false">
      <c r="Q3323" s="11"/>
    </row>
    <row r="3324" customFormat="false" ht="13.5" hidden="false" customHeight="false" outlineLevel="0" collapsed="false">
      <c r="Q3324" s="11"/>
    </row>
    <row r="3325" customFormat="false" ht="13.5" hidden="false" customHeight="false" outlineLevel="0" collapsed="false">
      <c r="Q3325" s="11"/>
    </row>
    <row r="3326" customFormat="false" ht="13.5" hidden="false" customHeight="false" outlineLevel="0" collapsed="false">
      <c r="Q3326" s="11"/>
    </row>
    <row r="3327" customFormat="false" ht="13.5" hidden="false" customHeight="false" outlineLevel="0" collapsed="false">
      <c r="Q3327" s="11"/>
    </row>
    <row r="3328" customFormat="false" ht="13.5" hidden="false" customHeight="false" outlineLevel="0" collapsed="false">
      <c r="Q3328" s="11"/>
    </row>
    <row r="3329" customFormat="false" ht="13.5" hidden="false" customHeight="false" outlineLevel="0" collapsed="false">
      <c r="Q3329" s="11"/>
    </row>
    <row r="3330" customFormat="false" ht="13.5" hidden="false" customHeight="false" outlineLevel="0" collapsed="false">
      <c r="Q3330" s="11"/>
    </row>
    <row r="3331" customFormat="false" ht="13.5" hidden="false" customHeight="false" outlineLevel="0" collapsed="false">
      <c r="Q3331" s="11"/>
    </row>
    <row r="3332" customFormat="false" ht="13.5" hidden="false" customHeight="false" outlineLevel="0" collapsed="false">
      <c r="Q3332" s="11"/>
    </row>
    <row r="3333" customFormat="false" ht="13.5" hidden="false" customHeight="false" outlineLevel="0" collapsed="false">
      <c r="Q3333" s="11"/>
    </row>
    <row r="3334" customFormat="false" ht="13.5" hidden="false" customHeight="false" outlineLevel="0" collapsed="false">
      <c r="Q3334" s="11"/>
    </row>
    <row r="3335" customFormat="false" ht="13.5" hidden="false" customHeight="false" outlineLevel="0" collapsed="false">
      <c r="Q3335" s="11"/>
    </row>
    <row r="3336" customFormat="false" ht="13.5" hidden="false" customHeight="false" outlineLevel="0" collapsed="false">
      <c r="Q3336" s="11"/>
    </row>
    <row r="3337" customFormat="false" ht="13.5" hidden="false" customHeight="false" outlineLevel="0" collapsed="false">
      <c r="Q3337" s="11"/>
    </row>
    <row r="3338" customFormat="false" ht="13.5" hidden="false" customHeight="false" outlineLevel="0" collapsed="false">
      <c r="Q3338" s="11"/>
    </row>
    <row r="3339" customFormat="false" ht="13.5" hidden="false" customHeight="false" outlineLevel="0" collapsed="false">
      <c r="Q3339" s="11"/>
    </row>
    <row r="3340" customFormat="false" ht="13.5" hidden="false" customHeight="false" outlineLevel="0" collapsed="false">
      <c r="Q3340" s="11"/>
    </row>
    <row r="3341" customFormat="false" ht="13.5" hidden="false" customHeight="false" outlineLevel="0" collapsed="false">
      <c r="Q3341" s="11"/>
    </row>
    <row r="3342" customFormat="false" ht="13.5" hidden="false" customHeight="false" outlineLevel="0" collapsed="false">
      <c r="Q3342" s="11"/>
    </row>
    <row r="3343" customFormat="false" ht="13.5" hidden="false" customHeight="false" outlineLevel="0" collapsed="false">
      <c r="Q3343" s="11"/>
    </row>
    <row r="3344" customFormat="false" ht="13.5" hidden="false" customHeight="false" outlineLevel="0" collapsed="false">
      <c r="Q3344" s="11"/>
    </row>
    <row r="3345" customFormat="false" ht="13.5" hidden="false" customHeight="false" outlineLevel="0" collapsed="false">
      <c r="Q3345" s="11"/>
    </row>
    <row r="3346" customFormat="false" ht="13.5" hidden="false" customHeight="false" outlineLevel="0" collapsed="false">
      <c r="Q3346" s="11"/>
    </row>
    <row r="3347" customFormat="false" ht="13.5" hidden="false" customHeight="false" outlineLevel="0" collapsed="false">
      <c r="Q3347" s="11"/>
    </row>
    <row r="3348" customFormat="false" ht="13.5" hidden="false" customHeight="false" outlineLevel="0" collapsed="false">
      <c r="Q3348" s="11"/>
    </row>
    <row r="3349" customFormat="false" ht="13.5" hidden="false" customHeight="false" outlineLevel="0" collapsed="false">
      <c r="Q3349" s="11"/>
    </row>
    <row r="3350" customFormat="false" ht="13.5" hidden="false" customHeight="false" outlineLevel="0" collapsed="false">
      <c r="Q3350" s="11"/>
    </row>
    <row r="3351" customFormat="false" ht="13.5" hidden="false" customHeight="false" outlineLevel="0" collapsed="false">
      <c r="Q3351" s="11"/>
    </row>
    <row r="3352" customFormat="false" ht="13.5" hidden="false" customHeight="false" outlineLevel="0" collapsed="false">
      <c r="Q3352" s="11"/>
    </row>
    <row r="3353" customFormat="false" ht="13.5" hidden="false" customHeight="false" outlineLevel="0" collapsed="false">
      <c r="Q3353" s="11"/>
    </row>
    <row r="3354" customFormat="false" ht="13.5" hidden="false" customHeight="false" outlineLevel="0" collapsed="false">
      <c r="Q3354" s="11"/>
    </row>
    <row r="3355" customFormat="false" ht="13.5" hidden="false" customHeight="false" outlineLevel="0" collapsed="false">
      <c r="Q3355" s="11"/>
    </row>
    <row r="3356" customFormat="false" ht="13.5" hidden="false" customHeight="false" outlineLevel="0" collapsed="false">
      <c r="Q3356" s="11"/>
    </row>
    <row r="3357" customFormat="false" ht="13.5" hidden="false" customHeight="false" outlineLevel="0" collapsed="false">
      <c r="Q3357" s="11"/>
    </row>
    <row r="3358" customFormat="false" ht="13.5" hidden="false" customHeight="false" outlineLevel="0" collapsed="false">
      <c r="Q3358" s="11"/>
    </row>
    <row r="3359" customFormat="false" ht="13.5" hidden="false" customHeight="false" outlineLevel="0" collapsed="false">
      <c r="Q3359" s="11"/>
    </row>
    <row r="3360" customFormat="false" ht="13.5" hidden="false" customHeight="false" outlineLevel="0" collapsed="false">
      <c r="Q3360" s="11"/>
    </row>
    <row r="3361" customFormat="false" ht="13.5" hidden="false" customHeight="false" outlineLevel="0" collapsed="false">
      <c r="Q3361" s="11"/>
    </row>
    <row r="3362" customFormat="false" ht="13.5" hidden="false" customHeight="false" outlineLevel="0" collapsed="false">
      <c r="Q3362" s="11"/>
    </row>
    <row r="3363" customFormat="false" ht="13.5" hidden="false" customHeight="false" outlineLevel="0" collapsed="false">
      <c r="Q3363" s="11"/>
    </row>
    <row r="3364" customFormat="false" ht="13.5" hidden="false" customHeight="false" outlineLevel="0" collapsed="false">
      <c r="Q3364" s="11"/>
    </row>
    <row r="3365" customFormat="false" ht="13.5" hidden="false" customHeight="false" outlineLevel="0" collapsed="false">
      <c r="Q3365" s="11"/>
    </row>
    <row r="3366" customFormat="false" ht="13.5" hidden="false" customHeight="false" outlineLevel="0" collapsed="false">
      <c r="Q3366" s="11"/>
    </row>
    <row r="3367" customFormat="false" ht="13.5" hidden="false" customHeight="false" outlineLevel="0" collapsed="false">
      <c r="Q3367" s="11"/>
    </row>
    <row r="3368" customFormat="false" ht="13.5" hidden="false" customHeight="false" outlineLevel="0" collapsed="false">
      <c r="Q3368" s="11"/>
    </row>
    <row r="3369" customFormat="false" ht="13.5" hidden="false" customHeight="false" outlineLevel="0" collapsed="false">
      <c r="Q3369" s="11"/>
    </row>
    <row r="3370" customFormat="false" ht="13.5" hidden="false" customHeight="false" outlineLevel="0" collapsed="false">
      <c r="Q3370" s="11"/>
    </row>
    <row r="3371" customFormat="false" ht="13.5" hidden="false" customHeight="false" outlineLevel="0" collapsed="false">
      <c r="Q3371" s="11"/>
    </row>
    <row r="3372" customFormat="false" ht="13.5" hidden="false" customHeight="false" outlineLevel="0" collapsed="false">
      <c r="Q3372" s="11"/>
    </row>
    <row r="3373" customFormat="false" ht="13.5" hidden="false" customHeight="false" outlineLevel="0" collapsed="false">
      <c r="Q3373" s="11"/>
    </row>
    <row r="3374" customFormat="false" ht="13.5" hidden="false" customHeight="false" outlineLevel="0" collapsed="false">
      <c r="Q3374" s="11"/>
    </row>
    <row r="3375" customFormat="false" ht="13.5" hidden="false" customHeight="false" outlineLevel="0" collapsed="false">
      <c r="Q3375" s="11"/>
    </row>
    <row r="3376" customFormat="false" ht="13.5" hidden="false" customHeight="false" outlineLevel="0" collapsed="false">
      <c r="Q3376" s="11"/>
    </row>
    <row r="3377" customFormat="false" ht="13.5" hidden="false" customHeight="false" outlineLevel="0" collapsed="false">
      <c r="Q3377" s="11"/>
    </row>
    <row r="3378" customFormat="false" ht="13.5" hidden="false" customHeight="false" outlineLevel="0" collapsed="false">
      <c r="Q3378" s="11"/>
    </row>
    <row r="3379" customFormat="false" ht="13.5" hidden="false" customHeight="false" outlineLevel="0" collapsed="false">
      <c r="Q3379" s="11"/>
    </row>
    <row r="3380" customFormat="false" ht="13.5" hidden="false" customHeight="false" outlineLevel="0" collapsed="false">
      <c r="Q3380" s="11"/>
    </row>
    <row r="3381" customFormat="false" ht="13.5" hidden="false" customHeight="false" outlineLevel="0" collapsed="false">
      <c r="Q3381" s="11"/>
    </row>
    <row r="3382" customFormat="false" ht="13.5" hidden="false" customHeight="false" outlineLevel="0" collapsed="false">
      <c r="Q3382" s="11"/>
    </row>
    <row r="3383" customFormat="false" ht="13.5" hidden="false" customHeight="false" outlineLevel="0" collapsed="false">
      <c r="Q3383" s="11"/>
    </row>
    <row r="3384" customFormat="false" ht="13.5" hidden="false" customHeight="false" outlineLevel="0" collapsed="false">
      <c r="Q3384" s="11"/>
    </row>
    <row r="3385" customFormat="false" ht="13.5" hidden="false" customHeight="false" outlineLevel="0" collapsed="false">
      <c r="Q3385" s="11"/>
    </row>
    <row r="3386" customFormat="false" ht="13.5" hidden="false" customHeight="false" outlineLevel="0" collapsed="false">
      <c r="Q3386" s="11"/>
    </row>
    <row r="3387" customFormat="false" ht="13.5" hidden="false" customHeight="false" outlineLevel="0" collapsed="false">
      <c r="Q3387" s="11"/>
    </row>
    <row r="3388" customFormat="false" ht="13.5" hidden="false" customHeight="false" outlineLevel="0" collapsed="false">
      <c r="Q3388" s="11"/>
    </row>
    <row r="3389" customFormat="false" ht="13.5" hidden="false" customHeight="false" outlineLevel="0" collapsed="false">
      <c r="Q3389" s="11"/>
    </row>
    <row r="3390" customFormat="false" ht="13.5" hidden="false" customHeight="false" outlineLevel="0" collapsed="false">
      <c r="Q3390" s="11"/>
    </row>
    <row r="3391" customFormat="false" ht="13.5" hidden="false" customHeight="false" outlineLevel="0" collapsed="false">
      <c r="Q3391" s="11"/>
    </row>
    <row r="3392" customFormat="false" ht="13.5" hidden="false" customHeight="false" outlineLevel="0" collapsed="false">
      <c r="Q3392" s="11"/>
    </row>
    <row r="3393" customFormat="false" ht="13.5" hidden="false" customHeight="false" outlineLevel="0" collapsed="false">
      <c r="Q3393" s="11"/>
    </row>
    <row r="3394" customFormat="false" ht="13.5" hidden="false" customHeight="false" outlineLevel="0" collapsed="false">
      <c r="Q3394" s="11"/>
    </row>
    <row r="3395" customFormat="false" ht="13.5" hidden="false" customHeight="false" outlineLevel="0" collapsed="false">
      <c r="Q3395" s="11"/>
    </row>
    <row r="3396" customFormat="false" ht="13.5" hidden="false" customHeight="false" outlineLevel="0" collapsed="false">
      <c r="Q3396" s="11"/>
    </row>
    <row r="3397" customFormat="false" ht="13.5" hidden="false" customHeight="false" outlineLevel="0" collapsed="false">
      <c r="Q3397" s="11"/>
    </row>
    <row r="3398" customFormat="false" ht="13.5" hidden="false" customHeight="false" outlineLevel="0" collapsed="false">
      <c r="Q3398" s="11"/>
    </row>
    <row r="3399" customFormat="false" ht="13.5" hidden="false" customHeight="false" outlineLevel="0" collapsed="false">
      <c r="Q3399" s="11"/>
    </row>
    <row r="3400" customFormat="false" ht="13.5" hidden="false" customHeight="false" outlineLevel="0" collapsed="false">
      <c r="Q3400" s="11"/>
    </row>
    <row r="3401" customFormat="false" ht="13.5" hidden="false" customHeight="false" outlineLevel="0" collapsed="false">
      <c r="Q3401" s="11"/>
    </row>
    <row r="3402" customFormat="false" ht="13.5" hidden="false" customHeight="false" outlineLevel="0" collapsed="false">
      <c r="Q3402" s="11"/>
    </row>
    <row r="3403" customFormat="false" ht="13.5" hidden="false" customHeight="false" outlineLevel="0" collapsed="false">
      <c r="Q3403" s="11"/>
    </row>
    <row r="3404" customFormat="false" ht="13.5" hidden="false" customHeight="false" outlineLevel="0" collapsed="false">
      <c r="Q3404" s="11"/>
    </row>
    <row r="3405" customFormat="false" ht="13.5" hidden="false" customHeight="false" outlineLevel="0" collapsed="false">
      <c r="Q3405" s="11"/>
    </row>
    <row r="3406" customFormat="false" ht="13.5" hidden="false" customHeight="false" outlineLevel="0" collapsed="false">
      <c r="Q3406" s="11"/>
    </row>
    <row r="3407" customFormat="false" ht="13.5" hidden="false" customHeight="false" outlineLevel="0" collapsed="false">
      <c r="Q3407" s="11"/>
    </row>
    <row r="3408" customFormat="false" ht="13.5" hidden="false" customHeight="false" outlineLevel="0" collapsed="false">
      <c r="Q3408" s="11"/>
    </row>
    <row r="3409" customFormat="false" ht="13.5" hidden="false" customHeight="false" outlineLevel="0" collapsed="false">
      <c r="Q3409" s="11"/>
    </row>
    <row r="3410" customFormat="false" ht="13.5" hidden="false" customHeight="false" outlineLevel="0" collapsed="false">
      <c r="Q3410" s="11"/>
    </row>
    <row r="3411" customFormat="false" ht="13.5" hidden="false" customHeight="false" outlineLevel="0" collapsed="false">
      <c r="Q3411" s="11"/>
    </row>
    <row r="3412" customFormat="false" ht="13.5" hidden="false" customHeight="false" outlineLevel="0" collapsed="false">
      <c r="Q3412" s="11"/>
    </row>
    <row r="3413" customFormat="false" ht="13.5" hidden="false" customHeight="false" outlineLevel="0" collapsed="false">
      <c r="Q3413" s="11"/>
    </row>
    <row r="3414" customFormat="false" ht="13.5" hidden="false" customHeight="false" outlineLevel="0" collapsed="false">
      <c r="Q3414" s="11"/>
    </row>
    <row r="3415" customFormat="false" ht="13.5" hidden="false" customHeight="false" outlineLevel="0" collapsed="false">
      <c r="Q3415" s="11"/>
    </row>
    <row r="3416" customFormat="false" ht="13.5" hidden="false" customHeight="false" outlineLevel="0" collapsed="false">
      <c r="Q3416" s="11"/>
    </row>
    <row r="3417" customFormat="false" ht="13.5" hidden="false" customHeight="false" outlineLevel="0" collapsed="false">
      <c r="Q3417" s="11"/>
    </row>
    <row r="3418" customFormat="false" ht="13.5" hidden="false" customHeight="false" outlineLevel="0" collapsed="false">
      <c r="Q3418" s="11"/>
    </row>
    <row r="3419" customFormat="false" ht="13.5" hidden="false" customHeight="false" outlineLevel="0" collapsed="false">
      <c r="Q3419" s="11"/>
    </row>
    <row r="3420" customFormat="false" ht="13.5" hidden="false" customHeight="false" outlineLevel="0" collapsed="false">
      <c r="Q3420" s="11"/>
    </row>
    <row r="3421" customFormat="false" ht="13.5" hidden="false" customHeight="false" outlineLevel="0" collapsed="false">
      <c r="Q3421" s="11"/>
    </row>
    <row r="3422" customFormat="false" ht="13.5" hidden="false" customHeight="false" outlineLevel="0" collapsed="false">
      <c r="Q3422" s="11"/>
    </row>
    <row r="3423" customFormat="false" ht="13.5" hidden="false" customHeight="false" outlineLevel="0" collapsed="false">
      <c r="Q3423" s="11"/>
    </row>
    <row r="3424" customFormat="false" ht="13.5" hidden="false" customHeight="false" outlineLevel="0" collapsed="false">
      <c r="Q3424" s="11"/>
    </row>
    <row r="3425" customFormat="false" ht="13.5" hidden="false" customHeight="false" outlineLevel="0" collapsed="false">
      <c r="Q3425" s="11"/>
    </row>
    <row r="3426" customFormat="false" ht="13.5" hidden="false" customHeight="false" outlineLevel="0" collapsed="false">
      <c r="Q3426" s="11"/>
    </row>
    <row r="3427" customFormat="false" ht="13.5" hidden="false" customHeight="false" outlineLevel="0" collapsed="false">
      <c r="Q3427" s="11"/>
    </row>
    <row r="3428" customFormat="false" ht="13.5" hidden="false" customHeight="false" outlineLevel="0" collapsed="false">
      <c r="Q3428" s="11"/>
    </row>
    <row r="3429" customFormat="false" ht="13.5" hidden="false" customHeight="false" outlineLevel="0" collapsed="false">
      <c r="Q3429" s="11"/>
    </row>
    <row r="3430" customFormat="false" ht="13.5" hidden="false" customHeight="false" outlineLevel="0" collapsed="false">
      <c r="Q3430" s="11"/>
    </row>
    <row r="3431" customFormat="false" ht="13.5" hidden="false" customHeight="false" outlineLevel="0" collapsed="false">
      <c r="Q3431" s="11"/>
    </row>
    <row r="3432" customFormat="false" ht="13.5" hidden="false" customHeight="false" outlineLevel="0" collapsed="false">
      <c r="Q3432" s="11"/>
    </row>
    <row r="3433" customFormat="false" ht="13.5" hidden="false" customHeight="false" outlineLevel="0" collapsed="false">
      <c r="Q3433" s="11"/>
    </row>
    <row r="3434" customFormat="false" ht="13.5" hidden="false" customHeight="false" outlineLevel="0" collapsed="false">
      <c r="Q3434" s="11"/>
    </row>
    <row r="3435" customFormat="false" ht="13.5" hidden="false" customHeight="false" outlineLevel="0" collapsed="false">
      <c r="Q3435" s="11"/>
    </row>
    <row r="3436" customFormat="false" ht="13.5" hidden="false" customHeight="false" outlineLevel="0" collapsed="false">
      <c r="Q3436" s="11"/>
    </row>
    <row r="3437" customFormat="false" ht="13.5" hidden="false" customHeight="false" outlineLevel="0" collapsed="false">
      <c r="Q3437" s="11"/>
    </row>
    <row r="3438" customFormat="false" ht="13.5" hidden="false" customHeight="false" outlineLevel="0" collapsed="false">
      <c r="Q3438" s="11"/>
    </row>
    <row r="3439" customFormat="false" ht="13.5" hidden="false" customHeight="false" outlineLevel="0" collapsed="false">
      <c r="Q3439" s="11"/>
    </row>
    <row r="3440" customFormat="false" ht="13.5" hidden="false" customHeight="false" outlineLevel="0" collapsed="false">
      <c r="Q3440" s="11"/>
    </row>
    <row r="3441" customFormat="false" ht="13.5" hidden="false" customHeight="false" outlineLevel="0" collapsed="false">
      <c r="Q3441" s="11"/>
    </row>
    <row r="3442" customFormat="false" ht="13.5" hidden="false" customHeight="false" outlineLevel="0" collapsed="false">
      <c r="Q3442" s="11"/>
    </row>
    <row r="3443" customFormat="false" ht="13.5" hidden="false" customHeight="false" outlineLevel="0" collapsed="false">
      <c r="Q3443" s="11"/>
    </row>
    <row r="3444" customFormat="false" ht="13.5" hidden="false" customHeight="false" outlineLevel="0" collapsed="false">
      <c r="Q3444" s="11"/>
    </row>
    <row r="3445" customFormat="false" ht="13.5" hidden="false" customHeight="false" outlineLevel="0" collapsed="false">
      <c r="Q3445" s="11"/>
    </row>
    <row r="3446" customFormat="false" ht="13.5" hidden="false" customHeight="false" outlineLevel="0" collapsed="false">
      <c r="Q3446" s="11"/>
    </row>
    <row r="3447" customFormat="false" ht="13.5" hidden="false" customHeight="false" outlineLevel="0" collapsed="false">
      <c r="Q3447" s="11"/>
    </row>
    <row r="3448" customFormat="false" ht="13.5" hidden="false" customHeight="false" outlineLevel="0" collapsed="false">
      <c r="Q3448" s="11"/>
    </row>
    <row r="3449" customFormat="false" ht="13.5" hidden="false" customHeight="false" outlineLevel="0" collapsed="false">
      <c r="Q3449" s="11"/>
    </row>
    <row r="3450" customFormat="false" ht="13.5" hidden="false" customHeight="false" outlineLevel="0" collapsed="false">
      <c r="Q3450" s="11"/>
    </row>
    <row r="3451" customFormat="false" ht="13.5" hidden="false" customHeight="false" outlineLevel="0" collapsed="false">
      <c r="Q3451" s="11"/>
    </row>
    <row r="3452" customFormat="false" ht="13.5" hidden="false" customHeight="false" outlineLevel="0" collapsed="false">
      <c r="Q3452" s="11"/>
    </row>
    <row r="3453" customFormat="false" ht="13.5" hidden="false" customHeight="false" outlineLevel="0" collapsed="false">
      <c r="Q3453" s="11"/>
    </row>
    <row r="3454" customFormat="false" ht="13.5" hidden="false" customHeight="false" outlineLevel="0" collapsed="false">
      <c r="Q3454" s="11"/>
    </row>
    <row r="3455" customFormat="false" ht="13.5" hidden="false" customHeight="false" outlineLevel="0" collapsed="false">
      <c r="Q3455" s="11"/>
    </row>
    <row r="3456" customFormat="false" ht="13.5" hidden="false" customHeight="false" outlineLevel="0" collapsed="false">
      <c r="Q3456" s="11"/>
    </row>
    <row r="3457" customFormat="false" ht="13.5" hidden="false" customHeight="false" outlineLevel="0" collapsed="false">
      <c r="Q3457" s="11"/>
    </row>
    <row r="3458" customFormat="false" ht="13.5" hidden="false" customHeight="false" outlineLevel="0" collapsed="false">
      <c r="Q3458" s="11"/>
    </row>
    <row r="3459" customFormat="false" ht="13.5" hidden="false" customHeight="false" outlineLevel="0" collapsed="false">
      <c r="Q3459" s="11"/>
    </row>
    <row r="3460" customFormat="false" ht="13.5" hidden="false" customHeight="false" outlineLevel="0" collapsed="false">
      <c r="Q3460" s="11"/>
    </row>
    <row r="3461" customFormat="false" ht="13.5" hidden="false" customHeight="false" outlineLevel="0" collapsed="false">
      <c r="Q3461" s="11"/>
    </row>
    <row r="3462" customFormat="false" ht="13.5" hidden="false" customHeight="false" outlineLevel="0" collapsed="false">
      <c r="Q3462" s="11"/>
    </row>
    <row r="3463" customFormat="false" ht="13.5" hidden="false" customHeight="false" outlineLevel="0" collapsed="false">
      <c r="Q3463" s="11"/>
    </row>
    <row r="3464" customFormat="false" ht="13.5" hidden="false" customHeight="false" outlineLevel="0" collapsed="false">
      <c r="Q3464" s="11"/>
    </row>
    <row r="3465" customFormat="false" ht="13.5" hidden="false" customHeight="false" outlineLevel="0" collapsed="false">
      <c r="Q3465" s="11"/>
    </row>
    <row r="3466" customFormat="false" ht="13.5" hidden="false" customHeight="false" outlineLevel="0" collapsed="false">
      <c r="Q3466" s="11"/>
    </row>
    <row r="3467" customFormat="false" ht="13.5" hidden="false" customHeight="false" outlineLevel="0" collapsed="false">
      <c r="Q3467" s="11"/>
    </row>
    <row r="3468" customFormat="false" ht="13.5" hidden="false" customHeight="false" outlineLevel="0" collapsed="false">
      <c r="Q3468" s="11"/>
    </row>
    <row r="3469" customFormat="false" ht="13.5" hidden="false" customHeight="false" outlineLevel="0" collapsed="false">
      <c r="Q3469" s="11"/>
    </row>
    <row r="3470" customFormat="false" ht="13.5" hidden="false" customHeight="false" outlineLevel="0" collapsed="false">
      <c r="Q3470" s="11"/>
    </row>
    <row r="3471" customFormat="false" ht="13.5" hidden="false" customHeight="false" outlineLevel="0" collapsed="false">
      <c r="Q3471" s="11"/>
    </row>
    <row r="3472" customFormat="false" ht="13.5" hidden="false" customHeight="false" outlineLevel="0" collapsed="false">
      <c r="Q3472" s="11"/>
    </row>
    <row r="3473" customFormat="false" ht="13.5" hidden="false" customHeight="false" outlineLevel="0" collapsed="false">
      <c r="Q3473" s="11"/>
    </row>
    <row r="3474" customFormat="false" ht="13.5" hidden="false" customHeight="false" outlineLevel="0" collapsed="false">
      <c r="Q3474" s="11"/>
    </row>
    <row r="3475" customFormat="false" ht="13.5" hidden="false" customHeight="false" outlineLevel="0" collapsed="false">
      <c r="Q3475" s="11"/>
    </row>
    <row r="3476" customFormat="false" ht="13.5" hidden="false" customHeight="false" outlineLevel="0" collapsed="false">
      <c r="Q3476" s="11"/>
    </row>
    <row r="3477" customFormat="false" ht="13.5" hidden="false" customHeight="false" outlineLevel="0" collapsed="false">
      <c r="Q3477" s="11"/>
    </row>
    <row r="3478" customFormat="false" ht="13.5" hidden="false" customHeight="false" outlineLevel="0" collapsed="false">
      <c r="Q3478" s="11"/>
    </row>
    <row r="3479" customFormat="false" ht="13.5" hidden="false" customHeight="false" outlineLevel="0" collapsed="false">
      <c r="Q3479" s="11"/>
    </row>
    <row r="3480" customFormat="false" ht="13.5" hidden="false" customHeight="false" outlineLevel="0" collapsed="false">
      <c r="Q3480" s="11"/>
    </row>
    <row r="3481" customFormat="false" ht="13.5" hidden="false" customHeight="false" outlineLevel="0" collapsed="false">
      <c r="Q3481" s="11"/>
    </row>
    <row r="3482" customFormat="false" ht="13.5" hidden="false" customHeight="false" outlineLevel="0" collapsed="false">
      <c r="Q3482" s="11"/>
    </row>
    <row r="3483" customFormat="false" ht="13.5" hidden="false" customHeight="false" outlineLevel="0" collapsed="false">
      <c r="Q3483" s="11"/>
    </row>
    <row r="3484" customFormat="false" ht="13.5" hidden="false" customHeight="false" outlineLevel="0" collapsed="false">
      <c r="Q3484" s="11"/>
    </row>
    <row r="3485" customFormat="false" ht="13.5" hidden="false" customHeight="false" outlineLevel="0" collapsed="false">
      <c r="Q3485" s="11"/>
    </row>
    <row r="3486" customFormat="false" ht="13.5" hidden="false" customHeight="false" outlineLevel="0" collapsed="false">
      <c r="Q3486" s="11"/>
    </row>
    <row r="3487" customFormat="false" ht="13.5" hidden="false" customHeight="false" outlineLevel="0" collapsed="false">
      <c r="Q3487" s="11"/>
    </row>
    <row r="3488" customFormat="false" ht="13.5" hidden="false" customHeight="false" outlineLevel="0" collapsed="false">
      <c r="Q3488" s="11"/>
    </row>
    <row r="3489" customFormat="false" ht="13.5" hidden="false" customHeight="false" outlineLevel="0" collapsed="false">
      <c r="Q3489" s="11"/>
    </row>
    <row r="3490" customFormat="false" ht="13.5" hidden="false" customHeight="false" outlineLevel="0" collapsed="false">
      <c r="Q3490" s="11"/>
    </row>
    <row r="3491" customFormat="false" ht="13.5" hidden="false" customHeight="false" outlineLevel="0" collapsed="false">
      <c r="Q3491" s="11"/>
    </row>
    <row r="3492" customFormat="false" ht="13.5" hidden="false" customHeight="false" outlineLevel="0" collapsed="false">
      <c r="Q3492" s="11"/>
    </row>
    <row r="3493" customFormat="false" ht="13.5" hidden="false" customHeight="false" outlineLevel="0" collapsed="false">
      <c r="Q3493" s="11"/>
    </row>
    <row r="3494" customFormat="false" ht="13.5" hidden="false" customHeight="false" outlineLevel="0" collapsed="false">
      <c r="Q3494" s="11"/>
    </row>
    <row r="3495" customFormat="false" ht="13.5" hidden="false" customHeight="false" outlineLevel="0" collapsed="false">
      <c r="Q3495" s="11"/>
    </row>
    <row r="3496" customFormat="false" ht="13.5" hidden="false" customHeight="false" outlineLevel="0" collapsed="false">
      <c r="Q3496" s="11"/>
    </row>
    <row r="3497" customFormat="false" ht="13.5" hidden="false" customHeight="false" outlineLevel="0" collapsed="false">
      <c r="Q3497" s="11"/>
    </row>
    <row r="3498" customFormat="false" ht="13.5" hidden="false" customHeight="false" outlineLevel="0" collapsed="false">
      <c r="Q3498" s="11"/>
    </row>
    <row r="3499" customFormat="false" ht="13.5" hidden="false" customHeight="false" outlineLevel="0" collapsed="false">
      <c r="Q3499" s="11"/>
    </row>
    <row r="3500" customFormat="false" ht="13.5" hidden="false" customHeight="false" outlineLevel="0" collapsed="false">
      <c r="Q3500" s="11"/>
    </row>
    <row r="3501" customFormat="false" ht="13.5" hidden="false" customHeight="false" outlineLevel="0" collapsed="false">
      <c r="Q3501" s="11"/>
    </row>
    <row r="3502" customFormat="false" ht="13.5" hidden="false" customHeight="false" outlineLevel="0" collapsed="false">
      <c r="Q3502" s="11"/>
    </row>
    <row r="3503" customFormat="false" ht="13.5" hidden="false" customHeight="false" outlineLevel="0" collapsed="false">
      <c r="Q3503" s="11"/>
    </row>
    <row r="3504" customFormat="false" ht="13.5" hidden="false" customHeight="false" outlineLevel="0" collapsed="false">
      <c r="Q3504" s="11"/>
    </row>
    <row r="3505" customFormat="false" ht="13.5" hidden="false" customHeight="false" outlineLevel="0" collapsed="false">
      <c r="Q3505" s="11"/>
    </row>
    <row r="3506" customFormat="false" ht="13.5" hidden="false" customHeight="false" outlineLevel="0" collapsed="false">
      <c r="Q3506" s="11"/>
    </row>
    <row r="3507" customFormat="false" ht="13.5" hidden="false" customHeight="false" outlineLevel="0" collapsed="false">
      <c r="Q3507" s="11"/>
    </row>
    <row r="3508" customFormat="false" ht="13.5" hidden="false" customHeight="false" outlineLevel="0" collapsed="false">
      <c r="Q3508" s="11"/>
    </row>
    <row r="3509" customFormat="false" ht="13.5" hidden="false" customHeight="false" outlineLevel="0" collapsed="false">
      <c r="Q3509" s="11"/>
    </row>
    <row r="3510" customFormat="false" ht="13.5" hidden="false" customHeight="false" outlineLevel="0" collapsed="false">
      <c r="Q3510" s="11"/>
    </row>
    <row r="3511" customFormat="false" ht="13.5" hidden="false" customHeight="false" outlineLevel="0" collapsed="false">
      <c r="Q3511" s="11"/>
    </row>
    <row r="3512" customFormat="false" ht="13.5" hidden="false" customHeight="false" outlineLevel="0" collapsed="false">
      <c r="Q3512" s="11"/>
    </row>
    <row r="3513" customFormat="false" ht="13.5" hidden="false" customHeight="false" outlineLevel="0" collapsed="false">
      <c r="Q3513" s="11"/>
    </row>
    <row r="3514" customFormat="false" ht="13.5" hidden="false" customHeight="false" outlineLevel="0" collapsed="false">
      <c r="Q3514" s="11"/>
    </row>
    <row r="3515" customFormat="false" ht="13.5" hidden="false" customHeight="false" outlineLevel="0" collapsed="false">
      <c r="Q3515" s="11"/>
    </row>
    <row r="3516" customFormat="false" ht="13.5" hidden="false" customHeight="false" outlineLevel="0" collapsed="false">
      <c r="Q3516" s="11"/>
    </row>
    <row r="3517" customFormat="false" ht="13.5" hidden="false" customHeight="false" outlineLevel="0" collapsed="false">
      <c r="Q3517" s="11"/>
    </row>
    <row r="3518" customFormat="false" ht="13.5" hidden="false" customHeight="false" outlineLevel="0" collapsed="false">
      <c r="Q3518" s="11"/>
    </row>
    <row r="3519" customFormat="false" ht="13.5" hidden="false" customHeight="false" outlineLevel="0" collapsed="false">
      <c r="Q3519" s="11"/>
    </row>
    <row r="3520" customFormat="false" ht="13.5" hidden="false" customHeight="false" outlineLevel="0" collapsed="false">
      <c r="Q3520" s="11"/>
    </row>
    <row r="3521" customFormat="false" ht="13.5" hidden="false" customHeight="false" outlineLevel="0" collapsed="false">
      <c r="Q3521" s="11"/>
    </row>
    <row r="3522" customFormat="false" ht="13.5" hidden="false" customHeight="false" outlineLevel="0" collapsed="false">
      <c r="Q3522" s="11"/>
    </row>
    <row r="3523" customFormat="false" ht="13.5" hidden="false" customHeight="false" outlineLevel="0" collapsed="false">
      <c r="Q3523" s="11"/>
    </row>
    <row r="3524" customFormat="false" ht="13.5" hidden="false" customHeight="false" outlineLevel="0" collapsed="false">
      <c r="Q3524" s="11"/>
    </row>
    <row r="3525" customFormat="false" ht="13.5" hidden="false" customHeight="false" outlineLevel="0" collapsed="false">
      <c r="Q3525" s="11"/>
    </row>
    <row r="3526" customFormat="false" ht="13.5" hidden="false" customHeight="false" outlineLevel="0" collapsed="false">
      <c r="Q3526" s="11"/>
    </row>
    <row r="3527" customFormat="false" ht="13.5" hidden="false" customHeight="false" outlineLevel="0" collapsed="false">
      <c r="Q3527" s="11"/>
    </row>
    <row r="3528" customFormat="false" ht="13.5" hidden="false" customHeight="false" outlineLevel="0" collapsed="false">
      <c r="Q3528" s="11"/>
    </row>
    <row r="3529" customFormat="false" ht="13.5" hidden="false" customHeight="false" outlineLevel="0" collapsed="false">
      <c r="Q3529" s="11"/>
    </row>
    <row r="3530" customFormat="false" ht="13.5" hidden="false" customHeight="false" outlineLevel="0" collapsed="false">
      <c r="Q3530" s="11"/>
    </row>
    <row r="3531" customFormat="false" ht="13.5" hidden="false" customHeight="false" outlineLevel="0" collapsed="false">
      <c r="Q3531" s="11"/>
    </row>
    <row r="3532" customFormat="false" ht="13.5" hidden="false" customHeight="false" outlineLevel="0" collapsed="false">
      <c r="Q3532" s="11"/>
    </row>
    <row r="3533" customFormat="false" ht="13.5" hidden="false" customHeight="false" outlineLevel="0" collapsed="false">
      <c r="Q3533" s="11"/>
    </row>
    <row r="3534" customFormat="false" ht="13.5" hidden="false" customHeight="false" outlineLevel="0" collapsed="false">
      <c r="Q3534" s="11"/>
    </row>
    <row r="3535" customFormat="false" ht="13.5" hidden="false" customHeight="false" outlineLevel="0" collapsed="false">
      <c r="Q3535" s="11"/>
    </row>
    <row r="3536" customFormat="false" ht="13.5" hidden="false" customHeight="false" outlineLevel="0" collapsed="false">
      <c r="Q3536" s="11"/>
    </row>
    <row r="3537" customFormat="false" ht="13.5" hidden="false" customHeight="false" outlineLevel="0" collapsed="false">
      <c r="Q3537" s="11"/>
    </row>
    <row r="3538" customFormat="false" ht="13.5" hidden="false" customHeight="false" outlineLevel="0" collapsed="false">
      <c r="Q3538" s="11"/>
    </row>
    <row r="3539" customFormat="false" ht="13.5" hidden="false" customHeight="false" outlineLevel="0" collapsed="false">
      <c r="Q3539" s="11"/>
    </row>
    <row r="3540" customFormat="false" ht="13.5" hidden="false" customHeight="false" outlineLevel="0" collapsed="false">
      <c r="Q3540" s="11"/>
    </row>
    <row r="3541" customFormat="false" ht="13.5" hidden="false" customHeight="false" outlineLevel="0" collapsed="false">
      <c r="Q3541" s="11"/>
    </row>
    <row r="3542" customFormat="false" ht="13.5" hidden="false" customHeight="false" outlineLevel="0" collapsed="false">
      <c r="Q3542" s="11"/>
    </row>
    <row r="3543" customFormat="false" ht="13.5" hidden="false" customHeight="false" outlineLevel="0" collapsed="false">
      <c r="Q3543" s="11"/>
    </row>
    <row r="3544" customFormat="false" ht="13.5" hidden="false" customHeight="false" outlineLevel="0" collapsed="false">
      <c r="Q3544" s="11"/>
    </row>
    <row r="3545" customFormat="false" ht="13.5" hidden="false" customHeight="false" outlineLevel="0" collapsed="false">
      <c r="Q3545" s="11"/>
    </row>
    <row r="3546" customFormat="false" ht="13.5" hidden="false" customHeight="false" outlineLevel="0" collapsed="false">
      <c r="Q3546" s="11"/>
    </row>
    <row r="3547" customFormat="false" ht="13.5" hidden="false" customHeight="false" outlineLevel="0" collapsed="false">
      <c r="Q3547" s="11"/>
    </row>
    <row r="3548" customFormat="false" ht="13.5" hidden="false" customHeight="false" outlineLevel="0" collapsed="false">
      <c r="Q3548" s="11"/>
    </row>
    <row r="3549" customFormat="false" ht="13.5" hidden="false" customHeight="false" outlineLevel="0" collapsed="false">
      <c r="Q3549" s="11"/>
    </row>
    <row r="3550" customFormat="false" ht="13.5" hidden="false" customHeight="false" outlineLevel="0" collapsed="false">
      <c r="Q3550" s="11"/>
    </row>
    <row r="3551" customFormat="false" ht="13.5" hidden="false" customHeight="false" outlineLevel="0" collapsed="false">
      <c r="Q3551" s="11"/>
    </row>
    <row r="3552" customFormat="false" ht="13.5" hidden="false" customHeight="false" outlineLevel="0" collapsed="false">
      <c r="Q3552" s="11"/>
    </row>
    <row r="3553" customFormat="false" ht="13.5" hidden="false" customHeight="false" outlineLevel="0" collapsed="false">
      <c r="Q3553" s="11"/>
    </row>
    <row r="3554" customFormat="false" ht="13.5" hidden="false" customHeight="false" outlineLevel="0" collapsed="false">
      <c r="Q3554" s="11"/>
    </row>
    <row r="3555" customFormat="false" ht="13.5" hidden="false" customHeight="false" outlineLevel="0" collapsed="false">
      <c r="Q3555" s="11"/>
    </row>
    <row r="3556" customFormat="false" ht="13.5" hidden="false" customHeight="false" outlineLevel="0" collapsed="false">
      <c r="Q3556" s="11"/>
    </row>
    <row r="3557" customFormat="false" ht="13.5" hidden="false" customHeight="false" outlineLevel="0" collapsed="false">
      <c r="Q3557" s="11"/>
    </row>
    <row r="3558" customFormat="false" ht="13.5" hidden="false" customHeight="false" outlineLevel="0" collapsed="false">
      <c r="Q3558" s="11"/>
    </row>
    <row r="3559" customFormat="false" ht="13.5" hidden="false" customHeight="false" outlineLevel="0" collapsed="false">
      <c r="Q3559" s="11"/>
    </row>
    <row r="3560" customFormat="false" ht="13.5" hidden="false" customHeight="false" outlineLevel="0" collapsed="false">
      <c r="Q3560" s="11"/>
    </row>
    <row r="3561" customFormat="false" ht="13.5" hidden="false" customHeight="false" outlineLevel="0" collapsed="false">
      <c r="Q3561" s="11"/>
    </row>
    <row r="3562" customFormat="false" ht="13.5" hidden="false" customHeight="false" outlineLevel="0" collapsed="false">
      <c r="Q3562" s="11"/>
    </row>
    <row r="3563" customFormat="false" ht="13.5" hidden="false" customHeight="false" outlineLevel="0" collapsed="false">
      <c r="Q3563" s="11"/>
    </row>
    <row r="3564" customFormat="false" ht="13.5" hidden="false" customHeight="false" outlineLevel="0" collapsed="false">
      <c r="Q3564" s="11"/>
    </row>
    <row r="3565" customFormat="false" ht="13.5" hidden="false" customHeight="false" outlineLevel="0" collapsed="false">
      <c r="Q3565" s="11"/>
    </row>
    <row r="3566" customFormat="false" ht="13.5" hidden="false" customHeight="false" outlineLevel="0" collapsed="false">
      <c r="Q3566" s="11"/>
    </row>
    <row r="3567" customFormat="false" ht="13.5" hidden="false" customHeight="false" outlineLevel="0" collapsed="false">
      <c r="Q3567" s="11"/>
    </row>
    <row r="3568" customFormat="false" ht="13.5" hidden="false" customHeight="false" outlineLevel="0" collapsed="false">
      <c r="Q3568" s="11"/>
    </row>
    <row r="3569" customFormat="false" ht="13.5" hidden="false" customHeight="false" outlineLevel="0" collapsed="false">
      <c r="Q3569" s="11"/>
    </row>
    <row r="3570" customFormat="false" ht="13.5" hidden="false" customHeight="false" outlineLevel="0" collapsed="false">
      <c r="Q3570" s="11"/>
    </row>
    <row r="3571" customFormat="false" ht="13.5" hidden="false" customHeight="false" outlineLevel="0" collapsed="false">
      <c r="Q3571" s="11"/>
    </row>
    <row r="3572" customFormat="false" ht="13.5" hidden="false" customHeight="false" outlineLevel="0" collapsed="false">
      <c r="Q3572" s="11"/>
    </row>
    <row r="3573" customFormat="false" ht="13.5" hidden="false" customHeight="false" outlineLevel="0" collapsed="false">
      <c r="Q3573" s="11"/>
    </row>
    <row r="3574" customFormat="false" ht="13.5" hidden="false" customHeight="false" outlineLevel="0" collapsed="false">
      <c r="Q3574" s="11"/>
    </row>
    <row r="3575" customFormat="false" ht="13.5" hidden="false" customHeight="false" outlineLevel="0" collapsed="false">
      <c r="Q3575" s="11"/>
    </row>
    <row r="3576" customFormat="false" ht="13.5" hidden="false" customHeight="false" outlineLevel="0" collapsed="false">
      <c r="Q3576" s="11"/>
    </row>
    <row r="3577" customFormat="false" ht="13.5" hidden="false" customHeight="false" outlineLevel="0" collapsed="false">
      <c r="Q3577" s="11"/>
    </row>
    <row r="3578" customFormat="false" ht="13.5" hidden="false" customHeight="false" outlineLevel="0" collapsed="false">
      <c r="Q3578" s="11"/>
    </row>
    <row r="3579" customFormat="false" ht="13.5" hidden="false" customHeight="false" outlineLevel="0" collapsed="false">
      <c r="Q3579" s="11"/>
    </row>
    <row r="3580" customFormat="false" ht="13.5" hidden="false" customHeight="false" outlineLevel="0" collapsed="false">
      <c r="Q3580" s="11"/>
    </row>
    <row r="3581" customFormat="false" ht="13.5" hidden="false" customHeight="false" outlineLevel="0" collapsed="false">
      <c r="Q3581" s="11"/>
    </row>
    <row r="3582" customFormat="false" ht="13.5" hidden="false" customHeight="false" outlineLevel="0" collapsed="false">
      <c r="Q3582" s="11"/>
    </row>
    <row r="3583" customFormat="false" ht="13.5" hidden="false" customHeight="false" outlineLevel="0" collapsed="false">
      <c r="Q3583" s="11"/>
    </row>
    <row r="3584" customFormat="false" ht="13.5" hidden="false" customHeight="false" outlineLevel="0" collapsed="false">
      <c r="Q3584" s="11"/>
    </row>
    <row r="3585" customFormat="false" ht="13.5" hidden="false" customHeight="false" outlineLevel="0" collapsed="false">
      <c r="Q3585" s="11"/>
    </row>
    <row r="3586" customFormat="false" ht="13.5" hidden="false" customHeight="false" outlineLevel="0" collapsed="false">
      <c r="Q3586" s="11"/>
    </row>
    <row r="3587" customFormat="false" ht="13.5" hidden="false" customHeight="false" outlineLevel="0" collapsed="false">
      <c r="Q3587" s="11"/>
    </row>
    <row r="3588" customFormat="false" ht="13.5" hidden="false" customHeight="false" outlineLevel="0" collapsed="false">
      <c r="Q3588" s="11"/>
    </row>
    <row r="3589" customFormat="false" ht="13.5" hidden="false" customHeight="false" outlineLevel="0" collapsed="false">
      <c r="Q3589" s="11"/>
    </row>
    <row r="3590" customFormat="false" ht="13.5" hidden="false" customHeight="false" outlineLevel="0" collapsed="false">
      <c r="Q3590" s="11"/>
    </row>
    <row r="3591" customFormat="false" ht="13.5" hidden="false" customHeight="false" outlineLevel="0" collapsed="false">
      <c r="Q3591" s="11"/>
    </row>
    <row r="3592" customFormat="false" ht="13.5" hidden="false" customHeight="false" outlineLevel="0" collapsed="false">
      <c r="Q3592" s="11"/>
    </row>
    <row r="3593" customFormat="false" ht="13.5" hidden="false" customHeight="false" outlineLevel="0" collapsed="false">
      <c r="Q3593" s="11"/>
    </row>
    <row r="3594" customFormat="false" ht="13.5" hidden="false" customHeight="false" outlineLevel="0" collapsed="false">
      <c r="Q3594" s="11"/>
    </row>
    <row r="3595" customFormat="false" ht="13.5" hidden="false" customHeight="false" outlineLevel="0" collapsed="false">
      <c r="Q3595" s="11"/>
    </row>
    <row r="3596" customFormat="false" ht="13.5" hidden="false" customHeight="false" outlineLevel="0" collapsed="false">
      <c r="Q3596" s="11"/>
    </row>
    <row r="3597" customFormat="false" ht="13.5" hidden="false" customHeight="false" outlineLevel="0" collapsed="false">
      <c r="Q3597" s="11"/>
    </row>
    <row r="3598" customFormat="false" ht="13.5" hidden="false" customHeight="false" outlineLevel="0" collapsed="false">
      <c r="Q3598" s="11"/>
    </row>
    <row r="3599" customFormat="false" ht="13.5" hidden="false" customHeight="false" outlineLevel="0" collapsed="false">
      <c r="Q3599" s="11"/>
    </row>
    <row r="3600" customFormat="false" ht="13.5" hidden="false" customHeight="false" outlineLevel="0" collapsed="false">
      <c r="Q3600" s="11"/>
    </row>
    <row r="3601" customFormat="false" ht="13.5" hidden="false" customHeight="false" outlineLevel="0" collapsed="false">
      <c r="Q3601" s="11"/>
    </row>
    <row r="3602" customFormat="false" ht="13.5" hidden="false" customHeight="false" outlineLevel="0" collapsed="false">
      <c r="Q3602" s="11"/>
    </row>
    <row r="3603" customFormat="false" ht="13.5" hidden="false" customHeight="false" outlineLevel="0" collapsed="false">
      <c r="Q3603" s="11"/>
    </row>
    <row r="3604" customFormat="false" ht="13.5" hidden="false" customHeight="false" outlineLevel="0" collapsed="false">
      <c r="Q3604" s="11"/>
    </row>
    <row r="3605" customFormat="false" ht="13.5" hidden="false" customHeight="false" outlineLevel="0" collapsed="false">
      <c r="Q3605" s="11"/>
    </row>
    <row r="3606" customFormat="false" ht="13.5" hidden="false" customHeight="false" outlineLevel="0" collapsed="false">
      <c r="Q3606" s="11"/>
    </row>
    <row r="3607" customFormat="false" ht="13.5" hidden="false" customHeight="false" outlineLevel="0" collapsed="false">
      <c r="Q3607" s="11"/>
    </row>
    <row r="3608" customFormat="false" ht="13.5" hidden="false" customHeight="false" outlineLevel="0" collapsed="false">
      <c r="Q3608" s="11"/>
    </row>
    <row r="3609" customFormat="false" ht="13.5" hidden="false" customHeight="false" outlineLevel="0" collapsed="false">
      <c r="Q3609" s="11"/>
    </row>
    <row r="3610" customFormat="false" ht="13.5" hidden="false" customHeight="false" outlineLevel="0" collapsed="false">
      <c r="Q3610" s="11"/>
    </row>
    <row r="3611" customFormat="false" ht="13.5" hidden="false" customHeight="false" outlineLevel="0" collapsed="false">
      <c r="Q3611" s="11"/>
    </row>
    <row r="3612" customFormat="false" ht="13.5" hidden="false" customHeight="false" outlineLevel="0" collapsed="false">
      <c r="Q3612" s="11"/>
    </row>
    <row r="3613" customFormat="false" ht="13.5" hidden="false" customHeight="false" outlineLevel="0" collapsed="false">
      <c r="Q3613" s="11"/>
    </row>
    <row r="3614" customFormat="false" ht="13.5" hidden="false" customHeight="false" outlineLevel="0" collapsed="false">
      <c r="Q3614" s="11"/>
    </row>
    <row r="3615" customFormat="false" ht="13.5" hidden="false" customHeight="false" outlineLevel="0" collapsed="false">
      <c r="Q3615" s="11"/>
    </row>
    <row r="3616" customFormat="false" ht="13.5" hidden="false" customHeight="false" outlineLevel="0" collapsed="false">
      <c r="Q3616" s="11"/>
    </row>
    <row r="3617" customFormat="false" ht="13.5" hidden="false" customHeight="false" outlineLevel="0" collapsed="false">
      <c r="Q3617" s="11"/>
    </row>
    <row r="3618" customFormat="false" ht="13.5" hidden="false" customHeight="false" outlineLevel="0" collapsed="false">
      <c r="Q3618" s="11"/>
    </row>
    <row r="3619" customFormat="false" ht="13.5" hidden="false" customHeight="false" outlineLevel="0" collapsed="false">
      <c r="Q3619" s="11"/>
    </row>
    <row r="3620" customFormat="false" ht="13.5" hidden="false" customHeight="false" outlineLevel="0" collapsed="false">
      <c r="Q3620" s="11"/>
    </row>
    <row r="3621" customFormat="false" ht="13.5" hidden="false" customHeight="false" outlineLevel="0" collapsed="false">
      <c r="Q3621" s="11"/>
    </row>
    <row r="3622" customFormat="false" ht="13.5" hidden="false" customHeight="false" outlineLevel="0" collapsed="false">
      <c r="Q3622" s="11"/>
    </row>
    <row r="3623" customFormat="false" ht="13.5" hidden="false" customHeight="false" outlineLevel="0" collapsed="false">
      <c r="Q3623" s="11"/>
    </row>
    <row r="3624" customFormat="false" ht="13.5" hidden="false" customHeight="false" outlineLevel="0" collapsed="false">
      <c r="Q3624" s="11"/>
    </row>
    <row r="3625" customFormat="false" ht="13.5" hidden="false" customHeight="false" outlineLevel="0" collapsed="false">
      <c r="Q3625" s="11"/>
    </row>
    <row r="3626" customFormat="false" ht="13.5" hidden="false" customHeight="false" outlineLevel="0" collapsed="false">
      <c r="Q3626" s="11"/>
    </row>
    <row r="3627" customFormat="false" ht="13.5" hidden="false" customHeight="false" outlineLevel="0" collapsed="false">
      <c r="Q3627" s="11"/>
    </row>
    <row r="3628" customFormat="false" ht="13.5" hidden="false" customHeight="false" outlineLevel="0" collapsed="false">
      <c r="Q3628" s="11"/>
    </row>
    <row r="3629" customFormat="false" ht="13.5" hidden="false" customHeight="false" outlineLevel="0" collapsed="false">
      <c r="Q3629" s="11"/>
    </row>
    <row r="3630" customFormat="false" ht="13.5" hidden="false" customHeight="false" outlineLevel="0" collapsed="false">
      <c r="Q3630" s="11"/>
    </row>
    <row r="3631" customFormat="false" ht="13.5" hidden="false" customHeight="false" outlineLevel="0" collapsed="false">
      <c r="Q3631" s="11"/>
    </row>
    <row r="3632" customFormat="false" ht="13.5" hidden="false" customHeight="false" outlineLevel="0" collapsed="false">
      <c r="Q3632" s="11"/>
    </row>
    <row r="3633" customFormat="false" ht="13.5" hidden="false" customHeight="false" outlineLevel="0" collapsed="false">
      <c r="Q3633" s="11"/>
    </row>
    <row r="3634" customFormat="false" ht="13.5" hidden="false" customHeight="false" outlineLevel="0" collapsed="false">
      <c r="Q3634" s="11"/>
    </row>
    <row r="3635" customFormat="false" ht="13.5" hidden="false" customHeight="false" outlineLevel="0" collapsed="false">
      <c r="Q3635" s="11"/>
    </row>
    <row r="3636" customFormat="false" ht="13.5" hidden="false" customHeight="false" outlineLevel="0" collapsed="false">
      <c r="Q3636" s="11"/>
    </row>
    <row r="3637" customFormat="false" ht="13.5" hidden="false" customHeight="false" outlineLevel="0" collapsed="false">
      <c r="Q3637" s="11"/>
    </row>
    <row r="3638" customFormat="false" ht="13.5" hidden="false" customHeight="false" outlineLevel="0" collapsed="false">
      <c r="Q3638" s="11"/>
    </row>
    <row r="3639" customFormat="false" ht="13.5" hidden="false" customHeight="false" outlineLevel="0" collapsed="false">
      <c r="Q3639" s="11"/>
    </row>
    <row r="3640" customFormat="false" ht="13.5" hidden="false" customHeight="false" outlineLevel="0" collapsed="false">
      <c r="Q3640" s="11"/>
    </row>
    <row r="3641" customFormat="false" ht="13.5" hidden="false" customHeight="false" outlineLevel="0" collapsed="false">
      <c r="Q3641" s="11"/>
    </row>
    <row r="3642" customFormat="false" ht="13.5" hidden="false" customHeight="false" outlineLevel="0" collapsed="false">
      <c r="Q3642" s="11"/>
    </row>
    <row r="3643" customFormat="false" ht="13.5" hidden="false" customHeight="false" outlineLevel="0" collapsed="false">
      <c r="Q3643" s="11"/>
    </row>
    <row r="3644" customFormat="false" ht="13.5" hidden="false" customHeight="false" outlineLevel="0" collapsed="false">
      <c r="Q3644" s="11"/>
    </row>
    <row r="3645" customFormat="false" ht="13.5" hidden="false" customHeight="false" outlineLevel="0" collapsed="false">
      <c r="Q3645" s="11"/>
    </row>
    <row r="3646" customFormat="false" ht="13.5" hidden="false" customHeight="false" outlineLevel="0" collapsed="false">
      <c r="Q3646" s="11"/>
    </row>
    <row r="3647" customFormat="false" ht="13.5" hidden="false" customHeight="false" outlineLevel="0" collapsed="false">
      <c r="Q3647" s="11"/>
    </row>
    <row r="3648" customFormat="false" ht="13.5" hidden="false" customHeight="false" outlineLevel="0" collapsed="false">
      <c r="Q3648" s="11"/>
    </row>
    <row r="3649" customFormat="false" ht="13.5" hidden="false" customHeight="false" outlineLevel="0" collapsed="false">
      <c r="Q3649" s="11"/>
    </row>
    <row r="3650" customFormat="false" ht="13.5" hidden="false" customHeight="false" outlineLevel="0" collapsed="false">
      <c r="Q3650" s="11"/>
    </row>
    <row r="3651" customFormat="false" ht="13.5" hidden="false" customHeight="false" outlineLevel="0" collapsed="false">
      <c r="Q3651" s="11"/>
    </row>
    <row r="3652" customFormat="false" ht="13.5" hidden="false" customHeight="false" outlineLevel="0" collapsed="false">
      <c r="Q3652" s="11"/>
    </row>
    <row r="3653" customFormat="false" ht="13.5" hidden="false" customHeight="false" outlineLevel="0" collapsed="false">
      <c r="Q3653" s="11"/>
    </row>
    <row r="3654" customFormat="false" ht="13.5" hidden="false" customHeight="false" outlineLevel="0" collapsed="false">
      <c r="Q3654" s="11"/>
    </row>
    <row r="3655" customFormat="false" ht="13.5" hidden="false" customHeight="false" outlineLevel="0" collapsed="false">
      <c r="Q3655" s="11"/>
    </row>
    <row r="3656" customFormat="false" ht="13.5" hidden="false" customHeight="false" outlineLevel="0" collapsed="false">
      <c r="Q3656" s="11"/>
    </row>
    <row r="3657" customFormat="false" ht="13.5" hidden="false" customHeight="false" outlineLevel="0" collapsed="false">
      <c r="Q3657" s="11"/>
    </row>
    <row r="3658" customFormat="false" ht="13.5" hidden="false" customHeight="false" outlineLevel="0" collapsed="false">
      <c r="Q3658" s="11"/>
    </row>
    <row r="3659" customFormat="false" ht="13.5" hidden="false" customHeight="false" outlineLevel="0" collapsed="false">
      <c r="Q3659" s="11"/>
    </row>
    <row r="3660" customFormat="false" ht="13.5" hidden="false" customHeight="false" outlineLevel="0" collapsed="false">
      <c r="Q3660" s="11"/>
    </row>
    <row r="3661" customFormat="false" ht="13.5" hidden="false" customHeight="false" outlineLevel="0" collapsed="false">
      <c r="Q3661" s="11"/>
    </row>
    <row r="3662" customFormat="false" ht="13.5" hidden="false" customHeight="false" outlineLevel="0" collapsed="false">
      <c r="Q3662" s="11"/>
    </row>
    <row r="3663" customFormat="false" ht="13.5" hidden="false" customHeight="false" outlineLevel="0" collapsed="false">
      <c r="Q3663" s="11"/>
    </row>
    <row r="3664" customFormat="false" ht="13.5" hidden="false" customHeight="false" outlineLevel="0" collapsed="false">
      <c r="Q3664" s="11"/>
    </row>
    <row r="3665" customFormat="false" ht="13.5" hidden="false" customHeight="false" outlineLevel="0" collapsed="false">
      <c r="Q3665" s="11"/>
    </row>
    <row r="3666" customFormat="false" ht="13.5" hidden="false" customHeight="false" outlineLevel="0" collapsed="false">
      <c r="Q3666" s="11"/>
    </row>
    <row r="3667" customFormat="false" ht="13.5" hidden="false" customHeight="false" outlineLevel="0" collapsed="false">
      <c r="Q3667" s="11"/>
    </row>
    <row r="3668" customFormat="false" ht="13.5" hidden="false" customHeight="false" outlineLevel="0" collapsed="false">
      <c r="Q3668" s="11"/>
    </row>
    <row r="3669" customFormat="false" ht="13.5" hidden="false" customHeight="false" outlineLevel="0" collapsed="false">
      <c r="Q3669" s="11"/>
    </row>
    <row r="3670" customFormat="false" ht="13.5" hidden="false" customHeight="false" outlineLevel="0" collapsed="false">
      <c r="Q3670" s="11"/>
    </row>
    <row r="3671" customFormat="false" ht="13.5" hidden="false" customHeight="false" outlineLevel="0" collapsed="false">
      <c r="Q3671" s="11"/>
    </row>
    <row r="3672" customFormat="false" ht="13.5" hidden="false" customHeight="false" outlineLevel="0" collapsed="false">
      <c r="Q3672" s="11"/>
    </row>
    <row r="3673" customFormat="false" ht="13.5" hidden="false" customHeight="false" outlineLevel="0" collapsed="false">
      <c r="Q3673" s="11"/>
    </row>
    <row r="3674" customFormat="false" ht="13.5" hidden="false" customHeight="false" outlineLevel="0" collapsed="false">
      <c r="Q3674" s="11"/>
    </row>
    <row r="3675" customFormat="false" ht="13.5" hidden="false" customHeight="false" outlineLevel="0" collapsed="false">
      <c r="Q3675" s="11"/>
    </row>
    <row r="3676" customFormat="false" ht="13.5" hidden="false" customHeight="false" outlineLevel="0" collapsed="false">
      <c r="Q3676" s="11"/>
    </row>
    <row r="3677" customFormat="false" ht="13.5" hidden="false" customHeight="false" outlineLevel="0" collapsed="false">
      <c r="Q3677" s="11"/>
    </row>
    <row r="3678" customFormat="false" ht="13.5" hidden="false" customHeight="false" outlineLevel="0" collapsed="false">
      <c r="Q3678" s="11"/>
    </row>
    <row r="3679" customFormat="false" ht="13.5" hidden="false" customHeight="false" outlineLevel="0" collapsed="false">
      <c r="Q3679" s="11"/>
    </row>
    <row r="3680" customFormat="false" ht="13.5" hidden="false" customHeight="false" outlineLevel="0" collapsed="false">
      <c r="Q3680" s="11"/>
    </row>
    <row r="3681" customFormat="false" ht="13.5" hidden="false" customHeight="false" outlineLevel="0" collapsed="false">
      <c r="Q3681" s="11"/>
    </row>
    <row r="3682" customFormat="false" ht="13.5" hidden="false" customHeight="false" outlineLevel="0" collapsed="false">
      <c r="Q3682" s="11"/>
    </row>
    <row r="3683" customFormat="false" ht="13.5" hidden="false" customHeight="false" outlineLevel="0" collapsed="false">
      <c r="Q3683" s="11"/>
    </row>
    <row r="3684" customFormat="false" ht="13.5" hidden="false" customHeight="false" outlineLevel="0" collapsed="false">
      <c r="Q3684" s="11"/>
    </row>
    <row r="3685" customFormat="false" ht="13.5" hidden="false" customHeight="false" outlineLevel="0" collapsed="false">
      <c r="Q3685" s="11"/>
    </row>
    <row r="3686" customFormat="false" ht="13.5" hidden="false" customHeight="false" outlineLevel="0" collapsed="false">
      <c r="Q3686" s="11"/>
    </row>
    <row r="3687" customFormat="false" ht="13.5" hidden="false" customHeight="false" outlineLevel="0" collapsed="false">
      <c r="Q3687" s="11"/>
    </row>
    <row r="3688" customFormat="false" ht="13.5" hidden="false" customHeight="false" outlineLevel="0" collapsed="false">
      <c r="Q3688" s="11"/>
    </row>
    <row r="3689" customFormat="false" ht="13.5" hidden="false" customHeight="false" outlineLevel="0" collapsed="false">
      <c r="Q3689" s="11"/>
    </row>
    <row r="3690" customFormat="false" ht="13.5" hidden="false" customHeight="false" outlineLevel="0" collapsed="false">
      <c r="Q3690" s="11"/>
    </row>
    <row r="3691" customFormat="false" ht="13.5" hidden="false" customHeight="false" outlineLevel="0" collapsed="false">
      <c r="Q3691" s="11"/>
    </row>
    <row r="3692" customFormat="false" ht="13.5" hidden="false" customHeight="false" outlineLevel="0" collapsed="false">
      <c r="Q3692" s="11"/>
    </row>
    <row r="3693" customFormat="false" ht="13.5" hidden="false" customHeight="false" outlineLevel="0" collapsed="false">
      <c r="Q3693" s="11"/>
    </row>
    <row r="3694" customFormat="false" ht="13.5" hidden="false" customHeight="false" outlineLevel="0" collapsed="false">
      <c r="Q3694" s="11"/>
    </row>
    <row r="3695" customFormat="false" ht="13.5" hidden="false" customHeight="false" outlineLevel="0" collapsed="false">
      <c r="Q3695" s="11"/>
    </row>
    <row r="3696" customFormat="false" ht="13.5" hidden="false" customHeight="false" outlineLevel="0" collapsed="false">
      <c r="Q3696" s="11"/>
    </row>
    <row r="3697" customFormat="false" ht="13.5" hidden="false" customHeight="false" outlineLevel="0" collapsed="false">
      <c r="Q3697" s="11"/>
    </row>
    <row r="3698" customFormat="false" ht="13.5" hidden="false" customHeight="false" outlineLevel="0" collapsed="false">
      <c r="Q3698" s="11"/>
    </row>
    <row r="3699" customFormat="false" ht="13.5" hidden="false" customHeight="false" outlineLevel="0" collapsed="false">
      <c r="Q3699" s="11"/>
    </row>
    <row r="3700" customFormat="false" ht="13.5" hidden="false" customHeight="false" outlineLevel="0" collapsed="false">
      <c r="Q3700" s="11"/>
    </row>
    <row r="3701" customFormat="false" ht="13.5" hidden="false" customHeight="false" outlineLevel="0" collapsed="false">
      <c r="Q3701" s="11"/>
    </row>
    <row r="3702" customFormat="false" ht="13.5" hidden="false" customHeight="false" outlineLevel="0" collapsed="false">
      <c r="Q3702" s="11"/>
    </row>
    <row r="3703" customFormat="false" ht="13.5" hidden="false" customHeight="false" outlineLevel="0" collapsed="false">
      <c r="Q3703" s="11"/>
    </row>
    <row r="3704" customFormat="false" ht="13.5" hidden="false" customHeight="false" outlineLevel="0" collapsed="false">
      <c r="Q3704" s="11"/>
    </row>
    <row r="3705" customFormat="false" ht="13.5" hidden="false" customHeight="false" outlineLevel="0" collapsed="false">
      <c r="Q3705" s="11"/>
    </row>
    <row r="3706" customFormat="false" ht="13.5" hidden="false" customHeight="false" outlineLevel="0" collapsed="false">
      <c r="Q3706" s="11"/>
    </row>
    <row r="3707" customFormat="false" ht="13.5" hidden="false" customHeight="false" outlineLevel="0" collapsed="false">
      <c r="Q3707" s="11"/>
    </row>
    <row r="3708" customFormat="false" ht="13.5" hidden="false" customHeight="false" outlineLevel="0" collapsed="false">
      <c r="Q3708" s="11"/>
    </row>
    <row r="3709" customFormat="false" ht="13.5" hidden="false" customHeight="false" outlineLevel="0" collapsed="false">
      <c r="Q3709" s="11"/>
    </row>
    <row r="3710" customFormat="false" ht="13.5" hidden="false" customHeight="false" outlineLevel="0" collapsed="false">
      <c r="Q3710" s="11"/>
    </row>
    <row r="3711" customFormat="false" ht="13.5" hidden="false" customHeight="false" outlineLevel="0" collapsed="false">
      <c r="Q3711" s="11"/>
    </row>
    <row r="3712" customFormat="false" ht="13.5" hidden="false" customHeight="false" outlineLevel="0" collapsed="false">
      <c r="Q3712" s="11"/>
    </row>
    <row r="3713" customFormat="false" ht="13.5" hidden="false" customHeight="false" outlineLevel="0" collapsed="false">
      <c r="Q3713" s="11"/>
    </row>
    <row r="3714" customFormat="false" ht="13.5" hidden="false" customHeight="false" outlineLevel="0" collapsed="false">
      <c r="Q3714" s="11"/>
    </row>
    <row r="3715" customFormat="false" ht="13.5" hidden="false" customHeight="false" outlineLevel="0" collapsed="false">
      <c r="Q3715" s="11"/>
    </row>
    <row r="3716" customFormat="false" ht="13.5" hidden="false" customHeight="false" outlineLevel="0" collapsed="false">
      <c r="Q3716" s="11"/>
    </row>
    <row r="3717" customFormat="false" ht="13.5" hidden="false" customHeight="false" outlineLevel="0" collapsed="false">
      <c r="Q3717" s="11"/>
    </row>
    <row r="3718" customFormat="false" ht="13.5" hidden="false" customHeight="false" outlineLevel="0" collapsed="false">
      <c r="Q3718" s="11"/>
    </row>
    <row r="3719" customFormat="false" ht="13.5" hidden="false" customHeight="false" outlineLevel="0" collapsed="false">
      <c r="Q3719" s="11"/>
    </row>
    <row r="3720" customFormat="false" ht="13.5" hidden="false" customHeight="false" outlineLevel="0" collapsed="false">
      <c r="Q3720" s="11"/>
    </row>
    <row r="3721" customFormat="false" ht="13.5" hidden="false" customHeight="false" outlineLevel="0" collapsed="false">
      <c r="Q3721" s="11"/>
    </row>
    <row r="3722" customFormat="false" ht="13.5" hidden="false" customHeight="false" outlineLevel="0" collapsed="false">
      <c r="Q3722" s="11"/>
    </row>
    <row r="3723" customFormat="false" ht="13.5" hidden="false" customHeight="false" outlineLevel="0" collapsed="false">
      <c r="Q3723" s="11"/>
    </row>
    <row r="3724" customFormat="false" ht="13.5" hidden="false" customHeight="false" outlineLevel="0" collapsed="false">
      <c r="Q3724" s="11"/>
    </row>
    <row r="3725" customFormat="false" ht="13.5" hidden="false" customHeight="false" outlineLevel="0" collapsed="false">
      <c r="Q3725" s="11"/>
    </row>
    <row r="3726" customFormat="false" ht="13.5" hidden="false" customHeight="false" outlineLevel="0" collapsed="false">
      <c r="Q3726" s="11"/>
    </row>
    <row r="3727" customFormat="false" ht="13.5" hidden="false" customHeight="false" outlineLevel="0" collapsed="false">
      <c r="Q3727" s="11"/>
    </row>
    <row r="3728" customFormat="false" ht="13.5" hidden="false" customHeight="false" outlineLevel="0" collapsed="false">
      <c r="Q3728" s="11"/>
    </row>
    <row r="3729" customFormat="false" ht="13.5" hidden="false" customHeight="false" outlineLevel="0" collapsed="false">
      <c r="Q3729" s="11"/>
    </row>
    <row r="3730" customFormat="false" ht="13.5" hidden="false" customHeight="false" outlineLevel="0" collapsed="false">
      <c r="Q3730" s="11"/>
    </row>
    <row r="3731" customFormat="false" ht="13.5" hidden="false" customHeight="false" outlineLevel="0" collapsed="false">
      <c r="Q3731" s="11"/>
    </row>
    <row r="3732" customFormat="false" ht="13.5" hidden="false" customHeight="false" outlineLevel="0" collapsed="false">
      <c r="Q3732" s="11"/>
    </row>
    <row r="3733" customFormat="false" ht="13.5" hidden="false" customHeight="false" outlineLevel="0" collapsed="false">
      <c r="Q3733" s="11"/>
    </row>
    <row r="3734" customFormat="false" ht="13.5" hidden="false" customHeight="false" outlineLevel="0" collapsed="false">
      <c r="Q3734" s="11"/>
    </row>
    <row r="3735" customFormat="false" ht="13.5" hidden="false" customHeight="false" outlineLevel="0" collapsed="false">
      <c r="Q3735" s="11"/>
    </row>
    <row r="3736" customFormat="false" ht="13.5" hidden="false" customHeight="false" outlineLevel="0" collapsed="false">
      <c r="Q3736" s="11"/>
    </row>
    <row r="3737" customFormat="false" ht="13.5" hidden="false" customHeight="false" outlineLevel="0" collapsed="false">
      <c r="Q3737" s="11"/>
    </row>
    <row r="3738" customFormat="false" ht="13.5" hidden="false" customHeight="false" outlineLevel="0" collapsed="false">
      <c r="Q3738" s="11"/>
    </row>
    <row r="3739" customFormat="false" ht="13.5" hidden="false" customHeight="false" outlineLevel="0" collapsed="false">
      <c r="Q3739" s="11"/>
    </row>
    <row r="3740" customFormat="false" ht="13.5" hidden="false" customHeight="false" outlineLevel="0" collapsed="false">
      <c r="Q3740" s="11"/>
    </row>
    <row r="3741" customFormat="false" ht="13.5" hidden="false" customHeight="false" outlineLevel="0" collapsed="false">
      <c r="Q3741" s="11"/>
    </row>
    <row r="3742" customFormat="false" ht="13.5" hidden="false" customHeight="false" outlineLevel="0" collapsed="false">
      <c r="Q3742" s="11"/>
    </row>
    <row r="3743" customFormat="false" ht="13.5" hidden="false" customHeight="false" outlineLevel="0" collapsed="false">
      <c r="Q3743" s="11"/>
    </row>
    <row r="3744" customFormat="false" ht="13.5" hidden="false" customHeight="false" outlineLevel="0" collapsed="false">
      <c r="Q3744" s="11"/>
    </row>
    <row r="3745" customFormat="false" ht="13.5" hidden="false" customHeight="false" outlineLevel="0" collapsed="false">
      <c r="Q3745" s="11"/>
    </row>
    <row r="3746" customFormat="false" ht="13.5" hidden="false" customHeight="false" outlineLevel="0" collapsed="false">
      <c r="Q3746" s="11"/>
    </row>
    <row r="3747" customFormat="false" ht="13.5" hidden="false" customHeight="false" outlineLevel="0" collapsed="false">
      <c r="Q3747" s="11"/>
    </row>
    <row r="3748" customFormat="false" ht="13.5" hidden="false" customHeight="false" outlineLevel="0" collapsed="false">
      <c r="Q3748" s="11"/>
    </row>
    <row r="3749" customFormat="false" ht="13.5" hidden="false" customHeight="false" outlineLevel="0" collapsed="false">
      <c r="Q3749" s="11"/>
    </row>
    <row r="3750" customFormat="false" ht="13.5" hidden="false" customHeight="false" outlineLevel="0" collapsed="false">
      <c r="Q3750" s="11"/>
    </row>
    <row r="3751" customFormat="false" ht="13.5" hidden="false" customHeight="false" outlineLevel="0" collapsed="false">
      <c r="Q3751" s="11"/>
    </row>
    <row r="3752" customFormat="false" ht="13.5" hidden="false" customHeight="false" outlineLevel="0" collapsed="false">
      <c r="Q3752" s="11"/>
    </row>
    <row r="3753" customFormat="false" ht="13.5" hidden="false" customHeight="false" outlineLevel="0" collapsed="false">
      <c r="Q3753" s="11"/>
    </row>
    <row r="3754" customFormat="false" ht="13.5" hidden="false" customHeight="false" outlineLevel="0" collapsed="false">
      <c r="Q3754" s="11"/>
    </row>
    <row r="3755" customFormat="false" ht="13.5" hidden="false" customHeight="false" outlineLevel="0" collapsed="false">
      <c r="Q3755" s="11"/>
    </row>
    <row r="3756" customFormat="false" ht="13.5" hidden="false" customHeight="false" outlineLevel="0" collapsed="false">
      <c r="Q3756" s="11"/>
    </row>
    <row r="3757" customFormat="false" ht="13.5" hidden="false" customHeight="false" outlineLevel="0" collapsed="false">
      <c r="Q3757" s="11"/>
    </row>
    <row r="3758" customFormat="false" ht="13.5" hidden="false" customHeight="false" outlineLevel="0" collapsed="false">
      <c r="Q3758" s="11"/>
    </row>
    <row r="3759" customFormat="false" ht="13.5" hidden="false" customHeight="false" outlineLevel="0" collapsed="false">
      <c r="Q3759" s="11"/>
    </row>
    <row r="3760" customFormat="false" ht="13.5" hidden="false" customHeight="false" outlineLevel="0" collapsed="false">
      <c r="Q3760" s="11"/>
    </row>
    <row r="3761" customFormat="false" ht="13.5" hidden="false" customHeight="false" outlineLevel="0" collapsed="false">
      <c r="Q3761" s="11"/>
    </row>
    <row r="3762" customFormat="false" ht="13.5" hidden="false" customHeight="false" outlineLevel="0" collapsed="false">
      <c r="Q3762" s="11"/>
    </row>
    <row r="3763" customFormat="false" ht="13.5" hidden="false" customHeight="false" outlineLevel="0" collapsed="false">
      <c r="Q3763" s="11"/>
    </row>
    <row r="3764" customFormat="false" ht="13.5" hidden="false" customHeight="false" outlineLevel="0" collapsed="false">
      <c r="Q3764" s="11"/>
    </row>
    <row r="3765" customFormat="false" ht="13.5" hidden="false" customHeight="false" outlineLevel="0" collapsed="false">
      <c r="Q3765" s="11"/>
    </row>
    <row r="3766" customFormat="false" ht="13.5" hidden="false" customHeight="false" outlineLevel="0" collapsed="false">
      <c r="Q3766" s="11"/>
    </row>
    <row r="3767" customFormat="false" ht="13.5" hidden="false" customHeight="false" outlineLevel="0" collapsed="false">
      <c r="Q3767" s="11"/>
    </row>
    <row r="3768" customFormat="false" ht="13.5" hidden="false" customHeight="false" outlineLevel="0" collapsed="false">
      <c r="Q3768" s="11"/>
    </row>
    <row r="3769" customFormat="false" ht="13.5" hidden="false" customHeight="false" outlineLevel="0" collapsed="false">
      <c r="Q3769" s="11"/>
    </row>
    <row r="3770" customFormat="false" ht="13.5" hidden="false" customHeight="false" outlineLevel="0" collapsed="false">
      <c r="Q3770" s="11"/>
    </row>
    <row r="3771" customFormat="false" ht="13.5" hidden="false" customHeight="false" outlineLevel="0" collapsed="false">
      <c r="Q3771" s="11"/>
    </row>
    <row r="3772" customFormat="false" ht="13.5" hidden="false" customHeight="false" outlineLevel="0" collapsed="false">
      <c r="Q3772" s="11"/>
    </row>
    <row r="3773" customFormat="false" ht="13.5" hidden="false" customHeight="false" outlineLevel="0" collapsed="false">
      <c r="Q3773" s="11"/>
    </row>
    <row r="3774" customFormat="false" ht="13.5" hidden="false" customHeight="false" outlineLevel="0" collapsed="false">
      <c r="Q3774" s="11"/>
    </row>
    <row r="3775" customFormat="false" ht="13.5" hidden="false" customHeight="false" outlineLevel="0" collapsed="false">
      <c r="Q3775" s="11"/>
    </row>
    <row r="3776" customFormat="false" ht="13.5" hidden="false" customHeight="false" outlineLevel="0" collapsed="false">
      <c r="Q3776" s="11"/>
    </row>
    <row r="3777" customFormat="false" ht="13.5" hidden="false" customHeight="false" outlineLevel="0" collapsed="false">
      <c r="Q3777" s="11"/>
    </row>
    <row r="3778" customFormat="false" ht="13.5" hidden="false" customHeight="false" outlineLevel="0" collapsed="false">
      <c r="Q3778" s="11"/>
    </row>
    <row r="3779" customFormat="false" ht="13.5" hidden="false" customHeight="false" outlineLevel="0" collapsed="false">
      <c r="Q3779" s="11"/>
    </row>
    <row r="3780" customFormat="false" ht="13.5" hidden="false" customHeight="false" outlineLevel="0" collapsed="false">
      <c r="Q3780" s="11"/>
    </row>
    <row r="3781" customFormat="false" ht="13.5" hidden="false" customHeight="false" outlineLevel="0" collapsed="false">
      <c r="Q3781" s="11"/>
    </row>
    <row r="3782" customFormat="false" ht="13.5" hidden="false" customHeight="false" outlineLevel="0" collapsed="false">
      <c r="Q3782" s="11"/>
    </row>
    <row r="3783" customFormat="false" ht="13.5" hidden="false" customHeight="false" outlineLevel="0" collapsed="false">
      <c r="Q3783" s="11"/>
    </row>
    <row r="3784" customFormat="false" ht="13.5" hidden="false" customHeight="false" outlineLevel="0" collapsed="false">
      <c r="Q3784" s="11"/>
    </row>
    <row r="3785" customFormat="false" ht="13.5" hidden="false" customHeight="false" outlineLevel="0" collapsed="false">
      <c r="Q3785" s="11"/>
    </row>
    <row r="3786" customFormat="false" ht="13.5" hidden="false" customHeight="false" outlineLevel="0" collapsed="false">
      <c r="Q3786" s="11"/>
    </row>
    <row r="3787" customFormat="false" ht="13.5" hidden="false" customHeight="false" outlineLevel="0" collapsed="false">
      <c r="Q3787" s="11"/>
    </row>
    <row r="3788" customFormat="false" ht="13.5" hidden="false" customHeight="false" outlineLevel="0" collapsed="false">
      <c r="Q3788" s="11"/>
    </row>
    <row r="3789" customFormat="false" ht="13.5" hidden="false" customHeight="false" outlineLevel="0" collapsed="false">
      <c r="Q3789" s="11"/>
    </row>
    <row r="3790" customFormat="false" ht="13.5" hidden="false" customHeight="false" outlineLevel="0" collapsed="false">
      <c r="Q3790" s="11"/>
    </row>
    <row r="3791" customFormat="false" ht="13.5" hidden="false" customHeight="false" outlineLevel="0" collapsed="false">
      <c r="Q3791" s="11"/>
    </row>
    <row r="3792" customFormat="false" ht="13.5" hidden="false" customHeight="false" outlineLevel="0" collapsed="false">
      <c r="Q3792" s="11"/>
    </row>
    <row r="3793" customFormat="false" ht="13.5" hidden="false" customHeight="false" outlineLevel="0" collapsed="false">
      <c r="Q3793" s="11"/>
    </row>
    <row r="3794" customFormat="false" ht="13.5" hidden="false" customHeight="false" outlineLevel="0" collapsed="false">
      <c r="Q3794" s="11"/>
    </row>
    <row r="3795" customFormat="false" ht="13.5" hidden="false" customHeight="false" outlineLevel="0" collapsed="false">
      <c r="Q3795" s="11"/>
    </row>
    <row r="3796" customFormat="false" ht="13.5" hidden="false" customHeight="false" outlineLevel="0" collapsed="false">
      <c r="Q3796" s="11"/>
    </row>
    <row r="3797" customFormat="false" ht="13.5" hidden="false" customHeight="false" outlineLevel="0" collapsed="false">
      <c r="Q3797" s="11"/>
    </row>
    <row r="3798" customFormat="false" ht="13.5" hidden="false" customHeight="false" outlineLevel="0" collapsed="false">
      <c r="Q3798" s="11"/>
    </row>
    <row r="3799" customFormat="false" ht="13.5" hidden="false" customHeight="false" outlineLevel="0" collapsed="false">
      <c r="Q3799" s="11"/>
    </row>
    <row r="3800" customFormat="false" ht="13.5" hidden="false" customHeight="false" outlineLevel="0" collapsed="false">
      <c r="Q3800" s="11"/>
    </row>
    <row r="3801" customFormat="false" ht="13.5" hidden="false" customHeight="false" outlineLevel="0" collapsed="false">
      <c r="Q3801" s="11"/>
    </row>
    <row r="3802" customFormat="false" ht="13.5" hidden="false" customHeight="false" outlineLevel="0" collapsed="false">
      <c r="Q3802" s="11"/>
    </row>
    <row r="3803" customFormat="false" ht="13.5" hidden="false" customHeight="false" outlineLevel="0" collapsed="false">
      <c r="Q3803" s="11"/>
    </row>
    <row r="3804" customFormat="false" ht="13.5" hidden="false" customHeight="false" outlineLevel="0" collapsed="false">
      <c r="Q3804" s="11"/>
    </row>
    <row r="3805" customFormat="false" ht="13.5" hidden="false" customHeight="false" outlineLevel="0" collapsed="false">
      <c r="Q3805" s="11"/>
    </row>
    <row r="3806" customFormat="false" ht="13.5" hidden="false" customHeight="false" outlineLevel="0" collapsed="false">
      <c r="Q3806" s="11"/>
    </row>
    <row r="3807" customFormat="false" ht="13.5" hidden="false" customHeight="false" outlineLevel="0" collapsed="false">
      <c r="Q3807" s="11"/>
    </row>
    <row r="3808" customFormat="false" ht="13.5" hidden="false" customHeight="false" outlineLevel="0" collapsed="false">
      <c r="Q3808" s="11"/>
    </row>
    <row r="3809" customFormat="false" ht="13.5" hidden="false" customHeight="false" outlineLevel="0" collapsed="false">
      <c r="Q3809" s="11"/>
    </row>
    <row r="3810" customFormat="false" ht="13.5" hidden="false" customHeight="false" outlineLevel="0" collapsed="false">
      <c r="Q3810" s="11"/>
    </row>
    <row r="3811" customFormat="false" ht="13.5" hidden="false" customHeight="false" outlineLevel="0" collapsed="false">
      <c r="Q3811" s="11"/>
    </row>
    <row r="3812" customFormat="false" ht="13.5" hidden="false" customHeight="false" outlineLevel="0" collapsed="false">
      <c r="Q3812" s="11"/>
    </row>
    <row r="3813" customFormat="false" ht="13.5" hidden="false" customHeight="false" outlineLevel="0" collapsed="false">
      <c r="Q3813" s="11"/>
    </row>
    <row r="3814" customFormat="false" ht="13.5" hidden="false" customHeight="false" outlineLevel="0" collapsed="false">
      <c r="Q3814" s="11"/>
    </row>
    <row r="3815" customFormat="false" ht="13.5" hidden="false" customHeight="false" outlineLevel="0" collapsed="false">
      <c r="Q3815" s="11"/>
    </row>
    <row r="3816" customFormat="false" ht="13.5" hidden="false" customHeight="false" outlineLevel="0" collapsed="false">
      <c r="Q3816" s="11"/>
    </row>
    <row r="3817" customFormat="false" ht="13.5" hidden="false" customHeight="false" outlineLevel="0" collapsed="false">
      <c r="Q3817" s="11"/>
    </row>
    <row r="3818" customFormat="false" ht="13.5" hidden="false" customHeight="false" outlineLevel="0" collapsed="false">
      <c r="Q3818" s="11"/>
    </row>
    <row r="3819" customFormat="false" ht="13.5" hidden="false" customHeight="false" outlineLevel="0" collapsed="false">
      <c r="Q3819" s="11"/>
    </row>
    <row r="3820" customFormat="false" ht="13.5" hidden="false" customHeight="false" outlineLevel="0" collapsed="false">
      <c r="Q3820" s="11"/>
    </row>
    <row r="3821" customFormat="false" ht="13.5" hidden="false" customHeight="false" outlineLevel="0" collapsed="false">
      <c r="Q3821" s="11"/>
    </row>
    <row r="3822" customFormat="false" ht="13.5" hidden="false" customHeight="false" outlineLevel="0" collapsed="false">
      <c r="Q3822" s="11"/>
    </row>
    <row r="3823" customFormat="false" ht="13.5" hidden="false" customHeight="false" outlineLevel="0" collapsed="false">
      <c r="Q3823" s="11"/>
    </row>
    <row r="3824" customFormat="false" ht="13.5" hidden="false" customHeight="false" outlineLevel="0" collapsed="false">
      <c r="Q3824" s="11"/>
    </row>
    <row r="3825" customFormat="false" ht="13.5" hidden="false" customHeight="false" outlineLevel="0" collapsed="false">
      <c r="Q3825" s="11"/>
    </row>
    <row r="3826" customFormat="false" ht="13.5" hidden="false" customHeight="false" outlineLevel="0" collapsed="false">
      <c r="Q3826" s="11"/>
    </row>
    <row r="3827" customFormat="false" ht="13.5" hidden="false" customHeight="false" outlineLevel="0" collapsed="false">
      <c r="Q3827" s="11"/>
    </row>
    <row r="3828" customFormat="false" ht="13.5" hidden="false" customHeight="false" outlineLevel="0" collapsed="false">
      <c r="Q3828" s="11"/>
    </row>
    <row r="3829" customFormat="false" ht="13.5" hidden="false" customHeight="false" outlineLevel="0" collapsed="false">
      <c r="Q3829" s="11"/>
    </row>
    <row r="3830" customFormat="false" ht="13.5" hidden="false" customHeight="false" outlineLevel="0" collapsed="false">
      <c r="Q3830" s="11"/>
    </row>
    <row r="3831" customFormat="false" ht="13.5" hidden="false" customHeight="false" outlineLevel="0" collapsed="false">
      <c r="Q3831" s="11"/>
    </row>
    <row r="3832" customFormat="false" ht="13.5" hidden="false" customHeight="false" outlineLevel="0" collapsed="false">
      <c r="Q3832" s="11"/>
    </row>
    <row r="3833" customFormat="false" ht="13.5" hidden="false" customHeight="false" outlineLevel="0" collapsed="false">
      <c r="Q3833" s="11"/>
    </row>
    <row r="3834" customFormat="false" ht="13.5" hidden="false" customHeight="false" outlineLevel="0" collapsed="false">
      <c r="Q3834" s="11"/>
    </row>
    <row r="3835" customFormat="false" ht="13.5" hidden="false" customHeight="false" outlineLevel="0" collapsed="false">
      <c r="Q3835" s="11"/>
    </row>
    <row r="3836" customFormat="false" ht="13.5" hidden="false" customHeight="false" outlineLevel="0" collapsed="false">
      <c r="Q3836" s="11"/>
    </row>
    <row r="3837" customFormat="false" ht="13.5" hidden="false" customHeight="false" outlineLevel="0" collapsed="false">
      <c r="Q3837" s="11"/>
    </row>
    <row r="3838" customFormat="false" ht="13.5" hidden="false" customHeight="false" outlineLevel="0" collapsed="false">
      <c r="Q3838" s="11"/>
    </row>
    <row r="3839" customFormat="false" ht="13.5" hidden="false" customHeight="false" outlineLevel="0" collapsed="false">
      <c r="Q3839" s="11"/>
    </row>
    <row r="3840" customFormat="false" ht="13.5" hidden="false" customHeight="false" outlineLevel="0" collapsed="false">
      <c r="Q3840" s="11"/>
    </row>
    <row r="3841" customFormat="false" ht="13.5" hidden="false" customHeight="false" outlineLevel="0" collapsed="false">
      <c r="Q3841" s="11"/>
    </row>
    <row r="3842" customFormat="false" ht="13.5" hidden="false" customHeight="false" outlineLevel="0" collapsed="false">
      <c r="Q3842" s="11"/>
    </row>
    <row r="3843" customFormat="false" ht="13.5" hidden="false" customHeight="false" outlineLevel="0" collapsed="false">
      <c r="Q3843" s="11"/>
    </row>
    <row r="3844" customFormat="false" ht="13.5" hidden="false" customHeight="false" outlineLevel="0" collapsed="false">
      <c r="Q3844" s="11"/>
    </row>
    <row r="3845" customFormat="false" ht="13.5" hidden="false" customHeight="false" outlineLevel="0" collapsed="false">
      <c r="Q3845" s="11"/>
    </row>
    <row r="3846" customFormat="false" ht="13.5" hidden="false" customHeight="false" outlineLevel="0" collapsed="false">
      <c r="Q3846" s="11"/>
    </row>
    <row r="3847" customFormat="false" ht="13.5" hidden="false" customHeight="false" outlineLevel="0" collapsed="false">
      <c r="Q3847" s="11"/>
    </row>
    <row r="3848" customFormat="false" ht="13.5" hidden="false" customHeight="false" outlineLevel="0" collapsed="false">
      <c r="Q3848" s="11"/>
    </row>
    <row r="3849" customFormat="false" ht="13.5" hidden="false" customHeight="false" outlineLevel="0" collapsed="false">
      <c r="Q3849" s="11"/>
    </row>
    <row r="3850" customFormat="false" ht="13.5" hidden="false" customHeight="false" outlineLevel="0" collapsed="false">
      <c r="Q3850" s="11"/>
    </row>
    <row r="3851" customFormat="false" ht="13.5" hidden="false" customHeight="false" outlineLevel="0" collapsed="false">
      <c r="Q3851" s="11"/>
    </row>
    <row r="3852" customFormat="false" ht="13.5" hidden="false" customHeight="false" outlineLevel="0" collapsed="false">
      <c r="Q3852" s="11"/>
    </row>
    <row r="3853" customFormat="false" ht="13.5" hidden="false" customHeight="false" outlineLevel="0" collapsed="false">
      <c r="Q3853" s="11"/>
    </row>
    <row r="3854" customFormat="false" ht="13.5" hidden="false" customHeight="false" outlineLevel="0" collapsed="false">
      <c r="Q3854" s="11"/>
    </row>
    <row r="3855" customFormat="false" ht="13.5" hidden="false" customHeight="false" outlineLevel="0" collapsed="false">
      <c r="Q3855" s="11"/>
    </row>
    <row r="3856" customFormat="false" ht="13.5" hidden="false" customHeight="false" outlineLevel="0" collapsed="false">
      <c r="Q3856" s="11"/>
    </row>
    <row r="3857" customFormat="false" ht="13.5" hidden="false" customHeight="false" outlineLevel="0" collapsed="false">
      <c r="Q3857" s="11"/>
    </row>
    <row r="3858" customFormat="false" ht="13.5" hidden="false" customHeight="false" outlineLevel="0" collapsed="false">
      <c r="Q3858" s="11"/>
    </row>
    <row r="3859" customFormat="false" ht="13.5" hidden="false" customHeight="false" outlineLevel="0" collapsed="false">
      <c r="Q3859" s="11"/>
    </row>
    <row r="3860" customFormat="false" ht="13.5" hidden="false" customHeight="false" outlineLevel="0" collapsed="false">
      <c r="Q3860" s="11"/>
    </row>
    <row r="3861" customFormat="false" ht="13.5" hidden="false" customHeight="false" outlineLevel="0" collapsed="false">
      <c r="Q3861" s="11"/>
    </row>
    <row r="3862" customFormat="false" ht="13.5" hidden="false" customHeight="false" outlineLevel="0" collapsed="false">
      <c r="Q3862" s="11"/>
    </row>
    <row r="3863" customFormat="false" ht="13.5" hidden="false" customHeight="false" outlineLevel="0" collapsed="false">
      <c r="Q3863" s="11"/>
    </row>
    <row r="3864" customFormat="false" ht="13.5" hidden="false" customHeight="false" outlineLevel="0" collapsed="false">
      <c r="Q3864" s="11"/>
    </row>
    <row r="3865" customFormat="false" ht="13.5" hidden="false" customHeight="false" outlineLevel="0" collapsed="false">
      <c r="Q3865" s="11"/>
    </row>
    <row r="3866" customFormat="false" ht="13.5" hidden="false" customHeight="false" outlineLevel="0" collapsed="false">
      <c r="Q3866" s="11"/>
    </row>
    <row r="3867" customFormat="false" ht="13.5" hidden="false" customHeight="false" outlineLevel="0" collapsed="false">
      <c r="Q3867" s="11"/>
    </row>
    <row r="3868" customFormat="false" ht="13.5" hidden="false" customHeight="false" outlineLevel="0" collapsed="false">
      <c r="Q3868" s="11"/>
    </row>
    <row r="3869" customFormat="false" ht="13.5" hidden="false" customHeight="false" outlineLevel="0" collapsed="false">
      <c r="Q3869" s="11"/>
    </row>
    <row r="3870" customFormat="false" ht="13.5" hidden="false" customHeight="false" outlineLevel="0" collapsed="false">
      <c r="Q3870" s="11"/>
    </row>
    <row r="3871" customFormat="false" ht="13.5" hidden="false" customHeight="false" outlineLevel="0" collapsed="false">
      <c r="Q3871" s="11"/>
    </row>
    <row r="3872" customFormat="false" ht="13.5" hidden="false" customHeight="false" outlineLevel="0" collapsed="false">
      <c r="Q3872" s="11"/>
    </row>
    <row r="3873" customFormat="false" ht="13.5" hidden="false" customHeight="false" outlineLevel="0" collapsed="false">
      <c r="Q3873" s="11"/>
    </row>
    <row r="3874" customFormat="false" ht="13.5" hidden="false" customHeight="false" outlineLevel="0" collapsed="false">
      <c r="Q3874" s="11"/>
    </row>
    <row r="3875" customFormat="false" ht="13.5" hidden="false" customHeight="false" outlineLevel="0" collapsed="false">
      <c r="Q3875" s="11"/>
    </row>
    <row r="3876" customFormat="false" ht="13.5" hidden="false" customHeight="false" outlineLevel="0" collapsed="false">
      <c r="Q3876" s="11"/>
    </row>
    <row r="3877" customFormat="false" ht="13.5" hidden="false" customHeight="false" outlineLevel="0" collapsed="false">
      <c r="Q3877" s="11"/>
    </row>
    <row r="3878" customFormat="false" ht="13.5" hidden="false" customHeight="false" outlineLevel="0" collapsed="false">
      <c r="Q3878" s="11"/>
    </row>
    <row r="3879" customFormat="false" ht="13.5" hidden="false" customHeight="false" outlineLevel="0" collapsed="false">
      <c r="Q3879" s="11"/>
    </row>
    <row r="3880" customFormat="false" ht="13.5" hidden="false" customHeight="false" outlineLevel="0" collapsed="false">
      <c r="Q3880" s="11"/>
    </row>
    <row r="3881" customFormat="false" ht="13.5" hidden="false" customHeight="false" outlineLevel="0" collapsed="false">
      <c r="Q3881" s="11"/>
    </row>
    <row r="3882" customFormat="false" ht="13.5" hidden="false" customHeight="false" outlineLevel="0" collapsed="false">
      <c r="Q3882" s="11"/>
    </row>
    <row r="3883" customFormat="false" ht="13.5" hidden="false" customHeight="false" outlineLevel="0" collapsed="false">
      <c r="Q3883" s="11"/>
    </row>
    <row r="3884" customFormat="false" ht="13.5" hidden="false" customHeight="false" outlineLevel="0" collapsed="false">
      <c r="Q3884" s="11"/>
    </row>
    <row r="3885" customFormat="false" ht="13.5" hidden="false" customHeight="false" outlineLevel="0" collapsed="false">
      <c r="Q3885" s="11"/>
    </row>
    <row r="3886" customFormat="false" ht="13.5" hidden="false" customHeight="false" outlineLevel="0" collapsed="false">
      <c r="Q3886" s="11"/>
    </row>
    <row r="3887" customFormat="false" ht="13.5" hidden="false" customHeight="false" outlineLevel="0" collapsed="false">
      <c r="Q3887" s="11"/>
    </row>
    <row r="3888" customFormat="false" ht="13.5" hidden="false" customHeight="false" outlineLevel="0" collapsed="false">
      <c r="Q3888" s="11"/>
    </row>
    <row r="3889" customFormat="false" ht="13.5" hidden="false" customHeight="false" outlineLevel="0" collapsed="false">
      <c r="Q3889" s="11"/>
    </row>
    <row r="3890" customFormat="false" ht="13.5" hidden="false" customHeight="false" outlineLevel="0" collapsed="false">
      <c r="Q3890" s="11"/>
    </row>
    <row r="3891" customFormat="false" ht="13.5" hidden="false" customHeight="false" outlineLevel="0" collapsed="false">
      <c r="Q3891" s="11"/>
    </row>
    <row r="3892" customFormat="false" ht="13.5" hidden="false" customHeight="false" outlineLevel="0" collapsed="false">
      <c r="Q3892" s="11"/>
    </row>
    <row r="3893" customFormat="false" ht="13.5" hidden="false" customHeight="false" outlineLevel="0" collapsed="false">
      <c r="Q3893" s="11"/>
    </row>
    <row r="3894" customFormat="false" ht="13.5" hidden="false" customHeight="false" outlineLevel="0" collapsed="false">
      <c r="Q3894" s="11"/>
    </row>
    <row r="3895" customFormat="false" ht="13.5" hidden="false" customHeight="false" outlineLevel="0" collapsed="false">
      <c r="Q3895" s="11"/>
    </row>
    <row r="3896" customFormat="false" ht="13.5" hidden="false" customHeight="false" outlineLevel="0" collapsed="false">
      <c r="Q3896" s="11"/>
    </row>
    <row r="3897" customFormat="false" ht="13.5" hidden="false" customHeight="false" outlineLevel="0" collapsed="false">
      <c r="Q3897" s="11"/>
    </row>
    <row r="3898" customFormat="false" ht="13.5" hidden="false" customHeight="false" outlineLevel="0" collapsed="false">
      <c r="Q3898" s="11"/>
    </row>
    <row r="3899" customFormat="false" ht="13.5" hidden="false" customHeight="false" outlineLevel="0" collapsed="false">
      <c r="Q3899" s="11"/>
    </row>
    <row r="3900" customFormat="false" ht="13.5" hidden="false" customHeight="false" outlineLevel="0" collapsed="false">
      <c r="Q3900" s="11"/>
    </row>
    <row r="3901" customFormat="false" ht="13.5" hidden="false" customHeight="false" outlineLevel="0" collapsed="false">
      <c r="Q3901" s="11"/>
    </row>
    <row r="3902" customFormat="false" ht="13.5" hidden="false" customHeight="false" outlineLevel="0" collapsed="false">
      <c r="Q3902" s="11"/>
    </row>
    <row r="3903" customFormat="false" ht="13.5" hidden="false" customHeight="false" outlineLevel="0" collapsed="false">
      <c r="Q3903" s="11"/>
    </row>
    <row r="3904" customFormat="false" ht="13.5" hidden="false" customHeight="false" outlineLevel="0" collapsed="false">
      <c r="Q3904" s="11"/>
    </row>
    <row r="3905" customFormat="false" ht="13.5" hidden="false" customHeight="false" outlineLevel="0" collapsed="false">
      <c r="Q3905" s="11"/>
    </row>
    <row r="3906" customFormat="false" ht="13.5" hidden="false" customHeight="false" outlineLevel="0" collapsed="false">
      <c r="Q3906" s="11"/>
    </row>
    <row r="3907" customFormat="false" ht="13.5" hidden="false" customHeight="false" outlineLevel="0" collapsed="false">
      <c r="Q3907" s="11"/>
    </row>
    <row r="3908" customFormat="false" ht="13.5" hidden="false" customHeight="false" outlineLevel="0" collapsed="false">
      <c r="Q3908" s="11"/>
    </row>
    <row r="3909" customFormat="false" ht="13.5" hidden="false" customHeight="false" outlineLevel="0" collapsed="false">
      <c r="Q3909" s="11"/>
    </row>
    <row r="3910" customFormat="false" ht="13.5" hidden="false" customHeight="false" outlineLevel="0" collapsed="false">
      <c r="Q3910" s="11"/>
    </row>
    <row r="3911" customFormat="false" ht="13.5" hidden="false" customHeight="false" outlineLevel="0" collapsed="false">
      <c r="Q3911" s="11"/>
    </row>
    <row r="3912" customFormat="false" ht="13.5" hidden="false" customHeight="false" outlineLevel="0" collapsed="false">
      <c r="Q3912" s="11"/>
    </row>
    <row r="3913" customFormat="false" ht="13.5" hidden="false" customHeight="false" outlineLevel="0" collapsed="false">
      <c r="Q3913" s="11"/>
    </row>
    <row r="3914" customFormat="false" ht="13.5" hidden="false" customHeight="false" outlineLevel="0" collapsed="false">
      <c r="Q3914" s="11"/>
    </row>
    <row r="3915" customFormat="false" ht="13.5" hidden="false" customHeight="false" outlineLevel="0" collapsed="false">
      <c r="Q3915" s="11"/>
    </row>
    <row r="3916" customFormat="false" ht="13.5" hidden="false" customHeight="false" outlineLevel="0" collapsed="false">
      <c r="Q3916" s="11"/>
    </row>
    <row r="3917" customFormat="false" ht="13.5" hidden="false" customHeight="false" outlineLevel="0" collapsed="false">
      <c r="Q3917" s="11"/>
    </row>
    <row r="3918" customFormat="false" ht="13.5" hidden="false" customHeight="false" outlineLevel="0" collapsed="false">
      <c r="Q3918" s="11"/>
    </row>
    <row r="3919" customFormat="false" ht="13.5" hidden="false" customHeight="false" outlineLevel="0" collapsed="false">
      <c r="Q3919" s="11"/>
    </row>
    <row r="3920" customFormat="false" ht="13.5" hidden="false" customHeight="false" outlineLevel="0" collapsed="false">
      <c r="Q3920" s="11"/>
    </row>
    <row r="3921" customFormat="false" ht="13.5" hidden="false" customHeight="false" outlineLevel="0" collapsed="false">
      <c r="Q3921" s="11"/>
    </row>
    <row r="3922" customFormat="false" ht="13.5" hidden="false" customHeight="false" outlineLevel="0" collapsed="false">
      <c r="Q3922" s="11"/>
    </row>
    <row r="3923" customFormat="false" ht="13.5" hidden="false" customHeight="false" outlineLevel="0" collapsed="false">
      <c r="Q3923" s="11"/>
    </row>
    <row r="3924" customFormat="false" ht="13.5" hidden="false" customHeight="false" outlineLevel="0" collapsed="false">
      <c r="Q3924" s="11"/>
    </row>
    <row r="3925" customFormat="false" ht="13.5" hidden="false" customHeight="false" outlineLevel="0" collapsed="false">
      <c r="Q3925" s="11"/>
    </row>
    <row r="3926" customFormat="false" ht="13.5" hidden="false" customHeight="false" outlineLevel="0" collapsed="false">
      <c r="Q3926" s="11"/>
    </row>
    <row r="3927" customFormat="false" ht="13.5" hidden="false" customHeight="false" outlineLevel="0" collapsed="false">
      <c r="Q3927" s="11"/>
    </row>
    <row r="3928" customFormat="false" ht="13.5" hidden="false" customHeight="false" outlineLevel="0" collapsed="false">
      <c r="Q3928" s="11"/>
    </row>
    <row r="3929" customFormat="false" ht="13.5" hidden="false" customHeight="false" outlineLevel="0" collapsed="false">
      <c r="Q3929" s="11"/>
    </row>
    <row r="3930" customFormat="false" ht="13.5" hidden="false" customHeight="false" outlineLevel="0" collapsed="false">
      <c r="Q3930" s="11"/>
    </row>
    <row r="3931" customFormat="false" ht="13.5" hidden="false" customHeight="false" outlineLevel="0" collapsed="false">
      <c r="Q3931" s="11"/>
    </row>
    <row r="3932" customFormat="false" ht="13.5" hidden="false" customHeight="false" outlineLevel="0" collapsed="false">
      <c r="Q3932" s="11"/>
    </row>
    <row r="3933" customFormat="false" ht="13.5" hidden="false" customHeight="false" outlineLevel="0" collapsed="false">
      <c r="Q3933" s="11"/>
    </row>
    <row r="3934" customFormat="false" ht="13.5" hidden="false" customHeight="false" outlineLevel="0" collapsed="false">
      <c r="Q3934" s="11"/>
    </row>
    <row r="3935" customFormat="false" ht="13.5" hidden="false" customHeight="false" outlineLevel="0" collapsed="false">
      <c r="Q3935" s="11"/>
    </row>
    <row r="3936" customFormat="false" ht="13.5" hidden="false" customHeight="false" outlineLevel="0" collapsed="false">
      <c r="Q3936" s="11"/>
    </row>
    <row r="3937" customFormat="false" ht="13.5" hidden="false" customHeight="false" outlineLevel="0" collapsed="false">
      <c r="Q3937" s="11"/>
    </row>
    <row r="3938" customFormat="false" ht="13.5" hidden="false" customHeight="false" outlineLevel="0" collapsed="false">
      <c r="Q3938" s="11"/>
    </row>
    <row r="3939" customFormat="false" ht="13.5" hidden="false" customHeight="false" outlineLevel="0" collapsed="false">
      <c r="Q3939" s="11"/>
    </row>
    <row r="3940" customFormat="false" ht="13.5" hidden="false" customHeight="false" outlineLevel="0" collapsed="false">
      <c r="Q3940" s="11"/>
    </row>
    <row r="3941" customFormat="false" ht="13.5" hidden="false" customHeight="false" outlineLevel="0" collapsed="false">
      <c r="Q3941" s="11"/>
    </row>
    <row r="3942" customFormat="false" ht="13.5" hidden="false" customHeight="false" outlineLevel="0" collapsed="false">
      <c r="Q3942" s="11"/>
    </row>
    <row r="3943" customFormat="false" ht="13.5" hidden="false" customHeight="false" outlineLevel="0" collapsed="false">
      <c r="Q3943" s="11"/>
    </row>
    <row r="3944" customFormat="false" ht="13.5" hidden="false" customHeight="false" outlineLevel="0" collapsed="false">
      <c r="Q3944" s="11"/>
    </row>
    <row r="3945" customFormat="false" ht="13.5" hidden="false" customHeight="false" outlineLevel="0" collapsed="false">
      <c r="Q3945" s="11"/>
    </row>
    <row r="3946" customFormat="false" ht="13.5" hidden="false" customHeight="false" outlineLevel="0" collapsed="false">
      <c r="Q3946" s="11"/>
    </row>
    <row r="3947" customFormat="false" ht="13.5" hidden="false" customHeight="false" outlineLevel="0" collapsed="false">
      <c r="Q3947" s="11"/>
    </row>
    <row r="3948" customFormat="false" ht="13.5" hidden="false" customHeight="false" outlineLevel="0" collapsed="false">
      <c r="Q3948" s="11"/>
    </row>
    <row r="3949" customFormat="false" ht="13.5" hidden="false" customHeight="false" outlineLevel="0" collapsed="false">
      <c r="Q3949" s="11"/>
    </row>
    <row r="3950" customFormat="false" ht="13.5" hidden="false" customHeight="false" outlineLevel="0" collapsed="false">
      <c r="Q3950" s="11"/>
    </row>
    <row r="3951" customFormat="false" ht="13.5" hidden="false" customHeight="false" outlineLevel="0" collapsed="false">
      <c r="Q3951" s="11"/>
    </row>
    <row r="3952" customFormat="false" ht="13.5" hidden="false" customHeight="false" outlineLevel="0" collapsed="false">
      <c r="Q3952" s="11"/>
    </row>
    <row r="3953" customFormat="false" ht="13.5" hidden="false" customHeight="false" outlineLevel="0" collapsed="false">
      <c r="Q3953" s="11"/>
    </row>
    <row r="3954" customFormat="false" ht="13.5" hidden="false" customHeight="false" outlineLevel="0" collapsed="false">
      <c r="Q3954" s="11"/>
    </row>
    <row r="3955" customFormat="false" ht="13.5" hidden="false" customHeight="false" outlineLevel="0" collapsed="false">
      <c r="Q3955" s="11"/>
    </row>
    <row r="3956" customFormat="false" ht="13.5" hidden="false" customHeight="false" outlineLevel="0" collapsed="false">
      <c r="Q3956" s="11"/>
    </row>
    <row r="3957" customFormat="false" ht="13.5" hidden="false" customHeight="false" outlineLevel="0" collapsed="false">
      <c r="Q3957" s="11"/>
    </row>
    <row r="3958" customFormat="false" ht="13.5" hidden="false" customHeight="false" outlineLevel="0" collapsed="false">
      <c r="Q3958" s="11"/>
    </row>
    <row r="3959" customFormat="false" ht="13.5" hidden="false" customHeight="false" outlineLevel="0" collapsed="false">
      <c r="Q3959" s="11"/>
    </row>
    <row r="3960" customFormat="false" ht="13.5" hidden="false" customHeight="false" outlineLevel="0" collapsed="false">
      <c r="Q3960" s="11"/>
    </row>
    <row r="3961" customFormat="false" ht="13.5" hidden="false" customHeight="false" outlineLevel="0" collapsed="false">
      <c r="Q3961" s="11"/>
    </row>
    <row r="3962" customFormat="false" ht="13.5" hidden="false" customHeight="false" outlineLevel="0" collapsed="false">
      <c r="Q3962" s="11"/>
    </row>
    <row r="3963" customFormat="false" ht="13.5" hidden="false" customHeight="false" outlineLevel="0" collapsed="false">
      <c r="Q3963" s="11"/>
    </row>
    <row r="3964" customFormat="false" ht="13.5" hidden="false" customHeight="false" outlineLevel="0" collapsed="false">
      <c r="Q3964" s="11"/>
    </row>
    <row r="3965" customFormat="false" ht="13.5" hidden="false" customHeight="false" outlineLevel="0" collapsed="false">
      <c r="Q3965" s="11"/>
    </row>
    <row r="3966" customFormat="false" ht="13.5" hidden="false" customHeight="false" outlineLevel="0" collapsed="false">
      <c r="Q3966" s="11"/>
    </row>
    <row r="3967" customFormat="false" ht="13.5" hidden="false" customHeight="false" outlineLevel="0" collapsed="false">
      <c r="Q3967" s="11"/>
    </row>
    <row r="3968" customFormat="false" ht="13.5" hidden="false" customHeight="false" outlineLevel="0" collapsed="false">
      <c r="Q3968" s="11"/>
    </row>
    <row r="3969" customFormat="false" ht="13.5" hidden="false" customHeight="false" outlineLevel="0" collapsed="false">
      <c r="Q3969" s="11"/>
    </row>
    <row r="3970" customFormat="false" ht="13.5" hidden="false" customHeight="false" outlineLevel="0" collapsed="false">
      <c r="Q3970" s="11"/>
    </row>
    <row r="3971" customFormat="false" ht="13.5" hidden="false" customHeight="false" outlineLevel="0" collapsed="false">
      <c r="Q3971" s="11"/>
    </row>
    <row r="3972" customFormat="false" ht="13.5" hidden="false" customHeight="false" outlineLevel="0" collapsed="false">
      <c r="Q3972" s="11"/>
    </row>
    <row r="3973" customFormat="false" ht="13.5" hidden="false" customHeight="false" outlineLevel="0" collapsed="false">
      <c r="Q3973" s="11"/>
    </row>
    <row r="3974" customFormat="false" ht="13.5" hidden="false" customHeight="false" outlineLevel="0" collapsed="false">
      <c r="Q3974" s="11"/>
    </row>
    <row r="3975" customFormat="false" ht="13.5" hidden="false" customHeight="false" outlineLevel="0" collapsed="false">
      <c r="Q3975" s="11"/>
    </row>
    <row r="3976" customFormat="false" ht="13.5" hidden="false" customHeight="false" outlineLevel="0" collapsed="false">
      <c r="Q3976" s="11"/>
    </row>
    <row r="3977" customFormat="false" ht="13.5" hidden="false" customHeight="false" outlineLevel="0" collapsed="false">
      <c r="Q3977" s="11"/>
    </row>
    <row r="3978" customFormat="false" ht="13.5" hidden="false" customHeight="false" outlineLevel="0" collapsed="false">
      <c r="Q3978" s="11"/>
    </row>
    <row r="3979" customFormat="false" ht="13.5" hidden="false" customHeight="false" outlineLevel="0" collapsed="false">
      <c r="Q3979" s="11"/>
    </row>
    <row r="3980" customFormat="false" ht="13.5" hidden="false" customHeight="false" outlineLevel="0" collapsed="false">
      <c r="Q3980" s="11"/>
    </row>
    <row r="3981" customFormat="false" ht="13.5" hidden="false" customHeight="false" outlineLevel="0" collapsed="false">
      <c r="Q3981" s="11"/>
    </row>
    <row r="3982" customFormat="false" ht="13.5" hidden="false" customHeight="false" outlineLevel="0" collapsed="false">
      <c r="Q3982" s="11"/>
    </row>
    <row r="3983" customFormat="false" ht="13.5" hidden="false" customHeight="false" outlineLevel="0" collapsed="false">
      <c r="Q3983" s="11"/>
    </row>
    <row r="3984" customFormat="false" ht="13.5" hidden="false" customHeight="false" outlineLevel="0" collapsed="false">
      <c r="Q3984" s="11"/>
    </row>
    <row r="3985" customFormat="false" ht="13.5" hidden="false" customHeight="false" outlineLevel="0" collapsed="false">
      <c r="Q3985" s="11"/>
    </row>
    <row r="3986" customFormat="false" ht="13.5" hidden="false" customHeight="false" outlineLevel="0" collapsed="false">
      <c r="Q3986" s="11"/>
    </row>
    <row r="3987" customFormat="false" ht="13.5" hidden="false" customHeight="false" outlineLevel="0" collapsed="false">
      <c r="Q3987" s="11"/>
    </row>
    <row r="3988" customFormat="false" ht="13.5" hidden="false" customHeight="false" outlineLevel="0" collapsed="false">
      <c r="Q3988" s="11"/>
    </row>
    <row r="3989" customFormat="false" ht="13.5" hidden="false" customHeight="false" outlineLevel="0" collapsed="false">
      <c r="Q3989" s="11"/>
    </row>
    <row r="3990" customFormat="false" ht="13.5" hidden="false" customHeight="false" outlineLevel="0" collapsed="false">
      <c r="Q3990" s="11"/>
    </row>
    <row r="3991" customFormat="false" ht="13.5" hidden="false" customHeight="false" outlineLevel="0" collapsed="false">
      <c r="Q3991" s="11"/>
    </row>
    <row r="3992" customFormat="false" ht="13.5" hidden="false" customHeight="false" outlineLevel="0" collapsed="false">
      <c r="Q3992" s="11"/>
    </row>
    <row r="3993" customFormat="false" ht="13.5" hidden="false" customHeight="false" outlineLevel="0" collapsed="false">
      <c r="Q3993" s="11"/>
    </row>
    <row r="3994" customFormat="false" ht="13.5" hidden="false" customHeight="false" outlineLevel="0" collapsed="false">
      <c r="Q3994" s="11"/>
    </row>
    <row r="3995" customFormat="false" ht="13.5" hidden="false" customHeight="false" outlineLevel="0" collapsed="false">
      <c r="Q3995" s="11"/>
    </row>
    <row r="3996" customFormat="false" ht="13.5" hidden="false" customHeight="false" outlineLevel="0" collapsed="false">
      <c r="Q3996" s="11"/>
    </row>
    <row r="3997" customFormat="false" ht="13.5" hidden="false" customHeight="false" outlineLevel="0" collapsed="false">
      <c r="Q3997" s="11"/>
    </row>
    <row r="3998" customFormat="false" ht="13.5" hidden="false" customHeight="false" outlineLevel="0" collapsed="false">
      <c r="Q3998" s="11"/>
    </row>
    <row r="3999" customFormat="false" ht="13.5" hidden="false" customHeight="false" outlineLevel="0" collapsed="false">
      <c r="Q3999" s="11"/>
    </row>
    <row r="4000" customFormat="false" ht="13.5" hidden="false" customHeight="false" outlineLevel="0" collapsed="false">
      <c r="Q4000" s="11"/>
    </row>
  </sheetData>
  <conditionalFormatting sqref="N2:N263">
    <cfRule type="containsText" priority="2" operator="containsText" aboveAverage="0" equalAverage="0" bottom="0" percent="0" rank="0" text="UNMAPPED" dxfId="17">
      <formula>NOT(ISERROR(SEARCH("UNMAPPED",N2)))</formula>
    </cfRule>
  </conditionalFormatting>
  <conditionalFormatting sqref="Q2:Q263">
    <cfRule type="containsText" priority="3" operator="containsText" aboveAverage="0" equalAverage="0" bottom="0" percent="0" rank="0" text="DUPLICATE" dxfId="17">
      <formula>NOT(ISERROR(SEARCH("DUPLICATE",Q2)))</formula>
    </cfRule>
  </conditionalFormatting>
  <conditionalFormatting sqref="Q2:Q5000">
    <cfRule type="containsText" priority="4" operator="containsText" aboveAverage="0" equalAverage="0" bottom="0" percent="0" rank="0" text="OK" dxfId="11">
      <formula>NOT(ISERROR(SEARCH("OK",Q2)))</formula>
    </cfRule>
    <cfRule type="containsText" priority="5" operator="containsText" aboveAverage="0" equalAverage="0" bottom="0" percent="0" rank="0" text="REVIEW" dxfId="12">
      <formula>NOT(ISERROR(SEARCH("REVIEW",Q2)))</formula>
    </cfRule>
    <cfRule type="containsText" priority="6" operator="containsText" aboveAverage="0" equalAverage="0" bottom="0" percent="0" rank="0" text="NOT LOADED" dxfId="13">
      <formula>NOT(ISERROR(SEARCH("NOT LOADED",Q2)))</formula>
    </cfRule>
    <cfRule type="containsText" priority="7" operator="containsText" aboveAverage="0" equalAverage="0" bottom="0" percent="0" rank="0" text="FAIL" dxfId="14">
      <formula>NOT(ISERROR(SEARCH("FAIL",Q2)))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.6"/>
    <col collapsed="false" customWidth="true" hidden="false" outlineLevel="0" max="6" min="3" style="1" width="20"/>
    <col collapsed="false" customWidth="true" hidden="false" outlineLevel="0" max="7" min="7" style="1" width="30"/>
    <col collapsed="false" customWidth="true" hidden="false" outlineLevel="0" max="8" min="8" style="1" width="20"/>
    <col collapsed="false" customWidth="true" hidden="false" outlineLevel="0" max="10" min="9" style="1" width="15.64"/>
    <col collapsed="false" customWidth="true" hidden="false" outlineLevel="0" max="11" min="11" style="1" width="24.64"/>
  </cols>
  <sheetData>
    <row r="1" customFormat="false" ht="15" hidden="false" customHeight="true" outlineLevel="0" collapsed="false">
      <c r="A1" s="150" t="str">
        <f aca="false">"Project Activity ↔ Trial Balance Reconciliation — "&amp;Controls!$B$8&amp;" — "&amp;Controls!$B$30</f>
        <v>Project Activity ↔ Trial Balance Reconciliation — PC Ghana — 2026-Q2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3.5" hidden="false" customHeight="false" outlineLevel="0" collapsed="false">
      <c r="A2" s="12" t="s">
        <v>1715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13.5" hidden="false" customHeight="false" outlineLevel="0" collapsed="false">
      <c r="A3" s="151" t="s">
        <v>1716</v>
      </c>
      <c r="B3" s="12"/>
      <c r="C3" s="151" t="n">
        <f aca="false">SUMPRODUCT(MAX({1,2,3,4}*(COUNTIF(Trial_Balance!$B$2:$B$995,Controls!$B$5&amp;"-Q"&amp;{1,2,3,4})&gt;0)))</f>
        <v>2</v>
      </c>
      <c r="D3" s="151" t="s">
        <v>1717</v>
      </c>
      <c r="E3" s="12"/>
      <c r="F3" s="151" t="n">
        <f aca="false">VALUE(MID(Controls!$B$6,2,1))</f>
        <v>2</v>
      </c>
      <c r="G3" s="151" t="str">
        <f aca="false">IF($C$3=0,"NO TRIAL BALANCE LOADED — reconciliation pending",IF($F$3&gt;$C$3,"TB lags selection — comparing year-to-date through Q"&amp;$C$3,"TB loaded for selected period"))</f>
        <v>TB loaded for selected period</v>
      </c>
      <c r="H3" s="12"/>
      <c r="I3" s="12"/>
      <c r="J3" s="12"/>
      <c r="K3" s="12"/>
    </row>
    <row r="4" customFormat="false" ht="13.5" hidden="false" customHeight="false" outlineLevel="0" collapsed="false">
      <c r="A4" s="151" t="s">
        <v>1718</v>
      </c>
      <c r="B4" s="12"/>
      <c r="C4" s="151" t="n">
        <f aca="false">IF($C$3=0,0,MIN($C$3,$F$3))</f>
        <v>2</v>
      </c>
      <c r="D4" s="151" t="s">
        <v>1719</v>
      </c>
      <c r="E4" s="12"/>
      <c r="F4" s="152" t="n">
        <v>1</v>
      </c>
      <c r="G4" s="12"/>
      <c r="H4" s="12"/>
      <c r="I4" s="12"/>
      <c r="J4" s="12"/>
      <c r="K4" s="12"/>
    </row>
    <row r="5" customFormat="false" ht="13.5" hidden="false" customHeight="false" outlineLevel="0" collapsed="false">
      <c r="A5" s="109" t="s">
        <v>796</v>
      </c>
      <c r="B5" s="109" t="s">
        <v>1720</v>
      </c>
      <c r="C5" s="109" t="s">
        <v>1721</v>
      </c>
      <c r="D5" s="109" t="s">
        <v>1722</v>
      </c>
      <c r="E5" s="109" t="s">
        <v>1723</v>
      </c>
      <c r="F5" s="109" t="s">
        <v>1724</v>
      </c>
      <c r="G5" s="109" t="s">
        <v>837</v>
      </c>
      <c r="H5" s="109" t="s">
        <v>1725</v>
      </c>
      <c r="I5" s="12"/>
      <c r="J5" s="12"/>
      <c r="K5" s="12"/>
    </row>
    <row r="6" customFormat="false" ht="13.5" hidden="false" customHeight="false" outlineLevel="0" collapsed="false">
      <c r="A6" s="12" t="n">
        <f aca="false">IF(MM_Income!$Z$5="","",MM_Income!$Z$5)</f>
        <v>4000</v>
      </c>
      <c r="B6" s="12" t="str">
        <f aca="false">IF($A6="","",MM_Income!$AA$5)</f>
        <v>External Income</v>
      </c>
      <c r="C6" s="153" t="n">
        <f aca="false">IF($A6="","",IF($C$4=0,0,SUMIFS(Project_Activity!$P$2:$P$2991,Project_Activity!$L$2:$L$2991,$A6,Project_Activity!$A$2:$A$2991,Controls!$B$7,Project_Activity!$B$2:$B$2991,"&gt;="&amp;Controls!$B$5&amp;"-Q1",Project_Activity!$B$2:$B$2991,"&lt;="&amp;Controls!$B$5&amp;"-Q"&amp;$C$4)))</f>
        <v>-4654338.81</v>
      </c>
      <c r="D6" s="153" t="n">
        <f aca="false">IF($A6="","",IF($C$4=0,0,SUMIFS(Trial_Balance!$H$2:$H$995,Trial_Balance!$C$2:$C$995,TEXT($A6,"0"),Trial_Balance!$A$2:$A$995,Controls!$B$7,Trial_Balance!$B$2:$B$995,Controls!$B$5&amp;"-Q"&amp;$C$4)))</f>
        <v>-4710230.64</v>
      </c>
      <c r="E6" s="153" t="n">
        <f aca="false">IF($A6="","",$C6-$D6)</f>
        <v>55891.8300000001</v>
      </c>
      <c r="F6" s="12" t="str">
        <f aca="false">IF($A6="","",IF($C$4=0,"TB PENDING",IF(ABS($E6)&lt;=$F$4,IF($F$3&gt;$C$3,"RECONCILED — to TB Q"&amp;$C$4,"RECONCILED"),IF($A6&lt;4000,"INFO — balance-sheet code: TB is cumulative position vs PA YTD movements",IF(OR($G6="Programme Income",LEFT($G6,12)="Other Income"),"INFO — entity-level income: not booked to projects",IF(LEFT($G6,8)="Excluded","INFO — overhead code: TB includes non-project fixed costs","VARIANCE — investigate"))))))</f>
        <v>VARIANCE — investigate</v>
      </c>
      <c r="G6" s="12" t="str">
        <f aca="false">IF($A6="","",MM_Income!$AB$5)</f>
        <v>Invoiced Income</v>
      </c>
      <c r="H6" s="153" t="n">
        <f aca="false">IF($A6="","",SUMIFS(Project_Activity!$P$2:$P$2991,Project_Activity!$L$2:$L$2991,$A6,Project_Activity!$A$2:$A$2991,Controls!$B$7,Project_Activity!$B$2:$B$2991,Controls!$B$30))</f>
        <v>-2259484.63</v>
      </c>
      <c r="I6" s="12"/>
      <c r="J6" s="12"/>
      <c r="K6" s="12"/>
    </row>
    <row r="7" customFormat="false" ht="13.5" hidden="false" customHeight="false" outlineLevel="0" collapsed="false">
      <c r="A7" s="12" t="n">
        <f aca="false">IF(MM_Income!$Z$6="","",MM_Income!$Z$6)</f>
        <v>4010</v>
      </c>
      <c r="B7" s="12" t="str">
        <f aca="false">IF($A7="","",MM_Income!$AA$6)</f>
        <v>Mirror PCGH + PIUK</v>
      </c>
      <c r="C7" s="153" t="n">
        <f aca="false">IF($A7="","",IF($C$4=0,0,SUMIFS(Project_Activity!$P$2:$P$2991,Project_Activity!$L$2:$L$2991,$A7,Project_Activity!$A$2:$A$2991,Controls!$B$7,Project_Activity!$B$2:$B$2991,"&gt;="&amp;Controls!$B$5&amp;"-Q1",Project_Activity!$B$2:$B$2991,"&lt;="&amp;Controls!$B$5&amp;"-Q"&amp;$C$4)))</f>
        <v>0</v>
      </c>
      <c r="D7" s="153" t="n">
        <f aca="false">IF($A7="","",IF($C$4=0,0,SUMIFS(Trial_Balance!$H$2:$H$995,Trial_Balance!$C$2:$C$995,TEXT($A7,"0"),Trial_Balance!$A$2:$A$995,Controls!$B$7,Trial_Balance!$B$2:$B$995,Controls!$B$5&amp;"-Q"&amp;$C$4)))</f>
        <v>0</v>
      </c>
      <c r="E7" s="153" t="n">
        <f aca="false">IF($A7="","",$C7-$D7)</f>
        <v>0</v>
      </c>
      <c r="F7" s="12" t="str">
        <f aca="false">IF($A7="","",IF($C$4=0,"TB PENDING",IF(ABS($E7)&lt;=$F$4,IF($F$3&gt;$C$3,"RECONCILED — to TB Q"&amp;$C$4,"RECONCILED"),IF($A7&lt;4000,"INFO — balance-sheet code: TB is cumulative position vs PA YTD movements",IF(OR($G7="Programme Income",LEFT($G7,12)="Other Income"),"INFO — entity-level income: not booked to projects",IF(LEFT($G7,8)="Excluded","INFO — overhead code: TB includes non-project fixed costs","VARIANCE — investigate"))))))</f>
        <v>RECONCILED</v>
      </c>
      <c r="G7" s="12" t="str">
        <f aca="false">IF($A7="","",MM_Income!$AB$6)</f>
        <v>Invoiced Income</v>
      </c>
      <c r="H7" s="153" t="n">
        <f aca="false">IF($A7="","",SUMIFS(Project_Activity!$P$2:$P$2991,Project_Activity!$L$2:$L$2991,$A7,Project_Activity!$A$2:$A$2991,Controls!$B$7,Project_Activity!$B$2:$B$2991,Controls!$B$30))</f>
        <v>0</v>
      </c>
      <c r="I7" s="12"/>
      <c r="J7" s="12"/>
      <c r="K7" s="12"/>
    </row>
    <row r="8" customFormat="false" ht="13.5" hidden="false" customHeight="false" outlineLevel="0" collapsed="false">
      <c r="A8" s="12" t="n">
        <f aca="false">IF(MM_Income!$Z$7="","",MM_Income!$Z$7)</f>
        <v>4020</v>
      </c>
      <c r="B8" s="12" t="str">
        <f aca="false">IF($A8="","",MM_Income!$AA$7)</f>
        <v>Mirror PCGH + PB</v>
      </c>
      <c r="C8" s="153" t="n">
        <f aca="false">IF($A8="","",IF($C$4=0,0,SUMIFS(Project_Activity!$P$2:$P$2991,Project_Activity!$L$2:$L$2991,$A8,Project_Activity!$A$2:$A$2991,Controls!$B$7,Project_Activity!$B$2:$B$2991,"&gt;="&amp;Controls!$B$5&amp;"-Q1",Project_Activity!$B$2:$B$2991,"&lt;="&amp;Controls!$B$5&amp;"-Q"&amp;$C$4)))</f>
        <v>0</v>
      </c>
      <c r="D8" s="153" t="n">
        <f aca="false">IF($A8="","",IF($C$4=0,0,SUMIFS(Trial_Balance!$H$2:$H$995,Trial_Balance!$C$2:$C$995,TEXT($A8,"0"),Trial_Balance!$A$2:$A$995,Controls!$B$7,Trial_Balance!$B$2:$B$995,Controls!$B$5&amp;"-Q"&amp;$C$4)))</f>
        <v>0</v>
      </c>
      <c r="E8" s="153" t="n">
        <f aca="false">IF($A8="","",$C8-$D8)</f>
        <v>0</v>
      </c>
      <c r="F8" s="12" t="str">
        <f aca="false">IF($A8="","",IF($C$4=0,"TB PENDING",IF(ABS($E8)&lt;=$F$4,IF($F$3&gt;$C$3,"RECONCILED — to TB Q"&amp;$C$4,"RECONCILED"),IF($A8&lt;4000,"INFO — balance-sheet code: TB is cumulative position vs PA YTD movements",IF(OR($G8="Programme Income",LEFT($G8,12)="Other Income"),"INFO — entity-level income: not booked to projects",IF(LEFT($G8,8)="Excluded","INFO — overhead code: TB includes non-project fixed costs","VARIANCE — investigate"))))))</f>
        <v>RECONCILED</v>
      </c>
      <c r="G8" s="12" t="str">
        <f aca="false">IF($A8="","",MM_Income!$AB$7)</f>
        <v>Invoiced Income</v>
      </c>
      <c r="H8" s="153" t="n">
        <f aca="false">IF($A8="","",SUMIFS(Project_Activity!$P$2:$P$2991,Project_Activity!$L$2:$L$2991,$A8,Project_Activity!$A$2:$A$2991,Controls!$B$7,Project_Activity!$B$2:$B$2991,Controls!$B$30))</f>
        <v>0</v>
      </c>
      <c r="I8" s="12"/>
      <c r="J8" s="12"/>
      <c r="K8" s="12"/>
    </row>
    <row r="9" customFormat="false" ht="13.5" hidden="false" customHeight="false" outlineLevel="0" collapsed="false">
      <c r="A9" s="12" t="n">
        <f aca="false">IF(MM_Income!$Z$8="","",MM_Income!$Z$8)</f>
        <v>4040</v>
      </c>
      <c r="B9" s="12" t="str">
        <f aca="false">IF($A9="","",MM_Income!$AA$8)</f>
        <v>Mirror PCGH + PM</v>
      </c>
      <c r="C9" s="153" t="n">
        <f aca="false">IF($A9="","",IF($C$4=0,0,SUMIFS(Project_Activity!$P$2:$P$2991,Project_Activity!$L$2:$L$2991,$A9,Project_Activity!$A$2:$A$2991,Controls!$B$7,Project_Activity!$B$2:$B$2991,"&gt;="&amp;Controls!$B$5&amp;"-Q1",Project_Activity!$B$2:$B$2991,"&lt;="&amp;Controls!$B$5&amp;"-Q"&amp;$C$4)))</f>
        <v>0</v>
      </c>
      <c r="D9" s="153" t="n">
        <f aca="false">IF($A9="","",IF($C$4=0,0,SUMIFS(Trial_Balance!$H$2:$H$995,Trial_Balance!$C$2:$C$995,TEXT($A9,"0"),Trial_Balance!$A$2:$A$995,Controls!$B$7,Trial_Balance!$B$2:$B$995,Controls!$B$5&amp;"-Q"&amp;$C$4)))</f>
        <v>0</v>
      </c>
      <c r="E9" s="153" t="n">
        <f aca="false">IF($A9="","",$C9-$D9)</f>
        <v>0</v>
      </c>
      <c r="F9" s="12" t="str">
        <f aca="false">IF($A9="","",IF($C$4=0,"TB PENDING",IF(ABS($E9)&lt;=$F$4,IF($F$3&gt;$C$3,"RECONCILED — to TB Q"&amp;$C$4,"RECONCILED"),IF($A9&lt;4000,"INFO — balance-sheet code: TB is cumulative position vs PA YTD movements",IF(OR($G9="Programme Income",LEFT($G9,12)="Other Income"),"INFO — entity-level income: not booked to projects",IF(LEFT($G9,8)="Excluded","INFO — overhead code: TB includes non-project fixed costs","VARIANCE — investigate"))))))</f>
        <v>RECONCILED</v>
      </c>
      <c r="G9" s="12" t="str">
        <f aca="false">IF($A9="","",MM_Income!$AB$8)</f>
        <v>Invoiced Income</v>
      </c>
      <c r="H9" s="153" t="n">
        <f aca="false">IF($A9="","",SUMIFS(Project_Activity!$P$2:$P$2991,Project_Activity!$L$2:$L$2991,$A9,Project_Activity!$A$2:$A$2991,Controls!$B$7,Project_Activity!$B$2:$B$2991,Controls!$B$30))</f>
        <v>0</v>
      </c>
      <c r="I9" s="12"/>
      <c r="J9" s="12"/>
      <c r="K9" s="12"/>
    </row>
    <row r="10" customFormat="false" ht="13.5" hidden="false" customHeight="false" outlineLevel="0" collapsed="false">
      <c r="A10" s="12" t="n">
        <f aca="false">IF(MM_Income!$Z$9="","",MM_Income!$Z$9)</f>
        <v>4050</v>
      </c>
      <c r="B10" s="12" t="str">
        <f aca="false">IF($A10="","",MM_Income!$AA$9)</f>
        <v>Mirror PCGH + PCUK</v>
      </c>
      <c r="C10" s="153" t="n">
        <f aca="false">IF($A10="","",IF($C$4=0,0,SUMIFS(Project_Activity!$P$2:$P$2991,Project_Activity!$L$2:$L$2991,$A10,Project_Activity!$A$2:$A$2991,Controls!$B$7,Project_Activity!$B$2:$B$2991,"&gt;="&amp;Controls!$B$5&amp;"-Q1",Project_Activity!$B$2:$B$2991,"&lt;="&amp;Controls!$B$5&amp;"-Q"&amp;$C$4)))</f>
        <v>-2417179.07</v>
      </c>
      <c r="D10" s="153" t="n">
        <f aca="false">IF($A10="","",IF($C$4=0,0,SUMIFS(Trial_Balance!$H$2:$H$995,Trial_Balance!$C$2:$C$995,TEXT($A10,"0"),Trial_Balance!$A$2:$A$995,Controls!$B$7,Trial_Balance!$B$2:$B$995,Controls!$B$5&amp;"-Q"&amp;$C$4)))</f>
        <v>-2486538.68</v>
      </c>
      <c r="E10" s="153" t="n">
        <f aca="false">IF($A10="","",$C10-$D10)</f>
        <v>69359.6100000003</v>
      </c>
      <c r="F10" s="12" t="str">
        <f aca="false">IF($A10="","",IF($C$4=0,"TB PENDING",IF(ABS($E10)&lt;=$F$4,IF($F$3&gt;$C$3,"RECONCILED — to TB Q"&amp;$C$4,"RECONCILED"),IF($A10&lt;4000,"INFO — balance-sheet code: TB is cumulative position vs PA YTD movements",IF(OR($G10="Programme Income",LEFT($G10,12)="Other Income"),"INFO — entity-level income: not booked to projects",IF(LEFT($G10,8)="Excluded","INFO — overhead code: TB includes non-project fixed costs","VARIANCE — investigate"))))))</f>
        <v>VARIANCE — investigate</v>
      </c>
      <c r="G10" s="12" t="str">
        <f aca="false">IF($A10="","",MM_Income!$AB$9)</f>
        <v>Invoiced Income</v>
      </c>
      <c r="H10" s="153" t="n">
        <f aca="false">IF($A10="","",SUMIFS(Project_Activity!$P$2:$P$2991,Project_Activity!$L$2:$L$2991,$A10,Project_Activity!$A$2:$A$2991,Controls!$B$7,Project_Activity!$B$2:$B$2991,Controls!$B$30))</f>
        <v>-2110139.6</v>
      </c>
      <c r="I10" s="12"/>
      <c r="J10" s="12"/>
      <c r="K10" s="12"/>
    </row>
    <row r="11" customFormat="false" ht="13.5" hidden="false" customHeight="false" outlineLevel="0" collapsed="false">
      <c r="A11" s="12" t="n">
        <f aca="false">IF(MM_Income!$Z$10="","",MM_Income!$Z$10)</f>
        <v>4120</v>
      </c>
      <c r="B11" s="12" t="str">
        <f aca="false">IF($A11="","",MM_Income!$AA$10)</f>
        <v>Training Income</v>
      </c>
      <c r="C11" s="153" t="n">
        <f aca="false">IF($A11="","",IF($C$4=0,0,SUMIFS(Project_Activity!$P$2:$P$2991,Project_Activity!$L$2:$L$2991,$A11,Project_Activity!$A$2:$A$2991,Controls!$B$7,Project_Activity!$B$2:$B$2991,"&gt;="&amp;Controls!$B$5&amp;"-Q1",Project_Activity!$B$2:$B$2991,"&lt;="&amp;Controls!$B$5&amp;"-Q"&amp;$C$4)))</f>
        <v>0</v>
      </c>
      <c r="D11" s="153" t="n">
        <f aca="false">IF($A11="","",IF($C$4=0,0,SUMIFS(Trial_Balance!$H$2:$H$995,Trial_Balance!$C$2:$C$995,TEXT($A11,"0"),Trial_Balance!$A$2:$A$995,Controls!$B$7,Trial_Balance!$B$2:$B$995,Controls!$B$5&amp;"-Q"&amp;$C$4)))</f>
        <v>0</v>
      </c>
      <c r="E11" s="153" t="n">
        <f aca="false">IF($A11="","",$C11-$D11)</f>
        <v>0</v>
      </c>
      <c r="F11" s="12" t="str">
        <f aca="false">IF($A11="","",IF($C$4=0,"TB PENDING",IF(ABS($E11)&lt;=$F$4,IF($F$3&gt;$C$3,"RECONCILED — to TB Q"&amp;$C$4,"RECONCILED"),IF($A11&lt;4000,"INFO — balance-sheet code: TB is cumulative position vs PA YTD movements",IF(OR($G11="Programme Income",LEFT($G11,12)="Other Income"),"INFO — entity-level income: not booked to projects",IF(LEFT($G11,8)="Excluded","INFO — overhead code: TB includes non-project fixed costs","VARIANCE — investigate"))))))</f>
        <v>RECONCILED</v>
      </c>
      <c r="G11" s="12" t="str">
        <f aca="false">IF($A11="","",MM_Income!$AB$10)</f>
        <v>Invoiced Income</v>
      </c>
      <c r="H11" s="153" t="n">
        <f aca="false">IF($A11="","",SUMIFS(Project_Activity!$P$2:$P$2991,Project_Activity!$L$2:$L$2991,$A11,Project_Activity!$A$2:$A$2991,Controls!$B$7,Project_Activity!$B$2:$B$2991,Controls!$B$30))</f>
        <v>0</v>
      </c>
      <c r="I11" s="12"/>
      <c r="J11" s="12"/>
      <c r="K11" s="12"/>
    </row>
    <row r="12" customFormat="false" ht="13.5" hidden="false" customHeight="false" outlineLevel="0" collapsed="false">
      <c r="A12" s="12" t="n">
        <f aca="false">IF(MM_Income!$Z$11="","",MM_Income!$Z$11)</f>
        <v>4200</v>
      </c>
      <c r="B12" s="12" t="str">
        <f aca="false">IF($A12="","",MM_Income!$AA$11)</f>
        <v>Recoverable expenses invoiced</v>
      </c>
      <c r="C12" s="153" t="n">
        <f aca="false">IF($A12="","",IF($C$4=0,0,SUMIFS(Project_Activity!$P$2:$P$2991,Project_Activity!$L$2:$L$2991,$A12,Project_Activity!$A$2:$A$2991,Controls!$B$7,Project_Activity!$B$2:$B$2991,"&gt;="&amp;Controls!$B$5&amp;"-Q1",Project_Activity!$B$2:$B$2991,"&lt;="&amp;Controls!$B$5&amp;"-Q"&amp;$C$4)))</f>
        <v>-918306.96</v>
      </c>
      <c r="D12" s="153" t="n">
        <f aca="false">IF($A12="","",IF($C$4=0,0,SUMIFS(Trial_Balance!$H$2:$H$995,Trial_Balance!$C$2:$C$995,TEXT($A12,"0"),Trial_Balance!$A$2:$A$995,Controls!$B$7,Trial_Balance!$B$2:$B$995,Controls!$B$5&amp;"-Q"&amp;$C$4)))</f>
        <v>-918121.21</v>
      </c>
      <c r="E12" s="153" t="n">
        <f aca="false">IF($A12="","",$C12-$D12)</f>
        <v>-185.75</v>
      </c>
      <c r="F12" s="12" t="str">
        <f aca="false">IF($A12="","",IF($C$4=0,"TB PENDING",IF(ABS($E12)&lt;=$F$4,IF($F$3&gt;$C$3,"RECONCILED — to TB Q"&amp;$C$4,"RECONCILED"),IF($A12&lt;4000,"INFO — balance-sheet code: TB is cumulative position vs PA YTD movements",IF(OR($G12="Programme Income",LEFT($G12,12)="Other Income"),"INFO — entity-level income: not booked to projects",IF(LEFT($G12,8)="Excluded","INFO — overhead code: TB includes non-project fixed costs","VARIANCE — investigate"))))))</f>
        <v>VARIANCE — investigate</v>
      </c>
      <c r="G12" s="12" t="str">
        <f aca="false">IF($A12="","",MM_Income!$AB$11)</f>
        <v>Recovered Expenses</v>
      </c>
      <c r="H12" s="153" t="n">
        <f aca="false">IF($A12="","",SUMIFS(Project_Activity!$P$2:$P$2991,Project_Activity!$L$2:$L$2991,$A12,Project_Activity!$A$2:$A$2991,Controls!$B$7,Project_Activity!$B$2:$B$2991,Controls!$B$30))</f>
        <v>-532493.61</v>
      </c>
      <c r="I12" s="12"/>
      <c r="J12" s="12"/>
      <c r="K12" s="12"/>
    </row>
    <row r="13" customFormat="false" ht="13.5" hidden="false" customHeight="false" outlineLevel="0" collapsed="false">
      <c r="A13" s="12" t="n">
        <f aca="false">IF(MM_Income!$Z$12="","",MM_Income!$Z$12)</f>
        <v>5000</v>
      </c>
      <c r="B13" s="12" t="str">
        <f aca="false">IF($A13="","",MM_Income!$AA$12)</f>
        <v>Subcontractor Expenses paid</v>
      </c>
      <c r="C13" s="153" t="n">
        <f aca="false">IF($A13="","",IF($C$4=0,0,SUMIFS(Project_Activity!$P$2:$P$2991,Project_Activity!$L$2:$L$2991,$A13,Project_Activity!$A$2:$A$2991,Controls!$B$7,Project_Activity!$B$2:$B$2991,"&gt;="&amp;Controls!$B$5&amp;"-Q1",Project_Activity!$B$2:$B$2991,"&lt;="&amp;Controls!$B$5&amp;"-Q"&amp;$C$4)))</f>
        <v>498422.2</v>
      </c>
      <c r="D13" s="153" t="n">
        <f aca="false">IF($A13="","",IF($C$4=0,0,SUMIFS(Trial_Balance!$H$2:$H$995,Trial_Balance!$C$2:$C$995,TEXT($A13,"0"),Trial_Balance!$A$2:$A$995,Controls!$B$7,Trial_Balance!$B$2:$B$995,Controls!$B$5&amp;"-Q"&amp;$C$4)))</f>
        <v>498422.2</v>
      </c>
      <c r="E13" s="153" t="n">
        <f aca="false">IF($A13="","",$C13-$D13)</f>
        <v>0</v>
      </c>
      <c r="F13" s="12" t="str">
        <f aca="false">IF($A13="","",IF($C$4=0,"TB PENDING",IF(ABS($E13)&lt;=$F$4,IF($F$3&gt;$C$3,"RECONCILED — to TB Q"&amp;$C$4,"RECONCILED"),IF($A13&lt;4000,"INFO — balance-sheet code: TB is cumulative position vs PA YTD movements",IF(OR($G13="Programme Income",LEFT($G13,12)="Other Income"),"INFO — entity-level income: not booked to projects",IF(LEFT($G13,8)="Excluded","INFO — overhead code: TB includes non-project fixed costs","VARIANCE — investigate"))))))</f>
        <v>RECONCILED</v>
      </c>
      <c r="G13" s="12" t="str">
        <f aca="false">IF($A13="","",MM_Income!$AB$12)</f>
        <v>Subcontractor</v>
      </c>
      <c r="H13" s="153" t="n">
        <f aca="false">IF($A13="","",SUMIFS(Project_Activity!$P$2:$P$2991,Project_Activity!$L$2:$L$2991,$A13,Project_Activity!$A$2:$A$2991,Controls!$B$7,Project_Activity!$B$2:$B$2991,Controls!$B$30))</f>
        <v>466322.22</v>
      </c>
      <c r="I13" s="12"/>
      <c r="J13" s="12"/>
      <c r="K13" s="12"/>
    </row>
    <row r="14" customFormat="false" ht="13.5" hidden="false" customHeight="false" outlineLevel="0" collapsed="false">
      <c r="A14" s="12" t="n">
        <f aca="false">IF(MM_Income!$Z$13="","",MM_Income!$Z$13)</f>
        <v>5200</v>
      </c>
      <c r="B14" s="12" t="str">
        <f aca="false">IF($A14="","",MM_Income!$AA$13)</f>
        <v>Recoverable expenses paid</v>
      </c>
      <c r="C14" s="153" t="n">
        <f aca="false">IF($A14="","",IF($C$4=0,0,SUMIFS(Project_Activity!$P$2:$P$2991,Project_Activity!$L$2:$L$2991,$A14,Project_Activity!$A$2:$A$2991,Controls!$B$7,Project_Activity!$B$2:$B$2991,"&gt;="&amp;Controls!$B$5&amp;"-Q1",Project_Activity!$B$2:$B$2991,"&lt;="&amp;Controls!$B$5&amp;"-Q"&amp;$C$4)))</f>
        <v>916571.49</v>
      </c>
      <c r="D14" s="153" t="n">
        <f aca="false">IF($A14="","",IF($C$4=0,0,SUMIFS(Trial_Balance!$H$2:$H$995,Trial_Balance!$C$2:$C$995,TEXT($A14,"0"),Trial_Balance!$A$2:$A$995,Controls!$B$7,Trial_Balance!$B$2:$B$995,Controls!$B$5&amp;"-Q"&amp;$C$4)))</f>
        <v>968118.94</v>
      </c>
      <c r="E14" s="153" t="n">
        <f aca="false">IF($A14="","",$C14-$D14)</f>
        <v>-51547.45</v>
      </c>
      <c r="F14" s="12" t="str">
        <f aca="false">IF($A14="","",IF($C$4=0,"TB PENDING",IF(ABS($E14)&lt;=$F$4,IF($F$3&gt;$C$3,"RECONCILED — to TB Q"&amp;$C$4,"RECONCILED"),IF($A14&lt;4000,"INFO — balance-sheet code: TB is cumulative position vs PA YTD movements",IF(OR($G14="Programme Income",LEFT($G14,12)="Other Income"),"INFO — entity-level income: not booked to projects",IF(LEFT($G14,8)="Excluded","INFO — overhead code: TB includes non-project fixed costs","VARIANCE — investigate"))))))</f>
        <v>VARIANCE — investigate</v>
      </c>
      <c r="G14" s="12" t="str">
        <f aca="false">IF($A14="","",MM_Income!$AB$13)</f>
        <v>Recoverable</v>
      </c>
      <c r="H14" s="153" t="n">
        <f aca="false">IF($A14="","",SUMIFS(Project_Activity!$P$2:$P$2991,Project_Activity!$L$2:$L$2991,$A14,Project_Activity!$A$2:$A$2991,Controls!$B$7,Project_Activity!$B$2:$B$2991,Controls!$B$30))</f>
        <v>764678.07</v>
      </c>
      <c r="I14" s="12"/>
      <c r="J14" s="12"/>
      <c r="K14" s="12"/>
    </row>
    <row r="15" customFormat="false" ht="13.5" hidden="false" customHeight="false" outlineLevel="0" collapsed="false">
      <c r="A15" s="12" t="n">
        <f aca="false">IF(MM_Income!$Z$14="","",MM_Income!$Z$14)</f>
        <v>5250</v>
      </c>
      <c r="B15" s="12" t="str">
        <f aca="false">IF($A15="","",MM_Income!$AA$14)</f>
        <v>Non-Recoverable expenses paid</v>
      </c>
      <c r="C15" s="153" t="n">
        <f aca="false">IF($A15="","",IF($C$4=0,0,SUMIFS(Project_Activity!$P$2:$P$2991,Project_Activity!$L$2:$L$2991,$A15,Project_Activity!$A$2:$A$2991,Controls!$B$7,Project_Activity!$B$2:$B$2991,"&gt;="&amp;Controls!$B$5&amp;"-Q1",Project_Activity!$B$2:$B$2991,"&lt;="&amp;Controls!$B$5&amp;"-Q"&amp;$C$4)))</f>
        <v>85088.29</v>
      </c>
      <c r="D15" s="153" t="n">
        <f aca="false">IF($A15="","",IF($C$4=0,0,SUMIFS(Trial_Balance!$H$2:$H$995,Trial_Balance!$C$2:$C$995,TEXT($A15,"0"),Trial_Balance!$A$2:$A$995,Controls!$B$7,Trial_Balance!$B$2:$B$995,Controls!$B$5&amp;"-Q"&amp;$C$4)))</f>
        <v>85088.29</v>
      </c>
      <c r="E15" s="153" t="n">
        <f aca="false">IF($A15="","",$C15-$D15)</f>
        <v>0</v>
      </c>
      <c r="F15" s="12" t="str">
        <f aca="false">IF($A15="","",IF($C$4=0,"TB PENDING",IF(ABS($E15)&lt;=$F$4,IF($F$3&gt;$C$3,"RECONCILED — to TB Q"&amp;$C$4,"RECONCILED"),IF($A15&lt;4000,"INFO — balance-sheet code: TB is cumulative position vs PA YTD movements",IF(OR($G15="Programme Income",LEFT($G15,12)="Other Income"),"INFO — entity-level income: not booked to projects",IF(LEFT($G15,8)="Excluded","INFO — overhead code: TB includes non-project fixed costs","VARIANCE — investigate"))))))</f>
        <v>RECONCILED</v>
      </c>
      <c r="G15" s="12" t="str">
        <f aca="false">IF($A15="","",MM_Income!$AB$14)</f>
        <v>Non-Recoverable</v>
      </c>
      <c r="H15" s="153" t="n">
        <f aca="false">IF($A15="","",SUMIFS(Project_Activity!$P$2:$P$2991,Project_Activity!$L$2:$L$2991,$A15,Project_Activity!$A$2:$A$2991,Controls!$B$7,Project_Activity!$B$2:$B$2991,Controls!$B$30))</f>
        <v>84976.29</v>
      </c>
      <c r="I15" s="12"/>
      <c r="J15" s="12"/>
      <c r="K15" s="12"/>
    </row>
    <row r="16" customFormat="false" ht="13.5" hidden="false" customHeight="false" outlineLevel="0" collapsed="false">
      <c r="A16" s="12" t="n">
        <f aca="false">IF(MM_Income!$Z$15="","",MM_Income!$Z$15)</f>
        <v>5300</v>
      </c>
      <c r="B16" s="12" t="str">
        <f aca="false">IF($A16="","",MM_Income!$AA$15)</f>
        <v>Project Inclusive expenses paid</v>
      </c>
      <c r="C16" s="153" t="n">
        <f aca="false">IF($A16="","",IF($C$4=0,0,SUMIFS(Project_Activity!$P$2:$P$2991,Project_Activity!$L$2:$L$2991,$A16,Project_Activity!$A$2:$A$2991,Controls!$B$7,Project_Activity!$B$2:$B$2991,"&gt;="&amp;Controls!$B$5&amp;"-Q1",Project_Activity!$B$2:$B$2991,"&lt;="&amp;Controls!$B$5&amp;"-Q"&amp;$C$4)))</f>
        <v>0</v>
      </c>
      <c r="D16" s="153" t="n">
        <f aca="false">IF($A16="","",IF($C$4=0,0,SUMIFS(Trial_Balance!$H$2:$H$995,Trial_Balance!$C$2:$C$995,TEXT($A16,"0"),Trial_Balance!$A$2:$A$995,Controls!$B$7,Trial_Balance!$B$2:$B$995,Controls!$B$5&amp;"-Q"&amp;$C$4)))</f>
        <v>0</v>
      </c>
      <c r="E16" s="153" t="n">
        <f aca="false">IF($A16="","",$C16-$D16)</f>
        <v>0</v>
      </c>
      <c r="F16" s="12" t="str">
        <f aca="false">IF($A16="","",IF($C$4=0,"TB PENDING",IF(ABS($E16)&lt;=$F$4,IF($F$3&gt;$C$3,"RECONCILED — to TB Q"&amp;$C$4,"RECONCILED"),IF($A16&lt;4000,"INFO — balance-sheet code: TB is cumulative position vs PA YTD movements",IF(OR($G16="Programme Income",LEFT($G16,12)="Other Income"),"INFO — entity-level income: not booked to projects",IF(LEFT($G16,8)="Excluded","INFO — overhead code: TB includes non-project fixed costs","VARIANCE — investigate"))))))</f>
        <v>RECONCILED</v>
      </c>
      <c r="G16" s="12" t="str">
        <f aca="false">IF($A16="","",MM_Income!$AB$15)</f>
        <v>Project Inclusive</v>
      </c>
      <c r="H16" s="153" t="n">
        <f aca="false">IF($A16="","",SUMIFS(Project_Activity!$P$2:$P$2991,Project_Activity!$L$2:$L$2991,$A16,Project_Activity!$A$2:$A$2991,Controls!$B$7,Project_Activity!$B$2:$B$2991,Controls!$B$30))</f>
        <v>0</v>
      </c>
      <c r="I16" s="12"/>
      <c r="J16" s="12"/>
      <c r="K16" s="12"/>
    </row>
    <row r="17" customFormat="false" ht="13.5" hidden="false" customHeight="false" outlineLevel="0" collapsed="false">
      <c r="A17" s="12" t="n">
        <f aca="false">IF(MM_Income!$Z$16="","",MM_Income!$Z$16)</f>
        <v>4002</v>
      </c>
      <c r="B17" s="12" t="str">
        <f aca="false">IF($A17="","",MM_Income!$AA$16)</f>
        <v>Programme Grant Income</v>
      </c>
      <c r="C17" s="153" t="n">
        <f aca="false">IF($A17="","",IF($C$4=0,0,SUMIFS(Project_Activity!$P$2:$P$2991,Project_Activity!$L$2:$L$2991,$A17,Project_Activity!$A$2:$A$2991,Controls!$B$7,Project_Activity!$B$2:$B$2991,"&gt;="&amp;Controls!$B$5&amp;"-Q1",Project_Activity!$B$2:$B$2991,"&lt;="&amp;Controls!$B$5&amp;"-Q"&amp;$C$4)))</f>
        <v>0</v>
      </c>
      <c r="D17" s="153" t="n">
        <f aca="false">IF($A17="","",IF($C$4=0,0,SUMIFS(Trial_Balance!$H$2:$H$995,Trial_Balance!$C$2:$C$995,TEXT($A17,"0"),Trial_Balance!$A$2:$A$995,Controls!$B$7,Trial_Balance!$B$2:$B$995,Controls!$B$5&amp;"-Q"&amp;$C$4)))</f>
        <v>-1338817.4</v>
      </c>
      <c r="E17" s="153" t="n">
        <f aca="false">IF($A17="","",$C17-$D17)</f>
        <v>1338817.4</v>
      </c>
      <c r="F17" s="12" t="str">
        <f aca="false">IF($A17="","",IF($C$4=0,"TB PENDING",IF(ABS($E17)&lt;=$F$4,IF($F$3&gt;$C$3,"RECONCILED — to TB Q"&amp;$C$4,"RECONCILED"),IF($A17&lt;4000,"INFO — balance-sheet code: TB is cumulative position vs PA YTD movements",IF(OR($G17="Programme Income",LEFT($G17,12)="Other Income"),"INFO — entity-level income: not booked to projects",IF(LEFT($G17,8)="Excluded","INFO — overhead code: TB includes non-project fixed costs","VARIANCE — investigate"))))))</f>
        <v>INFO — entity-level income: not booked to projects</v>
      </c>
      <c r="G17" s="12" t="str">
        <f aca="false">IF($A17="","",MM_Income!$AB$16)</f>
        <v>Programme Income</v>
      </c>
      <c r="H17" s="153" t="n">
        <f aca="false">IF($A17="","",SUMIFS(Project_Activity!$P$2:$P$2991,Project_Activity!$L$2:$L$2991,$A17,Project_Activity!$A$2:$A$2991,Controls!$B$7,Project_Activity!$B$2:$B$2991,Controls!$B$30))</f>
        <v>0</v>
      </c>
      <c r="I17" s="12"/>
      <c r="J17" s="12"/>
      <c r="K17" s="12"/>
    </row>
    <row r="18" customFormat="false" ht="13.5" hidden="false" customHeight="false" outlineLevel="0" collapsed="false">
      <c r="A18" s="12" t="n">
        <f aca="false">IF(MM_Income!$Z$17="","",MM_Income!$Z$17)</f>
        <v>4903</v>
      </c>
      <c r="B18" s="12" t="str">
        <f aca="false">IF($A18="","",MM_Income!$AA$17)</f>
        <v>Miscellaneous Income</v>
      </c>
      <c r="C18" s="153" t="n">
        <f aca="false">IF($A18="","",IF($C$4=0,0,SUMIFS(Project_Activity!$P$2:$P$2991,Project_Activity!$L$2:$L$2991,$A18,Project_Activity!$A$2:$A$2991,Controls!$B$7,Project_Activity!$B$2:$B$2991,"&gt;="&amp;Controls!$B$5&amp;"-Q1",Project_Activity!$B$2:$B$2991,"&lt;="&amp;Controls!$B$5&amp;"-Q"&amp;$C$4)))</f>
        <v>0</v>
      </c>
      <c r="D18" s="153" t="n">
        <f aca="false">IF($A18="","",IF($C$4=0,0,SUMIFS(Trial_Balance!$H$2:$H$995,Trial_Balance!$C$2:$C$995,TEXT($A18,"0"),Trial_Balance!$A$2:$A$995,Controls!$B$7,Trial_Balance!$B$2:$B$995,Controls!$B$5&amp;"-Q"&amp;$C$4)))</f>
        <v>-397851.93</v>
      </c>
      <c r="E18" s="153" t="n">
        <f aca="false">IF($A18="","",$C18-$D18)</f>
        <v>397851.93</v>
      </c>
      <c r="F18" s="12" t="str">
        <f aca="false">IF($A18="","",IF($C$4=0,"TB PENDING",IF(ABS($E18)&lt;=$F$4,IF($F$3&gt;$C$3,"RECONCILED — to TB Q"&amp;$C$4,"RECONCILED"),IF($A18&lt;4000,"INFO — balance-sheet code: TB is cumulative position vs PA YTD movements",IF(OR($G18="Programme Income",LEFT($G18,12)="Other Income"),"INFO — entity-level income: not booked to projects",IF(LEFT($G18,8)="Excluded","INFO — overhead code: TB includes non-project fixed costs","VARIANCE — investigate"))))))</f>
        <v>INFO — entity-level income: not booked to projects</v>
      </c>
      <c r="G18" s="12" t="str">
        <f aca="false">IF($A18="","",MM_Income!$AB$17)</f>
        <v>Other Income — Miscellaneous</v>
      </c>
      <c r="H18" s="153" t="n">
        <f aca="false">IF($A18="","",SUMIFS(Project_Activity!$P$2:$P$2991,Project_Activity!$L$2:$L$2991,$A18,Project_Activity!$A$2:$A$2991,Controls!$B$7,Project_Activity!$B$2:$B$2991,Controls!$B$30))</f>
        <v>0</v>
      </c>
      <c r="I18" s="12"/>
      <c r="J18" s="12"/>
      <c r="K18" s="12"/>
    </row>
    <row r="19" customFormat="false" ht="13.5" hidden="false" customHeight="false" outlineLevel="0" collapsed="false">
      <c r="A19" s="12" t="n">
        <f aca="false">IF(MM_Income!$Z$18="","",MM_Income!$Z$18)</f>
        <v>4905</v>
      </c>
      <c r="B19" s="12" t="str">
        <f aca="false">IF($A19="","",MM_Income!$AA$18)</f>
        <v>Management Fee Income</v>
      </c>
      <c r="C19" s="153" t="n">
        <f aca="false">IF($A19="","",IF($C$4=0,0,SUMIFS(Project_Activity!$P$2:$P$2991,Project_Activity!$L$2:$L$2991,$A19,Project_Activity!$A$2:$A$2991,Controls!$B$7,Project_Activity!$B$2:$B$2991,"&gt;="&amp;Controls!$B$5&amp;"-Q1",Project_Activity!$B$2:$B$2991,"&lt;="&amp;Controls!$B$5&amp;"-Q"&amp;$C$4)))</f>
        <v>0</v>
      </c>
      <c r="D19" s="153" t="n">
        <f aca="false">IF($A19="","",IF($C$4=0,0,SUMIFS(Trial_Balance!$H$2:$H$995,Trial_Balance!$C$2:$C$995,TEXT($A19,"0"),Trial_Balance!$A$2:$A$995,Controls!$B$7,Trial_Balance!$B$2:$B$995,Controls!$B$5&amp;"-Q"&amp;$C$4)))</f>
        <v>0</v>
      </c>
      <c r="E19" s="153" t="n">
        <f aca="false">IF($A19="","",$C19-$D19)</f>
        <v>0</v>
      </c>
      <c r="F19" s="12" t="str">
        <f aca="false">IF($A19="","",IF($C$4=0,"TB PENDING",IF(ABS($E19)&lt;=$F$4,IF($F$3&gt;$C$3,"RECONCILED — to TB Q"&amp;$C$4,"RECONCILED"),IF($A19&lt;4000,"INFO — balance-sheet code: TB is cumulative position vs PA YTD movements",IF(OR($G19="Programme Income",LEFT($G19,12)="Other Income"),"INFO — entity-level income: not booked to projects",IF(LEFT($G19,8)="Excluded","INFO — overhead code: TB includes non-project fixed costs","VARIANCE — investigate"))))))</f>
        <v>RECONCILED</v>
      </c>
      <c r="G19" s="12" t="str">
        <f aca="false">IF($A19="","",MM_Income!$AB$18)</f>
        <v>Other Income — Cost Recovery</v>
      </c>
      <c r="H19" s="153" t="n">
        <f aca="false">IF($A19="","",SUMIFS(Project_Activity!$P$2:$P$2991,Project_Activity!$L$2:$L$2991,$A19,Project_Activity!$A$2:$A$2991,Controls!$B$7,Project_Activity!$B$2:$B$2991,Controls!$B$30))</f>
        <v>0</v>
      </c>
      <c r="I19" s="12"/>
      <c r="J19" s="12"/>
      <c r="K19" s="12"/>
    </row>
    <row r="20" customFormat="false" ht="13.5" hidden="false" customHeight="false" outlineLevel="0" collapsed="false">
      <c r="A20" s="12" t="n">
        <f aca="false">IF(MM_Income!$Z$19="","",MM_Income!$Z$19)</f>
        <v>2203</v>
      </c>
      <c r="B20" s="12" t="str">
        <f aca="false">IF($A20="","",MM_Income!$AA$19)</f>
        <v>GETFUND/NHIL levy on project purchases</v>
      </c>
      <c r="C20" s="153" t="n">
        <f aca="false">IF($A20="","",IF($C$4=0,0,SUMIFS(Project_Activity!$P$2:$P$2991,Project_Activity!$L$2:$L$2991,$A20,Project_Activity!$A$2:$A$2991,Controls!$B$7,Project_Activity!$B$2:$B$2991,"&gt;="&amp;Controls!$B$5&amp;"-Q1",Project_Activity!$B$2:$B$2991,"&lt;="&amp;Controls!$B$5&amp;"-Q"&amp;$C$4)))</f>
        <v>1050</v>
      </c>
      <c r="D20" s="153" t="n">
        <f aca="false">IF($A20="","",IF($C$4=0,0,SUMIFS(Trial_Balance!$H$2:$H$995,Trial_Balance!$C$2:$C$995,TEXT($A20,"0"),Trial_Balance!$A$2:$A$995,Controls!$B$7,Trial_Balance!$B$2:$B$995,Controls!$B$5&amp;"-Q"&amp;$C$4)))</f>
        <v>1497</v>
      </c>
      <c r="E20" s="153" t="n">
        <f aca="false">IF($A20="","",$C20-$D20)</f>
        <v>-446.999999999999</v>
      </c>
      <c r="F20" s="12" t="str">
        <f aca="false">IF($A20="","",IF($C$4=0,"TB PENDING",IF(ABS($E20)&lt;=$F$4,IF($F$3&gt;$C$3,"RECONCILED — to TB Q"&amp;$C$4,"RECONCILED"),IF($A20&lt;4000,"INFO — balance-sheet code: TB is cumulative position vs PA YTD movements",IF(OR($G20="Programme Income",LEFT($G20,12)="Other Income"),"INFO — entity-level income: not booked to projects",IF(LEFT($G20,8)="Excluded","INFO — overhead code: TB includes non-project fixed costs","VARIANCE — investigate"))))))</f>
        <v>INFO — balance-sheet code: TB is cumulative position vs PA YTD movements</v>
      </c>
      <c r="G20" s="12" t="str">
        <f aca="false">IF($A20="","",MM_Income!$AB$19)</f>
        <v>Project Inclusive</v>
      </c>
      <c r="H20" s="153" t="n">
        <f aca="false">IF($A20="","",SUMIFS(Project_Activity!$P$2:$P$2991,Project_Activity!$L$2:$L$2991,$A20,Project_Activity!$A$2:$A$2991,Controls!$B$7,Project_Activity!$B$2:$B$2991,Controls!$B$30))</f>
        <v>1050</v>
      </c>
      <c r="I20" s="12"/>
      <c r="J20" s="12"/>
      <c r="K20" s="12"/>
    </row>
    <row r="21" customFormat="false" ht="13.5" hidden="false" customHeight="false" outlineLevel="0" collapsed="false">
      <c r="A21" s="12" t="n">
        <f aca="false">IF(MM_Income!$Z$20="","",MM_Income!$Z$20)</f>
        <v>7150</v>
      </c>
      <c r="B21" s="12" t="str">
        <f aca="false">IF($A21="","",MM_Income!$AA$20)</f>
        <v>Health and safety (project-charged)</v>
      </c>
      <c r="C21" s="153" t="n">
        <f aca="false">IF($A21="","",IF($C$4=0,0,SUMIFS(Project_Activity!$P$2:$P$2991,Project_Activity!$L$2:$L$2991,$A21,Project_Activity!$A$2:$A$2991,Controls!$B$7,Project_Activity!$B$2:$B$2991,"&gt;="&amp;Controls!$B$5&amp;"-Q1",Project_Activity!$B$2:$B$2991,"&lt;="&amp;Controls!$B$5&amp;"-Q"&amp;$C$4)))</f>
        <v>85.21</v>
      </c>
      <c r="D21" s="153" t="n">
        <f aca="false">IF($A21="","",IF($C$4=0,0,SUMIFS(Trial_Balance!$H$2:$H$995,Trial_Balance!$C$2:$C$995,TEXT($A21,"0"),Trial_Balance!$A$2:$A$995,Controls!$B$7,Trial_Balance!$B$2:$B$995,Controls!$B$5&amp;"-Q"&amp;$C$4)))</f>
        <v>11089.71</v>
      </c>
      <c r="E21" s="153" t="n">
        <f aca="false">IF($A21="","",$C21-$D21)</f>
        <v>-11004.5</v>
      </c>
      <c r="F21" s="12" t="str">
        <f aca="false">IF($A21="","",IF($C$4=0,"TB PENDING",IF(ABS($E21)&lt;=$F$4,IF($F$3&gt;$C$3,"RECONCILED — to TB Q"&amp;$C$4,"RECONCILED"),IF($A21&lt;4000,"INFO — balance-sheet code: TB is cumulative position vs PA YTD movements",IF(OR($G21="Programme Income",LEFT($G21,12)="Other Income"),"INFO — entity-level income: not booked to projects",IF(LEFT($G21,8)="Excluded","INFO — overhead code: TB includes non-project fixed costs","VARIANCE — investigate"))))))</f>
        <v>INFO — overhead code: TB includes non-project fixed costs</v>
      </c>
      <c r="G21" s="12" t="str">
        <f aca="false">IF($A21="","",MM_Income!$AB$20)</f>
        <v>Excluded — Overhead (in fixed costs)</v>
      </c>
      <c r="H21" s="153" t="n">
        <f aca="false">IF($A21="","",SUMIFS(Project_Activity!$P$2:$P$2991,Project_Activity!$L$2:$L$2991,$A21,Project_Activity!$A$2:$A$2991,Controls!$B$7,Project_Activity!$B$2:$B$2991,Controls!$B$30))</f>
        <v>85.21</v>
      </c>
      <c r="I21" s="12"/>
      <c r="J21" s="12"/>
      <c r="K21" s="12"/>
    </row>
    <row r="22" customFormat="false" ht="13.5" hidden="false" customHeight="false" outlineLevel="0" collapsed="false">
      <c r="A22" s="12" t="n">
        <f aca="false">IF(MM_Income!$Z$21="","",MM_Income!$Z$21)</f>
        <v>7580</v>
      </c>
      <c r="B22" s="12" t="str">
        <f aca="false">IF($A22="","",MM_Income!$AA$21)</f>
        <v>Misc Office Costs (project-charged)</v>
      </c>
      <c r="C22" s="153" t="n">
        <f aca="false">IF($A22="","",IF($C$4=0,0,SUMIFS(Project_Activity!$P$2:$P$2991,Project_Activity!$L$2:$L$2991,$A22,Project_Activity!$A$2:$A$2991,Controls!$B$7,Project_Activity!$B$2:$B$2991,"&gt;="&amp;Controls!$B$5&amp;"-Q1",Project_Activity!$B$2:$B$2991,"&lt;="&amp;Controls!$B$5&amp;"-Q"&amp;$C$4)))</f>
        <v>75</v>
      </c>
      <c r="D22" s="153" t="n">
        <f aca="false">IF($A22="","",IF($C$4=0,0,SUMIFS(Trial_Balance!$H$2:$H$995,Trial_Balance!$C$2:$C$995,TEXT($A22,"0"),Trial_Balance!$A$2:$A$995,Controls!$B$7,Trial_Balance!$B$2:$B$995,Controls!$B$5&amp;"-Q"&amp;$C$4)))</f>
        <v>2670.44</v>
      </c>
      <c r="E22" s="153" t="n">
        <f aca="false">IF($A22="","",$C22-$D22)</f>
        <v>-2595.44</v>
      </c>
      <c r="F22" s="12" t="str">
        <f aca="false">IF($A22="","",IF($C$4=0,"TB PENDING",IF(ABS($E22)&lt;=$F$4,IF($F$3&gt;$C$3,"RECONCILED — to TB Q"&amp;$C$4,"RECONCILED"),IF($A22&lt;4000,"INFO — balance-sheet code: TB is cumulative position vs PA YTD movements",IF(OR($G22="Programme Income",LEFT($G22,12)="Other Income"),"INFO — entity-level income: not booked to projects",IF(LEFT($G22,8)="Excluded","INFO — overhead code: TB includes non-project fixed costs","VARIANCE — investigate"))))))</f>
        <v>INFO — overhead code: TB includes non-project fixed costs</v>
      </c>
      <c r="G22" s="12" t="str">
        <f aca="false">IF($A22="","",MM_Income!$AB$21)</f>
        <v>Excluded — Overhead (in fixed costs)</v>
      </c>
      <c r="H22" s="153" t="n">
        <f aca="false">IF($A22="","",SUMIFS(Project_Activity!$P$2:$P$2991,Project_Activity!$L$2:$L$2991,$A22,Project_Activity!$A$2:$A$2991,Controls!$B$7,Project_Activity!$B$2:$B$2991,Controls!$B$30))</f>
        <v>75</v>
      </c>
      <c r="I22" s="12"/>
      <c r="J22" s="12"/>
      <c r="K22" s="12"/>
    </row>
    <row r="23" customFormat="false" ht="13.5" hidden="false" customHeight="false" outlineLevel="0" collapsed="false">
      <c r="A23" s="12" t="n">
        <f aca="false">IF(MM_Income!$Z$22="","",MM_Income!$Z$22)</f>
        <v>7750</v>
      </c>
      <c r="B23" s="12" t="str">
        <f aca="false">IF($A23="","",MM_Income!$AA$22)</f>
        <v>IT Support - Internet (project-charged)</v>
      </c>
      <c r="C23" s="153" t="n">
        <f aca="false">IF($A23="","",IF($C$4=0,0,SUMIFS(Project_Activity!$P$2:$P$2991,Project_Activity!$L$2:$L$2991,$A23,Project_Activity!$A$2:$A$2991,Controls!$B$7,Project_Activity!$B$2:$B$2991,"&gt;="&amp;Controls!$B$5&amp;"-Q1",Project_Activity!$B$2:$B$2991,"&lt;="&amp;Controls!$B$5&amp;"-Q"&amp;$C$4)))</f>
        <v>115.59</v>
      </c>
      <c r="D23" s="153" t="n">
        <f aca="false">IF($A23="","",IF($C$4=0,0,SUMIFS(Trial_Balance!$H$2:$H$995,Trial_Balance!$C$2:$C$995,TEXT($A23,"0"),Trial_Balance!$A$2:$A$995,Controls!$B$7,Trial_Balance!$B$2:$B$995,Controls!$B$5&amp;"-Q"&amp;$C$4)))</f>
        <v>21360.48</v>
      </c>
      <c r="E23" s="153" t="n">
        <f aca="false">IF($A23="","",$C23-$D23)</f>
        <v>-21244.89</v>
      </c>
      <c r="F23" s="12" t="str">
        <f aca="false">IF($A23="","",IF($C$4=0,"TB PENDING",IF(ABS($E23)&lt;=$F$4,IF($F$3&gt;$C$3,"RECONCILED — to TB Q"&amp;$C$4,"RECONCILED"),IF($A23&lt;4000,"INFO — balance-sheet code: TB is cumulative position vs PA YTD movements",IF(OR($G23="Programme Income",LEFT($G23,12)="Other Income"),"INFO — entity-level income: not booked to projects",IF(LEFT($G23,8)="Excluded","INFO — overhead code: TB includes non-project fixed costs","VARIANCE — investigate"))))))</f>
        <v>INFO — overhead code: TB includes non-project fixed costs</v>
      </c>
      <c r="G23" s="12" t="str">
        <f aca="false">IF($A23="","",MM_Income!$AB$22)</f>
        <v>Excluded — Overhead (in fixed costs)</v>
      </c>
      <c r="H23" s="153" t="n">
        <f aca="false">IF($A23="","",SUMIFS(Project_Activity!$P$2:$P$2991,Project_Activity!$L$2:$L$2991,$A23,Project_Activity!$A$2:$A$2991,Controls!$B$7,Project_Activity!$B$2:$B$2991,Controls!$B$30))</f>
        <v>115.59</v>
      </c>
      <c r="I23" s="12"/>
      <c r="J23" s="12"/>
      <c r="K23" s="12"/>
    </row>
    <row r="24" customFormat="false" ht="13.5" hidden="false" customHeight="false" outlineLevel="0" collapsed="false">
      <c r="A24" s="12" t="n">
        <f aca="false">IF(MM_Income!$Z$23="","",MM_Income!$Z$23)</f>
        <v>7820</v>
      </c>
      <c r="B24" s="12" t="str">
        <f aca="false">IF($A24="","",MM_Income!$AA$23)</f>
        <v>Cleaning and laundry (project-charged)</v>
      </c>
      <c r="C24" s="153" t="n">
        <f aca="false">IF($A24="","",IF($C$4=0,0,SUMIFS(Project_Activity!$P$2:$P$2991,Project_Activity!$L$2:$L$2991,$A24,Project_Activity!$A$2:$A$2991,Controls!$B$7,Project_Activity!$B$2:$B$2991,"&gt;="&amp;Controls!$B$5&amp;"-Q1",Project_Activity!$B$2:$B$2991,"&lt;="&amp;Controls!$B$5&amp;"-Q"&amp;$C$4)))</f>
        <v>239.37</v>
      </c>
      <c r="D24" s="153" t="n">
        <f aca="false">IF($A24="","",IF($C$4=0,0,SUMIFS(Trial_Balance!$H$2:$H$995,Trial_Balance!$C$2:$C$995,TEXT($A24,"0"),Trial_Balance!$A$2:$A$995,Controls!$B$7,Trial_Balance!$B$2:$B$995,Controls!$B$5&amp;"-Q"&amp;$C$4)))</f>
        <v>19167.86</v>
      </c>
      <c r="E24" s="153" t="n">
        <f aca="false">IF($A24="","",$C24-$D24)</f>
        <v>-18928.49</v>
      </c>
      <c r="F24" s="12" t="str">
        <f aca="false">IF($A24="","",IF($C$4=0,"TB PENDING",IF(ABS($E24)&lt;=$F$4,IF($F$3&gt;$C$3,"RECONCILED — to TB Q"&amp;$C$4,"RECONCILED"),IF($A24&lt;4000,"INFO — balance-sheet code: TB is cumulative position vs PA YTD movements",IF(OR($G24="Programme Income",LEFT($G24,12)="Other Income"),"INFO — entity-level income: not booked to projects",IF(LEFT($G24,8)="Excluded","INFO — overhead code: TB includes non-project fixed costs","VARIANCE — investigate"))))))</f>
        <v>INFO — overhead code: TB includes non-project fixed costs</v>
      </c>
      <c r="G24" s="12" t="str">
        <f aca="false">IF($A24="","",MM_Income!$AB$23)</f>
        <v>Excluded — Overhead (in fixed costs)</v>
      </c>
      <c r="H24" s="153" t="n">
        <f aca="false">IF($A24="","",SUMIFS(Project_Activity!$P$2:$P$2991,Project_Activity!$L$2:$L$2991,$A24,Project_Activity!$A$2:$A$2991,Controls!$B$7,Project_Activity!$B$2:$B$2991,Controls!$B$30))</f>
        <v>239.37</v>
      </c>
      <c r="I24" s="12"/>
      <c r="J24" s="12"/>
      <c r="K24" s="12"/>
    </row>
    <row r="25" customFormat="false" ht="13.5" hidden="false" customHeight="false" outlineLevel="0" collapsed="false">
      <c r="A25" s="12" t="n">
        <f aca="false">IF(MM_Income!$Z$24="","",MM_Income!$Z$24)</f>
        <v>7910</v>
      </c>
      <c r="B25" s="12" t="str">
        <f aca="false">IF($A25="","",MM_Income!$AA$24)</f>
        <v>Bank Charges (project-charged)</v>
      </c>
      <c r="C25" s="153" t="n">
        <f aca="false">IF($A25="","",IF($C$4=0,0,SUMIFS(Project_Activity!$P$2:$P$2991,Project_Activity!$L$2:$L$2991,$A25,Project_Activity!$A$2:$A$2991,Controls!$B$7,Project_Activity!$B$2:$B$2991,"&gt;="&amp;Controls!$B$5&amp;"-Q1",Project_Activity!$B$2:$B$2991,"&lt;="&amp;Controls!$B$5&amp;"-Q"&amp;$C$4)))</f>
        <v>75</v>
      </c>
      <c r="D25" s="153" t="n">
        <f aca="false">IF($A25="","",IF($C$4=0,0,SUMIFS(Trial_Balance!$H$2:$H$995,Trial_Balance!$C$2:$C$995,TEXT($A25,"0"),Trial_Balance!$A$2:$A$995,Controls!$B$7,Trial_Balance!$B$2:$B$995,Controls!$B$5&amp;"-Q"&amp;$C$4)))</f>
        <v>26331.8</v>
      </c>
      <c r="E25" s="153" t="n">
        <f aca="false">IF($A25="","",$C25-$D25)</f>
        <v>-26256.8</v>
      </c>
      <c r="F25" s="12" t="str">
        <f aca="false">IF($A25="","",IF($C$4=0,"TB PENDING",IF(ABS($E25)&lt;=$F$4,IF($F$3&gt;$C$3,"RECONCILED — to TB Q"&amp;$C$4,"RECONCILED"),IF($A25&lt;4000,"INFO — balance-sheet code: TB is cumulative position vs PA YTD movements",IF(OR($G25="Programme Income",LEFT($G25,12)="Other Income"),"INFO — entity-level income: not booked to projects",IF(LEFT($G25,8)="Excluded","INFO — overhead code: TB includes non-project fixed costs","VARIANCE — investigate"))))))</f>
        <v>INFO — overhead code: TB includes non-project fixed costs</v>
      </c>
      <c r="G25" s="12" t="str">
        <f aca="false">IF($A25="","",MM_Income!$AB$24)</f>
        <v>Excluded — Overhead (in fixed costs)</v>
      </c>
      <c r="H25" s="153" t="n">
        <f aca="false">IF($A25="","",SUMIFS(Project_Activity!$P$2:$P$2991,Project_Activity!$L$2:$L$2991,$A25,Project_Activity!$A$2:$A$2991,Controls!$B$7,Project_Activity!$B$2:$B$2991,Controls!$B$30))</f>
        <v>75</v>
      </c>
      <c r="I25" s="12"/>
      <c r="J25" s="12"/>
      <c r="K25" s="12"/>
    </row>
    <row r="26" customFormat="false" ht="13.5" hidden="false" customHeight="false" outlineLevel="0" collapsed="false">
      <c r="A26" s="12"/>
      <c r="B26" s="151" t="s">
        <v>310</v>
      </c>
      <c r="C26" s="154" t="n">
        <f aca="false">SUM(C6:C25)</f>
        <v>-6488102.69</v>
      </c>
      <c r="D26" s="154" t="n">
        <f aca="false">SUM(D6:D25)</f>
        <v>-8217813.14</v>
      </c>
      <c r="E26" s="154" t="n">
        <f aca="false">SUM(E6:E25)</f>
        <v>1729710.45</v>
      </c>
      <c r="F26" s="12"/>
      <c r="G26" s="12"/>
      <c r="H26" s="154" t="n">
        <f aca="false">SUM(H6:H25)</f>
        <v>-3584501.09</v>
      </c>
      <c r="I26" s="12"/>
      <c r="J26" s="12"/>
      <c r="K26" s="12"/>
    </row>
    <row r="27" customFormat="false" ht="13.5" hidden="false" customHeight="false" outlineLevel="0" collapsed="false">
      <c r="A27" s="151" t="s">
        <v>1726</v>
      </c>
      <c r="B27" s="12"/>
      <c r="C27" s="153" t="n">
        <f aca="false">IF($C$4=0,0,SUMIFS(Project_Activity!$P$2:$P$2991,Project_Activity!$A$2:$A$2991,Controls!$B$7,Project_Activity!$B$2:$B$2991,"&gt;="&amp;Controls!$B$5&amp;"-Q1",Project_Activity!$B$2:$B$2991,"&lt;="&amp;Controls!$B$5&amp;"-Q"&amp;$C$4)-$C$26)</f>
        <v>0</v>
      </c>
      <c r="D27" s="12"/>
      <c r="E27" s="12"/>
      <c r="F27" s="12" t="str">
        <f aca="false">IF(ABS($C27)&lt;=$F$4,"OK — every Project_Activity nominal code is mapped","CHECK — add the missing nominal code(s) to the MM_Income map (Z5:AC24)")</f>
        <v>OK — every Project_Activity nominal code is mapped</v>
      </c>
      <c r="G27" s="12"/>
      <c r="H27" s="12"/>
      <c r="I27" s="12"/>
      <c r="J27" s="12"/>
      <c r="K27" s="12"/>
    </row>
    <row r="28" customFormat="false" ht="13.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customFormat="false" ht="15" hidden="false" customHeight="false" outlineLevel="0" collapsed="false">
      <c r="A29" s="150" t="s">
        <v>1727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customFormat="false" ht="13.5" hidden="false" customHeight="false" outlineLevel="0" collapsed="false">
      <c r="A30" s="151" t="s">
        <v>1728</v>
      </c>
      <c r="B30" s="12"/>
      <c r="C30" s="155" t="n">
        <v>4000</v>
      </c>
      <c r="D30" s="151" t="s">
        <v>1729</v>
      </c>
      <c r="E30" s="156" t="n">
        <f aca="false">IFERROR(N(INDEX($C$6:$C$25,MATCH($C$30,$A$6:$A$25,0))),0)</f>
        <v>-4654338.81</v>
      </c>
      <c r="F30" s="12" t="str">
        <f aca="false">IF(ABS($D$93)&lt;=$F$4,"OK — all activity on this code is attributed to listed projects","REVIEW — unlisted project(s) hold "&amp;TEXT($D$93,"#,##0.00")&amp;" — add them to MM_Income")</f>
        <v>OK — all activity on this code is attributed to listed projects</v>
      </c>
      <c r="G30" s="12"/>
      <c r="H30" s="12"/>
      <c r="I30" s="12"/>
      <c r="J30" s="12"/>
      <c r="K30" s="12"/>
    </row>
    <row r="31" customFormat="false" ht="13.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customFormat="false" ht="13.5" hidden="false" customHeight="false" outlineLevel="0" collapsed="false">
      <c r="A32" s="109" t="s">
        <v>822</v>
      </c>
      <c r="B32" s="109" t="s">
        <v>823</v>
      </c>
      <c r="C32" s="109" t="s">
        <v>1725</v>
      </c>
      <c r="D32" s="109" t="s">
        <v>1730</v>
      </c>
      <c r="E32" s="109" t="s">
        <v>1731</v>
      </c>
      <c r="F32" s="12"/>
      <c r="G32" s="12"/>
      <c r="H32" s="12"/>
      <c r="I32" s="12"/>
      <c r="J32" s="12"/>
      <c r="K32" s="12"/>
    </row>
    <row r="33" customFormat="false" ht="13.5" hidden="false" customHeight="false" outlineLevel="0" collapsed="false">
      <c r="A33" s="12" t="str">
        <f aca="false">IF(MM_Income!$A$5="","",MM_Income!$A$5)</f>
        <v>PCGH693</v>
      </c>
      <c r="B33" s="12" t="str">
        <f aca="false">IF($A33="","",MM_Income!$B$5)</f>
        <v>Barnsley Integrated HCV-HCS Assessment</v>
      </c>
      <c r="C33" s="153" t="n">
        <f aca="false">IF($A33="","",SUMIFS(Project_Activity!$P$2:$P$2991,Project_Activity!$L$2:$L$2991,$C$30,Project_Activity!$C$2:$C$2991,$A33,Project_Activity!$A$2:$A$2991,Controls!$B$7,Project_Activity!$B$2:$B$2991,Controls!$B$30))</f>
        <v>0</v>
      </c>
      <c r="D33" s="153" t="n">
        <f aca="false">IF($A33="","",IF($C$4=0,0,SUMIFS(Project_Activity!$P$2:$P$2991,Project_Activity!$L$2:$L$2991,$C$30,Project_Activity!$C$2:$C$2991,$A33,Project_Activity!$A$2:$A$2991,Controls!$B$7,Project_Activity!$B$2:$B$2991,"&gt;="&amp;Controls!$B$5&amp;"-Q1",Project_Activity!$B$2:$B$2991,"&lt;="&amp;Controls!$B$5&amp;"-Q"&amp;$C$4)))</f>
        <v>0</v>
      </c>
      <c r="E33" s="157" t="n">
        <f aca="false">IF($A33="","",IF($E$30=0,"-",$D33/$E$30))</f>
        <v>-0</v>
      </c>
      <c r="F33" s="12"/>
      <c r="G33" s="12"/>
      <c r="H33" s="12"/>
      <c r="I33" s="12"/>
      <c r="J33" s="12"/>
      <c r="K33" s="12"/>
    </row>
    <row r="34" customFormat="false" ht="13.5" hidden="false" customHeight="false" outlineLevel="0" collapsed="false">
      <c r="A34" s="1" t="str">
        <f aca="false">IF(MM_Income!$A$6="","",MM_Income!$A$6)</f>
        <v>PCGH722</v>
      </c>
      <c r="B34" s="1" t="str">
        <f aca="false">IF($A34="","",MM_Income!$B$6)</f>
        <v>HCV_HCS_Full_Assessment_Sucrivoire</v>
      </c>
      <c r="C34" s="100" t="n">
        <f aca="false">IF($A34="","",SUMIFS(Project_Activity!$P$2:$P$2991,Project_Activity!$L$2:$L$2991,$C$30,Project_Activity!$C$2:$C$2991,$A34,Project_Activity!$A$2:$A$2991,Controls!$B$7,Project_Activity!$B$2:$B$2991,Controls!$B$30))</f>
        <v>0</v>
      </c>
      <c r="D34" s="100" t="n">
        <f aca="false">IF($A34="","",IF($C$4=0,0,SUMIFS(Project_Activity!$P$2:$P$2991,Project_Activity!$L$2:$L$2991,$C$30,Project_Activity!$C$2:$C$2991,$A34,Project_Activity!$A$2:$A$2991,Controls!$B$7,Project_Activity!$B$2:$B$2991,"&gt;="&amp;Controls!$B$5&amp;"-Q1",Project_Activity!$B$2:$B$2991,"&lt;="&amp;Controls!$B$5&amp;"-Q"&amp;$C$4)))</f>
        <v>0</v>
      </c>
      <c r="E34" s="103" t="n">
        <f aca="false">IF($A34="","",IF($E$30=0,"-",$D34/$E$30))</f>
        <v>-0</v>
      </c>
    </row>
    <row r="35" customFormat="false" ht="13.5" hidden="false" customHeight="false" outlineLevel="0" collapsed="false">
      <c r="A35" s="1" t="str">
        <f aca="false">IF(MM_Income!$A$7="","",MM_Income!$A$7)</f>
        <v>PCGH738</v>
      </c>
      <c r="B35" s="1" t="str">
        <f aca="false">IF($A35="","",MM_Income!$B$7)</f>
        <v>Barnsley2_integrated_HCV-HCS_assessment</v>
      </c>
      <c r="C35" s="100" t="n">
        <f aca="false">IF($A35="","",SUMIFS(Project_Activity!$P$2:$P$2991,Project_Activity!$L$2:$L$2991,$C$30,Project_Activity!$C$2:$C$2991,$A35,Project_Activity!$A$2:$A$2991,Controls!$B$7,Project_Activity!$B$2:$B$2991,Controls!$B$30))</f>
        <v>-196496.06</v>
      </c>
      <c r="D35" s="100" t="n">
        <f aca="false">IF($A35="","",IF($C$4=0,0,SUMIFS(Project_Activity!$P$2:$P$2991,Project_Activity!$L$2:$L$2991,$C$30,Project_Activity!$C$2:$C$2991,$A35,Project_Activity!$A$2:$A$2991,Controls!$B$7,Project_Activity!$B$2:$B$2991,"&gt;="&amp;Controls!$B$5&amp;"-Q1",Project_Activity!$B$2:$B$2991,"&lt;="&amp;Controls!$B$5&amp;"-Q"&amp;$C$4)))</f>
        <v>-196496.06</v>
      </c>
      <c r="E35" s="103" t="n">
        <f aca="false">IF($A35="","",IF($E$30=0,"-",$D35/$E$30))</f>
        <v>0.0422178247053742</v>
      </c>
    </row>
    <row r="36" customFormat="false" ht="13.5" hidden="false" customHeight="false" outlineLevel="0" collapsed="false">
      <c r="A36" s="1" t="str">
        <f aca="false">IF(MM_Income!$A$8="","",MM_Income!$A$8)</f>
        <v>PCGH761</v>
      </c>
      <c r="B36" s="1" t="str">
        <f aca="false">IF($A36="","",MM_Income!$B$8)</f>
        <v>Participatory Land Use Plan_Wologizi_Wonegizi_Landscape</v>
      </c>
      <c r="C36" s="100" t="n">
        <f aca="false">IF($A36="","",SUMIFS(Project_Activity!$P$2:$P$2991,Project_Activity!$L$2:$L$2991,$C$30,Project_Activity!$C$2:$C$2991,$A36,Project_Activity!$A$2:$A$2991,Controls!$B$7,Project_Activity!$B$2:$B$2991,Controls!$B$30))</f>
        <v>0</v>
      </c>
      <c r="D36" s="100" t="n">
        <f aca="false">IF($A36="","",IF($C$4=0,0,SUMIFS(Project_Activity!$P$2:$P$2991,Project_Activity!$L$2:$L$2991,$C$30,Project_Activity!$C$2:$C$2991,$A36,Project_Activity!$A$2:$A$2991,Controls!$B$7,Project_Activity!$B$2:$B$2991,"&gt;="&amp;Controls!$B$5&amp;"-Q1",Project_Activity!$B$2:$B$2991,"&lt;="&amp;Controls!$B$5&amp;"-Q"&amp;$C$4)))</f>
        <v>0</v>
      </c>
      <c r="E36" s="103" t="n">
        <f aca="false">IF($A36="","",IF($E$30=0,"-",$D36/$E$30))</f>
        <v>-0</v>
      </c>
    </row>
    <row r="37" customFormat="false" ht="13.5" hidden="false" customHeight="false" outlineLevel="0" collapsed="false">
      <c r="A37" s="1" t="str">
        <f aca="false">IF(MM_Income!$A$9="","",MM_Income!$A$9)</f>
        <v>PCGH762</v>
      </c>
      <c r="B37" s="1" t="str">
        <f aca="false">IF($A37="","",MM_Income!$B$9)</f>
        <v>GVL_HCSA_Restoration_Project</v>
      </c>
      <c r="C37" s="100" t="n">
        <f aca="false">IF($A37="","",SUMIFS(Project_Activity!$P$2:$P$2991,Project_Activity!$L$2:$L$2991,$C$30,Project_Activity!$C$2:$C$2991,$A37,Project_Activity!$A$2:$A$2991,Controls!$B$7,Project_Activity!$B$2:$B$2991,Controls!$B$30))</f>
        <v>-260594.69</v>
      </c>
      <c r="D37" s="100" t="n">
        <f aca="false">IF($A37="","",IF($C$4=0,0,SUMIFS(Project_Activity!$P$2:$P$2991,Project_Activity!$L$2:$L$2991,$C$30,Project_Activity!$C$2:$C$2991,$A37,Project_Activity!$A$2:$A$2991,Controls!$B$7,Project_Activity!$B$2:$B$2991,"&gt;="&amp;Controls!$B$5&amp;"-Q1",Project_Activity!$B$2:$B$2991,"&lt;="&amp;Controls!$B$5&amp;"-Q"&amp;$C$4)))</f>
        <v>-510225.54</v>
      </c>
      <c r="E37" s="103" t="n">
        <f aca="false">IF($A37="","",IF($E$30=0,"-",$D37/$E$30))</f>
        <v>0.109623635241973</v>
      </c>
    </row>
    <row r="38" customFormat="false" ht="13.5" hidden="false" customHeight="false" outlineLevel="0" collapsed="false">
      <c r="A38" s="1" t="str">
        <f aca="false">IF(MM_Income!$A$10="","",MM_Income!$A$10)</f>
        <v>PCGH767</v>
      </c>
      <c r="B38" s="1" t="str">
        <f aca="false">IF($A38="","",MM_Income!$B$10)</f>
        <v>Presco_HCV_HCS-Scoping</v>
      </c>
      <c r="C38" s="100" t="n">
        <f aca="false">IF($A38="","",SUMIFS(Project_Activity!$P$2:$P$2991,Project_Activity!$L$2:$L$2991,$C$30,Project_Activity!$C$2:$C$2991,$A38,Project_Activity!$A$2:$A$2991,Controls!$B$7,Project_Activity!$B$2:$B$2991,Controls!$B$30))</f>
        <v>0</v>
      </c>
      <c r="D38" s="100" t="n">
        <f aca="false">IF($A38="","",IF($C$4=0,0,SUMIFS(Project_Activity!$P$2:$P$2991,Project_Activity!$L$2:$L$2991,$C$30,Project_Activity!$C$2:$C$2991,$A38,Project_Activity!$A$2:$A$2991,Controls!$B$7,Project_Activity!$B$2:$B$2991,"&gt;="&amp;Controls!$B$5&amp;"-Q1",Project_Activity!$B$2:$B$2991,"&lt;="&amp;Controls!$B$5&amp;"-Q"&amp;$C$4)))</f>
        <v>-130227.27</v>
      </c>
      <c r="E38" s="103" t="n">
        <f aca="false">IF($A38="","",IF($E$30=0,"-",$D38/$E$30))</f>
        <v>0.0279797572364527</v>
      </c>
    </row>
    <row r="39" customFormat="false" ht="13.5" hidden="false" customHeight="false" outlineLevel="0" collapsed="false">
      <c r="A39" s="1" t="str">
        <f aca="false">IF(MM_Income!$A$11="","",MM_Income!$A$11)</f>
        <v>PCGH769</v>
      </c>
      <c r="B39" s="1" t="str">
        <f aca="false">IF($A39="","",MM_Income!$B$11)</f>
        <v>BPL_HCV_HCSA Assessment &amp; GHG</v>
      </c>
      <c r="C39" s="100" t="n">
        <f aca="false">IF($A39="","",SUMIFS(Project_Activity!$P$2:$P$2991,Project_Activity!$L$2:$L$2991,$C$30,Project_Activity!$C$2:$C$2991,$A39,Project_Activity!$A$2:$A$2991,Controls!$B$7,Project_Activity!$B$2:$B$2991,Controls!$B$30))</f>
        <v>-217238.33</v>
      </c>
      <c r="D39" s="100" t="n">
        <f aca="false">IF($A39="","",IF($C$4=0,0,SUMIFS(Project_Activity!$P$2:$P$2991,Project_Activity!$L$2:$L$2991,$C$30,Project_Activity!$C$2:$C$2991,$A39,Project_Activity!$A$2:$A$2991,Controls!$B$7,Project_Activity!$B$2:$B$2991,"&gt;="&amp;Controls!$B$5&amp;"-Q1",Project_Activity!$B$2:$B$2991,"&lt;="&amp;Controls!$B$5&amp;"-Q"&amp;$C$4)))</f>
        <v>-217238.33</v>
      </c>
      <c r="E39" s="103" t="n">
        <f aca="false">IF($A39="","",IF($E$30=0,"-",$D39/$E$30))</f>
        <v>0.0466743696297434</v>
      </c>
    </row>
    <row r="40" customFormat="false" ht="13.5" hidden="false" customHeight="false" outlineLevel="0" collapsed="false">
      <c r="A40" s="1" t="str">
        <f aca="false">IF(MM_Income!$A$12="","",MM_Income!$A$12)</f>
        <v>PCGH772</v>
      </c>
      <c r="B40" s="1" t="str">
        <f aca="false">IF($A40="","",MM_Income!$B$12)</f>
        <v>Presco Ext III_HCV_HCSA Assessment</v>
      </c>
      <c r="C40" s="100" t="n">
        <f aca="false">IF($A40="","",SUMIFS(Project_Activity!$P$2:$P$2991,Project_Activity!$L$2:$L$2991,$C$30,Project_Activity!$C$2:$C$2991,$A40,Project_Activity!$A$2:$A$2991,Controls!$B$7,Project_Activity!$B$2:$B$2991,Controls!$B$30))</f>
        <v>0</v>
      </c>
      <c r="D40" s="100" t="n">
        <f aca="false">IF($A40="","",IF($C$4=0,0,SUMIFS(Project_Activity!$P$2:$P$2991,Project_Activity!$L$2:$L$2991,$C$30,Project_Activity!$C$2:$C$2991,$A40,Project_Activity!$A$2:$A$2991,Controls!$B$7,Project_Activity!$B$2:$B$2991,"&gt;="&amp;Controls!$B$5&amp;"-Q1",Project_Activity!$B$2:$B$2991,"&lt;="&amp;Controls!$B$5&amp;"-Q"&amp;$C$4)))</f>
        <v>0</v>
      </c>
      <c r="E40" s="103" t="n">
        <f aca="false">IF($A40="","",IF($E$30=0,"-",$D40/$E$30))</f>
        <v>-0</v>
      </c>
    </row>
    <row r="41" customFormat="false" ht="13.5" hidden="false" customHeight="false" outlineLevel="0" collapsed="false">
      <c r="A41" s="1" t="str">
        <f aca="false">IF(MM_Income!$A$13="","",MM_Income!$A$13)</f>
        <v>PCGH773</v>
      </c>
      <c r="B41" s="1" t="str">
        <f aca="false">IF($A41="","",MM_Income!$B$13)</f>
        <v>Basrnsley 1&amp; 2 LUCA &amp; GHG Assessment</v>
      </c>
      <c r="C41" s="100" t="n">
        <f aca="false">IF($A41="","",SUMIFS(Project_Activity!$P$2:$P$2991,Project_Activity!$L$2:$L$2991,$C$30,Project_Activity!$C$2:$C$2991,$A41,Project_Activity!$A$2:$A$2991,Controls!$B$7,Project_Activity!$B$2:$B$2991,Controls!$B$30))</f>
        <v>0</v>
      </c>
      <c r="D41" s="100" t="n">
        <f aca="false">IF($A41="","",IF($C$4=0,0,SUMIFS(Project_Activity!$P$2:$P$2991,Project_Activity!$L$2:$L$2991,$C$30,Project_Activity!$C$2:$C$2991,$A41,Project_Activity!$A$2:$A$2991,Controls!$B$7,Project_Activity!$B$2:$B$2991,"&gt;="&amp;Controls!$B$5&amp;"-Q1",Project_Activity!$B$2:$B$2991,"&lt;="&amp;Controls!$B$5&amp;"-Q"&amp;$C$4)))</f>
        <v>0</v>
      </c>
      <c r="E41" s="103" t="n">
        <f aca="false">IF($A41="","",IF($E$30=0,"-",$D41/$E$30))</f>
        <v>-0</v>
      </c>
    </row>
    <row r="42" customFormat="false" ht="13.5" hidden="false" customHeight="false" outlineLevel="0" collapsed="false">
      <c r="A42" s="1" t="str">
        <f aca="false">IF(MM_Income!$A$14="","",MM_Income!$A$14)</f>
        <v>PCGH774</v>
      </c>
      <c r="B42" s="1" t="str">
        <f aca="false">IF($A42="","",MM_Income!$B$14)</f>
        <v>Evaluation_Deep-Dive_action Plan by Socfin Group</v>
      </c>
      <c r="C42" s="100" t="n">
        <f aca="false">IF($A42="","",SUMIFS(Project_Activity!$P$2:$P$2991,Project_Activity!$L$2:$L$2991,$C$30,Project_Activity!$C$2:$C$2991,$A42,Project_Activity!$A$2:$A$2991,Controls!$B$7,Project_Activity!$B$2:$B$2991,Controls!$B$30))</f>
        <v>0</v>
      </c>
      <c r="D42" s="100" t="n">
        <f aca="false">IF($A42="","",IF($C$4=0,0,SUMIFS(Project_Activity!$P$2:$P$2991,Project_Activity!$L$2:$L$2991,$C$30,Project_Activity!$C$2:$C$2991,$A42,Project_Activity!$A$2:$A$2991,Controls!$B$7,Project_Activity!$B$2:$B$2991,"&gt;="&amp;Controls!$B$5&amp;"-Q1",Project_Activity!$B$2:$B$2991,"&lt;="&amp;Controls!$B$5&amp;"-Q"&amp;$C$4)))</f>
        <v>-786124.25</v>
      </c>
      <c r="E42" s="103" t="n">
        <f aca="false">IF($A42="","",IF($E$30=0,"-",$D42/$E$30))</f>
        <v>0.168901380430446</v>
      </c>
    </row>
    <row r="43" customFormat="false" ht="13.5" hidden="false" customHeight="false" outlineLevel="0" collapsed="false">
      <c r="A43" s="1" t="str">
        <f aca="false">IF(MM_Income!$A$15="","",MM_Income!$A$15)</f>
        <v>PCGH775</v>
      </c>
      <c r="B43" s="1" t="str">
        <f aca="false">IF($A43="","",MM_Income!$B$15)</f>
        <v>ESDD OF VALENCY OPERATIONS FOR FMO</v>
      </c>
      <c r="C43" s="100" t="n">
        <f aca="false">IF($A43="","",SUMIFS(Project_Activity!$P$2:$P$2991,Project_Activity!$L$2:$L$2991,$C$30,Project_Activity!$C$2:$C$2991,$A43,Project_Activity!$A$2:$A$2991,Controls!$B$7,Project_Activity!$B$2:$B$2991,Controls!$B$30))</f>
        <v>-400445.18</v>
      </c>
      <c r="D43" s="100" t="n">
        <f aca="false">IF($A43="","",IF($C$4=0,0,SUMIFS(Project_Activity!$P$2:$P$2991,Project_Activity!$L$2:$L$2991,$C$30,Project_Activity!$C$2:$C$2991,$A43,Project_Activity!$A$2:$A$2991,Controls!$B$7,Project_Activity!$B$2:$B$2991,"&gt;="&amp;Controls!$B$5&amp;"-Q1",Project_Activity!$B$2:$B$2991,"&lt;="&amp;Controls!$B$5&amp;"-Q"&amp;$C$4)))</f>
        <v>-641708.64</v>
      </c>
      <c r="E43" s="103" t="n">
        <f aca="false">IF($A43="","",IF($E$30=0,"-",$D43/$E$30))</f>
        <v>0.13787321168396</v>
      </c>
    </row>
    <row r="44" customFormat="false" ht="13.5" hidden="false" customHeight="false" outlineLevel="0" collapsed="false">
      <c r="A44" s="1" t="str">
        <f aca="false">IF(MM_Income!$A$16="","",MM_Income!$A$16)</f>
        <v>PCGH776</v>
      </c>
      <c r="B44" s="1" t="str">
        <f aca="false">IF($A44="","",MM_Income!$B$16)</f>
        <v>DEFORESTATION_RISK_ASSESSMENT_CASHEW COAST</v>
      </c>
      <c r="C44" s="100" t="n">
        <f aca="false">IF($A44="","",SUMIFS(Project_Activity!$P$2:$P$2991,Project_Activity!$L$2:$L$2991,$C$30,Project_Activity!$C$2:$C$2991,$A44,Project_Activity!$A$2:$A$2991,Controls!$B$7,Project_Activity!$B$2:$B$2991,Controls!$B$30))</f>
        <v>-327559.71</v>
      </c>
      <c r="D44" s="100" t="n">
        <f aca="false">IF($A44="","",IF($C$4=0,0,SUMIFS(Project_Activity!$P$2:$P$2991,Project_Activity!$L$2:$L$2991,$C$30,Project_Activity!$C$2:$C$2991,$A44,Project_Activity!$A$2:$A$2991,Controls!$B$7,Project_Activity!$B$2:$B$2991,"&gt;="&amp;Controls!$B$5&amp;"-Q1",Project_Activity!$B$2:$B$2991,"&lt;="&amp;Controls!$B$5&amp;"-Q"&amp;$C$4)))</f>
        <v>-536744.58</v>
      </c>
      <c r="E44" s="103" t="n">
        <f aca="false">IF($A44="","",IF($E$30=0,"-",$D44/$E$30))</f>
        <v>0.115321338198841</v>
      </c>
    </row>
    <row r="45" customFormat="false" ht="13.5" hidden="false" customHeight="false" outlineLevel="0" collapsed="false">
      <c r="A45" s="1" t="str">
        <f aca="false">IF(MM_Income!$A$17="","",MM_Income!$A$17)</f>
        <v>PCGH777</v>
      </c>
      <c r="B45" s="1" t="str">
        <f aca="false">IF($A45="","",MM_Income!$B$17)</f>
        <v>GENERAL_MILLS_COCOA_LAND USE CHANGE EMMISSIONS</v>
      </c>
      <c r="C45" s="100" t="n">
        <f aca="false">IF($A45="","",SUMIFS(Project_Activity!$P$2:$P$2991,Project_Activity!$L$2:$L$2991,$C$30,Project_Activity!$C$2:$C$2991,$A45,Project_Activity!$A$2:$A$2991,Controls!$B$7,Project_Activity!$B$2:$B$2991,Controls!$B$30))</f>
        <v>0</v>
      </c>
      <c r="D45" s="100" t="n">
        <f aca="false">IF($A45="","",IF($C$4=0,0,SUMIFS(Project_Activity!$P$2:$P$2991,Project_Activity!$L$2:$L$2991,$C$30,Project_Activity!$C$2:$C$2991,$A45,Project_Activity!$A$2:$A$2991,Controls!$B$7,Project_Activity!$B$2:$B$2991,"&gt;="&amp;Controls!$B$5&amp;"-Q1",Project_Activity!$B$2:$B$2991,"&lt;="&amp;Controls!$B$5&amp;"-Q"&amp;$C$4)))</f>
        <v>0</v>
      </c>
      <c r="E45" s="103" t="n">
        <f aca="false">IF($A45="","",IF($E$30=0,"-",$D45/$E$30))</f>
        <v>-0</v>
      </c>
    </row>
    <row r="46" customFormat="false" ht="13.5" hidden="false" customHeight="false" outlineLevel="0" collapsed="false">
      <c r="A46" s="1" t="str">
        <f aca="false">IF(MM_Income!$A$18="","",MM_Income!$A$18)</f>
        <v>PCGH778</v>
      </c>
      <c r="B46" s="1" t="str">
        <f aca="false">IF($A46="","",MM_Income!$B$18)</f>
        <v>MIRROR_PCUK111_NESTLE_RS_SUGAR_2026_A_GENERAL_SUPPORT</v>
      </c>
      <c r="C46" s="100" t="n">
        <f aca="false">IF($A46="","",SUMIFS(Project_Activity!$P$2:$P$2991,Project_Activity!$L$2:$L$2991,$C$30,Project_Activity!$C$2:$C$2991,$A46,Project_Activity!$A$2:$A$2991,Controls!$B$7,Project_Activity!$B$2:$B$2991,Controls!$B$30))</f>
        <v>0</v>
      </c>
      <c r="D46" s="100" t="n">
        <f aca="false">IF($A46="","",IF($C$4=0,0,SUMIFS(Project_Activity!$P$2:$P$2991,Project_Activity!$L$2:$L$2991,$C$30,Project_Activity!$C$2:$C$2991,$A46,Project_Activity!$A$2:$A$2991,Controls!$B$7,Project_Activity!$B$2:$B$2991,"&gt;="&amp;Controls!$B$5&amp;"-Q1",Project_Activity!$B$2:$B$2991,"&lt;="&amp;Controls!$B$5&amp;"-Q"&amp;$C$4)))</f>
        <v>0</v>
      </c>
      <c r="E46" s="103" t="n">
        <f aca="false">IF($A46="","",IF($E$30=0,"-",$D46/$E$30))</f>
        <v>-0</v>
      </c>
    </row>
    <row r="47" customFormat="false" ht="13.5" hidden="false" customHeight="false" outlineLevel="0" collapsed="false">
      <c r="A47" s="1" t="str">
        <f aca="false">IF(MM_Income!$A$19="","",MM_Income!$A$19)</f>
        <v>PCGH779</v>
      </c>
      <c r="B47" s="1" t="str">
        <f aca="false">IF($A47="","",MM_Income!$B$19)</f>
        <v>MIRROR_PCUK111_NESTLE_RS_SUGAR_2026_B_CIV</v>
      </c>
      <c r="C47" s="100" t="n">
        <f aca="false">IF($A47="","",SUMIFS(Project_Activity!$P$2:$P$2991,Project_Activity!$L$2:$L$2991,$C$30,Project_Activity!$C$2:$C$2991,$A47,Project_Activity!$A$2:$A$2991,Controls!$B$7,Project_Activity!$B$2:$B$2991,Controls!$B$30))</f>
        <v>0</v>
      </c>
      <c r="D47" s="100" t="n">
        <f aca="false">IF($A47="","",IF($C$4=0,0,SUMIFS(Project_Activity!$P$2:$P$2991,Project_Activity!$L$2:$L$2991,$C$30,Project_Activity!$C$2:$C$2991,$A47,Project_Activity!$A$2:$A$2991,Controls!$B$7,Project_Activity!$B$2:$B$2991,"&gt;="&amp;Controls!$B$5&amp;"-Q1",Project_Activity!$B$2:$B$2991,"&lt;="&amp;Controls!$B$5&amp;"-Q"&amp;$C$4)))</f>
        <v>0</v>
      </c>
      <c r="E47" s="103" t="n">
        <f aca="false">IF($A47="","",IF($E$30=0,"-",$D47/$E$30))</f>
        <v>-0</v>
      </c>
    </row>
    <row r="48" customFormat="false" ht="13.5" hidden="false" customHeight="false" outlineLevel="0" collapsed="false">
      <c r="A48" s="1" t="str">
        <f aca="false">IF(MM_Income!$A$20="","",MM_Income!$A$20)</f>
        <v>PCGH780</v>
      </c>
      <c r="B48" s="1" t="str">
        <f aca="false">IF($A48="","",MM_Income!$B$20)</f>
        <v>MIRROR_PCUK111_NESTLE_RS_SUGAR_2026_C_NIG</v>
      </c>
      <c r="C48" s="100" t="n">
        <f aca="false">IF($A48="","",SUMIFS(Project_Activity!$P$2:$P$2991,Project_Activity!$L$2:$L$2991,$C$30,Project_Activity!$C$2:$C$2991,$A48,Project_Activity!$A$2:$A$2991,Controls!$B$7,Project_Activity!$B$2:$B$2991,Controls!$B$30))</f>
        <v>0</v>
      </c>
      <c r="D48" s="100" t="n">
        <f aca="false">IF($A48="","",IF($C$4=0,0,SUMIFS(Project_Activity!$P$2:$P$2991,Project_Activity!$L$2:$L$2991,$C$30,Project_Activity!$C$2:$C$2991,$A48,Project_Activity!$A$2:$A$2991,Controls!$B$7,Project_Activity!$B$2:$B$2991,"&gt;="&amp;Controls!$B$5&amp;"-Q1",Project_Activity!$B$2:$B$2991,"&lt;="&amp;Controls!$B$5&amp;"-Q"&amp;$C$4)))</f>
        <v>0</v>
      </c>
      <c r="E48" s="103" t="n">
        <f aca="false">IF($A48="","",IF($E$30=0,"-",$D48/$E$30))</f>
        <v>-0</v>
      </c>
    </row>
    <row r="49" customFormat="false" ht="13.5" hidden="false" customHeight="false" outlineLevel="0" collapsed="false">
      <c r="A49" s="1" t="str">
        <f aca="false">IF(MM_Income!$A$21="","",MM_Income!$A$21)</f>
        <v>PCGH781</v>
      </c>
      <c r="B49" s="1" t="str">
        <f aca="false">IF($A49="","",MM_Income!$B$21)</f>
        <v>MIRROR_PCUK111_NESTLE_RS_SUGAR_2026_D_SA</v>
      </c>
      <c r="C49" s="100" t="n">
        <f aca="false">IF($A49="","",SUMIFS(Project_Activity!$P$2:$P$2991,Project_Activity!$L$2:$L$2991,$C$30,Project_Activity!$C$2:$C$2991,$A49,Project_Activity!$A$2:$A$2991,Controls!$B$7,Project_Activity!$B$2:$B$2991,Controls!$B$30))</f>
        <v>0</v>
      </c>
      <c r="D49" s="100" t="n">
        <f aca="false">IF($A49="","",IF($C$4=0,0,SUMIFS(Project_Activity!$P$2:$P$2991,Project_Activity!$L$2:$L$2991,$C$30,Project_Activity!$C$2:$C$2991,$A49,Project_Activity!$A$2:$A$2991,Controls!$B$7,Project_Activity!$B$2:$B$2991,"&gt;="&amp;Controls!$B$5&amp;"-Q1",Project_Activity!$B$2:$B$2991,"&lt;="&amp;Controls!$B$5&amp;"-Q"&amp;$C$4)))</f>
        <v>0</v>
      </c>
      <c r="E49" s="103" t="n">
        <f aca="false">IF($A49="","",IF($E$30=0,"-",$D49/$E$30))</f>
        <v>-0</v>
      </c>
    </row>
    <row r="50" customFormat="false" ht="13.5" hidden="false" customHeight="false" outlineLevel="0" collapsed="false">
      <c r="A50" s="1" t="str">
        <f aca="false">IF(MM_Income!$A$22="","",MM_Income!$A$22)</f>
        <v>PCGH782</v>
      </c>
      <c r="B50" s="1" t="str">
        <f aca="false">IF($A50="","",MM_Income!$B$22)</f>
        <v>MIRROR_PCUK111_NESTLE_RS_SUGAR_2026_E_CAM</v>
      </c>
      <c r="C50" s="100" t="n">
        <f aca="false">IF($A50="","",SUMIFS(Project_Activity!$P$2:$P$2991,Project_Activity!$L$2:$L$2991,$C$30,Project_Activity!$C$2:$C$2991,$A50,Project_Activity!$A$2:$A$2991,Controls!$B$7,Project_Activity!$B$2:$B$2991,Controls!$B$30))</f>
        <v>0</v>
      </c>
      <c r="D50" s="100" t="n">
        <f aca="false">IF($A50="","",IF($C$4=0,0,SUMIFS(Project_Activity!$P$2:$P$2991,Project_Activity!$L$2:$L$2991,$C$30,Project_Activity!$C$2:$C$2991,$A50,Project_Activity!$A$2:$A$2991,Controls!$B$7,Project_Activity!$B$2:$B$2991,"&gt;="&amp;Controls!$B$5&amp;"-Q1",Project_Activity!$B$2:$B$2991,"&lt;="&amp;Controls!$B$5&amp;"-Q"&amp;$C$4)))</f>
        <v>0</v>
      </c>
      <c r="E50" s="103" t="n">
        <f aca="false">IF($A50="","",IF($E$30=0,"-",$D50/$E$30))</f>
        <v>-0</v>
      </c>
    </row>
    <row r="51" customFormat="false" ht="13.5" hidden="false" customHeight="false" outlineLevel="0" collapsed="false">
      <c r="A51" s="1" t="str">
        <f aca="false">IF(MM_Income!$A$23="","",MM_Income!$A$23)</f>
        <v>PCGH783</v>
      </c>
      <c r="B51" s="1" t="str">
        <f aca="false">IF($A51="","",MM_Income!$B$23)</f>
        <v>MIRROR_PCUK111_NESTLE_RS_SUGAR_2026_F_ZIM</v>
      </c>
      <c r="C51" s="100" t="n">
        <f aca="false">IF($A51="","",SUMIFS(Project_Activity!$P$2:$P$2991,Project_Activity!$L$2:$L$2991,$C$30,Project_Activity!$C$2:$C$2991,$A51,Project_Activity!$A$2:$A$2991,Controls!$B$7,Project_Activity!$B$2:$B$2991,Controls!$B$30))</f>
        <v>0</v>
      </c>
      <c r="D51" s="100" t="n">
        <f aca="false">IF($A51="","",IF($C$4=0,0,SUMIFS(Project_Activity!$P$2:$P$2991,Project_Activity!$L$2:$L$2991,$C$30,Project_Activity!$C$2:$C$2991,$A51,Project_Activity!$A$2:$A$2991,Controls!$B$7,Project_Activity!$B$2:$B$2991,"&gt;="&amp;Controls!$B$5&amp;"-Q1",Project_Activity!$B$2:$B$2991,"&lt;="&amp;Controls!$B$5&amp;"-Q"&amp;$C$4)))</f>
        <v>0</v>
      </c>
      <c r="E51" s="103" t="n">
        <f aca="false">IF($A51="","",IF($E$30=0,"-",$D51/$E$30))</f>
        <v>-0</v>
      </c>
    </row>
    <row r="52" customFormat="false" ht="13.5" hidden="false" customHeight="false" outlineLevel="0" collapsed="false">
      <c r="A52" s="1" t="str">
        <f aca="false">IF(MM_Income!$A$24="","",MM_Income!$A$24)</f>
        <v>PCGH784</v>
      </c>
      <c r="B52" s="1" t="str">
        <f aca="false">IF($A52="","",MM_Income!$B$24)</f>
        <v>RENL_ERUA_HCV-HCSA ASSESSMENT</v>
      </c>
      <c r="C52" s="100" t="n">
        <f aca="false">IF($A52="","",SUMIFS(Project_Activity!$P$2:$P$2991,Project_Activity!$L$2:$L$2991,$C$30,Project_Activity!$C$2:$C$2991,$A52,Project_Activity!$A$2:$A$2991,Controls!$B$7,Project_Activity!$B$2:$B$2991,Controls!$B$30))</f>
        <v>-151961.31</v>
      </c>
      <c r="D52" s="100" t="n">
        <f aca="false">IF($A52="","",IF($C$4=0,0,SUMIFS(Project_Activity!$P$2:$P$2991,Project_Activity!$L$2:$L$2991,$C$30,Project_Activity!$C$2:$C$2991,$A52,Project_Activity!$A$2:$A$2991,Controls!$B$7,Project_Activity!$B$2:$B$2991,"&gt;="&amp;Controls!$B$5&amp;"-Q1",Project_Activity!$B$2:$B$2991,"&lt;="&amp;Controls!$B$5&amp;"-Q"&amp;$C$4)))</f>
        <v>-506537.7</v>
      </c>
      <c r="E52" s="103" t="n">
        <f aca="false">IF($A52="","",IF($E$30=0,"-",$D52/$E$30))</f>
        <v>0.108831290689816</v>
      </c>
    </row>
    <row r="53" customFormat="false" ht="13.5" hidden="false" customHeight="false" outlineLevel="0" collapsed="false">
      <c r="A53" s="1" t="str">
        <f aca="false">IF(MM_Income!$A$25="","",MM_Income!$A$25)</f>
        <v>PCGH785</v>
      </c>
      <c r="B53" s="1" t="str">
        <f aca="false">IF($A53="","",MM_Income!$B$25)</f>
        <v>RENL_AGO-IWOYE_HCV-HCSA NEW SCOPING</v>
      </c>
      <c r="C53" s="100" t="n">
        <f aca="false">IF($A53="","",SUMIFS(Project_Activity!$P$2:$P$2991,Project_Activity!$L$2:$L$2991,$C$30,Project_Activity!$C$2:$C$2991,$A53,Project_Activity!$A$2:$A$2991,Controls!$B$7,Project_Activity!$B$2:$B$2991,Controls!$B$30))</f>
        <v>-84369.45</v>
      </c>
      <c r="D53" s="100" t="n">
        <f aca="false">IF($A53="","",IF($C$4=0,0,SUMIFS(Project_Activity!$P$2:$P$2991,Project_Activity!$L$2:$L$2991,$C$30,Project_Activity!$C$2:$C$2991,$A53,Project_Activity!$A$2:$A$2991,Controls!$B$7,Project_Activity!$B$2:$B$2991,"&gt;="&amp;Controls!$B$5&amp;"-Q1",Project_Activity!$B$2:$B$2991,"&lt;="&amp;Controls!$B$5&amp;"-Q"&amp;$C$4)))</f>
        <v>-168738.9</v>
      </c>
      <c r="E53" s="103" t="n">
        <f aca="false">IF($A53="","",IF($E$30=0,"-",$D53/$E$30))</f>
        <v>0.0362541075947155</v>
      </c>
    </row>
    <row r="54" customFormat="false" ht="13.5" hidden="false" customHeight="false" outlineLevel="0" collapsed="false">
      <c r="A54" s="1" t="str">
        <f aca="false">IF(MM_Income!$A$26="","",MM_Income!$A$26)</f>
        <v>PCGH786</v>
      </c>
      <c r="B54" s="1" t="str">
        <f aca="false">IF($A54="","",MM_Income!$B$26)</f>
        <v>IMPACT LEVEL BASELINE ASSESSMENT FOR FGMC - REVENUE ASSESSMENT</v>
      </c>
      <c r="C54" s="100" t="n">
        <f aca="false">IF($A54="","",SUMIFS(Project_Activity!$P$2:$P$2991,Project_Activity!$L$2:$L$2991,$C$30,Project_Activity!$C$2:$C$2991,$A54,Project_Activity!$A$2:$A$2991,Controls!$B$7,Project_Activity!$B$2:$B$2991,Controls!$B$30))</f>
        <v>-127449.66</v>
      </c>
      <c r="D54" s="100" t="n">
        <f aca="false">IF($A54="","",IF($C$4=0,0,SUMIFS(Project_Activity!$P$2:$P$2991,Project_Activity!$L$2:$L$2991,$C$30,Project_Activity!$C$2:$C$2991,$A54,Project_Activity!$A$2:$A$2991,Controls!$B$7,Project_Activity!$B$2:$B$2991,"&gt;="&amp;Controls!$B$5&amp;"-Q1",Project_Activity!$B$2:$B$2991,"&lt;="&amp;Controls!$B$5&amp;"-Q"&amp;$C$4)))</f>
        <v>-466927.3</v>
      </c>
      <c r="E54" s="103" t="n">
        <f aca="false">IF($A54="","",IF($E$30=0,"-",$D54/$E$30))</f>
        <v>0.10032086598354</v>
      </c>
    </row>
    <row r="55" customFormat="false" ht="13.5" hidden="false" customHeight="false" outlineLevel="0" collapsed="false">
      <c r="A55" s="1" t="str">
        <f aca="false">IF(MM_Income!$A$27="","",MM_Income!$A$27)</f>
        <v>PCGH787</v>
      </c>
      <c r="B55" s="1" t="str">
        <f aca="false">IF($A55="","",MM_Income!$B$27)</f>
        <v>MIRROR_PCUK1184_HERSHEY_INTEGRATED_DD_PHASE 2</v>
      </c>
      <c r="C55" s="100" t="n">
        <f aca="false">IF($A55="","",SUMIFS(Project_Activity!$P$2:$P$2991,Project_Activity!$L$2:$L$2991,$C$30,Project_Activity!$C$2:$C$2991,$A55,Project_Activity!$A$2:$A$2991,Controls!$B$7,Project_Activity!$B$2:$B$2991,Controls!$B$30))</f>
        <v>0</v>
      </c>
      <c r="D55" s="100" t="n">
        <f aca="false">IF($A55="","",IF($C$4=0,0,SUMIFS(Project_Activity!$P$2:$P$2991,Project_Activity!$L$2:$L$2991,$C$30,Project_Activity!$C$2:$C$2991,$A55,Project_Activity!$A$2:$A$2991,Controls!$B$7,Project_Activity!$B$2:$B$2991,"&gt;="&amp;Controls!$B$5&amp;"-Q1",Project_Activity!$B$2:$B$2991,"&lt;="&amp;Controls!$B$5&amp;"-Q"&amp;$C$4)))</f>
        <v>0</v>
      </c>
      <c r="E55" s="103" t="n">
        <f aca="false">IF($A55="","",IF($E$30=0,"-",$D55/$E$30))</f>
        <v>-0</v>
      </c>
    </row>
    <row r="56" customFormat="false" ht="13.5" hidden="false" customHeight="false" outlineLevel="0" collapsed="false">
      <c r="A56" s="1" t="str">
        <f aca="false">IF(MM_Income!$A$28="","",MM_Income!$A$28)</f>
        <v>PCGH788</v>
      </c>
      <c r="B56" s="1" t="str">
        <f aca="false">IF($A56="","",MM_Income!$B$28)</f>
        <v>CDC_BOA &amp; MONDONI_HCV-HCSA SCOPING</v>
      </c>
      <c r="C56" s="100" t="n">
        <f aca="false">IF($A56="","",SUMIFS(Project_Activity!$P$2:$P$2991,Project_Activity!$L$2:$L$2991,$C$30,Project_Activity!$C$2:$C$2991,$A56,Project_Activity!$A$2:$A$2991,Controls!$B$7,Project_Activity!$B$2:$B$2991,Controls!$B$30))</f>
        <v>0</v>
      </c>
      <c r="D56" s="100" t="n">
        <f aca="false">IF($A56="","",IF($C$4=0,0,SUMIFS(Project_Activity!$P$2:$P$2991,Project_Activity!$L$2:$L$2991,$C$30,Project_Activity!$C$2:$C$2991,$A56,Project_Activity!$A$2:$A$2991,Controls!$B$7,Project_Activity!$B$2:$B$2991,"&gt;="&amp;Controls!$B$5&amp;"-Q1",Project_Activity!$B$2:$B$2991,"&lt;="&amp;Controls!$B$5&amp;"-Q"&amp;$C$4)))</f>
        <v>0</v>
      </c>
      <c r="E56" s="103" t="n">
        <f aca="false">IF($A56="","",IF($E$30=0,"-",$D56/$E$30))</f>
        <v>-0</v>
      </c>
    </row>
    <row r="57" customFormat="false" ht="13.5" hidden="false" customHeight="false" outlineLevel="0" collapsed="false">
      <c r="A57" s="1" t="str">
        <f aca="false">IF(MM_Income!$A$29="","",MM_Income!$A$29)</f>
        <v>PCGH789</v>
      </c>
      <c r="B57" s="1" t="str">
        <f aca="false">IF($A57="","",MM_Income!$B$29)</f>
        <v>EHS&amp;S AUDIT FOR VALENCY MSMO PROJECT</v>
      </c>
      <c r="C57" s="100" t="n">
        <f aca="false">IF($A57="","",SUMIFS(Project_Activity!$P$2:$P$2991,Project_Activity!$L$2:$L$2991,$C$30,Project_Activity!$C$2:$C$2991,$A57,Project_Activity!$A$2:$A$2991,Controls!$B$7,Project_Activity!$B$2:$B$2991,Controls!$B$30))</f>
        <v>-160114.04</v>
      </c>
      <c r="D57" s="100" t="n">
        <f aca="false">IF($A57="","",IF($C$4=0,0,SUMIFS(Project_Activity!$P$2:$P$2991,Project_Activity!$L$2:$L$2991,$C$30,Project_Activity!$C$2:$C$2991,$A57,Project_Activity!$A$2:$A$2991,Controls!$B$7,Project_Activity!$B$2:$B$2991,"&gt;="&amp;Controls!$B$5&amp;"-Q1",Project_Activity!$B$2:$B$2991,"&lt;="&amp;Controls!$B$5&amp;"-Q"&amp;$C$4)))</f>
        <v>-160114.04</v>
      </c>
      <c r="E57" s="103" t="n">
        <f aca="false">IF($A57="","",IF($E$30=0,"-",$D57/$E$30))</f>
        <v>0.0344010280592358</v>
      </c>
    </row>
    <row r="58" customFormat="false" ht="13.5" hidden="false" customHeight="false" outlineLevel="0" collapsed="false">
      <c r="A58" s="1" t="str">
        <f aca="false">IF(MM_Income!$A$30="","",MM_Income!$A$30)</f>
        <v>PCGH790</v>
      </c>
      <c r="B58" s="1" t="str">
        <f aca="false">IF($A58="","",MM_Income!$B$30)</f>
        <v>NESTLE SOY</v>
      </c>
      <c r="C58" s="100" t="n">
        <f aca="false">IF($A58="","",SUMIFS(Project_Activity!$P$2:$P$2991,Project_Activity!$L$2:$L$2991,$C$30,Project_Activity!$C$2:$C$2991,$A58,Project_Activity!$A$2:$A$2991,Controls!$B$7,Project_Activity!$B$2:$B$2991,Controls!$B$30))</f>
        <v>0</v>
      </c>
      <c r="D58" s="100" t="n">
        <f aca="false">IF($A58="","",IF($C$4=0,0,SUMIFS(Project_Activity!$P$2:$P$2991,Project_Activity!$L$2:$L$2991,$C$30,Project_Activity!$C$2:$C$2991,$A58,Project_Activity!$A$2:$A$2991,Controls!$B$7,Project_Activity!$B$2:$B$2991,"&gt;="&amp;Controls!$B$5&amp;"-Q1",Project_Activity!$B$2:$B$2991,"&lt;="&amp;Controls!$B$5&amp;"-Q"&amp;$C$4)))</f>
        <v>0</v>
      </c>
      <c r="E58" s="103" t="n">
        <f aca="false">IF($A58="","",IF($E$30=0,"-",$D58/$E$30))</f>
        <v>-0</v>
      </c>
    </row>
    <row r="59" customFormat="false" ht="13.5" hidden="false" customHeight="false" outlineLevel="0" collapsed="false">
      <c r="A59" s="1" t="str">
        <f aca="false">IF(MM_Income!$A$31="","",MM_Income!$A$31)</f>
        <v>PCGH791</v>
      </c>
      <c r="B59" s="1" t="str">
        <f aca="false">IF($A59="","",MM_Income!$B$31)</f>
        <v>RA_AFI_2026</v>
      </c>
      <c r="C59" s="100" t="n">
        <f aca="false">IF($A59="","",SUMIFS(Project_Activity!$P$2:$P$2991,Project_Activity!$L$2:$L$2991,$C$30,Project_Activity!$C$2:$C$2991,$A59,Project_Activity!$A$2:$A$2991,Controls!$B$7,Project_Activity!$B$2:$B$2991,Controls!$B$30))</f>
        <v>0</v>
      </c>
      <c r="D59" s="100" t="n">
        <f aca="false">IF($A59="","",IF($C$4=0,0,SUMIFS(Project_Activity!$P$2:$P$2991,Project_Activity!$L$2:$L$2991,$C$30,Project_Activity!$C$2:$C$2991,$A59,Project_Activity!$A$2:$A$2991,Controls!$B$7,Project_Activity!$B$2:$B$2991,"&gt;="&amp;Controls!$B$5&amp;"-Q1",Project_Activity!$B$2:$B$2991,"&lt;="&amp;Controls!$B$5&amp;"-Q"&amp;$C$4)))</f>
        <v>0</v>
      </c>
      <c r="E59" s="103" t="n">
        <f aca="false">IF($A59="","",IF($E$30=0,"-",$D59/$E$30))</f>
        <v>-0</v>
      </c>
    </row>
    <row r="60" customFormat="false" ht="13.5" hidden="false" customHeight="false" outlineLevel="0" collapsed="false">
      <c r="A60" s="1" t="str">
        <f aca="false">IF(MM_Income!$A$32="","",MM_Income!$A$32)</f>
        <v>PCGH792</v>
      </c>
      <c r="B60" s="1" t="str">
        <f aca="false">IF($A60="","",MM_Income!$B$32)</f>
        <v>HCV_HCSA_Scoping Study_RENL_Isi Concession</v>
      </c>
      <c r="C60" s="100" t="n">
        <f aca="false">IF($A60="","",SUMIFS(Project_Activity!$P$2:$P$2991,Project_Activity!$L$2:$L$2991,$C$30,Project_Activity!$C$2:$C$2991,$A60,Project_Activity!$A$2:$A$2991,Controls!$B$7,Project_Activity!$B$2:$B$2991,Controls!$B$30))</f>
        <v>-166715.14</v>
      </c>
      <c r="D60" s="100" t="n">
        <f aca="false">IF($A60="","",IF($C$4=0,0,SUMIFS(Project_Activity!$P$2:$P$2991,Project_Activity!$L$2:$L$2991,$C$30,Project_Activity!$C$2:$C$2991,$A60,Project_Activity!$A$2:$A$2991,Controls!$B$7,Project_Activity!$B$2:$B$2991,"&gt;="&amp;Controls!$B$5&amp;"-Q1",Project_Activity!$B$2:$B$2991,"&lt;="&amp;Controls!$B$5&amp;"-Q"&amp;$C$4)))</f>
        <v>-166715.14</v>
      </c>
      <c r="E60" s="103" t="n">
        <f aca="false">IF($A60="","",IF($E$30=0,"-",$D60/$E$30))</f>
        <v>0.0358192961031988</v>
      </c>
    </row>
    <row r="61" customFormat="false" ht="13.5" hidden="false" customHeight="false" outlineLevel="0" collapsed="false">
      <c r="A61" s="1" t="str">
        <f aca="false">IF(MM_Income!$A$33="","",MM_Income!$A$33)</f>
        <v>PCGH793</v>
      </c>
      <c r="B61" s="1" t="str">
        <f aca="false">IF($A61="","",MM_Income!$B$33)</f>
        <v>HCV_HCSA_Scoping_RENL_Calabar Concession</v>
      </c>
      <c r="C61" s="100" t="n">
        <f aca="false">IF($A61="","",SUMIFS(Project_Activity!$P$2:$P$2991,Project_Activity!$L$2:$L$2991,$C$30,Project_Activity!$C$2:$C$2991,$A61,Project_Activity!$A$2:$A$2991,Controls!$B$7,Project_Activity!$B$2:$B$2991,Controls!$B$30))</f>
        <v>-166541.06</v>
      </c>
      <c r="D61" s="100" t="n">
        <f aca="false">IF($A61="","",IF($C$4=0,0,SUMIFS(Project_Activity!$P$2:$P$2991,Project_Activity!$L$2:$L$2991,$C$30,Project_Activity!$C$2:$C$2991,$A61,Project_Activity!$A$2:$A$2991,Controls!$B$7,Project_Activity!$B$2:$B$2991,"&gt;="&amp;Controls!$B$5&amp;"-Q1",Project_Activity!$B$2:$B$2991,"&lt;="&amp;Controls!$B$5&amp;"-Q"&amp;$C$4)))</f>
        <v>-166541.06</v>
      </c>
      <c r="E61" s="103" t="n">
        <f aca="false">IF($A61="","",IF($E$30=0,"-",$D61/$E$30))</f>
        <v>0.0357818944427039</v>
      </c>
    </row>
    <row r="62" customFormat="false" ht="13.5" hidden="false" customHeight="false" outlineLevel="0" collapsed="false">
      <c r="A62" s="1" t="str">
        <f aca="false">IF(MM_Income!$A$34="","",MM_Income!$A$34)</f>
        <v>TBC-01</v>
      </c>
      <c r="B62" s="1" t="str">
        <f aca="false">IF($A62="","",MM_Income!$B$34)</f>
        <v>Hershey Nigeria - Scoping Study</v>
      </c>
      <c r="C62" s="100" t="n">
        <f aca="false">IF($A62="","",SUMIFS(Project_Activity!$P$2:$P$2991,Project_Activity!$L$2:$L$2991,$C$30,Project_Activity!$C$2:$C$2991,$A62,Project_Activity!$A$2:$A$2991,Controls!$B$7,Project_Activity!$B$2:$B$2991,Controls!$B$30))</f>
        <v>0</v>
      </c>
      <c r="D62" s="100" t="n">
        <f aca="false">IF($A62="","",IF($C$4=0,0,SUMIFS(Project_Activity!$P$2:$P$2991,Project_Activity!$L$2:$L$2991,$C$30,Project_Activity!$C$2:$C$2991,$A62,Project_Activity!$A$2:$A$2991,Controls!$B$7,Project_Activity!$B$2:$B$2991,"&gt;="&amp;Controls!$B$5&amp;"-Q1",Project_Activity!$B$2:$B$2991,"&lt;="&amp;Controls!$B$5&amp;"-Q"&amp;$C$4)))</f>
        <v>0</v>
      </c>
      <c r="E62" s="103" t="n">
        <f aca="false">IF($A62="","",IF($E$30=0,"-",$D62/$E$30))</f>
        <v>-0</v>
      </c>
    </row>
    <row r="63" customFormat="false" ht="13.5" hidden="false" customHeight="false" outlineLevel="0" collapsed="false">
      <c r="A63" s="1" t="str">
        <f aca="false">IF(MM_Income!$A$35="","",MM_Income!$A$35)</f>
        <v>TBC-02</v>
      </c>
      <c r="B63" s="1" t="str">
        <f aca="false">IF($A63="","",MM_Income!$B$35)</f>
        <v>CDC_BOA &amp; MONDONI_HCV-HCSA Assessment</v>
      </c>
      <c r="C63" s="100" t="n">
        <f aca="false">IF($A63="","",SUMIFS(Project_Activity!$P$2:$P$2991,Project_Activity!$L$2:$L$2991,$C$30,Project_Activity!$C$2:$C$2991,$A63,Project_Activity!$A$2:$A$2991,Controls!$B$7,Project_Activity!$B$2:$B$2991,Controls!$B$30))</f>
        <v>0</v>
      </c>
      <c r="D63" s="100" t="n">
        <f aca="false">IF($A63="","",IF($C$4=0,0,SUMIFS(Project_Activity!$P$2:$P$2991,Project_Activity!$L$2:$L$2991,$C$30,Project_Activity!$C$2:$C$2991,$A63,Project_Activity!$A$2:$A$2991,Controls!$B$7,Project_Activity!$B$2:$B$2991,"&gt;="&amp;Controls!$B$5&amp;"-Q1",Project_Activity!$B$2:$B$2991,"&lt;="&amp;Controls!$B$5&amp;"-Q"&amp;$C$4)))</f>
        <v>0</v>
      </c>
      <c r="E63" s="103" t="n">
        <f aca="false">IF($A63="","",IF($E$30=0,"-",$D63/$E$30))</f>
        <v>-0</v>
      </c>
    </row>
    <row r="64" customFormat="false" ht="13.5" hidden="false" customHeight="false" outlineLevel="0" collapsed="false">
      <c r="A64" s="1" t="str">
        <f aca="false">IF(MM_Income!$A$36="","",MM_Income!$A$36)</f>
        <v>TBC-03</v>
      </c>
      <c r="B64" s="1" t="str">
        <f aca="false">IF($A64="","",MM_Income!$B$36)</f>
        <v>Environmental and Social Compliance Training and Traceability System Design and Deployment for the Palm and Cashew Value Chains In Ghana</v>
      </c>
      <c r="C64" s="100" t="n">
        <f aca="false">IF($A64="","",SUMIFS(Project_Activity!$P$2:$P$2991,Project_Activity!$L$2:$L$2991,$C$30,Project_Activity!$C$2:$C$2991,$A64,Project_Activity!$A$2:$A$2991,Controls!$B$7,Project_Activity!$B$2:$B$2991,Controls!$B$30))</f>
        <v>0</v>
      </c>
      <c r="D64" s="100" t="n">
        <f aca="false">IF($A64="","",IF($C$4=0,0,SUMIFS(Project_Activity!$P$2:$P$2991,Project_Activity!$L$2:$L$2991,$C$30,Project_Activity!$C$2:$C$2991,$A64,Project_Activity!$A$2:$A$2991,Controls!$B$7,Project_Activity!$B$2:$B$2991,"&gt;="&amp;Controls!$B$5&amp;"-Q1",Project_Activity!$B$2:$B$2991,"&lt;="&amp;Controls!$B$5&amp;"-Q"&amp;$C$4)))</f>
        <v>0</v>
      </c>
      <c r="E64" s="103" t="n">
        <f aca="false">IF($A64="","",IF($E$30=0,"-",$D64/$E$30))</f>
        <v>-0</v>
      </c>
    </row>
    <row r="65" customFormat="false" ht="13.5" hidden="false" customHeight="false" outlineLevel="0" collapsed="false">
      <c r="A65" s="1" t="str">
        <f aca="false">IF(MM_Income!$A$37="","",MM_Income!$A$37)</f>
        <v>TBC-04</v>
      </c>
      <c r="B65" s="1" t="str">
        <f aca="false">IF($A65="","",MM_Income!$B$37)</f>
        <v>Integrated HCV-HCSA Scoping Study for Presco Plc's Nsadop Concession in Cross River State Nigeria</v>
      </c>
      <c r="C65" s="100" t="n">
        <f aca="false">IF($A65="","",SUMIFS(Project_Activity!$P$2:$P$2991,Project_Activity!$L$2:$L$2991,$C$30,Project_Activity!$C$2:$C$2991,$A65,Project_Activity!$A$2:$A$2991,Controls!$B$7,Project_Activity!$B$2:$B$2991,Controls!$B$30))</f>
        <v>0</v>
      </c>
      <c r="D65" s="100" t="n">
        <f aca="false">IF($A65="","",IF($C$4=0,0,SUMIFS(Project_Activity!$P$2:$P$2991,Project_Activity!$L$2:$L$2991,$C$30,Project_Activity!$C$2:$C$2991,$A65,Project_Activity!$A$2:$A$2991,Controls!$B$7,Project_Activity!$B$2:$B$2991,"&gt;="&amp;Controls!$B$5&amp;"-Q1",Project_Activity!$B$2:$B$2991,"&lt;="&amp;Controls!$B$5&amp;"-Q"&amp;$C$4)))</f>
        <v>0</v>
      </c>
      <c r="E65" s="103" t="n">
        <f aca="false">IF($A65="","",IF($E$30=0,"-",$D65/$E$30))</f>
        <v>-0</v>
      </c>
    </row>
    <row r="66" customFormat="false" ht="13.5" hidden="false" customHeight="false" outlineLevel="0" collapsed="false">
      <c r="A66" s="1" t="str">
        <f aca="false">IF(MM_Income!$A$38="","",MM_Income!$A$38)</f>
        <v>TBC-05</v>
      </c>
      <c r="B66" s="1" t="str">
        <f aca="false">IF($A66="","",MM_Income!$B$38)</f>
        <v>Bonsucro Chain of Custody Standard Baseline Assessment and Gap Analyses for BUA Foods Plc. Sugar Refineries in Apapa, Lagos and FZE, Port Harcourt, Nigeria</v>
      </c>
      <c r="C66" s="100" t="n">
        <f aca="false">IF($A66="","",SUMIFS(Project_Activity!$P$2:$P$2991,Project_Activity!$L$2:$L$2991,$C$30,Project_Activity!$C$2:$C$2991,$A66,Project_Activity!$A$2:$A$2991,Controls!$B$7,Project_Activity!$B$2:$B$2991,Controls!$B$30))</f>
        <v>0</v>
      </c>
      <c r="D66" s="100" t="n">
        <f aca="false">IF($A66="","",IF($C$4=0,0,SUMIFS(Project_Activity!$P$2:$P$2991,Project_Activity!$L$2:$L$2991,$C$30,Project_Activity!$C$2:$C$2991,$A66,Project_Activity!$A$2:$A$2991,Controls!$B$7,Project_Activity!$B$2:$B$2991,"&gt;="&amp;Controls!$B$5&amp;"-Q1",Project_Activity!$B$2:$B$2991,"&lt;="&amp;Controls!$B$5&amp;"-Q"&amp;$C$4)))</f>
        <v>0</v>
      </c>
      <c r="E66" s="103" t="n">
        <f aca="false">IF($A66="","",IF($E$30=0,"-",$D66/$E$30))</f>
        <v>-0</v>
      </c>
    </row>
    <row r="67" customFormat="false" ht="13.5" hidden="false" customHeight="false" outlineLevel="0" collapsed="false">
      <c r="A67" s="1" t="str">
        <f aca="false">IF(MM_Income!$A$39="","",MM_Income!$A$39)</f>
        <v>TBC-06</v>
      </c>
      <c r="B67" s="1" t="str">
        <f aca="false">IF($A67="","",MM_Income!$B$39)</f>
        <v>Integrated HCV-HCSA Scoping Study for Dangote Sugar Refinery's Savannah Sugar Estate Concession in Numan, Adamawa State, Nigeria</v>
      </c>
      <c r="C67" s="100" t="n">
        <f aca="false">IF($A67="","",SUMIFS(Project_Activity!$P$2:$P$2991,Project_Activity!$L$2:$L$2991,$C$30,Project_Activity!$C$2:$C$2991,$A67,Project_Activity!$A$2:$A$2991,Controls!$B$7,Project_Activity!$B$2:$B$2991,Controls!$B$30))</f>
        <v>0</v>
      </c>
      <c r="D67" s="100" t="n">
        <f aca="false">IF($A67="","",IF($C$4=0,0,SUMIFS(Project_Activity!$P$2:$P$2991,Project_Activity!$L$2:$L$2991,$C$30,Project_Activity!$C$2:$C$2991,$A67,Project_Activity!$A$2:$A$2991,Controls!$B$7,Project_Activity!$B$2:$B$2991,"&gt;="&amp;Controls!$B$5&amp;"-Q1",Project_Activity!$B$2:$B$2991,"&lt;="&amp;Controls!$B$5&amp;"-Q"&amp;$C$4)))</f>
        <v>0</v>
      </c>
      <c r="E67" s="103" t="n">
        <f aca="false">IF($A67="","",IF($E$30=0,"-",$D67/$E$30))</f>
        <v>-0</v>
      </c>
    </row>
    <row r="68" customFormat="false" ht="13.5" hidden="false" customHeight="false" outlineLevel="0" collapsed="false">
      <c r="A68" s="1" t="str">
        <f aca="false">IF(MM_Income!$A$40="","",MM_Income!$A$40)</f>
        <v>TBC-07</v>
      </c>
      <c r="B68" s="1" t="str">
        <f aca="false">IF($A68="","",MM_Income!$B$40)</f>
        <v>Bonsucro Chain of Custody Standard Baseline Assessment and Gap Analyses for Dangote Suagr Refinery in Apapa, Lagos State, Nigeria</v>
      </c>
      <c r="C68" s="100" t="n">
        <f aca="false">IF($A68="","",SUMIFS(Project_Activity!$P$2:$P$2991,Project_Activity!$L$2:$L$2991,$C$30,Project_Activity!$C$2:$C$2991,$A68,Project_Activity!$A$2:$A$2991,Controls!$B$7,Project_Activity!$B$2:$B$2991,Controls!$B$30))</f>
        <v>0</v>
      </c>
      <c r="D68" s="100" t="n">
        <f aca="false">IF($A68="","",IF($C$4=0,0,SUMIFS(Project_Activity!$P$2:$P$2991,Project_Activity!$L$2:$L$2991,$C$30,Project_Activity!$C$2:$C$2991,$A68,Project_Activity!$A$2:$A$2991,Controls!$B$7,Project_Activity!$B$2:$B$2991,"&gt;="&amp;Controls!$B$5&amp;"-Q1",Project_Activity!$B$2:$B$2991,"&lt;="&amp;Controls!$B$5&amp;"-Q"&amp;$C$4)))</f>
        <v>0</v>
      </c>
      <c r="E68" s="103" t="n">
        <f aca="false">IF($A68="","",IF($E$30=0,"-",$D68/$E$30))</f>
        <v>-0</v>
      </c>
    </row>
    <row r="69" customFormat="false" ht="13.5" hidden="false" customHeight="false" outlineLevel="0" collapsed="false">
      <c r="A69" s="1" t="str">
        <f aca="false">IF(MM_Income!$A$41="","",MM_Income!$A$41)</f>
        <v>TBC-08</v>
      </c>
      <c r="B69" s="1" t="str">
        <f aca="false">IF($A69="","",MM_Income!$B$41)</f>
        <v>Bonsucro Production Standard Baseline Assessment and Gap Analyses of Dangote's Savannah Sugar Estate Operations in Numan, Adamawa State, Nigeria</v>
      </c>
      <c r="C69" s="100" t="n">
        <f aca="false">IF($A69="","",SUMIFS(Project_Activity!$P$2:$P$2991,Project_Activity!$L$2:$L$2991,$C$30,Project_Activity!$C$2:$C$2991,$A69,Project_Activity!$A$2:$A$2991,Controls!$B$7,Project_Activity!$B$2:$B$2991,Controls!$B$30))</f>
        <v>0</v>
      </c>
      <c r="D69" s="100" t="n">
        <f aca="false">IF($A69="","",IF($C$4=0,0,SUMIFS(Project_Activity!$P$2:$P$2991,Project_Activity!$L$2:$L$2991,$C$30,Project_Activity!$C$2:$C$2991,$A69,Project_Activity!$A$2:$A$2991,Controls!$B$7,Project_Activity!$B$2:$B$2991,"&gt;="&amp;Controls!$B$5&amp;"-Q1",Project_Activity!$B$2:$B$2991,"&lt;="&amp;Controls!$B$5&amp;"-Q"&amp;$C$4)))</f>
        <v>0</v>
      </c>
      <c r="E69" s="103" t="n">
        <f aca="false">IF($A69="","",IF($E$30=0,"-",$D69/$E$30))</f>
        <v>-0</v>
      </c>
    </row>
    <row r="70" customFormat="false" ht="13.5" hidden="false" customHeight="false" outlineLevel="0" collapsed="false">
      <c r="A70" s="1" t="str">
        <f aca="false">IF(MM_Income!$A$42="","",MM_Income!$A$42)</f>
        <v/>
      </c>
      <c r="B70" s="1" t="str">
        <f aca="false">IF($A70="","",MM_Income!$B$42)</f>
        <v/>
      </c>
      <c r="C70" s="100" t="str">
        <f aca="false">IF($A70="","",SUMIFS(Project_Activity!$P$2:$P$2991,Project_Activity!$L$2:$L$2991,$C$30,Project_Activity!$C$2:$C$2991,$A70,Project_Activity!$A$2:$A$2991,Controls!$B$7,Project_Activity!$B$2:$B$2991,Controls!$B$30))</f>
        <v/>
      </c>
      <c r="D70" s="100" t="str">
        <f aca="false">IF($A70="","",IF($C$4=0,0,SUMIFS(Project_Activity!$P$2:$P$2991,Project_Activity!$L$2:$L$2991,$C$30,Project_Activity!$C$2:$C$2991,$A70,Project_Activity!$A$2:$A$2991,Controls!$B$7,Project_Activity!$B$2:$B$2991,"&gt;="&amp;Controls!$B$5&amp;"-Q1",Project_Activity!$B$2:$B$2991,"&lt;="&amp;Controls!$B$5&amp;"-Q"&amp;$C$4)))</f>
        <v/>
      </c>
      <c r="E70" s="103" t="str">
        <f aca="false">IF($A70="","",IF($E$30=0,"-",$D70/$E$30))</f>
        <v/>
      </c>
    </row>
    <row r="71" customFormat="false" ht="13.5" hidden="false" customHeight="false" outlineLevel="0" collapsed="false">
      <c r="A71" s="1" t="str">
        <f aca="false">IF(MM_Income!$A$43="","",MM_Income!$A$43)</f>
        <v/>
      </c>
      <c r="B71" s="1" t="str">
        <f aca="false">IF($A71="","",MM_Income!$B$43)</f>
        <v/>
      </c>
      <c r="C71" s="100" t="str">
        <f aca="false">IF($A71="","",SUMIFS(Project_Activity!$P$2:$P$2991,Project_Activity!$L$2:$L$2991,$C$30,Project_Activity!$C$2:$C$2991,$A71,Project_Activity!$A$2:$A$2991,Controls!$B$7,Project_Activity!$B$2:$B$2991,Controls!$B$30))</f>
        <v/>
      </c>
      <c r="D71" s="100" t="str">
        <f aca="false">IF($A71="","",IF($C$4=0,0,SUMIFS(Project_Activity!$P$2:$P$2991,Project_Activity!$L$2:$L$2991,$C$30,Project_Activity!$C$2:$C$2991,$A71,Project_Activity!$A$2:$A$2991,Controls!$B$7,Project_Activity!$B$2:$B$2991,"&gt;="&amp;Controls!$B$5&amp;"-Q1",Project_Activity!$B$2:$B$2991,"&lt;="&amp;Controls!$B$5&amp;"-Q"&amp;$C$4)))</f>
        <v/>
      </c>
      <c r="E71" s="103" t="str">
        <f aca="false">IF($A71="","",IF($E$30=0,"-",$D71/$E$30))</f>
        <v/>
      </c>
    </row>
    <row r="72" customFormat="false" ht="13.5" hidden="false" customHeight="false" outlineLevel="0" collapsed="false">
      <c r="A72" s="1" t="str">
        <f aca="false">IF(MM_Income!$A$44="","",MM_Income!$A$44)</f>
        <v/>
      </c>
      <c r="B72" s="1" t="str">
        <f aca="false">IF($A72="","",MM_Income!$B$44)</f>
        <v/>
      </c>
      <c r="C72" s="100" t="str">
        <f aca="false">IF($A72="","",SUMIFS(Project_Activity!$P$2:$P$2991,Project_Activity!$L$2:$L$2991,$C$30,Project_Activity!$C$2:$C$2991,$A72,Project_Activity!$A$2:$A$2991,Controls!$B$7,Project_Activity!$B$2:$B$2991,Controls!$B$30))</f>
        <v/>
      </c>
      <c r="D72" s="100" t="str">
        <f aca="false">IF($A72="","",IF($C$4=0,0,SUMIFS(Project_Activity!$P$2:$P$2991,Project_Activity!$L$2:$L$2991,$C$30,Project_Activity!$C$2:$C$2991,$A72,Project_Activity!$A$2:$A$2991,Controls!$B$7,Project_Activity!$B$2:$B$2991,"&gt;="&amp;Controls!$B$5&amp;"-Q1",Project_Activity!$B$2:$B$2991,"&lt;="&amp;Controls!$B$5&amp;"-Q"&amp;$C$4)))</f>
        <v/>
      </c>
      <c r="E72" s="103" t="str">
        <f aca="false">IF($A72="","",IF($E$30=0,"-",$D72/$E$30))</f>
        <v/>
      </c>
    </row>
    <row r="73" customFormat="false" ht="13.5" hidden="false" customHeight="false" outlineLevel="0" collapsed="false">
      <c r="A73" s="1" t="str">
        <f aca="false">IF(MM_Income!$A$45="","",MM_Income!$A$45)</f>
        <v/>
      </c>
      <c r="B73" s="1" t="str">
        <f aca="false">IF($A73="","",MM_Income!$B$45)</f>
        <v/>
      </c>
      <c r="C73" s="100" t="str">
        <f aca="false">IF($A73="","",SUMIFS(Project_Activity!$P$2:$P$2991,Project_Activity!$L$2:$L$2991,$C$30,Project_Activity!$C$2:$C$2991,$A73,Project_Activity!$A$2:$A$2991,Controls!$B$7,Project_Activity!$B$2:$B$2991,Controls!$B$30))</f>
        <v/>
      </c>
      <c r="D73" s="100" t="str">
        <f aca="false">IF($A73="","",IF($C$4=0,0,SUMIFS(Project_Activity!$P$2:$P$2991,Project_Activity!$L$2:$L$2991,$C$30,Project_Activity!$C$2:$C$2991,$A73,Project_Activity!$A$2:$A$2991,Controls!$B$7,Project_Activity!$B$2:$B$2991,"&gt;="&amp;Controls!$B$5&amp;"-Q1",Project_Activity!$B$2:$B$2991,"&lt;="&amp;Controls!$B$5&amp;"-Q"&amp;$C$4)))</f>
        <v/>
      </c>
      <c r="E73" s="103" t="str">
        <f aca="false">IF($A73="","",IF($E$30=0,"-",$D73/$E$30))</f>
        <v/>
      </c>
    </row>
    <row r="74" customFormat="false" ht="13.5" hidden="false" customHeight="false" outlineLevel="0" collapsed="false">
      <c r="A74" s="1" t="str">
        <f aca="false">IF(MM_Income!$A$46="","",MM_Income!$A$46)</f>
        <v/>
      </c>
      <c r="B74" s="1" t="str">
        <f aca="false">IF($A74="","",MM_Income!$B$46)</f>
        <v/>
      </c>
      <c r="C74" s="100" t="str">
        <f aca="false">IF($A74="","",SUMIFS(Project_Activity!$P$2:$P$2991,Project_Activity!$L$2:$L$2991,$C$30,Project_Activity!$C$2:$C$2991,$A74,Project_Activity!$A$2:$A$2991,Controls!$B$7,Project_Activity!$B$2:$B$2991,Controls!$B$30))</f>
        <v/>
      </c>
      <c r="D74" s="100" t="str">
        <f aca="false">IF($A74="","",IF($C$4=0,0,SUMIFS(Project_Activity!$P$2:$P$2991,Project_Activity!$L$2:$L$2991,$C$30,Project_Activity!$C$2:$C$2991,$A74,Project_Activity!$A$2:$A$2991,Controls!$B$7,Project_Activity!$B$2:$B$2991,"&gt;="&amp;Controls!$B$5&amp;"-Q1",Project_Activity!$B$2:$B$2991,"&lt;="&amp;Controls!$B$5&amp;"-Q"&amp;$C$4)))</f>
        <v/>
      </c>
      <c r="E74" s="103" t="str">
        <f aca="false">IF($A74="","",IF($E$30=0,"-",$D74/$E$30))</f>
        <v/>
      </c>
    </row>
    <row r="75" customFormat="false" ht="13.5" hidden="false" customHeight="false" outlineLevel="0" collapsed="false">
      <c r="A75" s="1" t="str">
        <f aca="false">IF(MM_Income!$A$47="","",MM_Income!$A$47)</f>
        <v/>
      </c>
      <c r="B75" s="1" t="str">
        <f aca="false">IF($A75="","",MM_Income!$B$47)</f>
        <v/>
      </c>
      <c r="C75" s="100" t="str">
        <f aca="false">IF($A75="","",SUMIFS(Project_Activity!$P$2:$P$2991,Project_Activity!$L$2:$L$2991,$C$30,Project_Activity!$C$2:$C$2991,$A75,Project_Activity!$A$2:$A$2991,Controls!$B$7,Project_Activity!$B$2:$B$2991,Controls!$B$30))</f>
        <v/>
      </c>
      <c r="D75" s="100" t="str">
        <f aca="false">IF($A75="","",IF($C$4=0,0,SUMIFS(Project_Activity!$P$2:$P$2991,Project_Activity!$L$2:$L$2991,$C$30,Project_Activity!$C$2:$C$2991,$A75,Project_Activity!$A$2:$A$2991,Controls!$B$7,Project_Activity!$B$2:$B$2991,"&gt;="&amp;Controls!$B$5&amp;"-Q1",Project_Activity!$B$2:$B$2991,"&lt;="&amp;Controls!$B$5&amp;"-Q"&amp;$C$4)))</f>
        <v/>
      </c>
      <c r="E75" s="103" t="str">
        <f aca="false">IF($A75="","",IF($E$30=0,"-",$D75/$E$30))</f>
        <v/>
      </c>
    </row>
    <row r="76" customFormat="false" ht="13.5" hidden="false" customHeight="false" outlineLevel="0" collapsed="false">
      <c r="A76" s="1" t="str">
        <f aca="false">IF(MM_Income!$A$48="","",MM_Income!$A$48)</f>
        <v/>
      </c>
      <c r="B76" s="1" t="str">
        <f aca="false">IF($A76="","",MM_Income!$B$48)</f>
        <v/>
      </c>
      <c r="C76" s="100" t="str">
        <f aca="false">IF($A76="","",SUMIFS(Project_Activity!$P$2:$P$2991,Project_Activity!$L$2:$L$2991,$C$30,Project_Activity!$C$2:$C$2991,$A76,Project_Activity!$A$2:$A$2991,Controls!$B$7,Project_Activity!$B$2:$B$2991,Controls!$B$30))</f>
        <v/>
      </c>
      <c r="D76" s="100" t="str">
        <f aca="false">IF($A76="","",IF($C$4=0,0,SUMIFS(Project_Activity!$P$2:$P$2991,Project_Activity!$L$2:$L$2991,$C$30,Project_Activity!$C$2:$C$2991,$A76,Project_Activity!$A$2:$A$2991,Controls!$B$7,Project_Activity!$B$2:$B$2991,"&gt;="&amp;Controls!$B$5&amp;"-Q1",Project_Activity!$B$2:$B$2991,"&lt;="&amp;Controls!$B$5&amp;"-Q"&amp;$C$4)))</f>
        <v/>
      </c>
      <c r="E76" s="103" t="str">
        <f aca="false">IF($A76="","",IF($E$30=0,"-",$D76/$E$30))</f>
        <v/>
      </c>
    </row>
    <row r="77" customFormat="false" ht="13.5" hidden="false" customHeight="false" outlineLevel="0" collapsed="false">
      <c r="A77" s="1" t="str">
        <f aca="false">IF(MM_Income!$A$49="","",MM_Income!$A$49)</f>
        <v/>
      </c>
      <c r="B77" s="1" t="str">
        <f aca="false">IF($A77="","",MM_Income!$B$49)</f>
        <v/>
      </c>
      <c r="C77" s="100" t="str">
        <f aca="false">IF($A77="","",SUMIFS(Project_Activity!$P$2:$P$2991,Project_Activity!$L$2:$L$2991,$C$30,Project_Activity!$C$2:$C$2991,$A77,Project_Activity!$A$2:$A$2991,Controls!$B$7,Project_Activity!$B$2:$B$2991,Controls!$B$30))</f>
        <v/>
      </c>
      <c r="D77" s="100" t="str">
        <f aca="false">IF($A77="","",IF($C$4=0,0,SUMIFS(Project_Activity!$P$2:$P$2991,Project_Activity!$L$2:$L$2991,$C$30,Project_Activity!$C$2:$C$2991,$A77,Project_Activity!$A$2:$A$2991,Controls!$B$7,Project_Activity!$B$2:$B$2991,"&gt;="&amp;Controls!$B$5&amp;"-Q1",Project_Activity!$B$2:$B$2991,"&lt;="&amp;Controls!$B$5&amp;"-Q"&amp;$C$4)))</f>
        <v/>
      </c>
      <c r="E77" s="103" t="str">
        <f aca="false">IF($A77="","",IF($E$30=0,"-",$D77/$E$30))</f>
        <v/>
      </c>
    </row>
    <row r="78" customFormat="false" ht="13.5" hidden="false" customHeight="false" outlineLevel="0" collapsed="false">
      <c r="A78" s="1" t="str">
        <f aca="false">IF(MM_Income!$A$50="","",MM_Income!$A$50)</f>
        <v/>
      </c>
      <c r="B78" s="1" t="str">
        <f aca="false">IF($A78="","",MM_Income!$B$50)</f>
        <v/>
      </c>
      <c r="C78" s="100" t="str">
        <f aca="false">IF($A78="","",SUMIFS(Project_Activity!$P$2:$P$2991,Project_Activity!$L$2:$L$2991,$C$30,Project_Activity!$C$2:$C$2991,$A78,Project_Activity!$A$2:$A$2991,Controls!$B$7,Project_Activity!$B$2:$B$2991,Controls!$B$30))</f>
        <v/>
      </c>
      <c r="D78" s="100" t="str">
        <f aca="false">IF($A78="","",IF($C$4=0,0,SUMIFS(Project_Activity!$P$2:$P$2991,Project_Activity!$L$2:$L$2991,$C$30,Project_Activity!$C$2:$C$2991,$A78,Project_Activity!$A$2:$A$2991,Controls!$B$7,Project_Activity!$B$2:$B$2991,"&gt;="&amp;Controls!$B$5&amp;"-Q1",Project_Activity!$B$2:$B$2991,"&lt;="&amp;Controls!$B$5&amp;"-Q"&amp;$C$4)))</f>
        <v/>
      </c>
      <c r="E78" s="103" t="str">
        <f aca="false">IF($A78="","",IF($E$30=0,"-",$D78/$E$30))</f>
        <v/>
      </c>
    </row>
    <row r="79" customFormat="false" ht="13.5" hidden="false" customHeight="false" outlineLevel="0" collapsed="false">
      <c r="A79" s="1" t="str">
        <f aca="false">IF(MM_Income!$A$51="","",MM_Income!$A$51)</f>
        <v/>
      </c>
      <c r="B79" s="1" t="str">
        <f aca="false">IF($A79="","",MM_Income!$B$51)</f>
        <v/>
      </c>
      <c r="C79" s="100" t="str">
        <f aca="false">IF($A79="","",SUMIFS(Project_Activity!$P$2:$P$2991,Project_Activity!$L$2:$L$2991,$C$30,Project_Activity!$C$2:$C$2991,$A79,Project_Activity!$A$2:$A$2991,Controls!$B$7,Project_Activity!$B$2:$B$2991,Controls!$B$30))</f>
        <v/>
      </c>
      <c r="D79" s="100" t="str">
        <f aca="false">IF($A79="","",IF($C$4=0,0,SUMIFS(Project_Activity!$P$2:$P$2991,Project_Activity!$L$2:$L$2991,$C$30,Project_Activity!$C$2:$C$2991,$A79,Project_Activity!$A$2:$A$2991,Controls!$B$7,Project_Activity!$B$2:$B$2991,"&gt;="&amp;Controls!$B$5&amp;"-Q1",Project_Activity!$B$2:$B$2991,"&lt;="&amp;Controls!$B$5&amp;"-Q"&amp;$C$4)))</f>
        <v/>
      </c>
      <c r="E79" s="103" t="str">
        <f aca="false">IF($A79="","",IF($E$30=0,"-",$D79/$E$30))</f>
        <v/>
      </c>
    </row>
    <row r="80" customFormat="false" ht="13.5" hidden="false" customHeight="false" outlineLevel="0" collapsed="false">
      <c r="A80" s="1" t="str">
        <f aca="false">IF(MM_Income!$A$52="","",MM_Income!$A$52)</f>
        <v/>
      </c>
      <c r="B80" s="1" t="str">
        <f aca="false">IF($A80="","",MM_Income!$B$52)</f>
        <v/>
      </c>
      <c r="C80" s="100" t="str">
        <f aca="false">IF($A80="","",SUMIFS(Project_Activity!$P$2:$P$2991,Project_Activity!$L$2:$L$2991,$C$30,Project_Activity!$C$2:$C$2991,$A80,Project_Activity!$A$2:$A$2991,Controls!$B$7,Project_Activity!$B$2:$B$2991,Controls!$B$30))</f>
        <v/>
      </c>
      <c r="D80" s="100" t="str">
        <f aca="false">IF($A80="","",IF($C$4=0,0,SUMIFS(Project_Activity!$P$2:$P$2991,Project_Activity!$L$2:$L$2991,$C$30,Project_Activity!$C$2:$C$2991,$A80,Project_Activity!$A$2:$A$2991,Controls!$B$7,Project_Activity!$B$2:$B$2991,"&gt;="&amp;Controls!$B$5&amp;"-Q1",Project_Activity!$B$2:$B$2991,"&lt;="&amp;Controls!$B$5&amp;"-Q"&amp;$C$4)))</f>
        <v/>
      </c>
      <c r="E80" s="103" t="str">
        <f aca="false">IF($A80="","",IF($E$30=0,"-",$D80/$E$30))</f>
        <v/>
      </c>
    </row>
    <row r="81" customFormat="false" ht="13.5" hidden="false" customHeight="false" outlineLevel="0" collapsed="false">
      <c r="A81" s="1" t="str">
        <f aca="false">IF(MM_Income!$A$53="","",MM_Income!$A$53)</f>
        <v/>
      </c>
      <c r="B81" s="1" t="str">
        <f aca="false">IF($A81="","",MM_Income!$B$53)</f>
        <v/>
      </c>
      <c r="C81" s="100" t="str">
        <f aca="false">IF($A81="","",SUMIFS(Project_Activity!$P$2:$P$2991,Project_Activity!$L$2:$L$2991,$C$30,Project_Activity!$C$2:$C$2991,$A81,Project_Activity!$A$2:$A$2991,Controls!$B$7,Project_Activity!$B$2:$B$2991,Controls!$B$30))</f>
        <v/>
      </c>
      <c r="D81" s="100" t="str">
        <f aca="false">IF($A81="","",IF($C$4=0,0,SUMIFS(Project_Activity!$P$2:$P$2991,Project_Activity!$L$2:$L$2991,$C$30,Project_Activity!$C$2:$C$2991,$A81,Project_Activity!$A$2:$A$2991,Controls!$B$7,Project_Activity!$B$2:$B$2991,"&gt;="&amp;Controls!$B$5&amp;"-Q1",Project_Activity!$B$2:$B$2991,"&lt;="&amp;Controls!$B$5&amp;"-Q"&amp;$C$4)))</f>
        <v/>
      </c>
      <c r="E81" s="103" t="str">
        <f aca="false">IF($A81="","",IF($E$30=0,"-",$D81/$E$30))</f>
        <v/>
      </c>
    </row>
    <row r="82" customFormat="false" ht="13.5" hidden="false" customHeight="false" outlineLevel="0" collapsed="false">
      <c r="A82" s="1" t="str">
        <f aca="false">IF(MM_Income!$A$54="","",MM_Income!$A$54)</f>
        <v/>
      </c>
      <c r="B82" s="1" t="str">
        <f aca="false">IF($A82="","",MM_Income!$B$54)</f>
        <v/>
      </c>
      <c r="C82" s="100" t="str">
        <f aca="false">IF($A82="","",SUMIFS(Project_Activity!$P$2:$P$2991,Project_Activity!$L$2:$L$2991,$C$30,Project_Activity!$C$2:$C$2991,$A82,Project_Activity!$A$2:$A$2991,Controls!$B$7,Project_Activity!$B$2:$B$2991,Controls!$B$30))</f>
        <v/>
      </c>
      <c r="D82" s="100" t="str">
        <f aca="false">IF($A82="","",IF($C$4=0,0,SUMIFS(Project_Activity!$P$2:$P$2991,Project_Activity!$L$2:$L$2991,$C$30,Project_Activity!$C$2:$C$2991,$A82,Project_Activity!$A$2:$A$2991,Controls!$B$7,Project_Activity!$B$2:$B$2991,"&gt;="&amp;Controls!$B$5&amp;"-Q1",Project_Activity!$B$2:$B$2991,"&lt;="&amp;Controls!$B$5&amp;"-Q"&amp;$C$4)))</f>
        <v/>
      </c>
      <c r="E82" s="103" t="str">
        <f aca="false">IF($A82="","",IF($E$30=0,"-",$D82/$E$30))</f>
        <v/>
      </c>
    </row>
    <row r="83" customFormat="false" ht="13.5" hidden="false" customHeight="false" outlineLevel="0" collapsed="false">
      <c r="A83" s="1" t="str">
        <f aca="false">IF(MM_Income!$A$55="","",MM_Income!$A$55)</f>
        <v/>
      </c>
      <c r="B83" s="1" t="str">
        <f aca="false">IF($A83="","",MM_Income!$B$55)</f>
        <v/>
      </c>
      <c r="C83" s="100" t="str">
        <f aca="false">IF($A83="","",SUMIFS(Project_Activity!$P$2:$P$2991,Project_Activity!$L$2:$L$2991,$C$30,Project_Activity!$C$2:$C$2991,$A83,Project_Activity!$A$2:$A$2991,Controls!$B$7,Project_Activity!$B$2:$B$2991,Controls!$B$30))</f>
        <v/>
      </c>
      <c r="D83" s="100" t="str">
        <f aca="false">IF($A83="","",IF($C$4=0,0,SUMIFS(Project_Activity!$P$2:$P$2991,Project_Activity!$L$2:$L$2991,$C$30,Project_Activity!$C$2:$C$2991,$A83,Project_Activity!$A$2:$A$2991,Controls!$B$7,Project_Activity!$B$2:$B$2991,"&gt;="&amp;Controls!$B$5&amp;"-Q1",Project_Activity!$B$2:$B$2991,"&lt;="&amp;Controls!$B$5&amp;"-Q"&amp;$C$4)))</f>
        <v/>
      </c>
      <c r="E83" s="103" t="str">
        <f aca="false">IF($A83="","",IF($E$30=0,"-",$D83/$E$30))</f>
        <v/>
      </c>
    </row>
    <row r="84" customFormat="false" ht="13.5" hidden="false" customHeight="false" outlineLevel="0" collapsed="false">
      <c r="A84" s="1" t="str">
        <f aca="false">IF(MM_Income!$A$56="","",MM_Income!$A$56)</f>
        <v/>
      </c>
      <c r="B84" s="1" t="str">
        <f aca="false">IF($A84="","",MM_Income!$B$56)</f>
        <v/>
      </c>
      <c r="C84" s="100" t="str">
        <f aca="false">IF($A84="","",SUMIFS(Project_Activity!$P$2:$P$2991,Project_Activity!$L$2:$L$2991,$C$30,Project_Activity!$C$2:$C$2991,$A84,Project_Activity!$A$2:$A$2991,Controls!$B$7,Project_Activity!$B$2:$B$2991,Controls!$B$30))</f>
        <v/>
      </c>
      <c r="D84" s="100" t="str">
        <f aca="false">IF($A84="","",IF($C$4=0,0,SUMIFS(Project_Activity!$P$2:$P$2991,Project_Activity!$L$2:$L$2991,$C$30,Project_Activity!$C$2:$C$2991,$A84,Project_Activity!$A$2:$A$2991,Controls!$B$7,Project_Activity!$B$2:$B$2991,"&gt;="&amp;Controls!$B$5&amp;"-Q1",Project_Activity!$B$2:$B$2991,"&lt;="&amp;Controls!$B$5&amp;"-Q"&amp;$C$4)))</f>
        <v/>
      </c>
      <c r="E84" s="103" t="str">
        <f aca="false">IF($A84="","",IF($E$30=0,"-",$D84/$E$30))</f>
        <v/>
      </c>
    </row>
    <row r="85" customFormat="false" ht="13.5" hidden="false" customHeight="false" outlineLevel="0" collapsed="false">
      <c r="A85" s="1" t="str">
        <f aca="false">IF(MM_Income!$A$57="","",MM_Income!$A$57)</f>
        <v/>
      </c>
      <c r="B85" s="1" t="str">
        <f aca="false">IF($A85="","",MM_Income!$B$57)</f>
        <v/>
      </c>
      <c r="C85" s="100" t="str">
        <f aca="false">IF($A85="","",SUMIFS(Project_Activity!$P$2:$P$2991,Project_Activity!$L$2:$L$2991,$C$30,Project_Activity!$C$2:$C$2991,$A85,Project_Activity!$A$2:$A$2991,Controls!$B$7,Project_Activity!$B$2:$B$2991,Controls!$B$30))</f>
        <v/>
      </c>
      <c r="D85" s="100" t="str">
        <f aca="false">IF($A85="","",IF($C$4=0,0,SUMIFS(Project_Activity!$P$2:$P$2991,Project_Activity!$L$2:$L$2991,$C$30,Project_Activity!$C$2:$C$2991,$A85,Project_Activity!$A$2:$A$2991,Controls!$B$7,Project_Activity!$B$2:$B$2991,"&gt;="&amp;Controls!$B$5&amp;"-Q1",Project_Activity!$B$2:$B$2991,"&lt;="&amp;Controls!$B$5&amp;"-Q"&amp;$C$4)))</f>
        <v/>
      </c>
      <c r="E85" s="103" t="str">
        <f aca="false">IF($A85="","",IF($E$30=0,"-",$D85/$E$30))</f>
        <v/>
      </c>
    </row>
    <row r="86" customFormat="false" ht="13.5" hidden="false" customHeight="false" outlineLevel="0" collapsed="false">
      <c r="A86" s="1" t="str">
        <f aca="false">IF(MM_Income!$A$58="","",MM_Income!$A$58)</f>
        <v/>
      </c>
      <c r="B86" s="1" t="str">
        <f aca="false">IF($A86="","",MM_Income!$B$58)</f>
        <v/>
      </c>
      <c r="C86" s="100" t="str">
        <f aca="false">IF($A86="","",SUMIFS(Project_Activity!$P$2:$P$2991,Project_Activity!$L$2:$L$2991,$C$30,Project_Activity!$C$2:$C$2991,$A86,Project_Activity!$A$2:$A$2991,Controls!$B$7,Project_Activity!$B$2:$B$2991,Controls!$B$30))</f>
        <v/>
      </c>
      <c r="D86" s="100" t="str">
        <f aca="false">IF($A86="","",IF($C$4=0,0,SUMIFS(Project_Activity!$P$2:$P$2991,Project_Activity!$L$2:$L$2991,$C$30,Project_Activity!$C$2:$C$2991,$A86,Project_Activity!$A$2:$A$2991,Controls!$B$7,Project_Activity!$B$2:$B$2991,"&gt;="&amp;Controls!$B$5&amp;"-Q1",Project_Activity!$B$2:$B$2991,"&lt;="&amp;Controls!$B$5&amp;"-Q"&amp;$C$4)))</f>
        <v/>
      </c>
      <c r="E86" s="103" t="str">
        <f aca="false">IF($A86="","",IF($E$30=0,"-",$D86/$E$30))</f>
        <v/>
      </c>
    </row>
    <row r="87" customFormat="false" ht="13.5" hidden="false" customHeight="false" outlineLevel="0" collapsed="false">
      <c r="A87" s="1" t="str">
        <f aca="false">IF(MM_Income!$A$59="","",MM_Income!$A$59)</f>
        <v/>
      </c>
      <c r="B87" s="1" t="str">
        <f aca="false">IF($A87="","",MM_Income!$B$59)</f>
        <v/>
      </c>
      <c r="C87" s="100" t="str">
        <f aca="false">IF($A87="","",SUMIFS(Project_Activity!$P$2:$P$2991,Project_Activity!$L$2:$L$2991,$C$30,Project_Activity!$C$2:$C$2991,$A87,Project_Activity!$A$2:$A$2991,Controls!$B$7,Project_Activity!$B$2:$B$2991,Controls!$B$30))</f>
        <v/>
      </c>
      <c r="D87" s="100" t="str">
        <f aca="false">IF($A87="","",IF($C$4=0,0,SUMIFS(Project_Activity!$P$2:$P$2991,Project_Activity!$L$2:$L$2991,$C$30,Project_Activity!$C$2:$C$2991,$A87,Project_Activity!$A$2:$A$2991,Controls!$B$7,Project_Activity!$B$2:$B$2991,"&gt;="&amp;Controls!$B$5&amp;"-Q1",Project_Activity!$B$2:$B$2991,"&lt;="&amp;Controls!$B$5&amp;"-Q"&amp;$C$4)))</f>
        <v/>
      </c>
      <c r="E87" s="103" t="str">
        <f aca="false">IF($A87="","",IF($E$30=0,"-",$D87/$E$30))</f>
        <v/>
      </c>
    </row>
    <row r="88" customFormat="false" ht="13.5" hidden="false" customHeight="false" outlineLevel="0" collapsed="false">
      <c r="A88" s="1" t="str">
        <f aca="false">IF(MM_Income!$A$60="","",MM_Income!$A$60)</f>
        <v/>
      </c>
      <c r="B88" s="1" t="str">
        <f aca="false">IF($A88="","",MM_Income!$B$60)</f>
        <v/>
      </c>
      <c r="C88" s="100" t="str">
        <f aca="false">IF($A88="","",SUMIFS(Project_Activity!$P$2:$P$2991,Project_Activity!$L$2:$L$2991,$C$30,Project_Activity!$C$2:$C$2991,$A88,Project_Activity!$A$2:$A$2991,Controls!$B$7,Project_Activity!$B$2:$B$2991,Controls!$B$30))</f>
        <v/>
      </c>
      <c r="D88" s="100" t="str">
        <f aca="false">IF($A88="","",IF($C$4=0,0,SUMIFS(Project_Activity!$P$2:$P$2991,Project_Activity!$L$2:$L$2991,$C$30,Project_Activity!$C$2:$C$2991,$A88,Project_Activity!$A$2:$A$2991,Controls!$B$7,Project_Activity!$B$2:$B$2991,"&gt;="&amp;Controls!$B$5&amp;"-Q1",Project_Activity!$B$2:$B$2991,"&lt;="&amp;Controls!$B$5&amp;"-Q"&amp;$C$4)))</f>
        <v/>
      </c>
      <c r="E88" s="103" t="str">
        <f aca="false">IF($A88="","",IF($E$30=0,"-",$D88/$E$30))</f>
        <v/>
      </c>
    </row>
    <row r="89" customFormat="false" ht="13.5" hidden="false" customHeight="false" outlineLevel="0" collapsed="false">
      <c r="A89" s="1" t="str">
        <f aca="false">IF(MM_Income!$A$61="","",MM_Income!$A$61)</f>
        <v/>
      </c>
      <c r="B89" s="1" t="str">
        <f aca="false">IF($A89="","",MM_Income!$B$61)</f>
        <v/>
      </c>
      <c r="C89" s="100" t="str">
        <f aca="false">IF($A89="","",SUMIFS(Project_Activity!$P$2:$P$2991,Project_Activity!$L$2:$L$2991,$C$30,Project_Activity!$C$2:$C$2991,$A89,Project_Activity!$A$2:$A$2991,Controls!$B$7,Project_Activity!$B$2:$B$2991,Controls!$B$30))</f>
        <v/>
      </c>
      <c r="D89" s="100" t="str">
        <f aca="false">IF($A89="","",IF($C$4=0,0,SUMIFS(Project_Activity!$P$2:$P$2991,Project_Activity!$L$2:$L$2991,$C$30,Project_Activity!$C$2:$C$2991,$A89,Project_Activity!$A$2:$A$2991,Controls!$B$7,Project_Activity!$B$2:$B$2991,"&gt;="&amp;Controls!$B$5&amp;"-Q1",Project_Activity!$B$2:$B$2991,"&lt;="&amp;Controls!$B$5&amp;"-Q"&amp;$C$4)))</f>
        <v/>
      </c>
      <c r="E89" s="103" t="str">
        <f aca="false">IF($A89="","",IF($E$30=0,"-",$D89/$E$30))</f>
        <v/>
      </c>
    </row>
    <row r="90" customFormat="false" ht="13.5" hidden="false" customHeight="false" outlineLevel="0" collapsed="false">
      <c r="A90" s="1" t="str">
        <f aca="false">IF(MM_Income!$A$62="","",MM_Income!$A$62)</f>
        <v/>
      </c>
      <c r="B90" s="1" t="str">
        <f aca="false">IF($A90="","",MM_Income!$B$62)</f>
        <v/>
      </c>
      <c r="C90" s="100" t="str">
        <f aca="false">IF($A90="","",SUMIFS(Project_Activity!$P$2:$P$2991,Project_Activity!$L$2:$L$2991,$C$30,Project_Activity!$C$2:$C$2991,$A90,Project_Activity!$A$2:$A$2991,Controls!$B$7,Project_Activity!$B$2:$B$2991,Controls!$B$30))</f>
        <v/>
      </c>
      <c r="D90" s="100" t="str">
        <f aca="false">IF($A90="","",IF($C$4=0,0,SUMIFS(Project_Activity!$P$2:$P$2991,Project_Activity!$L$2:$L$2991,$C$30,Project_Activity!$C$2:$C$2991,$A90,Project_Activity!$A$2:$A$2991,Controls!$B$7,Project_Activity!$B$2:$B$2991,"&gt;="&amp;Controls!$B$5&amp;"-Q1",Project_Activity!$B$2:$B$2991,"&lt;="&amp;Controls!$B$5&amp;"-Q"&amp;$C$4)))</f>
        <v/>
      </c>
      <c r="E90" s="103" t="str">
        <f aca="false">IF($A90="","",IF($E$30=0,"-",$D90/$E$30))</f>
        <v/>
      </c>
    </row>
    <row r="91" customFormat="false" ht="13.5" hidden="false" customHeight="false" outlineLevel="0" collapsed="false">
      <c r="A91" s="1" t="str">
        <f aca="false">IF(MM_Income!$A$63="","",MM_Income!$A$63)</f>
        <v/>
      </c>
      <c r="B91" s="1" t="str">
        <f aca="false">IF($A91="","",MM_Income!$B$63)</f>
        <v/>
      </c>
      <c r="C91" s="100" t="str">
        <f aca="false">IF($A91="","",SUMIFS(Project_Activity!$P$2:$P$2991,Project_Activity!$L$2:$L$2991,$C$30,Project_Activity!$C$2:$C$2991,$A91,Project_Activity!$A$2:$A$2991,Controls!$B$7,Project_Activity!$B$2:$B$2991,Controls!$B$30))</f>
        <v/>
      </c>
      <c r="D91" s="100" t="str">
        <f aca="false">IF($A91="","",IF($C$4=0,0,SUMIFS(Project_Activity!$P$2:$P$2991,Project_Activity!$L$2:$L$2991,$C$30,Project_Activity!$C$2:$C$2991,$A91,Project_Activity!$A$2:$A$2991,Controls!$B$7,Project_Activity!$B$2:$B$2991,"&gt;="&amp;Controls!$B$5&amp;"-Q1",Project_Activity!$B$2:$B$2991,"&lt;="&amp;Controls!$B$5&amp;"-Q"&amp;$C$4)))</f>
        <v/>
      </c>
      <c r="E91" s="103" t="str">
        <f aca="false">IF($A91="","",IF($E$30=0,"-",$D91/$E$30))</f>
        <v/>
      </c>
    </row>
    <row r="92" customFormat="false" ht="13.5" hidden="false" customHeight="false" outlineLevel="0" collapsed="false">
      <c r="A92" s="1" t="str">
        <f aca="false">IF(MM_Income!$A$64="","",MM_Income!$A$64)</f>
        <v/>
      </c>
      <c r="B92" s="1" t="str">
        <f aca="false">IF($A92="","",MM_Income!$B$64)</f>
        <v/>
      </c>
      <c r="C92" s="100" t="str">
        <f aca="false">IF($A92="","",SUMIFS(Project_Activity!$P$2:$P$2991,Project_Activity!$L$2:$L$2991,$C$30,Project_Activity!$C$2:$C$2991,$A92,Project_Activity!$A$2:$A$2991,Controls!$B$7,Project_Activity!$B$2:$B$2991,Controls!$B$30))</f>
        <v/>
      </c>
      <c r="D92" s="100" t="str">
        <f aca="false">IF($A92="","",IF($C$4=0,0,SUMIFS(Project_Activity!$P$2:$P$2991,Project_Activity!$L$2:$L$2991,$C$30,Project_Activity!$C$2:$C$2991,$A92,Project_Activity!$A$2:$A$2991,Controls!$B$7,Project_Activity!$B$2:$B$2991,"&gt;="&amp;Controls!$B$5&amp;"-Q1",Project_Activity!$B$2:$B$2991,"&lt;="&amp;Controls!$B$5&amp;"-Q"&amp;$C$4)))</f>
        <v/>
      </c>
      <c r="E92" s="103" t="str">
        <f aca="false">IF($A92="","",IF($E$30=0,"-",$D92/$E$30))</f>
        <v/>
      </c>
    </row>
    <row r="93" customFormat="false" ht="13.5" hidden="false" customHeight="false" outlineLevel="0" collapsed="false">
      <c r="A93" s="102" t="s">
        <v>1732</v>
      </c>
      <c r="D93" s="100" t="n">
        <f aca="false">$E$30-SUM($D$33:$D$92)</f>
        <v>0</v>
      </c>
    </row>
    <row r="94" customFormat="false" ht="13.5" hidden="false" customHeight="false" outlineLevel="0" collapsed="false">
      <c r="B94" s="14" t="s">
        <v>310</v>
      </c>
      <c r="C94" s="154" t="n">
        <f aca="false">SUM(C33:C92)</f>
        <v>-2259484.63</v>
      </c>
      <c r="D94" s="154" t="n">
        <f aca="false">SUM(D33:D92)+D93</f>
        <v>-4654338.81</v>
      </c>
      <c r="E94" s="158" t="n">
        <f aca="false">IF($E$30=0,"-",$D$94/$E$30)</f>
        <v>1</v>
      </c>
    </row>
    <row r="96" customFormat="false" ht="13.5" hidden="false" customHeight="false" outlineLevel="0" collapsed="false">
      <c r="A96" s="1" t="s">
        <v>1733</v>
      </c>
    </row>
    <row r="97" customFormat="false" ht="13.5" hidden="false" customHeight="false" outlineLevel="0" collapsed="false">
      <c r="A97" s="1" t="s">
        <v>1734</v>
      </c>
    </row>
    <row r="98" customFormat="false" ht="13.5" hidden="false" customHeight="false" outlineLevel="0" collapsed="false">
      <c r="A98" s="1" t="s">
        <v>1735</v>
      </c>
    </row>
    <row r="99" customFormat="false" ht="13.5" hidden="false" customHeight="false" outlineLevel="0" collapsed="false">
      <c r="A99" s="1" t="s">
        <v>1736</v>
      </c>
    </row>
    <row r="100" customFormat="false" ht="13.5" hidden="false" customHeight="false" outlineLevel="0" collapsed="false">
      <c r="A100" s="1" t="s">
        <v>1737</v>
      </c>
    </row>
    <row r="101" customFormat="false" ht="13.5" hidden="false" customHeight="false" outlineLevel="0" collapsed="false">
      <c r="A101" s="1" t="s">
        <v>1738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1" activeCellId="0" sqref="A6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7.5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4" min="11" style="1" width="14"/>
    <col collapsed="false" customWidth="true" hidden="false" outlineLevel="0" max="15" min="15" style="159" width="10.21"/>
    <col collapsed="false" customWidth="true" hidden="false" outlineLevel="0" max="20" min="16" style="1" width="15.64"/>
    <col collapsed="false" customWidth="true" hidden="false" outlineLevel="0" max="21" min="21" style="1" width="17.86"/>
    <col collapsed="false" customWidth="true" hidden="false" outlineLevel="0" max="22" min="22" style="1" width="11.64"/>
    <col collapsed="false" customWidth="true" hidden="false" outlineLevel="0" max="23" min="23" style="1" width="15.64"/>
    <col collapsed="false" customWidth="true" hidden="false" outlineLevel="0" max="26" min="26" style="1" width="10.64"/>
    <col collapsed="false" customWidth="true" hidden="false" outlineLevel="0" max="27" min="27" style="1" width="30.64"/>
    <col collapsed="false" customWidth="true" hidden="false" outlineLevel="0" max="28" min="28" style="1" width="22.64"/>
    <col collapsed="false" customWidth="true" hidden="false" outlineLevel="0" max="29" min="29" style="1" width="12.64"/>
    <col collapsed="false" customWidth="true" hidden="false" outlineLevel="0" max="38" min="31" style="1" width="22.64"/>
  </cols>
  <sheetData>
    <row r="1" customFormat="false" ht="17.25" hidden="false" customHeight="true" outlineLevel="0" collapsed="false">
      <c r="A1" s="75" t="s">
        <v>1739</v>
      </c>
      <c r="R1" s="14"/>
      <c r="Z1" s="1" t="s">
        <v>1740</v>
      </c>
    </row>
    <row r="2" customFormat="false" ht="13.5" hidden="false" customHeight="false" outlineLevel="0" collapsed="false">
      <c r="A2" s="3" t="s">
        <v>1741</v>
      </c>
      <c r="R2" s="1" t="n">
        <f aca="false">44912/14.45</f>
        <v>3108.09688581315</v>
      </c>
    </row>
    <row r="4" s="165" customFormat="true" ht="47.25" hidden="false" customHeight="true" outlineLevel="0" collapsed="false">
      <c r="A4" s="160" t="s">
        <v>822</v>
      </c>
      <c r="B4" s="160" t="s">
        <v>823</v>
      </c>
      <c r="C4" s="160" t="s">
        <v>276</v>
      </c>
      <c r="D4" s="160" t="s">
        <v>1184</v>
      </c>
      <c r="E4" s="160" t="s">
        <v>103</v>
      </c>
      <c r="F4" s="160" t="s">
        <v>1183</v>
      </c>
      <c r="G4" s="160" t="s">
        <v>343</v>
      </c>
      <c r="H4" s="160" t="s">
        <v>373</v>
      </c>
      <c r="I4" s="160" t="s">
        <v>376</v>
      </c>
      <c r="J4" s="160" t="s">
        <v>1742</v>
      </c>
      <c r="K4" s="160" t="s">
        <v>1743</v>
      </c>
      <c r="L4" s="160" t="s">
        <v>1744</v>
      </c>
      <c r="M4" s="160" t="s">
        <v>1745</v>
      </c>
      <c r="N4" s="160" t="s">
        <v>1746</v>
      </c>
      <c r="O4" s="161" t="s">
        <v>1747</v>
      </c>
      <c r="P4" s="162" t="s">
        <v>1743</v>
      </c>
      <c r="Q4" s="162" t="s">
        <v>1744</v>
      </c>
      <c r="R4" s="162" t="s">
        <v>1745</v>
      </c>
      <c r="S4" s="162" t="s">
        <v>1746</v>
      </c>
      <c r="T4" s="162" t="s">
        <v>1748</v>
      </c>
      <c r="U4" s="163" t="s">
        <v>1185</v>
      </c>
      <c r="V4" s="163" t="s">
        <v>1186</v>
      </c>
      <c r="W4" s="164" t="s">
        <v>1749</v>
      </c>
      <c r="Z4" s="14" t="s">
        <v>796</v>
      </c>
      <c r="AA4" s="14" t="s">
        <v>1750</v>
      </c>
      <c r="AB4" s="14" t="s">
        <v>837</v>
      </c>
      <c r="AC4" s="14" t="s">
        <v>1751</v>
      </c>
      <c r="AE4" s="14" t="s">
        <v>1752</v>
      </c>
      <c r="AF4" s="14" t="s">
        <v>1753</v>
      </c>
      <c r="AG4" s="14" t="s">
        <v>1754</v>
      </c>
      <c r="AH4" s="14" t="s">
        <v>1755</v>
      </c>
      <c r="AI4" s="14" t="s">
        <v>1756</v>
      </c>
      <c r="AJ4" s="14" t="s">
        <v>1757</v>
      </c>
      <c r="AK4" s="14" t="s">
        <v>1758</v>
      </c>
      <c r="AL4" s="14" t="s">
        <v>1759</v>
      </c>
    </row>
    <row r="5" customFormat="false" ht="13.5" hidden="false" customHeight="false" outlineLevel="0" collapsed="false">
      <c r="A5" s="166" t="s">
        <v>1760</v>
      </c>
      <c r="B5" s="166" t="s">
        <v>1761</v>
      </c>
      <c r="C5" s="166" t="s">
        <v>355</v>
      </c>
      <c r="D5" s="166" t="s">
        <v>1762</v>
      </c>
      <c r="E5" s="167" t="s">
        <v>1763</v>
      </c>
      <c r="F5" s="166" t="s">
        <v>355</v>
      </c>
      <c r="G5" s="168" t="s">
        <v>353</v>
      </c>
      <c r="H5" s="168" t="s">
        <v>377</v>
      </c>
      <c r="I5" s="168" t="s">
        <v>378</v>
      </c>
      <c r="J5" s="168" t="s">
        <v>137</v>
      </c>
      <c r="K5" s="169" t="n">
        <f aca="false">0.3*53510</f>
        <v>16053</v>
      </c>
      <c r="L5" s="169"/>
      <c r="M5" s="169"/>
      <c r="N5" s="169"/>
      <c r="O5" s="170" t="n">
        <f aca="false">IF($A5="","",IFERROR(VLOOKUP($J5,Controls!$H$33:$I$36,2,FALSE()),1))</f>
        <v>10.7</v>
      </c>
      <c r="P5" s="94" t="n">
        <f aca="false">IF($A5="","",$K5*$O5)</f>
        <v>171767.1</v>
      </c>
      <c r="Q5" s="94" t="n">
        <f aca="false">IF($A5="","",$L5*$O5)</f>
        <v>0</v>
      </c>
      <c r="R5" s="94" t="n">
        <f aca="false">IF($A5="","",$M5*$O5)</f>
        <v>0</v>
      </c>
      <c r="S5" s="94" t="n">
        <f aca="false">IF($A5="","",$N5*$O5)</f>
        <v>0</v>
      </c>
      <c r="T5" s="94" t="n">
        <f aca="false">IF($A5="","",$P5-$Q5-$R5-$S5)</f>
        <v>171767.1</v>
      </c>
      <c r="U5" s="171" t="s">
        <v>1764</v>
      </c>
      <c r="V5" s="172" t="n">
        <v>1</v>
      </c>
      <c r="W5" s="94" t="n">
        <f aca="false">IF($A5="","",$T5*$V5)</f>
        <v>171767.1</v>
      </c>
      <c r="Z5" s="146" t="n">
        <v>4000</v>
      </c>
      <c r="AA5" s="146" t="s">
        <v>1765</v>
      </c>
      <c r="AB5" s="146" t="s">
        <v>1766</v>
      </c>
      <c r="AC5" s="146"/>
      <c r="AE5" s="1" t="s">
        <v>355</v>
      </c>
      <c r="AF5" s="1" t="s">
        <v>1762</v>
      </c>
      <c r="AG5" s="1" t="s">
        <v>1763</v>
      </c>
      <c r="AH5" s="1" t="s">
        <v>355</v>
      </c>
      <c r="AI5" s="1" t="s">
        <v>377</v>
      </c>
      <c r="AJ5" s="1" t="s">
        <v>353</v>
      </c>
      <c r="AK5" s="1" t="s">
        <v>58</v>
      </c>
      <c r="AL5" s="1" t="s">
        <v>1764</v>
      </c>
    </row>
    <row r="6" customFormat="false" ht="13.5" hidden="false" customHeight="false" outlineLevel="0" collapsed="false">
      <c r="A6" s="166" t="s">
        <v>1105</v>
      </c>
      <c r="B6" s="166" t="s">
        <v>1106</v>
      </c>
      <c r="C6" s="166" t="s">
        <v>355</v>
      </c>
      <c r="D6" s="166" t="s">
        <v>1767</v>
      </c>
      <c r="E6" s="167" t="s">
        <v>1763</v>
      </c>
      <c r="F6" s="166" t="s">
        <v>355</v>
      </c>
      <c r="G6" s="168" t="s">
        <v>353</v>
      </c>
      <c r="H6" s="168" t="s">
        <v>379</v>
      </c>
      <c r="I6" s="168" t="s">
        <v>380</v>
      </c>
      <c r="J6" s="168" t="s">
        <v>143</v>
      </c>
      <c r="K6" s="169" t="n">
        <v>3108.09</v>
      </c>
      <c r="L6" s="169"/>
      <c r="M6" s="169"/>
      <c r="N6" s="169"/>
      <c r="O6" s="170" t="n">
        <f aca="false">IF($A6="","",IFERROR(VLOOKUP($J6,Controls!$H$33:$I$36,2,FALSE()),1))</f>
        <v>14.45</v>
      </c>
      <c r="P6" s="94" t="n">
        <f aca="false">IF($A6="","",$K6*$O6)</f>
        <v>44911.9005</v>
      </c>
      <c r="Q6" s="94" t="n">
        <f aca="false">IF($A6="","",$L6*$O6)</f>
        <v>0</v>
      </c>
      <c r="R6" s="94" t="n">
        <f aca="false">IF($A6="","",$M6*$O6)</f>
        <v>0</v>
      </c>
      <c r="S6" s="94" t="n">
        <f aca="false">IF($A6="","",$N6*$O6)</f>
        <v>0</v>
      </c>
      <c r="T6" s="94" t="n">
        <f aca="false">IF($A6="","",$P6-$Q6-$R6-$S6)</f>
        <v>44911.9005</v>
      </c>
      <c r="U6" s="171" t="s">
        <v>1764</v>
      </c>
      <c r="V6" s="172" t="n">
        <v>1</v>
      </c>
      <c r="W6" s="94" t="n">
        <f aca="false">IF($A6="","",$T6*$V6)</f>
        <v>44911.9005</v>
      </c>
      <c r="Z6" s="146" t="n">
        <v>4010</v>
      </c>
      <c r="AA6" s="146" t="s">
        <v>1768</v>
      </c>
      <c r="AB6" s="146" t="s">
        <v>1766</v>
      </c>
      <c r="AC6" s="146" t="s">
        <v>1769</v>
      </c>
      <c r="AE6" s="1" t="s">
        <v>354</v>
      </c>
      <c r="AF6" s="1" t="s">
        <v>1767</v>
      </c>
      <c r="AG6" s="1" t="s">
        <v>1770</v>
      </c>
      <c r="AH6" s="1" t="s">
        <v>354</v>
      </c>
      <c r="AI6" s="1" t="s">
        <v>385</v>
      </c>
      <c r="AJ6" s="1" t="s">
        <v>362</v>
      </c>
      <c r="AK6" s="1" t="s">
        <v>137</v>
      </c>
      <c r="AL6" s="1" t="s">
        <v>1771</v>
      </c>
    </row>
    <row r="7" customFormat="false" ht="13.5" hidden="false" customHeight="false" outlineLevel="0" collapsed="false">
      <c r="A7" s="166" t="s">
        <v>970</v>
      </c>
      <c r="B7" s="166" t="s">
        <v>971</v>
      </c>
      <c r="C7" s="166" t="s">
        <v>355</v>
      </c>
      <c r="D7" s="166" t="s">
        <v>1772</v>
      </c>
      <c r="E7" s="167" t="s">
        <v>1763</v>
      </c>
      <c r="F7" s="166" t="s">
        <v>355</v>
      </c>
      <c r="G7" s="168" t="s">
        <v>353</v>
      </c>
      <c r="H7" s="168" t="s">
        <v>377</v>
      </c>
      <c r="I7" s="168" t="s">
        <v>378</v>
      </c>
      <c r="J7" s="168" t="s">
        <v>137</v>
      </c>
      <c r="K7" s="169" t="n">
        <f aca="false">0.6*59275</f>
        <v>35565</v>
      </c>
      <c r="L7" s="169"/>
      <c r="M7" s="169"/>
      <c r="N7" s="169"/>
      <c r="O7" s="170" t="n">
        <f aca="false">IF($A7="","",IFERROR(VLOOKUP($J7,Controls!$H$33:$I$36,2,FALSE()),1))</f>
        <v>10.7</v>
      </c>
      <c r="P7" s="94" t="n">
        <f aca="false">IF($A7="","",$K7*$O7)</f>
        <v>380545.5</v>
      </c>
      <c r="Q7" s="94" t="n">
        <f aca="false">IF($A7="","",$L7*$O7)</f>
        <v>0</v>
      </c>
      <c r="R7" s="94" t="n">
        <f aca="false">IF($A7="","",$M7*$O7)</f>
        <v>0</v>
      </c>
      <c r="S7" s="94" t="n">
        <f aca="false">IF($A7="","",$N7*$O7)</f>
        <v>0</v>
      </c>
      <c r="T7" s="94" t="n">
        <f aca="false">IF($A7="","",$P7-$Q7-$R7-$S7)</f>
        <v>380545.5</v>
      </c>
      <c r="U7" s="171" t="s">
        <v>1764</v>
      </c>
      <c r="V7" s="172" t="n">
        <v>1</v>
      </c>
      <c r="W7" s="94" t="n">
        <f aca="false">IF($A7="","",$T7*$V7)</f>
        <v>380545.5</v>
      </c>
      <c r="Z7" s="146" t="n">
        <v>4020</v>
      </c>
      <c r="AA7" s="146" t="s">
        <v>1773</v>
      </c>
      <c r="AB7" s="146" t="s">
        <v>1766</v>
      </c>
      <c r="AC7" s="146" t="s">
        <v>1774</v>
      </c>
      <c r="AE7" s="1" t="s">
        <v>356</v>
      </c>
      <c r="AF7" s="1" t="s">
        <v>1772</v>
      </c>
      <c r="AG7" s="1" t="s">
        <v>1775</v>
      </c>
      <c r="AH7" s="1" t="s">
        <v>356</v>
      </c>
      <c r="AI7" s="1" t="s">
        <v>379</v>
      </c>
      <c r="AK7" s="1" t="s">
        <v>143</v>
      </c>
    </row>
    <row r="8" customFormat="false" ht="13.5" hidden="false" customHeight="false" outlineLevel="0" collapsed="false">
      <c r="A8" s="166" t="s">
        <v>1776</v>
      </c>
      <c r="B8" s="166" t="s">
        <v>1777</v>
      </c>
      <c r="C8" s="166" t="s">
        <v>355</v>
      </c>
      <c r="D8" s="166" t="s">
        <v>1778</v>
      </c>
      <c r="E8" s="167" t="s">
        <v>1763</v>
      </c>
      <c r="F8" s="166" t="s">
        <v>355</v>
      </c>
      <c r="G8" s="168" t="s">
        <v>353</v>
      </c>
      <c r="H8" s="168" t="s">
        <v>1779</v>
      </c>
      <c r="I8" s="168" t="s">
        <v>390</v>
      </c>
      <c r="J8" s="168" t="s">
        <v>137</v>
      </c>
      <c r="K8" s="169" t="n">
        <f aca="false">0.8*37668</f>
        <v>30134.4</v>
      </c>
      <c r="L8" s="169"/>
      <c r="M8" s="169"/>
      <c r="N8" s="169"/>
      <c r="O8" s="170" t="n">
        <f aca="false">IF($A8="","",IFERROR(VLOOKUP($J8,Controls!$H$33:$I$36,2,FALSE()),1))</f>
        <v>10.7</v>
      </c>
      <c r="P8" s="94" t="n">
        <f aca="false">IF($A8="","",$K8*$O8)</f>
        <v>322438.08</v>
      </c>
      <c r="Q8" s="94" t="n">
        <f aca="false">IF($A8="","",$L8*$O8)</f>
        <v>0</v>
      </c>
      <c r="R8" s="94" t="n">
        <f aca="false">IF($A8="","",$M8*$O8)</f>
        <v>0</v>
      </c>
      <c r="S8" s="94" t="n">
        <f aca="false">IF($A8="","",$N8*$O8)</f>
        <v>0</v>
      </c>
      <c r="T8" s="94" t="n">
        <f aca="false">IF($A8="","",$P8-$Q8-$R8-$S8)</f>
        <v>322438.08</v>
      </c>
      <c r="U8" s="171" t="s">
        <v>1764</v>
      </c>
      <c r="V8" s="172" t="n">
        <v>1</v>
      </c>
      <c r="W8" s="94" t="n">
        <f aca="false">IF($A8="","",$T8*$V8)</f>
        <v>322438.08</v>
      </c>
      <c r="Z8" s="146" t="n">
        <v>4040</v>
      </c>
      <c r="AA8" s="146" t="s">
        <v>1780</v>
      </c>
      <c r="AB8" s="146" t="s">
        <v>1766</v>
      </c>
      <c r="AC8" s="146" t="s">
        <v>1781</v>
      </c>
      <c r="AE8" s="1" t="s">
        <v>357</v>
      </c>
      <c r="AF8" s="1" t="s">
        <v>1778</v>
      </c>
      <c r="AG8" s="1" t="s">
        <v>1771</v>
      </c>
      <c r="AH8" s="1" t="s">
        <v>357</v>
      </c>
      <c r="AI8" s="1" t="s">
        <v>381</v>
      </c>
      <c r="AK8" s="1" t="s">
        <v>146</v>
      </c>
    </row>
    <row r="9" customFormat="false" ht="13.5" hidden="false" customHeight="false" outlineLevel="0" collapsed="false">
      <c r="A9" s="166" t="s">
        <v>899</v>
      </c>
      <c r="B9" s="166" t="s">
        <v>900</v>
      </c>
      <c r="C9" s="166" t="s">
        <v>355</v>
      </c>
      <c r="D9" s="166" t="s">
        <v>1782</v>
      </c>
      <c r="E9" s="167" t="s">
        <v>1763</v>
      </c>
      <c r="F9" s="166" t="s">
        <v>355</v>
      </c>
      <c r="G9" s="168" t="s">
        <v>353</v>
      </c>
      <c r="H9" s="168" t="s">
        <v>1779</v>
      </c>
      <c r="I9" s="168" t="s">
        <v>382</v>
      </c>
      <c r="J9" s="168" t="s">
        <v>137</v>
      </c>
      <c r="K9" s="169" t="n">
        <f aca="false">23330*5</f>
        <v>116650</v>
      </c>
      <c r="L9" s="169" t="n">
        <v>10000</v>
      </c>
      <c r="M9" s="169"/>
      <c r="N9" s="169"/>
      <c r="O9" s="170" t="n">
        <f aca="false">IF($A9="","",IFERROR(VLOOKUP($J9,Controls!$H$33:$I$36,2,FALSE()),1))</f>
        <v>10.7</v>
      </c>
      <c r="P9" s="94" t="n">
        <f aca="false">IF($A9="","",$K9*$O9)</f>
        <v>1248155</v>
      </c>
      <c r="Q9" s="94" t="n">
        <f aca="false">IF($A9="","",$L9*$O9)</f>
        <v>107000</v>
      </c>
      <c r="R9" s="94" t="n">
        <f aca="false">IF($A9="","",$M9*$O9)</f>
        <v>0</v>
      </c>
      <c r="S9" s="94" t="n">
        <f aca="false">IF($A9="","",$N9*$O9)</f>
        <v>0</v>
      </c>
      <c r="T9" s="94" t="n">
        <f aca="false">IF($A9="","",$P9-$Q9-$R9-$S9)</f>
        <v>1141155</v>
      </c>
      <c r="U9" s="171" t="s">
        <v>1764</v>
      </c>
      <c r="V9" s="172" t="n">
        <v>1</v>
      </c>
      <c r="W9" s="94" t="n">
        <f aca="false">IF($A9="","",$T9*$V9)</f>
        <v>1141155</v>
      </c>
      <c r="Z9" s="146" t="n">
        <v>4050</v>
      </c>
      <c r="AA9" s="146" t="s">
        <v>1783</v>
      </c>
      <c r="AB9" s="146" t="s">
        <v>1766</v>
      </c>
      <c r="AC9" s="146" t="s">
        <v>1784</v>
      </c>
      <c r="AE9" s="1" t="s">
        <v>358</v>
      </c>
      <c r="AF9" s="1" t="s">
        <v>1782</v>
      </c>
      <c r="AG9" s="1" t="s">
        <v>1785</v>
      </c>
      <c r="AH9" s="1" t="s">
        <v>358</v>
      </c>
      <c r="AI9" s="1" t="s">
        <v>383</v>
      </c>
    </row>
    <row r="10" customFormat="false" ht="13.5" hidden="false" customHeight="false" outlineLevel="0" collapsed="false">
      <c r="A10" s="166" t="s">
        <v>919</v>
      </c>
      <c r="B10" s="166" t="s">
        <v>1786</v>
      </c>
      <c r="C10" s="166" t="s">
        <v>355</v>
      </c>
      <c r="D10" s="166" t="s">
        <v>1772</v>
      </c>
      <c r="E10" s="167" t="s">
        <v>1770</v>
      </c>
      <c r="F10" s="166" t="s">
        <v>355</v>
      </c>
      <c r="G10" s="168" t="s">
        <v>353</v>
      </c>
      <c r="H10" s="168" t="s">
        <v>377</v>
      </c>
      <c r="I10" s="168" t="s">
        <v>384</v>
      </c>
      <c r="J10" s="168" t="s">
        <v>137</v>
      </c>
      <c r="K10" s="169" t="n">
        <f aca="false">0.5*16500</f>
        <v>8250</v>
      </c>
      <c r="L10" s="169"/>
      <c r="M10" s="169"/>
      <c r="N10" s="169"/>
      <c r="O10" s="170" t="n">
        <f aca="false">IF($A10="","",IFERROR(VLOOKUP($J10,Controls!$H$33:$I$36,2,FALSE()),1))</f>
        <v>10.7</v>
      </c>
      <c r="P10" s="94" t="n">
        <f aca="false">IF($A10="","",$K10*$O10)</f>
        <v>88275</v>
      </c>
      <c r="Q10" s="94" t="n">
        <f aca="false">IF($A10="","",$L10*$O10)</f>
        <v>0</v>
      </c>
      <c r="R10" s="94" t="n">
        <f aca="false">IF($A10="","",$M10*$O10)</f>
        <v>0</v>
      </c>
      <c r="S10" s="94" t="n">
        <f aca="false">IF($A10="","",$N10*$O10)</f>
        <v>0</v>
      </c>
      <c r="T10" s="94" t="n">
        <f aca="false">IF($A10="","",$P10-$Q10-$R10-$S10)</f>
        <v>88275</v>
      </c>
      <c r="U10" s="171" t="s">
        <v>1764</v>
      </c>
      <c r="V10" s="172" t="n">
        <v>1</v>
      </c>
      <c r="W10" s="94" t="n">
        <f aca="false">IF($A10="","",$T10*$V10)</f>
        <v>88275</v>
      </c>
      <c r="Z10" s="146" t="n">
        <v>4120</v>
      </c>
      <c r="AA10" s="146" t="s">
        <v>1787</v>
      </c>
      <c r="AB10" s="146" t="s">
        <v>1766</v>
      </c>
      <c r="AC10" s="146"/>
      <c r="AE10" s="1" t="s">
        <v>359</v>
      </c>
      <c r="AF10" s="1" t="s">
        <v>1788</v>
      </c>
      <c r="AH10" s="1" t="s">
        <v>359</v>
      </c>
      <c r="AI10" s="1" t="s">
        <v>387</v>
      </c>
    </row>
    <row r="11" customFormat="false" ht="13.5" hidden="false" customHeight="false" outlineLevel="0" collapsed="false">
      <c r="A11" s="166" t="s">
        <v>964</v>
      </c>
      <c r="B11" s="166" t="s">
        <v>1789</v>
      </c>
      <c r="C11" s="166" t="s">
        <v>355</v>
      </c>
      <c r="D11" s="166" t="s">
        <v>1772</v>
      </c>
      <c r="E11" s="167" t="s">
        <v>1770</v>
      </c>
      <c r="F11" s="166" t="s">
        <v>355</v>
      </c>
      <c r="G11" s="168" t="s">
        <v>353</v>
      </c>
      <c r="H11" s="168" t="s">
        <v>377</v>
      </c>
      <c r="I11" s="168" t="s">
        <v>386</v>
      </c>
      <c r="J11" s="168" t="s">
        <v>137</v>
      </c>
      <c r="K11" s="169" t="n">
        <f aca="false">0.3*63800</f>
        <v>19140</v>
      </c>
      <c r="L11" s="169"/>
      <c r="M11" s="169"/>
      <c r="N11" s="169"/>
      <c r="O11" s="170" t="n">
        <f aca="false">IF($A11="","",IFERROR(VLOOKUP($J11,Controls!$H$33:$I$36,2,FALSE()),1))</f>
        <v>10.7</v>
      </c>
      <c r="P11" s="94" t="n">
        <f aca="false">IF($A11="","",$K11*$O11)</f>
        <v>204798</v>
      </c>
      <c r="Q11" s="94" t="n">
        <f aca="false">IF($A11="","",$L11*$O11)</f>
        <v>0</v>
      </c>
      <c r="R11" s="94" t="n">
        <f aca="false">IF($A11="","",$M11*$O11)</f>
        <v>0</v>
      </c>
      <c r="S11" s="94" t="n">
        <f aca="false">IF($A11="","",$N11*$O11)</f>
        <v>0</v>
      </c>
      <c r="T11" s="94" t="n">
        <f aca="false">IF($A11="","",$P11-$Q11-$R11-$S11)</f>
        <v>204798</v>
      </c>
      <c r="U11" s="171" t="s">
        <v>1764</v>
      </c>
      <c r="V11" s="172" t="n">
        <v>1</v>
      </c>
      <c r="W11" s="94" t="n">
        <f aca="false">IF($A11="","",$T11*$V11)</f>
        <v>204798</v>
      </c>
      <c r="Z11" s="146" t="n">
        <v>4200</v>
      </c>
      <c r="AA11" s="146" t="s">
        <v>1790</v>
      </c>
      <c r="AB11" s="146" t="s">
        <v>1791</v>
      </c>
      <c r="AC11" s="146"/>
      <c r="AE11" s="1" t="s">
        <v>361</v>
      </c>
      <c r="AF11" s="1" t="s">
        <v>1792</v>
      </c>
      <c r="AH11" s="1" t="s">
        <v>141</v>
      </c>
      <c r="AI11" s="1" t="s">
        <v>389</v>
      </c>
    </row>
    <row r="12" customFormat="false" ht="13.5" hidden="false" customHeight="false" outlineLevel="0" collapsed="false">
      <c r="A12" s="166" t="s">
        <v>852</v>
      </c>
      <c r="B12" s="166" t="s">
        <v>1793</v>
      </c>
      <c r="C12" s="166" t="s">
        <v>355</v>
      </c>
      <c r="D12" s="166" t="s">
        <v>1772</v>
      </c>
      <c r="E12" s="167" t="s">
        <v>1763</v>
      </c>
      <c r="F12" s="166" t="s">
        <v>355</v>
      </c>
      <c r="G12" s="168" t="s">
        <v>353</v>
      </c>
      <c r="H12" s="168" t="s">
        <v>377</v>
      </c>
      <c r="I12" s="168" t="s">
        <v>384</v>
      </c>
      <c r="J12" s="168" t="s">
        <v>137</v>
      </c>
      <c r="K12" s="169" t="n">
        <f aca="false">0.3*56600</f>
        <v>16980</v>
      </c>
      <c r="L12" s="169" t="n">
        <v>4500</v>
      </c>
      <c r="M12" s="169"/>
      <c r="N12" s="169"/>
      <c r="O12" s="170" t="n">
        <f aca="false">IF($A12="","",IFERROR(VLOOKUP($J12,Controls!$H$33:$I$36,2,FALSE()),1))</f>
        <v>10.7</v>
      </c>
      <c r="P12" s="94" t="n">
        <f aca="false">IF($A12="","",$K12*$O12)</f>
        <v>181686</v>
      </c>
      <c r="Q12" s="94" t="n">
        <f aca="false">IF($A12="","",$L12*$O12)</f>
        <v>48150</v>
      </c>
      <c r="R12" s="94" t="n">
        <f aca="false">IF($A12="","",$M12*$O12)</f>
        <v>0</v>
      </c>
      <c r="S12" s="94" t="n">
        <f aca="false">IF($A12="","",$N12*$O12)</f>
        <v>0</v>
      </c>
      <c r="T12" s="94" t="n">
        <f aca="false">IF($A12="","",$P12-$Q12-$R12-$S12)</f>
        <v>133536</v>
      </c>
      <c r="U12" s="171" t="s">
        <v>1764</v>
      </c>
      <c r="V12" s="172" t="n">
        <v>1</v>
      </c>
      <c r="W12" s="94" t="n">
        <f aca="false">IF($A12="","",$T12*$V12)</f>
        <v>133536</v>
      </c>
      <c r="Z12" s="146" t="n">
        <v>5000</v>
      </c>
      <c r="AA12" s="146" t="s">
        <v>1794</v>
      </c>
      <c r="AB12" s="146" t="s">
        <v>1795</v>
      </c>
      <c r="AC12" s="146"/>
      <c r="AF12" s="1" t="s">
        <v>1796</v>
      </c>
      <c r="AI12" s="1" t="s">
        <v>1797</v>
      </c>
    </row>
    <row r="13" customFormat="false" ht="13.5" hidden="false" customHeight="false" outlineLevel="0" collapsed="false">
      <c r="A13" s="166" t="s">
        <v>1798</v>
      </c>
      <c r="B13" s="166" t="s">
        <v>1799</v>
      </c>
      <c r="C13" s="166" t="s">
        <v>355</v>
      </c>
      <c r="D13" s="166" t="s">
        <v>1772</v>
      </c>
      <c r="E13" s="167" t="s">
        <v>1763</v>
      </c>
      <c r="F13" s="166" t="s">
        <v>355</v>
      </c>
      <c r="G13" s="168" t="s">
        <v>353</v>
      </c>
      <c r="H13" s="168" t="s">
        <v>377</v>
      </c>
      <c r="I13" s="168" t="s">
        <v>378</v>
      </c>
      <c r="J13" s="168" t="s">
        <v>137</v>
      </c>
      <c r="K13" s="169" t="n">
        <f aca="false">0.6*46640</f>
        <v>27984</v>
      </c>
      <c r="L13" s="169"/>
      <c r="M13" s="169"/>
      <c r="N13" s="169"/>
      <c r="O13" s="170" t="n">
        <f aca="false">IF($A13="","",IFERROR(VLOOKUP($J13,Controls!$H$33:$I$36,2,FALSE()),1))</f>
        <v>10.7</v>
      </c>
      <c r="P13" s="94" t="n">
        <f aca="false">IF($A13="","",$K13*$O13)</f>
        <v>299428.8</v>
      </c>
      <c r="Q13" s="94" t="n">
        <f aca="false">IF($A13="","",$L13*$O13)</f>
        <v>0</v>
      </c>
      <c r="R13" s="94" t="n">
        <f aca="false">IF($A13="","",$M13*$O13)</f>
        <v>0</v>
      </c>
      <c r="S13" s="94" t="n">
        <f aca="false">IF($A13="","",$N13*$O13)</f>
        <v>0</v>
      </c>
      <c r="T13" s="94" t="n">
        <f aca="false">IF($A13="","",$P13-$Q13-$R13-$S13)</f>
        <v>299428.8</v>
      </c>
      <c r="U13" s="171" t="s">
        <v>1764</v>
      </c>
      <c r="V13" s="172" t="n">
        <v>1</v>
      </c>
      <c r="W13" s="94" t="n">
        <f aca="false">IF($A13="","",$T13*$V13)</f>
        <v>299428.8</v>
      </c>
      <c r="Z13" s="146" t="n">
        <v>5200</v>
      </c>
      <c r="AA13" s="146" t="s">
        <v>1800</v>
      </c>
      <c r="AB13" s="146" t="s">
        <v>1801</v>
      </c>
      <c r="AC13" s="146"/>
      <c r="AF13" s="1" t="s">
        <v>1802</v>
      </c>
      <c r="AI13" s="1" t="s">
        <v>1779</v>
      </c>
    </row>
    <row r="14" customFormat="false" ht="13.5" hidden="false" customHeight="false" outlineLevel="0" collapsed="false">
      <c r="A14" s="166" t="s">
        <v>838</v>
      </c>
      <c r="B14" s="166" t="s">
        <v>1803</v>
      </c>
      <c r="C14" s="166" t="s">
        <v>355</v>
      </c>
      <c r="D14" s="166" t="s">
        <v>1788</v>
      </c>
      <c r="E14" s="167" t="s">
        <v>1770</v>
      </c>
      <c r="F14" s="166" t="s">
        <v>355</v>
      </c>
      <c r="G14" s="168" t="s">
        <v>353</v>
      </c>
      <c r="H14" s="168" t="s">
        <v>377</v>
      </c>
      <c r="I14" s="168" t="s">
        <v>388</v>
      </c>
      <c r="J14" s="168" t="s">
        <v>137</v>
      </c>
      <c r="K14" s="169" t="n">
        <v>182953</v>
      </c>
      <c r="L14" s="169"/>
      <c r="M14" s="169" t="n">
        <v>43283</v>
      </c>
      <c r="N14" s="169"/>
      <c r="O14" s="170" t="n">
        <f aca="false">IF($A14="","",IFERROR(VLOOKUP($J14,Controls!$H$33:$I$36,2,FALSE()),1))</f>
        <v>10.7</v>
      </c>
      <c r="P14" s="94" t="n">
        <f aca="false">IF($A14="","",$K14*$O14)</f>
        <v>1957597.1</v>
      </c>
      <c r="Q14" s="94" t="n">
        <f aca="false">IF($A14="","",$L14*$O14)</f>
        <v>0</v>
      </c>
      <c r="R14" s="94" t="n">
        <f aca="false">IF($A14="","",$M14*$O14)</f>
        <v>463128.1</v>
      </c>
      <c r="S14" s="94" t="n">
        <f aca="false">IF($A14="","",$N14*$O14)</f>
        <v>0</v>
      </c>
      <c r="T14" s="94" t="n">
        <f aca="false">IF($A14="","",$P14-$Q14-$R14-$S14)</f>
        <v>1494469</v>
      </c>
      <c r="U14" s="171" t="s">
        <v>1764</v>
      </c>
      <c r="V14" s="172" t="n">
        <v>1</v>
      </c>
      <c r="W14" s="94" t="n">
        <f aca="false">IF($A14="","",$T14*$V14)</f>
        <v>1494469</v>
      </c>
      <c r="Z14" s="146" t="n">
        <v>5250</v>
      </c>
      <c r="AA14" s="146" t="s">
        <v>1804</v>
      </c>
      <c r="AB14" s="146" t="s">
        <v>1805</v>
      </c>
      <c r="AC14" s="146"/>
      <c r="AF14" s="1" t="s">
        <v>141</v>
      </c>
    </row>
    <row r="15" customFormat="false" ht="13.5" hidden="false" customHeight="false" outlineLevel="0" collapsed="false">
      <c r="A15" s="166" t="s">
        <v>845</v>
      </c>
      <c r="B15" s="166" t="s">
        <v>1806</v>
      </c>
      <c r="C15" s="166" t="s">
        <v>356</v>
      </c>
      <c r="D15" s="166" t="s">
        <v>1788</v>
      </c>
      <c r="E15" s="167" t="s">
        <v>1763</v>
      </c>
      <c r="F15" s="166" t="s">
        <v>356</v>
      </c>
      <c r="G15" s="168" t="s">
        <v>353</v>
      </c>
      <c r="H15" s="168" t="s">
        <v>1797</v>
      </c>
      <c r="I15" s="168" t="s">
        <v>401</v>
      </c>
      <c r="J15" s="168" t="s">
        <v>137</v>
      </c>
      <c r="K15" s="169" t="n">
        <v>56370</v>
      </c>
      <c r="L15" s="169"/>
      <c r="M15" s="169"/>
      <c r="N15" s="169"/>
      <c r="O15" s="170" t="n">
        <f aca="false">IF($A15="","",IFERROR(VLOOKUP($J15,Controls!$H$33:$I$36,2,FALSE()),1))</f>
        <v>10.7</v>
      </c>
      <c r="P15" s="94" t="n">
        <f aca="false">IF($A15="","",$K15*$O15)</f>
        <v>603159</v>
      </c>
      <c r="Q15" s="94" t="n">
        <f aca="false">IF($A15="","",$L15*$O15)</f>
        <v>0</v>
      </c>
      <c r="R15" s="94" t="n">
        <f aca="false">IF($A15="","",$M15*$O15)</f>
        <v>0</v>
      </c>
      <c r="S15" s="94" t="n">
        <f aca="false">IF($A15="","",$N15*$O15)</f>
        <v>0</v>
      </c>
      <c r="T15" s="94" t="n">
        <f aca="false">IF($A15="","",$P15-$Q15-$R15-$S15)</f>
        <v>603159</v>
      </c>
      <c r="U15" s="171" t="s">
        <v>1764</v>
      </c>
      <c r="V15" s="172" t="n">
        <v>1</v>
      </c>
      <c r="W15" s="94" t="n">
        <f aca="false">IF($A15="","",$T15*$V15)</f>
        <v>603159</v>
      </c>
      <c r="Z15" s="146" t="n">
        <v>5300</v>
      </c>
      <c r="AA15" s="146" t="s">
        <v>1807</v>
      </c>
      <c r="AB15" s="146" t="s">
        <v>1808</v>
      </c>
      <c r="AC15" s="146"/>
    </row>
    <row r="16" customFormat="false" ht="13.5" hidden="false" customHeight="false" outlineLevel="0" collapsed="false">
      <c r="A16" s="166" t="s">
        <v>890</v>
      </c>
      <c r="B16" s="166" t="s">
        <v>1809</v>
      </c>
      <c r="C16" s="166" t="s">
        <v>355</v>
      </c>
      <c r="D16" s="166" t="s">
        <v>1788</v>
      </c>
      <c r="E16" s="167" t="s">
        <v>1763</v>
      </c>
      <c r="F16" s="166" t="s">
        <v>355</v>
      </c>
      <c r="G16" s="168" t="s">
        <v>353</v>
      </c>
      <c r="H16" s="168" t="s">
        <v>383</v>
      </c>
      <c r="I16" s="168" t="s">
        <v>392</v>
      </c>
      <c r="J16" s="168" t="s">
        <v>137</v>
      </c>
      <c r="K16" s="169" t="n">
        <v>48875</v>
      </c>
      <c r="L16" s="169"/>
      <c r="M16" s="169"/>
      <c r="N16" s="169"/>
      <c r="O16" s="170" t="n">
        <f aca="false">IF($A16="","",IFERROR(VLOOKUP($J16,Controls!$H$33:$I$36,2,FALSE()),1))</f>
        <v>10.7</v>
      </c>
      <c r="P16" s="94" t="n">
        <f aca="false">IF($A16="","",$K16*$O16)</f>
        <v>522962.5</v>
      </c>
      <c r="Q16" s="94" t="n">
        <f aca="false">IF($A16="","",$L16*$O16)</f>
        <v>0</v>
      </c>
      <c r="R16" s="94" t="n">
        <f aca="false">IF($A16="","",$M16*$O16)</f>
        <v>0</v>
      </c>
      <c r="S16" s="94" t="n">
        <f aca="false">IF($A16="","",$N16*$O16)</f>
        <v>0</v>
      </c>
      <c r="T16" s="94" t="n">
        <f aca="false">IF($A16="","",$P16-$Q16-$R16-$S16)</f>
        <v>522962.5</v>
      </c>
      <c r="U16" s="171" t="s">
        <v>1764</v>
      </c>
      <c r="V16" s="172" t="n">
        <v>1</v>
      </c>
      <c r="W16" s="94" t="n">
        <f aca="false">IF($A16="","",$T16*$V16)</f>
        <v>522962.5</v>
      </c>
      <c r="Z16" s="146" t="n">
        <v>4002</v>
      </c>
      <c r="AA16" s="146" t="s">
        <v>1810</v>
      </c>
      <c r="AB16" s="146" t="s">
        <v>1811</v>
      </c>
      <c r="AC16" s="146"/>
    </row>
    <row r="17" customFormat="false" ht="13.5" hidden="false" customHeight="false" outlineLevel="0" collapsed="false">
      <c r="A17" s="166" t="s">
        <v>863</v>
      </c>
      <c r="B17" s="166" t="s">
        <v>1812</v>
      </c>
      <c r="C17" s="166" t="s">
        <v>354</v>
      </c>
      <c r="D17" s="166" t="s">
        <v>1792</v>
      </c>
      <c r="E17" s="167" t="s">
        <v>1770</v>
      </c>
      <c r="F17" s="166" t="s">
        <v>354</v>
      </c>
      <c r="G17" s="168" t="s">
        <v>362</v>
      </c>
      <c r="H17" s="168" t="s">
        <v>381</v>
      </c>
      <c r="I17" s="168" t="s">
        <v>393</v>
      </c>
      <c r="J17" s="168" t="s">
        <v>143</v>
      </c>
      <c r="K17" s="169" t="n">
        <v>42509</v>
      </c>
      <c r="L17" s="169" t="n">
        <v>12500</v>
      </c>
      <c r="M17" s="169"/>
      <c r="N17" s="169"/>
      <c r="O17" s="170" t="n">
        <f aca="false">IF($A17="","",IFERROR(VLOOKUP($J17,Controls!$H$33:$I$36,2,FALSE()),1))</f>
        <v>14.45</v>
      </c>
      <c r="P17" s="94" t="n">
        <f aca="false">IF($A17="","",$K17*$O17)</f>
        <v>614255.05</v>
      </c>
      <c r="Q17" s="94" t="n">
        <f aca="false">IF($A17="","",$L17*$O17)</f>
        <v>180625</v>
      </c>
      <c r="R17" s="94" t="n">
        <f aca="false">IF($A17="","",$M17*$O17)</f>
        <v>0</v>
      </c>
      <c r="S17" s="94" t="n">
        <f aca="false">IF($A17="","",$N17*$O17)</f>
        <v>0</v>
      </c>
      <c r="T17" s="94" t="n">
        <f aca="false">IF($A17="","",$P17-$Q17-$R17-$S17)</f>
        <v>433630.05</v>
      </c>
      <c r="U17" s="171" t="s">
        <v>1764</v>
      </c>
      <c r="V17" s="172" t="n">
        <v>1</v>
      </c>
      <c r="W17" s="94" t="n">
        <f aca="false">IF($A17="","",$T17*$V17)</f>
        <v>433630.05</v>
      </c>
      <c r="Z17" s="146" t="n">
        <v>4903</v>
      </c>
      <c r="AA17" s="146" t="s">
        <v>679</v>
      </c>
      <c r="AB17" s="146" t="s">
        <v>1813</v>
      </c>
      <c r="AC17" s="146"/>
    </row>
    <row r="18" customFormat="false" ht="13.5" hidden="false" customHeight="false" outlineLevel="0" collapsed="false">
      <c r="A18" s="166" t="s">
        <v>895</v>
      </c>
      <c r="B18" s="166" t="s">
        <v>1814</v>
      </c>
      <c r="C18" s="166" t="s">
        <v>354</v>
      </c>
      <c r="D18" s="166" t="s">
        <v>1767</v>
      </c>
      <c r="E18" s="167" t="s">
        <v>1763</v>
      </c>
      <c r="F18" s="166" t="s">
        <v>354</v>
      </c>
      <c r="G18" s="168" t="s">
        <v>362</v>
      </c>
      <c r="H18" s="168" t="s">
        <v>379</v>
      </c>
      <c r="I18" s="168" t="s">
        <v>395</v>
      </c>
      <c r="J18" s="168" t="s">
        <v>143</v>
      </c>
      <c r="K18" s="169" t="n">
        <v>57564</v>
      </c>
      <c r="L18" s="169"/>
      <c r="M18" s="169"/>
      <c r="N18" s="169"/>
      <c r="O18" s="170" t="n">
        <f aca="false">IF($A18="","",IFERROR(VLOOKUP($J18,Controls!$H$33:$I$36,2,FALSE()),1))</f>
        <v>14.45</v>
      </c>
      <c r="P18" s="94" t="n">
        <f aca="false">IF($A18="","",$K18*$O18)</f>
        <v>831799.8</v>
      </c>
      <c r="Q18" s="94" t="n">
        <f aca="false">IF($A18="","",$L18*$O18)</f>
        <v>0</v>
      </c>
      <c r="R18" s="94" t="n">
        <f aca="false">IF($A18="","",$M18*$O18)</f>
        <v>0</v>
      </c>
      <c r="S18" s="94" t="n">
        <f aca="false">IF($A18="","",$N18*$O18)</f>
        <v>0</v>
      </c>
      <c r="T18" s="94" t="n">
        <f aca="false">IF($A18="","",$P18-$Q18-$R18-$S18)</f>
        <v>831799.8</v>
      </c>
      <c r="U18" s="171" t="s">
        <v>1764</v>
      </c>
      <c r="V18" s="172" t="n">
        <v>1</v>
      </c>
      <c r="W18" s="94" t="n">
        <f aca="false">IF($A18="","",$T18*$V18)</f>
        <v>831799.8</v>
      </c>
      <c r="Z18" s="146" t="n">
        <v>4905</v>
      </c>
      <c r="AA18" s="146" t="s">
        <v>1815</v>
      </c>
      <c r="AB18" s="146" t="s">
        <v>1816</v>
      </c>
      <c r="AC18" s="146"/>
    </row>
    <row r="19" customFormat="false" ht="13.5" hidden="false" customHeight="false" outlineLevel="0" collapsed="false">
      <c r="A19" s="166" t="s">
        <v>981</v>
      </c>
      <c r="B19" s="166" t="s">
        <v>1817</v>
      </c>
      <c r="C19" s="166" t="s">
        <v>354</v>
      </c>
      <c r="D19" s="166" t="s">
        <v>1767</v>
      </c>
      <c r="E19" s="167" t="s">
        <v>1763</v>
      </c>
      <c r="F19" s="166" t="s">
        <v>354</v>
      </c>
      <c r="G19" s="168" t="s">
        <v>362</v>
      </c>
      <c r="H19" s="168" t="s">
        <v>379</v>
      </c>
      <c r="I19" s="168" t="s">
        <v>395</v>
      </c>
      <c r="J19" s="168" t="s">
        <v>143</v>
      </c>
      <c r="K19" s="169" t="n">
        <v>58777</v>
      </c>
      <c r="L19" s="169"/>
      <c r="M19" s="169"/>
      <c r="N19" s="169"/>
      <c r="O19" s="170" t="n">
        <f aca="false">IF($A19="","",IFERROR(VLOOKUP($J19,Controls!$H$33:$I$36,2,FALSE()),1))</f>
        <v>14.45</v>
      </c>
      <c r="P19" s="94" t="n">
        <f aca="false">IF($A19="","",$K19*$O19)</f>
        <v>849327.65</v>
      </c>
      <c r="Q19" s="94" t="n">
        <f aca="false">IF($A19="","",$L19*$O19)</f>
        <v>0</v>
      </c>
      <c r="R19" s="94" t="n">
        <f aca="false">IF($A19="","",$M19*$O19)</f>
        <v>0</v>
      </c>
      <c r="S19" s="94" t="n">
        <f aca="false">IF($A19="","",$N19*$O19)</f>
        <v>0</v>
      </c>
      <c r="T19" s="94" t="n">
        <f aca="false">IF($A19="","",$P19-$Q19-$R19-$S19)</f>
        <v>849327.65</v>
      </c>
      <c r="U19" s="171" t="s">
        <v>1764</v>
      </c>
      <c r="V19" s="172" t="n">
        <v>1</v>
      </c>
      <c r="W19" s="94" t="n">
        <f aca="false">IF($A19="","",$T19*$V19)</f>
        <v>849327.65</v>
      </c>
      <c r="Z19" s="1" t="n">
        <v>2203</v>
      </c>
      <c r="AA19" s="1" t="s">
        <v>1818</v>
      </c>
      <c r="AB19" s="1" t="s">
        <v>1808</v>
      </c>
    </row>
    <row r="20" customFormat="false" ht="13.5" hidden="false" customHeight="false" outlineLevel="0" collapsed="false">
      <c r="A20" s="166" t="s">
        <v>903</v>
      </c>
      <c r="B20" s="166" t="s">
        <v>1819</v>
      </c>
      <c r="C20" s="166" t="s">
        <v>354</v>
      </c>
      <c r="D20" s="166" t="s">
        <v>1767</v>
      </c>
      <c r="E20" s="167" t="s">
        <v>1763</v>
      </c>
      <c r="F20" s="166" t="s">
        <v>354</v>
      </c>
      <c r="G20" s="168" t="s">
        <v>362</v>
      </c>
      <c r="H20" s="168" t="s">
        <v>379</v>
      </c>
      <c r="I20" s="168" t="s">
        <v>395</v>
      </c>
      <c r="J20" s="168" t="s">
        <v>143</v>
      </c>
      <c r="K20" s="169" t="n">
        <v>61859</v>
      </c>
      <c r="L20" s="169"/>
      <c r="M20" s="169"/>
      <c r="N20" s="169"/>
      <c r="O20" s="170" t="n">
        <f aca="false">IF($A20="","",IFERROR(VLOOKUP($J20,Controls!$H$33:$I$36,2,FALSE()),1))</f>
        <v>14.45</v>
      </c>
      <c r="P20" s="94" t="n">
        <f aca="false">IF($A20="","",$K20*$O20)</f>
        <v>893862.55</v>
      </c>
      <c r="Q20" s="94" t="n">
        <f aca="false">IF($A20="","",$L20*$O20)</f>
        <v>0</v>
      </c>
      <c r="R20" s="94" t="n">
        <f aca="false">IF($A20="","",$M20*$O20)</f>
        <v>0</v>
      </c>
      <c r="S20" s="94" t="n">
        <f aca="false">IF($A20="","",$N20*$O20)</f>
        <v>0</v>
      </c>
      <c r="T20" s="94" t="n">
        <f aca="false">IF($A20="","",$P20-$Q20-$R20-$S20)</f>
        <v>893862.55</v>
      </c>
      <c r="U20" s="171" t="s">
        <v>1764</v>
      </c>
      <c r="V20" s="172" t="n">
        <v>1</v>
      </c>
      <c r="W20" s="94" t="n">
        <f aca="false">IF($A20="","",$T20*$V20)</f>
        <v>893862.55</v>
      </c>
      <c r="Z20" s="1" t="n">
        <v>7150</v>
      </c>
      <c r="AA20" s="1" t="s">
        <v>1820</v>
      </c>
      <c r="AB20" s="1" t="s">
        <v>1821</v>
      </c>
    </row>
    <row r="21" customFormat="false" ht="13.5" hidden="false" customHeight="false" outlineLevel="0" collapsed="false">
      <c r="A21" s="166" t="s">
        <v>1822</v>
      </c>
      <c r="B21" s="166" t="s">
        <v>1823</v>
      </c>
      <c r="C21" s="166" t="s">
        <v>354</v>
      </c>
      <c r="D21" s="166" t="s">
        <v>1767</v>
      </c>
      <c r="E21" s="167" t="s">
        <v>1763</v>
      </c>
      <c r="F21" s="166" t="s">
        <v>354</v>
      </c>
      <c r="G21" s="168" t="s">
        <v>362</v>
      </c>
      <c r="H21" s="168" t="s">
        <v>379</v>
      </c>
      <c r="I21" s="168" t="s">
        <v>395</v>
      </c>
      <c r="J21" s="168" t="s">
        <v>143</v>
      </c>
      <c r="K21" s="169" t="n">
        <v>4378</v>
      </c>
      <c r="L21" s="169"/>
      <c r="M21" s="169"/>
      <c r="N21" s="169"/>
      <c r="O21" s="170" t="n">
        <f aca="false">IF($A21="","",IFERROR(VLOOKUP($J21,Controls!$H$33:$I$36,2,FALSE()),1))</f>
        <v>14.45</v>
      </c>
      <c r="P21" s="94" t="n">
        <f aca="false">IF($A21="","",$K21*$O21)</f>
        <v>63262.1</v>
      </c>
      <c r="Q21" s="94" t="n">
        <f aca="false">IF($A21="","",$L21*$O21)</f>
        <v>0</v>
      </c>
      <c r="R21" s="94" t="n">
        <f aca="false">IF($A21="","",$M21*$O21)</f>
        <v>0</v>
      </c>
      <c r="S21" s="94" t="n">
        <f aca="false">IF($A21="","",$N21*$O21)</f>
        <v>0</v>
      </c>
      <c r="T21" s="94" t="n">
        <f aca="false">IF($A21="","",$P21-$Q21-$R21-$S21)</f>
        <v>63262.1</v>
      </c>
      <c r="U21" s="171" t="s">
        <v>1764</v>
      </c>
      <c r="V21" s="172" t="n">
        <v>1</v>
      </c>
      <c r="W21" s="94" t="n">
        <f aca="false">IF($A21="","",$T21*$V21)</f>
        <v>63262.1</v>
      </c>
      <c r="Z21" s="1" t="n">
        <v>7580</v>
      </c>
      <c r="AA21" s="1" t="s">
        <v>1824</v>
      </c>
      <c r="AB21" s="1" t="s">
        <v>1821</v>
      </c>
    </row>
    <row r="22" customFormat="false" ht="13.5" hidden="false" customHeight="false" outlineLevel="0" collapsed="false">
      <c r="A22" s="166" t="s">
        <v>1825</v>
      </c>
      <c r="B22" s="166" t="s">
        <v>1826</v>
      </c>
      <c r="C22" s="166" t="s">
        <v>354</v>
      </c>
      <c r="D22" s="166" t="s">
        <v>1767</v>
      </c>
      <c r="E22" s="167" t="s">
        <v>1763</v>
      </c>
      <c r="F22" s="166" t="s">
        <v>354</v>
      </c>
      <c r="G22" s="168" t="s">
        <v>362</v>
      </c>
      <c r="H22" s="168" t="s">
        <v>379</v>
      </c>
      <c r="I22" s="168" t="s">
        <v>395</v>
      </c>
      <c r="J22" s="168" t="s">
        <v>143</v>
      </c>
      <c r="K22" s="169" t="n">
        <v>21693</v>
      </c>
      <c r="L22" s="169"/>
      <c r="M22" s="169"/>
      <c r="N22" s="169"/>
      <c r="O22" s="170" t="n">
        <f aca="false">IF($A22="","",IFERROR(VLOOKUP($J22,Controls!$H$33:$I$36,2,FALSE()),1))</f>
        <v>14.45</v>
      </c>
      <c r="P22" s="94" t="n">
        <f aca="false">IF($A22="","",$K22*$O22)</f>
        <v>313463.85</v>
      </c>
      <c r="Q22" s="94" t="n">
        <f aca="false">IF($A22="","",$L22*$O22)</f>
        <v>0</v>
      </c>
      <c r="R22" s="94" t="n">
        <f aca="false">IF($A22="","",$M22*$O22)</f>
        <v>0</v>
      </c>
      <c r="S22" s="94" t="n">
        <f aca="false">IF($A22="","",$N22*$O22)</f>
        <v>0</v>
      </c>
      <c r="T22" s="94" t="n">
        <f aca="false">IF($A22="","",$P22-$Q22-$R22-$S22)</f>
        <v>313463.85</v>
      </c>
      <c r="U22" s="171" t="s">
        <v>1764</v>
      </c>
      <c r="V22" s="172" t="n">
        <v>1</v>
      </c>
      <c r="W22" s="94" t="n">
        <f aca="false">IF($A22="","",$T22*$V22)</f>
        <v>313463.85</v>
      </c>
      <c r="Z22" s="1" t="n">
        <v>7750</v>
      </c>
      <c r="AA22" s="1" t="s">
        <v>1827</v>
      </c>
      <c r="AB22" s="1" t="s">
        <v>1821</v>
      </c>
    </row>
    <row r="23" customFormat="false" ht="13.5" hidden="false" customHeight="false" outlineLevel="0" collapsed="false">
      <c r="A23" s="166" t="s">
        <v>1121</v>
      </c>
      <c r="B23" s="166" t="s">
        <v>1828</v>
      </c>
      <c r="C23" s="166" t="s">
        <v>354</v>
      </c>
      <c r="D23" s="166" t="s">
        <v>1767</v>
      </c>
      <c r="E23" s="167" t="s">
        <v>1763</v>
      </c>
      <c r="F23" s="166" t="s">
        <v>354</v>
      </c>
      <c r="G23" s="168" t="s">
        <v>362</v>
      </c>
      <c r="H23" s="168" t="s">
        <v>379</v>
      </c>
      <c r="I23" s="168" t="s">
        <v>395</v>
      </c>
      <c r="J23" s="168" t="s">
        <v>143</v>
      </c>
      <c r="K23" s="169" t="n">
        <v>14157</v>
      </c>
      <c r="L23" s="169"/>
      <c r="M23" s="169"/>
      <c r="N23" s="169"/>
      <c r="O23" s="170" t="n">
        <f aca="false">IF($A23="","",IFERROR(VLOOKUP($J23,Controls!$H$33:$I$36,2,FALSE()),1))</f>
        <v>14.45</v>
      </c>
      <c r="P23" s="94" t="n">
        <f aca="false">IF($A23="","",$K23*$O23)</f>
        <v>204568.65</v>
      </c>
      <c r="Q23" s="94" t="n">
        <f aca="false">IF($A23="","",$L23*$O23)</f>
        <v>0</v>
      </c>
      <c r="R23" s="94" t="n">
        <f aca="false">IF($A23="","",$M23*$O23)</f>
        <v>0</v>
      </c>
      <c r="S23" s="94" t="n">
        <f aca="false">IF($A23="","",$N23*$O23)</f>
        <v>0</v>
      </c>
      <c r="T23" s="94" t="n">
        <f aca="false">IF($A23="","",$P23-$Q23-$R23-$S23)</f>
        <v>204568.65</v>
      </c>
      <c r="U23" s="171" t="s">
        <v>1764</v>
      </c>
      <c r="V23" s="172" t="n">
        <v>1</v>
      </c>
      <c r="W23" s="94" t="n">
        <f aca="false">IF($A23="","",$T23*$V23)</f>
        <v>204568.65</v>
      </c>
      <c r="Z23" s="1" t="n">
        <v>7820</v>
      </c>
      <c r="AA23" s="1" t="s">
        <v>1829</v>
      </c>
      <c r="AB23" s="1" t="s">
        <v>1821</v>
      </c>
    </row>
    <row r="24" customFormat="false" ht="13.5" hidden="false" customHeight="false" outlineLevel="0" collapsed="false">
      <c r="A24" s="166" t="s">
        <v>936</v>
      </c>
      <c r="B24" s="166" t="s">
        <v>1830</v>
      </c>
      <c r="C24" s="166" t="s">
        <v>355</v>
      </c>
      <c r="D24" s="166" t="s">
        <v>1772</v>
      </c>
      <c r="E24" s="167" t="s">
        <v>1763</v>
      </c>
      <c r="F24" s="166" t="s">
        <v>355</v>
      </c>
      <c r="G24" s="168" t="s">
        <v>353</v>
      </c>
      <c r="H24" s="168" t="s">
        <v>385</v>
      </c>
      <c r="I24" s="168" t="s">
        <v>398</v>
      </c>
      <c r="J24" s="168" t="s">
        <v>137</v>
      </c>
      <c r="K24" s="169" t="n">
        <v>47340</v>
      </c>
      <c r="L24" s="169" t="n">
        <v>3000</v>
      </c>
      <c r="M24" s="169"/>
      <c r="N24" s="169"/>
      <c r="O24" s="170" t="n">
        <f aca="false">IF($A24="","",IFERROR(VLOOKUP($J24,Controls!$H$33:$I$36,2,FALSE()),1))</f>
        <v>10.7</v>
      </c>
      <c r="P24" s="94" t="n">
        <f aca="false">IF($A24="","",$K24*$O24)</f>
        <v>506538</v>
      </c>
      <c r="Q24" s="94" t="n">
        <f aca="false">IF($A24="","",$L24*$O24)</f>
        <v>32100</v>
      </c>
      <c r="R24" s="94" t="n">
        <f aca="false">IF($A24="","",$M24*$O24)</f>
        <v>0</v>
      </c>
      <c r="S24" s="94" t="n">
        <f aca="false">IF($A24="","",$N24*$O24)</f>
        <v>0</v>
      </c>
      <c r="T24" s="94" t="n">
        <f aca="false">IF($A24="","",$P24-$Q24-$R24-$S24)</f>
        <v>474438</v>
      </c>
      <c r="U24" s="171" t="s">
        <v>1764</v>
      </c>
      <c r="V24" s="172" t="n">
        <v>1</v>
      </c>
      <c r="W24" s="94" t="n">
        <f aca="false">IF($A24="","",$T24*$V24)</f>
        <v>474438</v>
      </c>
      <c r="Z24" s="1" t="n">
        <v>7910</v>
      </c>
      <c r="AA24" s="1" t="s">
        <v>1831</v>
      </c>
      <c r="AB24" s="1" t="s">
        <v>1821</v>
      </c>
    </row>
    <row r="25" customFormat="false" ht="13.5" hidden="false" customHeight="false" outlineLevel="0" collapsed="false">
      <c r="A25" s="146" t="s">
        <v>934</v>
      </c>
      <c r="B25" s="146" t="s">
        <v>1832</v>
      </c>
      <c r="C25" s="146" t="s">
        <v>355</v>
      </c>
      <c r="D25" s="146" t="s">
        <v>1788</v>
      </c>
      <c r="E25" s="171" t="s">
        <v>1770</v>
      </c>
      <c r="F25" s="146" t="s">
        <v>355</v>
      </c>
      <c r="G25" s="173" t="s">
        <v>353</v>
      </c>
      <c r="H25" s="173" t="s">
        <v>385</v>
      </c>
      <c r="I25" s="173" t="s">
        <v>398</v>
      </c>
      <c r="J25" s="173" t="s">
        <v>137</v>
      </c>
      <c r="K25" s="174" t="n">
        <v>15770</v>
      </c>
      <c r="L25" s="174"/>
      <c r="M25" s="174"/>
      <c r="N25" s="174"/>
      <c r="O25" s="170" t="n">
        <f aca="false">IF($A25="","",IFERROR(VLOOKUP($J25,Controls!$H$33:$I$36,2,FALSE()),1))</f>
        <v>10.7</v>
      </c>
      <c r="P25" s="94" t="n">
        <f aca="false">IF($A25="","",$K25*$O25)</f>
        <v>168739</v>
      </c>
      <c r="Q25" s="94" t="n">
        <f aca="false">IF($A25="","",$L25*$O25)</f>
        <v>0</v>
      </c>
      <c r="R25" s="94" t="n">
        <f aca="false">IF($A25="","",$M25*$O25)</f>
        <v>0</v>
      </c>
      <c r="S25" s="94" t="n">
        <f aca="false">IF($A25="","",$N25*$O25)</f>
        <v>0</v>
      </c>
      <c r="T25" s="94" t="n">
        <f aca="false">IF($A25="","",$P25-$Q25-$R25-$S25)</f>
        <v>168739</v>
      </c>
      <c r="U25" s="171" t="s">
        <v>1764</v>
      </c>
      <c r="V25" s="172" t="n">
        <v>1</v>
      </c>
      <c r="W25" s="94" t="n">
        <f aca="false">IF($A25="","",$T25*$V25)</f>
        <v>168739</v>
      </c>
    </row>
    <row r="26" customFormat="false" ht="13.5" hidden="false" customHeight="false" outlineLevel="0" collapsed="false">
      <c r="A26" s="146" t="s">
        <v>925</v>
      </c>
      <c r="B26" s="146" t="s">
        <v>1833</v>
      </c>
      <c r="C26" s="146" t="s">
        <v>355</v>
      </c>
      <c r="D26" s="146" t="s">
        <v>1788</v>
      </c>
      <c r="E26" s="171" t="s">
        <v>1770</v>
      </c>
      <c r="F26" s="146" t="s">
        <v>355</v>
      </c>
      <c r="G26" s="173" t="s">
        <v>353</v>
      </c>
      <c r="H26" s="173" t="s">
        <v>1779</v>
      </c>
      <c r="I26" s="173" t="s">
        <v>402</v>
      </c>
      <c r="J26" s="173" t="s">
        <v>143</v>
      </c>
      <c r="K26" s="174" t="n">
        <f aca="false">12503+19390</f>
        <v>31893</v>
      </c>
      <c r="L26" s="174" t="n">
        <v>3000</v>
      </c>
      <c r="M26" s="174"/>
      <c r="N26" s="174"/>
      <c r="O26" s="170" t="n">
        <f aca="false">IF($A26="","",IFERROR(VLOOKUP($J26,Controls!$H$33:$I$36,2,FALSE()),1))</f>
        <v>14.45</v>
      </c>
      <c r="P26" s="94" t="n">
        <f aca="false">IF($A26="","",$K26*$O26)</f>
        <v>460853.85</v>
      </c>
      <c r="Q26" s="94" t="n">
        <f aca="false">IF($A26="","",$L26*$O26)</f>
        <v>43350</v>
      </c>
      <c r="R26" s="94" t="n">
        <f aca="false">IF($A26="","",$M26*$O26)</f>
        <v>0</v>
      </c>
      <c r="S26" s="94" t="n">
        <f aca="false">IF($A26="","",$N26*$O26)</f>
        <v>0</v>
      </c>
      <c r="T26" s="94" t="n">
        <f aca="false">IF($A26="","",$P26-$Q26-$R26-$S26)</f>
        <v>417503.85</v>
      </c>
      <c r="U26" s="171" t="s">
        <v>1764</v>
      </c>
      <c r="V26" s="172" t="n">
        <v>1</v>
      </c>
      <c r="W26" s="94" t="n">
        <f aca="false">IF($A26="","",$T26*$V26)</f>
        <v>417503.85</v>
      </c>
    </row>
    <row r="27" customFormat="false" ht="13.5" hidden="false" customHeight="false" outlineLevel="0" collapsed="false">
      <c r="A27" s="146" t="s">
        <v>1109</v>
      </c>
      <c r="B27" s="146" t="s">
        <v>1834</v>
      </c>
      <c r="C27" s="146" t="s">
        <v>356</v>
      </c>
      <c r="D27" s="146" t="s">
        <v>1796</v>
      </c>
      <c r="E27" s="171" t="s">
        <v>1763</v>
      </c>
      <c r="F27" s="146" t="s">
        <v>356</v>
      </c>
      <c r="G27" s="173" t="s">
        <v>362</v>
      </c>
      <c r="H27" s="173" t="s">
        <v>381</v>
      </c>
      <c r="I27" s="173" t="s">
        <v>399</v>
      </c>
      <c r="J27" s="173" t="s">
        <v>143</v>
      </c>
      <c r="K27" s="174" t="n">
        <v>16916.57</v>
      </c>
      <c r="L27" s="174"/>
      <c r="M27" s="174"/>
      <c r="N27" s="174"/>
      <c r="O27" s="170" t="n">
        <f aca="false">IF($A27="","",IFERROR(VLOOKUP($J27,Controls!$H$33:$I$36,2,FALSE()),1))</f>
        <v>14.45</v>
      </c>
      <c r="P27" s="94" t="n">
        <f aca="false">IF($A27="","",$K27*$O27)</f>
        <v>244444.4365</v>
      </c>
      <c r="Q27" s="94" t="n">
        <f aca="false">IF($A27="","",$L27*$O27)</f>
        <v>0</v>
      </c>
      <c r="R27" s="94" t="n">
        <f aca="false">IF($A27="","",$M27*$O27)</f>
        <v>0</v>
      </c>
      <c r="S27" s="94" t="n">
        <f aca="false">IF($A27="","",$N27*$O27)</f>
        <v>0</v>
      </c>
      <c r="T27" s="94" t="n">
        <f aca="false">IF($A27="","",$P27-$Q27-$R27-$S27)</f>
        <v>244444.4365</v>
      </c>
      <c r="U27" s="171" t="s">
        <v>1764</v>
      </c>
      <c r="V27" s="172" t="n">
        <v>1</v>
      </c>
      <c r="W27" s="94" t="n">
        <f aca="false">IF($A27="","",$T27*$V27)</f>
        <v>244444.4365</v>
      </c>
    </row>
    <row r="28" customFormat="false" ht="13.5" hidden="false" customHeight="false" outlineLevel="0" collapsed="false">
      <c r="A28" s="146" t="s">
        <v>1066</v>
      </c>
      <c r="B28" s="146" t="s">
        <v>1835</v>
      </c>
      <c r="C28" s="146" t="s">
        <v>355</v>
      </c>
      <c r="D28" s="146" t="s">
        <v>1772</v>
      </c>
      <c r="E28" s="171" t="s">
        <v>1770</v>
      </c>
      <c r="F28" s="146" t="s">
        <v>355</v>
      </c>
      <c r="G28" s="173" t="s">
        <v>353</v>
      </c>
      <c r="H28" s="173" t="s">
        <v>377</v>
      </c>
      <c r="I28" s="173" t="s">
        <v>400</v>
      </c>
      <c r="J28" s="173" t="s">
        <v>137</v>
      </c>
      <c r="K28" s="174" t="n">
        <v>29670</v>
      </c>
      <c r="L28" s="174"/>
      <c r="M28" s="174"/>
      <c r="N28" s="174"/>
      <c r="O28" s="170" t="n">
        <f aca="false">IF($A28="","",IFERROR(VLOOKUP($J28,Controls!$H$33:$I$36,2,FALSE()),1))</f>
        <v>10.7</v>
      </c>
      <c r="P28" s="94" t="n">
        <f aca="false">IF($A28="","",$K28*$O28)</f>
        <v>317469</v>
      </c>
      <c r="Q28" s="94" t="n">
        <f aca="false">IF($A28="","",$L28*$O28)</f>
        <v>0</v>
      </c>
      <c r="R28" s="94" t="n">
        <f aca="false">IF($A28="","",$M28*$O28)</f>
        <v>0</v>
      </c>
      <c r="S28" s="94" t="n">
        <f aca="false">IF($A28="","",$N28*$O28)</f>
        <v>0</v>
      </c>
      <c r="T28" s="94" t="n">
        <f aca="false">IF($A28="","",$P28-$Q28-$R28-$S28)</f>
        <v>317469</v>
      </c>
      <c r="U28" s="171" t="s">
        <v>1764</v>
      </c>
      <c r="V28" s="172" t="n">
        <v>1</v>
      </c>
      <c r="W28" s="94" t="n">
        <f aca="false">IF($A28="","",$T28*$V28)</f>
        <v>317469</v>
      </c>
    </row>
    <row r="29" customFormat="false" ht="13.5" hidden="false" customHeight="false" outlineLevel="0" collapsed="false">
      <c r="A29" s="146" t="s">
        <v>985</v>
      </c>
      <c r="B29" s="146" t="s">
        <v>1836</v>
      </c>
      <c r="C29" s="146" t="s">
        <v>356</v>
      </c>
      <c r="D29" s="146" t="s">
        <v>1772</v>
      </c>
      <c r="E29" s="171" t="s">
        <v>1763</v>
      </c>
      <c r="F29" s="146" t="s">
        <v>356</v>
      </c>
      <c r="G29" s="173" t="s">
        <v>353</v>
      </c>
      <c r="H29" s="173" t="s">
        <v>1797</v>
      </c>
      <c r="I29" s="173" t="s">
        <v>401</v>
      </c>
      <c r="J29" s="173" t="s">
        <v>137</v>
      </c>
      <c r="K29" s="174" t="n">
        <v>28980</v>
      </c>
      <c r="L29" s="174"/>
      <c r="M29" s="174"/>
      <c r="N29" s="174"/>
      <c r="O29" s="170" t="n">
        <f aca="false">IF($A29="","",IFERROR(VLOOKUP($J29,Controls!$H$33:$I$36,2,FALSE()),1))</f>
        <v>10.7</v>
      </c>
      <c r="P29" s="94" t="n">
        <f aca="false">IF($A29="","",$K29*$O29)</f>
        <v>310086</v>
      </c>
      <c r="Q29" s="94" t="n">
        <f aca="false">IF($A29="","",$L29*$O29)</f>
        <v>0</v>
      </c>
      <c r="R29" s="94" t="n">
        <f aca="false">IF($A29="","",$M29*$O29)</f>
        <v>0</v>
      </c>
      <c r="S29" s="94" t="n">
        <f aca="false">IF($A29="","",$N29*$O29)</f>
        <v>0</v>
      </c>
      <c r="T29" s="94" t="n">
        <f aca="false">IF($A29="","",$P29-$Q29-$R29-$S29)</f>
        <v>310086</v>
      </c>
      <c r="U29" s="171" t="s">
        <v>1764</v>
      </c>
      <c r="V29" s="172" t="n">
        <v>1</v>
      </c>
      <c r="W29" s="94" t="n">
        <f aca="false">IF($A29="","",$T29*$V29)</f>
        <v>310086</v>
      </c>
    </row>
    <row r="30" customFormat="false" ht="13.5" hidden="false" customHeight="false" outlineLevel="0" collapsed="false">
      <c r="A30" s="146" t="s">
        <v>1117</v>
      </c>
      <c r="B30" s="146" t="s">
        <v>1837</v>
      </c>
      <c r="C30" s="146" t="s">
        <v>354</v>
      </c>
      <c r="D30" s="146" t="s">
        <v>1802</v>
      </c>
      <c r="E30" s="171" t="s">
        <v>1763</v>
      </c>
      <c r="F30" s="146" t="s">
        <v>354</v>
      </c>
      <c r="G30" s="173" t="s">
        <v>362</v>
      </c>
      <c r="H30" s="173" t="s">
        <v>387</v>
      </c>
      <c r="I30" s="173" t="s">
        <v>396</v>
      </c>
      <c r="J30" s="173" t="s">
        <v>137</v>
      </c>
      <c r="K30" s="174" t="n">
        <v>54492</v>
      </c>
      <c r="L30" s="174"/>
      <c r="M30" s="174"/>
      <c r="N30" s="174" t="n">
        <v>7720</v>
      </c>
      <c r="O30" s="170" t="n">
        <f aca="false">IF($A30="","",IFERROR(VLOOKUP($J30,Controls!$H$33:$I$36,2,FALSE()),1))</f>
        <v>10.7</v>
      </c>
      <c r="P30" s="94" t="n">
        <f aca="false">IF($A30="","",$K30*$O30)</f>
        <v>583064.4</v>
      </c>
      <c r="Q30" s="94" t="n">
        <f aca="false">IF($A30="","",$L30*$O30)</f>
        <v>0</v>
      </c>
      <c r="R30" s="94" t="n">
        <f aca="false">IF($A30="","",$M30*$O30)</f>
        <v>0</v>
      </c>
      <c r="S30" s="94" t="n">
        <f aca="false">IF($A30="","",$N30*$O30)</f>
        <v>82604</v>
      </c>
      <c r="T30" s="94" t="n">
        <f aca="false">IF($A30="","",$P30-$Q30-$R30-$S30)</f>
        <v>500460.4</v>
      </c>
      <c r="U30" s="171" t="s">
        <v>1764</v>
      </c>
      <c r="V30" s="172" t="n">
        <v>1</v>
      </c>
      <c r="W30" s="94" t="n">
        <f aca="false">IF($A30="","",$T30*$V30)</f>
        <v>500460.4</v>
      </c>
    </row>
    <row r="31" customFormat="false" ht="13.5" hidden="false" customHeight="false" outlineLevel="0" collapsed="false">
      <c r="A31" s="146" t="s">
        <v>1838</v>
      </c>
      <c r="B31" s="146" t="s">
        <v>1839</v>
      </c>
      <c r="C31" s="146" t="s">
        <v>357</v>
      </c>
      <c r="D31" s="146" t="s">
        <v>1772</v>
      </c>
      <c r="E31" s="171" t="s">
        <v>1763</v>
      </c>
      <c r="F31" s="146" t="s">
        <v>357</v>
      </c>
      <c r="G31" s="146" t="s">
        <v>353</v>
      </c>
      <c r="H31" s="146" t="s">
        <v>1797</v>
      </c>
      <c r="I31" s="146" t="s">
        <v>403</v>
      </c>
      <c r="J31" s="146" t="s">
        <v>137</v>
      </c>
      <c r="K31" s="175" t="n">
        <v>12000</v>
      </c>
      <c r="L31" s="175"/>
      <c r="M31" s="175"/>
      <c r="N31" s="175"/>
      <c r="O31" s="170" t="n">
        <f aca="false">IF($A31="","",IFERROR(VLOOKUP($J31,Controls!$H$33:$I$36,2,FALSE()),1))</f>
        <v>10.7</v>
      </c>
      <c r="P31" s="94" t="n">
        <f aca="false">IF($A31="","",$K31*$O31)</f>
        <v>128400</v>
      </c>
      <c r="Q31" s="94" t="n">
        <f aca="false">IF($A31="","",$L31*$O31)</f>
        <v>0</v>
      </c>
      <c r="R31" s="94" t="n">
        <f aca="false">IF($A31="","",$M31*$O31)</f>
        <v>0</v>
      </c>
      <c r="S31" s="94" t="n">
        <f aca="false">IF($A31="","",$N31*$O31)</f>
        <v>0</v>
      </c>
      <c r="T31" s="94" t="n">
        <f aca="false">IF($A31="","",$P31-$Q31-$R31-$S31)</f>
        <v>128400</v>
      </c>
      <c r="U31" s="171" t="s">
        <v>1764</v>
      </c>
      <c r="V31" s="172" t="n">
        <v>1</v>
      </c>
      <c r="W31" s="94" t="n">
        <f aca="false">IF($A31="","",$T31*$V31)</f>
        <v>128400</v>
      </c>
    </row>
    <row r="32" customFormat="false" ht="13.5" hidden="false" customHeight="false" outlineLevel="0" collapsed="false">
      <c r="A32" s="146" t="s">
        <v>1124</v>
      </c>
      <c r="B32" s="146" t="s">
        <v>1840</v>
      </c>
      <c r="C32" s="146" t="s">
        <v>355</v>
      </c>
      <c r="D32" s="146" t="s">
        <v>1772</v>
      </c>
      <c r="E32" s="171" t="s">
        <v>1770</v>
      </c>
      <c r="F32" s="146" t="s">
        <v>355</v>
      </c>
      <c r="G32" s="146" t="s">
        <v>353</v>
      </c>
      <c r="H32" s="146" t="s">
        <v>385</v>
      </c>
      <c r="I32" s="146" t="s">
        <v>398</v>
      </c>
      <c r="J32" s="146" t="s">
        <v>137</v>
      </c>
      <c r="K32" s="175" t="n">
        <v>14835</v>
      </c>
      <c r="L32" s="175"/>
      <c r="M32" s="175"/>
      <c r="N32" s="175"/>
      <c r="O32" s="170" t="n">
        <f aca="false">IF($A32="","",IFERROR(VLOOKUP($J32,Controls!$H$33:$I$36,2,FALSE()),1))</f>
        <v>10.7</v>
      </c>
      <c r="P32" s="94" t="n">
        <f aca="false">IF($A32="","",$K32*$O32)</f>
        <v>158734.5</v>
      </c>
      <c r="Q32" s="94" t="n">
        <f aca="false">IF($A32="","",$L32*$O32)</f>
        <v>0</v>
      </c>
      <c r="R32" s="94" t="n">
        <f aca="false">IF($A32="","",$M32*$O32)</f>
        <v>0</v>
      </c>
      <c r="S32" s="94" t="n">
        <f aca="false">IF($A32="","",$N32*$O32)</f>
        <v>0</v>
      </c>
      <c r="T32" s="94" t="n">
        <f aca="false">IF($A32="","",$P32-$Q32-$R32-$S32)</f>
        <v>158734.5</v>
      </c>
      <c r="U32" s="171" t="s">
        <v>1764</v>
      </c>
      <c r="V32" s="172" t="n">
        <v>1</v>
      </c>
      <c r="W32" s="94" t="n">
        <f aca="false">IF($A32="","",$T32*$V32)</f>
        <v>158734.5</v>
      </c>
    </row>
    <row r="33" customFormat="false" ht="13.5" hidden="false" customHeight="false" outlineLevel="0" collapsed="false">
      <c r="A33" s="146" t="s">
        <v>1097</v>
      </c>
      <c r="B33" s="146" t="s">
        <v>1841</v>
      </c>
      <c r="C33" s="146" t="s">
        <v>355</v>
      </c>
      <c r="D33" s="146" t="s">
        <v>1772</v>
      </c>
      <c r="E33" s="171" t="s">
        <v>1763</v>
      </c>
      <c r="F33" s="146" t="s">
        <v>355</v>
      </c>
      <c r="G33" s="146" t="s">
        <v>353</v>
      </c>
      <c r="H33" s="146" t="s">
        <v>385</v>
      </c>
      <c r="I33" s="146" t="s">
        <v>398</v>
      </c>
      <c r="J33" s="146" t="s">
        <v>137</v>
      </c>
      <c r="K33" s="175" t="n">
        <v>28285</v>
      </c>
      <c r="L33" s="175"/>
      <c r="M33" s="175"/>
      <c r="N33" s="175"/>
      <c r="O33" s="170" t="n">
        <f aca="false">IF($A33="","",IFERROR(VLOOKUP($J33,Controls!$H$33:$I$36,2,FALSE()),1))</f>
        <v>10.7</v>
      </c>
      <c r="P33" s="94" t="n">
        <f aca="false">IF($A33="","",$K33*$O33)</f>
        <v>302649.5</v>
      </c>
      <c r="Q33" s="94" t="n">
        <f aca="false">IF($A33="","",$L33*$O33)</f>
        <v>0</v>
      </c>
      <c r="R33" s="94" t="n">
        <f aca="false">IF($A33="","",$M33*$O33)</f>
        <v>0</v>
      </c>
      <c r="S33" s="94" t="n">
        <f aca="false">IF($A33="","",$N33*$O33)</f>
        <v>0</v>
      </c>
      <c r="T33" s="94" t="n">
        <f aca="false">IF($A33="","",$P33-$Q33-$R33-$S33)</f>
        <v>302649.5</v>
      </c>
      <c r="U33" s="171" t="s">
        <v>1764</v>
      </c>
      <c r="V33" s="172" t="n">
        <v>1</v>
      </c>
      <c r="W33" s="94" t="n">
        <f aca="false">IF($A33="","",$T33*$V33)</f>
        <v>302649.5</v>
      </c>
    </row>
    <row r="34" customFormat="false" ht="13.5" hidden="false" customHeight="false" outlineLevel="0" collapsed="false">
      <c r="A34" s="146" t="s">
        <v>1842</v>
      </c>
      <c r="B34" s="146" t="s">
        <v>1843</v>
      </c>
      <c r="C34" s="146" t="s">
        <v>356</v>
      </c>
      <c r="D34" s="146" t="s">
        <v>141</v>
      </c>
      <c r="E34" s="171" t="s">
        <v>1771</v>
      </c>
      <c r="F34" s="146" t="s">
        <v>356</v>
      </c>
      <c r="G34" s="146" t="s">
        <v>362</v>
      </c>
      <c r="H34" s="146" t="s">
        <v>381</v>
      </c>
      <c r="I34" s="146" t="s">
        <v>399</v>
      </c>
      <c r="J34" s="146" t="s">
        <v>137</v>
      </c>
      <c r="K34" s="175" t="n">
        <v>38250</v>
      </c>
      <c r="L34" s="175" t="n">
        <v>0</v>
      </c>
      <c r="M34" s="175" t="n">
        <v>0</v>
      </c>
      <c r="N34" s="175" t="n">
        <v>0</v>
      </c>
      <c r="O34" s="170" t="n">
        <f aca="false">IF($A34="","",IFERROR(VLOOKUP($J34,Controls!$H$33:$I$36,2,FALSE()),1))</f>
        <v>10.7</v>
      </c>
      <c r="P34" s="94" t="n">
        <f aca="false">IF($A34="","",$K34*$O34)</f>
        <v>409275</v>
      </c>
      <c r="Q34" s="94" t="n">
        <f aca="false">IF($A34="","",$L34*$O34)</f>
        <v>0</v>
      </c>
      <c r="R34" s="94" t="n">
        <f aca="false">IF($A34="","",$M34*$O34)</f>
        <v>0</v>
      </c>
      <c r="S34" s="94" t="n">
        <f aca="false">IF($A34="","",$N34*$O34)</f>
        <v>0</v>
      </c>
      <c r="T34" s="94" t="n">
        <f aca="false">IF($A34="","",$P34-$Q34-$R34-$S34)</f>
        <v>409275</v>
      </c>
      <c r="U34" s="171" t="s">
        <v>1771</v>
      </c>
      <c r="V34" s="172" t="n">
        <v>1</v>
      </c>
      <c r="W34" s="94" t="n">
        <f aca="false">IF($A34="","",$T34*$V34)</f>
        <v>409275</v>
      </c>
    </row>
    <row r="35" customFormat="false" ht="13.5" hidden="false" customHeight="false" outlineLevel="0" collapsed="false">
      <c r="A35" s="146" t="s">
        <v>1844</v>
      </c>
      <c r="B35" s="146" t="s">
        <v>1845</v>
      </c>
      <c r="C35" s="146" t="s">
        <v>355</v>
      </c>
      <c r="D35" s="146" t="s">
        <v>141</v>
      </c>
      <c r="E35" s="171" t="s">
        <v>1771</v>
      </c>
      <c r="F35" s="146" t="s">
        <v>355</v>
      </c>
      <c r="G35" s="146" t="s">
        <v>353</v>
      </c>
      <c r="H35" s="146" t="s">
        <v>377</v>
      </c>
      <c r="I35" s="146" t="s">
        <v>400</v>
      </c>
      <c r="J35" s="146" t="s">
        <v>137</v>
      </c>
      <c r="K35" s="175" t="n">
        <v>102690</v>
      </c>
      <c r="L35" s="175" t="n">
        <v>0</v>
      </c>
      <c r="M35" s="175" t="n">
        <v>0</v>
      </c>
      <c r="N35" s="175" t="n">
        <v>0</v>
      </c>
      <c r="O35" s="170" t="n">
        <f aca="false">IF($A35="","",IFERROR(VLOOKUP($J35,Controls!$H$33:$I$36,2,FALSE()),1))</f>
        <v>10.7</v>
      </c>
      <c r="P35" s="94" t="n">
        <f aca="false">IF($A35="","",$K35*$O35)</f>
        <v>1098783</v>
      </c>
      <c r="Q35" s="94" t="n">
        <f aca="false">IF($A35="","",$L35*$O35)</f>
        <v>0</v>
      </c>
      <c r="R35" s="94" t="n">
        <f aca="false">IF($A35="","",$M35*$O35)</f>
        <v>0</v>
      </c>
      <c r="S35" s="94" t="n">
        <f aca="false">IF($A35="","",$N35*$O35)</f>
        <v>0</v>
      </c>
      <c r="T35" s="94" t="n">
        <f aca="false">IF($A35="","",$P35-$Q35-$R35-$S35)</f>
        <v>1098783</v>
      </c>
      <c r="U35" s="171" t="s">
        <v>1771</v>
      </c>
      <c r="V35" s="172" t="n">
        <v>1</v>
      </c>
      <c r="W35" s="94" t="n">
        <f aca="false">IF($A35="","",$T35*$V35)</f>
        <v>1098783</v>
      </c>
    </row>
    <row r="36" customFormat="false" ht="42" hidden="false" customHeight="true" outlineLevel="0" collapsed="false">
      <c r="A36" s="146" t="s">
        <v>1846</v>
      </c>
      <c r="B36" s="176" t="s">
        <v>1847</v>
      </c>
      <c r="C36" s="146" t="s">
        <v>355</v>
      </c>
      <c r="D36" s="146" t="s">
        <v>141</v>
      </c>
      <c r="E36" s="171" t="s">
        <v>1771</v>
      </c>
      <c r="F36" s="146" t="s">
        <v>355</v>
      </c>
      <c r="G36" s="146" t="s">
        <v>353</v>
      </c>
      <c r="H36" s="146" t="s">
        <v>1797</v>
      </c>
      <c r="I36" s="146" t="s">
        <v>384</v>
      </c>
      <c r="J36" s="146" t="s">
        <v>137</v>
      </c>
      <c r="K36" s="175" t="n">
        <v>95860</v>
      </c>
      <c r="L36" s="175" t="n">
        <v>0</v>
      </c>
      <c r="M36" s="175" t="n">
        <v>0</v>
      </c>
      <c r="N36" s="175" t="n">
        <v>0</v>
      </c>
      <c r="O36" s="170" t="n">
        <f aca="false">IF($A36="","",IFERROR(VLOOKUP($J36,Controls!$H$33:$I$36,2,FALSE()),1))</f>
        <v>10.7</v>
      </c>
      <c r="P36" s="94" t="n">
        <f aca="false">IF($A36="","",$K36*$O36)</f>
        <v>1025702</v>
      </c>
      <c r="Q36" s="94" t="n">
        <f aca="false">IF($A36="","",$L36*$O36)</f>
        <v>0</v>
      </c>
      <c r="R36" s="94" t="n">
        <f aca="false">IF($A36="","",$M36*$O36)</f>
        <v>0</v>
      </c>
      <c r="S36" s="94" t="n">
        <f aca="false">IF($A36="","",$N36*$O36)</f>
        <v>0</v>
      </c>
      <c r="T36" s="94" t="n">
        <f aca="false">IF($A36="","",$P36-$Q36-$R36-$S36)</f>
        <v>1025702</v>
      </c>
      <c r="U36" s="171" t="s">
        <v>1771</v>
      </c>
      <c r="V36" s="172" t="n">
        <v>1</v>
      </c>
      <c r="W36" s="94" t="n">
        <f aca="false">IF($A36="","",$T36*$V36)</f>
        <v>1025702</v>
      </c>
    </row>
    <row r="37" customFormat="false" ht="42" hidden="false" customHeight="true" outlineLevel="0" collapsed="false">
      <c r="A37" s="146" t="s">
        <v>1848</v>
      </c>
      <c r="B37" s="176" t="s">
        <v>1849</v>
      </c>
      <c r="C37" s="146" t="s">
        <v>355</v>
      </c>
      <c r="D37" s="146" t="s">
        <v>141</v>
      </c>
      <c r="E37" s="171" t="s">
        <v>1771</v>
      </c>
      <c r="F37" s="146" t="s">
        <v>355</v>
      </c>
      <c r="G37" s="146" t="s">
        <v>353</v>
      </c>
      <c r="H37" s="146" t="s">
        <v>377</v>
      </c>
      <c r="I37" s="146" t="s">
        <v>384</v>
      </c>
      <c r="J37" s="146" t="s">
        <v>137</v>
      </c>
      <c r="K37" s="175" t="n">
        <v>18085</v>
      </c>
      <c r="L37" s="175" t="n">
        <v>0</v>
      </c>
      <c r="M37" s="175" t="n">
        <v>0</v>
      </c>
      <c r="N37" s="175" t="n">
        <v>0</v>
      </c>
      <c r="O37" s="170" t="n">
        <f aca="false">IF($A37="","",IFERROR(VLOOKUP($J37,Controls!$H$33:$I$36,2,FALSE()),1))</f>
        <v>10.7</v>
      </c>
      <c r="P37" s="94" t="n">
        <f aca="false">IF($A37="","",$K37*$O37)</f>
        <v>193509.5</v>
      </c>
      <c r="Q37" s="94" t="n">
        <f aca="false">IF($A37="","",$L37*$O37)</f>
        <v>0</v>
      </c>
      <c r="R37" s="94" t="n">
        <f aca="false">IF($A37="","",$M37*$O37)</f>
        <v>0</v>
      </c>
      <c r="S37" s="94" t="n">
        <f aca="false">IF($A37="","",$N37*$O37)</f>
        <v>0</v>
      </c>
      <c r="T37" s="94" t="n">
        <f aca="false">IF($A37="","",$P37-$Q37-$R37-$S37)</f>
        <v>193509.5</v>
      </c>
      <c r="U37" s="171" t="s">
        <v>1771</v>
      </c>
      <c r="V37" s="172" t="n">
        <v>1</v>
      </c>
      <c r="W37" s="94" t="n">
        <f aca="false">IF($A37="","",$T37*$V37)</f>
        <v>193509.5</v>
      </c>
    </row>
    <row r="38" customFormat="false" ht="56.25" hidden="false" customHeight="true" outlineLevel="0" collapsed="false">
      <c r="A38" s="146" t="s">
        <v>1850</v>
      </c>
      <c r="B38" s="176" t="s">
        <v>1851</v>
      </c>
      <c r="C38" s="146" t="s">
        <v>355</v>
      </c>
      <c r="D38" s="146" t="s">
        <v>141</v>
      </c>
      <c r="E38" s="171" t="s">
        <v>1771</v>
      </c>
      <c r="F38" s="146" t="s">
        <v>355</v>
      </c>
      <c r="G38" s="146" t="s">
        <v>353</v>
      </c>
      <c r="H38" s="146" t="s">
        <v>379</v>
      </c>
      <c r="I38" s="146" t="s">
        <v>1852</v>
      </c>
      <c r="J38" s="146" t="s">
        <v>137</v>
      </c>
      <c r="K38" s="175" t="n">
        <v>25644</v>
      </c>
      <c r="L38" s="175" t="n">
        <v>0</v>
      </c>
      <c r="M38" s="175" t="n">
        <v>0</v>
      </c>
      <c r="N38" s="175" t="n">
        <v>0</v>
      </c>
      <c r="O38" s="170" t="n">
        <f aca="false">IF($A38="","",IFERROR(VLOOKUP($J38,Controls!$H$33:$I$36,2,FALSE()),1))</f>
        <v>10.7</v>
      </c>
      <c r="P38" s="94" t="n">
        <f aca="false">IF($A38="","",$K38*$O38)</f>
        <v>274390.8</v>
      </c>
      <c r="Q38" s="94" t="n">
        <f aca="false">IF($A38="","",$L38*$O38)</f>
        <v>0</v>
      </c>
      <c r="R38" s="94" t="n">
        <f aca="false">IF($A38="","",$M38*$O38)</f>
        <v>0</v>
      </c>
      <c r="S38" s="94" t="n">
        <f aca="false">IF($A38="","",$N38*$O38)</f>
        <v>0</v>
      </c>
      <c r="T38" s="94" t="n">
        <f aca="false">IF($A38="","",$P38-$Q38-$R38-$S38)</f>
        <v>274390.8</v>
      </c>
      <c r="U38" s="171" t="s">
        <v>1771</v>
      </c>
      <c r="V38" s="172" t="n">
        <v>0.5</v>
      </c>
      <c r="W38" s="94" t="n">
        <f aca="false">IF($A38="","",$T38*$V38)</f>
        <v>137195.4</v>
      </c>
    </row>
    <row r="39" customFormat="false" ht="42" hidden="false" customHeight="true" outlineLevel="0" collapsed="false">
      <c r="A39" s="146" t="s">
        <v>1853</v>
      </c>
      <c r="B39" s="176" t="s">
        <v>1854</v>
      </c>
      <c r="C39" s="146" t="s">
        <v>355</v>
      </c>
      <c r="D39" s="146" t="s">
        <v>141</v>
      </c>
      <c r="E39" s="171" t="s">
        <v>1771</v>
      </c>
      <c r="F39" s="146" t="s">
        <v>355</v>
      </c>
      <c r="G39" s="146" t="s">
        <v>353</v>
      </c>
      <c r="H39" s="146" t="s">
        <v>379</v>
      </c>
      <c r="I39" s="146" t="s">
        <v>1855</v>
      </c>
      <c r="J39" s="146" t="s">
        <v>137</v>
      </c>
      <c r="K39" s="175" t="n">
        <v>16435</v>
      </c>
      <c r="L39" s="175" t="n">
        <v>0</v>
      </c>
      <c r="M39" s="175" t="n">
        <v>0</v>
      </c>
      <c r="N39" s="175" t="n">
        <v>0</v>
      </c>
      <c r="O39" s="170" t="n">
        <f aca="false">IF($A39="","",IFERROR(VLOOKUP($J39,Controls!$H$33:$I$36,2,FALSE()),1))</f>
        <v>10.7</v>
      </c>
      <c r="P39" s="94" t="n">
        <f aca="false">IF($A39="","",$K39*$O39)</f>
        <v>175854.5</v>
      </c>
      <c r="Q39" s="94" t="n">
        <f aca="false">IF($A39="","",$L39*$O39)</f>
        <v>0</v>
      </c>
      <c r="R39" s="94" t="n">
        <f aca="false">IF($A39="","",$M39*$O39)</f>
        <v>0</v>
      </c>
      <c r="S39" s="94" t="n">
        <f aca="false">IF($A39="","",$N39*$O39)</f>
        <v>0</v>
      </c>
      <c r="T39" s="94" t="n">
        <f aca="false">IF($A39="","",$P39-$Q39-$R39-$S39)</f>
        <v>175854.5</v>
      </c>
      <c r="U39" s="171" t="s">
        <v>1771</v>
      </c>
      <c r="V39" s="172" t="n">
        <v>0.5</v>
      </c>
      <c r="W39" s="94" t="n">
        <f aca="false">IF($A39="","",$T39*$V39)</f>
        <v>87927.25</v>
      </c>
    </row>
    <row r="40" customFormat="false" ht="42" hidden="false" customHeight="true" outlineLevel="0" collapsed="false">
      <c r="A40" s="146" t="s">
        <v>1856</v>
      </c>
      <c r="B40" s="176" t="s">
        <v>1857</v>
      </c>
      <c r="C40" s="146" t="s">
        <v>355</v>
      </c>
      <c r="D40" s="146" t="s">
        <v>141</v>
      </c>
      <c r="E40" s="171" t="s">
        <v>1771</v>
      </c>
      <c r="F40" s="146" t="s">
        <v>355</v>
      </c>
      <c r="G40" s="146" t="s">
        <v>353</v>
      </c>
      <c r="H40" s="146" t="s">
        <v>379</v>
      </c>
      <c r="I40" s="146" t="s">
        <v>1855</v>
      </c>
      <c r="J40" s="146" t="s">
        <v>137</v>
      </c>
      <c r="K40" s="175" t="n">
        <v>14875</v>
      </c>
      <c r="L40" s="175" t="n">
        <v>0</v>
      </c>
      <c r="M40" s="175" t="n">
        <v>0</v>
      </c>
      <c r="N40" s="175" t="n">
        <v>0</v>
      </c>
      <c r="O40" s="170" t="n">
        <f aca="false">IF($A40="","",IFERROR(VLOOKUP($J40,Controls!$H$33:$I$36,2,FALSE()),1))</f>
        <v>10.7</v>
      </c>
      <c r="P40" s="94" t="n">
        <f aca="false">IF($A40="","",$K40*$O40)</f>
        <v>159162.5</v>
      </c>
      <c r="Q40" s="94" t="n">
        <f aca="false">IF($A40="","",$L40*$O40)</f>
        <v>0</v>
      </c>
      <c r="R40" s="94" t="n">
        <f aca="false">IF($A40="","",$M40*$O40)</f>
        <v>0</v>
      </c>
      <c r="S40" s="94" t="n">
        <f aca="false">IF($A40="","",$N40*$O40)</f>
        <v>0</v>
      </c>
      <c r="T40" s="94" t="n">
        <f aca="false">IF($A40="","",$P40-$Q40-$R40-$S40)</f>
        <v>159162.5</v>
      </c>
      <c r="U40" s="171" t="s">
        <v>1771</v>
      </c>
      <c r="V40" s="172" t="n">
        <v>0.5</v>
      </c>
      <c r="W40" s="94" t="n">
        <f aca="false">IF($A40="","",$T40*$V40)</f>
        <v>79581.25</v>
      </c>
    </row>
    <row r="41" customFormat="false" ht="56.25" hidden="false" customHeight="true" outlineLevel="0" collapsed="false">
      <c r="A41" s="146" t="s">
        <v>1858</v>
      </c>
      <c r="B41" s="176" t="s">
        <v>1859</v>
      </c>
      <c r="C41" s="146" t="s">
        <v>355</v>
      </c>
      <c r="D41" s="146" t="s">
        <v>141</v>
      </c>
      <c r="E41" s="171" t="s">
        <v>1771</v>
      </c>
      <c r="F41" s="146" t="s">
        <v>355</v>
      </c>
      <c r="G41" s="146" t="s">
        <v>353</v>
      </c>
      <c r="H41" s="146" t="s">
        <v>379</v>
      </c>
      <c r="I41" s="146" t="s">
        <v>1855</v>
      </c>
      <c r="J41" s="146" t="s">
        <v>137</v>
      </c>
      <c r="K41" s="175" t="n">
        <v>17650</v>
      </c>
      <c r="L41" s="175"/>
      <c r="M41" s="175"/>
      <c r="N41" s="175"/>
      <c r="O41" s="170" t="n">
        <f aca="false">IF($A41="","",IFERROR(VLOOKUP($J41,Controls!$H$33:$I$36,2,FALSE()),1))</f>
        <v>10.7</v>
      </c>
      <c r="P41" s="94" t="n">
        <f aca="false">IF($A41="","",$K41*$O41)</f>
        <v>188855</v>
      </c>
      <c r="Q41" s="94" t="n">
        <f aca="false">IF($A41="","",$L41*$O41)</f>
        <v>0</v>
      </c>
      <c r="R41" s="94" t="n">
        <f aca="false">IF($A41="","",$M41*$O41)</f>
        <v>0</v>
      </c>
      <c r="S41" s="94" t="n">
        <f aca="false">IF($A41="","",$N41*$O41)</f>
        <v>0</v>
      </c>
      <c r="T41" s="94" t="n">
        <f aca="false">IF($A41="","",$P41-$Q41-$R41-$S41)</f>
        <v>188855</v>
      </c>
      <c r="U41" s="171" t="s">
        <v>1771</v>
      </c>
      <c r="V41" s="172" t="n">
        <v>0.5</v>
      </c>
      <c r="W41" s="94" t="n">
        <f aca="false">IF($A41="","",$T41*$V41)</f>
        <v>94427.5</v>
      </c>
    </row>
    <row r="42" customFormat="false" ht="13.5" hidden="false" customHeight="false" outlineLevel="0" collapsed="false">
      <c r="A42" s="146"/>
      <c r="B42" s="146"/>
      <c r="C42" s="146"/>
      <c r="D42" s="146"/>
      <c r="E42" s="171"/>
      <c r="F42" s="146"/>
      <c r="G42" s="146"/>
      <c r="H42" s="146"/>
      <c r="I42" s="146"/>
      <c r="J42" s="146"/>
      <c r="K42" s="175"/>
      <c r="L42" s="175"/>
      <c r="M42" s="175"/>
      <c r="N42" s="175"/>
      <c r="O42" s="170" t="str">
        <f aca="false">IF($A42="","",IFERROR(VLOOKUP($J42,Controls!$H$33:$I$36,2,FALSE()),1))</f>
        <v/>
      </c>
      <c r="P42" s="94" t="str">
        <f aca="false">IF($A42="","",$K42*$O42)</f>
        <v/>
      </c>
      <c r="Q42" s="94" t="str">
        <f aca="false">IF($A42="","",$L42*$O42)</f>
        <v/>
      </c>
      <c r="R42" s="94" t="str">
        <f aca="false">IF($A42="","",$M42*$O42)</f>
        <v/>
      </c>
      <c r="S42" s="94" t="str">
        <f aca="false">IF($A42="","",$N42*$O42)</f>
        <v/>
      </c>
      <c r="T42" s="94" t="str">
        <f aca="false">IF($A42="","",$P42-$Q42-$R42-$S42)</f>
        <v/>
      </c>
      <c r="U42" s="171"/>
      <c r="V42" s="172"/>
      <c r="W42" s="94" t="str">
        <f aca="false">IF($A42="","",$T42*$V42)</f>
        <v/>
      </c>
    </row>
    <row r="43" customFormat="false" ht="13.5" hidden="false" customHeight="false" outlineLevel="0" collapsed="false">
      <c r="A43" s="146"/>
      <c r="B43" s="146"/>
      <c r="C43" s="146"/>
      <c r="D43" s="146"/>
      <c r="E43" s="171"/>
      <c r="F43" s="146"/>
      <c r="G43" s="146"/>
      <c r="H43" s="146"/>
      <c r="I43" s="146"/>
      <c r="J43" s="146"/>
      <c r="K43" s="175"/>
      <c r="L43" s="175"/>
      <c r="M43" s="175"/>
      <c r="N43" s="175"/>
      <c r="O43" s="170" t="str">
        <f aca="false">IF($A43="","",IFERROR(VLOOKUP($J43,Controls!$H$33:$I$36,2,FALSE()),1))</f>
        <v/>
      </c>
      <c r="P43" s="94" t="str">
        <f aca="false">IF($A43="","",$K43*$O43)</f>
        <v/>
      </c>
      <c r="Q43" s="94" t="str">
        <f aca="false">IF($A43="","",$L43*$O43)</f>
        <v/>
      </c>
      <c r="R43" s="94" t="str">
        <f aca="false">IF($A43="","",$M43*$O43)</f>
        <v/>
      </c>
      <c r="S43" s="94" t="str">
        <f aca="false">IF($A43="","",$N43*$O43)</f>
        <v/>
      </c>
      <c r="T43" s="94" t="str">
        <f aca="false">IF($A43="","",$P43-$Q43-$R43-$S43)</f>
        <v/>
      </c>
      <c r="U43" s="171"/>
      <c r="V43" s="172"/>
      <c r="W43" s="94" t="str">
        <f aca="false">IF($A43="","",$T43*$V43)</f>
        <v/>
      </c>
    </row>
    <row r="44" customFormat="false" ht="13.5" hidden="false" customHeight="false" outlineLevel="0" collapsed="false">
      <c r="A44" s="146"/>
      <c r="B44" s="146"/>
      <c r="C44" s="146"/>
      <c r="D44" s="146"/>
      <c r="E44" s="171"/>
      <c r="F44" s="146"/>
      <c r="G44" s="146"/>
      <c r="H44" s="146"/>
      <c r="I44" s="146"/>
      <c r="J44" s="146"/>
      <c r="K44" s="175"/>
      <c r="L44" s="175"/>
      <c r="M44" s="175"/>
      <c r="N44" s="175"/>
      <c r="O44" s="170" t="str">
        <f aca="false">IF($A44="","",IFERROR(VLOOKUP($J44,Controls!$H$33:$I$36,2,FALSE()),1))</f>
        <v/>
      </c>
      <c r="P44" s="94" t="str">
        <f aca="false">IF($A44="","",$K44*$O44)</f>
        <v/>
      </c>
      <c r="Q44" s="94" t="str">
        <f aca="false">IF($A44="","",$L44*$O44)</f>
        <v/>
      </c>
      <c r="R44" s="94" t="str">
        <f aca="false">IF($A44="","",$M44*$O44)</f>
        <v/>
      </c>
      <c r="S44" s="94" t="str">
        <f aca="false">IF($A44="","",$N44*$O44)</f>
        <v/>
      </c>
      <c r="T44" s="94" t="str">
        <f aca="false">IF($A44="","",$P44-$Q44-$R44-$S44)</f>
        <v/>
      </c>
      <c r="U44" s="171"/>
      <c r="V44" s="172"/>
      <c r="W44" s="94" t="str">
        <f aca="false">IF($A44="","",$T44*$V44)</f>
        <v/>
      </c>
    </row>
    <row r="45" customFormat="false" ht="13.5" hidden="false" customHeight="false" outlineLevel="0" collapsed="false">
      <c r="A45" s="146"/>
      <c r="B45" s="146"/>
      <c r="C45" s="146"/>
      <c r="D45" s="146"/>
      <c r="E45" s="171"/>
      <c r="F45" s="146"/>
      <c r="G45" s="146"/>
      <c r="H45" s="146"/>
      <c r="I45" s="146"/>
      <c r="J45" s="146"/>
      <c r="K45" s="175"/>
      <c r="L45" s="175"/>
      <c r="M45" s="175"/>
      <c r="N45" s="175"/>
      <c r="O45" s="170" t="str">
        <f aca="false">IF($A45="","",IFERROR(VLOOKUP($J45,Controls!$H$33:$I$36,2,FALSE()),1))</f>
        <v/>
      </c>
      <c r="P45" s="94" t="str">
        <f aca="false">IF($A45="","",$K45*$O45)</f>
        <v/>
      </c>
      <c r="Q45" s="94" t="str">
        <f aca="false">IF($A45="","",$L45*$O45)</f>
        <v/>
      </c>
      <c r="R45" s="94" t="str">
        <f aca="false">IF($A45="","",$M45*$O45)</f>
        <v/>
      </c>
      <c r="S45" s="94" t="str">
        <f aca="false">IF($A45="","",$N45*$O45)</f>
        <v/>
      </c>
      <c r="T45" s="94" t="str">
        <f aca="false">IF($A45="","",$P45-$Q45-$R45-$S45)</f>
        <v/>
      </c>
      <c r="U45" s="171"/>
      <c r="V45" s="172"/>
      <c r="W45" s="94" t="str">
        <f aca="false">IF($A45="","",$T45*$V45)</f>
        <v/>
      </c>
    </row>
    <row r="46" customFormat="false" ht="13.5" hidden="false" customHeight="false" outlineLevel="0" collapsed="false">
      <c r="A46" s="146"/>
      <c r="B46" s="146"/>
      <c r="C46" s="146"/>
      <c r="D46" s="146"/>
      <c r="E46" s="171"/>
      <c r="F46" s="146"/>
      <c r="G46" s="146"/>
      <c r="H46" s="146"/>
      <c r="I46" s="146"/>
      <c r="J46" s="146"/>
      <c r="K46" s="175"/>
      <c r="L46" s="175"/>
      <c r="M46" s="175"/>
      <c r="N46" s="175"/>
      <c r="O46" s="170" t="str">
        <f aca="false">IF($A46="","",IFERROR(VLOOKUP($J46,Controls!$H$33:$I$36,2,FALSE()),1))</f>
        <v/>
      </c>
      <c r="P46" s="94" t="str">
        <f aca="false">IF($A46="","",$K46*$O46)</f>
        <v/>
      </c>
      <c r="Q46" s="94" t="str">
        <f aca="false">IF($A46="","",$L46*$O46)</f>
        <v/>
      </c>
      <c r="R46" s="94" t="str">
        <f aca="false">IF($A46="","",$M46*$O46)</f>
        <v/>
      </c>
      <c r="S46" s="94" t="str">
        <f aca="false">IF($A46="","",$N46*$O46)</f>
        <v/>
      </c>
      <c r="T46" s="94" t="str">
        <f aca="false">IF($A46="","",$P46-$Q46-$R46-$S46)</f>
        <v/>
      </c>
      <c r="U46" s="171"/>
      <c r="V46" s="172"/>
      <c r="W46" s="94" t="str">
        <f aca="false">IF($A46="","",$T46*$V46)</f>
        <v/>
      </c>
    </row>
    <row r="47" customFormat="false" ht="13.5" hidden="false" customHeight="false" outlineLevel="0" collapsed="false">
      <c r="A47" s="146"/>
      <c r="B47" s="146"/>
      <c r="C47" s="146"/>
      <c r="D47" s="146"/>
      <c r="E47" s="171"/>
      <c r="F47" s="146"/>
      <c r="G47" s="146"/>
      <c r="H47" s="146"/>
      <c r="I47" s="146"/>
      <c r="J47" s="146"/>
      <c r="K47" s="175"/>
      <c r="L47" s="175"/>
      <c r="M47" s="175"/>
      <c r="N47" s="175"/>
      <c r="O47" s="170" t="str">
        <f aca="false">IF($A47="","",IFERROR(VLOOKUP($J47,Controls!$H$33:$I$36,2,FALSE()),1))</f>
        <v/>
      </c>
      <c r="P47" s="94" t="str">
        <f aca="false">IF($A47="","",$K47*$O47)</f>
        <v/>
      </c>
      <c r="Q47" s="94" t="str">
        <f aca="false">IF($A47="","",$L47*$O47)</f>
        <v/>
      </c>
      <c r="R47" s="94" t="str">
        <f aca="false">IF($A47="","",$M47*$O47)</f>
        <v/>
      </c>
      <c r="S47" s="94" t="str">
        <f aca="false">IF($A47="","",$N47*$O47)</f>
        <v/>
      </c>
      <c r="T47" s="94" t="str">
        <f aca="false">IF($A47="","",$P47-$Q47-$R47-$S47)</f>
        <v/>
      </c>
      <c r="U47" s="171"/>
      <c r="V47" s="172"/>
      <c r="W47" s="94" t="str">
        <f aca="false">IF($A47="","",$T47*$V47)</f>
        <v/>
      </c>
    </row>
    <row r="48" customFormat="false" ht="13.5" hidden="false" customHeight="false" outlineLevel="0" collapsed="false">
      <c r="A48" s="146"/>
      <c r="B48" s="146"/>
      <c r="C48" s="146"/>
      <c r="D48" s="146"/>
      <c r="E48" s="171"/>
      <c r="F48" s="146"/>
      <c r="G48" s="146"/>
      <c r="H48" s="146"/>
      <c r="I48" s="146"/>
      <c r="J48" s="146"/>
      <c r="K48" s="175"/>
      <c r="L48" s="175"/>
      <c r="M48" s="175"/>
      <c r="N48" s="175"/>
      <c r="O48" s="170" t="str">
        <f aca="false">IF($A48="","",IFERROR(VLOOKUP($J48,Controls!$H$33:$I$36,2,FALSE()),1))</f>
        <v/>
      </c>
      <c r="P48" s="94" t="str">
        <f aca="false">IF($A48="","",$K48*$O48)</f>
        <v/>
      </c>
      <c r="Q48" s="94" t="str">
        <f aca="false">IF($A48="","",$L48*$O48)</f>
        <v/>
      </c>
      <c r="R48" s="94" t="str">
        <f aca="false">IF($A48="","",$M48*$O48)</f>
        <v/>
      </c>
      <c r="S48" s="94" t="str">
        <f aca="false">IF($A48="","",$N48*$O48)</f>
        <v/>
      </c>
      <c r="T48" s="94" t="str">
        <f aca="false">IF($A48="","",$P48-$Q48-$R48-$S48)</f>
        <v/>
      </c>
      <c r="U48" s="171"/>
      <c r="V48" s="172"/>
      <c r="W48" s="94" t="str">
        <f aca="false">IF($A48="","",$T48*$V48)</f>
        <v/>
      </c>
    </row>
    <row r="49" customFormat="false" ht="13.5" hidden="false" customHeight="false" outlineLevel="0" collapsed="false">
      <c r="A49" s="146"/>
      <c r="B49" s="146"/>
      <c r="C49" s="146"/>
      <c r="D49" s="146"/>
      <c r="E49" s="171"/>
      <c r="F49" s="146"/>
      <c r="G49" s="146"/>
      <c r="H49" s="146"/>
      <c r="I49" s="146"/>
      <c r="J49" s="146"/>
      <c r="K49" s="175"/>
      <c r="L49" s="175"/>
      <c r="M49" s="175"/>
      <c r="N49" s="175"/>
      <c r="O49" s="170" t="str">
        <f aca="false">IF($A49="","",IFERROR(VLOOKUP($J49,Controls!$H$33:$I$36,2,FALSE()),1))</f>
        <v/>
      </c>
      <c r="P49" s="94" t="str">
        <f aca="false">IF($A49="","",$K49*$O49)</f>
        <v/>
      </c>
      <c r="Q49" s="94" t="str">
        <f aca="false">IF($A49="","",$L49*$O49)</f>
        <v/>
      </c>
      <c r="R49" s="94" t="str">
        <f aca="false">IF($A49="","",$M49*$O49)</f>
        <v/>
      </c>
      <c r="S49" s="94" t="str">
        <f aca="false">IF($A49="","",$N49*$O49)</f>
        <v/>
      </c>
      <c r="T49" s="94" t="str">
        <f aca="false">IF($A49="","",$P49-$Q49-$R49-$S49)</f>
        <v/>
      </c>
      <c r="U49" s="171"/>
      <c r="V49" s="172"/>
      <c r="W49" s="94" t="str">
        <f aca="false">IF($A49="","",$T49*$V49)</f>
        <v/>
      </c>
    </row>
    <row r="50" customFormat="false" ht="13.5" hidden="false" customHeight="false" outlineLevel="0" collapsed="false">
      <c r="A50" s="146"/>
      <c r="B50" s="146"/>
      <c r="C50" s="146"/>
      <c r="D50" s="146"/>
      <c r="E50" s="171"/>
      <c r="F50" s="146"/>
      <c r="G50" s="146"/>
      <c r="H50" s="146"/>
      <c r="I50" s="146"/>
      <c r="J50" s="146"/>
      <c r="K50" s="175"/>
      <c r="L50" s="175"/>
      <c r="M50" s="175"/>
      <c r="N50" s="175"/>
      <c r="O50" s="170" t="str">
        <f aca="false">IF($A50="","",IFERROR(VLOOKUP($J50,Controls!$H$33:$I$36,2,FALSE()),1))</f>
        <v/>
      </c>
      <c r="P50" s="94" t="str">
        <f aca="false">IF($A50="","",$K50*$O50)</f>
        <v/>
      </c>
      <c r="Q50" s="94" t="str">
        <f aca="false">IF($A50="","",$L50*$O50)</f>
        <v/>
      </c>
      <c r="R50" s="94" t="str">
        <f aca="false">IF($A50="","",$M50*$O50)</f>
        <v/>
      </c>
      <c r="S50" s="94" t="str">
        <f aca="false">IF($A50="","",$N50*$O50)</f>
        <v/>
      </c>
      <c r="T50" s="94" t="str">
        <f aca="false">IF($A50="","",$P50-$Q50-$R50-$S50)</f>
        <v/>
      </c>
      <c r="U50" s="171"/>
      <c r="V50" s="172"/>
      <c r="W50" s="94" t="str">
        <f aca="false">IF($A50="","",$T50*$V50)</f>
        <v/>
      </c>
    </row>
    <row r="51" customFormat="false" ht="13.5" hidden="false" customHeight="false" outlineLevel="0" collapsed="false">
      <c r="A51" s="146"/>
      <c r="B51" s="146"/>
      <c r="C51" s="146"/>
      <c r="D51" s="146"/>
      <c r="E51" s="171"/>
      <c r="F51" s="146"/>
      <c r="G51" s="146"/>
      <c r="H51" s="146"/>
      <c r="I51" s="146"/>
      <c r="J51" s="146"/>
      <c r="K51" s="175"/>
      <c r="L51" s="175"/>
      <c r="M51" s="175"/>
      <c r="N51" s="175"/>
      <c r="O51" s="170" t="str">
        <f aca="false">IF($A51="","",IFERROR(VLOOKUP($J51,Controls!$H$33:$I$36,2,FALSE()),1))</f>
        <v/>
      </c>
      <c r="P51" s="94" t="str">
        <f aca="false">IF($A51="","",$K51*$O51)</f>
        <v/>
      </c>
      <c r="Q51" s="94" t="str">
        <f aca="false">IF($A51="","",$L51*$O51)</f>
        <v/>
      </c>
      <c r="R51" s="94" t="str">
        <f aca="false">IF($A51="","",$M51*$O51)</f>
        <v/>
      </c>
      <c r="S51" s="94" t="str">
        <f aca="false">IF($A51="","",$N51*$O51)</f>
        <v/>
      </c>
      <c r="T51" s="94" t="str">
        <f aca="false">IF($A51="","",$P51-$Q51-$R51-$S51)</f>
        <v/>
      </c>
      <c r="U51" s="171"/>
      <c r="V51" s="172"/>
      <c r="W51" s="94" t="str">
        <f aca="false">IF($A51="","",$T51*$V51)</f>
        <v/>
      </c>
    </row>
    <row r="52" customFormat="false" ht="13.5" hidden="false" customHeight="false" outlineLevel="0" collapsed="false">
      <c r="A52" s="146"/>
      <c r="B52" s="146"/>
      <c r="C52" s="146"/>
      <c r="D52" s="146"/>
      <c r="E52" s="171"/>
      <c r="F52" s="146"/>
      <c r="G52" s="146"/>
      <c r="H52" s="146"/>
      <c r="I52" s="146"/>
      <c r="J52" s="146"/>
      <c r="K52" s="175"/>
      <c r="L52" s="175"/>
      <c r="M52" s="175"/>
      <c r="N52" s="175"/>
      <c r="O52" s="170" t="str">
        <f aca="false">IF($A52="","",IFERROR(VLOOKUP($J52,Controls!$H$33:$I$36,2,FALSE()),1))</f>
        <v/>
      </c>
      <c r="P52" s="94" t="str">
        <f aca="false">IF($A52="","",$K52*$O52)</f>
        <v/>
      </c>
      <c r="Q52" s="94" t="str">
        <f aca="false">IF($A52="","",$L52*$O52)</f>
        <v/>
      </c>
      <c r="R52" s="94" t="str">
        <f aca="false">IF($A52="","",$M52*$O52)</f>
        <v/>
      </c>
      <c r="S52" s="94" t="str">
        <f aca="false">IF($A52="","",$N52*$O52)</f>
        <v/>
      </c>
      <c r="T52" s="94" t="str">
        <f aca="false">IF($A52="","",$P52-$Q52-$R52-$S52)</f>
        <v/>
      </c>
      <c r="U52" s="171"/>
      <c r="V52" s="172"/>
      <c r="W52" s="94" t="str">
        <f aca="false">IF($A52="","",$T52*$V52)</f>
        <v/>
      </c>
    </row>
    <row r="53" customFormat="false" ht="13.5" hidden="false" customHeight="false" outlineLevel="0" collapsed="false">
      <c r="A53" s="146"/>
      <c r="B53" s="146"/>
      <c r="C53" s="146"/>
      <c r="D53" s="146"/>
      <c r="E53" s="171"/>
      <c r="F53" s="146"/>
      <c r="G53" s="146"/>
      <c r="H53" s="146"/>
      <c r="I53" s="146"/>
      <c r="J53" s="146"/>
      <c r="K53" s="175"/>
      <c r="L53" s="175"/>
      <c r="M53" s="175"/>
      <c r="N53" s="175"/>
      <c r="O53" s="170" t="str">
        <f aca="false">IF($A53="","",IFERROR(VLOOKUP($J53,Controls!$H$33:$I$36,2,FALSE()),1))</f>
        <v/>
      </c>
      <c r="P53" s="94" t="str">
        <f aca="false">IF($A53="","",$K53*$O53)</f>
        <v/>
      </c>
      <c r="Q53" s="94" t="str">
        <f aca="false">IF($A53="","",$L53*$O53)</f>
        <v/>
      </c>
      <c r="R53" s="94" t="str">
        <f aca="false">IF($A53="","",$M53*$O53)</f>
        <v/>
      </c>
      <c r="S53" s="94" t="str">
        <f aca="false">IF($A53="","",$N53*$O53)</f>
        <v/>
      </c>
      <c r="T53" s="94" t="str">
        <f aca="false">IF($A53="","",$P53-$Q53-$R53-$S53)</f>
        <v/>
      </c>
      <c r="U53" s="171"/>
      <c r="V53" s="172"/>
      <c r="W53" s="94" t="str">
        <f aca="false">IF($A53="","",$T53*$V53)</f>
        <v/>
      </c>
    </row>
    <row r="54" customFormat="false" ht="13.5" hidden="false" customHeight="false" outlineLevel="0" collapsed="false">
      <c r="A54" s="146"/>
      <c r="B54" s="146"/>
      <c r="C54" s="146"/>
      <c r="D54" s="146"/>
      <c r="E54" s="171"/>
      <c r="F54" s="146"/>
      <c r="G54" s="146"/>
      <c r="H54" s="146"/>
      <c r="I54" s="146"/>
      <c r="J54" s="146"/>
      <c r="K54" s="175"/>
      <c r="L54" s="175"/>
      <c r="M54" s="175"/>
      <c r="N54" s="175"/>
      <c r="O54" s="170" t="str">
        <f aca="false">IF($A54="","",IFERROR(VLOOKUP($J54,Controls!$H$33:$I$36,2,FALSE()),1))</f>
        <v/>
      </c>
      <c r="P54" s="94" t="str">
        <f aca="false">IF($A54="","",$K54*$O54)</f>
        <v/>
      </c>
      <c r="Q54" s="94" t="str">
        <f aca="false">IF($A54="","",$L54*$O54)</f>
        <v/>
      </c>
      <c r="R54" s="94" t="str">
        <f aca="false">IF($A54="","",$M54*$O54)</f>
        <v/>
      </c>
      <c r="S54" s="94" t="str">
        <f aca="false">IF($A54="","",$N54*$O54)</f>
        <v/>
      </c>
      <c r="T54" s="94" t="str">
        <f aca="false">IF($A54="","",$P54-$Q54-$R54-$S54)</f>
        <v/>
      </c>
      <c r="U54" s="171"/>
      <c r="V54" s="172"/>
      <c r="W54" s="94" t="str">
        <f aca="false">IF($A54="","",$T54*$V54)</f>
        <v/>
      </c>
    </row>
    <row r="55" customFormat="false" ht="13.5" hidden="false" customHeight="false" outlineLevel="0" collapsed="false">
      <c r="O55" s="170" t="str">
        <f aca="false">IF($A55="","",IFERROR(VLOOKUP($J55,Controls!$H$33:$I$36,2,FALSE()),1))</f>
        <v/>
      </c>
      <c r="P55" s="94" t="str">
        <f aca="false">IF($A55="","",$K55*$O55)</f>
        <v/>
      </c>
      <c r="Q55" s="94" t="str">
        <f aca="false">IF($A55="","",$L55*$O55)</f>
        <v/>
      </c>
      <c r="R55" s="94" t="str">
        <f aca="false">IF($A55="","",$M55*$O55)</f>
        <v/>
      </c>
      <c r="S55" s="94" t="str">
        <f aca="false">IF($A55="","",$N55*$O55)</f>
        <v/>
      </c>
      <c r="T55" s="94" t="str">
        <f aca="false">IF($A55="","",$P55-$Q55-$R55-$S55)</f>
        <v/>
      </c>
      <c r="U55" s="171"/>
      <c r="V55" s="172"/>
      <c r="W55" s="94" t="str">
        <f aca="false">IF($A55="","",$T55*$V55)</f>
        <v/>
      </c>
    </row>
    <row r="56" customFormat="false" ht="13.5" hidden="false" customHeight="false" outlineLevel="0" collapsed="false">
      <c r="O56" s="170" t="str">
        <f aca="false">IF($A56="","",IFERROR(VLOOKUP($J56,Controls!$H$33:$I$36,2,FALSE()),1))</f>
        <v/>
      </c>
      <c r="P56" s="94" t="str">
        <f aca="false">IF($A56="","",$K56*$O56)</f>
        <v/>
      </c>
      <c r="Q56" s="94" t="str">
        <f aca="false">IF($A56="","",$L56*$O56)</f>
        <v/>
      </c>
      <c r="R56" s="94" t="str">
        <f aca="false">IF($A56="","",$M56*$O56)</f>
        <v/>
      </c>
      <c r="S56" s="94" t="str">
        <f aca="false">IF($A56="","",$N56*$O56)</f>
        <v/>
      </c>
      <c r="T56" s="94" t="str">
        <f aca="false">IF($A56="","",$P56-$Q56-$R56-$S56)</f>
        <v/>
      </c>
      <c r="U56" s="171"/>
      <c r="V56" s="172"/>
      <c r="W56" s="94" t="str">
        <f aca="false">IF($A56="","",$T56*$V56)</f>
        <v/>
      </c>
    </row>
    <row r="57" customFormat="false" ht="13.5" hidden="false" customHeight="false" outlineLevel="0" collapsed="false">
      <c r="O57" s="170" t="str">
        <f aca="false">IF($A57="","",IFERROR(VLOOKUP($J57,Controls!$H$33:$I$36,2,FALSE()),1))</f>
        <v/>
      </c>
      <c r="P57" s="94" t="str">
        <f aca="false">IF($A57="","",$K57*$O57)</f>
        <v/>
      </c>
      <c r="Q57" s="94" t="str">
        <f aca="false">IF($A57="","",$L57*$O57)</f>
        <v/>
      </c>
      <c r="R57" s="94" t="str">
        <f aca="false">IF($A57="","",$M57*$O57)</f>
        <v/>
      </c>
      <c r="S57" s="94" t="str">
        <f aca="false">IF($A57="","",$N57*$O57)</f>
        <v/>
      </c>
      <c r="T57" s="94" t="str">
        <f aca="false">IF($A57="","",$P57-$Q57-$R57-$S57)</f>
        <v/>
      </c>
      <c r="U57" s="171"/>
      <c r="V57" s="172"/>
      <c r="W57" s="94" t="str">
        <f aca="false">IF($A57="","",$T57*$V57)</f>
        <v/>
      </c>
    </row>
    <row r="58" customFormat="false" ht="13.5" hidden="false" customHeight="false" outlineLevel="0" collapsed="false">
      <c r="O58" s="170" t="str">
        <f aca="false">IF($A58="","",IFERROR(VLOOKUP($J58,Controls!$H$33:$I$36,2,FALSE()),1))</f>
        <v/>
      </c>
      <c r="P58" s="94" t="str">
        <f aca="false">IF($A58="","",$K58*$O58)</f>
        <v/>
      </c>
      <c r="Q58" s="94" t="str">
        <f aca="false">IF($A58="","",$L58*$O58)</f>
        <v/>
      </c>
      <c r="R58" s="94" t="str">
        <f aca="false">IF($A58="","",$M58*$O58)</f>
        <v/>
      </c>
      <c r="S58" s="94" t="str">
        <f aca="false">IF($A58="","",$N58*$O58)</f>
        <v/>
      </c>
      <c r="T58" s="94" t="str">
        <f aca="false">IF($A58="","",$P58-$Q58-$R58-$S58)</f>
        <v/>
      </c>
      <c r="U58" s="171"/>
      <c r="V58" s="172"/>
      <c r="W58" s="94" t="str">
        <f aca="false">IF($A58="","",$T58*$V58)</f>
        <v/>
      </c>
    </row>
    <row r="59" customFormat="false" ht="13.5" hidden="false" customHeight="false" outlineLevel="0" collapsed="false">
      <c r="O59" s="170" t="str">
        <f aca="false">IF($A59="","",IFERROR(VLOOKUP($J59,Controls!$H$33:$I$36,2,FALSE()),1))</f>
        <v/>
      </c>
      <c r="P59" s="94" t="str">
        <f aca="false">IF($A59="","",$K59*$O59)</f>
        <v/>
      </c>
      <c r="Q59" s="94" t="str">
        <f aca="false">IF($A59="","",$L59*$O59)</f>
        <v/>
      </c>
      <c r="R59" s="94" t="str">
        <f aca="false">IF($A59="","",$M59*$O59)</f>
        <v/>
      </c>
      <c r="S59" s="94" t="str">
        <f aca="false">IF($A59="","",$N59*$O59)</f>
        <v/>
      </c>
      <c r="T59" s="94" t="str">
        <f aca="false">IF($A59="","",$P59-$Q59-$R59-$S59)</f>
        <v/>
      </c>
      <c r="U59" s="171"/>
      <c r="V59" s="172"/>
      <c r="W59" s="94" t="str">
        <f aca="false">IF($A59="","",$T59*$V59)</f>
        <v/>
      </c>
    </row>
    <row r="60" customFormat="false" ht="13.5" hidden="false" customHeight="false" outlineLevel="0" collapsed="false">
      <c r="O60" s="170" t="str">
        <f aca="false">IF($A60="","",IFERROR(VLOOKUP($J60,Controls!$H$33:$I$36,2,FALSE()),1))</f>
        <v/>
      </c>
      <c r="P60" s="94" t="str">
        <f aca="false">IF($A60="","",$K60*$O60)</f>
        <v/>
      </c>
      <c r="Q60" s="94" t="str">
        <f aca="false">IF($A60="","",$L60*$O60)</f>
        <v/>
      </c>
      <c r="R60" s="94" t="str">
        <f aca="false">IF($A60="","",$M60*$O60)</f>
        <v/>
      </c>
      <c r="S60" s="94" t="str">
        <f aca="false">IF($A60="","",$N60*$O60)</f>
        <v/>
      </c>
      <c r="T60" s="94" t="str">
        <f aca="false">IF($A60="","",$P60-$Q60-$R60-$S60)</f>
        <v/>
      </c>
      <c r="U60" s="171"/>
      <c r="V60" s="172"/>
      <c r="W60" s="94" t="str">
        <f aca="false">IF($A60="","",$T60*$V60)</f>
        <v/>
      </c>
    </row>
    <row r="61" customFormat="false" ht="13.5" hidden="false" customHeight="false" outlineLevel="0" collapsed="false">
      <c r="A61" s="146"/>
      <c r="B61" s="146"/>
      <c r="C61" s="146"/>
      <c r="D61" s="146"/>
      <c r="E61" s="171"/>
      <c r="F61" s="146"/>
      <c r="G61" s="146"/>
      <c r="H61" s="146"/>
      <c r="I61" s="146"/>
      <c r="J61" s="146"/>
      <c r="K61" s="175"/>
      <c r="L61" s="175"/>
      <c r="M61" s="175"/>
      <c r="N61" s="175"/>
      <c r="O61" s="170" t="str">
        <f aca="false">IF($A61="","",IFERROR(VLOOKUP($J61,Controls!$H$33:$I$36,2,FALSE()),1))</f>
        <v/>
      </c>
      <c r="P61" s="94" t="str">
        <f aca="false">IF($A61="","",$K61*$O61)</f>
        <v/>
      </c>
      <c r="Q61" s="94" t="str">
        <f aca="false">IF($A61="","",$L61*$O61)</f>
        <v/>
      </c>
      <c r="R61" s="94" t="str">
        <f aca="false">IF($A61="","",$M61*$O61)</f>
        <v/>
      </c>
      <c r="S61" s="94" t="str">
        <f aca="false">IF($A61="","",$N61*$O61)</f>
        <v/>
      </c>
      <c r="T61" s="94" t="str">
        <f aca="false">IF($A61="","",$P61-$Q61-$R61-$S61)</f>
        <v/>
      </c>
      <c r="U61" s="171"/>
      <c r="V61" s="172"/>
      <c r="W61" s="94" t="str">
        <f aca="false">IF($A61="","",$T61*$V61)</f>
        <v/>
      </c>
    </row>
    <row r="62" customFormat="false" ht="13.5" hidden="false" customHeight="false" outlineLevel="0" collapsed="false">
      <c r="A62" s="146"/>
      <c r="B62" s="146"/>
      <c r="C62" s="146"/>
      <c r="D62" s="146"/>
      <c r="E62" s="171"/>
      <c r="F62" s="146"/>
      <c r="G62" s="146"/>
      <c r="H62" s="146"/>
      <c r="I62" s="146"/>
      <c r="J62" s="146"/>
      <c r="K62" s="175"/>
      <c r="L62" s="175"/>
      <c r="M62" s="175"/>
      <c r="N62" s="175"/>
      <c r="O62" s="170" t="str">
        <f aca="false">IF($A62="","",IFERROR(VLOOKUP($J62,Controls!$H$33:$I$36,2,FALSE()),1))</f>
        <v/>
      </c>
      <c r="P62" s="94" t="str">
        <f aca="false">IF($A62="","",$K62*$O62)</f>
        <v/>
      </c>
      <c r="Q62" s="94" t="str">
        <f aca="false">IF($A62="","",$L62*$O62)</f>
        <v/>
      </c>
      <c r="R62" s="94" t="str">
        <f aca="false">IF($A62="","",$M62*$O62)</f>
        <v/>
      </c>
      <c r="S62" s="94" t="str">
        <f aca="false">IF($A62="","",$N62*$O62)</f>
        <v/>
      </c>
      <c r="T62" s="94" t="str">
        <f aca="false">IF($A62="","",$P62-$Q62-$R62-$S62)</f>
        <v/>
      </c>
      <c r="U62" s="171"/>
      <c r="V62" s="172"/>
      <c r="W62" s="94" t="str">
        <f aca="false">IF($A62="","",$T62*$V62)</f>
        <v/>
      </c>
    </row>
    <row r="63" customFormat="false" ht="13.5" hidden="false" customHeight="false" outlineLevel="0" collapsed="false">
      <c r="A63" s="146"/>
      <c r="B63" s="146"/>
      <c r="C63" s="146"/>
      <c r="D63" s="146"/>
      <c r="E63" s="171"/>
      <c r="F63" s="146"/>
      <c r="G63" s="146"/>
      <c r="H63" s="146"/>
      <c r="I63" s="146"/>
      <c r="J63" s="146"/>
      <c r="K63" s="175"/>
      <c r="L63" s="175"/>
      <c r="M63" s="175"/>
      <c r="N63" s="175"/>
      <c r="O63" s="170" t="str">
        <f aca="false">IF($A63="","",IFERROR(VLOOKUP($J63,Controls!$H$33:$I$36,2,FALSE()),1))</f>
        <v/>
      </c>
      <c r="P63" s="94" t="str">
        <f aca="false">IF($A63="","",$K63*$O63)</f>
        <v/>
      </c>
      <c r="Q63" s="94" t="str">
        <f aca="false">IF($A63="","",$L63*$O63)</f>
        <v/>
      </c>
      <c r="R63" s="94" t="str">
        <f aca="false">IF($A63="","",$M63*$O63)</f>
        <v/>
      </c>
      <c r="S63" s="94" t="str">
        <f aca="false">IF($A63="","",$N63*$O63)</f>
        <v/>
      </c>
      <c r="T63" s="94" t="str">
        <f aca="false">IF($A63="","",$P63-$Q63-$R63-$S63)</f>
        <v/>
      </c>
      <c r="U63" s="171"/>
      <c r="V63" s="172"/>
      <c r="W63" s="94" t="str">
        <f aca="false">IF($A63="","",$T63*$V63)</f>
        <v/>
      </c>
    </row>
    <row r="64" customFormat="false" ht="13.5" hidden="false" customHeight="false" outlineLevel="0" collapsed="false">
      <c r="A64" s="146"/>
      <c r="B64" s="146"/>
      <c r="C64" s="146"/>
      <c r="D64" s="146"/>
      <c r="E64" s="171"/>
      <c r="F64" s="146"/>
      <c r="G64" s="146"/>
      <c r="H64" s="146"/>
      <c r="I64" s="146"/>
      <c r="J64" s="146"/>
      <c r="K64" s="175"/>
      <c r="L64" s="175"/>
      <c r="M64" s="175"/>
      <c r="N64" s="175"/>
      <c r="O64" s="170" t="str">
        <f aca="false">IF($A64="","",IFERROR(VLOOKUP($J64,Controls!$H$33:$I$36,2,FALSE()),1))</f>
        <v/>
      </c>
      <c r="P64" s="94" t="str">
        <f aca="false">IF($A64="","",$K64*$O64)</f>
        <v/>
      </c>
      <c r="Q64" s="94" t="str">
        <f aca="false">IF($A64="","",$L64*$O64)</f>
        <v/>
      </c>
      <c r="R64" s="94" t="str">
        <f aca="false">IF($A64="","",$M64*$O64)</f>
        <v/>
      </c>
      <c r="S64" s="94" t="str">
        <f aca="false">IF($A64="","",$N64*$O64)</f>
        <v/>
      </c>
      <c r="T64" s="94" t="str">
        <f aca="false">IF($A64="","",$P64-$Q64-$R64-$S64)</f>
        <v/>
      </c>
      <c r="U64" s="171"/>
      <c r="V64" s="172"/>
      <c r="W64" s="94" t="str">
        <f aca="false">IF($A64="","",$T64*$V64)</f>
        <v/>
      </c>
    </row>
    <row r="65" customFormat="false" ht="13.5" hidden="false" customHeight="false" outlineLevel="0" collapsed="false">
      <c r="A65" s="146"/>
      <c r="B65" s="146"/>
      <c r="C65" s="146"/>
      <c r="D65" s="146"/>
      <c r="E65" s="171"/>
      <c r="F65" s="146"/>
      <c r="G65" s="146"/>
      <c r="H65" s="146"/>
      <c r="I65" s="146"/>
      <c r="J65" s="146"/>
      <c r="K65" s="175"/>
      <c r="L65" s="175"/>
      <c r="M65" s="175"/>
      <c r="N65" s="175"/>
      <c r="O65" s="170" t="str">
        <f aca="false">IF($A65="","",IFERROR(VLOOKUP($J65,Controls!$H$33:$I$36,2,FALSE()),1))</f>
        <v/>
      </c>
      <c r="P65" s="94" t="str">
        <f aca="false">IF($A65="","",$K65*$O65)</f>
        <v/>
      </c>
      <c r="Q65" s="94" t="str">
        <f aca="false">IF($A65="","",$L65*$O65)</f>
        <v/>
      </c>
      <c r="R65" s="94" t="str">
        <f aca="false">IF($A65="","",$M65*$O65)</f>
        <v/>
      </c>
      <c r="S65" s="94" t="str">
        <f aca="false">IF($A65="","",$N65*$O65)</f>
        <v/>
      </c>
      <c r="T65" s="94" t="str">
        <f aca="false">IF($A65="","",$P65-$Q65-$R65-$S65)</f>
        <v/>
      </c>
      <c r="U65" s="171"/>
      <c r="V65" s="172"/>
      <c r="W65" s="94" t="str">
        <f aca="false">IF($A65="","",$T65*$V65)</f>
        <v/>
      </c>
    </row>
    <row r="66" customFormat="false" ht="13.5" hidden="false" customHeight="false" outlineLevel="0" collapsed="false">
      <c r="A66" s="146"/>
      <c r="B66" s="146"/>
      <c r="C66" s="146"/>
      <c r="D66" s="146"/>
      <c r="E66" s="171"/>
      <c r="F66" s="146"/>
      <c r="G66" s="146"/>
      <c r="H66" s="146"/>
      <c r="I66" s="146"/>
      <c r="J66" s="146"/>
      <c r="K66" s="175"/>
      <c r="L66" s="175"/>
      <c r="M66" s="175"/>
      <c r="N66" s="175"/>
      <c r="O66" s="170" t="str">
        <f aca="false">IF($A66="","",IFERROR(VLOOKUP($J66,Controls!$H$33:$I$36,2,FALSE()),1))</f>
        <v/>
      </c>
      <c r="P66" s="94" t="str">
        <f aca="false">IF($A66="","",$K66*$O66)</f>
        <v/>
      </c>
      <c r="Q66" s="94" t="str">
        <f aca="false">IF($A66="","",$L66*$O66)</f>
        <v/>
      </c>
      <c r="R66" s="94" t="str">
        <f aca="false">IF($A66="","",$M66*$O66)</f>
        <v/>
      </c>
      <c r="S66" s="94" t="str">
        <f aca="false">IF($A66="","",$N66*$O66)</f>
        <v/>
      </c>
      <c r="T66" s="94" t="str">
        <f aca="false">IF($A66="","",$P66-$Q66-$R66-$S66)</f>
        <v/>
      </c>
      <c r="U66" s="171"/>
      <c r="V66" s="172"/>
      <c r="W66" s="94" t="str">
        <f aca="false">IF($A66="","",$T66*$V66)</f>
        <v/>
      </c>
    </row>
    <row r="67" customFormat="false" ht="13.5" hidden="false" customHeight="false" outlineLevel="0" collapsed="false">
      <c r="A67" s="146"/>
      <c r="B67" s="146"/>
      <c r="C67" s="146"/>
      <c r="D67" s="146"/>
      <c r="E67" s="171"/>
      <c r="F67" s="146"/>
      <c r="G67" s="146"/>
      <c r="H67" s="146"/>
      <c r="I67" s="146"/>
      <c r="J67" s="146"/>
      <c r="K67" s="175"/>
      <c r="L67" s="175"/>
      <c r="M67" s="175"/>
      <c r="N67" s="175"/>
      <c r="O67" s="170" t="str">
        <f aca="false">IF($A67="","",IFERROR(VLOOKUP($J67,Controls!$H$33:$I$36,2,FALSE()),1))</f>
        <v/>
      </c>
      <c r="P67" s="94" t="str">
        <f aca="false">IF($A67="","",$K67*$O67)</f>
        <v/>
      </c>
      <c r="Q67" s="94" t="str">
        <f aca="false">IF($A67="","",$L67*$O67)</f>
        <v/>
      </c>
      <c r="R67" s="94" t="str">
        <f aca="false">IF($A67="","",$M67*$O67)</f>
        <v/>
      </c>
      <c r="S67" s="94" t="str">
        <f aca="false">IF($A67="","",$N67*$O67)</f>
        <v/>
      </c>
      <c r="T67" s="94" t="str">
        <f aca="false">IF($A67="","",$P67-$Q67-$R67-$S67)</f>
        <v/>
      </c>
      <c r="U67" s="171"/>
      <c r="V67" s="172"/>
      <c r="W67" s="94" t="str">
        <f aca="false">IF($A67="","",$T67*$V67)</f>
        <v/>
      </c>
    </row>
    <row r="68" customFormat="false" ht="13.5" hidden="false" customHeight="false" outlineLevel="0" collapsed="false">
      <c r="A68" s="146"/>
      <c r="B68" s="146"/>
      <c r="C68" s="146"/>
      <c r="D68" s="146"/>
      <c r="E68" s="171"/>
      <c r="F68" s="146"/>
      <c r="G68" s="146"/>
      <c r="H68" s="146"/>
      <c r="I68" s="146"/>
      <c r="J68" s="146"/>
      <c r="K68" s="175"/>
      <c r="L68" s="175"/>
      <c r="M68" s="175"/>
      <c r="N68" s="175"/>
      <c r="O68" s="170" t="str">
        <f aca="false">IF($A68="","",IFERROR(VLOOKUP($J68,Controls!$H$33:$I$36,2,FALSE()),1))</f>
        <v/>
      </c>
      <c r="P68" s="94" t="str">
        <f aca="false">IF($A68="","",$K68*$O68)</f>
        <v/>
      </c>
      <c r="Q68" s="94" t="str">
        <f aca="false">IF($A68="","",$L68*$O68)</f>
        <v/>
      </c>
      <c r="R68" s="94" t="str">
        <f aca="false">IF($A68="","",$M68*$O68)</f>
        <v/>
      </c>
      <c r="S68" s="94" t="str">
        <f aca="false">IF($A68="","",$N68*$O68)</f>
        <v/>
      </c>
      <c r="T68" s="94" t="str">
        <f aca="false">IF($A68="","",$P68-$Q68-$R68-$S68)</f>
        <v/>
      </c>
      <c r="U68" s="171"/>
      <c r="V68" s="172"/>
      <c r="W68" s="94" t="str">
        <f aca="false">IF($A68="","",$T68*$V68)</f>
        <v/>
      </c>
    </row>
    <row r="69" customFormat="false" ht="13.5" hidden="false" customHeight="false" outlineLevel="0" collapsed="false">
      <c r="A69" s="146"/>
      <c r="B69" s="146"/>
      <c r="C69" s="146"/>
      <c r="D69" s="146"/>
      <c r="E69" s="171"/>
      <c r="F69" s="146"/>
      <c r="G69" s="146"/>
      <c r="H69" s="146"/>
      <c r="I69" s="146"/>
      <c r="J69" s="146"/>
      <c r="K69" s="175"/>
      <c r="L69" s="175"/>
      <c r="M69" s="175"/>
      <c r="N69" s="175"/>
      <c r="O69" s="170" t="str">
        <f aca="false">IF($A69="","",IFERROR(VLOOKUP($J69,Controls!$H$33:$I$36,2,FALSE()),1))</f>
        <v/>
      </c>
      <c r="P69" s="94" t="str">
        <f aca="false">IF($A69="","",$K69*$O69)</f>
        <v/>
      </c>
      <c r="Q69" s="94" t="str">
        <f aca="false">IF($A69="","",$L69*$O69)</f>
        <v/>
      </c>
      <c r="R69" s="94" t="str">
        <f aca="false">IF($A69="","",$M69*$O69)</f>
        <v/>
      </c>
      <c r="S69" s="94" t="str">
        <f aca="false">IF($A69="","",$N69*$O69)</f>
        <v/>
      </c>
      <c r="T69" s="94" t="str">
        <f aca="false">IF($A69="","",$P69-$Q69-$R69-$S69)</f>
        <v/>
      </c>
      <c r="U69" s="171"/>
      <c r="V69" s="172"/>
      <c r="W69" s="94" t="str">
        <f aca="false">IF($A69="","",$T69*$V69)</f>
        <v/>
      </c>
    </row>
    <row r="70" customFormat="false" ht="13.5" hidden="false" customHeight="false" outlineLevel="0" collapsed="false">
      <c r="A70" s="146"/>
      <c r="B70" s="146"/>
      <c r="C70" s="146"/>
      <c r="D70" s="146"/>
      <c r="E70" s="171"/>
      <c r="F70" s="146"/>
      <c r="G70" s="146"/>
      <c r="H70" s="146"/>
      <c r="I70" s="146"/>
      <c r="J70" s="146"/>
      <c r="K70" s="175"/>
      <c r="L70" s="175"/>
      <c r="M70" s="175"/>
      <c r="N70" s="175"/>
      <c r="O70" s="170" t="str">
        <f aca="false">IF($A70="","",IFERROR(VLOOKUP($J70,Controls!$H$33:$I$36,2,FALSE()),1))</f>
        <v/>
      </c>
      <c r="P70" s="94" t="str">
        <f aca="false">IF($A70="","",$K70*$O70)</f>
        <v/>
      </c>
      <c r="Q70" s="94" t="str">
        <f aca="false">IF($A70="","",$L70*$O70)</f>
        <v/>
      </c>
      <c r="R70" s="94" t="str">
        <f aca="false">IF($A70="","",$M70*$O70)</f>
        <v/>
      </c>
      <c r="S70" s="94" t="str">
        <f aca="false">IF($A70="","",$N70*$O70)</f>
        <v/>
      </c>
      <c r="T70" s="94" t="str">
        <f aca="false">IF($A70="","",$P70-$Q70-$R70-$S70)</f>
        <v/>
      </c>
      <c r="U70" s="171"/>
      <c r="V70" s="172"/>
      <c r="W70" s="94" t="str">
        <f aca="false">IF($A70="","",$T70*$V70)</f>
        <v/>
      </c>
    </row>
    <row r="71" customFormat="false" ht="13.5" hidden="false" customHeight="false" outlineLevel="0" collapsed="false">
      <c r="A71" s="146"/>
      <c r="B71" s="146"/>
      <c r="C71" s="146"/>
      <c r="D71" s="146"/>
      <c r="E71" s="171"/>
      <c r="F71" s="146"/>
      <c r="G71" s="146"/>
      <c r="H71" s="146"/>
      <c r="I71" s="146"/>
      <c r="J71" s="146"/>
      <c r="K71" s="175"/>
      <c r="L71" s="175"/>
      <c r="M71" s="175"/>
      <c r="N71" s="175"/>
      <c r="O71" s="170" t="str">
        <f aca="false">IF($A71="","",IFERROR(VLOOKUP($J71,Controls!$H$33:$I$36,2,FALSE()),1))</f>
        <v/>
      </c>
      <c r="P71" s="94" t="str">
        <f aca="false">IF($A71="","",$K71*$O71)</f>
        <v/>
      </c>
      <c r="Q71" s="94" t="str">
        <f aca="false">IF($A71="","",$L71*$O71)</f>
        <v/>
      </c>
      <c r="R71" s="94" t="str">
        <f aca="false">IF($A71="","",$M71*$O71)</f>
        <v/>
      </c>
      <c r="S71" s="94" t="str">
        <f aca="false">IF($A71="","",$N71*$O71)</f>
        <v/>
      </c>
      <c r="T71" s="94" t="str">
        <f aca="false">IF($A71="","",$P71-$Q71-$R71-$S71)</f>
        <v/>
      </c>
      <c r="U71" s="171"/>
      <c r="V71" s="172"/>
      <c r="W71" s="94" t="str">
        <f aca="false">IF($A71="","",$T71*$V71)</f>
        <v/>
      </c>
    </row>
    <row r="72" customFormat="false" ht="13.5" hidden="false" customHeight="false" outlineLevel="0" collapsed="false">
      <c r="A72" s="146"/>
      <c r="B72" s="146"/>
      <c r="C72" s="146"/>
      <c r="D72" s="146"/>
      <c r="E72" s="171"/>
      <c r="F72" s="146"/>
      <c r="G72" s="146"/>
      <c r="H72" s="146"/>
      <c r="I72" s="146"/>
      <c r="J72" s="146"/>
      <c r="K72" s="175"/>
      <c r="L72" s="175"/>
      <c r="M72" s="175"/>
      <c r="N72" s="175"/>
      <c r="O72" s="170" t="str">
        <f aca="false">IF($A72="","",IFERROR(VLOOKUP($J72,Controls!$H$33:$I$36,2,FALSE()),1))</f>
        <v/>
      </c>
      <c r="P72" s="94" t="str">
        <f aca="false">IF($A72="","",$K72*$O72)</f>
        <v/>
      </c>
      <c r="Q72" s="94" t="str">
        <f aca="false">IF($A72="","",$L72*$O72)</f>
        <v/>
      </c>
      <c r="R72" s="94" t="str">
        <f aca="false">IF($A72="","",$M72*$O72)</f>
        <v/>
      </c>
      <c r="S72" s="94" t="str">
        <f aca="false">IF($A72="","",$N72*$O72)</f>
        <v/>
      </c>
      <c r="T72" s="94" t="str">
        <f aca="false">IF($A72="","",$P72-$Q72-$R72-$S72)</f>
        <v/>
      </c>
      <c r="U72" s="171"/>
      <c r="V72" s="172"/>
      <c r="W72" s="94" t="str">
        <f aca="false">IF($A72="","",$T72*$V72)</f>
        <v/>
      </c>
    </row>
    <row r="73" customFormat="false" ht="13.5" hidden="false" customHeight="false" outlineLevel="0" collapsed="false">
      <c r="A73" s="146"/>
      <c r="B73" s="146"/>
      <c r="C73" s="146"/>
      <c r="D73" s="146"/>
      <c r="E73" s="171"/>
      <c r="F73" s="146"/>
      <c r="G73" s="146"/>
      <c r="H73" s="146"/>
      <c r="I73" s="146"/>
      <c r="J73" s="146"/>
      <c r="K73" s="175"/>
      <c r="L73" s="175"/>
      <c r="M73" s="175"/>
      <c r="N73" s="175"/>
      <c r="O73" s="170" t="str">
        <f aca="false">IF($A73="","",IFERROR(VLOOKUP($J73,Controls!$H$33:$I$36,2,FALSE()),1))</f>
        <v/>
      </c>
      <c r="P73" s="94" t="str">
        <f aca="false">IF($A73="","",$K73*$O73)</f>
        <v/>
      </c>
      <c r="Q73" s="94" t="str">
        <f aca="false">IF($A73="","",$L73*$O73)</f>
        <v/>
      </c>
      <c r="R73" s="94" t="str">
        <f aca="false">IF($A73="","",$M73*$O73)</f>
        <v/>
      </c>
      <c r="S73" s="94" t="str">
        <f aca="false">IF($A73="","",$N73*$O73)</f>
        <v/>
      </c>
      <c r="T73" s="94" t="str">
        <f aca="false">IF($A73="","",$P73-$Q73-$R73-$S73)</f>
        <v/>
      </c>
      <c r="U73" s="171"/>
      <c r="V73" s="172"/>
      <c r="W73" s="94" t="str">
        <f aca="false">IF($A73="","",$T73*$V73)</f>
        <v/>
      </c>
    </row>
    <row r="74" customFormat="false" ht="13.5" hidden="false" customHeight="false" outlineLevel="0" collapsed="false">
      <c r="A74" s="146"/>
      <c r="B74" s="146"/>
      <c r="C74" s="146"/>
      <c r="D74" s="146"/>
      <c r="E74" s="171"/>
      <c r="F74" s="146"/>
      <c r="G74" s="146"/>
      <c r="H74" s="146"/>
      <c r="I74" s="146"/>
      <c r="J74" s="146"/>
      <c r="K74" s="175"/>
      <c r="L74" s="175"/>
      <c r="M74" s="175"/>
      <c r="N74" s="175"/>
      <c r="O74" s="170" t="str">
        <f aca="false">IF($A74="","",IFERROR(VLOOKUP($J74,Controls!$H$33:$I$36,2,FALSE()),1))</f>
        <v/>
      </c>
      <c r="P74" s="94" t="str">
        <f aca="false">IF($A74="","",$K74*$O74)</f>
        <v/>
      </c>
      <c r="Q74" s="94" t="str">
        <f aca="false">IF($A74="","",$L74*$O74)</f>
        <v/>
      </c>
      <c r="R74" s="94" t="str">
        <f aca="false">IF($A74="","",$M74*$O74)</f>
        <v/>
      </c>
      <c r="S74" s="94" t="str">
        <f aca="false">IF($A74="","",$N74*$O74)</f>
        <v/>
      </c>
      <c r="T74" s="94" t="str">
        <f aca="false">IF($A74="","",$P74-$Q74-$R74-$S74)</f>
        <v/>
      </c>
      <c r="U74" s="171"/>
      <c r="V74" s="172"/>
      <c r="W74" s="94" t="str">
        <f aca="false">IF($A74="","",$T74*$V74)</f>
        <v/>
      </c>
    </row>
    <row r="75" customFormat="false" ht="13.5" hidden="false" customHeight="false" outlineLevel="0" collapsed="false">
      <c r="A75" s="146"/>
      <c r="B75" s="146"/>
      <c r="C75" s="146"/>
      <c r="D75" s="146"/>
      <c r="E75" s="171"/>
      <c r="F75" s="146"/>
      <c r="G75" s="146"/>
      <c r="H75" s="146"/>
      <c r="I75" s="146"/>
      <c r="J75" s="146"/>
      <c r="K75" s="175"/>
      <c r="L75" s="175"/>
      <c r="M75" s="175"/>
      <c r="N75" s="175"/>
      <c r="O75" s="170" t="str">
        <f aca="false">IF($A75="","",IFERROR(VLOOKUP($J75,Controls!$H$33:$I$36,2,FALSE()),1))</f>
        <v/>
      </c>
      <c r="P75" s="94" t="str">
        <f aca="false">IF($A75="","",$K75*$O75)</f>
        <v/>
      </c>
      <c r="Q75" s="94" t="str">
        <f aca="false">IF($A75="","",$L75*$O75)</f>
        <v/>
      </c>
      <c r="R75" s="94" t="str">
        <f aca="false">IF($A75="","",$M75*$O75)</f>
        <v/>
      </c>
      <c r="S75" s="94" t="str">
        <f aca="false">IF($A75="","",$N75*$O75)</f>
        <v/>
      </c>
      <c r="T75" s="94" t="str">
        <f aca="false">IF($A75="","",$P75-$Q75-$R75-$S75)</f>
        <v/>
      </c>
      <c r="U75" s="171"/>
      <c r="V75" s="172"/>
      <c r="W75" s="94" t="str">
        <f aca="false">IF($A75="","",$T75*$V75)</f>
        <v/>
      </c>
    </row>
    <row r="76" customFormat="false" ht="13.5" hidden="false" customHeight="false" outlineLevel="0" collapsed="false">
      <c r="A76" s="146"/>
      <c r="B76" s="146"/>
      <c r="C76" s="146"/>
      <c r="D76" s="146"/>
      <c r="E76" s="171"/>
      <c r="F76" s="146"/>
      <c r="G76" s="146"/>
      <c r="H76" s="146"/>
      <c r="I76" s="146"/>
      <c r="J76" s="146"/>
      <c r="K76" s="175"/>
      <c r="L76" s="175"/>
      <c r="M76" s="175"/>
      <c r="N76" s="175"/>
      <c r="O76" s="170" t="str">
        <f aca="false">IF($A76="","",IFERROR(VLOOKUP($J76,Controls!$H$33:$I$36,2,FALSE()),1))</f>
        <v/>
      </c>
      <c r="P76" s="94" t="str">
        <f aca="false">IF($A76="","",$K76*$O76)</f>
        <v/>
      </c>
      <c r="Q76" s="94" t="str">
        <f aca="false">IF($A76="","",$L76*$O76)</f>
        <v/>
      </c>
      <c r="R76" s="94" t="str">
        <f aca="false">IF($A76="","",$M76*$O76)</f>
        <v/>
      </c>
      <c r="S76" s="94" t="str">
        <f aca="false">IF($A76="","",$N76*$O76)</f>
        <v/>
      </c>
      <c r="T76" s="94" t="str">
        <f aca="false">IF($A76="","",$P76-$Q76-$R76-$S76)</f>
        <v/>
      </c>
      <c r="U76" s="171"/>
      <c r="V76" s="172"/>
      <c r="W76" s="94" t="str">
        <f aca="false">IF($A76="","",$T76*$V76)</f>
        <v/>
      </c>
    </row>
    <row r="77" customFormat="false" ht="13.5" hidden="false" customHeight="false" outlineLevel="0" collapsed="false">
      <c r="A77" s="146"/>
      <c r="B77" s="146"/>
      <c r="C77" s="146"/>
      <c r="D77" s="146"/>
      <c r="E77" s="171"/>
      <c r="F77" s="146"/>
      <c r="G77" s="146"/>
      <c r="H77" s="146"/>
      <c r="I77" s="146"/>
      <c r="J77" s="146"/>
      <c r="K77" s="175"/>
      <c r="L77" s="175"/>
      <c r="M77" s="175"/>
      <c r="N77" s="175"/>
      <c r="O77" s="170" t="str">
        <f aca="false">IF($A77="","",IFERROR(VLOOKUP($J77,Controls!$H$33:$I$36,2,FALSE()),1))</f>
        <v/>
      </c>
      <c r="P77" s="94" t="str">
        <f aca="false">IF($A77="","",$K77*$O77)</f>
        <v/>
      </c>
      <c r="Q77" s="94" t="str">
        <f aca="false">IF($A77="","",$L77*$O77)</f>
        <v/>
      </c>
      <c r="R77" s="94" t="str">
        <f aca="false">IF($A77="","",$M77*$O77)</f>
        <v/>
      </c>
      <c r="S77" s="94" t="str">
        <f aca="false">IF($A77="","",$N77*$O77)</f>
        <v/>
      </c>
      <c r="T77" s="94" t="str">
        <f aca="false">IF($A77="","",$P77-$Q77-$R77-$S77)</f>
        <v/>
      </c>
      <c r="U77" s="171"/>
      <c r="V77" s="172"/>
      <c r="W77" s="94" t="str">
        <f aca="false">IF($A77="","",$T77*$V77)</f>
        <v/>
      </c>
    </row>
    <row r="78" customFormat="false" ht="13.5" hidden="false" customHeight="false" outlineLevel="0" collapsed="false">
      <c r="A78" s="146"/>
      <c r="B78" s="146"/>
      <c r="C78" s="146"/>
      <c r="D78" s="146"/>
      <c r="E78" s="171"/>
      <c r="F78" s="146"/>
      <c r="G78" s="146"/>
      <c r="H78" s="146"/>
      <c r="I78" s="146"/>
      <c r="J78" s="146"/>
      <c r="K78" s="175"/>
      <c r="L78" s="175"/>
      <c r="M78" s="175"/>
      <c r="N78" s="175"/>
      <c r="O78" s="170" t="str">
        <f aca="false">IF($A78="","",IFERROR(VLOOKUP($J78,Controls!$H$33:$I$36,2,FALSE()),1))</f>
        <v/>
      </c>
      <c r="P78" s="94" t="str">
        <f aca="false">IF($A78="","",$K78*$O78)</f>
        <v/>
      </c>
      <c r="Q78" s="94" t="str">
        <f aca="false">IF($A78="","",$L78*$O78)</f>
        <v/>
      </c>
      <c r="R78" s="94" t="str">
        <f aca="false">IF($A78="","",$M78*$O78)</f>
        <v/>
      </c>
      <c r="S78" s="94" t="str">
        <f aca="false">IF($A78="","",$N78*$O78)</f>
        <v/>
      </c>
      <c r="T78" s="94" t="str">
        <f aca="false">IF($A78="","",$P78-$Q78-$R78-$S78)</f>
        <v/>
      </c>
      <c r="U78" s="171"/>
      <c r="V78" s="172"/>
      <c r="W78" s="94" t="str">
        <f aca="false">IF($A78="","",$T78*$V78)</f>
        <v/>
      </c>
    </row>
    <row r="79" customFormat="false" ht="13.5" hidden="false" customHeight="false" outlineLevel="0" collapsed="false">
      <c r="A79" s="146"/>
      <c r="B79" s="146"/>
      <c r="C79" s="146"/>
      <c r="D79" s="146"/>
      <c r="E79" s="171"/>
      <c r="F79" s="146"/>
      <c r="G79" s="146"/>
      <c r="H79" s="146"/>
      <c r="I79" s="146"/>
      <c r="J79" s="146"/>
      <c r="K79" s="175"/>
      <c r="L79" s="175"/>
      <c r="M79" s="175"/>
      <c r="N79" s="175"/>
      <c r="O79" s="170" t="str">
        <f aca="false">IF($A79="","",IFERROR(VLOOKUP($J79,Controls!$H$33:$I$36,2,FALSE()),1))</f>
        <v/>
      </c>
      <c r="P79" s="94" t="str">
        <f aca="false">IF($A79="","",$K79*$O79)</f>
        <v/>
      </c>
      <c r="Q79" s="94" t="str">
        <f aca="false">IF($A79="","",$L79*$O79)</f>
        <v/>
      </c>
      <c r="R79" s="94" t="str">
        <f aca="false">IF($A79="","",$M79*$O79)</f>
        <v/>
      </c>
      <c r="S79" s="94" t="str">
        <f aca="false">IF($A79="","",$N79*$O79)</f>
        <v/>
      </c>
      <c r="T79" s="94" t="str">
        <f aca="false">IF($A79="","",$P79-$Q79-$R79-$S79)</f>
        <v/>
      </c>
      <c r="U79" s="171"/>
      <c r="V79" s="172"/>
      <c r="W79" s="94" t="str">
        <f aca="false">IF($A79="","",$T79*$V79)</f>
        <v/>
      </c>
    </row>
    <row r="80" customFormat="false" ht="13.5" hidden="false" customHeight="false" outlineLevel="0" collapsed="false">
      <c r="A80" s="146"/>
      <c r="B80" s="146"/>
      <c r="C80" s="146"/>
      <c r="D80" s="146"/>
      <c r="E80" s="171"/>
      <c r="F80" s="146"/>
      <c r="G80" s="146"/>
      <c r="H80" s="146"/>
      <c r="I80" s="146"/>
      <c r="J80" s="146"/>
      <c r="K80" s="175"/>
      <c r="L80" s="175"/>
      <c r="M80" s="175"/>
      <c r="N80" s="175"/>
      <c r="O80" s="170" t="str">
        <f aca="false">IF($A80="","",IFERROR(VLOOKUP($J80,Controls!$H$33:$I$36,2,FALSE()),1))</f>
        <v/>
      </c>
      <c r="P80" s="94" t="str">
        <f aca="false">IF($A80="","",$K80*$O80)</f>
        <v/>
      </c>
      <c r="Q80" s="94" t="str">
        <f aca="false">IF($A80="","",$L80*$O80)</f>
        <v/>
      </c>
      <c r="R80" s="94" t="str">
        <f aca="false">IF($A80="","",$M80*$O80)</f>
        <v/>
      </c>
      <c r="S80" s="94" t="str">
        <f aca="false">IF($A80="","",$N80*$O80)</f>
        <v/>
      </c>
      <c r="T80" s="94" t="str">
        <f aca="false">IF($A80="","",$P80-$Q80-$R80-$S80)</f>
        <v/>
      </c>
      <c r="U80" s="171"/>
      <c r="V80" s="172"/>
      <c r="W80" s="94" t="str">
        <f aca="false">IF($A80="","",$T80*$V80)</f>
        <v/>
      </c>
    </row>
    <row r="81" customFormat="false" ht="13.5" hidden="false" customHeight="false" outlineLevel="0" collapsed="false">
      <c r="A81" s="146"/>
      <c r="B81" s="146"/>
      <c r="C81" s="146"/>
      <c r="D81" s="146"/>
      <c r="E81" s="171"/>
      <c r="F81" s="146"/>
      <c r="G81" s="146"/>
      <c r="H81" s="146"/>
      <c r="I81" s="146"/>
      <c r="J81" s="146"/>
      <c r="K81" s="175"/>
      <c r="L81" s="175"/>
      <c r="M81" s="175"/>
      <c r="N81" s="175"/>
      <c r="O81" s="170" t="str">
        <f aca="false">IF($A81="","",IFERROR(VLOOKUP($J81,Controls!$H$33:$I$36,2,FALSE()),1))</f>
        <v/>
      </c>
      <c r="P81" s="94" t="str">
        <f aca="false">IF($A81="","",$K81*$O81)</f>
        <v/>
      </c>
      <c r="Q81" s="94" t="str">
        <f aca="false">IF($A81="","",$L81*$O81)</f>
        <v/>
      </c>
      <c r="R81" s="94" t="str">
        <f aca="false">IF($A81="","",$M81*$O81)</f>
        <v/>
      </c>
      <c r="S81" s="94" t="str">
        <f aca="false">IF($A81="","",$N81*$O81)</f>
        <v/>
      </c>
      <c r="T81" s="94" t="str">
        <f aca="false">IF($A81="","",$P81-$Q81-$R81-$S81)</f>
        <v/>
      </c>
      <c r="U81" s="171"/>
      <c r="V81" s="172"/>
      <c r="W81" s="94" t="str">
        <f aca="false">IF($A81="","",$T81*$V81)</f>
        <v/>
      </c>
    </row>
    <row r="82" customFormat="false" ht="13.5" hidden="false" customHeight="false" outlineLevel="0" collapsed="false">
      <c r="A82" s="146"/>
      <c r="B82" s="146"/>
      <c r="C82" s="146"/>
      <c r="D82" s="146"/>
      <c r="E82" s="171"/>
      <c r="F82" s="146"/>
      <c r="G82" s="146"/>
      <c r="H82" s="146"/>
      <c r="I82" s="146"/>
      <c r="J82" s="146"/>
      <c r="K82" s="175"/>
      <c r="L82" s="175"/>
      <c r="M82" s="175"/>
      <c r="N82" s="175"/>
      <c r="O82" s="170" t="str">
        <f aca="false">IF($A82="","",IFERROR(VLOOKUP($J82,Controls!$H$33:$I$36,2,FALSE()),1))</f>
        <v/>
      </c>
      <c r="P82" s="94" t="str">
        <f aca="false">IF($A82="","",$K82*$O82)</f>
        <v/>
      </c>
      <c r="Q82" s="94" t="str">
        <f aca="false">IF($A82="","",$L82*$O82)</f>
        <v/>
      </c>
      <c r="R82" s="94" t="str">
        <f aca="false">IF($A82="","",$M82*$O82)</f>
        <v/>
      </c>
      <c r="S82" s="94" t="str">
        <f aca="false">IF($A82="","",$N82*$O82)</f>
        <v/>
      </c>
      <c r="T82" s="94" t="str">
        <f aca="false">IF($A82="","",$P82-$Q82-$R82-$S82)</f>
        <v/>
      </c>
      <c r="U82" s="171"/>
      <c r="V82" s="172"/>
      <c r="W82" s="94" t="str">
        <f aca="false">IF($A82="","",$T82*$V82)</f>
        <v/>
      </c>
    </row>
    <row r="83" customFormat="false" ht="13.5" hidden="false" customHeight="false" outlineLevel="0" collapsed="false">
      <c r="A83" s="146"/>
      <c r="B83" s="146"/>
      <c r="C83" s="146"/>
      <c r="D83" s="146"/>
      <c r="E83" s="171"/>
      <c r="F83" s="146"/>
      <c r="G83" s="146"/>
      <c r="H83" s="146"/>
      <c r="I83" s="146"/>
      <c r="J83" s="146"/>
      <c r="K83" s="175"/>
      <c r="L83" s="175"/>
      <c r="M83" s="175"/>
      <c r="N83" s="175"/>
      <c r="O83" s="170" t="str">
        <f aca="false">IF($A83="","",IFERROR(VLOOKUP($J83,Controls!$H$33:$I$36,2,FALSE()),1))</f>
        <v/>
      </c>
      <c r="P83" s="94" t="str">
        <f aca="false">IF($A83="","",$K83*$O83)</f>
        <v/>
      </c>
      <c r="Q83" s="94" t="str">
        <f aca="false">IF($A83="","",$L83*$O83)</f>
        <v/>
      </c>
      <c r="R83" s="94" t="str">
        <f aca="false">IF($A83="","",$M83*$O83)</f>
        <v/>
      </c>
      <c r="S83" s="94" t="str">
        <f aca="false">IF($A83="","",$N83*$O83)</f>
        <v/>
      </c>
      <c r="T83" s="94" t="str">
        <f aca="false">IF($A83="","",$P83-$Q83-$R83-$S83)</f>
        <v/>
      </c>
      <c r="U83" s="171"/>
      <c r="V83" s="172"/>
      <c r="W83" s="94" t="str">
        <f aca="false">IF($A83="","",$T83*$V83)</f>
        <v/>
      </c>
    </row>
    <row r="84" customFormat="false" ht="13.5" hidden="false" customHeight="false" outlineLevel="0" collapsed="false">
      <c r="A84" s="146"/>
      <c r="B84" s="146"/>
      <c r="C84" s="146"/>
      <c r="D84" s="146"/>
      <c r="E84" s="171"/>
      <c r="F84" s="146"/>
      <c r="G84" s="146"/>
      <c r="H84" s="146"/>
      <c r="I84" s="146"/>
      <c r="J84" s="146"/>
      <c r="K84" s="175"/>
      <c r="L84" s="175"/>
      <c r="M84" s="175"/>
      <c r="N84" s="175"/>
      <c r="O84" s="170" t="str">
        <f aca="false">IF($A84="","",IFERROR(VLOOKUP($J84,Controls!$H$33:$I$36,2,FALSE()),1))</f>
        <v/>
      </c>
      <c r="P84" s="94" t="str">
        <f aca="false">IF($A84="","",$K84*$O84)</f>
        <v/>
      </c>
      <c r="Q84" s="94" t="str">
        <f aca="false">IF($A84="","",$L84*$O84)</f>
        <v/>
      </c>
      <c r="R84" s="94" t="str">
        <f aca="false">IF($A84="","",$M84*$O84)</f>
        <v/>
      </c>
      <c r="S84" s="94" t="str">
        <f aca="false">IF($A84="","",$N84*$O84)</f>
        <v/>
      </c>
      <c r="T84" s="94" t="str">
        <f aca="false">IF($A84="","",$P84-$Q84-$R84-$S84)</f>
        <v/>
      </c>
      <c r="U84" s="171"/>
      <c r="V84" s="172"/>
      <c r="W84" s="94" t="str">
        <f aca="false">IF($A84="","",$T84*$V84)</f>
        <v/>
      </c>
    </row>
    <row r="85" customFormat="false" ht="13.5" hidden="false" customHeight="false" outlineLevel="0" collapsed="false">
      <c r="A85" s="146"/>
      <c r="B85" s="146"/>
      <c r="C85" s="146"/>
      <c r="D85" s="146"/>
      <c r="E85" s="171"/>
      <c r="F85" s="146"/>
      <c r="G85" s="146"/>
      <c r="H85" s="146"/>
      <c r="I85" s="146"/>
      <c r="J85" s="146"/>
      <c r="K85" s="175"/>
      <c r="L85" s="175"/>
      <c r="M85" s="175"/>
      <c r="N85" s="175"/>
      <c r="O85" s="170" t="str">
        <f aca="false">IF($A85="","",IFERROR(VLOOKUP($J85,Controls!$H$33:$I$36,2,FALSE()),1))</f>
        <v/>
      </c>
      <c r="P85" s="94" t="str">
        <f aca="false">IF($A85="","",$K85*$O85)</f>
        <v/>
      </c>
      <c r="Q85" s="94" t="str">
        <f aca="false">IF($A85="","",$L85*$O85)</f>
        <v/>
      </c>
      <c r="R85" s="94" t="str">
        <f aca="false">IF($A85="","",$M85*$O85)</f>
        <v/>
      </c>
      <c r="S85" s="94" t="str">
        <f aca="false">IF($A85="","",$N85*$O85)</f>
        <v/>
      </c>
      <c r="T85" s="94" t="str">
        <f aca="false">IF($A85="","",$P85-$Q85-$R85-$S85)</f>
        <v/>
      </c>
      <c r="U85" s="171"/>
      <c r="V85" s="172"/>
      <c r="W85" s="94" t="str">
        <f aca="false">IF($A85="","",$T85*$V85)</f>
        <v/>
      </c>
    </row>
    <row r="86" customFormat="false" ht="13.5" hidden="false" customHeight="false" outlineLevel="0" collapsed="false">
      <c r="A86" s="146"/>
      <c r="B86" s="146"/>
      <c r="C86" s="146"/>
      <c r="D86" s="146"/>
      <c r="E86" s="171"/>
      <c r="F86" s="146"/>
      <c r="G86" s="146"/>
      <c r="H86" s="146"/>
      <c r="I86" s="146"/>
      <c r="J86" s="146"/>
      <c r="K86" s="175"/>
      <c r="L86" s="175"/>
      <c r="M86" s="175"/>
      <c r="N86" s="175"/>
      <c r="O86" s="170" t="str">
        <f aca="false">IF($A86="","",IFERROR(VLOOKUP($J86,Controls!$H$33:$I$36,2,FALSE()),1))</f>
        <v/>
      </c>
      <c r="P86" s="94" t="str">
        <f aca="false">IF($A86="","",$K86*$O86)</f>
        <v/>
      </c>
      <c r="Q86" s="94" t="str">
        <f aca="false">IF($A86="","",$L86*$O86)</f>
        <v/>
      </c>
      <c r="R86" s="94" t="str">
        <f aca="false">IF($A86="","",$M86*$O86)</f>
        <v/>
      </c>
      <c r="S86" s="94" t="str">
        <f aca="false">IF($A86="","",$N86*$O86)</f>
        <v/>
      </c>
      <c r="T86" s="94" t="str">
        <f aca="false">IF($A86="","",$P86-$Q86-$R86-$S86)</f>
        <v/>
      </c>
      <c r="U86" s="171"/>
      <c r="V86" s="172"/>
      <c r="W86" s="94" t="str">
        <f aca="false">IF($A86="","",$T86*$V86)</f>
        <v/>
      </c>
    </row>
    <row r="87" customFormat="false" ht="13.5" hidden="false" customHeight="false" outlineLevel="0" collapsed="false">
      <c r="A87" s="146"/>
      <c r="B87" s="146"/>
      <c r="C87" s="146"/>
      <c r="D87" s="146"/>
      <c r="E87" s="171"/>
      <c r="F87" s="146"/>
      <c r="G87" s="146"/>
      <c r="H87" s="146"/>
      <c r="I87" s="146"/>
      <c r="J87" s="146"/>
      <c r="K87" s="175"/>
      <c r="L87" s="175"/>
      <c r="M87" s="175"/>
      <c r="N87" s="175"/>
      <c r="O87" s="170" t="str">
        <f aca="false">IF($A87="","",IFERROR(VLOOKUP($J87,Controls!$H$33:$I$36,2,FALSE()),1))</f>
        <v/>
      </c>
      <c r="P87" s="94" t="str">
        <f aca="false">IF($A87="","",$K87*$O87)</f>
        <v/>
      </c>
      <c r="Q87" s="94" t="str">
        <f aca="false">IF($A87="","",$L87*$O87)</f>
        <v/>
      </c>
      <c r="R87" s="94" t="str">
        <f aca="false">IF($A87="","",$M87*$O87)</f>
        <v/>
      </c>
      <c r="S87" s="94" t="str">
        <f aca="false">IF($A87="","",$N87*$O87)</f>
        <v/>
      </c>
      <c r="T87" s="94" t="str">
        <f aca="false">IF($A87="","",$P87-$Q87-$R87-$S87)</f>
        <v/>
      </c>
      <c r="U87" s="171"/>
      <c r="V87" s="172"/>
      <c r="W87" s="94" t="str">
        <f aca="false">IF($A87="","",$T87*$V87)</f>
        <v/>
      </c>
    </row>
    <row r="88" customFormat="false" ht="13.5" hidden="false" customHeight="false" outlineLevel="0" collapsed="false">
      <c r="A88" s="146"/>
      <c r="B88" s="146"/>
      <c r="C88" s="146"/>
      <c r="D88" s="146"/>
      <c r="E88" s="171"/>
      <c r="F88" s="146"/>
      <c r="G88" s="146"/>
      <c r="H88" s="146"/>
      <c r="I88" s="146"/>
      <c r="J88" s="146"/>
      <c r="K88" s="175"/>
      <c r="L88" s="175"/>
      <c r="M88" s="175"/>
      <c r="N88" s="175"/>
      <c r="O88" s="170" t="str">
        <f aca="false">IF($A88="","",IFERROR(VLOOKUP($J88,Controls!$H$33:$I$36,2,FALSE()),1))</f>
        <v/>
      </c>
      <c r="P88" s="94" t="str">
        <f aca="false">IF($A88="","",$K88*$O88)</f>
        <v/>
      </c>
      <c r="Q88" s="94" t="str">
        <f aca="false">IF($A88="","",$L88*$O88)</f>
        <v/>
      </c>
      <c r="R88" s="94" t="str">
        <f aca="false">IF($A88="","",$M88*$O88)</f>
        <v/>
      </c>
      <c r="S88" s="94" t="str">
        <f aca="false">IF($A88="","",$N88*$O88)</f>
        <v/>
      </c>
      <c r="T88" s="94" t="str">
        <f aca="false">IF($A88="","",$P88-$Q88-$R88-$S88)</f>
        <v/>
      </c>
      <c r="U88" s="171"/>
      <c r="V88" s="172"/>
      <c r="W88" s="94" t="str">
        <f aca="false">IF($A88="","",$T88*$V88)</f>
        <v/>
      </c>
    </row>
    <row r="89" customFormat="false" ht="13.5" hidden="false" customHeight="false" outlineLevel="0" collapsed="false">
      <c r="A89" s="146"/>
      <c r="B89" s="146"/>
      <c r="C89" s="146"/>
      <c r="D89" s="146"/>
      <c r="E89" s="171"/>
      <c r="F89" s="146"/>
      <c r="G89" s="146"/>
      <c r="H89" s="146"/>
      <c r="I89" s="146"/>
      <c r="J89" s="146"/>
      <c r="K89" s="175"/>
      <c r="L89" s="175"/>
      <c r="M89" s="175"/>
      <c r="N89" s="175"/>
      <c r="O89" s="170" t="str">
        <f aca="false">IF($A89="","",IFERROR(VLOOKUP($J89,Controls!$H$33:$I$36,2,FALSE()),1))</f>
        <v/>
      </c>
      <c r="P89" s="94" t="str">
        <f aca="false">IF($A89="","",$K89*$O89)</f>
        <v/>
      </c>
      <c r="Q89" s="94" t="str">
        <f aca="false">IF($A89="","",$L89*$O89)</f>
        <v/>
      </c>
      <c r="R89" s="94" t="str">
        <f aca="false">IF($A89="","",$M89*$O89)</f>
        <v/>
      </c>
      <c r="S89" s="94" t="str">
        <f aca="false">IF($A89="","",$N89*$O89)</f>
        <v/>
      </c>
      <c r="T89" s="94" t="str">
        <f aca="false">IF($A89="","",$P89-$Q89-$R89-$S89)</f>
        <v/>
      </c>
      <c r="U89" s="171"/>
      <c r="V89" s="172"/>
      <c r="W89" s="94" t="str">
        <f aca="false">IF($A89="","",$T89*$V89)</f>
        <v/>
      </c>
    </row>
    <row r="90" customFormat="false" ht="13.5" hidden="false" customHeight="false" outlineLevel="0" collapsed="false">
      <c r="A90" s="146"/>
      <c r="B90" s="146"/>
      <c r="C90" s="146"/>
      <c r="D90" s="146"/>
      <c r="E90" s="171"/>
      <c r="F90" s="146"/>
      <c r="G90" s="146"/>
      <c r="H90" s="146"/>
      <c r="I90" s="146"/>
      <c r="J90" s="146"/>
      <c r="K90" s="175"/>
      <c r="L90" s="175"/>
      <c r="M90" s="175"/>
      <c r="N90" s="175"/>
      <c r="O90" s="170" t="str">
        <f aca="false">IF($A90="","",IFERROR(VLOOKUP($J90,Controls!$H$33:$I$36,2,FALSE()),1))</f>
        <v/>
      </c>
      <c r="P90" s="94" t="str">
        <f aca="false">IF($A90="","",$K90*$O90)</f>
        <v/>
      </c>
      <c r="Q90" s="94" t="str">
        <f aca="false">IF($A90="","",$L90*$O90)</f>
        <v/>
      </c>
      <c r="R90" s="94" t="str">
        <f aca="false">IF($A90="","",$M90*$O90)</f>
        <v/>
      </c>
      <c r="S90" s="94" t="str">
        <f aca="false">IF($A90="","",$N90*$O90)</f>
        <v/>
      </c>
      <c r="T90" s="94" t="str">
        <f aca="false">IF($A90="","",$P90-$Q90-$R90-$S90)</f>
        <v/>
      </c>
      <c r="U90" s="171"/>
      <c r="V90" s="172"/>
      <c r="W90" s="94" t="str">
        <f aca="false">IF($A90="","",$T90*$V90)</f>
        <v/>
      </c>
    </row>
    <row r="91" customFormat="false" ht="13.5" hidden="false" customHeight="false" outlineLevel="0" collapsed="false">
      <c r="A91" s="146"/>
      <c r="B91" s="146"/>
      <c r="C91" s="146"/>
      <c r="D91" s="146"/>
      <c r="E91" s="171"/>
      <c r="F91" s="146"/>
      <c r="G91" s="146"/>
      <c r="H91" s="146"/>
      <c r="I91" s="146"/>
      <c r="J91" s="146"/>
      <c r="K91" s="175"/>
      <c r="L91" s="175"/>
      <c r="M91" s="175"/>
      <c r="N91" s="175"/>
      <c r="O91" s="170" t="str">
        <f aca="false">IF($A91="","",IFERROR(VLOOKUP($J91,Controls!$H$33:$I$36,2,FALSE()),1))</f>
        <v/>
      </c>
      <c r="P91" s="94" t="str">
        <f aca="false">IF($A91="","",$K91*$O91)</f>
        <v/>
      </c>
      <c r="Q91" s="94" t="str">
        <f aca="false">IF($A91="","",$L91*$O91)</f>
        <v/>
      </c>
      <c r="R91" s="94" t="str">
        <f aca="false">IF($A91="","",$M91*$O91)</f>
        <v/>
      </c>
      <c r="S91" s="94" t="str">
        <f aca="false">IF($A91="","",$N91*$O91)</f>
        <v/>
      </c>
      <c r="T91" s="94" t="str">
        <f aca="false">IF($A91="","",$P91-$Q91-$R91-$S91)</f>
        <v/>
      </c>
      <c r="U91" s="171"/>
      <c r="V91" s="172"/>
      <c r="W91" s="94" t="str">
        <f aca="false">IF($A91="","",$T91*$V91)</f>
        <v/>
      </c>
    </row>
    <row r="92" customFormat="false" ht="13.5" hidden="false" customHeight="false" outlineLevel="0" collapsed="false">
      <c r="A92" s="146"/>
      <c r="B92" s="146"/>
      <c r="C92" s="146"/>
      <c r="D92" s="146"/>
      <c r="E92" s="171"/>
      <c r="F92" s="146"/>
      <c r="G92" s="146"/>
      <c r="H92" s="146"/>
      <c r="I92" s="146"/>
      <c r="J92" s="146"/>
      <c r="K92" s="175"/>
      <c r="L92" s="175"/>
      <c r="M92" s="175"/>
      <c r="N92" s="175"/>
      <c r="O92" s="170" t="str">
        <f aca="false">IF($A92="","",IFERROR(VLOOKUP($J92,Controls!$H$33:$I$36,2,FALSE()),1))</f>
        <v/>
      </c>
      <c r="P92" s="94" t="str">
        <f aca="false">IF($A92="","",$K92*$O92)</f>
        <v/>
      </c>
      <c r="Q92" s="94" t="str">
        <f aca="false">IF($A92="","",$L92*$O92)</f>
        <v/>
      </c>
      <c r="R92" s="94" t="str">
        <f aca="false">IF($A92="","",$M92*$O92)</f>
        <v/>
      </c>
      <c r="S92" s="94" t="str">
        <f aca="false">IF($A92="","",$N92*$O92)</f>
        <v/>
      </c>
      <c r="T92" s="94" t="str">
        <f aca="false">IF($A92="","",$P92-$Q92-$R92-$S92)</f>
        <v/>
      </c>
      <c r="U92" s="171"/>
      <c r="V92" s="172"/>
      <c r="W92" s="94" t="str">
        <f aca="false">IF($A92="","",$T92*$V92)</f>
        <v/>
      </c>
    </row>
    <row r="93" customFormat="false" ht="13.5" hidden="false" customHeight="false" outlineLevel="0" collapsed="false">
      <c r="A93" s="146"/>
      <c r="B93" s="146"/>
      <c r="C93" s="146"/>
      <c r="D93" s="146"/>
      <c r="E93" s="171"/>
      <c r="F93" s="146"/>
      <c r="G93" s="146"/>
      <c r="H93" s="146"/>
      <c r="I93" s="146"/>
      <c r="J93" s="146"/>
      <c r="K93" s="175"/>
      <c r="L93" s="175"/>
      <c r="M93" s="175"/>
      <c r="N93" s="175"/>
      <c r="O93" s="170" t="str">
        <f aca="false">IF($A93="","",IFERROR(VLOOKUP($J93,Controls!$H$33:$I$36,2,FALSE()),1))</f>
        <v/>
      </c>
      <c r="P93" s="94" t="str">
        <f aca="false">IF($A93="","",$K93*$O93)</f>
        <v/>
      </c>
      <c r="Q93" s="94" t="str">
        <f aca="false">IF($A93="","",$L93*$O93)</f>
        <v/>
      </c>
      <c r="R93" s="94" t="str">
        <f aca="false">IF($A93="","",$M93*$O93)</f>
        <v/>
      </c>
      <c r="S93" s="94" t="str">
        <f aca="false">IF($A93="","",$N93*$O93)</f>
        <v/>
      </c>
      <c r="T93" s="94" t="str">
        <f aca="false">IF($A93="","",$P93-$Q93-$R93-$S93)</f>
        <v/>
      </c>
      <c r="U93" s="171"/>
      <c r="V93" s="172"/>
      <c r="W93" s="94" t="str">
        <f aca="false">IF($A93="","",$T93*$V93)</f>
        <v/>
      </c>
    </row>
    <row r="94" customFormat="false" ht="13.5" hidden="false" customHeight="false" outlineLevel="0" collapsed="false">
      <c r="A94" s="146"/>
      <c r="B94" s="146"/>
      <c r="C94" s="146"/>
      <c r="D94" s="146"/>
      <c r="E94" s="171"/>
      <c r="F94" s="146"/>
      <c r="G94" s="146"/>
      <c r="H94" s="146"/>
      <c r="I94" s="146"/>
      <c r="J94" s="146"/>
      <c r="K94" s="175"/>
      <c r="L94" s="175"/>
      <c r="M94" s="175"/>
      <c r="N94" s="175"/>
      <c r="O94" s="170" t="str">
        <f aca="false">IF($A94="","",IFERROR(VLOOKUP($J94,Controls!$H$33:$I$36,2,FALSE()),1))</f>
        <v/>
      </c>
      <c r="P94" s="94" t="str">
        <f aca="false">IF($A94="","",$K94*$O94)</f>
        <v/>
      </c>
      <c r="Q94" s="94" t="str">
        <f aca="false">IF($A94="","",$L94*$O94)</f>
        <v/>
      </c>
      <c r="R94" s="94" t="str">
        <f aca="false">IF($A94="","",$M94*$O94)</f>
        <v/>
      </c>
      <c r="S94" s="94" t="str">
        <f aca="false">IF($A94="","",$N94*$O94)</f>
        <v/>
      </c>
      <c r="T94" s="94" t="str">
        <f aca="false">IF($A94="","",$P94-$Q94-$R94-$S94)</f>
        <v/>
      </c>
      <c r="U94" s="171"/>
      <c r="V94" s="172"/>
      <c r="W94" s="94" t="str">
        <f aca="false">IF($A94="","",$T94*$V94)</f>
        <v/>
      </c>
    </row>
    <row r="95" customFormat="false" ht="13.5" hidden="false" customHeight="false" outlineLevel="0" collapsed="false">
      <c r="A95" s="146"/>
      <c r="B95" s="146"/>
      <c r="C95" s="146"/>
      <c r="D95" s="146"/>
      <c r="E95" s="171"/>
      <c r="F95" s="146"/>
      <c r="G95" s="146"/>
      <c r="H95" s="146"/>
      <c r="I95" s="146"/>
      <c r="J95" s="146"/>
      <c r="K95" s="175"/>
      <c r="L95" s="175"/>
      <c r="M95" s="175"/>
      <c r="N95" s="175"/>
      <c r="O95" s="170" t="str">
        <f aca="false">IF($A95="","",IFERROR(VLOOKUP($J95,Controls!$H$33:$I$36,2,FALSE()),1))</f>
        <v/>
      </c>
      <c r="P95" s="94" t="str">
        <f aca="false">IF($A95="","",$K95*$O95)</f>
        <v/>
      </c>
      <c r="Q95" s="94" t="str">
        <f aca="false">IF($A95="","",$L95*$O95)</f>
        <v/>
      </c>
      <c r="R95" s="94" t="str">
        <f aca="false">IF($A95="","",$M95*$O95)</f>
        <v/>
      </c>
      <c r="S95" s="94" t="str">
        <f aca="false">IF($A95="","",$N95*$O95)</f>
        <v/>
      </c>
      <c r="T95" s="94" t="str">
        <f aca="false">IF($A95="","",$P95-$Q95-$R95-$S95)</f>
        <v/>
      </c>
      <c r="U95" s="171"/>
      <c r="V95" s="172"/>
      <c r="W95" s="94" t="str">
        <f aca="false">IF($A95="","",$T95*$V95)</f>
        <v/>
      </c>
    </row>
    <row r="96" customFormat="false" ht="13.5" hidden="false" customHeight="false" outlineLevel="0" collapsed="false">
      <c r="A96" s="146"/>
      <c r="B96" s="146"/>
      <c r="C96" s="146"/>
      <c r="D96" s="146"/>
      <c r="E96" s="171"/>
      <c r="F96" s="146"/>
      <c r="G96" s="146"/>
      <c r="H96" s="146"/>
      <c r="I96" s="146"/>
      <c r="J96" s="146"/>
      <c r="K96" s="175"/>
      <c r="L96" s="175"/>
      <c r="M96" s="175"/>
      <c r="N96" s="175"/>
      <c r="O96" s="170" t="str">
        <f aca="false">IF($A96="","",IFERROR(VLOOKUP($J96,Controls!$H$33:$I$36,2,FALSE()),1))</f>
        <v/>
      </c>
      <c r="P96" s="94" t="str">
        <f aca="false">IF($A96="","",$K96*$O96)</f>
        <v/>
      </c>
      <c r="Q96" s="94" t="str">
        <f aca="false">IF($A96="","",$L96*$O96)</f>
        <v/>
      </c>
      <c r="R96" s="94" t="str">
        <f aca="false">IF($A96="","",$M96*$O96)</f>
        <v/>
      </c>
      <c r="S96" s="94" t="str">
        <f aca="false">IF($A96="","",$N96*$O96)</f>
        <v/>
      </c>
      <c r="T96" s="94" t="str">
        <f aca="false">IF($A96="","",$P96-$Q96-$R96-$S96)</f>
        <v/>
      </c>
      <c r="U96" s="171"/>
      <c r="V96" s="172"/>
      <c r="W96" s="94" t="str">
        <f aca="false">IF($A96="","",$T96*$V96)</f>
        <v/>
      </c>
    </row>
    <row r="97" customFormat="false" ht="13.5" hidden="false" customHeight="false" outlineLevel="0" collapsed="false">
      <c r="A97" s="146"/>
      <c r="B97" s="146"/>
      <c r="C97" s="146"/>
      <c r="D97" s="146"/>
      <c r="E97" s="171"/>
      <c r="F97" s="146"/>
      <c r="G97" s="146"/>
      <c r="H97" s="146"/>
      <c r="I97" s="146"/>
      <c r="J97" s="146"/>
      <c r="K97" s="175"/>
      <c r="L97" s="175"/>
      <c r="M97" s="175"/>
      <c r="N97" s="175"/>
      <c r="O97" s="170" t="str">
        <f aca="false">IF($A97="","",IFERROR(VLOOKUP($J97,Controls!$H$33:$I$36,2,FALSE()),1))</f>
        <v/>
      </c>
      <c r="P97" s="94" t="str">
        <f aca="false">IF($A97="","",$K97*$O97)</f>
        <v/>
      </c>
      <c r="Q97" s="94" t="str">
        <f aca="false">IF($A97="","",$L97*$O97)</f>
        <v/>
      </c>
      <c r="R97" s="94" t="str">
        <f aca="false">IF($A97="","",$M97*$O97)</f>
        <v/>
      </c>
      <c r="S97" s="94" t="str">
        <f aca="false">IF($A97="","",$N97*$O97)</f>
        <v/>
      </c>
      <c r="T97" s="94" t="str">
        <f aca="false">IF($A97="","",$P97-$Q97-$R97-$S97)</f>
        <v/>
      </c>
      <c r="U97" s="171"/>
      <c r="V97" s="172"/>
      <c r="W97" s="94" t="str">
        <f aca="false">IF($A97="","",$T97*$V97)</f>
        <v/>
      </c>
    </row>
    <row r="98" customFormat="false" ht="13.5" hidden="false" customHeight="false" outlineLevel="0" collapsed="false">
      <c r="A98" s="146"/>
      <c r="B98" s="146"/>
      <c r="C98" s="146"/>
      <c r="D98" s="146"/>
      <c r="E98" s="171"/>
      <c r="F98" s="146"/>
      <c r="G98" s="146"/>
      <c r="H98" s="146"/>
      <c r="I98" s="146"/>
      <c r="J98" s="146"/>
      <c r="K98" s="175"/>
      <c r="L98" s="175"/>
      <c r="M98" s="175"/>
      <c r="N98" s="175"/>
      <c r="O98" s="170" t="str">
        <f aca="false">IF($A98="","",IFERROR(VLOOKUP($J98,Controls!$H$33:$I$36,2,FALSE()),1))</f>
        <v/>
      </c>
      <c r="P98" s="94" t="str">
        <f aca="false">IF($A98="","",$K98*$O98)</f>
        <v/>
      </c>
      <c r="Q98" s="94" t="str">
        <f aca="false">IF($A98="","",$L98*$O98)</f>
        <v/>
      </c>
      <c r="R98" s="94" t="str">
        <f aca="false">IF($A98="","",$M98*$O98)</f>
        <v/>
      </c>
      <c r="S98" s="94" t="str">
        <f aca="false">IF($A98="","",$N98*$O98)</f>
        <v/>
      </c>
      <c r="T98" s="94" t="str">
        <f aca="false">IF($A98="","",$P98-$Q98-$R98-$S98)</f>
        <v/>
      </c>
      <c r="U98" s="171"/>
      <c r="V98" s="172"/>
      <c r="W98" s="94" t="str">
        <f aca="false">IF($A98="","",$T98*$V98)</f>
        <v/>
      </c>
    </row>
    <row r="99" customFormat="false" ht="13.5" hidden="false" customHeight="false" outlineLevel="0" collapsed="false">
      <c r="A99" s="146"/>
      <c r="B99" s="146"/>
      <c r="C99" s="146"/>
      <c r="D99" s="146"/>
      <c r="E99" s="171"/>
      <c r="F99" s="146"/>
      <c r="G99" s="146"/>
      <c r="H99" s="146"/>
      <c r="I99" s="146"/>
      <c r="J99" s="146"/>
      <c r="K99" s="175"/>
      <c r="L99" s="175"/>
      <c r="M99" s="175"/>
      <c r="N99" s="175"/>
      <c r="O99" s="170" t="str">
        <f aca="false">IF($A99="","",IFERROR(VLOOKUP($J99,Controls!$H$33:$I$36,2,FALSE()),1))</f>
        <v/>
      </c>
      <c r="P99" s="94" t="str">
        <f aca="false">IF($A99="","",$K99*$O99)</f>
        <v/>
      </c>
      <c r="Q99" s="94" t="str">
        <f aca="false">IF($A99="","",$L99*$O99)</f>
        <v/>
      </c>
      <c r="R99" s="94" t="str">
        <f aca="false">IF($A99="","",$M99*$O99)</f>
        <v/>
      </c>
      <c r="S99" s="94" t="str">
        <f aca="false">IF($A99="","",$N99*$O99)</f>
        <v/>
      </c>
      <c r="T99" s="94" t="str">
        <f aca="false">IF($A99="","",$P99-$Q99-$R99-$S99)</f>
        <v/>
      </c>
      <c r="U99" s="171"/>
      <c r="V99" s="172"/>
      <c r="W99" s="94" t="str">
        <f aca="false">IF($A99="","",$T99*$V99)</f>
        <v/>
      </c>
    </row>
    <row r="100" customFormat="false" ht="13.5" hidden="false" customHeight="false" outlineLevel="0" collapsed="false">
      <c r="A100" s="146"/>
      <c r="B100" s="146"/>
      <c r="C100" s="146"/>
      <c r="D100" s="146"/>
      <c r="E100" s="171"/>
      <c r="F100" s="146"/>
      <c r="G100" s="146"/>
      <c r="H100" s="146"/>
      <c r="I100" s="146"/>
      <c r="J100" s="146"/>
      <c r="K100" s="175"/>
      <c r="L100" s="175"/>
      <c r="M100" s="175"/>
      <c r="N100" s="175"/>
      <c r="O100" s="170" t="str">
        <f aca="false">IF($A100="","",IFERROR(VLOOKUP($J100,Controls!$H$33:$I$36,2,FALSE()),1))</f>
        <v/>
      </c>
      <c r="P100" s="94" t="str">
        <f aca="false">IF($A100="","",$K100*$O100)</f>
        <v/>
      </c>
      <c r="Q100" s="94" t="str">
        <f aca="false">IF($A100="","",$L100*$O100)</f>
        <v/>
      </c>
      <c r="R100" s="94" t="str">
        <f aca="false">IF($A100="","",$M100*$O100)</f>
        <v/>
      </c>
      <c r="S100" s="94" t="str">
        <f aca="false">IF($A100="","",$N100*$O100)</f>
        <v/>
      </c>
      <c r="T100" s="94" t="str">
        <f aca="false">IF($A100="","",$P100-$Q100-$R100-$S100)</f>
        <v/>
      </c>
      <c r="U100" s="171"/>
      <c r="V100" s="172"/>
      <c r="W100" s="94" t="str">
        <f aca="false">IF($A100="","",$T100*$V100)</f>
        <v/>
      </c>
    </row>
    <row r="101" customFormat="false" ht="13.5" hidden="false" customHeight="false" outlineLevel="0" collapsed="false">
      <c r="A101" s="146"/>
      <c r="B101" s="146"/>
      <c r="C101" s="146"/>
      <c r="D101" s="146"/>
      <c r="E101" s="171"/>
      <c r="F101" s="146"/>
      <c r="G101" s="146"/>
      <c r="H101" s="146"/>
      <c r="I101" s="146"/>
      <c r="J101" s="146"/>
      <c r="K101" s="175"/>
      <c r="L101" s="175"/>
      <c r="M101" s="175"/>
      <c r="N101" s="175"/>
      <c r="O101" s="170" t="str">
        <f aca="false">IF($A101="","",IFERROR(VLOOKUP($J101,Controls!$H$33:$I$36,2,FALSE()),1))</f>
        <v/>
      </c>
      <c r="P101" s="94" t="str">
        <f aca="false">IF($A101="","",$K101*$O101)</f>
        <v/>
      </c>
      <c r="Q101" s="94" t="str">
        <f aca="false">IF($A101="","",$L101*$O101)</f>
        <v/>
      </c>
      <c r="R101" s="94" t="str">
        <f aca="false">IF($A101="","",$M101*$O101)</f>
        <v/>
      </c>
      <c r="S101" s="94" t="str">
        <f aca="false">IF($A101="","",$N101*$O101)</f>
        <v/>
      </c>
      <c r="T101" s="94" t="str">
        <f aca="false">IF($A101="","",$P101-$Q101-$R101-$S101)</f>
        <v/>
      </c>
      <c r="U101" s="171"/>
      <c r="V101" s="172"/>
      <c r="W101" s="94" t="str">
        <f aca="false">IF($A101="","",$T101*$V101)</f>
        <v/>
      </c>
    </row>
    <row r="102" customFormat="false" ht="13.5" hidden="false" customHeight="false" outlineLevel="0" collapsed="false">
      <c r="A102" s="146"/>
      <c r="B102" s="146"/>
      <c r="C102" s="146"/>
      <c r="D102" s="146"/>
      <c r="E102" s="171"/>
      <c r="F102" s="146"/>
      <c r="G102" s="146"/>
      <c r="H102" s="146"/>
      <c r="I102" s="146"/>
      <c r="J102" s="146"/>
      <c r="K102" s="175"/>
      <c r="L102" s="175"/>
      <c r="M102" s="175"/>
      <c r="N102" s="175"/>
      <c r="O102" s="170" t="str">
        <f aca="false">IF($A102="","",IFERROR(VLOOKUP($J102,Controls!$H$33:$I$36,2,FALSE()),1))</f>
        <v/>
      </c>
      <c r="P102" s="94" t="str">
        <f aca="false">IF($A102="","",$K102*$O102)</f>
        <v/>
      </c>
      <c r="Q102" s="94" t="str">
        <f aca="false">IF($A102="","",$L102*$O102)</f>
        <v/>
      </c>
      <c r="R102" s="94" t="str">
        <f aca="false">IF($A102="","",$M102*$O102)</f>
        <v/>
      </c>
      <c r="S102" s="94" t="str">
        <f aca="false">IF($A102="","",$N102*$O102)</f>
        <v/>
      </c>
      <c r="T102" s="94" t="str">
        <f aca="false">IF($A102="","",$P102-$Q102-$R102-$S102)</f>
        <v/>
      </c>
      <c r="U102" s="171"/>
      <c r="V102" s="172"/>
      <c r="W102" s="94" t="str">
        <f aca="false">IF($A102="","",$T102*$V102)</f>
        <v/>
      </c>
    </row>
    <row r="103" customFormat="false" ht="13.5" hidden="false" customHeight="false" outlineLevel="0" collapsed="false">
      <c r="A103" s="146"/>
      <c r="B103" s="146"/>
      <c r="C103" s="146"/>
      <c r="D103" s="146"/>
      <c r="E103" s="171"/>
      <c r="F103" s="146"/>
      <c r="G103" s="146"/>
      <c r="H103" s="146"/>
      <c r="I103" s="146"/>
      <c r="J103" s="146"/>
      <c r="K103" s="175"/>
      <c r="L103" s="175"/>
      <c r="M103" s="175"/>
      <c r="N103" s="175"/>
      <c r="O103" s="170" t="str">
        <f aca="false">IF($A103="","",IFERROR(VLOOKUP($J103,Controls!$H$33:$I$36,2,FALSE()),1))</f>
        <v/>
      </c>
      <c r="P103" s="94" t="str">
        <f aca="false">IF($A103="","",$K103*$O103)</f>
        <v/>
      </c>
      <c r="Q103" s="94" t="str">
        <f aca="false">IF($A103="","",$L103*$O103)</f>
        <v/>
      </c>
      <c r="R103" s="94" t="str">
        <f aca="false">IF($A103="","",$M103*$O103)</f>
        <v/>
      </c>
      <c r="S103" s="94" t="str">
        <f aca="false">IF($A103="","",$N103*$O103)</f>
        <v/>
      </c>
      <c r="T103" s="94" t="str">
        <f aca="false">IF($A103="","",$P103-$Q103-$R103-$S103)</f>
        <v/>
      </c>
      <c r="U103" s="171"/>
      <c r="V103" s="172"/>
      <c r="W103" s="94" t="str">
        <f aca="false">IF($A103="","",$T103*$V103)</f>
        <v/>
      </c>
    </row>
    <row r="104" customFormat="false" ht="13.5" hidden="false" customHeight="false" outlineLevel="0" collapsed="false">
      <c r="A104" s="146"/>
      <c r="B104" s="146"/>
      <c r="C104" s="146"/>
      <c r="D104" s="146"/>
      <c r="E104" s="171"/>
      <c r="F104" s="146"/>
      <c r="G104" s="146"/>
      <c r="H104" s="146"/>
      <c r="I104" s="146"/>
      <c r="J104" s="146"/>
      <c r="K104" s="175"/>
      <c r="L104" s="175"/>
      <c r="M104" s="175"/>
      <c r="N104" s="175"/>
      <c r="O104" s="170" t="str">
        <f aca="false">IF($A104="","",IFERROR(VLOOKUP($J104,Controls!$H$33:$I$36,2,FALSE()),1))</f>
        <v/>
      </c>
      <c r="P104" s="94" t="str">
        <f aca="false">IF($A104="","",$K104*$O104)</f>
        <v/>
      </c>
      <c r="Q104" s="94" t="str">
        <f aca="false">IF($A104="","",$L104*$O104)</f>
        <v/>
      </c>
      <c r="R104" s="94" t="str">
        <f aca="false">IF($A104="","",$M104*$O104)</f>
        <v/>
      </c>
      <c r="S104" s="94" t="str">
        <f aca="false">IF($A104="","",$N104*$O104)</f>
        <v/>
      </c>
      <c r="T104" s="94" t="str">
        <f aca="false">IF($A104="","",$P104-$Q104-$R104-$S104)</f>
        <v/>
      </c>
      <c r="U104" s="171"/>
      <c r="V104" s="172"/>
      <c r="W104" s="94" t="str">
        <f aca="false">IF($A104="","",$T104*$V104)</f>
        <v/>
      </c>
    </row>
    <row r="105" customFormat="false" ht="13.5" hidden="false" customHeight="false" outlineLevel="0" collapsed="false">
      <c r="A105" s="146"/>
      <c r="B105" s="146"/>
      <c r="C105" s="146"/>
      <c r="D105" s="146"/>
      <c r="E105" s="171"/>
      <c r="F105" s="146"/>
      <c r="G105" s="146"/>
      <c r="H105" s="146"/>
      <c r="I105" s="146"/>
      <c r="J105" s="146"/>
      <c r="K105" s="175"/>
      <c r="L105" s="175"/>
      <c r="M105" s="175"/>
      <c r="N105" s="175"/>
      <c r="O105" s="170" t="str">
        <f aca="false">IF($A105="","",IFERROR(VLOOKUP($J105,Controls!$H$33:$I$36,2,FALSE()),1))</f>
        <v/>
      </c>
      <c r="P105" s="94" t="str">
        <f aca="false">IF($A105="","",$K105*$O105)</f>
        <v/>
      </c>
      <c r="Q105" s="94" t="str">
        <f aca="false">IF($A105="","",$L105*$O105)</f>
        <v/>
      </c>
      <c r="R105" s="94" t="str">
        <f aca="false">IF($A105="","",$M105*$O105)</f>
        <v/>
      </c>
      <c r="S105" s="94" t="str">
        <f aca="false">IF($A105="","",$N105*$O105)</f>
        <v/>
      </c>
      <c r="T105" s="94" t="str">
        <f aca="false">IF($A105="","",$P105-$Q105-$R105-$S105)</f>
        <v/>
      </c>
      <c r="U105" s="171"/>
      <c r="V105" s="172"/>
      <c r="W105" s="94" t="str">
        <f aca="false">IF($A105="","",$T105*$V105)</f>
        <v/>
      </c>
    </row>
    <row r="106" customFormat="false" ht="13.5" hidden="false" customHeight="false" outlineLevel="0" collapsed="false">
      <c r="A106" s="146"/>
      <c r="B106" s="146"/>
      <c r="C106" s="146"/>
      <c r="D106" s="146"/>
      <c r="E106" s="171"/>
      <c r="F106" s="146"/>
      <c r="G106" s="146"/>
      <c r="H106" s="146"/>
      <c r="I106" s="146"/>
      <c r="J106" s="146"/>
      <c r="K106" s="175"/>
      <c r="L106" s="175"/>
      <c r="M106" s="175"/>
      <c r="N106" s="175"/>
      <c r="O106" s="170" t="str">
        <f aca="false">IF($A106="","",IFERROR(VLOOKUP($J106,Controls!$H$33:$I$36,2,FALSE()),1))</f>
        <v/>
      </c>
      <c r="P106" s="94" t="str">
        <f aca="false">IF($A106="","",$K106*$O106)</f>
        <v/>
      </c>
      <c r="Q106" s="94" t="str">
        <f aca="false">IF($A106="","",$L106*$O106)</f>
        <v/>
      </c>
      <c r="R106" s="94" t="str">
        <f aca="false">IF($A106="","",$M106*$O106)</f>
        <v/>
      </c>
      <c r="S106" s="94" t="str">
        <f aca="false">IF($A106="","",$N106*$O106)</f>
        <v/>
      </c>
      <c r="T106" s="94" t="str">
        <f aca="false">IF($A106="","",$P106-$Q106-$R106-$S106)</f>
        <v/>
      </c>
      <c r="U106" s="171"/>
      <c r="V106" s="172"/>
      <c r="W106" s="94" t="str">
        <f aca="false">IF($A106="","",$T106*$V106)</f>
        <v/>
      </c>
    </row>
    <row r="107" customFormat="false" ht="13.5" hidden="false" customHeight="false" outlineLevel="0" collapsed="false">
      <c r="A107" s="146"/>
      <c r="B107" s="146"/>
      <c r="C107" s="146"/>
      <c r="D107" s="146"/>
      <c r="E107" s="171"/>
      <c r="F107" s="146"/>
      <c r="G107" s="146"/>
      <c r="H107" s="146"/>
      <c r="I107" s="146"/>
      <c r="J107" s="146"/>
      <c r="K107" s="175"/>
      <c r="L107" s="175"/>
      <c r="M107" s="175"/>
      <c r="N107" s="175"/>
      <c r="O107" s="170" t="str">
        <f aca="false">IF($A107="","",IFERROR(VLOOKUP($J107,Controls!$H$33:$I$36,2,FALSE()),1))</f>
        <v/>
      </c>
      <c r="P107" s="94" t="str">
        <f aca="false">IF($A107="","",$K107*$O107)</f>
        <v/>
      </c>
      <c r="Q107" s="94" t="str">
        <f aca="false">IF($A107="","",$L107*$O107)</f>
        <v/>
      </c>
      <c r="R107" s="94" t="str">
        <f aca="false">IF($A107="","",$M107*$O107)</f>
        <v/>
      </c>
      <c r="S107" s="94" t="str">
        <f aca="false">IF($A107="","",$N107*$O107)</f>
        <v/>
      </c>
      <c r="T107" s="94" t="str">
        <f aca="false">IF($A107="","",$P107-$Q107-$R107-$S107)</f>
        <v/>
      </c>
      <c r="U107" s="171"/>
      <c r="V107" s="172"/>
      <c r="W107" s="94" t="str">
        <f aca="false">IF($A107="","",$T107*$V107)</f>
        <v/>
      </c>
    </row>
    <row r="108" customFormat="false" ht="13.5" hidden="false" customHeight="false" outlineLevel="0" collapsed="false">
      <c r="A108" s="146"/>
      <c r="B108" s="146"/>
      <c r="C108" s="146"/>
      <c r="D108" s="146"/>
      <c r="E108" s="171"/>
      <c r="F108" s="146"/>
      <c r="G108" s="146"/>
      <c r="H108" s="146"/>
      <c r="I108" s="146"/>
      <c r="J108" s="146"/>
      <c r="K108" s="175"/>
      <c r="L108" s="175"/>
      <c r="M108" s="175"/>
      <c r="N108" s="175"/>
      <c r="O108" s="170" t="str">
        <f aca="false">IF($A108="","",IFERROR(VLOOKUP($J108,Controls!$H$33:$I$36,2,FALSE()),1))</f>
        <v/>
      </c>
      <c r="P108" s="94" t="str">
        <f aca="false">IF($A108="","",$K108*$O108)</f>
        <v/>
      </c>
      <c r="Q108" s="94" t="str">
        <f aca="false">IF($A108="","",$L108*$O108)</f>
        <v/>
      </c>
      <c r="R108" s="94" t="str">
        <f aca="false">IF($A108="","",$M108*$O108)</f>
        <v/>
      </c>
      <c r="S108" s="94" t="str">
        <f aca="false">IF($A108="","",$N108*$O108)</f>
        <v/>
      </c>
      <c r="T108" s="94" t="str">
        <f aca="false">IF($A108="","",$P108-$Q108-$R108-$S108)</f>
        <v/>
      </c>
      <c r="U108" s="171"/>
      <c r="V108" s="172"/>
      <c r="W108" s="94" t="str">
        <f aca="false">IF($A108="","",$T108*$V108)</f>
        <v/>
      </c>
    </row>
    <row r="109" customFormat="false" ht="13.5" hidden="false" customHeight="false" outlineLevel="0" collapsed="false">
      <c r="A109" s="146"/>
      <c r="B109" s="146"/>
      <c r="C109" s="146"/>
      <c r="D109" s="146"/>
      <c r="E109" s="171"/>
      <c r="F109" s="146"/>
      <c r="G109" s="146"/>
      <c r="H109" s="146"/>
      <c r="I109" s="146"/>
      <c r="J109" s="146"/>
      <c r="K109" s="175"/>
      <c r="L109" s="175"/>
      <c r="M109" s="175"/>
      <c r="N109" s="175"/>
      <c r="O109" s="170" t="str">
        <f aca="false">IF($A109="","",IFERROR(VLOOKUP($J109,Controls!$H$33:$I$36,2,FALSE()),1))</f>
        <v/>
      </c>
      <c r="P109" s="94" t="str">
        <f aca="false">IF($A109="","",$K109*$O109)</f>
        <v/>
      </c>
      <c r="Q109" s="94" t="str">
        <f aca="false">IF($A109="","",$L109*$O109)</f>
        <v/>
      </c>
      <c r="R109" s="94" t="str">
        <f aca="false">IF($A109="","",$M109*$O109)</f>
        <v/>
      </c>
      <c r="S109" s="94" t="str">
        <f aca="false">IF($A109="","",$N109*$O109)</f>
        <v/>
      </c>
      <c r="T109" s="94" t="str">
        <f aca="false">IF($A109="","",$P109-$Q109-$R109-$S109)</f>
        <v/>
      </c>
      <c r="U109" s="171"/>
      <c r="V109" s="172"/>
      <c r="W109" s="94" t="str">
        <f aca="false">IF($A109="","",$T109*$V109)</f>
        <v/>
      </c>
    </row>
    <row r="110" customFormat="false" ht="13.5" hidden="false" customHeight="false" outlineLevel="0" collapsed="false">
      <c r="A110" s="146"/>
      <c r="B110" s="146"/>
      <c r="C110" s="146"/>
      <c r="D110" s="146"/>
      <c r="E110" s="171"/>
      <c r="F110" s="146"/>
      <c r="G110" s="146"/>
      <c r="H110" s="146"/>
      <c r="I110" s="146"/>
      <c r="J110" s="146"/>
      <c r="K110" s="175"/>
      <c r="L110" s="175"/>
      <c r="M110" s="175"/>
      <c r="N110" s="175"/>
      <c r="O110" s="170" t="str">
        <f aca="false">IF($A110="","",IFERROR(VLOOKUP($J110,Controls!$H$33:$I$36,2,FALSE()),1))</f>
        <v/>
      </c>
      <c r="P110" s="94" t="str">
        <f aca="false">IF($A110="","",$K110*$O110)</f>
        <v/>
      </c>
      <c r="Q110" s="94" t="str">
        <f aca="false">IF($A110="","",$L110*$O110)</f>
        <v/>
      </c>
      <c r="R110" s="94" t="str">
        <f aca="false">IF($A110="","",$M110*$O110)</f>
        <v/>
      </c>
      <c r="S110" s="94" t="str">
        <f aca="false">IF($A110="","",$N110*$O110)</f>
        <v/>
      </c>
      <c r="T110" s="94" t="str">
        <f aca="false">IF($A110="","",$P110-$Q110-$R110-$S110)</f>
        <v/>
      </c>
      <c r="U110" s="171"/>
      <c r="V110" s="172"/>
      <c r="W110" s="94" t="str">
        <f aca="false">IF($A110="","",$T110*$V110)</f>
        <v/>
      </c>
    </row>
    <row r="111" customFormat="false" ht="13.5" hidden="false" customHeight="false" outlineLevel="0" collapsed="false">
      <c r="A111" s="146"/>
      <c r="B111" s="146"/>
      <c r="C111" s="146"/>
      <c r="D111" s="146"/>
      <c r="E111" s="171"/>
      <c r="F111" s="146"/>
      <c r="G111" s="146"/>
      <c r="H111" s="146"/>
      <c r="I111" s="146"/>
      <c r="J111" s="146"/>
      <c r="K111" s="175"/>
      <c r="L111" s="175"/>
      <c r="M111" s="175"/>
      <c r="N111" s="175"/>
      <c r="O111" s="170" t="str">
        <f aca="false">IF($A111="","",IFERROR(VLOOKUP($J111,Controls!$H$33:$I$36,2,FALSE()),1))</f>
        <v/>
      </c>
      <c r="P111" s="94" t="str">
        <f aca="false">IF($A111="","",$K111*$O111)</f>
        <v/>
      </c>
      <c r="Q111" s="94" t="str">
        <f aca="false">IF($A111="","",$L111*$O111)</f>
        <v/>
      </c>
      <c r="R111" s="94" t="str">
        <f aca="false">IF($A111="","",$M111*$O111)</f>
        <v/>
      </c>
      <c r="S111" s="94" t="str">
        <f aca="false">IF($A111="","",$N111*$O111)</f>
        <v/>
      </c>
      <c r="T111" s="94" t="str">
        <f aca="false">IF($A111="","",$P111-$Q111-$R111-$S111)</f>
        <v/>
      </c>
      <c r="U111" s="171"/>
      <c r="V111" s="172"/>
      <c r="W111" s="94" t="str">
        <f aca="false">IF($A111="","",$T111*$V111)</f>
        <v/>
      </c>
    </row>
    <row r="112" customFormat="false" ht="13.5" hidden="false" customHeight="false" outlineLevel="0" collapsed="false">
      <c r="A112" s="146"/>
      <c r="B112" s="146"/>
      <c r="C112" s="146"/>
      <c r="D112" s="146"/>
      <c r="E112" s="171"/>
      <c r="F112" s="146"/>
      <c r="G112" s="146"/>
      <c r="H112" s="146"/>
      <c r="I112" s="146"/>
      <c r="J112" s="146"/>
      <c r="K112" s="175"/>
      <c r="L112" s="175"/>
      <c r="M112" s="175"/>
      <c r="N112" s="175"/>
      <c r="O112" s="170" t="str">
        <f aca="false">IF($A112="","",IFERROR(VLOOKUP($J112,Controls!$H$33:$I$36,2,FALSE()),1))</f>
        <v/>
      </c>
      <c r="P112" s="94" t="str">
        <f aca="false">IF($A112="","",$K112*$O112)</f>
        <v/>
      </c>
      <c r="Q112" s="94" t="str">
        <f aca="false">IF($A112="","",$L112*$O112)</f>
        <v/>
      </c>
      <c r="R112" s="94" t="str">
        <f aca="false">IF($A112="","",$M112*$O112)</f>
        <v/>
      </c>
      <c r="S112" s="94" t="str">
        <f aca="false">IF($A112="","",$N112*$O112)</f>
        <v/>
      </c>
      <c r="T112" s="94" t="str">
        <f aca="false">IF($A112="","",$P112-$Q112-$R112-$S112)</f>
        <v/>
      </c>
      <c r="U112" s="171"/>
      <c r="V112" s="172"/>
      <c r="W112" s="94" t="str">
        <f aca="false">IF($A112="","",$T112*$V112)</f>
        <v/>
      </c>
    </row>
    <row r="113" customFormat="false" ht="13.5" hidden="false" customHeight="false" outlineLevel="0" collapsed="false">
      <c r="A113" s="146"/>
      <c r="B113" s="146"/>
      <c r="C113" s="146"/>
      <c r="D113" s="146"/>
      <c r="E113" s="171"/>
      <c r="F113" s="146"/>
      <c r="G113" s="146"/>
      <c r="H113" s="146"/>
      <c r="I113" s="146"/>
      <c r="J113" s="146"/>
      <c r="K113" s="175"/>
      <c r="L113" s="175"/>
      <c r="M113" s="175"/>
      <c r="N113" s="175"/>
      <c r="O113" s="170" t="str">
        <f aca="false">IF($A113="","",IFERROR(VLOOKUP($J113,Controls!$H$33:$I$36,2,FALSE()),1))</f>
        <v/>
      </c>
      <c r="P113" s="94" t="str">
        <f aca="false">IF($A113="","",$K113*$O113)</f>
        <v/>
      </c>
      <c r="Q113" s="94" t="str">
        <f aca="false">IF($A113="","",$L113*$O113)</f>
        <v/>
      </c>
      <c r="R113" s="94" t="str">
        <f aca="false">IF($A113="","",$M113*$O113)</f>
        <v/>
      </c>
      <c r="S113" s="94" t="str">
        <f aca="false">IF($A113="","",$N113*$O113)</f>
        <v/>
      </c>
      <c r="T113" s="94" t="str">
        <f aca="false">IF($A113="","",$P113-$Q113-$R113-$S113)</f>
        <v/>
      </c>
      <c r="U113" s="171"/>
      <c r="V113" s="172"/>
      <c r="W113" s="94" t="str">
        <f aca="false">IF($A113="","",$T113*$V113)</f>
        <v/>
      </c>
    </row>
    <row r="114" customFormat="false" ht="13.5" hidden="false" customHeight="false" outlineLevel="0" collapsed="false">
      <c r="A114" s="146"/>
      <c r="B114" s="146"/>
      <c r="C114" s="146"/>
      <c r="D114" s="146"/>
      <c r="E114" s="171"/>
      <c r="F114" s="146"/>
      <c r="G114" s="146"/>
      <c r="H114" s="146"/>
      <c r="I114" s="146"/>
      <c r="J114" s="146"/>
      <c r="K114" s="175"/>
      <c r="L114" s="175"/>
      <c r="M114" s="175"/>
      <c r="N114" s="175"/>
      <c r="O114" s="170" t="str">
        <f aca="false">IF($A114="","",IFERROR(VLOOKUP($J114,Controls!$H$33:$I$36,2,FALSE()),1))</f>
        <v/>
      </c>
      <c r="P114" s="94" t="str">
        <f aca="false">IF($A114="","",$K114*$O114)</f>
        <v/>
      </c>
      <c r="Q114" s="94" t="str">
        <f aca="false">IF($A114="","",$L114*$O114)</f>
        <v/>
      </c>
      <c r="R114" s="94" t="str">
        <f aca="false">IF($A114="","",$M114*$O114)</f>
        <v/>
      </c>
      <c r="S114" s="94" t="str">
        <f aca="false">IF($A114="","",$N114*$O114)</f>
        <v/>
      </c>
      <c r="T114" s="94" t="str">
        <f aca="false">IF($A114="","",$P114-$Q114-$R114-$S114)</f>
        <v/>
      </c>
      <c r="U114" s="171"/>
      <c r="V114" s="172"/>
      <c r="W114" s="94" t="str">
        <f aca="false">IF($A114="","",$T114*$V114)</f>
        <v/>
      </c>
    </row>
    <row r="115" customFormat="false" ht="13.5" hidden="false" customHeight="false" outlineLevel="0" collapsed="false">
      <c r="A115" s="146"/>
      <c r="B115" s="146"/>
      <c r="C115" s="146"/>
      <c r="D115" s="146"/>
      <c r="E115" s="171"/>
      <c r="F115" s="146"/>
      <c r="G115" s="146"/>
      <c r="H115" s="146"/>
      <c r="I115" s="146"/>
      <c r="J115" s="146"/>
      <c r="K115" s="175"/>
      <c r="L115" s="175"/>
      <c r="M115" s="175"/>
      <c r="N115" s="175"/>
      <c r="O115" s="170" t="str">
        <f aca="false">IF($A115="","",IFERROR(VLOOKUP($J115,Controls!$H$33:$I$36,2,FALSE()),1))</f>
        <v/>
      </c>
      <c r="P115" s="94" t="str">
        <f aca="false">IF($A115="","",$K115*$O115)</f>
        <v/>
      </c>
      <c r="Q115" s="94" t="str">
        <f aca="false">IF($A115="","",$L115*$O115)</f>
        <v/>
      </c>
      <c r="R115" s="94" t="str">
        <f aca="false">IF($A115="","",$M115*$O115)</f>
        <v/>
      </c>
      <c r="S115" s="94" t="str">
        <f aca="false">IF($A115="","",$N115*$O115)</f>
        <v/>
      </c>
      <c r="T115" s="94" t="str">
        <f aca="false">IF($A115="","",$P115-$Q115-$R115-$S115)</f>
        <v/>
      </c>
      <c r="U115" s="171"/>
      <c r="V115" s="172"/>
      <c r="W115" s="94" t="str">
        <f aca="false">IF($A115="","",$T115*$V115)</f>
        <v/>
      </c>
    </row>
    <row r="116" customFormat="false" ht="13.5" hidden="false" customHeight="false" outlineLevel="0" collapsed="false">
      <c r="A116" s="146"/>
      <c r="B116" s="146"/>
      <c r="C116" s="146"/>
      <c r="D116" s="146"/>
      <c r="E116" s="171"/>
      <c r="F116" s="146"/>
      <c r="G116" s="146"/>
      <c r="H116" s="146"/>
      <c r="I116" s="146"/>
      <c r="J116" s="146"/>
      <c r="K116" s="175"/>
      <c r="L116" s="175"/>
      <c r="M116" s="175"/>
      <c r="N116" s="175"/>
      <c r="O116" s="170" t="str">
        <f aca="false">IF($A116="","",IFERROR(VLOOKUP($J116,Controls!$H$33:$I$36,2,FALSE()),1))</f>
        <v/>
      </c>
      <c r="P116" s="94" t="str">
        <f aca="false">IF($A116="","",$K116*$O116)</f>
        <v/>
      </c>
      <c r="Q116" s="94" t="str">
        <f aca="false">IF($A116="","",$L116*$O116)</f>
        <v/>
      </c>
      <c r="R116" s="94" t="str">
        <f aca="false">IF($A116="","",$M116*$O116)</f>
        <v/>
      </c>
      <c r="S116" s="94" t="str">
        <f aca="false">IF($A116="","",$N116*$O116)</f>
        <v/>
      </c>
      <c r="T116" s="94" t="str">
        <f aca="false">IF($A116="","",$P116-$Q116-$R116-$S116)</f>
        <v/>
      </c>
      <c r="U116" s="171"/>
      <c r="V116" s="172"/>
      <c r="W116" s="94" t="str">
        <f aca="false">IF($A116="","",$T116*$V116)</f>
        <v/>
      </c>
    </row>
    <row r="117" customFormat="false" ht="13.5" hidden="false" customHeight="false" outlineLevel="0" collapsed="false">
      <c r="A117" s="146"/>
      <c r="B117" s="146"/>
      <c r="C117" s="146"/>
      <c r="D117" s="146"/>
      <c r="E117" s="171"/>
      <c r="F117" s="146"/>
      <c r="G117" s="146"/>
      <c r="H117" s="146"/>
      <c r="I117" s="146"/>
      <c r="J117" s="146"/>
      <c r="K117" s="175"/>
      <c r="L117" s="175"/>
      <c r="M117" s="175"/>
      <c r="N117" s="175"/>
      <c r="O117" s="170" t="str">
        <f aca="false">IF($A117="","",IFERROR(VLOOKUP($J117,Controls!$H$33:$I$36,2,FALSE()),1))</f>
        <v/>
      </c>
      <c r="P117" s="94" t="str">
        <f aca="false">IF($A117="","",$K117*$O117)</f>
        <v/>
      </c>
      <c r="Q117" s="94" t="str">
        <f aca="false">IF($A117="","",$L117*$O117)</f>
        <v/>
      </c>
      <c r="R117" s="94" t="str">
        <f aca="false">IF($A117="","",$M117*$O117)</f>
        <v/>
      </c>
      <c r="S117" s="94" t="str">
        <f aca="false">IF($A117="","",$N117*$O117)</f>
        <v/>
      </c>
      <c r="T117" s="94" t="str">
        <f aca="false">IF($A117="","",$P117-$Q117-$R117-$S117)</f>
        <v/>
      </c>
      <c r="U117" s="171"/>
      <c r="V117" s="172"/>
      <c r="W117" s="94" t="str">
        <f aca="false">IF($A117="","",$T117*$V117)</f>
        <v/>
      </c>
    </row>
    <row r="118" customFormat="false" ht="13.5" hidden="false" customHeight="false" outlineLevel="0" collapsed="false">
      <c r="A118" s="146"/>
      <c r="B118" s="146"/>
      <c r="C118" s="146"/>
      <c r="D118" s="146"/>
      <c r="E118" s="171"/>
      <c r="F118" s="146"/>
      <c r="G118" s="146"/>
      <c r="H118" s="146"/>
      <c r="I118" s="146"/>
      <c r="J118" s="146"/>
      <c r="K118" s="175"/>
      <c r="L118" s="175"/>
      <c r="M118" s="175"/>
      <c r="N118" s="175"/>
      <c r="O118" s="170" t="str">
        <f aca="false">IF($A118="","",IFERROR(VLOOKUP($J118,Controls!$H$33:$I$36,2,FALSE()),1))</f>
        <v/>
      </c>
      <c r="P118" s="94" t="str">
        <f aca="false">IF($A118="","",$K118*$O118)</f>
        <v/>
      </c>
      <c r="Q118" s="94" t="str">
        <f aca="false">IF($A118="","",$L118*$O118)</f>
        <v/>
      </c>
      <c r="R118" s="94" t="str">
        <f aca="false">IF($A118="","",$M118*$O118)</f>
        <v/>
      </c>
      <c r="S118" s="94" t="str">
        <f aca="false">IF($A118="","",$N118*$O118)</f>
        <v/>
      </c>
      <c r="T118" s="94" t="str">
        <f aca="false">IF($A118="","",$P118-$Q118-$R118-$S118)</f>
        <v/>
      </c>
      <c r="U118" s="171"/>
      <c r="V118" s="172"/>
      <c r="W118" s="94" t="str">
        <f aca="false">IF($A118="","",$T118*$V118)</f>
        <v/>
      </c>
    </row>
    <row r="119" customFormat="false" ht="13.5" hidden="false" customHeight="false" outlineLevel="0" collapsed="false">
      <c r="A119" s="146"/>
      <c r="B119" s="146"/>
      <c r="C119" s="146"/>
      <c r="D119" s="146"/>
      <c r="E119" s="171"/>
      <c r="F119" s="146"/>
      <c r="G119" s="146"/>
      <c r="H119" s="146"/>
      <c r="I119" s="146"/>
      <c r="J119" s="146"/>
      <c r="K119" s="175"/>
      <c r="L119" s="175"/>
      <c r="M119" s="175"/>
      <c r="N119" s="175"/>
      <c r="O119" s="170" t="str">
        <f aca="false">IF($A119="","",IFERROR(VLOOKUP($J119,Controls!$H$33:$I$36,2,FALSE()),1))</f>
        <v/>
      </c>
      <c r="P119" s="94" t="str">
        <f aca="false">IF($A119="","",$K119*$O119)</f>
        <v/>
      </c>
      <c r="Q119" s="94" t="str">
        <f aca="false">IF($A119="","",$L119*$O119)</f>
        <v/>
      </c>
      <c r="R119" s="94" t="str">
        <f aca="false">IF($A119="","",$M119*$O119)</f>
        <v/>
      </c>
      <c r="S119" s="94" t="str">
        <f aca="false">IF($A119="","",$N119*$O119)</f>
        <v/>
      </c>
      <c r="T119" s="94" t="str">
        <f aca="false">IF($A119="","",$P119-$Q119-$R119-$S119)</f>
        <v/>
      </c>
      <c r="U119" s="171"/>
      <c r="V119" s="172"/>
      <c r="W119" s="94" t="str">
        <f aca="false">IF($A119="","",$T119*$V119)</f>
        <v/>
      </c>
    </row>
    <row r="120" customFormat="false" ht="13.5" hidden="false" customHeight="false" outlineLevel="0" collapsed="false">
      <c r="A120" s="146"/>
      <c r="B120" s="146"/>
      <c r="C120" s="146"/>
      <c r="D120" s="146"/>
      <c r="E120" s="171"/>
      <c r="F120" s="146"/>
      <c r="G120" s="146"/>
      <c r="H120" s="146"/>
      <c r="I120" s="146"/>
      <c r="J120" s="146"/>
      <c r="K120" s="175"/>
      <c r="L120" s="175"/>
      <c r="M120" s="175"/>
      <c r="N120" s="175"/>
      <c r="O120" s="170" t="str">
        <f aca="false">IF($A120="","",IFERROR(VLOOKUP($J120,Controls!$H$33:$I$36,2,FALSE()),1))</f>
        <v/>
      </c>
      <c r="P120" s="94" t="str">
        <f aca="false">IF($A120="","",$K120*$O120)</f>
        <v/>
      </c>
      <c r="Q120" s="94" t="str">
        <f aca="false">IF($A120="","",$L120*$O120)</f>
        <v/>
      </c>
      <c r="R120" s="94" t="str">
        <f aca="false">IF($A120="","",$M120*$O120)</f>
        <v/>
      </c>
      <c r="S120" s="94" t="str">
        <f aca="false">IF($A120="","",$N120*$O120)</f>
        <v/>
      </c>
      <c r="T120" s="94" t="str">
        <f aca="false">IF($A120="","",$P120-$Q120-$R120-$S120)</f>
        <v/>
      </c>
      <c r="U120" s="171"/>
      <c r="V120" s="172"/>
      <c r="W120" s="94" t="str">
        <f aca="false">IF($A120="","",$T120*$V120)</f>
        <v/>
      </c>
    </row>
    <row r="121" customFormat="false" ht="13.5" hidden="false" customHeight="false" outlineLevel="0" collapsed="false">
      <c r="A121" s="146"/>
      <c r="B121" s="146"/>
      <c r="C121" s="146"/>
      <c r="D121" s="146"/>
      <c r="E121" s="171"/>
      <c r="F121" s="146"/>
      <c r="G121" s="146"/>
      <c r="H121" s="146"/>
      <c r="I121" s="146"/>
      <c r="J121" s="146"/>
      <c r="K121" s="175"/>
      <c r="L121" s="175"/>
      <c r="M121" s="175"/>
      <c r="N121" s="175"/>
      <c r="O121" s="170" t="str">
        <f aca="false">IF($A121="","",IFERROR(VLOOKUP($J121,Controls!$H$33:$I$36,2,FALSE()),1))</f>
        <v/>
      </c>
      <c r="P121" s="94" t="str">
        <f aca="false">IF($A121="","",$K121*$O121)</f>
        <v/>
      </c>
      <c r="Q121" s="94" t="str">
        <f aca="false">IF($A121="","",$L121*$O121)</f>
        <v/>
      </c>
      <c r="R121" s="94" t="str">
        <f aca="false">IF($A121="","",$M121*$O121)</f>
        <v/>
      </c>
      <c r="S121" s="94" t="str">
        <f aca="false">IF($A121="","",$N121*$O121)</f>
        <v/>
      </c>
      <c r="T121" s="94" t="str">
        <f aca="false">IF($A121="","",$P121-$Q121-$R121-$S121)</f>
        <v/>
      </c>
      <c r="U121" s="171"/>
      <c r="V121" s="172"/>
      <c r="W121" s="94" t="str">
        <f aca="false">IF($A121="","",$T121*$V121)</f>
        <v/>
      </c>
    </row>
    <row r="122" customFormat="false" ht="13.5" hidden="false" customHeight="false" outlineLevel="0" collapsed="false">
      <c r="A122" s="146"/>
      <c r="B122" s="146"/>
      <c r="C122" s="146"/>
      <c r="D122" s="146"/>
      <c r="E122" s="171"/>
      <c r="F122" s="146"/>
      <c r="G122" s="146"/>
      <c r="H122" s="146"/>
      <c r="I122" s="146"/>
      <c r="J122" s="146"/>
      <c r="K122" s="175"/>
      <c r="L122" s="175"/>
      <c r="M122" s="175"/>
      <c r="N122" s="175"/>
      <c r="O122" s="170" t="str">
        <f aca="false">IF($A122="","",IFERROR(VLOOKUP($J122,Controls!$H$33:$I$36,2,FALSE()),1))</f>
        <v/>
      </c>
      <c r="P122" s="94" t="str">
        <f aca="false">IF($A122="","",$K122*$O122)</f>
        <v/>
      </c>
      <c r="Q122" s="94" t="str">
        <f aca="false">IF($A122="","",$L122*$O122)</f>
        <v/>
      </c>
      <c r="R122" s="94" t="str">
        <f aca="false">IF($A122="","",$M122*$O122)</f>
        <v/>
      </c>
      <c r="S122" s="94" t="str">
        <f aca="false">IF($A122="","",$N122*$O122)</f>
        <v/>
      </c>
      <c r="T122" s="94" t="str">
        <f aca="false">IF($A122="","",$P122-$Q122-$R122-$S122)</f>
        <v/>
      </c>
      <c r="U122" s="171"/>
      <c r="V122" s="172"/>
      <c r="W122" s="94" t="str">
        <f aca="false">IF($A122="","",$T122*$V122)</f>
        <v/>
      </c>
    </row>
    <row r="123" customFormat="false" ht="13.5" hidden="false" customHeight="false" outlineLevel="0" collapsed="false">
      <c r="A123" s="146"/>
      <c r="B123" s="146"/>
      <c r="C123" s="146"/>
      <c r="D123" s="146"/>
      <c r="E123" s="171"/>
      <c r="F123" s="146"/>
      <c r="G123" s="146"/>
      <c r="H123" s="146"/>
      <c r="I123" s="146"/>
      <c r="J123" s="146"/>
      <c r="K123" s="175"/>
      <c r="L123" s="175"/>
      <c r="M123" s="175"/>
      <c r="N123" s="175"/>
      <c r="O123" s="170" t="str">
        <f aca="false">IF($A123="","",IFERROR(VLOOKUP($J123,Controls!$H$33:$I$36,2,FALSE()),1))</f>
        <v/>
      </c>
      <c r="P123" s="94" t="str">
        <f aca="false">IF($A123="","",$K123*$O123)</f>
        <v/>
      </c>
      <c r="Q123" s="94" t="str">
        <f aca="false">IF($A123="","",$L123*$O123)</f>
        <v/>
      </c>
      <c r="R123" s="94" t="str">
        <f aca="false">IF($A123="","",$M123*$O123)</f>
        <v/>
      </c>
      <c r="S123" s="94" t="str">
        <f aca="false">IF($A123="","",$N123*$O123)</f>
        <v/>
      </c>
      <c r="T123" s="94" t="str">
        <f aca="false">IF($A123="","",$P123-$Q123-$R123-$S123)</f>
        <v/>
      </c>
      <c r="U123" s="171"/>
      <c r="V123" s="172"/>
      <c r="W123" s="94" t="str">
        <f aca="false">IF($A123="","",$T123*$V123)</f>
        <v/>
      </c>
    </row>
    <row r="124" customFormat="false" ht="13.5" hidden="false" customHeight="false" outlineLevel="0" collapsed="false">
      <c r="A124" s="146"/>
      <c r="B124" s="146"/>
      <c r="C124" s="146"/>
      <c r="D124" s="146"/>
      <c r="E124" s="171"/>
      <c r="F124" s="146"/>
      <c r="G124" s="146"/>
      <c r="H124" s="146"/>
      <c r="I124" s="146"/>
      <c r="J124" s="146"/>
      <c r="K124" s="175"/>
      <c r="L124" s="175"/>
      <c r="M124" s="175"/>
      <c r="N124" s="175"/>
      <c r="O124" s="170" t="str">
        <f aca="false">IF($A124="","",IFERROR(VLOOKUP($J124,Controls!$H$33:$I$36,2,FALSE()),1))</f>
        <v/>
      </c>
      <c r="P124" s="94" t="str">
        <f aca="false">IF($A124="","",$K124*$O124)</f>
        <v/>
      </c>
      <c r="Q124" s="94" t="str">
        <f aca="false">IF($A124="","",$L124*$O124)</f>
        <v/>
      </c>
      <c r="R124" s="94" t="str">
        <f aca="false">IF($A124="","",$M124*$O124)</f>
        <v/>
      </c>
      <c r="S124" s="94" t="str">
        <f aca="false">IF($A124="","",$N124*$O124)</f>
        <v/>
      </c>
      <c r="T124" s="94" t="str">
        <f aca="false">IF($A124="","",$P124-$Q124-$R124-$S124)</f>
        <v/>
      </c>
      <c r="U124" s="171"/>
      <c r="V124" s="172"/>
      <c r="W124" s="94" t="str">
        <f aca="false">IF($A124="","",$T124*$V124)</f>
        <v/>
      </c>
    </row>
    <row r="125" customFormat="false" ht="13.5" hidden="false" customHeight="false" outlineLevel="0" collapsed="false">
      <c r="A125" s="146"/>
      <c r="B125" s="146"/>
      <c r="C125" s="146"/>
      <c r="D125" s="146"/>
      <c r="E125" s="171"/>
      <c r="F125" s="146"/>
      <c r="G125" s="146"/>
      <c r="H125" s="146"/>
      <c r="I125" s="146"/>
      <c r="J125" s="146"/>
      <c r="K125" s="175"/>
      <c r="L125" s="175"/>
      <c r="M125" s="175"/>
      <c r="N125" s="175"/>
      <c r="O125" s="170" t="str">
        <f aca="false">IF($A125="","",IFERROR(VLOOKUP($J125,Controls!$H$33:$I$36,2,FALSE()),1))</f>
        <v/>
      </c>
      <c r="P125" s="94" t="str">
        <f aca="false">IF($A125="","",$K125*$O125)</f>
        <v/>
      </c>
      <c r="Q125" s="94" t="str">
        <f aca="false">IF($A125="","",$L125*$O125)</f>
        <v/>
      </c>
      <c r="R125" s="94" t="str">
        <f aca="false">IF($A125="","",$M125*$O125)</f>
        <v/>
      </c>
      <c r="S125" s="94" t="str">
        <f aca="false">IF($A125="","",$N125*$O125)</f>
        <v/>
      </c>
      <c r="T125" s="94" t="str">
        <f aca="false">IF($A125="","",$P125-$Q125-$R125-$S125)</f>
        <v/>
      </c>
      <c r="U125" s="171"/>
      <c r="V125" s="172"/>
      <c r="W125" s="94" t="str">
        <f aca="false">IF($A125="","",$T125*$V125)</f>
        <v/>
      </c>
    </row>
    <row r="126" customFormat="false" ht="13.5" hidden="false" customHeight="false" outlineLevel="0" collapsed="false">
      <c r="A126" s="146"/>
      <c r="B126" s="146"/>
      <c r="C126" s="146"/>
      <c r="D126" s="146"/>
      <c r="E126" s="171"/>
      <c r="F126" s="146"/>
      <c r="G126" s="146"/>
      <c r="H126" s="146"/>
      <c r="I126" s="146"/>
      <c r="J126" s="146"/>
      <c r="K126" s="175"/>
      <c r="L126" s="175"/>
      <c r="M126" s="175"/>
      <c r="N126" s="175"/>
      <c r="O126" s="170" t="str">
        <f aca="false">IF($A126="","",IFERROR(VLOOKUP($J126,Controls!$H$33:$I$36,2,FALSE()),1))</f>
        <v/>
      </c>
      <c r="P126" s="94" t="str">
        <f aca="false">IF($A126="","",$K126*$O126)</f>
        <v/>
      </c>
      <c r="Q126" s="94" t="str">
        <f aca="false">IF($A126="","",$L126*$O126)</f>
        <v/>
      </c>
      <c r="R126" s="94" t="str">
        <f aca="false">IF($A126="","",$M126*$O126)</f>
        <v/>
      </c>
      <c r="S126" s="94" t="str">
        <f aca="false">IF($A126="","",$N126*$O126)</f>
        <v/>
      </c>
      <c r="T126" s="94" t="str">
        <f aca="false">IF($A126="","",$P126-$Q126-$R126-$S126)</f>
        <v/>
      </c>
      <c r="U126" s="171"/>
      <c r="V126" s="172"/>
      <c r="W126" s="94" t="str">
        <f aca="false">IF($A126="","",$T126*$V126)</f>
        <v/>
      </c>
    </row>
    <row r="127" customFormat="false" ht="13.5" hidden="false" customHeight="false" outlineLevel="0" collapsed="false">
      <c r="A127" s="146"/>
      <c r="B127" s="146"/>
      <c r="C127" s="146"/>
      <c r="D127" s="146"/>
      <c r="E127" s="171"/>
      <c r="F127" s="146"/>
      <c r="G127" s="146"/>
      <c r="H127" s="146"/>
      <c r="I127" s="146"/>
      <c r="J127" s="146"/>
      <c r="K127" s="175"/>
      <c r="L127" s="175"/>
      <c r="M127" s="175"/>
      <c r="N127" s="175"/>
      <c r="O127" s="170" t="str">
        <f aca="false">IF($A127="","",IFERROR(VLOOKUP($J127,Controls!$H$33:$I$36,2,FALSE()),1))</f>
        <v/>
      </c>
      <c r="P127" s="94" t="str">
        <f aca="false">IF($A127="","",$K127*$O127)</f>
        <v/>
      </c>
      <c r="Q127" s="94" t="str">
        <f aca="false">IF($A127="","",$L127*$O127)</f>
        <v/>
      </c>
      <c r="R127" s="94" t="str">
        <f aca="false">IF($A127="","",$M127*$O127)</f>
        <v/>
      </c>
      <c r="S127" s="94" t="str">
        <f aca="false">IF($A127="","",$N127*$O127)</f>
        <v/>
      </c>
      <c r="T127" s="94" t="str">
        <f aca="false">IF($A127="","",$P127-$Q127-$R127-$S127)</f>
        <v/>
      </c>
      <c r="U127" s="171"/>
      <c r="V127" s="172"/>
      <c r="W127" s="94" t="str">
        <f aca="false">IF($A127="","",$T127*$V127)</f>
        <v/>
      </c>
    </row>
    <row r="128" customFormat="false" ht="13.5" hidden="false" customHeight="false" outlineLevel="0" collapsed="false">
      <c r="A128" s="146"/>
      <c r="B128" s="146"/>
      <c r="C128" s="146"/>
      <c r="D128" s="146"/>
      <c r="E128" s="171"/>
      <c r="F128" s="146"/>
      <c r="G128" s="146"/>
      <c r="H128" s="146"/>
      <c r="I128" s="146"/>
      <c r="J128" s="146"/>
      <c r="K128" s="175"/>
      <c r="L128" s="175"/>
      <c r="M128" s="175"/>
      <c r="N128" s="175"/>
      <c r="O128" s="170" t="str">
        <f aca="false">IF($A128="","",IFERROR(VLOOKUP($J128,Controls!$H$33:$I$36,2,FALSE()),1))</f>
        <v/>
      </c>
      <c r="P128" s="94" t="str">
        <f aca="false">IF($A128="","",$K128*$O128)</f>
        <v/>
      </c>
      <c r="Q128" s="94" t="str">
        <f aca="false">IF($A128="","",$L128*$O128)</f>
        <v/>
      </c>
      <c r="R128" s="94" t="str">
        <f aca="false">IF($A128="","",$M128*$O128)</f>
        <v/>
      </c>
      <c r="S128" s="94" t="str">
        <f aca="false">IF($A128="","",$N128*$O128)</f>
        <v/>
      </c>
      <c r="T128" s="94" t="str">
        <f aca="false">IF($A128="","",$P128-$Q128-$R128-$S128)</f>
        <v/>
      </c>
      <c r="U128" s="171"/>
      <c r="V128" s="172"/>
      <c r="W128" s="94" t="str">
        <f aca="false">IF($A128="","",$T128*$V128)</f>
        <v/>
      </c>
    </row>
    <row r="129" customFormat="false" ht="13.5" hidden="false" customHeight="false" outlineLevel="0" collapsed="false">
      <c r="A129" s="146"/>
      <c r="B129" s="146"/>
      <c r="C129" s="146"/>
      <c r="D129" s="146"/>
      <c r="E129" s="171"/>
      <c r="F129" s="146"/>
      <c r="G129" s="146"/>
      <c r="H129" s="146"/>
      <c r="I129" s="146"/>
      <c r="J129" s="146"/>
      <c r="K129" s="175"/>
      <c r="L129" s="175"/>
      <c r="M129" s="175"/>
      <c r="N129" s="175"/>
      <c r="O129" s="170" t="str">
        <f aca="false">IF($A129="","",IFERROR(VLOOKUP($J129,Controls!$H$33:$I$36,2,FALSE()),1))</f>
        <v/>
      </c>
      <c r="P129" s="94" t="str">
        <f aca="false">IF($A129="","",$K129*$O129)</f>
        <v/>
      </c>
      <c r="Q129" s="94" t="str">
        <f aca="false">IF($A129="","",$L129*$O129)</f>
        <v/>
      </c>
      <c r="R129" s="94" t="str">
        <f aca="false">IF($A129="","",$M129*$O129)</f>
        <v/>
      </c>
      <c r="S129" s="94" t="str">
        <f aca="false">IF($A129="","",$N129*$O129)</f>
        <v/>
      </c>
      <c r="T129" s="94" t="str">
        <f aca="false">IF($A129="","",$P129-$Q129-$R129-$S129)</f>
        <v/>
      </c>
      <c r="U129" s="171"/>
      <c r="V129" s="172"/>
      <c r="W129" s="94" t="str">
        <f aca="false">IF($A129="","",$T129*$V129)</f>
        <v/>
      </c>
    </row>
    <row r="130" customFormat="false" ht="13.5" hidden="false" customHeight="false" outlineLevel="0" collapsed="false">
      <c r="A130" s="146"/>
      <c r="B130" s="146"/>
      <c r="C130" s="146"/>
      <c r="D130" s="146"/>
      <c r="E130" s="171"/>
      <c r="F130" s="146"/>
      <c r="G130" s="146"/>
      <c r="H130" s="146"/>
      <c r="I130" s="146"/>
      <c r="J130" s="146"/>
      <c r="K130" s="175"/>
      <c r="L130" s="175"/>
      <c r="M130" s="175"/>
      <c r="N130" s="175"/>
      <c r="O130" s="170" t="str">
        <f aca="false">IF($A130="","",IFERROR(VLOOKUP($J130,Controls!$H$33:$I$36,2,FALSE()),1))</f>
        <v/>
      </c>
      <c r="P130" s="94" t="str">
        <f aca="false">IF($A130="","",$K130*$O130)</f>
        <v/>
      </c>
      <c r="Q130" s="94" t="str">
        <f aca="false">IF($A130="","",$L130*$O130)</f>
        <v/>
      </c>
      <c r="R130" s="94" t="str">
        <f aca="false">IF($A130="","",$M130*$O130)</f>
        <v/>
      </c>
      <c r="S130" s="94" t="str">
        <f aca="false">IF($A130="","",$N130*$O130)</f>
        <v/>
      </c>
      <c r="T130" s="94" t="str">
        <f aca="false">IF($A130="","",$P130-$Q130-$R130-$S130)</f>
        <v/>
      </c>
      <c r="U130" s="171"/>
      <c r="V130" s="172"/>
      <c r="W130" s="94" t="str">
        <f aca="false">IF($A130="","",$T130*$V130)</f>
        <v/>
      </c>
    </row>
    <row r="131" customFormat="false" ht="13.5" hidden="false" customHeight="false" outlineLevel="0" collapsed="false">
      <c r="A131" s="146"/>
      <c r="B131" s="146"/>
      <c r="C131" s="146"/>
      <c r="D131" s="146"/>
      <c r="E131" s="171"/>
      <c r="F131" s="146"/>
      <c r="G131" s="146"/>
      <c r="H131" s="146"/>
      <c r="I131" s="146"/>
      <c r="J131" s="146"/>
      <c r="K131" s="175"/>
      <c r="L131" s="175"/>
      <c r="M131" s="175"/>
      <c r="N131" s="175"/>
      <c r="O131" s="170" t="str">
        <f aca="false">IF($A131="","",IFERROR(VLOOKUP($J131,Controls!$H$33:$I$36,2,FALSE()),1))</f>
        <v/>
      </c>
      <c r="P131" s="94" t="str">
        <f aca="false">IF($A131="","",$K131*$O131)</f>
        <v/>
      </c>
      <c r="Q131" s="94" t="str">
        <f aca="false">IF($A131="","",$L131*$O131)</f>
        <v/>
      </c>
      <c r="R131" s="94" t="str">
        <f aca="false">IF($A131="","",$M131*$O131)</f>
        <v/>
      </c>
      <c r="S131" s="94" t="str">
        <f aca="false">IF($A131="","",$N131*$O131)</f>
        <v/>
      </c>
      <c r="T131" s="94" t="str">
        <f aca="false">IF($A131="","",$P131-$Q131-$R131-$S131)</f>
        <v/>
      </c>
      <c r="U131" s="171"/>
      <c r="V131" s="172"/>
      <c r="W131" s="94" t="str">
        <f aca="false">IF($A131="","",$T131*$V131)</f>
        <v/>
      </c>
    </row>
    <row r="132" customFormat="false" ht="13.5" hidden="false" customHeight="false" outlineLevel="0" collapsed="false">
      <c r="A132" s="146"/>
      <c r="B132" s="146"/>
      <c r="C132" s="146"/>
      <c r="D132" s="146"/>
      <c r="E132" s="171"/>
      <c r="F132" s="146"/>
      <c r="G132" s="146"/>
      <c r="H132" s="146"/>
      <c r="I132" s="146"/>
      <c r="J132" s="146"/>
      <c r="K132" s="175"/>
      <c r="L132" s="175"/>
      <c r="M132" s="175"/>
      <c r="N132" s="175"/>
      <c r="O132" s="170" t="str">
        <f aca="false">IF($A132="","",IFERROR(VLOOKUP($J132,Controls!$H$33:$I$36,2,FALSE()),1))</f>
        <v/>
      </c>
      <c r="P132" s="94" t="str">
        <f aca="false">IF($A132="","",$K132*$O132)</f>
        <v/>
      </c>
      <c r="Q132" s="94" t="str">
        <f aca="false">IF($A132="","",$L132*$O132)</f>
        <v/>
      </c>
      <c r="R132" s="94" t="str">
        <f aca="false">IF($A132="","",$M132*$O132)</f>
        <v/>
      </c>
      <c r="S132" s="94" t="str">
        <f aca="false">IF($A132="","",$N132*$O132)</f>
        <v/>
      </c>
      <c r="T132" s="94" t="str">
        <f aca="false">IF($A132="","",$P132-$Q132-$R132-$S132)</f>
        <v/>
      </c>
      <c r="U132" s="171"/>
      <c r="V132" s="172"/>
      <c r="W132" s="94" t="str">
        <f aca="false">IF($A132="","",$T132*$V132)</f>
        <v/>
      </c>
    </row>
    <row r="133" customFormat="false" ht="13.5" hidden="false" customHeight="false" outlineLevel="0" collapsed="false">
      <c r="A133" s="146"/>
      <c r="B133" s="146"/>
      <c r="C133" s="146"/>
      <c r="D133" s="146"/>
      <c r="E133" s="171"/>
      <c r="F133" s="146"/>
      <c r="G133" s="146"/>
      <c r="H133" s="146"/>
      <c r="I133" s="146"/>
      <c r="J133" s="146"/>
      <c r="K133" s="175"/>
      <c r="L133" s="175"/>
      <c r="M133" s="175"/>
      <c r="N133" s="175"/>
      <c r="O133" s="170" t="str">
        <f aca="false">IF($A133="","",IFERROR(VLOOKUP($J133,Controls!$H$33:$I$36,2,FALSE()),1))</f>
        <v/>
      </c>
      <c r="P133" s="94" t="str">
        <f aca="false">IF($A133="","",$K133*$O133)</f>
        <v/>
      </c>
      <c r="Q133" s="94" t="str">
        <f aca="false">IF($A133="","",$L133*$O133)</f>
        <v/>
      </c>
      <c r="R133" s="94" t="str">
        <f aca="false">IF($A133="","",$M133*$O133)</f>
        <v/>
      </c>
      <c r="S133" s="94" t="str">
        <f aca="false">IF($A133="","",$N133*$O133)</f>
        <v/>
      </c>
      <c r="T133" s="94" t="str">
        <f aca="false">IF($A133="","",$P133-$Q133-$R133-$S133)</f>
        <v/>
      </c>
      <c r="U133" s="171"/>
      <c r="V133" s="172"/>
      <c r="W133" s="94" t="str">
        <f aca="false">IF($A133="","",$T133*$V133)</f>
        <v/>
      </c>
    </row>
    <row r="134" customFormat="false" ht="13.5" hidden="false" customHeight="false" outlineLevel="0" collapsed="false">
      <c r="A134" s="146"/>
      <c r="B134" s="146"/>
      <c r="C134" s="146"/>
      <c r="D134" s="146"/>
      <c r="E134" s="171"/>
      <c r="F134" s="146"/>
      <c r="G134" s="146"/>
      <c r="H134" s="146"/>
      <c r="I134" s="146"/>
      <c r="J134" s="146"/>
      <c r="K134" s="175"/>
      <c r="L134" s="175"/>
      <c r="M134" s="175"/>
      <c r="N134" s="175"/>
      <c r="O134" s="170" t="str">
        <f aca="false">IF($A134="","",IFERROR(VLOOKUP($J134,Controls!$H$33:$I$36,2,FALSE()),1))</f>
        <v/>
      </c>
      <c r="P134" s="94" t="str">
        <f aca="false">IF($A134="","",$K134*$O134)</f>
        <v/>
      </c>
      <c r="Q134" s="94" t="str">
        <f aca="false">IF($A134="","",$L134*$O134)</f>
        <v/>
      </c>
      <c r="R134" s="94" t="str">
        <f aca="false">IF($A134="","",$M134*$O134)</f>
        <v/>
      </c>
      <c r="S134" s="94" t="str">
        <f aca="false">IF($A134="","",$N134*$O134)</f>
        <v/>
      </c>
      <c r="T134" s="94" t="str">
        <f aca="false">IF($A134="","",$P134-$Q134-$R134-$S134)</f>
        <v/>
      </c>
      <c r="U134" s="171"/>
      <c r="V134" s="172"/>
      <c r="W134" s="94" t="str">
        <f aca="false">IF($A134="","",$T134*$V134)</f>
        <v/>
      </c>
    </row>
    <row r="135" customFormat="false" ht="13.5" hidden="false" customHeight="false" outlineLevel="0" collapsed="false">
      <c r="A135" s="146"/>
      <c r="B135" s="146"/>
      <c r="C135" s="146"/>
      <c r="D135" s="146"/>
      <c r="E135" s="171"/>
      <c r="F135" s="146"/>
      <c r="G135" s="146"/>
      <c r="H135" s="146"/>
      <c r="I135" s="146"/>
      <c r="J135" s="146"/>
      <c r="K135" s="175"/>
      <c r="L135" s="175"/>
      <c r="M135" s="175"/>
      <c r="N135" s="175"/>
      <c r="O135" s="170" t="str">
        <f aca="false">IF($A135="","",IFERROR(VLOOKUP($J135,Controls!$H$33:$I$36,2,FALSE()),1))</f>
        <v/>
      </c>
      <c r="P135" s="94" t="str">
        <f aca="false">IF($A135="","",$K135*$O135)</f>
        <v/>
      </c>
      <c r="Q135" s="94" t="str">
        <f aca="false">IF($A135="","",$L135*$O135)</f>
        <v/>
      </c>
      <c r="R135" s="94" t="str">
        <f aca="false">IF($A135="","",$M135*$O135)</f>
        <v/>
      </c>
      <c r="S135" s="94" t="str">
        <f aca="false">IF($A135="","",$N135*$O135)</f>
        <v/>
      </c>
      <c r="T135" s="94" t="str">
        <f aca="false">IF($A135="","",$P135-$Q135-$R135-$S135)</f>
        <v/>
      </c>
      <c r="U135" s="171"/>
      <c r="V135" s="172"/>
      <c r="W135" s="94" t="str">
        <f aca="false">IF($A135="","",$T135*$V135)</f>
        <v/>
      </c>
    </row>
    <row r="136" customFormat="false" ht="13.5" hidden="false" customHeight="false" outlineLevel="0" collapsed="false">
      <c r="A136" s="146"/>
      <c r="B136" s="146"/>
      <c r="C136" s="146"/>
      <c r="D136" s="146"/>
      <c r="E136" s="171"/>
      <c r="F136" s="146"/>
      <c r="G136" s="146"/>
      <c r="H136" s="146"/>
      <c r="I136" s="146"/>
      <c r="J136" s="146"/>
      <c r="K136" s="175"/>
      <c r="L136" s="175"/>
      <c r="M136" s="175"/>
      <c r="N136" s="175"/>
      <c r="O136" s="170" t="str">
        <f aca="false">IF($A136="","",IFERROR(VLOOKUP($J136,Controls!$H$33:$I$36,2,FALSE()),1))</f>
        <v/>
      </c>
      <c r="P136" s="94" t="str">
        <f aca="false">IF($A136="","",$K136*$O136)</f>
        <v/>
      </c>
      <c r="Q136" s="94" t="str">
        <f aca="false">IF($A136="","",$L136*$O136)</f>
        <v/>
      </c>
      <c r="R136" s="94" t="str">
        <f aca="false">IF($A136="","",$M136*$O136)</f>
        <v/>
      </c>
      <c r="S136" s="94" t="str">
        <f aca="false">IF($A136="","",$N136*$O136)</f>
        <v/>
      </c>
      <c r="T136" s="94" t="str">
        <f aca="false">IF($A136="","",$P136-$Q136-$R136-$S136)</f>
        <v/>
      </c>
      <c r="U136" s="171"/>
      <c r="V136" s="172"/>
      <c r="W136" s="94" t="str">
        <f aca="false">IF($A136="","",$T136*$V136)</f>
        <v/>
      </c>
    </row>
    <row r="137" customFormat="false" ht="13.5" hidden="false" customHeight="false" outlineLevel="0" collapsed="false">
      <c r="A137" s="146"/>
      <c r="B137" s="146"/>
      <c r="C137" s="146"/>
      <c r="D137" s="146"/>
      <c r="E137" s="171"/>
      <c r="F137" s="146"/>
      <c r="G137" s="146"/>
      <c r="H137" s="146"/>
      <c r="I137" s="146"/>
      <c r="J137" s="146"/>
      <c r="K137" s="175"/>
      <c r="L137" s="175"/>
      <c r="M137" s="175"/>
      <c r="N137" s="175"/>
      <c r="O137" s="170" t="str">
        <f aca="false">IF($A137="","",IFERROR(VLOOKUP($J137,Controls!$H$33:$I$36,2,FALSE()),1))</f>
        <v/>
      </c>
      <c r="P137" s="94" t="str">
        <f aca="false">IF($A137="","",$K137*$O137)</f>
        <v/>
      </c>
      <c r="Q137" s="94" t="str">
        <f aca="false">IF($A137="","",$L137*$O137)</f>
        <v/>
      </c>
      <c r="R137" s="94" t="str">
        <f aca="false">IF($A137="","",$M137*$O137)</f>
        <v/>
      </c>
      <c r="S137" s="94" t="str">
        <f aca="false">IF($A137="","",$N137*$O137)</f>
        <v/>
      </c>
      <c r="T137" s="94" t="str">
        <f aca="false">IF($A137="","",$P137-$Q137-$R137-$S137)</f>
        <v/>
      </c>
      <c r="U137" s="171"/>
      <c r="V137" s="172"/>
      <c r="W137" s="94" t="str">
        <f aca="false">IF($A137="","",$T137*$V137)</f>
        <v/>
      </c>
    </row>
    <row r="138" customFormat="false" ht="13.5" hidden="false" customHeight="false" outlineLevel="0" collapsed="false">
      <c r="A138" s="146"/>
      <c r="B138" s="146"/>
      <c r="C138" s="146"/>
      <c r="D138" s="146"/>
      <c r="E138" s="171"/>
      <c r="F138" s="146"/>
      <c r="G138" s="146"/>
      <c r="H138" s="146"/>
      <c r="I138" s="146"/>
      <c r="J138" s="146"/>
      <c r="K138" s="175"/>
      <c r="L138" s="175"/>
      <c r="M138" s="175"/>
      <c r="N138" s="175"/>
      <c r="O138" s="170" t="str">
        <f aca="false">IF($A138="","",IFERROR(VLOOKUP($J138,Controls!$H$33:$I$36,2,FALSE()),1))</f>
        <v/>
      </c>
      <c r="P138" s="94" t="str">
        <f aca="false">IF($A138="","",$K138*$O138)</f>
        <v/>
      </c>
      <c r="Q138" s="94" t="str">
        <f aca="false">IF($A138="","",$L138*$O138)</f>
        <v/>
      </c>
      <c r="R138" s="94" t="str">
        <f aca="false">IF($A138="","",$M138*$O138)</f>
        <v/>
      </c>
      <c r="S138" s="94" t="str">
        <f aca="false">IF($A138="","",$N138*$O138)</f>
        <v/>
      </c>
      <c r="T138" s="94" t="str">
        <f aca="false">IF($A138="","",$P138-$Q138-$R138-$S138)</f>
        <v/>
      </c>
      <c r="U138" s="171"/>
      <c r="V138" s="172"/>
      <c r="W138" s="94" t="str">
        <f aca="false">IF($A138="","",$T138*$V138)</f>
        <v/>
      </c>
    </row>
    <row r="139" customFormat="false" ht="13.5" hidden="false" customHeight="false" outlineLevel="0" collapsed="false">
      <c r="A139" s="146"/>
      <c r="B139" s="146"/>
      <c r="C139" s="146"/>
      <c r="D139" s="146"/>
      <c r="E139" s="171"/>
      <c r="F139" s="146"/>
      <c r="G139" s="146"/>
      <c r="H139" s="146"/>
      <c r="I139" s="146"/>
      <c r="J139" s="146"/>
      <c r="K139" s="175"/>
      <c r="L139" s="175"/>
      <c r="M139" s="175"/>
      <c r="N139" s="175"/>
      <c r="O139" s="170" t="str">
        <f aca="false">IF($A139="","",IFERROR(VLOOKUP($J139,Controls!$H$33:$I$36,2,FALSE()),1))</f>
        <v/>
      </c>
      <c r="P139" s="94" t="str">
        <f aca="false">IF($A139="","",$K139*$O139)</f>
        <v/>
      </c>
      <c r="Q139" s="94" t="str">
        <f aca="false">IF($A139="","",$L139*$O139)</f>
        <v/>
      </c>
      <c r="R139" s="94" t="str">
        <f aca="false">IF($A139="","",$M139*$O139)</f>
        <v/>
      </c>
      <c r="S139" s="94" t="str">
        <f aca="false">IF($A139="","",$N139*$O139)</f>
        <v/>
      </c>
      <c r="T139" s="94" t="str">
        <f aca="false">IF($A139="","",$P139-$Q139-$R139-$S139)</f>
        <v/>
      </c>
      <c r="U139" s="171"/>
      <c r="V139" s="172"/>
      <c r="W139" s="94" t="str">
        <f aca="false">IF($A139="","",$T139*$V139)</f>
        <v/>
      </c>
    </row>
    <row r="140" customFormat="false" ht="13.5" hidden="false" customHeight="false" outlineLevel="0" collapsed="false">
      <c r="A140" s="146"/>
      <c r="B140" s="146"/>
      <c r="C140" s="146"/>
      <c r="D140" s="146"/>
      <c r="E140" s="171"/>
      <c r="F140" s="146"/>
      <c r="G140" s="146"/>
      <c r="H140" s="146"/>
      <c r="I140" s="146"/>
      <c r="J140" s="146"/>
      <c r="K140" s="175"/>
      <c r="L140" s="175"/>
      <c r="M140" s="175"/>
      <c r="N140" s="175"/>
      <c r="O140" s="170" t="str">
        <f aca="false">IF($A140="","",IFERROR(VLOOKUP($J140,Controls!$H$33:$I$36,2,FALSE()),1))</f>
        <v/>
      </c>
      <c r="P140" s="94" t="str">
        <f aca="false">IF($A140="","",$K140*$O140)</f>
        <v/>
      </c>
      <c r="Q140" s="94" t="str">
        <f aca="false">IF($A140="","",$L140*$O140)</f>
        <v/>
      </c>
      <c r="R140" s="94" t="str">
        <f aca="false">IF($A140="","",$M140*$O140)</f>
        <v/>
      </c>
      <c r="S140" s="94" t="str">
        <f aca="false">IF($A140="","",$N140*$O140)</f>
        <v/>
      </c>
      <c r="T140" s="94" t="str">
        <f aca="false">IF($A140="","",$P140-$Q140-$R140-$S140)</f>
        <v/>
      </c>
      <c r="U140" s="171"/>
      <c r="V140" s="172"/>
      <c r="W140" s="94" t="str">
        <f aca="false">IF($A140="","",$T140*$V140)</f>
        <v/>
      </c>
    </row>
    <row r="141" customFormat="false" ht="13.5" hidden="false" customHeight="false" outlineLevel="0" collapsed="false">
      <c r="A141" s="146"/>
      <c r="B141" s="146"/>
      <c r="C141" s="146"/>
      <c r="D141" s="146"/>
      <c r="E141" s="171"/>
      <c r="F141" s="146"/>
      <c r="G141" s="146"/>
      <c r="H141" s="146"/>
      <c r="I141" s="146"/>
      <c r="J141" s="146"/>
      <c r="K141" s="175"/>
      <c r="L141" s="175"/>
      <c r="M141" s="175"/>
      <c r="N141" s="175"/>
      <c r="O141" s="170" t="str">
        <f aca="false">IF($A141="","",IFERROR(VLOOKUP($J141,Controls!$H$33:$I$36,2,FALSE()),1))</f>
        <v/>
      </c>
      <c r="P141" s="94" t="str">
        <f aca="false">IF($A141="","",$K141*$O141)</f>
        <v/>
      </c>
      <c r="Q141" s="94" t="str">
        <f aca="false">IF($A141="","",$L141*$O141)</f>
        <v/>
      </c>
      <c r="R141" s="94" t="str">
        <f aca="false">IF($A141="","",$M141*$O141)</f>
        <v/>
      </c>
      <c r="S141" s="94" t="str">
        <f aca="false">IF($A141="","",$N141*$O141)</f>
        <v/>
      </c>
      <c r="T141" s="94" t="str">
        <f aca="false">IF($A141="","",$P141-$Q141-$R141-$S141)</f>
        <v/>
      </c>
      <c r="U141" s="171"/>
      <c r="V141" s="172"/>
      <c r="W141" s="94" t="str">
        <f aca="false">IF($A141="","",$T141*$V141)</f>
        <v/>
      </c>
    </row>
    <row r="142" customFormat="false" ht="13.5" hidden="false" customHeight="false" outlineLevel="0" collapsed="false">
      <c r="A142" s="146"/>
      <c r="B142" s="146"/>
      <c r="C142" s="146"/>
      <c r="D142" s="146"/>
      <c r="E142" s="171"/>
      <c r="F142" s="146"/>
      <c r="G142" s="146"/>
      <c r="H142" s="146"/>
      <c r="I142" s="146"/>
      <c r="J142" s="146"/>
      <c r="K142" s="175"/>
      <c r="L142" s="175"/>
      <c r="M142" s="175"/>
      <c r="N142" s="175"/>
      <c r="O142" s="170" t="str">
        <f aca="false">IF($A142="","",IFERROR(VLOOKUP($J142,Controls!$H$33:$I$36,2,FALSE()),1))</f>
        <v/>
      </c>
      <c r="P142" s="94" t="str">
        <f aca="false">IF($A142="","",$K142*$O142)</f>
        <v/>
      </c>
      <c r="Q142" s="94" t="str">
        <f aca="false">IF($A142="","",$L142*$O142)</f>
        <v/>
      </c>
      <c r="R142" s="94" t="str">
        <f aca="false">IF($A142="","",$M142*$O142)</f>
        <v/>
      </c>
      <c r="S142" s="94" t="str">
        <f aca="false">IF($A142="","",$N142*$O142)</f>
        <v/>
      </c>
      <c r="T142" s="94" t="str">
        <f aca="false">IF($A142="","",$P142-$Q142-$R142-$S142)</f>
        <v/>
      </c>
      <c r="U142" s="171"/>
      <c r="V142" s="172"/>
      <c r="W142" s="94" t="str">
        <f aca="false">IF($A142="","",$T142*$V142)</f>
        <v/>
      </c>
    </row>
    <row r="143" customFormat="false" ht="13.5" hidden="false" customHeight="false" outlineLevel="0" collapsed="false">
      <c r="A143" s="146"/>
      <c r="B143" s="146"/>
      <c r="C143" s="146"/>
      <c r="D143" s="146"/>
      <c r="E143" s="171"/>
      <c r="F143" s="146"/>
      <c r="G143" s="146"/>
      <c r="H143" s="146"/>
      <c r="I143" s="146"/>
      <c r="J143" s="146"/>
      <c r="K143" s="175"/>
      <c r="L143" s="175"/>
      <c r="M143" s="175"/>
      <c r="N143" s="175"/>
      <c r="O143" s="170" t="str">
        <f aca="false">IF($A143="","",IFERROR(VLOOKUP($J143,Controls!$H$33:$I$36,2,FALSE()),1))</f>
        <v/>
      </c>
      <c r="P143" s="94" t="str">
        <f aca="false">IF($A143="","",$K143*$O143)</f>
        <v/>
      </c>
      <c r="Q143" s="94" t="str">
        <f aca="false">IF($A143="","",$L143*$O143)</f>
        <v/>
      </c>
      <c r="R143" s="94" t="str">
        <f aca="false">IF($A143="","",$M143*$O143)</f>
        <v/>
      </c>
      <c r="S143" s="94" t="str">
        <f aca="false">IF($A143="","",$N143*$O143)</f>
        <v/>
      </c>
      <c r="T143" s="94" t="str">
        <f aca="false">IF($A143="","",$P143-$Q143-$R143-$S143)</f>
        <v/>
      </c>
      <c r="U143" s="171"/>
      <c r="V143" s="172"/>
      <c r="W143" s="94" t="str">
        <f aca="false">IF($A143="","",$T143*$V143)</f>
        <v/>
      </c>
    </row>
    <row r="144" customFormat="false" ht="13.5" hidden="false" customHeight="false" outlineLevel="0" collapsed="false">
      <c r="A144" s="146"/>
      <c r="B144" s="146"/>
      <c r="C144" s="146"/>
      <c r="D144" s="146"/>
      <c r="E144" s="171"/>
      <c r="F144" s="146"/>
      <c r="G144" s="146"/>
      <c r="H144" s="146"/>
      <c r="I144" s="146"/>
      <c r="J144" s="146"/>
      <c r="K144" s="175"/>
      <c r="L144" s="175"/>
      <c r="M144" s="175"/>
      <c r="N144" s="175"/>
      <c r="O144" s="170" t="str">
        <f aca="false">IF($A144="","",IFERROR(VLOOKUP($J144,Controls!$H$33:$I$36,2,FALSE()),1))</f>
        <v/>
      </c>
      <c r="P144" s="94" t="str">
        <f aca="false">IF($A144="","",$K144*$O144)</f>
        <v/>
      </c>
      <c r="Q144" s="94" t="str">
        <f aca="false">IF($A144="","",$L144*$O144)</f>
        <v/>
      </c>
      <c r="R144" s="94" t="str">
        <f aca="false">IF($A144="","",$M144*$O144)</f>
        <v/>
      </c>
      <c r="S144" s="94" t="str">
        <f aca="false">IF($A144="","",$N144*$O144)</f>
        <v/>
      </c>
      <c r="T144" s="94" t="str">
        <f aca="false">IF($A144="","",$P144-$Q144-$R144-$S144)</f>
        <v/>
      </c>
      <c r="U144" s="171"/>
      <c r="V144" s="172"/>
      <c r="W144" s="94" t="str">
        <f aca="false">IF($A144="","",$T144*$V144)</f>
        <v/>
      </c>
    </row>
    <row r="145" customFormat="false" ht="13.5" hidden="false" customHeight="false" outlineLevel="0" collapsed="false">
      <c r="A145" s="146"/>
      <c r="B145" s="146"/>
      <c r="C145" s="146"/>
      <c r="D145" s="146"/>
      <c r="E145" s="171"/>
      <c r="F145" s="146"/>
      <c r="G145" s="146"/>
      <c r="H145" s="146"/>
      <c r="I145" s="146"/>
      <c r="J145" s="146"/>
      <c r="K145" s="175"/>
      <c r="L145" s="175"/>
      <c r="M145" s="175"/>
      <c r="N145" s="175"/>
      <c r="O145" s="170" t="str">
        <f aca="false">IF($A145="","",IFERROR(VLOOKUP($J145,Controls!$H$33:$I$36,2,FALSE()),1))</f>
        <v/>
      </c>
      <c r="P145" s="94" t="str">
        <f aca="false">IF($A145="","",$K145*$O145)</f>
        <v/>
      </c>
      <c r="Q145" s="94" t="str">
        <f aca="false">IF($A145="","",$L145*$O145)</f>
        <v/>
      </c>
      <c r="R145" s="94" t="str">
        <f aca="false">IF($A145="","",$M145*$O145)</f>
        <v/>
      </c>
      <c r="S145" s="94" t="str">
        <f aca="false">IF($A145="","",$N145*$O145)</f>
        <v/>
      </c>
      <c r="T145" s="94" t="str">
        <f aca="false">IF($A145="","",$P145-$Q145-$R145-$S145)</f>
        <v/>
      </c>
      <c r="U145" s="171"/>
      <c r="V145" s="172"/>
      <c r="W145" s="94" t="str">
        <f aca="false">IF($A145="","",$T145*$V145)</f>
        <v/>
      </c>
    </row>
    <row r="146" customFormat="false" ht="13.5" hidden="false" customHeight="false" outlineLevel="0" collapsed="false">
      <c r="A146" s="146"/>
      <c r="B146" s="146"/>
      <c r="C146" s="146"/>
      <c r="D146" s="146"/>
      <c r="E146" s="171"/>
      <c r="F146" s="146"/>
      <c r="G146" s="146"/>
      <c r="H146" s="146"/>
      <c r="I146" s="146"/>
      <c r="J146" s="146"/>
      <c r="K146" s="175"/>
      <c r="L146" s="175"/>
      <c r="M146" s="175"/>
      <c r="N146" s="175"/>
      <c r="O146" s="170" t="str">
        <f aca="false">IF($A146="","",IFERROR(VLOOKUP($J146,Controls!$H$33:$I$36,2,FALSE()),1))</f>
        <v/>
      </c>
      <c r="P146" s="94" t="str">
        <f aca="false">IF($A146="","",$K146*$O146)</f>
        <v/>
      </c>
      <c r="Q146" s="94" t="str">
        <f aca="false">IF($A146="","",$L146*$O146)</f>
        <v/>
      </c>
      <c r="R146" s="94" t="str">
        <f aca="false">IF($A146="","",$M146*$O146)</f>
        <v/>
      </c>
      <c r="S146" s="94" t="str">
        <f aca="false">IF($A146="","",$N146*$O146)</f>
        <v/>
      </c>
      <c r="T146" s="94" t="str">
        <f aca="false">IF($A146="","",$P146-$Q146-$R146-$S146)</f>
        <v/>
      </c>
      <c r="U146" s="171"/>
      <c r="V146" s="172"/>
      <c r="W146" s="94" t="str">
        <f aca="false">IF($A146="","",$T146*$V146)</f>
        <v/>
      </c>
    </row>
    <row r="147" customFormat="false" ht="13.5" hidden="false" customHeight="false" outlineLevel="0" collapsed="false">
      <c r="A147" s="146"/>
      <c r="B147" s="146"/>
      <c r="C147" s="146"/>
      <c r="D147" s="146"/>
      <c r="E147" s="171"/>
      <c r="F147" s="146"/>
      <c r="G147" s="146"/>
      <c r="H147" s="146"/>
      <c r="I147" s="146"/>
      <c r="J147" s="146"/>
      <c r="K147" s="175"/>
      <c r="L147" s="175"/>
      <c r="M147" s="175"/>
      <c r="N147" s="175"/>
      <c r="O147" s="170" t="str">
        <f aca="false">IF($A147="","",IFERROR(VLOOKUP($J147,Controls!$H$33:$I$36,2,FALSE()),1))</f>
        <v/>
      </c>
      <c r="P147" s="94" t="str">
        <f aca="false">IF($A147="","",$K147*$O147)</f>
        <v/>
      </c>
      <c r="Q147" s="94" t="str">
        <f aca="false">IF($A147="","",$L147*$O147)</f>
        <v/>
      </c>
      <c r="R147" s="94" t="str">
        <f aca="false">IF($A147="","",$M147*$O147)</f>
        <v/>
      </c>
      <c r="S147" s="94" t="str">
        <f aca="false">IF($A147="","",$N147*$O147)</f>
        <v/>
      </c>
      <c r="T147" s="94" t="str">
        <f aca="false">IF($A147="","",$P147-$Q147-$R147-$S147)</f>
        <v/>
      </c>
      <c r="U147" s="171"/>
      <c r="V147" s="172"/>
      <c r="W147" s="94" t="str">
        <f aca="false">IF($A147="","",$T147*$V147)</f>
        <v/>
      </c>
    </row>
    <row r="148" customFormat="false" ht="13.5" hidden="false" customHeight="false" outlineLevel="0" collapsed="false">
      <c r="A148" s="146"/>
      <c r="B148" s="146"/>
      <c r="C148" s="146"/>
      <c r="D148" s="146"/>
      <c r="E148" s="171"/>
      <c r="F148" s="146"/>
      <c r="G148" s="146"/>
      <c r="H148" s="146"/>
      <c r="I148" s="146"/>
      <c r="J148" s="146"/>
      <c r="K148" s="175"/>
      <c r="L148" s="175"/>
      <c r="M148" s="175"/>
      <c r="N148" s="175"/>
      <c r="O148" s="170" t="str">
        <f aca="false">IF($A148="","",IFERROR(VLOOKUP($J148,Controls!$H$33:$I$36,2,FALSE()),1))</f>
        <v/>
      </c>
      <c r="P148" s="94" t="str">
        <f aca="false">IF($A148="","",$K148*$O148)</f>
        <v/>
      </c>
      <c r="Q148" s="94" t="str">
        <f aca="false">IF($A148="","",$L148*$O148)</f>
        <v/>
      </c>
      <c r="R148" s="94" t="str">
        <f aca="false">IF($A148="","",$M148*$O148)</f>
        <v/>
      </c>
      <c r="S148" s="94" t="str">
        <f aca="false">IF($A148="","",$N148*$O148)</f>
        <v/>
      </c>
      <c r="T148" s="94" t="str">
        <f aca="false">IF($A148="","",$P148-$Q148-$R148-$S148)</f>
        <v/>
      </c>
      <c r="U148" s="171"/>
      <c r="V148" s="172"/>
      <c r="W148" s="94" t="str">
        <f aca="false">IF($A148="","",$T148*$V148)</f>
        <v/>
      </c>
    </row>
    <row r="149" customFormat="false" ht="13.5" hidden="false" customHeight="false" outlineLevel="0" collapsed="false">
      <c r="A149" s="146"/>
      <c r="B149" s="146"/>
      <c r="C149" s="146"/>
      <c r="D149" s="146"/>
      <c r="E149" s="171"/>
      <c r="F149" s="146"/>
      <c r="G149" s="146"/>
      <c r="H149" s="146"/>
      <c r="I149" s="146"/>
      <c r="J149" s="146"/>
      <c r="K149" s="175"/>
      <c r="L149" s="175"/>
      <c r="M149" s="175"/>
      <c r="N149" s="175"/>
      <c r="O149" s="170" t="str">
        <f aca="false">IF($A149="","",IFERROR(VLOOKUP($J149,Controls!$H$33:$I$36,2,FALSE()),1))</f>
        <v/>
      </c>
      <c r="P149" s="94" t="str">
        <f aca="false">IF($A149="","",$K149*$O149)</f>
        <v/>
      </c>
      <c r="Q149" s="94" t="str">
        <f aca="false">IF($A149="","",$L149*$O149)</f>
        <v/>
      </c>
      <c r="R149" s="94" t="str">
        <f aca="false">IF($A149="","",$M149*$O149)</f>
        <v/>
      </c>
      <c r="S149" s="94" t="str">
        <f aca="false">IF($A149="","",$N149*$O149)</f>
        <v/>
      </c>
      <c r="T149" s="94" t="str">
        <f aca="false">IF($A149="","",$P149-$Q149-$R149-$S149)</f>
        <v/>
      </c>
      <c r="U149" s="171"/>
      <c r="V149" s="172"/>
      <c r="W149" s="94" t="str">
        <f aca="false">IF($A149="","",$T149*$V149)</f>
        <v/>
      </c>
    </row>
    <row r="150" customFormat="false" ht="13.5" hidden="false" customHeight="false" outlineLevel="0" collapsed="false">
      <c r="A150" s="146"/>
      <c r="B150" s="146"/>
      <c r="C150" s="146"/>
      <c r="D150" s="146"/>
      <c r="E150" s="171"/>
      <c r="F150" s="146"/>
      <c r="G150" s="146"/>
      <c r="H150" s="146"/>
      <c r="I150" s="146"/>
      <c r="J150" s="146"/>
      <c r="K150" s="175"/>
      <c r="L150" s="175"/>
      <c r="M150" s="175"/>
      <c r="N150" s="175"/>
      <c r="O150" s="170" t="str">
        <f aca="false">IF($A150="","",IFERROR(VLOOKUP($J150,Controls!$H$33:$I$36,2,FALSE()),1))</f>
        <v/>
      </c>
      <c r="P150" s="94" t="str">
        <f aca="false">IF($A150="","",$K150*$O150)</f>
        <v/>
      </c>
      <c r="Q150" s="94" t="str">
        <f aca="false">IF($A150="","",$L150*$O150)</f>
        <v/>
      </c>
      <c r="R150" s="94" t="str">
        <f aca="false">IF($A150="","",$M150*$O150)</f>
        <v/>
      </c>
      <c r="S150" s="94" t="str">
        <f aca="false">IF($A150="","",$N150*$O150)</f>
        <v/>
      </c>
      <c r="T150" s="94" t="str">
        <f aca="false">IF($A150="","",$P150-$Q150-$R150-$S150)</f>
        <v/>
      </c>
      <c r="U150" s="171"/>
      <c r="V150" s="172"/>
      <c r="W150" s="94" t="str">
        <f aca="false">IF($A150="","",$T150*$V150)</f>
        <v/>
      </c>
    </row>
    <row r="151" customFormat="false" ht="13.5" hidden="false" customHeight="false" outlineLevel="0" collapsed="false">
      <c r="A151" s="146"/>
      <c r="B151" s="146"/>
      <c r="C151" s="146"/>
      <c r="D151" s="146"/>
      <c r="E151" s="171"/>
      <c r="F151" s="146"/>
      <c r="G151" s="146"/>
      <c r="H151" s="146"/>
      <c r="I151" s="146"/>
      <c r="J151" s="146"/>
      <c r="K151" s="175"/>
      <c r="L151" s="175"/>
      <c r="M151" s="175"/>
      <c r="N151" s="175"/>
      <c r="O151" s="170" t="str">
        <f aca="false">IF($A151="","",IFERROR(VLOOKUP($J151,Controls!$H$33:$I$36,2,FALSE()),1))</f>
        <v/>
      </c>
      <c r="P151" s="94" t="str">
        <f aca="false">IF($A151="","",$K151*$O151)</f>
        <v/>
      </c>
      <c r="Q151" s="94" t="str">
        <f aca="false">IF($A151="","",$L151*$O151)</f>
        <v/>
      </c>
      <c r="R151" s="94" t="str">
        <f aca="false">IF($A151="","",$M151*$O151)</f>
        <v/>
      </c>
      <c r="S151" s="94" t="str">
        <f aca="false">IF($A151="","",$N151*$O151)</f>
        <v/>
      </c>
      <c r="T151" s="94" t="str">
        <f aca="false">IF($A151="","",$P151-$Q151-$R151-$S151)</f>
        <v/>
      </c>
      <c r="U151" s="171"/>
      <c r="V151" s="172"/>
      <c r="W151" s="94" t="str">
        <f aca="false">IF($A151="","",$T151*$V151)</f>
        <v/>
      </c>
    </row>
    <row r="152" customFormat="false" ht="13.5" hidden="false" customHeight="false" outlineLevel="0" collapsed="false">
      <c r="A152" s="146"/>
      <c r="B152" s="146"/>
      <c r="C152" s="146"/>
      <c r="D152" s="146"/>
      <c r="E152" s="171"/>
      <c r="F152" s="146"/>
      <c r="G152" s="146"/>
      <c r="H152" s="146"/>
      <c r="I152" s="146"/>
      <c r="J152" s="146"/>
      <c r="K152" s="175"/>
      <c r="L152" s="175"/>
      <c r="M152" s="175"/>
      <c r="N152" s="175"/>
      <c r="O152" s="170" t="str">
        <f aca="false">IF($A152="","",IFERROR(VLOOKUP($J152,Controls!$H$33:$I$36,2,FALSE()),1))</f>
        <v/>
      </c>
      <c r="P152" s="94" t="str">
        <f aca="false">IF($A152="","",$K152*$O152)</f>
        <v/>
      </c>
      <c r="Q152" s="94" t="str">
        <f aca="false">IF($A152="","",$L152*$O152)</f>
        <v/>
      </c>
      <c r="R152" s="94" t="str">
        <f aca="false">IF($A152="","",$M152*$O152)</f>
        <v/>
      </c>
      <c r="S152" s="94" t="str">
        <f aca="false">IF($A152="","",$N152*$O152)</f>
        <v/>
      </c>
      <c r="T152" s="94" t="str">
        <f aca="false">IF($A152="","",$P152-$Q152-$R152-$S152)</f>
        <v/>
      </c>
      <c r="U152" s="171"/>
      <c r="V152" s="172"/>
      <c r="W152" s="94" t="str">
        <f aca="false">IF($A152="","",$T152*$V152)</f>
        <v/>
      </c>
    </row>
    <row r="153" customFormat="false" ht="13.5" hidden="false" customHeight="false" outlineLevel="0" collapsed="false">
      <c r="A153" s="146"/>
      <c r="B153" s="146"/>
      <c r="C153" s="146"/>
      <c r="D153" s="146"/>
      <c r="E153" s="171"/>
      <c r="F153" s="146"/>
      <c r="G153" s="146"/>
      <c r="H153" s="146"/>
      <c r="I153" s="146"/>
      <c r="J153" s="146"/>
      <c r="K153" s="175"/>
      <c r="L153" s="175"/>
      <c r="M153" s="175"/>
      <c r="N153" s="175"/>
      <c r="O153" s="170" t="str">
        <f aca="false">IF($A153="","",IFERROR(VLOOKUP($J153,Controls!$H$33:$I$36,2,FALSE()),1))</f>
        <v/>
      </c>
      <c r="P153" s="94" t="str">
        <f aca="false">IF($A153="","",$K153*$O153)</f>
        <v/>
      </c>
      <c r="Q153" s="94" t="str">
        <f aca="false">IF($A153="","",$L153*$O153)</f>
        <v/>
      </c>
      <c r="R153" s="94" t="str">
        <f aca="false">IF($A153="","",$M153*$O153)</f>
        <v/>
      </c>
      <c r="S153" s="94" t="str">
        <f aca="false">IF($A153="","",$N153*$O153)</f>
        <v/>
      </c>
      <c r="T153" s="94" t="str">
        <f aca="false">IF($A153="","",$P153-$Q153-$R153-$S153)</f>
        <v/>
      </c>
      <c r="U153" s="171"/>
      <c r="V153" s="172"/>
      <c r="W153" s="94" t="str">
        <f aca="false">IF($A153="","",$T153*$V153)</f>
        <v/>
      </c>
    </row>
    <row r="154" customFormat="false" ht="13.5" hidden="false" customHeight="false" outlineLevel="0" collapsed="false">
      <c r="A154" s="146"/>
      <c r="B154" s="146"/>
      <c r="C154" s="146"/>
      <c r="D154" s="146"/>
      <c r="E154" s="171"/>
      <c r="F154" s="146"/>
      <c r="G154" s="146"/>
      <c r="H154" s="146"/>
      <c r="I154" s="146"/>
      <c r="J154" s="146"/>
      <c r="K154" s="175"/>
      <c r="L154" s="175"/>
      <c r="M154" s="175"/>
      <c r="N154" s="175"/>
      <c r="O154" s="170" t="str">
        <f aca="false">IF($A154="","",IFERROR(VLOOKUP($J154,Controls!$H$33:$I$36,2,FALSE()),1))</f>
        <v/>
      </c>
      <c r="P154" s="94" t="str">
        <f aca="false">IF($A154="","",$K154*$O154)</f>
        <v/>
      </c>
      <c r="Q154" s="94" t="str">
        <f aca="false">IF($A154="","",$L154*$O154)</f>
        <v/>
      </c>
      <c r="R154" s="94" t="str">
        <f aca="false">IF($A154="","",$M154*$O154)</f>
        <v/>
      </c>
      <c r="S154" s="94" t="str">
        <f aca="false">IF($A154="","",$N154*$O154)</f>
        <v/>
      </c>
      <c r="T154" s="94" t="str">
        <f aca="false">IF($A154="","",$P154-$Q154-$R154-$S154)</f>
        <v/>
      </c>
      <c r="U154" s="171"/>
      <c r="V154" s="172"/>
      <c r="W154" s="94" t="str">
        <f aca="false">IF($A154="","",$T154*$V154)</f>
        <v/>
      </c>
    </row>
    <row r="155" customFormat="false" ht="13.5" hidden="false" customHeight="false" outlineLevel="0" collapsed="false">
      <c r="A155" s="146"/>
      <c r="B155" s="146"/>
      <c r="C155" s="146"/>
      <c r="D155" s="146"/>
      <c r="E155" s="171"/>
      <c r="F155" s="146"/>
      <c r="G155" s="146"/>
      <c r="H155" s="146"/>
      <c r="I155" s="146"/>
      <c r="J155" s="146"/>
      <c r="K155" s="175"/>
      <c r="L155" s="175"/>
      <c r="M155" s="175"/>
      <c r="N155" s="175"/>
      <c r="O155" s="170" t="str">
        <f aca="false">IF($A155="","",IFERROR(VLOOKUP($J155,Controls!$H$33:$I$36,2,FALSE()),1))</f>
        <v/>
      </c>
      <c r="P155" s="94" t="str">
        <f aca="false">IF($A155="","",$K155*$O155)</f>
        <v/>
      </c>
      <c r="Q155" s="94" t="str">
        <f aca="false">IF($A155="","",$L155*$O155)</f>
        <v/>
      </c>
      <c r="R155" s="94" t="str">
        <f aca="false">IF($A155="","",$M155*$O155)</f>
        <v/>
      </c>
      <c r="S155" s="94" t="str">
        <f aca="false">IF($A155="","",$N155*$O155)</f>
        <v/>
      </c>
      <c r="T155" s="94" t="str">
        <f aca="false">IF($A155="","",$P155-$Q155-$R155-$S155)</f>
        <v/>
      </c>
      <c r="U155" s="171"/>
      <c r="V155" s="172"/>
      <c r="W155" s="94" t="str">
        <f aca="false">IF($A155="","",$T155*$V155)</f>
        <v/>
      </c>
    </row>
    <row r="156" customFormat="false" ht="13.5" hidden="false" customHeight="false" outlineLevel="0" collapsed="false">
      <c r="A156" s="146"/>
      <c r="B156" s="146"/>
      <c r="C156" s="146"/>
      <c r="D156" s="146"/>
      <c r="E156" s="171"/>
      <c r="F156" s="146"/>
      <c r="G156" s="146"/>
      <c r="H156" s="146"/>
      <c r="I156" s="146"/>
      <c r="J156" s="146"/>
      <c r="K156" s="175"/>
      <c r="L156" s="175"/>
      <c r="M156" s="175"/>
      <c r="N156" s="175"/>
      <c r="O156" s="170" t="str">
        <f aca="false">IF($A156="","",IFERROR(VLOOKUP($J156,Controls!$H$33:$I$36,2,FALSE()),1))</f>
        <v/>
      </c>
      <c r="P156" s="94" t="str">
        <f aca="false">IF($A156="","",$K156*$O156)</f>
        <v/>
      </c>
      <c r="Q156" s="94" t="str">
        <f aca="false">IF($A156="","",$L156*$O156)</f>
        <v/>
      </c>
      <c r="R156" s="94" t="str">
        <f aca="false">IF($A156="","",$M156*$O156)</f>
        <v/>
      </c>
      <c r="S156" s="94" t="str">
        <f aca="false">IF($A156="","",$N156*$O156)</f>
        <v/>
      </c>
      <c r="T156" s="94" t="str">
        <f aca="false">IF($A156="","",$P156-$Q156-$R156-$S156)</f>
        <v/>
      </c>
      <c r="U156" s="171"/>
      <c r="V156" s="172"/>
      <c r="W156" s="94" t="str">
        <f aca="false">IF($A156="","",$T156*$V156)</f>
        <v/>
      </c>
    </row>
    <row r="157" customFormat="false" ht="13.5" hidden="false" customHeight="false" outlineLevel="0" collapsed="false">
      <c r="A157" s="146"/>
      <c r="B157" s="146"/>
      <c r="C157" s="146"/>
      <c r="D157" s="146"/>
      <c r="E157" s="171"/>
      <c r="F157" s="146"/>
      <c r="G157" s="146"/>
      <c r="H157" s="146"/>
      <c r="I157" s="146"/>
      <c r="J157" s="146"/>
      <c r="K157" s="175"/>
      <c r="L157" s="175"/>
      <c r="M157" s="175"/>
      <c r="N157" s="175"/>
      <c r="O157" s="170" t="str">
        <f aca="false">IF($A157="","",IFERROR(VLOOKUP($J157,Controls!$H$33:$I$36,2,FALSE()),1))</f>
        <v/>
      </c>
      <c r="P157" s="94" t="str">
        <f aca="false">IF($A157="","",$K157*$O157)</f>
        <v/>
      </c>
      <c r="Q157" s="94" t="str">
        <f aca="false">IF($A157="","",$L157*$O157)</f>
        <v/>
      </c>
      <c r="R157" s="94" t="str">
        <f aca="false">IF($A157="","",$M157*$O157)</f>
        <v/>
      </c>
      <c r="S157" s="94" t="str">
        <f aca="false">IF($A157="","",$N157*$O157)</f>
        <v/>
      </c>
      <c r="T157" s="94" t="str">
        <f aca="false">IF($A157="","",$P157-$Q157-$R157-$S157)</f>
        <v/>
      </c>
      <c r="U157" s="171"/>
      <c r="V157" s="172"/>
      <c r="W157" s="94" t="str">
        <f aca="false">IF($A157="","",$T157*$V157)</f>
        <v/>
      </c>
    </row>
    <row r="158" customFormat="false" ht="13.5" hidden="false" customHeight="false" outlineLevel="0" collapsed="false">
      <c r="A158" s="146"/>
      <c r="B158" s="146"/>
      <c r="C158" s="146"/>
      <c r="D158" s="146"/>
      <c r="E158" s="171"/>
      <c r="F158" s="146"/>
      <c r="G158" s="146"/>
      <c r="H158" s="146"/>
      <c r="I158" s="146"/>
      <c r="J158" s="146"/>
      <c r="K158" s="175"/>
      <c r="L158" s="175"/>
      <c r="M158" s="175"/>
      <c r="N158" s="175"/>
      <c r="O158" s="170" t="str">
        <f aca="false">IF($A158="","",IFERROR(VLOOKUP($J158,Controls!$H$33:$I$36,2,FALSE()),1))</f>
        <v/>
      </c>
      <c r="P158" s="94" t="str">
        <f aca="false">IF($A158="","",$K158*$O158)</f>
        <v/>
      </c>
      <c r="Q158" s="94" t="str">
        <f aca="false">IF($A158="","",$L158*$O158)</f>
        <v/>
      </c>
      <c r="R158" s="94" t="str">
        <f aca="false">IF($A158="","",$M158*$O158)</f>
        <v/>
      </c>
      <c r="S158" s="94" t="str">
        <f aca="false">IF($A158="","",$N158*$O158)</f>
        <v/>
      </c>
      <c r="T158" s="94" t="str">
        <f aca="false">IF($A158="","",$P158-$Q158-$R158-$S158)</f>
        <v/>
      </c>
      <c r="U158" s="171"/>
      <c r="V158" s="172"/>
      <c r="W158" s="94" t="str">
        <f aca="false">IF($A158="","",$T158*$V158)</f>
        <v/>
      </c>
    </row>
    <row r="159" customFormat="false" ht="13.5" hidden="false" customHeight="false" outlineLevel="0" collapsed="false">
      <c r="A159" s="146"/>
      <c r="B159" s="146"/>
      <c r="C159" s="146"/>
      <c r="D159" s="146"/>
      <c r="E159" s="171"/>
      <c r="F159" s="146"/>
      <c r="G159" s="146"/>
      <c r="H159" s="146"/>
      <c r="I159" s="146"/>
      <c r="J159" s="146"/>
      <c r="K159" s="175"/>
      <c r="L159" s="175"/>
      <c r="M159" s="175"/>
      <c r="N159" s="175"/>
      <c r="O159" s="170" t="str">
        <f aca="false">IF($A159="","",IFERROR(VLOOKUP($J159,Controls!$H$33:$I$36,2,FALSE()),1))</f>
        <v/>
      </c>
      <c r="P159" s="94" t="str">
        <f aca="false">IF($A159="","",$K159*$O159)</f>
        <v/>
      </c>
      <c r="Q159" s="94" t="str">
        <f aca="false">IF($A159="","",$L159*$O159)</f>
        <v/>
      </c>
      <c r="R159" s="94" t="str">
        <f aca="false">IF($A159="","",$M159*$O159)</f>
        <v/>
      </c>
      <c r="S159" s="94" t="str">
        <f aca="false">IF($A159="","",$N159*$O159)</f>
        <v/>
      </c>
      <c r="T159" s="94" t="str">
        <f aca="false">IF($A159="","",$P159-$Q159-$R159-$S159)</f>
        <v/>
      </c>
      <c r="U159" s="171"/>
      <c r="V159" s="172"/>
      <c r="W159" s="94" t="str">
        <f aca="false">IF($A159="","",$T159*$V159)</f>
        <v/>
      </c>
    </row>
    <row r="160" customFormat="false" ht="13.5" hidden="false" customHeight="false" outlineLevel="0" collapsed="false">
      <c r="A160" s="146"/>
      <c r="B160" s="146"/>
      <c r="C160" s="146"/>
      <c r="D160" s="146"/>
      <c r="E160" s="171"/>
      <c r="F160" s="146"/>
      <c r="G160" s="146"/>
      <c r="H160" s="146"/>
      <c r="I160" s="146"/>
      <c r="J160" s="146"/>
      <c r="K160" s="175"/>
      <c r="L160" s="175"/>
      <c r="M160" s="175"/>
      <c r="N160" s="175"/>
      <c r="O160" s="170" t="str">
        <f aca="false">IF($A160="","",IFERROR(VLOOKUP($J160,Controls!$H$33:$I$36,2,FALSE()),1))</f>
        <v/>
      </c>
      <c r="P160" s="94" t="str">
        <f aca="false">IF($A160="","",$K160*$O160)</f>
        <v/>
      </c>
      <c r="Q160" s="94" t="str">
        <f aca="false">IF($A160="","",$L160*$O160)</f>
        <v/>
      </c>
      <c r="R160" s="94" t="str">
        <f aca="false">IF($A160="","",$M160*$O160)</f>
        <v/>
      </c>
      <c r="S160" s="94" t="str">
        <f aca="false">IF($A160="","",$N160*$O160)</f>
        <v/>
      </c>
      <c r="T160" s="94" t="str">
        <f aca="false">IF($A160="","",$P160-$Q160-$R160-$S160)</f>
        <v/>
      </c>
      <c r="U160" s="171"/>
      <c r="V160" s="172"/>
      <c r="W160" s="94" t="str">
        <f aca="false">IF($A160="","",$T160*$V160)</f>
        <v/>
      </c>
    </row>
    <row r="161" customFormat="false" ht="13.5" hidden="false" customHeight="false" outlineLevel="0" collapsed="false">
      <c r="A161" s="146"/>
      <c r="B161" s="146"/>
      <c r="C161" s="146"/>
      <c r="D161" s="146"/>
      <c r="E161" s="171"/>
      <c r="F161" s="146"/>
      <c r="G161" s="146"/>
      <c r="H161" s="146"/>
      <c r="I161" s="146"/>
      <c r="J161" s="146"/>
      <c r="K161" s="175"/>
      <c r="L161" s="175"/>
      <c r="M161" s="175"/>
      <c r="N161" s="175"/>
      <c r="O161" s="170" t="str">
        <f aca="false">IF($A161="","",IFERROR(VLOOKUP($J161,Controls!$H$33:$I$36,2,FALSE()),1))</f>
        <v/>
      </c>
      <c r="P161" s="94" t="str">
        <f aca="false">IF($A161="","",$K161*$O161)</f>
        <v/>
      </c>
      <c r="Q161" s="94" t="str">
        <f aca="false">IF($A161="","",$L161*$O161)</f>
        <v/>
      </c>
      <c r="R161" s="94" t="str">
        <f aca="false">IF($A161="","",$M161*$O161)</f>
        <v/>
      </c>
      <c r="S161" s="94" t="str">
        <f aca="false">IF($A161="","",$N161*$O161)</f>
        <v/>
      </c>
      <c r="T161" s="94" t="str">
        <f aca="false">IF($A161="","",$P161-$Q161-$R161-$S161)</f>
        <v/>
      </c>
      <c r="U161" s="171"/>
      <c r="V161" s="172"/>
      <c r="W161" s="94" t="str">
        <f aca="false">IF($A161="","",$T161*$V161)</f>
        <v/>
      </c>
    </row>
    <row r="162" customFormat="false" ht="13.5" hidden="false" customHeight="false" outlineLevel="0" collapsed="false">
      <c r="A162" s="146"/>
      <c r="B162" s="146"/>
      <c r="C162" s="146"/>
      <c r="D162" s="146"/>
      <c r="E162" s="171"/>
      <c r="F162" s="146"/>
      <c r="G162" s="146"/>
      <c r="H162" s="146"/>
      <c r="I162" s="146"/>
      <c r="J162" s="146"/>
      <c r="K162" s="175"/>
      <c r="L162" s="175"/>
      <c r="M162" s="175"/>
      <c r="N162" s="175"/>
      <c r="O162" s="170" t="str">
        <f aca="false">IF($A162="","",IFERROR(VLOOKUP($J162,Controls!$H$33:$I$36,2,FALSE()),1))</f>
        <v/>
      </c>
      <c r="P162" s="94" t="str">
        <f aca="false">IF($A162="","",$K162*$O162)</f>
        <v/>
      </c>
      <c r="Q162" s="94" t="str">
        <f aca="false">IF($A162="","",$L162*$O162)</f>
        <v/>
      </c>
      <c r="R162" s="94" t="str">
        <f aca="false">IF($A162="","",$M162*$O162)</f>
        <v/>
      </c>
      <c r="S162" s="94" t="str">
        <f aca="false">IF($A162="","",$N162*$O162)</f>
        <v/>
      </c>
      <c r="T162" s="94" t="str">
        <f aca="false">IF($A162="","",$P162-$Q162-$R162-$S162)</f>
        <v/>
      </c>
      <c r="U162" s="171"/>
      <c r="V162" s="172"/>
      <c r="W162" s="94" t="str">
        <f aca="false">IF($A162="","",$T162*$V162)</f>
        <v/>
      </c>
    </row>
    <row r="163" customFormat="false" ht="13.5" hidden="false" customHeight="false" outlineLevel="0" collapsed="false">
      <c r="A163" s="146"/>
      <c r="B163" s="146"/>
      <c r="C163" s="146"/>
      <c r="D163" s="146"/>
      <c r="E163" s="171"/>
      <c r="F163" s="146"/>
      <c r="G163" s="146"/>
      <c r="H163" s="146"/>
      <c r="I163" s="146"/>
      <c r="J163" s="146"/>
      <c r="K163" s="175"/>
      <c r="L163" s="175"/>
      <c r="M163" s="175"/>
      <c r="N163" s="175"/>
      <c r="O163" s="170" t="str">
        <f aca="false">IF($A163="","",IFERROR(VLOOKUP($J163,Controls!$H$33:$I$36,2,FALSE()),1))</f>
        <v/>
      </c>
      <c r="P163" s="94" t="str">
        <f aca="false">IF($A163="","",$K163*$O163)</f>
        <v/>
      </c>
      <c r="Q163" s="94" t="str">
        <f aca="false">IF($A163="","",$L163*$O163)</f>
        <v/>
      </c>
      <c r="R163" s="94" t="str">
        <f aca="false">IF($A163="","",$M163*$O163)</f>
        <v/>
      </c>
      <c r="S163" s="94" t="str">
        <f aca="false">IF($A163="","",$N163*$O163)</f>
        <v/>
      </c>
      <c r="T163" s="94" t="str">
        <f aca="false">IF($A163="","",$P163-$Q163-$R163-$S163)</f>
        <v/>
      </c>
      <c r="U163" s="171"/>
      <c r="V163" s="172"/>
      <c r="W163" s="94" t="str">
        <f aca="false">IF($A163="","",$T163*$V163)</f>
        <v/>
      </c>
    </row>
    <row r="164" customFormat="false" ht="13.5" hidden="false" customHeight="false" outlineLevel="0" collapsed="false">
      <c r="A164" s="146"/>
      <c r="B164" s="146"/>
      <c r="C164" s="146"/>
      <c r="D164" s="146"/>
      <c r="E164" s="171"/>
      <c r="F164" s="146"/>
      <c r="G164" s="146"/>
      <c r="H164" s="146"/>
      <c r="I164" s="146"/>
      <c r="J164" s="146"/>
      <c r="K164" s="175"/>
      <c r="L164" s="175"/>
      <c r="M164" s="175"/>
      <c r="N164" s="175"/>
      <c r="O164" s="170" t="str">
        <f aca="false">IF($A164="","",IFERROR(VLOOKUP($J164,Controls!$H$33:$I$36,2,FALSE()),1))</f>
        <v/>
      </c>
      <c r="P164" s="94" t="str">
        <f aca="false">IF($A164="","",$K164*$O164)</f>
        <v/>
      </c>
      <c r="Q164" s="94" t="str">
        <f aca="false">IF($A164="","",$L164*$O164)</f>
        <v/>
      </c>
      <c r="R164" s="94" t="str">
        <f aca="false">IF($A164="","",$M164*$O164)</f>
        <v/>
      </c>
      <c r="S164" s="94" t="str">
        <f aca="false">IF($A164="","",$N164*$O164)</f>
        <v/>
      </c>
      <c r="T164" s="94" t="str">
        <f aca="false">IF($A164="","",$P164-$Q164-$R164-$S164)</f>
        <v/>
      </c>
      <c r="U164" s="171"/>
      <c r="V164" s="172"/>
      <c r="W164" s="94" t="str">
        <f aca="false">IF($A164="","",$T164*$V164)</f>
        <v/>
      </c>
    </row>
    <row r="165" customFormat="false" ht="13.5" hidden="false" customHeight="false" outlineLevel="0" collapsed="false">
      <c r="A165" s="146"/>
      <c r="B165" s="146"/>
      <c r="C165" s="146"/>
      <c r="D165" s="146"/>
      <c r="E165" s="171"/>
      <c r="F165" s="146"/>
      <c r="G165" s="146"/>
      <c r="H165" s="146"/>
      <c r="I165" s="146"/>
      <c r="J165" s="146"/>
      <c r="K165" s="175"/>
      <c r="L165" s="175"/>
      <c r="M165" s="175"/>
      <c r="N165" s="175"/>
      <c r="O165" s="170" t="str">
        <f aca="false">IF($A165="","",IFERROR(VLOOKUP($J165,Controls!$H$33:$I$36,2,FALSE()),1))</f>
        <v/>
      </c>
      <c r="P165" s="94" t="str">
        <f aca="false">IF($A165="","",$K165*$O165)</f>
        <v/>
      </c>
      <c r="Q165" s="94" t="str">
        <f aca="false">IF($A165="","",$L165*$O165)</f>
        <v/>
      </c>
      <c r="R165" s="94" t="str">
        <f aca="false">IF($A165="","",$M165*$O165)</f>
        <v/>
      </c>
      <c r="S165" s="94" t="str">
        <f aca="false">IF($A165="","",$N165*$O165)</f>
        <v/>
      </c>
      <c r="T165" s="94" t="str">
        <f aca="false">IF($A165="","",$P165-$Q165-$R165-$S165)</f>
        <v/>
      </c>
      <c r="U165" s="171"/>
      <c r="V165" s="172"/>
      <c r="W165" s="94" t="str">
        <f aca="false">IF($A165="","",$T165*$V165)</f>
        <v/>
      </c>
    </row>
    <row r="166" customFormat="false" ht="13.5" hidden="false" customHeight="false" outlineLevel="0" collapsed="false">
      <c r="A166" s="146"/>
      <c r="B166" s="146"/>
      <c r="C166" s="146"/>
      <c r="D166" s="146"/>
      <c r="E166" s="171"/>
      <c r="F166" s="146"/>
      <c r="G166" s="146"/>
      <c r="H166" s="146"/>
      <c r="I166" s="146"/>
      <c r="J166" s="146"/>
      <c r="K166" s="175"/>
      <c r="L166" s="175"/>
      <c r="M166" s="175"/>
      <c r="N166" s="175"/>
      <c r="O166" s="170" t="str">
        <f aca="false">IF($A166="","",IFERROR(VLOOKUP($J166,Controls!$H$33:$I$36,2,FALSE()),1))</f>
        <v/>
      </c>
      <c r="P166" s="94" t="str">
        <f aca="false">IF($A166="","",$K166*$O166)</f>
        <v/>
      </c>
      <c r="Q166" s="94" t="str">
        <f aca="false">IF($A166="","",$L166*$O166)</f>
        <v/>
      </c>
      <c r="R166" s="94" t="str">
        <f aca="false">IF($A166="","",$M166*$O166)</f>
        <v/>
      </c>
      <c r="S166" s="94" t="str">
        <f aca="false">IF($A166="","",$N166*$O166)</f>
        <v/>
      </c>
      <c r="T166" s="94" t="str">
        <f aca="false">IF($A166="","",$P166-$Q166-$R166-$S166)</f>
        <v/>
      </c>
      <c r="U166" s="171"/>
      <c r="V166" s="172"/>
      <c r="W166" s="94" t="str">
        <f aca="false">IF($A166="","",$T166*$V166)</f>
        <v/>
      </c>
    </row>
    <row r="167" customFormat="false" ht="13.5" hidden="false" customHeight="false" outlineLevel="0" collapsed="false">
      <c r="A167" s="146"/>
      <c r="B167" s="146"/>
      <c r="C167" s="146"/>
      <c r="D167" s="146"/>
      <c r="E167" s="171"/>
      <c r="F167" s="146"/>
      <c r="G167" s="146"/>
      <c r="H167" s="146"/>
      <c r="I167" s="146"/>
      <c r="J167" s="146"/>
      <c r="K167" s="175"/>
      <c r="L167" s="175"/>
      <c r="M167" s="175"/>
      <c r="N167" s="175"/>
      <c r="O167" s="170" t="str">
        <f aca="false">IF($A167="","",IFERROR(VLOOKUP($J167,Controls!$H$33:$I$36,2,FALSE()),1))</f>
        <v/>
      </c>
      <c r="P167" s="94" t="str">
        <f aca="false">IF($A167="","",$K167*$O167)</f>
        <v/>
      </c>
      <c r="Q167" s="94" t="str">
        <f aca="false">IF($A167="","",$L167*$O167)</f>
        <v/>
      </c>
      <c r="R167" s="94" t="str">
        <f aca="false">IF($A167="","",$M167*$O167)</f>
        <v/>
      </c>
      <c r="S167" s="94" t="str">
        <f aca="false">IF($A167="","",$N167*$O167)</f>
        <v/>
      </c>
      <c r="T167" s="94" t="str">
        <f aca="false">IF($A167="","",$P167-$Q167-$R167-$S167)</f>
        <v/>
      </c>
      <c r="U167" s="171"/>
      <c r="V167" s="172"/>
      <c r="W167" s="94" t="str">
        <f aca="false">IF($A167="","",$T167*$V167)</f>
        <v/>
      </c>
    </row>
    <row r="168" customFormat="false" ht="13.5" hidden="false" customHeight="false" outlineLevel="0" collapsed="false">
      <c r="A168" s="146"/>
      <c r="B168" s="146"/>
      <c r="C168" s="146"/>
      <c r="D168" s="146"/>
      <c r="E168" s="171"/>
      <c r="F168" s="146"/>
      <c r="G168" s="146"/>
      <c r="H168" s="146"/>
      <c r="I168" s="146"/>
      <c r="J168" s="146"/>
      <c r="K168" s="175"/>
      <c r="L168" s="175"/>
      <c r="M168" s="175"/>
      <c r="N168" s="175"/>
      <c r="O168" s="170" t="str">
        <f aca="false">IF($A168="","",IFERROR(VLOOKUP($J168,Controls!$H$33:$I$36,2,FALSE()),1))</f>
        <v/>
      </c>
      <c r="P168" s="94" t="str">
        <f aca="false">IF($A168="","",$K168*$O168)</f>
        <v/>
      </c>
      <c r="Q168" s="94" t="str">
        <f aca="false">IF($A168="","",$L168*$O168)</f>
        <v/>
      </c>
      <c r="R168" s="94" t="str">
        <f aca="false">IF($A168="","",$M168*$O168)</f>
        <v/>
      </c>
      <c r="S168" s="94" t="str">
        <f aca="false">IF($A168="","",$N168*$O168)</f>
        <v/>
      </c>
      <c r="T168" s="94" t="str">
        <f aca="false">IF($A168="","",$P168-$Q168-$R168-$S168)</f>
        <v/>
      </c>
      <c r="U168" s="171"/>
      <c r="V168" s="172"/>
      <c r="W168" s="94" t="str">
        <f aca="false">IF($A168="","",$T168*$V168)</f>
        <v/>
      </c>
    </row>
    <row r="169" customFormat="false" ht="13.5" hidden="false" customHeight="false" outlineLevel="0" collapsed="false">
      <c r="A169" s="146"/>
      <c r="B169" s="146"/>
      <c r="C169" s="146"/>
      <c r="D169" s="146"/>
      <c r="E169" s="171"/>
      <c r="F169" s="146"/>
      <c r="G169" s="146"/>
      <c r="H169" s="146"/>
      <c r="I169" s="146"/>
      <c r="J169" s="146"/>
      <c r="K169" s="175"/>
      <c r="L169" s="175"/>
      <c r="M169" s="175"/>
      <c r="N169" s="175"/>
      <c r="O169" s="170" t="str">
        <f aca="false">IF($A169="","",IFERROR(VLOOKUP($J169,Controls!$H$33:$I$36,2,FALSE()),1))</f>
        <v/>
      </c>
      <c r="P169" s="94" t="str">
        <f aca="false">IF($A169="","",$K169*$O169)</f>
        <v/>
      </c>
      <c r="Q169" s="94" t="str">
        <f aca="false">IF($A169="","",$L169*$O169)</f>
        <v/>
      </c>
      <c r="R169" s="94" t="str">
        <f aca="false">IF($A169="","",$M169*$O169)</f>
        <v/>
      </c>
      <c r="S169" s="94" t="str">
        <f aca="false">IF($A169="","",$N169*$O169)</f>
        <v/>
      </c>
      <c r="T169" s="94" t="str">
        <f aca="false">IF($A169="","",$P169-$Q169-$R169-$S169)</f>
        <v/>
      </c>
      <c r="U169" s="171"/>
      <c r="V169" s="172"/>
      <c r="W169" s="94" t="str">
        <f aca="false">IF($A169="","",$T169*$V169)</f>
        <v/>
      </c>
    </row>
    <row r="170" customFormat="false" ht="13.5" hidden="false" customHeight="false" outlineLevel="0" collapsed="false">
      <c r="A170" s="146"/>
      <c r="B170" s="146"/>
      <c r="C170" s="146"/>
      <c r="D170" s="146"/>
      <c r="E170" s="171"/>
      <c r="F170" s="146"/>
      <c r="G170" s="146"/>
      <c r="H170" s="146"/>
      <c r="I170" s="146"/>
      <c r="J170" s="146"/>
      <c r="K170" s="175"/>
      <c r="L170" s="175"/>
      <c r="M170" s="175"/>
      <c r="N170" s="175"/>
      <c r="O170" s="170" t="str">
        <f aca="false">IF($A170="","",IFERROR(VLOOKUP($J170,Controls!$H$33:$I$36,2,FALSE()),1))</f>
        <v/>
      </c>
      <c r="P170" s="94" t="str">
        <f aca="false">IF($A170="","",$K170*$O170)</f>
        <v/>
      </c>
      <c r="Q170" s="94" t="str">
        <f aca="false">IF($A170="","",$L170*$O170)</f>
        <v/>
      </c>
      <c r="R170" s="94" t="str">
        <f aca="false">IF($A170="","",$M170*$O170)</f>
        <v/>
      </c>
      <c r="S170" s="94" t="str">
        <f aca="false">IF($A170="","",$N170*$O170)</f>
        <v/>
      </c>
      <c r="T170" s="94" t="str">
        <f aca="false">IF($A170="","",$P170-$Q170-$R170-$S170)</f>
        <v/>
      </c>
      <c r="U170" s="171"/>
      <c r="V170" s="172"/>
      <c r="W170" s="94" t="str">
        <f aca="false">IF($A170="","",$T170*$V170)</f>
        <v/>
      </c>
    </row>
    <row r="171" customFormat="false" ht="13.5" hidden="false" customHeight="false" outlineLevel="0" collapsed="false">
      <c r="A171" s="146"/>
      <c r="B171" s="146"/>
      <c r="C171" s="146"/>
      <c r="D171" s="146"/>
      <c r="E171" s="171"/>
      <c r="F171" s="146"/>
      <c r="G171" s="146"/>
      <c r="H171" s="146"/>
      <c r="I171" s="146"/>
      <c r="J171" s="146"/>
      <c r="K171" s="175"/>
      <c r="L171" s="175"/>
      <c r="M171" s="175"/>
      <c r="N171" s="175"/>
      <c r="O171" s="170" t="str">
        <f aca="false">IF($A171="","",IFERROR(VLOOKUP($J171,Controls!$H$33:$I$36,2,FALSE()),1))</f>
        <v/>
      </c>
      <c r="P171" s="94" t="str">
        <f aca="false">IF($A171="","",$K171*$O171)</f>
        <v/>
      </c>
      <c r="Q171" s="94" t="str">
        <f aca="false">IF($A171="","",$L171*$O171)</f>
        <v/>
      </c>
      <c r="R171" s="94" t="str">
        <f aca="false">IF($A171="","",$M171*$O171)</f>
        <v/>
      </c>
      <c r="S171" s="94" t="str">
        <f aca="false">IF($A171="","",$N171*$O171)</f>
        <v/>
      </c>
      <c r="T171" s="94" t="str">
        <f aca="false">IF($A171="","",$P171-$Q171-$R171-$S171)</f>
        <v/>
      </c>
      <c r="U171" s="171"/>
      <c r="V171" s="172"/>
      <c r="W171" s="94" t="str">
        <f aca="false">IF($A171="","",$T171*$V171)</f>
        <v/>
      </c>
    </row>
    <row r="172" customFormat="false" ht="13.5" hidden="false" customHeight="false" outlineLevel="0" collapsed="false">
      <c r="A172" s="146"/>
      <c r="B172" s="146"/>
      <c r="C172" s="146"/>
      <c r="D172" s="146"/>
      <c r="E172" s="171"/>
      <c r="F172" s="146"/>
      <c r="G172" s="146"/>
      <c r="H172" s="146"/>
      <c r="I172" s="146"/>
      <c r="J172" s="146"/>
      <c r="K172" s="175"/>
      <c r="L172" s="175"/>
      <c r="M172" s="175"/>
      <c r="N172" s="175"/>
      <c r="O172" s="170" t="str">
        <f aca="false">IF($A172="","",IFERROR(VLOOKUP($J172,Controls!$H$33:$I$36,2,FALSE()),1))</f>
        <v/>
      </c>
      <c r="P172" s="94" t="str">
        <f aca="false">IF($A172="","",$K172*$O172)</f>
        <v/>
      </c>
      <c r="Q172" s="94" t="str">
        <f aca="false">IF($A172="","",$L172*$O172)</f>
        <v/>
      </c>
      <c r="R172" s="94" t="str">
        <f aca="false">IF($A172="","",$M172*$O172)</f>
        <v/>
      </c>
      <c r="S172" s="94" t="str">
        <f aca="false">IF($A172="","",$N172*$O172)</f>
        <v/>
      </c>
      <c r="T172" s="94" t="str">
        <f aca="false">IF($A172="","",$P172-$Q172-$R172-$S172)</f>
        <v/>
      </c>
      <c r="U172" s="171"/>
      <c r="V172" s="172"/>
      <c r="W172" s="94" t="str">
        <f aca="false">IF($A172="","",$T172*$V172)</f>
        <v/>
      </c>
    </row>
    <row r="173" customFormat="false" ht="13.5" hidden="false" customHeight="false" outlineLevel="0" collapsed="false">
      <c r="A173" s="146"/>
      <c r="B173" s="146"/>
      <c r="C173" s="146"/>
      <c r="D173" s="146"/>
      <c r="E173" s="171"/>
      <c r="F173" s="146"/>
      <c r="G173" s="146"/>
      <c r="H173" s="146"/>
      <c r="I173" s="146"/>
      <c r="J173" s="146"/>
      <c r="K173" s="175"/>
      <c r="L173" s="175"/>
      <c r="M173" s="175"/>
      <c r="N173" s="175"/>
      <c r="O173" s="170" t="str">
        <f aca="false">IF($A173="","",IFERROR(VLOOKUP($J173,Controls!$H$33:$I$36,2,FALSE()),1))</f>
        <v/>
      </c>
      <c r="P173" s="94" t="str">
        <f aca="false">IF($A173="","",$K173*$O173)</f>
        <v/>
      </c>
      <c r="Q173" s="94" t="str">
        <f aca="false">IF($A173="","",$L173*$O173)</f>
        <v/>
      </c>
      <c r="R173" s="94" t="str">
        <f aca="false">IF($A173="","",$M173*$O173)</f>
        <v/>
      </c>
      <c r="S173" s="94" t="str">
        <f aca="false">IF($A173="","",$N173*$O173)</f>
        <v/>
      </c>
      <c r="T173" s="94" t="str">
        <f aca="false">IF($A173="","",$P173-$Q173-$R173-$S173)</f>
        <v/>
      </c>
      <c r="U173" s="171"/>
      <c r="V173" s="172"/>
      <c r="W173" s="94" t="str">
        <f aca="false">IF($A173="","",$T173*$V173)</f>
        <v/>
      </c>
    </row>
    <row r="174" customFormat="false" ht="13.5" hidden="false" customHeight="false" outlineLevel="0" collapsed="false">
      <c r="A174" s="146"/>
      <c r="B174" s="146"/>
      <c r="C174" s="146"/>
      <c r="D174" s="146"/>
      <c r="E174" s="171"/>
      <c r="F174" s="146"/>
      <c r="G174" s="146"/>
      <c r="H174" s="146"/>
      <c r="I174" s="146"/>
      <c r="J174" s="146"/>
      <c r="K174" s="175"/>
      <c r="L174" s="175"/>
      <c r="M174" s="175"/>
      <c r="N174" s="175"/>
      <c r="O174" s="170" t="str">
        <f aca="false">IF($A174="","",IFERROR(VLOOKUP($J174,Controls!$H$33:$I$36,2,FALSE()),1))</f>
        <v/>
      </c>
      <c r="P174" s="94" t="str">
        <f aca="false">IF($A174="","",$K174*$O174)</f>
        <v/>
      </c>
      <c r="Q174" s="94" t="str">
        <f aca="false">IF($A174="","",$L174*$O174)</f>
        <v/>
      </c>
      <c r="R174" s="94" t="str">
        <f aca="false">IF($A174="","",$M174*$O174)</f>
        <v/>
      </c>
      <c r="S174" s="94" t="str">
        <f aca="false">IF($A174="","",$N174*$O174)</f>
        <v/>
      </c>
      <c r="T174" s="94" t="str">
        <f aca="false">IF($A174="","",$P174-$Q174-$R174-$S174)</f>
        <v/>
      </c>
      <c r="U174" s="171"/>
      <c r="V174" s="172"/>
      <c r="W174" s="94" t="str">
        <f aca="false">IF($A174="","",$T174*$V174)</f>
        <v/>
      </c>
    </row>
    <row r="175" customFormat="false" ht="13.5" hidden="false" customHeight="false" outlineLevel="0" collapsed="false">
      <c r="A175" s="146"/>
      <c r="B175" s="146"/>
      <c r="C175" s="146"/>
      <c r="D175" s="146"/>
      <c r="E175" s="171"/>
      <c r="F175" s="146"/>
      <c r="G175" s="146"/>
      <c r="H175" s="146"/>
      <c r="I175" s="146"/>
      <c r="J175" s="146"/>
      <c r="K175" s="175"/>
      <c r="L175" s="175"/>
      <c r="M175" s="175"/>
      <c r="N175" s="175"/>
      <c r="O175" s="170" t="str">
        <f aca="false">IF($A175="","",IFERROR(VLOOKUP($J175,Controls!$H$33:$I$36,2,FALSE()),1))</f>
        <v/>
      </c>
      <c r="P175" s="94" t="str">
        <f aca="false">IF($A175="","",$K175*$O175)</f>
        <v/>
      </c>
      <c r="Q175" s="94" t="str">
        <f aca="false">IF($A175="","",$L175*$O175)</f>
        <v/>
      </c>
      <c r="R175" s="94" t="str">
        <f aca="false">IF($A175="","",$M175*$O175)</f>
        <v/>
      </c>
      <c r="S175" s="94" t="str">
        <f aca="false">IF($A175="","",$N175*$O175)</f>
        <v/>
      </c>
      <c r="T175" s="94" t="str">
        <f aca="false">IF($A175="","",$P175-$Q175-$R175-$S175)</f>
        <v/>
      </c>
      <c r="U175" s="171"/>
      <c r="V175" s="172"/>
      <c r="W175" s="94" t="str">
        <f aca="false">IF($A175="","",$T175*$V175)</f>
        <v/>
      </c>
    </row>
    <row r="176" customFormat="false" ht="13.5" hidden="false" customHeight="false" outlineLevel="0" collapsed="false">
      <c r="A176" s="146"/>
      <c r="B176" s="146"/>
      <c r="C176" s="146"/>
      <c r="D176" s="146"/>
      <c r="E176" s="171"/>
      <c r="F176" s="146"/>
      <c r="G176" s="146"/>
      <c r="H176" s="146"/>
      <c r="I176" s="146"/>
      <c r="J176" s="146"/>
      <c r="K176" s="175"/>
      <c r="L176" s="175"/>
      <c r="M176" s="175"/>
      <c r="N176" s="175"/>
      <c r="O176" s="170" t="str">
        <f aca="false">IF($A176="","",IFERROR(VLOOKUP($J176,Controls!$H$33:$I$36,2,FALSE()),1))</f>
        <v/>
      </c>
      <c r="P176" s="94" t="str">
        <f aca="false">IF($A176="","",$K176*$O176)</f>
        <v/>
      </c>
      <c r="Q176" s="94" t="str">
        <f aca="false">IF($A176="","",$L176*$O176)</f>
        <v/>
      </c>
      <c r="R176" s="94" t="str">
        <f aca="false">IF($A176="","",$M176*$O176)</f>
        <v/>
      </c>
      <c r="S176" s="94" t="str">
        <f aca="false">IF($A176="","",$N176*$O176)</f>
        <v/>
      </c>
      <c r="T176" s="94" t="str">
        <f aca="false">IF($A176="","",$P176-$Q176-$R176-$S176)</f>
        <v/>
      </c>
      <c r="U176" s="171"/>
      <c r="V176" s="172"/>
      <c r="W176" s="94" t="str">
        <f aca="false">IF($A176="","",$T176*$V176)</f>
        <v/>
      </c>
    </row>
    <row r="177" customFormat="false" ht="13.5" hidden="false" customHeight="false" outlineLevel="0" collapsed="false">
      <c r="A177" s="146"/>
      <c r="B177" s="146"/>
      <c r="C177" s="146"/>
      <c r="D177" s="146"/>
      <c r="E177" s="171"/>
      <c r="F177" s="146"/>
      <c r="G177" s="146"/>
      <c r="H177" s="146"/>
      <c r="I177" s="146"/>
      <c r="J177" s="146"/>
      <c r="K177" s="175"/>
      <c r="L177" s="175"/>
      <c r="M177" s="175"/>
      <c r="N177" s="175"/>
      <c r="O177" s="170" t="str">
        <f aca="false">IF($A177="","",IFERROR(VLOOKUP($J177,Controls!$H$33:$I$36,2,FALSE()),1))</f>
        <v/>
      </c>
      <c r="P177" s="94" t="str">
        <f aca="false">IF($A177="","",$K177*$O177)</f>
        <v/>
      </c>
      <c r="Q177" s="94" t="str">
        <f aca="false">IF($A177="","",$L177*$O177)</f>
        <v/>
      </c>
      <c r="R177" s="94" t="str">
        <f aca="false">IF($A177="","",$M177*$O177)</f>
        <v/>
      </c>
      <c r="S177" s="94" t="str">
        <f aca="false">IF($A177="","",$N177*$O177)</f>
        <v/>
      </c>
      <c r="T177" s="94" t="str">
        <f aca="false">IF($A177="","",$P177-$Q177-$R177-$S177)</f>
        <v/>
      </c>
      <c r="U177" s="171"/>
      <c r="V177" s="172"/>
      <c r="W177" s="94" t="str">
        <f aca="false">IF($A177="","",$T177*$V177)</f>
        <v/>
      </c>
    </row>
    <row r="178" customFormat="false" ht="13.5" hidden="false" customHeight="false" outlineLevel="0" collapsed="false">
      <c r="A178" s="146"/>
      <c r="B178" s="146"/>
      <c r="C178" s="146"/>
      <c r="D178" s="146"/>
      <c r="E178" s="171"/>
      <c r="F178" s="146"/>
      <c r="G178" s="146"/>
      <c r="H178" s="146"/>
      <c r="I178" s="146"/>
      <c r="J178" s="146"/>
      <c r="K178" s="175"/>
      <c r="L178" s="175"/>
      <c r="M178" s="175"/>
      <c r="N178" s="175"/>
      <c r="O178" s="170" t="str">
        <f aca="false">IF($A178="","",IFERROR(VLOOKUP($J178,Controls!$H$33:$I$36,2,FALSE()),1))</f>
        <v/>
      </c>
      <c r="P178" s="94" t="str">
        <f aca="false">IF($A178="","",$K178*$O178)</f>
        <v/>
      </c>
      <c r="Q178" s="94" t="str">
        <f aca="false">IF($A178="","",$L178*$O178)</f>
        <v/>
      </c>
      <c r="R178" s="94" t="str">
        <f aca="false">IF($A178="","",$M178*$O178)</f>
        <v/>
      </c>
      <c r="S178" s="94" t="str">
        <f aca="false">IF($A178="","",$N178*$O178)</f>
        <v/>
      </c>
      <c r="T178" s="94" t="str">
        <f aca="false">IF($A178="","",$P178-$Q178-$R178-$S178)</f>
        <v/>
      </c>
      <c r="U178" s="171"/>
      <c r="V178" s="172"/>
      <c r="W178" s="94" t="str">
        <f aca="false">IF($A178="","",$T178*$V178)</f>
        <v/>
      </c>
    </row>
    <row r="179" customFormat="false" ht="13.5" hidden="false" customHeight="false" outlineLevel="0" collapsed="false">
      <c r="A179" s="146"/>
      <c r="B179" s="146"/>
      <c r="C179" s="146"/>
      <c r="D179" s="146"/>
      <c r="E179" s="171"/>
      <c r="F179" s="146"/>
      <c r="G179" s="146"/>
      <c r="H179" s="146"/>
      <c r="I179" s="146"/>
      <c r="J179" s="146"/>
      <c r="K179" s="175"/>
      <c r="L179" s="175"/>
      <c r="M179" s="175"/>
      <c r="N179" s="175"/>
      <c r="O179" s="170" t="str">
        <f aca="false">IF($A179="","",IFERROR(VLOOKUP($J179,Controls!$H$33:$I$36,2,FALSE()),1))</f>
        <v/>
      </c>
      <c r="P179" s="94" t="str">
        <f aca="false">IF($A179="","",$K179*$O179)</f>
        <v/>
      </c>
      <c r="Q179" s="94" t="str">
        <f aca="false">IF($A179="","",$L179*$O179)</f>
        <v/>
      </c>
      <c r="R179" s="94" t="str">
        <f aca="false">IF($A179="","",$M179*$O179)</f>
        <v/>
      </c>
      <c r="S179" s="94" t="str">
        <f aca="false">IF($A179="","",$N179*$O179)</f>
        <v/>
      </c>
      <c r="T179" s="94" t="str">
        <f aca="false">IF($A179="","",$P179-$Q179-$R179-$S179)</f>
        <v/>
      </c>
      <c r="U179" s="171"/>
      <c r="V179" s="172"/>
      <c r="W179" s="94" t="str">
        <f aca="false">IF($A179="","",$T179*$V179)</f>
        <v/>
      </c>
    </row>
    <row r="180" customFormat="false" ht="13.5" hidden="false" customHeight="false" outlineLevel="0" collapsed="false">
      <c r="A180" s="146"/>
      <c r="B180" s="146"/>
      <c r="C180" s="146"/>
      <c r="D180" s="146"/>
      <c r="E180" s="171"/>
      <c r="F180" s="146"/>
      <c r="G180" s="146"/>
      <c r="H180" s="146"/>
      <c r="I180" s="146"/>
      <c r="J180" s="146"/>
      <c r="K180" s="175"/>
      <c r="L180" s="175"/>
      <c r="M180" s="175"/>
      <c r="N180" s="175"/>
      <c r="O180" s="170" t="str">
        <f aca="false">IF($A180="","",IFERROR(VLOOKUP($J180,Controls!$H$33:$I$36,2,FALSE()),1))</f>
        <v/>
      </c>
      <c r="P180" s="94" t="str">
        <f aca="false">IF($A180="","",$K180*$O180)</f>
        <v/>
      </c>
      <c r="Q180" s="94" t="str">
        <f aca="false">IF($A180="","",$L180*$O180)</f>
        <v/>
      </c>
      <c r="R180" s="94" t="str">
        <f aca="false">IF($A180="","",$M180*$O180)</f>
        <v/>
      </c>
      <c r="S180" s="94" t="str">
        <f aca="false">IF($A180="","",$N180*$O180)</f>
        <v/>
      </c>
      <c r="T180" s="94" t="str">
        <f aca="false">IF($A180="","",$P180-$Q180-$R180-$S180)</f>
        <v/>
      </c>
      <c r="U180" s="171"/>
      <c r="V180" s="172"/>
      <c r="W180" s="94" t="str">
        <f aca="false">IF($A180="","",$T180*$V180)</f>
        <v/>
      </c>
    </row>
    <row r="181" customFormat="false" ht="13.5" hidden="false" customHeight="false" outlineLevel="0" collapsed="false">
      <c r="A181" s="146"/>
      <c r="B181" s="146"/>
      <c r="C181" s="146"/>
      <c r="D181" s="146"/>
      <c r="E181" s="171"/>
      <c r="F181" s="146"/>
      <c r="G181" s="146"/>
      <c r="H181" s="146"/>
      <c r="I181" s="146"/>
      <c r="J181" s="146"/>
      <c r="K181" s="175"/>
      <c r="L181" s="175"/>
      <c r="M181" s="175"/>
      <c r="N181" s="175"/>
      <c r="O181" s="170" t="str">
        <f aca="false">IF($A181="","",IFERROR(VLOOKUP($J181,Controls!$H$33:$I$36,2,FALSE()),1))</f>
        <v/>
      </c>
      <c r="P181" s="94" t="str">
        <f aca="false">IF($A181="","",$K181*$O181)</f>
        <v/>
      </c>
      <c r="Q181" s="94" t="str">
        <f aca="false">IF($A181="","",$L181*$O181)</f>
        <v/>
      </c>
      <c r="R181" s="94" t="str">
        <f aca="false">IF($A181="","",$M181*$O181)</f>
        <v/>
      </c>
      <c r="S181" s="94" t="str">
        <f aca="false">IF($A181="","",$N181*$O181)</f>
        <v/>
      </c>
      <c r="T181" s="94" t="str">
        <f aca="false">IF($A181="","",$P181-$Q181-$R181-$S181)</f>
        <v/>
      </c>
      <c r="U181" s="171"/>
      <c r="V181" s="172"/>
      <c r="W181" s="94" t="str">
        <f aca="false">IF($A181="","",$T181*$V181)</f>
        <v/>
      </c>
    </row>
    <row r="182" customFormat="false" ht="13.5" hidden="false" customHeight="false" outlineLevel="0" collapsed="false">
      <c r="A182" s="146"/>
      <c r="B182" s="146"/>
      <c r="C182" s="146"/>
      <c r="D182" s="146"/>
      <c r="E182" s="171"/>
      <c r="F182" s="146"/>
      <c r="G182" s="146"/>
      <c r="H182" s="146"/>
      <c r="I182" s="146"/>
      <c r="J182" s="146"/>
      <c r="K182" s="175"/>
      <c r="L182" s="175"/>
      <c r="M182" s="175"/>
      <c r="N182" s="175"/>
      <c r="O182" s="170" t="str">
        <f aca="false">IF($A182="","",IFERROR(VLOOKUP($J182,Controls!$H$33:$I$36,2,FALSE()),1))</f>
        <v/>
      </c>
      <c r="P182" s="94" t="str">
        <f aca="false">IF($A182="","",$K182*$O182)</f>
        <v/>
      </c>
      <c r="Q182" s="94" t="str">
        <f aca="false">IF($A182="","",$L182*$O182)</f>
        <v/>
      </c>
      <c r="R182" s="94" t="str">
        <f aca="false">IF($A182="","",$M182*$O182)</f>
        <v/>
      </c>
      <c r="S182" s="94" t="str">
        <f aca="false">IF($A182="","",$N182*$O182)</f>
        <v/>
      </c>
      <c r="T182" s="94" t="str">
        <f aca="false">IF($A182="","",$P182-$Q182-$R182-$S182)</f>
        <v/>
      </c>
      <c r="U182" s="171"/>
      <c r="V182" s="172"/>
      <c r="W182" s="94" t="str">
        <f aca="false">IF($A182="","",$T182*$V182)</f>
        <v/>
      </c>
    </row>
    <row r="183" customFormat="false" ht="13.5" hidden="false" customHeight="false" outlineLevel="0" collapsed="false">
      <c r="A183" s="146"/>
      <c r="B183" s="146"/>
      <c r="C183" s="146"/>
      <c r="D183" s="146"/>
      <c r="E183" s="171"/>
      <c r="F183" s="146"/>
      <c r="G183" s="146"/>
      <c r="H183" s="146"/>
      <c r="I183" s="146"/>
      <c r="J183" s="146"/>
      <c r="K183" s="175"/>
      <c r="L183" s="175"/>
      <c r="M183" s="175"/>
      <c r="N183" s="175"/>
      <c r="O183" s="170" t="str">
        <f aca="false">IF($A183="","",IFERROR(VLOOKUP($J183,Controls!$H$33:$I$36,2,FALSE()),1))</f>
        <v/>
      </c>
      <c r="P183" s="94" t="str">
        <f aca="false">IF($A183="","",$K183*$O183)</f>
        <v/>
      </c>
      <c r="Q183" s="94" t="str">
        <f aca="false">IF($A183="","",$L183*$O183)</f>
        <v/>
      </c>
      <c r="R183" s="94" t="str">
        <f aca="false">IF($A183="","",$M183*$O183)</f>
        <v/>
      </c>
      <c r="S183" s="94" t="str">
        <f aca="false">IF($A183="","",$N183*$O183)</f>
        <v/>
      </c>
      <c r="T183" s="94" t="str">
        <f aca="false">IF($A183="","",$P183-$Q183-$R183-$S183)</f>
        <v/>
      </c>
      <c r="U183" s="171"/>
      <c r="V183" s="172"/>
      <c r="W183" s="94" t="str">
        <f aca="false">IF($A183="","",$T183*$V183)</f>
        <v/>
      </c>
    </row>
    <row r="184" customFormat="false" ht="13.5" hidden="false" customHeight="false" outlineLevel="0" collapsed="false">
      <c r="A184" s="146"/>
      <c r="B184" s="146"/>
      <c r="C184" s="146"/>
      <c r="D184" s="146"/>
      <c r="E184" s="171"/>
      <c r="F184" s="146"/>
      <c r="G184" s="146"/>
      <c r="H184" s="146"/>
      <c r="I184" s="146"/>
      <c r="J184" s="146"/>
      <c r="K184" s="175"/>
      <c r="L184" s="175"/>
      <c r="M184" s="175"/>
      <c r="N184" s="175"/>
      <c r="O184" s="170" t="str">
        <f aca="false">IF($A184="","",IFERROR(VLOOKUP($J184,Controls!$H$33:$I$36,2,FALSE()),1))</f>
        <v/>
      </c>
      <c r="P184" s="94" t="str">
        <f aca="false">IF($A184="","",$K184*$O184)</f>
        <v/>
      </c>
      <c r="Q184" s="94" t="str">
        <f aca="false">IF($A184="","",$L184*$O184)</f>
        <v/>
      </c>
      <c r="R184" s="94" t="str">
        <f aca="false">IF($A184="","",$M184*$O184)</f>
        <v/>
      </c>
      <c r="S184" s="94" t="str">
        <f aca="false">IF($A184="","",$N184*$O184)</f>
        <v/>
      </c>
      <c r="T184" s="94" t="str">
        <f aca="false">IF($A184="","",$P184-$Q184-$R184-$S184)</f>
        <v/>
      </c>
      <c r="U184" s="171"/>
      <c r="V184" s="172"/>
      <c r="W184" s="94" t="str">
        <f aca="false">IF($A184="","",$T184*$V184)</f>
        <v/>
      </c>
    </row>
    <row r="185" customFormat="false" ht="13.5" hidden="false" customHeight="false" outlineLevel="0" collapsed="false">
      <c r="A185" s="146"/>
      <c r="B185" s="146"/>
      <c r="C185" s="146"/>
      <c r="D185" s="146"/>
      <c r="E185" s="171"/>
      <c r="F185" s="146"/>
      <c r="G185" s="146"/>
      <c r="H185" s="146"/>
      <c r="I185" s="146"/>
      <c r="J185" s="146"/>
      <c r="K185" s="175"/>
      <c r="L185" s="175"/>
      <c r="M185" s="175"/>
      <c r="N185" s="175"/>
      <c r="O185" s="170" t="str">
        <f aca="false">IF($A185="","",IFERROR(VLOOKUP($J185,Controls!$H$33:$I$36,2,FALSE()),1))</f>
        <v/>
      </c>
      <c r="P185" s="94" t="str">
        <f aca="false">IF($A185="","",$K185*$O185)</f>
        <v/>
      </c>
      <c r="Q185" s="94" t="str">
        <f aca="false">IF($A185="","",$L185*$O185)</f>
        <v/>
      </c>
      <c r="R185" s="94" t="str">
        <f aca="false">IF($A185="","",$M185*$O185)</f>
        <v/>
      </c>
      <c r="S185" s="94" t="str">
        <f aca="false">IF($A185="","",$N185*$O185)</f>
        <v/>
      </c>
      <c r="T185" s="94" t="str">
        <f aca="false">IF($A185="","",$P185-$Q185-$R185-$S185)</f>
        <v/>
      </c>
      <c r="U185" s="171"/>
      <c r="V185" s="172"/>
      <c r="W185" s="94" t="str">
        <f aca="false">IF($A185="","",$T185*$V185)</f>
        <v/>
      </c>
    </row>
    <row r="186" customFormat="false" ht="13.5" hidden="false" customHeight="false" outlineLevel="0" collapsed="false">
      <c r="A186" s="146"/>
      <c r="B186" s="146"/>
      <c r="C186" s="146"/>
      <c r="D186" s="146"/>
      <c r="E186" s="171"/>
      <c r="F186" s="146"/>
      <c r="G186" s="146"/>
      <c r="H186" s="146"/>
      <c r="I186" s="146"/>
      <c r="J186" s="146"/>
      <c r="K186" s="175"/>
      <c r="L186" s="175"/>
      <c r="M186" s="175"/>
      <c r="N186" s="175"/>
      <c r="O186" s="170" t="str">
        <f aca="false">IF($A186="","",IFERROR(VLOOKUP($J186,Controls!$H$33:$I$36,2,FALSE()),1))</f>
        <v/>
      </c>
      <c r="P186" s="94" t="str">
        <f aca="false">IF($A186="","",$K186*$O186)</f>
        <v/>
      </c>
      <c r="Q186" s="94" t="str">
        <f aca="false">IF($A186="","",$L186*$O186)</f>
        <v/>
      </c>
      <c r="R186" s="94" t="str">
        <f aca="false">IF($A186="","",$M186*$O186)</f>
        <v/>
      </c>
      <c r="S186" s="94" t="str">
        <f aca="false">IF($A186="","",$N186*$O186)</f>
        <v/>
      </c>
      <c r="T186" s="94" t="str">
        <f aca="false">IF($A186="","",$P186-$Q186-$R186-$S186)</f>
        <v/>
      </c>
      <c r="U186" s="171"/>
      <c r="V186" s="172"/>
      <c r="W186" s="94" t="str">
        <f aca="false">IF($A186="","",$T186*$V186)</f>
        <v/>
      </c>
    </row>
    <row r="187" customFormat="false" ht="13.5" hidden="false" customHeight="false" outlineLevel="0" collapsed="false">
      <c r="A187" s="146"/>
      <c r="B187" s="146"/>
      <c r="C187" s="146"/>
      <c r="D187" s="146"/>
      <c r="E187" s="171"/>
      <c r="F187" s="146"/>
      <c r="G187" s="146"/>
      <c r="H187" s="146"/>
      <c r="I187" s="146"/>
      <c r="J187" s="146"/>
      <c r="K187" s="175"/>
      <c r="L187" s="175"/>
      <c r="M187" s="175"/>
      <c r="N187" s="175"/>
      <c r="O187" s="170" t="str">
        <f aca="false">IF($A187="","",IFERROR(VLOOKUP($J187,Controls!$H$33:$I$36,2,FALSE()),1))</f>
        <v/>
      </c>
      <c r="P187" s="94" t="str">
        <f aca="false">IF($A187="","",$K187*$O187)</f>
        <v/>
      </c>
      <c r="Q187" s="94" t="str">
        <f aca="false">IF($A187="","",$L187*$O187)</f>
        <v/>
      </c>
      <c r="R187" s="94" t="str">
        <f aca="false">IF($A187="","",$M187*$O187)</f>
        <v/>
      </c>
      <c r="S187" s="94" t="str">
        <f aca="false">IF($A187="","",$N187*$O187)</f>
        <v/>
      </c>
      <c r="T187" s="94" t="str">
        <f aca="false">IF($A187="","",$P187-$Q187-$R187-$S187)</f>
        <v/>
      </c>
      <c r="U187" s="171"/>
      <c r="V187" s="172"/>
      <c r="W187" s="94" t="str">
        <f aca="false">IF($A187="","",$T187*$V187)</f>
        <v/>
      </c>
    </row>
    <row r="188" customFormat="false" ht="13.5" hidden="false" customHeight="false" outlineLevel="0" collapsed="false">
      <c r="A188" s="146"/>
      <c r="B188" s="146"/>
      <c r="C188" s="146"/>
      <c r="D188" s="146"/>
      <c r="E188" s="171"/>
      <c r="F188" s="146"/>
      <c r="G188" s="146"/>
      <c r="H188" s="146"/>
      <c r="I188" s="146"/>
      <c r="J188" s="146"/>
      <c r="K188" s="175"/>
      <c r="L188" s="175"/>
      <c r="M188" s="175"/>
      <c r="N188" s="175"/>
      <c r="O188" s="170" t="str">
        <f aca="false">IF($A188="","",IFERROR(VLOOKUP($J188,Controls!$H$33:$I$36,2,FALSE()),1))</f>
        <v/>
      </c>
      <c r="P188" s="94" t="str">
        <f aca="false">IF($A188="","",$K188*$O188)</f>
        <v/>
      </c>
      <c r="Q188" s="94" t="str">
        <f aca="false">IF($A188="","",$L188*$O188)</f>
        <v/>
      </c>
      <c r="R188" s="94" t="str">
        <f aca="false">IF($A188="","",$M188*$O188)</f>
        <v/>
      </c>
      <c r="S188" s="94" t="str">
        <f aca="false">IF($A188="","",$N188*$O188)</f>
        <v/>
      </c>
      <c r="T188" s="94" t="str">
        <f aca="false">IF($A188="","",$P188-$Q188-$R188-$S188)</f>
        <v/>
      </c>
      <c r="U188" s="171"/>
      <c r="V188" s="172"/>
      <c r="W188" s="94" t="str">
        <f aca="false">IF($A188="","",$T188*$V188)</f>
        <v/>
      </c>
    </row>
    <row r="189" customFormat="false" ht="13.5" hidden="false" customHeight="false" outlineLevel="0" collapsed="false">
      <c r="A189" s="146"/>
      <c r="B189" s="146"/>
      <c r="C189" s="146"/>
      <c r="D189" s="146"/>
      <c r="E189" s="171"/>
      <c r="F189" s="146"/>
      <c r="G189" s="146"/>
      <c r="H189" s="146"/>
      <c r="I189" s="146"/>
      <c r="J189" s="146"/>
      <c r="K189" s="175"/>
      <c r="L189" s="175"/>
      <c r="M189" s="175"/>
      <c r="N189" s="175"/>
      <c r="O189" s="170" t="str">
        <f aca="false">IF($A189="","",IFERROR(VLOOKUP($J189,Controls!$H$33:$I$36,2,FALSE()),1))</f>
        <v/>
      </c>
      <c r="P189" s="94" t="str">
        <f aca="false">IF($A189="","",$K189*$O189)</f>
        <v/>
      </c>
      <c r="Q189" s="94" t="str">
        <f aca="false">IF($A189="","",$L189*$O189)</f>
        <v/>
      </c>
      <c r="R189" s="94" t="str">
        <f aca="false">IF($A189="","",$M189*$O189)</f>
        <v/>
      </c>
      <c r="S189" s="94" t="str">
        <f aca="false">IF($A189="","",$N189*$O189)</f>
        <v/>
      </c>
      <c r="T189" s="94" t="str">
        <f aca="false">IF($A189="","",$P189-$Q189-$R189-$S189)</f>
        <v/>
      </c>
      <c r="U189" s="171"/>
      <c r="V189" s="172"/>
      <c r="W189" s="94" t="str">
        <f aca="false">IF($A189="","",$T189*$V189)</f>
        <v/>
      </c>
    </row>
    <row r="190" customFormat="false" ht="13.5" hidden="false" customHeight="false" outlineLevel="0" collapsed="false">
      <c r="A190" s="146"/>
      <c r="B190" s="146"/>
      <c r="C190" s="146"/>
      <c r="D190" s="146"/>
      <c r="E190" s="171"/>
      <c r="F190" s="146"/>
      <c r="G190" s="146"/>
      <c r="H190" s="146"/>
      <c r="I190" s="146"/>
      <c r="J190" s="146"/>
      <c r="K190" s="175"/>
      <c r="L190" s="175"/>
      <c r="M190" s="175"/>
      <c r="N190" s="175"/>
      <c r="O190" s="170" t="str">
        <f aca="false">IF($A190="","",IFERROR(VLOOKUP($J190,Controls!$H$33:$I$36,2,FALSE()),1))</f>
        <v/>
      </c>
      <c r="P190" s="94" t="str">
        <f aca="false">IF($A190="","",$K190*$O190)</f>
        <v/>
      </c>
      <c r="Q190" s="94" t="str">
        <f aca="false">IF($A190="","",$L190*$O190)</f>
        <v/>
      </c>
      <c r="R190" s="94" t="str">
        <f aca="false">IF($A190="","",$M190*$O190)</f>
        <v/>
      </c>
      <c r="S190" s="94" t="str">
        <f aca="false">IF($A190="","",$N190*$O190)</f>
        <v/>
      </c>
      <c r="T190" s="94" t="str">
        <f aca="false">IF($A190="","",$P190-$Q190-$R190-$S190)</f>
        <v/>
      </c>
      <c r="U190" s="171"/>
      <c r="V190" s="172"/>
      <c r="W190" s="94" t="str">
        <f aca="false">IF($A190="","",$T190*$V190)</f>
        <v/>
      </c>
    </row>
    <row r="191" customFormat="false" ht="13.5" hidden="false" customHeight="false" outlineLevel="0" collapsed="false">
      <c r="A191" s="146"/>
      <c r="B191" s="146"/>
      <c r="C191" s="146"/>
      <c r="D191" s="146"/>
      <c r="E191" s="171"/>
      <c r="F191" s="146"/>
      <c r="G191" s="146"/>
      <c r="H191" s="146"/>
      <c r="I191" s="146"/>
      <c r="J191" s="146"/>
      <c r="K191" s="175"/>
      <c r="L191" s="175"/>
      <c r="M191" s="175"/>
      <c r="N191" s="175"/>
      <c r="O191" s="170" t="str">
        <f aca="false">IF($A191="","",IFERROR(VLOOKUP($J191,Controls!$H$33:$I$36,2,FALSE()),1))</f>
        <v/>
      </c>
      <c r="P191" s="94" t="str">
        <f aca="false">IF($A191="","",$K191*$O191)</f>
        <v/>
      </c>
      <c r="Q191" s="94" t="str">
        <f aca="false">IF($A191="","",$L191*$O191)</f>
        <v/>
      </c>
      <c r="R191" s="94" t="str">
        <f aca="false">IF($A191="","",$M191*$O191)</f>
        <v/>
      </c>
      <c r="S191" s="94" t="str">
        <f aca="false">IF($A191="","",$N191*$O191)</f>
        <v/>
      </c>
      <c r="T191" s="94" t="str">
        <f aca="false">IF($A191="","",$P191-$Q191-$R191-$S191)</f>
        <v/>
      </c>
      <c r="U191" s="171"/>
      <c r="V191" s="172"/>
      <c r="W191" s="94" t="str">
        <f aca="false">IF($A191="","",$T191*$V191)</f>
        <v/>
      </c>
    </row>
    <row r="192" customFormat="false" ht="13.5" hidden="false" customHeight="false" outlineLevel="0" collapsed="false">
      <c r="A192" s="146"/>
      <c r="B192" s="146"/>
      <c r="C192" s="146"/>
      <c r="D192" s="146"/>
      <c r="E192" s="171"/>
      <c r="F192" s="146"/>
      <c r="G192" s="146"/>
      <c r="H192" s="146"/>
      <c r="I192" s="146"/>
      <c r="J192" s="146"/>
      <c r="K192" s="175"/>
      <c r="L192" s="175"/>
      <c r="M192" s="175"/>
      <c r="N192" s="175"/>
      <c r="O192" s="170" t="str">
        <f aca="false">IF($A192="","",IFERROR(VLOOKUP($J192,Controls!$H$33:$I$36,2,FALSE()),1))</f>
        <v/>
      </c>
      <c r="P192" s="94" t="str">
        <f aca="false">IF($A192="","",$K192*$O192)</f>
        <v/>
      </c>
      <c r="Q192" s="94" t="str">
        <f aca="false">IF($A192="","",$L192*$O192)</f>
        <v/>
      </c>
      <c r="R192" s="94" t="str">
        <f aca="false">IF($A192="","",$M192*$O192)</f>
        <v/>
      </c>
      <c r="S192" s="94" t="str">
        <f aca="false">IF($A192="","",$N192*$O192)</f>
        <v/>
      </c>
      <c r="T192" s="94" t="str">
        <f aca="false">IF($A192="","",$P192-$Q192-$R192-$S192)</f>
        <v/>
      </c>
      <c r="U192" s="171"/>
      <c r="V192" s="172"/>
      <c r="W192" s="94" t="str">
        <f aca="false">IF($A192="","",$T192*$V192)</f>
        <v/>
      </c>
    </row>
    <row r="193" customFormat="false" ht="13.5" hidden="false" customHeight="false" outlineLevel="0" collapsed="false">
      <c r="A193" s="146"/>
      <c r="B193" s="146"/>
      <c r="C193" s="146"/>
      <c r="D193" s="146"/>
      <c r="E193" s="171"/>
      <c r="F193" s="146"/>
      <c r="G193" s="146"/>
      <c r="H193" s="146"/>
      <c r="I193" s="146"/>
      <c r="J193" s="146"/>
      <c r="K193" s="175"/>
      <c r="L193" s="175"/>
      <c r="M193" s="175"/>
      <c r="N193" s="175"/>
      <c r="O193" s="170" t="str">
        <f aca="false">IF($A193="","",IFERROR(VLOOKUP($J193,Controls!$H$33:$I$36,2,FALSE()),1))</f>
        <v/>
      </c>
      <c r="P193" s="94" t="str">
        <f aca="false">IF($A193="","",$K193*$O193)</f>
        <v/>
      </c>
      <c r="Q193" s="94" t="str">
        <f aca="false">IF($A193="","",$L193*$O193)</f>
        <v/>
      </c>
      <c r="R193" s="94" t="str">
        <f aca="false">IF($A193="","",$M193*$O193)</f>
        <v/>
      </c>
      <c r="S193" s="94" t="str">
        <f aca="false">IF($A193="","",$N193*$O193)</f>
        <v/>
      </c>
      <c r="T193" s="94" t="str">
        <f aca="false">IF($A193="","",$P193-$Q193-$R193-$S193)</f>
        <v/>
      </c>
      <c r="U193" s="171"/>
      <c r="V193" s="172"/>
      <c r="W193" s="94" t="str">
        <f aca="false">IF($A193="","",$T193*$V193)</f>
        <v/>
      </c>
    </row>
    <row r="194" customFormat="false" ht="13.5" hidden="false" customHeight="false" outlineLevel="0" collapsed="false">
      <c r="A194" s="146"/>
      <c r="B194" s="146"/>
      <c r="C194" s="146"/>
      <c r="D194" s="146"/>
      <c r="E194" s="171"/>
      <c r="F194" s="146"/>
      <c r="G194" s="146"/>
      <c r="H194" s="146"/>
      <c r="I194" s="146"/>
      <c r="J194" s="146"/>
      <c r="K194" s="175"/>
      <c r="L194" s="175"/>
      <c r="M194" s="175"/>
      <c r="N194" s="175"/>
      <c r="O194" s="170" t="str">
        <f aca="false">IF($A194="","",IFERROR(VLOOKUP($J194,Controls!$H$33:$I$36,2,FALSE()),1))</f>
        <v/>
      </c>
      <c r="P194" s="94" t="str">
        <f aca="false">IF($A194="","",$K194*$O194)</f>
        <v/>
      </c>
      <c r="Q194" s="94" t="str">
        <f aca="false">IF($A194="","",$L194*$O194)</f>
        <v/>
      </c>
      <c r="R194" s="94" t="str">
        <f aca="false">IF($A194="","",$M194*$O194)</f>
        <v/>
      </c>
      <c r="S194" s="94" t="str">
        <f aca="false">IF($A194="","",$N194*$O194)</f>
        <v/>
      </c>
      <c r="T194" s="94" t="str">
        <f aca="false">IF($A194="","",$P194-$Q194-$R194-$S194)</f>
        <v/>
      </c>
      <c r="U194" s="171"/>
      <c r="V194" s="172"/>
      <c r="W194" s="94" t="str">
        <f aca="false">IF($A194="","",$T194*$V194)</f>
        <v/>
      </c>
    </row>
    <row r="195" customFormat="false" ht="13.5" hidden="false" customHeight="false" outlineLevel="0" collapsed="false">
      <c r="A195" s="146"/>
      <c r="B195" s="146"/>
      <c r="C195" s="146"/>
      <c r="D195" s="146"/>
      <c r="E195" s="171"/>
      <c r="F195" s="146"/>
      <c r="G195" s="146"/>
      <c r="H195" s="146"/>
      <c r="I195" s="146"/>
      <c r="J195" s="146"/>
      <c r="K195" s="175"/>
      <c r="L195" s="175"/>
      <c r="M195" s="175"/>
      <c r="N195" s="175"/>
      <c r="O195" s="170" t="str">
        <f aca="false">IF($A195="","",IFERROR(VLOOKUP($J195,Controls!$H$33:$I$36,2,FALSE()),1))</f>
        <v/>
      </c>
      <c r="P195" s="94" t="str">
        <f aca="false">IF($A195="","",$K195*$O195)</f>
        <v/>
      </c>
      <c r="Q195" s="94" t="str">
        <f aca="false">IF($A195="","",$L195*$O195)</f>
        <v/>
      </c>
      <c r="R195" s="94" t="str">
        <f aca="false">IF($A195="","",$M195*$O195)</f>
        <v/>
      </c>
      <c r="S195" s="94" t="str">
        <f aca="false">IF($A195="","",$N195*$O195)</f>
        <v/>
      </c>
      <c r="T195" s="94" t="str">
        <f aca="false">IF($A195="","",$P195-$Q195-$R195-$S195)</f>
        <v/>
      </c>
      <c r="U195" s="171"/>
      <c r="V195" s="172"/>
      <c r="W195" s="94" t="str">
        <f aca="false">IF($A195="","",$T195*$V195)</f>
        <v/>
      </c>
    </row>
    <row r="196" customFormat="false" ht="13.5" hidden="false" customHeight="false" outlineLevel="0" collapsed="false">
      <c r="A196" s="146"/>
      <c r="B196" s="146"/>
      <c r="C196" s="146"/>
      <c r="D196" s="146"/>
      <c r="E196" s="171"/>
      <c r="F196" s="146"/>
      <c r="G196" s="146"/>
      <c r="H196" s="146"/>
      <c r="I196" s="146"/>
      <c r="J196" s="146"/>
      <c r="K196" s="175"/>
      <c r="L196" s="175"/>
      <c r="M196" s="175"/>
      <c r="N196" s="175"/>
      <c r="O196" s="170" t="str">
        <f aca="false">IF($A196="","",IFERROR(VLOOKUP($J196,Controls!$H$33:$I$36,2,FALSE()),1))</f>
        <v/>
      </c>
      <c r="P196" s="94" t="str">
        <f aca="false">IF($A196="","",$K196*$O196)</f>
        <v/>
      </c>
      <c r="Q196" s="94" t="str">
        <f aca="false">IF($A196="","",$L196*$O196)</f>
        <v/>
      </c>
      <c r="R196" s="94" t="str">
        <f aca="false">IF($A196="","",$M196*$O196)</f>
        <v/>
      </c>
      <c r="S196" s="94" t="str">
        <f aca="false">IF($A196="","",$N196*$O196)</f>
        <v/>
      </c>
      <c r="T196" s="94" t="str">
        <f aca="false">IF($A196="","",$P196-$Q196-$R196-$S196)</f>
        <v/>
      </c>
      <c r="U196" s="171"/>
      <c r="V196" s="172"/>
      <c r="W196" s="94" t="str">
        <f aca="false">IF($A196="","",$T196*$V196)</f>
        <v/>
      </c>
    </row>
    <row r="197" customFormat="false" ht="13.5" hidden="false" customHeight="false" outlineLevel="0" collapsed="false">
      <c r="A197" s="146"/>
      <c r="B197" s="146"/>
      <c r="C197" s="146"/>
      <c r="D197" s="146"/>
      <c r="E197" s="171"/>
      <c r="F197" s="146"/>
      <c r="G197" s="146"/>
      <c r="H197" s="146"/>
      <c r="I197" s="146"/>
      <c r="J197" s="146"/>
      <c r="K197" s="175"/>
      <c r="L197" s="175"/>
      <c r="M197" s="175"/>
      <c r="N197" s="175"/>
      <c r="O197" s="170" t="str">
        <f aca="false">IF($A197="","",IFERROR(VLOOKUP($J197,Controls!$H$33:$I$36,2,FALSE()),1))</f>
        <v/>
      </c>
      <c r="P197" s="94" t="str">
        <f aca="false">IF($A197="","",$K197*$O197)</f>
        <v/>
      </c>
      <c r="Q197" s="94" t="str">
        <f aca="false">IF($A197="","",$L197*$O197)</f>
        <v/>
      </c>
      <c r="R197" s="94" t="str">
        <f aca="false">IF($A197="","",$M197*$O197)</f>
        <v/>
      </c>
      <c r="S197" s="94" t="str">
        <f aca="false">IF($A197="","",$N197*$O197)</f>
        <v/>
      </c>
      <c r="T197" s="94" t="str">
        <f aca="false">IF($A197="","",$P197-$Q197-$R197-$S197)</f>
        <v/>
      </c>
      <c r="U197" s="171"/>
      <c r="V197" s="172"/>
      <c r="W197" s="94" t="str">
        <f aca="false">IF($A197="","",$T197*$V197)</f>
        <v/>
      </c>
    </row>
    <row r="198" customFormat="false" ht="13.5" hidden="false" customHeight="false" outlineLevel="0" collapsed="false">
      <c r="A198" s="146"/>
      <c r="B198" s="146"/>
      <c r="C198" s="146"/>
      <c r="D198" s="146"/>
      <c r="E198" s="171"/>
      <c r="F198" s="146"/>
      <c r="G198" s="146"/>
      <c r="H198" s="146"/>
      <c r="I198" s="146"/>
      <c r="J198" s="146"/>
      <c r="K198" s="175"/>
      <c r="L198" s="175"/>
      <c r="M198" s="175"/>
      <c r="N198" s="175"/>
      <c r="O198" s="170" t="str">
        <f aca="false">IF($A198="","",IFERROR(VLOOKUP($J198,Controls!$H$33:$I$36,2,FALSE()),1))</f>
        <v/>
      </c>
      <c r="P198" s="94" t="str">
        <f aca="false">IF($A198="","",$K198*$O198)</f>
        <v/>
      </c>
      <c r="Q198" s="94" t="str">
        <f aca="false">IF($A198="","",$L198*$O198)</f>
        <v/>
      </c>
      <c r="R198" s="94" t="str">
        <f aca="false">IF($A198="","",$M198*$O198)</f>
        <v/>
      </c>
      <c r="S198" s="94" t="str">
        <f aca="false">IF($A198="","",$N198*$O198)</f>
        <v/>
      </c>
      <c r="T198" s="94" t="str">
        <f aca="false">IF($A198="","",$P198-$Q198-$R198-$S198)</f>
        <v/>
      </c>
      <c r="U198" s="171"/>
      <c r="V198" s="172"/>
      <c r="W198" s="94" t="str">
        <f aca="false">IF($A198="","",$T198*$V198)</f>
        <v/>
      </c>
    </row>
    <row r="199" customFormat="false" ht="13.5" hidden="false" customHeight="false" outlineLevel="0" collapsed="false">
      <c r="A199" s="146"/>
      <c r="B199" s="146"/>
      <c r="C199" s="146"/>
      <c r="D199" s="146"/>
      <c r="E199" s="171"/>
      <c r="F199" s="146"/>
      <c r="G199" s="146"/>
      <c r="H199" s="146"/>
      <c r="I199" s="146"/>
      <c r="J199" s="146"/>
      <c r="K199" s="175"/>
      <c r="L199" s="175"/>
      <c r="M199" s="175"/>
      <c r="N199" s="175"/>
      <c r="O199" s="170" t="str">
        <f aca="false">IF($A199="","",IFERROR(VLOOKUP($J199,Controls!$H$33:$I$36,2,FALSE()),1))</f>
        <v/>
      </c>
      <c r="P199" s="94" t="str">
        <f aca="false">IF($A199="","",$K199*$O199)</f>
        <v/>
      </c>
      <c r="Q199" s="94" t="str">
        <f aca="false">IF($A199="","",$L199*$O199)</f>
        <v/>
      </c>
      <c r="R199" s="94" t="str">
        <f aca="false">IF($A199="","",$M199*$O199)</f>
        <v/>
      </c>
      <c r="S199" s="94" t="str">
        <f aca="false">IF($A199="","",$N199*$O199)</f>
        <v/>
      </c>
      <c r="T199" s="94" t="str">
        <f aca="false">IF($A199="","",$P199-$Q199-$R199-$S199)</f>
        <v/>
      </c>
      <c r="U199" s="171"/>
      <c r="V199" s="172"/>
      <c r="W199" s="94" t="str">
        <f aca="false">IF($A199="","",$T199*$V199)</f>
        <v/>
      </c>
    </row>
    <row r="200" customFormat="false" ht="13.5" hidden="false" customHeight="false" outlineLevel="0" collapsed="false">
      <c r="A200" s="146"/>
      <c r="B200" s="146"/>
      <c r="C200" s="146"/>
      <c r="D200" s="146"/>
      <c r="E200" s="171"/>
      <c r="F200" s="146"/>
      <c r="G200" s="146"/>
      <c r="H200" s="146"/>
      <c r="I200" s="146"/>
      <c r="J200" s="146"/>
      <c r="K200" s="175"/>
      <c r="L200" s="175"/>
      <c r="M200" s="175"/>
      <c r="N200" s="175"/>
      <c r="O200" s="170" t="str">
        <f aca="false">IF($A200="","",IFERROR(VLOOKUP($J200,Controls!$H$33:$I$36,2,FALSE()),1))</f>
        <v/>
      </c>
      <c r="P200" s="94" t="str">
        <f aca="false">IF($A200="","",$K200*$O200)</f>
        <v/>
      </c>
      <c r="Q200" s="94" t="str">
        <f aca="false">IF($A200="","",$L200*$O200)</f>
        <v/>
      </c>
      <c r="R200" s="94" t="str">
        <f aca="false">IF($A200="","",$M200*$O200)</f>
        <v/>
      </c>
      <c r="S200" s="94" t="str">
        <f aca="false">IF($A200="","",$N200*$O200)</f>
        <v/>
      </c>
      <c r="T200" s="94" t="str">
        <f aca="false">IF($A200="","",$P200-$Q200-$R200-$S200)</f>
        <v/>
      </c>
      <c r="U200" s="171"/>
      <c r="V200" s="172"/>
      <c r="W200" s="94" t="str">
        <f aca="false">IF($A200="","",$T200*$V200)</f>
        <v/>
      </c>
    </row>
    <row r="201" customFormat="false" ht="13.5" hidden="false" customHeight="false" outlineLevel="0" collapsed="false">
      <c r="A201" s="146"/>
      <c r="B201" s="146"/>
      <c r="C201" s="146"/>
      <c r="D201" s="146"/>
      <c r="E201" s="171"/>
      <c r="F201" s="146"/>
      <c r="G201" s="146"/>
      <c r="H201" s="146"/>
      <c r="I201" s="146"/>
      <c r="J201" s="146"/>
      <c r="K201" s="175"/>
      <c r="L201" s="175"/>
      <c r="M201" s="175"/>
      <c r="N201" s="175"/>
      <c r="O201" s="170" t="str">
        <f aca="false">IF($A201="","",IFERROR(VLOOKUP($J201,Controls!$H$33:$I$36,2,FALSE()),1))</f>
        <v/>
      </c>
      <c r="P201" s="94" t="str">
        <f aca="false">IF($A201="","",$K201*$O201)</f>
        <v/>
      </c>
      <c r="Q201" s="94" t="str">
        <f aca="false">IF($A201="","",$L201*$O201)</f>
        <v/>
      </c>
      <c r="R201" s="94" t="str">
        <f aca="false">IF($A201="","",$M201*$O201)</f>
        <v/>
      </c>
      <c r="S201" s="94" t="str">
        <f aca="false">IF($A201="","",$N201*$O201)</f>
        <v/>
      </c>
      <c r="T201" s="94" t="str">
        <f aca="false">IF($A201="","",$P201-$Q201-$R201-$S201)</f>
        <v/>
      </c>
      <c r="U201" s="171"/>
      <c r="V201" s="172"/>
      <c r="W201" s="94" t="str">
        <f aca="false">IF($A201="","",$T201*$V201)</f>
        <v/>
      </c>
    </row>
    <row r="202" customFormat="false" ht="13.5" hidden="false" customHeight="false" outlineLevel="0" collapsed="false">
      <c r="A202" s="146"/>
      <c r="B202" s="146"/>
      <c r="C202" s="146"/>
      <c r="D202" s="146"/>
      <c r="E202" s="171"/>
      <c r="F202" s="146"/>
      <c r="G202" s="146"/>
      <c r="H202" s="146"/>
      <c r="I202" s="146"/>
      <c r="J202" s="146"/>
      <c r="K202" s="175"/>
      <c r="L202" s="175"/>
      <c r="M202" s="175"/>
      <c r="N202" s="175"/>
      <c r="O202" s="170" t="str">
        <f aca="false">IF($A202="","",IFERROR(VLOOKUP($J202,Controls!$H$33:$I$36,2,FALSE()),1))</f>
        <v/>
      </c>
      <c r="P202" s="94" t="str">
        <f aca="false">IF($A202="","",$K202*$O202)</f>
        <v/>
      </c>
      <c r="Q202" s="94" t="str">
        <f aca="false">IF($A202="","",$L202*$O202)</f>
        <v/>
      </c>
      <c r="R202" s="94" t="str">
        <f aca="false">IF($A202="","",$M202*$O202)</f>
        <v/>
      </c>
      <c r="S202" s="94" t="str">
        <f aca="false">IF($A202="","",$N202*$O202)</f>
        <v/>
      </c>
      <c r="T202" s="94" t="str">
        <f aca="false">IF($A202="","",$P202-$Q202-$R202-$S202)</f>
        <v/>
      </c>
      <c r="U202" s="171"/>
      <c r="V202" s="172"/>
      <c r="W202" s="94" t="str">
        <f aca="false">IF($A202="","",$T202*$V202)</f>
        <v/>
      </c>
    </row>
    <row r="203" customFormat="false" ht="13.5" hidden="false" customHeight="false" outlineLevel="0" collapsed="false">
      <c r="A203" s="146"/>
      <c r="B203" s="146"/>
      <c r="C203" s="146"/>
      <c r="D203" s="146"/>
      <c r="E203" s="171"/>
      <c r="F203" s="146"/>
      <c r="G203" s="146"/>
      <c r="H203" s="146"/>
      <c r="I203" s="146"/>
      <c r="J203" s="146"/>
      <c r="K203" s="175"/>
      <c r="L203" s="175"/>
      <c r="M203" s="175"/>
      <c r="N203" s="175"/>
      <c r="O203" s="170" t="str">
        <f aca="false">IF($A203="","",IFERROR(VLOOKUP($J203,Controls!$H$33:$I$36,2,FALSE()),1))</f>
        <v/>
      </c>
      <c r="P203" s="94" t="str">
        <f aca="false">IF($A203="","",$K203*$O203)</f>
        <v/>
      </c>
      <c r="Q203" s="94" t="str">
        <f aca="false">IF($A203="","",$L203*$O203)</f>
        <v/>
      </c>
      <c r="R203" s="94" t="str">
        <f aca="false">IF($A203="","",$M203*$O203)</f>
        <v/>
      </c>
      <c r="S203" s="94" t="str">
        <f aca="false">IF($A203="","",$N203*$O203)</f>
        <v/>
      </c>
      <c r="T203" s="94" t="str">
        <f aca="false">IF($A203="","",$P203-$Q203-$R203-$S203)</f>
        <v/>
      </c>
      <c r="U203" s="171"/>
      <c r="V203" s="172"/>
      <c r="W203" s="94" t="str">
        <f aca="false">IF($A203="","",$T203*$V203)</f>
        <v/>
      </c>
    </row>
    <row r="204" customFormat="false" ht="13.5" hidden="false" customHeight="false" outlineLevel="0" collapsed="false">
      <c r="A204" s="146"/>
      <c r="B204" s="146"/>
      <c r="C204" s="146"/>
      <c r="D204" s="146"/>
      <c r="E204" s="171"/>
      <c r="F204" s="146"/>
      <c r="G204" s="146"/>
      <c r="H204" s="146"/>
      <c r="I204" s="146"/>
      <c r="J204" s="146"/>
      <c r="K204" s="175"/>
      <c r="L204" s="175"/>
      <c r="M204" s="175"/>
      <c r="N204" s="175"/>
      <c r="O204" s="170" t="str">
        <f aca="false">IF($A204="","",IFERROR(VLOOKUP($J204,Controls!$H$33:$I$36,2,FALSE()),1))</f>
        <v/>
      </c>
      <c r="P204" s="94" t="str">
        <f aca="false">IF($A204="","",$K204*$O204)</f>
        <v/>
      </c>
      <c r="Q204" s="94" t="str">
        <f aca="false">IF($A204="","",$L204*$O204)</f>
        <v/>
      </c>
      <c r="R204" s="94" t="str">
        <f aca="false">IF($A204="","",$M204*$O204)</f>
        <v/>
      </c>
      <c r="S204" s="94" t="str">
        <f aca="false">IF($A204="","",$N204*$O204)</f>
        <v/>
      </c>
      <c r="T204" s="94" t="str">
        <f aca="false">IF($A204="","",$P204-$Q204-$R204-$S204)</f>
        <v/>
      </c>
      <c r="U204" s="171"/>
      <c r="V204" s="172"/>
      <c r="W204" s="94" t="str">
        <f aca="false">IF($A204="","",$T204*$V204)</f>
        <v/>
      </c>
    </row>
  </sheetData>
  <dataValidations count="8">
    <dataValidation allowBlank="true" errorStyle="stop" operator="between" showDropDown="false" showErrorMessage="true" showInputMessage="true" sqref="U5:U204" type="list">
      <formula1>$AL$5:$AL$6</formula1>
      <formula2>0</formula2>
    </dataValidation>
    <dataValidation allowBlank="true" errorStyle="stop" operator="between" showDropDown="false" showErrorMessage="true" showInputMessage="true" sqref="C5:C204" type="list">
      <formula1>$AE$5:$AE$11</formula1>
      <formula2>0</formula2>
    </dataValidation>
    <dataValidation allowBlank="true" errorStyle="stop" operator="between" showDropDown="false" showErrorMessage="true" showInputMessage="true" sqref="D5:D204" type="list">
      <formula1>$AF$5:$AF$14</formula1>
      <formula2>0</formula2>
    </dataValidation>
    <dataValidation allowBlank="true" errorStyle="stop" operator="between" showDropDown="false" showErrorMessage="true" showInputMessage="true" sqref="E5:E204" type="list">
      <formula1>$AG$5:$AG$9</formula1>
      <formula2>0</formula2>
    </dataValidation>
    <dataValidation allowBlank="true" errorStyle="stop" operator="between" showDropDown="false" showErrorMessage="true" showInputMessage="true" sqref="F5:F204" type="list">
      <formula1>$AH$5:$AH$11</formula1>
      <formula2>0</formula2>
    </dataValidation>
    <dataValidation allowBlank="true" errorStyle="stop" operator="between" showDropDown="false" showErrorMessage="true" showInputMessage="true" sqref="H5:H204" type="list">
      <formula1>$AI$5:$AI$13</formula1>
      <formula2>0</formula2>
    </dataValidation>
    <dataValidation allowBlank="true" errorStyle="stop" operator="between" showDropDown="false" showErrorMessage="true" showInputMessage="true" sqref="G5:G204" type="list">
      <formula1>$AJ$5:$AJ$6</formula1>
      <formula2>0</formula2>
    </dataValidation>
    <dataValidation allowBlank="true" errorStyle="stop" operator="between" showDropDown="false" showErrorMessage="true" showInputMessage="true" sqref="J5:J204" type="list">
      <formula1>$AK$5:$AK$8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3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75" t="s">
        <v>1860</v>
      </c>
    </row>
    <row r="2" customFormat="false" ht="13.5" hidden="false" customHeight="false" outlineLevel="0" collapsed="false">
      <c r="A2" s="3" t="s">
        <v>1861</v>
      </c>
    </row>
    <row r="4" customFormat="false" ht="24.75" hidden="false" customHeight="true" outlineLevel="0" collapsed="false">
      <c r="A4" s="56" t="s">
        <v>796</v>
      </c>
      <c r="B4" s="56" t="s">
        <v>797</v>
      </c>
      <c r="C4" s="56" t="s">
        <v>426</v>
      </c>
      <c r="D4" s="56" t="s">
        <v>427</v>
      </c>
      <c r="E4" s="56" t="s">
        <v>447</v>
      </c>
      <c r="F4" s="56" t="s">
        <v>1862</v>
      </c>
      <c r="G4" s="56" t="s">
        <v>1863</v>
      </c>
    </row>
    <row r="5" customFormat="false" ht="13.5" hidden="false" customHeight="false" outlineLevel="0" collapsed="false">
      <c r="A5" s="67" t="n">
        <v>6000</v>
      </c>
      <c r="B5" s="67" t="s">
        <v>687</v>
      </c>
      <c r="C5" s="67" t="s">
        <v>435</v>
      </c>
      <c r="D5" s="67" t="s">
        <v>307</v>
      </c>
      <c r="E5" s="67" t="s">
        <v>448</v>
      </c>
      <c r="F5" s="177" t="n">
        <v>5948342.85</v>
      </c>
      <c r="G5" s="72" t="n">
        <v>0</v>
      </c>
    </row>
    <row r="6" customFormat="false" ht="13.5" hidden="false" customHeight="false" outlineLevel="0" collapsed="false">
      <c r="A6" s="67" t="n">
        <v>6010</v>
      </c>
      <c r="B6" s="67" t="s">
        <v>689</v>
      </c>
      <c r="C6" s="67" t="s">
        <v>435</v>
      </c>
      <c r="D6" s="67" t="s">
        <v>307</v>
      </c>
      <c r="E6" s="67" t="s">
        <v>448</v>
      </c>
      <c r="F6" s="177" t="n">
        <v>773284.57</v>
      </c>
      <c r="G6" s="72" t="n">
        <v>0</v>
      </c>
    </row>
    <row r="7" customFormat="false" ht="13.5" hidden="false" customHeight="false" outlineLevel="0" collapsed="false">
      <c r="A7" s="67" t="n">
        <v>6020</v>
      </c>
      <c r="B7" s="67" t="s">
        <v>691</v>
      </c>
      <c r="C7" s="67" t="s">
        <v>435</v>
      </c>
      <c r="D7" s="67" t="s">
        <v>307</v>
      </c>
      <c r="E7" s="67" t="s">
        <v>448</v>
      </c>
      <c r="F7" s="177" t="n">
        <v>178450.28</v>
      </c>
      <c r="G7" s="72" t="n">
        <v>0</v>
      </c>
    </row>
    <row r="8" customFormat="false" ht="13.5" hidden="false" customHeight="false" outlineLevel="0" collapsed="false">
      <c r="A8" s="67" t="n">
        <v>6030</v>
      </c>
      <c r="B8" s="67" t="s">
        <v>693</v>
      </c>
      <c r="C8" s="67" t="s">
        <v>435</v>
      </c>
      <c r="D8" s="67" t="s">
        <v>307</v>
      </c>
      <c r="E8" s="67" t="s">
        <v>448</v>
      </c>
      <c r="F8" s="177" t="n">
        <v>330000</v>
      </c>
      <c r="G8" s="72" t="n">
        <v>0</v>
      </c>
    </row>
    <row r="9" customFormat="false" ht="13.5" hidden="false" customHeight="false" outlineLevel="0" collapsed="false">
      <c r="A9" s="67" t="n">
        <v>6050</v>
      </c>
      <c r="B9" s="67" t="s">
        <v>695</v>
      </c>
      <c r="C9" s="67" t="s">
        <v>437</v>
      </c>
      <c r="D9" s="67" t="s">
        <v>309</v>
      </c>
      <c r="E9" s="67" t="s">
        <v>448</v>
      </c>
      <c r="F9" s="177" t="n">
        <v>2000</v>
      </c>
      <c r="G9" s="72" t="n">
        <v>0</v>
      </c>
    </row>
    <row r="10" customFormat="false" ht="13.5" hidden="false" customHeight="false" outlineLevel="0" collapsed="false">
      <c r="A10" s="67" t="n">
        <v>7000</v>
      </c>
      <c r="B10" s="67" t="s">
        <v>697</v>
      </c>
      <c r="C10" s="67" t="s">
        <v>436</v>
      </c>
      <c r="D10" s="67" t="s">
        <v>308</v>
      </c>
      <c r="E10" s="67" t="s">
        <v>448</v>
      </c>
      <c r="F10" s="177" t="n">
        <v>1936000</v>
      </c>
      <c r="G10" s="72" t="n">
        <v>0</v>
      </c>
    </row>
    <row r="11" customFormat="false" ht="13.5" hidden="false" customHeight="false" outlineLevel="0" collapsed="false">
      <c r="A11" s="67" t="n">
        <v>7010</v>
      </c>
      <c r="B11" s="67" t="s">
        <v>699</v>
      </c>
      <c r="C11" s="67" t="s">
        <v>436</v>
      </c>
      <c r="D11" s="67" t="s">
        <v>308</v>
      </c>
      <c r="E11" s="67" t="s">
        <v>448</v>
      </c>
      <c r="F11" s="177" t="n">
        <v>245440</v>
      </c>
      <c r="G11" s="72" t="n">
        <v>0</v>
      </c>
    </row>
    <row r="12" customFormat="false" ht="13.5" hidden="false" customHeight="false" outlineLevel="0" collapsed="false">
      <c r="A12" s="67" t="n">
        <v>7020</v>
      </c>
      <c r="B12" s="67" t="s">
        <v>701</v>
      </c>
      <c r="C12" s="67" t="s">
        <v>436</v>
      </c>
      <c r="D12" s="67" t="s">
        <v>308</v>
      </c>
      <c r="E12" s="67" t="s">
        <v>448</v>
      </c>
      <c r="F12" s="177" t="n">
        <v>56640</v>
      </c>
      <c r="G12" s="72" t="n">
        <v>0</v>
      </c>
    </row>
    <row r="13" customFormat="false" ht="13.5" hidden="false" customHeight="false" outlineLevel="0" collapsed="false">
      <c r="A13" s="67" t="n">
        <v>7030</v>
      </c>
      <c r="B13" s="67" t="s">
        <v>703</v>
      </c>
      <c r="C13" s="67" t="s">
        <v>436</v>
      </c>
      <c r="D13" s="67" t="s">
        <v>308</v>
      </c>
      <c r="E13" s="67" t="s">
        <v>448</v>
      </c>
      <c r="F13" s="177" t="n">
        <v>84600</v>
      </c>
      <c r="G13" s="72" t="n">
        <v>0</v>
      </c>
    </row>
    <row r="14" customFormat="false" ht="13.5" hidden="false" customHeight="false" outlineLevel="0" collapsed="false">
      <c r="A14" s="67" t="n">
        <v>7050</v>
      </c>
      <c r="B14" s="67" t="s">
        <v>1864</v>
      </c>
      <c r="C14" s="67" t="s">
        <v>437</v>
      </c>
      <c r="D14" s="67" t="s">
        <v>309</v>
      </c>
      <c r="E14" s="67" t="s">
        <v>448</v>
      </c>
      <c r="F14" s="177" t="n">
        <v>0</v>
      </c>
      <c r="G14" s="72" t="n">
        <v>0</v>
      </c>
    </row>
    <row r="15" customFormat="false" ht="13.5" hidden="false" customHeight="false" outlineLevel="0" collapsed="false">
      <c r="A15" s="67" t="n">
        <v>7100</v>
      </c>
      <c r="B15" s="67" t="s">
        <v>1865</v>
      </c>
      <c r="C15" s="67" t="s">
        <v>437</v>
      </c>
      <c r="D15" s="67" t="s">
        <v>309</v>
      </c>
      <c r="E15" s="67" t="s">
        <v>448</v>
      </c>
      <c r="F15" s="177" t="n">
        <v>301500</v>
      </c>
      <c r="G15" s="72" t="n">
        <v>0.25</v>
      </c>
    </row>
    <row r="16" customFormat="false" ht="13.5" hidden="false" customHeight="false" outlineLevel="0" collapsed="false">
      <c r="A16" s="67" t="n">
        <v>7110</v>
      </c>
      <c r="B16" s="67" t="s">
        <v>1866</v>
      </c>
      <c r="C16" s="67" t="s">
        <v>440</v>
      </c>
      <c r="D16" s="67" t="s">
        <v>309</v>
      </c>
      <c r="E16" s="67" t="s">
        <v>449</v>
      </c>
      <c r="F16" s="177" t="n">
        <v>290000</v>
      </c>
      <c r="G16" s="72" t="n">
        <v>0</v>
      </c>
    </row>
    <row r="17" customFormat="false" ht="13.5" hidden="false" customHeight="false" outlineLevel="0" collapsed="false">
      <c r="A17" s="67" t="n">
        <v>7119</v>
      </c>
      <c r="B17" s="67" t="s">
        <v>1867</v>
      </c>
      <c r="C17" s="67" t="s">
        <v>438</v>
      </c>
      <c r="D17" s="67" t="s">
        <v>309</v>
      </c>
      <c r="E17" s="67" t="s">
        <v>449</v>
      </c>
      <c r="F17" s="177" t="n">
        <v>132847.71</v>
      </c>
      <c r="G17" s="72" t="n">
        <v>0</v>
      </c>
    </row>
    <row r="18" customFormat="false" ht="13.5" hidden="false" customHeight="false" outlineLevel="0" collapsed="false">
      <c r="A18" s="67" t="n">
        <v>7120</v>
      </c>
      <c r="B18" s="67" t="s">
        <v>707</v>
      </c>
      <c r="C18" s="67" t="s">
        <v>438</v>
      </c>
      <c r="D18" s="67" t="s">
        <v>309</v>
      </c>
      <c r="E18" s="67" t="s">
        <v>449</v>
      </c>
      <c r="F18" s="177" t="n">
        <v>92000</v>
      </c>
      <c r="G18" s="72" t="n">
        <v>0</v>
      </c>
    </row>
    <row r="19" customFormat="false" ht="13.5" hidden="false" customHeight="false" outlineLevel="0" collapsed="false">
      <c r="A19" s="67" t="n">
        <v>7122</v>
      </c>
      <c r="B19" s="67" t="s">
        <v>1868</v>
      </c>
      <c r="C19" s="67" t="s">
        <v>438</v>
      </c>
      <c r="D19" s="67" t="s">
        <v>309</v>
      </c>
      <c r="E19" s="67" t="s">
        <v>449</v>
      </c>
      <c r="F19" s="177" t="n">
        <v>0</v>
      </c>
      <c r="G19" s="72" t="n">
        <v>0</v>
      </c>
    </row>
    <row r="20" customFormat="false" ht="13.5" hidden="false" customHeight="false" outlineLevel="0" collapsed="false">
      <c r="A20" s="67" t="n">
        <v>7123</v>
      </c>
      <c r="B20" s="67" t="s">
        <v>709</v>
      </c>
      <c r="C20" s="67" t="s">
        <v>438</v>
      </c>
      <c r="D20" s="67" t="s">
        <v>309</v>
      </c>
      <c r="E20" s="67" t="s">
        <v>449</v>
      </c>
      <c r="F20" s="177" t="n">
        <v>472140</v>
      </c>
      <c r="G20" s="72" t="n">
        <v>0</v>
      </c>
    </row>
    <row r="21" customFormat="false" ht="13.5" hidden="false" customHeight="false" outlineLevel="0" collapsed="false">
      <c r="A21" s="67" t="n">
        <v>7124</v>
      </c>
      <c r="B21" s="67" t="s">
        <v>711</v>
      </c>
      <c r="C21" s="67" t="s">
        <v>438</v>
      </c>
      <c r="D21" s="67" t="s">
        <v>309</v>
      </c>
      <c r="E21" s="67" t="s">
        <v>449</v>
      </c>
      <c r="F21" s="177" t="n">
        <v>169900</v>
      </c>
      <c r="G21" s="72" t="n">
        <v>0</v>
      </c>
    </row>
    <row r="22" customFormat="false" ht="13.5" hidden="false" customHeight="false" outlineLevel="0" collapsed="false">
      <c r="A22" s="67" t="n">
        <v>7125</v>
      </c>
      <c r="B22" s="67" t="s">
        <v>1869</v>
      </c>
      <c r="C22" s="67" t="s">
        <v>438</v>
      </c>
      <c r="D22" s="67" t="s">
        <v>309</v>
      </c>
      <c r="E22" s="67" t="s">
        <v>449</v>
      </c>
      <c r="F22" s="177" t="n">
        <v>262560</v>
      </c>
      <c r="G22" s="72" t="n">
        <v>0</v>
      </c>
    </row>
    <row r="23" customFormat="false" ht="13.5" hidden="false" customHeight="false" outlineLevel="0" collapsed="false">
      <c r="A23" s="67" t="n">
        <v>7130</v>
      </c>
      <c r="B23" s="67" t="s">
        <v>1870</v>
      </c>
      <c r="C23" s="67" t="s">
        <v>438</v>
      </c>
      <c r="D23" s="67" t="s">
        <v>309</v>
      </c>
      <c r="E23" s="67" t="s">
        <v>449</v>
      </c>
      <c r="F23" s="177" t="n">
        <v>5000</v>
      </c>
      <c r="G23" s="72" t="n">
        <v>0.25</v>
      </c>
    </row>
    <row r="24" customFormat="false" ht="13.5" hidden="false" customHeight="false" outlineLevel="0" collapsed="false">
      <c r="A24" s="67" t="n">
        <v>7135</v>
      </c>
      <c r="B24" s="67" t="s">
        <v>1871</v>
      </c>
      <c r="C24" s="67" t="s">
        <v>438</v>
      </c>
      <c r="D24" s="67" t="s">
        <v>309</v>
      </c>
      <c r="E24" s="67" t="s">
        <v>449</v>
      </c>
      <c r="F24" s="177" t="n">
        <v>0</v>
      </c>
      <c r="G24" s="72" t="n">
        <v>0</v>
      </c>
    </row>
    <row r="25" customFormat="false" ht="13.5" hidden="false" customHeight="false" outlineLevel="0" collapsed="false">
      <c r="A25" s="67" t="n">
        <v>7150</v>
      </c>
      <c r="B25" s="67" t="s">
        <v>713</v>
      </c>
      <c r="C25" s="67" t="s">
        <v>437</v>
      </c>
      <c r="D25" s="67" t="s">
        <v>309</v>
      </c>
      <c r="E25" s="67" t="s">
        <v>448</v>
      </c>
      <c r="F25" s="177" t="n">
        <v>18000</v>
      </c>
      <c r="G25" s="72" t="n">
        <v>0.25</v>
      </c>
    </row>
    <row r="26" customFormat="false" ht="13.5" hidden="false" customHeight="false" outlineLevel="0" collapsed="false">
      <c r="A26" s="67" t="n">
        <v>7200</v>
      </c>
      <c r="B26" s="67" t="s">
        <v>1872</v>
      </c>
      <c r="C26" s="67" t="s">
        <v>443</v>
      </c>
      <c r="D26" s="67" t="s">
        <v>309</v>
      </c>
      <c r="E26" s="67" t="s">
        <v>448</v>
      </c>
      <c r="F26" s="177" t="n">
        <v>0</v>
      </c>
      <c r="G26" s="72" t="n">
        <v>0.25</v>
      </c>
    </row>
    <row r="27" customFormat="false" ht="13.5" hidden="false" customHeight="false" outlineLevel="0" collapsed="false">
      <c r="A27" s="67" t="n">
        <v>7210</v>
      </c>
      <c r="B27" s="67" t="s">
        <v>715</v>
      </c>
      <c r="C27" s="67" t="s">
        <v>443</v>
      </c>
      <c r="D27" s="67" t="s">
        <v>309</v>
      </c>
      <c r="E27" s="67" t="s">
        <v>448</v>
      </c>
      <c r="F27" s="177" t="n">
        <v>135000</v>
      </c>
      <c r="G27" s="72" t="n">
        <v>0.25</v>
      </c>
    </row>
    <row r="28" customFormat="false" ht="13.5" hidden="false" customHeight="false" outlineLevel="0" collapsed="false">
      <c r="A28" s="67" t="n">
        <v>7220</v>
      </c>
      <c r="B28" s="67" t="s">
        <v>717</v>
      </c>
      <c r="C28" s="67" t="s">
        <v>443</v>
      </c>
      <c r="D28" s="67" t="s">
        <v>309</v>
      </c>
      <c r="E28" s="67" t="s">
        <v>448</v>
      </c>
      <c r="F28" s="177" t="n">
        <v>8000</v>
      </c>
      <c r="G28" s="72" t="n">
        <v>0.25</v>
      </c>
    </row>
    <row r="29" customFormat="false" ht="13.5" hidden="false" customHeight="false" outlineLevel="0" collapsed="false">
      <c r="A29" s="67" t="n">
        <v>7250</v>
      </c>
      <c r="B29" s="67" t="s">
        <v>1873</v>
      </c>
      <c r="C29" s="67" t="s">
        <v>443</v>
      </c>
      <c r="D29" s="67" t="s">
        <v>309</v>
      </c>
      <c r="E29" s="67" t="s">
        <v>448</v>
      </c>
      <c r="F29" s="177" t="n">
        <v>0</v>
      </c>
      <c r="G29" s="72" t="n">
        <v>0</v>
      </c>
    </row>
    <row r="30" customFormat="false" ht="13.5" hidden="false" customHeight="false" outlineLevel="0" collapsed="false">
      <c r="A30" s="67" t="n">
        <v>7400</v>
      </c>
      <c r="B30" s="67" t="s">
        <v>719</v>
      </c>
      <c r="C30" s="67" t="s">
        <v>439</v>
      </c>
      <c r="D30" s="67" t="s">
        <v>309</v>
      </c>
      <c r="E30" s="67" t="s">
        <v>449</v>
      </c>
      <c r="F30" s="177" t="n">
        <v>194869.45</v>
      </c>
      <c r="G30" s="72" t="n">
        <v>0.25</v>
      </c>
    </row>
    <row r="31" customFormat="false" ht="13.5" hidden="false" customHeight="false" outlineLevel="0" collapsed="false">
      <c r="A31" s="67" t="n">
        <v>7401</v>
      </c>
      <c r="B31" s="67" t="s">
        <v>719</v>
      </c>
      <c r="C31" s="67" t="s">
        <v>439</v>
      </c>
      <c r="D31" s="67" t="s">
        <v>309</v>
      </c>
      <c r="E31" s="67" t="s">
        <v>449</v>
      </c>
      <c r="F31" s="177" t="n">
        <v>0</v>
      </c>
      <c r="G31" s="72" t="n">
        <v>0</v>
      </c>
    </row>
    <row r="32" customFormat="false" ht="13.5" hidden="false" customHeight="false" outlineLevel="0" collapsed="false">
      <c r="A32" s="67" t="n">
        <v>7410</v>
      </c>
      <c r="B32" s="67" t="s">
        <v>721</v>
      </c>
      <c r="C32" s="67" t="s">
        <v>439</v>
      </c>
      <c r="D32" s="67" t="s">
        <v>309</v>
      </c>
      <c r="E32" s="67" t="s">
        <v>449</v>
      </c>
      <c r="F32" s="177" t="n">
        <v>50000</v>
      </c>
      <c r="G32" s="72" t="n">
        <v>0.25</v>
      </c>
    </row>
    <row r="33" customFormat="false" ht="13.5" hidden="false" customHeight="false" outlineLevel="0" collapsed="false">
      <c r="A33" s="67" t="n">
        <v>7420</v>
      </c>
      <c r="B33" s="67" t="s">
        <v>723</v>
      </c>
      <c r="C33" s="67" t="s">
        <v>438</v>
      </c>
      <c r="D33" s="67" t="s">
        <v>309</v>
      </c>
      <c r="E33" s="67" t="s">
        <v>449</v>
      </c>
      <c r="F33" s="177" t="n">
        <v>53549.3</v>
      </c>
      <c r="G33" s="72" t="n">
        <v>0</v>
      </c>
    </row>
    <row r="34" customFormat="false" ht="13.5" hidden="false" customHeight="false" outlineLevel="0" collapsed="false">
      <c r="A34" s="67" t="n">
        <v>7430</v>
      </c>
      <c r="B34" s="67" t="s">
        <v>1874</v>
      </c>
      <c r="C34" s="67" t="s">
        <v>438</v>
      </c>
      <c r="D34" s="67" t="s">
        <v>309</v>
      </c>
      <c r="E34" s="67" t="s">
        <v>449</v>
      </c>
      <c r="F34" s="177" t="n">
        <v>30000</v>
      </c>
      <c r="G34" s="72" t="n">
        <v>0</v>
      </c>
    </row>
    <row r="35" customFormat="false" ht="13.5" hidden="false" customHeight="false" outlineLevel="0" collapsed="false">
      <c r="A35" s="67" t="n">
        <v>7440</v>
      </c>
      <c r="B35" s="67" t="s">
        <v>1875</v>
      </c>
      <c r="C35" s="67" t="s">
        <v>440</v>
      </c>
      <c r="D35" s="67" t="s">
        <v>309</v>
      </c>
      <c r="E35" s="67" t="s">
        <v>449</v>
      </c>
      <c r="F35" s="177" t="n">
        <v>149040</v>
      </c>
      <c r="G35" s="72" t="n">
        <v>0</v>
      </c>
    </row>
    <row r="36" customFormat="false" ht="13.5" hidden="false" customHeight="false" outlineLevel="0" collapsed="false">
      <c r="A36" s="67" t="n">
        <v>7500</v>
      </c>
      <c r="B36" s="67" t="s">
        <v>1876</v>
      </c>
      <c r="C36" s="67" t="s">
        <v>439</v>
      </c>
      <c r="D36" s="67" t="s">
        <v>309</v>
      </c>
      <c r="E36" s="67" t="s">
        <v>449</v>
      </c>
      <c r="F36" s="177" t="n">
        <v>2500</v>
      </c>
      <c r="G36" s="72" t="n">
        <v>0</v>
      </c>
    </row>
    <row r="37" customFormat="false" ht="13.5" hidden="false" customHeight="false" outlineLevel="0" collapsed="false">
      <c r="A37" s="67" t="n">
        <v>7510</v>
      </c>
      <c r="B37" s="67" t="s">
        <v>1877</v>
      </c>
      <c r="C37" s="67" t="s">
        <v>439</v>
      </c>
      <c r="D37" s="67" t="s">
        <v>309</v>
      </c>
      <c r="E37" s="67" t="s">
        <v>449</v>
      </c>
      <c r="F37" s="177" t="n">
        <v>0</v>
      </c>
      <c r="G37" s="72" t="n">
        <v>0</v>
      </c>
    </row>
    <row r="38" customFormat="false" ht="13.5" hidden="false" customHeight="false" outlineLevel="0" collapsed="false">
      <c r="A38" s="67" t="n">
        <v>7520</v>
      </c>
      <c r="B38" s="67" t="s">
        <v>1878</v>
      </c>
      <c r="C38" s="67" t="s">
        <v>439</v>
      </c>
      <c r="D38" s="67" t="s">
        <v>309</v>
      </c>
      <c r="E38" s="67" t="s">
        <v>449</v>
      </c>
      <c r="F38" s="177" t="n">
        <v>0</v>
      </c>
      <c r="G38" s="72" t="n">
        <v>0</v>
      </c>
    </row>
    <row r="39" customFormat="false" ht="13.5" hidden="false" customHeight="false" outlineLevel="0" collapsed="false">
      <c r="A39" s="67" t="n">
        <v>7530</v>
      </c>
      <c r="B39" s="67" t="s">
        <v>1879</v>
      </c>
      <c r="C39" s="67" t="s">
        <v>439</v>
      </c>
      <c r="D39" s="67" t="s">
        <v>309</v>
      </c>
      <c r="E39" s="67" t="s">
        <v>449</v>
      </c>
      <c r="F39" s="177" t="n">
        <v>0</v>
      </c>
      <c r="G39" s="72" t="n">
        <v>0</v>
      </c>
    </row>
    <row r="40" customFormat="false" ht="13.5" hidden="false" customHeight="false" outlineLevel="0" collapsed="false">
      <c r="A40" s="67" t="n">
        <v>7540</v>
      </c>
      <c r="B40" s="67" t="s">
        <v>729</v>
      </c>
      <c r="C40" s="67" t="s">
        <v>443</v>
      </c>
      <c r="D40" s="67" t="s">
        <v>309</v>
      </c>
      <c r="E40" s="67" t="s">
        <v>448</v>
      </c>
      <c r="F40" s="177" t="n">
        <v>8000</v>
      </c>
      <c r="G40" s="72" t="n">
        <v>0.25</v>
      </c>
    </row>
    <row r="41" customFormat="false" ht="13.5" hidden="false" customHeight="false" outlineLevel="0" collapsed="false">
      <c r="A41" s="67" t="n">
        <v>7550</v>
      </c>
      <c r="B41" s="67" t="s">
        <v>731</v>
      </c>
      <c r="C41" s="67" t="s">
        <v>443</v>
      </c>
      <c r="D41" s="67" t="s">
        <v>309</v>
      </c>
      <c r="E41" s="67" t="s">
        <v>448</v>
      </c>
      <c r="F41" s="177" t="n">
        <v>100000</v>
      </c>
      <c r="G41" s="72" t="n">
        <v>0.25</v>
      </c>
    </row>
    <row r="42" customFormat="false" ht="13.5" hidden="false" customHeight="false" outlineLevel="0" collapsed="false">
      <c r="A42" s="67" t="n">
        <v>7560</v>
      </c>
      <c r="B42" s="67" t="s">
        <v>1880</v>
      </c>
      <c r="C42" s="67" t="s">
        <v>443</v>
      </c>
      <c r="D42" s="67" t="s">
        <v>309</v>
      </c>
      <c r="E42" s="67" t="s">
        <v>448</v>
      </c>
      <c r="F42" s="177" t="n">
        <v>0</v>
      </c>
      <c r="G42" s="72" t="n">
        <v>0</v>
      </c>
    </row>
    <row r="43" customFormat="false" ht="13.5" hidden="false" customHeight="false" outlineLevel="0" collapsed="false">
      <c r="A43" s="67" t="n">
        <v>7570</v>
      </c>
      <c r="B43" s="67" t="s">
        <v>534</v>
      </c>
      <c r="C43" s="67" t="s">
        <v>443</v>
      </c>
      <c r="D43" s="67" t="s">
        <v>309</v>
      </c>
      <c r="E43" s="67" t="s">
        <v>448</v>
      </c>
      <c r="F43" s="177" t="n">
        <v>0</v>
      </c>
      <c r="G43" s="72" t="n">
        <v>0</v>
      </c>
    </row>
    <row r="44" customFormat="false" ht="13.5" hidden="false" customHeight="false" outlineLevel="0" collapsed="false">
      <c r="A44" s="67" t="n">
        <v>7580</v>
      </c>
      <c r="B44" s="67" t="s">
        <v>734</v>
      </c>
      <c r="C44" s="67" t="s">
        <v>443</v>
      </c>
      <c r="D44" s="67" t="s">
        <v>309</v>
      </c>
      <c r="E44" s="67" t="s">
        <v>448</v>
      </c>
      <c r="F44" s="177" t="n">
        <v>14000</v>
      </c>
      <c r="G44" s="72" t="n">
        <v>0.25</v>
      </c>
    </row>
    <row r="45" customFormat="false" ht="13.5" hidden="false" customHeight="false" outlineLevel="0" collapsed="false">
      <c r="A45" s="67" t="n">
        <v>7600</v>
      </c>
      <c r="B45" s="67" t="s">
        <v>1881</v>
      </c>
      <c r="C45" s="67" t="s">
        <v>441</v>
      </c>
      <c r="D45" s="67" t="s">
        <v>309</v>
      </c>
      <c r="E45" s="67" t="s">
        <v>448</v>
      </c>
      <c r="F45" s="177" t="n">
        <v>12000</v>
      </c>
      <c r="G45" s="72" t="n">
        <v>0</v>
      </c>
    </row>
    <row r="46" customFormat="false" ht="13.5" hidden="false" customHeight="false" outlineLevel="0" collapsed="false">
      <c r="A46" s="67" t="n">
        <v>7610</v>
      </c>
      <c r="B46" s="67" t="s">
        <v>1882</v>
      </c>
      <c r="C46" s="67" t="s">
        <v>441</v>
      </c>
      <c r="D46" s="67" t="s">
        <v>309</v>
      </c>
      <c r="E46" s="67" t="s">
        <v>448</v>
      </c>
      <c r="F46" s="177" t="n">
        <v>0</v>
      </c>
      <c r="G46" s="72" t="n">
        <v>0</v>
      </c>
    </row>
    <row r="47" customFormat="false" ht="13.5" hidden="false" customHeight="false" outlineLevel="0" collapsed="false">
      <c r="A47" s="67" t="n">
        <v>7620</v>
      </c>
      <c r="B47" s="67" t="s">
        <v>736</v>
      </c>
      <c r="C47" s="67" t="s">
        <v>441</v>
      </c>
      <c r="D47" s="67" t="s">
        <v>309</v>
      </c>
      <c r="E47" s="67" t="s">
        <v>448</v>
      </c>
      <c r="F47" s="177" t="n">
        <v>15697.06</v>
      </c>
      <c r="G47" s="72" t="n">
        <v>0</v>
      </c>
    </row>
    <row r="48" customFormat="false" ht="13.5" hidden="false" customHeight="false" outlineLevel="0" collapsed="false">
      <c r="A48" s="67" t="n">
        <v>7621</v>
      </c>
      <c r="B48" s="67" t="s">
        <v>1883</v>
      </c>
      <c r="C48" s="67" t="s">
        <v>441</v>
      </c>
      <c r="D48" s="67" t="s">
        <v>309</v>
      </c>
      <c r="E48" s="67" t="s">
        <v>448</v>
      </c>
      <c r="F48" s="177" t="n">
        <v>85000</v>
      </c>
      <c r="G48" s="72" t="n">
        <v>0</v>
      </c>
    </row>
    <row r="49" customFormat="false" ht="13.5" hidden="false" customHeight="false" outlineLevel="0" collapsed="false">
      <c r="A49" s="67" t="n">
        <v>7630</v>
      </c>
      <c r="B49" s="67" t="s">
        <v>738</v>
      </c>
      <c r="C49" s="67" t="s">
        <v>443</v>
      </c>
      <c r="D49" s="67" t="s">
        <v>309</v>
      </c>
      <c r="E49" s="67" t="s">
        <v>448</v>
      </c>
      <c r="F49" s="177" t="n">
        <v>71230.85</v>
      </c>
      <c r="G49" s="72" t="n">
        <v>0.25</v>
      </c>
    </row>
    <row r="50" customFormat="false" ht="13.5" hidden="false" customHeight="false" outlineLevel="0" collapsed="false">
      <c r="A50" s="67" t="n">
        <v>7631</v>
      </c>
      <c r="B50" s="67" t="s">
        <v>1884</v>
      </c>
      <c r="C50" s="67" t="s">
        <v>443</v>
      </c>
      <c r="D50" s="67" t="s">
        <v>309</v>
      </c>
      <c r="E50" s="67" t="s">
        <v>448</v>
      </c>
      <c r="F50" s="177" t="n">
        <v>0</v>
      </c>
      <c r="G50" s="72" t="n">
        <v>0</v>
      </c>
    </row>
    <row r="51" customFormat="false" ht="13.5" hidden="false" customHeight="false" outlineLevel="0" collapsed="false">
      <c r="A51" s="67" t="n">
        <v>7640</v>
      </c>
      <c r="B51" s="67" t="s">
        <v>1885</v>
      </c>
      <c r="C51" s="67" t="s">
        <v>441</v>
      </c>
      <c r="D51" s="67" t="s">
        <v>309</v>
      </c>
      <c r="E51" s="67" t="s">
        <v>448</v>
      </c>
      <c r="F51" s="177" t="n">
        <v>36114.5</v>
      </c>
      <c r="G51" s="72" t="n">
        <v>0</v>
      </c>
    </row>
    <row r="52" customFormat="false" ht="13.5" hidden="false" customHeight="false" outlineLevel="0" collapsed="false">
      <c r="A52" s="67" t="n">
        <v>7650</v>
      </c>
      <c r="B52" s="67" t="s">
        <v>740</v>
      </c>
      <c r="C52" s="67" t="s">
        <v>441</v>
      </c>
      <c r="D52" s="67" t="s">
        <v>309</v>
      </c>
      <c r="E52" s="67" t="s">
        <v>448</v>
      </c>
      <c r="F52" s="177" t="n">
        <v>821250.18</v>
      </c>
      <c r="G52" s="72" t="n">
        <v>0.25</v>
      </c>
    </row>
    <row r="53" customFormat="false" ht="13.5" hidden="false" customHeight="false" outlineLevel="0" collapsed="false">
      <c r="A53" s="67" t="n">
        <v>7660</v>
      </c>
      <c r="B53" s="67" t="s">
        <v>742</v>
      </c>
      <c r="C53" s="67" t="s">
        <v>441</v>
      </c>
      <c r="D53" s="67" t="s">
        <v>309</v>
      </c>
      <c r="E53" s="67" t="s">
        <v>448</v>
      </c>
      <c r="F53" s="177" t="n">
        <v>58500</v>
      </c>
      <c r="G53" s="72" t="n">
        <v>0</v>
      </c>
    </row>
    <row r="54" customFormat="false" ht="13.5" hidden="false" customHeight="false" outlineLevel="0" collapsed="false">
      <c r="A54" s="67" t="n">
        <v>7700</v>
      </c>
      <c r="B54" s="67" t="s">
        <v>744</v>
      </c>
      <c r="C54" s="67" t="s">
        <v>442</v>
      </c>
      <c r="D54" s="67" t="s">
        <v>309</v>
      </c>
      <c r="E54" s="67" t="s">
        <v>448</v>
      </c>
      <c r="F54" s="177" t="n">
        <v>218627.64</v>
      </c>
      <c r="G54" s="72" t="n">
        <v>0</v>
      </c>
    </row>
    <row r="55" customFormat="false" ht="13.5" hidden="false" customHeight="false" outlineLevel="0" collapsed="false">
      <c r="A55" s="67" t="n">
        <v>7701</v>
      </c>
      <c r="B55" s="67" t="s">
        <v>1886</v>
      </c>
      <c r="C55" s="67" t="s">
        <v>442</v>
      </c>
      <c r="D55" s="67" t="s">
        <v>309</v>
      </c>
      <c r="E55" s="67" t="s">
        <v>448</v>
      </c>
      <c r="F55" s="177" t="n">
        <v>0</v>
      </c>
      <c r="G55" s="72" t="n">
        <v>0</v>
      </c>
    </row>
    <row r="56" customFormat="false" ht="13.5" hidden="false" customHeight="false" outlineLevel="0" collapsed="false">
      <c r="A56" s="67" t="n">
        <v>7710</v>
      </c>
      <c r="B56" s="67" t="s">
        <v>746</v>
      </c>
      <c r="C56" s="67" t="s">
        <v>442</v>
      </c>
      <c r="D56" s="67" t="s">
        <v>309</v>
      </c>
      <c r="E56" s="67" t="s">
        <v>448</v>
      </c>
      <c r="F56" s="177" t="n">
        <v>16000</v>
      </c>
      <c r="G56" s="72" t="n">
        <v>0.25</v>
      </c>
    </row>
    <row r="57" customFormat="false" ht="13.5" hidden="false" customHeight="false" outlineLevel="0" collapsed="false">
      <c r="A57" s="67" t="n">
        <v>7720</v>
      </c>
      <c r="B57" s="67" t="s">
        <v>1887</v>
      </c>
      <c r="C57" s="67" t="s">
        <v>442</v>
      </c>
      <c r="D57" s="67" t="s">
        <v>309</v>
      </c>
      <c r="E57" s="67" t="s">
        <v>448</v>
      </c>
      <c r="F57" s="177" t="n">
        <v>0</v>
      </c>
      <c r="G57" s="72" t="n">
        <v>0</v>
      </c>
    </row>
    <row r="58" customFormat="false" ht="13.5" hidden="false" customHeight="false" outlineLevel="0" collapsed="false">
      <c r="A58" s="67" t="n">
        <v>7721</v>
      </c>
      <c r="B58" s="67" t="s">
        <v>1888</v>
      </c>
      <c r="C58" s="67" t="s">
        <v>442</v>
      </c>
      <c r="D58" s="67" t="s">
        <v>309</v>
      </c>
      <c r="E58" s="67" t="s">
        <v>448</v>
      </c>
      <c r="F58" s="177" t="n">
        <v>0</v>
      </c>
      <c r="G58" s="72" t="n">
        <v>0</v>
      </c>
    </row>
    <row r="59" customFormat="false" ht="13.5" hidden="false" customHeight="false" outlineLevel="0" collapsed="false">
      <c r="A59" s="67" t="n">
        <v>7730</v>
      </c>
      <c r="B59" s="67" t="s">
        <v>748</v>
      </c>
      <c r="C59" s="67" t="s">
        <v>442</v>
      </c>
      <c r="D59" s="67" t="s">
        <v>309</v>
      </c>
      <c r="E59" s="67" t="s">
        <v>448</v>
      </c>
      <c r="F59" s="177" t="n">
        <v>86640</v>
      </c>
      <c r="G59" s="72" t="n">
        <v>0.25</v>
      </c>
    </row>
    <row r="60" customFormat="false" ht="13.5" hidden="false" customHeight="false" outlineLevel="0" collapsed="false">
      <c r="A60" s="67" t="n">
        <v>7740</v>
      </c>
      <c r="B60" s="67" t="s">
        <v>1889</v>
      </c>
      <c r="C60" s="67" t="s">
        <v>442</v>
      </c>
      <c r="D60" s="67" t="s">
        <v>309</v>
      </c>
      <c r="E60" s="67" t="s">
        <v>448</v>
      </c>
      <c r="F60" s="177" t="n">
        <v>0</v>
      </c>
      <c r="G60" s="72" t="n">
        <v>0</v>
      </c>
    </row>
    <row r="61" customFormat="false" ht="13.5" hidden="false" customHeight="false" outlineLevel="0" collapsed="false">
      <c r="A61" s="67" t="n">
        <v>7741</v>
      </c>
      <c r="B61" s="67" t="s">
        <v>1890</v>
      </c>
      <c r="C61" s="67" t="s">
        <v>442</v>
      </c>
      <c r="D61" s="67" t="s">
        <v>309</v>
      </c>
      <c r="E61" s="67" t="s">
        <v>448</v>
      </c>
      <c r="F61" s="177" t="n">
        <v>0</v>
      </c>
      <c r="G61" s="72" t="n">
        <v>0</v>
      </c>
    </row>
    <row r="62" customFormat="false" ht="13.5" hidden="false" customHeight="false" outlineLevel="0" collapsed="false">
      <c r="A62" s="67" t="n">
        <v>7750</v>
      </c>
      <c r="B62" s="67" t="s">
        <v>752</v>
      </c>
      <c r="C62" s="67" t="s">
        <v>442</v>
      </c>
      <c r="D62" s="67" t="s">
        <v>309</v>
      </c>
      <c r="E62" s="67" t="s">
        <v>448</v>
      </c>
      <c r="F62" s="177" t="n">
        <v>48549</v>
      </c>
      <c r="G62" s="72" t="n">
        <v>0.25</v>
      </c>
    </row>
    <row r="63" customFormat="false" ht="13.5" hidden="false" customHeight="false" outlineLevel="0" collapsed="false">
      <c r="A63" s="67" t="n">
        <v>7760</v>
      </c>
      <c r="B63" s="67" t="s">
        <v>754</v>
      </c>
      <c r="C63" s="67" t="s">
        <v>442</v>
      </c>
      <c r="D63" s="67" t="s">
        <v>309</v>
      </c>
      <c r="E63" s="67" t="s">
        <v>448</v>
      </c>
      <c r="F63" s="177" t="n">
        <v>0</v>
      </c>
      <c r="G63" s="72" t="n">
        <v>0.25</v>
      </c>
    </row>
    <row r="64" customFormat="false" ht="13.5" hidden="false" customHeight="false" outlineLevel="0" collapsed="false">
      <c r="A64" s="67" t="n">
        <v>7761</v>
      </c>
      <c r="B64" s="67" t="s">
        <v>1891</v>
      </c>
      <c r="C64" s="67" t="s">
        <v>442</v>
      </c>
      <c r="D64" s="67" t="s">
        <v>309</v>
      </c>
      <c r="E64" s="67" t="s">
        <v>448</v>
      </c>
      <c r="F64" s="177" t="n">
        <v>53953.86</v>
      </c>
      <c r="G64" s="72" t="n">
        <v>0</v>
      </c>
    </row>
    <row r="65" customFormat="false" ht="13.5" hidden="false" customHeight="false" outlineLevel="0" collapsed="false">
      <c r="A65" s="67" t="n">
        <v>7770</v>
      </c>
      <c r="B65" s="67" t="s">
        <v>1892</v>
      </c>
      <c r="C65" s="67" t="s">
        <v>438</v>
      </c>
      <c r="D65" s="67" t="s">
        <v>309</v>
      </c>
      <c r="E65" s="67" t="s">
        <v>449</v>
      </c>
      <c r="F65" s="177" t="n">
        <v>0</v>
      </c>
      <c r="G65" s="72" t="n">
        <v>0</v>
      </c>
    </row>
    <row r="66" customFormat="false" ht="13.5" hidden="false" customHeight="false" outlineLevel="0" collapsed="false">
      <c r="A66" s="67" t="n">
        <v>7800</v>
      </c>
      <c r="B66" s="67" t="s">
        <v>756</v>
      </c>
      <c r="C66" s="67" t="s">
        <v>443</v>
      </c>
      <c r="D66" s="67" t="s">
        <v>309</v>
      </c>
      <c r="E66" s="67" t="s">
        <v>448</v>
      </c>
      <c r="F66" s="177" t="n">
        <v>63500</v>
      </c>
      <c r="G66" s="72" t="n">
        <v>0.25</v>
      </c>
    </row>
    <row r="67" customFormat="false" ht="13.5" hidden="false" customHeight="false" outlineLevel="0" collapsed="false">
      <c r="A67" s="67" t="n">
        <v>7810</v>
      </c>
      <c r="B67" s="67" t="s">
        <v>758</v>
      </c>
      <c r="C67" s="67" t="s">
        <v>443</v>
      </c>
      <c r="D67" s="67" t="s">
        <v>309</v>
      </c>
      <c r="E67" s="67" t="s">
        <v>448</v>
      </c>
      <c r="F67" s="177" t="n">
        <v>51344.28</v>
      </c>
      <c r="G67" s="72" t="n">
        <v>0.25</v>
      </c>
    </row>
    <row r="68" customFormat="false" ht="13.5" hidden="false" customHeight="false" outlineLevel="0" collapsed="false">
      <c r="A68" s="67" t="n">
        <v>7820</v>
      </c>
      <c r="B68" s="67" t="s">
        <v>760</v>
      </c>
      <c r="C68" s="67" t="s">
        <v>443</v>
      </c>
      <c r="D68" s="67" t="s">
        <v>309</v>
      </c>
      <c r="E68" s="67" t="s">
        <v>448</v>
      </c>
      <c r="F68" s="177" t="n">
        <v>47300</v>
      </c>
      <c r="G68" s="72" t="n">
        <v>0.25</v>
      </c>
    </row>
    <row r="69" customFormat="false" ht="13.5" hidden="false" customHeight="false" outlineLevel="0" collapsed="false">
      <c r="A69" s="67" t="n">
        <v>7830</v>
      </c>
      <c r="B69" s="67" t="s">
        <v>1893</v>
      </c>
      <c r="C69" s="67" t="s">
        <v>443</v>
      </c>
      <c r="D69" s="67" t="s">
        <v>309</v>
      </c>
      <c r="E69" s="67" t="s">
        <v>448</v>
      </c>
      <c r="F69" s="177" t="n">
        <v>0</v>
      </c>
      <c r="G69" s="72" t="n">
        <v>0</v>
      </c>
    </row>
    <row r="70" customFormat="false" ht="13.5" hidden="false" customHeight="false" outlineLevel="0" collapsed="false">
      <c r="A70" s="67" t="n">
        <v>7900</v>
      </c>
      <c r="B70" s="67" t="s">
        <v>1894</v>
      </c>
      <c r="C70" s="67" t="s">
        <v>444</v>
      </c>
      <c r="D70" s="67" t="s">
        <v>309</v>
      </c>
      <c r="E70" s="67" t="s">
        <v>448</v>
      </c>
      <c r="F70" s="177" t="n">
        <v>0</v>
      </c>
      <c r="G70" s="72" t="n">
        <v>0</v>
      </c>
    </row>
    <row r="71" customFormat="false" ht="13.5" hidden="false" customHeight="false" outlineLevel="0" collapsed="false">
      <c r="A71" s="67" t="n">
        <v>7901</v>
      </c>
      <c r="B71" s="67" t="s">
        <v>1895</v>
      </c>
      <c r="C71" s="67" t="s">
        <v>444</v>
      </c>
      <c r="D71" s="67" t="s">
        <v>309</v>
      </c>
      <c r="E71" s="67" t="s">
        <v>448</v>
      </c>
      <c r="F71" s="177" t="n">
        <v>0</v>
      </c>
      <c r="G71" s="72" t="n">
        <v>0</v>
      </c>
    </row>
    <row r="72" customFormat="false" ht="13.5" hidden="false" customHeight="false" outlineLevel="0" collapsed="false">
      <c r="A72" s="67" t="n">
        <v>7902</v>
      </c>
      <c r="B72" s="67" t="s">
        <v>1896</v>
      </c>
      <c r="C72" s="67" t="s">
        <v>444</v>
      </c>
      <c r="D72" s="67" t="s">
        <v>309</v>
      </c>
      <c r="E72" s="67" t="s">
        <v>448</v>
      </c>
      <c r="F72" s="177" t="n">
        <v>0</v>
      </c>
      <c r="G72" s="72" t="n">
        <v>0</v>
      </c>
    </row>
    <row r="73" customFormat="false" ht="13.5" hidden="false" customHeight="false" outlineLevel="0" collapsed="false">
      <c r="A73" s="67" t="n">
        <v>7910</v>
      </c>
      <c r="B73" s="67" t="s">
        <v>762</v>
      </c>
      <c r="C73" s="67" t="s">
        <v>444</v>
      </c>
      <c r="D73" s="67" t="s">
        <v>309</v>
      </c>
      <c r="E73" s="67" t="s">
        <v>448</v>
      </c>
      <c r="F73" s="177" t="n">
        <v>45000</v>
      </c>
      <c r="G73" s="72" t="n">
        <v>0</v>
      </c>
    </row>
    <row r="74" customFormat="false" ht="13.5" hidden="false" customHeight="false" outlineLevel="0" collapsed="false">
      <c r="A74" s="67" t="n">
        <v>7911</v>
      </c>
      <c r="B74" s="67" t="s">
        <v>1897</v>
      </c>
      <c r="C74" s="67" t="s">
        <v>444</v>
      </c>
      <c r="D74" s="67" t="s">
        <v>309</v>
      </c>
      <c r="E74" s="67" t="s">
        <v>448</v>
      </c>
      <c r="F74" s="177" t="n">
        <v>0</v>
      </c>
      <c r="G74" s="72" t="n">
        <v>0</v>
      </c>
    </row>
    <row r="75" customFormat="false" ht="13.5" hidden="false" customHeight="false" outlineLevel="0" collapsed="false">
      <c r="A75" s="67" t="n">
        <v>7920</v>
      </c>
      <c r="B75" s="67" t="s">
        <v>1898</v>
      </c>
      <c r="C75" s="67" t="s">
        <v>444</v>
      </c>
      <c r="D75" s="67" t="s">
        <v>309</v>
      </c>
      <c r="E75" s="67" t="s">
        <v>448</v>
      </c>
      <c r="F75" s="177" t="n">
        <v>0</v>
      </c>
      <c r="G75" s="72" t="n">
        <v>0</v>
      </c>
    </row>
    <row r="76" customFormat="false" ht="13.5" hidden="false" customHeight="false" outlineLevel="0" collapsed="false">
      <c r="A76" s="67" t="n">
        <v>7930</v>
      </c>
      <c r="B76" s="67" t="s">
        <v>1899</v>
      </c>
      <c r="C76" s="67" t="s">
        <v>444</v>
      </c>
      <c r="D76" s="67" t="s">
        <v>309</v>
      </c>
      <c r="E76" s="67" t="s">
        <v>448</v>
      </c>
      <c r="F76" s="177" t="n">
        <v>0</v>
      </c>
      <c r="G76" s="72" t="n">
        <v>0</v>
      </c>
    </row>
    <row r="77" customFormat="false" ht="13.5" hidden="false" customHeight="false" outlineLevel="0" collapsed="false">
      <c r="A77" s="67" t="n">
        <v>7940</v>
      </c>
      <c r="B77" s="67" t="s">
        <v>764</v>
      </c>
      <c r="C77" s="67" t="s">
        <v>445</v>
      </c>
      <c r="D77" s="67" t="s">
        <v>309</v>
      </c>
      <c r="E77" s="67" t="s">
        <v>448</v>
      </c>
      <c r="F77" s="177" t="n">
        <v>0</v>
      </c>
      <c r="G77" s="72" t="n">
        <v>0</v>
      </c>
    </row>
    <row r="78" customFormat="false" ht="13.5" hidden="false" customHeight="false" outlineLevel="0" collapsed="false">
      <c r="A78" s="67" t="n">
        <v>7950</v>
      </c>
      <c r="B78" s="67" t="s">
        <v>1900</v>
      </c>
      <c r="C78" s="67" t="s">
        <v>443</v>
      </c>
      <c r="D78" s="67" t="s">
        <v>309</v>
      </c>
      <c r="E78" s="67" t="s">
        <v>448</v>
      </c>
      <c r="F78" s="177" t="n">
        <v>0</v>
      </c>
      <c r="G78" s="72" t="n">
        <v>0</v>
      </c>
    </row>
    <row r="80" customFormat="false" ht="13.5" hidden="false" customHeight="false" outlineLevel="0" collapsed="false">
      <c r="E80" s="14" t="s">
        <v>1901</v>
      </c>
      <c r="F80" s="82" t="n">
        <f aca="false">SUM(F5:F78)</f>
        <v>13774371.53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Z134"/>
  <sheetViews>
    <sheetView showFormulas="false" showGridLines="true" showRowColHeaders="true" showZeros="true" rightToLeft="false" tabSelected="false" showOutlineSymbols="true" defaultGridColor="true" view="normal" topLeftCell="M115" colorId="64" zoomScale="100" zoomScaleNormal="100" zoomScalePageLayoutView="100" workbookViewId="0">
      <selection pane="topLeft" activeCell="N128" activeCellId="0" sqref="N128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2"/>
    <col collapsed="false" customWidth="true" hidden="false" outlineLevel="0" max="3" min="3" style="1" width="34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3"/>
    <col collapsed="false" customWidth="true" hidden="false" outlineLevel="0" max="7" min="7" style="1" width="13"/>
    <col collapsed="false" customWidth="true" hidden="false" outlineLevel="0" max="8" min="8" style="1" width="40"/>
    <col collapsed="false" customWidth="true" hidden="false" outlineLevel="0" max="9" min="9" style="1" width="24"/>
    <col collapsed="false" customWidth="true" hidden="false" outlineLevel="0" max="11" min="10" style="1" width="12"/>
    <col collapsed="false" customWidth="true" hidden="false" outlineLevel="0" max="12" min="12" style="1" width="24"/>
    <col collapsed="false" customWidth="true" hidden="false" outlineLevel="0" max="13" min="13" style="1" width="3"/>
    <col collapsed="false" customWidth="true" hidden="false" outlineLevel="0" max="14" min="14" style="1" width="13"/>
    <col collapsed="false" customWidth="true" hidden="false" outlineLevel="0" max="15" min="15" style="1" width="44"/>
    <col collapsed="false" customWidth="true" hidden="false" outlineLevel="0" max="16" min="16" style="1" width="34"/>
    <col collapsed="false" customWidth="true" hidden="false" outlineLevel="0" max="17" min="17" style="1" width="26"/>
    <col collapsed="false" customWidth="true" hidden="false" outlineLevel="0" max="18" min="18" style="1" width="18"/>
  </cols>
  <sheetData>
    <row r="1" customFormat="false" ht="9.75" hidden="false" customHeight="true" outlineLevel="0" collapsed="false">
      <c r="A1" s="18" t="s">
        <v>1902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9"/>
      <c r="U1" s="19"/>
      <c r="V1" s="19"/>
      <c r="W1" s="19"/>
      <c r="X1" s="19"/>
      <c r="Y1" s="19"/>
      <c r="Z1" s="19"/>
    </row>
    <row r="2" customFormat="false" ht="13.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78" t="s">
        <v>1903</v>
      </c>
      <c r="O2" s="20"/>
      <c r="P2" s="20"/>
      <c r="Q2" s="20"/>
      <c r="R2" s="20"/>
    </row>
    <row r="3" customFormat="false" ht="13.5" hidden="false" customHeight="false" outlineLevel="0" collapsed="false">
      <c r="A3" s="20" t="s">
        <v>796</v>
      </c>
      <c r="B3" s="20" t="s">
        <v>1205</v>
      </c>
      <c r="C3" s="20" t="s">
        <v>426</v>
      </c>
      <c r="D3" s="20" t="s">
        <v>427</v>
      </c>
      <c r="E3" s="20" t="s">
        <v>447</v>
      </c>
      <c r="F3" s="20"/>
      <c r="G3" s="179" t="s">
        <v>1904</v>
      </c>
      <c r="H3" s="20" t="s">
        <v>823</v>
      </c>
      <c r="I3" s="20" t="s">
        <v>276</v>
      </c>
      <c r="J3" s="20" t="s">
        <v>1184</v>
      </c>
      <c r="K3" s="20" t="s">
        <v>103</v>
      </c>
      <c r="L3" s="20" t="s">
        <v>1183</v>
      </c>
      <c r="M3" s="20"/>
      <c r="N3" s="20" t="s">
        <v>500</v>
      </c>
      <c r="O3" s="20" t="s">
        <v>501</v>
      </c>
      <c r="P3" s="20" t="s">
        <v>513</v>
      </c>
      <c r="Q3" s="20" t="s">
        <v>523</v>
      </c>
      <c r="R3" s="20" t="s">
        <v>1905</v>
      </c>
      <c r="S3" s="124" t="s">
        <v>526</v>
      </c>
    </row>
    <row r="4" customFormat="false" ht="13.5" hidden="false" customHeight="false" outlineLevel="0" collapsed="false">
      <c r="A4" s="29" t="n">
        <v>4000</v>
      </c>
      <c r="B4" s="29" t="s">
        <v>671</v>
      </c>
      <c r="C4" s="29" t="s">
        <v>1906</v>
      </c>
      <c r="D4" s="29" t="s">
        <v>1907</v>
      </c>
      <c r="E4" s="29" t="s">
        <v>1907</v>
      </c>
      <c r="F4" s="20"/>
      <c r="G4" s="29" t="s">
        <v>1760</v>
      </c>
      <c r="H4" s="29" t="s">
        <v>1761</v>
      </c>
      <c r="I4" s="29" t="s">
        <v>355</v>
      </c>
      <c r="J4" s="29" t="s">
        <v>1762</v>
      </c>
      <c r="K4" s="29" t="s">
        <v>1763</v>
      </c>
      <c r="L4" s="29" t="s">
        <v>355</v>
      </c>
      <c r="M4" s="20"/>
      <c r="N4" s="29" t="s">
        <v>527</v>
      </c>
      <c r="O4" s="29" t="s">
        <v>528</v>
      </c>
      <c r="P4" s="29" t="s">
        <v>465</v>
      </c>
      <c r="Q4" s="29"/>
      <c r="R4" s="29" t="n">
        <v>1</v>
      </c>
    </row>
    <row r="5" customFormat="false" ht="13.5" hidden="false" customHeight="false" outlineLevel="0" collapsed="false">
      <c r="A5" s="29" t="n">
        <v>4002</v>
      </c>
      <c r="B5" s="29" t="s">
        <v>673</v>
      </c>
      <c r="C5" s="29" t="s">
        <v>1906</v>
      </c>
      <c r="D5" s="29" t="s">
        <v>1907</v>
      </c>
      <c r="E5" s="29" t="s">
        <v>1907</v>
      </c>
      <c r="F5" s="20"/>
      <c r="G5" s="29" t="s">
        <v>1105</v>
      </c>
      <c r="H5" s="29" t="s">
        <v>1106</v>
      </c>
      <c r="I5" s="29" t="s">
        <v>355</v>
      </c>
      <c r="J5" s="29" t="s">
        <v>1767</v>
      </c>
      <c r="K5" s="29" t="s">
        <v>1763</v>
      </c>
      <c r="L5" s="29" t="s">
        <v>1908</v>
      </c>
      <c r="M5" s="20"/>
      <c r="N5" s="29" t="s">
        <v>531</v>
      </c>
      <c r="O5" s="29" t="s">
        <v>532</v>
      </c>
      <c r="P5" s="29" t="s">
        <v>465</v>
      </c>
      <c r="Q5" s="29"/>
      <c r="R5" s="29" t="n">
        <v>1</v>
      </c>
    </row>
    <row r="6" customFormat="false" ht="13.5" hidden="false" customHeight="false" outlineLevel="0" collapsed="false">
      <c r="A6" s="29" t="n">
        <v>4050</v>
      </c>
      <c r="B6" s="29" t="s">
        <v>675</v>
      </c>
      <c r="C6" s="29" t="s">
        <v>1906</v>
      </c>
      <c r="D6" s="29" t="s">
        <v>1907</v>
      </c>
      <c r="E6" s="29" t="s">
        <v>1907</v>
      </c>
      <c r="F6" s="20"/>
      <c r="G6" s="29" t="s">
        <v>970</v>
      </c>
      <c r="H6" s="29" t="s">
        <v>971</v>
      </c>
      <c r="I6" s="29" t="s">
        <v>355</v>
      </c>
      <c r="J6" s="29" t="s">
        <v>1772</v>
      </c>
      <c r="K6" s="29" t="s">
        <v>1763</v>
      </c>
      <c r="L6" s="29" t="s">
        <v>1908</v>
      </c>
      <c r="M6" s="20"/>
      <c r="N6" s="29" t="s">
        <v>533</v>
      </c>
      <c r="O6" s="29" t="s">
        <v>534</v>
      </c>
      <c r="P6" s="29" t="s">
        <v>466</v>
      </c>
      <c r="Q6" s="29"/>
      <c r="R6" s="29" t="n">
        <v>1</v>
      </c>
    </row>
    <row r="7" customFormat="false" ht="13.5" hidden="false" customHeight="false" outlineLevel="0" collapsed="false">
      <c r="A7" s="29" t="n">
        <v>4200</v>
      </c>
      <c r="B7" s="29" t="s">
        <v>677</v>
      </c>
      <c r="C7" s="29" t="s">
        <v>1906</v>
      </c>
      <c r="D7" s="29" t="s">
        <v>1907</v>
      </c>
      <c r="E7" s="29" t="s">
        <v>1907</v>
      </c>
      <c r="F7" s="20"/>
      <c r="G7" s="29" t="s">
        <v>1776</v>
      </c>
      <c r="H7" s="29" t="s">
        <v>1777</v>
      </c>
      <c r="I7" s="29" t="s">
        <v>355</v>
      </c>
      <c r="J7" s="29" t="s">
        <v>1778</v>
      </c>
      <c r="K7" s="29" t="s">
        <v>1763</v>
      </c>
      <c r="L7" s="29" t="s">
        <v>355</v>
      </c>
      <c r="M7" s="20"/>
      <c r="N7" s="29" t="s">
        <v>535</v>
      </c>
      <c r="O7" s="29" t="s">
        <v>536</v>
      </c>
      <c r="P7" s="29" t="s">
        <v>466</v>
      </c>
      <c r="Q7" s="29"/>
      <c r="R7" s="29" t="n">
        <v>1</v>
      </c>
    </row>
    <row r="8" customFormat="false" ht="13.5" hidden="false" customHeight="false" outlineLevel="0" collapsed="false">
      <c r="A8" s="29" t="n">
        <v>4903</v>
      </c>
      <c r="B8" s="29" t="s">
        <v>679</v>
      </c>
      <c r="C8" s="29" t="s">
        <v>1906</v>
      </c>
      <c r="D8" s="29" t="s">
        <v>1907</v>
      </c>
      <c r="E8" s="29" t="s">
        <v>1907</v>
      </c>
      <c r="F8" s="20"/>
      <c r="G8" s="29" t="s">
        <v>899</v>
      </c>
      <c r="H8" s="29" t="s">
        <v>900</v>
      </c>
      <c r="I8" s="29" t="s">
        <v>355</v>
      </c>
      <c r="J8" s="29" t="s">
        <v>1782</v>
      </c>
      <c r="K8" s="29" t="s">
        <v>1763</v>
      </c>
      <c r="L8" s="29" t="s">
        <v>1908</v>
      </c>
      <c r="M8" s="20"/>
      <c r="N8" s="29" t="s">
        <v>537</v>
      </c>
      <c r="O8" s="29" t="s">
        <v>538</v>
      </c>
      <c r="P8" s="29" t="s">
        <v>466</v>
      </c>
      <c r="Q8" s="29"/>
      <c r="R8" s="29" t="n">
        <v>1</v>
      </c>
    </row>
    <row r="9" customFormat="false" ht="13.5" hidden="false" customHeight="false" outlineLevel="0" collapsed="false">
      <c r="A9" s="29" t="n">
        <v>5000</v>
      </c>
      <c r="B9" s="29" t="s">
        <v>681</v>
      </c>
      <c r="C9" s="29" t="s">
        <v>1906</v>
      </c>
      <c r="D9" s="29" t="s">
        <v>1907</v>
      </c>
      <c r="E9" s="29" t="s">
        <v>1907</v>
      </c>
      <c r="F9" s="20"/>
      <c r="G9" s="29" t="s">
        <v>919</v>
      </c>
      <c r="H9" s="29" t="s">
        <v>1786</v>
      </c>
      <c r="I9" s="29" t="s">
        <v>355</v>
      </c>
      <c r="J9" s="29" t="s">
        <v>1772</v>
      </c>
      <c r="K9" s="29" t="s">
        <v>1770</v>
      </c>
      <c r="L9" s="29" t="s">
        <v>1908</v>
      </c>
      <c r="M9" s="20"/>
      <c r="N9" s="29" t="s">
        <v>539</v>
      </c>
      <c r="O9" s="29" t="s">
        <v>540</v>
      </c>
      <c r="P9" s="29" t="s">
        <v>466</v>
      </c>
      <c r="Q9" s="29"/>
      <c r="R9" s="29" t="n">
        <v>1</v>
      </c>
    </row>
    <row r="10" customFormat="false" ht="13.5" hidden="false" customHeight="false" outlineLevel="0" collapsed="false">
      <c r="A10" s="29" t="n">
        <v>5200</v>
      </c>
      <c r="B10" s="29" t="s">
        <v>683</v>
      </c>
      <c r="C10" s="29" t="s">
        <v>1906</v>
      </c>
      <c r="D10" s="29" t="s">
        <v>1907</v>
      </c>
      <c r="E10" s="29" t="s">
        <v>1907</v>
      </c>
      <c r="F10" s="20"/>
      <c r="G10" s="29" t="s">
        <v>964</v>
      </c>
      <c r="H10" s="29" t="s">
        <v>1789</v>
      </c>
      <c r="I10" s="29" t="s">
        <v>355</v>
      </c>
      <c r="J10" s="29" t="s">
        <v>1772</v>
      </c>
      <c r="K10" s="29" t="s">
        <v>1763</v>
      </c>
      <c r="L10" s="29" t="s">
        <v>1908</v>
      </c>
      <c r="M10" s="20"/>
      <c r="N10" s="29" t="s">
        <v>541</v>
      </c>
      <c r="O10" s="29" t="s">
        <v>542</v>
      </c>
      <c r="P10" s="29" t="s">
        <v>466</v>
      </c>
      <c r="Q10" s="29"/>
      <c r="R10" s="29" t="n">
        <v>1</v>
      </c>
    </row>
    <row r="11" customFormat="false" ht="13.5" hidden="false" customHeight="false" outlineLevel="0" collapsed="false">
      <c r="A11" s="29" t="n">
        <v>5250</v>
      </c>
      <c r="B11" s="29" t="s">
        <v>685</v>
      </c>
      <c r="C11" s="29" t="s">
        <v>1906</v>
      </c>
      <c r="D11" s="29" t="s">
        <v>1907</v>
      </c>
      <c r="E11" s="29" t="s">
        <v>1907</v>
      </c>
      <c r="F11" s="20"/>
      <c r="G11" s="29" t="s">
        <v>852</v>
      </c>
      <c r="H11" s="29" t="s">
        <v>1793</v>
      </c>
      <c r="I11" s="29" t="s">
        <v>355</v>
      </c>
      <c r="J11" s="29" t="s">
        <v>1772</v>
      </c>
      <c r="K11" s="29" t="s">
        <v>1763</v>
      </c>
      <c r="L11" s="29" t="s">
        <v>1908</v>
      </c>
      <c r="M11" s="20"/>
      <c r="N11" s="29" t="s">
        <v>543</v>
      </c>
      <c r="O11" s="29" t="s">
        <v>544</v>
      </c>
      <c r="P11" s="29" t="s">
        <v>466</v>
      </c>
      <c r="Q11" s="29"/>
      <c r="R11" s="29" t="n">
        <v>1</v>
      </c>
    </row>
    <row r="12" customFormat="false" ht="13.5" hidden="false" customHeight="false" outlineLevel="0" collapsed="false">
      <c r="A12" s="29" t="n">
        <v>6000</v>
      </c>
      <c r="B12" s="29" t="s">
        <v>687</v>
      </c>
      <c r="C12" s="29" t="s">
        <v>435</v>
      </c>
      <c r="D12" s="29" t="s">
        <v>307</v>
      </c>
      <c r="E12" s="29" t="s">
        <v>448</v>
      </c>
      <c r="F12" s="20"/>
      <c r="G12" s="29" t="s">
        <v>1798</v>
      </c>
      <c r="H12" s="29" t="s">
        <v>1799</v>
      </c>
      <c r="I12" s="29" t="s">
        <v>355</v>
      </c>
      <c r="J12" s="29" t="s">
        <v>1772</v>
      </c>
      <c r="K12" s="29" t="s">
        <v>1763</v>
      </c>
      <c r="L12" s="29" t="s">
        <v>1908</v>
      </c>
      <c r="M12" s="20"/>
      <c r="N12" s="29" t="s">
        <v>545</v>
      </c>
      <c r="O12" s="29" t="s">
        <v>546</v>
      </c>
      <c r="P12" s="29" t="s">
        <v>466</v>
      </c>
      <c r="Q12" s="29"/>
      <c r="R12" s="29" t="n">
        <v>1</v>
      </c>
    </row>
    <row r="13" customFormat="false" ht="13.5" hidden="false" customHeight="false" outlineLevel="0" collapsed="false">
      <c r="A13" s="29" t="n">
        <v>6010</v>
      </c>
      <c r="B13" s="29" t="s">
        <v>689</v>
      </c>
      <c r="C13" s="29" t="s">
        <v>435</v>
      </c>
      <c r="D13" s="29" t="s">
        <v>307</v>
      </c>
      <c r="E13" s="29" t="s">
        <v>448</v>
      </c>
      <c r="F13" s="20"/>
      <c r="G13" s="29" t="s">
        <v>838</v>
      </c>
      <c r="H13" s="29" t="s">
        <v>1803</v>
      </c>
      <c r="I13" s="29" t="s">
        <v>355</v>
      </c>
      <c r="J13" s="29" t="s">
        <v>1788</v>
      </c>
      <c r="K13" s="29" t="s">
        <v>1763</v>
      </c>
      <c r="L13" s="29" t="s">
        <v>1908</v>
      </c>
      <c r="M13" s="20"/>
      <c r="N13" s="29" t="s">
        <v>547</v>
      </c>
      <c r="O13" s="29" t="s">
        <v>548</v>
      </c>
      <c r="P13" s="29" t="s">
        <v>466</v>
      </c>
      <c r="Q13" s="29"/>
      <c r="R13" s="29" t="n">
        <v>1</v>
      </c>
    </row>
    <row r="14" customFormat="false" ht="13.5" hidden="false" customHeight="false" outlineLevel="0" collapsed="false">
      <c r="A14" s="29" t="n">
        <v>6020</v>
      </c>
      <c r="B14" s="29" t="s">
        <v>691</v>
      </c>
      <c r="C14" s="29" t="s">
        <v>435</v>
      </c>
      <c r="D14" s="29" t="s">
        <v>307</v>
      </c>
      <c r="E14" s="29" t="s">
        <v>448</v>
      </c>
      <c r="F14" s="20"/>
      <c r="G14" s="29" t="s">
        <v>845</v>
      </c>
      <c r="H14" s="29" t="s">
        <v>1806</v>
      </c>
      <c r="I14" s="29" t="s">
        <v>356</v>
      </c>
      <c r="J14" s="29" t="s">
        <v>1788</v>
      </c>
      <c r="K14" s="29" t="s">
        <v>1763</v>
      </c>
      <c r="L14" s="29" t="s">
        <v>356</v>
      </c>
      <c r="M14" s="20"/>
      <c r="N14" s="29" t="s">
        <v>549</v>
      </c>
      <c r="O14" s="29" t="s">
        <v>550</v>
      </c>
      <c r="P14" s="29" t="s">
        <v>468</v>
      </c>
      <c r="Q14" s="29"/>
      <c r="R14" s="29" t="n">
        <v>1</v>
      </c>
    </row>
    <row r="15" customFormat="false" ht="13.5" hidden="false" customHeight="false" outlineLevel="0" collapsed="false">
      <c r="A15" s="29" t="n">
        <v>6030</v>
      </c>
      <c r="B15" s="29" t="s">
        <v>693</v>
      </c>
      <c r="C15" s="29" t="s">
        <v>435</v>
      </c>
      <c r="D15" s="29" t="s">
        <v>307</v>
      </c>
      <c r="E15" s="29" t="s">
        <v>448</v>
      </c>
      <c r="F15" s="20"/>
      <c r="G15" s="29" t="s">
        <v>890</v>
      </c>
      <c r="H15" s="29" t="s">
        <v>1809</v>
      </c>
      <c r="I15" s="29" t="s">
        <v>355</v>
      </c>
      <c r="J15" s="29" t="s">
        <v>1788</v>
      </c>
      <c r="K15" s="29" t="s">
        <v>1763</v>
      </c>
      <c r="L15" s="29" t="s">
        <v>355</v>
      </c>
      <c r="M15" s="20"/>
      <c r="N15" s="29" t="s">
        <v>551</v>
      </c>
      <c r="O15" s="29" t="s">
        <v>552</v>
      </c>
      <c r="P15" s="29" t="s">
        <v>468</v>
      </c>
      <c r="Q15" s="29"/>
      <c r="R15" s="29" t="n">
        <v>1</v>
      </c>
    </row>
    <row r="16" customFormat="false" ht="13.5" hidden="false" customHeight="false" outlineLevel="0" collapsed="false">
      <c r="A16" s="29" t="n">
        <v>6050</v>
      </c>
      <c r="B16" s="29" t="s">
        <v>695</v>
      </c>
      <c r="C16" s="29" t="s">
        <v>437</v>
      </c>
      <c r="D16" s="29" t="s">
        <v>309</v>
      </c>
      <c r="E16" s="29" t="s">
        <v>448</v>
      </c>
      <c r="F16" s="20"/>
      <c r="G16" s="29" t="s">
        <v>863</v>
      </c>
      <c r="H16" s="29" t="s">
        <v>1812</v>
      </c>
      <c r="I16" s="29" t="s">
        <v>354</v>
      </c>
      <c r="J16" s="29" t="s">
        <v>1792</v>
      </c>
      <c r="K16" s="29" t="s">
        <v>1763</v>
      </c>
      <c r="L16" s="29" t="s">
        <v>354</v>
      </c>
      <c r="M16" s="20"/>
      <c r="N16" s="29" t="s">
        <v>553</v>
      </c>
      <c r="O16" s="29" t="s">
        <v>554</v>
      </c>
      <c r="P16" s="29" t="s">
        <v>469</v>
      </c>
      <c r="Q16" s="29"/>
      <c r="R16" s="29" t="n">
        <v>1</v>
      </c>
    </row>
    <row r="17" customFormat="false" ht="13.5" hidden="false" customHeight="false" outlineLevel="0" collapsed="false">
      <c r="A17" s="29" t="n">
        <v>7000</v>
      </c>
      <c r="B17" s="29" t="s">
        <v>697</v>
      </c>
      <c r="C17" s="29" t="s">
        <v>436</v>
      </c>
      <c r="D17" s="29" t="s">
        <v>308</v>
      </c>
      <c r="E17" s="29" t="s">
        <v>448</v>
      </c>
      <c r="F17" s="20"/>
      <c r="G17" s="29" t="s">
        <v>895</v>
      </c>
      <c r="H17" s="29" t="s">
        <v>1814</v>
      </c>
      <c r="I17" s="29" t="s">
        <v>354</v>
      </c>
      <c r="J17" s="29" t="s">
        <v>1767</v>
      </c>
      <c r="K17" s="29" t="s">
        <v>1763</v>
      </c>
      <c r="L17" s="29" t="s">
        <v>354</v>
      </c>
      <c r="M17" s="20"/>
      <c r="N17" s="29" t="s">
        <v>555</v>
      </c>
      <c r="O17" s="29" t="s">
        <v>556</v>
      </c>
      <c r="P17" s="29" t="s">
        <v>469</v>
      </c>
      <c r="Q17" s="29"/>
      <c r="R17" s="29" t="n">
        <v>1</v>
      </c>
    </row>
    <row r="18" customFormat="false" ht="13.5" hidden="false" customHeight="false" outlineLevel="0" collapsed="false">
      <c r="A18" s="29" t="n">
        <v>7010</v>
      </c>
      <c r="B18" s="29" t="s">
        <v>699</v>
      </c>
      <c r="C18" s="29" t="s">
        <v>436</v>
      </c>
      <c r="D18" s="29" t="s">
        <v>308</v>
      </c>
      <c r="E18" s="29" t="s">
        <v>448</v>
      </c>
      <c r="F18" s="20"/>
      <c r="G18" s="29" t="s">
        <v>981</v>
      </c>
      <c r="H18" s="29" t="s">
        <v>1817</v>
      </c>
      <c r="I18" s="29" t="s">
        <v>354</v>
      </c>
      <c r="J18" s="29" t="s">
        <v>1767</v>
      </c>
      <c r="K18" s="29" t="s">
        <v>1763</v>
      </c>
      <c r="L18" s="29" t="s">
        <v>354</v>
      </c>
      <c r="M18" s="20"/>
      <c r="N18" s="29" t="s">
        <v>557</v>
      </c>
      <c r="O18" s="29" t="s">
        <v>558</v>
      </c>
      <c r="P18" s="29" t="s">
        <v>471</v>
      </c>
      <c r="Q18" s="29"/>
      <c r="R18" s="29" t="n">
        <v>1</v>
      </c>
    </row>
    <row r="19" customFormat="false" ht="13.5" hidden="false" customHeight="false" outlineLevel="0" collapsed="false">
      <c r="A19" s="29" t="n">
        <v>7020</v>
      </c>
      <c r="B19" s="29" t="s">
        <v>701</v>
      </c>
      <c r="C19" s="29" t="s">
        <v>436</v>
      </c>
      <c r="D19" s="29" t="s">
        <v>308</v>
      </c>
      <c r="E19" s="29" t="s">
        <v>448</v>
      </c>
      <c r="F19" s="20"/>
      <c r="G19" s="29" t="s">
        <v>903</v>
      </c>
      <c r="H19" s="29" t="s">
        <v>1819</v>
      </c>
      <c r="I19" s="29" t="s">
        <v>354</v>
      </c>
      <c r="J19" s="29" t="s">
        <v>1767</v>
      </c>
      <c r="K19" s="29" t="s">
        <v>1763</v>
      </c>
      <c r="L19" s="29" t="s">
        <v>354</v>
      </c>
      <c r="M19" s="20"/>
      <c r="N19" s="29" t="s">
        <v>559</v>
      </c>
      <c r="O19" s="29" t="s">
        <v>560</v>
      </c>
      <c r="P19" s="29" t="s">
        <v>471</v>
      </c>
      <c r="Q19" s="29"/>
      <c r="R19" s="29" t="n">
        <v>1</v>
      </c>
    </row>
    <row r="20" customFormat="false" ht="13.5" hidden="false" customHeight="false" outlineLevel="0" collapsed="false">
      <c r="A20" s="29" t="n">
        <v>7030</v>
      </c>
      <c r="B20" s="29" t="s">
        <v>703</v>
      </c>
      <c r="C20" s="29" t="s">
        <v>436</v>
      </c>
      <c r="D20" s="29" t="s">
        <v>308</v>
      </c>
      <c r="E20" s="29" t="s">
        <v>448</v>
      </c>
      <c r="F20" s="20"/>
      <c r="G20" s="29" t="s">
        <v>1822</v>
      </c>
      <c r="H20" s="29" t="s">
        <v>1823</v>
      </c>
      <c r="I20" s="29" t="s">
        <v>354</v>
      </c>
      <c r="J20" s="29" t="s">
        <v>1767</v>
      </c>
      <c r="K20" s="29" t="s">
        <v>1763</v>
      </c>
      <c r="L20" s="29" t="s">
        <v>354</v>
      </c>
      <c r="M20" s="20"/>
      <c r="N20" s="29" t="s">
        <v>561</v>
      </c>
      <c r="O20" s="29" t="s">
        <v>562</v>
      </c>
      <c r="P20" s="29" t="s">
        <v>471</v>
      </c>
      <c r="Q20" s="29"/>
      <c r="R20" s="29" t="n">
        <v>1</v>
      </c>
    </row>
    <row r="21" customFormat="false" ht="13.5" hidden="false" customHeight="false" outlineLevel="0" collapsed="false">
      <c r="A21" s="29" t="n">
        <v>7050</v>
      </c>
      <c r="B21" s="29" t="s">
        <v>1864</v>
      </c>
      <c r="C21" s="29" t="s">
        <v>437</v>
      </c>
      <c r="D21" s="29" t="s">
        <v>309</v>
      </c>
      <c r="E21" s="29" t="s">
        <v>448</v>
      </c>
      <c r="F21" s="20"/>
      <c r="G21" s="29" t="s">
        <v>1825</v>
      </c>
      <c r="H21" s="29" t="s">
        <v>1826</v>
      </c>
      <c r="I21" s="29" t="s">
        <v>354</v>
      </c>
      <c r="J21" s="29" t="s">
        <v>1767</v>
      </c>
      <c r="K21" s="29" t="s">
        <v>1763</v>
      </c>
      <c r="L21" s="29" t="s">
        <v>354</v>
      </c>
      <c r="M21" s="20"/>
      <c r="N21" s="29" t="s">
        <v>563</v>
      </c>
      <c r="O21" s="29" t="s">
        <v>564</v>
      </c>
      <c r="P21" s="29" t="s">
        <v>471</v>
      </c>
      <c r="Q21" s="29"/>
      <c r="R21" s="29" t="n">
        <v>1</v>
      </c>
    </row>
    <row r="22" customFormat="false" ht="13.5" hidden="false" customHeight="false" outlineLevel="0" collapsed="false">
      <c r="A22" s="29" t="n">
        <v>7100</v>
      </c>
      <c r="B22" s="29" t="s">
        <v>1865</v>
      </c>
      <c r="C22" s="29" t="s">
        <v>437</v>
      </c>
      <c r="D22" s="29" t="s">
        <v>309</v>
      </c>
      <c r="E22" s="29" t="s">
        <v>448</v>
      </c>
      <c r="F22" s="20"/>
      <c r="G22" s="29" t="s">
        <v>1121</v>
      </c>
      <c r="H22" s="29" t="s">
        <v>1828</v>
      </c>
      <c r="I22" s="29" t="s">
        <v>354</v>
      </c>
      <c r="J22" s="29" t="s">
        <v>1767</v>
      </c>
      <c r="K22" s="29" t="s">
        <v>1763</v>
      </c>
      <c r="L22" s="29" t="s">
        <v>354</v>
      </c>
      <c r="M22" s="20"/>
      <c r="N22" s="29" t="s">
        <v>1909</v>
      </c>
      <c r="O22" s="29" t="s">
        <v>1910</v>
      </c>
      <c r="P22" s="29" t="s">
        <v>471</v>
      </c>
      <c r="Q22" s="29"/>
      <c r="R22" s="29" t="n">
        <v>1</v>
      </c>
    </row>
    <row r="23" customFormat="false" ht="13.5" hidden="false" customHeight="false" outlineLevel="0" collapsed="false">
      <c r="A23" s="29" t="n">
        <v>7110</v>
      </c>
      <c r="B23" s="29" t="s">
        <v>1866</v>
      </c>
      <c r="C23" s="29" t="s">
        <v>440</v>
      </c>
      <c r="D23" s="29" t="s">
        <v>309</v>
      </c>
      <c r="E23" s="29" t="s">
        <v>449</v>
      </c>
      <c r="F23" s="20"/>
      <c r="G23" s="29" t="s">
        <v>936</v>
      </c>
      <c r="H23" s="29" t="s">
        <v>1830</v>
      </c>
      <c r="I23" s="29" t="s">
        <v>355</v>
      </c>
      <c r="J23" s="29" t="s">
        <v>1772</v>
      </c>
      <c r="K23" s="29" t="s">
        <v>1763</v>
      </c>
      <c r="L23" s="29" t="s">
        <v>355</v>
      </c>
      <c r="M23" s="20"/>
      <c r="N23" s="29" t="s">
        <v>565</v>
      </c>
      <c r="O23" s="29" t="s">
        <v>1911</v>
      </c>
      <c r="P23" s="29" t="s">
        <v>471</v>
      </c>
      <c r="Q23" s="29"/>
      <c r="R23" s="29" t="n">
        <v>1</v>
      </c>
    </row>
    <row r="24" customFormat="false" ht="13.5" hidden="false" customHeight="false" outlineLevel="0" collapsed="false">
      <c r="A24" s="29" t="n">
        <v>7119</v>
      </c>
      <c r="B24" s="29" t="s">
        <v>1867</v>
      </c>
      <c r="C24" s="29" t="s">
        <v>438</v>
      </c>
      <c r="D24" s="29" t="s">
        <v>309</v>
      </c>
      <c r="E24" s="29" t="s">
        <v>449</v>
      </c>
      <c r="F24" s="20"/>
      <c r="G24" s="29" t="s">
        <v>934</v>
      </c>
      <c r="H24" s="29" t="s">
        <v>1832</v>
      </c>
      <c r="I24" s="29" t="s">
        <v>355</v>
      </c>
      <c r="J24" s="29" t="s">
        <v>1788</v>
      </c>
      <c r="K24" s="29" t="s">
        <v>1763</v>
      </c>
      <c r="L24" s="29" t="s">
        <v>355</v>
      </c>
      <c r="M24" s="20"/>
      <c r="N24" s="29" t="s">
        <v>568</v>
      </c>
      <c r="O24" s="29" t="s">
        <v>569</v>
      </c>
      <c r="P24" s="29" t="s">
        <v>471</v>
      </c>
      <c r="Q24" s="29"/>
      <c r="R24" s="29" t="n">
        <v>1</v>
      </c>
    </row>
    <row r="25" customFormat="false" ht="13.5" hidden="false" customHeight="false" outlineLevel="0" collapsed="false">
      <c r="A25" s="29" t="n">
        <v>7120</v>
      </c>
      <c r="B25" s="29" t="s">
        <v>707</v>
      </c>
      <c r="C25" s="29" t="s">
        <v>438</v>
      </c>
      <c r="D25" s="29" t="s">
        <v>309</v>
      </c>
      <c r="E25" s="29" t="s">
        <v>449</v>
      </c>
      <c r="F25" s="20"/>
      <c r="G25" s="29" t="s">
        <v>925</v>
      </c>
      <c r="H25" s="29" t="s">
        <v>1833</v>
      </c>
      <c r="I25" s="29" t="s">
        <v>355</v>
      </c>
      <c r="J25" s="29" t="s">
        <v>1788</v>
      </c>
      <c r="K25" s="29" t="s">
        <v>1763</v>
      </c>
      <c r="L25" s="29" t="s">
        <v>1908</v>
      </c>
      <c r="M25" s="20"/>
      <c r="N25" s="29" t="s">
        <v>1912</v>
      </c>
      <c r="O25" s="29" t="s">
        <v>1913</v>
      </c>
      <c r="P25" s="29" t="s">
        <v>471</v>
      </c>
      <c r="Q25" s="29"/>
      <c r="R25" s="29" t="n">
        <v>1</v>
      </c>
    </row>
    <row r="26" customFormat="false" ht="13.5" hidden="false" customHeight="false" outlineLevel="0" collapsed="false">
      <c r="A26" s="29" t="n">
        <v>7122</v>
      </c>
      <c r="B26" s="29" t="s">
        <v>1868</v>
      </c>
      <c r="C26" s="29" t="s">
        <v>438</v>
      </c>
      <c r="D26" s="29" t="s">
        <v>309</v>
      </c>
      <c r="E26" s="29" t="s">
        <v>449</v>
      </c>
      <c r="F26" s="20"/>
      <c r="G26" s="29" t="s">
        <v>1109</v>
      </c>
      <c r="H26" s="29" t="s">
        <v>1834</v>
      </c>
      <c r="I26" s="29" t="s">
        <v>361</v>
      </c>
      <c r="J26" s="29" t="s">
        <v>1796</v>
      </c>
      <c r="K26" s="29" t="s">
        <v>188</v>
      </c>
      <c r="L26" s="29" t="s">
        <v>188</v>
      </c>
      <c r="M26" s="20"/>
      <c r="N26" s="29" t="s">
        <v>572</v>
      </c>
      <c r="O26" s="29" t="s">
        <v>573</v>
      </c>
      <c r="P26" s="29" t="s">
        <v>471</v>
      </c>
      <c r="Q26" s="29"/>
      <c r="R26" s="29" t="n">
        <v>1</v>
      </c>
    </row>
    <row r="27" customFormat="false" ht="13.5" hidden="false" customHeight="false" outlineLevel="0" collapsed="false">
      <c r="A27" s="29" t="n">
        <v>7123</v>
      </c>
      <c r="B27" s="29" t="s">
        <v>709</v>
      </c>
      <c r="C27" s="29" t="s">
        <v>438</v>
      </c>
      <c r="D27" s="29" t="s">
        <v>309</v>
      </c>
      <c r="E27" s="29" t="s">
        <v>449</v>
      </c>
      <c r="F27" s="20"/>
      <c r="G27" s="29" t="s">
        <v>1066</v>
      </c>
      <c r="H27" s="29" t="s">
        <v>1835</v>
      </c>
      <c r="I27" s="29" t="s">
        <v>355</v>
      </c>
      <c r="J27" s="29" t="s">
        <v>1772</v>
      </c>
      <c r="K27" s="29" t="s">
        <v>1763</v>
      </c>
      <c r="L27" s="29" t="s">
        <v>355</v>
      </c>
      <c r="M27" s="20"/>
      <c r="N27" s="29" t="s">
        <v>1914</v>
      </c>
      <c r="O27" s="29" t="s">
        <v>1915</v>
      </c>
      <c r="P27" s="29" t="s">
        <v>471</v>
      </c>
      <c r="Q27" s="29"/>
      <c r="R27" s="29" t="n">
        <v>1</v>
      </c>
    </row>
    <row r="28" customFormat="false" ht="13.5" hidden="false" customHeight="false" outlineLevel="0" collapsed="false">
      <c r="A28" s="29" t="n">
        <v>7124</v>
      </c>
      <c r="B28" s="29" t="s">
        <v>711</v>
      </c>
      <c r="C28" s="29" t="s">
        <v>438</v>
      </c>
      <c r="D28" s="29" t="s">
        <v>309</v>
      </c>
      <c r="E28" s="29" t="s">
        <v>449</v>
      </c>
      <c r="F28" s="20"/>
      <c r="G28" s="29" t="s">
        <v>985</v>
      </c>
      <c r="H28" s="29" t="s">
        <v>1836</v>
      </c>
      <c r="I28" s="29" t="s">
        <v>355</v>
      </c>
      <c r="J28" s="29" t="s">
        <v>1772</v>
      </c>
      <c r="K28" s="29" t="s">
        <v>1763</v>
      </c>
      <c r="L28" s="29" t="s">
        <v>1908</v>
      </c>
      <c r="M28" s="20"/>
      <c r="N28" s="29" t="s">
        <v>574</v>
      </c>
      <c r="O28" s="29" t="s">
        <v>575</v>
      </c>
      <c r="P28" s="29" t="s">
        <v>471</v>
      </c>
      <c r="Q28" s="29"/>
      <c r="R28" s="29" t="n">
        <v>1</v>
      </c>
    </row>
    <row r="29" customFormat="false" ht="13.5" hidden="false" customHeight="false" outlineLevel="0" collapsed="false">
      <c r="A29" s="29" t="n">
        <v>7125</v>
      </c>
      <c r="B29" s="29" t="s">
        <v>1869</v>
      </c>
      <c r="C29" s="29" t="s">
        <v>438</v>
      </c>
      <c r="D29" s="29" t="s">
        <v>309</v>
      </c>
      <c r="E29" s="29" t="s">
        <v>449</v>
      </c>
      <c r="F29" s="20"/>
      <c r="G29" s="29" t="s">
        <v>1117</v>
      </c>
      <c r="H29" s="29" t="s">
        <v>1837</v>
      </c>
      <c r="I29" s="29" t="s">
        <v>355</v>
      </c>
      <c r="J29" s="29" t="s">
        <v>1802</v>
      </c>
      <c r="K29" s="29" t="s">
        <v>188</v>
      </c>
      <c r="L29" s="29" t="s">
        <v>1908</v>
      </c>
      <c r="M29" s="20"/>
      <c r="N29" s="29" t="s">
        <v>1916</v>
      </c>
      <c r="O29" s="29" t="s">
        <v>1917</v>
      </c>
      <c r="P29" s="29" t="s">
        <v>471</v>
      </c>
      <c r="Q29" s="29"/>
      <c r="R29" s="29" t="n">
        <v>1</v>
      </c>
    </row>
    <row r="30" customFormat="false" ht="13.5" hidden="false" customHeight="false" outlineLevel="0" collapsed="false">
      <c r="A30" s="29" t="n">
        <v>7130</v>
      </c>
      <c r="B30" s="29" t="s">
        <v>1870</v>
      </c>
      <c r="C30" s="29" t="s">
        <v>438</v>
      </c>
      <c r="D30" s="29" t="s">
        <v>309</v>
      </c>
      <c r="E30" s="29" t="s">
        <v>449</v>
      </c>
      <c r="F30" s="20"/>
      <c r="G30" s="20"/>
      <c r="H30" s="20"/>
      <c r="I30" s="20"/>
      <c r="J30" s="20"/>
      <c r="K30" s="20"/>
      <c r="L30" s="20"/>
      <c r="M30" s="20"/>
      <c r="N30" s="29" t="s">
        <v>576</v>
      </c>
      <c r="O30" s="29" t="s">
        <v>577</v>
      </c>
      <c r="P30" s="29" t="s">
        <v>471</v>
      </c>
      <c r="Q30" s="29"/>
      <c r="R30" s="29" t="n">
        <v>1</v>
      </c>
    </row>
    <row r="31" customFormat="false" ht="13.5" hidden="false" customHeight="false" outlineLevel="0" collapsed="false">
      <c r="A31" s="29" t="n">
        <v>7135</v>
      </c>
      <c r="B31" s="29" t="s">
        <v>1871</v>
      </c>
      <c r="C31" s="29" t="s">
        <v>438</v>
      </c>
      <c r="D31" s="29" t="s">
        <v>309</v>
      </c>
      <c r="E31" s="29" t="s">
        <v>449</v>
      </c>
      <c r="F31" s="20"/>
      <c r="G31" s="20"/>
      <c r="H31" s="20"/>
      <c r="I31" s="20"/>
      <c r="J31" s="20"/>
      <c r="K31" s="20"/>
      <c r="L31" s="20"/>
      <c r="M31" s="20"/>
      <c r="N31" s="29" t="s">
        <v>578</v>
      </c>
      <c r="O31" s="29" t="s">
        <v>579</v>
      </c>
      <c r="P31" s="29" t="s">
        <v>471</v>
      </c>
      <c r="Q31" s="29"/>
      <c r="R31" s="29" t="n">
        <v>1</v>
      </c>
    </row>
    <row r="32" customFormat="false" ht="13.5" hidden="false" customHeight="false" outlineLevel="0" collapsed="false">
      <c r="A32" s="29" t="n">
        <v>7150</v>
      </c>
      <c r="B32" s="29" t="s">
        <v>713</v>
      </c>
      <c r="C32" s="29" t="s">
        <v>437</v>
      </c>
      <c r="D32" s="29" t="s">
        <v>309</v>
      </c>
      <c r="E32" s="29" t="s">
        <v>448</v>
      </c>
      <c r="F32" s="20"/>
      <c r="G32" s="20"/>
      <c r="H32" s="20"/>
      <c r="I32" s="20"/>
      <c r="J32" s="20"/>
      <c r="K32" s="20"/>
      <c r="L32" s="20"/>
      <c r="M32" s="20"/>
      <c r="N32" s="29" t="s">
        <v>580</v>
      </c>
      <c r="O32" s="29" t="s">
        <v>581</v>
      </c>
      <c r="P32" s="29" t="s">
        <v>471</v>
      </c>
      <c r="Q32" s="29"/>
      <c r="R32" s="29" t="n">
        <v>1</v>
      </c>
    </row>
    <row r="33" customFormat="false" ht="13.5" hidden="false" customHeight="false" outlineLevel="0" collapsed="false">
      <c r="A33" s="29" t="n">
        <v>7200</v>
      </c>
      <c r="B33" s="29" t="s">
        <v>1872</v>
      </c>
      <c r="C33" s="29" t="s">
        <v>443</v>
      </c>
      <c r="D33" s="29" t="s">
        <v>309</v>
      </c>
      <c r="E33" s="29" t="s">
        <v>448</v>
      </c>
      <c r="F33" s="20"/>
      <c r="G33" s="20"/>
      <c r="H33" s="20"/>
      <c r="I33" s="20"/>
      <c r="J33" s="20"/>
      <c r="K33" s="20"/>
      <c r="L33" s="20"/>
      <c r="M33" s="20"/>
      <c r="N33" s="29" t="s">
        <v>582</v>
      </c>
      <c r="O33" s="29" t="s">
        <v>583</v>
      </c>
      <c r="P33" s="29" t="s">
        <v>471</v>
      </c>
      <c r="Q33" s="29"/>
      <c r="R33" s="29" t="n">
        <v>1</v>
      </c>
    </row>
    <row r="34" customFormat="false" ht="13.5" hidden="false" customHeight="false" outlineLevel="0" collapsed="false">
      <c r="A34" s="29" t="n">
        <v>7210</v>
      </c>
      <c r="B34" s="29" t="s">
        <v>715</v>
      </c>
      <c r="C34" s="29" t="s">
        <v>443</v>
      </c>
      <c r="D34" s="29" t="s">
        <v>309</v>
      </c>
      <c r="E34" s="29" t="s">
        <v>448</v>
      </c>
      <c r="F34" s="20"/>
      <c r="G34" s="20"/>
      <c r="H34" s="20"/>
      <c r="I34" s="20"/>
      <c r="J34" s="20"/>
      <c r="K34" s="20"/>
      <c r="L34" s="20"/>
      <c r="M34" s="20"/>
      <c r="N34" s="29" t="s">
        <v>584</v>
      </c>
      <c r="O34" s="29" t="s">
        <v>1918</v>
      </c>
      <c r="P34" s="29" t="s">
        <v>471</v>
      </c>
      <c r="Q34" s="29"/>
      <c r="R34" s="29" t="n">
        <v>1</v>
      </c>
    </row>
    <row r="35" customFormat="false" ht="13.5" hidden="false" customHeight="false" outlineLevel="0" collapsed="false">
      <c r="A35" s="29" t="n">
        <v>7220</v>
      </c>
      <c r="B35" s="29" t="s">
        <v>717</v>
      </c>
      <c r="C35" s="29" t="s">
        <v>443</v>
      </c>
      <c r="D35" s="29" t="s">
        <v>309</v>
      </c>
      <c r="E35" s="29" t="s">
        <v>448</v>
      </c>
      <c r="F35" s="20"/>
      <c r="G35" s="20"/>
      <c r="H35" s="20"/>
      <c r="I35" s="20"/>
      <c r="J35" s="20"/>
      <c r="K35" s="20"/>
      <c r="L35" s="20"/>
      <c r="M35" s="20"/>
      <c r="N35" s="29" t="s">
        <v>586</v>
      </c>
      <c r="O35" s="29" t="s">
        <v>587</v>
      </c>
      <c r="P35" s="29" t="s">
        <v>471</v>
      </c>
      <c r="Q35" s="29"/>
      <c r="R35" s="29" t="n">
        <v>1</v>
      </c>
    </row>
    <row r="36" customFormat="false" ht="13.5" hidden="false" customHeight="false" outlineLevel="0" collapsed="false">
      <c r="A36" s="29" t="n">
        <v>7250</v>
      </c>
      <c r="B36" s="29" t="s">
        <v>1873</v>
      </c>
      <c r="C36" s="29" t="s">
        <v>443</v>
      </c>
      <c r="D36" s="29" t="s">
        <v>309</v>
      </c>
      <c r="E36" s="29" t="s">
        <v>448</v>
      </c>
      <c r="F36" s="20"/>
      <c r="G36" s="20"/>
      <c r="H36" s="20"/>
      <c r="I36" s="20"/>
      <c r="J36" s="20"/>
      <c r="K36" s="20"/>
      <c r="L36" s="20"/>
      <c r="M36" s="20"/>
      <c r="N36" s="29" t="s">
        <v>588</v>
      </c>
      <c r="O36" s="29" t="s">
        <v>589</v>
      </c>
      <c r="P36" s="29" t="s">
        <v>471</v>
      </c>
      <c r="Q36" s="29"/>
      <c r="R36" s="29" t="n">
        <v>1</v>
      </c>
    </row>
    <row r="37" customFormat="false" ht="13.5" hidden="false" customHeight="false" outlineLevel="0" collapsed="false">
      <c r="A37" s="29" t="n">
        <v>7400</v>
      </c>
      <c r="B37" s="29" t="s">
        <v>719</v>
      </c>
      <c r="C37" s="29" t="s">
        <v>439</v>
      </c>
      <c r="D37" s="29" t="s">
        <v>309</v>
      </c>
      <c r="E37" s="29" t="s">
        <v>449</v>
      </c>
      <c r="F37" s="20"/>
      <c r="G37" s="20"/>
      <c r="H37" s="20"/>
      <c r="I37" s="20"/>
      <c r="J37" s="20"/>
      <c r="K37" s="20"/>
      <c r="L37" s="20"/>
      <c r="M37" s="20"/>
      <c r="N37" s="29" t="s">
        <v>598</v>
      </c>
      <c r="O37" s="29" t="s">
        <v>599</v>
      </c>
      <c r="P37" s="29" t="s">
        <v>471</v>
      </c>
      <c r="Q37" s="29"/>
      <c r="R37" s="29" t="n">
        <v>1</v>
      </c>
    </row>
    <row r="38" customFormat="false" ht="13.5" hidden="false" customHeight="false" outlineLevel="0" collapsed="false">
      <c r="A38" s="29" t="n">
        <v>7401</v>
      </c>
      <c r="B38" s="29" t="s">
        <v>719</v>
      </c>
      <c r="C38" s="29" t="s">
        <v>439</v>
      </c>
      <c r="D38" s="29" t="s">
        <v>309</v>
      </c>
      <c r="E38" s="29" t="s">
        <v>449</v>
      </c>
      <c r="F38" s="20"/>
      <c r="G38" s="20"/>
      <c r="H38" s="20"/>
      <c r="I38" s="20"/>
      <c r="J38" s="20"/>
      <c r="K38" s="20"/>
      <c r="L38" s="20"/>
      <c r="M38" s="20"/>
      <c r="N38" s="29" t="s">
        <v>600</v>
      </c>
      <c r="O38" s="29" t="s">
        <v>601</v>
      </c>
      <c r="P38" s="29" t="s">
        <v>471</v>
      </c>
      <c r="Q38" s="29" t="s">
        <v>1919</v>
      </c>
      <c r="R38" s="29" t="n">
        <v>1</v>
      </c>
    </row>
    <row r="39" customFormat="false" ht="13.5" hidden="false" customHeight="false" outlineLevel="0" collapsed="false">
      <c r="A39" s="29" t="n">
        <v>7410</v>
      </c>
      <c r="B39" s="29" t="s">
        <v>721</v>
      </c>
      <c r="C39" s="29" t="s">
        <v>439</v>
      </c>
      <c r="D39" s="29" t="s">
        <v>309</v>
      </c>
      <c r="E39" s="29" t="s">
        <v>449</v>
      </c>
      <c r="F39" s="20"/>
      <c r="G39" s="20"/>
      <c r="H39" s="20"/>
      <c r="I39" s="20"/>
      <c r="J39" s="20"/>
      <c r="K39" s="20"/>
      <c r="L39" s="20"/>
      <c r="M39" s="20"/>
      <c r="N39" s="29" t="s">
        <v>602</v>
      </c>
      <c r="O39" s="29" t="s">
        <v>603</v>
      </c>
      <c r="P39" s="29" t="s">
        <v>471</v>
      </c>
      <c r="Q39" s="29" t="s">
        <v>140</v>
      </c>
      <c r="R39" s="29" t="n">
        <v>1</v>
      </c>
    </row>
    <row r="40" customFormat="false" ht="13.5" hidden="false" customHeight="false" outlineLevel="0" collapsed="false">
      <c r="A40" s="29" t="n">
        <v>7420</v>
      </c>
      <c r="B40" s="29" t="s">
        <v>723</v>
      </c>
      <c r="C40" s="29" t="s">
        <v>438</v>
      </c>
      <c r="D40" s="29" t="s">
        <v>309</v>
      </c>
      <c r="E40" s="29" t="s">
        <v>449</v>
      </c>
      <c r="F40" s="20"/>
      <c r="G40" s="20"/>
      <c r="H40" s="20"/>
      <c r="I40" s="20"/>
      <c r="J40" s="20"/>
      <c r="K40" s="20"/>
      <c r="L40" s="20"/>
      <c r="M40" s="20"/>
      <c r="N40" s="29" t="s">
        <v>1920</v>
      </c>
      <c r="O40" s="29" t="s">
        <v>1921</v>
      </c>
      <c r="P40" s="29" t="s">
        <v>471</v>
      </c>
      <c r="Q40" s="29" t="s">
        <v>1922</v>
      </c>
      <c r="R40" s="29" t="n">
        <v>1</v>
      </c>
    </row>
    <row r="41" customFormat="false" ht="13.5" hidden="false" customHeight="false" outlineLevel="0" collapsed="false">
      <c r="A41" s="29" t="n">
        <v>7430</v>
      </c>
      <c r="B41" s="29" t="s">
        <v>1874</v>
      </c>
      <c r="C41" s="29" t="s">
        <v>438</v>
      </c>
      <c r="D41" s="29" t="s">
        <v>309</v>
      </c>
      <c r="E41" s="29" t="s">
        <v>449</v>
      </c>
      <c r="F41" s="20"/>
      <c r="G41" s="20"/>
      <c r="H41" s="20"/>
      <c r="I41" s="20"/>
      <c r="J41" s="20"/>
      <c r="K41" s="20"/>
      <c r="L41" s="20"/>
      <c r="M41" s="20"/>
      <c r="N41" s="29" t="s">
        <v>1923</v>
      </c>
      <c r="O41" s="29" t="s">
        <v>1924</v>
      </c>
      <c r="P41" s="29" t="s">
        <v>471</v>
      </c>
      <c r="Q41" s="29" t="s">
        <v>1922</v>
      </c>
      <c r="R41" s="29" t="n">
        <v>1</v>
      </c>
    </row>
    <row r="42" customFormat="false" ht="13.5" hidden="false" customHeight="false" outlineLevel="0" collapsed="false">
      <c r="A42" s="29" t="n">
        <v>7440</v>
      </c>
      <c r="B42" s="29" t="s">
        <v>1875</v>
      </c>
      <c r="C42" s="29" t="s">
        <v>440</v>
      </c>
      <c r="D42" s="29" t="s">
        <v>309</v>
      </c>
      <c r="E42" s="29" t="s">
        <v>449</v>
      </c>
      <c r="F42" s="20"/>
      <c r="G42" s="20"/>
      <c r="H42" s="20"/>
      <c r="I42" s="20"/>
      <c r="J42" s="20"/>
      <c r="K42" s="20"/>
      <c r="L42" s="20"/>
      <c r="M42" s="20"/>
      <c r="N42" s="29" t="s">
        <v>604</v>
      </c>
      <c r="O42" s="29" t="s">
        <v>1925</v>
      </c>
      <c r="P42" s="29" t="s">
        <v>471</v>
      </c>
      <c r="Q42" s="29" t="s">
        <v>140</v>
      </c>
      <c r="R42" s="29" t="n">
        <v>1</v>
      </c>
    </row>
    <row r="43" customFormat="false" ht="13.5" hidden="false" customHeight="false" outlineLevel="0" collapsed="false">
      <c r="A43" s="29" t="n">
        <v>7500</v>
      </c>
      <c r="B43" s="29" t="s">
        <v>1876</v>
      </c>
      <c r="C43" s="29" t="s">
        <v>439</v>
      </c>
      <c r="D43" s="29" t="s">
        <v>309</v>
      </c>
      <c r="E43" s="29" t="s">
        <v>449</v>
      </c>
      <c r="F43" s="20"/>
      <c r="G43" s="20"/>
      <c r="H43" s="20"/>
      <c r="I43" s="20"/>
      <c r="J43" s="20"/>
      <c r="K43" s="20"/>
      <c r="L43" s="20"/>
      <c r="M43" s="20"/>
      <c r="N43" s="29" t="s">
        <v>1926</v>
      </c>
      <c r="O43" s="29" t="s">
        <v>1927</v>
      </c>
      <c r="P43" s="29" t="s">
        <v>471</v>
      </c>
      <c r="Q43" s="29" t="s">
        <v>1922</v>
      </c>
      <c r="R43" s="29" t="n">
        <v>1</v>
      </c>
    </row>
    <row r="44" customFormat="false" ht="13.5" hidden="false" customHeight="false" outlineLevel="0" collapsed="false">
      <c r="A44" s="29" t="n">
        <v>7510</v>
      </c>
      <c r="B44" s="29" t="s">
        <v>1877</v>
      </c>
      <c r="C44" s="29" t="s">
        <v>439</v>
      </c>
      <c r="D44" s="29" t="s">
        <v>309</v>
      </c>
      <c r="E44" s="29" t="s">
        <v>449</v>
      </c>
      <c r="F44" s="20"/>
      <c r="G44" s="20"/>
      <c r="H44" s="20"/>
      <c r="I44" s="20"/>
      <c r="J44" s="20"/>
      <c r="K44" s="20"/>
      <c r="L44" s="20"/>
      <c r="M44" s="20"/>
      <c r="N44" s="29" t="s">
        <v>606</v>
      </c>
      <c r="O44" s="29" t="s">
        <v>607</v>
      </c>
      <c r="P44" s="29" t="s">
        <v>471</v>
      </c>
      <c r="Q44" s="29" t="s">
        <v>148</v>
      </c>
      <c r="R44" s="29" t="n">
        <v>1</v>
      </c>
    </row>
    <row r="45" customFormat="false" ht="13.5" hidden="false" customHeight="false" outlineLevel="0" collapsed="false">
      <c r="A45" s="29" t="n">
        <v>7520</v>
      </c>
      <c r="B45" s="29" t="s">
        <v>1878</v>
      </c>
      <c r="C45" s="29" t="s">
        <v>439</v>
      </c>
      <c r="D45" s="29" t="s">
        <v>309</v>
      </c>
      <c r="E45" s="29" t="s">
        <v>449</v>
      </c>
      <c r="F45" s="20"/>
      <c r="G45" s="20"/>
      <c r="H45" s="20"/>
      <c r="I45" s="20"/>
      <c r="J45" s="20"/>
      <c r="K45" s="20"/>
      <c r="L45" s="20"/>
      <c r="M45" s="20"/>
      <c r="N45" s="29" t="s">
        <v>608</v>
      </c>
      <c r="O45" s="29" t="s">
        <v>609</v>
      </c>
      <c r="P45" s="29" t="s">
        <v>471</v>
      </c>
      <c r="Q45" s="29" t="s">
        <v>140</v>
      </c>
      <c r="R45" s="29" t="n">
        <v>1</v>
      </c>
    </row>
    <row r="46" customFormat="false" ht="13.5" hidden="false" customHeight="false" outlineLevel="0" collapsed="false">
      <c r="A46" s="29" t="n">
        <v>7530</v>
      </c>
      <c r="B46" s="29" t="s">
        <v>1879</v>
      </c>
      <c r="C46" s="29" t="s">
        <v>439</v>
      </c>
      <c r="D46" s="29" t="s">
        <v>309</v>
      </c>
      <c r="E46" s="29" t="s">
        <v>449</v>
      </c>
      <c r="F46" s="20"/>
      <c r="G46" s="20"/>
      <c r="H46" s="20"/>
      <c r="I46" s="20"/>
      <c r="J46" s="20"/>
      <c r="K46" s="20"/>
      <c r="L46" s="20"/>
      <c r="M46" s="20"/>
      <c r="N46" s="29" t="s">
        <v>610</v>
      </c>
      <c r="O46" s="29" t="s">
        <v>611</v>
      </c>
      <c r="P46" s="29" t="s">
        <v>471</v>
      </c>
      <c r="Q46" s="29" t="s">
        <v>1922</v>
      </c>
      <c r="R46" s="29" t="n">
        <v>1</v>
      </c>
    </row>
    <row r="47" customFormat="false" ht="13.5" hidden="false" customHeight="false" outlineLevel="0" collapsed="false">
      <c r="A47" s="29" t="n">
        <v>7540</v>
      </c>
      <c r="B47" s="29" t="s">
        <v>729</v>
      </c>
      <c r="C47" s="29" t="s">
        <v>443</v>
      </c>
      <c r="D47" s="29" t="s">
        <v>309</v>
      </c>
      <c r="E47" s="29" t="s">
        <v>448</v>
      </c>
      <c r="F47" s="20"/>
      <c r="G47" s="20"/>
      <c r="H47" s="20"/>
      <c r="I47" s="20"/>
      <c r="J47" s="20"/>
      <c r="K47" s="20"/>
      <c r="L47" s="20"/>
      <c r="M47" s="20"/>
      <c r="N47" s="29" t="s">
        <v>612</v>
      </c>
      <c r="O47" s="29" t="s">
        <v>1928</v>
      </c>
      <c r="P47" s="29" t="s">
        <v>471</v>
      </c>
      <c r="Q47" s="29"/>
      <c r="R47" s="29" t="n">
        <v>1</v>
      </c>
    </row>
    <row r="48" customFormat="false" ht="13.5" hidden="false" customHeight="false" outlineLevel="0" collapsed="false">
      <c r="A48" s="29" t="n">
        <v>7550</v>
      </c>
      <c r="B48" s="29" t="s">
        <v>731</v>
      </c>
      <c r="C48" s="29" t="s">
        <v>443</v>
      </c>
      <c r="D48" s="29" t="s">
        <v>309</v>
      </c>
      <c r="E48" s="29" t="s">
        <v>448</v>
      </c>
      <c r="F48" s="20"/>
      <c r="G48" s="20"/>
      <c r="H48" s="20"/>
      <c r="I48" s="20"/>
      <c r="J48" s="20"/>
      <c r="K48" s="20"/>
      <c r="L48" s="20"/>
      <c r="M48" s="20"/>
      <c r="N48" s="29" t="s">
        <v>614</v>
      </c>
      <c r="O48" s="29" t="s">
        <v>615</v>
      </c>
      <c r="P48" s="29" t="s">
        <v>470</v>
      </c>
      <c r="Q48" s="29"/>
      <c r="R48" s="29" t="n">
        <v>1</v>
      </c>
    </row>
    <row r="49" customFormat="false" ht="13.5" hidden="false" customHeight="false" outlineLevel="0" collapsed="false">
      <c r="A49" s="29" t="n">
        <v>7560</v>
      </c>
      <c r="B49" s="29" t="s">
        <v>1880</v>
      </c>
      <c r="C49" s="29" t="s">
        <v>443</v>
      </c>
      <c r="D49" s="29" t="s">
        <v>309</v>
      </c>
      <c r="E49" s="29" t="s">
        <v>448</v>
      </c>
      <c r="F49" s="20"/>
      <c r="G49" s="20"/>
      <c r="H49" s="20"/>
      <c r="I49" s="20"/>
      <c r="J49" s="20"/>
      <c r="K49" s="20"/>
      <c r="L49" s="20"/>
      <c r="M49" s="20"/>
      <c r="N49" s="29" t="s">
        <v>616</v>
      </c>
      <c r="O49" s="29" t="s">
        <v>617</v>
      </c>
      <c r="P49" s="29" t="s">
        <v>470</v>
      </c>
      <c r="Q49" s="29"/>
      <c r="R49" s="29" t="n">
        <v>1</v>
      </c>
    </row>
    <row r="50" customFormat="false" ht="13.5" hidden="false" customHeight="false" outlineLevel="0" collapsed="false">
      <c r="A50" s="29" t="n">
        <v>7570</v>
      </c>
      <c r="B50" s="29" t="s">
        <v>534</v>
      </c>
      <c r="C50" s="29" t="s">
        <v>443</v>
      </c>
      <c r="D50" s="29" t="s">
        <v>309</v>
      </c>
      <c r="E50" s="29" t="s">
        <v>448</v>
      </c>
      <c r="F50" s="20"/>
      <c r="G50" s="20"/>
      <c r="H50" s="20"/>
      <c r="I50" s="20"/>
      <c r="J50" s="20"/>
      <c r="K50" s="20"/>
      <c r="L50" s="20"/>
      <c r="M50" s="20"/>
      <c r="N50" s="29" t="s">
        <v>618</v>
      </c>
      <c r="O50" s="29" t="s">
        <v>619</v>
      </c>
      <c r="P50" s="29" t="s">
        <v>470</v>
      </c>
      <c r="Q50" s="29"/>
      <c r="R50" s="29" t="n">
        <v>1</v>
      </c>
    </row>
    <row r="51" customFormat="false" ht="13.5" hidden="false" customHeight="false" outlineLevel="0" collapsed="false">
      <c r="A51" s="29" t="n">
        <v>7580</v>
      </c>
      <c r="B51" s="29" t="s">
        <v>734</v>
      </c>
      <c r="C51" s="29" t="s">
        <v>443</v>
      </c>
      <c r="D51" s="29" t="s">
        <v>309</v>
      </c>
      <c r="E51" s="29" t="s">
        <v>448</v>
      </c>
      <c r="F51" s="20"/>
      <c r="G51" s="20"/>
      <c r="H51" s="20"/>
      <c r="I51" s="20"/>
      <c r="J51" s="20"/>
      <c r="K51" s="20"/>
      <c r="L51" s="20"/>
      <c r="M51" s="20"/>
      <c r="N51" s="29" t="s">
        <v>620</v>
      </c>
      <c r="O51" s="29" t="s">
        <v>621</v>
      </c>
      <c r="P51" s="29" t="s">
        <v>470</v>
      </c>
      <c r="Q51" s="29"/>
      <c r="R51" s="29" t="n">
        <v>1</v>
      </c>
    </row>
    <row r="52" customFormat="false" ht="13.5" hidden="false" customHeight="false" outlineLevel="0" collapsed="false">
      <c r="A52" s="29" t="n">
        <v>7600</v>
      </c>
      <c r="B52" s="29" t="s">
        <v>1881</v>
      </c>
      <c r="C52" s="29" t="s">
        <v>441</v>
      </c>
      <c r="D52" s="29" t="s">
        <v>309</v>
      </c>
      <c r="E52" s="29" t="s">
        <v>448</v>
      </c>
      <c r="F52" s="20"/>
      <c r="G52" s="20"/>
      <c r="H52" s="20"/>
      <c r="I52" s="20"/>
      <c r="J52" s="20"/>
      <c r="K52" s="20"/>
      <c r="L52" s="20"/>
      <c r="M52" s="20"/>
      <c r="N52" s="29" t="s">
        <v>622</v>
      </c>
      <c r="O52" s="29" t="s">
        <v>623</v>
      </c>
      <c r="P52" s="29" t="s">
        <v>470</v>
      </c>
      <c r="Q52" s="29"/>
      <c r="R52" s="29" t="n">
        <v>1</v>
      </c>
    </row>
    <row r="53" customFormat="false" ht="13.5" hidden="false" customHeight="false" outlineLevel="0" collapsed="false">
      <c r="A53" s="29" t="n">
        <v>7610</v>
      </c>
      <c r="B53" s="29" t="s">
        <v>1882</v>
      </c>
      <c r="C53" s="29" t="s">
        <v>441</v>
      </c>
      <c r="D53" s="29" t="s">
        <v>309</v>
      </c>
      <c r="E53" s="29" t="s">
        <v>448</v>
      </c>
      <c r="F53" s="20"/>
      <c r="G53" s="20"/>
      <c r="H53" s="20"/>
      <c r="I53" s="20"/>
      <c r="J53" s="20"/>
      <c r="K53" s="20"/>
      <c r="L53" s="20"/>
      <c r="M53" s="20"/>
      <c r="N53" s="29" t="s">
        <v>624</v>
      </c>
      <c r="O53" s="29" t="s">
        <v>625</v>
      </c>
      <c r="P53" s="29" t="s">
        <v>470</v>
      </c>
      <c r="Q53" s="29"/>
      <c r="R53" s="29" t="n">
        <v>1</v>
      </c>
    </row>
    <row r="54" customFormat="false" ht="13.5" hidden="false" customHeight="false" outlineLevel="0" collapsed="false">
      <c r="A54" s="29" t="n">
        <v>7620</v>
      </c>
      <c r="B54" s="29" t="s">
        <v>736</v>
      </c>
      <c r="C54" s="29" t="s">
        <v>441</v>
      </c>
      <c r="D54" s="29" t="s">
        <v>309</v>
      </c>
      <c r="E54" s="29" t="s">
        <v>448</v>
      </c>
      <c r="F54" s="20"/>
      <c r="G54" s="20"/>
      <c r="H54" s="20"/>
      <c r="I54" s="20"/>
      <c r="J54" s="20"/>
      <c r="K54" s="20"/>
      <c r="L54" s="20"/>
      <c r="M54" s="20"/>
      <c r="N54" s="29" t="s">
        <v>626</v>
      </c>
      <c r="O54" s="29" t="s">
        <v>627</v>
      </c>
      <c r="P54" s="29" t="s">
        <v>472</v>
      </c>
      <c r="Q54" s="29"/>
      <c r="R54" s="29" t="n">
        <v>1</v>
      </c>
    </row>
    <row r="55" customFormat="false" ht="13.5" hidden="false" customHeight="false" outlineLevel="0" collapsed="false">
      <c r="A55" s="29" t="n">
        <v>7621</v>
      </c>
      <c r="B55" s="29" t="s">
        <v>1883</v>
      </c>
      <c r="C55" s="29" t="s">
        <v>441</v>
      </c>
      <c r="D55" s="29" t="s">
        <v>309</v>
      </c>
      <c r="E55" s="29" t="s">
        <v>448</v>
      </c>
      <c r="F55" s="20"/>
      <c r="G55" s="20"/>
      <c r="H55" s="20"/>
      <c r="I55" s="20"/>
      <c r="J55" s="20"/>
      <c r="K55" s="20"/>
      <c r="L55" s="20"/>
      <c r="M55" s="20"/>
      <c r="N55" s="29" t="s">
        <v>628</v>
      </c>
      <c r="O55" s="29" t="s">
        <v>629</v>
      </c>
      <c r="P55" s="29" t="s">
        <v>473</v>
      </c>
      <c r="Q55" s="29"/>
      <c r="R55" s="29" t="n">
        <v>1</v>
      </c>
    </row>
    <row r="56" customFormat="false" ht="13.5" hidden="false" customHeight="false" outlineLevel="0" collapsed="false">
      <c r="A56" s="29" t="n">
        <v>7630</v>
      </c>
      <c r="B56" s="29" t="s">
        <v>738</v>
      </c>
      <c r="C56" s="29" t="s">
        <v>443</v>
      </c>
      <c r="D56" s="29" t="s">
        <v>309</v>
      </c>
      <c r="E56" s="29" t="s">
        <v>448</v>
      </c>
      <c r="F56" s="20"/>
      <c r="G56" s="20"/>
      <c r="H56" s="20"/>
      <c r="I56" s="20"/>
      <c r="J56" s="20"/>
      <c r="K56" s="20"/>
      <c r="L56" s="20"/>
      <c r="M56" s="20"/>
      <c r="N56" s="29" t="s">
        <v>630</v>
      </c>
      <c r="O56" s="29" t="s">
        <v>631</v>
      </c>
      <c r="P56" s="29" t="s">
        <v>473</v>
      </c>
      <c r="Q56" s="29"/>
      <c r="R56" s="29" t="n">
        <v>1</v>
      </c>
    </row>
    <row r="57" customFormat="false" ht="13.5" hidden="false" customHeight="false" outlineLevel="0" collapsed="false">
      <c r="A57" s="29" t="n">
        <v>7631</v>
      </c>
      <c r="B57" s="29" t="s">
        <v>1884</v>
      </c>
      <c r="C57" s="29" t="s">
        <v>443</v>
      </c>
      <c r="D57" s="29" t="s">
        <v>309</v>
      </c>
      <c r="E57" s="29" t="s">
        <v>448</v>
      </c>
      <c r="F57" s="20"/>
      <c r="G57" s="20"/>
      <c r="H57" s="20"/>
      <c r="I57" s="20"/>
      <c r="J57" s="20"/>
      <c r="K57" s="20"/>
      <c r="L57" s="20"/>
      <c r="M57" s="20"/>
      <c r="N57" s="29" t="s">
        <v>632</v>
      </c>
      <c r="O57" s="29" t="s">
        <v>633</v>
      </c>
      <c r="P57" s="29" t="s">
        <v>473</v>
      </c>
      <c r="Q57" s="29"/>
      <c r="R57" s="29" t="n">
        <v>1</v>
      </c>
    </row>
    <row r="58" customFormat="false" ht="13.5" hidden="false" customHeight="false" outlineLevel="0" collapsed="false">
      <c r="A58" s="29" t="n">
        <v>7640</v>
      </c>
      <c r="B58" s="29" t="s">
        <v>1885</v>
      </c>
      <c r="C58" s="29" t="s">
        <v>441</v>
      </c>
      <c r="D58" s="29" t="s">
        <v>309</v>
      </c>
      <c r="E58" s="29" t="s">
        <v>448</v>
      </c>
      <c r="F58" s="20"/>
      <c r="G58" s="20"/>
      <c r="H58" s="20"/>
      <c r="I58" s="20"/>
      <c r="J58" s="20"/>
      <c r="K58" s="20"/>
      <c r="L58" s="20"/>
      <c r="M58" s="20"/>
      <c r="N58" s="29" t="s">
        <v>634</v>
      </c>
      <c r="O58" s="29" t="s">
        <v>635</v>
      </c>
      <c r="P58" s="29" t="s">
        <v>473</v>
      </c>
      <c r="Q58" s="29"/>
      <c r="R58" s="29" t="n">
        <v>1</v>
      </c>
    </row>
    <row r="59" customFormat="false" ht="13.5" hidden="false" customHeight="false" outlineLevel="0" collapsed="false">
      <c r="A59" s="29" t="n">
        <v>7650</v>
      </c>
      <c r="B59" s="29" t="s">
        <v>740</v>
      </c>
      <c r="C59" s="29" t="s">
        <v>441</v>
      </c>
      <c r="D59" s="29" t="s">
        <v>309</v>
      </c>
      <c r="E59" s="29" t="s">
        <v>448</v>
      </c>
      <c r="F59" s="20"/>
      <c r="G59" s="20"/>
      <c r="H59" s="20"/>
      <c r="I59" s="20"/>
      <c r="J59" s="20"/>
      <c r="K59" s="20"/>
      <c r="L59" s="20"/>
      <c r="M59" s="20"/>
      <c r="N59" s="29" t="s">
        <v>636</v>
      </c>
      <c r="O59" s="29" t="s">
        <v>637</v>
      </c>
      <c r="P59" s="29" t="s">
        <v>473</v>
      </c>
      <c r="Q59" s="29"/>
      <c r="R59" s="29" t="n">
        <v>1</v>
      </c>
    </row>
    <row r="60" customFormat="false" ht="13.5" hidden="false" customHeight="false" outlineLevel="0" collapsed="false">
      <c r="A60" s="29" t="n">
        <v>7660</v>
      </c>
      <c r="B60" s="29" t="s">
        <v>742</v>
      </c>
      <c r="C60" s="29" t="s">
        <v>441</v>
      </c>
      <c r="D60" s="29" t="s">
        <v>309</v>
      </c>
      <c r="E60" s="29" t="s">
        <v>448</v>
      </c>
      <c r="F60" s="20"/>
      <c r="G60" s="20"/>
      <c r="H60" s="20"/>
      <c r="I60" s="20"/>
      <c r="J60" s="20"/>
      <c r="K60" s="20"/>
      <c r="L60" s="20"/>
      <c r="M60" s="20"/>
      <c r="N60" s="29" t="s">
        <v>638</v>
      </c>
      <c r="O60" s="29" t="s">
        <v>639</v>
      </c>
      <c r="P60" s="29" t="s">
        <v>473</v>
      </c>
      <c r="Q60" s="29"/>
      <c r="R60" s="29" t="n">
        <v>1</v>
      </c>
    </row>
    <row r="61" customFormat="false" ht="13.5" hidden="false" customHeight="false" outlineLevel="0" collapsed="false">
      <c r="A61" s="29" t="n">
        <v>7700</v>
      </c>
      <c r="B61" s="29" t="s">
        <v>744</v>
      </c>
      <c r="C61" s="29" t="s">
        <v>442</v>
      </c>
      <c r="D61" s="29" t="s">
        <v>309</v>
      </c>
      <c r="E61" s="29" t="s">
        <v>448</v>
      </c>
      <c r="F61" s="20"/>
      <c r="G61" s="20"/>
      <c r="H61" s="20"/>
      <c r="I61" s="20"/>
      <c r="J61" s="20"/>
      <c r="K61" s="20"/>
      <c r="L61" s="20"/>
      <c r="M61" s="20"/>
      <c r="N61" s="29" t="s">
        <v>640</v>
      </c>
      <c r="O61" s="29" t="s">
        <v>641</v>
      </c>
      <c r="P61" s="29" t="s">
        <v>473</v>
      </c>
      <c r="Q61" s="29"/>
      <c r="R61" s="29" t="n">
        <v>1</v>
      </c>
    </row>
    <row r="62" customFormat="false" ht="13.5" hidden="false" customHeight="false" outlineLevel="0" collapsed="false">
      <c r="A62" s="29" t="n">
        <v>7701</v>
      </c>
      <c r="B62" s="29" t="s">
        <v>1886</v>
      </c>
      <c r="C62" s="29" t="s">
        <v>442</v>
      </c>
      <c r="D62" s="29" t="s">
        <v>309</v>
      </c>
      <c r="E62" s="29" t="s">
        <v>448</v>
      </c>
      <c r="F62" s="20"/>
      <c r="G62" s="20"/>
      <c r="H62" s="20"/>
      <c r="I62" s="20"/>
      <c r="J62" s="20"/>
      <c r="K62" s="20"/>
      <c r="L62" s="20"/>
      <c r="M62" s="20"/>
      <c r="N62" s="29" t="s">
        <v>642</v>
      </c>
      <c r="O62" s="29" t="s">
        <v>643</v>
      </c>
      <c r="P62" s="29" t="s">
        <v>473</v>
      </c>
      <c r="Q62" s="29"/>
      <c r="R62" s="29" t="n">
        <v>1</v>
      </c>
    </row>
    <row r="63" customFormat="false" ht="13.5" hidden="false" customHeight="false" outlineLevel="0" collapsed="false">
      <c r="A63" s="29" t="n">
        <v>7710</v>
      </c>
      <c r="B63" s="29" t="s">
        <v>746</v>
      </c>
      <c r="C63" s="29" t="s">
        <v>442</v>
      </c>
      <c r="D63" s="29" t="s">
        <v>309</v>
      </c>
      <c r="E63" s="29" t="s">
        <v>448</v>
      </c>
      <c r="F63" s="20"/>
      <c r="G63" s="20"/>
      <c r="H63" s="20"/>
      <c r="I63" s="20"/>
      <c r="J63" s="20"/>
      <c r="K63" s="20"/>
      <c r="L63" s="20"/>
      <c r="M63" s="20"/>
      <c r="N63" s="29" t="s">
        <v>644</v>
      </c>
      <c r="O63" s="29" t="s">
        <v>645</v>
      </c>
      <c r="P63" s="29" t="s">
        <v>473</v>
      </c>
      <c r="Q63" s="29"/>
      <c r="R63" s="29" t="n">
        <v>1</v>
      </c>
    </row>
    <row r="64" customFormat="false" ht="13.5" hidden="false" customHeight="false" outlineLevel="0" collapsed="false">
      <c r="A64" s="29" t="n">
        <v>7720</v>
      </c>
      <c r="B64" s="29" t="s">
        <v>1887</v>
      </c>
      <c r="C64" s="29" t="s">
        <v>442</v>
      </c>
      <c r="D64" s="29" t="s">
        <v>309</v>
      </c>
      <c r="E64" s="29" t="s">
        <v>448</v>
      </c>
      <c r="F64" s="20"/>
      <c r="G64" s="20"/>
      <c r="H64" s="20"/>
      <c r="I64" s="20"/>
      <c r="J64" s="20"/>
      <c r="K64" s="20"/>
      <c r="L64" s="20"/>
      <c r="M64" s="20"/>
      <c r="N64" s="29" t="s">
        <v>646</v>
      </c>
      <c r="O64" s="29" t="s">
        <v>647</v>
      </c>
      <c r="P64" s="29" t="s">
        <v>473</v>
      </c>
      <c r="Q64" s="29"/>
      <c r="R64" s="29" t="n">
        <v>1</v>
      </c>
    </row>
    <row r="65" customFormat="false" ht="13.5" hidden="false" customHeight="false" outlineLevel="0" collapsed="false">
      <c r="A65" s="29" t="n">
        <v>7721</v>
      </c>
      <c r="B65" s="29" t="s">
        <v>1888</v>
      </c>
      <c r="C65" s="29" t="s">
        <v>442</v>
      </c>
      <c r="D65" s="29" t="s">
        <v>309</v>
      </c>
      <c r="E65" s="29" t="s">
        <v>448</v>
      </c>
      <c r="F65" s="20"/>
      <c r="G65" s="20"/>
      <c r="H65" s="20"/>
      <c r="I65" s="20"/>
      <c r="J65" s="20"/>
      <c r="K65" s="20"/>
      <c r="L65" s="20"/>
      <c r="M65" s="20"/>
      <c r="N65" s="29" t="s">
        <v>648</v>
      </c>
      <c r="O65" s="29" t="s">
        <v>649</v>
      </c>
      <c r="P65" s="29" t="s">
        <v>473</v>
      </c>
      <c r="Q65" s="29"/>
      <c r="R65" s="29" t="n">
        <v>1</v>
      </c>
    </row>
    <row r="66" customFormat="false" ht="13.5" hidden="false" customHeight="false" outlineLevel="0" collapsed="false">
      <c r="A66" s="29" t="n">
        <v>7730</v>
      </c>
      <c r="B66" s="29" t="s">
        <v>748</v>
      </c>
      <c r="C66" s="29" t="s">
        <v>442</v>
      </c>
      <c r="D66" s="29" t="s">
        <v>309</v>
      </c>
      <c r="E66" s="29" t="s">
        <v>448</v>
      </c>
      <c r="F66" s="20"/>
      <c r="G66" s="20"/>
      <c r="H66" s="20"/>
      <c r="I66" s="20"/>
      <c r="J66" s="20"/>
      <c r="K66" s="20"/>
      <c r="L66" s="20"/>
      <c r="M66" s="20"/>
      <c r="N66" s="29" t="s">
        <v>650</v>
      </c>
      <c r="O66" s="29" t="s">
        <v>651</v>
      </c>
      <c r="P66" s="29" t="s">
        <v>473</v>
      </c>
      <c r="Q66" s="29"/>
      <c r="R66" s="29" t="n">
        <v>1</v>
      </c>
    </row>
    <row r="67" customFormat="false" ht="13.5" hidden="false" customHeight="false" outlineLevel="0" collapsed="false">
      <c r="A67" s="29" t="n">
        <v>7740</v>
      </c>
      <c r="B67" s="29" t="s">
        <v>1889</v>
      </c>
      <c r="C67" s="29" t="s">
        <v>442</v>
      </c>
      <c r="D67" s="29" t="s">
        <v>309</v>
      </c>
      <c r="E67" s="29" t="s">
        <v>448</v>
      </c>
      <c r="F67" s="20"/>
      <c r="G67" s="20"/>
      <c r="H67" s="20"/>
      <c r="I67" s="20"/>
      <c r="J67" s="20"/>
      <c r="K67" s="20"/>
      <c r="L67" s="20"/>
      <c r="M67" s="20"/>
      <c r="N67" s="29" t="s">
        <v>652</v>
      </c>
      <c r="O67" s="29" t="s">
        <v>653</v>
      </c>
      <c r="P67" s="29" t="s">
        <v>473</v>
      </c>
      <c r="Q67" s="29"/>
      <c r="R67" s="29" t="n">
        <v>1</v>
      </c>
    </row>
    <row r="68" customFormat="false" ht="13.5" hidden="false" customHeight="false" outlineLevel="0" collapsed="false">
      <c r="A68" s="29" t="n">
        <v>7741</v>
      </c>
      <c r="B68" s="29" t="s">
        <v>1890</v>
      </c>
      <c r="C68" s="29" t="s">
        <v>442</v>
      </c>
      <c r="D68" s="29" t="s">
        <v>309</v>
      </c>
      <c r="E68" s="29" t="s">
        <v>448</v>
      </c>
      <c r="F68" s="20"/>
      <c r="G68" s="20"/>
      <c r="H68" s="20"/>
      <c r="I68" s="20"/>
      <c r="J68" s="20"/>
      <c r="K68" s="20"/>
      <c r="L68" s="20"/>
      <c r="M68" s="20"/>
      <c r="N68" s="29" t="s">
        <v>654</v>
      </c>
      <c r="O68" s="29" t="s">
        <v>655</v>
      </c>
      <c r="P68" s="29" t="s">
        <v>473</v>
      </c>
      <c r="Q68" s="29"/>
      <c r="R68" s="29" t="n">
        <v>1</v>
      </c>
    </row>
    <row r="69" customFormat="false" ht="13.5" hidden="false" customHeight="false" outlineLevel="0" collapsed="false">
      <c r="A69" s="29" t="n">
        <v>7750</v>
      </c>
      <c r="B69" s="29" t="s">
        <v>752</v>
      </c>
      <c r="C69" s="29" t="s">
        <v>442</v>
      </c>
      <c r="D69" s="29" t="s">
        <v>309</v>
      </c>
      <c r="E69" s="29" t="s">
        <v>448</v>
      </c>
      <c r="F69" s="20"/>
      <c r="G69" s="20"/>
      <c r="H69" s="20"/>
      <c r="I69" s="20"/>
      <c r="J69" s="20"/>
      <c r="K69" s="20"/>
      <c r="L69" s="20"/>
      <c r="M69" s="20"/>
      <c r="N69" s="29" t="s">
        <v>656</v>
      </c>
      <c r="O69" s="29" t="s">
        <v>657</v>
      </c>
      <c r="P69" s="29" t="s">
        <v>473</v>
      </c>
      <c r="Q69" s="29"/>
      <c r="R69" s="29" t="n">
        <v>1</v>
      </c>
    </row>
    <row r="70" customFormat="false" ht="13.5" hidden="false" customHeight="false" outlineLevel="0" collapsed="false">
      <c r="A70" s="29" t="n">
        <v>7760</v>
      </c>
      <c r="B70" s="29" t="s">
        <v>754</v>
      </c>
      <c r="C70" s="29" t="s">
        <v>442</v>
      </c>
      <c r="D70" s="29" t="s">
        <v>309</v>
      </c>
      <c r="E70" s="29" t="s">
        <v>448</v>
      </c>
      <c r="F70" s="20"/>
      <c r="G70" s="20"/>
      <c r="H70" s="20"/>
      <c r="I70" s="20"/>
      <c r="J70" s="20"/>
      <c r="K70" s="20"/>
      <c r="L70" s="20"/>
      <c r="M70" s="20"/>
      <c r="N70" s="29" t="s">
        <v>658</v>
      </c>
      <c r="O70" s="29" t="s">
        <v>659</v>
      </c>
      <c r="P70" s="29" t="s">
        <v>473</v>
      </c>
      <c r="Q70" s="29"/>
      <c r="R70" s="29" t="n">
        <v>1</v>
      </c>
    </row>
    <row r="71" customFormat="false" ht="13.5" hidden="false" customHeight="false" outlineLevel="0" collapsed="false">
      <c r="A71" s="29" t="n">
        <v>7761</v>
      </c>
      <c r="B71" s="29" t="s">
        <v>1891</v>
      </c>
      <c r="C71" s="29" t="s">
        <v>442</v>
      </c>
      <c r="D71" s="29" t="s">
        <v>309</v>
      </c>
      <c r="E71" s="29" t="s">
        <v>448</v>
      </c>
      <c r="F71" s="20"/>
      <c r="G71" s="20"/>
      <c r="H71" s="20"/>
      <c r="I71" s="20"/>
      <c r="J71" s="20"/>
      <c r="K71" s="20"/>
      <c r="L71" s="20"/>
      <c r="M71" s="20"/>
      <c r="N71" s="29" t="s">
        <v>660</v>
      </c>
      <c r="O71" s="29" t="s">
        <v>661</v>
      </c>
      <c r="P71" s="29" t="s">
        <v>473</v>
      </c>
      <c r="Q71" s="29"/>
      <c r="R71" s="29" t="n">
        <v>1</v>
      </c>
    </row>
    <row r="72" customFormat="false" ht="13.5" hidden="false" customHeight="false" outlineLevel="0" collapsed="false">
      <c r="A72" s="29" t="n">
        <v>7770</v>
      </c>
      <c r="B72" s="29" t="s">
        <v>1892</v>
      </c>
      <c r="C72" s="29" t="s">
        <v>438</v>
      </c>
      <c r="D72" s="29" t="s">
        <v>309</v>
      </c>
      <c r="E72" s="29" t="s">
        <v>449</v>
      </c>
      <c r="F72" s="20"/>
      <c r="G72" s="20"/>
      <c r="H72" s="20"/>
      <c r="I72" s="20"/>
      <c r="J72" s="20"/>
      <c r="K72" s="20"/>
      <c r="L72" s="20"/>
      <c r="M72" s="20"/>
      <c r="N72" s="29" t="s">
        <v>662</v>
      </c>
      <c r="O72" s="29" t="s">
        <v>663</v>
      </c>
      <c r="P72" s="29" t="s">
        <v>474</v>
      </c>
      <c r="Q72" s="29"/>
      <c r="R72" s="29" t="n">
        <v>1</v>
      </c>
    </row>
    <row r="73" customFormat="false" ht="13.5" hidden="false" customHeight="false" outlineLevel="0" collapsed="false">
      <c r="A73" s="29" t="n">
        <v>7800</v>
      </c>
      <c r="B73" s="29" t="s">
        <v>756</v>
      </c>
      <c r="C73" s="29" t="s">
        <v>443</v>
      </c>
      <c r="D73" s="29" t="s">
        <v>309</v>
      </c>
      <c r="E73" s="29" t="s">
        <v>448</v>
      </c>
      <c r="F73" s="20"/>
      <c r="G73" s="20"/>
      <c r="H73" s="20"/>
      <c r="I73" s="20"/>
      <c r="J73" s="20"/>
      <c r="K73" s="20"/>
      <c r="L73" s="20"/>
      <c r="M73" s="20"/>
      <c r="N73" s="29" t="s">
        <v>664</v>
      </c>
      <c r="O73" s="29" t="s">
        <v>665</v>
      </c>
      <c r="P73" s="29" t="s">
        <v>475</v>
      </c>
      <c r="Q73" s="29"/>
      <c r="R73" s="29" t="n">
        <v>1</v>
      </c>
    </row>
    <row r="74" customFormat="false" ht="13.5" hidden="false" customHeight="false" outlineLevel="0" collapsed="false">
      <c r="A74" s="29" t="n">
        <v>7810</v>
      </c>
      <c r="B74" s="29" t="s">
        <v>758</v>
      </c>
      <c r="C74" s="29" t="s">
        <v>443</v>
      </c>
      <c r="D74" s="29" t="s">
        <v>309</v>
      </c>
      <c r="E74" s="29" t="s">
        <v>448</v>
      </c>
      <c r="F74" s="20"/>
      <c r="G74" s="20"/>
      <c r="H74" s="20"/>
      <c r="I74" s="20"/>
      <c r="J74" s="20"/>
      <c r="K74" s="20"/>
      <c r="L74" s="20"/>
      <c r="M74" s="20"/>
      <c r="N74" s="29" t="s">
        <v>666</v>
      </c>
      <c r="O74" s="29" t="s">
        <v>667</v>
      </c>
      <c r="P74" s="29" t="s">
        <v>476</v>
      </c>
      <c r="Q74" s="29"/>
      <c r="R74" s="29" t="n">
        <v>1</v>
      </c>
    </row>
    <row r="75" customFormat="false" ht="13.5" hidden="false" customHeight="false" outlineLevel="0" collapsed="false">
      <c r="A75" s="29" t="n">
        <v>7820</v>
      </c>
      <c r="B75" s="29" t="s">
        <v>760</v>
      </c>
      <c r="C75" s="29" t="s">
        <v>443</v>
      </c>
      <c r="D75" s="29" t="s">
        <v>309</v>
      </c>
      <c r="E75" s="29" t="s">
        <v>448</v>
      </c>
      <c r="F75" s="20"/>
      <c r="G75" s="20"/>
      <c r="H75" s="20"/>
      <c r="I75" s="20"/>
      <c r="J75" s="20"/>
      <c r="K75" s="20"/>
      <c r="L75" s="20"/>
      <c r="M75" s="20"/>
      <c r="N75" s="29" t="s">
        <v>668</v>
      </c>
      <c r="O75" s="29" t="s">
        <v>669</v>
      </c>
      <c r="P75" s="29" t="s">
        <v>476</v>
      </c>
      <c r="Q75" s="29"/>
      <c r="R75" s="29" t="n">
        <v>1</v>
      </c>
    </row>
    <row r="76" customFormat="false" ht="13.5" hidden="false" customHeight="false" outlineLevel="0" collapsed="false">
      <c r="A76" s="29" t="n">
        <v>7830</v>
      </c>
      <c r="B76" s="29" t="s">
        <v>1893</v>
      </c>
      <c r="C76" s="29" t="s">
        <v>443</v>
      </c>
      <c r="D76" s="29" t="s">
        <v>309</v>
      </c>
      <c r="E76" s="29" t="s">
        <v>448</v>
      </c>
      <c r="F76" s="20"/>
      <c r="G76" s="20"/>
      <c r="H76" s="20"/>
      <c r="I76" s="20"/>
      <c r="J76" s="20"/>
      <c r="K76" s="20"/>
      <c r="L76" s="20"/>
      <c r="M76" s="20"/>
      <c r="N76" s="29" t="s">
        <v>670</v>
      </c>
      <c r="O76" s="29" t="s">
        <v>671</v>
      </c>
      <c r="P76" s="29" t="s">
        <v>477</v>
      </c>
      <c r="Q76" s="29"/>
      <c r="R76" s="29" t="n">
        <v>-1</v>
      </c>
    </row>
    <row r="77" customFormat="false" ht="13.5" hidden="false" customHeight="false" outlineLevel="0" collapsed="false">
      <c r="A77" s="29" t="n">
        <v>7900</v>
      </c>
      <c r="B77" s="29" t="s">
        <v>1894</v>
      </c>
      <c r="C77" s="29" t="s">
        <v>444</v>
      </c>
      <c r="D77" s="29" t="s">
        <v>309</v>
      </c>
      <c r="E77" s="29" t="s">
        <v>448</v>
      </c>
      <c r="F77" s="20"/>
      <c r="G77" s="20"/>
      <c r="H77" s="20"/>
      <c r="I77" s="20"/>
      <c r="J77" s="20"/>
      <c r="K77" s="20"/>
      <c r="L77" s="20"/>
      <c r="M77" s="20"/>
      <c r="N77" s="29" t="s">
        <v>672</v>
      </c>
      <c r="O77" s="29" t="s">
        <v>673</v>
      </c>
      <c r="P77" s="29" t="s">
        <v>477</v>
      </c>
      <c r="Q77" s="29"/>
      <c r="R77" s="29" t="n">
        <v>-1</v>
      </c>
    </row>
    <row r="78" customFormat="false" ht="13.5" hidden="false" customHeight="false" outlineLevel="0" collapsed="false">
      <c r="A78" s="29" t="n">
        <v>7901</v>
      </c>
      <c r="B78" s="29" t="s">
        <v>1895</v>
      </c>
      <c r="C78" s="29" t="s">
        <v>444</v>
      </c>
      <c r="D78" s="29" t="s">
        <v>309</v>
      </c>
      <c r="E78" s="29" t="s">
        <v>448</v>
      </c>
      <c r="F78" s="20"/>
      <c r="G78" s="20"/>
      <c r="H78" s="20"/>
      <c r="I78" s="20"/>
      <c r="J78" s="20"/>
      <c r="K78" s="20"/>
      <c r="L78" s="20"/>
      <c r="M78" s="20"/>
      <c r="N78" s="29" t="s">
        <v>1929</v>
      </c>
      <c r="O78" s="29" t="s">
        <v>1930</v>
      </c>
      <c r="P78" s="29" t="s">
        <v>477</v>
      </c>
      <c r="Q78" s="29"/>
      <c r="R78" s="29" t="n">
        <v>-1</v>
      </c>
    </row>
    <row r="79" customFormat="false" ht="13.5" hidden="false" customHeight="false" outlineLevel="0" collapsed="false">
      <c r="A79" s="29" t="n">
        <v>7902</v>
      </c>
      <c r="B79" s="29" t="s">
        <v>1896</v>
      </c>
      <c r="C79" s="29" t="s">
        <v>444</v>
      </c>
      <c r="D79" s="29" t="s">
        <v>309</v>
      </c>
      <c r="E79" s="29" t="s">
        <v>448</v>
      </c>
      <c r="F79" s="20"/>
      <c r="G79" s="20"/>
      <c r="H79" s="20"/>
      <c r="I79" s="20"/>
      <c r="J79" s="20"/>
      <c r="K79" s="20"/>
      <c r="L79" s="20"/>
      <c r="M79" s="20"/>
      <c r="N79" s="29" t="s">
        <v>674</v>
      </c>
      <c r="O79" s="29" t="s">
        <v>675</v>
      </c>
      <c r="P79" s="29" t="s">
        <v>477</v>
      </c>
      <c r="Q79" s="29"/>
      <c r="R79" s="29" t="n">
        <v>-1</v>
      </c>
    </row>
    <row r="80" customFormat="false" ht="13.5" hidden="false" customHeight="false" outlineLevel="0" collapsed="false">
      <c r="A80" s="29" t="n">
        <v>7910</v>
      </c>
      <c r="B80" s="29" t="s">
        <v>762</v>
      </c>
      <c r="C80" s="29" t="s">
        <v>444</v>
      </c>
      <c r="D80" s="29" t="s">
        <v>309</v>
      </c>
      <c r="E80" s="29" t="s">
        <v>448</v>
      </c>
      <c r="F80" s="20"/>
      <c r="G80" s="20"/>
      <c r="H80" s="20"/>
      <c r="I80" s="20"/>
      <c r="J80" s="20"/>
      <c r="K80" s="20"/>
      <c r="L80" s="20"/>
      <c r="M80" s="20"/>
      <c r="N80" s="29" t="s">
        <v>676</v>
      </c>
      <c r="O80" s="29" t="s">
        <v>677</v>
      </c>
      <c r="P80" s="29" t="s">
        <v>477</v>
      </c>
      <c r="Q80" s="29"/>
      <c r="R80" s="29" t="n">
        <v>-1</v>
      </c>
    </row>
    <row r="81" customFormat="false" ht="13.5" hidden="false" customHeight="false" outlineLevel="0" collapsed="false">
      <c r="A81" s="29" t="n">
        <v>7911</v>
      </c>
      <c r="B81" s="29" t="s">
        <v>1897</v>
      </c>
      <c r="C81" s="29" t="s">
        <v>444</v>
      </c>
      <c r="D81" s="29" t="s">
        <v>309</v>
      </c>
      <c r="E81" s="29" t="s">
        <v>448</v>
      </c>
      <c r="F81" s="20"/>
      <c r="G81" s="20"/>
      <c r="H81" s="20"/>
      <c r="I81" s="20"/>
      <c r="J81" s="20"/>
      <c r="K81" s="20"/>
      <c r="L81" s="20"/>
      <c r="M81" s="20"/>
      <c r="N81" s="29" t="s">
        <v>678</v>
      </c>
      <c r="O81" s="29" t="s">
        <v>679</v>
      </c>
      <c r="P81" s="29" t="s">
        <v>477</v>
      </c>
      <c r="Q81" s="29"/>
      <c r="R81" s="29" t="n">
        <v>-1</v>
      </c>
    </row>
    <row r="82" customFormat="false" ht="13.5" hidden="false" customHeight="false" outlineLevel="0" collapsed="false">
      <c r="A82" s="29" t="n">
        <v>7920</v>
      </c>
      <c r="B82" s="29" t="s">
        <v>1898</v>
      </c>
      <c r="C82" s="29" t="s">
        <v>444</v>
      </c>
      <c r="D82" s="29" t="s">
        <v>309</v>
      </c>
      <c r="E82" s="29" t="s">
        <v>448</v>
      </c>
      <c r="F82" s="20"/>
      <c r="G82" s="20"/>
      <c r="H82" s="20"/>
      <c r="I82" s="20"/>
      <c r="J82" s="20"/>
      <c r="K82" s="20"/>
      <c r="L82" s="20"/>
      <c r="M82" s="20"/>
      <c r="N82" s="29" t="s">
        <v>1931</v>
      </c>
      <c r="O82" s="29" t="s">
        <v>1932</v>
      </c>
      <c r="P82" s="29" t="s">
        <v>477</v>
      </c>
      <c r="Q82" s="29"/>
      <c r="R82" s="29" t="n">
        <v>-1</v>
      </c>
    </row>
    <row r="83" customFormat="false" ht="13.5" hidden="false" customHeight="false" outlineLevel="0" collapsed="false">
      <c r="A83" s="29" t="n">
        <v>7930</v>
      </c>
      <c r="B83" s="29" t="s">
        <v>1899</v>
      </c>
      <c r="C83" s="29" t="s">
        <v>444</v>
      </c>
      <c r="D83" s="29" t="s">
        <v>309</v>
      </c>
      <c r="E83" s="29" t="s">
        <v>448</v>
      </c>
      <c r="F83" s="20"/>
      <c r="G83" s="20"/>
      <c r="H83" s="20"/>
      <c r="I83" s="20"/>
      <c r="J83" s="20"/>
      <c r="K83" s="20"/>
      <c r="L83" s="20"/>
      <c r="M83" s="20"/>
      <c r="N83" s="29" t="s">
        <v>680</v>
      </c>
      <c r="O83" s="29" t="s">
        <v>681</v>
      </c>
      <c r="P83" s="29" t="s">
        <v>477</v>
      </c>
      <c r="Q83" s="29"/>
      <c r="R83" s="29" t="n">
        <v>-1</v>
      </c>
    </row>
    <row r="84" customFormat="false" ht="13.5" hidden="false" customHeight="false" outlineLevel="0" collapsed="false">
      <c r="A84" s="29" t="n">
        <v>7940</v>
      </c>
      <c r="B84" s="29" t="s">
        <v>764</v>
      </c>
      <c r="C84" s="29" t="s">
        <v>445</v>
      </c>
      <c r="D84" s="29" t="s">
        <v>309</v>
      </c>
      <c r="E84" s="29" t="s">
        <v>448</v>
      </c>
      <c r="F84" s="20"/>
      <c r="G84" s="20"/>
      <c r="H84" s="20"/>
      <c r="I84" s="20"/>
      <c r="J84" s="20"/>
      <c r="K84" s="20"/>
      <c r="L84" s="20"/>
      <c r="M84" s="20"/>
      <c r="N84" s="29" t="s">
        <v>682</v>
      </c>
      <c r="O84" s="29" t="s">
        <v>683</v>
      </c>
      <c r="P84" s="29" t="s">
        <v>477</v>
      </c>
      <c r="Q84" s="29"/>
      <c r="R84" s="29" t="n">
        <v>-1</v>
      </c>
    </row>
    <row r="85" customFormat="false" ht="13.5" hidden="false" customHeight="false" outlineLevel="0" collapsed="false">
      <c r="A85" s="29" t="n">
        <v>7950</v>
      </c>
      <c r="B85" s="29" t="s">
        <v>1900</v>
      </c>
      <c r="C85" s="29" t="s">
        <v>443</v>
      </c>
      <c r="D85" s="29" t="s">
        <v>309</v>
      </c>
      <c r="E85" s="29" t="s">
        <v>448</v>
      </c>
      <c r="F85" s="20"/>
      <c r="G85" s="20"/>
      <c r="H85" s="20"/>
      <c r="I85" s="20"/>
      <c r="J85" s="20"/>
      <c r="K85" s="20"/>
      <c r="L85" s="20"/>
      <c r="M85" s="20"/>
      <c r="N85" s="29" t="s">
        <v>684</v>
      </c>
      <c r="O85" s="29" t="s">
        <v>685</v>
      </c>
      <c r="P85" s="29" t="s">
        <v>477</v>
      </c>
      <c r="Q85" s="29"/>
      <c r="R85" s="29" t="n">
        <v>-1</v>
      </c>
    </row>
    <row r="86" customFormat="false" ht="13.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9" t="s">
        <v>686</v>
      </c>
      <c r="O86" s="29" t="s">
        <v>687</v>
      </c>
      <c r="P86" s="29" t="s">
        <v>477</v>
      </c>
      <c r="Q86" s="29"/>
      <c r="R86" s="29" t="n">
        <v>-1</v>
      </c>
    </row>
    <row r="87" customFormat="false" ht="13.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9" t="s">
        <v>688</v>
      </c>
      <c r="O87" s="29" t="s">
        <v>689</v>
      </c>
      <c r="P87" s="29" t="s">
        <v>477</v>
      </c>
      <c r="Q87" s="29"/>
      <c r="R87" s="29" t="n">
        <v>-1</v>
      </c>
    </row>
    <row r="88" customFormat="false" ht="13.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9" t="s">
        <v>690</v>
      </c>
      <c r="O88" s="29" t="s">
        <v>691</v>
      </c>
      <c r="P88" s="29" t="s">
        <v>477</v>
      </c>
      <c r="Q88" s="29"/>
      <c r="R88" s="29" t="n">
        <v>-1</v>
      </c>
    </row>
    <row r="89" customFormat="false" ht="13.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9" t="s">
        <v>692</v>
      </c>
      <c r="O89" s="29" t="s">
        <v>693</v>
      </c>
      <c r="P89" s="29" t="s">
        <v>477</v>
      </c>
      <c r="Q89" s="29"/>
      <c r="R89" s="29" t="n">
        <v>-1</v>
      </c>
    </row>
    <row r="90" customFormat="false" ht="13.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9" t="s">
        <v>694</v>
      </c>
      <c r="O90" s="29" t="s">
        <v>695</v>
      </c>
      <c r="P90" s="29" t="s">
        <v>477</v>
      </c>
      <c r="Q90" s="29"/>
      <c r="R90" s="29" t="n">
        <v>-1</v>
      </c>
    </row>
    <row r="91" customFormat="false" ht="13.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9" t="s">
        <v>696</v>
      </c>
      <c r="O91" s="29" t="s">
        <v>697</v>
      </c>
      <c r="P91" s="29" t="s">
        <v>477</v>
      </c>
      <c r="Q91" s="29"/>
      <c r="R91" s="29" t="n">
        <v>-1</v>
      </c>
    </row>
    <row r="92" customFormat="false" ht="13.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9" t="s">
        <v>698</v>
      </c>
      <c r="O92" s="29" t="s">
        <v>699</v>
      </c>
      <c r="P92" s="29" t="s">
        <v>477</v>
      </c>
      <c r="Q92" s="29"/>
      <c r="R92" s="29" t="n">
        <v>-1</v>
      </c>
    </row>
    <row r="93" customFormat="false" ht="13.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9" t="s">
        <v>700</v>
      </c>
      <c r="O93" s="29" t="s">
        <v>701</v>
      </c>
      <c r="P93" s="29" t="s">
        <v>477</v>
      </c>
      <c r="Q93" s="29"/>
      <c r="R93" s="29" t="n">
        <v>-1</v>
      </c>
    </row>
    <row r="94" customFormat="false" ht="13.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9" t="s">
        <v>702</v>
      </c>
      <c r="O94" s="29" t="s">
        <v>703</v>
      </c>
      <c r="P94" s="29" t="s">
        <v>477</v>
      </c>
      <c r="Q94" s="29"/>
      <c r="R94" s="29" t="n">
        <v>-1</v>
      </c>
    </row>
    <row r="95" customFormat="false" ht="13.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9" t="s">
        <v>1933</v>
      </c>
      <c r="O95" s="29" t="s">
        <v>1864</v>
      </c>
      <c r="P95" s="29" t="s">
        <v>477</v>
      </c>
      <c r="Q95" s="29"/>
      <c r="R95" s="29" t="n">
        <v>-1</v>
      </c>
    </row>
    <row r="96" customFormat="false" ht="13.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9" t="s">
        <v>704</v>
      </c>
      <c r="O96" s="29" t="s">
        <v>705</v>
      </c>
      <c r="P96" s="29" t="s">
        <v>477</v>
      </c>
      <c r="Q96" s="29"/>
      <c r="R96" s="29" t="n">
        <v>-1</v>
      </c>
    </row>
    <row r="97" customFormat="false" ht="13.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9" t="s">
        <v>1934</v>
      </c>
      <c r="O97" s="29" t="s">
        <v>1867</v>
      </c>
      <c r="P97" s="29" t="s">
        <v>477</v>
      </c>
      <c r="Q97" s="29"/>
      <c r="R97" s="29" t="n">
        <v>-1</v>
      </c>
    </row>
    <row r="98" customFormat="false" ht="13.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9" t="s">
        <v>706</v>
      </c>
      <c r="O98" s="29" t="s">
        <v>707</v>
      </c>
      <c r="P98" s="29" t="s">
        <v>477</v>
      </c>
      <c r="Q98" s="29"/>
      <c r="R98" s="29" t="n">
        <v>-1</v>
      </c>
    </row>
    <row r="99" customFormat="false" ht="13.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9" t="s">
        <v>708</v>
      </c>
      <c r="O99" s="29" t="s">
        <v>709</v>
      </c>
      <c r="P99" s="29" t="s">
        <v>477</v>
      </c>
      <c r="Q99" s="29"/>
      <c r="R99" s="29" t="n">
        <v>-1</v>
      </c>
    </row>
    <row r="100" customFormat="false" ht="13.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9" t="s">
        <v>710</v>
      </c>
      <c r="O100" s="29" t="s">
        <v>711</v>
      </c>
      <c r="P100" s="29" t="s">
        <v>477</v>
      </c>
      <c r="Q100" s="29"/>
      <c r="R100" s="29" t="n">
        <v>-1</v>
      </c>
    </row>
    <row r="101" customFormat="false" ht="13.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9" t="s">
        <v>1935</v>
      </c>
      <c r="O101" s="29" t="s">
        <v>1869</v>
      </c>
      <c r="P101" s="29" t="s">
        <v>477</v>
      </c>
      <c r="Q101" s="29"/>
      <c r="R101" s="29" t="n">
        <v>-1</v>
      </c>
    </row>
    <row r="102" customFormat="false" ht="13.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9" t="s">
        <v>712</v>
      </c>
      <c r="O102" s="29" t="s">
        <v>713</v>
      </c>
      <c r="P102" s="29" t="s">
        <v>477</v>
      </c>
      <c r="Q102" s="29"/>
      <c r="R102" s="29" t="n">
        <v>-1</v>
      </c>
    </row>
    <row r="103" customFormat="false" ht="13.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9" t="s">
        <v>714</v>
      </c>
      <c r="O103" s="29" t="s">
        <v>715</v>
      </c>
      <c r="P103" s="29" t="s">
        <v>477</v>
      </c>
      <c r="Q103" s="29"/>
      <c r="R103" s="29" t="n">
        <v>-1</v>
      </c>
    </row>
    <row r="104" customFormat="false" ht="13.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9" t="s">
        <v>716</v>
      </c>
      <c r="O104" s="29" t="s">
        <v>717</v>
      </c>
      <c r="P104" s="29" t="s">
        <v>477</v>
      </c>
      <c r="Q104" s="29"/>
      <c r="R104" s="29" t="n">
        <v>-1</v>
      </c>
    </row>
    <row r="105" customFormat="false" ht="13.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9" t="s">
        <v>718</v>
      </c>
      <c r="O105" s="29" t="s">
        <v>719</v>
      </c>
      <c r="P105" s="29" t="s">
        <v>477</v>
      </c>
      <c r="Q105" s="29"/>
      <c r="R105" s="29" t="n">
        <v>-1</v>
      </c>
    </row>
    <row r="106" customFormat="false" ht="13.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9" t="s">
        <v>720</v>
      </c>
      <c r="O106" s="29" t="s">
        <v>721</v>
      </c>
      <c r="P106" s="29" t="s">
        <v>477</v>
      </c>
      <c r="Q106" s="29"/>
      <c r="R106" s="29" t="n">
        <v>-1</v>
      </c>
    </row>
    <row r="107" customFormat="false" ht="13.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9" t="s">
        <v>722</v>
      </c>
      <c r="O107" s="29" t="s">
        <v>723</v>
      </c>
      <c r="P107" s="29" t="s">
        <v>477</v>
      </c>
      <c r="Q107" s="29"/>
      <c r="R107" s="29" t="n">
        <v>-1</v>
      </c>
    </row>
    <row r="108" customFormat="false" ht="13.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9" t="s">
        <v>724</v>
      </c>
      <c r="O108" s="29" t="s">
        <v>725</v>
      </c>
      <c r="P108" s="29" t="s">
        <v>477</v>
      </c>
      <c r="Q108" s="29"/>
      <c r="R108" s="29" t="n">
        <v>-1</v>
      </c>
    </row>
    <row r="109" customFormat="false" ht="13.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9" t="s">
        <v>726</v>
      </c>
      <c r="O109" s="29" t="s">
        <v>727</v>
      </c>
      <c r="P109" s="29" t="s">
        <v>477</v>
      </c>
      <c r="Q109" s="29"/>
      <c r="R109" s="29" t="n">
        <v>-1</v>
      </c>
    </row>
    <row r="110" customFormat="false" ht="13.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9" t="s">
        <v>728</v>
      </c>
      <c r="O110" s="29" t="s">
        <v>729</v>
      </c>
      <c r="P110" s="29" t="s">
        <v>477</v>
      </c>
      <c r="Q110" s="29"/>
      <c r="R110" s="29" t="n">
        <v>-1</v>
      </c>
    </row>
    <row r="111" customFormat="false" ht="13.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9" t="s">
        <v>730</v>
      </c>
      <c r="O111" s="29" t="s">
        <v>731</v>
      </c>
      <c r="P111" s="29" t="s">
        <v>477</v>
      </c>
      <c r="Q111" s="29"/>
      <c r="R111" s="29" t="n">
        <v>-1</v>
      </c>
    </row>
    <row r="112" customFormat="false" ht="13.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9" t="s">
        <v>733</v>
      </c>
      <c r="O112" s="29" t="s">
        <v>734</v>
      </c>
      <c r="P112" s="29" t="s">
        <v>477</v>
      </c>
      <c r="Q112" s="29"/>
      <c r="R112" s="29" t="n">
        <v>-1</v>
      </c>
    </row>
    <row r="113" customFormat="false" ht="13.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9" t="s">
        <v>735</v>
      </c>
      <c r="O113" s="29" t="s">
        <v>736</v>
      </c>
      <c r="P113" s="29" t="s">
        <v>477</v>
      </c>
      <c r="Q113" s="29"/>
      <c r="R113" s="29" t="n">
        <v>-1</v>
      </c>
    </row>
    <row r="114" customFormat="false" ht="13.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9" t="s">
        <v>737</v>
      </c>
      <c r="O114" s="29" t="s">
        <v>738</v>
      </c>
      <c r="P114" s="29" t="s">
        <v>477</v>
      </c>
      <c r="Q114" s="29"/>
      <c r="R114" s="29" t="n">
        <v>-1</v>
      </c>
    </row>
    <row r="115" customFormat="false" ht="13.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9" t="s">
        <v>739</v>
      </c>
      <c r="O115" s="29" t="s">
        <v>740</v>
      </c>
      <c r="P115" s="29" t="s">
        <v>477</v>
      </c>
      <c r="Q115" s="29"/>
      <c r="R115" s="29" t="n">
        <v>-1</v>
      </c>
    </row>
    <row r="116" customFormat="false" ht="13.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9" t="s">
        <v>741</v>
      </c>
      <c r="O116" s="29" t="s">
        <v>742</v>
      </c>
      <c r="P116" s="29" t="s">
        <v>477</v>
      </c>
      <c r="Q116" s="29"/>
      <c r="R116" s="29" t="n">
        <v>-1</v>
      </c>
    </row>
    <row r="117" customFormat="false" ht="13.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9" t="s">
        <v>743</v>
      </c>
      <c r="O117" s="29" t="s">
        <v>744</v>
      </c>
      <c r="P117" s="29" t="s">
        <v>477</v>
      </c>
      <c r="Q117" s="29"/>
      <c r="R117" s="29" t="n">
        <v>-1</v>
      </c>
    </row>
    <row r="118" customFormat="false" ht="13.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9" t="s">
        <v>745</v>
      </c>
      <c r="O118" s="29" t="s">
        <v>746</v>
      </c>
      <c r="P118" s="29" t="s">
        <v>477</v>
      </c>
      <c r="Q118" s="29"/>
      <c r="R118" s="29" t="n">
        <v>-1</v>
      </c>
    </row>
    <row r="119" customFormat="false" ht="13.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9" t="s">
        <v>747</v>
      </c>
      <c r="O119" s="29" t="s">
        <v>748</v>
      </c>
      <c r="P119" s="29" t="s">
        <v>477</v>
      </c>
      <c r="Q119" s="29"/>
      <c r="R119" s="29" t="n">
        <v>-1</v>
      </c>
    </row>
    <row r="120" customFormat="false" ht="13.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9" t="s">
        <v>751</v>
      </c>
      <c r="O120" s="29" t="s">
        <v>752</v>
      </c>
      <c r="P120" s="29" t="s">
        <v>477</v>
      </c>
      <c r="Q120" s="29"/>
      <c r="R120" s="29" t="n">
        <v>-1</v>
      </c>
    </row>
    <row r="121" customFormat="false" ht="13.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9" t="s">
        <v>753</v>
      </c>
      <c r="O121" s="29" t="s">
        <v>754</v>
      </c>
      <c r="P121" s="29" t="s">
        <v>477</v>
      </c>
      <c r="Q121" s="29"/>
      <c r="R121" s="29" t="n">
        <v>-1</v>
      </c>
    </row>
    <row r="122" customFormat="false" ht="13.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9" t="s">
        <v>755</v>
      </c>
      <c r="O122" s="29" t="s">
        <v>756</v>
      </c>
      <c r="P122" s="29" t="s">
        <v>477</v>
      </c>
      <c r="Q122" s="29"/>
      <c r="R122" s="29" t="n">
        <v>-1</v>
      </c>
    </row>
    <row r="123" customFormat="false" ht="13.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9" t="s">
        <v>757</v>
      </c>
      <c r="O123" s="29" t="s">
        <v>758</v>
      </c>
      <c r="P123" s="29" t="s">
        <v>477</v>
      </c>
      <c r="Q123" s="29"/>
      <c r="R123" s="29" t="n">
        <v>-1</v>
      </c>
    </row>
    <row r="124" customFormat="false" ht="13.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9" t="s">
        <v>759</v>
      </c>
      <c r="O124" s="29" t="s">
        <v>760</v>
      </c>
      <c r="P124" s="29" t="s">
        <v>477</v>
      </c>
      <c r="Q124" s="29"/>
      <c r="R124" s="29" t="n">
        <v>-1</v>
      </c>
    </row>
    <row r="125" customFormat="false" ht="13.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9" t="s">
        <v>761</v>
      </c>
      <c r="O125" s="29" t="s">
        <v>762</v>
      </c>
      <c r="P125" s="29" t="s">
        <v>477</v>
      </c>
      <c r="Q125" s="29"/>
      <c r="R125" s="29" t="n">
        <v>-1</v>
      </c>
    </row>
    <row r="126" customFormat="false" ht="13.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9" t="s">
        <v>763</v>
      </c>
      <c r="O126" s="29" t="s">
        <v>764</v>
      </c>
      <c r="P126" s="29" t="s">
        <v>477</v>
      </c>
      <c r="Q126" s="29"/>
      <c r="R126" s="29" t="n">
        <v>-1</v>
      </c>
    </row>
    <row r="127" customFormat="false" ht="13.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9" t="s">
        <v>1936</v>
      </c>
      <c r="O127" s="29" t="s">
        <v>1900</v>
      </c>
      <c r="P127" s="29" t="s">
        <v>477</v>
      </c>
      <c r="Q127" s="29"/>
      <c r="R127" s="29" t="n">
        <v>-1</v>
      </c>
    </row>
    <row r="128" customFormat="false" ht="13.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180" t="s">
        <v>570</v>
      </c>
      <c r="O128" s="29" t="s">
        <v>571</v>
      </c>
      <c r="P128" s="29" t="s">
        <v>471</v>
      </c>
      <c r="Q128" s="29"/>
      <c r="R128" s="29" t="n">
        <v>1</v>
      </c>
    </row>
    <row r="129" customFormat="false" ht="13.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180" t="s">
        <v>590</v>
      </c>
      <c r="O129" s="29" t="s">
        <v>591</v>
      </c>
      <c r="P129" s="29" t="s">
        <v>471</v>
      </c>
      <c r="Q129" s="29"/>
      <c r="R129" s="29" t="n">
        <v>1</v>
      </c>
    </row>
    <row r="130" customFormat="false" ht="13.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180" t="s">
        <v>592</v>
      </c>
      <c r="O130" s="29" t="s">
        <v>593</v>
      </c>
      <c r="P130" s="29" t="s">
        <v>471</v>
      </c>
      <c r="Q130" s="29"/>
      <c r="R130" s="29" t="n">
        <v>1</v>
      </c>
    </row>
    <row r="131" customFormat="false" ht="13.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180" t="s">
        <v>594</v>
      </c>
      <c r="O131" s="29" t="s">
        <v>595</v>
      </c>
      <c r="P131" s="29" t="s">
        <v>471</v>
      </c>
      <c r="Q131" s="29"/>
      <c r="R131" s="29" t="n">
        <v>1</v>
      </c>
    </row>
    <row r="132" customFormat="false" ht="13.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180" t="s">
        <v>596</v>
      </c>
      <c r="O132" s="29" t="s">
        <v>597</v>
      </c>
      <c r="P132" s="29" t="s">
        <v>471</v>
      </c>
      <c r="Q132" s="29"/>
      <c r="R132" s="29" t="n">
        <v>1</v>
      </c>
    </row>
    <row r="133" customFormat="false" ht="13.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180" t="s">
        <v>732</v>
      </c>
      <c r="O133" s="29" t="s">
        <v>1937</v>
      </c>
      <c r="P133" s="29" t="s">
        <v>477</v>
      </c>
      <c r="Q133" s="29"/>
      <c r="R133" s="29" t="n">
        <v>-1</v>
      </c>
    </row>
    <row r="134" customFormat="false" ht="13.5" hidden="false" customHeight="false" outlineLevel="0" collapsed="false">
      <c r="N134" s="180" t="s">
        <v>749</v>
      </c>
      <c r="O134" s="29" t="s">
        <v>750</v>
      </c>
      <c r="P134" s="29" t="s">
        <v>477</v>
      </c>
      <c r="Q134" s="29"/>
      <c r="R134" s="29" t="n">
        <v>-1</v>
      </c>
    </row>
  </sheetData>
  <mergeCells count="1">
    <mergeCell ref="A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54" activeCellId="0" sqref="A54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75" t="s">
        <v>1938</v>
      </c>
    </row>
    <row r="2" customFormat="false" ht="13.5" hidden="false" customHeight="false" outlineLevel="0" collapsed="false">
      <c r="A2" s="3" t="s">
        <v>1939</v>
      </c>
    </row>
    <row r="4" customFormat="false" ht="13.5" hidden="false" customHeight="false" outlineLevel="0" collapsed="false">
      <c r="A4" s="14" t="s">
        <v>1940</v>
      </c>
    </row>
    <row r="5" customFormat="false" ht="13.5" hidden="false" customHeight="false" outlineLevel="0" collapsed="false">
      <c r="A5" s="56" t="s">
        <v>276</v>
      </c>
      <c r="B5" s="56" t="s">
        <v>277</v>
      </c>
      <c r="C5" s="56" t="s">
        <v>1941</v>
      </c>
      <c r="D5" s="56" t="s">
        <v>1764</v>
      </c>
      <c r="E5" s="56" t="s">
        <v>374</v>
      </c>
      <c r="F5" s="56" t="s">
        <v>1942</v>
      </c>
      <c r="G5" s="56" t="s">
        <v>451</v>
      </c>
    </row>
    <row r="6" customFormat="false" ht="13.5" hidden="false" customHeight="false" outlineLevel="0" collapsed="false">
      <c r="A6" s="67" t="s">
        <v>358</v>
      </c>
      <c r="B6" s="181" t="n">
        <v>2347805</v>
      </c>
      <c r="C6" s="181" t="n">
        <v>2347805</v>
      </c>
      <c r="D6" s="181" t="n">
        <v>2347805</v>
      </c>
      <c r="E6" s="181" t="n">
        <v>945514</v>
      </c>
      <c r="F6" s="181" t="n">
        <v>0</v>
      </c>
      <c r="G6" s="181" t="n">
        <v>0</v>
      </c>
    </row>
    <row r="7" customFormat="false" ht="13.5" hidden="false" customHeight="false" outlineLevel="0" collapsed="false">
      <c r="A7" s="67" t="s">
        <v>357</v>
      </c>
      <c r="B7" s="181" t="n">
        <v>993385</v>
      </c>
      <c r="C7" s="181" t="n">
        <v>499758</v>
      </c>
      <c r="D7" s="181" t="n">
        <v>499758</v>
      </c>
      <c r="E7" s="181" t="n">
        <v>393304</v>
      </c>
      <c r="F7" s="181" t="n">
        <v>0</v>
      </c>
      <c r="G7" s="181" t="n">
        <v>0</v>
      </c>
    </row>
    <row r="8" customFormat="false" ht="13.5" hidden="false" customHeight="false" outlineLevel="0" collapsed="false">
      <c r="A8" s="67" t="s">
        <v>359</v>
      </c>
      <c r="B8" s="181" t="n">
        <v>0</v>
      </c>
      <c r="C8" s="181" t="n">
        <v>0</v>
      </c>
      <c r="D8" s="181" t="n">
        <v>0</v>
      </c>
      <c r="E8" s="181" t="n">
        <v>0</v>
      </c>
      <c r="F8" s="181" t="n">
        <v>0</v>
      </c>
      <c r="G8" s="181" t="n">
        <v>0</v>
      </c>
    </row>
    <row r="9" customFormat="false" ht="13.5" hidden="false" customHeight="false" outlineLevel="0" collapsed="false">
      <c r="A9" s="67" t="s">
        <v>1943</v>
      </c>
      <c r="B9" s="79" t="n">
        <f aca="false">Controls!$B$16-SUM(B6:B8)</f>
        <v>-0.187275834847242</v>
      </c>
      <c r="C9" s="79" t="n">
        <f aca="false">Controls!$B$17-SUM(C6:C8)</f>
        <v>-2847563</v>
      </c>
      <c r="D9" s="79" t="n">
        <f aca="false">Controls!$B$18-SUM(D6:D8)</f>
        <v>-2847563</v>
      </c>
      <c r="E9" s="79" t="n">
        <f aca="false">Controls!$B$19-SUM(E6:E8)</f>
        <v>-1338818</v>
      </c>
      <c r="F9" s="79" t="n">
        <f aca="false">IFERROR(VLOOKUP(Controls!$B$30,Controls!$F$14:$Q$17,11,FALSE()),0)-SUM(F6:F8)</f>
        <v>0</v>
      </c>
      <c r="G9" s="79" t="n">
        <f aca="false">IFERROR(VLOOKUP(Controls!$B$30,Controls!$F$14:$Q$17,12,FALSE()),0)-SUM(G6:G8)</f>
        <v>0</v>
      </c>
    </row>
    <row r="10" customFormat="false" ht="13.5" hidden="false" customHeight="false" outlineLevel="0" collapsed="false">
      <c r="A10" s="14" t="s">
        <v>218</v>
      </c>
      <c r="B10" s="82" t="n">
        <f aca="false">SUM(B6:B9)</f>
        <v>3341189.81272417</v>
      </c>
      <c r="C10" s="82" t="n">
        <f aca="false">SUM(C6:C9)</f>
        <v>0</v>
      </c>
      <c r="D10" s="82" t="n">
        <f aca="false">SUM(D6:D9)</f>
        <v>0</v>
      </c>
      <c r="E10" s="82" t="n">
        <f aca="false">SUM(E6:E9)</f>
        <v>0</v>
      </c>
      <c r="F10" s="82" t="n">
        <f aca="false">SUM(F6:F9)</f>
        <v>0</v>
      </c>
      <c r="G10" s="82" t="n">
        <f aca="false">SUM(G6:G9)</f>
        <v>0</v>
      </c>
    </row>
    <row r="11" customFormat="false" ht="13.5" hidden="false" customHeight="false" outlineLevel="0" collapsed="false">
      <c r="A11" s="1" t="s">
        <v>1944</v>
      </c>
      <c r="B11" s="1" t="str">
        <f aca="false">IF(ABS(B10-Controls!$B$16)&lt;=1,"OK","CHECK")</f>
        <v>OK</v>
      </c>
      <c r="C11" s="1" t="str">
        <f aca="false">IF(ABS(C10-Controls!$B$17)&lt;=1,"OK","CHECK")</f>
        <v>OK</v>
      </c>
      <c r="D11" s="1" t="str">
        <f aca="false">IF(ABS(D10-Controls!$B$18)&lt;=1,"OK","CHECK")</f>
        <v>OK</v>
      </c>
      <c r="E11" s="1" t="str">
        <f aca="false">IF(ABS(E10-Controls!$B$19)&lt;=1,"OK","CHECK")</f>
        <v>OK</v>
      </c>
      <c r="F11" s="0" t="str">
        <f aca="false">IF(ABS(F10-IFERROR(VLOOKUP(Controls!$B$30,Controls!$F$14:$Q$17,11,FALSE()),0))&lt;=1,"OK","CHECK")</f>
        <v>OK</v>
      </c>
      <c r="G11" s="0" t="str">
        <f aca="false">IF(ABS(G10-IFERROR(VLOOKUP(Controls!$B$30,Controls!$F$14:$Q$17,12,FALSE()),0))&lt;=1,"OK","CHECK")</f>
        <v>OK</v>
      </c>
    </row>
    <row r="13" customFormat="false" ht="13.5" hidden="false" customHeight="false" outlineLevel="0" collapsed="false">
      <c r="A13" s="14" t="s">
        <v>1945</v>
      </c>
    </row>
    <row r="14" customFormat="false" ht="13.5" hidden="false" customHeight="false" outlineLevel="0" collapsed="false">
      <c r="A14" s="56" t="s">
        <v>797</v>
      </c>
      <c r="B14" s="56" t="s">
        <v>277</v>
      </c>
      <c r="C14" s="56" t="s">
        <v>429</v>
      </c>
      <c r="D14" s="56" t="s">
        <v>313</v>
      </c>
    </row>
    <row r="15" customFormat="false" ht="13.5" hidden="false" customHeight="false" outlineLevel="0" collapsed="false">
      <c r="A15" s="67" t="s">
        <v>1946</v>
      </c>
      <c r="B15" s="181" t="n">
        <v>0</v>
      </c>
      <c r="C15" s="181" t="n">
        <v>0</v>
      </c>
      <c r="D15" s="3" t="s">
        <v>1947</v>
      </c>
    </row>
    <row r="17" customFormat="false" ht="13.5" hidden="false" customHeight="false" outlineLevel="0" collapsed="false">
      <c r="A17" s="14" t="s">
        <v>1948</v>
      </c>
    </row>
    <row r="18" customFormat="false" ht="13.5" hidden="false" customHeight="false" outlineLevel="0" collapsed="false">
      <c r="A18" s="56" t="s">
        <v>197</v>
      </c>
      <c r="B18" s="56" t="s">
        <v>277</v>
      </c>
      <c r="C18" s="56" t="s">
        <v>429</v>
      </c>
      <c r="D18" s="56" t="s">
        <v>313</v>
      </c>
    </row>
    <row r="19" customFormat="false" ht="13.5" hidden="false" customHeight="false" outlineLevel="0" collapsed="false">
      <c r="A19" s="67" t="s">
        <v>1949</v>
      </c>
      <c r="B19" s="181" t="n">
        <v>0</v>
      </c>
      <c r="C19" s="181" t="n">
        <v>0</v>
      </c>
      <c r="D19" s="3" t="s">
        <v>1950</v>
      </c>
    </row>
    <row r="20" customFormat="false" ht="13.5" hidden="false" customHeight="false" outlineLevel="0" collapsed="false">
      <c r="A20" s="67" t="s">
        <v>1951</v>
      </c>
      <c r="B20" s="181" t="n">
        <v>0</v>
      </c>
      <c r="C20" s="181" t="n">
        <v>0</v>
      </c>
      <c r="D20" s="3" t="s">
        <v>1950</v>
      </c>
    </row>
    <row r="21" customFormat="false" ht="13.5" hidden="false" customHeight="false" outlineLevel="0" collapsed="false">
      <c r="A21" s="67" t="s">
        <v>1952</v>
      </c>
      <c r="B21" s="181" t="n">
        <v>0</v>
      </c>
      <c r="C21" s="181" t="n">
        <v>0</v>
      </c>
      <c r="D21" s="3"/>
    </row>
    <row r="23" customFormat="false" ht="13.5" hidden="false" customHeight="false" outlineLevel="0" collapsed="false">
      <c r="A23" s="14" t="s">
        <v>1953</v>
      </c>
    </row>
    <row r="24" customFormat="false" ht="13.5" hidden="false" customHeight="false" outlineLevel="0" collapsed="false">
      <c r="A24" s="56" t="s">
        <v>797</v>
      </c>
      <c r="B24" s="56" t="s">
        <v>1954</v>
      </c>
      <c r="C24" s="56" t="s">
        <v>313</v>
      </c>
    </row>
    <row r="25" customFormat="false" ht="13.5" hidden="false" customHeight="false" outlineLevel="0" collapsed="false">
      <c r="A25" s="67" t="s">
        <v>1955</v>
      </c>
      <c r="B25" s="181" t="n">
        <v>0</v>
      </c>
    </row>
    <row r="26" customFormat="false" ht="13.5" hidden="false" customHeight="false" outlineLevel="0" collapsed="false">
      <c r="A26" s="67" t="s">
        <v>1956</v>
      </c>
      <c r="B26" s="181" t="n">
        <v>0</v>
      </c>
    </row>
    <row r="28" customFormat="false" ht="13.5" hidden="false" customHeight="false" outlineLevel="0" collapsed="false">
      <c r="A28" s="14" t="s">
        <v>1957</v>
      </c>
    </row>
    <row r="29" customFormat="false" ht="13.5" hidden="false" customHeight="false" outlineLevel="0" collapsed="false">
      <c r="A29" s="56" t="s">
        <v>267</v>
      </c>
      <c r="B29" s="56" t="s">
        <v>268</v>
      </c>
      <c r="C29" s="56" t="s">
        <v>269</v>
      </c>
      <c r="D29" s="56" t="s">
        <v>270</v>
      </c>
    </row>
    <row r="30" customFormat="false" ht="13.5" hidden="false" customHeight="false" outlineLevel="0" collapsed="false">
      <c r="A30" s="67" t="s">
        <v>1958</v>
      </c>
      <c r="B30" s="181" t="n">
        <v>0</v>
      </c>
      <c r="C30" s="181" t="n">
        <v>0</v>
      </c>
      <c r="D30" s="68" t="n">
        <f aca="false">B30+C30</f>
        <v>0</v>
      </c>
    </row>
    <row r="31" customFormat="false" ht="13.5" hidden="false" customHeight="false" outlineLevel="0" collapsed="false">
      <c r="A31" s="67" t="s">
        <v>1959</v>
      </c>
      <c r="B31" s="181" t="n">
        <v>0</v>
      </c>
      <c r="C31" s="181" t="n">
        <v>0</v>
      </c>
      <c r="D31" s="68" t="n">
        <f aca="false">B31+C31</f>
        <v>0</v>
      </c>
    </row>
    <row r="32" customFormat="false" ht="13.5" hidden="false" customHeight="false" outlineLevel="0" collapsed="false">
      <c r="A32" s="67" t="s">
        <v>1960</v>
      </c>
      <c r="B32" s="181" t="n">
        <v>0</v>
      </c>
      <c r="C32" s="181" t="n">
        <v>0</v>
      </c>
      <c r="D32" s="68" t="n">
        <f aca="false">B32+C32</f>
        <v>0</v>
      </c>
    </row>
    <row r="33" customFormat="false" ht="13.5" hidden="false" customHeight="false" outlineLevel="0" collapsed="false">
      <c r="A33" s="67" t="s">
        <v>1961</v>
      </c>
      <c r="B33" s="181" t="n">
        <v>0</v>
      </c>
      <c r="C33" s="181" t="n">
        <v>0</v>
      </c>
      <c r="D33" s="68" t="n">
        <f aca="false">B33+C33</f>
        <v>0</v>
      </c>
    </row>
    <row r="34" customFormat="false" ht="13.5" hidden="false" customHeight="false" outlineLevel="0" collapsed="false">
      <c r="A34" s="67" t="s">
        <v>1962</v>
      </c>
      <c r="B34" s="181" t="n">
        <v>0</v>
      </c>
      <c r="C34" s="181" t="n">
        <v>0</v>
      </c>
      <c r="D34" s="68" t="n">
        <f aca="false">B34+C34</f>
        <v>0</v>
      </c>
    </row>
    <row r="35" customFormat="false" ht="13.5" hidden="false" customHeight="false" outlineLevel="0" collapsed="false">
      <c r="A35" s="67" t="s">
        <v>1963</v>
      </c>
      <c r="B35" s="181" t="n">
        <v>0</v>
      </c>
      <c r="C35" s="181" t="n">
        <v>0</v>
      </c>
      <c r="D35" s="68" t="n">
        <f aca="false">B35+C35</f>
        <v>0</v>
      </c>
    </row>
    <row r="36" customFormat="false" ht="13.5" hidden="false" customHeight="false" outlineLevel="0" collapsed="false">
      <c r="A36" s="14" t="s">
        <v>271</v>
      </c>
      <c r="B36" s="82" t="n">
        <f aca="false">SUM(B30:B35)</f>
        <v>0</v>
      </c>
      <c r="C36" s="82" t="n">
        <f aca="false">SUM(C30:C35)</f>
        <v>0</v>
      </c>
      <c r="D36" s="82" t="n">
        <f aca="false">SUM(D30:D35)</f>
        <v>0</v>
      </c>
    </row>
    <row r="37" customFormat="false" ht="13.5" hidden="false" customHeight="false" outlineLevel="0" collapsed="false">
      <c r="A37" s="14" t="s">
        <v>272</v>
      </c>
      <c r="B37" s="182" t="n">
        <v>0</v>
      </c>
    </row>
    <row r="39" customFormat="false" ht="13.5" hidden="false" customHeight="false" outlineLevel="0" collapsed="false">
      <c r="A39" s="14" t="s">
        <v>1964</v>
      </c>
    </row>
    <row r="40" customFormat="false" ht="13.5" hidden="false" customHeight="false" outlineLevel="0" collapsed="false">
      <c r="A40" s="56" t="s">
        <v>276</v>
      </c>
      <c r="B40" s="56" t="s">
        <v>277</v>
      </c>
    </row>
    <row r="41" customFormat="false" ht="13.5" hidden="false" customHeight="false" outlineLevel="0" collapsed="false">
      <c r="A41" s="67" t="str">
        <f aca="false">MM_Income!AE5</f>
        <v>Responsible Production</v>
      </c>
      <c r="B41" s="181" t="n">
        <v>0</v>
      </c>
    </row>
    <row r="42" customFormat="false" ht="13.5" hidden="false" customHeight="false" outlineLevel="0" collapsed="false">
      <c r="A42" s="67" t="str">
        <f aca="false">MM_Income!AE6</f>
        <v>Responsible Sourcing</v>
      </c>
      <c r="B42" s="181" t="n">
        <v>0</v>
      </c>
    </row>
    <row r="43" customFormat="false" ht="13.5" hidden="false" customHeight="false" outlineLevel="0" collapsed="false">
      <c r="A43" s="67" t="str">
        <f aca="false">MM_Income!AE7</f>
        <v>Responsible Finance</v>
      </c>
      <c r="B43" s="181" t="n">
        <v>0</v>
      </c>
    </row>
    <row r="44" customFormat="false" ht="13.5" hidden="false" customHeight="false" outlineLevel="0" collapsed="false">
      <c r="A44" s="67" t="str">
        <f aca="false">MM_Income!AE8</f>
        <v>Collaboration</v>
      </c>
      <c r="B44" s="181" t="n">
        <v>0</v>
      </c>
    </row>
    <row r="45" customFormat="false" ht="13.5" hidden="false" customHeight="false" outlineLevel="0" collapsed="false">
      <c r="A45" s="67" t="str">
        <f aca="false">MM_Income!AE9</f>
        <v>Production Landscape</v>
      </c>
      <c r="B45" s="181" t="n">
        <v>0</v>
      </c>
    </row>
    <row r="46" customFormat="false" ht="13.5" hidden="false" customHeight="false" outlineLevel="0" collapsed="false">
      <c r="A46" s="67" t="str">
        <f aca="false">MM_Income!AE10</f>
        <v>Policy &amp; Regulation</v>
      </c>
      <c r="B46" s="181" t="n">
        <v>0</v>
      </c>
    </row>
    <row r="47" customFormat="false" ht="13.5" hidden="false" customHeight="false" outlineLevel="0" collapsed="false">
      <c r="A47" s="67" t="str">
        <f aca="false">MM_Income!AE11</f>
        <v>Other</v>
      </c>
      <c r="B47" s="181" t="n">
        <v>0</v>
      </c>
    </row>
    <row r="48" customFormat="false" ht="13.5" hidden="false" customHeight="false" outlineLevel="0" collapsed="false">
      <c r="A48" s="14" t="s">
        <v>1965</v>
      </c>
      <c r="B48" s="82" t="n">
        <f aca="false">SUM(B41:B47)</f>
        <v>0</v>
      </c>
    </row>
    <row r="49" customFormat="false" ht="13.5" hidden="false" customHeight="false" outlineLevel="0" collapsed="false">
      <c r="A49" s="1" t="s">
        <v>1966</v>
      </c>
      <c r="B49" s="1" t="str">
        <f aca="false">IF(ABS(B48-Controls!$B$15)&lt;=1,"OK","CHECK")</f>
        <v>CHECK</v>
      </c>
    </row>
    <row r="50" customFormat="false" ht="13.5" hidden="false" customHeight="false" outlineLevel="0" collapsed="false">
      <c r="A50" s="56" t="s">
        <v>343</v>
      </c>
      <c r="B50" s="56" t="s">
        <v>277</v>
      </c>
    </row>
    <row r="51" customFormat="false" ht="13.5" hidden="false" customHeight="false" outlineLevel="0" collapsed="false">
      <c r="A51" s="67" t="str">
        <f aca="false">MM_Income!AJ5</f>
        <v>External</v>
      </c>
      <c r="B51" s="181" t="n">
        <v>0</v>
      </c>
    </row>
    <row r="52" customFormat="false" ht="13.5" hidden="false" customHeight="false" outlineLevel="0" collapsed="false">
      <c r="A52" s="67" t="str">
        <f aca="false">MM_Income!AJ6</f>
        <v>Internal</v>
      </c>
      <c r="B52" s="181" t="n">
        <v>0</v>
      </c>
    </row>
    <row r="53" customFormat="false" ht="13.5" hidden="false" customHeight="false" outlineLevel="0" collapsed="false">
      <c r="A53" s="14" t="s">
        <v>1967</v>
      </c>
      <c r="B53" s="82" t="n">
        <f aca="false">SUM(B51:B52)</f>
        <v>0</v>
      </c>
    </row>
    <row r="54" customFormat="false" ht="13.5" hidden="false" customHeight="false" outlineLevel="0" collapsed="false">
      <c r="A54" s="1" t="s">
        <v>1966</v>
      </c>
      <c r="B54" s="1" t="str">
        <f aca="false">IF(ABS(B53-Controls!$B$15)&lt;=1,"OK","CHECK")</f>
        <v>CHECK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46"/>
    <col collapsed="false" customWidth="true" hidden="false" outlineLevel="0" max="8" min="7" style="1" width="18"/>
    <col collapsed="false" customWidth="true" hidden="false" outlineLevel="0" max="9" min="9" style="1" width="40"/>
    <col collapsed="false" customWidth="true" hidden="false" outlineLevel="0" max="10" min="10" style="1" width="20"/>
    <col collapsed="false" customWidth="true" hidden="false" outlineLevel="0" max="11" min="11" style="1" width="18"/>
  </cols>
  <sheetData>
    <row r="1" customFormat="false" ht="9.75" hidden="false" customHeight="true" outlineLevel="0" collapsed="false">
      <c r="A1" s="18" t="s">
        <v>1968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3.5" hidden="false" customHeight="false" outlineLevel="0" collapsed="false">
      <c r="A2" s="183" t="s">
        <v>1969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</row>
    <row r="3" customFormat="false" ht="13.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customFormat="false" ht="13.5" hidden="false" customHeight="false" outlineLevel="0" collapsed="false">
      <c r="A4" s="20" t="s">
        <v>3</v>
      </c>
      <c r="B4" s="20" t="s">
        <v>71</v>
      </c>
      <c r="C4" s="20" t="s">
        <v>1970</v>
      </c>
      <c r="D4" s="20" t="s">
        <v>1971</v>
      </c>
      <c r="E4" s="20" t="s">
        <v>1972</v>
      </c>
      <c r="F4" s="20" t="s">
        <v>1973</v>
      </c>
      <c r="G4" s="20" t="s">
        <v>773</v>
      </c>
      <c r="H4" s="20" t="s">
        <v>1974</v>
      </c>
      <c r="I4" s="20" t="s">
        <v>1975</v>
      </c>
      <c r="J4" s="20" t="s">
        <v>1976</v>
      </c>
      <c r="K4" s="20" t="s">
        <v>1977</v>
      </c>
    </row>
    <row r="5" customFormat="false" ht="13.5" hidden="false" customHeight="false" outlineLevel="0" collapsed="false">
      <c r="A5" s="53"/>
      <c r="B5" s="53"/>
      <c r="C5" s="53"/>
      <c r="D5" s="53"/>
      <c r="E5" s="184"/>
      <c r="F5" s="53"/>
      <c r="G5" s="53"/>
      <c r="H5" s="53"/>
      <c r="I5" s="53"/>
      <c r="J5" s="185"/>
      <c r="K5" s="53"/>
    </row>
    <row r="6" customFormat="false" ht="13.5" hidden="false" customHeight="false" outlineLevel="0" collapsed="false">
      <c r="A6" s="53"/>
      <c r="B6" s="53"/>
      <c r="C6" s="53"/>
      <c r="D6" s="53"/>
      <c r="E6" s="184"/>
      <c r="F6" s="53"/>
      <c r="G6" s="53"/>
      <c r="H6" s="53"/>
      <c r="I6" s="53"/>
      <c r="J6" s="185"/>
      <c r="K6" s="53"/>
    </row>
    <row r="7" customFormat="false" ht="13.5" hidden="false" customHeight="false" outlineLevel="0" collapsed="false">
      <c r="A7" s="53"/>
      <c r="B7" s="53"/>
      <c r="C7" s="53"/>
      <c r="D7" s="53"/>
      <c r="E7" s="184"/>
      <c r="F7" s="53"/>
      <c r="G7" s="53"/>
      <c r="H7" s="53"/>
      <c r="I7" s="53"/>
      <c r="J7" s="185"/>
      <c r="K7" s="53"/>
    </row>
    <row r="8" customFormat="false" ht="13.5" hidden="false" customHeight="false" outlineLevel="0" collapsed="false">
      <c r="A8" s="53"/>
      <c r="B8" s="53"/>
      <c r="C8" s="53"/>
      <c r="D8" s="53"/>
      <c r="E8" s="184"/>
      <c r="F8" s="53"/>
      <c r="G8" s="53"/>
      <c r="H8" s="53"/>
      <c r="I8" s="53"/>
      <c r="J8" s="185"/>
      <c r="K8" s="53"/>
    </row>
    <row r="9" customFormat="false" ht="13.5" hidden="false" customHeight="false" outlineLevel="0" collapsed="false">
      <c r="A9" s="53"/>
      <c r="B9" s="53"/>
      <c r="C9" s="53"/>
      <c r="D9" s="53"/>
      <c r="E9" s="184"/>
      <c r="F9" s="53"/>
      <c r="G9" s="53"/>
      <c r="H9" s="53"/>
      <c r="I9" s="53"/>
      <c r="J9" s="185"/>
      <c r="K9" s="53"/>
    </row>
    <row r="10" customFormat="false" ht="13.5" hidden="false" customHeight="false" outlineLevel="0" collapsed="false">
      <c r="A10" s="53"/>
      <c r="B10" s="53"/>
      <c r="C10" s="53"/>
      <c r="D10" s="53"/>
      <c r="E10" s="184"/>
      <c r="F10" s="53"/>
      <c r="G10" s="53"/>
      <c r="H10" s="53"/>
      <c r="I10" s="53"/>
      <c r="J10" s="185"/>
      <c r="K10" s="53"/>
    </row>
    <row r="11" customFormat="false" ht="13.5" hidden="false" customHeight="false" outlineLevel="0" collapsed="false">
      <c r="A11" s="53"/>
      <c r="B11" s="53"/>
      <c r="C11" s="53"/>
      <c r="D11" s="53"/>
      <c r="E11" s="184"/>
      <c r="F11" s="53"/>
      <c r="G11" s="53"/>
      <c r="H11" s="53"/>
      <c r="I11" s="53"/>
      <c r="J11" s="185"/>
      <c r="K11" s="53"/>
    </row>
    <row r="12" customFormat="false" ht="13.5" hidden="false" customHeight="false" outlineLevel="0" collapsed="false">
      <c r="A12" s="53"/>
      <c r="B12" s="53"/>
      <c r="C12" s="53"/>
      <c r="D12" s="53"/>
      <c r="E12" s="184"/>
      <c r="F12" s="53"/>
      <c r="G12" s="53"/>
      <c r="H12" s="53"/>
      <c r="I12" s="53"/>
      <c r="J12" s="185"/>
      <c r="K12" s="53"/>
    </row>
    <row r="13" customFormat="false" ht="13.5" hidden="false" customHeight="false" outlineLevel="0" collapsed="false">
      <c r="A13" s="53"/>
      <c r="B13" s="53"/>
      <c r="C13" s="53"/>
      <c r="D13" s="53"/>
      <c r="E13" s="184"/>
      <c r="F13" s="53"/>
      <c r="G13" s="53"/>
      <c r="H13" s="53"/>
      <c r="I13" s="53"/>
      <c r="J13" s="185"/>
      <c r="K13" s="53"/>
    </row>
    <row r="14" customFormat="false" ht="13.5" hidden="false" customHeight="false" outlineLevel="0" collapsed="false">
      <c r="A14" s="53"/>
      <c r="B14" s="53"/>
      <c r="C14" s="53"/>
      <c r="D14" s="53"/>
      <c r="E14" s="184"/>
      <c r="F14" s="53"/>
      <c r="G14" s="53"/>
      <c r="H14" s="53"/>
      <c r="I14" s="53"/>
      <c r="J14" s="185"/>
      <c r="K14" s="53"/>
    </row>
    <row r="15" customFormat="false" ht="13.5" hidden="false" customHeight="false" outlineLevel="0" collapsed="false">
      <c r="A15" s="53"/>
      <c r="B15" s="53"/>
      <c r="C15" s="53"/>
      <c r="D15" s="53"/>
      <c r="E15" s="184"/>
      <c r="F15" s="53"/>
      <c r="G15" s="53"/>
      <c r="H15" s="53"/>
      <c r="I15" s="53"/>
      <c r="J15" s="185"/>
      <c r="K15" s="53"/>
    </row>
    <row r="16" customFormat="false" ht="13.5" hidden="false" customHeight="false" outlineLevel="0" collapsed="false">
      <c r="A16" s="53"/>
      <c r="B16" s="53"/>
      <c r="C16" s="53"/>
      <c r="D16" s="53"/>
      <c r="E16" s="184"/>
      <c r="F16" s="53"/>
      <c r="G16" s="53"/>
      <c r="H16" s="53"/>
      <c r="I16" s="53"/>
      <c r="J16" s="185"/>
      <c r="K16" s="53"/>
    </row>
    <row r="17" customFormat="false" ht="13.5" hidden="false" customHeight="false" outlineLevel="0" collapsed="false">
      <c r="A17" s="53"/>
      <c r="B17" s="53"/>
      <c r="C17" s="53"/>
      <c r="D17" s="53"/>
      <c r="E17" s="184"/>
      <c r="F17" s="53"/>
      <c r="G17" s="53"/>
      <c r="H17" s="53"/>
      <c r="I17" s="53"/>
      <c r="J17" s="185"/>
      <c r="K17" s="53"/>
    </row>
    <row r="18" customFormat="false" ht="13.5" hidden="false" customHeight="false" outlineLevel="0" collapsed="false">
      <c r="A18" s="53"/>
      <c r="B18" s="53"/>
      <c r="C18" s="53"/>
      <c r="D18" s="53"/>
      <c r="E18" s="184"/>
      <c r="F18" s="53"/>
      <c r="G18" s="53"/>
      <c r="H18" s="53"/>
      <c r="I18" s="53"/>
      <c r="J18" s="185"/>
      <c r="K18" s="53"/>
    </row>
    <row r="19" customFormat="false" ht="13.5" hidden="false" customHeight="false" outlineLevel="0" collapsed="false">
      <c r="A19" s="53"/>
      <c r="B19" s="53"/>
      <c r="C19" s="53"/>
      <c r="D19" s="53"/>
      <c r="E19" s="184"/>
      <c r="F19" s="53"/>
      <c r="G19" s="53"/>
      <c r="H19" s="53"/>
      <c r="I19" s="53"/>
      <c r="J19" s="185"/>
      <c r="K19" s="53"/>
    </row>
    <row r="20" customFormat="false" ht="13.5" hidden="false" customHeight="false" outlineLevel="0" collapsed="false">
      <c r="A20" s="53"/>
      <c r="B20" s="53"/>
      <c r="C20" s="53"/>
      <c r="D20" s="53"/>
      <c r="E20" s="184"/>
      <c r="F20" s="53"/>
      <c r="G20" s="53"/>
      <c r="H20" s="53"/>
      <c r="I20" s="53"/>
      <c r="J20" s="185"/>
      <c r="K20" s="53"/>
    </row>
    <row r="21" customFormat="false" ht="13.5" hidden="false" customHeight="false" outlineLevel="0" collapsed="false">
      <c r="A21" s="53"/>
      <c r="B21" s="53"/>
      <c r="C21" s="53"/>
      <c r="D21" s="53"/>
      <c r="E21" s="184"/>
      <c r="F21" s="53"/>
      <c r="G21" s="53"/>
      <c r="H21" s="53"/>
      <c r="I21" s="53"/>
      <c r="J21" s="185"/>
      <c r="K21" s="53"/>
    </row>
    <row r="22" customFormat="false" ht="13.5" hidden="false" customHeight="false" outlineLevel="0" collapsed="false">
      <c r="A22" s="53"/>
      <c r="B22" s="53"/>
      <c r="C22" s="53"/>
      <c r="D22" s="53"/>
      <c r="E22" s="184"/>
      <c r="F22" s="53"/>
      <c r="G22" s="53"/>
      <c r="H22" s="53"/>
      <c r="I22" s="53"/>
      <c r="J22" s="185"/>
      <c r="K22" s="53"/>
    </row>
    <row r="23" customFormat="false" ht="13.5" hidden="false" customHeight="false" outlineLevel="0" collapsed="false">
      <c r="A23" s="53"/>
      <c r="B23" s="53"/>
      <c r="C23" s="53"/>
      <c r="D23" s="53"/>
      <c r="E23" s="184"/>
      <c r="F23" s="53"/>
      <c r="G23" s="53"/>
      <c r="H23" s="53"/>
      <c r="I23" s="53"/>
      <c r="J23" s="185"/>
      <c r="K23" s="53"/>
    </row>
    <row r="24" customFormat="false" ht="13.5" hidden="false" customHeight="false" outlineLevel="0" collapsed="false">
      <c r="A24" s="53"/>
      <c r="B24" s="53"/>
      <c r="C24" s="53"/>
      <c r="D24" s="53"/>
      <c r="E24" s="184"/>
      <c r="F24" s="53"/>
      <c r="G24" s="53"/>
      <c r="H24" s="53"/>
      <c r="I24" s="53"/>
      <c r="J24" s="185"/>
      <c r="K24" s="53"/>
    </row>
    <row r="25" customFormat="false" ht="13.5" hidden="false" customHeight="false" outlineLevel="0" collapsed="false">
      <c r="A25" s="53"/>
      <c r="B25" s="53"/>
      <c r="C25" s="53"/>
      <c r="D25" s="53"/>
      <c r="E25" s="184"/>
      <c r="F25" s="53"/>
      <c r="G25" s="53"/>
      <c r="H25" s="53"/>
      <c r="I25" s="53"/>
      <c r="J25" s="185"/>
      <c r="K25" s="53"/>
    </row>
    <row r="26" customFormat="false" ht="13.5" hidden="false" customHeight="false" outlineLevel="0" collapsed="false">
      <c r="A26" s="53"/>
      <c r="B26" s="53"/>
      <c r="C26" s="53"/>
      <c r="D26" s="53"/>
      <c r="E26" s="184"/>
      <c r="F26" s="53"/>
      <c r="G26" s="53"/>
      <c r="H26" s="53"/>
      <c r="I26" s="53"/>
      <c r="J26" s="185"/>
      <c r="K26" s="53"/>
    </row>
    <row r="27" customFormat="false" ht="13.5" hidden="false" customHeight="false" outlineLevel="0" collapsed="false">
      <c r="A27" s="53"/>
      <c r="B27" s="53"/>
      <c r="C27" s="53"/>
      <c r="D27" s="53"/>
      <c r="E27" s="184"/>
      <c r="F27" s="53"/>
      <c r="G27" s="53"/>
      <c r="H27" s="53"/>
      <c r="I27" s="53"/>
      <c r="J27" s="185"/>
      <c r="K27" s="53"/>
    </row>
    <row r="28" customFormat="false" ht="13.5" hidden="false" customHeight="false" outlineLevel="0" collapsed="false">
      <c r="A28" s="53"/>
      <c r="B28" s="53"/>
      <c r="C28" s="53"/>
      <c r="D28" s="53"/>
      <c r="E28" s="184"/>
      <c r="F28" s="53"/>
      <c r="G28" s="53"/>
      <c r="H28" s="53"/>
      <c r="I28" s="53"/>
      <c r="J28" s="185"/>
      <c r="K28" s="53"/>
    </row>
    <row r="29" customFormat="false" ht="13.5" hidden="false" customHeight="false" outlineLevel="0" collapsed="false">
      <c r="A29" s="53"/>
      <c r="B29" s="53"/>
      <c r="C29" s="53"/>
      <c r="D29" s="53"/>
      <c r="E29" s="184"/>
      <c r="F29" s="53"/>
      <c r="G29" s="53"/>
      <c r="H29" s="53"/>
      <c r="I29" s="53"/>
      <c r="J29" s="185"/>
      <c r="K29" s="53"/>
    </row>
    <row r="30" customFormat="false" ht="13.5" hidden="false" customHeight="false" outlineLevel="0" collapsed="false">
      <c r="A30" s="53"/>
      <c r="B30" s="53"/>
      <c r="C30" s="53"/>
      <c r="D30" s="53"/>
      <c r="E30" s="184"/>
      <c r="F30" s="53"/>
      <c r="G30" s="53"/>
      <c r="H30" s="53"/>
      <c r="I30" s="53"/>
      <c r="J30" s="185"/>
      <c r="K30" s="53"/>
    </row>
    <row r="31" customFormat="false" ht="13.5" hidden="false" customHeight="false" outlineLevel="0" collapsed="false">
      <c r="A31" s="53"/>
      <c r="B31" s="53"/>
      <c r="C31" s="53"/>
      <c r="D31" s="53"/>
      <c r="E31" s="184"/>
      <c r="F31" s="53"/>
      <c r="G31" s="53"/>
      <c r="H31" s="53"/>
      <c r="I31" s="53"/>
      <c r="J31" s="185"/>
      <c r="K31" s="53"/>
    </row>
    <row r="32" customFormat="false" ht="13.5" hidden="false" customHeight="false" outlineLevel="0" collapsed="false">
      <c r="A32" s="53"/>
      <c r="B32" s="53"/>
      <c r="C32" s="53"/>
      <c r="D32" s="53"/>
      <c r="E32" s="184"/>
      <c r="F32" s="53"/>
      <c r="G32" s="53"/>
      <c r="H32" s="53"/>
      <c r="I32" s="53"/>
      <c r="J32" s="185"/>
      <c r="K32" s="53"/>
    </row>
    <row r="33" customFormat="false" ht="13.5" hidden="false" customHeight="false" outlineLevel="0" collapsed="false">
      <c r="A33" s="53"/>
      <c r="B33" s="53"/>
      <c r="C33" s="53"/>
      <c r="D33" s="53"/>
      <c r="E33" s="184"/>
      <c r="F33" s="53"/>
      <c r="G33" s="53"/>
      <c r="H33" s="53"/>
      <c r="I33" s="53"/>
      <c r="J33" s="185"/>
      <c r="K33" s="53"/>
    </row>
    <row r="34" customFormat="false" ht="13.5" hidden="false" customHeight="false" outlineLevel="0" collapsed="false">
      <c r="A34" s="53"/>
      <c r="B34" s="53"/>
      <c r="C34" s="53"/>
      <c r="D34" s="53"/>
      <c r="E34" s="184"/>
      <c r="F34" s="53"/>
      <c r="G34" s="53"/>
      <c r="H34" s="53"/>
      <c r="I34" s="53"/>
      <c r="J34" s="185"/>
      <c r="K34" s="53"/>
    </row>
    <row r="35" customFormat="false" ht="13.5" hidden="false" customHeight="false" outlineLevel="0" collapsed="false">
      <c r="A35" s="53"/>
      <c r="B35" s="53"/>
      <c r="C35" s="53"/>
      <c r="D35" s="53"/>
      <c r="E35" s="184"/>
      <c r="F35" s="53"/>
      <c r="G35" s="53"/>
      <c r="H35" s="53"/>
      <c r="I35" s="53"/>
      <c r="J35" s="185"/>
      <c r="K35" s="53"/>
    </row>
    <row r="36" customFormat="false" ht="13.5" hidden="false" customHeight="false" outlineLevel="0" collapsed="false">
      <c r="A36" s="53"/>
      <c r="B36" s="53"/>
      <c r="C36" s="53"/>
      <c r="D36" s="53"/>
      <c r="E36" s="184"/>
      <c r="F36" s="53"/>
      <c r="G36" s="53"/>
      <c r="H36" s="53"/>
      <c r="I36" s="53"/>
      <c r="J36" s="185"/>
      <c r="K36" s="53"/>
    </row>
    <row r="37" customFormat="false" ht="13.5" hidden="false" customHeight="false" outlineLevel="0" collapsed="false">
      <c r="A37" s="53"/>
      <c r="B37" s="53"/>
      <c r="C37" s="53"/>
      <c r="D37" s="53"/>
      <c r="E37" s="184"/>
      <c r="F37" s="53"/>
      <c r="G37" s="53"/>
      <c r="H37" s="53"/>
      <c r="I37" s="53"/>
      <c r="J37" s="185"/>
      <c r="K37" s="53"/>
    </row>
    <row r="38" customFormat="false" ht="13.5" hidden="false" customHeight="false" outlineLevel="0" collapsed="false">
      <c r="A38" s="53"/>
      <c r="B38" s="53"/>
      <c r="C38" s="53"/>
      <c r="D38" s="53"/>
      <c r="E38" s="184"/>
      <c r="F38" s="53"/>
      <c r="G38" s="53"/>
      <c r="H38" s="53"/>
      <c r="I38" s="53"/>
      <c r="J38" s="185"/>
      <c r="K38" s="53"/>
    </row>
    <row r="39" customFormat="false" ht="13.5" hidden="false" customHeight="false" outlineLevel="0" collapsed="false">
      <c r="A39" s="53"/>
      <c r="B39" s="53"/>
      <c r="C39" s="53"/>
      <c r="D39" s="53"/>
      <c r="E39" s="184"/>
      <c r="F39" s="53"/>
      <c r="G39" s="53"/>
      <c r="H39" s="53"/>
      <c r="I39" s="53"/>
      <c r="J39" s="185"/>
      <c r="K39" s="53"/>
    </row>
    <row r="40" customFormat="false" ht="13.5" hidden="false" customHeight="false" outlineLevel="0" collapsed="false">
      <c r="A40" s="53"/>
      <c r="B40" s="53"/>
      <c r="C40" s="53"/>
      <c r="D40" s="53"/>
      <c r="E40" s="184"/>
      <c r="F40" s="53"/>
      <c r="G40" s="53"/>
      <c r="H40" s="53"/>
      <c r="I40" s="53"/>
      <c r="J40" s="185"/>
      <c r="K40" s="53"/>
    </row>
    <row r="41" customFormat="false" ht="13.5" hidden="false" customHeight="false" outlineLevel="0" collapsed="false">
      <c r="A41" s="53"/>
      <c r="B41" s="53"/>
      <c r="C41" s="53"/>
      <c r="D41" s="53"/>
      <c r="E41" s="184"/>
      <c r="F41" s="53"/>
      <c r="G41" s="53"/>
      <c r="H41" s="53"/>
      <c r="I41" s="53"/>
      <c r="J41" s="185"/>
      <c r="K41" s="53"/>
    </row>
    <row r="42" customFormat="false" ht="13.5" hidden="false" customHeight="false" outlineLevel="0" collapsed="false">
      <c r="A42" s="53"/>
      <c r="B42" s="53"/>
      <c r="C42" s="53"/>
      <c r="D42" s="53"/>
      <c r="E42" s="184"/>
      <c r="F42" s="53"/>
      <c r="G42" s="53"/>
      <c r="H42" s="53"/>
      <c r="I42" s="53"/>
      <c r="J42" s="185"/>
      <c r="K42" s="53"/>
    </row>
    <row r="43" customFormat="false" ht="13.5" hidden="false" customHeight="false" outlineLevel="0" collapsed="false">
      <c r="A43" s="53"/>
      <c r="B43" s="53"/>
      <c r="C43" s="53"/>
      <c r="D43" s="53"/>
      <c r="E43" s="184"/>
      <c r="F43" s="53"/>
      <c r="G43" s="53"/>
      <c r="H43" s="53"/>
      <c r="I43" s="53"/>
      <c r="J43" s="185"/>
      <c r="K43" s="53"/>
    </row>
    <row r="44" customFormat="false" ht="13.5" hidden="false" customHeight="false" outlineLevel="0" collapsed="false">
      <c r="A44" s="53"/>
      <c r="B44" s="53"/>
      <c r="C44" s="53"/>
      <c r="D44" s="53"/>
      <c r="E44" s="184"/>
      <c r="F44" s="53"/>
      <c r="G44" s="53"/>
      <c r="H44" s="53"/>
      <c r="I44" s="53"/>
      <c r="J44" s="185"/>
      <c r="K44" s="53"/>
    </row>
    <row r="45" customFormat="false" ht="13.5" hidden="false" customHeight="false" outlineLevel="0" collapsed="false">
      <c r="A45" s="53"/>
      <c r="B45" s="53"/>
      <c r="C45" s="53"/>
      <c r="D45" s="53"/>
      <c r="E45" s="184"/>
      <c r="F45" s="53"/>
      <c r="G45" s="53"/>
      <c r="H45" s="53"/>
      <c r="I45" s="53"/>
      <c r="J45" s="185"/>
      <c r="K45" s="53"/>
    </row>
    <row r="46" customFormat="false" ht="13.5" hidden="false" customHeight="false" outlineLevel="0" collapsed="false">
      <c r="A46" s="53"/>
      <c r="B46" s="53"/>
      <c r="C46" s="53"/>
      <c r="D46" s="53"/>
      <c r="E46" s="184"/>
      <c r="F46" s="53"/>
      <c r="G46" s="53"/>
      <c r="H46" s="53"/>
      <c r="I46" s="53"/>
      <c r="J46" s="185"/>
      <c r="K46" s="53"/>
    </row>
    <row r="47" customFormat="false" ht="13.5" hidden="false" customHeight="false" outlineLevel="0" collapsed="false">
      <c r="A47" s="53"/>
      <c r="B47" s="53"/>
      <c r="C47" s="53"/>
      <c r="D47" s="53"/>
      <c r="E47" s="184"/>
      <c r="F47" s="53"/>
      <c r="G47" s="53"/>
      <c r="H47" s="53"/>
      <c r="I47" s="53"/>
      <c r="J47" s="185"/>
      <c r="K47" s="53"/>
    </row>
    <row r="48" customFormat="false" ht="13.5" hidden="false" customHeight="false" outlineLevel="0" collapsed="false">
      <c r="A48" s="53"/>
      <c r="B48" s="53"/>
      <c r="C48" s="53"/>
      <c r="D48" s="53"/>
      <c r="E48" s="184"/>
      <c r="F48" s="53"/>
      <c r="G48" s="53"/>
      <c r="H48" s="53"/>
      <c r="I48" s="53"/>
      <c r="J48" s="185"/>
      <c r="K48" s="53"/>
    </row>
    <row r="49" customFormat="false" ht="13.5" hidden="false" customHeight="false" outlineLevel="0" collapsed="false">
      <c r="A49" s="53"/>
      <c r="B49" s="53"/>
      <c r="C49" s="53"/>
      <c r="D49" s="53"/>
      <c r="E49" s="184"/>
      <c r="F49" s="53"/>
      <c r="G49" s="53"/>
      <c r="H49" s="53"/>
      <c r="I49" s="53"/>
      <c r="J49" s="185"/>
      <c r="K49" s="53"/>
    </row>
    <row r="50" customFormat="false" ht="13.5" hidden="false" customHeight="false" outlineLevel="0" collapsed="false">
      <c r="A50" s="53"/>
      <c r="B50" s="53"/>
      <c r="C50" s="53"/>
      <c r="D50" s="53"/>
      <c r="E50" s="184"/>
      <c r="F50" s="53"/>
      <c r="G50" s="53"/>
      <c r="H50" s="53"/>
      <c r="I50" s="53"/>
      <c r="J50" s="185"/>
      <c r="K50" s="53"/>
    </row>
  </sheetData>
  <mergeCells count="2">
    <mergeCell ref="A1:K1"/>
    <mergeCell ref="A2:K2"/>
  </mergeCells>
  <dataValidations count="2">
    <dataValidation allowBlank="false" errorStyle="stop" operator="between" showDropDown="false" showErrorMessage="false" showInputMessage="false" sqref="K5:K50" type="list">
      <formula1>"Draft,Approved,Rejected"</formula1>
      <formula2>0</formula2>
    </dataValidation>
    <dataValidation allowBlank="false" errorStyle="stop" operator="between" showDropDown="false" showErrorMessage="false" showInputMessage="false" sqref="C5:C50" type="list">
      <formula1>"Project,Programme,Fixed Costs,Balance Sheet,Consolidation"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Z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0" activeCellId="0" sqref="A40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7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56"/>
  </cols>
  <sheetData>
    <row r="1" customFormat="false" ht="30" hidden="false" customHeight="true" outlineLevel="0" collapsed="false">
      <c r="A1" s="18" t="s">
        <v>1978</v>
      </c>
      <c r="B1" s="18"/>
      <c r="C1" s="18"/>
      <c r="D1" s="18"/>
      <c r="E1" s="18"/>
      <c r="F1" s="18"/>
      <c r="G1" s="18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3.5" hidden="false" customHeight="false" outlineLevel="0" collapsed="false">
      <c r="A2" s="20"/>
      <c r="B2" s="20"/>
      <c r="C2" s="20"/>
      <c r="D2" s="20"/>
      <c r="E2" s="20"/>
      <c r="F2" s="20"/>
      <c r="G2" s="20"/>
      <c r="H2" s="20"/>
    </row>
    <row r="3" customFormat="false" ht="15" hidden="false" customHeight="true" outlineLevel="0" collapsed="false">
      <c r="A3" s="186" t="s">
        <v>1979</v>
      </c>
      <c r="B3" s="187" t="str">
        <f aca="false">IF(COUNTIF(F8:F43,"FAIL")&gt;0,"FAIL",IF(COUNTIF(F8:F43,"REVIEW")&gt;0,"PASS WITH REVIEW","PASS"))</f>
        <v>PASS WITH REVIEW</v>
      </c>
      <c r="C3" s="20"/>
      <c r="D3" s="20"/>
      <c r="E3" s="20"/>
      <c r="F3" s="20"/>
      <c r="G3" s="20"/>
      <c r="H3" s="20"/>
    </row>
    <row r="4" customFormat="false" ht="15" hidden="false" customHeight="true" outlineLevel="0" collapsed="false">
      <c r="A4" s="188" t="s">
        <v>1980</v>
      </c>
      <c r="B4" s="189" t="str">
        <f aca="false">IF(Final_Review_Loop!$B$3="APPROVED FOR PUBLICATION","APPROVED","PENDING")</f>
        <v>PENDING</v>
      </c>
      <c r="C4" s="20"/>
      <c r="D4" s="20"/>
      <c r="E4" s="20"/>
      <c r="F4" s="20"/>
      <c r="G4" s="20"/>
      <c r="H4" s="20"/>
    </row>
    <row r="5" customFormat="false" ht="13.5" hidden="false" customHeight="false" outlineLevel="0" collapsed="false">
      <c r="A5" s="20"/>
      <c r="B5" s="20"/>
      <c r="C5" s="20"/>
      <c r="D5" s="20"/>
      <c r="E5" s="20"/>
      <c r="F5" s="20"/>
      <c r="G5" s="20"/>
      <c r="H5" s="20"/>
    </row>
    <row r="6" customFormat="false" ht="13.5" hidden="false" customHeight="false" outlineLevel="0" collapsed="false">
      <c r="A6" s="20"/>
      <c r="B6" s="20"/>
      <c r="C6" s="20"/>
      <c r="D6" s="20"/>
      <c r="E6" s="20"/>
      <c r="F6" s="20"/>
      <c r="G6" s="20"/>
      <c r="H6" s="20"/>
    </row>
    <row r="7" customFormat="false" ht="13.5" hidden="false" customHeight="false" outlineLevel="0" collapsed="false">
      <c r="A7" s="20" t="s">
        <v>1981</v>
      </c>
      <c r="B7" s="20" t="s">
        <v>1982</v>
      </c>
      <c r="C7" s="20" t="s">
        <v>1983</v>
      </c>
      <c r="D7" s="20" t="s">
        <v>1984</v>
      </c>
      <c r="E7" s="20" t="s">
        <v>1985</v>
      </c>
      <c r="F7" s="20" t="s">
        <v>103</v>
      </c>
      <c r="G7" s="20" t="s">
        <v>1986</v>
      </c>
      <c r="H7" s="20" t="s">
        <v>1987</v>
      </c>
    </row>
    <row r="8" customFormat="false" ht="14.9" hidden="false" customHeight="false" outlineLevel="0" collapsed="false">
      <c r="A8" s="20" t="s">
        <v>1988</v>
      </c>
      <c r="B8" s="125" t="n">
        <f aca="false">COUNTIF(Project_Activity!$T$2:$T$4991,"DUPLICATE")</f>
        <v>0</v>
      </c>
      <c r="C8" s="125" t="n">
        <v>0</v>
      </c>
      <c r="D8" s="125" t="n">
        <v>0</v>
      </c>
      <c r="E8" s="125" t="n">
        <f aca="false">B8-C8</f>
        <v>0</v>
      </c>
      <c r="F8" s="20" t="str">
        <f aca="false">IF(ABS(E8)&lt;=D8,"OK","FAIL")</f>
        <v>OK</v>
      </c>
      <c r="G8" s="20" t="s">
        <v>1989</v>
      </c>
      <c r="H8" s="20" t="s">
        <v>1990</v>
      </c>
    </row>
    <row r="9" customFormat="false" ht="14.9" hidden="false" customHeight="false" outlineLevel="0" collapsed="false">
      <c r="A9" s="20" t="s">
        <v>1991</v>
      </c>
      <c r="B9" s="125" t="n">
        <f aca="false">COUNTIF(Nominal_Activity!$Q$2:$Q$5000,"DUPLICATE")</f>
        <v>0</v>
      </c>
      <c r="C9" s="125" t="n">
        <v>0</v>
      </c>
      <c r="D9" s="125" t="n">
        <v>0</v>
      </c>
      <c r="E9" s="125" t="n">
        <f aca="false">B9-C9</f>
        <v>0</v>
      </c>
      <c r="F9" s="20" t="str">
        <f aca="false">IF(ABS(E9)&lt;=D9,"OK","FAIL")</f>
        <v>OK</v>
      </c>
      <c r="G9" s="20" t="s">
        <v>1992</v>
      </c>
      <c r="H9" s="20" t="s">
        <v>1990</v>
      </c>
    </row>
    <row r="10" customFormat="false" ht="14.9" hidden="false" customHeight="false" outlineLevel="0" collapsed="false">
      <c r="A10" s="20" t="s">
        <v>1993</v>
      </c>
      <c r="B10" s="125" t="n">
        <f aca="false">COUNTIF(Nominal_Activity!$N$2:$N$5000,"UNMAPPED")</f>
        <v>0</v>
      </c>
      <c r="C10" s="125" t="n">
        <v>0</v>
      </c>
      <c r="D10" s="125" t="n">
        <v>0</v>
      </c>
      <c r="E10" s="125" t="n">
        <f aca="false">B10-C10</f>
        <v>0</v>
      </c>
      <c r="F10" s="20" t="str">
        <f aca="false">IF(ABS(E10)&lt;=D10,"OK","FAIL")</f>
        <v>OK</v>
      </c>
      <c r="G10" s="20" t="s">
        <v>1994</v>
      </c>
      <c r="H10" s="20" t="s">
        <v>1995</v>
      </c>
    </row>
    <row r="11" customFormat="false" ht="14.9" hidden="false" customHeight="false" outlineLevel="0" collapsed="false">
      <c r="A11" s="20" t="s">
        <v>1996</v>
      </c>
      <c r="B11" s="125" t="n">
        <f aca="false">COUNTIF(FC_Budget_Vrs_Actual!$C$6:$C$79,"UNMAPPED")</f>
        <v>0</v>
      </c>
      <c r="C11" s="125" t="n">
        <v>0</v>
      </c>
      <c r="D11" s="125" t="n">
        <v>0</v>
      </c>
      <c r="E11" s="125" t="n">
        <f aca="false">B11-C11</f>
        <v>0</v>
      </c>
      <c r="F11" s="20" t="str">
        <f aca="false">IF(ABS(E11)&lt;=D11,"OK","FAIL")</f>
        <v>OK</v>
      </c>
      <c r="G11" s="20" t="s">
        <v>1997</v>
      </c>
      <c r="H11" s="20" t="s">
        <v>1998</v>
      </c>
    </row>
    <row r="12" customFormat="false" ht="14.9" hidden="false" customHeight="false" outlineLevel="0" collapsed="false">
      <c r="A12" s="20" t="s">
        <v>1999</v>
      </c>
      <c r="B12" s="125" t="n">
        <f aca="false">COUNTIF(Project_Forecast!$AI$2:$AI$393,"REVIEW")</f>
        <v>16</v>
      </c>
      <c r="C12" s="125" t="n">
        <v>0</v>
      </c>
      <c r="D12" s="125" t="n">
        <v>0</v>
      </c>
      <c r="E12" s="125" t="n">
        <f aca="false">B12-C12</f>
        <v>16</v>
      </c>
      <c r="F12" s="20" t="str">
        <f aca="false">IF(B12=0,"OK","REVIEW")</f>
        <v>REVIEW</v>
      </c>
      <c r="G12" s="20" t="s">
        <v>2000</v>
      </c>
      <c r="H12" s="20" t="s">
        <v>2001</v>
      </c>
    </row>
    <row r="13" customFormat="false" ht="14.9" hidden="false" customHeight="false" outlineLevel="0" collapsed="false">
      <c r="A13" s="20" t="s">
        <v>2002</v>
      </c>
      <c r="B13" s="125" t="n">
        <f aca="false">SUMIFS(Nominal_Activity!$M$2:$M$3000,Nominal_Activity!$N$2:$N$3000,"&lt;&gt;Excluded — Project/Other",Nominal_Activity!$G$2:$G$3000,"&gt;="&amp;DATE(Controls!$B$5,1,1),Nominal_Activity!$G$2:$G$3000,"&lt;="&amp;Controls!$B$4,Nominal_Activity!$A$2:$A$3000,Controls!$B$7)-SUM(FixedCost_Output!$E$12:$E$22)</f>
        <v>0</v>
      </c>
      <c r="C13" s="125"/>
      <c r="D13" s="125" t="n">
        <v>1</v>
      </c>
      <c r="E13" s="125" t="n">
        <f aca="false">0</f>
        <v>0</v>
      </c>
      <c r="F13" s="20" t="str">
        <f aca="false">IF(ABS(B13)&lt;=D13,"OK","FAIL")</f>
        <v>OK</v>
      </c>
      <c r="G13" s="20" t="s">
        <v>2003</v>
      </c>
      <c r="H13" s="20" t="s">
        <v>2004</v>
      </c>
    </row>
    <row r="14" customFormat="false" ht="14.9" hidden="false" customHeight="false" outlineLevel="0" collapsed="false">
      <c r="A14" s="20" t="s">
        <v>2005</v>
      </c>
      <c r="B14" s="125" t="n">
        <f aca="false">SUM(MM_FixedCost!$F$5:$F$78)-SUM(FixedCost_Output!$C$12:$C$22)</f>
        <v>0</v>
      </c>
      <c r="C14" s="125"/>
      <c r="D14" s="125" t="n">
        <v>1</v>
      </c>
      <c r="E14" s="125" t="n">
        <f aca="false">0</f>
        <v>0</v>
      </c>
      <c r="F14" s="20" t="str">
        <f aca="false">IF(ABS(B14)&lt;=D14,"OK","FAIL")</f>
        <v>OK</v>
      </c>
      <c r="G14" s="20" t="s">
        <v>1997</v>
      </c>
      <c r="H14" s="20" t="s">
        <v>2006</v>
      </c>
    </row>
    <row r="15" customFormat="false" ht="14.9" hidden="false" customHeight="false" outlineLevel="0" collapsed="false">
      <c r="A15" s="20" t="s">
        <v>2007</v>
      </c>
      <c r="B15" s="125" t="n">
        <f aca="false">INDEX(Balance_Sheet!$C$30:$F$30,1,VALUE(MID(Controls!$B$6,2,1)))</f>
        <v>0</v>
      </c>
      <c r="C15" s="125" t="n">
        <v>0</v>
      </c>
      <c r="D15" s="125" t="n">
        <v>1</v>
      </c>
      <c r="E15" s="125" t="n">
        <f aca="false">B15-C15</f>
        <v>0</v>
      </c>
      <c r="F15" s="20" t="str">
        <f aca="false">IF(ABS(E15)&lt;=D15,"OK","FAIL")</f>
        <v>OK</v>
      </c>
      <c r="G15" s="20" t="s">
        <v>2008</v>
      </c>
      <c r="H15" s="20" t="s">
        <v>2009</v>
      </c>
    </row>
    <row r="16" customFormat="false" ht="14.9" hidden="false" customHeight="false" outlineLevel="0" collapsed="false">
      <c r="A16" s="20" t="s">
        <v>2010</v>
      </c>
      <c r="B16" s="125" t="n">
        <f aca="false">Entity_QMR!$E$9-FixedCost_Output!$H$3</f>
        <v>0</v>
      </c>
      <c r="C16" s="125"/>
      <c r="D16" s="125" t="n">
        <v>1</v>
      </c>
      <c r="E16" s="125" t="n">
        <f aca="false">0</f>
        <v>0</v>
      </c>
      <c r="F16" s="20" t="str">
        <f aca="false">IF(ABS(B16)&lt;=D16,"OK","FAIL")</f>
        <v>OK</v>
      </c>
      <c r="G16" s="20" t="s">
        <v>2011</v>
      </c>
      <c r="H16" s="20" t="s">
        <v>2012</v>
      </c>
    </row>
    <row r="17" customFormat="false" ht="14.9" hidden="false" customHeight="false" outlineLevel="0" collapsed="false">
      <c r="A17" s="20" t="s">
        <v>2013</v>
      </c>
      <c r="B17" s="125" t="n">
        <f aca="false">Consolidation!$D$46-(Consolidation!$B$46+Consolidation!$C$46)</f>
        <v>0</v>
      </c>
      <c r="C17" s="125"/>
      <c r="D17" s="125" t="n">
        <v>1</v>
      </c>
      <c r="E17" s="125" t="n">
        <f aca="false">0</f>
        <v>0</v>
      </c>
      <c r="F17" s="20" t="str">
        <f aca="false">IF(ABS(B17)&lt;=D17,"OK","FAIL")</f>
        <v>OK</v>
      </c>
      <c r="G17" s="20" t="s">
        <v>2014</v>
      </c>
      <c r="H17" s="20" t="s">
        <v>2015</v>
      </c>
    </row>
    <row r="18" customFormat="false" ht="14.9" hidden="false" customHeight="false" outlineLevel="0" collapsed="false">
      <c r="A18" s="20" t="s">
        <v>2016</v>
      </c>
      <c r="B18" s="125" t="n">
        <f aca="false">COUNTIFS(Manual_Adjustments!$A$5:$A$50,"&lt;&gt;",Manual_Adjustments!$K$5:$K$50,"&lt;&gt;Approved")</f>
        <v>0</v>
      </c>
      <c r="C18" s="125" t="n">
        <v>0</v>
      </c>
      <c r="D18" s="125" t="n">
        <v>0</v>
      </c>
      <c r="E18" s="125" t="n">
        <f aca="false">B18-C18</f>
        <v>0</v>
      </c>
      <c r="F18" s="20" t="str">
        <f aca="false">IF(ABS(E18)&lt;=D18,"OK","FAIL")</f>
        <v>OK</v>
      </c>
      <c r="G18" s="20" t="s">
        <v>2017</v>
      </c>
      <c r="H18" s="20" t="s">
        <v>2018</v>
      </c>
    </row>
    <row r="19" customFormat="false" ht="14.9" hidden="false" customHeight="false" outlineLevel="0" collapsed="false">
      <c r="A19" s="20" t="s">
        <v>2019</v>
      </c>
      <c r="B19" s="125" t="n">
        <f aca="false">MAX(MAX(Project_Activity!$H$2:$H$4991),MAX(Nominal_Activity!$G$2:$G$5000))-Controls!$B$4</f>
        <v>0</v>
      </c>
      <c r="C19" s="125"/>
      <c r="D19" s="125" t="n">
        <v>0</v>
      </c>
      <c r="E19" s="125" t="n">
        <f aca="false">0</f>
        <v>0</v>
      </c>
      <c r="F19" s="20" t="str">
        <f aca="false">IF(B19&lt;=0,"OK","FAIL")</f>
        <v>OK</v>
      </c>
      <c r="G19" s="20" t="s">
        <v>2020</v>
      </c>
      <c r="H19" s="20" t="s">
        <v>2021</v>
      </c>
    </row>
    <row r="20" customFormat="false" ht="14.9" hidden="false" customHeight="false" outlineLevel="0" collapsed="false">
      <c r="A20" s="20" t="s">
        <v>2022</v>
      </c>
      <c r="B20" s="20" t="n">
        <f aca="false">SUMPRODUCT(--ISERROR(QMR_Report!B6:I107))+SUMPRODUCT(--ISERROR(Slide_Pack!B6:H45))+SUMPRODUCT(--ISERROR(Balance_Sheet!B8:K39))+SUMPRODUCT(--ISERROR(Project_Output!B3:K56))+SUMPRODUCT(--ISERROR(FixedCost_Output!B3:K92))+SUMPRODUCT(--ISERROR(FC_Budget_Vrs_Actual!E6:AG80))+SUMPRODUCT(--ISERROR(Entity_QMR!B4:L25))+SUMPRODUCT(--ISERROR(Entity_QMR!B35:L50))+SUMPRODUCT(--ISERROR(Consolidation!B5:Q50))+SUMPRODUCT(--ISERROR(Annual_Summary!B6:L17))+SUMPRODUCT(--ISERROR(Project_Forecast!N2:AI393))+SUMPRODUCT(--ISERROR(PA_TB_Recon!$A$3:$H$94))</f>
        <v>0</v>
      </c>
      <c r="C20" s="20" t="n">
        <v>0</v>
      </c>
      <c r="D20" s="20" t="n">
        <v>0</v>
      </c>
      <c r="E20" s="20" t="n">
        <f aca="false">B20-C20</f>
        <v>0</v>
      </c>
      <c r="F20" s="20" t="str">
        <f aca="false">IF(ABS(E20)&lt;=D20,"OK","FAIL")</f>
        <v>OK</v>
      </c>
      <c r="G20" s="20" t="s">
        <v>2023</v>
      </c>
      <c r="H20" s="20" t="s">
        <v>2024</v>
      </c>
    </row>
    <row r="21" customFormat="false" ht="14.9" hidden="false" customHeight="false" outlineLevel="0" collapsed="false">
      <c r="A21" s="190" t="s">
        <v>2025</v>
      </c>
      <c r="B21" s="191" t="n">
        <f aca="false">COUNTIFS(Project_Forecast!$B$2:$B$4993,Controls!$B$30,Project_Forecast!$A$2:$A$4993,Controls!$B$7)</f>
        <v>37</v>
      </c>
      <c r="C21" s="192" t="s">
        <v>2026</v>
      </c>
      <c r="D21" s="191" t="n">
        <v>0</v>
      </c>
      <c r="E21" s="191" t="n">
        <f aca="false">IF(B21&gt;0,0,-1)</f>
        <v>0</v>
      </c>
      <c r="F21" s="192" t="str">
        <f aca="false">IF(B21&gt;0,"OK","REVIEW")</f>
        <v>OK</v>
      </c>
      <c r="G21" s="192" t="s">
        <v>2000</v>
      </c>
      <c r="H21" s="193" t="s">
        <v>2027</v>
      </c>
    </row>
    <row r="22" customFormat="false" ht="14.9" hidden="false" customHeight="false" outlineLevel="0" collapsed="false">
      <c r="A22" s="194" t="s">
        <v>2028</v>
      </c>
      <c r="B22" s="195" t="n">
        <f aca="false">COUNTIFS(Nominal_Activity!$G$2:$G$5000,"&gt;="&amp;DATE(Controls!$B$5,1,1),Nominal_Activity!$G$2:$G$5000,"&lt;="&amp;Controls!$B$4,Nominal_Activity!$A$2:$A$5000,Controls!$B$7)</f>
        <v>891</v>
      </c>
      <c r="C22" s="196" t="s">
        <v>2026</v>
      </c>
      <c r="D22" s="195" t="n">
        <v>0</v>
      </c>
      <c r="E22" s="195" t="n">
        <f aca="false">IF(B22&gt;0,0,-1)</f>
        <v>0</v>
      </c>
      <c r="F22" s="196" t="str">
        <f aca="false">IF(B22&gt;0,"OK","REVIEW")</f>
        <v>OK</v>
      </c>
      <c r="G22" s="196" t="s">
        <v>1992</v>
      </c>
      <c r="H22" s="197" t="s">
        <v>2029</v>
      </c>
    </row>
    <row r="23" customFormat="false" ht="14.9" hidden="false" customHeight="false" outlineLevel="0" collapsed="false">
      <c r="A23" s="198" t="s">
        <v>2030</v>
      </c>
      <c r="B23" s="199" t="n">
        <f aca="false">COUNTIFS(Trial_Balance!$B$2:$B$4995,Controls!$B$30,Trial_Balance!$A$2:$A$4995,Controls!$B$7)</f>
        <v>118</v>
      </c>
      <c r="C23" s="200" t="s">
        <v>2026</v>
      </c>
      <c r="D23" s="199" t="n">
        <v>0</v>
      </c>
      <c r="E23" s="199" t="n">
        <f aca="false">IF(B23&gt;0,0,-1)</f>
        <v>0</v>
      </c>
      <c r="F23" s="200" t="str">
        <f aca="false">IF(B23&gt;0,"OK","REVIEW")</f>
        <v>OK</v>
      </c>
      <c r="G23" s="200" t="s">
        <v>2031</v>
      </c>
      <c r="H23" s="201" t="s">
        <v>2032</v>
      </c>
    </row>
    <row r="24" customFormat="false" ht="14.9" hidden="false" customHeight="false" outlineLevel="0" collapsed="false">
      <c r="A24" s="1" t="s">
        <v>2033</v>
      </c>
      <c r="B24" s="1" t="n">
        <f aca="false">COUNTIF(Trial_Balance!$I$2:$I$995,"UNMAPPED")</f>
        <v>0</v>
      </c>
      <c r="C24" s="1" t="n">
        <v>0</v>
      </c>
      <c r="D24" s="1" t="n">
        <v>0</v>
      </c>
      <c r="E24" s="1" t="n">
        <f aca="false">B24-C24</f>
        <v>0</v>
      </c>
      <c r="F24" s="11" t="str">
        <f aca="false">IF(ABS(E24)&lt;=D24,"OK","FAIL")</f>
        <v>OK</v>
      </c>
      <c r="G24" s="1" t="s">
        <v>1994</v>
      </c>
      <c r="H24" s="1" t="s">
        <v>2034</v>
      </c>
    </row>
    <row r="25" customFormat="false" ht="14.9" hidden="false" customHeight="false" outlineLevel="0" collapsed="false">
      <c r="A25" s="1" t="s">
        <v>2035</v>
      </c>
      <c r="B25" s="1" t="n">
        <f aca="false">COUNTIF(Project_Activity!$U$2:$U$2991,"UNMAPPED")</f>
        <v>0</v>
      </c>
      <c r="C25" s="1" t="n">
        <v>0</v>
      </c>
      <c r="D25" s="1" t="n">
        <v>0</v>
      </c>
      <c r="E25" s="1" t="n">
        <f aca="false">B25-C25</f>
        <v>0</v>
      </c>
      <c r="F25" s="11" t="str">
        <f aca="false">IF(ABS(E25)&lt;=D25,"OK","REVIEW")</f>
        <v>OK</v>
      </c>
      <c r="G25" s="1" t="s">
        <v>2036</v>
      </c>
      <c r="H25" s="1" t="s">
        <v>2037</v>
      </c>
    </row>
    <row r="26" customFormat="false" ht="14.9" hidden="false" customHeight="false" outlineLevel="0" collapsed="false">
      <c r="A26" s="1" t="s">
        <v>2038</v>
      </c>
      <c r="B26" s="1" t="n">
        <f aca="false">COUNTIF(QMR_Inputs!$B$11:$G$11,"CHECK")</f>
        <v>0</v>
      </c>
      <c r="C26" s="1" t="n">
        <v>0</v>
      </c>
      <c r="D26" s="1" t="n">
        <v>0</v>
      </c>
      <c r="E26" s="1" t="n">
        <f aca="false">B26-C26</f>
        <v>0</v>
      </c>
      <c r="F26" s="11" t="str">
        <f aca="false">IF(ABS(E26)&lt;=D26,"OK","FAIL")</f>
        <v>OK</v>
      </c>
      <c r="G26" s="1" t="s">
        <v>2039</v>
      </c>
      <c r="H26" s="1" t="s">
        <v>2040</v>
      </c>
    </row>
    <row r="27" customFormat="false" ht="14.9" hidden="false" customHeight="false" outlineLevel="0" collapsed="false">
      <c r="A27" s="1" t="s">
        <v>2041</v>
      </c>
      <c r="B27" s="1" t="n">
        <f aca="false">QMR_Report!$C$23-Project_Output!$E$3</f>
        <v>0</v>
      </c>
      <c r="C27" s="1" t="n">
        <v>0</v>
      </c>
      <c r="D27" s="1" t="n">
        <v>1</v>
      </c>
      <c r="E27" s="1" t="n">
        <f aca="false">B27-C27</f>
        <v>0</v>
      </c>
      <c r="F27" s="11" t="str">
        <f aca="false">IF(ABS(E27)&lt;=D27,"OK","FAIL")</f>
        <v>OK</v>
      </c>
      <c r="G27" s="1" t="s">
        <v>2042</v>
      </c>
      <c r="H27" s="1" t="s">
        <v>2043</v>
      </c>
    </row>
    <row r="28" customFormat="false" ht="14.9" hidden="false" customHeight="false" outlineLevel="0" collapsed="false">
      <c r="A28" s="1" t="s">
        <v>2044</v>
      </c>
      <c r="B28" s="1" t="n">
        <f aca="false">Slide_Pack!$B$8*1000-QMR_Report!$B$29</f>
        <v>0</v>
      </c>
      <c r="C28" s="1" t="n">
        <v>0</v>
      </c>
      <c r="D28" s="1" t="n">
        <v>1</v>
      </c>
      <c r="E28" s="1" t="n">
        <f aca="false">B28-C28</f>
        <v>0</v>
      </c>
      <c r="F28" s="11" t="str">
        <f aca="false">IF(ABS(E28)&lt;=D28,"OK","FAIL")</f>
        <v>OK</v>
      </c>
      <c r="G28" s="1" t="s">
        <v>2045</v>
      </c>
      <c r="H28" s="1" t="s">
        <v>2046</v>
      </c>
    </row>
    <row r="29" customFormat="false" ht="14.9" hidden="false" customHeight="false" outlineLevel="0" collapsed="false">
      <c r="A29" s="1" t="s">
        <v>2047</v>
      </c>
      <c r="B29" s="1" t="n">
        <f aca="false">SUMPRODUCT((Project_Forecast!$V$2:$V$393+Project_Forecast!$X$2:$X$393+Project_Forecast!$Z$2:$Z$393+Project_Forecast!$AB$2:$AB$393&gt;1.0001)*1)</f>
        <v>0</v>
      </c>
      <c r="C29" s="1" t="n">
        <v>0</v>
      </c>
      <c r="D29" s="1" t="n">
        <v>0</v>
      </c>
      <c r="E29" s="1" t="n">
        <f aca="false">B29-C29</f>
        <v>0</v>
      </c>
      <c r="F29" s="11" t="str">
        <f aca="false">IF(ABS(E29)&lt;=D29,"OK","REVIEW")</f>
        <v>OK</v>
      </c>
      <c r="G29" s="1" t="s">
        <v>2000</v>
      </c>
      <c r="H29" s="1" t="s">
        <v>2048</v>
      </c>
    </row>
    <row r="30" customFormat="false" ht="14.9" hidden="false" customHeight="false" outlineLevel="0" collapsed="false">
      <c r="A30" s="1" t="s">
        <v>2049</v>
      </c>
      <c r="B30" s="1" t="n">
        <f aca="false">SUMPRODUCT((COUNTIFS(Project_Forecast!$C$2:$C$393,Project_Activity!$C$2:$C$2991,Project_Forecast!$B$2:$B$393,Controls!$B$30)=0)*(Project_Activity!$C$2:$C$2991&lt;&gt;""))</f>
        <v>0</v>
      </c>
      <c r="C30" s="1" t="n">
        <v>0</v>
      </c>
      <c r="D30" s="1" t="n">
        <v>0</v>
      </c>
      <c r="E30" s="1" t="n">
        <f aca="false">B30-C30</f>
        <v>0</v>
      </c>
      <c r="F30" s="11" t="str">
        <f aca="false">IF(ABS(E30)&lt;=D30,"OK","REVIEW")</f>
        <v>OK</v>
      </c>
      <c r="G30" s="1" t="s">
        <v>2050</v>
      </c>
      <c r="H30" s="1" t="s">
        <v>2051</v>
      </c>
    </row>
    <row r="31" customFormat="false" ht="14.9" hidden="false" customHeight="false" outlineLevel="0" collapsed="false">
      <c r="A31" s="1" t="s">
        <v>2052</v>
      </c>
      <c r="B31" s="1" t="n">
        <f aca="false">ABS(Project_Output!$B$47)+ABS(Project_Output!$H$55)</f>
        <v>4746706.73</v>
      </c>
      <c r="C31" s="1" t="n">
        <v>0</v>
      </c>
      <c r="D31" s="1" t="n">
        <v>1</v>
      </c>
      <c r="E31" s="1" t="n">
        <f aca="false">B31-C31</f>
        <v>4746706.73</v>
      </c>
      <c r="F31" s="11" t="str">
        <f aca="false">IF(ABS(E31)&lt;=D31,"OK","REVIEW")</f>
        <v>REVIEW</v>
      </c>
      <c r="G31" s="1" t="s">
        <v>2053</v>
      </c>
      <c r="H31" s="1" t="s">
        <v>2054</v>
      </c>
    </row>
    <row r="32" customFormat="false" ht="14.9" hidden="false" customHeight="false" outlineLevel="0" collapsed="false">
      <c r="A32" s="1" t="s">
        <v>2055</v>
      </c>
      <c r="B32" s="1" t="n">
        <f aca="false">COUNTA(MM_FixedCost!$A$5:$A$200)-74</f>
        <v>0</v>
      </c>
      <c r="C32" s="1" t="n">
        <v>0</v>
      </c>
      <c r="D32" s="1" t="n">
        <v>0</v>
      </c>
      <c r="E32" s="1" t="n">
        <f aca="false">B32-C32</f>
        <v>0</v>
      </c>
      <c r="F32" s="11" t="str">
        <f aca="false">IF(ABS(E32)&lt;=D32,"OK","FAIL")</f>
        <v>OK</v>
      </c>
      <c r="G32" s="1" t="s">
        <v>1997</v>
      </c>
      <c r="H32" s="1" t="s">
        <v>2056</v>
      </c>
    </row>
    <row r="33" customFormat="false" ht="14.9" hidden="false" customHeight="false" outlineLevel="0" collapsed="false">
      <c r="A33" s="1" t="s">
        <v>2057</v>
      </c>
      <c r="B33" s="1" t="n">
        <f aca="false">SUMPRODUCT((COUNTIFS(Trial_Balance!$C$2:$C$995,Trial_Balance!$C$2:$C$995,Trial_Balance!$B$2:$B$995,Trial_Balance!$B$2:$B$995)&gt;1)*(Trial_Balance!$C$2:$C$995&lt;&gt;""))</f>
        <v>0</v>
      </c>
      <c r="C33" s="1" t="n">
        <v>0</v>
      </c>
      <c r="D33" s="1" t="n">
        <v>0</v>
      </c>
      <c r="E33" s="1" t="n">
        <f aca="false">B33-C33</f>
        <v>0</v>
      </c>
      <c r="F33" s="11" t="str">
        <f aca="false">IF(ABS(E33)&lt;=D33,"OK","FAIL")</f>
        <v>OK</v>
      </c>
      <c r="G33" s="1" t="s">
        <v>2031</v>
      </c>
      <c r="H33" s="1" t="s">
        <v>2058</v>
      </c>
    </row>
    <row r="34" customFormat="false" ht="14.9" hidden="false" customHeight="false" outlineLevel="0" collapsed="false">
      <c r="A34" s="1" t="s">
        <v>2059</v>
      </c>
      <c r="B34" s="1" t="n">
        <f aca="false">SUMPRODUCT((Nominal_Activity!$C$2:$C$3000&lt;&gt;"")*(Nominal_Activity!$A$2:$A$3000=""))+SUMPRODUCT((Trial_Balance!$C$2:$C$995&lt;&gt;"")*(Trial_Balance!$A$2:$A$995=""))</f>
        <v>0</v>
      </c>
      <c r="C34" s="1" t="n">
        <v>0</v>
      </c>
      <c r="D34" s="1" t="n">
        <v>0</v>
      </c>
      <c r="E34" s="1" t="n">
        <f aca="false">B34-C34</f>
        <v>0</v>
      </c>
      <c r="F34" s="11" t="str">
        <f aca="false">IF(ABS(E34)&lt;=D34,"OK","FAIL")</f>
        <v>OK</v>
      </c>
      <c r="G34" s="1" t="s">
        <v>2060</v>
      </c>
      <c r="H34" s="1" t="s">
        <v>2061</v>
      </c>
    </row>
    <row r="35" customFormat="false" ht="14.9" hidden="false" customHeight="false" outlineLevel="0" collapsed="false">
      <c r="A35" s="1" t="s">
        <v>2062</v>
      </c>
      <c r="B35" s="1" t="n">
        <f aca="false">COUNTIF(MM_Income!$H$5:$H$204,"TBC")+COUNTIF(MM_Income!$I$5:$I$204,"TBC")</f>
        <v>0</v>
      </c>
      <c r="C35" s="1" t="n">
        <v>0</v>
      </c>
      <c r="D35" s="1" t="n">
        <v>0</v>
      </c>
      <c r="E35" s="1" t="n">
        <f aca="false">B35-C35</f>
        <v>0</v>
      </c>
      <c r="F35" s="11" t="str">
        <f aca="false">IF(ABS(E35)&lt;=D35,"OK","REVIEW")</f>
        <v>OK</v>
      </c>
      <c r="G35" s="1" t="s">
        <v>2036</v>
      </c>
      <c r="H35" s="1" t="s">
        <v>2063</v>
      </c>
    </row>
    <row r="36" customFormat="false" ht="14.9" hidden="false" customHeight="false" outlineLevel="0" collapsed="false">
      <c r="A36" s="1" t="s">
        <v>2064</v>
      </c>
      <c r="B36" s="1" t="n">
        <f aca="false">SUMPRODUCT((MM_Income!$A$5:$A$204&lt;&gt;"")*(ISNA(MATCH(MM_Income!$E$5:$E$204,MM_Income!$AG$5:$AG$9,0))))</f>
        <v>0</v>
      </c>
      <c r="C36" s="1" t="n">
        <v>0</v>
      </c>
      <c r="D36" s="1" t="n">
        <v>0</v>
      </c>
      <c r="E36" s="1" t="n">
        <f aca="false">B36-C36</f>
        <v>0</v>
      </c>
      <c r="F36" s="11" t="str">
        <f aca="false">IF(ABS(E36)&lt;=D36,"OK","REVIEW")</f>
        <v>OK</v>
      </c>
      <c r="G36" s="1" t="s">
        <v>2036</v>
      </c>
      <c r="H36" s="1" t="s">
        <v>2065</v>
      </c>
    </row>
    <row r="37" customFormat="false" ht="14.9" hidden="false" customHeight="false" outlineLevel="0" collapsed="false">
      <c r="A37" s="1" t="s">
        <v>2066</v>
      </c>
      <c r="B37" s="1" t="n">
        <f aca="false">SUMPRODUCT((MM_Income!$A$5:$A$204&lt;&gt;"")*(MM_Income!$U$5:$U$204=""))</f>
        <v>0</v>
      </c>
      <c r="C37" s="1" t="n">
        <v>0</v>
      </c>
      <c r="D37" s="1" t="n">
        <v>0</v>
      </c>
      <c r="E37" s="1" t="n">
        <f aca="false">B37-C37</f>
        <v>0</v>
      </c>
      <c r="F37" s="11" t="str">
        <f aca="false">IF(ABS(E37)&lt;=D37,"OK","REVIEW")</f>
        <v>OK</v>
      </c>
      <c r="G37" s="1" t="s">
        <v>2036</v>
      </c>
      <c r="H37" s="1" t="s">
        <v>2067</v>
      </c>
    </row>
    <row r="38" customFormat="false" ht="14.9" hidden="false" customHeight="false" outlineLevel="0" collapsed="false">
      <c r="A38" s="1" t="s">
        <v>2068</v>
      </c>
      <c r="B38" s="1" t="n">
        <f aca="false">COUNTIF(MM_Income!$T$5:$T$204,"&lt;0")</f>
        <v>0</v>
      </c>
      <c r="C38" s="1" t="n">
        <v>0</v>
      </c>
      <c r="D38" s="1" t="n">
        <v>0</v>
      </c>
      <c r="E38" s="1" t="n">
        <f aca="false">B38-C38</f>
        <v>0</v>
      </c>
      <c r="F38" s="11" t="str">
        <f aca="false">IF(ABS(E38)&lt;=D38,"OK","REVIEW")</f>
        <v>OK</v>
      </c>
      <c r="G38" s="1" t="s">
        <v>2036</v>
      </c>
      <c r="H38" s="1" t="s">
        <v>2069</v>
      </c>
    </row>
    <row r="39" customFormat="false" ht="14.9" hidden="false" customHeight="false" outlineLevel="0" collapsed="false">
      <c r="A39" s="1" t="s">
        <v>2070</v>
      </c>
      <c r="B39" s="1" t="n">
        <f aca="false">COUNTIF(PA_TB_Recon!$F$6:$F$25,"VARIANCE*")+COUNTIF(PA_TB_Recon!$F$27,"CHECK*")</f>
        <v>4</v>
      </c>
      <c r="C39" s="1" t="n">
        <v>0</v>
      </c>
      <c r="D39" s="1" t="n">
        <v>0</v>
      </c>
      <c r="E39" s="1" t="n">
        <f aca="false">B39-C39</f>
        <v>4</v>
      </c>
      <c r="F39" s="11" t="str">
        <f aca="false">IF(ABS(E39)&lt;=D39,"OK","REVIEW")</f>
        <v>REVIEW</v>
      </c>
      <c r="G39" s="1" t="s">
        <v>2071</v>
      </c>
      <c r="H39" s="1" t="s">
        <v>2072</v>
      </c>
    </row>
    <row r="40" customFormat="false" ht="14.9" hidden="false" customHeight="false" outlineLevel="0" collapsed="false">
      <c r="A40" s="1" t="s">
        <v>2073</v>
      </c>
      <c r="B40" s="1" t="n">
        <f aca="false">QMR_Inputs!$B$48-Controls!$B$15</f>
        <v>-9794783.55054101</v>
      </c>
      <c r="C40" s="1" t="n">
        <v>0</v>
      </c>
      <c r="D40" s="1" t="n">
        <v>1</v>
      </c>
      <c r="E40" s="1" t="n">
        <f aca="false">B40-C40</f>
        <v>-9794783.55054101</v>
      </c>
      <c r="F40" s="11" t="str">
        <f aca="false">IF(ABS(E40)&lt;=D40,"OK","REVIEW")</f>
        <v>REVIEW</v>
      </c>
      <c r="G40" s="1" t="s">
        <v>2039</v>
      </c>
      <c r="H40" s="1" t="s">
        <v>2074</v>
      </c>
    </row>
    <row r="41" customFormat="false" ht="14.9" hidden="false" customHeight="false" outlineLevel="0" collapsed="false">
      <c r="A41" s="1" t="s">
        <v>2075</v>
      </c>
      <c r="B41" s="1" t="n">
        <f aca="false">QMR_Inputs!$B$53-Controls!$B$15</f>
        <v>-9794783.55054101</v>
      </c>
      <c r="C41" s="1" t="n">
        <v>0</v>
      </c>
      <c r="D41" s="1" t="n">
        <v>1</v>
      </c>
      <c r="E41" s="1" t="n">
        <f aca="false">B41-C41</f>
        <v>-9794783.55054101</v>
      </c>
      <c r="F41" s="11" t="str">
        <f aca="false">IF(ABS(E41)&lt;=D41,"OK","REVIEW")</f>
        <v>REVIEW</v>
      </c>
      <c r="G41" s="1" t="s">
        <v>2039</v>
      </c>
      <c r="H41" s="1" t="s">
        <v>2076</v>
      </c>
    </row>
    <row r="42" customFormat="false" ht="13.5" hidden="false" customHeight="false" outlineLevel="0" collapsed="false">
      <c r="A42" s="1" t="s">
        <v>2077</v>
      </c>
      <c r="B42" s="100" t="n">
        <f aca="false">IF(ISNUMBER(Balance_Sheet!$H$24),Balance_Sheet!$H$24+Balance_Sheet!$H$25,0)</f>
        <v>0</v>
      </c>
      <c r="C42" s="1" t="n">
        <v>0</v>
      </c>
      <c r="D42" s="100" t="n">
        <v>1</v>
      </c>
      <c r="E42" s="100" t="n">
        <f aca="false">B42-C42</f>
        <v>0</v>
      </c>
      <c r="F42" s="1" t="str">
        <f aca="false">IF(ABS(E42)&lt;=D42,"OK","FAIL")</f>
        <v>OK</v>
      </c>
      <c r="G42" s="1" t="s">
        <v>2008</v>
      </c>
      <c r="H42" s="1" t="s">
        <v>2078</v>
      </c>
    </row>
    <row r="43" customFormat="false" ht="13.5" hidden="false" customHeight="false" outlineLevel="0" collapsed="false">
      <c r="A43" s="1" t="s">
        <v>2079</v>
      </c>
      <c r="B43" s="100" t="n">
        <f aca="false">MAX(ABS(N(Balance_Sheet!$D$39)),ABS(N(Balance_Sheet!$E$39)),ABS(N(Balance_Sheet!$F$39)))</f>
        <v>0</v>
      </c>
      <c r="C43" s="1" t="n">
        <v>0</v>
      </c>
      <c r="D43" s="100" t="n">
        <v>1</v>
      </c>
      <c r="E43" s="100" t="n">
        <f aca="false">B43-C43</f>
        <v>0</v>
      </c>
      <c r="F43" s="1" t="str">
        <f aca="false">IF(ABS(E43)&lt;=D43,"OK","FAIL")</f>
        <v>OK</v>
      </c>
      <c r="G43" s="1" t="s">
        <v>2031</v>
      </c>
      <c r="H43" s="1" t="s">
        <v>2080</v>
      </c>
    </row>
  </sheetData>
  <mergeCells count="1">
    <mergeCell ref="A1:H1"/>
  </mergeCells>
  <conditionalFormatting sqref="B3:B4">
    <cfRule type="containsText" priority="2" operator="containsText" aboveAverage="0" equalAverage="0" bottom="0" percent="0" rank="0" text="FAIL" dxfId="17">
      <formula>NOT(ISERROR(SEARCH("FAIL",B3)))</formula>
    </cfRule>
    <cfRule type="containsText" priority="3" operator="containsText" aboveAverage="0" equalAverage="0" bottom="0" percent="0" rank="0" text="PENDING" dxfId="25">
      <formula>NOT(ISERROR(SEARCH("PENDING",B3)))</formula>
    </cfRule>
  </conditionalFormatting>
  <conditionalFormatting sqref="F8:F20">
    <cfRule type="containsText" priority="4" operator="containsText" aboveAverage="0" equalAverage="0" bottom="0" percent="0" rank="0" text="FAIL" dxfId="17">
      <formula>NOT(ISERROR(SEARCH("FAIL",F8)))</formula>
    </cfRule>
    <cfRule type="containsText" priority="5" operator="containsText" aboveAverage="0" equalAverage="0" bottom="0" percent="0" rank="0" text="REVIEW" dxfId="25">
      <formula>NOT(ISERROR(SEARCH("REVIEW",F8)))</formula>
    </cfRule>
  </conditionalFormatting>
  <conditionalFormatting sqref="F8:F23">
    <cfRule type="containsText" priority="6" operator="containsText" aboveAverage="0" equalAverage="0" bottom="0" percent="0" rank="0" text="OK" dxfId="11">
      <formula>NOT(ISERROR(SEARCH("OK",F8)))</formula>
    </cfRule>
    <cfRule type="containsText" priority="7" operator="containsText" aboveAverage="0" equalAverage="0" bottom="0" percent="0" rank="0" text="REVIEW" dxfId="12">
      <formula>NOT(ISERROR(SEARCH("REVIEW",F8)))</formula>
    </cfRule>
    <cfRule type="containsText" priority="8" operator="containsText" aboveAverage="0" equalAverage="0" bottom="0" percent="0" rank="0" text="NOT LOADED" dxfId="13">
      <formula>NOT(ISERROR(SEARCH("NOT LOADED",F8)))</formula>
    </cfRule>
    <cfRule type="containsText" priority="9" operator="containsText" aboveAverage="0" equalAverage="0" bottom="0" percent="0" rank="0" text="FAIL" dxfId="14">
      <formula>NOT(ISERROR(SEARCH("FAIL",F8)))</formula>
    </cfRule>
  </conditionalFormatting>
  <conditionalFormatting sqref="F8:F41">
    <cfRule type="cellIs" priority="10" operator="equal" aboveAverage="0" equalAverage="0" bottom="0" percent="0" rank="0" text="" dxfId="0">
      <formula>"OK"</formula>
    </cfRule>
    <cfRule type="cellIs" priority="11" operator="equal" aboveAverage="0" equalAverage="0" bottom="0" percent="0" rank="0" text="" dxfId="1">
      <formula>"PASS WITH REVIEW"</formula>
    </cfRule>
    <cfRule type="cellIs" priority="12" operator="equal" aboveAverage="0" equalAverage="0" bottom="0" percent="0" rank="0" text="" dxfId="2">
      <formula>"FAIL"</formula>
    </cfRule>
  </conditionalFormatting>
  <conditionalFormatting sqref="B3">
    <cfRule type="cellIs" priority="13" operator="equal" aboveAverage="0" equalAverage="0" bottom="0" percent="0" rank="0" text="" dxfId="0">
      <formula>"OK"</formula>
    </cfRule>
    <cfRule type="cellIs" priority="14" operator="equal" aboveAverage="0" equalAverage="0" bottom="0" percent="0" rank="0" text="" dxfId="0">
      <formula>"PASS"</formula>
    </cfRule>
    <cfRule type="cellIs" priority="15" operator="equal" aboveAverage="0" equalAverage="0" bottom="0" percent="0" rank="0" text="" dxfId="1">
      <formula>"REVIEW"</formula>
    </cfRule>
    <cfRule type="cellIs" priority="16" operator="equal" aboveAverage="0" equalAverage="0" bottom="0" percent="0" rank="0" text="" dxfId="1">
      <formula>"PASS WITH REVIEW"</formula>
    </cfRule>
    <cfRule type="cellIs" priority="17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20"/>
  </cols>
  <sheetData>
    <row r="1" customFormat="false" ht="22.5" hidden="false" customHeight="true" outlineLevel="0" collapsed="false">
      <c r="A1" s="129" t="s">
        <v>2081</v>
      </c>
    </row>
    <row r="2" customFormat="false" ht="13.5" hidden="false" customHeight="false" outlineLevel="0" collapsed="false">
      <c r="A2" s="202"/>
    </row>
    <row r="3" customFormat="false" ht="15" hidden="false" customHeight="true" outlineLevel="0" collapsed="false">
      <c r="A3" s="203" t="s">
        <v>2082</v>
      </c>
    </row>
    <row r="4" customFormat="false" ht="13.5" hidden="false" customHeight="false" outlineLevel="0" collapsed="false">
      <c r="A4" s="202" t="s">
        <v>2083</v>
      </c>
    </row>
    <row r="5" customFormat="false" ht="13.5" hidden="false" customHeight="false" outlineLevel="0" collapsed="false">
      <c r="A5" s="202" t="s">
        <v>2084</v>
      </c>
    </row>
    <row r="6" customFormat="false" ht="13.5" hidden="false" customHeight="false" outlineLevel="0" collapsed="false">
      <c r="A6" s="202" t="s">
        <v>2085</v>
      </c>
    </row>
    <row r="7" customFormat="false" ht="13.5" hidden="false" customHeight="false" outlineLevel="0" collapsed="false">
      <c r="A7" s="202" t="s">
        <v>2086</v>
      </c>
    </row>
    <row r="8" customFormat="false" ht="13.5" hidden="false" customHeight="false" outlineLevel="0" collapsed="false">
      <c r="A8" s="202" t="s">
        <v>2087</v>
      </c>
    </row>
    <row r="9" customFormat="false" ht="13.5" hidden="false" customHeight="false" outlineLevel="0" collapsed="false">
      <c r="A9" s="202" t="s">
        <v>2088</v>
      </c>
    </row>
    <row r="10" customFormat="false" ht="13.5" hidden="false" customHeight="false" outlineLevel="0" collapsed="false">
      <c r="A10" s="202" t="s">
        <v>2089</v>
      </c>
    </row>
    <row r="11" customFormat="false" ht="13.5" hidden="false" customHeight="false" outlineLevel="0" collapsed="false">
      <c r="A11" s="202" t="s">
        <v>2090</v>
      </c>
    </row>
    <row r="12" customFormat="false" ht="13.5" hidden="false" customHeight="false" outlineLevel="0" collapsed="false">
      <c r="A12" s="202" t="s">
        <v>2091</v>
      </c>
    </row>
    <row r="13" customFormat="false" ht="13.5" hidden="false" customHeight="false" outlineLevel="0" collapsed="false">
      <c r="A13" s="202" t="s">
        <v>2092</v>
      </c>
    </row>
    <row r="14" customFormat="false" ht="13.5" hidden="false" customHeight="false" outlineLevel="0" collapsed="false">
      <c r="A14" s="202" t="s">
        <v>2093</v>
      </c>
    </row>
    <row r="15" customFormat="false" ht="13.5" hidden="false" customHeight="false" outlineLevel="0" collapsed="false">
      <c r="A15" s="202" t="s">
        <v>2094</v>
      </c>
    </row>
    <row r="16" customFormat="false" ht="13.5" hidden="false" customHeight="false" outlineLevel="0" collapsed="false">
      <c r="A16" s="202" t="s">
        <v>2095</v>
      </c>
    </row>
    <row r="17" customFormat="false" ht="13.5" hidden="false" customHeight="false" outlineLevel="0" collapsed="false">
      <c r="A17" s="202" t="s">
        <v>2096</v>
      </c>
    </row>
    <row r="18" customFormat="false" ht="13.5" hidden="false" customHeight="false" outlineLevel="0" collapsed="false">
      <c r="A18" s="202"/>
    </row>
    <row r="19" customFormat="false" ht="15" hidden="false" customHeight="true" outlineLevel="0" collapsed="false">
      <c r="A19" s="203" t="s">
        <v>2097</v>
      </c>
    </row>
    <row r="20" customFormat="false" ht="13.5" hidden="false" customHeight="false" outlineLevel="0" collapsed="false">
      <c r="A20" s="202" t="s">
        <v>2098</v>
      </c>
    </row>
    <row r="21" customFormat="false" ht="13.5" hidden="false" customHeight="false" outlineLevel="0" collapsed="false">
      <c r="A21" s="202" t="s">
        <v>2099</v>
      </c>
    </row>
    <row r="22" customFormat="false" ht="13.5" hidden="false" customHeight="false" outlineLevel="0" collapsed="false">
      <c r="A22" s="202" t="s">
        <v>2100</v>
      </c>
    </row>
    <row r="23" customFormat="false" ht="13.5" hidden="false" customHeight="false" outlineLevel="0" collapsed="false">
      <c r="A23" s="202" t="s">
        <v>2101</v>
      </c>
    </row>
    <row r="24" customFormat="false" ht="13.5" hidden="false" customHeight="false" outlineLevel="0" collapsed="false">
      <c r="A24" s="202"/>
    </row>
    <row r="25" customFormat="false" ht="15" hidden="false" customHeight="true" outlineLevel="0" collapsed="false">
      <c r="A25" s="203" t="s">
        <v>2102</v>
      </c>
    </row>
    <row r="26" customFormat="false" ht="13.5" hidden="false" customHeight="false" outlineLevel="0" collapsed="false">
      <c r="A26" s="202" t="s">
        <v>2103</v>
      </c>
    </row>
    <row r="27" customFormat="false" ht="13.5" hidden="false" customHeight="false" outlineLevel="0" collapsed="false">
      <c r="A27" s="202" t="s">
        <v>2104</v>
      </c>
    </row>
    <row r="28" customFormat="false" ht="13.5" hidden="false" customHeight="false" outlineLevel="0" collapsed="false">
      <c r="A28" s="202" t="s">
        <v>2105</v>
      </c>
    </row>
    <row r="29" customFormat="false" ht="13.5" hidden="false" customHeight="false" outlineLevel="0" collapsed="false">
      <c r="A29" s="202"/>
    </row>
    <row r="30" customFormat="false" ht="15" hidden="false" customHeight="true" outlineLevel="0" collapsed="false">
      <c r="A30" s="203" t="s">
        <v>2106</v>
      </c>
    </row>
    <row r="31" customFormat="false" ht="13.5" hidden="false" customHeight="false" outlineLevel="0" collapsed="false">
      <c r="A31" s="202" t="s">
        <v>2107</v>
      </c>
    </row>
    <row r="32" customFormat="false" ht="13.5" hidden="false" customHeight="false" outlineLevel="0" collapsed="false">
      <c r="A32" s="202" t="s">
        <v>2108</v>
      </c>
    </row>
    <row r="33" customFormat="false" ht="13.5" hidden="false" customHeight="false" outlineLevel="0" collapsed="false">
      <c r="A33" s="202" t="s">
        <v>2109</v>
      </c>
    </row>
    <row r="34" customFormat="false" ht="13.5" hidden="false" customHeight="false" outlineLevel="0" collapsed="false">
      <c r="A34" s="202" t="s">
        <v>2110</v>
      </c>
    </row>
    <row r="35" customFormat="false" ht="13.5" hidden="false" customHeight="false" outlineLevel="0" collapsed="false">
      <c r="A35" s="202" t="s">
        <v>2111</v>
      </c>
    </row>
    <row r="36" customFormat="false" ht="13.5" hidden="false" customHeight="false" outlineLevel="0" collapsed="false">
      <c r="A36" s="202"/>
    </row>
    <row r="37" customFormat="false" ht="15" hidden="false" customHeight="true" outlineLevel="0" collapsed="false">
      <c r="A37" s="203" t="s">
        <v>2112</v>
      </c>
    </row>
    <row r="38" customFormat="false" ht="13.5" hidden="false" customHeight="false" outlineLevel="0" collapsed="false">
      <c r="A38" s="202" t="s">
        <v>2113</v>
      </c>
    </row>
    <row r="39" customFormat="false" ht="13.5" hidden="false" customHeight="false" outlineLevel="0" collapsed="false">
      <c r="A39" s="202" t="s">
        <v>2114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3B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11" min="3" style="1" width="19"/>
    <col collapsed="false" customWidth="true" hidden="false" outlineLevel="0" max="12" min="12" style="1" width="15"/>
  </cols>
  <sheetData>
    <row r="1" customFormat="false" ht="27.75" hidden="false" customHeight="true" outlineLevel="0" collapsed="false">
      <c r="A1" s="204" t="str">
        <f aca="false">"Annual QMR Summary — "&amp;Controls!$B$8&amp;" — "&amp;Controls!$B$5</f>
        <v>Annual QMR Summary — PC Ghana — 2026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customFormat="false" ht="14.9" hidden="false" customHeight="true" outlineLevel="0" collapsed="false">
      <c r="A2" s="205" t="s">
        <v>2115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</row>
    <row r="4" customFormat="false" ht="13.5" hidden="false" customHeight="false" outlineLevel="0" collapsed="false">
      <c r="A4" s="206" t="s">
        <v>2116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</row>
    <row r="5" customFormat="false" ht="36" hidden="false" customHeight="true" outlineLevel="0" collapsed="false">
      <c r="A5" s="40" t="s">
        <v>71</v>
      </c>
      <c r="B5" s="40" t="s">
        <v>40</v>
      </c>
      <c r="C5" s="40" t="s">
        <v>2117</v>
      </c>
      <c r="D5" s="40" t="s">
        <v>2118</v>
      </c>
      <c r="E5" s="40" t="s">
        <v>2119</v>
      </c>
      <c r="F5" s="40" t="s">
        <v>2120</v>
      </c>
      <c r="G5" s="40" t="s">
        <v>2121</v>
      </c>
      <c r="H5" s="40" t="s">
        <v>2122</v>
      </c>
      <c r="I5" s="40" t="s">
        <v>2123</v>
      </c>
      <c r="J5" s="40" t="s">
        <v>2124</v>
      </c>
      <c r="K5" s="40" t="s">
        <v>2125</v>
      </c>
      <c r="L5" s="40" t="s">
        <v>41</v>
      </c>
    </row>
    <row r="6" customFormat="false" ht="14.9" hidden="false" customHeight="false" outlineLevel="0" collapsed="false">
      <c r="A6" s="1" t="s">
        <v>85</v>
      </c>
      <c r="B6" s="207" t="n">
        <v>46112</v>
      </c>
      <c r="C6" s="208" t="str">
        <f aca="false">IF(COUNTIFS(Project_Forecast!$B$2:$B$393,$A6,Project_Forecast!$A$2:$A$393,Controls!$B$7)=0,"",SUM(MM_Income!$P$5:$P$204))</f>
        <v/>
      </c>
      <c r="D6" s="208" t="str">
        <f aca="false">IF(COUNTIFS(Project_Forecast!$B$2:$B$393,$A6,Project_Forecast!$A$2:$A$393,Controls!$B$7)=0,"",SUMIFS(Project_Forecast!$N$2:$N$393,Project_Forecast!$B$2:$B$393,$A6,Project_Forecast!$A$2:$A$393,Controls!$B$7))</f>
        <v/>
      </c>
      <c r="E6" s="208" t="str">
        <f aca="false">IF(COUNTIFS(Project_Forecast!$B$2:$B$393,$A6,Project_Forecast!$A$2:$A$393,Controls!$B$7)=0,"",SUMIFS(Project_Forecast!$AD$2:$AD$393,Project_Forecast!$B$2:$B$393,$A6,Project_Forecast!$A$2:$A$393,Controls!$B$7))</f>
        <v/>
      </c>
      <c r="F6" s="208" t="n">
        <f aca="false">SUM(MM_FixedCost!$F$5:$F$78)/4</f>
        <v>3443592.8825</v>
      </c>
      <c r="G6" s="208" t="n">
        <f aca="false">IF(COUNTIFS(Nominal_Activity!$B$2:$B$5000,$A6,Nominal_Activity!$A$2:$A$5000,Controls!$B$7)=0,"",SUMIFS(Nominal_Activity!$M$2:$M$5000,Nominal_Activity!$B$2:$B$5000,$A6,Nominal_Activity!$N$2:$N$5000,"&lt;&gt;Excluded — Project/Other",Nominal_Activity!$A$2:$A$5000,Controls!$B$7))</f>
        <v>2779361.33</v>
      </c>
      <c r="H6" s="208" t="str">
        <f aca="false">IF(COUNTIFS(Trial_Balance!$B$2:$B$4995,$A6,Trial_Balance!$A$2:$A$4995,Controls!$B$7)=0,"",SUMIFS(Trial_Balance!$H$2:$H$4995,Trial_Balance!$B$2:$B$4995,$A6,Trial_Balance!$I$2:$I$4995,"Trade Debtors",Trial_Balance!$A$2:$A$4995,Controls!$B$7)+SUMIFS(Trial_Balance!$H$2:$H$4995,Trial_Balance!$B$2:$B$4995,$A6,Trial_Balance!$I$2:$I$4995,"Cash in Hand and at Bank",Trial_Balance!$A$2:$A$4995,Controls!$B$7)+SUMIFS(Trial_Balance!$H$2:$H$4995,Trial_Balance!$B$2:$B$4995,$A6,Trial_Balance!$I$2:$I$4995,"Other Receivables",Trial_Balance!$A$2:$A$4995,Controls!$B$7))</f>
        <v/>
      </c>
      <c r="I6" s="208" t="str">
        <f aca="false">IF(COUNTIFS(Trial_Balance!$B$2:$B$4995,$A6,Trial_Balance!$A$2:$A$4995,Controls!$B$7)=0,"",-SUMIFS(Trial_Balance!$H$2:$H$4995,Trial_Balance!$B$2:$B$4995,$A6,Trial_Balance!$I$2:$I$4995,"Trade Creditors",Trial_Balance!$A$2:$A$4995,Controls!$B$7)-SUMIFS(Trial_Balance!$H$2:$H$4995,Trial_Balance!$B$2:$B$4995,$A6,Trial_Balance!$I$2:$I$4995,"Other Creditors",Trial_Balance!$A$2:$A$4995,Controls!$B$7))</f>
        <v/>
      </c>
      <c r="J6" s="208" t="str">
        <f aca="false">IF(OR(H6="",I6=""),"",H6-I6)</f>
        <v/>
      </c>
      <c r="K6" s="208" t="str">
        <f aca="false">IF(COUNTIFS(Trial_Balance!$B$2:$B$4995,$A6,Trial_Balance!$A$2:$A$4995,Controls!$B$7)=0,"",IF(ABS(SUMIFS(Trial_Balance!$H$2:$H$4995,Trial_Balance!$B$2:$B$4995,$A6,Trial_Balance!$A$2:$A$4995,Controls!$B$7))&lt;=1,0,SUMIFS(Trial_Balance!$H$2:$H$4995,Trial_Balance!$B$2:$B$4995,$A6,Trial_Balance!$A$2:$A$4995,Controls!$B$7)))</f>
        <v/>
      </c>
      <c r="L6" s="1" t="str">
        <f aca="false">IF(COUNTIFS(Project_Forecast!$B$2:$B$393,$A6,Project_Forecast!$A$2:$A$393,Controls!$B$7)=0,"NOT LOADED",IF(COUNTIFS(Project_Forecast!$B$2:$B$393,$A6,Project_Forecast!$AI$2:$AI$393,"REVIEW")&gt;0,"REVIEW","READY"))</f>
        <v>NOT LOADED</v>
      </c>
    </row>
    <row r="7" customFormat="false" ht="14.9" hidden="false" customHeight="false" outlineLevel="0" collapsed="false">
      <c r="A7" s="1" t="s">
        <v>89</v>
      </c>
      <c r="B7" s="207" t="n">
        <v>46203</v>
      </c>
      <c r="C7" s="208" t="n">
        <f aca="false">IF(COUNTIFS(Project_Forecast!$B$2:$B$393,$A7,Project_Forecast!$A$2:$A$393,Controls!$B$7)=0,"",SUM(MM_Income!$P$5:$P$204))</f>
        <v>16502774.617</v>
      </c>
      <c r="D7" s="208" t="n">
        <f aca="false">IF(COUNTIFS(Project_Forecast!$B$2:$B$393,$A7,Project_Forecast!$A$2:$A$393,Controls!$B$7)=0,"",SUMIFS(Project_Forecast!$N$2:$N$393,Project_Forecast!$B$2:$B$393,$A7,Project_Forecast!$A$2:$A$393,Controls!$B$7))</f>
        <v>15545817.517</v>
      </c>
      <c r="E7" s="208" t="n">
        <f aca="false">IF(COUNTIFS(Project_Forecast!$B$2:$B$393,$A7,Project_Forecast!$A$2:$A$393,Controls!$B$7)=0,"",SUMIFS(Project_Forecast!$AD$2:$AD$393,Project_Forecast!$B$2:$B$393,$A7,Project_Forecast!$A$2:$A$393,Controls!$B$7))</f>
        <v>7459200.50445</v>
      </c>
      <c r="F7" s="208" t="n">
        <f aca="false">SUM(MM_FixedCost!$F$5:$F$78)/4</f>
        <v>3443592.8825</v>
      </c>
      <c r="G7" s="208" t="n">
        <f aca="false">IF(COUNTIFS(Nominal_Activity!$B$2:$B$5000,$A7,Nominal_Activity!$A$2:$A$5000,Controls!$B$7)=0,"",SUMIFS(Nominal_Activity!$M$2:$M$5000,Nominal_Activity!$B$2:$B$5000,$A7,Nominal_Activity!$N$2:$N$5000,"&lt;&gt;Excluded — Project/Other",Nominal_Activity!$A$2:$A$5000,Controls!$B$7))</f>
        <v>3022352.24</v>
      </c>
      <c r="H7" s="208" t="n">
        <f aca="false">IF(COUNTIFS(Trial_Balance!$B$2:$B$4995,$A7,Trial_Balance!$A$2:$A$4995,Controls!$B$7)=0,"",SUMIFS(Trial_Balance!$H$2:$H$4995,Trial_Balance!$B$2:$B$4995,$A7,Trial_Balance!$I$2:$I$4995,"Trade Debtors",Trial_Balance!$A$2:$A$4995,Controls!$B$7)+SUMIFS(Trial_Balance!$H$2:$H$4995,Trial_Balance!$B$2:$B$4995,$A7,Trial_Balance!$I$2:$I$4995,"Cash in Hand and at Bank",Trial_Balance!$A$2:$A$4995,Controls!$B$7)+SUMIFS(Trial_Balance!$H$2:$H$4995,Trial_Balance!$B$2:$B$4995,$A7,Trial_Balance!$I$2:$I$4995,"Other Receivables",Trial_Balance!$A$2:$A$4995,Controls!$B$7))</f>
        <v>8953156.48</v>
      </c>
      <c r="I7" s="208" t="n">
        <f aca="false">IF(COUNTIFS(Trial_Balance!$B$2:$B$4995,$A7,Trial_Balance!$A$2:$A$4995,Controls!$B$7)=0,"",-SUMIFS(Trial_Balance!$H$2:$H$4995,Trial_Balance!$B$2:$B$4995,$A7,Trial_Balance!$I$2:$I$4995,"Trade Creditors",Trial_Balance!$A$2:$A$4995,Controls!$B$7)-SUMIFS(Trial_Balance!$H$2:$H$4995,Trial_Balance!$B$2:$B$4995,$A7,Trial_Balance!$I$2:$I$4995,"Other Creditors",Trial_Balance!$A$2:$A$4995,Controls!$B$7))</f>
        <v>3241948.62</v>
      </c>
      <c r="J7" s="208" t="n">
        <f aca="false">IF(OR(H7="",I7=""),"",H7-I7)</f>
        <v>5711207.86</v>
      </c>
      <c r="K7" s="208" t="n">
        <f aca="false">IF(COUNTIFS(Trial_Balance!$B$2:$B$4995,$A7,Trial_Balance!$A$2:$A$4995,Controls!$B$7)=0,"",IF(ABS(SUMIFS(Trial_Balance!$H$2:$H$4995,Trial_Balance!$B$2:$B$4995,$A7,Trial_Balance!$A$2:$A$4995,Controls!$B$7))&lt;=1,0,SUMIFS(Trial_Balance!$H$2:$H$4995,Trial_Balance!$B$2:$B$4995,$A7,Trial_Balance!$A$2:$A$4995,Controls!$B$7)))</f>
        <v>0</v>
      </c>
      <c r="L7" s="1" t="str">
        <f aca="false">IF(COUNTIFS(Project_Forecast!$B$2:$B$393,$A7,Project_Forecast!$A$2:$A$393,Controls!$B$7)=0,"NOT LOADED",IF(COUNTIFS(Project_Forecast!$B$2:$B$393,$A7,Project_Forecast!$AI$2:$AI$393,"REVIEW")&gt;0,"REVIEW","READY"))</f>
        <v>REVIEW</v>
      </c>
    </row>
    <row r="8" customFormat="false" ht="14.9" hidden="false" customHeight="false" outlineLevel="0" collapsed="false">
      <c r="A8" s="1" t="s">
        <v>92</v>
      </c>
      <c r="B8" s="207" t="n">
        <v>46295</v>
      </c>
      <c r="C8" s="208" t="str">
        <f aca="false">IF(COUNTIFS(Project_Forecast!$B$2:$B$393,$A8,Project_Forecast!$A$2:$A$393,Controls!$B$7)=0,"",SUM(MM_Income!$P$5:$P$204))</f>
        <v/>
      </c>
      <c r="D8" s="208" t="str">
        <f aca="false">IF(COUNTIFS(Project_Forecast!$B$2:$B$393,$A8,Project_Forecast!$A$2:$A$393,Controls!$B$7)=0,"",SUMIFS(Project_Forecast!$N$2:$N$393,Project_Forecast!$B$2:$B$393,$A8,Project_Forecast!$A$2:$A$393,Controls!$B$7))</f>
        <v/>
      </c>
      <c r="E8" s="208" t="str">
        <f aca="false">IF(COUNTIFS(Project_Forecast!$B$2:$B$393,$A8,Project_Forecast!$A$2:$A$393,Controls!$B$7)=0,"",SUMIFS(Project_Forecast!$AD$2:$AD$393,Project_Forecast!$B$2:$B$393,$A8,Project_Forecast!$A$2:$A$393,Controls!$B$7))</f>
        <v/>
      </c>
      <c r="F8" s="208" t="n">
        <f aca="false">SUM(MM_FixedCost!$F$5:$F$78)/4</f>
        <v>3443592.8825</v>
      </c>
      <c r="G8" s="208" t="str">
        <f aca="false">IF(COUNTIFS(Nominal_Activity!$B$2:$B$5000,$A8,Nominal_Activity!$A$2:$A$5000,Controls!$B$7)=0,"",SUMIFS(Nominal_Activity!$M$2:$M$5000,Nominal_Activity!$B$2:$B$5000,$A8,Nominal_Activity!$N$2:$N$5000,"&lt;&gt;Excluded — Project/Other",Nominal_Activity!$A$2:$A$5000,Controls!$B$7))</f>
        <v/>
      </c>
      <c r="H8" s="208" t="str">
        <f aca="false">IF(COUNTIFS(Trial_Balance!$B$2:$B$4995,$A8,Trial_Balance!$A$2:$A$4995,Controls!$B$7)=0,"",SUMIFS(Trial_Balance!$H$2:$H$4995,Trial_Balance!$B$2:$B$4995,$A8,Trial_Balance!$I$2:$I$4995,"Trade Debtors",Trial_Balance!$A$2:$A$4995,Controls!$B$7)+SUMIFS(Trial_Balance!$H$2:$H$4995,Trial_Balance!$B$2:$B$4995,$A8,Trial_Balance!$I$2:$I$4995,"Cash in Hand and at Bank",Trial_Balance!$A$2:$A$4995,Controls!$B$7)+SUMIFS(Trial_Balance!$H$2:$H$4995,Trial_Balance!$B$2:$B$4995,$A8,Trial_Balance!$I$2:$I$4995,"Other Receivables",Trial_Balance!$A$2:$A$4995,Controls!$B$7))</f>
        <v/>
      </c>
      <c r="I8" s="208" t="str">
        <f aca="false">IF(COUNTIFS(Trial_Balance!$B$2:$B$4995,$A8,Trial_Balance!$A$2:$A$4995,Controls!$B$7)=0,"",-SUMIFS(Trial_Balance!$H$2:$H$4995,Trial_Balance!$B$2:$B$4995,$A8,Trial_Balance!$I$2:$I$4995,"Trade Creditors",Trial_Balance!$A$2:$A$4995,Controls!$B$7)-SUMIFS(Trial_Balance!$H$2:$H$4995,Trial_Balance!$B$2:$B$4995,$A8,Trial_Balance!$I$2:$I$4995,"Other Creditors",Trial_Balance!$A$2:$A$4995,Controls!$B$7))</f>
        <v/>
      </c>
      <c r="J8" s="208" t="str">
        <f aca="false">IF(OR(H8="",I8=""),"",H8-I8)</f>
        <v/>
      </c>
      <c r="K8" s="208" t="str">
        <f aca="false">IF(COUNTIFS(Trial_Balance!$B$2:$B$4995,$A8,Trial_Balance!$A$2:$A$4995,Controls!$B$7)=0,"",IF(ABS(SUMIFS(Trial_Balance!$H$2:$H$4995,Trial_Balance!$B$2:$B$4995,$A8,Trial_Balance!$A$2:$A$4995,Controls!$B$7))&lt;=1,0,SUMIFS(Trial_Balance!$H$2:$H$4995,Trial_Balance!$B$2:$B$4995,$A8,Trial_Balance!$A$2:$A$4995,Controls!$B$7)))</f>
        <v/>
      </c>
      <c r="L8" s="1" t="str">
        <f aca="false">IF(COUNTIFS(Project_Forecast!$B$2:$B$393,$A8,Project_Forecast!$A$2:$A$393,Controls!$B$7)=0,"NOT LOADED",IF(COUNTIFS(Project_Forecast!$B$2:$B$393,$A8,Project_Forecast!$AI$2:$AI$393,"REVIEW")&gt;0,"REVIEW","READY"))</f>
        <v>NOT LOADED</v>
      </c>
    </row>
    <row r="9" customFormat="false" ht="14.9" hidden="false" customHeight="false" outlineLevel="0" collapsed="false">
      <c r="A9" s="1" t="s">
        <v>95</v>
      </c>
      <c r="B9" s="207" t="n">
        <v>46387</v>
      </c>
      <c r="C9" s="208" t="str">
        <f aca="false">IF(COUNTIFS(Project_Forecast!$B$2:$B$393,$A9,Project_Forecast!$A$2:$A$393,Controls!$B$7)=0,"",SUM(MM_Income!$P$5:$P$204))</f>
        <v/>
      </c>
      <c r="D9" s="208" t="str">
        <f aca="false">IF(COUNTIFS(Project_Forecast!$B$2:$B$393,$A9,Project_Forecast!$A$2:$A$393,Controls!$B$7)=0,"",SUMIFS(Project_Forecast!$N$2:$N$393,Project_Forecast!$B$2:$B$393,$A9,Project_Forecast!$A$2:$A$393,Controls!$B$7))</f>
        <v/>
      </c>
      <c r="E9" s="208" t="str">
        <f aca="false">IF(COUNTIFS(Project_Forecast!$B$2:$B$393,$A9,Project_Forecast!$A$2:$A$393,Controls!$B$7)=0,"",SUMIFS(Project_Forecast!$AD$2:$AD$393,Project_Forecast!$B$2:$B$393,$A9,Project_Forecast!$A$2:$A$393,Controls!$B$7))</f>
        <v/>
      </c>
      <c r="F9" s="208" t="n">
        <f aca="false">SUM(MM_FixedCost!$F$5:$F$78)/4</f>
        <v>3443592.8825</v>
      </c>
      <c r="G9" s="208" t="str">
        <f aca="false">IF(COUNTIFS(Nominal_Activity!$B$2:$B$5000,$A9,Nominal_Activity!$A$2:$A$5000,Controls!$B$7)=0,"",SUMIFS(Nominal_Activity!$M$2:$M$5000,Nominal_Activity!$B$2:$B$5000,$A9,Nominal_Activity!$N$2:$N$5000,"&lt;&gt;Excluded — Project/Other",Nominal_Activity!$A$2:$A$5000,Controls!$B$7))</f>
        <v/>
      </c>
      <c r="H9" s="208" t="str">
        <f aca="false">IF(COUNTIFS(Trial_Balance!$B$2:$B$4995,$A9,Trial_Balance!$A$2:$A$4995,Controls!$B$7)=0,"",SUMIFS(Trial_Balance!$H$2:$H$4995,Trial_Balance!$B$2:$B$4995,$A9,Trial_Balance!$I$2:$I$4995,"Trade Debtors",Trial_Balance!$A$2:$A$4995,Controls!$B$7)+SUMIFS(Trial_Balance!$H$2:$H$4995,Trial_Balance!$B$2:$B$4995,$A9,Trial_Balance!$I$2:$I$4995,"Cash in Hand and at Bank",Trial_Balance!$A$2:$A$4995,Controls!$B$7)+SUMIFS(Trial_Balance!$H$2:$H$4995,Trial_Balance!$B$2:$B$4995,$A9,Trial_Balance!$I$2:$I$4995,"Other Receivables",Trial_Balance!$A$2:$A$4995,Controls!$B$7))</f>
        <v/>
      </c>
      <c r="I9" s="208" t="str">
        <f aca="false">IF(COUNTIFS(Trial_Balance!$B$2:$B$4995,$A9,Trial_Balance!$A$2:$A$4995,Controls!$B$7)=0,"",-SUMIFS(Trial_Balance!$H$2:$H$4995,Trial_Balance!$B$2:$B$4995,$A9,Trial_Balance!$I$2:$I$4995,"Trade Creditors",Trial_Balance!$A$2:$A$4995,Controls!$B$7)-SUMIFS(Trial_Balance!$H$2:$H$4995,Trial_Balance!$B$2:$B$4995,$A9,Trial_Balance!$I$2:$I$4995,"Other Creditors",Trial_Balance!$A$2:$A$4995,Controls!$B$7))</f>
        <v/>
      </c>
      <c r="J9" s="208" t="str">
        <f aca="false">IF(OR(H9="",I9=""),"",H9-I9)</f>
        <v/>
      </c>
      <c r="K9" s="208" t="str">
        <f aca="false">IF(COUNTIFS(Trial_Balance!$B$2:$B$4995,$A9,Trial_Balance!$A$2:$A$4995,Controls!$B$7)=0,"",IF(ABS(SUMIFS(Trial_Balance!$H$2:$H$4995,Trial_Balance!$B$2:$B$4995,$A9,Trial_Balance!$A$2:$A$4995,Controls!$B$7))&lt;=1,0,SUMIFS(Trial_Balance!$H$2:$H$4995,Trial_Balance!$B$2:$B$4995,$A9,Trial_Balance!$A$2:$A$4995,Controls!$B$7)))</f>
        <v/>
      </c>
      <c r="L9" s="1" t="str">
        <f aca="false">IF(COUNTIFS(Project_Forecast!$B$2:$B$393,$A9,Project_Forecast!$A$2:$A$393,Controls!$B$7)=0,"NOT LOADED",IF(COUNTIFS(Project_Forecast!$B$2:$B$393,$A9,Project_Forecast!$AI$2:$AI$393,"REVIEW")&gt;0,"REVIEW","READY"))</f>
        <v>NOT LOADED</v>
      </c>
    </row>
    <row r="12" customFormat="false" ht="13.5" hidden="false" customHeight="false" outlineLevel="0" collapsed="false">
      <c r="A12" s="206" t="s">
        <v>2126</v>
      </c>
      <c r="B12" s="206"/>
      <c r="C12" s="206"/>
      <c r="D12" s="206"/>
      <c r="F12" s="206" t="s">
        <v>2127</v>
      </c>
      <c r="G12" s="206"/>
    </row>
    <row r="13" customFormat="false" ht="13.5" hidden="false" customHeight="false" outlineLevel="0" collapsed="false">
      <c r="A13" s="209" t="s">
        <v>71</v>
      </c>
      <c r="B13" s="209" t="s">
        <v>2128</v>
      </c>
      <c r="C13" s="209" t="s">
        <v>2129</v>
      </c>
      <c r="D13" s="209" t="s">
        <v>10</v>
      </c>
      <c r="F13" s="209" t="s">
        <v>71</v>
      </c>
      <c r="G13" s="209" t="s">
        <v>262</v>
      </c>
    </row>
    <row r="14" customFormat="false" ht="13.5" hidden="false" customHeight="false" outlineLevel="0" collapsed="false">
      <c r="A14" s="1" t="str">
        <f aca="false">A6</f>
        <v>2026-Q1</v>
      </c>
      <c r="B14" s="208" t="str">
        <f aca="false">C6</f>
        <v/>
      </c>
      <c r="C14" s="208" t="str">
        <f aca="false">D6</f>
        <v/>
      </c>
      <c r="D14" s="208" t="str">
        <f aca="false">E6</f>
        <v/>
      </c>
      <c r="F14" s="1" t="str">
        <f aca="false">A6</f>
        <v>2026-Q1</v>
      </c>
      <c r="G14" s="208" t="str">
        <f aca="false">J6</f>
        <v/>
      </c>
    </row>
    <row r="15" customFormat="false" ht="13.5" hidden="false" customHeight="false" outlineLevel="0" collapsed="false">
      <c r="A15" s="1" t="str">
        <f aca="false">A7</f>
        <v>2026-Q2</v>
      </c>
      <c r="B15" s="208" t="n">
        <f aca="false">C7</f>
        <v>16502774.617</v>
      </c>
      <c r="C15" s="208" t="n">
        <f aca="false">D7</f>
        <v>15545817.517</v>
      </c>
      <c r="D15" s="208" t="n">
        <f aca="false">E7</f>
        <v>7459200.50445</v>
      </c>
      <c r="F15" s="1" t="str">
        <f aca="false">A7</f>
        <v>2026-Q2</v>
      </c>
      <c r="G15" s="208" t="n">
        <f aca="false">J7</f>
        <v>5711207.86</v>
      </c>
    </row>
    <row r="16" customFormat="false" ht="13.5" hidden="false" customHeight="false" outlineLevel="0" collapsed="false">
      <c r="A16" s="1" t="str">
        <f aca="false">A8</f>
        <v>2026-Q3</v>
      </c>
      <c r="B16" s="208" t="str">
        <f aca="false">C8</f>
        <v/>
      </c>
      <c r="C16" s="208" t="str">
        <f aca="false">D8</f>
        <v/>
      </c>
      <c r="D16" s="208" t="str">
        <f aca="false">E8</f>
        <v/>
      </c>
      <c r="F16" s="1" t="str">
        <f aca="false">A8</f>
        <v>2026-Q3</v>
      </c>
      <c r="G16" s="208" t="str">
        <f aca="false">J8</f>
        <v/>
      </c>
    </row>
    <row r="17" customFormat="false" ht="13.5" hidden="false" customHeight="false" outlineLevel="0" collapsed="false">
      <c r="A17" s="1" t="str">
        <f aca="false">A9</f>
        <v>2026-Q4</v>
      </c>
      <c r="B17" s="208" t="str">
        <f aca="false">C9</f>
        <v/>
      </c>
      <c r="C17" s="208" t="str">
        <f aca="false">D9</f>
        <v/>
      </c>
      <c r="D17" s="208" t="str">
        <f aca="false">E9</f>
        <v/>
      </c>
      <c r="F17" s="1" t="str">
        <f aca="false">A9</f>
        <v>2026-Q4</v>
      </c>
      <c r="G17" s="208" t="str">
        <f aca="false">J9</f>
        <v/>
      </c>
    </row>
  </sheetData>
  <mergeCells count="5">
    <mergeCell ref="A1:L1"/>
    <mergeCell ref="A2:L2"/>
    <mergeCell ref="A4:L4"/>
    <mergeCell ref="A12:D12"/>
    <mergeCell ref="F12:G12"/>
  </mergeCells>
  <conditionalFormatting sqref="L6:L9">
    <cfRule type="containsText" priority="2" operator="containsText" aboveAverage="0" equalAverage="0" bottom="0" percent="0" rank="0" text="OK" dxfId="11">
      <formula>NOT(ISERROR(SEARCH("OK",L6)))</formula>
    </cfRule>
    <cfRule type="containsText" priority="3" operator="containsText" aboveAverage="0" equalAverage="0" bottom="0" percent="0" rank="0" text="REVIEW" dxfId="12">
      <formula>NOT(ISERROR(SEARCH("REVIEW",L6)))</formula>
    </cfRule>
    <cfRule type="containsText" priority="4" operator="containsText" aboveAverage="0" equalAverage="0" bottom="0" percent="0" rank="0" text="NOT LOADED" dxfId="13">
      <formula>NOT(ISERROR(SEARCH("NOT LOADED",L6)))</formula>
    </cfRule>
    <cfRule type="containsText" priority="5" operator="containsText" aboveAverage="0" equalAverage="0" bottom="0" percent="0" rank="0" text="FAIL" dxfId="14">
      <formula>NOT(ISERROR(SEARCH("FAIL",L6)))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Z50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21" activeCellId="0" sqref="A2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9"/>
    <col collapsed="false" customWidth="true" hidden="false" outlineLevel="0" max="11" min="5" style="1" width="18"/>
    <col collapsed="false" customWidth="true" hidden="false" outlineLevel="0" max="12" min="12" style="1" width="20"/>
  </cols>
  <sheetData>
    <row r="1" customFormat="false" ht="30" hidden="false" customHeight="true" outlineLevel="0" collapsed="false">
      <c r="A1" s="210" t="str">
        <f aca="false">"Quarterly Management Report — "&amp;Controls!$B$8&amp;" — "&amp;Controls!$B$30</f>
        <v>Quarterly Management Report — PC Ghana — 2026-Q2</v>
      </c>
      <c r="B1" s="210"/>
      <c r="C1" s="210"/>
      <c r="D1" s="210"/>
      <c r="E1" s="210"/>
      <c r="F1" s="210"/>
      <c r="G1" s="210"/>
      <c r="H1" s="210"/>
      <c r="I1" s="211"/>
      <c r="J1" s="211"/>
      <c r="K1" s="211"/>
      <c r="L1" s="211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4.9" hidden="false" customHeight="false" outlineLevel="0" collapsed="false">
      <c r="A2" s="212" t="str">
        <f aca="false">"Integrated income, expenditure, forecast, project and balance-sheet report | Currency: "&amp;Controls!$B$9</f>
        <v>Integrated income, expenditure, forecast, project and balance-sheet report | Currency: GHS</v>
      </c>
      <c r="B2" s="212"/>
      <c r="C2" s="212"/>
      <c r="D2" s="212"/>
      <c r="E2" s="212"/>
      <c r="F2" s="212"/>
      <c r="G2" s="212"/>
      <c r="H2" s="212"/>
      <c r="I2" s="20"/>
      <c r="J2" s="20"/>
      <c r="K2" s="20"/>
      <c r="L2" s="20"/>
    </row>
    <row r="3" customFormat="false" ht="13.5" hidden="false" customHeight="false" outlineLevel="0" collapsed="false">
      <c r="A3" s="213" t="s">
        <v>2130</v>
      </c>
      <c r="B3" s="213"/>
      <c r="C3" s="213"/>
      <c r="D3" s="213"/>
      <c r="E3" s="213"/>
      <c r="F3" s="213"/>
      <c r="G3" s="213"/>
      <c r="H3" s="213"/>
      <c r="I3" s="20"/>
      <c r="J3" s="20" t="s">
        <v>2131</v>
      </c>
      <c r="K3" s="20" t="s">
        <v>2132</v>
      </c>
      <c r="L3" s="20" t="s">
        <v>2133</v>
      </c>
    </row>
    <row r="4" customFormat="false" ht="13.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 t="s">
        <v>782</v>
      </c>
      <c r="K4" s="214" t="n">
        <f aca="false">B6</f>
        <v>9794783.55054101</v>
      </c>
      <c r="L4" s="214" t="n">
        <f aca="false">C6</f>
        <v>15545817.517</v>
      </c>
    </row>
    <row r="5" customFormat="false" ht="13.5" hidden="false" customHeight="false" outlineLevel="0" collapsed="false">
      <c r="A5" s="20" t="s">
        <v>172</v>
      </c>
      <c r="B5" s="20" t="s">
        <v>2134</v>
      </c>
      <c r="C5" s="20" t="s">
        <v>2135</v>
      </c>
      <c r="D5" s="20" t="s">
        <v>2136</v>
      </c>
      <c r="E5" s="20" t="s">
        <v>2137</v>
      </c>
      <c r="F5" s="20" t="s">
        <v>2138</v>
      </c>
      <c r="G5" s="20" t="s">
        <v>2139</v>
      </c>
      <c r="H5" s="20" t="s">
        <v>103</v>
      </c>
      <c r="I5" s="20"/>
      <c r="J5" s="20" t="s">
        <v>1811</v>
      </c>
      <c r="K5" s="214" t="n">
        <f aca="false">B7</f>
        <v>3341189.81272417</v>
      </c>
      <c r="L5" s="214" t="n">
        <f aca="false">C7</f>
        <v>0</v>
      </c>
    </row>
    <row r="6" customFormat="false" ht="14.9" hidden="false" customHeight="false" outlineLevel="0" collapsed="false">
      <c r="A6" s="20" t="s">
        <v>782</v>
      </c>
      <c r="B6" s="214" t="n">
        <f aca="false">Controls!$B$15</f>
        <v>9794783.55054101</v>
      </c>
      <c r="C6" s="214" t="n">
        <f aca="false">Project_Output!$E$3</f>
        <v>15545817.517</v>
      </c>
      <c r="D6" s="214" t="n">
        <f aca="false">Project_Output!$H$3</f>
        <v>12020285.217</v>
      </c>
      <c r="E6" s="214" t="n">
        <f aca="false">Project_Output!$K$3</f>
        <v>7459200.50445</v>
      </c>
      <c r="F6" s="214" t="n">
        <f aca="false">C6-B6</f>
        <v>5751033.96645899</v>
      </c>
      <c r="G6" s="215" t="n">
        <f aca="false">IFERROR(E6/MAX(B6,C6),0)</f>
        <v>0.479820408048213</v>
      </c>
      <c r="H6" s="20" t="str">
        <f aca="false">IF(ABS(F6)&gt;=Controls!$B$12,"REVIEW","OK")</f>
        <v>REVIEW</v>
      </c>
      <c r="I6" s="20"/>
      <c r="J6" s="20" t="s">
        <v>294</v>
      </c>
      <c r="K6" s="214" t="n">
        <f aca="false">B9</f>
        <v>13774371.53</v>
      </c>
      <c r="L6" s="214" t="n">
        <f aca="false">C9</f>
        <v>13774371.53</v>
      </c>
    </row>
    <row r="7" customFormat="false" ht="14.9" hidden="false" customHeight="false" outlineLevel="0" collapsed="false">
      <c r="A7" s="20" t="s">
        <v>1811</v>
      </c>
      <c r="B7" s="214" t="n">
        <f aca="false">Controls!$B$16</f>
        <v>3341189.81272417</v>
      </c>
      <c r="C7" s="214" t="n">
        <f aca="false">Controls!$B$17</f>
        <v>0</v>
      </c>
      <c r="D7" s="214" t="n">
        <f aca="false">Controls!$B$18</f>
        <v>0</v>
      </c>
      <c r="E7" s="214" t="n">
        <f aca="false">Controls!$B$19</f>
        <v>0</v>
      </c>
      <c r="F7" s="214" t="n">
        <f aca="false">C7-B7</f>
        <v>-3341189.81272417</v>
      </c>
      <c r="G7" s="215" t="n">
        <f aca="false">IFERROR(E7/MAX(B7,C7),0)</f>
        <v>0</v>
      </c>
      <c r="H7" s="20" t="str">
        <f aca="false">IF(ABS(F7)&gt;=Controls!$B$12,"REVIEW","OK")</f>
        <v>REVIEW</v>
      </c>
      <c r="I7" s="20"/>
      <c r="J7" s="20" t="s">
        <v>168</v>
      </c>
      <c r="K7" s="214" t="n">
        <f aca="false">B12</f>
        <v>788485.98326518</v>
      </c>
      <c r="L7" s="214" t="n">
        <f aca="false">C12</f>
        <v>1771445.987</v>
      </c>
    </row>
    <row r="8" customFormat="false" ht="14.9" hidden="false" customHeight="false" outlineLevel="0" collapsed="false">
      <c r="A8" s="20" t="s">
        <v>2140</v>
      </c>
      <c r="B8" s="214" t="n">
        <f aca="false">SUM(B6:B7)</f>
        <v>13135973.3632652</v>
      </c>
      <c r="C8" s="214" t="n">
        <f aca="false">SUM(C6:C7)</f>
        <v>15545817.517</v>
      </c>
      <c r="D8" s="214" t="n">
        <f aca="false">SUM(D6:D7)</f>
        <v>12020285.217</v>
      </c>
      <c r="E8" s="214" t="n">
        <f aca="false">SUM(E6:E7)</f>
        <v>7459200.50445</v>
      </c>
      <c r="F8" s="214" t="n">
        <f aca="false">C8-B8</f>
        <v>2409844.15373482</v>
      </c>
      <c r="G8" s="215" t="n">
        <f aca="false">IFERROR(E8/MAX(B8,C8),0)</f>
        <v>0.479820408048213</v>
      </c>
      <c r="H8" s="20" t="str">
        <f aca="false">IF(ABS(F8)&gt;=Controls!$B$12,"REVIEW","OK")</f>
        <v>REVIEW</v>
      </c>
      <c r="I8" s="20"/>
      <c r="J8" s="20"/>
      <c r="K8" s="20"/>
      <c r="L8" s="20"/>
    </row>
    <row r="9" customFormat="false" ht="14.9" hidden="false" customHeight="false" outlineLevel="0" collapsed="false">
      <c r="A9" s="20" t="s">
        <v>294</v>
      </c>
      <c r="B9" s="214" t="n">
        <f aca="false">FixedCost_Output!$B$3</f>
        <v>13774371.53</v>
      </c>
      <c r="C9" s="214" t="n">
        <f aca="false">FixedCost_Output!$B$3</f>
        <v>13774371.53</v>
      </c>
      <c r="D9" s="214" t="n">
        <f aca="false">FixedCost_Output!$B$3</f>
        <v>13774371.53</v>
      </c>
      <c r="E9" s="214" t="n">
        <f aca="false">FixedCost_Output!$H$3</f>
        <v>5801713.57</v>
      </c>
      <c r="F9" s="214" t="n">
        <f aca="false">B9-C9</f>
        <v>0</v>
      </c>
      <c r="G9" s="215" t="n">
        <f aca="false">IFERROR(E9/B9,0)</f>
        <v>0.421196245314286</v>
      </c>
      <c r="H9" s="20" t="str">
        <f aca="false">IF(COUNTIF(FixedCost_Output!$K$12:$K$50,"REVIEW")&gt;0,"REVIEW","OK")</f>
        <v>REVIEW</v>
      </c>
      <c r="I9" s="20"/>
      <c r="J9" s="20"/>
      <c r="K9" s="20"/>
      <c r="L9" s="20"/>
    </row>
    <row r="10" customFormat="false" ht="14.9" hidden="false" customHeight="false" outlineLevel="0" collapsed="false">
      <c r="A10" s="20" t="s">
        <v>237</v>
      </c>
      <c r="B10" s="214" t="n">
        <f aca="false">Controls!$B$20</f>
        <v>1426884.15</v>
      </c>
      <c r="C10" s="214" t="n">
        <f aca="false">Controls!$B$21</f>
        <v>0</v>
      </c>
      <c r="D10" s="214" t="n">
        <f aca="false">Controls!$B$21</f>
        <v>0</v>
      </c>
      <c r="E10" s="214" t="n">
        <f aca="false">Controls!$B$22</f>
        <v>0</v>
      </c>
      <c r="F10" s="214" t="n">
        <f aca="false">C10-B10</f>
        <v>-1426884.15</v>
      </c>
      <c r="G10" s="215" t="n">
        <f aca="false">IFERROR(E10/B10,0)</f>
        <v>0</v>
      </c>
      <c r="H10" s="20" t="str">
        <f aca="false">IF(ABS(F10)&gt;=Controls!$B$12,"REVIEW","OK")</f>
        <v>REVIEW</v>
      </c>
      <c r="I10" s="20"/>
      <c r="J10" s="20"/>
      <c r="K10" s="20"/>
      <c r="L10" s="20"/>
    </row>
    <row r="11" customFormat="false" ht="14.9" hidden="false" customHeight="false" outlineLevel="0" collapsed="false">
      <c r="A11" s="20" t="s">
        <v>2141</v>
      </c>
      <c r="B11" s="214" t="n">
        <f aca="false">B9-B10</f>
        <v>12347487.38</v>
      </c>
      <c r="C11" s="214" t="n">
        <f aca="false">C9-C10</f>
        <v>13774371.53</v>
      </c>
      <c r="D11" s="214" t="n">
        <f aca="false">D9-D10</f>
        <v>13774371.53</v>
      </c>
      <c r="E11" s="214" t="n">
        <f aca="false">E9-E10</f>
        <v>5801713.57</v>
      </c>
      <c r="F11" s="214" t="n">
        <f aca="false">B11-C11</f>
        <v>-1426884.15</v>
      </c>
      <c r="G11" s="215" t="n">
        <f aca="false">IFERROR(E11/B11,0)</f>
        <v>0.46986997365937</v>
      </c>
      <c r="H11" s="20" t="str">
        <f aca="false">IF(C11&gt;B11,"REVIEW","OK")</f>
        <v>REVIEW</v>
      </c>
      <c r="I11" s="20"/>
      <c r="J11" s="20"/>
      <c r="K11" s="20"/>
      <c r="L11" s="20"/>
    </row>
    <row r="12" customFormat="false" ht="14.9" hidden="false" customHeight="false" outlineLevel="0" collapsed="false">
      <c r="A12" s="20" t="s">
        <v>2142</v>
      </c>
      <c r="B12" s="214" t="n">
        <f aca="false">B8-B11</f>
        <v>788485.98326518</v>
      </c>
      <c r="C12" s="214" t="n">
        <f aca="false">C8-C11</f>
        <v>1771445.987</v>
      </c>
      <c r="D12" s="214" t="n">
        <f aca="false">D8-D11</f>
        <v>-1754086.313</v>
      </c>
      <c r="E12" s="214" t="n">
        <f aca="false">E8-E11</f>
        <v>1657486.93445</v>
      </c>
      <c r="F12" s="214" t="n">
        <f aca="false">C12-B12</f>
        <v>982960.00373482</v>
      </c>
      <c r="G12" s="215" t="n">
        <f aca="false">IFERROR(E12/E8,0)</f>
        <v>0.222207049329372</v>
      </c>
      <c r="H12" s="20" t="str">
        <f aca="false">IF(E12&lt;0,"REVIEW","OK")</f>
        <v>OK</v>
      </c>
      <c r="I12" s="20"/>
      <c r="J12" s="20"/>
      <c r="K12" s="20"/>
      <c r="L12" s="20"/>
    </row>
    <row r="13" customFormat="false" ht="14.9" hidden="false" customHeight="false" outlineLevel="0" collapsed="false">
      <c r="A13" s="20" t="s">
        <v>2143</v>
      </c>
      <c r="B13" s="215" t="n">
        <f aca="false">IFERROR(B12/B8,0)</f>
        <v>0.0600249377385452</v>
      </c>
      <c r="C13" s="215" t="n">
        <f aca="false">IFERROR(C12/C8,0)</f>
        <v>0.113950005206407</v>
      </c>
      <c r="D13" s="215" t="n">
        <f aca="false">IFERROR(D12/D8,0)</f>
        <v>-0.145927179042244</v>
      </c>
      <c r="E13" s="215" t="n">
        <f aca="false">IFERROR(E12/E8,0)</f>
        <v>0.222207049329372</v>
      </c>
      <c r="F13" s="215" t="n">
        <f aca="false">C13-B13</f>
        <v>0.0539250674678616</v>
      </c>
      <c r="G13" s="215" t="n">
        <f aca="false">E13</f>
        <v>0.222207049329372</v>
      </c>
      <c r="H13" s="20" t="str">
        <f aca="false">IF(E13&lt;0.05,"REVIEW","OK")</f>
        <v>OK</v>
      </c>
      <c r="I13" s="20"/>
      <c r="J13" s="20"/>
      <c r="K13" s="20"/>
      <c r="L13" s="20"/>
    </row>
    <row r="14" customFormat="false" ht="13.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customFormat="false" ht="13.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customFormat="false" ht="13.5" hidden="false" customHeight="false" outlineLevel="0" collapsed="false">
      <c r="A16" s="54" t="s">
        <v>2144</v>
      </c>
      <c r="B16" s="54"/>
      <c r="C16" s="54"/>
      <c r="D16" s="54"/>
      <c r="E16" s="54"/>
      <c r="F16" s="54"/>
      <c r="G16" s="54"/>
      <c r="H16" s="54"/>
      <c r="I16" s="20"/>
      <c r="J16" s="20"/>
      <c r="K16" s="20"/>
      <c r="L16" s="20"/>
    </row>
    <row r="17" customFormat="false" ht="13.5" hidden="false" customHeight="false" outlineLevel="0" collapsed="false">
      <c r="A17" s="21" t="s">
        <v>172</v>
      </c>
      <c r="B17" s="21" t="s">
        <v>34</v>
      </c>
      <c r="C17" s="21" t="s">
        <v>2145</v>
      </c>
      <c r="D17" s="21" t="s">
        <v>103</v>
      </c>
      <c r="E17" s="20"/>
      <c r="F17" s="20"/>
      <c r="G17" s="20"/>
      <c r="H17" s="20"/>
      <c r="I17" s="20"/>
      <c r="J17" s="20"/>
      <c r="K17" s="20"/>
      <c r="L17" s="20"/>
    </row>
    <row r="18" customFormat="false" ht="14.9" hidden="false" customHeight="false" outlineLevel="0" collapsed="false">
      <c r="A18" s="20" t="s">
        <v>2146</v>
      </c>
      <c r="B18" s="214" t="n">
        <f aca="false">IFERROR(--INDEX(Balance_Sheet!$B$13:$E$13,1,VALUE(MID(Controls!$B$6,2,1))),0)</f>
        <v>8953156.48</v>
      </c>
      <c r="C18" s="20"/>
      <c r="D18" s="20" t="str">
        <f aca="false">"OK"</f>
        <v>OK</v>
      </c>
      <c r="E18" s="20"/>
      <c r="F18" s="20"/>
      <c r="G18" s="20"/>
      <c r="H18" s="20"/>
      <c r="I18" s="20"/>
      <c r="J18" s="20"/>
      <c r="K18" s="20"/>
      <c r="L18" s="20"/>
    </row>
    <row r="19" customFormat="false" ht="14.9" hidden="false" customHeight="false" outlineLevel="0" collapsed="false">
      <c r="A19" s="20" t="s">
        <v>2147</v>
      </c>
      <c r="B19" s="214" t="n">
        <f aca="false">IFERROR(--INDEX(Balance_Sheet!$B$18:$E$18,1,VALUE(MID(Controls!$B$6,2,1))),0)</f>
        <v>-3241948.62</v>
      </c>
      <c r="C19" s="20"/>
      <c r="D19" s="20" t="str">
        <f aca="false">"OK"</f>
        <v>OK</v>
      </c>
      <c r="E19" s="20"/>
      <c r="F19" s="20"/>
      <c r="G19" s="20"/>
      <c r="H19" s="20"/>
      <c r="I19" s="20"/>
      <c r="J19" s="20"/>
      <c r="K19" s="20"/>
      <c r="L19" s="20"/>
    </row>
    <row r="20" customFormat="false" ht="14.9" hidden="false" customHeight="false" outlineLevel="0" collapsed="false">
      <c r="A20" s="20" t="s">
        <v>262</v>
      </c>
      <c r="B20" s="214" t="n">
        <f aca="false">IFERROR(--INDEX(Balance_Sheet!$C$34:$F$34,1,VALUE(MID(Controls!$B$6,2,1))),0)</f>
        <v>5711207.86</v>
      </c>
      <c r="C20" s="20" t="n">
        <v>0</v>
      </c>
      <c r="D20" s="20" t="str">
        <f aca="false">IF(B20&gt;=C20,"OK","REVIEW")</f>
        <v>OK</v>
      </c>
      <c r="E20" s="20"/>
      <c r="F20" s="20"/>
      <c r="G20" s="20"/>
      <c r="H20" s="20"/>
      <c r="I20" s="20"/>
      <c r="J20" s="20"/>
      <c r="K20" s="20"/>
      <c r="L20" s="20"/>
    </row>
    <row r="21" customFormat="false" ht="14.9" hidden="false" customHeight="false" outlineLevel="0" collapsed="false">
      <c r="A21" s="20" t="s">
        <v>261</v>
      </c>
      <c r="B21" s="216" t="n">
        <f aca="false">IFERROR(--INDEX(Balance_Sheet!$C$33:$F$33,1,VALUE(MID(Controls!$B$6,2,1))),0)</f>
        <v>2.76165896793269</v>
      </c>
      <c r="C21" s="20" t="n">
        <v>1</v>
      </c>
      <c r="D21" s="20" t="str">
        <f aca="false">IF(B21&gt;=C21,"OK","REVIEW")</f>
        <v>OK</v>
      </c>
      <c r="E21" s="20"/>
      <c r="F21" s="20"/>
      <c r="G21" s="20"/>
      <c r="H21" s="20"/>
      <c r="I21" s="20"/>
      <c r="J21" s="20"/>
      <c r="K21" s="20"/>
      <c r="L21" s="20"/>
    </row>
    <row r="22" customFormat="false" ht="14.9" hidden="false" customHeight="false" outlineLevel="0" collapsed="false">
      <c r="A22" s="20" t="s">
        <v>263</v>
      </c>
      <c r="B22" s="216" t="n">
        <f aca="false">IFERROR(--INDEX(Balance_Sheet!$C$36:$F$36,1,VALUE(MID(Controls!$B$6,2,1))),0)</f>
        <v>5.77377388356544</v>
      </c>
      <c r="C22" s="20" t="n">
        <v>3</v>
      </c>
      <c r="D22" s="20" t="str">
        <f aca="false">IF(B22&gt;=C22,"OK","REVIEW")</f>
        <v>OK</v>
      </c>
      <c r="E22" s="20"/>
      <c r="F22" s="20"/>
      <c r="G22" s="20"/>
      <c r="H22" s="20"/>
      <c r="I22" s="20"/>
      <c r="J22" s="20"/>
      <c r="K22" s="20"/>
      <c r="L22" s="20"/>
    </row>
    <row r="23" customFormat="false" ht="13.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customFormat="false" ht="13.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3.5" hidden="false" customHeight="false" outlineLevel="0" collapsed="false">
      <c r="A25" s="54" t="s">
        <v>2148</v>
      </c>
      <c r="B25" s="54"/>
      <c r="C25" s="54"/>
      <c r="D25" s="54"/>
      <c r="E25" s="54"/>
      <c r="F25" s="54"/>
      <c r="G25" s="54"/>
      <c r="H25" s="54"/>
      <c r="I25" s="20"/>
      <c r="J25" s="20"/>
      <c r="K25" s="20"/>
      <c r="L25" s="20"/>
    </row>
    <row r="26" customFormat="false" ht="14.9" hidden="false" customHeight="false" outlineLevel="0" collapsed="false">
      <c r="A26" s="217" t="s">
        <v>2149</v>
      </c>
      <c r="B26" s="217" t="s">
        <v>2150</v>
      </c>
      <c r="C26" s="217" t="s">
        <v>2151</v>
      </c>
      <c r="D26" s="217" t="s">
        <v>2152</v>
      </c>
      <c r="E26" s="217" t="s">
        <v>2153</v>
      </c>
      <c r="F26" s="217" t="s">
        <v>773</v>
      </c>
      <c r="G26" s="217" t="s">
        <v>2154</v>
      </c>
      <c r="H26" s="217" t="s">
        <v>103</v>
      </c>
      <c r="I26" s="20"/>
      <c r="J26" s="20"/>
      <c r="K26" s="20"/>
      <c r="L26" s="20"/>
    </row>
    <row r="27" customFormat="false" ht="56.25" hidden="false" customHeight="true" outlineLevel="0" collapsed="false">
      <c r="A27" s="218" t="s">
        <v>2155</v>
      </c>
      <c r="B27" s="218" t="s">
        <v>2156</v>
      </c>
      <c r="C27" s="218" t="s">
        <v>2157</v>
      </c>
      <c r="D27" s="218" t="s">
        <v>2158</v>
      </c>
      <c r="E27" s="218" t="s">
        <v>2159</v>
      </c>
      <c r="F27" s="218" t="s">
        <v>2160</v>
      </c>
      <c r="G27" s="219"/>
      <c r="H27" s="220" t="s">
        <v>781</v>
      </c>
      <c r="I27" s="20"/>
      <c r="J27" s="20"/>
      <c r="K27" s="20"/>
      <c r="L27" s="20"/>
    </row>
    <row r="28" customFormat="false" ht="56.25" hidden="false" customHeight="true" outlineLevel="0" collapsed="false">
      <c r="A28" s="218" t="s">
        <v>2161</v>
      </c>
      <c r="B28" s="218" t="str">
        <f aca="false">"Actual fixed costs are "&amp;TEXT($E$9/$B$9,"0%")&amp;" of annual budget; "&amp;$H$9&amp;" status."</f>
        <v>Actual fixed costs are 42% of annual budget; REVIEW status.</v>
      </c>
      <c r="C28" s="218" t="s">
        <v>2162</v>
      </c>
      <c r="D28" s="218" t="s">
        <v>2163</v>
      </c>
      <c r="E28" s="218" t="s">
        <v>2164</v>
      </c>
      <c r="F28" s="218" t="s">
        <v>779</v>
      </c>
      <c r="G28" s="219"/>
      <c r="H28" s="220" t="s">
        <v>781</v>
      </c>
      <c r="I28" s="20"/>
      <c r="J28" s="20"/>
      <c r="K28" s="20"/>
      <c r="L28" s="20"/>
    </row>
    <row r="29" customFormat="false" ht="42" hidden="false" customHeight="true" outlineLevel="0" collapsed="false">
      <c r="A29" s="218" t="s">
        <v>2165</v>
      </c>
      <c r="B29" s="218" t="str">
        <f aca="false">"Current ratio is "&amp;TEXT($B$21,"0.0x")&amp;" and core-cost cover is "&amp;TEXT($B$22,"0.0x")&amp;"."</f>
        <v>Current ratio is 2.8x and core-cost cover is 5.8x.</v>
      </c>
      <c r="C29" s="218" t="s">
        <v>2166</v>
      </c>
      <c r="D29" s="218" t="s">
        <v>2167</v>
      </c>
      <c r="E29" s="218" t="s">
        <v>2168</v>
      </c>
      <c r="F29" s="218" t="s">
        <v>106</v>
      </c>
      <c r="G29" s="219"/>
      <c r="H29" s="220" t="s">
        <v>781</v>
      </c>
      <c r="I29" s="20"/>
      <c r="J29" s="20"/>
      <c r="K29" s="20"/>
      <c r="L29" s="20"/>
    </row>
    <row r="30" customFormat="false" ht="70.5" hidden="false" customHeight="true" outlineLevel="0" collapsed="false">
      <c r="A30" s="218" t="s">
        <v>2169</v>
      </c>
      <c r="B30" s="218" t="str">
        <f aca="false">"Model validation: "&amp;Checks!$B$3&amp;"; publication: "&amp;Checks!$B$4&amp;"."</f>
        <v>Model validation: PASS WITH REVIEW; publication: PENDING.</v>
      </c>
      <c r="C30" s="218" t="s">
        <v>2170</v>
      </c>
      <c r="D30" s="218" t="s">
        <v>2171</v>
      </c>
      <c r="E30" s="218" t="s">
        <v>2172</v>
      </c>
      <c r="F30" s="218" t="s">
        <v>2173</v>
      </c>
      <c r="G30" s="219"/>
      <c r="H30" s="220" t="s">
        <v>781</v>
      </c>
      <c r="I30" s="20"/>
      <c r="J30" s="20"/>
      <c r="K30" s="20"/>
      <c r="L30" s="20"/>
    </row>
    <row r="31" customFormat="false" ht="13.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customFormat="false" ht="13.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customFormat="false" ht="13.5" hidden="false" customHeight="false" outlineLevel="0" collapsed="false">
      <c r="A33" s="54" t="s">
        <v>2174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customFormat="false" ht="13.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3.5" hidden="false" customHeight="false" outlineLevel="0" collapsed="false">
      <c r="A35" s="20" t="s">
        <v>3</v>
      </c>
      <c r="B35" s="20" t="s">
        <v>40</v>
      </c>
      <c r="C35" s="20" t="s">
        <v>172</v>
      </c>
      <c r="D35" s="20" t="s">
        <v>1970</v>
      </c>
      <c r="E35" s="20" t="s">
        <v>2175</v>
      </c>
      <c r="F35" s="20" t="s">
        <v>59</v>
      </c>
      <c r="G35" s="20" t="s">
        <v>132</v>
      </c>
      <c r="H35" s="20" t="s">
        <v>133</v>
      </c>
      <c r="I35" s="20" t="s">
        <v>2176</v>
      </c>
      <c r="J35" s="20" t="s">
        <v>2177</v>
      </c>
      <c r="K35" s="20" t="s">
        <v>1977</v>
      </c>
      <c r="L35" s="20" t="s">
        <v>2178</v>
      </c>
    </row>
    <row r="36" customFormat="false" ht="13.5" hidden="false" customHeight="false" outlineLevel="0" collapsed="false">
      <c r="A36" s="20" t="s">
        <v>49</v>
      </c>
      <c r="B36" s="139" t="n">
        <f aca="false">Controls!$B$4</f>
        <v>46203</v>
      </c>
      <c r="C36" s="20" t="s">
        <v>2179</v>
      </c>
      <c r="D36" s="20" t="s">
        <v>2180</v>
      </c>
      <c r="E36" s="214" t="n">
        <f aca="false">B6</f>
        <v>9794783.55054101</v>
      </c>
      <c r="F36" s="20" t="s">
        <v>58</v>
      </c>
      <c r="G36" s="221" t="n">
        <v>1</v>
      </c>
      <c r="H36" s="221" t="n">
        <v>1</v>
      </c>
      <c r="I36" s="20" t="s">
        <v>2181</v>
      </c>
      <c r="J36" s="214" t="n">
        <f aca="false">IF(I36="None",E36,E36*IF(I36="Closing",H36,G36))</f>
        <v>9794783.55054101</v>
      </c>
      <c r="K36" s="20" t="str">
        <f aca="false">Controls!$B$23</f>
        <v>Draft</v>
      </c>
      <c r="L36" s="20" t="s">
        <v>2011</v>
      </c>
    </row>
    <row r="37" customFormat="false" ht="13.5" hidden="false" customHeight="false" outlineLevel="0" collapsed="false">
      <c r="A37" s="20" t="s">
        <v>49</v>
      </c>
      <c r="B37" s="139" t="n">
        <f aca="false">Controls!$B$4</f>
        <v>46203</v>
      </c>
      <c r="C37" s="20" t="s">
        <v>2182</v>
      </c>
      <c r="D37" s="20" t="s">
        <v>2180</v>
      </c>
      <c r="E37" s="214" t="n">
        <f aca="false">C6</f>
        <v>15545817.517</v>
      </c>
      <c r="F37" s="20" t="s">
        <v>58</v>
      </c>
      <c r="G37" s="221" t="n">
        <v>1</v>
      </c>
      <c r="H37" s="221" t="n">
        <v>1</v>
      </c>
      <c r="I37" s="20" t="s">
        <v>2181</v>
      </c>
      <c r="J37" s="214" t="n">
        <f aca="false">IF(I37="None",E37,E37*IF(I37="Closing",H37,G37))</f>
        <v>15545817.517</v>
      </c>
      <c r="K37" s="20" t="str">
        <f aca="false">Controls!$B$23</f>
        <v>Draft</v>
      </c>
      <c r="L37" s="20" t="s">
        <v>2011</v>
      </c>
    </row>
    <row r="38" customFormat="false" ht="13.5" hidden="false" customHeight="false" outlineLevel="0" collapsed="false">
      <c r="A38" s="20" t="s">
        <v>49</v>
      </c>
      <c r="B38" s="139" t="n">
        <f aca="false">Controls!$B$4</f>
        <v>46203</v>
      </c>
      <c r="C38" s="20" t="s">
        <v>2183</v>
      </c>
      <c r="D38" s="20" t="s">
        <v>2180</v>
      </c>
      <c r="E38" s="214" t="n">
        <f aca="false">D6</f>
        <v>12020285.217</v>
      </c>
      <c r="F38" s="20" t="s">
        <v>58</v>
      </c>
      <c r="G38" s="221" t="n">
        <v>1</v>
      </c>
      <c r="H38" s="221" t="n">
        <v>1</v>
      </c>
      <c r="I38" s="20" t="s">
        <v>2181</v>
      </c>
      <c r="J38" s="214" t="n">
        <f aca="false">IF(I38="None",E38,E38*IF(I38="Closing",H38,G38))</f>
        <v>12020285.217</v>
      </c>
      <c r="K38" s="20" t="str">
        <f aca="false">Controls!$B$23</f>
        <v>Draft</v>
      </c>
      <c r="L38" s="20" t="s">
        <v>2011</v>
      </c>
    </row>
    <row r="39" customFormat="false" ht="13.5" hidden="false" customHeight="false" outlineLevel="0" collapsed="false">
      <c r="A39" s="20" t="s">
        <v>49</v>
      </c>
      <c r="B39" s="139" t="n">
        <f aca="false">Controls!$B$4</f>
        <v>46203</v>
      </c>
      <c r="C39" s="20" t="s">
        <v>2184</v>
      </c>
      <c r="D39" s="20" t="s">
        <v>2180</v>
      </c>
      <c r="E39" s="214" t="n">
        <f aca="false">E6</f>
        <v>7459200.50445</v>
      </c>
      <c r="F39" s="20" t="s">
        <v>58</v>
      </c>
      <c r="G39" s="221" t="n">
        <v>1</v>
      </c>
      <c r="H39" s="221" t="n">
        <v>1</v>
      </c>
      <c r="I39" s="20" t="s">
        <v>2181</v>
      </c>
      <c r="J39" s="214" t="n">
        <f aca="false">IF(I39="None",E39,E39*IF(I39="Closing",H39,G39))</f>
        <v>7459200.50445</v>
      </c>
      <c r="K39" s="20" t="str">
        <f aca="false">Controls!$B$23</f>
        <v>Draft</v>
      </c>
      <c r="L39" s="20" t="s">
        <v>2011</v>
      </c>
    </row>
    <row r="40" customFormat="false" ht="13.5" hidden="false" customHeight="false" outlineLevel="0" collapsed="false">
      <c r="A40" s="20" t="s">
        <v>49</v>
      </c>
      <c r="B40" s="139" t="n">
        <f aca="false">Controls!$B$4</f>
        <v>46203</v>
      </c>
      <c r="C40" s="20" t="s">
        <v>2185</v>
      </c>
      <c r="D40" s="20" t="s">
        <v>2186</v>
      </c>
      <c r="E40" s="214" t="n">
        <f aca="false">B7</f>
        <v>3341189.81272417</v>
      </c>
      <c r="F40" s="20" t="s">
        <v>58</v>
      </c>
      <c r="G40" s="221" t="n">
        <v>1</v>
      </c>
      <c r="H40" s="221" t="n">
        <v>1</v>
      </c>
      <c r="I40" s="20" t="s">
        <v>2181</v>
      </c>
      <c r="J40" s="214" t="n">
        <f aca="false">IF(I40="None",E40,E40*IF(I40="Closing",H40,G40))</f>
        <v>3341189.81272417</v>
      </c>
      <c r="K40" s="20" t="str">
        <f aca="false">Controls!$B$23</f>
        <v>Draft</v>
      </c>
      <c r="L40" s="20" t="s">
        <v>2011</v>
      </c>
    </row>
    <row r="41" customFormat="false" ht="13.5" hidden="false" customHeight="false" outlineLevel="0" collapsed="false">
      <c r="A41" s="20" t="s">
        <v>49</v>
      </c>
      <c r="B41" s="139" t="n">
        <f aca="false">Controls!$B$4</f>
        <v>46203</v>
      </c>
      <c r="C41" s="20" t="s">
        <v>2187</v>
      </c>
      <c r="D41" s="20" t="s">
        <v>2186</v>
      </c>
      <c r="E41" s="214" t="n">
        <f aca="false">C7</f>
        <v>0</v>
      </c>
      <c r="F41" s="20" t="s">
        <v>58</v>
      </c>
      <c r="G41" s="221" t="n">
        <v>1</v>
      </c>
      <c r="H41" s="221" t="n">
        <v>1</v>
      </c>
      <c r="I41" s="20" t="s">
        <v>2181</v>
      </c>
      <c r="J41" s="214" t="n">
        <f aca="false">IF(I41="None",E41,E41*IF(I41="Closing",H41,G41))</f>
        <v>0</v>
      </c>
      <c r="K41" s="20" t="str">
        <f aca="false">Controls!$B$23</f>
        <v>Draft</v>
      </c>
      <c r="L41" s="20" t="s">
        <v>2011</v>
      </c>
    </row>
    <row r="42" customFormat="false" ht="13.5" hidden="false" customHeight="false" outlineLevel="0" collapsed="false">
      <c r="A42" s="20" t="s">
        <v>49</v>
      </c>
      <c r="B42" s="139" t="n">
        <f aca="false">Controls!$B$4</f>
        <v>46203</v>
      </c>
      <c r="C42" s="20" t="s">
        <v>2140</v>
      </c>
      <c r="D42" s="20" t="s">
        <v>2188</v>
      </c>
      <c r="E42" s="214" t="n">
        <f aca="false">C8</f>
        <v>15545817.517</v>
      </c>
      <c r="F42" s="20" t="s">
        <v>58</v>
      </c>
      <c r="G42" s="221" t="n">
        <v>1</v>
      </c>
      <c r="H42" s="221" t="n">
        <v>1</v>
      </c>
      <c r="I42" s="20" t="s">
        <v>2181</v>
      </c>
      <c r="J42" s="214" t="n">
        <f aca="false">IF(I42="None",E42,E42*IF(I42="Closing",H42,G42))</f>
        <v>15545817.517</v>
      </c>
      <c r="K42" s="20" t="str">
        <f aca="false">Controls!$B$23</f>
        <v>Draft</v>
      </c>
      <c r="L42" s="20" t="s">
        <v>2011</v>
      </c>
    </row>
    <row r="43" customFormat="false" ht="13.5" hidden="false" customHeight="false" outlineLevel="0" collapsed="false">
      <c r="A43" s="20" t="s">
        <v>49</v>
      </c>
      <c r="B43" s="139" t="n">
        <f aca="false">Controls!$B$4</f>
        <v>46203</v>
      </c>
      <c r="C43" s="20" t="s">
        <v>2189</v>
      </c>
      <c r="D43" s="20" t="s">
        <v>294</v>
      </c>
      <c r="E43" s="214" t="n">
        <f aca="false">B9</f>
        <v>13774371.53</v>
      </c>
      <c r="F43" s="20" t="s">
        <v>58</v>
      </c>
      <c r="G43" s="221" t="n">
        <v>1</v>
      </c>
      <c r="H43" s="221" t="n">
        <v>1</v>
      </c>
      <c r="I43" s="20" t="s">
        <v>2181</v>
      </c>
      <c r="J43" s="214" t="n">
        <f aca="false">IF(I43="None",E43,E43*IF(I43="Closing",H43,G43))</f>
        <v>13774371.53</v>
      </c>
      <c r="K43" s="20" t="str">
        <f aca="false">Controls!$B$23</f>
        <v>Draft</v>
      </c>
      <c r="L43" s="20" t="s">
        <v>2011</v>
      </c>
    </row>
    <row r="44" customFormat="false" ht="13.5" hidden="false" customHeight="false" outlineLevel="0" collapsed="false">
      <c r="A44" s="20" t="s">
        <v>49</v>
      </c>
      <c r="B44" s="139" t="n">
        <f aca="false">Controls!$B$4</f>
        <v>46203</v>
      </c>
      <c r="C44" s="20" t="s">
        <v>2190</v>
      </c>
      <c r="D44" s="20" t="s">
        <v>294</v>
      </c>
      <c r="E44" s="214" t="n">
        <f aca="false">E9</f>
        <v>5801713.57</v>
      </c>
      <c r="F44" s="20" t="s">
        <v>58</v>
      </c>
      <c r="G44" s="221" t="n">
        <v>1</v>
      </c>
      <c r="H44" s="221" t="n">
        <v>1</v>
      </c>
      <c r="I44" s="20" t="s">
        <v>2181</v>
      </c>
      <c r="J44" s="214" t="n">
        <f aca="false">IF(I44="None",E44,E44*IF(I44="Closing",H44,G44))</f>
        <v>5801713.57</v>
      </c>
      <c r="K44" s="20" t="str">
        <f aca="false">Controls!$B$23</f>
        <v>Draft</v>
      </c>
      <c r="L44" s="20" t="s">
        <v>2011</v>
      </c>
    </row>
    <row r="45" customFormat="false" ht="13.5" hidden="false" customHeight="false" outlineLevel="0" collapsed="false">
      <c r="A45" s="20" t="s">
        <v>49</v>
      </c>
      <c r="B45" s="139" t="n">
        <f aca="false">Controls!$B$4</f>
        <v>46203</v>
      </c>
      <c r="C45" s="20" t="s">
        <v>2191</v>
      </c>
      <c r="D45" s="20" t="s">
        <v>2188</v>
      </c>
      <c r="E45" s="214" t="n">
        <f aca="false">E12</f>
        <v>1657486.93445</v>
      </c>
      <c r="F45" s="20" t="s">
        <v>58</v>
      </c>
      <c r="G45" s="221" t="n">
        <v>1</v>
      </c>
      <c r="H45" s="221" t="n">
        <v>1</v>
      </c>
      <c r="I45" s="20" t="s">
        <v>2181</v>
      </c>
      <c r="J45" s="214" t="n">
        <f aca="false">IF(I45="None",E45,E45*IF(I45="Closing",H45,G45))</f>
        <v>1657486.93445</v>
      </c>
      <c r="K45" s="20" t="str">
        <f aca="false">Controls!$B$23</f>
        <v>Draft</v>
      </c>
      <c r="L45" s="20" t="s">
        <v>2011</v>
      </c>
    </row>
    <row r="46" customFormat="false" ht="13.5" hidden="false" customHeight="false" outlineLevel="0" collapsed="false">
      <c r="A46" s="20" t="s">
        <v>49</v>
      </c>
      <c r="B46" s="139" t="n">
        <f aca="false">Controls!$B$4</f>
        <v>46203</v>
      </c>
      <c r="C46" s="20" t="s">
        <v>2146</v>
      </c>
      <c r="D46" s="20" t="s">
        <v>2192</v>
      </c>
      <c r="E46" s="214" t="n">
        <f aca="false">B18</f>
        <v>8953156.48</v>
      </c>
      <c r="F46" s="20" t="s">
        <v>58</v>
      </c>
      <c r="G46" s="221" t="n">
        <v>1</v>
      </c>
      <c r="H46" s="221" t="n">
        <v>1</v>
      </c>
      <c r="I46" s="20" t="s">
        <v>479</v>
      </c>
      <c r="J46" s="214" t="n">
        <f aca="false">IF(I46="None",E46,E46*IF(I46="Closing",H46,G46))</f>
        <v>8953156.48</v>
      </c>
      <c r="K46" s="20" t="str">
        <f aca="false">Controls!$B$23</f>
        <v>Draft</v>
      </c>
      <c r="L46" s="20" t="s">
        <v>2011</v>
      </c>
    </row>
    <row r="47" customFormat="false" ht="13.5" hidden="false" customHeight="false" outlineLevel="0" collapsed="false">
      <c r="A47" s="20" t="s">
        <v>49</v>
      </c>
      <c r="B47" s="139" t="n">
        <f aca="false">Controls!$B$4</f>
        <v>46203</v>
      </c>
      <c r="C47" s="20" t="s">
        <v>2147</v>
      </c>
      <c r="D47" s="20" t="s">
        <v>2192</v>
      </c>
      <c r="E47" s="214" t="n">
        <f aca="false">B19</f>
        <v>-3241948.62</v>
      </c>
      <c r="F47" s="20" t="s">
        <v>58</v>
      </c>
      <c r="G47" s="221" t="n">
        <v>1</v>
      </c>
      <c r="H47" s="221" t="n">
        <v>1</v>
      </c>
      <c r="I47" s="20" t="s">
        <v>479</v>
      </c>
      <c r="J47" s="214" t="n">
        <f aca="false">IF(I47="None",E47,E47*IF(I47="Closing",H47,G47))</f>
        <v>-3241948.62</v>
      </c>
      <c r="K47" s="20" t="str">
        <f aca="false">Controls!$B$23</f>
        <v>Draft</v>
      </c>
      <c r="L47" s="20" t="s">
        <v>2011</v>
      </c>
    </row>
    <row r="48" customFormat="false" ht="13.5" hidden="false" customHeight="false" outlineLevel="0" collapsed="false">
      <c r="A48" s="20" t="s">
        <v>49</v>
      </c>
      <c r="B48" s="139" t="n">
        <f aca="false">Controls!$B$4</f>
        <v>46203</v>
      </c>
      <c r="C48" s="20" t="s">
        <v>262</v>
      </c>
      <c r="D48" s="20" t="s">
        <v>2192</v>
      </c>
      <c r="E48" s="214" t="n">
        <f aca="false">B20</f>
        <v>5711207.86</v>
      </c>
      <c r="F48" s="20" t="s">
        <v>58</v>
      </c>
      <c r="G48" s="221" t="n">
        <v>1</v>
      </c>
      <c r="H48" s="221" t="n">
        <v>1</v>
      </c>
      <c r="I48" s="20" t="s">
        <v>479</v>
      </c>
      <c r="J48" s="214" t="n">
        <f aca="false">IF(I48="None",E48,E48*IF(I48="Closing",H48,G48))</f>
        <v>5711207.86</v>
      </c>
      <c r="K48" s="20" t="str">
        <f aca="false">Controls!$B$23</f>
        <v>Draft</v>
      </c>
      <c r="L48" s="20" t="s">
        <v>2011</v>
      </c>
    </row>
    <row r="49" customFormat="false" ht="13.5" hidden="false" customHeight="false" outlineLevel="0" collapsed="false">
      <c r="A49" s="20" t="s">
        <v>49</v>
      </c>
      <c r="B49" s="139" t="n">
        <f aca="false">Controls!$B$4</f>
        <v>46203</v>
      </c>
      <c r="C49" s="20" t="s">
        <v>261</v>
      </c>
      <c r="D49" s="20" t="s">
        <v>2192</v>
      </c>
      <c r="E49" s="216" t="n">
        <f aca="false">B21</f>
        <v>2.76165896793269</v>
      </c>
      <c r="F49" s="20" t="s">
        <v>2193</v>
      </c>
      <c r="G49" s="221" t="n">
        <v>1</v>
      </c>
      <c r="H49" s="221" t="n">
        <v>1</v>
      </c>
      <c r="I49" s="20" t="s">
        <v>2194</v>
      </c>
      <c r="J49" s="216" t="n">
        <f aca="false">IF(I49="None",E49,E49*IF(I49="Closing",H49,G49))</f>
        <v>2.76165896793269</v>
      </c>
      <c r="K49" s="20" t="str">
        <f aca="false">Controls!$B$23</f>
        <v>Draft</v>
      </c>
      <c r="L49" s="20" t="s">
        <v>2011</v>
      </c>
    </row>
    <row r="50" customFormat="false" ht="13.5" hidden="false" customHeight="false" outlineLevel="0" collapsed="false">
      <c r="A50" s="20" t="s">
        <v>49</v>
      </c>
      <c r="B50" s="139" t="n">
        <f aca="false">Controls!$B$4</f>
        <v>46203</v>
      </c>
      <c r="C50" s="20" t="s">
        <v>2195</v>
      </c>
      <c r="D50" s="20" t="s">
        <v>2192</v>
      </c>
      <c r="E50" s="216" t="n">
        <f aca="false">B22</f>
        <v>5.77377388356544</v>
      </c>
      <c r="F50" s="20" t="s">
        <v>2193</v>
      </c>
      <c r="G50" s="221" t="n">
        <v>1</v>
      </c>
      <c r="H50" s="221" t="n">
        <v>1</v>
      </c>
      <c r="I50" s="20" t="s">
        <v>2194</v>
      </c>
      <c r="J50" s="216" t="n">
        <f aca="false">IF(I50="None",E50,E50*IF(I50="Closing",H50,G50))</f>
        <v>5.77377388356544</v>
      </c>
      <c r="K50" s="20" t="str">
        <f aca="false">Controls!$B$23</f>
        <v>Draft</v>
      </c>
      <c r="L50" s="20" t="s">
        <v>2011</v>
      </c>
    </row>
  </sheetData>
  <mergeCells count="6">
    <mergeCell ref="A1:H1"/>
    <mergeCell ref="A2:H2"/>
    <mergeCell ref="A3:H3"/>
    <mergeCell ref="A16:H16"/>
    <mergeCell ref="A25:H25"/>
    <mergeCell ref="A33:L33"/>
  </mergeCells>
  <conditionalFormatting sqref="H6:H13">
    <cfRule type="containsText" priority="2" operator="containsText" aboveAverage="0" equalAverage="0" bottom="0" percent="0" rank="0" text="OK" dxfId="11">
      <formula>NOT(ISERROR(SEARCH("OK",H6)))</formula>
    </cfRule>
    <cfRule type="containsText" priority="3" operator="containsText" aboveAverage="0" equalAverage="0" bottom="0" percent="0" rank="0" text="REVIEW" dxfId="12">
      <formula>NOT(ISERROR(SEARCH("REVIEW",H6)))</formula>
    </cfRule>
    <cfRule type="containsText" priority="4" operator="containsText" aboveAverage="0" equalAverage="0" bottom="0" percent="0" rank="0" text="NOT LOADED" dxfId="13">
      <formula>NOT(ISERROR(SEARCH("NOT LOADED",H6)))</formula>
    </cfRule>
    <cfRule type="containsText" priority="5" operator="containsText" aboveAverage="0" equalAverage="0" bottom="0" percent="0" rank="0" text="FAIL" dxfId="14">
      <formula>NOT(ISERROR(SEARCH("FAIL",H6)))</formula>
    </cfRule>
  </conditionalFormatting>
  <conditionalFormatting sqref="D18:D22">
    <cfRule type="containsText" priority="6" operator="containsText" aboveAverage="0" equalAverage="0" bottom="0" percent="0" rank="0" text="OK" dxfId="11">
      <formula>NOT(ISERROR(SEARCH("OK",D18)))</formula>
    </cfRule>
    <cfRule type="containsText" priority="7" operator="containsText" aboveAverage="0" equalAverage="0" bottom="0" percent="0" rank="0" text="REVIEW" dxfId="12">
      <formula>NOT(ISERROR(SEARCH("REVIEW",D18)))</formula>
    </cfRule>
    <cfRule type="containsText" priority="8" operator="containsText" aboveAverage="0" equalAverage="0" bottom="0" percent="0" rank="0" text="NOT LOADED" dxfId="13">
      <formula>NOT(ISERROR(SEARCH("NOT LOADED",D18)))</formula>
    </cfRule>
    <cfRule type="containsText" priority="9" operator="containsText" aboveAverage="0" equalAverage="0" bottom="0" percent="0" rank="0" text="FAIL" dxfId="14">
      <formula>NOT(ISERROR(SEARCH("FAIL",D18)))</formula>
    </cfRule>
  </conditionalFormatting>
  <conditionalFormatting sqref="H27:H30">
    <cfRule type="containsText" priority="10" operator="containsText" aboveAverage="0" equalAverage="0" bottom="0" percent="0" rank="0" text="OK" dxfId="11">
      <formula>NOT(ISERROR(SEARCH("OK",H27)))</formula>
    </cfRule>
    <cfRule type="containsText" priority="11" operator="containsText" aboveAverage="0" equalAverage="0" bottom="0" percent="0" rank="0" text="REVIEW" dxfId="12">
      <formula>NOT(ISERROR(SEARCH("REVIEW",H27)))</formula>
    </cfRule>
    <cfRule type="containsText" priority="12" operator="containsText" aboveAverage="0" equalAverage="0" bottom="0" percent="0" rank="0" text="NOT LOADED" dxfId="13">
      <formula>NOT(ISERROR(SEARCH("NOT LOADED",H27)))</formula>
    </cfRule>
    <cfRule type="containsText" priority="13" operator="containsText" aboveAverage="0" equalAverage="0" bottom="0" percent="0" rank="0" text="FAIL" dxfId="14">
      <formula>NOT(ISERROR(SEARCH("FAIL",H27)))</formula>
    </cfRule>
  </conditionalFormatting>
  <dataValidations count="1">
    <dataValidation allowBlank="false" errorStyle="stop" operator="between" showDropDown="false" showErrorMessage="false" showInputMessage="false" sqref="H27:H30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Z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19"/>
    <col collapsed="false" customWidth="true" hidden="false" outlineLevel="0" max="7" min="7" style="1" width="18"/>
    <col collapsed="false" customWidth="true" hidden="false" outlineLevel="0" max="8" min="8" style="1" width="17"/>
    <col collapsed="false" customWidth="true" hidden="false" outlineLevel="0" max="9" min="9" style="1" width="20"/>
    <col collapsed="false" customWidth="true" hidden="false" outlineLevel="0" max="10" min="10" style="1" width="23"/>
    <col collapsed="false" customWidth="true" hidden="false" outlineLevel="0" max="11" min="11" style="1" width="3"/>
  </cols>
  <sheetData>
    <row r="1" customFormat="false" ht="30" hidden="false" customHeight="true" outlineLevel="0" collapsed="false">
      <c r="A1" s="210" t="str">
        <f aca="false">"Four-Entity QMR Consolidation — "&amp;Controls!$B$30&amp;" — Group Currency "&amp;Controls!$B$10</f>
        <v>Four-Entity QMR Consolidation — 2026-Q2 — Group Currency GHS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1"/>
      <c r="M1" s="211"/>
      <c r="N1" s="211"/>
      <c r="O1" s="211"/>
      <c r="P1" s="211"/>
      <c r="Q1" s="211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4.9" hidden="false" customHeight="false" outlineLevel="0" collapsed="false">
      <c r="A2" s="212" t="str">
        <f aca="false">"PC Ghana is populated for the selected period. Other entity rows remain controlled interfaces until validated source packs are loaded."</f>
        <v>PC Ghana is populated for the selected period. Other entity rows remain controlled interfaces until validated source packs are loaded.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0"/>
      <c r="M2" s="20"/>
      <c r="N2" s="20"/>
      <c r="O2" s="20"/>
      <c r="P2" s="20"/>
      <c r="Q2" s="20"/>
    </row>
    <row r="3" customFormat="false" ht="13.8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customFormat="false" ht="13.8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customFormat="false" ht="13.8" hidden="false" customHeight="false" outlineLevel="0" collapsed="false">
      <c r="A5" s="20" t="s">
        <v>129</v>
      </c>
      <c r="B5" s="20" t="s">
        <v>130</v>
      </c>
      <c r="C5" s="20" t="s">
        <v>131</v>
      </c>
      <c r="D5" s="20" t="s">
        <v>132</v>
      </c>
      <c r="E5" s="20" t="s">
        <v>133</v>
      </c>
      <c r="F5" s="20" t="s">
        <v>2196</v>
      </c>
      <c r="G5" s="20" t="s">
        <v>2197</v>
      </c>
      <c r="H5" s="20" t="s">
        <v>2198</v>
      </c>
      <c r="I5" s="20" t="s">
        <v>2199</v>
      </c>
      <c r="J5" s="20" t="s">
        <v>41</v>
      </c>
      <c r="K5" s="20"/>
      <c r="L5" s="20"/>
      <c r="M5" s="20"/>
      <c r="N5" s="20"/>
      <c r="O5" s="20"/>
      <c r="P5" s="20"/>
      <c r="Q5" s="20"/>
    </row>
    <row r="6" customFormat="false" ht="13.8" hidden="false" customHeight="false" outlineLevel="0" collapsed="false">
      <c r="A6" s="20" t="s">
        <v>49</v>
      </c>
      <c r="B6" s="20" t="s">
        <v>51</v>
      </c>
      <c r="C6" s="20" t="s">
        <v>58</v>
      </c>
      <c r="D6" s="222" t="n">
        <v>1</v>
      </c>
      <c r="E6" s="222" t="n">
        <v>1</v>
      </c>
      <c r="F6" s="214" t="n">
        <f aca="false">SUMIFS(Entity_QMR!$J$36:$J$100,Entity_QMR!$C$36:$C$100,"Total Operating Income")</f>
        <v>15545817.517</v>
      </c>
      <c r="G6" s="214" t="n">
        <f aca="false">SUMIFS(Entity_QMR!$J$36:$J$100,Entity_QMR!$C$36:$C$100,"Fixed Cost Actual YTD")</f>
        <v>5801713.57</v>
      </c>
      <c r="H6" s="214" t="n">
        <f aca="false">SUMIFS(Entity_QMR!$J$36:$J$100,Entity_QMR!$C$36:$C$100,"Surplus before Tax")</f>
        <v>1657486.93445</v>
      </c>
      <c r="I6" s="214" t="n">
        <f aca="false">SUMIFS(Entity_QMR!$J$36:$J$100,Entity_QMR!$C$36:$C$100,"Working Capital")</f>
        <v>5711207.86</v>
      </c>
      <c r="J6" s="20" t="s">
        <v>2200</v>
      </c>
      <c r="K6" s="20"/>
      <c r="L6" s="20"/>
      <c r="M6" s="20"/>
      <c r="N6" s="20"/>
      <c r="O6" s="20"/>
      <c r="P6" s="20"/>
      <c r="Q6" s="20"/>
    </row>
    <row r="7" customFormat="false" ht="13.8" hidden="false" customHeight="false" outlineLevel="0" collapsed="false">
      <c r="A7" s="20" t="s">
        <v>139</v>
      </c>
      <c r="B7" s="20" t="s">
        <v>140</v>
      </c>
      <c r="C7" s="20" t="s">
        <v>141</v>
      </c>
      <c r="D7" s="222"/>
      <c r="E7" s="222"/>
      <c r="F7" s="214"/>
      <c r="G7" s="214"/>
      <c r="H7" s="214"/>
      <c r="I7" s="214"/>
      <c r="J7" s="20" t="s">
        <v>142</v>
      </c>
      <c r="K7" s="20"/>
      <c r="L7" s="20"/>
      <c r="M7" s="20"/>
      <c r="N7" s="20"/>
      <c r="O7" s="20"/>
      <c r="P7" s="20"/>
      <c r="Q7" s="20"/>
    </row>
    <row r="8" customFormat="false" ht="13.8" hidden="false" customHeight="false" outlineLevel="0" collapsed="false">
      <c r="A8" s="20" t="s">
        <v>144</v>
      </c>
      <c r="B8" s="20" t="s">
        <v>145</v>
      </c>
      <c r="C8" s="20" t="s">
        <v>141</v>
      </c>
      <c r="D8" s="222"/>
      <c r="E8" s="222"/>
      <c r="F8" s="214"/>
      <c r="G8" s="214"/>
      <c r="H8" s="214"/>
      <c r="I8" s="214"/>
      <c r="J8" s="20" t="s">
        <v>142</v>
      </c>
      <c r="K8" s="20"/>
      <c r="L8" s="20"/>
      <c r="M8" s="20"/>
      <c r="N8" s="20"/>
      <c r="O8" s="20"/>
      <c r="P8" s="20"/>
      <c r="Q8" s="20"/>
    </row>
    <row r="9" customFormat="false" ht="13.8" hidden="false" customHeight="false" outlineLevel="0" collapsed="false">
      <c r="A9" s="20" t="s">
        <v>147</v>
      </c>
      <c r="B9" s="20" t="s">
        <v>148</v>
      </c>
      <c r="C9" s="20" t="s">
        <v>141</v>
      </c>
      <c r="D9" s="222"/>
      <c r="E9" s="222"/>
      <c r="F9" s="214"/>
      <c r="G9" s="214"/>
      <c r="H9" s="214"/>
      <c r="I9" s="214"/>
      <c r="J9" s="20" t="s">
        <v>142</v>
      </c>
      <c r="K9" s="20"/>
      <c r="L9" s="20"/>
      <c r="M9" s="20"/>
      <c r="N9" s="20"/>
      <c r="O9" s="20"/>
      <c r="P9" s="20"/>
      <c r="Q9" s="20"/>
    </row>
    <row r="10" customFormat="false" ht="13.8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customFormat="false" ht="13.8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customFormat="false" ht="13.8" hidden="false" customHeight="false" outlineLevel="0" collapsed="false">
      <c r="A12" s="54" t="s">
        <v>2201</v>
      </c>
      <c r="B12" s="54"/>
      <c r="C12" s="54"/>
      <c r="D12" s="54"/>
      <c r="E12" s="54"/>
      <c r="F12" s="54"/>
      <c r="G12" s="54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customFormat="false" ht="13.8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customFormat="false" ht="13.8" hidden="false" customHeight="false" outlineLevel="0" collapsed="false">
      <c r="A14" s="20" t="s">
        <v>2202</v>
      </c>
      <c r="B14" s="20" t="s">
        <v>2203</v>
      </c>
      <c r="C14" s="20" t="s">
        <v>500</v>
      </c>
      <c r="D14" s="20" t="s">
        <v>501</v>
      </c>
      <c r="E14" s="20" t="s">
        <v>2204</v>
      </c>
      <c r="F14" s="20" t="s">
        <v>2205</v>
      </c>
      <c r="G14" s="20" t="s">
        <v>1977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customFormat="false" ht="13.8" hidden="false" customHeight="false" outlineLevel="0" collapsed="false">
      <c r="A15" s="29"/>
      <c r="B15" s="29"/>
      <c r="C15" s="29"/>
      <c r="D15" s="29"/>
      <c r="E15" s="223"/>
      <c r="F15" s="29"/>
      <c r="G15" s="32" t="s">
        <v>102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customFormat="false" ht="13.8" hidden="false" customHeight="false" outlineLevel="0" collapsed="false">
      <c r="A16" s="29"/>
      <c r="B16" s="29"/>
      <c r="C16" s="29"/>
      <c r="D16" s="29"/>
      <c r="E16" s="223"/>
      <c r="F16" s="29"/>
      <c r="G16" s="32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customFormat="false" ht="13.8" hidden="false" customHeight="false" outlineLevel="0" collapsed="false">
      <c r="A17" s="29"/>
      <c r="B17" s="29"/>
      <c r="C17" s="29"/>
      <c r="D17" s="29"/>
      <c r="E17" s="223"/>
      <c r="F17" s="29"/>
      <c r="G17" s="32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customFormat="false" ht="13.8" hidden="false" customHeight="false" outlineLevel="0" collapsed="false">
      <c r="A18" s="29"/>
      <c r="B18" s="29"/>
      <c r="C18" s="29"/>
      <c r="D18" s="29"/>
      <c r="E18" s="223"/>
      <c r="F18" s="29"/>
      <c r="G18" s="32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customFormat="false" ht="13.8" hidden="false" customHeight="false" outlineLevel="0" collapsed="false">
      <c r="A19" s="29"/>
      <c r="B19" s="29"/>
      <c r="C19" s="29"/>
      <c r="D19" s="29"/>
      <c r="E19" s="223"/>
      <c r="F19" s="29"/>
      <c r="G19" s="32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customFormat="false" ht="13.8" hidden="false" customHeight="false" outlineLevel="0" collapsed="false">
      <c r="A20" s="29"/>
      <c r="B20" s="29"/>
      <c r="C20" s="29"/>
      <c r="D20" s="29"/>
      <c r="E20" s="223"/>
      <c r="F20" s="29"/>
      <c r="G20" s="32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customFormat="false" ht="13.8" hidden="false" customHeight="false" outlineLevel="0" collapsed="false">
      <c r="A21" s="29"/>
      <c r="B21" s="29"/>
      <c r="C21" s="29"/>
      <c r="D21" s="29"/>
      <c r="E21" s="223"/>
      <c r="F21" s="29"/>
      <c r="G21" s="32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customFormat="false" ht="13.8" hidden="false" customHeight="false" outlineLevel="0" collapsed="false">
      <c r="A22" s="29"/>
      <c r="B22" s="29"/>
      <c r="C22" s="29"/>
      <c r="D22" s="29"/>
      <c r="E22" s="223"/>
      <c r="F22" s="29"/>
      <c r="G22" s="32"/>
      <c r="H22" s="20"/>
      <c r="I22" s="20"/>
      <c r="J22" s="20"/>
      <c r="K22" s="20"/>
      <c r="L22" s="20"/>
      <c r="M22" s="20" t="s">
        <v>3</v>
      </c>
      <c r="N22" s="20" t="s">
        <v>2206</v>
      </c>
      <c r="O22" s="20" t="s">
        <v>294</v>
      </c>
      <c r="P22" s="20" t="s">
        <v>168</v>
      </c>
      <c r="Q22" s="20" t="s">
        <v>262</v>
      </c>
    </row>
    <row r="23" customFormat="false" ht="13.8" hidden="false" customHeight="false" outlineLevel="0" collapsed="false">
      <c r="A23" s="29"/>
      <c r="B23" s="29"/>
      <c r="C23" s="29"/>
      <c r="D23" s="29"/>
      <c r="E23" s="223"/>
      <c r="F23" s="29"/>
      <c r="G23" s="32"/>
      <c r="H23" s="20"/>
      <c r="I23" s="20"/>
      <c r="J23" s="20"/>
      <c r="K23" s="20"/>
      <c r="L23" s="20"/>
      <c r="M23" s="20" t="str">
        <f aca="false">B6</f>
        <v>PC Ghana</v>
      </c>
      <c r="N23" s="214" t="n">
        <f aca="false">F6</f>
        <v>15545817.517</v>
      </c>
      <c r="O23" s="214" t="n">
        <f aca="false">G6</f>
        <v>5801713.57</v>
      </c>
      <c r="P23" s="214" t="n">
        <f aca="false">H6</f>
        <v>1657486.93445</v>
      </c>
      <c r="Q23" s="214" t="n">
        <f aca="false">I6</f>
        <v>5711207.86</v>
      </c>
    </row>
    <row r="24" customFormat="false" ht="13.8" hidden="false" customHeight="false" outlineLevel="0" collapsed="false">
      <c r="A24" s="29"/>
      <c r="B24" s="29"/>
      <c r="C24" s="29"/>
      <c r="D24" s="29"/>
      <c r="E24" s="223"/>
      <c r="F24" s="29"/>
      <c r="G24" s="32"/>
      <c r="H24" s="20"/>
      <c r="I24" s="20"/>
      <c r="J24" s="20"/>
      <c r="K24" s="20"/>
      <c r="L24" s="20"/>
      <c r="M24" s="20" t="str">
        <f aca="false">B7</f>
        <v>Proforest Initiative</v>
      </c>
      <c r="N24" s="214" t="n">
        <f aca="false">F7</f>
        <v>0</v>
      </c>
      <c r="O24" s="214" t="n">
        <f aca="false">G7</f>
        <v>0</v>
      </c>
      <c r="P24" s="214" t="n">
        <f aca="false">H7</f>
        <v>0</v>
      </c>
      <c r="Q24" s="214" t="n">
        <f aca="false">I7</f>
        <v>0</v>
      </c>
    </row>
    <row r="25" customFormat="false" ht="13.8" hidden="false" customHeight="false" outlineLevel="0" collapsed="false">
      <c r="A25" s="29"/>
      <c r="B25" s="29"/>
      <c r="C25" s="29"/>
      <c r="D25" s="29"/>
      <c r="E25" s="223"/>
      <c r="F25" s="29"/>
      <c r="G25" s="32"/>
      <c r="H25" s="20"/>
      <c r="I25" s="20"/>
      <c r="J25" s="20"/>
      <c r="K25" s="20"/>
      <c r="L25" s="20"/>
      <c r="M25" s="20" t="str">
        <f aca="false">B8</f>
        <v>Proforest Co-develop</v>
      </c>
      <c r="N25" s="214" t="n">
        <f aca="false">F8</f>
        <v>0</v>
      </c>
      <c r="O25" s="214" t="n">
        <f aca="false">G8</f>
        <v>0</v>
      </c>
      <c r="P25" s="214" t="n">
        <f aca="false">H8</f>
        <v>0</v>
      </c>
      <c r="Q25" s="214" t="n">
        <f aca="false">I8</f>
        <v>0</v>
      </c>
    </row>
    <row r="26" customFormat="false" ht="13.8" hidden="false" customHeight="false" outlineLevel="0" collapsed="false">
      <c r="A26" s="29"/>
      <c r="B26" s="29"/>
      <c r="C26" s="29"/>
      <c r="D26" s="29"/>
      <c r="E26" s="223"/>
      <c r="F26" s="29"/>
      <c r="G26" s="32"/>
      <c r="H26" s="20"/>
      <c r="I26" s="20"/>
      <c r="J26" s="20"/>
      <c r="K26" s="20"/>
      <c r="L26" s="20"/>
      <c r="M26" s="20" t="str">
        <f aca="false">B9</f>
        <v>Proforest Cameroon</v>
      </c>
      <c r="N26" s="214" t="n">
        <f aca="false">F9</f>
        <v>0</v>
      </c>
      <c r="O26" s="214" t="n">
        <f aca="false">G9</f>
        <v>0</v>
      </c>
      <c r="P26" s="214" t="n">
        <f aca="false">H9</f>
        <v>0</v>
      </c>
      <c r="Q26" s="214" t="n">
        <f aca="false">I9</f>
        <v>0</v>
      </c>
    </row>
    <row r="27" customFormat="false" ht="13.8" hidden="false" customHeight="false" outlineLevel="0" collapsed="false">
      <c r="A27" s="29"/>
      <c r="B27" s="29"/>
      <c r="C27" s="29"/>
      <c r="D27" s="29"/>
      <c r="E27" s="223"/>
      <c r="F27" s="29"/>
      <c r="G27" s="32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customFormat="false" ht="13.8" hidden="false" customHeight="false" outlineLevel="0" collapsed="false">
      <c r="A28" s="29"/>
      <c r="B28" s="29"/>
      <c r="C28" s="29"/>
      <c r="D28" s="29"/>
      <c r="E28" s="223"/>
      <c r="F28" s="29"/>
      <c r="G28" s="32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customFormat="false" ht="13.8" hidden="false" customHeight="false" outlineLevel="0" collapsed="false">
      <c r="A29" s="29"/>
      <c r="B29" s="29"/>
      <c r="C29" s="29"/>
      <c r="D29" s="29"/>
      <c r="E29" s="223"/>
      <c r="F29" s="29"/>
      <c r="G29" s="32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customFormat="false" ht="13.8" hidden="false" customHeight="false" outlineLevel="0" collapsed="false">
      <c r="A30" s="29"/>
      <c r="B30" s="29"/>
      <c r="C30" s="29"/>
      <c r="D30" s="29"/>
      <c r="E30" s="223"/>
      <c r="F30" s="29"/>
      <c r="G30" s="32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customFormat="false" ht="13.8" hidden="false" customHeight="false" outlineLevel="0" collapsed="false">
      <c r="A31" s="29"/>
      <c r="B31" s="29"/>
      <c r="C31" s="29"/>
      <c r="D31" s="29"/>
      <c r="E31" s="223"/>
      <c r="F31" s="29"/>
      <c r="G31" s="32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3.8" hidden="false" customHeight="false" outlineLevel="0" collapsed="false">
      <c r="A32" s="29"/>
      <c r="B32" s="29"/>
      <c r="C32" s="29"/>
      <c r="D32" s="29"/>
      <c r="E32" s="223"/>
      <c r="F32" s="29"/>
      <c r="G32" s="32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customFormat="false" ht="13.8" hidden="false" customHeight="false" outlineLevel="0" collapsed="false">
      <c r="A33" s="29"/>
      <c r="B33" s="29"/>
      <c r="C33" s="29"/>
      <c r="D33" s="29"/>
      <c r="E33" s="223"/>
      <c r="F33" s="29"/>
      <c r="G33" s="32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customFormat="false" ht="13.8" hidden="false" customHeight="false" outlineLevel="0" collapsed="false">
      <c r="A34" s="29"/>
      <c r="B34" s="29"/>
      <c r="C34" s="29"/>
      <c r="D34" s="29"/>
      <c r="E34" s="223"/>
      <c r="F34" s="29"/>
      <c r="G34" s="32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customFormat="false" ht="13.8" hidden="false" customHeight="false" outlineLevel="0" collapsed="false">
      <c r="A35" s="29"/>
      <c r="B35" s="29"/>
      <c r="C35" s="29"/>
      <c r="D35" s="29"/>
      <c r="E35" s="223"/>
      <c r="F35" s="29"/>
      <c r="G35" s="32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customFormat="false" ht="13.8" hidden="false" customHeight="false" outlineLevel="0" collapsed="false">
      <c r="A36" s="29"/>
      <c r="B36" s="29"/>
      <c r="C36" s="29"/>
      <c r="D36" s="29"/>
      <c r="E36" s="223"/>
      <c r="F36" s="29"/>
      <c r="G36" s="32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customFormat="false" ht="13.8" hidden="false" customHeight="false" outlineLevel="0" collapsed="false">
      <c r="A37" s="29"/>
      <c r="B37" s="29"/>
      <c r="C37" s="29"/>
      <c r="D37" s="29"/>
      <c r="E37" s="223"/>
      <c r="F37" s="29"/>
      <c r="G37" s="32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customFormat="false" ht="13.8" hidden="false" customHeight="false" outlineLevel="0" collapsed="false">
      <c r="A38" s="29"/>
      <c r="B38" s="29"/>
      <c r="C38" s="29"/>
      <c r="D38" s="29"/>
      <c r="E38" s="223"/>
      <c r="F38" s="29"/>
      <c r="G38" s="32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customFormat="false" ht="13.8" hidden="false" customHeight="false" outlineLevel="0" collapsed="false">
      <c r="A39" s="29"/>
      <c r="B39" s="29"/>
      <c r="C39" s="29"/>
      <c r="D39" s="29"/>
      <c r="E39" s="223"/>
      <c r="F39" s="29"/>
      <c r="G39" s="32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customFormat="false" ht="13.8" hidden="false" customHeight="false" outlineLevel="0" collapsed="false">
      <c r="A40" s="29"/>
      <c r="B40" s="29"/>
      <c r="C40" s="29"/>
      <c r="D40" s="29"/>
      <c r="E40" s="223"/>
      <c r="F40" s="29"/>
      <c r="G40" s="32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customFormat="false" ht="13.8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customFormat="false" ht="13.8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customFormat="false" ht="13.8" hidden="false" customHeight="false" outlineLevel="0" collapsed="false">
      <c r="A43" s="54" t="s">
        <v>2207</v>
      </c>
      <c r="B43" s="54"/>
      <c r="C43" s="54"/>
      <c r="D43" s="54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customFormat="false" ht="13.8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customFormat="false" ht="13.8" hidden="false" customHeight="false" outlineLevel="0" collapsed="false">
      <c r="A45" s="21" t="s">
        <v>172</v>
      </c>
      <c r="B45" s="21" t="s">
        <v>2208</v>
      </c>
      <c r="C45" s="21" t="s">
        <v>2209</v>
      </c>
      <c r="D45" s="21" t="s">
        <v>2210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customFormat="false" ht="13.8" hidden="false" customHeight="false" outlineLevel="0" collapsed="false">
      <c r="A46" s="20" t="s">
        <v>2140</v>
      </c>
      <c r="B46" s="214" t="n">
        <f aca="false">SUM(F6:F9)</f>
        <v>15545817.517</v>
      </c>
      <c r="C46" s="214" t="n">
        <f aca="false">-SUMIFS($E$15:$E$40,$D$15:$D$40,"Income",$G$15:$G$40,"Approved")</f>
        <v>-0</v>
      </c>
      <c r="D46" s="214" t="n">
        <f aca="false">B46+C46</f>
        <v>15545817.517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customFormat="false" ht="13.8" hidden="false" customHeight="false" outlineLevel="0" collapsed="false">
      <c r="A47" s="20" t="s">
        <v>294</v>
      </c>
      <c r="B47" s="214" t="n">
        <f aca="false">SUM(G6:G9)</f>
        <v>5801713.57</v>
      </c>
      <c r="C47" s="214" t="n">
        <f aca="false">-SUMIFS($E$15:$E$40,$D$15:$D$40,"Fixed Costs",$G$15:$G$40,"Approved")</f>
        <v>-0</v>
      </c>
      <c r="D47" s="214" t="n">
        <f aca="false">B47+C47</f>
        <v>5801713.57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customFormat="false" ht="13.8" hidden="false" customHeight="false" outlineLevel="0" collapsed="false">
      <c r="A48" s="20" t="s">
        <v>168</v>
      </c>
      <c r="B48" s="214" t="n">
        <f aca="false">SUM(H6:H9)</f>
        <v>1657486.93445</v>
      </c>
      <c r="C48" s="214" t="n">
        <f aca="false">C46-C47</f>
        <v>0</v>
      </c>
      <c r="D48" s="214" t="n">
        <f aca="false">B48+C48</f>
        <v>1657486.93445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customFormat="false" ht="13.8" hidden="false" customHeight="false" outlineLevel="0" collapsed="false">
      <c r="A49" s="20" t="s">
        <v>262</v>
      </c>
      <c r="B49" s="214" t="n">
        <f aca="false">SUM(I6:I9)</f>
        <v>5711207.86</v>
      </c>
      <c r="C49" s="214" t="n">
        <f aca="false">-SUMIFS($E$15:$E$40,$D$15:$D$40,"Working Capital",$G$15:$G$40,"Approved")</f>
        <v>-0</v>
      </c>
      <c r="D49" s="214" t="n">
        <f aca="false">B49+C49</f>
        <v>5711207.86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customFormat="false" ht="13.8" hidden="false" customHeight="false" outlineLevel="0" collapsed="false">
      <c r="A50" s="20" t="s">
        <v>2211</v>
      </c>
      <c r="B50" s="20" t="n">
        <f aca="false">COUNTIF(J6:J9,"Populated")</f>
        <v>1</v>
      </c>
      <c r="C50" s="20" t="n">
        <v>4</v>
      </c>
      <c r="D50" s="20" t="n">
        <f aca="false">B50</f>
        <v>1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customFormat="false" ht="13.8" hidden="false" customHeight="false" outlineLevel="0" collapsed="false">
      <c r="A51" s="20" t="s">
        <v>2212</v>
      </c>
      <c r="B51" s="20" t="str">
        <f aca="false">Checks!$B$4</f>
        <v>PENDING</v>
      </c>
      <c r="C51" s="20"/>
      <c r="D51" s="20" t="str">
        <f aca="false">B51</f>
        <v>PENDING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</sheetData>
  <mergeCells count="4">
    <mergeCell ref="A1:K1"/>
    <mergeCell ref="A2:K2"/>
    <mergeCell ref="A12:G12"/>
    <mergeCell ref="A43:D43"/>
  </mergeCells>
  <dataValidations count="1">
    <dataValidation allowBlank="false" errorStyle="stop" operator="between" showDropDown="false" showErrorMessage="false" showInputMessage="false" sqref="G15:G40" type="list">
      <formula1>"Draft,Reviewed,Approved"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Z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30"/>
    <col collapsed="false" customWidth="true" hidden="false" outlineLevel="0" max="7" min="6" style="1" width="18"/>
    <col collapsed="false" customWidth="true" hidden="false" outlineLevel="0" max="9" min="8" style="1" width="16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28"/>
  </cols>
  <sheetData>
    <row r="1" customFormat="false" ht="9.75" hidden="false" customHeight="true" outlineLevel="0" collapsed="false">
      <c r="A1" s="18" t="s">
        <v>2213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3.5" hidden="false" customHeight="false" outlineLevel="0" collapsed="false">
      <c r="A2" s="224" t="s">
        <v>2214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customFormat="false" ht="13.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13.5" hidden="false" customHeight="false" outlineLevel="0" collapsed="false">
      <c r="A4" s="20" t="s">
        <v>129</v>
      </c>
      <c r="B4" s="20" t="s">
        <v>130</v>
      </c>
      <c r="C4" s="20" t="s">
        <v>40</v>
      </c>
      <c r="D4" s="20" t="s">
        <v>71</v>
      </c>
      <c r="E4" s="20" t="s">
        <v>172</v>
      </c>
      <c r="F4" s="20" t="s">
        <v>1970</v>
      </c>
      <c r="G4" s="20" t="s">
        <v>2175</v>
      </c>
      <c r="H4" s="20" t="s">
        <v>131</v>
      </c>
      <c r="I4" s="20" t="s">
        <v>2215</v>
      </c>
      <c r="J4" s="20" t="s">
        <v>1747</v>
      </c>
      <c r="K4" s="20" t="s">
        <v>2177</v>
      </c>
      <c r="L4" s="20" t="s">
        <v>2216</v>
      </c>
    </row>
    <row r="5" customFormat="false" ht="13.5" hidden="false" customHeight="false" outlineLevel="0" collapsed="false">
      <c r="A5" s="20" t="s">
        <v>49</v>
      </c>
      <c r="B5" s="20" t="s">
        <v>51</v>
      </c>
      <c r="C5" s="139" t="n">
        <f aca="false">Controls!$B$4</f>
        <v>46203</v>
      </c>
      <c r="D5" s="20" t="str">
        <f aca="false">Controls!$B$30</f>
        <v>2026-Q2</v>
      </c>
      <c r="E5" s="20" t="s">
        <v>2179</v>
      </c>
      <c r="F5" s="20" t="str">
        <f aca="false">IFERROR(VLOOKUP(E5,Entity_QMR!$C$36:$L$100,2,FALSE()),"")</f>
        <v>Project</v>
      </c>
      <c r="G5" s="214" t="n">
        <f aca="false">IFERROR(VLOOKUP(E5,Entity_QMR!$C$36:$L$100,3,FALSE()),"")</f>
        <v>9794783.55054101</v>
      </c>
      <c r="H5" s="20" t="str">
        <f aca="false">IFERROR(VLOOKUP(E5,Entity_QMR!$C$36:$L$100,4,FALSE()),"")</f>
        <v>GHS</v>
      </c>
      <c r="I5" s="20" t="str">
        <f aca="false">IF(H5="x","x","GHS")</f>
        <v>GHS</v>
      </c>
      <c r="J5" s="221" t="n">
        <f aca="false">1</f>
        <v>1</v>
      </c>
      <c r="K5" s="214" t="n">
        <f aca="false">IFERROR(VLOOKUP(E5,Entity_QMR!$C$36:$L$100,8,FALSE()),"")</f>
        <v>9794783.55054101</v>
      </c>
      <c r="L5" s="20" t="s">
        <v>2217</v>
      </c>
    </row>
    <row r="6" customFormat="false" ht="13.5" hidden="false" customHeight="false" outlineLevel="0" collapsed="false">
      <c r="A6" s="20" t="s">
        <v>49</v>
      </c>
      <c r="B6" s="20" t="s">
        <v>51</v>
      </c>
      <c r="C6" s="139" t="n">
        <f aca="false">Controls!$B$4</f>
        <v>46203</v>
      </c>
      <c r="D6" s="20" t="str">
        <f aca="false">Controls!$B$30</f>
        <v>2026-Q2</v>
      </c>
      <c r="E6" s="20" t="s">
        <v>2182</v>
      </c>
      <c r="F6" s="20" t="str">
        <f aca="false">IFERROR(VLOOKUP(E6,Entity_QMR!$C$36:$L$100,2,FALSE()),"")</f>
        <v>Project</v>
      </c>
      <c r="G6" s="214" t="n">
        <f aca="false">IFERROR(VLOOKUP(E6,Entity_QMR!$C$36:$L$100,3,FALSE()),"")</f>
        <v>15545817.517</v>
      </c>
      <c r="H6" s="20" t="str">
        <f aca="false">IFERROR(VLOOKUP(E6,Entity_QMR!$C$36:$L$100,4,FALSE()),"")</f>
        <v>GHS</v>
      </c>
      <c r="I6" s="20" t="str">
        <f aca="false">IF(H6="x","x","GHS")</f>
        <v>GHS</v>
      </c>
      <c r="J6" s="221" t="n">
        <f aca="false">1</f>
        <v>1</v>
      </c>
      <c r="K6" s="214" t="n">
        <f aca="false">IFERROR(VLOOKUP(E6,Entity_QMR!$C$36:$L$100,8,FALSE()),"")</f>
        <v>15545817.517</v>
      </c>
      <c r="L6" s="20" t="s">
        <v>2217</v>
      </c>
    </row>
    <row r="7" customFormat="false" ht="13.5" hidden="false" customHeight="false" outlineLevel="0" collapsed="false">
      <c r="A7" s="20" t="s">
        <v>49</v>
      </c>
      <c r="B7" s="20" t="s">
        <v>51</v>
      </c>
      <c r="C7" s="139" t="n">
        <f aca="false">Controls!$B$4</f>
        <v>46203</v>
      </c>
      <c r="D7" s="20" t="str">
        <f aca="false">Controls!$B$30</f>
        <v>2026-Q2</v>
      </c>
      <c r="E7" s="20" t="s">
        <v>2183</v>
      </c>
      <c r="F7" s="20" t="str">
        <f aca="false">IFERROR(VLOOKUP(E7,Entity_QMR!$C$36:$L$100,2,FALSE()),"")</f>
        <v>Project</v>
      </c>
      <c r="G7" s="214" t="n">
        <f aca="false">IFERROR(VLOOKUP(E7,Entity_QMR!$C$36:$L$100,3,FALSE()),"")</f>
        <v>12020285.217</v>
      </c>
      <c r="H7" s="20" t="str">
        <f aca="false">IFERROR(VLOOKUP(E7,Entity_QMR!$C$36:$L$100,4,FALSE()),"")</f>
        <v>GHS</v>
      </c>
      <c r="I7" s="20" t="str">
        <f aca="false">IF(H7="x","x","GHS")</f>
        <v>GHS</v>
      </c>
      <c r="J7" s="221" t="n">
        <f aca="false">1</f>
        <v>1</v>
      </c>
      <c r="K7" s="214" t="n">
        <f aca="false">IFERROR(VLOOKUP(E7,Entity_QMR!$C$36:$L$100,8,FALSE()),"")</f>
        <v>12020285.217</v>
      </c>
      <c r="L7" s="20" t="s">
        <v>2217</v>
      </c>
    </row>
    <row r="8" customFormat="false" ht="13.5" hidden="false" customHeight="false" outlineLevel="0" collapsed="false">
      <c r="A8" s="20" t="s">
        <v>49</v>
      </c>
      <c r="B8" s="20" t="s">
        <v>51</v>
      </c>
      <c r="C8" s="139" t="n">
        <f aca="false">Controls!$B$4</f>
        <v>46203</v>
      </c>
      <c r="D8" s="20" t="str">
        <f aca="false">Controls!$B$30</f>
        <v>2026-Q2</v>
      </c>
      <c r="E8" s="20" t="s">
        <v>2184</v>
      </c>
      <c r="F8" s="20" t="str">
        <f aca="false">IFERROR(VLOOKUP(E8,Entity_QMR!$C$36:$L$100,2,FALSE()),"")</f>
        <v>Project</v>
      </c>
      <c r="G8" s="214" t="n">
        <f aca="false">IFERROR(VLOOKUP(E8,Entity_QMR!$C$36:$L$100,3,FALSE()),"")</f>
        <v>7459200.50445</v>
      </c>
      <c r="H8" s="20" t="str">
        <f aca="false">IFERROR(VLOOKUP(E8,Entity_QMR!$C$36:$L$100,4,FALSE()),"")</f>
        <v>GHS</v>
      </c>
      <c r="I8" s="20" t="str">
        <f aca="false">IF(H8="x","x","GHS")</f>
        <v>GHS</v>
      </c>
      <c r="J8" s="221" t="n">
        <f aca="false">1</f>
        <v>1</v>
      </c>
      <c r="K8" s="214" t="n">
        <f aca="false">IFERROR(VLOOKUP(E8,Entity_QMR!$C$36:$L$100,8,FALSE()),"")</f>
        <v>7459200.50445</v>
      </c>
      <c r="L8" s="20" t="s">
        <v>2217</v>
      </c>
    </row>
    <row r="9" customFormat="false" ht="13.5" hidden="false" customHeight="false" outlineLevel="0" collapsed="false">
      <c r="A9" s="20" t="s">
        <v>49</v>
      </c>
      <c r="B9" s="20" t="s">
        <v>51</v>
      </c>
      <c r="C9" s="139" t="n">
        <f aca="false">Controls!$B$4</f>
        <v>46203</v>
      </c>
      <c r="D9" s="20" t="str">
        <f aca="false">Controls!$B$30</f>
        <v>2026-Q2</v>
      </c>
      <c r="E9" s="20" t="s">
        <v>2185</v>
      </c>
      <c r="F9" s="20" t="str">
        <f aca="false">IFERROR(VLOOKUP(E9,Entity_QMR!$C$36:$L$100,2,FALSE()),"")</f>
        <v>Programme</v>
      </c>
      <c r="G9" s="214" t="n">
        <f aca="false">IFERROR(VLOOKUP(E9,Entity_QMR!$C$36:$L$100,3,FALSE()),"")</f>
        <v>3341189.81272417</v>
      </c>
      <c r="H9" s="20" t="str">
        <f aca="false">IFERROR(VLOOKUP(E9,Entity_QMR!$C$36:$L$100,4,FALSE()),"")</f>
        <v>GHS</v>
      </c>
      <c r="I9" s="20" t="str">
        <f aca="false">IF(H9="x","x","GHS")</f>
        <v>GHS</v>
      </c>
      <c r="J9" s="221" t="n">
        <f aca="false">1</f>
        <v>1</v>
      </c>
      <c r="K9" s="214" t="n">
        <f aca="false">IFERROR(VLOOKUP(E9,Entity_QMR!$C$36:$L$100,8,FALSE()),"")</f>
        <v>3341189.81272417</v>
      </c>
      <c r="L9" s="20" t="s">
        <v>2217</v>
      </c>
    </row>
    <row r="10" customFormat="false" ht="13.5" hidden="false" customHeight="false" outlineLevel="0" collapsed="false">
      <c r="A10" s="20" t="s">
        <v>49</v>
      </c>
      <c r="B10" s="20" t="s">
        <v>51</v>
      </c>
      <c r="C10" s="139" t="n">
        <f aca="false">Controls!$B$4</f>
        <v>46203</v>
      </c>
      <c r="D10" s="20" t="str">
        <f aca="false">Controls!$B$30</f>
        <v>2026-Q2</v>
      </c>
      <c r="E10" s="20" t="s">
        <v>2187</v>
      </c>
      <c r="F10" s="20" t="str">
        <f aca="false">IFERROR(VLOOKUP(E10,Entity_QMR!$C$36:$L$100,2,FALSE()),"")</f>
        <v>Programme</v>
      </c>
      <c r="G10" s="214" t="n">
        <f aca="false">IFERROR(VLOOKUP(E10,Entity_QMR!$C$36:$L$100,3,FALSE()),"")</f>
        <v>0</v>
      </c>
      <c r="H10" s="20" t="str">
        <f aca="false">IFERROR(VLOOKUP(E10,Entity_QMR!$C$36:$L$100,4,FALSE()),"")</f>
        <v>GHS</v>
      </c>
      <c r="I10" s="20" t="str">
        <f aca="false">IF(H10="x","x","GHS")</f>
        <v>GHS</v>
      </c>
      <c r="J10" s="221" t="n">
        <f aca="false">1</f>
        <v>1</v>
      </c>
      <c r="K10" s="214" t="n">
        <f aca="false">IFERROR(VLOOKUP(E10,Entity_QMR!$C$36:$L$100,8,FALSE()),"")</f>
        <v>0</v>
      </c>
      <c r="L10" s="20" t="s">
        <v>2217</v>
      </c>
    </row>
    <row r="11" customFormat="false" ht="13.5" hidden="false" customHeight="false" outlineLevel="0" collapsed="false">
      <c r="A11" s="20" t="s">
        <v>49</v>
      </c>
      <c r="B11" s="20" t="s">
        <v>51</v>
      </c>
      <c r="C11" s="139" t="n">
        <f aca="false">Controls!$B$4</f>
        <v>46203</v>
      </c>
      <c r="D11" s="20" t="str">
        <f aca="false">Controls!$B$30</f>
        <v>2026-Q2</v>
      </c>
      <c r="E11" s="20" t="s">
        <v>2140</v>
      </c>
      <c r="F11" s="20" t="str">
        <f aca="false">IFERROR(VLOOKUP(E11,Entity_QMR!$C$36:$L$100,2,FALSE()),"")</f>
        <v>QMR</v>
      </c>
      <c r="G11" s="214" t="n">
        <f aca="false">IFERROR(VLOOKUP(E11,Entity_QMR!$C$36:$L$100,3,FALSE()),"")</f>
        <v>15545817.517</v>
      </c>
      <c r="H11" s="20" t="str">
        <f aca="false">IFERROR(VLOOKUP(E11,Entity_QMR!$C$36:$L$100,4,FALSE()),"")</f>
        <v>GHS</v>
      </c>
      <c r="I11" s="20" t="str">
        <f aca="false">IF(H11="x","x","GHS")</f>
        <v>GHS</v>
      </c>
      <c r="J11" s="221" t="n">
        <f aca="false">1</f>
        <v>1</v>
      </c>
      <c r="K11" s="214" t="n">
        <f aca="false">IFERROR(VLOOKUP(E11,Entity_QMR!$C$36:$L$100,8,FALSE()),"")</f>
        <v>15545817.517</v>
      </c>
      <c r="L11" s="20" t="s">
        <v>2217</v>
      </c>
    </row>
    <row r="12" customFormat="false" ht="13.5" hidden="false" customHeight="false" outlineLevel="0" collapsed="false">
      <c r="A12" s="20" t="s">
        <v>49</v>
      </c>
      <c r="B12" s="20" t="s">
        <v>51</v>
      </c>
      <c r="C12" s="139" t="n">
        <f aca="false">Controls!$B$4</f>
        <v>46203</v>
      </c>
      <c r="D12" s="20" t="str">
        <f aca="false">Controls!$B$30</f>
        <v>2026-Q2</v>
      </c>
      <c r="E12" s="20" t="s">
        <v>2189</v>
      </c>
      <c r="F12" s="20" t="str">
        <f aca="false">IFERROR(VLOOKUP(E12,Entity_QMR!$C$36:$L$100,2,FALSE()),"")</f>
        <v>Fixed Costs</v>
      </c>
      <c r="G12" s="214" t="n">
        <f aca="false">IFERROR(VLOOKUP(E12,Entity_QMR!$C$36:$L$100,3,FALSE()),"")</f>
        <v>13774371.53</v>
      </c>
      <c r="H12" s="20" t="str">
        <f aca="false">IFERROR(VLOOKUP(E12,Entity_QMR!$C$36:$L$100,4,FALSE()),"")</f>
        <v>GHS</v>
      </c>
      <c r="I12" s="20" t="str">
        <f aca="false">IF(H12="x","x","GHS")</f>
        <v>GHS</v>
      </c>
      <c r="J12" s="221" t="n">
        <f aca="false">1</f>
        <v>1</v>
      </c>
      <c r="K12" s="214" t="n">
        <f aca="false">IFERROR(VLOOKUP(E12,Entity_QMR!$C$36:$L$100,8,FALSE()),"")</f>
        <v>13774371.53</v>
      </c>
      <c r="L12" s="20" t="s">
        <v>2217</v>
      </c>
    </row>
    <row r="13" customFormat="false" ht="13.5" hidden="false" customHeight="false" outlineLevel="0" collapsed="false">
      <c r="A13" s="20" t="s">
        <v>49</v>
      </c>
      <c r="B13" s="20" t="s">
        <v>51</v>
      </c>
      <c r="C13" s="139" t="n">
        <f aca="false">Controls!$B$4</f>
        <v>46203</v>
      </c>
      <c r="D13" s="20" t="str">
        <f aca="false">Controls!$B$30</f>
        <v>2026-Q2</v>
      </c>
      <c r="E13" s="20" t="s">
        <v>2190</v>
      </c>
      <c r="F13" s="20" t="str">
        <f aca="false">IFERROR(VLOOKUP(E13,Entity_QMR!$C$36:$L$100,2,FALSE()),"")</f>
        <v>Fixed Costs</v>
      </c>
      <c r="G13" s="214" t="n">
        <f aca="false">IFERROR(VLOOKUP(E13,Entity_QMR!$C$36:$L$100,3,FALSE()),"")</f>
        <v>5801713.57</v>
      </c>
      <c r="H13" s="20" t="str">
        <f aca="false">IFERROR(VLOOKUP(E13,Entity_QMR!$C$36:$L$100,4,FALSE()),"")</f>
        <v>GHS</v>
      </c>
      <c r="I13" s="20" t="str">
        <f aca="false">IF(H13="x","x","GHS")</f>
        <v>GHS</v>
      </c>
      <c r="J13" s="221" t="n">
        <f aca="false">1</f>
        <v>1</v>
      </c>
      <c r="K13" s="214" t="n">
        <f aca="false">IFERROR(VLOOKUP(E13,Entity_QMR!$C$36:$L$100,8,FALSE()),"")</f>
        <v>5801713.57</v>
      </c>
      <c r="L13" s="20" t="s">
        <v>2217</v>
      </c>
    </row>
    <row r="14" customFormat="false" ht="13.5" hidden="false" customHeight="false" outlineLevel="0" collapsed="false">
      <c r="A14" s="20" t="s">
        <v>49</v>
      </c>
      <c r="B14" s="20" t="s">
        <v>51</v>
      </c>
      <c r="C14" s="139" t="n">
        <f aca="false">Controls!$B$4</f>
        <v>46203</v>
      </c>
      <c r="D14" s="20" t="str">
        <f aca="false">Controls!$B$30</f>
        <v>2026-Q2</v>
      </c>
      <c r="E14" s="20" t="s">
        <v>2191</v>
      </c>
      <c r="F14" s="20" t="str">
        <f aca="false">IFERROR(VLOOKUP(E14,Entity_QMR!$C$36:$L$100,2,FALSE()),"")</f>
        <v>QMR</v>
      </c>
      <c r="G14" s="214" t="n">
        <f aca="false">IFERROR(VLOOKUP(E14,Entity_QMR!$C$36:$L$100,3,FALSE()),"")</f>
        <v>1657486.93445</v>
      </c>
      <c r="H14" s="20" t="str">
        <f aca="false">IFERROR(VLOOKUP(E14,Entity_QMR!$C$36:$L$100,4,FALSE()),"")</f>
        <v>GHS</v>
      </c>
      <c r="I14" s="20" t="str">
        <f aca="false">IF(H14="x","x","GHS")</f>
        <v>GHS</v>
      </c>
      <c r="J14" s="221" t="n">
        <f aca="false">1</f>
        <v>1</v>
      </c>
      <c r="K14" s="214" t="n">
        <f aca="false">IFERROR(VLOOKUP(E14,Entity_QMR!$C$36:$L$100,8,FALSE()),"")</f>
        <v>1657486.93445</v>
      </c>
      <c r="L14" s="20" t="s">
        <v>2217</v>
      </c>
    </row>
    <row r="15" customFormat="false" ht="13.5" hidden="false" customHeight="false" outlineLevel="0" collapsed="false">
      <c r="A15" s="20" t="s">
        <v>49</v>
      </c>
      <c r="B15" s="20" t="s">
        <v>51</v>
      </c>
      <c r="C15" s="139" t="n">
        <f aca="false">Controls!$B$4</f>
        <v>46203</v>
      </c>
      <c r="D15" s="20" t="str">
        <f aca="false">Controls!$B$30</f>
        <v>2026-Q2</v>
      </c>
      <c r="E15" s="20" t="s">
        <v>2146</v>
      </c>
      <c r="F15" s="20" t="str">
        <f aca="false">IFERROR(VLOOKUP(E15,Entity_QMR!$C$36:$L$100,2,FALSE()),"")</f>
        <v>Trial Balance</v>
      </c>
      <c r="G15" s="214" t="n">
        <f aca="false">IFERROR(VLOOKUP(E15,Entity_QMR!$C$36:$L$100,3,FALSE()),"")</f>
        <v>8953156.48</v>
      </c>
      <c r="H15" s="20" t="str">
        <f aca="false">IFERROR(VLOOKUP(E15,Entity_QMR!$C$36:$L$100,4,FALSE()),"")</f>
        <v>GHS</v>
      </c>
      <c r="I15" s="20" t="str">
        <f aca="false">IF(H15="x","x","GHS")</f>
        <v>GHS</v>
      </c>
      <c r="J15" s="221" t="n">
        <f aca="false">1</f>
        <v>1</v>
      </c>
      <c r="K15" s="214" t="n">
        <f aca="false">IFERROR(VLOOKUP(E15,Entity_QMR!$C$36:$L$100,8,FALSE()),"")</f>
        <v>8953156.48</v>
      </c>
      <c r="L15" s="20" t="s">
        <v>2217</v>
      </c>
    </row>
    <row r="16" customFormat="false" ht="13.5" hidden="false" customHeight="false" outlineLevel="0" collapsed="false">
      <c r="A16" s="20" t="s">
        <v>49</v>
      </c>
      <c r="B16" s="20" t="s">
        <v>51</v>
      </c>
      <c r="C16" s="139" t="n">
        <f aca="false">Controls!$B$4</f>
        <v>46203</v>
      </c>
      <c r="D16" s="20" t="str">
        <f aca="false">Controls!$B$30</f>
        <v>2026-Q2</v>
      </c>
      <c r="E16" s="20" t="s">
        <v>2147</v>
      </c>
      <c r="F16" s="20" t="str">
        <f aca="false">IFERROR(VLOOKUP(E16,Entity_QMR!$C$36:$L$100,2,FALSE()),"")</f>
        <v>Trial Balance</v>
      </c>
      <c r="G16" s="214" t="n">
        <f aca="false">IFERROR(VLOOKUP(E16,Entity_QMR!$C$36:$L$100,3,FALSE()),"")</f>
        <v>-3241948.62</v>
      </c>
      <c r="H16" s="20" t="str">
        <f aca="false">IFERROR(VLOOKUP(E16,Entity_QMR!$C$36:$L$100,4,FALSE()),"")</f>
        <v>GHS</v>
      </c>
      <c r="I16" s="20" t="str">
        <f aca="false">IF(H16="x","x","GHS")</f>
        <v>GHS</v>
      </c>
      <c r="J16" s="221" t="n">
        <f aca="false">1</f>
        <v>1</v>
      </c>
      <c r="K16" s="214" t="n">
        <f aca="false">IFERROR(VLOOKUP(E16,Entity_QMR!$C$36:$L$100,8,FALSE()),"")</f>
        <v>-3241948.62</v>
      </c>
      <c r="L16" s="20" t="s">
        <v>2217</v>
      </c>
    </row>
    <row r="17" customFormat="false" ht="13.5" hidden="false" customHeight="false" outlineLevel="0" collapsed="false">
      <c r="A17" s="20" t="s">
        <v>49</v>
      </c>
      <c r="B17" s="20" t="s">
        <v>51</v>
      </c>
      <c r="C17" s="139" t="n">
        <f aca="false">Controls!$B$4</f>
        <v>46203</v>
      </c>
      <c r="D17" s="20" t="str">
        <f aca="false">Controls!$B$30</f>
        <v>2026-Q2</v>
      </c>
      <c r="E17" s="20" t="s">
        <v>262</v>
      </c>
      <c r="F17" s="20" t="str">
        <f aca="false">IFERROR(VLOOKUP(E17,Entity_QMR!$C$36:$L$100,2,FALSE()),"")</f>
        <v>Trial Balance</v>
      </c>
      <c r="G17" s="214" t="n">
        <f aca="false">IFERROR(VLOOKUP(E17,Entity_QMR!$C$36:$L$100,3,FALSE()),"")</f>
        <v>5711207.86</v>
      </c>
      <c r="H17" s="20" t="str">
        <f aca="false">IFERROR(VLOOKUP(E17,Entity_QMR!$C$36:$L$100,4,FALSE()),"")</f>
        <v>GHS</v>
      </c>
      <c r="I17" s="20" t="str">
        <f aca="false">IF(H17="x","x","GHS")</f>
        <v>GHS</v>
      </c>
      <c r="J17" s="221" t="n">
        <f aca="false">1</f>
        <v>1</v>
      </c>
      <c r="K17" s="214" t="n">
        <f aca="false">IFERROR(VLOOKUP(E17,Entity_QMR!$C$36:$L$100,8,FALSE()),"")</f>
        <v>5711207.86</v>
      </c>
      <c r="L17" s="20" t="s">
        <v>2217</v>
      </c>
    </row>
    <row r="18" customFormat="false" ht="13.5" hidden="false" customHeight="false" outlineLevel="0" collapsed="false">
      <c r="A18" s="20" t="s">
        <v>49</v>
      </c>
      <c r="B18" s="20" t="s">
        <v>51</v>
      </c>
      <c r="C18" s="139" t="n">
        <f aca="false">Controls!$B$4</f>
        <v>46203</v>
      </c>
      <c r="D18" s="20" t="str">
        <f aca="false">Controls!$B$30</f>
        <v>2026-Q2</v>
      </c>
      <c r="E18" s="20" t="s">
        <v>261</v>
      </c>
      <c r="F18" s="20" t="str">
        <f aca="false">IFERROR(VLOOKUP(E18,Entity_QMR!$C$36:$L$100,2,FALSE()),"")</f>
        <v>Trial Balance</v>
      </c>
      <c r="G18" s="216" t="n">
        <f aca="false">IFERROR(VLOOKUP(E18,Entity_QMR!$C$36:$L$100,3,FALSE()),"")</f>
        <v>2.76165896793269</v>
      </c>
      <c r="H18" s="20" t="str">
        <f aca="false">IFERROR(VLOOKUP(E18,Entity_QMR!$C$36:$L$100,4,FALSE()),"")</f>
        <v>x</v>
      </c>
      <c r="I18" s="20" t="str">
        <f aca="false">IF(H18="x","x","GHS")</f>
        <v>x</v>
      </c>
      <c r="J18" s="221" t="n">
        <f aca="false">1</f>
        <v>1</v>
      </c>
      <c r="K18" s="216" t="n">
        <f aca="false">IFERROR(VLOOKUP(E18,Entity_QMR!$C$36:$L$100,8,FALSE()),"")</f>
        <v>2.76165896793269</v>
      </c>
      <c r="L18" s="20" t="s">
        <v>2217</v>
      </c>
    </row>
    <row r="19" customFormat="false" ht="13.5" hidden="false" customHeight="false" outlineLevel="0" collapsed="false">
      <c r="A19" s="20" t="s">
        <v>49</v>
      </c>
      <c r="B19" s="20" t="s">
        <v>51</v>
      </c>
      <c r="C19" s="139" t="n">
        <f aca="false">Controls!$B$4</f>
        <v>46203</v>
      </c>
      <c r="D19" s="20" t="str">
        <f aca="false">Controls!$B$30</f>
        <v>2026-Q2</v>
      </c>
      <c r="E19" s="20" t="s">
        <v>2195</v>
      </c>
      <c r="F19" s="20" t="str">
        <f aca="false">IFERROR(VLOOKUP(E19,Entity_QMR!$C$36:$L$100,2,FALSE()),"")</f>
        <v>Trial Balance</v>
      </c>
      <c r="G19" s="216" t="n">
        <f aca="false">IFERROR(VLOOKUP(E19,Entity_QMR!$C$36:$L$100,3,FALSE()),"")</f>
        <v>5.77377388356544</v>
      </c>
      <c r="H19" s="20" t="str">
        <f aca="false">IFERROR(VLOOKUP(E19,Entity_QMR!$C$36:$L$100,4,FALSE()),"")</f>
        <v>x</v>
      </c>
      <c r="I19" s="20" t="str">
        <f aca="false">IF(H19="x","x","GHS")</f>
        <v>x</v>
      </c>
      <c r="J19" s="221" t="n">
        <f aca="false">1</f>
        <v>1</v>
      </c>
      <c r="K19" s="216" t="n">
        <f aca="false">IFERROR(VLOOKUP(E19,Entity_QMR!$C$36:$L$100,8,FALSE()),"")</f>
        <v>5.77377388356544</v>
      </c>
      <c r="L19" s="20" t="s">
        <v>2217</v>
      </c>
    </row>
    <row r="20" customFormat="false" ht="13.5" hidden="false" customHeight="false" outlineLevel="0" collapsed="false">
      <c r="A20" s="20" t="s">
        <v>139</v>
      </c>
      <c r="B20" s="20" t="s">
        <v>140</v>
      </c>
      <c r="C20" s="139" t="n">
        <v>46112</v>
      </c>
      <c r="D20" s="20" t="s">
        <v>85</v>
      </c>
      <c r="E20" s="20" t="s">
        <v>2179</v>
      </c>
      <c r="F20" s="20" t="str">
        <f aca="false">"Awaiting entity pack"</f>
        <v>Awaiting entity pack</v>
      </c>
      <c r="G20" s="214" t="str">
        <f aca="false">""</f>
        <v/>
      </c>
      <c r="H20" s="20" t="str">
        <f aca="false">""</f>
        <v/>
      </c>
      <c r="I20" s="20" t="str">
        <f aca="false">"GHS"</f>
        <v>GHS</v>
      </c>
      <c r="J20" s="221" t="str">
        <f aca="false">""</f>
        <v/>
      </c>
      <c r="K20" s="214" t="str">
        <f aca="false">""</f>
        <v/>
      </c>
      <c r="L20" s="20" t="s">
        <v>2218</v>
      </c>
    </row>
    <row r="21" customFormat="false" ht="13.5" hidden="false" customHeight="false" outlineLevel="0" collapsed="false">
      <c r="A21" s="20" t="s">
        <v>139</v>
      </c>
      <c r="B21" s="20" t="s">
        <v>140</v>
      </c>
      <c r="C21" s="139" t="n">
        <v>46112</v>
      </c>
      <c r="D21" s="20" t="s">
        <v>85</v>
      </c>
      <c r="E21" s="20" t="s">
        <v>2182</v>
      </c>
      <c r="F21" s="20" t="str">
        <f aca="false">"Awaiting entity pack"</f>
        <v>Awaiting entity pack</v>
      </c>
      <c r="G21" s="214" t="str">
        <f aca="false">""</f>
        <v/>
      </c>
      <c r="H21" s="20" t="str">
        <f aca="false">""</f>
        <v/>
      </c>
      <c r="I21" s="20" t="str">
        <f aca="false">"GHS"</f>
        <v>GHS</v>
      </c>
      <c r="J21" s="221" t="str">
        <f aca="false">""</f>
        <v/>
      </c>
      <c r="K21" s="214" t="str">
        <f aca="false">""</f>
        <v/>
      </c>
      <c r="L21" s="20" t="s">
        <v>2218</v>
      </c>
    </row>
    <row r="22" customFormat="false" ht="13.5" hidden="false" customHeight="false" outlineLevel="0" collapsed="false">
      <c r="A22" s="20" t="s">
        <v>139</v>
      </c>
      <c r="B22" s="20" t="s">
        <v>140</v>
      </c>
      <c r="C22" s="139" t="n">
        <v>46112</v>
      </c>
      <c r="D22" s="20" t="s">
        <v>85</v>
      </c>
      <c r="E22" s="20" t="s">
        <v>2183</v>
      </c>
      <c r="F22" s="20" t="str">
        <f aca="false">"Awaiting entity pack"</f>
        <v>Awaiting entity pack</v>
      </c>
      <c r="G22" s="214" t="str">
        <f aca="false">""</f>
        <v/>
      </c>
      <c r="H22" s="20" t="str">
        <f aca="false">""</f>
        <v/>
      </c>
      <c r="I22" s="20" t="str">
        <f aca="false">"GHS"</f>
        <v>GHS</v>
      </c>
      <c r="J22" s="221" t="str">
        <f aca="false">""</f>
        <v/>
      </c>
      <c r="K22" s="214" t="str">
        <f aca="false">""</f>
        <v/>
      </c>
      <c r="L22" s="20" t="s">
        <v>2218</v>
      </c>
    </row>
    <row r="23" customFormat="false" ht="13.5" hidden="false" customHeight="false" outlineLevel="0" collapsed="false">
      <c r="A23" s="20" t="s">
        <v>139</v>
      </c>
      <c r="B23" s="20" t="s">
        <v>140</v>
      </c>
      <c r="C23" s="139" t="n">
        <v>46112</v>
      </c>
      <c r="D23" s="20" t="s">
        <v>85</v>
      </c>
      <c r="E23" s="20" t="s">
        <v>2184</v>
      </c>
      <c r="F23" s="20" t="str">
        <f aca="false">"Awaiting entity pack"</f>
        <v>Awaiting entity pack</v>
      </c>
      <c r="G23" s="214" t="str">
        <f aca="false">""</f>
        <v/>
      </c>
      <c r="H23" s="20" t="str">
        <f aca="false">""</f>
        <v/>
      </c>
      <c r="I23" s="20" t="str">
        <f aca="false">"GHS"</f>
        <v>GHS</v>
      </c>
      <c r="J23" s="221" t="str">
        <f aca="false">""</f>
        <v/>
      </c>
      <c r="K23" s="214" t="str">
        <f aca="false">""</f>
        <v/>
      </c>
      <c r="L23" s="20" t="s">
        <v>2218</v>
      </c>
    </row>
    <row r="24" customFormat="false" ht="13.5" hidden="false" customHeight="false" outlineLevel="0" collapsed="false">
      <c r="A24" s="20" t="s">
        <v>139</v>
      </c>
      <c r="B24" s="20" t="s">
        <v>140</v>
      </c>
      <c r="C24" s="139" t="n">
        <v>46112</v>
      </c>
      <c r="D24" s="20" t="s">
        <v>85</v>
      </c>
      <c r="E24" s="20" t="s">
        <v>2185</v>
      </c>
      <c r="F24" s="20" t="str">
        <f aca="false">"Awaiting entity pack"</f>
        <v>Awaiting entity pack</v>
      </c>
      <c r="G24" s="214" t="str">
        <f aca="false">""</f>
        <v/>
      </c>
      <c r="H24" s="20" t="str">
        <f aca="false">""</f>
        <v/>
      </c>
      <c r="I24" s="20" t="str">
        <f aca="false">"GHS"</f>
        <v>GHS</v>
      </c>
      <c r="J24" s="221" t="str">
        <f aca="false">""</f>
        <v/>
      </c>
      <c r="K24" s="214" t="str">
        <f aca="false">""</f>
        <v/>
      </c>
      <c r="L24" s="20" t="s">
        <v>2218</v>
      </c>
    </row>
    <row r="25" customFormat="false" ht="13.5" hidden="false" customHeight="false" outlineLevel="0" collapsed="false">
      <c r="A25" s="20" t="s">
        <v>139</v>
      </c>
      <c r="B25" s="20" t="s">
        <v>140</v>
      </c>
      <c r="C25" s="139" t="n">
        <v>46112</v>
      </c>
      <c r="D25" s="20" t="s">
        <v>85</v>
      </c>
      <c r="E25" s="20" t="s">
        <v>2187</v>
      </c>
      <c r="F25" s="20" t="str">
        <f aca="false">"Awaiting entity pack"</f>
        <v>Awaiting entity pack</v>
      </c>
      <c r="G25" s="214" t="str">
        <f aca="false">""</f>
        <v/>
      </c>
      <c r="H25" s="20" t="str">
        <f aca="false">""</f>
        <v/>
      </c>
      <c r="I25" s="20" t="str">
        <f aca="false">"GHS"</f>
        <v>GHS</v>
      </c>
      <c r="J25" s="221" t="str">
        <f aca="false">""</f>
        <v/>
      </c>
      <c r="K25" s="214" t="str">
        <f aca="false">""</f>
        <v/>
      </c>
      <c r="L25" s="20" t="s">
        <v>2218</v>
      </c>
    </row>
    <row r="26" customFormat="false" ht="13.5" hidden="false" customHeight="false" outlineLevel="0" collapsed="false">
      <c r="A26" s="20" t="s">
        <v>139</v>
      </c>
      <c r="B26" s="20" t="s">
        <v>140</v>
      </c>
      <c r="C26" s="139" t="n">
        <v>46112</v>
      </c>
      <c r="D26" s="20" t="s">
        <v>85</v>
      </c>
      <c r="E26" s="20" t="s">
        <v>2140</v>
      </c>
      <c r="F26" s="20" t="str">
        <f aca="false">"Awaiting entity pack"</f>
        <v>Awaiting entity pack</v>
      </c>
      <c r="G26" s="214" t="str">
        <f aca="false">""</f>
        <v/>
      </c>
      <c r="H26" s="20" t="str">
        <f aca="false">""</f>
        <v/>
      </c>
      <c r="I26" s="20" t="str">
        <f aca="false">"GHS"</f>
        <v>GHS</v>
      </c>
      <c r="J26" s="221" t="str">
        <f aca="false">""</f>
        <v/>
      </c>
      <c r="K26" s="214" t="str">
        <f aca="false">""</f>
        <v/>
      </c>
      <c r="L26" s="20" t="s">
        <v>2218</v>
      </c>
    </row>
    <row r="27" customFormat="false" ht="13.5" hidden="false" customHeight="false" outlineLevel="0" collapsed="false">
      <c r="A27" s="20" t="s">
        <v>139</v>
      </c>
      <c r="B27" s="20" t="s">
        <v>140</v>
      </c>
      <c r="C27" s="139" t="n">
        <v>46112</v>
      </c>
      <c r="D27" s="20" t="s">
        <v>85</v>
      </c>
      <c r="E27" s="20" t="s">
        <v>2189</v>
      </c>
      <c r="F27" s="20" t="str">
        <f aca="false">"Awaiting entity pack"</f>
        <v>Awaiting entity pack</v>
      </c>
      <c r="G27" s="214" t="str">
        <f aca="false">""</f>
        <v/>
      </c>
      <c r="H27" s="20" t="str">
        <f aca="false">""</f>
        <v/>
      </c>
      <c r="I27" s="20" t="str">
        <f aca="false">"GHS"</f>
        <v>GHS</v>
      </c>
      <c r="J27" s="221" t="str">
        <f aca="false">""</f>
        <v/>
      </c>
      <c r="K27" s="214" t="str">
        <f aca="false">""</f>
        <v/>
      </c>
      <c r="L27" s="20" t="s">
        <v>2218</v>
      </c>
    </row>
    <row r="28" customFormat="false" ht="13.5" hidden="false" customHeight="false" outlineLevel="0" collapsed="false">
      <c r="A28" s="20" t="s">
        <v>139</v>
      </c>
      <c r="B28" s="20" t="s">
        <v>140</v>
      </c>
      <c r="C28" s="139" t="n">
        <v>46112</v>
      </c>
      <c r="D28" s="20" t="s">
        <v>85</v>
      </c>
      <c r="E28" s="20" t="s">
        <v>2190</v>
      </c>
      <c r="F28" s="20" t="str">
        <f aca="false">"Awaiting entity pack"</f>
        <v>Awaiting entity pack</v>
      </c>
      <c r="G28" s="214" t="str">
        <f aca="false">""</f>
        <v/>
      </c>
      <c r="H28" s="20" t="str">
        <f aca="false">""</f>
        <v/>
      </c>
      <c r="I28" s="20" t="str">
        <f aca="false">"GHS"</f>
        <v>GHS</v>
      </c>
      <c r="J28" s="221" t="str">
        <f aca="false">""</f>
        <v/>
      </c>
      <c r="K28" s="214" t="str">
        <f aca="false">""</f>
        <v/>
      </c>
      <c r="L28" s="20" t="s">
        <v>2218</v>
      </c>
    </row>
    <row r="29" customFormat="false" ht="13.5" hidden="false" customHeight="false" outlineLevel="0" collapsed="false">
      <c r="A29" s="20" t="s">
        <v>139</v>
      </c>
      <c r="B29" s="20" t="s">
        <v>140</v>
      </c>
      <c r="C29" s="139" t="n">
        <v>46112</v>
      </c>
      <c r="D29" s="20" t="s">
        <v>85</v>
      </c>
      <c r="E29" s="20" t="s">
        <v>2191</v>
      </c>
      <c r="F29" s="20" t="str">
        <f aca="false">"Awaiting entity pack"</f>
        <v>Awaiting entity pack</v>
      </c>
      <c r="G29" s="214" t="str">
        <f aca="false">""</f>
        <v/>
      </c>
      <c r="H29" s="20" t="str">
        <f aca="false">""</f>
        <v/>
      </c>
      <c r="I29" s="20" t="str">
        <f aca="false">"GHS"</f>
        <v>GHS</v>
      </c>
      <c r="J29" s="221" t="str">
        <f aca="false">""</f>
        <v/>
      </c>
      <c r="K29" s="214" t="str">
        <f aca="false">""</f>
        <v/>
      </c>
      <c r="L29" s="20" t="s">
        <v>2218</v>
      </c>
    </row>
    <row r="30" customFormat="false" ht="13.5" hidden="false" customHeight="false" outlineLevel="0" collapsed="false">
      <c r="A30" s="20" t="s">
        <v>139</v>
      </c>
      <c r="B30" s="20" t="s">
        <v>140</v>
      </c>
      <c r="C30" s="139" t="n">
        <v>46112</v>
      </c>
      <c r="D30" s="20" t="s">
        <v>85</v>
      </c>
      <c r="E30" s="20" t="s">
        <v>2146</v>
      </c>
      <c r="F30" s="20" t="str">
        <f aca="false">"Awaiting entity pack"</f>
        <v>Awaiting entity pack</v>
      </c>
      <c r="G30" s="214" t="str">
        <f aca="false">""</f>
        <v/>
      </c>
      <c r="H30" s="20" t="str">
        <f aca="false">""</f>
        <v/>
      </c>
      <c r="I30" s="20" t="str">
        <f aca="false">"GHS"</f>
        <v>GHS</v>
      </c>
      <c r="J30" s="221" t="str">
        <f aca="false">""</f>
        <v/>
      </c>
      <c r="K30" s="214" t="str">
        <f aca="false">""</f>
        <v/>
      </c>
      <c r="L30" s="20" t="s">
        <v>2218</v>
      </c>
    </row>
    <row r="31" customFormat="false" ht="13.5" hidden="false" customHeight="false" outlineLevel="0" collapsed="false">
      <c r="A31" s="20" t="s">
        <v>139</v>
      </c>
      <c r="B31" s="20" t="s">
        <v>140</v>
      </c>
      <c r="C31" s="139" t="n">
        <v>46112</v>
      </c>
      <c r="D31" s="20" t="s">
        <v>85</v>
      </c>
      <c r="E31" s="20" t="s">
        <v>2147</v>
      </c>
      <c r="F31" s="20" t="str">
        <f aca="false">"Awaiting entity pack"</f>
        <v>Awaiting entity pack</v>
      </c>
      <c r="G31" s="214" t="str">
        <f aca="false">""</f>
        <v/>
      </c>
      <c r="H31" s="20" t="str">
        <f aca="false">""</f>
        <v/>
      </c>
      <c r="I31" s="20" t="str">
        <f aca="false">"GHS"</f>
        <v>GHS</v>
      </c>
      <c r="J31" s="221" t="str">
        <f aca="false">""</f>
        <v/>
      </c>
      <c r="K31" s="214" t="str">
        <f aca="false">""</f>
        <v/>
      </c>
      <c r="L31" s="20" t="s">
        <v>2218</v>
      </c>
    </row>
    <row r="32" customFormat="false" ht="13.5" hidden="false" customHeight="false" outlineLevel="0" collapsed="false">
      <c r="A32" s="20" t="s">
        <v>139</v>
      </c>
      <c r="B32" s="20" t="s">
        <v>140</v>
      </c>
      <c r="C32" s="139" t="n">
        <v>46112</v>
      </c>
      <c r="D32" s="20" t="s">
        <v>85</v>
      </c>
      <c r="E32" s="20" t="s">
        <v>262</v>
      </c>
      <c r="F32" s="20" t="str">
        <f aca="false">"Awaiting entity pack"</f>
        <v>Awaiting entity pack</v>
      </c>
      <c r="G32" s="214" t="str">
        <f aca="false">""</f>
        <v/>
      </c>
      <c r="H32" s="20" t="str">
        <f aca="false">""</f>
        <v/>
      </c>
      <c r="I32" s="20" t="str">
        <f aca="false">"GHS"</f>
        <v>GHS</v>
      </c>
      <c r="J32" s="221" t="str">
        <f aca="false">""</f>
        <v/>
      </c>
      <c r="K32" s="214" t="str">
        <f aca="false">""</f>
        <v/>
      </c>
      <c r="L32" s="20" t="s">
        <v>2218</v>
      </c>
    </row>
    <row r="33" customFormat="false" ht="13.5" hidden="false" customHeight="false" outlineLevel="0" collapsed="false">
      <c r="A33" s="20" t="s">
        <v>139</v>
      </c>
      <c r="B33" s="20" t="s">
        <v>140</v>
      </c>
      <c r="C33" s="139" t="n">
        <v>46112</v>
      </c>
      <c r="D33" s="20" t="s">
        <v>85</v>
      </c>
      <c r="E33" s="20" t="s">
        <v>261</v>
      </c>
      <c r="F33" s="20" t="str">
        <f aca="false">"Awaiting entity pack"</f>
        <v>Awaiting entity pack</v>
      </c>
      <c r="G33" s="216" t="str">
        <f aca="false">""</f>
        <v/>
      </c>
      <c r="H33" s="20" t="str">
        <f aca="false">""</f>
        <v/>
      </c>
      <c r="I33" s="20" t="str">
        <f aca="false">"GHS"</f>
        <v>GHS</v>
      </c>
      <c r="J33" s="221" t="str">
        <f aca="false">""</f>
        <v/>
      </c>
      <c r="K33" s="216" t="str">
        <f aca="false">""</f>
        <v/>
      </c>
      <c r="L33" s="20" t="s">
        <v>2218</v>
      </c>
    </row>
    <row r="34" customFormat="false" ht="13.5" hidden="false" customHeight="false" outlineLevel="0" collapsed="false">
      <c r="A34" s="20" t="s">
        <v>139</v>
      </c>
      <c r="B34" s="20" t="s">
        <v>140</v>
      </c>
      <c r="C34" s="139" t="n">
        <v>46112</v>
      </c>
      <c r="D34" s="20" t="s">
        <v>85</v>
      </c>
      <c r="E34" s="20" t="s">
        <v>2195</v>
      </c>
      <c r="F34" s="20" t="str">
        <f aca="false">"Awaiting entity pack"</f>
        <v>Awaiting entity pack</v>
      </c>
      <c r="G34" s="216" t="str">
        <f aca="false">""</f>
        <v/>
      </c>
      <c r="H34" s="20" t="str">
        <f aca="false">""</f>
        <v/>
      </c>
      <c r="I34" s="20" t="str">
        <f aca="false">"GHS"</f>
        <v>GHS</v>
      </c>
      <c r="J34" s="221" t="str">
        <f aca="false">""</f>
        <v/>
      </c>
      <c r="K34" s="216" t="str">
        <f aca="false">""</f>
        <v/>
      </c>
      <c r="L34" s="20" t="s">
        <v>2218</v>
      </c>
    </row>
    <row r="35" customFormat="false" ht="13.5" hidden="false" customHeight="false" outlineLevel="0" collapsed="false">
      <c r="A35" s="20" t="s">
        <v>144</v>
      </c>
      <c r="B35" s="20" t="s">
        <v>145</v>
      </c>
      <c r="C35" s="139" t="n">
        <v>46112</v>
      </c>
      <c r="D35" s="20" t="s">
        <v>85</v>
      </c>
      <c r="E35" s="20" t="s">
        <v>2179</v>
      </c>
      <c r="F35" s="20" t="str">
        <f aca="false">"Awaiting entity pack"</f>
        <v>Awaiting entity pack</v>
      </c>
      <c r="G35" s="214" t="str">
        <f aca="false">""</f>
        <v/>
      </c>
      <c r="H35" s="20" t="str">
        <f aca="false">""</f>
        <v/>
      </c>
      <c r="I35" s="20" t="str">
        <f aca="false">"GHS"</f>
        <v>GHS</v>
      </c>
      <c r="J35" s="221" t="str">
        <f aca="false">""</f>
        <v/>
      </c>
      <c r="K35" s="214" t="str">
        <f aca="false">""</f>
        <v/>
      </c>
      <c r="L35" s="20" t="s">
        <v>2218</v>
      </c>
    </row>
    <row r="36" customFormat="false" ht="13.5" hidden="false" customHeight="false" outlineLevel="0" collapsed="false">
      <c r="A36" s="20" t="s">
        <v>144</v>
      </c>
      <c r="B36" s="20" t="s">
        <v>145</v>
      </c>
      <c r="C36" s="139" t="n">
        <v>46112</v>
      </c>
      <c r="D36" s="20" t="s">
        <v>85</v>
      </c>
      <c r="E36" s="20" t="s">
        <v>2182</v>
      </c>
      <c r="F36" s="20" t="str">
        <f aca="false">"Awaiting entity pack"</f>
        <v>Awaiting entity pack</v>
      </c>
      <c r="G36" s="214" t="str">
        <f aca="false">""</f>
        <v/>
      </c>
      <c r="H36" s="20" t="str">
        <f aca="false">""</f>
        <v/>
      </c>
      <c r="I36" s="20" t="str">
        <f aca="false">"GHS"</f>
        <v>GHS</v>
      </c>
      <c r="J36" s="221" t="str">
        <f aca="false">""</f>
        <v/>
      </c>
      <c r="K36" s="214" t="str">
        <f aca="false">""</f>
        <v/>
      </c>
      <c r="L36" s="20" t="s">
        <v>2218</v>
      </c>
    </row>
    <row r="37" customFormat="false" ht="13.5" hidden="false" customHeight="false" outlineLevel="0" collapsed="false">
      <c r="A37" s="20" t="s">
        <v>144</v>
      </c>
      <c r="B37" s="20" t="s">
        <v>145</v>
      </c>
      <c r="C37" s="139" t="n">
        <v>46112</v>
      </c>
      <c r="D37" s="20" t="s">
        <v>85</v>
      </c>
      <c r="E37" s="20" t="s">
        <v>2183</v>
      </c>
      <c r="F37" s="20" t="str">
        <f aca="false">"Awaiting entity pack"</f>
        <v>Awaiting entity pack</v>
      </c>
      <c r="G37" s="214" t="str">
        <f aca="false">""</f>
        <v/>
      </c>
      <c r="H37" s="20" t="str">
        <f aca="false">""</f>
        <v/>
      </c>
      <c r="I37" s="20" t="str">
        <f aca="false">"GHS"</f>
        <v>GHS</v>
      </c>
      <c r="J37" s="221" t="str">
        <f aca="false">""</f>
        <v/>
      </c>
      <c r="K37" s="214" t="str">
        <f aca="false">""</f>
        <v/>
      </c>
      <c r="L37" s="20" t="s">
        <v>2218</v>
      </c>
    </row>
    <row r="38" customFormat="false" ht="13.5" hidden="false" customHeight="false" outlineLevel="0" collapsed="false">
      <c r="A38" s="20" t="s">
        <v>144</v>
      </c>
      <c r="B38" s="20" t="s">
        <v>145</v>
      </c>
      <c r="C38" s="139" t="n">
        <v>46112</v>
      </c>
      <c r="D38" s="20" t="s">
        <v>85</v>
      </c>
      <c r="E38" s="20" t="s">
        <v>2184</v>
      </c>
      <c r="F38" s="20" t="str">
        <f aca="false">"Awaiting entity pack"</f>
        <v>Awaiting entity pack</v>
      </c>
      <c r="G38" s="214" t="str">
        <f aca="false">""</f>
        <v/>
      </c>
      <c r="H38" s="20" t="str">
        <f aca="false">""</f>
        <v/>
      </c>
      <c r="I38" s="20" t="str">
        <f aca="false">"GHS"</f>
        <v>GHS</v>
      </c>
      <c r="J38" s="221" t="str">
        <f aca="false">""</f>
        <v/>
      </c>
      <c r="K38" s="214" t="str">
        <f aca="false">""</f>
        <v/>
      </c>
      <c r="L38" s="20" t="s">
        <v>2218</v>
      </c>
    </row>
    <row r="39" customFormat="false" ht="13.5" hidden="false" customHeight="false" outlineLevel="0" collapsed="false">
      <c r="A39" s="20" t="s">
        <v>144</v>
      </c>
      <c r="B39" s="20" t="s">
        <v>145</v>
      </c>
      <c r="C39" s="139" t="n">
        <v>46112</v>
      </c>
      <c r="D39" s="20" t="s">
        <v>85</v>
      </c>
      <c r="E39" s="20" t="s">
        <v>2185</v>
      </c>
      <c r="F39" s="20" t="str">
        <f aca="false">"Awaiting entity pack"</f>
        <v>Awaiting entity pack</v>
      </c>
      <c r="G39" s="214" t="str">
        <f aca="false">""</f>
        <v/>
      </c>
      <c r="H39" s="20" t="str">
        <f aca="false">""</f>
        <v/>
      </c>
      <c r="I39" s="20" t="str">
        <f aca="false">"GHS"</f>
        <v>GHS</v>
      </c>
      <c r="J39" s="221" t="str">
        <f aca="false">""</f>
        <v/>
      </c>
      <c r="K39" s="214" t="str">
        <f aca="false">""</f>
        <v/>
      </c>
      <c r="L39" s="20" t="s">
        <v>2218</v>
      </c>
    </row>
    <row r="40" customFormat="false" ht="13.5" hidden="false" customHeight="false" outlineLevel="0" collapsed="false">
      <c r="A40" s="20" t="s">
        <v>144</v>
      </c>
      <c r="B40" s="20" t="s">
        <v>145</v>
      </c>
      <c r="C40" s="139" t="n">
        <v>46112</v>
      </c>
      <c r="D40" s="20" t="s">
        <v>85</v>
      </c>
      <c r="E40" s="20" t="s">
        <v>2187</v>
      </c>
      <c r="F40" s="20" t="str">
        <f aca="false">"Awaiting entity pack"</f>
        <v>Awaiting entity pack</v>
      </c>
      <c r="G40" s="214" t="str">
        <f aca="false">""</f>
        <v/>
      </c>
      <c r="H40" s="20" t="str">
        <f aca="false">""</f>
        <v/>
      </c>
      <c r="I40" s="20" t="str">
        <f aca="false">"GHS"</f>
        <v>GHS</v>
      </c>
      <c r="J40" s="221" t="str">
        <f aca="false">""</f>
        <v/>
      </c>
      <c r="K40" s="214" t="str">
        <f aca="false">""</f>
        <v/>
      </c>
      <c r="L40" s="20" t="s">
        <v>2218</v>
      </c>
    </row>
    <row r="41" customFormat="false" ht="13.5" hidden="false" customHeight="false" outlineLevel="0" collapsed="false">
      <c r="A41" s="20" t="s">
        <v>144</v>
      </c>
      <c r="B41" s="20" t="s">
        <v>145</v>
      </c>
      <c r="C41" s="139" t="n">
        <v>46112</v>
      </c>
      <c r="D41" s="20" t="s">
        <v>85</v>
      </c>
      <c r="E41" s="20" t="s">
        <v>2140</v>
      </c>
      <c r="F41" s="20" t="str">
        <f aca="false">"Awaiting entity pack"</f>
        <v>Awaiting entity pack</v>
      </c>
      <c r="G41" s="214" t="str">
        <f aca="false">""</f>
        <v/>
      </c>
      <c r="H41" s="20" t="str">
        <f aca="false">""</f>
        <v/>
      </c>
      <c r="I41" s="20" t="str">
        <f aca="false">"GHS"</f>
        <v>GHS</v>
      </c>
      <c r="J41" s="221" t="str">
        <f aca="false">""</f>
        <v/>
      </c>
      <c r="K41" s="214" t="str">
        <f aca="false">""</f>
        <v/>
      </c>
      <c r="L41" s="20" t="s">
        <v>2218</v>
      </c>
    </row>
    <row r="42" customFormat="false" ht="13.5" hidden="false" customHeight="false" outlineLevel="0" collapsed="false">
      <c r="A42" s="20" t="s">
        <v>144</v>
      </c>
      <c r="B42" s="20" t="s">
        <v>145</v>
      </c>
      <c r="C42" s="139" t="n">
        <v>46112</v>
      </c>
      <c r="D42" s="20" t="s">
        <v>85</v>
      </c>
      <c r="E42" s="20" t="s">
        <v>2189</v>
      </c>
      <c r="F42" s="20" t="str">
        <f aca="false">"Awaiting entity pack"</f>
        <v>Awaiting entity pack</v>
      </c>
      <c r="G42" s="214" t="str">
        <f aca="false">""</f>
        <v/>
      </c>
      <c r="H42" s="20" t="str">
        <f aca="false">""</f>
        <v/>
      </c>
      <c r="I42" s="20" t="str">
        <f aca="false">"GHS"</f>
        <v>GHS</v>
      </c>
      <c r="J42" s="221" t="str">
        <f aca="false">""</f>
        <v/>
      </c>
      <c r="K42" s="214" t="str">
        <f aca="false">""</f>
        <v/>
      </c>
      <c r="L42" s="20" t="s">
        <v>2218</v>
      </c>
    </row>
    <row r="43" customFormat="false" ht="13.5" hidden="false" customHeight="false" outlineLevel="0" collapsed="false">
      <c r="A43" s="20" t="s">
        <v>144</v>
      </c>
      <c r="B43" s="20" t="s">
        <v>145</v>
      </c>
      <c r="C43" s="139" t="n">
        <v>46112</v>
      </c>
      <c r="D43" s="20" t="s">
        <v>85</v>
      </c>
      <c r="E43" s="20" t="s">
        <v>2190</v>
      </c>
      <c r="F43" s="20" t="str">
        <f aca="false">"Awaiting entity pack"</f>
        <v>Awaiting entity pack</v>
      </c>
      <c r="G43" s="214" t="str">
        <f aca="false">""</f>
        <v/>
      </c>
      <c r="H43" s="20" t="str">
        <f aca="false">""</f>
        <v/>
      </c>
      <c r="I43" s="20" t="str">
        <f aca="false">"GHS"</f>
        <v>GHS</v>
      </c>
      <c r="J43" s="221" t="str">
        <f aca="false">""</f>
        <v/>
      </c>
      <c r="K43" s="214" t="str">
        <f aca="false">""</f>
        <v/>
      </c>
      <c r="L43" s="20" t="s">
        <v>2218</v>
      </c>
    </row>
    <row r="44" customFormat="false" ht="13.5" hidden="false" customHeight="false" outlineLevel="0" collapsed="false">
      <c r="A44" s="20" t="s">
        <v>144</v>
      </c>
      <c r="B44" s="20" t="s">
        <v>145</v>
      </c>
      <c r="C44" s="139" t="n">
        <v>46112</v>
      </c>
      <c r="D44" s="20" t="s">
        <v>85</v>
      </c>
      <c r="E44" s="20" t="s">
        <v>2191</v>
      </c>
      <c r="F44" s="20" t="str">
        <f aca="false">"Awaiting entity pack"</f>
        <v>Awaiting entity pack</v>
      </c>
      <c r="G44" s="214" t="str">
        <f aca="false">""</f>
        <v/>
      </c>
      <c r="H44" s="20" t="str">
        <f aca="false">""</f>
        <v/>
      </c>
      <c r="I44" s="20" t="str">
        <f aca="false">"GHS"</f>
        <v>GHS</v>
      </c>
      <c r="J44" s="221" t="str">
        <f aca="false">""</f>
        <v/>
      </c>
      <c r="K44" s="214" t="str">
        <f aca="false">""</f>
        <v/>
      </c>
      <c r="L44" s="20" t="s">
        <v>2218</v>
      </c>
    </row>
    <row r="45" customFormat="false" ht="13.5" hidden="false" customHeight="false" outlineLevel="0" collapsed="false">
      <c r="A45" s="20" t="s">
        <v>144</v>
      </c>
      <c r="B45" s="20" t="s">
        <v>145</v>
      </c>
      <c r="C45" s="139" t="n">
        <v>46112</v>
      </c>
      <c r="D45" s="20" t="s">
        <v>85</v>
      </c>
      <c r="E45" s="20" t="s">
        <v>2146</v>
      </c>
      <c r="F45" s="20" t="str">
        <f aca="false">"Awaiting entity pack"</f>
        <v>Awaiting entity pack</v>
      </c>
      <c r="G45" s="214" t="str">
        <f aca="false">""</f>
        <v/>
      </c>
      <c r="H45" s="20" t="str">
        <f aca="false">""</f>
        <v/>
      </c>
      <c r="I45" s="20" t="str">
        <f aca="false">"GHS"</f>
        <v>GHS</v>
      </c>
      <c r="J45" s="221" t="str">
        <f aca="false">""</f>
        <v/>
      </c>
      <c r="K45" s="214" t="str">
        <f aca="false">""</f>
        <v/>
      </c>
      <c r="L45" s="20" t="s">
        <v>2218</v>
      </c>
    </row>
    <row r="46" customFormat="false" ht="13.5" hidden="false" customHeight="false" outlineLevel="0" collapsed="false">
      <c r="A46" s="20" t="s">
        <v>144</v>
      </c>
      <c r="B46" s="20" t="s">
        <v>145</v>
      </c>
      <c r="C46" s="139" t="n">
        <v>46112</v>
      </c>
      <c r="D46" s="20" t="s">
        <v>85</v>
      </c>
      <c r="E46" s="20" t="s">
        <v>2147</v>
      </c>
      <c r="F46" s="20" t="str">
        <f aca="false">"Awaiting entity pack"</f>
        <v>Awaiting entity pack</v>
      </c>
      <c r="G46" s="214" t="str">
        <f aca="false">""</f>
        <v/>
      </c>
      <c r="H46" s="20" t="str">
        <f aca="false">""</f>
        <v/>
      </c>
      <c r="I46" s="20" t="str">
        <f aca="false">"GHS"</f>
        <v>GHS</v>
      </c>
      <c r="J46" s="221" t="str">
        <f aca="false">""</f>
        <v/>
      </c>
      <c r="K46" s="214" t="str">
        <f aca="false">""</f>
        <v/>
      </c>
      <c r="L46" s="20" t="s">
        <v>2218</v>
      </c>
    </row>
    <row r="47" customFormat="false" ht="13.5" hidden="false" customHeight="false" outlineLevel="0" collapsed="false">
      <c r="A47" s="20" t="s">
        <v>144</v>
      </c>
      <c r="B47" s="20" t="s">
        <v>145</v>
      </c>
      <c r="C47" s="139" t="n">
        <v>46112</v>
      </c>
      <c r="D47" s="20" t="s">
        <v>85</v>
      </c>
      <c r="E47" s="20" t="s">
        <v>262</v>
      </c>
      <c r="F47" s="20" t="str">
        <f aca="false">"Awaiting entity pack"</f>
        <v>Awaiting entity pack</v>
      </c>
      <c r="G47" s="214" t="str">
        <f aca="false">""</f>
        <v/>
      </c>
      <c r="H47" s="20" t="str">
        <f aca="false">""</f>
        <v/>
      </c>
      <c r="I47" s="20" t="str">
        <f aca="false">"GHS"</f>
        <v>GHS</v>
      </c>
      <c r="J47" s="221" t="str">
        <f aca="false">""</f>
        <v/>
      </c>
      <c r="K47" s="214" t="str">
        <f aca="false">""</f>
        <v/>
      </c>
      <c r="L47" s="20" t="s">
        <v>2218</v>
      </c>
    </row>
    <row r="48" customFormat="false" ht="13.5" hidden="false" customHeight="false" outlineLevel="0" collapsed="false">
      <c r="A48" s="20" t="s">
        <v>144</v>
      </c>
      <c r="B48" s="20" t="s">
        <v>145</v>
      </c>
      <c r="C48" s="139" t="n">
        <v>46112</v>
      </c>
      <c r="D48" s="20" t="s">
        <v>85</v>
      </c>
      <c r="E48" s="20" t="s">
        <v>261</v>
      </c>
      <c r="F48" s="20" t="str">
        <f aca="false">"Awaiting entity pack"</f>
        <v>Awaiting entity pack</v>
      </c>
      <c r="G48" s="216" t="str">
        <f aca="false">""</f>
        <v/>
      </c>
      <c r="H48" s="20" t="str">
        <f aca="false">""</f>
        <v/>
      </c>
      <c r="I48" s="20" t="str">
        <f aca="false">"GHS"</f>
        <v>GHS</v>
      </c>
      <c r="J48" s="221" t="str">
        <f aca="false">""</f>
        <v/>
      </c>
      <c r="K48" s="216" t="str">
        <f aca="false">""</f>
        <v/>
      </c>
      <c r="L48" s="20" t="s">
        <v>2218</v>
      </c>
    </row>
    <row r="49" customFormat="false" ht="13.5" hidden="false" customHeight="false" outlineLevel="0" collapsed="false">
      <c r="A49" s="20" t="s">
        <v>144</v>
      </c>
      <c r="B49" s="20" t="s">
        <v>145</v>
      </c>
      <c r="C49" s="139" t="n">
        <v>46112</v>
      </c>
      <c r="D49" s="20" t="s">
        <v>85</v>
      </c>
      <c r="E49" s="20" t="s">
        <v>2195</v>
      </c>
      <c r="F49" s="20" t="str">
        <f aca="false">"Awaiting entity pack"</f>
        <v>Awaiting entity pack</v>
      </c>
      <c r="G49" s="216" t="str">
        <f aca="false">""</f>
        <v/>
      </c>
      <c r="H49" s="20" t="str">
        <f aca="false">""</f>
        <v/>
      </c>
      <c r="I49" s="20" t="str">
        <f aca="false">"GHS"</f>
        <v>GHS</v>
      </c>
      <c r="J49" s="221" t="str">
        <f aca="false">""</f>
        <v/>
      </c>
      <c r="K49" s="216" t="str">
        <f aca="false">""</f>
        <v/>
      </c>
      <c r="L49" s="20" t="s">
        <v>2218</v>
      </c>
    </row>
    <row r="50" customFormat="false" ht="13.5" hidden="false" customHeight="false" outlineLevel="0" collapsed="false">
      <c r="A50" s="20" t="s">
        <v>147</v>
      </c>
      <c r="B50" s="20" t="s">
        <v>148</v>
      </c>
      <c r="C50" s="139" t="n">
        <v>46112</v>
      </c>
      <c r="D50" s="20" t="s">
        <v>85</v>
      </c>
      <c r="E50" s="20" t="s">
        <v>2179</v>
      </c>
      <c r="F50" s="20" t="str">
        <f aca="false">"Awaiting entity pack"</f>
        <v>Awaiting entity pack</v>
      </c>
      <c r="G50" s="214" t="str">
        <f aca="false">""</f>
        <v/>
      </c>
      <c r="H50" s="20" t="str">
        <f aca="false">""</f>
        <v/>
      </c>
      <c r="I50" s="20" t="str">
        <f aca="false">"GHS"</f>
        <v>GHS</v>
      </c>
      <c r="J50" s="221" t="str">
        <f aca="false">""</f>
        <v/>
      </c>
      <c r="K50" s="214" t="str">
        <f aca="false">""</f>
        <v/>
      </c>
      <c r="L50" s="20" t="s">
        <v>2218</v>
      </c>
    </row>
    <row r="51" customFormat="false" ht="13.5" hidden="false" customHeight="false" outlineLevel="0" collapsed="false">
      <c r="A51" s="20" t="s">
        <v>147</v>
      </c>
      <c r="B51" s="20" t="s">
        <v>148</v>
      </c>
      <c r="C51" s="139" t="n">
        <v>46112</v>
      </c>
      <c r="D51" s="20" t="s">
        <v>85</v>
      </c>
      <c r="E51" s="20" t="s">
        <v>2182</v>
      </c>
      <c r="F51" s="20" t="str">
        <f aca="false">"Awaiting entity pack"</f>
        <v>Awaiting entity pack</v>
      </c>
      <c r="G51" s="214" t="str">
        <f aca="false">""</f>
        <v/>
      </c>
      <c r="H51" s="20" t="str">
        <f aca="false">""</f>
        <v/>
      </c>
      <c r="I51" s="20" t="str">
        <f aca="false">"GHS"</f>
        <v>GHS</v>
      </c>
      <c r="J51" s="221" t="str">
        <f aca="false">""</f>
        <v/>
      </c>
      <c r="K51" s="214" t="str">
        <f aca="false">""</f>
        <v/>
      </c>
      <c r="L51" s="20" t="s">
        <v>2218</v>
      </c>
    </row>
    <row r="52" customFormat="false" ht="13.5" hidden="false" customHeight="false" outlineLevel="0" collapsed="false">
      <c r="A52" s="20" t="s">
        <v>147</v>
      </c>
      <c r="B52" s="20" t="s">
        <v>148</v>
      </c>
      <c r="C52" s="139" t="n">
        <v>46112</v>
      </c>
      <c r="D52" s="20" t="s">
        <v>85</v>
      </c>
      <c r="E52" s="20" t="s">
        <v>2183</v>
      </c>
      <c r="F52" s="20" t="str">
        <f aca="false">"Awaiting entity pack"</f>
        <v>Awaiting entity pack</v>
      </c>
      <c r="G52" s="214" t="str">
        <f aca="false">""</f>
        <v/>
      </c>
      <c r="H52" s="20" t="str">
        <f aca="false">""</f>
        <v/>
      </c>
      <c r="I52" s="20" t="str">
        <f aca="false">"GHS"</f>
        <v>GHS</v>
      </c>
      <c r="J52" s="221" t="str">
        <f aca="false">""</f>
        <v/>
      </c>
      <c r="K52" s="214" t="str">
        <f aca="false">""</f>
        <v/>
      </c>
      <c r="L52" s="20" t="s">
        <v>2218</v>
      </c>
    </row>
    <row r="53" customFormat="false" ht="13.5" hidden="false" customHeight="false" outlineLevel="0" collapsed="false">
      <c r="A53" s="20" t="s">
        <v>147</v>
      </c>
      <c r="B53" s="20" t="s">
        <v>148</v>
      </c>
      <c r="C53" s="139" t="n">
        <v>46112</v>
      </c>
      <c r="D53" s="20" t="s">
        <v>85</v>
      </c>
      <c r="E53" s="20" t="s">
        <v>2184</v>
      </c>
      <c r="F53" s="20" t="str">
        <f aca="false">"Awaiting entity pack"</f>
        <v>Awaiting entity pack</v>
      </c>
      <c r="G53" s="214" t="str">
        <f aca="false">""</f>
        <v/>
      </c>
      <c r="H53" s="20" t="str">
        <f aca="false">""</f>
        <v/>
      </c>
      <c r="I53" s="20" t="str">
        <f aca="false">"GHS"</f>
        <v>GHS</v>
      </c>
      <c r="J53" s="221" t="str">
        <f aca="false">""</f>
        <v/>
      </c>
      <c r="K53" s="214" t="str">
        <f aca="false">""</f>
        <v/>
      </c>
      <c r="L53" s="20" t="s">
        <v>2218</v>
      </c>
    </row>
    <row r="54" customFormat="false" ht="13.5" hidden="false" customHeight="false" outlineLevel="0" collapsed="false">
      <c r="A54" s="20" t="s">
        <v>147</v>
      </c>
      <c r="B54" s="20" t="s">
        <v>148</v>
      </c>
      <c r="C54" s="139" t="n">
        <v>46112</v>
      </c>
      <c r="D54" s="20" t="s">
        <v>85</v>
      </c>
      <c r="E54" s="20" t="s">
        <v>2185</v>
      </c>
      <c r="F54" s="20" t="str">
        <f aca="false">"Awaiting entity pack"</f>
        <v>Awaiting entity pack</v>
      </c>
      <c r="G54" s="214" t="str">
        <f aca="false">""</f>
        <v/>
      </c>
      <c r="H54" s="20" t="str">
        <f aca="false">""</f>
        <v/>
      </c>
      <c r="I54" s="20" t="str">
        <f aca="false">"GHS"</f>
        <v>GHS</v>
      </c>
      <c r="J54" s="221" t="str">
        <f aca="false">""</f>
        <v/>
      </c>
      <c r="K54" s="214" t="str">
        <f aca="false">""</f>
        <v/>
      </c>
      <c r="L54" s="20" t="s">
        <v>2218</v>
      </c>
    </row>
    <row r="55" customFormat="false" ht="13.5" hidden="false" customHeight="false" outlineLevel="0" collapsed="false">
      <c r="A55" s="20" t="s">
        <v>147</v>
      </c>
      <c r="B55" s="20" t="s">
        <v>148</v>
      </c>
      <c r="C55" s="139" t="n">
        <v>46112</v>
      </c>
      <c r="D55" s="20" t="s">
        <v>85</v>
      </c>
      <c r="E55" s="20" t="s">
        <v>2187</v>
      </c>
      <c r="F55" s="20" t="str">
        <f aca="false">"Awaiting entity pack"</f>
        <v>Awaiting entity pack</v>
      </c>
      <c r="G55" s="214" t="str">
        <f aca="false">""</f>
        <v/>
      </c>
      <c r="H55" s="20" t="str">
        <f aca="false">""</f>
        <v/>
      </c>
      <c r="I55" s="20" t="str">
        <f aca="false">"GHS"</f>
        <v>GHS</v>
      </c>
      <c r="J55" s="221" t="str">
        <f aca="false">""</f>
        <v/>
      </c>
      <c r="K55" s="214" t="str">
        <f aca="false">""</f>
        <v/>
      </c>
      <c r="L55" s="20" t="s">
        <v>2218</v>
      </c>
    </row>
    <row r="56" customFormat="false" ht="13.5" hidden="false" customHeight="false" outlineLevel="0" collapsed="false">
      <c r="A56" s="20" t="s">
        <v>147</v>
      </c>
      <c r="B56" s="20" t="s">
        <v>148</v>
      </c>
      <c r="C56" s="139" t="n">
        <v>46112</v>
      </c>
      <c r="D56" s="20" t="s">
        <v>85</v>
      </c>
      <c r="E56" s="20" t="s">
        <v>2140</v>
      </c>
      <c r="F56" s="20" t="str">
        <f aca="false">"Awaiting entity pack"</f>
        <v>Awaiting entity pack</v>
      </c>
      <c r="G56" s="214" t="str">
        <f aca="false">""</f>
        <v/>
      </c>
      <c r="H56" s="20" t="str">
        <f aca="false">""</f>
        <v/>
      </c>
      <c r="I56" s="20" t="str">
        <f aca="false">"GHS"</f>
        <v>GHS</v>
      </c>
      <c r="J56" s="221" t="str">
        <f aca="false">""</f>
        <v/>
      </c>
      <c r="K56" s="214" t="str">
        <f aca="false">""</f>
        <v/>
      </c>
      <c r="L56" s="20" t="s">
        <v>2218</v>
      </c>
    </row>
    <row r="57" customFormat="false" ht="13.5" hidden="false" customHeight="false" outlineLevel="0" collapsed="false">
      <c r="A57" s="20" t="s">
        <v>147</v>
      </c>
      <c r="B57" s="20" t="s">
        <v>148</v>
      </c>
      <c r="C57" s="139" t="n">
        <v>46112</v>
      </c>
      <c r="D57" s="20" t="s">
        <v>85</v>
      </c>
      <c r="E57" s="20" t="s">
        <v>2189</v>
      </c>
      <c r="F57" s="20" t="str">
        <f aca="false">"Awaiting entity pack"</f>
        <v>Awaiting entity pack</v>
      </c>
      <c r="G57" s="214" t="str">
        <f aca="false">""</f>
        <v/>
      </c>
      <c r="H57" s="20" t="str">
        <f aca="false">""</f>
        <v/>
      </c>
      <c r="I57" s="20" t="str">
        <f aca="false">"GHS"</f>
        <v>GHS</v>
      </c>
      <c r="J57" s="221" t="str">
        <f aca="false">""</f>
        <v/>
      </c>
      <c r="K57" s="214" t="str">
        <f aca="false">""</f>
        <v/>
      </c>
      <c r="L57" s="20" t="s">
        <v>2218</v>
      </c>
    </row>
    <row r="58" customFormat="false" ht="13.5" hidden="false" customHeight="false" outlineLevel="0" collapsed="false">
      <c r="A58" s="20" t="s">
        <v>147</v>
      </c>
      <c r="B58" s="20" t="s">
        <v>148</v>
      </c>
      <c r="C58" s="139" t="n">
        <v>46112</v>
      </c>
      <c r="D58" s="20" t="s">
        <v>85</v>
      </c>
      <c r="E58" s="20" t="s">
        <v>2190</v>
      </c>
      <c r="F58" s="20" t="str">
        <f aca="false">"Awaiting entity pack"</f>
        <v>Awaiting entity pack</v>
      </c>
      <c r="G58" s="214" t="str">
        <f aca="false">""</f>
        <v/>
      </c>
      <c r="H58" s="20" t="str">
        <f aca="false">""</f>
        <v/>
      </c>
      <c r="I58" s="20" t="str">
        <f aca="false">"GHS"</f>
        <v>GHS</v>
      </c>
      <c r="J58" s="221" t="str">
        <f aca="false">""</f>
        <v/>
      </c>
      <c r="K58" s="214" t="str">
        <f aca="false">""</f>
        <v/>
      </c>
      <c r="L58" s="20" t="s">
        <v>2218</v>
      </c>
    </row>
    <row r="59" customFormat="false" ht="13.5" hidden="false" customHeight="false" outlineLevel="0" collapsed="false">
      <c r="A59" s="20" t="s">
        <v>147</v>
      </c>
      <c r="B59" s="20" t="s">
        <v>148</v>
      </c>
      <c r="C59" s="139" t="n">
        <v>46112</v>
      </c>
      <c r="D59" s="20" t="s">
        <v>85</v>
      </c>
      <c r="E59" s="20" t="s">
        <v>2191</v>
      </c>
      <c r="F59" s="20" t="str">
        <f aca="false">"Awaiting entity pack"</f>
        <v>Awaiting entity pack</v>
      </c>
      <c r="G59" s="214" t="str">
        <f aca="false">""</f>
        <v/>
      </c>
      <c r="H59" s="20" t="str">
        <f aca="false">""</f>
        <v/>
      </c>
      <c r="I59" s="20" t="str">
        <f aca="false">"GHS"</f>
        <v>GHS</v>
      </c>
      <c r="J59" s="221" t="str">
        <f aca="false">""</f>
        <v/>
      </c>
      <c r="K59" s="214" t="str">
        <f aca="false">""</f>
        <v/>
      </c>
      <c r="L59" s="20" t="s">
        <v>2218</v>
      </c>
    </row>
    <row r="60" customFormat="false" ht="13.5" hidden="false" customHeight="false" outlineLevel="0" collapsed="false">
      <c r="A60" s="20" t="s">
        <v>147</v>
      </c>
      <c r="B60" s="20" t="s">
        <v>148</v>
      </c>
      <c r="C60" s="139" t="n">
        <v>46112</v>
      </c>
      <c r="D60" s="20" t="s">
        <v>85</v>
      </c>
      <c r="E60" s="20" t="s">
        <v>2146</v>
      </c>
      <c r="F60" s="20" t="str">
        <f aca="false">"Awaiting entity pack"</f>
        <v>Awaiting entity pack</v>
      </c>
      <c r="G60" s="214" t="str">
        <f aca="false">""</f>
        <v/>
      </c>
      <c r="H60" s="20" t="str">
        <f aca="false">""</f>
        <v/>
      </c>
      <c r="I60" s="20" t="str">
        <f aca="false">"GHS"</f>
        <v>GHS</v>
      </c>
      <c r="J60" s="221" t="str">
        <f aca="false">""</f>
        <v/>
      </c>
      <c r="K60" s="214" t="str">
        <f aca="false">""</f>
        <v/>
      </c>
      <c r="L60" s="20" t="s">
        <v>2218</v>
      </c>
    </row>
    <row r="61" customFormat="false" ht="13.5" hidden="false" customHeight="false" outlineLevel="0" collapsed="false">
      <c r="A61" s="20" t="s">
        <v>147</v>
      </c>
      <c r="B61" s="20" t="s">
        <v>148</v>
      </c>
      <c r="C61" s="139" t="n">
        <v>46112</v>
      </c>
      <c r="D61" s="20" t="s">
        <v>85</v>
      </c>
      <c r="E61" s="20" t="s">
        <v>2147</v>
      </c>
      <c r="F61" s="20" t="str">
        <f aca="false">"Awaiting entity pack"</f>
        <v>Awaiting entity pack</v>
      </c>
      <c r="G61" s="214" t="str">
        <f aca="false">""</f>
        <v/>
      </c>
      <c r="H61" s="20" t="str">
        <f aca="false">""</f>
        <v/>
      </c>
      <c r="I61" s="20" t="str">
        <f aca="false">"GHS"</f>
        <v>GHS</v>
      </c>
      <c r="J61" s="221" t="str">
        <f aca="false">""</f>
        <v/>
      </c>
      <c r="K61" s="214" t="str">
        <f aca="false">""</f>
        <v/>
      </c>
      <c r="L61" s="20" t="s">
        <v>2218</v>
      </c>
    </row>
    <row r="62" customFormat="false" ht="13.5" hidden="false" customHeight="false" outlineLevel="0" collapsed="false">
      <c r="A62" s="20" t="s">
        <v>147</v>
      </c>
      <c r="B62" s="20" t="s">
        <v>148</v>
      </c>
      <c r="C62" s="139" t="n">
        <v>46112</v>
      </c>
      <c r="D62" s="20" t="s">
        <v>85</v>
      </c>
      <c r="E62" s="20" t="s">
        <v>262</v>
      </c>
      <c r="F62" s="20" t="str">
        <f aca="false">"Awaiting entity pack"</f>
        <v>Awaiting entity pack</v>
      </c>
      <c r="G62" s="214" t="str">
        <f aca="false">""</f>
        <v/>
      </c>
      <c r="H62" s="20" t="str">
        <f aca="false">""</f>
        <v/>
      </c>
      <c r="I62" s="20" t="str">
        <f aca="false">"GHS"</f>
        <v>GHS</v>
      </c>
      <c r="J62" s="221" t="str">
        <f aca="false">""</f>
        <v/>
      </c>
      <c r="K62" s="214" t="str">
        <f aca="false">""</f>
        <v/>
      </c>
      <c r="L62" s="20" t="s">
        <v>2218</v>
      </c>
    </row>
    <row r="63" customFormat="false" ht="13.5" hidden="false" customHeight="false" outlineLevel="0" collapsed="false">
      <c r="A63" s="20" t="s">
        <v>147</v>
      </c>
      <c r="B63" s="20" t="s">
        <v>148</v>
      </c>
      <c r="C63" s="139" t="n">
        <v>46112</v>
      </c>
      <c r="D63" s="20" t="s">
        <v>85</v>
      </c>
      <c r="E63" s="20" t="s">
        <v>261</v>
      </c>
      <c r="F63" s="20" t="str">
        <f aca="false">"Awaiting entity pack"</f>
        <v>Awaiting entity pack</v>
      </c>
      <c r="G63" s="216" t="str">
        <f aca="false">""</f>
        <v/>
      </c>
      <c r="H63" s="20" t="str">
        <f aca="false">""</f>
        <v/>
      </c>
      <c r="I63" s="20" t="str">
        <f aca="false">"GHS"</f>
        <v>GHS</v>
      </c>
      <c r="J63" s="221" t="str">
        <f aca="false">""</f>
        <v/>
      </c>
      <c r="K63" s="216" t="str">
        <f aca="false">""</f>
        <v/>
      </c>
      <c r="L63" s="20" t="s">
        <v>2218</v>
      </c>
    </row>
    <row r="64" customFormat="false" ht="13.5" hidden="false" customHeight="false" outlineLevel="0" collapsed="false">
      <c r="A64" s="20" t="s">
        <v>147</v>
      </c>
      <c r="B64" s="20" t="s">
        <v>148</v>
      </c>
      <c r="C64" s="139" t="n">
        <v>46112</v>
      </c>
      <c r="D64" s="20" t="s">
        <v>85</v>
      </c>
      <c r="E64" s="20" t="s">
        <v>2195</v>
      </c>
      <c r="F64" s="20" t="str">
        <f aca="false">"Awaiting entity pack"</f>
        <v>Awaiting entity pack</v>
      </c>
      <c r="G64" s="216" t="str">
        <f aca="false">""</f>
        <v/>
      </c>
      <c r="H64" s="20" t="str">
        <f aca="false">""</f>
        <v/>
      </c>
      <c r="I64" s="20" t="str">
        <f aca="false">"GHS"</f>
        <v>GHS</v>
      </c>
      <c r="J64" s="221" t="str">
        <f aca="false">""</f>
        <v/>
      </c>
      <c r="K64" s="216" t="str">
        <f aca="false">""</f>
        <v/>
      </c>
      <c r="L64" s="20" t="s">
        <v>2218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Z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48"/>
    <col collapsed="false" customWidth="true" hidden="false" outlineLevel="0" max="7" min="7" style="1" width="34"/>
    <col collapsed="false" customWidth="true" hidden="false" outlineLevel="0" max="8" min="8" style="1" width="16"/>
    <col collapsed="false" customWidth="true" hidden="false" outlineLevel="0" max="9" min="9" style="1" width="72"/>
    <col collapsed="false" customWidth="true" hidden="false" outlineLevel="0" max="10" min="10" style="1" width="20"/>
  </cols>
  <sheetData>
    <row r="1" customFormat="false" ht="9.75" hidden="false" customHeight="true" outlineLevel="0" collapsed="false">
      <c r="A1" s="18" t="s">
        <v>2219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3.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</row>
    <row r="3" customFormat="false" ht="14.9" hidden="false" customHeight="false" outlineLevel="0" collapsed="false">
      <c r="A3" s="218" t="s">
        <v>797</v>
      </c>
      <c r="B3" s="218" t="s">
        <v>2220</v>
      </c>
      <c r="C3" s="218" t="s">
        <v>2221</v>
      </c>
      <c r="D3" s="218" t="s">
        <v>2222</v>
      </c>
      <c r="E3" s="218" t="s">
        <v>1183</v>
      </c>
      <c r="F3" s="218" t="s">
        <v>2223</v>
      </c>
      <c r="G3" s="218" t="s">
        <v>2224</v>
      </c>
      <c r="H3" s="218" t="s">
        <v>773</v>
      </c>
      <c r="I3" s="218" t="s">
        <v>1987</v>
      </c>
      <c r="J3" s="218" t="s">
        <v>2225</v>
      </c>
    </row>
    <row r="4" customFormat="false" ht="14.9" hidden="false" customHeight="false" outlineLevel="0" collapsed="false">
      <c r="A4" s="218" t="s">
        <v>2226</v>
      </c>
      <c r="B4" s="218" t="s">
        <v>2227</v>
      </c>
      <c r="C4" s="218" t="s">
        <v>2228</v>
      </c>
      <c r="D4" s="218" t="s">
        <v>135</v>
      </c>
      <c r="E4" s="218" t="s">
        <v>2229</v>
      </c>
      <c r="F4" s="218" t="s">
        <v>844</v>
      </c>
      <c r="G4" s="218" t="s">
        <v>2230</v>
      </c>
      <c r="H4" s="218" t="s">
        <v>779</v>
      </c>
      <c r="I4" s="218" t="s">
        <v>2231</v>
      </c>
      <c r="J4" s="225" t="n">
        <v>46209.6164439236</v>
      </c>
    </row>
    <row r="5" customFormat="false" ht="14.9" hidden="false" customHeight="false" outlineLevel="0" collapsed="false">
      <c r="A5" s="218" t="s">
        <v>2232</v>
      </c>
      <c r="B5" s="218" t="s">
        <v>2233</v>
      </c>
      <c r="C5" s="218" t="s">
        <v>2234</v>
      </c>
      <c r="D5" s="218" t="s">
        <v>135</v>
      </c>
      <c r="E5" s="218" t="s">
        <v>2229</v>
      </c>
      <c r="F5" s="218" t="s">
        <v>844</v>
      </c>
      <c r="G5" s="218" t="s">
        <v>2235</v>
      </c>
      <c r="H5" s="218" t="s">
        <v>779</v>
      </c>
      <c r="I5" s="218" t="s">
        <v>2236</v>
      </c>
      <c r="J5" s="225" t="n">
        <v>46209.6164439236</v>
      </c>
    </row>
    <row r="6" customFormat="false" ht="14.9" hidden="false" customHeight="false" outlineLevel="0" collapsed="false">
      <c r="A6" s="218" t="s">
        <v>2237</v>
      </c>
      <c r="B6" s="218" t="s">
        <v>2238</v>
      </c>
      <c r="C6" s="218" t="s">
        <v>2228</v>
      </c>
      <c r="D6" s="218" t="s">
        <v>135</v>
      </c>
      <c r="E6" s="218" t="s">
        <v>2229</v>
      </c>
      <c r="F6" s="218" t="s">
        <v>1208</v>
      </c>
      <c r="G6" s="218" t="s">
        <v>2239</v>
      </c>
      <c r="H6" s="218" t="s">
        <v>779</v>
      </c>
      <c r="I6" s="218" t="s">
        <v>2240</v>
      </c>
      <c r="J6" s="225" t="n">
        <v>46209.6164439236</v>
      </c>
    </row>
    <row r="7" customFormat="false" ht="14.9" hidden="false" customHeight="false" outlineLevel="0" collapsed="false">
      <c r="A7" s="218" t="s">
        <v>2241</v>
      </c>
      <c r="B7" s="218" t="s">
        <v>2242</v>
      </c>
      <c r="C7" s="218" t="s">
        <v>2243</v>
      </c>
      <c r="D7" s="218" t="s">
        <v>2244</v>
      </c>
      <c r="E7" s="218" t="s">
        <v>2229</v>
      </c>
      <c r="F7" s="218" t="s">
        <v>1208</v>
      </c>
      <c r="G7" s="218" t="s">
        <v>2245</v>
      </c>
      <c r="H7" s="218" t="s">
        <v>779</v>
      </c>
      <c r="I7" s="218" t="s">
        <v>2246</v>
      </c>
      <c r="J7" s="225" t="n">
        <v>46209.6164439236</v>
      </c>
    </row>
    <row r="8" customFormat="false" ht="14.9" hidden="false" customHeight="false" outlineLevel="0" collapsed="false">
      <c r="A8" s="218" t="s">
        <v>2247</v>
      </c>
      <c r="B8" s="218" t="s">
        <v>2248</v>
      </c>
      <c r="C8" s="218" t="s">
        <v>2249</v>
      </c>
      <c r="D8" s="218" t="s">
        <v>2244</v>
      </c>
      <c r="E8" s="218" t="s">
        <v>2229</v>
      </c>
      <c r="F8" s="218" t="s">
        <v>1208</v>
      </c>
      <c r="G8" s="218" t="s">
        <v>2250</v>
      </c>
      <c r="H8" s="218" t="s">
        <v>779</v>
      </c>
      <c r="I8" s="218" t="s">
        <v>2251</v>
      </c>
      <c r="J8" s="225" t="n">
        <v>46209.6164439236</v>
      </c>
    </row>
    <row r="9" customFormat="false" ht="27.75" hidden="false" customHeight="true" outlineLevel="0" collapsed="false">
      <c r="A9" s="218" t="s">
        <v>2252</v>
      </c>
      <c r="B9" s="218" t="s">
        <v>2253</v>
      </c>
      <c r="C9" s="218" t="s">
        <v>2254</v>
      </c>
      <c r="D9" s="218" t="s">
        <v>135</v>
      </c>
      <c r="E9" s="218" t="s">
        <v>2229</v>
      </c>
      <c r="F9" s="218" t="s">
        <v>529</v>
      </c>
      <c r="G9" s="218" t="s">
        <v>2255</v>
      </c>
      <c r="H9" s="218" t="s">
        <v>779</v>
      </c>
      <c r="I9" s="218" t="s">
        <v>2256</v>
      </c>
      <c r="J9" s="225" t="n">
        <v>46209.6164439236</v>
      </c>
    </row>
    <row r="10" customFormat="false" ht="27.75" hidden="false" customHeight="true" outlineLevel="0" collapsed="false">
      <c r="A10" s="218" t="s">
        <v>2257</v>
      </c>
      <c r="B10" s="218" t="s">
        <v>2258</v>
      </c>
      <c r="C10" s="218" t="s">
        <v>2259</v>
      </c>
      <c r="D10" s="218" t="s">
        <v>85</v>
      </c>
      <c r="E10" s="218" t="s">
        <v>2229</v>
      </c>
      <c r="F10" s="218" t="s">
        <v>529</v>
      </c>
      <c r="G10" s="218" t="s">
        <v>2260</v>
      </c>
      <c r="H10" s="218" t="s">
        <v>779</v>
      </c>
      <c r="I10" s="218" t="s">
        <v>2261</v>
      </c>
      <c r="J10" s="225" t="n">
        <v>46209.6164439236</v>
      </c>
    </row>
    <row r="11" customFormat="false" ht="13.5" hidden="false" customHeight="false" outlineLevel="0" collapsed="false">
      <c r="A11" s="1" t="s">
        <v>2262</v>
      </c>
      <c r="B11" s="1" t="s">
        <v>2263</v>
      </c>
      <c r="C11" s="1" t="s">
        <v>2264</v>
      </c>
      <c r="D11" s="1" t="s">
        <v>2265</v>
      </c>
      <c r="E11" s="1" t="s">
        <v>2266</v>
      </c>
      <c r="F11" s="1" t="s">
        <v>2267</v>
      </c>
      <c r="G11" s="1" t="s">
        <v>2268</v>
      </c>
      <c r="H11" s="1" t="s">
        <v>2269</v>
      </c>
      <c r="I11" s="1" t="s">
        <v>2270</v>
      </c>
      <c r="J11" s="1" t="s">
        <v>2265</v>
      </c>
    </row>
    <row r="12" customFormat="false" ht="13.5" hidden="false" customHeight="false" outlineLevel="0" collapsed="false">
      <c r="A12" s="1" t="s">
        <v>2271</v>
      </c>
      <c r="B12" s="1" t="s">
        <v>2272</v>
      </c>
      <c r="C12" s="1" t="s">
        <v>2273</v>
      </c>
      <c r="D12" s="1" t="s">
        <v>2265</v>
      </c>
      <c r="E12" s="1" t="s">
        <v>2274</v>
      </c>
      <c r="F12" s="1" t="s">
        <v>2275</v>
      </c>
      <c r="G12" s="1" t="s">
        <v>2276</v>
      </c>
      <c r="H12" s="1" t="s">
        <v>2269</v>
      </c>
      <c r="I12" s="1" t="s">
        <v>2277</v>
      </c>
      <c r="J12" s="1" t="s">
        <v>2265</v>
      </c>
    </row>
    <row r="13" customFormat="false" ht="13.5" hidden="false" customHeight="false" outlineLevel="0" collapsed="false">
      <c r="B13" s="1" t="s">
        <v>2278</v>
      </c>
      <c r="E13" s="1" t="s">
        <v>2278</v>
      </c>
      <c r="F13" s="1" t="s">
        <v>2278</v>
      </c>
      <c r="I13" s="1" t="s">
        <v>2279</v>
      </c>
    </row>
    <row r="14" customFormat="false" ht="13.5" hidden="false" customHeight="false" outlineLevel="0" collapsed="false">
      <c r="A14" s="1" t="s">
        <v>2280</v>
      </c>
      <c r="B14" s="1" t="s">
        <v>2071</v>
      </c>
      <c r="C14" s="1" t="s">
        <v>2281</v>
      </c>
      <c r="E14" s="1" t="s">
        <v>2282</v>
      </c>
      <c r="F14" s="1" t="s">
        <v>2283</v>
      </c>
      <c r="I14" s="1" t="s">
        <v>2284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Z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7"/>
    <col collapsed="false" customWidth="true" hidden="false" outlineLevel="0" max="3" min="3" style="1" width="46"/>
    <col collapsed="false" customWidth="true" hidden="false" outlineLevel="0" max="4" min="4" style="1" width="20"/>
    <col collapsed="false" customWidth="true" hidden="false" outlineLevel="0" max="7" min="5" style="1" width="18"/>
    <col collapsed="false" customWidth="true" hidden="false" outlineLevel="0" max="8" min="8" style="1" width="32"/>
    <col collapsed="false" customWidth="true" hidden="false" outlineLevel="0" max="9" min="9" style="1" width="28"/>
    <col collapsed="false" customWidth="true" hidden="false" outlineLevel="0" max="10" min="10" style="1" width="34"/>
  </cols>
  <sheetData>
    <row r="1" customFormat="false" ht="30" hidden="false" customHeight="true" outlineLevel="0" collapsed="false">
      <c r="A1" s="18" t="s">
        <v>2285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4.9" hidden="false" customHeight="true" outlineLevel="0" collapsed="false">
      <c r="A2" s="226" t="s">
        <v>2286</v>
      </c>
      <c r="B2" s="226"/>
      <c r="C2" s="226"/>
      <c r="D2" s="226"/>
      <c r="E2" s="226"/>
      <c r="F2" s="226"/>
      <c r="G2" s="226"/>
      <c r="H2" s="226"/>
      <c r="I2" s="226"/>
      <c r="J2" s="226"/>
    </row>
    <row r="3" customFormat="false" ht="15" hidden="false" customHeight="true" outlineLevel="0" collapsed="false">
      <c r="A3" s="227" t="s">
        <v>2287</v>
      </c>
      <c r="B3" s="228" t="str">
        <f aca="false">IF(COUNTIF(G8:G19,"FAIL")&gt;0,"HOLD — REMEDIATE",IF(Controls!$B$23&lt;&gt;"Approved","READY FOR APPROVAL","APPROVED FOR PUBLICATION"))</f>
        <v>HOLD — REMEDIATE</v>
      </c>
      <c r="C3" s="229"/>
      <c r="D3" s="230" t="s">
        <v>2288</v>
      </c>
      <c r="E3" s="228" t="str">
        <f aca="false">Controls!$B$7&amp;"-"&amp;TEXT(Controls!$B$4,"yyyymmdd")&amp;"-"&amp;Controls!$B$25</f>
        <v>PCGH-20260630-v2.5</v>
      </c>
      <c r="F3" s="229"/>
      <c r="G3" s="230" t="s">
        <v>2289</v>
      </c>
      <c r="H3" s="231" t="n">
        <v>3</v>
      </c>
      <c r="I3" s="20"/>
      <c r="J3" s="20"/>
    </row>
    <row r="4" customFormat="false" ht="13.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</row>
    <row r="5" customFormat="false" ht="13.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</row>
    <row r="6" customFormat="false" ht="13.5" hidden="false" customHeight="false" outlineLevel="0" collapsed="false">
      <c r="A6" s="54" t="s">
        <v>2290</v>
      </c>
      <c r="B6" s="54"/>
      <c r="C6" s="54"/>
      <c r="D6" s="54"/>
      <c r="E6" s="54"/>
      <c r="F6" s="54"/>
      <c r="G6" s="54"/>
      <c r="H6" s="54"/>
      <c r="I6" s="54"/>
      <c r="J6" s="54"/>
    </row>
    <row r="7" customFormat="false" ht="13.5" hidden="false" customHeight="false" outlineLevel="0" collapsed="false">
      <c r="A7" s="20" t="s">
        <v>2291</v>
      </c>
      <c r="B7" s="20" t="s">
        <v>2292</v>
      </c>
      <c r="C7" s="20" t="s">
        <v>2293</v>
      </c>
      <c r="D7" s="20" t="s">
        <v>1982</v>
      </c>
      <c r="E7" s="20" t="s">
        <v>2294</v>
      </c>
      <c r="F7" s="20" t="s">
        <v>1984</v>
      </c>
      <c r="G7" s="20" t="s">
        <v>103</v>
      </c>
      <c r="H7" s="20" t="s">
        <v>2150</v>
      </c>
      <c r="I7" s="20" t="s">
        <v>773</v>
      </c>
      <c r="J7" s="20" t="s">
        <v>2295</v>
      </c>
    </row>
    <row r="8" customFormat="false" ht="31.5" hidden="false" customHeight="true" outlineLevel="0" collapsed="false">
      <c r="A8" s="218" t="s">
        <v>2296</v>
      </c>
      <c r="B8" s="218" t="s">
        <v>2297</v>
      </c>
      <c r="C8" s="218" t="s">
        <v>2298</v>
      </c>
      <c r="D8" s="218" t="n">
        <f aca="false">COUNTIF(Checks!$F$8:$F$41,"FAIL")</f>
        <v>0</v>
      </c>
      <c r="E8" s="218" t="n">
        <v>0</v>
      </c>
      <c r="F8" s="218" t="n">
        <v>0</v>
      </c>
      <c r="G8" s="218" t="str">
        <f aca="false">IF(ABS(D8-E8)&lt;=F8,"PASS","FAIL")</f>
        <v>PASS</v>
      </c>
      <c r="H8" s="218" t="s">
        <v>2299</v>
      </c>
      <c r="I8" s="218" t="s">
        <v>2300</v>
      </c>
      <c r="J8" s="218" t="s">
        <v>2301</v>
      </c>
    </row>
    <row r="9" customFormat="false" ht="31.5" hidden="false" customHeight="true" outlineLevel="0" collapsed="false">
      <c r="A9" s="218" t="s">
        <v>2302</v>
      </c>
      <c r="B9" s="218" t="s">
        <v>2303</v>
      </c>
      <c r="C9" s="218" t="s">
        <v>2304</v>
      </c>
      <c r="D9" s="218" t="n">
        <f aca="false">Checks!$B$20</f>
        <v>0</v>
      </c>
      <c r="E9" s="218" t="n">
        <v>0</v>
      </c>
      <c r="F9" s="218" t="n">
        <v>0</v>
      </c>
      <c r="G9" s="218" t="str">
        <f aca="false">IF(ABS(D9-E9)&lt;=F9,"PASS","FAIL")</f>
        <v>PASS</v>
      </c>
      <c r="H9" s="218" t="s">
        <v>2305</v>
      </c>
      <c r="I9" s="218" t="s">
        <v>2306</v>
      </c>
      <c r="J9" s="218" t="s">
        <v>2307</v>
      </c>
    </row>
    <row r="10" customFormat="false" ht="31.5" hidden="false" customHeight="true" outlineLevel="0" collapsed="false">
      <c r="A10" s="218" t="s">
        <v>2308</v>
      </c>
      <c r="B10" s="218" t="s">
        <v>2309</v>
      </c>
      <c r="C10" s="218" t="s">
        <v>2310</v>
      </c>
      <c r="D10" s="218" t="n">
        <f aca="false">Checks!$B$8+Checks!$B$9</f>
        <v>0</v>
      </c>
      <c r="E10" s="218" t="n">
        <v>0</v>
      </c>
      <c r="F10" s="218" t="n">
        <v>0</v>
      </c>
      <c r="G10" s="218" t="str">
        <f aca="false">IF(ABS(D10-E10)&lt;=F10,"PASS","FAIL")</f>
        <v>PASS</v>
      </c>
      <c r="H10" s="218" t="s">
        <v>2311</v>
      </c>
      <c r="I10" s="218" t="s">
        <v>2312</v>
      </c>
      <c r="J10" s="218" t="s">
        <v>2313</v>
      </c>
    </row>
    <row r="11" customFormat="false" ht="31.5" hidden="false" customHeight="true" outlineLevel="0" collapsed="false">
      <c r="A11" s="218" t="s">
        <v>2314</v>
      </c>
      <c r="B11" s="218" t="s">
        <v>2315</v>
      </c>
      <c r="C11" s="218" t="s">
        <v>2316</v>
      </c>
      <c r="D11" s="218" t="n">
        <f aca="false">Checks!$B$10+Checks!$B$11</f>
        <v>0</v>
      </c>
      <c r="E11" s="218" t="n">
        <v>0</v>
      </c>
      <c r="F11" s="218" t="n">
        <v>0</v>
      </c>
      <c r="G11" s="218" t="str">
        <f aca="false">IF(ABS(D11-E11)&lt;=F11,"PASS","FAIL")</f>
        <v>PASS</v>
      </c>
      <c r="H11" s="218" t="s">
        <v>2317</v>
      </c>
      <c r="I11" s="218" t="s">
        <v>2318</v>
      </c>
      <c r="J11" s="218" t="s">
        <v>2319</v>
      </c>
    </row>
    <row r="12" customFormat="false" ht="31.5" hidden="false" customHeight="true" outlineLevel="0" collapsed="false">
      <c r="A12" s="218" t="s">
        <v>2320</v>
      </c>
      <c r="B12" s="218" t="s">
        <v>2321</v>
      </c>
      <c r="C12" s="218" t="s">
        <v>2322</v>
      </c>
      <c r="D12" s="218" t="n">
        <f aca="false">COUNTIF(Checks!$F$13:$F$17,"&lt;&gt;OK")</f>
        <v>0</v>
      </c>
      <c r="E12" s="218" t="n">
        <v>0</v>
      </c>
      <c r="F12" s="218" t="n">
        <v>0</v>
      </c>
      <c r="G12" s="218" t="str">
        <f aca="false">IF(ABS(D12-E12)&lt;=F12,"PASS","FAIL")</f>
        <v>PASS</v>
      </c>
      <c r="H12" s="218" t="s">
        <v>2323</v>
      </c>
      <c r="I12" s="218" t="s">
        <v>2324</v>
      </c>
      <c r="J12" s="218" t="s">
        <v>2325</v>
      </c>
    </row>
    <row r="13" customFormat="false" ht="31.5" hidden="false" customHeight="true" outlineLevel="0" collapsed="false">
      <c r="A13" s="218" t="s">
        <v>2326</v>
      </c>
      <c r="B13" s="218" t="s">
        <v>424</v>
      </c>
      <c r="C13" s="218" t="s">
        <v>2327</v>
      </c>
      <c r="D13" s="218" t="n">
        <f aca="false">COUNTIFS($A$39:$A$51,"&lt;&gt;",$J$39:$J$51,"&lt;&gt;Resolved",$J$39:$J$51,"&lt;&gt;Accepted Exception")</f>
        <v>13</v>
      </c>
      <c r="E13" s="218" t="n">
        <v>0</v>
      </c>
      <c r="F13" s="218" t="n">
        <v>0</v>
      </c>
      <c r="G13" s="218" t="str">
        <f aca="false">IF(ABS(D13-E13)&lt;=F13,"PASS","FAIL")</f>
        <v>FAIL</v>
      </c>
      <c r="H13" s="218" t="s">
        <v>2328</v>
      </c>
      <c r="I13" s="218" t="s">
        <v>2329</v>
      </c>
      <c r="J13" s="218" t="s">
        <v>2330</v>
      </c>
    </row>
    <row r="14" customFormat="false" ht="31.5" hidden="false" customHeight="true" outlineLevel="0" collapsed="false">
      <c r="A14" s="218" t="s">
        <v>2331</v>
      </c>
      <c r="B14" s="218" t="s">
        <v>2332</v>
      </c>
      <c r="C14" s="218" t="s">
        <v>2333</v>
      </c>
      <c r="D14" s="218" t="n">
        <f aca="false">COUNTIFS(Entity_QMR!$A$27:$A$30,"&lt;&gt;",Entity_QMR!$E$27:$E$30,"")+COUNTIFS(Entity_QMR!$A$27:$A$30,"&lt;&gt;",Entity_QMR!$F$27:$F$30,"")+COUNTIFS(Entity_QMR!$A$27:$A$30,"&lt;&gt;",Entity_QMR!$H$27:$H$30,"")</f>
        <v>0</v>
      </c>
      <c r="E14" s="218" t="n">
        <v>0</v>
      </c>
      <c r="F14" s="218" t="n">
        <v>0</v>
      </c>
      <c r="G14" s="218" t="str">
        <f aca="false">IF(ABS(D14-E14)&lt;=F14,"PASS","FAIL")</f>
        <v>PASS</v>
      </c>
      <c r="H14" s="218" t="s">
        <v>2334</v>
      </c>
      <c r="I14" s="218" t="s">
        <v>2335</v>
      </c>
      <c r="J14" s="218" t="s">
        <v>2336</v>
      </c>
    </row>
    <row r="15" customFormat="false" ht="31.5" hidden="false" customHeight="true" outlineLevel="0" collapsed="false">
      <c r="A15" s="218" t="s">
        <v>2337</v>
      </c>
      <c r="B15" s="218" t="s">
        <v>2338</v>
      </c>
      <c r="C15" s="218" t="s">
        <v>2339</v>
      </c>
      <c r="D15" s="218" t="n">
        <f aca="false">COUNTA(Sources!$A$4:$A$102)</f>
        <v>10</v>
      </c>
      <c r="E15" s="218" t="n">
        <v>7</v>
      </c>
      <c r="F15" s="218" t="n">
        <v>0</v>
      </c>
      <c r="G15" s="218" t="str">
        <f aca="false">IF(D15&gt;=E15,"PASS","FAIL")</f>
        <v>PASS</v>
      </c>
      <c r="H15" s="218" t="s">
        <v>2340</v>
      </c>
      <c r="I15" s="218" t="s">
        <v>2341</v>
      </c>
      <c r="J15" s="218" t="s">
        <v>2342</v>
      </c>
    </row>
    <row r="16" customFormat="false" ht="31.5" hidden="false" customHeight="true" outlineLevel="0" collapsed="false">
      <c r="A16" s="218" t="s">
        <v>2343</v>
      </c>
      <c r="B16" s="218" t="s">
        <v>2344</v>
      </c>
      <c r="C16" s="218" t="s">
        <v>2345</v>
      </c>
      <c r="D16" s="218" t="n">
        <f aca="false">Consolidation!$B$50</f>
        <v>1</v>
      </c>
      <c r="E16" s="218" t="n">
        <f aca="false">IF(Controls!$B$29="Entity QMR",1,4)</f>
        <v>1</v>
      </c>
      <c r="F16" s="218" t="n">
        <v>0</v>
      </c>
      <c r="G16" s="218" t="str">
        <f aca="false">IF(D16&gt;=E16,"PASS","FAIL")</f>
        <v>PASS</v>
      </c>
      <c r="H16" s="218" t="s">
        <v>2346</v>
      </c>
      <c r="I16" s="218" t="s">
        <v>2347</v>
      </c>
      <c r="J16" s="218" t="s">
        <v>2348</v>
      </c>
    </row>
    <row r="17" customFormat="false" ht="31.5" hidden="false" customHeight="true" outlineLevel="0" collapsed="false">
      <c r="A17" s="218" t="s">
        <v>2349</v>
      </c>
      <c r="B17" s="218" t="s">
        <v>2350</v>
      </c>
      <c r="C17" s="218" t="s">
        <v>2351</v>
      </c>
      <c r="D17" s="218" t="n">
        <f aca="false">IF(Controls!$B$29="Entity QMR",0,COUNTBLANK(Controls!$D$34:$E$37))</f>
        <v>0</v>
      </c>
      <c r="E17" s="218" t="n">
        <v>0</v>
      </c>
      <c r="F17" s="218" t="n">
        <v>0</v>
      </c>
      <c r="G17" s="218" t="str">
        <f aca="false">IF(ABS(D17-E17)&lt;=F17,"PASS","FAIL")</f>
        <v>PASS</v>
      </c>
      <c r="H17" s="218" t="s">
        <v>2352</v>
      </c>
      <c r="I17" s="218" t="s">
        <v>2353</v>
      </c>
      <c r="J17" s="218" t="s">
        <v>2354</v>
      </c>
    </row>
    <row r="18" customFormat="false" ht="31.5" hidden="false" customHeight="true" outlineLevel="0" collapsed="false">
      <c r="A18" s="218" t="s">
        <v>2355</v>
      </c>
      <c r="B18" s="218" t="s">
        <v>2356</v>
      </c>
      <c r="C18" s="218" t="s">
        <v>2357</v>
      </c>
      <c r="D18" s="218" t="n">
        <f aca="false">COUNTIFS(Consolidation!$A$15:$A$40,"&lt;&gt;",Consolidation!$G$15:$G$40,"&lt;&gt;Approved")</f>
        <v>0</v>
      </c>
      <c r="E18" s="218" t="n">
        <v>0</v>
      </c>
      <c r="F18" s="218" t="n">
        <v>0</v>
      </c>
      <c r="G18" s="218" t="str">
        <f aca="false">IF(ABS(D18-E18)&lt;=F18,"PASS","FAIL")</f>
        <v>PASS</v>
      </c>
      <c r="H18" s="218" t="s">
        <v>2358</v>
      </c>
      <c r="I18" s="218" t="s">
        <v>2359</v>
      </c>
      <c r="J18" s="218" t="s">
        <v>2360</v>
      </c>
    </row>
    <row r="19" customFormat="false" ht="31.5" hidden="false" customHeight="true" outlineLevel="0" collapsed="false">
      <c r="A19" s="218" t="s">
        <v>2361</v>
      </c>
      <c r="B19" s="218" t="s">
        <v>2362</v>
      </c>
      <c r="C19" s="218" t="s">
        <v>2363</v>
      </c>
      <c r="D19" s="218" t="n">
        <f aca="false">COUNTBLANK(Controls!$B$24)</f>
        <v>0</v>
      </c>
      <c r="E19" s="218" t="n">
        <v>0</v>
      </c>
      <c r="F19" s="218" t="n">
        <v>0</v>
      </c>
      <c r="G19" s="218" t="str">
        <f aca="false">IF(ABS(D19-E19)&lt;=F19,"PASS","FAIL")</f>
        <v>PASS</v>
      </c>
      <c r="H19" s="218" t="s">
        <v>2364</v>
      </c>
      <c r="I19" s="218" t="s">
        <v>2365</v>
      </c>
      <c r="J19" s="218" t="s">
        <v>2366</v>
      </c>
    </row>
    <row r="20" customFormat="false" ht="13.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customFormat="false" ht="13.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customFormat="false" ht="13.5" hidden="false" customHeight="false" outlineLevel="0" collapsed="false">
      <c r="A22" s="54" t="s">
        <v>2367</v>
      </c>
      <c r="B22" s="54"/>
      <c r="C22" s="54"/>
      <c r="D22" s="54"/>
      <c r="E22" s="54"/>
      <c r="F22" s="54"/>
      <c r="G22" s="54"/>
      <c r="H22" s="54"/>
      <c r="I22" s="54"/>
      <c r="J22" s="54"/>
    </row>
    <row r="23" customFormat="false" ht="14.9" hidden="false" customHeight="false" outlineLevel="0" collapsed="false">
      <c r="A23" s="20" t="s">
        <v>2368</v>
      </c>
      <c r="B23" s="20" t="s">
        <v>2369</v>
      </c>
      <c r="C23" s="20" t="s">
        <v>2370</v>
      </c>
      <c r="D23" s="20" t="s">
        <v>2371</v>
      </c>
      <c r="E23" s="20" t="s">
        <v>2372</v>
      </c>
      <c r="F23" s="20" t="s">
        <v>2373</v>
      </c>
      <c r="G23" s="20" t="s">
        <v>103</v>
      </c>
      <c r="H23" s="20" t="s">
        <v>2374</v>
      </c>
      <c r="I23" s="20" t="s">
        <v>2375</v>
      </c>
      <c r="J23" s="20"/>
    </row>
    <row r="24" customFormat="false" ht="37.5" hidden="false" customHeight="true" outlineLevel="0" collapsed="false">
      <c r="A24" s="218" t="n">
        <v>1</v>
      </c>
      <c r="B24" s="218" t="s">
        <v>2365</v>
      </c>
      <c r="C24" s="218" t="s">
        <v>2376</v>
      </c>
      <c r="D24" s="218" t="s">
        <v>2377</v>
      </c>
      <c r="E24" s="218" t="s">
        <v>2378</v>
      </c>
      <c r="F24" s="218" t="n">
        <v>1</v>
      </c>
      <c r="G24" s="218" t="str">
        <f aca="false">IF($E$3&lt;&gt;"","READY","BLOCKED")</f>
        <v>READY</v>
      </c>
      <c r="H24" s="218" t="s">
        <v>2379</v>
      </c>
      <c r="I24" s="218" t="s">
        <v>2380</v>
      </c>
      <c r="J24" s="20"/>
    </row>
    <row r="25" customFormat="false" ht="37.5" hidden="false" customHeight="true" outlineLevel="0" collapsed="false">
      <c r="A25" s="218" t="n">
        <v>2</v>
      </c>
      <c r="B25" s="218" t="s">
        <v>2341</v>
      </c>
      <c r="C25" s="218" t="s">
        <v>2381</v>
      </c>
      <c r="D25" s="218" t="s">
        <v>2382</v>
      </c>
      <c r="E25" s="218" t="s">
        <v>2383</v>
      </c>
      <c r="F25" s="218" t="n">
        <v>1</v>
      </c>
      <c r="G25" s="218" t="str">
        <f aca="false">IF(G15="PASS","PASS","BLOCKED")</f>
        <v>PASS</v>
      </c>
      <c r="H25" s="218" t="s">
        <v>2384</v>
      </c>
      <c r="I25" s="218" t="s">
        <v>2385</v>
      </c>
      <c r="J25" s="20"/>
    </row>
    <row r="26" customFormat="false" ht="37.5" hidden="false" customHeight="true" outlineLevel="0" collapsed="false">
      <c r="A26" s="218" t="n">
        <v>3</v>
      </c>
      <c r="B26" s="218" t="s">
        <v>2306</v>
      </c>
      <c r="C26" s="218" t="s">
        <v>2386</v>
      </c>
      <c r="D26" s="218" t="s">
        <v>2387</v>
      </c>
      <c r="E26" s="218" t="s">
        <v>2388</v>
      </c>
      <c r="F26" s="218" t="n">
        <v>1</v>
      </c>
      <c r="G26" s="218" t="str">
        <f aca="false">IF(COUNTIF(G8:G11,"FAIL")=0,"PASS","BLOCKED")</f>
        <v>PASS</v>
      </c>
      <c r="H26" s="218" t="s">
        <v>2389</v>
      </c>
      <c r="I26" s="218" t="s">
        <v>2390</v>
      </c>
      <c r="J26" s="20"/>
    </row>
    <row r="27" customFormat="false" ht="37.5" hidden="false" customHeight="true" outlineLevel="0" collapsed="false">
      <c r="A27" s="218" t="n">
        <v>4</v>
      </c>
      <c r="B27" s="218" t="s">
        <v>2324</v>
      </c>
      <c r="C27" s="218" t="s">
        <v>2391</v>
      </c>
      <c r="D27" s="218" t="s">
        <v>2392</v>
      </c>
      <c r="E27" s="218" t="s">
        <v>2393</v>
      </c>
      <c r="F27" s="218" t="n">
        <v>1</v>
      </c>
      <c r="G27" s="218" t="str">
        <f aca="false">IF(G12="PASS","PASS","BLOCKED")</f>
        <v>PASS</v>
      </c>
      <c r="H27" s="218" t="s">
        <v>2394</v>
      </c>
      <c r="I27" s="218" t="s">
        <v>2395</v>
      </c>
      <c r="J27" s="20"/>
    </row>
    <row r="28" customFormat="false" ht="37.5" hidden="false" customHeight="true" outlineLevel="0" collapsed="false">
      <c r="A28" s="218" t="n">
        <v>5</v>
      </c>
      <c r="B28" s="218" t="s">
        <v>2335</v>
      </c>
      <c r="C28" s="218" t="s">
        <v>2396</v>
      </c>
      <c r="D28" s="218" t="s">
        <v>2397</v>
      </c>
      <c r="E28" s="218" t="s">
        <v>2398</v>
      </c>
      <c r="F28" s="218" t="n">
        <v>1</v>
      </c>
      <c r="G28" s="218" t="str">
        <f aca="false">IF(G14="PASS","PASS","BLOCKED")</f>
        <v>PASS</v>
      </c>
      <c r="H28" s="218" t="s">
        <v>2399</v>
      </c>
      <c r="I28" s="218" t="s">
        <v>2400</v>
      </c>
      <c r="J28" s="20"/>
    </row>
    <row r="29" customFormat="false" ht="37.5" hidden="false" customHeight="true" outlineLevel="0" collapsed="false">
      <c r="A29" s="218" t="n">
        <v>6</v>
      </c>
      <c r="B29" s="218" t="s">
        <v>2329</v>
      </c>
      <c r="C29" s="218" t="s">
        <v>2401</v>
      </c>
      <c r="D29" s="218" t="s">
        <v>2402</v>
      </c>
      <c r="E29" s="218" t="s">
        <v>2403</v>
      </c>
      <c r="F29" s="218" t="n">
        <v>1</v>
      </c>
      <c r="G29" s="218" t="str">
        <f aca="false">IF(G13="PASS","PASS","CHALLENGE OPEN")</f>
        <v>CHALLENGE OPEN</v>
      </c>
      <c r="H29" s="218" t="s">
        <v>2404</v>
      </c>
      <c r="I29" s="218" t="s">
        <v>2405</v>
      </c>
      <c r="J29" s="20"/>
    </row>
    <row r="30" customFormat="false" ht="37.5" hidden="false" customHeight="true" outlineLevel="0" collapsed="false">
      <c r="A30" s="218" t="n">
        <v>7</v>
      </c>
      <c r="B30" s="218" t="s">
        <v>2406</v>
      </c>
      <c r="C30" s="218" t="s">
        <v>2407</v>
      </c>
      <c r="D30" s="218" t="s">
        <v>2408</v>
      </c>
      <c r="E30" s="218" t="s">
        <v>2409</v>
      </c>
      <c r="F30" s="218" t="n">
        <v>1</v>
      </c>
      <c r="G30" s="218" t="str">
        <f aca="false">IF(COUNTIF(G16:G18,"FAIL")=0,"PASS","BLOCKED")</f>
        <v>PASS</v>
      </c>
      <c r="H30" s="218" t="s">
        <v>2410</v>
      </c>
      <c r="I30" s="218" t="s">
        <v>2411</v>
      </c>
      <c r="J30" s="20"/>
    </row>
    <row r="31" customFormat="false" ht="37.5" hidden="false" customHeight="true" outlineLevel="0" collapsed="false">
      <c r="A31" s="218" t="n">
        <v>8</v>
      </c>
      <c r="B31" s="218" t="s">
        <v>2300</v>
      </c>
      <c r="C31" s="218" t="s">
        <v>2412</v>
      </c>
      <c r="D31" s="218" t="s">
        <v>2413</v>
      </c>
      <c r="E31" s="218" t="s">
        <v>2414</v>
      </c>
      <c r="F31" s="218" t="n">
        <v>1</v>
      </c>
      <c r="G31" s="218" t="str">
        <f aca="false">IF(COUNTIF(G8:G19,"FAIL")=0,"PASS","BLOCKED")</f>
        <v>BLOCKED</v>
      </c>
      <c r="H31" s="218" t="s">
        <v>2415</v>
      </c>
      <c r="I31" s="218" t="s">
        <v>2416</v>
      </c>
      <c r="J31" s="20"/>
    </row>
    <row r="32" customFormat="false" ht="37.5" hidden="false" customHeight="true" outlineLevel="0" collapsed="false">
      <c r="A32" s="218" t="n">
        <v>9</v>
      </c>
      <c r="B32" s="218" t="s">
        <v>2173</v>
      </c>
      <c r="C32" s="218" t="s">
        <v>2417</v>
      </c>
      <c r="D32" s="218" t="s">
        <v>2418</v>
      </c>
      <c r="E32" s="218" t="s">
        <v>2419</v>
      </c>
      <c r="F32" s="218" t="n">
        <v>1</v>
      </c>
      <c r="G32" s="218" t="str">
        <f aca="false">IF(Controls!$B$23="Approved","PASS","PENDING")</f>
        <v>PENDING</v>
      </c>
      <c r="H32" s="218" t="s">
        <v>2420</v>
      </c>
      <c r="I32" s="218" t="s">
        <v>2421</v>
      </c>
      <c r="J32" s="20"/>
    </row>
    <row r="33" customFormat="false" ht="37.5" hidden="false" customHeight="true" outlineLevel="0" collapsed="false">
      <c r="A33" s="218" t="n">
        <v>10</v>
      </c>
      <c r="B33" s="218" t="s">
        <v>2422</v>
      </c>
      <c r="C33" s="218" t="s">
        <v>2423</v>
      </c>
      <c r="D33" s="218" t="s">
        <v>2424</v>
      </c>
      <c r="E33" s="218" t="s">
        <v>2425</v>
      </c>
      <c r="F33" s="218" t="n">
        <v>1</v>
      </c>
      <c r="G33" s="218" t="str">
        <f aca="false">IF($B$3="APPROVED FOR PUBLICATION","READY","BLOCKED")</f>
        <v>BLOCKED</v>
      </c>
      <c r="H33" s="218" t="s">
        <v>2426</v>
      </c>
      <c r="I33" s="218" t="s">
        <v>2427</v>
      </c>
      <c r="J33" s="20"/>
    </row>
    <row r="34" customFormat="false" ht="13.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customFormat="false" ht="13.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customFormat="false" ht="13.5" hidden="false" customHeight="false" outlineLevel="0" collapsed="false">
      <c r="A36" s="54" t="s">
        <v>2428</v>
      </c>
      <c r="B36" s="54"/>
      <c r="C36" s="54"/>
      <c r="D36" s="54"/>
      <c r="E36" s="54"/>
      <c r="F36" s="54"/>
      <c r="G36" s="54"/>
      <c r="H36" s="54"/>
      <c r="I36" s="54"/>
      <c r="J36" s="54"/>
    </row>
    <row r="37" customFormat="false" ht="13.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customFormat="false" ht="14.9" hidden="false" customHeight="false" outlineLevel="0" collapsed="false">
      <c r="A38" s="20" t="s">
        <v>2429</v>
      </c>
      <c r="B38" s="20" t="s">
        <v>3</v>
      </c>
      <c r="C38" s="20" t="s">
        <v>71</v>
      </c>
      <c r="D38" s="20" t="s">
        <v>1970</v>
      </c>
      <c r="E38" s="20" t="s">
        <v>505</v>
      </c>
      <c r="F38" s="20" t="s">
        <v>2430</v>
      </c>
      <c r="G38" s="20" t="s">
        <v>2205</v>
      </c>
      <c r="H38" s="20" t="s">
        <v>773</v>
      </c>
      <c r="I38" s="20" t="s">
        <v>2431</v>
      </c>
      <c r="J38" s="20" t="s">
        <v>103</v>
      </c>
    </row>
    <row r="39" customFormat="false" ht="43.5" hidden="false" customHeight="true" outlineLevel="0" collapsed="false">
      <c r="A39" s="218" t="s">
        <v>2432</v>
      </c>
      <c r="B39" s="218" t="s">
        <v>49</v>
      </c>
      <c r="C39" s="218" t="s">
        <v>85</v>
      </c>
      <c r="D39" s="218" t="s">
        <v>2433</v>
      </c>
      <c r="E39" s="218" t="s">
        <v>2434</v>
      </c>
      <c r="F39" s="218" t="s">
        <v>2435</v>
      </c>
      <c r="G39" s="218" t="s">
        <v>2436</v>
      </c>
      <c r="H39" s="220" t="s">
        <v>1772</v>
      </c>
      <c r="I39" s="220" t="s">
        <v>2300</v>
      </c>
      <c r="J39" s="220" t="s">
        <v>781</v>
      </c>
    </row>
    <row r="40" customFormat="false" ht="43.5" hidden="false" customHeight="true" outlineLevel="0" collapsed="false">
      <c r="A40" s="218" t="s">
        <v>2437</v>
      </c>
      <c r="B40" s="218" t="s">
        <v>49</v>
      </c>
      <c r="C40" s="218" t="s">
        <v>85</v>
      </c>
      <c r="D40" s="218" t="s">
        <v>2433</v>
      </c>
      <c r="E40" s="218" t="s">
        <v>2434</v>
      </c>
      <c r="F40" s="218" t="s">
        <v>2438</v>
      </c>
      <c r="G40" s="218" t="s">
        <v>2439</v>
      </c>
      <c r="H40" s="220" t="s">
        <v>1772</v>
      </c>
      <c r="I40" s="220" t="s">
        <v>2300</v>
      </c>
      <c r="J40" s="220" t="s">
        <v>781</v>
      </c>
    </row>
    <row r="41" customFormat="false" ht="43.5" hidden="false" customHeight="true" outlineLevel="0" collapsed="false">
      <c r="A41" s="218" t="s">
        <v>2440</v>
      </c>
      <c r="B41" s="218" t="s">
        <v>49</v>
      </c>
      <c r="C41" s="218" t="s">
        <v>85</v>
      </c>
      <c r="D41" s="218" t="s">
        <v>2433</v>
      </c>
      <c r="E41" s="218" t="s">
        <v>2434</v>
      </c>
      <c r="F41" s="218" t="s">
        <v>2441</v>
      </c>
      <c r="G41" s="218" t="s">
        <v>2442</v>
      </c>
      <c r="H41" s="220" t="s">
        <v>1767</v>
      </c>
      <c r="I41" s="220" t="s">
        <v>2300</v>
      </c>
      <c r="J41" s="220" t="s">
        <v>781</v>
      </c>
    </row>
    <row r="42" customFormat="false" ht="43.5" hidden="false" customHeight="true" outlineLevel="0" collapsed="false">
      <c r="A42" s="218" t="s">
        <v>2443</v>
      </c>
      <c r="B42" s="218" t="s">
        <v>49</v>
      </c>
      <c r="C42" s="218" t="s">
        <v>85</v>
      </c>
      <c r="D42" s="218" t="s">
        <v>2433</v>
      </c>
      <c r="E42" s="218" t="s">
        <v>2434</v>
      </c>
      <c r="F42" s="218" t="s">
        <v>2444</v>
      </c>
      <c r="G42" s="218" t="s">
        <v>2445</v>
      </c>
      <c r="H42" s="220" t="s">
        <v>2160</v>
      </c>
      <c r="I42" s="220" t="s">
        <v>2300</v>
      </c>
      <c r="J42" s="220" t="s">
        <v>781</v>
      </c>
    </row>
    <row r="43" customFormat="false" ht="43.5" hidden="false" customHeight="true" outlineLevel="0" collapsed="false">
      <c r="A43" s="218" t="s">
        <v>2446</v>
      </c>
      <c r="B43" s="218" t="s">
        <v>49</v>
      </c>
      <c r="C43" s="218" t="s">
        <v>85</v>
      </c>
      <c r="D43" s="218" t="s">
        <v>2192</v>
      </c>
      <c r="E43" s="218" t="s">
        <v>2447</v>
      </c>
      <c r="F43" s="218" t="s">
        <v>2448</v>
      </c>
      <c r="G43" s="218" t="s">
        <v>2449</v>
      </c>
      <c r="H43" s="220" t="s">
        <v>779</v>
      </c>
      <c r="I43" s="220" t="s">
        <v>2450</v>
      </c>
      <c r="J43" s="220" t="s">
        <v>781</v>
      </c>
    </row>
    <row r="44" customFormat="false" ht="43.5" hidden="false" customHeight="true" outlineLevel="0" collapsed="false">
      <c r="A44" s="218" t="s">
        <v>2451</v>
      </c>
      <c r="B44" s="218" t="s">
        <v>49</v>
      </c>
      <c r="C44" s="218" t="s">
        <v>85</v>
      </c>
      <c r="D44" s="218" t="s">
        <v>2452</v>
      </c>
      <c r="E44" s="218" t="s">
        <v>2434</v>
      </c>
      <c r="F44" s="218" t="s">
        <v>2453</v>
      </c>
      <c r="G44" s="218" t="s">
        <v>2454</v>
      </c>
      <c r="H44" s="220" t="s">
        <v>106</v>
      </c>
      <c r="I44" s="220" t="s">
        <v>2450</v>
      </c>
      <c r="J44" s="220" t="s">
        <v>781</v>
      </c>
    </row>
    <row r="45" customFormat="false" ht="43.5" hidden="false" customHeight="true" outlineLevel="0" collapsed="false">
      <c r="A45" s="218" t="s">
        <v>2455</v>
      </c>
      <c r="B45" s="218" t="s">
        <v>49</v>
      </c>
      <c r="C45" s="218" t="s">
        <v>2244</v>
      </c>
      <c r="D45" s="218" t="s">
        <v>2189</v>
      </c>
      <c r="E45" s="218" t="s">
        <v>2434</v>
      </c>
      <c r="F45" s="218" t="s">
        <v>2456</v>
      </c>
      <c r="G45" s="218" t="s">
        <v>2457</v>
      </c>
      <c r="H45" s="220" t="s">
        <v>2458</v>
      </c>
      <c r="I45" s="220" t="s">
        <v>2300</v>
      </c>
      <c r="J45" s="220" t="s">
        <v>781</v>
      </c>
    </row>
    <row r="46" customFormat="false" ht="43.5" hidden="false" customHeight="true" outlineLevel="0" collapsed="false">
      <c r="A46" s="218" t="s">
        <v>2459</v>
      </c>
      <c r="B46" s="218" t="s">
        <v>49</v>
      </c>
      <c r="C46" s="218" t="s">
        <v>85</v>
      </c>
      <c r="D46" s="218" t="s">
        <v>294</v>
      </c>
      <c r="E46" s="218" t="s">
        <v>2434</v>
      </c>
      <c r="F46" s="218" t="s">
        <v>2460</v>
      </c>
      <c r="G46" s="218" t="s">
        <v>2461</v>
      </c>
      <c r="H46" s="220" t="s">
        <v>779</v>
      </c>
      <c r="I46" s="220" t="s">
        <v>2335</v>
      </c>
      <c r="J46" s="220" t="s">
        <v>781</v>
      </c>
    </row>
    <row r="47" customFormat="false" ht="43.5" hidden="false" customHeight="true" outlineLevel="0" collapsed="false">
      <c r="A47" s="218" t="s">
        <v>2462</v>
      </c>
      <c r="B47" s="218" t="s">
        <v>49</v>
      </c>
      <c r="C47" s="218" t="s">
        <v>85</v>
      </c>
      <c r="D47" s="218" t="s">
        <v>2303</v>
      </c>
      <c r="E47" s="218" t="s">
        <v>2434</v>
      </c>
      <c r="F47" s="218" t="s">
        <v>2463</v>
      </c>
      <c r="G47" s="218" t="s">
        <v>2464</v>
      </c>
      <c r="H47" s="220" t="s">
        <v>2306</v>
      </c>
      <c r="I47" s="220" t="s">
        <v>2300</v>
      </c>
      <c r="J47" s="220" t="s">
        <v>781</v>
      </c>
    </row>
    <row r="48" customFormat="false" ht="43.5" hidden="false" customHeight="true" outlineLevel="0" collapsed="false">
      <c r="A48" s="218" t="s">
        <v>2465</v>
      </c>
      <c r="B48" s="218" t="s">
        <v>49</v>
      </c>
      <c r="C48" s="218" t="s">
        <v>85</v>
      </c>
      <c r="D48" s="218" t="s">
        <v>2466</v>
      </c>
      <c r="E48" s="218" t="s">
        <v>2434</v>
      </c>
      <c r="F48" s="218" t="s">
        <v>2467</v>
      </c>
      <c r="G48" s="218" t="s">
        <v>2468</v>
      </c>
      <c r="H48" s="220" t="s">
        <v>2173</v>
      </c>
      <c r="I48" s="220" t="s">
        <v>2365</v>
      </c>
      <c r="J48" s="220" t="s">
        <v>781</v>
      </c>
    </row>
    <row r="49" customFormat="false" ht="43.5" hidden="false" customHeight="true" outlineLevel="0" collapsed="false">
      <c r="A49" s="218" t="s">
        <v>2469</v>
      </c>
      <c r="B49" s="218" t="s">
        <v>49</v>
      </c>
      <c r="C49" s="218" t="s">
        <v>85</v>
      </c>
      <c r="D49" s="218" t="s">
        <v>2470</v>
      </c>
      <c r="E49" s="218" t="s">
        <v>2434</v>
      </c>
      <c r="F49" s="218" t="s">
        <v>2471</v>
      </c>
      <c r="G49" s="218" t="s">
        <v>2472</v>
      </c>
      <c r="H49" s="220" t="s">
        <v>2473</v>
      </c>
      <c r="I49" s="220" t="s">
        <v>2300</v>
      </c>
      <c r="J49" s="220" t="s">
        <v>781</v>
      </c>
    </row>
    <row r="50" customFormat="false" ht="43.5" hidden="false" customHeight="true" outlineLevel="0" collapsed="false">
      <c r="A50" s="218" t="s">
        <v>2474</v>
      </c>
      <c r="B50" s="218" t="s">
        <v>2475</v>
      </c>
      <c r="C50" s="218" t="s">
        <v>85</v>
      </c>
      <c r="D50" s="218" t="s">
        <v>2014</v>
      </c>
      <c r="E50" s="218" t="s">
        <v>2434</v>
      </c>
      <c r="F50" s="218" t="s">
        <v>2476</v>
      </c>
      <c r="G50" s="218" t="s">
        <v>2477</v>
      </c>
      <c r="H50" s="220" t="s">
        <v>2478</v>
      </c>
      <c r="I50" s="220" t="s">
        <v>2359</v>
      </c>
      <c r="J50" s="220" t="s">
        <v>781</v>
      </c>
    </row>
    <row r="51" customFormat="false" ht="43.5" hidden="false" customHeight="true" outlineLevel="0" collapsed="false">
      <c r="A51" s="218" t="s">
        <v>2479</v>
      </c>
      <c r="B51" s="218" t="s">
        <v>2475</v>
      </c>
      <c r="C51" s="218" t="s">
        <v>85</v>
      </c>
      <c r="D51" s="218" t="s">
        <v>2480</v>
      </c>
      <c r="E51" s="218" t="s">
        <v>2481</v>
      </c>
      <c r="F51" s="218" t="s">
        <v>2482</v>
      </c>
      <c r="G51" s="218" t="s">
        <v>2483</v>
      </c>
      <c r="H51" s="220" t="s">
        <v>2484</v>
      </c>
      <c r="I51" s="220" t="s">
        <v>2341</v>
      </c>
      <c r="J51" s="220" t="s">
        <v>781</v>
      </c>
    </row>
    <row r="52" customFormat="false" ht="13.5" hidden="false" customHeight="false" outlineLevel="0" collapsed="false">
      <c r="A52" s="20"/>
      <c r="B52" s="20"/>
      <c r="C52" s="20"/>
      <c r="D52" s="20"/>
      <c r="E52" s="20"/>
      <c r="F52" s="20"/>
      <c r="G52" s="20"/>
      <c r="H52" s="29"/>
      <c r="I52" s="29"/>
      <c r="J52" s="32"/>
    </row>
    <row r="53" customFormat="false" ht="13.5" hidden="false" customHeight="false" outlineLevel="0" collapsed="false">
      <c r="A53" s="20"/>
      <c r="B53" s="20"/>
      <c r="C53" s="20"/>
      <c r="D53" s="20"/>
      <c r="E53" s="20"/>
      <c r="F53" s="20"/>
      <c r="G53" s="20"/>
      <c r="H53" s="29"/>
      <c r="I53" s="29"/>
      <c r="J53" s="32"/>
    </row>
    <row r="54" customFormat="false" ht="13.5" hidden="false" customHeight="false" outlineLevel="0" collapsed="false">
      <c r="A54" s="54" t="s">
        <v>2485</v>
      </c>
      <c r="B54" s="54"/>
      <c r="C54" s="54"/>
      <c r="D54" s="54"/>
      <c r="E54" s="54"/>
      <c r="F54" s="54"/>
      <c r="G54" s="54"/>
      <c r="H54" s="54"/>
      <c r="I54" s="54"/>
      <c r="J54" s="54"/>
    </row>
    <row r="55" customFormat="false" ht="13.5" hidden="false" customHeight="false" outlineLevel="0" collapsed="false">
      <c r="A55" s="20"/>
      <c r="B55" s="20"/>
      <c r="C55" s="20"/>
      <c r="D55" s="20"/>
      <c r="E55" s="20"/>
      <c r="F55" s="20"/>
      <c r="G55" s="20"/>
      <c r="H55" s="29"/>
      <c r="I55" s="29"/>
      <c r="J55" s="32"/>
    </row>
    <row r="56" customFormat="false" ht="13.5" hidden="false" customHeight="false" outlineLevel="0" collapsed="false">
      <c r="A56" s="20" t="s">
        <v>2486</v>
      </c>
      <c r="B56" s="20" t="s">
        <v>2487</v>
      </c>
      <c r="C56" s="20" t="s">
        <v>2488</v>
      </c>
      <c r="D56" s="20"/>
      <c r="E56" s="20"/>
      <c r="F56" s="20"/>
      <c r="G56" s="20"/>
      <c r="H56" s="29"/>
      <c r="I56" s="29"/>
      <c r="J56" s="32"/>
    </row>
    <row r="57" customFormat="false" ht="13.5" hidden="false" customHeight="false" outlineLevel="0" collapsed="false">
      <c r="A57" s="20" t="s">
        <v>2489</v>
      </c>
      <c r="B57" s="20" t="str">
        <f aca="false">$E$3</f>
        <v>PCGH-20260630-v2.5</v>
      </c>
      <c r="C57" s="20" t="s">
        <v>2490</v>
      </c>
      <c r="D57" s="20"/>
      <c r="E57" s="20"/>
      <c r="F57" s="20"/>
      <c r="G57" s="20"/>
      <c r="H57" s="29"/>
      <c r="I57" s="29"/>
      <c r="J57" s="32"/>
    </row>
    <row r="58" customFormat="false" ht="13.5" hidden="false" customHeight="false" outlineLevel="0" collapsed="false">
      <c r="A58" s="20" t="s">
        <v>2491</v>
      </c>
      <c r="B58" s="20" t="n">
        <f aca="false">D15</f>
        <v>10</v>
      </c>
      <c r="C58" s="20" t="s">
        <v>2492</v>
      </c>
      <c r="D58" s="20"/>
      <c r="E58" s="20"/>
      <c r="F58" s="20"/>
      <c r="G58" s="20"/>
      <c r="H58" s="29"/>
      <c r="I58" s="29"/>
      <c r="J58" s="32"/>
    </row>
    <row r="59" customFormat="false" ht="13.5" hidden="false" customHeight="false" outlineLevel="0" collapsed="false">
      <c r="A59" s="20" t="s">
        <v>2493</v>
      </c>
      <c r="B59" s="20" t="n">
        <f aca="false">COUNTIF(Checks!$F$8:$F$41,"OK")</f>
        <v>29</v>
      </c>
      <c r="C59" s="20" t="s">
        <v>2494</v>
      </c>
      <c r="D59" s="20"/>
      <c r="E59" s="20"/>
      <c r="F59" s="20"/>
      <c r="G59" s="20"/>
      <c r="H59" s="29"/>
      <c r="I59" s="29"/>
      <c r="J59" s="32"/>
    </row>
    <row r="60" customFormat="false" ht="13.5" hidden="false" customHeight="false" outlineLevel="0" collapsed="false">
      <c r="A60" s="20" t="s">
        <v>2495</v>
      </c>
      <c r="B60" s="20" t="n">
        <f aca="false">D13</f>
        <v>13</v>
      </c>
      <c r="C60" s="20" t="s">
        <v>2496</v>
      </c>
      <c r="D60" s="20"/>
      <c r="E60" s="20"/>
      <c r="F60" s="20"/>
      <c r="G60" s="20"/>
      <c r="H60" s="29"/>
      <c r="I60" s="29"/>
      <c r="J60" s="32"/>
    </row>
    <row r="61" customFormat="false" ht="13.5" hidden="false" customHeight="false" outlineLevel="0" collapsed="false">
      <c r="A61" s="20" t="s">
        <v>2497</v>
      </c>
      <c r="B61" s="20" t="n">
        <f aca="false">D16</f>
        <v>1</v>
      </c>
      <c r="C61" s="20" t="s">
        <v>2498</v>
      </c>
      <c r="D61" s="20"/>
      <c r="E61" s="20"/>
      <c r="F61" s="20"/>
      <c r="G61" s="20"/>
      <c r="H61" s="29"/>
      <c r="I61" s="29"/>
      <c r="J61" s="32"/>
    </row>
    <row r="62" customFormat="false" ht="13.5" hidden="false" customHeight="false" outlineLevel="0" collapsed="false">
      <c r="A62" s="20" t="s">
        <v>105</v>
      </c>
      <c r="B62" s="20" t="str">
        <f aca="false">Controls!$B$24</f>
        <v>Finance Lead</v>
      </c>
      <c r="C62" s="20" t="s">
        <v>2499</v>
      </c>
      <c r="D62" s="20"/>
      <c r="E62" s="20"/>
      <c r="F62" s="20"/>
      <c r="G62" s="20"/>
      <c r="H62" s="29"/>
      <c r="I62" s="29"/>
      <c r="J62" s="32"/>
    </row>
    <row r="63" customFormat="false" ht="13.5" hidden="false" customHeight="false" outlineLevel="0" collapsed="false">
      <c r="A63" s="20" t="s">
        <v>4</v>
      </c>
      <c r="B63" s="20" t="str">
        <f aca="false">Controls!$B$23</f>
        <v>Draft</v>
      </c>
      <c r="C63" s="20" t="s">
        <v>2500</v>
      </c>
      <c r="D63" s="20"/>
      <c r="E63" s="20"/>
      <c r="F63" s="20"/>
      <c r="G63" s="20"/>
      <c r="H63" s="29"/>
      <c r="I63" s="29"/>
      <c r="J63" s="32"/>
    </row>
    <row r="64" customFormat="false" ht="13.5" hidden="false" customHeight="false" outlineLevel="0" collapsed="false">
      <c r="A64" s="20" t="s">
        <v>2501</v>
      </c>
      <c r="B64" s="20" t="str">
        <f aca="false">$B$3</f>
        <v>HOLD — REMEDIATE</v>
      </c>
      <c r="C64" s="20" t="s">
        <v>2502</v>
      </c>
      <c r="D64" s="20"/>
      <c r="E64" s="20"/>
      <c r="F64" s="20"/>
      <c r="G64" s="20"/>
      <c r="H64" s="29"/>
      <c r="I64" s="29"/>
      <c r="J64" s="32"/>
    </row>
    <row r="65" customFormat="false" ht="13.5" hidden="false" customHeight="false" outlineLevel="0" collapsed="false">
      <c r="A65" s="20"/>
      <c r="B65" s="20"/>
      <c r="C65" s="20"/>
      <c r="D65" s="20"/>
      <c r="E65" s="20"/>
      <c r="F65" s="20"/>
      <c r="G65" s="20"/>
      <c r="H65" s="29"/>
      <c r="I65" s="29"/>
      <c r="J65" s="32"/>
    </row>
    <row r="66" customFormat="false" ht="13.5" hidden="false" customHeight="false" outlineLevel="0" collapsed="false">
      <c r="A66" s="20"/>
      <c r="B66" s="20"/>
      <c r="C66" s="20"/>
      <c r="D66" s="20"/>
      <c r="E66" s="20"/>
      <c r="F66" s="20"/>
      <c r="G66" s="20"/>
      <c r="H66" s="29"/>
      <c r="I66" s="29"/>
      <c r="J66" s="32"/>
    </row>
    <row r="67" customFormat="false" ht="14.9" hidden="false" customHeight="false" outlineLevel="0" collapsed="false">
      <c r="A67" s="217" t="s">
        <v>2373</v>
      </c>
      <c r="B67" s="217" t="s">
        <v>2503</v>
      </c>
      <c r="C67" s="217" t="s">
        <v>2153</v>
      </c>
      <c r="D67" s="217" t="s">
        <v>773</v>
      </c>
      <c r="E67" s="217" t="s">
        <v>2504</v>
      </c>
      <c r="F67" s="217" t="s">
        <v>2150</v>
      </c>
      <c r="G67" s="217" t="s">
        <v>2505</v>
      </c>
      <c r="H67" s="29"/>
      <c r="I67" s="29"/>
      <c r="J67" s="32"/>
    </row>
    <row r="68" customFormat="false" ht="27.75" hidden="false" customHeight="true" outlineLevel="0" collapsed="false">
      <c r="A68" s="218" t="n">
        <v>1</v>
      </c>
      <c r="B68" s="218" t="s">
        <v>2506</v>
      </c>
      <c r="C68" s="218" t="s">
        <v>2507</v>
      </c>
      <c r="D68" s="218" t="s">
        <v>2365</v>
      </c>
      <c r="E68" s="218" t="s">
        <v>2508</v>
      </c>
      <c r="F68" s="218" t="s">
        <v>2509</v>
      </c>
      <c r="G68" s="218" t="s">
        <v>2194</v>
      </c>
      <c r="H68" s="29"/>
      <c r="I68" s="29"/>
      <c r="J68" s="32"/>
    </row>
    <row r="69" customFormat="false" ht="27.75" hidden="false" customHeight="true" outlineLevel="0" collapsed="false">
      <c r="A69" s="218" t="n">
        <v>2</v>
      </c>
      <c r="B69" s="218" t="s">
        <v>2510</v>
      </c>
      <c r="C69" s="218" t="s">
        <v>2511</v>
      </c>
      <c r="D69" s="218" t="s">
        <v>2300</v>
      </c>
      <c r="E69" s="218" t="s">
        <v>2512</v>
      </c>
      <c r="F69" s="218" t="s">
        <v>2513</v>
      </c>
      <c r="G69" s="218" t="s">
        <v>2514</v>
      </c>
      <c r="H69" s="29"/>
      <c r="I69" s="29"/>
      <c r="J69" s="32"/>
    </row>
    <row r="70" customFormat="false" ht="27.75" hidden="false" customHeight="true" outlineLevel="0" collapsed="false">
      <c r="A70" s="218" t="n">
        <v>3</v>
      </c>
      <c r="B70" s="218" t="s">
        <v>2515</v>
      </c>
      <c r="C70" s="218" t="s">
        <v>2516</v>
      </c>
      <c r="D70" s="218" t="s">
        <v>2173</v>
      </c>
      <c r="E70" s="218" t="s">
        <v>2517</v>
      </c>
      <c r="F70" s="218" t="s">
        <v>2518</v>
      </c>
      <c r="G70" s="218" t="s">
        <v>2519</v>
      </c>
      <c r="H70" s="29"/>
      <c r="I70" s="29"/>
      <c r="J70" s="32"/>
    </row>
    <row r="71" customFormat="false" ht="27.75" hidden="false" customHeight="true" outlineLevel="0" collapsed="false">
      <c r="A71" s="218" t="s">
        <v>2520</v>
      </c>
      <c r="B71" s="218" t="s">
        <v>2521</v>
      </c>
      <c r="C71" s="218" t="s">
        <v>2522</v>
      </c>
      <c r="D71" s="218" t="s">
        <v>2173</v>
      </c>
      <c r="E71" s="218" t="s">
        <v>2523</v>
      </c>
      <c r="F71" s="218" t="s">
        <v>2524</v>
      </c>
      <c r="G71" s="218" t="s">
        <v>2525</v>
      </c>
      <c r="H71" s="29"/>
      <c r="I71" s="29"/>
      <c r="J71" s="32"/>
    </row>
    <row r="72" customFormat="false" ht="13.5" hidden="false" customHeight="false" outlineLevel="0" collapsed="false">
      <c r="A72" s="20"/>
      <c r="B72" s="20"/>
      <c r="C72" s="20"/>
      <c r="D72" s="20"/>
      <c r="E72" s="20"/>
      <c r="F72" s="20"/>
      <c r="G72" s="20"/>
      <c r="H72" s="29"/>
      <c r="I72" s="29"/>
      <c r="J72" s="32"/>
    </row>
    <row r="73" customFormat="false" ht="13.5" hidden="false" customHeight="false" outlineLevel="0" collapsed="false">
      <c r="A73" s="20"/>
      <c r="B73" s="20"/>
      <c r="C73" s="20"/>
      <c r="D73" s="20"/>
      <c r="E73" s="20"/>
      <c r="F73" s="20"/>
      <c r="G73" s="20"/>
      <c r="H73" s="29"/>
      <c r="I73" s="29"/>
      <c r="J73" s="32"/>
    </row>
    <row r="74" customFormat="false" ht="13.5" hidden="false" customHeight="false" outlineLevel="0" collapsed="false">
      <c r="A74" s="20"/>
      <c r="B74" s="20"/>
      <c r="C74" s="20"/>
      <c r="D74" s="20"/>
      <c r="E74" s="20"/>
      <c r="F74" s="20"/>
      <c r="G74" s="20"/>
      <c r="H74" s="29"/>
      <c r="I74" s="29"/>
      <c r="J74" s="32"/>
    </row>
    <row r="75" customFormat="false" ht="13.5" hidden="false" customHeight="false" outlineLevel="0" collapsed="false">
      <c r="A75" s="20"/>
      <c r="B75" s="20"/>
      <c r="C75" s="20"/>
      <c r="D75" s="20"/>
      <c r="E75" s="20"/>
      <c r="F75" s="20"/>
      <c r="G75" s="20"/>
      <c r="H75" s="29"/>
      <c r="I75" s="29"/>
      <c r="J75" s="32"/>
    </row>
    <row r="76" customFormat="false" ht="13.5" hidden="false" customHeight="false" outlineLevel="0" collapsed="false">
      <c r="A76" s="20"/>
      <c r="B76" s="20"/>
      <c r="C76" s="20"/>
      <c r="D76" s="20"/>
      <c r="E76" s="20"/>
      <c r="F76" s="20"/>
      <c r="G76" s="20"/>
      <c r="H76" s="29"/>
      <c r="I76" s="29"/>
      <c r="J76" s="32"/>
    </row>
    <row r="77" customFormat="false" ht="13.5" hidden="false" customHeight="false" outlineLevel="0" collapsed="false">
      <c r="A77" s="20"/>
      <c r="B77" s="20"/>
      <c r="C77" s="20"/>
      <c r="D77" s="20"/>
      <c r="E77" s="20"/>
      <c r="F77" s="20"/>
      <c r="G77" s="20"/>
      <c r="H77" s="29"/>
      <c r="I77" s="29"/>
      <c r="J77" s="32"/>
    </row>
    <row r="78" customFormat="false" ht="13.5" hidden="false" customHeight="false" outlineLevel="0" collapsed="false">
      <c r="A78" s="20"/>
      <c r="B78" s="20"/>
      <c r="C78" s="20"/>
      <c r="D78" s="20"/>
      <c r="E78" s="20"/>
      <c r="F78" s="20"/>
      <c r="G78" s="20"/>
      <c r="H78" s="29"/>
      <c r="I78" s="29"/>
      <c r="J78" s="32"/>
    </row>
    <row r="79" customFormat="false" ht="13.5" hidden="false" customHeight="false" outlineLevel="0" collapsed="false">
      <c r="A79" s="20"/>
      <c r="B79" s="20"/>
      <c r="C79" s="20"/>
      <c r="D79" s="20"/>
      <c r="E79" s="20"/>
      <c r="F79" s="20"/>
      <c r="G79" s="20"/>
      <c r="H79" s="29"/>
      <c r="I79" s="29"/>
      <c r="J79" s="32"/>
    </row>
    <row r="80" customFormat="false" ht="13.5" hidden="false" customHeight="false" outlineLevel="0" collapsed="false">
      <c r="A80" s="20"/>
      <c r="B80" s="20"/>
      <c r="C80" s="20"/>
      <c r="D80" s="20"/>
      <c r="E80" s="20"/>
      <c r="F80" s="20"/>
      <c r="G80" s="20"/>
      <c r="H80" s="29"/>
      <c r="I80" s="29"/>
      <c r="J80" s="32"/>
    </row>
  </sheetData>
  <mergeCells count="6">
    <mergeCell ref="A1:J1"/>
    <mergeCell ref="A2:J2"/>
    <mergeCell ref="A6:J6"/>
    <mergeCell ref="A22:J22"/>
    <mergeCell ref="A36:J36"/>
    <mergeCell ref="A54:J54"/>
  </mergeCells>
  <conditionalFormatting sqref="B3">
    <cfRule type="containsText" priority="2" operator="containsText" aboveAverage="0" equalAverage="0" bottom="0" percent="0" rank="0" text="HOLD" dxfId="17">
      <formula>NOT(ISERROR(SEARCH("HOLD",B3)))</formula>
    </cfRule>
    <cfRule type="containsText" priority="3" operator="containsText" aboveAverage="0" equalAverage="0" bottom="0" percent="0" rank="0" text="READY" dxfId="30">
      <formula>NOT(ISERROR(SEARCH("READY",B3)))</formula>
    </cfRule>
    <cfRule type="containsText" priority="4" operator="containsText" aboveAverage="0" equalAverage="0" bottom="0" percent="0" rank="0" text="APPROVED" dxfId="31">
      <formula>NOT(ISERROR(SEARCH("APPROVED",B3)))</formula>
    </cfRule>
  </conditionalFormatting>
  <conditionalFormatting sqref="G8:G19">
    <cfRule type="containsText" priority="5" operator="containsText" aboveAverage="0" equalAverage="0" bottom="0" percent="0" rank="0" text="FAIL" dxfId="17">
      <formula>NOT(ISERROR(SEARCH("FAIL",G8)))</formula>
    </cfRule>
    <cfRule type="containsText" priority="6" operator="containsText" aboveAverage="0" equalAverage="0" bottom="0" percent="0" rank="0" text="PASS" dxfId="31">
      <formula>NOT(ISERROR(SEARCH("PASS",G8)))</formula>
    </cfRule>
  </conditionalFormatting>
  <conditionalFormatting sqref="G24:G33">
    <cfRule type="containsText" priority="7" operator="containsText" aboveAverage="0" equalAverage="0" bottom="0" percent="0" rank="0" text="BLOCKED" dxfId="17">
      <formula>NOT(ISERROR(SEARCH("BLOCKED",G24)))</formula>
    </cfRule>
    <cfRule type="containsText" priority="8" operator="containsText" aboveAverage="0" equalAverage="0" bottom="0" percent="0" rank="0" text="PASS" dxfId="31">
      <formula>NOT(ISERROR(SEARCH("PASS",G24)))</formula>
    </cfRule>
    <cfRule type="containsText" priority="9" operator="containsText" aboveAverage="0" equalAverage="0" bottom="0" percent="0" rank="0" text="PENDING" dxfId="30">
      <formula>NOT(ISERROR(SEARCH("PENDING",G24)))</formula>
    </cfRule>
  </conditionalFormatting>
  <conditionalFormatting sqref="J39:J80">
    <cfRule type="containsText" priority="10" operator="containsText" aboveAverage="0" equalAverage="0" bottom="0" percent="0" rank="0" text="Open" dxfId="17">
      <formula>NOT(ISERROR(SEARCH("Open",J39)))</formula>
    </cfRule>
    <cfRule type="containsText" priority="11" operator="containsText" aboveAverage="0" equalAverage="0" bottom="0" percent="0" rank="0" text="Resolved" dxfId="31">
      <formula>NOT(ISERROR(SEARCH("Resolved",J39)))</formula>
    </cfRule>
  </conditionalFormatting>
  <conditionalFormatting sqref="G8:G80">
    <cfRule type="containsText" priority="12" operator="containsText" aboveAverage="0" equalAverage="0" bottom="0" percent="0" rank="0" text="OK" dxfId="11">
      <formula>NOT(ISERROR(SEARCH("OK",G8)))</formula>
    </cfRule>
    <cfRule type="containsText" priority="13" operator="containsText" aboveAverage="0" equalAverage="0" bottom="0" percent="0" rank="0" text="REVIEW" dxfId="12">
      <formula>NOT(ISERROR(SEARCH("REVIEW",G8)))</formula>
    </cfRule>
    <cfRule type="containsText" priority="14" operator="containsText" aboveAverage="0" equalAverage="0" bottom="0" percent="0" rank="0" text="NOT LOADED" dxfId="13">
      <formula>NOT(ISERROR(SEARCH("NOT LOADED",G8)))</formula>
    </cfRule>
    <cfRule type="containsText" priority="15" operator="containsText" aboveAverage="0" equalAverage="0" bottom="0" percent="0" rank="0" text="FAIL" dxfId="14">
      <formula>NOT(ISERROR(SEARCH("FAIL",G8)))</formula>
    </cfRule>
  </conditionalFormatting>
  <dataValidations count="2">
    <dataValidation allowBlank="false" errorStyle="stop" operator="between" showDropDown="false" showErrorMessage="false" showInputMessage="false" sqref="E39:E80" type="list">
      <formula1>"Critical,High,Medium,Low"</formula1>
      <formula2>0</formula2>
    </dataValidation>
    <dataValidation allowBlank="false" errorStyle="stop" operator="between" showDropDown="false" showErrorMessage="false" showInputMessage="false" sqref="J39:J80" type="list">
      <formula1>"Open,In Progress,Resolved,Accepted Exception"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5" min="4" style="1" width="52"/>
    <col collapsed="false" customWidth="true" hidden="false" outlineLevel="0" max="6" min="6" style="1" width="26"/>
    <col collapsed="false" customWidth="true" hidden="false" outlineLevel="0" max="7" min="7" style="1" width="42"/>
    <col collapsed="false" customWidth="true" hidden="false" outlineLevel="0" max="8" min="8" style="1" width="20"/>
  </cols>
  <sheetData>
    <row r="1" customFormat="false" ht="9.75" hidden="false" customHeight="true" outlineLevel="0" collapsed="false">
      <c r="A1" s="18" t="s">
        <v>2526</v>
      </c>
      <c r="B1" s="18"/>
      <c r="C1" s="18"/>
      <c r="D1" s="18"/>
      <c r="E1" s="18"/>
      <c r="F1" s="18"/>
      <c r="G1" s="18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3.5" hidden="false" customHeight="false" outlineLevel="0" collapsed="false">
      <c r="A2" s="232" t="s">
        <v>2527</v>
      </c>
      <c r="B2" s="232"/>
      <c r="C2" s="232"/>
      <c r="D2" s="232"/>
      <c r="E2" s="232"/>
      <c r="F2" s="232"/>
      <c r="G2" s="232"/>
      <c r="H2" s="232"/>
    </row>
    <row r="3" customFormat="false" ht="14.9" hidden="false" customHeight="false" outlineLevel="0" collapsed="false">
      <c r="A3" s="218" t="s">
        <v>2528</v>
      </c>
      <c r="B3" s="218" t="s">
        <v>2369</v>
      </c>
      <c r="C3" s="218" t="s">
        <v>2529</v>
      </c>
      <c r="D3" s="218" t="s">
        <v>2153</v>
      </c>
      <c r="E3" s="218" t="s">
        <v>2530</v>
      </c>
      <c r="F3" s="218" t="s">
        <v>2531</v>
      </c>
      <c r="G3" s="218" t="s">
        <v>2374</v>
      </c>
      <c r="H3" s="218"/>
    </row>
    <row r="4" customFormat="false" ht="14.9" hidden="false" customHeight="false" outlineLevel="0" collapsed="false">
      <c r="A4" s="218" t="n">
        <v>1</v>
      </c>
      <c r="B4" s="218" t="s">
        <v>2532</v>
      </c>
      <c r="C4" s="218" t="s">
        <v>2533</v>
      </c>
      <c r="D4" s="218" t="s">
        <v>2534</v>
      </c>
      <c r="E4" s="218" t="s">
        <v>2535</v>
      </c>
      <c r="F4" s="218" t="s">
        <v>2536</v>
      </c>
      <c r="G4" s="218" t="s">
        <v>2537</v>
      </c>
      <c r="H4" s="218"/>
    </row>
    <row r="5" customFormat="false" ht="27.75" hidden="false" customHeight="true" outlineLevel="0" collapsed="false">
      <c r="A5" s="218" t="n">
        <v>2</v>
      </c>
      <c r="B5" s="218" t="s">
        <v>2538</v>
      </c>
      <c r="C5" s="218" t="s">
        <v>2539</v>
      </c>
      <c r="D5" s="218" t="s">
        <v>2540</v>
      </c>
      <c r="E5" s="218" t="s">
        <v>2541</v>
      </c>
      <c r="F5" s="218" t="s">
        <v>2542</v>
      </c>
      <c r="G5" s="218" t="s">
        <v>2543</v>
      </c>
      <c r="H5" s="218"/>
    </row>
    <row r="6" customFormat="false" ht="27.75" hidden="false" customHeight="true" outlineLevel="0" collapsed="false">
      <c r="A6" s="218" t="n">
        <v>3</v>
      </c>
      <c r="B6" s="218" t="s">
        <v>2544</v>
      </c>
      <c r="C6" s="218" t="s">
        <v>2545</v>
      </c>
      <c r="D6" s="218" t="s">
        <v>2546</v>
      </c>
      <c r="E6" s="218" t="s">
        <v>2547</v>
      </c>
      <c r="F6" s="218" t="s">
        <v>2548</v>
      </c>
      <c r="G6" s="218" t="s">
        <v>2549</v>
      </c>
      <c r="H6" s="218"/>
    </row>
    <row r="7" customFormat="false" ht="14.9" hidden="false" customHeight="false" outlineLevel="0" collapsed="false">
      <c r="A7" s="218" t="n">
        <v>4</v>
      </c>
      <c r="B7" s="218" t="s">
        <v>2550</v>
      </c>
      <c r="C7" s="218" t="s">
        <v>2031</v>
      </c>
      <c r="D7" s="218" t="s">
        <v>2551</v>
      </c>
      <c r="E7" s="218" t="s">
        <v>2552</v>
      </c>
      <c r="F7" s="218" t="s">
        <v>2553</v>
      </c>
      <c r="G7" s="218" t="s">
        <v>2554</v>
      </c>
      <c r="H7" s="218"/>
    </row>
    <row r="8" customFormat="false" ht="14.9" hidden="false" customHeight="false" outlineLevel="0" collapsed="false">
      <c r="A8" s="218" t="n">
        <v>5</v>
      </c>
      <c r="B8" s="218" t="s">
        <v>2324</v>
      </c>
      <c r="C8" s="218" t="s">
        <v>2555</v>
      </c>
      <c r="D8" s="218" t="s">
        <v>2556</v>
      </c>
      <c r="E8" s="218" t="s">
        <v>2557</v>
      </c>
      <c r="F8" s="218" t="s">
        <v>2558</v>
      </c>
      <c r="G8" s="218" t="s">
        <v>2559</v>
      </c>
      <c r="H8" s="218"/>
    </row>
    <row r="9" customFormat="false" ht="14.9" hidden="false" customHeight="false" outlineLevel="0" collapsed="false">
      <c r="A9" s="218" t="n">
        <v>6</v>
      </c>
      <c r="B9" s="218" t="s">
        <v>2560</v>
      </c>
      <c r="C9" s="218" t="s">
        <v>2561</v>
      </c>
      <c r="D9" s="218" t="s">
        <v>2562</v>
      </c>
      <c r="E9" s="218" t="s">
        <v>2563</v>
      </c>
      <c r="F9" s="218" t="s">
        <v>2564</v>
      </c>
      <c r="G9" s="218" t="s">
        <v>2565</v>
      </c>
      <c r="H9" s="218"/>
    </row>
    <row r="10" customFormat="false" ht="14.9" hidden="false" customHeight="false" outlineLevel="0" collapsed="false">
      <c r="A10" s="218" t="n">
        <v>7</v>
      </c>
      <c r="B10" s="218" t="s">
        <v>2566</v>
      </c>
      <c r="C10" s="218" t="s">
        <v>2567</v>
      </c>
      <c r="D10" s="218" t="s">
        <v>2568</v>
      </c>
      <c r="E10" s="218" t="s">
        <v>2569</v>
      </c>
      <c r="F10" s="218" t="s">
        <v>2570</v>
      </c>
      <c r="G10" s="218" t="s">
        <v>2571</v>
      </c>
      <c r="H10" s="218"/>
    </row>
    <row r="11" customFormat="false" ht="14.9" hidden="false" customHeight="false" outlineLevel="0" collapsed="false">
      <c r="A11" s="218" t="n">
        <v>8</v>
      </c>
      <c r="B11" s="218" t="s">
        <v>2572</v>
      </c>
      <c r="C11" s="218" t="s">
        <v>2573</v>
      </c>
      <c r="D11" s="218" t="s">
        <v>2574</v>
      </c>
      <c r="E11" s="218" t="s">
        <v>2575</v>
      </c>
      <c r="F11" s="218" t="s">
        <v>2576</v>
      </c>
      <c r="G11" s="218" t="s">
        <v>2577</v>
      </c>
      <c r="H11" s="218"/>
    </row>
    <row r="12" customFormat="false" ht="14.9" hidden="false" customHeight="false" outlineLevel="0" collapsed="false">
      <c r="A12" s="218" t="n">
        <v>9</v>
      </c>
      <c r="B12" s="218" t="s">
        <v>2578</v>
      </c>
      <c r="C12" s="218" t="s">
        <v>2579</v>
      </c>
      <c r="D12" s="218" t="s">
        <v>2580</v>
      </c>
      <c r="E12" s="218" t="s">
        <v>2581</v>
      </c>
      <c r="F12" s="218" t="s">
        <v>2582</v>
      </c>
      <c r="G12" s="218" t="s">
        <v>2583</v>
      </c>
      <c r="H12" s="218"/>
    </row>
    <row r="13" customFormat="false" ht="14.9" hidden="false" customHeight="false" outlineLevel="0" collapsed="false">
      <c r="A13" s="218" t="n">
        <v>10</v>
      </c>
      <c r="B13" s="218" t="s">
        <v>2173</v>
      </c>
      <c r="C13" s="218" t="s">
        <v>2584</v>
      </c>
      <c r="D13" s="218" t="s">
        <v>2585</v>
      </c>
      <c r="E13" s="218" t="s">
        <v>2586</v>
      </c>
      <c r="F13" s="218" t="s">
        <v>2587</v>
      </c>
      <c r="G13" s="218" t="s">
        <v>2588</v>
      </c>
      <c r="H13" s="218"/>
    </row>
    <row r="14" customFormat="false" ht="13.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</row>
    <row r="15" customFormat="false" ht="13.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13.5" hidden="false" customHeight="false" outlineLevel="0" collapsed="false">
      <c r="A16" s="54" t="s">
        <v>2589</v>
      </c>
      <c r="B16" s="54"/>
      <c r="C16" s="54"/>
      <c r="D16" s="54"/>
      <c r="E16" s="54"/>
      <c r="F16" s="54"/>
      <c r="G16" s="54"/>
      <c r="H16" s="54"/>
    </row>
    <row r="17" customFormat="false" ht="13.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13.5" hidden="false" customHeight="false" outlineLevel="0" collapsed="false">
      <c r="A18" s="20" t="s">
        <v>2590</v>
      </c>
      <c r="B18" s="20" t="s">
        <v>3</v>
      </c>
      <c r="C18" s="20" t="s">
        <v>71</v>
      </c>
      <c r="D18" s="20" t="s">
        <v>2369</v>
      </c>
      <c r="E18" s="20" t="s">
        <v>505</v>
      </c>
      <c r="F18" s="20" t="s">
        <v>2430</v>
      </c>
      <c r="G18" s="20" t="s">
        <v>773</v>
      </c>
      <c r="H18" s="20" t="s">
        <v>103</v>
      </c>
    </row>
    <row r="19" customFormat="false" ht="13.5" hidden="false" customHeight="false" outlineLevel="0" collapsed="false">
      <c r="A19" s="29"/>
      <c r="B19" s="29"/>
      <c r="C19" s="29"/>
      <c r="D19" s="29"/>
      <c r="E19" s="32"/>
      <c r="F19" s="29"/>
      <c r="G19" s="29"/>
      <c r="H19" s="32" t="s">
        <v>781</v>
      </c>
    </row>
    <row r="20" customFormat="false" ht="13.5" hidden="false" customHeight="false" outlineLevel="0" collapsed="false">
      <c r="A20" s="29"/>
      <c r="B20" s="29"/>
      <c r="C20" s="29"/>
      <c r="D20" s="29"/>
      <c r="E20" s="32"/>
      <c r="F20" s="29"/>
      <c r="G20" s="29"/>
      <c r="H20" s="32"/>
    </row>
    <row r="21" customFormat="false" ht="13.5" hidden="false" customHeight="false" outlineLevel="0" collapsed="false">
      <c r="A21" s="29"/>
      <c r="B21" s="29"/>
      <c r="C21" s="29"/>
      <c r="D21" s="29"/>
      <c r="E21" s="32"/>
      <c r="F21" s="29"/>
      <c r="G21" s="29"/>
      <c r="H21" s="32"/>
    </row>
    <row r="22" customFormat="false" ht="13.5" hidden="false" customHeight="false" outlineLevel="0" collapsed="false">
      <c r="A22" s="29"/>
      <c r="B22" s="29"/>
      <c r="C22" s="29"/>
      <c r="D22" s="29"/>
      <c r="E22" s="32"/>
      <c r="F22" s="29"/>
      <c r="G22" s="29"/>
      <c r="H22" s="32"/>
    </row>
    <row r="23" customFormat="false" ht="13.5" hidden="false" customHeight="false" outlineLevel="0" collapsed="false">
      <c r="A23" s="29"/>
      <c r="B23" s="29"/>
      <c r="C23" s="29"/>
      <c r="D23" s="29"/>
      <c r="E23" s="32"/>
      <c r="F23" s="29"/>
      <c r="G23" s="29"/>
      <c r="H23" s="32"/>
    </row>
    <row r="24" customFormat="false" ht="13.5" hidden="false" customHeight="false" outlineLevel="0" collapsed="false">
      <c r="A24" s="29"/>
      <c r="B24" s="29"/>
      <c r="C24" s="29"/>
      <c r="D24" s="29"/>
      <c r="E24" s="32"/>
      <c r="F24" s="29"/>
      <c r="G24" s="29"/>
      <c r="H24" s="32"/>
    </row>
    <row r="25" customFormat="false" ht="13.5" hidden="false" customHeight="false" outlineLevel="0" collapsed="false">
      <c r="A25" s="29"/>
      <c r="B25" s="29"/>
      <c r="C25" s="29"/>
      <c r="D25" s="29"/>
      <c r="E25" s="32"/>
      <c r="F25" s="29"/>
      <c r="G25" s="29"/>
      <c r="H25" s="32"/>
    </row>
    <row r="26" customFormat="false" ht="13.5" hidden="false" customHeight="false" outlineLevel="0" collapsed="false">
      <c r="A26" s="29"/>
      <c r="B26" s="29"/>
      <c r="C26" s="29"/>
      <c r="D26" s="29"/>
      <c r="E26" s="32"/>
      <c r="F26" s="29"/>
      <c r="G26" s="29"/>
      <c r="H26" s="32"/>
    </row>
    <row r="27" customFormat="false" ht="13.5" hidden="false" customHeight="false" outlineLevel="0" collapsed="false">
      <c r="A27" s="29"/>
      <c r="B27" s="29"/>
      <c r="C27" s="29"/>
      <c r="D27" s="29"/>
      <c r="E27" s="32"/>
      <c r="F27" s="29"/>
      <c r="G27" s="29"/>
      <c r="H27" s="32"/>
    </row>
    <row r="28" customFormat="false" ht="13.5" hidden="false" customHeight="false" outlineLevel="0" collapsed="false">
      <c r="A28" s="29"/>
      <c r="B28" s="29"/>
      <c r="C28" s="29"/>
      <c r="D28" s="29"/>
      <c r="E28" s="32"/>
      <c r="F28" s="29"/>
      <c r="G28" s="29"/>
      <c r="H28" s="32"/>
    </row>
    <row r="29" customFormat="false" ht="13.5" hidden="false" customHeight="false" outlineLevel="0" collapsed="false">
      <c r="A29" s="29"/>
      <c r="B29" s="29"/>
      <c r="C29" s="29"/>
      <c r="D29" s="29"/>
      <c r="E29" s="32"/>
      <c r="F29" s="29"/>
      <c r="G29" s="29"/>
      <c r="H29" s="32"/>
    </row>
    <row r="30" customFormat="false" ht="13.5" hidden="false" customHeight="false" outlineLevel="0" collapsed="false">
      <c r="A30" s="29"/>
      <c r="B30" s="29"/>
      <c r="C30" s="29"/>
      <c r="D30" s="29"/>
      <c r="E30" s="32"/>
      <c r="F30" s="29"/>
      <c r="G30" s="29"/>
      <c r="H30" s="32"/>
    </row>
    <row r="31" customFormat="false" ht="13.5" hidden="false" customHeight="false" outlineLevel="0" collapsed="false">
      <c r="A31" s="29"/>
      <c r="B31" s="29"/>
      <c r="C31" s="29"/>
      <c r="D31" s="29"/>
      <c r="E31" s="32"/>
      <c r="F31" s="29"/>
      <c r="G31" s="29"/>
      <c r="H31" s="32"/>
    </row>
    <row r="32" customFormat="false" ht="13.5" hidden="false" customHeight="false" outlineLevel="0" collapsed="false">
      <c r="A32" s="29"/>
      <c r="B32" s="29"/>
      <c r="C32" s="29"/>
      <c r="D32" s="29"/>
      <c r="E32" s="32"/>
      <c r="F32" s="29"/>
      <c r="G32" s="29"/>
      <c r="H32" s="32"/>
    </row>
    <row r="33" customFormat="false" ht="13.5" hidden="false" customHeight="false" outlineLevel="0" collapsed="false">
      <c r="A33" s="29"/>
      <c r="B33" s="29"/>
      <c r="C33" s="29"/>
      <c r="D33" s="29"/>
      <c r="E33" s="32"/>
      <c r="F33" s="29"/>
      <c r="G33" s="29"/>
      <c r="H33" s="32"/>
    </row>
    <row r="34" customFormat="false" ht="13.5" hidden="false" customHeight="false" outlineLevel="0" collapsed="false">
      <c r="A34" s="29"/>
      <c r="B34" s="29"/>
      <c r="C34" s="29"/>
      <c r="D34" s="29"/>
      <c r="E34" s="32"/>
      <c r="F34" s="29"/>
      <c r="G34" s="29"/>
      <c r="H34" s="32"/>
    </row>
    <row r="35" customFormat="false" ht="13.5" hidden="false" customHeight="false" outlineLevel="0" collapsed="false">
      <c r="A35" s="29"/>
      <c r="B35" s="29"/>
      <c r="C35" s="29"/>
      <c r="D35" s="29"/>
      <c r="E35" s="32"/>
      <c r="F35" s="29"/>
      <c r="G35" s="29"/>
      <c r="H35" s="32"/>
    </row>
    <row r="36" customFormat="false" ht="13.5" hidden="false" customHeight="false" outlineLevel="0" collapsed="false">
      <c r="A36" s="29"/>
      <c r="B36" s="29"/>
      <c r="C36" s="29"/>
      <c r="D36" s="29"/>
      <c r="E36" s="32"/>
      <c r="F36" s="29"/>
      <c r="G36" s="29"/>
      <c r="H36" s="32"/>
    </row>
    <row r="37" customFormat="false" ht="13.5" hidden="false" customHeight="false" outlineLevel="0" collapsed="false">
      <c r="A37" s="29"/>
      <c r="B37" s="29"/>
      <c r="C37" s="29"/>
      <c r="D37" s="29"/>
      <c r="E37" s="32"/>
      <c r="F37" s="29"/>
      <c r="G37" s="29"/>
      <c r="H37" s="32"/>
    </row>
    <row r="38" customFormat="false" ht="13.5" hidden="false" customHeight="false" outlineLevel="0" collapsed="false">
      <c r="A38" s="29"/>
      <c r="B38" s="29"/>
      <c r="C38" s="29"/>
      <c r="D38" s="29"/>
      <c r="E38" s="32"/>
      <c r="F38" s="29"/>
      <c r="G38" s="29"/>
      <c r="H38" s="32"/>
    </row>
    <row r="39" customFormat="false" ht="13.5" hidden="false" customHeight="false" outlineLevel="0" collapsed="false">
      <c r="A39" s="29"/>
      <c r="B39" s="29"/>
      <c r="C39" s="29"/>
      <c r="D39" s="29"/>
      <c r="E39" s="32"/>
      <c r="F39" s="29"/>
      <c r="G39" s="29"/>
      <c r="H39" s="32"/>
    </row>
    <row r="40" customFormat="false" ht="13.5" hidden="false" customHeight="false" outlineLevel="0" collapsed="false">
      <c r="A40" s="29"/>
      <c r="B40" s="29"/>
      <c r="C40" s="29"/>
      <c r="D40" s="29"/>
      <c r="E40" s="32"/>
      <c r="F40" s="29"/>
      <c r="G40" s="29"/>
      <c r="H40" s="32"/>
    </row>
    <row r="41" customFormat="false" ht="13.5" hidden="false" customHeight="false" outlineLevel="0" collapsed="false">
      <c r="A41" s="29"/>
      <c r="B41" s="29"/>
      <c r="C41" s="29"/>
      <c r="D41" s="29"/>
      <c r="E41" s="32"/>
      <c r="F41" s="29"/>
      <c r="G41" s="29"/>
      <c r="H41" s="32"/>
    </row>
    <row r="42" customFormat="false" ht="13.5" hidden="false" customHeight="false" outlineLevel="0" collapsed="false">
      <c r="A42" s="29"/>
      <c r="B42" s="29"/>
      <c r="C42" s="29"/>
      <c r="D42" s="29"/>
      <c r="E42" s="32"/>
      <c r="F42" s="29"/>
      <c r="G42" s="29"/>
      <c r="H42" s="32"/>
    </row>
    <row r="43" customFormat="false" ht="13.5" hidden="false" customHeight="false" outlineLevel="0" collapsed="false">
      <c r="A43" s="29"/>
      <c r="B43" s="29"/>
      <c r="C43" s="29"/>
      <c r="D43" s="29"/>
      <c r="E43" s="32"/>
      <c r="F43" s="29"/>
      <c r="G43" s="29"/>
      <c r="H43" s="32"/>
    </row>
    <row r="44" customFormat="false" ht="13.5" hidden="false" customHeight="false" outlineLevel="0" collapsed="false">
      <c r="A44" s="29"/>
      <c r="B44" s="29"/>
      <c r="C44" s="29"/>
      <c r="D44" s="29"/>
      <c r="E44" s="32"/>
      <c r="F44" s="29"/>
      <c r="G44" s="29"/>
      <c r="H44" s="32"/>
    </row>
    <row r="45" customFormat="false" ht="13.5" hidden="false" customHeight="false" outlineLevel="0" collapsed="false">
      <c r="A45" s="29"/>
      <c r="B45" s="29"/>
      <c r="C45" s="29"/>
      <c r="D45" s="29"/>
      <c r="E45" s="32"/>
      <c r="F45" s="29"/>
      <c r="G45" s="29"/>
      <c r="H45" s="32"/>
    </row>
    <row r="46" customFormat="false" ht="13.5" hidden="false" customHeight="false" outlineLevel="0" collapsed="false">
      <c r="A46" s="29"/>
      <c r="B46" s="29"/>
      <c r="C46" s="29"/>
      <c r="D46" s="29"/>
      <c r="E46" s="32"/>
      <c r="F46" s="29"/>
      <c r="G46" s="29"/>
      <c r="H46" s="32"/>
    </row>
    <row r="47" customFormat="false" ht="13.5" hidden="false" customHeight="false" outlineLevel="0" collapsed="false">
      <c r="A47" s="29"/>
      <c r="B47" s="29"/>
      <c r="C47" s="29"/>
      <c r="D47" s="29"/>
      <c r="E47" s="32"/>
      <c r="F47" s="29"/>
      <c r="G47" s="29"/>
      <c r="H47" s="32"/>
    </row>
    <row r="48" customFormat="false" ht="13.5" hidden="false" customHeight="false" outlineLevel="0" collapsed="false">
      <c r="A48" s="29"/>
      <c r="B48" s="29"/>
      <c r="C48" s="29"/>
      <c r="D48" s="29"/>
      <c r="E48" s="32"/>
      <c r="F48" s="29"/>
      <c r="G48" s="29"/>
      <c r="H48" s="32"/>
    </row>
    <row r="49" customFormat="false" ht="13.5" hidden="false" customHeight="false" outlineLevel="0" collapsed="false">
      <c r="A49" s="29"/>
      <c r="B49" s="29"/>
      <c r="C49" s="29"/>
      <c r="D49" s="29"/>
      <c r="E49" s="32"/>
      <c r="F49" s="29"/>
      <c r="G49" s="29"/>
      <c r="H49" s="32"/>
    </row>
    <row r="50" customFormat="false" ht="13.5" hidden="false" customHeight="false" outlineLevel="0" collapsed="false">
      <c r="A50" s="29"/>
      <c r="B50" s="29"/>
      <c r="C50" s="29"/>
      <c r="D50" s="29"/>
      <c r="E50" s="32"/>
      <c r="F50" s="29"/>
      <c r="G50" s="29"/>
      <c r="H50" s="32"/>
    </row>
    <row r="51" customFormat="false" ht="13.5" hidden="false" customHeight="false" outlineLevel="0" collapsed="false">
      <c r="A51" s="29"/>
      <c r="B51" s="29"/>
      <c r="C51" s="29"/>
      <c r="D51" s="29"/>
      <c r="E51" s="32"/>
      <c r="F51" s="29"/>
      <c r="G51" s="29"/>
      <c r="H51" s="32"/>
    </row>
    <row r="52" customFormat="false" ht="13.5" hidden="false" customHeight="false" outlineLevel="0" collapsed="false">
      <c r="A52" s="29"/>
      <c r="B52" s="29"/>
      <c r="C52" s="29"/>
      <c r="D52" s="29"/>
      <c r="E52" s="32"/>
      <c r="F52" s="29"/>
      <c r="G52" s="29"/>
      <c r="H52" s="32"/>
    </row>
    <row r="53" customFormat="false" ht="13.5" hidden="false" customHeight="false" outlineLevel="0" collapsed="false">
      <c r="A53" s="29"/>
      <c r="B53" s="29"/>
      <c r="C53" s="29"/>
      <c r="D53" s="29"/>
      <c r="E53" s="32"/>
      <c r="F53" s="29"/>
      <c r="G53" s="29"/>
      <c r="H53" s="32"/>
    </row>
    <row r="54" customFormat="false" ht="13.5" hidden="false" customHeight="false" outlineLevel="0" collapsed="false">
      <c r="A54" s="29"/>
      <c r="B54" s="29"/>
      <c r="C54" s="29"/>
      <c r="D54" s="29"/>
      <c r="E54" s="32"/>
      <c r="F54" s="29"/>
      <c r="G54" s="29"/>
      <c r="H54" s="32"/>
    </row>
    <row r="55" customFormat="false" ht="13.5" hidden="false" customHeight="false" outlineLevel="0" collapsed="false">
      <c r="A55" s="29"/>
      <c r="B55" s="29"/>
      <c r="C55" s="29"/>
      <c r="D55" s="29"/>
      <c r="E55" s="32"/>
      <c r="F55" s="29"/>
      <c r="G55" s="29"/>
      <c r="H55" s="32"/>
    </row>
    <row r="56" customFormat="false" ht="13.5" hidden="false" customHeight="false" outlineLevel="0" collapsed="false">
      <c r="A56" s="29"/>
      <c r="B56" s="29"/>
      <c r="C56" s="29"/>
      <c r="D56" s="29"/>
      <c r="E56" s="32"/>
      <c r="F56" s="29"/>
      <c r="G56" s="29"/>
      <c r="H56" s="32"/>
    </row>
    <row r="57" customFormat="false" ht="13.5" hidden="false" customHeight="false" outlineLevel="0" collapsed="false">
      <c r="A57" s="29"/>
      <c r="B57" s="29"/>
      <c r="C57" s="29"/>
      <c r="D57" s="29"/>
      <c r="E57" s="32"/>
      <c r="F57" s="29"/>
      <c r="G57" s="29"/>
      <c r="H57" s="32"/>
    </row>
    <row r="58" customFormat="false" ht="13.5" hidden="false" customHeight="false" outlineLevel="0" collapsed="false">
      <c r="A58" s="29"/>
      <c r="B58" s="29"/>
      <c r="C58" s="29"/>
      <c r="D58" s="29"/>
      <c r="E58" s="32"/>
      <c r="F58" s="29"/>
      <c r="G58" s="29"/>
      <c r="H58" s="32"/>
    </row>
    <row r="59" customFormat="false" ht="13.5" hidden="false" customHeight="false" outlineLevel="0" collapsed="false">
      <c r="A59" s="29"/>
      <c r="B59" s="29"/>
      <c r="C59" s="29"/>
      <c r="D59" s="29"/>
      <c r="E59" s="32"/>
      <c r="F59" s="29"/>
      <c r="G59" s="29"/>
      <c r="H59" s="32"/>
    </row>
    <row r="60" customFormat="false" ht="13.5" hidden="false" customHeight="false" outlineLevel="0" collapsed="false">
      <c r="A60" s="29"/>
      <c r="B60" s="29"/>
      <c r="C60" s="29"/>
      <c r="D60" s="29"/>
      <c r="E60" s="32"/>
      <c r="F60" s="29"/>
      <c r="G60" s="29"/>
      <c r="H60" s="32"/>
    </row>
  </sheetData>
  <mergeCells count="2">
    <mergeCell ref="A1:H1"/>
    <mergeCell ref="A16:H16"/>
  </mergeCells>
  <dataValidations count="2">
    <dataValidation allowBlank="false" errorStyle="stop" operator="between" showDropDown="false" showErrorMessage="false" showInputMessage="false" sqref="E19:E60" type="list">
      <formula1>"Critical,High,Medium,Low"</formula1>
      <formula2>0</formula2>
    </dataValidation>
    <dataValidation allowBlank="false" errorStyle="stop" operator="between" showDropDown="false" showErrorMessage="false" showInputMessage="false" sqref="H19:H60" type="list">
      <formula1>"Open,In Progress,Resolved,Accepted Exception"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2591</v>
      </c>
      <c r="B1" s="0" t="s">
        <v>71</v>
      </c>
      <c r="C1" s="0" t="s">
        <v>822</v>
      </c>
      <c r="D1" s="0" t="s">
        <v>823</v>
      </c>
      <c r="E1" s="0" t="s">
        <v>1184</v>
      </c>
      <c r="F1" s="0" t="s">
        <v>103</v>
      </c>
      <c r="G1" s="0" t="s">
        <v>276</v>
      </c>
      <c r="H1" s="0" t="s">
        <v>1185</v>
      </c>
      <c r="I1" s="0" t="s">
        <v>1186</v>
      </c>
      <c r="J1" s="0" t="s">
        <v>344</v>
      </c>
      <c r="K1" s="0" t="s">
        <v>2592</v>
      </c>
      <c r="L1" s="0" t="s">
        <v>2593</v>
      </c>
      <c r="M1" s="0" t="s">
        <v>2594</v>
      </c>
      <c r="N1" s="0" t="s">
        <v>278</v>
      </c>
      <c r="O1" s="0" t="s">
        <v>2595</v>
      </c>
      <c r="P1" s="0" t="s">
        <v>2596</v>
      </c>
      <c r="Q1" s="0" t="s">
        <v>2597</v>
      </c>
      <c r="R1" s="0" t="s">
        <v>2598</v>
      </c>
      <c r="S1" s="0" t="s">
        <v>2599</v>
      </c>
      <c r="T1" s="0" t="s">
        <v>2600</v>
      </c>
      <c r="U1" s="0" t="s">
        <v>2601</v>
      </c>
      <c r="V1" s="0" t="s">
        <v>2602</v>
      </c>
      <c r="W1" s="0" t="s">
        <v>2603</v>
      </c>
      <c r="X1" s="0" t="s">
        <v>1202</v>
      </c>
      <c r="Y1" s="0" t="s">
        <v>812</v>
      </c>
      <c r="Z1" s="0" t="s">
        <v>524</v>
      </c>
      <c r="AA1" s="0" t="s">
        <v>2604</v>
      </c>
      <c r="AB1" s="0" t="s">
        <v>2605</v>
      </c>
      <c r="AC1" s="0" t="s">
        <v>1203</v>
      </c>
    </row>
    <row r="2" customFormat="false" ht="13.5" hidden="false" customHeight="false" outlineLevel="0" collapsed="false">
      <c r="A2" s="0" t="s">
        <v>49</v>
      </c>
      <c r="B2" s="0" t="s">
        <v>85</v>
      </c>
      <c r="C2" s="0" t="s">
        <v>1760</v>
      </c>
      <c r="D2" s="0" t="s">
        <v>1761</v>
      </c>
      <c r="E2" s="0" t="s">
        <v>1762</v>
      </c>
      <c r="F2" s="0" t="s">
        <v>1763</v>
      </c>
      <c r="G2" s="0" t="s">
        <v>355</v>
      </c>
      <c r="H2" s="0" t="s">
        <v>1764</v>
      </c>
      <c r="I2" s="0" t="n">
        <v>1</v>
      </c>
      <c r="J2" s="0" t="n">
        <v>171767</v>
      </c>
      <c r="K2" s="0" t="n">
        <v>0</v>
      </c>
      <c r="L2" s="0" t="n">
        <v>0</v>
      </c>
      <c r="M2" s="0" t="n">
        <v>0</v>
      </c>
      <c r="N2" s="0" t="n">
        <v>171767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Z2" s="0" t="s">
        <v>844</v>
      </c>
      <c r="AA2" s="0" t="n">
        <v>171767</v>
      </c>
      <c r="AB2" s="0" t="n">
        <v>0</v>
      </c>
      <c r="AC2" s="0" t="s">
        <v>2606</v>
      </c>
    </row>
    <row r="3" customFormat="false" ht="13.5" hidden="false" customHeight="false" outlineLevel="0" collapsed="false">
      <c r="A3" s="0" t="s">
        <v>49</v>
      </c>
      <c r="B3" s="0" t="s">
        <v>85</v>
      </c>
      <c r="C3" s="0" t="s">
        <v>1105</v>
      </c>
      <c r="D3" s="0" t="s">
        <v>1106</v>
      </c>
      <c r="E3" s="0" t="s">
        <v>1767</v>
      </c>
      <c r="F3" s="0" t="s">
        <v>1763</v>
      </c>
      <c r="G3" s="0" t="s">
        <v>355</v>
      </c>
      <c r="H3" s="0" t="s">
        <v>1764</v>
      </c>
      <c r="I3" s="0" t="n">
        <v>1</v>
      </c>
      <c r="J3" s="0" t="n">
        <v>44912</v>
      </c>
      <c r="K3" s="0" t="n">
        <v>0</v>
      </c>
      <c r="L3" s="0" t="n">
        <v>0</v>
      </c>
      <c r="M3" s="0" t="n">
        <v>0</v>
      </c>
      <c r="N3" s="0" t="n">
        <v>44912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Z3" s="0" t="s">
        <v>844</v>
      </c>
      <c r="AA3" s="0" t="n">
        <v>44912</v>
      </c>
      <c r="AB3" s="0" t="n">
        <v>0</v>
      </c>
      <c r="AC3" s="0" t="s">
        <v>2606</v>
      </c>
    </row>
    <row r="4" customFormat="false" ht="13.5" hidden="false" customHeight="false" outlineLevel="0" collapsed="false">
      <c r="A4" s="0" t="s">
        <v>49</v>
      </c>
      <c r="B4" s="0" t="s">
        <v>85</v>
      </c>
      <c r="C4" s="0" t="s">
        <v>970</v>
      </c>
      <c r="D4" s="0" t="s">
        <v>971</v>
      </c>
      <c r="E4" s="0" t="s">
        <v>1772</v>
      </c>
      <c r="F4" s="0" t="s">
        <v>1763</v>
      </c>
      <c r="G4" s="0" t="s">
        <v>355</v>
      </c>
      <c r="H4" s="0" t="s">
        <v>1764</v>
      </c>
      <c r="I4" s="0" t="n">
        <v>1</v>
      </c>
      <c r="J4" s="0" t="n">
        <v>380545.5</v>
      </c>
      <c r="K4" s="0" t="n">
        <v>0</v>
      </c>
      <c r="L4" s="0" t="n">
        <v>0</v>
      </c>
      <c r="M4" s="0" t="n">
        <v>0</v>
      </c>
      <c r="N4" s="0" t="n">
        <v>380545.5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Z4" s="0" t="s">
        <v>844</v>
      </c>
      <c r="AA4" s="0" t="n">
        <v>380545.5</v>
      </c>
      <c r="AB4" s="0" t="n">
        <v>0</v>
      </c>
      <c r="AC4" s="0" t="s">
        <v>2606</v>
      </c>
    </row>
    <row r="5" customFormat="false" ht="13.5" hidden="false" customHeight="false" outlineLevel="0" collapsed="false">
      <c r="A5" s="0" t="s">
        <v>49</v>
      </c>
      <c r="B5" s="0" t="s">
        <v>85</v>
      </c>
      <c r="C5" s="0" t="s">
        <v>1776</v>
      </c>
      <c r="D5" s="0" t="s">
        <v>1777</v>
      </c>
      <c r="E5" s="0" t="s">
        <v>1778</v>
      </c>
      <c r="F5" s="0" t="s">
        <v>1763</v>
      </c>
      <c r="G5" s="0" t="s">
        <v>355</v>
      </c>
      <c r="H5" s="0" t="s">
        <v>1764</v>
      </c>
      <c r="I5" s="0" t="n">
        <v>1</v>
      </c>
      <c r="J5" s="0" t="n">
        <v>322438.08</v>
      </c>
      <c r="K5" s="0" t="n">
        <v>0</v>
      </c>
      <c r="L5" s="0" t="n">
        <v>0</v>
      </c>
      <c r="M5" s="0" t="n">
        <v>0</v>
      </c>
      <c r="N5" s="0" t="n">
        <v>322438.08</v>
      </c>
      <c r="O5" s="0" t="n">
        <v>0</v>
      </c>
      <c r="P5" s="0" t="n">
        <v>0</v>
      </c>
      <c r="Q5" s="0" t="n">
        <v>4096.17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4096.17</v>
      </c>
      <c r="W5" s="0" t="n">
        <v>0</v>
      </c>
      <c r="Z5" s="0" t="s">
        <v>844</v>
      </c>
      <c r="AA5" s="0" t="n">
        <v>322438.08</v>
      </c>
      <c r="AB5" s="0" t="n">
        <v>0</v>
      </c>
      <c r="AC5" s="0" t="s">
        <v>2606</v>
      </c>
    </row>
    <row r="6" customFormat="false" ht="13.5" hidden="false" customHeight="false" outlineLevel="0" collapsed="false">
      <c r="A6" s="0" t="s">
        <v>49</v>
      </c>
      <c r="B6" s="0" t="s">
        <v>85</v>
      </c>
      <c r="C6" s="0" t="s">
        <v>899</v>
      </c>
      <c r="D6" s="0" t="s">
        <v>900</v>
      </c>
      <c r="E6" s="0" t="s">
        <v>1782</v>
      </c>
      <c r="F6" s="0" t="s">
        <v>1763</v>
      </c>
      <c r="G6" s="0" t="s">
        <v>355</v>
      </c>
      <c r="H6" s="0" t="s">
        <v>1764</v>
      </c>
      <c r="I6" s="0" t="n">
        <v>1</v>
      </c>
      <c r="J6" s="0" t="n">
        <v>1248155</v>
      </c>
      <c r="K6" s="0" t="n">
        <v>0</v>
      </c>
      <c r="L6" s="0" t="n">
        <v>0</v>
      </c>
      <c r="M6" s="0" t="n">
        <v>0</v>
      </c>
      <c r="N6" s="0" t="n">
        <v>1248155</v>
      </c>
      <c r="O6" s="0" t="n">
        <v>0</v>
      </c>
      <c r="P6" s="0" t="n">
        <v>249630.85</v>
      </c>
      <c r="Q6" s="0" t="n">
        <v>0</v>
      </c>
      <c r="R6" s="0" t="n">
        <v>0</v>
      </c>
      <c r="S6" s="0" t="n">
        <v>0</v>
      </c>
      <c r="T6" s="0" t="n">
        <v>-39800</v>
      </c>
      <c r="U6" s="0" t="n">
        <v>0</v>
      </c>
      <c r="V6" s="0" t="n">
        <v>209830.85</v>
      </c>
      <c r="W6" s="0" t="n">
        <v>0</v>
      </c>
      <c r="Z6" s="0" t="s">
        <v>844</v>
      </c>
      <c r="AA6" s="0" t="n">
        <v>1248155</v>
      </c>
      <c r="AB6" s="0" t="n">
        <v>39800</v>
      </c>
      <c r="AC6" s="0" t="s">
        <v>2606</v>
      </c>
    </row>
    <row r="7" customFormat="false" ht="13.5" hidden="false" customHeight="false" outlineLevel="0" collapsed="false">
      <c r="A7" s="0" t="s">
        <v>49</v>
      </c>
      <c r="B7" s="0" t="s">
        <v>85</v>
      </c>
      <c r="C7" s="0" t="s">
        <v>919</v>
      </c>
      <c r="D7" s="0" t="s">
        <v>1786</v>
      </c>
      <c r="E7" s="0" t="s">
        <v>1772</v>
      </c>
      <c r="F7" s="0" t="s">
        <v>1770</v>
      </c>
      <c r="G7" s="0" t="s">
        <v>355</v>
      </c>
      <c r="H7" s="0" t="s">
        <v>1764</v>
      </c>
      <c r="I7" s="0" t="n">
        <v>1</v>
      </c>
      <c r="J7" s="0" t="n">
        <v>88275</v>
      </c>
      <c r="K7" s="0" t="n">
        <v>0</v>
      </c>
      <c r="L7" s="0" t="n">
        <v>0</v>
      </c>
      <c r="M7" s="0" t="n">
        <v>0</v>
      </c>
      <c r="N7" s="0" t="n">
        <v>88275</v>
      </c>
      <c r="O7" s="0" t="n">
        <v>0</v>
      </c>
      <c r="P7" s="0" t="n">
        <v>130227.27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130227.27</v>
      </c>
      <c r="W7" s="0" t="n">
        <v>0</v>
      </c>
      <c r="Z7" s="0" t="s">
        <v>844</v>
      </c>
      <c r="AA7" s="0" t="n">
        <v>88275</v>
      </c>
      <c r="AB7" s="0" t="n">
        <v>0</v>
      </c>
      <c r="AC7" s="0" t="s">
        <v>2606</v>
      </c>
    </row>
    <row r="8" customFormat="false" ht="13.5" hidden="false" customHeight="false" outlineLevel="0" collapsed="false">
      <c r="A8" s="0" t="s">
        <v>49</v>
      </c>
      <c r="B8" s="0" t="s">
        <v>85</v>
      </c>
      <c r="C8" s="0" t="s">
        <v>964</v>
      </c>
      <c r="D8" s="0" t="s">
        <v>1789</v>
      </c>
      <c r="E8" s="0" t="s">
        <v>1772</v>
      </c>
      <c r="F8" s="0" t="s">
        <v>1763</v>
      </c>
      <c r="G8" s="0" t="s">
        <v>355</v>
      </c>
      <c r="H8" s="0" t="s">
        <v>1764</v>
      </c>
      <c r="I8" s="0" t="n">
        <v>1</v>
      </c>
      <c r="J8" s="0" t="n">
        <v>204798</v>
      </c>
      <c r="K8" s="0" t="n">
        <v>0</v>
      </c>
      <c r="L8" s="0" t="n">
        <v>0</v>
      </c>
      <c r="M8" s="0" t="n">
        <v>0</v>
      </c>
      <c r="N8" s="0" t="n">
        <v>204798</v>
      </c>
      <c r="O8" s="0" t="n">
        <v>0</v>
      </c>
      <c r="P8" s="0" t="n">
        <v>0</v>
      </c>
      <c r="Q8" s="0" t="n">
        <v>0</v>
      </c>
      <c r="R8" s="0" t="n">
        <v>-32099.98</v>
      </c>
      <c r="S8" s="0" t="n">
        <v>0</v>
      </c>
      <c r="T8" s="0" t="n">
        <v>0</v>
      </c>
      <c r="U8" s="0" t="n">
        <v>0</v>
      </c>
      <c r="V8" s="0" t="n">
        <v>-32099.98</v>
      </c>
      <c r="W8" s="0" t="n">
        <v>0</v>
      </c>
      <c r="Z8" s="0" t="s">
        <v>844</v>
      </c>
      <c r="AA8" s="0" t="n">
        <v>204798</v>
      </c>
      <c r="AB8" s="0" t="n">
        <v>32099.98</v>
      </c>
      <c r="AC8" s="0" t="s">
        <v>2607</v>
      </c>
    </row>
    <row r="9" customFormat="false" ht="13.5" hidden="false" customHeight="false" outlineLevel="0" collapsed="false">
      <c r="A9" s="0" t="s">
        <v>49</v>
      </c>
      <c r="B9" s="0" t="s">
        <v>85</v>
      </c>
      <c r="C9" s="0" t="s">
        <v>852</v>
      </c>
      <c r="D9" s="0" t="s">
        <v>1793</v>
      </c>
      <c r="E9" s="0" t="s">
        <v>1772</v>
      </c>
      <c r="F9" s="0" t="s">
        <v>1763</v>
      </c>
      <c r="G9" s="0" t="s">
        <v>355</v>
      </c>
      <c r="H9" s="0" t="s">
        <v>1764</v>
      </c>
      <c r="I9" s="0" t="n">
        <v>1</v>
      </c>
      <c r="J9" s="0" t="n">
        <v>181686</v>
      </c>
      <c r="K9" s="0" t="n">
        <v>0</v>
      </c>
      <c r="L9" s="0" t="n">
        <v>0</v>
      </c>
      <c r="M9" s="0" t="n">
        <v>0</v>
      </c>
      <c r="N9" s="0" t="n">
        <v>181686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-987.36</v>
      </c>
      <c r="U9" s="0" t="n">
        <v>0</v>
      </c>
      <c r="V9" s="0" t="n">
        <v>-987.36</v>
      </c>
      <c r="W9" s="0" t="n">
        <v>0</v>
      </c>
      <c r="Z9" s="0" t="s">
        <v>844</v>
      </c>
      <c r="AA9" s="0" t="n">
        <v>181686</v>
      </c>
      <c r="AB9" s="0" t="n">
        <v>987.36</v>
      </c>
      <c r="AC9" s="0" t="s">
        <v>2607</v>
      </c>
    </row>
    <row r="10" customFormat="false" ht="13.5" hidden="false" customHeight="false" outlineLevel="0" collapsed="false">
      <c r="A10" s="0" t="s">
        <v>49</v>
      </c>
      <c r="B10" s="0" t="s">
        <v>85</v>
      </c>
      <c r="C10" s="0" t="s">
        <v>1798</v>
      </c>
      <c r="D10" s="0" t="s">
        <v>1799</v>
      </c>
      <c r="E10" s="0" t="s">
        <v>1772</v>
      </c>
      <c r="F10" s="0" t="s">
        <v>1763</v>
      </c>
      <c r="G10" s="0" t="s">
        <v>355</v>
      </c>
      <c r="H10" s="0" t="s">
        <v>1764</v>
      </c>
      <c r="I10" s="0" t="n">
        <v>1</v>
      </c>
      <c r="J10" s="0" t="n">
        <v>299428.8</v>
      </c>
      <c r="K10" s="0" t="n">
        <v>0</v>
      </c>
      <c r="L10" s="0" t="n">
        <v>0</v>
      </c>
      <c r="M10" s="0" t="n">
        <v>0</v>
      </c>
      <c r="N10" s="0" t="n">
        <v>299428.8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Z10" s="0" t="s">
        <v>844</v>
      </c>
      <c r="AA10" s="0" t="n">
        <v>299428.8</v>
      </c>
      <c r="AB10" s="0" t="n">
        <v>0</v>
      </c>
      <c r="AC10" s="0" t="s">
        <v>2606</v>
      </c>
    </row>
    <row r="11" customFormat="false" ht="13.5" hidden="false" customHeight="false" outlineLevel="0" collapsed="false">
      <c r="A11" s="0" t="s">
        <v>49</v>
      </c>
      <c r="B11" s="0" t="s">
        <v>85</v>
      </c>
      <c r="C11" s="0" t="s">
        <v>838</v>
      </c>
      <c r="D11" s="0" t="s">
        <v>1803</v>
      </c>
      <c r="E11" s="0" t="s">
        <v>1788</v>
      </c>
      <c r="F11" s="0" t="s">
        <v>1763</v>
      </c>
      <c r="G11" s="0" t="s">
        <v>355</v>
      </c>
      <c r="H11" s="0" t="s">
        <v>1764</v>
      </c>
      <c r="I11" s="0" t="n">
        <v>1</v>
      </c>
      <c r="J11" s="0" t="n">
        <v>1957597.1</v>
      </c>
      <c r="K11" s="0" t="n">
        <v>0</v>
      </c>
      <c r="L11" s="0" t="n">
        <v>463128.1</v>
      </c>
      <c r="M11" s="0" t="n">
        <v>0</v>
      </c>
      <c r="N11" s="0" t="n">
        <v>1494469</v>
      </c>
      <c r="O11" s="0" t="n">
        <v>0</v>
      </c>
      <c r="P11" s="0" t="n">
        <v>786124.25</v>
      </c>
      <c r="Q11" s="0" t="n">
        <v>0</v>
      </c>
      <c r="R11" s="0" t="n">
        <v>0</v>
      </c>
      <c r="S11" s="0" t="n">
        <v>0</v>
      </c>
      <c r="T11" s="0" t="n">
        <v>-8454</v>
      </c>
      <c r="U11" s="0" t="n">
        <v>0</v>
      </c>
      <c r="V11" s="0" t="n">
        <v>777670.25</v>
      </c>
      <c r="W11" s="0" t="n">
        <v>0</v>
      </c>
      <c r="Z11" s="0" t="s">
        <v>844</v>
      </c>
      <c r="AA11" s="0" t="n">
        <v>1957597.1</v>
      </c>
      <c r="AB11" s="0" t="n">
        <v>8454</v>
      </c>
      <c r="AC11" s="0" t="s">
        <v>2606</v>
      </c>
    </row>
    <row r="12" customFormat="false" ht="13.5" hidden="false" customHeight="false" outlineLevel="0" collapsed="false">
      <c r="A12" s="0" t="s">
        <v>49</v>
      </c>
      <c r="B12" s="0" t="s">
        <v>85</v>
      </c>
      <c r="C12" s="0" t="s">
        <v>845</v>
      </c>
      <c r="D12" s="0" t="s">
        <v>1806</v>
      </c>
      <c r="E12" s="0" t="s">
        <v>1788</v>
      </c>
      <c r="F12" s="0" t="s">
        <v>1763</v>
      </c>
      <c r="G12" s="0" t="s">
        <v>356</v>
      </c>
      <c r="H12" s="0" t="s">
        <v>1764</v>
      </c>
      <c r="I12" s="0" t="n">
        <v>1</v>
      </c>
      <c r="J12" s="0" t="n">
        <v>603159</v>
      </c>
      <c r="K12" s="0" t="n">
        <v>0</v>
      </c>
      <c r="L12" s="0" t="n">
        <v>0</v>
      </c>
      <c r="M12" s="0" t="n">
        <v>0</v>
      </c>
      <c r="N12" s="0" t="n">
        <v>603159</v>
      </c>
      <c r="O12" s="0" t="n">
        <v>0</v>
      </c>
      <c r="P12" s="0" t="n">
        <v>241263.46</v>
      </c>
      <c r="Q12" s="0" t="n">
        <v>0</v>
      </c>
      <c r="R12" s="0" t="n">
        <v>0</v>
      </c>
      <c r="S12" s="0" t="n">
        <v>0</v>
      </c>
      <c r="T12" s="0" t="n">
        <v>-32898.48</v>
      </c>
      <c r="U12" s="0" t="n">
        <v>0</v>
      </c>
      <c r="V12" s="0" t="n">
        <v>208364.98</v>
      </c>
      <c r="W12" s="0" t="n">
        <v>0</v>
      </c>
      <c r="Z12" s="0" t="s">
        <v>844</v>
      </c>
      <c r="AA12" s="0" t="n">
        <v>603159</v>
      </c>
      <c r="AB12" s="0" t="n">
        <v>32898.48</v>
      </c>
      <c r="AC12" s="0" t="s">
        <v>2606</v>
      </c>
    </row>
    <row r="13" customFormat="false" ht="13.5" hidden="false" customHeight="false" outlineLevel="0" collapsed="false">
      <c r="A13" s="0" t="s">
        <v>49</v>
      </c>
      <c r="B13" s="0" t="s">
        <v>85</v>
      </c>
      <c r="C13" s="0" t="s">
        <v>890</v>
      </c>
      <c r="D13" s="0" t="s">
        <v>1809</v>
      </c>
      <c r="E13" s="0" t="s">
        <v>1788</v>
      </c>
      <c r="F13" s="0" t="s">
        <v>1763</v>
      </c>
      <c r="G13" s="0" t="s">
        <v>355</v>
      </c>
      <c r="H13" s="0" t="s">
        <v>1764</v>
      </c>
      <c r="I13" s="0" t="n">
        <v>1</v>
      </c>
      <c r="J13" s="0" t="n">
        <v>522962.5</v>
      </c>
      <c r="K13" s="0" t="n">
        <v>0</v>
      </c>
      <c r="L13" s="0" t="n">
        <v>0</v>
      </c>
      <c r="M13" s="0" t="n">
        <v>0</v>
      </c>
      <c r="N13" s="0" t="n">
        <v>522962.5</v>
      </c>
      <c r="O13" s="0" t="n">
        <v>0</v>
      </c>
      <c r="P13" s="0" t="n">
        <v>209184.87</v>
      </c>
      <c r="Q13" s="0" t="n">
        <v>0</v>
      </c>
      <c r="R13" s="0" t="n">
        <v>0</v>
      </c>
      <c r="S13" s="0" t="n">
        <v>0</v>
      </c>
      <c r="T13" s="0" t="n">
        <v>-6163</v>
      </c>
      <c r="U13" s="0" t="n">
        <v>0</v>
      </c>
      <c r="V13" s="0" t="n">
        <v>203021.87</v>
      </c>
      <c r="W13" s="0" t="n">
        <v>0</v>
      </c>
      <c r="Z13" s="0" t="s">
        <v>844</v>
      </c>
      <c r="AA13" s="0" t="n">
        <v>522962.5</v>
      </c>
      <c r="AB13" s="0" t="n">
        <v>6163</v>
      </c>
      <c r="AC13" s="0" t="s">
        <v>2606</v>
      </c>
    </row>
    <row r="14" customFormat="false" ht="13.5" hidden="false" customHeight="false" outlineLevel="0" collapsed="false">
      <c r="A14" s="0" t="s">
        <v>49</v>
      </c>
      <c r="B14" s="0" t="s">
        <v>85</v>
      </c>
      <c r="C14" s="0" t="s">
        <v>863</v>
      </c>
      <c r="D14" s="0" t="s">
        <v>1812</v>
      </c>
      <c r="E14" s="0" t="s">
        <v>1792</v>
      </c>
      <c r="F14" s="0" t="s">
        <v>1763</v>
      </c>
      <c r="G14" s="0" t="s">
        <v>354</v>
      </c>
      <c r="H14" s="0" t="s">
        <v>1764</v>
      </c>
      <c r="I14" s="0" t="n">
        <v>1</v>
      </c>
      <c r="J14" s="0" t="n">
        <v>591300.19</v>
      </c>
      <c r="K14" s="0" t="n">
        <v>0</v>
      </c>
      <c r="L14" s="0" t="n">
        <v>0</v>
      </c>
      <c r="M14" s="0" t="n">
        <v>0</v>
      </c>
      <c r="N14" s="0" t="n">
        <v>591300.19</v>
      </c>
      <c r="O14" s="0" t="n">
        <v>0</v>
      </c>
      <c r="P14" s="0" t="n">
        <v>307039.47</v>
      </c>
      <c r="Q14" s="0" t="n">
        <v>62465.62</v>
      </c>
      <c r="R14" s="0" t="n">
        <v>0</v>
      </c>
      <c r="S14" s="0" t="n">
        <v>0</v>
      </c>
      <c r="T14" s="0" t="n">
        <v>-5400</v>
      </c>
      <c r="U14" s="0" t="n">
        <v>0</v>
      </c>
      <c r="V14" s="0" t="n">
        <v>364105.09</v>
      </c>
      <c r="W14" s="0" t="n">
        <v>0</v>
      </c>
      <c r="Z14" s="0" t="s">
        <v>844</v>
      </c>
      <c r="AA14" s="0" t="n">
        <v>591300.19</v>
      </c>
      <c r="AB14" s="0" t="n">
        <v>5400</v>
      </c>
      <c r="AC14" s="0" t="s">
        <v>2606</v>
      </c>
    </row>
    <row r="15" customFormat="false" ht="13.5" hidden="false" customHeight="false" outlineLevel="0" collapsed="false">
      <c r="A15" s="0" t="s">
        <v>49</v>
      </c>
      <c r="B15" s="0" t="s">
        <v>85</v>
      </c>
      <c r="C15" s="0" t="s">
        <v>895</v>
      </c>
      <c r="D15" s="0" t="s">
        <v>1814</v>
      </c>
      <c r="E15" s="0" t="s">
        <v>1767</v>
      </c>
      <c r="F15" s="0" t="s">
        <v>1763</v>
      </c>
      <c r="G15" s="0" t="s">
        <v>354</v>
      </c>
      <c r="H15" s="0" t="s">
        <v>1764</v>
      </c>
      <c r="I15" s="0" t="n">
        <v>1</v>
      </c>
      <c r="J15" s="0" t="n">
        <v>834600</v>
      </c>
      <c r="K15" s="0" t="n">
        <v>0</v>
      </c>
      <c r="L15" s="0" t="n">
        <v>0</v>
      </c>
      <c r="M15" s="0" t="n">
        <v>0</v>
      </c>
      <c r="N15" s="0" t="n">
        <v>834600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-58190.58</v>
      </c>
      <c r="U15" s="0" t="n">
        <v>0</v>
      </c>
      <c r="V15" s="0" t="n">
        <v>-58190.58</v>
      </c>
      <c r="W15" s="0" t="n">
        <v>0</v>
      </c>
      <c r="Z15" s="0" t="s">
        <v>844</v>
      </c>
      <c r="AA15" s="0" t="n">
        <v>834600</v>
      </c>
      <c r="AB15" s="0" t="n">
        <v>58190.58</v>
      </c>
      <c r="AC15" s="0" t="s">
        <v>2607</v>
      </c>
    </row>
    <row r="16" customFormat="false" ht="13.5" hidden="false" customHeight="false" outlineLevel="0" collapsed="false">
      <c r="A16" s="0" t="s">
        <v>49</v>
      </c>
      <c r="B16" s="0" t="s">
        <v>85</v>
      </c>
      <c r="C16" s="0" t="s">
        <v>981</v>
      </c>
      <c r="D16" s="0" t="s">
        <v>1817</v>
      </c>
      <c r="E16" s="0" t="s">
        <v>1767</v>
      </c>
      <c r="F16" s="0" t="s">
        <v>1763</v>
      </c>
      <c r="G16" s="0" t="s">
        <v>354</v>
      </c>
      <c r="H16" s="0" t="s">
        <v>1764</v>
      </c>
      <c r="I16" s="0" t="n">
        <v>1</v>
      </c>
      <c r="J16" s="0" t="n">
        <v>896875.07</v>
      </c>
      <c r="K16" s="0" t="n">
        <v>0</v>
      </c>
      <c r="L16" s="0" t="n">
        <v>0</v>
      </c>
      <c r="M16" s="0" t="n">
        <v>0</v>
      </c>
      <c r="N16" s="0" t="n">
        <v>896875.07</v>
      </c>
      <c r="O16" s="0" t="n">
        <v>0</v>
      </c>
      <c r="P16" s="0" t="n">
        <v>0</v>
      </c>
      <c r="Q16" s="0" t="n">
        <v>319251.56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319251.56</v>
      </c>
      <c r="W16" s="0" t="n">
        <v>0</v>
      </c>
      <c r="Z16" s="0" t="s">
        <v>844</v>
      </c>
      <c r="AA16" s="0" t="n">
        <v>896875.07</v>
      </c>
      <c r="AB16" s="0" t="n">
        <v>0</v>
      </c>
      <c r="AC16" s="0" t="s">
        <v>2606</v>
      </c>
    </row>
    <row r="17" customFormat="false" ht="13.5" hidden="false" customHeight="false" outlineLevel="0" collapsed="false">
      <c r="A17" s="0" t="s">
        <v>49</v>
      </c>
      <c r="B17" s="0" t="s">
        <v>85</v>
      </c>
      <c r="C17" s="0" t="s">
        <v>903</v>
      </c>
      <c r="D17" s="0" t="s">
        <v>1819</v>
      </c>
      <c r="E17" s="0" t="s">
        <v>1767</v>
      </c>
      <c r="F17" s="0" t="s">
        <v>1763</v>
      </c>
      <c r="G17" s="0" t="s">
        <v>354</v>
      </c>
      <c r="H17" s="0" t="s">
        <v>1764</v>
      </c>
      <c r="I17" s="0" t="n">
        <v>1</v>
      </c>
      <c r="J17" s="0" t="n">
        <v>860458.69</v>
      </c>
      <c r="K17" s="0" t="n">
        <v>0</v>
      </c>
      <c r="L17" s="0" t="n">
        <v>0</v>
      </c>
      <c r="M17" s="0" t="n">
        <v>0</v>
      </c>
      <c r="N17" s="0" t="n">
        <v>860458.69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Z17" s="0" t="s">
        <v>844</v>
      </c>
      <c r="AA17" s="0" t="n">
        <v>860458.69</v>
      </c>
      <c r="AB17" s="0" t="n">
        <v>0</v>
      </c>
      <c r="AC17" s="0" t="s">
        <v>2606</v>
      </c>
    </row>
    <row r="18" customFormat="false" ht="13.5" hidden="false" customHeight="false" outlineLevel="0" collapsed="false">
      <c r="A18" s="0" t="s">
        <v>49</v>
      </c>
      <c r="B18" s="0" t="s">
        <v>85</v>
      </c>
      <c r="C18" s="0" t="s">
        <v>1822</v>
      </c>
      <c r="D18" s="0" t="s">
        <v>1823</v>
      </c>
      <c r="E18" s="0" t="s">
        <v>1767</v>
      </c>
      <c r="F18" s="0" t="s">
        <v>1763</v>
      </c>
      <c r="G18" s="0" t="s">
        <v>354</v>
      </c>
      <c r="H18" s="0" t="s">
        <v>1764</v>
      </c>
      <c r="I18" s="0" t="n">
        <v>1</v>
      </c>
      <c r="J18" s="0" t="n">
        <v>60897.98</v>
      </c>
      <c r="K18" s="0" t="n">
        <v>0</v>
      </c>
      <c r="L18" s="0" t="n">
        <v>0</v>
      </c>
      <c r="M18" s="0" t="n">
        <v>0</v>
      </c>
      <c r="N18" s="0" t="n">
        <v>60897.98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Z18" s="0" t="s">
        <v>844</v>
      </c>
      <c r="AA18" s="0" t="n">
        <v>60897.98</v>
      </c>
      <c r="AB18" s="0" t="n">
        <v>0</v>
      </c>
      <c r="AC18" s="0" t="s">
        <v>2606</v>
      </c>
    </row>
    <row r="19" customFormat="false" ht="13.5" hidden="false" customHeight="false" outlineLevel="0" collapsed="false">
      <c r="A19" s="0" t="s">
        <v>49</v>
      </c>
      <c r="B19" s="0" t="s">
        <v>85</v>
      </c>
      <c r="C19" s="0" t="s">
        <v>1825</v>
      </c>
      <c r="D19" s="0" t="s">
        <v>1826</v>
      </c>
      <c r="E19" s="0" t="s">
        <v>1767</v>
      </c>
      <c r="F19" s="0" t="s">
        <v>1763</v>
      </c>
      <c r="G19" s="0" t="s">
        <v>354</v>
      </c>
      <c r="H19" s="0" t="s">
        <v>1764</v>
      </c>
      <c r="I19" s="0" t="n">
        <v>1</v>
      </c>
      <c r="J19" s="0" t="n">
        <v>218275.72</v>
      </c>
      <c r="K19" s="0" t="n">
        <v>0</v>
      </c>
      <c r="L19" s="0" t="n">
        <v>0</v>
      </c>
      <c r="M19" s="0" t="n">
        <v>0</v>
      </c>
      <c r="N19" s="0" t="n">
        <v>218275.72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Z19" s="0" t="s">
        <v>844</v>
      </c>
      <c r="AA19" s="0" t="n">
        <v>218275.72</v>
      </c>
      <c r="AB19" s="0" t="n">
        <v>0</v>
      </c>
      <c r="AC19" s="0" t="s">
        <v>2606</v>
      </c>
    </row>
    <row r="20" customFormat="false" ht="13.5" hidden="false" customHeight="false" outlineLevel="0" collapsed="false">
      <c r="A20" s="0" t="s">
        <v>49</v>
      </c>
      <c r="B20" s="0" t="s">
        <v>85</v>
      </c>
      <c r="C20" s="0" t="s">
        <v>1121</v>
      </c>
      <c r="D20" s="0" t="s">
        <v>1828</v>
      </c>
      <c r="E20" s="0" t="s">
        <v>1767</v>
      </c>
      <c r="F20" s="0" t="s">
        <v>1763</v>
      </c>
      <c r="G20" s="0" t="s">
        <v>354</v>
      </c>
      <c r="H20" s="0" t="s">
        <v>1764</v>
      </c>
      <c r="I20" s="0" t="n">
        <v>1</v>
      </c>
      <c r="J20" s="0" t="n">
        <v>196923.87</v>
      </c>
      <c r="K20" s="0" t="n">
        <v>0</v>
      </c>
      <c r="L20" s="0" t="n">
        <v>0</v>
      </c>
      <c r="M20" s="0" t="n">
        <v>0</v>
      </c>
      <c r="N20" s="0" t="n">
        <v>196923.87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Z20" s="0" t="s">
        <v>844</v>
      </c>
      <c r="AA20" s="0" t="n">
        <v>196923.87</v>
      </c>
      <c r="AB20" s="0" t="n">
        <v>0</v>
      </c>
      <c r="AC20" s="0" t="s">
        <v>2606</v>
      </c>
    </row>
    <row r="21" customFormat="false" ht="13.5" hidden="false" customHeight="false" outlineLevel="0" collapsed="false">
      <c r="A21" s="0" t="s">
        <v>49</v>
      </c>
      <c r="B21" s="0" t="s">
        <v>85</v>
      </c>
      <c r="C21" s="0" t="s">
        <v>936</v>
      </c>
      <c r="D21" s="0" t="s">
        <v>1830</v>
      </c>
      <c r="E21" s="0" t="s">
        <v>1772</v>
      </c>
      <c r="F21" s="0" t="s">
        <v>1763</v>
      </c>
      <c r="G21" s="0" t="s">
        <v>355</v>
      </c>
      <c r="H21" s="0" t="s">
        <v>1764</v>
      </c>
      <c r="I21" s="0" t="n">
        <v>1</v>
      </c>
      <c r="J21" s="0" t="n">
        <v>506538</v>
      </c>
      <c r="K21" s="0" t="n">
        <v>32100</v>
      </c>
      <c r="L21" s="0" t="n">
        <v>0</v>
      </c>
      <c r="M21" s="0" t="n">
        <v>0</v>
      </c>
      <c r="N21" s="0" t="n">
        <v>474438</v>
      </c>
      <c r="O21" s="0" t="n">
        <v>0</v>
      </c>
      <c r="P21" s="0" t="n">
        <v>354576.39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354576.39</v>
      </c>
      <c r="W21" s="0" t="n">
        <v>0</v>
      </c>
      <c r="Z21" s="0" t="s">
        <v>844</v>
      </c>
      <c r="AA21" s="0" t="n">
        <v>506538</v>
      </c>
      <c r="AB21" s="0" t="n">
        <v>0</v>
      </c>
      <c r="AC21" s="0" t="s">
        <v>2606</v>
      </c>
    </row>
    <row r="22" customFormat="false" ht="13.5" hidden="false" customHeight="false" outlineLevel="0" collapsed="false">
      <c r="A22" s="0" t="s">
        <v>49</v>
      </c>
      <c r="B22" s="0" t="s">
        <v>85</v>
      </c>
      <c r="C22" s="0" t="s">
        <v>934</v>
      </c>
      <c r="D22" s="0" t="s">
        <v>1832</v>
      </c>
      <c r="E22" s="0" t="s">
        <v>1788</v>
      </c>
      <c r="F22" s="0" t="s">
        <v>1763</v>
      </c>
      <c r="G22" s="0" t="s">
        <v>355</v>
      </c>
      <c r="H22" s="0" t="s">
        <v>1764</v>
      </c>
      <c r="I22" s="0" t="n">
        <v>1</v>
      </c>
      <c r="J22" s="0" t="n">
        <v>168739</v>
      </c>
      <c r="K22" s="0" t="n">
        <v>0</v>
      </c>
      <c r="L22" s="0" t="n">
        <v>0</v>
      </c>
      <c r="M22" s="0" t="n">
        <v>0</v>
      </c>
      <c r="N22" s="0" t="n">
        <v>168739</v>
      </c>
      <c r="O22" s="0" t="n">
        <v>0</v>
      </c>
      <c r="P22" s="0" t="n">
        <v>84369.45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-112</v>
      </c>
      <c r="V22" s="0" t="n">
        <v>84257.45</v>
      </c>
      <c r="W22" s="0" t="n">
        <v>0</v>
      </c>
      <c r="Z22" s="0" t="s">
        <v>844</v>
      </c>
      <c r="AA22" s="0" t="n">
        <v>168739</v>
      </c>
      <c r="AB22" s="0" t="n">
        <v>112</v>
      </c>
      <c r="AC22" s="0" t="s">
        <v>2606</v>
      </c>
    </row>
    <row r="23" customFormat="false" ht="13.5" hidden="false" customHeight="false" outlineLevel="0" collapsed="false">
      <c r="A23" s="0" t="s">
        <v>49</v>
      </c>
      <c r="B23" s="0" t="s">
        <v>85</v>
      </c>
      <c r="C23" s="0" t="s">
        <v>925</v>
      </c>
      <c r="D23" s="0" t="s">
        <v>1833</v>
      </c>
      <c r="E23" s="0" t="s">
        <v>1788</v>
      </c>
      <c r="F23" s="0" t="s">
        <v>1763</v>
      </c>
      <c r="G23" s="0" t="s">
        <v>355</v>
      </c>
      <c r="H23" s="0" t="s">
        <v>1764</v>
      </c>
      <c r="I23" s="0" t="n">
        <v>1</v>
      </c>
      <c r="J23" s="0" t="n">
        <v>443631.63</v>
      </c>
      <c r="K23" s="0" t="n">
        <v>41730</v>
      </c>
      <c r="L23" s="0" t="n">
        <v>0</v>
      </c>
      <c r="M23" s="0" t="n">
        <v>0</v>
      </c>
      <c r="N23" s="0" t="n">
        <v>401901.63</v>
      </c>
      <c r="O23" s="0" t="n">
        <v>0</v>
      </c>
      <c r="P23" s="0" t="n">
        <v>339477.64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339477.64</v>
      </c>
      <c r="W23" s="0" t="n">
        <v>0</v>
      </c>
      <c r="Z23" s="0" t="s">
        <v>844</v>
      </c>
      <c r="AA23" s="0" t="n">
        <v>443631.63</v>
      </c>
      <c r="AB23" s="0" t="n">
        <v>0</v>
      </c>
      <c r="AC23" s="0" t="s">
        <v>2606</v>
      </c>
    </row>
    <row r="24" customFormat="false" ht="13.5" hidden="false" customHeight="false" outlineLevel="0" collapsed="false">
      <c r="A24" s="0" t="s">
        <v>49</v>
      </c>
      <c r="B24" s="0" t="s">
        <v>85</v>
      </c>
      <c r="C24" s="0" t="s">
        <v>1109</v>
      </c>
      <c r="D24" s="0" t="s">
        <v>1834</v>
      </c>
      <c r="E24" s="0" t="s">
        <v>1796</v>
      </c>
      <c r="F24" s="0" t="s">
        <v>188</v>
      </c>
      <c r="G24" s="0" t="s">
        <v>361</v>
      </c>
      <c r="H24" s="0" t="s">
        <v>1764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Z24" s="0" t="s">
        <v>844</v>
      </c>
      <c r="AA24" s="0" t="n">
        <v>0</v>
      </c>
      <c r="AB24" s="0" t="n">
        <v>0</v>
      </c>
      <c r="AC24" s="0" t="s">
        <v>2606</v>
      </c>
    </row>
    <row r="25" customFormat="false" ht="13.5" hidden="false" customHeight="false" outlineLevel="0" collapsed="false">
      <c r="A25" s="0" t="s">
        <v>49</v>
      </c>
      <c r="B25" s="0" t="s">
        <v>85</v>
      </c>
      <c r="C25" s="0" t="s">
        <v>1066</v>
      </c>
      <c r="D25" s="0" t="s">
        <v>1835</v>
      </c>
      <c r="E25" s="0" t="s">
        <v>1772</v>
      </c>
      <c r="F25" s="0" t="s">
        <v>1763</v>
      </c>
      <c r="G25" s="0" t="s">
        <v>355</v>
      </c>
      <c r="H25" s="0" t="s">
        <v>1764</v>
      </c>
      <c r="I25" s="0" t="n">
        <v>1</v>
      </c>
      <c r="J25" s="0" t="n">
        <v>317469</v>
      </c>
      <c r="K25" s="0" t="n">
        <v>0</v>
      </c>
      <c r="L25" s="0" t="n">
        <v>0</v>
      </c>
      <c r="M25" s="0" t="n">
        <v>0</v>
      </c>
      <c r="N25" s="0" t="n">
        <v>317469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Z25" s="0" t="s">
        <v>844</v>
      </c>
      <c r="AA25" s="0" t="n">
        <v>317469</v>
      </c>
      <c r="AB25" s="0" t="n">
        <v>0</v>
      </c>
      <c r="AC25" s="0" t="s">
        <v>2606</v>
      </c>
    </row>
    <row r="26" customFormat="false" ht="13.5" hidden="false" customHeight="false" outlineLevel="0" collapsed="false">
      <c r="A26" s="0" t="s">
        <v>49</v>
      </c>
      <c r="B26" s="0" t="s">
        <v>85</v>
      </c>
      <c r="C26" s="0" t="s">
        <v>985</v>
      </c>
      <c r="D26" s="0" t="s">
        <v>1836</v>
      </c>
      <c r="E26" s="0" t="s">
        <v>1772</v>
      </c>
      <c r="F26" s="0" t="s">
        <v>1763</v>
      </c>
      <c r="G26" s="0" t="s">
        <v>355</v>
      </c>
      <c r="H26" s="0" t="s">
        <v>1764</v>
      </c>
      <c r="I26" s="0" t="n">
        <v>1</v>
      </c>
      <c r="J26" s="0" t="n">
        <v>310086</v>
      </c>
      <c r="K26" s="0" t="n">
        <v>0</v>
      </c>
      <c r="L26" s="0" t="n">
        <v>0</v>
      </c>
      <c r="M26" s="0" t="n">
        <v>0</v>
      </c>
      <c r="N26" s="0" t="n">
        <v>310086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Z26" s="0" t="s">
        <v>844</v>
      </c>
      <c r="AA26" s="0" t="n">
        <v>310086</v>
      </c>
      <c r="AB26" s="0" t="n">
        <v>0</v>
      </c>
      <c r="AC26" s="0" t="s">
        <v>2606</v>
      </c>
    </row>
    <row r="27" customFormat="false" ht="13.5" hidden="false" customHeight="false" outlineLevel="0" collapsed="false">
      <c r="A27" s="0" t="s">
        <v>49</v>
      </c>
      <c r="B27" s="0" t="s">
        <v>85</v>
      </c>
      <c r="C27" s="0" t="s">
        <v>1117</v>
      </c>
      <c r="D27" s="0" t="s">
        <v>1837</v>
      </c>
      <c r="E27" s="0" t="s">
        <v>1802</v>
      </c>
      <c r="F27" s="0" t="s">
        <v>188</v>
      </c>
      <c r="G27" s="0" t="s">
        <v>355</v>
      </c>
      <c r="H27" s="0" t="s">
        <v>1764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Z27" s="0" t="s">
        <v>844</v>
      </c>
      <c r="AA27" s="0" t="n">
        <v>0</v>
      </c>
      <c r="AB27" s="0" t="n">
        <v>0</v>
      </c>
      <c r="AC27" s="0" t="s">
        <v>2606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2608</v>
      </c>
      <c r="B1" s="0" t="s">
        <v>2609</v>
      </c>
      <c r="C1" s="0" t="s">
        <v>796</v>
      </c>
      <c r="D1" s="0" t="s">
        <v>797</v>
      </c>
      <c r="E1" s="0" t="s">
        <v>426</v>
      </c>
      <c r="F1" s="0" t="s">
        <v>2610</v>
      </c>
      <c r="G1" s="0" t="s">
        <v>2611</v>
      </c>
      <c r="H1" s="0" t="s">
        <v>2612</v>
      </c>
      <c r="I1" s="0" t="s">
        <v>2613</v>
      </c>
      <c r="J1" s="0" t="s">
        <v>2614</v>
      </c>
      <c r="K1" s="0" t="s">
        <v>524</v>
      </c>
    </row>
    <row r="2" customFormat="false" ht="13.5" hidden="false" customHeight="false" outlineLevel="0" collapsed="false">
      <c r="A2" s="0" t="s">
        <v>49</v>
      </c>
      <c r="B2" s="0" t="s">
        <v>2244</v>
      </c>
      <c r="C2" s="0" t="n">
        <v>6000</v>
      </c>
      <c r="D2" s="0" t="s">
        <v>687</v>
      </c>
      <c r="E2" s="0" t="s">
        <v>435</v>
      </c>
      <c r="F2" s="233" t="n">
        <v>46023</v>
      </c>
      <c r="G2" s="1" t="s">
        <v>799</v>
      </c>
      <c r="H2" s="0" t="n">
        <v>495695.2375</v>
      </c>
      <c r="I2" s="0" t="n">
        <v>5948342.85</v>
      </c>
      <c r="J2" s="1" t="s">
        <v>2615</v>
      </c>
      <c r="K2" s="1" t="s">
        <v>1208</v>
      </c>
    </row>
    <row r="3" customFormat="false" ht="13.5" hidden="false" customHeight="false" outlineLevel="0" collapsed="false">
      <c r="A3" s="0" t="s">
        <v>49</v>
      </c>
      <c r="B3" s="0" t="s">
        <v>2244</v>
      </c>
      <c r="C3" s="0" t="n">
        <v>6000</v>
      </c>
      <c r="D3" s="0" t="s">
        <v>687</v>
      </c>
      <c r="E3" s="0" t="s">
        <v>435</v>
      </c>
      <c r="F3" s="233" t="n">
        <v>46054</v>
      </c>
      <c r="G3" s="1" t="s">
        <v>800</v>
      </c>
      <c r="H3" s="0" t="n">
        <v>495695.2375</v>
      </c>
      <c r="I3" s="0" t="n">
        <v>5948342.85</v>
      </c>
      <c r="J3" s="1" t="s">
        <v>2615</v>
      </c>
      <c r="K3" s="1" t="s">
        <v>1208</v>
      </c>
    </row>
    <row r="4" customFormat="false" ht="13.5" hidden="false" customHeight="false" outlineLevel="0" collapsed="false">
      <c r="A4" s="0" t="s">
        <v>49</v>
      </c>
      <c r="B4" s="0" t="s">
        <v>2244</v>
      </c>
      <c r="C4" s="0" t="n">
        <v>6000</v>
      </c>
      <c r="D4" s="0" t="s">
        <v>687</v>
      </c>
      <c r="E4" s="0" t="s">
        <v>435</v>
      </c>
      <c r="F4" s="233" t="n">
        <v>46082</v>
      </c>
      <c r="G4" s="1" t="s">
        <v>801</v>
      </c>
      <c r="H4" s="0" t="n">
        <v>495695.2375</v>
      </c>
      <c r="I4" s="0" t="n">
        <v>5948342.85</v>
      </c>
      <c r="J4" s="1" t="s">
        <v>2615</v>
      </c>
      <c r="K4" s="1" t="s">
        <v>1208</v>
      </c>
    </row>
    <row r="5" customFormat="false" ht="13.5" hidden="false" customHeight="false" outlineLevel="0" collapsed="false">
      <c r="A5" s="0" t="s">
        <v>49</v>
      </c>
      <c r="B5" s="0" t="s">
        <v>2244</v>
      </c>
      <c r="C5" s="0" t="n">
        <v>6000</v>
      </c>
      <c r="D5" s="0" t="s">
        <v>687</v>
      </c>
      <c r="E5" s="0" t="s">
        <v>435</v>
      </c>
      <c r="F5" s="233" t="n">
        <v>46113</v>
      </c>
      <c r="G5" s="1" t="s">
        <v>802</v>
      </c>
      <c r="H5" s="0" t="n">
        <v>495695.2375</v>
      </c>
      <c r="I5" s="0" t="n">
        <v>5948342.85</v>
      </c>
      <c r="J5" s="1" t="s">
        <v>2615</v>
      </c>
      <c r="K5" s="1" t="s">
        <v>1208</v>
      </c>
    </row>
    <row r="6" customFormat="false" ht="13.5" hidden="false" customHeight="false" outlineLevel="0" collapsed="false">
      <c r="A6" s="0" t="s">
        <v>49</v>
      </c>
      <c r="B6" s="0" t="s">
        <v>2244</v>
      </c>
      <c r="C6" s="0" t="n">
        <v>6000</v>
      </c>
      <c r="D6" s="0" t="s">
        <v>687</v>
      </c>
      <c r="E6" s="0" t="s">
        <v>435</v>
      </c>
      <c r="F6" s="233" t="n">
        <v>46143</v>
      </c>
      <c r="G6" s="1" t="s">
        <v>803</v>
      </c>
      <c r="H6" s="0" t="n">
        <v>495695.2375</v>
      </c>
      <c r="I6" s="0" t="n">
        <v>5948342.85</v>
      </c>
      <c r="J6" s="1" t="s">
        <v>2615</v>
      </c>
      <c r="K6" s="1" t="s">
        <v>1208</v>
      </c>
    </row>
    <row r="7" customFormat="false" ht="13.5" hidden="false" customHeight="false" outlineLevel="0" collapsed="false">
      <c r="A7" s="0" t="s">
        <v>49</v>
      </c>
      <c r="B7" s="0" t="s">
        <v>2244</v>
      </c>
      <c r="C7" s="0" t="n">
        <v>6000</v>
      </c>
      <c r="D7" s="0" t="s">
        <v>687</v>
      </c>
      <c r="E7" s="0" t="s">
        <v>435</v>
      </c>
      <c r="F7" s="233" t="n">
        <v>46174</v>
      </c>
      <c r="G7" s="1" t="s">
        <v>804</v>
      </c>
      <c r="H7" s="0" t="n">
        <v>495695.2375</v>
      </c>
      <c r="I7" s="0" t="n">
        <v>5948342.85</v>
      </c>
      <c r="J7" s="1" t="s">
        <v>2615</v>
      </c>
      <c r="K7" s="1" t="s">
        <v>1208</v>
      </c>
    </row>
    <row r="8" customFormat="false" ht="13.5" hidden="false" customHeight="false" outlineLevel="0" collapsed="false">
      <c r="A8" s="0" t="s">
        <v>49</v>
      </c>
      <c r="B8" s="0" t="s">
        <v>2244</v>
      </c>
      <c r="C8" s="0" t="n">
        <v>6000</v>
      </c>
      <c r="D8" s="0" t="s">
        <v>687</v>
      </c>
      <c r="E8" s="0" t="s">
        <v>435</v>
      </c>
      <c r="F8" s="233" t="n">
        <v>46204</v>
      </c>
      <c r="G8" s="1" t="s">
        <v>805</v>
      </c>
      <c r="H8" s="0" t="n">
        <v>495695.2375</v>
      </c>
      <c r="I8" s="0" t="n">
        <v>5948342.85</v>
      </c>
      <c r="J8" s="1" t="s">
        <v>2615</v>
      </c>
      <c r="K8" s="1" t="s">
        <v>1208</v>
      </c>
    </row>
    <row r="9" customFormat="false" ht="13.5" hidden="false" customHeight="false" outlineLevel="0" collapsed="false">
      <c r="A9" s="0" t="s">
        <v>49</v>
      </c>
      <c r="B9" s="0" t="s">
        <v>2244</v>
      </c>
      <c r="C9" s="0" t="n">
        <v>6000</v>
      </c>
      <c r="D9" s="0" t="s">
        <v>687</v>
      </c>
      <c r="E9" s="0" t="s">
        <v>435</v>
      </c>
      <c r="F9" s="233" t="n">
        <v>46235</v>
      </c>
      <c r="G9" s="1" t="s">
        <v>806</v>
      </c>
      <c r="H9" s="0" t="n">
        <v>495695.2375</v>
      </c>
      <c r="I9" s="0" t="n">
        <v>5948342.85</v>
      </c>
      <c r="J9" s="1" t="s">
        <v>2615</v>
      </c>
      <c r="K9" s="1" t="s">
        <v>1208</v>
      </c>
    </row>
    <row r="10" customFormat="false" ht="13.5" hidden="false" customHeight="false" outlineLevel="0" collapsed="false">
      <c r="A10" s="0" t="s">
        <v>49</v>
      </c>
      <c r="B10" s="0" t="s">
        <v>2244</v>
      </c>
      <c r="C10" s="0" t="n">
        <v>6000</v>
      </c>
      <c r="D10" s="0" t="s">
        <v>687</v>
      </c>
      <c r="E10" s="0" t="s">
        <v>435</v>
      </c>
      <c r="F10" s="233" t="n">
        <v>46266</v>
      </c>
      <c r="G10" s="1" t="s">
        <v>2616</v>
      </c>
      <c r="H10" s="0" t="n">
        <v>495695.2375</v>
      </c>
      <c r="I10" s="0" t="n">
        <v>5948342.85</v>
      </c>
      <c r="J10" s="1" t="s">
        <v>2615</v>
      </c>
      <c r="K10" s="1" t="s">
        <v>1208</v>
      </c>
    </row>
    <row r="11" customFormat="false" ht="13.5" hidden="false" customHeight="false" outlineLevel="0" collapsed="false">
      <c r="A11" s="0" t="s">
        <v>49</v>
      </c>
      <c r="B11" s="0" t="s">
        <v>2244</v>
      </c>
      <c r="C11" s="0" t="n">
        <v>6000</v>
      </c>
      <c r="D11" s="0" t="s">
        <v>687</v>
      </c>
      <c r="E11" s="0" t="s">
        <v>435</v>
      </c>
      <c r="F11" s="233" t="n">
        <v>46296</v>
      </c>
      <c r="G11" s="1" t="s">
        <v>808</v>
      </c>
      <c r="H11" s="0" t="n">
        <v>495695.2375</v>
      </c>
      <c r="I11" s="0" t="n">
        <v>5948342.85</v>
      </c>
      <c r="J11" s="1" t="s">
        <v>2615</v>
      </c>
      <c r="K11" s="1" t="s">
        <v>1208</v>
      </c>
    </row>
    <row r="12" customFormat="false" ht="13.5" hidden="false" customHeight="false" outlineLevel="0" collapsed="false">
      <c r="A12" s="0" t="s">
        <v>49</v>
      </c>
      <c r="B12" s="0" t="s">
        <v>2244</v>
      </c>
      <c r="C12" s="0" t="n">
        <v>6000</v>
      </c>
      <c r="D12" s="0" t="s">
        <v>687</v>
      </c>
      <c r="E12" s="0" t="s">
        <v>435</v>
      </c>
      <c r="F12" s="233" t="n">
        <v>46327</v>
      </c>
      <c r="G12" s="1" t="s">
        <v>809</v>
      </c>
      <c r="H12" s="0" t="n">
        <v>495695.2375</v>
      </c>
      <c r="I12" s="0" t="n">
        <v>5948342.85</v>
      </c>
      <c r="J12" s="1" t="s">
        <v>2615</v>
      </c>
      <c r="K12" s="1" t="s">
        <v>1208</v>
      </c>
    </row>
    <row r="13" customFormat="false" ht="13.5" hidden="false" customHeight="false" outlineLevel="0" collapsed="false">
      <c r="A13" s="0" t="s">
        <v>49</v>
      </c>
      <c r="B13" s="0" t="s">
        <v>2244</v>
      </c>
      <c r="C13" s="0" t="n">
        <v>6000</v>
      </c>
      <c r="D13" s="0" t="s">
        <v>687</v>
      </c>
      <c r="E13" s="0" t="s">
        <v>435</v>
      </c>
      <c r="F13" s="233" t="n">
        <v>46357</v>
      </c>
      <c r="G13" s="1" t="s">
        <v>810</v>
      </c>
      <c r="H13" s="0" t="n">
        <v>495695.2375</v>
      </c>
      <c r="I13" s="0" t="n">
        <v>5948342.85</v>
      </c>
      <c r="J13" s="1" t="s">
        <v>2615</v>
      </c>
      <c r="K13" s="1" t="s">
        <v>1208</v>
      </c>
    </row>
    <row r="14" customFormat="false" ht="13.5" hidden="false" customHeight="false" outlineLevel="0" collapsed="false">
      <c r="A14" s="0" t="s">
        <v>49</v>
      </c>
      <c r="B14" s="0" t="s">
        <v>2244</v>
      </c>
      <c r="C14" s="0" t="n">
        <v>6010</v>
      </c>
      <c r="D14" s="0" t="s">
        <v>689</v>
      </c>
      <c r="E14" s="0" t="s">
        <v>435</v>
      </c>
      <c r="F14" s="233" t="n">
        <v>46023</v>
      </c>
      <c r="G14" s="1" t="s">
        <v>799</v>
      </c>
      <c r="H14" s="0" t="n">
        <v>64440.3808333333</v>
      </c>
      <c r="I14" s="0" t="n">
        <v>773284.57</v>
      </c>
      <c r="J14" s="1" t="s">
        <v>2615</v>
      </c>
      <c r="K14" s="1" t="s">
        <v>1208</v>
      </c>
    </row>
    <row r="15" customFormat="false" ht="13.5" hidden="false" customHeight="false" outlineLevel="0" collapsed="false">
      <c r="A15" s="0" t="s">
        <v>49</v>
      </c>
      <c r="B15" s="0" t="s">
        <v>2244</v>
      </c>
      <c r="C15" s="0" t="n">
        <v>6010</v>
      </c>
      <c r="D15" s="0" t="s">
        <v>689</v>
      </c>
      <c r="E15" s="0" t="s">
        <v>435</v>
      </c>
      <c r="F15" s="233" t="n">
        <v>46054</v>
      </c>
      <c r="G15" s="1" t="s">
        <v>800</v>
      </c>
      <c r="H15" s="0" t="n">
        <v>64440.3808333333</v>
      </c>
      <c r="I15" s="0" t="n">
        <v>773284.57</v>
      </c>
      <c r="J15" s="1" t="s">
        <v>2615</v>
      </c>
      <c r="K15" s="1" t="s">
        <v>1208</v>
      </c>
    </row>
    <row r="16" customFormat="false" ht="13.5" hidden="false" customHeight="false" outlineLevel="0" collapsed="false">
      <c r="A16" s="0" t="s">
        <v>49</v>
      </c>
      <c r="B16" s="0" t="s">
        <v>2244</v>
      </c>
      <c r="C16" s="0" t="n">
        <v>6010</v>
      </c>
      <c r="D16" s="0" t="s">
        <v>689</v>
      </c>
      <c r="E16" s="0" t="s">
        <v>435</v>
      </c>
      <c r="F16" s="233" t="n">
        <v>46082</v>
      </c>
      <c r="G16" s="1" t="s">
        <v>801</v>
      </c>
      <c r="H16" s="0" t="n">
        <v>64440.3808333333</v>
      </c>
      <c r="I16" s="0" t="n">
        <v>773284.57</v>
      </c>
      <c r="J16" s="1" t="s">
        <v>2615</v>
      </c>
      <c r="K16" s="1" t="s">
        <v>1208</v>
      </c>
    </row>
    <row r="17" customFormat="false" ht="13.5" hidden="false" customHeight="false" outlineLevel="0" collapsed="false">
      <c r="A17" s="0" t="s">
        <v>49</v>
      </c>
      <c r="B17" s="0" t="s">
        <v>2244</v>
      </c>
      <c r="C17" s="0" t="n">
        <v>6010</v>
      </c>
      <c r="D17" s="0" t="s">
        <v>689</v>
      </c>
      <c r="E17" s="0" t="s">
        <v>435</v>
      </c>
      <c r="F17" s="233" t="n">
        <v>46113</v>
      </c>
      <c r="G17" s="1" t="s">
        <v>802</v>
      </c>
      <c r="H17" s="0" t="n">
        <v>64440.3808333333</v>
      </c>
      <c r="I17" s="0" t="n">
        <v>773284.57</v>
      </c>
      <c r="J17" s="1" t="s">
        <v>2615</v>
      </c>
      <c r="K17" s="1" t="s">
        <v>1208</v>
      </c>
    </row>
    <row r="18" customFormat="false" ht="13.5" hidden="false" customHeight="false" outlineLevel="0" collapsed="false">
      <c r="A18" s="0" t="s">
        <v>49</v>
      </c>
      <c r="B18" s="0" t="s">
        <v>2244</v>
      </c>
      <c r="C18" s="0" t="n">
        <v>6010</v>
      </c>
      <c r="D18" s="0" t="s">
        <v>689</v>
      </c>
      <c r="E18" s="0" t="s">
        <v>435</v>
      </c>
      <c r="F18" s="233" t="n">
        <v>46143</v>
      </c>
      <c r="G18" s="1" t="s">
        <v>803</v>
      </c>
      <c r="H18" s="0" t="n">
        <v>64440.3808333333</v>
      </c>
      <c r="I18" s="0" t="n">
        <v>773284.57</v>
      </c>
      <c r="J18" s="1" t="s">
        <v>2615</v>
      </c>
      <c r="K18" s="1" t="s">
        <v>1208</v>
      </c>
    </row>
    <row r="19" customFormat="false" ht="13.5" hidden="false" customHeight="false" outlineLevel="0" collapsed="false">
      <c r="A19" s="0" t="s">
        <v>49</v>
      </c>
      <c r="B19" s="0" t="s">
        <v>2244</v>
      </c>
      <c r="C19" s="0" t="n">
        <v>6010</v>
      </c>
      <c r="D19" s="0" t="s">
        <v>689</v>
      </c>
      <c r="E19" s="0" t="s">
        <v>435</v>
      </c>
      <c r="F19" s="233" t="n">
        <v>46174</v>
      </c>
      <c r="G19" s="1" t="s">
        <v>804</v>
      </c>
      <c r="H19" s="0" t="n">
        <v>64440.3808333333</v>
      </c>
      <c r="I19" s="0" t="n">
        <v>773284.57</v>
      </c>
      <c r="J19" s="1" t="s">
        <v>2615</v>
      </c>
      <c r="K19" s="1" t="s">
        <v>1208</v>
      </c>
    </row>
    <row r="20" customFormat="false" ht="13.5" hidden="false" customHeight="false" outlineLevel="0" collapsed="false">
      <c r="A20" s="0" t="s">
        <v>49</v>
      </c>
      <c r="B20" s="0" t="s">
        <v>2244</v>
      </c>
      <c r="C20" s="0" t="n">
        <v>6010</v>
      </c>
      <c r="D20" s="0" t="s">
        <v>689</v>
      </c>
      <c r="E20" s="0" t="s">
        <v>435</v>
      </c>
      <c r="F20" s="233" t="n">
        <v>46204</v>
      </c>
      <c r="G20" s="1" t="s">
        <v>805</v>
      </c>
      <c r="H20" s="0" t="n">
        <v>64440.3808333333</v>
      </c>
      <c r="I20" s="0" t="n">
        <v>773284.57</v>
      </c>
      <c r="J20" s="1" t="s">
        <v>2615</v>
      </c>
      <c r="K20" s="1" t="s">
        <v>1208</v>
      </c>
    </row>
    <row r="21" customFormat="false" ht="13.5" hidden="false" customHeight="false" outlineLevel="0" collapsed="false">
      <c r="A21" s="0" t="s">
        <v>49</v>
      </c>
      <c r="B21" s="0" t="s">
        <v>2244</v>
      </c>
      <c r="C21" s="0" t="n">
        <v>6010</v>
      </c>
      <c r="D21" s="0" t="s">
        <v>689</v>
      </c>
      <c r="E21" s="0" t="s">
        <v>435</v>
      </c>
      <c r="F21" s="233" t="n">
        <v>46235</v>
      </c>
      <c r="G21" s="1" t="s">
        <v>806</v>
      </c>
      <c r="H21" s="0" t="n">
        <v>64440.3808333333</v>
      </c>
      <c r="I21" s="0" t="n">
        <v>773284.57</v>
      </c>
      <c r="J21" s="1" t="s">
        <v>2615</v>
      </c>
      <c r="K21" s="1" t="s">
        <v>1208</v>
      </c>
    </row>
    <row r="22" customFormat="false" ht="13.5" hidden="false" customHeight="false" outlineLevel="0" collapsed="false">
      <c r="A22" s="0" t="s">
        <v>49</v>
      </c>
      <c r="B22" s="0" t="s">
        <v>2244</v>
      </c>
      <c r="C22" s="0" t="n">
        <v>6010</v>
      </c>
      <c r="D22" s="0" t="s">
        <v>689</v>
      </c>
      <c r="E22" s="0" t="s">
        <v>435</v>
      </c>
      <c r="F22" s="233" t="n">
        <v>46266</v>
      </c>
      <c r="G22" s="1" t="s">
        <v>2616</v>
      </c>
      <c r="H22" s="0" t="n">
        <v>64440.3808333333</v>
      </c>
      <c r="I22" s="0" t="n">
        <v>773284.57</v>
      </c>
      <c r="J22" s="1" t="s">
        <v>2615</v>
      </c>
      <c r="K22" s="1" t="s">
        <v>1208</v>
      </c>
    </row>
    <row r="23" customFormat="false" ht="13.5" hidden="false" customHeight="false" outlineLevel="0" collapsed="false">
      <c r="A23" s="0" t="s">
        <v>49</v>
      </c>
      <c r="B23" s="0" t="s">
        <v>2244</v>
      </c>
      <c r="C23" s="0" t="n">
        <v>6010</v>
      </c>
      <c r="D23" s="0" t="s">
        <v>689</v>
      </c>
      <c r="E23" s="0" t="s">
        <v>435</v>
      </c>
      <c r="F23" s="233" t="n">
        <v>46296</v>
      </c>
      <c r="G23" s="1" t="s">
        <v>808</v>
      </c>
      <c r="H23" s="0" t="n">
        <v>64440.3808333333</v>
      </c>
      <c r="I23" s="0" t="n">
        <v>773284.57</v>
      </c>
      <c r="J23" s="1" t="s">
        <v>2615</v>
      </c>
      <c r="K23" s="1" t="s">
        <v>1208</v>
      </c>
    </row>
    <row r="24" customFormat="false" ht="13.5" hidden="false" customHeight="false" outlineLevel="0" collapsed="false">
      <c r="A24" s="0" t="s">
        <v>49</v>
      </c>
      <c r="B24" s="0" t="s">
        <v>2244</v>
      </c>
      <c r="C24" s="0" t="n">
        <v>6010</v>
      </c>
      <c r="D24" s="0" t="s">
        <v>689</v>
      </c>
      <c r="E24" s="0" t="s">
        <v>435</v>
      </c>
      <c r="F24" s="233" t="n">
        <v>46327</v>
      </c>
      <c r="G24" s="1" t="s">
        <v>809</v>
      </c>
      <c r="H24" s="0" t="n">
        <v>64440.3808333333</v>
      </c>
      <c r="I24" s="0" t="n">
        <v>773284.57</v>
      </c>
      <c r="J24" s="1" t="s">
        <v>2615</v>
      </c>
      <c r="K24" s="1" t="s">
        <v>1208</v>
      </c>
    </row>
    <row r="25" customFormat="false" ht="13.5" hidden="false" customHeight="false" outlineLevel="0" collapsed="false">
      <c r="A25" s="0" t="s">
        <v>49</v>
      </c>
      <c r="B25" s="0" t="s">
        <v>2244</v>
      </c>
      <c r="C25" s="0" t="n">
        <v>6010</v>
      </c>
      <c r="D25" s="0" t="s">
        <v>689</v>
      </c>
      <c r="E25" s="0" t="s">
        <v>435</v>
      </c>
      <c r="F25" s="233" t="n">
        <v>46357</v>
      </c>
      <c r="G25" s="1" t="s">
        <v>810</v>
      </c>
      <c r="H25" s="0" t="n">
        <v>64440.3808333333</v>
      </c>
      <c r="I25" s="0" t="n">
        <v>773284.57</v>
      </c>
      <c r="J25" s="1" t="s">
        <v>2615</v>
      </c>
      <c r="K25" s="1" t="s">
        <v>1208</v>
      </c>
    </row>
    <row r="26" customFormat="false" ht="13.5" hidden="false" customHeight="false" outlineLevel="0" collapsed="false">
      <c r="A26" s="0" t="s">
        <v>49</v>
      </c>
      <c r="B26" s="0" t="s">
        <v>2244</v>
      </c>
      <c r="C26" s="0" t="n">
        <v>6020</v>
      </c>
      <c r="D26" s="0" t="s">
        <v>691</v>
      </c>
      <c r="E26" s="0" t="s">
        <v>435</v>
      </c>
      <c r="F26" s="233" t="n">
        <v>46023</v>
      </c>
      <c r="G26" s="1" t="s">
        <v>799</v>
      </c>
      <c r="H26" s="0" t="n">
        <v>14870.8566666667</v>
      </c>
      <c r="I26" s="0" t="n">
        <v>178450.28</v>
      </c>
      <c r="J26" s="1" t="s">
        <v>2615</v>
      </c>
      <c r="K26" s="1" t="s">
        <v>1208</v>
      </c>
    </row>
    <row r="27" customFormat="false" ht="13.5" hidden="false" customHeight="false" outlineLevel="0" collapsed="false">
      <c r="A27" s="0" t="s">
        <v>49</v>
      </c>
      <c r="B27" s="0" t="s">
        <v>2244</v>
      </c>
      <c r="C27" s="0" t="n">
        <v>6020</v>
      </c>
      <c r="D27" s="0" t="s">
        <v>691</v>
      </c>
      <c r="E27" s="0" t="s">
        <v>435</v>
      </c>
      <c r="F27" s="233" t="n">
        <v>46054</v>
      </c>
      <c r="G27" s="1" t="s">
        <v>800</v>
      </c>
      <c r="H27" s="0" t="n">
        <v>14870.8566666667</v>
      </c>
      <c r="I27" s="0" t="n">
        <v>178450.28</v>
      </c>
      <c r="J27" s="1" t="s">
        <v>2615</v>
      </c>
      <c r="K27" s="1" t="s">
        <v>1208</v>
      </c>
    </row>
    <row r="28" customFormat="false" ht="13.5" hidden="false" customHeight="false" outlineLevel="0" collapsed="false">
      <c r="A28" s="0" t="s">
        <v>49</v>
      </c>
      <c r="B28" s="0" t="s">
        <v>2244</v>
      </c>
      <c r="C28" s="0" t="n">
        <v>6020</v>
      </c>
      <c r="D28" s="0" t="s">
        <v>691</v>
      </c>
      <c r="E28" s="0" t="s">
        <v>435</v>
      </c>
      <c r="F28" s="233" t="n">
        <v>46082</v>
      </c>
      <c r="G28" s="1" t="s">
        <v>801</v>
      </c>
      <c r="H28" s="0" t="n">
        <v>14870.8566666667</v>
      </c>
      <c r="I28" s="0" t="n">
        <v>178450.28</v>
      </c>
      <c r="J28" s="1" t="s">
        <v>2615</v>
      </c>
      <c r="K28" s="1" t="s">
        <v>1208</v>
      </c>
    </row>
    <row r="29" customFormat="false" ht="13.5" hidden="false" customHeight="false" outlineLevel="0" collapsed="false">
      <c r="A29" s="0" t="s">
        <v>49</v>
      </c>
      <c r="B29" s="0" t="s">
        <v>2244</v>
      </c>
      <c r="C29" s="0" t="n">
        <v>6020</v>
      </c>
      <c r="D29" s="0" t="s">
        <v>691</v>
      </c>
      <c r="E29" s="0" t="s">
        <v>435</v>
      </c>
      <c r="F29" s="233" t="n">
        <v>46113</v>
      </c>
      <c r="G29" s="1" t="s">
        <v>802</v>
      </c>
      <c r="H29" s="0" t="n">
        <v>14870.8566666667</v>
      </c>
      <c r="I29" s="0" t="n">
        <v>178450.28</v>
      </c>
      <c r="J29" s="1" t="s">
        <v>2615</v>
      </c>
      <c r="K29" s="1" t="s">
        <v>1208</v>
      </c>
    </row>
    <row r="30" customFormat="false" ht="13.5" hidden="false" customHeight="false" outlineLevel="0" collapsed="false">
      <c r="A30" s="0" t="s">
        <v>49</v>
      </c>
      <c r="B30" s="0" t="s">
        <v>2244</v>
      </c>
      <c r="C30" s="0" t="n">
        <v>6020</v>
      </c>
      <c r="D30" s="0" t="s">
        <v>691</v>
      </c>
      <c r="E30" s="0" t="s">
        <v>435</v>
      </c>
      <c r="F30" s="233" t="n">
        <v>46143</v>
      </c>
      <c r="G30" s="1" t="s">
        <v>803</v>
      </c>
      <c r="H30" s="0" t="n">
        <v>14870.8566666667</v>
      </c>
      <c r="I30" s="0" t="n">
        <v>178450.28</v>
      </c>
      <c r="J30" s="1" t="s">
        <v>2615</v>
      </c>
      <c r="K30" s="1" t="s">
        <v>1208</v>
      </c>
    </row>
    <row r="31" customFormat="false" ht="13.5" hidden="false" customHeight="false" outlineLevel="0" collapsed="false">
      <c r="A31" s="0" t="s">
        <v>49</v>
      </c>
      <c r="B31" s="0" t="s">
        <v>2244</v>
      </c>
      <c r="C31" s="0" t="n">
        <v>6020</v>
      </c>
      <c r="D31" s="0" t="s">
        <v>691</v>
      </c>
      <c r="E31" s="0" t="s">
        <v>435</v>
      </c>
      <c r="F31" s="233" t="n">
        <v>46174</v>
      </c>
      <c r="G31" s="1" t="s">
        <v>804</v>
      </c>
      <c r="H31" s="0" t="n">
        <v>14870.8566666667</v>
      </c>
      <c r="I31" s="0" t="n">
        <v>178450.28</v>
      </c>
      <c r="J31" s="1" t="s">
        <v>2615</v>
      </c>
      <c r="K31" s="1" t="s">
        <v>1208</v>
      </c>
    </row>
    <row r="32" customFormat="false" ht="13.5" hidden="false" customHeight="false" outlineLevel="0" collapsed="false">
      <c r="A32" s="0" t="s">
        <v>49</v>
      </c>
      <c r="B32" s="0" t="s">
        <v>2244</v>
      </c>
      <c r="C32" s="0" t="n">
        <v>6020</v>
      </c>
      <c r="D32" s="0" t="s">
        <v>691</v>
      </c>
      <c r="E32" s="0" t="s">
        <v>435</v>
      </c>
      <c r="F32" s="233" t="n">
        <v>46204</v>
      </c>
      <c r="G32" s="1" t="s">
        <v>805</v>
      </c>
      <c r="H32" s="0" t="n">
        <v>14870.8566666667</v>
      </c>
      <c r="I32" s="0" t="n">
        <v>178450.28</v>
      </c>
      <c r="J32" s="1" t="s">
        <v>2615</v>
      </c>
      <c r="K32" s="1" t="s">
        <v>1208</v>
      </c>
    </row>
    <row r="33" customFormat="false" ht="13.5" hidden="false" customHeight="false" outlineLevel="0" collapsed="false">
      <c r="A33" s="0" t="s">
        <v>49</v>
      </c>
      <c r="B33" s="0" t="s">
        <v>2244</v>
      </c>
      <c r="C33" s="0" t="n">
        <v>6020</v>
      </c>
      <c r="D33" s="0" t="s">
        <v>691</v>
      </c>
      <c r="E33" s="0" t="s">
        <v>435</v>
      </c>
      <c r="F33" s="233" t="n">
        <v>46235</v>
      </c>
      <c r="G33" s="1" t="s">
        <v>806</v>
      </c>
      <c r="H33" s="0" t="n">
        <v>14870.8566666667</v>
      </c>
      <c r="I33" s="0" t="n">
        <v>178450.28</v>
      </c>
      <c r="J33" s="1" t="s">
        <v>2615</v>
      </c>
      <c r="K33" s="1" t="s">
        <v>1208</v>
      </c>
    </row>
    <row r="34" customFormat="false" ht="13.5" hidden="false" customHeight="false" outlineLevel="0" collapsed="false">
      <c r="A34" s="0" t="s">
        <v>49</v>
      </c>
      <c r="B34" s="0" t="s">
        <v>2244</v>
      </c>
      <c r="C34" s="0" t="n">
        <v>6020</v>
      </c>
      <c r="D34" s="0" t="s">
        <v>691</v>
      </c>
      <c r="E34" s="0" t="s">
        <v>435</v>
      </c>
      <c r="F34" s="233" t="n">
        <v>46266</v>
      </c>
      <c r="G34" s="1" t="s">
        <v>2616</v>
      </c>
      <c r="H34" s="0" t="n">
        <v>14870.8566666667</v>
      </c>
      <c r="I34" s="0" t="n">
        <v>178450.28</v>
      </c>
      <c r="J34" s="1" t="s">
        <v>2615</v>
      </c>
      <c r="K34" s="1" t="s">
        <v>1208</v>
      </c>
    </row>
    <row r="35" customFormat="false" ht="13.5" hidden="false" customHeight="false" outlineLevel="0" collapsed="false">
      <c r="A35" s="0" t="s">
        <v>49</v>
      </c>
      <c r="B35" s="0" t="s">
        <v>2244</v>
      </c>
      <c r="C35" s="0" t="n">
        <v>6020</v>
      </c>
      <c r="D35" s="0" t="s">
        <v>691</v>
      </c>
      <c r="E35" s="0" t="s">
        <v>435</v>
      </c>
      <c r="F35" s="233" t="n">
        <v>46296</v>
      </c>
      <c r="G35" s="1" t="s">
        <v>808</v>
      </c>
      <c r="H35" s="0" t="n">
        <v>14870.8566666667</v>
      </c>
      <c r="I35" s="0" t="n">
        <v>178450.28</v>
      </c>
      <c r="J35" s="1" t="s">
        <v>2615</v>
      </c>
      <c r="K35" s="1" t="s">
        <v>1208</v>
      </c>
    </row>
    <row r="36" customFormat="false" ht="13.5" hidden="false" customHeight="false" outlineLevel="0" collapsed="false">
      <c r="A36" s="0" t="s">
        <v>49</v>
      </c>
      <c r="B36" s="0" t="s">
        <v>2244</v>
      </c>
      <c r="C36" s="0" t="n">
        <v>6020</v>
      </c>
      <c r="D36" s="0" t="s">
        <v>691</v>
      </c>
      <c r="E36" s="0" t="s">
        <v>435</v>
      </c>
      <c r="F36" s="233" t="n">
        <v>46327</v>
      </c>
      <c r="G36" s="1" t="s">
        <v>809</v>
      </c>
      <c r="H36" s="0" t="n">
        <v>14870.8566666667</v>
      </c>
      <c r="I36" s="0" t="n">
        <v>178450.28</v>
      </c>
      <c r="J36" s="1" t="s">
        <v>2615</v>
      </c>
      <c r="K36" s="1" t="s">
        <v>1208</v>
      </c>
    </row>
    <row r="37" customFormat="false" ht="13.5" hidden="false" customHeight="false" outlineLevel="0" collapsed="false">
      <c r="A37" s="0" t="s">
        <v>49</v>
      </c>
      <c r="B37" s="0" t="s">
        <v>2244</v>
      </c>
      <c r="C37" s="0" t="n">
        <v>6020</v>
      </c>
      <c r="D37" s="0" t="s">
        <v>691</v>
      </c>
      <c r="E37" s="0" t="s">
        <v>435</v>
      </c>
      <c r="F37" s="233" t="n">
        <v>46357</v>
      </c>
      <c r="G37" s="1" t="s">
        <v>810</v>
      </c>
      <c r="H37" s="0" t="n">
        <v>14870.8566666667</v>
      </c>
      <c r="I37" s="0" t="n">
        <v>178450.28</v>
      </c>
      <c r="J37" s="1" t="s">
        <v>2615</v>
      </c>
      <c r="K37" s="1" t="s">
        <v>1208</v>
      </c>
    </row>
    <row r="38" customFormat="false" ht="13.5" hidden="false" customHeight="false" outlineLevel="0" collapsed="false">
      <c r="A38" s="0" t="s">
        <v>49</v>
      </c>
      <c r="B38" s="0" t="s">
        <v>2244</v>
      </c>
      <c r="C38" s="0" t="n">
        <v>6030</v>
      </c>
      <c r="D38" s="0" t="s">
        <v>693</v>
      </c>
      <c r="E38" s="0" t="s">
        <v>435</v>
      </c>
      <c r="F38" s="233" t="n">
        <v>46023</v>
      </c>
      <c r="G38" s="1" t="s">
        <v>799</v>
      </c>
      <c r="H38" s="0" t="n">
        <v>27500</v>
      </c>
      <c r="I38" s="0" t="n">
        <v>330000</v>
      </c>
      <c r="J38" s="1" t="s">
        <v>2615</v>
      </c>
      <c r="K38" s="1" t="s">
        <v>1208</v>
      </c>
    </row>
    <row r="39" customFormat="false" ht="13.5" hidden="false" customHeight="false" outlineLevel="0" collapsed="false">
      <c r="A39" s="0" t="s">
        <v>49</v>
      </c>
      <c r="B39" s="0" t="s">
        <v>2244</v>
      </c>
      <c r="C39" s="0" t="n">
        <v>6030</v>
      </c>
      <c r="D39" s="0" t="s">
        <v>693</v>
      </c>
      <c r="E39" s="0" t="s">
        <v>435</v>
      </c>
      <c r="F39" s="233" t="n">
        <v>46054</v>
      </c>
      <c r="G39" s="1" t="s">
        <v>800</v>
      </c>
      <c r="H39" s="0" t="n">
        <v>27500</v>
      </c>
      <c r="I39" s="0" t="n">
        <v>330000</v>
      </c>
      <c r="J39" s="1" t="s">
        <v>2615</v>
      </c>
      <c r="K39" s="1" t="s">
        <v>1208</v>
      </c>
    </row>
    <row r="40" customFormat="false" ht="13.5" hidden="false" customHeight="false" outlineLevel="0" collapsed="false">
      <c r="A40" s="0" t="s">
        <v>49</v>
      </c>
      <c r="B40" s="0" t="s">
        <v>2244</v>
      </c>
      <c r="C40" s="0" t="n">
        <v>6030</v>
      </c>
      <c r="D40" s="0" t="s">
        <v>693</v>
      </c>
      <c r="E40" s="0" t="s">
        <v>435</v>
      </c>
      <c r="F40" s="233" t="n">
        <v>46082</v>
      </c>
      <c r="G40" s="1" t="s">
        <v>801</v>
      </c>
      <c r="H40" s="0" t="n">
        <v>27500</v>
      </c>
      <c r="I40" s="0" t="n">
        <v>330000</v>
      </c>
      <c r="J40" s="1" t="s">
        <v>2615</v>
      </c>
      <c r="K40" s="1" t="s">
        <v>1208</v>
      </c>
    </row>
    <row r="41" customFormat="false" ht="13.5" hidden="false" customHeight="false" outlineLevel="0" collapsed="false">
      <c r="A41" s="0" t="s">
        <v>49</v>
      </c>
      <c r="B41" s="0" t="s">
        <v>2244</v>
      </c>
      <c r="C41" s="0" t="n">
        <v>6030</v>
      </c>
      <c r="D41" s="0" t="s">
        <v>693</v>
      </c>
      <c r="E41" s="0" t="s">
        <v>435</v>
      </c>
      <c r="F41" s="233" t="n">
        <v>46113</v>
      </c>
      <c r="G41" s="1" t="s">
        <v>802</v>
      </c>
      <c r="H41" s="0" t="n">
        <v>27500</v>
      </c>
      <c r="I41" s="0" t="n">
        <v>330000</v>
      </c>
      <c r="J41" s="1" t="s">
        <v>2615</v>
      </c>
      <c r="K41" s="1" t="s">
        <v>1208</v>
      </c>
    </row>
    <row r="42" customFormat="false" ht="13.5" hidden="false" customHeight="false" outlineLevel="0" collapsed="false">
      <c r="A42" s="0" t="s">
        <v>49</v>
      </c>
      <c r="B42" s="0" t="s">
        <v>2244</v>
      </c>
      <c r="C42" s="0" t="n">
        <v>6030</v>
      </c>
      <c r="D42" s="0" t="s">
        <v>693</v>
      </c>
      <c r="E42" s="0" t="s">
        <v>435</v>
      </c>
      <c r="F42" s="233" t="n">
        <v>46143</v>
      </c>
      <c r="G42" s="1" t="s">
        <v>803</v>
      </c>
      <c r="H42" s="0" t="n">
        <v>27500</v>
      </c>
      <c r="I42" s="0" t="n">
        <v>330000</v>
      </c>
      <c r="J42" s="1" t="s">
        <v>2615</v>
      </c>
      <c r="K42" s="1" t="s">
        <v>1208</v>
      </c>
    </row>
    <row r="43" customFormat="false" ht="13.5" hidden="false" customHeight="false" outlineLevel="0" collapsed="false">
      <c r="A43" s="0" t="s">
        <v>49</v>
      </c>
      <c r="B43" s="0" t="s">
        <v>2244</v>
      </c>
      <c r="C43" s="0" t="n">
        <v>6030</v>
      </c>
      <c r="D43" s="0" t="s">
        <v>693</v>
      </c>
      <c r="E43" s="0" t="s">
        <v>435</v>
      </c>
      <c r="F43" s="233" t="n">
        <v>46174</v>
      </c>
      <c r="G43" s="1" t="s">
        <v>804</v>
      </c>
      <c r="H43" s="0" t="n">
        <v>27500</v>
      </c>
      <c r="I43" s="0" t="n">
        <v>330000</v>
      </c>
      <c r="J43" s="1" t="s">
        <v>2615</v>
      </c>
      <c r="K43" s="1" t="s">
        <v>1208</v>
      </c>
    </row>
    <row r="44" customFormat="false" ht="13.5" hidden="false" customHeight="false" outlineLevel="0" collapsed="false">
      <c r="A44" s="0" t="s">
        <v>49</v>
      </c>
      <c r="B44" s="0" t="s">
        <v>2244</v>
      </c>
      <c r="C44" s="0" t="n">
        <v>6030</v>
      </c>
      <c r="D44" s="0" t="s">
        <v>693</v>
      </c>
      <c r="E44" s="0" t="s">
        <v>435</v>
      </c>
      <c r="F44" s="233" t="n">
        <v>46204</v>
      </c>
      <c r="G44" s="1" t="s">
        <v>805</v>
      </c>
      <c r="H44" s="0" t="n">
        <v>27500</v>
      </c>
      <c r="I44" s="0" t="n">
        <v>330000</v>
      </c>
      <c r="J44" s="1" t="s">
        <v>2615</v>
      </c>
      <c r="K44" s="1" t="s">
        <v>1208</v>
      </c>
    </row>
    <row r="45" customFormat="false" ht="13.5" hidden="false" customHeight="false" outlineLevel="0" collapsed="false">
      <c r="A45" s="0" t="s">
        <v>49</v>
      </c>
      <c r="B45" s="0" t="s">
        <v>2244</v>
      </c>
      <c r="C45" s="0" t="n">
        <v>6030</v>
      </c>
      <c r="D45" s="0" t="s">
        <v>693</v>
      </c>
      <c r="E45" s="0" t="s">
        <v>435</v>
      </c>
      <c r="F45" s="233" t="n">
        <v>46235</v>
      </c>
      <c r="G45" s="1" t="s">
        <v>806</v>
      </c>
      <c r="H45" s="0" t="n">
        <v>27500</v>
      </c>
      <c r="I45" s="0" t="n">
        <v>330000</v>
      </c>
      <c r="J45" s="1" t="s">
        <v>2615</v>
      </c>
      <c r="K45" s="1" t="s">
        <v>1208</v>
      </c>
    </row>
    <row r="46" customFormat="false" ht="13.5" hidden="false" customHeight="false" outlineLevel="0" collapsed="false">
      <c r="A46" s="0" t="s">
        <v>49</v>
      </c>
      <c r="B46" s="0" t="s">
        <v>2244</v>
      </c>
      <c r="C46" s="0" t="n">
        <v>6030</v>
      </c>
      <c r="D46" s="0" t="s">
        <v>693</v>
      </c>
      <c r="E46" s="0" t="s">
        <v>435</v>
      </c>
      <c r="F46" s="233" t="n">
        <v>46266</v>
      </c>
      <c r="G46" s="1" t="s">
        <v>2616</v>
      </c>
      <c r="H46" s="0" t="n">
        <v>27500</v>
      </c>
      <c r="I46" s="0" t="n">
        <v>330000</v>
      </c>
      <c r="J46" s="1" t="s">
        <v>2615</v>
      </c>
      <c r="K46" s="1" t="s">
        <v>1208</v>
      </c>
    </row>
    <row r="47" customFormat="false" ht="13.5" hidden="false" customHeight="false" outlineLevel="0" collapsed="false">
      <c r="A47" s="0" t="s">
        <v>49</v>
      </c>
      <c r="B47" s="0" t="s">
        <v>2244</v>
      </c>
      <c r="C47" s="0" t="n">
        <v>6030</v>
      </c>
      <c r="D47" s="0" t="s">
        <v>693</v>
      </c>
      <c r="E47" s="0" t="s">
        <v>435</v>
      </c>
      <c r="F47" s="233" t="n">
        <v>46296</v>
      </c>
      <c r="G47" s="1" t="s">
        <v>808</v>
      </c>
      <c r="H47" s="0" t="n">
        <v>27500</v>
      </c>
      <c r="I47" s="0" t="n">
        <v>330000</v>
      </c>
      <c r="J47" s="1" t="s">
        <v>2615</v>
      </c>
      <c r="K47" s="1" t="s">
        <v>1208</v>
      </c>
    </row>
    <row r="48" customFormat="false" ht="13.5" hidden="false" customHeight="false" outlineLevel="0" collapsed="false">
      <c r="A48" s="0" t="s">
        <v>49</v>
      </c>
      <c r="B48" s="0" t="s">
        <v>2244</v>
      </c>
      <c r="C48" s="0" t="n">
        <v>6030</v>
      </c>
      <c r="D48" s="0" t="s">
        <v>693</v>
      </c>
      <c r="E48" s="0" t="s">
        <v>435</v>
      </c>
      <c r="F48" s="233" t="n">
        <v>46327</v>
      </c>
      <c r="G48" s="1" t="s">
        <v>809</v>
      </c>
      <c r="H48" s="0" t="n">
        <v>27500</v>
      </c>
      <c r="I48" s="0" t="n">
        <v>330000</v>
      </c>
      <c r="J48" s="1" t="s">
        <v>2615</v>
      </c>
      <c r="K48" s="1" t="s">
        <v>1208</v>
      </c>
    </row>
    <row r="49" customFormat="false" ht="13.5" hidden="false" customHeight="false" outlineLevel="0" collapsed="false">
      <c r="A49" s="0" t="s">
        <v>49</v>
      </c>
      <c r="B49" s="0" t="s">
        <v>2244</v>
      </c>
      <c r="C49" s="0" t="n">
        <v>6030</v>
      </c>
      <c r="D49" s="0" t="s">
        <v>693</v>
      </c>
      <c r="E49" s="0" t="s">
        <v>435</v>
      </c>
      <c r="F49" s="233" t="n">
        <v>46357</v>
      </c>
      <c r="G49" s="1" t="s">
        <v>810</v>
      </c>
      <c r="H49" s="0" t="n">
        <v>27500</v>
      </c>
      <c r="I49" s="0" t="n">
        <v>330000</v>
      </c>
      <c r="J49" s="1" t="s">
        <v>2615</v>
      </c>
      <c r="K49" s="1" t="s">
        <v>1208</v>
      </c>
    </row>
    <row r="50" customFormat="false" ht="13.5" hidden="false" customHeight="false" outlineLevel="0" collapsed="false">
      <c r="A50" s="0" t="s">
        <v>49</v>
      </c>
      <c r="B50" s="0" t="s">
        <v>2244</v>
      </c>
      <c r="C50" s="0" t="n">
        <v>6050</v>
      </c>
      <c r="D50" s="0" t="s">
        <v>695</v>
      </c>
      <c r="E50" s="0" t="s">
        <v>437</v>
      </c>
      <c r="F50" s="233" t="n">
        <v>46023</v>
      </c>
      <c r="G50" s="1" t="s">
        <v>799</v>
      </c>
      <c r="H50" s="0" t="n">
        <v>166.666666666667</v>
      </c>
      <c r="I50" s="0" t="n">
        <v>2000</v>
      </c>
      <c r="J50" s="1" t="s">
        <v>2615</v>
      </c>
      <c r="K50" s="1" t="s">
        <v>1208</v>
      </c>
    </row>
    <row r="51" customFormat="false" ht="13.5" hidden="false" customHeight="false" outlineLevel="0" collapsed="false">
      <c r="A51" s="0" t="s">
        <v>49</v>
      </c>
      <c r="B51" s="0" t="s">
        <v>2244</v>
      </c>
      <c r="C51" s="0" t="n">
        <v>6050</v>
      </c>
      <c r="D51" s="0" t="s">
        <v>695</v>
      </c>
      <c r="E51" s="0" t="s">
        <v>437</v>
      </c>
      <c r="F51" s="233" t="n">
        <v>46054</v>
      </c>
      <c r="G51" s="1" t="s">
        <v>800</v>
      </c>
      <c r="H51" s="0" t="n">
        <v>166.666666666667</v>
      </c>
      <c r="I51" s="0" t="n">
        <v>2000</v>
      </c>
      <c r="J51" s="1" t="s">
        <v>2615</v>
      </c>
      <c r="K51" s="1" t="s">
        <v>1208</v>
      </c>
    </row>
    <row r="52" customFormat="false" ht="13.5" hidden="false" customHeight="false" outlineLevel="0" collapsed="false">
      <c r="A52" s="0" t="s">
        <v>49</v>
      </c>
      <c r="B52" s="0" t="s">
        <v>2244</v>
      </c>
      <c r="C52" s="0" t="n">
        <v>6050</v>
      </c>
      <c r="D52" s="0" t="s">
        <v>695</v>
      </c>
      <c r="E52" s="0" t="s">
        <v>437</v>
      </c>
      <c r="F52" s="233" t="n">
        <v>46082</v>
      </c>
      <c r="G52" s="1" t="s">
        <v>801</v>
      </c>
      <c r="H52" s="0" t="n">
        <v>166.666666666667</v>
      </c>
      <c r="I52" s="0" t="n">
        <v>2000</v>
      </c>
      <c r="J52" s="1" t="s">
        <v>2615</v>
      </c>
      <c r="K52" s="1" t="s">
        <v>1208</v>
      </c>
    </row>
    <row r="53" customFormat="false" ht="13.5" hidden="false" customHeight="false" outlineLevel="0" collapsed="false">
      <c r="A53" s="0" t="s">
        <v>49</v>
      </c>
      <c r="B53" s="0" t="s">
        <v>2244</v>
      </c>
      <c r="C53" s="0" t="n">
        <v>6050</v>
      </c>
      <c r="D53" s="0" t="s">
        <v>695</v>
      </c>
      <c r="E53" s="0" t="s">
        <v>437</v>
      </c>
      <c r="F53" s="233" t="n">
        <v>46113</v>
      </c>
      <c r="G53" s="1" t="s">
        <v>802</v>
      </c>
      <c r="H53" s="0" t="n">
        <v>166.666666666667</v>
      </c>
      <c r="I53" s="0" t="n">
        <v>2000</v>
      </c>
      <c r="J53" s="1" t="s">
        <v>2615</v>
      </c>
      <c r="K53" s="1" t="s">
        <v>1208</v>
      </c>
    </row>
    <row r="54" customFormat="false" ht="13.5" hidden="false" customHeight="false" outlineLevel="0" collapsed="false">
      <c r="A54" s="0" t="s">
        <v>49</v>
      </c>
      <c r="B54" s="0" t="s">
        <v>2244</v>
      </c>
      <c r="C54" s="0" t="n">
        <v>6050</v>
      </c>
      <c r="D54" s="0" t="s">
        <v>695</v>
      </c>
      <c r="E54" s="0" t="s">
        <v>437</v>
      </c>
      <c r="F54" s="233" t="n">
        <v>46143</v>
      </c>
      <c r="G54" s="1" t="s">
        <v>803</v>
      </c>
      <c r="H54" s="0" t="n">
        <v>166.666666666667</v>
      </c>
      <c r="I54" s="0" t="n">
        <v>2000</v>
      </c>
      <c r="J54" s="1" t="s">
        <v>2615</v>
      </c>
      <c r="K54" s="1" t="s">
        <v>1208</v>
      </c>
    </row>
    <row r="55" customFormat="false" ht="13.5" hidden="false" customHeight="false" outlineLevel="0" collapsed="false">
      <c r="A55" s="0" t="s">
        <v>49</v>
      </c>
      <c r="B55" s="0" t="s">
        <v>2244</v>
      </c>
      <c r="C55" s="0" t="n">
        <v>6050</v>
      </c>
      <c r="D55" s="0" t="s">
        <v>695</v>
      </c>
      <c r="E55" s="0" t="s">
        <v>437</v>
      </c>
      <c r="F55" s="233" t="n">
        <v>46174</v>
      </c>
      <c r="G55" s="1" t="s">
        <v>804</v>
      </c>
      <c r="H55" s="0" t="n">
        <v>166.666666666667</v>
      </c>
      <c r="I55" s="0" t="n">
        <v>2000</v>
      </c>
      <c r="J55" s="1" t="s">
        <v>2615</v>
      </c>
      <c r="K55" s="1" t="s">
        <v>1208</v>
      </c>
    </row>
    <row r="56" customFormat="false" ht="13.5" hidden="false" customHeight="false" outlineLevel="0" collapsed="false">
      <c r="A56" s="0" t="s">
        <v>49</v>
      </c>
      <c r="B56" s="0" t="s">
        <v>2244</v>
      </c>
      <c r="C56" s="0" t="n">
        <v>6050</v>
      </c>
      <c r="D56" s="0" t="s">
        <v>695</v>
      </c>
      <c r="E56" s="0" t="s">
        <v>437</v>
      </c>
      <c r="F56" s="233" t="n">
        <v>46204</v>
      </c>
      <c r="G56" s="1" t="s">
        <v>805</v>
      </c>
      <c r="H56" s="0" t="n">
        <v>166.666666666667</v>
      </c>
      <c r="I56" s="0" t="n">
        <v>2000</v>
      </c>
      <c r="J56" s="1" t="s">
        <v>2615</v>
      </c>
      <c r="K56" s="1" t="s">
        <v>1208</v>
      </c>
    </row>
    <row r="57" customFormat="false" ht="13.5" hidden="false" customHeight="false" outlineLevel="0" collapsed="false">
      <c r="A57" s="0" t="s">
        <v>49</v>
      </c>
      <c r="B57" s="0" t="s">
        <v>2244</v>
      </c>
      <c r="C57" s="0" t="n">
        <v>6050</v>
      </c>
      <c r="D57" s="0" t="s">
        <v>695</v>
      </c>
      <c r="E57" s="0" t="s">
        <v>437</v>
      </c>
      <c r="F57" s="233" t="n">
        <v>46235</v>
      </c>
      <c r="G57" s="1" t="s">
        <v>806</v>
      </c>
      <c r="H57" s="0" t="n">
        <v>166.666666666667</v>
      </c>
      <c r="I57" s="0" t="n">
        <v>2000</v>
      </c>
      <c r="J57" s="1" t="s">
        <v>2615</v>
      </c>
      <c r="K57" s="1" t="s">
        <v>1208</v>
      </c>
    </row>
    <row r="58" customFormat="false" ht="13.5" hidden="false" customHeight="false" outlineLevel="0" collapsed="false">
      <c r="A58" s="0" t="s">
        <v>49</v>
      </c>
      <c r="B58" s="0" t="s">
        <v>2244</v>
      </c>
      <c r="C58" s="0" t="n">
        <v>6050</v>
      </c>
      <c r="D58" s="0" t="s">
        <v>695</v>
      </c>
      <c r="E58" s="0" t="s">
        <v>437</v>
      </c>
      <c r="F58" s="233" t="n">
        <v>46266</v>
      </c>
      <c r="G58" s="1" t="s">
        <v>2616</v>
      </c>
      <c r="H58" s="0" t="n">
        <v>166.666666666667</v>
      </c>
      <c r="I58" s="0" t="n">
        <v>2000</v>
      </c>
      <c r="J58" s="1" t="s">
        <v>2615</v>
      </c>
      <c r="K58" s="1" t="s">
        <v>1208</v>
      </c>
    </row>
    <row r="59" customFormat="false" ht="13.5" hidden="false" customHeight="false" outlineLevel="0" collapsed="false">
      <c r="A59" s="0" t="s">
        <v>49</v>
      </c>
      <c r="B59" s="0" t="s">
        <v>2244</v>
      </c>
      <c r="C59" s="0" t="n">
        <v>6050</v>
      </c>
      <c r="D59" s="0" t="s">
        <v>695</v>
      </c>
      <c r="E59" s="0" t="s">
        <v>437</v>
      </c>
      <c r="F59" s="233" t="n">
        <v>46296</v>
      </c>
      <c r="G59" s="1" t="s">
        <v>808</v>
      </c>
      <c r="H59" s="0" t="n">
        <v>166.666666666667</v>
      </c>
      <c r="I59" s="0" t="n">
        <v>2000</v>
      </c>
      <c r="J59" s="1" t="s">
        <v>2615</v>
      </c>
      <c r="K59" s="1" t="s">
        <v>1208</v>
      </c>
    </row>
    <row r="60" customFormat="false" ht="13.5" hidden="false" customHeight="false" outlineLevel="0" collapsed="false">
      <c r="A60" s="0" t="s">
        <v>49</v>
      </c>
      <c r="B60" s="0" t="s">
        <v>2244</v>
      </c>
      <c r="C60" s="0" t="n">
        <v>6050</v>
      </c>
      <c r="D60" s="0" t="s">
        <v>695</v>
      </c>
      <c r="E60" s="0" t="s">
        <v>437</v>
      </c>
      <c r="F60" s="233" t="n">
        <v>46327</v>
      </c>
      <c r="G60" s="1" t="s">
        <v>809</v>
      </c>
      <c r="H60" s="0" t="n">
        <v>166.666666666667</v>
      </c>
      <c r="I60" s="0" t="n">
        <v>2000</v>
      </c>
      <c r="J60" s="1" t="s">
        <v>2615</v>
      </c>
      <c r="K60" s="1" t="s">
        <v>1208</v>
      </c>
    </row>
    <row r="61" customFormat="false" ht="13.5" hidden="false" customHeight="false" outlineLevel="0" collapsed="false">
      <c r="A61" s="0" t="s">
        <v>49</v>
      </c>
      <c r="B61" s="0" t="s">
        <v>2244</v>
      </c>
      <c r="C61" s="0" t="n">
        <v>6050</v>
      </c>
      <c r="D61" s="0" t="s">
        <v>695</v>
      </c>
      <c r="E61" s="0" t="s">
        <v>437</v>
      </c>
      <c r="F61" s="233" t="n">
        <v>46357</v>
      </c>
      <c r="G61" s="1" t="s">
        <v>810</v>
      </c>
      <c r="H61" s="0" t="n">
        <v>166.666666666667</v>
      </c>
      <c r="I61" s="0" t="n">
        <v>2000</v>
      </c>
      <c r="J61" s="1" t="s">
        <v>2615</v>
      </c>
      <c r="K61" s="1" t="s">
        <v>1208</v>
      </c>
    </row>
    <row r="62" customFormat="false" ht="13.5" hidden="false" customHeight="false" outlineLevel="0" collapsed="false">
      <c r="A62" s="0" t="s">
        <v>49</v>
      </c>
      <c r="B62" s="0" t="s">
        <v>2244</v>
      </c>
      <c r="C62" s="0" t="n">
        <v>7000</v>
      </c>
      <c r="D62" s="0" t="s">
        <v>697</v>
      </c>
      <c r="E62" s="0" t="s">
        <v>436</v>
      </c>
      <c r="F62" s="233" t="n">
        <v>46023</v>
      </c>
      <c r="G62" s="1" t="s">
        <v>799</v>
      </c>
      <c r="H62" s="0" t="n">
        <v>161333.333333333</v>
      </c>
      <c r="I62" s="0" t="n">
        <v>1936000</v>
      </c>
      <c r="J62" s="1" t="s">
        <v>2615</v>
      </c>
      <c r="K62" s="1" t="s">
        <v>1208</v>
      </c>
    </row>
    <row r="63" customFormat="false" ht="13.5" hidden="false" customHeight="false" outlineLevel="0" collapsed="false">
      <c r="A63" s="0" t="s">
        <v>49</v>
      </c>
      <c r="B63" s="0" t="s">
        <v>2244</v>
      </c>
      <c r="C63" s="0" t="n">
        <v>7000</v>
      </c>
      <c r="D63" s="0" t="s">
        <v>697</v>
      </c>
      <c r="E63" s="0" t="s">
        <v>436</v>
      </c>
      <c r="F63" s="233" t="n">
        <v>46054</v>
      </c>
      <c r="G63" s="1" t="s">
        <v>800</v>
      </c>
      <c r="H63" s="0" t="n">
        <v>161333.333333333</v>
      </c>
      <c r="I63" s="0" t="n">
        <v>1936000</v>
      </c>
      <c r="J63" s="1" t="s">
        <v>2615</v>
      </c>
      <c r="K63" s="1" t="s">
        <v>1208</v>
      </c>
    </row>
    <row r="64" customFormat="false" ht="13.5" hidden="false" customHeight="false" outlineLevel="0" collapsed="false">
      <c r="A64" s="0" t="s">
        <v>49</v>
      </c>
      <c r="B64" s="0" t="s">
        <v>2244</v>
      </c>
      <c r="C64" s="0" t="n">
        <v>7000</v>
      </c>
      <c r="D64" s="0" t="s">
        <v>697</v>
      </c>
      <c r="E64" s="0" t="s">
        <v>436</v>
      </c>
      <c r="F64" s="233" t="n">
        <v>46082</v>
      </c>
      <c r="G64" s="1" t="s">
        <v>801</v>
      </c>
      <c r="H64" s="0" t="n">
        <v>161333.333333333</v>
      </c>
      <c r="I64" s="0" t="n">
        <v>1936000</v>
      </c>
      <c r="J64" s="1" t="s">
        <v>2615</v>
      </c>
      <c r="K64" s="1" t="s">
        <v>1208</v>
      </c>
    </row>
    <row r="65" customFormat="false" ht="13.5" hidden="false" customHeight="false" outlineLevel="0" collapsed="false">
      <c r="A65" s="0" t="s">
        <v>49</v>
      </c>
      <c r="B65" s="0" t="s">
        <v>2244</v>
      </c>
      <c r="C65" s="0" t="n">
        <v>7000</v>
      </c>
      <c r="D65" s="0" t="s">
        <v>697</v>
      </c>
      <c r="E65" s="0" t="s">
        <v>436</v>
      </c>
      <c r="F65" s="233" t="n">
        <v>46113</v>
      </c>
      <c r="G65" s="1" t="s">
        <v>802</v>
      </c>
      <c r="H65" s="0" t="n">
        <v>161333.333333333</v>
      </c>
      <c r="I65" s="0" t="n">
        <v>1936000</v>
      </c>
      <c r="J65" s="1" t="s">
        <v>2615</v>
      </c>
      <c r="K65" s="1" t="s">
        <v>1208</v>
      </c>
    </row>
    <row r="66" customFormat="false" ht="13.5" hidden="false" customHeight="false" outlineLevel="0" collapsed="false">
      <c r="A66" s="0" t="s">
        <v>49</v>
      </c>
      <c r="B66" s="0" t="s">
        <v>2244</v>
      </c>
      <c r="C66" s="0" t="n">
        <v>7000</v>
      </c>
      <c r="D66" s="0" t="s">
        <v>697</v>
      </c>
      <c r="E66" s="0" t="s">
        <v>436</v>
      </c>
      <c r="F66" s="233" t="n">
        <v>46143</v>
      </c>
      <c r="G66" s="1" t="s">
        <v>803</v>
      </c>
      <c r="H66" s="0" t="n">
        <v>161333.333333333</v>
      </c>
      <c r="I66" s="0" t="n">
        <v>1936000</v>
      </c>
      <c r="J66" s="1" t="s">
        <v>2615</v>
      </c>
      <c r="K66" s="1" t="s">
        <v>1208</v>
      </c>
    </row>
    <row r="67" customFormat="false" ht="13.5" hidden="false" customHeight="false" outlineLevel="0" collapsed="false">
      <c r="A67" s="0" t="s">
        <v>49</v>
      </c>
      <c r="B67" s="0" t="s">
        <v>2244</v>
      </c>
      <c r="C67" s="0" t="n">
        <v>7000</v>
      </c>
      <c r="D67" s="0" t="s">
        <v>697</v>
      </c>
      <c r="E67" s="0" t="s">
        <v>436</v>
      </c>
      <c r="F67" s="233" t="n">
        <v>46174</v>
      </c>
      <c r="G67" s="1" t="s">
        <v>804</v>
      </c>
      <c r="H67" s="0" t="n">
        <v>161333.333333333</v>
      </c>
      <c r="I67" s="0" t="n">
        <v>1936000</v>
      </c>
      <c r="J67" s="1" t="s">
        <v>2615</v>
      </c>
      <c r="K67" s="1" t="s">
        <v>1208</v>
      </c>
    </row>
    <row r="68" customFormat="false" ht="13.5" hidden="false" customHeight="false" outlineLevel="0" collapsed="false">
      <c r="A68" s="0" t="s">
        <v>49</v>
      </c>
      <c r="B68" s="0" t="s">
        <v>2244</v>
      </c>
      <c r="C68" s="0" t="n">
        <v>7000</v>
      </c>
      <c r="D68" s="0" t="s">
        <v>697</v>
      </c>
      <c r="E68" s="0" t="s">
        <v>436</v>
      </c>
      <c r="F68" s="233" t="n">
        <v>46204</v>
      </c>
      <c r="G68" s="1" t="s">
        <v>805</v>
      </c>
      <c r="H68" s="0" t="n">
        <v>161333.333333333</v>
      </c>
      <c r="I68" s="0" t="n">
        <v>1936000</v>
      </c>
      <c r="J68" s="1" t="s">
        <v>2615</v>
      </c>
      <c r="K68" s="1" t="s">
        <v>1208</v>
      </c>
    </row>
    <row r="69" customFormat="false" ht="13.5" hidden="false" customHeight="false" outlineLevel="0" collapsed="false">
      <c r="A69" s="0" t="s">
        <v>49</v>
      </c>
      <c r="B69" s="0" t="s">
        <v>2244</v>
      </c>
      <c r="C69" s="0" t="n">
        <v>7000</v>
      </c>
      <c r="D69" s="0" t="s">
        <v>697</v>
      </c>
      <c r="E69" s="0" t="s">
        <v>436</v>
      </c>
      <c r="F69" s="233" t="n">
        <v>46235</v>
      </c>
      <c r="G69" s="1" t="s">
        <v>806</v>
      </c>
      <c r="H69" s="0" t="n">
        <v>161333.333333333</v>
      </c>
      <c r="I69" s="0" t="n">
        <v>1936000</v>
      </c>
      <c r="J69" s="1" t="s">
        <v>2615</v>
      </c>
      <c r="K69" s="1" t="s">
        <v>1208</v>
      </c>
    </row>
    <row r="70" customFormat="false" ht="13.5" hidden="false" customHeight="false" outlineLevel="0" collapsed="false">
      <c r="A70" s="0" t="s">
        <v>49</v>
      </c>
      <c r="B70" s="0" t="s">
        <v>2244</v>
      </c>
      <c r="C70" s="0" t="n">
        <v>7000</v>
      </c>
      <c r="D70" s="0" t="s">
        <v>697</v>
      </c>
      <c r="E70" s="0" t="s">
        <v>436</v>
      </c>
      <c r="F70" s="233" t="n">
        <v>46266</v>
      </c>
      <c r="G70" s="1" t="s">
        <v>2616</v>
      </c>
      <c r="H70" s="0" t="n">
        <v>161333.333333333</v>
      </c>
      <c r="I70" s="0" t="n">
        <v>1936000</v>
      </c>
      <c r="J70" s="1" t="s">
        <v>2615</v>
      </c>
      <c r="K70" s="1" t="s">
        <v>1208</v>
      </c>
    </row>
    <row r="71" customFormat="false" ht="13.5" hidden="false" customHeight="false" outlineLevel="0" collapsed="false">
      <c r="A71" s="0" t="s">
        <v>49</v>
      </c>
      <c r="B71" s="0" t="s">
        <v>2244</v>
      </c>
      <c r="C71" s="0" t="n">
        <v>7000</v>
      </c>
      <c r="D71" s="0" t="s">
        <v>697</v>
      </c>
      <c r="E71" s="0" t="s">
        <v>436</v>
      </c>
      <c r="F71" s="233" t="n">
        <v>46296</v>
      </c>
      <c r="G71" s="1" t="s">
        <v>808</v>
      </c>
      <c r="H71" s="0" t="n">
        <v>161333.333333333</v>
      </c>
      <c r="I71" s="0" t="n">
        <v>1936000</v>
      </c>
      <c r="J71" s="1" t="s">
        <v>2615</v>
      </c>
      <c r="K71" s="1" t="s">
        <v>1208</v>
      </c>
    </row>
    <row r="72" customFormat="false" ht="13.5" hidden="false" customHeight="false" outlineLevel="0" collapsed="false">
      <c r="A72" s="0" t="s">
        <v>49</v>
      </c>
      <c r="B72" s="0" t="s">
        <v>2244</v>
      </c>
      <c r="C72" s="0" t="n">
        <v>7000</v>
      </c>
      <c r="D72" s="0" t="s">
        <v>697</v>
      </c>
      <c r="E72" s="0" t="s">
        <v>436</v>
      </c>
      <c r="F72" s="233" t="n">
        <v>46327</v>
      </c>
      <c r="G72" s="1" t="s">
        <v>809</v>
      </c>
      <c r="H72" s="0" t="n">
        <v>161333.333333333</v>
      </c>
      <c r="I72" s="0" t="n">
        <v>1936000</v>
      </c>
      <c r="J72" s="1" t="s">
        <v>2615</v>
      </c>
      <c r="K72" s="1" t="s">
        <v>1208</v>
      </c>
    </row>
    <row r="73" customFormat="false" ht="13.5" hidden="false" customHeight="false" outlineLevel="0" collapsed="false">
      <c r="A73" s="0" t="s">
        <v>49</v>
      </c>
      <c r="B73" s="0" t="s">
        <v>2244</v>
      </c>
      <c r="C73" s="0" t="n">
        <v>7000</v>
      </c>
      <c r="D73" s="0" t="s">
        <v>697</v>
      </c>
      <c r="E73" s="0" t="s">
        <v>436</v>
      </c>
      <c r="F73" s="233" t="n">
        <v>46357</v>
      </c>
      <c r="G73" s="1" t="s">
        <v>810</v>
      </c>
      <c r="H73" s="0" t="n">
        <v>161333.333333333</v>
      </c>
      <c r="I73" s="0" t="n">
        <v>1936000</v>
      </c>
      <c r="J73" s="1" t="s">
        <v>2615</v>
      </c>
      <c r="K73" s="1" t="s">
        <v>1208</v>
      </c>
    </row>
    <row r="74" customFormat="false" ht="13.5" hidden="false" customHeight="false" outlineLevel="0" collapsed="false">
      <c r="A74" s="0" t="s">
        <v>49</v>
      </c>
      <c r="B74" s="0" t="s">
        <v>2244</v>
      </c>
      <c r="C74" s="0" t="n">
        <v>7010</v>
      </c>
      <c r="D74" s="0" t="s">
        <v>699</v>
      </c>
      <c r="E74" s="0" t="s">
        <v>436</v>
      </c>
      <c r="F74" s="233" t="n">
        <v>46023</v>
      </c>
      <c r="G74" s="1" t="s">
        <v>799</v>
      </c>
      <c r="H74" s="0" t="n">
        <v>20453.3333333333</v>
      </c>
      <c r="I74" s="0" t="n">
        <v>245440</v>
      </c>
      <c r="J74" s="1" t="s">
        <v>2615</v>
      </c>
      <c r="K74" s="1" t="s">
        <v>1208</v>
      </c>
    </row>
    <row r="75" customFormat="false" ht="13.5" hidden="false" customHeight="false" outlineLevel="0" collapsed="false">
      <c r="A75" s="0" t="s">
        <v>49</v>
      </c>
      <c r="B75" s="0" t="s">
        <v>2244</v>
      </c>
      <c r="C75" s="0" t="n">
        <v>7010</v>
      </c>
      <c r="D75" s="0" t="s">
        <v>699</v>
      </c>
      <c r="E75" s="0" t="s">
        <v>436</v>
      </c>
      <c r="F75" s="233" t="n">
        <v>46054</v>
      </c>
      <c r="G75" s="1" t="s">
        <v>800</v>
      </c>
      <c r="H75" s="0" t="n">
        <v>20453.3333333333</v>
      </c>
      <c r="I75" s="0" t="n">
        <v>245440</v>
      </c>
      <c r="J75" s="1" t="s">
        <v>2615</v>
      </c>
      <c r="K75" s="1" t="s">
        <v>1208</v>
      </c>
    </row>
    <row r="76" customFormat="false" ht="13.5" hidden="false" customHeight="false" outlineLevel="0" collapsed="false">
      <c r="A76" s="0" t="s">
        <v>49</v>
      </c>
      <c r="B76" s="0" t="s">
        <v>2244</v>
      </c>
      <c r="C76" s="0" t="n">
        <v>7010</v>
      </c>
      <c r="D76" s="0" t="s">
        <v>699</v>
      </c>
      <c r="E76" s="0" t="s">
        <v>436</v>
      </c>
      <c r="F76" s="233" t="n">
        <v>46082</v>
      </c>
      <c r="G76" s="1" t="s">
        <v>801</v>
      </c>
      <c r="H76" s="0" t="n">
        <v>20453.3333333333</v>
      </c>
      <c r="I76" s="0" t="n">
        <v>245440</v>
      </c>
      <c r="J76" s="1" t="s">
        <v>2615</v>
      </c>
      <c r="K76" s="1" t="s">
        <v>1208</v>
      </c>
    </row>
    <row r="77" customFormat="false" ht="13.5" hidden="false" customHeight="false" outlineLevel="0" collapsed="false">
      <c r="A77" s="0" t="s">
        <v>49</v>
      </c>
      <c r="B77" s="0" t="s">
        <v>2244</v>
      </c>
      <c r="C77" s="0" t="n">
        <v>7010</v>
      </c>
      <c r="D77" s="0" t="s">
        <v>699</v>
      </c>
      <c r="E77" s="0" t="s">
        <v>436</v>
      </c>
      <c r="F77" s="233" t="n">
        <v>46113</v>
      </c>
      <c r="G77" s="1" t="s">
        <v>802</v>
      </c>
      <c r="H77" s="0" t="n">
        <v>20453.3333333333</v>
      </c>
      <c r="I77" s="0" t="n">
        <v>245440</v>
      </c>
      <c r="J77" s="1" t="s">
        <v>2615</v>
      </c>
      <c r="K77" s="1" t="s">
        <v>1208</v>
      </c>
    </row>
    <row r="78" customFormat="false" ht="13.5" hidden="false" customHeight="false" outlineLevel="0" collapsed="false">
      <c r="A78" s="0" t="s">
        <v>49</v>
      </c>
      <c r="B78" s="0" t="s">
        <v>2244</v>
      </c>
      <c r="C78" s="0" t="n">
        <v>7010</v>
      </c>
      <c r="D78" s="0" t="s">
        <v>699</v>
      </c>
      <c r="E78" s="0" t="s">
        <v>436</v>
      </c>
      <c r="F78" s="233" t="n">
        <v>46143</v>
      </c>
      <c r="G78" s="1" t="s">
        <v>803</v>
      </c>
      <c r="H78" s="0" t="n">
        <v>20453.3333333333</v>
      </c>
      <c r="I78" s="0" t="n">
        <v>245440</v>
      </c>
      <c r="J78" s="1" t="s">
        <v>2615</v>
      </c>
      <c r="K78" s="1" t="s">
        <v>1208</v>
      </c>
    </row>
    <row r="79" customFormat="false" ht="13.5" hidden="false" customHeight="false" outlineLevel="0" collapsed="false">
      <c r="A79" s="0" t="s">
        <v>49</v>
      </c>
      <c r="B79" s="0" t="s">
        <v>2244</v>
      </c>
      <c r="C79" s="0" t="n">
        <v>7010</v>
      </c>
      <c r="D79" s="0" t="s">
        <v>699</v>
      </c>
      <c r="E79" s="0" t="s">
        <v>436</v>
      </c>
      <c r="F79" s="233" t="n">
        <v>46174</v>
      </c>
      <c r="G79" s="1" t="s">
        <v>804</v>
      </c>
      <c r="H79" s="0" t="n">
        <v>20453.3333333333</v>
      </c>
      <c r="I79" s="0" t="n">
        <v>245440</v>
      </c>
      <c r="J79" s="1" t="s">
        <v>2615</v>
      </c>
      <c r="K79" s="1" t="s">
        <v>1208</v>
      </c>
    </row>
    <row r="80" customFormat="false" ht="13.5" hidden="false" customHeight="false" outlineLevel="0" collapsed="false">
      <c r="A80" s="0" t="s">
        <v>49</v>
      </c>
      <c r="B80" s="0" t="s">
        <v>2244</v>
      </c>
      <c r="C80" s="0" t="n">
        <v>7010</v>
      </c>
      <c r="D80" s="0" t="s">
        <v>699</v>
      </c>
      <c r="E80" s="0" t="s">
        <v>436</v>
      </c>
      <c r="F80" s="233" t="n">
        <v>46204</v>
      </c>
      <c r="G80" s="1" t="s">
        <v>805</v>
      </c>
      <c r="H80" s="0" t="n">
        <v>20453.3333333333</v>
      </c>
      <c r="I80" s="0" t="n">
        <v>245440</v>
      </c>
      <c r="J80" s="1" t="s">
        <v>2615</v>
      </c>
      <c r="K80" s="1" t="s">
        <v>1208</v>
      </c>
    </row>
    <row r="81" customFormat="false" ht="13.5" hidden="false" customHeight="false" outlineLevel="0" collapsed="false">
      <c r="A81" s="0" t="s">
        <v>49</v>
      </c>
      <c r="B81" s="0" t="s">
        <v>2244</v>
      </c>
      <c r="C81" s="0" t="n">
        <v>7010</v>
      </c>
      <c r="D81" s="0" t="s">
        <v>699</v>
      </c>
      <c r="E81" s="0" t="s">
        <v>436</v>
      </c>
      <c r="F81" s="233" t="n">
        <v>46235</v>
      </c>
      <c r="G81" s="1" t="s">
        <v>806</v>
      </c>
      <c r="H81" s="0" t="n">
        <v>20453.3333333333</v>
      </c>
      <c r="I81" s="0" t="n">
        <v>245440</v>
      </c>
      <c r="J81" s="1" t="s">
        <v>2615</v>
      </c>
      <c r="K81" s="1" t="s">
        <v>1208</v>
      </c>
    </row>
    <row r="82" customFormat="false" ht="13.5" hidden="false" customHeight="false" outlineLevel="0" collapsed="false">
      <c r="A82" s="0" t="s">
        <v>49</v>
      </c>
      <c r="B82" s="0" t="s">
        <v>2244</v>
      </c>
      <c r="C82" s="0" t="n">
        <v>7010</v>
      </c>
      <c r="D82" s="0" t="s">
        <v>699</v>
      </c>
      <c r="E82" s="0" t="s">
        <v>436</v>
      </c>
      <c r="F82" s="233" t="n">
        <v>46266</v>
      </c>
      <c r="G82" s="1" t="s">
        <v>2616</v>
      </c>
      <c r="H82" s="0" t="n">
        <v>20453.3333333333</v>
      </c>
      <c r="I82" s="0" t="n">
        <v>245440</v>
      </c>
      <c r="J82" s="1" t="s">
        <v>2615</v>
      </c>
      <c r="K82" s="1" t="s">
        <v>1208</v>
      </c>
    </row>
    <row r="83" customFormat="false" ht="13.5" hidden="false" customHeight="false" outlineLevel="0" collapsed="false">
      <c r="A83" s="0" t="s">
        <v>49</v>
      </c>
      <c r="B83" s="0" t="s">
        <v>2244</v>
      </c>
      <c r="C83" s="0" t="n">
        <v>7010</v>
      </c>
      <c r="D83" s="0" t="s">
        <v>699</v>
      </c>
      <c r="E83" s="0" t="s">
        <v>436</v>
      </c>
      <c r="F83" s="233" t="n">
        <v>46296</v>
      </c>
      <c r="G83" s="1" t="s">
        <v>808</v>
      </c>
      <c r="H83" s="0" t="n">
        <v>20453.3333333333</v>
      </c>
      <c r="I83" s="0" t="n">
        <v>245440</v>
      </c>
      <c r="J83" s="1" t="s">
        <v>2615</v>
      </c>
      <c r="K83" s="1" t="s">
        <v>1208</v>
      </c>
    </row>
    <row r="84" customFormat="false" ht="13.5" hidden="false" customHeight="false" outlineLevel="0" collapsed="false">
      <c r="A84" s="0" t="s">
        <v>49</v>
      </c>
      <c r="B84" s="0" t="s">
        <v>2244</v>
      </c>
      <c r="C84" s="0" t="n">
        <v>7010</v>
      </c>
      <c r="D84" s="0" t="s">
        <v>699</v>
      </c>
      <c r="E84" s="0" t="s">
        <v>436</v>
      </c>
      <c r="F84" s="233" t="n">
        <v>46327</v>
      </c>
      <c r="G84" s="1" t="s">
        <v>809</v>
      </c>
      <c r="H84" s="0" t="n">
        <v>20453.3333333333</v>
      </c>
      <c r="I84" s="0" t="n">
        <v>245440</v>
      </c>
      <c r="J84" s="1" t="s">
        <v>2615</v>
      </c>
      <c r="K84" s="1" t="s">
        <v>1208</v>
      </c>
    </row>
    <row r="85" customFormat="false" ht="13.5" hidden="false" customHeight="false" outlineLevel="0" collapsed="false">
      <c r="A85" s="0" t="s">
        <v>49</v>
      </c>
      <c r="B85" s="0" t="s">
        <v>2244</v>
      </c>
      <c r="C85" s="0" t="n">
        <v>7010</v>
      </c>
      <c r="D85" s="0" t="s">
        <v>699</v>
      </c>
      <c r="E85" s="0" t="s">
        <v>436</v>
      </c>
      <c r="F85" s="233" t="n">
        <v>46357</v>
      </c>
      <c r="G85" s="1" t="s">
        <v>810</v>
      </c>
      <c r="H85" s="0" t="n">
        <v>20453.3333333333</v>
      </c>
      <c r="I85" s="0" t="n">
        <v>245440</v>
      </c>
      <c r="J85" s="1" t="s">
        <v>2615</v>
      </c>
      <c r="K85" s="1" t="s">
        <v>1208</v>
      </c>
    </row>
    <row r="86" customFormat="false" ht="13.5" hidden="false" customHeight="false" outlineLevel="0" collapsed="false">
      <c r="A86" s="0" t="s">
        <v>49</v>
      </c>
      <c r="B86" s="0" t="s">
        <v>2244</v>
      </c>
      <c r="C86" s="0" t="n">
        <v>7020</v>
      </c>
      <c r="D86" s="0" t="s">
        <v>701</v>
      </c>
      <c r="E86" s="0" t="s">
        <v>436</v>
      </c>
      <c r="F86" s="233" t="n">
        <v>46023</v>
      </c>
      <c r="G86" s="1" t="s">
        <v>799</v>
      </c>
      <c r="H86" s="0" t="n">
        <v>4720</v>
      </c>
      <c r="I86" s="0" t="n">
        <v>56640</v>
      </c>
      <c r="J86" s="1" t="s">
        <v>2615</v>
      </c>
      <c r="K86" s="1" t="s">
        <v>1208</v>
      </c>
    </row>
    <row r="87" customFormat="false" ht="13.5" hidden="false" customHeight="false" outlineLevel="0" collapsed="false">
      <c r="A87" s="0" t="s">
        <v>49</v>
      </c>
      <c r="B87" s="0" t="s">
        <v>2244</v>
      </c>
      <c r="C87" s="0" t="n">
        <v>7020</v>
      </c>
      <c r="D87" s="0" t="s">
        <v>701</v>
      </c>
      <c r="E87" s="0" t="s">
        <v>436</v>
      </c>
      <c r="F87" s="233" t="n">
        <v>46054</v>
      </c>
      <c r="G87" s="1" t="s">
        <v>800</v>
      </c>
      <c r="H87" s="0" t="n">
        <v>4720</v>
      </c>
      <c r="I87" s="0" t="n">
        <v>56640</v>
      </c>
      <c r="J87" s="1" t="s">
        <v>2615</v>
      </c>
      <c r="K87" s="1" t="s">
        <v>1208</v>
      </c>
    </row>
    <row r="88" customFormat="false" ht="13.5" hidden="false" customHeight="false" outlineLevel="0" collapsed="false">
      <c r="A88" s="0" t="s">
        <v>49</v>
      </c>
      <c r="B88" s="0" t="s">
        <v>2244</v>
      </c>
      <c r="C88" s="0" t="n">
        <v>7020</v>
      </c>
      <c r="D88" s="0" t="s">
        <v>701</v>
      </c>
      <c r="E88" s="0" t="s">
        <v>436</v>
      </c>
      <c r="F88" s="233" t="n">
        <v>46082</v>
      </c>
      <c r="G88" s="1" t="s">
        <v>801</v>
      </c>
      <c r="H88" s="0" t="n">
        <v>4720</v>
      </c>
      <c r="I88" s="0" t="n">
        <v>56640</v>
      </c>
      <c r="J88" s="1" t="s">
        <v>2615</v>
      </c>
      <c r="K88" s="1" t="s">
        <v>1208</v>
      </c>
    </row>
    <row r="89" customFormat="false" ht="13.5" hidden="false" customHeight="false" outlineLevel="0" collapsed="false">
      <c r="A89" s="0" t="s">
        <v>49</v>
      </c>
      <c r="B89" s="0" t="s">
        <v>2244</v>
      </c>
      <c r="C89" s="0" t="n">
        <v>7020</v>
      </c>
      <c r="D89" s="0" t="s">
        <v>701</v>
      </c>
      <c r="E89" s="0" t="s">
        <v>436</v>
      </c>
      <c r="F89" s="233" t="n">
        <v>46113</v>
      </c>
      <c r="G89" s="1" t="s">
        <v>802</v>
      </c>
      <c r="H89" s="0" t="n">
        <v>4720</v>
      </c>
      <c r="I89" s="0" t="n">
        <v>56640</v>
      </c>
      <c r="J89" s="1" t="s">
        <v>2615</v>
      </c>
      <c r="K89" s="1" t="s">
        <v>1208</v>
      </c>
    </row>
    <row r="90" customFormat="false" ht="13.5" hidden="false" customHeight="false" outlineLevel="0" collapsed="false">
      <c r="A90" s="0" t="s">
        <v>49</v>
      </c>
      <c r="B90" s="0" t="s">
        <v>2244</v>
      </c>
      <c r="C90" s="0" t="n">
        <v>7020</v>
      </c>
      <c r="D90" s="0" t="s">
        <v>701</v>
      </c>
      <c r="E90" s="0" t="s">
        <v>436</v>
      </c>
      <c r="F90" s="233" t="n">
        <v>46143</v>
      </c>
      <c r="G90" s="1" t="s">
        <v>803</v>
      </c>
      <c r="H90" s="0" t="n">
        <v>4720</v>
      </c>
      <c r="I90" s="0" t="n">
        <v>56640</v>
      </c>
      <c r="J90" s="1" t="s">
        <v>2615</v>
      </c>
      <c r="K90" s="1" t="s">
        <v>1208</v>
      </c>
    </row>
    <row r="91" customFormat="false" ht="13.5" hidden="false" customHeight="false" outlineLevel="0" collapsed="false">
      <c r="A91" s="0" t="s">
        <v>49</v>
      </c>
      <c r="B91" s="0" t="s">
        <v>2244</v>
      </c>
      <c r="C91" s="0" t="n">
        <v>7020</v>
      </c>
      <c r="D91" s="0" t="s">
        <v>701</v>
      </c>
      <c r="E91" s="0" t="s">
        <v>436</v>
      </c>
      <c r="F91" s="233" t="n">
        <v>46174</v>
      </c>
      <c r="G91" s="1" t="s">
        <v>804</v>
      </c>
      <c r="H91" s="0" t="n">
        <v>4720</v>
      </c>
      <c r="I91" s="0" t="n">
        <v>56640</v>
      </c>
      <c r="J91" s="1" t="s">
        <v>2615</v>
      </c>
      <c r="K91" s="1" t="s">
        <v>1208</v>
      </c>
    </row>
    <row r="92" customFormat="false" ht="13.5" hidden="false" customHeight="false" outlineLevel="0" collapsed="false">
      <c r="A92" s="0" t="s">
        <v>49</v>
      </c>
      <c r="B92" s="0" t="s">
        <v>2244</v>
      </c>
      <c r="C92" s="0" t="n">
        <v>7020</v>
      </c>
      <c r="D92" s="0" t="s">
        <v>701</v>
      </c>
      <c r="E92" s="0" t="s">
        <v>436</v>
      </c>
      <c r="F92" s="233" t="n">
        <v>46204</v>
      </c>
      <c r="G92" s="1" t="s">
        <v>805</v>
      </c>
      <c r="H92" s="0" t="n">
        <v>4720</v>
      </c>
      <c r="I92" s="0" t="n">
        <v>56640</v>
      </c>
      <c r="J92" s="1" t="s">
        <v>2615</v>
      </c>
      <c r="K92" s="1" t="s">
        <v>1208</v>
      </c>
    </row>
    <row r="93" customFormat="false" ht="13.5" hidden="false" customHeight="false" outlineLevel="0" collapsed="false">
      <c r="A93" s="0" t="s">
        <v>49</v>
      </c>
      <c r="B93" s="0" t="s">
        <v>2244</v>
      </c>
      <c r="C93" s="0" t="n">
        <v>7020</v>
      </c>
      <c r="D93" s="0" t="s">
        <v>701</v>
      </c>
      <c r="E93" s="0" t="s">
        <v>436</v>
      </c>
      <c r="F93" s="233" t="n">
        <v>46235</v>
      </c>
      <c r="G93" s="1" t="s">
        <v>806</v>
      </c>
      <c r="H93" s="0" t="n">
        <v>4720</v>
      </c>
      <c r="I93" s="0" t="n">
        <v>56640</v>
      </c>
      <c r="J93" s="1" t="s">
        <v>2615</v>
      </c>
      <c r="K93" s="1" t="s">
        <v>1208</v>
      </c>
    </row>
    <row r="94" customFormat="false" ht="13.5" hidden="false" customHeight="false" outlineLevel="0" collapsed="false">
      <c r="A94" s="0" t="s">
        <v>49</v>
      </c>
      <c r="B94" s="0" t="s">
        <v>2244</v>
      </c>
      <c r="C94" s="0" t="n">
        <v>7020</v>
      </c>
      <c r="D94" s="0" t="s">
        <v>701</v>
      </c>
      <c r="E94" s="0" t="s">
        <v>436</v>
      </c>
      <c r="F94" s="233" t="n">
        <v>46266</v>
      </c>
      <c r="G94" s="1" t="s">
        <v>2616</v>
      </c>
      <c r="H94" s="0" t="n">
        <v>4720</v>
      </c>
      <c r="I94" s="0" t="n">
        <v>56640</v>
      </c>
      <c r="J94" s="1" t="s">
        <v>2615</v>
      </c>
      <c r="K94" s="1" t="s">
        <v>1208</v>
      </c>
    </row>
    <row r="95" customFormat="false" ht="13.5" hidden="false" customHeight="false" outlineLevel="0" collapsed="false">
      <c r="A95" s="0" t="s">
        <v>49</v>
      </c>
      <c r="B95" s="0" t="s">
        <v>2244</v>
      </c>
      <c r="C95" s="0" t="n">
        <v>7020</v>
      </c>
      <c r="D95" s="0" t="s">
        <v>701</v>
      </c>
      <c r="E95" s="0" t="s">
        <v>436</v>
      </c>
      <c r="F95" s="233" t="n">
        <v>46296</v>
      </c>
      <c r="G95" s="1" t="s">
        <v>808</v>
      </c>
      <c r="H95" s="0" t="n">
        <v>4720</v>
      </c>
      <c r="I95" s="0" t="n">
        <v>56640</v>
      </c>
      <c r="J95" s="1" t="s">
        <v>2615</v>
      </c>
      <c r="K95" s="1" t="s">
        <v>1208</v>
      </c>
    </row>
    <row r="96" customFormat="false" ht="13.5" hidden="false" customHeight="false" outlineLevel="0" collapsed="false">
      <c r="A96" s="0" t="s">
        <v>49</v>
      </c>
      <c r="B96" s="0" t="s">
        <v>2244</v>
      </c>
      <c r="C96" s="0" t="n">
        <v>7020</v>
      </c>
      <c r="D96" s="0" t="s">
        <v>701</v>
      </c>
      <c r="E96" s="0" t="s">
        <v>436</v>
      </c>
      <c r="F96" s="233" t="n">
        <v>46327</v>
      </c>
      <c r="G96" s="1" t="s">
        <v>809</v>
      </c>
      <c r="H96" s="0" t="n">
        <v>4720</v>
      </c>
      <c r="I96" s="0" t="n">
        <v>56640</v>
      </c>
      <c r="J96" s="1" t="s">
        <v>2615</v>
      </c>
      <c r="K96" s="1" t="s">
        <v>1208</v>
      </c>
    </row>
    <row r="97" customFormat="false" ht="13.5" hidden="false" customHeight="false" outlineLevel="0" collapsed="false">
      <c r="A97" s="0" t="s">
        <v>49</v>
      </c>
      <c r="B97" s="0" t="s">
        <v>2244</v>
      </c>
      <c r="C97" s="0" t="n">
        <v>7020</v>
      </c>
      <c r="D97" s="0" t="s">
        <v>701</v>
      </c>
      <c r="E97" s="0" t="s">
        <v>436</v>
      </c>
      <c r="F97" s="233" t="n">
        <v>46357</v>
      </c>
      <c r="G97" s="1" t="s">
        <v>810</v>
      </c>
      <c r="H97" s="0" t="n">
        <v>4720</v>
      </c>
      <c r="I97" s="0" t="n">
        <v>56640</v>
      </c>
      <c r="J97" s="1" t="s">
        <v>2615</v>
      </c>
      <c r="K97" s="1" t="s">
        <v>1208</v>
      </c>
    </row>
    <row r="98" customFormat="false" ht="13.5" hidden="false" customHeight="false" outlineLevel="0" collapsed="false">
      <c r="A98" s="0" t="s">
        <v>49</v>
      </c>
      <c r="B98" s="0" t="s">
        <v>2244</v>
      </c>
      <c r="C98" s="0" t="n">
        <v>7030</v>
      </c>
      <c r="D98" s="0" t="s">
        <v>703</v>
      </c>
      <c r="E98" s="0" t="s">
        <v>436</v>
      </c>
      <c r="F98" s="233" t="n">
        <v>46023</v>
      </c>
      <c r="G98" s="1" t="s">
        <v>799</v>
      </c>
      <c r="H98" s="0" t="n">
        <v>7050</v>
      </c>
      <c r="I98" s="0" t="n">
        <v>84600</v>
      </c>
      <c r="J98" s="1" t="s">
        <v>2615</v>
      </c>
      <c r="K98" s="1" t="s">
        <v>1208</v>
      </c>
    </row>
    <row r="99" customFormat="false" ht="13.5" hidden="false" customHeight="false" outlineLevel="0" collapsed="false">
      <c r="A99" s="0" t="s">
        <v>49</v>
      </c>
      <c r="B99" s="0" t="s">
        <v>2244</v>
      </c>
      <c r="C99" s="0" t="n">
        <v>7030</v>
      </c>
      <c r="D99" s="0" t="s">
        <v>703</v>
      </c>
      <c r="E99" s="0" t="s">
        <v>436</v>
      </c>
      <c r="F99" s="233" t="n">
        <v>46054</v>
      </c>
      <c r="G99" s="1" t="s">
        <v>800</v>
      </c>
      <c r="H99" s="0" t="n">
        <v>7050</v>
      </c>
      <c r="I99" s="0" t="n">
        <v>84600</v>
      </c>
      <c r="J99" s="1" t="s">
        <v>2615</v>
      </c>
      <c r="K99" s="1" t="s">
        <v>1208</v>
      </c>
    </row>
    <row r="100" customFormat="false" ht="13.5" hidden="false" customHeight="false" outlineLevel="0" collapsed="false">
      <c r="A100" s="0" t="s">
        <v>49</v>
      </c>
      <c r="B100" s="0" t="s">
        <v>2244</v>
      </c>
      <c r="C100" s="0" t="n">
        <v>7030</v>
      </c>
      <c r="D100" s="0" t="s">
        <v>703</v>
      </c>
      <c r="E100" s="0" t="s">
        <v>436</v>
      </c>
      <c r="F100" s="233" t="n">
        <v>46082</v>
      </c>
      <c r="G100" s="1" t="s">
        <v>801</v>
      </c>
      <c r="H100" s="0" t="n">
        <v>7050</v>
      </c>
      <c r="I100" s="0" t="n">
        <v>84600</v>
      </c>
      <c r="J100" s="1" t="s">
        <v>2615</v>
      </c>
      <c r="K100" s="1" t="s">
        <v>1208</v>
      </c>
    </row>
    <row r="101" customFormat="false" ht="13.5" hidden="false" customHeight="false" outlineLevel="0" collapsed="false">
      <c r="A101" s="0" t="s">
        <v>49</v>
      </c>
      <c r="B101" s="0" t="s">
        <v>2244</v>
      </c>
      <c r="C101" s="0" t="n">
        <v>7030</v>
      </c>
      <c r="D101" s="0" t="s">
        <v>703</v>
      </c>
      <c r="E101" s="0" t="s">
        <v>436</v>
      </c>
      <c r="F101" s="233" t="n">
        <v>46113</v>
      </c>
      <c r="G101" s="1" t="s">
        <v>802</v>
      </c>
      <c r="H101" s="0" t="n">
        <v>7050</v>
      </c>
      <c r="I101" s="0" t="n">
        <v>84600</v>
      </c>
      <c r="J101" s="1" t="s">
        <v>2615</v>
      </c>
      <c r="K101" s="1" t="s">
        <v>1208</v>
      </c>
    </row>
    <row r="102" customFormat="false" ht="13.5" hidden="false" customHeight="false" outlineLevel="0" collapsed="false">
      <c r="A102" s="0" t="s">
        <v>49</v>
      </c>
      <c r="B102" s="0" t="s">
        <v>2244</v>
      </c>
      <c r="C102" s="0" t="n">
        <v>7030</v>
      </c>
      <c r="D102" s="0" t="s">
        <v>703</v>
      </c>
      <c r="E102" s="0" t="s">
        <v>436</v>
      </c>
      <c r="F102" s="233" t="n">
        <v>46143</v>
      </c>
      <c r="G102" s="1" t="s">
        <v>803</v>
      </c>
      <c r="H102" s="0" t="n">
        <v>7050</v>
      </c>
      <c r="I102" s="0" t="n">
        <v>84600</v>
      </c>
      <c r="J102" s="1" t="s">
        <v>2615</v>
      </c>
      <c r="K102" s="1" t="s">
        <v>1208</v>
      </c>
    </row>
    <row r="103" customFormat="false" ht="13.5" hidden="false" customHeight="false" outlineLevel="0" collapsed="false">
      <c r="A103" s="0" t="s">
        <v>49</v>
      </c>
      <c r="B103" s="0" t="s">
        <v>2244</v>
      </c>
      <c r="C103" s="0" t="n">
        <v>7030</v>
      </c>
      <c r="D103" s="0" t="s">
        <v>703</v>
      </c>
      <c r="E103" s="0" t="s">
        <v>436</v>
      </c>
      <c r="F103" s="233" t="n">
        <v>46174</v>
      </c>
      <c r="G103" s="1" t="s">
        <v>804</v>
      </c>
      <c r="H103" s="0" t="n">
        <v>7050</v>
      </c>
      <c r="I103" s="0" t="n">
        <v>84600</v>
      </c>
      <c r="J103" s="1" t="s">
        <v>2615</v>
      </c>
      <c r="K103" s="1" t="s">
        <v>1208</v>
      </c>
    </row>
    <row r="104" customFormat="false" ht="13.5" hidden="false" customHeight="false" outlineLevel="0" collapsed="false">
      <c r="A104" s="0" t="s">
        <v>49</v>
      </c>
      <c r="B104" s="0" t="s">
        <v>2244</v>
      </c>
      <c r="C104" s="0" t="n">
        <v>7030</v>
      </c>
      <c r="D104" s="0" t="s">
        <v>703</v>
      </c>
      <c r="E104" s="0" t="s">
        <v>436</v>
      </c>
      <c r="F104" s="233" t="n">
        <v>46204</v>
      </c>
      <c r="G104" s="1" t="s">
        <v>805</v>
      </c>
      <c r="H104" s="0" t="n">
        <v>7050</v>
      </c>
      <c r="I104" s="0" t="n">
        <v>84600</v>
      </c>
      <c r="J104" s="1" t="s">
        <v>2615</v>
      </c>
      <c r="K104" s="1" t="s">
        <v>1208</v>
      </c>
    </row>
    <row r="105" customFormat="false" ht="13.5" hidden="false" customHeight="false" outlineLevel="0" collapsed="false">
      <c r="A105" s="0" t="s">
        <v>49</v>
      </c>
      <c r="B105" s="0" t="s">
        <v>2244</v>
      </c>
      <c r="C105" s="0" t="n">
        <v>7030</v>
      </c>
      <c r="D105" s="0" t="s">
        <v>703</v>
      </c>
      <c r="E105" s="0" t="s">
        <v>436</v>
      </c>
      <c r="F105" s="233" t="n">
        <v>46235</v>
      </c>
      <c r="G105" s="1" t="s">
        <v>806</v>
      </c>
      <c r="H105" s="0" t="n">
        <v>7050</v>
      </c>
      <c r="I105" s="0" t="n">
        <v>84600</v>
      </c>
      <c r="J105" s="1" t="s">
        <v>2615</v>
      </c>
      <c r="K105" s="1" t="s">
        <v>1208</v>
      </c>
    </row>
    <row r="106" customFormat="false" ht="13.5" hidden="false" customHeight="false" outlineLevel="0" collapsed="false">
      <c r="A106" s="0" t="s">
        <v>49</v>
      </c>
      <c r="B106" s="0" t="s">
        <v>2244</v>
      </c>
      <c r="C106" s="0" t="n">
        <v>7030</v>
      </c>
      <c r="D106" s="0" t="s">
        <v>703</v>
      </c>
      <c r="E106" s="0" t="s">
        <v>436</v>
      </c>
      <c r="F106" s="233" t="n">
        <v>46266</v>
      </c>
      <c r="G106" s="1" t="s">
        <v>2616</v>
      </c>
      <c r="H106" s="0" t="n">
        <v>7050</v>
      </c>
      <c r="I106" s="0" t="n">
        <v>84600</v>
      </c>
      <c r="J106" s="1" t="s">
        <v>2615</v>
      </c>
      <c r="K106" s="1" t="s">
        <v>1208</v>
      </c>
    </row>
    <row r="107" customFormat="false" ht="13.5" hidden="false" customHeight="false" outlineLevel="0" collapsed="false">
      <c r="A107" s="0" t="s">
        <v>49</v>
      </c>
      <c r="B107" s="0" t="s">
        <v>2244</v>
      </c>
      <c r="C107" s="0" t="n">
        <v>7030</v>
      </c>
      <c r="D107" s="0" t="s">
        <v>703</v>
      </c>
      <c r="E107" s="0" t="s">
        <v>436</v>
      </c>
      <c r="F107" s="233" t="n">
        <v>46296</v>
      </c>
      <c r="G107" s="1" t="s">
        <v>808</v>
      </c>
      <c r="H107" s="0" t="n">
        <v>7050</v>
      </c>
      <c r="I107" s="0" t="n">
        <v>84600</v>
      </c>
      <c r="J107" s="1" t="s">
        <v>2615</v>
      </c>
      <c r="K107" s="1" t="s">
        <v>1208</v>
      </c>
    </row>
    <row r="108" customFormat="false" ht="13.5" hidden="false" customHeight="false" outlineLevel="0" collapsed="false">
      <c r="A108" s="0" t="s">
        <v>49</v>
      </c>
      <c r="B108" s="0" t="s">
        <v>2244</v>
      </c>
      <c r="C108" s="0" t="n">
        <v>7030</v>
      </c>
      <c r="D108" s="0" t="s">
        <v>703</v>
      </c>
      <c r="E108" s="0" t="s">
        <v>436</v>
      </c>
      <c r="F108" s="233" t="n">
        <v>46327</v>
      </c>
      <c r="G108" s="1" t="s">
        <v>809</v>
      </c>
      <c r="H108" s="0" t="n">
        <v>7050</v>
      </c>
      <c r="I108" s="0" t="n">
        <v>84600</v>
      </c>
      <c r="J108" s="1" t="s">
        <v>2615</v>
      </c>
      <c r="K108" s="1" t="s">
        <v>1208</v>
      </c>
    </row>
    <row r="109" customFormat="false" ht="13.5" hidden="false" customHeight="false" outlineLevel="0" collapsed="false">
      <c r="A109" s="0" t="s">
        <v>49</v>
      </c>
      <c r="B109" s="0" t="s">
        <v>2244</v>
      </c>
      <c r="C109" s="0" t="n">
        <v>7030</v>
      </c>
      <c r="D109" s="0" t="s">
        <v>703</v>
      </c>
      <c r="E109" s="0" t="s">
        <v>436</v>
      </c>
      <c r="F109" s="233" t="n">
        <v>46357</v>
      </c>
      <c r="G109" s="1" t="s">
        <v>810</v>
      </c>
      <c r="H109" s="0" t="n">
        <v>7050</v>
      </c>
      <c r="I109" s="0" t="n">
        <v>84600</v>
      </c>
      <c r="J109" s="1" t="s">
        <v>2615</v>
      </c>
      <c r="K109" s="1" t="s">
        <v>1208</v>
      </c>
    </row>
    <row r="110" customFormat="false" ht="13.5" hidden="false" customHeight="false" outlineLevel="0" collapsed="false">
      <c r="A110" s="0" t="s">
        <v>49</v>
      </c>
      <c r="B110" s="0" t="s">
        <v>2244</v>
      </c>
      <c r="C110" s="0" t="n">
        <v>7100</v>
      </c>
      <c r="D110" s="0" t="s">
        <v>1865</v>
      </c>
      <c r="E110" s="0" t="s">
        <v>437</v>
      </c>
      <c r="F110" s="233" t="n">
        <v>46023</v>
      </c>
      <c r="G110" s="1" t="s">
        <v>799</v>
      </c>
      <c r="H110" s="0" t="n">
        <v>25125</v>
      </c>
      <c r="I110" s="0" t="n">
        <v>301500</v>
      </c>
      <c r="J110" s="1" t="s">
        <v>2615</v>
      </c>
      <c r="K110" s="1" t="s">
        <v>1208</v>
      </c>
    </row>
    <row r="111" customFormat="false" ht="13.5" hidden="false" customHeight="false" outlineLevel="0" collapsed="false">
      <c r="A111" s="0" t="s">
        <v>49</v>
      </c>
      <c r="B111" s="0" t="s">
        <v>2244</v>
      </c>
      <c r="C111" s="0" t="n">
        <v>7100</v>
      </c>
      <c r="D111" s="0" t="s">
        <v>1865</v>
      </c>
      <c r="E111" s="0" t="s">
        <v>437</v>
      </c>
      <c r="F111" s="233" t="n">
        <v>46054</v>
      </c>
      <c r="G111" s="1" t="s">
        <v>800</v>
      </c>
      <c r="H111" s="0" t="n">
        <v>25125</v>
      </c>
      <c r="I111" s="0" t="n">
        <v>301500</v>
      </c>
      <c r="J111" s="1" t="s">
        <v>2615</v>
      </c>
      <c r="K111" s="1" t="s">
        <v>1208</v>
      </c>
    </row>
    <row r="112" customFormat="false" ht="13.5" hidden="false" customHeight="false" outlineLevel="0" collapsed="false">
      <c r="A112" s="0" t="s">
        <v>49</v>
      </c>
      <c r="B112" s="0" t="s">
        <v>2244</v>
      </c>
      <c r="C112" s="0" t="n">
        <v>7100</v>
      </c>
      <c r="D112" s="0" t="s">
        <v>1865</v>
      </c>
      <c r="E112" s="0" t="s">
        <v>437</v>
      </c>
      <c r="F112" s="233" t="n">
        <v>46082</v>
      </c>
      <c r="G112" s="1" t="s">
        <v>801</v>
      </c>
      <c r="H112" s="0" t="n">
        <v>25125</v>
      </c>
      <c r="I112" s="0" t="n">
        <v>301500</v>
      </c>
      <c r="J112" s="1" t="s">
        <v>2615</v>
      </c>
      <c r="K112" s="1" t="s">
        <v>1208</v>
      </c>
    </row>
    <row r="113" customFormat="false" ht="13.5" hidden="false" customHeight="false" outlineLevel="0" collapsed="false">
      <c r="A113" s="0" t="s">
        <v>49</v>
      </c>
      <c r="B113" s="0" t="s">
        <v>2244</v>
      </c>
      <c r="C113" s="0" t="n">
        <v>7100</v>
      </c>
      <c r="D113" s="0" t="s">
        <v>1865</v>
      </c>
      <c r="E113" s="0" t="s">
        <v>437</v>
      </c>
      <c r="F113" s="233" t="n">
        <v>46113</v>
      </c>
      <c r="G113" s="1" t="s">
        <v>802</v>
      </c>
      <c r="H113" s="0" t="n">
        <v>25125</v>
      </c>
      <c r="I113" s="0" t="n">
        <v>301500</v>
      </c>
      <c r="J113" s="1" t="s">
        <v>2615</v>
      </c>
      <c r="K113" s="1" t="s">
        <v>1208</v>
      </c>
    </row>
    <row r="114" customFormat="false" ht="13.5" hidden="false" customHeight="false" outlineLevel="0" collapsed="false">
      <c r="A114" s="0" t="s">
        <v>49</v>
      </c>
      <c r="B114" s="0" t="s">
        <v>2244</v>
      </c>
      <c r="C114" s="0" t="n">
        <v>7100</v>
      </c>
      <c r="D114" s="0" t="s">
        <v>1865</v>
      </c>
      <c r="E114" s="0" t="s">
        <v>437</v>
      </c>
      <c r="F114" s="233" t="n">
        <v>46143</v>
      </c>
      <c r="G114" s="1" t="s">
        <v>803</v>
      </c>
      <c r="H114" s="0" t="n">
        <v>25125</v>
      </c>
      <c r="I114" s="0" t="n">
        <v>301500</v>
      </c>
      <c r="J114" s="1" t="s">
        <v>2615</v>
      </c>
      <c r="K114" s="1" t="s">
        <v>1208</v>
      </c>
    </row>
    <row r="115" customFormat="false" ht="13.5" hidden="false" customHeight="false" outlineLevel="0" collapsed="false">
      <c r="A115" s="0" t="s">
        <v>49</v>
      </c>
      <c r="B115" s="0" t="s">
        <v>2244</v>
      </c>
      <c r="C115" s="0" t="n">
        <v>7100</v>
      </c>
      <c r="D115" s="0" t="s">
        <v>1865</v>
      </c>
      <c r="E115" s="0" t="s">
        <v>437</v>
      </c>
      <c r="F115" s="233" t="n">
        <v>46174</v>
      </c>
      <c r="G115" s="1" t="s">
        <v>804</v>
      </c>
      <c r="H115" s="0" t="n">
        <v>25125</v>
      </c>
      <c r="I115" s="0" t="n">
        <v>301500</v>
      </c>
      <c r="J115" s="1" t="s">
        <v>2615</v>
      </c>
      <c r="K115" s="1" t="s">
        <v>1208</v>
      </c>
    </row>
    <row r="116" customFormat="false" ht="13.5" hidden="false" customHeight="false" outlineLevel="0" collapsed="false">
      <c r="A116" s="0" t="s">
        <v>49</v>
      </c>
      <c r="B116" s="0" t="s">
        <v>2244</v>
      </c>
      <c r="C116" s="0" t="n">
        <v>7100</v>
      </c>
      <c r="D116" s="0" t="s">
        <v>1865</v>
      </c>
      <c r="E116" s="0" t="s">
        <v>437</v>
      </c>
      <c r="F116" s="233" t="n">
        <v>46204</v>
      </c>
      <c r="G116" s="1" t="s">
        <v>805</v>
      </c>
      <c r="H116" s="0" t="n">
        <v>25125</v>
      </c>
      <c r="I116" s="0" t="n">
        <v>301500</v>
      </c>
      <c r="J116" s="1" t="s">
        <v>2615</v>
      </c>
      <c r="K116" s="1" t="s">
        <v>1208</v>
      </c>
    </row>
    <row r="117" customFormat="false" ht="13.5" hidden="false" customHeight="false" outlineLevel="0" collapsed="false">
      <c r="A117" s="0" t="s">
        <v>49</v>
      </c>
      <c r="B117" s="0" t="s">
        <v>2244</v>
      </c>
      <c r="C117" s="0" t="n">
        <v>7100</v>
      </c>
      <c r="D117" s="0" t="s">
        <v>1865</v>
      </c>
      <c r="E117" s="0" t="s">
        <v>437</v>
      </c>
      <c r="F117" s="233" t="n">
        <v>46235</v>
      </c>
      <c r="G117" s="1" t="s">
        <v>806</v>
      </c>
      <c r="H117" s="0" t="n">
        <v>25125</v>
      </c>
      <c r="I117" s="0" t="n">
        <v>301500</v>
      </c>
      <c r="J117" s="1" t="s">
        <v>2615</v>
      </c>
      <c r="K117" s="1" t="s">
        <v>1208</v>
      </c>
    </row>
    <row r="118" customFormat="false" ht="13.5" hidden="false" customHeight="false" outlineLevel="0" collapsed="false">
      <c r="A118" s="0" t="s">
        <v>49</v>
      </c>
      <c r="B118" s="0" t="s">
        <v>2244</v>
      </c>
      <c r="C118" s="0" t="n">
        <v>7100</v>
      </c>
      <c r="D118" s="0" t="s">
        <v>1865</v>
      </c>
      <c r="E118" s="0" t="s">
        <v>437</v>
      </c>
      <c r="F118" s="233" t="n">
        <v>46266</v>
      </c>
      <c r="G118" s="1" t="s">
        <v>2616</v>
      </c>
      <c r="H118" s="0" t="n">
        <v>25125</v>
      </c>
      <c r="I118" s="0" t="n">
        <v>301500</v>
      </c>
      <c r="J118" s="1" t="s">
        <v>2615</v>
      </c>
      <c r="K118" s="1" t="s">
        <v>1208</v>
      </c>
    </row>
    <row r="119" customFormat="false" ht="13.5" hidden="false" customHeight="false" outlineLevel="0" collapsed="false">
      <c r="A119" s="0" t="s">
        <v>49</v>
      </c>
      <c r="B119" s="0" t="s">
        <v>2244</v>
      </c>
      <c r="C119" s="0" t="n">
        <v>7100</v>
      </c>
      <c r="D119" s="0" t="s">
        <v>1865</v>
      </c>
      <c r="E119" s="0" t="s">
        <v>437</v>
      </c>
      <c r="F119" s="233" t="n">
        <v>46296</v>
      </c>
      <c r="G119" s="1" t="s">
        <v>808</v>
      </c>
      <c r="H119" s="0" t="n">
        <v>25125</v>
      </c>
      <c r="I119" s="0" t="n">
        <v>301500</v>
      </c>
      <c r="J119" s="1" t="s">
        <v>2615</v>
      </c>
      <c r="K119" s="1" t="s">
        <v>1208</v>
      </c>
    </row>
    <row r="120" customFormat="false" ht="13.5" hidden="false" customHeight="false" outlineLevel="0" collapsed="false">
      <c r="A120" s="0" t="s">
        <v>49</v>
      </c>
      <c r="B120" s="0" t="s">
        <v>2244</v>
      </c>
      <c r="C120" s="0" t="n">
        <v>7100</v>
      </c>
      <c r="D120" s="0" t="s">
        <v>1865</v>
      </c>
      <c r="E120" s="0" t="s">
        <v>437</v>
      </c>
      <c r="F120" s="233" t="n">
        <v>46327</v>
      </c>
      <c r="G120" s="1" t="s">
        <v>809</v>
      </c>
      <c r="H120" s="0" t="n">
        <v>25125</v>
      </c>
      <c r="I120" s="0" t="n">
        <v>301500</v>
      </c>
      <c r="J120" s="1" t="s">
        <v>2615</v>
      </c>
      <c r="K120" s="1" t="s">
        <v>1208</v>
      </c>
    </row>
    <row r="121" customFormat="false" ht="13.5" hidden="false" customHeight="false" outlineLevel="0" collapsed="false">
      <c r="A121" s="0" t="s">
        <v>49</v>
      </c>
      <c r="B121" s="0" t="s">
        <v>2244</v>
      </c>
      <c r="C121" s="0" t="n">
        <v>7100</v>
      </c>
      <c r="D121" s="0" t="s">
        <v>1865</v>
      </c>
      <c r="E121" s="0" t="s">
        <v>437</v>
      </c>
      <c r="F121" s="233" t="n">
        <v>46357</v>
      </c>
      <c r="G121" s="1" t="s">
        <v>810</v>
      </c>
      <c r="H121" s="0" t="n">
        <v>25125</v>
      </c>
      <c r="I121" s="0" t="n">
        <v>301500</v>
      </c>
      <c r="J121" s="1" t="s">
        <v>2615</v>
      </c>
      <c r="K121" s="1" t="s">
        <v>1208</v>
      </c>
    </row>
    <row r="122" customFormat="false" ht="13.5" hidden="false" customHeight="false" outlineLevel="0" collapsed="false">
      <c r="A122" s="0" t="s">
        <v>49</v>
      </c>
      <c r="B122" s="0" t="s">
        <v>2244</v>
      </c>
      <c r="C122" s="0" t="n">
        <v>7110</v>
      </c>
      <c r="D122" s="0" t="s">
        <v>1866</v>
      </c>
      <c r="E122" s="0" t="s">
        <v>440</v>
      </c>
      <c r="F122" s="233" t="n">
        <v>46023</v>
      </c>
      <c r="G122" s="1" t="s">
        <v>799</v>
      </c>
      <c r="H122" s="0" t="n">
        <v>24166.6666666667</v>
      </c>
      <c r="I122" s="0" t="n">
        <v>290000</v>
      </c>
      <c r="J122" s="1" t="s">
        <v>2615</v>
      </c>
      <c r="K122" s="1" t="s">
        <v>1208</v>
      </c>
    </row>
    <row r="123" customFormat="false" ht="13.5" hidden="false" customHeight="false" outlineLevel="0" collapsed="false">
      <c r="A123" s="0" t="s">
        <v>49</v>
      </c>
      <c r="B123" s="0" t="s">
        <v>2244</v>
      </c>
      <c r="C123" s="0" t="n">
        <v>7110</v>
      </c>
      <c r="D123" s="0" t="s">
        <v>1866</v>
      </c>
      <c r="E123" s="0" t="s">
        <v>440</v>
      </c>
      <c r="F123" s="233" t="n">
        <v>46054</v>
      </c>
      <c r="G123" s="1" t="s">
        <v>800</v>
      </c>
      <c r="H123" s="0" t="n">
        <v>24166.6666666667</v>
      </c>
      <c r="I123" s="0" t="n">
        <v>290000</v>
      </c>
      <c r="J123" s="1" t="s">
        <v>2615</v>
      </c>
      <c r="K123" s="1" t="s">
        <v>1208</v>
      </c>
    </row>
    <row r="124" customFormat="false" ht="13.5" hidden="false" customHeight="false" outlineLevel="0" collapsed="false">
      <c r="A124" s="0" t="s">
        <v>49</v>
      </c>
      <c r="B124" s="0" t="s">
        <v>2244</v>
      </c>
      <c r="C124" s="0" t="n">
        <v>7110</v>
      </c>
      <c r="D124" s="0" t="s">
        <v>1866</v>
      </c>
      <c r="E124" s="0" t="s">
        <v>440</v>
      </c>
      <c r="F124" s="233" t="n">
        <v>46082</v>
      </c>
      <c r="G124" s="1" t="s">
        <v>801</v>
      </c>
      <c r="H124" s="0" t="n">
        <v>24166.6666666667</v>
      </c>
      <c r="I124" s="0" t="n">
        <v>290000</v>
      </c>
      <c r="J124" s="1" t="s">
        <v>2615</v>
      </c>
      <c r="K124" s="1" t="s">
        <v>1208</v>
      </c>
    </row>
    <row r="125" customFormat="false" ht="13.5" hidden="false" customHeight="false" outlineLevel="0" collapsed="false">
      <c r="A125" s="0" t="s">
        <v>49</v>
      </c>
      <c r="B125" s="0" t="s">
        <v>2244</v>
      </c>
      <c r="C125" s="0" t="n">
        <v>7110</v>
      </c>
      <c r="D125" s="0" t="s">
        <v>1866</v>
      </c>
      <c r="E125" s="0" t="s">
        <v>440</v>
      </c>
      <c r="F125" s="233" t="n">
        <v>46113</v>
      </c>
      <c r="G125" s="1" t="s">
        <v>802</v>
      </c>
      <c r="H125" s="0" t="n">
        <v>24166.6666666667</v>
      </c>
      <c r="I125" s="0" t="n">
        <v>290000</v>
      </c>
      <c r="J125" s="1" t="s">
        <v>2615</v>
      </c>
      <c r="K125" s="1" t="s">
        <v>1208</v>
      </c>
    </row>
    <row r="126" customFormat="false" ht="13.5" hidden="false" customHeight="false" outlineLevel="0" collapsed="false">
      <c r="A126" s="0" t="s">
        <v>49</v>
      </c>
      <c r="B126" s="0" t="s">
        <v>2244</v>
      </c>
      <c r="C126" s="0" t="n">
        <v>7110</v>
      </c>
      <c r="D126" s="0" t="s">
        <v>1866</v>
      </c>
      <c r="E126" s="0" t="s">
        <v>440</v>
      </c>
      <c r="F126" s="233" t="n">
        <v>46143</v>
      </c>
      <c r="G126" s="1" t="s">
        <v>803</v>
      </c>
      <c r="H126" s="0" t="n">
        <v>24166.6666666667</v>
      </c>
      <c r="I126" s="0" t="n">
        <v>290000</v>
      </c>
      <c r="J126" s="1" t="s">
        <v>2615</v>
      </c>
      <c r="K126" s="1" t="s">
        <v>1208</v>
      </c>
    </row>
    <row r="127" customFormat="false" ht="13.5" hidden="false" customHeight="false" outlineLevel="0" collapsed="false">
      <c r="A127" s="0" t="s">
        <v>49</v>
      </c>
      <c r="B127" s="0" t="s">
        <v>2244</v>
      </c>
      <c r="C127" s="0" t="n">
        <v>7110</v>
      </c>
      <c r="D127" s="0" t="s">
        <v>1866</v>
      </c>
      <c r="E127" s="0" t="s">
        <v>440</v>
      </c>
      <c r="F127" s="233" t="n">
        <v>46174</v>
      </c>
      <c r="G127" s="1" t="s">
        <v>804</v>
      </c>
      <c r="H127" s="0" t="n">
        <v>24166.6666666667</v>
      </c>
      <c r="I127" s="0" t="n">
        <v>290000</v>
      </c>
      <c r="J127" s="1" t="s">
        <v>2615</v>
      </c>
      <c r="K127" s="1" t="s">
        <v>1208</v>
      </c>
    </row>
    <row r="128" customFormat="false" ht="13.5" hidden="false" customHeight="false" outlineLevel="0" collapsed="false">
      <c r="A128" s="0" t="s">
        <v>49</v>
      </c>
      <c r="B128" s="0" t="s">
        <v>2244</v>
      </c>
      <c r="C128" s="0" t="n">
        <v>7110</v>
      </c>
      <c r="D128" s="0" t="s">
        <v>1866</v>
      </c>
      <c r="E128" s="0" t="s">
        <v>440</v>
      </c>
      <c r="F128" s="233" t="n">
        <v>46204</v>
      </c>
      <c r="G128" s="1" t="s">
        <v>805</v>
      </c>
      <c r="H128" s="0" t="n">
        <v>24166.6666666667</v>
      </c>
      <c r="I128" s="0" t="n">
        <v>290000</v>
      </c>
      <c r="J128" s="1" t="s">
        <v>2615</v>
      </c>
      <c r="K128" s="1" t="s">
        <v>1208</v>
      </c>
    </row>
    <row r="129" customFormat="false" ht="13.5" hidden="false" customHeight="false" outlineLevel="0" collapsed="false">
      <c r="A129" s="0" t="s">
        <v>49</v>
      </c>
      <c r="B129" s="0" t="s">
        <v>2244</v>
      </c>
      <c r="C129" s="0" t="n">
        <v>7110</v>
      </c>
      <c r="D129" s="0" t="s">
        <v>1866</v>
      </c>
      <c r="E129" s="0" t="s">
        <v>440</v>
      </c>
      <c r="F129" s="233" t="n">
        <v>46235</v>
      </c>
      <c r="G129" s="1" t="s">
        <v>806</v>
      </c>
      <c r="H129" s="0" t="n">
        <v>24166.6666666667</v>
      </c>
      <c r="I129" s="0" t="n">
        <v>290000</v>
      </c>
      <c r="J129" s="1" t="s">
        <v>2615</v>
      </c>
      <c r="K129" s="1" t="s">
        <v>1208</v>
      </c>
    </row>
    <row r="130" customFormat="false" ht="13.5" hidden="false" customHeight="false" outlineLevel="0" collapsed="false">
      <c r="A130" s="0" t="s">
        <v>49</v>
      </c>
      <c r="B130" s="0" t="s">
        <v>2244</v>
      </c>
      <c r="C130" s="0" t="n">
        <v>7110</v>
      </c>
      <c r="D130" s="0" t="s">
        <v>1866</v>
      </c>
      <c r="E130" s="0" t="s">
        <v>440</v>
      </c>
      <c r="F130" s="233" t="n">
        <v>46266</v>
      </c>
      <c r="G130" s="1" t="s">
        <v>2616</v>
      </c>
      <c r="H130" s="0" t="n">
        <v>24166.6666666667</v>
      </c>
      <c r="I130" s="0" t="n">
        <v>290000</v>
      </c>
      <c r="J130" s="1" t="s">
        <v>2615</v>
      </c>
      <c r="K130" s="1" t="s">
        <v>1208</v>
      </c>
    </row>
    <row r="131" customFormat="false" ht="13.5" hidden="false" customHeight="false" outlineLevel="0" collapsed="false">
      <c r="A131" s="0" t="s">
        <v>49</v>
      </c>
      <c r="B131" s="0" t="s">
        <v>2244</v>
      </c>
      <c r="C131" s="0" t="n">
        <v>7110</v>
      </c>
      <c r="D131" s="0" t="s">
        <v>1866</v>
      </c>
      <c r="E131" s="0" t="s">
        <v>440</v>
      </c>
      <c r="F131" s="233" t="n">
        <v>46296</v>
      </c>
      <c r="G131" s="1" t="s">
        <v>808</v>
      </c>
      <c r="H131" s="0" t="n">
        <v>24166.6666666667</v>
      </c>
      <c r="I131" s="0" t="n">
        <v>290000</v>
      </c>
      <c r="J131" s="1" t="s">
        <v>2615</v>
      </c>
      <c r="K131" s="1" t="s">
        <v>1208</v>
      </c>
    </row>
    <row r="132" customFormat="false" ht="13.5" hidden="false" customHeight="false" outlineLevel="0" collapsed="false">
      <c r="A132" s="0" t="s">
        <v>49</v>
      </c>
      <c r="B132" s="0" t="s">
        <v>2244</v>
      </c>
      <c r="C132" s="0" t="n">
        <v>7110</v>
      </c>
      <c r="D132" s="0" t="s">
        <v>1866</v>
      </c>
      <c r="E132" s="0" t="s">
        <v>440</v>
      </c>
      <c r="F132" s="233" t="n">
        <v>46327</v>
      </c>
      <c r="G132" s="1" t="s">
        <v>809</v>
      </c>
      <c r="H132" s="0" t="n">
        <v>24166.6666666667</v>
      </c>
      <c r="I132" s="0" t="n">
        <v>290000</v>
      </c>
      <c r="J132" s="1" t="s">
        <v>2615</v>
      </c>
      <c r="K132" s="1" t="s">
        <v>1208</v>
      </c>
    </row>
    <row r="133" customFormat="false" ht="13.5" hidden="false" customHeight="false" outlineLevel="0" collapsed="false">
      <c r="A133" s="0" t="s">
        <v>49</v>
      </c>
      <c r="B133" s="0" t="s">
        <v>2244</v>
      </c>
      <c r="C133" s="0" t="n">
        <v>7110</v>
      </c>
      <c r="D133" s="0" t="s">
        <v>1866</v>
      </c>
      <c r="E133" s="0" t="s">
        <v>440</v>
      </c>
      <c r="F133" s="233" t="n">
        <v>46357</v>
      </c>
      <c r="G133" s="1" t="s">
        <v>810</v>
      </c>
      <c r="H133" s="0" t="n">
        <v>24166.6666666667</v>
      </c>
      <c r="I133" s="0" t="n">
        <v>290000</v>
      </c>
      <c r="J133" s="1" t="s">
        <v>2615</v>
      </c>
      <c r="K133" s="1" t="s">
        <v>1208</v>
      </c>
    </row>
    <row r="134" customFormat="false" ht="13.5" hidden="false" customHeight="false" outlineLevel="0" collapsed="false">
      <c r="A134" s="0" t="s">
        <v>49</v>
      </c>
      <c r="B134" s="0" t="s">
        <v>2244</v>
      </c>
      <c r="C134" s="0" t="n">
        <v>7119</v>
      </c>
      <c r="D134" s="0" t="s">
        <v>1867</v>
      </c>
      <c r="E134" s="0" t="s">
        <v>438</v>
      </c>
      <c r="F134" s="233" t="n">
        <v>46023</v>
      </c>
      <c r="G134" s="1" t="s">
        <v>799</v>
      </c>
      <c r="H134" s="0" t="n">
        <v>11070.6425</v>
      </c>
      <c r="I134" s="0" t="n">
        <v>132847.71</v>
      </c>
      <c r="J134" s="1" t="s">
        <v>2615</v>
      </c>
      <c r="K134" s="1" t="s">
        <v>1208</v>
      </c>
    </row>
    <row r="135" customFormat="false" ht="13.5" hidden="false" customHeight="false" outlineLevel="0" collapsed="false">
      <c r="A135" s="0" t="s">
        <v>49</v>
      </c>
      <c r="B135" s="0" t="s">
        <v>2244</v>
      </c>
      <c r="C135" s="0" t="n">
        <v>7119</v>
      </c>
      <c r="D135" s="0" t="s">
        <v>1867</v>
      </c>
      <c r="E135" s="0" t="s">
        <v>438</v>
      </c>
      <c r="F135" s="233" t="n">
        <v>46054</v>
      </c>
      <c r="G135" s="1" t="s">
        <v>800</v>
      </c>
      <c r="H135" s="0" t="n">
        <v>11070.6425</v>
      </c>
      <c r="I135" s="0" t="n">
        <v>132847.71</v>
      </c>
      <c r="J135" s="1" t="s">
        <v>2615</v>
      </c>
      <c r="K135" s="1" t="s">
        <v>1208</v>
      </c>
    </row>
    <row r="136" customFormat="false" ht="13.5" hidden="false" customHeight="false" outlineLevel="0" collapsed="false">
      <c r="A136" s="0" t="s">
        <v>49</v>
      </c>
      <c r="B136" s="0" t="s">
        <v>2244</v>
      </c>
      <c r="C136" s="0" t="n">
        <v>7119</v>
      </c>
      <c r="D136" s="0" t="s">
        <v>1867</v>
      </c>
      <c r="E136" s="0" t="s">
        <v>438</v>
      </c>
      <c r="F136" s="233" t="n">
        <v>46082</v>
      </c>
      <c r="G136" s="1" t="s">
        <v>801</v>
      </c>
      <c r="H136" s="0" t="n">
        <v>11070.6425</v>
      </c>
      <c r="I136" s="0" t="n">
        <v>132847.71</v>
      </c>
      <c r="J136" s="1" t="s">
        <v>2615</v>
      </c>
      <c r="K136" s="1" t="s">
        <v>1208</v>
      </c>
    </row>
    <row r="137" customFormat="false" ht="13.5" hidden="false" customHeight="false" outlineLevel="0" collapsed="false">
      <c r="A137" s="0" t="s">
        <v>49</v>
      </c>
      <c r="B137" s="0" t="s">
        <v>2244</v>
      </c>
      <c r="C137" s="0" t="n">
        <v>7119</v>
      </c>
      <c r="D137" s="0" t="s">
        <v>1867</v>
      </c>
      <c r="E137" s="0" t="s">
        <v>438</v>
      </c>
      <c r="F137" s="233" t="n">
        <v>46113</v>
      </c>
      <c r="G137" s="1" t="s">
        <v>802</v>
      </c>
      <c r="H137" s="0" t="n">
        <v>11070.6425</v>
      </c>
      <c r="I137" s="0" t="n">
        <v>132847.71</v>
      </c>
      <c r="J137" s="1" t="s">
        <v>2615</v>
      </c>
      <c r="K137" s="1" t="s">
        <v>1208</v>
      </c>
    </row>
    <row r="138" customFormat="false" ht="13.5" hidden="false" customHeight="false" outlineLevel="0" collapsed="false">
      <c r="A138" s="0" t="s">
        <v>49</v>
      </c>
      <c r="B138" s="0" t="s">
        <v>2244</v>
      </c>
      <c r="C138" s="0" t="n">
        <v>7119</v>
      </c>
      <c r="D138" s="0" t="s">
        <v>1867</v>
      </c>
      <c r="E138" s="0" t="s">
        <v>438</v>
      </c>
      <c r="F138" s="233" t="n">
        <v>46143</v>
      </c>
      <c r="G138" s="1" t="s">
        <v>803</v>
      </c>
      <c r="H138" s="0" t="n">
        <v>11070.6425</v>
      </c>
      <c r="I138" s="0" t="n">
        <v>132847.71</v>
      </c>
      <c r="J138" s="1" t="s">
        <v>2615</v>
      </c>
      <c r="K138" s="1" t="s">
        <v>1208</v>
      </c>
    </row>
    <row r="139" customFormat="false" ht="13.5" hidden="false" customHeight="false" outlineLevel="0" collapsed="false">
      <c r="A139" s="0" t="s">
        <v>49</v>
      </c>
      <c r="B139" s="0" t="s">
        <v>2244</v>
      </c>
      <c r="C139" s="0" t="n">
        <v>7119</v>
      </c>
      <c r="D139" s="0" t="s">
        <v>1867</v>
      </c>
      <c r="E139" s="0" t="s">
        <v>438</v>
      </c>
      <c r="F139" s="233" t="n">
        <v>46174</v>
      </c>
      <c r="G139" s="1" t="s">
        <v>804</v>
      </c>
      <c r="H139" s="0" t="n">
        <v>11070.6425</v>
      </c>
      <c r="I139" s="0" t="n">
        <v>132847.71</v>
      </c>
      <c r="J139" s="1" t="s">
        <v>2615</v>
      </c>
      <c r="K139" s="1" t="s">
        <v>1208</v>
      </c>
    </row>
    <row r="140" customFormat="false" ht="13.5" hidden="false" customHeight="false" outlineLevel="0" collapsed="false">
      <c r="A140" s="0" t="s">
        <v>49</v>
      </c>
      <c r="B140" s="0" t="s">
        <v>2244</v>
      </c>
      <c r="C140" s="0" t="n">
        <v>7119</v>
      </c>
      <c r="D140" s="0" t="s">
        <v>1867</v>
      </c>
      <c r="E140" s="0" t="s">
        <v>438</v>
      </c>
      <c r="F140" s="233" t="n">
        <v>46204</v>
      </c>
      <c r="G140" s="1" t="s">
        <v>805</v>
      </c>
      <c r="H140" s="0" t="n">
        <v>11070.6425</v>
      </c>
      <c r="I140" s="0" t="n">
        <v>132847.71</v>
      </c>
      <c r="J140" s="1" t="s">
        <v>2615</v>
      </c>
      <c r="K140" s="1" t="s">
        <v>1208</v>
      </c>
    </row>
    <row r="141" customFormat="false" ht="13.5" hidden="false" customHeight="false" outlineLevel="0" collapsed="false">
      <c r="A141" s="0" t="s">
        <v>49</v>
      </c>
      <c r="B141" s="0" t="s">
        <v>2244</v>
      </c>
      <c r="C141" s="0" t="n">
        <v>7119</v>
      </c>
      <c r="D141" s="0" t="s">
        <v>1867</v>
      </c>
      <c r="E141" s="0" t="s">
        <v>438</v>
      </c>
      <c r="F141" s="233" t="n">
        <v>46235</v>
      </c>
      <c r="G141" s="1" t="s">
        <v>806</v>
      </c>
      <c r="H141" s="0" t="n">
        <v>11070.6425</v>
      </c>
      <c r="I141" s="0" t="n">
        <v>132847.71</v>
      </c>
      <c r="J141" s="1" t="s">
        <v>2615</v>
      </c>
      <c r="K141" s="1" t="s">
        <v>1208</v>
      </c>
    </row>
    <row r="142" customFormat="false" ht="13.5" hidden="false" customHeight="false" outlineLevel="0" collapsed="false">
      <c r="A142" s="0" t="s">
        <v>49</v>
      </c>
      <c r="B142" s="0" t="s">
        <v>2244</v>
      </c>
      <c r="C142" s="0" t="n">
        <v>7119</v>
      </c>
      <c r="D142" s="0" t="s">
        <v>1867</v>
      </c>
      <c r="E142" s="0" t="s">
        <v>438</v>
      </c>
      <c r="F142" s="233" t="n">
        <v>46266</v>
      </c>
      <c r="G142" s="1" t="s">
        <v>2616</v>
      </c>
      <c r="H142" s="0" t="n">
        <v>11070.6425</v>
      </c>
      <c r="I142" s="0" t="n">
        <v>132847.71</v>
      </c>
      <c r="J142" s="1" t="s">
        <v>2615</v>
      </c>
      <c r="K142" s="1" t="s">
        <v>1208</v>
      </c>
    </row>
    <row r="143" customFormat="false" ht="13.5" hidden="false" customHeight="false" outlineLevel="0" collapsed="false">
      <c r="A143" s="0" t="s">
        <v>49</v>
      </c>
      <c r="B143" s="0" t="s">
        <v>2244</v>
      </c>
      <c r="C143" s="0" t="n">
        <v>7119</v>
      </c>
      <c r="D143" s="0" t="s">
        <v>1867</v>
      </c>
      <c r="E143" s="0" t="s">
        <v>438</v>
      </c>
      <c r="F143" s="233" t="n">
        <v>46296</v>
      </c>
      <c r="G143" s="1" t="s">
        <v>808</v>
      </c>
      <c r="H143" s="0" t="n">
        <v>11070.6425</v>
      </c>
      <c r="I143" s="0" t="n">
        <v>132847.71</v>
      </c>
      <c r="J143" s="1" t="s">
        <v>2615</v>
      </c>
      <c r="K143" s="1" t="s">
        <v>1208</v>
      </c>
    </row>
    <row r="144" customFormat="false" ht="13.5" hidden="false" customHeight="false" outlineLevel="0" collapsed="false">
      <c r="A144" s="0" t="s">
        <v>49</v>
      </c>
      <c r="B144" s="0" t="s">
        <v>2244</v>
      </c>
      <c r="C144" s="0" t="n">
        <v>7119</v>
      </c>
      <c r="D144" s="0" t="s">
        <v>1867</v>
      </c>
      <c r="E144" s="0" t="s">
        <v>438</v>
      </c>
      <c r="F144" s="233" t="n">
        <v>46327</v>
      </c>
      <c r="G144" s="1" t="s">
        <v>809</v>
      </c>
      <c r="H144" s="0" t="n">
        <v>11070.6425</v>
      </c>
      <c r="I144" s="0" t="n">
        <v>132847.71</v>
      </c>
      <c r="J144" s="1" t="s">
        <v>2615</v>
      </c>
      <c r="K144" s="1" t="s">
        <v>1208</v>
      </c>
    </row>
    <row r="145" customFormat="false" ht="13.5" hidden="false" customHeight="false" outlineLevel="0" collapsed="false">
      <c r="A145" s="0" t="s">
        <v>49</v>
      </c>
      <c r="B145" s="0" t="s">
        <v>2244</v>
      </c>
      <c r="C145" s="0" t="n">
        <v>7119</v>
      </c>
      <c r="D145" s="0" t="s">
        <v>1867</v>
      </c>
      <c r="E145" s="0" t="s">
        <v>438</v>
      </c>
      <c r="F145" s="233" t="n">
        <v>46357</v>
      </c>
      <c r="G145" s="1" t="s">
        <v>810</v>
      </c>
      <c r="H145" s="0" t="n">
        <v>11070.6425</v>
      </c>
      <c r="I145" s="0" t="n">
        <v>132847.71</v>
      </c>
      <c r="J145" s="1" t="s">
        <v>2615</v>
      </c>
      <c r="K145" s="1" t="s">
        <v>1208</v>
      </c>
    </row>
    <row r="146" customFormat="false" ht="13.5" hidden="false" customHeight="false" outlineLevel="0" collapsed="false">
      <c r="A146" s="0" t="s">
        <v>49</v>
      </c>
      <c r="B146" s="0" t="s">
        <v>2244</v>
      </c>
      <c r="C146" s="0" t="n">
        <v>7120</v>
      </c>
      <c r="D146" s="0" t="s">
        <v>707</v>
      </c>
      <c r="E146" s="0" t="s">
        <v>438</v>
      </c>
      <c r="F146" s="233" t="n">
        <v>46023</v>
      </c>
      <c r="G146" s="1" t="s">
        <v>799</v>
      </c>
      <c r="H146" s="0" t="n">
        <v>7666.66666666667</v>
      </c>
      <c r="I146" s="0" t="n">
        <v>92000</v>
      </c>
      <c r="J146" s="1" t="s">
        <v>2615</v>
      </c>
      <c r="K146" s="1" t="s">
        <v>1208</v>
      </c>
    </row>
    <row r="147" customFormat="false" ht="13.5" hidden="false" customHeight="false" outlineLevel="0" collapsed="false">
      <c r="A147" s="0" t="s">
        <v>49</v>
      </c>
      <c r="B147" s="0" t="s">
        <v>2244</v>
      </c>
      <c r="C147" s="0" t="n">
        <v>7120</v>
      </c>
      <c r="D147" s="0" t="s">
        <v>707</v>
      </c>
      <c r="E147" s="0" t="s">
        <v>438</v>
      </c>
      <c r="F147" s="233" t="n">
        <v>46054</v>
      </c>
      <c r="G147" s="1" t="s">
        <v>800</v>
      </c>
      <c r="H147" s="0" t="n">
        <v>7666.66666666667</v>
      </c>
      <c r="I147" s="0" t="n">
        <v>92000</v>
      </c>
      <c r="J147" s="1" t="s">
        <v>2615</v>
      </c>
      <c r="K147" s="1" t="s">
        <v>1208</v>
      </c>
    </row>
    <row r="148" customFormat="false" ht="13.5" hidden="false" customHeight="false" outlineLevel="0" collapsed="false">
      <c r="A148" s="0" t="s">
        <v>49</v>
      </c>
      <c r="B148" s="0" t="s">
        <v>2244</v>
      </c>
      <c r="C148" s="0" t="n">
        <v>7120</v>
      </c>
      <c r="D148" s="0" t="s">
        <v>707</v>
      </c>
      <c r="E148" s="0" t="s">
        <v>438</v>
      </c>
      <c r="F148" s="233" t="n">
        <v>46082</v>
      </c>
      <c r="G148" s="1" t="s">
        <v>801</v>
      </c>
      <c r="H148" s="0" t="n">
        <v>7666.66666666667</v>
      </c>
      <c r="I148" s="0" t="n">
        <v>92000</v>
      </c>
      <c r="J148" s="1" t="s">
        <v>2615</v>
      </c>
      <c r="K148" s="1" t="s">
        <v>1208</v>
      </c>
    </row>
    <row r="149" customFormat="false" ht="13.5" hidden="false" customHeight="false" outlineLevel="0" collapsed="false">
      <c r="A149" s="0" t="s">
        <v>49</v>
      </c>
      <c r="B149" s="0" t="s">
        <v>2244</v>
      </c>
      <c r="C149" s="0" t="n">
        <v>7120</v>
      </c>
      <c r="D149" s="0" t="s">
        <v>707</v>
      </c>
      <c r="E149" s="0" t="s">
        <v>438</v>
      </c>
      <c r="F149" s="233" t="n">
        <v>46113</v>
      </c>
      <c r="G149" s="1" t="s">
        <v>802</v>
      </c>
      <c r="H149" s="0" t="n">
        <v>7666.66666666667</v>
      </c>
      <c r="I149" s="0" t="n">
        <v>92000</v>
      </c>
      <c r="J149" s="1" t="s">
        <v>2615</v>
      </c>
      <c r="K149" s="1" t="s">
        <v>1208</v>
      </c>
    </row>
    <row r="150" customFormat="false" ht="13.5" hidden="false" customHeight="false" outlineLevel="0" collapsed="false">
      <c r="A150" s="0" t="s">
        <v>49</v>
      </c>
      <c r="B150" s="0" t="s">
        <v>2244</v>
      </c>
      <c r="C150" s="0" t="n">
        <v>7120</v>
      </c>
      <c r="D150" s="0" t="s">
        <v>707</v>
      </c>
      <c r="E150" s="0" t="s">
        <v>438</v>
      </c>
      <c r="F150" s="233" t="n">
        <v>46143</v>
      </c>
      <c r="G150" s="1" t="s">
        <v>803</v>
      </c>
      <c r="H150" s="0" t="n">
        <v>7666.66666666667</v>
      </c>
      <c r="I150" s="0" t="n">
        <v>92000</v>
      </c>
      <c r="J150" s="1" t="s">
        <v>2615</v>
      </c>
      <c r="K150" s="1" t="s">
        <v>1208</v>
      </c>
    </row>
    <row r="151" customFormat="false" ht="13.5" hidden="false" customHeight="false" outlineLevel="0" collapsed="false">
      <c r="A151" s="0" t="s">
        <v>49</v>
      </c>
      <c r="B151" s="0" t="s">
        <v>2244</v>
      </c>
      <c r="C151" s="0" t="n">
        <v>7120</v>
      </c>
      <c r="D151" s="0" t="s">
        <v>707</v>
      </c>
      <c r="E151" s="0" t="s">
        <v>438</v>
      </c>
      <c r="F151" s="233" t="n">
        <v>46174</v>
      </c>
      <c r="G151" s="1" t="s">
        <v>804</v>
      </c>
      <c r="H151" s="0" t="n">
        <v>7666.66666666667</v>
      </c>
      <c r="I151" s="0" t="n">
        <v>92000</v>
      </c>
      <c r="J151" s="1" t="s">
        <v>2615</v>
      </c>
      <c r="K151" s="1" t="s">
        <v>1208</v>
      </c>
    </row>
    <row r="152" customFormat="false" ht="13.5" hidden="false" customHeight="false" outlineLevel="0" collapsed="false">
      <c r="A152" s="0" t="s">
        <v>49</v>
      </c>
      <c r="B152" s="0" t="s">
        <v>2244</v>
      </c>
      <c r="C152" s="0" t="n">
        <v>7120</v>
      </c>
      <c r="D152" s="0" t="s">
        <v>707</v>
      </c>
      <c r="E152" s="0" t="s">
        <v>438</v>
      </c>
      <c r="F152" s="233" t="n">
        <v>46204</v>
      </c>
      <c r="G152" s="1" t="s">
        <v>805</v>
      </c>
      <c r="H152" s="0" t="n">
        <v>7666.66666666667</v>
      </c>
      <c r="I152" s="0" t="n">
        <v>92000</v>
      </c>
      <c r="J152" s="1" t="s">
        <v>2615</v>
      </c>
      <c r="K152" s="1" t="s">
        <v>1208</v>
      </c>
    </row>
    <row r="153" customFormat="false" ht="13.5" hidden="false" customHeight="false" outlineLevel="0" collapsed="false">
      <c r="A153" s="0" t="s">
        <v>49</v>
      </c>
      <c r="B153" s="0" t="s">
        <v>2244</v>
      </c>
      <c r="C153" s="0" t="n">
        <v>7120</v>
      </c>
      <c r="D153" s="0" t="s">
        <v>707</v>
      </c>
      <c r="E153" s="0" t="s">
        <v>438</v>
      </c>
      <c r="F153" s="233" t="n">
        <v>46235</v>
      </c>
      <c r="G153" s="1" t="s">
        <v>806</v>
      </c>
      <c r="H153" s="0" t="n">
        <v>7666.66666666667</v>
      </c>
      <c r="I153" s="0" t="n">
        <v>92000</v>
      </c>
      <c r="J153" s="1" t="s">
        <v>2615</v>
      </c>
      <c r="K153" s="1" t="s">
        <v>1208</v>
      </c>
    </row>
    <row r="154" customFormat="false" ht="13.5" hidden="false" customHeight="false" outlineLevel="0" collapsed="false">
      <c r="A154" s="0" t="s">
        <v>49</v>
      </c>
      <c r="B154" s="0" t="s">
        <v>2244</v>
      </c>
      <c r="C154" s="0" t="n">
        <v>7120</v>
      </c>
      <c r="D154" s="0" t="s">
        <v>707</v>
      </c>
      <c r="E154" s="0" t="s">
        <v>438</v>
      </c>
      <c r="F154" s="233" t="n">
        <v>46266</v>
      </c>
      <c r="G154" s="1" t="s">
        <v>2616</v>
      </c>
      <c r="H154" s="0" t="n">
        <v>7666.66666666667</v>
      </c>
      <c r="I154" s="0" t="n">
        <v>92000</v>
      </c>
      <c r="J154" s="1" t="s">
        <v>2615</v>
      </c>
      <c r="K154" s="1" t="s">
        <v>1208</v>
      </c>
    </row>
    <row r="155" customFormat="false" ht="13.5" hidden="false" customHeight="false" outlineLevel="0" collapsed="false">
      <c r="A155" s="0" t="s">
        <v>49</v>
      </c>
      <c r="B155" s="0" t="s">
        <v>2244</v>
      </c>
      <c r="C155" s="0" t="n">
        <v>7120</v>
      </c>
      <c r="D155" s="0" t="s">
        <v>707</v>
      </c>
      <c r="E155" s="0" t="s">
        <v>438</v>
      </c>
      <c r="F155" s="233" t="n">
        <v>46296</v>
      </c>
      <c r="G155" s="1" t="s">
        <v>808</v>
      </c>
      <c r="H155" s="0" t="n">
        <v>7666.66666666667</v>
      </c>
      <c r="I155" s="0" t="n">
        <v>92000</v>
      </c>
      <c r="J155" s="1" t="s">
        <v>2615</v>
      </c>
      <c r="K155" s="1" t="s">
        <v>1208</v>
      </c>
    </row>
    <row r="156" customFormat="false" ht="13.5" hidden="false" customHeight="false" outlineLevel="0" collapsed="false">
      <c r="A156" s="0" t="s">
        <v>49</v>
      </c>
      <c r="B156" s="0" t="s">
        <v>2244</v>
      </c>
      <c r="C156" s="0" t="n">
        <v>7120</v>
      </c>
      <c r="D156" s="0" t="s">
        <v>707</v>
      </c>
      <c r="E156" s="0" t="s">
        <v>438</v>
      </c>
      <c r="F156" s="233" t="n">
        <v>46327</v>
      </c>
      <c r="G156" s="1" t="s">
        <v>809</v>
      </c>
      <c r="H156" s="0" t="n">
        <v>7666.66666666667</v>
      </c>
      <c r="I156" s="0" t="n">
        <v>92000</v>
      </c>
      <c r="J156" s="1" t="s">
        <v>2615</v>
      </c>
      <c r="K156" s="1" t="s">
        <v>1208</v>
      </c>
    </row>
    <row r="157" customFormat="false" ht="13.5" hidden="false" customHeight="false" outlineLevel="0" collapsed="false">
      <c r="A157" s="0" t="s">
        <v>49</v>
      </c>
      <c r="B157" s="0" t="s">
        <v>2244</v>
      </c>
      <c r="C157" s="0" t="n">
        <v>7120</v>
      </c>
      <c r="D157" s="0" t="s">
        <v>707</v>
      </c>
      <c r="E157" s="0" t="s">
        <v>438</v>
      </c>
      <c r="F157" s="233" t="n">
        <v>46357</v>
      </c>
      <c r="G157" s="1" t="s">
        <v>810</v>
      </c>
      <c r="H157" s="0" t="n">
        <v>7666.66666666667</v>
      </c>
      <c r="I157" s="0" t="n">
        <v>92000</v>
      </c>
      <c r="J157" s="1" t="s">
        <v>2615</v>
      </c>
      <c r="K157" s="1" t="s">
        <v>1208</v>
      </c>
    </row>
    <row r="158" customFormat="false" ht="13.5" hidden="false" customHeight="false" outlineLevel="0" collapsed="false">
      <c r="A158" s="0" t="s">
        <v>49</v>
      </c>
      <c r="B158" s="0" t="s">
        <v>2244</v>
      </c>
      <c r="C158" s="0" t="n">
        <v>7123</v>
      </c>
      <c r="D158" s="0" t="s">
        <v>709</v>
      </c>
      <c r="E158" s="0" t="s">
        <v>438</v>
      </c>
      <c r="F158" s="233" t="n">
        <v>46023</v>
      </c>
      <c r="G158" s="1" t="s">
        <v>799</v>
      </c>
      <c r="H158" s="0" t="n">
        <v>39345</v>
      </c>
      <c r="I158" s="0" t="n">
        <v>472140</v>
      </c>
      <c r="J158" s="1" t="s">
        <v>2615</v>
      </c>
      <c r="K158" s="1" t="s">
        <v>1208</v>
      </c>
    </row>
    <row r="159" customFormat="false" ht="13.5" hidden="false" customHeight="false" outlineLevel="0" collapsed="false">
      <c r="A159" s="0" t="s">
        <v>49</v>
      </c>
      <c r="B159" s="0" t="s">
        <v>2244</v>
      </c>
      <c r="C159" s="0" t="n">
        <v>7123</v>
      </c>
      <c r="D159" s="0" t="s">
        <v>709</v>
      </c>
      <c r="E159" s="0" t="s">
        <v>438</v>
      </c>
      <c r="F159" s="233" t="n">
        <v>46054</v>
      </c>
      <c r="G159" s="1" t="s">
        <v>800</v>
      </c>
      <c r="H159" s="0" t="n">
        <v>39345</v>
      </c>
      <c r="I159" s="0" t="n">
        <v>472140</v>
      </c>
      <c r="J159" s="1" t="s">
        <v>2615</v>
      </c>
      <c r="K159" s="1" t="s">
        <v>1208</v>
      </c>
    </row>
    <row r="160" customFormat="false" ht="13.5" hidden="false" customHeight="false" outlineLevel="0" collapsed="false">
      <c r="A160" s="0" t="s">
        <v>49</v>
      </c>
      <c r="B160" s="0" t="s">
        <v>2244</v>
      </c>
      <c r="C160" s="0" t="n">
        <v>7123</v>
      </c>
      <c r="D160" s="0" t="s">
        <v>709</v>
      </c>
      <c r="E160" s="0" t="s">
        <v>438</v>
      </c>
      <c r="F160" s="233" t="n">
        <v>46082</v>
      </c>
      <c r="G160" s="1" t="s">
        <v>801</v>
      </c>
      <c r="H160" s="0" t="n">
        <v>39345</v>
      </c>
      <c r="I160" s="0" t="n">
        <v>472140</v>
      </c>
      <c r="J160" s="1" t="s">
        <v>2615</v>
      </c>
      <c r="K160" s="1" t="s">
        <v>1208</v>
      </c>
    </row>
    <row r="161" customFormat="false" ht="13.5" hidden="false" customHeight="false" outlineLevel="0" collapsed="false">
      <c r="A161" s="0" t="s">
        <v>49</v>
      </c>
      <c r="B161" s="0" t="s">
        <v>2244</v>
      </c>
      <c r="C161" s="0" t="n">
        <v>7123</v>
      </c>
      <c r="D161" s="0" t="s">
        <v>709</v>
      </c>
      <c r="E161" s="0" t="s">
        <v>438</v>
      </c>
      <c r="F161" s="233" t="n">
        <v>46113</v>
      </c>
      <c r="G161" s="1" t="s">
        <v>802</v>
      </c>
      <c r="H161" s="0" t="n">
        <v>39345</v>
      </c>
      <c r="I161" s="0" t="n">
        <v>472140</v>
      </c>
      <c r="J161" s="1" t="s">
        <v>2615</v>
      </c>
      <c r="K161" s="1" t="s">
        <v>1208</v>
      </c>
    </row>
    <row r="162" customFormat="false" ht="13.5" hidden="false" customHeight="false" outlineLevel="0" collapsed="false">
      <c r="A162" s="0" t="s">
        <v>49</v>
      </c>
      <c r="B162" s="0" t="s">
        <v>2244</v>
      </c>
      <c r="C162" s="0" t="n">
        <v>7123</v>
      </c>
      <c r="D162" s="0" t="s">
        <v>709</v>
      </c>
      <c r="E162" s="0" t="s">
        <v>438</v>
      </c>
      <c r="F162" s="233" t="n">
        <v>46143</v>
      </c>
      <c r="G162" s="1" t="s">
        <v>803</v>
      </c>
      <c r="H162" s="0" t="n">
        <v>39345</v>
      </c>
      <c r="I162" s="0" t="n">
        <v>472140</v>
      </c>
      <c r="J162" s="1" t="s">
        <v>2615</v>
      </c>
      <c r="K162" s="1" t="s">
        <v>1208</v>
      </c>
    </row>
    <row r="163" customFormat="false" ht="13.5" hidden="false" customHeight="false" outlineLevel="0" collapsed="false">
      <c r="A163" s="0" t="s">
        <v>49</v>
      </c>
      <c r="B163" s="0" t="s">
        <v>2244</v>
      </c>
      <c r="C163" s="0" t="n">
        <v>7123</v>
      </c>
      <c r="D163" s="0" t="s">
        <v>709</v>
      </c>
      <c r="E163" s="0" t="s">
        <v>438</v>
      </c>
      <c r="F163" s="233" t="n">
        <v>46174</v>
      </c>
      <c r="G163" s="1" t="s">
        <v>804</v>
      </c>
      <c r="H163" s="0" t="n">
        <v>39345</v>
      </c>
      <c r="I163" s="0" t="n">
        <v>472140</v>
      </c>
      <c r="J163" s="1" t="s">
        <v>2615</v>
      </c>
      <c r="K163" s="1" t="s">
        <v>1208</v>
      </c>
    </row>
    <row r="164" customFormat="false" ht="13.5" hidden="false" customHeight="false" outlineLevel="0" collapsed="false">
      <c r="A164" s="0" t="s">
        <v>49</v>
      </c>
      <c r="B164" s="0" t="s">
        <v>2244</v>
      </c>
      <c r="C164" s="0" t="n">
        <v>7123</v>
      </c>
      <c r="D164" s="0" t="s">
        <v>709</v>
      </c>
      <c r="E164" s="0" t="s">
        <v>438</v>
      </c>
      <c r="F164" s="233" t="n">
        <v>46204</v>
      </c>
      <c r="G164" s="1" t="s">
        <v>805</v>
      </c>
      <c r="H164" s="0" t="n">
        <v>39345</v>
      </c>
      <c r="I164" s="0" t="n">
        <v>472140</v>
      </c>
      <c r="J164" s="1" t="s">
        <v>2615</v>
      </c>
      <c r="K164" s="1" t="s">
        <v>1208</v>
      </c>
    </row>
    <row r="165" customFormat="false" ht="13.5" hidden="false" customHeight="false" outlineLevel="0" collapsed="false">
      <c r="A165" s="0" t="s">
        <v>49</v>
      </c>
      <c r="B165" s="0" t="s">
        <v>2244</v>
      </c>
      <c r="C165" s="0" t="n">
        <v>7123</v>
      </c>
      <c r="D165" s="0" t="s">
        <v>709</v>
      </c>
      <c r="E165" s="0" t="s">
        <v>438</v>
      </c>
      <c r="F165" s="233" t="n">
        <v>46235</v>
      </c>
      <c r="G165" s="1" t="s">
        <v>806</v>
      </c>
      <c r="H165" s="0" t="n">
        <v>39345</v>
      </c>
      <c r="I165" s="0" t="n">
        <v>472140</v>
      </c>
      <c r="J165" s="1" t="s">
        <v>2615</v>
      </c>
      <c r="K165" s="1" t="s">
        <v>1208</v>
      </c>
    </row>
    <row r="166" customFormat="false" ht="13.5" hidden="false" customHeight="false" outlineLevel="0" collapsed="false">
      <c r="A166" s="0" t="s">
        <v>49</v>
      </c>
      <c r="B166" s="0" t="s">
        <v>2244</v>
      </c>
      <c r="C166" s="0" t="n">
        <v>7123</v>
      </c>
      <c r="D166" s="0" t="s">
        <v>709</v>
      </c>
      <c r="E166" s="0" t="s">
        <v>438</v>
      </c>
      <c r="F166" s="233" t="n">
        <v>46266</v>
      </c>
      <c r="G166" s="1" t="s">
        <v>2616</v>
      </c>
      <c r="H166" s="0" t="n">
        <v>39345</v>
      </c>
      <c r="I166" s="0" t="n">
        <v>472140</v>
      </c>
      <c r="J166" s="1" t="s">
        <v>2615</v>
      </c>
      <c r="K166" s="1" t="s">
        <v>1208</v>
      </c>
    </row>
    <row r="167" customFormat="false" ht="13.5" hidden="false" customHeight="false" outlineLevel="0" collapsed="false">
      <c r="A167" s="0" t="s">
        <v>49</v>
      </c>
      <c r="B167" s="0" t="s">
        <v>2244</v>
      </c>
      <c r="C167" s="0" t="n">
        <v>7123</v>
      </c>
      <c r="D167" s="0" t="s">
        <v>709</v>
      </c>
      <c r="E167" s="0" t="s">
        <v>438</v>
      </c>
      <c r="F167" s="233" t="n">
        <v>46296</v>
      </c>
      <c r="G167" s="1" t="s">
        <v>808</v>
      </c>
      <c r="H167" s="0" t="n">
        <v>39345</v>
      </c>
      <c r="I167" s="0" t="n">
        <v>472140</v>
      </c>
      <c r="J167" s="1" t="s">
        <v>2615</v>
      </c>
      <c r="K167" s="1" t="s">
        <v>1208</v>
      </c>
    </row>
    <row r="168" customFormat="false" ht="13.5" hidden="false" customHeight="false" outlineLevel="0" collapsed="false">
      <c r="A168" s="0" t="s">
        <v>49</v>
      </c>
      <c r="B168" s="0" t="s">
        <v>2244</v>
      </c>
      <c r="C168" s="0" t="n">
        <v>7123</v>
      </c>
      <c r="D168" s="0" t="s">
        <v>709</v>
      </c>
      <c r="E168" s="0" t="s">
        <v>438</v>
      </c>
      <c r="F168" s="233" t="n">
        <v>46327</v>
      </c>
      <c r="G168" s="1" t="s">
        <v>809</v>
      </c>
      <c r="H168" s="0" t="n">
        <v>39345</v>
      </c>
      <c r="I168" s="0" t="n">
        <v>472140</v>
      </c>
      <c r="J168" s="1" t="s">
        <v>2615</v>
      </c>
      <c r="K168" s="1" t="s">
        <v>1208</v>
      </c>
    </row>
    <row r="169" customFormat="false" ht="13.5" hidden="false" customHeight="false" outlineLevel="0" collapsed="false">
      <c r="A169" s="0" t="s">
        <v>49</v>
      </c>
      <c r="B169" s="0" t="s">
        <v>2244</v>
      </c>
      <c r="C169" s="0" t="n">
        <v>7123</v>
      </c>
      <c r="D169" s="0" t="s">
        <v>709</v>
      </c>
      <c r="E169" s="0" t="s">
        <v>438</v>
      </c>
      <c r="F169" s="233" t="n">
        <v>46357</v>
      </c>
      <c r="G169" s="1" t="s">
        <v>810</v>
      </c>
      <c r="H169" s="0" t="n">
        <v>39345</v>
      </c>
      <c r="I169" s="0" t="n">
        <v>472140</v>
      </c>
      <c r="J169" s="1" t="s">
        <v>2615</v>
      </c>
      <c r="K169" s="1" t="s">
        <v>1208</v>
      </c>
    </row>
    <row r="170" customFormat="false" ht="13.5" hidden="false" customHeight="false" outlineLevel="0" collapsed="false">
      <c r="A170" s="0" t="s">
        <v>49</v>
      </c>
      <c r="B170" s="0" t="s">
        <v>2244</v>
      </c>
      <c r="C170" s="0" t="n">
        <v>7124</v>
      </c>
      <c r="D170" s="0" t="s">
        <v>711</v>
      </c>
      <c r="E170" s="0" t="s">
        <v>438</v>
      </c>
      <c r="F170" s="233" t="n">
        <v>46023</v>
      </c>
      <c r="G170" s="1" t="s">
        <v>799</v>
      </c>
      <c r="H170" s="0" t="n">
        <v>14158.3333333333</v>
      </c>
      <c r="I170" s="0" t="n">
        <v>169900</v>
      </c>
      <c r="J170" s="1" t="s">
        <v>2615</v>
      </c>
      <c r="K170" s="1" t="s">
        <v>1208</v>
      </c>
    </row>
    <row r="171" customFormat="false" ht="13.5" hidden="false" customHeight="false" outlineLevel="0" collapsed="false">
      <c r="A171" s="0" t="s">
        <v>49</v>
      </c>
      <c r="B171" s="0" t="s">
        <v>2244</v>
      </c>
      <c r="C171" s="0" t="n">
        <v>7124</v>
      </c>
      <c r="D171" s="0" t="s">
        <v>711</v>
      </c>
      <c r="E171" s="0" t="s">
        <v>438</v>
      </c>
      <c r="F171" s="233" t="n">
        <v>46054</v>
      </c>
      <c r="G171" s="1" t="s">
        <v>800</v>
      </c>
      <c r="H171" s="0" t="n">
        <v>14158.3333333333</v>
      </c>
      <c r="I171" s="0" t="n">
        <v>169900</v>
      </c>
      <c r="J171" s="1" t="s">
        <v>2615</v>
      </c>
      <c r="K171" s="1" t="s">
        <v>1208</v>
      </c>
    </row>
    <row r="172" customFormat="false" ht="13.5" hidden="false" customHeight="false" outlineLevel="0" collapsed="false">
      <c r="A172" s="0" t="s">
        <v>49</v>
      </c>
      <c r="B172" s="0" t="s">
        <v>2244</v>
      </c>
      <c r="C172" s="0" t="n">
        <v>7124</v>
      </c>
      <c r="D172" s="0" t="s">
        <v>711</v>
      </c>
      <c r="E172" s="0" t="s">
        <v>438</v>
      </c>
      <c r="F172" s="233" t="n">
        <v>46082</v>
      </c>
      <c r="G172" s="1" t="s">
        <v>801</v>
      </c>
      <c r="H172" s="0" t="n">
        <v>14158.3333333333</v>
      </c>
      <c r="I172" s="0" t="n">
        <v>169900</v>
      </c>
      <c r="J172" s="1" t="s">
        <v>2615</v>
      </c>
      <c r="K172" s="1" t="s">
        <v>1208</v>
      </c>
    </row>
    <row r="173" customFormat="false" ht="13.5" hidden="false" customHeight="false" outlineLevel="0" collapsed="false">
      <c r="A173" s="0" t="s">
        <v>49</v>
      </c>
      <c r="B173" s="0" t="s">
        <v>2244</v>
      </c>
      <c r="C173" s="0" t="n">
        <v>7124</v>
      </c>
      <c r="D173" s="0" t="s">
        <v>711</v>
      </c>
      <c r="E173" s="0" t="s">
        <v>438</v>
      </c>
      <c r="F173" s="233" t="n">
        <v>46113</v>
      </c>
      <c r="G173" s="1" t="s">
        <v>802</v>
      </c>
      <c r="H173" s="0" t="n">
        <v>14158.3333333333</v>
      </c>
      <c r="I173" s="0" t="n">
        <v>169900</v>
      </c>
      <c r="J173" s="1" t="s">
        <v>2615</v>
      </c>
      <c r="K173" s="1" t="s">
        <v>1208</v>
      </c>
    </row>
    <row r="174" customFormat="false" ht="13.5" hidden="false" customHeight="false" outlineLevel="0" collapsed="false">
      <c r="A174" s="0" t="s">
        <v>49</v>
      </c>
      <c r="B174" s="0" t="s">
        <v>2244</v>
      </c>
      <c r="C174" s="0" t="n">
        <v>7124</v>
      </c>
      <c r="D174" s="0" t="s">
        <v>711</v>
      </c>
      <c r="E174" s="0" t="s">
        <v>438</v>
      </c>
      <c r="F174" s="233" t="n">
        <v>46143</v>
      </c>
      <c r="G174" s="1" t="s">
        <v>803</v>
      </c>
      <c r="H174" s="0" t="n">
        <v>14158.3333333333</v>
      </c>
      <c r="I174" s="0" t="n">
        <v>169900</v>
      </c>
      <c r="J174" s="1" t="s">
        <v>2615</v>
      </c>
      <c r="K174" s="1" t="s">
        <v>1208</v>
      </c>
    </row>
    <row r="175" customFormat="false" ht="13.5" hidden="false" customHeight="false" outlineLevel="0" collapsed="false">
      <c r="A175" s="0" t="s">
        <v>49</v>
      </c>
      <c r="B175" s="0" t="s">
        <v>2244</v>
      </c>
      <c r="C175" s="0" t="n">
        <v>7124</v>
      </c>
      <c r="D175" s="0" t="s">
        <v>711</v>
      </c>
      <c r="E175" s="0" t="s">
        <v>438</v>
      </c>
      <c r="F175" s="233" t="n">
        <v>46174</v>
      </c>
      <c r="G175" s="1" t="s">
        <v>804</v>
      </c>
      <c r="H175" s="0" t="n">
        <v>14158.3333333333</v>
      </c>
      <c r="I175" s="0" t="n">
        <v>169900</v>
      </c>
      <c r="J175" s="1" t="s">
        <v>2615</v>
      </c>
      <c r="K175" s="1" t="s">
        <v>1208</v>
      </c>
    </row>
    <row r="176" customFormat="false" ht="13.5" hidden="false" customHeight="false" outlineLevel="0" collapsed="false">
      <c r="A176" s="0" t="s">
        <v>49</v>
      </c>
      <c r="B176" s="0" t="s">
        <v>2244</v>
      </c>
      <c r="C176" s="0" t="n">
        <v>7124</v>
      </c>
      <c r="D176" s="0" t="s">
        <v>711</v>
      </c>
      <c r="E176" s="0" t="s">
        <v>438</v>
      </c>
      <c r="F176" s="233" t="n">
        <v>46204</v>
      </c>
      <c r="G176" s="1" t="s">
        <v>805</v>
      </c>
      <c r="H176" s="0" t="n">
        <v>14158.3333333333</v>
      </c>
      <c r="I176" s="0" t="n">
        <v>169900</v>
      </c>
      <c r="J176" s="1" t="s">
        <v>2615</v>
      </c>
      <c r="K176" s="1" t="s">
        <v>1208</v>
      </c>
    </row>
    <row r="177" customFormat="false" ht="13.5" hidden="false" customHeight="false" outlineLevel="0" collapsed="false">
      <c r="A177" s="0" t="s">
        <v>49</v>
      </c>
      <c r="B177" s="0" t="s">
        <v>2244</v>
      </c>
      <c r="C177" s="0" t="n">
        <v>7124</v>
      </c>
      <c r="D177" s="0" t="s">
        <v>711</v>
      </c>
      <c r="E177" s="0" t="s">
        <v>438</v>
      </c>
      <c r="F177" s="233" t="n">
        <v>46235</v>
      </c>
      <c r="G177" s="1" t="s">
        <v>806</v>
      </c>
      <c r="H177" s="0" t="n">
        <v>14158.3333333333</v>
      </c>
      <c r="I177" s="0" t="n">
        <v>169900</v>
      </c>
      <c r="J177" s="1" t="s">
        <v>2615</v>
      </c>
      <c r="K177" s="1" t="s">
        <v>1208</v>
      </c>
    </row>
    <row r="178" customFormat="false" ht="13.5" hidden="false" customHeight="false" outlineLevel="0" collapsed="false">
      <c r="A178" s="0" t="s">
        <v>49</v>
      </c>
      <c r="B178" s="0" t="s">
        <v>2244</v>
      </c>
      <c r="C178" s="0" t="n">
        <v>7124</v>
      </c>
      <c r="D178" s="0" t="s">
        <v>711</v>
      </c>
      <c r="E178" s="0" t="s">
        <v>438</v>
      </c>
      <c r="F178" s="233" t="n">
        <v>46266</v>
      </c>
      <c r="G178" s="1" t="s">
        <v>2616</v>
      </c>
      <c r="H178" s="0" t="n">
        <v>14158.3333333333</v>
      </c>
      <c r="I178" s="0" t="n">
        <v>169900</v>
      </c>
      <c r="J178" s="1" t="s">
        <v>2615</v>
      </c>
      <c r="K178" s="1" t="s">
        <v>1208</v>
      </c>
    </row>
    <row r="179" customFormat="false" ht="13.5" hidden="false" customHeight="false" outlineLevel="0" collapsed="false">
      <c r="A179" s="0" t="s">
        <v>49</v>
      </c>
      <c r="B179" s="0" t="s">
        <v>2244</v>
      </c>
      <c r="C179" s="0" t="n">
        <v>7124</v>
      </c>
      <c r="D179" s="0" t="s">
        <v>711</v>
      </c>
      <c r="E179" s="0" t="s">
        <v>438</v>
      </c>
      <c r="F179" s="233" t="n">
        <v>46296</v>
      </c>
      <c r="G179" s="1" t="s">
        <v>808</v>
      </c>
      <c r="H179" s="0" t="n">
        <v>14158.3333333333</v>
      </c>
      <c r="I179" s="0" t="n">
        <v>169900</v>
      </c>
      <c r="J179" s="1" t="s">
        <v>2615</v>
      </c>
      <c r="K179" s="1" t="s">
        <v>1208</v>
      </c>
    </row>
    <row r="180" customFormat="false" ht="13.5" hidden="false" customHeight="false" outlineLevel="0" collapsed="false">
      <c r="A180" s="0" t="s">
        <v>49</v>
      </c>
      <c r="B180" s="0" t="s">
        <v>2244</v>
      </c>
      <c r="C180" s="0" t="n">
        <v>7124</v>
      </c>
      <c r="D180" s="0" t="s">
        <v>711</v>
      </c>
      <c r="E180" s="0" t="s">
        <v>438</v>
      </c>
      <c r="F180" s="233" t="n">
        <v>46327</v>
      </c>
      <c r="G180" s="1" t="s">
        <v>809</v>
      </c>
      <c r="H180" s="0" t="n">
        <v>14158.3333333333</v>
      </c>
      <c r="I180" s="0" t="n">
        <v>169900</v>
      </c>
      <c r="J180" s="1" t="s">
        <v>2615</v>
      </c>
      <c r="K180" s="1" t="s">
        <v>1208</v>
      </c>
    </row>
    <row r="181" customFormat="false" ht="13.5" hidden="false" customHeight="false" outlineLevel="0" collapsed="false">
      <c r="A181" s="0" t="s">
        <v>49</v>
      </c>
      <c r="B181" s="0" t="s">
        <v>2244</v>
      </c>
      <c r="C181" s="0" t="n">
        <v>7124</v>
      </c>
      <c r="D181" s="0" t="s">
        <v>711</v>
      </c>
      <c r="E181" s="0" t="s">
        <v>438</v>
      </c>
      <c r="F181" s="233" t="n">
        <v>46357</v>
      </c>
      <c r="G181" s="1" t="s">
        <v>810</v>
      </c>
      <c r="H181" s="0" t="n">
        <v>14158.3333333333</v>
      </c>
      <c r="I181" s="0" t="n">
        <v>169900</v>
      </c>
      <c r="J181" s="1" t="s">
        <v>2615</v>
      </c>
      <c r="K181" s="1" t="s">
        <v>1208</v>
      </c>
    </row>
    <row r="182" customFormat="false" ht="13.5" hidden="false" customHeight="false" outlineLevel="0" collapsed="false">
      <c r="A182" s="0" t="s">
        <v>49</v>
      </c>
      <c r="B182" s="0" t="s">
        <v>2244</v>
      </c>
      <c r="C182" s="0" t="n">
        <v>7125</v>
      </c>
      <c r="D182" s="0" t="s">
        <v>1869</v>
      </c>
      <c r="E182" s="0" t="s">
        <v>438</v>
      </c>
      <c r="F182" s="233" t="n">
        <v>46023</v>
      </c>
      <c r="G182" s="1" t="s">
        <v>799</v>
      </c>
      <c r="H182" s="0" t="n">
        <v>21880</v>
      </c>
      <c r="I182" s="0" t="n">
        <v>262560</v>
      </c>
      <c r="J182" s="1" t="s">
        <v>2615</v>
      </c>
      <c r="K182" s="1" t="s">
        <v>1208</v>
      </c>
    </row>
    <row r="183" customFormat="false" ht="13.5" hidden="false" customHeight="false" outlineLevel="0" collapsed="false">
      <c r="A183" s="0" t="s">
        <v>49</v>
      </c>
      <c r="B183" s="0" t="s">
        <v>2244</v>
      </c>
      <c r="C183" s="0" t="n">
        <v>7125</v>
      </c>
      <c r="D183" s="0" t="s">
        <v>1869</v>
      </c>
      <c r="E183" s="0" t="s">
        <v>438</v>
      </c>
      <c r="F183" s="233" t="n">
        <v>46054</v>
      </c>
      <c r="G183" s="1" t="s">
        <v>800</v>
      </c>
      <c r="H183" s="0" t="n">
        <v>21880</v>
      </c>
      <c r="I183" s="0" t="n">
        <v>262560</v>
      </c>
      <c r="J183" s="1" t="s">
        <v>2615</v>
      </c>
      <c r="K183" s="1" t="s">
        <v>1208</v>
      </c>
    </row>
    <row r="184" customFormat="false" ht="13.5" hidden="false" customHeight="false" outlineLevel="0" collapsed="false">
      <c r="A184" s="0" t="s">
        <v>49</v>
      </c>
      <c r="B184" s="0" t="s">
        <v>2244</v>
      </c>
      <c r="C184" s="0" t="n">
        <v>7125</v>
      </c>
      <c r="D184" s="0" t="s">
        <v>1869</v>
      </c>
      <c r="E184" s="0" t="s">
        <v>438</v>
      </c>
      <c r="F184" s="233" t="n">
        <v>46082</v>
      </c>
      <c r="G184" s="1" t="s">
        <v>801</v>
      </c>
      <c r="H184" s="0" t="n">
        <v>21880</v>
      </c>
      <c r="I184" s="0" t="n">
        <v>262560</v>
      </c>
      <c r="J184" s="1" t="s">
        <v>2615</v>
      </c>
      <c r="K184" s="1" t="s">
        <v>1208</v>
      </c>
    </row>
    <row r="185" customFormat="false" ht="13.5" hidden="false" customHeight="false" outlineLevel="0" collapsed="false">
      <c r="A185" s="0" t="s">
        <v>49</v>
      </c>
      <c r="B185" s="0" t="s">
        <v>2244</v>
      </c>
      <c r="C185" s="0" t="n">
        <v>7125</v>
      </c>
      <c r="D185" s="0" t="s">
        <v>1869</v>
      </c>
      <c r="E185" s="0" t="s">
        <v>438</v>
      </c>
      <c r="F185" s="233" t="n">
        <v>46113</v>
      </c>
      <c r="G185" s="1" t="s">
        <v>802</v>
      </c>
      <c r="H185" s="0" t="n">
        <v>21880</v>
      </c>
      <c r="I185" s="0" t="n">
        <v>262560</v>
      </c>
      <c r="J185" s="1" t="s">
        <v>2615</v>
      </c>
      <c r="K185" s="1" t="s">
        <v>1208</v>
      </c>
    </row>
    <row r="186" customFormat="false" ht="13.5" hidden="false" customHeight="false" outlineLevel="0" collapsed="false">
      <c r="A186" s="0" t="s">
        <v>49</v>
      </c>
      <c r="B186" s="0" t="s">
        <v>2244</v>
      </c>
      <c r="C186" s="0" t="n">
        <v>7125</v>
      </c>
      <c r="D186" s="0" t="s">
        <v>1869</v>
      </c>
      <c r="E186" s="0" t="s">
        <v>438</v>
      </c>
      <c r="F186" s="233" t="n">
        <v>46143</v>
      </c>
      <c r="G186" s="1" t="s">
        <v>803</v>
      </c>
      <c r="H186" s="0" t="n">
        <v>21880</v>
      </c>
      <c r="I186" s="0" t="n">
        <v>262560</v>
      </c>
      <c r="J186" s="1" t="s">
        <v>2615</v>
      </c>
      <c r="K186" s="1" t="s">
        <v>1208</v>
      </c>
    </row>
    <row r="187" customFormat="false" ht="13.5" hidden="false" customHeight="false" outlineLevel="0" collapsed="false">
      <c r="A187" s="0" t="s">
        <v>49</v>
      </c>
      <c r="B187" s="0" t="s">
        <v>2244</v>
      </c>
      <c r="C187" s="0" t="n">
        <v>7125</v>
      </c>
      <c r="D187" s="0" t="s">
        <v>1869</v>
      </c>
      <c r="E187" s="0" t="s">
        <v>438</v>
      </c>
      <c r="F187" s="233" t="n">
        <v>46174</v>
      </c>
      <c r="G187" s="1" t="s">
        <v>804</v>
      </c>
      <c r="H187" s="0" t="n">
        <v>21880</v>
      </c>
      <c r="I187" s="0" t="n">
        <v>262560</v>
      </c>
      <c r="J187" s="1" t="s">
        <v>2615</v>
      </c>
      <c r="K187" s="1" t="s">
        <v>1208</v>
      </c>
    </row>
    <row r="188" customFormat="false" ht="13.5" hidden="false" customHeight="false" outlineLevel="0" collapsed="false">
      <c r="A188" s="0" t="s">
        <v>49</v>
      </c>
      <c r="B188" s="0" t="s">
        <v>2244</v>
      </c>
      <c r="C188" s="0" t="n">
        <v>7125</v>
      </c>
      <c r="D188" s="0" t="s">
        <v>1869</v>
      </c>
      <c r="E188" s="0" t="s">
        <v>438</v>
      </c>
      <c r="F188" s="233" t="n">
        <v>46204</v>
      </c>
      <c r="G188" s="1" t="s">
        <v>805</v>
      </c>
      <c r="H188" s="0" t="n">
        <v>21880</v>
      </c>
      <c r="I188" s="0" t="n">
        <v>262560</v>
      </c>
      <c r="J188" s="1" t="s">
        <v>2615</v>
      </c>
      <c r="K188" s="1" t="s">
        <v>1208</v>
      </c>
    </row>
    <row r="189" customFormat="false" ht="13.5" hidden="false" customHeight="false" outlineLevel="0" collapsed="false">
      <c r="A189" s="0" t="s">
        <v>49</v>
      </c>
      <c r="B189" s="0" t="s">
        <v>2244</v>
      </c>
      <c r="C189" s="0" t="n">
        <v>7125</v>
      </c>
      <c r="D189" s="0" t="s">
        <v>1869</v>
      </c>
      <c r="E189" s="0" t="s">
        <v>438</v>
      </c>
      <c r="F189" s="233" t="n">
        <v>46235</v>
      </c>
      <c r="G189" s="1" t="s">
        <v>806</v>
      </c>
      <c r="H189" s="0" t="n">
        <v>21880</v>
      </c>
      <c r="I189" s="0" t="n">
        <v>262560</v>
      </c>
      <c r="J189" s="1" t="s">
        <v>2615</v>
      </c>
      <c r="K189" s="1" t="s">
        <v>1208</v>
      </c>
    </row>
    <row r="190" customFormat="false" ht="13.5" hidden="false" customHeight="false" outlineLevel="0" collapsed="false">
      <c r="A190" s="0" t="s">
        <v>49</v>
      </c>
      <c r="B190" s="0" t="s">
        <v>2244</v>
      </c>
      <c r="C190" s="0" t="n">
        <v>7125</v>
      </c>
      <c r="D190" s="0" t="s">
        <v>1869</v>
      </c>
      <c r="E190" s="0" t="s">
        <v>438</v>
      </c>
      <c r="F190" s="233" t="n">
        <v>46266</v>
      </c>
      <c r="G190" s="1" t="s">
        <v>2616</v>
      </c>
      <c r="H190" s="0" t="n">
        <v>21880</v>
      </c>
      <c r="I190" s="0" t="n">
        <v>262560</v>
      </c>
      <c r="J190" s="1" t="s">
        <v>2615</v>
      </c>
      <c r="K190" s="1" t="s">
        <v>1208</v>
      </c>
    </row>
    <row r="191" customFormat="false" ht="13.5" hidden="false" customHeight="false" outlineLevel="0" collapsed="false">
      <c r="A191" s="0" t="s">
        <v>49</v>
      </c>
      <c r="B191" s="0" t="s">
        <v>2244</v>
      </c>
      <c r="C191" s="0" t="n">
        <v>7125</v>
      </c>
      <c r="D191" s="0" t="s">
        <v>1869</v>
      </c>
      <c r="E191" s="0" t="s">
        <v>438</v>
      </c>
      <c r="F191" s="233" t="n">
        <v>46296</v>
      </c>
      <c r="G191" s="1" t="s">
        <v>808</v>
      </c>
      <c r="H191" s="0" t="n">
        <v>21880</v>
      </c>
      <c r="I191" s="0" t="n">
        <v>262560</v>
      </c>
      <c r="J191" s="1" t="s">
        <v>2615</v>
      </c>
      <c r="K191" s="1" t="s">
        <v>1208</v>
      </c>
    </row>
    <row r="192" customFormat="false" ht="13.5" hidden="false" customHeight="false" outlineLevel="0" collapsed="false">
      <c r="A192" s="0" t="s">
        <v>49</v>
      </c>
      <c r="B192" s="0" t="s">
        <v>2244</v>
      </c>
      <c r="C192" s="0" t="n">
        <v>7125</v>
      </c>
      <c r="D192" s="0" t="s">
        <v>1869</v>
      </c>
      <c r="E192" s="0" t="s">
        <v>438</v>
      </c>
      <c r="F192" s="233" t="n">
        <v>46327</v>
      </c>
      <c r="G192" s="1" t="s">
        <v>809</v>
      </c>
      <c r="H192" s="0" t="n">
        <v>21880</v>
      </c>
      <c r="I192" s="0" t="n">
        <v>262560</v>
      </c>
      <c r="J192" s="1" t="s">
        <v>2615</v>
      </c>
      <c r="K192" s="1" t="s">
        <v>1208</v>
      </c>
    </row>
    <row r="193" customFormat="false" ht="13.5" hidden="false" customHeight="false" outlineLevel="0" collapsed="false">
      <c r="A193" s="0" t="s">
        <v>49</v>
      </c>
      <c r="B193" s="0" t="s">
        <v>2244</v>
      </c>
      <c r="C193" s="0" t="n">
        <v>7125</v>
      </c>
      <c r="D193" s="0" t="s">
        <v>1869</v>
      </c>
      <c r="E193" s="0" t="s">
        <v>438</v>
      </c>
      <c r="F193" s="233" t="n">
        <v>46357</v>
      </c>
      <c r="G193" s="1" t="s">
        <v>810</v>
      </c>
      <c r="H193" s="0" t="n">
        <v>21880</v>
      </c>
      <c r="I193" s="0" t="n">
        <v>262560</v>
      </c>
      <c r="J193" s="1" t="s">
        <v>2615</v>
      </c>
      <c r="K193" s="1" t="s">
        <v>1208</v>
      </c>
    </row>
    <row r="194" customFormat="false" ht="13.5" hidden="false" customHeight="false" outlineLevel="0" collapsed="false">
      <c r="A194" s="0" t="s">
        <v>49</v>
      </c>
      <c r="B194" s="0" t="s">
        <v>2244</v>
      </c>
      <c r="C194" s="0" t="n">
        <v>7130</v>
      </c>
      <c r="D194" s="0" t="s">
        <v>1870</v>
      </c>
      <c r="E194" s="0" t="s">
        <v>438</v>
      </c>
      <c r="F194" s="233" t="n">
        <v>46023</v>
      </c>
      <c r="G194" s="1" t="s">
        <v>799</v>
      </c>
      <c r="H194" s="0" t="n">
        <v>416.666666666667</v>
      </c>
      <c r="I194" s="0" t="n">
        <v>5000</v>
      </c>
      <c r="J194" s="1" t="s">
        <v>2615</v>
      </c>
      <c r="K194" s="1" t="s">
        <v>1208</v>
      </c>
    </row>
    <row r="195" customFormat="false" ht="13.5" hidden="false" customHeight="false" outlineLevel="0" collapsed="false">
      <c r="A195" s="0" t="s">
        <v>49</v>
      </c>
      <c r="B195" s="0" t="s">
        <v>2244</v>
      </c>
      <c r="C195" s="0" t="n">
        <v>7130</v>
      </c>
      <c r="D195" s="0" t="s">
        <v>1870</v>
      </c>
      <c r="E195" s="0" t="s">
        <v>438</v>
      </c>
      <c r="F195" s="233" t="n">
        <v>46054</v>
      </c>
      <c r="G195" s="1" t="s">
        <v>800</v>
      </c>
      <c r="H195" s="0" t="n">
        <v>416.666666666667</v>
      </c>
      <c r="I195" s="0" t="n">
        <v>5000</v>
      </c>
      <c r="J195" s="1" t="s">
        <v>2615</v>
      </c>
      <c r="K195" s="1" t="s">
        <v>1208</v>
      </c>
    </row>
    <row r="196" customFormat="false" ht="13.5" hidden="false" customHeight="false" outlineLevel="0" collapsed="false">
      <c r="A196" s="0" t="s">
        <v>49</v>
      </c>
      <c r="B196" s="0" t="s">
        <v>2244</v>
      </c>
      <c r="C196" s="0" t="n">
        <v>7130</v>
      </c>
      <c r="D196" s="0" t="s">
        <v>1870</v>
      </c>
      <c r="E196" s="0" t="s">
        <v>438</v>
      </c>
      <c r="F196" s="233" t="n">
        <v>46082</v>
      </c>
      <c r="G196" s="1" t="s">
        <v>801</v>
      </c>
      <c r="H196" s="0" t="n">
        <v>416.666666666667</v>
      </c>
      <c r="I196" s="0" t="n">
        <v>5000</v>
      </c>
      <c r="J196" s="1" t="s">
        <v>2615</v>
      </c>
      <c r="K196" s="1" t="s">
        <v>1208</v>
      </c>
    </row>
    <row r="197" customFormat="false" ht="13.5" hidden="false" customHeight="false" outlineLevel="0" collapsed="false">
      <c r="A197" s="0" t="s">
        <v>49</v>
      </c>
      <c r="B197" s="0" t="s">
        <v>2244</v>
      </c>
      <c r="C197" s="0" t="n">
        <v>7130</v>
      </c>
      <c r="D197" s="0" t="s">
        <v>1870</v>
      </c>
      <c r="E197" s="0" t="s">
        <v>438</v>
      </c>
      <c r="F197" s="233" t="n">
        <v>46113</v>
      </c>
      <c r="G197" s="1" t="s">
        <v>802</v>
      </c>
      <c r="H197" s="0" t="n">
        <v>416.666666666667</v>
      </c>
      <c r="I197" s="0" t="n">
        <v>5000</v>
      </c>
      <c r="J197" s="1" t="s">
        <v>2615</v>
      </c>
      <c r="K197" s="1" t="s">
        <v>1208</v>
      </c>
    </row>
    <row r="198" customFormat="false" ht="13.5" hidden="false" customHeight="false" outlineLevel="0" collapsed="false">
      <c r="A198" s="0" t="s">
        <v>49</v>
      </c>
      <c r="B198" s="0" t="s">
        <v>2244</v>
      </c>
      <c r="C198" s="0" t="n">
        <v>7130</v>
      </c>
      <c r="D198" s="0" t="s">
        <v>1870</v>
      </c>
      <c r="E198" s="0" t="s">
        <v>438</v>
      </c>
      <c r="F198" s="233" t="n">
        <v>46143</v>
      </c>
      <c r="G198" s="1" t="s">
        <v>803</v>
      </c>
      <c r="H198" s="0" t="n">
        <v>416.666666666667</v>
      </c>
      <c r="I198" s="0" t="n">
        <v>5000</v>
      </c>
      <c r="J198" s="1" t="s">
        <v>2615</v>
      </c>
      <c r="K198" s="1" t="s">
        <v>1208</v>
      </c>
    </row>
    <row r="199" customFormat="false" ht="13.5" hidden="false" customHeight="false" outlineLevel="0" collapsed="false">
      <c r="A199" s="0" t="s">
        <v>49</v>
      </c>
      <c r="B199" s="0" t="s">
        <v>2244</v>
      </c>
      <c r="C199" s="0" t="n">
        <v>7130</v>
      </c>
      <c r="D199" s="0" t="s">
        <v>1870</v>
      </c>
      <c r="E199" s="0" t="s">
        <v>438</v>
      </c>
      <c r="F199" s="233" t="n">
        <v>46174</v>
      </c>
      <c r="G199" s="1" t="s">
        <v>804</v>
      </c>
      <c r="H199" s="0" t="n">
        <v>416.666666666667</v>
      </c>
      <c r="I199" s="0" t="n">
        <v>5000</v>
      </c>
      <c r="J199" s="1" t="s">
        <v>2615</v>
      </c>
      <c r="K199" s="1" t="s">
        <v>1208</v>
      </c>
    </row>
    <row r="200" customFormat="false" ht="13.5" hidden="false" customHeight="false" outlineLevel="0" collapsed="false">
      <c r="A200" s="0" t="s">
        <v>49</v>
      </c>
      <c r="B200" s="0" t="s">
        <v>2244</v>
      </c>
      <c r="C200" s="0" t="n">
        <v>7130</v>
      </c>
      <c r="D200" s="0" t="s">
        <v>1870</v>
      </c>
      <c r="E200" s="0" t="s">
        <v>438</v>
      </c>
      <c r="F200" s="233" t="n">
        <v>46204</v>
      </c>
      <c r="G200" s="1" t="s">
        <v>805</v>
      </c>
      <c r="H200" s="0" t="n">
        <v>416.666666666667</v>
      </c>
      <c r="I200" s="0" t="n">
        <v>5000</v>
      </c>
      <c r="J200" s="1" t="s">
        <v>2615</v>
      </c>
      <c r="K200" s="1" t="s">
        <v>1208</v>
      </c>
    </row>
    <row r="201" customFormat="false" ht="13.5" hidden="false" customHeight="false" outlineLevel="0" collapsed="false">
      <c r="A201" s="0" t="s">
        <v>49</v>
      </c>
      <c r="B201" s="0" t="s">
        <v>2244</v>
      </c>
      <c r="C201" s="0" t="n">
        <v>7130</v>
      </c>
      <c r="D201" s="0" t="s">
        <v>1870</v>
      </c>
      <c r="E201" s="0" t="s">
        <v>438</v>
      </c>
      <c r="F201" s="233" t="n">
        <v>46235</v>
      </c>
      <c r="G201" s="1" t="s">
        <v>806</v>
      </c>
      <c r="H201" s="0" t="n">
        <v>416.666666666667</v>
      </c>
      <c r="I201" s="0" t="n">
        <v>5000</v>
      </c>
      <c r="J201" s="1" t="s">
        <v>2615</v>
      </c>
      <c r="K201" s="1" t="s">
        <v>1208</v>
      </c>
    </row>
    <row r="202" customFormat="false" ht="13.5" hidden="false" customHeight="false" outlineLevel="0" collapsed="false">
      <c r="A202" s="0" t="s">
        <v>49</v>
      </c>
      <c r="B202" s="0" t="s">
        <v>2244</v>
      </c>
      <c r="C202" s="0" t="n">
        <v>7130</v>
      </c>
      <c r="D202" s="0" t="s">
        <v>1870</v>
      </c>
      <c r="E202" s="0" t="s">
        <v>438</v>
      </c>
      <c r="F202" s="233" t="n">
        <v>46266</v>
      </c>
      <c r="G202" s="1" t="s">
        <v>2616</v>
      </c>
      <c r="H202" s="0" t="n">
        <v>416.666666666667</v>
      </c>
      <c r="I202" s="0" t="n">
        <v>5000</v>
      </c>
      <c r="J202" s="1" t="s">
        <v>2615</v>
      </c>
      <c r="K202" s="1" t="s">
        <v>1208</v>
      </c>
    </row>
    <row r="203" customFormat="false" ht="13.5" hidden="false" customHeight="false" outlineLevel="0" collapsed="false">
      <c r="A203" s="0" t="s">
        <v>49</v>
      </c>
      <c r="B203" s="0" t="s">
        <v>2244</v>
      </c>
      <c r="C203" s="0" t="n">
        <v>7130</v>
      </c>
      <c r="D203" s="0" t="s">
        <v>1870</v>
      </c>
      <c r="E203" s="0" t="s">
        <v>438</v>
      </c>
      <c r="F203" s="233" t="n">
        <v>46296</v>
      </c>
      <c r="G203" s="1" t="s">
        <v>808</v>
      </c>
      <c r="H203" s="0" t="n">
        <v>416.666666666667</v>
      </c>
      <c r="I203" s="0" t="n">
        <v>5000</v>
      </c>
      <c r="J203" s="1" t="s">
        <v>2615</v>
      </c>
      <c r="K203" s="1" t="s">
        <v>1208</v>
      </c>
    </row>
    <row r="204" customFormat="false" ht="13.5" hidden="false" customHeight="false" outlineLevel="0" collapsed="false">
      <c r="A204" s="0" t="s">
        <v>49</v>
      </c>
      <c r="B204" s="0" t="s">
        <v>2244</v>
      </c>
      <c r="C204" s="0" t="n">
        <v>7130</v>
      </c>
      <c r="D204" s="0" t="s">
        <v>1870</v>
      </c>
      <c r="E204" s="0" t="s">
        <v>438</v>
      </c>
      <c r="F204" s="233" t="n">
        <v>46327</v>
      </c>
      <c r="G204" s="1" t="s">
        <v>809</v>
      </c>
      <c r="H204" s="0" t="n">
        <v>416.666666666667</v>
      </c>
      <c r="I204" s="0" t="n">
        <v>5000</v>
      </c>
      <c r="J204" s="1" t="s">
        <v>2615</v>
      </c>
      <c r="K204" s="1" t="s">
        <v>1208</v>
      </c>
    </row>
    <row r="205" customFormat="false" ht="13.5" hidden="false" customHeight="false" outlineLevel="0" collapsed="false">
      <c r="A205" s="0" t="s">
        <v>49</v>
      </c>
      <c r="B205" s="0" t="s">
        <v>2244</v>
      </c>
      <c r="C205" s="0" t="n">
        <v>7130</v>
      </c>
      <c r="D205" s="0" t="s">
        <v>1870</v>
      </c>
      <c r="E205" s="0" t="s">
        <v>438</v>
      </c>
      <c r="F205" s="233" t="n">
        <v>46357</v>
      </c>
      <c r="G205" s="1" t="s">
        <v>810</v>
      </c>
      <c r="H205" s="0" t="n">
        <v>416.666666666667</v>
      </c>
      <c r="I205" s="0" t="n">
        <v>5000</v>
      </c>
      <c r="J205" s="1" t="s">
        <v>2615</v>
      </c>
      <c r="K205" s="1" t="s">
        <v>1208</v>
      </c>
    </row>
    <row r="206" customFormat="false" ht="13.5" hidden="false" customHeight="false" outlineLevel="0" collapsed="false">
      <c r="A206" s="0" t="s">
        <v>49</v>
      </c>
      <c r="B206" s="0" t="s">
        <v>2244</v>
      </c>
      <c r="C206" s="0" t="n">
        <v>7150</v>
      </c>
      <c r="D206" s="0" t="s">
        <v>713</v>
      </c>
      <c r="E206" s="0" t="s">
        <v>437</v>
      </c>
      <c r="F206" s="233" t="n">
        <v>46023</v>
      </c>
      <c r="G206" s="1" t="s">
        <v>799</v>
      </c>
      <c r="H206" s="0" t="n">
        <v>1500</v>
      </c>
      <c r="I206" s="0" t="n">
        <v>18000</v>
      </c>
      <c r="J206" s="1" t="s">
        <v>2615</v>
      </c>
      <c r="K206" s="1" t="s">
        <v>1208</v>
      </c>
    </row>
    <row r="207" customFormat="false" ht="13.5" hidden="false" customHeight="false" outlineLevel="0" collapsed="false">
      <c r="A207" s="0" t="s">
        <v>49</v>
      </c>
      <c r="B207" s="0" t="s">
        <v>2244</v>
      </c>
      <c r="C207" s="0" t="n">
        <v>7150</v>
      </c>
      <c r="D207" s="0" t="s">
        <v>713</v>
      </c>
      <c r="E207" s="0" t="s">
        <v>437</v>
      </c>
      <c r="F207" s="233" t="n">
        <v>46054</v>
      </c>
      <c r="G207" s="1" t="s">
        <v>800</v>
      </c>
      <c r="H207" s="0" t="n">
        <v>1500</v>
      </c>
      <c r="I207" s="0" t="n">
        <v>18000</v>
      </c>
      <c r="J207" s="1" t="s">
        <v>2615</v>
      </c>
      <c r="K207" s="1" t="s">
        <v>1208</v>
      </c>
    </row>
    <row r="208" customFormat="false" ht="13.5" hidden="false" customHeight="false" outlineLevel="0" collapsed="false">
      <c r="A208" s="0" t="s">
        <v>49</v>
      </c>
      <c r="B208" s="0" t="s">
        <v>2244</v>
      </c>
      <c r="C208" s="0" t="n">
        <v>7150</v>
      </c>
      <c r="D208" s="0" t="s">
        <v>713</v>
      </c>
      <c r="E208" s="0" t="s">
        <v>437</v>
      </c>
      <c r="F208" s="233" t="n">
        <v>46082</v>
      </c>
      <c r="G208" s="1" t="s">
        <v>801</v>
      </c>
      <c r="H208" s="0" t="n">
        <v>1500</v>
      </c>
      <c r="I208" s="0" t="n">
        <v>18000</v>
      </c>
      <c r="J208" s="1" t="s">
        <v>2615</v>
      </c>
      <c r="K208" s="1" t="s">
        <v>1208</v>
      </c>
    </row>
    <row r="209" customFormat="false" ht="13.5" hidden="false" customHeight="false" outlineLevel="0" collapsed="false">
      <c r="A209" s="0" t="s">
        <v>49</v>
      </c>
      <c r="B209" s="0" t="s">
        <v>2244</v>
      </c>
      <c r="C209" s="0" t="n">
        <v>7150</v>
      </c>
      <c r="D209" s="0" t="s">
        <v>713</v>
      </c>
      <c r="E209" s="0" t="s">
        <v>437</v>
      </c>
      <c r="F209" s="233" t="n">
        <v>46113</v>
      </c>
      <c r="G209" s="1" t="s">
        <v>802</v>
      </c>
      <c r="H209" s="0" t="n">
        <v>1500</v>
      </c>
      <c r="I209" s="0" t="n">
        <v>18000</v>
      </c>
      <c r="J209" s="1" t="s">
        <v>2615</v>
      </c>
      <c r="K209" s="1" t="s">
        <v>1208</v>
      </c>
    </row>
    <row r="210" customFormat="false" ht="13.5" hidden="false" customHeight="false" outlineLevel="0" collapsed="false">
      <c r="A210" s="0" t="s">
        <v>49</v>
      </c>
      <c r="B210" s="0" t="s">
        <v>2244</v>
      </c>
      <c r="C210" s="0" t="n">
        <v>7150</v>
      </c>
      <c r="D210" s="0" t="s">
        <v>713</v>
      </c>
      <c r="E210" s="0" t="s">
        <v>437</v>
      </c>
      <c r="F210" s="233" t="n">
        <v>46143</v>
      </c>
      <c r="G210" s="1" t="s">
        <v>803</v>
      </c>
      <c r="H210" s="0" t="n">
        <v>1500</v>
      </c>
      <c r="I210" s="0" t="n">
        <v>18000</v>
      </c>
      <c r="J210" s="1" t="s">
        <v>2615</v>
      </c>
      <c r="K210" s="1" t="s">
        <v>1208</v>
      </c>
    </row>
    <row r="211" customFormat="false" ht="13.5" hidden="false" customHeight="false" outlineLevel="0" collapsed="false">
      <c r="A211" s="0" t="s">
        <v>49</v>
      </c>
      <c r="B211" s="0" t="s">
        <v>2244</v>
      </c>
      <c r="C211" s="0" t="n">
        <v>7150</v>
      </c>
      <c r="D211" s="0" t="s">
        <v>713</v>
      </c>
      <c r="E211" s="0" t="s">
        <v>437</v>
      </c>
      <c r="F211" s="233" t="n">
        <v>46174</v>
      </c>
      <c r="G211" s="1" t="s">
        <v>804</v>
      </c>
      <c r="H211" s="0" t="n">
        <v>1500</v>
      </c>
      <c r="I211" s="0" t="n">
        <v>18000</v>
      </c>
      <c r="J211" s="1" t="s">
        <v>2615</v>
      </c>
      <c r="K211" s="1" t="s">
        <v>1208</v>
      </c>
    </row>
    <row r="212" customFormat="false" ht="13.5" hidden="false" customHeight="false" outlineLevel="0" collapsed="false">
      <c r="A212" s="0" t="s">
        <v>49</v>
      </c>
      <c r="B212" s="0" t="s">
        <v>2244</v>
      </c>
      <c r="C212" s="0" t="n">
        <v>7150</v>
      </c>
      <c r="D212" s="0" t="s">
        <v>713</v>
      </c>
      <c r="E212" s="0" t="s">
        <v>437</v>
      </c>
      <c r="F212" s="233" t="n">
        <v>46204</v>
      </c>
      <c r="G212" s="1" t="s">
        <v>805</v>
      </c>
      <c r="H212" s="0" t="n">
        <v>1500</v>
      </c>
      <c r="I212" s="0" t="n">
        <v>18000</v>
      </c>
      <c r="J212" s="1" t="s">
        <v>2615</v>
      </c>
      <c r="K212" s="1" t="s">
        <v>1208</v>
      </c>
    </row>
    <row r="213" customFormat="false" ht="13.5" hidden="false" customHeight="false" outlineLevel="0" collapsed="false">
      <c r="A213" s="0" t="s">
        <v>49</v>
      </c>
      <c r="B213" s="0" t="s">
        <v>2244</v>
      </c>
      <c r="C213" s="0" t="n">
        <v>7150</v>
      </c>
      <c r="D213" s="0" t="s">
        <v>713</v>
      </c>
      <c r="E213" s="0" t="s">
        <v>437</v>
      </c>
      <c r="F213" s="233" t="n">
        <v>46235</v>
      </c>
      <c r="G213" s="1" t="s">
        <v>806</v>
      </c>
      <c r="H213" s="0" t="n">
        <v>1500</v>
      </c>
      <c r="I213" s="0" t="n">
        <v>18000</v>
      </c>
      <c r="J213" s="1" t="s">
        <v>2615</v>
      </c>
      <c r="K213" s="1" t="s">
        <v>1208</v>
      </c>
    </row>
    <row r="214" customFormat="false" ht="13.5" hidden="false" customHeight="false" outlineLevel="0" collapsed="false">
      <c r="A214" s="0" t="s">
        <v>49</v>
      </c>
      <c r="B214" s="0" t="s">
        <v>2244</v>
      </c>
      <c r="C214" s="0" t="n">
        <v>7150</v>
      </c>
      <c r="D214" s="0" t="s">
        <v>713</v>
      </c>
      <c r="E214" s="0" t="s">
        <v>437</v>
      </c>
      <c r="F214" s="233" t="n">
        <v>46266</v>
      </c>
      <c r="G214" s="1" t="s">
        <v>2616</v>
      </c>
      <c r="H214" s="0" t="n">
        <v>1500</v>
      </c>
      <c r="I214" s="0" t="n">
        <v>18000</v>
      </c>
      <c r="J214" s="1" t="s">
        <v>2615</v>
      </c>
      <c r="K214" s="1" t="s">
        <v>1208</v>
      </c>
    </row>
    <row r="215" customFormat="false" ht="13.5" hidden="false" customHeight="false" outlineLevel="0" collapsed="false">
      <c r="A215" s="0" t="s">
        <v>49</v>
      </c>
      <c r="B215" s="0" t="s">
        <v>2244</v>
      </c>
      <c r="C215" s="0" t="n">
        <v>7150</v>
      </c>
      <c r="D215" s="0" t="s">
        <v>713</v>
      </c>
      <c r="E215" s="0" t="s">
        <v>437</v>
      </c>
      <c r="F215" s="233" t="n">
        <v>46296</v>
      </c>
      <c r="G215" s="1" t="s">
        <v>808</v>
      </c>
      <c r="H215" s="0" t="n">
        <v>1500</v>
      </c>
      <c r="I215" s="0" t="n">
        <v>18000</v>
      </c>
      <c r="J215" s="1" t="s">
        <v>2615</v>
      </c>
      <c r="K215" s="1" t="s">
        <v>1208</v>
      </c>
    </row>
    <row r="216" customFormat="false" ht="13.5" hidden="false" customHeight="false" outlineLevel="0" collapsed="false">
      <c r="A216" s="0" t="s">
        <v>49</v>
      </c>
      <c r="B216" s="0" t="s">
        <v>2244</v>
      </c>
      <c r="C216" s="0" t="n">
        <v>7150</v>
      </c>
      <c r="D216" s="0" t="s">
        <v>713</v>
      </c>
      <c r="E216" s="0" t="s">
        <v>437</v>
      </c>
      <c r="F216" s="233" t="n">
        <v>46327</v>
      </c>
      <c r="G216" s="1" t="s">
        <v>809</v>
      </c>
      <c r="H216" s="0" t="n">
        <v>1500</v>
      </c>
      <c r="I216" s="0" t="n">
        <v>18000</v>
      </c>
      <c r="J216" s="1" t="s">
        <v>2615</v>
      </c>
      <c r="K216" s="1" t="s">
        <v>1208</v>
      </c>
    </row>
    <row r="217" customFormat="false" ht="13.5" hidden="false" customHeight="false" outlineLevel="0" collapsed="false">
      <c r="A217" s="0" t="s">
        <v>49</v>
      </c>
      <c r="B217" s="0" t="s">
        <v>2244</v>
      </c>
      <c r="C217" s="0" t="n">
        <v>7150</v>
      </c>
      <c r="D217" s="0" t="s">
        <v>713</v>
      </c>
      <c r="E217" s="0" t="s">
        <v>437</v>
      </c>
      <c r="F217" s="233" t="n">
        <v>46357</v>
      </c>
      <c r="G217" s="1" t="s">
        <v>810</v>
      </c>
      <c r="H217" s="0" t="n">
        <v>1500</v>
      </c>
      <c r="I217" s="0" t="n">
        <v>18000</v>
      </c>
      <c r="J217" s="1" t="s">
        <v>2615</v>
      </c>
      <c r="K217" s="1" t="s">
        <v>1208</v>
      </c>
    </row>
    <row r="218" customFormat="false" ht="13.5" hidden="false" customHeight="false" outlineLevel="0" collapsed="false">
      <c r="A218" s="0" t="s">
        <v>49</v>
      </c>
      <c r="B218" s="0" t="s">
        <v>2244</v>
      </c>
      <c r="C218" s="0" t="n">
        <v>7210</v>
      </c>
      <c r="D218" s="0" t="s">
        <v>715</v>
      </c>
      <c r="E218" s="0" t="s">
        <v>443</v>
      </c>
      <c r="F218" s="233" t="n">
        <v>46023</v>
      </c>
      <c r="G218" s="1" t="s">
        <v>799</v>
      </c>
      <c r="H218" s="0" t="n">
        <v>11250</v>
      </c>
      <c r="I218" s="0" t="n">
        <v>135000</v>
      </c>
      <c r="J218" s="1" t="s">
        <v>2615</v>
      </c>
      <c r="K218" s="1" t="s">
        <v>1208</v>
      </c>
    </row>
    <row r="219" customFormat="false" ht="13.5" hidden="false" customHeight="false" outlineLevel="0" collapsed="false">
      <c r="A219" s="0" t="s">
        <v>49</v>
      </c>
      <c r="B219" s="0" t="s">
        <v>2244</v>
      </c>
      <c r="C219" s="0" t="n">
        <v>7210</v>
      </c>
      <c r="D219" s="0" t="s">
        <v>715</v>
      </c>
      <c r="E219" s="0" t="s">
        <v>443</v>
      </c>
      <c r="F219" s="233" t="n">
        <v>46054</v>
      </c>
      <c r="G219" s="1" t="s">
        <v>800</v>
      </c>
      <c r="H219" s="0" t="n">
        <v>11250</v>
      </c>
      <c r="I219" s="0" t="n">
        <v>135000</v>
      </c>
      <c r="J219" s="1" t="s">
        <v>2615</v>
      </c>
      <c r="K219" s="1" t="s">
        <v>1208</v>
      </c>
    </row>
    <row r="220" customFormat="false" ht="13.5" hidden="false" customHeight="false" outlineLevel="0" collapsed="false">
      <c r="A220" s="0" t="s">
        <v>49</v>
      </c>
      <c r="B220" s="0" t="s">
        <v>2244</v>
      </c>
      <c r="C220" s="0" t="n">
        <v>7210</v>
      </c>
      <c r="D220" s="0" t="s">
        <v>715</v>
      </c>
      <c r="E220" s="0" t="s">
        <v>443</v>
      </c>
      <c r="F220" s="233" t="n">
        <v>46082</v>
      </c>
      <c r="G220" s="1" t="s">
        <v>801</v>
      </c>
      <c r="H220" s="0" t="n">
        <v>11250</v>
      </c>
      <c r="I220" s="0" t="n">
        <v>135000</v>
      </c>
      <c r="J220" s="1" t="s">
        <v>2615</v>
      </c>
      <c r="K220" s="1" t="s">
        <v>1208</v>
      </c>
    </row>
    <row r="221" customFormat="false" ht="13.5" hidden="false" customHeight="false" outlineLevel="0" collapsed="false">
      <c r="A221" s="0" t="s">
        <v>49</v>
      </c>
      <c r="B221" s="0" t="s">
        <v>2244</v>
      </c>
      <c r="C221" s="0" t="n">
        <v>7210</v>
      </c>
      <c r="D221" s="0" t="s">
        <v>715</v>
      </c>
      <c r="E221" s="0" t="s">
        <v>443</v>
      </c>
      <c r="F221" s="233" t="n">
        <v>46113</v>
      </c>
      <c r="G221" s="1" t="s">
        <v>802</v>
      </c>
      <c r="H221" s="0" t="n">
        <v>11250</v>
      </c>
      <c r="I221" s="0" t="n">
        <v>135000</v>
      </c>
      <c r="J221" s="1" t="s">
        <v>2615</v>
      </c>
      <c r="K221" s="1" t="s">
        <v>1208</v>
      </c>
    </row>
    <row r="222" customFormat="false" ht="13.5" hidden="false" customHeight="false" outlineLevel="0" collapsed="false">
      <c r="A222" s="0" t="s">
        <v>49</v>
      </c>
      <c r="B222" s="0" t="s">
        <v>2244</v>
      </c>
      <c r="C222" s="0" t="n">
        <v>7210</v>
      </c>
      <c r="D222" s="0" t="s">
        <v>715</v>
      </c>
      <c r="E222" s="0" t="s">
        <v>443</v>
      </c>
      <c r="F222" s="233" t="n">
        <v>46143</v>
      </c>
      <c r="G222" s="1" t="s">
        <v>803</v>
      </c>
      <c r="H222" s="0" t="n">
        <v>11250</v>
      </c>
      <c r="I222" s="0" t="n">
        <v>135000</v>
      </c>
      <c r="J222" s="1" t="s">
        <v>2615</v>
      </c>
      <c r="K222" s="1" t="s">
        <v>1208</v>
      </c>
    </row>
    <row r="223" customFormat="false" ht="13.5" hidden="false" customHeight="false" outlineLevel="0" collapsed="false">
      <c r="A223" s="0" t="s">
        <v>49</v>
      </c>
      <c r="B223" s="0" t="s">
        <v>2244</v>
      </c>
      <c r="C223" s="0" t="n">
        <v>7210</v>
      </c>
      <c r="D223" s="0" t="s">
        <v>715</v>
      </c>
      <c r="E223" s="0" t="s">
        <v>443</v>
      </c>
      <c r="F223" s="233" t="n">
        <v>46174</v>
      </c>
      <c r="G223" s="1" t="s">
        <v>804</v>
      </c>
      <c r="H223" s="0" t="n">
        <v>11250</v>
      </c>
      <c r="I223" s="0" t="n">
        <v>135000</v>
      </c>
      <c r="J223" s="1" t="s">
        <v>2615</v>
      </c>
      <c r="K223" s="1" t="s">
        <v>1208</v>
      </c>
    </row>
    <row r="224" customFormat="false" ht="13.5" hidden="false" customHeight="false" outlineLevel="0" collapsed="false">
      <c r="A224" s="0" t="s">
        <v>49</v>
      </c>
      <c r="B224" s="0" t="s">
        <v>2244</v>
      </c>
      <c r="C224" s="0" t="n">
        <v>7210</v>
      </c>
      <c r="D224" s="0" t="s">
        <v>715</v>
      </c>
      <c r="E224" s="0" t="s">
        <v>443</v>
      </c>
      <c r="F224" s="233" t="n">
        <v>46204</v>
      </c>
      <c r="G224" s="1" t="s">
        <v>805</v>
      </c>
      <c r="H224" s="0" t="n">
        <v>11250</v>
      </c>
      <c r="I224" s="0" t="n">
        <v>135000</v>
      </c>
      <c r="J224" s="1" t="s">
        <v>2615</v>
      </c>
      <c r="K224" s="1" t="s">
        <v>1208</v>
      </c>
    </row>
    <row r="225" customFormat="false" ht="13.5" hidden="false" customHeight="false" outlineLevel="0" collapsed="false">
      <c r="A225" s="0" t="s">
        <v>49</v>
      </c>
      <c r="B225" s="0" t="s">
        <v>2244</v>
      </c>
      <c r="C225" s="0" t="n">
        <v>7210</v>
      </c>
      <c r="D225" s="0" t="s">
        <v>715</v>
      </c>
      <c r="E225" s="0" t="s">
        <v>443</v>
      </c>
      <c r="F225" s="233" t="n">
        <v>46235</v>
      </c>
      <c r="G225" s="1" t="s">
        <v>806</v>
      </c>
      <c r="H225" s="0" t="n">
        <v>11250</v>
      </c>
      <c r="I225" s="0" t="n">
        <v>135000</v>
      </c>
      <c r="J225" s="1" t="s">
        <v>2615</v>
      </c>
      <c r="K225" s="1" t="s">
        <v>1208</v>
      </c>
    </row>
    <row r="226" customFormat="false" ht="13.5" hidden="false" customHeight="false" outlineLevel="0" collapsed="false">
      <c r="A226" s="0" t="s">
        <v>49</v>
      </c>
      <c r="B226" s="0" t="s">
        <v>2244</v>
      </c>
      <c r="C226" s="0" t="n">
        <v>7210</v>
      </c>
      <c r="D226" s="0" t="s">
        <v>715</v>
      </c>
      <c r="E226" s="0" t="s">
        <v>443</v>
      </c>
      <c r="F226" s="233" t="n">
        <v>46266</v>
      </c>
      <c r="G226" s="1" t="s">
        <v>2616</v>
      </c>
      <c r="H226" s="0" t="n">
        <v>11250</v>
      </c>
      <c r="I226" s="0" t="n">
        <v>135000</v>
      </c>
      <c r="J226" s="1" t="s">
        <v>2615</v>
      </c>
      <c r="K226" s="1" t="s">
        <v>1208</v>
      </c>
    </row>
    <row r="227" customFormat="false" ht="13.5" hidden="false" customHeight="false" outlineLevel="0" collapsed="false">
      <c r="A227" s="0" t="s">
        <v>49</v>
      </c>
      <c r="B227" s="0" t="s">
        <v>2244</v>
      </c>
      <c r="C227" s="0" t="n">
        <v>7210</v>
      </c>
      <c r="D227" s="0" t="s">
        <v>715</v>
      </c>
      <c r="E227" s="0" t="s">
        <v>443</v>
      </c>
      <c r="F227" s="233" t="n">
        <v>46296</v>
      </c>
      <c r="G227" s="1" t="s">
        <v>808</v>
      </c>
      <c r="H227" s="0" t="n">
        <v>11250</v>
      </c>
      <c r="I227" s="0" t="n">
        <v>135000</v>
      </c>
      <c r="J227" s="1" t="s">
        <v>2615</v>
      </c>
      <c r="K227" s="1" t="s">
        <v>1208</v>
      </c>
    </row>
    <row r="228" customFormat="false" ht="13.5" hidden="false" customHeight="false" outlineLevel="0" collapsed="false">
      <c r="A228" s="0" t="s">
        <v>49</v>
      </c>
      <c r="B228" s="0" t="s">
        <v>2244</v>
      </c>
      <c r="C228" s="0" t="n">
        <v>7210</v>
      </c>
      <c r="D228" s="0" t="s">
        <v>715</v>
      </c>
      <c r="E228" s="0" t="s">
        <v>443</v>
      </c>
      <c r="F228" s="233" t="n">
        <v>46327</v>
      </c>
      <c r="G228" s="1" t="s">
        <v>809</v>
      </c>
      <c r="H228" s="0" t="n">
        <v>11250</v>
      </c>
      <c r="I228" s="0" t="n">
        <v>135000</v>
      </c>
      <c r="J228" s="1" t="s">
        <v>2615</v>
      </c>
      <c r="K228" s="1" t="s">
        <v>1208</v>
      </c>
    </row>
    <row r="229" customFormat="false" ht="13.5" hidden="false" customHeight="false" outlineLevel="0" collapsed="false">
      <c r="A229" s="0" t="s">
        <v>49</v>
      </c>
      <c r="B229" s="0" t="s">
        <v>2244</v>
      </c>
      <c r="C229" s="0" t="n">
        <v>7210</v>
      </c>
      <c r="D229" s="0" t="s">
        <v>715</v>
      </c>
      <c r="E229" s="0" t="s">
        <v>443</v>
      </c>
      <c r="F229" s="233" t="n">
        <v>46357</v>
      </c>
      <c r="G229" s="1" t="s">
        <v>810</v>
      </c>
      <c r="H229" s="0" t="n">
        <v>11250</v>
      </c>
      <c r="I229" s="0" t="n">
        <v>135000</v>
      </c>
      <c r="J229" s="1" t="s">
        <v>2615</v>
      </c>
      <c r="K229" s="1" t="s">
        <v>1208</v>
      </c>
    </row>
    <row r="230" customFormat="false" ht="13.5" hidden="false" customHeight="false" outlineLevel="0" collapsed="false">
      <c r="A230" s="0" t="s">
        <v>49</v>
      </c>
      <c r="B230" s="0" t="s">
        <v>2244</v>
      </c>
      <c r="C230" s="0" t="n">
        <v>7220</v>
      </c>
      <c r="D230" s="0" t="s">
        <v>717</v>
      </c>
      <c r="E230" s="0" t="s">
        <v>443</v>
      </c>
      <c r="F230" s="233" t="n">
        <v>46023</v>
      </c>
      <c r="G230" s="1" t="s">
        <v>799</v>
      </c>
      <c r="H230" s="0" t="n">
        <v>666.666666666667</v>
      </c>
      <c r="I230" s="0" t="n">
        <v>8000</v>
      </c>
      <c r="J230" s="1" t="s">
        <v>2615</v>
      </c>
      <c r="K230" s="1" t="s">
        <v>1208</v>
      </c>
    </row>
    <row r="231" customFormat="false" ht="13.5" hidden="false" customHeight="false" outlineLevel="0" collapsed="false">
      <c r="A231" s="0" t="s">
        <v>49</v>
      </c>
      <c r="B231" s="0" t="s">
        <v>2244</v>
      </c>
      <c r="C231" s="0" t="n">
        <v>7220</v>
      </c>
      <c r="D231" s="0" t="s">
        <v>717</v>
      </c>
      <c r="E231" s="0" t="s">
        <v>443</v>
      </c>
      <c r="F231" s="233" t="n">
        <v>46054</v>
      </c>
      <c r="G231" s="1" t="s">
        <v>800</v>
      </c>
      <c r="H231" s="0" t="n">
        <v>666.666666666667</v>
      </c>
      <c r="I231" s="0" t="n">
        <v>8000</v>
      </c>
      <c r="J231" s="1" t="s">
        <v>2615</v>
      </c>
      <c r="K231" s="1" t="s">
        <v>1208</v>
      </c>
    </row>
    <row r="232" customFormat="false" ht="13.5" hidden="false" customHeight="false" outlineLevel="0" collapsed="false">
      <c r="A232" s="0" t="s">
        <v>49</v>
      </c>
      <c r="B232" s="0" t="s">
        <v>2244</v>
      </c>
      <c r="C232" s="0" t="n">
        <v>7220</v>
      </c>
      <c r="D232" s="0" t="s">
        <v>717</v>
      </c>
      <c r="E232" s="0" t="s">
        <v>443</v>
      </c>
      <c r="F232" s="233" t="n">
        <v>46082</v>
      </c>
      <c r="G232" s="1" t="s">
        <v>801</v>
      </c>
      <c r="H232" s="0" t="n">
        <v>666.666666666667</v>
      </c>
      <c r="I232" s="0" t="n">
        <v>8000</v>
      </c>
      <c r="J232" s="1" t="s">
        <v>2615</v>
      </c>
      <c r="K232" s="1" t="s">
        <v>1208</v>
      </c>
    </row>
    <row r="233" customFormat="false" ht="13.5" hidden="false" customHeight="false" outlineLevel="0" collapsed="false">
      <c r="A233" s="0" t="s">
        <v>49</v>
      </c>
      <c r="B233" s="0" t="s">
        <v>2244</v>
      </c>
      <c r="C233" s="0" t="n">
        <v>7220</v>
      </c>
      <c r="D233" s="0" t="s">
        <v>717</v>
      </c>
      <c r="E233" s="0" t="s">
        <v>443</v>
      </c>
      <c r="F233" s="233" t="n">
        <v>46113</v>
      </c>
      <c r="G233" s="1" t="s">
        <v>802</v>
      </c>
      <c r="H233" s="0" t="n">
        <v>666.666666666667</v>
      </c>
      <c r="I233" s="0" t="n">
        <v>8000</v>
      </c>
      <c r="J233" s="1" t="s">
        <v>2615</v>
      </c>
      <c r="K233" s="1" t="s">
        <v>1208</v>
      </c>
    </row>
    <row r="234" customFormat="false" ht="13.5" hidden="false" customHeight="false" outlineLevel="0" collapsed="false">
      <c r="A234" s="0" t="s">
        <v>49</v>
      </c>
      <c r="B234" s="0" t="s">
        <v>2244</v>
      </c>
      <c r="C234" s="0" t="n">
        <v>7220</v>
      </c>
      <c r="D234" s="0" t="s">
        <v>717</v>
      </c>
      <c r="E234" s="0" t="s">
        <v>443</v>
      </c>
      <c r="F234" s="233" t="n">
        <v>46143</v>
      </c>
      <c r="G234" s="1" t="s">
        <v>803</v>
      </c>
      <c r="H234" s="0" t="n">
        <v>666.666666666667</v>
      </c>
      <c r="I234" s="0" t="n">
        <v>8000</v>
      </c>
      <c r="J234" s="1" t="s">
        <v>2615</v>
      </c>
      <c r="K234" s="1" t="s">
        <v>1208</v>
      </c>
    </row>
    <row r="235" customFormat="false" ht="13.5" hidden="false" customHeight="false" outlineLevel="0" collapsed="false">
      <c r="A235" s="0" t="s">
        <v>49</v>
      </c>
      <c r="B235" s="0" t="s">
        <v>2244</v>
      </c>
      <c r="C235" s="0" t="n">
        <v>7220</v>
      </c>
      <c r="D235" s="0" t="s">
        <v>717</v>
      </c>
      <c r="E235" s="0" t="s">
        <v>443</v>
      </c>
      <c r="F235" s="233" t="n">
        <v>46174</v>
      </c>
      <c r="G235" s="1" t="s">
        <v>804</v>
      </c>
      <c r="H235" s="0" t="n">
        <v>666.666666666667</v>
      </c>
      <c r="I235" s="0" t="n">
        <v>8000</v>
      </c>
      <c r="J235" s="1" t="s">
        <v>2615</v>
      </c>
      <c r="K235" s="1" t="s">
        <v>1208</v>
      </c>
    </row>
    <row r="236" customFormat="false" ht="13.5" hidden="false" customHeight="false" outlineLevel="0" collapsed="false">
      <c r="A236" s="0" t="s">
        <v>49</v>
      </c>
      <c r="B236" s="0" t="s">
        <v>2244</v>
      </c>
      <c r="C236" s="0" t="n">
        <v>7220</v>
      </c>
      <c r="D236" s="0" t="s">
        <v>717</v>
      </c>
      <c r="E236" s="0" t="s">
        <v>443</v>
      </c>
      <c r="F236" s="233" t="n">
        <v>46204</v>
      </c>
      <c r="G236" s="1" t="s">
        <v>805</v>
      </c>
      <c r="H236" s="0" t="n">
        <v>666.666666666667</v>
      </c>
      <c r="I236" s="0" t="n">
        <v>8000</v>
      </c>
      <c r="J236" s="1" t="s">
        <v>2615</v>
      </c>
      <c r="K236" s="1" t="s">
        <v>1208</v>
      </c>
    </row>
    <row r="237" customFormat="false" ht="13.5" hidden="false" customHeight="false" outlineLevel="0" collapsed="false">
      <c r="A237" s="0" t="s">
        <v>49</v>
      </c>
      <c r="B237" s="0" t="s">
        <v>2244</v>
      </c>
      <c r="C237" s="0" t="n">
        <v>7220</v>
      </c>
      <c r="D237" s="0" t="s">
        <v>717</v>
      </c>
      <c r="E237" s="0" t="s">
        <v>443</v>
      </c>
      <c r="F237" s="233" t="n">
        <v>46235</v>
      </c>
      <c r="G237" s="1" t="s">
        <v>806</v>
      </c>
      <c r="H237" s="0" t="n">
        <v>666.666666666667</v>
      </c>
      <c r="I237" s="0" t="n">
        <v>8000</v>
      </c>
      <c r="J237" s="1" t="s">
        <v>2615</v>
      </c>
      <c r="K237" s="1" t="s">
        <v>1208</v>
      </c>
    </row>
    <row r="238" customFormat="false" ht="13.5" hidden="false" customHeight="false" outlineLevel="0" collapsed="false">
      <c r="A238" s="0" t="s">
        <v>49</v>
      </c>
      <c r="B238" s="0" t="s">
        <v>2244</v>
      </c>
      <c r="C238" s="0" t="n">
        <v>7220</v>
      </c>
      <c r="D238" s="0" t="s">
        <v>717</v>
      </c>
      <c r="E238" s="0" t="s">
        <v>443</v>
      </c>
      <c r="F238" s="233" t="n">
        <v>46266</v>
      </c>
      <c r="G238" s="1" t="s">
        <v>2616</v>
      </c>
      <c r="H238" s="0" t="n">
        <v>666.666666666667</v>
      </c>
      <c r="I238" s="0" t="n">
        <v>8000</v>
      </c>
      <c r="J238" s="1" t="s">
        <v>2615</v>
      </c>
      <c r="K238" s="1" t="s">
        <v>1208</v>
      </c>
    </row>
    <row r="239" customFormat="false" ht="13.5" hidden="false" customHeight="false" outlineLevel="0" collapsed="false">
      <c r="A239" s="0" t="s">
        <v>49</v>
      </c>
      <c r="B239" s="0" t="s">
        <v>2244</v>
      </c>
      <c r="C239" s="0" t="n">
        <v>7220</v>
      </c>
      <c r="D239" s="0" t="s">
        <v>717</v>
      </c>
      <c r="E239" s="0" t="s">
        <v>443</v>
      </c>
      <c r="F239" s="233" t="n">
        <v>46296</v>
      </c>
      <c r="G239" s="1" t="s">
        <v>808</v>
      </c>
      <c r="H239" s="0" t="n">
        <v>666.666666666667</v>
      </c>
      <c r="I239" s="0" t="n">
        <v>8000</v>
      </c>
      <c r="J239" s="1" t="s">
        <v>2615</v>
      </c>
      <c r="K239" s="1" t="s">
        <v>1208</v>
      </c>
    </row>
    <row r="240" customFormat="false" ht="13.5" hidden="false" customHeight="false" outlineLevel="0" collapsed="false">
      <c r="A240" s="0" t="s">
        <v>49</v>
      </c>
      <c r="B240" s="0" t="s">
        <v>2244</v>
      </c>
      <c r="C240" s="0" t="n">
        <v>7220</v>
      </c>
      <c r="D240" s="0" t="s">
        <v>717</v>
      </c>
      <c r="E240" s="0" t="s">
        <v>443</v>
      </c>
      <c r="F240" s="233" t="n">
        <v>46327</v>
      </c>
      <c r="G240" s="1" t="s">
        <v>809</v>
      </c>
      <c r="H240" s="0" t="n">
        <v>666.666666666667</v>
      </c>
      <c r="I240" s="0" t="n">
        <v>8000</v>
      </c>
      <c r="J240" s="1" t="s">
        <v>2615</v>
      </c>
      <c r="K240" s="1" t="s">
        <v>1208</v>
      </c>
    </row>
    <row r="241" customFormat="false" ht="13.5" hidden="false" customHeight="false" outlineLevel="0" collapsed="false">
      <c r="A241" s="0" t="s">
        <v>49</v>
      </c>
      <c r="B241" s="0" t="s">
        <v>2244</v>
      </c>
      <c r="C241" s="0" t="n">
        <v>7220</v>
      </c>
      <c r="D241" s="0" t="s">
        <v>717</v>
      </c>
      <c r="E241" s="0" t="s">
        <v>443</v>
      </c>
      <c r="F241" s="233" t="n">
        <v>46357</v>
      </c>
      <c r="G241" s="1" t="s">
        <v>810</v>
      </c>
      <c r="H241" s="0" t="n">
        <v>666.666666666667</v>
      </c>
      <c r="I241" s="0" t="n">
        <v>8000</v>
      </c>
      <c r="J241" s="1" t="s">
        <v>2615</v>
      </c>
      <c r="K241" s="1" t="s">
        <v>1208</v>
      </c>
    </row>
    <row r="242" customFormat="false" ht="13.5" hidden="false" customHeight="false" outlineLevel="0" collapsed="false">
      <c r="A242" s="0" t="s">
        <v>49</v>
      </c>
      <c r="B242" s="0" t="s">
        <v>2244</v>
      </c>
      <c r="C242" s="0" t="n">
        <v>7400</v>
      </c>
      <c r="D242" s="0" t="s">
        <v>719</v>
      </c>
      <c r="E242" s="0" t="s">
        <v>439</v>
      </c>
      <c r="F242" s="233" t="n">
        <v>46023</v>
      </c>
      <c r="G242" s="1" t="s">
        <v>799</v>
      </c>
      <c r="H242" s="0" t="n">
        <v>16239.1208333333</v>
      </c>
      <c r="I242" s="0" t="n">
        <v>194869.45</v>
      </c>
      <c r="J242" s="1" t="s">
        <v>2615</v>
      </c>
      <c r="K242" s="1" t="s">
        <v>1208</v>
      </c>
    </row>
    <row r="243" customFormat="false" ht="13.5" hidden="false" customHeight="false" outlineLevel="0" collapsed="false">
      <c r="A243" s="0" t="s">
        <v>49</v>
      </c>
      <c r="B243" s="0" t="s">
        <v>2244</v>
      </c>
      <c r="C243" s="0" t="n">
        <v>7400</v>
      </c>
      <c r="D243" s="0" t="s">
        <v>719</v>
      </c>
      <c r="E243" s="0" t="s">
        <v>439</v>
      </c>
      <c r="F243" s="233" t="n">
        <v>46054</v>
      </c>
      <c r="G243" s="1" t="s">
        <v>800</v>
      </c>
      <c r="H243" s="0" t="n">
        <v>16239.1208333333</v>
      </c>
      <c r="I243" s="0" t="n">
        <v>194869.45</v>
      </c>
      <c r="J243" s="1" t="s">
        <v>2615</v>
      </c>
      <c r="K243" s="1" t="s">
        <v>1208</v>
      </c>
    </row>
    <row r="244" customFormat="false" ht="13.5" hidden="false" customHeight="false" outlineLevel="0" collapsed="false">
      <c r="A244" s="0" t="s">
        <v>49</v>
      </c>
      <c r="B244" s="0" t="s">
        <v>2244</v>
      </c>
      <c r="C244" s="0" t="n">
        <v>7400</v>
      </c>
      <c r="D244" s="0" t="s">
        <v>719</v>
      </c>
      <c r="E244" s="0" t="s">
        <v>439</v>
      </c>
      <c r="F244" s="233" t="n">
        <v>46082</v>
      </c>
      <c r="G244" s="1" t="s">
        <v>801</v>
      </c>
      <c r="H244" s="0" t="n">
        <v>16239.1208333333</v>
      </c>
      <c r="I244" s="0" t="n">
        <v>194869.45</v>
      </c>
      <c r="J244" s="1" t="s">
        <v>2615</v>
      </c>
      <c r="K244" s="1" t="s">
        <v>1208</v>
      </c>
    </row>
    <row r="245" customFormat="false" ht="13.5" hidden="false" customHeight="false" outlineLevel="0" collapsed="false">
      <c r="A245" s="0" t="s">
        <v>49</v>
      </c>
      <c r="B245" s="0" t="s">
        <v>2244</v>
      </c>
      <c r="C245" s="0" t="n">
        <v>7400</v>
      </c>
      <c r="D245" s="0" t="s">
        <v>719</v>
      </c>
      <c r="E245" s="0" t="s">
        <v>439</v>
      </c>
      <c r="F245" s="233" t="n">
        <v>46113</v>
      </c>
      <c r="G245" s="1" t="s">
        <v>802</v>
      </c>
      <c r="H245" s="0" t="n">
        <v>16239.1208333333</v>
      </c>
      <c r="I245" s="0" t="n">
        <v>194869.45</v>
      </c>
      <c r="J245" s="1" t="s">
        <v>2615</v>
      </c>
      <c r="K245" s="1" t="s">
        <v>1208</v>
      </c>
    </row>
    <row r="246" customFormat="false" ht="13.5" hidden="false" customHeight="false" outlineLevel="0" collapsed="false">
      <c r="A246" s="0" t="s">
        <v>49</v>
      </c>
      <c r="B246" s="0" t="s">
        <v>2244</v>
      </c>
      <c r="C246" s="0" t="n">
        <v>7400</v>
      </c>
      <c r="D246" s="0" t="s">
        <v>719</v>
      </c>
      <c r="E246" s="0" t="s">
        <v>439</v>
      </c>
      <c r="F246" s="233" t="n">
        <v>46143</v>
      </c>
      <c r="G246" s="1" t="s">
        <v>803</v>
      </c>
      <c r="H246" s="0" t="n">
        <v>16239.1208333333</v>
      </c>
      <c r="I246" s="0" t="n">
        <v>194869.45</v>
      </c>
      <c r="J246" s="1" t="s">
        <v>2615</v>
      </c>
      <c r="K246" s="1" t="s">
        <v>1208</v>
      </c>
    </row>
    <row r="247" customFormat="false" ht="13.5" hidden="false" customHeight="false" outlineLevel="0" collapsed="false">
      <c r="A247" s="0" t="s">
        <v>49</v>
      </c>
      <c r="B247" s="0" t="s">
        <v>2244</v>
      </c>
      <c r="C247" s="0" t="n">
        <v>7400</v>
      </c>
      <c r="D247" s="0" t="s">
        <v>719</v>
      </c>
      <c r="E247" s="0" t="s">
        <v>439</v>
      </c>
      <c r="F247" s="233" t="n">
        <v>46174</v>
      </c>
      <c r="G247" s="1" t="s">
        <v>804</v>
      </c>
      <c r="H247" s="0" t="n">
        <v>16239.1208333333</v>
      </c>
      <c r="I247" s="0" t="n">
        <v>194869.45</v>
      </c>
      <c r="J247" s="1" t="s">
        <v>2615</v>
      </c>
      <c r="K247" s="1" t="s">
        <v>1208</v>
      </c>
    </row>
    <row r="248" customFormat="false" ht="13.5" hidden="false" customHeight="false" outlineLevel="0" collapsed="false">
      <c r="A248" s="0" t="s">
        <v>49</v>
      </c>
      <c r="B248" s="0" t="s">
        <v>2244</v>
      </c>
      <c r="C248" s="0" t="n">
        <v>7400</v>
      </c>
      <c r="D248" s="0" t="s">
        <v>719</v>
      </c>
      <c r="E248" s="0" t="s">
        <v>439</v>
      </c>
      <c r="F248" s="233" t="n">
        <v>46204</v>
      </c>
      <c r="G248" s="1" t="s">
        <v>805</v>
      </c>
      <c r="H248" s="0" t="n">
        <v>16239.1208333333</v>
      </c>
      <c r="I248" s="0" t="n">
        <v>194869.45</v>
      </c>
      <c r="J248" s="1" t="s">
        <v>2615</v>
      </c>
      <c r="K248" s="1" t="s">
        <v>1208</v>
      </c>
    </row>
    <row r="249" customFormat="false" ht="13.5" hidden="false" customHeight="false" outlineLevel="0" collapsed="false">
      <c r="A249" s="0" t="s">
        <v>49</v>
      </c>
      <c r="B249" s="0" t="s">
        <v>2244</v>
      </c>
      <c r="C249" s="0" t="n">
        <v>7400</v>
      </c>
      <c r="D249" s="0" t="s">
        <v>719</v>
      </c>
      <c r="E249" s="0" t="s">
        <v>439</v>
      </c>
      <c r="F249" s="233" t="n">
        <v>46235</v>
      </c>
      <c r="G249" s="1" t="s">
        <v>806</v>
      </c>
      <c r="H249" s="0" t="n">
        <v>16239.1208333333</v>
      </c>
      <c r="I249" s="0" t="n">
        <v>194869.45</v>
      </c>
      <c r="J249" s="1" t="s">
        <v>2615</v>
      </c>
      <c r="K249" s="1" t="s">
        <v>1208</v>
      </c>
    </row>
    <row r="250" customFormat="false" ht="13.5" hidden="false" customHeight="false" outlineLevel="0" collapsed="false">
      <c r="A250" s="0" t="s">
        <v>49</v>
      </c>
      <c r="B250" s="0" t="s">
        <v>2244</v>
      </c>
      <c r="C250" s="0" t="n">
        <v>7400</v>
      </c>
      <c r="D250" s="0" t="s">
        <v>719</v>
      </c>
      <c r="E250" s="0" t="s">
        <v>439</v>
      </c>
      <c r="F250" s="233" t="n">
        <v>46266</v>
      </c>
      <c r="G250" s="1" t="s">
        <v>2616</v>
      </c>
      <c r="H250" s="0" t="n">
        <v>16239.1208333333</v>
      </c>
      <c r="I250" s="0" t="n">
        <v>194869.45</v>
      </c>
      <c r="J250" s="1" t="s">
        <v>2615</v>
      </c>
      <c r="K250" s="1" t="s">
        <v>1208</v>
      </c>
    </row>
    <row r="251" customFormat="false" ht="13.5" hidden="false" customHeight="false" outlineLevel="0" collapsed="false">
      <c r="A251" s="0" t="s">
        <v>49</v>
      </c>
      <c r="B251" s="0" t="s">
        <v>2244</v>
      </c>
      <c r="C251" s="0" t="n">
        <v>7400</v>
      </c>
      <c r="D251" s="0" t="s">
        <v>719</v>
      </c>
      <c r="E251" s="0" t="s">
        <v>439</v>
      </c>
      <c r="F251" s="233" t="n">
        <v>46296</v>
      </c>
      <c r="G251" s="1" t="s">
        <v>808</v>
      </c>
      <c r="H251" s="0" t="n">
        <v>16239.1208333333</v>
      </c>
      <c r="I251" s="0" t="n">
        <v>194869.45</v>
      </c>
      <c r="J251" s="1" t="s">
        <v>2615</v>
      </c>
      <c r="K251" s="1" t="s">
        <v>1208</v>
      </c>
    </row>
    <row r="252" customFormat="false" ht="13.5" hidden="false" customHeight="false" outlineLevel="0" collapsed="false">
      <c r="A252" s="0" t="s">
        <v>49</v>
      </c>
      <c r="B252" s="0" t="s">
        <v>2244</v>
      </c>
      <c r="C252" s="0" t="n">
        <v>7400</v>
      </c>
      <c r="D252" s="0" t="s">
        <v>719</v>
      </c>
      <c r="E252" s="0" t="s">
        <v>439</v>
      </c>
      <c r="F252" s="233" t="n">
        <v>46327</v>
      </c>
      <c r="G252" s="1" t="s">
        <v>809</v>
      </c>
      <c r="H252" s="0" t="n">
        <v>16239.1208333333</v>
      </c>
      <c r="I252" s="0" t="n">
        <v>194869.45</v>
      </c>
      <c r="J252" s="1" t="s">
        <v>2615</v>
      </c>
      <c r="K252" s="1" t="s">
        <v>1208</v>
      </c>
    </row>
    <row r="253" customFormat="false" ht="13.5" hidden="false" customHeight="false" outlineLevel="0" collapsed="false">
      <c r="A253" s="0" t="s">
        <v>49</v>
      </c>
      <c r="B253" s="0" t="s">
        <v>2244</v>
      </c>
      <c r="C253" s="0" t="n">
        <v>7400</v>
      </c>
      <c r="D253" s="0" t="s">
        <v>719</v>
      </c>
      <c r="E253" s="0" t="s">
        <v>439</v>
      </c>
      <c r="F253" s="233" t="n">
        <v>46357</v>
      </c>
      <c r="G253" s="1" t="s">
        <v>810</v>
      </c>
      <c r="H253" s="0" t="n">
        <v>16239.1208333333</v>
      </c>
      <c r="I253" s="0" t="n">
        <v>194869.45</v>
      </c>
      <c r="J253" s="1" t="s">
        <v>2615</v>
      </c>
      <c r="K253" s="1" t="s">
        <v>1208</v>
      </c>
    </row>
    <row r="254" customFormat="false" ht="13.5" hidden="false" customHeight="false" outlineLevel="0" collapsed="false">
      <c r="A254" s="0" t="s">
        <v>49</v>
      </c>
      <c r="B254" s="0" t="s">
        <v>2244</v>
      </c>
      <c r="C254" s="0" t="n">
        <v>7410</v>
      </c>
      <c r="D254" s="0" t="s">
        <v>721</v>
      </c>
      <c r="E254" s="0" t="s">
        <v>439</v>
      </c>
      <c r="F254" s="233" t="n">
        <v>46023</v>
      </c>
      <c r="G254" s="1" t="s">
        <v>799</v>
      </c>
      <c r="H254" s="0" t="n">
        <v>4166.66666666667</v>
      </c>
      <c r="I254" s="0" t="n">
        <v>50000</v>
      </c>
      <c r="J254" s="1" t="s">
        <v>2615</v>
      </c>
      <c r="K254" s="1" t="s">
        <v>1208</v>
      </c>
    </row>
    <row r="255" customFormat="false" ht="13.5" hidden="false" customHeight="false" outlineLevel="0" collapsed="false">
      <c r="A255" s="0" t="s">
        <v>49</v>
      </c>
      <c r="B255" s="0" t="s">
        <v>2244</v>
      </c>
      <c r="C255" s="0" t="n">
        <v>7410</v>
      </c>
      <c r="D255" s="0" t="s">
        <v>721</v>
      </c>
      <c r="E255" s="0" t="s">
        <v>439</v>
      </c>
      <c r="F255" s="233" t="n">
        <v>46054</v>
      </c>
      <c r="G255" s="1" t="s">
        <v>800</v>
      </c>
      <c r="H255" s="0" t="n">
        <v>4166.66666666667</v>
      </c>
      <c r="I255" s="0" t="n">
        <v>50000</v>
      </c>
      <c r="J255" s="1" t="s">
        <v>2615</v>
      </c>
      <c r="K255" s="1" t="s">
        <v>1208</v>
      </c>
    </row>
    <row r="256" customFormat="false" ht="13.5" hidden="false" customHeight="false" outlineLevel="0" collapsed="false">
      <c r="A256" s="0" t="s">
        <v>49</v>
      </c>
      <c r="B256" s="0" t="s">
        <v>2244</v>
      </c>
      <c r="C256" s="0" t="n">
        <v>7410</v>
      </c>
      <c r="D256" s="0" t="s">
        <v>721</v>
      </c>
      <c r="E256" s="0" t="s">
        <v>439</v>
      </c>
      <c r="F256" s="233" t="n">
        <v>46082</v>
      </c>
      <c r="G256" s="1" t="s">
        <v>801</v>
      </c>
      <c r="H256" s="0" t="n">
        <v>4166.66666666667</v>
      </c>
      <c r="I256" s="0" t="n">
        <v>50000</v>
      </c>
      <c r="J256" s="1" t="s">
        <v>2615</v>
      </c>
      <c r="K256" s="1" t="s">
        <v>1208</v>
      </c>
    </row>
    <row r="257" customFormat="false" ht="13.5" hidden="false" customHeight="false" outlineLevel="0" collapsed="false">
      <c r="A257" s="0" t="s">
        <v>49</v>
      </c>
      <c r="B257" s="0" t="s">
        <v>2244</v>
      </c>
      <c r="C257" s="0" t="n">
        <v>7410</v>
      </c>
      <c r="D257" s="0" t="s">
        <v>721</v>
      </c>
      <c r="E257" s="0" t="s">
        <v>439</v>
      </c>
      <c r="F257" s="233" t="n">
        <v>46113</v>
      </c>
      <c r="G257" s="1" t="s">
        <v>802</v>
      </c>
      <c r="H257" s="0" t="n">
        <v>4166.66666666667</v>
      </c>
      <c r="I257" s="0" t="n">
        <v>50000</v>
      </c>
      <c r="J257" s="1" t="s">
        <v>2615</v>
      </c>
      <c r="K257" s="1" t="s">
        <v>1208</v>
      </c>
    </row>
    <row r="258" customFormat="false" ht="13.5" hidden="false" customHeight="false" outlineLevel="0" collapsed="false">
      <c r="A258" s="0" t="s">
        <v>49</v>
      </c>
      <c r="B258" s="0" t="s">
        <v>2244</v>
      </c>
      <c r="C258" s="0" t="n">
        <v>7410</v>
      </c>
      <c r="D258" s="0" t="s">
        <v>721</v>
      </c>
      <c r="E258" s="0" t="s">
        <v>439</v>
      </c>
      <c r="F258" s="233" t="n">
        <v>46143</v>
      </c>
      <c r="G258" s="1" t="s">
        <v>803</v>
      </c>
      <c r="H258" s="0" t="n">
        <v>4166.66666666667</v>
      </c>
      <c r="I258" s="0" t="n">
        <v>50000</v>
      </c>
      <c r="J258" s="1" t="s">
        <v>2615</v>
      </c>
      <c r="K258" s="1" t="s">
        <v>1208</v>
      </c>
    </row>
    <row r="259" customFormat="false" ht="13.5" hidden="false" customHeight="false" outlineLevel="0" collapsed="false">
      <c r="A259" s="0" t="s">
        <v>49</v>
      </c>
      <c r="B259" s="0" t="s">
        <v>2244</v>
      </c>
      <c r="C259" s="0" t="n">
        <v>7410</v>
      </c>
      <c r="D259" s="0" t="s">
        <v>721</v>
      </c>
      <c r="E259" s="0" t="s">
        <v>439</v>
      </c>
      <c r="F259" s="233" t="n">
        <v>46174</v>
      </c>
      <c r="G259" s="1" t="s">
        <v>804</v>
      </c>
      <c r="H259" s="0" t="n">
        <v>4166.66666666667</v>
      </c>
      <c r="I259" s="0" t="n">
        <v>50000</v>
      </c>
      <c r="J259" s="1" t="s">
        <v>2615</v>
      </c>
      <c r="K259" s="1" t="s">
        <v>1208</v>
      </c>
    </row>
    <row r="260" customFormat="false" ht="13.5" hidden="false" customHeight="false" outlineLevel="0" collapsed="false">
      <c r="A260" s="0" t="s">
        <v>49</v>
      </c>
      <c r="B260" s="0" t="s">
        <v>2244</v>
      </c>
      <c r="C260" s="0" t="n">
        <v>7410</v>
      </c>
      <c r="D260" s="0" t="s">
        <v>721</v>
      </c>
      <c r="E260" s="0" t="s">
        <v>439</v>
      </c>
      <c r="F260" s="233" t="n">
        <v>46204</v>
      </c>
      <c r="G260" s="1" t="s">
        <v>805</v>
      </c>
      <c r="H260" s="0" t="n">
        <v>4166.66666666667</v>
      </c>
      <c r="I260" s="0" t="n">
        <v>50000</v>
      </c>
      <c r="J260" s="1" t="s">
        <v>2615</v>
      </c>
      <c r="K260" s="1" t="s">
        <v>1208</v>
      </c>
    </row>
    <row r="261" customFormat="false" ht="13.5" hidden="false" customHeight="false" outlineLevel="0" collapsed="false">
      <c r="A261" s="0" t="s">
        <v>49</v>
      </c>
      <c r="B261" s="0" t="s">
        <v>2244</v>
      </c>
      <c r="C261" s="0" t="n">
        <v>7410</v>
      </c>
      <c r="D261" s="0" t="s">
        <v>721</v>
      </c>
      <c r="E261" s="0" t="s">
        <v>439</v>
      </c>
      <c r="F261" s="233" t="n">
        <v>46235</v>
      </c>
      <c r="G261" s="1" t="s">
        <v>806</v>
      </c>
      <c r="H261" s="0" t="n">
        <v>4166.66666666667</v>
      </c>
      <c r="I261" s="0" t="n">
        <v>50000</v>
      </c>
      <c r="J261" s="1" t="s">
        <v>2615</v>
      </c>
      <c r="K261" s="1" t="s">
        <v>1208</v>
      </c>
    </row>
    <row r="262" customFormat="false" ht="13.5" hidden="false" customHeight="false" outlineLevel="0" collapsed="false">
      <c r="A262" s="0" t="s">
        <v>49</v>
      </c>
      <c r="B262" s="0" t="s">
        <v>2244</v>
      </c>
      <c r="C262" s="0" t="n">
        <v>7410</v>
      </c>
      <c r="D262" s="0" t="s">
        <v>721</v>
      </c>
      <c r="E262" s="0" t="s">
        <v>439</v>
      </c>
      <c r="F262" s="233" t="n">
        <v>46266</v>
      </c>
      <c r="G262" s="1" t="s">
        <v>2616</v>
      </c>
      <c r="H262" s="0" t="n">
        <v>4166.66666666667</v>
      </c>
      <c r="I262" s="0" t="n">
        <v>50000</v>
      </c>
      <c r="J262" s="1" t="s">
        <v>2615</v>
      </c>
      <c r="K262" s="1" t="s">
        <v>1208</v>
      </c>
    </row>
    <row r="263" customFormat="false" ht="13.5" hidden="false" customHeight="false" outlineLevel="0" collapsed="false">
      <c r="A263" s="0" t="s">
        <v>49</v>
      </c>
      <c r="B263" s="0" t="s">
        <v>2244</v>
      </c>
      <c r="C263" s="0" t="n">
        <v>7410</v>
      </c>
      <c r="D263" s="0" t="s">
        <v>721</v>
      </c>
      <c r="E263" s="0" t="s">
        <v>439</v>
      </c>
      <c r="F263" s="233" t="n">
        <v>46296</v>
      </c>
      <c r="G263" s="1" t="s">
        <v>808</v>
      </c>
      <c r="H263" s="0" t="n">
        <v>4166.66666666667</v>
      </c>
      <c r="I263" s="0" t="n">
        <v>50000</v>
      </c>
      <c r="J263" s="1" t="s">
        <v>2615</v>
      </c>
      <c r="K263" s="1" t="s">
        <v>1208</v>
      </c>
    </row>
    <row r="264" customFormat="false" ht="13.5" hidden="false" customHeight="false" outlineLevel="0" collapsed="false">
      <c r="A264" s="0" t="s">
        <v>49</v>
      </c>
      <c r="B264" s="0" t="s">
        <v>2244</v>
      </c>
      <c r="C264" s="0" t="n">
        <v>7410</v>
      </c>
      <c r="D264" s="0" t="s">
        <v>721</v>
      </c>
      <c r="E264" s="0" t="s">
        <v>439</v>
      </c>
      <c r="F264" s="233" t="n">
        <v>46327</v>
      </c>
      <c r="G264" s="1" t="s">
        <v>809</v>
      </c>
      <c r="H264" s="0" t="n">
        <v>4166.66666666667</v>
      </c>
      <c r="I264" s="0" t="n">
        <v>50000</v>
      </c>
      <c r="J264" s="1" t="s">
        <v>2615</v>
      </c>
      <c r="K264" s="1" t="s">
        <v>1208</v>
      </c>
    </row>
    <row r="265" customFormat="false" ht="13.5" hidden="false" customHeight="false" outlineLevel="0" collapsed="false">
      <c r="A265" s="0" t="s">
        <v>49</v>
      </c>
      <c r="B265" s="0" t="s">
        <v>2244</v>
      </c>
      <c r="C265" s="0" t="n">
        <v>7410</v>
      </c>
      <c r="D265" s="0" t="s">
        <v>721</v>
      </c>
      <c r="E265" s="0" t="s">
        <v>439</v>
      </c>
      <c r="F265" s="233" t="n">
        <v>46357</v>
      </c>
      <c r="G265" s="1" t="s">
        <v>810</v>
      </c>
      <c r="H265" s="0" t="n">
        <v>4166.66666666667</v>
      </c>
      <c r="I265" s="0" t="n">
        <v>50000</v>
      </c>
      <c r="J265" s="1" t="s">
        <v>2615</v>
      </c>
      <c r="K265" s="1" t="s">
        <v>1208</v>
      </c>
    </row>
    <row r="266" customFormat="false" ht="13.5" hidden="false" customHeight="false" outlineLevel="0" collapsed="false">
      <c r="A266" s="0" t="s">
        <v>49</v>
      </c>
      <c r="B266" s="0" t="s">
        <v>2244</v>
      </c>
      <c r="C266" s="0" t="n">
        <v>7420</v>
      </c>
      <c r="D266" s="0" t="s">
        <v>723</v>
      </c>
      <c r="E266" s="0" t="s">
        <v>438</v>
      </c>
      <c r="F266" s="233" t="n">
        <v>46023</v>
      </c>
      <c r="G266" s="1" t="s">
        <v>799</v>
      </c>
      <c r="H266" s="0" t="n">
        <v>4462.44166666667</v>
      </c>
      <c r="I266" s="0" t="n">
        <v>53549.3</v>
      </c>
      <c r="J266" s="1" t="s">
        <v>2615</v>
      </c>
      <c r="K266" s="1" t="s">
        <v>1208</v>
      </c>
    </row>
    <row r="267" customFormat="false" ht="13.5" hidden="false" customHeight="false" outlineLevel="0" collapsed="false">
      <c r="A267" s="0" t="s">
        <v>49</v>
      </c>
      <c r="B267" s="0" t="s">
        <v>2244</v>
      </c>
      <c r="C267" s="0" t="n">
        <v>7420</v>
      </c>
      <c r="D267" s="0" t="s">
        <v>723</v>
      </c>
      <c r="E267" s="0" t="s">
        <v>438</v>
      </c>
      <c r="F267" s="233" t="n">
        <v>46054</v>
      </c>
      <c r="G267" s="1" t="s">
        <v>800</v>
      </c>
      <c r="H267" s="0" t="n">
        <v>4462.44166666667</v>
      </c>
      <c r="I267" s="0" t="n">
        <v>53549.3</v>
      </c>
      <c r="J267" s="1" t="s">
        <v>2615</v>
      </c>
      <c r="K267" s="1" t="s">
        <v>1208</v>
      </c>
    </row>
    <row r="268" customFormat="false" ht="13.5" hidden="false" customHeight="false" outlineLevel="0" collapsed="false">
      <c r="A268" s="0" t="s">
        <v>49</v>
      </c>
      <c r="B268" s="0" t="s">
        <v>2244</v>
      </c>
      <c r="C268" s="0" t="n">
        <v>7420</v>
      </c>
      <c r="D268" s="0" t="s">
        <v>723</v>
      </c>
      <c r="E268" s="0" t="s">
        <v>438</v>
      </c>
      <c r="F268" s="233" t="n">
        <v>46082</v>
      </c>
      <c r="G268" s="1" t="s">
        <v>801</v>
      </c>
      <c r="H268" s="0" t="n">
        <v>4462.44166666667</v>
      </c>
      <c r="I268" s="0" t="n">
        <v>53549.3</v>
      </c>
      <c r="J268" s="1" t="s">
        <v>2615</v>
      </c>
      <c r="K268" s="1" t="s">
        <v>1208</v>
      </c>
    </row>
    <row r="269" customFormat="false" ht="13.5" hidden="false" customHeight="false" outlineLevel="0" collapsed="false">
      <c r="A269" s="0" t="s">
        <v>49</v>
      </c>
      <c r="B269" s="0" t="s">
        <v>2244</v>
      </c>
      <c r="C269" s="0" t="n">
        <v>7420</v>
      </c>
      <c r="D269" s="0" t="s">
        <v>723</v>
      </c>
      <c r="E269" s="0" t="s">
        <v>438</v>
      </c>
      <c r="F269" s="233" t="n">
        <v>46113</v>
      </c>
      <c r="G269" s="1" t="s">
        <v>802</v>
      </c>
      <c r="H269" s="0" t="n">
        <v>4462.44166666667</v>
      </c>
      <c r="I269" s="0" t="n">
        <v>53549.3</v>
      </c>
      <c r="J269" s="1" t="s">
        <v>2615</v>
      </c>
      <c r="K269" s="1" t="s">
        <v>1208</v>
      </c>
    </row>
    <row r="270" customFormat="false" ht="13.5" hidden="false" customHeight="false" outlineLevel="0" collapsed="false">
      <c r="A270" s="0" t="s">
        <v>49</v>
      </c>
      <c r="B270" s="0" t="s">
        <v>2244</v>
      </c>
      <c r="C270" s="0" t="n">
        <v>7420</v>
      </c>
      <c r="D270" s="0" t="s">
        <v>723</v>
      </c>
      <c r="E270" s="0" t="s">
        <v>438</v>
      </c>
      <c r="F270" s="233" t="n">
        <v>46143</v>
      </c>
      <c r="G270" s="1" t="s">
        <v>803</v>
      </c>
      <c r="H270" s="0" t="n">
        <v>4462.44166666667</v>
      </c>
      <c r="I270" s="0" t="n">
        <v>53549.3</v>
      </c>
      <c r="J270" s="1" t="s">
        <v>2615</v>
      </c>
      <c r="K270" s="1" t="s">
        <v>1208</v>
      </c>
    </row>
    <row r="271" customFormat="false" ht="13.5" hidden="false" customHeight="false" outlineLevel="0" collapsed="false">
      <c r="A271" s="0" t="s">
        <v>49</v>
      </c>
      <c r="B271" s="0" t="s">
        <v>2244</v>
      </c>
      <c r="C271" s="0" t="n">
        <v>7420</v>
      </c>
      <c r="D271" s="0" t="s">
        <v>723</v>
      </c>
      <c r="E271" s="0" t="s">
        <v>438</v>
      </c>
      <c r="F271" s="233" t="n">
        <v>46174</v>
      </c>
      <c r="G271" s="1" t="s">
        <v>804</v>
      </c>
      <c r="H271" s="0" t="n">
        <v>4462.44166666667</v>
      </c>
      <c r="I271" s="0" t="n">
        <v>53549.3</v>
      </c>
      <c r="J271" s="1" t="s">
        <v>2615</v>
      </c>
      <c r="K271" s="1" t="s">
        <v>1208</v>
      </c>
    </row>
    <row r="272" customFormat="false" ht="13.5" hidden="false" customHeight="false" outlineLevel="0" collapsed="false">
      <c r="A272" s="0" t="s">
        <v>49</v>
      </c>
      <c r="B272" s="0" t="s">
        <v>2244</v>
      </c>
      <c r="C272" s="0" t="n">
        <v>7420</v>
      </c>
      <c r="D272" s="0" t="s">
        <v>723</v>
      </c>
      <c r="E272" s="0" t="s">
        <v>438</v>
      </c>
      <c r="F272" s="233" t="n">
        <v>46204</v>
      </c>
      <c r="G272" s="1" t="s">
        <v>805</v>
      </c>
      <c r="H272" s="0" t="n">
        <v>4462.44166666667</v>
      </c>
      <c r="I272" s="0" t="n">
        <v>53549.3</v>
      </c>
      <c r="J272" s="1" t="s">
        <v>2615</v>
      </c>
      <c r="K272" s="1" t="s">
        <v>1208</v>
      </c>
    </row>
    <row r="273" customFormat="false" ht="13.5" hidden="false" customHeight="false" outlineLevel="0" collapsed="false">
      <c r="A273" s="0" t="s">
        <v>49</v>
      </c>
      <c r="B273" s="0" t="s">
        <v>2244</v>
      </c>
      <c r="C273" s="0" t="n">
        <v>7420</v>
      </c>
      <c r="D273" s="0" t="s">
        <v>723</v>
      </c>
      <c r="E273" s="0" t="s">
        <v>438</v>
      </c>
      <c r="F273" s="233" t="n">
        <v>46235</v>
      </c>
      <c r="G273" s="1" t="s">
        <v>806</v>
      </c>
      <c r="H273" s="0" t="n">
        <v>4462.44166666667</v>
      </c>
      <c r="I273" s="0" t="n">
        <v>53549.3</v>
      </c>
      <c r="J273" s="1" t="s">
        <v>2615</v>
      </c>
      <c r="K273" s="1" t="s">
        <v>1208</v>
      </c>
    </row>
    <row r="274" customFormat="false" ht="13.5" hidden="false" customHeight="false" outlineLevel="0" collapsed="false">
      <c r="A274" s="0" t="s">
        <v>49</v>
      </c>
      <c r="B274" s="0" t="s">
        <v>2244</v>
      </c>
      <c r="C274" s="0" t="n">
        <v>7420</v>
      </c>
      <c r="D274" s="0" t="s">
        <v>723</v>
      </c>
      <c r="E274" s="0" t="s">
        <v>438</v>
      </c>
      <c r="F274" s="233" t="n">
        <v>46266</v>
      </c>
      <c r="G274" s="1" t="s">
        <v>2616</v>
      </c>
      <c r="H274" s="0" t="n">
        <v>4462.44166666667</v>
      </c>
      <c r="I274" s="0" t="n">
        <v>53549.3</v>
      </c>
      <c r="J274" s="1" t="s">
        <v>2615</v>
      </c>
      <c r="K274" s="1" t="s">
        <v>1208</v>
      </c>
    </row>
    <row r="275" customFormat="false" ht="13.5" hidden="false" customHeight="false" outlineLevel="0" collapsed="false">
      <c r="A275" s="0" t="s">
        <v>49</v>
      </c>
      <c r="B275" s="0" t="s">
        <v>2244</v>
      </c>
      <c r="C275" s="0" t="n">
        <v>7420</v>
      </c>
      <c r="D275" s="0" t="s">
        <v>723</v>
      </c>
      <c r="E275" s="0" t="s">
        <v>438</v>
      </c>
      <c r="F275" s="233" t="n">
        <v>46296</v>
      </c>
      <c r="G275" s="1" t="s">
        <v>808</v>
      </c>
      <c r="H275" s="0" t="n">
        <v>4462.44166666667</v>
      </c>
      <c r="I275" s="0" t="n">
        <v>53549.3</v>
      </c>
      <c r="J275" s="1" t="s">
        <v>2615</v>
      </c>
      <c r="K275" s="1" t="s">
        <v>1208</v>
      </c>
    </row>
    <row r="276" customFormat="false" ht="13.5" hidden="false" customHeight="false" outlineLevel="0" collapsed="false">
      <c r="A276" s="0" t="s">
        <v>49</v>
      </c>
      <c r="B276" s="0" t="s">
        <v>2244</v>
      </c>
      <c r="C276" s="0" t="n">
        <v>7420</v>
      </c>
      <c r="D276" s="0" t="s">
        <v>723</v>
      </c>
      <c r="E276" s="0" t="s">
        <v>438</v>
      </c>
      <c r="F276" s="233" t="n">
        <v>46327</v>
      </c>
      <c r="G276" s="1" t="s">
        <v>809</v>
      </c>
      <c r="H276" s="0" t="n">
        <v>4462.44166666667</v>
      </c>
      <c r="I276" s="0" t="n">
        <v>53549.3</v>
      </c>
      <c r="J276" s="1" t="s">
        <v>2615</v>
      </c>
      <c r="K276" s="1" t="s">
        <v>1208</v>
      </c>
    </row>
    <row r="277" customFormat="false" ht="13.5" hidden="false" customHeight="false" outlineLevel="0" collapsed="false">
      <c r="A277" s="0" t="s">
        <v>49</v>
      </c>
      <c r="B277" s="0" t="s">
        <v>2244</v>
      </c>
      <c r="C277" s="0" t="n">
        <v>7420</v>
      </c>
      <c r="D277" s="0" t="s">
        <v>723</v>
      </c>
      <c r="E277" s="0" t="s">
        <v>438</v>
      </c>
      <c r="F277" s="233" t="n">
        <v>46357</v>
      </c>
      <c r="G277" s="1" t="s">
        <v>810</v>
      </c>
      <c r="H277" s="0" t="n">
        <v>4462.44166666667</v>
      </c>
      <c r="I277" s="0" t="n">
        <v>53549.3</v>
      </c>
      <c r="J277" s="1" t="s">
        <v>2615</v>
      </c>
      <c r="K277" s="1" t="s">
        <v>1208</v>
      </c>
    </row>
    <row r="278" customFormat="false" ht="13.5" hidden="false" customHeight="false" outlineLevel="0" collapsed="false">
      <c r="A278" s="0" t="s">
        <v>49</v>
      </c>
      <c r="B278" s="0" t="s">
        <v>2244</v>
      </c>
      <c r="C278" s="0" t="n">
        <v>7430</v>
      </c>
      <c r="D278" s="0" t="s">
        <v>1874</v>
      </c>
      <c r="E278" s="0" t="s">
        <v>438</v>
      </c>
      <c r="F278" s="233" t="n">
        <v>46023</v>
      </c>
      <c r="G278" s="1" t="s">
        <v>799</v>
      </c>
      <c r="H278" s="0" t="n">
        <v>2500</v>
      </c>
      <c r="I278" s="0" t="n">
        <v>30000</v>
      </c>
      <c r="J278" s="1" t="s">
        <v>2615</v>
      </c>
      <c r="K278" s="1" t="s">
        <v>1208</v>
      </c>
    </row>
    <row r="279" customFormat="false" ht="13.5" hidden="false" customHeight="false" outlineLevel="0" collapsed="false">
      <c r="A279" s="0" t="s">
        <v>49</v>
      </c>
      <c r="B279" s="0" t="s">
        <v>2244</v>
      </c>
      <c r="C279" s="0" t="n">
        <v>7430</v>
      </c>
      <c r="D279" s="0" t="s">
        <v>1874</v>
      </c>
      <c r="E279" s="0" t="s">
        <v>438</v>
      </c>
      <c r="F279" s="233" t="n">
        <v>46054</v>
      </c>
      <c r="G279" s="1" t="s">
        <v>800</v>
      </c>
      <c r="H279" s="0" t="n">
        <v>2500</v>
      </c>
      <c r="I279" s="0" t="n">
        <v>30000</v>
      </c>
      <c r="J279" s="1" t="s">
        <v>2615</v>
      </c>
      <c r="K279" s="1" t="s">
        <v>1208</v>
      </c>
    </row>
    <row r="280" customFormat="false" ht="13.5" hidden="false" customHeight="false" outlineLevel="0" collapsed="false">
      <c r="A280" s="0" t="s">
        <v>49</v>
      </c>
      <c r="B280" s="0" t="s">
        <v>2244</v>
      </c>
      <c r="C280" s="0" t="n">
        <v>7430</v>
      </c>
      <c r="D280" s="0" t="s">
        <v>1874</v>
      </c>
      <c r="E280" s="0" t="s">
        <v>438</v>
      </c>
      <c r="F280" s="233" t="n">
        <v>46082</v>
      </c>
      <c r="G280" s="1" t="s">
        <v>801</v>
      </c>
      <c r="H280" s="0" t="n">
        <v>2500</v>
      </c>
      <c r="I280" s="0" t="n">
        <v>30000</v>
      </c>
      <c r="J280" s="1" t="s">
        <v>2615</v>
      </c>
      <c r="K280" s="1" t="s">
        <v>1208</v>
      </c>
    </row>
    <row r="281" customFormat="false" ht="13.5" hidden="false" customHeight="false" outlineLevel="0" collapsed="false">
      <c r="A281" s="0" t="s">
        <v>49</v>
      </c>
      <c r="B281" s="0" t="s">
        <v>2244</v>
      </c>
      <c r="C281" s="0" t="n">
        <v>7430</v>
      </c>
      <c r="D281" s="0" t="s">
        <v>1874</v>
      </c>
      <c r="E281" s="0" t="s">
        <v>438</v>
      </c>
      <c r="F281" s="233" t="n">
        <v>46113</v>
      </c>
      <c r="G281" s="1" t="s">
        <v>802</v>
      </c>
      <c r="H281" s="0" t="n">
        <v>2500</v>
      </c>
      <c r="I281" s="0" t="n">
        <v>30000</v>
      </c>
      <c r="J281" s="1" t="s">
        <v>2615</v>
      </c>
      <c r="K281" s="1" t="s">
        <v>1208</v>
      </c>
    </row>
    <row r="282" customFormat="false" ht="13.5" hidden="false" customHeight="false" outlineLevel="0" collapsed="false">
      <c r="A282" s="0" t="s">
        <v>49</v>
      </c>
      <c r="B282" s="0" t="s">
        <v>2244</v>
      </c>
      <c r="C282" s="0" t="n">
        <v>7430</v>
      </c>
      <c r="D282" s="0" t="s">
        <v>1874</v>
      </c>
      <c r="E282" s="0" t="s">
        <v>438</v>
      </c>
      <c r="F282" s="233" t="n">
        <v>46143</v>
      </c>
      <c r="G282" s="1" t="s">
        <v>803</v>
      </c>
      <c r="H282" s="0" t="n">
        <v>2500</v>
      </c>
      <c r="I282" s="0" t="n">
        <v>30000</v>
      </c>
      <c r="J282" s="1" t="s">
        <v>2615</v>
      </c>
      <c r="K282" s="1" t="s">
        <v>1208</v>
      </c>
    </row>
    <row r="283" customFormat="false" ht="13.5" hidden="false" customHeight="false" outlineLevel="0" collapsed="false">
      <c r="A283" s="0" t="s">
        <v>49</v>
      </c>
      <c r="B283" s="0" t="s">
        <v>2244</v>
      </c>
      <c r="C283" s="0" t="n">
        <v>7430</v>
      </c>
      <c r="D283" s="0" t="s">
        <v>1874</v>
      </c>
      <c r="E283" s="0" t="s">
        <v>438</v>
      </c>
      <c r="F283" s="233" t="n">
        <v>46174</v>
      </c>
      <c r="G283" s="1" t="s">
        <v>804</v>
      </c>
      <c r="H283" s="0" t="n">
        <v>2500</v>
      </c>
      <c r="I283" s="0" t="n">
        <v>30000</v>
      </c>
      <c r="J283" s="1" t="s">
        <v>2615</v>
      </c>
      <c r="K283" s="1" t="s">
        <v>1208</v>
      </c>
    </row>
    <row r="284" customFormat="false" ht="13.5" hidden="false" customHeight="false" outlineLevel="0" collapsed="false">
      <c r="A284" s="0" t="s">
        <v>49</v>
      </c>
      <c r="B284" s="0" t="s">
        <v>2244</v>
      </c>
      <c r="C284" s="0" t="n">
        <v>7430</v>
      </c>
      <c r="D284" s="0" t="s">
        <v>1874</v>
      </c>
      <c r="E284" s="0" t="s">
        <v>438</v>
      </c>
      <c r="F284" s="233" t="n">
        <v>46204</v>
      </c>
      <c r="G284" s="1" t="s">
        <v>805</v>
      </c>
      <c r="H284" s="0" t="n">
        <v>2500</v>
      </c>
      <c r="I284" s="0" t="n">
        <v>30000</v>
      </c>
      <c r="J284" s="1" t="s">
        <v>2615</v>
      </c>
      <c r="K284" s="1" t="s">
        <v>1208</v>
      </c>
    </row>
    <row r="285" customFormat="false" ht="13.5" hidden="false" customHeight="false" outlineLevel="0" collapsed="false">
      <c r="A285" s="0" t="s">
        <v>49</v>
      </c>
      <c r="B285" s="0" t="s">
        <v>2244</v>
      </c>
      <c r="C285" s="0" t="n">
        <v>7430</v>
      </c>
      <c r="D285" s="0" t="s">
        <v>1874</v>
      </c>
      <c r="E285" s="0" t="s">
        <v>438</v>
      </c>
      <c r="F285" s="233" t="n">
        <v>46235</v>
      </c>
      <c r="G285" s="1" t="s">
        <v>806</v>
      </c>
      <c r="H285" s="0" t="n">
        <v>2500</v>
      </c>
      <c r="I285" s="0" t="n">
        <v>30000</v>
      </c>
      <c r="J285" s="1" t="s">
        <v>2615</v>
      </c>
      <c r="K285" s="1" t="s">
        <v>1208</v>
      </c>
    </row>
    <row r="286" customFormat="false" ht="13.5" hidden="false" customHeight="false" outlineLevel="0" collapsed="false">
      <c r="A286" s="0" t="s">
        <v>49</v>
      </c>
      <c r="B286" s="0" t="s">
        <v>2244</v>
      </c>
      <c r="C286" s="0" t="n">
        <v>7430</v>
      </c>
      <c r="D286" s="0" t="s">
        <v>1874</v>
      </c>
      <c r="E286" s="0" t="s">
        <v>438</v>
      </c>
      <c r="F286" s="233" t="n">
        <v>46266</v>
      </c>
      <c r="G286" s="1" t="s">
        <v>2616</v>
      </c>
      <c r="H286" s="0" t="n">
        <v>2500</v>
      </c>
      <c r="I286" s="0" t="n">
        <v>30000</v>
      </c>
      <c r="J286" s="1" t="s">
        <v>2615</v>
      </c>
      <c r="K286" s="1" t="s">
        <v>1208</v>
      </c>
    </row>
    <row r="287" customFormat="false" ht="13.5" hidden="false" customHeight="false" outlineLevel="0" collapsed="false">
      <c r="A287" s="0" t="s">
        <v>49</v>
      </c>
      <c r="B287" s="0" t="s">
        <v>2244</v>
      </c>
      <c r="C287" s="0" t="n">
        <v>7430</v>
      </c>
      <c r="D287" s="0" t="s">
        <v>1874</v>
      </c>
      <c r="E287" s="0" t="s">
        <v>438</v>
      </c>
      <c r="F287" s="233" t="n">
        <v>46296</v>
      </c>
      <c r="G287" s="1" t="s">
        <v>808</v>
      </c>
      <c r="H287" s="0" t="n">
        <v>2500</v>
      </c>
      <c r="I287" s="0" t="n">
        <v>30000</v>
      </c>
      <c r="J287" s="1" t="s">
        <v>2615</v>
      </c>
      <c r="K287" s="1" t="s">
        <v>1208</v>
      </c>
    </row>
    <row r="288" customFormat="false" ht="13.5" hidden="false" customHeight="false" outlineLevel="0" collapsed="false">
      <c r="A288" s="0" t="s">
        <v>49</v>
      </c>
      <c r="B288" s="0" t="s">
        <v>2244</v>
      </c>
      <c r="C288" s="0" t="n">
        <v>7430</v>
      </c>
      <c r="D288" s="0" t="s">
        <v>1874</v>
      </c>
      <c r="E288" s="0" t="s">
        <v>438</v>
      </c>
      <c r="F288" s="233" t="n">
        <v>46327</v>
      </c>
      <c r="G288" s="1" t="s">
        <v>809</v>
      </c>
      <c r="H288" s="0" t="n">
        <v>2500</v>
      </c>
      <c r="I288" s="0" t="n">
        <v>30000</v>
      </c>
      <c r="J288" s="1" t="s">
        <v>2615</v>
      </c>
      <c r="K288" s="1" t="s">
        <v>1208</v>
      </c>
    </row>
    <row r="289" customFormat="false" ht="13.5" hidden="false" customHeight="false" outlineLevel="0" collapsed="false">
      <c r="A289" s="0" t="s">
        <v>49</v>
      </c>
      <c r="B289" s="0" t="s">
        <v>2244</v>
      </c>
      <c r="C289" s="0" t="n">
        <v>7430</v>
      </c>
      <c r="D289" s="0" t="s">
        <v>1874</v>
      </c>
      <c r="E289" s="0" t="s">
        <v>438</v>
      </c>
      <c r="F289" s="233" t="n">
        <v>46357</v>
      </c>
      <c r="G289" s="1" t="s">
        <v>810</v>
      </c>
      <c r="H289" s="0" t="n">
        <v>2500</v>
      </c>
      <c r="I289" s="0" t="n">
        <v>30000</v>
      </c>
      <c r="J289" s="1" t="s">
        <v>2615</v>
      </c>
      <c r="K289" s="1" t="s">
        <v>1208</v>
      </c>
    </row>
    <row r="290" customFormat="false" ht="13.5" hidden="false" customHeight="false" outlineLevel="0" collapsed="false">
      <c r="A290" s="0" t="s">
        <v>49</v>
      </c>
      <c r="B290" s="0" t="s">
        <v>2244</v>
      </c>
      <c r="C290" s="0" t="n">
        <v>7440</v>
      </c>
      <c r="D290" s="0" t="s">
        <v>1875</v>
      </c>
      <c r="E290" s="0" t="s">
        <v>440</v>
      </c>
      <c r="F290" s="233" t="n">
        <v>46023</v>
      </c>
      <c r="G290" s="1" t="s">
        <v>799</v>
      </c>
      <c r="H290" s="0" t="n">
        <v>12420</v>
      </c>
      <c r="I290" s="0" t="n">
        <v>149040</v>
      </c>
      <c r="J290" s="1" t="s">
        <v>2615</v>
      </c>
      <c r="K290" s="1" t="s">
        <v>1208</v>
      </c>
    </row>
    <row r="291" customFormat="false" ht="13.5" hidden="false" customHeight="false" outlineLevel="0" collapsed="false">
      <c r="A291" s="0" t="s">
        <v>49</v>
      </c>
      <c r="B291" s="0" t="s">
        <v>2244</v>
      </c>
      <c r="C291" s="0" t="n">
        <v>7440</v>
      </c>
      <c r="D291" s="0" t="s">
        <v>1875</v>
      </c>
      <c r="E291" s="0" t="s">
        <v>440</v>
      </c>
      <c r="F291" s="233" t="n">
        <v>46054</v>
      </c>
      <c r="G291" s="1" t="s">
        <v>800</v>
      </c>
      <c r="H291" s="0" t="n">
        <v>12420</v>
      </c>
      <c r="I291" s="0" t="n">
        <v>149040</v>
      </c>
      <c r="J291" s="1" t="s">
        <v>2615</v>
      </c>
      <c r="K291" s="1" t="s">
        <v>1208</v>
      </c>
    </row>
    <row r="292" customFormat="false" ht="13.5" hidden="false" customHeight="false" outlineLevel="0" collapsed="false">
      <c r="A292" s="0" t="s">
        <v>49</v>
      </c>
      <c r="B292" s="0" t="s">
        <v>2244</v>
      </c>
      <c r="C292" s="0" t="n">
        <v>7440</v>
      </c>
      <c r="D292" s="0" t="s">
        <v>1875</v>
      </c>
      <c r="E292" s="0" t="s">
        <v>440</v>
      </c>
      <c r="F292" s="233" t="n">
        <v>46082</v>
      </c>
      <c r="G292" s="1" t="s">
        <v>801</v>
      </c>
      <c r="H292" s="0" t="n">
        <v>12420</v>
      </c>
      <c r="I292" s="0" t="n">
        <v>149040</v>
      </c>
      <c r="J292" s="1" t="s">
        <v>2615</v>
      </c>
      <c r="K292" s="1" t="s">
        <v>1208</v>
      </c>
    </row>
    <row r="293" customFormat="false" ht="13.5" hidden="false" customHeight="false" outlineLevel="0" collapsed="false">
      <c r="A293" s="0" t="s">
        <v>49</v>
      </c>
      <c r="B293" s="0" t="s">
        <v>2244</v>
      </c>
      <c r="C293" s="0" t="n">
        <v>7440</v>
      </c>
      <c r="D293" s="0" t="s">
        <v>1875</v>
      </c>
      <c r="E293" s="0" t="s">
        <v>440</v>
      </c>
      <c r="F293" s="233" t="n">
        <v>46113</v>
      </c>
      <c r="G293" s="1" t="s">
        <v>802</v>
      </c>
      <c r="H293" s="0" t="n">
        <v>12420</v>
      </c>
      <c r="I293" s="0" t="n">
        <v>149040</v>
      </c>
      <c r="J293" s="1" t="s">
        <v>2615</v>
      </c>
      <c r="K293" s="1" t="s">
        <v>1208</v>
      </c>
    </row>
    <row r="294" customFormat="false" ht="13.5" hidden="false" customHeight="false" outlineLevel="0" collapsed="false">
      <c r="A294" s="0" t="s">
        <v>49</v>
      </c>
      <c r="B294" s="0" t="s">
        <v>2244</v>
      </c>
      <c r="C294" s="0" t="n">
        <v>7440</v>
      </c>
      <c r="D294" s="0" t="s">
        <v>1875</v>
      </c>
      <c r="E294" s="0" t="s">
        <v>440</v>
      </c>
      <c r="F294" s="233" t="n">
        <v>46143</v>
      </c>
      <c r="G294" s="1" t="s">
        <v>803</v>
      </c>
      <c r="H294" s="0" t="n">
        <v>12420</v>
      </c>
      <c r="I294" s="0" t="n">
        <v>149040</v>
      </c>
      <c r="J294" s="1" t="s">
        <v>2615</v>
      </c>
      <c r="K294" s="1" t="s">
        <v>1208</v>
      </c>
    </row>
    <row r="295" customFormat="false" ht="13.5" hidden="false" customHeight="false" outlineLevel="0" collapsed="false">
      <c r="A295" s="0" t="s">
        <v>49</v>
      </c>
      <c r="B295" s="0" t="s">
        <v>2244</v>
      </c>
      <c r="C295" s="0" t="n">
        <v>7440</v>
      </c>
      <c r="D295" s="0" t="s">
        <v>1875</v>
      </c>
      <c r="E295" s="0" t="s">
        <v>440</v>
      </c>
      <c r="F295" s="233" t="n">
        <v>46174</v>
      </c>
      <c r="G295" s="1" t="s">
        <v>804</v>
      </c>
      <c r="H295" s="0" t="n">
        <v>12420</v>
      </c>
      <c r="I295" s="0" t="n">
        <v>149040</v>
      </c>
      <c r="J295" s="1" t="s">
        <v>2615</v>
      </c>
      <c r="K295" s="1" t="s">
        <v>1208</v>
      </c>
    </row>
    <row r="296" customFormat="false" ht="13.5" hidden="false" customHeight="false" outlineLevel="0" collapsed="false">
      <c r="A296" s="0" t="s">
        <v>49</v>
      </c>
      <c r="B296" s="0" t="s">
        <v>2244</v>
      </c>
      <c r="C296" s="0" t="n">
        <v>7440</v>
      </c>
      <c r="D296" s="0" t="s">
        <v>1875</v>
      </c>
      <c r="E296" s="0" t="s">
        <v>440</v>
      </c>
      <c r="F296" s="233" t="n">
        <v>46204</v>
      </c>
      <c r="G296" s="1" t="s">
        <v>805</v>
      </c>
      <c r="H296" s="0" t="n">
        <v>12420</v>
      </c>
      <c r="I296" s="0" t="n">
        <v>149040</v>
      </c>
      <c r="J296" s="1" t="s">
        <v>2615</v>
      </c>
      <c r="K296" s="1" t="s">
        <v>1208</v>
      </c>
    </row>
    <row r="297" customFormat="false" ht="13.5" hidden="false" customHeight="false" outlineLevel="0" collapsed="false">
      <c r="A297" s="0" t="s">
        <v>49</v>
      </c>
      <c r="B297" s="0" t="s">
        <v>2244</v>
      </c>
      <c r="C297" s="0" t="n">
        <v>7440</v>
      </c>
      <c r="D297" s="0" t="s">
        <v>1875</v>
      </c>
      <c r="E297" s="0" t="s">
        <v>440</v>
      </c>
      <c r="F297" s="233" t="n">
        <v>46235</v>
      </c>
      <c r="G297" s="1" t="s">
        <v>806</v>
      </c>
      <c r="H297" s="0" t="n">
        <v>12420</v>
      </c>
      <c r="I297" s="0" t="n">
        <v>149040</v>
      </c>
      <c r="J297" s="1" t="s">
        <v>2615</v>
      </c>
      <c r="K297" s="1" t="s">
        <v>1208</v>
      </c>
    </row>
    <row r="298" customFormat="false" ht="13.5" hidden="false" customHeight="false" outlineLevel="0" collapsed="false">
      <c r="A298" s="0" t="s">
        <v>49</v>
      </c>
      <c r="B298" s="0" t="s">
        <v>2244</v>
      </c>
      <c r="C298" s="0" t="n">
        <v>7440</v>
      </c>
      <c r="D298" s="0" t="s">
        <v>1875</v>
      </c>
      <c r="E298" s="0" t="s">
        <v>440</v>
      </c>
      <c r="F298" s="233" t="n">
        <v>46266</v>
      </c>
      <c r="G298" s="1" t="s">
        <v>2616</v>
      </c>
      <c r="H298" s="0" t="n">
        <v>12420</v>
      </c>
      <c r="I298" s="0" t="n">
        <v>149040</v>
      </c>
      <c r="J298" s="1" t="s">
        <v>2615</v>
      </c>
      <c r="K298" s="1" t="s">
        <v>1208</v>
      </c>
    </row>
    <row r="299" customFormat="false" ht="13.5" hidden="false" customHeight="false" outlineLevel="0" collapsed="false">
      <c r="A299" s="0" t="s">
        <v>49</v>
      </c>
      <c r="B299" s="0" t="s">
        <v>2244</v>
      </c>
      <c r="C299" s="0" t="n">
        <v>7440</v>
      </c>
      <c r="D299" s="0" t="s">
        <v>1875</v>
      </c>
      <c r="E299" s="0" t="s">
        <v>440</v>
      </c>
      <c r="F299" s="233" t="n">
        <v>46296</v>
      </c>
      <c r="G299" s="1" t="s">
        <v>808</v>
      </c>
      <c r="H299" s="0" t="n">
        <v>12420</v>
      </c>
      <c r="I299" s="0" t="n">
        <v>149040</v>
      </c>
      <c r="J299" s="1" t="s">
        <v>2615</v>
      </c>
      <c r="K299" s="1" t="s">
        <v>1208</v>
      </c>
    </row>
    <row r="300" customFormat="false" ht="13.5" hidden="false" customHeight="false" outlineLevel="0" collapsed="false">
      <c r="A300" s="0" t="s">
        <v>49</v>
      </c>
      <c r="B300" s="0" t="s">
        <v>2244</v>
      </c>
      <c r="C300" s="0" t="n">
        <v>7440</v>
      </c>
      <c r="D300" s="0" t="s">
        <v>1875</v>
      </c>
      <c r="E300" s="0" t="s">
        <v>440</v>
      </c>
      <c r="F300" s="233" t="n">
        <v>46327</v>
      </c>
      <c r="G300" s="1" t="s">
        <v>809</v>
      </c>
      <c r="H300" s="0" t="n">
        <v>12420</v>
      </c>
      <c r="I300" s="0" t="n">
        <v>149040</v>
      </c>
      <c r="J300" s="1" t="s">
        <v>2615</v>
      </c>
      <c r="K300" s="1" t="s">
        <v>1208</v>
      </c>
    </row>
    <row r="301" customFormat="false" ht="13.5" hidden="false" customHeight="false" outlineLevel="0" collapsed="false">
      <c r="A301" s="0" t="s">
        <v>49</v>
      </c>
      <c r="B301" s="0" t="s">
        <v>2244</v>
      </c>
      <c r="C301" s="0" t="n">
        <v>7440</v>
      </c>
      <c r="D301" s="0" t="s">
        <v>1875</v>
      </c>
      <c r="E301" s="0" t="s">
        <v>440</v>
      </c>
      <c r="F301" s="233" t="n">
        <v>46357</v>
      </c>
      <c r="G301" s="1" t="s">
        <v>810</v>
      </c>
      <c r="H301" s="0" t="n">
        <v>12420</v>
      </c>
      <c r="I301" s="0" t="n">
        <v>149040</v>
      </c>
      <c r="J301" s="1" t="s">
        <v>2615</v>
      </c>
      <c r="K301" s="1" t="s">
        <v>1208</v>
      </c>
    </row>
    <row r="302" customFormat="false" ht="13.5" hidden="false" customHeight="false" outlineLevel="0" collapsed="false">
      <c r="A302" s="0" t="s">
        <v>49</v>
      </c>
      <c r="B302" s="0" t="s">
        <v>2244</v>
      </c>
      <c r="C302" s="0" t="n">
        <v>7500</v>
      </c>
      <c r="D302" s="0" t="s">
        <v>1876</v>
      </c>
      <c r="E302" s="0" t="s">
        <v>439</v>
      </c>
      <c r="F302" s="233" t="n">
        <v>46023</v>
      </c>
      <c r="G302" s="1" t="s">
        <v>799</v>
      </c>
      <c r="H302" s="0" t="n">
        <v>208.333333333333</v>
      </c>
      <c r="I302" s="0" t="n">
        <v>2500</v>
      </c>
      <c r="J302" s="1" t="s">
        <v>2615</v>
      </c>
      <c r="K302" s="1" t="s">
        <v>1208</v>
      </c>
    </row>
    <row r="303" customFormat="false" ht="13.5" hidden="false" customHeight="false" outlineLevel="0" collapsed="false">
      <c r="A303" s="0" t="s">
        <v>49</v>
      </c>
      <c r="B303" s="0" t="s">
        <v>2244</v>
      </c>
      <c r="C303" s="0" t="n">
        <v>7500</v>
      </c>
      <c r="D303" s="0" t="s">
        <v>1876</v>
      </c>
      <c r="E303" s="0" t="s">
        <v>439</v>
      </c>
      <c r="F303" s="233" t="n">
        <v>46054</v>
      </c>
      <c r="G303" s="1" t="s">
        <v>800</v>
      </c>
      <c r="H303" s="0" t="n">
        <v>208.333333333333</v>
      </c>
      <c r="I303" s="0" t="n">
        <v>2500</v>
      </c>
      <c r="J303" s="1" t="s">
        <v>2615</v>
      </c>
      <c r="K303" s="1" t="s">
        <v>1208</v>
      </c>
    </row>
    <row r="304" customFormat="false" ht="13.5" hidden="false" customHeight="false" outlineLevel="0" collapsed="false">
      <c r="A304" s="0" t="s">
        <v>49</v>
      </c>
      <c r="B304" s="0" t="s">
        <v>2244</v>
      </c>
      <c r="C304" s="0" t="n">
        <v>7500</v>
      </c>
      <c r="D304" s="0" t="s">
        <v>1876</v>
      </c>
      <c r="E304" s="0" t="s">
        <v>439</v>
      </c>
      <c r="F304" s="233" t="n">
        <v>46082</v>
      </c>
      <c r="G304" s="1" t="s">
        <v>801</v>
      </c>
      <c r="H304" s="0" t="n">
        <v>208.333333333333</v>
      </c>
      <c r="I304" s="0" t="n">
        <v>2500</v>
      </c>
      <c r="J304" s="1" t="s">
        <v>2615</v>
      </c>
      <c r="K304" s="1" t="s">
        <v>1208</v>
      </c>
    </row>
    <row r="305" customFormat="false" ht="13.5" hidden="false" customHeight="false" outlineLevel="0" collapsed="false">
      <c r="A305" s="0" t="s">
        <v>49</v>
      </c>
      <c r="B305" s="0" t="s">
        <v>2244</v>
      </c>
      <c r="C305" s="0" t="n">
        <v>7500</v>
      </c>
      <c r="D305" s="0" t="s">
        <v>1876</v>
      </c>
      <c r="E305" s="0" t="s">
        <v>439</v>
      </c>
      <c r="F305" s="233" t="n">
        <v>46113</v>
      </c>
      <c r="G305" s="1" t="s">
        <v>802</v>
      </c>
      <c r="H305" s="0" t="n">
        <v>208.333333333333</v>
      </c>
      <c r="I305" s="0" t="n">
        <v>2500</v>
      </c>
      <c r="J305" s="1" t="s">
        <v>2615</v>
      </c>
      <c r="K305" s="1" t="s">
        <v>1208</v>
      </c>
    </row>
    <row r="306" customFormat="false" ht="13.5" hidden="false" customHeight="false" outlineLevel="0" collapsed="false">
      <c r="A306" s="0" t="s">
        <v>49</v>
      </c>
      <c r="B306" s="0" t="s">
        <v>2244</v>
      </c>
      <c r="C306" s="0" t="n">
        <v>7500</v>
      </c>
      <c r="D306" s="0" t="s">
        <v>1876</v>
      </c>
      <c r="E306" s="0" t="s">
        <v>439</v>
      </c>
      <c r="F306" s="233" t="n">
        <v>46143</v>
      </c>
      <c r="G306" s="1" t="s">
        <v>803</v>
      </c>
      <c r="H306" s="0" t="n">
        <v>208.333333333333</v>
      </c>
      <c r="I306" s="0" t="n">
        <v>2500</v>
      </c>
      <c r="J306" s="1" t="s">
        <v>2615</v>
      </c>
      <c r="K306" s="1" t="s">
        <v>1208</v>
      </c>
    </row>
    <row r="307" customFormat="false" ht="13.5" hidden="false" customHeight="false" outlineLevel="0" collapsed="false">
      <c r="A307" s="0" t="s">
        <v>49</v>
      </c>
      <c r="B307" s="0" t="s">
        <v>2244</v>
      </c>
      <c r="C307" s="0" t="n">
        <v>7500</v>
      </c>
      <c r="D307" s="0" t="s">
        <v>1876</v>
      </c>
      <c r="E307" s="0" t="s">
        <v>439</v>
      </c>
      <c r="F307" s="233" t="n">
        <v>46174</v>
      </c>
      <c r="G307" s="1" t="s">
        <v>804</v>
      </c>
      <c r="H307" s="0" t="n">
        <v>208.333333333333</v>
      </c>
      <c r="I307" s="0" t="n">
        <v>2500</v>
      </c>
      <c r="J307" s="1" t="s">
        <v>2615</v>
      </c>
      <c r="K307" s="1" t="s">
        <v>1208</v>
      </c>
    </row>
    <row r="308" customFormat="false" ht="13.5" hidden="false" customHeight="false" outlineLevel="0" collapsed="false">
      <c r="A308" s="0" t="s">
        <v>49</v>
      </c>
      <c r="B308" s="0" t="s">
        <v>2244</v>
      </c>
      <c r="C308" s="0" t="n">
        <v>7500</v>
      </c>
      <c r="D308" s="0" t="s">
        <v>1876</v>
      </c>
      <c r="E308" s="0" t="s">
        <v>439</v>
      </c>
      <c r="F308" s="233" t="n">
        <v>46204</v>
      </c>
      <c r="G308" s="1" t="s">
        <v>805</v>
      </c>
      <c r="H308" s="0" t="n">
        <v>208.333333333333</v>
      </c>
      <c r="I308" s="0" t="n">
        <v>2500</v>
      </c>
      <c r="J308" s="1" t="s">
        <v>2615</v>
      </c>
      <c r="K308" s="1" t="s">
        <v>1208</v>
      </c>
    </row>
    <row r="309" customFormat="false" ht="13.5" hidden="false" customHeight="false" outlineLevel="0" collapsed="false">
      <c r="A309" s="0" t="s">
        <v>49</v>
      </c>
      <c r="B309" s="0" t="s">
        <v>2244</v>
      </c>
      <c r="C309" s="0" t="n">
        <v>7500</v>
      </c>
      <c r="D309" s="0" t="s">
        <v>1876</v>
      </c>
      <c r="E309" s="0" t="s">
        <v>439</v>
      </c>
      <c r="F309" s="233" t="n">
        <v>46235</v>
      </c>
      <c r="G309" s="1" t="s">
        <v>806</v>
      </c>
      <c r="H309" s="0" t="n">
        <v>208.333333333333</v>
      </c>
      <c r="I309" s="0" t="n">
        <v>2500</v>
      </c>
      <c r="J309" s="1" t="s">
        <v>2615</v>
      </c>
      <c r="K309" s="1" t="s">
        <v>1208</v>
      </c>
    </row>
    <row r="310" customFormat="false" ht="13.5" hidden="false" customHeight="false" outlineLevel="0" collapsed="false">
      <c r="A310" s="0" t="s">
        <v>49</v>
      </c>
      <c r="B310" s="0" t="s">
        <v>2244</v>
      </c>
      <c r="C310" s="0" t="n">
        <v>7500</v>
      </c>
      <c r="D310" s="0" t="s">
        <v>1876</v>
      </c>
      <c r="E310" s="0" t="s">
        <v>439</v>
      </c>
      <c r="F310" s="233" t="n">
        <v>46266</v>
      </c>
      <c r="G310" s="1" t="s">
        <v>2616</v>
      </c>
      <c r="H310" s="0" t="n">
        <v>208.333333333333</v>
      </c>
      <c r="I310" s="0" t="n">
        <v>2500</v>
      </c>
      <c r="J310" s="1" t="s">
        <v>2615</v>
      </c>
      <c r="K310" s="1" t="s">
        <v>1208</v>
      </c>
    </row>
    <row r="311" customFormat="false" ht="13.5" hidden="false" customHeight="false" outlineLevel="0" collapsed="false">
      <c r="A311" s="0" t="s">
        <v>49</v>
      </c>
      <c r="B311" s="0" t="s">
        <v>2244</v>
      </c>
      <c r="C311" s="0" t="n">
        <v>7500</v>
      </c>
      <c r="D311" s="0" t="s">
        <v>1876</v>
      </c>
      <c r="E311" s="0" t="s">
        <v>439</v>
      </c>
      <c r="F311" s="233" t="n">
        <v>46296</v>
      </c>
      <c r="G311" s="1" t="s">
        <v>808</v>
      </c>
      <c r="H311" s="0" t="n">
        <v>208.333333333333</v>
      </c>
      <c r="I311" s="0" t="n">
        <v>2500</v>
      </c>
      <c r="J311" s="1" t="s">
        <v>2615</v>
      </c>
      <c r="K311" s="1" t="s">
        <v>1208</v>
      </c>
    </row>
    <row r="312" customFormat="false" ht="13.5" hidden="false" customHeight="false" outlineLevel="0" collapsed="false">
      <c r="A312" s="0" t="s">
        <v>49</v>
      </c>
      <c r="B312" s="0" t="s">
        <v>2244</v>
      </c>
      <c r="C312" s="0" t="n">
        <v>7500</v>
      </c>
      <c r="D312" s="0" t="s">
        <v>1876</v>
      </c>
      <c r="E312" s="0" t="s">
        <v>439</v>
      </c>
      <c r="F312" s="233" t="n">
        <v>46327</v>
      </c>
      <c r="G312" s="1" t="s">
        <v>809</v>
      </c>
      <c r="H312" s="0" t="n">
        <v>208.333333333333</v>
      </c>
      <c r="I312" s="0" t="n">
        <v>2500</v>
      </c>
      <c r="J312" s="1" t="s">
        <v>2615</v>
      </c>
      <c r="K312" s="1" t="s">
        <v>1208</v>
      </c>
    </row>
    <row r="313" customFormat="false" ht="13.5" hidden="false" customHeight="false" outlineLevel="0" collapsed="false">
      <c r="A313" s="0" t="s">
        <v>49</v>
      </c>
      <c r="B313" s="0" t="s">
        <v>2244</v>
      </c>
      <c r="C313" s="0" t="n">
        <v>7500</v>
      </c>
      <c r="D313" s="0" t="s">
        <v>1876</v>
      </c>
      <c r="E313" s="0" t="s">
        <v>439</v>
      </c>
      <c r="F313" s="233" t="n">
        <v>46357</v>
      </c>
      <c r="G313" s="1" t="s">
        <v>810</v>
      </c>
      <c r="H313" s="0" t="n">
        <v>208.333333333333</v>
      </c>
      <c r="I313" s="0" t="n">
        <v>2500</v>
      </c>
      <c r="J313" s="1" t="s">
        <v>2615</v>
      </c>
      <c r="K313" s="1" t="s">
        <v>1208</v>
      </c>
    </row>
    <row r="314" customFormat="false" ht="13.5" hidden="false" customHeight="false" outlineLevel="0" collapsed="false">
      <c r="A314" s="0" t="s">
        <v>49</v>
      </c>
      <c r="B314" s="0" t="s">
        <v>2244</v>
      </c>
      <c r="C314" s="0" t="n">
        <v>7540</v>
      </c>
      <c r="D314" s="0" t="s">
        <v>729</v>
      </c>
      <c r="E314" s="0" t="s">
        <v>443</v>
      </c>
      <c r="F314" s="233" t="n">
        <v>46023</v>
      </c>
      <c r="G314" s="1" t="s">
        <v>799</v>
      </c>
      <c r="H314" s="0" t="n">
        <v>666.666666666667</v>
      </c>
      <c r="I314" s="0" t="n">
        <v>8000</v>
      </c>
      <c r="J314" s="1" t="s">
        <v>2615</v>
      </c>
      <c r="K314" s="1" t="s">
        <v>1208</v>
      </c>
    </row>
    <row r="315" customFormat="false" ht="13.5" hidden="false" customHeight="false" outlineLevel="0" collapsed="false">
      <c r="A315" s="0" t="s">
        <v>49</v>
      </c>
      <c r="B315" s="0" t="s">
        <v>2244</v>
      </c>
      <c r="C315" s="0" t="n">
        <v>7540</v>
      </c>
      <c r="D315" s="0" t="s">
        <v>729</v>
      </c>
      <c r="E315" s="0" t="s">
        <v>443</v>
      </c>
      <c r="F315" s="233" t="n">
        <v>46054</v>
      </c>
      <c r="G315" s="1" t="s">
        <v>800</v>
      </c>
      <c r="H315" s="0" t="n">
        <v>666.666666666667</v>
      </c>
      <c r="I315" s="0" t="n">
        <v>8000</v>
      </c>
      <c r="J315" s="1" t="s">
        <v>2615</v>
      </c>
      <c r="K315" s="1" t="s">
        <v>1208</v>
      </c>
    </row>
    <row r="316" customFormat="false" ht="13.5" hidden="false" customHeight="false" outlineLevel="0" collapsed="false">
      <c r="A316" s="0" t="s">
        <v>49</v>
      </c>
      <c r="B316" s="0" t="s">
        <v>2244</v>
      </c>
      <c r="C316" s="0" t="n">
        <v>7540</v>
      </c>
      <c r="D316" s="0" t="s">
        <v>729</v>
      </c>
      <c r="E316" s="0" t="s">
        <v>443</v>
      </c>
      <c r="F316" s="233" t="n">
        <v>46082</v>
      </c>
      <c r="G316" s="1" t="s">
        <v>801</v>
      </c>
      <c r="H316" s="0" t="n">
        <v>666.666666666667</v>
      </c>
      <c r="I316" s="0" t="n">
        <v>8000</v>
      </c>
      <c r="J316" s="1" t="s">
        <v>2615</v>
      </c>
      <c r="K316" s="1" t="s">
        <v>1208</v>
      </c>
    </row>
    <row r="317" customFormat="false" ht="13.5" hidden="false" customHeight="false" outlineLevel="0" collapsed="false">
      <c r="A317" s="0" t="s">
        <v>49</v>
      </c>
      <c r="B317" s="0" t="s">
        <v>2244</v>
      </c>
      <c r="C317" s="0" t="n">
        <v>7540</v>
      </c>
      <c r="D317" s="0" t="s">
        <v>729</v>
      </c>
      <c r="E317" s="0" t="s">
        <v>443</v>
      </c>
      <c r="F317" s="233" t="n">
        <v>46113</v>
      </c>
      <c r="G317" s="1" t="s">
        <v>802</v>
      </c>
      <c r="H317" s="0" t="n">
        <v>666.666666666667</v>
      </c>
      <c r="I317" s="0" t="n">
        <v>8000</v>
      </c>
      <c r="J317" s="1" t="s">
        <v>2615</v>
      </c>
      <c r="K317" s="1" t="s">
        <v>1208</v>
      </c>
    </row>
    <row r="318" customFormat="false" ht="13.5" hidden="false" customHeight="false" outlineLevel="0" collapsed="false">
      <c r="A318" s="0" t="s">
        <v>49</v>
      </c>
      <c r="B318" s="0" t="s">
        <v>2244</v>
      </c>
      <c r="C318" s="0" t="n">
        <v>7540</v>
      </c>
      <c r="D318" s="0" t="s">
        <v>729</v>
      </c>
      <c r="E318" s="0" t="s">
        <v>443</v>
      </c>
      <c r="F318" s="233" t="n">
        <v>46143</v>
      </c>
      <c r="G318" s="1" t="s">
        <v>803</v>
      </c>
      <c r="H318" s="0" t="n">
        <v>666.666666666667</v>
      </c>
      <c r="I318" s="0" t="n">
        <v>8000</v>
      </c>
      <c r="J318" s="1" t="s">
        <v>2615</v>
      </c>
      <c r="K318" s="1" t="s">
        <v>1208</v>
      </c>
    </row>
    <row r="319" customFormat="false" ht="13.5" hidden="false" customHeight="false" outlineLevel="0" collapsed="false">
      <c r="A319" s="0" t="s">
        <v>49</v>
      </c>
      <c r="B319" s="0" t="s">
        <v>2244</v>
      </c>
      <c r="C319" s="0" t="n">
        <v>7540</v>
      </c>
      <c r="D319" s="0" t="s">
        <v>729</v>
      </c>
      <c r="E319" s="0" t="s">
        <v>443</v>
      </c>
      <c r="F319" s="233" t="n">
        <v>46174</v>
      </c>
      <c r="G319" s="1" t="s">
        <v>804</v>
      </c>
      <c r="H319" s="0" t="n">
        <v>666.666666666667</v>
      </c>
      <c r="I319" s="0" t="n">
        <v>8000</v>
      </c>
      <c r="J319" s="1" t="s">
        <v>2615</v>
      </c>
      <c r="K319" s="1" t="s">
        <v>1208</v>
      </c>
    </row>
    <row r="320" customFormat="false" ht="13.5" hidden="false" customHeight="false" outlineLevel="0" collapsed="false">
      <c r="A320" s="0" t="s">
        <v>49</v>
      </c>
      <c r="B320" s="0" t="s">
        <v>2244</v>
      </c>
      <c r="C320" s="0" t="n">
        <v>7540</v>
      </c>
      <c r="D320" s="0" t="s">
        <v>729</v>
      </c>
      <c r="E320" s="0" t="s">
        <v>443</v>
      </c>
      <c r="F320" s="233" t="n">
        <v>46204</v>
      </c>
      <c r="G320" s="1" t="s">
        <v>805</v>
      </c>
      <c r="H320" s="0" t="n">
        <v>666.666666666667</v>
      </c>
      <c r="I320" s="0" t="n">
        <v>8000</v>
      </c>
      <c r="J320" s="1" t="s">
        <v>2615</v>
      </c>
      <c r="K320" s="1" t="s">
        <v>1208</v>
      </c>
    </row>
    <row r="321" customFormat="false" ht="13.5" hidden="false" customHeight="false" outlineLevel="0" collapsed="false">
      <c r="A321" s="0" t="s">
        <v>49</v>
      </c>
      <c r="B321" s="0" t="s">
        <v>2244</v>
      </c>
      <c r="C321" s="0" t="n">
        <v>7540</v>
      </c>
      <c r="D321" s="0" t="s">
        <v>729</v>
      </c>
      <c r="E321" s="0" t="s">
        <v>443</v>
      </c>
      <c r="F321" s="233" t="n">
        <v>46235</v>
      </c>
      <c r="G321" s="1" t="s">
        <v>806</v>
      </c>
      <c r="H321" s="0" t="n">
        <v>666.666666666667</v>
      </c>
      <c r="I321" s="0" t="n">
        <v>8000</v>
      </c>
      <c r="J321" s="1" t="s">
        <v>2615</v>
      </c>
      <c r="K321" s="1" t="s">
        <v>1208</v>
      </c>
    </row>
    <row r="322" customFormat="false" ht="13.5" hidden="false" customHeight="false" outlineLevel="0" collapsed="false">
      <c r="A322" s="0" t="s">
        <v>49</v>
      </c>
      <c r="B322" s="0" t="s">
        <v>2244</v>
      </c>
      <c r="C322" s="0" t="n">
        <v>7540</v>
      </c>
      <c r="D322" s="0" t="s">
        <v>729</v>
      </c>
      <c r="E322" s="0" t="s">
        <v>443</v>
      </c>
      <c r="F322" s="233" t="n">
        <v>46266</v>
      </c>
      <c r="G322" s="1" t="s">
        <v>2616</v>
      </c>
      <c r="H322" s="0" t="n">
        <v>666.666666666667</v>
      </c>
      <c r="I322" s="0" t="n">
        <v>8000</v>
      </c>
      <c r="J322" s="1" t="s">
        <v>2615</v>
      </c>
      <c r="K322" s="1" t="s">
        <v>1208</v>
      </c>
    </row>
    <row r="323" customFormat="false" ht="13.5" hidden="false" customHeight="false" outlineLevel="0" collapsed="false">
      <c r="A323" s="0" t="s">
        <v>49</v>
      </c>
      <c r="B323" s="0" t="s">
        <v>2244</v>
      </c>
      <c r="C323" s="0" t="n">
        <v>7540</v>
      </c>
      <c r="D323" s="0" t="s">
        <v>729</v>
      </c>
      <c r="E323" s="0" t="s">
        <v>443</v>
      </c>
      <c r="F323" s="233" t="n">
        <v>46296</v>
      </c>
      <c r="G323" s="1" t="s">
        <v>808</v>
      </c>
      <c r="H323" s="0" t="n">
        <v>666.666666666667</v>
      </c>
      <c r="I323" s="0" t="n">
        <v>8000</v>
      </c>
      <c r="J323" s="1" t="s">
        <v>2615</v>
      </c>
      <c r="K323" s="1" t="s">
        <v>1208</v>
      </c>
    </row>
    <row r="324" customFormat="false" ht="13.5" hidden="false" customHeight="false" outlineLevel="0" collapsed="false">
      <c r="A324" s="0" t="s">
        <v>49</v>
      </c>
      <c r="B324" s="0" t="s">
        <v>2244</v>
      </c>
      <c r="C324" s="0" t="n">
        <v>7540</v>
      </c>
      <c r="D324" s="0" t="s">
        <v>729</v>
      </c>
      <c r="E324" s="0" t="s">
        <v>443</v>
      </c>
      <c r="F324" s="233" t="n">
        <v>46327</v>
      </c>
      <c r="G324" s="1" t="s">
        <v>809</v>
      </c>
      <c r="H324" s="0" t="n">
        <v>666.666666666667</v>
      </c>
      <c r="I324" s="0" t="n">
        <v>8000</v>
      </c>
      <c r="J324" s="1" t="s">
        <v>2615</v>
      </c>
      <c r="K324" s="1" t="s">
        <v>1208</v>
      </c>
    </row>
    <row r="325" customFormat="false" ht="13.5" hidden="false" customHeight="false" outlineLevel="0" collapsed="false">
      <c r="A325" s="0" t="s">
        <v>49</v>
      </c>
      <c r="B325" s="0" t="s">
        <v>2244</v>
      </c>
      <c r="C325" s="0" t="n">
        <v>7540</v>
      </c>
      <c r="D325" s="0" t="s">
        <v>729</v>
      </c>
      <c r="E325" s="0" t="s">
        <v>443</v>
      </c>
      <c r="F325" s="233" t="n">
        <v>46357</v>
      </c>
      <c r="G325" s="1" t="s">
        <v>810</v>
      </c>
      <c r="H325" s="0" t="n">
        <v>666.666666666667</v>
      </c>
      <c r="I325" s="0" t="n">
        <v>8000</v>
      </c>
      <c r="J325" s="1" t="s">
        <v>2615</v>
      </c>
      <c r="K325" s="1" t="s">
        <v>1208</v>
      </c>
    </row>
    <row r="326" customFormat="false" ht="13.5" hidden="false" customHeight="false" outlineLevel="0" collapsed="false">
      <c r="A326" s="0" t="s">
        <v>49</v>
      </c>
      <c r="B326" s="0" t="s">
        <v>2244</v>
      </c>
      <c r="C326" s="0" t="n">
        <v>7550</v>
      </c>
      <c r="D326" s="0" t="s">
        <v>731</v>
      </c>
      <c r="E326" s="0" t="s">
        <v>443</v>
      </c>
      <c r="F326" s="233" t="n">
        <v>46023</v>
      </c>
      <c r="G326" s="1" t="s">
        <v>799</v>
      </c>
      <c r="H326" s="0" t="n">
        <v>8333.33333333333</v>
      </c>
      <c r="I326" s="0" t="n">
        <v>100000</v>
      </c>
      <c r="J326" s="1" t="s">
        <v>2615</v>
      </c>
      <c r="K326" s="1" t="s">
        <v>1208</v>
      </c>
    </row>
    <row r="327" customFormat="false" ht="13.5" hidden="false" customHeight="false" outlineLevel="0" collapsed="false">
      <c r="A327" s="0" t="s">
        <v>49</v>
      </c>
      <c r="B327" s="0" t="s">
        <v>2244</v>
      </c>
      <c r="C327" s="0" t="n">
        <v>7550</v>
      </c>
      <c r="D327" s="0" t="s">
        <v>731</v>
      </c>
      <c r="E327" s="0" t="s">
        <v>443</v>
      </c>
      <c r="F327" s="233" t="n">
        <v>46054</v>
      </c>
      <c r="G327" s="1" t="s">
        <v>800</v>
      </c>
      <c r="H327" s="0" t="n">
        <v>8333.33333333333</v>
      </c>
      <c r="I327" s="0" t="n">
        <v>100000</v>
      </c>
      <c r="J327" s="1" t="s">
        <v>2615</v>
      </c>
      <c r="K327" s="1" t="s">
        <v>1208</v>
      </c>
    </row>
    <row r="328" customFormat="false" ht="13.5" hidden="false" customHeight="false" outlineLevel="0" collapsed="false">
      <c r="A328" s="0" t="s">
        <v>49</v>
      </c>
      <c r="B328" s="0" t="s">
        <v>2244</v>
      </c>
      <c r="C328" s="0" t="n">
        <v>7550</v>
      </c>
      <c r="D328" s="0" t="s">
        <v>731</v>
      </c>
      <c r="E328" s="0" t="s">
        <v>443</v>
      </c>
      <c r="F328" s="233" t="n">
        <v>46082</v>
      </c>
      <c r="G328" s="1" t="s">
        <v>801</v>
      </c>
      <c r="H328" s="0" t="n">
        <v>8333.33333333333</v>
      </c>
      <c r="I328" s="0" t="n">
        <v>100000</v>
      </c>
      <c r="J328" s="1" t="s">
        <v>2615</v>
      </c>
      <c r="K328" s="1" t="s">
        <v>1208</v>
      </c>
    </row>
    <row r="329" customFormat="false" ht="13.5" hidden="false" customHeight="false" outlineLevel="0" collapsed="false">
      <c r="A329" s="0" t="s">
        <v>49</v>
      </c>
      <c r="B329" s="0" t="s">
        <v>2244</v>
      </c>
      <c r="C329" s="0" t="n">
        <v>7550</v>
      </c>
      <c r="D329" s="0" t="s">
        <v>731</v>
      </c>
      <c r="E329" s="0" t="s">
        <v>443</v>
      </c>
      <c r="F329" s="233" t="n">
        <v>46113</v>
      </c>
      <c r="G329" s="1" t="s">
        <v>802</v>
      </c>
      <c r="H329" s="0" t="n">
        <v>8333.33333333333</v>
      </c>
      <c r="I329" s="0" t="n">
        <v>100000</v>
      </c>
      <c r="J329" s="1" t="s">
        <v>2615</v>
      </c>
      <c r="K329" s="1" t="s">
        <v>1208</v>
      </c>
    </row>
    <row r="330" customFormat="false" ht="13.5" hidden="false" customHeight="false" outlineLevel="0" collapsed="false">
      <c r="A330" s="0" t="s">
        <v>49</v>
      </c>
      <c r="B330" s="0" t="s">
        <v>2244</v>
      </c>
      <c r="C330" s="0" t="n">
        <v>7550</v>
      </c>
      <c r="D330" s="0" t="s">
        <v>731</v>
      </c>
      <c r="E330" s="0" t="s">
        <v>443</v>
      </c>
      <c r="F330" s="233" t="n">
        <v>46143</v>
      </c>
      <c r="G330" s="1" t="s">
        <v>803</v>
      </c>
      <c r="H330" s="0" t="n">
        <v>8333.33333333333</v>
      </c>
      <c r="I330" s="0" t="n">
        <v>100000</v>
      </c>
      <c r="J330" s="1" t="s">
        <v>2615</v>
      </c>
      <c r="K330" s="1" t="s">
        <v>1208</v>
      </c>
    </row>
    <row r="331" customFormat="false" ht="13.5" hidden="false" customHeight="false" outlineLevel="0" collapsed="false">
      <c r="A331" s="0" t="s">
        <v>49</v>
      </c>
      <c r="B331" s="0" t="s">
        <v>2244</v>
      </c>
      <c r="C331" s="0" t="n">
        <v>7550</v>
      </c>
      <c r="D331" s="0" t="s">
        <v>731</v>
      </c>
      <c r="E331" s="0" t="s">
        <v>443</v>
      </c>
      <c r="F331" s="233" t="n">
        <v>46174</v>
      </c>
      <c r="G331" s="1" t="s">
        <v>804</v>
      </c>
      <c r="H331" s="0" t="n">
        <v>8333.33333333333</v>
      </c>
      <c r="I331" s="0" t="n">
        <v>100000</v>
      </c>
      <c r="J331" s="1" t="s">
        <v>2615</v>
      </c>
      <c r="K331" s="1" t="s">
        <v>1208</v>
      </c>
    </row>
    <row r="332" customFormat="false" ht="13.5" hidden="false" customHeight="false" outlineLevel="0" collapsed="false">
      <c r="A332" s="0" t="s">
        <v>49</v>
      </c>
      <c r="B332" s="0" t="s">
        <v>2244</v>
      </c>
      <c r="C332" s="0" t="n">
        <v>7550</v>
      </c>
      <c r="D332" s="0" t="s">
        <v>731</v>
      </c>
      <c r="E332" s="0" t="s">
        <v>443</v>
      </c>
      <c r="F332" s="233" t="n">
        <v>46204</v>
      </c>
      <c r="G332" s="1" t="s">
        <v>805</v>
      </c>
      <c r="H332" s="0" t="n">
        <v>8333.33333333333</v>
      </c>
      <c r="I332" s="0" t="n">
        <v>100000</v>
      </c>
      <c r="J332" s="1" t="s">
        <v>2615</v>
      </c>
      <c r="K332" s="1" t="s">
        <v>1208</v>
      </c>
    </row>
    <row r="333" customFormat="false" ht="13.5" hidden="false" customHeight="false" outlineLevel="0" collapsed="false">
      <c r="A333" s="0" t="s">
        <v>49</v>
      </c>
      <c r="B333" s="0" t="s">
        <v>2244</v>
      </c>
      <c r="C333" s="0" t="n">
        <v>7550</v>
      </c>
      <c r="D333" s="0" t="s">
        <v>731</v>
      </c>
      <c r="E333" s="0" t="s">
        <v>443</v>
      </c>
      <c r="F333" s="233" t="n">
        <v>46235</v>
      </c>
      <c r="G333" s="1" t="s">
        <v>806</v>
      </c>
      <c r="H333" s="0" t="n">
        <v>8333.33333333333</v>
      </c>
      <c r="I333" s="0" t="n">
        <v>100000</v>
      </c>
      <c r="J333" s="1" t="s">
        <v>2615</v>
      </c>
      <c r="K333" s="1" t="s">
        <v>1208</v>
      </c>
    </row>
    <row r="334" customFormat="false" ht="13.5" hidden="false" customHeight="false" outlineLevel="0" collapsed="false">
      <c r="A334" s="0" t="s">
        <v>49</v>
      </c>
      <c r="B334" s="0" t="s">
        <v>2244</v>
      </c>
      <c r="C334" s="0" t="n">
        <v>7550</v>
      </c>
      <c r="D334" s="0" t="s">
        <v>731</v>
      </c>
      <c r="E334" s="0" t="s">
        <v>443</v>
      </c>
      <c r="F334" s="233" t="n">
        <v>46266</v>
      </c>
      <c r="G334" s="1" t="s">
        <v>2616</v>
      </c>
      <c r="H334" s="0" t="n">
        <v>8333.33333333333</v>
      </c>
      <c r="I334" s="0" t="n">
        <v>100000</v>
      </c>
      <c r="J334" s="1" t="s">
        <v>2615</v>
      </c>
      <c r="K334" s="1" t="s">
        <v>1208</v>
      </c>
    </row>
    <row r="335" customFormat="false" ht="13.5" hidden="false" customHeight="false" outlineLevel="0" collapsed="false">
      <c r="A335" s="0" t="s">
        <v>49</v>
      </c>
      <c r="B335" s="0" t="s">
        <v>2244</v>
      </c>
      <c r="C335" s="0" t="n">
        <v>7550</v>
      </c>
      <c r="D335" s="0" t="s">
        <v>731</v>
      </c>
      <c r="E335" s="0" t="s">
        <v>443</v>
      </c>
      <c r="F335" s="233" t="n">
        <v>46296</v>
      </c>
      <c r="G335" s="1" t="s">
        <v>808</v>
      </c>
      <c r="H335" s="0" t="n">
        <v>8333.33333333333</v>
      </c>
      <c r="I335" s="0" t="n">
        <v>100000</v>
      </c>
      <c r="J335" s="1" t="s">
        <v>2615</v>
      </c>
      <c r="K335" s="1" t="s">
        <v>1208</v>
      </c>
    </row>
    <row r="336" customFormat="false" ht="13.5" hidden="false" customHeight="false" outlineLevel="0" collapsed="false">
      <c r="A336" s="0" t="s">
        <v>49</v>
      </c>
      <c r="B336" s="0" t="s">
        <v>2244</v>
      </c>
      <c r="C336" s="0" t="n">
        <v>7550</v>
      </c>
      <c r="D336" s="0" t="s">
        <v>731</v>
      </c>
      <c r="E336" s="0" t="s">
        <v>443</v>
      </c>
      <c r="F336" s="233" t="n">
        <v>46327</v>
      </c>
      <c r="G336" s="1" t="s">
        <v>809</v>
      </c>
      <c r="H336" s="0" t="n">
        <v>8333.33333333333</v>
      </c>
      <c r="I336" s="0" t="n">
        <v>100000</v>
      </c>
      <c r="J336" s="1" t="s">
        <v>2615</v>
      </c>
      <c r="K336" s="1" t="s">
        <v>1208</v>
      </c>
    </row>
    <row r="337" customFormat="false" ht="13.5" hidden="false" customHeight="false" outlineLevel="0" collapsed="false">
      <c r="A337" s="0" t="s">
        <v>49</v>
      </c>
      <c r="B337" s="0" t="s">
        <v>2244</v>
      </c>
      <c r="C337" s="0" t="n">
        <v>7550</v>
      </c>
      <c r="D337" s="0" t="s">
        <v>731</v>
      </c>
      <c r="E337" s="0" t="s">
        <v>443</v>
      </c>
      <c r="F337" s="233" t="n">
        <v>46357</v>
      </c>
      <c r="G337" s="1" t="s">
        <v>810</v>
      </c>
      <c r="H337" s="0" t="n">
        <v>8333.33333333333</v>
      </c>
      <c r="I337" s="0" t="n">
        <v>100000</v>
      </c>
      <c r="J337" s="1" t="s">
        <v>2615</v>
      </c>
      <c r="K337" s="1" t="s">
        <v>1208</v>
      </c>
    </row>
    <row r="338" customFormat="false" ht="13.5" hidden="false" customHeight="false" outlineLevel="0" collapsed="false">
      <c r="A338" s="0" t="s">
        <v>49</v>
      </c>
      <c r="B338" s="0" t="s">
        <v>2244</v>
      </c>
      <c r="C338" s="0" t="n">
        <v>7580</v>
      </c>
      <c r="D338" s="0" t="s">
        <v>734</v>
      </c>
      <c r="E338" s="0" t="s">
        <v>443</v>
      </c>
      <c r="F338" s="233" t="n">
        <v>46023</v>
      </c>
      <c r="G338" s="1" t="s">
        <v>799</v>
      </c>
      <c r="H338" s="0" t="n">
        <v>1166.66666666667</v>
      </c>
      <c r="I338" s="0" t="n">
        <v>14000</v>
      </c>
      <c r="J338" s="1" t="s">
        <v>2615</v>
      </c>
      <c r="K338" s="1" t="s">
        <v>1208</v>
      </c>
    </row>
    <row r="339" customFormat="false" ht="13.5" hidden="false" customHeight="false" outlineLevel="0" collapsed="false">
      <c r="A339" s="0" t="s">
        <v>49</v>
      </c>
      <c r="B339" s="0" t="s">
        <v>2244</v>
      </c>
      <c r="C339" s="0" t="n">
        <v>7580</v>
      </c>
      <c r="D339" s="0" t="s">
        <v>734</v>
      </c>
      <c r="E339" s="0" t="s">
        <v>443</v>
      </c>
      <c r="F339" s="233" t="n">
        <v>46054</v>
      </c>
      <c r="G339" s="1" t="s">
        <v>800</v>
      </c>
      <c r="H339" s="0" t="n">
        <v>1166.66666666667</v>
      </c>
      <c r="I339" s="0" t="n">
        <v>14000</v>
      </c>
      <c r="J339" s="1" t="s">
        <v>2615</v>
      </c>
      <c r="K339" s="1" t="s">
        <v>1208</v>
      </c>
    </row>
    <row r="340" customFormat="false" ht="13.5" hidden="false" customHeight="false" outlineLevel="0" collapsed="false">
      <c r="A340" s="0" t="s">
        <v>49</v>
      </c>
      <c r="B340" s="0" t="s">
        <v>2244</v>
      </c>
      <c r="C340" s="0" t="n">
        <v>7580</v>
      </c>
      <c r="D340" s="0" t="s">
        <v>734</v>
      </c>
      <c r="E340" s="0" t="s">
        <v>443</v>
      </c>
      <c r="F340" s="233" t="n">
        <v>46082</v>
      </c>
      <c r="G340" s="1" t="s">
        <v>801</v>
      </c>
      <c r="H340" s="0" t="n">
        <v>1166.66666666667</v>
      </c>
      <c r="I340" s="0" t="n">
        <v>14000</v>
      </c>
      <c r="J340" s="1" t="s">
        <v>2615</v>
      </c>
      <c r="K340" s="1" t="s">
        <v>1208</v>
      </c>
    </row>
    <row r="341" customFormat="false" ht="13.5" hidden="false" customHeight="false" outlineLevel="0" collapsed="false">
      <c r="A341" s="0" t="s">
        <v>49</v>
      </c>
      <c r="B341" s="0" t="s">
        <v>2244</v>
      </c>
      <c r="C341" s="0" t="n">
        <v>7580</v>
      </c>
      <c r="D341" s="0" t="s">
        <v>734</v>
      </c>
      <c r="E341" s="0" t="s">
        <v>443</v>
      </c>
      <c r="F341" s="233" t="n">
        <v>46113</v>
      </c>
      <c r="G341" s="1" t="s">
        <v>802</v>
      </c>
      <c r="H341" s="0" t="n">
        <v>1166.66666666667</v>
      </c>
      <c r="I341" s="0" t="n">
        <v>14000</v>
      </c>
      <c r="J341" s="1" t="s">
        <v>2615</v>
      </c>
      <c r="K341" s="1" t="s">
        <v>1208</v>
      </c>
    </row>
    <row r="342" customFormat="false" ht="13.5" hidden="false" customHeight="false" outlineLevel="0" collapsed="false">
      <c r="A342" s="0" t="s">
        <v>49</v>
      </c>
      <c r="B342" s="0" t="s">
        <v>2244</v>
      </c>
      <c r="C342" s="0" t="n">
        <v>7580</v>
      </c>
      <c r="D342" s="0" t="s">
        <v>734</v>
      </c>
      <c r="E342" s="0" t="s">
        <v>443</v>
      </c>
      <c r="F342" s="233" t="n">
        <v>46143</v>
      </c>
      <c r="G342" s="1" t="s">
        <v>803</v>
      </c>
      <c r="H342" s="0" t="n">
        <v>1166.66666666667</v>
      </c>
      <c r="I342" s="0" t="n">
        <v>14000</v>
      </c>
      <c r="J342" s="1" t="s">
        <v>2615</v>
      </c>
      <c r="K342" s="1" t="s">
        <v>1208</v>
      </c>
    </row>
    <row r="343" customFormat="false" ht="13.5" hidden="false" customHeight="false" outlineLevel="0" collapsed="false">
      <c r="A343" s="0" t="s">
        <v>49</v>
      </c>
      <c r="B343" s="0" t="s">
        <v>2244</v>
      </c>
      <c r="C343" s="0" t="n">
        <v>7580</v>
      </c>
      <c r="D343" s="0" t="s">
        <v>734</v>
      </c>
      <c r="E343" s="0" t="s">
        <v>443</v>
      </c>
      <c r="F343" s="233" t="n">
        <v>46174</v>
      </c>
      <c r="G343" s="1" t="s">
        <v>804</v>
      </c>
      <c r="H343" s="0" t="n">
        <v>1166.66666666667</v>
      </c>
      <c r="I343" s="0" t="n">
        <v>14000</v>
      </c>
      <c r="J343" s="1" t="s">
        <v>2615</v>
      </c>
      <c r="K343" s="1" t="s">
        <v>1208</v>
      </c>
    </row>
    <row r="344" customFormat="false" ht="13.5" hidden="false" customHeight="false" outlineLevel="0" collapsed="false">
      <c r="A344" s="0" t="s">
        <v>49</v>
      </c>
      <c r="B344" s="0" t="s">
        <v>2244</v>
      </c>
      <c r="C344" s="0" t="n">
        <v>7580</v>
      </c>
      <c r="D344" s="0" t="s">
        <v>734</v>
      </c>
      <c r="E344" s="0" t="s">
        <v>443</v>
      </c>
      <c r="F344" s="233" t="n">
        <v>46204</v>
      </c>
      <c r="G344" s="1" t="s">
        <v>805</v>
      </c>
      <c r="H344" s="0" t="n">
        <v>1166.66666666667</v>
      </c>
      <c r="I344" s="0" t="n">
        <v>14000</v>
      </c>
      <c r="J344" s="1" t="s">
        <v>2615</v>
      </c>
      <c r="K344" s="1" t="s">
        <v>1208</v>
      </c>
    </row>
    <row r="345" customFormat="false" ht="13.5" hidden="false" customHeight="false" outlineLevel="0" collapsed="false">
      <c r="A345" s="0" t="s">
        <v>49</v>
      </c>
      <c r="B345" s="0" t="s">
        <v>2244</v>
      </c>
      <c r="C345" s="0" t="n">
        <v>7580</v>
      </c>
      <c r="D345" s="0" t="s">
        <v>734</v>
      </c>
      <c r="E345" s="0" t="s">
        <v>443</v>
      </c>
      <c r="F345" s="233" t="n">
        <v>46235</v>
      </c>
      <c r="G345" s="1" t="s">
        <v>806</v>
      </c>
      <c r="H345" s="0" t="n">
        <v>1166.66666666667</v>
      </c>
      <c r="I345" s="0" t="n">
        <v>14000</v>
      </c>
      <c r="J345" s="1" t="s">
        <v>2615</v>
      </c>
      <c r="K345" s="1" t="s">
        <v>1208</v>
      </c>
    </row>
    <row r="346" customFormat="false" ht="13.5" hidden="false" customHeight="false" outlineLevel="0" collapsed="false">
      <c r="A346" s="0" t="s">
        <v>49</v>
      </c>
      <c r="B346" s="0" t="s">
        <v>2244</v>
      </c>
      <c r="C346" s="0" t="n">
        <v>7580</v>
      </c>
      <c r="D346" s="0" t="s">
        <v>734</v>
      </c>
      <c r="E346" s="0" t="s">
        <v>443</v>
      </c>
      <c r="F346" s="233" t="n">
        <v>46266</v>
      </c>
      <c r="G346" s="1" t="s">
        <v>2616</v>
      </c>
      <c r="H346" s="0" t="n">
        <v>1166.66666666667</v>
      </c>
      <c r="I346" s="0" t="n">
        <v>14000</v>
      </c>
      <c r="J346" s="1" t="s">
        <v>2615</v>
      </c>
      <c r="K346" s="1" t="s">
        <v>1208</v>
      </c>
    </row>
    <row r="347" customFormat="false" ht="13.5" hidden="false" customHeight="false" outlineLevel="0" collapsed="false">
      <c r="A347" s="0" t="s">
        <v>49</v>
      </c>
      <c r="B347" s="0" t="s">
        <v>2244</v>
      </c>
      <c r="C347" s="0" t="n">
        <v>7580</v>
      </c>
      <c r="D347" s="0" t="s">
        <v>734</v>
      </c>
      <c r="E347" s="0" t="s">
        <v>443</v>
      </c>
      <c r="F347" s="233" t="n">
        <v>46296</v>
      </c>
      <c r="G347" s="1" t="s">
        <v>808</v>
      </c>
      <c r="H347" s="0" t="n">
        <v>1166.66666666667</v>
      </c>
      <c r="I347" s="0" t="n">
        <v>14000</v>
      </c>
      <c r="J347" s="1" t="s">
        <v>2615</v>
      </c>
      <c r="K347" s="1" t="s">
        <v>1208</v>
      </c>
    </row>
    <row r="348" customFormat="false" ht="13.5" hidden="false" customHeight="false" outlineLevel="0" collapsed="false">
      <c r="A348" s="0" t="s">
        <v>49</v>
      </c>
      <c r="B348" s="0" t="s">
        <v>2244</v>
      </c>
      <c r="C348" s="0" t="n">
        <v>7580</v>
      </c>
      <c r="D348" s="0" t="s">
        <v>734</v>
      </c>
      <c r="E348" s="0" t="s">
        <v>443</v>
      </c>
      <c r="F348" s="233" t="n">
        <v>46327</v>
      </c>
      <c r="G348" s="1" t="s">
        <v>809</v>
      </c>
      <c r="H348" s="0" t="n">
        <v>1166.66666666667</v>
      </c>
      <c r="I348" s="0" t="n">
        <v>14000</v>
      </c>
      <c r="J348" s="1" t="s">
        <v>2615</v>
      </c>
      <c r="K348" s="1" t="s">
        <v>1208</v>
      </c>
    </row>
    <row r="349" customFormat="false" ht="13.5" hidden="false" customHeight="false" outlineLevel="0" collapsed="false">
      <c r="A349" s="0" t="s">
        <v>49</v>
      </c>
      <c r="B349" s="0" t="s">
        <v>2244</v>
      </c>
      <c r="C349" s="0" t="n">
        <v>7580</v>
      </c>
      <c r="D349" s="0" t="s">
        <v>734</v>
      </c>
      <c r="E349" s="0" t="s">
        <v>443</v>
      </c>
      <c r="F349" s="233" t="n">
        <v>46357</v>
      </c>
      <c r="G349" s="1" t="s">
        <v>810</v>
      </c>
      <c r="H349" s="0" t="n">
        <v>1166.66666666667</v>
      </c>
      <c r="I349" s="0" t="n">
        <v>14000</v>
      </c>
      <c r="J349" s="1" t="s">
        <v>2615</v>
      </c>
      <c r="K349" s="1" t="s">
        <v>1208</v>
      </c>
    </row>
    <row r="350" customFormat="false" ht="13.5" hidden="false" customHeight="false" outlineLevel="0" collapsed="false">
      <c r="A350" s="0" t="s">
        <v>49</v>
      </c>
      <c r="B350" s="0" t="s">
        <v>2244</v>
      </c>
      <c r="C350" s="0" t="n">
        <v>7600</v>
      </c>
      <c r="D350" s="0" t="s">
        <v>1881</v>
      </c>
      <c r="E350" s="0" t="s">
        <v>441</v>
      </c>
      <c r="F350" s="233" t="n">
        <v>46023</v>
      </c>
      <c r="G350" s="1" t="s">
        <v>799</v>
      </c>
      <c r="H350" s="0" t="n">
        <v>1000</v>
      </c>
      <c r="I350" s="0" t="n">
        <v>12000</v>
      </c>
      <c r="J350" s="1" t="s">
        <v>2615</v>
      </c>
      <c r="K350" s="1" t="s">
        <v>1208</v>
      </c>
    </row>
    <row r="351" customFormat="false" ht="13.5" hidden="false" customHeight="false" outlineLevel="0" collapsed="false">
      <c r="A351" s="0" t="s">
        <v>49</v>
      </c>
      <c r="B351" s="0" t="s">
        <v>2244</v>
      </c>
      <c r="C351" s="0" t="n">
        <v>7600</v>
      </c>
      <c r="D351" s="0" t="s">
        <v>1881</v>
      </c>
      <c r="E351" s="0" t="s">
        <v>441</v>
      </c>
      <c r="F351" s="233" t="n">
        <v>46054</v>
      </c>
      <c r="G351" s="1" t="s">
        <v>800</v>
      </c>
      <c r="H351" s="0" t="n">
        <v>1000</v>
      </c>
      <c r="I351" s="0" t="n">
        <v>12000</v>
      </c>
      <c r="J351" s="1" t="s">
        <v>2615</v>
      </c>
      <c r="K351" s="1" t="s">
        <v>1208</v>
      </c>
    </row>
    <row r="352" customFormat="false" ht="13.5" hidden="false" customHeight="false" outlineLevel="0" collapsed="false">
      <c r="A352" s="0" t="s">
        <v>49</v>
      </c>
      <c r="B352" s="0" t="s">
        <v>2244</v>
      </c>
      <c r="C352" s="0" t="n">
        <v>7600</v>
      </c>
      <c r="D352" s="0" t="s">
        <v>1881</v>
      </c>
      <c r="E352" s="0" t="s">
        <v>441</v>
      </c>
      <c r="F352" s="233" t="n">
        <v>46082</v>
      </c>
      <c r="G352" s="1" t="s">
        <v>801</v>
      </c>
      <c r="H352" s="0" t="n">
        <v>1000</v>
      </c>
      <c r="I352" s="0" t="n">
        <v>12000</v>
      </c>
      <c r="J352" s="1" t="s">
        <v>2615</v>
      </c>
      <c r="K352" s="1" t="s">
        <v>1208</v>
      </c>
    </row>
    <row r="353" customFormat="false" ht="13.5" hidden="false" customHeight="false" outlineLevel="0" collapsed="false">
      <c r="A353" s="0" t="s">
        <v>49</v>
      </c>
      <c r="B353" s="0" t="s">
        <v>2244</v>
      </c>
      <c r="C353" s="0" t="n">
        <v>7600</v>
      </c>
      <c r="D353" s="0" t="s">
        <v>1881</v>
      </c>
      <c r="E353" s="0" t="s">
        <v>441</v>
      </c>
      <c r="F353" s="233" t="n">
        <v>46113</v>
      </c>
      <c r="G353" s="1" t="s">
        <v>802</v>
      </c>
      <c r="H353" s="0" t="n">
        <v>1000</v>
      </c>
      <c r="I353" s="0" t="n">
        <v>12000</v>
      </c>
      <c r="J353" s="1" t="s">
        <v>2615</v>
      </c>
      <c r="K353" s="1" t="s">
        <v>1208</v>
      </c>
    </row>
    <row r="354" customFormat="false" ht="13.5" hidden="false" customHeight="false" outlineLevel="0" collapsed="false">
      <c r="A354" s="0" t="s">
        <v>49</v>
      </c>
      <c r="B354" s="0" t="s">
        <v>2244</v>
      </c>
      <c r="C354" s="0" t="n">
        <v>7600</v>
      </c>
      <c r="D354" s="0" t="s">
        <v>1881</v>
      </c>
      <c r="E354" s="0" t="s">
        <v>441</v>
      </c>
      <c r="F354" s="233" t="n">
        <v>46143</v>
      </c>
      <c r="G354" s="1" t="s">
        <v>803</v>
      </c>
      <c r="H354" s="0" t="n">
        <v>1000</v>
      </c>
      <c r="I354" s="0" t="n">
        <v>12000</v>
      </c>
      <c r="J354" s="1" t="s">
        <v>2615</v>
      </c>
      <c r="K354" s="1" t="s">
        <v>1208</v>
      </c>
    </row>
    <row r="355" customFormat="false" ht="13.5" hidden="false" customHeight="false" outlineLevel="0" collapsed="false">
      <c r="A355" s="0" t="s">
        <v>49</v>
      </c>
      <c r="B355" s="0" t="s">
        <v>2244</v>
      </c>
      <c r="C355" s="0" t="n">
        <v>7600</v>
      </c>
      <c r="D355" s="0" t="s">
        <v>1881</v>
      </c>
      <c r="E355" s="0" t="s">
        <v>441</v>
      </c>
      <c r="F355" s="233" t="n">
        <v>46174</v>
      </c>
      <c r="G355" s="1" t="s">
        <v>804</v>
      </c>
      <c r="H355" s="0" t="n">
        <v>1000</v>
      </c>
      <c r="I355" s="0" t="n">
        <v>12000</v>
      </c>
      <c r="J355" s="1" t="s">
        <v>2615</v>
      </c>
      <c r="K355" s="1" t="s">
        <v>1208</v>
      </c>
    </row>
    <row r="356" customFormat="false" ht="13.5" hidden="false" customHeight="false" outlineLevel="0" collapsed="false">
      <c r="A356" s="0" t="s">
        <v>49</v>
      </c>
      <c r="B356" s="0" t="s">
        <v>2244</v>
      </c>
      <c r="C356" s="0" t="n">
        <v>7600</v>
      </c>
      <c r="D356" s="0" t="s">
        <v>1881</v>
      </c>
      <c r="E356" s="0" t="s">
        <v>441</v>
      </c>
      <c r="F356" s="233" t="n">
        <v>46204</v>
      </c>
      <c r="G356" s="1" t="s">
        <v>805</v>
      </c>
      <c r="H356" s="0" t="n">
        <v>1000</v>
      </c>
      <c r="I356" s="0" t="n">
        <v>12000</v>
      </c>
      <c r="J356" s="1" t="s">
        <v>2615</v>
      </c>
      <c r="K356" s="1" t="s">
        <v>1208</v>
      </c>
    </row>
    <row r="357" customFormat="false" ht="13.5" hidden="false" customHeight="false" outlineLevel="0" collapsed="false">
      <c r="A357" s="0" t="s">
        <v>49</v>
      </c>
      <c r="B357" s="0" t="s">
        <v>2244</v>
      </c>
      <c r="C357" s="0" t="n">
        <v>7600</v>
      </c>
      <c r="D357" s="0" t="s">
        <v>1881</v>
      </c>
      <c r="E357" s="0" t="s">
        <v>441</v>
      </c>
      <c r="F357" s="233" t="n">
        <v>46235</v>
      </c>
      <c r="G357" s="1" t="s">
        <v>806</v>
      </c>
      <c r="H357" s="0" t="n">
        <v>1000</v>
      </c>
      <c r="I357" s="0" t="n">
        <v>12000</v>
      </c>
      <c r="J357" s="1" t="s">
        <v>2615</v>
      </c>
      <c r="K357" s="1" t="s">
        <v>1208</v>
      </c>
    </row>
    <row r="358" customFormat="false" ht="13.5" hidden="false" customHeight="false" outlineLevel="0" collapsed="false">
      <c r="A358" s="0" t="s">
        <v>49</v>
      </c>
      <c r="B358" s="0" t="s">
        <v>2244</v>
      </c>
      <c r="C358" s="0" t="n">
        <v>7600</v>
      </c>
      <c r="D358" s="0" t="s">
        <v>1881</v>
      </c>
      <c r="E358" s="0" t="s">
        <v>441</v>
      </c>
      <c r="F358" s="233" t="n">
        <v>46266</v>
      </c>
      <c r="G358" s="1" t="s">
        <v>2616</v>
      </c>
      <c r="H358" s="0" t="n">
        <v>1000</v>
      </c>
      <c r="I358" s="0" t="n">
        <v>12000</v>
      </c>
      <c r="J358" s="1" t="s">
        <v>2615</v>
      </c>
      <c r="K358" s="1" t="s">
        <v>1208</v>
      </c>
    </row>
    <row r="359" customFormat="false" ht="13.5" hidden="false" customHeight="false" outlineLevel="0" collapsed="false">
      <c r="A359" s="0" t="s">
        <v>49</v>
      </c>
      <c r="B359" s="0" t="s">
        <v>2244</v>
      </c>
      <c r="C359" s="0" t="n">
        <v>7600</v>
      </c>
      <c r="D359" s="0" t="s">
        <v>1881</v>
      </c>
      <c r="E359" s="0" t="s">
        <v>441</v>
      </c>
      <c r="F359" s="233" t="n">
        <v>46296</v>
      </c>
      <c r="G359" s="1" t="s">
        <v>808</v>
      </c>
      <c r="H359" s="0" t="n">
        <v>1000</v>
      </c>
      <c r="I359" s="0" t="n">
        <v>12000</v>
      </c>
      <c r="J359" s="1" t="s">
        <v>2615</v>
      </c>
      <c r="K359" s="1" t="s">
        <v>1208</v>
      </c>
    </row>
    <row r="360" customFormat="false" ht="13.5" hidden="false" customHeight="false" outlineLevel="0" collapsed="false">
      <c r="A360" s="0" t="s">
        <v>49</v>
      </c>
      <c r="B360" s="0" t="s">
        <v>2244</v>
      </c>
      <c r="C360" s="0" t="n">
        <v>7600</v>
      </c>
      <c r="D360" s="0" t="s">
        <v>1881</v>
      </c>
      <c r="E360" s="0" t="s">
        <v>441</v>
      </c>
      <c r="F360" s="233" t="n">
        <v>46327</v>
      </c>
      <c r="G360" s="1" t="s">
        <v>809</v>
      </c>
      <c r="H360" s="0" t="n">
        <v>1000</v>
      </c>
      <c r="I360" s="0" t="n">
        <v>12000</v>
      </c>
      <c r="J360" s="1" t="s">
        <v>2615</v>
      </c>
      <c r="K360" s="1" t="s">
        <v>1208</v>
      </c>
    </row>
    <row r="361" customFormat="false" ht="13.5" hidden="false" customHeight="false" outlineLevel="0" collapsed="false">
      <c r="A361" s="0" t="s">
        <v>49</v>
      </c>
      <c r="B361" s="0" t="s">
        <v>2244</v>
      </c>
      <c r="C361" s="0" t="n">
        <v>7600</v>
      </c>
      <c r="D361" s="0" t="s">
        <v>1881</v>
      </c>
      <c r="E361" s="0" t="s">
        <v>441</v>
      </c>
      <c r="F361" s="233" t="n">
        <v>46357</v>
      </c>
      <c r="G361" s="1" t="s">
        <v>810</v>
      </c>
      <c r="H361" s="0" t="n">
        <v>1000</v>
      </c>
      <c r="I361" s="0" t="n">
        <v>12000</v>
      </c>
      <c r="J361" s="1" t="s">
        <v>2615</v>
      </c>
      <c r="K361" s="1" t="s">
        <v>1208</v>
      </c>
    </row>
    <row r="362" customFormat="false" ht="13.5" hidden="false" customHeight="false" outlineLevel="0" collapsed="false">
      <c r="A362" s="0" t="s">
        <v>49</v>
      </c>
      <c r="B362" s="0" t="s">
        <v>2244</v>
      </c>
      <c r="C362" s="0" t="n">
        <v>7620</v>
      </c>
      <c r="D362" s="0" t="s">
        <v>736</v>
      </c>
      <c r="E362" s="0" t="s">
        <v>441</v>
      </c>
      <c r="F362" s="233" t="n">
        <v>46023</v>
      </c>
      <c r="G362" s="1" t="s">
        <v>799</v>
      </c>
      <c r="H362" s="0" t="n">
        <v>1308.08833333333</v>
      </c>
      <c r="I362" s="0" t="n">
        <v>15697.06</v>
      </c>
      <c r="J362" s="1" t="s">
        <v>2615</v>
      </c>
      <c r="K362" s="1" t="s">
        <v>1208</v>
      </c>
    </row>
    <row r="363" customFormat="false" ht="13.5" hidden="false" customHeight="false" outlineLevel="0" collapsed="false">
      <c r="A363" s="0" t="s">
        <v>49</v>
      </c>
      <c r="B363" s="0" t="s">
        <v>2244</v>
      </c>
      <c r="C363" s="0" t="n">
        <v>7620</v>
      </c>
      <c r="D363" s="0" t="s">
        <v>736</v>
      </c>
      <c r="E363" s="0" t="s">
        <v>441</v>
      </c>
      <c r="F363" s="233" t="n">
        <v>46054</v>
      </c>
      <c r="G363" s="1" t="s">
        <v>800</v>
      </c>
      <c r="H363" s="0" t="n">
        <v>1308.08833333333</v>
      </c>
      <c r="I363" s="0" t="n">
        <v>15697.06</v>
      </c>
      <c r="J363" s="1" t="s">
        <v>2615</v>
      </c>
      <c r="K363" s="1" t="s">
        <v>1208</v>
      </c>
    </row>
    <row r="364" customFormat="false" ht="13.5" hidden="false" customHeight="false" outlineLevel="0" collapsed="false">
      <c r="A364" s="0" t="s">
        <v>49</v>
      </c>
      <c r="B364" s="0" t="s">
        <v>2244</v>
      </c>
      <c r="C364" s="0" t="n">
        <v>7620</v>
      </c>
      <c r="D364" s="0" t="s">
        <v>736</v>
      </c>
      <c r="E364" s="0" t="s">
        <v>441</v>
      </c>
      <c r="F364" s="233" t="n">
        <v>46082</v>
      </c>
      <c r="G364" s="1" t="s">
        <v>801</v>
      </c>
      <c r="H364" s="0" t="n">
        <v>1308.08833333333</v>
      </c>
      <c r="I364" s="0" t="n">
        <v>15697.06</v>
      </c>
      <c r="J364" s="1" t="s">
        <v>2615</v>
      </c>
      <c r="K364" s="1" t="s">
        <v>1208</v>
      </c>
    </row>
    <row r="365" customFormat="false" ht="13.5" hidden="false" customHeight="false" outlineLevel="0" collapsed="false">
      <c r="A365" s="0" t="s">
        <v>49</v>
      </c>
      <c r="B365" s="0" t="s">
        <v>2244</v>
      </c>
      <c r="C365" s="0" t="n">
        <v>7620</v>
      </c>
      <c r="D365" s="0" t="s">
        <v>736</v>
      </c>
      <c r="E365" s="0" t="s">
        <v>441</v>
      </c>
      <c r="F365" s="233" t="n">
        <v>46113</v>
      </c>
      <c r="G365" s="1" t="s">
        <v>802</v>
      </c>
      <c r="H365" s="0" t="n">
        <v>1308.08833333333</v>
      </c>
      <c r="I365" s="0" t="n">
        <v>15697.06</v>
      </c>
      <c r="J365" s="1" t="s">
        <v>2615</v>
      </c>
      <c r="K365" s="1" t="s">
        <v>1208</v>
      </c>
    </row>
    <row r="366" customFormat="false" ht="13.5" hidden="false" customHeight="false" outlineLevel="0" collapsed="false">
      <c r="A366" s="0" t="s">
        <v>49</v>
      </c>
      <c r="B366" s="0" t="s">
        <v>2244</v>
      </c>
      <c r="C366" s="0" t="n">
        <v>7620</v>
      </c>
      <c r="D366" s="0" t="s">
        <v>736</v>
      </c>
      <c r="E366" s="0" t="s">
        <v>441</v>
      </c>
      <c r="F366" s="233" t="n">
        <v>46143</v>
      </c>
      <c r="G366" s="1" t="s">
        <v>803</v>
      </c>
      <c r="H366" s="0" t="n">
        <v>1308.08833333333</v>
      </c>
      <c r="I366" s="0" t="n">
        <v>15697.06</v>
      </c>
      <c r="J366" s="1" t="s">
        <v>2615</v>
      </c>
      <c r="K366" s="1" t="s">
        <v>1208</v>
      </c>
    </row>
    <row r="367" customFormat="false" ht="13.5" hidden="false" customHeight="false" outlineLevel="0" collapsed="false">
      <c r="A367" s="0" t="s">
        <v>49</v>
      </c>
      <c r="B367" s="0" t="s">
        <v>2244</v>
      </c>
      <c r="C367" s="0" t="n">
        <v>7620</v>
      </c>
      <c r="D367" s="0" t="s">
        <v>736</v>
      </c>
      <c r="E367" s="0" t="s">
        <v>441</v>
      </c>
      <c r="F367" s="233" t="n">
        <v>46174</v>
      </c>
      <c r="G367" s="1" t="s">
        <v>804</v>
      </c>
      <c r="H367" s="0" t="n">
        <v>1308.08833333333</v>
      </c>
      <c r="I367" s="0" t="n">
        <v>15697.06</v>
      </c>
      <c r="J367" s="1" t="s">
        <v>2615</v>
      </c>
      <c r="K367" s="1" t="s">
        <v>1208</v>
      </c>
    </row>
    <row r="368" customFormat="false" ht="13.5" hidden="false" customHeight="false" outlineLevel="0" collapsed="false">
      <c r="A368" s="0" t="s">
        <v>49</v>
      </c>
      <c r="B368" s="0" t="s">
        <v>2244</v>
      </c>
      <c r="C368" s="0" t="n">
        <v>7620</v>
      </c>
      <c r="D368" s="0" t="s">
        <v>736</v>
      </c>
      <c r="E368" s="0" t="s">
        <v>441</v>
      </c>
      <c r="F368" s="233" t="n">
        <v>46204</v>
      </c>
      <c r="G368" s="1" t="s">
        <v>805</v>
      </c>
      <c r="H368" s="0" t="n">
        <v>1308.08833333333</v>
      </c>
      <c r="I368" s="0" t="n">
        <v>15697.06</v>
      </c>
      <c r="J368" s="1" t="s">
        <v>2615</v>
      </c>
      <c r="K368" s="1" t="s">
        <v>1208</v>
      </c>
    </row>
    <row r="369" customFormat="false" ht="13.5" hidden="false" customHeight="false" outlineLevel="0" collapsed="false">
      <c r="A369" s="0" t="s">
        <v>49</v>
      </c>
      <c r="B369" s="0" t="s">
        <v>2244</v>
      </c>
      <c r="C369" s="0" t="n">
        <v>7620</v>
      </c>
      <c r="D369" s="0" t="s">
        <v>736</v>
      </c>
      <c r="E369" s="0" t="s">
        <v>441</v>
      </c>
      <c r="F369" s="233" t="n">
        <v>46235</v>
      </c>
      <c r="G369" s="1" t="s">
        <v>806</v>
      </c>
      <c r="H369" s="0" t="n">
        <v>1308.08833333333</v>
      </c>
      <c r="I369" s="0" t="n">
        <v>15697.06</v>
      </c>
      <c r="J369" s="1" t="s">
        <v>2615</v>
      </c>
      <c r="K369" s="1" t="s">
        <v>1208</v>
      </c>
    </row>
    <row r="370" customFormat="false" ht="13.5" hidden="false" customHeight="false" outlineLevel="0" collapsed="false">
      <c r="A370" s="0" t="s">
        <v>49</v>
      </c>
      <c r="B370" s="0" t="s">
        <v>2244</v>
      </c>
      <c r="C370" s="0" t="n">
        <v>7620</v>
      </c>
      <c r="D370" s="0" t="s">
        <v>736</v>
      </c>
      <c r="E370" s="0" t="s">
        <v>441</v>
      </c>
      <c r="F370" s="233" t="n">
        <v>46266</v>
      </c>
      <c r="G370" s="1" t="s">
        <v>2616</v>
      </c>
      <c r="H370" s="0" t="n">
        <v>1308.08833333333</v>
      </c>
      <c r="I370" s="0" t="n">
        <v>15697.06</v>
      </c>
      <c r="J370" s="1" t="s">
        <v>2615</v>
      </c>
      <c r="K370" s="1" t="s">
        <v>1208</v>
      </c>
    </row>
    <row r="371" customFormat="false" ht="13.5" hidden="false" customHeight="false" outlineLevel="0" collapsed="false">
      <c r="A371" s="0" t="s">
        <v>49</v>
      </c>
      <c r="B371" s="0" t="s">
        <v>2244</v>
      </c>
      <c r="C371" s="0" t="n">
        <v>7620</v>
      </c>
      <c r="D371" s="0" t="s">
        <v>736</v>
      </c>
      <c r="E371" s="0" t="s">
        <v>441</v>
      </c>
      <c r="F371" s="233" t="n">
        <v>46296</v>
      </c>
      <c r="G371" s="1" t="s">
        <v>808</v>
      </c>
      <c r="H371" s="0" t="n">
        <v>1308.08833333333</v>
      </c>
      <c r="I371" s="0" t="n">
        <v>15697.06</v>
      </c>
      <c r="J371" s="1" t="s">
        <v>2615</v>
      </c>
      <c r="K371" s="1" t="s">
        <v>1208</v>
      </c>
    </row>
    <row r="372" customFormat="false" ht="13.5" hidden="false" customHeight="false" outlineLevel="0" collapsed="false">
      <c r="A372" s="0" t="s">
        <v>49</v>
      </c>
      <c r="B372" s="0" t="s">
        <v>2244</v>
      </c>
      <c r="C372" s="0" t="n">
        <v>7620</v>
      </c>
      <c r="D372" s="0" t="s">
        <v>736</v>
      </c>
      <c r="E372" s="0" t="s">
        <v>441</v>
      </c>
      <c r="F372" s="233" t="n">
        <v>46327</v>
      </c>
      <c r="G372" s="1" t="s">
        <v>809</v>
      </c>
      <c r="H372" s="0" t="n">
        <v>1308.08833333333</v>
      </c>
      <c r="I372" s="0" t="n">
        <v>15697.06</v>
      </c>
      <c r="J372" s="1" t="s">
        <v>2615</v>
      </c>
      <c r="K372" s="1" t="s">
        <v>1208</v>
      </c>
    </row>
    <row r="373" customFormat="false" ht="13.5" hidden="false" customHeight="false" outlineLevel="0" collapsed="false">
      <c r="A373" s="0" t="s">
        <v>49</v>
      </c>
      <c r="B373" s="0" t="s">
        <v>2244</v>
      </c>
      <c r="C373" s="0" t="n">
        <v>7620</v>
      </c>
      <c r="D373" s="0" t="s">
        <v>736</v>
      </c>
      <c r="E373" s="0" t="s">
        <v>441</v>
      </c>
      <c r="F373" s="233" t="n">
        <v>46357</v>
      </c>
      <c r="G373" s="1" t="s">
        <v>810</v>
      </c>
      <c r="H373" s="0" t="n">
        <v>1308.08833333333</v>
      </c>
      <c r="I373" s="0" t="n">
        <v>15697.06</v>
      </c>
      <c r="J373" s="1" t="s">
        <v>2615</v>
      </c>
      <c r="K373" s="1" t="s">
        <v>1208</v>
      </c>
    </row>
    <row r="374" customFormat="false" ht="13.5" hidden="false" customHeight="false" outlineLevel="0" collapsed="false">
      <c r="A374" s="0" t="s">
        <v>49</v>
      </c>
      <c r="B374" s="0" t="s">
        <v>2244</v>
      </c>
      <c r="C374" s="0" t="n">
        <v>7621</v>
      </c>
      <c r="D374" s="0" t="s">
        <v>1883</v>
      </c>
      <c r="E374" s="0" t="s">
        <v>441</v>
      </c>
      <c r="F374" s="233" t="n">
        <v>46023</v>
      </c>
      <c r="G374" s="1" t="s">
        <v>799</v>
      </c>
      <c r="H374" s="0" t="n">
        <v>7083.33333333333</v>
      </c>
      <c r="I374" s="0" t="n">
        <v>85000</v>
      </c>
      <c r="J374" s="1" t="s">
        <v>2615</v>
      </c>
      <c r="K374" s="1" t="s">
        <v>1208</v>
      </c>
    </row>
    <row r="375" customFormat="false" ht="13.5" hidden="false" customHeight="false" outlineLevel="0" collapsed="false">
      <c r="A375" s="0" t="s">
        <v>49</v>
      </c>
      <c r="B375" s="0" t="s">
        <v>2244</v>
      </c>
      <c r="C375" s="0" t="n">
        <v>7621</v>
      </c>
      <c r="D375" s="0" t="s">
        <v>1883</v>
      </c>
      <c r="E375" s="0" t="s">
        <v>441</v>
      </c>
      <c r="F375" s="233" t="n">
        <v>46054</v>
      </c>
      <c r="G375" s="1" t="s">
        <v>800</v>
      </c>
      <c r="H375" s="0" t="n">
        <v>7083.33333333333</v>
      </c>
      <c r="I375" s="0" t="n">
        <v>85000</v>
      </c>
      <c r="J375" s="1" t="s">
        <v>2615</v>
      </c>
      <c r="K375" s="1" t="s">
        <v>1208</v>
      </c>
    </row>
    <row r="376" customFormat="false" ht="13.5" hidden="false" customHeight="false" outlineLevel="0" collapsed="false">
      <c r="A376" s="0" t="s">
        <v>49</v>
      </c>
      <c r="B376" s="0" t="s">
        <v>2244</v>
      </c>
      <c r="C376" s="0" t="n">
        <v>7621</v>
      </c>
      <c r="D376" s="0" t="s">
        <v>1883</v>
      </c>
      <c r="E376" s="0" t="s">
        <v>441</v>
      </c>
      <c r="F376" s="233" t="n">
        <v>46082</v>
      </c>
      <c r="G376" s="1" t="s">
        <v>801</v>
      </c>
      <c r="H376" s="0" t="n">
        <v>7083.33333333333</v>
      </c>
      <c r="I376" s="0" t="n">
        <v>85000</v>
      </c>
      <c r="J376" s="1" t="s">
        <v>2615</v>
      </c>
      <c r="K376" s="1" t="s">
        <v>1208</v>
      </c>
    </row>
    <row r="377" customFormat="false" ht="13.5" hidden="false" customHeight="false" outlineLevel="0" collapsed="false">
      <c r="A377" s="0" t="s">
        <v>49</v>
      </c>
      <c r="B377" s="0" t="s">
        <v>2244</v>
      </c>
      <c r="C377" s="0" t="n">
        <v>7621</v>
      </c>
      <c r="D377" s="0" t="s">
        <v>1883</v>
      </c>
      <c r="E377" s="0" t="s">
        <v>441</v>
      </c>
      <c r="F377" s="233" t="n">
        <v>46113</v>
      </c>
      <c r="G377" s="1" t="s">
        <v>802</v>
      </c>
      <c r="H377" s="0" t="n">
        <v>7083.33333333333</v>
      </c>
      <c r="I377" s="0" t="n">
        <v>85000</v>
      </c>
      <c r="J377" s="1" t="s">
        <v>2615</v>
      </c>
      <c r="K377" s="1" t="s">
        <v>1208</v>
      </c>
    </row>
    <row r="378" customFormat="false" ht="13.5" hidden="false" customHeight="false" outlineLevel="0" collapsed="false">
      <c r="A378" s="0" t="s">
        <v>49</v>
      </c>
      <c r="B378" s="0" t="s">
        <v>2244</v>
      </c>
      <c r="C378" s="0" t="n">
        <v>7621</v>
      </c>
      <c r="D378" s="0" t="s">
        <v>1883</v>
      </c>
      <c r="E378" s="0" t="s">
        <v>441</v>
      </c>
      <c r="F378" s="233" t="n">
        <v>46143</v>
      </c>
      <c r="G378" s="1" t="s">
        <v>803</v>
      </c>
      <c r="H378" s="0" t="n">
        <v>7083.33333333333</v>
      </c>
      <c r="I378" s="0" t="n">
        <v>85000</v>
      </c>
      <c r="J378" s="1" t="s">
        <v>2615</v>
      </c>
      <c r="K378" s="1" t="s">
        <v>1208</v>
      </c>
    </row>
    <row r="379" customFormat="false" ht="13.5" hidden="false" customHeight="false" outlineLevel="0" collapsed="false">
      <c r="A379" s="0" t="s">
        <v>49</v>
      </c>
      <c r="B379" s="0" t="s">
        <v>2244</v>
      </c>
      <c r="C379" s="0" t="n">
        <v>7621</v>
      </c>
      <c r="D379" s="0" t="s">
        <v>1883</v>
      </c>
      <c r="E379" s="0" t="s">
        <v>441</v>
      </c>
      <c r="F379" s="233" t="n">
        <v>46174</v>
      </c>
      <c r="G379" s="1" t="s">
        <v>804</v>
      </c>
      <c r="H379" s="0" t="n">
        <v>7083.33333333333</v>
      </c>
      <c r="I379" s="0" t="n">
        <v>85000</v>
      </c>
      <c r="J379" s="1" t="s">
        <v>2615</v>
      </c>
      <c r="K379" s="1" t="s">
        <v>1208</v>
      </c>
    </row>
    <row r="380" customFormat="false" ht="13.5" hidden="false" customHeight="false" outlineLevel="0" collapsed="false">
      <c r="A380" s="0" t="s">
        <v>49</v>
      </c>
      <c r="B380" s="0" t="s">
        <v>2244</v>
      </c>
      <c r="C380" s="0" t="n">
        <v>7621</v>
      </c>
      <c r="D380" s="0" t="s">
        <v>1883</v>
      </c>
      <c r="E380" s="0" t="s">
        <v>441</v>
      </c>
      <c r="F380" s="233" t="n">
        <v>46204</v>
      </c>
      <c r="G380" s="1" t="s">
        <v>805</v>
      </c>
      <c r="H380" s="0" t="n">
        <v>7083.33333333333</v>
      </c>
      <c r="I380" s="0" t="n">
        <v>85000</v>
      </c>
      <c r="J380" s="1" t="s">
        <v>2615</v>
      </c>
      <c r="K380" s="1" t="s">
        <v>1208</v>
      </c>
    </row>
    <row r="381" customFormat="false" ht="13.5" hidden="false" customHeight="false" outlineLevel="0" collapsed="false">
      <c r="A381" s="0" t="s">
        <v>49</v>
      </c>
      <c r="B381" s="0" t="s">
        <v>2244</v>
      </c>
      <c r="C381" s="0" t="n">
        <v>7621</v>
      </c>
      <c r="D381" s="0" t="s">
        <v>1883</v>
      </c>
      <c r="E381" s="0" t="s">
        <v>441</v>
      </c>
      <c r="F381" s="233" t="n">
        <v>46235</v>
      </c>
      <c r="G381" s="1" t="s">
        <v>806</v>
      </c>
      <c r="H381" s="0" t="n">
        <v>7083.33333333333</v>
      </c>
      <c r="I381" s="0" t="n">
        <v>85000</v>
      </c>
      <c r="J381" s="1" t="s">
        <v>2615</v>
      </c>
      <c r="K381" s="1" t="s">
        <v>1208</v>
      </c>
    </row>
    <row r="382" customFormat="false" ht="13.5" hidden="false" customHeight="false" outlineLevel="0" collapsed="false">
      <c r="A382" s="0" t="s">
        <v>49</v>
      </c>
      <c r="B382" s="0" t="s">
        <v>2244</v>
      </c>
      <c r="C382" s="0" t="n">
        <v>7621</v>
      </c>
      <c r="D382" s="0" t="s">
        <v>1883</v>
      </c>
      <c r="E382" s="0" t="s">
        <v>441</v>
      </c>
      <c r="F382" s="233" t="n">
        <v>46266</v>
      </c>
      <c r="G382" s="1" t="s">
        <v>2616</v>
      </c>
      <c r="H382" s="0" t="n">
        <v>7083.33333333333</v>
      </c>
      <c r="I382" s="0" t="n">
        <v>85000</v>
      </c>
      <c r="J382" s="1" t="s">
        <v>2615</v>
      </c>
      <c r="K382" s="1" t="s">
        <v>1208</v>
      </c>
    </row>
    <row r="383" customFormat="false" ht="13.5" hidden="false" customHeight="false" outlineLevel="0" collapsed="false">
      <c r="A383" s="0" t="s">
        <v>49</v>
      </c>
      <c r="B383" s="0" t="s">
        <v>2244</v>
      </c>
      <c r="C383" s="0" t="n">
        <v>7621</v>
      </c>
      <c r="D383" s="0" t="s">
        <v>1883</v>
      </c>
      <c r="E383" s="0" t="s">
        <v>441</v>
      </c>
      <c r="F383" s="233" t="n">
        <v>46296</v>
      </c>
      <c r="G383" s="1" t="s">
        <v>808</v>
      </c>
      <c r="H383" s="0" t="n">
        <v>7083.33333333333</v>
      </c>
      <c r="I383" s="0" t="n">
        <v>85000</v>
      </c>
      <c r="J383" s="1" t="s">
        <v>2615</v>
      </c>
      <c r="K383" s="1" t="s">
        <v>1208</v>
      </c>
    </row>
    <row r="384" customFormat="false" ht="13.5" hidden="false" customHeight="false" outlineLevel="0" collapsed="false">
      <c r="A384" s="0" t="s">
        <v>49</v>
      </c>
      <c r="B384" s="0" t="s">
        <v>2244</v>
      </c>
      <c r="C384" s="0" t="n">
        <v>7621</v>
      </c>
      <c r="D384" s="0" t="s">
        <v>1883</v>
      </c>
      <c r="E384" s="0" t="s">
        <v>441</v>
      </c>
      <c r="F384" s="233" t="n">
        <v>46327</v>
      </c>
      <c r="G384" s="1" t="s">
        <v>809</v>
      </c>
      <c r="H384" s="0" t="n">
        <v>7083.33333333333</v>
      </c>
      <c r="I384" s="0" t="n">
        <v>85000</v>
      </c>
      <c r="J384" s="1" t="s">
        <v>2615</v>
      </c>
      <c r="K384" s="1" t="s">
        <v>1208</v>
      </c>
    </row>
    <row r="385" customFormat="false" ht="13.5" hidden="false" customHeight="false" outlineLevel="0" collapsed="false">
      <c r="A385" s="0" t="s">
        <v>49</v>
      </c>
      <c r="B385" s="0" t="s">
        <v>2244</v>
      </c>
      <c r="C385" s="0" t="n">
        <v>7621</v>
      </c>
      <c r="D385" s="0" t="s">
        <v>1883</v>
      </c>
      <c r="E385" s="0" t="s">
        <v>441</v>
      </c>
      <c r="F385" s="233" t="n">
        <v>46357</v>
      </c>
      <c r="G385" s="1" t="s">
        <v>810</v>
      </c>
      <c r="H385" s="0" t="n">
        <v>7083.33333333333</v>
      </c>
      <c r="I385" s="0" t="n">
        <v>85000</v>
      </c>
      <c r="J385" s="1" t="s">
        <v>2615</v>
      </c>
      <c r="K385" s="1" t="s">
        <v>1208</v>
      </c>
    </row>
    <row r="386" customFormat="false" ht="13.5" hidden="false" customHeight="false" outlineLevel="0" collapsed="false">
      <c r="A386" s="0" t="s">
        <v>49</v>
      </c>
      <c r="B386" s="0" t="s">
        <v>2244</v>
      </c>
      <c r="C386" s="0" t="n">
        <v>7630</v>
      </c>
      <c r="D386" s="0" t="s">
        <v>738</v>
      </c>
      <c r="E386" s="0" t="s">
        <v>443</v>
      </c>
      <c r="F386" s="233" t="n">
        <v>46023</v>
      </c>
      <c r="G386" s="1" t="s">
        <v>799</v>
      </c>
      <c r="H386" s="0" t="n">
        <v>5935.90416666667</v>
      </c>
      <c r="I386" s="0" t="n">
        <v>71230.85</v>
      </c>
      <c r="J386" s="1" t="s">
        <v>2615</v>
      </c>
      <c r="K386" s="1" t="s">
        <v>1208</v>
      </c>
    </row>
    <row r="387" customFormat="false" ht="13.5" hidden="false" customHeight="false" outlineLevel="0" collapsed="false">
      <c r="A387" s="0" t="s">
        <v>49</v>
      </c>
      <c r="B387" s="0" t="s">
        <v>2244</v>
      </c>
      <c r="C387" s="0" t="n">
        <v>7630</v>
      </c>
      <c r="D387" s="0" t="s">
        <v>738</v>
      </c>
      <c r="E387" s="0" t="s">
        <v>443</v>
      </c>
      <c r="F387" s="233" t="n">
        <v>46054</v>
      </c>
      <c r="G387" s="1" t="s">
        <v>800</v>
      </c>
      <c r="H387" s="0" t="n">
        <v>5935.90416666667</v>
      </c>
      <c r="I387" s="0" t="n">
        <v>71230.85</v>
      </c>
      <c r="J387" s="1" t="s">
        <v>2615</v>
      </c>
      <c r="K387" s="1" t="s">
        <v>1208</v>
      </c>
    </row>
    <row r="388" customFormat="false" ht="13.5" hidden="false" customHeight="false" outlineLevel="0" collapsed="false">
      <c r="A388" s="0" t="s">
        <v>49</v>
      </c>
      <c r="B388" s="0" t="s">
        <v>2244</v>
      </c>
      <c r="C388" s="0" t="n">
        <v>7630</v>
      </c>
      <c r="D388" s="0" t="s">
        <v>738</v>
      </c>
      <c r="E388" s="0" t="s">
        <v>443</v>
      </c>
      <c r="F388" s="233" t="n">
        <v>46082</v>
      </c>
      <c r="G388" s="1" t="s">
        <v>801</v>
      </c>
      <c r="H388" s="0" t="n">
        <v>5935.90416666667</v>
      </c>
      <c r="I388" s="0" t="n">
        <v>71230.85</v>
      </c>
      <c r="J388" s="1" t="s">
        <v>2615</v>
      </c>
      <c r="K388" s="1" t="s">
        <v>1208</v>
      </c>
    </row>
    <row r="389" customFormat="false" ht="13.5" hidden="false" customHeight="false" outlineLevel="0" collapsed="false">
      <c r="A389" s="0" t="s">
        <v>49</v>
      </c>
      <c r="B389" s="0" t="s">
        <v>2244</v>
      </c>
      <c r="C389" s="0" t="n">
        <v>7630</v>
      </c>
      <c r="D389" s="0" t="s">
        <v>738</v>
      </c>
      <c r="E389" s="0" t="s">
        <v>443</v>
      </c>
      <c r="F389" s="233" t="n">
        <v>46113</v>
      </c>
      <c r="G389" s="1" t="s">
        <v>802</v>
      </c>
      <c r="H389" s="0" t="n">
        <v>5935.90416666667</v>
      </c>
      <c r="I389" s="0" t="n">
        <v>71230.85</v>
      </c>
      <c r="J389" s="1" t="s">
        <v>2615</v>
      </c>
      <c r="K389" s="1" t="s">
        <v>1208</v>
      </c>
    </row>
    <row r="390" customFormat="false" ht="13.5" hidden="false" customHeight="false" outlineLevel="0" collapsed="false">
      <c r="A390" s="0" t="s">
        <v>49</v>
      </c>
      <c r="B390" s="0" t="s">
        <v>2244</v>
      </c>
      <c r="C390" s="0" t="n">
        <v>7630</v>
      </c>
      <c r="D390" s="0" t="s">
        <v>738</v>
      </c>
      <c r="E390" s="0" t="s">
        <v>443</v>
      </c>
      <c r="F390" s="233" t="n">
        <v>46143</v>
      </c>
      <c r="G390" s="1" t="s">
        <v>803</v>
      </c>
      <c r="H390" s="0" t="n">
        <v>5935.90416666667</v>
      </c>
      <c r="I390" s="0" t="n">
        <v>71230.85</v>
      </c>
      <c r="J390" s="1" t="s">
        <v>2615</v>
      </c>
      <c r="K390" s="1" t="s">
        <v>1208</v>
      </c>
    </row>
    <row r="391" customFormat="false" ht="13.5" hidden="false" customHeight="false" outlineLevel="0" collapsed="false">
      <c r="A391" s="0" t="s">
        <v>49</v>
      </c>
      <c r="B391" s="0" t="s">
        <v>2244</v>
      </c>
      <c r="C391" s="0" t="n">
        <v>7630</v>
      </c>
      <c r="D391" s="0" t="s">
        <v>738</v>
      </c>
      <c r="E391" s="0" t="s">
        <v>443</v>
      </c>
      <c r="F391" s="233" t="n">
        <v>46174</v>
      </c>
      <c r="G391" s="1" t="s">
        <v>804</v>
      </c>
      <c r="H391" s="0" t="n">
        <v>5935.90416666667</v>
      </c>
      <c r="I391" s="0" t="n">
        <v>71230.85</v>
      </c>
      <c r="J391" s="1" t="s">
        <v>2615</v>
      </c>
      <c r="K391" s="1" t="s">
        <v>1208</v>
      </c>
    </row>
    <row r="392" customFormat="false" ht="13.5" hidden="false" customHeight="false" outlineLevel="0" collapsed="false">
      <c r="A392" s="0" t="s">
        <v>49</v>
      </c>
      <c r="B392" s="0" t="s">
        <v>2244</v>
      </c>
      <c r="C392" s="0" t="n">
        <v>7630</v>
      </c>
      <c r="D392" s="0" t="s">
        <v>738</v>
      </c>
      <c r="E392" s="0" t="s">
        <v>443</v>
      </c>
      <c r="F392" s="233" t="n">
        <v>46204</v>
      </c>
      <c r="G392" s="1" t="s">
        <v>805</v>
      </c>
      <c r="H392" s="0" t="n">
        <v>5935.90416666667</v>
      </c>
      <c r="I392" s="0" t="n">
        <v>71230.85</v>
      </c>
      <c r="J392" s="1" t="s">
        <v>2615</v>
      </c>
      <c r="K392" s="1" t="s">
        <v>1208</v>
      </c>
    </row>
    <row r="393" customFormat="false" ht="13.5" hidden="false" customHeight="false" outlineLevel="0" collapsed="false">
      <c r="A393" s="0" t="s">
        <v>49</v>
      </c>
      <c r="B393" s="0" t="s">
        <v>2244</v>
      </c>
      <c r="C393" s="0" t="n">
        <v>7630</v>
      </c>
      <c r="D393" s="0" t="s">
        <v>738</v>
      </c>
      <c r="E393" s="0" t="s">
        <v>443</v>
      </c>
      <c r="F393" s="233" t="n">
        <v>46235</v>
      </c>
      <c r="G393" s="1" t="s">
        <v>806</v>
      </c>
      <c r="H393" s="0" t="n">
        <v>5935.90416666667</v>
      </c>
      <c r="I393" s="0" t="n">
        <v>71230.85</v>
      </c>
      <c r="J393" s="1" t="s">
        <v>2615</v>
      </c>
      <c r="K393" s="1" t="s">
        <v>1208</v>
      </c>
    </row>
    <row r="394" customFormat="false" ht="13.5" hidden="false" customHeight="false" outlineLevel="0" collapsed="false">
      <c r="A394" s="0" t="s">
        <v>49</v>
      </c>
      <c r="B394" s="0" t="s">
        <v>2244</v>
      </c>
      <c r="C394" s="0" t="n">
        <v>7630</v>
      </c>
      <c r="D394" s="0" t="s">
        <v>738</v>
      </c>
      <c r="E394" s="0" t="s">
        <v>443</v>
      </c>
      <c r="F394" s="233" t="n">
        <v>46266</v>
      </c>
      <c r="G394" s="1" t="s">
        <v>2616</v>
      </c>
      <c r="H394" s="0" t="n">
        <v>5935.90416666667</v>
      </c>
      <c r="I394" s="0" t="n">
        <v>71230.85</v>
      </c>
      <c r="J394" s="1" t="s">
        <v>2615</v>
      </c>
      <c r="K394" s="1" t="s">
        <v>1208</v>
      </c>
    </row>
    <row r="395" customFormat="false" ht="13.5" hidden="false" customHeight="false" outlineLevel="0" collapsed="false">
      <c r="A395" s="0" t="s">
        <v>49</v>
      </c>
      <c r="B395" s="0" t="s">
        <v>2244</v>
      </c>
      <c r="C395" s="0" t="n">
        <v>7630</v>
      </c>
      <c r="D395" s="0" t="s">
        <v>738</v>
      </c>
      <c r="E395" s="0" t="s">
        <v>443</v>
      </c>
      <c r="F395" s="233" t="n">
        <v>46296</v>
      </c>
      <c r="G395" s="1" t="s">
        <v>808</v>
      </c>
      <c r="H395" s="0" t="n">
        <v>5935.90416666667</v>
      </c>
      <c r="I395" s="0" t="n">
        <v>71230.85</v>
      </c>
      <c r="J395" s="1" t="s">
        <v>2615</v>
      </c>
      <c r="K395" s="1" t="s">
        <v>1208</v>
      </c>
    </row>
    <row r="396" customFormat="false" ht="13.5" hidden="false" customHeight="false" outlineLevel="0" collapsed="false">
      <c r="A396" s="0" t="s">
        <v>49</v>
      </c>
      <c r="B396" s="0" t="s">
        <v>2244</v>
      </c>
      <c r="C396" s="0" t="n">
        <v>7630</v>
      </c>
      <c r="D396" s="0" t="s">
        <v>738</v>
      </c>
      <c r="E396" s="0" t="s">
        <v>443</v>
      </c>
      <c r="F396" s="233" t="n">
        <v>46327</v>
      </c>
      <c r="G396" s="1" t="s">
        <v>809</v>
      </c>
      <c r="H396" s="0" t="n">
        <v>5935.90416666667</v>
      </c>
      <c r="I396" s="0" t="n">
        <v>71230.85</v>
      </c>
      <c r="J396" s="1" t="s">
        <v>2615</v>
      </c>
      <c r="K396" s="1" t="s">
        <v>1208</v>
      </c>
    </row>
    <row r="397" customFormat="false" ht="13.5" hidden="false" customHeight="false" outlineLevel="0" collapsed="false">
      <c r="A397" s="0" t="s">
        <v>49</v>
      </c>
      <c r="B397" s="0" t="s">
        <v>2244</v>
      </c>
      <c r="C397" s="0" t="n">
        <v>7630</v>
      </c>
      <c r="D397" s="0" t="s">
        <v>738</v>
      </c>
      <c r="E397" s="0" t="s">
        <v>443</v>
      </c>
      <c r="F397" s="233" t="n">
        <v>46357</v>
      </c>
      <c r="G397" s="1" t="s">
        <v>810</v>
      </c>
      <c r="H397" s="0" t="n">
        <v>5935.90416666667</v>
      </c>
      <c r="I397" s="0" t="n">
        <v>71230.85</v>
      </c>
      <c r="J397" s="1" t="s">
        <v>2615</v>
      </c>
      <c r="K397" s="1" t="s">
        <v>1208</v>
      </c>
    </row>
    <row r="398" customFormat="false" ht="13.5" hidden="false" customHeight="false" outlineLevel="0" collapsed="false">
      <c r="A398" s="0" t="s">
        <v>49</v>
      </c>
      <c r="B398" s="0" t="s">
        <v>2244</v>
      </c>
      <c r="C398" s="0" t="n">
        <v>7640</v>
      </c>
      <c r="D398" s="0" t="s">
        <v>1885</v>
      </c>
      <c r="E398" s="0" t="s">
        <v>441</v>
      </c>
      <c r="F398" s="233" t="n">
        <v>46023</v>
      </c>
      <c r="G398" s="1" t="s">
        <v>799</v>
      </c>
      <c r="H398" s="0" t="n">
        <v>3009.54166666667</v>
      </c>
      <c r="I398" s="0" t="n">
        <v>36114.5</v>
      </c>
      <c r="J398" s="1" t="s">
        <v>2615</v>
      </c>
      <c r="K398" s="1" t="s">
        <v>1208</v>
      </c>
    </row>
    <row r="399" customFormat="false" ht="13.5" hidden="false" customHeight="false" outlineLevel="0" collapsed="false">
      <c r="A399" s="0" t="s">
        <v>49</v>
      </c>
      <c r="B399" s="0" t="s">
        <v>2244</v>
      </c>
      <c r="C399" s="0" t="n">
        <v>7640</v>
      </c>
      <c r="D399" s="0" t="s">
        <v>1885</v>
      </c>
      <c r="E399" s="0" t="s">
        <v>441</v>
      </c>
      <c r="F399" s="233" t="n">
        <v>46054</v>
      </c>
      <c r="G399" s="1" t="s">
        <v>800</v>
      </c>
      <c r="H399" s="0" t="n">
        <v>3009.54166666667</v>
      </c>
      <c r="I399" s="0" t="n">
        <v>36114.5</v>
      </c>
      <c r="J399" s="1" t="s">
        <v>2615</v>
      </c>
      <c r="K399" s="1" t="s">
        <v>1208</v>
      </c>
    </row>
    <row r="400" customFormat="false" ht="13.5" hidden="false" customHeight="false" outlineLevel="0" collapsed="false">
      <c r="A400" s="0" t="s">
        <v>49</v>
      </c>
      <c r="B400" s="0" t="s">
        <v>2244</v>
      </c>
      <c r="C400" s="0" t="n">
        <v>7640</v>
      </c>
      <c r="D400" s="0" t="s">
        <v>1885</v>
      </c>
      <c r="E400" s="0" t="s">
        <v>441</v>
      </c>
      <c r="F400" s="233" t="n">
        <v>46082</v>
      </c>
      <c r="G400" s="1" t="s">
        <v>801</v>
      </c>
      <c r="H400" s="0" t="n">
        <v>3009.54166666667</v>
      </c>
      <c r="I400" s="0" t="n">
        <v>36114.5</v>
      </c>
      <c r="J400" s="1" t="s">
        <v>2615</v>
      </c>
      <c r="K400" s="1" t="s">
        <v>1208</v>
      </c>
    </row>
    <row r="401" customFormat="false" ht="13.5" hidden="false" customHeight="false" outlineLevel="0" collapsed="false">
      <c r="A401" s="0" t="s">
        <v>49</v>
      </c>
      <c r="B401" s="0" t="s">
        <v>2244</v>
      </c>
      <c r="C401" s="0" t="n">
        <v>7640</v>
      </c>
      <c r="D401" s="0" t="s">
        <v>1885</v>
      </c>
      <c r="E401" s="0" t="s">
        <v>441</v>
      </c>
      <c r="F401" s="233" t="n">
        <v>46113</v>
      </c>
      <c r="G401" s="1" t="s">
        <v>802</v>
      </c>
      <c r="H401" s="0" t="n">
        <v>3009.54166666667</v>
      </c>
      <c r="I401" s="0" t="n">
        <v>36114.5</v>
      </c>
      <c r="J401" s="1" t="s">
        <v>2615</v>
      </c>
      <c r="K401" s="1" t="s">
        <v>1208</v>
      </c>
    </row>
    <row r="402" customFormat="false" ht="13.5" hidden="false" customHeight="false" outlineLevel="0" collapsed="false">
      <c r="A402" s="0" t="s">
        <v>49</v>
      </c>
      <c r="B402" s="0" t="s">
        <v>2244</v>
      </c>
      <c r="C402" s="0" t="n">
        <v>7640</v>
      </c>
      <c r="D402" s="0" t="s">
        <v>1885</v>
      </c>
      <c r="E402" s="0" t="s">
        <v>441</v>
      </c>
      <c r="F402" s="233" t="n">
        <v>46143</v>
      </c>
      <c r="G402" s="1" t="s">
        <v>803</v>
      </c>
      <c r="H402" s="0" t="n">
        <v>3009.54166666667</v>
      </c>
      <c r="I402" s="0" t="n">
        <v>36114.5</v>
      </c>
      <c r="J402" s="1" t="s">
        <v>2615</v>
      </c>
      <c r="K402" s="1" t="s">
        <v>1208</v>
      </c>
    </row>
    <row r="403" customFormat="false" ht="13.5" hidden="false" customHeight="false" outlineLevel="0" collapsed="false">
      <c r="A403" s="0" t="s">
        <v>49</v>
      </c>
      <c r="B403" s="0" t="s">
        <v>2244</v>
      </c>
      <c r="C403" s="0" t="n">
        <v>7640</v>
      </c>
      <c r="D403" s="0" t="s">
        <v>1885</v>
      </c>
      <c r="E403" s="0" t="s">
        <v>441</v>
      </c>
      <c r="F403" s="233" t="n">
        <v>46174</v>
      </c>
      <c r="G403" s="1" t="s">
        <v>804</v>
      </c>
      <c r="H403" s="0" t="n">
        <v>3009.54166666667</v>
      </c>
      <c r="I403" s="0" t="n">
        <v>36114.5</v>
      </c>
      <c r="J403" s="1" t="s">
        <v>2615</v>
      </c>
      <c r="K403" s="1" t="s">
        <v>1208</v>
      </c>
    </row>
    <row r="404" customFormat="false" ht="13.5" hidden="false" customHeight="false" outlineLevel="0" collapsed="false">
      <c r="A404" s="0" t="s">
        <v>49</v>
      </c>
      <c r="B404" s="0" t="s">
        <v>2244</v>
      </c>
      <c r="C404" s="0" t="n">
        <v>7640</v>
      </c>
      <c r="D404" s="0" t="s">
        <v>1885</v>
      </c>
      <c r="E404" s="0" t="s">
        <v>441</v>
      </c>
      <c r="F404" s="233" t="n">
        <v>46204</v>
      </c>
      <c r="G404" s="1" t="s">
        <v>805</v>
      </c>
      <c r="H404" s="0" t="n">
        <v>3009.54166666667</v>
      </c>
      <c r="I404" s="0" t="n">
        <v>36114.5</v>
      </c>
      <c r="J404" s="1" t="s">
        <v>2615</v>
      </c>
      <c r="K404" s="1" t="s">
        <v>1208</v>
      </c>
    </row>
    <row r="405" customFormat="false" ht="13.5" hidden="false" customHeight="false" outlineLevel="0" collapsed="false">
      <c r="A405" s="0" t="s">
        <v>49</v>
      </c>
      <c r="B405" s="0" t="s">
        <v>2244</v>
      </c>
      <c r="C405" s="0" t="n">
        <v>7640</v>
      </c>
      <c r="D405" s="0" t="s">
        <v>1885</v>
      </c>
      <c r="E405" s="0" t="s">
        <v>441</v>
      </c>
      <c r="F405" s="233" t="n">
        <v>46235</v>
      </c>
      <c r="G405" s="1" t="s">
        <v>806</v>
      </c>
      <c r="H405" s="0" t="n">
        <v>3009.54166666667</v>
      </c>
      <c r="I405" s="0" t="n">
        <v>36114.5</v>
      </c>
      <c r="J405" s="1" t="s">
        <v>2615</v>
      </c>
      <c r="K405" s="1" t="s">
        <v>1208</v>
      </c>
    </row>
    <row r="406" customFormat="false" ht="13.5" hidden="false" customHeight="false" outlineLevel="0" collapsed="false">
      <c r="A406" s="0" t="s">
        <v>49</v>
      </c>
      <c r="B406" s="0" t="s">
        <v>2244</v>
      </c>
      <c r="C406" s="0" t="n">
        <v>7640</v>
      </c>
      <c r="D406" s="0" t="s">
        <v>1885</v>
      </c>
      <c r="E406" s="0" t="s">
        <v>441</v>
      </c>
      <c r="F406" s="233" t="n">
        <v>46266</v>
      </c>
      <c r="G406" s="1" t="s">
        <v>2616</v>
      </c>
      <c r="H406" s="0" t="n">
        <v>3009.54166666667</v>
      </c>
      <c r="I406" s="0" t="n">
        <v>36114.5</v>
      </c>
      <c r="J406" s="1" t="s">
        <v>2615</v>
      </c>
      <c r="K406" s="1" t="s">
        <v>1208</v>
      </c>
    </row>
    <row r="407" customFormat="false" ht="13.5" hidden="false" customHeight="false" outlineLevel="0" collapsed="false">
      <c r="A407" s="0" t="s">
        <v>49</v>
      </c>
      <c r="B407" s="0" t="s">
        <v>2244</v>
      </c>
      <c r="C407" s="0" t="n">
        <v>7640</v>
      </c>
      <c r="D407" s="0" t="s">
        <v>1885</v>
      </c>
      <c r="E407" s="0" t="s">
        <v>441</v>
      </c>
      <c r="F407" s="233" t="n">
        <v>46296</v>
      </c>
      <c r="G407" s="1" t="s">
        <v>808</v>
      </c>
      <c r="H407" s="0" t="n">
        <v>3009.54166666667</v>
      </c>
      <c r="I407" s="0" t="n">
        <v>36114.5</v>
      </c>
      <c r="J407" s="1" t="s">
        <v>2615</v>
      </c>
      <c r="K407" s="1" t="s">
        <v>1208</v>
      </c>
    </row>
    <row r="408" customFormat="false" ht="13.5" hidden="false" customHeight="false" outlineLevel="0" collapsed="false">
      <c r="A408" s="0" t="s">
        <v>49</v>
      </c>
      <c r="B408" s="0" t="s">
        <v>2244</v>
      </c>
      <c r="C408" s="0" t="n">
        <v>7640</v>
      </c>
      <c r="D408" s="0" t="s">
        <v>1885</v>
      </c>
      <c r="E408" s="0" t="s">
        <v>441</v>
      </c>
      <c r="F408" s="233" t="n">
        <v>46327</v>
      </c>
      <c r="G408" s="1" t="s">
        <v>809</v>
      </c>
      <c r="H408" s="0" t="n">
        <v>3009.54166666667</v>
      </c>
      <c r="I408" s="0" t="n">
        <v>36114.5</v>
      </c>
      <c r="J408" s="1" t="s">
        <v>2615</v>
      </c>
      <c r="K408" s="1" t="s">
        <v>1208</v>
      </c>
    </row>
    <row r="409" customFormat="false" ht="13.5" hidden="false" customHeight="false" outlineLevel="0" collapsed="false">
      <c r="A409" s="0" t="s">
        <v>49</v>
      </c>
      <c r="B409" s="0" t="s">
        <v>2244</v>
      </c>
      <c r="C409" s="0" t="n">
        <v>7640</v>
      </c>
      <c r="D409" s="0" t="s">
        <v>1885</v>
      </c>
      <c r="E409" s="0" t="s">
        <v>441</v>
      </c>
      <c r="F409" s="233" t="n">
        <v>46357</v>
      </c>
      <c r="G409" s="1" t="s">
        <v>810</v>
      </c>
      <c r="H409" s="0" t="n">
        <v>3009.54166666667</v>
      </c>
      <c r="I409" s="0" t="n">
        <v>36114.5</v>
      </c>
      <c r="J409" s="1" t="s">
        <v>2615</v>
      </c>
      <c r="K409" s="1" t="s">
        <v>1208</v>
      </c>
    </row>
    <row r="410" customFormat="false" ht="13.5" hidden="false" customHeight="false" outlineLevel="0" collapsed="false">
      <c r="A410" s="0" t="s">
        <v>49</v>
      </c>
      <c r="B410" s="0" t="s">
        <v>2244</v>
      </c>
      <c r="C410" s="0" t="n">
        <v>7650</v>
      </c>
      <c r="D410" s="0" t="s">
        <v>740</v>
      </c>
      <c r="E410" s="0" t="s">
        <v>441</v>
      </c>
      <c r="F410" s="233" t="n">
        <v>46023</v>
      </c>
      <c r="G410" s="1" t="s">
        <v>799</v>
      </c>
      <c r="H410" s="0" t="n">
        <v>68437.515</v>
      </c>
      <c r="I410" s="0" t="n">
        <v>821250.18</v>
      </c>
      <c r="J410" s="1" t="s">
        <v>2615</v>
      </c>
      <c r="K410" s="1" t="s">
        <v>1208</v>
      </c>
    </row>
    <row r="411" customFormat="false" ht="13.5" hidden="false" customHeight="false" outlineLevel="0" collapsed="false">
      <c r="A411" s="0" t="s">
        <v>49</v>
      </c>
      <c r="B411" s="0" t="s">
        <v>2244</v>
      </c>
      <c r="C411" s="0" t="n">
        <v>7650</v>
      </c>
      <c r="D411" s="0" t="s">
        <v>740</v>
      </c>
      <c r="E411" s="0" t="s">
        <v>441</v>
      </c>
      <c r="F411" s="233" t="n">
        <v>46054</v>
      </c>
      <c r="G411" s="1" t="s">
        <v>800</v>
      </c>
      <c r="H411" s="0" t="n">
        <v>68437.515</v>
      </c>
      <c r="I411" s="0" t="n">
        <v>821250.18</v>
      </c>
      <c r="J411" s="1" t="s">
        <v>2615</v>
      </c>
      <c r="K411" s="1" t="s">
        <v>1208</v>
      </c>
    </row>
    <row r="412" customFormat="false" ht="13.5" hidden="false" customHeight="false" outlineLevel="0" collapsed="false">
      <c r="A412" s="0" t="s">
        <v>49</v>
      </c>
      <c r="B412" s="0" t="s">
        <v>2244</v>
      </c>
      <c r="C412" s="0" t="n">
        <v>7650</v>
      </c>
      <c r="D412" s="0" t="s">
        <v>740</v>
      </c>
      <c r="E412" s="0" t="s">
        <v>441</v>
      </c>
      <c r="F412" s="233" t="n">
        <v>46082</v>
      </c>
      <c r="G412" s="1" t="s">
        <v>801</v>
      </c>
      <c r="H412" s="0" t="n">
        <v>68437.515</v>
      </c>
      <c r="I412" s="0" t="n">
        <v>821250.18</v>
      </c>
      <c r="J412" s="1" t="s">
        <v>2615</v>
      </c>
      <c r="K412" s="1" t="s">
        <v>1208</v>
      </c>
    </row>
    <row r="413" customFormat="false" ht="13.5" hidden="false" customHeight="false" outlineLevel="0" collapsed="false">
      <c r="A413" s="0" t="s">
        <v>49</v>
      </c>
      <c r="B413" s="0" t="s">
        <v>2244</v>
      </c>
      <c r="C413" s="0" t="n">
        <v>7650</v>
      </c>
      <c r="D413" s="0" t="s">
        <v>740</v>
      </c>
      <c r="E413" s="0" t="s">
        <v>441</v>
      </c>
      <c r="F413" s="233" t="n">
        <v>46113</v>
      </c>
      <c r="G413" s="1" t="s">
        <v>802</v>
      </c>
      <c r="H413" s="0" t="n">
        <v>68437.515</v>
      </c>
      <c r="I413" s="0" t="n">
        <v>821250.18</v>
      </c>
      <c r="J413" s="1" t="s">
        <v>2615</v>
      </c>
      <c r="K413" s="1" t="s">
        <v>1208</v>
      </c>
    </row>
    <row r="414" customFormat="false" ht="13.5" hidden="false" customHeight="false" outlineLevel="0" collapsed="false">
      <c r="A414" s="0" t="s">
        <v>49</v>
      </c>
      <c r="B414" s="0" t="s">
        <v>2244</v>
      </c>
      <c r="C414" s="0" t="n">
        <v>7650</v>
      </c>
      <c r="D414" s="0" t="s">
        <v>740</v>
      </c>
      <c r="E414" s="0" t="s">
        <v>441</v>
      </c>
      <c r="F414" s="233" t="n">
        <v>46143</v>
      </c>
      <c r="G414" s="1" t="s">
        <v>803</v>
      </c>
      <c r="H414" s="0" t="n">
        <v>68437.515</v>
      </c>
      <c r="I414" s="0" t="n">
        <v>821250.18</v>
      </c>
      <c r="J414" s="1" t="s">
        <v>2615</v>
      </c>
      <c r="K414" s="1" t="s">
        <v>1208</v>
      </c>
    </row>
    <row r="415" customFormat="false" ht="13.5" hidden="false" customHeight="false" outlineLevel="0" collapsed="false">
      <c r="A415" s="0" t="s">
        <v>49</v>
      </c>
      <c r="B415" s="0" t="s">
        <v>2244</v>
      </c>
      <c r="C415" s="0" t="n">
        <v>7650</v>
      </c>
      <c r="D415" s="0" t="s">
        <v>740</v>
      </c>
      <c r="E415" s="0" t="s">
        <v>441</v>
      </c>
      <c r="F415" s="233" t="n">
        <v>46174</v>
      </c>
      <c r="G415" s="1" t="s">
        <v>804</v>
      </c>
      <c r="H415" s="0" t="n">
        <v>68437.515</v>
      </c>
      <c r="I415" s="0" t="n">
        <v>821250.18</v>
      </c>
      <c r="J415" s="1" t="s">
        <v>2615</v>
      </c>
      <c r="K415" s="1" t="s">
        <v>1208</v>
      </c>
    </row>
    <row r="416" customFormat="false" ht="13.5" hidden="false" customHeight="false" outlineLevel="0" collapsed="false">
      <c r="A416" s="0" t="s">
        <v>49</v>
      </c>
      <c r="B416" s="0" t="s">
        <v>2244</v>
      </c>
      <c r="C416" s="0" t="n">
        <v>7650</v>
      </c>
      <c r="D416" s="0" t="s">
        <v>740</v>
      </c>
      <c r="E416" s="0" t="s">
        <v>441</v>
      </c>
      <c r="F416" s="233" t="n">
        <v>46204</v>
      </c>
      <c r="G416" s="1" t="s">
        <v>805</v>
      </c>
      <c r="H416" s="0" t="n">
        <v>68437.515</v>
      </c>
      <c r="I416" s="0" t="n">
        <v>821250.18</v>
      </c>
      <c r="J416" s="1" t="s">
        <v>2615</v>
      </c>
      <c r="K416" s="1" t="s">
        <v>1208</v>
      </c>
    </row>
    <row r="417" customFormat="false" ht="13.5" hidden="false" customHeight="false" outlineLevel="0" collapsed="false">
      <c r="A417" s="0" t="s">
        <v>49</v>
      </c>
      <c r="B417" s="0" t="s">
        <v>2244</v>
      </c>
      <c r="C417" s="0" t="n">
        <v>7650</v>
      </c>
      <c r="D417" s="0" t="s">
        <v>740</v>
      </c>
      <c r="E417" s="0" t="s">
        <v>441</v>
      </c>
      <c r="F417" s="233" t="n">
        <v>46235</v>
      </c>
      <c r="G417" s="1" t="s">
        <v>806</v>
      </c>
      <c r="H417" s="0" t="n">
        <v>68437.515</v>
      </c>
      <c r="I417" s="0" t="n">
        <v>821250.18</v>
      </c>
      <c r="J417" s="1" t="s">
        <v>2615</v>
      </c>
      <c r="K417" s="1" t="s">
        <v>1208</v>
      </c>
    </row>
    <row r="418" customFormat="false" ht="13.5" hidden="false" customHeight="false" outlineLevel="0" collapsed="false">
      <c r="A418" s="0" t="s">
        <v>49</v>
      </c>
      <c r="B418" s="0" t="s">
        <v>2244</v>
      </c>
      <c r="C418" s="0" t="n">
        <v>7650</v>
      </c>
      <c r="D418" s="0" t="s">
        <v>740</v>
      </c>
      <c r="E418" s="0" t="s">
        <v>441</v>
      </c>
      <c r="F418" s="233" t="n">
        <v>46266</v>
      </c>
      <c r="G418" s="1" t="s">
        <v>2616</v>
      </c>
      <c r="H418" s="0" t="n">
        <v>68437.515</v>
      </c>
      <c r="I418" s="0" t="n">
        <v>821250.18</v>
      </c>
      <c r="J418" s="1" t="s">
        <v>2615</v>
      </c>
      <c r="K418" s="1" t="s">
        <v>1208</v>
      </c>
    </row>
    <row r="419" customFormat="false" ht="13.5" hidden="false" customHeight="false" outlineLevel="0" collapsed="false">
      <c r="A419" s="0" t="s">
        <v>49</v>
      </c>
      <c r="B419" s="0" t="s">
        <v>2244</v>
      </c>
      <c r="C419" s="0" t="n">
        <v>7650</v>
      </c>
      <c r="D419" s="0" t="s">
        <v>740</v>
      </c>
      <c r="E419" s="0" t="s">
        <v>441</v>
      </c>
      <c r="F419" s="233" t="n">
        <v>46296</v>
      </c>
      <c r="G419" s="1" t="s">
        <v>808</v>
      </c>
      <c r="H419" s="0" t="n">
        <v>68437.515</v>
      </c>
      <c r="I419" s="0" t="n">
        <v>821250.18</v>
      </c>
      <c r="J419" s="1" t="s">
        <v>2615</v>
      </c>
      <c r="K419" s="1" t="s">
        <v>1208</v>
      </c>
    </row>
    <row r="420" customFormat="false" ht="13.5" hidden="false" customHeight="false" outlineLevel="0" collapsed="false">
      <c r="A420" s="0" t="s">
        <v>49</v>
      </c>
      <c r="B420" s="0" t="s">
        <v>2244</v>
      </c>
      <c r="C420" s="0" t="n">
        <v>7650</v>
      </c>
      <c r="D420" s="0" t="s">
        <v>740</v>
      </c>
      <c r="E420" s="0" t="s">
        <v>441</v>
      </c>
      <c r="F420" s="233" t="n">
        <v>46327</v>
      </c>
      <c r="G420" s="1" t="s">
        <v>809</v>
      </c>
      <c r="H420" s="0" t="n">
        <v>68437.515</v>
      </c>
      <c r="I420" s="0" t="n">
        <v>821250.18</v>
      </c>
      <c r="J420" s="1" t="s">
        <v>2615</v>
      </c>
      <c r="K420" s="1" t="s">
        <v>1208</v>
      </c>
    </row>
    <row r="421" customFormat="false" ht="13.5" hidden="false" customHeight="false" outlineLevel="0" collapsed="false">
      <c r="A421" s="0" t="s">
        <v>49</v>
      </c>
      <c r="B421" s="0" t="s">
        <v>2244</v>
      </c>
      <c r="C421" s="0" t="n">
        <v>7650</v>
      </c>
      <c r="D421" s="0" t="s">
        <v>740</v>
      </c>
      <c r="E421" s="0" t="s">
        <v>441</v>
      </c>
      <c r="F421" s="233" t="n">
        <v>46357</v>
      </c>
      <c r="G421" s="1" t="s">
        <v>810</v>
      </c>
      <c r="H421" s="0" t="n">
        <v>68437.515</v>
      </c>
      <c r="I421" s="0" t="n">
        <v>821250.18</v>
      </c>
      <c r="J421" s="1" t="s">
        <v>2615</v>
      </c>
      <c r="K421" s="1" t="s">
        <v>1208</v>
      </c>
    </row>
    <row r="422" customFormat="false" ht="13.5" hidden="false" customHeight="false" outlineLevel="0" collapsed="false">
      <c r="A422" s="0" t="s">
        <v>49</v>
      </c>
      <c r="B422" s="0" t="s">
        <v>2244</v>
      </c>
      <c r="C422" s="0" t="n">
        <v>7660</v>
      </c>
      <c r="D422" s="0" t="s">
        <v>742</v>
      </c>
      <c r="E422" s="0" t="s">
        <v>441</v>
      </c>
      <c r="F422" s="233" t="n">
        <v>46023</v>
      </c>
      <c r="G422" s="1" t="s">
        <v>799</v>
      </c>
      <c r="H422" s="0" t="n">
        <v>4875</v>
      </c>
      <c r="I422" s="0" t="n">
        <v>58500</v>
      </c>
      <c r="J422" s="1" t="s">
        <v>2615</v>
      </c>
      <c r="K422" s="1" t="s">
        <v>1208</v>
      </c>
    </row>
    <row r="423" customFormat="false" ht="13.5" hidden="false" customHeight="false" outlineLevel="0" collapsed="false">
      <c r="A423" s="0" t="s">
        <v>49</v>
      </c>
      <c r="B423" s="0" t="s">
        <v>2244</v>
      </c>
      <c r="C423" s="0" t="n">
        <v>7660</v>
      </c>
      <c r="D423" s="0" t="s">
        <v>742</v>
      </c>
      <c r="E423" s="0" t="s">
        <v>441</v>
      </c>
      <c r="F423" s="233" t="n">
        <v>46054</v>
      </c>
      <c r="G423" s="1" t="s">
        <v>800</v>
      </c>
      <c r="H423" s="0" t="n">
        <v>4875</v>
      </c>
      <c r="I423" s="0" t="n">
        <v>58500</v>
      </c>
      <c r="J423" s="1" t="s">
        <v>2615</v>
      </c>
      <c r="K423" s="1" t="s">
        <v>1208</v>
      </c>
    </row>
    <row r="424" customFormat="false" ht="13.5" hidden="false" customHeight="false" outlineLevel="0" collapsed="false">
      <c r="A424" s="0" t="s">
        <v>49</v>
      </c>
      <c r="B424" s="0" t="s">
        <v>2244</v>
      </c>
      <c r="C424" s="0" t="n">
        <v>7660</v>
      </c>
      <c r="D424" s="0" t="s">
        <v>742</v>
      </c>
      <c r="E424" s="0" t="s">
        <v>441</v>
      </c>
      <c r="F424" s="233" t="n">
        <v>46082</v>
      </c>
      <c r="G424" s="1" t="s">
        <v>801</v>
      </c>
      <c r="H424" s="0" t="n">
        <v>4875</v>
      </c>
      <c r="I424" s="0" t="n">
        <v>58500</v>
      </c>
      <c r="J424" s="1" t="s">
        <v>2615</v>
      </c>
      <c r="K424" s="1" t="s">
        <v>1208</v>
      </c>
    </row>
    <row r="425" customFormat="false" ht="13.5" hidden="false" customHeight="false" outlineLevel="0" collapsed="false">
      <c r="A425" s="0" t="s">
        <v>49</v>
      </c>
      <c r="B425" s="0" t="s">
        <v>2244</v>
      </c>
      <c r="C425" s="0" t="n">
        <v>7660</v>
      </c>
      <c r="D425" s="0" t="s">
        <v>742</v>
      </c>
      <c r="E425" s="0" t="s">
        <v>441</v>
      </c>
      <c r="F425" s="233" t="n">
        <v>46113</v>
      </c>
      <c r="G425" s="1" t="s">
        <v>802</v>
      </c>
      <c r="H425" s="0" t="n">
        <v>4875</v>
      </c>
      <c r="I425" s="0" t="n">
        <v>58500</v>
      </c>
      <c r="J425" s="1" t="s">
        <v>2615</v>
      </c>
      <c r="K425" s="1" t="s">
        <v>1208</v>
      </c>
    </row>
    <row r="426" customFormat="false" ht="13.5" hidden="false" customHeight="false" outlineLevel="0" collapsed="false">
      <c r="A426" s="0" t="s">
        <v>49</v>
      </c>
      <c r="B426" s="0" t="s">
        <v>2244</v>
      </c>
      <c r="C426" s="0" t="n">
        <v>7660</v>
      </c>
      <c r="D426" s="0" t="s">
        <v>742</v>
      </c>
      <c r="E426" s="0" t="s">
        <v>441</v>
      </c>
      <c r="F426" s="233" t="n">
        <v>46143</v>
      </c>
      <c r="G426" s="1" t="s">
        <v>803</v>
      </c>
      <c r="H426" s="0" t="n">
        <v>4875</v>
      </c>
      <c r="I426" s="0" t="n">
        <v>58500</v>
      </c>
      <c r="J426" s="1" t="s">
        <v>2615</v>
      </c>
      <c r="K426" s="1" t="s">
        <v>1208</v>
      </c>
    </row>
    <row r="427" customFormat="false" ht="13.5" hidden="false" customHeight="false" outlineLevel="0" collapsed="false">
      <c r="A427" s="0" t="s">
        <v>49</v>
      </c>
      <c r="B427" s="0" t="s">
        <v>2244</v>
      </c>
      <c r="C427" s="0" t="n">
        <v>7660</v>
      </c>
      <c r="D427" s="0" t="s">
        <v>742</v>
      </c>
      <c r="E427" s="0" t="s">
        <v>441</v>
      </c>
      <c r="F427" s="233" t="n">
        <v>46174</v>
      </c>
      <c r="G427" s="1" t="s">
        <v>804</v>
      </c>
      <c r="H427" s="0" t="n">
        <v>4875</v>
      </c>
      <c r="I427" s="0" t="n">
        <v>58500</v>
      </c>
      <c r="J427" s="1" t="s">
        <v>2615</v>
      </c>
      <c r="K427" s="1" t="s">
        <v>1208</v>
      </c>
    </row>
    <row r="428" customFormat="false" ht="13.5" hidden="false" customHeight="false" outlineLevel="0" collapsed="false">
      <c r="A428" s="0" t="s">
        <v>49</v>
      </c>
      <c r="B428" s="0" t="s">
        <v>2244</v>
      </c>
      <c r="C428" s="0" t="n">
        <v>7660</v>
      </c>
      <c r="D428" s="0" t="s">
        <v>742</v>
      </c>
      <c r="E428" s="0" t="s">
        <v>441</v>
      </c>
      <c r="F428" s="233" t="n">
        <v>46204</v>
      </c>
      <c r="G428" s="1" t="s">
        <v>805</v>
      </c>
      <c r="H428" s="0" t="n">
        <v>4875</v>
      </c>
      <c r="I428" s="0" t="n">
        <v>58500</v>
      </c>
      <c r="J428" s="1" t="s">
        <v>2615</v>
      </c>
      <c r="K428" s="1" t="s">
        <v>1208</v>
      </c>
    </row>
    <row r="429" customFormat="false" ht="13.5" hidden="false" customHeight="false" outlineLevel="0" collapsed="false">
      <c r="A429" s="0" t="s">
        <v>49</v>
      </c>
      <c r="B429" s="0" t="s">
        <v>2244</v>
      </c>
      <c r="C429" s="0" t="n">
        <v>7660</v>
      </c>
      <c r="D429" s="0" t="s">
        <v>742</v>
      </c>
      <c r="E429" s="0" t="s">
        <v>441</v>
      </c>
      <c r="F429" s="233" t="n">
        <v>46235</v>
      </c>
      <c r="G429" s="1" t="s">
        <v>806</v>
      </c>
      <c r="H429" s="0" t="n">
        <v>4875</v>
      </c>
      <c r="I429" s="0" t="n">
        <v>58500</v>
      </c>
      <c r="J429" s="1" t="s">
        <v>2615</v>
      </c>
      <c r="K429" s="1" t="s">
        <v>1208</v>
      </c>
    </row>
    <row r="430" customFormat="false" ht="13.5" hidden="false" customHeight="false" outlineLevel="0" collapsed="false">
      <c r="A430" s="0" t="s">
        <v>49</v>
      </c>
      <c r="B430" s="0" t="s">
        <v>2244</v>
      </c>
      <c r="C430" s="0" t="n">
        <v>7660</v>
      </c>
      <c r="D430" s="0" t="s">
        <v>742</v>
      </c>
      <c r="E430" s="0" t="s">
        <v>441</v>
      </c>
      <c r="F430" s="233" t="n">
        <v>46266</v>
      </c>
      <c r="G430" s="1" t="s">
        <v>2616</v>
      </c>
      <c r="H430" s="0" t="n">
        <v>4875</v>
      </c>
      <c r="I430" s="0" t="n">
        <v>58500</v>
      </c>
      <c r="J430" s="1" t="s">
        <v>2615</v>
      </c>
      <c r="K430" s="1" t="s">
        <v>1208</v>
      </c>
    </row>
    <row r="431" customFormat="false" ht="13.5" hidden="false" customHeight="false" outlineLevel="0" collapsed="false">
      <c r="A431" s="0" t="s">
        <v>49</v>
      </c>
      <c r="B431" s="0" t="s">
        <v>2244</v>
      </c>
      <c r="C431" s="0" t="n">
        <v>7660</v>
      </c>
      <c r="D431" s="0" t="s">
        <v>742</v>
      </c>
      <c r="E431" s="0" t="s">
        <v>441</v>
      </c>
      <c r="F431" s="233" t="n">
        <v>46296</v>
      </c>
      <c r="G431" s="1" t="s">
        <v>808</v>
      </c>
      <c r="H431" s="0" t="n">
        <v>4875</v>
      </c>
      <c r="I431" s="0" t="n">
        <v>58500</v>
      </c>
      <c r="J431" s="1" t="s">
        <v>2615</v>
      </c>
      <c r="K431" s="1" t="s">
        <v>1208</v>
      </c>
    </row>
    <row r="432" customFormat="false" ht="13.5" hidden="false" customHeight="false" outlineLevel="0" collapsed="false">
      <c r="A432" s="0" t="s">
        <v>49</v>
      </c>
      <c r="B432" s="0" t="s">
        <v>2244</v>
      </c>
      <c r="C432" s="0" t="n">
        <v>7660</v>
      </c>
      <c r="D432" s="0" t="s">
        <v>742</v>
      </c>
      <c r="E432" s="0" t="s">
        <v>441</v>
      </c>
      <c r="F432" s="233" t="n">
        <v>46327</v>
      </c>
      <c r="G432" s="1" t="s">
        <v>809</v>
      </c>
      <c r="H432" s="0" t="n">
        <v>4875</v>
      </c>
      <c r="I432" s="0" t="n">
        <v>58500</v>
      </c>
      <c r="J432" s="1" t="s">
        <v>2615</v>
      </c>
      <c r="K432" s="1" t="s">
        <v>1208</v>
      </c>
    </row>
    <row r="433" customFormat="false" ht="13.5" hidden="false" customHeight="false" outlineLevel="0" collapsed="false">
      <c r="A433" s="0" t="s">
        <v>49</v>
      </c>
      <c r="B433" s="0" t="s">
        <v>2244</v>
      </c>
      <c r="C433" s="0" t="n">
        <v>7660</v>
      </c>
      <c r="D433" s="0" t="s">
        <v>742</v>
      </c>
      <c r="E433" s="0" t="s">
        <v>441</v>
      </c>
      <c r="F433" s="233" t="n">
        <v>46357</v>
      </c>
      <c r="G433" s="1" t="s">
        <v>810</v>
      </c>
      <c r="H433" s="0" t="n">
        <v>4875</v>
      </c>
      <c r="I433" s="0" t="n">
        <v>58500</v>
      </c>
      <c r="J433" s="1" t="s">
        <v>2615</v>
      </c>
      <c r="K433" s="1" t="s">
        <v>1208</v>
      </c>
    </row>
    <row r="434" customFormat="false" ht="13.5" hidden="false" customHeight="false" outlineLevel="0" collapsed="false">
      <c r="A434" s="0" t="s">
        <v>49</v>
      </c>
      <c r="B434" s="0" t="s">
        <v>2244</v>
      </c>
      <c r="C434" s="0" t="n">
        <v>7700</v>
      </c>
      <c r="D434" s="0" t="s">
        <v>744</v>
      </c>
      <c r="E434" s="0" t="s">
        <v>442</v>
      </c>
      <c r="F434" s="233" t="n">
        <v>46023</v>
      </c>
      <c r="G434" s="1" t="s">
        <v>799</v>
      </c>
      <c r="H434" s="0" t="n">
        <v>18218.97</v>
      </c>
      <c r="I434" s="0" t="n">
        <v>218627.64</v>
      </c>
      <c r="J434" s="1" t="s">
        <v>2615</v>
      </c>
      <c r="K434" s="1" t="s">
        <v>1208</v>
      </c>
    </row>
    <row r="435" customFormat="false" ht="13.5" hidden="false" customHeight="false" outlineLevel="0" collapsed="false">
      <c r="A435" s="0" t="s">
        <v>49</v>
      </c>
      <c r="B435" s="0" t="s">
        <v>2244</v>
      </c>
      <c r="C435" s="0" t="n">
        <v>7700</v>
      </c>
      <c r="D435" s="0" t="s">
        <v>744</v>
      </c>
      <c r="E435" s="0" t="s">
        <v>442</v>
      </c>
      <c r="F435" s="233" t="n">
        <v>46054</v>
      </c>
      <c r="G435" s="1" t="s">
        <v>800</v>
      </c>
      <c r="H435" s="0" t="n">
        <v>18218.97</v>
      </c>
      <c r="I435" s="0" t="n">
        <v>218627.64</v>
      </c>
      <c r="J435" s="1" t="s">
        <v>2615</v>
      </c>
      <c r="K435" s="1" t="s">
        <v>1208</v>
      </c>
    </row>
    <row r="436" customFormat="false" ht="13.5" hidden="false" customHeight="false" outlineLevel="0" collapsed="false">
      <c r="A436" s="0" t="s">
        <v>49</v>
      </c>
      <c r="B436" s="0" t="s">
        <v>2244</v>
      </c>
      <c r="C436" s="0" t="n">
        <v>7700</v>
      </c>
      <c r="D436" s="0" t="s">
        <v>744</v>
      </c>
      <c r="E436" s="0" t="s">
        <v>442</v>
      </c>
      <c r="F436" s="233" t="n">
        <v>46082</v>
      </c>
      <c r="G436" s="1" t="s">
        <v>801</v>
      </c>
      <c r="H436" s="0" t="n">
        <v>18218.97</v>
      </c>
      <c r="I436" s="0" t="n">
        <v>218627.64</v>
      </c>
      <c r="J436" s="1" t="s">
        <v>2615</v>
      </c>
      <c r="K436" s="1" t="s">
        <v>1208</v>
      </c>
    </row>
    <row r="437" customFormat="false" ht="13.5" hidden="false" customHeight="false" outlineLevel="0" collapsed="false">
      <c r="A437" s="0" t="s">
        <v>49</v>
      </c>
      <c r="B437" s="0" t="s">
        <v>2244</v>
      </c>
      <c r="C437" s="0" t="n">
        <v>7700</v>
      </c>
      <c r="D437" s="0" t="s">
        <v>744</v>
      </c>
      <c r="E437" s="0" t="s">
        <v>442</v>
      </c>
      <c r="F437" s="233" t="n">
        <v>46113</v>
      </c>
      <c r="G437" s="1" t="s">
        <v>802</v>
      </c>
      <c r="H437" s="0" t="n">
        <v>18218.97</v>
      </c>
      <c r="I437" s="0" t="n">
        <v>218627.64</v>
      </c>
      <c r="J437" s="1" t="s">
        <v>2615</v>
      </c>
      <c r="K437" s="1" t="s">
        <v>1208</v>
      </c>
    </row>
    <row r="438" customFormat="false" ht="13.5" hidden="false" customHeight="false" outlineLevel="0" collapsed="false">
      <c r="A438" s="0" t="s">
        <v>49</v>
      </c>
      <c r="B438" s="0" t="s">
        <v>2244</v>
      </c>
      <c r="C438" s="0" t="n">
        <v>7700</v>
      </c>
      <c r="D438" s="0" t="s">
        <v>744</v>
      </c>
      <c r="E438" s="0" t="s">
        <v>442</v>
      </c>
      <c r="F438" s="233" t="n">
        <v>46143</v>
      </c>
      <c r="G438" s="1" t="s">
        <v>803</v>
      </c>
      <c r="H438" s="0" t="n">
        <v>18218.97</v>
      </c>
      <c r="I438" s="0" t="n">
        <v>218627.64</v>
      </c>
      <c r="J438" s="1" t="s">
        <v>2615</v>
      </c>
      <c r="K438" s="1" t="s">
        <v>1208</v>
      </c>
    </row>
    <row r="439" customFormat="false" ht="13.5" hidden="false" customHeight="false" outlineLevel="0" collapsed="false">
      <c r="A439" s="0" t="s">
        <v>49</v>
      </c>
      <c r="B439" s="0" t="s">
        <v>2244</v>
      </c>
      <c r="C439" s="0" t="n">
        <v>7700</v>
      </c>
      <c r="D439" s="0" t="s">
        <v>744</v>
      </c>
      <c r="E439" s="0" t="s">
        <v>442</v>
      </c>
      <c r="F439" s="233" t="n">
        <v>46174</v>
      </c>
      <c r="G439" s="1" t="s">
        <v>804</v>
      </c>
      <c r="H439" s="0" t="n">
        <v>18218.97</v>
      </c>
      <c r="I439" s="0" t="n">
        <v>218627.64</v>
      </c>
      <c r="J439" s="1" t="s">
        <v>2615</v>
      </c>
      <c r="K439" s="1" t="s">
        <v>1208</v>
      </c>
    </row>
    <row r="440" customFormat="false" ht="13.5" hidden="false" customHeight="false" outlineLevel="0" collapsed="false">
      <c r="A440" s="0" t="s">
        <v>49</v>
      </c>
      <c r="B440" s="0" t="s">
        <v>2244</v>
      </c>
      <c r="C440" s="0" t="n">
        <v>7700</v>
      </c>
      <c r="D440" s="0" t="s">
        <v>744</v>
      </c>
      <c r="E440" s="0" t="s">
        <v>442</v>
      </c>
      <c r="F440" s="233" t="n">
        <v>46204</v>
      </c>
      <c r="G440" s="1" t="s">
        <v>805</v>
      </c>
      <c r="H440" s="0" t="n">
        <v>18218.97</v>
      </c>
      <c r="I440" s="0" t="n">
        <v>218627.64</v>
      </c>
      <c r="J440" s="1" t="s">
        <v>2615</v>
      </c>
      <c r="K440" s="1" t="s">
        <v>1208</v>
      </c>
    </row>
    <row r="441" customFormat="false" ht="13.5" hidden="false" customHeight="false" outlineLevel="0" collapsed="false">
      <c r="A441" s="0" t="s">
        <v>49</v>
      </c>
      <c r="B441" s="0" t="s">
        <v>2244</v>
      </c>
      <c r="C441" s="0" t="n">
        <v>7700</v>
      </c>
      <c r="D441" s="0" t="s">
        <v>744</v>
      </c>
      <c r="E441" s="0" t="s">
        <v>442</v>
      </c>
      <c r="F441" s="233" t="n">
        <v>46235</v>
      </c>
      <c r="G441" s="1" t="s">
        <v>806</v>
      </c>
      <c r="H441" s="0" t="n">
        <v>18218.97</v>
      </c>
      <c r="I441" s="0" t="n">
        <v>218627.64</v>
      </c>
      <c r="J441" s="1" t="s">
        <v>2615</v>
      </c>
      <c r="K441" s="1" t="s">
        <v>1208</v>
      </c>
    </row>
    <row r="442" customFormat="false" ht="13.5" hidden="false" customHeight="false" outlineLevel="0" collapsed="false">
      <c r="A442" s="0" t="s">
        <v>49</v>
      </c>
      <c r="B442" s="0" t="s">
        <v>2244</v>
      </c>
      <c r="C442" s="0" t="n">
        <v>7700</v>
      </c>
      <c r="D442" s="0" t="s">
        <v>744</v>
      </c>
      <c r="E442" s="0" t="s">
        <v>442</v>
      </c>
      <c r="F442" s="233" t="n">
        <v>46266</v>
      </c>
      <c r="G442" s="1" t="s">
        <v>2616</v>
      </c>
      <c r="H442" s="0" t="n">
        <v>18218.97</v>
      </c>
      <c r="I442" s="0" t="n">
        <v>218627.64</v>
      </c>
      <c r="J442" s="1" t="s">
        <v>2615</v>
      </c>
      <c r="K442" s="1" t="s">
        <v>1208</v>
      </c>
    </row>
    <row r="443" customFormat="false" ht="13.5" hidden="false" customHeight="false" outlineLevel="0" collapsed="false">
      <c r="A443" s="0" t="s">
        <v>49</v>
      </c>
      <c r="B443" s="0" t="s">
        <v>2244</v>
      </c>
      <c r="C443" s="0" t="n">
        <v>7700</v>
      </c>
      <c r="D443" s="0" t="s">
        <v>744</v>
      </c>
      <c r="E443" s="0" t="s">
        <v>442</v>
      </c>
      <c r="F443" s="233" t="n">
        <v>46296</v>
      </c>
      <c r="G443" s="1" t="s">
        <v>808</v>
      </c>
      <c r="H443" s="0" t="n">
        <v>18218.97</v>
      </c>
      <c r="I443" s="0" t="n">
        <v>218627.64</v>
      </c>
      <c r="J443" s="1" t="s">
        <v>2615</v>
      </c>
      <c r="K443" s="1" t="s">
        <v>1208</v>
      </c>
    </row>
    <row r="444" customFormat="false" ht="13.5" hidden="false" customHeight="false" outlineLevel="0" collapsed="false">
      <c r="A444" s="0" t="s">
        <v>49</v>
      </c>
      <c r="B444" s="0" t="s">
        <v>2244</v>
      </c>
      <c r="C444" s="0" t="n">
        <v>7700</v>
      </c>
      <c r="D444" s="0" t="s">
        <v>744</v>
      </c>
      <c r="E444" s="0" t="s">
        <v>442</v>
      </c>
      <c r="F444" s="233" t="n">
        <v>46327</v>
      </c>
      <c r="G444" s="1" t="s">
        <v>809</v>
      </c>
      <c r="H444" s="0" t="n">
        <v>18218.97</v>
      </c>
      <c r="I444" s="0" t="n">
        <v>218627.64</v>
      </c>
      <c r="J444" s="1" t="s">
        <v>2615</v>
      </c>
      <c r="K444" s="1" t="s">
        <v>1208</v>
      </c>
    </row>
    <row r="445" customFormat="false" ht="13.5" hidden="false" customHeight="false" outlineLevel="0" collapsed="false">
      <c r="A445" s="0" t="s">
        <v>49</v>
      </c>
      <c r="B445" s="0" t="s">
        <v>2244</v>
      </c>
      <c r="C445" s="0" t="n">
        <v>7700</v>
      </c>
      <c r="D445" s="0" t="s">
        <v>744</v>
      </c>
      <c r="E445" s="0" t="s">
        <v>442</v>
      </c>
      <c r="F445" s="233" t="n">
        <v>46357</v>
      </c>
      <c r="G445" s="1" t="s">
        <v>810</v>
      </c>
      <c r="H445" s="0" t="n">
        <v>18218.97</v>
      </c>
      <c r="I445" s="0" t="n">
        <v>218627.64</v>
      </c>
      <c r="J445" s="1" t="s">
        <v>2615</v>
      </c>
      <c r="K445" s="1" t="s">
        <v>1208</v>
      </c>
    </row>
    <row r="446" customFormat="false" ht="13.5" hidden="false" customHeight="false" outlineLevel="0" collapsed="false">
      <c r="A446" s="0" t="s">
        <v>49</v>
      </c>
      <c r="B446" s="0" t="s">
        <v>2244</v>
      </c>
      <c r="C446" s="0" t="n">
        <v>7710</v>
      </c>
      <c r="D446" s="0" t="s">
        <v>746</v>
      </c>
      <c r="E446" s="0" t="s">
        <v>442</v>
      </c>
      <c r="F446" s="233" t="n">
        <v>46023</v>
      </c>
      <c r="G446" s="1" t="s">
        <v>799</v>
      </c>
      <c r="H446" s="0" t="n">
        <v>1333.33333333333</v>
      </c>
      <c r="I446" s="0" t="n">
        <v>16000</v>
      </c>
      <c r="J446" s="1" t="s">
        <v>2615</v>
      </c>
      <c r="K446" s="1" t="s">
        <v>1208</v>
      </c>
    </row>
    <row r="447" customFormat="false" ht="13.5" hidden="false" customHeight="false" outlineLevel="0" collapsed="false">
      <c r="A447" s="0" t="s">
        <v>49</v>
      </c>
      <c r="B447" s="0" t="s">
        <v>2244</v>
      </c>
      <c r="C447" s="0" t="n">
        <v>7710</v>
      </c>
      <c r="D447" s="0" t="s">
        <v>746</v>
      </c>
      <c r="E447" s="0" t="s">
        <v>442</v>
      </c>
      <c r="F447" s="233" t="n">
        <v>46054</v>
      </c>
      <c r="G447" s="1" t="s">
        <v>800</v>
      </c>
      <c r="H447" s="0" t="n">
        <v>1333.33333333333</v>
      </c>
      <c r="I447" s="0" t="n">
        <v>16000</v>
      </c>
      <c r="J447" s="1" t="s">
        <v>2615</v>
      </c>
      <c r="K447" s="1" t="s">
        <v>1208</v>
      </c>
    </row>
    <row r="448" customFormat="false" ht="13.5" hidden="false" customHeight="false" outlineLevel="0" collapsed="false">
      <c r="A448" s="0" t="s">
        <v>49</v>
      </c>
      <c r="B448" s="0" t="s">
        <v>2244</v>
      </c>
      <c r="C448" s="0" t="n">
        <v>7710</v>
      </c>
      <c r="D448" s="0" t="s">
        <v>746</v>
      </c>
      <c r="E448" s="0" t="s">
        <v>442</v>
      </c>
      <c r="F448" s="233" t="n">
        <v>46082</v>
      </c>
      <c r="G448" s="1" t="s">
        <v>801</v>
      </c>
      <c r="H448" s="0" t="n">
        <v>1333.33333333333</v>
      </c>
      <c r="I448" s="0" t="n">
        <v>16000</v>
      </c>
      <c r="J448" s="1" t="s">
        <v>2615</v>
      </c>
      <c r="K448" s="1" t="s">
        <v>1208</v>
      </c>
    </row>
    <row r="449" customFormat="false" ht="13.5" hidden="false" customHeight="false" outlineLevel="0" collapsed="false">
      <c r="A449" s="0" t="s">
        <v>49</v>
      </c>
      <c r="B449" s="0" t="s">
        <v>2244</v>
      </c>
      <c r="C449" s="0" t="n">
        <v>7710</v>
      </c>
      <c r="D449" s="0" t="s">
        <v>746</v>
      </c>
      <c r="E449" s="0" t="s">
        <v>442</v>
      </c>
      <c r="F449" s="233" t="n">
        <v>46113</v>
      </c>
      <c r="G449" s="1" t="s">
        <v>802</v>
      </c>
      <c r="H449" s="0" t="n">
        <v>1333.33333333333</v>
      </c>
      <c r="I449" s="0" t="n">
        <v>16000</v>
      </c>
      <c r="J449" s="1" t="s">
        <v>2615</v>
      </c>
      <c r="K449" s="1" t="s">
        <v>1208</v>
      </c>
    </row>
    <row r="450" customFormat="false" ht="13.5" hidden="false" customHeight="false" outlineLevel="0" collapsed="false">
      <c r="A450" s="0" t="s">
        <v>49</v>
      </c>
      <c r="B450" s="0" t="s">
        <v>2244</v>
      </c>
      <c r="C450" s="0" t="n">
        <v>7710</v>
      </c>
      <c r="D450" s="0" t="s">
        <v>746</v>
      </c>
      <c r="E450" s="0" t="s">
        <v>442</v>
      </c>
      <c r="F450" s="233" t="n">
        <v>46143</v>
      </c>
      <c r="G450" s="1" t="s">
        <v>803</v>
      </c>
      <c r="H450" s="0" t="n">
        <v>1333.33333333333</v>
      </c>
      <c r="I450" s="0" t="n">
        <v>16000</v>
      </c>
      <c r="J450" s="1" t="s">
        <v>2615</v>
      </c>
      <c r="K450" s="1" t="s">
        <v>1208</v>
      </c>
    </row>
    <row r="451" customFormat="false" ht="13.5" hidden="false" customHeight="false" outlineLevel="0" collapsed="false">
      <c r="A451" s="0" t="s">
        <v>49</v>
      </c>
      <c r="B451" s="0" t="s">
        <v>2244</v>
      </c>
      <c r="C451" s="0" t="n">
        <v>7710</v>
      </c>
      <c r="D451" s="0" t="s">
        <v>746</v>
      </c>
      <c r="E451" s="0" t="s">
        <v>442</v>
      </c>
      <c r="F451" s="233" t="n">
        <v>46174</v>
      </c>
      <c r="G451" s="1" t="s">
        <v>804</v>
      </c>
      <c r="H451" s="0" t="n">
        <v>1333.33333333333</v>
      </c>
      <c r="I451" s="0" t="n">
        <v>16000</v>
      </c>
      <c r="J451" s="1" t="s">
        <v>2615</v>
      </c>
      <c r="K451" s="1" t="s">
        <v>1208</v>
      </c>
    </row>
    <row r="452" customFormat="false" ht="13.5" hidden="false" customHeight="false" outlineLevel="0" collapsed="false">
      <c r="A452" s="0" t="s">
        <v>49</v>
      </c>
      <c r="B452" s="0" t="s">
        <v>2244</v>
      </c>
      <c r="C452" s="0" t="n">
        <v>7710</v>
      </c>
      <c r="D452" s="0" t="s">
        <v>746</v>
      </c>
      <c r="E452" s="0" t="s">
        <v>442</v>
      </c>
      <c r="F452" s="233" t="n">
        <v>46204</v>
      </c>
      <c r="G452" s="1" t="s">
        <v>805</v>
      </c>
      <c r="H452" s="0" t="n">
        <v>1333.33333333333</v>
      </c>
      <c r="I452" s="0" t="n">
        <v>16000</v>
      </c>
      <c r="J452" s="1" t="s">
        <v>2615</v>
      </c>
      <c r="K452" s="1" t="s">
        <v>1208</v>
      </c>
    </row>
    <row r="453" customFormat="false" ht="13.5" hidden="false" customHeight="false" outlineLevel="0" collapsed="false">
      <c r="A453" s="0" t="s">
        <v>49</v>
      </c>
      <c r="B453" s="0" t="s">
        <v>2244</v>
      </c>
      <c r="C453" s="0" t="n">
        <v>7710</v>
      </c>
      <c r="D453" s="0" t="s">
        <v>746</v>
      </c>
      <c r="E453" s="0" t="s">
        <v>442</v>
      </c>
      <c r="F453" s="233" t="n">
        <v>46235</v>
      </c>
      <c r="G453" s="1" t="s">
        <v>806</v>
      </c>
      <c r="H453" s="0" t="n">
        <v>1333.33333333333</v>
      </c>
      <c r="I453" s="0" t="n">
        <v>16000</v>
      </c>
      <c r="J453" s="1" t="s">
        <v>2615</v>
      </c>
      <c r="K453" s="1" t="s">
        <v>1208</v>
      </c>
    </row>
    <row r="454" customFormat="false" ht="13.5" hidden="false" customHeight="false" outlineLevel="0" collapsed="false">
      <c r="A454" s="0" t="s">
        <v>49</v>
      </c>
      <c r="B454" s="0" t="s">
        <v>2244</v>
      </c>
      <c r="C454" s="0" t="n">
        <v>7710</v>
      </c>
      <c r="D454" s="0" t="s">
        <v>746</v>
      </c>
      <c r="E454" s="0" t="s">
        <v>442</v>
      </c>
      <c r="F454" s="233" t="n">
        <v>46266</v>
      </c>
      <c r="G454" s="1" t="s">
        <v>2616</v>
      </c>
      <c r="H454" s="0" t="n">
        <v>1333.33333333333</v>
      </c>
      <c r="I454" s="0" t="n">
        <v>16000</v>
      </c>
      <c r="J454" s="1" t="s">
        <v>2615</v>
      </c>
      <c r="K454" s="1" t="s">
        <v>1208</v>
      </c>
    </row>
    <row r="455" customFormat="false" ht="13.5" hidden="false" customHeight="false" outlineLevel="0" collapsed="false">
      <c r="A455" s="0" t="s">
        <v>49</v>
      </c>
      <c r="B455" s="0" t="s">
        <v>2244</v>
      </c>
      <c r="C455" s="0" t="n">
        <v>7710</v>
      </c>
      <c r="D455" s="0" t="s">
        <v>746</v>
      </c>
      <c r="E455" s="0" t="s">
        <v>442</v>
      </c>
      <c r="F455" s="233" t="n">
        <v>46296</v>
      </c>
      <c r="G455" s="1" t="s">
        <v>808</v>
      </c>
      <c r="H455" s="0" t="n">
        <v>1333.33333333333</v>
      </c>
      <c r="I455" s="0" t="n">
        <v>16000</v>
      </c>
      <c r="J455" s="1" t="s">
        <v>2615</v>
      </c>
      <c r="K455" s="1" t="s">
        <v>1208</v>
      </c>
    </row>
    <row r="456" customFormat="false" ht="13.5" hidden="false" customHeight="false" outlineLevel="0" collapsed="false">
      <c r="A456" s="0" t="s">
        <v>49</v>
      </c>
      <c r="B456" s="0" t="s">
        <v>2244</v>
      </c>
      <c r="C456" s="0" t="n">
        <v>7710</v>
      </c>
      <c r="D456" s="0" t="s">
        <v>746</v>
      </c>
      <c r="E456" s="0" t="s">
        <v>442</v>
      </c>
      <c r="F456" s="233" t="n">
        <v>46327</v>
      </c>
      <c r="G456" s="1" t="s">
        <v>809</v>
      </c>
      <c r="H456" s="0" t="n">
        <v>1333.33333333333</v>
      </c>
      <c r="I456" s="0" t="n">
        <v>16000</v>
      </c>
      <c r="J456" s="1" t="s">
        <v>2615</v>
      </c>
      <c r="K456" s="1" t="s">
        <v>1208</v>
      </c>
    </row>
    <row r="457" customFormat="false" ht="13.5" hidden="false" customHeight="false" outlineLevel="0" collapsed="false">
      <c r="A457" s="0" t="s">
        <v>49</v>
      </c>
      <c r="B457" s="0" t="s">
        <v>2244</v>
      </c>
      <c r="C457" s="0" t="n">
        <v>7710</v>
      </c>
      <c r="D457" s="0" t="s">
        <v>746</v>
      </c>
      <c r="E457" s="0" t="s">
        <v>442</v>
      </c>
      <c r="F457" s="233" t="n">
        <v>46357</v>
      </c>
      <c r="G457" s="1" t="s">
        <v>810</v>
      </c>
      <c r="H457" s="0" t="n">
        <v>1333.33333333333</v>
      </c>
      <c r="I457" s="0" t="n">
        <v>16000</v>
      </c>
      <c r="J457" s="1" t="s">
        <v>2615</v>
      </c>
      <c r="K457" s="1" t="s">
        <v>1208</v>
      </c>
    </row>
    <row r="458" customFormat="false" ht="13.5" hidden="false" customHeight="false" outlineLevel="0" collapsed="false">
      <c r="A458" s="0" t="s">
        <v>49</v>
      </c>
      <c r="B458" s="0" t="s">
        <v>2244</v>
      </c>
      <c r="C458" s="0" t="n">
        <v>7730</v>
      </c>
      <c r="D458" s="0" t="s">
        <v>748</v>
      </c>
      <c r="E458" s="0" t="s">
        <v>442</v>
      </c>
      <c r="F458" s="233" t="n">
        <v>46023</v>
      </c>
      <c r="G458" s="1" t="s">
        <v>799</v>
      </c>
      <c r="H458" s="0" t="n">
        <v>7220</v>
      </c>
      <c r="I458" s="0" t="n">
        <v>86640</v>
      </c>
      <c r="J458" s="1" t="s">
        <v>2615</v>
      </c>
      <c r="K458" s="1" t="s">
        <v>1208</v>
      </c>
    </row>
    <row r="459" customFormat="false" ht="13.5" hidden="false" customHeight="false" outlineLevel="0" collapsed="false">
      <c r="A459" s="0" t="s">
        <v>49</v>
      </c>
      <c r="B459" s="0" t="s">
        <v>2244</v>
      </c>
      <c r="C459" s="0" t="n">
        <v>7730</v>
      </c>
      <c r="D459" s="0" t="s">
        <v>748</v>
      </c>
      <c r="E459" s="0" t="s">
        <v>442</v>
      </c>
      <c r="F459" s="233" t="n">
        <v>46054</v>
      </c>
      <c r="G459" s="1" t="s">
        <v>800</v>
      </c>
      <c r="H459" s="0" t="n">
        <v>7220</v>
      </c>
      <c r="I459" s="0" t="n">
        <v>86640</v>
      </c>
      <c r="J459" s="1" t="s">
        <v>2615</v>
      </c>
      <c r="K459" s="1" t="s">
        <v>1208</v>
      </c>
    </row>
    <row r="460" customFormat="false" ht="13.5" hidden="false" customHeight="false" outlineLevel="0" collapsed="false">
      <c r="A460" s="0" t="s">
        <v>49</v>
      </c>
      <c r="B460" s="0" t="s">
        <v>2244</v>
      </c>
      <c r="C460" s="0" t="n">
        <v>7730</v>
      </c>
      <c r="D460" s="0" t="s">
        <v>748</v>
      </c>
      <c r="E460" s="0" t="s">
        <v>442</v>
      </c>
      <c r="F460" s="233" t="n">
        <v>46082</v>
      </c>
      <c r="G460" s="1" t="s">
        <v>801</v>
      </c>
      <c r="H460" s="0" t="n">
        <v>7220</v>
      </c>
      <c r="I460" s="0" t="n">
        <v>86640</v>
      </c>
      <c r="J460" s="1" t="s">
        <v>2615</v>
      </c>
      <c r="K460" s="1" t="s">
        <v>1208</v>
      </c>
    </row>
    <row r="461" customFormat="false" ht="13.5" hidden="false" customHeight="false" outlineLevel="0" collapsed="false">
      <c r="A461" s="0" t="s">
        <v>49</v>
      </c>
      <c r="B461" s="0" t="s">
        <v>2244</v>
      </c>
      <c r="C461" s="0" t="n">
        <v>7730</v>
      </c>
      <c r="D461" s="0" t="s">
        <v>748</v>
      </c>
      <c r="E461" s="0" t="s">
        <v>442</v>
      </c>
      <c r="F461" s="233" t="n">
        <v>46113</v>
      </c>
      <c r="G461" s="1" t="s">
        <v>802</v>
      </c>
      <c r="H461" s="0" t="n">
        <v>7220</v>
      </c>
      <c r="I461" s="0" t="n">
        <v>86640</v>
      </c>
      <c r="J461" s="1" t="s">
        <v>2615</v>
      </c>
      <c r="K461" s="1" t="s">
        <v>1208</v>
      </c>
    </row>
    <row r="462" customFormat="false" ht="13.5" hidden="false" customHeight="false" outlineLevel="0" collapsed="false">
      <c r="A462" s="0" t="s">
        <v>49</v>
      </c>
      <c r="B462" s="0" t="s">
        <v>2244</v>
      </c>
      <c r="C462" s="0" t="n">
        <v>7730</v>
      </c>
      <c r="D462" s="0" t="s">
        <v>748</v>
      </c>
      <c r="E462" s="0" t="s">
        <v>442</v>
      </c>
      <c r="F462" s="233" t="n">
        <v>46143</v>
      </c>
      <c r="G462" s="1" t="s">
        <v>803</v>
      </c>
      <c r="H462" s="0" t="n">
        <v>7220</v>
      </c>
      <c r="I462" s="0" t="n">
        <v>86640</v>
      </c>
      <c r="J462" s="1" t="s">
        <v>2615</v>
      </c>
      <c r="K462" s="1" t="s">
        <v>1208</v>
      </c>
    </row>
    <row r="463" customFormat="false" ht="13.5" hidden="false" customHeight="false" outlineLevel="0" collapsed="false">
      <c r="A463" s="0" t="s">
        <v>49</v>
      </c>
      <c r="B463" s="0" t="s">
        <v>2244</v>
      </c>
      <c r="C463" s="0" t="n">
        <v>7730</v>
      </c>
      <c r="D463" s="0" t="s">
        <v>748</v>
      </c>
      <c r="E463" s="0" t="s">
        <v>442</v>
      </c>
      <c r="F463" s="233" t="n">
        <v>46174</v>
      </c>
      <c r="G463" s="1" t="s">
        <v>804</v>
      </c>
      <c r="H463" s="0" t="n">
        <v>7220</v>
      </c>
      <c r="I463" s="0" t="n">
        <v>86640</v>
      </c>
      <c r="J463" s="1" t="s">
        <v>2615</v>
      </c>
      <c r="K463" s="1" t="s">
        <v>1208</v>
      </c>
    </row>
    <row r="464" customFormat="false" ht="13.5" hidden="false" customHeight="false" outlineLevel="0" collapsed="false">
      <c r="A464" s="0" t="s">
        <v>49</v>
      </c>
      <c r="B464" s="0" t="s">
        <v>2244</v>
      </c>
      <c r="C464" s="0" t="n">
        <v>7730</v>
      </c>
      <c r="D464" s="0" t="s">
        <v>748</v>
      </c>
      <c r="E464" s="0" t="s">
        <v>442</v>
      </c>
      <c r="F464" s="233" t="n">
        <v>46204</v>
      </c>
      <c r="G464" s="1" t="s">
        <v>805</v>
      </c>
      <c r="H464" s="0" t="n">
        <v>7220</v>
      </c>
      <c r="I464" s="0" t="n">
        <v>86640</v>
      </c>
      <c r="J464" s="1" t="s">
        <v>2615</v>
      </c>
      <c r="K464" s="1" t="s">
        <v>1208</v>
      </c>
    </row>
    <row r="465" customFormat="false" ht="13.5" hidden="false" customHeight="false" outlineLevel="0" collapsed="false">
      <c r="A465" s="0" t="s">
        <v>49</v>
      </c>
      <c r="B465" s="0" t="s">
        <v>2244</v>
      </c>
      <c r="C465" s="0" t="n">
        <v>7730</v>
      </c>
      <c r="D465" s="0" t="s">
        <v>748</v>
      </c>
      <c r="E465" s="0" t="s">
        <v>442</v>
      </c>
      <c r="F465" s="233" t="n">
        <v>46235</v>
      </c>
      <c r="G465" s="1" t="s">
        <v>806</v>
      </c>
      <c r="H465" s="0" t="n">
        <v>7220</v>
      </c>
      <c r="I465" s="0" t="n">
        <v>86640</v>
      </c>
      <c r="J465" s="1" t="s">
        <v>2615</v>
      </c>
      <c r="K465" s="1" t="s">
        <v>1208</v>
      </c>
    </row>
    <row r="466" customFormat="false" ht="13.5" hidden="false" customHeight="false" outlineLevel="0" collapsed="false">
      <c r="A466" s="0" t="s">
        <v>49</v>
      </c>
      <c r="B466" s="0" t="s">
        <v>2244</v>
      </c>
      <c r="C466" s="0" t="n">
        <v>7730</v>
      </c>
      <c r="D466" s="0" t="s">
        <v>748</v>
      </c>
      <c r="E466" s="0" t="s">
        <v>442</v>
      </c>
      <c r="F466" s="233" t="n">
        <v>46266</v>
      </c>
      <c r="G466" s="1" t="s">
        <v>2616</v>
      </c>
      <c r="H466" s="0" t="n">
        <v>7220</v>
      </c>
      <c r="I466" s="0" t="n">
        <v>86640</v>
      </c>
      <c r="J466" s="1" t="s">
        <v>2615</v>
      </c>
      <c r="K466" s="1" t="s">
        <v>1208</v>
      </c>
    </row>
    <row r="467" customFormat="false" ht="13.5" hidden="false" customHeight="false" outlineLevel="0" collapsed="false">
      <c r="A467" s="0" t="s">
        <v>49</v>
      </c>
      <c r="B467" s="0" t="s">
        <v>2244</v>
      </c>
      <c r="C467" s="0" t="n">
        <v>7730</v>
      </c>
      <c r="D467" s="0" t="s">
        <v>748</v>
      </c>
      <c r="E467" s="0" t="s">
        <v>442</v>
      </c>
      <c r="F467" s="233" t="n">
        <v>46296</v>
      </c>
      <c r="G467" s="1" t="s">
        <v>808</v>
      </c>
      <c r="H467" s="0" t="n">
        <v>7220</v>
      </c>
      <c r="I467" s="0" t="n">
        <v>86640</v>
      </c>
      <c r="J467" s="1" t="s">
        <v>2615</v>
      </c>
      <c r="K467" s="1" t="s">
        <v>1208</v>
      </c>
    </row>
    <row r="468" customFormat="false" ht="13.5" hidden="false" customHeight="false" outlineLevel="0" collapsed="false">
      <c r="A468" s="0" t="s">
        <v>49</v>
      </c>
      <c r="B468" s="0" t="s">
        <v>2244</v>
      </c>
      <c r="C468" s="0" t="n">
        <v>7730</v>
      </c>
      <c r="D468" s="0" t="s">
        <v>748</v>
      </c>
      <c r="E468" s="0" t="s">
        <v>442</v>
      </c>
      <c r="F468" s="233" t="n">
        <v>46327</v>
      </c>
      <c r="G468" s="1" t="s">
        <v>809</v>
      </c>
      <c r="H468" s="0" t="n">
        <v>7220</v>
      </c>
      <c r="I468" s="0" t="n">
        <v>86640</v>
      </c>
      <c r="J468" s="1" t="s">
        <v>2615</v>
      </c>
      <c r="K468" s="1" t="s">
        <v>1208</v>
      </c>
    </row>
    <row r="469" customFormat="false" ht="13.5" hidden="false" customHeight="false" outlineLevel="0" collapsed="false">
      <c r="A469" s="0" t="s">
        <v>49</v>
      </c>
      <c r="B469" s="0" t="s">
        <v>2244</v>
      </c>
      <c r="C469" s="0" t="n">
        <v>7730</v>
      </c>
      <c r="D469" s="0" t="s">
        <v>748</v>
      </c>
      <c r="E469" s="0" t="s">
        <v>442</v>
      </c>
      <c r="F469" s="233" t="n">
        <v>46357</v>
      </c>
      <c r="G469" s="1" t="s">
        <v>810</v>
      </c>
      <c r="H469" s="0" t="n">
        <v>7220</v>
      </c>
      <c r="I469" s="0" t="n">
        <v>86640</v>
      </c>
      <c r="J469" s="1" t="s">
        <v>2615</v>
      </c>
      <c r="K469" s="1" t="s">
        <v>1208</v>
      </c>
    </row>
    <row r="470" customFormat="false" ht="13.5" hidden="false" customHeight="false" outlineLevel="0" collapsed="false">
      <c r="A470" s="0" t="s">
        <v>49</v>
      </c>
      <c r="B470" s="0" t="s">
        <v>2244</v>
      </c>
      <c r="C470" s="0" t="n">
        <v>7750</v>
      </c>
      <c r="D470" s="0" t="s">
        <v>752</v>
      </c>
      <c r="E470" s="0" t="s">
        <v>442</v>
      </c>
      <c r="F470" s="233" t="n">
        <v>46023</v>
      </c>
      <c r="G470" s="1" t="s">
        <v>799</v>
      </c>
      <c r="H470" s="0" t="n">
        <v>4045.75</v>
      </c>
      <c r="I470" s="0" t="n">
        <v>48549</v>
      </c>
      <c r="J470" s="1" t="s">
        <v>2615</v>
      </c>
      <c r="K470" s="1" t="s">
        <v>1208</v>
      </c>
    </row>
    <row r="471" customFormat="false" ht="13.5" hidden="false" customHeight="false" outlineLevel="0" collapsed="false">
      <c r="A471" s="0" t="s">
        <v>49</v>
      </c>
      <c r="B471" s="0" t="s">
        <v>2244</v>
      </c>
      <c r="C471" s="0" t="n">
        <v>7750</v>
      </c>
      <c r="D471" s="0" t="s">
        <v>752</v>
      </c>
      <c r="E471" s="0" t="s">
        <v>442</v>
      </c>
      <c r="F471" s="233" t="n">
        <v>46054</v>
      </c>
      <c r="G471" s="1" t="s">
        <v>800</v>
      </c>
      <c r="H471" s="0" t="n">
        <v>4045.75</v>
      </c>
      <c r="I471" s="0" t="n">
        <v>48549</v>
      </c>
      <c r="J471" s="1" t="s">
        <v>2615</v>
      </c>
      <c r="K471" s="1" t="s">
        <v>1208</v>
      </c>
    </row>
    <row r="472" customFormat="false" ht="13.5" hidden="false" customHeight="false" outlineLevel="0" collapsed="false">
      <c r="A472" s="0" t="s">
        <v>49</v>
      </c>
      <c r="B472" s="0" t="s">
        <v>2244</v>
      </c>
      <c r="C472" s="0" t="n">
        <v>7750</v>
      </c>
      <c r="D472" s="0" t="s">
        <v>752</v>
      </c>
      <c r="E472" s="0" t="s">
        <v>442</v>
      </c>
      <c r="F472" s="233" t="n">
        <v>46082</v>
      </c>
      <c r="G472" s="1" t="s">
        <v>801</v>
      </c>
      <c r="H472" s="0" t="n">
        <v>4045.75</v>
      </c>
      <c r="I472" s="0" t="n">
        <v>48549</v>
      </c>
      <c r="J472" s="1" t="s">
        <v>2615</v>
      </c>
      <c r="K472" s="1" t="s">
        <v>1208</v>
      </c>
    </row>
    <row r="473" customFormat="false" ht="13.5" hidden="false" customHeight="false" outlineLevel="0" collapsed="false">
      <c r="A473" s="0" t="s">
        <v>49</v>
      </c>
      <c r="B473" s="0" t="s">
        <v>2244</v>
      </c>
      <c r="C473" s="0" t="n">
        <v>7750</v>
      </c>
      <c r="D473" s="0" t="s">
        <v>752</v>
      </c>
      <c r="E473" s="0" t="s">
        <v>442</v>
      </c>
      <c r="F473" s="233" t="n">
        <v>46113</v>
      </c>
      <c r="G473" s="1" t="s">
        <v>802</v>
      </c>
      <c r="H473" s="0" t="n">
        <v>4045.75</v>
      </c>
      <c r="I473" s="0" t="n">
        <v>48549</v>
      </c>
      <c r="J473" s="1" t="s">
        <v>2615</v>
      </c>
      <c r="K473" s="1" t="s">
        <v>1208</v>
      </c>
    </row>
    <row r="474" customFormat="false" ht="13.5" hidden="false" customHeight="false" outlineLevel="0" collapsed="false">
      <c r="A474" s="0" t="s">
        <v>49</v>
      </c>
      <c r="B474" s="0" t="s">
        <v>2244</v>
      </c>
      <c r="C474" s="0" t="n">
        <v>7750</v>
      </c>
      <c r="D474" s="0" t="s">
        <v>752</v>
      </c>
      <c r="E474" s="0" t="s">
        <v>442</v>
      </c>
      <c r="F474" s="233" t="n">
        <v>46143</v>
      </c>
      <c r="G474" s="1" t="s">
        <v>803</v>
      </c>
      <c r="H474" s="0" t="n">
        <v>4045.75</v>
      </c>
      <c r="I474" s="0" t="n">
        <v>48549</v>
      </c>
      <c r="J474" s="1" t="s">
        <v>2615</v>
      </c>
      <c r="K474" s="1" t="s">
        <v>1208</v>
      </c>
    </row>
    <row r="475" customFormat="false" ht="13.5" hidden="false" customHeight="false" outlineLevel="0" collapsed="false">
      <c r="A475" s="0" t="s">
        <v>49</v>
      </c>
      <c r="B475" s="0" t="s">
        <v>2244</v>
      </c>
      <c r="C475" s="0" t="n">
        <v>7750</v>
      </c>
      <c r="D475" s="0" t="s">
        <v>752</v>
      </c>
      <c r="E475" s="0" t="s">
        <v>442</v>
      </c>
      <c r="F475" s="233" t="n">
        <v>46174</v>
      </c>
      <c r="G475" s="1" t="s">
        <v>804</v>
      </c>
      <c r="H475" s="0" t="n">
        <v>4045.75</v>
      </c>
      <c r="I475" s="0" t="n">
        <v>48549</v>
      </c>
      <c r="J475" s="1" t="s">
        <v>2615</v>
      </c>
      <c r="K475" s="1" t="s">
        <v>1208</v>
      </c>
    </row>
    <row r="476" customFormat="false" ht="13.5" hidden="false" customHeight="false" outlineLevel="0" collapsed="false">
      <c r="A476" s="0" t="s">
        <v>49</v>
      </c>
      <c r="B476" s="0" t="s">
        <v>2244</v>
      </c>
      <c r="C476" s="0" t="n">
        <v>7750</v>
      </c>
      <c r="D476" s="0" t="s">
        <v>752</v>
      </c>
      <c r="E476" s="0" t="s">
        <v>442</v>
      </c>
      <c r="F476" s="233" t="n">
        <v>46204</v>
      </c>
      <c r="G476" s="1" t="s">
        <v>805</v>
      </c>
      <c r="H476" s="0" t="n">
        <v>4045.75</v>
      </c>
      <c r="I476" s="0" t="n">
        <v>48549</v>
      </c>
      <c r="J476" s="1" t="s">
        <v>2615</v>
      </c>
      <c r="K476" s="1" t="s">
        <v>1208</v>
      </c>
    </row>
    <row r="477" customFormat="false" ht="13.5" hidden="false" customHeight="false" outlineLevel="0" collapsed="false">
      <c r="A477" s="0" t="s">
        <v>49</v>
      </c>
      <c r="B477" s="0" t="s">
        <v>2244</v>
      </c>
      <c r="C477" s="0" t="n">
        <v>7750</v>
      </c>
      <c r="D477" s="0" t="s">
        <v>752</v>
      </c>
      <c r="E477" s="0" t="s">
        <v>442</v>
      </c>
      <c r="F477" s="233" t="n">
        <v>46235</v>
      </c>
      <c r="G477" s="1" t="s">
        <v>806</v>
      </c>
      <c r="H477" s="0" t="n">
        <v>4045.75</v>
      </c>
      <c r="I477" s="0" t="n">
        <v>48549</v>
      </c>
      <c r="J477" s="1" t="s">
        <v>2615</v>
      </c>
      <c r="K477" s="1" t="s">
        <v>1208</v>
      </c>
    </row>
    <row r="478" customFormat="false" ht="13.5" hidden="false" customHeight="false" outlineLevel="0" collapsed="false">
      <c r="A478" s="0" t="s">
        <v>49</v>
      </c>
      <c r="B478" s="0" t="s">
        <v>2244</v>
      </c>
      <c r="C478" s="0" t="n">
        <v>7750</v>
      </c>
      <c r="D478" s="0" t="s">
        <v>752</v>
      </c>
      <c r="E478" s="0" t="s">
        <v>442</v>
      </c>
      <c r="F478" s="233" t="n">
        <v>46266</v>
      </c>
      <c r="G478" s="1" t="s">
        <v>2616</v>
      </c>
      <c r="H478" s="0" t="n">
        <v>4045.75</v>
      </c>
      <c r="I478" s="0" t="n">
        <v>48549</v>
      </c>
      <c r="J478" s="1" t="s">
        <v>2615</v>
      </c>
      <c r="K478" s="1" t="s">
        <v>1208</v>
      </c>
    </row>
    <row r="479" customFormat="false" ht="13.5" hidden="false" customHeight="false" outlineLevel="0" collapsed="false">
      <c r="A479" s="0" t="s">
        <v>49</v>
      </c>
      <c r="B479" s="0" t="s">
        <v>2244</v>
      </c>
      <c r="C479" s="0" t="n">
        <v>7750</v>
      </c>
      <c r="D479" s="0" t="s">
        <v>752</v>
      </c>
      <c r="E479" s="0" t="s">
        <v>442</v>
      </c>
      <c r="F479" s="233" t="n">
        <v>46296</v>
      </c>
      <c r="G479" s="1" t="s">
        <v>808</v>
      </c>
      <c r="H479" s="0" t="n">
        <v>4045.75</v>
      </c>
      <c r="I479" s="0" t="n">
        <v>48549</v>
      </c>
      <c r="J479" s="1" t="s">
        <v>2615</v>
      </c>
      <c r="K479" s="1" t="s">
        <v>1208</v>
      </c>
    </row>
    <row r="480" customFormat="false" ht="13.5" hidden="false" customHeight="false" outlineLevel="0" collapsed="false">
      <c r="A480" s="0" t="s">
        <v>49</v>
      </c>
      <c r="B480" s="0" t="s">
        <v>2244</v>
      </c>
      <c r="C480" s="0" t="n">
        <v>7750</v>
      </c>
      <c r="D480" s="0" t="s">
        <v>752</v>
      </c>
      <c r="E480" s="0" t="s">
        <v>442</v>
      </c>
      <c r="F480" s="233" t="n">
        <v>46327</v>
      </c>
      <c r="G480" s="1" t="s">
        <v>809</v>
      </c>
      <c r="H480" s="0" t="n">
        <v>4045.75</v>
      </c>
      <c r="I480" s="0" t="n">
        <v>48549</v>
      </c>
      <c r="J480" s="1" t="s">
        <v>2615</v>
      </c>
      <c r="K480" s="1" t="s">
        <v>1208</v>
      </c>
    </row>
    <row r="481" customFormat="false" ht="13.5" hidden="false" customHeight="false" outlineLevel="0" collapsed="false">
      <c r="A481" s="0" t="s">
        <v>49</v>
      </c>
      <c r="B481" s="0" t="s">
        <v>2244</v>
      </c>
      <c r="C481" s="0" t="n">
        <v>7750</v>
      </c>
      <c r="D481" s="0" t="s">
        <v>752</v>
      </c>
      <c r="E481" s="0" t="s">
        <v>442</v>
      </c>
      <c r="F481" s="233" t="n">
        <v>46357</v>
      </c>
      <c r="G481" s="1" t="s">
        <v>810</v>
      </c>
      <c r="H481" s="0" t="n">
        <v>4045.75</v>
      </c>
      <c r="I481" s="0" t="n">
        <v>48549</v>
      </c>
      <c r="J481" s="1" t="s">
        <v>2615</v>
      </c>
      <c r="K481" s="1" t="s">
        <v>1208</v>
      </c>
    </row>
    <row r="482" customFormat="false" ht="13.5" hidden="false" customHeight="false" outlineLevel="0" collapsed="false">
      <c r="A482" s="0" t="s">
        <v>49</v>
      </c>
      <c r="B482" s="0" t="s">
        <v>2244</v>
      </c>
      <c r="C482" s="0" t="n">
        <v>7761</v>
      </c>
      <c r="D482" s="0" t="s">
        <v>1891</v>
      </c>
      <c r="E482" s="0" t="s">
        <v>442</v>
      </c>
      <c r="F482" s="233" t="n">
        <v>46023</v>
      </c>
      <c r="G482" s="1" t="s">
        <v>799</v>
      </c>
      <c r="H482" s="0" t="n">
        <v>4496.155</v>
      </c>
      <c r="I482" s="0" t="n">
        <v>53953.86</v>
      </c>
      <c r="J482" s="1" t="s">
        <v>2615</v>
      </c>
      <c r="K482" s="1" t="s">
        <v>1208</v>
      </c>
    </row>
    <row r="483" customFormat="false" ht="13.5" hidden="false" customHeight="false" outlineLevel="0" collapsed="false">
      <c r="A483" s="0" t="s">
        <v>49</v>
      </c>
      <c r="B483" s="0" t="s">
        <v>2244</v>
      </c>
      <c r="C483" s="0" t="n">
        <v>7761</v>
      </c>
      <c r="D483" s="0" t="s">
        <v>1891</v>
      </c>
      <c r="E483" s="0" t="s">
        <v>442</v>
      </c>
      <c r="F483" s="233" t="n">
        <v>46054</v>
      </c>
      <c r="G483" s="1" t="s">
        <v>800</v>
      </c>
      <c r="H483" s="0" t="n">
        <v>4496.155</v>
      </c>
      <c r="I483" s="0" t="n">
        <v>53953.86</v>
      </c>
      <c r="J483" s="1" t="s">
        <v>2615</v>
      </c>
      <c r="K483" s="1" t="s">
        <v>1208</v>
      </c>
    </row>
    <row r="484" customFormat="false" ht="13.5" hidden="false" customHeight="false" outlineLevel="0" collapsed="false">
      <c r="A484" s="0" t="s">
        <v>49</v>
      </c>
      <c r="B484" s="0" t="s">
        <v>2244</v>
      </c>
      <c r="C484" s="0" t="n">
        <v>7761</v>
      </c>
      <c r="D484" s="0" t="s">
        <v>1891</v>
      </c>
      <c r="E484" s="0" t="s">
        <v>442</v>
      </c>
      <c r="F484" s="233" t="n">
        <v>46082</v>
      </c>
      <c r="G484" s="1" t="s">
        <v>801</v>
      </c>
      <c r="H484" s="0" t="n">
        <v>4496.155</v>
      </c>
      <c r="I484" s="0" t="n">
        <v>53953.86</v>
      </c>
      <c r="J484" s="1" t="s">
        <v>2615</v>
      </c>
      <c r="K484" s="1" t="s">
        <v>1208</v>
      </c>
    </row>
    <row r="485" customFormat="false" ht="13.5" hidden="false" customHeight="false" outlineLevel="0" collapsed="false">
      <c r="A485" s="0" t="s">
        <v>49</v>
      </c>
      <c r="B485" s="0" t="s">
        <v>2244</v>
      </c>
      <c r="C485" s="0" t="n">
        <v>7761</v>
      </c>
      <c r="D485" s="0" t="s">
        <v>1891</v>
      </c>
      <c r="E485" s="0" t="s">
        <v>442</v>
      </c>
      <c r="F485" s="233" t="n">
        <v>46113</v>
      </c>
      <c r="G485" s="1" t="s">
        <v>802</v>
      </c>
      <c r="H485" s="0" t="n">
        <v>4496.155</v>
      </c>
      <c r="I485" s="0" t="n">
        <v>53953.86</v>
      </c>
      <c r="J485" s="1" t="s">
        <v>2615</v>
      </c>
      <c r="K485" s="1" t="s">
        <v>1208</v>
      </c>
    </row>
    <row r="486" customFormat="false" ht="13.5" hidden="false" customHeight="false" outlineLevel="0" collapsed="false">
      <c r="A486" s="0" t="s">
        <v>49</v>
      </c>
      <c r="B486" s="0" t="s">
        <v>2244</v>
      </c>
      <c r="C486" s="0" t="n">
        <v>7761</v>
      </c>
      <c r="D486" s="0" t="s">
        <v>1891</v>
      </c>
      <c r="E486" s="0" t="s">
        <v>442</v>
      </c>
      <c r="F486" s="233" t="n">
        <v>46143</v>
      </c>
      <c r="G486" s="1" t="s">
        <v>803</v>
      </c>
      <c r="H486" s="0" t="n">
        <v>4496.155</v>
      </c>
      <c r="I486" s="0" t="n">
        <v>53953.86</v>
      </c>
      <c r="J486" s="1" t="s">
        <v>2615</v>
      </c>
      <c r="K486" s="1" t="s">
        <v>1208</v>
      </c>
    </row>
    <row r="487" customFormat="false" ht="13.5" hidden="false" customHeight="false" outlineLevel="0" collapsed="false">
      <c r="A487" s="0" t="s">
        <v>49</v>
      </c>
      <c r="B487" s="0" t="s">
        <v>2244</v>
      </c>
      <c r="C487" s="0" t="n">
        <v>7761</v>
      </c>
      <c r="D487" s="0" t="s">
        <v>1891</v>
      </c>
      <c r="E487" s="0" t="s">
        <v>442</v>
      </c>
      <c r="F487" s="233" t="n">
        <v>46174</v>
      </c>
      <c r="G487" s="1" t="s">
        <v>804</v>
      </c>
      <c r="H487" s="0" t="n">
        <v>4496.155</v>
      </c>
      <c r="I487" s="0" t="n">
        <v>53953.86</v>
      </c>
      <c r="J487" s="1" t="s">
        <v>2615</v>
      </c>
      <c r="K487" s="1" t="s">
        <v>1208</v>
      </c>
    </row>
    <row r="488" customFormat="false" ht="13.5" hidden="false" customHeight="false" outlineLevel="0" collapsed="false">
      <c r="A488" s="0" t="s">
        <v>49</v>
      </c>
      <c r="B488" s="0" t="s">
        <v>2244</v>
      </c>
      <c r="C488" s="0" t="n">
        <v>7761</v>
      </c>
      <c r="D488" s="0" t="s">
        <v>1891</v>
      </c>
      <c r="E488" s="0" t="s">
        <v>442</v>
      </c>
      <c r="F488" s="233" t="n">
        <v>46204</v>
      </c>
      <c r="G488" s="1" t="s">
        <v>805</v>
      </c>
      <c r="H488" s="0" t="n">
        <v>4496.155</v>
      </c>
      <c r="I488" s="0" t="n">
        <v>53953.86</v>
      </c>
      <c r="J488" s="1" t="s">
        <v>2615</v>
      </c>
      <c r="K488" s="1" t="s">
        <v>1208</v>
      </c>
    </row>
    <row r="489" customFormat="false" ht="13.5" hidden="false" customHeight="false" outlineLevel="0" collapsed="false">
      <c r="A489" s="0" t="s">
        <v>49</v>
      </c>
      <c r="B489" s="0" t="s">
        <v>2244</v>
      </c>
      <c r="C489" s="0" t="n">
        <v>7761</v>
      </c>
      <c r="D489" s="0" t="s">
        <v>1891</v>
      </c>
      <c r="E489" s="0" t="s">
        <v>442</v>
      </c>
      <c r="F489" s="233" t="n">
        <v>46235</v>
      </c>
      <c r="G489" s="1" t="s">
        <v>806</v>
      </c>
      <c r="H489" s="0" t="n">
        <v>4496.155</v>
      </c>
      <c r="I489" s="0" t="n">
        <v>53953.86</v>
      </c>
      <c r="J489" s="1" t="s">
        <v>2615</v>
      </c>
      <c r="K489" s="1" t="s">
        <v>1208</v>
      </c>
    </row>
    <row r="490" customFormat="false" ht="13.5" hidden="false" customHeight="false" outlineLevel="0" collapsed="false">
      <c r="A490" s="0" t="s">
        <v>49</v>
      </c>
      <c r="B490" s="0" t="s">
        <v>2244</v>
      </c>
      <c r="C490" s="0" t="n">
        <v>7761</v>
      </c>
      <c r="D490" s="0" t="s">
        <v>1891</v>
      </c>
      <c r="E490" s="0" t="s">
        <v>442</v>
      </c>
      <c r="F490" s="233" t="n">
        <v>46266</v>
      </c>
      <c r="G490" s="1" t="s">
        <v>2616</v>
      </c>
      <c r="H490" s="0" t="n">
        <v>4496.155</v>
      </c>
      <c r="I490" s="0" t="n">
        <v>53953.86</v>
      </c>
      <c r="J490" s="1" t="s">
        <v>2615</v>
      </c>
      <c r="K490" s="1" t="s">
        <v>1208</v>
      </c>
    </row>
    <row r="491" customFormat="false" ht="13.5" hidden="false" customHeight="false" outlineLevel="0" collapsed="false">
      <c r="A491" s="0" t="s">
        <v>49</v>
      </c>
      <c r="B491" s="0" t="s">
        <v>2244</v>
      </c>
      <c r="C491" s="0" t="n">
        <v>7761</v>
      </c>
      <c r="D491" s="0" t="s">
        <v>1891</v>
      </c>
      <c r="E491" s="0" t="s">
        <v>442</v>
      </c>
      <c r="F491" s="233" t="n">
        <v>46296</v>
      </c>
      <c r="G491" s="1" t="s">
        <v>808</v>
      </c>
      <c r="H491" s="0" t="n">
        <v>4496.155</v>
      </c>
      <c r="I491" s="0" t="n">
        <v>53953.86</v>
      </c>
      <c r="J491" s="1" t="s">
        <v>2615</v>
      </c>
      <c r="K491" s="1" t="s">
        <v>1208</v>
      </c>
    </row>
    <row r="492" customFormat="false" ht="13.5" hidden="false" customHeight="false" outlineLevel="0" collapsed="false">
      <c r="A492" s="0" t="s">
        <v>49</v>
      </c>
      <c r="B492" s="0" t="s">
        <v>2244</v>
      </c>
      <c r="C492" s="0" t="n">
        <v>7761</v>
      </c>
      <c r="D492" s="0" t="s">
        <v>1891</v>
      </c>
      <c r="E492" s="0" t="s">
        <v>442</v>
      </c>
      <c r="F492" s="233" t="n">
        <v>46327</v>
      </c>
      <c r="G492" s="1" t="s">
        <v>809</v>
      </c>
      <c r="H492" s="0" t="n">
        <v>4496.155</v>
      </c>
      <c r="I492" s="0" t="n">
        <v>53953.86</v>
      </c>
      <c r="J492" s="1" t="s">
        <v>2615</v>
      </c>
      <c r="K492" s="1" t="s">
        <v>1208</v>
      </c>
    </row>
    <row r="493" customFormat="false" ht="13.5" hidden="false" customHeight="false" outlineLevel="0" collapsed="false">
      <c r="A493" s="0" t="s">
        <v>49</v>
      </c>
      <c r="B493" s="0" t="s">
        <v>2244</v>
      </c>
      <c r="C493" s="0" t="n">
        <v>7761</v>
      </c>
      <c r="D493" s="0" t="s">
        <v>1891</v>
      </c>
      <c r="E493" s="0" t="s">
        <v>442</v>
      </c>
      <c r="F493" s="233" t="n">
        <v>46357</v>
      </c>
      <c r="G493" s="1" t="s">
        <v>810</v>
      </c>
      <c r="H493" s="0" t="n">
        <v>4496.155</v>
      </c>
      <c r="I493" s="0" t="n">
        <v>53953.86</v>
      </c>
      <c r="J493" s="1" t="s">
        <v>2615</v>
      </c>
      <c r="K493" s="1" t="s">
        <v>1208</v>
      </c>
    </row>
    <row r="494" customFormat="false" ht="13.5" hidden="false" customHeight="false" outlineLevel="0" collapsed="false">
      <c r="A494" s="0" t="s">
        <v>49</v>
      </c>
      <c r="B494" s="0" t="s">
        <v>2244</v>
      </c>
      <c r="C494" s="0" t="n">
        <v>7800</v>
      </c>
      <c r="D494" s="0" t="s">
        <v>756</v>
      </c>
      <c r="E494" s="0" t="s">
        <v>443</v>
      </c>
      <c r="F494" s="233" t="n">
        <v>46023</v>
      </c>
      <c r="G494" s="1" t="s">
        <v>799</v>
      </c>
      <c r="H494" s="0" t="n">
        <v>5291.66666666667</v>
      </c>
      <c r="I494" s="0" t="n">
        <v>63500</v>
      </c>
      <c r="J494" s="1" t="s">
        <v>2615</v>
      </c>
      <c r="K494" s="1" t="s">
        <v>1208</v>
      </c>
    </row>
    <row r="495" customFormat="false" ht="13.5" hidden="false" customHeight="false" outlineLevel="0" collapsed="false">
      <c r="A495" s="0" t="s">
        <v>49</v>
      </c>
      <c r="B495" s="0" t="s">
        <v>2244</v>
      </c>
      <c r="C495" s="0" t="n">
        <v>7800</v>
      </c>
      <c r="D495" s="0" t="s">
        <v>756</v>
      </c>
      <c r="E495" s="0" t="s">
        <v>443</v>
      </c>
      <c r="F495" s="233" t="n">
        <v>46054</v>
      </c>
      <c r="G495" s="1" t="s">
        <v>800</v>
      </c>
      <c r="H495" s="0" t="n">
        <v>5291.66666666667</v>
      </c>
      <c r="I495" s="0" t="n">
        <v>63500</v>
      </c>
      <c r="J495" s="1" t="s">
        <v>2615</v>
      </c>
      <c r="K495" s="1" t="s">
        <v>1208</v>
      </c>
    </row>
    <row r="496" customFormat="false" ht="13.5" hidden="false" customHeight="false" outlineLevel="0" collapsed="false">
      <c r="A496" s="0" t="s">
        <v>49</v>
      </c>
      <c r="B496" s="0" t="s">
        <v>2244</v>
      </c>
      <c r="C496" s="0" t="n">
        <v>7800</v>
      </c>
      <c r="D496" s="0" t="s">
        <v>756</v>
      </c>
      <c r="E496" s="0" t="s">
        <v>443</v>
      </c>
      <c r="F496" s="233" t="n">
        <v>46082</v>
      </c>
      <c r="G496" s="1" t="s">
        <v>801</v>
      </c>
      <c r="H496" s="0" t="n">
        <v>5291.66666666667</v>
      </c>
      <c r="I496" s="0" t="n">
        <v>63500</v>
      </c>
      <c r="J496" s="1" t="s">
        <v>2615</v>
      </c>
      <c r="K496" s="1" t="s">
        <v>1208</v>
      </c>
    </row>
    <row r="497" customFormat="false" ht="13.5" hidden="false" customHeight="false" outlineLevel="0" collapsed="false">
      <c r="A497" s="0" t="s">
        <v>49</v>
      </c>
      <c r="B497" s="0" t="s">
        <v>2244</v>
      </c>
      <c r="C497" s="0" t="n">
        <v>7800</v>
      </c>
      <c r="D497" s="0" t="s">
        <v>756</v>
      </c>
      <c r="E497" s="0" t="s">
        <v>443</v>
      </c>
      <c r="F497" s="233" t="n">
        <v>46113</v>
      </c>
      <c r="G497" s="1" t="s">
        <v>802</v>
      </c>
      <c r="H497" s="0" t="n">
        <v>5291.66666666667</v>
      </c>
      <c r="I497" s="0" t="n">
        <v>63500</v>
      </c>
      <c r="J497" s="1" t="s">
        <v>2615</v>
      </c>
      <c r="K497" s="1" t="s">
        <v>1208</v>
      </c>
    </row>
    <row r="498" customFormat="false" ht="13.5" hidden="false" customHeight="false" outlineLevel="0" collapsed="false">
      <c r="A498" s="0" t="s">
        <v>49</v>
      </c>
      <c r="B498" s="0" t="s">
        <v>2244</v>
      </c>
      <c r="C498" s="0" t="n">
        <v>7800</v>
      </c>
      <c r="D498" s="0" t="s">
        <v>756</v>
      </c>
      <c r="E498" s="0" t="s">
        <v>443</v>
      </c>
      <c r="F498" s="233" t="n">
        <v>46143</v>
      </c>
      <c r="G498" s="1" t="s">
        <v>803</v>
      </c>
      <c r="H498" s="0" t="n">
        <v>5291.66666666667</v>
      </c>
      <c r="I498" s="0" t="n">
        <v>63500</v>
      </c>
      <c r="J498" s="1" t="s">
        <v>2615</v>
      </c>
      <c r="K498" s="1" t="s">
        <v>1208</v>
      </c>
    </row>
    <row r="499" customFormat="false" ht="13.5" hidden="false" customHeight="false" outlineLevel="0" collapsed="false">
      <c r="A499" s="0" t="s">
        <v>49</v>
      </c>
      <c r="B499" s="0" t="s">
        <v>2244</v>
      </c>
      <c r="C499" s="0" t="n">
        <v>7800</v>
      </c>
      <c r="D499" s="0" t="s">
        <v>756</v>
      </c>
      <c r="E499" s="0" t="s">
        <v>443</v>
      </c>
      <c r="F499" s="233" t="n">
        <v>46174</v>
      </c>
      <c r="G499" s="1" t="s">
        <v>804</v>
      </c>
      <c r="H499" s="0" t="n">
        <v>5291.66666666667</v>
      </c>
      <c r="I499" s="0" t="n">
        <v>63500</v>
      </c>
      <c r="J499" s="1" t="s">
        <v>2615</v>
      </c>
      <c r="K499" s="1" t="s">
        <v>1208</v>
      </c>
    </row>
    <row r="500" customFormat="false" ht="13.5" hidden="false" customHeight="false" outlineLevel="0" collapsed="false">
      <c r="A500" s="0" t="s">
        <v>49</v>
      </c>
      <c r="B500" s="0" t="s">
        <v>2244</v>
      </c>
      <c r="C500" s="0" t="n">
        <v>7800</v>
      </c>
      <c r="D500" s="0" t="s">
        <v>756</v>
      </c>
      <c r="E500" s="0" t="s">
        <v>443</v>
      </c>
      <c r="F500" s="233" t="n">
        <v>46204</v>
      </c>
      <c r="G500" s="1" t="s">
        <v>805</v>
      </c>
      <c r="H500" s="0" t="n">
        <v>5291.66666666667</v>
      </c>
      <c r="I500" s="0" t="n">
        <v>63500</v>
      </c>
      <c r="J500" s="1" t="s">
        <v>2615</v>
      </c>
      <c r="K500" s="1" t="s">
        <v>1208</v>
      </c>
    </row>
    <row r="501" customFormat="false" ht="13.5" hidden="false" customHeight="false" outlineLevel="0" collapsed="false">
      <c r="A501" s="0" t="s">
        <v>49</v>
      </c>
      <c r="B501" s="0" t="s">
        <v>2244</v>
      </c>
      <c r="C501" s="0" t="n">
        <v>7800</v>
      </c>
      <c r="D501" s="0" t="s">
        <v>756</v>
      </c>
      <c r="E501" s="0" t="s">
        <v>443</v>
      </c>
      <c r="F501" s="233" t="n">
        <v>46235</v>
      </c>
      <c r="G501" s="1" t="s">
        <v>806</v>
      </c>
      <c r="H501" s="0" t="n">
        <v>5291.66666666667</v>
      </c>
      <c r="I501" s="0" t="n">
        <v>63500</v>
      </c>
      <c r="J501" s="1" t="s">
        <v>2615</v>
      </c>
      <c r="K501" s="1" t="s">
        <v>1208</v>
      </c>
    </row>
    <row r="502" customFormat="false" ht="13.5" hidden="false" customHeight="false" outlineLevel="0" collapsed="false">
      <c r="A502" s="0" t="s">
        <v>49</v>
      </c>
      <c r="B502" s="0" t="s">
        <v>2244</v>
      </c>
      <c r="C502" s="0" t="n">
        <v>7800</v>
      </c>
      <c r="D502" s="0" t="s">
        <v>756</v>
      </c>
      <c r="E502" s="0" t="s">
        <v>443</v>
      </c>
      <c r="F502" s="233" t="n">
        <v>46266</v>
      </c>
      <c r="G502" s="1" t="s">
        <v>2616</v>
      </c>
      <c r="H502" s="0" t="n">
        <v>5291.66666666667</v>
      </c>
      <c r="I502" s="0" t="n">
        <v>63500</v>
      </c>
      <c r="J502" s="1" t="s">
        <v>2615</v>
      </c>
      <c r="K502" s="1" t="s">
        <v>1208</v>
      </c>
    </row>
    <row r="503" customFormat="false" ht="13.5" hidden="false" customHeight="false" outlineLevel="0" collapsed="false">
      <c r="A503" s="0" t="s">
        <v>49</v>
      </c>
      <c r="B503" s="0" t="s">
        <v>2244</v>
      </c>
      <c r="C503" s="0" t="n">
        <v>7800</v>
      </c>
      <c r="D503" s="0" t="s">
        <v>756</v>
      </c>
      <c r="E503" s="0" t="s">
        <v>443</v>
      </c>
      <c r="F503" s="233" t="n">
        <v>46296</v>
      </c>
      <c r="G503" s="1" t="s">
        <v>808</v>
      </c>
      <c r="H503" s="0" t="n">
        <v>5291.66666666667</v>
      </c>
      <c r="I503" s="0" t="n">
        <v>63500</v>
      </c>
      <c r="J503" s="1" t="s">
        <v>2615</v>
      </c>
      <c r="K503" s="1" t="s">
        <v>1208</v>
      </c>
    </row>
    <row r="504" customFormat="false" ht="13.5" hidden="false" customHeight="false" outlineLevel="0" collapsed="false">
      <c r="A504" s="0" t="s">
        <v>49</v>
      </c>
      <c r="B504" s="0" t="s">
        <v>2244</v>
      </c>
      <c r="C504" s="0" t="n">
        <v>7800</v>
      </c>
      <c r="D504" s="0" t="s">
        <v>756</v>
      </c>
      <c r="E504" s="0" t="s">
        <v>443</v>
      </c>
      <c r="F504" s="233" t="n">
        <v>46327</v>
      </c>
      <c r="G504" s="1" t="s">
        <v>809</v>
      </c>
      <c r="H504" s="0" t="n">
        <v>5291.66666666667</v>
      </c>
      <c r="I504" s="0" t="n">
        <v>63500</v>
      </c>
      <c r="J504" s="1" t="s">
        <v>2615</v>
      </c>
      <c r="K504" s="1" t="s">
        <v>1208</v>
      </c>
    </row>
    <row r="505" customFormat="false" ht="13.5" hidden="false" customHeight="false" outlineLevel="0" collapsed="false">
      <c r="A505" s="0" t="s">
        <v>49</v>
      </c>
      <c r="B505" s="0" t="s">
        <v>2244</v>
      </c>
      <c r="C505" s="0" t="n">
        <v>7800</v>
      </c>
      <c r="D505" s="0" t="s">
        <v>756</v>
      </c>
      <c r="E505" s="0" t="s">
        <v>443</v>
      </c>
      <c r="F505" s="233" t="n">
        <v>46357</v>
      </c>
      <c r="G505" s="1" t="s">
        <v>810</v>
      </c>
      <c r="H505" s="0" t="n">
        <v>5291.66666666667</v>
      </c>
      <c r="I505" s="0" t="n">
        <v>63500</v>
      </c>
      <c r="J505" s="1" t="s">
        <v>2615</v>
      </c>
      <c r="K505" s="1" t="s">
        <v>1208</v>
      </c>
    </row>
    <row r="506" customFormat="false" ht="13.5" hidden="false" customHeight="false" outlineLevel="0" collapsed="false">
      <c r="A506" s="0" t="s">
        <v>49</v>
      </c>
      <c r="B506" s="0" t="s">
        <v>2244</v>
      </c>
      <c r="C506" s="0" t="n">
        <v>7810</v>
      </c>
      <c r="D506" s="0" t="s">
        <v>758</v>
      </c>
      <c r="E506" s="0" t="s">
        <v>443</v>
      </c>
      <c r="F506" s="233" t="n">
        <v>46023</v>
      </c>
      <c r="G506" s="1" t="s">
        <v>799</v>
      </c>
      <c r="H506" s="0" t="n">
        <v>4278.69</v>
      </c>
      <c r="I506" s="0" t="n">
        <v>51344.28</v>
      </c>
      <c r="J506" s="1" t="s">
        <v>2615</v>
      </c>
      <c r="K506" s="1" t="s">
        <v>1208</v>
      </c>
    </row>
    <row r="507" customFormat="false" ht="13.5" hidden="false" customHeight="false" outlineLevel="0" collapsed="false">
      <c r="A507" s="0" t="s">
        <v>49</v>
      </c>
      <c r="B507" s="0" t="s">
        <v>2244</v>
      </c>
      <c r="C507" s="0" t="n">
        <v>7810</v>
      </c>
      <c r="D507" s="0" t="s">
        <v>758</v>
      </c>
      <c r="E507" s="0" t="s">
        <v>443</v>
      </c>
      <c r="F507" s="233" t="n">
        <v>46054</v>
      </c>
      <c r="G507" s="1" t="s">
        <v>800</v>
      </c>
      <c r="H507" s="0" t="n">
        <v>4278.69</v>
      </c>
      <c r="I507" s="0" t="n">
        <v>51344.28</v>
      </c>
      <c r="J507" s="1" t="s">
        <v>2615</v>
      </c>
      <c r="K507" s="1" t="s">
        <v>1208</v>
      </c>
    </row>
    <row r="508" customFormat="false" ht="13.5" hidden="false" customHeight="false" outlineLevel="0" collapsed="false">
      <c r="A508" s="0" t="s">
        <v>49</v>
      </c>
      <c r="B508" s="0" t="s">
        <v>2244</v>
      </c>
      <c r="C508" s="0" t="n">
        <v>7810</v>
      </c>
      <c r="D508" s="0" t="s">
        <v>758</v>
      </c>
      <c r="E508" s="0" t="s">
        <v>443</v>
      </c>
      <c r="F508" s="233" t="n">
        <v>46082</v>
      </c>
      <c r="G508" s="1" t="s">
        <v>801</v>
      </c>
      <c r="H508" s="0" t="n">
        <v>4278.69</v>
      </c>
      <c r="I508" s="0" t="n">
        <v>51344.28</v>
      </c>
      <c r="J508" s="1" t="s">
        <v>2615</v>
      </c>
      <c r="K508" s="1" t="s">
        <v>1208</v>
      </c>
    </row>
    <row r="509" customFormat="false" ht="13.5" hidden="false" customHeight="false" outlineLevel="0" collapsed="false">
      <c r="A509" s="0" t="s">
        <v>49</v>
      </c>
      <c r="B509" s="0" t="s">
        <v>2244</v>
      </c>
      <c r="C509" s="0" t="n">
        <v>7810</v>
      </c>
      <c r="D509" s="0" t="s">
        <v>758</v>
      </c>
      <c r="E509" s="0" t="s">
        <v>443</v>
      </c>
      <c r="F509" s="233" t="n">
        <v>46113</v>
      </c>
      <c r="G509" s="1" t="s">
        <v>802</v>
      </c>
      <c r="H509" s="0" t="n">
        <v>4278.69</v>
      </c>
      <c r="I509" s="0" t="n">
        <v>51344.28</v>
      </c>
      <c r="J509" s="1" t="s">
        <v>2615</v>
      </c>
      <c r="K509" s="1" t="s">
        <v>1208</v>
      </c>
    </row>
    <row r="510" customFormat="false" ht="13.5" hidden="false" customHeight="false" outlineLevel="0" collapsed="false">
      <c r="A510" s="0" t="s">
        <v>49</v>
      </c>
      <c r="B510" s="0" t="s">
        <v>2244</v>
      </c>
      <c r="C510" s="0" t="n">
        <v>7810</v>
      </c>
      <c r="D510" s="0" t="s">
        <v>758</v>
      </c>
      <c r="E510" s="0" t="s">
        <v>443</v>
      </c>
      <c r="F510" s="233" t="n">
        <v>46143</v>
      </c>
      <c r="G510" s="1" t="s">
        <v>803</v>
      </c>
      <c r="H510" s="0" t="n">
        <v>4278.69</v>
      </c>
      <c r="I510" s="0" t="n">
        <v>51344.28</v>
      </c>
      <c r="J510" s="1" t="s">
        <v>2615</v>
      </c>
      <c r="K510" s="1" t="s">
        <v>1208</v>
      </c>
    </row>
    <row r="511" customFormat="false" ht="13.5" hidden="false" customHeight="false" outlineLevel="0" collapsed="false">
      <c r="A511" s="0" t="s">
        <v>49</v>
      </c>
      <c r="B511" s="0" t="s">
        <v>2244</v>
      </c>
      <c r="C511" s="0" t="n">
        <v>7810</v>
      </c>
      <c r="D511" s="0" t="s">
        <v>758</v>
      </c>
      <c r="E511" s="0" t="s">
        <v>443</v>
      </c>
      <c r="F511" s="233" t="n">
        <v>46174</v>
      </c>
      <c r="G511" s="1" t="s">
        <v>804</v>
      </c>
      <c r="H511" s="0" t="n">
        <v>4278.69</v>
      </c>
      <c r="I511" s="0" t="n">
        <v>51344.28</v>
      </c>
      <c r="J511" s="1" t="s">
        <v>2615</v>
      </c>
      <c r="K511" s="1" t="s">
        <v>1208</v>
      </c>
    </row>
    <row r="512" customFormat="false" ht="13.5" hidden="false" customHeight="false" outlineLevel="0" collapsed="false">
      <c r="A512" s="0" t="s">
        <v>49</v>
      </c>
      <c r="B512" s="0" t="s">
        <v>2244</v>
      </c>
      <c r="C512" s="0" t="n">
        <v>7810</v>
      </c>
      <c r="D512" s="0" t="s">
        <v>758</v>
      </c>
      <c r="E512" s="0" t="s">
        <v>443</v>
      </c>
      <c r="F512" s="233" t="n">
        <v>46204</v>
      </c>
      <c r="G512" s="1" t="s">
        <v>805</v>
      </c>
      <c r="H512" s="0" t="n">
        <v>4278.69</v>
      </c>
      <c r="I512" s="0" t="n">
        <v>51344.28</v>
      </c>
      <c r="J512" s="1" t="s">
        <v>2615</v>
      </c>
      <c r="K512" s="1" t="s">
        <v>1208</v>
      </c>
    </row>
    <row r="513" customFormat="false" ht="13.5" hidden="false" customHeight="false" outlineLevel="0" collapsed="false">
      <c r="A513" s="0" t="s">
        <v>49</v>
      </c>
      <c r="B513" s="0" t="s">
        <v>2244</v>
      </c>
      <c r="C513" s="0" t="n">
        <v>7810</v>
      </c>
      <c r="D513" s="0" t="s">
        <v>758</v>
      </c>
      <c r="E513" s="0" t="s">
        <v>443</v>
      </c>
      <c r="F513" s="233" t="n">
        <v>46235</v>
      </c>
      <c r="G513" s="1" t="s">
        <v>806</v>
      </c>
      <c r="H513" s="0" t="n">
        <v>4278.69</v>
      </c>
      <c r="I513" s="0" t="n">
        <v>51344.28</v>
      </c>
      <c r="J513" s="1" t="s">
        <v>2615</v>
      </c>
      <c r="K513" s="1" t="s">
        <v>1208</v>
      </c>
    </row>
    <row r="514" customFormat="false" ht="13.5" hidden="false" customHeight="false" outlineLevel="0" collapsed="false">
      <c r="A514" s="0" t="s">
        <v>49</v>
      </c>
      <c r="B514" s="0" t="s">
        <v>2244</v>
      </c>
      <c r="C514" s="0" t="n">
        <v>7810</v>
      </c>
      <c r="D514" s="0" t="s">
        <v>758</v>
      </c>
      <c r="E514" s="0" t="s">
        <v>443</v>
      </c>
      <c r="F514" s="233" t="n">
        <v>46266</v>
      </c>
      <c r="G514" s="1" t="s">
        <v>2616</v>
      </c>
      <c r="H514" s="0" t="n">
        <v>4278.69</v>
      </c>
      <c r="I514" s="0" t="n">
        <v>51344.28</v>
      </c>
      <c r="J514" s="1" t="s">
        <v>2615</v>
      </c>
      <c r="K514" s="1" t="s">
        <v>1208</v>
      </c>
    </row>
    <row r="515" customFormat="false" ht="13.5" hidden="false" customHeight="false" outlineLevel="0" collapsed="false">
      <c r="A515" s="0" t="s">
        <v>49</v>
      </c>
      <c r="B515" s="0" t="s">
        <v>2244</v>
      </c>
      <c r="C515" s="0" t="n">
        <v>7810</v>
      </c>
      <c r="D515" s="0" t="s">
        <v>758</v>
      </c>
      <c r="E515" s="0" t="s">
        <v>443</v>
      </c>
      <c r="F515" s="233" t="n">
        <v>46296</v>
      </c>
      <c r="G515" s="1" t="s">
        <v>808</v>
      </c>
      <c r="H515" s="0" t="n">
        <v>4278.69</v>
      </c>
      <c r="I515" s="0" t="n">
        <v>51344.28</v>
      </c>
      <c r="J515" s="1" t="s">
        <v>2615</v>
      </c>
      <c r="K515" s="1" t="s">
        <v>1208</v>
      </c>
    </row>
    <row r="516" customFormat="false" ht="13.5" hidden="false" customHeight="false" outlineLevel="0" collapsed="false">
      <c r="A516" s="0" t="s">
        <v>49</v>
      </c>
      <c r="B516" s="0" t="s">
        <v>2244</v>
      </c>
      <c r="C516" s="0" t="n">
        <v>7810</v>
      </c>
      <c r="D516" s="0" t="s">
        <v>758</v>
      </c>
      <c r="E516" s="0" t="s">
        <v>443</v>
      </c>
      <c r="F516" s="233" t="n">
        <v>46327</v>
      </c>
      <c r="G516" s="1" t="s">
        <v>809</v>
      </c>
      <c r="H516" s="0" t="n">
        <v>4278.69</v>
      </c>
      <c r="I516" s="0" t="n">
        <v>51344.28</v>
      </c>
      <c r="J516" s="1" t="s">
        <v>2615</v>
      </c>
      <c r="K516" s="1" t="s">
        <v>1208</v>
      </c>
    </row>
    <row r="517" customFormat="false" ht="13.5" hidden="false" customHeight="false" outlineLevel="0" collapsed="false">
      <c r="A517" s="0" t="s">
        <v>49</v>
      </c>
      <c r="B517" s="0" t="s">
        <v>2244</v>
      </c>
      <c r="C517" s="0" t="n">
        <v>7810</v>
      </c>
      <c r="D517" s="0" t="s">
        <v>758</v>
      </c>
      <c r="E517" s="0" t="s">
        <v>443</v>
      </c>
      <c r="F517" s="233" t="n">
        <v>46357</v>
      </c>
      <c r="G517" s="1" t="s">
        <v>810</v>
      </c>
      <c r="H517" s="0" t="n">
        <v>4278.69</v>
      </c>
      <c r="I517" s="0" t="n">
        <v>51344.28</v>
      </c>
      <c r="J517" s="1" t="s">
        <v>2615</v>
      </c>
      <c r="K517" s="1" t="s">
        <v>1208</v>
      </c>
    </row>
    <row r="518" customFormat="false" ht="13.5" hidden="false" customHeight="false" outlineLevel="0" collapsed="false">
      <c r="A518" s="0" t="s">
        <v>49</v>
      </c>
      <c r="B518" s="0" t="s">
        <v>2244</v>
      </c>
      <c r="C518" s="0" t="n">
        <v>7820</v>
      </c>
      <c r="D518" s="0" t="s">
        <v>760</v>
      </c>
      <c r="E518" s="0" t="s">
        <v>443</v>
      </c>
      <c r="F518" s="233" t="n">
        <v>46023</v>
      </c>
      <c r="G518" s="1" t="s">
        <v>799</v>
      </c>
      <c r="H518" s="0" t="n">
        <v>3941.66666666667</v>
      </c>
      <c r="I518" s="0" t="n">
        <v>47300</v>
      </c>
      <c r="J518" s="1" t="s">
        <v>2615</v>
      </c>
      <c r="K518" s="1" t="s">
        <v>1208</v>
      </c>
    </row>
    <row r="519" customFormat="false" ht="13.5" hidden="false" customHeight="false" outlineLevel="0" collapsed="false">
      <c r="A519" s="0" t="s">
        <v>49</v>
      </c>
      <c r="B519" s="0" t="s">
        <v>2244</v>
      </c>
      <c r="C519" s="0" t="n">
        <v>7820</v>
      </c>
      <c r="D519" s="0" t="s">
        <v>760</v>
      </c>
      <c r="E519" s="0" t="s">
        <v>443</v>
      </c>
      <c r="F519" s="233" t="n">
        <v>46054</v>
      </c>
      <c r="G519" s="1" t="s">
        <v>800</v>
      </c>
      <c r="H519" s="0" t="n">
        <v>3941.66666666667</v>
      </c>
      <c r="I519" s="0" t="n">
        <v>47300</v>
      </c>
      <c r="J519" s="1" t="s">
        <v>2615</v>
      </c>
      <c r="K519" s="1" t="s">
        <v>1208</v>
      </c>
    </row>
    <row r="520" customFormat="false" ht="13.5" hidden="false" customHeight="false" outlineLevel="0" collapsed="false">
      <c r="A520" s="0" t="s">
        <v>49</v>
      </c>
      <c r="B520" s="0" t="s">
        <v>2244</v>
      </c>
      <c r="C520" s="0" t="n">
        <v>7820</v>
      </c>
      <c r="D520" s="0" t="s">
        <v>760</v>
      </c>
      <c r="E520" s="0" t="s">
        <v>443</v>
      </c>
      <c r="F520" s="233" t="n">
        <v>46082</v>
      </c>
      <c r="G520" s="1" t="s">
        <v>801</v>
      </c>
      <c r="H520" s="0" t="n">
        <v>3941.66666666667</v>
      </c>
      <c r="I520" s="0" t="n">
        <v>47300</v>
      </c>
      <c r="J520" s="1" t="s">
        <v>2615</v>
      </c>
      <c r="K520" s="1" t="s">
        <v>1208</v>
      </c>
    </row>
    <row r="521" customFormat="false" ht="13.5" hidden="false" customHeight="false" outlineLevel="0" collapsed="false">
      <c r="A521" s="0" t="s">
        <v>49</v>
      </c>
      <c r="B521" s="0" t="s">
        <v>2244</v>
      </c>
      <c r="C521" s="0" t="n">
        <v>7820</v>
      </c>
      <c r="D521" s="0" t="s">
        <v>760</v>
      </c>
      <c r="E521" s="0" t="s">
        <v>443</v>
      </c>
      <c r="F521" s="233" t="n">
        <v>46113</v>
      </c>
      <c r="G521" s="1" t="s">
        <v>802</v>
      </c>
      <c r="H521" s="0" t="n">
        <v>3941.66666666667</v>
      </c>
      <c r="I521" s="0" t="n">
        <v>47300</v>
      </c>
      <c r="J521" s="1" t="s">
        <v>2615</v>
      </c>
      <c r="K521" s="1" t="s">
        <v>1208</v>
      </c>
    </row>
    <row r="522" customFormat="false" ht="13.5" hidden="false" customHeight="false" outlineLevel="0" collapsed="false">
      <c r="A522" s="0" t="s">
        <v>49</v>
      </c>
      <c r="B522" s="0" t="s">
        <v>2244</v>
      </c>
      <c r="C522" s="0" t="n">
        <v>7820</v>
      </c>
      <c r="D522" s="0" t="s">
        <v>760</v>
      </c>
      <c r="E522" s="0" t="s">
        <v>443</v>
      </c>
      <c r="F522" s="233" t="n">
        <v>46143</v>
      </c>
      <c r="G522" s="1" t="s">
        <v>803</v>
      </c>
      <c r="H522" s="0" t="n">
        <v>3941.66666666667</v>
      </c>
      <c r="I522" s="0" t="n">
        <v>47300</v>
      </c>
      <c r="J522" s="1" t="s">
        <v>2615</v>
      </c>
      <c r="K522" s="1" t="s">
        <v>1208</v>
      </c>
    </row>
    <row r="523" customFormat="false" ht="13.5" hidden="false" customHeight="false" outlineLevel="0" collapsed="false">
      <c r="A523" s="0" t="s">
        <v>49</v>
      </c>
      <c r="B523" s="0" t="s">
        <v>2244</v>
      </c>
      <c r="C523" s="0" t="n">
        <v>7820</v>
      </c>
      <c r="D523" s="0" t="s">
        <v>760</v>
      </c>
      <c r="E523" s="0" t="s">
        <v>443</v>
      </c>
      <c r="F523" s="233" t="n">
        <v>46174</v>
      </c>
      <c r="G523" s="1" t="s">
        <v>804</v>
      </c>
      <c r="H523" s="0" t="n">
        <v>3941.66666666667</v>
      </c>
      <c r="I523" s="0" t="n">
        <v>47300</v>
      </c>
      <c r="J523" s="1" t="s">
        <v>2615</v>
      </c>
      <c r="K523" s="1" t="s">
        <v>1208</v>
      </c>
    </row>
    <row r="524" customFormat="false" ht="13.5" hidden="false" customHeight="false" outlineLevel="0" collapsed="false">
      <c r="A524" s="0" t="s">
        <v>49</v>
      </c>
      <c r="B524" s="0" t="s">
        <v>2244</v>
      </c>
      <c r="C524" s="0" t="n">
        <v>7820</v>
      </c>
      <c r="D524" s="0" t="s">
        <v>760</v>
      </c>
      <c r="E524" s="0" t="s">
        <v>443</v>
      </c>
      <c r="F524" s="233" t="n">
        <v>46204</v>
      </c>
      <c r="G524" s="1" t="s">
        <v>805</v>
      </c>
      <c r="H524" s="0" t="n">
        <v>3941.66666666667</v>
      </c>
      <c r="I524" s="0" t="n">
        <v>47300</v>
      </c>
      <c r="J524" s="1" t="s">
        <v>2615</v>
      </c>
      <c r="K524" s="1" t="s">
        <v>1208</v>
      </c>
    </row>
    <row r="525" customFormat="false" ht="13.5" hidden="false" customHeight="false" outlineLevel="0" collapsed="false">
      <c r="A525" s="0" t="s">
        <v>49</v>
      </c>
      <c r="B525" s="0" t="s">
        <v>2244</v>
      </c>
      <c r="C525" s="0" t="n">
        <v>7820</v>
      </c>
      <c r="D525" s="0" t="s">
        <v>760</v>
      </c>
      <c r="E525" s="0" t="s">
        <v>443</v>
      </c>
      <c r="F525" s="233" t="n">
        <v>46235</v>
      </c>
      <c r="G525" s="1" t="s">
        <v>806</v>
      </c>
      <c r="H525" s="0" t="n">
        <v>3941.66666666667</v>
      </c>
      <c r="I525" s="0" t="n">
        <v>47300</v>
      </c>
      <c r="J525" s="1" t="s">
        <v>2615</v>
      </c>
      <c r="K525" s="1" t="s">
        <v>1208</v>
      </c>
    </row>
    <row r="526" customFormat="false" ht="13.5" hidden="false" customHeight="false" outlineLevel="0" collapsed="false">
      <c r="A526" s="0" t="s">
        <v>49</v>
      </c>
      <c r="B526" s="0" t="s">
        <v>2244</v>
      </c>
      <c r="C526" s="0" t="n">
        <v>7820</v>
      </c>
      <c r="D526" s="0" t="s">
        <v>760</v>
      </c>
      <c r="E526" s="0" t="s">
        <v>443</v>
      </c>
      <c r="F526" s="233" t="n">
        <v>46266</v>
      </c>
      <c r="G526" s="1" t="s">
        <v>2616</v>
      </c>
      <c r="H526" s="0" t="n">
        <v>3941.66666666667</v>
      </c>
      <c r="I526" s="0" t="n">
        <v>47300</v>
      </c>
      <c r="J526" s="1" t="s">
        <v>2615</v>
      </c>
      <c r="K526" s="1" t="s">
        <v>1208</v>
      </c>
    </row>
    <row r="527" customFormat="false" ht="13.5" hidden="false" customHeight="false" outlineLevel="0" collapsed="false">
      <c r="A527" s="0" t="s">
        <v>49</v>
      </c>
      <c r="B527" s="0" t="s">
        <v>2244</v>
      </c>
      <c r="C527" s="0" t="n">
        <v>7820</v>
      </c>
      <c r="D527" s="0" t="s">
        <v>760</v>
      </c>
      <c r="E527" s="0" t="s">
        <v>443</v>
      </c>
      <c r="F527" s="233" t="n">
        <v>46296</v>
      </c>
      <c r="G527" s="1" t="s">
        <v>808</v>
      </c>
      <c r="H527" s="0" t="n">
        <v>3941.66666666667</v>
      </c>
      <c r="I527" s="0" t="n">
        <v>47300</v>
      </c>
      <c r="J527" s="1" t="s">
        <v>2615</v>
      </c>
      <c r="K527" s="1" t="s">
        <v>1208</v>
      </c>
    </row>
    <row r="528" customFormat="false" ht="13.5" hidden="false" customHeight="false" outlineLevel="0" collapsed="false">
      <c r="A528" s="0" t="s">
        <v>49</v>
      </c>
      <c r="B528" s="0" t="s">
        <v>2244</v>
      </c>
      <c r="C528" s="0" t="n">
        <v>7820</v>
      </c>
      <c r="D528" s="0" t="s">
        <v>760</v>
      </c>
      <c r="E528" s="0" t="s">
        <v>443</v>
      </c>
      <c r="F528" s="233" t="n">
        <v>46327</v>
      </c>
      <c r="G528" s="1" t="s">
        <v>809</v>
      </c>
      <c r="H528" s="0" t="n">
        <v>3941.66666666667</v>
      </c>
      <c r="I528" s="0" t="n">
        <v>47300</v>
      </c>
      <c r="J528" s="1" t="s">
        <v>2615</v>
      </c>
      <c r="K528" s="1" t="s">
        <v>1208</v>
      </c>
    </row>
    <row r="529" customFormat="false" ht="13.5" hidden="false" customHeight="false" outlineLevel="0" collapsed="false">
      <c r="A529" s="0" t="s">
        <v>49</v>
      </c>
      <c r="B529" s="0" t="s">
        <v>2244</v>
      </c>
      <c r="C529" s="0" t="n">
        <v>7820</v>
      </c>
      <c r="D529" s="0" t="s">
        <v>760</v>
      </c>
      <c r="E529" s="0" t="s">
        <v>443</v>
      </c>
      <c r="F529" s="233" t="n">
        <v>46357</v>
      </c>
      <c r="G529" s="1" t="s">
        <v>810</v>
      </c>
      <c r="H529" s="0" t="n">
        <v>3941.66666666667</v>
      </c>
      <c r="I529" s="0" t="n">
        <v>47300</v>
      </c>
      <c r="J529" s="1" t="s">
        <v>2615</v>
      </c>
      <c r="K529" s="1" t="s">
        <v>1208</v>
      </c>
    </row>
    <row r="530" customFormat="false" ht="13.5" hidden="false" customHeight="false" outlineLevel="0" collapsed="false">
      <c r="A530" s="0" t="s">
        <v>49</v>
      </c>
      <c r="B530" s="0" t="s">
        <v>2244</v>
      </c>
      <c r="C530" s="0" t="n">
        <v>7910</v>
      </c>
      <c r="D530" s="0" t="s">
        <v>762</v>
      </c>
      <c r="E530" s="0" t="s">
        <v>444</v>
      </c>
      <c r="F530" s="233" t="n">
        <v>46023</v>
      </c>
      <c r="G530" s="1" t="s">
        <v>799</v>
      </c>
      <c r="H530" s="0" t="n">
        <v>3750</v>
      </c>
      <c r="I530" s="0" t="n">
        <v>45000</v>
      </c>
      <c r="J530" s="1" t="s">
        <v>2615</v>
      </c>
      <c r="K530" s="1" t="s">
        <v>1208</v>
      </c>
    </row>
    <row r="531" customFormat="false" ht="13.5" hidden="false" customHeight="false" outlineLevel="0" collapsed="false">
      <c r="A531" s="0" t="s">
        <v>49</v>
      </c>
      <c r="B531" s="0" t="s">
        <v>2244</v>
      </c>
      <c r="C531" s="0" t="n">
        <v>7910</v>
      </c>
      <c r="D531" s="0" t="s">
        <v>762</v>
      </c>
      <c r="E531" s="0" t="s">
        <v>444</v>
      </c>
      <c r="F531" s="233" t="n">
        <v>46054</v>
      </c>
      <c r="G531" s="1" t="s">
        <v>800</v>
      </c>
      <c r="H531" s="0" t="n">
        <v>3750</v>
      </c>
      <c r="I531" s="0" t="n">
        <v>45000</v>
      </c>
      <c r="J531" s="1" t="s">
        <v>2615</v>
      </c>
      <c r="K531" s="1" t="s">
        <v>1208</v>
      </c>
    </row>
    <row r="532" customFormat="false" ht="13.5" hidden="false" customHeight="false" outlineLevel="0" collapsed="false">
      <c r="A532" s="0" t="s">
        <v>49</v>
      </c>
      <c r="B532" s="0" t="s">
        <v>2244</v>
      </c>
      <c r="C532" s="0" t="n">
        <v>7910</v>
      </c>
      <c r="D532" s="0" t="s">
        <v>762</v>
      </c>
      <c r="E532" s="0" t="s">
        <v>444</v>
      </c>
      <c r="F532" s="233" t="n">
        <v>46082</v>
      </c>
      <c r="G532" s="1" t="s">
        <v>801</v>
      </c>
      <c r="H532" s="0" t="n">
        <v>3750</v>
      </c>
      <c r="I532" s="0" t="n">
        <v>45000</v>
      </c>
      <c r="J532" s="1" t="s">
        <v>2615</v>
      </c>
      <c r="K532" s="1" t="s">
        <v>1208</v>
      </c>
    </row>
    <row r="533" customFormat="false" ht="13.5" hidden="false" customHeight="false" outlineLevel="0" collapsed="false">
      <c r="A533" s="0" t="s">
        <v>49</v>
      </c>
      <c r="B533" s="0" t="s">
        <v>2244</v>
      </c>
      <c r="C533" s="0" t="n">
        <v>7910</v>
      </c>
      <c r="D533" s="0" t="s">
        <v>762</v>
      </c>
      <c r="E533" s="0" t="s">
        <v>444</v>
      </c>
      <c r="F533" s="233" t="n">
        <v>46113</v>
      </c>
      <c r="G533" s="1" t="s">
        <v>802</v>
      </c>
      <c r="H533" s="0" t="n">
        <v>3750</v>
      </c>
      <c r="I533" s="0" t="n">
        <v>45000</v>
      </c>
      <c r="J533" s="1" t="s">
        <v>2615</v>
      </c>
      <c r="K533" s="1" t="s">
        <v>1208</v>
      </c>
    </row>
    <row r="534" customFormat="false" ht="13.5" hidden="false" customHeight="false" outlineLevel="0" collapsed="false">
      <c r="A534" s="0" t="s">
        <v>49</v>
      </c>
      <c r="B534" s="0" t="s">
        <v>2244</v>
      </c>
      <c r="C534" s="0" t="n">
        <v>7910</v>
      </c>
      <c r="D534" s="0" t="s">
        <v>762</v>
      </c>
      <c r="E534" s="0" t="s">
        <v>444</v>
      </c>
      <c r="F534" s="233" t="n">
        <v>46143</v>
      </c>
      <c r="G534" s="1" t="s">
        <v>803</v>
      </c>
      <c r="H534" s="0" t="n">
        <v>3750</v>
      </c>
      <c r="I534" s="0" t="n">
        <v>45000</v>
      </c>
      <c r="J534" s="1" t="s">
        <v>2615</v>
      </c>
      <c r="K534" s="1" t="s">
        <v>1208</v>
      </c>
    </row>
    <row r="535" customFormat="false" ht="13.5" hidden="false" customHeight="false" outlineLevel="0" collapsed="false">
      <c r="A535" s="0" t="s">
        <v>49</v>
      </c>
      <c r="B535" s="0" t="s">
        <v>2244</v>
      </c>
      <c r="C535" s="0" t="n">
        <v>7910</v>
      </c>
      <c r="D535" s="0" t="s">
        <v>762</v>
      </c>
      <c r="E535" s="0" t="s">
        <v>444</v>
      </c>
      <c r="F535" s="233" t="n">
        <v>46174</v>
      </c>
      <c r="G535" s="1" t="s">
        <v>804</v>
      </c>
      <c r="H535" s="0" t="n">
        <v>3750</v>
      </c>
      <c r="I535" s="0" t="n">
        <v>45000</v>
      </c>
      <c r="J535" s="1" t="s">
        <v>2615</v>
      </c>
      <c r="K535" s="1" t="s">
        <v>1208</v>
      </c>
    </row>
    <row r="536" customFormat="false" ht="13.5" hidden="false" customHeight="false" outlineLevel="0" collapsed="false">
      <c r="A536" s="0" t="s">
        <v>49</v>
      </c>
      <c r="B536" s="0" t="s">
        <v>2244</v>
      </c>
      <c r="C536" s="0" t="n">
        <v>7910</v>
      </c>
      <c r="D536" s="0" t="s">
        <v>762</v>
      </c>
      <c r="E536" s="0" t="s">
        <v>444</v>
      </c>
      <c r="F536" s="233" t="n">
        <v>46204</v>
      </c>
      <c r="G536" s="1" t="s">
        <v>805</v>
      </c>
      <c r="H536" s="0" t="n">
        <v>3750</v>
      </c>
      <c r="I536" s="0" t="n">
        <v>45000</v>
      </c>
      <c r="J536" s="1" t="s">
        <v>2615</v>
      </c>
      <c r="K536" s="1" t="s">
        <v>1208</v>
      </c>
    </row>
    <row r="537" customFormat="false" ht="13.5" hidden="false" customHeight="false" outlineLevel="0" collapsed="false">
      <c r="A537" s="0" t="s">
        <v>49</v>
      </c>
      <c r="B537" s="0" t="s">
        <v>2244</v>
      </c>
      <c r="C537" s="0" t="n">
        <v>7910</v>
      </c>
      <c r="D537" s="0" t="s">
        <v>762</v>
      </c>
      <c r="E537" s="0" t="s">
        <v>444</v>
      </c>
      <c r="F537" s="233" t="n">
        <v>46235</v>
      </c>
      <c r="G537" s="1" t="s">
        <v>806</v>
      </c>
      <c r="H537" s="0" t="n">
        <v>3750</v>
      </c>
      <c r="I537" s="0" t="n">
        <v>45000</v>
      </c>
      <c r="J537" s="1" t="s">
        <v>2615</v>
      </c>
      <c r="K537" s="1" t="s">
        <v>1208</v>
      </c>
    </row>
    <row r="538" customFormat="false" ht="13.5" hidden="false" customHeight="false" outlineLevel="0" collapsed="false">
      <c r="A538" s="0" t="s">
        <v>49</v>
      </c>
      <c r="B538" s="0" t="s">
        <v>2244</v>
      </c>
      <c r="C538" s="0" t="n">
        <v>7910</v>
      </c>
      <c r="D538" s="0" t="s">
        <v>762</v>
      </c>
      <c r="E538" s="0" t="s">
        <v>444</v>
      </c>
      <c r="F538" s="233" t="n">
        <v>46266</v>
      </c>
      <c r="G538" s="1" t="s">
        <v>2616</v>
      </c>
      <c r="H538" s="0" t="n">
        <v>3750</v>
      </c>
      <c r="I538" s="0" t="n">
        <v>45000</v>
      </c>
      <c r="J538" s="1" t="s">
        <v>2615</v>
      </c>
      <c r="K538" s="1" t="s">
        <v>1208</v>
      </c>
    </row>
    <row r="539" customFormat="false" ht="13.5" hidden="false" customHeight="false" outlineLevel="0" collapsed="false">
      <c r="A539" s="0" t="s">
        <v>49</v>
      </c>
      <c r="B539" s="0" t="s">
        <v>2244</v>
      </c>
      <c r="C539" s="0" t="n">
        <v>7910</v>
      </c>
      <c r="D539" s="0" t="s">
        <v>762</v>
      </c>
      <c r="E539" s="0" t="s">
        <v>444</v>
      </c>
      <c r="F539" s="233" t="n">
        <v>46296</v>
      </c>
      <c r="G539" s="1" t="s">
        <v>808</v>
      </c>
      <c r="H539" s="0" t="n">
        <v>3750</v>
      </c>
      <c r="I539" s="0" t="n">
        <v>45000</v>
      </c>
      <c r="J539" s="1" t="s">
        <v>2615</v>
      </c>
      <c r="K539" s="1" t="s">
        <v>1208</v>
      </c>
    </row>
    <row r="540" customFormat="false" ht="13.5" hidden="false" customHeight="false" outlineLevel="0" collapsed="false">
      <c r="A540" s="0" t="s">
        <v>49</v>
      </c>
      <c r="B540" s="0" t="s">
        <v>2244</v>
      </c>
      <c r="C540" s="0" t="n">
        <v>7910</v>
      </c>
      <c r="D540" s="0" t="s">
        <v>762</v>
      </c>
      <c r="E540" s="0" t="s">
        <v>444</v>
      </c>
      <c r="F540" s="233" t="n">
        <v>46327</v>
      </c>
      <c r="G540" s="1" t="s">
        <v>809</v>
      </c>
      <c r="H540" s="0" t="n">
        <v>3750</v>
      </c>
      <c r="I540" s="0" t="n">
        <v>45000</v>
      </c>
      <c r="J540" s="1" t="s">
        <v>2615</v>
      </c>
      <c r="K540" s="1" t="s">
        <v>1208</v>
      </c>
    </row>
    <row r="541" customFormat="false" ht="13.5" hidden="false" customHeight="false" outlineLevel="0" collapsed="false">
      <c r="A541" s="0" t="s">
        <v>49</v>
      </c>
      <c r="B541" s="0" t="s">
        <v>2244</v>
      </c>
      <c r="C541" s="0" t="n">
        <v>7910</v>
      </c>
      <c r="D541" s="0" t="s">
        <v>762</v>
      </c>
      <c r="E541" s="0" t="s">
        <v>444</v>
      </c>
      <c r="F541" s="233" t="n">
        <v>46357</v>
      </c>
      <c r="G541" s="1" t="s">
        <v>810</v>
      </c>
      <c r="H541" s="0" t="n">
        <v>3750</v>
      </c>
      <c r="I541" s="0" t="n">
        <v>45000</v>
      </c>
      <c r="J541" s="1" t="s">
        <v>2615</v>
      </c>
      <c r="K541" s="1" t="s">
        <v>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2617</v>
      </c>
    </row>
    <row r="2" customFormat="false" ht="13.5" hidden="false" customHeight="false" outlineLevel="0" collapsed="false">
      <c r="A2" s="0" t="s">
        <v>2618</v>
      </c>
    </row>
    <row r="3" customFormat="false" ht="13.5" hidden="false" customHeight="false" outlineLevel="0" collapsed="false">
      <c r="A3" s="0" t="s">
        <v>2619</v>
      </c>
      <c r="B3" s="0" t="n">
        <v>7564193.4853757</v>
      </c>
      <c r="D3" s="0" t="s">
        <v>2620</v>
      </c>
      <c r="E3" s="0" t="n">
        <v>3152612.575982</v>
      </c>
    </row>
    <row r="5" customFormat="false" ht="13.5" hidden="false" customHeight="false" outlineLevel="0" collapsed="false">
      <c r="A5" s="0" t="s">
        <v>457</v>
      </c>
      <c r="B5" s="0" t="n">
        <v>4411580.9093937</v>
      </c>
      <c r="D5" s="0" t="s">
        <v>261</v>
      </c>
      <c r="E5" s="0" t="n">
        <v>2.39934127745448</v>
      </c>
    </row>
    <row r="7" customFormat="false" ht="13.5" hidden="false" customHeight="false" outlineLevel="0" collapsed="false">
      <c r="A7" s="0" t="s">
        <v>263</v>
      </c>
      <c r="B7" s="0" t="n">
        <v>5.93364722250509</v>
      </c>
      <c r="D7" s="0" t="s">
        <v>483</v>
      </c>
      <c r="E7" s="0" t="n">
        <v>0</v>
      </c>
    </row>
    <row r="9" customFormat="false" ht="13.5" hidden="false" customHeight="false" outlineLevel="0" collapsed="false">
      <c r="A9" s="0" t="s">
        <v>2621</v>
      </c>
    </row>
    <row r="11" customFormat="false" ht="13.5" hidden="false" customHeight="false" outlineLevel="0" collapsed="false">
      <c r="A11" s="0" t="s">
        <v>2622</v>
      </c>
      <c r="B11" s="0" t="s">
        <v>2623</v>
      </c>
      <c r="C11" s="0" t="s">
        <v>2624</v>
      </c>
      <c r="D11" s="0" t="s">
        <v>2625</v>
      </c>
      <c r="E11" s="0" t="s">
        <v>461</v>
      </c>
      <c r="F11" s="0" t="s">
        <v>103</v>
      </c>
      <c r="G11" s="0" t="s">
        <v>2131</v>
      </c>
      <c r="H11" s="0" t="s">
        <v>34</v>
      </c>
    </row>
    <row r="12" customFormat="false" ht="13.5" hidden="false" customHeight="false" outlineLevel="0" collapsed="false">
      <c r="A12" s="0" t="s">
        <v>2626</v>
      </c>
      <c r="B12" s="0" t="n">
        <v>1461745.35</v>
      </c>
      <c r="C12" s="0" t="n">
        <v>1461745.35</v>
      </c>
      <c r="D12" s="0" t="n">
        <v>0</v>
      </c>
      <c r="E12" s="0" t="n">
        <v>0</v>
      </c>
      <c r="F12" s="0" t="s">
        <v>2606</v>
      </c>
      <c r="G12" s="0" t="s">
        <v>2146</v>
      </c>
      <c r="H12" s="0" t="n">
        <v>7564193.4853757</v>
      </c>
    </row>
    <row r="13" customFormat="false" ht="13.5" hidden="false" customHeight="false" outlineLevel="0" collapsed="false">
      <c r="A13" s="0" t="s">
        <v>466</v>
      </c>
      <c r="B13" s="0" t="n">
        <v>493567.16</v>
      </c>
      <c r="C13" s="0" t="n">
        <v>446533.55</v>
      </c>
      <c r="D13" s="0" t="n">
        <v>47033.6099999999</v>
      </c>
      <c r="E13" s="0" t="n">
        <v>0.105330517718097</v>
      </c>
      <c r="F13" s="0" t="s">
        <v>2606</v>
      </c>
      <c r="G13" s="0" t="s">
        <v>2147</v>
      </c>
      <c r="H13" s="0" t="n">
        <v>3152612.575982</v>
      </c>
    </row>
    <row r="14" customFormat="false" ht="13.5" hidden="false" customHeight="false" outlineLevel="0" collapsed="false">
      <c r="A14" s="0" t="s">
        <v>2627</v>
      </c>
      <c r="B14" s="0" t="n">
        <v>0</v>
      </c>
      <c r="C14" s="0" t="n">
        <v>0</v>
      </c>
      <c r="D14" s="0" t="n">
        <v>0</v>
      </c>
      <c r="E14" s="0" t="n">
        <v>0</v>
      </c>
      <c r="F14" s="0" t="s">
        <v>2606</v>
      </c>
      <c r="G14" s="0" t="s">
        <v>262</v>
      </c>
      <c r="H14" s="0" t="n">
        <v>4411580.9093937</v>
      </c>
    </row>
    <row r="15" customFormat="false" ht="13.5" hidden="false" customHeight="false" outlineLevel="0" collapsed="false">
      <c r="A15" s="0" t="s">
        <v>468</v>
      </c>
      <c r="B15" s="0" t="n">
        <v>293068.75</v>
      </c>
      <c r="C15" s="0" t="n">
        <v>293068.75</v>
      </c>
      <c r="D15" s="0" t="n">
        <v>0</v>
      </c>
      <c r="E15" s="0" t="n">
        <v>0</v>
      </c>
      <c r="F15" s="0" t="s">
        <v>2606</v>
      </c>
    </row>
    <row r="16" customFormat="false" ht="13.5" hidden="false" customHeight="false" outlineLevel="0" collapsed="false">
      <c r="A16" s="0" t="s">
        <v>253</v>
      </c>
      <c r="B16" s="0" t="n">
        <v>2248381.26</v>
      </c>
      <c r="C16" s="0" t="n">
        <v>2201347.65</v>
      </c>
      <c r="D16" s="0" t="n">
        <v>47033.6099999999</v>
      </c>
      <c r="E16" s="0" t="n">
        <v>0.0213658256114158</v>
      </c>
      <c r="F16" s="0" t="s">
        <v>2606</v>
      </c>
    </row>
    <row r="17" customFormat="false" ht="13.5" hidden="false" customHeight="false" outlineLevel="0" collapsed="false">
      <c r="A17" s="0" t="s">
        <v>469</v>
      </c>
      <c r="B17" s="0" t="n">
        <v>5391347.5353757</v>
      </c>
      <c r="C17" s="0" t="n">
        <v>5122838.5253757</v>
      </c>
      <c r="D17" s="0" t="n">
        <v>268509.010000002</v>
      </c>
      <c r="E17" s="0" t="n">
        <v>0.0524141076612033</v>
      </c>
      <c r="F17" s="0" t="s">
        <v>2606</v>
      </c>
    </row>
    <row r="18" customFormat="false" ht="13.5" hidden="false" customHeight="false" outlineLevel="0" collapsed="false">
      <c r="A18" s="0" t="s">
        <v>470</v>
      </c>
      <c r="B18" s="0" t="n">
        <v>1291533.24</v>
      </c>
      <c r="C18" s="0" t="n">
        <v>1357833.49</v>
      </c>
      <c r="D18" s="0" t="n">
        <v>-66300.2499999988</v>
      </c>
      <c r="E18" s="0" t="n">
        <v>-0.0488279678534066</v>
      </c>
      <c r="F18" s="0" t="s">
        <v>2606</v>
      </c>
    </row>
    <row r="19" customFormat="false" ht="13.5" hidden="false" customHeight="false" outlineLevel="0" collapsed="false">
      <c r="A19" s="0" t="s">
        <v>471</v>
      </c>
      <c r="B19" s="0" t="n">
        <v>881312.71</v>
      </c>
      <c r="C19" s="0" t="n">
        <v>-234799.82</v>
      </c>
      <c r="D19" s="0" t="n">
        <v>1116112.53</v>
      </c>
      <c r="E19" s="0" t="n">
        <v>4.75346416364374</v>
      </c>
      <c r="F19" s="0" t="s">
        <v>2606</v>
      </c>
    </row>
    <row r="20" customFormat="false" ht="13.5" hidden="false" customHeight="false" outlineLevel="0" collapsed="false">
      <c r="A20" s="0" t="s">
        <v>254</v>
      </c>
      <c r="B20" s="0" t="n">
        <v>7564193.4853757</v>
      </c>
      <c r="C20" s="0" t="n">
        <v>6245872.1953757</v>
      </c>
      <c r="D20" s="0" t="n">
        <v>1318321.29</v>
      </c>
      <c r="E20" s="0" t="n">
        <v>0.211070807849072</v>
      </c>
      <c r="F20" s="0" t="s">
        <v>2606</v>
      </c>
    </row>
    <row r="21" customFormat="false" ht="13.5" hidden="false" customHeight="false" outlineLevel="0" collapsed="false">
      <c r="A21" s="0" t="s">
        <v>472</v>
      </c>
      <c r="B21" s="0" t="n">
        <v>2619080.625982</v>
      </c>
      <c r="C21" s="0" t="n">
        <v>2351763.765982</v>
      </c>
      <c r="D21" s="0" t="n">
        <v>267316.86</v>
      </c>
      <c r="E21" s="0" t="n">
        <v>0.113666544177059</v>
      </c>
      <c r="F21" s="0" t="s">
        <v>2606</v>
      </c>
    </row>
    <row r="22" customFormat="false" ht="13.5" hidden="false" customHeight="false" outlineLevel="0" collapsed="false">
      <c r="A22" s="0" t="s">
        <v>473</v>
      </c>
      <c r="B22" s="0" t="n">
        <v>533531.95</v>
      </c>
      <c r="C22" s="0" t="n">
        <v>595589.26</v>
      </c>
      <c r="D22" s="0" t="n">
        <v>-62057.3099999999</v>
      </c>
      <c r="E22" s="0" t="n">
        <v>-0.104194810363102</v>
      </c>
      <c r="F22" s="0" t="s">
        <v>2606</v>
      </c>
    </row>
    <row r="23" customFormat="false" ht="13.5" hidden="false" customHeight="false" outlineLevel="0" collapsed="false">
      <c r="A23" s="0" t="s">
        <v>256</v>
      </c>
      <c r="B23" s="0" t="n">
        <v>3152612.575982</v>
      </c>
      <c r="C23" s="0" t="n">
        <v>2947353.025982</v>
      </c>
      <c r="D23" s="0" t="n">
        <v>205259.55</v>
      </c>
      <c r="E23" s="0" t="n">
        <v>0.0696419967986739</v>
      </c>
      <c r="F23" s="0" t="s">
        <v>2606</v>
      </c>
    </row>
    <row r="24" customFormat="false" ht="13.5" hidden="false" customHeight="false" outlineLevel="0" collapsed="false">
      <c r="A24" s="0" t="s">
        <v>2628</v>
      </c>
      <c r="B24" s="0" t="n">
        <v>0.329999999998108</v>
      </c>
      <c r="C24" s="0" t="n">
        <v>0.33</v>
      </c>
      <c r="D24" s="0" t="n">
        <v>-1.8917090116588E-012</v>
      </c>
      <c r="E24" s="0" t="n">
        <v>-5.73245155048123E-012</v>
      </c>
      <c r="F24" s="0" t="s">
        <v>2606</v>
      </c>
    </row>
    <row r="25" customFormat="false" ht="13.5" hidden="false" customHeight="false" outlineLevel="0" collapsed="false">
      <c r="A25" s="0" t="s">
        <v>259</v>
      </c>
      <c r="B25" s="0" t="n">
        <v>6659961.8393937</v>
      </c>
      <c r="C25" s="0" t="n">
        <v>5499866.4893937</v>
      </c>
      <c r="D25" s="0" t="n">
        <v>1160095.35</v>
      </c>
      <c r="E25" s="0" t="n">
        <v>0.210931547563419</v>
      </c>
      <c r="F25" s="0" t="s">
        <v>2606</v>
      </c>
    </row>
    <row r="26" customFormat="false" ht="13.5" hidden="false" customHeight="false" outlineLevel="0" collapsed="false">
      <c r="A26" s="0" t="s">
        <v>475</v>
      </c>
      <c r="B26" s="0" t="n">
        <v>19999.87</v>
      </c>
      <c r="C26" s="0" t="n">
        <v>19999.87</v>
      </c>
      <c r="D26" s="0" t="n">
        <v>0</v>
      </c>
      <c r="E26" s="0" t="n">
        <v>0</v>
      </c>
      <c r="F26" s="0" t="s">
        <v>2606</v>
      </c>
    </row>
    <row r="27" customFormat="false" ht="13.5" hidden="false" customHeight="false" outlineLevel="0" collapsed="false">
      <c r="A27" s="0" t="s">
        <v>476</v>
      </c>
      <c r="B27" s="0" t="n">
        <v>5479866.6193937</v>
      </c>
      <c r="C27" s="0" t="n">
        <v>5379610.28</v>
      </c>
      <c r="D27" s="0" t="n">
        <v>100256.339393703</v>
      </c>
      <c r="E27" s="0" t="n">
        <v>0.0186363573150327</v>
      </c>
      <c r="F27" s="0" t="s">
        <v>2606</v>
      </c>
    </row>
    <row r="28" customFormat="false" ht="13.5" hidden="false" customHeight="false" outlineLevel="0" collapsed="false">
      <c r="A28" s="0" t="s">
        <v>477</v>
      </c>
      <c r="B28" s="0" t="n">
        <v>1160095.35</v>
      </c>
      <c r="C28" s="0" t="n">
        <v>100256.339393703</v>
      </c>
      <c r="D28" s="0" t="n">
        <v>1059839.0106063</v>
      </c>
      <c r="E28" s="0" t="n">
        <v>10.5712917209589</v>
      </c>
      <c r="F28" s="0" t="s">
        <v>2606</v>
      </c>
    </row>
    <row r="29" customFormat="false" ht="13.5" hidden="false" customHeight="false" outlineLevel="0" collapsed="false">
      <c r="A29" s="0" t="s">
        <v>260</v>
      </c>
      <c r="B29" s="0" t="n">
        <v>6659961.83939371</v>
      </c>
      <c r="C29" s="0" t="n">
        <v>5499866.4893937</v>
      </c>
      <c r="D29" s="0" t="n">
        <v>1160095.35</v>
      </c>
      <c r="E29" s="0" t="n">
        <v>0.210931547563419</v>
      </c>
      <c r="F29" s="0" t="s">
        <v>2606</v>
      </c>
    </row>
    <row r="30" customFormat="false" ht="13.5" hidden="false" customHeight="false" outlineLevel="0" collapsed="false">
      <c r="A30" s="0" t="s">
        <v>483</v>
      </c>
      <c r="B30" s="0" t="n">
        <v>0</v>
      </c>
      <c r="C30" s="0" t="n">
        <v>0</v>
      </c>
      <c r="D30" s="0" t="n">
        <v>0</v>
      </c>
      <c r="E30" s="0" t="n">
        <v>0</v>
      </c>
      <c r="F30" s="0" t="s">
        <v>2606</v>
      </c>
    </row>
    <row r="31" customFormat="false" ht="13.5" hidden="false" customHeight="false" outlineLevel="0" collapsed="false">
      <c r="A31" s="0" t="s">
        <v>261</v>
      </c>
      <c r="B31" s="0" t="n">
        <v>2.39934127745448</v>
      </c>
      <c r="C31" s="0" t="n">
        <v>2.11914627814043</v>
      </c>
      <c r="D31" s="0" t="n">
        <v>0.280194999314044</v>
      </c>
      <c r="E31" s="0" t="n">
        <v>0.132220697648072</v>
      </c>
      <c r="F31" s="0" t="s">
        <v>2606</v>
      </c>
    </row>
    <row r="32" customFormat="false" ht="13.5" hidden="false" customHeight="false" outlineLevel="0" collapsed="false">
      <c r="A32" s="0" t="s">
        <v>262</v>
      </c>
      <c r="B32" s="0" t="n">
        <v>4411580.9093937</v>
      </c>
      <c r="C32" s="0" t="n">
        <v>3298519.1693937</v>
      </c>
      <c r="D32" s="0" t="n">
        <v>1113061.74</v>
      </c>
      <c r="E32" s="0" t="n">
        <v>0.337442859307255</v>
      </c>
      <c r="F32" s="0" t="s">
        <v>2606</v>
      </c>
    </row>
    <row r="33" customFormat="false" ht="13.5" hidden="false" customHeight="false" outlineLevel="0" collapsed="false">
      <c r="A33" s="0" t="s">
        <v>482</v>
      </c>
      <c r="B33" s="0" t="n">
        <v>743485.54</v>
      </c>
      <c r="C33" s="0" t="n">
        <v>0</v>
      </c>
      <c r="D33" s="0" t="n">
        <v>743485.54</v>
      </c>
      <c r="E33" s="0" t="n">
        <v>0</v>
      </c>
      <c r="F33" s="0" t="s">
        <v>2606</v>
      </c>
    </row>
    <row r="34" customFormat="false" ht="13.5" hidden="false" customHeight="false" outlineLevel="0" collapsed="false">
      <c r="A34" s="0" t="s">
        <v>263</v>
      </c>
      <c r="B34" s="0" t="n">
        <v>5.93364722250509</v>
      </c>
      <c r="C34" s="0" t="n">
        <v>0</v>
      </c>
      <c r="D34" s="0" t="n">
        <v>5.93364722250509</v>
      </c>
      <c r="E34" s="0" t="n">
        <v>0</v>
      </c>
      <c r="F34" s="0" t="s">
        <v>2606</v>
      </c>
    </row>
    <row r="35" customFormat="false" ht="13.5" hidden="false" customHeight="false" outlineLevel="0" collapsed="false">
      <c r="A35" s="0" t="s">
        <v>264</v>
      </c>
      <c r="B35" s="0" t="n">
        <v>-1102167.67</v>
      </c>
      <c r="C35" s="0" t="n">
        <v>-1110867.67</v>
      </c>
      <c r="D35" s="0" t="n">
        <v>8700.00000000023</v>
      </c>
      <c r="E35" s="0" t="n">
        <v>0.00783171590545995</v>
      </c>
      <c r="F35" s="0" t="s">
        <v>2606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2629</v>
      </c>
    </row>
    <row r="2" customFormat="false" ht="13.5" hidden="false" customHeight="false" outlineLevel="0" collapsed="false">
      <c r="A2" s="0" t="s">
        <v>2630</v>
      </c>
    </row>
    <row r="3" customFormat="false" ht="13.5" hidden="false" customHeight="false" outlineLevel="0" collapsed="false">
      <c r="A3" s="0" t="s">
        <v>329</v>
      </c>
      <c r="B3" s="0" t="n">
        <v>11431519.13</v>
      </c>
      <c r="D3" s="0" t="s">
        <v>2631</v>
      </c>
      <c r="E3" s="0" t="n">
        <v>11431519.13</v>
      </c>
      <c r="G3" s="0" t="s">
        <v>2632</v>
      </c>
      <c r="H3" s="0" t="n">
        <v>11431519.13</v>
      </c>
      <c r="J3" s="0" t="s">
        <v>2633</v>
      </c>
      <c r="K3" s="0" t="n">
        <v>2903601.6</v>
      </c>
    </row>
    <row r="5" customFormat="false" ht="13.5" hidden="false" customHeight="false" outlineLevel="0" collapsed="false">
      <c r="A5" s="0" t="s">
        <v>2634</v>
      </c>
      <c r="B5" s="0" t="n">
        <v>2701893.65</v>
      </c>
      <c r="D5" s="0" t="s">
        <v>2635</v>
      </c>
      <c r="E5" s="0" t="n">
        <v>184105.4</v>
      </c>
      <c r="G5" s="0" t="s">
        <v>335</v>
      </c>
      <c r="H5" s="0" t="n">
        <v>3</v>
      </c>
      <c r="J5" s="0" t="s">
        <v>2636</v>
      </c>
      <c r="K5" s="0" t="n">
        <v>1.16710278190564</v>
      </c>
    </row>
    <row r="9" customFormat="false" ht="13.5" hidden="false" customHeight="false" outlineLevel="0" collapsed="false">
      <c r="A9" s="0" t="s">
        <v>2637</v>
      </c>
    </row>
    <row r="11" customFormat="false" ht="13.5" hidden="false" customHeight="false" outlineLevel="0" collapsed="false">
      <c r="A11" s="0" t="s">
        <v>276</v>
      </c>
      <c r="B11" s="0" t="s">
        <v>344</v>
      </c>
      <c r="C11" s="0" t="s">
        <v>2604</v>
      </c>
      <c r="D11" s="0" t="s">
        <v>278</v>
      </c>
      <c r="E11" s="0" t="s">
        <v>2638</v>
      </c>
      <c r="F11" s="0" t="s">
        <v>374</v>
      </c>
      <c r="G11" s="0" t="s">
        <v>375</v>
      </c>
      <c r="H11" s="0" t="s">
        <v>2639</v>
      </c>
      <c r="I11" s="0" t="s">
        <v>2640</v>
      </c>
      <c r="J11" s="0" t="s">
        <v>2595</v>
      </c>
      <c r="K11" s="0" t="s">
        <v>2603</v>
      </c>
      <c r="L11" s="0" t="s">
        <v>2641</v>
      </c>
      <c r="M11" s="0" t="s">
        <v>2642</v>
      </c>
    </row>
    <row r="12" customFormat="false" ht="13.5" hidden="false" customHeight="false" outlineLevel="0" collapsed="false">
      <c r="A12" s="0" t="s">
        <v>355</v>
      </c>
      <c r="B12" s="0" t="n">
        <v>7169028.61</v>
      </c>
      <c r="C12" s="0" t="n">
        <v>7169028.61</v>
      </c>
      <c r="D12" s="0" t="n">
        <v>6632070.51</v>
      </c>
      <c r="E12" s="0" t="n">
        <v>7169028.61</v>
      </c>
      <c r="F12" s="0" t="n">
        <v>2070070.55</v>
      </c>
      <c r="G12" s="0" t="n">
        <v>2153590.72</v>
      </c>
      <c r="H12" s="0" t="n">
        <v>87616.34</v>
      </c>
      <c r="I12" s="0" t="n">
        <v>0.961218178911915</v>
      </c>
      <c r="J12" s="0" t="n">
        <v>0</v>
      </c>
      <c r="K12" s="0" t="n">
        <v>0</v>
      </c>
      <c r="L12" s="0" t="n">
        <v>0</v>
      </c>
      <c r="M12" s="0" t="n">
        <v>2</v>
      </c>
    </row>
    <row r="13" customFormat="false" ht="13.5" hidden="false" customHeight="false" outlineLevel="0" collapsed="false">
      <c r="A13" s="0" t="s">
        <v>354</v>
      </c>
      <c r="B13" s="0" t="n">
        <v>3659331.52</v>
      </c>
      <c r="C13" s="0" t="n">
        <v>3659331.52</v>
      </c>
      <c r="D13" s="0" t="n">
        <v>3659331.52</v>
      </c>
      <c r="E13" s="0" t="n">
        <v>3659331.52</v>
      </c>
      <c r="F13" s="0" t="n">
        <v>625166.07</v>
      </c>
      <c r="G13" s="0" t="n">
        <v>307039.47</v>
      </c>
      <c r="H13" s="0" t="n">
        <v>63590.58</v>
      </c>
      <c r="I13" s="0" t="n">
        <v>2.0361097874485</v>
      </c>
      <c r="J13" s="0" t="n">
        <v>0</v>
      </c>
      <c r="K13" s="0" t="n">
        <v>0</v>
      </c>
      <c r="L13" s="0" t="n">
        <v>0</v>
      </c>
      <c r="M13" s="0" t="n">
        <v>1</v>
      </c>
    </row>
    <row r="14" customFormat="false" ht="13.5" hidden="false" customHeight="false" outlineLevel="0" collapsed="false">
      <c r="A14" s="0" t="s">
        <v>356</v>
      </c>
      <c r="B14" s="0" t="n">
        <v>603159</v>
      </c>
      <c r="C14" s="0" t="n">
        <v>603159</v>
      </c>
      <c r="D14" s="0" t="n">
        <v>603159</v>
      </c>
      <c r="E14" s="0" t="n">
        <v>603159</v>
      </c>
      <c r="F14" s="0" t="n">
        <v>208364.98</v>
      </c>
      <c r="G14" s="0" t="n">
        <v>241263.46</v>
      </c>
      <c r="H14" s="0" t="n">
        <v>32898.48</v>
      </c>
      <c r="I14" s="0" t="n">
        <v>0.863640851374676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3.5" hidden="false" customHeight="false" outlineLevel="0" collapsed="false">
      <c r="A15" s="0" t="s">
        <v>2643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3.5" hidden="false" customHeight="false" outlineLevel="0" collapsed="false">
      <c r="A16" s="0" t="s">
        <v>357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3.5" hidden="false" customHeight="false" outlineLevel="0" collapsed="false">
      <c r="A17" s="0" t="s">
        <v>361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2644</v>
      </c>
    </row>
    <row r="2" customFormat="false" ht="13.5" hidden="false" customHeight="false" outlineLevel="0" collapsed="false">
      <c r="A2" s="0" t="s">
        <v>2645</v>
      </c>
    </row>
    <row r="3" customFormat="false" ht="13.5" hidden="false" customHeight="false" outlineLevel="0" collapsed="false">
      <c r="A3" s="0" t="s">
        <v>417</v>
      </c>
      <c r="B3" s="0" t="n">
        <v>13774371.53</v>
      </c>
      <c r="D3" s="0" t="s">
        <v>418</v>
      </c>
      <c r="E3" s="0" t="n">
        <v>3443592.8825</v>
      </c>
      <c r="G3" s="0" t="s">
        <v>419</v>
      </c>
      <c r="H3" s="0" t="n">
        <v>2779966.81</v>
      </c>
      <c r="J3" s="0" t="s">
        <v>420</v>
      </c>
      <c r="K3" s="0" t="n">
        <v>663626.0725</v>
      </c>
    </row>
    <row r="5" customFormat="false" ht="13.5" hidden="false" customHeight="false" outlineLevel="0" collapsed="false">
      <c r="A5" s="0" t="s">
        <v>2646</v>
      </c>
      <c r="B5" s="0" t="n">
        <v>11119867.24</v>
      </c>
      <c r="D5" s="0" t="s">
        <v>2647</v>
      </c>
      <c r="E5" s="0" t="n">
        <v>2654504.29</v>
      </c>
      <c r="G5" s="0" t="s">
        <v>423</v>
      </c>
      <c r="H5" s="0" t="n">
        <v>0.201821680498842</v>
      </c>
      <c r="J5" s="0" t="s">
        <v>424</v>
      </c>
      <c r="K5" s="0" t="n">
        <v>11</v>
      </c>
    </row>
    <row r="9" customFormat="false" ht="13.5" hidden="false" customHeight="false" outlineLevel="0" collapsed="false">
      <c r="A9" s="0" t="s">
        <v>2648</v>
      </c>
    </row>
    <row r="11" customFormat="false" ht="13.5" hidden="false" customHeight="false" outlineLevel="0" collapsed="false">
      <c r="A11" s="0" t="s">
        <v>426</v>
      </c>
      <c r="B11" s="0" t="s">
        <v>427</v>
      </c>
      <c r="C11" s="0" t="s">
        <v>277</v>
      </c>
      <c r="D11" s="0" t="s">
        <v>428</v>
      </c>
      <c r="E11" s="0" t="s">
        <v>429</v>
      </c>
      <c r="F11" s="0" t="s">
        <v>430</v>
      </c>
      <c r="G11" s="0" t="s">
        <v>431</v>
      </c>
      <c r="H11" s="0" t="s">
        <v>2649</v>
      </c>
      <c r="I11" s="0" t="s">
        <v>2650</v>
      </c>
      <c r="J11" s="0" t="s">
        <v>2651</v>
      </c>
      <c r="K11" s="0" t="s">
        <v>103</v>
      </c>
    </row>
    <row r="12" customFormat="false" ht="13.5" hidden="false" customHeight="false" outlineLevel="0" collapsed="false">
      <c r="A12" s="0" t="s">
        <v>439</v>
      </c>
      <c r="B12" s="0" t="s">
        <v>309</v>
      </c>
      <c r="C12" s="0" t="n">
        <v>247369.45</v>
      </c>
      <c r="D12" s="0" t="n">
        <v>61842.3625</v>
      </c>
      <c r="E12" s="0" t="n">
        <v>73364.22</v>
      </c>
      <c r="F12" s="0" t="n">
        <v>-11521.8575</v>
      </c>
      <c r="G12" s="0" t="n">
        <v>-0.186310112263257</v>
      </c>
      <c r="H12" s="0" t="n">
        <v>293456.88</v>
      </c>
      <c r="I12" s="0" t="n">
        <v>-46087.43</v>
      </c>
      <c r="J12" s="0" t="n">
        <v>0.296577528065814</v>
      </c>
      <c r="K12" s="0" t="s">
        <v>2607</v>
      </c>
    </row>
    <row r="13" customFormat="false" ht="13.5" hidden="false" customHeight="false" outlineLevel="0" collapsed="false">
      <c r="A13" s="0" t="s">
        <v>436</v>
      </c>
      <c r="B13" s="0" t="s">
        <v>308</v>
      </c>
      <c r="C13" s="0" t="n">
        <v>2322680</v>
      </c>
      <c r="D13" s="0" t="n">
        <v>580670</v>
      </c>
      <c r="E13" s="0" t="n">
        <v>642948.54</v>
      </c>
      <c r="F13" s="0" t="n">
        <v>-62278.5399999999</v>
      </c>
      <c r="G13" s="0" t="n">
        <v>-0.10725289751494</v>
      </c>
      <c r="H13" s="0" t="n">
        <v>2571794.16</v>
      </c>
      <c r="I13" s="0" t="n">
        <v>-249114.16</v>
      </c>
      <c r="J13" s="0" t="n">
        <v>0.276813224378735</v>
      </c>
      <c r="K13" s="0" t="s">
        <v>2607</v>
      </c>
    </row>
    <row r="14" customFormat="false" ht="13.5" hidden="false" customHeight="false" outlineLevel="0" collapsed="false">
      <c r="A14" s="0" t="s">
        <v>435</v>
      </c>
      <c r="B14" s="0" t="s">
        <v>307</v>
      </c>
      <c r="C14" s="0" t="n">
        <v>7230077.7</v>
      </c>
      <c r="D14" s="0" t="n">
        <v>1807519.425</v>
      </c>
      <c r="E14" s="0" t="n">
        <v>1587508.08</v>
      </c>
      <c r="F14" s="0" t="n">
        <v>220011.345</v>
      </c>
      <c r="G14" s="0" t="n">
        <v>0.121720044585413</v>
      </c>
      <c r="H14" s="0" t="n">
        <v>6350032.32</v>
      </c>
      <c r="I14" s="0" t="n">
        <v>880045.379999995</v>
      </c>
      <c r="J14" s="0" t="n">
        <v>0.219569988853647</v>
      </c>
      <c r="K14" s="0" t="s">
        <v>2607</v>
      </c>
    </row>
    <row r="15" customFormat="false" ht="13.5" hidden="false" customHeight="false" outlineLevel="0" collapsed="false">
      <c r="A15" s="0" t="s">
        <v>444</v>
      </c>
      <c r="B15" s="0" t="s">
        <v>309</v>
      </c>
      <c r="C15" s="0" t="n">
        <v>45000</v>
      </c>
      <c r="D15" s="0" t="n">
        <v>11250</v>
      </c>
      <c r="E15" s="0" t="n">
        <v>8808.26</v>
      </c>
      <c r="F15" s="0" t="n">
        <v>2441.74</v>
      </c>
      <c r="G15" s="0" t="n">
        <v>0.217043555555556</v>
      </c>
      <c r="H15" s="0" t="n">
        <v>35233.04</v>
      </c>
      <c r="I15" s="0" t="n">
        <v>9766.96</v>
      </c>
      <c r="J15" s="0" t="n">
        <v>0.195739111111111</v>
      </c>
      <c r="K15" s="0" t="s">
        <v>2607</v>
      </c>
    </row>
    <row r="16" customFormat="false" ht="13.5" hidden="false" customHeight="false" outlineLevel="0" collapsed="false">
      <c r="A16" s="0" t="s">
        <v>445</v>
      </c>
      <c r="B16" s="0" t="s">
        <v>309</v>
      </c>
      <c r="C16" s="0" t="n">
        <v>0</v>
      </c>
      <c r="D16" s="0" t="n">
        <v>0</v>
      </c>
      <c r="E16" s="0" t="n">
        <v>-61465.49</v>
      </c>
      <c r="F16" s="0" t="n">
        <v>61465.49</v>
      </c>
      <c r="G16" s="0" t="n">
        <v>0</v>
      </c>
      <c r="H16" s="0" t="n">
        <v>-245861.96</v>
      </c>
      <c r="I16" s="0" t="n">
        <v>245861.96</v>
      </c>
      <c r="J16" s="0" t="n">
        <v>0</v>
      </c>
      <c r="K16" s="0" t="s">
        <v>2607</v>
      </c>
    </row>
    <row r="17" customFormat="false" ht="13.5" hidden="false" customHeight="false" outlineLevel="0" collapsed="false">
      <c r="A17" s="0" t="s">
        <v>442</v>
      </c>
      <c r="B17" s="0" t="s">
        <v>309</v>
      </c>
      <c r="C17" s="0" t="n">
        <v>423770.500000001</v>
      </c>
      <c r="D17" s="0" t="n">
        <v>105942.625</v>
      </c>
      <c r="E17" s="0" t="n">
        <v>24117.25</v>
      </c>
      <c r="F17" s="0" t="n">
        <v>81825.375</v>
      </c>
      <c r="G17" s="0" t="n">
        <v>0.772355555660434</v>
      </c>
      <c r="H17" s="0" t="n">
        <v>96469</v>
      </c>
      <c r="I17" s="0" t="n">
        <v>327301.500000001</v>
      </c>
      <c r="J17" s="0" t="n">
        <v>0.0569111110848914</v>
      </c>
      <c r="K17" s="0" t="s">
        <v>2607</v>
      </c>
    </row>
    <row r="18" customFormat="false" ht="13.5" hidden="false" customHeight="false" outlineLevel="0" collapsed="false">
      <c r="A18" s="0" t="s">
        <v>440</v>
      </c>
      <c r="B18" s="0" t="s">
        <v>309</v>
      </c>
      <c r="C18" s="0" t="n">
        <v>439040</v>
      </c>
      <c r="D18" s="0" t="n">
        <v>109760</v>
      </c>
      <c r="E18" s="0" t="n">
        <v>25490.41</v>
      </c>
      <c r="F18" s="0" t="n">
        <v>84269.59</v>
      </c>
      <c r="G18" s="0" t="n">
        <v>0.767762299562682</v>
      </c>
      <c r="H18" s="0" t="n">
        <v>101961.64</v>
      </c>
      <c r="I18" s="0" t="n">
        <v>337078.36</v>
      </c>
      <c r="J18" s="0" t="n">
        <v>0.0580594251093295</v>
      </c>
      <c r="K18" s="0" t="s">
        <v>2607</v>
      </c>
    </row>
    <row r="19" customFormat="false" ht="13.5" hidden="false" customHeight="false" outlineLevel="0" collapsed="false">
      <c r="A19" s="0" t="s">
        <v>443</v>
      </c>
      <c r="B19" s="0" t="s">
        <v>309</v>
      </c>
      <c r="C19" s="0" t="n">
        <v>498375.13</v>
      </c>
      <c r="D19" s="0" t="n">
        <v>124593.7825</v>
      </c>
      <c r="E19" s="0" t="n">
        <v>65398.06</v>
      </c>
      <c r="F19" s="0" t="n">
        <v>59195.7225</v>
      </c>
      <c r="G19" s="0" t="n">
        <v>0.475109763201868</v>
      </c>
      <c r="H19" s="0" t="n">
        <v>261592.24</v>
      </c>
      <c r="I19" s="0" t="n">
        <v>236782.89</v>
      </c>
      <c r="J19" s="0" t="n">
        <v>0.131222559199533</v>
      </c>
      <c r="K19" s="0" t="s">
        <v>2607</v>
      </c>
    </row>
    <row r="20" customFormat="false" ht="13.5" hidden="false" customHeight="false" outlineLevel="0" collapsed="false">
      <c r="A20" s="0" t="s">
        <v>438</v>
      </c>
      <c r="B20" s="0" t="s">
        <v>309</v>
      </c>
      <c r="C20" s="0" t="n">
        <v>1217997.01</v>
      </c>
      <c r="D20" s="0" t="n">
        <v>304499.2525</v>
      </c>
      <c r="E20" s="0" t="n">
        <v>19760.54</v>
      </c>
      <c r="F20" s="0" t="n">
        <v>284738.7125</v>
      </c>
      <c r="G20" s="0" t="n">
        <v>0.935104799641503</v>
      </c>
      <c r="H20" s="0" t="n">
        <v>79042.16</v>
      </c>
      <c r="I20" s="0" t="n">
        <v>1138954.85</v>
      </c>
      <c r="J20" s="0" t="n">
        <v>0.0162238000896242</v>
      </c>
      <c r="K20" s="0" t="s">
        <v>2607</v>
      </c>
    </row>
    <row r="21" customFormat="false" ht="13.5" hidden="false" customHeight="false" outlineLevel="0" collapsed="false">
      <c r="A21" s="0" t="s">
        <v>441</v>
      </c>
      <c r="B21" s="0" t="s">
        <v>309</v>
      </c>
      <c r="C21" s="0" t="n">
        <v>1028561.74</v>
      </c>
      <c r="D21" s="0" t="n">
        <v>257140.435</v>
      </c>
      <c r="E21" s="0" t="n">
        <v>343205.44</v>
      </c>
      <c r="F21" s="0" t="n">
        <v>-86065.005</v>
      </c>
      <c r="G21" s="0" t="n">
        <v>-0.334700394358437</v>
      </c>
      <c r="H21" s="0" t="n">
        <v>1372821.76</v>
      </c>
      <c r="I21" s="0" t="n">
        <v>-344260.02</v>
      </c>
      <c r="J21" s="0" t="n">
        <v>0.333675098589609</v>
      </c>
      <c r="K21" s="0" t="s">
        <v>2607</v>
      </c>
    </row>
    <row r="22" customFormat="false" ht="13.5" hidden="false" customHeight="false" outlineLevel="0" collapsed="false">
      <c r="A22" s="0" t="s">
        <v>437</v>
      </c>
      <c r="B22" s="0" t="s">
        <v>309</v>
      </c>
      <c r="C22" s="0" t="n">
        <v>321500</v>
      </c>
      <c r="D22" s="0" t="n">
        <v>80375</v>
      </c>
      <c r="E22" s="0" t="n">
        <v>50831.5</v>
      </c>
      <c r="F22" s="0" t="n">
        <v>29543.5</v>
      </c>
      <c r="G22" s="0" t="n">
        <v>0.367570762052877</v>
      </c>
      <c r="H22" s="0" t="n">
        <v>203326</v>
      </c>
      <c r="I22" s="0" t="n">
        <v>118174</v>
      </c>
      <c r="J22" s="0" t="n">
        <v>0.158107309486781</v>
      </c>
      <c r="K22" s="0" t="s">
        <v>2607</v>
      </c>
      <c r="M22" s="0" t="s">
        <v>2652</v>
      </c>
      <c r="N22" s="0" t="s">
        <v>2653</v>
      </c>
      <c r="O22" s="0" t="s">
        <v>2654</v>
      </c>
    </row>
    <row r="23" customFormat="false" ht="13.5" hidden="false" customHeight="false" outlineLevel="0" collapsed="false">
      <c r="M23" s="0" t="s">
        <v>307</v>
      </c>
      <c r="N23" s="0" t="n">
        <v>1807519.425</v>
      </c>
      <c r="O23" s="0" t="n">
        <v>1587508.08</v>
      </c>
    </row>
    <row r="24" customFormat="false" ht="13.5" hidden="false" customHeight="false" outlineLevel="0" collapsed="false">
      <c r="M24" s="0" t="s">
        <v>308</v>
      </c>
      <c r="N24" s="0" t="n">
        <v>580670</v>
      </c>
      <c r="O24" s="0" t="n">
        <v>642948.54</v>
      </c>
    </row>
    <row r="25" customFormat="false" ht="13.5" hidden="false" customHeight="false" outlineLevel="0" collapsed="false">
      <c r="M25" s="0" t="s">
        <v>309</v>
      </c>
      <c r="N25" s="0" t="n">
        <v>1055403.4575</v>
      </c>
      <c r="O25" s="0" t="n">
        <v>549510.19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2026-07-07T13:59:54Z</dcterms:created>
  <dc:creator>Ebenezer Gyadu</dc:creator>
  <dc:description/>
  <dc:language>en-US</dc:language>
  <cp:lastModifiedBy/>
  <dcterms:modified xsi:type="dcterms:W3CDTF">2026-08-13T11:22:20Z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0x01010084C36CF602C7E14DA0988E9E76EF231D</vt:lpwstr>
  </property>
  <property fmtid="{D5CDD505-2E9C-101B-9397-08002B2CF9AE}" pid="3" name="MediaServiceImageTags">
    <vt:lpwstr/>
  </property>
</Properties>
</file>